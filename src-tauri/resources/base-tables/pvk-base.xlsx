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6" yWindow="-96" windowWidth="23232" windowHeight="13872" tabRatio="600" firstSheet="0" activeTab="0" autoFilterDateGrouping="1"/>
  </bookViews>
  <sheets>
    <sheet name="Таблиця 1" sheetId="1" state="visible" r:id="rId1"/>
    <sheet name="АА" sheetId="2" state="visible" r:id="rId2"/>
    <sheet name="ПС" sheetId="3" state="visible" r:id="rId3"/>
    <sheet name="Об'єкти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dd\.mm\.yyyy;@"/>
    <numFmt numFmtId="165" formatCode="DD.MM.YYYY"/>
    <numFmt numFmtId="166" formatCode="HH:MM"/>
  </numFmts>
  <fonts count="12">
    <font>
      <name val="Calibri"/>
      <family val="2"/>
      <color theme="1"/>
      <sz val="11"/>
      <scheme val="minor"/>
    </font>
    <font>
      <name val="Times New Roman"/>
      <charset val="204"/>
      <family val="1"/>
      <color theme="1"/>
      <sz val="11"/>
    </font>
    <font>
      <name val="Times New Roman"/>
      <charset val="204"/>
      <family val="1"/>
      <color theme="1"/>
      <sz val="12"/>
    </font>
    <font>
      <name val="Times New Roman"/>
      <charset val="204"/>
      <family val="1"/>
      <sz val="11"/>
    </font>
    <font>
      <name val="Times New Roman"/>
      <charset val="204"/>
      <family val="1"/>
      <color theme="1"/>
      <sz val="12"/>
    </font>
    <font>
      <name val="Calibri"/>
      <family val="2"/>
      <sz val="11"/>
      <scheme val="minor"/>
    </font>
    <font>
      <name val="Times New Roman"/>
      <charset val="204"/>
      <family val="1"/>
      <sz val="12"/>
    </font>
    <font>
      <name val="Calibri"/>
      <family val="2"/>
      <sz val="8"/>
      <scheme val="minor"/>
    </font>
    <font>
      <name val="Calibri"/>
      <family val="2"/>
      <color theme="1"/>
      <sz val="10"/>
      <scheme val="minor"/>
    </font>
    <font>
      <name val="Times New Roman"/>
      <charset val="204"/>
      <family val="1"/>
      <color theme="1"/>
      <sz val="12"/>
    </font>
    <font>
      <name val="Times New Roman"/>
      <charset val="204"/>
      <family val="1"/>
      <color theme="1"/>
      <sz val="12"/>
    </font>
    <font>
      <b val="1"/>
    </font>
  </fonts>
  <fills count="33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EE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9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74">
    <xf numFmtId="0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164" fontId="3" fillId="4" borderId="2" applyAlignment="1" pivotButton="0" quotePrefix="0" xfId="0">
      <alignment horizontal="center"/>
    </xf>
    <xf numFmtId="0" fontId="3" fillId="4" borderId="3" applyAlignment="1" pivotButton="0" quotePrefix="0" xfId="0">
      <alignment horizontal="center"/>
    </xf>
    <xf numFmtId="0" fontId="3" fillId="4" borderId="4" applyAlignment="1" pivotButton="0" quotePrefix="0" xfId="0">
      <alignment horizontal="center"/>
    </xf>
    <xf numFmtId="164" fontId="2" fillId="3" borderId="5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2" fillId="3" borderId="6" applyAlignment="1" pivotButton="0" quotePrefix="0" xfId="0">
      <alignment horizontal="center"/>
    </xf>
    <xf numFmtId="164" fontId="2" fillId="3" borderId="7" applyAlignment="1" pivotButton="0" quotePrefix="0" xfId="0">
      <alignment horizontal="center"/>
    </xf>
    <xf numFmtId="0" fontId="2" fillId="3" borderId="8" applyAlignment="1" pivotButton="0" quotePrefix="0" xfId="0">
      <alignment horizontal="center"/>
    </xf>
    <xf numFmtId="0" fontId="2" fillId="3" borderId="9" applyAlignment="1" pivotButton="0" quotePrefix="0" xfId="0">
      <alignment horizontal="center"/>
    </xf>
    <xf numFmtId="164" fontId="2" fillId="7" borderId="5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164" fontId="2" fillId="7" borderId="7" applyAlignment="1" pivotButton="0" quotePrefix="0" xfId="0">
      <alignment horizontal="center"/>
    </xf>
    <xf numFmtId="0" fontId="2" fillId="7" borderId="8" applyAlignment="1" pivotButton="0" quotePrefix="0" xfId="0">
      <alignment horizontal="center"/>
    </xf>
    <xf numFmtId="164" fontId="2" fillId="5" borderId="5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164" fontId="2" fillId="5" borderId="7" applyAlignment="1" pivotButton="0" quotePrefix="0" xfId="0">
      <alignment horizontal="center"/>
    </xf>
    <xf numFmtId="0" fontId="2" fillId="5" borderId="8" applyAlignment="1" pivotButton="0" quotePrefix="0" xfId="0">
      <alignment horizontal="center"/>
    </xf>
    <xf numFmtId="164" fontId="2" fillId="8" borderId="5" applyAlignment="1" pivotButton="0" quotePrefix="0" xfId="0">
      <alignment horizontal="center"/>
    </xf>
    <xf numFmtId="0" fontId="2" fillId="8" borderId="1" applyAlignment="1" pivotButton="0" quotePrefix="0" xfId="0">
      <alignment horizontal="center"/>
    </xf>
    <xf numFmtId="0" fontId="2" fillId="8" borderId="6" applyAlignment="1" pivotButton="0" quotePrefix="0" xfId="0">
      <alignment horizontal="center"/>
    </xf>
    <xf numFmtId="164" fontId="2" fillId="8" borderId="7" applyAlignment="1" pivotButton="0" quotePrefix="0" xfId="0">
      <alignment horizontal="center"/>
    </xf>
    <xf numFmtId="0" fontId="2" fillId="8" borderId="8" applyAlignment="1" pivotButton="0" quotePrefix="0" xfId="0">
      <alignment horizontal="center"/>
    </xf>
    <xf numFmtId="0" fontId="2" fillId="8" borderId="9" applyAlignment="1" pivotButton="0" quotePrefix="0" xfId="0">
      <alignment horizontal="center"/>
    </xf>
    <xf numFmtId="164" fontId="3" fillId="9" borderId="2" applyAlignment="1" pivotButton="0" quotePrefix="0" xfId="0">
      <alignment horizontal="center"/>
    </xf>
    <xf numFmtId="0" fontId="3" fillId="9" borderId="3" applyAlignment="1" pivotButton="0" quotePrefix="0" xfId="0">
      <alignment horizontal="center"/>
    </xf>
    <xf numFmtId="164" fontId="2" fillId="6" borderId="5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6" borderId="7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0" fontId="4" fillId="2" borderId="8" applyAlignment="1" pivotButton="0" quotePrefix="0" xfId="0">
      <alignment horizontal="center"/>
    </xf>
    <xf numFmtId="0" fontId="4" fillId="2" borderId="9" applyAlignment="1" pivotButton="0" quotePrefix="0" xfId="0">
      <alignment horizontal="center"/>
    </xf>
    <xf numFmtId="164" fontId="4" fillId="8" borderId="5" applyAlignment="1" pivotButton="0" quotePrefix="0" xfId="0">
      <alignment horizontal="center"/>
    </xf>
    <xf numFmtId="0" fontId="4" fillId="8" borderId="1" applyAlignment="1" pivotButton="0" quotePrefix="0" xfId="0">
      <alignment horizontal="center"/>
    </xf>
    <xf numFmtId="0" fontId="4" fillId="8" borderId="6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0" fontId="5" fillId="9" borderId="3" applyAlignment="1" pivotButton="0" quotePrefix="0" xfId="0">
      <alignment horizontal="center"/>
    </xf>
    <xf numFmtId="0" fontId="4" fillId="7" borderId="3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2" fillId="10" borderId="6" applyAlignment="1" pivotButton="0" quotePrefix="0" xfId="0">
      <alignment horizontal="center"/>
    </xf>
    <xf numFmtId="0" fontId="4" fillId="10" borderId="3" applyAlignment="1" pivotButton="0" quotePrefix="0" xfId="0">
      <alignment horizontal="center"/>
    </xf>
    <xf numFmtId="0" fontId="4" fillId="10" borderId="1" applyAlignment="1" pivotButton="0" quotePrefix="0" xfId="0">
      <alignment horizontal="center"/>
    </xf>
    <xf numFmtId="0" fontId="2" fillId="10" borderId="9" applyAlignment="1" pivotButton="0" quotePrefix="0" xfId="0">
      <alignment horizontal="center"/>
    </xf>
    <xf numFmtId="0" fontId="2" fillId="10" borderId="1" applyAlignment="1" pivotButton="0" quotePrefix="0" xfId="0">
      <alignment horizontal="center"/>
    </xf>
    <xf numFmtId="164" fontId="2" fillId="10" borderId="5" applyAlignment="1" pivotButton="0" quotePrefix="0" xfId="0">
      <alignment horizontal="center"/>
    </xf>
    <xf numFmtId="164" fontId="2" fillId="10" borderId="7" applyAlignment="1" pivotButton="0" quotePrefix="0" xfId="0">
      <alignment horizontal="center"/>
    </xf>
    <xf numFmtId="0" fontId="2" fillId="10" borderId="8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2" fillId="7" borderId="3" applyAlignment="1" pivotButton="0" quotePrefix="0" xfId="0">
      <alignment horizontal="center"/>
    </xf>
    <xf numFmtId="0" fontId="0" fillId="2" borderId="0" pivotButton="0" quotePrefix="0" xfId="0"/>
    <xf numFmtId="0" fontId="4" fillId="2" borderId="7" applyAlignment="1" pivotButton="0" quotePrefix="0" xfId="0">
      <alignment horizontal="center"/>
    </xf>
    <xf numFmtId="0" fontId="4" fillId="8" borderId="8" applyAlignment="1" pivotButton="0" quotePrefix="0" xfId="0">
      <alignment horizontal="center"/>
    </xf>
    <xf numFmtId="0" fontId="4" fillId="8" borderId="9" applyAlignment="1" pivotButton="0" quotePrefix="0" xfId="0">
      <alignment horizontal="center"/>
    </xf>
    <xf numFmtId="0" fontId="4" fillId="11" borderId="1" applyAlignment="1" pivotButton="0" quotePrefix="0" xfId="0">
      <alignment horizontal="center"/>
    </xf>
    <xf numFmtId="164" fontId="4" fillId="12" borderId="5" applyAlignment="1" pivotButton="0" quotePrefix="0" xfId="0">
      <alignment horizontal="center"/>
    </xf>
    <xf numFmtId="0" fontId="4" fillId="12" borderId="1" applyAlignment="1" pivotButton="0" quotePrefix="0" xfId="0">
      <alignment horizontal="center"/>
    </xf>
    <xf numFmtId="164" fontId="2" fillId="11" borderId="5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164" fontId="2" fillId="11" borderId="7" applyAlignment="1" pivotButton="0" quotePrefix="0" xfId="0">
      <alignment horizontal="center"/>
    </xf>
    <xf numFmtId="0" fontId="2" fillId="11" borderId="8" applyAlignment="1" pivotButton="0" quotePrefix="0" xfId="0">
      <alignment horizontal="center"/>
    </xf>
    <xf numFmtId="0" fontId="4" fillId="12" borderId="8" applyAlignment="1" pivotButton="0" quotePrefix="0" xfId="0">
      <alignment horizontal="center"/>
    </xf>
    <xf numFmtId="0" fontId="4" fillId="11" borderId="8" applyAlignment="1" pivotButton="0" quotePrefix="0" xfId="0">
      <alignment horizontal="center"/>
    </xf>
    <xf numFmtId="164" fontId="4" fillId="11" borderId="5" applyAlignment="1" pivotButton="0" quotePrefix="0" xfId="0">
      <alignment horizontal="center"/>
    </xf>
    <xf numFmtId="164" fontId="4" fillId="12" borderId="7" applyAlignment="1" pivotButton="0" quotePrefix="0" xfId="0">
      <alignment horizontal="center"/>
    </xf>
    <xf numFmtId="164" fontId="4" fillId="11" borderId="7" applyAlignment="1" pivotButton="0" quotePrefix="0" xfId="0">
      <alignment horizontal="center"/>
    </xf>
    <xf numFmtId="0" fontId="0" fillId="11" borderId="0" pivotButton="0" quotePrefix="0" xfId="0"/>
    <xf numFmtId="164" fontId="4" fillId="13" borderId="5" applyAlignment="1" pivotButton="0" quotePrefix="0" xfId="0">
      <alignment horizontal="center"/>
    </xf>
    <xf numFmtId="0" fontId="4" fillId="13" borderId="1" applyAlignment="1" pivotButton="0" quotePrefix="0" xfId="0">
      <alignment horizontal="center"/>
    </xf>
    <xf numFmtId="0" fontId="0" fillId="13" borderId="0" pivotButton="0" quotePrefix="0" xfId="0"/>
    <xf numFmtId="164" fontId="2" fillId="13" borderId="7" applyAlignment="1" pivotButton="0" quotePrefix="0" xfId="0">
      <alignment horizontal="center"/>
    </xf>
    <xf numFmtId="0" fontId="2" fillId="13" borderId="8" applyAlignment="1" pivotButton="0" quotePrefix="0" xfId="0">
      <alignment horizontal="center"/>
    </xf>
    <xf numFmtId="0" fontId="4" fillId="13" borderId="8" applyAlignment="1" pivotButton="0" quotePrefix="0" xfId="0">
      <alignment horizontal="center"/>
    </xf>
    <xf numFmtId="164" fontId="4" fillId="9" borderId="5" applyAlignment="1" pivotButton="0" quotePrefix="0" xfId="0">
      <alignment horizontal="center"/>
    </xf>
    <xf numFmtId="0" fontId="4" fillId="9" borderId="1" applyAlignment="1" pivotButton="0" quotePrefix="0" xfId="0">
      <alignment horizontal="center"/>
    </xf>
    <xf numFmtId="0" fontId="0" fillId="12" borderId="0" pivotButton="0" quotePrefix="0" xfId="0"/>
    <xf numFmtId="164" fontId="0" fillId="0" borderId="2" applyAlignment="1" pivotButton="0" quotePrefix="0" xfId="0">
      <alignment horizontal="center" vertical="center"/>
    </xf>
    <xf numFmtId="164" fontId="0" fillId="0" borderId="5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6" fillId="11" borderId="5" applyAlignment="1" pivotButton="0" quotePrefix="0" xfId="0">
      <alignment horizontal="center"/>
    </xf>
    <xf numFmtId="0" fontId="6" fillId="11" borderId="1" applyAlignment="1" pivotButton="0" quotePrefix="0" xfId="0">
      <alignment horizontal="center"/>
    </xf>
    <xf numFmtId="164" fontId="0" fillId="11" borderId="5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/>
    </xf>
    <xf numFmtId="164" fontId="4" fillId="4" borderId="5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164" fontId="4" fillId="4" borderId="7" applyAlignment="1" pivotButton="0" quotePrefix="0" xfId="0">
      <alignment horizontal="center"/>
    </xf>
    <xf numFmtId="0" fontId="4" fillId="4" borderId="8" applyAlignment="1" pivotButton="0" quotePrefix="0" xfId="0">
      <alignment horizontal="center"/>
    </xf>
    <xf numFmtId="164" fontId="0" fillId="9" borderId="7" applyAlignment="1" pivotButton="0" quotePrefix="0" xfId="0">
      <alignment horizontal="center" vertical="center"/>
    </xf>
    <xf numFmtId="0" fontId="0" fillId="9" borderId="8" applyAlignment="1" pivotButton="0" quotePrefix="0" xfId="0">
      <alignment horizontal="center"/>
    </xf>
    <xf numFmtId="164" fontId="0" fillId="9" borderId="5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4" fillId="14" borderId="7" applyAlignment="1" pivotButton="0" quotePrefix="0" xfId="0">
      <alignment horizontal="center"/>
    </xf>
    <xf numFmtId="0" fontId="4" fillId="14" borderId="8" applyAlignment="1" pivotButton="0" quotePrefix="0" xfId="0">
      <alignment horizontal="center"/>
    </xf>
    <xf numFmtId="164" fontId="4" fillId="14" borderId="5" applyAlignment="1" pivotButton="0" quotePrefix="0" xfId="0">
      <alignment horizontal="center"/>
    </xf>
    <xf numFmtId="0" fontId="4" fillId="14" borderId="1" applyAlignment="1" pivotButton="0" quotePrefix="0" xfId="0">
      <alignment horizontal="center"/>
    </xf>
    <xf numFmtId="164" fontId="4" fillId="6" borderId="5" applyAlignment="1" pivotButton="0" quotePrefix="0" xfId="0">
      <alignment horizontal="center"/>
    </xf>
    <xf numFmtId="164" fontId="0" fillId="6" borderId="7" applyAlignment="1" pivotButton="0" quotePrefix="0" xfId="0">
      <alignment horizontal="center" vertical="center"/>
    </xf>
    <xf numFmtId="0" fontId="0" fillId="6" borderId="8" applyAlignment="1" pivotButton="0" quotePrefix="0" xfId="0">
      <alignment horizontal="center"/>
    </xf>
    <xf numFmtId="164" fontId="0" fillId="6" borderId="5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/>
    </xf>
    <xf numFmtId="164" fontId="4" fillId="6" borderId="7" applyAlignment="1" pivotButton="0" quotePrefix="0" xfId="0">
      <alignment horizontal="center"/>
    </xf>
    <xf numFmtId="0" fontId="4" fillId="6" borderId="8" applyAlignment="1" pivotButton="0" quotePrefix="0" xfId="0">
      <alignment horizontal="center"/>
    </xf>
    <xf numFmtId="0" fontId="0" fillId="15" borderId="1" applyAlignment="1" pivotButton="0" quotePrefix="0" xfId="0">
      <alignment horizontal="center"/>
    </xf>
    <xf numFmtId="0" fontId="0" fillId="15" borderId="8" applyAlignment="1" pivotButton="0" quotePrefix="0" xfId="0">
      <alignment horizontal="center"/>
    </xf>
    <xf numFmtId="164" fontId="0" fillId="16" borderId="5" applyAlignment="1" pivotButton="0" quotePrefix="0" xfId="0">
      <alignment horizontal="center" vertical="center"/>
    </xf>
    <xf numFmtId="0" fontId="0" fillId="16" borderId="1" applyAlignment="1" pivotButton="0" quotePrefix="0" xfId="0">
      <alignment horizontal="center"/>
    </xf>
    <xf numFmtId="164" fontId="0" fillId="16" borderId="7" applyAlignment="1" pivotButton="0" quotePrefix="0" xfId="0">
      <alignment horizontal="center" vertical="center"/>
    </xf>
    <xf numFmtId="0" fontId="0" fillId="16" borderId="8" applyAlignment="1" pivotButton="0" quotePrefix="0" xfId="0">
      <alignment horizontal="center"/>
    </xf>
    <xf numFmtId="164" fontId="4" fillId="9" borderId="7" applyAlignment="1" pivotButton="0" quotePrefix="0" xfId="0">
      <alignment horizontal="center"/>
    </xf>
    <xf numFmtId="0" fontId="4" fillId="9" borderId="8" applyAlignment="1" pivotButton="0" quotePrefix="0" xfId="0">
      <alignment horizontal="center"/>
    </xf>
    <xf numFmtId="0" fontId="0" fillId="17" borderId="1" applyAlignment="1" pivotButton="0" quotePrefix="0" xfId="0">
      <alignment horizontal="center"/>
    </xf>
    <xf numFmtId="0" fontId="0" fillId="2" borderId="0" applyAlignment="1" pivotButton="0" quotePrefix="0" xfId="0">
      <alignment horizontal="center"/>
    </xf>
    <xf numFmtId="0" fontId="4" fillId="16" borderId="8" applyAlignment="1" pivotButton="0" quotePrefix="0" xfId="0">
      <alignment horizontal="center"/>
    </xf>
    <xf numFmtId="0" fontId="4" fillId="16" borderId="1" applyAlignment="1" pivotButton="0" quotePrefix="0" xfId="0">
      <alignment horizontal="center"/>
    </xf>
    <xf numFmtId="0" fontId="4" fillId="9" borderId="8" applyAlignment="1" pivotButton="0" quotePrefix="1" xfId="0">
      <alignment horizontal="center"/>
    </xf>
    <xf numFmtId="164" fontId="4" fillId="18" borderId="5" applyAlignment="1" pivotButton="0" quotePrefix="0" xfId="0">
      <alignment horizontal="center"/>
    </xf>
    <xf numFmtId="0" fontId="4" fillId="18" borderId="1" applyAlignment="1" pivotButton="0" quotePrefix="0" xfId="0">
      <alignment horizontal="center"/>
    </xf>
    <xf numFmtId="164" fontId="4" fillId="18" borderId="7" applyAlignment="1" pivotButton="0" quotePrefix="0" xfId="0">
      <alignment horizontal="center"/>
    </xf>
    <xf numFmtId="0" fontId="4" fillId="18" borderId="8" applyAlignment="1" pivotButton="0" quotePrefix="0" xfId="0">
      <alignment horizontal="center"/>
    </xf>
    <xf numFmtId="164" fontId="6" fillId="18" borderId="7" applyAlignment="1" pivotButton="0" quotePrefix="0" xfId="0">
      <alignment horizontal="center"/>
    </xf>
    <xf numFmtId="0" fontId="6" fillId="18" borderId="8" applyAlignment="1" pivotButton="0" quotePrefix="0" xfId="0">
      <alignment horizontal="center"/>
    </xf>
    <xf numFmtId="164" fontId="0" fillId="18" borderId="5" applyAlignment="1" pivotButton="0" quotePrefix="0" xfId="0">
      <alignment horizontal="center" vertical="center"/>
    </xf>
    <xf numFmtId="0" fontId="0" fillId="18" borderId="1" applyAlignment="1" pivotButton="0" quotePrefix="0" xfId="0">
      <alignment horizontal="center"/>
    </xf>
    <xf numFmtId="164" fontId="0" fillId="18" borderId="7" applyAlignment="1" pivotButton="0" quotePrefix="0" xfId="0">
      <alignment horizontal="center" vertical="center"/>
    </xf>
    <xf numFmtId="0" fontId="0" fillId="18" borderId="8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0" fontId="2" fillId="19" borderId="1" applyAlignment="1" pivotButton="0" quotePrefix="0" xfId="0">
      <alignment horizontal="center"/>
    </xf>
    <xf numFmtId="0" fontId="4" fillId="19" borderId="1" applyAlignment="1" pivotButton="0" quotePrefix="0" xfId="0">
      <alignment horizontal="center"/>
    </xf>
    <xf numFmtId="164" fontId="0" fillId="19" borderId="5" applyAlignment="1" pivotButton="0" quotePrefix="0" xfId="0">
      <alignment horizontal="center" vertical="center"/>
    </xf>
    <xf numFmtId="0" fontId="0" fillId="19" borderId="1" applyAlignment="1" pivotButton="0" quotePrefix="0" xfId="0">
      <alignment horizontal="center"/>
    </xf>
    <xf numFmtId="0" fontId="0" fillId="19" borderId="0" applyAlignment="1" pivotButton="0" quotePrefix="0" xfId="0">
      <alignment horizontal="center"/>
    </xf>
    <xf numFmtId="0" fontId="0" fillId="19" borderId="0" pivotButton="0" quotePrefix="0" xfId="0"/>
    <xf numFmtId="0" fontId="2" fillId="19" borderId="6" applyAlignment="1" pivotButton="0" quotePrefix="0" xfId="0">
      <alignment horizontal="center"/>
    </xf>
    <xf numFmtId="164" fontId="0" fillId="20" borderId="7" applyAlignment="1" pivotButton="0" quotePrefix="0" xfId="0">
      <alignment horizontal="center" vertical="center"/>
    </xf>
    <xf numFmtId="0" fontId="0" fillId="20" borderId="8" applyAlignment="1" pivotButton="0" quotePrefix="0" xfId="0">
      <alignment horizontal="center"/>
    </xf>
    <xf numFmtId="164" fontId="4" fillId="20" borderId="7" applyAlignment="1" pivotButton="0" quotePrefix="0" xfId="0">
      <alignment horizontal="center"/>
    </xf>
    <xf numFmtId="0" fontId="4" fillId="20" borderId="8" applyAlignment="1" pivotButton="0" quotePrefix="0" xfId="0">
      <alignment horizontal="center"/>
    </xf>
    <xf numFmtId="0" fontId="0" fillId="17" borderId="8" applyAlignment="1" pivotButton="0" quotePrefix="0" xfId="0">
      <alignment horizontal="center"/>
    </xf>
    <xf numFmtId="164" fontId="0" fillId="20" borderId="5" applyAlignment="1" pivotButton="0" quotePrefix="0" xfId="0">
      <alignment horizontal="center" vertical="center"/>
    </xf>
    <xf numFmtId="0" fontId="0" fillId="20" borderId="1" applyAlignment="1" pivotButton="0" quotePrefix="0" xfId="0">
      <alignment horizontal="center"/>
    </xf>
    <xf numFmtId="164" fontId="4" fillId="21" borderId="7" applyAlignment="1" pivotButton="0" quotePrefix="0" xfId="0">
      <alignment horizontal="center"/>
    </xf>
    <xf numFmtId="0" fontId="4" fillId="21" borderId="8" applyAlignment="1" pivotButton="0" quotePrefix="0" xfId="0">
      <alignment horizontal="center"/>
    </xf>
    <xf numFmtId="0" fontId="0" fillId="22" borderId="1" applyAlignment="1" pivotButton="0" quotePrefix="0" xfId="0">
      <alignment horizontal="center"/>
    </xf>
    <xf numFmtId="164" fontId="0" fillId="21" borderId="5" applyAlignment="1" pivotButton="0" quotePrefix="0" xfId="0">
      <alignment horizontal="center" vertical="center"/>
    </xf>
    <xf numFmtId="0" fontId="0" fillId="21" borderId="1" applyAlignment="1" pivotButton="0" quotePrefix="0" xfId="0">
      <alignment horizontal="center"/>
    </xf>
    <xf numFmtId="164" fontId="0" fillId="21" borderId="7" applyAlignment="1" pivotButton="0" quotePrefix="0" xfId="0">
      <alignment horizontal="center" vertical="center"/>
    </xf>
    <xf numFmtId="0" fontId="0" fillId="21" borderId="8" applyAlignment="1" pivotButton="0" quotePrefix="0" xfId="0">
      <alignment horizontal="center"/>
    </xf>
    <xf numFmtId="0" fontId="0" fillId="22" borderId="8" applyAlignment="1" pivotButton="0" quotePrefix="0" xfId="0">
      <alignment horizontal="center"/>
    </xf>
    <xf numFmtId="164" fontId="4" fillId="21" borderId="5" applyAlignment="1" pivotButton="0" quotePrefix="0" xfId="0">
      <alignment horizontal="center"/>
    </xf>
    <xf numFmtId="0" fontId="4" fillId="21" borderId="1" applyAlignment="1" pivotButton="0" quotePrefix="0" xfId="0">
      <alignment horizontal="center"/>
    </xf>
    <xf numFmtId="164" fontId="4" fillId="23" borderId="5" applyAlignment="1" pivotButton="0" quotePrefix="0" xfId="0">
      <alignment horizontal="center"/>
    </xf>
    <xf numFmtId="0" fontId="4" fillId="23" borderId="1" applyAlignment="1" pivotButton="0" quotePrefix="0" xfId="0">
      <alignment horizontal="center"/>
    </xf>
    <xf numFmtId="0" fontId="0" fillId="9" borderId="0" pivotButton="0" quotePrefix="0" xfId="0"/>
    <xf numFmtId="164" fontId="4" fillId="23" borderId="7" applyAlignment="1" pivotButton="0" quotePrefix="0" xfId="0">
      <alignment horizontal="center"/>
    </xf>
    <xf numFmtId="0" fontId="4" fillId="23" borderId="8" applyAlignment="1" pivotButton="0" quotePrefix="1" xfId="0">
      <alignment horizontal="center"/>
    </xf>
    <xf numFmtId="0" fontId="4" fillId="23" borderId="8" applyAlignment="1" pivotButton="0" quotePrefix="0" xfId="0">
      <alignment horizontal="center"/>
    </xf>
    <xf numFmtId="164" fontId="4" fillId="2" borderId="7" applyAlignment="1" pivotButton="0" quotePrefix="0" xfId="0">
      <alignment horizontal="center"/>
    </xf>
    <xf numFmtId="164" fontId="0" fillId="13" borderId="5" applyAlignment="1" pivotButton="0" quotePrefix="0" xfId="0">
      <alignment horizontal="center" vertical="center"/>
    </xf>
    <xf numFmtId="0" fontId="0" fillId="13" borderId="1" applyAlignment="1" pivotButton="0" quotePrefix="0" xfId="0">
      <alignment horizontal="center"/>
    </xf>
    <xf numFmtId="164" fontId="4" fillId="13" borderId="7" applyAlignment="1" pivotButton="0" quotePrefix="0" xfId="0">
      <alignment horizontal="center"/>
    </xf>
    <xf numFmtId="164" fontId="0" fillId="13" borderId="7" applyAlignment="1" pivotButton="0" quotePrefix="0" xfId="0">
      <alignment horizontal="center" vertical="center"/>
    </xf>
    <xf numFmtId="0" fontId="0" fillId="13" borderId="8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2" borderId="9" applyAlignment="1" pivotButton="0" quotePrefix="0" xfId="0">
      <alignment horizontal="center"/>
    </xf>
    <xf numFmtId="164" fontId="2" fillId="13" borderId="5" applyAlignment="1" pivotButton="0" quotePrefix="0" xfId="0">
      <alignment horizontal="center"/>
    </xf>
    <xf numFmtId="0" fontId="4" fillId="22" borderId="8" applyAlignment="1" pivotButton="0" quotePrefix="0" xfId="0">
      <alignment horizontal="center"/>
    </xf>
    <xf numFmtId="0" fontId="4" fillId="22" borderId="1" applyAlignment="1" pivotButton="0" quotePrefix="0" xfId="0">
      <alignment horizontal="center"/>
    </xf>
    <xf numFmtId="164" fontId="6" fillId="13" borderId="7" applyAlignment="1" pivotButton="0" quotePrefix="0" xfId="0">
      <alignment horizontal="center"/>
    </xf>
    <xf numFmtId="0" fontId="6" fillId="13" borderId="8" applyAlignment="1" pivotButton="0" quotePrefix="0" xfId="0">
      <alignment horizontal="center"/>
    </xf>
    <xf numFmtId="164" fontId="4" fillId="24" borderId="5" applyAlignment="1" pivotButton="0" quotePrefix="0" xfId="0">
      <alignment horizontal="center"/>
    </xf>
    <xf numFmtId="0" fontId="4" fillId="24" borderId="1" applyAlignment="1" pivotButton="0" quotePrefix="0" xfId="0">
      <alignment horizontal="center"/>
    </xf>
    <xf numFmtId="164" fontId="0" fillId="24" borderId="5" applyAlignment="1" pivotButton="0" quotePrefix="0" xfId="0">
      <alignment horizontal="center" vertical="center"/>
    </xf>
    <xf numFmtId="0" fontId="0" fillId="24" borderId="1" applyAlignment="1" pivotButton="0" quotePrefix="0" xfId="0">
      <alignment horizontal="center"/>
    </xf>
    <xf numFmtId="164" fontId="0" fillId="24" borderId="7" applyAlignment="1" pivotButton="0" quotePrefix="0" xfId="0">
      <alignment horizontal="center" vertical="center"/>
    </xf>
    <xf numFmtId="0" fontId="0" fillId="24" borderId="8" applyAlignment="1" pivotButton="0" quotePrefix="0" xfId="0">
      <alignment horizontal="center"/>
    </xf>
    <xf numFmtId="164" fontId="4" fillId="24" borderId="7" applyAlignment="1" pivotButton="0" quotePrefix="0" xfId="0">
      <alignment horizontal="center"/>
    </xf>
    <xf numFmtId="0" fontId="4" fillId="24" borderId="8" applyAlignment="1" pivotButton="0" quotePrefix="0" xfId="0">
      <alignment horizontal="center"/>
    </xf>
    <xf numFmtId="0" fontId="0" fillId="24" borderId="8" applyAlignment="1" pivotButton="0" quotePrefix="1" xfId="0">
      <alignment horizontal="center"/>
    </xf>
    <xf numFmtId="0" fontId="5" fillId="22" borderId="1" applyAlignment="1" pivotButton="0" quotePrefix="0" xfId="0">
      <alignment horizontal="center"/>
    </xf>
    <xf numFmtId="0" fontId="4" fillId="9" borderId="1" applyAlignment="1" pivotButton="0" quotePrefix="1" xfId="0">
      <alignment horizontal="center"/>
    </xf>
    <xf numFmtId="164" fontId="0" fillId="25" borderId="7" applyAlignment="1" pivotButton="0" quotePrefix="0" xfId="0">
      <alignment horizontal="center" vertical="center"/>
    </xf>
    <xf numFmtId="0" fontId="0" fillId="25" borderId="8" applyAlignment="1" pivotButton="0" quotePrefix="0" xfId="0">
      <alignment horizontal="center"/>
    </xf>
    <xf numFmtId="164" fontId="4" fillId="25" borderId="5" applyAlignment="1" pivotButton="0" quotePrefix="0" xfId="0">
      <alignment horizontal="center"/>
    </xf>
    <xf numFmtId="0" fontId="4" fillId="25" borderId="1" applyAlignment="1" pivotButton="0" quotePrefix="0" xfId="0">
      <alignment horizontal="center"/>
    </xf>
    <xf numFmtId="164" fontId="0" fillId="25" borderId="5" applyAlignment="1" pivotButton="0" quotePrefix="0" xfId="0">
      <alignment horizontal="center" vertical="center"/>
    </xf>
    <xf numFmtId="0" fontId="0" fillId="25" borderId="1" applyAlignment="1" pivotButton="0" quotePrefix="0" xfId="0">
      <alignment horizontal="center"/>
    </xf>
    <xf numFmtId="164" fontId="4" fillId="25" borderId="7" applyAlignment="1" pivotButton="0" quotePrefix="0" xfId="0">
      <alignment horizontal="center"/>
    </xf>
    <xf numFmtId="0" fontId="4" fillId="25" borderId="8" applyAlignment="1" pivotButton="0" quotePrefix="0" xfId="0">
      <alignment horizontal="center"/>
    </xf>
    <xf numFmtId="0" fontId="4" fillId="26" borderId="1" applyAlignment="1" pivotButton="0" quotePrefix="0" xfId="0">
      <alignment horizontal="center"/>
    </xf>
    <xf numFmtId="0" fontId="0" fillId="26" borderId="1" applyAlignment="1" pivotButton="0" quotePrefix="0" xfId="0">
      <alignment horizontal="center"/>
    </xf>
    <xf numFmtId="0" fontId="4" fillId="26" borderId="8" applyAlignment="1" pivotButton="0" quotePrefix="0" xfId="0">
      <alignment horizontal="center"/>
    </xf>
    <xf numFmtId="0" fontId="0" fillId="26" borderId="8" applyAlignment="1" pivotButton="0" quotePrefix="0" xfId="0">
      <alignment horizontal="center"/>
    </xf>
    <xf numFmtId="164" fontId="6" fillId="24" borderId="5" applyAlignment="1" pivotButton="0" quotePrefix="0" xfId="0">
      <alignment horizontal="center"/>
    </xf>
    <xf numFmtId="0" fontId="6" fillId="24" borderId="1" applyAlignment="1" pivotButton="0" quotePrefix="0" xfId="0">
      <alignment horizontal="center"/>
    </xf>
    <xf numFmtId="164" fontId="4" fillId="2" borderId="5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5" fillId="9" borderId="1" applyAlignment="1" pivotButton="0" quotePrefix="0" xfId="0">
      <alignment horizontal="center"/>
    </xf>
    <xf numFmtId="164" fontId="0" fillId="23" borderId="5" applyAlignment="1" pivotButton="0" quotePrefix="0" xfId="0">
      <alignment horizontal="center" vertical="center"/>
    </xf>
    <xf numFmtId="0" fontId="0" fillId="23" borderId="1" applyAlignment="1" pivotButton="0" quotePrefix="0" xfId="0">
      <alignment horizontal="center"/>
    </xf>
    <xf numFmtId="164" fontId="0" fillId="23" borderId="7" applyAlignment="1" pivotButton="0" quotePrefix="0" xfId="0">
      <alignment horizontal="center" vertical="center"/>
    </xf>
    <xf numFmtId="0" fontId="0" fillId="23" borderId="8" applyAlignment="1" pivotButton="0" quotePrefix="0" xfId="0">
      <alignment horizontal="center"/>
    </xf>
    <xf numFmtId="164" fontId="8" fillId="24" borderId="5" applyAlignment="1" pivotButton="0" quotePrefix="0" xfId="0">
      <alignment horizontal="center" vertical="center"/>
    </xf>
    <xf numFmtId="0" fontId="8" fillId="24" borderId="1" applyAlignment="1" pivotButton="0" quotePrefix="0" xfId="0">
      <alignment horizontal="center"/>
    </xf>
    <xf numFmtId="0" fontId="0" fillId="2" borderId="8" applyAlignment="1" pivotButton="0" quotePrefix="0" xfId="0">
      <alignment horizontal="center"/>
    </xf>
    <xf numFmtId="164" fontId="0" fillId="2" borderId="7" applyAlignment="1" pivotButton="0" quotePrefix="0" xfId="0">
      <alignment horizontal="center" vertical="center"/>
    </xf>
    <xf numFmtId="164" fontId="5" fillId="9" borderId="5" applyAlignment="1" pivotButton="0" quotePrefix="0" xfId="0">
      <alignment horizontal="center" vertical="center"/>
    </xf>
    <xf numFmtId="0" fontId="6" fillId="22" borderId="1" applyAlignment="1" pivotButton="0" quotePrefix="0" xfId="0">
      <alignment horizontal="center"/>
    </xf>
    <xf numFmtId="164" fontId="4" fillId="28" borderId="5" applyAlignment="1" pivotButton="0" quotePrefix="0" xfId="0">
      <alignment horizontal="center"/>
    </xf>
    <xf numFmtId="0" fontId="4" fillId="28" borderId="1" applyAlignment="1" pivotButton="0" quotePrefix="0" xfId="0">
      <alignment horizontal="center"/>
    </xf>
    <xf numFmtId="0" fontId="6" fillId="28" borderId="1" applyAlignment="1" pivotButton="0" quotePrefix="0" xfId="0">
      <alignment horizontal="center"/>
    </xf>
    <xf numFmtId="164" fontId="6" fillId="27" borderId="5" applyAlignment="1" pivotButton="0" quotePrefix="0" xfId="0">
      <alignment horizontal="center"/>
    </xf>
    <xf numFmtId="0" fontId="6" fillId="27" borderId="1" applyAlignment="1" pivotButton="0" quotePrefix="0" xfId="0">
      <alignment horizontal="center"/>
    </xf>
    <xf numFmtId="164" fontId="4" fillId="27" borderId="5" applyAlignment="1" pivotButton="0" quotePrefix="0" xfId="0">
      <alignment horizontal="center"/>
    </xf>
    <xf numFmtId="0" fontId="4" fillId="27" borderId="1" applyAlignment="1" pivotButton="0" quotePrefix="0" xfId="0">
      <alignment horizontal="center"/>
    </xf>
    <xf numFmtId="164" fontId="6" fillId="29" borderId="5" applyAlignment="1" pivotButton="0" quotePrefix="0" xfId="0">
      <alignment horizontal="center"/>
    </xf>
    <xf numFmtId="0" fontId="6" fillId="29" borderId="1" applyAlignment="1" pivotButton="0" quotePrefix="0" xfId="0">
      <alignment horizontal="center"/>
    </xf>
    <xf numFmtId="0" fontId="2" fillId="2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164" fontId="4" fillId="29" borderId="5" applyAlignment="1" pivotButton="0" quotePrefix="0" xfId="0">
      <alignment horizontal="center"/>
    </xf>
    <xf numFmtId="0" fontId="4" fillId="29" borderId="1" applyAlignment="1" pivotButton="0" quotePrefix="0" xfId="0">
      <alignment horizontal="center"/>
    </xf>
    <xf numFmtId="0" fontId="0" fillId="24" borderId="1" applyAlignment="1" pivotButton="0" quotePrefix="1" xfId="0">
      <alignment horizontal="center"/>
    </xf>
    <xf numFmtId="164" fontId="4" fillId="30" borderId="5" applyAlignment="1" pivotButton="0" quotePrefix="0" xfId="0">
      <alignment horizontal="center"/>
    </xf>
    <xf numFmtId="0" fontId="4" fillId="30" borderId="1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2" borderId="1" applyAlignment="1" pivotButton="0" quotePrefix="0" xfId="0">
      <alignment horizontal="center"/>
    </xf>
    <xf numFmtId="164" fontId="0" fillId="2" borderId="5" applyAlignment="1" pivotButton="0" quotePrefix="0" xfId="0">
      <alignment horizontal="center" vertical="center"/>
    </xf>
    <xf numFmtId="164" fontId="0" fillId="31" borderId="5" applyAlignment="1" pivotButton="0" quotePrefix="0" xfId="0">
      <alignment horizontal="center" vertical="center"/>
    </xf>
    <xf numFmtId="0" fontId="0" fillId="31" borderId="1" applyAlignment="1" pivotButton="0" quotePrefix="0" xfId="0">
      <alignment horizontal="center"/>
    </xf>
    <xf numFmtId="164" fontId="4" fillId="31" borderId="5" applyAlignment="1" pivotButton="0" quotePrefix="0" xfId="0">
      <alignment horizontal="center"/>
    </xf>
    <xf numFmtId="0" fontId="4" fillId="31" borderId="1" applyAlignment="1" pivotButton="0" quotePrefix="0" xfId="0">
      <alignment horizontal="center"/>
    </xf>
    <xf numFmtId="0" fontId="2" fillId="31" borderId="1" applyAlignment="1" pivotButton="0" quotePrefix="0" xfId="0">
      <alignment horizontal="center"/>
    </xf>
    <xf numFmtId="164" fontId="2" fillId="31" borderId="5" applyAlignment="1" pivotButton="0" quotePrefix="0" xfId="0">
      <alignment horizontal="center"/>
    </xf>
    <xf numFmtId="164" fontId="2" fillId="2" borderId="5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2" fillId="24" borderId="1" applyAlignment="1" pivotButton="0" quotePrefix="0" xfId="0">
      <alignment horizontal="center"/>
    </xf>
    <xf numFmtId="164" fontId="2" fillId="24" borderId="5" applyAlignment="1" pivotButton="0" quotePrefix="0" xfId="0">
      <alignment horizontal="center"/>
    </xf>
    <xf numFmtId="0" fontId="2" fillId="22" borderId="1" applyAlignment="1" pivotButton="0" quotePrefix="0" xfId="0">
      <alignment horizontal="center"/>
    </xf>
    <xf numFmtId="164" fontId="9" fillId="2" borderId="5" applyAlignment="1" pivotButton="0" quotePrefix="0" xfId="0">
      <alignment horizontal="center"/>
    </xf>
    <xf numFmtId="0" fontId="9" fillId="2" borderId="1" applyAlignment="1" pivotButton="0" quotePrefix="0" xfId="0">
      <alignment horizontal="center"/>
    </xf>
    <xf numFmtId="0" fontId="9" fillId="24" borderId="1" applyAlignment="1" pivotButton="0" quotePrefix="0" xfId="0">
      <alignment horizontal="center"/>
    </xf>
    <xf numFmtId="164" fontId="9" fillId="24" borderId="5" applyAlignment="1" pivotButton="0" quotePrefix="0" xfId="0">
      <alignment horizontal="center"/>
    </xf>
    <xf numFmtId="164" fontId="9" fillId="31" borderId="5" applyAlignment="1" pivotButton="0" quotePrefix="0" xfId="0">
      <alignment horizontal="center"/>
    </xf>
    <xf numFmtId="0" fontId="9" fillId="31" borderId="1" applyAlignment="1" pivotButton="0" quotePrefix="0" xfId="0">
      <alignment horizontal="center"/>
    </xf>
    <xf numFmtId="0" fontId="9" fillId="22" borderId="1" applyAlignment="1" pivotButton="0" quotePrefix="0" xfId="0">
      <alignment horizontal="center"/>
    </xf>
    <xf numFmtId="164" fontId="9" fillId="32" borderId="5" applyAlignment="1" pivotButton="0" quotePrefix="0" xfId="0">
      <alignment horizontal="center"/>
    </xf>
    <xf numFmtId="0" fontId="9" fillId="32" borderId="1" applyAlignment="1" pivotButton="0" quotePrefix="0" xfId="0">
      <alignment horizontal="center"/>
    </xf>
    <xf numFmtId="164" fontId="4" fillId="32" borderId="5" applyAlignment="1" pivotButton="0" quotePrefix="0" xfId="0">
      <alignment horizontal="center"/>
    </xf>
    <xf numFmtId="0" fontId="4" fillId="32" borderId="1" applyAlignment="1" pivotButton="0" quotePrefix="0" xfId="0">
      <alignment horizontal="center"/>
    </xf>
    <xf numFmtId="0" fontId="10" fillId="31" borderId="1" applyAlignment="1" pivotButton="0" quotePrefix="0" xfId="0">
      <alignment horizontal="center"/>
    </xf>
    <xf numFmtId="0" fontId="0" fillId="31" borderId="0" applyAlignment="1" pivotButton="0" quotePrefix="0" xfId="0">
      <alignment horizontal="center"/>
    </xf>
    <xf numFmtId="0" fontId="0" fillId="31" borderId="0" pivotButton="0" quotePrefix="0" xfId="0"/>
    <xf numFmtId="0" fontId="5" fillId="2" borderId="1" applyAlignment="1" pivotButton="0" quotePrefix="0" xfId="0">
      <alignment horizontal="center"/>
    </xf>
    <xf numFmtId="164" fontId="0" fillId="8" borderId="5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/>
    </xf>
    <xf numFmtId="0" fontId="5" fillId="8" borderId="1" applyAlignment="1" pivotButton="0" quotePrefix="0" xfId="0">
      <alignment horizontal="center"/>
    </xf>
    <xf numFmtId="0" fontId="10" fillId="8" borderId="1" applyAlignment="1" pivotButton="0" quotePrefix="0" xfId="0">
      <alignment horizontal="center"/>
    </xf>
    <xf numFmtId="164" fontId="10" fillId="8" borderId="5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164" fontId="6" fillId="8" borderId="5" applyAlignment="1" pivotButton="0" quotePrefix="0" xfId="0">
      <alignment horizontal="center"/>
    </xf>
    <xf numFmtId="0" fontId="6" fillId="8" borderId="1" applyAlignment="1" pivotButton="0" quotePrefix="0" xfId="0">
      <alignment horizontal="center"/>
    </xf>
    <xf numFmtId="165" fontId="0" fillId="0" borderId="0" pivotButton="0" quotePrefix="0" xfId="0"/>
    <xf numFmtId="166" fontId="0" fillId="0" borderId="0" pivotButton="0" quotePrefix="0" xfId="0"/>
    <xf numFmtId="0" fontId="11" fillId="0" borderId="10" applyAlignment="1" pivotButton="0" quotePrefix="0" xfId="0">
      <alignment horizontal="center" vertical="center" wrapText="1"/>
    </xf>
    <xf numFmtId="164" fontId="2" fillId="0" borderId="5" applyAlignment="1" pivotButton="0" quotePrefix="0" xfId="0">
      <alignment horizontal="center"/>
    </xf>
  </cellXfs>
  <cellStyles count="1">
    <cellStyle name="Звичайний" xfId="0" builtinId="0"/>
  </cellStyles>
  <dxfs count="136">
    <dxf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charset val="204"/>
        <family val="1"/>
        <strike val="0"/>
        <outline val="0"/>
        <shadow val="0"/>
        <condense val="0"/>
        <color theme="1"/>
        <extend val="0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charset val="204"/>
        <family val="1"/>
        <strike val="0"/>
        <outline val="0"/>
        <shadow val="0"/>
        <condense val="0"/>
        <color theme="1"/>
        <extend val="0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charset val="204"/>
        <family val="1"/>
        <strike val="0"/>
        <outline val="0"/>
        <shadow val="0"/>
        <condense val="0"/>
        <color theme="1"/>
        <extend val="0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charset val="204"/>
        <family val="1"/>
        <strike val="0"/>
        <outline val="0"/>
        <shadow val="0"/>
        <condense val="0"/>
        <color theme="1"/>
        <extend val="0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charset val="204"/>
        <family val="1"/>
        <strike val="0"/>
        <outline val="0"/>
        <shadow val="0"/>
        <condense val="0"/>
        <color theme="1"/>
        <extend val="0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charset val="204"/>
        <family val="1"/>
        <strike val="0"/>
        <outline val="0"/>
        <shadow val="0"/>
        <condense val="0"/>
        <color theme="1"/>
        <extend val="0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charset val="204"/>
        <family val="1"/>
        <strike val="0"/>
        <outline val="0"/>
        <shadow val="0"/>
        <condense val="0"/>
        <color theme="1"/>
        <extend val="0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charset val="204"/>
        <family val="1"/>
        <strike val="0"/>
        <outline val="0"/>
        <shadow val="0"/>
        <condense val="0"/>
        <color theme="1"/>
        <extend val="0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charset val="204"/>
        <family val="1"/>
        <strike val="0"/>
        <outline val="0"/>
        <shadow val="0"/>
        <condense val="0"/>
        <color theme="1"/>
        <extend val="0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charset val="204"/>
        <family val="1"/>
        <strike val="0"/>
        <outline val="0"/>
        <shadow val="0"/>
        <condense val="0"/>
        <color theme="1"/>
        <extend val="0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charset val="204"/>
        <family val="1"/>
        <strike val="0"/>
        <outline val="0"/>
        <shadow val="0"/>
        <condense val="0"/>
        <color theme="1"/>
        <extend val="0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charset val="204"/>
        <family val="1"/>
        <strike val="0"/>
        <outline val="0"/>
        <shadow val="0"/>
        <condense val="0"/>
        <color theme="1"/>
        <extend val="0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charset val="204"/>
        <family val="1"/>
        <strike val="0"/>
        <outline val="0"/>
        <shadow val="0"/>
        <condense val="0"/>
        <color theme="1"/>
        <extend val="0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charset val="204"/>
        <family val="1"/>
        <strike val="0"/>
        <outline val="0"/>
        <shadow val="0"/>
        <condense val="0"/>
        <color theme="1"/>
        <extend val="0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charset val="204"/>
        <family val="1"/>
        <strike val="0"/>
        <outline val="0"/>
        <shadow val="0"/>
        <condense val="0"/>
        <color theme="1"/>
        <extend val="0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charset val="204"/>
        <family val="1"/>
        <strike val="0"/>
        <outline val="0"/>
        <shadow val="0"/>
        <condense val="0"/>
        <color theme="1"/>
        <extend val="0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charset val="204"/>
        <family val="1"/>
        <strike val="0"/>
        <outline val="0"/>
        <shadow val="0"/>
        <condense val="0"/>
        <color theme="1"/>
        <extend val="0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charset val="204"/>
        <family val="1"/>
        <strike val="0"/>
        <outline val="0"/>
        <shadow val="0"/>
        <condense val="0"/>
        <color theme="1"/>
        <extend val="0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charset val="204"/>
        <family val="1"/>
        <strike val="0"/>
        <outline val="0"/>
        <shadow val="0"/>
        <condense val="0"/>
        <color theme="1"/>
        <extend val="0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charset val="204"/>
        <family val="1"/>
        <strike val="0"/>
        <outline val="0"/>
        <shadow val="0"/>
        <condense val="0"/>
        <color theme="1"/>
        <extend val="0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charset val="204"/>
        <family val="1"/>
        <strike val="0"/>
        <outline val="0"/>
        <shadow val="0"/>
        <condense val="0"/>
        <color theme="1"/>
        <extend val="0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charset val="204"/>
        <family val="1"/>
        <strike val="0"/>
        <outline val="0"/>
        <shadow val="0"/>
        <condense val="0"/>
        <color theme="1"/>
        <extend val="0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charset val="204"/>
        <family val="1"/>
        <strike val="0"/>
        <outline val="0"/>
        <shadow val="0"/>
        <condense val="0"/>
        <color theme="1"/>
        <extend val="0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charset val="204"/>
        <family val="1"/>
        <strike val="0"/>
        <outline val="0"/>
        <shadow val="0"/>
        <condense val="0"/>
        <color theme="1"/>
        <extend val="0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charset val="204"/>
        <family val="1"/>
        <strike val="0"/>
        <outline val="0"/>
        <shadow val="0"/>
        <condense val="0"/>
        <color theme="1"/>
        <extend val="0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charset val="204"/>
        <family val="1"/>
        <strike val="0"/>
        <outline val="0"/>
        <shadow val="0"/>
        <condense val="0"/>
        <color theme="1"/>
        <extend val="0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charset val="204"/>
        <family val="1"/>
        <strike val="0"/>
        <outline val="0"/>
        <shadow val="0"/>
        <condense val="0"/>
        <color theme="1"/>
        <extend val="0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charset val="204"/>
        <family val="1"/>
        <strike val="0"/>
        <outline val="0"/>
        <shadow val="0"/>
        <condense val="0"/>
        <color theme="1"/>
        <extend val="0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charset val="204"/>
        <family val="1"/>
        <strike val="0"/>
        <outline val="0"/>
        <shadow val="0"/>
        <condense val="0"/>
        <color theme="1"/>
        <extend val="0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charset val="204"/>
        <family val="1"/>
        <strike val="0"/>
        <outline val="0"/>
        <shadow val="0"/>
        <condense val="0"/>
        <color theme="1"/>
        <extend val="0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charset val="204"/>
        <family val="1"/>
        <strike val="0"/>
        <outline val="0"/>
        <shadow val="0"/>
        <condense val="0"/>
        <color theme="1"/>
        <extend val="0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charset val="204"/>
        <family val="1"/>
        <strike val="0"/>
        <outline val="0"/>
        <shadow val="0"/>
        <condense val="0"/>
        <color theme="1"/>
        <extend val="0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charset val="204"/>
        <family val="1"/>
        <strike val="0"/>
        <outline val="0"/>
        <shadow val="0"/>
        <condense val="0"/>
        <color theme="1"/>
        <extend val="0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charset val="204"/>
        <family val="1"/>
        <strike val="0"/>
        <outline val="0"/>
        <shadow val="0"/>
        <condense val="0"/>
        <color theme="1"/>
        <extend val="0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charset val="204"/>
        <family val="1"/>
        <strike val="0"/>
        <outline val="0"/>
        <shadow val="0"/>
        <condense val="0"/>
        <color theme="1"/>
        <extend val="0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charset val="204"/>
        <family val="1"/>
        <strike val="0"/>
        <outline val="0"/>
        <shadow val="0"/>
        <condense val="0"/>
        <color theme="1"/>
        <extend val="0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numFmt numFmtId="0" formatCode="General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dd\.mm\.yyyy;@"/>
      <alignment horizontal="center" vertical="center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strike val="0"/>
        <outline val="0"/>
        <shadow val="0"/>
        <color theme="1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strike val="0"/>
        <outline val="0"/>
        <shadow val="0"/>
        <color theme="1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strike val="0"/>
        <outline val="0"/>
        <shadow val="0"/>
        <condense val="0"/>
        <color theme="1"/>
        <extend val="0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strike val="0"/>
        <outline val="0"/>
        <shadow val="0"/>
        <condense val="0"/>
        <color theme="1"/>
        <extend val="0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strike val="0"/>
        <outline val="0"/>
        <shadow val="0"/>
        <condense val="0"/>
        <color theme="1"/>
        <extend val="0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strike val="0"/>
        <outline val="0"/>
        <shadow val="0"/>
        <color theme="1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strike val="0"/>
        <outline val="0"/>
        <shadow val="0"/>
        <color theme="1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strike val="0"/>
        <outline val="0"/>
        <shadow val="0"/>
        <color theme="1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strike val="0"/>
        <outline val="0"/>
        <shadow val="0"/>
        <color theme="1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strike val="0"/>
        <outline val="0"/>
        <shadow val="0"/>
        <color theme="1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strike val="0"/>
        <outline val="0"/>
        <shadow val="0"/>
        <condense val="0"/>
        <color theme="1"/>
        <extend val="0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strike val="0"/>
        <outline val="0"/>
        <shadow val="0"/>
        <color theme="1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strike val="0"/>
        <outline val="0"/>
        <shadow val="0"/>
        <color theme="1"/>
        <sz val="12"/>
        <vertAlign val="baseline"/>
      </font>
      <numFmt numFmtId="0" formatCode="General"/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strike val="0"/>
        <outline val="0"/>
        <shadow val="0"/>
        <color theme="1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strike val="0"/>
        <outline val="0"/>
        <shadow val="0"/>
        <color theme="1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strike val="0"/>
        <outline val="0"/>
        <shadow val="0"/>
        <color theme="1"/>
        <sz val="12"/>
        <vertAlign val="baseline"/>
      </font>
      <numFmt numFmtId="164" formatCode="dd\.mm\.yyyy;@"/>
      <fill>
        <patternFill patternType="solid">
          <fgColor indexed="64"/>
          <bgColor theme="0"/>
        </patternFill>
      </fill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strike val="0"/>
        <outline val="0"/>
        <shadow val="0"/>
        <color theme="1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bottom"/>
    </dxf>
    <dxf>
      <border>
        <bottom style="thin">
          <color indexed="64"/>
        </bottom>
      </border>
    </dxf>
    <dxf>
      <alignment horizontal="center" vertical="bottom"/>
      <border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strike val="0"/>
        <outline val="0"/>
        <shadow val="0"/>
        <condense val="0"/>
        <color theme="1"/>
        <extend val="0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strike val="0"/>
        <outline val="0"/>
        <shadow val="0"/>
        <condense val="0"/>
        <color theme="1"/>
        <extend val="0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strike val="0"/>
        <outline val="0"/>
        <shadow val="0"/>
        <condense val="0"/>
        <color theme="1"/>
        <extend val="0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strike val="0"/>
        <outline val="0"/>
        <shadow val="0"/>
        <color theme="1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strike val="0"/>
        <outline val="0"/>
        <shadow val="0"/>
        <condense val="0"/>
        <color theme="1"/>
        <extend val="0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strike val="0"/>
        <outline val="0"/>
        <shadow val="0"/>
        <condense val="0"/>
        <color theme="1"/>
        <extend val="0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strike val="0"/>
        <outline val="0"/>
        <shadow val="0"/>
        <condense val="0"/>
        <color theme="1"/>
        <extend val="0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strike val="0"/>
        <outline val="0"/>
        <shadow val="0"/>
        <condense val="0"/>
        <color theme="1"/>
        <extend val="0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strike val="0"/>
        <outline val="0"/>
        <shadow val="0"/>
        <condense val="0"/>
        <color theme="1"/>
        <extend val="0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strike val="0"/>
        <outline val="0"/>
        <shadow val="0"/>
        <condense val="0"/>
        <color theme="1"/>
        <extend val="0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strike val="0"/>
        <outline val="0"/>
        <shadow val="0"/>
        <color theme="1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strike val="0"/>
        <outline val="0"/>
        <shadow val="0"/>
        <color theme="1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strike val="0"/>
        <outline val="0"/>
        <shadow val="0"/>
        <color theme="1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strike val="0"/>
        <outline val="0"/>
        <shadow val="0"/>
        <color theme="1"/>
        <sz val="12"/>
        <vertAlign val="baseline"/>
      </font>
      <numFmt numFmtId="0" formatCode="General"/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strike val="0"/>
        <outline val="0"/>
        <shadow val="0"/>
        <condense val="0"/>
        <color theme="1"/>
        <extend val="0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strike val="0"/>
        <outline val="0"/>
        <shadow val="0"/>
        <color theme="1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strike val="0"/>
        <outline val="0"/>
        <shadow val="0"/>
        <condense val="0"/>
        <color theme="1"/>
        <extend val="0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strike val="0"/>
        <outline val="0"/>
        <shadow val="0"/>
        <condense val="0"/>
        <color theme="1"/>
        <extend val="0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strike val="0"/>
        <outline val="0"/>
        <shadow val="0"/>
        <color theme="1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strike val="0"/>
        <outline val="0"/>
        <shadow val="0"/>
        <color theme="1"/>
        <sz val="12"/>
        <vertAlign val="baseline"/>
      </font>
      <numFmt numFmtId="164" formatCode="dd\.mm\.yyyy;@"/>
      <fill>
        <patternFill patternType="solid">
          <fgColor indexed="64"/>
          <bgColor theme="0"/>
        </patternFill>
      </fill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strike val="0"/>
        <outline val="0"/>
        <shadow val="0"/>
        <color theme="1"/>
        <sz val="12"/>
        <vertAlign val="baseline"/>
      </font>
      <fill>
        <patternFill patternType="solid">
          <fgColor indexed="64"/>
          <bgColor theme="0"/>
        </patternFill>
      </fill>
      <alignment horizontal="center" vertical="bottom"/>
    </dxf>
    <dxf>
      <border>
        <bottom style="thin">
          <color indexed="64"/>
        </bottom>
      </border>
    </dxf>
    <dxf>
      <fill>
        <patternFill patternType="solid">
          <fgColor indexed="64"/>
          <bgColor rgb="FFFFFF00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/>
        <bottom/>
      </border>
    </dxf>
    <dxf>
      <font>
        <b val="1"/>
        <color rgb="0000B050"/>
      </font>
      <fill>
        <patternFill>
          <bgColor rgb="00FFFFFF"/>
        </patternFill>
      </fill>
      <border>
        <left style="thin"/>
        <right style="thin"/>
        <top style="thin"/>
        <bottom style="thin"/>
      </border>
    </dxf>
    <dxf>
      <fill>
        <patternFill>
          <bgColor rgb="00FFF2CC"/>
        </patternFill>
      </fill>
      <border>
        <left style="thin"/>
        <right style="thin"/>
        <top style="thin"/>
        <bottom style="thin"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Таблиця1" displayName="Таблиця1" ref="A1:P733" headerRowCount="1" totalsRowCount="1" headerRowDxfId="108" dataDxfId="106" headerRowBorderDxfId="107" tableBorderDxfId="105" totalsRowBorderDxfId="104">
  <autoFilter ref="A1:P732"/>
  <tableColumns count="16">
    <tableColumn id="1" name="Дата" totalsRowLabel="Підсумок" dataDxfId="103" totalsRowDxfId="39"/>
    <tableColumn id="2" name="АУ " totalsRowFunction="sum" dataDxfId="102" totalsRowDxfId="38"/>
    <tableColumn id="3" name="Mi-8" totalsRowFunction="sum" dataDxfId="101" totalsRowDxfId="37"/>
    <tableColumn id="4" name="Mi-24" totalsRowFunction="sum" dataDxfId="100" totalsRowDxfId="36"/>
    <tableColumn id="5" name="ARS-8" totalsRowFunction="sum" dataDxfId="99" totalsRowDxfId="35"/>
    <tableColumn id="11" name="С-8 ком" totalsRowFunction="sum" dataDxfId="98" totalsRowDxfId="34"/>
    <tableColumn id="6" name="PC-80" totalsRowFunction="sum" dataDxfId="97" totalsRowDxfId="33"/>
    <tableColumn id="7" name="UAR-80" totalsRowFunction="sum" dataDxfId="96" totalsRowDxfId="32"/>
    <tableColumn id="8" name="C-13" totalsRowFunction="sum" dataDxfId="95" totalsRowDxfId="31"/>
    <tableColumn id="9" name="Hydra-70" totalsRowFunction="sum" dataDxfId="94" totalsRowDxfId="30"/>
    <tableColumn id="10" name="Thales-70" totalsRowFunction="sum" dataDxfId="93" totalsRowDxfId="29"/>
    <tableColumn id="16" name="Thales-FZ" totalsRowFunction="sum" dataDxfId="92" totalsRowDxfId="28"/>
    <tableColumn id="15" name="МК-40" totalsRowFunction="sum" dataDxfId="91" totalsRowDxfId="27"/>
    <tableColumn id="14" name="Zuni" totalsRowFunction="sum" dataDxfId="90" totalsRowDxfId="26"/>
    <tableColumn id="12" name="Уражено" totalsRowFunction="sum" dataDxfId="89" totalsRowDxfId="25"/>
    <tableColumn id="13" name="НЕ уражено" totalsRowFunction="sum" dataDxfId="88" totalsRowDxfId="2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Таблиця16" displayName="Таблиця16" ref="A1:T733" headerRowCount="1" totalsRowCount="1" headerRowDxfId="133" dataDxfId="131" headerRowBorderDxfId="132" tableBorderDxfId="130" totalsRowBorderDxfId="129">
  <autoFilter ref="A1:T732"/>
  <tableColumns count="20">
    <tableColumn id="1" name="Дата" totalsRowLabel="Підсумок" dataDxfId="128" totalsRowDxfId="59"/>
    <tableColumn id="2" name="АУ " totalsRowFunction="sum" dataDxfId="127" totalsRowDxfId="58"/>
    <tableColumn id="20" name="Mirage" totalsRowFunction="sum" dataDxfId="126" totalsRowDxfId="57"/>
    <tableColumn id="16" name="F-16" totalsRowFunction="sum" dataDxfId="125" totalsRowDxfId="56"/>
    <tableColumn id="3" name="МіГ-29" totalsRowFunction="sum" dataDxfId="124" totalsRowDxfId="55"/>
    <tableColumn id="11" name="Су-25" totalsRowFunction="sum" dataDxfId="123" totalsRowDxfId="54"/>
    <tableColumn id="4" name="Су-27" totalsRowFunction="sum" dataDxfId="122" totalsRowDxfId="53"/>
    <tableColumn id="5" name="AGM-88" totalsRowFunction="sum" dataDxfId="121" totalsRowDxfId="52"/>
    <tableColumn id="6" name="AASM-250" totalsRowFunction="sum" dataDxfId="120" totalsRowDxfId="51"/>
    <tableColumn id="7" name="GBU-39" totalsRowFunction="sum" dataDxfId="119" totalsRowDxfId="50"/>
    <tableColumn id="17" name="BLU-140" totalsRowFunction="sum" dataDxfId="118" totalsRowDxfId="49"/>
    <tableColumn id="19" name="GBU-65" totalsRowFunction="sum" dataDxfId="117" totalsRowDxfId="48"/>
    <tableColumn id="14" name="GBU-62" totalsRowFunction="sum" dataDxfId="116" totalsRowDxfId="47"/>
    <tableColumn id="18" name="GBU-64" totalsRowFunction="sum" dataDxfId="115" totalsRowDxfId="46"/>
    <tableColumn id="13" name="C-13" totalsRowFunction="sum" dataDxfId="114" totalsRowDxfId="45"/>
    <tableColumn id="12" name="MK-32" totalsRowFunction="sum" dataDxfId="113" totalsRowDxfId="44"/>
    <tableColumn id="8" name="MK-24" totalsRowFunction="sum" dataDxfId="112" totalsRowDxfId="43"/>
    <tableColumn id="9" name="Уражено" totalsRowFunction="sum" dataDxfId="111" totalsRowDxfId="42"/>
    <tableColumn id="10" name="НЕ уражено" totalsRowFunction="sum" dataDxfId="110" totalsRowDxfId="41"/>
    <tableColumn id="15" name="Дорозвідується" totalsRowFunction="sum" dataDxfId="109" totalsRowDxfId="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Таблиця2" displayName="Таблиця2" ref="A1:X733" headerRowCount="1" totalsRowCount="1" headerRowDxfId="87" headerRowBorderDxfId="86" tableBorderDxfId="85" totalsRowBorderDxfId="84">
  <autoFilter ref="A1:X732"/>
  <tableColumns count="24">
    <tableColumn id="1" name="Дата" totalsRowLabel="Підсумок" dataDxfId="83" totalsRowDxfId="23"/>
    <tableColumn id="2" name="ЖС ВЗ" totalsRowFunction="sum" dataDxfId="82" totalsRowDxfId="22"/>
    <tableColumn id="22" name="Арт. Системи" totalsRowFunction="sum" dataDxfId="81" totalsRowDxfId="21"/>
    <tableColumn id="3" name="ОВТ" totalsRowFunction="sum" dataDxfId="80" totalsRowDxfId="20"/>
    <tableColumn id="4" name="ППО" totalsRowFunction="sum" dataDxfId="79" totalsRowDxfId="19"/>
    <tableColumn id="5" name="Рембаза" totalsRowFunction="sum" dataDxfId="78" totalsRowDxfId="18"/>
    <tableColumn id="6" name="Склад БК" totalsRowFunction="sum" dataDxfId="77" totalsRowDxfId="17"/>
    <tableColumn id="7" name="Склад ВТМ" totalsRowFunction="sum" dataDxfId="76" totalsRowDxfId="16"/>
    <tableColumn id="8" name="ПУ БпЛА" totalsRowFunction="sum" dataDxfId="75" totalsRowDxfId="15"/>
    <tableColumn id="25" name="СП" totalsRowFunction="sum" dataDxfId="74" totalsRowDxfId="14"/>
    <tableColumn id="20" name="КСП роти" totalsRowFunction="sum" dataDxfId="73" totalsRowDxfId="13"/>
    <tableColumn id="9" name="ПУ бат" totalsRowFunction="sum" dataDxfId="72" totalsRowDxfId="12"/>
    <tableColumn id="10" name="ПУ бриг" totalsRowFunction="sum" dataDxfId="71" totalsRowDxfId="11"/>
    <tableColumn id="11" name="ПУ див" totalsRowFunction="sum" dataDxfId="70" totalsRowDxfId="10"/>
    <tableColumn id="12" name="обл. РЕБ" totalsRowFunction="sum" dataDxfId="69" totalsRowDxfId="9"/>
    <tableColumn id="21" name="пос РЕБ" totalsRowFunction="sum" dataDxfId="68" totalsRowDxfId="8"/>
    <tableColumn id="24" name="група РЕР" totalsRowFunction="sum" dataDxfId="67" totalsRowDxfId="7"/>
    <tableColumn id="13" name="РЛС КББ" totalsRowFunction="sum" dataDxfId="66" totalsRowDxfId="6"/>
    <tableColumn id="14" name="Ретранслятор" totalsRowFunction="sum" dataDxfId="65" totalsRowDxfId="5"/>
    <tableColumn id="23" name="Вз.зв'язку" totalsRowFunction="sum" dataDxfId="64" totalsRowDxfId="4"/>
    <tableColumn id="18" name="ПММ" totalsRowFunction="sum" dataDxfId="63" totalsRowDxfId="3"/>
    <tableColumn id="16" name="ІФС" totalsRowFunction="sum" dataDxfId="62" totalsRowDxfId="2"/>
    <tableColumn id="17" name="Інфраструктура" totalsRowFunction="sum" dataDxfId="61" totalsRowDxfId="1"/>
    <tableColumn id="15" name="Витрата" totalsRowFunction="sum" dataDxfId="60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Офіс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Офіс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Офіс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"/>
  <sheetViews>
    <sheetView tabSelected="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7" customWidth="1" min="1" max="1"/>
    <col width="12" customWidth="1" style="270" min="2" max="2"/>
    <col width="9" customWidth="1" style="271" min="3" max="3"/>
    <col width="13" customWidth="1" min="4" max="4"/>
    <col width="22" customWidth="1" min="5" max="5"/>
    <col width="26" customWidth="1" min="6" max="6"/>
    <col width="20" customWidth="1" min="7" max="7"/>
    <col width="11" customWidth="1" min="8" max="8"/>
    <col width="14" customWidth="1" min="9" max="9"/>
    <col width="14" customWidth="1" min="10" max="10"/>
    <col width="11" customWidth="1" min="11" max="11"/>
    <col width="18" customWidth="1" min="12" max="12"/>
  </cols>
  <sheetData>
    <row r="1" ht="42" customHeight="1">
      <c r="A1" s="272" t="inlineStr">
        <is>
          <t>№ з/п</t>
        </is>
      </c>
      <c r="B1" s="272" t="inlineStr">
        <is>
          <t>Дата</t>
        </is>
      </c>
      <c r="C1" s="272" t="inlineStr">
        <is>
          <t>Час удару</t>
        </is>
      </c>
      <c r="D1" s="272" t="inlineStr">
        <is>
          <t>Номер цілі</t>
        </is>
      </c>
      <c r="E1" s="272" t="inlineStr">
        <is>
          <t>Характер цілі</t>
        </is>
      </c>
      <c r="F1" s="272" t="inlineStr">
        <is>
          <t>Координати цілі</t>
        </is>
      </c>
      <c r="G1" s="272" t="inlineStr">
        <is>
          <t>Населений пункт</t>
        </is>
      </c>
      <c r="H1" s="272" t="inlineStr">
        <is>
          <t>Фактичні приходи</t>
        </is>
      </c>
      <c r="I1" s="272" t="inlineStr">
        <is>
          <t>Сили та засоби</t>
        </is>
      </c>
      <c r="J1" s="272" t="inlineStr">
        <is>
          <t>Тип АЗУ</t>
        </is>
      </c>
      <c r="K1" s="272" t="inlineStr">
        <is>
          <t>Витрата АЗУ</t>
        </is>
      </c>
      <c r="L1" s="272" t="inlineStr">
        <is>
          <t>Результат</t>
        </is>
      </c>
    </row>
  </sheetData>
  <conditionalFormatting sqref="A2:L5000">
    <cfRule type="expression" priority="1" dxfId="134" stopIfTrue="1">
      <formula>AND(ISTEXT($A2),$B2="")</formula>
    </cfRule>
    <cfRule type="expression" priority="2" dxfId="135">
      <formula>TRUE</formula>
    </cfRule>
  </conditionalFormatting>
  <dataValidations count="7">
    <dataValidation sqref="I2:I5000" showDropDown="0" showInputMessage="0" showErrorMessage="1" allowBlank="1" errorTitle="Значення не зі списку" error="Такого значення немає у стовпцях ТАБЛ 2-3, тому аркуші «АА» і «ПС» його не врахують." type="list" errorStyle="warning">
      <formula1>"Mi-8,Mi-24,Mirage,F-16,МіГ-29,Су-25,Су-27"</formula1>
    </dataValidation>
    <dataValidation sqref="J2:J5000" showDropDown="0" showInputMessage="0" showErrorMessage="1" allowBlank="1" errorTitle="Значення не зі списку" error="Такого значення немає у стовпцях ТАБЛ 2-3, тому стовпці боєприпасів його не врахують." type="list" errorStyle="warning">
      <formula1>"ARS-8,С-8 ком,PC-80,UAR-80,C-13,Hydra-70,Thales-70,Thales-FZ,МК-40,Zuni,AGM-88,AASM-250,GBU-39,BLU-140,GBU-65,GBU-62,GBU-64,MK-32,MK-24"</formula1>
    </dataValidation>
    <dataValidation sqref="E2:E5000" showDropDown="0" showInputMessage="0" showErrorMessage="1" allowBlank="1" errorTitle="Значення не зі списку" error="Такого значення немає у стовпцях ТАБЛ 2-3, тому аркуш «Об'єкти» його не врахують." type="list" errorStyle="warning">
      <formula1>"ЖС ВЗ,Арт. Системи,ОВТ,ППО,Рембаза,Склад БК,Склад ВТМ,ПУ БпЛА,СП,КСП роти,ПУ бат,ПУ бриг,ПУ див,обл. РЕБ,пос РЕБ,група РЕР,РЛС КББ,Ретранслятор,Вз.зв'язку,ПММ,ІФС,Інфраструктура"</formula1>
    </dataValidation>
    <dataValidation sqref="L2:L5000" showDropDown="0" showInputMessage="0" showErrorMessage="1" allowBlank="1" errorTitle="Значення не зі списку" error="Такого значення немає у стовпцях ТАБЛ 2-3, тому стовпці результатів його не врахують." type="list" errorStyle="warning">
      <formula1>"Уражено,НЕ уражено,Дорозвідується"</formula1>
    </dataValidation>
    <dataValidation sqref="B2:B5000" showDropDown="0" showInputMessage="0" showErrorMessage="1" allowBlank="1" error="Дата має бути датою Excel (дд.мм.рррр), інакше аркуші ТАБЛ 2-3 її не врахують." type="date" errorStyle="warning" operator="greaterThan">
      <formula1>36526</formula1>
    </dataValidation>
    <dataValidation sqref="H2:H5000" showDropDown="0" showInputMessage="0" showErrorMessage="1" allowBlank="1" error="Тут має бути кількість (ціле число)." type="whole" errorStyle="warning" operator="greaterThanOrEqual">
      <formula1>0</formula1>
    </dataValidation>
    <dataValidation sqref="K2:K5000" showDropDown="0" showInputMessage="0" showErrorMessage="1" allowBlank="1" error="Тут має бути кількість (ціле число)." type="whole" errorStyle="warning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33"/>
  <sheetViews>
    <sheetView tabSelected="0" topLeftCell="A690" zoomScale="115" zoomScaleNormal="115" workbookViewId="0">
      <selection activeCell="A2" sqref="A2"/>
    </sheetView>
  </sheetViews>
  <sheetFormatPr baseColWidth="8" defaultRowHeight="14.4"/>
  <cols>
    <col width="12.1015625" customWidth="1" style="1" min="1" max="1"/>
    <col width="7.3125" customWidth="1" min="2" max="2"/>
    <col width="9.5234375" customWidth="1" min="3" max="3"/>
    <col width="10.3125" customWidth="1" style="2" min="4" max="4"/>
    <col width="8.20703125" customWidth="1" min="5" max="5"/>
    <col width="10.3671875" customWidth="1" min="6" max="6"/>
    <col width="9.41796875" customWidth="1" min="7" max="7"/>
    <col width="9.1015625" customWidth="1" min="8" max="8"/>
    <col width="6.9453125" customWidth="1" style="2" min="9" max="9"/>
    <col width="10.68359375" customWidth="1" min="10" max="10"/>
    <col width="10.7890625" customWidth="1" min="11" max="11"/>
    <col width="10.20703125" customWidth="1" min="12" max="12"/>
    <col width="8.578125" customWidth="1" min="13" max="13"/>
  </cols>
  <sheetData>
    <row r="1" ht="14.1" customFormat="1" customHeight="1" s="3">
      <c r="A1" s="4" t="inlineStr">
        <is>
          <t>Дата</t>
        </is>
      </c>
      <c r="B1" s="5" t="inlineStr">
        <is>
          <t xml:space="preserve">АУ </t>
        </is>
      </c>
      <c r="C1" s="5" t="inlineStr">
        <is>
          <t>Mi-8</t>
        </is>
      </c>
      <c r="D1" s="5" t="inlineStr">
        <is>
          <t>Mi-24</t>
        </is>
      </c>
      <c r="E1" s="5" t="inlineStr">
        <is>
          <t>ARS-8</t>
        </is>
      </c>
      <c r="F1" s="5" t="inlineStr">
        <is>
          <t>С-8 ком</t>
        </is>
      </c>
      <c r="G1" s="5" t="inlineStr">
        <is>
          <t>PC-80</t>
        </is>
      </c>
      <c r="H1" s="5" t="inlineStr">
        <is>
          <t>UAR-80</t>
        </is>
      </c>
      <c r="I1" s="5" t="inlineStr">
        <is>
          <t>C-13</t>
        </is>
      </c>
      <c r="J1" s="5" t="inlineStr">
        <is>
          <t>Hydra-70</t>
        </is>
      </c>
      <c r="K1" s="6" t="inlineStr">
        <is>
          <t>Thales-70</t>
        </is>
      </c>
      <c r="L1" s="6" t="inlineStr">
        <is>
          <t>Thales-FZ</t>
        </is>
      </c>
      <c r="M1" s="6" t="inlineStr">
        <is>
          <t>МК-40</t>
        </is>
      </c>
      <c r="N1" s="6" t="inlineStr">
        <is>
          <t>Zuni</t>
        </is>
      </c>
      <c r="O1" s="39" t="inlineStr">
        <is>
          <t>Уражено</t>
        </is>
      </c>
      <c r="P1" s="39" t="inlineStr">
        <is>
          <t>НЕ уражено</t>
        </is>
      </c>
    </row>
    <row r="2">
      <c r="A2" s="273">
        <f>IF(COUNT('Таблиця 1'!$B:$B)=0,"",MIN('Таблиця 1'!$B:$B))</f>
        <v/>
      </c>
      <c r="B2">
        <f>IF($A2="","",COUNTIFS('Таблиця 1'!$B:$B,$A2,'Таблиця 1'!$I:$I,"Mi-8")+COUNTIFS('Таблиця 1'!$B:$B,$A2,'Таблиця 1'!$I:$I,"Mi-24"))</f>
        <v/>
      </c>
      <c r="C2">
        <f>IF($A2="","",COUNTIFS('Таблиця 1'!$B:$B,$A2,'Таблиця 1'!$I:$I,"Mi-8"))</f>
        <v/>
      </c>
      <c r="D2">
        <f>IF($A2="","",COUNTIFS('Таблиця 1'!$B:$B,$A2,'Таблиця 1'!$I:$I,"Mi-24"))</f>
        <v/>
      </c>
      <c r="E2">
        <f>IF($A2="","",SUMIFS('Таблиця 1'!$K:$K,'Таблиця 1'!$B:$B,$A2,'Таблиця 1'!$I:$I,"Mi-8",'Таблиця 1'!$J:$J,"ARS-8")+SUMIFS('Таблиця 1'!$K:$K,'Таблиця 1'!$B:$B,$A2,'Таблиця 1'!$I:$I,"Mi-24",'Таблиця 1'!$J:$J,"ARS-8"))</f>
        <v/>
      </c>
      <c r="F2">
        <f>IF($A2="","",SUMIFS('Таблиця 1'!$K:$K,'Таблиця 1'!$B:$B,$A2,'Таблиця 1'!$I:$I,"Mi-8",'Таблиця 1'!$J:$J,"С-8 ком")+SUMIFS('Таблиця 1'!$K:$K,'Таблиця 1'!$B:$B,$A2,'Таблиця 1'!$I:$I,"Mi-24",'Таблиця 1'!$J:$J,"С-8 ком"))</f>
        <v/>
      </c>
      <c r="G2">
        <f>IF($A2="","",SUMIFS('Таблиця 1'!$K:$K,'Таблиця 1'!$B:$B,$A2,'Таблиця 1'!$I:$I,"Mi-8",'Таблиця 1'!$J:$J,"PC-80")+SUMIFS('Таблиця 1'!$K:$K,'Таблиця 1'!$B:$B,$A2,'Таблиця 1'!$I:$I,"Mi-24",'Таблиця 1'!$J:$J,"PC-80"))</f>
        <v/>
      </c>
      <c r="H2">
        <f>IF($A2="","",SUMIFS('Таблиця 1'!$K:$K,'Таблиця 1'!$B:$B,$A2,'Таблиця 1'!$I:$I,"Mi-8",'Таблиця 1'!$J:$J,"UAR-80")+SUMIFS('Таблиця 1'!$K:$K,'Таблиця 1'!$B:$B,$A2,'Таблиця 1'!$I:$I,"Mi-24",'Таблиця 1'!$J:$J,"UAR-80"))</f>
        <v/>
      </c>
      <c r="I2">
        <f>IF($A2="","",SUMIFS('Таблиця 1'!$K:$K,'Таблиця 1'!$B:$B,$A2,'Таблиця 1'!$I:$I,"Mi-8",'Таблиця 1'!$J:$J,"C-13")+SUMIFS('Таблиця 1'!$K:$K,'Таблиця 1'!$B:$B,$A2,'Таблиця 1'!$I:$I,"Mi-24",'Таблиця 1'!$J:$J,"C-13"))</f>
        <v/>
      </c>
      <c r="J2">
        <f>IF($A2="","",SUMIFS('Таблиця 1'!$K:$K,'Таблиця 1'!$B:$B,$A2,'Таблиця 1'!$I:$I,"Mi-8",'Таблиця 1'!$J:$J,"Hydra-70")+SUMIFS('Таблиця 1'!$K:$K,'Таблиця 1'!$B:$B,$A2,'Таблиця 1'!$I:$I,"Mi-24",'Таблиця 1'!$J:$J,"Hydra-70"))</f>
        <v/>
      </c>
      <c r="K2">
        <f>IF($A2="","",SUMIFS('Таблиця 1'!$K:$K,'Таблиця 1'!$B:$B,$A2,'Таблиця 1'!$I:$I,"Mi-8",'Таблиця 1'!$J:$J,"Thales-70")+SUMIFS('Таблиця 1'!$K:$K,'Таблиця 1'!$B:$B,$A2,'Таблиця 1'!$I:$I,"Mi-24",'Таблиця 1'!$J:$J,"Thales-70"))</f>
        <v/>
      </c>
      <c r="L2">
        <f>IF($A2="","",SUMIFS('Таблиця 1'!$K:$K,'Таблиця 1'!$B:$B,$A2,'Таблиця 1'!$I:$I,"Mi-8",'Таблиця 1'!$J:$J,"Thales-FZ")+SUMIFS('Таблиця 1'!$K:$K,'Таблиця 1'!$B:$B,$A2,'Таблиця 1'!$I:$I,"Mi-24",'Таблиця 1'!$J:$J,"Thales-FZ"))</f>
        <v/>
      </c>
      <c r="M2">
        <f>IF($A2="","",SUMIFS('Таблиця 1'!$K:$K,'Таблиця 1'!$B:$B,$A2,'Таблиця 1'!$I:$I,"Mi-8",'Таблиця 1'!$J:$J,"МК-40")+SUMIFS('Таблиця 1'!$K:$K,'Таблиця 1'!$B:$B,$A2,'Таблиця 1'!$I:$I,"Mi-24",'Таблиця 1'!$J:$J,"МК-40"))</f>
        <v/>
      </c>
      <c r="N2">
        <f>IF($A2="","",SUMIFS('Таблиця 1'!$K:$K,'Таблиця 1'!$B:$B,$A2,'Таблиця 1'!$I:$I,"Mi-8",'Таблиця 1'!$J:$J,"Zuni")+SUMIFS('Таблиця 1'!$K:$K,'Таблиця 1'!$B:$B,$A2,'Таблиця 1'!$I:$I,"Mi-24",'Таблиця 1'!$J:$J,"Zuni"))</f>
        <v/>
      </c>
      <c r="O2">
        <f>IF($A2="","",COUNTIFS('Таблиця 1'!$B:$B,$A2,'Таблиця 1'!$I:$I,"Mi-8",'Таблиця 1'!$L:$L,"Уражено")+COUNTIFS('Таблиця 1'!$B:$B,$A2,'Таблиця 1'!$I:$I,"Mi-24",'Таблиця 1'!$L:$L,"Уражено"))</f>
        <v/>
      </c>
      <c r="P2">
        <f>IF($A2="","",COUNTIFS('Таблиця 1'!$B:$B,$A2,'Таблиця 1'!$I:$I,"Mi-8",'Таблиця 1'!$L:$L,"НЕ уражено")+COUNTIFS('Таблиця 1'!$B:$B,$A2,'Таблиця 1'!$I:$I,"Mi-24",'Таблиця 1'!$L:$L,"НЕ уражено"))</f>
        <v/>
      </c>
    </row>
    <row r="3">
      <c r="A3" s="273">
        <f>IF(A2="","",IF(A2+1&gt;MAX('Таблиця 1'!$B:$B),"",A2+1))</f>
        <v/>
      </c>
      <c r="B3">
        <f>IF($A3="","",COUNTIFS('Таблиця 1'!$B:$B,$A3,'Таблиця 1'!$I:$I,"Mi-8")+COUNTIFS('Таблиця 1'!$B:$B,$A3,'Таблиця 1'!$I:$I,"Mi-24"))</f>
        <v/>
      </c>
      <c r="C3">
        <f>IF($A3="","",COUNTIFS('Таблиця 1'!$B:$B,$A3,'Таблиця 1'!$I:$I,"Mi-8"))</f>
        <v/>
      </c>
      <c r="D3">
        <f>IF($A3="","",COUNTIFS('Таблиця 1'!$B:$B,$A3,'Таблиця 1'!$I:$I,"Mi-24"))</f>
        <v/>
      </c>
      <c r="E3">
        <f>IF($A3="","",SUMIFS('Таблиця 1'!$K:$K,'Таблиця 1'!$B:$B,$A3,'Таблиця 1'!$I:$I,"Mi-8",'Таблиця 1'!$J:$J,"ARS-8")+SUMIFS('Таблиця 1'!$K:$K,'Таблиця 1'!$B:$B,$A3,'Таблиця 1'!$I:$I,"Mi-24",'Таблиця 1'!$J:$J,"ARS-8"))</f>
        <v/>
      </c>
      <c r="F3">
        <f>IF($A3="","",SUMIFS('Таблиця 1'!$K:$K,'Таблиця 1'!$B:$B,$A3,'Таблиця 1'!$I:$I,"Mi-8",'Таблиця 1'!$J:$J,"С-8 ком")+SUMIFS('Таблиця 1'!$K:$K,'Таблиця 1'!$B:$B,$A3,'Таблиця 1'!$I:$I,"Mi-24",'Таблиця 1'!$J:$J,"С-8 ком"))</f>
        <v/>
      </c>
      <c r="G3">
        <f>IF($A3="","",SUMIFS('Таблиця 1'!$K:$K,'Таблиця 1'!$B:$B,$A3,'Таблиця 1'!$I:$I,"Mi-8",'Таблиця 1'!$J:$J,"PC-80")+SUMIFS('Таблиця 1'!$K:$K,'Таблиця 1'!$B:$B,$A3,'Таблиця 1'!$I:$I,"Mi-24",'Таблиця 1'!$J:$J,"PC-80"))</f>
        <v/>
      </c>
      <c r="H3">
        <f>IF($A3="","",SUMIFS('Таблиця 1'!$K:$K,'Таблиця 1'!$B:$B,$A3,'Таблиця 1'!$I:$I,"Mi-8",'Таблиця 1'!$J:$J,"UAR-80")+SUMIFS('Таблиця 1'!$K:$K,'Таблиця 1'!$B:$B,$A3,'Таблиця 1'!$I:$I,"Mi-24",'Таблиця 1'!$J:$J,"UAR-80"))</f>
        <v/>
      </c>
      <c r="I3">
        <f>IF($A3="","",SUMIFS('Таблиця 1'!$K:$K,'Таблиця 1'!$B:$B,$A3,'Таблиця 1'!$I:$I,"Mi-8",'Таблиця 1'!$J:$J,"C-13")+SUMIFS('Таблиця 1'!$K:$K,'Таблиця 1'!$B:$B,$A3,'Таблиця 1'!$I:$I,"Mi-24",'Таблиця 1'!$J:$J,"C-13"))</f>
        <v/>
      </c>
      <c r="J3">
        <f>IF($A3="","",SUMIFS('Таблиця 1'!$K:$K,'Таблиця 1'!$B:$B,$A3,'Таблиця 1'!$I:$I,"Mi-8",'Таблиця 1'!$J:$J,"Hydra-70")+SUMIFS('Таблиця 1'!$K:$K,'Таблиця 1'!$B:$B,$A3,'Таблиця 1'!$I:$I,"Mi-24",'Таблиця 1'!$J:$J,"Hydra-70"))</f>
        <v/>
      </c>
      <c r="K3">
        <f>IF($A3="","",SUMIFS('Таблиця 1'!$K:$K,'Таблиця 1'!$B:$B,$A3,'Таблиця 1'!$I:$I,"Mi-8",'Таблиця 1'!$J:$J,"Thales-70")+SUMIFS('Таблиця 1'!$K:$K,'Таблиця 1'!$B:$B,$A3,'Таблиця 1'!$I:$I,"Mi-24",'Таблиця 1'!$J:$J,"Thales-70"))</f>
        <v/>
      </c>
      <c r="L3">
        <f>IF($A3="","",SUMIFS('Таблиця 1'!$K:$K,'Таблиця 1'!$B:$B,$A3,'Таблиця 1'!$I:$I,"Mi-8",'Таблиця 1'!$J:$J,"Thales-FZ")+SUMIFS('Таблиця 1'!$K:$K,'Таблиця 1'!$B:$B,$A3,'Таблиця 1'!$I:$I,"Mi-24",'Таблиця 1'!$J:$J,"Thales-FZ"))</f>
        <v/>
      </c>
      <c r="M3">
        <f>IF($A3="","",SUMIFS('Таблиця 1'!$K:$K,'Таблиця 1'!$B:$B,$A3,'Таблиця 1'!$I:$I,"Mi-8",'Таблиця 1'!$J:$J,"МК-40")+SUMIFS('Таблиця 1'!$K:$K,'Таблиця 1'!$B:$B,$A3,'Таблиця 1'!$I:$I,"Mi-24",'Таблиця 1'!$J:$J,"МК-40"))</f>
        <v/>
      </c>
      <c r="N3">
        <f>IF($A3="","",SUMIFS('Таблиця 1'!$K:$K,'Таблиця 1'!$B:$B,$A3,'Таблиця 1'!$I:$I,"Mi-8",'Таблиця 1'!$J:$J,"Zuni")+SUMIFS('Таблиця 1'!$K:$K,'Таблиця 1'!$B:$B,$A3,'Таблиця 1'!$I:$I,"Mi-24",'Таблиця 1'!$J:$J,"Zuni"))</f>
        <v/>
      </c>
      <c r="O3">
        <f>IF($A3="","",COUNTIFS('Таблиця 1'!$B:$B,$A3,'Таблиця 1'!$I:$I,"Mi-8",'Таблиця 1'!$L:$L,"Уражено")+COUNTIFS('Таблиця 1'!$B:$B,$A3,'Таблиця 1'!$I:$I,"Mi-24",'Таблиця 1'!$L:$L,"Уражено"))</f>
        <v/>
      </c>
      <c r="P3">
        <f>IF($A3="","",COUNTIFS('Таблиця 1'!$B:$B,$A3,'Таблиця 1'!$I:$I,"Mi-8",'Таблиця 1'!$L:$L,"НЕ уражено")+COUNTIFS('Таблиця 1'!$B:$B,$A3,'Таблиця 1'!$I:$I,"Mi-24",'Таблиця 1'!$L:$L,"НЕ уражено"))</f>
        <v/>
      </c>
    </row>
    <row r="4">
      <c r="A4" s="273">
        <f>IF(A3="","",IF(A3+1&gt;MAX('Таблиця 1'!$B:$B),"",A3+1))</f>
        <v/>
      </c>
      <c r="B4">
        <f>IF($A4="","",COUNTIFS('Таблиця 1'!$B:$B,$A4,'Таблиця 1'!$I:$I,"Mi-8")+COUNTIFS('Таблиця 1'!$B:$B,$A4,'Таблиця 1'!$I:$I,"Mi-24"))</f>
        <v/>
      </c>
      <c r="C4">
        <f>IF($A4="","",COUNTIFS('Таблиця 1'!$B:$B,$A4,'Таблиця 1'!$I:$I,"Mi-8"))</f>
        <v/>
      </c>
      <c r="D4">
        <f>IF($A4="","",COUNTIFS('Таблиця 1'!$B:$B,$A4,'Таблиця 1'!$I:$I,"Mi-24"))</f>
        <v/>
      </c>
      <c r="E4">
        <f>IF($A4="","",SUMIFS('Таблиця 1'!$K:$K,'Таблиця 1'!$B:$B,$A4,'Таблиця 1'!$I:$I,"Mi-8",'Таблиця 1'!$J:$J,"ARS-8")+SUMIFS('Таблиця 1'!$K:$K,'Таблиця 1'!$B:$B,$A4,'Таблиця 1'!$I:$I,"Mi-24",'Таблиця 1'!$J:$J,"ARS-8"))</f>
        <v/>
      </c>
      <c r="F4">
        <f>IF($A4="","",SUMIFS('Таблиця 1'!$K:$K,'Таблиця 1'!$B:$B,$A4,'Таблиця 1'!$I:$I,"Mi-8",'Таблиця 1'!$J:$J,"С-8 ком")+SUMIFS('Таблиця 1'!$K:$K,'Таблиця 1'!$B:$B,$A4,'Таблиця 1'!$I:$I,"Mi-24",'Таблиця 1'!$J:$J,"С-8 ком"))</f>
        <v/>
      </c>
      <c r="G4">
        <f>IF($A4="","",SUMIFS('Таблиця 1'!$K:$K,'Таблиця 1'!$B:$B,$A4,'Таблиця 1'!$I:$I,"Mi-8",'Таблиця 1'!$J:$J,"PC-80")+SUMIFS('Таблиця 1'!$K:$K,'Таблиця 1'!$B:$B,$A4,'Таблиця 1'!$I:$I,"Mi-24",'Таблиця 1'!$J:$J,"PC-80"))</f>
        <v/>
      </c>
      <c r="H4">
        <f>IF($A4="","",SUMIFS('Таблиця 1'!$K:$K,'Таблиця 1'!$B:$B,$A4,'Таблиця 1'!$I:$I,"Mi-8",'Таблиця 1'!$J:$J,"UAR-80")+SUMIFS('Таблиця 1'!$K:$K,'Таблиця 1'!$B:$B,$A4,'Таблиця 1'!$I:$I,"Mi-24",'Таблиця 1'!$J:$J,"UAR-80"))</f>
        <v/>
      </c>
      <c r="I4">
        <f>IF($A4="","",SUMIFS('Таблиця 1'!$K:$K,'Таблиця 1'!$B:$B,$A4,'Таблиця 1'!$I:$I,"Mi-8",'Таблиця 1'!$J:$J,"C-13")+SUMIFS('Таблиця 1'!$K:$K,'Таблиця 1'!$B:$B,$A4,'Таблиця 1'!$I:$I,"Mi-24",'Таблиця 1'!$J:$J,"C-13"))</f>
        <v/>
      </c>
      <c r="J4">
        <f>IF($A4="","",SUMIFS('Таблиця 1'!$K:$K,'Таблиця 1'!$B:$B,$A4,'Таблиця 1'!$I:$I,"Mi-8",'Таблиця 1'!$J:$J,"Hydra-70")+SUMIFS('Таблиця 1'!$K:$K,'Таблиця 1'!$B:$B,$A4,'Таблиця 1'!$I:$I,"Mi-24",'Таблиця 1'!$J:$J,"Hydra-70"))</f>
        <v/>
      </c>
      <c r="K4">
        <f>IF($A4="","",SUMIFS('Таблиця 1'!$K:$K,'Таблиця 1'!$B:$B,$A4,'Таблиця 1'!$I:$I,"Mi-8",'Таблиця 1'!$J:$J,"Thales-70")+SUMIFS('Таблиця 1'!$K:$K,'Таблиця 1'!$B:$B,$A4,'Таблиця 1'!$I:$I,"Mi-24",'Таблиця 1'!$J:$J,"Thales-70"))</f>
        <v/>
      </c>
      <c r="L4">
        <f>IF($A4="","",SUMIFS('Таблиця 1'!$K:$K,'Таблиця 1'!$B:$B,$A4,'Таблиця 1'!$I:$I,"Mi-8",'Таблиця 1'!$J:$J,"Thales-FZ")+SUMIFS('Таблиця 1'!$K:$K,'Таблиця 1'!$B:$B,$A4,'Таблиця 1'!$I:$I,"Mi-24",'Таблиця 1'!$J:$J,"Thales-FZ"))</f>
        <v/>
      </c>
      <c r="M4">
        <f>IF($A4="","",SUMIFS('Таблиця 1'!$K:$K,'Таблиця 1'!$B:$B,$A4,'Таблиця 1'!$I:$I,"Mi-8",'Таблиця 1'!$J:$J,"МК-40")+SUMIFS('Таблиця 1'!$K:$K,'Таблиця 1'!$B:$B,$A4,'Таблиця 1'!$I:$I,"Mi-24",'Таблиця 1'!$J:$J,"МК-40"))</f>
        <v/>
      </c>
      <c r="N4">
        <f>IF($A4="","",SUMIFS('Таблиця 1'!$K:$K,'Таблиця 1'!$B:$B,$A4,'Таблиця 1'!$I:$I,"Mi-8",'Таблиця 1'!$J:$J,"Zuni")+SUMIFS('Таблиця 1'!$K:$K,'Таблиця 1'!$B:$B,$A4,'Таблиця 1'!$I:$I,"Mi-24",'Таблиця 1'!$J:$J,"Zuni"))</f>
        <v/>
      </c>
      <c r="O4">
        <f>IF($A4="","",COUNTIFS('Таблиця 1'!$B:$B,$A4,'Таблиця 1'!$I:$I,"Mi-8",'Таблиця 1'!$L:$L,"Уражено")+COUNTIFS('Таблиця 1'!$B:$B,$A4,'Таблиця 1'!$I:$I,"Mi-24",'Таблиця 1'!$L:$L,"Уражено"))</f>
        <v/>
      </c>
      <c r="P4">
        <f>IF($A4="","",COUNTIFS('Таблиця 1'!$B:$B,$A4,'Таблиця 1'!$I:$I,"Mi-8",'Таблиця 1'!$L:$L,"НЕ уражено")+COUNTIFS('Таблиця 1'!$B:$B,$A4,'Таблиця 1'!$I:$I,"Mi-24",'Таблиця 1'!$L:$L,"НЕ уражено"))</f>
        <v/>
      </c>
    </row>
    <row r="5">
      <c r="A5" s="273">
        <f>IF(A4="","",IF(A4+1&gt;MAX('Таблиця 1'!$B:$B),"",A4+1))</f>
        <v/>
      </c>
      <c r="B5">
        <f>IF($A5="","",COUNTIFS('Таблиця 1'!$B:$B,$A5,'Таблиця 1'!$I:$I,"Mi-8")+COUNTIFS('Таблиця 1'!$B:$B,$A5,'Таблиця 1'!$I:$I,"Mi-24"))</f>
        <v/>
      </c>
      <c r="C5">
        <f>IF($A5="","",COUNTIFS('Таблиця 1'!$B:$B,$A5,'Таблиця 1'!$I:$I,"Mi-8"))</f>
        <v/>
      </c>
      <c r="D5">
        <f>IF($A5="","",COUNTIFS('Таблиця 1'!$B:$B,$A5,'Таблиця 1'!$I:$I,"Mi-24"))</f>
        <v/>
      </c>
      <c r="E5">
        <f>IF($A5="","",SUMIFS('Таблиця 1'!$K:$K,'Таблиця 1'!$B:$B,$A5,'Таблиця 1'!$I:$I,"Mi-8",'Таблиця 1'!$J:$J,"ARS-8")+SUMIFS('Таблиця 1'!$K:$K,'Таблиця 1'!$B:$B,$A5,'Таблиця 1'!$I:$I,"Mi-24",'Таблиця 1'!$J:$J,"ARS-8"))</f>
        <v/>
      </c>
      <c r="F5">
        <f>IF($A5="","",SUMIFS('Таблиця 1'!$K:$K,'Таблиця 1'!$B:$B,$A5,'Таблиця 1'!$I:$I,"Mi-8",'Таблиця 1'!$J:$J,"С-8 ком")+SUMIFS('Таблиця 1'!$K:$K,'Таблиця 1'!$B:$B,$A5,'Таблиця 1'!$I:$I,"Mi-24",'Таблиця 1'!$J:$J,"С-8 ком"))</f>
        <v/>
      </c>
      <c r="G5">
        <f>IF($A5="","",SUMIFS('Таблиця 1'!$K:$K,'Таблиця 1'!$B:$B,$A5,'Таблиця 1'!$I:$I,"Mi-8",'Таблиця 1'!$J:$J,"PC-80")+SUMIFS('Таблиця 1'!$K:$K,'Таблиця 1'!$B:$B,$A5,'Таблиця 1'!$I:$I,"Mi-24",'Таблиця 1'!$J:$J,"PC-80"))</f>
        <v/>
      </c>
      <c r="H5">
        <f>IF($A5="","",SUMIFS('Таблиця 1'!$K:$K,'Таблиця 1'!$B:$B,$A5,'Таблиця 1'!$I:$I,"Mi-8",'Таблиця 1'!$J:$J,"UAR-80")+SUMIFS('Таблиця 1'!$K:$K,'Таблиця 1'!$B:$B,$A5,'Таблиця 1'!$I:$I,"Mi-24",'Таблиця 1'!$J:$J,"UAR-80"))</f>
        <v/>
      </c>
      <c r="I5">
        <f>IF($A5="","",SUMIFS('Таблиця 1'!$K:$K,'Таблиця 1'!$B:$B,$A5,'Таблиця 1'!$I:$I,"Mi-8",'Таблиця 1'!$J:$J,"C-13")+SUMIFS('Таблиця 1'!$K:$K,'Таблиця 1'!$B:$B,$A5,'Таблиця 1'!$I:$I,"Mi-24",'Таблиця 1'!$J:$J,"C-13"))</f>
        <v/>
      </c>
      <c r="J5">
        <f>IF($A5="","",SUMIFS('Таблиця 1'!$K:$K,'Таблиця 1'!$B:$B,$A5,'Таблиця 1'!$I:$I,"Mi-8",'Таблиця 1'!$J:$J,"Hydra-70")+SUMIFS('Таблиця 1'!$K:$K,'Таблиця 1'!$B:$B,$A5,'Таблиця 1'!$I:$I,"Mi-24",'Таблиця 1'!$J:$J,"Hydra-70"))</f>
        <v/>
      </c>
      <c r="K5">
        <f>IF($A5="","",SUMIFS('Таблиця 1'!$K:$K,'Таблиця 1'!$B:$B,$A5,'Таблиця 1'!$I:$I,"Mi-8",'Таблиця 1'!$J:$J,"Thales-70")+SUMIFS('Таблиця 1'!$K:$K,'Таблиця 1'!$B:$B,$A5,'Таблиця 1'!$I:$I,"Mi-24",'Таблиця 1'!$J:$J,"Thales-70"))</f>
        <v/>
      </c>
      <c r="L5">
        <f>IF($A5="","",SUMIFS('Таблиця 1'!$K:$K,'Таблиця 1'!$B:$B,$A5,'Таблиця 1'!$I:$I,"Mi-8",'Таблиця 1'!$J:$J,"Thales-FZ")+SUMIFS('Таблиця 1'!$K:$K,'Таблиця 1'!$B:$B,$A5,'Таблиця 1'!$I:$I,"Mi-24",'Таблиця 1'!$J:$J,"Thales-FZ"))</f>
        <v/>
      </c>
      <c r="M5">
        <f>IF($A5="","",SUMIFS('Таблиця 1'!$K:$K,'Таблиця 1'!$B:$B,$A5,'Таблиця 1'!$I:$I,"Mi-8",'Таблиця 1'!$J:$J,"МК-40")+SUMIFS('Таблиця 1'!$K:$K,'Таблиця 1'!$B:$B,$A5,'Таблиця 1'!$I:$I,"Mi-24",'Таблиця 1'!$J:$J,"МК-40"))</f>
        <v/>
      </c>
      <c r="N5">
        <f>IF($A5="","",SUMIFS('Таблиця 1'!$K:$K,'Таблиця 1'!$B:$B,$A5,'Таблиця 1'!$I:$I,"Mi-8",'Таблиця 1'!$J:$J,"Zuni")+SUMIFS('Таблиця 1'!$K:$K,'Таблиця 1'!$B:$B,$A5,'Таблиця 1'!$I:$I,"Mi-24",'Таблиця 1'!$J:$J,"Zuni"))</f>
        <v/>
      </c>
      <c r="O5">
        <f>IF($A5="","",COUNTIFS('Таблиця 1'!$B:$B,$A5,'Таблиця 1'!$I:$I,"Mi-8",'Таблиця 1'!$L:$L,"Уражено")+COUNTIFS('Таблиця 1'!$B:$B,$A5,'Таблиця 1'!$I:$I,"Mi-24",'Таблиця 1'!$L:$L,"Уражено"))</f>
        <v/>
      </c>
      <c r="P5">
        <f>IF($A5="","",COUNTIFS('Таблиця 1'!$B:$B,$A5,'Таблиця 1'!$I:$I,"Mi-8",'Таблиця 1'!$L:$L,"НЕ уражено")+COUNTIFS('Таблиця 1'!$B:$B,$A5,'Таблиця 1'!$I:$I,"Mi-24",'Таблиця 1'!$L:$L,"НЕ уражено"))</f>
        <v/>
      </c>
    </row>
    <row r="6">
      <c r="A6" s="273">
        <f>IF(A5="","",IF(A5+1&gt;MAX('Таблиця 1'!$B:$B),"",A5+1))</f>
        <v/>
      </c>
      <c r="B6">
        <f>IF($A6="","",COUNTIFS('Таблиця 1'!$B:$B,$A6,'Таблиця 1'!$I:$I,"Mi-8")+COUNTIFS('Таблиця 1'!$B:$B,$A6,'Таблиця 1'!$I:$I,"Mi-24"))</f>
        <v/>
      </c>
      <c r="C6">
        <f>IF($A6="","",COUNTIFS('Таблиця 1'!$B:$B,$A6,'Таблиця 1'!$I:$I,"Mi-8"))</f>
        <v/>
      </c>
      <c r="D6">
        <f>IF($A6="","",COUNTIFS('Таблиця 1'!$B:$B,$A6,'Таблиця 1'!$I:$I,"Mi-24"))</f>
        <v/>
      </c>
      <c r="E6">
        <f>IF($A6="","",SUMIFS('Таблиця 1'!$K:$K,'Таблиця 1'!$B:$B,$A6,'Таблиця 1'!$I:$I,"Mi-8",'Таблиця 1'!$J:$J,"ARS-8")+SUMIFS('Таблиця 1'!$K:$K,'Таблиця 1'!$B:$B,$A6,'Таблиця 1'!$I:$I,"Mi-24",'Таблиця 1'!$J:$J,"ARS-8"))</f>
        <v/>
      </c>
      <c r="F6">
        <f>IF($A6="","",SUMIFS('Таблиця 1'!$K:$K,'Таблиця 1'!$B:$B,$A6,'Таблиця 1'!$I:$I,"Mi-8",'Таблиця 1'!$J:$J,"С-8 ком")+SUMIFS('Таблиця 1'!$K:$K,'Таблиця 1'!$B:$B,$A6,'Таблиця 1'!$I:$I,"Mi-24",'Таблиця 1'!$J:$J,"С-8 ком"))</f>
        <v/>
      </c>
      <c r="G6">
        <f>IF($A6="","",SUMIFS('Таблиця 1'!$K:$K,'Таблиця 1'!$B:$B,$A6,'Таблиця 1'!$I:$I,"Mi-8",'Таблиця 1'!$J:$J,"PC-80")+SUMIFS('Таблиця 1'!$K:$K,'Таблиця 1'!$B:$B,$A6,'Таблиця 1'!$I:$I,"Mi-24",'Таблиця 1'!$J:$J,"PC-80"))</f>
        <v/>
      </c>
      <c r="H6">
        <f>IF($A6="","",SUMIFS('Таблиця 1'!$K:$K,'Таблиця 1'!$B:$B,$A6,'Таблиця 1'!$I:$I,"Mi-8",'Таблиця 1'!$J:$J,"UAR-80")+SUMIFS('Таблиця 1'!$K:$K,'Таблиця 1'!$B:$B,$A6,'Таблиця 1'!$I:$I,"Mi-24",'Таблиця 1'!$J:$J,"UAR-80"))</f>
        <v/>
      </c>
      <c r="I6">
        <f>IF($A6="","",SUMIFS('Таблиця 1'!$K:$K,'Таблиця 1'!$B:$B,$A6,'Таблиця 1'!$I:$I,"Mi-8",'Таблиця 1'!$J:$J,"C-13")+SUMIFS('Таблиця 1'!$K:$K,'Таблиця 1'!$B:$B,$A6,'Таблиця 1'!$I:$I,"Mi-24",'Таблиця 1'!$J:$J,"C-13"))</f>
        <v/>
      </c>
      <c r="J6">
        <f>IF($A6="","",SUMIFS('Таблиця 1'!$K:$K,'Таблиця 1'!$B:$B,$A6,'Таблиця 1'!$I:$I,"Mi-8",'Таблиця 1'!$J:$J,"Hydra-70")+SUMIFS('Таблиця 1'!$K:$K,'Таблиця 1'!$B:$B,$A6,'Таблиця 1'!$I:$I,"Mi-24",'Таблиця 1'!$J:$J,"Hydra-70"))</f>
        <v/>
      </c>
      <c r="K6">
        <f>IF($A6="","",SUMIFS('Таблиця 1'!$K:$K,'Таблиця 1'!$B:$B,$A6,'Таблиця 1'!$I:$I,"Mi-8",'Таблиця 1'!$J:$J,"Thales-70")+SUMIFS('Таблиця 1'!$K:$K,'Таблиця 1'!$B:$B,$A6,'Таблиця 1'!$I:$I,"Mi-24",'Таблиця 1'!$J:$J,"Thales-70"))</f>
        <v/>
      </c>
      <c r="L6">
        <f>IF($A6="","",SUMIFS('Таблиця 1'!$K:$K,'Таблиця 1'!$B:$B,$A6,'Таблиця 1'!$I:$I,"Mi-8",'Таблиця 1'!$J:$J,"Thales-FZ")+SUMIFS('Таблиця 1'!$K:$K,'Таблиця 1'!$B:$B,$A6,'Таблиця 1'!$I:$I,"Mi-24",'Таблиця 1'!$J:$J,"Thales-FZ"))</f>
        <v/>
      </c>
      <c r="M6">
        <f>IF($A6="","",SUMIFS('Таблиця 1'!$K:$K,'Таблиця 1'!$B:$B,$A6,'Таблиця 1'!$I:$I,"Mi-8",'Таблиця 1'!$J:$J,"МК-40")+SUMIFS('Таблиця 1'!$K:$K,'Таблиця 1'!$B:$B,$A6,'Таблиця 1'!$I:$I,"Mi-24",'Таблиця 1'!$J:$J,"МК-40"))</f>
        <v/>
      </c>
      <c r="N6">
        <f>IF($A6="","",SUMIFS('Таблиця 1'!$K:$K,'Таблиця 1'!$B:$B,$A6,'Таблиця 1'!$I:$I,"Mi-8",'Таблиця 1'!$J:$J,"Zuni")+SUMIFS('Таблиця 1'!$K:$K,'Таблиця 1'!$B:$B,$A6,'Таблиця 1'!$I:$I,"Mi-24",'Таблиця 1'!$J:$J,"Zuni"))</f>
        <v/>
      </c>
      <c r="O6">
        <f>IF($A6="","",COUNTIFS('Таблиця 1'!$B:$B,$A6,'Таблиця 1'!$I:$I,"Mi-8",'Таблиця 1'!$L:$L,"Уражено")+COUNTIFS('Таблиця 1'!$B:$B,$A6,'Таблиця 1'!$I:$I,"Mi-24",'Таблиця 1'!$L:$L,"Уражено"))</f>
        <v/>
      </c>
      <c r="P6">
        <f>IF($A6="","",COUNTIFS('Таблиця 1'!$B:$B,$A6,'Таблиця 1'!$I:$I,"Mi-8",'Таблиця 1'!$L:$L,"НЕ уражено")+COUNTIFS('Таблиця 1'!$B:$B,$A6,'Таблиця 1'!$I:$I,"Mi-24",'Таблиця 1'!$L:$L,"НЕ уражено"))</f>
        <v/>
      </c>
    </row>
    <row r="7">
      <c r="A7" s="273">
        <f>IF(A6="","",IF(A6+1&gt;MAX('Таблиця 1'!$B:$B),"",A6+1))</f>
        <v/>
      </c>
      <c r="B7">
        <f>IF($A7="","",COUNTIFS('Таблиця 1'!$B:$B,$A7,'Таблиця 1'!$I:$I,"Mi-8")+COUNTIFS('Таблиця 1'!$B:$B,$A7,'Таблиця 1'!$I:$I,"Mi-24"))</f>
        <v/>
      </c>
      <c r="C7">
        <f>IF($A7="","",COUNTIFS('Таблиця 1'!$B:$B,$A7,'Таблиця 1'!$I:$I,"Mi-8"))</f>
        <v/>
      </c>
      <c r="D7">
        <f>IF($A7="","",COUNTIFS('Таблиця 1'!$B:$B,$A7,'Таблиця 1'!$I:$I,"Mi-24"))</f>
        <v/>
      </c>
      <c r="E7">
        <f>IF($A7="","",SUMIFS('Таблиця 1'!$K:$K,'Таблиця 1'!$B:$B,$A7,'Таблиця 1'!$I:$I,"Mi-8",'Таблиця 1'!$J:$J,"ARS-8")+SUMIFS('Таблиця 1'!$K:$K,'Таблиця 1'!$B:$B,$A7,'Таблиця 1'!$I:$I,"Mi-24",'Таблиця 1'!$J:$J,"ARS-8"))</f>
        <v/>
      </c>
      <c r="F7">
        <f>IF($A7="","",SUMIFS('Таблиця 1'!$K:$K,'Таблиця 1'!$B:$B,$A7,'Таблиця 1'!$I:$I,"Mi-8",'Таблиця 1'!$J:$J,"С-8 ком")+SUMIFS('Таблиця 1'!$K:$K,'Таблиця 1'!$B:$B,$A7,'Таблиця 1'!$I:$I,"Mi-24",'Таблиця 1'!$J:$J,"С-8 ком"))</f>
        <v/>
      </c>
      <c r="G7">
        <f>IF($A7="","",SUMIFS('Таблиця 1'!$K:$K,'Таблиця 1'!$B:$B,$A7,'Таблиця 1'!$I:$I,"Mi-8",'Таблиця 1'!$J:$J,"PC-80")+SUMIFS('Таблиця 1'!$K:$K,'Таблиця 1'!$B:$B,$A7,'Таблиця 1'!$I:$I,"Mi-24",'Таблиця 1'!$J:$J,"PC-80"))</f>
        <v/>
      </c>
      <c r="H7">
        <f>IF($A7="","",SUMIFS('Таблиця 1'!$K:$K,'Таблиця 1'!$B:$B,$A7,'Таблиця 1'!$I:$I,"Mi-8",'Таблиця 1'!$J:$J,"UAR-80")+SUMIFS('Таблиця 1'!$K:$K,'Таблиця 1'!$B:$B,$A7,'Таблиця 1'!$I:$I,"Mi-24",'Таблиця 1'!$J:$J,"UAR-80"))</f>
        <v/>
      </c>
      <c r="I7">
        <f>IF($A7="","",SUMIFS('Таблиця 1'!$K:$K,'Таблиця 1'!$B:$B,$A7,'Таблиця 1'!$I:$I,"Mi-8",'Таблиця 1'!$J:$J,"C-13")+SUMIFS('Таблиця 1'!$K:$K,'Таблиця 1'!$B:$B,$A7,'Таблиця 1'!$I:$I,"Mi-24",'Таблиця 1'!$J:$J,"C-13"))</f>
        <v/>
      </c>
      <c r="J7">
        <f>IF($A7="","",SUMIFS('Таблиця 1'!$K:$K,'Таблиця 1'!$B:$B,$A7,'Таблиця 1'!$I:$I,"Mi-8",'Таблиця 1'!$J:$J,"Hydra-70")+SUMIFS('Таблиця 1'!$K:$K,'Таблиця 1'!$B:$B,$A7,'Таблиця 1'!$I:$I,"Mi-24",'Таблиця 1'!$J:$J,"Hydra-70"))</f>
        <v/>
      </c>
      <c r="K7">
        <f>IF($A7="","",SUMIFS('Таблиця 1'!$K:$K,'Таблиця 1'!$B:$B,$A7,'Таблиця 1'!$I:$I,"Mi-8",'Таблиця 1'!$J:$J,"Thales-70")+SUMIFS('Таблиця 1'!$K:$K,'Таблиця 1'!$B:$B,$A7,'Таблиця 1'!$I:$I,"Mi-24",'Таблиця 1'!$J:$J,"Thales-70"))</f>
        <v/>
      </c>
      <c r="L7">
        <f>IF($A7="","",SUMIFS('Таблиця 1'!$K:$K,'Таблиця 1'!$B:$B,$A7,'Таблиця 1'!$I:$I,"Mi-8",'Таблиця 1'!$J:$J,"Thales-FZ")+SUMIFS('Таблиця 1'!$K:$K,'Таблиця 1'!$B:$B,$A7,'Таблиця 1'!$I:$I,"Mi-24",'Таблиця 1'!$J:$J,"Thales-FZ"))</f>
        <v/>
      </c>
      <c r="M7">
        <f>IF($A7="","",SUMIFS('Таблиця 1'!$K:$K,'Таблиця 1'!$B:$B,$A7,'Таблиця 1'!$I:$I,"Mi-8",'Таблиця 1'!$J:$J,"МК-40")+SUMIFS('Таблиця 1'!$K:$K,'Таблиця 1'!$B:$B,$A7,'Таблиця 1'!$I:$I,"Mi-24",'Таблиця 1'!$J:$J,"МК-40"))</f>
        <v/>
      </c>
      <c r="N7">
        <f>IF($A7="","",SUMIFS('Таблиця 1'!$K:$K,'Таблиця 1'!$B:$B,$A7,'Таблиця 1'!$I:$I,"Mi-8",'Таблиця 1'!$J:$J,"Zuni")+SUMIFS('Таблиця 1'!$K:$K,'Таблиця 1'!$B:$B,$A7,'Таблиця 1'!$I:$I,"Mi-24",'Таблиця 1'!$J:$J,"Zuni"))</f>
        <v/>
      </c>
      <c r="O7">
        <f>IF($A7="","",COUNTIFS('Таблиця 1'!$B:$B,$A7,'Таблиця 1'!$I:$I,"Mi-8",'Таблиця 1'!$L:$L,"Уражено")+COUNTIFS('Таблиця 1'!$B:$B,$A7,'Таблиця 1'!$I:$I,"Mi-24",'Таблиця 1'!$L:$L,"Уражено"))</f>
        <v/>
      </c>
      <c r="P7">
        <f>IF($A7="","",COUNTIFS('Таблиця 1'!$B:$B,$A7,'Таблиця 1'!$I:$I,"Mi-8",'Таблиця 1'!$L:$L,"НЕ уражено")+COUNTIFS('Таблиця 1'!$B:$B,$A7,'Таблиця 1'!$I:$I,"Mi-24",'Таблиця 1'!$L:$L,"НЕ уражено"))</f>
        <v/>
      </c>
    </row>
    <row r="8">
      <c r="A8" s="273">
        <f>IF(A7="","",IF(A7+1&gt;MAX('Таблиця 1'!$B:$B),"",A7+1))</f>
        <v/>
      </c>
      <c r="B8">
        <f>IF($A8="","",COUNTIFS('Таблиця 1'!$B:$B,$A8,'Таблиця 1'!$I:$I,"Mi-8")+COUNTIFS('Таблиця 1'!$B:$B,$A8,'Таблиця 1'!$I:$I,"Mi-24"))</f>
        <v/>
      </c>
      <c r="C8">
        <f>IF($A8="","",COUNTIFS('Таблиця 1'!$B:$B,$A8,'Таблиця 1'!$I:$I,"Mi-8"))</f>
        <v/>
      </c>
      <c r="D8">
        <f>IF($A8="","",COUNTIFS('Таблиця 1'!$B:$B,$A8,'Таблиця 1'!$I:$I,"Mi-24"))</f>
        <v/>
      </c>
      <c r="E8">
        <f>IF($A8="","",SUMIFS('Таблиця 1'!$K:$K,'Таблиця 1'!$B:$B,$A8,'Таблиця 1'!$I:$I,"Mi-8",'Таблиця 1'!$J:$J,"ARS-8")+SUMIFS('Таблиця 1'!$K:$K,'Таблиця 1'!$B:$B,$A8,'Таблиця 1'!$I:$I,"Mi-24",'Таблиця 1'!$J:$J,"ARS-8"))</f>
        <v/>
      </c>
      <c r="F8">
        <f>IF($A8="","",SUMIFS('Таблиця 1'!$K:$K,'Таблиця 1'!$B:$B,$A8,'Таблиця 1'!$I:$I,"Mi-8",'Таблиця 1'!$J:$J,"С-8 ком")+SUMIFS('Таблиця 1'!$K:$K,'Таблиця 1'!$B:$B,$A8,'Таблиця 1'!$I:$I,"Mi-24",'Таблиця 1'!$J:$J,"С-8 ком"))</f>
        <v/>
      </c>
      <c r="G8">
        <f>IF($A8="","",SUMIFS('Таблиця 1'!$K:$K,'Таблиця 1'!$B:$B,$A8,'Таблиця 1'!$I:$I,"Mi-8",'Таблиця 1'!$J:$J,"PC-80")+SUMIFS('Таблиця 1'!$K:$K,'Таблиця 1'!$B:$B,$A8,'Таблиця 1'!$I:$I,"Mi-24",'Таблиця 1'!$J:$J,"PC-80"))</f>
        <v/>
      </c>
      <c r="H8">
        <f>IF($A8="","",SUMIFS('Таблиця 1'!$K:$K,'Таблиця 1'!$B:$B,$A8,'Таблиця 1'!$I:$I,"Mi-8",'Таблиця 1'!$J:$J,"UAR-80")+SUMIFS('Таблиця 1'!$K:$K,'Таблиця 1'!$B:$B,$A8,'Таблиця 1'!$I:$I,"Mi-24",'Таблиця 1'!$J:$J,"UAR-80"))</f>
        <v/>
      </c>
      <c r="I8">
        <f>IF($A8="","",SUMIFS('Таблиця 1'!$K:$K,'Таблиця 1'!$B:$B,$A8,'Таблиця 1'!$I:$I,"Mi-8",'Таблиця 1'!$J:$J,"C-13")+SUMIFS('Таблиця 1'!$K:$K,'Таблиця 1'!$B:$B,$A8,'Таблиця 1'!$I:$I,"Mi-24",'Таблиця 1'!$J:$J,"C-13"))</f>
        <v/>
      </c>
      <c r="J8">
        <f>IF($A8="","",SUMIFS('Таблиця 1'!$K:$K,'Таблиця 1'!$B:$B,$A8,'Таблиця 1'!$I:$I,"Mi-8",'Таблиця 1'!$J:$J,"Hydra-70")+SUMIFS('Таблиця 1'!$K:$K,'Таблиця 1'!$B:$B,$A8,'Таблиця 1'!$I:$I,"Mi-24",'Таблиця 1'!$J:$J,"Hydra-70"))</f>
        <v/>
      </c>
      <c r="K8">
        <f>IF($A8="","",SUMIFS('Таблиця 1'!$K:$K,'Таблиця 1'!$B:$B,$A8,'Таблиця 1'!$I:$I,"Mi-8",'Таблиця 1'!$J:$J,"Thales-70")+SUMIFS('Таблиця 1'!$K:$K,'Таблиця 1'!$B:$B,$A8,'Таблиця 1'!$I:$I,"Mi-24",'Таблиця 1'!$J:$J,"Thales-70"))</f>
        <v/>
      </c>
      <c r="L8">
        <f>IF($A8="","",SUMIFS('Таблиця 1'!$K:$K,'Таблиця 1'!$B:$B,$A8,'Таблиця 1'!$I:$I,"Mi-8",'Таблиця 1'!$J:$J,"Thales-FZ")+SUMIFS('Таблиця 1'!$K:$K,'Таблиця 1'!$B:$B,$A8,'Таблиця 1'!$I:$I,"Mi-24",'Таблиця 1'!$J:$J,"Thales-FZ"))</f>
        <v/>
      </c>
      <c r="M8">
        <f>IF($A8="","",SUMIFS('Таблиця 1'!$K:$K,'Таблиця 1'!$B:$B,$A8,'Таблиця 1'!$I:$I,"Mi-8",'Таблиця 1'!$J:$J,"МК-40")+SUMIFS('Таблиця 1'!$K:$K,'Таблиця 1'!$B:$B,$A8,'Таблиця 1'!$I:$I,"Mi-24",'Таблиця 1'!$J:$J,"МК-40"))</f>
        <v/>
      </c>
      <c r="N8">
        <f>IF($A8="","",SUMIFS('Таблиця 1'!$K:$K,'Таблиця 1'!$B:$B,$A8,'Таблиця 1'!$I:$I,"Mi-8",'Таблиця 1'!$J:$J,"Zuni")+SUMIFS('Таблиця 1'!$K:$K,'Таблиця 1'!$B:$B,$A8,'Таблиця 1'!$I:$I,"Mi-24",'Таблиця 1'!$J:$J,"Zuni"))</f>
        <v/>
      </c>
      <c r="O8">
        <f>IF($A8="","",COUNTIFS('Таблиця 1'!$B:$B,$A8,'Таблиця 1'!$I:$I,"Mi-8",'Таблиця 1'!$L:$L,"Уражено")+COUNTIFS('Таблиця 1'!$B:$B,$A8,'Таблиця 1'!$I:$I,"Mi-24",'Таблиця 1'!$L:$L,"Уражено"))</f>
        <v/>
      </c>
      <c r="P8">
        <f>IF($A8="","",COUNTIFS('Таблиця 1'!$B:$B,$A8,'Таблиця 1'!$I:$I,"Mi-8",'Таблиця 1'!$L:$L,"НЕ уражено")+COUNTIFS('Таблиця 1'!$B:$B,$A8,'Таблиця 1'!$I:$I,"Mi-24",'Таблиця 1'!$L:$L,"НЕ уражено"))</f>
        <v/>
      </c>
    </row>
    <row r="9">
      <c r="A9" s="273">
        <f>IF(A8="","",IF(A8+1&gt;MAX('Таблиця 1'!$B:$B),"",A8+1))</f>
        <v/>
      </c>
      <c r="B9">
        <f>IF($A9="","",COUNTIFS('Таблиця 1'!$B:$B,$A9,'Таблиця 1'!$I:$I,"Mi-8")+COUNTIFS('Таблиця 1'!$B:$B,$A9,'Таблиця 1'!$I:$I,"Mi-24"))</f>
        <v/>
      </c>
      <c r="C9">
        <f>IF($A9="","",COUNTIFS('Таблиця 1'!$B:$B,$A9,'Таблиця 1'!$I:$I,"Mi-8"))</f>
        <v/>
      </c>
      <c r="D9">
        <f>IF($A9="","",COUNTIFS('Таблиця 1'!$B:$B,$A9,'Таблиця 1'!$I:$I,"Mi-24"))</f>
        <v/>
      </c>
      <c r="E9">
        <f>IF($A9="","",SUMIFS('Таблиця 1'!$K:$K,'Таблиця 1'!$B:$B,$A9,'Таблиця 1'!$I:$I,"Mi-8",'Таблиця 1'!$J:$J,"ARS-8")+SUMIFS('Таблиця 1'!$K:$K,'Таблиця 1'!$B:$B,$A9,'Таблиця 1'!$I:$I,"Mi-24",'Таблиця 1'!$J:$J,"ARS-8"))</f>
        <v/>
      </c>
      <c r="F9">
        <f>IF($A9="","",SUMIFS('Таблиця 1'!$K:$K,'Таблиця 1'!$B:$B,$A9,'Таблиця 1'!$I:$I,"Mi-8",'Таблиця 1'!$J:$J,"С-8 ком")+SUMIFS('Таблиця 1'!$K:$K,'Таблиця 1'!$B:$B,$A9,'Таблиця 1'!$I:$I,"Mi-24",'Таблиця 1'!$J:$J,"С-8 ком"))</f>
        <v/>
      </c>
      <c r="G9">
        <f>IF($A9="","",SUMIFS('Таблиця 1'!$K:$K,'Таблиця 1'!$B:$B,$A9,'Таблиця 1'!$I:$I,"Mi-8",'Таблиця 1'!$J:$J,"PC-80")+SUMIFS('Таблиця 1'!$K:$K,'Таблиця 1'!$B:$B,$A9,'Таблиця 1'!$I:$I,"Mi-24",'Таблиця 1'!$J:$J,"PC-80"))</f>
        <v/>
      </c>
      <c r="H9">
        <f>IF($A9="","",SUMIFS('Таблиця 1'!$K:$K,'Таблиця 1'!$B:$B,$A9,'Таблиця 1'!$I:$I,"Mi-8",'Таблиця 1'!$J:$J,"UAR-80")+SUMIFS('Таблиця 1'!$K:$K,'Таблиця 1'!$B:$B,$A9,'Таблиця 1'!$I:$I,"Mi-24",'Таблиця 1'!$J:$J,"UAR-80"))</f>
        <v/>
      </c>
      <c r="I9">
        <f>IF($A9="","",SUMIFS('Таблиця 1'!$K:$K,'Таблиця 1'!$B:$B,$A9,'Таблиця 1'!$I:$I,"Mi-8",'Таблиця 1'!$J:$J,"C-13")+SUMIFS('Таблиця 1'!$K:$K,'Таблиця 1'!$B:$B,$A9,'Таблиця 1'!$I:$I,"Mi-24",'Таблиця 1'!$J:$J,"C-13"))</f>
        <v/>
      </c>
      <c r="J9">
        <f>IF($A9="","",SUMIFS('Таблиця 1'!$K:$K,'Таблиця 1'!$B:$B,$A9,'Таблиця 1'!$I:$I,"Mi-8",'Таблиця 1'!$J:$J,"Hydra-70")+SUMIFS('Таблиця 1'!$K:$K,'Таблиця 1'!$B:$B,$A9,'Таблиця 1'!$I:$I,"Mi-24",'Таблиця 1'!$J:$J,"Hydra-70"))</f>
        <v/>
      </c>
      <c r="K9">
        <f>IF($A9="","",SUMIFS('Таблиця 1'!$K:$K,'Таблиця 1'!$B:$B,$A9,'Таблиця 1'!$I:$I,"Mi-8",'Таблиця 1'!$J:$J,"Thales-70")+SUMIFS('Таблиця 1'!$K:$K,'Таблиця 1'!$B:$B,$A9,'Таблиця 1'!$I:$I,"Mi-24",'Таблиця 1'!$J:$J,"Thales-70"))</f>
        <v/>
      </c>
      <c r="L9">
        <f>IF($A9="","",SUMIFS('Таблиця 1'!$K:$K,'Таблиця 1'!$B:$B,$A9,'Таблиця 1'!$I:$I,"Mi-8",'Таблиця 1'!$J:$J,"Thales-FZ")+SUMIFS('Таблиця 1'!$K:$K,'Таблиця 1'!$B:$B,$A9,'Таблиця 1'!$I:$I,"Mi-24",'Таблиця 1'!$J:$J,"Thales-FZ"))</f>
        <v/>
      </c>
      <c r="M9">
        <f>IF($A9="","",SUMIFS('Таблиця 1'!$K:$K,'Таблиця 1'!$B:$B,$A9,'Таблиця 1'!$I:$I,"Mi-8",'Таблиця 1'!$J:$J,"МК-40")+SUMIFS('Таблиця 1'!$K:$K,'Таблиця 1'!$B:$B,$A9,'Таблиця 1'!$I:$I,"Mi-24",'Таблиця 1'!$J:$J,"МК-40"))</f>
        <v/>
      </c>
      <c r="N9">
        <f>IF($A9="","",SUMIFS('Таблиця 1'!$K:$K,'Таблиця 1'!$B:$B,$A9,'Таблиця 1'!$I:$I,"Mi-8",'Таблиця 1'!$J:$J,"Zuni")+SUMIFS('Таблиця 1'!$K:$K,'Таблиця 1'!$B:$B,$A9,'Таблиця 1'!$I:$I,"Mi-24",'Таблиця 1'!$J:$J,"Zuni"))</f>
        <v/>
      </c>
      <c r="O9">
        <f>IF($A9="","",COUNTIFS('Таблиця 1'!$B:$B,$A9,'Таблиця 1'!$I:$I,"Mi-8",'Таблиця 1'!$L:$L,"Уражено")+COUNTIFS('Таблиця 1'!$B:$B,$A9,'Таблиця 1'!$I:$I,"Mi-24",'Таблиця 1'!$L:$L,"Уражено"))</f>
        <v/>
      </c>
      <c r="P9">
        <f>IF($A9="","",COUNTIFS('Таблиця 1'!$B:$B,$A9,'Таблиця 1'!$I:$I,"Mi-8",'Таблиця 1'!$L:$L,"НЕ уражено")+COUNTIFS('Таблиця 1'!$B:$B,$A9,'Таблиця 1'!$I:$I,"Mi-24",'Таблиця 1'!$L:$L,"НЕ уражено"))</f>
        <v/>
      </c>
    </row>
    <row r="10">
      <c r="A10" s="273">
        <f>IF(A9="","",IF(A9+1&gt;MAX('Таблиця 1'!$B:$B),"",A9+1))</f>
        <v/>
      </c>
      <c r="B10">
        <f>IF($A10="","",COUNTIFS('Таблиця 1'!$B:$B,$A10,'Таблиця 1'!$I:$I,"Mi-8")+COUNTIFS('Таблиця 1'!$B:$B,$A10,'Таблиця 1'!$I:$I,"Mi-24"))</f>
        <v/>
      </c>
      <c r="C10">
        <f>IF($A10="","",COUNTIFS('Таблиця 1'!$B:$B,$A10,'Таблиця 1'!$I:$I,"Mi-8"))</f>
        <v/>
      </c>
      <c r="D10">
        <f>IF($A10="","",COUNTIFS('Таблиця 1'!$B:$B,$A10,'Таблиця 1'!$I:$I,"Mi-24"))</f>
        <v/>
      </c>
      <c r="E10">
        <f>IF($A10="","",SUMIFS('Таблиця 1'!$K:$K,'Таблиця 1'!$B:$B,$A10,'Таблиця 1'!$I:$I,"Mi-8",'Таблиця 1'!$J:$J,"ARS-8")+SUMIFS('Таблиця 1'!$K:$K,'Таблиця 1'!$B:$B,$A10,'Таблиця 1'!$I:$I,"Mi-24",'Таблиця 1'!$J:$J,"ARS-8"))</f>
        <v/>
      </c>
      <c r="F10">
        <f>IF($A10="","",SUMIFS('Таблиця 1'!$K:$K,'Таблиця 1'!$B:$B,$A10,'Таблиця 1'!$I:$I,"Mi-8",'Таблиця 1'!$J:$J,"С-8 ком")+SUMIFS('Таблиця 1'!$K:$K,'Таблиця 1'!$B:$B,$A10,'Таблиця 1'!$I:$I,"Mi-24",'Таблиця 1'!$J:$J,"С-8 ком"))</f>
        <v/>
      </c>
      <c r="G10">
        <f>IF($A10="","",SUMIFS('Таблиця 1'!$K:$K,'Таблиця 1'!$B:$B,$A10,'Таблиця 1'!$I:$I,"Mi-8",'Таблиця 1'!$J:$J,"PC-80")+SUMIFS('Таблиця 1'!$K:$K,'Таблиця 1'!$B:$B,$A10,'Таблиця 1'!$I:$I,"Mi-24",'Таблиця 1'!$J:$J,"PC-80"))</f>
        <v/>
      </c>
      <c r="H10">
        <f>IF($A10="","",SUMIFS('Таблиця 1'!$K:$K,'Таблиця 1'!$B:$B,$A10,'Таблиця 1'!$I:$I,"Mi-8",'Таблиця 1'!$J:$J,"UAR-80")+SUMIFS('Таблиця 1'!$K:$K,'Таблиця 1'!$B:$B,$A10,'Таблиця 1'!$I:$I,"Mi-24",'Таблиця 1'!$J:$J,"UAR-80"))</f>
        <v/>
      </c>
      <c r="I10">
        <f>IF($A10="","",SUMIFS('Таблиця 1'!$K:$K,'Таблиця 1'!$B:$B,$A10,'Таблиця 1'!$I:$I,"Mi-8",'Таблиця 1'!$J:$J,"C-13")+SUMIFS('Таблиця 1'!$K:$K,'Таблиця 1'!$B:$B,$A10,'Таблиця 1'!$I:$I,"Mi-24",'Таблиця 1'!$J:$J,"C-13"))</f>
        <v/>
      </c>
      <c r="J10">
        <f>IF($A10="","",SUMIFS('Таблиця 1'!$K:$K,'Таблиця 1'!$B:$B,$A10,'Таблиця 1'!$I:$I,"Mi-8",'Таблиця 1'!$J:$J,"Hydra-70")+SUMIFS('Таблиця 1'!$K:$K,'Таблиця 1'!$B:$B,$A10,'Таблиця 1'!$I:$I,"Mi-24",'Таблиця 1'!$J:$J,"Hydra-70"))</f>
        <v/>
      </c>
      <c r="K10">
        <f>IF($A10="","",SUMIFS('Таблиця 1'!$K:$K,'Таблиця 1'!$B:$B,$A10,'Таблиця 1'!$I:$I,"Mi-8",'Таблиця 1'!$J:$J,"Thales-70")+SUMIFS('Таблиця 1'!$K:$K,'Таблиця 1'!$B:$B,$A10,'Таблиця 1'!$I:$I,"Mi-24",'Таблиця 1'!$J:$J,"Thales-70"))</f>
        <v/>
      </c>
      <c r="L10">
        <f>IF($A10="","",SUMIFS('Таблиця 1'!$K:$K,'Таблиця 1'!$B:$B,$A10,'Таблиця 1'!$I:$I,"Mi-8",'Таблиця 1'!$J:$J,"Thales-FZ")+SUMIFS('Таблиця 1'!$K:$K,'Таблиця 1'!$B:$B,$A10,'Таблиця 1'!$I:$I,"Mi-24",'Таблиця 1'!$J:$J,"Thales-FZ"))</f>
        <v/>
      </c>
      <c r="M10">
        <f>IF($A10="","",SUMIFS('Таблиця 1'!$K:$K,'Таблиця 1'!$B:$B,$A10,'Таблиця 1'!$I:$I,"Mi-8",'Таблиця 1'!$J:$J,"МК-40")+SUMIFS('Таблиця 1'!$K:$K,'Таблиця 1'!$B:$B,$A10,'Таблиця 1'!$I:$I,"Mi-24",'Таблиця 1'!$J:$J,"МК-40"))</f>
        <v/>
      </c>
      <c r="N10">
        <f>IF($A10="","",SUMIFS('Таблиця 1'!$K:$K,'Таблиця 1'!$B:$B,$A10,'Таблиця 1'!$I:$I,"Mi-8",'Таблиця 1'!$J:$J,"Zuni")+SUMIFS('Таблиця 1'!$K:$K,'Таблиця 1'!$B:$B,$A10,'Таблиця 1'!$I:$I,"Mi-24",'Таблиця 1'!$J:$J,"Zuni"))</f>
        <v/>
      </c>
      <c r="O10">
        <f>IF($A10="","",COUNTIFS('Таблиця 1'!$B:$B,$A10,'Таблиця 1'!$I:$I,"Mi-8",'Таблиця 1'!$L:$L,"Уражено")+COUNTIFS('Таблиця 1'!$B:$B,$A10,'Таблиця 1'!$I:$I,"Mi-24",'Таблиця 1'!$L:$L,"Уражено"))</f>
        <v/>
      </c>
      <c r="P10">
        <f>IF($A10="","",COUNTIFS('Таблиця 1'!$B:$B,$A10,'Таблиця 1'!$I:$I,"Mi-8",'Таблиця 1'!$L:$L,"НЕ уражено")+COUNTIFS('Таблиця 1'!$B:$B,$A10,'Таблиця 1'!$I:$I,"Mi-24",'Таблиця 1'!$L:$L,"НЕ уражено"))</f>
        <v/>
      </c>
    </row>
    <row r="11">
      <c r="A11" s="273">
        <f>IF(A10="","",IF(A10+1&gt;MAX('Таблиця 1'!$B:$B),"",A10+1))</f>
        <v/>
      </c>
      <c r="B11">
        <f>IF($A11="","",COUNTIFS('Таблиця 1'!$B:$B,$A11,'Таблиця 1'!$I:$I,"Mi-8")+COUNTIFS('Таблиця 1'!$B:$B,$A11,'Таблиця 1'!$I:$I,"Mi-24"))</f>
        <v/>
      </c>
      <c r="C11">
        <f>IF($A11="","",COUNTIFS('Таблиця 1'!$B:$B,$A11,'Таблиця 1'!$I:$I,"Mi-8"))</f>
        <v/>
      </c>
      <c r="D11">
        <f>IF($A11="","",COUNTIFS('Таблиця 1'!$B:$B,$A11,'Таблиця 1'!$I:$I,"Mi-24"))</f>
        <v/>
      </c>
      <c r="E11">
        <f>IF($A11="","",SUMIFS('Таблиця 1'!$K:$K,'Таблиця 1'!$B:$B,$A11,'Таблиця 1'!$I:$I,"Mi-8",'Таблиця 1'!$J:$J,"ARS-8")+SUMIFS('Таблиця 1'!$K:$K,'Таблиця 1'!$B:$B,$A11,'Таблиця 1'!$I:$I,"Mi-24",'Таблиця 1'!$J:$J,"ARS-8"))</f>
        <v/>
      </c>
      <c r="F11">
        <f>IF($A11="","",SUMIFS('Таблиця 1'!$K:$K,'Таблиця 1'!$B:$B,$A11,'Таблиця 1'!$I:$I,"Mi-8",'Таблиця 1'!$J:$J,"С-8 ком")+SUMIFS('Таблиця 1'!$K:$K,'Таблиця 1'!$B:$B,$A11,'Таблиця 1'!$I:$I,"Mi-24",'Таблиця 1'!$J:$J,"С-8 ком"))</f>
        <v/>
      </c>
      <c r="G11">
        <f>IF($A11="","",SUMIFS('Таблиця 1'!$K:$K,'Таблиця 1'!$B:$B,$A11,'Таблиця 1'!$I:$I,"Mi-8",'Таблиця 1'!$J:$J,"PC-80")+SUMIFS('Таблиця 1'!$K:$K,'Таблиця 1'!$B:$B,$A11,'Таблиця 1'!$I:$I,"Mi-24",'Таблиця 1'!$J:$J,"PC-80"))</f>
        <v/>
      </c>
      <c r="H11">
        <f>IF($A11="","",SUMIFS('Таблиця 1'!$K:$K,'Таблиця 1'!$B:$B,$A11,'Таблиця 1'!$I:$I,"Mi-8",'Таблиця 1'!$J:$J,"UAR-80")+SUMIFS('Таблиця 1'!$K:$K,'Таблиця 1'!$B:$B,$A11,'Таблиця 1'!$I:$I,"Mi-24",'Таблиця 1'!$J:$J,"UAR-80"))</f>
        <v/>
      </c>
      <c r="I11">
        <f>IF($A11="","",SUMIFS('Таблиця 1'!$K:$K,'Таблиця 1'!$B:$B,$A11,'Таблиця 1'!$I:$I,"Mi-8",'Таблиця 1'!$J:$J,"C-13")+SUMIFS('Таблиця 1'!$K:$K,'Таблиця 1'!$B:$B,$A11,'Таблиця 1'!$I:$I,"Mi-24",'Таблиця 1'!$J:$J,"C-13"))</f>
        <v/>
      </c>
      <c r="J11">
        <f>IF($A11="","",SUMIFS('Таблиця 1'!$K:$K,'Таблиця 1'!$B:$B,$A11,'Таблиця 1'!$I:$I,"Mi-8",'Таблиця 1'!$J:$J,"Hydra-70")+SUMIFS('Таблиця 1'!$K:$K,'Таблиця 1'!$B:$B,$A11,'Таблиця 1'!$I:$I,"Mi-24",'Таблиця 1'!$J:$J,"Hydra-70"))</f>
        <v/>
      </c>
      <c r="K11">
        <f>IF($A11="","",SUMIFS('Таблиця 1'!$K:$K,'Таблиця 1'!$B:$B,$A11,'Таблиця 1'!$I:$I,"Mi-8",'Таблиця 1'!$J:$J,"Thales-70")+SUMIFS('Таблиця 1'!$K:$K,'Таблиця 1'!$B:$B,$A11,'Таблиця 1'!$I:$I,"Mi-24",'Таблиця 1'!$J:$J,"Thales-70"))</f>
        <v/>
      </c>
      <c r="L11">
        <f>IF($A11="","",SUMIFS('Таблиця 1'!$K:$K,'Таблиця 1'!$B:$B,$A11,'Таблиця 1'!$I:$I,"Mi-8",'Таблиця 1'!$J:$J,"Thales-FZ")+SUMIFS('Таблиця 1'!$K:$K,'Таблиця 1'!$B:$B,$A11,'Таблиця 1'!$I:$I,"Mi-24",'Таблиця 1'!$J:$J,"Thales-FZ"))</f>
        <v/>
      </c>
      <c r="M11">
        <f>IF($A11="","",SUMIFS('Таблиця 1'!$K:$K,'Таблиця 1'!$B:$B,$A11,'Таблиця 1'!$I:$I,"Mi-8",'Таблиця 1'!$J:$J,"МК-40")+SUMIFS('Таблиця 1'!$K:$K,'Таблиця 1'!$B:$B,$A11,'Таблиця 1'!$I:$I,"Mi-24",'Таблиця 1'!$J:$J,"МК-40"))</f>
        <v/>
      </c>
      <c r="N11">
        <f>IF($A11="","",SUMIFS('Таблиця 1'!$K:$K,'Таблиця 1'!$B:$B,$A11,'Таблиця 1'!$I:$I,"Mi-8",'Таблиця 1'!$J:$J,"Zuni")+SUMIFS('Таблиця 1'!$K:$K,'Таблиця 1'!$B:$B,$A11,'Таблиця 1'!$I:$I,"Mi-24",'Таблиця 1'!$J:$J,"Zuni"))</f>
        <v/>
      </c>
      <c r="O11">
        <f>IF($A11="","",COUNTIFS('Таблиця 1'!$B:$B,$A11,'Таблиця 1'!$I:$I,"Mi-8",'Таблиця 1'!$L:$L,"Уражено")+COUNTIFS('Таблиця 1'!$B:$B,$A11,'Таблиця 1'!$I:$I,"Mi-24",'Таблиця 1'!$L:$L,"Уражено"))</f>
        <v/>
      </c>
      <c r="P11">
        <f>IF($A11="","",COUNTIFS('Таблиця 1'!$B:$B,$A11,'Таблиця 1'!$I:$I,"Mi-8",'Таблиця 1'!$L:$L,"НЕ уражено")+COUNTIFS('Таблиця 1'!$B:$B,$A11,'Таблиця 1'!$I:$I,"Mi-24",'Таблиця 1'!$L:$L,"НЕ уражено"))</f>
        <v/>
      </c>
    </row>
    <row r="12">
      <c r="A12" s="273">
        <f>IF(A11="","",IF(A11+1&gt;MAX('Таблиця 1'!$B:$B),"",A11+1))</f>
        <v/>
      </c>
      <c r="B12">
        <f>IF($A12="","",COUNTIFS('Таблиця 1'!$B:$B,$A12,'Таблиця 1'!$I:$I,"Mi-8")+COUNTIFS('Таблиця 1'!$B:$B,$A12,'Таблиця 1'!$I:$I,"Mi-24"))</f>
        <v/>
      </c>
      <c r="C12">
        <f>IF($A12="","",COUNTIFS('Таблиця 1'!$B:$B,$A12,'Таблиця 1'!$I:$I,"Mi-8"))</f>
        <v/>
      </c>
      <c r="D12">
        <f>IF($A12="","",COUNTIFS('Таблиця 1'!$B:$B,$A12,'Таблиця 1'!$I:$I,"Mi-24"))</f>
        <v/>
      </c>
      <c r="E12">
        <f>IF($A12="","",SUMIFS('Таблиця 1'!$K:$K,'Таблиця 1'!$B:$B,$A12,'Таблиця 1'!$I:$I,"Mi-8",'Таблиця 1'!$J:$J,"ARS-8")+SUMIFS('Таблиця 1'!$K:$K,'Таблиця 1'!$B:$B,$A12,'Таблиця 1'!$I:$I,"Mi-24",'Таблиця 1'!$J:$J,"ARS-8"))</f>
        <v/>
      </c>
      <c r="F12">
        <f>IF($A12="","",SUMIFS('Таблиця 1'!$K:$K,'Таблиця 1'!$B:$B,$A12,'Таблиця 1'!$I:$I,"Mi-8",'Таблиця 1'!$J:$J,"С-8 ком")+SUMIFS('Таблиця 1'!$K:$K,'Таблиця 1'!$B:$B,$A12,'Таблиця 1'!$I:$I,"Mi-24",'Таблиця 1'!$J:$J,"С-8 ком"))</f>
        <v/>
      </c>
      <c r="G12">
        <f>IF($A12="","",SUMIFS('Таблиця 1'!$K:$K,'Таблиця 1'!$B:$B,$A12,'Таблиця 1'!$I:$I,"Mi-8",'Таблиця 1'!$J:$J,"PC-80")+SUMIFS('Таблиця 1'!$K:$K,'Таблиця 1'!$B:$B,$A12,'Таблиця 1'!$I:$I,"Mi-24",'Таблиця 1'!$J:$J,"PC-80"))</f>
        <v/>
      </c>
      <c r="H12">
        <f>IF($A12="","",SUMIFS('Таблиця 1'!$K:$K,'Таблиця 1'!$B:$B,$A12,'Таблиця 1'!$I:$I,"Mi-8",'Таблиця 1'!$J:$J,"UAR-80")+SUMIFS('Таблиця 1'!$K:$K,'Таблиця 1'!$B:$B,$A12,'Таблиця 1'!$I:$I,"Mi-24",'Таблиця 1'!$J:$J,"UAR-80"))</f>
        <v/>
      </c>
      <c r="I12">
        <f>IF($A12="","",SUMIFS('Таблиця 1'!$K:$K,'Таблиця 1'!$B:$B,$A12,'Таблиця 1'!$I:$I,"Mi-8",'Таблиця 1'!$J:$J,"C-13")+SUMIFS('Таблиця 1'!$K:$K,'Таблиця 1'!$B:$B,$A12,'Таблиця 1'!$I:$I,"Mi-24",'Таблиця 1'!$J:$J,"C-13"))</f>
        <v/>
      </c>
      <c r="J12">
        <f>IF($A12="","",SUMIFS('Таблиця 1'!$K:$K,'Таблиця 1'!$B:$B,$A12,'Таблиця 1'!$I:$I,"Mi-8",'Таблиця 1'!$J:$J,"Hydra-70")+SUMIFS('Таблиця 1'!$K:$K,'Таблиця 1'!$B:$B,$A12,'Таблиця 1'!$I:$I,"Mi-24",'Таблиця 1'!$J:$J,"Hydra-70"))</f>
        <v/>
      </c>
      <c r="K12">
        <f>IF($A12="","",SUMIFS('Таблиця 1'!$K:$K,'Таблиця 1'!$B:$B,$A12,'Таблиця 1'!$I:$I,"Mi-8",'Таблиця 1'!$J:$J,"Thales-70")+SUMIFS('Таблиця 1'!$K:$K,'Таблиця 1'!$B:$B,$A12,'Таблиця 1'!$I:$I,"Mi-24",'Таблиця 1'!$J:$J,"Thales-70"))</f>
        <v/>
      </c>
      <c r="L12">
        <f>IF($A12="","",SUMIFS('Таблиця 1'!$K:$K,'Таблиця 1'!$B:$B,$A12,'Таблиця 1'!$I:$I,"Mi-8",'Таблиця 1'!$J:$J,"Thales-FZ")+SUMIFS('Таблиця 1'!$K:$K,'Таблиця 1'!$B:$B,$A12,'Таблиця 1'!$I:$I,"Mi-24",'Таблиця 1'!$J:$J,"Thales-FZ"))</f>
        <v/>
      </c>
      <c r="M12">
        <f>IF($A12="","",SUMIFS('Таблиця 1'!$K:$K,'Таблиця 1'!$B:$B,$A12,'Таблиця 1'!$I:$I,"Mi-8",'Таблиця 1'!$J:$J,"МК-40")+SUMIFS('Таблиця 1'!$K:$K,'Таблиця 1'!$B:$B,$A12,'Таблиця 1'!$I:$I,"Mi-24",'Таблиця 1'!$J:$J,"МК-40"))</f>
        <v/>
      </c>
      <c r="N12">
        <f>IF($A12="","",SUMIFS('Таблиця 1'!$K:$K,'Таблиця 1'!$B:$B,$A12,'Таблиця 1'!$I:$I,"Mi-8",'Таблиця 1'!$J:$J,"Zuni")+SUMIFS('Таблиця 1'!$K:$K,'Таблиця 1'!$B:$B,$A12,'Таблиця 1'!$I:$I,"Mi-24",'Таблиця 1'!$J:$J,"Zuni"))</f>
        <v/>
      </c>
      <c r="O12">
        <f>IF($A12="","",COUNTIFS('Таблиця 1'!$B:$B,$A12,'Таблиця 1'!$I:$I,"Mi-8",'Таблиця 1'!$L:$L,"Уражено")+COUNTIFS('Таблиця 1'!$B:$B,$A12,'Таблиця 1'!$I:$I,"Mi-24",'Таблиця 1'!$L:$L,"Уражено"))</f>
        <v/>
      </c>
      <c r="P12">
        <f>IF($A12="","",COUNTIFS('Таблиця 1'!$B:$B,$A12,'Таблиця 1'!$I:$I,"Mi-8",'Таблиця 1'!$L:$L,"НЕ уражено")+COUNTIFS('Таблиця 1'!$B:$B,$A12,'Таблиця 1'!$I:$I,"Mi-24",'Таблиця 1'!$L:$L,"НЕ уражено"))</f>
        <v/>
      </c>
    </row>
    <row r="13">
      <c r="A13" s="273">
        <f>IF(A12="","",IF(A12+1&gt;MAX('Таблиця 1'!$B:$B),"",A12+1))</f>
        <v/>
      </c>
      <c r="B13">
        <f>IF($A13="","",COUNTIFS('Таблиця 1'!$B:$B,$A13,'Таблиця 1'!$I:$I,"Mi-8")+COUNTIFS('Таблиця 1'!$B:$B,$A13,'Таблиця 1'!$I:$I,"Mi-24"))</f>
        <v/>
      </c>
      <c r="C13">
        <f>IF($A13="","",COUNTIFS('Таблиця 1'!$B:$B,$A13,'Таблиця 1'!$I:$I,"Mi-8"))</f>
        <v/>
      </c>
      <c r="D13">
        <f>IF($A13="","",COUNTIFS('Таблиця 1'!$B:$B,$A13,'Таблиця 1'!$I:$I,"Mi-24"))</f>
        <v/>
      </c>
      <c r="E13">
        <f>IF($A13="","",SUMIFS('Таблиця 1'!$K:$K,'Таблиця 1'!$B:$B,$A13,'Таблиця 1'!$I:$I,"Mi-8",'Таблиця 1'!$J:$J,"ARS-8")+SUMIFS('Таблиця 1'!$K:$K,'Таблиця 1'!$B:$B,$A13,'Таблиця 1'!$I:$I,"Mi-24",'Таблиця 1'!$J:$J,"ARS-8"))</f>
        <v/>
      </c>
      <c r="F13">
        <f>IF($A13="","",SUMIFS('Таблиця 1'!$K:$K,'Таблиця 1'!$B:$B,$A13,'Таблиця 1'!$I:$I,"Mi-8",'Таблиця 1'!$J:$J,"С-8 ком")+SUMIFS('Таблиця 1'!$K:$K,'Таблиця 1'!$B:$B,$A13,'Таблиця 1'!$I:$I,"Mi-24",'Таблиця 1'!$J:$J,"С-8 ком"))</f>
        <v/>
      </c>
      <c r="G13">
        <f>IF($A13="","",SUMIFS('Таблиця 1'!$K:$K,'Таблиця 1'!$B:$B,$A13,'Таблиця 1'!$I:$I,"Mi-8",'Таблиця 1'!$J:$J,"PC-80")+SUMIFS('Таблиця 1'!$K:$K,'Таблиця 1'!$B:$B,$A13,'Таблиця 1'!$I:$I,"Mi-24",'Таблиця 1'!$J:$J,"PC-80"))</f>
        <v/>
      </c>
      <c r="H13">
        <f>IF($A13="","",SUMIFS('Таблиця 1'!$K:$K,'Таблиця 1'!$B:$B,$A13,'Таблиця 1'!$I:$I,"Mi-8",'Таблиця 1'!$J:$J,"UAR-80")+SUMIFS('Таблиця 1'!$K:$K,'Таблиця 1'!$B:$B,$A13,'Таблиця 1'!$I:$I,"Mi-24",'Таблиця 1'!$J:$J,"UAR-80"))</f>
        <v/>
      </c>
      <c r="I13">
        <f>IF($A13="","",SUMIFS('Таблиця 1'!$K:$K,'Таблиця 1'!$B:$B,$A13,'Таблиця 1'!$I:$I,"Mi-8",'Таблиця 1'!$J:$J,"C-13")+SUMIFS('Таблиця 1'!$K:$K,'Таблиця 1'!$B:$B,$A13,'Таблиця 1'!$I:$I,"Mi-24",'Таблиця 1'!$J:$J,"C-13"))</f>
        <v/>
      </c>
      <c r="J13">
        <f>IF($A13="","",SUMIFS('Таблиця 1'!$K:$K,'Таблиця 1'!$B:$B,$A13,'Таблиця 1'!$I:$I,"Mi-8",'Таблиця 1'!$J:$J,"Hydra-70")+SUMIFS('Таблиця 1'!$K:$K,'Таблиця 1'!$B:$B,$A13,'Таблиця 1'!$I:$I,"Mi-24",'Таблиця 1'!$J:$J,"Hydra-70"))</f>
        <v/>
      </c>
      <c r="K13">
        <f>IF($A13="","",SUMIFS('Таблиця 1'!$K:$K,'Таблиця 1'!$B:$B,$A13,'Таблиця 1'!$I:$I,"Mi-8",'Таблиця 1'!$J:$J,"Thales-70")+SUMIFS('Таблиця 1'!$K:$K,'Таблиця 1'!$B:$B,$A13,'Таблиця 1'!$I:$I,"Mi-24",'Таблиця 1'!$J:$J,"Thales-70"))</f>
        <v/>
      </c>
      <c r="L13">
        <f>IF($A13="","",SUMIFS('Таблиця 1'!$K:$K,'Таблиця 1'!$B:$B,$A13,'Таблиця 1'!$I:$I,"Mi-8",'Таблиця 1'!$J:$J,"Thales-FZ")+SUMIFS('Таблиця 1'!$K:$K,'Таблиця 1'!$B:$B,$A13,'Таблиця 1'!$I:$I,"Mi-24",'Таблиця 1'!$J:$J,"Thales-FZ"))</f>
        <v/>
      </c>
      <c r="M13">
        <f>IF($A13="","",SUMIFS('Таблиця 1'!$K:$K,'Таблиця 1'!$B:$B,$A13,'Таблиця 1'!$I:$I,"Mi-8",'Таблиця 1'!$J:$J,"МК-40")+SUMIFS('Таблиця 1'!$K:$K,'Таблиця 1'!$B:$B,$A13,'Таблиця 1'!$I:$I,"Mi-24",'Таблиця 1'!$J:$J,"МК-40"))</f>
        <v/>
      </c>
      <c r="N13">
        <f>IF($A13="","",SUMIFS('Таблиця 1'!$K:$K,'Таблиця 1'!$B:$B,$A13,'Таблиця 1'!$I:$I,"Mi-8",'Таблиця 1'!$J:$J,"Zuni")+SUMIFS('Таблиця 1'!$K:$K,'Таблиця 1'!$B:$B,$A13,'Таблиця 1'!$I:$I,"Mi-24",'Таблиця 1'!$J:$J,"Zuni"))</f>
        <v/>
      </c>
      <c r="O13">
        <f>IF($A13="","",COUNTIFS('Таблиця 1'!$B:$B,$A13,'Таблиця 1'!$I:$I,"Mi-8",'Таблиця 1'!$L:$L,"Уражено")+COUNTIFS('Таблиця 1'!$B:$B,$A13,'Таблиця 1'!$I:$I,"Mi-24",'Таблиця 1'!$L:$L,"Уражено"))</f>
        <v/>
      </c>
      <c r="P13">
        <f>IF($A13="","",COUNTIFS('Таблиця 1'!$B:$B,$A13,'Таблиця 1'!$I:$I,"Mi-8",'Таблиця 1'!$L:$L,"НЕ уражено")+COUNTIFS('Таблиця 1'!$B:$B,$A13,'Таблиця 1'!$I:$I,"Mi-24",'Таблиця 1'!$L:$L,"НЕ уражено"))</f>
        <v/>
      </c>
    </row>
    <row r="14">
      <c r="A14" s="273">
        <f>IF(A13="","",IF(A13+1&gt;MAX('Таблиця 1'!$B:$B),"",A13+1))</f>
        <v/>
      </c>
      <c r="B14">
        <f>IF($A14="","",COUNTIFS('Таблиця 1'!$B:$B,$A14,'Таблиця 1'!$I:$I,"Mi-8")+COUNTIFS('Таблиця 1'!$B:$B,$A14,'Таблиця 1'!$I:$I,"Mi-24"))</f>
        <v/>
      </c>
      <c r="C14">
        <f>IF($A14="","",COUNTIFS('Таблиця 1'!$B:$B,$A14,'Таблиця 1'!$I:$I,"Mi-8"))</f>
        <v/>
      </c>
      <c r="D14">
        <f>IF($A14="","",COUNTIFS('Таблиця 1'!$B:$B,$A14,'Таблиця 1'!$I:$I,"Mi-24"))</f>
        <v/>
      </c>
      <c r="E14">
        <f>IF($A14="","",SUMIFS('Таблиця 1'!$K:$K,'Таблиця 1'!$B:$B,$A14,'Таблиця 1'!$I:$I,"Mi-8",'Таблиця 1'!$J:$J,"ARS-8")+SUMIFS('Таблиця 1'!$K:$K,'Таблиця 1'!$B:$B,$A14,'Таблиця 1'!$I:$I,"Mi-24",'Таблиця 1'!$J:$J,"ARS-8"))</f>
        <v/>
      </c>
      <c r="F14">
        <f>IF($A14="","",SUMIFS('Таблиця 1'!$K:$K,'Таблиця 1'!$B:$B,$A14,'Таблиця 1'!$I:$I,"Mi-8",'Таблиця 1'!$J:$J,"С-8 ком")+SUMIFS('Таблиця 1'!$K:$K,'Таблиця 1'!$B:$B,$A14,'Таблиця 1'!$I:$I,"Mi-24",'Таблиця 1'!$J:$J,"С-8 ком"))</f>
        <v/>
      </c>
      <c r="G14">
        <f>IF($A14="","",SUMIFS('Таблиця 1'!$K:$K,'Таблиця 1'!$B:$B,$A14,'Таблиця 1'!$I:$I,"Mi-8",'Таблиця 1'!$J:$J,"PC-80")+SUMIFS('Таблиця 1'!$K:$K,'Таблиця 1'!$B:$B,$A14,'Таблиця 1'!$I:$I,"Mi-24",'Таблиця 1'!$J:$J,"PC-80"))</f>
        <v/>
      </c>
      <c r="H14">
        <f>IF($A14="","",SUMIFS('Таблиця 1'!$K:$K,'Таблиця 1'!$B:$B,$A14,'Таблиця 1'!$I:$I,"Mi-8",'Таблиця 1'!$J:$J,"UAR-80")+SUMIFS('Таблиця 1'!$K:$K,'Таблиця 1'!$B:$B,$A14,'Таблиця 1'!$I:$I,"Mi-24",'Таблиця 1'!$J:$J,"UAR-80"))</f>
        <v/>
      </c>
      <c r="I14">
        <f>IF($A14="","",SUMIFS('Таблиця 1'!$K:$K,'Таблиця 1'!$B:$B,$A14,'Таблиця 1'!$I:$I,"Mi-8",'Таблиця 1'!$J:$J,"C-13")+SUMIFS('Таблиця 1'!$K:$K,'Таблиця 1'!$B:$B,$A14,'Таблиця 1'!$I:$I,"Mi-24",'Таблиця 1'!$J:$J,"C-13"))</f>
        <v/>
      </c>
      <c r="J14">
        <f>IF($A14="","",SUMIFS('Таблиця 1'!$K:$K,'Таблиця 1'!$B:$B,$A14,'Таблиця 1'!$I:$I,"Mi-8",'Таблиця 1'!$J:$J,"Hydra-70")+SUMIFS('Таблиця 1'!$K:$K,'Таблиця 1'!$B:$B,$A14,'Таблиця 1'!$I:$I,"Mi-24",'Таблиця 1'!$J:$J,"Hydra-70"))</f>
        <v/>
      </c>
      <c r="K14">
        <f>IF($A14="","",SUMIFS('Таблиця 1'!$K:$K,'Таблиця 1'!$B:$B,$A14,'Таблиця 1'!$I:$I,"Mi-8",'Таблиця 1'!$J:$J,"Thales-70")+SUMIFS('Таблиця 1'!$K:$K,'Таблиця 1'!$B:$B,$A14,'Таблиця 1'!$I:$I,"Mi-24",'Таблиця 1'!$J:$J,"Thales-70"))</f>
        <v/>
      </c>
      <c r="L14">
        <f>IF($A14="","",SUMIFS('Таблиця 1'!$K:$K,'Таблиця 1'!$B:$B,$A14,'Таблиця 1'!$I:$I,"Mi-8",'Таблиця 1'!$J:$J,"Thales-FZ")+SUMIFS('Таблиця 1'!$K:$K,'Таблиця 1'!$B:$B,$A14,'Таблиця 1'!$I:$I,"Mi-24",'Таблиця 1'!$J:$J,"Thales-FZ"))</f>
        <v/>
      </c>
      <c r="M14">
        <f>IF($A14="","",SUMIFS('Таблиця 1'!$K:$K,'Таблиця 1'!$B:$B,$A14,'Таблиця 1'!$I:$I,"Mi-8",'Таблиця 1'!$J:$J,"МК-40")+SUMIFS('Таблиця 1'!$K:$K,'Таблиця 1'!$B:$B,$A14,'Таблиця 1'!$I:$I,"Mi-24",'Таблиця 1'!$J:$J,"МК-40"))</f>
        <v/>
      </c>
      <c r="N14">
        <f>IF($A14="","",SUMIFS('Таблиця 1'!$K:$K,'Таблиця 1'!$B:$B,$A14,'Таблиця 1'!$I:$I,"Mi-8",'Таблиця 1'!$J:$J,"Zuni")+SUMIFS('Таблиця 1'!$K:$K,'Таблиця 1'!$B:$B,$A14,'Таблиця 1'!$I:$I,"Mi-24",'Таблиця 1'!$J:$J,"Zuni"))</f>
        <v/>
      </c>
      <c r="O14">
        <f>IF($A14="","",COUNTIFS('Таблиця 1'!$B:$B,$A14,'Таблиця 1'!$I:$I,"Mi-8",'Таблиця 1'!$L:$L,"Уражено")+COUNTIFS('Таблиця 1'!$B:$B,$A14,'Таблиця 1'!$I:$I,"Mi-24",'Таблиця 1'!$L:$L,"Уражено"))</f>
        <v/>
      </c>
      <c r="P14">
        <f>IF($A14="","",COUNTIFS('Таблиця 1'!$B:$B,$A14,'Таблиця 1'!$I:$I,"Mi-8",'Таблиця 1'!$L:$L,"НЕ уражено")+COUNTIFS('Таблиця 1'!$B:$B,$A14,'Таблиця 1'!$I:$I,"Mi-24",'Таблиця 1'!$L:$L,"НЕ уражено"))</f>
        <v/>
      </c>
    </row>
    <row r="15">
      <c r="A15" s="273">
        <f>IF(A14="","",IF(A14+1&gt;MAX('Таблиця 1'!$B:$B),"",A14+1))</f>
        <v/>
      </c>
      <c r="B15">
        <f>IF($A15="","",COUNTIFS('Таблиця 1'!$B:$B,$A15,'Таблиця 1'!$I:$I,"Mi-8")+COUNTIFS('Таблиця 1'!$B:$B,$A15,'Таблиця 1'!$I:$I,"Mi-24"))</f>
        <v/>
      </c>
      <c r="C15">
        <f>IF($A15="","",COUNTIFS('Таблиця 1'!$B:$B,$A15,'Таблиця 1'!$I:$I,"Mi-8"))</f>
        <v/>
      </c>
      <c r="D15">
        <f>IF($A15="","",COUNTIFS('Таблиця 1'!$B:$B,$A15,'Таблиця 1'!$I:$I,"Mi-24"))</f>
        <v/>
      </c>
      <c r="E15">
        <f>IF($A15="","",SUMIFS('Таблиця 1'!$K:$K,'Таблиця 1'!$B:$B,$A15,'Таблиця 1'!$I:$I,"Mi-8",'Таблиця 1'!$J:$J,"ARS-8")+SUMIFS('Таблиця 1'!$K:$K,'Таблиця 1'!$B:$B,$A15,'Таблиця 1'!$I:$I,"Mi-24",'Таблиця 1'!$J:$J,"ARS-8"))</f>
        <v/>
      </c>
      <c r="F15">
        <f>IF($A15="","",SUMIFS('Таблиця 1'!$K:$K,'Таблиця 1'!$B:$B,$A15,'Таблиця 1'!$I:$I,"Mi-8",'Таблиця 1'!$J:$J,"С-8 ком")+SUMIFS('Таблиця 1'!$K:$K,'Таблиця 1'!$B:$B,$A15,'Таблиця 1'!$I:$I,"Mi-24",'Таблиця 1'!$J:$J,"С-8 ком"))</f>
        <v/>
      </c>
      <c r="G15">
        <f>IF($A15="","",SUMIFS('Таблиця 1'!$K:$K,'Таблиця 1'!$B:$B,$A15,'Таблиця 1'!$I:$I,"Mi-8",'Таблиця 1'!$J:$J,"PC-80")+SUMIFS('Таблиця 1'!$K:$K,'Таблиця 1'!$B:$B,$A15,'Таблиця 1'!$I:$I,"Mi-24",'Таблиця 1'!$J:$J,"PC-80"))</f>
        <v/>
      </c>
      <c r="H15">
        <f>IF($A15="","",SUMIFS('Таблиця 1'!$K:$K,'Таблиця 1'!$B:$B,$A15,'Таблиця 1'!$I:$I,"Mi-8",'Таблиця 1'!$J:$J,"UAR-80")+SUMIFS('Таблиця 1'!$K:$K,'Таблиця 1'!$B:$B,$A15,'Таблиця 1'!$I:$I,"Mi-24",'Таблиця 1'!$J:$J,"UAR-80"))</f>
        <v/>
      </c>
      <c r="I15">
        <f>IF($A15="","",SUMIFS('Таблиця 1'!$K:$K,'Таблиця 1'!$B:$B,$A15,'Таблиця 1'!$I:$I,"Mi-8",'Таблиця 1'!$J:$J,"C-13")+SUMIFS('Таблиця 1'!$K:$K,'Таблиця 1'!$B:$B,$A15,'Таблиця 1'!$I:$I,"Mi-24",'Таблиця 1'!$J:$J,"C-13"))</f>
        <v/>
      </c>
      <c r="J15">
        <f>IF($A15="","",SUMIFS('Таблиця 1'!$K:$K,'Таблиця 1'!$B:$B,$A15,'Таблиця 1'!$I:$I,"Mi-8",'Таблиця 1'!$J:$J,"Hydra-70")+SUMIFS('Таблиця 1'!$K:$K,'Таблиця 1'!$B:$B,$A15,'Таблиця 1'!$I:$I,"Mi-24",'Таблиця 1'!$J:$J,"Hydra-70"))</f>
        <v/>
      </c>
      <c r="K15">
        <f>IF($A15="","",SUMIFS('Таблиця 1'!$K:$K,'Таблиця 1'!$B:$B,$A15,'Таблиця 1'!$I:$I,"Mi-8",'Таблиця 1'!$J:$J,"Thales-70")+SUMIFS('Таблиця 1'!$K:$K,'Таблиця 1'!$B:$B,$A15,'Таблиця 1'!$I:$I,"Mi-24",'Таблиця 1'!$J:$J,"Thales-70"))</f>
        <v/>
      </c>
      <c r="L15">
        <f>IF($A15="","",SUMIFS('Таблиця 1'!$K:$K,'Таблиця 1'!$B:$B,$A15,'Таблиця 1'!$I:$I,"Mi-8",'Таблиця 1'!$J:$J,"Thales-FZ")+SUMIFS('Таблиця 1'!$K:$K,'Таблиця 1'!$B:$B,$A15,'Таблиця 1'!$I:$I,"Mi-24",'Таблиця 1'!$J:$J,"Thales-FZ"))</f>
        <v/>
      </c>
      <c r="M15">
        <f>IF($A15="","",SUMIFS('Таблиця 1'!$K:$K,'Таблиця 1'!$B:$B,$A15,'Таблиця 1'!$I:$I,"Mi-8",'Таблиця 1'!$J:$J,"МК-40")+SUMIFS('Таблиця 1'!$K:$K,'Таблиця 1'!$B:$B,$A15,'Таблиця 1'!$I:$I,"Mi-24",'Таблиця 1'!$J:$J,"МК-40"))</f>
        <v/>
      </c>
      <c r="N15">
        <f>IF($A15="","",SUMIFS('Таблиця 1'!$K:$K,'Таблиця 1'!$B:$B,$A15,'Таблиця 1'!$I:$I,"Mi-8",'Таблиця 1'!$J:$J,"Zuni")+SUMIFS('Таблиця 1'!$K:$K,'Таблиця 1'!$B:$B,$A15,'Таблиця 1'!$I:$I,"Mi-24",'Таблиця 1'!$J:$J,"Zuni"))</f>
        <v/>
      </c>
      <c r="O15">
        <f>IF($A15="","",COUNTIFS('Таблиця 1'!$B:$B,$A15,'Таблиця 1'!$I:$I,"Mi-8",'Таблиця 1'!$L:$L,"Уражено")+COUNTIFS('Таблиця 1'!$B:$B,$A15,'Таблиця 1'!$I:$I,"Mi-24",'Таблиця 1'!$L:$L,"Уражено"))</f>
        <v/>
      </c>
      <c r="P15">
        <f>IF($A15="","",COUNTIFS('Таблиця 1'!$B:$B,$A15,'Таблиця 1'!$I:$I,"Mi-8",'Таблиця 1'!$L:$L,"НЕ уражено")+COUNTIFS('Таблиця 1'!$B:$B,$A15,'Таблиця 1'!$I:$I,"Mi-24",'Таблиця 1'!$L:$L,"НЕ уражено"))</f>
        <v/>
      </c>
    </row>
    <row r="16">
      <c r="A16" s="273">
        <f>IF(A15="","",IF(A15+1&gt;MAX('Таблиця 1'!$B:$B),"",A15+1))</f>
        <v/>
      </c>
      <c r="B16">
        <f>IF($A16="","",COUNTIFS('Таблиця 1'!$B:$B,$A16,'Таблиця 1'!$I:$I,"Mi-8")+COUNTIFS('Таблиця 1'!$B:$B,$A16,'Таблиця 1'!$I:$I,"Mi-24"))</f>
        <v/>
      </c>
      <c r="C16">
        <f>IF($A16="","",COUNTIFS('Таблиця 1'!$B:$B,$A16,'Таблиця 1'!$I:$I,"Mi-8"))</f>
        <v/>
      </c>
      <c r="D16">
        <f>IF($A16="","",COUNTIFS('Таблиця 1'!$B:$B,$A16,'Таблиця 1'!$I:$I,"Mi-24"))</f>
        <v/>
      </c>
      <c r="E16">
        <f>IF($A16="","",SUMIFS('Таблиця 1'!$K:$K,'Таблиця 1'!$B:$B,$A16,'Таблиця 1'!$I:$I,"Mi-8",'Таблиця 1'!$J:$J,"ARS-8")+SUMIFS('Таблиця 1'!$K:$K,'Таблиця 1'!$B:$B,$A16,'Таблиця 1'!$I:$I,"Mi-24",'Таблиця 1'!$J:$J,"ARS-8"))</f>
        <v/>
      </c>
      <c r="F16">
        <f>IF($A16="","",SUMIFS('Таблиця 1'!$K:$K,'Таблиця 1'!$B:$B,$A16,'Таблиця 1'!$I:$I,"Mi-8",'Таблиця 1'!$J:$J,"С-8 ком")+SUMIFS('Таблиця 1'!$K:$K,'Таблиця 1'!$B:$B,$A16,'Таблиця 1'!$I:$I,"Mi-24",'Таблиця 1'!$J:$J,"С-8 ком"))</f>
        <v/>
      </c>
      <c r="G16">
        <f>IF($A16="","",SUMIFS('Таблиця 1'!$K:$K,'Таблиця 1'!$B:$B,$A16,'Таблиця 1'!$I:$I,"Mi-8",'Таблиця 1'!$J:$J,"PC-80")+SUMIFS('Таблиця 1'!$K:$K,'Таблиця 1'!$B:$B,$A16,'Таблиця 1'!$I:$I,"Mi-24",'Таблиця 1'!$J:$J,"PC-80"))</f>
        <v/>
      </c>
      <c r="H16">
        <f>IF($A16="","",SUMIFS('Таблиця 1'!$K:$K,'Таблиця 1'!$B:$B,$A16,'Таблиця 1'!$I:$I,"Mi-8",'Таблиця 1'!$J:$J,"UAR-80")+SUMIFS('Таблиця 1'!$K:$K,'Таблиця 1'!$B:$B,$A16,'Таблиця 1'!$I:$I,"Mi-24",'Таблиця 1'!$J:$J,"UAR-80"))</f>
        <v/>
      </c>
      <c r="I16">
        <f>IF($A16="","",SUMIFS('Таблиця 1'!$K:$K,'Таблиця 1'!$B:$B,$A16,'Таблиця 1'!$I:$I,"Mi-8",'Таблиця 1'!$J:$J,"C-13")+SUMIFS('Таблиця 1'!$K:$K,'Таблиця 1'!$B:$B,$A16,'Таблиця 1'!$I:$I,"Mi-24",'Таблиця 1'!$J:$J,"C-13"))</f>
        <v/>
      </c>
      <c r="J16">
        <f>IF($A16="","",SUMIFS('Таблиця 1'!$K:$K,'Таблиця 1'!$B:$B,$A16,'Таблиця 1'!$I:$I,"Mi-8",'Таблиця 1'!$J:$J,"Hydra-70")+SUMIFS('Таблиця 1'!$K:$K,'Таблиця 1'!$B:$B,$A16,'Таблиця 1'!$I:$I,"Mi-24",'Таблиця 1'!$J:$J,"Hydra-70"))</f>
        <v/>
      </c>
      <c r="K16">
        <f>IF($A16="","",SUMIFS('Таблиця 1'!$K:$K,'Таблиця 1'!$B:$B,$A16,'Таблиця 1'!$I:$I,"Mi-8",'Таблиця 1'!$J:$J,"Thales-70")+SUMIFS('Таблиця 1'!$K:$K,'Таблиця 1'!$B:$B,$A16,'Таблиця 1'!$I:$I,"Mi-24",'Таблиця 1'!$J:$J,"Thales-70"))</f>
        <v/>
      </c>
      <c r="L16">
        <f>IF($A16="","",SUMIFS('Таблиця 1'!$K:$K,'Таблиця 1'!$B:$B,$A16,'Таблиця 1'!$I:$I,"Mi-8",'Таблиця 1'!$J:$J,"Thales-FZ")+SUMIFS('Таблиця 1'!$K:$K,'Таблиця 1'!$B:$B,$A16,'Таблиця 1'!$I:$I,"Mi-24",'Таблиця 1'!$J:$J,"Thales-FZ"))</f>
        <v/>
      </c>
      <c r="M16">
        <f>IF($A16="","",SUMIFS('Таблиця 1'!$K:$K,'Таблиця 1'!$B:$B,$A16,'Таблиця 1'!$I:$I,"Mi-8",'Таблиця 1'!$J:$J,"МК-40")+SUMIFS('Таблиця 1'!$K:$K,'Таблиця 1'!$B:$B,$A16,'Таблиця 1'!$I:$I,"Mi-24",'Таблиця 1'!$J:$J,"МК-40"))</f>
        <v/>
      </c>
      <c r="N16">
        <f>IF($A16="","",SUMIFS('Таблиця 1'!$K:$K,'Таблиця 1'!$B:$B,$A16,'Таблиця 1'!$I:$I,"Mi-8",'Таблиця 1'!$J:$J,"Zuni")+SUMIFS('Таблиця 1'!$K:$K,'Таблиця 1'!$B:$B,$A16,'Таблиця 1'!$I:$I,"Mi-24",'Таблиця 1'!$J:$J,"Zuni"))</f>
        <v/>
      </c>
      <c r="O16">
        <f>IF($A16="","",COUNTIFS('Таблиця 1'!$B:$B,$A16,'Таблиця 1'!$I:$I,"Mi-8",'Таблиця 1'!$L:$L,"Уражено")+COUNTIFS('Таблиця 1'!$B:$B,$A16,'Таблиця 1'!$I:$I,"Mi-24",'Таблиця 1'!$L:$L,"Уражено"))</f>
        <v/>
      </c>
      <c r="P16">
        <f>IF($A16="","",COUNTIFS('Таблиця 1'!$B:$B,$A16,'Таблиця 1'!$I:$I,"Mi-8",'Таблиця 1'!$L:$L,"НЕ уражено")+COUNTIFS('Таблиця 1'!$B:$B,$A16,'Таблиця 1'!$I:$I,"Mi-24",'Таблиця 1'!$L:$L,"НЕ уражено"))</f>
        <v/>
      </c>
    </row>
    <row r="17">
      <c r="A17" s="273">
        <f>IF(A16="","",IF(A16+1&gt;MAX('Таблиця 1'!$B:$B),"",A16+1))</f>
        <v/>
      </c>
      <c r="B17">
        <f>IF($A17="","",COUNTIFS('Таблиця 1'!$B:$B,$A17,'Таблиця 1'!$I:$I,"Mi-8")+COUNTIFS('Таблиця 1'!$B:$B,$A17,'Таблиця 1'!$I:$I,"Mi-24"))</f>
        <v/>
      </c>
      <c r="C17">
        <f>IF($A17="","",COUNTIFS('Таблиця 1'!$B:$B,$A17,'Таблиця 1'!$I:$I,"Mi-8"))</f>
        <v/>
      </c>
      <c r="D17">
        <f>IF($A17="","",COUNTIFS('Таблиця 1'!$B:$B,$A17,'Таблиця 1'!$I:$I,"Mi-24"))</f>
        <v/>
      </c>
      <c r="E17">
        <f>IF($A17="","",SUMIFS('Таблиця 1'!$K:$K,'Таблиця 1'!$B:$B,$A17,'Таблиця 1'!$I:$I,"Mi-8",'Таблиця 1'!$J:$J,"ARS-8")+SUMIFS('Таблиця 1'!$K:$K,'Таблиця 1'!$B:$B,$A17,'Таблиця 1'!$I:$I,"Mi-24",'Таблиця 1'!$J:$J,"ARS-8"))</f>
        <v/>
      </c>
      <c r="F17">
        <f>IF($A17="","",SUMIFS('Таблиця 1'!$K:$K,'Таблиця 1'!$B:$B,$A17,'Таблиця 1'!$I:$I,"Mi-8",'Таблиця 1'!$J:$J,"С-8 ком")+SUMIFS('Таблиця 1'!$K:$K,'Таблиця 1'!$B:$B,$A17,'Таблиця 1'!$I:$I,"Mi-24",'Таблиця 1'!$J:$J,"С-8 ком"))</f>
        <v/>
      </c>
      <c r="G17">
        <f>IF($A17="","",SUMIFS('Таблиця 1'!$K:$K,'Таблиця 1'!$B:$B,$A17,'Таблиця 1'!$I:$I,"Mi-8",'Таблиця 1'!$J:$J,"PC-80")+SUMIFS('Таблиця 1'!$K:$K,'Таблиця 1'!$B:$B,$A17,'Таблиця 1'!$I:$I,"Mi-24",'Таблиця 1'!$J:$J,"PC-80"))</f>
        <v/>
      </c>
      <c r="H17">
        <f>IF($A17="","",SUMIFS('Таблиця 1'!$K:$K,'Таблиця 1'!$B:$B,$A17,'Таблиця 1'!$I:$I,"Mi-8",'Таблиця 1'!$J:$J,"UAR-80")+SUMIFS('Таблиця 1'!$K:$K,'Таблиця 1'!$B:$B,$A17,'Таблиця 1'!$I:$I,"Mi-24",'Таблиця 1'!$J:$J,"UAR-80"))</f>
        <v/>
      </c>
      <c r="I17">
        <f>IF($A17="","",SUMIFS('Таблиця 1'!$K:$K,'Таблиця 1'!$B:$B,$A17,'Таблиця 1'!$I:$I,"Mi-8",'Таблиця 1'!$J:$J,"C-13")+SUMIFS('Таблиця 1'!$K:$K,'Таблиця 1'!$B:$B,$A17,'Таблиця 1'!$I:$I,"Mi-24",'Таблиця 1'!$J:$J,"C-13"))</f>
        <v/>
      </c>
      <c r="J17">
        <f>IF($A17="","",SUMIFS('Таблиця 1'!$K:$K,'Таблиця 1'!$B:$B,$A17,'Таблиця 1'!$I:$I,"Mi-8",'Таблиця 1'!$J:$J,"Hydra-70")+SUMIFS('Таблиця 1'!$K:$K,'Таблиця 1'!$B:$B,$A17,'Таблиця 1'!$I:$I,"Mi-24",'Таблиця 1'!$J:$J,"Hydra-70"))</f>
        <v/>
      </c>
      <c r="K17">
        <f>IF($A17="","",SUMIFS('Таблиця 1'!$K:$K,'Таблиця 1'!$B:$B,$A17,'Таблиця 1'!$I:$I,"Mi-8",'Таблиця 1'!$J:$J,"Thales-70")+SUMIFS('Таблиця 1'!$K:$K,'Таблиця 1'!$B:$B,$A17,'Таблиця 1'!$I:$I,"Mi-24",'Таблиця 1'!$J:$J,"Thales-70"))</f>
        <v/>
      </c>
      <c r="L17">
        <f>IF($A17="","",SUMIFS('Таблиця 1'!$K:$K,'Таблиця 1'!$B:$B,$A17,'Таблиця 1'!$I:$I,"Mi-8",'Таблиця 1'!$J:$J,"Thales-FZ")+SUMIFS('Таблиця 1'!$K:$K,'Таблиця 1'!$B:$B,$A17,'Таблиця 1'!$I:$I,"Mi-24",'Таблиця 1'!$J:$J,"Thales-FZ"))</f>
        <v/>
      </c>
      <c r="M17">
        <f>IF($A17="","",SUMIFS('Таблиця 1'!$K:$K,'Таблиця 1'!$B:$B,$A17,'Таблиця 1'!$I:$I,"Mi-8",'Таблиця 1'!$J:$J,"МК-40")+SUMIFS('Таблиця 1'!$K:$K,'Таблиця 1'!$B:$B,$A17,'Таблиця 1'!$I:$I,"Mi-24",'Таблиця 1'!$J:$J,"МК-40"))</f>
        <v/>
      </c>
      <c r="N17">
        <f>IF($A17="","",SUMIFS('Таблиця 1'!$K:$K,'Таблиця 1'!$B:$B,$A17,'Таблиця 1'!$I:$I,"Mi-8",'Таблиця 1'!$J:$J,"Zuni")+SUMIFS('Таблиця 1'!$K:$K,'Таблиця 1'!$B:$B,$A17,'Таблиця 1'!$I:$I,"Mi-24",'Таблиця 1'!$J:$J,"Zuni"))</f>
        <v/>
      </c>
      <c r="O17">
        <f>IF($A17="","",COUNTIFS('Таблиця 1'!$B:$B,$A17,'Таблиця 1'!$I:$I,"Mi-8",'Таблиця 1'!$L:$L,"Уражено")+COUNTIFS('Таблиця 1'!$B:$B,$A17,'Таблиця 1'!$I:$I,"Mi-24",'Таблиця 1'!$L:$L,"Уражено"))</f>
        <v/>
      </c>
      <c r="P17">
        <f>IF($A17="","",COUNTIFS('Таблиця 1'!$B:$B,$A17,'Таблиця 1'!$I:$I,"Mi-8",'Таблиця 1'!$L:$L,"НЕ уражено")+COUNTIFS('Таблиця 1'!$B:$B,$A17,'Таблиця 1'!$I:$I,"Mi-24",'Таблиця 1'!$L:$L,"НЕ уражено"))</f>
        <v/>
      </c>
    </row>
    <row r="18">
      <c r="A18" s="273">
        <f>IF(A17="","",IF(A17+1&gt;MAX('Таблиця 1'!$B:$B),"",A17+1))</f>
        <v/>
      </c>
      <c r="B18">
        <f>IF($A18="","",COUNTIFS('Таблиця 1'!$B:$B,$A18,'Таблиця 1'!$I:$I,"Mi-8")+COUNTIFS('Таблиця 1'!$B:$B,$A18,'Таблиця 1'!$I:$I,"Mi-24"))</f>
        <v/>
      </c>
      <c r="C18">
        <f>IF($A18="","",COUNTIFS('Таблиця 1'!$B:$B,$A18,'Таблиця 1'!$I:$I,"Mi-8"))</f>
        <v/>
      </c>
      <c r="D18">
        <f>IF($A18="","",COUNTIFS('Таблиця 1'!$B:$B,$A18,'Таблиця 1'!$I:$I,"Mi-24"))</f>
        <v/>
      </c>
      <c r="E18">
        <f>IF($A18="","",SUMIFS('Таблиця 1'!$K:$K,'Таблиця 1'!$B:$B,$A18,'Таблиця 1'!$I:$I,"Mi-8",'Таблиця 1'!$J:$J,"ARS-8")+SUMIFS('Таблиця 1'!$K:$K,'Таблиця 1'!$B:$B,$A18,'Таблиця 1'!$I:$I,"Mi-24",'Таблиця 1'!$J:$J,"ARS-8"))</f>
        <v/>
      </c>
      <c r="F18">
        <f>IF($A18="","",SUMIFS('Таблиця 1'!$K:$K,'Таблиця 1'!$B:$B,$A18,'Таблиця 1'!$I:$I,"Mi-8",'Таблиця 1'!$J:$J,"С-8 ком")+SUMIFS('Таблиця 1'!$K:$K,'Таблиця 1'!$B:$B,$A18,'Таблиця 1'!$I:$I,"Mi-24",'Таблиця 1'!$J:$J,"С-8 ком"))</f>
        <v/>
      </c>
      <c r="G18">
        <f>IF($A18="","",SUMIFS('Таблиця 1'!$K:$K,'Таблиця 1'!$B:$B,$A18,'Таблиця 1'!$I:$I,"Mi-8",'Таблиця 1'!$J:$J,"PC-80")+SUMIFS('Таблиця 1'!$K:$K,'Таблиця 1'!$B:$B,$A18,'Таблиця 1'!$I:$I,"Mi-24",'Таблиця 1'!$J:$J,"PC-80"))</f>
        <v/>
      </c>
      <c r="H18">
        <f>IF($A18="","",SUMIFS('Таблиця 1'!$K:$K,'Таблиця 1'!$B:$B,$A18,'Таблиця 1'!$I:$I,"Mi-8",'Таблиця 1'!$J:$J,"UAR-80")+SUMIFS('Таблиця 1'!$K:$K,'Таблиця 1'!$B:$B,$A18,'Таблиця 1'!$I:$I,"Mi-24",'Таблиця 1'!$J:$J,"UAR-80"))</f>
        <v/>
      </c>
      <c r="I18">
        <f>IF($A18="","",SUMIFS('Таблиця 1'!$K:$K,'Таблиця 1'!$B:$B,$A18,'Таблиця 1'!$I:$I,"Mi-8",'Таблиця 1'!$J:$J,"C-13")+SUMIFS('Таблиця 1'!$K:$K,'Таблиця 1'!$B:$B,$A18,'Таблиця 1'!$I:$I,"Mi-24",'Таблиця 1'!$J:$J,"C-13"))</f>
        <v/>
      </c>
      <c r="J18">
        <f>IF($A18="","",SUMIFS('Таблиця 1'!$K:$K,'Таблиця 1'!$B:$B,$A18,'Таблиця 1'!$I:$I,"Mi-8",'Таблиця 1'!$J:$J,"Hydra-70")+SUMIFS('Таблиця 1'!$K:$K,'Таблиця 1'!$B:$B,$A18,'Таблиця 1'!$I:$I,"Mi-24",'Таблиця 1'!$J:$J,"Hydra-70"))</f>
        <v/>
      </c>
      <c r="K18">
        <f>IF($A18="","",SUMIFS('Таблиця 1'!$K:$K,'Таблиця 1'!$B:$B,$A18,'Таблиця 1'!$I:$I,"Mi-8",'Таблиця 1'!$J:$J,"Thales-70")+SUMIFS('Таблиця 1'!$K:$K,'Таблиця 1'!$B:$B,$A18,'Таблиця 1'!$I:$I,"Mi-24",'Таблиця 1'!$J:$J,"Thales-70"))</f>
        <v/>
      </c>
      <c r="L18">
        <f>IF($A18="","",SUMIFS('Таблиця 1'!$K:$K,'Таблиця 1'!$B:$B,$A18,'Таблиця 1'!$I:$I,"Mi-8",'Таблиця 1'!$J:$J,"Thales-FZ")+SUMIFS('Таблиця 1'!$K:$K,'Таблиця 1'!$B:$B,$A18,'Таблиця 1'!$I:$I,"Mi-24",'Таблиця 1'!$J:$J,"Thales-FZ"))</f>
        <v/>
      </c>
      <c r="M18">
        <f>IF($A18="","",SUMIFS('Таблиця 1'!$K:$K,'Таблиця 1'!$B:$B,$A18,'Таблиця 1'!$I:$I,"Mi-8",'Таблиця 1'!$J:$J,"МК-40")+SUMIFS('Таблиця 1'!$K:$K,'Таблиця 1'!$B:$B,$A18,'Таблиця 1'!$I:$I,"Mi-24",'Таблиця 1'!$J:$J,"МК-40"))</f>
        <v/>
      </c>
      <c r="N18">
        <f>IF($A18="","",SUMIFS('Таблиця 1'!$K:$K,'Таблиця 1'!$B:$B,$A18,'Таблиця 1'!$I:$I,"Mi-8",'Таблиця 1'!$J:$J,"Zuni")+SUMIFS('Таблиця 1'!$K:$K,'Таблиця 1'!$B:$B,$A18,'Таблиця 1'!$I:$I,"Mi-24",'Таблиця 1'!$J:$J,"Zuni"))</f>
        <v/>
      </c>
      <c r="O18">
        <f>IF($A18="","",COUNTIFS('Таблиця 1'!$B:$B,$A18,'Таблиця 1'!$I:$I,"Mi-8",'Таблиця 1'!$L:$L,"Уражено")+COUNTIFS('Таблиця 1'!$B:$B,$A18,'Таблиця 1'!$I:$I,"Mi-24",'Таблиця 1'!$L:$L,"Уражено"))</f>
        <v/>
      </c>
      <c r="P18">
        <f>IF($A18="","",COUNTIFS('Таблиця 1'!$B:$B,$A18,'Таблиця 1'!$I:$I,"Mi-8",'Таблиця 1'!$L:$L,"НЕ уражено")+COUNTIFS('Таблиця 1'!$B:$B,$A18,'Таблиця 1'!$I:$I,"Mi-24",'Таблиця 1'!$L:$L,"НЕ уражено"))</f>
        <v/>
      </c>
    </row>
    <row r="19">
      <c r="A19" s="273">
        <f>IF(A18="","",IF(A18+1&gt;MAX('Таблиця 1'!$B:$B),"",A18+1))</f>
        <v/>
      </c>
      <c r="B19">
        <f>IF($A19="","",COUNTIFS('Таблиця 1'!$B:$B,$A19,'Таблиця 1'!$I:$I,"Mi-8")+COUNTIFS('Таблиця 1'!$B:$B,$A19,'Таблиця 1'!$I:$I,"Mi-24"))</f>
        <v/>
      </c>
      <c r="C19">
        <f>IF($A19="","",COUNTIFS('Таблиця 1'!$B:$B,$A19,'Таблиця 1'!$I:$I,"Mi-8"))</f>
        <v/>
      </c>
      <c r="D19">
        <f>IF($A19="","",COUNTIFS('Таблиця 1'!$B:$B,$A19,'Таблиця 1'!$I:$I,"Mi-24"))</f>
        <v/>
      </c>
      <c r="E19">
        <f>IF($A19="","",SUMIFS('Таблиця 1'!$K:$K,'Таблиця 1'!$B:$B,$A19,'Таблиця 1'!$I:$I,"Mi-8",'Таблиця 1'!$J:$J,"ARS-8")+SUMIFS('Таблиця 1'!$K:$K,'Таблиця 1'!$B:$B,$A19,'Таблиця 1'!$I:$I,"Mi-24",'Таблиця 1'!$J:$J,"ARS-8"))</f>
        <v/>
      </c>
      <c r="F19">
        <f>IF($A19="","",SUMIFS('Таблиця 1'!$K:$K,'Таблиця 1'!$B:$B,$A19,'Таблиця 1'!$I:$I,"Mi-8",'Таблиця 1'!$J:$J,"С-8 ком")+SUMIFS('Таблиця 1'!$K:$K,'Таблиця 1'!$B:$B,$A19,'Таблиця 1'!$I:$I,"Mi-24",'Таблиця 1'!$J:$J,"С-8 ком"))</f>
        <v/>
      </c>
      <c r="G19">
        <f>IF($A19="","",SUMIFS('Таблиця 1'!$K:$K,'Таблиця 1'!$B:$B,$A19,'Таблиця 1'!$I:$I,"Mi-8",'Таблиця 1'!$J:$J,"PC-80")+SUMIFS('Таблиця 1'!$K:$K,'Таблиця 1'!$B:$B,$A19,'Таблиця 1'!$I:$I,"Mi-24",'Таблиця 1'!$J:$J,"PC-80"))</f>
        <v/>
      </c>
      <c r="H19">
        <f>IF($A19="","",SUMIFS('Таблиця 1'!$K:$K,'Таблиця 1'!$B:$B,$A19,'Таблиця 1'!$I:$I,"Mi-8",'Таблиця 1'!$J:$J,"UAR-80")+SUMIFS('Таблиця 1'!$K:$K,'Таблиця 1'!$B:$B,$A19,'Таблиця 1'!$I:$I,"Mi-24",'Таблиця 1'!$J:$J,"UAR-80"))</f>
        <v/>
      </c>
      <c r="I19">
        <f>IF($A19="","",SUMIFS('Таблиця 1'!$K:$K,'Таблиця 1'!$B:$B,$A19,'Таблиця 1'!$I:$I,"Mi-8",'Таблиця 1'!$J:$J,"C-13")+SUMIFS('Таблиця 1'!$K:$K,'Таблиця 1'!$B:$B,$A19,'Таблиця 1'!$I:$I,"Mi-24",'Таблиця 1'!$J:$J,"C-13"))</f>
        <v/>
      </c>
      <c r="J19">
        <f>IF($A19="","",SUMIFS('Таблиця 1'!$K:$K,'Таблиця 1'!$B:$B,$A19,'Таблиця 1'!$I:$I,"Mi-8",'Таблиця 1'!$J:$J,"Hydra-70")+SUMIFS('Таблиця 1'!$K:$K,'Таблиця 1'!$B:$B,$A19,'Таблиця 1'!$I:$I,"Mi-24",'Таблиця 1'!$J:$J,"Hydra-70"))</f>
        <v/>
      </c>
      <c r="K19">
        <f>IF($A19="","",SUMIFS('Таблиця 1'!$K:$K,'Таблиця 1'!$B:$B,$A19,'Таблиця 1'!$I:$I,"Mi-8",'Таблиця 1'!$J:$J,"Thales-70")+SUMIFS('Таблиця 1'!$K:$K,'Таблиця 1'!$B:$B,$A19,'Таблиця 1'!$I:$I,"Mi-24",'Таблиця 1'!$J:$J,"Thales-70"))</f>
        <v/>
      </c>
      <c r="L19">
        <f>IF($A19="","",SUMIFS('Таблиця 1'!$K:$K,'Таблиця 1'!$B:$B,$A19,'Таблиця 1'!$I:$I,"Mi-8",'Таблиця 1'!$J:$J,"Thales-FZ")+SUMIFS('Таблиця 1'!$K:$K,'Таблиця 1'!$B:$B,$A19,'Таблиця 1'!$I:$I,"Mi-24",'Таблиця 1'!$J:$J,"Thales-FZ"))</f>
        <v/>
      </c>
      <c r="M19">
        <f>IF($A19="","",SUMIFS('Таблиця 1'!$K:$K,'Таблиця 1'!$B:$B,$A19,'Таблиця 1'!$I:$I,"Mi-8",'Таблиця 1'!$J:$J,"МК-40")+SUMIFS('Таблиця 1'!$K:$K,'Таблиця 1'!$B:$B,$A19,'Таблиця 1'!$I:$I,"Mi-24",'Таблиця 1'!$J:$J,"МК-40"))</f>
        <v/>
      </c>
      <c r="N19">
        <f>IF($A19="","",SUMIFS('Таблиця 1'!$K:$K,'Таблиця 1'!$B:$B,$A19,'Таблиця 1'!$I:$I,"Mi-8",'Таблиця 1'!$J:$J,"Zuni")+SUMIFS('Таблиця 1'!$K:$K,'Таблиця 1'!$B:$B,$A19,'Таблиця 1'!$I:$I,"Mi-24",'Таблиця 1'!$J:$J,"Zuni"))</f>
        <v/>
      </c>
      <c r="O19">
        <f>IF($A19="","",COUNTIFS('Таблиця 1'!$B:$B,$A19,'Таблиця 1'!$I:$I,"Mi-8",'Таблиця 1'!$L:$L,"Уражено")+COUNTIFS('Таблиця 1'!$B:$B,$A19,'Таблиця 1'!$I:$I,"Mi-24",'Таблиця 1'!$L:$L,"Уражено"))</f>
        <v/>
      </c>
      <c r="P19">
        <f>IF($A19="","",COUNTIFS('Таблиця 1'!$B:$B,$A19,'Таблиця 1'!$I:$I,"Mi-8",'Таблиця 1'!$L:$L,"НЕ уражено")+COUNTIFS('Таблиця 1'!$B:$B,$A19,'Таблиця 1'!$I:$I,"Mi-24",'Таблиця 1'!$L:$L,"НЕ уражено"))</f>
        <v/>
      </c>
    </row>
    <row r="20">
      <c r="A20" s="273">
        <f>IF(A19="","",IF(A19+1&gt;MAX('Таблиця 1'!$B:$B),"",A19+1))</f>
        <v/>
      </c>
      <c r="B20">
        <f>IF($A20="","",COUNTIFS('Таблиця 1'!$B:$B,$A20,'Таблиця 1'!$I:$I,"Mi-8")+COUNTIFS('Таблиця 1'!$B:$B,$A20,'Таблиця 1'!$I:$I,"Mi-24"))</f>
        <v/>
      </c>
      <c r="C20">
        <f>IF($A20="","",COUNTIFS('Таблиця 1'!$B:$B,$A20,'Таблиця 1'!$I:$I,"Mi-8"))</f>
        <v/>
      </c>
      <c r="D20">
        <f>IF($A20="","",COUNTIFS('Таблиця 1'!$B:$B,$A20,'Таблиця 1'!$I:$I,"Mi-24"))</f>
        <v/>
      </c>
      <c r="E20">
        <f>IF($A20="","",SUMIFS('Таблиця 1'!$K:$K,'Таблиця 1'!$B:$B,$A20,'Таблиця 1'!$I:$I,"Mi-8",'Таблиця 1'!$J:$J,"ARS-8")+SUMIFS('Таблиця 1'!$K:$K,'Таблиця 1'!$B:$B,$A20,'Таблиця 1'!$I:$I,"Mi-24",'Таблиця 1'!$J:$J,"ARS-8"))</f>
        <v/>
      </c>
      <c r="F20">
        <f>IF($A20="","",SUMIFS('Таблиця 1'!$K:$K,'Таблиця 1'!$B:$B,$A20,'Таблиця 1'!$I:$I,"Mi-8",'Таблиця 1'!$J:$J,"С-8 ком")+SUMIFS('Таблиця 1'!$K:$K,'Таблиця 1'!$B:$B,$A20,'Таблиця 1'!$I:$I,"Mi-24",'Таблиця 1'!$J:$J,"С-8 ком"))</f>
        <v/>
      </c>
      <c r="G20">
        <f>IF($A20="","",SUMIFS('Таблиця 1'!$K:$K,'Таблиця 1'!$B:$B,$A20,'Таблиця 1'!$I:$I,"Mi-8",'Таблиця 1'!$J:$J,"PC-80")+SUMIFS('Таблиця 1'!$K:$K,'Таблиця 1'!$B:$B,$A20,'Таблиця 1'!$I:$I,"Mi-24",'Таблиця 1'!$J:$J,"PC-80"))</f>
        <v/>
      </c>
      <c r="H20">
        <f>IF($A20="","",SUMIFS('Таблиця 1'!$K:$K,'Таблиця 1'!$B:$B,$A20,'Таблиця 1'!$I:$I,"Mi-8",'Таблиця 1'!$J:$J,"UAR-80")+SUMIFS('Таблиця 1'!$K:$K,'Таблиця 1'!$B:$B,$A20,'Таблиця 1'!$I:$I,"Mi-24",'Таблиця 1'!$J:$J,"UAR-80"))</f>
        <v/>
      </c>
      <c r="I20">
        <f>IF($A20="","",SUMIFS('Таблиця 1'!$K:$K,'Таблиця 1'!$B:$B,$A20,'Таблиця 1'!$I:$I,"Mi-8",'Таблиця 1'!$J:$J,"C-13")+SUMIFS('Таблиця 1'!$K:$K,'Таблиця 1'!$B:$B,$A20,'Таблиця 1'!$I:$I,"Mi-24",'Таблиця 1'!$J:$J,"C-13"))</f>
        <v/>
      </c>
      <c r="J20">
        <f>IF($A20="","",SUMIFS('Таблиця 1'!$K:$K,'Таблиця 1'!$B:$B,$A20,'Таблиця 1'!$I:$I,"Mi-8",'Таблиця 1'!$J:$J,"Hydra-70")+SUMIFS('Таблиця 1'!$K:$K,'Таблиця 1'!$B:$B,$A20,'Таблиця 1'!$I:$I,"Mi-24",'Таблиця 1'!$J:$J,"Hydra-70"))</f>
        <v/>
      </c>
      <c r="K20">
        <f>IF($A20="","",SUMIFS('Таблиця 1'!$K:$K,'Таблиця 1'!$B:$B,$A20,'Таблиця 1'!$I:$I,"Mi-8",'Таблиця 1'!$J:$J,"Thales-70")+SUMIFS('Таблиця 1'!$K:$K,'Таблиця 1'!$B:$B,$A20,'Таблиця 1'!$I:$I,"Mi-24",'Таблиця 1'!$J:$J,"Thales-70"))</f>
        <v/>
      </c>
      <c r="L20">
        <f>IF($A20="","",SUMIFS('Таблиця 1'!$K:$K,'Таблиця 1'!$B:$B,$A20,'Таблиця 1'!$I:$I,"Mi-8",'Таблиця 1'!$J:$J,"Thales-FZ")+SUMIFS('Таблиця 1'!$K:$K,'Таблиця 1'!$B:$B,$A20,'Таблиця 1'!$I:$I,"Mi-24",'Таблиця 1'!$J:$J,"Thales-FZ"))</f>
        <v/>
      </c>
      <c r="M20">
        <f>IF($A20="","",SUMIFS('Таблиця 1'!$K:$K,'Таблиця 1'!$B:$B,$A20,'Таблиця 1'!$I:$I,"Mi-8",'Таблиця 1'!$J:$J,"МК-40")+SUMIFS('Таблиця 1'!$K:$K,'Таблиця 1'!$B:$B,$A20,'Таблиця 1'!$I:$I,"Mi-24",'Таблиця 1'!$J:$J,"МК-40"))</f>
        <v/>
      </c>
      <c r="N20">
        <f>IF($A20="","",SUMIFS('Таблиця 1'!$K:$K,'Таблиця 1'!$B:$B,$A20,'Таблиця 1'!$I:$I,"Mi-8",'Таблиця 1'!$J:$J,"Zuni")+SUMIFS('Таблиця 1'!$K:$K,'Таблиця 1'!$B:$B,$A20,'Таблиця 1'!$I:$I,"Mi-24",'Таблиця 1'!$J:$J,"Zuni"))</f>
        <v/>
      </c>
      <c r="O20">
        <f>IF($A20="","",COUNTIFS('Таблиця 1'!$B:$B,$A20,'Таблиця 1'!$I:$I,"Mi-8",'Таблиця 1'!$L:$L,"Уражено")+COUNTIFS('Таблиця 1'!$B:$B,$A20,'Таблиця 1'!$I:$I,"Mi-24",'Таблиця 1'!$L:$L,"Уражено"))</f>
        <v/>
      </c>
      <c r="P20">
        <f>IF($A20="","",COUNTIFS('Таблиця 1'!$B:$B,$A20,'Таблиця 1'!$I:$I,"Mi-8",'Таблиця 1'!$L:$L,"НЕ уражено")+COUNTIFS('Таблиця 1'!$B:$B,$A20,'Таблиця 1'!$I:$I,"Mi-24",'Таблиця 1'!$L:$L,"НЕ уражено"))</f>
        <v/>
      </c>
    </row>
    <row r="21">
      <c r="A21" s="273">
        <f>IF(A20="","",IF(A20+1&gt;MAX('Таблиця 1'!$B:$B),"",A20+1))</f>
        <v/>
      </c>
      <c r="B21">
        <f>IF($A21="","",COUNTIFS('Таблиця 1'!$B:$B,$A21,'Таблиця 1'!$I:$I,"Mi-8")+COUNTIFS('Таблиця 1'!$B:$B,$A21,'Таблиця 1'!$I:$I,"Mi-24"))</f>
        <v/>
      </c>
      <c r="C21">
        <f>IF($A21="","",COUNTIFS('Таблиця 1'!$B:$B,$A21,'Таблиця 1'!$I:$I,"Mi-8"))</f>
        <v/>
      </c>
      <c r="D21">
        <f>IF($A21="","",COUNTIFS('Таблиця 1'!$B:$B,$A21,'Таблиця 1'!$I:$I,"Mi-24"))</f>
        <v/>
      </c>
      <c r="E21">
        <f>IF($A21="","",SUMIFS('Таблиця 1'!$K:$K,'Таблиця 1'!$B:$B,$A21,'Таблиця 1'!$I:$I,"Mi-8",'Таблиця 1'!$J:$J,"ARS-8")+SUMIFS('Таблиця 1'!$K:$K,'Таблиця 1'!$B:$B,$A21,'Таблиця 1'!$I:$I,"Mi-24",'Таблиця 1'!$J:$J,"ARS-8"))</f>
        <v/>
      </c>
      <c r="F21">
        <f>IF($A21="","",SUMIFS('Таблиця 1'!$K:$K,'Таблиця 1'!$B:$B,$A21,'Таблиця 1'!$I:$I,"Mi-8",'Таблиця 1'!$J:$J,"С-8 ком")+SUMIFS('Таблиця 1'!$K:$K,'Таблиця 1'!$B:$B,$A21,'Таблиця 1'!$I:$I,"Mi-24",'Таблиця 1'!$J:$J,"С-8 ком"))</f>
        <v/>
      </c>
      <c r="G21">
        <f>IF($A21="","",SUMIFS('Таблиця 1'!$K:$K,'Таблиця 1'!$B:$B,$A21,'Таблиця 1'!$I:$I,"Mi-8",'Таблиця 1'!$J:$J,"PC-80")+SUMIFS('Таблиця 1'!$K:$K,'Таблиця 1'!$B:$B,$A21,'Таблиця 1'!$I:$I,"Mi-24",'Таблиця 1'!$J:$J,"PC-80"))</f>
        <v/>
      </c>
      <c r="H21">
        <f>IF($A21="","",SUMIFS('Таблиця 1'!$K:$K,'Таблиця 1'!$B:$B,$A21,'Таблиця 1'!$I:$I,"Mi-8",'Таблиця 1'!$J:$J,"UAR-80")+SUMIFS('Таблиця 1'!$K:$K,'Таблиця 1'!$B:$B,$A21,'Таблиця 1'!$I:$I,"Mi-24",'Таблиця 1'!$J:$J,"UAR-80"))</f>
        <v/>
      </c>
      <c r="I21">
        <f>IF($A21="","",SUMIFS('Таблиця 1'!$K:$K,'Таблиця 1'!$B:$B,$A21,'Таблиця 1'!$I:$I,"Mi-8",'Таблиця 1'!$J:$J,"C-13")+SUMIFS('Таблиця 1'!$K:$K,'Таблиця 1'!$B:$B,$A21,'Таблиця 1'!$I:$I,"Mi-24",'Таблиця 1'!$J:$J,"C-13"))</f>
        <v/>
      </c>
      <c r="J21">
        <f>IF($A21="","",SUMIFS('Таблиця 1'!$K:$K,'Таблиця 1'!$B:$B,$A21,'Таблиця 1'!$I:$I,"Mi-8",'Таблиця 1'!$J:$J,"Hydra-70")+SUMIFS('Таблиця 1'!$K:$K,'Таблиця 1'!$B:$B,$A21,'Таблиця 1'!$I:$I,"Mi-24",'Таблиця 1'!$J:$J,"Hydra-70"))</f>
        <v/>
      </c>
      <c r="K21">
        <f>IF($A21="","",SUMIFS('Таблиця 1'!$K:$K,'Таблиця 1'!$B:$B,$A21,'Таблиця 1'!$I:$I,"Mi-8",'Таблиця 1'!$J:$J,"Thales-70")+SUMIFS('Таблиця 1'!$K:$K,'Таблиця 1'!$B:$B,$A21,'Таблиця 1'!$I:$I,"Mi-24",'Таблиця 1'!$J:$J,"Thales-70"))</f>
        <v/>
      </c>
      <c r="L21">
        <f>IF($A21="","",SUMIFS('Таблиця 1'!$K:$K,'Таблиця 1'!$B:$B,$A21,'Таблиця 1'!$I:$I,"Mi-8",'Таблиця 1'!$J:$J,"Thales-FZ")+SUMIFS('Таблиця 1'!$K:$K,'Таблиця 1'!$B:$B,$A21,'Таблиця 1'!$I:$I,"Mi-24",'Таблиця 1'!$J:$J,"Thales-FZ"))</f>
        <v/>
      </c>
      <c r="M21">
        <f>IF($A21="","",SUMIFS('Таблиця 1'!$K:$K,'Таблиця 1'!$B:$B,$A21,'Таблиця 1'!$I:$I,"Mi-8",'Таблиця 1'!$J:$J,"МК-40")+SUMIFS('Таблиця 1'!$K:$K,'Таблиця 1'!$B:$B,$A21,'Таблиця 1'!$I:$I,"Mi-24",'Таблиця 1'!$J:$J,"МК-40"))</f>
        <v/>
      </c>
      <c r="N21">
        <f>IF($A21="","",SUMIFS('Таблиця 1'!$K:$K,'Таблиця 1'!$B:$B,$A21,'Таблиця 1'!$I:$I,"Mi-8",'Таблиця 1'!$J:$J,"Zuni")+SUMIFS('Таблиця 1'!$K:$K,'Таблиця 1'!$B:$B,$A21,'Таблиця 1'!$I:$I,"Mi-24",'Таблиця 1'!$J:$J,"Zuni"))</f>
        <v/>
      </c>
      <c r="O21">
        <f>IF($A21="","",COUNTIFS('Таблиця 1'!$B:$B,$A21,'Таблиця 1'!$I:$I,"Mi-8",'Таблиця 1'!$L:$L,"Уражено")+COUNTIFS('Таблиця 1'!$B:$B,$A21,'Таблиця 1'!$I:$I,"Mi-24",'Таблиця 1'!$L:$L,"Уражено"))</f>
        <v/>
      </c>
      <c r="P21">
        <f>IF($A21="","",COUNTIFS('Таблиця 1'!$B:$B,$A21,'Таблиця 1'!$I:$I,"Mi-8",'Таблиця 1'!$L:$L,"НЕ уражено")+COUNTIFS('Таблиця 1'!$B:$B,$A21,'Таблиця 1'!$I:$I,"Mi-24",'Таблиця 1'!$L:$L,"НЕ уражено"))</f>
        <v/>
      </c>
    </row>
    <row r="22">
      <c r="A22" s="273">
        <f>IF(A21="","",IF(A21+1&gt;MAX('Таблиця 1'!$B:$B),"",A21+1))</f>
        <v/>
      </c>
      <c r="B22">
        <f>IF($A22="","",COUNTIFS('Таблиця 1'!$B:$B,$A22,'Таблиця 1'!$I:$I,"Mi-8")+COUNTIFS('Таблиця 1'!$B:$B,$A22,'Таблиця 1'!$I:$I,"Mi-24"))</f>
        <v/>
      </c>
      <c r="C22">
        <f>IF($A22="","",COUNTIFS('Таблиця 1'!$B:$B,$A22,'Таблиця 1'!$I:$I,"Mi-8"))</f>
        <v/>
      </c>
      <c r="D22">
        <f>IF($A22="","",COUNTIFS('Таблиця 1'!$B:$B,$A22,'Таблиця 1'!$I:$I,"Mi-24"))</f>
        <v/>
      </c>
      <c r="E22">
        <f>IF($A22="","",SUMIFS('Таблиця 1'!$K:$K,'Таблиця 1'!$B:$B,$A22,'Таблиця 1'!$I:$I,"Mi-8",'Таблиця 1'!$J:$J,"ARS-8")+SUMIFS('Таблиця 1'!$K:$K,'Таблиця 1'!$B:$B,$A22,'Таблиця 1'!$I:$I,"Mi-24",'Таблиця 1'!$J:$J,"ARS-8"))</f>
        <v/>
      </c>
      <c r="F22">
        <f>IF($A22="","",SUMIFS('Таблиця 1'!$K:$K,'Таблиця 1'!$B:$B,$A22,'Таблиця 1'!$I:$I,"Mi-8",'Таблиця 1'!$J:$J,"С-8 ком")+SUMIFS('Таблиця 1'!$K:$K,'Таблиця 1'!$B:$B,$A22,'Таблиця 1'!$I:$I,"Mi-24",'Таблиця 1'!$J:$J,"С-8 ком"))</f>
        <v/>
      </c>
      <c r="G22">
        <f>IF($A22="","",SUMIFS('Таблиця 1'!$K:$K,'Таблиця 1'!$B:$B,$A22,'Таблиця 1'!$I:$I,"Mi-8",'Таблиця 1'!$J:$J,"PC-80")+SUMIFS('Таблиця 1'!$K:$K,'Таблиця 1'!$B:$B,$A22,'Таблиця 1'!$I:$I,"Mi-24",'Таблиця 1'!$J:$J,"PC-80"))</f>
        <v/>
      </c>
      <c r="H22">
        <f>IF($A22="","",SUMIFS('Таблиця 1'!$K:$K,'Таблиця 1'!$B:$B,$A22,'Таблиця 1'!$I:$I,"Mi-8",'Таблиця 1'!$J:$J,"UAR-80")+SUMIFS('Таблиця 1'!$K:$K,'Таблиця 1'!$B:$B,$A22,'Таблиця 1'!$I:$I,"Mi-24",'Таблиця 1'!$J:$J,"UAR-80"))</f>
        <v/>
      </c>
      <c r="I22">
        <f>IF($A22="","",SUMIFS('Таблиця 1'!$K:$K,'Таблиця 1'!$B:$B,$A22,'Таблиця 1'!$I:$I,"Mi-8",'Таблиця 1'!$J:$J,"C-13")+SUMIFS('Таблиця 1'!$K:$K,'Таблиця 1'!$B:$B,$A22,'Таблиця 1'!$I:$I,"Mi-24",'Таблиця 1'!$J:$J,"C-13"))</f>
        <v/>
      </c>
      <c r="J22">
        <f>IF($A22="","",SUMIFS('Таблиця 1'!$K:$K,'Таблиця 1'!$B:$B,$A22,'Таблиця 1'!$I:$I,"Mi-8",'Таблиця 1'!$J:$J,"Hydra-70")+SUMIFS('Таблиця 1'!$K:$K,'Таблиця 1'!$B:$B,$A22,'Таблиця 1'!$I:$I,"Mi-24",'Таблиця 1'!$J:$J,"Hydra-70"))</f>
        <v/>
      </c>
      <c r="K22">
        <f>IF($A22="","",SUMIFS('Таблиця 1'!$K:$K,'Таблиця 1'!$B:$B,$A22,'Таблиця 1'!$I:$I,"Mi-8",'Таблиця 1'!$J:$J,"Thales-70")+SUMIFS('Таблиця 1'!$K:$K,'Таблиця 1'!$B:$B,$A22,'Таблиця 1'!$I:$I,"Mi-24",'Таблиця 1'!$J:$J,"Thales-70"))</f>
        <v/>
      </c>
      <c r="L22">
        <f>IF($A22="","",SUMIFS('Таблиця 1'!$K:$K,'Таблиця 1'!$B:$B,$A22,'Таблиця 1'!$I:$I,"Mi-8",'Таблиця 1'!$J:$J,"Thales-FZ")+SUMIFS('Таблиця 1'!$K:$K,'Таблиця 1'!$B:$B,$A22,'Таблиця 1'!$I:$I,"Mi-24",'Таблиця 1'!$J:$J,"Thales-FZ"))</f>
        <v/>
      </c>
      <c r="M22">
        <f>IF($A22="","",SUMIFS('Таблиця 1'!$K:$K,'Таблиця 1'!$B:$B,$A22,'Таблиця 1'!$I:$I,"Mi-8",'Таблиця 1'!$J:$J,"МК-40")+SUMIFS('Таблиця 1'!$K:$K,'Таблиця 1'!$B:$B,$A22,'Таблиця 1'!$I:$I,"Mi-24",'Таблиця 1'!$J:$J,"МК-40"))</f>
        <v/>
      </c>
      <c r="N22">
        <f>IF($A22="","",SUMIFS('Таблиця 1'!$K:$K,'Таблиця 1'!$B:$B,$A22,'Таблиця 1'!$I:$I,"Mi-8",'Таблиця 1'!$J:$J,"Zuni")+SUMIFS('Таблиця 1'!$K:$K,'Таблиця 1'!$B:$B,$A22,'Таблиця 1'!$I:$I,"Mi-24",'Таблиця 1'!$J:$J,"Zuni"))</f>
        <v/>
      </c>
      <c r="O22">
        <f>IF($A22="","",COUNTIFS('Таблиця 1'!$B:$B,$A22,'Таблиця 1'!$I:$I,"Mi-8",'Таблиця 1'!$L:$L,"Уражено")+COUNTIFS('Таблиця 1'!$B:$B,$A22,'Таблиця 1'!$I:$I,"Mi-24",'Таблиця 1'!$L:$L,"Уражено"))</f>
        <v/>
      </c>
      <c r="P22">
        <f>IF($A22="","",COUNTIFS('Таблиця 1'!$B:$B,$A22,'Таблиця 1'!$I:$I,"Mi-8",'Таблиця 1'!$L:$L,"НЕ уражено")+COUNTIFS('Таблиця 1'!$B:$B,$A22,'Таблиця 1'!$I:$I,"Mi-24",'Таблиця 1'!$L:$L,"НЕ уражено"))</f>
        <v/>
      </c>
    </row>
    <row r="23">
      <c r="A23" s="273">
        <f>IF(A22="","",IF(A22+1&gt;MAX('Таблиця 1'!$B:$B),"",A22+1))</f>
        <v/>
      </c>
      <c r="B23">
        <f>IF($A23="","",COUNTIFS('Таблиця 1'!$B:$B,$A23,'Таблиця 1'!$I:$I,"Mi-8")+COUNTIFS('Таблиця 1'!$B:$B,$A23,'Таблиця 1'!$I:$I,"Mi-24"))</f>
        <v/>
      </c>
      <c r="C23">
        <f>IF($A23="","",COUNTIFS('Таблиця 1'!$B:$B,$A23,'Таблиця 1'!$I:$I,"Mi-8"))</f>
        <v/>
      </c>
      <c r="D23">
        <f>IF($A23="","",COUNTIFS('Таблиця 1'!$B:$B,$A23,'Таблиця 1'!$I:$I,"Mi-24"))</f>
        <v/>
      </c>
      <c r="E23">
        <f>IF($A23="","",SUMIFS('Таблиця 1'!$K:$K,'Таблиця 1'!$B:$B,$A23,'Таблиця 1'!$I:$I,"Mi-8",'Таблиця 1'!$J:$J,"ARS-8")+SUMIFS('Таблиця 1'!$K:$K,'Таблиця 1'!$B:$B,$A23,'Таблиця 1'!$I:$I,"Mi-24",'Таблиця 1'!$J:$J,"ARS-8"))</f>
        <v/>
      </c>
      <c r="F23">
        <f>IF($A23="","",SUMIFS('Таблиця 1'!$K:$K,'Таблиця 1'!$B:$B,$A23,'Таблиця 1'!$I:$I,"Mi-8",'Таблиця 1'!$J:$J,"С-8 ком")+SUMIFS('Таблиця 1'!$K:$K,'Таблиця 1'!$B:$B,$A23,'Таблиця 1'!$I:$I,"Mi-24",'Таблиця 1'!$J:$J,"С-8 ком"))</f>
        <v/>
      </c>
      <c r="G23">
        <f>IF($A23="","",SUMIFS('Таблиця 1'!$K:$K,'Таблиця 1'!$B:$B,$A23,'Таблиця 1'!$I:$I,"Mi-8",'Таблиця 1'!$J:$J,"PC-80")+SUMIFS('Таблиця 1'!$K:$K,'Таблиця 1'!$B:$B,$A23,'Таблиця 1'!$I:$I,"Mi-24",'Таблиця 1'!$J:$J,"PC-80"))</f>
        <v/>
      </c>
      <c r="H23">
        <f>IF($A23="","",SUMIFS('Таблиця 1'!$K:$K,'Таблиця 1'!$B:$B,$A23,'Таблиця 1'!$I:$I,"Mi-8",'Таблиця 1'!$J:$J,"UAR-80")+SUMIFS('Таблиця 1'!$K:$K,'Таблиця 1'!$B:$B,$A23,'Таблиця 1'!$I:$I,"Mi-24",'Таблиця 1'!$J:$J,"UAR-80"))</f>
        <v/>
      </c>
      <c r="I23">
        <f>IF($A23="","",SUMIFS('Таблиця 1'!$K:$K,'Таблиця 1'!$B:$B,$A23,'Таблиця 1'!$I:$I,"Mi-8",'Таблиця 1'!$J:$J,"C-13")+SUMIFS('Таблиця 1'!$K:$K,'Таблиця 1'!$B:$B,$A23,'Таблиця 1'!$I:$I,"Mi-24",'Таблиця 1'!$J:$J,"C-13"))</f>
        <v/>
      </c>
      <c r="J23">
        <f>IF($A23="","",SUMIFS('Таблиця 1'!$K:$K,'Таблиця 1'!$B:$B,$A23,'Таблиця 1'!$I:$I,"Mi-8",'Таблиця 1'!$J:$J,"Hydra-70")+SUMIFS('Таблиця 1'!$K:$K,'Таблиця 1'!$B:$B,$A23,'Таблиця 1'!$I:$I,"Mi-24",'Таблиця 1'!$J:$J,"Hydra-70"))</f>
        <v/>
      </c>
      <c r="K23">
        <f>IF($A23="","",SUMIFS('Таблиця 1'!$K:$K,'Таблиця 1'!$B:$B,$A23,'Таблиця 1'!$I:$I,"Mi-8",'Таблиця 1'!$J:$J,"Thales-70")+SUMIFS('Таблиця 1'!$K:$K,'Таблиця 1'!$B:$B,$A23,'Таблиця 1'!$I:$I,"Mi-24",'Таблиця 1'!$J:$J,"Thales-70"))</f>
        <v/>
      </c>
      <c r="L23">
        <f>IF($A23="","",SUMIFS('Таблиця 1'!$K:$K,'Таблиця 1'!$B:$B,$A23,'Таблиця 1'!$I:$I,"Mi-8",'Таблиця 1'!$J:$J,"Thales-FZ")+SUMIFS('Таблиця 1'!$K:$K,'Таблиця 1'!$B:$B,$A23,'Таблиця 1'!$I:$I,"Mi-24",'Таблиця 1'!$J:$J,"Thales-FZ"))</f>
        <v/>
      </c>
      <c r="M23">
        <f>IF($A23="","",SUMIFS('Таблиця 1'!$K:$K,'Таблиця 1'!$B:$B,$A23,'Таблиця 1'!$I:$I,"Mi-8",'Таблиця 1'!$J:$J,"МК-40")+SUMIFS('Таблиця 1'!$K:$K,'Таблиця 1'!$B:$B,$A23,'Таблиця 1'!$I:$I,"Mi-24",'Таблиця 1'!$J:$J,"МК-40"))</f>
        <v/>
      </c>
      <c r="N23">
        <f>IF($A23="","",SUMIFS('Таблиця 1'!$K:$K,'Таблиця 1'!$B:$B,$A23,'Таблиця 1'!$I:$I,"Mi-8",'Таблиця 1'!$J:$J,"Zuni")+SUMIFS('Таблиця 1'!$K:$K,'Таблиця 1'!$B:$B,$A23,'Таблиця 1'!$I:$I,"Mi-24",'Таблиця 1'!$J:$J,"Zuni"))</f>
        <v/>
      </c>
      <c r="O23">
        <f>IF($A23="","",COUNTIFS('Таблиця 1'!$B:$B,$A23,'Таблиця 1'!$I:$I,"Mi-8",'Таблиця 1'!$L:$L,"Уражено")+COUNTIFS('Таблиця 1'!$B:$B,$A23,'Таблиця 1'!$I:$I,"Mi-24",'Таблиця 1'!$L:$L,"Уражено"))</f>
        <v/>
      </c>
      <c r="P23">
        <f>IF($A23="","",COUNTIFS('Таблиця 1'!$B:$B,$A23,'Таблиця 1'!$I:$I,"Mi-8",'Таблиця 1'!$L:$L,"НЕ уражено")+COUNTIFS('Таблиця 1'!$B:$B,$A23,'Таблиця 1'!$I:$I,"Mi-24",'Таблиця 1'!$L:$L,"НЕ уражено"))</f>
        <v/>
      </c>
    </row>
    <row r="24">
      <c r="A24" s="273">
        <f>IF(A23="","",IF(A23+1&gt;MAX('Таблиця 1'!$B:$B),"",A23+1))</f>
        <v/>
      </c>
      <c r="B24">
        <f>IF($A24="","",COUNTIFS('Таблиця 1'!$B:$B,$A24,'Таблиця 1'!$I:$I,"Mi-8")+COUNTIFS('Таблиця 1'!$B:$B,$A24,'Таблиця 1'!$I:$I,"Mi-24"))</f>
        <v/>
      </c>
      <c r="C24">
        <f>IF($A24="","",COUNTIFS('Таблиця 1'!$B:$B,$A24,'Таблиця 1'!$I:$I,"Mi-8"))</f>
        <v/>
      </c>
      <c r="D24">
        <f>IF($A24="","",COUNTIFS('Таблиця 1'!$B:$B,$A24,'Таблиця 1'!$I:$I,"Mi-24"))</f>
        <v/>
      </c>
      <c r="E24">
        <f>IF($A24="","",SUMIFS('Таблиця 1'!$K:$K,'Таблиця 1'!$B:$B,$A24,'Таблиця 1'!$I:$I,"Mi-8",'Таблиця 1'!$J:$J,"ARS-8")+SUMIFS('Таблиця 1'!$K:$K,'Таблиця 1'!$B:$B,$A24,'Таблиця 1'!$I:$I,"Mi-24",'Таблиця 1'!$J:$J,"ARS-8"))</f>
        <v/>
      </c>
      <c r="F24">
        <f>IF($A24="","",SUMIFS('Таблиця 1'!$K:$K,'Таблиця 1'!$B:$B,$A24,'Таблиця 1'!$I:$I,"Mi-8",'Таблиця 1'!$J:$J,"С-8 ком")+SUMIFS('Таблиця 1'!$K:$K,'Таблиця 1'!$B:$B,$A24,'Таблиця 1'!$I:$I,"Mi-24",'Таблиця 1'!$J:$J,"С-8 ком"))</f>
        <v/>
      </c>
      <c r="G24">
        <f>IF($A24="","",SUMIFS('Таблиця 1'!$K:$K,'Таблиця 1'!$B:$B,$A24,'Таблиця 1'!$I:$I,"Mi-8",'Таблиця 1'!$J:$J,"PC-80")+SUMIFS('Таблиця 1'!$K:$K,'Таблиця 1'!$B:$B,$A24,'Таблиця 1'!$I:$I,"Mi-24",'Таблиця 1'!$J:$J,"PC-80"))</f>
        <v/>
      </c>
      <c r="H24">
        <f>IF($A24="","",SUMIFS('Таблиця 1'!$K:$K,'Таблиця 1'!$B:$B,$A24,'Таблиця 1'!$I:$I,"Mi-8",'Таблиця 1'!$J:$J,"UAR-80")+SUMIFS('Таблиця 1'!$K:$K,'Таблиця 1'!$B:$B,$A24,'Таблиця 1'!$I:$I,"Mi-24",'Таблиця 1'!$J:$J,"UAR-80"))</f>
        <v/>
      </c>
      <c r="I24">
        <f>IF($A24="","",SUMIFS('Таблиця 1'!$K:$K,'Таблиця 1'!$B:$B,$A24,'Таблиця 1'!$I:$I,"Mi-8",'Таблиця 1'!$J:$J,"C-13")+SUMIFS('Таблиця 1'!$K:$K,'Таблиця 1'!$B:$B,$A24,'Таблиця 1'!$I:$I,"Mi-24",'Таблиця 1'!$J:$J,"C-13"))</f>
        <v/>
      </c>
      <c r="J24">
        <f>IF($A24="","",SUMIFS('Таблиця 1'!$K:$K,'Таблиця 1'!$B:$B,$A24,'Таблиця 1'!$I:$I,"Mi-8",'Таблиця 1'!$J:$J,"Hydra-70")+SUMIFS('Таблиця 1'!$K:$K,'Таблиця 1'!$B:$B,$A24,'Таблиця 1'!$I:$I,"Mi-24",'Таблиця 1'!$J:$J,"Hydra-70"))</f>
        <v/>
      </c>
      <c r="K24">
        <f>IF($A24="","",SUMIFS('Таблиця 1'!$K:$K,'Таблиця 1'!$B:$B,$A24,'Таблиця 1'!$I:$I,"Mi-8",'Таблиця 1'!$J:$J,"Thales-70")+SUMIFS('Таблиця 1'!$K:$K,'Таблиця 1'!$B:$B,$A24,'Таблиця 1'!$I:$I,"Mi-24",'Таблиця 1'!$J:$J,"Thales-70"))</f>
        <v/>
      </c>
      <c r="L24">
        <f>IF($A24="","",SUMIFS('Таблиця 1'!$K:$K,'Таблиця 1'!$B:$B,$A24,'Таблиця 1'!$I:$I,"Mi-8",'Таблиця 1'!$J:$J,"Thales-FZ")+SUMIFS('Таблиця 1'!$K:$K,'Таблиця 1'!$B:$B,$A24,'Таблиця 1'!$I:$I,"Mi-24",'Таблиця 1'!$J:$J,"Thales-FZ"))</f>
        <v/>
      </c>
      <c r="M24">
        <f>IF($A24="","",SUMIFS('Таблиця 1'!$K:$K,'Таблиця 1'!$B:$B,$A24,'Таблиця 1'!$I:$I,"Mi-8",'Таблиця 1'!$J:$J,"МК-40")+SUMIFS('Таблиця 1'!$K:$K,'Таблиця 1'!$B:$B,$A24,'Таблиця 1'!$I:$I,"Mi-24",'Таблиця 1'!$J:$J,"МК-40"))</f>
        <v/>
      </c>
      <c r="N24">
        <f>IF($A24="","",SUMIFS('Таблиця 1'!$K:$K,'Таблиця 1'!$B:$B,$A24,'Таблиця 1'!$I:$I,"Mi-8",'Таблиця 1'!$J:$J,"Zuni")+SUMIFS('Таблиця 1'!$K:$K,'Таблиця 1'!$B:$B,$A24,'Таблиця 1'!$I:$I,"Mi-24",'Таблиця 1'!$J:$J,"Zuni"))</f>
        <v/>
      </c>
      <c r="O24">
        <f>IF($A24="","",COUNTIFS('Таблиця 1'!$B:$B,$A24,'Таблиця 1'!$I:$I,"Mi-8",'Таблиця 1'!$L:$L,"Уражено")+COUNTIFS('Таблиця 1'!$B:$B,$A24,'Таблиця 1'!$I:$I,"Mi-24",'Таблиця 1'!$L:$L,"Уражено"))</f>
        <v/>
      </c>
      <c r="P24">
        <f>IF($A24="","",COUNTIFS('Таблиця 1'!$B:$B,$A24,'Таблиця 1'!$I:$I,"Mi-8",'Таблиця 1'!$L:$L,"НЕ уражено")+COUNTIFS('Таблиця 1'!$B:$B,$A24,'Таблиця 1'!$I:$I,"Mi-24",'Таблиця 1'!$L:$L,"НЕ уражено"))</f>
        <v/>
      </c>
    </row>
    <row r="25">
      <c r="A25" s="273">
        <f>IF(A24="","",IF(A24+1&gt;MAX('Таблиця 1'!$B:$B),"",A24+1))</f>
        <v/>
      </c>
      <c r="B25">
        <f>IF($A25="","",COUNTIFS('Таблиця 1'!$B:$B,$A25,'Таблиця 1'!$I:$I,"Mi-8")+COUNTIFS('Таблиця 1'!$B:$B,$A25,'Таблиця 1'!$I:$I,"Mi-24"))</f>
        <v/>
      </c>
      <c r="C25">
        <f>IF($A25="","",COUNTIFS('Таблиця 1'!$B:$B,$A25,'Таблиця 1'!$I:$I,"Mi-8"))</f>
        <v/>
      </c>
      <c r="D25">
        <f>IF($A25="","",COUNTIFS('Таблиця 1'!$B:$B,$A25,'Таблиця 1'!$I:$I,"Mi-24"))</f>
        <v/>
      </c>
      <c r="E25">
        <f>IF($A25="","",SUMIFS('Таблиця 1'!$K:$K,'Таблиця 1'!$B:$B,$A25,'Таблиця 1'!$I:$I,"Mi-8",'Таблиця 1'!$J:$J,"ARS-8")+SUMIFS('Таблиця 1'!$K:$K,'Таблиця 1'!$B:$B,$A25,'Таблиця 1'!$I:$I,"Mi-24",'Таблиця 1'!$J:$J,"ARS-8"))</f>
        <v/>
      </c>
      <c r="F25">
        <f>IF($A25="","",SUMIFS('Таблиця 1'!$K:$K,'Таблиця 1'!$B:$B,$A25,'Таблиця 1'!$I:$I,"Mi-8",'Таблиця 1'!$J:$J,"С-8 ком")+SUMIFS('Таблиця 1'!$K:$K,'Таблиця 1'!$B:$B,$A25,'Таблиця 1'!$I:$I,"Mi-24",'Таблиця 1'!$J:$J,"С-8 ком"))</f>
        <v/>
      </c>
      <c r="G25">
        <f>IF($A25="","",SUMIFS('Таблиця 1'!$K:$K,'Таблиця 1'!$B:$B,$A25,'Таблиця 1'!$I:$I,"Mi-8",'Таблиця 1'!$J:$J,"PC-80")+SUMIFS('Таблиця 1'!$K:$K,'Таблиця 1'!$B:$B,$A25,'Таблиця 1'!$I:$I,"Mi-24",'Таблиця 1'!$J:$J,"PC-80"))</f>
        <v/>
      </c>
      <c r="H25">
        <f>IF($A25="","",SUMIFS('Таблиця 1'!$K:$K,'Таблиця 1'!$B:$B,$A25,'Таблиця 1'!$I:$I,"Mi-8",'Таблиця 1'!$J:$J,"UAR-80")+SUMIFS('Таблиця 1'!$K:$K,'Таблиця 1'!$B:$B,$A25,'Таблиця 1'!$I:$I,"Mi-24",'Таблиця 1'!$J:$J,"UAR-80"))</f>
        <v/>
      </c>
      <c r="I25">
        <f>IF($A25="","",SUMIFS('Таблиця 1'!$K:$K,'Таблиця 1'!$B:$B,$A25,'Таблиця 1'!$I:$I,"Mi-8",'Таблиця 1'!$J:$J,"C-13")+SUMIFS('Таблиця 1'!$K:$K,'Таблиця 1'!$B:$B,$A25,'Таблиця 1'!$I:$I,"Mi-24",'Таблиця 1'!$J:$J,"C-13"))</f>
        <v/>
      </c>
      <c r="J25">
        <f>IF($A25="","",SUMIFS('Таблиця 1'!$K:$K,'Таблиця 1'!$B:$B,$A25,'Таблиця 1'!$I:$I,"Mi-8",'Таблиця 1'!$J:$J,"Hydra-70")+SUMIFS('Таблиця 1'!$K:$K,'Таблиця 1'!$B:$B,$A25,'Таблиця 1'!$I:$I,"Mi-24",'Таблиця 1'!$J:$J,"Hydra-70"))</f>
        <v/>
      </c>
      <c r="K25">
        <f>IF($A25="","",SUMIFS('Таблиця 1'!$K:$K,'Таблиця 1'!$B:$B,$A25,'Таблиця 1'!$I:$I,"Mi-8",'Таблиця 1'!$J:$J,"Thales-70")+SUMIFS('Таблиця 1'!$K:$K,'Таблиця 1'!$B:$B,$A25,'Таблиця 1'!$I:$I,"Mi-24",'Таблиця 1'!$J:$J,"Thales-70"))</f>
        <v/>
      </c>
      <c r="L25">
        <f>IF($A25="","",SUMIFS('Таблиця 1'!$K:$K,'Таблиця 1'!$B:$B,$A25,'Таблиця 1'!$I:$I,"Mi-8",'Таблиця 1'!$J:$J,"Thales-FZ")+SUMIFS('Таблиця 1'!$K:$K,'Таблиця 1'!$B:$B,$A25,'Таблиця 1'!$I:$I,"Mi-24",'Таблиця 1'!$J:$J,"Thales-FZ"))</f>
        <v/>
      </c>
      <c r="M25">
        <f>IF($A25="","",SUMIFS('Таблиця 1'!$K:$K,'Таблиця 1'!$B:$B,$A25,'Таблиця 1'!$I:$I,"Mi-8",'Таблиця 1'!$J:$J,"МК-40")+SUMIFS('Таблиця 1'!$K:$K,'Таблиця 1'!$B:$B,$A25,'Таблиця 1'!$I:$I,"Mi-24",'Таблиця 1'!$J:$J,"МК-40"))</f>
        <v/>
      </c>
      <c r="N25">
        <f>IF($A25="","",SUMIFS('Таблиця 1'!$K:$K,'Таблиця 1'!$B:$B,$A25,'Таблиця 1'!$I:$I,"Mi-8",'Таблиця 1'!$J:$J,"Zuni")+SUMIFS('Таблиця 1'!$K:$K,'Таблиця 1'!$B:$B,$A25,'Таблиця 1'!$I:$I,"Mi-24",'Таблиця 1'!$J:$J,"Zuni"))</f>
        <v/>
      </c>
      <c r="O25">
        <f>IF($A25="","",COUNTIFS('Таблиця 1'!$B:$B,$A25,'Таблиця 1'!$I:$I,"Mi-8",'Таблиця 1'!$L:$L,"Уражено")+COUNTIFS('Таблиця 1'!$B:$B,$A25,'Таблиця 1'!$I:$I,"Mi-24",'Таблиця 1'!$L:$L,"Уражено"))</f>
        <v/>
      </c>
      <c r="P25">
        <f>IF($A25="","",COUNTIFS('Таблиця 1'!$B:$B,$A25,'Таблиця 1'!$I:$I,"Mi-8",'Таблиця 1'!$L:$L,"НЕ уражено")+COUNTIFS('Таблиця 1'!$B:$B,$A25,'Таблиця 1'!$I:$I,"Mi-24",'Таблиця 1'!$L:$L,"НЕ уражено"))</f>
        <v/>
      </c>
    </row>
    <row r="26">
      <c r="A26" s="273">
        <f>IF(A25="","",IF(A25+1&gt;MAX('Таблиця 1'!$B:$B),"",A25+1))</f>
        <v/>
      </c>
      <c r="B26">
        <f>IF($A26="","",COUNTIFS('Таблиця 1'!$B:$B,$A26,'Таблиця 1'!$I:$I,"Mi-8")+COUNTIFS('Таблиця 1'!$B:$B,$A26,'Таблиця 1'!$I:$I,"Mi-24"))</f>
        <v/>
      </c>
      <c r="C26">
        <f>IF($A26="","",COUNTIFS('Таблиця 1'!$B:$B,$A26,'Таблиця 1'!$I:$I,"Mi-8"))</f>
        <v/>
      </c>
      <c r="D26">
        <f>IF($A26="","",COUNTIFS('Таблиця 1'!$B:$B,$A26,'Таблиця 1'!$I:$I,"Mi-24"))</f>
        <v/>
      </c>
      <c r="E26">
        <f>IF($A26="","",SUMIFS('Таблиця 1'!$K:$K,'Таблиця 1'!$B:$B,$A26,'Таблиця 1'!$I:$I,"Mi-8",'Таблиця 1'!$J:$J,"ARS-8")+SUMIFS('Таблиця 1'!$K:$K,'Таблиця 1'!$B:$B,$A26,'Таблиця 1'!$I:$I,"Mi-24",'Таблиця 1'!$J:$J,"ARS-8"))</f>
        <v/>
      </c>
      <c r="F26">
        <f>IF($A26="","",SUMIFS('Таблиця 1'!$K:$K,'Таблиця 1'!$B:$B,$A26,'Таблиця 1'!$I:$I,"Mi-8",'Таблиця 1'!$J:$J,"С-8 ком")+SUMIFS('Таблиця 1'!$K:$K,'Таблиця 1'!$B:$B,$A26,'Таблиця 1'!$I:$I,"Mi-24",'Таблиця 1'!$J:$J,"С-8 ком"))</f>
        <v/>
      </c>
      <c r="G26">
        <f>IF($A26="","",SUMIFS('Таблиця 1'!$K:$K,'Таблиця 1'!$B:$B,$A26,'Таблиця 1'!$I:$I,"Mi-8",'Таблиця 1'!$J:$J,"PC-80")+SUMIFS('Таблиця 1'!$K:$K,'Таблиця 1'!$B:$B,$A26,'Таблиця 1'!$I:$I,"Mi-24",'Таблиця 1'!$J:$J,"PC-80"))</f>
        <v/>
      </c>
      <c r="H26">
        <f>IF($A26="","",SUMIFS('Таблиця 1'!$K:$K,'Таблиця 1'!$B:$B,$A26,'Таблиця 1'!$I:$I,"Mi-8",'Таблиця 1'!$J:$J,"UAR-80")+SUMIFS('Таблиця 1'!$K:$K,'Таблиця 1'!$B:$B,$A26,'Таблиця 1'!$I:$I,"Mi-24",'Таблиця 1'!$J:$J,"UAR-80"))</f>
        <v/>
      </c>
      <c r="I26">
        <f>IF($A26="","",SUMIFS('Таблиця 1'!$K:$K,'Таблиця 1'!$B:$B,$A26,'Таблиця 1'!$I:$I,"Mi-8",'Таблиця 1'!$J:$J,"C-13")+SUMIFS('Таблиця 1'!$K:$K,'Таблиця 1'!$B:$B,$A26,'Таблиця 1'!$I:$I,"Mi-24",'Таблиця 1'!$J:$J,"C-13"))</f>
        <v/>
      </c>
      <c r="J26">
        <f>IF($A26="","",SUMIFS('Таблиця 1'!$K:$K,'Таблиця 1'!$B:$B,$A26,'Таблиця 1'!$I:$I,"Mi-8",'Таблиця 1'!$J:$J,"Hydra-70")+SUMIFS('Таблиця 1'!$K:$K,'Таблиця 1'!$B:$B,$A26,'Таблиця 1'!$I:$I,"Mi-24",'Таблиця 1'!$J:$J,"Hydra-70"))</f>
        <v/>
      </c>
      <c r="K26">
        <f>IF($A26="","",SUMIFS('Таблиця 1'!$K:$K,'Таблиця 1'!$B:$B,$A26,'Таблиця 1'!$I:$I,"Mi-8",'Таблиця 1'!$J:$J,"Thales-70")+SUMIFS('Таблиця 1'!$K:$K,'Таблиця 1'!$B:$B,$A26,'Таблиця 1'!$I:$I,"Mi-24",'Таблиця 1'!$J:$J,"Thales-70"))</f>
        <v/>
      </c>
      <c r="L26">
        <f>IF($A26="","",SUMIFS('Таблиця 1'!$K:$K,'Таблиця 1'!$B:$B,$A26,'Таблиця 1'!$I:$I,"Mi-8",'Таблиця 1'!$J:$J,"Thales-FZ")+SUMIFS('Таблиця 1'!$K:$K,'Таблиця 1'!$B:$B,$A26,'Таблиця 1'!$I:$I,"Mi-24",'Таблиця 1'!$J:$J,"Thales-FZ"))</f>
        <v/>
      </c>
      <c r="M26">
        <f>IF($A26="","",SUMIFS('Таблиця 1'!$K:$K,'Таблиця 1'!$B:$B,$A26,'Таблиця 1'!$I:$I,"Mi-8",'Таблиця 1'!$J:$J,"МК-40")+SUMIFS('Таблиця 1'!$K:$K,'Таблиця 1'!$B:$B,$A26,'Таблиця 1'!$I:$I,"Mi-24",'Таблиця 1'!$J:$J,"МК-40"))</f>
        <v/>
      </c>
      <c r="N26">
        <f>IF($A26="","",SUMIFS('Таблиця 1'!$K:$K,'Таблиця 1'!$B:$B,$A26,'Таблиця 1'!$I:$I,"Mi-8",'Таблиця 1'!$J:$J,"Zuni")+SUMIFS('Таблиця 1'!$K:$K,'Таблиця 1'!$B:$B,$A26,'Таблиця 1'!$I:$I,"Mi-24",'Таблиця 1'!$J:$J,"Zuni"))</f>
        <v/>
      </c>
      <c r="O26">
        <f>IF($A26="","",COUNTIFS('Таблиця 1'!$B:$B,$A26,'Таблиця 1'!$I:$I,"Mi-8",'Таблиця 1'!$L:$L,"Уражено")+COUNTIFS('Таблиця 1'!$B:$B,$A26,'Таблиця 1'!$I:$I,"Mi-24",'Таблиця 1'!$L:$L,"Уражено"))</f>
        <v/>
      </c>
      <c r="P26">
        <f>IF($A26="","",COUNTIFS('Таблиця 1'!$B:$B,$A26,'Таблиця 1'!$I:$I,"Mi-8",'Таблиця 1'!$L:$L,"НЕ уражено")+COUNTIFS('Таблиця 1'!$B:$B,$A26,'Таблиця 1'!$I:$I,"Mi-24",'Таблиця 1'!$L:$L,"НЕ уражено"))</f>
        <v/>
      </c>
    </row>
    <row r="27">
      <c r="A27" s="273">
        <f>IF(A26="","",IF(A26+1&gt;MAX('Таблиця 1'!$B:$B),"",A26+1))</f>
        <v/>
      </c>
      <c r="B27">
        <f>IF($A27="","",COUNTIFS('Таблиця 1'!$B:$B,$A27,'Таблиця 1'!$I:$I,"Mi-8")+COUNTIFS('Таблиця 1'!$B:$B,$A27,'Таблиця 1'!$I:$I,"Mi-24"))</f>
        <v/>
      </c>
      <c r="C27">
        <f>IF($A27="","",COUNTIFS('Таблиця 1'!$B:$B,$A27,'Таблиця 1'!$I:$I,"Mi-8"))</f>
        <v/>
      </c>
      <c r="D27">
        <f>IF($A27="","",COUNTIFS('Таблиця 1'!$B:$B,$A27,'Таблиця 1'!$I:$I,"Mi-24"))</f>
        <v/>
      </c>
      <c r="E27">
        <f>IF($A27="","",SUMIFS('Таблиця 1'!$K:$K,'Таблиця 1'!$B:$B,$A27,'Таблиця 1'!$I:$I,"Mi-8",'Таблиця 1'!$J:$J,"ARS-8")+SUMIFS('Таблиця 1'!$K:$K,'Таблиця 1'!$B:$B,$A27,'Таблиця 1'!$I:$I,"Mi-24",'Таблиця 1'!$J:$J,"ARS-8"))</f>
        <v/>
      </c>
      <c r="F27">
        <f>IF($A27="","",SUMIFS('Таблиця 1'!$K:$K,'Таблиця 1'!$B:$B,$A27,'Таблиця 1'!$I:$I,"Mi-8",'Таблиця 1'!$J:$J,"С-8 ком")+SUMIFS('Таблиця 1'!$K:$K,'Таблиця 1'!$B:$B,$A27,'Таблиця 1'!$I:$I,"Mi-24",'Таблиця 1'!$J:$J,"С-8 ком"))</f>
        <v/>
      </c>
      <c r="G27">
        <f>IF($A27="","",SUMIFS('Таблиця 1'!$K:$K,'Таблиця 1'!$B:$B,$A27,'Таблиця 1'!$I:$I,"Mi-8",'Таблиця 1'!$J:$J,"PC-80")+SUMIFS('Таблиця 1'!$K:$K,'Таблиця 1'!$B:$B,$A27,'Таблиця 1'!$I:$I,"Mi-24",'Таблиця 1'!$J:$J,"PC-80"))</f>
        <v/>
      </c>
      <c r="H27">
        <f>IF($A27="","",SUMIFS('Таблиця 1'!$K:$K,'Таблиця 1'!$B:$B,$A27,'Таблиця 1'!$I:$I,"Mi-8",'Таблиця 1'!$J:$J,"UAR-80")+SUMIFS('Таблиця 1'!$K:$K,'Таблиця 1'!$B:$B,$A27,'Таблиця 1'!$I:$I,"Mi-24",'Таблиця 1'!$J:$J,"UAR-80"))</f>
        <v/>
      </c>
      <c r="I27">
        <f>IF($A27="","",SUMIFS('Таблиця 1'!$K:$K,'Таблиця 1'!$B:$B,$A27,'Таблиця 1'!$I:$I,"Mi-8",'Таблиця 1'!$J:$J,"C-13")+SUMIFS('Таблиця 1'!$K:$K,'Таблиця 1'!$B:$B,$A27,'Таблиця 1'!$I:$I,"Mi-24",'Таблиця 1'!$J:$J,"C-13"))</f>
        <v/>
      </c>
      <c r="J27">
        <f>IF($A27="","",SUMIFS('Таблиця 1'!$K:$K,'Таблиця 1'!$B:$B,$A27,'Таблиця 1'!$I:$I,"Mi-8",'Таблиця 1'!$J:$J,"Hydra-70")+SUMIFS('Таблиця 1'!$K:$K,'Таблиця 1'!$B:$B,$A27,'Таблиця 1'!$I:$I,"Mi-24",'Таблиця 1'!$J:$J,"Hydra-70"))</f>
        <v/>
      </c>
      <c r="K27">
        <f>IF($A27="","",SUMIFS('Таблиця 1'!$K:$K,'Таблиця 1'!$B:$B,$A27,'Таблиця 1'!$I:$I,"Mi-8",'Таблиця 1'!$J:$J,"Thales-70")+SUMIFS('Таблиця 1'!$K:$K,'Таблиця 1'!$B:$B,$A27,'Таблиця 1'!$I:$I,"Mi-24",'Таблиця 1'!$J:$J,"Thales-70"))</f>
        <v/>
      </c>
      <c r="L27">
        <f>IF($A27="","",SUMIFS('Таблиця 1'!$K:$K,'Таблиця 1'!$B:$B,$A27,'Таблиця 1'!$I:$I,"Mi-8",'Таблиця 1'!$J:$J,"Thales-FZ")+SUMIFS('Таблиця 1'!$K:$K,'Таблиця 1'!$B:$B,$A27,'Таблиця 1'!$I:$I,"Mi-24",'Таблиця 1'!$J:$J,"Thales-FZ"))</f>
        <v/>
      </c>
      <c r="M27">
        <f>IF($A27="","",SUMIFS('Таблиця 1'!$K:$K,'Таблиця 1'!$B:$B,$A27,'Таблиця 1'!$I:$I,"Mi-8",'Таблиця 1'!$J:$J,"МК-40")+SUMIFS('Таблиця 1'!$K:$K,'Таблиця 1'!$B:$B,$A27,'Таблиця 1'!$I:$I,"Mi-24",'Таблиця 1'!$J:$J,"МК-40"))</f>
        <v/>
      </c>
      <c r="N27">
        <f>IF($A27="","",SUMIFS('Таблиця 1'!$K:$K,'Таблиця 1'!$B:$B,$A27,'Таблиця 1'!$I:$I,"Mi-8",'Таблиця 1'!$J:$J,"Zuni")+SUMIFS('Таблиця 1'!$K:$K,'Таблиця 1'!$B:$B,$A27,'Таблиця 1'!$I:$I,"Mi-24",'Таблиця 1'!$J:$J,"Zuni"))</f>
        <v/>
      </c>
      <c r="O27">
        <f>IF($A27="","",COUNTIFS('Таблиця 1'!$B:$B,$A27,'Таблиця 1'!$I:$I,"Mi-8",'Таблиця 1'!$L:$L,"Уражено")+COUNTIFS('Таблиця 1'!$B:$B,$A27,'Таблиця 1'!$I:$I,"Mi-24",'Таблиця 1'!$L:$L,"Уражено"))</f>
        <v/>
      </c>
      <c r="P27">
        <f>IF($A27="","",COUNTIFS('Таблиця 1'!$B:$B,$A27,'Таблиця 1'!$I:$I,"Mi-8",'Таблиця 1'!$L:$L,"НЕ уражено")+COUNTIFS('Таблиця 1'!$B:$B,$A27,'Таблиця 1'!$I:$I,"Mi-24",'Таблиця 1'!$L:$L,"НЕ уражено"))</f>
        <v/>
      </c>
    </row>
    <row r="28">
      <c r="A28" s="273">
        <f>IF(A27="","",IF(A27+1&gt;MAX('Таблиця 1'!$B:$B),"",A27+1))</f>
        <v/>
      </c>
      <c r="B28">
        <f>IF($A28="","",COUNTIFS('Таблиця 1'!$B:$B,$A28,'Таблиця 1'!$I:$I,"Mi-8")+COUNTIFS('Таблиця 1'!$B:$B,$A28,'Таблиця 1'!$I:$I,"Mi-24"))</f>
        <v/>
      </c>
      <c r="C28">
        <f>IF($A28="","",COUNTIFS('Таблиця 1'!$B:$B,$A28,'Таблиця 1'!$I:$I,"Mi-8"))</f>
        <v/>
      </c>
      <c r="D28">
        <f>IF($A28="","",COUNTIFS('Таблиця 1'!$B:$B,$A28,'Таблиця 1'!$I:$I,"Mi-24"))</f>
        <v/>
      </c>
      <c r="E28">
        <f>IF($A28="","",SUMIFS('Таблиця 1'!$K:$K,'Таблиця 1'!$B:$B,$A28,'Таблиця 1'!$I:$I,"Mi-8",'Таблиця 1'!$J:$J,"ARS-8")+SUMIFS('Таблиця 1'!$K:$K,'Таблиця 1'!$B:$B,$A28,'Таблиця 1'!$I:$I,"Mi-24",'Таблиця 1'!$J:$J,"ARS-8"))</f>
        <v/>
      </c>
      <c r="F28">
        <f>IF($A28="","",SUMIFS('Таблиця 1'!$K:$K,'Таблиця 1'!$B:$B,$A28,'Таблиця 1'!$I:$I,"Mi-8",'Таблиця 1'!$J:$J,"С-8 ком")+SUMIFS('Таблиця 1'!$K:$K,'Таблиця 1'!$B:$B,$A28,'Таблиця 1'!$I:$I,"Mi-24",'Таблиця 1'!$J:$J,"С-8 ком"))</f>
        <v/>
      </c>
      <c r="G28">
        <f>IF($A28="","",SUMIFS('Таблиця 1'!$K:$K,'Таблиця 1'!$B:$B,$A28,'Таблиця 1'!$I:$I,"Mi-8",'Таблиця 1'!$J:$J,"PC-80")+SUMIFS('Таблиця 1'!$K:$K,'Таблиця 1'!$B:$B,$A28,'Таблиця 1'!$I:$I,"Mi-24",'Таблиця 1'!$J:$J,"PC-80"))</f>
        <v/>
      </c>
      <c r="H28">
        <f>IF($A28="","",SUMIFS('Таблиця 1'!$K:$K,'Таблиця 1'!$B:$B,$A28,'Таблиця 1'!$I:$I,"Mi-8",'Таблиця 1'!$J:$J,"UAR-80")+SUMIFS('Таблиця 1'!$K:$K,'Таблиця 1'!$B:$B,$A28,'Таблиця 1'!$I:$I,"Mi-24",'Таблиця 1'!$J:$J,"UAR-80"))</f>
        <v/>
      </c>
      <c r="I28">
        <f>IF($A28="","",SUMIFS('Таблиця 1'!$K:$K,'Таблиця 1'!$B:$B,$A28,'Таблиця 1'!$I:$I,"Mi-8",'Таблиця 1'!$J:$J,"C-13")+SUMIFS('Таблиця 1'!$K:$K,'Таблиця 1'!$B:$B,$A28,'Таблиця 1'!$I:$I,"Mi-24",'Таблиця 1'!$J:$J,"C-13"))</f>
        <v/>
      </c>
      <c r="J28">
        <f>IF($A28="","",SUMIFS('Таблиця 1'!$K:$K,'Таблиця 1'!$B:$B,$A28,'Таблиця 1'!$I:$I,"Mi-8",'Таблиця 1'!$J:$J,"Hydra-70")+SUMIFS('Таблиця 1'!$K:$K,'Таблиця 1'!$B:$B,$A28,'Таблиця 1'!$I:$I,"Mi-24",'Таблиця 1'!$J:$J,"Hydra-70"))</f>
        <v/>
      </c>
      <c r="K28">
        <f>IF($A28="","",SUMIFS('Таблиця 1'!$K:$K,'Таблиця 1'!$B:$B,$A28,'Таблиця 1'!$I:$I,"Mi-8",'Таблиця 1'!$J:$J,"Thales-70")+SUMIFS('Таблиця 1'!$K:$K,'Таблиця 1'!$B:$B,$A28,'Таблиця 1'!$I:$I,"Mi-24",'Таблиця 1'!$J:$J,"Thales-70"))</f>
        <v/>
      </c>
      <c r="L28">
        <f>IF($A28="","",SUMIFS('Таблиця 1'!$K:$K,'Таблиця 1'!$B:$B,$A28,'Таблиця 1'!$I:$I,"Mi-8",'Таблиця 1'!$J:$J,"Thales-FZ")+SUMIFS('Таблиця 1'!$K:$K,'Таблиця 1'!$B:$B,$A28,'Таблиця 1'!$I:$I,"Mi-24",'Таблиця 1'!$J:$J,"Thales-FZ"))</f>
        <v/>
      </c>
      <c r="M28">
        <f>IF($A28="","",SUMIFS('Таблиця 1'!$K:$K,'Таблиця 1'!$B:$B,$A28,'Таблиця 1'!$I:$I,"Mi-8",'Таблиця 1'!$J:$J,"МК-40")+SUMIFS('Таблиця 1'!$K:$K,'Таблиця 1'!$B:$B,$A28,'Таблиця 1'!$I:$I,"Mi-24",'Таблиця 1'!$J:$J,"МК-40"))</f>
        <v/>
      </c>
      <c r="N28">
        <f>IF($A28="","",SUMIFS('Таблиця 1'!$K:$K,'Таблиця 1'!$B:$B,$A28,'Таблиця 1'!$I:$I,"Mi-8",'Таблиця 1'!$J:$J,"Zuni")+SUMIFS('Таблиця 1'!$K:$K,'Таблиця 1'!$B:$B,$A28,'Таблиця 1'!$I:$I,"Mi-24",'Таблиця 1'!$J:$J,"Zuni"))</f>
        <v/>
      </c>
      <c r="O28">
        <f>IF($A28="","",COUNTIFS('Таблиця 1'!$B:$B,$A28,'Таблиця 1'!$I:$I,"Mi-8",'Таблиця 1'!$L:$L,"Уражено")+COUNTIFS('Таблиця 1'!$B:$B,$A28,'Таблиця 1'!$I:$I,"Mi-24",'Таблиця 1'!$L:$L,"Уражено"))</f>
        <v/>
      </c>
      <c r="P28">
        <f>IF($A28="","",COUNTIFS('Таблиця 1'!$B:$B,$A28,'Таблиця 1'!$I:$I,"Mi-8",'Таблиця 1'!$L:$L,"НЕ уражено")+COUNTIFS('Таблиця 1'!$B:$B,$A28,'Таблиця 1'!$I:$I,"Mi-24",'Таблиця 1'!$L:$L,"НЕ уражено"))</f>
        <v/>
      </c>
    </row>
    <row r="29">
      <c r="A29" s="273">
        <f>IF(A28="","",IF(A28+1&gt;MAX('Таблиця 1'!$B:$B),"",A28+1))</f>
        <v/>
      </c>
      <c r="B29">
        <f>IF($A29="","",COUNTIFS('Таблиця 1'!$B:$B,$A29,'Таблиця 1'!$I:$I,"Mi-8")+COUNTIFS('Таблиця 1'!$B:$B,$A29,'Таблиця 1'!$I:$I,"Mi-24"))</f>
        <v/>
      </c>
      <c r="C29">
        <f>IF($A29="","",COUNTIFS('Таблиця 1'!$B:$B,$A29,'Таблиця 1'!$I:$I,"Mi-8"))</f>
        <v/>
      </c>
      <c r="D29">
        <f>IF($A29="","",COUNTIFS('Таблиця 1'!$B:$B,$A29,'Таблиця 1'!$I:$I,"Mi-24"))</f>
        <v/>
      </c>
      <c r="E29">
        <f>IF($A29="","",SUMIFS('Таблиця 1'!$K:$K,'Таблиця 1'!$B:$B,$A29,'Таблиця 1'!$I:$I,"Mi-8",'Таблиця 1'!$J:$J,"ARS-8")+SUMIFS('Таблиця 1'!$K:$K,'Таблиця 1'!$B:$B,$A29,'Таблиця 1'!$I:$I,"Mi-24",'Таблиця 1'!$J:$J,"ARS-8"))</f>
        <v/>
      </c>
      <c r="F29">
        <f>IF($A29="","",SUMIFS('Таблиця 1'!$K:$K,'Таблиця 1'!$B:$B,$A29,'Таблиця 1'!$I:$I,"Mi-8",'Таблиця 1'!$J:$J,"С-8 ком")+SUMIFS('Таблиця 1'!$K:$K,'Таблиця 1'!$B:$B,$A29,'Таблиця 1'!$I:$I,"Mi-24",'Таблиця 1'!$J:$J,"С-8 ком"))</f>
        <v/>
      </c>
      <c r="G29">
        <f>IF($A29="","",SUMIFS('Таблиця 1'!$K:$K,'Таблиця 1'!$B:$B,$A29,'Таблиця 1'!$I:$I,"Mi-8",'Таблиця 1'!$J:$J,"PC-80")+SUMIFS('Таблиця 1'!$K:$K,'Таблиця 1'!$B:$B,$A29,'Таблиця 1'!$I:$I,"Mi-24",'Таблиця 1'!$J:$J,"PC-80"))</f>
        <v/>
      </c>
      <c r="H29">
        <f>IF($A29="","",SUMIFS('Таблиця 1'!$K:$K,'Таблиця 1'!$B:$B,$A29,'Таблиця 1'!$I:$I,"Mi-8",'Таблиця 1'!$J:$J,"UAR-80")+SUMIFS('Таблиця 1'!$K:$K,'Таблиця 1'!$B:$B,$A29,'Таблиця 1'!$I:$I,"Mi-24",'Таблиця 1'!$J:$J,"UAR-80"))</f>
        <v/>
      </c>
      <c r="I29">
        <f>IF($A29="","",SUMIFS('Таблиця 1'!$K:$K,'Таблиця 1'!$B:$B,$A29,'Таблиця 1'!$I:$I,"Mi-8",'Таблиця 1'!$J:$J,"C-13")+SUMIFS('Таблиця 1'!$K:$K,'Таблиця 1'!$B:$B,$A29,'Таблиця 1'!$I:$I,"Mi-24",'Таблиця 1'!$J:$J,"C-13"))</f>
        <v/>
      </c>
      <c r="J29">
        <f>IF($A29="","",SUMIFS('Таблиця 1'!$K:$K,'Таблиця 1'!$B:$B,$A29,'Таблиця 1'!$I:$I,"Mi-8",'Таблиця 1'!$J:$J,"Hydra-70")+SUMIFS('Таблиця 1'!$K:$K,'Таблиця 1'!$B:$B,$A29,'Таблиця 1'!$I:$I,"Mi-24",'Таблиця 1'!$J:$J,"Hydra-70"))</f>
        <v/>
      </c>
      <c r="K29">
        <f>IF($A29="","",SUMIFS('Таблиця 1'!$K:$K,'Таблиця 1'!$B:$B,$A29,'Таблиця 1'!$I:$I,"Mi-8",'Таблиця 1'!$J:$J,"Thales-70")+SUMIFS('Таблиця 1'!$K:$K,'Таблиця 1'!$B:$B,$A29,'Таблиця 1'!$I:$I,"Mi-24",'Таблиця 1'!$J:$J,"Thales-70"))</f>
        <v/>
      </c>
      <c r="L29">
        <f>IF($A29="","",SUMIFS('Таблиця 1'!$K:$K,'Таблиця 1'!$B:$B,$A29,'Таблиця 1'!$I:$I,"Mi-8",'Таблиця 1'!$J:$J,"Thales-FZ")+SUMIFS('Таблиця 1'!$K:$K,'Таблиця 1'!$B:$B,$A29,'Таблиця 1'!$I:$I,"Mi-24",'Таблиця 1'!$J:$J,"Thales-FZ"))</f>
        <v/>
      </c>
      <c r="M29">
        <f>IF($A29="","",SUMIFS('Таблиця 1'!$K:$K,'Таблиця 1'!$B:$B,$A29,'Таблиця 1'!$I:$I,"Mi-8",'Таблиця 1'!$J:$J,"МК-40")+SUMIFS('Таблиця 1'!$K:$K,'Таблиця 1'!$B:$B,$A29,'Таблиця 1'!$I:$I,"Mi-24",'Таблиця 1'!$J:$J,"МК-40"))</f>
        <v/>
      </c>
      <c r="N29">
        <f>IF($A29="","",SUMIFS('Таблиця 1'!$K:$K,'Таблиця 1'!$B:$B,$A29,'Таблиця 1'!$I:$I,"Mi-8",'Таблиця 1'!$J:$J,"Zuni")+SUMIFS('Таблиця 1'!$K:$K,'Таблиця 1'!$B:$B,$A29,'Таблиця 1'!$I:$I,"Mi-24",'Таблиця 1'!$J:$J,"Zuni"))</f>
        <v/>
      </c>
      <c r="O29">
        <f>IF($A29="","",COUNTIFS('Таблиця 1'!$B:$B,$A29,'Таблиця 1'!$I:$I,"Mi-8",'Таблиця 1'!$L:$L,"Уражено")+COUNTIFS('Таблиця 1'!$B:$B,$A29,'Таблиця 1'!$I:$I,"Mi-24",'Таблиця 1'!$L:$L,"Уражено"))</f>
        <v/>
      </c>
      <c r="P29">
        <f>IF($A29="","",COUNTIFS('Таблиця 1'!$B:$B,$A29,'Таблиця 1'!$I:$I,"Mi-8",'Таблиця 1'!$L:$L,"НЕ уражено")+COUNTIFS('Таблиця 1'!$B:$B,$A29,'Таблиця 1'!$I:$I,"Mi-24",'Таблиця 1'!$L:$L,"НЕ уражено"))</f>
        <v/>
      </c>
    </row>
    <row r="30">
      <c r="A30" s="273">
        <f>IF(A29="","",IF(A29+1&gt;MAX('Таблиця 1'!$B:$B),"",A29+1))</f>
        <v/>
      </c>
      <c r="B30">
        <f>IF($A30="","",COUNTIFS('Таблиця 1'!$B:$B,$A30,'Таблиця 1'!$I:$I,"Mi-8")+COUNTIFS('Таблиця 1'!$B:$B,$A30,'Таблиця 1'!$I:$I,"Mi-24"))</f>
        <v/>
      </c>
      <c r="C30">
        <f>IF($A30="","",COUNTIFS('Таблиця 1'!$B:$B,$A30,'Таблиця 1'!$I:$I,"Mi-8"))</f>
        <v/>
      </c>
      <c r="D30">
        <f>IF($A30="","",COUNTIFS('Таблиця 1'!$B:$B,$A30,'Таблиця 1'!$I:$I,"Mi-24"))</f>
        <v/>
      </c>
      <c r="E30">
        <f>IF($A30="","",SUMIFS('Таблиця 1'!$K:$K,'Таблиця 1'!$B:$B,$A30,'Таблиця 1'!$I:$I,"Mi-8",'Таблиця 1'!$J:$J,"ARS-8")+SUMIFS('Таблиця 1'!$K:$K,'Таблиця 1'!$B:$B,$A30,'Таблиця 1'!$I:$I,"Mi-24",'Таблиця 1'!$J:$J,"ARS-8"))</f>
        <v/>
      </c>
      <c r="F30">
        <f>IF($A30="","",SUMIFS('Таблиця 1'!$K:$K,'Таблиця 1'!$B:$B,$A30,'Таблиця 1'!$I:$I,"Mi-8",'Таблиця 1'!$J:$J,"С-8 ком")+SUMIFS('Таблиця 1'!$K:$K,'Таблиця 1'!$B:$B,$A30,'Таблиця 1'!$I:$I,"Mi-24",'Таблиця 1'!$J:$J,"С-8 ком"))</f>
        <v/>
      </c>
      <c r="G30">
        <f>IF($A30="","",SUMIFS('Таблиця 1'!$K:$K,'Таблиця 1'!$B:$B,$A30,'Таблиця 1'!$I:$I,"Mi-8",'Таблиця 1'!$J:$J,"PC-80")+SUMIFS('Таблиця 1'!$K:$K,'Таблиця 1'!$B:$B,$A30,'Таблиця 1'!$I:$I,"Mi-24",'Таблиця 1'!$J:$J,"PC-80"))</f>
        <v/>
      </c>
      <c r="H30">
        <f>IF($A30="","",SUMIFS('Таблиця 1'!$K:$K,'Таблиця 1'!$B:$B,$A30,'Таблиця 1'!$I:$I,"Mi-8",'Таблиця 1'!$J:$J,"UAR-80")+SUMIFS('Таблиця 1'!$K:$K,'Таблиця 1'!$B:$B,$A30,'Таблиця 1'!$I:$I,"Mi-24",'Таблиця 1'!$J:$J,"UAR-80"))</f>
        <v/>
      </c>
      <c r="I30">
        <f>IF($A30="","",SUMIFS('Таблиця 1'!$K:$K,'Таблиця 1'!$B:$B,$A30,'Таблиця 1'!$I:$I,"Mi-8",'Таблиця 1'!$J:$J,"C-13")+SUMIFS('Таблиця 1'!$K:$K,'Таблиця 1'!$B:$B,$A30,'Таблиця 1'!$I:$I,"Mi-24",'Таблиця 1'!$J:$J,"C-13"))</f>
        <v/>
      </c>
      <c r="J30">
        <f>IF($A30="","",SUMIFS('Таблиця 1'!$K:$K,'Таблиця 1'!$B:$B,$A30,'Таблиця 1'!$I:$I,"Mi-8",'Таблиця 1'!$J:$J,"Hydra-70")+SUMIFS('Таблиця 1'!$K:$K,'Таблиця 1'!$B:$B,$A30,'Таблиця 1'!$I:$I,"Mi-24",'Таблиця 1'!$J:$J,"Hydra-70"))</f>
        <v/>
      </c>
      <c r="K30">
        <f>IF($A30="","",SUMIFS('Таблиця 1'!$K:$K,'Таблиця 1'!$B:$B,$A30,'Таблиця 1'!$I:$I,"Mi-8",'Таблиця 1'!$J:$J,"Thales-70")+SUMIFS('Таблиця 1'!$K:$K,'Таблиця 1'!$B:$B,$A30,'Таблиця 1'!$I:$I,"Mi-24",'Таблиця 1'!$J:$J,"Thales-70"))</f>
        <v/>
      </c>
      <c r="L30">
        <f>IF($A30="","",SUMIFS('Таблиця 1'!$K:$K,'Таблиця 1'!$B:$B,$A30,'Таблиця 1'!$I:$I,"Mi-8",'Таблиця 1'!$J:$J,"Thales-FZ")+SUMIFS('Таблиця 1'!$K:$K,'Таблиця 1'!$B:$B,$A30,'Таблиця 1'!$I:$I,"Mi-24",'Таблиця 1'!$J:$J,"Thales-FZ"))</f>
        <v/>
      </c>
      <c r="M30">
        <f>IF($A30="","",SUMIFS('Таблиця 1'!$K:$K,'Таблиця 1'!$B:$B,$A30,'Таблиця 1'!$I:$I,"Mi-8",'Таблиця 1'!$J:$J,"МК-40")+SUMIFS('Таблиця 1'!$K:$K,'Таблиця 1'!$B:$B,$A30,'Таблиця 1'!$I:$I,"Mi-24",'Таблиця 1'!$J:$J,"МК-40"))</f>
        <v/>
      </c>
      <c r="N30">
        <f>IF($A30="","",SUMIFS('Таблиця 1'!$K:$K,'Таблиця 1'!$B:$B,$A30,'Таблиця 1'!$I:$I,"Mi-8",'Таблиця 1'!$J:$J,"Zuni")+SUMIFS('Таблиця 1'!$K:$K,'Таблиця 1'!$B:$B,$A30,'Таблиця 1'!$I:$I,"Mi-24",'Таблиця 1'!$J:$J,"Zuni"))</f>
        <v/>
      </c>
      <c r="O30">
        <f>IF($A30="","",COUNTIFS('Таблиця 1'!$B:$B,$A30,'Таблиця 1'!$I:$I,"Mi-8",'Таблиця 1'!$L:$L,"Уражено")+COUNTIFS('Таблиця 1'!$B:$B,$A30,'Таблиця 1'!$I:$I,"Mi-24",'Таблиця 1'!$L:$L,"Уражено"))</f>
        <v/>
      </c>
      <c r="P30">
        <f>IF($A30="","",COUNTIFS('Таблиця 1'!$B:$B,$A30,'Таблиця 1'!$I:$I,"Mi-8",'Таблиця 1'!$L:$L,"НЕ уражено")+COUNTIFS('Таблиця 1'!$B:$B,$A30,'Таблиця 1'!$I:$I,"Mi-24",'Таблиця 1'!$L:$L,"НЕ уражено"))</f>
        <v/>
      </c>
    </row>
    <row r="31">
      <c r="A31" s="273">
        <f>IF(A30="","",IF(A30+1&gt;MAX('Таблиця 1'!$B:$B),"",A30+1))</f>
        <v/>
      </c>
      <c r="B31">
        <f>IF($A31="","",COUNTIFS('Таблиця 1'!$B:$B,$A31,'Таблиця 1'!$I:$I,"Mi-8")+COUNTIFS('Таблиця 1'!$B:$B,$A31,'Таблиця 1'!$I:$I,"Mi-24"))</f>
        <v/>
      </c>
      <c r="C31">
        <f>IF($A31="","",COUNTIFS('Таблиця 1'!$B:$B,$A31,'Таблиця 1'!$I:$I,"Mi-8"))</f>
        <v/>
      </c>
      <c r="D31">
        <f>IF($A31="","",COUNTIFS('Таблиця 1'!$B:$B,$A31,'Таблиця 1'!$I:$I,"Mi-24"))</f>
        <v/>
      </c>
      <c r="E31">
        <f>IF($A31="","",SUMIFS('Таблиця 1'!$K:$K,'Таблиця 1'!$B:$B,$A31,'Таблиця 1'!$I:$I,"Mi-8",'Таблиця 1'!$J:$J,"ARS-8")+SUMIFS('Таблиця 1'!$K:$K,'Таблиця 1'!$B:$B,$A31,'Таблиця 1'!$I:$I,"Mi-24",'Таблиця 1'!$J:$J,"ARS-8"))</f>
        <v/>
      </c>
      <c r="F31">
        <f>IF($A31="","",SUMIFS('Таблиця 1'!$K:$K,'Таблиця 1'!$B:$B,$A31,'Таблиця 1'!$I:$I,"Mi-8",'Таблиця 1'!$J:$J,"С-8 ком")+SUMIFS('Таблиця 1'!$K:$K,'Таблиця 1'!$B:$B,$A31,'Таблиця 1'!$I:$I,"Mi-24",'Таблиця 1'!$J:$J,"С-8 ком"))</f>
        <v/>
      </c>
      <c r="G31">
        <f>IF($A31="","",SUMIFS('Таблиця 1'!$K:$K,'Таблиця 1'!$B:$B,$A31,'Таблиця 1'!$I:$I,"Mi-8",'Таблиця 1'!$J:$J,"PC-80")+SUMIFS('Таблиця 1'!$K:$K,'Таблиця 1'!$B:$B,$A31,'Таблиця 1'!$I:$I,"Mi-24",'Таблиця 1'!$J:$J,"PC-80"))</f>
        <v/>
      </c>
      <c r="H31">
        <f>IF($A31="","",SUMIFS('Таблиця 1'!$K:$K,'Таблиця 1'!$B:$B,$A31,'Таблиця 1'!$I:$I,"Mi-8",'Таблиця 1'!$J:$J,"UAR-80")+SUMIFS('Таблиця 1'!$K:$K,'Таблиця 1'!$B:$B,$A31,'Таблиця 1'!$I:$I,"Mi-24",'Таблиця 1'!$J:$J,"UAR-80"))</f>
        <v/>
      </c>
      <c r="I31">
        <f>IF($A31="","",SUMIFS('Таблиця 1'!$K:$K,'Таблиця 1'!$B:$B,$A31,'Таблиця 1'!$I:$I,"Mi-8",'Таблиця 1'!$J:$J,"C-13")+SUMIFS('Таблиця 1'!$K:$K,'Таблиця 1'!$B:$B,$A31,'Таблиця 1'!$I:$I,"Mi-24",'Таблиця 1'!$J:$J,"C-13"))</f>
        <v/>
      </c>
      <c r="J31">
        <f>IF($A31="","",SUMIFS('Таблиця 1'!$K:$K,'Таблиця 1'!$B:$B,$A31,'Таблиця 1'!$I:$I,"Mi-8",'Таблиця 1'!$J:$J,"Hydra-70")+SUMIFS('Таблиця 1'!$K:$K,'Таблиця 1'!$B:$B,$A31,'Таблиця 1'!$I:$I,"Mi-24",'Таблиця 1'!$J:$J,"Hydra-70"))</f>
        <v/>
      </c>
      <c r="K31">
        <f>IF($A31="","",SUMIFS('Таблиця 1'!$K:$K,'Таблиця 1'!$B:$B,$A31,'Таблиця 1'!$I:$I,"Mi-8",'Таблиця 1'!$J:$J,"Thales-70")+SUMIFS('Таблиця 1'!$K:$K,'Таблиця 1'!$B:$B,$A31,'Таблиця 1'!$I:$I,"Mi-24",'Таблиця 1'!$J:$J,"Thales-70"))</f>
        <v/>
      </c>
      <c r="L31">
        <f>IF($A31="","",SUMIFS('Таблиця 1'!$K:$K,'Таблиця 1'!$B:$B,$A31,'Таблиця 1'!$I:$I,"Mi-8",'Таблиця 1'!$J:$J,"Thales-FZ")+SUMIFS('Таблиця 1'!$K:$K,'Таблиця 1'!$B:$B,$A31,'Таблиця 1'!$I:$I,"Mi-24",'Таблиця 1'!$J:$J,"Thales-FZ"))</f>
        <v/>
      </c>
      <c r="M31">
        <f>IF($A31="","",SUMIFS('Таблиця 1'!$K:$K,'Таблиця 1'!$B:$B,$A31,'Таблиця 1'!$I:$I,"Mi-8",'Таблиця 1'!$J:$J,"МК-40")+SUMIFS('Таблиця 1'!$K:$K,'Таблиця 1'!$B:$B,$A31,'Таблиця 1'!$I:$I,"Mi-24",'Таблиця 1'!$J:$J,"МК-40"))</f>
        <v/>
      </c>
      <c r="N31">
        <f>IF($A31="","",SUMIFS('Таблиця 1'!$K:$K,'Таблиця 1'!$B:$B,$A31,'Таблиця 1'!$I:$I,"Mi-8",'Таблиця 1'!$J:$J,"Zuni")+SUMIFS('Таблиця 1'!$K:$K,'Таблиця 1'!$B:$B,$A31,'Таблиця 1'!$I:$I,"Mi-24",'Таблиця 1'!$J:$J,"Zuni"))</f>
        <v/>
      </c>
      <c r="O31">
        <f>IF($A31="","",COUNTIFS('Таблиця 1'!$B:$B,$A31,'Таблиця 1'!$I:$I,"Mi-8",'Таблиця 1'!$L:$L,"Уражено")+COUNTIFS('Таблиця 1'!$B:$B,$A31,'Таблиця 1'!$I:$I,"Mi-24",'Таблиця 1'!$L:$L,"Уражено"))</f>
        <v/>
      </c>
      <c r="P31">
        <f>IF($A31="","",COUNTIFS('Таблиця 1'!$B:$B,$A31,'Таблиця 1'!$I:$I,"Mi-8",'Таблиця 1'!$L:$L,"НЕ уражено")+COUNTIFS('Таблиця 1'!$B:$B,$A31,'Таблиця 1'!$I:$I,"Mi-24",'Таблиця 1'!$L:$L,"НЕ уражено"))</f>
        <v/>
      </c>
    </row>
    <row r="32">
      <c r="A32" s="273">
        <f>IF(A31="","",IF(A31+1&gt;MAX('Таблиця 1'!$B:$B),"",A31+1))</f>
        <v/>
      </c>
      <c r="B32">
        <f>IF($A32="","",COUNTIFS('Таблиця 1'!$B:$B,$A32,'Таблиця 1'!$I:$I,"Mi-8")+COUNTIFS('Таблиця 1'!$B:$B,$A32,'Таблиця 1'!$I:$I,"Mi-24"))</f>
        <v/>
      </c>
      <c r="C32">
        <f>IF($A32="","",COUNTIFS('Таблиця 1'!$B:$B,$A32,'Таблиця 1'!$I:$I,"Mi-8"))</f>
        <v/>
      </c>
      <c r="D32">
        <f>IF($A32="","",COUNTIFS('Таблиця 1'!$B:$B,$A32,'Таблиця 1'!$I:$I,"Mi-24"))</f>
        <v/>
      </c>
      <c r="E32">
        <f>IF($A32="","",SUMIFS('Таблиця 1'!$K:$K,'Таблиця 1'!$B:$B,$A32,'Таблиця 1'!$I:$I,"Mi-8",'Таблиця 1'!$J:$J,"ARS-8")+SUMIFS('Таблиця 1'!$K:$K,'Таблиця 1'!$B:$B,$A32,'Таблиця 1'!$I:$I,"Mi-24",'Таблиця 1'!$J:$J,"ARS-8"))</f>
        <v/>
      </c>
      <c r="F32">
        <f>IF($A32="","",SUMIFS('Таблиця 1'!$K:$K,'Таблиця 1'!$B:$B,$A32,'Таблиця 1'!$I:$I,"Mi-8",'Таблиця 1'!$J:$J,"С-8 ком")+SUMIFS('Таблиця 1'!$K:$K,'Таблиця 1'!$B:$B,$A32,'Таблиця 1'!$I:$I,"Mi-24",'Таблиця 1'!$J:$J,"С-8 ком"))</f>
        <v/>
      </c>
      <c r="G32">
        <f>IF($A32="","",SUMIFS('Таблиця 1'!$K:$K,'Таблиця 1'!$B:$B,$A32,'Таблиця 1'!$I:$I,"Mi-8",'Таблиця 1'!$J:$J,"PC-80")+SUMIFS('Таблиця 1'!$K:$K,'Таблиця 1'!$B:$B,$A32,'Таблиця 1'!$I:$I,"Mi-24",'Таблиця 1'!$J:$J,"PC-80"))</f>
        <v/>
      </c>
      <c r="H32">
        <f>IF($A32="","",SUMIFS('Таблиця 1'!$K:$K,'Таблиця 1'!$B:$B,$A32,'Таблиця 1'!$I:$I,"Mi-8",'Таблиця 1'!$J:$J,"UAR-80")+SUMIFS('Таблиця 1'!$K:$K,'Таблиця 1'!$B:$B,$A32,'Таблиця 1'!$I:$I,"Mi-24",'Таблиця 1'!$J:$J,"UAR-80"))</f>
        <v/>
      </c>
      <c r="I32">
        <f>IF($A32="","",SUMIFS('Таблиця 1'!$K:$K,'Таблиця 1'!$B:$B,$A32,'Таблиця 1'!$I:$I,"Mi-8",'Таблиця 1'!$J:$J,"C-13")+SUMIFS('Таблиця 1'!$K:$K,'Таблиця 1'!$B:$B,$A32,'Таблиця 1'!$I:$I,"Mi-24",'Таблиця 1'!$J:$J,"C-13"))</f>
        <v/>
      </c>
      <c r="J32">
        <f>IF($A32="","",SUMIFS('Таблиця 1'!$K:$K,'Таблиця 1'!$B:$B,$A32,'Таблиця 1'!$I:$I,"Mi-8",'Таблиця 1'!$J:$J,"Hydra-70")+SUMIFS('Таблиця 1'!$K:$K,'Таблиця 1'!$B:$B,$A32,'Таблиця 1'!$I:$I,"Mi-24",'Таблиця 1'!$J:$J,"Hydra-70"))</f>
        <v/>
      </c>
      <c r="K32">
        <f>IF($A32="","",SUMIFS('Таблиця 1'!$K:$K,'Таблиця 1'!$B:$B,$A32,'Таблиця 1'!$I:$I,"Mi-8",'Таблиця 1'!$J:$J,"Thales-70")+SUMIFS('Таблиця 1'!$K:$K,'Таблиця 1'!$B:$B,$A32,'Таблиця 1'!$I:$I,"Mi-24",'Таблиця 1'!$J:$J,"Thales-70"))</f>
        <v/>
      </c>
      <c r="L32">
        <f>IF($A32="","",SUMIFS('Таблиця 1'!$K:$K,'Таблиця 1'!$B:$B,$A32,'Таблиця 1'!$I:$I,"Mi-8",'Таблиця 1'!$J:$J,"Thales-FZ")+SUMIFS('Таблиця 1'!$K:$K,'Таблиця 1'!$B:$B,$A32,'Таблиця 1'!$I:$I,"Mi-24",'Таблиця 1'!$J:$J,"Thales-FZ"))</f>
        <v/>
      </c>
      <c r="M32">
        <f>IF($A32="","",SUMIFS('Таблиця 1'!$K:$K,'Таблиця 1'!$B:$B,$A32,'Таблиця 1'!$I:$I,"Mi-8",'Таблиця 1'!$J:$J,"МК-40")+SUMIFS('Таблиця 1'!$K:$K,'Таблиця 1'!$B:$B,$A32,'Таблиця 1'!$I:$I,"Mi-24",'Таблиця 1'!$J:$J,"МК-40"))</f>
        <v/>
      </c>
      <c r="N32">
        <f>IF($A32="","",SUMIFS('Таблиця 1'!$K:$K,'Таблиця 1'!$B:$B,$A32,'Таблиця 1'!$I:$I,"Mi-8",'Таблиця 1'!$J:$J,"Zuni")+SUMIFS('Таблиця 1'!$K:$K,'Таблиця 1'!$B:$B,$A32,'Таблиця 1'!$I:$I,"Mi-24",'Таблиця 1'!$J:$J,"Zuni"))</f>
        <v/>
      </c>
      <c r="O32">
        <f>IF($A32="","",COUNTIFS('Таблиця 1'!$B:$B,$A32,'Таблиця 1'!$I:$I,"Mi-8",'Таблиця 1'!$L:$L,"Уражено")+COUNTIFS('Таблиця 1'!$B:$B,$A32,'Таблиця 1'!$I:$I,"Mi-24",'Таблиця 1'!$L:$L,"Уражено"))</f>
        <v/>
      </c>
      <c r="P32">
        <f>IF($A32="","",COUNTIFS('Таблиця 1'!$B:$B,$A32,'Таблиця 1'!$I:$I,"Mi-8",'Таблиця 1'!$L:$L,"НЕ уражено")+COUNTIFS('Таблиця 1'!$B:$B,$A32,'Таблиця 1'!$I:$I,"Mi-24",'Таблиця 1'!$L:$L,"НЕ уражено"))</f>
        <v/>
      </c>
    </row>
    <row r="33">
      <c r="A33" s="273">
        <f>IF(A32="","",IF(A32+1&gt;MAX('Таблиця 1'!$B:$B),"",A32+1))</f>
        <v/>
      </c>
      <c r="B33">
        <f>IF($A33="","",COUNTIFS('Таблиця 1'!$B:$B,$A33,'Таблиця 1'!$I:$I,"Mi-8")+COUNTIFS('Таблиця 1'!$B:$B,$A33,'Таблиця 1'!$I:$I,"Mi-24"))</f>
        <v/>
      </c>
      <c r="C33">
        <f>IF($A33="","",COUNTIFS('Таблиця 1'!$B:$B,$A33,'Таблиця 1'!$I:$I,"Mi-8"))</f>
        <v/>
      </c>
      <c r="D33">
        <f>IF($A33="","",COUNTIFS('Таблиця 1'!$B:$B,$A33,'Таблиця 1'!$I:$I,"Mi-24"))</f>
        <v/>
      </c>
      <c r="E33">
        <f>IF($A33="","",SUMIFS('Таблиця 1'!$K:$K,'Таблиця 1'!$B:$B,$A33,'Таблиця 1'!$I:$I,"Mi-8",'Таблиця 1'!$J:$J,"ARS-8")+SUMIFS('Таблиця 1'!$K:$K,'Таблиця 1'!$B:$B,$A33,'Таблиця 1'!$I:$I,"Mi-24",'Таблиця 1'!$J:$J,"ARS-8"))</f>
        <v/>
      </c>
      <c r="F33">
        <f>IF($A33="","",SUMIFS('Таблиця 1'!$K:$K,'Таблиця 1'!$B:$B,$A33,'Таблиця 1'!$I:$I,"Mi-8",'Таблиця 1'!$J:$J,"С-8 ком")+SUMIFS('Таблиця 1'!$K:$K,'Таблиця 1'!$B:$B,$A33,'Таблиця 1'!$I:$I,"Mi-24",'Таблиця 1'!$J:$J,"С-8 ком"))</f>
        <v/>
      </c>
      <c r="G33">
        <f>IF($A33="","",SUMIFS('Таблиця 1'!$K:$K,'Таблиця 1'!$B:$B,$A33,'Таблиця 1'!$I:$I,"Mi-8",'Таблиця 1'!$J:$J,"PC-80")+SUMIFS('Таблиця 1'!$K:$K,'Таблиця 1'!$B:$B,$A33,'Таблиця 1'!$I:$I,"Mi-24",'Таблиця 1'!$J:$J,"PC-80"))</f>
        <v/>
      </c>
      <c r="H33">
        <f>IF($A33="","",SUMIFS('Таблиця 1'!$K:$K,'Таблиця 1'!$B:$B,$A33,'Таблиця 1'!$I:$I,"Mi-8",'Таблиця 1'!$J:$J,"UAR-80")+SUMIFS('Таблиця 1'!$K:$K,'Таблиця 1'!$B:$B,$A33,'Таблиця 1'!$I:$I,"Mi-24",'Таблиця 1'!$J:$J,"UAR-80"))</f>
        <v/>
      </c>
      <c r="I33">
        <f>IF($A33="","",SUMIFS('Таблиця 1'!$K:$K,'Таблиця 1'!$B:$B,$A33,'Таблиця 1'!$I:$I,"Mi-8",'Таблиця 1'!$J:$J,"C-13")+SUMIFS('Таблиця 1'!$K:$K,'Таблиця 1'!$B:$B,$A33,'Таблиця 1'!$I:$I,"Mi-24",'Таблиця 1'!$J:$J,"C-13"))</f>
        <v/>
      </c>
      <c r="J33">
        <f>IF($A33="","",SUMIFS('Таблиця 1'!$K:$K,'Таблиця 1'!$B:$B,$A33,'Таблиця 1'!$I:$I,"Mi-8",'Таблиця 1'!$J:$J,"Hydra-70")+SUMIFS('Таблиця 1'!$K:$K,'Таблиця 1'!$B:$B,$A33,'Таблиця 1'!$I:$I,"Mi-24",'Таблиця 1'!$J:$J,"Hydra-70"))</f>
        <v/>
      </c>
      <c r="K33">
        <f>IF($A33="","",SUMIFS('Таблиця 1'!$K:$K,'Таблиця 1'!$B:$B,$A33,'Таблиця 1'!$I:$I,"Mi-8",'Таблиця 1'!$J:$J,"Thales-70")+SUMIFS('Таблиця 1'!$K:$K,'Таблиця 1'!$B:$B,$A33,'Таблиця 1'!$I:$I,"Mi-24",'Таблиця 1'!$J:$J,"Thales-70"))</f>
        <v/>
      </c>
      <c r="L33">
        <f>IF($A33="","",SUMIFS('Таблиця 1'!$K:$K,'Таблиця 1'!$B:$B,$A33,'Таблиця 1'!$I:$I,"Mi-8",'Таблиця 1'!$J:$J,"Thales-FZ")+SUMIFS('Таблиця 1'!$K:$K,'Таблиця 1'!$B:$B,$A33,'Таблиця 1'!$I:$I,"Mi-24",'Таблиця 1'!$J:$J,"Thales-FZ"))</f>
        <v/>
      </c>
      <c r="M33">
        <f>IF($A33="","",SUMIFS('Таблиця 1'!$K:$K,'Таблиця 1'!$B:$B,$A33,'Таблиця 1'!$I:$I,"Mi-8",'Таблиця 1'!$J:$J,"МК-40")+SUMIFS('Таблиця 1'!$K:$K,'Таблиця 1'!$B:$B,$A33,'Таблиця 1'!$I:$I,"Mi-24",'Таблиця 1'!$J:$J,"МК-40"))</f>
        <v/>
      </c>
      <c r="N33">
        <f>IF($A33="","",SUMIFS('Таблиця 1'!$K:$K,'Таблиця 1'!$B:$B,$A33,'Таблиця 1'!$I:$I,"Mi-8",'Таблиця 1'!$J:$J,"Zuni")+SUMIFS('Таблиця 1'!$K:$K,'Таблиця 1'!$B:$B,$A33,'Таблиця 1'!$I:$I,"Mi-24",'Таблиця 1'!$J:$J,"Zuni"))</f>
        <v/>
      </c>
      <c r="O33">
        <f>IF($A33="","",COUNTIFS('Таблиця 1'!$B:$B,$A33,'Таблиця 1'!$I:$I,"Mi-8",'Таблиця 1'!$L:$L,"Уражено")+COUNTIFS('Таблиця 1'!$B:$B,$A33,'Таблиця 1'!$I:$I,"Mi-24",'Таблиця 1'!$L:$L,"Уражено"))</f>
        <v/>
      </c>
      <c r="P33">
        <f>IF($A33="","",COUNTIFS('Таблиця 1'!$B:$B,$A33,'Таблиця 1'!$I:$I,"Mi-8",'Таблиця 1'!$L:$L,"НЕ уражено")+COUNTIFS('Таблиця 1'!$B:$B,$A33,'Таблиця 1'!$I:$I,"Mi-24",'Таблиця 1'!$L:$L,"НЕ уражено"))</f>
        <v/>
      </c>
    </row>
    <row r="34">
      <c r="A34" s="273">
        <f>IF(A33="","",IF(A33+1&gt;MAX('Таблиця 1'!$B:$B),"",A33+1))</f>
        <v/>
      </c>
      <c r="B34">
        <f>IF($A34="","",COUNTIFS('Таблиця 1'!$B:$B,$A34,'Таблиця 1'!$I:$I,"Mi-8")+COUNTIFS('Таблиця 1'!$B:$B,$A34,'Таблиця 1'!$I:$I,"Mi-24"))</f>
        <v/>
      </c>
      <c r="C34">
        <f>IF($A34="","",COUNTIFS('Таблиця 1'!$B:$B,$A34,'Таблиця 1'!$I:$I,"Mi-8"))</f>
        <v/>
      </c>
      <c r="D34">
        <f>IF($A34="","",COUNTIFS('Таблиця 1'!$B:$B,$A34,'Таблиця 1'!$I:$I,"Mi-24"))</f>
        <v/>
      </c>
      <c r="E34">
        <f>IF($A34="","",SUMIFS('Таблиця 1'!$K:$K,'Таблиця 1'!$B:$B,$A34,'Таблиця 1'!$I:$I,"Mi-8",'Таблиця 1'!$J:$J,"ARS-8")+SUMIFS('Таблиця 1'!$K:$K,'Таблиця 1'!$B:$B,$A34,'Таблиця 1'!$I:$I,"Mi-24",'Таблиця 1'!$J:$J,"ARS-8"))</f>
        <v/>
      </c>
      <c r="F34">
        <f>IF($A34="","",SUMIFS('Таблиця 1'!$K:$K,'Таблиця 1'!$B:$B,$A34,'Таблиця 1'!$I:$I,"Mi-8",'Таблиця 1'!$J:$J,"С-8 ком")+SUMIFS('Таблиця 1'!$K:$K,'Таблиця 1'!$B:$B,$A34,'Таблиця 1'!$I:$I,"Mi-24",'Таблиця 1'!$J:$J,"С-8 ком"))</f>
        <v/>
      </c>
      <c r="G34">
        <f>IF($A34="","",SUMIFS('Таблиця 1'!$K:$K,'Таблиця 1'!$B:$B,$A34,'Таблиця 1'!$I:$I,"Mi-8",'Таблиця 1'!$J:$J,"PC-80")+SUMIFS('Таблиця 1'!$K:$K,'Таблиця 1'!$B:$B,$A34,'Таблиця 1'!$I:$I,"Mi-24",'Таблиця 1'!$J:$J,"PC-80"))</f>
        <v/>
      </c>
      <c r="H34">
        <f>IF($A34="","",SUMIFS('Таблиця 1'!$K:$K,'Таблиця 1'!$B:$B,$A34,'Таблиця 1'!$I:$I,"Mi-8",'Таблиця 1'!$J:$J,"UAR-80")+SUMIFS('Таблиця 1'!$K:$K,'Таблиця 1'!$B:$B,$A34,'Таблиця 1'!$I:$I,"Mi-24",'Таблиця 1'!$J:$J,"UAR-80"))</f>
        <v/>
      </c>
      <c r="I34">
        <f>IF($A34="","",SUMIFS('Таблиця 1'!$K:$K,'Таблиця 1'!$B:$B,$A34,'Таблиця 1'!$I:$I,"Mi-8",'Таблиця 1'!$J:$J,"C-13")+SUMIFS('Таблиця 1'!$K:$K,'Таблиця 1'!$B:$B,$A34,'Таблиця 1'!$I:$I,"Mi-24",'Таблиця 1'!$J:$J,"C-13"))</f>
        <v/>
      </c>
      <c r="J34">
        <f>IF($A34="","",SUMIFS('Таблиця 1'!$K:$K,'Таблиця 1'!$B:$B,$A34,'Таблиця 1'!$I:$I,"Mi-8",'Таблиця 1'!$J:$J,"Hydra-70")+SUMIFS('Таблиця 1'!$K:$K,'Таблиця 1'!$B:$B,$A34,'Таблиця 1'!$I:$I,"Mi-24",'Таблиця 1'!$J:$J,"Hydra-70"))</f>
        <v/>
      </c>
      <c r="K34">
        <f>IF($A34="","",SUMIFS('Таблиця 1'!$K:$K,'Таблиця 1'!$B:$B,$A34,'Таблиця 1'!$I:$I,"Mi-8",'Таблиця 1'!$J:$J,"Thales-70")+SUMIFS('Таблиця 1'!$K:$K,'Таблиця 1'!$B:$B,$A34,'Таблиця 1'!$I:$I,"Mi-24",'Таблиця 1'!$J:$J,"Thales-70"))</f>
        <v/>
      </c>
      <c r="L34">
        <f>IF($A34="","",SUMIFS('Таблиця 1'!$K:$K,'Таблиця 1'!$B:$B,$A34,'Таблиця 1'!$I:$I,"Mi-8",'Таблиця 1'!$J:$J,"Thales-FZ")+SUMIFS('Таблиця 1'!$K:$K,'Таблиця 1'!$B:$B,$A34,'Таблиця 1'!$I:$I,"Mi-24",'Таблиця 1'!$J:$J,"Thales-FZ"))</f>
        <v/>
      </c>
      <c r="M34">
        <f>IF($A34="","",SUMIFS('Таблиця 1'!$K:$K,'Таблиця 1'!$B:$B,$A34,'Таблиця 1'!$I:$I,"Mi-8",'Таблиця 1'!$J:$J,"МК-40")+SUMIFS('Таблиця 1'!$K:$K,'Таблиця 1'!$B:$B,$A34,'Таблиця 1'!$I:$I,"Mi-24",'Таблиця 1'!$J:$J,"МК-40"))</f>
        <v/>
      </c>
      <c r="N34">
        <f>IF($A34="","",SUMIFS('Таблиця 1'!$K:$K,'Таблиця 1'!$B:$B,$A34,'Таблиця 1'!$I:$I,"Mi-8",'Таблиця 1'!$J:$J,"Zuni")+SUMIFS('Таблиця 1'!$K:$K,'Таблиця 1'!$B:$B,$A34,'Таблиця 1'!$I:$I,"Mi-24",'Таблиця 1'!$J:$J,"Zuni"))</f>
        <v/>
      </c>
      <c r="O34">
        <f>IF($A34="","",COUNTIFS('Таблиця 1'!$B:$B,$A34,'Таблиця 1'!$I:$I,"Mi-8",'Таблиця 1'!$L:$L,"Уражено")+COUNTIFS('Таблиця 1'!$B:$B,$A34,'Таблиця 1'!$I:$I,"Mi-24",'Таблиця 1'!$L:$L,"Уражено"))</f>
        <v/>
      </c>
      <c r="P34">
        <f>IF($A34="","",COUNTIFS('Таблиця 1'!$B:$B,$A34,'Таблиця 1'!$I:$I,"Mi-8",'Таблиця 1'!$L:$L,"НЕ уражено")+COUNTIFS('Таблиця 1'!$B:$B,$A34,'Таблиця 1'!$I:$I,"Mi-24",'Таблиця 1'!$L:$L,"НЕ уражено"))</f>
        <v/>
      </c>
    </row>
    <row r="35">
      <c r="A35" s="273">
        <f>IF(A34="","",IF(A34+1&gt;MAX('Таблиця 1'!$B:$B),"",A34+1))</f>
        <v/>
      </c>
      <c r="B35">
        <f>IF($A35="","",COUNTIFS('Таблиця 1'!$B:$B,$A35,'Таблиця 1'!$I:$I,"Mi-8")+COUNTIFS('Таблиця 1'!$B:$B,$A35,'Таблиця 1'!$I:$I,"Mi-24"))</f>
        <v/>
      </c>
      <c r="C35">
        <f>IF($A35="","",COUNTIFS('Таблиця 1'!$B:$B,$A35,'Таблиця 1'!$I:$I,"Mi-8"))</f>
        <v/>
      </c>
      <c r="D35">
        <f>IF($A35="","",COUNTIFS('Таблиця 1'!$B:$B,$A35,'Таблиця 1'!$I:$I,"Mi-24"))</f>
        <v/>
      </c>
      <c r="E35">
        <f>IF($A35="","",SUMIFS('Таблиця 1'!$K:$K,'Таблиця 1'!$B:$B,$A35,'Таблиця 1'!$I:$I,"Mi-8",'Таблиця 1'!$J:$J,"ARS-8")+SUMIFS('Таблиця 1'!$K:$K,'Таблиця 1'!$B:$B,$A35,'Таблиця 1'!$I:$I,"Mi-24",'Таблиця 1'!$J:$J,"ARS-8"))</f>
        <v/>
      </c>
      <c r="F35">
        <f>IF($A35="","",SUMIFS('Таблиця 1'!$K:$K,'Таблиця 1'!$B:$B,$A35,'Таблиця 1'!$I:$I,"Mi-8",'Таблиця 1'!$J:$J,"С-8 ком")+SUMIFS('Таблиця 1'!$K:$K,'Таблиця 1'!$B:$B,$A35,'Таблиця 1'!$I:$I,"Mi-24",'Таблиця 1'!$J:$J,"С-8 ком"))</f>
        <v/>
      </c>
      <c r="G35">
        <f>IF($A35="","",SUMIFS('Таблиця 1'!$K:$K,'Таблиця 1'!$B:$B,$A35,'Таблиця 1'!$I:$I,"Mi-8",'Таблиця 1'!$J:$J,"PC-80")+SUMIFS('Таблиця 1'!$K:$K,'Таблиця 1'!$B:$B,$A35,'Таблиця 1'!$I:$I,"Mi-24",'Таблиця 1'!$J:$J,"PC-80"))</f>
        <v/>
      </c>
      <c r="H35">
        <f>IF($A35="","",SUMIFS('Таблиця 1'!$K:$K,'Таблиця 1'!$B:$B,$A35,'Таблиця 1'!$I:$I,"Mi-8",'Таблиця 1'!$J:$J,"UAR-80")+SUMIFS('Таблиця 1'!$K:$K,'Таблиця 1'!$B:$B,$A35,'Таблиця 1'!$I:$I,"Mi-24",'Таблиця 1'!$J:$J,"UAR-80"))</f>
        <v/>
      </c>
      <c r="I35">
        <f>IF($A35="","",SUMIFS('Таблиця 1'!$K:$K,'Таблиця 1'!$B:$B,$A35,'Таблиця 1'!$I:$I,"Mi-8",'Таблиця 1'!$J:$J,"C-13")+SUMIFS('Таблиця 1'!$K:$K,'Таблиця 1'!$B:$B,$A35,'Таблиця 1'!$I:$I,"Mi-24",'Таблиця 1'!$J:$J,"C-13"))</f>
        <v/>
      </c>
      <c r="J35">
        <f>IF($A35="","",SUMIFS('Таблиця 1'!$K:$K,'Таблиця 1'!$B:$B,$A35,'Таблиця 1'!$I:$I,"Mi-8",'Таблиця 1'!$J:$J,"Hydra-70")+SUMIFS('Таблиця 1'!$K:$K,'Таблиця 1'!$B:$B,$A35,'Таблиця 1'!$I:$I,"Mi-24",'Таблиця 1'!$J:$J,"Hydra-70"))</f>
        <v/>
      </c>
      <c r="K35">
        <f>IF($A35="","",SUMIFS('Таблиця 1'!$K:$K,'Таблиця 1'!$B:$B,$A35,'Таблиця 1'!$I:$I,"Mi-8",'Таблиця 1'!$J:$J,"Thales-70")+SUMIFS('Таблиця 1'!$K:$K,'Таблиця 1'!$B:$B,$A35,'Таблиця 1'!$I:$I,"Mi-24",'Таблиця 1'!$J:$J,"Thales-70"))</f>
        <v/>
      </c>
      <c r="L35">
        <f>IF($A35="","",SUMIFS('Таблиця 1'!$K:$K,'Таблиця 1'!$B:$B,$A35,'Таблиця 1'!$I:$I,"Mi-8",'Таблиця 1'!$J:$J,"Thales-FZ")+SUMIFS('Таблиця 1'!$K:$K,'Таблиця 1'!$B:$B,$A35,'Таблиця 1'!$I:$I,"Mi-24",'Таблиця 1'!$J:$J,"Thales-FZ"))</f>
        <v/>
      </c>
      <c r="M35">
        <f>IF($A35="","",SUMIFS('Таблиця 1'!$K:$K,'Таблиця 1'!$B:$B,$A35,'Таблиця 1'!$I:$I,"Mi-8",'Таблиця 1'!$J:$J,"МК-40")+SUMIFS('Таблиця 1'!$K:$K,'Таблиця 1'!$B:$B,$A35,'Таблиця 1'!$I:$I,"Mi-24",'Таблиця 1'!$J:$J,"МК-40"))</f>
        <v/>
      </c>
      <c r="N35">
        <f>IF($A35="","",SUMIFS('Таблиця 1'!$K:$K,'Таблиця 1'!$B:$B,$A35,'Таблиця 1'!$I:$I,"Mi-8",'Таблиця 1'!$J:$J,"Zuni")+SUMIFS('Таблиця 1'!$K:$K,'Таблиця 1'!$B:$B,$A35,'Таблиця 1'!$I:$I,"Mi-24",'Таблиця 1'!$J:$J,"Zuni"))</f>
        <v/>
      </c>
      <c r="O35">
        <f>IF($A35="","",COUNTIFS('Таблиця 1'!$B:$B,$A35,'Таблиця 1'!$I:$I,"Mi-8",'Таблиця 1'!$L:$L,"Уражено")+COUNTIFS('Таблиця 1'!$B:$B,$A35,'Таблиця 1'!$I:$I,"Mi-24",'Таблиця 1'!$L:$L,"Уражено"))</f>
        <v/>
      </c>
      <c r="P35">
        <f>IF($A35="","",COUNTIFS('Таблиця 1'!$B:$B,$A35,'Таблиця 1'!$I:$I,"Mi-8",'Таблиця 1'!$L:$L,"НЕ уражено")+COUNTIFS('Таблиця 1'!$B:$B,$A35,'Таблиця 1'!$I:$I,"Mi-24",'Таблиця 1'!$L:$L,"НЕ уражено"))</f>
        <v/>
      </c>
    </row>
    <row r="36">
      <c r="A36" s="273">
        <f>IF(A35="","",IF(A35+1&gt;MAX('Таблиця 1'!$B:$B),"",A35+1))</f>
        <v/>
      </c>
      <c r="B36">
        <f>IF($A36="","",COUNTIFS('Таблиця 1'!$B:$B,$A36,'Таблиця 1'!$I:$I,"Mi-8")+COUNTIFS('Таблиця 1'!$B:$B,$A36,'Таблиця 1'!$I:$I,"Mi-24"))</f>
        <v/>
      </c>
      <c r="C36">
        <f>IF($A36="","",COUNTIFS('Таблиця 1'!$B:$B,$A36,'Таблиця 1'!$I:$I,"Mi-8"))</f>
        <v/>
      </c>
      <c r="D36">
        <f>IF($A36="","",COUNTIFS('Таблиця 1'!$B:$B,$A36,'Таблиця 1'!$I:$I,"Mi-24"))</f>
        <v/>
      </c>
      <c r="E36">
        <f>IF($A36="","",SUMIFS('Таблиця 1'!$K:$K,'Таблиця 1'!$B:$B,$A36,'Таблиця 1'!$I:$I,"Mi-8",'Таблиця 1'!$J:$J,"ARS-8")+SUMIFS('Таблиця 1'!$K:$K,'Таблиця 1'!$B:$B,$A36,'Таблиця 1'!$I:$I,"Mi-24",'Таблиця 1'!$J:$J,"ARS-8"))</f>
        <v/>
      </c>
      <c r="F36">
        <f>IF($A36="","",SUMIFS('Таблиця 1'!$K:$K,'Таблиця 1'!$B:$B,$A36,'Таблиця 1'!$I:$I,"Mi-8",'Таблиця 1'!$J:$J,"С-8 ком")+SUMIFS('Таблиця 1'!$K:$K,'Таблиця 1'!$B:$B,$A36,'Таблиця 1'!$I:$I,"Mi-24",'Таблиця 1'!$J:$J,"С-8 ком"))</f>
        <v/>
      </c>
      <c r="G36">
        <f>IF($A36="","",SUMIFS('Таблиця 1'!$K:$K,'Таблиця 1'!$B:$B,$A36,'Таблиця 1'!$I:$I,"Mi-8",'Таблиця 1'!$J:$J,"PC-80")+SUMIFS('Таблиця 1'!$K:$K,'Таблиця 1'!$B:$B,$A36,'Таблиця 1'!$I:$I,"Mi-24",'Таблиця 1'!$J:$J,"PC-80"))</f>
        <v/>
      </c>
      <c r="H36">
        <f>IF($A36="","",SUMIFS('Таблиця 1'!$K:$K,'Таблиця 1'!$B:$B,$A36,'Таблиця 1'!$I:$I,"Mi-8",'Таблиця 1'!$J:$J,"UAR-80")+SUMIFS('Таблиця 1'!$K:$K,'Таблиця 1'!$B:$B,$A36,'Таблиця 1'!$I:$I,"Mi-24",'Таблиця 1'!$J:$J,"UAR-80"))</f>
        <v/>
      </c>
      <c r="I36">
        <f>IF($A36="","",SUMIFS('Таблиця 1'!$K:$K,'Таблиця 1'!$B:$B,$A36,'Таблиця 1'!$I:$I,"Mi-8",'Таблиця 1'!$J:$J,"C-13")+SUMIFS('Таблиця 1'!$K:$K,'Таблиця 1'!$B:$B,$A36,'Таблиця 1'!$I:$I,"Mi-24",'Таблиця 1'!$J:$J,"C-13"))</f>
        <v/>
      </c>
      <c r="J36">
        <f>IF($A36="","",SUMIFS('Таблиця 1'!$K:$K,'Таблиця 1'!$B:$B,$A36,'Таблиця 1'!$I:$I,"Mi-8",'Таблиця 1'!$J:$J,"Hydra-70")+SUMIFS('Таблиця 1'!$K:$K,'Таблиця 1'!$B:$B,$A36,'Таблиця 1'!$I:$I,"Mi-24",'Таблиця 1'!$J:$J,"Hydra-70"))</f>
        <v/>
      </c>
      <c r="K36">
        <f>IF($A36="","",SUMIFS('Таблиця 1'!$K:$K,'Таблиця 1'!$B:$B,$A36,'Таблиця 1'!$I:$I,"Mi-8",'Таблиця 1'!$J:$J,"Thales-70")+SUMIFS('Таблиця 1'!$K:$K,'Таблиця 1'!$B:$B,$A36,'Таблиця 1'!$I:$I,"Mi-24",'Таблиця 1'!$J:$J,"Thales-70"))</f>
        <v/>
      </c>
      <c r="L36">
        <f>IF($A36="","",SUMIFS('Таблиця 1'!$K:$K,'Таблиця 1'!$B:$B,$A36,'Таблиця 1'!$I:$I,"Mi-8",'Таблиця 1'!$J:$J,"Thales-FZ")+SUMIFS('Таблиця 1'!$K:$K,'Таблиця 1'!$B:$B,$A36,'Таблиця 1'!$I:$I,"Mi-24",'Таблиця 1'!$J:$J,"Thales-FZ"))</f>
        <v/>
      </c>
      <c r="M36">
        <f>IF($A36="","",SUMIFS('Таблиця 1'!$K:$K,'Таблиця 1'!$B:$B,$A36,'Таблиця 1'!$I:$I,"Mi-8",'Таблиця 1'!$J:$J,"МК-40")+SUMIFS('Таблиця 1'!$K:$K,'Таблиця 1'!$B:$B,$A36,'Таблиця 1'!$I:$I,"Mi-24",'Таблиця 1'!$J:$J,"МК-40"))</f>
        <v/>
      </c>
      <c r="N36">
        <f>IF($A36="","",SUMIFS('Таблиця 1'!$K:$K,'Таблиця 1'!$B:$B,$A36,'Таблиця 1'!$I:$I,"Mi-8",'Таблиця 1'!$J:$J,"Zuni")+SUMIFS('Таблиця 1'!$K:$K,'Таблиця 1'!$B:$B,$A36,'Таблиця 1'!$I:$I,"Mi-24",'Таблиця 1'!$J:$J,"Zuni"))</f>
        <v/>
      </c>
      <c r="O36">
        <f>IF($A36="","",COUNTIFS('Таблиця 1'!$B:$B,$A36,'Таблиця 1'!$I:$I,"Mi-8",'Таблиця 1'!$L:$L,"Уражено")+COUNTIFS('Таблиця 1'!$B:$B,$A36,'Таблиця 1'!$I:$I,"Mi-24",'Таблиця 1'!$L:$L,"Уражено"))</f>
        <v/>
      </c>
      <c r="P36">
        <f>IF($A36="","",COUNTIFS('Таблиця 1'!$B:$B,$A36,'Таблиця 1'!$I:$I,"Mi-8",'Таблиця 1'!$L:$L,"НЕ уражено")+COUNTIFS('Таблиця 1'!$B:$B,$A36,'Таблиця 1'!$I:$I,"Mi-24",'Таблиця 1'!$L:$L,"НЕ уражено"))</f>
        <v/>
      </c>
    </row>
    <row r="37">
      <c r="A37" s="273">
        <f>IF(A36="","",IF(A36+1&gt;MAX('Таблиця 1'!$B:$B),"",A36+1))</f>
        <v/>
      </c>
      <c r="B37">
        <f>IF($A37="","",COUNTIFS('Таблиця 1'!$B:$B,$A37,'Таблиця 1'!$I:$I,"Mi-8")+COUNTIFS('Таблиця 1'!$B:$B,$A37,'Таблиця 1'!$I:$I,"Mi-24"))</f>
        <v/>
      </c>
      <c r="C37">
        <f>IF($A37="","",COUNTIFS('Таблиця 1'!$B:$B,$A37,'Таблиця 1'!$I:$I,"Mi-8"))</f>
        <v/>
      </c>
      <c r="D37">
        <f>IF($A37="","",COUNTIFS('Таблиця 1'!$B:$B,$A37,'Таблиця 1'!$I:$I,"Mi-24"))</f>
        <v/>
      </c>
      <c r="E37">
        <f>IF($A37="","",SUMIFS('Таблиця 1'!$K:$K,'Таблиця 1'!$B:$B,$A37,'Таблиця 1'!$I:$I,"Mi-8",'Таблиця 1'!$J:$J,"ARS-8")+SUMIFS('Таблиця 1'!$K:$K,'Таблиця 1'!$B:$B,$A37,'Таблиця 1'!$I:$I,"Mi-24",'Таблиця 1'!$J:$J,"ARS-8"))</f>
        <v/>
      </c>
      <c r="F37">
        <f>IF($A37="","",SUMIFS('Таблиця 1'!$K:$K,'Таблиця 1'!$B:$B,$A37,'Таблиця 1'!$I:$I,"Mi-8",'Таблиця 1'!$J:$J,"С-8 ком")+SUMIFS('Таблиця 1'!$K:$K,'Таблиця 1'!$B:$B,$A37,'Таблиця 1'!$I:$I,"Mi-24",'Таблиця 1'!$J:$J,"С-8 ком"))</f>
        <v/>
      </c>
      <c r="G37">
        <f>IF($A37="","",SUMIFS('Таблиця 1'!$K:$K,'Таблиця 1'!$B:$B,$A37,'Таблиця 1'!$I:$I,"Mi-8",'Таблиця 1'!$J:$J,"PC-80")+SUMIFS('Таблиця 1'!$K:$K,'Таблиця 1'!$B:$B,$A37,'Таблиця 1'!$I:$I,"Mi-24",'Таблиця 1'!$J:$J,"PC-80"))</f>
        <v/>
      </c>
      <c r="H37">
        <f>IF($A37="","",SUMIFS('Таблиця 1'!$K:$K,'Таблиця 1'!$B:$B,$A37,'Таблиця 1'!$I:$I,"Mi-8",'Таблиця 1'!$J:$J,"UAR-80")+SUMIFS('Таблиця 1'!$K:$K,'Таблиця 1'!$B:$B,$A37,'Таблиця 1'!$I:$I,"Mi-24",'Таблиця 1'!$J:$J,"UAR-80"))</f>
        <v/>
      </c>
      <c r="I37">
        <f>IF($A37="","",SUMIFS('Таблиця 1'!$K:$K,'Таблиця 1'!$B:$B,$A37,'Таблиця 1'!$I:$I,"Mi-8",'Таблиця 1'!$J:$J,"C-13")+SUMIFS('Таблиця 1'!$K:$K,'Таблиця 1'!$B:$B,$A37,'Таблиця 1'!$I:$I,"Mi-24",'Таблиця 1'!$J:$J,"C-13"))</f>
        <v/>
      </c>
      <c r="J37">
        <f>IF($A37="","",SUMIFS('Таблиця 1'!$K:$K,'Таблиця 1'!$B:$B,$A37,'Таблиця 1'!$I:$I,"Mi-8",'Таблиця 1'!$J:$J,"Hydra-70")+SUMIFS('Таблиця 1'!$K:$K,'Таблиця 1'!$B:$B,$A37,'Таблиця 1'!$I:$I,"Mi-24",'Таблиця 1'!$J:$J,"Hydra-70"))</f>
        <v/>
      </c>
      <c r="K37">
        <f>IF($A37="","",SUMIFS('Таблиця 1'!$K:$K,'Таблиця 1'!$B:$B,$A37,'Таблиця 1'!$I:$I,"Mi-8",'Таблиця 1'!$J:$J,"Thales-70")+SUMIFS('Таблиця 1'!$K:$K,'Таблиця 1'!$B:$B,$A37,'Таблиця 1'!$I:$I,"Mi-24",'Таблиця 1'!$J:$J,"Thales-70"))</f>
        <v/>
      </c>
      <c r="L37">
        <f>IF($A37="","",SUMIFS('Таблиця 1'!$K:$K,'Таблиця 1'!$B:$B,$A37,'Таблиця 1'!$I:$I,"Mi-8",'Таблиця 1'!$J:$J,"Thales-FZ")+SUMIFS('Таблиця 1'!$K:$K,'Таблиця 1'!$B:$B,$A37,'Таблиця 1'!$I:$I,"Mi-24",'Таблиця 1'!$J:$J,"Thales-FZ"))</f>
        <v/>
      </c>
      <c r="M37">
        <f>IF($A37="","",SUMIFS('Таблиця 1'!$K:$K,'Таблиця 1'!$B:$B,$A37,'Таблиця 1'!$I:$I,"Mi-8",'Таблиця 1'!$J:$J,"МК-40")+SUMIFS('Таблиця 1'!$K:$K,'Таблиця 1'!$B:$B,$A37,'Таблиця 1'!$I:$I,"Mi-24",'Таблиця 1'!$J:$J,"МК-40"))</f>
        <v/>
      </c>
      <c r="N37">
        <f>IF($A37="","",SUMIFS('Таблиця 1'!$K:$K,'Таблиця 1'!$B:$B,$A37,'Таблиця 1'!$I:$I,"Mi-8",'Таблиця 1'!$J:$J,"Zuni")+SUMIFS('Таблиця 1'!$K:$K,'Таблиця 1'!$B:$B,$A37,'Таблиця 1'!$I:$I,"Mi-24",'Таблиця 1'!$J:$J,"Zuni"))</f>
        <v/>
      </c>
      <c r="O37">
        <f>IF($A37="","",COUNTIFS('Таблиця 1'!$B:$B,$A37,'Таблиця 1'!$I:$I,"Mi-8",'Таблиця 1'!$L:$L,"Уражено")+COUNTIFS('Таблиця 1'!$B:$B,$A37,'Таблиця 1'!$I:$I,"Mi-24",'Таблиця 1'!$L:$L,"Уражено"))</f>
        <v/>
      </c>
      <c r="P37">
        <f>IF($A37="","",COUNTIFS('Таблиця 1'!$B:$B,$A37,'Таблиця 1'!$I:$I,"Mi-8",'Таблиця 1'!$L:$L,"НЕ уражено")+COUNTIFS('Таблиця 1'!$B:$B,$A37,'Таблиця 1'!$I:$I,"Mi-24",'Таблиця 1'!$L:$L,"НЕ уражено"))</f>
        <v/>
      </c>
    </row>
    <row r="38">
      <c r="A38" s="273">
        <f>IF(A37="","",IF(A37+1&gt;MAX('Таблиця 1'!$B:$B),"",A37+1))</f>
        <v/>
      </c>
      <c r="B38">
        <f>IF($A38="","",COUNTIFS('Таблиця 1'!$B:$B,$A38,'Таблиця 1'!$I:$I,"Mi-8")+COUNTIFS('Таблиця 1'!$B:$B,$A38,'Таблиця 1'!$I:$I,"Mi-24"))</f>
        <v/>
      </c>
      <c r="C38">
        <f>IF($A38="","",COUNTIFS('Таблиця 1'!$B:$B,$A38,'Таблиця 1'!$I:$I,"Mi-8"))</f>
        <v/>
      </c>
      <c r="D38">
        <f>IF($A38="","",COUNTIFS('Таблиця 1'!$B:$B,$A38,'Таблиця 1'!$I:$I,"Mi-24"))</f>
        <v/>
      </c>
      <c r="E38">
        <f>IF($A38="","",SUMIFS('Таблиця 1'!$K:$K,'Таблиця 1'!$B:$B,$A38,'Таблиця 1'!$I:$I,"Mi-8",'Таблиця 1'!$J:$J,"ARS-8")+SUMIFS('Таблиця 1'!$K:$K,'Таблиця 1'!$B:$B,$A38,'Таблиця 1'!$I:$I,"Mi-24",'Таблиця 1'!$J:$J,"ARS-8"))</f>
        <v/>
      </c>
      <c r="F38">
        <f>IF($A38="","",SUMIFS('Таблиця 1'!$K:$K,'Таблиця 1'!$B:$B,$A38,'Таблиця 1'!$I:$I,"Mi-8",'Таблиця 1'!$J:$J,"С-8 ком")+SUMIFS('Таблиця 1'!$K:$K,'Таблиця 1'!$B:$B,$A38,'Таблиця 1'!$I:$I,"Mi-24",'Таблиця 1'!$J:$J,"С-8 ком"))</f>
        <v/>
      </c>
      <c r="G38">
        <f>IF($A38="","",SUMIFS('Таблиця 1'!$K:$K,'Таблиця 1'!$B:$B,$A38,'Таблиця 1'!$I:$I,"Mi-8",'Таблиця 1'!$J:$J,"PC-80")+SUMIFS('Таблиця 1'!$K:$K,'Таблиця 1'!$B:$B,$A38,'Таблиця 1'!$I:$I,"Mi-24",'Таблиця 1'!$J:$J,"PC-80"))</f>
        <v/>
      </c>
      <c r="H38">
        <f>IF($A38="","",SUMIFS('Таблиця 1'!$K:$K,'Таблиця 1'!$B:$B,$A38,'Таблиця 1'!$I:$I,"Mi-8",'Таблиця 1'!$J:$J,"UAR-80")+SUMIFS('Таблиця 1'!$K:$K,'Таблиця 1'!$B:$B,$A38,'Таблиця 1'!$I:$I,"Mi-24",'Таблиця 1'!$J:$J,"UAR-80"))</f>
        <v/>
      </c>
      <c r="I38">
        <f>IF($A38="","",SUMIFS('Таблиця 1'!$K:$K,'Таблиця 1'!$B:$B,$A38,'Таблиця 1'!$I:$I,"Mi-8",'Таблиця 1'!$J:$J,"C-13")+SUMIFS('Таблиця 1'!$K:$K,'Таблиця 1'!$B:$B,$A38,'Таблиця 1'!$I:$I,"Mi-24",'Таблиця 1'!$J:$J,"C-13"))</f>
        <v/>
      </c>
      <c r="J38">
        <f>IF($A38="","",SUMIFS('Таблиця 1'!$K:$K,'Таблиця 1'!$B:$B,$A38,'Таблиця 1'!$I:$I,"Mi-8",'Таблиця 1'!$J:$J,"Hydra-70")+SUMIFS('Таблиця 1'!$K:$K,'Таблиця 1'!$B:$B,$A38,'Таблиця 1'!$I:$I,"Mi-24",'Таблиця 1'!$J:$J,"Hydra-70"))</f>
        <v/>
      </c>
      <c r="K38">
        <f>IF($A38="","",SUMIFS('Таблиця 1'!$K:$K,'Таблиця 1'!$B:$B,$A38,'Таблиця 1'!$I:$I,"Mi-8",'Таблиця 1'!$J:$J,"Thales-70")+SUMIFS('Таблиця 1'!$K:$K,'Таблиця 1'!$B:$B,$A38,'Таблиця 1'!$I:$I,"Mi-24",'Таблиця 1'!$J:$J,"Thales-70"))</f>
        <v/>
      </c>
      <c r="L38">
        <f>IF($A38="","",SUMIFS('Таблиця 1'!$K:$K,'Таблиця 1'!$B:$B,$A38,'Таблиця 1'!$I:$I,"Mi-8",'Таблиця 1'!$J:$J,"Thales-FZ")+SUMIFS('Таблиця 1'!$K:$K,'Таблиця 1'!$B:$B,$A38,'Таблиця 1'!$I:$I,"Mi-24",'Таблиця 1'!$J:$J,"Thales-FZ"))</f>
        <v/>
      </c>
      <c r="M38">
        <f>IF($A38="","",SUMIFS('Таблиця 1'!$K:$K,'Таблиця 1'!$B:$B,$A38,'Таблиця 1'!$I:$I,"Mi-8",'Таблиця 1'!$J:$J,"МК-40")+SUMIFS('Таблиця 1'!$K:$K,'Таблиця 1'!$B:$B,$A38,'Таблиця 1'!$I:$I,"Mi-24",'Таблиця 1'!$J:$J,"МК-40"))</f>
        <v/>
      </c>
      <c r="N38">
        <f>IF($A38="","",SUMIFS('Таблиця 1'!$K:$K,'Таблиця 1'!$B:$B,$A38,'Таблиця 1'!$I:$I,"Mi-8",'Таблиця 1'!$J:$J,"Zuni")+SUMIFS('Таблиця 1'!$K:$K,'Таблиця 1'!$B:$B,$A38,'Таблиця 1'!$I:$I,"Mi-24",'Таблиця 1'!$J:$J,"Zuni"))</f>
        <v/>
      </c>
      <c r="O38">
        <f>IF($A38="","",COUNTIFS('Таблиця 1'!$B:$B,$A38,'Таблиця 1'!$I:$I,"Mi-8",'Таблиця 1'!$L:$L,"Уражено")+COUNTIFS('Таблиця 1'!$B:$B,$A38,'Таблиця 1'!$I:$I,"Mi-24",'Таблиця 1'!$L:$L,"Уражено"))</f>
        <v/>
      </c>
      <c r="P38">
        <f>IF($A38="","",COUNTIFS('Таблиця 1'!$B:$B,$A38,'Таблиця 1'!$I:$I,"Mi-8",'Таблиця 1'!$L:$L,"НЕ уражено")+COUNTIFS('Таблиця 1'!$B:$B,$A38,'Таблиця 1'!$I:$I,"Mi-24",'Таблиця 1'!$L:$L,"НЕ уражено"))</f>
        <v/>
      </c>
    </row>
    <row r="39">
      <c r="A39" s="273">
        <f>IF(A38="","",IF(A38+1&gt;MAX('Таблиця 1'!$B:$B),"",A38+1))</f>
        <v/>
      </c>
      <c r="B39">
        <f>IF($A39="","",COUNTIFS('Таблиця 1'!$B:$B,$A39,'Таблиця 1'!$I:$I,"Mi-8")+COUNTIFS('Таблиця 1'!$B:$B,$A39,'Таблиця 1'!$I:$I,"Mi-24"))</f>
        <v/>
      </c>
      <c r="C39">
        <f>IF($A39="","",COUNTIFS('Таблиця 1'!$B:$B,$A39,'Таблиця 1'!$I:$I,"Mi-8"))</f>
        <v/>
      </c>
      <c r="D39">
        <f>IF($A39="","",COUNTIFS('Таблиця 1'!$B:$B,$A39,'Таблиця 1'!$I:$I,"Mi-24"))</f>
        <v/>
      </c>
      <c r="E39">
        <f>IF($A39="","",SUMIFS('Таблиця 1'!$K:$K,'Таблиця 1'!$B:$B,$A39,'Таблиця 1'!$I:$I,"Mi-8",'Таблиця 1'!$J:$J,"ARS-8")+SUMIFS('Таблиця 1'!$K:$K,'Таблиця 1'!$B:$B,$A39,'Таблиця 1'!$I:$I,"Mi-24",'Таблиця 1'!$J:$J,"ARS-8"))</f>
        <v/>
      </c>
      <c r="F39">
        <f>IF($A39="","",SUMIFS('Таблиця 1'!$K:$K,'Таблиця 1'!$B:$B,$A39,'Таблиця 1'!$I:$I,"Mi-8",'Таблиця 1'!$J:$J,"С-8 ком")+SUMIFS('Таблиця 1'!$K:$K,'Таблиця 1'!$B:$B,$A39,'Таблиця 1'!$I:$I,"Mi-24",'Таблиця 1'!$J:$J,"С-8 ком"))</f>
        <v/>
      </c>
      <c r="G39">
        <f>IF($A39="","",SUMIFS('Таблиця 1'!$K:$K,'Таблиця 1'!$B:$B,$A39,'Таблиця 1'!$I:$I,"Mi-8",'Таблиця 1'!$J:$J,"PC-80")+SUMIFS('Таблиця 1'!$K:$K,'Таблиця 1'!$B:$B,$A39,'Таблиця 1'!$I:$I,"Mi-24",'Таблиця 1'!$J:$J,"PC-80"))</f>
        <v/>
      </c>
      <c r="H39">
        <f>IF($A39="","",SUMIFS('Таблиця 1'!$K:$K,'Таблиця 1'!$B:$B,$A39,'Таблиця 1'!$I:$I,"Mi-8",'Таблиця 1'!$J:$J,"UAR-80")+SUMIFS('Таблиця 1'!$K:$K,'Таблиця 1'!$B:$B,$A39,'Таблиця 1'!$I:$I,"Mi-24",'Таблиця 1'!$J:$J,"UAR-80"))</f>
        <v/>
      </c>
      <c r="I39">
        <f>IF($A39="","",SUMIFS('Таблиця 1'!$K:$K,'Таблиця 1'!$B:$B,$A39,'Таблиця 1'!$I:$I,"Mi-8",'Таблиця 1'!$J:$J,"C-13")+SUMIFS('Таблиця 1'!$K:$K,'Таблиця 1'!$B:$B,$A39,'Таблиця 1'!$I:$I,"Mi-24",'Таблиця 1'!$J:$J,"C-13"))</f>
        <v/>
      </c>
      <c r="J39">
        <f>IF($A39="","",SUMIFS('Таблиця 1'!$K:$K,'Таблиця 1'!$B:$B,$A39,'Таблиця 1'!$I:$I,"Mi-8",'Таблиця 1'!$J:$J,"Hydra-70")+SUMIFS('Таблиця 1'!$K:$K,'Таблиця 1'!$B:$B,$A39,'Таблиця 1'!$I:$I,"Mi-24",'Таблиця 1'!$J:$J,"Hydra-70"))</f>
        <v/>
      </c>
      <c r="K39">
        <f>IF($A39="","",SUMIFS('Таблиця 1'!$K:$K,'Таблиця 1'!$B:$B,$A39,'Таблиця 1'!$I:$I,"Mi-8",'Таблиця 1'!$J:$J,"Thales-70")+SUMIFS('Таблиця 1'!$K:$K,'Таблиця 1'!$B:$B,$A39,'Таблиця 1'!$I:$I,"Mi-24",'Таблиця 1'!$J:$J,"Thales-70"))</f>
        <v/>
      </c>
      <c r="L39">
        <f>IF($A39="","",SUMIFS('Таблиця 1'!$K:$K,'Таблиця 1'!$B:$B,$A39,'Таблиця 1'!$I:$I,"Mi-8",'Таблиця 1'!$J:$J,"Thales-FZ")+SUMIFS('Таблиця 1'!$K:$K,'Таблиця 1'!$B:$B,$A39,'Таблиця 1'!$I:$I,"Mi-24",'Таблиця 1'!$J:$J,"Thales-FZ"))</f>
        <v/>
      </c>
      <c r="M39">
        <f>IF($A39="","",SUMIFS('Таблиця 1'!$K:$K,'Таблиця 1'!$B:$B,$A39,'Таблиця 1'!$I:$I,"Mi-8",'Таблиця 1'!$J:$J,"МК-40")+SUMIFS('Таблиця 1'!$K:$K,'Таблиця 1'!$B:$B,$A39,'Таблиця 1'!$I:$I,"Mi-24",'Таблиця 1'!$J:$J,"МК-40"))</f>
        <v/>
      </c>
      <c r="N39">
        <f>IF($A39="","",SUMIFS('Таблиця 1'!$K:$K,'Таблиця 1'!$B:$B,$A39,'Таблиця 1'!$I:$I,"Mi-8",'Таблиця 1'!$J:$J,"Zuni")+SUMIFS('Таблиця 1'!$K:$K,'Таблиця 1'!$B:$B,$A39,'Таблиця 1'!$I:$I,"Mi-24",'Таблиця 1'!$J:$J,"Zuni"))</f>
        <v/>
      </c>
      <c r="O39">
        <f>IF($A39="","",COUNTIFS('Таблиця 1'!$B:$B,$A39,'Таблиця 1'!$I:$I,"Mi-8",'Таблиця 1'!$L:$L,"Уражено")+COUNTIFS('Таблиця 1'!$B:$B,$A39,'Таблиця 1'!$I:$I,"Mi-24",'Таблиця 1'!$L:$L,"Уражено"))</f>
        <v/>
      </c>
      <c r="P39">
        <f>IF($A39="","",COUNTIFS('Таблиця 1'!$B:$B,$A39,'Таблиця 1'!$I:$I,"Mi-8",'Таблиця 1'!$L:$L,"НЕ уражено")+COUNTIFS('Таблиця 1'!$B:$B,$A39,'Таблиця 1'!$I:$I,"Mi-24",'Таблиця 1'!$L:$L,"НЕ уражено"))</f>
        <v/>
      </c>
    </row>
    <row r="40">
      <c r="A40" s="273">
        <f>IF(A39="","",IF(A39+1&gt;MAX('Таблиця 1'!$B:$B),"",A39+1))</f>
        <v/>
      </c>
      <c r="B40">
        <f>IF($A40="","",COUNTIFS('Таблиця 1'!$B:$B,$A40,'Таблиця 1'!$I:$I,"Mi-8")+COUNTIFS('Таблиця 1'!$B:$B,$A40,'Таблиця 1'!$I:$I,"Mi-24"))</f>
        <v/>
      </c>
      <c r="C40">
        <f>IF($A40="","",COUNTIFS('Таблиця 1'!$B:$B,$A40,'Таблиця 1'!$I:$I,"Mi-8"))</f>
        <v/>
      </c>
      <c r="D40">
        <f>IF($A40="","",COUNTIFS('Таблиця 1'!$B:$B,$A40,'Таблиця 1'!$I:$I,"Mi-24"))</f>
        <v/>
      </c>
      <c r="E40">
        <f>IF($A40="","",SUMIFS('Таблиця 1'!$K:$K,'Таблиця 1'!$B:$B,$A40,'Таблиця 1'!$I:$I,"Mi-8",'Таблиця 1'!$J:$J,"ARS-8")+SUMIFS('Таблиця 1'!$K:$K,'Таблиця 1'!$B:$B,$A40,'Таблиця 1'!$I:$I,"Mi-24",'Таблиця 1'!$J:$J,"ARS-8"))</f>
        <v/>
      </c>
      <c r="F40">
        <f>IF($A40="","",SUMIFS('Таблиця 1'!$K:$K,'Таблиця 1'!$B:$B,$A40,'Таблиця 1'!$I:$I,"Mi-8",'Таблиця 1'!$J:$J,"С-8 ком")+SUMIFS('Таблиця 1'!$K:$K,'Таблиця 1'!$B:$B,$A40,'Таблиця 1'!$I:$I,"Mi-24",'Таблиця 1'!$J:$J,"С-8 ком"))</f>
        <v/>
      </c>
      <c r="G40">
        <f>IF($A40="","",SUMIFS('Таблиця 1'!$K:$K,'Таблиця 1'!$B:$B,$A40,'Таблиця 1'!$I:$I,"Mi-8",'Таблиця 1'!$J:$J,"PC-80")+SUMIFS('Таблиця 1'!$K:$K,'Таблиця 1'!$B:$B,$A40,'Таблиця 1'!$I:$I,"Mi-24",'Таблиця 1'!$J:$J,"PC-80"))</f>
        <v/>
      </c>
      <c r="H40">
        <f>IF($A40="","",SUMIFS('Таблиця 1'!$K:$K,'Таблиця 1'!$B:$B,$A40,'Таблиця 1'!$I:$I,"Mi-8",'Таблиця 1'!$J:$J,"UAR-80")+SUMIFS('Таблиця 1'!$K:$K,'Таблиця 1'!$B:$B,$A40,'Таблиця 1'!$I:$I,"Mi-24",'Таблиця 1'!$J:$J,"UAR-80"))</f>
        <v/>
      </c>
      <c r="I40">
        <f>IF($A40="","",SUMIFS('Таблиця 1'!$K:$K,'Таблиця 1'!$B:$B,$A40,'Таблиця 1'!$I:$I,"Mi-8",'Таблиця 1'!$J:$J,"C-13")+SUMIFS('Таблиця 1'!$K:$K,'Таблиця 1'!$B:$B,$A40,'Таблиця 1'!$I:$I,"Mi-24",'Таблиця 1'!$J:$J,"C-13"))</f>
        <v/>
      </c>
      <c r="J40">
        <f>IF($A40="","",SUMIFS('Таблиця 1'!$K:$K,'Таблиця 1'!$B:$B,$A40,'Таблиця 1'!$I:$I,"Mi-8",'Таблиця 1'!$J:$J,"Hydra-70")+SUMIFS('Таблиця 1'!$K:$K,'Таблиця 1'!$B:$B,$A40,'Таблиця 1'!$I:$I,"Mi-24",'Таблиця 1'!$J:$J,"Hydra-70"))</f>
        <v/>
      </c>
      <c r="K40">
        <f>IF($A40="","",SUMIFS('Таблиця 1'!$K:$K,'Таблиця 1'!$B:$B,$A40,'Таблиця 1'!$I:$I,"Mi-8",'Таблиця 1'!$J:$J,"Thales-70")+SUMIFS('Таблиця 1'!$K:$K,'Таблиця 1'!$B:$B,$A40,'Таблиця 1'!$I:$I,"Mi-24",'Таблиця 1'!$J:$J,"Thales-70"))</f>
        <v/>
      </c>
      <c r="L40">
        <f>IF($A40="","",SUMIFS('Таблиця 1'!$K:$K,'Таблиця 1'!$B:$B,$A40,'Таблиця 1'!$I:$I,"Mi-8",'Таблиця 1'!$J:$J,"Thales-FZ")+SUMIFS('Таблиця 1'!$K:$K,'Таблиця 1'!$B:$B,$A40,'Таблиця 1'!$I:$I,"Mi-24",'Таблиця 1'!$J:$J,"Thales-FZ"))</f>
        <v/>
      </c>
      <c r="M40">
        <f>IF($A40="","",SUMIFS('Таблиця 1'!$K:$K,'Таблиця 1'!$B:$B,$A40,'Таблиця 1'!$I:$I,"Mi-8",'Таблиця 1'!$J:$J,"МК-40")+SUMIFS('Таблиця 1'!$K:$K,'Таблиця 1'!$B:$B,$A40,'Таблиця 1'!$I:$I,"Mi-24",'Таблиця 1'!$J:$J,"МК-40"))</f>
        <v/>
      </c>
      <c r="N40">
        <f>IF($A40="","",SUMIFS('Таблиця 1'!$K:$K,'Таблиця 1'!$B:$B,$A40,'Таблиця 1'!$I:$I,"Mi-8",'Таблиця 1'!$J:$J,"Zuni")+SUMIFS('Таблиця 1'!$K:$K,'Таблиця 1'!$B:$B,$A40,'Таблиця 1'!$I:$I,"Mi-24",'Таблиця 1'!$J:$J,"Zuni"))</f>
        <v/>
      </c>
      <c r="O40">
        <f>IF($A40="","",COUNTIFS('Таблиця 1'!$B:$B,$A40,'Таблиця 1'!$I:$I,"Mi-8",'Таблиця 1'!$L:$L,"Уражено")+COUNTIFS('Таблиця 1'!$B:$B,$A40,'Таблиця 1'!$I:$I,"Mi-24",'Таблиця 1'!$L:$L,"Уражено"))</f>
        <v/>
      </c>
      <c r="P40">
        <f>IF($A40="","",COUNTIFS('Таблиця 1'!$B:$B,$A40,'Таблиця 1'!$I:$I,"Mi-8",'Таблиця 1'!$L:$L,"НЕ уражено")+COUNTIFS('Таблиця 1'!$B:$B,$A40,'Таблиця 1'!$I:$I,"Mi-24",'Таблиця 1'!$L:$L,"НЕ уражено"))</f>
        <v/>
      </c>
    </row>
    <row r="41">
      <c r="A41" s="273">
        <f>IF(A40="","",IF(A40+1&gt;MAX('Таблиця 1'!$B:$B),"",A40+1))</f>
        <v/>
      </c>
      <c r="B41">
        <f>IF($A41="","",COUNTIFS('Таблиця 1'!$B:$B,$A41,'Таблиця 1'!$I:$I,"Mi-8")+COUNTIFS('Таблиця 1'!$B:$B,$A41,'Таблиця 1'!$I:$I,"Mi-24"))</f>
        <v/>
      </c>
      <c r="C41">
        <f>IF($A41="","",COUNTIFS('Таблиця 1'!$B:$B,$A41,'Таблиця 1'!$I:$I,"Mi-8"))</f>
        <v/>
      </c>
      <c r="D41">
        <f>IF($A41="","",COUNTIFS('Таблиця 1'!$B:$B,$A41,'Таблиця 1'!$I:$I,"Mi-24"))</f>
        <v/>
      </c>
      <c r="E41">
        <f>IF($A41="","",SUMIFS('Таблиця 1'!$K:$K,'Таблиця 1'!$B:$B,$A41,'Таблиця 1'!$I:$I,"Mi-8",'Таблиця 1'!$J:$J,"ARS-8")+SUMIFS('Таблиця 1'!$K:$K,'Таблиця 1'!$B:$B,$A41,'Таблиця 1'!$I:$I,"Mi-24",'Таблиця 1'!$J:$J,"ARS-8"))</f>
        <v/>
      </c>
      <c r="F41">
        <f>IF($A41="","",SUMIFS('Таблиця 1'!$K:$K,'Таблиця 1'!$B:$B,$A41,'Таблиця 1'!$I:$I,"Mi-8",'Таблиця 1'!$J:$J,"С-8 ком")+SUMIFS('Таблиця 1'!$K:$K,'Таблиця 1'!$B:$B,$A41,'Таблиця 1'!$I:$I,"Mi-24",'Таблиця 1'!$J:$J,"С-8 ком"))</f>
        <v/>
      </c>
      <c r="G41">
        <f>IF($A41="","",SUMIFS('Таблиця 1'!$K:$K,'Таблиця 1'!$B:$B,$A41,'Таблиця 1'!$I:$I,"Mi-8",'Таблиця 1'!$J:$J,"PC-80")+SUMIFS('Таблиця 1'!$K:$K,'Таблиця 1'!$B:$B,$A41,'Таблиця 1'!$I:$I,"Mi-24",'Таблиця 1'!$J:$J,"PC-80"))</f>
        <v/>
      </c>
      <c r="H41">
        <f>IF($A41="","",SUMIFS('Таблиця 1'!$K:$K,'Таблиця 1'!$B:$B,$A41,'Таблиця 1'!$I:$I,"Mi-8",'Таблиця 1'!$J:$J,"UAR-80")+SUMIFS('Таблиця 1'!$K:$K,'Таблиця 1'!$B:$B,$A41,'Таблиця 1'!$I:$I,"Mi-24",'Таблиця 1'!$J:$J,"UAR-80"))</f>
        <v/>
      </c>
      <c r="I41">
        <f>IF($A41="","",SUMIFS('Таблиця 1'!$K:$K,'Таблиця 1'!$B:$B,$A41,'Таблиця 1'!$I:$I,"Mi-8",'Таблиця 1'!$J:$J,"C-13")+SUMIFS('Таблиця 1'!$K:$K,'Таблиця 1'!$B:$B,$A41,'Таблиця 1'!$I:$I,"Mi-24",'Таблиця 1'!$J:$J,"C-13"))</f>
        <v/>
      </c>
      <c r="J41">
        <f>IF($A41="","",SUMIFS('Таблиця 1'!$K:$K,'Таблиця 1'!$B:$B,$A41,'Таблиця 1'!$I:$I,"Mi-8",'Таблиця 1'!$J:$J,"Hydra-70")+SUMIFS('Таблиця 1'!$K:$K,'Таблиця 1'!$B:$B,$A41,'Таблиця 1'!$I:$I,"Mi-24",'Таблиця 1'!$J:$J,"Hydra-70"))</f>
        <v/>
      </c>
      <c r="K41">
        <f>IF($A41="","",SUMIFS('Таблиця 1'!$K:$K,'Таблиця 1'!$B:$B,$A41,'Таблиця 1'!$I:$I,"Mi-8",'Таблиця 1'!$J:$J,"Thales-70")+SUMIFS('Таблиця 1'!$K:$K,'Таблиця 1'!$B:$B,$A41,'Таблиця 1'!$I:$I,"Mi-24",'Таблиця 1'!$J:$J,"Thales-70"))</f>
        <v/>
      </c>
      <c r="L41">
        <f>IF($A41="","",SUMIFS('Таблиця 1'!$K:$K,'Таблиця 1'!$B:$B,$A41,'Таблиця 1'!$I:$I,"Mi-8",'Таблиця 1'!$J:$J,"Thales-FZ")+SUMIFS('Таблиця 1'!$K:$K,'Таблиця 1'!$B:$B,$A41,'Таблиця 1'!$I:$I,"Mi-24",'Таблиця 1'!$J:$J,"Thales-FZ"))</f>
        <v/>
      </c>
      <c r="M41">
        <f>IF($A41="","",SUMIFS('Таблиця 1'!$K:$K,'Таблиця 1'!$B:$B,$A41,'Таблиця 1'!$I:$I,"Mi-8",'Таблиця 1'!$J:$J,"МК-40")+SUMIFS('Таблиця 1'!$K:$K,'Таблиця 1'!$B:$B,$A41,'Таблиця 1'!$I:$I,"Mi-24",'Таблиця 1'!$J:$J,"МК-40"))</f>
        <v/>
      </c>
      <c r="N41">
        <f>IF($A41="","",SUMIFS('Таблиця 1'!$K:$K,'Таблиця 1'!$B:$B,$A41,'Таблиця 1'!$I:$I,"Mi-8",'Таблиця 1'!$J:$J,"Zuni")+SUMIFS('Таблиця 1'!$K:$K,'Таблиця 1'!$B:$B,$A41,'Таблиця 1'!$I:$I,"Mi-24",'Таблиця 1'!$J:$J,"Zuni"))</f>
        <v/>
      </c>
      <c r="O41">
        <f>IF($A41="","",COUNTIFS('Таблиця 1'!$B:$B,$A41,'Таблиця 1'!$I:$I,"Mi-8",'Таблиця 1'!$L:$L,"Уражено")+COUNTIFS('Таблиця 1'!$B:$B,$A41,'Таблиця 1'!$I:$I,"Mi-24",'Таблиця 1'!$L:$L,"Уражено"))</f>
        <v/>
      </c>
      <c r="P41">
        <f>IF($A41="","",COUNTIFS('Таблиця 1'!$B:$B,$A41,'Таблиця 1'!$I:$I,"Mi-8",'Таблиця 1'!$L:$L,"НЕ уражено")+COUNTIFS('Таблиця 1'!$B:$B,$A41,'Таблиця 1'!$I:$I,"Mi-24",'Таблиця 1'!$L:$L,"НЕ уражено"))</f>
        <v/>
      </c>
    </row>
    <row r="42">
      <c r="A42" s="273">
        <f>IF(A41="","",IF(A41+1&gt;MAX('Таблиця 1'!$B:$B),"",A41+1))</f>
        <v/>
      </c>
      <c r="B42">
        <f>IF($A42="","",COUNTIFS('Таблиця 1'!$B:$B,$A42,'Таблиця 1'!$I:$I,"Mi-8")+COUNTIFS('Таблиця 1'!$B:$B,$A42,'Таблиця 1'!$I:$I,"Mi-24"))</f>
        <v/>
      </c>
      <c r="C42">
        <f>IF($A42="","",COUNTIFS('Таблиця 1'!$B:$B,$A42,'Таблиця 1'!$I:$I,"Mi-8"))</f>
        <v/>
      </c>
      <c r="D42">
        <f>IF($A42="","",COUNTIFS('Таблиця 1'!$B:$B,$A42,'Таблиця 1'!$I:$I,"Mi-24"))</f>
        <v/>
      </c>
      <c r="E42">
        <f>IF($A42="","",SUMIFS('Таблиця 1'!$K:$K,'Таблиця 1'!$B:$B,$A42,'Таблиця 1'!$I:$I,"Mi-8",'Таблиця 1'!$J:$J,"ARS-8")+SUMIFS('Таблиця 1'!$K:$K,'Таблиця 1'!$B:$B,$A42,'Таблиця 1'!$I:$I,"Mi-24",'Таблиця 1'!$J:$J,"ARS-8"))</f>
        <v/>
      </c>
      <c r="F42">
        <f>IF($A42="","",SUMIFS('Таблиця 1'!$K:$K,'Таблиця 1'!$B:$B,$A42,'Таблиця 1'!$I:$I,"Mi-8",'Таблиця 1'!$J:$J,"С-8 ком")+SUMIFS('Таблиця 1'!$K:$K,'Таблиця 1'!$B:$B,$A42,'Таблиця 1'!$I:$I,"Mi-24",'Таблиця 1'!$J:$J,"С-8 ком"))</f>
        <v/>
      </c>
      <c r="G42">
        <f>IF($A42="","",SUMIFS('Таблиця 1'!$K:$K,'Таблиця 1'!$B:$B,$A42,'Таблиця 1'!$I:$I,"Mi-8",'Таблиця 1'!$J:$J,"PC-80")+SUMIFS('Таблиця 1'!$K:$K,'Таблиця 1'!$B:$B,$A42,'Таблиця 1'!$I:$I,"Mi-24",'Таблиця 1'!$J:$J,"PC-80"))</f>
        <v/>
      </c>
      <c r="H42">
        <f>IF($A42="","",SUMIFS('Таблиця 1'!$K:$K,'Таблиця 1'!$B:$B,$A42,'Таблиця 1'!$I:$I,"Mi-8",'Таблиця 1'!$J:$J,"UAR-80")+SUMIFS('Таблиця 1'!$K:$K,'Таблиця 1'!$B:$B,$A42,'Таблиця 1'!$I:$I,"Mi-24",'Таблиця 1'!$J:$J,"UAR-80"))</f>
        <v/>
      </c>
      <c r="I42">
        <f>IF($A42="","",SUMIFS('Таблиця 1'!$K:$K,'Таблиця 1'!$B:$B,$A42,'Таблиця 1'!$I:$I,"Mi-8",'Таблиця 1'!$J:$J,"C-13")+SUMIFS('Таблиця 1'!$K:$K,'Таблиця 1'!$B:$B,$A42,'Таблиця 1'!$I:$I,"Mi-24",'Таблиця 1'!$J:$J,"C-13"))</f>
        <v/>
      </c>
      <c r="J42">
        <f>IF($A42="","",SUMIFS('Таблиця 1'!$K:$K,'Таблиця 1'!$B:$B,$A42,'Таблиця 1'!$I:$I,"Mi-8",'Таблиця 1'!$J:$J,"Hydra-70")+SUMIFS('Таблиця 1'!$K:$K,'Таблиця 1'!$B:$B,$A42,'Таблиця 1'!$I:$I,"Mi-24",'Таблиця 1'!$J:$J,"Hydra-70"))</f>
        <v/>
      </c>
      <c r="K42">
        <f>IF($A42="","",SUMIFS('Таблиця 1'!$K:$K,'Таблиця 1'!$B:$B,$A42,'Таблиця 1'!$I:$I,"Mi-8",'Таблиця 1'!$J:$J,"Thales-70")+SUMIFS('Таблиця 1'!$K:$K,'Таблиця 1'!$B:$B,$A42,'Таблиця 1'!$I:$I,"Mi-24",'Таблиця 1'!$J:$J,"Thales-70"))</f>
        <v/>
      </c>
      <c r="L42">
        <f>IF($A42="","",SUMIFS('Таблиця 1'!$K:$K,'Таблиця 1'!$B:$B,$A42,'Таблиця 1'!$I:$I,"Mi-8",'Таблиця 1'!$J:$J,"Thales-FZ")+SUMIFS('Таблиця 1'!$K:$K,'Таблиця 1'!$B:$B,$A42,'Таблиця 1'!$I:$I,"Mi-24",'Таблиця 1'!$J:$J,"Thales-FZ"))</f>
        <v/>
      </c>
      <c r="M42">
        <f>IF($A42="","",SUMIFS('Таблиця 1'!$K:$K,'Таблиця 1'!$B:$B,$A42,'Таблиця 1'!$I:$I,"Mi-8",'Таблиця 1'!$J:$J,"МК-40")+SUMIFS('Таблиця 1'!$K:$K,'Таблиця 1'!$B:$B,$A42,'Таблиця 1'!$I:$I,"Mi-24",'Таблиця 1'!$J:$J,"МК-40"))</f>
        <v/>
      </c>
      <c r="N42">
        <f>IF($A42="","",SUMIFS('Таблиця 1'!$K:$K,'Таблиця 1'!$B:$B,$A42,'Таблиця 1'!$I:$I,"Mi-8",'Таблиця 1'!$J:$J,"Zuni")+SUMIFS('Таблиця 1'!$K:$K,'Таблиця 1'!$B:$B,$A42,'Таблиця 1'!$I:$I,"Mi-24",'Таблиця 1'!$J:$J,"Zuni"))</f>
        <v/>
      </c>
      <c r="O42">
        <f>IF($A42="","",COUNTIFS('Таблиця 1'!$B:$B,$A42,'Таблиця 1'!$I:$I,"Mi-8",'Таблиця 1'!$L:$L,"Уражено")+COUNTIFS('Таблиця 1'!$B:$B,$A42,'Таблиця 1'!$I:$I,"Mi-24",'Таблиця 1'!$L:$L,"Уражено"))</f>
        <v/>
      </c>
      <c r="P42">
        <f>IF($A42="","",COUNTIFS('Таблиця 1'!$B:$B,$A42,'Таблиця 1'!$I:$I,"Mi-8",'Таблиця 1'!$L:$L,"НЕ уражено")+COUNTIFS('Таблиця 1'!$B:$B,$A42,'Таблиця 1'!$I:$I,"Mi-24",'Таблиця 1'!$L:$L,"НЕ уражено"))</f>
        <v/>
      </c>
    </row>
    <row r="43">
      <c r="A43" s="273">
        <f>IF(A42="","",IF(A42+1&gt;MAX('Таблиця 1'!$B:$B),"",A42+1))</f>
        <v/>
      </c>
      <c r="B43">
        <f>IF($A43="","",COUNTIFS('Таблиця 1'!$B:$B,$A43,'Таблиця 1'!$I:$I,"Mi-8")+COUNTIFS('Таблиця 1'!$B:$B,$A43,'Таблиця 1'!$I:$I,"Mi-24"))</f>
        <v/>
      </c>
      <c r="C43">
        <f>IF($A43="","",COUNTIFS('Таблиця 1'!$B:$B,$A43,'Таблиця 1'!$I:$I,"Mi-8"))</f>
        <v/>
      </c>
      <c r="D43">
        <f>IF($A43="","",COUNTIFS('Таблиця 1'!$B:$B,$A43,'Таблиця 1'!$I:$I,"Mi-24"))</f>
        <v/>
      </c>
      <c r="E43">
        <f>IF($A43="","",SUMIFS('Таблиця 1'!$K:$K,'Таблиця 1'!$B:$B,$A43,'Таблиця 1'!$I:$I,"Mi-8",'Таблиця 1'!$J:$J,"ARS-8")+SUMIFS('Таблиця 1'!$K:$K,'Таблиця 1'!$B:$B,$A43,'Таблиця 1'!$I:$I,"Mi-24",'Таблиця 1'!$J:$J,"ARS-8"))</f>
        <v/>
      </c>
      <c r="F43">
        <f>IF($A43="","",SUMIFS('Таблиця 1'!$K:$K,'Таблиця 1'!$B:$B,$A43,'Таблиця 1'!$I:$I,"Mi-8",'Таблиця 1'!$J:$J,"С-8 ком")+SUMIFS('Таблиця 1'!$K:$K,'Таблиця 1'!$B:$B,$A43,'Таблиця 1'!$I:$I,"Mi-24",'Таблиця 1'!$J:$J,"С-8 ком"))</f>
        <v/>
      </c>
      <c r="G43">
        <f>IF($A43="","",SUMIFS('Таблиця 1'!$K:$K,'Таблиця 1'!$B:$B,$A43,'Таблиця 1'!$I:$I,"Mi-8",'Таблиця 1'!$J:$J,"PC-80")+SUMIFS('Таблиця 1'!$K:$K,'Таблиця 1'!$B:$B,$A43,'Таблиця 1'!$I:$I,"Mi-24",'Таблиця 1'!$J:$J,"PC-80"))</f>
        <v/>
      </c>
      <c r="H43">
        <f>IF($A43="","",SUMIFS('Таблиця 1'!$K:$K,'Таблиця 1'!$B:$B,$A43,'Таблиця 1'!$I:$I,"Mi-8",'Таблиця 1'!$J:$J,"UAR-80")+SUMIFS('Таблиця 1'!$K:$K,'Таблиця 1'!$B:$B,$A43,'Таблиця 1'!$I:$I,"Mi-24",'Таблиця 1'!$J:$J,"UAR-80"))</f>
        <v/>
      </c>
      <c r="I43">
        <f>IF($A43="","",SUMIFS('Таблиця 1'!$K:$K,'Таблиця 1'!$B:$B,$A43,'Таблиця 1'!$I:$I,"Mi-8",'Таблиця 1'!$J:$J,"C-13")+SUMIFS('Таблиця 1'!$K:$K,'Таблиця 1'!$B:$B,$A43,'Таблиця 1'!$I:$I,"Mi-24",'Таблиця 1'!$J:$J,"C-13"))</f>
        <v/>
      </c>
      <c r="J43">
        <f>IF($A43="","",SUMIFS('Таблиця 1'!$K:$K,'Таблиця 1'!$B:$B,$A43,'Таблиця 1'!$I:$I,"Mi-8",'Таблиця 1'!$J:$J,"Hydra-70")+SUMIFS('Таблиця 1'!$K:$K,'Таблиця 1'!$B:$B,$A43,'Таблиця 1'!$I:$I,"Mi-24",'Таблиця 1'!$J:$J,"Hydra-70"))</f>
        <v/>
      </c>
      <c r="K43">
        <f>IF($A43="","",SUMIFS('Таблиця 1'!$K:$K,'Таблиця 1'!$B:$B,$A43,'Таблиця 1'!$I:$I,"Mi-8",'Таблиця 1'!$J:$J,"Thales-70")+SUMIFS('Таблиця 1'!$K:$K,'Таблиця 1'!$B:$B,$A43,'Таблиця 1'!$I:$I,"Mi-24",'Таблиця 1'!$J:$J,"Thales-70"))</f>
        <v/>
      </c>
      <c r="L43">
        <f>IF($A43="","",SUMIFS('Таблиця 1'!$K:$K,'Таблиця 1'!$B:$B,$A43,'Таблиця 1'!$I:$I,"Mi-8",'Таблиця 1'!$J:$J,"Thales-FZ")+SUMIFS('Таблиця 1'!$K:$K,'Таблиця 1'!$B:$B,$A43,'Таблиця 1'!$I:$I,"Mi-24",'Таблиця 1'!$J:$J,"Thales-FZ"))</f>
        <v/>
      </c>
      <c r="M43">
        <f>IF($A43="","",SUMIFS('Таблиця 1'!$K:$K,'Таблиця 1'!$B:$B,$A43,'Таблиця 1'!$I:$I,"Mi-8",'Таблиця 1'!$J:$J,"МК-40")+SUMIFS('Таблиця 1'!$K:$K,'Таблиця 1'!$B:$B,$A43,'Таблиця 1'!$I:$I,"Mi-24",'Таблиця 1'!$J:$J,"МК-40"))</f>
        <v/>
      </c>
      <c r="N43">
        <f>IF($A43="","",SUMIFS('Таблиця 1'!$K:$K,'Таблиця 1'!$B:$B,$A43,'Таблиця 1'!$I:$I,"Mi-8",'Таблиця 1'!$J:$J,"Zuni")+SUMIFS('Таблиця 1'!$K:$K,'Таблиця 1'!$B:$B,$A43,'Таблиця 1'!$I:$I,"Mi-24",'Таблиця 1'!$J:$J,"Zuni"))</f>
        <v/>
      </c>
      <c r="O43">
        <f>IF($A43="","",COUNTIFS('Таблиця 1'!$B:$B,$A43,'Таблиця 1'!$I:$I,"Mi-8",'Таблиця 1'!$L:$L,"Уражено")+COUNTIFS('Таблиця 1'!$B:$B,$A43,'Таблиця 1'!$I:$I,"Mi-24",'Таблиця 1'!$L:$L,"Уражено"))</f>
        <v/>
      </c>
      <c r="P43">
        <f>IF($A43="","",COUNTIFS('Таблиця 1'!$B:$B,$A43,'Таблиця 1'!$I:$I,"Mi-8",'Таблиця 1'!$L:$L,"НЕ уражено")+COUNTIFS('Таблиця 1'!$B:$B,$A43,'Таблиця 1'!$I:$I,"Mi-24",'Таблиця 1'!$L:$L,"НЕ уражено"))</f>
        <v/>
      </c>
    </row>
    <row r="44">
      <c r="A44" s="273">
        <f>IF(A43="","",IF(A43+1&gt;MAX('Таблиця 1'!$B:$B),"",A43+1))</f>
        <v/>
      </c>
      <c r="B44">
        <f>IF($A44="","",COUNTIFS('Таблиця 1'!$B:$B,$A44,'Таблиця 1'!$I:$I,"Mi-8")+COUNTIFS('Таблиця 1'!$B:$B,$A44,'Таблиця 1'!$I:$I,"Mi-24"))</f>
        <v/>
      </c>
      <c r="C44">
        <f>IF($A44="","",COUNTIFS('Таблиця 1'!$B:$B,$A44,'Таблиця 1'!$I:$I,"Mi-8"))</f>
        <v/>
      </c>
      <c r="D44">
        <f>IF($A44="","",COUNTIFS('Таблиця 1'!$B:$B,$A44,'Таблиця 1'!$I:$I,"Mi-24"))</f>
        <v/>
      </c>
      <c r="E44">
        <f>IF($A44="","",SUMIFS('Таблиця 1'!$K:$K,'Таблиця 1'!$B:$B,$A44,'Таблиця 1'!$I:$I,"Mi-8",'Таблиця 1'!$J:$J,"ARS-8")+SUMIFS('Таблиця 1'!$K:$K,'Таблиця 1'!$B:$B,$A44,'Таблиця 1'!$I:$I,"Mi-24",'Таблиця 1'!$J:$J,"ARS-8"))</f>
        <v/>
      </c>
      <c r="F44">
        <f>IF($A44="","",SUMIFS('Таблиця 1'!$K:$K,'Таблиця 1'!$B:$B,$A44,'Таблиця 1'!$I:$I,"Mi-8",'Таблиця 1'!$J:$J,"С-8 ком")+SUMIFS('Таблиця 1'!$K:$K,'Таблиця 1'!$B:$B,$A44,'Таблиця 1'!$I:$I,"Mi-24",'Таблиця 1'!$J:$J,"С-8 ком"))</f>
        <v/>
      </c>
      <c r="G44">
        <f>IF($A44="","",SUMIFS('Таблиця 1'!$K:$K,'Таблиця 1'!$B:$B,$A44,'Таблиця 1'!$I:$I,"Mi-8",'Таблиця 1'!$J:$J,"PC-80")+SUMIFS('Таблиця 1'!$K:$K,'Таблиця 1'!$B:$B,$A44,'Таблиця 1'!$I:$I,"Mi-24",'Таблиця 1'!$J:$J,"PC-80"))</f>
        <v/>
      </c>
      <c r="H44">
        <f>IF($A44="","",SUMIFS('Таблиця 1'!$K:$K,'Таблиця 1'!$B:$B,$A44,'Таблиця 1'!$I:$I,"Mi-8",'Таблиця 1'!$J:$J,"UAR-80")+SUMIFS('Таблиця 1'!$K:$K,'Таблиця 1'!$B:$B,$A44,'Таблиця 1'!$I:$I,"Mi-24",'Таблиця 1'!$J:$J,"UAR-80"))</f>
        <v/>
      </c>
      <c r="I44">
        <f>IF($A44="","",SUMIFS('Таблиця 1'!$K:$K,'Таблиця 1'!$B:$B,$A44,'Таблиця 1'!$I:$I,"Mi-8",'Таблиця 1'!$J:$J,"C-13")+SUMIFS('Таблиця 1'!$K:$K,'Таблиця 1'!$B:$B,$A44,'Таблиця 1'!$I:$I,"Mi-24",'Таблиця 1'!$J:$J,"C-13"))</f>
        <v/>
      </c>
      <c r="J44">
        <f>IF($A44="","",SUMIFS('Таблиця 1'!$K:$K,'Таблиця 1'!$B:$B,$A44,'Таблиця 1'!$I:$I,"Mi-8",'Таблиця 1'!$J:$J,"Hydra-70")+SUMIFS('Таблиця 1'!$K:$K,'Таблиця 1'!$B:$B,$A44,'Таблиця 1'!$I:$I,"Mi-24",'Таблиця 1'!$J:$J,"Hydra-70"))</f>
        <v/>
      </c>
      <c r="K44">
        <f>IF($A44="","",SUMIFS('Таблиця 1'!$K:$K,'Таблиця 1'!$B:$B,$A44,'Таблиця 1'!$I:$I,"Mi-8",'Таблиця 1'!$J:$J,"Thales-70")+SUMIFS('Таблиця 1'!$K:$K,'Таблиця 1'!$B:$B,$A44,'Таблиця 1'!$I:$I,"Mi-24",'Таблиця 1'!$J:$J,"Thales-70"))</f>
        <v/>
      </c>
      <c r="L44">
        <f>IF($A44="","",SUMIFS('Таблиця 1'!$K:$K,'Таблиця 1'!$B:$B,$A44,'Таблиця 1'!$I:$I,"Mi-8",'Таблиця 1'!$J:$J,"Thales-FZ")+SUMIFS('Таблиця 1'!$K:$K,'Таблиця 1'!$B:$B,$A44,'Таблиця 1'!$I:$I,"Mi-24",'Таблиця 1'!$J:$J,"Thales-FZ"))</f>
        <v/>
      </c>
      <c r="M44">
        <f>IF($A44="","",SUMIFS('Таблиця 1'!$K:$K,'Таблиця 1'!$B:$B,$A44,'Таблиця 1'!$I:$I,"Mi-8",'Таблиця 1'!$J:$J,"МК-40")+SUMIFS('Таблиця 1'!$K:$K,'Таблиця 1'!$B:$B,$A44,'Таблиця 1'!$I:$I,"Mi-24",'Таблиця 1'!$J:$J,"МК-40"))</f>
        <v/>
      </c>
      <c r="N44">
        <f>IF($A44="","",SUMIFS('Таблиця 1'!$K:$K,'Таблиця 1'!$B:$B,$A44,'Таблиця 1'!$I:$I,"Mi-8",'Таблиця 1'!$J:$J,"Zuni")+SUMIFS('Таблиця 1'!$K:$K,'Таблиця 1'!$B:$B,$A44,'Таблиця 1'!$I:$I,"Mi-24",'Таблиця 1'!$J:$J,"Zuni"))</f>
        <v/>
      </c>
      <c r="O44">
        <f>IF($A44="","",COUNTIFS('Таблиця 1'!$B:$B,$A44,'Таблиця 1'!$I:$I,"Mi-8",'Таблиця 1'!$L:$L,"Уражено")+COUNTIFS('Таблиця 1'!$B:$B,$A44,'Таблиця 1'!$I:$I,"Mi-24",'Таблиця 1'!$L:$L,"Уражено"))</f>
        <v/>
      </c>
      <c r="P44">
        <f>IF($A44="","",COUNTIFS('Таблиця 1'!$B:$B,$A44,'Таблиця 1'!$I:$I,"Mi-8",'Таблиця 1'!$L:$L,"НЕ уражено")+COUNTIFS('Таблиця 1'!$B:$B,$A44,'Таблиця 1'!$I:$I,"Mi-24",'Таблиця 1'!$L:$L,"НЕ уражено"))</f>
        <v/>
      </c>
    </row>
    <row r="45">
      <c r="A45" s="273">
        <f>IF(A44="","",IF(A44+1&gt;MAX('Таблиця 1'!$B:$B),"",A44+1))</f>
        <v/>
      </c>
      <c r="B45">
        <f>IF($A45="","",COUNTIFS('Таблиця 1'!$B:$B,$A45,'Таблиця 1'!$I:$I,"Mi-8")+COUNTIFS('Таблиця 1'!$B:$B,$A45,'Таблиця 1'!$I:$I,"Mi-24"))</f>
        <v/>
      </c>
      <c r="C45">
        <f>IF($A45="","",COUNTIFS('Таблиця 1'!$B:$B,$A45,'Таблиця 1'!$I:$I,"Mi-8"))</f>
        <v/>
      </c>
      <c r="D45">
        <f>IF($A45="","",COUNTIFS('Таблиця 1'!$B:$B,$A45,'Таблиця 1'!$I:$I,"Mi-24"))</f>
        <v/>
      </c>
      <c r="E45">
        <f>IF($A45="","",SUMIFS('Таблиця 1'!$K:$K,'Таблиця 1'!$B:$B,$A45,'Таблиця 1'!$I:$I,"Mi-8",'Таблиця 1'!$J:$J,"ARS-8")+SUMIFS('Таблиця 1'!$K:$K,'Таблиця 1'!$B:$B,$A45,'Таблиця 1'!$I:$I,"Mi-24",'Таблиця 1'!$J:$J,"ARS-8"))</f>
        <v/>
      </c>
      <c r="F45">
        <f>IF($A45="","",SUMIFS('Таблиця 1'!$K:$K,'Таблиця 1'!$B:$B,$A45,'Таблиця 1'!$I:$I,"Mi-8",'Таблиця 1'!$J:$J,"С-8 ком")+SUMIFS('Таблиця 1'!$K:$K,'Таблиця 1'!$B:$B,$A45,'Таблиця 1'!$I:$I,"Mi-24",'Таблиця 1'!$J:$J,"С-8 ком"))</f>
        <v/>
      </c>
      <c r="G45">
        <f>IF($A45="","",SUMIFS('Таблиця 1'!$K:$K,'Таблиця 1'!$B:$B,$A45,'Таблиця 1'!$I:$I,"Mi-8",'Таблиця 1'!$J:$J,"PC-80")+SUMIFS('Таблиця 1'!$K:$K,'Таблиця 1'!$B:$B,$A45,'Таблиця 1'!$I:$I,"Mi-24",'Таблиця 1'!$J:$J,"PC-80"))</f>
        <v/>
      </c>
      <c r="H45">
        <f>IF($A45="","",SUMIFS('Таблиця 1'!$K:$K,'Таблиця 1'!$B:$B,$A45,'Таблиця 1'!$I:$I,"Mi-8",'Таблиця 1'!$J:$J,"UAR-80")+SUMIFS('Таблиця 1'!$K:$K,'Таблиця 1'!$B:$B,$A45,'Таблиця 1'!$I:$I,"Mi-24",'Таблиця 1'!$J:$J,"UAR-80"))</f>
        <v/>
      </c>
      <c r="I45">
        <f>IF($A45="","",SUMIFS('Таблиця 1'!$K:$K,'Таблиця 1'!$B:$B,$A45,'Таблиця 1'!$I:$I,"Mi-8",'Таблиця 1'!$J:$J,"C-13")+SUMIFS('Таблиця 1'!$K:$K,'Таблиця 1'!$B:$B,$A45,'Таблиця 1'!$I:$I,"Mi-24",'Таблиця 1'!$J:$J,"C-13"))</f>
        <v/>
      </c>
      <c r="J45">
        <f>IF($A45="","",SUMIFS('Таблиця 1'!$K:$K,'Таблиця 1'!$B:$B,$A45,'Таблиця 1'!$I:$I,"Mi-8",'Таблиця 1'!$J:$J,"Hydra-70")+SUMIFS('Таблиця 1'!$K:$K,'Таблиця 1'!$B:$B,$A45,'Таблиця 1'!$I:$I,"Mi-24",'Таблиця 1'!$J:$J,"Hydra-70"))</f>
        <v/>
      </c>
      <c r="K45">
        <f>IF($A45="","",SUMIFS('Таблиця 1'!$K:$K,'Таблиця 1'!$B:$B,$A45,'Таблиця 1'!$I:$I,"Mi-8",'Таблиця 1'!$J:$J,"Thales-70")+SUMIFS('Таблиця 1'!$K:$K,'Таблиця 1'!$B:$B,$A45,'Таблиця 1'!$I:$I,"Mi-24",'Таблиця 1'!$J:$J,"Thales-70"))</f>
        <v/>
      </c>
      <c r="L45">
        <f>IF($A45="","",SUMIFS('Таблиця 1'!$K:$K,'Таблиця 1'!$B:$B,$A45,'Таблиця 1'!$I:$I,"Mi-8",'Таблиця 1'!$J:$J,"Thales-FZ")+SUMIFS('Таблиця 1'!$K:$K,'Таблиця 1'!$B:$B,$A45,'Таблиця 1'!$I:$I,"Mi-24",'Таблиця 1'!$J:$J,"Thales-FZ"))</f>
        <v/>
      </c>
      <c r="M45">
        <f>IF($A45="","",SUMIFS('Таблиця 1'!$K:$K,'Таблиця 1'!$B:$B,$A45,'Таблиця 1'!$I:$I,"Mi-8",'Таблиця 1'!$J:$J,"МК-40")+SUMIFS('Таблиця 1'!$K:$K,'Таблиця 1'!$B:$B,$A45,'Таблиця 1'!$I:$I,"Mi-24",'Таблиця 1'!$J:$J,"МК-40"))</f>
        <v/>
      </c>
      <c r="N45">
        <f>IF($A45="","",SUMIFS('Таблиця 1'!$K:$K,'Таблиця 1'!$B:$B,$A45,'Таблиця 1'!$I:$I,"Mi-8",'Таблиця 1'!$J:$J,"Zuni")+SUMIFS('Таблиця 1'!$K:$K,'Таблиця 1'!$B:$B,$A45,'Таблиця 1'!$I:$I,"Mi-24",'Таблиця 1'!$J:$J,"Zuni"))</f>
        <v/>
      </c>
      <c r="O45">
        <f>IF($A45="","",COUNTIFS('Таблиця 1'!$B:$B,$A45,'Таблиця 1'!$I:$I,"Mi-8",'Таблиця 1'!$L:$L,"Уражено")+COUNTIFS('Таблиця 1'!$B:$B,$A45,'Таблиця 1'!$I:$I,"Mi-24",'Таблиця 1'!$L:$L,"Уражено"))</f>
        <v/>
      </c>
      <c r="P45">
        <f>IF($A45="","",COUNTIFS('Таблиця 1'!$B:$B,$A45,'Таблиця 1'!$I:$I,"Mi-8",'Таблиця 1'!$L:$L,"НЕ уражено")+COUNTIFS('Таблиця 1'!$B:$B,$A45,'Таблиця 1'!$I:$I,"Mi-24",'Таблиця 1'!$L:$L,"НЕ уражено"))</f>
        <v/>
      </c>
    </row>
    <row r="46">
      <c r="A46" s="273">
        <f>IF(A45="","",IF(A45+1&gt;MAX('Таблиця 1'!$B:$B),"",A45+1))</f>
        <v/>
      </c>
      <c r="B46">
        <f>IF($A46="","",COUNTIFS('Таблиця 1'!$B:$B,$A46,'Таблиця 1'!$I:$I,"Mi-8")+COUNTIFS('Таблиця 1'!$B:$B,$A46,'Таблиця 1'!$I:$I,"Mi-24"))</f>
        <v/>
      </c>
      <c r="C46">
        <f>IF($A46="","",COUNTIFS('Таблиця 1'!$B:$B,$A46,'Таблиця 1'!$I:$I,"Mi-8"))</f>
        <v/>
      </c>
      <c r="D46">
        <f>IF($A46="","",COUNTIFS('Таблиця 1'!$B:$B,$A46,'Таблиця 1'!$I:$I,"Mi-24"))</f>
        <v/>
      </c>
      <c r="E46">
        <f>IF($A46="","",SUMIFS('Таблиця 1'!$K:$K,'Таблиця 1'!$B:$B,$A46,'Таблиця 1'!$I:$I,"Mi-8",'Таблиця 1'!$J:$J,"ARS-8")+SUMIFS('Таблиця 1'!$K:$K,'Таблиця 1'!$B:$B,$A46,'Таблиця 1'!$I:$I,"Mi-24",'Таблиця 1'!$J:$J,"ARS-8"))</f>
        <v/>
      </c>
      <c r="F46">
        <f>IF($A46="","",SUMIFS('Таблиця 1'!$K:$K,'Таблиця 1'!$B:$B,$A46,'Таблиця 1'!$I:$I,"Mi-8",'Таблиця 1'!$J:$J,"С-8 ком")+SUMIFS('Таблиця 1'!$K:$K,'Таблиця 1'!$B:$B,$A46,'Таблиця 1'!$I:$I,"Mi-24",'Таблиця 1'!$J:$J,"С-8 ком"))</f>
        <v/>
      </c>
      <c r="G46">
        <f>IF($A46="","",SUMIFS('Таблиця 1'!$K:$K,'Таблиця 1'!$B:$B,$A46,'Таблиця 1'!$I:$I,"Mi-8",'Таблиця 1'!$J:$J,"PC-80")+SUMIFS('Таблиця 1'!$K:$K,'Таблиця 1'!$B:$B,$A46,'Таблиця 1'!$I:$I,"Mi-24",'Таблиця 1'!$J:$J,"PC-80"))</f>
        <v/>
      </c>
      <c r="H46">
        <f>IF($A46="","",SUMIFS('Таблиця 1'!$K:$K,'Таблиця 1'!$B:$B,$A46,'Таблиця 1'!$I:$I,"Mi-8",'Таблиця 1'!$J:$J,"UAR-80")+SUMIFS('Таблиця 1'!$K:$K,'Таблиця 1'!$B:$B,$A46,'Таблиця 1'!$I:$I,"Mi-24",'Таблиця 1'!$J:$J,"UAR-80"))</f>
        <v/>
      </c>
      <c r="I46">
        <f>IF($A46="","",SUMIFS('Таблиця 1'!$K:$K,'Таблиця 1'!$B:$B,$A46,'Таблиця 1'!$I:$I,"Mi-8",'Таблиця 1'!$J:$J,"C-13")+SUMIFS('Таблиця 1'!$K:$K,'Таблиця 1'!$B:$B,$A46,'Таблиця 1'!$I:$I,"Mi-24",'Таблиця 1'!$J:$J,"C-13"))</f>
        <v/>
      </c>
      <c r="J46">
        <f>IF($A46="","",SUMIFS('Таблиця 1'!$K:$K,'Таблиця 1'!$B:$B,$A46,'Таблиця 1'!$I:$I,"Mi-8",'Таблиця 1'!$J:$J,"Hydra-70")+SUMIFS('Таблиця 1'!$K:$K,'Таблиця 1'!$B:$B,$A46,'Таблиця 1'!$I:$I,"Mi-24",'Таблиця 1'!$J:$J,"Hydra-70"))</f>
        <v/>
      </c>
      <c r="K46">
        <f>IF($A46="","",SUMIFS('Таблиця 1'!$K:$K,'Таблиця 1'!$B:$B,$A46,'Таблиця 1'!$I:$I,"Mi-8",'Таблиця 1'!$J:$J,"Thales-70")+SUMIFS('Таблиця 1'!$K:$K,'Таблиця 1'!$B:$B,$A46,'Таблиця 1'!$I:$I,"Mi-24",'Таблиця 1'!$J:$J,"Thales-70"))</f>
        <v/>
      </c>
      <c r="L46">
        <f>IF($A46="","",SUMIFS('Таблиця 1'!$K:$K,'Таблиця 1'!$B:$B,$A46,'Таблиця 1'!$I:$I,"Mi-8",'Таблиця 1'!$J:$J,"Thales-FZ")+SUMIFS('Таблиця 1'!$K:$K,'Таблиця 1'!$B:$B,$A46,'Таблиця 1'!$I:$I,"Mi-24",'Таблиця 1'!$J:$J,"Thales-FZ"))</f>
        <v/>
      </c>
      <c r="M46">
        <f>IF($A46="","",SUMIFS('Таблиця 1'!$K:$K,'Таблиця 1'!$B:$B,$A46,'Таблиця 1'!$I:$I,"Mi-8",'Таблиця 1'!$J:$J,"МК-40")+SUMIFS('Таблиця 1'!$K:$K,'Таблиця 1'!$B:$B,$A46,'Таблиця 1'!$I:$I,"Mi-24",'Таблиця 1'!$J:$J,"МК-40"))</f>
        <v/>
      </c>
      <c r="N46">
        <f>IF($A46="","",SUMIFS('Таблиця 1'!$K:$K,'Таблиця 1'!$B:$B,$A46,'Таблиця 1'!$I:$I,"Mi-8",'Таблиця 1'!$J:$J,"Zuni")+SUMIFS('Таблиця 1'!$K:$K,'Таблиця 1'!$B:$B,$A46,'Таблиця 1'!$I:$I,"Mi-24",'Таблиця 1'!$J:$J,"Zuni"))</f>
        <v/>
      </c>
      <c r="O46">
        <f>IF($A46="","",COUNTIFS('Таблиця 1'!$B:$B,$A46,'Таблиця 1'!$I:$I,"Mi-8",'Таблиця 1'!$L:$L,"Уражено")+COUNTIFS('Таблиця 1'!$B:$B,$A46,'Таблиця 1'!$I:$I,"Mi-24",'Таблиця 1'!$L:$L,"Уражено"))</f>
        <v/>
      </c>
      <c r="P46">
        <f>IF($A46="","",COUNTIFS('Таблиця 1'!$B:$B,$A46,'Таблиця 1'!$I:$I,"Mi-8",'Таблиця 1'!$L:$L,"НЕ уражено")+COUNTIFS('Таблиця 1'!$B:$B,$A46,'Таблиця 1'!$I:$I,"Mi-24",'Таблиця 1'!$L:$L,"НЕ уражено"))</f>
        <v/>
      </c>
    </row>
    <row r="47">
      <c r="A47" s="273">
        <f>IF(A46="","",IF(A46+1&gt;MAX('Таблиця 1'!$B:$B),"",A46+1))</f>
        <v/>
      </c>
      <c r="B47">
        <f>IF($A47="","",COUNTIFS('Таблиця 1'!$B:$B,$A47,'Таблиця 1'!$I:$I,"Mi-8")+COUNTIFS('Таблиця 1'!$B:$B,$A47,'Таблиця 1'!$I:$I,"Mi-24"))</f>
        <v/>
      </c>
      <c r="C47">
        <f>IF($A47="","",COUNTIFS('Таблиця 1'!$B:$B,$A47,'Таблиця 1'!$I:$I,"Mi-8"))</f>
        <v/>
      </c>
      <c r="D47">
        <f>IF($A47="","",COUNTIFS('Таблиця 1'!$B:$B,$A47,'Таблиця 1'!$I:$I,"Mi-24"))</f>
        <v/>
      </c>
      <c r="E47">
        <f>IF($A47="","",SUMIFS('Таблиця 1'!$K:$K,'Таблиця 1'!$B:$B,$A47,'Таблиця 1'!$I:$I,"Mi-8",'Таблиця 1'!$J:$J,"ARS-8")+SUMIFS('Таблиця 1'!$K:$K,'Таблиця 1'!$B:$B,$A47,'Таблиця 1'!$I:$I,"Mi-24",'Таблиця 1'!$J:$J,"ARS-8"))</f>
        <v/>
      </c>
      <c r="F47">
        <f>IF($A47="","",SUMIFS('Таблиця 1'!$K:$K,'Таблиця 1'!$B:$B,$A47,'Таблиця 1'!$I:$I,"Mi-8",'Таблиця 1'!$J:$J,"С-8 ком")+SUMIFS('Таблиця 1'!$K:$K,'Таблиця 1'!$B:$B,$A47,'Таблиця 1'!$I:$I,"Mi-24",'Таблиця 1'!$J:$J,"С-8 ком"))</f>
        <v/>
      </c>
      <c r="G47">
        <f>IF($A47="","",SUMIFS('Таблиця 1'!$K:$K,'Таблиця 1'!$B:$B,$A47,'Таблиця 1'!$I:$I,"Mi-8",'Таблиця 1'!$J:$J,"PC-80")+SUMIFS('Таблиця 1'!$K:$K,'Таблиця 1'!$B:$B,$A47,'Таблиця 1'!$I:$I,"Mi-24",'Таблиця 1'!$J:$J,"PC-80"))</f>
        <v/>
      </c>
      <c r="H47">
        <f>IF($A47="","",SUMIFS('Таблиця 1'!$K:$K,'Таблиця 1'!$B:$B,$A47,'Таблиця 1'!$I:$I,"Mi-8",'Таблиця 1'!$J:$J,"UAR-80")+SUMIFS('Таблиця 1'!$K:$K,'Таблиця 1'!$B:$B,$A47,'Таблиця 1'!$I:$I,"Mi-24",'Таблиця 1'!$J:$J,"UAR-80"))</f>
        <v/>
      </c>
      <c r="I47">
        <f>IF($A47="","",SUMIFS('Таблиця 1'!$K:$K,'Таблиця 1'!$B:$B,$A47,'Таблиця 1'!$I:$I,"Mi-8",'Таблиця 1'!$J:$J,"C-13")+SUMIFS('Таблиця 1'!$K:$K,'Таблиця 1'!$B:$B,$A47,'Таблиця 1'!$I:$I,"Mi-24",'Таблиця 1'!$J:$J,"C-13"))</f>
        <v/>
      </c>
      <c r="J47">
        <f>IF($A47="","",SUMIFS('Таблиця 1'!$K:$K,'Таблиця 1'!$B:$B,$A47,'Таблиця 1'!$I:$I,"Mi-8",'Таблиця 1'!$J:$J,"Hydra-70")+SUMIFS('Таблиця 1'!$K:$K,'Таблиця 1'!$B:$B,$A47,'Таблиця 1'!$I:$I,"Mi-24",'Таблиця 1'!$J:$J,"Hydra-70"))</f>
        <v/>
      </c>
      <c r="K47">
        <f>IF($A47="","",SUMIFS('Таблиця 1'!$K:$K,'Таблиця 1'!$B:$B,$A47,'Таблиця 1'!$I:$I,"Mi-8",'Таблиця 1'!$J:$J,"Thales-70")+SUMIFS('Таблиця 1'!$K:$K,'Таблиця 1'!$B:$B,$A47,'Таблиця 1'!$I:$I,"Mi-24",'Таблиця 1'!$J:$J,"Thales-70"))</f>
        <v/>
      </c>
      <c r="L47">
        <f>IF($A47="","",SUMIFS('Таблиця 1'!$K:$K,'Таблиця 1'!$B:$B,$A47,'Таблиця 1'!$I:$I,"Mi-8",'Таблиця 1'!$J:$J,"Thales-FZ")+SUMIFS('Таблиця 1'!$K:$K,'Таблиця 1'!$B:$B,$A47,'Таблиця 1'!$I:$I,"Mi-24",'Таблиця 1'!$J:$J,"Thales-FZ"))</f>
        <v/>
      </c>
      <c r="M47">
        <f>IF($A47="","",SUMIFS('Таблиця 1'!$K:$K,'Таблиця 1'!$B:$B,$A47,'Таблиця 1'!$I:$I,"Mi-8",'Таблиця 1'!$J:$J,"МК-40")+SUMIFS('Таблиця 1'!$K:$K,'Таблиця 1'!$B:$B,$A47,'Таблиця 1'!$I:$I,"Mi-24",'Таблиця 1'!$J:$J,"МК-40"))</f>
        <v/>
      </c>
      <c r="N47">
        <f>IF($A47="","",SUMIFS('Таблиця 1'!$K:$K,'Таблиця 1'!$B:$B,$A47,'Таблиця 1'!$I:$I,"Mi-8",'Таблиця 1'!$J:$J,"Zuni")+SUMIFS('Таблиця 1'!$K:$K,'Таблиця 1'!$B:$B,$A47,'Таблиця 1'!$I:$I,"Mi-24",'Таблиця 1'!$J:$J,"Zuni"))</f>
        <v/>
      </c>
      <c r="O47">
        <f>IF($A47="","",COUNTIFS('Таблиця 1'!$B:$B,$A47,'Таблиця 1'!$I:$I,"Mi-8",'Таблиця 1'!$L:$L,"Уражено")+COUNTIFS('Таблиця 1'!$B:$B,$A47,'Таблиця 1'!$I:$I,"Mi-24",'Таблиця 1'!$L:$L,"Уражено"))</f>
        <v/>
      </c>
      <c r="P47">
        <f>IF($A47="","",COUNTIFS('Таблиця 1'!$B:$B,$A47,'Таблиця 1'!$I:$I,"Mi-8",'Таблиця 1'!$L:$L,"НЕ уражено")+COUNTIFS('Таблиця 1'!$B:$B,$A47,'Таблиця 1'!$I:$I,"Mi-24",'Таблиця 1'!$L:$L,"НЕ уражено"))</f>
        <v/>
      </c>
    </row>
    <row r="48">
      <c r="A48" s="273">
        <f>IF(A47="","",IF(A47+1&gt;MAX('Таблиця 1'!$B:$B),"",A47+1))</f>
        <v/>
      </c>
      <c r="B48">
        <f>IF($A48="","",COUNTIFS('Таблиця 1'!$B:$B,$A48,'Таблиця 1'!$I:$I,"Mi-8")+COUNTIFS('Таблиця 1'!$B:$B,$A48,'Таблиця 1'!$I:$I,"Mi-24"))</f>
        <v/>
      </c>
      <c r="C48">
        <f>IF($A48="","",COUNTIFS('Таблиця 1'!$B:$B,$A48,'Таблиця 1'!$I:$I,"Mi-8"))</f>
        <v/>
      </c>
      <c r="D48">
        <f>IF($A48="","",COUNTIFS('Таблиця 1'!$B:$B,$A48,'Таблиця 1'!$I:$I,"Mi-24"))</f>
        <v/>
      </c>
      <c r="E48">
        <f>IF($A48="","",SUMIFS('Таблиця 1'!$K:$K,'Таблиця 1'!$B:$B,$A48,'Таблиця 1'!$I:$I,"Mi-8",'Таблиця 1'!$J:$J,"ARS-8")+SUMIFS('Таблиця 1'!$K:$K,'Таблиця 1'!$B:$B,$A48,'Таблиця 1'!$I:$I,"Mi-24",'Таблиця 1'!$J:$J,"ARS-8"))</f>
        <v/>
      </c>
      <c r="F48">
        <f>IF($A48="","",SUMIFS('Таблиця 1'!$K:$K,'Таблиця 1'!$B:$B,$A48,'Таблиця 1'!$I:$I,"Mi-8",'Таблиця 1'!$J:$J,"С-8 ком")+SUMIFS('Таблиця 1'!$K:$K,'Таблиця 1'!$B:$B,$A48,'Таблиця 1'!$I:$I,"Mi-24",'Таблиця 1'!$J:$J,"С-8 ком"))</f>
        <v/>
      </c>
      <c r="G48">
        <f>IF($A48="","",SUMIFS('Таблиця 1'!$K:$K,'Таблиця 1'!$B:$B,$A48,'Таблиця 1'!$I:$I,"Mi-8",'Таблиця 1'!$J:$J,"PC-80")+SUMIFS('Таблиця 1'!$K:$K,'Таблиця 1'!$B:$B,$A48,'Таблиця 1'!$I:$I,"Mi-24",'Таблиця 1'!$J:$J,"PC-80"))</f>
        <v/>
      </c>
      <c r="H48">
        <f>IF($A48="","",SUMIFS('Таблиця 1'!$K:$K,'Таблиця 1'!$B:$B,$A48,'Таблиця 1'!$I:$I,"Mi-8",'Таблиця 1'!$J:$J,"UAR-80")+SUMIFS('Таблиця 1'!$K:$K,'Таблиця 1'!$B:$B,$A48,'Таблиця 1'!$I:$I,"Mi-24",'Таблиця 1'!$J:$J,"UAR-80"))</f>
        <v/>
      </c>
      <c r="I48">
        <f>IF($A48="","",SUMIFS('Таблиця 1'!$K:$K,'Таблиця 1'!$B:$B,$A48,'Таблиця 1'!$I:$I,"Mi-8",'Таблиця 1'!$J:$J,"C-13")+SUMIFS('Таблиця 1'!$K:$K,'Таблиця 1'!$B:$B,$A48,'Таблиця 1'!$I:$I,"Mi-24",'Таблиця 1'!$J:$J,"C-13"))</f>
        <v/>
      </c>
      <c r="J48">
        <f>IF($A48="","",SUMIFS('Таблиця 1'!$K:$K,'Таблиця 1'!$B:$B,$A48,'Таблиця 1'!$I:$I,"Mi-8",'Таблиця 1'!$J:$J,"Hydra-70")+SUMIFS('Таблиця 1'!$K:$K,'Таблиця 1'!$B:$B,$A48,'Таблиця 1'!$I:$I,"Mi-24",'Таблиця 1'!$J:$J,"Hydra-70"))</f>
        <v/>
      </c>
      <c r="K48">
        <f>IF($A48="","",SUMIFS('Таблиця 1'!$K:$K,'Таблиця 1'!$B:$B,$A48,'Таблиця 1'!$I:$I,"Mi-8",'Таблиця 1'!$J:$J,"Thales-70")+SUMIFS('Таблиця 1'!$K:$K,'Таблиця 1'!$B:$B,$A48,'Таблиця 1'!$I:$I,"Mi-24",'Таблиця 1'!$J:$J,"Thales-70"))</f>
        <v/>
      </c>
      <c r="L48">
        <f>IF($A48="","",SUMIFS('Таблиця 1'!$K:$K,'Таблиця 1'!$B:$B,$A48,'Таблиця 1'!$I:$I,"Mi-8",'Таблиця 1'!$J:$J,"Thales-FZ")+SUMIFS('Таблиця 1'!$K:$K,'Таблиця 1'!$B:$B,$A48,'Таблиця 1'!$I:$I,"Mi-24",'Таблиця 1'!$J:$J,"Thales-FZ"))</f>
        <v/>
      </c>
      <c r="M48">
        <f>IF($A48="","",SUMIFS('Таблиця 1'!$K:$K,'Таблиця 1'!$B:$B,$A48,'Таблиця 1'!$I:$I,"Mi-8",'Таблиця 1'!$J:$J,"МК-40")+SUMIFS('Таблиця 1'!$K:$K,'Таблиця 1'!$B:$B,$A48,'Таблиця 1'!$I:$I,"Mi-24",'Таблиця 1'!$J:$J,"МК-40"))</f>
        <v/>
      </c>
      <c r="N48">
        <f>IF($A48="","",SUMIFS('Таблиця 1'!$K:$K,'Таблиця 1'!$B:$B,$A48,'Таблиця 1'!$I:$I,"Mi-8",'Таблиця 1'!$J:$J,"Zuni")+SUMIFS('Таблиця 1'!$K:$K,'Таблиця 1'!$B:$B,$A48,'Таблиця 1'!$I:$I,"Mi-24",'Таблиця 1'!$J:$J,"Zuni"))</f>
        <v/>
      </c>
      <c r="O48">
        <f>IF($A48="","",COUNTIFS('Таблиця 1'!$B:$B,$A48,'Таблиця 1'!$I:$I,"Mi-8",'Таблиця 1'!$L:$L,"Уражено")+COUNTIFS('Таблиця 1'!$B:$B,$A48,'Таблиця 1'!$I:$I,"Mi-24",'Таблиця 1'!$L:$L,"Уражено"))</f>
        <v/>
      </c>
      <c r="P48">
        <f>IF($A48="","",COUNTIFS('Таблиця 1'!$B:$B,$A48,'Таблиця 1'!$I:$I,"Mi-8",'Таблиця 1'!$L:$L,"НЕ уражено")+COUNTIFS('Таблиця 1'!$B:$B,$A48,'Таблиця 1'!$I:$I,"Mi-24",'Таблиця 1'!$L:$L,"НЕ уражено"))</f>
        <v/>
      </c>
    </row>
    <row r="49">
      <c r="A49" s="273">
        <f>IF(A48="","",IF(A48+1&gt;MAX('Таблиця 1'!$B:$B),"",A48+1))</f>
        <v/>
      </c>
      <c r="B49">
        <f>IF($A49="","",COUNTIFS('Таблиця 1'!$B:$B,$A49,'Таблиця 1'!$I:$I,"Mi-8")+COUNTIFS('Таблиця 1'!$B:$B,$A49,'Таблиця 1'!$I:$I,"Mi-24"))</f>
        <v/>
      </c>
      <c r="C49">
        <f>IF($A49="","",COUNTIFS('Таблиця 1'!$B:$B,$A49,'Таблиця 1'!$I:$I,"Mi-8"))</f>
        <v/>
      </c>
      <c r="D49">
        <f>IF($A49="","",COUNTIFS('Таблиця 1'!$B:$B,$A49,'Таблиця 1'!$I:$I,"Mi-24"))</f>
        <v/>
      </c>
      <c r="E49">
        <f>IF($A49="","",SUMIFS('Таблиця 1'!$K:$K,'Таблиця 1'!$B:$B,$A49,'Таблиця 1'!$I:$I,"Mi-8",'Таблиця 1'!$J:$J,"ARS-8")+SUMIFS('Таблиця 1'!$K:$K,'Таблиця 1'!$B:$B,$A49,'Таблиця 1'!$I:$I,"Mi-24",'Таблиця 1'!$J:$J,"ARS-8"))</f>
        <v/>
      </c>
      <c r="F49">
        <f>IF($A49="","",SUMIFS('Таблиця 1'!$K:$K,'Таблиця 1'!$B:$B,$A49,'Таблиця 1'!$I:$I,"Mi-8",'Таблиця 1'!$J:$J,"С-8 ком")+SUMIFS('Таблиця 1'!$K:$K,'Таблиця 1'!$B:$B,$A49,'Таблиця 1'!$I:$I,"Mi-24",'Таблиця 1'!$J:$J,"С-8 ком"))</f>
        <v/>
      </c>
      <c r="G49">
        <f>IF($A49="","",SUMIFS('Таблиця 1'!$K:$K,'Таблиця 1'!$B:$B,$A49,'Таблиця 1'!$I:$I,"Mi-8",'Таблиця 1'!$J:$J,"PC-80")+SUMIFS('Таблиця 1'!$K:$K,'Таблиця 1'!$B:$B,$A49,'Таблиця 1'!$I:$I,"Mi-24",'Таблиця 1'!$J:$J,"PC-80"))</f>
        <v/>
      </c>
      <c r="H49">
        <f>IF($A49="","",SUMIFS('Таблиця 1'!$K:$K,'Таблиця 1'!$B:$B,$A49,'Таблиця 1'!$I:$I,"Mi-8",'Таблиця 1'!$J:$J,"UAR-80")+SUMIFS('Таблиця 1'!$K:$K,'Таблиця 1'!$B:$B,$A49,'Таблиця 1'!$I:$I,"Mi-24",'Таблиця 1'!$J:$J,"UAR-80"))</f>
        <v/>
      </c>
      <c r="I49">
        <f>IF($A49="","",SUMIFS('Таблиця 1'!$K:$K,'Таблиця 1'!$B:$B,$A49,'Таблиця 1'!$I:$I,"Mi-8",'Таблиця 1'!$J:$J,"C-13")+SUMIFS('Таблиця 1'!$K:$K,'Таблиця 1'!$B:$B,$A49,'Таблиця 1'!$I:$I,"Mi-24",'Таблиця 1'!$J:$J,"C-13"))</f>
        <v/>
      </c>
      <c r="J49">
        <f>IF($A49="","",SUMIFS('Таблиця 1'!$K:$K,'Таблиця 1'!$B:$B,$A49,'Таблиця 1'!$I:$I,"Mi-8",'Таблиця 1'!$J:$J,"Hydra-70")+SUMIFS('Таблиця 1'!$K:$K,'Таблиця 1'!$B:$B,$A49,'Таблиця 1'!$I:$I,"Mi-24",'Таблиця 1'!$J:$J,"Hydra-70"))</f>
        <v/>
      </c>
      <c r="K49">
        <f>IF($A49="","",SUMIFS('Таблиця 1'!$K:$K,'Таблиця 1'!$B:$B,$A49,'Таблиця 1'!$I:$I,"Mi-8",'Таблиця 1'!$J:$J,"Thales-70")+SUMIFS('Таблиця 1'!$K:$K,'Таблиця 1'!$B:$B,$A49,'Таблиця 1'!$I:$I,"Mi-24",'Таблиця 1'!$J:$J,"Thales-70"))</f>
        <v/>
      </c>
      <c r="L49">
        <f>IF($A49="","",SUMIFS('Таблиця 1'!$K:$K,'Таблиця 1'!$B:$B,$A49,'Таблиця 1'!$I:$I,"Mi-8",'Таблиця 1'!$J:$J,"Thales-FZ")+SUMIFS('Таблиця 1'!$K:$K,'Таблиця 1'!$B:$B,$A49,'Таблиця 1'!$I:$I,"Mi-24",'Таблиця 1'!$J:$J,"Thales-FZ"))</f>
        <v/>
      </c>
      <c r="M49">
        <f>IF($A49="","",SUMIFS('Таблиця 1'!$K:$K,'Таблиця 1'!$B:$B,$A49,'Таблиця 1'!$I:$I,"Mi-8",'Таблиця 1'!$J:$J,"МК-40")+SUMIFS('Таблиця 1'!$K:$K,'Таблиця 1'!$B:$B,$A49,'Таблиця 1'!$I:$I,"Mi-24",'Таблиця 1'!$J:$J,"МК-40"))</f>
        <v/>
      </c>
      <c r="N49">
        <f>IF($A49="","",SUMIFS('Таблиця 1'!$K:$K,'Таблиця 1'!$B:$B,$A49,'Таблиця 1'!$I:$I,"Mi-8",'Таблиця 1'!$J:$J,"Zuni")+SUMIFS('Таблиця 1'!$K:$K,'Таблиця 1'!$B:$B,$A49,'Таблиця 1'!$I:$I,"Mi-24",'Таблиця 1'!$J:$J,"Zuni"))</f>
        <v/>
      </c>
      <c r="O49">
        <f>IF($A49="","",COUNTIFS('Таблиця 1'!$B:$B,$A49,'Таблиця 1'!$I:$I,"Mi-8",'Таблиця 1'!$L:$L,"Уражено")+COUNTIFS('Таблиця 1'!$B:$B,$A49,'Таблиця 1'!$I:$I,"Mi-24",'Таблиця 1'!$L:$L,"Уражено"))</f>
        <v/>
      </c>
      <c r="P49">
        <f>IF($A49="","",COUNTIFS('Таблиця 1'!$B:$B,$A49,'Таблиця 1'!$I:$I,"Mi-8",'Таблиця 1'!$L:$L,"НЕ уражено")+COUNTIFS('Таблиця 1'!$B:$B,$A49,'Таблиця 1'!$I:$I,"Mi-24",'Таблиця 1'!$L:$L,"НЕ уражено"))</f>
        <v/>
      </c>
    </row>
    <row r="50">
      <c r="A50" s="273">
        <f>IF(A49="","",IF(A49+1&gt;MAX('Таблиця 1'!$B:$B),"",A49+1))</f>
        <v/>
      </c>
      <c r="B50">
        <f>IF($A50="","",COUNTIFS('Таблиця 1'!$B:$B,$A50,'Таблиця 1'!$I:$I,"Mi-8")+COUNTIFS('Таблиця 1'!$B:$B,$A50,'Таблиця 1'!$I:$I,"Mi-24"))</f>
        <v/>
      </c>
      <c r="C50">
        <f>IF($A50="","",COUNTIFS('Таблиця 1'!$B:$B,$A50,'Таблиця 1'!$I:$I,"Mi-8"))</f>
        <v/>
      </c>
      <c r="D50">
        <f>IF($A50="","",COUNTIFS('Таблиця 1'!$B:$B,$A50,'Таблиця 1'!$I:$I,"Mi-24"))</f>
        <v/>
      </c>
      <c r="E50">
        <f>IF($A50="","",SUMIFS('Таблиця 1'!$K:$K,'Таблиця 1'!$B:$B,$A50,'Таблиця 1'!$I:$I,"Mi-8",'Таблиця 1'!$J:$J,"ARS-8")+SUMIFS('Таблиця 1'!$K:$K,'Таблиця 1'!$B:$B,$A50,'Таблиця 1'!$I:$I,"Mi-24",'Таблиця 1'!$J:$J,"ARS-8"))</f>
        <v/>
      </c>
      <c r="F50">
        <f>IF($A50="","",SUMIFS('Таблиця 1'!$K:$K,'Таблиця 1'!$B:$B,$A50,'Таблиця 1'!$I:$I,"Mi-8",'Таблиця 1'!$J:$J,"С-8 ком")+SUMIFS('Таблиця 1'!$K:$K,'Таблиця 1'!$B:$B,$A50,'Таблиця 1'!$I:$I,"Mi-24",'Таблиця 1'!$J:$J,"С-8 ком"))</f>
        <v/>
      </c>
      <c r="G50">
        <f>IF($A50="","",SUMIFS('Таблиця 1'!$K:$K,'Таблиця 1'!$B:$B,$A50,'Таблиця 1'!$I:$I,"Mi-8",'Таблиця 1'!$J:$J,"PC-80")+SUMIFS('Таблиця 1'!$K:$K,'Таблиця 1'!$B:$B,$A50,'Таблиця 1'!$I:$I,"Mi-24",'Таблиця 1'!$J:$J,"PC-80"))</f>
        <v/>
      </c>
      <c r="H50">
        <f>IF($A50="","",SUMIFS('Таблиця 1'!$K:$K,'Таблиця 1'!$B:$B,$A50,'Таблиця 1'!$I:$I,"Mi-8",'Таблиця 1'!$J:$J,"UAR-80")+SUMIFS('Таблиця 1'!$K:$K,'Таблиця 1'!$B:$B,$A50,'Таблиця 1'!$I:$I,"Mi-24",'Таблиця 1'!$J:$J,"UAR-80"))</f>
        <v/>
      </c>
      <c r="I50">
        <f>IF($A50="","",SUMIFS('Таблиця 1'!$K:$K,'Таблиця 1'!$B:$B,$A50,'Таблиця 1'!$I:$I,"Mi-8",'Таблиця 1'!$J:$J,"C-13")+SUMIFS('Таблиця 1'!$K:$K,'Таблиця 1'!$B:$B,$A50,'Таблиця 1'!$I:$I,"Mi-24",'Таблиця 1'!$J:$J,"C-13"))</f>
        <v/>
      </c>
      <c r="J50">
        <f>IF($A50="","",SUMIFS('Таблиця 1'!$K:$K,'Таблиця 1'!$B:$B,$A50,'Таблиця 1'!$I:$I,"Mi-8",'Таблиця 1'!$J:$J,"Hydra-70")+SUMIFS('Таблиця 1'!$K:$K,'Таблиця 1'!$B:$B,$A50,'Таблиця 1'!$I:$I,"Mi-24",'Таблиця 1'!$J:$J,"Hydra-70"))</f>
        <v/>
      </c>
      <c r="K50">
        <f>IF($A50="","",SUMIFS('Таблиця 1'!$K:$K,'Таблиця 1'!$B:$B,$A50,'Таблиця 1'!$I:$I,"Mi-8",'Таблиця 1'!$J:$J,"Thales-70")+SUMIFS('Таблиця 1'!$K:$K,'Таблиця 1'!$B:$B,$A50,'Таблиця 1'!$I:$I,"Mi-24",'Таблиця 1'!$J:$J,"Thales-70"))</f>
        <v/>
      </c>
      <c r="L50">
        <f>IF($A50="","",SUMIFS('Таблиця 1'!$K:$K,'Таблиця 1'!$B:$B,$A50,'Таблиця 1'!$I:$I,"Mi-8",'Таблиця 1'!$J:$J,"Thales-FZ")+SUMIFS('Таблиця 1'!$K:$K,'Таблиця 1'!$B:$B,$A50,'Таблиця 1'!$I:$I,"Mi-24",'Таблиця 1'!$J:$J,"Thales-FZ"))</f>
        <v/>
      </c>
      <c r="M50">
        <f>IF($A50="","",SUMIFS('Таблиця 1'!$K:$K,'Таблиця 1'!$B:$B,$A50,'Таблиця 1'!$I:$I,"Mi-8",'Таблиця 1'!$J:$J,"МК-40")+SUMIFS('Таблиця 1'!$K:$K,'Таблиця 1'!$B:$B,$A50,'Таблиця 1'!$I:$I,"Mi-24",'Таблиця 1'!$J:$J,"МК-40"))</f>
        <v/>
      </c>
      <c r="N50">
        <f>IF($A50="","",SUMIFS('Таблиця 1'!$K:$K,'Таблиця 1'!$B:$B,$A50,'Таблиця 1'!$I:$I,"Mi-8",'Таблиця 1'!$J:$J,"Zuni")+SUMIFS('Таблиця 1'!$K:$K,'Таблиця 1'!$B:$B,$A50,'Таблиця 1'!$I:$I,"Mi-24",'Таблиця 1'!$J:$J,"Zuni"))</f>
        <v/>
      </c>
      <c r="O50">
        <f>IF($A50="","",COUNTIFS('Таблиця 1'!$B:$B,$A50,'Таблиця 1'!$I:$I,"Mi-8",'Таблиця 1'!$L:$L,"Уражено")+COUNTIFS('Таблиця 1'!$B:$B,$A50,'Таблиця 1'!$I:$I,"Mi-24",'Таблиця 1'!$L:$L,"Уражено"))</f>
        <v/>
      </c>
      <c r="P50">
        <f>IF($A50="","",COUNTIFS('Таблиця 1'!$B:$B,$A50,'Таблиця 1'!$I:$I,"Mi-8",'Таблиця 1'!$L:$L,"НЕ уражено")+COUNTIFS('Таблиця 1'!$B:$B,$A50,'Таблиця 1'!$I:$I,"Mi-24",'Таблиця 1'!$L:$L,"НЕ уражено"))</f>
        <v/>
      </c>
    </row>
    <row r="51">
      <c r="A51" s="273">
        <f>IF(A50="","",IF(A50+1&gt;MAX('Таблиця 1'!$B:$B),"",A50+1))</f>
        <v/>
      </c>
      <c r="B51">
        <f>IF($A51="","",COUNTIFS('Таблиця 1'!$B:$B,$A51,'Таблиця 1'!$I:$I,"Mi-8")+COUNTIFS('Таблиця 1'!$B:$B,$A51,'Таблиця 1'!$I:$I,"Mi-24"))</f>
        <v/>
      </c>
      <c r="C51">
        <f>IF($A51="","",COUNTIFS('Таблиця 1'!$B:$B,$A51,'Таблиця 1'!$I:$I,"Mi-8"))</f>
        <v/>
      </c>
      <c r="D51">
        <f>IF($A51="","",COUNTIFS('Таблиця 1'!$B:$B,$A51,'Таблиця 1'!$I:$I,"Mi-24"))</f>
        <v/>
      </c>
      <c r="E51">
        <f>IF($A51="","",SUMIFS('Таблиця 1'!$K:$K,'Таблиця 1'!$B:$B,$A51,'Таблиця 1'!$I:$I,"Mi-8",'Таблиця 1'!$J:$J,"ARS-8")+SUMIFS('Таблиця 1'!$K:$K,'Таблиця 1'!$B:$B,$A51,'Таблиця 1'!$I:$I,"Mi-24",'Таблиця 1'!$J:$J,"ARS-8"))</f>
        <v/>
      </c>
      <c r="F51">
        <f>IF($A51="","",SUMIFS('Таблиця 1'!$K:$K,'Таблиця 1'!$B:$B,$A51,'Таблиця 1'!$I:$I,"Mi-8",'Таблиця 1'!$J:$J,"С-8 ком")+SUMIFS('Таблиця 1'!$K:$K,'Таблиця 1'!$B:$B,$A51,'Таблиця 1'!$I:$I,"Mi-24",'Таблиця 1'!$J:$J,"С-8 ком"))</f>
        <v/>
      </c>
      <c r="G51">
        <f>IF($A51="","",SUMIFS('Таблиця 1'!$K:$K,'Таблиця 1'!$B:$B,$A51,'Таблиця 1'!$I:$I,"Mi-8",'Таблиця 1'!$J:$J,"PC-80")+SUMIFS('Таблиця 1'!$K:$K,'Таблиця 1'!$B:$B,$A51,'Таблиця 1'!$I:$I,"Mi-24",'Таблиця 1'!$J:$J,"PC-80"))</f>
        <v/>
      </c>
      <c r="H51">
        <f>IF($A51="","",SUMIFS('Таблиця 1'!$K:$K,'Таблиця 1'!$B:$B,$A51,'Таблиця 1'!$I:$I,"Mi-8",'Таблиця 1'!$J:$J,"UAR-80")+SUMIFS('Таблиця 1'!$K:$K,'Таблиця 1'!$B:$B,$A51,'Таблиця 1'!$I:$I,"Mi-24",'Таблиця 1'!$J:$J,"UAR-80"))</f>
        <v/>
      </c>
      <c r="I51">
        <f>IF($A51="","",SUMIFS('Таблиця 1'!$K:$K,'Таблиця 1'!$B:$B,$A51,'Таблиця 1'!$I:$I,"Mi-8",'Таблиця 1'!$J:$J,"C-13")+SUMIFS('Таблиця 1'!$K:$K,'Таблиця 1'!$B:$B,$A51,'Таблиця 1'!$I:$I,"Mi-24",'Таблиця 1'!$J:$J,"C-13"))</f>
        <v/>
      </c>
      <c r="J51">
        <f>IF($A51="","",SUMIFS('Таблиця 1'!$K:$K,'Таблиця 1'!$B:$B,$A51,'Таблиця 1'!$I:$I,"Mi-8",'Таблиця 1'!$J:$J,"Hydra-70")+SUMIFS('Таблиця 1'!$K:$K,'Таблиця 1'!$B:$B,$A51,'Таблиця 1'!$I:$I,"Mi-24",'Таблиця 1'!$J:$J,"Hydra-70"))</f>
        <v/>
      </c>
      <c r="K51">
        <f>IF($A51="","",SUMIFS('Таблиця 1'!$K:$K,'Таблиця 1'!$B:$B,$A51,'Таблиця 1'!$I:$I,"Mi-8",'Таблиця 1'!$J:$J,"Thales-70")+SUMIFS('Таблиця 1'!$K:$K,'Таблиця 1'!$B:$B,$A51,'Таблиця 1'!$I:$I,"Mi-24",'Таблиця 1'!$J:$J,"Thales-70"))</f>
        <v/>
      </c>
      <c r="L51">
        <f>IF($A51="","",SUMIFS('Таблиця 1'!$K:$K,'Таблиця 1'!$B:$B,$A51,'Таблиця 1'!$I:$I,"Mi-8",'Таблиця 1'!$J:$J,"Thales-FZ")+SUMIFS('Таблиця 1'!$K:$K,'Таблиця 1'!$B:$B,$A51,'Таблиця 1'!$I:$I,"Mi-24",'Таблиця 1'!$J:$J,"Thales-FZ"))</f>
        <v/>
      </c>
      <c r="M51">
        <f>IF($A51="","",SUMIFS('Таблиця 1'!$K:$K,'Таблиця 1'!$B:$B,$A51,'Таблиця 1'!$I:$I,"Mi-8",'Таблиця 1'!$J:$J,"МК-40")+SUMIFS('Таблиця 1'!$K:$K,'Таблиця 1'!$B:$B,$A51,'Таблиця 1'!$I:$I,"Mi-24",'Таблиця 1'!$J:$J,"МК-40"))</f>
        <v/>
      </c>
      <c r="N51">
        <f>IF($A51="","",SUMIFS('Таблиця 1'!$K:$K,'Таблиця 1'!$B:$B,$A51,'Таблиця 1'!$I:$I,"Mi-8",'Таблиця 1'!$J:$J,"Zuni")+SUMIFS('Таблиця 1'!$K:$K,'Таблиця 1'!$B:$B,$A51,'Таблиця 1'!$I:$I,"Mi-24",'Таблиця 1'!$J:$J,"Zuni"))</f>
        <v/>
      </c>
      <c r="O51">
        <f>IF($A51="","",COUNTIFS('Таблиця 1'!$B:$B,$A51,'Таблиця 1'!$I:$I,"Mi-8",'Таблиця 1'!$L:$L,"Уражено")+COUNTIFS('Таблиця 1'!$B:$B,$A51,'Таблиця 1'!$I:$I,"Mi-24",'Таблиця 1'!$L:$L,"Уражено"))</f>
        <v/>
      </c>
      <c r="P51">
        <f>IF($A51="","",COUNTIFS('Таблиця 1'!$B:$B,$A51,'Таблиця 1'!$I:$I,"Mi-8",'Таблиця 1'!$L:$L,"НЕ уражено")+COUNTIFS('Таблиця 1'!$B:$B,$A51,'Таблиця 1'!$I:$I,"Mi-24",'Таблиця 1'!$L:$L,"НЕ уражено"))</f>
        <v/>
      </c>
    </row>
    <row r="52">
      <c r="A52" s="273">
        <f>IF(A51="","",IF(A51+1&gt;MAX('Таблиця 1'!$B:$B),"",A51+1))</f>
        <v/>
      </c>
      <c r="B52">
        <f>IF($A52="","",COUNTIFS('Таблиця 1'!$B:$B,$A52,'Таблиця 1'!$I:$I,"Mi-8")+COUNTIFS('Таблиця 1'!$B:$B,$A52,'Таблиця 1'!$I:$I,"Mi-24"))</f>
        <v/>
      </c>
      <c r="C52">
        <f>IF($A52="","",COUNTIFS('Таблиця 1'!$B:$B,$A52,'Таблиця 1'!$I:$I,"Mi-8"))</f>
        <v/>
      </c>
      <c r="D52">
        <f>IF($A52="","",COUNTIFS('Таблиця 1'!$B:$B,$A52,'Таблиця 1'!$I:$I,"Mi-24"))</f>
        <v/>
      </c>
      <c r="E52">
        <f>IF($A52="","",SUMIFS('Таблиця 1'!$K:$K,'Таблиця 1'!$B:$B,$A52,'Таблиця 1'!$I:$I,"Mi-8",'Таблиця 1'!$J:$J,"ARS-8")+SUMIFS('Таблиця 1'!$K:$K,'Таблиця 1'!$B:$B,$A52,'Таблиця 1'!$I:$I,"Mi-24",'Таблиця 1'!$J:$J,"ARS-8"))</f>
        <v/>
      </c>
      <c r="F52">
        <f>IF($A52="","",SUMIFS('Таблиця 1'!$K:$K,'Таблиця 1'!$B:$B,$A52,'Таблиця 1'!$I:$I,"Mi-8",'Таблиця 1'!$J:$J,"С-8 ком")+SUMIFS('Таблиця 1'!$K:$K,'Таблиця 1'!$B:$B,$A52,'Таблиця 1'!$I:$I,"Mi-24",'Таблиця 1'!$J:$J,"С-8 ком"))</f>
        <v/>
      </c>
      <c r="G52">
        <f>IF($A52="","",SUMIFS('Таблиця 1'!$K:$K,'Таблиця 1'!$B:$B,$A52,'Таблиця 1'!$I:$I,"Mi-8",'Таблиця 1'!$J:$J,"PC-80")+SUMIFS('Таблиця 1'!$K:$K,'Таблиця 1'!$B:$B,$A52,'Таблиця 1'!$I:$I,"Mi-24",'Таблиця 1'!$J:$J,"PC-80"))</f>
        <v/>
      </c>
      <c r="H52">
        <f>IF($A52="","",SUMIFS('Таблиця 1'!$K:$K,'Таблиця 1'!$B:$B,$A52,'Таблиця 1'!$I:$I,"Mi-8",'Таблиця 1'!$J:$J,"UAR-80")+SUMIFS('Таблиця 1'!$K:$K,'Таблиця 1'!$B:$B,$A52,'Таблиця 1'!$I:$I,"Mi-24",'Таблиця 1'!$J:$J,"UAR-80"))</f>
        <v/>
      </c>
      <c r="I52">
        <f>IF($A52="","",SUMIFS('Таблиця 1'!$K:$K,'Таблиця 1'!$B:$B,$A52,'Таблиця 1'!$I:$I,"Mi-8",'Таблиця 1'!$J:$J,"C-13")+SUMIFS('Таблиця 1'!$K:$K,'Таблиця 1'!$B:$B,$A52,'Таблиця 1'!$I:$I,"Mi-24",'Таблиця 1'!$J:$J,"C-13"))</f>
        <v/>
      </c>
      <c r="J52">
        <f>IF($A52="","",SUMIFS('Таблиця 1'!$K:$K,'Таблиця 1'!$B:$B,$A52,'Таблиця 1'!$I:$I,"Mi-8",'Таблиця 1'!$J:$J,"Hydra-70")+SUMIFS('Таблиця 1'!$K:$K,'Таблиця 1'!$B:$B,$A52,'Таблиця 1'!$I:$I,"Mi-24",'Таблиця 1'!$J:$J,"Hydra-70"))</f>
        <v/>
      </c>
      <c r="K52">
        <f>IF($A52="","",SUMIFS('Таблиця 1'!$K:$K,'Таблиця 1'!$B:$B,$A52,'Таблиця 1'!$I:$I,"Mi-8",'Таблиця 1'!$J:$J,"Thales-70")+SUMIFS('Таблиця 1'!$K:$K,'Таблиця 1'!$B:$B,$A52,'Таблиця 1'!$I:$I,"Mi-24",'Таблиця 1'!$J:$J,"Thales-70"))</f>
        <v/>
      </c>
      <c r="L52">
        <f>IF($A52="","",SUMIFS('Таблиця 1'!$K:$K,'Таблиця 1'!$B:$B,$A52,'Таблиця 1'!$I:$I,"Mi-8",'Таблиця 1'!$J:$J,"Thales-FZ")+SUMIFS('Таблиця 1'!$K:$K,'Таблиця 1'!$B:$B,$A52,'Таблиця 1'!$I:$I,"Mi-24",'Таблиця 1'!$J:$J,"Thales-FZ"))</f>
        <v/>
      </c>
      <c r="M52">
        <f>IF($A52="","",SUMIFS('Таблиця 1'!$K:$K,'Таблиця 1'!$B:$B,$A52,'Таблиця 1'!$I:$I,"Mi-8",'Таблиця 1'!$J:$J,"МК-40")+SUMIFS('Таблиця 1'!$K:$K,'Таблиця 1'!$B:$B,$A52,'Таблиця 1'!$I:$I,"Mi-24",'Таблиця 1'!$J:$J,"МК-40"))</f>
        <v/>
      </c>
      <c r="N52">
        <f>IF($A52="","",SUMIFS('Таблиця 1'!$K:$K,'Таблиця 1'!$B:$B,$A52,'Таблиця 1'!$I:$I,"Mi-8",'Таблиця 1'!$J:$J,"Zuni")+SUMIFS('Таблиця 1'!$K:$K,'Таблиця 1'!$B:$B,$A52,'Таблиця 1'!$I:$I,"Mi-24",'Таблиця 1'!$J:$J,"Zuni"))</f>
        <v/>
      </c>
      <c r="O52">
        <f>IF($A52="","",COUNTIFS('Таблиця 1'!$B:$B,$A52,'Таблиця 1'!$I:$I,"Mi-8",'Таблиця 1'!$L:$L,"Уражено")+COUNTIFS('Таблиця 1'!$B:$B,$A52,'Таблиця 1'!$I:$I,"Mi-24",'Таблиця 1'!$L:$L,"Уражено"))</f>
        <v/>
      </c>
      <c r="P52">
        <f>IF($A52="","",COUNTIFS('Таблиця 1'!$B:$B,$A52,'Таблиця 1'!$I:$I,"Mi-8",'Таблиця 1'!$L:$L,"НЕ уражено")+COUNTIFS('Таблиця 1'!$B:$B,$A52,'Таблиця 1'!$I:$I,"Mi-24",'Таблиця 1'!$L:$L,"НЕ уражено"))</f>
        <v/>
      </c>
    </row>
    <row r="53">
      <c r="A53" s="273">
        <f>IF(A52="","",IF(A52+1&gt;MAX('Таблиця 1'!$B:$B),"",A52+1))</f>
        <v/>
      </c>
      <c r="B53">
        <f>IF($A53="","",COUNTIFS('Таблиця 1'!$B:$B,$A53,'Таблиця 1'!$I:$I,"Mi-8")+COUNTIFS('Таблиця 1'!$B:$B,$A53,'Таблиця 1'!$I:$I,"Mi-24"))</f>
        <v/>
      </c>
      <c r="C53">
        <f>IF($A53="","",COUNTIFS('Таблиця 1'!$B:$B,$A53,'Таблиця 1'!$I:$I,"Mi-8"))</f>
        <v/>
      </c>
      <c r="D53">
        <f>IF($A53="","",COUNTIFS('Таблиця 1'!$B:$B,$A53,'Таблиця 1'!$I:$I,"Mi-24"))</f>
        <v/>
      </c>
      <c r="E53">
        <f>IF($A53="","",SUMIFS('Таблиця 1'!$K:$K,'Таблиця 1'!$B:$B,$A53,'Таблиця 1'!$I:$I,"Mi-8",'Таблиця 1'!$J:$J,"ARS-8")+SUMIFS('Таблиця 1'!$K:$K,'Таблиця 1'!$B:$B,$A53,'Таблиця 1'!$I:$I,"Mi-24",'Таблиця 1'!$J:$J,"ARS-8"))</f>
        <v/>
      </c>
      <c r="F53">
        <f>IF($A53="","",SUMIFS('Таблиця 1'!$K:$K,'Таблиця 1'!$B:$B,$A53,'Таблиця 1'!$I:$I,"Mi-8",'Таблиця 1'!$J:$J,"С-8 ком")+SUMIFS('Таблиця 1'!$K:$K,'Таблиця 1'!$B:$B,$A53,'Таблиця 1'!$I:$I,"Mi-24",'Таблиця 1'!$J:$J,"С-8 ком"))</f>
        <v/>
      </c>
      <c r="G53">
        <f>IF($A53="","",SUMIFS('Таблиця 1'!$K:$K,'Таблиця 1'!$B:$B,$A53,'Таблиця 1'!$I:$I,"Mi-8",'Таблиця 1'!$J:$J,"PC-80")+SUMIFS('Таблиця 1'!$K:$K,'Таблиця 1'!$B:$B,$A53,'Таблиця 1'!$I:$I,"Mi-24",'Таблиця 1'!$J:$J,"PC-80"))</f>
        <v/>
      </c>
      <c r="H53">
        <f>IF($A53="","",SUMIFS('Таблиця 1'!$K:$K,'Таблиця 1'!$B:$B,$A53,'Таблиця 1'!$I:$I,"Mi-8",'Таблиця 1'!$J:$J,"UAR-80")+SUMIFS('Таблиця 1'!$K:$K,'Таблиця 1'!$B:$B,$A53,'Таблиця 1'!$I:$I,"Mi-24",'Таблиця 1'!$J:$J,"UAR-80"))</f>
        <v/>
      </c>
      <c r="I53">
        <f>IF($A53="","",SUMIFS('Таблиця 1'!$K:$K,'Таблиця 1'!$B:$B,$A53,'Таблиця 1'!$I:$I,"Mi-8",'Таблиця 1'!$J:$J,"C-13")+SUMIFS('Таблиця 1'!$K:$K,'Таблиця 1'!$B:$B,$A53,'Таблиця 1'!$I:$I,"Mi-24",'Таблиця 1'!$J:$J,"C-13"))</f>
        <v/>
      </c>
      <c r="J53">
        <f>IF($A53="","",SUMIFS('Таблиця 1'!$K:$K,'Таблиця 1'!$B:$B,$A53,'Таблиця 1'!$I:$I,"Mi-8",'Таблиця 1'!$J:$J,"Hydra-70")+SUMIFS('Таблиця 1'!$K:$K,'Таблиця 1'!$B:$B,$A53,'Таблиця 1'!$I:$I,"Mi-24",'Таблиця 1'!$J:$J,"Hydra-70"))</f>
        <v/>
      </c>
      <c r="K53">
        <f>IF($A53="","",SUMIFS('Таблиця 1'!$K:$K,'Таблиця 1'!$B:$B,$A53,'Таблиця 1'!$I:$I,"Mi-8",'Таблиця 1'!$J:$J,"Thales-70")+SUMIFS('Таблиця 1'!$K:$K,'Таблиця 1'!$B:$B,$A53,'Таблиця 1'!$I:$I,"Mi-24",'Таблиця 1'!$J:$J,"Thales-70"))</f>
        <v/>
      </c>
      <c r="L53">
        <f>IF($A53="","",SUMIFS('Таблиця 1'!$K:$K,'Таблиця 1'!$B:$B,$A53,'Таблиця 1'!$I:$I,"Mi-8",'Таблиця 1'!$J:$J,"Thales-FZ")+SUMIFS('Таблиця 1'!$K:$K,'Таблиця 1'!$B:$B,$A53,'Таблиця 1'!$I:$I,"Mi-24",'Таблиця 1'!$J:$J,"Thales-FZ"))</f>
        <v/>
      </c>
      <c r="M53">
        <f>IF($A53="","",SUMIFS('Таблиця 1'!$K:$K,'Таблиця 1'!$B:$B,$A53,'Таблиця 1'!$I:$I,"Mi-8",'Таблиця 1'!$J:$J,"МК-40")+SUMIFS('Таблиця 1'!$K:$K,'Таблиця 1'!$B:$B,$A53,'Таблиця 1'!$I:$I,"Mi-24",'Таблиця 1'!$J:$J,"МК-40"))</f>
        <v/>
      </c>
      <c r="N53">
        <f>IF($A53="","",SUMIFS('Таблиця 1'!$K:$K,'Таблиця 1'!$B:$B,$A53,'Таблиця 1'!$I:$I,"Mi-8",'Таблиця 1'!$J:$J,"Zuni")+SUMIFS('Таблиця 1'!$K:$K,'Таблиця 1'!$B:$B,$A53,'Таблиця 1'!$I:$I,"Mi-24",'Таблиця 1'!$J:$J,"Zuni"))</f>
        <v/>
      </c>
      <c r="O53">
        <f>IF($A53="","",COUNTIFS('Таблиця 1'!$B:$B,$A53,'Таблиця 1'!$I:$I,"Mi-8",'Таблиця 1'!$L:$L,"Уражено")+COUNTIFS('Таблиця 1'!$B:$B,$A53,'Таблиця 1'!$I:$I,"Mi-24",'Таблиця 1'!$L:$L,"Уражено"))</f>
        <v/>
      </c>
      <c r="P53">
        <f>IF($A53="","",COUNTIFS('Таблиця 1'!$B:$B,$A53,'Таблиця 1'!$I:$I,"Mi-8",'Таблиця 1'!$L:$L,"НЕ уражено")+COUNTIFS('Таблиця 1'!$B:$B,$A53,'Таблиця 1'!$I:$I,"Mi-24",'Таблиця 1'!$L:$L,"НЕ уражено"))</f>
        <v/>
      </c>
    </row>
    <row r="54">
      <c r="A54" s="273">
        <f>IF(A53="","",IF(A53+1&gt;MAX('Таблиця 1'!$B:$B),"",A53+1))</f>
        <v/>
      </c>
      <c r="B54">
        <f>IF($A54="","",COUNTIFS('Таблиця 1'!$B:$B,$A54,'Таблиця 1'!$I:$I,"Mi-8")+COUNTIFS('Таблиця 1'!$B:$B,$A54,'Таблиця 1'!$I:$I,"Mi-24"))</f>
        <v/>
      </c>
      <c r="C54">
        <f>IF($A54="","",COUNTIFS('Таблиця 1'!$B:$B,$A54,'Таблиця 1'!$I:$I,"Mi-8"))</f>
        <v/>
      </c>
      <c r="D54">
        <f>IF($A54="","",COUNTIFS('Таблиця 1'!$B:$B,$A54,'Таблиця 1'!$I:$I,"Mi-24"))</f>
        <v/>
      </c>
      <c r="E54">
        <f>IF($A54="","",SUMIFS('Таблиця 1'!$K:$K,'Таблиця 1'!$B:$B,$A54,'Таблиця 1'!$I:$I,"Mi-8",'Таблиця 1'!$J:$J,"ARS-8")+SUMIFS('Таблиця 1'!$K:$K,'Таблиця 1'!$B:$B,$A54,'Таблиця 1'!$I:$I,"Mi-24",'Таблиця 1'!$J:$J,"ARS-8"))</f>
        <v/>
      </c>
      <c r="F54">
        <f>IF($A54="","",SUMIFS('Таблиця 1'!$K:$K,'Таблиця 1'!$B:$B,$A54,'Таблиця 1'!$I:$I,"Mi-8",'Таблиця 1'!$J:$J,"С-8 ком")+SUMIFS('Таблиця 1'!$K:$K,'Таблиця 1'!$B:$B,$A54,'Таблиця 1'!$I:$I,"Mi-24",'Таблиця 1'!$J:$J,"С-8 ком"))</f>
        <v/>
      </c>
      <c r="G54">
        <f>IF($A54="","",SUMIFS('Таблиця 1'!$K:$K,'Таблиця 1'!$B:$B,$A54,'Таблиця 1'!$I:$I,"Mi-8",'Таблиця 1'!$J:$J,"PC-80")+SUMIFS('Таблиця 1'!$K:$K,'Таблиця 1'!$B:$B,$A54,'Таблиця 1'!$I:$I,"Mi-24",'Таблиця 1'!$J:$J,"PC-80"))</f>
        <v/>
      </c>
      <c r="H54">
        <f>IF($A54="","",SUMIFS('Таблиця 1'!$K:$K,'Таблиця 1'!$B:$B,$A54,'Таблиця 1'!$I:$I,"Mi-8",'Таблиця 1'!$J:$J,"UAR-80")+SUMIFS('Таблиця 1'!$K:$K,'Таблиця 1'!$B:$B,$A54,'Таблиця 1'!$I:$I,"Mi-24",'Таблиця 1'!$J:$J,"UAR-80"))</f>
        <v/>
      </c>
      <c r="I54">
        <f>IF($A54="","",SUMIFS('Таблиця 1'!$K:$K,'Таблиця 1'!$B:$B,$A54,'Таблиця 1'!$I:$I,"Mi-8",'Таблиця 1'!$J:$J,"C-13")+SUMIFS('Таблиця 1'!$K:$K,'Таблиця 1'!$B:$B,$A54,'Таблиця 1'!$I:$I,"Mi-24",'Таблиця 1'!$J:$J,"C-13"))</f>
        <v/>
      </c>
      <c r="J54">
        <f>IF($A54="","",SUMIFS('Таблиця 1'!$K:$K,'Таблиця 1'!$B:$B,$A54,'Таблиця 1'!$I:$I,"Mi-8",'Таблиця 1'!$J:$J,"Hydra-70")+SUMIFS('Таблиця 1'!$K:$K,'Таблиця 1'!$B:$B,$A54,'Таблиця 1'!$I:$I,"Mi-24",'Таблиця 1'!$J:$J,"Hydra-70"))</f>
        <v/>
      </c>
      <c r="K54">
        <f>IF($A54="","",SUMIFS('Таблиця 1'!$K:$K,'Таблиця 1'!$B:$B,$A54,'Таблиця 1'!$I:$I,"Mi-8",'Таблиця 1'!$J:$J,"Thales-70")+SUMIFS('Таблиця 1'!$K:$K,'Таблиця 1'!$B:$B,$A54,'Таблиця 1'!$I:$I,"Mi-24",'Таблиця 1'!$J:$J,"Thales-70"))</f>
        <v/>
      </c>
      <c r="L54">
        <f>IF($A54="","",SUMIFS('Таблиця 1'!$K:$K,'Таблиця 1'!$B:$B,$A54,'Таблиця 1'!$I:$I,"Mi-8",'Таблиця 1'!$J:$J,"Thales-FZ")+SUMIFS('Таблиця 1'!$K:$K,'Таблиця 1'!$B:$B,$A54,'Таблиця 1'!$I:$I,"Mi-24",'Таблиця 1'!$J:$J,"Thales-FZ"))</f>
        <v/>
      </c>
      <c r="M54">
        <f>IF($A54="","",SUMIFS('Таблиця 1'!$K:$K,'Таблиця 1'!$B:$B,$A54,'Таблиця 1'!$I:$I,"Mi-8",'Таблиця 1'!$J:$J,"МК-40")+SUMIFS('Таблиця 1'!$K:$K,'Таблиця 1'!$B:$B,$A54,'Таблиця 1'!$I:$I,"Mi-24",'Таблиця 1'!$J:$J,"МК-40"))</f>
        <v/>
      </c>
      <c r="N54">
        <f>IF($A54="","",SUMIFS('Таблиця 1'!$K:$K,'Таблиця 1'!$B:$B,$A54,'Таблиця 1'!$I:$I,"Mi-8",'Таблиця 1'!$J:$J,"Zuni")+SUMIFS('Таблиця 1'!$K:$K,'Таблиця 1'!$B:$B,$A54,'Таблиця 1'!$I:$I,"Mi-24",'Таблиця 1'!$J:$J,"Zuni"))</f>
        <v/>
      </c>
      <c r="O54">
        <f>IF($A54="","",COUNTIFS('Таблиця 1'!$B:$B,$A54,'Таблиця 1'!$I:$I,"Mi-8",'Таблиця 1'!$L:$L,"Уражено")+COUNTIFS('Таблиця 1'!$B:$B,$A54,'Таблиця 1'!$I:$I,"Mi-24",'Таблиця 1'!$L:$L,"Уражено"))</f>
        <v/>
      </c>
      <c r="P54">
        <f>IF($A54="","",COUNTIFS('Таблиця 1'!$B:$B,$A54,'Таблиця 1'!$I:$I,"Mi-8",'Таблиця 1'!$L:$L,"НЕ уражено")+COUNTIFS('Таблиця 1'!$B:$B,$A54,'Таблиця 1'!$I:$I,"Mi-24",'Таблиця 1'!$L:$L,"НЕ уражено"))</f>
        <v/>
      </c>
    </row>
    <row r="55">
      <c r="A55" s="273">
        <f>IF(A54="","",IF(A54+1&gt;MAX('Таблиця 1'!$B:$B),"",A54+1))</f>
        <v/>
      </c>
      <c r="B55">
        <f>IF($A55="","",COUNTIFS('Таблиця 1'!$B:$B,$A55,'Таблиця 1'!$I:$I,"Mi-8")+COUNTIFS('Таблиця 1'!$B:$B,$A55,'Таблиця 1'!$I:$I,"Mi-24"))</f>
        <v/>
      </c>
      <c r="C55">
        <f>IF($A55="","",COUNTIFS('Таблиця 1'!$B:$B,$A55,'Таблиця 1'!$I:$I,"Mi-8"))</f>
        <v/>
      </c>
      <c r="D55">
        <f>IF($A55="","",COUNTIFS('Таблиця 1'!$B:$B,$A55,'Таблиця 1'!$I:$I,"Mi-24"))</f>
        <v/>
      </c>
      <c r="E55">
        <f>IF($A55="","",SUMIFS('Таблиця 1'!$K:$K,'Таблиця 1'!$B:$B,$A55,'Таблиця 1'!$I:$I,"Mi-8",'Таблиця 1'!$J:$J,"ARS-8")+SUMIFS('Таблиця 1'!$K:$K,'Таблиця 1'!$B:$B,$A55,'Таблиця 1'!$I:$I,"Mi-24",'Таблиця 1'!$J:$J,"ARS-8"))</f>
        <v/>
      </c>
      <c r="F55">
        <f>IF($A55="","",SUMIFS('Таблиця 1'!$K:$K,'Таблиця 1'!$B:$B,$A55,'Таблиця 1'!$I:$I,"Mi-8",'Таблиця 1'!$J:$J,"С-8 ком")+SUMIFS('Таблиця 1'!$K:$K,'Таблиця 1'!$B:$B,$A55,'Таблиця 1'!$I:$I,"Mi-24",'Таблиця 1'!$J:$J,"С-8 ком"))</f>
        <v/>
      </c>
      <c r="G55">
        <f>IF($A55="","",SUMIFS('Таблиця 1'!$K:$K,'Таблиця 1'!$B:$B,$A55,'Таблиця 1'!$I:$I,"Mi-8",'Таблиця 1'!$J:$J,"PC-80")+SUMIFS('Таблиця 1'!$K:$K,'Таблиця 1'!$B:$B,$A55,'Таблиця 1'!$I:$I,"Mi-24",'Таблиця 1'!$J:$J,"PC-80"))</f>
        <v/>
      </c>
      <c r="H55">
        <f>IF($A55="","",SUMIFS('Таблиця 1'!$K:$K,'Таблиця 1'!$B:$B,$A55,'Таблиця 1'!$I:$I,"Mi-8",'Таблиця 1'!$J:$J,"UAR-80")+SUMIFS('Таблиця 1'!$K:$K,'Таблиця 1'!$B:$B,$A55,'Таблиця 1'!$I:$I,"Mi-24",'Таблиця 1'!$J:$J,"UAR-80"))</f>
        <v/>
      </c>
      <c r="I55">
        <f>IF($A55="","",SUMIFS('Таблиця 1'!$K:$K,'Таблиця 1'!$B:$B,$A55,'Таблиця 1'!$I:$I,"Mi-8",'Таблиця 1'!$J:$J,"C-13")+SUMIFS('Таблиця 1'!$K:$K,'Таблиця 1'!$B:$B,$A55,'Таблиця 1'!$I:$I,"Mi-24",'Таблиця 1'!$J:$J,"C-13"))</f>
        <v/>
      </c>
      <c r="J55">
        <f>IF($A55="","",SUMIFS('Таблиця 1'!$K:$K,'Таблиця 1'!$B:$B,$A55,'Таблиця 1'!$I:$I,"Mi-8",'Таблиця 1'!$J:$J,"Hydra-70")+SUMIFS('Таблиця 1'!$K:$K,'Таблиця 1'!$B:$B,$A55,'Таблиця 1'!$I:$I,"Mi-24",'Таблиця 1'!$J:$J,"Hydra-70"))</f>
        <v/>
      </c>
      <c r="K55">
        <f>IF($A55="","",SUMIFS('Таблиця 1'!$K:$K,'Таблиця 1'!$B:$B,$A55,'Таблиця 1'!$I:$I,"Mi-8",'Таблиця 1'!$J:$J,"Thales-70")+SUMIFS('Таблиця 1'!$K:$K,'Таблиця 1'!$B:$B,$A55,'Таблиця 1'!$I:$I,"Mi-24",'Таблиця 1'!$J:$J,"Thales-70"))</f>
        <v/>
      </c>
      <c r="L55">
        <f>IF($A55="","",SUMIFS('Таблиця 1'!$K:$K,'Таблиця 1'!$B:$B,$A55,'Таблиця 1'!$I:$I,"Mi-8",'Таблиця 1'!$J:$J,"Thales-FZ")+SUMIFS('Таблиця 1'!$K:$K,'Таблиця 1'!$B:$B,$A55,'Таблиця 1'!$I:$I,"Mi-24",'Таблиця 1'!$J:$J,"Thales-FZ"))</f>
        <v/>
      </c>
      <c r="M55">
        <f>IF($A55="","",SUMIFS('Таблиця 1'!$K:$K,'Таблиця 1'!$B:$B,$A55,'Таблиця 1'!$I:$I,"Mi-8",'Таблиця 1'!$J:$J,"МК-40")+SUMIFS('Таблиця 1'!$K:$K,'Таблиця 1'!$B:$B,$A55,'Таблиця 1'!$I:$I,"Mi-24",'Таблиця 1'!$J:$J,"МК-40"))</f>
        <v/>
      </c>
      <c r="N55">
        <f>IF($A55="","",SUMIFS('Таблиця 1'!$K:$K,'Таблиця 1'!$B:$B,$A55,'Таблиця 1'!$I:$I,"Mi-8",'Таблиця 1'!$J:$J,"Zuni")+SUMIFS('Таблиця 1'!$K:$K,'Таблиця 1'!$B:$B,$A55,'Таблиця 1'!$I:$I,"Mi-24",'Таблиця 1'!$J:$J,"Zuni"))</f>
        <v/>
      </c>
      <c r="O55">
        <f>IF($A55="","",COUNTIFS('Таблиця 1'!$B:$B,$A55,'Таблиця 1'!$I:$I,"Mi-8",'Таблиця 1'!$L:$L,"Уражено")+COUNTIFS('Таблиця 1'!$B:$B,$A55,'Таблиця 1'!$I:$I,"Mi-24",'Таблиця 1'!$L:$L,"Уражено"))</f>
        <v/>
      </c>
      <c r="P55">
        <f>IF($A55="","",COUNTIFS('Таблиця 1'!$B:$B,$A55,'Таблиця 1'!$I:$I,"Mi-8",'Таблиця 1'!$L:$L,"НЕ уражено")+COUNTIFS('Таблиця 1'!$B:$B,$A55,'Таблиця 1'!$I:$I,"Mi-24",'Таблиця 1'!$L:$L,"НЕ уражено"))</f>
        <v/>
      </c>
    </row>
    <row r="56">
      <c r="A56" s="273">
        <f>IF(A55="","",IF(A55+1&gt;MAX('Таблиця 1'!$B:$B),"",A55+1))</f>
        <v/>
      </c>
      <c r="B56">
        <f>IF($A56="","",COUNTIFS('Таблиця 1'!$B:$B,$A56,'Таблиця 1'!$I:$I,"Mi-8")+COUNTIFS('Таблиця 1'!$B:$B,$A56,'Таблиця 1'!$I:$I,"Mi-24"))</f>
        <v/>
      </c>
      <c r="C56">
        <f>IF($A56="","",COUNTIFS('Таблиця 1'!$B:$B,$A56,'Таблиця 1'!$I:$I,"Mi-8"))</f>
        <v/>
      </c>
      <c r="D56">
        <f>IF($A56="","",COUNTIFS('Таблиця 1'!$B:$B,$A56,'Таблиця 1'!$I:$I,"Mi-24"))</f>
        <v/>
      </c>
      <c r="E56">
        <f>IF($A56="","",SUMIFS('Таблиця 1'!$K:$K,'Таблиця 1'!$B:$B,$A56,'Таблиця 1'!$I:$I,"Mi-8",'Таблиця 1'!$J:$J,"ARS-8")+SUMIFS('Таблиця 1'!$K:$K,'Таблиця 1'!$B:$B,$A56,'Таблиця 1'!$I:$I,"Mi-24",'Таблиця 1'!$J:$J,"ARS-8"))</f>
        <v/>
      </c>
      <c r="F56">
        <f>IF($A56="","",SUMIFS('Таблиця 1'!$K:$K,'Таблиця 1'!$B:$B,$A56,'Таблиця 1'!$I:$I,"Mi-8",'Таблиця 1'!$J:$J,"С-8 ком")+SUMIFS('Таблиця 1'!$K:$K,'Таблиця 1'!$B:$B,$A56,'Таблиця 1'!$I:$I,"Mi-24",'Таблиця 1'!$J:$J,"С-8 ком"))</f>
        <v/>
      </c>
      <c r="G56">
        <f>IF($A56="","",SUMIFS('Таблиця 1'!$K:$K,'Таблиця 1'!$B:$B,$A56,'Таблиця 1'!$I:$I,"Mi-8",'Таблиця 1'!$J:$J,"PC-80")+SUMIFS('Таблиця 1'!$K:$K,'Таблиця 1'!$B:$B,$A56,'Таблиця 1'!$I:$I,"Mi-24",'Таблиця 1'!$J:$J,"PC-80"))</f>
        <v/>
      </c>
      <c r="H56">
        <f>IF($A56="","",SUMIFS('Таблиця 1'!$K:$K,'Таблиця 1'!$B:$B,$A56,'Таблиця 1'!$I:$I,"Mi-8",'Таблиця 1'!$J:$J,"UAR-80")+SUMIFS('Таблиця 1'!$K:$K,'Таблиця 1'!$B:$B,$A56,'Таблиця 1'!$I:$I,"Mi-24",'Таблиця 1'!$J:$J,"UAR-80"))</f>
        <v/>
      </c>
      <c r="I56">
        <f>IF($A56="","",SUMIFS('Таблиця 1'!$K:$K,'Таблиця 1'!$B:$B,$A56,'Таблиця 1'!$I:$I,"Mi-8",'Таблиця 1'!$J:$J,"C-13")+SUMIFS('Таблиця 1'!$K:$K,'Таблиця 1'!$B:$B,$A56,'Таблиця 1'!$I:$I,"Mi-24",'Таблиця 1'!$J:$J,"C-13"))</f>
        <v/>
      </c>
      <c r="J56">
        <f>IF($A56="","",SUMIFS('Таблиця 1'!$K:$K,'Таблиця 1'!$B:$B,$A56,'Таблиця 1'!$I:$I,"Mi-8",'Таблиця 1'!$J:$J,"Hydra-70")+SUMIFS('Таблиця 1'!$K:$K,'Таблиця 1'!$B:$B,$A56,'Таблиця 1'!$I:$I,"Mi-24",'Таблиця 1'!$J:$J,"Hydra-70"))</f>
        <v/>
      </c>
      <c r="K56">
        <f>IF($A56="","",SUMIFS('Таблиця 1'!$K:$K,'Таблиця 1'!$B:$B,$A56,'Таблиця 1'!$I:$I,"Mi-8",'Таблиця 1'!$J:$J,"Thales-70")+SUMIFS('Таблиця 1'!$K:$K,'Таблиця 1'!$B:$B,$A56,'Таблиця 1'!$I:$I,"Mi-24",'Таблиця 1'!$J:$J,"Thales-70"))</f>
        <v/>
      </c>
      <c r="L56">
        <f>IF($A56="","",SUMIFS('Таблиця 1'!$K:$K,'Таблиця 1'!$B:$B,$A56,'Таблиця 1'!$I:$I,"Mi-8",'Таблиця 1'!$J:$J,"Thales-FZ")+SUMIFS('Таблиця 1'!$K:$K,'Таблиця 1'!$B:$B,$A56,'Таблиця 1'!$I:$I,"Mi-24",'Таблиця 1'!$J:$J,"Thales-FZ"))</f>
        <v/>
      </c>
      <c r="M56">
        <f>IF($A56="","",SUMIFS('Таблиця 1'!$K:$K,'Таблиця 1'!$B:$B,$A56,'Таблиця 1'!$I:$I,"Mi-8",'Таблиця 1'!$J:$J,"МК-40")+SUMIFS('Таблиця 1'!$K:$K,'Таблиця 1'!$B:$B,$A56,'Таблиця 1'!$I:$I,"Mi-24",'Таблиця 1'!$J:$J,"МК-40"))</f>
        <v/>
      </c>
      <c r="N56">
        <f>IF($A56="","",SUMIFS('Таблиця 1'!$K:$K,'Таблиця 1'!$B:$B,$A56,'Таблиця 1'!$I:$I,"Mi-8",'Таблиця 1'!$J:$J,"Zuni")+SUMIFS('Таблиця 1'!$K:$K,'Таблиця 1'!$B:$B,$A56,'Таблиця 1'!$I:$I,"Mi-24",'Таблиця 1'!$J:$J,"Zuni"))</f>
        <v/>
      </c>
      <c r="O56">
        <f>IF($A56="","",COUNTIFS('Таблиця 1'!$B:$B,$A56,'Таблиця 1'!$I:$I,"Mi-8",'Таблиця 1'!$L:$L,"Уражено")+COUNTIFS('Таблиця 1'!$B:$B,$A56,'Таблиця 1'!$I:$I,"Mi-24",'Таблиця 1'!$L:$L,"Уражено"))</f>
        <v/>
      </c>
      <c r="P56">
        <f>IF($A56="","",COUNTIFS('Таблиця 1'!$B:$B,$A56,'Таблиця 1'!$I:$I,"Mi-8",'Таблиця 1'!$L:$L,"НЕ уражено")+COUNTIFS('Таблиця 1'!$B:$B,$A56,'Таблиця 1'!$I:$I,"Mi-24",'Таблиця 1'!$L:$L,"НЕ уражено"))</f>
        <v/>
      </c>
    </row>
    <row r="57">
      <c r="A57" s="273">
        <f>IF(A56="","",IF(A56+1&gt;MAX('Таблиця 1'!$B:$B),"",A56+1))</f>
        <v/>
      </c>
      <c r="B57">
        <f>IF($A57="","",COUNTIFS('Таблиця 1'!$B:$B,$A57,'Таблиця 1'!$I:$I,"Mi-8")+COUNTIFS('Таблиця 1'!$B:$B,$A57,'Таблиця 1'!$I:$I,"Mi-24"))</f>
        <v/>
      </c>
      <c r="C57">
        <f>IF($A57="","",COUNTIFS('Таблиця 1'!$B:$B,$A57,'Таблиця 1'!$I:$I,"Mi-8"))</f>
        <v/>
      </c>
      <c r="D57">
        <f>IF($A57="","",COUNTIFS('Таблиця 1'!$B:$B,$A57,'Таблиця 1'!$I:$I,"Mi-24"))</f>
        <v/>
      </c>
      <c r="E57">
        <f>IF($A57="","",SUMIFS('Таблиця 1'!$K:$K,'Таблиця 1'!$B:$B,$A57,'Таблиця 1'!$I:$I,"Mi-8",'Таблиця 1'!$J:$J,"ARS-8")+SUMIFS('Таблиця 1'!$K:$K,'Таблиця 1'!$B:$B,$A57,'Таблиця 1'!$I:$I,"Mi-24",'Таблиця 1'!$J:$J,"ARS-8"))</f>
        <v/>
      </c>
      <c r="F57">
        <f>IF($A57="","",SUMIFS('Таблиця 1'!$K:$K,'Таблиця 1'!$B:$B,$A57,'Таблиця 1'!$I:$I,"Mi-8",'Таблиця 1'!$J:$J,"С-8 ком")+SUMIFS('Таблиця 1'!$K:$K,'Таблиця 1'!$B:$B,$A57,'Таблиця 1'!$I:$I,"Mi-24",'Таблиця 1'!$J:$J,"С-8 ком"))</f>
        <v/>
      </c>
      <c r="G57">
        <f>IF($A57="","",SUMIFS('Таблиця 1'!$K:$K,'Таблиця 1'!$B:$B,$A57,'Таблиця 1'!$I:$I,"Mi-8",'Таблиця 1'!$J:$J,"PC-80")+SUMIFS('Таблиця 1'!$K:$K,'Таблиця 1'!$B:$B,$A57,'Таблиця 1'!$I:$I,"Mi-24",'Таблиця 1'!$J:$J,"PC-80"))</f>
        <v/>
      </c>
      <c r="H57">
        <f>IF($A57="","",SUMIFS('Таблиця 1'!$K:$K,'Таблиця 1'!$B:$B,$A57,'Таблиця 1'!$I:$I,"Mi-8",'Таблиця 1'!$J:$J,"UAR-80")+SUMIFS('Таблиця 1'!$K:$K,'Таблиця 1'!$B:$B,$A57,'Таблиця 1'!$I:$I,"Mi-24",'Таблиця 1'!$J:$J,"UAR-80"))</f>
        <v/>
      </c>
      <c r="I57">
        <f>IF($A57="","",SUMIFS('Таблиця 1'!$K:$K,'Таблиця 1'!$B:$B,$A57,'Таблиця 1'!$I:$I,"Mi-8",'Таблиця 1'!$J:$J,"C-13")+SUMIFS('Таблиця 1'!$K:$K,'Таблиця 1'!$B:$B,$A57,'Таблиця 1'!$I:$I,"Mi-24",'Таблиця 1'!$J:$J,"C-13"))</f>
        <v/>
      </c>
      <c r="J57">
        <f>IF($A57="","",SUMIFS('Таблиця 1'!$K:$K,'Таблиця 1'!$B:$B,$A57,'Таблиця 1'!$I:$I,"Mi-8",'Таблиця 1'!$J:$J,"Hydra-70")+SUMIFS('Таблиця 1'!$K:$K,'Таблиця 1'!$B:$B,$A57,'Таблиця 1'!$I:$I,"Mi-24",'Таблиця 1'!$J:$J,"Hydra-70"))</f>
        <v/>
      </c>
      <c r="K57">
        <f>IF($A57="","",SUMIFS('Таблиця 1'!$K:$K,'Таблиця 1'!$B:$B,$A57,'Таблиця 1'!$I:$I,"Mi-8",'Таблиця 1'!$J:$J,"Thales-70")+SUMIFS('Таблиця 1'!$K:$K,'Таблиця 1'!$B:$B,$A57,'Таблиця 1'!$I:$I,"Mi-24",'Таблиця 1'!$J:$J,"Thales-70"))</f>
        <v/>
      </c>
      <c r="L57">
        <f>IF($A57="","",SUMIFS('Таблиця 1'!$K:$K,'Таблиця 1'!$B:$B,$A57,'Таблиця 1'!$I:$I,"Mi-8",'Таблиця 1'!$J:$J,"Thales-FZ")+SUMIFS('Таблиця 1'!$K:$K,'Таблиця 1'!$B:$B,$A57,'Таблиця 1'!$I:$I,"Mi-24",'Таблиця 1'!$J:$J,"Thales-FZ"))</f>
        <v/>
      </c>
      <c r="M57">
        <f>IF($A57="","",SUMIFS('Таблиця 1'!$K:$K,'Таблиця 1'!$B:$B,$A57,'Таблиця 1'!$I:$I,"Mi-8",'Таблиця 1'!$J:$J,"МК-40")+SUMIFS('Таблиця 1'!$K:$K,'Таблиця 1'!$B:$B,$A57,'Таблиця 1'!$I:$I,"Mi-24",'Таблиця 1'!$J:$J,"МК-40"))</f>
        <v/>
      </c>
      <c r="N57">
        <f>IF($A57="","",SUMIFS('Таблиця 1'!$K:$K,'Таблиця 1'!$B:$B,$A57,'Таблиця 1'!$I:$I,"Mi-8",'Таблиця 1'!$J:$J,"Zuni")+SUMIFS('Таблиця 1'!$K:$K,'Таблиця 1'!$B:$B,$A57,'Таблиця 1'!$I:$I,"Mi-24",'Таблиця 1'!$J:$J,"Zuni"))</f>
        <v/>
      </c>
      <c r="O57">
        <f>IF($A57="","",COUNTIFS('Таблиця 1'!$B:$B,$A57,'Таблиця 1'!$I:$I,"Mi-8",'Таблиця 1'!$L:$L,"Уражено")+COUNTIFS('Таблиця 1'!$B:$B,$A57,'Таблиця 1'!$I:$I,"Mi-24",'Таблиця 1'!$L:$L,"Уражено"))</f>
        <v/>
      </c>
      <c r="P57">
        <f>IF($A57="","",COUNTIFS('Таблиця 1'!$B:$B,$A57,'Таблиця 1'!$I:$I,"Mi-8",'Таблиця 1'!$L:$L,"НЕ уражено")+COUNTIFS('Таблиця 1'!$B:$B,$A57,'Таблиця 1'!$I:$I,"Mi-24",'Таблиця 1'!$L:$L,"НЕ уражено"))</f>
        <v/>
      </c>
    </row>
    <row r="58">
      <c r="A58" s="273">
        <f>IF(A57="","",IF(A57+1&gt;MAX('Таблиця 1'!$B:$B),"",A57+1))</f>
        <v/>
      </c>
      <c r="B58">
        <f>IF($A58="","",COUNTIFS('Таблиця 1'!$B:$B,$A58,'Таблиця 1'!$I:$I,"Mi-8")+COUNTIFS('Таблиця 1'!$B:$B,$A58,'Таблиця 1'!$I:$I,"Mi-24"))</f>
        <v/>
      </c>
      <c r="C58">
        <f>IF($A58="","",COUNTIFS('Таблиця 1'!$B:$B,$A58,'Таблиця 1'!$I:$I,"Mi-8"))</f>
        <v/>
      </c>
      <c r="D58">
        <f>IF($A58="","",COUNTIFS('Таблиця 1'!$B:$B,$A58,'Таблиця 1'!$I:$I,"Mi-24"))</f>
        <v/>
      </c>
      <c r="E58">
        <f>IF($A58="","",SUMIFS('Таблиця 1'!$K:$K,'Таблиця 1'!$B:$B,$A58,'Таблиця 1'!$I:$I,"Mi-8",'Таблиця 1'!$J:$J,"ARS-8")+SUMIFS('Таблиця 1'!$K:$K,'Таблиця 1'!$B:$B,$A58,'Таблиця 1'!$I:$I,"Mi-24",'Таблиця 1'!$J:$J,"ARS-8"))</f>
        <v/>
      </c>
      <c r="F58">
        <f>IF($A58="","",SUMIFS('Таблиця 1'!$K:$K,'Таблиця 1'!$B:$B,$A58,'Таблиця 1'!$I:$I,"Mi-8",'Таблиця 1'!$J:$J,"С-8 ком")+SUMIFS('Таблиця 1'!$K:$K,'Таблиця 1'!$B:$B,$A58,'Таблиця 1'!$I:$I,"Mi-24",'Таблиця 1'!$J:$J,"С-8 ком"))</f>
        <v/>
      </c>
      <c r="G58">
        <f>IF($A58="","",SUMIFS('Таблиця 1'!$K:$K,'Таблиця 1'!$B:$B,$A58,'Таблиця 1'!$I:$I,"Mi-8",'Таблиця 1'!$J:$J,"PC-80")+SUMIFS('Таблиця 1'!$K:$K,'Таблиця 1'!$B:$B,$A58,'Таблиця 1'!$I:$I,"Mi-24",'Таблиця 1'!$J:$J,"PC-80"))</f>
        <v/>
      </c>
      <c r="H58">
        <f>IF($A58="","",SUMIFS('Таблиця 1'!$K:$K,'Таблиця 1'!$B:$B,$A58,'Таблиця 1'!$I:$I,"Mi-8",'Таблиця 1'!$J:$J,"UAR-80")+SUMIFS('Таблиця 1'!$K:$K,'Таблиця 1'!$B:$B,$A58,'Таблиця 1'!$I:$I,"Mi-24",'Таблиця 1'!$J:$J,"UAR-80"))</f>
        <v/>
      </c>
      <c r="I58">
        <f>IF($A58="","",SUMIFS('Таблиця 1'!$K:$K,'Таблиця 1'!$B:$B,$A58,'Таблиця 1'!$I:$I,"Mi-8",'Таблиця 1'!$J:$J,"C-13")+SUMIFS('Таблиця 1'!$K:$K,'Таблиця 1'!$B:$B,$A58,'Таблиця 1'!$I:$I,"Mi-24",'Таблиця 1'!$J:$J,"C-13"))</f>
        <v/>
      </c>
      <c r="J58">
        <f>IF($A58="","",SUMIFS('Таблиця 1'!$K:$K,'Таблиця 1'!$B:$B,$A58,'Таблиця 1'!$I:$I,"Mi-8",'Таблиця 1'!$J:$J,"Hydra-70")+SUMIFS('Таблиця 1'!$K:$K,'Таблиця 1'!$B:$B,$A58,'Таблиця 1'!$I:$I,"Mi-24",'Таблиця 1'!$J:$J,"Hydra-70"))</f>
        <v/>
      </c>
      <c r="K58">
        <f>IF($A58="","",SUMIFS('Таблиця 1'!$K:$K,'Таблиця 1'!$B:$B,$A58,'Таблиця 1'!$I:$I,"Mi-8",'Таблиця 1'!$J:$J,"Thales-70")+SUMIFS('Таблиця 1'!$K:$K,'Таблиця 1'!$B:$B,$A58,'Таблиця 1'!$I:$I,"Mi-24",'Таблиця 1'!$J:$J,"Thales-70"))</f>
        <v/>
      </c>
      <c r="L58">
        <f>IF($A58="","",SUMIFS('Таблиця 1'!$K:$K,'Таблиця 1'!$B:$B,$A58,'Таблиця 1'!$I:$I,"Mi-8",'Таблиця 1'!$J:$J,"Thales-FZ")+SUMIFS('Таблиця 1'!$K:$K,'Таблиця 1'!$B:$B,$A58,'Таблиця 1'!$I:$I,"Mi-24",'Таблиця 1'!$J:$J,"Thales-FZ"))</f>
        <v/>
      </c>
      <c r="M58">
        <f>IF($A58="","",SUMIFS('Таблиця 1'!$K:$K,'Таблиця 1'!$B:$B,$A58,'Таблиця 1'!$I:$I,"Mi-8",'Таблиця 1'!$J:$J,"МК-40")+SUMIFS('Таблиця 1'!$K:$K,'Таблиця 1'!$B:$B,$A58,'Таблиця 1'!$I:$I,"Mi-24",'Таблиця 1'!$J:$J,"МК-40"))</f>
        <v/>
      </c>
      <c r="N58">
        <f>IF($A58="","",SUMIFS('Таблиця 1'!$K:$K,'Таблиця 1'!$B:$B,$A58,'Таблиця 1'!$I:$I,"Mi-8",'Таблиця 1'!$J:$J,"Zuni")+SUMIFS('Таблиця 1'!$K:$K,'Таблиця 1'!$B:$B,$A58,'Таблиця 1'!$I:$I,"Mi-24",'Таблиця 1'!$J:$J,"Zuni"))</f>
        <v/>
      </c>
      <c r="O58">
        <f>IF($A58="","",COUNTIFS('Таблиця 1'!$B:$B,$A58,'Таблиця 1'!$I:$I,"Mi-8",'Таблиця 1'!$L:$L,"Уражено")+COUNTIFS('Таблиця 1'!$B:$B,$A58,'Таблиця 1'!$I:$I,"Mi-24",'Таблиця 1'!$L:$L,"Уражено"))</f>
        <v/>
      </c>
      <c r="P58">
        <f>IF($A58="","",COUNTIFS('Таблиця 1'!$B:$B,$A58,'Таблиця 1'!$I:$I,"Mi-8",'Таблиця 1'!$L:$L,"НЕ уражено")+COUNTIFS('Таблиця 1'!$B:$B,$A58,'Таблиця 1'!$I:$I,"Mi-24",'Таблиця 1'!$L:$L,"НЕ уражено"))</f>
        <v/>
      </c>
    </row>
    <row r="59">
      <c r="A59" s="273">
        <f>IF(A58="","",IF(A58+1&gt;MAX('Таблиця 1'!$B:$B),"",A58+1))</f>
        <v/>
      </c>
      <c r="B59">
        <f>IF($A59="","",COUNTIFS('Таблиця 1'!$B:$B,$A59,'Таблиця 1'!$I:$I,"Mi-8")+COUNTIFS('Таблиця 1'!$B:$B,$A59,'Таблиця 1'!$I:$I,"Mi-24"))</f>
        <v/>
      </c>
      <c r="C59">
        <f>IF($A59="","",COUNTIFS('Таблиця 1'!$B:$B,$A59,'Таблиця 1'!$I:$I,"Mi-8"))</f>
        <v/>
      </c>
      <c r="D59">
        <f>IF($A59="","",COUNTIFS('Таблиця 1'!$B:$B,$A59,'Таблиця 1'!$I:$I,"Mi-24"))</f>
        <v/>
      </c>
      <c r="E59">
        <f>IF($A59="","",SUMIFS('Таблиця 1'!$K:$K,'Таблиця 1'!$B:$B,$A59,'Таблиця 1'!$I:$I,"Mi-8",'Таблиця 1'!$J:$J,"ARS-8")+SUMIFS('Таблиця 1'!$K:$K,'Таблиця 1'!$B:$B,$A59,'Таблиця 1'!$I:$I,"Mi-24",'Таблиця 1'!$J:$J,"ARS-8"))</f>
        <v/>
      </c>
      <c r="F59">
        <f>IF($A59="","",SUMIFS('Таблиця 1'!$K:$K,'Таблиця 1'!$B:$B,$A59,'Таблиця 1'!$I:$I,"Mi-8",'Таблиця 1'!$J:$J,"С-8 ком")+SUMIFS('Таблиця 1'!$K:$K,'Таблиця 1'!$B:$B,$A59,'Таблиця 1'!$I:$I,"Mi-24",'Таблиця 1'!$J:$J,"С-8 ком"))</f>
        <v/>
      </c>
      <c r="G59">
        <f>IF($A59="","",SUMIFS('Таблиця 1'!$K:$K,'Таблиця 1'!$B:$B,$A59,'Таблиця 1'!$I:$I,"Mi-8",'Таблиця 1'!$J:$J,"PC-80")+SUMIFS('Таблиця 1'!$K:$K,'Таблиця 1'!$B:$B,$A59,'Таблиця 1'!$I:$I,"Mi-24",'Таблиця 1'!$J:$J,"PC-80"))</f>
        <v/>
      </c>
      <c r="H59">
        <f>IF($A59="","",SUMIFS('Таблиця 1'!$K:$K,'Таблиця 1'!$B:$B,$A59,'Таблиця 1'!$I:$I,"Mi-8",'Таблиця 1'!$J:$J,"UAR-80")+SUMIFS('Таблиця 1'!$K:$K,'Таблиця 1'!$B:$B,$A59,'Таблиця 1'!$I:$I,"Mi-24",'Таблиця 1'!$J:$J,"UAR-80"))</f>
        <v/>
      </c>
      <c r="I59">
        <f>IF($A59="","",SUMIFS('Таблиця 1'!$K:$K,'Таблиця 1'!$B:$B,$A59,'Таблиця 1'!$I:$I,"Mi-8",'Таблиця 1'!$J:$J,"C-13")+SUMIFS('Таблиця 1'!$K:$K,'Таблиця 1'!$B:$B,$A59,'Таблиця 1'!$I:$I,"Mi-24",'Таблиця 1'!$J:$J,"C-13"))</f>
        <v/>
      </c>
      <c r="J59">
        <f>IF($A59="","",SUMIFS('Таблиця 1'!$K:$K,'Таблиця 1'!$B:$B,$A59,'Таблиця 1'!$I:$I,"Mi-8",'Таблиця 1'!$J:$J,"Hydra-70")+SUMIFS('Таблиця 1'!$K:$K,'Таблиця 1'!$B:$B,$A59,'Таблиця 1'!$I:$I,"Mi-24",'Таблиця 1'!$J:$J,"Hydra-70"))</f>
        <v/>
      </c>
      <c r="K59">
        <f>IF($A59="","",SUMIFS('Таблиця 1'!$K:$K,'Таблиця 1'!$B:$B,$A59,'Таблиця 1'!$I:$I,"Mi-8",'Таблиця 1'!$J:$J,"Thales-70")+SUMIFS('Таблиця 1'!$K:$K,'Таблиця 1'!$B:$B,$A59,'Таблиця 1'!$I:$I,"Mi-24",'Таблиця 1'!$J:$J,"Thales-70"))</f>
        <v/>
      </c>
      <c r="L59">
        <f>IF($A59="","",SUMIFS('Таблиця 1'!$K:$K,'Таблиця 1'!$B:$B,$A59,'Таблиця 1'!$I:$I,"Mi-8",'Таблиця 1'!$J:$J,"Thales-FZ")+SUMIFS('Таблиця 1'!$K:$K,'Таблиця 1'!$B:$B,$A59,'Таблиця 1'!$I:$I,"Mi-24",'Таблиця 1'!$J:$J,"Thales-FZ"))</f>
        <v/>
      </c>
      <c r="M59">
        <f>IF($A59="","",SUMIFS('Таблиця 1'!$K:$K,'Таблиця 1'!$B:$B,$A59,'Таблиця 1'!$I:$I,"Mi-8",'Таблиця 1'!$J:$J,"МК-40")+SUMIFS('Таблиця 1'!$K:$K,'Таблиця 1'!$B:$B,$A59,'Таблиця 1'!$I:$I,"Mi-24",'Таблиця 1'!$J:$J,"МК-40"))</f>
        <v/>
      </c>
      <c r="N59">
        <f>IF($A59="","",SUMIFS('Таблиця 1'!$K:$K,'Таблиця 1'!$B:$B,$A59,'Таблиця 1'!$I:$I,"Mi-8",'Таблиця 1'!$J:$J,"Zuni")+SUMIFS('Таблиця 1'!$K:$K,'Таблиця 1'!$B:$B,$A59,'Таблиця 1'!$I:$I,"Mi-24",'Таблиця 1'!$J:$J,"Zuni"))</f>
        <v/>
      </c>
      <c r="O59">
        <f>IF($A59="","",COUNTIFS('Таблиця 1'!$B:$B,$A59,'Таблиця 1'!$I:$I,"Mi-8",'Таблиця 1'!$L:$L,"Уражено")+COUNTIFS('Таблиця 1'!$B:$B,$A59,'Таблиця 1'!$I:$I,"Mi-24",'Таблиця 1'!$L:$L,"Уражено"))</f>
        <v/>
      </c>
      <c r="P59">
        <f>IF($A59="","",COUNTIFS('Таблиця 1'!$B:$B,$A59,'Таблиця 1'!$I:$I,"Mi-8",'Таблиця 1'!$L:$L,"НЕ уражено")+COUNTIFS('Таблиця 1'!$B:$B,$A59,'Таблиця 1'!$I:$I,"Mi-24",'Таблиця 1'!$L:$L,"НЕ уражено"))</f>
        <v/>
      </c>
    </row>
    <row r="60">
      <c r="A60" s="273">
        <f>IF(A59="","",IF(A59+1&gt;MAX('Таблиця 1'!$B:$B),"",A59+1))</f>
        <v/>
      </c>
      <c r="B60">
        <f>IF($A60="","",COUNTIFS('Таблиця 1'!$B:$B,$A60,'Таблиця 1'!$I:$I,"Mi-8")+COUNTIFS('Таблиця 1'!$B:$B,$A60,'Таблиця 1'!$I:$I,"Mi-24"))</f>
        <v/>
      </c>
      <c r="C60">
        <f>IF($A60="","",COUNTIFS('Таблиця 1'!$B:$B,$A60,'Таблиця 1'!$I:$I,"Mi-8"))</f>
        <v/>
      </c>
      <c r="D60">
        <f>IF($A60="","",COUNTIFS('Таблиця 1'!$B:$B,$A60,'Таблиця 1'!$I:$I,"Mi-24"))</f>
        <v/>
      </c>
      <c r="E60">
        <f>IF($A60="","",SUMIFS('Таблиця 1'!$K:$K,'Таблиця 1'!$B:$B,$A60,'Таблиця 1'!$I:$I,"Mi-8",'Таблиця 1'!$J:$J,"ARS-8")+SUMIFS('Таблиця 1'!$K:$K,'Таблиця 1'!$B:$B,$A60,'Таблиця 1'!$I:$I,"Mi-24",'Таблиця 1'!$J:$J,"ARS-8"))</f>
        <v/>
      </c>
      <c r="F60">
        <f>IF($A60="","",SUMIFS('Таблиця 1'!$K:$K,'Таблиця 1'!$B:$B,$A60,'Таблиця 1'!$I:$I,"Mi-8",'Таблиця 1'!$J:$J,"С-8 ком")+SUMIFS('Таблиця 1'!$K:$K,'Таблиця 1'!$B:$B,$A60,'Таблиця 1'!$I:$I,"Mi-24",'Таблиця 1'!$J:$J,"С-8 ком"))</f>
        <v/>
      </c>
      <c r="G60">
        <f>IF($A60="","",SUMIFS('Таблиця 1'!$K:$K,'Таблиця 1'!$B:$B,$A60,'Таблиця 1'!$I:$I,"Mi-8",'Таблиця 1'!$J:$J,"PC-80")+SUMIFS('Таблиця 1'!$K:$K,'Таблиця 1'!$B:$B,$A60,'Таблиця 1'!$I:$I,"Mi-24",'Таблиця 1'!$J:$J,"PC-80"))</f>
        <v/>
      </c>
      <c r="H60">
        <f>IF($A60="","",SUMIFS('Таблиця 1'!$K:$K,'Таблиця 1'!$B:$B,$A60,'Таблиця 1'!$I:$I,"Mi-8",'Таблиця 1'!$J:$J,"UAR-80")+SUMIFS('Таблиця 1'!$K:$K,'Таблиця 1'!$B:$B,$A60,'Таблиця 1'!$I:$I,"Mi-24",'Таблиця 1'!$J:$J,"UAR-80"))</f>
        <v/>
      </c>
      <c r="I60">
        <f>IF($A60="","",SUMIFS('Таблиця 1'!$K:$K,'Таблиця 1'!$B:$B,$A60,'Таблиця 1'!$I:$I,"Mi-8",'Таблиця 1'!$J:$J,"C-13")+SUMIFS('Таблиця 1'!$K:$K,'Таблиця 1'!$B:$B,$A60,'Таблиця 1'!$I:$I,"Mi-24",'Таблиця 1'!$J:$J,"C-13"))</f>
        <v/>
      </c>
      <c r="J60">
        <f>IF($A60="","",SUMIFS('Таблиця 1'!$K:$K,'Таблиця 1'!$B:$B,$A60,'Таблиця 1'!$I:$I,"Mi-8",'Таблиця 1'!$J:$J,"Hydra-70")+SUMIFS('Таблиця 1'!$K:$K,'Таблиця 1'!$B:$B,$A60,'Таблиця 1'!$I:$I,"Mi-24",'Таблиця 1'!$J:$J,"Hydra-70"))</f>
        <v/>
      </c>
      <c r="K60">
        <f>IF($A60="","",SUMIFS('Таблиця 1'!$K:$K,'Таблиця 1'!$B:$B,$A60,'Таблиця 1'!$I:$I,"Mi-8",'Таблиця 1'!$J:$J,"Thales-70")+SUMIFS('Таблиця 1'!$K:$K,'Таблиця 1'!$B:$B,$A60,'Таблиця 1'!$I:$I,"Mi-24",'Таблиця 1'!$J:$J,"Thales-70"))</f>
        <v/>
      </c>
      <c r="L60">
        <f>IF($A60="","",SUMIFS('Таблиця 1'!$K:$K,'Таблиця 1'!$B:$B,$A60,'Таблиця 1'!$I:$I,"Mi-8",'Таблиця 1'!$J:$J,"Thales-FZ")+SUMIFS('Таблиця 1'!$K:$K,'Таблиця 1'!$B:$B,$A60,'Таблиця 1'!$I:$I,"Mi-24",'Таблиця 1'!$J:$J,"Thales-FZ"))</f>
        <v/>
      </c>
      <c r="M60">
        <f>IF($A60="","",SUMIFS('Таблиця 1'!$K:$K,'Таблиця 1'!$B:$B,$A60,'Таблиця 1'!$I:$I,"Mi-8",'Таблиця 1'!$J:$J,"МК-40")+SUMIFS('Таблиця 1'!$K:$K,'Таблиця 1'!$B:$B,$A60,'Таблиця 1'!$I:$I,"Mi-24",'Таблиця 1'!$J:$J,"МК-40"))</f>
        <v/>
      </c>
      <c r="N60">
        <f>IF($A60="","",SUMIFS('Таблиця 1'!$K:$K,'Таблиця 1'!$B:$B,$A60,'Таблиця 1'!$I:$I,"Mi-8",'Таблиця 1'!$J:$J,"Zuni")+SUMIFS('Таблиця 1'!$K:$K,'Таблиця 1'!$B:$B,$A60,'Таблиця 1'!$I:$I,"Mi-24",'Таблиця 1'!$J:$J,"Zuni"))</f>
        <v/>
      </c>
      <c r="O60">
        <f>IF($A60="","",COUNTIFS('Таблиця 1'!$B:$B,$A60,'Таблиця 1'!$I:$I,"Mi-8",'Таблиця 1'!$L:$L,"Уражено")+COUNTIFS('Таблиця 1'!$B:$B,$A60,'Таблиця 1'!$I:$I,"Mi-24",'Таблиця 1'!$L:$L,"Уражено"))</f>
        <v/>
      </c>
      <c r="P60">
        <f>IF($A60="","",COUNTIFS('Таблиця 1'!$B:$B,$A60,'Таблиця 1'!$I:$I,"Mi-8",'Таблиця 1'!$L:$L,"НЕ уражено")+COUNTIFS('Таблиця 1'!$B:$B,$A60,'Таблиця 1'!$I:$I,"Mi-24",'Таблиця 1'!$L:$L,"НЕ уражено"))</f>
        <v/>
      </c>
    </row>
    <row r="61">
      <c r="A61" s="273">
        <f>IF(A60="","",IF(A60+1&gt;MAX('Таблиця 1'!$B:$B),"",A60+1))</f>
        <v/>
      </c>
      <c r="B61">
        <f>IF($A61="","",COUNTIFS('Таблиця 1'!$B:$B,$A61,'Таблиця 1'!$I:$I,"Mi-8")+COUNTIFS('Таблиця 1'!$B:$B,$A61,'Таблиця 1'!$I:$I,"Mi-24"))</f>
        <v/>
      </c>
      <c r="C61">
        <f>IF($A61="","",COUNTIFS('Таблиця 1'!$B:$B,$A61,'Таблиця 1'!$I:$I,"Mi-8"))</f>
        <v/>
      </c>
      <c r="D61">
        <f>IF($A61="","",COUNTIFS('Таблиця 1'!$B:$B,$A61,'Таблиця 1'!$I:$I,"Mi-24"))</f>
        <v/>
      </c>
      <c r="E61">
        <f>IF($A61="","",SUMIFS('Таблиця 1'!$K:$K,'Таблиця 1'!$B:$B,$A61,'Таблиця 1'!$I:$I,"Mi-8",'Таблиця 1'!$J:$J,"ARS-8")+SUMIFS('Таблиця 1'!$K:$K,'Таблиця 1'!$B:$B,$A61,'Таблиця 1'!$I:$I,"Mi-24",'Таблиця 1'!$J:$J,"ARS-8"))</f>
        <v/>
      </c>
      <c r="F61">
        <f>IF($A61="","",SUMIFS('Таблиця 1'!$K:$K,'Таблиця 1'!$B:$B,$A61,'Таблиця 1'!$I:$I,"Mi-8",'Таблиця 1'!$J:$J,"С-8 ком")+SUMIFS('Таблиця 1'!$K:$K,'Таблиця 1'!$B:$B,$A61,'Таблиця 1'!$I:$I,"Mi-24",'Таблиця 1'!$J:$J,"С-8 ком"))</f>
        <v/>
      </c>
      <c r="G61">
        <f>IF($A61="","",SUMIFS('Таблиця 1'!$K:$K,'Таблиця 1'!$B:$B,$A61,'Таблиця 1'!$I:$I,"Mi-8",'Таблиця 1'!$J:$J,"PC-80")+SUMIFS('Таблиця 1'!$K:$K,'Таблиця 1'!$B:$B,$A61,'Таблиця 1'!$I:$I,"Mi-24",'Таблиця 1'!$J:$J,"PC-80"))</f>
        <v/>
      </c>
      <c r="H61">
        <f>IF($A61="","",SUMIFS('Таблиця 1'!$K:$K,'Таблиця 1'!$B:$B,$A61,'Таблиця 1'!$I:$I,"Mi-8",'Таблиця 1'!$J:$J,"UAR-80")+SUMIFS('Таблиця 1'!$K:$K,'Таблиця 1'!$B:$B,$A61,'Таблиця 1'!$I:$I,"Mi-24",'Таблиця 1'!$J:$J,"UAR-80"))</f>
        <v/>
      </c>
      <c r="I61">
        <f>IF($A61="","",SUMIFS('Таблиця 1'!$K:$K,'Таблиця 1'!$B:$B,$A61,'Таблиця 1'!$I:$I,"Mi-8",'Таблиця 1'!$J:$J,"C-13")+SUMIFS('Таблиця 1'!$K:$K,'Таблиця 1'!$B:$B,$A61,'Таблиця 1'!$I:$I,"Mi-24",'Таблиця 1'!$J:$J,"C-13"))</f>
        <v/>
      </c>
      <c r="J61">
        <f>IF($A61="","",SUMIFS('Таблиця 1'!$K:$K,'Таблиця 1'!$B:$B,$A61,'Таблиця 1'!$I:$I,"Mi-8",'Таблиця 1'!$J:$J,"Hydra-70")+SUMIFS('Таблиця 1'!$K:$K,'Таблиця 1'!$B:$B,$A61,'Таблиця 1'!$I:$I,"Mi-24",'Таблиця 1'!$J:$J,"Hydra-70"))</f>
        <v/>
      </c>
      <c r="K61">
        <f>IF($A61="","",SUMIFS('Таблиця 1'!$K:$K,'Таблиця 1'!$B:$B,$A61,'Таблиця 1'!$I:$I,"Mi-8",'Таблиця 1'!$J:$J,"Thales-70")+SUMIFS('Таблиця 1'!$K:$K,'Таблиця 1'!$B:$B,$A61,'Таблиця 1'!$I:$I,"Mi-24",'Таблиця 1'!$J:$J,"Thales-70"))</f>
        <v/>
      </c>
      <c r="L61">
        <f>IF($A61="","",SUMIFS('Таблиця 1'!$K:$K,'Таблиця 1'!$B:$B,$A61,'Таблиця 1'!$I:$I,"Mi-8",'Таблиця 1'!$J:$J,"Thales-FZ")+SUMIFS('Таблиця 1'!$K:$K,'Таблиця 1'!$B:$B,$A61,'Таблиця 1'!$I:$I,"Mi-24",'Таблиця 1'!$J:$J,"Thales-FZ"))</f>
        <v/>
      </c>
      <c r="M61">
        <f>IF($A61="","",SUMIFS('Таблиця 1'!$K:$K,'Таблиця 1'!$B:$B,$A61,'Таблиця 1'!$I:$I,"Mi-8",'Таблиця 1'!$J:$J,"МК-40")+SUMIFS('Таблиця 1'!$K:$K,'Таблиця 1'!$B:$B,$A61,'Таблиця 1'!$I:$I,"Mi-24",'Таблиця 1'!$J:$J,"МК-40"))</f>
        <v/>
      </c>
      <c r="N61">
        <f>IF($A61="","",SUMIFS('Таблиця 1'!$K:$K,'Таблиця 1'!$B:$B,$A61,'Таблиця 1'!$I:$I,"Mi-8",'Таблиця 1'!$J:$J,"Zuni")+SUMIFS('Таблиця 1'!$K:$K,'Таблиця 1'!$B:$B,$A61,'Таблиця 1'!$I:$I,"Mi-24",'Таблиця 1'!$J:$J,"Zuni"))</f>
        <v/>
      </c>
      <c r="O61">
        <f>IF($A61="","",COUNTIFS('Таблиця 1'!$B:$B,$A61,'Таблиця 1'!$I:$I,"Mi-8",'Таблиця 1'!$L:$L,"Уражено")+COUNTIFS('Таблиця 1'!$B:$B,$A61,'Таблиця 1'!$I:$I,"Mi-24",'Таблиця 1'!$L:$L,"Уражено"))</f>
        <v/>
      </c>
      <c r="P61">
        <f>IF($A61="","",COUNTIFS('Таблиця 1'!$B:$B,$A61,'Таблиця 1'!$I:$I,"Mi-8",'Таблиця 1'!$L:$L,"НЕ уражено")+COUNTIFS('Таблиця 1'!$B:$B,$A61,'Таблиця 1'!$I:$I,"Mi-24",'Таблиця 1'!$L:$L,"НЕ уражено"))</f>
        <v/>
      </c>
    </row>
    <row r="62">
      <c r="A62" s="273">
        <f>IF(A61="","",IF(A61+1&gt;MAX('Таблиця 1'!$B:$B),"",A61+1))</f>
        <v/>
      </c>
      <c r="B62">
        <f>IF($A62="","",COUNTIFS('Таблиця 1'!$B:$B,$A62,'Таблиця 1'!$I:$I,"Mi-8")+COUNTIFS('Таблиця 1'!$B:$B,$A62,'Таблиця 1'!$I:$I,"Mi-24"))</f>
        <v/>
      </c>
      <c r="C62">
        <f>IF($A62="","",COUNTIFS('Таблиця 1'!$B:$B,$A62,'Таблиця 1'!$I:$I,"Mi-8"))</f>
        <v/>
      </c>
      <c r="D62">
        <f>IF($A62="","",COUNTIFS('Таблиця 1'!$B:$B,$A62,'Таблиця 1'!$I:$I,"Mi-24"))</f>
        <v/>
      </c>
      <c r="E62">
        <f>IF($A62="","",SUMIFS('Таблиця 1'!$K:$K,'Таблиця 1'!$B:$B,$A62,'Таблиця 1'!$I:$I,"Mi-8",'Таблиця 1'!$J:$J,"ARS-8")+SUMIFS('Таблиця 1'!$K:$K,'Таблиця 1'!$B:$B,$A62,'Таблиця 1'!$I:$I,"Mi-24",'Таблиця 1'!$J:$J,"ARS-8"))</f>
        <v/>
      </c>
      <c r="F62">
        <f>IF($A62="","",SUMIFS('Таблиця 1'!$K:$K,'Таблиця 1'!$B:$B,$A62,'Таблиця 1'!$I:$I,"Mi-8",'Таблиця 1'!$J:$J,"С-8 ком")+SUMIFS('Таблиця 1'!$K:$K,'Таблиця 1'!$B:$B,$A62,'Таблиця 1'!$I:$I,"Mi-24",'Таблиця 1'!$J:$J,"С-8 ком"))</f>
        <v/>
      </c>
      <c r="G62">
        <f>IF($A62="","",SUMIFS('Таблиця 1'!$K:$K,'Таблиця 1'!$B:$B,$A62,'Таблиця 1'!$I:$I,"Mi-8",'Таблиця 1'!$J:$J,"PC-80")+SUMIFS('Таблиця 1'!$K:$K,'Таблиця 1'!$B:$B,$A62,'Таблиця 1'!$I:$I,"Mi-24",'Таблиця 1'!$J:$J,"PC-80"))</f>
        <v/>
      </c>
      <c r="H62">
        <f>IF($A62="","",SUMIFS('Таблиця 1'!$K:$K,'Таблиця 1'!$B:$B,$A62,'Таблиця 1'!$I:$I,"Mi-8",'Таблиця 1'!$J:$J,"UAR-80")+SUMIFS('Таблиця 1'!$K:$K,'Таблиця 1'!$B:$B,$A62,'Таблиця 1'!$I:$I,"Mi-24",'Таблиця 1'!$J:$J,"UAR-80"))</f>
        <v/>
      </c>
      <c r="I62">
        <f>IF($A62="","",SUMIFS('Таблиця 1'!$K:$K,'Таблиця 1'!$B:$B,$A62,'Таблиця 1'!$I:$I,"Mi-8",'Таблиця 1'!$J:$J,"C-13")+SUMIFS('Таблиця 1'!$K:$K,'Таблиця 1'!$B:$B,$A62,'Таблиця 1'!$I:$I,"Mi-24",'Таблиця 1'!$J:$J,"C-13"))</f>
        <v/>
      </c>
      <c r="J62">
        <f>IF($A62="","",SUMIFS('Таблиця 1'!$K:$K,'Таблиця 1'!$B:$B,$A62,'Таблиця 1'!$I:$I,"Mi-8",'Таблиця 1'!$J:$J,"Hydra-70")+SUMIFS('Таблиця 1'!$K:$K,'Таблиця 1'!$B:$B,$A62,'Таблиця 1'!$I:$I,"Mi-24",'Таблиця 1'!$J:$J,"Hydra-70"))</f>
        <v/>
      </c>
      <c r="K62">
        <f>IF($A62="","",SUMIFS('Таблиця 1'!$K:$K,'Таблиця 1'!$B:$B,$A62,'Таблиця 1'!$I:$I,"Mi-8",'Таблиця 1'!$J:$J,"Thales-70")+SUMIFS('Таблиця 1'!$K:$K,'Таблиця 1'!$B:$B,$A62,'Таблиця 1'!$I:$I,"Mi-24",'Таблиця 1'!$J:$J,"Thales-70"))</f>
        <v/>
      </c>
      <c r="L62">
        <f>IF($A62="","",SUMIFS('Таблиця 1'!$K:$K,'Таблиця 1'!$B:$B,$A62,'Таблиця 1'!$I:$I,"Mi-8",'Таблиця 1'!$J:$J,"Thales-FZ")+SUMIFS('Таблиця 1'!$K:$K,'Таблиця 1'!$B:$B,$A62,'Таблиця 1'!$I:$I,"Mi-24",'Таблиця 1'!$J:$J,"Thales-FZ"))</f>
        <v/>
      </c>
      <c r="M62">
        <f>IF($A62="","",SUMIFS('Таблиця 1'!$K:$K,'Таблиця 1'!$B:$B,$A62,'Таблиця 1'!$I:$I,"Mi-8",'Таблиця 1'!$J:$J,"МК-40")+SUMIFS('Таблиця 1'!$K:$K,'Таблиця 1'!$B:$B,$A62,'Таблиця 1'!$I:$I,"Mi-24",'Таблиця 1'!$J:$J,"МК-40"))</f>
        <v/>
      </c>
      <c r="N62">
        <f>IF($A62="","",SUMIFS('Таблиця 1'!$K:$K,'Таблиця 1'!$B:$B,$A62,'Таблиця 1'!$I:$I,"Mi-8",'Таблиця 1'!$J:$J,"Zuni")+SUMIFS('Таблиця 1'!$K:$K,'Таблиця 1'!$B:$B,$A62,'Таблиця 1'!$I:$I,"Mi-24",'Таблиця 1'!$J:$J,"Zuni"))</f>
        <v/>
      </c>
      <c r="O62">
        <f>IF($A62="","",COUNTIFS('Таблиця 1'!$B:$B,$A62,'Таблиця 1'!$I:$I,"Mi-8",'Таблиця 1'!$L:$L,"Уражено")+COUNTIFS('Таблиця 1'!$B:$B,$A62,'Таблиця 1'!$I:$I,"Mi-24",'Таблиця 1'!$L:$L,"Уражено"))</f>
        <v/>
      </c>
      <c r="P62">
        <f>IF($A62="","",COUNTIFS('Таблиця 1'!$B:$B,$A62,'Таблиця 1'!$I:$I,"Mi-8",'Таблиця 1'!$L:$L,"НЕ уражено")+COUNTIFS('Таблиця 1'!$B:$B,$A62,'Таблиця 1'!$I:$I,"Mi-24",'Таблиця 1'!$L:$L,"НЕ уражено"))</f>
        <v/>
      </c>
    </row>
    <row r="63">
      <c r="A63" s="273">
        <f>IF(A62="","",IF(A62+1&gt;MAX('Таблиця 1'!$B:$B),"",A62+1))</f>
        <v/>
      </c>
      <c r="B63">
        <f>IF($A63="","",COUNTIFS('Таблиця 1'!$B:$B,$A63,'Таблиця 1'!$I:$I,"Mi-8")+COUNTIFS('Таблиця 1'!$B:$B,$A63,'Таблиця 1'!$I:$I,"Mi-24"))</f>
        <v/>
      </c>
      <c r="C63">
        <f>IF($A63="","",COUNTIFS('Таблиця 1'!$B:$B,$A63,'Таблиця 1'!$I:$I,"Mi-8"))</f>
        <v/>
      </c>
      <c r="D63">
        <f>IF($A63="","",COUNTIFS('Таблиця 1'!$B:$B,$A63,'Таблиця 1'!$I:$I,"Mi-24"))</f>
        <v/>
      </c>
      <c r="E63">
        <f>IF($A63="","",SUMIFS('Таблиця 1'!$K:$K,'Таблиця 1'!$B:$B,$A63,'Таблиця 1'!$I:$I,"Mi-8",'Таблиця 1'!$J:$J,"ARS-8")+SUMIFS('Таблиця 1'!$K:$K,'Таблиця 1'!$B:$B,$A63,'Таблиця 1'!$I:$I,"Mi-24",'Таблиця 1'!$J:$J,"ARS-8"))</f>
        <v/>
      </c>
      <c r="F63">
        <f>IF($A63="","",SUMIFS('Таблиця 1'!$K:$K,'Таблиця 1'!$B:$B,$A63,'Таблиця 1'!$I:$I,"Mi-8",'Таблиця 1'!$J:$J,"С-8 ком")+SUMIFS('Таблиця 1'!$K:$K,'Таблиця 1'!$B:$B,$A63,'Таблиця 1'!$I:$I,"Mi-24",'Таблиця 1'!$J:$J,"С-8 ком"))</f>
        <v/>
      </c>
      <c r="G63">
        <f>IF($A63="","",SUMIFS('Таблиця 1'!$K:$K,'Таблиця 1'!$B:$B,$A63,'Таблиця 1'!$I:$I,"Mi-8",'Таблиця 1'!$J:$J,"PC-80")+SUMIFS('Таблиця 1'!$K:$K,'Таблиця 1'!$B:$B,$A63,'Таблиця 1'!$I:$I,"Mi-24",'Таблиця 1'!$J:$J,"PC-80"))</f>
        <v/>
      </c>
      <c r="H63">
        <f>IF($A63="","",SUMIFS('Таблиця 1'!$K:$K,'Таблиця 1'!$B:$B,$A63,'Таблиця 1'!$I:$I,"Mi-8",'Таблиця 1'!$J:$J,"UAR-80")+SUMIFS('Таблиця 1'!$K:$K,'Таблиця 1'!$B:$B,$A63,'Таблиця 1'!$I:$I,"Mi-24",'Таблиця 1'!$J:$J,"UAR-80"))</f>
        <v/>
      </c>
      <c r="I63">
        <f>IF($A63="","",SUMIFS('Таблиця 1'!$K:$K,'Таблиця 1'!$B:$B,$A63,'Таблиця 1'!$I:$I,"Mi-8",'Таблиця 1'!$J:$J,"C-13")+SUMIFS('Таблиця 1'!$K:$K,'Таблиця 1'!$B:$B,$A63,'Таблиця 1'!$I:$I,"Mi-24",'Таблиця 1'!$J:$J,"C-13"))</f>
        <v/>
      </c>
      <c r="J63">
        <f>IF($A63="","",SUMIFS('Таблиця 1'!$K:$K,'Таблиця 1'!$B:$B,$A63,'Таблиця 1'!$I:$I,"Mi-8",'Таблиця 1'!$J:$J,"Hydra-70")+SUMIFS('Таблиця 1'!$K:$K,'Таблиця 1'!$B:$B,$A63,'Таблиця 1'!$I:$I,"Mi-24",'Таблиця 1'!$J:$J,"Hydra-70"))</f>
        <v/>
      </c>
      <c r="K63">
        <f>IF($A63="","",SUMIFS('Таблиця 1'!$K:$K,'Таблиця 1'!$B:$B,$A63,'Таблиця 1'!$I:$I,"Mi-8",'Таблиця 1'!$J:$J,"Thales-70")+SUMIFS('Таблиця 1'!$K:$K,'Таблиця 1'!$B:$B,$A63,'Таблиця 1'!$I:$I,"Mi-24",'Таблиця 1'!$J:$J,"Thales-70"))</f>
        <v/>
      </c>
      <c r="L63">
        <f>IF($A63="","",SUMIFS('Таблиця 1'!$K:$K,'Таблиця 1'!$B:$B,$A63,'Таблиця 1'!$I:$I,"Mi-8",'Таблиця 1'!$J:$J,"Thales-FZ")+SUMIFS('Таблиця 1'!$K:$K,'Таблиця 1'!$B:$B,$A63,'Таблиця 1'!$I:$I,"Mi-24",'Таблиця 1'!$J:$J,"Thales-FZ"))</f>
        <v/>
      </c>
      <c r="M63">
        <f>IF($A63="","",SUMIFS('Таблиця 1'!$K:$K,'Таблиця 1'!$B:$B,$A63,'Таблиця 1'!$I:$I,"Mi-8",'Таблиця 1'!$J:$J,"МК-40")+SUMIFS('Таблиця 1'!$K:$K,'Таблиця 1'!$B:$B,$A63,'Таблиця 1'!$I:$I,"Mi-24",'Таблиця 1'!$J:$J,"МК-40"))</f>
        <v/>
      </c>
      <c r="N63">
        <f>IF($A63="","",SUMIFS('Таблиця 1'!$K:$K,'Таблиця 1'!$B:$B,$A63,'Таблиця 1'!$I:$I,"Mi-8",'Таблиця 1'!$J:$J,"Zuni")+SUMIFS('Таблиця 1'!$K:$K,'Таблиця 1'!$B:$B,$A63,'Таблиця 1'!$I:$I,"Mi-24",'Таблиця 1'!$J:$J,"Zuni"))</f>
        <v/>
      </c>
      <c r="O63">
        <f>IF($A63="","",COUNTIFS('Таблиця 1'!$B:$B,$A63,'Таблиця 1'!$I:$I,"Mi-8",'Таблиця 1'!$L:$L,"Уражено")+COUNTIFS('Таблиця 1'!$B:$B,$A63,'Таблиця 1'!$I:$I,"Mi-24",'Таблиця 1'!$L:$L,"Уражено"))</f>
        <v/>
      </c>
      <c r="P63">
        <f>IF($A63="","",COUNTIFS('Таблиця 1'!$B:$B,$A63,'Таблиця 1'!$I:$I,"Mi-8",'Таблиця 1'!$L:$L,"НЕ уражено")+COUNTIFS('Таблиця 1'!$B:$B,$A63,'Таблиця 1'!$I:$I,"Mi-24",'Таблиця 1'!$L:$L,"НЕ уражено"))</f>
        <v/>
      </c>
    </row>
    <row r="64">
      <c r="A64" s="273">
        <f>IF(A63="","",IF(A63+1&gt;MAX('Таблиця 1'!$B:$B),"",A63+1))</f>
        <v/>
      </c>
      <c r="B64">
        <f>IF($A64="","",COUNTIFS('Таблиця 1'!$B:$B,$A64,'Таблиця 1'!$I:$I,"Mi-8")+COUNTIFS('Таблиця 1'!$B:$B,$A64,'Таблиця 1'!$I:$I,"Mi-24"))</f>
        <v/>
      </c>
      <c r="C64">
        <f>IF($A64="","",COUNTIFS('Таблиця 1'!$B:$B,$A64,'Таблиця 1'!$I:$I,"Mi-8"))</f>
        <v/>
      </c>
      <c r="D64">
        <f>IF($A64="","",COUNTIFS('Таблиця 1'!$B:$B,$A64,'Таблиця 1'!$I:$I,"Mi-24"))</f>
        <v/>
      </c>
      <c r="E64">
        <f>IF($A64="","",SUMIFS('Таблиця 1'!$K:$K,'Таблиця 1'!$B:$B,$A64,'Таблиця 1'!$I:$I,"Mi-8",'Таблиця 1'!$J:$J,"ARS-8")+SUMIFS('Таблиця 1'!$K:$K,'Таблиця 1'!$B:$B,$A64,'Таблиця 1'!$I:$I,"Mi-24",'Таблиця 1'!$J:$J,"ARS-8"))</f>
        <v/>
      </c>
      <c r="F64">
        <f>IF($A64="","",SUMIFS('Таблиця 1'!$K:$K,'Таблиця 1'!$B:$B,$A64,'Таблиця 1'!$I:$I,"Mi-8",'Таблиця 1'!$J:$J,"С-8 ком")+SUMIFS('Таблиця 1'!$K:$K,'Таблиця 1'!$B:$B,$A64,'Таблиця 1'!$I:$I,"Mi-24",'Таблиця 1'!$J:$J,"С-8 ком"))</f>
        <v/>
      </c>
      <c r="G64">
        <f>IF($A64="","",SUMIFS('Таблиця 1'!$K:$K,'Таблиця 1'!$B:$B,$A64,'Таблиця 1'!$I:$I,"Mi-8",'Таблиця 1'!$J:$J,"PC-80")+SUMIFS('Таблиця 1'!$K:$K,'Таблиця 1'!$B:$B,$A64,'Таблиця 1'!$I:$I,"Mi-24",'Таблиця 1'!$J:$J,"PC-80"))</f>
        <v/>
      </c>
      <c r="H64">
        <f>IF($A64="","",SUMIFS('Таблиця 1'!$K:$K,'Таблиця 1'!$B:$B,$A64,'Таблиця 1'!$I:$I,"Mi-8",'Таблиця 1'!$J:$J,"UAR-80")+SUMIFS('Таблиця 1'!$K:$K,'Таблиця 1'!$B:$B,$A64,'Таблиця 1'!$I:$I,"Mi-24",'Таблиця 1'!$J:$J,"UAR-80"))</f>
        <v/>
      </c>
      <c r="I64">
        <f>IF($A64="","",SUMIFS('Таблиця 1'!$K:$K,'Таблиця 1'!$B:$B,$A64,'Таблиця 1'!$I:$I,"Mi-8",'Таблиця 1'!$J:$J,"C-13")+SUMIFS('Таблиця 1'!$K:$K,'Таблиця 1'!$B:$B,$A64,'Таблиця 1'!$I:$I,"Mi-24",'Таблиця 1'!$J:$J,"C-13"))</f>
        <v/>
      </c>
      <c r="J64">
        <f>IF($A64="","",SUMIFS('Таблиця 1'!$K:$K,'Таблиця 1'!$B:$B,$A64,'Таблиця 1'!$I:$I,"Mi-8",'Таблиця 1'!$J:$J,"Hydra-70")+SUMIFS('Таблиця 1'!$K:$K,'Таблиця 1'!$B:$B,$A64,'Таблиця 1'!$I:$I,"Mi-24",'Таблиця 1'!$J:$J,"Hydra-70"))</f>
        <v/>
      </c>
      <c r="K64">
        <f>IF($A64="","",SUMIFS('Таблиця 1'!$K:$K,'Таблиця 1'!$B:$B,$A64,'Таблиця 1'!$I:$I,"Mi-8",'Таблиця 1'!$J:$J,"Thales-70")+SUMIFS('Таблиця 1'!$K:$K,'Таблиця 1'!$B:$B,$A64,'Таблиця 1'!$I:$I,"Mi-24",'Таблиця 1'!$J:$J,"Thales-70"))</f>
        <v/>
      </c>
      <c r="L64">
        <f>IF($A64="","",SUMIFS('Таблиця 1'!$K:$K,'Таблиця 1'!$B:$B,$A64,'Таблиця 1'!$I:$I,"Mi-8",'Таблиця 1'!$J:$J,"Thales-FZ")+SUMIFS('Таблиця 1'!$K:$K,'Таблиця 1'!$B:$B,$A64,'Таблиця 1'!$I:$I,"Mi-24",'Таблиця 1'!$J:$J,"Thales-FZ"))</f>
        <v/>
      </c>
      <c r="M64">
        <f>IF($A64="","",SUMIFS('Таблиця 1'!$K:$K,'Таблиця 1'!$B:$B,$A64,'Таблиця 1'!$I:$I,"Mi-8",'Таблиця 1'!$J:$J,"МК-40")+SUMIFS('Таблиця 1'!$K:$K,'Таблиця 1'!$B:$B,$A64,'Таблиця 1'!$I:$I,"Mi-24",'Таблиця 1'!$J:$J,"МК-40"))</f>
        <v/>
      </c>
      <c r="N64">
        <f>IF($A64="","",SUMIFS('Таблиця 1'!$K:$K,'Таблиця 1'!$B:$B,$A64,'Таблиця 1'!$I:$I,"Mi-8",'Таблиця 1'!$J:$J,"Zuni")+SUMIFS('Таблиця 1'!$K:$K,'Таблиця 1'!$B:$B,$A64,'Таблиця 1'!$I:$I,"Mi-24",'Таблиця 1'!$J:$J,"Zuni"))</f>
        <v/>
      </c>
      <c r="O64">
        <f>IF($A64="","",COUNTIFS('Таблиця 1'!$B:$B,$A64,'Таблиця 1'!$I:$I,"Mi-8",'Таблиця 1'!$L:$L,"Уражено")+COUNTIFS('Таблиця 1'!$B:$B,$A64,'Таблиця 1'!$I:$I,"Mi-24",'Таблиця 1'!$L:$L,"Уражено"))</f>
        <v/>
      </c>
      <c r="P64">
        <f>IF($A64="","",COUNTIFS('Таблиця 1'!$B:$B,$A64,'Таблиця 1'!$I:$I,"Mi-8",'Таблиця 1'!$L:$L,"НЕ уражено")+COUNTIFS('Таблиця 1'!$B:$B,$A64,'Таблиця 1'!$I:$I,"Mi-24",'Таблиця 1'!$L:$L,"НЕ уражено"))</f>
        <v/>
      </c>
    </row>
    <row r="65">
      <c r="A65" s="273">
        <f>IF(A64="","",IF(A64+1&gt;MAX('Таблиця 1'!$B:$B),"",A64+1))</f>
        <v/>
      </c>
      <c r="B65">
        <f>IF($A65="","",COUNTIFS('Таблиця 1'!$B:$B,$A65,'Таблиця 1'!$I:$I,"Mi-8")+COUNTIFS('Таблиця 1'!$B:$B,$A65,'Таблиця 1'!$I:$I,"Mi-24"))</f>
        <v/>
      </c>
      <c r="C65">
        <f>IF($A65="","",COUNTIFS('Таблиця 1'!$B:$B,$A65,'Таблиця 1'!$I:$I,"Mi-8"))</f>
        <v/>
      </c>
      <c r="D65">
        <f>IF($A65="","",COUNTIFS('Таблиця 1'!$B:$B,$A65,'Таблиця 1'!$I:$I,"Mi-24"))</f>
        <v/>
      </c>
      <c r="E65">
        <f>IF($A65="","",SUMIFS('Таблиця 1'!$K:$K,'Таблиця 1'!$B:$B,$A65,'Таблиця 1'!$I:$I,"Mi-8",'Таблиця 1'!$J:$J,"ARS-8")+SUMIFS('Таблиця 1'!$K:$K,'Таблиця 1'!$B:$B,$A65,'Таблиця 1'!$I:$I,"Mi-24",'Таблиця 1'!$J:$J,"ARS-8"))</f>
        <v/>
      </c>
      <c r="F65">
        <f>IF($A65="","",SUMIFS('Таблиця 1'!$K:$K,'Таблиця 1'!$B:$B,$A65,'Таблиця 1'!$I:$I,"Mi-8",'Таблиця 1'!$J:$J,"С-8 ком")+SUMIFS('Таблиця 1'!$K:$K,'Таблиця 1'!$B:$B,$A65,'Таблиця 1'!$I:$I,"Mi-24",'Таблиця 1'!$J:$J,"С-8 ком"))</f>
        <v/>
      </c>
      <c r="G65">
        <f>IF($A65="","",SUMIFS('Таблиця 1'!$K:$K,'Таблиця 1'!$B:$B,$A65,'Таблиця 1'!$I:$I,"Mi-8",'Таблиця 1'!$J:$J,"PC-80")+SUMIFS('Таблиця 1'!$K:$K,'Таблиця 1'!$B:$B,$A65,'Таблиця 1'!$I:$I,"Mi-24",'Таблиця 1'!$J:$J,"PC-80"))</f>
        <v/>
      </c>
      <c r="H65">
        <f>IF($A65="","",SUMIFS('Таблиця 1'!$K:$K,'Таблиця 1'!$B:$B,$A65,'Таблиця 1'!$I:$I,"Mi-8",'Таблиця 1'!$J:$J,"UAR-80")+SUMIFS('Таблиця 1'!$K:$K,'Таблиця 1'!$B:$B,$A65,'Таблиця 1'!$I:$I,"Mi-24",'Таблиця 1'!$J:$J,"UAR-80"))</f>
        <v/>
      </c>
      <c r="I65">
        <f>IF($A65="","",SUMIFS('Таблиця 1'!$K:$K,'Таблиця 1'!$B:$B,$A65,'Таблиця 1'!$I:$I,"Mi-8",'Таблиця 1'!$J:$J,"C-13")+SUMIFS('Таблиця 1'!$K:$K,'Таблиця 1'!$B:$B,$A65,'Таблиця 1'!$I:$I,"Mi-24",'Таблиця 1'!$J:$J,"C-13"))</f>
        <v/>
      </c>
      <c r="J65">
        <f>IF($A65="","",SUMIFS('Таблиця 1'!$K:$K,'Таблиця 1'!$B:$B,$A65,'Таблиця 1'!$I:$I,"Mi-8",'Таблиця 1'!$J:$J,"Hydra-70")+SUMIFS('Таблиця 1'!$K:$K,'Таблиця 1'!$B:$B,$A65,'Таблиця 1'!$I:$I,"Mi-24",'Таблиця 1'!$J:$J,"Hydra-70"))</f>
        <v/>
      </c>
      <c r="K65">
        <f>IF($A65="","",SUMIFS('Таблиця 1'!$K:$K,'Таблиця 1'!$B:$B,$A65,'Таблиця 1'!$I:$I,"Mi-8",'Таблиця 1'!$J:$J,"Thales-70")+SUMIFS('Таблиця 1'!$K:$K,'Таблиця 1'!$B:$B,$A65,'Таблиця 1'!$I:$I,"Mi-24",'Таблиця 1'!$J:$J,"Thales-70"))</f>
        <v/>
      </c>
      <c r="L65">
        <f>IF($A65="","",SUMIFS('Таблиця 1'!$K:$K,'Таблиця 1'!$B:$B,$A65,'Таблиця 1'!$I:$I,"Mi-8",'Таблиця 1'!$J:$J,"Thales-FZ")+SUMIFS('Таблиця 1'!$K:$K,'Таблиця 1'!$B:$B,$A65,'Таблиця 1'!$I:$I,"Mi-24",'Таблиця 1'!$J:$J,"Thales-FZ"))</f>
        <v/>
      </c>
      <c r="M65">
        <f>IF($A65="","",SUMIFS('Таблиця 1'!$K:$K,'Таблиця 1'!$B:$B,$A65,'Таблиця 1'!$I:$I,"Mi-8",'Таблиця 1'!$J:$J,"МК-40")+SUMIFS('Таблиця 1'!$K:$K,'Таблиця 1'!$B:$B,$A65,'Таблиця 1'!$I:$I,"Mi-24",'Таблиця 1'!$J:$J,"МК-40"))</f>
        <v/>
      </c>
      <c r="N65">
        <f>IF($A65="","",SUMIFS('Таблиця 1'!$K:$K,'Таблиця 1'!$B:$B,$A65,'Таблиця 1'!$I:$I,"Mi-8",'Таблиця 1'!$J:$J,"Zuni")+SUMIFS('Таблиця 1'!$K:$K,'Таблиця 1'!$B:$B,$A65,'Таблиця 1'!$I:$I,"Mi-24",'Таблиця 1'!$J:$J,"Zuni"))</f>
        <v/>
      </c>
      <c r="O65">
        <f>IF($A65="","",COUNTIFS('Таблиця 1'!$B:$B,$A65,'Таблиця 1'!$I:$I,"Mi-8",'Таблиця 1'!$L:$L,"Уражено")+COUNTIFS('Таблиця 1'!$B:$B,$A65,'Таблиця 1'!$I:$I,"Mi-24",'Таблиця 1'!$L:$L,"Уражено"))</f>
        <v/>
      </c>
      <c r="P65">
        <f>IF($A65="","",COUNTIFS('Таблиця 1'!$B:$B,$A65,'Таблиця 1'!$I:$I,"Mi-8",'Таблиця 1'!$L:$L,"НЕ уражено")+COUNTIFS('Таблиця 1'!$B:$B,$A65,'Таблиця 1'!$I:$I,"Mi-24",'Таблиця 1'!$L:$L,"НЕ уражено"))</f>
        <v/>
      </c>
    </row>
    <row r="66">
      <c r="A66" s="273">
        <f>IF(A65="","",IF(A65+1&gt;MAX('Таблиця 1'!$B:$B),"",A65+1))</f>
        <v/>
      </c>
      <c r="B66">
        <f>IF($A66="","",COUNTIFS('Таблиця 1'!$B:$B,$A66,'Таблиця 1'!$I:$I,"Mi-8")+COUNTIFS('Таблиця 1'!$B:$B,$A66,'Таблиця 1'!$I:$I,"Mi-24"))</f>
        <v/>
      </c>
      <c r="C66">
        <f>IF($A66="","",COUNTIFS('Таблиця 1'!$B:$B,$A66,'Таблиця 1'!$I:$I,"Mi-8"))</f>
        <v/>
      </c>
      <c r="D66">
        <f>IF($A66="","",COUNTIFS('Таблиця 1'!$B:$B,$A66,'Таблиця 1'!$I:$I,"Mi-24"))</f>
        <v/>
      </c>
      <c r="E66">
        <f>IF($A66="","",SUMIFS('Таблиця 1'!$K:$K,'Таблиця 1'!$B:$B,$A66,'Таблиця 1'!$I:$I,"Mi-8",'Таблиця 1'!$J:$J,"ARS-8")+SUMIFS('Таблиця 1'!$K:$K,'Таблиця 1'!$B:$B,$A66,'Таблиця 1'!$I:$I,"Mi-24",'Таблиця 1'!$J:$J,"ARS-8"))</f>
        <v/>
      </c>
      <c r="F66">
        <f>IF($A66="","",SUMIFS('Таблиця 1'!$K:$K,'Таблиця 1'!$B:$B,$A66,'Таблиця 1'!$I:$I,"Mi-8",'Таблиця 1'!$J:$J,"С-8 ком")+SUMIFS('Таблиця 1'!$K:$K,'Таблиця 1'!$B:$B,$A66,'Таблиця 1'!$I:$I,"Mi-24",'Таблиця 1'!$J:$J,"С-8 ком"))</f>
        <v/>
      </c>
      <c r="G66">
        <f>IF($A66="","",SUMIFS('Таблиця 1'!$K:$K,'Таблиця 1'!$B:$B,$A66,'Таблиця 1'!$I:$I,"Mi-8",'Таблиця 1'!$J:$J,"PC-80")+SUMIFS('Таблиця 1'!$K:$K,'Таблиця 1'!$B:$B,$A66,'Таблиця 1'!$I:$I,"Mi-24",'Таблиця 1'!$J:$J,"PC-80"))</f>
        <v/>
      </c>
      <c r="H66">
        <f>IF($A66="","",SUMIFS('Таблиця 1'!$K:$K,'Таблиця 1'!$B:$B,$A66,'Таблиця 1'!$I:$I,"Mi-8",'Таблиця 1'!$J:$J,"UAR-80")+SUMIFS('Таблиця 1'!$K:$K,'Таблиця 1'!$B:$B,$A66,'Таблиця 1'!$I:$I,"Mi-24",'Таблиця 1'!$J:$J,"UAR-80"))</f>
        <v/>
      </c>
      <c r="I66">
        <f>IF($A66="","",SUMIFS('Таблиця 1'!$K:$K,'Таблиця 1'!$B:$B,$A66,'Таблиця 1'!$I:$I,"Mi-8",'Таблиця 1'!$J:$J,"C-13")+SUMIFS('Таблиця 1'!$K:$K,'Таблиця 1'!$B:$B,$A66,'Таблиця 1'!$I:$I,"Mi-24",'Таблиця 1'!$J:$J,"C-13"))</f>
        <v/>
      </c>
      <c r="J66">
        <f>IF($A66="","",SUMIFS('Таблиця 1'!$K:$K,'Таблиця 1'!$B:$B,$A66,'Таблиця 1'!$I:$I,"Mi-8",'Таблиця 1'!$J:$J,"Hydra-70")+SUMIFS('Таблиця 1'!$K:$K,'Таблиця 1'!$B:$B,$A66,'Таблиця 1'!$I:$I,"Mi-24",'Таблиця 1'!$J:$J,"Hydra-70"))</f>
        <v/>
      </c>
      <c r="K66">
        <f>IF($A66="","",SUMIFS('Таблиця 1'!$K:$K,'Таблиця 1'!$B:$B,$A66,'Таблиця 1'!$I:$I,"Mi-8",'Таблиця 1'!$J:$J,"Thales-70")+SUMIFS('Таблиця 1'!$K:$K,'Таблиця 1'!$B:$B,$A66,'Таблиця 1'!$I:$I,"Mi-24",'Таблиця 1'!$J:$J,"Thales-70"))</f>
        <v/>
      </c>
      <c r="L66">
        <f>IF($A66="","",SUMIFS('Таблиця 1'!$K:$K,'Таблиця 1'!$B:$B,$A66,'Таблиця 1'!$I:$I,"Mi-8",'Таблиця 1'!$J:$J,"Thales-FZ")+SUMIFS('Таблиця 1'!$K:$K,'Таблиця 1'!$B:$B,$A66,'Таблиця 1'!$I:$I,"Mi-24",'Таблиця 1'!$J:$J,"Thales-FZ"))</f>
        <v/>
      </c>
      <c r="M66">
        <f>IF($A66="","",SUMIFS('Таблиця 1'!$K:$K,'Таблиця 1'!$B:$B,$A66,'Таблиця 1'!$I:$I,"Mi-8",'Таблиця 1'!$J:$J,"МК-40")+SUMIFS('Таблиця 1'!$K:$K,'Таблиця 1'!$B:$B,$A66,'Таблиця 1'!$I:$I,"Mi-24",'Таблиця 1'!$J:$J,"МК-40"))</f>
        <v/>
      </c>
      <c r="N66">
        <f>IF($A66="","",SUMIFS('Таблиця 1'!$K:$K,'Таблиця 1'!$B:$B,$A66,'Таблиця 1'!$I:$I,"Mi-8",'Таблиця 1'!$J:$J,"Zuni")+SUMIFS('Таблиця 1'!$K:$K,'Таблиця 1'!$B:$B,$A66,'Таблиця 1'!$I:$I,"Mi-24",'Таблиця 1'!$J:$J,"Zuni"))</f>
        <v/>
      </c>
      <c r="O66">
        <f>IF($A66="","",COUNTIFS('Таблиця 1'!$B:$B,$A66,'Таблиця 1'!$I:$I,"Mi-8",'Таблиця 1'!$L:$L,"Уражено")+COUNTIFS('Таблиця 1'!$B:$B,$A66,'Таблиця 1'!$I:$I,"Mi-24",'Таблиця 1'!$L:$L,"Уражено"))</f>
        <v/>
      </c>
      <c r="P66">
        <f>IF($A66="","",COUNTIFS('Таблиця 1'!$B:$B,$A66,'Таблиця 1'!$I:$I,"Mi-8",'Таблиця 1'!$L:$L,"НЕ уражено")+COUNTIFS('Таблиця 1'!$B:$B,$A66,'Таблиця 1'!$I:$I,"Mi-24",'Таблиця 1'!$L:$L,"НЕ уражено"))</f>
        <v/>
      </c>
    </row>
    <row r="67">
      <c r="A67" s="273">
        <f>IF(A66="","",IF(A66+1&gt;MAX('Таблиця 1'!$B:$B),"",A66+1))</f>
        <v/>
      </c>
      <c r="B67">
        <f>IF($A67="","",COUNTIFS('Таблиця 1'!$B:$B,$A67,'Таблиця 1'!$I:$I,"Mi-8")+COUNTIFS('Таблиця 1'!$B:$B,$A67,'Таблиця 1'!$I:$I,"Mi-24"))</f>
        <v/>
      </c>
      <c r="C67">
        <f>IF($A67="","",COUNTIFS('Таблиця 1'!$B:$B,$A67,'Таблиця 1'!$I:$I,"Mi-8"))</f>
        <v/>
      </c>
      <c r="D67">
        <f>IF($A67="","",COUNTIFS('Таблиця 1'!$B:$B,$A67,'Таблиця 1'!$I:$I,"Mi-24"))</f>
        <v/>
      </c>
      <c r="E67">
        <f>IF($A67="","",SUMIFS('Таблиця 1'!$K:$K,'Таблиця 1'!$B:$B,$A67,'Таблиця 1'!$I:$I,"Mi-8",'Таблиця 1'!$J:$J,"ARS-8")+SUMIFS('Таблиця 1'!$K:$K,'Таблиця 1'!$B:$B,$A67,'Таблиця 1'!$I:$I,"Mi-24",'Таблиця 1'!$J:$J,"ARS-8"))</f>
        <v/>
      </c>
      <c r="F67">
        <f>IF($A67="","",SUMIFS('Таблиця 1'!$K:$K,'Таблиця 1'!$B:$B,$A67,'Таблиця 1'!$I:$I,"Mi-8",'Таблиця 1'!$J:$J,"С-8 ком")+SUMIFS('Таблиця 1'!$K:$K,'Таблиця 1'!$B:$B,$A67,'Таблиця 1'!$I:$I,"Mi-24",'Таблиця 1'!$J:$J,"С-8 ком"))</f>
        <v/>
      </c>
      <c r="G67">
        <f>IF($A67="","",SUMIFS('Таблиця 1'!$K:$K,'Таблиця 1'!$B:$B,$A67,'Таблиця 1'!$I:$I,"Mi-8",'Таблиця 1'!$J:$J,"PC-80")+SUMIFS('Таблиця 1'!$K:$K,'Таблиця 1'!$B:$B,$A67,'Таблиця 1'!$I:$I,"Mi-24",'Таблиця 1'!$J:$J,"PC-80"))</f>
        <v/>
      </c>
      <c r="H67">
        <f>IF($A67="","",SUMIFS('Таблиця 1'!$K:$K,'Таблиця 1'!$B:$B,$A67,'Таблиця 1'!$I:$I,"Mi-8",'Таблиця 1'!$J:$J,"UAR-80")+SUMIFS('Таблиця 1'!$K:$K,'Таблиця 1'!$B:$B,$A67,'Таблиця 1'!$I:$I,"Mi-24",'Таблиця 1'!$J:$J,"UAR-80"))</f>
        <v/>
      </c>
      <c r="I67">
        <f>IF($A67="","",SUMIFS('Таблиця 1'!$K:$K,'Таблиця 1'!$B:$B,$A67,'Таблиця 1'!$I:$I,"Mi-8",'Таблиця 1'!$J:$J,"C-13")+SUMIFS('Таблиця 1'!$K:$K,'Таблиця 1'!$B:$B,$A67,'Таблиця 1'!$I:$I,"Mi-24",'Таблиця 1'!$J:$J,"C-13"))</f>
        <v/>
      </c>
      <c r="J67">
        <f>IF($A67="","",SUMIFS('Таблиця 1'!$K:$K,'Таблиця 1'!$B:$B,$A67,'Таблиця 1'!$I:$I,"Mi-8",'Таблиця 1'!$J:$J,"Hydra-70")+SUMIFS('Таблиця 1'!$K:$K,'Таблиця 1'!$B:$B,$A67,'Таблиця 1'!$I:$I,"Mi-24",'Таблиця 1'!$J:$J,"Hydra-70"))</f>
        <v/>
      </c>
      <c r="K67">
        <f>IF($A67="","",SUMIFS('Таблиця 1'!$K:$K,'Таблиця 1'!$B:$B,$A67,'Таблиця 1'!$I:$I,"Mi-8",'Таблиця 1'!$J:$J,"Thales-70")+SUMIFS('Таблиця 1'!$K:$K,'Таблиця 1'!$B:$B,$A67,'Таблиця 1'!$I:$I,"Mi-24",'Таблиця 1'!$J:$J,"Thales-70"))</f>
        <v/>
      </c>
      <c r="L67">
        <f>IF($A67="","",SUMIFS('Таблиця 1'!$K:$K,'Таблиця 1'!$B:$B,$A67,'Таблиця 1'!$I:$I,"Mi-8",'Таблиця 1'!$J:$J,"Thales-FZ")+SUMIFS('Таблиця 1'!$K:$K,'Таблиця 1'!$B:$B,$A67,'Таблиця 1'!$I:$I,"Mi-24",'Таблиця 1'!$J:$J,"Thales-FZ"))</f>
        <v/>
      </c>
      <c r="M67">
        <f>IF($A67="","",SUMIFS('Таблиця 1'!$K:$K,'Таблиця 1'!$B:$B,$A67,'Таблиця 1'!$I:$I,"Mi-8",'Таблиця 1'!$J:$J,"МК-40")+SUMIFS('Таблиця 1'!$K:$K,'Таблиця 1'!$B:$B,$A67,'Таблиця 1'!$I:$I,"Mi-24",'Таблиця 1'!$J:$J,"МК-40"))</f>
        <v/>
      </c>
      <c r="N67">
        <f>IF($A67="","",SUMIFS('Таблиця 1'!$K:$K,'Таблиця 1'!$B:$B,$A67,'Таблиця 1'!$I:$I,"Mi-8",'Таблиця 1'!$J:$J,"Zuni")+SUMIFS('Таблиця 1'!$K:$K,'Таблиця 1'!$B:$B,$A67,'Таблиця 1'!$I:$I,"Mi-24",'Таблиця 1'!$J:$J,"Zuni"))</f>
        <v/>
      </c>
      <c r="O67">
        <f>IF($A67="","",COUNTIFS('Таблиця 1'!$B:$B,$A67,'Таблиця 1'!$I:$I,"Mi-8",'Таблиця 1'!$L:$L,"Уражено")+COUNTIFS('Таблиця 1'!$B:$B,$A67,'Таблиця 1'!$I:$I,"Mi-24",'Таблиця 1'!$L:$L,"Уражено"))</f>
        <v/>
      </c>
      <c r="P67">
        <f>IF($A67="","",COUNTIFS('Таблиця 1'!$B:$B,$A67,'Таблиця 1'!$I:$I,"Mi-8",'Таблиця 1'!$L:$L,"НЕ уражено")+COUNTIFS('Таблиця 1'!$B:$B,$A67,'Таблиця 1'!$I:$I,"Mi-24",'Таблиця 1'!$L:$L,"НЕ уражено"))</f>
        <v/>
      </c>
    </row>
    <row r="68">
      <c r="A68" s="273">
        <f>IF(A67="","",IF(A67+1&gt;MAX('Таблиця 1'!$B:$B),"",A67+1))</f>
        <v/>
      </c>
      <c r="B68">
        <f>IF($A68="","",COUNTIFS('Таблиця 1'!$B:$B,$A68,'Таблиця 1'!$I:$I,"Mi-8")+COUNTIFS('Таблиця 1'!$B:$B,$A68,'Таблиця 1'!$I:$I,"Mi-24"))</f>
        <v/>
      </c>
      <c r="C68">
        <f>IF($A68="","",COUNTIFS('Таблиця 1'!$B:$B,$A68,'Таблиця 1'!$I:$I,"Mi-8"))</f>
        <v/>
      </c>
      <c r="D68">
        <f>IF($A68="","",COUNTIFS('Таблиця 1'!$B:$B,$A68,'Таблиця 1'!$I:$I,"Mi-24"))</f>
        <v/>
      </c>
      <c r="E68">
        <f>IF($A68="","",SUMIFS('Таблиця 1'!$K:$K,'Таблиця 1'!$B:$B,$A68,'Таблиця 1'!$I:$I,"Mi-8",'Таблиця 1'!$J:$J,"ARS-8")+SUMIFS('Таблиця 1'!$K:$K,'Таблиця 1'!$B:$B,$A68,'Таблиця 1'!$I:$I,"Mi-24",'Таблиця 1'!$J:$J,"ARS-8"))</f>
        <v/>
      </c>
      <c r="F68">
        <f>IF($A68="","",SUMIFS('Таблиця 1'!$K:$K,'Таблиця 1'!$B:$B,$A68,'Таблиця 1'!$I:$I,"Mi-8",'Таблиця 1'!$J:$J,"С-8 ком")+SUMIFS('Таблиця 1'!$K:$K,'Таблиця 1'!$B:$B,$A68,'Таблиця 1'!$I:$I,"Mi-24",'Таблиця 1'!$J:$J,"С-8 ком"))</f>
        <v/>
      </c>
      <c r="G68">
        <f>IF($A68="","",SUMIFS('Таблиця 1'!$K:$K,'Таблиця 1'!$B:$B,$A68,'Таблиця 1'!$I:$I,"Mi-8",'Таблиця 1'!$J:$J,"PC-80")+SUMIFS('Таблиця 1'!$K:$K,'Таблиця 1'!$B:$B,$A68,'Таблиця 1'!$I:$I,"Mi-24",'Таблиця 1'!$J:$J,"PC-80"))</f>
        <v/>
      </c>
      <c r="H68">
        <f>IF($A68="","",SUMIFS('Таблиця 1'!$K:$K,'Таблиця 1'!$B:$B,$A68,'Таблиця 1'!$I:$I,"Mi-8",'Таблиця 1'!$J:$J,"UAR-80")+SUMIFS('Таблиця 1'!$K:$K,'Таблиця 1'!$B:$B,$A68,'Таблиця 1'!$I:$I,"Mi-24",'Таблиця 1'!$J:$J,"UAR-80"))</f>
        <v/>
      </c>
      <c r="I68">
        <f>IF($A68="","",SUMIFS('Таблиця 1'!$K:$K,'Таблиця 1'!$B:$B,$A68,'Таблиця 1'!$I:$I,"Mi-8",'Таблиця 1'!$J:$J,"C-13")+SUMIFS('Таблиця 1'!$K:$K,'Таблиця 1'!$B:$B,$A68,'Таблиця 1'!$I:$I,"Mi-24",'Таблиця 1'!$J:$J,"C-13"))</f>
        <v/>
      </c>
      <c r="J68">
        <f>IF($A68="","",SUMIFS('Таблиця 1'!$K:$K,'Таблиця 1'!$B:$B,$A68,'Таблиця 1'!$I:$I,"Mi-8",'Таблиця 1'!$J:$J,"Hydra-70")+SUMIFS('Таблиця 1'!$K:$K,'Таблиця 1'!$B:$B,$A68,'Таблиця 1'!$I:$I,"Mi-24",'Таблиця 1'!$J:$J,"Hydra-70"))</f>
        <v/>
      </c>
      <c r="K68">
        <f>IF($A68="","",SUMIFS('Таблиця 1'!$K:$K,'Таблиця 1'!$B:$B,$A68,'Таблиця 1'!$I:$I,"Mi-8",'Таблиця 1'!$J:$J,"Thales-70")+SUMIFS('Таблиця 1'!$K:$K,'Таблиця 1'!$B:$B,$A68,'Таблиця 1'!$I:$I,"Mi-24",'Таблиця 1'!$J:$J,"Thales-70"))</f>
        <v/>
      </c>
      <c r="L68">
        <f>IF($A68="","",SUMIFS('Таблиця 1'!$K:$K,'Таблиця 1'!$B:$B,$A68,'Таблиця 1'!$I:$I,"Mi-8",'Таблиця 1'!$J:$J,"Thales-FZ")+SUMIFS('Таблиця 1'!$K:$K,'Таблиця 1'!$B:$B,$A68,'Таблиця 1'!$I:$I,"Mi-24",'Таблиця 1'!$J:$J,"Thales-FZ"))</f>
        <v/>
      </c>
      <c r="M68">
        <f>IF($A68="","",SUMIFS('Таблиця 1'!$K:$K,'Таблиця 1'!$B:$B,$A68,'Таблиця 1'!$I:$I,"Mi-8",'Таблиця 1'!$J:$J,"МК-40")+SUMIFS('Таблиця 1'!$K:$K,'Таблиця 1'!$B:$B,$A68,'Таблиця 1'!$I:$I,"Mi-24",'Таблиця 1'!$J:$J,"МК-40"))</f>
        <v/>
      </c>
      <c r="N68">
        <f>IF($A68="","",SUMIFS('Таблиця 1'!$K:$K,'Таблиця 1'!$B:$B,$A68,'Таблиця 1'!$I:$I,"Mi-8",'Таблиця 1'!$J:$J,"Zuni")+SUMIFS('Таблиця 1'!$K:$K,'Таблиця 1'!$B:$B,$A68,'Таблиця 1'!$I:$I,"Mi-24",'Таблиця 1'!$J:$J,"Zuni"))</f>
        <v/>
      </c>
      <c r="O68">
        <f>IF($A68="","",COUNTIFS('Таблиця 1'!$B:$B,$A68,'Таблиця 1'!$I:$I,"Mi-8",'Таблиця 1'!$L:$L,"Уражено")+COUNTIFS('Таблиця 1'!$B:$B,$A68,'Таблиця 1'!$I:$I,"Mi-24",'Таблиця 1'!$L:$L,"Уражено"))</f>
        <v/>
      </c>
      <c r="P68">
        <f>IF($A68="","",COUNTIFS('Таблиця 1'!$B:$B,$A68,'Таблиця 1'!$I:$I,"Mi-8",'Таблиця 1'!$L:$L,"НЕ уражено")+COUNTIFS('Таблиця 1'!$B:$B,$A68,'Таблиця 1'!$I:$I,"Mi-24",'Таблиця 1'!$L:$L,"НЕ уражено"))</f>
        <v/>
      </c>
    </row>
    <row r="69">
      <c r="A69" s="273">
        <f>IF(A68="","",IF(A68+1&gt;MAX('Таблиця 1'!$B:$B),"",A68+1))</f>
        <v/>
      </c>
      <c r="B69">
        <f>IF($A69="","",COUNTIFS('Таблиця 1'!$B:$B,$A69,'Таблиця 1'!$I:$I,"Mi-8")+COUNTIFS('Таблиця 1'!$B:$B,$A69,'Таблиця 1'!$I:$I,"Mi-24"))</f>
        <v/>
      </c>
      <c r="C69">
        <f>IF($A69="","",COUNTIFS('Таблиця 1'!$B:$B,$A69,'Таблиця 1'!$I:$I,"Mi-8"))</f>
        <v/>
      </c>
      <c r="D69">
        <f>IF($A69="","",COUNTIFS('Таблиця 1'!$B:$B,$A69,'Таблиця 1'!$I:$I,"Mi-24"))</f>
        <v/>
      </c>
      <c r="E69">
        <f>IF($A69="","",SUMIFS('Таблиця 1'!$K:$K,'Таблиця 1'!$B:$B,$A69,'Таблиця 1'!$I:$I,"Mi-8",'Таблиця 1'!$J:$J,"ARS-8")+SUMIFS('Таблиця 1'!$K:$K,'Таблиця 1'!$B:$B,$A69,'Таблиця 1'!$I:$I,"Mi-24",'Таблиця 1'!$J:$J,"ARS-8"))</f>
        <v/>
      </c>
      <c r="F69">
        <f>IF($A69="","",SUMIFS('Таблиця 1'!$K:$K,'Таблиця 1'!$B:$B,$A69,'Таблиця 1'!$I:$I,"Mi-8",'Таблиця 1'!$J:$J,"С-8 ком")+SUMIFS('Таблиця 1'!$K:$K,'Таблиця 1'!$B:$B,$A69,'Таблиця 1'!$I:$I,"Mi-24",'Таблиця 1'!$J:$J,"С-8 ком"))</f>
        <v/>
      </c>
      <c r="G69">
        <f>IF($A69="","",SUMIFS('Таблиця 1'!$K:$K,'Таблиця 1'!$B:$B,$A69,'Таблиця 1'!$I:$I,"Mi-8",'Таблиця 1'!$J:$J,"PC-80")+SUMIFS('Таблиця 1'!$K:$K,'Таблиця 1'!$B:$B,$A69,'Таблиця 1'!$I:$I,"Mi-24",'Таблиця 1'!$J:$J,"PC-80"))</f>
        <v/>
      </c>
      <c r="H69">
        <f>IF($A69="","",SUMIFS('Таблиця 1'!$K:$K,'Таблиця 1'!$B:$B,$A69,'Таблиця 1'!$I:$I,"Mi-8",'Таблиця 1'!$J:$J,"UAR-80")+SUMIFS('Таблиця 1'!$K:$K,'Таблиця 1'!$B:$B,$A69,'Таблиця 1'!$I:$I,"Mi-24",'Таблиця 1'!$J:$J,"UAR-80"))</f>
        <v/>
      </c>
      <c r="I69">
        <f>IF($A69="","",SUMIFS('Таблиця 1'!$K:$K,'Таблиця 1'!$B:$B,$A69,'Таблиця 1'!$I:$I,"Mi-8",'Таблиця 1'!$J:$J,"C-13")+SUMIFS('Таблиця 1'!$K:$K,'Таблиця 1'!$B:$B,$A69,'Таблиця 1'!$I:$I,"Mi-24",'Таблиця 1'!$J:$J,"C-13"))</f>
        <v/>
      </c>
      <c r="J69">
        <f>IF($A69="","",SUMIFS('Таблиця 1'!$K:$K,'Таблиця 1'!$B:$B,$A69,'Таблиця 1'!$I:$I,"Mi-8",'Таблиця 1'!$J:$J,"Hydra-70")+SUMIFS('Таблиця 1'!$K:$K,'Таблиця 1'!$B:$B,$A69,'Таблиця 1'!$I:$I,"Mi-24",'Таблиця 1'!$J:$J,"Hydra-70"))</f>
        <v/>
      </c>
      <c r="K69">
        <f>IF($A69="","",SUMIFS('Таблиця 1'!$K:$K,'Таблиця 1'!$B:$B,$A69,'Таблиця 1'!$I:$I,"Mi-8",'Таблиця 1'!$J:$J,"Thales-70")+SUMIFS('Таблиця 1'!$K:$K,'Таблиця 1'!$B:$B,$A69,'Таблиця 1'!$I:$I,"Mi-24",'Таблиця 1'!$J:$J,"Thales-70"))</f>
        <v/>
      </c>
      <c r="L69">
        <f>IF($A69="","",SUMIFS('Таблиця 1'!$K:$K,'Таблиця 1'!$B:$B,$A69,'Таблиця 1'!$I:$I,"Mi-8",'Таблиця 1'!$J:$J,"Thales-FZ")+SUMIFS('Таблиця 1'!$K:$K,'Таблиця 1'!$B:$B,$A69,'Таблиця 1'!$I:$I,"Mi-24",'Таблиця 1'!$J:$J,"Thales-FZ"))</f>
        <v/>
      </c>
      <c r="M69">
        <f>IF($A69="","",SUMIFS('Таблиця 1'!$K:$K,'Таблиця 1'!$B:$B,$A69,'Таблиця 1'!$I:$I,"Mi-8",'Таблиця 1'!$J:$J,"МК-40")+SUMIFS('Таблиця 1'!$K:$K,'Таблиця 1'!$B:$B,$A69,'Таблиця 1'!$I:$I,"Mi-24",'Таблиця 1'!$J:$J,"МК-40"))</f>
        <v/>
      </c>
      <c r="N69">
        <f>IF($A69="","",SUMIFS('Таблиця 1'!$K:$K,'Таблиця 1'!$B:$B,$A69,'Таблиця 1'!$I:$I,"Mi-8",'Таблиця 1'!$J:$J,"Zuni")+SUMIFS('Таблиця 1'!$K:$K,'Таблиця 1'!$B:$B,$A69,'Таблиця 1'!$I:$I,"Mi-24",'Таблиця 1'!$J:$J,"Zuni"))</f>
        <v/>
      </c>
      <c r="O69">
        <f>IF($A69="","",COUNTIFS('Таблиця 1'!$B:$B,$A69,'Таблиця 1'!$I:$I,"Mi-8",'Таблиця 1'!$L:$L,"Уражено")+COUNTIFS('Таблиця 1'!$B:$B,$A69,'Таблиця 1'!$I:$I,"Mi-24",'Таблиця 1'!$L:$L,"Уражено"))</f>
        <v/>
      </c>
      <c r="P69">
        <f>IF($A69="","",COUNTIFS('Таблиця 1'!$B:$B,$A69,'Таблиця 1'!$I:$I,"Mi-8",'Таблиця 1'!$L:$L,"НЕ уражено")+COUNTIFS('Таблиця 1'!$B:$B,$A69,'Таблиця 1'!$I:$I,"Mi-24",'Таблиця 1'!$L:$L,"НЕ уражено"))</f>
        <v/>
      </c>
    </row>
    <row r="70">
      <c r="A70" s="273">
        <f>IF(A69="","",IF(A69+1&gt;MAX('Таблиця 1'!$B:$B),"",A69+1))</f>
        <v/>
      </c>
      <c r="B70">
        <f>IF($A70="","",COUNTIFS('Таблиця 1'!$B:$B,$A70,'Таблиця 1'!$I:$I,"Mi-8")+COUNTIFS('Таблиця 1'!$B:$B,$A70,'Таблиця 1'!$I:$I,"Mi-24"))</f>
        <v/>
      </c>
      <c r="C70">
        <f>IF($A70="","",COUNTIFS('Таблиця 1'!$B:$B,$A70,'Таблиця 1'!$I:$I,"Mi-8"))</f>
        <v/>
      </c>
      <c r="D70">
        <f>IF($A70="","",COUNTIFS('Таблиця 1'!$B:$B,$A70,'Таблиця 1'!$I:$I,"Mi-24"))</f>
        <v/>
      </c>
      <c r="E70">
        <f>IF($A70="","",SUMIFS('Таблиця 1'!$K:$K,'Таблиця 1'!$B:$B,$A70,'Таблиця 1'!$I:$I,"Mi-8",'Таблиця 1'!$J:$J,"ARS-8")+SUMIFS('Таблиця 1'!$K:$K,'Таблиця 1'!$B:$B,$A70,'Таблиця 1'!$I:$I,"Mi-24",'Таблиця 1'!$J:$J,"ARS-8"))</f>
        <v/>
      </c>
      <c r="F70">
        <f>IF($A70="","",SUMIFS('Таблиця 1'!$K:$K,'Таблиця 1'!$B:$B,$A70,'Таблиця 1'!$I:$I,"Mi-8",'Таблиця 1'!$J:$J,"С-8 ком")+SUMIFS('Таблиця 1'!$K:$K,'Таблиця 1'!$B:$B,$A70,'Таблиця 1'!$I:$I,"Mi-24",'Таблиця 1'!$J:$J,"С-8 ком"))</f>
        <v/>
      </c>
      <c r="G70">
        <f>IF($A70="","",SUMIFS('Таблиця 1'!$K:$K,'Таблиця 1'!$B:$B,$A70,'Таблиця 1'!$I:$I,"Mi-8",'Таблиця 1'!$J:$J,"PC-80")+SUMIFS('Таблиця 1'!$K:$K,'Таблиця 1'!$B:$B,$A70,'Таблиця 1'!$I:$I,"Mi-24",'Таблиця 1'!$J:$J,"PC-80"))</f>
        <v/>
      </c>
      <c r="H70">
        <f>IF($A70="","",SUMIFS('Таблиця 1'!$K:$K,'Таблиця 1'!$B:$B,$A70,'Таблиця 1'!$I:$I,"Mi-8",'Таблиця 1'!$J:$J,"UAR-80")+SUMIFS('Таблиця 1'!$K:$K,'Таблиця 1'!$B:$B,$A70,'Таблиця 1'!$I:$I,"Mi-24",'Таблиця 1'!$J:$J,"UAR-80"))</f>
        <v/>
      </c>
      <c r="I70">
        <f>IF($A70="","",SUMIFS('Таблиця 1'!$K:$K,'Таблиця 1'!$B:$B,$A70,'Таблиця 1'!$I:$I,"Mi-8",'Таблиця 1'!$J:$J,"C-13")+SUMIFS('Таблиця 1'!$K:$K,'Таблиця 1'!$B:$B,$A70,'Таблиця 1'!$I:$I,"Mi-24",'Таблиця 1'!$J:$J,"C-13"))</f>
        <v/>
      </c>
      <c r="J70">
        <f>IF($A70="","",SUMIFS('Таблиця 1'!$K:$K,'Таблиця 1'!$B:$B,$A70,'Таблиця 1'!$I:$I,"Mi-8",'Таблиця 1'!$J:$J,"Hydra-70")+SUMIFS('Таблиця 1'!$K:$K,'Таблиця 1'!$B:$B,$A70,'Таблиця 1'!$I:$I,"Mi-24",'Таблиця 1'!$J:$J,"Hydra-70"))</f>
        <v/>
      </c>
      <c r="K70">
        <f>IF($A70="","",SUMIFS('Таблиця 1'!$K:$K,'Таблиця 1'!$B:$B,$A70,'Таблиця 1'!$I:$I,"Mi-8",'Таблиця 1'!$J:$J,"Thales-70")+SUMIFS('Таблиця 1'!$K:$K,'Таблиця 1'!$B:$B,$A70,'Таблиця 1'!$I:$I,"Mi-24",'Таблиця 1'!$J:$J,"Thales-70"))</f>
        <v/>
      </c>
      <c r="L70">
        <f>IF($A70="","",SUMIFS('Таблиця 1'!$K:$K,'Таблиця 1'!$B:$B,$A70,'Таблиця 1'!$I:$I,"Mi-8",'Таблиця 1'!$J:$J,"Thales-FZ")+SUMIFS('Таблиця 1'!$K:$K,'Таблиця 1'!$B:$B,$A70,'Таблиця 1'!$I:$I,"Mi-24",'Таблиця 1'!$J:$J,"Thales-FZ"))</f>
        <v/>
      </c>
      <c r="M70">
        <f>IF($A70="","",SUMIFS('Таблиця 1'!$K:$K,'Таблиця 1'!$B:$B,$A70,'Таблиця 1'!$I:$I,"Mi-8",'Таблиця 1'!$J:$J,"МК-40")+SUMIFS('Таблиця 1'!$K:$K,'Таблиця 1'!$B:$B,$A70,'Таблиця 1'!$I:$I,"Mi-24",'Таблиця 1'!$J:$J,"МК-40"))</f>
        <v/>
      </c>
      <c r="N70">
        <f>IF($A70="","",SUMIFS('Таблиця 1'!$K:$K,'Таблиця 1'!$B:$B,$A70,'Таблиця 1'!$I:$I,"Mi-8",'Таблиця 1'!$J:$J,"Zuni")+SUMIFS('Таблиця 1'!$K:$K,'Таблиця 1'!$B:$B,$A70,'Таблиця 1'!$I:$I,"Mi-24",'Таблиця 1'!$J:$J,"Zuni"))</f>
        <v/>
      </c>
      <c r="O70">
        <f>IF($A70="","",COUNTIFS('Таблиця 1'!$B:$B,$A70,'Таблиця 1'!$I:$I,"Mi-8",'Таблиця 1'!$L:$L,"Уражено")+COUNTIFS('Таблиця 1'!$B:$B,$A70,'Таблиця 1'!$I:$I,"Mi-24",'Таблиця 1'!$L:$L,"Уражено"))</f>
        <v/>
      </c>
      <c r="P70">
        <f>IF($A70="","",COUNTIFS('Таблиця 1'!$B:$B,$A70,'Таблиця 1'!$I:$I,"Mi-8",'Таблиця 1'!$L:$L,"НЕ уражено")+COUNTIFS('Таблиця 1'!$B:$B,$A70,'Таблиця 1'!$I:$I,"Mi-24",'Таблиця 1'!$L:$L,"НЕ уражено"))</f>
        <v/>
      </c>
    </row>
    <row r="71">
      <c r="A71" s="273">
        <f>IF(A70="","",IF(A70+1&gt;MAX('Таблиця 1'!$B:$B),"",A70+1))</f>
        <v/>
      </c>
      <c r="B71">
        <f>IF($A71="","",COUNTIFS('Таблиця 1'!$B:$B,$A71,'Таблиця 1'!$I:$I,"Mi-8")+COUNTIFS('Таблиця 1'!$B:$B,$A71,'Таблиця 1'!$I:$I,"Mi-24"))</f>
        <v/>
      </c>
      <c r="C71">
        <f>IF($A71="","",COUNTIFS('Таблиця 1'!$B:$B,$A71,'Таблиця 1'!$I:$I,"Mi-8"))</f>
        <v/>
      </c>
      <c r="D71">
        <f>IF($A71="","",COUNTIFS('Таблиця 1'!$B:$B,$A71,'Таблиця 1'!$I:$I,"Mi-24"))</f>
        <v/>
      </c>
      <c r="E71">
        <f>IF($A71="","",SUMIFS('Таблиця 1'!$K:$K,'Таблиця 1'!$B:$B,$A71,'Таблиця 1'!$I:$I,"Mi-8",'Таблиця 1'!$J:$J,"ARS-8")+SUMIFS('Таблиця 1'!$K:$K,'Таблиця 1'!$B:$B,$A71,'Таблиця 1'!$I:$I,"Mi-24",'Таблиця 1'!$J:$J,"ARS-8"))</f>
        <v/>
      </c>
      <c r="F71">
        <f>IF($A71="","",SUMIFS('Таблиця 1'!$K:$K,'Таблиця 1'!$B:$B,$A71,'Таблиця 1'!$I:$I,"Mi-8",'Таблиця 1'!$J:$J,"С-8 ком")+SUMIFS('Таблиця 1'!$K:$K,'Таблиця 1'!$B:$B,$A71,'Таблиця 1'!$I:$I,"Mi-24",'Таблиця 1'!$J:$J,"С-8 ком"))</f>
        <v/>
      </c>
      <c r="G71">
        <f>IF($A71="","",SUMIFS('Таблиця 1'!$K:$K,'Таблиця 1'!$B:$B,$A71,'Таблиця 1'!$I:$I,"Mi-8",'Таблиця 1'!$J:$J,"PC-80")+SUMIFS('Таблиця 1'!$K:$K,'Таблиця 1'!$B:$B,$A71,'Таблиця 1'!$I:$I,"Mi-24",'Таблиця 1'!$J:$J,"PC-80"))</f>
        <v/>
      </c>
      <c r="H71">
        <f>IF($A71="","",SUMIFS('Таблиця 1'!$K:$K,'Таблиця 1'!$B:$B,$A71,'Таблиця 1'!$I:$I,"Mi-8",'Таблиця 1'!$J:$J,"UAR-80")+SUMIFS('Таблиця 1'!$K:$K,'Таблиця 1'!$B:$B,$A71,'Таблиця 1'!$I:$I,"Mi-24",'Таблиця 1'!$J:$J,"UAR-80"))</f>
        <v/>
      </c>
      <c r="I71">
        <f>IF($A71="","",SUMIFS('Таблиця 1'!$K:$K,'Таблиця 1'!$B:$B,$A71,'Таблиця 1'!$I:$I,"Mi-8",'Таблиця 1'!$J:$J,"C-13")+SUMIFS('Таблиця 1'!$K:$K,'Таблиця 1'!$B:$B,$A71,'Таблиця 1'!$I:$I,"Mi-24",'Таблиця 1'!$J:$J,"C-13"))</f>
        <v/>
      </c>
      <c r="J71">
        <f>IF($A71="","",SUMIFS('Таблиця 1'!$K:$K,'Таблиця 1'!$B:$B,$A71,'Таблиця 1'!$I:$I,"Mi-8",'Таблиця 1'!$J:$J,"Hydra-70")+SUMIFS('Таблиця 1'!$K:$K,'Таблиця 1'!$B:$B,$A71,'Таблиця 1'!$I:$I,"Mi-24",'Таблиця 1'!$J:$J,"Hydra-70"))</f>
        <v/>
      </c>
      <c r="K71">
        <f>IF($A71="","",SUMIFS('Таблиця 1'!$K:$K,'Таблиця 1'!$B:$B,$A71,'Таблиця 1'!$I:$I,"Mi-8",'Таблиця 1'!$J:$J,"Thales-70")+SUMIFS('Таблиця 1'!$K:$K,'Таблиця 1'!$B:$B,$A71,'Таблиця 1'!$I:$I,"Mi-24",'Таблиця 1'!$J:$J,"Thales-70"))</f>
        <v/>
      </c>
      <c r="L71">
        <f>IF($A71="","",SUMIFS('Таблиця 1'!$K:$K,'Таблиця 1'!$B:$B,$A71,'Таблиця 1'!$I:$I,"Mi-8",'Таблиця 1'!$J:$J,"Thales-FZ")+SUMIFS('Таблиця 1'!$K:$K,'Таблиця 1'!$B:$B,$A71,'Таблиця 1'!$I:$I,"Mi-24",'Таблиця 1'!$J:$J,"Thales-FZ"))</f>
        <v/>
      </c>
      <c r="M71">
        <f>IF($A71="","",SUMIFS('Таблиця 1'!$K:$K,'Таблиця 1'!$B:$B,$A71,'Таблиця 1'!$I:$I,"Mi-8",'Таблиця 1'!$J:$J,"МК-40")+SUMIFS('Таблиця 1'!$K:$K,'Таблиця 1'!$B:$B,$A71,'Таблиця 1'!$I:$I,"Mi-24",'Таблиця 1'!$J:$J,"МК-40"))</f>
        <v/>
      </c>
      <c r="N71">
        <f>IF($A71="","",SUMIFS('Таблиця 1'!$K:$K,'Таблиця 1'!$B:$B,$A71,'Таблиця 1'!$I:$I,"Mi-8",'Таблиця 1'!$J:$J,"Zuni")+SUMIFS('Таблиця 1'!$K:$K,'Таблиця 1'!$B:$B,$A71,'Таблиця 1'!$I:$I,"Mi-24",'Таблиця 1'!$J:$J,"Zuni"))</f>
        <v/>
      </c>
      <c r="O71">
        <f>IF($A71="","",COUNTIFS('Таблиця 1'!$B:$B,$A71,'Таблиця 1'!$I:$I,"Mi-8",'Таблиця 1'!$L:$L,"Уражено")+COUNTIFS('Таблиця 1'!$B:$B,$A71,'Таблиця 1'!$I:$I,"Mi-24",'Таблиця 1'!$L:$L,"Уражено"))</f>
        <v/>
      </c>
      <c r="P71">
        <f>IF($A71="","",COUNTIFS('Таблиця 1'!$B:$B,$A71,'Таблиця 1'!$I:$I,"Mi-8",'Таблиця 1'!$L:$L,"НЕ уражено")+COUNTIFS('Таблиця 1'!$B:$B,$A71,'Таблиця 1'!$I:$I,"Mi-24",'Таблиця 1'!$L:$L,"НЕ уражено"))</f>
        <v/>
      </c>
    </row>
    <row r="72">
      <c r="A72" s="273">
        <f>IF(A71="","",IF(A71+1&gt;MAX('Таблиця 1'!$B:$B),"",A71+1))</f>
        <v/>
      </c>
      <c r="B72">
        <f>IF($A72="","",COUNTIFS('Таблиця 1'!$B:$B,$A72,'Таблиця 1'!$I:$I,"Mi-8")+COUNTIFS('Таблиця 1'!$B:$B,$A72,'Таблиця 1'!$I:$I,"Mi-24"))</f>
        <v/>
      </c>
      <c r="C72">
        <f>IF($A72="","",COUNTIFS('Таблиця 1'!$B:$B,$A72,'Таблиця 1'!$I:$I,"Mi-8"))</f>
        <v/>
      </c>
      <c r="D72">
        <f>IF($A72="","",COUNTIFS('Таблиця 1'!$B:$B,$A72,'Таблиця 1'!$I:$I,"Mi-24"))</f>
        <v/>
      </c>
      <c r="E72">
        <f>IF($A72="","",SUMIFS('Таблиця 1'!$K:$K,'Таблиця 1'!$B:$B,$A72,'Таблиця 1'!$I:$I,"Mi-8",'Таблиця 1'!$J:$J,"ARS-8")+SUMIFS('Таблиця 1'!$K:$K,'Таблиця 1'!$B:$B,$A72,'Таблиця 1'!$I:$I,"Mi-24",'Таблиця 1'!$J:$J,"ARS-8"))</f>
        <v/>
      </c>
      <c r="F72">
        <f>IF($A72="","",SUMIFS('Таблиця 1'!$K:$K,'Таблиця 1'!$B:$B,$A72,'Таблиця 1'!$I:$I,"Mi-8",'Таблиця 1'!$J:$J,"С-8 ком")+SUMIFS('Таблиця 1'!$K:$K,'Таблиця 1'!$B:$B,$A72,'Таблиця 1'!$I:$I,"Mi-24",'Таблиця 1'!$J:$J,"С-8 ком"))</f>
        <v/>
      </c>
      <c r="G72">
        <f>IF($A72="","",SUMIFS('Таблиця 1'!$K:$K,'Таблиця 1'!$B:$B,$A72,'Таблиця 1'!$I:$I,"Mi-8",'Таблиця 1'!$J:$J,"PC-80")+SUMIFS('Таблиця 1'!$K:$K,'Таблиця 1'!$B:$B,$A72,'Таблиця 1'!$I:$I,"Mi-24",'Таблиця 1'!$J:$J,"PC-80"))</f>
        <v/>
      </c>
      <c r="H72">
        <f>IF($A72="","",SUMIFS('Таблиця 1'!$K:$K,'Таблиця 1'!$B:$B,$A72,'Таблиця 1'!$I:$I,"Mi-8",'Таблиця 1'!$J:$J,"UAR-80")+SUMIFS('Таблиця 1'!$K:$K,'Таблиця 1'!$B:$B,$A72,'Таблиця 1'!$I:$I,"Mi-24",'Таблиця 1'!$J:$J,"UAR-80"))</f>
        <v/>
      </c>
      <c r="I72">
        <f>IF($A72="","",SUMIFS('Таблиця 1'!$K:$K,'Таблиця 1'!$B:$B,$A72,'Таблиця 1'!$I:$I,"Mi-8",'Таблиця 1'!$J:$J,"C-13")+SUMIFS('Таблиця 1'!$K:$K,'Таблиця 1'!$B:$B,$A72,'Таблиця 1'!$I:$I,"Mi-24",'Таблиця 1'!$J:$J,"C-13"))</f>
        <v/>
      </c>
      <c r="J72">
        <f>IF($A72="","",SUMIFS('Таблиця 1'!$K:$K,'Таблиця 1'!$B:$B,$A72,'Таблиця 1'!$I:$I,"Mi-8",'Таблиця 1'!$J:$J,"Hydra-70")+SUMIFS('Таблиця 1'!$K:$K,'Таблиця 1'!$B:$B,$A72,'Таблиця 1'!$I:$I,"Mi-24",'Таблиця 1'!$J:$J,"Hydra-70"))</f>
        <v/>
      </c>
      <c r="K72">
        <f>IF($A72="","",SUMIFS('Таблиця 1'!$K:$K,'Таблиця 1'!$B:$B,$A72,'Таблиця 1'!$I:$I,"Mi-8",'Таблиця 1'!$J:$J,"Thales-70")+SUMIFS('Таблиця 1'!$K:$K,'Таблиця 1'!$B:$B,$A72,'Таблиця 1'!$I:$I,"Mi-24",'Таблиця 1'!$J:$J,"Thales-70"))</f>
        <v/>
      </c>
      <c r="L72">
        <f>IF($A72="","",SUMIFS('Таблиця 1'!$K:$K,'Таблиця 1'!$B:$B,$A72,'Таблиця 1'!$I:$I,"Mi-8",'Таблиця 1'!$J:$J,"Thales-FZ")+SUMIFS('Таблиця 1'!$K:$K,'Таблиця 1'!$B:$B,$A72,'Таблиця 1'!$I:$I,"Mi-24",'Таблиця 1'!$J:$J,"Thales-FZ"))</f>
        <v/>
      </c>
      <c r="M72">
        <f>IF($A72="","",SUMIFS('Таблиця 1'!$K:$K,'Таблиця 1'!$B:$B,$A72,'Таблиця 1'!$I:$I,"Mi-8",'Таблиця 1'!$J:$J,"МК-40")+SUMIFS('Таблиця 1'!$K:$K,'Таблиця 1'!$B:$B,$A72,'Таблиця 1'!$I:$I,"Mi-24",'Таблиця 1'!$J:$J,"МК-40"))</f>
        <v/>
      </c>
      <c r="N72">
        <f>IF($A72="","",SUMIFS('Таблиця 1'!$K:$K,'Таблиця 1'!$B:$B,$A72,'Таблиця 1'!$I:$I,"Mi-8",'Таблиця 1'!$J:$J,"Zuni")+SUMIFS('Таблиця 1'!$K:$K,'Таблиця 1'!$B:$B,$A72,'Таблиця 1'!$I:$I,"Mi-24",'Таблиця 1'!$J:$J,"Zuni"))</f>
        <v/>
      </c>
      <c r="O72">
        <f>IF($A72="","",COUNTIFS('Таблиця 1'!$B:$B,$A72,'Таблиця 1'!$I:$I,"Mi-8",'Таблиця 1'!$L:$L,"Уражено")+COUNTIFS('Таблиця 1'!$B:$B,$A72,'Таблиця 1'!$I:$I,"Mi-24",'Таблиця 1'!$L:$L,"Уражено"))</f>
        <v/>
      </c>
      <c r="P72">
        <f>IF($A72="","",COUNTIFS('Таблиця 1'!$B:$B,$A72,'Таблиця 1'!$I:$I,"Mi-8",'Таблиця 1'!$L:$L,"НЕ уражено")+COUNTIFS('Таблиця 1'!$B:$B,$A72,'Таблиця 1'!$I:$I,"Mi-24",'Таблиця 1'!$L:$L,"НЕ уражено"))</f>
        <v/>
      </c>
    </row>
    <row r="73">
      <c r="A73" s="273">
        <f>IF(A72="","",IF(A72+1&gt;MAX('Таблиця 1'!$B:$B),"",A72+1))</f>
        <v/>
      </c>
      <c r="B73">
        <f>IF($A73="","",COUNTIFS('Таблиця 1'!$B:$B,$A73,'Таблиця 1'!$I:$I,"Mi-8")+COUNTIFS('Таблиця 1'!$B:$B,$A73,'Таблиця 1'!$I:$I,"Mi-24"))</f>
        <v/>
      </c>
      <c r="C73">
        <f>IF($A73="","",COUNTIFS('Таблиця 1'!$B:$B,$A73,'Таблиця 1'!$I:$I,"Mi-8"))</f>
        <v/>
      </c>
      <c r="D73">
        <f>IF($A73="","",COUNTIFS('Таблиця 1'!$B:$B,$A73,'Таблиця 1'!$I:$I,"Mi-24"))</f>
        <v/>
      </c>
      <c r="E73">
        <f>IF($A73="","",SUMIFS('Таблиця 1'!$K:$K,'Таблиця 1'!$B:$B,$A73,'Таблиця 1'!$I:$I,"Mi-8",'Таблиця 1'!$J:$J,"ARS-8")+SUMIFS('Таблиця 1'!$K:$K,'Таблиця 1'!$B:$B,$A73,'Таблиця 1'!$I:$I,"Mi-24",'Таблиця 1'!$J:$J,"ARS-8"))</f>
        <v/>
      </c>
      <c r="F73">
        <f>IF($A73="","",SUMIFS('Таблиця 1'!$K:$K,'Таблиця 1'!$B:$B,$A73,'Таблиця 1'!$I:$I,"Mi-8",'Таблиця 1'!$J:$J,"С-8 ком")+SUMIFS('Таблиця 1'!$K:$K,'Таблиця 1'!$B:$B,$A73,'Таблиця 1'!$I:$I,"Mi-24",'Таблиця 1'!$J:$J,"С-8 ком"))</f>
        <v/>
      </c>
      <c r="G73">
        <f>IF($A73="","",SUMIFS('Таблиця 1'!$K:$K,'Таблиця 1'!$B:$B,$A73,'Таблиця 1'!$I:$I,"Mi-8",'Таблиця 1'!$J:$J,"PC-80")+SUMIFS('Таблиця 1'!$K:$K,'Таблиця 1'!$B:$B,$A73,'Таблиця 1'!$I:$I,"Mi-24",'Таблиця 1'!$J:$J,"PC-80"))</f>
        <v/>
      </c>
      <c r="H73">
        <f>IF($A73="","",SUMIFS('Таблиця 1'!$K:$K,'Таблиця 1'!$B:$B,$A73,'Таблиця 1'!$I:$I,"Mi-8",'Таблиця 1'!$J:$J,"UAR-80")+SUMIFS('Таблиця 1'!$K:$K,'Таблиця 1'!$B:$B,$A73,'Таблиця 1'!$I:$I,"Mi-24",'Таблиця 1'!$J:$J,"UAR-80"))</f>
        <v/>
      </c>
      <c r="I73">
        <f>IF($A73="","",SUMIFS('Таблиця 1'!$K:$K,'Таблиця 1'!$B:$B,$A73,'Таблиця 1'!$I:$I,"Mi-8",'Таблиця 1'!$J:$J,"C-13")+SUMIFS('Таблиця 1'!$K:$K,'Таблиця 1'!$B:$B,$A73,'Таблиця 1'!$I:$I,"Mi-24",'Таблиця 1'!$J:$J,"C-13"))</f>
        <v/>
      </c>
      <c r="J73">
        <f>IF($A73="","",SUMIFS('Таблиця 1'!$K:$K,'Таблиця 1'!$B:$B,$A73,'Таблиця 1'!$I:$I,"Mi-8",'Таблиця 1'!$J:$J,"Hydra-70")+SUMIFS('Таблиця 1'!$K:$K,'Таблиця 1'!$B:$B,$A73,'Таблиця 1'!$I:$I,"Mi-24",'Таблиця 1'!$J:$J,"Hydra-70"))</f>
        <v/>
      </c>
      <c r="K73">
        <f>IF($A73="","",SUMIFS('Таблиця 1'!$K:$K,'Таблиця 1'!$B:$B,$A73,'Таблиця 1'!$I:$I,"Mi-8",'Таблиця 1'!$J:$J,"Thales-70")+SUMIFS('Таблиця 1'!$K:$K,'Таблиця 1'!$B:$B,$A73,'Таблиця 1'!$I:$I,"Mi-24",'Таблиця 1'!$J:$J,"Thales-70"))</f>
        <v/>
      </c>
      <c r="L73">
        <f>IF($A73="","",SUMIFS('Таблиця 1'!$K:$K,'Таблиця 1'!$B:$B,$A73,'Таблиця 1'!$I:$I,"Mi-8",'Таблиця 1'!$J:$J,"Thales-FZ")+SUMIFS('Таблиця 1'!$K:$K,'Таблиця 1'!$B:$B,$A73,'Таблиця 1'!$I:$I,"Mi-24",'Таблиця 1'!$J:$J,"Thales-FZ"))</f>
        <v/>
      </c>
      <c r="M73">
        <f>IF($A73="","",SUMIFS('Таблиця 1'!$K:$K,'Таблиця 1'!$B:$B,$A73,'Таблиця 1'!$I:$I,"Mi-8",'Таблиця 1'!$J:$J,"МК-40")+SUMIFS('Таблиця 1'!$K:$K,'Таблиця 1'!$B:$B,$A73,'Таблиця 1'!$I:$I,"Mi-24",'Таблиця 1'!$J:$J,"МК-40"))</f>
        <v/>
      </c>
      <c r="N73">
        <f>IF($A73="","",SUMIFS('Таблиця 1'!$K:$K,'Таблиця 1'!$B:$B,$A73,'Таблиця 1'!$I:$I,"Mi-8",'Таблиця 1'!$J:$J,"Zuni")+SUMIFS('Таблиця 1'!$K:$K,'Таблиця 1'!$B:$B,$A73,'Таблиця 1'!$I:$I,"Mi-24",'Таблиця 1'!$J:$J,"Zuni"))</f>
        <v/>
      </c>
      <c r="O73">
        <f>IF($A73="","",COUNTIFS('Таблиця 1'!$B:$B,$A73,'Таблиця 1'!$I:$I,"Mi-8",'Таблиця 1'!$L:$L,"Уражено")+COUNTIFS('Таблиця 1'!$B:$B,$A73,'Таблиця 1'!$I:$I,"Mi-24",'Таблиця 1'!$L:$L,"Уражено"))</f>
        <v/>
      </c>
      <c r="P73">
        <f>IF($A73="","",COUNTIFS('Таблиця 1'!$B:$B,$A73,'Таблиця 1'!$I:$I,"Mi-8",'Таблиця 1'!$L:$L,"НЕ уражено")+COUNTIFS('Таблиця 1'!$B:$B,$A73,'Таблиця 1'!$I:$I,"Mi-24",'Таблиця 1'!$L:$L,"НЕ уражено"))</f>
        <v/>
      </c>
    </row>
    <row r="74">
      <c r="A74" s="273">
        <f>IF(A73="","",IF(A73+1&gt;MAX('Таблиця 1'!$B:$B),"",A73+1))</f>
        <v/>
      </c>
      <c r="B74">
        <f>IF($A74="","",COUNTIFS('Таблиця 1'!$B:$B,$A74,'Таблиця 1'!$I:$I,"Mi-8")+COUNTIFS('Таблиця 1'!$B:$B,$A74,'Таблиця 1'!$I:$I,"Mi-24"))</f>
        <v/>
      </c>
      <c r="C74">
        <f>IF($A74="","",COUNTIFS('Таблиця 1'!$B:$B,$A74,'Таблиця 1'!$I:$I,"Mi-8"))</f>
        <v/>
      </c>
      <c r="D74">
        <f>IF($A74="","",COUNTIFS('Таблиця 1'!$B:$B,$A74,'Таблиця 1'!$I:$I,"Mi-24"))</f>
        <v/>
      </c>
      <c r="E74">
        <f>IF($A74="","",SUMIFS('Таблиця 1'!$K:$K,'Таблиця 1'!$B:$B,$A74,'Таблиця 1'!$I:$I,"Mi-8",'Таблиця 1'!$J:$J,"ARS-8")+SUMIFS('Таблиця 1'!$K:$K,'Таблиця 1'!$B:$B,$A74,'Таблиця 1'!$I:$I,"Mi-24",'Таблиця 1'!$J:$J,"ARS-8"))</f>
        <v/>
      </c>
      <c r="F74">
        <f>IF($A74="","",SUMIFS('Таблиця 1'!$K:$K,'Таблиця 1'!$B:$B,$A74,'Таблиця 1'!$I:$I,"Mi-8",'Таблиця 1'!$J:$J,"С-8 ком")+SUMIFS('Таблиця 1'!$K:$K,'Таблиця 1'!$B:$B,$A74,'Таблиця 1'!$I:$I,"Mi-24",'Таблиця 1'!$J:$J,"С-8 ком"))</f>
        <v/>
      </c>
      <c r="G74">
        <f>IF($A74="","",SUMIFS('Таблиця 1'!$K:$K,'Таблиця 1'!$B:$B,$A74,'Таблиця 1'!$I:$I,"Mi-8",'Таблиця 1'!$J:$J,"PC-80")+SUMIFS('Таблиця 1'!$K:$K,'Таблиця 1'!$B:$B,$A74,'Таблиця 1'!$I:$I,"Mi-24",'Таблиця 1'!$J:$J,"PC-80"))</f>
        <v/>
      </c>
      <c r="H74">
        <f>IF($A74="","",SUMIFS('Таблиця 1'!$K:$K,'Таблиця 1'!$B:$B,$A74,'Таблиця 1'!$I:$I,"Mi-8",'Таблиця 1'!$J:$J,"UAR-80")+SUMIFS('Таблиця 1'!$K:$K,'Таблиця 1'!$B:$B,$A74,'Таблиця 1'!$I:$I,"Mi-24",'Таблиця 1'!$J:$J,"UAR-80"))</f>
        <v/>
      </c>
      <c r="I74">
        <f>IF($A74="","",SUMIFS('Таблиця 1'!$K:$K,'Таблиця 1'!$B:$B,$A74,'Таблиця 1'!$I:$I,"Mi-8",'Таблиця 1'!$J:$J,"C-13")+SUMIFS('Таблиця 1'!$K:$K,'Таблиця 1'!$B:$B,$A74,'Таблиця 1'!$I:$I,"Mi-24",'Таблиця 1'!$J:$J,"C-13"))</f>
        <v/>
      </c>
      <c r="J74">
        <f>IF($A74="","",SUMIFS('Таблиця 1'!$K:$K,'Таблиця 1'!$B:$B,$A74,'Таблиця 1'!$I:$I,"Mi-8",'Таблиця 1'!$J:$J,"Hydra-70")+SUMIFS('Таблиця 1'!$K:$K,'Таблиця 1'!$B:$B,$A74,'Таблиця 1'!$I:$I,"Mi-24",'Таблиця 1'!$J:$J,"Hydra-70"))</f>
        <v/>
      </c>
      <c r="K74">
        <f>IF($A74="","",SUMIFS('Таблиця 1'!$K:$K,'Таблиця 1'!$B:$B,$A74,'Таблиця 1'!$I:$I,"Mi-8",'Таблиця 1'!$J:$J,"Thales-70")+SUMIFS('Таблиця 1'!$K:$K,'Таблиця 1'!$B:$B,$A74,'Таблиця 1'!$I:$I,"Mi-24",'Таблиця 1'!$J:$J,"Thales-70"))</f>
        <v/>
      </c>
      <c r="L74">
        <f>IF($A74="","",SUMIFS('Таблиця 1'!$K:$K,'Таблиця 1'!$B:$B,$A74,'Таблиця 1'!$I:$I,"Mi-8",'Таблиця 1'!$J:$J,"Thales-FZ")+SUMIFS('Таблиця 1'!$K:$K,'Таблиця 1'!$B:$B,$A74,'Таблиця 1'!$I:$I,"Mi-24",'Таблиця 1'!$J:$J,"Thales-FZ"))</f>
        <v/>
      </c>
      <c r="M74">
        <f>IF($A74="","",SUMIFS('Таблиця 1'!$K:$K,'Таблиця 1'!$B:$B,$A74,'Таблиця 1'!$I:$I,"Mi-8",'Таблиця 1'!$J:$J,"МК-40")+SUMIFS('Таблиця 1'!$K:$K,'Таблиця 1'!$B:$B,$A74,'Таблиця 1'!$I:$I,"Mi-24",'Таблиця 1'!$J:$J,"МК-40"))</f>
        <v/>
      </c>
      <c r="N74">
        <f>IF($A74="","",SUMIFS('Таблиця 1'!$K:$K,'Таблиця 1'!$B:$B,$A74,'Таблиця 1'!$I:$I,"Mi-8",'Таблиця 1'!$J:$J,"Zuni")+SUMIFS('Таблиця 1'!$K:$K,'Таблиця 1'!$B:$B,$A74,'Таблиця 1'!$I:$I,"Mi-24",'Таблиця 1'!$J:$J,"Zuni"))</f>
        <v/>
      </c>
      <c r="O74">
        <f>IF($A74="","",COUNTIFS('Таблиця 1'!$B:$B,$A74,'Таблиця 1'!$I:$I,"Mi-8",'Таблиця 1'!$L:$L,"Уражено")+COUNTIFS('Таблиця 1'!$B:$B,$A74,'Таблиця 1'!$I:$I,"Mi-24",'Таблиця 1'!$L:$L,"Уражено"))</f>
        <v/>
      </c>
      <c r="P74">
        <f>IF($A74="","",COUNTIFS('Таблиця 1'!$B:$B,$A74,'Таблиця 1'!$I:$I,"Mi-8",'Таблиця 1'!$L:$L,"НЕ уражено")+COUNTIFS('Таблиця 1'!$B:$B,$A74,'Таблиця 1'!$I:$I,"Mi-24",'Таблиця 1'!$L:$L,"НЕ уражено"))</f>
        <v/>
      </c>
    </row>
    <row r="75">
      <c r="A75" s="273">
        <f>IF(A74="","",IF(A74+1&gt;MAX('Таблиця 1'!$B:$B),"",A74+1))</f>
        <v/>
      </c>
      <c r="B75">
        <f>IF($A75="","",COUNTIFS('Таблиця 1'!$B:$B,$A75,'Таблиця 1'!$I:$I,"Mi-8")+COUNTIFS('Таблиця 1'!$B:$B,$A75,'Таблиця 1'!$I:$I,"Mi-24"))</f>
        <v/>
      </c>
      <c r="C75">
        <f>IF($A75="","",COUNTIFS('Таблиця 1'!$B:$B,$A75,'Таблиця 1'!$I:$I,"Mi-8"))</f>
        <v/>
      </c>
      <c r="D75">
        <f>IF($A75="","",COUNTIFS('Таблиця 1'!$B:$B,$A75,'Таблиця 1'!$I:$I,"Mi-24"))</f>
        <v/>
      </c>
      <c r="E75">
        <f>IF($A75="","",SUMIFS('Таблиця 1'!$K:$K,'Таблиця 1'!$B:$B,$A75,'Таблиця 1'!$I:$I,"Mi-8",'Таблиця 1'!$J:$J,"ARS-8")+SUMIFS('Таблиця 1'!$K:$K,'Таблиця 1'!$B:$B,$A75,'Таблиця 1'!$I:$I,"Mi-24",'Таблиця 1'!$J:$J,"ARS-8"))</f>
        <v/>
      </c>
      <c r="F75">
        <f>IF($A75="","",SUMIFS('Таблиця 1'!$K:$K,'Таблиця 1'!$B:$B,$A75,'Таблиця 1'!$I:$I,"Mi-8",'Таблиця 1'!$J:$J,"С-8 ком")+SUMIFS('Таблиця 1'!$K:$K,'Таблиця 1'!$B:$B,$A75,'Таблиця 1'!$I:$I,"Mi-24",'Таблиця 1'!$J:$J,"С-8 ком"))</f>
        <v/>
      </c>
      <c r="G75">
        <f>IF($A75="","",SUMIFS('Таблиця 1'!$K:$K,'Таблиця 1'!$B:$B,$A75,'Таблиця 1'!$I:$I,"Mi-8",'Таблиця 1'!$J:$J,"PC-80")+SUMIFS('Таблиця 1'!$K:$K,'Таблиця 1'!$B:$B,$A75,'Таблиця 1'!$I:$I,"Mi-24",'Таблиця 1'!$J:$J,"PC-80"))</f>
        <v/>
      </c>
      <c r="H75">
        <f>IF($A75="","",SUMIFS('Таблиця 1'!$K:$K,'Таблиця 1'!$B:$B,$A75,'Таблиця 1'!$I:$I,"Mi-8",'Таблиця 1'!$J:$J,"UAR-80")+SUMIFS('Таблиця 1'!$K:$K,'Таблиця 1'!$B:$B,$A75,'Таблиця 1'!$I:$I,"Mi-24",'Таблиця 1'!$J:$J,"UAR-80"))</f>
        <v/>
      </c>
      <c r="I75">
        <f>IF($A75="","",SUMIFS('Таблиця 1'!$K:$K,'Таблиця 1'!$B:$B,$A75,'Таблиця 1'!$I:$I,"Mi-8",'Таблиця 1'!$J:$J,"C-13")+SUMIFS('Таблиця 1'!$K:$K,'Таблиця 1'!$B:$B,$A75,'Таблиця 1'!$I:$I,"Mi-24",'Таблиця 1'!$J:$J,"C-13"))</f>
        <v/>
      </c>
      <c r="J75">
        <f>IF($A75="","",SUMIFS('Таблиця 1'!$K:$K,'Таблиця 1'!$B:$B,$A75,'Таблиця 1'!$I:$I,"Mi-8",'Таблиця 1'!$J:$J,"Hydra-70")+SUMIFS('Таблиця 1'!$K:$K,'Таблиця 1'!$B:$B,$A75,'Таблиця 1'!$I:$I,"Mi-24",'Таблиця 1'!$J:$J,"Hydra-70"))</f>
        <v/>
      </c>
      <c r="K75">
        <f>IF($A75="","",SUMIFS('Таблиця 1'!$K:$K,'Таблиця 1'!$B:$B,$A75,'Таблиця 1'!$I:$I,"Mi-8",'Таблиця 1'!$J:$J,"Thales-70")+SUMIFS('Таблиця 1'!$K:$K,'Таблиця 1'!$B:$B,$A75,'Таблиця 1'!$I:$I,"Mi-24",'Таблиця 1'!$J:$J,"Thales-70"))</f>
        <v/>
      </c>
      <c r="L75">
        <f>IF($A75="","",SUMIFS('Таблиця 1'!$K:$K,'Таблиця 1'!$B:$B,$A75,'Таблиця 1'!$I:$I,"Mi-8",'Таблиця 1'!$J:$J,"Thales-FZ")+SUMIFS('Таблиця 1'!$K:$K,'Таблиця 1'!$B:$B,$A75,'Таблиця 1'!$I:$I,"Mi-24",'Таблиця 1'!$J:$J,"Thales-FZ"))</f>
        <v/>
      </c>
      <c r="M75">
        <f>IF($A75="","",SUMIFS('Таблиця 1'!$K:$K,'Таблиця 1'!$B:$B,$A75,'Таблиця 1'!$I:$I,"Mi-8",'Таблиця 1'!$J:$J,"МК-40")+SUMIFS('Таблиця 1'!$K:$K,'Таблиця 1'!$B:$B,$A75,'Таблиця 1'!$I:$I,"Mi-24",'Таблиця 1'!$J:$J,"МК-40"))</f>
        <v/>
      </c>
      <c r="N75">
        <f>IF($A75="","",SUMIFS('Таблиця 1'!$K:$K,'Таблиця 1'!$B:$B,$A75,'Таблиця 1'!$I:$I,"Mi-8",'Таблиця 1'!$J:$J,"Zuni")+SUMIFS('Таблиця 1'!$K:$K,'Таблиця 1'!$B:$B,$A75,'Таблиця 1'!$I:$I,"Mi-24",'Таблиця 1'!$J:$J,"Zuni"))</f>
        <v/>
      </c>
      <c r="O75">
        <f>IF($A75="","",COUNTIFS('Таблиця 1'!$B:$B,$A75,'Таблиця 1'!$I:$I,"Mi-8",'Таблиця 1'!$L:$L,"Уражено")+COUNTIFS('Таблиця 1'!$B:$B,$A75,'Таблиця 1'!$I:$I,"Mi-24",'Таблиця 1'!$L:$L,"Уражено"))</f>
        <v/>
      </c>
      <c r="P75">
        <f>IF($A75="","",COUNTIFS('Таблиця 1'!$B:$B,$A75,'Таблиця 1'!$I:$I,"Mi-8",'Таблиця 1'!$L:$L,"НЕ уражено")+COUNTIFS('Таблиця 1'!$B:$B,$A75,'Таблиця 1'!$I:$I,"Mi-24",'Таблиця 1'!$L:$L,"НЕ уражено"))</f>
        <v/>
      </c>
    </row>
    <row r="76">
      <c r="A76" s="273">
        <f>IF(A75="","",IF(A75+1&gt;MAX('Таблиця 1'!$B:$B),"",A75+1))</f>
        <v/>
      </c>
      <c r="B76">
        <f>IF($A76="","",COUNTIFS('Таблиця 1'!$B:$B,$A76,'Таблиця 1'!$I:$I,"Mi-8")+COUNTIFS('Таблиця 1'!$B:$B,$A76,'Таблиця 1'!$I:$I,"Mi-24"))</f>
        <v/>
      </c>
      <c r="C76">
        <f>IF($A76="","",COUNTIFS('Таблиця 1'!$B:$B,$A76,'Таблиця 1'!$I:$I,"Mi-8"))</f>
        <v/>
      </c>
      <c r="D76">
        <f>IF($A76="","",COUNTIFS('Таблиця 1'!$B:$B,$A76,'Таблиця 1'!$I:$I,"Mi-24"))</f>
        <v/>
      </c>
      <c r="E76">
        <f>IF($A76="","",SUMIFS('Таблиця 1'!$K:$K,'Таблиця 1'!$B:$B,$A76,'Таблиця 1'!$I:$I,"Mi-8",'Таблиця 1'!$J:$J,"ARS-8")+SUMIFS('Таблиця 1'!$K:$K,'Таблиця 1'!$B:$B,$A76,'Таблиця 1'!$I:$I,"Mi-24",'Таблиця 1'!$J:$J,"ARS-8"))</f>
        <v/>
      </c>
      <c r="F76">
        <f>IF($A76="","",SUMIFS('Таблиця 1'!$K:$K,'Таблиця 1'!$B:$B,$A76,'Таблиця 1'!$I:$I,"Mi-8",'Таблиця 1'!$J:$J,"С-8 ком")+SUMIFS('Таблиця 1'!$K:$K,'Таблиця 1'!$B:$B,$A76,'Таблиця 1'!$I:$I,"Mi-24",'Таблиця 1'!$J:$J,"С-8 ком"))</f>
        <v/>
      </c>
      <c r="G76">
        <f>IF($A76="","",SUMIFS('Таблиця 1'!$K:$K,'Таблиця 1'!$B:$B,$A76,'Таблиця 1'!$I:$I,"Mi-8",'Таблиця 1'!$J:$J,"PC-80")+SUMIFS('Таблиця 1'!$K:$K,'Таблиця 1'!$B:$B,$A76,'Таблиця 1'!$I:$I,"Mi-24",'Таблиця 1'!$J:$J,"PC-80"))</f>
        <v/>
      </c>
      <c r="H76">
        <f>IF($A76="","",SUMIFS('Таблиця 1'!$K:$K,'Таблиця 1'!$B:$B,$A76,'Таблиця 1'!$I:$I,"Mi-8",'Таблиця 1'!$J:$J,"UAR-80")+SUMIFS('Таблиця 1'!$K:$K,'Таблиця 1'!$B:$B,$A76,'Таблиця 1'!$I:$I,"Mi-24",'Таблиця 1'!$J:$J,"UAR-80"))</f>
        <v/>
      </c>
      <c r="I76">
        <f>IF($A76="","",SUMIFS('Таблиця 1'!$K:$K,'Таблиця 1'!$B:$B,$A76,'Таблиця 1'!$I:$I,"Mi-8",'Таблиця 1'!$J:$J,"C-13")+SUMIFS('Таблиця 1'!$K:$K,'Таблиця 1'!$B:$B,$A76,'Таблиця 1'!$I:$I,"Mi-24",'Таблиця 1'!$J:$J,"C-13"))</f>
        <v/>
      </c>
      <c r="J76">
        <f>IF($A76="","",SUMIFS('Таблиця 1'!$K:$K,'Таблиця 1'!$B:$B,$A76,'Таблиця 1'!$I:$I,"Mi-8",'Таблиця 1'!$J:$J,"Hydra-70")+SUMIFS('Таблиця 1'!$K:$K,'Таблиця 1'!$B:$B,$A76,'Таблиця 1'!$I:$I,"Mi-24",'Таблиця 1'!$J:$J,"Hydra-70"))</f>
        <v/>
      </c>
      <c r="K76">
        <f>IF($A76="","",SUMIFS('Таблиця 1'!$K:$K,'Таблиця 1'!$B:$B,$A76,'Таблиця 1'!$I:$I,"Mi-8",'Таблиця 1'!$J:$J,"Thales-70")+SUMIFS('Таблиця 1'!$K:$K,'Таблиця 1'!$B:$B,$A76,'Таблиця 1'!$I:$I,"Mi-24",'Таблиця 1'!$J:$J,"Thales-70"))</f>
        <v/>
      </c>
      <c r="L76">
        <f>IF($A76="","",SUMIFS('Таблиця 1'!$K:$K,'Таблиця 1'!$B:$B,$A76,'Таблиця 1'!$I:$I,"Mi-8",'Таблиця 1'!$J:$J,"Thales-FZ")+SUMIFS('Таблиця 1'!$K:$K,'Таблиця 1'!$B:$B,$A76,'Таблиця 1'!$I:$I,"Mi-24",'Таблиця 1'!$J:$J,"Thales-FZ"))</f>
        <v/>
      </c>
      <c r="M76">
        <f>IF($A76="","",SUMIFS('Таблиця 1'!$K:$K,'Таблиця 1'!$B:$B,$A76,'Таблиця 1'!$I:$I,"Mi-8",'Таблиця 1'!$J:$J,"МК-40")+SUMIFS('Таблиця 1'!$K:$K,'Таблиця 1'!$B:$B,$A76,'Таблиця 1'!$I:$I,"Mi-24",'Таблиця 1'!$J:$J,"МК-40"))</f>
        <v/>
      </c>
      <c r="N76">
        <f>IF($A76="","",SUMIFS('Таблиця 1'!$K:$K,'Таблиця 1'!$B:$B,$A76,'Таблиця 1'!$I:$I,"Mi-8",'Таблиця 1'!$J:$J,"Zuni")+SUMIFS('Таблиця 1'!$K:$K,'Таблиця 1'!$B:$B,$A76,'Таблиця 1'!$I:$I,"Mi-24",'Таблиця 1'!$J:$J,"Zuni"))</f>
        <v/>
      </c>
      <c r="O76">
        <f>IF($A76="","",COUNTIFS('Таблиця 1'!$B:$B,$A76,'Таблиця 1'!$I:$I,"Mi-8",'Таблиця 1'!$L:$L,"Уражено")+COUNTIFS('Таблиця 1'!$B:$B,$A76,'Таблиця 1'!$I:$I,"Mi-24",'Таблиця 1'!$L:$L,"Уражено"))</f>
        <v/>
      </c>
      <c r="P76">
        <f>IF($A76="","",COUNTIFS('Таблиця 1'!$B:$B,$A76,'Таблиця 1'!$I:$I,"Mi-8",'Таблиця 1'!$L:$L,"НЕ уражено")+COUNTIFS('Таблиця 1'!$B:$B,$A76,'Таблиця 1'!$I:$I,"Mi-24",'Таблиця 1'!$L:$L,"НЕ уражено"))</f>
        <v/>
      </c>
    </row>
    <row r="77">
      <c r="A77" s="273">
        <f>IF(A76="","",IF(A76+1&gt;MAX('Таблиця 1'!$B:$B),"",A76+1))</f>
        <v/>
      </c>
      <c r="B77">
        <f>IF($A77="","",COUNTIFS('Таблиця 1'!$B:$B,$A77,'Таблиця 1'!$I:$I,"Mi-8")+COUNTIFS('Таблиця 1'!$B:$B,$A77,'Таблиця 1'!$I:$I,"Mi-24"))</f>
        <v/>
      </c>
      <c r="C77">
        <f>IF($A77="","",COUNTIFS('Таблиця 1'!$B:$B,$A77,'Таблиця 1'!$I:$I,"Mi-8"))</f>
        <v/>
      </c>
      <c r="D77">
        <f>IF($A77="","",COUNTIFS('Таблиця 1'!$B:$B,$A77,'Таблиця 1'!$I:$I,"Mi-24"))</f>
        <v/>
      </c>
      <c r="E77">
        <f>IF($A77="","",SUMIFS('Таблиця 1'!$K:$K,'Таблиця 1'!$B:$B,$A77,'Таблиця 1'!$I:$I,"Mi-8",'Таблиця 1'!$J:$J,"ARS-8")+SUMIFS('Таблиця 1'!$K:$K,'Таблиця 1'!$B:$B,$A77,'Таблиця 1'!$I:$I,"Mi-24",'Таблиця 1'!$J:$J,"ARS-8"))</f>
        <v/>
      </c>
      <c r="F77">
        <f>IF($A77="","",SUMIFS('Таблиця 1'!$K:$K,'Таблиця 1'!$B:$B,$A77,'Таблиця 1'!$I:$I,"Mi-8",'Таблиця 1'!$J:$J,"С-8 ком")+SUMIFS('Таблиця 1'!$K:$K,'Таблиця 1'!$B:$B,$A77,'Таблиця 1'!$I:$I,"Mi-24",'Таблиця 1'!$J:$J,"С-8 ком"))</f>
        <v/>
      </c>
      <c r="G77">
        <f>IF($A77="","",SUMIFS('Таблиця 1'!$K:$K,'Таблиця 1'!$B:$B,$A77,'Таблиця 1'!$I:$I,"Mi-8",'Таблиця 1'!$J:$J,"PC-80")+SUMIFS('Таблиця 1'!$K:$K,'Таблиця 1'!$B:$B,$A77,'Таблиця 1'!$I:$I,"Mi-24",'Таблиця 1'!$J:$J,"PC-80"))</f>
        <v/>
      </c>
      <c r="H77">
        <f>IF($A77="","",SUMIFS('Таблиця 1'!$K:$K,'Таблиця 1'!$B:$B,$A77,'Таблиця 1'!$I:$I,"Mi-8",'Таблиця 1'!$J:$J,"UAR-80")+SUMIFS('Таблиця 1'!$K:$K,'Таблиця 1'!$B:$B,$A77,'Таблиця 1'!$I:$I,"Mi-24",'Таблиця 1'!$J:$J,"UAR-80"))</f>
        <v/>
      </c>
      <c r="I77">
        <f>IF($A77="","",SUMIFS('Таблиця 1'!$K:$K,'Таблиця 1'!$B:$B,$A77,'Таблиця 1'!$I:$I,"Mi-8",'Таблиця 1'!$J:$J,"C-13")+SUMIFS('Таблиця 1'!$K:$K,'Таблиця 1'!$B:$B,$A77,'Таблиця 1'!$I:$I,"Mi-24",'Таблиця 1'!$J:$J,"C-13"))</f>
        <v/>
      </c>
      <c r="J77">
        <f>IF($A77="","",SUMIFS('Таблиця 1'!$K:$K,'Таблиця 1'!$B:$B,$A77,'Таблиця 1'!$I:$I,"Mi-8",'Таблиця 1'!$J:$J,"Hydra-70")+SUMIFS('Таблиця 1'!$K:$K,'Таблиця 1'!$B:$B,$A77,'Таблиця 1'!$I:$I,"Mi-24",'Таблиця 1'!$J:$J,"Hydra-70"))</f>
        <v/>
      </c>
      <c r="K77">
        <f>IF($A77="","",SUMIFS('Таблиця 1'!$K:$K,'Таблиця 1'!$B:$B,$A77,'Таблиця 1'!$I:$I,"Mi-8",'Таблиця 1'!$J:$J,"Thales-70")+SUMIFS('Таблиця 1'!$K:$K,'Таблиця 1'!$B:$B,$A77,'Таблиця 1'!$I:$I,"Mi-24",'Таблиця 1'!$J:$J,"Thales-70"))</f>
        <v/>
      </c>
      <c r="L77">
        <f>IF($A77="","",SUMIFS('Таблиця 1'!$K:$K,'Таблиця 1'!$B:$B,$A77,'Таблиця 1'!$I:$I,"Mi-8",'Таблиця 1'!$J:$J,"Thales-FZ")+SUMIFS('Таблиця 1'!$K:$K,'Таблиця 1'!$B:$B,$A77,'Таблиця 1'!$I:$I,"Mi-24",'Таблиця 1'!$J:$J,"Thales-FZ"))</f>
        <v/>
      </c>
      <c r="M77">
        <f>IF($A77="","",SUMIFS('Таблиця 1'!$K:$K,'Таблиця 1'!$B:$B,$A77,'Таблиця 1'!$I:$I,"Mi-8",'Таблиця 1'!$J:$J,"МК-40")+SUMIFS('Таблиця 1'!$K:$K,'Таблиця 1'!$B:$B,$A77,'Таблиця 1'!$I:$I,"Mi-24",'Таблиця 1'!$J:$J,"МК-40"))</f>
        <v/>
      </c>
      <c r="N77">
        <f>IF($A77="","",SUMIFS('Таблиця 1'!$K:$K,'Таблиця 1'!$B:$B,$A77,'Таблиця 1'!$I:$I,"Mi-8",'Таблиця 1'!$J:$J,"Zuni")+SUMIFS('Таблиця 1'!$K:$K,'Таблиця 1'!$B:$B,$A77,'Таблиця 1'!$I:$I,"Mi-24",'Таблиця 1'!$J:$J,"Zuni"))</f>
        <v/>
      </c>
      <c r="O77">
        <f>IF($A77="","",COUNTIFS('Таблиця 1'!$B:$B,$A77,'Таблиця 1'!$I:$I,"Mi-8",'Таблиця 1'!$L:$L,"Уражено")+COUNTIFS('Таблиця 1'!$B:$B,$A77,'Таблиця 1'!$I:$I,"Mi-24",'Таблиця 1'!$L:$L,"Уражено"))</f>
        <v/>
      </c>
      <c r="P77">
        <f>IF($A77="","",COUNTIFS('Таблиця 1'!$B:$B,$A77,'Таблиця 1'!$I:$I,"Mi-8",'Таблиця 1'!$L:$L,"НЕ уражено")+COUNTIFS('Таблиця 1'!$B:$B,$A77,'Таблиця 1'!$I:$I,"Mi-24",'Таблиця 1'!$L:$L,"НЕ уражено"))</f>
        <v/>
      </c>
    </row>
    <row r="78">
      <c r="A78" s="273">
        <f>IF(A77="","",IF(A77+1&gt;MAX('Таблиця 1'!$B:$B),"",A77+1))</f>
        <v/>
      </c>
      <c r="B78">
        <f>IF($A78="","",COUNTIFS('Таблиця 1'!$B:$B,$A78,'Таблиця 1'!$I:$I,"Mi-8")+COUNTIFS('Таблиця 1'!$B:$B,$A78,'Таблиця 1'!$I:$I,"Mi-24"))</f>
        <v/>
      </c>
      <c r="C78">
        <f>IF($A78="","",COUNTIFS('Таблиця 1'!$B:$B,$A78,'Таблиця 1'!$I:$I,"Mi-8"))</f>
        <v/>
      </c>
      <c r="D78">
        <f>IF($A78="","",COUNTIFS('Таблиця 1'!$B:$B,$A78,'Таблиця 1'!$I:$I,"Mi-24"))</f>
        <v/>
      </c>
      <c r="E78">
        <f>IF($A78="","",SUMIFS('Таблиця 1'!$K:$K,'Таблиця 1'!$B:$B,$A78,'Таблиця 1'!$I:$I,"Mi-8",'Таблиця 1'!$J:$J,"ARS-8")+SUMIFS('Таблиця 1'!$K:$K,'Таблиця 1'!$B:$B,$A78,'Таблиця 1'!$I:$I,"Mi-24",'Таблиця 1'!$J:$J,"ARS-8"))</f>
        <v/>
      </c>
      <c r="F78">
        <f>IF($A78="","",SUMIFS('Таблиця 1'!$K:$K,'Таблиця 1'!$B:$B,$A78,'Таблиця 1'!$I:$I,"Mi-8",'Таблиця 1'!$J:$J,"С-8 ком")+SUMIFS('Таблиця 1'!$K:$K,'Таблиця 1'!$B:$B,$A78,'Таблиця 1'!$I:$I,"Mi-24",'Таблиця 1'!$J:$J,"С-8 ком"))</f>
        <v/>
      </c>
      <c r="G78">
        <f>IF($A78="","",SUMIFS('Таблиця 1'!$K:$K,'Таблиця 1'!$B:$B,$A78,'Таблиця 1'!$I:$I,"Mi-8",'Таблиця 1'!$J:$J,"PC-80")+SUMIFS('Таблиця 1'!$K:$K,'Таблиця 1'!$B:$B,$A78,'Таблиця 1'!$I:$I,"Mi-24",'Таблиця 1'!$J:$J,"PC-80"))</f>
        <v/>
      </c>
      <c r="H78">
        <f>IF($A78="","",SUMIFS('Таблиця 1'!$K:$K,'Таблиця 1'!$B:$B,$A78,'Таблиця 1'!$I:$I,"Mi-8",'Таблиця 1'!$J:$J,"UAR-80")+SUMIFS('Таблиця 1'!$K:$K,'Таблиця 1'!$B:$B,$A78,'Таблиця 1'!$I:$I,"Mi-24",'Таблиця 1'!$J:$J,"UAR-80"))</f>
        <v/>
      </c>
      <c r="I78">
        <f>IF($A78="","",SUMIFS('Таблиця 1'!$K:$K,'Таблиця 1'!$B:$B,$A78,'Таблиця 1'!$I:$I,"Mi-8",'Таблиця 1'!$J:$J,"C-13")+SUMIFS('Таблиця 1'!$K:$K,'Таблиця 1'!$B:$B,$A78,'Таблиця 1'!$I:$I,"Mi-24",'Таблиця 1'!$J:$J,"C-13"))</f>
        <v/>
      </c>
      <c r="J78">
        <f>IF($A78="","",SUMIFS('Таблиця 1'!$K:$K,'Таблиця 1'!$B:$B,$A78,'Таблиця 1'!$I:$I,"Mi-8",'Таблиця 1'!$J:$J,"Hydra-70")+SUMIFS('Таблиця 1'!$K:$K,'Таблиця 1'!$B:$B,$A78,'Таблиця 1'!$I:$I,"Mi-24",'Таблиця 1'!$J:$J,"Hydra-70"))</f>
        <v/>
      </c>
      <c r="K78">
        <f>IF($A78="","",SUMIFS('Таблиця 1'!$K:$K,'Таблиця 1'!$B:$B,$A78,'Таблиця 1'!$I:$I,"Mi-8",'Таблиця 1'!$J:$J,"Thales-70")+SUMIFS('Таблиця 1'!$K:$K,'Таблиця 1'!$B:$B,$A78,'Таблиця 1'!$I:$I,"Mi-24",'Таблиця 1'!$J:$J,"Thales-70"))</f>
        <v/>
      </c>
      <c r="L78">
        <f>IF($A78="","",SUMIFS('Таблиця 1'!$K:$K,'Таблиця 1'!$B:$B,$A78,'Таблиця 1'!$I:$I,"Mi-8",'Таблиця 1'!$J:$J,"Thales-FZ")+SUMIFS('Таблиця 1'!$K:$K,'Таблиця 1'!$B:$B,$A78,'Таблиця 1'!$I:$I,"Mi-24",'Таблиця 1'!$J:$J,"Thales-FZ"))</f>
        <v/>
      </c>
      <c r="M78">
        <f>IF($A78="","",SUMIFS('Таблиця 1'!$K:$K,'Таблиця 1'!$B:$B,$A78,'Таблиця 1'!$I:$I,"Mi-8",'Таблиця 1'!$J:$J,"МК-40")+SUMIFS('Таблиця 1'!$K:$K,'Таблиця 1'!$B:$B,$A78,'Таблиця 1'!$I:$I,"Mi-24",'Таблиця 1'!$J:$J,"МК-40"))</f>
        <v/>
      </c>
      <c r="N78">
        <f>IF($A78="","",SUMIFS('Таблиця 1'!$K:$K,'Таблиця 1'!$B:$B,$A78,'Таблиця 1'!$I:$I,"Mi-8",'Таблиця 1'!$J:$J,"Zuni")+SUMIFS('Таблиця 1'!$K:$K,'Таблиця 1'!$B:$B,$A78,'Таблиця 1'!$I:$I,"Mi-24",'Таблиця 1'!$J:$J,"Zuni"))</f>
        <v/>
      </c>
      <c r="O78">
        <f>IF($A78="","",COUNTIFS('Таблиця 1'!$B:$B,$A78,'Таблиця 1'!$I:$I,"Mi-8",'Таблиця 1'!$L:$L,"Уражено")+COUNTIFS('Таблиця 1'!$B:$B,$A78,'Таблиця 1'!$I:$I,"Mi-24",'Таблиця 1'!$L:$L,"Уражено"))</f>
        <v/>
      </c>
      <c r="P78">
        <f>IF($A78="","",COUNTIFS('Таблиця 1'!$B:$B,$A78,'Таблиця 1'!$I:$I,"Mi-8",'Таблиця 1'!$L:$L,"НЕ уражено")+COUNTIFS('Таблиця 1'!$B:$B,$A78,'Таблиця 1'!$I:$I,"Mi-24",'Таблиця 1'!$L:$L,"НЕ уражено"))</f>
        <v/>
      </c>
    </row>
    <row r="79">
      <c r="A79" s="273">
        <f>IF(A78="","",IF(A78+1&gt;MAX('Таблиця 1'!$B:$B),"",A78+1))</f>
        <v/>
      </c>
      <c r="B79">
        <f>IF($A79="","",COUNTIFS('Таблиця 1'!$B:$B,$A79,'Таблиця 1'!$I:$I,"Mi-8")+COUNTIFS('Таблиця 1'!$B:$B,$A79,'Таблиця 1'!$I:$I,"Mi-24"))</f>
        <v/>
      </c>
      <c r="C79">
        <f>IF($A79="","",COUNTIFS('Таблиця 1'!$B:$B,$A79,'Таблиця 1'!$I:$I,"Mi-8"))</f>
        <v/>
      </c>
      <c r="D79">
        <f>IF($A79="","",COUNTIFS('Таблиця 1'!$B:$B,$A79,'Таблиця 1'!$I:$I,"Mi-24"))</f>
        <v/>
      </c>
      <c r="E79">
        <f>IF($A79="","",SUMIFS('Таблиця 1'!$K:$K,'Таблиця 1'!$B:$B,$A79,'Таблиця 1'!$I:$I,"Mi-8",'Таблиця 1'!$J:$J,"ARS-8")+SUMIFS('Таблиця 1'!$K:$K,'Таблиця 1'!$B:$B,$A79,'Таблиця 1'!$I:$I,"Mi-24",'Таблиця 1'!$J:$J,"ARS-8"))</f>
        <v/>
      </c>
      <c r="F79">
        <f>IF($A79="","",SUMIFS('Таблиця 1'!$K:$K,'Таблиця 1'!$B:$B,$A79,'Таблиця 1'!$I:$I,"Mi-8",'Таблиця 1'!$J:$J,"С-8 ком")+SUMIFS('Таблиця 1'!$K:$K,'Таблиця 1'!$B:$B,$A79,'Таблиця 1'!$I:$I,"Mi-24",'Таблиця 1'!$J:$J,"С-8 ком"))</f>
        <v/>
      </c>
      <c r="G79">
        <f>IF($A79="","",SUMIFS('Таблиця 1'!$K:$K,'Таблиця 1'!$B:$B,$A79,'Таблиця 1'!$I:$I,"Mi-8",'Таблиця 1'!$J:$J,"PC-80")+SUMIFS('Таблиця 1'!$K:$K,'Таблиця 1'!$B:$B,$A79,'Таблиця 1'!$I:$I,"Mi-24",'Таблиця 1'!$J:$J,"PC-80"))</f>
        <v/>
      </c>
      <c r="H79">
        <f>IF($A79="","",SUMIFS('Таблиця 1'!$K:$K,'Таблиця 1'!$B:$B,$A79,'Таблиця 1'!$I:$I,"Mi-8",'Таблиця 1'!$J:$J,"UAR-80")+SUMIFS('Таблиця 1'!$K:$K,'Таблиця 1'!$B:$B,$A79,'Таблиця 1'!$I:$I,"Mi-24",'Таблиця 1'!$J:$J,"UAR-80"))</f>
        <v/>
      </c>
      <c r="I79">
        <f>IF($A79="","",SUMIFS('Таблиця 1'!$K:$K,'Таблиця 1'!$B:$B,$A79,'Таблиця 1'!$I:$I,"Mi-8",'Таблиця 1'!$J:$J,"C-13")+SUMIFS('Таблиця 1'!$K:$K,'Таблиця 1'!$B:$B,$A79,'Таблиця 1'!$I:$I,"Mi-24",'Таблиця 1'!$J:$J,"C-13"))</f>
        <v/>
      </c>
      <c r="J79">
        <f>IF($A79="","",SUMIFS('Таблиця 1'!$K:$K,'Таблиця 1'!$B:$B,$A79,'Таблиця 1'!$I:$I,"Mi-8",'Таблиця 1'!$J:$J,"Hydra-70")+SUMIFS('Таблиця 1'!$K:$K,'Таблиця 1'!$B:$B,$A79,'Таблиця 1'!$I:$I,"Mi-24",'Таблиця 1'!$J:$J,"Hydra-70"))</f>
        <v/>
      </c>
      <c r="K79">
        <f>IF($A79="","",SUMIFS('Таблиця 1'!$K:$K,'Таблиця 1'!$B:$B,$A79,'Таблиця 1'!$I:$I,"Mi-8",'Таблиця 1'!$J:$J,"Thales-70")+SUMIFS('Таблиця 1'!$K:$K,'Таблиця 1'!$B:$B,$A79,'Таблиця 1'!$I:$I,"Mi-24",'Таблиця 1'!$J:$J,"Thales-70"))</f>
        <v/>
      </c>
      <c r="L79">
        <f>IF($A79="","",SUMIFS('Таблиця 1'!$K:$K,'Таблиця 1'!$B:$B,$A79,'Таблиця 1'!$I:$I,"Mi-8",'Таблиця 1'!$J:$J,"Thales-FZ")+SUMIFS('Таблиця 1'!$K:$K,'Таблиця 1'!$B:$B,$A79,'Таблиця 1'!$I:$I,"Mi-24",'Таблиця 1'!$J:$J,"Thales-FZ"))</f>
        <v/>
      </c>
      <c r="M79">
        <f>IF($A79="","",SUMIFS('Таблиця 1'!$K:$K,'Таблиця 1'!$B:$B,$A79,'Таблиця 1'!$I:$I,"Mi-8",'Таблиця 1'!$J:$J,"МК-40")+SUMIFS('Таблиця 1'!$K:$K,'Таблиця 1'!$B:$B,$A79,'Таблиця 1'!$I:$I,"Mi-24",'Таблиця 1'!$J:$J,"МК-40"))</f>
        <v/>
      </c>
      <c r="N79">
        <f>IF($A79="","",SUMIFS('Таблиця 1'!$K:$K,'Таблиця 1'!$B:$B,$A79,'Таблиця 1'!$I:$I,"Mi-8",'Таблиця 1'!$J:$J,"Zuni")+SUMIFS('Таблиця 1'!$K:$K,'Таблиця 1'!$B:$B,$A79,'Таблиця 1'!$I:$I,"Mi-24",'Таблиця 1'!$J:$J,"Zuni"))</f>
        <v/>
      </c>
      <c r="O79">
        <f>IF($A79="","",COUNTIFS('Таблиця 1'!$B:$B,$A79,'Таблиця 1'!$I:$I,"Mi-8",'Таблиця 1'!$L:$L,"Уражено")+COUNTIFS('Таблиця 1'!$B:$B,$A79,'Таблиця 1'!$I:$I,"Mi-24",'Таблиця 1'!$L:$L,"Уражено"))</f>
        <v/>
      </c>
      <c r="P79">
        <f>IF($A79="","",COUNTIFS('Таблиця 1'!$B:$B,$A79,'Таблиця 1'!$I:$I,"Mi-8",'Таблиця 1'!$L:$L,"НЕ уражено")+COUNTIFS('Таблиця 1'!$B:$B,$A79,'Таблиця 1'!$I:$I,"Mi-24",'Таблиця 1'!$L:$L,"НЕ уражено"))</f>
        <v/>
      </c>
    </row>
    <row r="80">
      <c r="A80" s="273">
        <f>IF(A79="","",IF(A79+1&gt;MAX('Таблиця 1'!$B:$B),"",A79+1))</f>
        <v/>
      </c>
      <c r="B80">
        <f>IF($A80="","",COUNTIFS('Таблиця 1'!$B:$B,$A80,'Таблиця 1'!$I:$I,"Mi-8")+COUNTIFS('Таблиця 1'!$B:$B,$A80,'Таблиця 1'!$I:$I,"Mi-24"))</f>
        <v/>
      </c>
      <c r="C80">
        <f>IF($A80="","",COUNTIFS('Таблиця 1'!$B:$B,$A80,'Таблиця 1'!$I:$I,"Mi-8"))</f>
        <v/>
      </c>
      <c r="D80">
        <f>IF($A80="","",COUNTIFS('Таблиця 1'!$B:$B,$A80,'Таблиця 1'!$I:$I,"Mi-24"))</f>
        <v/>
      </c>
      <c r="E80">
        <f>IF($A80="","",SUMIFS('Таблиця 1'!$K:$K,'Таблиця 1'!$B:$B,$A80,'Таблиця 1'!$I:$I,"Mi-8",'Таблиця 1'!$J:$J,"ARS-8")+SUMIFS('Таблиця 1'!$K:$K,'Таблиця 1'!$B:$B,$A80,'Таблиця 1'!$I:$I,"Mi-24",'Таблиця 1'!$J:$J,"ARS-8"))</f>
        <v/>
      </c>
      <c r="F80">
        <f>IF($A80="","",SUMIFS('Таблиця 1'!$K:$K,'Таблиця 1'!$B:$B,$A80,'Таблиця 1'!$I:$I,"Mi-8",'Таблиця 1'!$J:$J,"С-8 ком")+SUMIFS('Таблиця 1'!$K:$K,'Таблиця 1'!$B:$B,$A80,'Таблиця 1'!$I:$I,"Mi-24",'Таблиця 1'!$J:$J,"С-8 ком"))</f>
        <v/>
      </c>
      <c r="G80">
        <f>IF($A80="","",SUMIFS('Таблиця 1'!$K:$K,'Таблиця 1'!$B:$B,$A80,'Таблиця 1'!$I:$I,"Mi-8",'Таблиця 1'!$J:$J,"PC-80")+SUMIFS('Таблиця 1'!$K:$K,'Таблиця 1'!$B:$B,$A80,'Таблиця 1'!$I:$I,"Mi-24",'Таблиця 1'!$J:$J,"PC-80"))</f>
        <v/>
      </c>
      <c r="H80">
        <f>IF($A80="","",SUMIFS('Таблиця 1'!$K:$K,'Таблиця 1'!$B:$B,$A80,'Таблиця 1'!$I:$I,"Mi-8",'Таблиця 1'!$J:$J,"UAR-80")+SUMIFS('Таблиця 1'!$K:$K,'Таблиця 1'!$B:$B,$A80,'Таблиця 1'!$I:$I,"Mi-24",'Таблиця 1'!$J:$J,"UAR-80"))</f>
        <v/>
      </c>
      <c r="I80">
        <f>IF($A80="","",SUMIFS('Таблиця 1'!$K:$K,'Таблиця 1'!$B:$B,$A80,'Таблиця 1'!$I:$I,"Mi-8",'Таблиця 1'!$J:$J,"C-13")+SUMIFS('Таблиця 1'!$K:$K,'Таблиця 1'!$B:$B,$A80,'Таблиця 1'!$I:$I,"Mi-24",'Таблиця 1'!$J:$J,"C-13"))</f>
        <v/>
      </c>
      <c r="J80">
        <f>IF($A80="","",SUMIFS('Таблиця 1'!$K:$K,'Таблиця 1'!$B:$B,$A80,'Таблиця 1'!$I:$I,"Mi-8",'Таблиця 1'!$J:$J,"Hydra-70")+SUMIFS('Таблиця 1'!$K:$K,'Таблиця 1'!$B:$B,$A80,'Таблиця 1'!$I:$I,"Mi-24",'Таблиця 1'!$J:$J,"Hydra-70"))</f>
        <v/>
      </c>
      <c r="K80">
        <f>IF($A80="","",SUMIFS('Таблиця 1'!$K:$K,'Таблиця 1'!$B:$B,$A80,'Таблиця 1'!$I:$I,"Mi-8",'Таблиця 1'!$J:$J,"Thales-70")+SUMIFS('Таблиця 1'!$K:$K,'Таблиця 1'!$B:$B,$A80,'Таблиця 1'!$I:$I,"Mi-24",'Таблиця 1'!$J:$J,"Thales-70"))</f>
        <v/>
      </c>
      <c r="L80">
        <f>IF($A80="","",SUMIFS('Таблиця 1'!$K:$K,'Таблиця 1'!$B:$B,$A80,'Таблиця 1'!$I:$I,"Mi-8",'Таблиця 1'!$J:$J,"Thales-FZ")+SUMIFS('Таблиця 1'!$K:$K,'Таблиця 1'!$B:$B,$A80,'Таблиця 1'!$I:$I,"Mi-24",'Таблиця 1'!$J:$J,"Thales-FZ"))</f>
        <v/>
      </c>
      <c r="M80">
        <f>IF($A80="","",SUMIFS('Таблиця 1'!$K:$K,'Таблиця 1'!$B:$B,$A80,'Таблиця 1'!$I:$I,"Mi-8",'Таблиця 1'!$J:$J,"МК-40")+SUMIFS('Таблиця 1'!$K:$K,'Таблиця 1'!$B:$B,$A80,'Таблиця 1'!$I:$I,"Mi-24",'Таблиця 1'!$J:$J,"МК-40"))</f>
        <v/>
      </c>
      <c r="N80">
        <f>IF($A80="","",SUMIFS('Таблиця 1'!$K:$K,'Таблиця 1'!$B:$B,$A80,'Таблиця 1'!$I:$I,"Mi-8",'Таблиця 1'!$J:$J,"Zuni")+SUMIFS('Таблиця 1'!$K:$K,'Таблиця 1'!$B:$B,$A80,'Таблиця 1'!$I:$I,"Mi-24",'Таблиця 1'!$J:$J,"Zuni"))</f>
        <v/>
      </c>
      <c r="O80">
        <f>IF($A80="","",COUNTIFS('Таблиця 1'!$B:$B,$A80,'Таблиця 1'!$I:$I,"Mi-8",'Таблиця 1'!$L:$L,"Уражено")+COUNTIFS('Таблиця 1'!$B:$B,$A80,'Таблиця 1'!$I:$I,"Mi-24",'Таблиця 1'!$L:$L,"Уражено"))</f>
        <v/>
      </c>
      <c r="P80">
        <f>IF($A80="","",COUNTIFS('Таблиця 1'!$B:$B,$A80,'Таблиця 1'!$I:$I,"Mi-8",'Таблиця 1'!$L:$L,"НЕ уражено")+COUNTIFS('Таблиця 1'!$B:$B,$A80,'Таблиця 1'!$I:$I,"Mi-24",'Таблиця 1'!$L:$L,"НЕ уражено"))</f>
        <v/>
      </c>
    </row>
    <row r="81">
      <c r="A81" s="273">
        <f>IF(A80="","",IF(A80+1&gt;MAX('Таблиця 1'!$B:$B),"",A80+1))</f>
        <v/>
      </c>
      <c r="B81">
        <f>IF($A81="","",COUNTIFS('Таблиця 1'!$B:$B,$A81,'Таблиця 1'!$I:$I,"Mi-8")+COUNTIFS('Таблиця 1'!$B:$B,$A81,'Таблиця 1'!$I:$I,"Mi-24"))</f>
        <v/>
      </c>
      <c r="C81">
        <f>IF($A81="","",COUNTIFS('Таблиця 1'!$B:$B,$A81,'Таблиця 1'!$I:$I,"Mi-8"))</f>
        <v/>
      </c>
      <c r="D81">
        <f>IF($A81="","",COUNTIFS('Таблиця 1'!$B:$B,$A81,'Таблиця 1'!$I:$I,"Mi-24"))</f>
        <v/>
      </c>
      <c r="E81">
        <f>IF($A81="","",SUMIFS('Таблиця 1'!$K:$K,'Таблиця 1'!$B:$B,$A81,'Таблиця 1'!$I:$I,"Mi-8",'Таблиця 1'!$J:$J,"ARS-8")+SUMIFS('Таблиця 1'!$K:$K,'Таблиця 1'!$B:$B,$A81,'Таблиця 1'!$I:$I,"Mi-24",'Таблиця 1'!$J:$J,"ARS-8"))</f>
        <v/>
      </c>
      <c r="F81">
        <f>IF($A81="","",SUMIFS('Таблиця 1'!$K:$K,'Таблиця 1'!$B:$B,$A81,'Таблиця 1'!$I:$I,"Mi-8",'Таблиця 1'!$J:$J,"С-8 ком")+SUMIFS('Таблиця 1'!$K:$K,'Таблиця 1'!$B:$B,$A81,'Таблиця 1'!$I:$I,"Mi-24",'Таблиця 1'!$J:$J,"С-8 ком"))</f>
        <v/>
      </c>
      <c r="G81">
        <f>IF($A81="","",SUMIFS('Таблиця 1'!$K:$K,'Таблиця 1'!$B:$B,$A81,'Таблиця 1'!$I:$I,"Mi-8",'Таблиця 1'!$J:$J,"PC-80")+SUMIFS('Таблиця 1'!$K:$K,'Таблиця 1'!$B:$B,$A81,'Таблиця 1'!$I:$I,"Mi-24",'Таблиця 1'!$J:$J,"PC-80"))</f>
        <v/>
      </c>
      <c r="H81">
        <f>IF($A81="","",SUMIFS('Таблиця 1'!$K:$K,'Таблиця 1'!$B:$B,$A81,'Таблиця 1'!$I:$I,"Mi-8",'Таблиця 1'!$J:$J,"UAR-80")+SUMIFS('Таблиця 1'!$K:$K,'Таблиця 1'!$B:$B,$A81,'Таблиця 1'!$I:$I,"Mi-24",'Таблиця 1'!$J:$J,"UAR-80"))</f>
        <v/>
      </c>
      <c r="I81">
        <f>IF($A81="","",SUMIFS('Таблиця 1'!$K:$K,'Таблиця 1'!$B:$B,$A81,'Таблиця 1'!$I:$I,"Mi-8",'Таблиця 1'!$J:$J,"C-13")+SUMIFS('Таблиця 1'!$K:$K,'Таблиця 1'!$B:$B,$A81,'Таблиця 1'!$I:$I,"Mi-24",'Таблиця 1'!$J:$J,"C-13"))</f>
        <v/>
      </c>
      <c r="J81">
        <f>IF($A81="","",SUMIFS('Таблиця 1'!$K:$K,'Таблиця 1'!$B:$B,$A81,'Таблиця 1'!$I:$I,"Mi-8",'Таблиця 1'!$J:$J,"Hydra-70")+SUMIFS('Таблиця 1'!$K:$K,'Таблиця 1'!$B:$B,$A81,'Таблиця 1'!$I:$I,"Mi-24",'Таблиця 1'!$J:$J,"Hydra-70"))</f>
        <v/>
      </c>
      <c r="K81">
        <f>IF($A81="","",SUMIFS('Таблиця 1'!$K:$K,'Таблиця 1'!$B:$B,$A81,'Таблиця 1'!$I:$I,"Mi-8",'Таблиця 1'!$J:$J,"Thales-70")+SUMIFS('Таблиця 1'!$K:$K,'Таблиця 1'!$B:$B,$A81,'Таблиця 1'!$I:$I,"Mi-24",'Таблиця 1'!$J:$J,"Thales-70"))</f>
        <v/>
      </c>
      <c r="L81">
        <f>IF($A81="","",SUMIFS('Таблиця 1'!$K:$K,'Таблиця 1'!$B:$B,$A81,'Таблиця 1'!$I:$I,"Mi-8",'Таблиця 1'!$J:$J,"Thales-FZ")+SUMIFS('Таблиця 1'!$K:$K,'Таблиця 1'!$B:$B,$A81,'Таблиця 1'!$I:$I,"Mi-24",'Таблиця 1'!$J:$J,"Thales-FZ"))</f>
        <v/>
      </c>
      <c r="M81">
        <f>IF($A81="","",SUMIFS('Таблиця 1'!$K:$K,'Таблиця 1'!$B:$B,$A81,'Таблиця 1'!$I:$I,"Mi-8",'Таблиця 1'!$J:$J,"МК-40")+SUMIFS('Таблиця 1'!$K:$K,'Таблиця 1'!$B:$B,$A81,'Таблиця 1'!$I:$I,"Mi-24",'Таблиця 1'!$J:$J,"МК-40"))</f>
        <v/>
      </c>
      <c r="N81">
        <f>IF($A81="","",SUMIFS('Таблиця 1'!$K:$K,'Таблиця 1'!$B:$B,$A81,'Таблиця 1'!$I:$I,"Mi-8",'Таблиця 1'!$J:$J,"Zuni")+SUMIFS('Таблиця 1'!$K:$K,'Таблиця 1'!$B:$B,$A81,'Таблиця 1'!$I:$I,"Mi-24",'Таблиця 1'!$J:$J,"Zuni"))</f>
        <v/>
      </c>
      <c r="O81">
        <f>IF($A81="","",COUNTIFS('Таблиця 1'!$B:$B,$A81,'Таблиця 1'!$I:$I,"Mi-8",'Таблиця 1'!$L:$L,"Уражено")+COUNTIFS('Таблиця 1'!$B:$B,$A81,'Таблиця 1'!$I:$I,"Mi-24",'Таблиця 1'!$L:$L,"Уражено"))</f>
        <v/>
      </c>
      <c r="P81">
        <f>IF($A81="","",COUNTIFS('Таблиця 1'!$B:$B,$A81,'Таблиця 1'!$I:$I,"Mi-8",'Таблиця 1'!$L:$L,"НЕ уражено")+COUNTIFS('Таблиця 1'!$B:$B,$A81,'Таблиця 1'!$I:$I,"Mi-24",'Таблиця 1'!$L:$L,"НЕ уражено"))</f>
        <v/>
      </c>
    </row>
    <row r="82">
      <c r="A82" s="273">
        <f>IF(A81="","",IF(A81+1&gt;MAX('Таблиця 1'!$B:$B),"",A81+1))</f>
        <v/>
      </c>
      <c r="B82">
        <f>IF($A82="","",COUNTIFS('Таблиця 1'!$B:$B,$A82,'Таблиця 1'!$I:$I,"Mi-8")+COUNTIFS('Таблиця 1'!$B:$B,$A82,'Таблиця 1'!$I:$I,"Mi-24"))</f>
        <v/>
      </c>
      <c r="C82">
        <f>IF($A82="","",COUNTIFS('Таблиця 1'!$B:$B,$A82,'Таблиця 1'!$I:$I,"Mi-8"))</f>
        <v/>
      </c>
      <c r="D82">
        <f>IF($A82="","",COUNTIFS('Таблиця 1'!$B:$B,$A82,'Таблиця 1'!$I:$I,"Mi-24"))</f>
        <v/>
      </c>
      <c r="E82">
        <f>IF($A82="","",SUMIFS('Таблиця 1'!$K:$K,'Таблиця 1'!$B:$B,$A82,'Таблиця 1'!$I:$I,"Mi-8",'Таблиця 1'!$J:$J,"ARS-8")+SUMIFS('Таблиця 1'!$K:$K,'Таблиця 1'!$B:$B,$A82,'Таблиця 1'!$I:$I,"Mi-24",'Таблиця 1'!$J:$J,"ARS-8"))</f>
        <v/>
      </c>
      <c r="F82">
        <f>IF($A82="","",SUMIFS('Таблиця 1'!$K:$K,'Таблиця 1'!$B:$B,$A82,'Таблиця 1'!$I:$I,"Mi-8",'Таблиця 1'!$J:$J,"С-8 ком")+SUMIFS('Таблиця 1'!$K:$K,'Таблиця 1'!$B:$B,$A82,'Таблиця 1'!$I:$I,"Mi-24",'Таблиця 1'!$J:$J,"С-8 ком"))</f>
        <v/>
      </c>
      <c r="G82">
        <f>IF($A82="","",SUMIFS('Таблиця 1'!$K:$K,'Таблиця 1'!$B:$B,$A82,'Таблиця 1'!$I:$I,"Mi-8",'Таблиця 1'!$J:$J,"PC-80")+SUMIFS('Таблиця 1'!$K:$K,'Таблиця 1'!$B:$B,$A82,'Таблиця 1'!$I:$I,"Mi-24",'Таблиця 1'!$J:$J,"PC-80"))</f>
        <v/>
      </c>
      <c r="H82">
        <f>IF($A82="","",SUMIFS('Таблиця 1'!$K:$K,'Таблиця 1'!$B:$B,$A82,'Таблиця 1'!$I:$I,"Mi-8",'Таблиця 1'!$J:$J,"UAR-80")+SUMIFS('Таблиця 1'!$K:$K,'Таблиця 1'!$B:$B,$A82,'Таблиця 1'!$I:$I,"Mi-24",'Таблиця 1'!$J:$J,"UAR-80"))</f>
        <v/>
      </c>
      <c r="I82">
        <f>IF($A82="","",SUMIFS('Таблиця 1'!$K:$K,'Таблиця 1'!$B:$B,$A82,'Таблиця 1'!$I:$I,"Mi-8",'Таблиця 1'!$J:$J,"C-13")+SUMIFS('Таблиця 1'!$K:$K,'Таблиця 1'!$B:$B,$A82,'Таблиця 1'!$I:$I,"Mi-24",'Таблиця 1'!$J:$J,"C-13"))</f>
        <v/>
      </c>
      <c r="J82">
        <f>IF($A82="","",SUMIFS('Таблиця 1'!$K:$K,'Таблиця 1'!$B:$B,$A82,'Таблиця 1'!$I:$I,"Mi-8",'Таблиця 1'!$J:$J,"Hydra-70")+SUMIFS('Таблиця 1'!$K:$K,'Таблиця 1'!$B:$B,$A82,'Таблиця 1'!$I:$I,"Mi-24",'Таблиця 1'!$J:$J,"Hydra-70"))</f>
        <v/>
      </c>
      <c r="K82">
        <f>IF($A82="","",SUMIFS('Таблиця 1'!$K:$K,'Таблиця 1'!$B:$B,$A82,'Таблиця 1'!$I:$I,"Mi-8",'Таблиця 1'!$J:$J,"Thales-70")+SUMIFS('Таблиця 1'!$K:$K,'Таблиця 1'!$B:$B,$A82,'Таблиця 1'!$I:$I,"Mi-24",'Таблиця 1'!$J:$J,"Thales-70"))</f>
        <v/>
      </c>
      <c r="L82">
        <f>IF($A82="","",SUMIFS('Таблиця 1'!$K:$K,'Таблиця 1'!$B:$B,$A82,'Таблиця 1'!$I:$I,"Mi-8",'Таблиця 1'!$J:$J,"Thales-FZ")+SUMIFS('Таблиця 1'!$K:$K,'Таблиця 1'!$B:$B,$A82,'Таблиця 1'!$I:$I,"Mi-24",'Таблиця 1'!$J:$J,"Thales-FZ"))</f>
        <v/>
      </c>
      <c r="M82">
        <f>IF($A82="","",SUMIFS('Таблиця 1'!$K:$K,'Таблиця 1'!$B:$B,$A82,'Таблиця 1'!$I:$I,"Mi-8",'Таблиця 1'!$J:$J,"МК-40")+SUMIFS('Таблиця 1'!$K:$K,'Таблиця 1'!$B:$B,$A82,'Таблиця 1'!$I:$I,"Mi-24",'Таблиця 1'!$J:$J,"МК-40"))</f>
        <v/>
      </c>
      <c r="N82">
        <f>IF($A82="","",SUMIFS('Таблиця 1'!$K:$K,'Таблиця 1'!$B:$B,$A82,'Таблиця 1'!$I:$I,"Mi-8",'Таблиця 1'!$J:$J,"Zuni")+SUMIFS('Таблиця 1'!$K:$K,'Таблиця 1'!$B:$B,$A82,'Таблиця 1'!$I:$I,"Mi-24",'Таблиця 1'!$J:$J,"Zuni"))</f>
        <v/>
      </c>
      <c r="O82">
        <f>IF($A82="","",COUNTIFS('Таблиця 1'!$B:$B,$A82,'Таблиця 1'!$I:$I,"Mi-8",'Таблиця 1'!$L:$L,"Уражено")+COUNTIFS('Таблиця 1'!$B:$B,$A82,'Таблиця 1'!$I:$I,"Mi-24",'Таблиця 1'!$L:$L,"Уражено"))</f>
        <v/>
      </c>
      <c r="P82">
        <f>IF($A82="","",COUNTIFS('Таблиця 1'!$B:$B,$A82,'Таблиця 1'!$I:$I,"Mi-8",'Таблиця 1'!$L:$L,"НЕ уражено")+COUNTIFS('Таблиця 1'!$B:$B,$A82,'Таблиця 1'!$I:$I,"Mi-24",'Таблиця 1'!$L:$L,"НЕ уражено"))</f>
        <v/>
      </c>
    </row>
    <row r="83">
      <c r="A83" s="273">
        <f>IF(A82="","",IF(A82+1&gt;MAX('Таблиця 1'!$B:$B),"",A82+1))</f>
        <v/>
      </c>
      <c r="B83">
        <f>IF($A83="","",COUNTIFS('Таблиця 1'!$B:$B,$A83,'Таблиця 1'!$I:$I,"Mi-8")+COUNTIFS('Таблиця 1'!$B:$B,$A83,'Таблиця 1'!$I:$I,"Mi-24"))</f>
        <v/>
      </c>
      <c r="C83">
        <f>IF($A83="","",COUNTIFS('Таблиця 1'!$B:$B,$A83,'Таблиця 1'!$I:$I,"Mi-8"))</f>
        <v/>
      </c>
      <c r="D83">
        <f>IF($A83="","",COUNTIFS('Таблиця 1'!$B:$B,$A83,'Таблиця 1'!$I:$I,"Mi-24"))</f>
        <v/>
      </c>
      <c r="E83">
        <f>IF($A83="","",SUMIFS('Таблиця 1'!$K:$K,'Таблиця 1'!$B:$B,$A83,'Таблиця 1'!$I:$I,"Mi-8",'Таблиця 1'!$J:$J,"ARS-8")+SUMIFS('Таблиця 1'!$K:$K,'Таблиця 1'!$B:$B,$A83,'Таблиця 1'!$I:$I,"Mi-24",'Таблиця 1'!$J:$J,"ARS-8"))</f>
        <v/>
      </c>
      <c r="F83">
        <f>IF($A83="","",SUMIFS('Таблиця 1'!$K:$K,'Таблиця 1'!$B:$B,$A83,'Таблиця 1'!$I:$I,"Mi-8",'Таблиця 1'!$J:$J,"С-8 ком")+SUMIFS('Таблиця 1'!$K:$K,'Таблиця 1'!$B:$B,$A83,'Таблиця 1'!$I:$I,"Mi-24",'Таблиця 1'!$J:$J,"С-8 ком"))</f>
        <v/>
      </c>
      <c r="G83">
        <f>IF($A83="","",SUMIFS('Таблиця 1'!$K:$K,'Таблиця 1'!$B:$B,$A83,'Таблиця 1'!$I:$I,"Mi-8",'Таблиця 1'!$J:$J,"PC-80")+SUMIFS('Таблиця 1'!$K:$K,'Таблиця 1'!$B:$B,$A83,'Таблиця 1'!$I:$I,"Mi-24",'Таблиця 1'!$J:$J,"PC-80"))</f>
        <v/>
      </c>
      <c r="H83">
        <f>IF($A83="","",SUMIFS('Таблиця 1'!$K:$K,'Таблиця 1'!$B:$B,$A83,'Таблиця 1'!$I:$I,"Mi-8",'Таблиця 1'!$J:$J,"UAR-80")+SUMIFS('Таблиця 1'!$K:$K,'Таблиця 1'!$B:$B,$A83,'Таблиця 1'!$I:$I,"Mi-24",'Таблиця 1'!$J:$J,"UAR-80"))</f>
        <v/>
      </c>
      <c r="I83">
        <f>IF($A83="","",SUMIFS('Таблиця 1'!$K:$K,'Таблиця 1'!$B:$B,$A83,'Таблиця 1'!$I:$I,"Mi-8",'Таблиця 1'!$J:$J,"C-13")+SUMIFS('Таблиця 1'!$K:$K,'Таблиця 1'!$B:$B,$A83,'Таблиця 1'!$I:$I,"Mi-24",'Таблиця 1'!$J:$J,"C-13"))</f>
        <v/>
      </c>
      <c r="J83">
        <f>IF($A83="","",SUMIFS('Таблиця 1'!$K:$K,'Таблиця 1'!$B:$B,$A83,'Таблиця 1'!$I:$I,"Mi-8",'Таблиця 1'!$J:$J,"Hydra-70")+SUMIFS('Таблиця 1'!$K:$K,'Таблиця 1'!$B:$B,$A83,'Таблиця 1'!$I:$I,"Mi-24",'Таблиця 1'!$J:$J,"Hydra-70"))</f>
        <v/>
      </c>
      <c r="K83">
        <f>IF($A83="","",SUMIFS('Таблиця 1'!$K:$K,'Таблиця 1'!$B:$B,$A83,'Таблиця 1'!$I:$I,"Mi-8",'Таблиця 1'!$J:$J,"Thales-70")+SUMIFS('Таблиця 1'!$K:$K,'Таблиця 1'!$B:$B,$A83,'Таблиця 1'!$I:$I,"Mi-24",'Таблиця 1'!$J:$J,"Thales-70"))</f>
        <v/>
      </c>
      <c r="L83">
        <f>IF($A83="","",SUMIFS('Таблиця 1'!$K:$K,'Таблиця 1'!$B:$B,$A83,'Таблиця 1'!$I:$I,"Mi-8",'Таблиця 1'!$J:$J,"Thales-FZ")+SUMIFS('Таблиця 1'!$K:$K,'Таблиця 1'!$B:$B,$A83,'Таблиця 1'!$I:$I,"Mi-24",'Таблиця 1'!$J:$J,"Thales-FZ"))</f>
        <v/>
      </c>
      <c r="M83">
        <f>IF($A83="","",SUMIFS('Таблиця 1'!$K:$K,'Таблиця 1'!$B:$B,$A83,'Таблиця 1'!$I:$I,"Mi-8",'Таблиця 1'!$J:$J,"МК-40")+SUMIFS('Таблиця 1'!$K:$K,'Таблиця 1'!$B:$B,$A83,'Таблиця 1'!$I:$I,"Mi-24",'Таблиця 1'!$J:$J,"МК-40"))</f>
        <v/>
      </c>
      <c r="N83">
        <f>IF($A83="","",SUMIFS('Таблиця 1'!$K:$K,'Таблиця 1'!$B:$B,$A83,'Таблиця 1'!$I:$I,"Mi-8",'Таблиця 1'!$J:$J,"Zuni")+SUMIFS('Таблиця 1'!$K:$K,'Таблиця 1'!$B:$B,$A83,'Таблиця 1'!$I:$I,"Mi-24",'Таблиця 1'!$J:$J,"Zuni"))</f>
        <v/>
      </c>
      <c r="O83">
        <f>IF($A83="","",COUNTIFS('Таблиця 1'!$B:$B,$A83,'Таблиця 1'!$I:$I,"Mi-8",'Таблиця 1'!$L:$L,"Уражено")+COUNTIFS('Таблиця 1'!$B:$B,$A83,'Таблиця 1'!$I:$I,"Mi-24",'Таблиця 1'!$L:$L,"Уражено"))</f>
        <v/>
      </c>
      <c r="P83">
        <f>IF($A83="","",COUNTIFS('Таблиця 1'!$B:$B,$A83,'Таблиця 1'!$I:$I,"Mi-8",'Таблиця 1'!$L:$L,"НЕ уражено")+COUNTIFS('Таблиця 1'!$B:$B,$A83,'Таблиця 1'!$I:$I,"Mi-24",'Таблиця 1'!$L:$L,"НЕ уражено"))</f>
        <v/>
      </c>
    </row>
    <row r="84">
      <c r="A84" s="273">
        <f>IF(A83="","",IF(A83+1&gt;MAX('Таблиця 1'!$B:$B),"",A83+1))</f>
        <v/>
      </c>
      <c r="B84">
        <f>IF($A84="","",COUNTIFS('Таблиця 1'!$B:$B,$A84,'Таблиця 1'!$I:$I,"Mi-8")+COUNTIFS('Таблиця 1'!$B:$B,$A84,'Таблиця 1'!$I:$I,"Mi-24"))</f>
        <v/>
      </c>
      <c r="C84">
        <f>IF($A84="","",COUNTIFS('Таблиця 1'!$B:$B,$A84,'Таблиця 1'!$I:$I,"Mi-8"))</f>
        <v/>
      </c>
      <c r="D84">
        <f>IF($A84="","",COUNTIFS('Таблиця 1'!$B:$B,$A84,'Таблиця 1'!$I:$I,"Mi-24"))</f>
        <v/>
      </c>
      <c r="E84">
        <f>IF($A84="","",SUMIFS('Таблиця 1'!$K:$K,'Таблиця 1'!$B:$B,$A84,'Таблиця 1'!$I:$I,"Mi-8",'Таблиця 1'!$J:$J,"ARS-8")+SUMIFS('Таблиця 1'!$K:$K,'Таблиця 1'!$B:$B,$A84,'Таблиця 1'!$I:$I,"Mi-24",'Таблиця 1'!$J:$J,"ARS-8"))</f>
        <v/>
      </c>
      <c r="F84">
        <f>IF($A84="","",SUMIFS('Таблиця 1'!$K:$K,'Таблиця 1'!$B:$B,$A84,'Таблиця 1'!$I:$I,"Mi-8",'Таблиця 1'!$J:$J,"С-8 ком")+SUMIFS('Таблиця 1'!$K:$K,'Таблиця 1'!$B:$B,$A84,'Таблиця 1'!$I:$I,"Mi-24",'Таблиця 1'!$J:$J,"С-8 ком"))</f>
        <v/>
      </c>
      <c r="G84">
        <f>IF($A84="","",SUMIFS('Таблиця 1'!$K:$K,'Таблиця 1'!$B:$B,$A84,'Таблиця 1'!$I:$I,"Mi-8",'Таблиця 1'!$J:$J,"PC-80")+SUMIFS('Таблиця 1'!$K:$K,'Таблиця 1'!$B:$B,$A84,'Таблиця 1'!$I:$I,"Mi-24",'Таблиця 1'!$J:$J,"PC-80"))</f>
        <v/>
      </c>
      <c r="H84">
        <f>IF($A84="","",SUMIFS('Таблиця 1'!$K:$K,'Таблиця 1'!$B:$B,$A84,'Таблиця 1'!$I:$I,"Mi-8",'Таблиця 1'!$J:$J,"UAR-80")+SUMIFS('Таблиця 1'!$K:$K,'Таблиця 1'!$B:$B,$A84,'Таблиця 1'!$I:$I,"Mi-24",'Таблиця 1'!$J:$J,"UAR-80"))</f>
        <v/>
      </c>
      <c r="I84">
        <f>IF($A84="","",SUMIFS('Таблиця 1'!$K:$K,'Таблиця 1'!$B:$B,$A84,'Таблиця 1'!$I:$I,"Mi-8",'Таблиця 1'!$J:$J,"C-13")+SUMIFS('Таблиця 1'!$K:$K,'Таблиця 1'!$B:$B,$A84,'Таблиця 1'!$I:$I,"Mi-24",'Таблиця 1'!$J:$J,"C-13"))</f>
        <v/>
      </c>
      <c r="J84">
        <f>IF($A84="","",SUMIFS('Таблиця 1'!$K:$K,'Таблиця 1'!$B:$B,$A84,'Таблиця 1'!$I:$I,"Mi-8",'Таблиця 1'!$J:$J,"Hydra-70")+SUMIFS('Таблиця 1'!$K:$K,'Таблиця 1'!$B:$B,$A84,'Таблиця 1'!$I:$I,"Mi-24",'Таблиця 1'!$J:$J,"Hydra-70"))</f>
        <v/>
      </c>
      <c r="K84">
        <f>IF($A84="","",SUMIFS('Таблиця 1'!$K:$K,'Таблиця 1'!$B:$B,$A84,'Таблиця 1'!$I:$I,"Mi-8",'Таблиця 1'!$J:$J,"Thales-70")+SUMIFS('Таблиця 1'!$K:$K,'Таблиця 1'!$B:$B,$A84,'Таблиця 1'!$I:$I,"Mi-24",'Таблиця 1'!$J:$J,"Thales-70"))</f>
        <v/>
      </c>
      <c r="L84">
        <f>IF($A84="","",SUMIFS('Таблиця 1'!$K:$K,'Таблиця 1'!$B:$B,$A84,'Таблиця 1'!$I:$I,"Mi-8",'Таблиця 1'!$J:$J,"Thales-FZ")+SUMIFS('Таблиця 1'!$K:$K,'Таблиця 1'!$B:$B,$A84,'Таблиця 1'!$I:$I,"Mi-24",'Таблиця 1'!$J:$J,"Thales-FZ"))</f>
        <v/>
      </c>
      <c r="M84">
        <f>IF($A84="","",SUMIFS('Таблиця 1'!$K:$K,'Таблиця 1'!$B:$B,$A84,'Таблиця 1'!$I:$I,"Mi-8",'Таблиця 1'!$J:$J,"МК-40")+SUMIFS('Таблиця 1'!$K:$K,'Таблиця 1'!$B:$B,$A84,'Таблиця 1'!$I:$I,"Mi-24",'Таблиця 1'!$J:$J,"МК-40"))</f>
        <v/>
      </c>
      <c r="N84">
        <f>IF($A84="","",SUMIFS('Таблиця 1'!$K:$K,'Таблиця 1'!$B:$B,$A84,'Таблиця 1'!$I:$I,"Mi-8",'Таблиця 1'!$J:$J,"Zuni")+SUMIFS('Таблиця 1'!$K:$K,'Таблиця 1'!$B:$B,$A84,'Таблиця 1'!$I:$I,"Mi-24",'Таблиця 1'!$J:$J,"Zuni"))</f>
        <v/>
      </c>
      <c r="O84">
        <f>IF($A84="","",COUNTIFS('Таблиця 1'!$B:$B,$A84,'Таблиця 1'!$I:$I,"Mi-8",'Таблиця 1'!$L:$L,"Уражено")+COUNTIFS('Таблиця 1'!$B:$B,$A84,'Таблиця 1'!$I:$I,"Mi-24",'Таблиця 1'!$L:$L,"Уражено"))</f>
        <v/>
      </c>
      <c r="P84">
        <f>IF($A84="","",COUNTIFS('Таблиця 1'!$B:$B,$A84,'Таблиця 1'!$I:$I,"Mi-8",'Таблиця 1'!$L:$L,"НЕ уражено")+COUNTIFS('Таблиця 1'!$B:$B,$A84,'Таблиця 1'!$I:$I,"Mi-24",'Таблиця 1'!$L:$L,"НЕ уражено"))</f>
        <v/>
      </c>
    </row>
    <row r="85">
      <c r="A85" s="273">
        <f>IF(A84="","",IF(A84+1&gt;MAX('Таблиця 1'!$B:$B),"",A84+1))</f>
        <v/>
      </c>
      <c r="B85">
        <f>IF($A85="","",COUNTIFS('Таблиця 1'!$B:$B,$A85,'Таблиця 1'!$I:$I,"Mi-8")+COUNTIFS('Таблиця 1'!$B:$B,$A85,'Таблиця 1'!$I:$I,"Mi-24"))</f>
        <v/>
      </c>
      <c r="C85">
        <f>IF($A85="","",COUNTIFS('Таблиця 1'!$B:$B,$A85,'Таблиця 1'!$I:$I,"Mi-8"))</f>
        <v/>
      </c>
      <c r="D85">
        <f>IF($A85="","",COUNTIFS('Таблиця 1'!$B:$B,$A85,'Таблиця 1'!$I:$I,"Mi-24"))</f>
        <v/>
      </c>
      <c r="E85">
        <f>IF($A85="","",SUMIFS('Таблиця 1'!$K:$K,'Таблиця 1'!$B:$B,$A85,'Таблиця 1'!$I:$I,"Mi-8",'Таблиця 1'!$J:$J,"ARS-8")+SUMIFS('Таблиця 1'!$K:$K,'Таблиця 1'!$B:$B,$A85,'Таблиця 1'!$I:$I,"Mi-24",'Таблиця 1'!$J:$J,"ARS-8"))</f>
        <v/>
      </c>
      <c r="F85">
        <f>IF($A85="","",SUMIFS('Таблиця 1'!$K:$K,'Таблиця 1'!$B:$B,$A85,'Таблиця 1'!$I:$I,"Mi-8",'Таблиця 1'!$J:$J,"С-8 ком")+SUMIFS('Таблиця 1'!$K:$K,'Таблиця 1'!$B:$B,$A85,'Таблиця 1'!$I:$I,"Mi-24",'Таблиця 1'!$J:$J,"С-8 ком"))</f>
        <v/>
      </c>
      <c r="G85">
        <f>IF($A85="","",SUMIFS('Таблиця 1'!$K:$K,'Таблиця 1'!$B:$B,$A85,'Таблиця 1'!$I:$I,"Mi-8",'Таблиця 1'!$J:$J,"PC-80")+SUMIFS('Таблиця 1'!$K:$K,'Таблиця 1'!$B:$B,$A85,'Таблиця 1'!$I:$I,"Mi-24",'Таблиця 1'!$J:$J,"PC-80"))</f>
        <v/>
      </c>
      <c r="H85">
        <f>IF($A85="","",SUMIFS('Таблиця 1'!$K:$K,'Таблиця 1'!$B:$B,$A85,'Таблиця 1'!$I:$I,"Mi-8",'Таблиця 1'!$J:$J,"UAR-80")+SUMIFS('Таблиця 1'!$K:$K,'Таблиця 1'!$B:$B,$A85,'Таблиця 1'!$I:$I,"Mi-24",'Таблиця 1'!$J:$J,"UAR-80"))</f>
        <v/>
      </c>
      <c r="I85">
        <f>IF($A85="","",SUMIFS('Таблиця 1'!$K:$K,'Таблиця 1'!$B:$B,$A85,'Таблиця 1'!$I:$I,"Mi-8",'Таблиця 1'!$J:$J,"C-13")+SUMIFS('Таблиця 1'!$K:$K,'Таблиця 1'!$B:$B,$A85,'Таблиця 1'!$I:$I,"Mi-24",'Таблиця 1'!$J:$J,"C-13"))</f>
        <v/>
      </c>
      <c r="J85">
        <f>IF($A85="","",SUMIFS('Таблиця 1'!$K:$K,'Таблиця 1'!$B:$B,$A85,'Таблиця 1'!$I:$I,"Mi-8",'Таблиця 1'!$J:$J,"Hydra-70")+SUMIFS('Таблиця 1'!$K:$K,'Таблиця 1'!$B:$B,$A85,'Таблиця 1'!$I:$I,"Mi-24",'Таблиця 1'!$J:$J,"Hydra-70"))</f>
        <v/>
      </c>
      <c r="K85">
        <f>IF($A85="","",SUMIFS('Таблиця 1'!$K:$K,'Таблиця 1'!$B:$B,$A85,'Таблиця 1'!$I:$I,"Mi-8",'Таблиця 1'!$J:$J,"Thales-70")+SUMIFS('Таблиця 1'!$K:$K,'Таблиця 1'!$B:$B,$A85,'Таблиця 1'!$I:$I,"Mi-24",'Таблиця 1'!$J:$J,"Thales-70"))</f>
        <v/>
      </c>
      <c r="L85">
        <f>IF($A85="","",SUMIFS('Таблиця 1'!$K:$K,'Таблиця 1'!$B:$B,$A85,'Таблиця 1'!$I:$I,"Mi-8",'Таблиця 1'!$J:$J,"Thales-FZ")+SUMIFS('Таблиця 1'!$K:$K,'Таблиця 1'!$B:$B,$A85,'Таблиця 1'!$I:$I,"Mi-24",'Таблиця 1'!$J:$J,"Thales-FZ"))</f>
        <v/>
      </c>
      <c r="M85">
        <f>IF($A85="","",SUMIFS('Таблиця 1'!$K:$K,'Таблиця 1'!$B:$B,$A85,'Таблиця 1'!$I:$I,"Mi-8",'Таблиця 1'!$J:$J,"МК-40")+SUMIFS('Таблиця 1'!$K:$K,'Таблиця 1'!$B:$B,$A85,'Таблиця 1'!$I:$I,"Mi-24",'Таблиця 1'!$J:$J,"МК-40"))</f>
        <v/>
      </c>
      <c r="N85">
        <f>IF($A85="","",SUMIFS('Таблиця 1'!$K:$K,'Таблиця 1'!$B:$B,$A85,'Таблиця 1'!$I:$I,"Mi-8",'Таблиця 1'!$J:$J,"Zuni")+SUMIFS('Таблиця 1'!$K:$K,'Таблиця 1'!$B:$B,$A85,'Таблиця 1'!$I:$I,"Mi-24",'Таблиця 1'!$J:$J,"Zuni"))</f>
        <v/>
      </c>
      <c r="O85">
        <f>IF($A85="","",COUNTIFS('Таблиця 1'!$B:$B,$A85,'Таблиця 1'!$I:$I,"Mi-8",'Таблиця 1'!$L:$L,"Уражено")+COUNTIFS('Таблиця 1'!$B:$B,$A85,'Таблиця 1'!$I:$I,"Mi-24",'Таблиця 1'!$L:$L,"Уражено"))</f>
        <v/>
      </c>
      <c r="P85">
        <f>IF($A85="","",COUNTIFS('Таблиця 1'!$B:$B,$A85,'Таблиця 1'!$I:$I,"Mi-8",'Таблиця 1'!$L:$L,"НЕ уражено")+COUNTIFS('Таблиця 1'!$B:$B,$A85,'Таблиця 1'!$I:$I,"Mi-24",'Таблиця 1'!$L:$L,"НЕ уражено"))</f>
        <v/>
      </c>
    </row>
    <row r="86">
      <c r="A86" s="273">
        <f>IF(A85="","",IF(A85+1&gt;MAX('Таблиця 1'!$B:$B),"",A85+1))</f>
        <v/>
      </c>
      <c r="B86">
        <f>IF($A86="","",COUNTIFS('Таблиця 1'!$B:$B,$A86,'Таблиця 1'!$I:$I,"Mi-8")+COUNTIFS('Таблиця 1'!$B:$B,$A86,'Таблиця 1'!$I:$I,"Mi-24"))</f>
        <v/>
      </c>
      <c r="C86">
        <f>IF($A86="","",COUNTIFS('Таблиця 1'!$B:$B,$A86,'Таблиця 1'!$I:$I,"Mi-8"))</f>
        <v/>
      </c>
      <c r="D86">
        <f>IF($A86="","",COUNTIFS('Таблиця 1'!$B:$B,$A86,'Таблиця 1'!$I:$I,"Mi-24"))</f>
        <v/>
      </c>
      <c r="E86">
        <f>IF($A86="","",SUMIFS('Таблиця 1'!$K:$K,'Таблиця 1'!$B:$B,$A86,'Таблиця 1'!$I:$I,"Mi-8",'Таблиця 1'!$J:$J,"ARS-8")+SUMIFS('Таблиця 1'!$K:$K,'Таблиця 1'!$B:$B,$A86,'Таблиця 1'!$I:$I,"Mi-24",'Таблиця 1'!$J:$J,"ARS-8"))</f>
        <v/>
      </c>
      <c r="F86">
        <f>IF($A86="","",SUMIFS('Таблиця 1'!$K:$K,'Таблиця 1'!$B:$B,$A86,'Таблиця 1'!$I:$I,"Mi-8",'Таблиця 1'!$J:$J,"С-8 ком")+SUMIFS('Таблиця 1'!$K:$K,'Таблиця 1'!$B:$B,$A86,'Таблиця 1'!$I:$I,"Mi-24",'Таблиця 1'!$J:$J,"С-8 ком"))</f>
        <v/>
      </c>
      <c r="G86">
        <f>IF($A86="","",SUMIFS('Таблиця 1'!$K:$K,'Таблиця 1'!$B:$B,$A86,'Таблиця 1'!$I:$I,"Mi-8",'Таблиця 1'!$J:$J,"PC-80")+SUMIFS('Таблиця 1'!$K:$K,'Таблиця 1'!$B:$B,$A86,'Таблиця 1'!$I:$I,"Mi-24",'Таблиця 1'!$J:$J,"PC-80"))</f>
        <v/>
      </c>
      <c r="H86">
        <f>IF($A86="","",SUMIFS('Таблиця 1'!$K:$K,'Таблиця 1'!$B:$B,$A86,'Таблиця 1'!$I:$I,"Mi-8",'Таблиця 1'!$J:$J,"UAR-80")+SUMIFS('Таблиця 1'!$K:$K,'Таблиця 1'!$B:$B,$A86,'Таблиця 1'!$I:$I,"Mi-24",'Таблиця 1'!$J:$J,"UAR-80"))</f>
        <v/>
      </c>
      <c r="I86">
        <f>IF($A86="","",SUMIFS('Таблиця 1'!$K:$K,'Таблиця 1'!$B:$B,$A86,'Таблиця 1'!$I:$I,"Mi-8",'Таблиця 1'!$J:$J,"C-13")+SUMIFS('Таблиця 1'!$K:$K,'Таблиця 1'!$B:$B,$A86,'Таблиця 1'!$I:$I,"Mi-24",'Таблиця 1'!$J:$J,"C-13"))</f>
        <v/>
      </c>
      <c r="J86">
        <f>IF($A86="","",SUMIFS('Таблиця 1'!$K:$K,'Таблиця 1'!$B:$B,$A86,'Таблиця 1'!$I:$I,"Mi-8",'Таблиця 1'!$J:$J,"Hydra-70")+SUMIFS('Таблиця 1'!$K:$K,'Таблиця 1'!$B:$B,$A86,'Таблиця 1'!$I:$I,"Mi-24",'Таблиця 1'!$J:$J,"Hydra-70"))</f>
        <v/>
      </c>
      <c r="K86">
        <f>IF($A86="","",SUMIFS('Таблиця 1'!$K:$K,'Таблиця 1'!$B:$B,$A86,'Таблиця 1'!$I:$I,"Mi-8",'Таблиця 1'!$J:$J,"Thales-70")+SUMIFS('Таблиця 1'!$K:$K,'Таблиця 1'!$B:$B,$A86,'Таблиця 1'!$I:$I,"Mi-24",'Таблиця 1'!$J:$J,"Thales-70"))</f>
        <v/>
      </c>
      <c r="L86">
        <f>IF($A86="","",SUMIFS('Таблиця 1'!$K:$K,'Таблиця 1'!$B:$B,$A86,'Таблиця 1'!$I:$I,"Mi-8",'Таблиця 1'!$J:$J,"Thales-FZ")+SUMIFS('Таблиця 1'!$K:$K,'Таблиця 1'!$B:$B,$A86,'Таблиця 1'!$I:$I,"Mi-24",'Таблиця 1'!$J:$J,"Thales-FZ"))</f>
        <v/>
      </c>
      <c r="M86">
        <f>IF($A86="","",SUMIFS('Таблиця 1'!$K:$K,'Таблиця 1'!$B:$B,$A86,'Таблиця 1'!$I:$I,"Mi-8",'Таблиця 1'!$J:$J,"МК-40")+SUMIFS('Таблиця 1'!$K:$K,'Таблиця 1'!$B:$B,$A86,'Таблиця 1'!$I:$I,"Mi-24",'Таблиця 1'!$J:$J,"МК-40"))</f>
        <v/>
      </c>
      <c r="N86">
        <f>IF($A86="","",SUMIFS('Таблиця 1'!$K:$K,'Таблиця 1'!$B:$B,$A86,'Таблиця 1'!$I:$I,"Mi-8",'Таблиця 1'!$J:$J,"Zuni")+SUMIFS('Таблиця 1'!$K:$K,'Таблиця 1'!$B:$B,$A86,'Таблиця 1'!$I:$I,"Mi-24",'Таблиця 1'!$J:$J,"Zuni"))</f>
        <v/>
      </c>
      <c r="O86">
        <f>IF($A86="","",COUNTIFS('Таблиця 1'!$B:$B,$A86,'Таблиця 1'!$I:$I,"Mi-8",'Таблиця 1'!$L:$L,"Уражено")+COUNTIFS('Таблиця 1'!$B:$B,$A86,'Таблиця 1'!$I:$I,"Mi-24",'Таблиця 1'!$L:$L,"Уражено"))</f>
        <v/>
      </c>
      <c r="P86">
        <f>IF($A86="","",COUNTIFS('Таблиця 1'!$B:$B,$A86,'Таблиця 1'!$I:$I,"Mi-8",'Таблиця 1'!$L:$L,"НЕ уражено")+COUNTIFS('Таблиця 1'!$B:$B,$A86,'Таблиця 1'!$I:$I,"Mi-24",'Таблиця 1'!$L:$L,"НЕ уражено"))</f>
        <v/>
      </c>
    </row>
    <row r="87">
      <c r="A87" s="273">
        <f>IF(A86="","",IF(A86+1&gt;MAX('Таблиця 1'!$B:$B),"",A86+1))</f>
        <v/>
      </c>
      <c r="B87">
        <f>IF($A87="","",COUNTIFS('Таблиця 1'!$B:$B,$A87,'Таблиця 1'!$I:$I,"Mi-8")+COUNTIFS('Таблиця 1'!$B:$B,$A87,'Таблиця 1'!$I:$I,"Mi-24"))</f>
        <v/>
      </c>
      <c r="C87">
        <f>IF($A87="","",COUNTIFS('Таблиця 1'!$B:$B,$A87,'Таблиця 1'!$I:$I,"Mi-8"))</f>
        <v/>
      </c>
      <c r="D87">
        <f>IF($A87="","",COUNTIFS('Таблиця 1'!$B:$B,$A87,'Таблиця 1'!$I:$I,"Mi-24"))</f>
        <v/>
      </c>
      <c r="E87">
        <f>IF($A87="","",SUMIFS('Таблиця 1'!$K:$K,'Таблиця 1'!$B:$B,$A87,'Таблиця 1'!$I:$I,"Mi-8",'Таблиця 1'!$J:$J,"ARS-8")+SUMIFS('Таблиця 1'!$K:$K,'Таблиця 1'!$B:$B,$A87,'Таблиця 1'!$I:$I,"Mi-24",'Таблиця 1'!$J:$J,"ARS-8"))</f>
        <v/>
      </c>
      <c r="F87">
        <f>IF($A87="","",SUMIFS('Таблиця 1'!$K:$K,'Таблиця 1'!$B:$B,$A87,'Таблиця 1'!$I:$I,"Mi-8",'Таблиця 1'!$J:$J,"С-8 ком")+SUMIFS('Таблиця 1'!$K:$K,'Таблиця 1'!$B:$B,$A87,'Таблиця 1'!$I:$I,"Mi-24",'Таблиця 1'!$J:$J,"С-8 ком"))</f>
        <v/>
      </c>
      <c r="G87">
        <f>IF($A87="","",SUMIFS('Таблиця 1'!$K:$K,'Таблиця 1'!$B:$B,$A87,'Таблиця 1'!$I:$I,"Mi-8",'Таблиця 1'!$J:$J,"PC-80")+SUMIFS('Таблиця 1'!$K:$K,'Таблиця 1'!$B:$B,$A87,'Таблиця 1'!$I:$I,"Mi-24",'Таблиця 1'!$J:$J,"PC-80"))</f>
        <v/>
      </c>
      <c r="H87">
        <f>IF($A87="","",SUMIFS('Таблиця 1'!$K:$K,'Таблиця 1'!$B:$B,$A87,'Таблиця 1'!$I:$I,"Mi-8",'Таблиця 1'!$J:$J,"UAR-80")+SUMIFS('Таблиця 1'!$K:$K,'Таблиця 1'!$B:$B,$A87,'Таблиця 1'!$I:$I,"Mi-24",'Таблиця 1'!$J:$J,"UAR-80"))</f>
        <v/>
      </c>
      <c r="I87">
        <f>IF($A87="","",SUMIFS('Таблиця 1'!$K:$K,'Таблиця 1'!$B:$B,$A87,'Таблиця 1'!$I:$I,"Mi-8",'Таблиця 1'!$J:$J,"C-13")+SUMIFS('Таблиця 1'!$K:$K,'Таблиця 1'!$B:$B,$A87,'Таблиця 1'!$I:$I,"Mi-24",'Таблиця 1'!$J:$J,"C-13"))</f>
        <v/>
      </c>
      <c r="J87">
        <f>IF($A87="","",SUMIFS('Таблиця 1'!$K:$K,'Таблиця 1'!$B:$B,$A87,'Таблиця 1'!$I:$I,"Mi-8",'Таблиця 1'!$J:$J,"Hydra-70")+SUMIFS('Таблиця 1'!$K:$K,'Таблиця 1'!$B:$B,$A87,'Таблиця 1'!$I:$I,"Mi-24",'Таблиця 1'!$J:$J,"Hydra-70"))</f>
        <v/>
      </c>
      <c r="K87">
        <f>IF($A87="","",SUMIFS('Таблиця 1'!$K:$K,'Таблиця 1'!$B:$B,$A87,'Таблиця 1'!$I:$I,"Mi-8",'Таблиця 1'!$J:$J,"Thales-70")+SUMIFS('Таблиця 1'!$K:$K,'Таблиця 1'!$B:$B,$A87,'Таблиця 1'!$I:$I,"Mi-24",'Таблиця 1'!$J:$J,"Thales-70"))</f>
        <v/>
      </c>
      <c r="L87">
        <f>IF($A87="","",SUMIFS('Таблиця 1'!$K:$K,'Таблиця 1'!$B:$B,$A87,'Таблиця 1'!$I:$I,"Mi-8",'Таблиця 1'!$J:$J,"Thales-FZ")+SUMIFS('Таблиця 1'!$K:$K,'Таблиця 1'!$B:$B,$A87,'Таблиця 1'!$I:$I,"Mi-24",'Таблиця 1'!$J:$J,"Thales-FZ"))</f>
        <v/>
      </c>
      <c r="M87">
        <f>IF($A87="","",SUMIFS('Таблиця 1'!$K:$K,'Таблиця 1'!$B:$B,$A87,'Таблиця 1'!$I:$I,"Mi-8",'Таблиця 1'!$J:$J,"МК-40")+SUMIFS('Таблиця 1'!$K:$K,'Таблиця 1'!$B:$B,$A87,'Таблиця 1'!$I:$I,"Mi-24",'Таблиця 1'!$J:$J,"МК-40"))</f>
        <v/>
      </c>
      <c r="N87">
        <f>IF($A87="","",SUMIFS('Таблиця 1'!$K:$K,'Таблиця 1'!$B:$B,$A87,'Таблиця 1'!$I:$I,"Mi-8",'Таблиця 1'!$J:$J,"Zuni")+SUMIFS('Таблиця 1'!$K:$K,'Таблиця 1'!$B:$B,$A87,'Таблиця 1'!$I:$I,"Mi-24",'Таблиця 1'!$J:$J,"Zuni"))</f>
        <v/>
      </c>
      <c r="O87">
        <f>IF($A87="","",COUNTIFS('Таблиця 1'!$B:$B,$A87,'Таблиця 1'!$I:$I,"Mi-8",'Таблиця 1'!$L:$L,"Уражено")+COUNTIFS('Таблиця 1'!$B:$B,$A87,'Таблиця 1'!$I:$I,"Mi-24",'Таблиця 1'!$L:$L,"Уражено"))</f>
        <v/>
      </c>
      <c r="P87">
        <f>IF($A87="","",COUNTIFS('Таблиця 1'!$B:$B,$A87,'Таблиця 1'!$I:$I,"Mi-8",'Таблиця 1'!$L:$L,"НЕ уражено")+COUNTIFS('Таблиця 1'!$B:$B,$A87,'Таблиця 1'!$I:$I,"Mi-24",'Таблиця 1'!$L:$L,"НЕ уражено"))</f>
        <v/>
      </c>
    </row>
    <row r="88">
      <c r="A88" s="273">
        <f>IF(A87="","",IF(A87+1&gt;MAX('Таблиця 1'!$B:$B),"",A87+1))</f>
        <v/>
      </c>
      <c r="B88">
        <f>IF($A88="","",COUNTIFS('Таблиця 1'!$B:$B,$A88,'Таблиця 1'!$I:$I,"Mi-8")+COUNTIFS('Таблиця 1'!$B:$B,$A88,'Таблиця 1'!$I:$I,"Mi-24"))</f>
        <v/>
      </c>
      <c r="C88">
        <f>IF($A88="","",COUNTIFS('Таблиця 1'!$B:$B,$A88,'Таблиця 1'!$I:$I,"Mi-8"))</f>
        <v/>
      </c>
      <c r="D88">
        <f>IF($A88="","",COUNTIFS('Таблиця 1'!$B:$B,$A88,'Таблиця 1'!$I:$I,"Mi-24"))</f>
        <v/>
      </c>
      <c r="E88">
        <f>IF($A88="","",SUMIFS('Таблиця 1'!$K:$K,'Таблиця 1'!$B:$B,$A88,'Таблиця 1'!$I:$I,"Mi-8",'Таблиця 1'!$J:$J,"ARS-8")+SUMIFS('Таблиця 1'!$K:$K,'Таблиця 1'!$B:$B,$A88,'Таблиця 1'!$I:$I,"Mi-24",'Таблиця 1'!$J:$J,"ARS-8"))</f>
        <v/>
      </c>
      <c r="F88">
        <f>IF($A88="","",SUMIFS('Таблиця 1'!$K:$K,'Таблиця 1'!$B:$B,$A88,'Таблиця 1'!$I:$I,"Mi-8",'Таблиця 1'!$J:$J,"С-8 ком")+SUMIFS('Таблиця 1'!$K:$K,'Таблиця 1'!$B:$B,$A88,'Таблиця 1'!$I:$I,"Mi-24",'Таблиця 1'!$J:$J,"С-8 ком"))</f>
        <v/>
      </c>
      <c r="G88">
        <f>IF($A88="","",SUMIFS('Таблиця 1'!$K:$K,'Таблиця 1'!$B:$B,$A88,'Таблиця 1'!$I:$I,"Mi-8",'Таблиця 1'!$J:$J,"PC-80")+SUMIFS('Таблиця 1'!$K:$K,'Таблиця 1'!$B:$B,$A88,'Таблиця 1'!$I:$I,"Mi-24",'Таблиця 1'!$J:$J,"PC-80"))</f>
        <v/>
      </c>
      <c r="H88">
        <f>IF($A88="","",SUMIFS('Таблиця 1'!$K:$K,'Таблиця 1'!$B:$B,$A88,'Таблиця 1'!$I:$I,"Mi-8",'Таблиця 1'!$J:$J,"UAR-80")+SUMIFS('Таблиця 1'!$K:$K,'Таблиця 1'!$B:$B,$A88,'Таблиця 1'!$I:$I,"Mi-24",'Таблиця 1'!$J:$J,"UAR-80"))</f>
        <v/>
      </c>
      <c r="I88">
        <f>IF($A88="","",SUMIFS('Таблиця 1'!$K:$K,'Таблиця 1'!$B:$B,$A88,'Таблиця 1'!$I:$I,"Mi-8",'Таблиця 1'!$J:$J,"C-13")+SUMIFS('Таблиця 1'!$K:$K,'Таблиця 1'!$B:$B,$A88,'Таблиця 1'!$I:$I,"Mi-24",'Таблиця 1'!$J:$J,"C-13"))</f>
        <v/>
      </c>
      <c r="J88">
        <f>IF($A88="","",SUMIFS('Таблиця 1'!$K:$K,'Таблиця 1'!$B:$B,$A88,'Таблиця 1'!$I:$I,"Mi-8",'Таблиця 1'!$J:$J,"Hydra-70")+SUMIFS('Таблиця 1'!$K:$K,'Таблиця 1'!$B:$B,$A88,'Таблиця 1'!$I:$I,"Mi-24",'Таблиця 1'!$J:$J,"Hydra-70"))</f>
        <v/>
      </c>
      <c r="K88">
        <f>IF($A88="","",SUMIFS('Таблиця 1'!$K:$K,'Таблиця 1'!$B:$B,$A88,'Таблиця 1'!$I:$I,"Mi-8",'Таблиця 1'!$J:$J,"Thales-70")+SUMIFS('Таблиця 1'!$K:$K,'Таблиця 1'!$B:$B,$A88,'Таблиця 1'!$I:$I,"Mi-24",'Таблиця 1'!$J:$J,"Thales-70"))</f>
        <v/>
      </c>
      <c r="L88">
        <f>IF($A88="","",SUMIFS('Таблиця 1'!$K:$K,'Таблиця 1'!$B:$B,$A88,'Таблиця 1'!$I:$I,"Mi-8",'Таблиця 1'!$J:$J,"Thales-FZ")+SUMIFS('Таблиця 1'!$K:$K,'Таблиця 1'!$B:$B,$A88,'Таблиця 1'!$I:$I,"Mi-24",'Таблиця 1'!$J:$J,"Thales-FZ"))</f>
        <v/>
      </c>
      <c r="M88">
        <f>IF($A88="","",SUMIFS('Таблиця 1'!$K:$K,'Таблиця 1'!$B:$B,$A88,'Таблиця 1'!$I:$I,"Mi-8",'Таблиця 1'!$J:$J,"МК-40")+SUMIFS('Таблиця 1'!$K:$K,'Таблиця 1'!$B:$B,$A88,'Таблиця 1'!$I:$I,"Mi-24",'Таблиця 1'!$J:$J,"МК-40"))</f>
        <v/>
      </c>
      <c r="N88">
        <f>IF($A88="","",SUMIFS('Таблиця 1'!$K:$K,'Таблиця 1'!$B:$B,$A88,'Таблиця 1'!$I:$I,"Mi-8",'Таблиця 1'!$J:$J,"Zuni")+SUMIFS('Таблиця 1'!$K:$K,'Таблиця 1'!$B:$B,$A88,'Таблиця 1'!$I:$I,"Mi-24",'Таблиця 1'!$J:$J,"Zuni"))</f>
        <v/>
      </c>
      <c r="O88">
        <f>IF($A88="","",COUNTIFS('Таблиця 1'!$B:$B,$A88,'Таблиця 1'!$I:$I,"Mi-8",'Таблиця 1'!$L:$L,"Уражено")+COUNTIFS('Таблиця 1'!$B:$B,$A88,'Таблиця 1'!$I:$I,"Mi-24",'Таблиця 1'!$L:$L,"Уражено"))</f>
        <v/>
      </c>
      <c r="P88">
        <f>IF($A88="","",COUNTIFS('Таблиця 1'!$B:$B,$A88,'Таблиця 1'!$I:$I,"Mi-8",'Таблиця 1'!$L:$L,"НЕ уражено")+COUNTIFS('Таблиця 1'!$B:$B,$A88,'Таблиця 1'!$I:$I,"Mi-24",'Таблиця 1'!$L:$L,"НЕ уражено"))</f>
        <v/>
      </c>
    </row>
    <row r="89">
      <c r="A89" s="273">
        <f>IF(A88="","",IF(A88+1&gt;MAX('Таблиця 1'!$B:$B),"",A88+1))</f>
        <v/>
      </c>
      <c r="B89">
        <f>IF($A89="","",COUNTIFS('Таблиця 1'!$B:$B,$A89,'Таблиця 1'!$I:$I,"Mi-8")+COUNTIFS('Таблиця 1'!$B:$B,$A89,'Таблиця 1'!$I:$I,"Mi-24"))</f>
        <v/>
      </c>
      <c r="C89">
        <f>IF($A89="","",COUNTIFS('Таблиця 1'!$B:$B,$A89,'Таблиця 1'!$I:$I,"Mi-8"))</f>
        <v/>
      </c>
      <c r="D89">
        <f>IF($A89="","",COUNTIFS('Таблиця 1'!$B:$B,$A89,'Таблиця 1'!$I:$I,"Mi-24"))</f>
        <v/>
      </c>
      <c r="E89">
        <f>IF($A89="","",SUMIFS('Таблиця 1'!$K:$K,'Таблиця 1'!$B:$B,$A89,'Таблиця 1'!$I:$I,"Mi-8",'Таблиця 1'!$J:$J,"ARS-8")+SUMIFS('Таблиця 1'!$K:$K,'Таблиця 1'!$B:$B,$A89,'Таблиця 1'!$I:$I,"Mi-24",'Таблиця 1'!$J:$J,"ARS-8"))</f>
        <v/>
      </c>
      <c r="F89">
        <f>IF($A89="","",SUMIFS('Таблиця 1'!$K:$K,'Таблиця 1'!$B:$B,$A89,'Таблиця 1'!$I:$I,"Mi-8",'Таблиця 1'!$J:$J,"С-8 ком")+SUMIFS('Таблиця 1'!$K:$K,'Таблиця 1'!$B:$B,$A89,'Таблиця 1'!$I:$I,"Mi-24",'Таблиця 1'!$J:$J,"С-8 ком"))</f>
        <v/>
      </c>
      <c r="G89">
        <f>IF($A89="","",SUMIFS('Таблиця 1'!$K:$K,'Таблиця 1'!$B:$B,$A89,'Таблиця 1'!$I:$I,"Mi-8",'Таблиця 1'!$J:$J,"PC-80")+SUMIFS('Таблиця 1'!$K:$K,'Таблиця 1'!$B:$B,$A89,'Таблиця 1'!$I:$I,"Mi-24",'Таблиця 1'!$J:$J,"PC-80"))</f>
        <v/>
      </c>
      <c r="H89">
        <f>IF($A89="","",SUMIFS('Таблиця 1'!$K:$K,'Таблиця 1'!$B:$B,$A89,'Таблиця 1'!$I:$I,"Mi-8",'Таблиця 1'!$J:$J,"UAR-80")+SUMIFS('Таблиця 1'!$K:$K,'Таблиця 1'!$B:$B,$A89,'Таблиця 1'!$I:$I,"Mi-24",'Таблиця 1'!$J:$J,"UAR-80"))</f>
        <v/>
      </c>
      <c r="I89">
        <f>IF($A89="","",SUMIFS('Таблиця 1'!$K:$K,'Таблиця 1'!$B:$B,$A89,'Таблиця 1'!$I:$I,"Mi-8",'Таблиця 1'!$J:$J,"C-13")+SUMIFS('Таблиця 1'!$K:$K,'Таблиця 1'!$B:$B,$A89,'Таблиця 1'!$I:$I,"Mi-24",'Таблиця 1'!$J:$J,"C-13"))</f>
        <v/>
      </c>
      <c r="J89">
        <f>IF($A89="","",SUMIFS('Таблиця 1'!$K:$K,'Таблиця 1'!$B:$B,$A89,'Таблиця 1'!$I:$I,"Mi-8",'Таблиця 1'!$J:$J,"Hydra-70")+SUMIFS('Таблиця 1'!$K:$K,'Таблиця 1'!$B:$B,$A89,'Таблиця 1'!$I:$I,"Mi-24",'Таблиця 1'!$J:$J,"Hydra-70"))</f>
        <v/>
      </c>
      <c r="K89">
        <f>IF($A89="","",SUMIFS('Таблиця 1'!$K:$K,'Таблиця 1'!$B:$B,$A89,'Таблиця 1'!$I:$I,"Mi-8",'Таблиця 1'!$J:$J,"Thales-70")+SUMIFS('Таблиця 1'!$K:$K,'Таблиця 1'!$B:$B,$A89,'Таблиця 1'!$I:$I,"Mi-24",'Таблиця 1'!$J:$J,"Thales-70"))</f>
        <v/>
      </c>
      <c r="L89">
        <f>IF($A89="","",SUMIFS('Таблиця 1'!$K:$K,'Таблиця 1'!$B:$B,$A89,'Таблиця 1'!$I:$I,"Mi-8",'Таблиця 1'!$J:$J,"Thales-FZ")+SUMIFS('Таблиця 1'!$K:$K,'Таблиця 1'!$B:$B,$A89,'Таблиця 1'!$I:$I,"Mi-24",'Таблиця 1'!$J:$J,"Thales-FZ"))</f>
        <v/>
      </c>
      <c r="M89">
        <f>IF($A89="","",SUMIFS('Таблиця 1'!$K:$K,'Таблиця 1'!$B:$B,$A89,'Таблиця 1'!$I:$I,"Mi-8",'Таблиця 1'!$J:$J,"МК-40")+SUMIFS('Таблиця 1'!$K:$K,'Таблиця 1'!$B:$B,$A89,'Таблиця 1'!$I:$I,"Mi-24",'Таблиця 1'!$J:$J,"МК-40"))</f>
        <v/>
      </c>
      <c r="N89">
        <f>IF($A89="","",SUMIFS('Таблиця 1'!$K:$K,'Таблиця 1'!$B:$B,$A89,'Таблиця 1'!$I:$I,"Mi-8",'Таблиця 1'!$J:$J,"Zuni")+SUMIFS('Таблиця 1'!$K:$K,'Таблиця 1'!$B:$B,$A89,'Таблиця 1'!$I:$I,"Mi-24",'Таблиця 1'!$J:$J,"Zuni"))</f>
        <v/>
      </c>
      <c r="O89">
        <f>IF($A89="","",COUNTIFS('Таблиця 1'!$B:$B,$A89,'Таблиця 1'!$I:$I,"Mi-8",'Таблиця 1'!$L:$L,"Уражено")+COUNTIFS('Таблиця 1'!$B:$B,$A89,'Таблиця 1'!$I:$I,"Mi-24",'Таблиця 1'!$L:$L,"Уражено"))</f>
        <v/>
      </c>
      <c r="P89">
        <f>IF($A89="","",COUNTIFS('Таблиця 1'!$B:$B,$A89,'Таблиця 1'!$I:$I,"Mi-8",'Таблиця 1'!$L:$L,"НЕ уражено")+COUNTIFS('Таблиця 1'!$B:$B,$A89,'Таблиця 1'!$I:$I,"Mi-24",'Таблиця 1'!$L:$L,"НЕ уражено"))</f>
        <v/>
      </c>
    </row>
    <row r="90">
      <c r="A90" s="273">
        <f>IF(A89="","",IF(A89+1&gt;MAX('Таблиця 1'!$B:$B),"",A89+1))</f>
        <v/>
      </c>
      <c r="B90">
        <f>IF($A90="","",COUNTIFS('Таблиця 1'!$B:$B,$A90,'Таблиця 1'!$I:$I,"Mi-8")+COUNTIFS('Таблиця 1'!$B:$B,$A90,'Таблиця 1'!$I:$I,"Mi-24"))</f>
        <v/>
      </c>
      <c r="C90">
        <f>IF($A90="","",COUNTIFS('Таблиця 1'!$B:$B,$A90,'Таблиця 1'!$I:$I,"Mi-8"))</f>
        <v/>
      </c>
      <c r="D90">
        <f>IF($A90="","",COUNTIFS('Таблиця 1'!$B:$B,$A90,'Таблиця 1'!$I:$I,"Mi-24"))</f>
        <v/>
      </c>
      <c r="E90">
        <f>IF($A90="","",SUMIFS('Таблиця 1'!$K:$K,'Таблиця 1'!$B:$B,$A90,'Таблиця 1'!$I:$I,"Mi-8",'Таблиця 1'!$J:$J,"ARS-8")+SUMIFS('Таблиця 1'!$K:$K,'Таблиця 1'!$B:$B,$A90,'Таблиця 1'!$I:$I,"Mi-24",'Таблиця 1'!$J:$J,"ARS-8"))</f>
        <v/>
      </c>
      <c r="F90">
        <f>IF($A90="","",SUMIFS('Таблиця 1'!$K:$K,'Таблиця 1'!$B:$B,$A90,'Таблиця 1'!$I:$I,"Mi-8",'Таблиця 1'!$J:$J,"С-8 ком")+SUMIFS('Таблиця 1'!$K:$K,'Таблиця 1'!$B:$B,$A90,'Таблиця 1'!$I:$I,"Mi-24",'Таблиця 1'!$J:$J,"С-8 ком"))</f>
        <v/>
      </c>
      <c r="G90">
        <f>IF($A90="","",SUMIFS('Таблиця 1'!$K:$K,'Таблиця 1'!$B:$B,$A90,'Таблиця 1'!$I:$I,"Mi-8",'Таблиця 1'!$J:$J,"PC-80")+SUMIFS('Таблиця 1'!$K:$K,'Таблиця 1'!$B:$B,$A90,'Таблиця 1'!$I:$I,"Mi-24",'Таблиця 1'!$J:$J,"PC-80"))</f>
        <v/>
      </c>
      <c r="H90">
        <f>IF($A90="","",SUMIFS('Таблиця 1'!$K:$K,'Таблиця 1'!$B:$B,$A90,'Таблиця 1'!$I:$I,"Mi-8",'Таблиця 1'!$J:$J,"UAR-80")+SUMIFS('Таблиця 1'!$K:$K,'Таблиця 1'!$B:$B,$A90,'Таблиця 1'!$I:$I,"Mi-24",'Таблиця 1'!$J:$J,"UAR-80"))</f>
        <v/>
      </c>
      <c r="I90">
        <f>IF($A90="","",SUMIFS('Таблиця 1'!$K:$K,'Таблиця 1'!$B:$B,$A90,'Таблиця 1'!$I:$I,"Mi-8",'Таблиця 1'!$J:$J,"C-13")+SUMIFS('Таблиця 1'!$K:$K,'Таблиця 1'!$B:$B,$A90,'Таблиця 1'!$I:$I,"Mi-24",'Таблиця 1'!$J:$J,"C-13"))</f>
        <v/>
      </c>
      <c r="J90">
        <f>IF($A90="","",SUMIFS('Таблиця 1'!$K:$K,'Таблиця 1'!$B:$B,$A90,'Таблиця 1'!$I:$I,"Mi-8",'Таблиця 1'!$J:$J,"Hydra-70")+SUMIFS('Таблиця 1'!$K:$K,'Таблиця 1'!$B:$B,$A90,'Таблиця 1'!$I:$I,"Mi-24",'Таблиця 1'!$J:$J,"Hydra-70"))</f>
        <v/>
      </c>
      <c r="K90">
        <f>IF($A90="","",SUMIFS('Таблиця 1'!$K:$K,'Таблиця 1'!$B:$B,$A90,'Таблиця 1'!$I:$I,"Mi-8",'Таблиця 1'!$J:$J,"Thales-70")+SUMIFS('Таблиця 1'!$K:$K,'Таблиця 1'!$B:$B,$A90,'Таблиця 1'!$I:$I,"Mi-24",'Таблиця 1'!$J:$J,"Thales-70"))</f>
        <v/>
      </c>
      <c r="L90">
        <f>IF($A90="","",SUMIFS('Таблиця 1'!$K:$K,'Таблиця 1'!$B:$B,$A90,'Таблиця 1'!$I:$I,"Mi-8",'Таблиця 1'!$J:$J,"Thales-FZ")+SUMIFS('Таблиця 1'!$K:$K,'Таблиця 1'!$B:$B,$A90,'Таблиця 1'!$I:$I,"Mi-24",'Таблиця 1'!$J:$J,"Thales-FZ"))</f>
        <v/>
      </c>
      <c r="M90">
        <f>IF($A90="","",SUMIFS('Таблиця 1'!$K:$K,'Таблиця 1'!$B:$B,$A90,'Таблиця 1'!$I:$I,"Mi-8",'Таблиця 1'!$J:$J,"МК-40")+SUMIFS('Таблиця 1'!$K:$K,'Таблиця 1'!$B:$B,$A90,'Таблиця 1'!$I:$I,"Mi-24",'Таблиця 1'!$J:$J,"МК-40"))</f>
        <v/>
      </c>
      <c r="N90">
        <f>IF($A90="","",SUMIFS('Таблиця 1'!$K:$K,'Таблиця 1'!$B:$B,$A90,'Таблиця 1'!$I:$I,"Mi-8",'Таблиця 1'!$J:$J,"Zuni")+SUMIFS('Таблиця 1'!$K:$K,'Таблиця 1'!$B:$B,$A90,'Таблиця 1'!$I:$I,"Mi-24",'Таблиця 1'!$J:$J,"Zuni"))</f>
        <v/>
      </c>
      <c r="O90">
        <f>IF($A90="","",COUNTIFS('Таблиця 1'!$B:$B,$A90,'Таблиця 1'!$I:$I,"Mi-8",'Таблиця 1'!$L:$L,"Уражено")+COUNTIFS('Таблиця 1'!$B:$B,$A90,'Таблиця 1'!$I:$I,"Mi-24",'Таблиця 1'!$L:$L,"Уражено"))</f>
        <v/>
      </c>
      <c r="P90">
        <f>IF($A90="","",COUNTIFS('Таблиця 1'!$B:$B,$A90,'Таблиця 1'!$I:$I,"Mi-8",'Таблиця 1'!$L:$L,"НЕ уражено")+COUNTIFS('Таблиця 1'!$B:$B,$A90,'Таблиця 1'!$I:$I,"Mi-24",'Таблиця 1'!$L:$L,"НЕ уражено"))</f>
        <v/>
      </c>
    </row>
    <row r="91">
      <c r="A91" s="273">
        <f>IF(A90="","",IF(A90+1&gt;MAX('Таблиця 1'!$B:$B),"",A90+1))</f>
        <v/>
      </c>
      <c r="B91">
        <f>IF($A91="","",COUNTIFS('Таблиця 1'!$B:$B,$A91,'Таблиця 1'!$I:$I,"Mi-8")+COUNTIFS('Таблиця 1'!$B:$B,$A91,'Таблиця 1'!$I:$I,"Mi-24"))</f>
        <v/>
      </c>
      <c r="C91">
        <f>IF($A91="","",COUNTIFS('Таблиця 1'!$B:$B,$A91,'Таблиця 1'!$I:$I,"Mi-8"))</f>
        <v/>
      </c>
      <c r="D91">
        <f>IF($A91="","",COUNTIFS('Таблиця 1'!$B:$B,$A91,'Таблиця 1'!$I:$I,"Mi-24"))</f>
        <v/>
      </c>
      <c r="E91">
        <f>IF($A91="","",SUMIFS('Таблиця 1'!$K:$K,'Таблиця 1'!$B:$B,$A91,'Таблиця 1'!$I:$I,"Mi-8",'Таблиця 1'!$J:$J,"ARS-8")+SUMIFS('Таблиця 1'!$K:$K,'Таблиця 1'!$B:$B,$A91,'Таблиця 1'!$I:$I,"Mi-24",'Таблиця 1'!$J:$J,"ARS-8"))</f>
        <v/>
      </c>
      <c r="F91">
        <f>IF($A91="","",SUMIFS('Таблиця 1'!$K:$K,'Таблиця 1'!$B:$B,$A91,'Таблиця 1'!$I:$I,"Mi-8",'Таблиця 1'!$J:$J,"С-8 ком")+SUMIFS('Таблиця 1'!$K:$K,'Таблиця 1'!$B:$B,$A91,'Таблиця 1'!$I:$I,"Mi-24",'Таблиця 1'!$J:$J,"С-8 ком"))</f>
        <v/>
      </c>
      <c r="G91">
        <f>IF($A91="","",SUMIFS('Таблиця 1'!$K:$K,'Таблиця 1'!$B:$B,$A91,'Таблиця 1'!$I:$I,"Mi-8",'Таблиця 1'!$J:$J,"PC-80")+SUMIFS('Таблиця 1'!$K:$K,'Таблиця 1'!$B:$B,$A91,'Таблиця 1'!$I:$I,"Mi-24",'Таблиця 1'!$J:$J,"PC-80"))</f>
        <v/>
      </c>
      <c r="H91">
        <f>IF($A91="","",SUMIFS('Таблиця 1'!$K:$K,'Таблиця 1'!$B:$B,$A91,'Таблиця 1'!$I:$I,"Mi-8",'Таблиця 1'!$J:$J,"UAR-80")+SUMIFS('Таблиця 1'!$K:$K,'Таблиця 1'!$B:$B,$A91,'Таблиця 1'!$I:$I,"Mi-24",'Таблиця 1'!$J:$J,"UAR-80"))</f>
        <v/>
      </c>
      <c r="I91">
        <f>IF($A91="","",SUMIFS('Таблиця 1'!$K:$K,'Таблиця 1'!$B:$B,$A91,'Таблиця 1'!$I:$I,"Mi-8",'Таблиця 1'!$J:$J,"C-13")+SUMIFS('Таблиця 1'!$K:$K,'Таблиця 1'!$B:$B,$A91,'Таблиця 1'!$I:$I,"Mi-24",'Таблиця 1'!$J:$J,"C-13"))</f>
        <v/>
      </c>
      <c r="J91">
        <f>IF($A91="","",SUMIFS('Таблиця 1'!$K:$K,'Таблиця 1'!$B:$B,$A91,'Таблиця 1'!$I:$I,"Mi-8",'Таблиця 1'!$J:$J,"Hydra-70")+SUMIFS('Таблиця 1'!$K:$K,'Таблиця 1'!$B:$B,$A91,'Таблиця 1'!$I:$I,"Mi-24",'Таблиця 1'!$J:$J,"Hydra-70"))</f>
        <v/>
      </c>
      <c r="K91">
        <f>IF($A91="","",SUMIFS('Таблиця 1'!$K:$K,'Таблиця 1'!$B:$B,$A91,'Таблиця 1'!$I:$I,"Mi-8",'Таблиця 1'!$J:$J,"Thales-70")+SUMIFS('Таблиця 1'!$K:$K,'Таблиця 1'!$B:$B,$A91,'Таблиця 1'!$I:$I,"Mi-24",'Таблиця 1'!$J:$J,"Thales-70"))</f>
        <v/>
      </c>
      <c r="L91">
        <f>IF($A91="","",SUMIFS('Таблиця 1'!$K:$K,'Таблиця 1'!$B:$B,$A91,'Таблиця 1'!$I:$I,"Mi-8",'Таблиця 1'!$J:$J,"Thales-FZ")+SUMIFS('Таблиця 1'!$K:$K,'Таблиця 1'!$B:$B,$A91,'Таблиця 1'!$I:$I,"Mi-24",'Таблиця 1'!$J:$J,"Thales-FZ"))</f>
        <v/>
      </c>
      <c r="M91">
        <f>IF($A91="","",SUMIFS('Таблиця 1'!$K:$K,'Таблиця 1'!$B:$B,$A91,'Таблиця 1'!$I:$I,"Mi-8",'Таблиця 1'!$J:$J,"МК-40")+SUMIFS('Таблиця 1'!$K:$K,'Таблиця 1'!$B:$B,$A91,'Таблиця 1'!$I:$I,"Mi-24",'Таблиця 1'!$J:$J,"МК-40"))</f>
        <v/>
      </c>
      <c r="N91">
        <f>IF($A91="","",SUMIFS('Таблиця 1'!$K:$K,'Таблиця 1'!$B:$B,$A91,'Таблиця 1'!$I:$I,"Mi-8",'Таблиця 1'!$J:$J,"Zuni")+SUMIFS('Таблиця 1'!$K:$K,'Таблиця 1'!$B:$B,$A91,'Таблиця 1'!$I:$I,"Mi-24",'Таблиця 1'!$J:$J,"Zuni"))</f>
        <v/>
      </c>
      <c r="O91">
        <f>IF($A91="","",COUNTIFS('Таблиця 1'!$B:$B,$A91,'Таблиця 1'!$I:$I,"Mi-8",'Таблиця 1'!$L:$L,"Уражено")+COUNTIFS('Таблиця 1'!$B:$B,$A91,'Таблиця 1'!$I:$I,"Mi-24",'Таблиця 1'!$L:$L,"Уражено"))</f>
        <v/>
      </c>
      <c r="P91">
        <f>IF($A91="","",COUNTIFS('Таблиця 1'!$B:$B,$A91,'Таблиця 1'!$I:$I,"Mi-8",'Таблиця 1'!$L:$L,"НЕ уражено")+COUNTIFS('Таблиця 1'!$B:$B,$A91,'Таблиця 1'!$I:$I,"Mi-24",'Таблиця 1'!$L:$L,"НЕ уражено"))</f>
        <v/>
      </c>
    </row>
    <row r="92">
      <c r="A92" s="273">
        <f>IF(A91="","",IF(A91+1&gt;MAX('Таблиця 1'!$B:$B),"",A91+1))</f>
        <v/>
      </c>
      <c r="B92">
        <f>IF($A92="","",COUNTIFS('Таблиця 1'!$B:$B,$A92,'Таблиця 1'!$I:$I,"Mi-8")+COUNTIFS('Таблиця 1'!$B:$B,$A92,'Таблиця 1'!$I:$I,"Mi-24"))</f>
        <v/>
      </c>
      <c r="C92">
        <f>IF($A92="","",COUNTIFS('Таблиця 1'!$B:$B,$A92,'Таблиця 1'!$I:$I,"Mi-8"))</f>
        <v/>
      </c>
      <c r="D92">
        <f>IF($A92="","",COUNTIFS('Таблиця 1'!$B:$B,$A92,'Таблиця 1'!$I:$I,"Mi-24"))</f>
        <v/>
      </c>
      <c r="E92">
        <f>IF($A92="","",SUMIFS('Таблиця 1'!$K:$K,'Таблиця 1'!$B:$B,$A92,'Таблиця 1'!$I:$I,"Mi-8",'Таблиця 1'!$J:$J,"ARS-8")+SUMIFS('Таблиця 1'!$K:$K,'Таблиця 1'!$B:$B,$A92,'Таблиця 1'!$I:$I,"Mi-24",'Таблиця 1'!$J:$J,"ARS-8"))</f>
        <v/>
      </c>
      <c r="F92">
        <f>IF($A92="","",SUMIFS('Таблиця 1'!$K:$K,'Таблиця 1'!$B:$B,$A92,'Таблиця 1'!$I:$I,"Mi-8",'Таблиця 1'!$J:$J,"С-8 ком")+SUMIFS('Таблиця 1'!$K:$K,'Таблиця 1'!$B:$B,$A92,'Таблиця 1'!$I:$I,"Mi-24",'Таблиця 1'!$J:$J,"С-8 ком"))</f>
        <v/>
      </c>
      <c r="G92">
        <f>IF($A92="","",SUMIFS('Таблиця 1'!$K:$K,'Таблиця 1'!$B:$B,$A92,'Таблиця 1'!$I:$I,"Mi-8",'Таблиця 1'!$J:$J,"PC-80")+SUMIFS('Таблиця 1'!$K:$K,'Таблиця 1'!$B:$B,$A92,'Таблиця 1'!$I:$I,"Mi-24",'Таблиця 1'!$J:$J,"PC-80"))</f>
        <v/>
      </c>
      <c r="H92">
        <f>IF($A92="","",SUMIFS('Таблиця 1'!$K:$K,'Таблиця 1'!$B:$B,$A92,'Таблиця 1'!$I:$I,"Mi-8",'Таблиця 1'!$J:$J,"UAR-80")+SUMIFS('Таблиця 1'!$K:$K,'Таблиця 1'!$B:$B,$A92,'Таблиця 1'!$I:$I,"Mi-24",'Таблиця 1'!$J:$J,"UAR-80"))</f>
        <v/>
      </c>
      <c r="I92">
        <f>IF($A92="","",SUMIFS('Таблиця 1'!$K:$K,'Таблиця 1'!$B:$B,$A92,'Таблиця 1'!$I:$I,"Mi-8",'Таблиця 1'!$J:$J,"C-13")+SUMIFS('Таблиця 1'!$K:$K,'Таблиця 1'!$B:$B,$A92,'Таблиця 1'!$I:$I,"Mi-24",'Таблиця 1'!$J:$J,"C-13"))</f>
        <v/>
      </c>
      <c r="J92">
        <f>IF($A92="","",SUMIFS('Таблиця 1'!$K:$K,'Таблиця 1'!$B:$B,$A92,'Таблиця 1'!$I:$I,"Mi-8",'Таблиця 1'!$J:$J,"Hydra-70")+SUMIFS('Таблиця 1'!$K:$K,'Таблиця 1'!$B:$B,$A92,'Таблиця 1'!$I:$I,"Mi-24",'Таблиця 1'!$J:$J,"Hydra-70"))</f>
        <v/>
      </c>
      <c r="K92">
        <f>IF($A92="","",SUMIFS('Таблиця 1'!$K:$K,'Таблиця 1'!$B:$B,$A92,'Таблиця 1'!$I:$I,"Mi-8",'Таблиця 1'!$J:$J,"Thales-70")+SUMIFS('Таблиця 1'!$K:$K,'Таблиця 1'!$B:$B,$A92,'Таблиця 1'!$I:$I,"Mi-24",'Таблиця 1'!$J:$J,"Thales-70"))</f>
        <v/>
      </c>
      <c r="L92">
        <f>IF($A92="","",SUMIFS('Таблиця 1'!$K:$K,'Таблиця 1'!$B:$B,$A92,'Таблиця 1'!$I:$I,"Mi-8",'Таблиця 1'!$J:$J,"Thales-FZ")+SUMIFS('Таблиця 1'!$K:$K,'Таблиця 1'!$B:$B,$A92,'Таблиця 1'!$I:$I,"Mi-24",'Таблиця 1'!$J:$J,"Thales-FZ"))</f>
        <v/>
      </c>
      <c r="M92">
        <f>IF($A92="","",SUMIFS('Таблиця 1'!$K:$K,'Таблиця 1'!$B:$B,$A92,'Таблиця 1'!$I:$I,"Mi-8",'Таблиця 1'!$J:$J,"МК-40")+SUMIFS('Таблиця 1'!$K:$K,'Таблиця 1'!$B:$B,$A92,'Таблиця 1'!$I:$I,"Mi-24",'Таблиця 1'!$J:$J,"МК-40"))</f>
        <v/>
      </c>
      <c r="N92">
        <f>IF($A92="","",SUMIFS('Таблиця 1'!$K:$K,'Таблиця 1'!$B:$B,$A92,'Таблиця 1'!$I:$I,"Mi-8",'Таблиця 1'!$J:$J,"Zuni")+SUMIFS('Таблиця 1'!$K:$K,'Таблиця 1'!$B:$B,$A92,'Таблиця 1'!$I:$I,"Mi-24",'Таблиця 1'!$J:$J,"Zuni"))</f>
        <v/>
      </c>
      <c r="O92">
        <f>IF($A92="","",COUNTIFS('Таблиця 1'!$B:$B,$A92,'Таблиця 1'!$I:$I,"Mi-8",'Таблиця 1'!$L:$L,"Уражено")+COUNTIFS('Таблиця 1'!$B:$B,$A92,'Таблиця 1'!$I:$I,"Mi-24",'Таблиця 1'!$L:$L,"Уражено"))</f>
        <v/>
      </c>
      <c r="P92">
        <f>IF($A92="","",COUNTIFS('Таблиця 1'!$B:$B,$A92,'Таблиця 1'!$I:$I,"Mi-8",'Таблиця 1'!$L:$L,"НЕ уражено")+COUNTIFS('Таблиця 1'!$B:$B,$A92,'Таблиця 1'!$I:$I,"Mi-24",'Таблиця 1'!$L:$L,"НЕ уражено"))</f>
        <v/>
      </c>
    </row>
    <row r="93">
      <c r="A93" s="273">
        <f>IF(A92="","",IF(A92+1&gt;MAX('Таблиця 1'!$B:$B),"",A92+1))</f>
        <v/>
      </c>
      <c r="B93">
        <f>IF($A93="","",COUNTIFS('Таблиця 1'!$B:$B,$A93,'Таблиця 1'!$I:$I,"Mi-8")+COUNTIFS('Таблиця 1'!$B:$B,$A93,'Таблиця 1'!$I:$I,"Mi-24"))</f>
        <v/>
      </c>
      <c r="C93">
        <f>IF($A93="","",COUNTIFS('Таблиця 1'!$B:$B,$A93,'Таблиця 1'!$I:$I,"Mi-8"))</f>
        <v/>
      </c>
      <c r="D93">
        <f>IF($A93="","",COUNTIFS('Таблиця 1'!$B:$B,$A93,'Таблиця 1'!$I:$I,"Mi-24"))</f>
        <v/>
      </c>
      <c r="E93">
        <f>IF($A93="","",SUMIFS('Таблиця 1'!$K:$K,'Таблиця 1'!$B:$B,$A93,'Таблиця 1'!$I:$I,"Mi-8",'Таблиця 1'!$J:$J,"ARS-8")+SUMIFS('Таблиця 1'!$K:$K,'Таблиця 1'!$B:$B,$A93,'Таблиця 1'!$I:$I,"Mi-24",'Таблиця 1'!$J:$J,"ARS-8"))</f>
        <v/>
      </c>
      <c r="F93">
        <f>IF($A93="","",SUMIFS('Таблиця 1'!$K:$K,'Таблиця 1'!$B:$B,$A93,'Таблиця 1'!$I:$I,"Mi-8",'Таблиця 1'!$J:$J,"С-8 ком")+SUMIFS('Таблиця 1'!$K:$K,'Таблиця 1'!$B:$B,$A93,'Таблиця 1'!$I:$I,"Mi-24",'Таблиця 1'!$J:$J,"С-8 ком"))</f>
        <v/>
      </c>
      <c r="G93">
        <f>IF($A93="","",SUMIFS('Таблиця 1'!$K:$K,'Таблиця 1'!$B:$B,$A93,'Таблиця 1'!$I:$I,"Mi-8",'Таблиця 1'!$J:$J,"PC-80")+SUMIFS('Таблиця 1'!$K:$K,'Таблиця 1'!$B:$B,$A93,'Таблиця 1'!$I:$I,"Mi-24",'Таблиця 1'!$J:$J,"PC-80"))</f>
        <v/>
      </c>
      <c r="H93">
        <f>IF($A93="","",SUMIFS('Таблиця 1'!$K:$K,'Таблиця 1'!$B:$B,$A93,'Таблиця 1'!$I:$I,"Mi-8",'Таблиця 1'!$J:$J,"UAR-80")+SUMIFS('Таблиця 1'!$K:$K,'Таблиця 1'!$B:$B,$A93,'Таблиця 1'!$I:$I,"Mi-24",'Таблиця 1'!$J:$J,"UAR-80"))</f>
        <v/>
      </c>
      <c r="I93">
        <f>IF($A93="","",SUMIFS('Таблиця 1'!$K:$K,'Таблиця 1'!$B:$B,$A93,'Таблиця 1'!$I:$I,"Mi-8",'Таблиця 1'!$J:$J,"C-13")+SUMIFS('Таблиця 1'!$K:$K,'Таблиця 1'!$B:$B,$A93,'Таблиця 1'!$I:$I,"Mi-24",'Таблиця 1'!$J:$J,"C-13"))</f>
        <v/>
      </c>
      <c r="J93">
        <f>IF($A93="","",SUMIFS('Таблиця 1'!$K:$K,'Таблиця 1'!$B:$B,$A93,'Таблиця 1'!$I:$I,"Mi-8",'Таблиця 1'!$J:$J,"Hydra-70")+SUMIFS('Таблиця 1'!$K:$K,'Таблиця 1'!$B:$B,$A93,'Таблиця 1'!$I:$I,"Mi-24",'Таблиця 1'!$J:$J,"Hydra-70"))</f>
        <v/>
      </c>
      <c r="K93">
        <f>IF($A93="","",SUMIFS('Таблиця 1'!$K:$K,'Таблиця 1'!$B:$B,$A93,'Таблиця 1'!$I:$I,"Mi-8",'Таблиця 1'!$J:$J,"Thales-70")+SUMIFS('Таблиця 1'!$K:$K,'Таблиця 1'!$B:$B,$A93,'Таблиця 1'!$I:$I,"Mi-24",'Таблиця 1'!$J:$J,"Thales-70"))</f>
        <v/>
      </c>
      <c r="L93">
        <f>IF($A93="","",SUMIFS('Таблиця 1'!$K:$K,'Таблиця 1'!$B:$B,$A93,'Таблиця 1'!$I:$I,"Mi-8",'Таблиця 1'!$J:$J,"Thales-FZ")+SUMIFS('Таблиця 1'!$K:$K,'Таблиця 1'!$B:$B,$A93,'Таблиця 1'!$I:$I,"Mi-24",'Таблиця 1'!$J:$J,"Thales-FZ"))</f>
        <v/>
      </c>
      <c r="M93">
        <f>IF($A93="","",SUMIFS('Таблиця 1'!$K:$K,'Таблиця 1'!$B:$B,$A93,'Таблиця 1'!$I:$I,"Mi-8",'Таблиця 1'!$J:$J,"МК-40")+SUMIFS('Таблиця 1'!$K:$K,'Таблиця 1'!$B:$B,$A93,'Таблиця 1'!$I:$I,"Mi-24",'Таблиця 1'!$J:$J,"МК-40"))</f>
        <v/>
      </c>
      <c r="N93">
        <f>IF($A93="","",SUMIFS('Таблиця 1'!$K:$K,'Таблиця 1'!$B:$B,$A93,'Таблиця 1'!$I:$I,"Mi-8",'Таблиця 1'!$J:$J,"Zuni")+SUMIFS('Таблиця 1'!$K:$K,'Таблиця 1'!$B:$B,$A93,'Таблиця 1'!$I:$I,"Mi-24",'Таблиця 1'!$J:$J,"Zuni"))</f>
        <v/>
      </c>
      <c r="O93">
        <f>IF($A93="","",COUNTIFS('Таблиця 1'!$B:$B,$A93,'Таблиця 1'!$I:$I,"Mi-8",'Таблиця 1'!$L:$L,"Уражено")+COUNTIFS('Таблиця 1'!$B:$B,$A93,'Таблиця 1'!$I:$I,"Mi-24",'Таблиця 1'!$L:$L,"Уражено"))</f>
        <v/>
      </c>
      <c r="P93">
        <f>IF($A93="","",COUNTIFS('Таблиця 1'!$B:$B,$A93,'Таблиця 1'!$I:$I,"Mi-8",'Таблиця 1'!$L:$L,"НЕ уражено")+COUNTIFS('Таблиця 1'!$B:$B,$A93,'Таблиця 1'!$I:$I,"Mi-24",'Таблиця 1'!$L:$L,"НЕ уражено"))</f>
        <v/>
      </c>
    </row>
    <row r="94">
      <c r="A94" s="273">
        <f>IF(A93="","",IF(A93+1&gt;MAX('Таблиця 1'!$B:$B),"",A93+1))</f>
        <v/>
      </c>
      <c r="B94">
        <f>IF($A94="","",COUNTIFS('Таблиця 1'!$B:$B,$A94,'Таблиця 1'!$I:$I,"Mi-8")+COUNTIFS('Таблиця 1'!$B:$B,$A94,'Таблиця 1'!$I:$I,"Mi-24"))</f>
        <v/>
      </c>
      <c r="C94">
        <f>IF($A94="","",COUNTIFS('Таблиця 1'!$B:$B,$A94,'Таблиця 1'!$I:$I,"Mi-8"))</f>
        <v/>
      </c>
      <c r="D94">
        <f>IF($A94="","",COUNTIFS('Таблиця 1'!$B:$B,$A94,'Таблиця 1'!$I:$I,"Mi-24"))</f>
        <v/>
      </c>
      <c r="E94">
        <f>IF($A94="","",SUMIFS('Таблиця 1'!$K:$K,'Таблиця 1'!$B:$B,$A94,'Таблиця 1'!$I:$I,"Mi-8",'Таблиця 1'!$J:$J,"ARS-8")+SUMIFS('Таблиця 1'!$K:$K,'Таблиця 1'!$B:$B,$A94,'Таблиця 1'!$I:$I,"Mi-24",'Таблиця 1'!$J:$J,"ARS-8"))</f>
        <v/>
      </c>
      <c r="F94">
        <f>IF($A94="","",SUMIFS('Таблиця 1'!$K:$K,'Таблиця 1'!$B:$B,$A94,'Таблиця 1'!$I:$I,"Mi-8",'Таблиця 1'!$J:$J,"С-8 ком")+SUMIFS('Таблиця 1'!$K:$K,'Таблиця 1'!$B:$B,$A94,'Таблиця 1'!$I:$I,"Mi-24",'Таблиця 1'!$J:$J,"С-8 ком"))</f>
        <v/>
      </c>
      <c r="G94">
        <f>IF($A94="","",SUMIFS('Таблиця 1'!$K:$K,'Таблиця 1'!$B:$B,$A94,'Таблиця 1'!$I:$I,"Mi-8",'Таблиця 1'!$J:$J,"PC-80")+SUMIFS('Таблиця 1'!$K:$K,'Таблиця 1'!$B:$B,$A94,'Таблиця 1'!$I:$I,"Mi-24",'Таблиця 1'!$J:$J,"PC-80"))</f>
        <v/>
      </c>
      <c r="H94">
        <f>IF($A94="","",SUMIFS('Таблиця 1'!$K:$K,'Таблиця 1'!$B:$B,$A94,'Таблиця 1'!$I:$I,"Mi-8",'Таблиця 1'!$J:$J,"UAR-80")+SUMIFS('Таблиця 1'!$K:$K,'Таблиця 1'!$B:$B,$A94,'Таблиця 1'!$I:$I,"Mi-24",'Таблиця 1'!$J:$J,"UAR-80"))</f>
        <v/>
      </c>
      <c r="I94">
        <f>IF($A94="","",SUMIFS('Таблиця 1'!$K:$K,'Таблиця 1'!$B:$B,$A94,'Таблиця 1'!$I:$I,"Mi-8",'Таблиця 1'!$J:$J,"C-13")+SUMIFS('Таблиця 1'!$K:$K,'Таблиця 1'!$B:$B,$A94,'Таблиця 1'!$I:$I,"Mi-24",'Таблиця 1'!$J:$J,"C-13"))</f>
        <v/>
      </c>
      <c r="J94">
        <f>IF($A94="","",SUMIFS('Таблиця 1'!$K:$K,'Таблиця 1'!$B:$B,$A94,'Таблиця 1'!$I:$I,"Mi-8",'Таблиця 1'!$J:$J,"Hydra-70")+SUMIFS('Таблиця 1'!$K:$K,'Таблиця 1'!$B:$B,$A94,'Таблиця 1'!$I:$I,"Mi-24",'Таблиця 1'!$J:$J,"Hydra-70"))</f>
        <v/>
      </c>
      <c r="K94">
        <f>IF($A94="","",SUMIFS('Таблиця 1'!$K:$K,'Таблиця 1'!$B:$B,$A94,'Таблиця 1'!$I:$I,"Mi-8",'Таблиця 1'!$J:$J,"Thales-70")+SUMIFS('Таблиця 1'!$K:$K,'Таблиця 1'!$B:$B,$A94,'Таблиця 1'!$I:$I,"Mi-24",'Таблиця 1'!$J:$J,"Thales-70"))</f>
        <v/>
      </c>
      <c r="L94">
        <f>IF($A94="","",SUMIFS('Таблиця 1'!$K:$K,'Таблиця 1'!$B:$B,$A94,'Таблиця 1'!$I:$I,"Mi-8",'Таблиця 1'!$J:$J,"Thales-FZ")+SUMIFS('Таблиця 1'!$K:$K,'Таблиця 1'!$B:$B,$A94,'Таблиця 1'!$I:$I,"Mi-24",'Таблиця 1'!$J:$J,"Thales-FZ"))</f>
        <v/>
      </c>
      <c r="M94">
        <f>IF($A94="","",SUMIFS('Таблиця 1'!$K:$K,'Таблиця 1'!$B:$B,$A94,'Таблиця 1'!$I:$I,"Mi-8",'Таблиця 1'!$J:$J,"МК-40")+SUMIFS('Таблиця 1'!$K:$K,'Таблиця 1'!$B:$B,$A94,'Таблиця 1'!$I:$I,"Mi-24",'Таблиця 1'!$J:$J,"МК-40"))</f>
        <v/>
      </c>
      <c r="N94">
        <f>IF($A94="","",SUMIFS('Таблиця 1'!$K:$K,'Таблиця 1'!$B:$B,$A94,'Таблиця 1'!$I:$I,"Mi-8",'Таблиця 1'!$J:$J,"Zuni")+SUMIFS('Таблиця 1'!$K:$K,'Таблиця 1'!$B:$B,$A94,'Таблиця 1'!$I:$I,"Mi-24",'Таблиця 1'!$J:$J,"Zuni"))</f>
        <v/>
      </c>
      <c r="O94">
        <f>IF($A94="","",COUNTIFS('Таблиця 1'!$B:$B,$A94,'Таблиця 1'!$I:$I,"Mi-8",'Таблиця 1'!$L:$L,"Уражено")+COUNTIFS('Таблиця 1'!$B:$B,$A94,'Таблиця 1'!$I:$I,"Mi-24",'Таблиця 1'!$L:$L,"Уражено"))</f>
        <v/>
      </c>
      <c r="P94">
        <f>IF($A94="","",COUNTIFS('Таблиця 1'!$B:$B,$A94,'Таблиця 1'!$I:$I,"Mi-8",'Таблиця 1'!$L:$L,"НЕ уражено")+COUNTIFS('Таблиця 1'!$B:$B,$A94,'Таблиця 1'!$I:$I,"Mi-24",'Таблиця 1'!$L:$L,"НЕ уражено"))</f>
        <v/>
      </c>
    </row>
    <row r="95">
      <c r="A95" s="273">
        <f>IF(A94="","",IF(A94+1&gt;MAX('Таблиця 1'!$B:$B),"",A94+1))</f>
        <v/>
      </c>
      <c r="B95">
        <f>IF($A95="","",COUNTIFS('Таблиця 1'!$B:$B,$A95,'Таблиця 1'!$I:$I,"Mi-8")+COUNTIFS('Таблиця 1'!$B:$B,$A95,'Таблиця 1'!$I:$I,"Mi-24"))</f>
        <v/>
      </c>
      <c r="C95">
        <f>IF($A95="","",COUNTIFS('Таблиця 1'!$B:$B,$A95,'Таблиця 1'!$I:$I,"Mi-8"))</f>
        <v/>
      </c>
      <c r="D95">
        <f>IF($A95="","",COUNTIFS('Таблиця 1'!$B:$B,$A95,'Таблиця 1'!$I:$I,"Mi-24"))</f>
        <v/>
      </c>
      <c r="E95">
        <f>IF($A95="","",SUMIFS('Таблиця 1'!$K:$K,'Таблиця 1'!$B:$B,$A95,'Таблиця 1'!$I:$I,"Mi-8",'Таблиця 1'!$J:$J,"ARS-8")+SUMIFS('Таблиця 1'!$K:$K,'Таблиця 1'!$B:$B,$A95,'Таблиця 1'!$I:$I,"Mi-24",'Таблиця 1'!$J:$J,"ARS-8"))</f>
        <v/>
      </c>
      <c r="F95">
        <f>IF($A95="","",SUMIFS('Таблиця 1'!$K:$K,'Таблиця 1'!$B:$B,$A95,'Таблиця 1'!$I:$I,"Mi-8",'Таблиця 1'!$J:$J,"С-8 ком")+SUMIFS('Таблиця 1'!$K:$K,'Таблиця 1'!$B:$B,$A95,'Таблиця 1'!$I:$I,"Mi-24",'Таблиця 1'!$J:$J,"С-8 ком"))</f>
        <v/>
      </c>
      <c r="G95">
        <f>IF($A95="","",SUMIFS('Таблиця 1'!$K:$K,'Таблиця 1'!$B:$B,$A95,'Таблиця 1'!$I:$I,"Mi-8",'Таблиця 1'!$J:$J,"PC-80")+SUMIFS('Таблиця 1'!$K:$K,'Таблиця 1'!$B:$B,$A95,'Таблиця 1'!$I:$I,"Mi-24",'Таблиця 1'!$J:$J,"PC-80"))</f>
        <v/>
      </c>
      <c r="H95">
        <f>IF($A95="","",SUMIFS('Таблиця 1'!$K:$K,'Таблиця 1'!$B:$B,$A95,'Таблиця 1'!$I:$I,"Mi-8",'Таблиця 1'!$J:$J,"UAR-80")+SUMIFS('Таблиця 1'!$K:$K,'Таблиця 1'!$B:$B,$A95,'Таблиця 1'!$I:$I,"Mi-24",'Таблиця 1'!$J:$J,"UAR-80"))</f>
        <v/>
      </c>
      <c r="I95">
        <f>IF($A95="","",SUMIFS('Таблиця 1'!$K:$K,'Таблиця 1'!$B:$B,$A95,'Таблиця 1'!$I:$I,"Mi-8",'Таблиця 1'!$J:$J,"C-13")+SUMIFS('Таблиця 1'!$K:$K,'Таблиця 1'!$B:$B,$A95,'Таблиця 1'!$I:$I,"Mi-24",'Таблиця 1'!$J:$J,"C-13"))</f>
        <v/>
      </c>
      <c r="J95">
        <f>IF($A95="","",SUMIFS('Таблиця 1'!$K:$K,'Таблиця 1'!$B:$B,$A95,'Таблиця 1'!$I:$I,"Mi-8",'Таблиця 1'!$J:$J,"Hydra-70")+SUMIFS('Таблиця 1'!$K:$K,'Таблиця 1'!$B:$B,$A95,'Таблиця 1'!$I:$I,"Mi-24",'Таблиця 1'!$J:$J,"Hydra-70"))</f>
        <v/>
      </c>
      <c r="K95">
        <f>IF($A95="","",SUMIFS('Таблиця 1'!$K:$K,'Таблиця 1'!$B:$B,$A95,'Таблиця 1'!$I:$I,"Mi-8",'Таблиця 1'!$J:$J,"Thales-70")+SUMIFS('Таблиця 1'!$K:$K,'Таблиця 1'!$B:$B,$A95,'Таблиця 1'!$I:$I,"Mi-24",'Таблиця 1'!$J:$J,"Thales-70"))</f>
        <v/>
      </c>
      <c r="L95">
        <f>IF($A95="","",SUMIFS('Таблиця 1'!$K:$K,'Таблиця 1'!$B:$B,$A95,'Таблиця 1'!$I:$I,"Mi-8",'Таблиця 1'!$J:$J,"Thales-FZ")+SUMIFS('Таблиця 1'!$K:$K,'Таблиця 1'!$B:$B,$A95,'Таблиця 1'!$I:$I,"Mi-24",'Таблиця 1'!$J:$J,"Thales-FZ"))</f>
        <v/>
      </c>
      <c r="M95">
        <f>IF($A95="","",SUMIFS('Таблиця 1'!$K:$K,'Таблиця 1'!$B:$B,$A95,'Таблиця 1'!$I:$I,"Mi-8",'Таблиця 1'!$J:$J,"МК-40")+SUMIFS('Таблиця 1'!$K:$K,'Таблиця 1'!$B:$B,$A95,'Таблиця 1'!$I:$I,"Mi-24",'Таблиця 1'!$J:$J,"МК-40"))</f>
        <v/>
      </c>
      <c r="N95">
        <f>IF($A95="","",SUMIFS('Таблиця 1'!$K:$K,'Таблиця 1'!$B:$B,$A95,'Таблиця 1'!$I:$I,"Mi-8",'Таблиця 1'!$J:$J,"Zuni")+SUMIFS('Таблиця 1'!$K:$K,'Таблиця 1'!$B:$B,$A95,'Таблиця 1'!$I:$I,"Mi-24",'Таблиця 1'!$J:$J,"Zuni"))</f>
        <v/>
      </c>
      <c r="O95">
        <f>IF($A95="","",COUNTIFS('Таблиця 1'!$B:$B,$A95,'Таблиця 1'!$I:$I,"Mi-8",'Таблиця 1'!$L:$L,"Уражено")+COUNTIFS('Таблиця 1'!$B:$B,$A95,'Таблиця 1'!$I:$I,"Mi-24",'Таблиця 1'!$L:$L,"Уражено"))</f>
        <v/>
      </c>
      <c r="P95">
        <f>IF($A95="","",COUNTIFS('Таблиця 1'!$B:$B,$A95,'Таблиця 1'!$I:$I,"Mi-8",'Таблиця 1'!$L:$L,"НЕ уражено")+COUNTIFS('Таблиця 1'!$B:$B,$A95,'Таблиця 1'!$I:$I,"Mi-24",'Таблиця 1'!$L:$L,"НЕ уражено"))</f>
        <v/>
      </c>
    </row>
    <row r="96">
      <c r="A96" s="273">
        <f>IF(A95="","",IF(A95+1&gt;MAX('Таблиця 1'!$B:$B),"",A95+1))</f>
        <v/>
      </c>
      <c r="B96">
        <f>IF($A96="","",COUNTIFS('Таблиця 1'!$B:$B,$A96,'Таблиця 1'!$I:$I,"Mi-8")+COUNTIFS('Таблиця 1'!$B:$B,$A96,'Таблиця 1'!$I:$I,"Mi-24"))</f>
        <v/>
      </c>
      <c r="C96">
        <f>IF($A96="","",COUNTIFS('Таблиця 1'!$B:$B,$A96,'Таблиця 1'!$I:$I,"Mi-8"))</f>
        <v/>
      </c>
      <c r="D96">
        <f>IF($A96="","",COUNTIFS('Таблиця 1'!$B:$B,$A96,'Таблиця 1'!$I:$I,"Mi-24"))</f>
        <v/>
      </c>
      <c r="E96">
        <f>IF($A96="","",SUMIFS('Таблиця 1'!$K:$K,'Таблиця 1'!$B:$B,$A96,'Таблиця 1'!$I:$I,"Mi-8",'Таблиця 1'!$J:$J,"ARS-8")+SUMIFS('Таблиця 1'!$K:$K,'Таблиця 1'!$B:$B,$A96,'Таблиця 1'!$I:$I,"Mi-24",'Таблиця 1'!$J:$J,"ARS-8"))</f>
        <v/>
      </c>
      <c r="F96">
        <f>IF($A96="","",SUMIFS('Таблиця 1'!$K:$K,'Таблиця 1'!$B:$B,$A96,'Таблиця 1'!$I:$I,"Mi-8",'Таблиця 1'!$J:$J,"С-8 ком")+SUMIFS('Таблиця 1'!$K:$K,'Таблиця 1'!$B:$B,$A96,'Таблиця 1'!$I:$I,"Mi-24",'Таблиця 1'!$J:$J,"С-8 ком"))</f>
        <v/>
      </c>
      <c r="G96">
        <f>IF($A96="","",SUMIFS('Таблиця 1'!$K:$K,'Таблиця 1'!$B:$B,$A96,'Таблиця 1'!$I:$I,"Mi-8",'Таблиця 1'!$J:$J,"PC-80")+SUMIFS('Таблиця 1'!$K:$K,'Таблиця 1'!$B:$B,$A96,'Таблиця 1'!$I:$I,"Mi-24",'Таблиця 1'!$J:$J,"PC-80"))</f>
        <v/>
      </c>
      <c r="H96">
        <f>IF($A96="","",SUMIFS('Таблиця 1'!$K:$K,'Таблиця 1'!$B:$B,$A96,'Таблиця 1'!$I:$I,"Mi-8",'Таблиця 1'!$J:$J,"UAR-80")+SUMIFS('Таблиця 1'!$K:$K,'Таблиця 1'!$B:$B,$A96,'Таблиця 1'!$I:$I,"Mi-24",'Таблиця 1'!$J:$J,"UAR-80"))</f>
        <v/>
      </c>
      <c r="I96">
        <f>IF($A96="","",SUMIFS('Таблиця 1'!$K:$K,'Таблиця 1'!$B:$B,$A96,'Таблиця 1'!$I:$I,"Mi-8",'Таблиця 1'!$J:$J,"C-13")+SUMIFS('Таблиця 1'!$K:$K,'Таблиця 1'!$B:$B,$A96,'Таблиця 1'!$I:$I,"Mi-24",'Таблиця 1'!$J:$J,"C-13"))</f>
        <v/>
      </c>
      <c r="J96">
        <f>IF($A96="","",SUMIFS('Таблиця 1'!$K:$K,'Таблиця 1'!$B:$B,$A96,'Таблиця 1'!$I:$I,"Mi-8",'Таблиця 1'!$J:$J,"Hydra-70")+SUMIFS('Таблиця 1'!$K:$K,'Таблиця 1'!$B:$B,$A96,'Таблиця 1'!$I:$I,"Mi-24",'Таблиця 1'!$J:$J,"Hydra-70"))</f>
        <v/>
      </c>
      <c r="K96">
        <f>IF($A96="","",SUMIFS('Таблиця 1'!$K:$K,'Таблиця 1'!$B:$B,$A96,'Таблиця 1'!$I:$I,"Mi-8",'Таблиця 1'!$J:$J,"Thales-70")+SUMIFS('Таблиця 1'!$K:$K,'Таблиця 1'!$B:$B,$A96,'Таблиця 1'!$I:$I,"Mi-24",'Таблиця 1'!$J:$J,"Thales-70"))</f>
        <v/>
      </c>
      <c r="L96">
        <f>IF($A96="","",SUMIFS('Таблиця 1'!$K:$K,'Таблиця 1'!$B:$B,$A96,'Таблиця 1'!$I:$I,"Mi-8",'Таблиця 1'!$J:$J,"Thales-FZ")+SUMIFS('Таблиця 1'!$K:$K,'Таблиця 1'!$B:$B,$A96,'Таблиця 1'!$I:$I,"Mi-24",'Таблиця 1'!$J:$J,"Thales-FZ"))</f>
        <v/>
      </c>
      <c r="M96">
        <f>IF($A96="","",SUMIFS('Таблиця 1'!$K:$K,'Таблиця 1'!$B:$B,$A96,'Таблиця 1'!$I:$I,"Mi-8",'Таблиця 1'!$J:$J,"МК-40")+SUMIFS('Таблиця 1'!$K:$K,'Таблиця 1'!$B:$B,$A96,'Таблиця 1'!$I:$I,"Mi-24",'Таблиця 1'!$J:$J,"МК-40"))</f>
        <v/>
      </c>
      <c r="N96">
        <f>IF($A96="","",SUMIFS('Таблиця 1'!$K:$K,'Таблиця 1'!$B:$B,$A96,'Таблиця 1'!$I:$I,"Mi-8",'Таблиця 1'!$J:$J,"Zuni")+SUMIFS('Таблиця 1'!$K:$K,'Таблиця 1'!$B:$B,$A96,'Таблиця 1'!$I:$I,"Mi-24",'Таблиця 1'!$J:$J,"Zuni"))</f>
        <v/>
      </c>
      <c r="O96">
        <f>IF($A96="","",COUNTIFS('Таблиця 1'!$B:$B,$A96,'Таблиця 1'!$I:$I,"Mi-8",'Таблиця 1'!$L:$L,"Уражено")+COUNTIFS('Таблиця 1'!$B:$B,$A96,'Таблиця 1'!$I:$I,"Mi-24",'Таблиця 1'!$L:$L,"Уражено"))</f>
        <v/>
      </c>
      <c r="P96">
        <f>IF($A96="","",COUNTIFS('Таблиця 1'!$B:$B,$A96,'Таблиця 1'!$I:$I,"Mi-8",'Таблиця 1'!$L:$L,"НЕ уражено")+COUNTIFS('Таблиця 1'!$B:$B,$A96,'Таблиця 1'!$I:$I,"Mi-24",'Таблиця 1'!$L:$L,"НЕ уражено"))</f>
        <v/>
      </c>
    </row>
    <row r="97">
      <c r="A97" s="273">
        <f>IF(A96="","",IF(A96+1&gt;MAX('Таблиця 1'!$B:$B),"",A96+1))</f>
        <v/>
      </c>
      <c r="B97">
        <f>IF($A97="","",COUNTIFS('Таблиця 1'!$B:$B,$A97,'Таблиця 1'!$I:$I,"Mi-8")+COUNTIFS('Таблиця 1'!$B:$B,$A97,'Таблиця 1'!$I:$I,"Mi-24"))</f>
        <v/>
      </c>
      <c r="C97">
        <f>IF($A97="","",COUNTIFS('Таблиця 1'!$B:$B,$A97,'Таблиця 1'!$I:$I,"Mi-8"))</f>
        <v/>
      </c>
      <c r="D97">
        <f>IF($A97="","",COUNTIFS('Таблиця 1'!$B:$B,$A97,'Таблиця 1'!$I:$I,"Mi-24"))</f>
        <v/>
      </c>
      <c r="E97">
        <f>IF($A97="","",SUMIFS('Таблиця 1'!$K:$K,'Таблиця 1'!$B:$B,$A97,'Таблиця 1'!$I:$I,"Mi-8",'Таблиця 1'!$J:$J,"ARS-8")+SUMIFS('Таблиця 1'!$K:$K,'Таблиця 1'!$B:$B,$A97,'Таблиця 1'!$I:$I,"Mi-24",'Таблиця 1'!$J:$J,"ARS-8"))</f>
        <v/>
      </c>
      <c r="F97">
        <f>IF($A97="","",SUMIFS('Таблиця 1'!$K:$K,'Таблиця 1'!$B:$B,$A97,'Таблиця 1'!$I:$I,"Mi-8",'Таблиця 1'!$J:$J,"С-8 ком")+SUMIFS('Таблиця 1'!$K:$K,'Таблиця 1'!$B:$B,$A97,'Таблиця 1'!$I:$I,"Mi-24",'Таблиця 1'!$J:$J,"С-8 ком"))</f>
        <v/>
      </c>
      <c r="G97">
        <f>IF($A97="","",SUMIFS('Таблиця 1'!$K:$K,'Таблиця 1'!$B:$B,$A97,'Таблиця 1'!$I:$I,"Mi-8",'Таблиця 1'!$J:$J,"PC-80")+SUMIFS('Таблиця 1'!$K:$K,'Таблиця 1'!$B:$B,$A97,'Таблиця 1'!$I:$I,"Mi-24",'Таблиця 1'!$J:$J,"PC-80"))</f>
        <v/>
      </c>
      <c r="H97">
        <f>IF($A97="","",SUMIFS('Таблиця 1'!$K:$K,'Таблиця 1'!$B:$B,$A97,'Таблиця 1'!$I:$I,"Mi-8",'Таблиця 1'!$J:$J,"UAR-80")+SUMIFS('Таблиця 1'!$K:$K,'Таблиця 1'!$B:$B,$A97,'Таблиця 1'!$I:$I,"Mi-24",'Таблиця 1'!$J:$J,"UAR-80"))</f>
        <v/>
      </c>
      <c r="I97">
        <f>IF($A97="","",SUMIFS('Таблиця 1'!$K:$K,'Таблиця 1'!$B:$B,$A97,'Таблиця 1'!$I:$I,"Mi-8",'Таблиця 1'!$J:$J,"C-13")+SUMIFS('Таблиця 1'!$K:$K,'Таблиця 1'!$B:$B,$A97,'Таблиця 1'!$I:$I,"Mi-24",'Таблиця 1'!$J:$J,"C-13"))</f>
        <v/>
      </c>
      <c r="J97">
        <f>IF($A97="","",SUMIFS('Таблиця 1'!$K:$K,'Таблиця 1'!$B:$B,$A97,'Таблиця 1'!$I:$I,"Mi-8",'Таблиця 1'!$J:$J,"Hydra-70")+SUMIFS('Таблиця 1'!$K:$K,'Таблиця 1'!$B:$B,$A97,'Таблиця 1'!$I:$I,"Mi-24",'Таблиця 1'!$J:$J,"Hydra-70"))</f>
        <v/>
      </c>
      <c r="K97">
        <f>IF($A97="","",SUMIFS('Таблиця 1'!$K:$K,'Таблиця 1'!$B:$B,$A97,'Таблиця 1'!$I:$I,"Mi-8",'Таблиця 1'!$J:$J,"Thales-70")+SUMIFS('Таблиця 1'!$K:$K,'Таблиця 1'!$B:$B,$A97,'Таблиця 1'!$I:$I,"Mi-24",'Таблиця 1'!$J:$J,"Thales-70"))</f>
        <v/>
      </c>
      <c r="L97">
        <f>IF($A97="","",SUMIFS('Таблиця 1'!$K:$K,'Таблиця 1'!$B:$B,$A97,'Таблиця 1'!$I:$I,"Mi-8",'Таблиця 1'!$J:$J,"Thales-FZ")+SUMIFS('Таблиця 1'!$K:$K,'Таблиця 1'!$B:$B,$A97,'Таблиця 1'!$I:$I,"Mi-24",'Таблиця 1'!$J:$J,"Thales-FZ"))</f>
        <v/>
      </c>
      <c r="M97">
        <f>IF($A97="","",SUMIFS('Таблиця 1'!$K:$K,'Таблиця 1'!$B:$B,$A97,'Таблиця 1'!$I:$I,"Mi-8",'Таблиця 1'!$J:$J,"МК-40")+SUMIFS('Таблиця 1'!$K:$K,'Таблиця 1'!$B:$B,$A97,'Таблиця 1'!$I:$I,"Mi-24",'Таблиця 1'!$J:$J,"МК-40"))</f>
        <v/>
      </c>
      <c r="N97">
        <f>IF($A97="","",SUMIFS('Таблиця 1'!$K:$K,'Таблиця 1'!$B:$B,$A97,'Таблиця 1'!$I:$I,"Mi-8",'Таблиця 1'!$J:$J,"Zuni")+SUMIFS('Таблиця 1'!$K:$K,'Таблиця 1'!$B:$B,$A97,'Таблиця 1'!$I:$I,"Mi-24",'Таблиця 1'!$J:$J,"Zuni"))</f>
        <v/>
      </c>
      <c r="O97">
        <f>IF($A97="","",COUNTIFS('Таблиця 1'!$B:$B,$A97,'Таблиця 1'!$I:$I,"Mi-8",'Таблиця 1'!$L:$L,"Уражено")+COUNTIFS('Таблиця 1'!$B:$B,$A97,'Таблиця 1'!$I:$I,"Mi-24",'Таблиця 1'!$L:$L,"Уражено"))</f>
        <v/>
      </c>
      <c r="P97">
        <f>IF($A97="","",COUNTIFS('Таблиця 1'!$B:$B,$A97,'Таблиця 1'!$I:$I,"Mi-8",'Таблиця 1'!$L:$L,"НЕ уражено")+COUNTIFS('Таблиця 1'!$B:$B,$A97,'Таблиця 1'!$I:$I,"Mi-24",'Таблиця 1'!$L:$L,"НЕ уражено"))</f>
        <v/>
      </c>
    </row>
    <row r="98">
      <c r="A98" s="273">
        <f>IF(A97="","",IF(A97+1&gt;MAX('Таблиця 1'!$B:$B),"",A97+1))</f>
        <v/>
      </c>
      <c r="B98">
        <f>IF($A98="","",COUNTIFS('Таблиця 1'!$B:$B,$A98,'Таблиця 1'!$I:$I,"Mi-8")+COUNTIFS('Таблиця 1'!$B:$B,$A98,'Таблиця 1'!$I:$I,"Mi-24"))</f>
        <v/>
      </c>
      <c r="C98">
        <f>IF($A98="","",COUNTIFS('Таблиця 1'!$B:$B,$A98,'Таблиця 1'!$I:$I,"Mi-8"))</f>
        <v/>
      </c>
      <c r="D98">
        <f>IF($A98="","",COUNTIFS('Таблиця 1'!$B:$B,$A98,'Таблиця 1'!$I:$I,"Mi-24"))</f>
        <v/>
      </c>
      <c r="E98">
        <f>IF($A98="","",SUMIFS('Таблиця 1'!$K:$K,'Таблиця 1'!$B:$B,$A98,'Таблиця 1'!$I:$I,"Mi-8",'Таблиця 1'!$J:$J,"ARS-8")+SUMIFS('Таблиця 1'!$K:$K,'Таблиця 1'!$B:$B,$A98,'Таблиця 1'!$I:$I,"Mi-24",'Таблиця 1'!$J:$J,"ARS-8"))</f>
        <v/>
      </c>
      <c r="F98">
        <f>IF($A98="","",SUMIFS('Таблиця 1'!$K:$K,'Таблиця 1'!$B:$B,$A98,'Таблиця 1'!$I:$I,"Mi-8",'Таблиця 1'!$J:$J,"С-8 ком")+SUMIFS('Таблиця 1'!$K:$K,'Таблиця 1'!$B:$B,$A98,'Таблиця 1'!$I:$I,"Mi-24",'Таблиця 1'!$J:$J,"С-8 ком"))</f>
        <v/>
      </c>
      <c r="G98">
        <f>IF($A98="","",SUMIFS('Таблиця 1'!$K:$K,'Таблиця 1'!$B:$B,$A98,'Таблиця 1'!$I:$I,"Mi-8",'Таблиця 1'!$J:$J,"PC-80")+SUMIFS('Таблиця 1'!$K:$K,'Таблиця 1'!$B:$B,$A98,'Таблиця 1'!$I:$I,"Mi-24",'Таблиця 1'!$J:$J,"PC-80"))</f>
        <v/>
      </c>
      <c r="H98">
        <f>IF($A98="","",SUMIFS('Таблиця 1'!$K:$K,'Таблиця 1'!$B:$B,$A98,'Таблиця 1'!$I:$I,"Mi-8",'Таблиця 1'!$J:$J,"UAR-80")+SUMIFS('Таблиця 1'!$K:$K,'Таблиця 1'!$B:$B,$A98,'Таблиця 1'!$I:$I,"Mi-24",'Таблиця 1'!$J:$J,"UAR-80"))</f>
        <v/>
      </c>
      <c r="I98">
        <f>IF($A98="","",SUMIFS('Таблиця 1'!$K:$K,'Таблиця 1'!$B:$B,$A98,'Таблиця 1'!$I:$I,"Mi-8",'Таблиця 1'!$J:$J,"C-13")+SUMIFS('Таблиця 1'!$K:$K,'Таблиця 1'!$B:$B,$A98,'Таблиця 1'!$I:$I,"Mi-24",'Таблиця 1'!$J:$J,"C-13"))</f>
        <v/>
      </c>
      <c r="J98">
        <f>IF($A98="","",SUMIFS('Таблиця 1'!$K:$K,'Таблиця 1'!$B:$B,$A98,'Таблиця 1'!$I:$I,"Mi-8",'Таблиця 1'!$J:$J,"Hydra-70")+SUMIFS('Таблиця 1'!$K:$K,'Таблиця 1'!$B:$B,$A98,'Таблиця 1'!$I:$I,"Mi-24",'Таблиця 1'!$J:$J,"Hydra-70"))</f>
        <v/>
      </c>
      <c r="K98">
        <f>IF($A98="","",SUMIFS('Таблиця 1'!$K:$K,'Таблиця 1'!$B:$B,$A98,'Таблиця 1'!$I:$I,"Mi-8",'Таблиця 1'!$J:$J,"Thales-70")+SUMIFS('Таблиця 1'!$K:$K,'Таблиця 1'!$B:$B,$A98,'Таблиця 1'!$I:$I,"Mi-24",'Таблиця 1'!$J:$J,"Thales-70"))</f>
        <v/>
      </c>
      <c r="L98">
        <f>IF($A98="","",SUMIFS('Таблиця 1'!$K:$K,'Таблиця 1'!$B:$B,$A98,'Таблиця 1'!$I:$I,"Mi-8",'Таблиця 1'!$J:$J,"Thales-FZ")+SUMIFS('Таблиця 1'!$K:$K,'Таблиця 1'!$B:$B,$A98,'Таблиця 1'!$I:$I,"Mi-24",'Таблиця 1'!$J:$J,"Thales-FZ"))</f>
        <v/>
      </c>
      <c r="M98">
        <f>IF($A98="","",SUMIFS('Таблиця 1'!$K:$K,'Таблиця 1'!$B:$B,$A98,'Таблиця 1'!$I:$I,"Mi-8",'Таблиця 1'!$J:$J,"МК-40")+SUMIFS('Таблиця 1'!$K:$K,'Таблиця 1'!$B:$B,$A98,'Таблиця 1'!$I:$I,"Mi-24",'Таблиця 1'!$J:$J,"МК-40"))</f>
        <v/>
      </c>
      <c r="N98">
        <f>IF($A98="","",SUMIFS('Таблиця 1'!$K:$K,'Таблиця 1'!$B:$B,$A98,'Таблиця 1'!$I:$I,"Mi-8",'Таблиця 1'!$J:$J,"Zuni")+SUMIFS('Таблиця 1'!$K:$K,'Таблиця 1'!$B:$B,$A98,'Таблиця 1'!$I:$I,"Mi-24",'Таблиця 1'!$J:$J,"Zuni"))</f>
        <v/>
      </c>
      <c r="O98">
        <f>IF($A98="","",COUNTIFS('Таблиця 1'!$B:$B,$A98,'Таблиця 1'!$I:$I,"Mi-8",'Таблиця 1'!$L:$L,"Уражено")+COUNTIFS('Таблиця 1'!$B:$B,$A98,'Таблиця 1'!$I:$I,"Mi-24",'Таблиця 1'!$L:$L,"Уражено"))</f>
        <v/>
      </c>
      <c r="P98">
        <f>IF($A98="","",COUNTIFS('Таблиця 1'!$B:$B,$A98,'Таблиця 1'!$I:$I,"Mi-8",'Таблиця 1'!$L:$L,"НЕ уражено")+COUNTIFS('Таблиця 1'!$B:$B,$A98,'Таблиця 1'!$I:$I,"Mi-24",'Таблиця 1'!$L:$L,"НЕ уражено"))</f>
        <v/>
      </c>
    </row>
    <row r="99">
      <c r="A99" s="273">
        <f>IF(A98="","",IF(A98+1&gt;MAX('Таблиця 1'!$B:$B),"",A98+1))</f>
        <v/>
      </c>
      <c r="B99">
        <f>IF($A99="","",COUNTIFS('Таблиця 1'!$B:$B,$A99,'Таблиця 1'!$I:$I,"Mi-8")+COUNTIFS('Таблиця 1'!$B:$B,$A99,'Таблиця 1'!$I:$I,"Mi-24"))</f>
        <v/>
      </c>
      <c r="C99">
        <f>IF($A99="","",COUNTIFS('Таблиця 1'!$B:$B,$A99,'Таблиця 1'!$I:$I,"Mi-8"))</f>
        <v/>
      </c>
      <c r="D99">
        <f>IF($A99="","",COUNTIFS('Таблиця 1'!$B:$B,$A99,'Таблиця 1'!$I:$I,"Mi-24"))</f>
        <v/>
      </c>
      <c r="E99">
        <f>IF($A99="","",SUMIFS('Таблиця 1'!$K:$K,'Таблиця 1'!$B:$B,$A99,'Таблиця 1'!$I:$I,"Mi-8",'Таблиця 1'!$J:$J,"ARS-8")+SUMIFS('Таблиця 1'!$K:$K,'Таблиця 1'!$B:$B,$A99,'Таблиця 1'!$I:$I,"Mi-24",'Таблиця 1'!$J:$J,"ARS-8"))</f>
        <v/>
      </c>
      <c r="F99">
        <f>IF($A99="","",SUMIFS('Таблиця 1'!$K:$K,'Таблиця 1'!$B:$B,$A99,'Таблиця 1'!$I:$I,"Mi-8",'Таблиця 1'!$J:$J,"С-8 ком")+SUMIFS('Таблиця 1'!$K:$K,'Таблиця 1'!$B:$B,$A99,'Таблиця 1'!$I:$I,"Mi-24",'Таблиця 1'!$J:$J,"С-8 ком"))</f>
        <v/>
      </c>
      <c r="G99">
        <f>IF($A99="","",SUMIFS('Таблиця 1'!$K:$K,'Таблиця 1'!$B:$B,$A99,'Таблиця 1'!$I:$I,"Mi-8",'Таблиця 1'!$J:$J,"PC-80")+SUMIFS('Таблиця 1'!$K:$K,'Таблиця 1'!$B:$B,$A99,'Таблиця 1'!$I:$I,"Mi-24",'Таблиця 1'!$J:$J,"PC-80"))</f>
        <v/>
      </c>
      <c r="H99">
        <f>IF($A99="","",SUMIFS('Таблиця 1'!$K:$K,'Таблиця 1'!$B:$B,$A99,'Таблиця 1'!$I:$I,"Mi-8",'Таблиця 1'!$J:$J,"UAR-80")+SUMIFS('Таблиця 1'!$K:$K,'Таблиця 1'!$B:$B,$A99,'Таблиця 1'!$I:$I,"Mi-24",'Таблиця 1'!$J:$J,"UAR-80"))</f>
        <v/>
      </c>
      <c r="I99">
        <f>IF($A99="","",SUMIFS('Таблиця 1'!$K:$K,'Таблиця 1'!$B:$B,$A99,'Таблиця 1'!$I:$I,"Mi-8",'Таблиця 1'!$J:$J,"C-13")+SUMIFS('Таблиця 1'!$K:$K,'Таблиця 1'!$B:$B,$A99,'Таблиця 1'!$I:$I,"Mi-24",'Таблиця 1'!$J:$J,"C-13"))</f>
        <v/>
      </c>
      <c r="J99">
        <f>IF($A99="","",SUMIFS('Таблиця 1'!$K:$K,'Таблиця 1'!$B:$B,$A99,'Таблиця 1'!$I:$I,"Mi-8",'Таблиця 1'!$J:$J,"Hydra-70")+SUMIFS('Таблиця 1'!$K:$K,'Таблиця 1'!$B:$B,$A99,'Таблиця 1'!$I:$I,"Mi-24",'Таблиця 1'!$J:$J,"Hydra-70"))</f>
        <v/>
      </c>
      <c r="K99">
        <f>IF($A99="","",SUMIFS('Таблиця 1'!$K:$K,'Таблиця 1'!$B:$B,$A99,'Таблиця 1'!$I:$I,"Mi-8",'Таблиця 1'!$J:$J,"Thales-70")+SUMIFS('Таблиця 1'!$K:$K,'Таблиця 1'!$B:$B,$A99,'Таблиця 1'!$I:$I,"Mi-24",'Таблиця 1'!$J:$J,"Thales-70"))</f>
        <v/>
      </c>
      <c r="L99">
        <f>IF($A99="","",SUMIFS('Таблиця 1'!$K:$K,'Таблиця 1'!$B:$B,$A99,'Таблиця 1'!$I:$I,"Mi-8",'Таблиця 1'!$J:$J,"Thales-FZ")+SUMIFS('Таблиця 1'!$K:$K,'Таблиця 1'!$B:$B,$A99,'Таблиця 1'!$I:$I,"Mi-24",'Таблиця 1'!$J:$J,"Thales-FZ"))</f>
        <v/>
      </c>
      <c r="M99">
        <f>IF($A99="","",SUMIFS('Таблиця 1'!$K:$K,'Таблиця 1'!$B:$B,$A99,'Таблиця 1'!$I:$I,"Mi-8",'Таблиця 1'!$J:$J,"МК-40")+SUMIFS('Таблиця 1'!$K:$K,'Таблиця 1'!$B:$B,$A99,'Таблиця 1'!$I:$I,"Mi-24",'Таблиця 1'!$J:$J,"МК-40"))</f>
        <v/>
      </c>
      <c r="N99">
        <f>IF($A99="","",SUMIFS('Таблиця 1'!$K:$K,'Таблиця 1'!$B:$B,$A99,'Таблиця 1'!$I:$I,"Mi-8",'Таблиця 1'!$J:$J,"Zuni")+SUMIFS('Таблиця 1'!$K:$K,'Таблиця 1'!$B:$B,$A99,'Таблиця 1'!$I:$I,"Mi-24",'Таблиця 1'!$J:$J,"Zuni"))</f>
        <v/>
      </c>
      <c r="O99">
        <f>IF($A99="","",COUNTIFS('Таблиця 1'!$B:$B,$A99,'Таблиця 1'!$I:$I,"Mi-8",'Таблиця 1'!$L:$L,"Уражено")+COUNTIFS('Таблиця 1'!$B:$B,$A99,'Таблиця 1'!$I:$I,"Mi-24",'Таблиця 1'!$L:$L,"Уражено"))</f>
        <v/>
      </c>
      <c r="P99">
        <f>IF($A99="","",COUNTIFS('Таблиця 1'!$B:$B,$A99,'Таблиця 1'!$I:$I,"Mi-8",'Таблиця 1'!$L:$L,"НЕ уражено")+COUNTIFS('Таблиця 1'!$B:$B,$A99,'Таблиця 1'!$I:$I,"Mi-24",'Таблиця 1'!$L:$L,"НЕ уражено"))</f>
        <v/>
      </c>
    </row>
    <row r="100">
      <c r="A100" s="273">
        <f>IF(A99="","",IF(A99+1&gt;MAX('Таблиця 1'!$B:$B),"",A99+1))</f>
        <v/>
      </c>
      <c r="B100">
        <f>IF($A100="","",COUNTIFS('Таблиця 1'!$B:$B,$A100,'Таблиця 1'!$I:$I,"Mi-8")+COUNTIFS('Таблиця 1'!$B:$B,$A100,'Таблиця 1'!$I:$I,"Mi-24"))</f>
        <v/>
      </c>
      <c r="C100">
        <f>IF($A100="","",COUNTIFS('Таблиця 1'!$B:$B,$A100,'Таблиця 1'!$I:$I,"Mi-8"))</f>
        <v/>
      </c>
      <c r="D100">
        <f>IF($A100="","",COUNTIFS('Таблиця 1'!$B:$B,$A100,'Таблиця 1'!$I:$I,"Mi-24"))</f>
        <v/>
      </c>
      <c r="E100">
        <f>IF($A100="","",SUMIFS('Таблиця 1'!$K:$K,'Таблиця 1'!$B:$B,$A100,'Таблиця 1'!$I:$I,"Mi-8",'Таблиця 1'!$J:$J,"ARS-8")+SUMIFS('Таблиця 1'!$K:$K,'Таблиця 1'!$B:$B,$A100,'Таблиця 1'!$I:$I,"Mi-24",'Таблиця 1'!$J:$J,"ARS-8"))</f>
        <v/>
      </c>
      <c r="F100">
        <f>IF($A100="","",SUMIFS('Таблиця 1'!$K:$K,'Таблиця 1'!$B:$B,$A100,'Таблиця 1'!$I:$I,"Mi-8",'Таблиця 1'!$J:$J,"С-8 ком")+SUMIFS('Таблиця 1'!$K:$K,'Таблиця 1'!$B:$B,$A100,'Таблиця 1'!$I:$I,"Mi-24",'Таблиця 1'!$J:$J,"С-8 ком"))</f>
        <v/>
      </c>
      <c r="G100">
        <f>IF($A100="","",SUMIFS('Таблиця 1'!$K:$K,'Таблиця 1'!$B:$B,$A100,'Таблиця 1'!$I:$I,"Mi-8",'Таблиця 1'!$J:$J,"PC-80")+SUMIFS('Таблиця 1'!$K:$K,'Таблиця 1'!$B:$B,$A100,'Таблиця 1'!$I:$I,"Mi-24",'Таблиця 1'!$J:$J,"PC-80"))</f>
        <v/>
      </c>
      <c r="H100">
        <f>IF($A100="","",SUMIFS('Таблиця 1'!$K:$K,'Таблиця 1'!$B:$B,$A100,'Таблиця 1'!$I:$I,"Mi-8",'Таблиця 1'!$J:$J,"UAR-80")+SUMIFS('Таблиця 1'!$K:$K,'Таблиця 1'!$B:$B,$A100,'Таблиця 1'!$I:$I,"Mi-24",'Таблиця 1'!$J:$J,"UAR-80"))</f>
        <v/>
      </c>
      <c r="I100">
        <f>IF($A100="","",SUMIFS('Таблиця 1'!$K:$K,'Таблиця 1'!$B:$B,$A100,'Таблиця 1'!$I:$I,"Mi-8",'Таблиця 1'!$J:$J,"C-13")+SUMIFS('Таблиця 1'!$K:$K,'Таблиця 1'!$B:$B,$A100,'Таблиця 1'!$I:$I,"Mi-24",'Таблиця 1'!$J:$J,"C-13"))</f>
        <v/>
      </c>
      <c r="J100">
        <f>IF($A100="","",SUMIFS('Таблиця 1'!$K:$K,'Таблиця 1'!$B:$B,$A100,'Таблиця 1'!$I:$I,"Mi-8",'Таблиця 1'!$J:$J,"Hydra-70")+SUMIFS('Таблиця 1'!$K:$K,'Таблиця 1'!$B:$B,$A100,'Таблиця 1'!$I:$I,"Mi-24",'Таблиця 1'!$J:$J,"Hydra-70"))</f>
        <v/>
      </c>
      <c r="K100">
        <f>IF($A100="","",SUMIFS('Таблиця 1'!$K:$K,'Таблиця 1'!$B:$B,$A100,'Таблиця 1'!$I:$I,"Mi-8",'Таблиця 1'!$J:$J,"Thales-70")+SUMIFS('Таблиця 1'!$K:$K,'Таблиця 1'!$B:$B,$A100,'Таблиця 1'!$I:$I,"Mi-24",'Таблиця 1'!$J:$J,"Thales-70"))</f>
        <v/>
      </c>
      <c r="L100">
        <f>IF($A100="","",SUMIFS('Таблиця 1'!$K:$K,'Таблиця 1'!$B:$B,$A100,'Таблиця 1'!$I:$I,"Mi-8",'Таблиця 1'!$J:$J,"Thales-FZ")+SUMIFS('Таблиця 1'!$K:$K,'Таблиця 1'!$B:$B,$A100,'Таблиця 1'!$I:$I,"Mi-24",'Таблиця 1'!$J:$J,"Thales-FZ"))</f>
        <v/>
      </c>
      <c r="M100">
        <f>IF($A100="","",SUMIFS('Таблиця 1'!$K:$K,'Таблиця 1'!$B:$B,$A100,'Таблиця 1'!$I:$I,"Mi-8",'Таблиця 1'!$J:$J,"МК-40")+SUMIFS('Таблиця 1'!$K:$K,'Таблиця 1'!$B:$B,$A100,'Таблиця 1'!$I:$I,"Mi-24",'Таблиця 1'!$J:$J,"МК-40"))</f>
        <v/>
      </c>
      <c r="N100">
        <f>IF($A100="","",SUMIFS('Таблиця 1'!$K:$K,'Таблиця 1'!$B:$B,$A100,'Таблиця 1'!$I:$I,"Mi-8",'Таблиця 1'!$J:$J,"Zuni")+SUMIFS('Таблиця 1'!$K:$K,'Таблиця 1'!$B:$B,$A100,'Таблиця 1'!$I:$I,"Mi-24",'Таблиця 1'!$J:$J,"Zuni"))</f>
        <v/>
      </c>
      <c r="O100">
        <f>IF($A100="","",COUNTIFS('Таблиця 1'!$B:$B,$A100,'Таблиця 1'!$I:$I,"Mi-8",'Таблиця 1'!$L:$L,"Уражено")+COUNTIFS('Таблиця 1'!$B:$B,$A100,'Таблиця 1'!$I:$I,"Mi-24",'Таблиця 1'!$L:$L,"Уражено"))</f>
        <v/>
      </c>
      <c r="P100">
        <f>IF($A100="","",COUNTIFS('Таблиця 1'!$B:$B,$A100,'Таблиця 1'!$I:$I,"Mi-8",'Таблиця 1'!$L:$L,"НЕ уражено")+COUNTIFS('Таблиця 1'!$B:$B,$A100,'Таблиця 1'!$I:$I,"Mi-24",'Таблиця 1'!$L:$L,"НЕ уражено"))</f>
        <v/>
      </c>
    </row>
    <row r="101">
      <c r="A101" s="273">
        <f>IF(A100="","",IF(A100+1&gt;MAX('Таблиця 1'!$B:$B),"",A100+1))</f>
        <v/>
      </c>
      <c r="B101">
        <f>IF($A101="","",COUNTIFS('Таблиця 1'!$B:$B,$A101,'Таблиця 1'!$I:$I,"Mi-8")+COUNTIFS('Таблиця 1'!$B:$B,$A101,'Таблиця 1'!$I:$I,"Mi-24"))</f>
        <v/>
      </c>
      <c r="C101">
        <f>IF($A101="","",COUNTIFS('Таблиця 1'!$B:$B,$A101,'Таблиця 1'!$I:$I,"Mi-8"))</f>
        <v/>
      </c>
      <c r="D101">
        <f>IF($A101="","",COUNTIFS('Таблиця 1'!$B:$B,$A101,'Таблиця 1'!$I:$I,"Mi-24"))</f>
        <v/>
      </c>
      <c r="E101">
        <f>IF($A101="","",SUMIFS('Таблиця 1'!$K:$K,'Таблиця 1'!$B:$B,$A101,'Таблиця 1'!$I:$I,"Mi-8",'Таблиця 1'!$J:$J,"ARS-8")+SUMIFS('Таблиця 1'!$K:$K,'Таблиця 1'!$B:$B,$A101,'Таблиця 1'!$I:$I,"Mi-24",'Таблиця 1'!$J:$J,"ARS-8"))</f>
        <v/>
      </c>
      <c r="F101">
        <f>IF($A101="","",SUMIFS('Таблиця 1'!$K:$K,'Таблиця 1'!$B:$B,$A101,'Таблиця 1'!$I:$I,"Mi-8",'Таблиця 1'!$J:$J,"С-8 ком")+SUMIFS('Таблиця 1'!$K:$K,'Таблиця 1'!$B:$B,$A101,'Таблиця 1'!$I:$I,"Mi-24",'Таблиця 1'!$J:$J,"С-8 ком"))</f>
        <v/>
      </c>
      <c r="G101">
        <f>IF($A101="","",SUMIFS('Таблиця 1'!$K:$K,'Таблиця 1'!$B:$B,$A101,'Таблиця 1'!$I:$I,"Mi-8",'Таблиця 1'!$J:$J,"PC-80")+SUMIFS('Таблиця 1'!$K:$K,'Таблиця 1'!$B:$B,$A101,'Таблиця 1'!$I:$I,"Mi-24",'Таблиця 1'!$J:$J,"PC-80"))</f>
        <v/>
      </c>
      <c r="H101">
        <f>IF($A101="","",SUMIFS('Таблиця 1'!$K:$K,'Таблиця 1'!$B:$B,$A101,'Таблиця 1'!$I:$I,"Mi-8",'Таблиця 1'!$J:$J,"UAR-80")+SUMIFS('Таблиця 1'!$K:$K,'Таблиця 1'!$B:$B,$A101,'Таблиця 1'!$I:$I,"Mi-24",'Таблиця 1'!$J:$J,"UAR-80"))</f>
        <v/>
      </c>
      <c r="I101">
        <f>IF($A101="","",SUMIFS('Таблиця 1'!$K:$K,'Таблиця 1'!$B:$B,$A101,'Таблиця 1'!$I:$I,"Mi-8",'Таблиця 1'!$J:$J,"C-13")+SUMIFS('Таблиця 1'!$K:$K,'Таблиця 1'!$B:$B,$A101,'Таблиця 1'!$I:$I,"Mi-24",'Таблиця 1'!$J:$J,"C-13"))</f>
        <v/>
      </c>
      <c r="J101">
        <f>IF($A101="","",SUMIFS('Таблиця 1'!$K:$K,'Таблиця 1'!$B:$B,$A101,'Таблиця 1'!$I:$I,"Mi-8",'Таблиця 1'!$J:$J,"Hydra-70")+SUMIFS('Таблиця 1'!$K:$K,'Таблиця 1'!$B:$B,$A101,'Таблиця 1'!$I:$I,"Mi-24",'Таблиця 1'!$J:$J,"Hydra-70"))</f>
        <v/>
      </c>
      <c r="K101">
        <f>IF($A101="","",SUMIFS('Таблиця 1'!$K:$K,'Таблиця 1'!$B:$B,$A101,'Таблиця 1'!$I:$I,"Mi-8",'Таблиця 1'!$J:$J,"Thales-70")+SUMIFS('Таблиця 1'!$K:$K,'Таблиця 1'!$B:$B,$A101,'Таблиця 1'!$I:$I,"Mi-24",'Таблиця 1'!$J:$J,"Thales-70"))</f>
        <v/>
      </c>
      <c r="L101">
        <f>IF($A101="","",SUMIFS('Таблиця 1'!$K:$K,'Таблиця 1'!$B:$B,$A101,'Таблиця 1'!$I:$I,"Mi-8",'Таблиця 1'!$J:$J,"Thales-FZ")+SUMIFS('Таблиця 1'!$K:$K,'Таблиця 1'!$B:$B,$A101,'Таблиця 1'!$I:$I,"Mi-24",'Таблиця 1'!$J:$J,"Thales-FZ"))</f>
        <v/>
      </c>
      <c r="M101">
        <f>IF($A101="","",SUMIFS('Таблиця 1'!$K:$K,'Таблиця 1'!$B:$B,$A101,'Таблиця 1'!$I:$I,"Mi-8",'Таблиця 1'!$J:$J,"МК-40")+SUMIFS('Таблиця 1'!$K:$K,'Таблиця 1'!$B:$B,$A101,'Таблиця 1'!$I:$I,"Mi-24",'Таблиця 1'!$J:$J,"МК-40"))</f>
        <v/>
      </c>
      <c r="N101">
        <f>IF($A101="","",SUMIFS('Таблиця 1'!$K:$K,'Таблиця 1'!$B:$B,$A101,'Таблиця 1'!$I:$I,"Mi-8",'Таблиця 1'!$J:$J,"Zuni")+SUMIFS('Таблиця 1'!$K:$K,'Таблиця 1'!$B:$B,$A101,'Таблиця 1'!$I:$I,"Mi-24",'Таблиця 1'!$J:$J,"Zuni"))</f>
        <v/>
      </c>
      <c r="O101">
        <f>IF($A101="","",COUNTIFS('Таблиця 1'!$B:$B,$A101,'Таблиця 1'!$I:$I,"Mi-8",'Таблиця 1'!$L:$L,"Уражено")+COUNTIFS('Таблиця 1'!$B:$B,$A101,'Таблиця 1'!$I:$I,"Mi-24",'Таблиця 1'!$L:$L,"Уражено"))</f>
        <v/>
      </c>
      <c r="P101">
        <f>IF($A101="","",COUNTIFS('Таблиця 1'!$B:$B,$A101,'Таблиця 1'!$I:$I,"Mi-8",'Таблиця 1'!$L:$L,"НЕ уражено")+COUNTIFS('Таблиця 1'!$B:$B,$A101,'Таблиця 1'!$I:$I,"Mi-24",'Таблиця 1'!$L:$L,"НЕ уражено"))</f>
        <v/>
      </c>
    </row>
    <row r="102">
      <c r="A102" s="273">
        <f>IF(A101="","",IF(A101+1&gt;MAX('Таблиця 1'!$B:$B),"",A101+1))</f>
        <v/>
      </c>
      <c r="B102">
        <f>IF($A102="","",COUNTIFS('Таблиця 1'!$B:$B,$A102,'Таблиця 1'!$I:$I,"Mi-8")+COUNTIFS('Таблиця 1'!$B:$B,$A102,'Таблиця 1'!$I:$I,"Mi-24"))</f>
        <v/>
      </c>
      <c r="C102">
        <f>IF($A102="","",COUNTIFS('Таблиця 1'!$B:$B,$A102,'Таблиця 1'!$I:$I,"Mi-8"))</f>
        <v/>
      </c>
      <c r="D102">
        <f>IF($A102="","",COUNTIFS('Таблиця 1'!$B:$B,$A102,'Таблиця 1'!$I:$I,"Mi-24"))</f>
        <v/>
      </c>
      <c r="E102">
        <f>IF($A102="","",SUMIFS('Таблиця 1'!$K:$K,'Таблиця 1'!$B:$B,$A102,'Таблиця 1'!$I:$I,"Mi-8",'Таблиця 1'!$J:$J,"ARS-8")+SUMIFS('Таблиця 1'!$K:$K,'Таблиця 1'!$B:$B,$A102,'Таблиця 1'!$I:$I,"Mi-24",'Таблиця 1'!$J:$J,"ARS-8"))</f>
        <v/>
      </c>
      <c r="F102">
        <f>IF($A102="","",SUMIFS('Таблиця 1'!$K:$K,'Таблиця 1'!$B:$B,$A102,'Таблиця 1'!$I:$I,"Mi-8",'Таблиця 1'!$J:$J,"С-8 ком")+SUMIFS('Таблиця 1'!$K:$K,'Таблиця 1'!$B:$B,$A102,'Таблиця 1'!$I:$I,"Mi-24",'Таблиця 1'!$J:$J,"С-8 ком"))</f>
        <v/>
      </c>
      <c r="G102">
        <f>IF($A102="","",SUMIFS('Таблиця 1'!$K:$K,'Таблиця 1'!$B:$B,$A102,'Таблиця 1'!$I:$I,"Mi-8",'Таблиця 1'!$J:$J,"PC-80")+SUMIFS('Таблиця 1'!$K:$K,'Таблиця 1'!$B:$B,$A102,'Таблиця 1'!$I:$I,"Mi-24",'Таблиця 1'!$J:$J,"PC-80"))</f>
        <v/>
      </c>
      <c r="H102">
        <f>IF($A102="","",SUMIFS('Таблиця 1'!$K:$K,'Таблиця 1'!$B:$B,$A102,'Таблиця 1'!$I:$I,"Mi-8",'Таблиця 1'!$J:$J,"UAR-80")+SUMIFS('Таблиця 1'!$K:$K,'Таблиця 1'!$B:$B,$A102,'Таблиця 1'!$I:$I,"Mi-24",'Таблиця 1'!$J:$J,"UAR-80"))</f>
        <v/>
      </c>
      <c r="I102">
        <f>IF($A102="","",SUMIFS('Таблиця 1'!$K:$K,'Таблиця 1'!$B:$B,$A102,'Таблиця 1'!$I:$I,"Mi-8",'Таблиця 1'!$J:$J,"C-13")+SUMIFS('Таблиця 1'!$K:$K,'Таблиця 1'!$B:$B,$A102,'Таблиця 1'!$I:$I,"Mi-24",'Таблиця 1'!$J:$J,"C-13"))</f>
        <v/>
      </c>
      <c r="J102">
        <f>IF($A102="","",SUMIFS('Таблиця 1'!$K:$K,'Таблиця 1'!$B:$B,$A102,'Таблиця 1'!$I:$I,"Mi-8",'Таблиця 1'!$J:$J,"Hydra-70")+SUMIFS('Таблиця 1'!$K:$K,'Таблиця 1'!$B:$B,$A102,'Таблиця 1'!$I:$I,"Mi-24",'Таблиця 1'!$J:$J,"Hydra-70"))</f>
        <v/>
      </c>
      <c r="K102">
        <f>IF($A102="","",SUMIFS('Таблиця 1'!$K:$K,'Таблиця 1'!$B:$B,$A102,'Таблиця 1'!$I:$I,"Mi-8",'Таблиця 1'!$J:$J,"Thales-70")+SUMIFS('Таблиця 1'!$K:$K,'Таблиця 1'!$B:$B,$A102,'Таблиця 1'!$I:$I,"Mi-24",'Таблиця 1'!$J:$J,"Thales-70"))</f>
        <v/>
      </c>
      <c r="L102">
        <f>IF($A102="","",SUMIFS('Таблиця 1'!$K:$K,'Таблиця 1'!$B:$B,$A102,'Таблиця 1'!$I:$I,"Mi-8",'Таблиця 1'!$J:$J,"Thales-FZ")+SUMIFS('Таблиця 1'!$K:$K,'Таблиця 1'!$B:$B,$A102,'Таблиця 1'!$I:$I,"Mi-24",'Таблиця 1'!$J:$J,"Thales-FZ"))</f>
        <v/>
      </c>
      <c r="M102">
        <f>IF($A102="","",SUMIFS('Таблиця 1'!$K:$K,'Таблиця 1'!$B:$B,$A102,'Таблиця 1'!$I:$I,"Mi-8",'Таблиця 1'!$J:$J,"МК-40")+SUMIFS('Таблиця 1'!$K:$K,'Таблиця 1'!$B:$B,$A102,'Таблиця 1'!$I:$I,"Mi-24",'Таблиця 1'!$J:$J,"МК-40"))</f>
        <v/>
      </c>
      <c r="N102">
        <f>IF($A102="","",SUMIFS('Таблиця 1'!$K:$K,'Таблиця 1'!$B:$B,$A102,'Таблиця 1'!$I:$I,"Mi-8",'Таблиця 1'!$J:$J,"Zuni")+SUMIFS('Таблиця 1'!$K:$K,'Таблиця 1'!$B:$B,$A102,'Таблиця 1'!$I:$I,"Mi-24",'Таблиця 1'!$J:$J,"Zuni"))</f>
        <v/>
      </c>
      <c r="O102">
        <f>IF($A102="","",COUNTIFS('Таблиця 1'!$B:$B,$A102,'Таблиця 1'!$I:$I,"Mi-8",'Таблиця 1'!$L:$L,"Уражено")+COUNTIFS('Таблиця 1'!$B:$B,$A102,'Таблиця 1'!$I:$I,"Mi-24",'Таблиця 1'!$L:$L,"Уражено"))</f>
        <v/>
      </c>
      <c r="P102">
        <f>IF($A102="","",COUNTIFS('Таблиця 1'!$B:$B,$A102,'Таблиця 1'!$I:$I,"Mi-8",'Таблиця 1'!$L:$L,"НЕ уражено")+COUNTIFS('Таблиця 1'!$B:$B,$A102,'Таблиця 1'!$I:$I,"Mi-24",'Таблиця 1'!$L:$L,"НЕ уражено"))</f>
        <v/>
      </c>
    </row>
    <row r="103">
      <c r="A103" s="273">
        <f>IF(A102="","",IF(A102+1&gt;MAX('Таблиця 1'!$B:$B),"",A102+1))</f>
        <v/>
      </c>
      <c r="B103">
        <f>IF($A103="","",COUNTIFS('Таблиця 1'!$B:$B,$A103,'Таблиця 1'!$I:$I,"Mi-8")+COUNTIFS('Таблиця 1'!$B:$B,$A103,'Таблиця 1'!$I:$I,"Mi-24"))</f>
        <v/>
      </c>
      <c r="C103">
        <f>IF($A103="","",COUNTIFS('Таблиця 1'!$B:$B,$A103,'Таблиця 1'!$I:$I,"Mi-8"))</f>
        <v/>
      </c>
      <c r="D103">
        <f>IF($A103="","",COUNTIFS('Таблиця 1'!$B:$B,$A103,'Таблиця 1'!$I:$I,"Mi-24"))</f>
        <v/>
      </c>
      <c r="E103">
        <f>IF($A103="","",SUMIFS('Таблиця 1'!$K:$K,'Таблиця 1'!$B:$B,$A103,'Таблиця 1'!$I:$I,"Mi-8",'Таблиця 1'!$J:$J,"ARS-8")+SUMIFS('Таблиця 1'!$K:$K,'Таблиця 1'!$B:$B,$A103,'Таблиця 1'!$I:$I,"Mi-24",'Таблиця 1'!$J:$J,"ARS-8"))</f>
        <v/>
      </c>
      <c r="F103">
        <f>IF($A103="","",SUMIFS('Таблиця 1'!$K:$K,'Таблиця 1'!$B:$B,$A103,'Таблиця 1'!$I:$I,"Mi-8",'Таблиця 1'!$J:$J,"С-8 ком")+SUMIFS('Таблиця 1'!$K:$K,'Таблиця 1'!$B:$B,$A103,'Таблиця 1'!$I:$I,"Mi-24",'Таблиця 1'!$J:$J,"С-8 ком"))</f>
        <v/>
      </c>
      <c r="G103">
        <f>IF($A103="","",SUMIFS('Таблиця 1'!$K:$K,'Таблиця 1'!$B:$B,$A103,'Таблиця 1'!$I:$I,"Mi-8",'Таблиця 1'!$J:$J,"PC-80")+SUMIFS('Таблиця 1'!$K:$K,'Таблиця 1'!$B:$B,$A103,'Таблиця 1'!$I:$I,"Mi-24",'Таблиця 1'!$J:$J,"PC-80"))</f>
        <v/>
      </c>
      <c r="H103">
        <f>IF($A103="","",SUMIFS('Таблиця 1'!$K:$K,'Таблиця 1'!$B:$B,$A103,'Таблиця 1'!$I:$I,"Mi-8",'Таблиця 1'!$J:$J,"UAR-80")+SUMIFS('Таблиця 1'!$K:$K,'Таблиця 1'!$B:$B,$A103,'Таблиця 1'!$I:$I,"Mi-24",'Таблиця 1'!$J:$J,"UAR-80"))</f>
        <v/>
      </c>
      <c r="I103">
        <f>IF($A103="","",SUMIFS('Таблиця 1'!$K:$K,'Таблиця 1'!$B:$B,$A103,'Таблиця 1'!$I:$I,"Mi-8",'Таблиця 1'!$J:$J,"C-13")+SUMIFS('Таблиця 1'!$K:$K,'Таблиця 1'!$B:$B,$A103,'Таблиця 1'!$I:$I,"Mi-24",'Таблиця 1'!$J:$J,"C-13"))</f>
        <v/>
      </c>
      <c r="J103">
        <f>IF($A103="","",SUMIFS('Таблиця 1'!$K:$K,'Таблиця 1'!$B:$B,$A103,'Таблиця 1'!$I:$I,"Mi-8",'Таблиця 1'!$J:$J,"Hydra-70")+SUMIFS('Таблиця 1'!$K:$K,'Таблиця 1'!$B:$B,$A103,'Таблиця 1'!$I:$I,"Mi-24",'Таблиця 1'!$J:$J,"Hydra-70"))</f>
        <v/>
      </c>
      <c r="K103">
        <f>IF($A103="","",SUMIFS('Таблиця 1'!$K:$K,'Таблиця 1'!$B:$B,$A103,'Таблиця 1'!$I:$I,"Mi-8",'Таблиця 1'!$J:$J,"Thales-70")+SUMIFS('Таблиця 1'!$K:$K,'Таблиця 1'!$B:$B,$A103,'Таблиця 1'!$I:$I,"Mi-24",'Таблиця 1'!$J:$J,"Thales-70"))</f>
        <v/>
      </c>
      <c r="L103">
        <f>IF($A103="","",SUMIFS('Таблиця 1'!$K:$K,'Таблиця 1'!$B:$B,$A103,'Таблиця 1'!$I:$I,"Mi-8",'Таблиця 1'!$J:$J,"Thales-FZ")+SUMIFS('Таблиця 1'!$K:$K,'Таблиця 1'!$B:$B,$A103,'Таблиця 1'!$I:$I,"Mi-24",'Таблиця 1'!$J:$J,"Thales-FZ"))</f>
        <v/>
      </c>
      <c r="M103">
        <f>IF($A103="","",SUMIFS('Таблиця 1'!$K:$K,'Таблиця 1'!$B:$B,$A103,'Таблиця 1'!$I:$I,"Mi-8",'Таблиця 1'!$J:$J,"МК-40")+SUMIFS('Таблиця 1'!$K:$K,'Таблиця 1'!$B:$B,$A103,'Таблиця 1'!$I:$I,"Mi-24",'Таблиця 1'!$J:$J,"МК-40"))</f>
        <v/>
      </c>
      <c r="N103">
        <f>IF($A103="","",SUMIFS('Таблиця 1'!$K:$K,'Таблиця 1'!$B:$B,$A103,'Таблиця 1'!$I:$I,"Mi-8",'Таблиця 1'!$J:$J,"Zuni")+SUMIFS('Таблиця 1'!$K:$K,'Таблиця 1'!$B:$B,$A103,'Таблиця 1'!$I:$I,"Mi-24",'Таблиця 1'!$J:$J,"Zuni"))</f>
        <v/>
      </c>
      <c r="O103">
        <f>IF($A103="","",COUNTIFS('Таблиця 1'!$B:$B,$A103,'Таблиця 1'!$I:$I,"Mi-8",'Таблиця 1'!$L:$L,"Уражено")+COUNTIFS('Таблиця 1'!$B:$B,$A103,'Таблиця 1'!$I:$I,"Mi-24",'Таблиця 1'!$L:$L,"Уражено"))</f>
        <v/>
      </c>
      <c r="P103">
        <f>IF($A103="","",COUNTIFS('Таблиця 1'!$B:$B,$A103,'Таблиця 1'!$I:$I,"Mi-8",'Таблиця 1'!$L:$L,"НЕ уражено")+COUNTIFS('Таблиця 1'!$B:$B,$A103,'Таблиця 1'!$I:$I,"Mi-24",'Таблиця 1'!$L:$L,"НЕ уражено"))</f>
        <v/>
      </c>
    </row>
    <row r="104">
      <c r="A104" s="273">
        <f>IF(A103="","",IF(A103+1&gt;MAX('Таблиця 1'!$B:$B),"",A103+1))</f>
        <v/>
      </c>
      <c r="B104">
        <f>IF($A104="","",COUNTIFS('Таблиця 1'!$B:$B,$A104,'Таблиця 1'!$I:$I,"Mi-8")+COUNTIFS('Таблиця 1'!$B:$B,$A104,'Таблиця 1'!$I:$I,"Mi-24"))</f>
        <v/>
      </c>
      <c r="C104">
        <f>IF($A104="","",COUNTIFS('Таблиця 1'!$B:$B,$A104,'Таблиця 1'!$I:$I,"Mi-8"))</f>
        <v/>
      </c>
      <c r="D104">
        <f>IF($A104="","",COUNTIFS('Таблиця 1'!$B:$B,$A104,'Таблиця 1'!$I:$I,"Mi-24"))</f>
        <v/>
      </c>
      <c r="E104">
        <f>IF($A104="","",SUMIFS('Таблиця 1'!$K:$K,'Таблиця 1'!$B:$B,$A104,'Таблиця 1'!$I:$I,"Mi-8",'Таблиця 1'!$J:$J,"ARS-8")+SUMIFS('Таблиця 1'!$K:$K,'Таблиця 1'!$B:$B,$A104,'Таблиця 1'!$I:$I,"Mi-24",'Таблиця 1'!$J:$J,"ARS-8"))</f>
        <v/>
      </c>
      <c r="F104">
        <f>IF($A104="","",SUMIFS('Таблиця 1'!$K:$K,'Таблиця 1'!$B:$B,$A104,'Таблиця 1'!$I:$I,"Mi-8",'Таблиця 1'!$J:$J,"С-8 ком")+SUMIFS('Таблиця 1'!$K:$K,'Таблиця 1'!$B:$B,$A104,'Таблиця 1'!$I:$I,"Mi-24",'Таблиця 1'!$J:$J,"С-8 ком"))</f>
        <v/>
      </c>
      <c r="G104">
        <f>IF($A104="","",SUMIFS('Таблиця 1'!$K:$K,'Таблиця 1'!$B:$B,$A104,'Таблиця 1'!$I:$I,"Mi-8",'Таблиця 1'!$J:$J,"PC-80")+SUMIFS('Таблиця 1'!$K:$K,'Таблиця 1'!$B:$B,$A104,'Таблиця 1'!$I:$I,"Mi-24",'Таблиця 1'!$J:$J,"PC-80"))</f>
        <v/>
      </c>
      <c r="H104">
        <f>IF($A104="","",SUMIFS('Таблиця 1'!$K:$K,'Таблиця 1'!$B:$B,$A104,'Таблиця 1'!$I:$I,"Mi-8",'Таблиця 1'!$J:$J,"UAR-80")+SUMIFS('Таблиця 1'!$K:$K,'Таблиця 1'!$B:$B,$A104,'Таблиця 1'!$I:$I,"Mi-24",'Таблиця 1'!$J:$J,"UAR-80"))</f>
        <v/>
      </c>
      <c r="I104">
        <f>IF($A104="","",SUMIFS('Таблиця 1'!$K:$K,'Таблиця 1'!$B:$B,$A104,'Таблиця 1'!$I:$I,"Mi-8",'Таблиця 1'!$J:$J,"C-13")+SUMIFS('Таблиця 1'!$K:$K,'Таблиця 1'!$B:$B,$A104,'Таблиця 1'!$I:$I,"Mi-24",'Таблиця 1'!$J:$J,"C-13"))</f>
        <v/>
      </c>
      <c r="J104">
        <f>IF($A104="","",SUMIFS('Таблиця 1'!$K:$K,'Таблиця 1'!$B:$B,$A104,'Таблиця 1'!$I:$I,"Mi-8",'Таблиця 1'!$J:$J,"Hydra-70")+SUMIFS('Таблиця 1'!$K:$K,'Таблиця 1'!$B:$B,$A104,'Таблиця 1'!$I:$I,"Mi-24",'Таблиця 1'!$J:$J,"Hydra-70"))</f>
        <v/>
      </c>
      <c r="K104">
        <f>IF($A104="","",SUMIFS('Таблиця 1'!$K:$K,'Таблиця 1'!$B:$B,$A104,'Таблиця 1'!$I:$I,"Mi-8",'Таблиця 1'!$J:$J,"Thales-70")+SUMIFS('Таблиця 1'!$K:$K,'Таблиця 1'!$B:$B,$A104,'Таблиця 1'!$I:$I,"Mi-24",'Таблиця 1'!$J:$J,"Thales-70"))</f>
        <v/>
      </c>
      <c r="L104">
        <f>IF($A104="","",SUMIFS('Таблиця 1'!$K:$K,'Таблиця 1'!$B:$B,$A104,'Таблиця 1'!$I:$I,"Mi-8",'Таблиця 1'!$J:$J,"Thales-FZ")+SUMIFS('Таблиця 1'!$K:$K,'Таблиця 1'!$B:$B,$A104,'Таблиця 1'!$I:$I,"Mi-24",'Таблиця 1'!$J:$J,"Thales-FZ"))</f>
        <v/>
      </c>
      <c r="M104">
        <f>IF($A104="","",SUMIFS('Таблиця 1'!$K:$K,'Таблиця 1'!$B:$B,$A104,'Таблиця 1'!$I:$I,"Mi-8",'Таблиця 1'!$J:$J,"МК-40")+SUMIFS('Таблиця 1'!$K:$K,'Таблиця 1'!$B:$B,$A104,'Таблиця 1'!$I:$I,"Mi-24",'Таблиця 1'!$J:$J,"МК-40"))</f>
        <v/>
      </c>
      <c r="N104">
        <f>IF($A104="","",SUMIFS('Таблиця 1'!$K:$K,'Таблиця 1'!$B:$B,$A104,'Таблиця 1'!$I:$I,"Mi-8",'Таблиця 1'!$J:$J,"Zuni")+SUMIFS('Таблиця 1'!$K:$K,'Таблиця 1'!$B:$B,$A104,'Таблиця 1'!$I:$I,"Mi-24",'Таблиця 1'!$J:$J,"Zuni"))</f>
        <v/>
      </c>
      <c r="O104">
        <f>IF($A104="","",COUNTIFS('Таблиця 1'!$B:$B,$A104,'Таблиця 1'!$I:$I,"Mi-8",'Таблиця 1'!$L:$L,"Уражено")+COUNTIFS('Таблиця 1'!$B:$B,$A104,'Таблиця 1'!$I:$I,"Mi-24",'Таблиця 1'!$L:$L,"Уражено"))</f>
        <v/>
      </c>
      <c r="P104">
        <f>IF($A104="","",COUNTIFS('Таблиця 1'!$B:$B,$A104,'Таблиця 1'!$I:$I,"Mi-8",'Таблиця 1'!$L:$L,"НЕ уражено")+COUNTIFS('Таблиця 1'!$B:$B,$A104,'Таблиця 1'!$I:$I,"Mi-24",'Таблиця 1'!$L:$L,"НЕ уражено"))</f>
        <v/>
      </c>
    </row>
    <row r="105">
      <c r="A105" s="273">
        <f>IF(A104="","",IF(A104+1&gt;MAX('Таблиця 1'!$B:$B),"",A104+1))</f>
        <v/>
      </c>
      <c r="B105">
        <f>IF($A105="","",COUNTIFS('Таблиця 1'!$B:$B,$A105,'Таблиця 1'!$I:$I,"Mi-8")+COUNTIFS('Таблиця 1'!$B:$B,$A105,'Таблиця 1'!$I:$I,"Mi-24"))</f>
        <v/>
      </c>
      <c r="C105">
        <f>IF($A105="","",COUNTIFS('Таблиця 1'!$B:$B,$A105,'Таблиця 1'!$I:$I,"Mi-8"))</f>
        <v/>
      </c>
      <c r="D105">
        <f>IF($A105="","",COUNTIFS('Таблиця 1'!$B:$B,$A105,'Таблиця 1'!$I:$I,"Mi-24"))</f>
        <v/>
      </c>
      <c r="E105">
        <f>IF($A105="","",SUMIFS('Таблиця 1'!$K:$K,'Таблиця 1'!$B:$B,$A105,'Таблиця 1'!$I:$I,"Mi-8",'Таблиця 1'!$J:$J,"ARS-8")+SUMIFS('Таблиця 1'!$K:$K,'Таблиця 1'!$B:$B,$A105,'Таблиця 1'!$I:$I,"Mi-24",'Таблиця 1'!$J:$J,"ARS-8"))</f>
        <v/>
      </c>
      <c r="F105">
        <f>IF($A105="","",SUMIFS('Таблиця 1'!$K:$K,'Таблиця 1'!$B:$B,$A105,'Таблиця 1'!$I:$I,"Mi-8",'Таблиця 1'!$J:$J,"С-8 ком")+SUMIFS('Таблиця 1'!$K:$K,'Таблиця 1'!$B:$B,$A105,'Таблиця 1'!$I:$I,"Mi-24",'Таблиця 1'!$J:$J,"С-8 ком"))</f>
        <v/>
      </c>
      <c r="G105">
        <f>IF($A105="","",SUMIFS('Таблиця 1'!$K:$K,'Таблиця 1'!$B:$B,$A105,'Таблиця 1'!$I:$I,"Mi-8",'Таблиця 1'!$J:$J,"PC-80")+SUMIFS('Таблиця 1'!$K:$K,'Таблиця 1'!$B:$B,$A105,'Таблиця 1'!$I:$I,"Mi-24",'Таблиця 1'!$J:$J,"PC-80"))</f>
        <v/>
      </c>
      <c r="H105">
        <f>IF($A105="","",SUMIFS('Таблиця 1'!$K:$K,'Таблиця 1'!$B:$B,$A105,'Таблиця 1'!$I:$I,"Mi-8",'Таблиця 1'!$J:$J,"UAR-80")+SUMIFS('Таблиця 1'!$K:$K,'Таблиця 1'!$B:$B,$A105,'Таблиця 1'!$I:$I,"Mi-24",'Таблиця 1'!$J:$J,"UAR-80"))</f>
        <v/>
      </c>
      <c r="I105">
        <f>IF($A105="","",SUMIFS('Таблиця 1'!$K:$K,'Таблиця 1'!$B:$B,$A105,'Таблиця 1'!$I:$I,"Mi-8",'Таблиця 1'!$J:$J,"C-13")+SUMIFS('Таблиця 1'!$K:$K,'Таблиця 1'!$B:$B,$A105,'Таблиця 1'!$I:$I,"Mi-24",'Таблиця 1'!$J:$J,"C-13"))</f>
        <v/>
      </c>
      <c r="J105">
        <f>IF($A105="","",SUMIFS('Таблиця 1'!$K:$K,'Таблиця 1'!$B:$B,$A105,'Таблиця 1'!$I:$I,"Mi-8",'Таблиця 1'!$J:$J,"Hydra-70")+SUMIFS('Таблиця 1'!$K:$K,'Таблиця 1'!$B:$B,$A105,'Таблиця 1'!$I:$I,"Mi-24",'Таблиця 1'!$J:$J,"Hydra-70"))</f>
        <v/>
      </c>
      <c r="K105">
        <f>IF($A105="","",SUMIFS('Таблиця 1'!$K:$K,'Таблиця 1'!$B:$B,$A105,'Таблиця 1'!$I:$I,"Mi-8",'Таблиця 1'!$J:$J,"Thales-70")+SUMIFS('Таблиця 1'!$K:$K,'Таблиця 1'!$B:$B,$A105,'Таблиця 1'!$I:$I,"Mi-24",'Таблиця 1'!$J:$J,"Thales-70"))</f>
        <v/>
      </c>
      <c r="L105">
        <f>IF($A105="","",SUMIFS('Таблиця 1'!$K:$K,'Таблиця 1'!$B:$B,$A105,'Таблиця 1'!$I:$I,"Mi-8",'Таблиця 1'!$J:$J,"Thales-FZ")+SUMIFS('Таблиця 1'!$K:$K,'Таблиця 1'!$B:$B,$A105,'Таблиця 1'!$I:$I,"Mi-24",'Таблиця 1'!$J:$J,"Thales-FZ"))</f>
        <v/>
      </c>
      <c r="M105">
        <f>IF($A105="","",SUMIFS('Таблиця 1'!$K:$K,'Таблиця 1'!$B:$B,$A105,'Таблиця 1'!$I:$I,"Mi-8",'Таблиця 1'!$J:$J,"МК-40")+SUMIFS('Таблиця 1'!$K:$K,'Таблиця 1'!$B:$B,$A105,'Таблиця 1'!$I:$I,"Mi-24",'Таблиця 1'!$J:$J,"МК-40"))</f>
        <v/>
      </c>
      <c r="N105">
        <f>IF($A105="","",SUMIFS('Таблиця 1'!$K:$K,'Таблиця 1'!$B:$B,$A105,'Таблиця 1'!$I:$I,"Mi-8",'Таблиця 1'!$J:$J,"Zuni")+SUMIFS('Таблиця 1'!$K:$K,'Таблиця 1'!$B:$B,$A105,'Таблиця 1'!$I:$I,"Mi-24",'Таблиця 1'!$J:$J,"Zuni"))</f>
        <v/>
      </c>
      <c r="O105">
        <f>IF($A105="","",COUNTIFS('Таблиця 1'!$B:$B,$A105,'Таблиця 1'!$I:$I,"Mi-8",'Таблиця 1'!$L:$L,"Уражено")+COUNTIFS('Таблиця 1'!$B:$B,$A105,'Таблиця 1'!$I:$I,"Mi-24",'Таблиця 1'!$L:$L,"Уражено"))</f>
        <v/>
      </c>
      <c r="P105">
        <f>IF($A105="","",COUNTIFS('Таблиця 1'!$B:$B,$A105,'Таблиця 1'!$I:$I,"Mi-8",'Таблиця 1'!$L:$L,"НЕ уражено")+COUNTIFS('Таблиця 1'!$B:$B,$A105,'Таблиця 1'!$I:$I,"Mi-24",'Таблиця 1'!$L:$L,"НЕ уражено"))</f>
        <v/>
      </c>
    </row>
    <row r="106">
      <c r="A106" s="273">
        <f>IF(A105="","",IF(A105+1&gt;MAX('Таблиця 1'!$B:$B),"",A105+1))</f>
        <v/>
      </c>
      <c r="B106">
        <f>IF($A106="","",COUNTIFS('Таблиця 1'!$B:$B,$A106,'Таблиця 1'!$I:$I,"Mi-8")+COUNTIFS('Таблиця 1'!$B:$B,$A106,'Таблиця 1'!$I:$I,"Mi-24"))</f>
        <v/>
      </c>
      <c r="C106">
        <f>IF($A106="","",COUNTIFS('Таблиця 1'!$B:$B,$A106,'Таблиця 1'!$I:$I,"Mi-8"))</f>
        <v/>
      </c>
      <c r="D106">
        <f>IF($A106="","",COUNTIFS('Таблиця 1'!$B:$B,$A106,'Таблиця 1'!$I:$I,"Mi-24"))</f>
        <v/>
      </c>
      <c r="E106">
        <f>IF($A106="","",SUMIFS('Таблиця 1'!$K:$K,'Таблиця 1'!$B:$B,$A106,'Таблиця 1'!$I:$I,"Mi-8",'Таблиця 1'!$J:$J,"ARS-8")+SUMIFS('Таблиця 1'!$K:$K,'Таблиця 1'!$B:$B,$A106,'Таблиця 1'!$I:$I,"Mi-24",'Таблиця 1'!$J:$J,"ARS-8"))</f>
        <v/>
      </c>
      <c r="F106">
        <f>IF($A106="","",SUMIFS('Таблиця 1'!$K:$K,'Таблиця 1'!$B:$B,$A106,'Таблиця 1'!$I:$I,"Mi-8",'Таблиця 1'!$J:$J,"С-8 ком")+SUMIFS('Таблиця 1'!$K:$K,'Таблиця 1'!$B:$B,$A106,'Таблиця 1'!$I:$I,"Mi-24",'Таблиця 1'!$J:$J,"С-8 ком"))</f>
        <v/>
      </c>
      <c r="G106">
        <f>IF($A106="","",SUMIFS('Таблиця 1'!$K:$K,'Таблиця 1'!$B:$B,$A106,'Таблиця 1'!$I:$I,"Mi-8",'Таблиця 1'!$J:$J,"PC-80")+SUMIFS('Таблиця 1'!$K:$K,'Таблиця 1'!$B:$B,$A106,'Таблиця 1'!$I:$I,"Mi-24",'Таблиця 1'!$J:$J,"PC-80"))</f>
        <v/>
      </c>
      <c r="H106">
        <f>IF($A106="","",SUMIFS('Таблиця 1'!$K:$K,'Таблиця 1'!$B:$B,$A106,'Таблиця 1'!$I:$I,"Mi-8",'Таблиця 1'!$J:$J,"UAR-80")+SUMIFS('Таблиця 1'!$K:$K,'Таблиця 1'!$B:$B,$A106,'Таблиця 1'!$I:$I,"Mi-24",'Таблиця 1'!$J:$J,"UAR-80"))</f>
        <v/>
      </c>
      <c r="I106">
        <f>IF($A106="","",SUMIFS('Таблиця 1'!$K:$K,'Таблиця 1'!$B:$B,$A106,'Таблиця 1'!$I:$I,"Mi-8",'Таблиця 1'!$J:$J,"C-13")+SUMIFS('Таблиця 1'!$K:$K,'Таблиця 1'!$B:$B,$A106,'Таблиця 1'!$I:$I,"Mi-24",'Таблиця 1'!$J:$J,"C-13"))</f>
        <v/>
      </c>
      <c r="J106">
        <f>IF($A106="","",SUMIFS('Таблиця 1'!$K:$K,'Таблиця 1'!$B:$B,$A106,'Таблиця 1'!$I:$I,"Mi-8",'Таблиця 1'!$J:$J,"Hydra-70")+SUMIFS('Таблиця 1'!$K:$K,'Таблиця 1'!$B:$B,$A106,'Таблиця 1'!$I:$I,"Mi-24",'Таблиця 1'!$J:$J,"Hydra-70"))</f>
        <v/>
      </c>
      <c r="K106">
        <f>IF($A106="","",SUMIFS('Таблиця 1'!$K:$K,'Таблиця 1'!$B:$B,$A106,'Таблиця 1'!$I:$I,"Mi-8",'Таблиця 1'!$J:$J,"Thales-70")+SUMIFS('Таблиця 1'!$K:$K,'Таблиця 1'!$B:$B,$A106,'Таблиця 1'!$I:$I,"Mi-24",'Таблиця 1'!$J:$J,"Thales-70"))</f>
        <v/>
      </c>
      <c r="L106">
        <f>IF($A106="","",SUMIFS('Таблиця 1'!$K:$K,'Таблиця 1'!$B:$B,$A106,'Таблиця 1'!$I:$I,"Mi-8",'Таблиця 1'!$J:$J,"Thales-FZ")+SUMIFS('Таблиця 1'!$K:$K,'Таблиця 1'!$B:$B,$A106,'Таблиця 1'!$I:$I,"Mi-24",'Таблиця 1'!$J:$J,"Thales-FZ"))</f>
        <v/>
      </c>
      <c r="M106">
        <f>IF($A106="","",SUMIFS('Таблиця 1'!$K:$K,'Таблиця 1'!$B:$B,$A106,'Таблиця 1'!$I:$I,"Mi-8",'Таблиця 1'!$J:$J,"МК-40")+SUMIFS('Таблиця 1'!$K:$K,'Таблиця 1'!$B:$B,$A106,'Таблиця 1'!$I:$I,"Mi-24",'Таблиця 1'!$J:$J,"МК-40"))</f>
        <v/>
      </c>
      <c r="N106">
        <f>IF($A106="","",SUMIFS('Таблиця 1'!$K:$K,'Таблиця 1'!$B:$B,$A106,'Таблиця 1'!$I:$I,"Mi-8",'Таблиця 1'!$J:$J,"Zuni")+SUMIFS('Таблиця 1'!$K:$K,'Таблиця 1'!$B:$B,$A106,'Таблиця 1'!$I:$I,"Mi-24",'Таблиця 1'!$J:$J,"Zuni"))</f>
        <v/>
      </c>
      <c r="O106">
        <f>IF($A106="","",COUNTIFS('Таблиця 1'!$B:$B,$A106,'Таблиця 1'!$I:$I,"Mi-8",'Таблиця 1'!$L:$L,"Уражено")+COUNTIFS('Таблиця 1'!$B:$B,$A106,'Таблиця 1'!$I:$I,"Mi-24",'Таблиця 1'!$L:$L,"Уражено"))</f>
        <v/>
      </c>
      <c r="P106">
        <f>IF($A106="","",COUNTIFS('Таблиця 1'!$B:$B,$A106,'Таблиця 1'!$I:$I,"Mi-8",'Таблиця 1'!$L:$L,"НЕ уражено")+COUNTIFS('Таблиця 1'!$B:$B,$A106,'Таблиця 1'!$I:$I,"Mi-24",'Таблиця 1'!$L:$L,"НЕ уражено"))</f>
        <v/>
      </c>
    </row>
    <row r="107">
      <c r="A107" s="273">
        <f>IF(A106="","",IF(A106+1&gt;MAX('Таблиця 1'!$B:$B),"",A106+1))</f>
        <v/>
      </c>
      <c r="B107">
        <f>IF($A107="","",COUNTIFS('Таблиця 1'!$B:$B,$A107,'Таблиця 1'!$I:$I,"Mi-8")+COUNTIFS('Таблиця 1'!$B:$B,$A107,'Таблиця 1'!$I:$I,"Mi-24"))</f>
        <v/>
      </c>
      <c r="C107">
        <f>IF($A107="","",COUNTIFS('Таблиця 1'!$B:$B,$A107,'Таблиця 1'!$I:$I,"Mi-8"))</f>
        <v/>
      </c>
      <c r="D107">
        <f>IF($A107="","",COUNTIFS('Таблиця 1'!$B:$B,$A107,'Таблиця 1'!$I:$I,"Mi-24"))</f>
        <v/>
      </c>
      <c r="E107">
        <f>IF($A107="","",SUMIFS('Таблиця 1'!$K:$K,'Таблиця 1'!$B:$B,$A107,'Таблиця 1'!$I:$I,"Mi-8",'Таблиця 1'!$J:$J,"ARS-8")+SUMIFS('Таблиця 1'!$K:$K,'Таблиця 1'!$B:$B,$A107,'Таблиця 1'!$I:$I,"Mi-24",'Таблиця 1'!$J:$J,"ARS-8"))</f>
        <v/>
      </c>
      <c r="F107">
        <f>IF($A107="","",SUMIFS('Таблиця 1'!$K:$K,'Таблиця 1'!$B:$B,$A107,'Таблиця 1'!$I:$I,"Mi-8",'Таблиця 1'!$J:$J,"С-8 ком")+SUMIFS('Таблиця 1'!$K:$K,'Таблиця 1'!$B:$B,$A107,'Таблиця 1'!$I:$I,"Mi-24",'Таблиця 1'!$J:$J,"С-8 ком"))</f>
        <v/>
      </c>
      <c r="G107">
        <f>IF($A107="","",SUMIFS('Таблиця 1'!$K:$K,'Таблиця 1'!$B:$B,$A107,'Таблиця 1'!$I:$I,"Mi-8",'Таблиця 1'!$J:$J,"PC-80")+SUMIFS('Таблиця 1'!$K:$K,'Таблиця 1'!$B:$B,$A107,'Таблиця 1'!$I:$I,"Mi-24",'Таблиця 1'!$J:$J,"PC-80"))</f>
        <v/>
      </c>
      <c r="H107">
        <f>IF($A107="","",SUMIFS('Таблиця 1'!$K:$K,'Таблиця 1'!$B:$B,$A107,'Таблиця 1'!$I:$I,"Mi-8",'Таблиця 1'!$J:$J,"UAR-80")+SUMIFS('Таблиця 1'!$K:$K,'Таблиця 1'!$B:$B,$A107,'Таблиця 1'!$I:$I,"Mi-24",'Таблиця 1'!$J:$J,"UAR-80"))</f>
        <v/>
      </c>
      <c r="I107">
        <f>IF($A107="","",SUMIFS('Таблиця 1'!$K:$K,'Таблиця 1'!$B:$B,$A107,'Таблиця 1'!$I:$I,"Mi-8",'Таблиця 1'!$J:$J,"C-13")+SUMIFS('Таблиця 1'!$K:$K,'Таблиця 1'!$B:$B,$A107,'Таблиця 1'!$I:$I,"Mi-24",'Таблиця 1'!$J:$J,"C-13"))</f>
        <v/>
      </c>
      <c r="J107">
        <f>IF($A107="","",SUMIFS('Таблиця 1'!$K:$K,'Таблиця 1'!$B:$B,$A107,'Таблиця 1'!$I:$I,"Mi-8",'Таблиця 1'!$J:$J,"Hydra-70")+SUMIFS('Таблиця 1'!$K:$K,'Таблиця 1'!$B:$B,$A107,'Таблиця 1'!$I:$I,"Mi-24",'Таблиця 1'!$J:$J,"Hydra-70"))</f>
        <v/>
      </c>
      <c r="K107">
        <f>IF($A107="","",SUMIFS('Таблиця 1'!$K:$K,'Таблиця 1'!$B:$B,$A107,'Таблиця 1'!$I:$I,"Mi-8",'Таблиця 1'!$J:$J,"Thales-70")+SUMIFS('Таблиця 1'!$K:$K,'Таблиця 1'!$B:$B,$A107,'Таблиця 1'!$I:$I,"Mi-24",'Таблиця 1'!$J:$J,"Thales-70"))</f>
        <v/>
      </c>
      <c r="L107">
        <f>IF($A107="","",SUMIFS('Таблиця 1'!$K:$K,'Таблиця 1'!$B:$B,$A107,'Таблиця 1'!$I:$I,"Mi-8",'Таблиця 1'!$J:$J,"Thales-FZ")+SUMIFS('Таблиця 1'!$K:$K,'Таблиця 1'!$B:$B,$A107,'Таблиця 1'!$I:$I,"Mi-24",'Таблиця 1'!$J:$J,"Thales-FZ"))</f>
        <v/>
      </c>
      <c r="M107">
        <f>IF($A107="","",SUMIFS('Таблиця 1'!$K:$K,'Таблиця 1'!$B:$B,$A107,'Таблиця 1'!$I:$I,"Mi-8",'Таблиця 1'!$J:$J,"МК-40")+SUMIFS('Таблиця 1'!$K:$K,'Таблиця 1'!$B:$B,$A107,'Таблиця 1'!$I:$I,"Mi-24",'Таблиця 1'!$J:$J,"МК-40"))</f>
        <v/>
      </c>
      <c r="N107">
        <f>IF($A107="","",SUMIFS('Таблиця 1'!$K:$K,'Таблиця 1'!$B:$B,$A107,'Таблиця 1'!$I:$I,"Mi-8",'Таблиця 1'!$J:$J,"Zuni")+SUMIFS('Таблиця 1'!$K:$K,'Таблиця 1'!$B:$B,$A107,'Таблиця 1'!$I:$I,"Mi-24",'Таблиця 1'!$J:$J,"Zuni"))</f>
        <v/>
      </c>
      <c r="O107">
        <f>IF($A107="","",COUNTIFS('Таблиця 1'!$B:$B,$A107,'Таблиця 1'!$I:$I,"Mi-8",'Таблиця 1'!$L:$L,"Уражено")+COUNTIFS('Таблиця 1'!$B:$B,$A107,'Таблиця 1'!$I:$I,"Mi-24",'Таблиця 1'!$L:$L,"Уражено"))</f>
        <v/>
      </c>
      <c r="P107">
        <f>IF($A107="","",COUNTIFS('Таблиця 1'!$B:$B,$A107,'Таблиця 1'!$I:$I,"Mi-8",'Таблиця 1'!$L:$L,"НЕ уражено")+COUNTIFS('Таблиця 1'!$B:$B,$A107,'Таблиця 1'!$I:$I,"Mi-24",'Таблиця 1'!$L:$L,"НЕ уражено"))</f>
        <v/>
      </c>
    </row>
    <row r="108">
      <c r="A108" s="273">
        <f>IF(A107="","",IF(A107+1&gt;MAX('Таблиця 1'!$B:$B),"",A107+1))</f>
        <v/>
      </c>
      <c r="B108">
        <f>IF($A108="","",COUNTIFS('Таблиця 1'!$B:$B,$A108,'Таблиця 1'!$I:$I,"Mi-8")+COUNTIFS('Таблиця 1'!$B:$B,$A108,'Таблиця 1'!$I:$I,"Mi-24"))</f>
        <v/>
      </c>
      <c r="C108">
        <f>IF($A108="","",COUNTIFS('Таблиця 1'!$B:$B,$A108,'Таблиця 1'!$I:$I,"Mi-8"))</f>
        <v/>
      </c>
      <c r="D108">
        <f>IF($A108="","",COUNTIFS('Таблиця 1'!$B:$B,$A108,'Таблиця 1'!$I:$I,"Mi-24"))</f>
        <v/>
      </c>
      <c r="E108">
        <f>IF($A108="","",SUMIFS('Таблиця 1'!$K:$K,'Таблиця 1'!$B:$B,$A108,'Таблиця 1'!$I:$I,"Mi-8",'Таблиця 1'!$J:$J,"ARS-8")+SUMIFS('Таблиця 1'!$K:$K,'Таблиця 1'!$B:$B,$A108,'Таблиця 1'!$I:$I,"Mi-24",'Таблиця 1'!$J:$J,"ARS-8"))</f>
        <v/>
      </c>
      <c r="F108">
        <f>IF($A108="","",SUMIFS('Таблиця 1'!$K:$K,'Таблиця 1'!$B:$B,$A108,'Таблиця 1'!$I:$I,"Mi-8",'Таблиця 1'!$J:$J,"С-8 ком")+SUMIFS('Таблиця 1'!$K:$K,'Таблиця 1'!$B:$B,$A108,'Таблиця 1'!$I:$I,"Mi-24",'Таблиця 1'!$J:$J,"С-8 ком"))</f>
        <v/>
      </c>
      <c r="G108">
        <f>IF($A108="","",SUMIFS('Таблиця 1'!$K:$K,'Таблиця 1'!$B:$B,$A108,'Таблиця 1'!$I:$I,"Mi-8",'Таблиця 1'!$J:$J,"PC-80")+SUMIFS('Таблиця 1'!$K:$K,'Таблиця 1'!$B:$B,$A108,'Таблиця 1'!$I:$I,"Mi-24",'Таблиця 1'!$J:$J,"PC-80"))</f>
        <v/>
      </c>
      <c r="H108">
        <f>IF($A108="","",SUMIFS('Таблиця 1'!$K:$K,'Таблиця 1'!$B:$B,$A108,'Таблиця 1'!$I:$I,"Mi-8",'Таблиця 1'!$J:$J,"UAR-80")+SUMIFS('Таблиця 1'!$K:$K,'Таблиця 1'!$B:$B,$A108,'Таблиця 1'!$I:$I,"Mi-24",'Таблиця 1'!$J:$J,"UAR-80"))</f>
        <v/>
      </c>
      <c r="I108">
        <f>IF($A108="","",SUMIFS('Таблиця 1'!$K:$K,'Таблиця 1'!$B:$B,$A108,'Таблиця 1'!$I:$I,"Mi-8",'Таблиця 1'!$J:$J,"C-13")+SUMIFS('Таблиця 1'!$K:$K,'Таблиця 1'!$B:$B,$A108,'Таблиця 1'!$I:$I,"Mi-24",'Таблиця 1'!$J:$J,"C-13"))</f>
        <v/>
      </c>
      <c r="J108">
        <f>IF($A108="","",SUMIFS('Таблиця 1'!$K:$K,'Таблиця 1'!$B:$B,$A108,'Таблиця 1'!$I:$I,"Mi-8",'Таблиця 1'!$J:$J,"Hydra-70")+SUMIFS('Таблиця 1'!$K:$K,'Таблиця 1'!$B:$B,$A108,'Таблиця 1'!$I:$I,"Mi-24",'Таблиця 1'!$J:$J,"Hydra-70"))</f>
        <v/>
      </c>
      <c r="K108">
        <f>IF($A108="","",SUMIFS('Таблиця 1'!$K:$K,'Таблиця 1'!$B:$B,$A108,'Таблиця 1'!$I:$I,"Mi-8",'Таблиця 1'!$J:$J,"Thales-70")+SUMIFS('Таблиця 1'!$K:$K,'Таблиця 1'!$B:$B,$A108,'Таблиця 1'!$I:$I,"Mi-24",'Таблиця 1'!$J:$J,"Thales-70"))</f>
        <v/>
      </c>
      <c r="L108">
        <f>IF($A108="","",SUMIFS('Таблиця 1'!$K:$K,'Таблиця 1'!$B:$B,$A108,'Таблиця 1'!$I:$I,"Mi-8",'Таблиця 1'!$J:$J,"Thales-FZ")+SUMIFS('Таблиця 1'!$K:$K,'Таблиця 1'!$B:$B,$A108,'Таблиця 1'!$I:$I,"Mi-24",'Таблиця 1'!$J:$J,"Thales-FZ"))</f>
        <v/>
      </c>
      <c r="M108">
        <f>IF($A108="","",SUMIFS('Таблиця 1'!$K:$K,'Таблиця 1'!$B:$B,$A108,'Таблиця 1'!$I:$I,"Mi-8",'Таблиця 1'!$J:$J,"МК-40")+SUMIFS('Таблиця 1'!$K:$K,'Таблиця 1'!$B:$B,$A108,'Таблиця 1'!$I:$I,"Mi-24",'Таблиця 1'!$J:$J,"МК-40"))</f>
        <v/>
      </c>
      <c r="N108">
        <f>IF($A108="","",SUMIFS('Таблиця 1'!$K:$K,'Таблиця 1'!$B:$B,$A108,'Таблиця 1'!$I:$I,"Mi-8",'Таблиця 1'!$J:$J,"Zuni")+SUMIFS('Таблиця 1'!$K:$K,'Таблиця 1'!$B:$B,$A108,'Таблиця 1'!$I:$I,"Mi-24",'Таблиця 1'!$J:$J,"Zuni"))</f>
        <v/>
      </c>
      <c r="O108">
        <f>IF($A108="","",COUNTIFS('Таблиця 1'!$B:$B,$A108,'Таблиця 1'!$I:$I,"Mi-8",'Таблиця 1'!$L:$L,"Уражено")+COUNTIFS('Таблиця 1'!$B:$B,$A108,'Таблиця 1'!$I:$I,"Mi-24",'Таблиця 1'!$L:$L,"Уражено"))</f>
        <v/>
      </c>
      <c r="P108">
        <f>IF($A108="","",COUNTIFS('Таблиця 1'!$B:$B,$A108,'Таблиця 1'!$I:$I,"Mi-8",'Таблиця 1'!$L:$L,"НЕ уражено")+COUNTIFS('Таблиця 1'!$B:$B,$A108,'Таблиця 1'!$I:$I,"Mi-24",'Таблиця 1'!$L:$L,"НЕ уражено"))</f>
        <v/>
      </c>
    </row>
    <row r="109">
      <c r="A109" s="273">
        <f>IF(A108="","",IF(A108+1&gt;MAX('Таблиця 1'!$B:$B),"",A108+1))</f>
        <v/>
      </c>
      <c r="B109">
        <f>IF($A109="","",COUNTIFS('Таблиця 1'!$B:$B,$A109,'Таблиця 1'!$I:$I,"Mi-8")+COUNTIFS('Таблиця 1'!$B:$B,$A109,'Таблиця 1'!$I:$I,"Mi-24"))</f>
        <v/>
      </c>
      <c r="C109">
        <f>IF($A109="","",COUNTIFS('Таблиця 1'!$B:$B,$A109,'Таблиця 1'!$I:$I,"Mi-8"))</f>
        <v/>
      </c>
      <c r="D109">
        <f>IF($A109="","",COUNTIFS('Таблиця 1'!$B:$B,$A109,'Таблиця 1'!$I:$I,"Mi-24"))</f>
        <v/>
      </c>
      <c r="E109">
        <f>IF($A109="","",SUMIFS('Таблиця 1'!$K:$K,'Таблиця 1'!$B:$B,$A109,'Таблиця 1'!$I:$I,"Mi-8",'Таблиця 1'!$J:$J,"ARS-8")+SUMIFS('Таблиця 1'!$K:$K,'Таблиця 1'!$B:$B,$A109,'Таблиця 1'!$I:$I,"Mi-24",'Таблиця 1'!$J:$J,"ARS-8"))</f>
        <v/>
      </c>
      <c r="F109">
        <f>IF($A109="","",SUMIFS('Таблиця 1'!$K:$K,'Таблиця 1'!$B:$B,$A109,'Таблиця 1'!$I:$I,"Mi-8",'Таблиця 1'!$J:$J,"С-8 ком")+SUMIFS('Таблиця 1'!$K:$K,'Таблиця 1'!$B:$B,$A109,'Таблиця 1'!$I:$I,"Mi-24",'Таблиця 1'!$J:$J,"С-8 ком"))</f>
        <v/>
      </c>
      <c r="G109">
        <f>IF($A109="","",SUMIFS('Таблиця 1'!$K:$K,'Таблиця 1'!$B:$B,$A109,'Таблиця 1'!$I:$I,"Mi-8",'Таблиця 1'!$J:$J,"PC-80")+SUMIFS('Таблиця 1'!$K:$K,'Таблиця 1'!$B:$B,$A109,'Таблиця 1'!$I:$I,"Mi-24",'Таблиця 1'!$J:$J,"PC-80"))</f>
        <v/>
      </c>
      <c r="H109">
        <f>IF($A109="","",SUMIFS('Таблиця 1'!$K:$K,'Таблиця 1'!$B:$B,$A109,'Таблиця 1'!$I:$I,"Mi-8",'Таблиця 1'!$J:$J,"UAR-80")+SUMIFS('Таблиця 1'!$K:$K,'Таблиця 1'!$B:$B,$A109,'Таблиця 1'!$I:$I,"Mi-24",'Таблиця 1'!$J:$J,"UAR-80"))</f>
        <v/>
      </c>
      <c r="I109">
        <f>IF($A109="","",SUMIFS('Таблиця 1'!$K:$K,'Таблиця 1'!$B:$B,$A109,'Таблиця 1'!$I:$I,"Mi-8",'Таблиця 1'!$J:$J,"C-13")+SUMIFS('Таблиця 1'!$K:$K,'Таблиця 1'!$B:$B,$A109,'Таблиця 1'!$I:$I,"Mi-24",'Таблиця 1'!$J:$J,"C-13"))</f>
        <v/>
      </c>
      <c r="J109">
        <f>IF($A109="","",SUMIFS('Таблиця 1'!$K:$K,'Таблиця 1'!$B:$B,$A109,'Таблиця 1'!$I:$I,"Mi-8",'Таблиця 1'!$J:$J,"Hydra-70")+SUMIFS('Таблиця 1'!$K:$K,'Таблиця 1'!$B:$B,$A109,'Таблиця 1'!$I:$I,"Mi-24",'Таблиця 1'!$J:$J,"Hydra-70"))</f>
        <v/>
      </c>
      <c r="K109">
        <f>IF($A109="","",SUMIFS('Таблиця 1'!$K:$K,'Таблиця 1'!$B:$B,$A109,'Таблиця 1'!$I:$I,"Mi-8",'Таблиця 1'!$J:$J,"Thales-70")+SUMIFS('Таблиця 1'!$K:$K,'Таблиця 1'!$B:$B,$A109,'Таблиця 1'!$I:$I,"Mi-24",'Таблиця 1'!$J:$J,"Thales-70"))</f>
        <v/>
      </c>
      <c r="L109">
        <f>IF($A109="","",SUMIFS('Таблиця 1'!$K:$K,'Таблиця 1'!$B:$B,$A109,'Таблиця 1'!$I:$I,"Mi-8",'Таблиця 1'!$J:$J,"Thales-FZ")+SUMIFS('Таблиця 1'!$K:$K,'Таблиця 1'!$B:$B,$A109,'Таблиця 1'!$I:$I,"Mi-24",'Таблиця 1'!$J:$J,"Thales-FZ"))</f>
        <v/>
      </c>
      <c r="M109">
        <f>IF($A109="","",SUMIFS('Таблиця 1'!$K:$K,'Таблиця 1'!$B:$B,$A109,'Таблиця 1'!$I:$I,"Mi-8",'Таблиця 1'!$J:$J,"МК-40")+SUMIFS('Таблиця 1'!$K:$K,'Таблиця 1'!$B:$B,$A109,'Таблиця 1'!$I:$I,"Mi-24",'Таблиця 1'!$J:$J,"МК-40"))</f>
        <v/>
      </c>
      <c r="N109">
        <f>IF($A109="","",SUMIFS('Таблиця 1'!$K:$K,'Таблиця 1'!$B:$B,$A109,'Таблиця 1'!$I:$I,"Mi-8",'Таблиця 1'!$J:$J,"Zuni")+SUMIFS('Таблиця 1'!$K:$K,'Таблиця 1'!$B:$B,$A109,'Таблиця 1'!$I:$I,"Mi-24",'Таблиця 1'!$J:$J,"Zuni"))</f>
        <v/>
      </c>
      <c r="O109">
        <f>IF($A109="","",COUNTIFS('Таблиця 1'!$B:$B,$A109,'Таблиця 1'!$I:$I,"Mi-8",'Таблиця 1'!$L:$L,"Уражено")+COUNTIFS('Таблиця 1'!$B:$B,$A109,'Таблиця 1'!$I:$I,"Mi-24",'Таблиця 1'!$L:$L,"Уражено"))</f>
        <v/>
      </c>
      <c r="P109">
        <f>IF($A109="","",COUNTIFS('Таблиця 1'!$B:$B,$A109,'Таблиця 1'!$I:$I,"Mi-8",'Таблиця 1'!$L:$L,"НЕ уражено")+COUNTIFS('Таблиця 1'!$B:$B,$A109,'Таблиця 1'!$I:$I,"Mi-24",'Таблиця 1'!$L:$L,"НЕ уражено"))</f>
        <v/>
      </c>
    </row>
    <row r="110">
      <c r="A110" s="273">
        <f>IF(A109="","",IF(A109+1&gt;MAX('Таблиця 1'!$B:$B),"",A109+1))</f>
        <v/>
      </c>
      <c r="B110">
        <f>IF($A110="","",COUNTIFS('Таблиця 1'!$B:$B,$A110,'Таблиця 1'!$I:$I,"Mi-8")+COUNTIFS('Таблиця 1'!$B:$B,$A110,'Таблиця 1'!$I:$I,"Mi-24"))</f>
        <v/>
      </c>
      <c r="C110">
        <f>IF($A110="","",COUNTIFS('Таблиця 1'!$B:$B,$A110,'Таблиця 1'!$I:$I,"Mi-8"))</f>
        <v/>
      </c>
      <c r="D110">
        <f>IF($A110="","",COUNTIFS('Таблиця 1'!$B:$B,$A110,'Таблиця 1'!$I:$I,"Mi-24"))</f>
        <v/>
      </c>
      <c r="E110">
        <f>IF($A110="","",SUMIFS('Таблиця 1'!$K:$K,'Таблиця 1'!$B:$B,$A110,'Таблиця 1'!$I:$I,"Mi-8",'Таблиця 1'!$J:$J,"ARS-8")+SUMIFS('Таблиця 1'!$K:$K,'Таблиця 1'!$B:$B,$A110,'Таблиця 1'!$I:$I,"Mi-24",'Таблиця 1'!$J:$J,"ARS-8"))</f>
        <v/>
      </c>
      <c r="F110">
        <f>IF($A110="","",SUMIFS('Таблиця 1'!$K:$K,'Таблиця 1'!$B:$B,$A110,'Таблиця 1'!$I:$I,"Mi-8",'Таблиця 1'!$J:$J,"С-8 ком")+SUMIFS('Таблиця 1'!$K:$K,'Таблиця 1'!$B:$B,$A110,'Таблиця 1'!$I:$I,"Mi-24",'Таблиця 1'!$J:$J,"С-8 ком"))</f>
        <v/>
      </c>
      <c r="G110">
        <f>IF($A110="","",SUMIFS('Таблиця 1'!$K:$K,'Таблиця 1'!$B:$B,$A110,'Таблиця 1'!$I:$I,"Mi-8",'Таблиця 1'!$J:$J,"PC-80")+SUMIFS('Таблиця 1'!$K:$K,'Таблиця 1'!$B:$B,$A110,'Таблиця 1'!$I:$I,"Mi-24",'Таблиця 1'!$J:$J,"PC-80"))</f>
        <v/>
      </c>
      <c r="H110">
        <f>IF($A110="","",SUMIFS('Таблиця 1'!$K:$K,'Таблиця 1'!$B:$B,$A110,'Таблиця 1'!$I:$I,"Mi-8",'Таблиця 1'!$J:$J,"UAR-80")+SUMIFS('Таблиця 1'!$K:$K,'Таблиця 1'!$B:$B,$A110,'Таблиця 1'!$I:$I,"Mi-24",'Таблиця 1'!$J:$J,"UAR-80"))</f>
        <v/>
      </c>
      <c r="I110">
        <f>IF($A110="","",SUMIFS('Таблиця 1'!$K:$K,'Таблиця 1'!$B:$B,$A110,'Таблиця 1'!$I:$I,"Mi-8",'Таблиця 1'!$J:$J,"C-13")+SUMIFS('Таблиця 1'!$K:$K,'Таблиця 1'!$B:$B,$A110,'Таблиця 1'!$I:$I,"Mi-24",'Таблиця 1'!$J:$J,"C-13"))</f>
        <v/>
      </c>
      <c r="J110">
        <f>IF($A110="","",SUMIFS('Таблиця 1'!$K:$K,'Таблиця 1'!$B:$B,$A110,'Таблиця 1'!$I:$I,"Mi-8",'Таблиця 1'!$J:$J,"Hydra-70")+SUMIFS('Таблиця 1'!$K:$K,'Таблиця 1'!$B:$B,$A110,'Таблиця 1'!$I:$I,"Mi-24",'Таблиця 1'!$J:$J,"Hydra-70"))</f>
        <v/>
      </c>
      <c r="K110">
        <f>IF($A110="","",SUMIFS('Таблиця 1'!$K:$K,'Таблиця 1'!$B:$B,$A110,'Таблиця 1'!$I:$I,"Mi-8",'Таблиця 1'!$J:$J,"Thales-70")+SUMIFS('Таблиця 1'!$K:$K,'Таблиця 1'!$B:$B,$A110,'Таблиця 1'!$I:$I,"Mi-24",'Таблиця 1'!$J:$J,"Thales-70"))</f>
        <v/>
      </c>
      <c r="L110">
        <f>IF($A110="","",SUMIFS('Таблиця 1'!$K:$K,'Таблиця 1'!$B:$B,$A110,'Таблиця 1'!$I:$I,"Mi-8",'Таблиця 1'!$J:$J,"Thales-FZ")+SUMIFS('Таблиця 1'!$K:$K,'Таблиця 1'!$B:$B,$A110,'Таблиця 1'!$I:$I,"Mi-24",'Таблиця 1'!$J:$J,"Thales-FZ"))</f>
        <v/>
      </c>
      <c r="M110">
        <f>IF($A110="","",SUMIFS('Таблиця 1'!$K:$K,'Таблиця 1'!$B:$B,$A110,'Таблиця 1'!$I:$I,"Mi-8",'Таблиця 1'!$J:$J,"МК-40")+SUMIFS('Таблиця 1'!$K:$K,'Таблиця 1'!$B:$B,$A110,'Таблиця 1'!$I:$I,"Mi-24",'Таблиця 1'!$J:$J,"МК-40"))</f>
        <v/>
      </c>
      <c r="N110">
        <f>IF($A110="","",SUMIFS('Таблиця 1'!$K:$K,'Таблиця 1'!$B:$B,$A110,'Таблиця 1'!$I:$I,"Mi-8",'Таблиця 1'!$J:$J,"Zuni")+SUMIFS('Таблиця 1'!$K:$K,'Таблиця 1'!$B:$B,$A110,'Таблиця 1'!$I:$I,"Mi-24",'Таблиця 1'!$J:$J,"Zuni"))</f>
        <v/>
      </c>
      <c r="O110">
        <f>IF($A110="","",COUNTIFS('Таблиця 1'!$B:$B,$A110,'Таблиця 1'!$I:$I,"Mi-8",'Таблиця 1'!$L:$L,"Уражено")+COUNTIFS('Таблиця 1'!$B:$B,$A110,'Таблиця 1'!$I:$I,"Mi-24",'Таблиця 1'!$L:$L,"Уражено"))</f>
        <v/>
      </c>
      <c r="P110">
        <f>IF($A110="","",COUNTIFS('Таблиця 1'!$B:$B,$A110,'Таблиця 1'!$I:$I,"Mi-8",'Таблиця 1'!$L:$L,"НЕ уражено")+COUNTIFS('Таблиця 1'!$B:$B,$A110,'Таблиця 1'!$I:$I,"Mi-24",'Таблиця 1'!$L:$L,"НЕ уражено"))</f>
        <v/>
      </c>
    </row>
    <row r="111">
      <c r="A111" s="273">
        <f>IF(A110="","",IF(A110+1&gt;MAX('Таблиця 1'!$B:$B),"",A110+1))</f>
        <v/>
      </c>
      <c r="B111">
        <f>IF($A111="","",COUNTIFS('Таблиця 1'!$B:$B,$A111,'Таблиця 1'!$I:$I,"Mi-8")+COUNTIFS('Таблиця 1'!$B:$B,$A111,'Таблиця 1'!$I:$I,"Mi-24"))</f>
        <v/>
      </c>
      <c r="C111">
        <f>IF($A111="","",COUNTIFS('Таблиця 1'!$B:$B,$A111,'Таблиця 1'!$I:$I,"Mi-8"))</f>
        <v/>
      </c>
      <c r="D111">
        <f>IF($A111="","",COUNTIFS('Таблиця 1'!$B:$B,$A111,'Таблиця 1'!$I:$I,"Mi-24"))</f>
        <v/>
      </c>
      <c r="E111">
        <f>IF($A111="","",SUMIFS('Таблиця 1'!$K:$K,'Таблиця 1'!$B:$B,$A111,'Таблиця 1'!$I:$I,"Mi-8",'Таблиця 1'!$J:$J,"ARS-8")+SUMIFS('Таблиця 1'!$K:$K,'Таблиця 1'!$B:$B,$A111,'Таблиця 1'!$I:$I,"Mi-24",'Таблиця 1'!$J:$J,"ARS-8"))</f>
        <v/>
      </c>
      <c r="F111">
        <f>IF($A111="","",SUMIFS('Таблиця 1'!$K:$K,'Таблиця 1'!$B:$B,$A111,'Таблиця 1'!$I:$I,"Mi-8",'Таблиця 1'!$J:$J,"С-8 ком")+SUMIFS('Таблиця 1'!$K:$K,'Таблиця 1'!$B:$B,$A111,'Таблиця 1'!$I:$I,"Mi-24",'Таблиця 1'!$J:$J,"С-8 ком"))</f>
        <v/>
      </c>
      <c r="G111">
        <f>IF($A111="","",SUMIFS('Таблиця 1'!$K:$K,'Таблиця 1'!$B:$B,$A111,'Таблиця 1'!$I:$I,"Mi-8",'Таблиця 1'!$J:$J,"PC-80")+SUMIFS('Таблиця 1'!$K:$K,'Таблиця 1'!$B:$B,$A111,'Таблиця 1'!$I:$I,"Mi-24",'Таблиця 1'!$J:$J,"PC-80"))</f>
        <v/>
      </c>
      <c r="H111">
        <f>IF($A111="","",SUMIFS('Таблиця 1'!$K:$K,'Таблиця 1'!$B:$B,$A111,'Таблиця 1'!$I:$I,"Mi-8",'Таблиця 1'!$J:$J,"UAR-80")+SUMIFS('Таблиця 1'!$K:$K,'Таблиця 1'!$B:$B,$A111,'Таблиця 1'!$I:$I,"Mi-24",'Таблиця 1'!$J:$J,"UAR-80"))</f>
        <v/>
      </c>
      <c r="I111">
        <f>IF($A111="","",SUMIFS('Таблиця 1'!$K:$K,'Таблиця 1'!$B:$B,$A111,'Таблиця 1'!$I:$I,"Mi-8",'Таблиця 1'!$J:$J,"C-13")+SUMIFS('Таблиця 1'!$K:$K,'Таблиця 1'!$B:$B,$A111,'Таблиця 1'!$I:$I,"Mi-24",'Таблиця 1'!$J:$J,"C-13"))</f>
        <v/>
      </c>
      <c r="J111">
        <f>IF($A111="","",SUMIFS('Таблиця 1'!$K:$K,'Таблиця 1'!$B:$B,$A111,'Таблиця 1'!$I:$I,"Mi-8",'Таблиця 1'!$J:$J,"Hydra-70")+SUMIFS('Таблиця 1'!$K:$K,'Таблиця 1'!$B:$B,$A111,'Таблиця 1'!$I:$I,"Mi-24",'Таблиця 1'!$J:$J,"Hydra-70"))</f>
        <v/>
      </c>
      <c r="K111">
        <f>IF($A111="","",SUMIFS('Таблиця 1'!$K:$K,'Таблиця 1'!$B:$B,$A111,'Таблиця 1'!$I:$I,"Mi-8",'Таблиця 1'!$J:$J,"Thales-70")+SUMIFS('Таблиця 1'!$K:$K,'Таблиця 1'!$B:$B,$A111,'Таблиця 1'!$I:$I,"Mi-24",'Таблиця 1'!$J:$J,"Thales-70"))</f>
        <v/>
      </c>
      <c r="L111">
        <f>IF($A111="","",SUMIFS('Таблиця 1'!$K:$K,'Таблиця 1'!$B:$B,$A111,'Таблиця 1'!$I:$I,"Mi-8",'Таблиця 1'!$J:$J,"Thales-FZ")+SUMIFS('Таблиця 1'!$K:$K,'Таблиця 1'!$B:$B,$A111,'Таблиця 1'!$I:$I,"Mi-24",'Таблиця 1'!$J:$J,"Thales-FZ"))</f>
        <v/>
      </c>
      <c r="M111">
        <f>IF($A111="","",SUMIFS('Таблиця 1'!$K:$K,'Таблиця 1'!$B:$B,$A111,'Таблиця 1'!$I:$I,"Mi-8",'Таблиця 1'!$J:$J,"МК-40")+SUMIFS('Таблиця 1'!$K:$K,'Таблиця 1'!$B:$B,$A111,'Таблиця 1'!$I:$I,"Mi-24",'Таблиця 1'!$J:$J,"МК-40"))</f>
        <v/>
      </c>
      <c r="N111">
        <f>IF($A111="","",SUMIFS('Таблиця 1'!$K:$K,'Таблиця 1'!$B:$B,$A111,'Таблиця 1'!$I:$I,"Mi-8",'Таблиця 1'!$J:$J,"Zuni")+SUMIFS('Таблиця 1'!$K:$K,'Таблиця 1'!$B:$B,$A111,'Таблиця 1'!$I:$I,"Mi-24",'Таблиця 1'!$J:$J,"Zuni"))</f>
        <v/>
      </c>
      <c r="O111">
        <f>IF($A111="","",COUNTIFS('Таблиця 1'!$B:$B,$A111,'Таблиця 1'!$I:$I,"Mi-8",'Таблиця 1'!$L:$L,"Уражено")+COUNTIFS('Таблиця 1'!$B:$B,$A111,'Таблиця 1'!$I:$I,"Mi-24",'Таблиця 1'!$L:$L,"Уражено"))</f>
        <v/>
      </c>
      <c r="P111">
        <f>IF($A111="","",COUNTIFS('Таблиця 1'!$B:$B,$A111,'Таблиця 1'!$I:$I,"Mi-8",'Таблиця 1'!$L:$L,"НЕ уражено")+COUNTIFS('Таблиця 1'!$B:$B,$A111,'Таблиця 1'!$I:$I,"Mi-24",'Таблиця 1'!$L:$L,"НЕ уражено"))</f>
        <v/>
      </c>
    </row>
    <row r="112">
      <c r="A112" s="273">
        <f>IF(A111="","",IF(A111+1&gt;MAX('Таблиця 1'!$B:$B),"",A111+1))</f>
        <v/>
      </c>
      <c r="B112">
        <f>IF($A112="","",COUNTIFS('Таблиця 1'!$B:$B,$A112,'Таблиця 1'!$I:$I,"Mi-8")+COUNTIFS('Таблиця 1'!$B:$B,$A112,'Таблиця 1'!$I:$I,"Mi-24"))</f>
        <v/>
      </c>
      <c r="C112">
        <f>IF($A112="","",COUNTIFS('Таблиця 1'!$B:$B,$A112,'Таблиця 1'!$I:$I,"Mi-8"))</f>
        <v/>
      </c>
      <c r="D112">
        <f>IF($A112="","",COUNTIFS('Таблиця 1'!$B:$B,$A112,'Таблиця 1'!$I:$I,"Mi-24"))</f>
        <v/>
      </c>
      <c r="E112">
        <f>IF($A112="","",SUMIFS('Таблиця 1'!$K:$K,'Таблиця 1'!$B:$B,$A112,'Таблиця 1'!$I:$I,"Mi-8",'Таблиця 1'!$J:$J,"ARS-8")+SUMIFS('Таблиця 1'!$K:$K,'Таблиця 1'!$B:$B,$A112,'Таблиця 1'!$I:$I,"Mi-24",'Таблиця 1'!$J:$J,"ARS-8"))</f>
        <v/>
      </c>
      <c r="F112">
        <f>IF($A112="","",SUMIFS('Таблиця 1'!$K:$K,'Таблиця 1'!$B:$B,$A112,'Таблиця 1'!$I:$I,"Mi-8",'Таблиця 1'!$J:$J,"С-8 ком")+SUMIFS('Таблиця 1'!$K:$K,'Таблиця 1'!$B:$B,$A112,'Таблиця 1'!$I:$I,"Mi-24",'Таблиця 1'!$J:$J,"С-8 ком"))</f>
        <v/>
      </c>
      <c r="G112">
        <f>IF($A112="","",SUMIFS('Таблиця 1'!$K:$K,'Таблиця 1'!$B:$B,$A112,'Таблиця 1'!$I:$I,"Mi-8",'Таблиця 1'!$J:$J,"PC-80")+SUMIFS('Таблиця 1'!$K:$K,'Таблиця 1'!$B:$B,$A112,'Таблиця 1'!$I:$I,"Mi-24",'Таблиця 1'!$J:$J,"PC-80"))</f>
        <v/>
      </c>
      <c r="H112">
        <f>IF($A112="","",SUMIFS('Таблиця 1'!$K:$K,'Таблиця 1'!$B:$B,$A112,'Таблиця 1'!$I:$I,"Mi-8",'Таблиця 1'!$J:$J,"UAR-80")+SUMIFS('Таблиця 1'!$K:$K,'Таблиця 1'!$B:$B,$A112,'Таблиця 1'!$I:$I,"Mi-24",'Таблиця 1'!$J:$J,"UAR-80"))</f>
        <v/>
      </c>
      <c r="I112">
        <f>IF($A112="","",SUMIFS('Таблиця 1'!$K:$K,'Таблиця 1'!$B:$B,$A112,'Таблиця 1'!$I:$I,"Mi-8",'Таблиця 1'!$J:$J,"C-13")+SUMIFS('Таблиця 1'!$K:$K,'Таблиця 1'!$B:$B,$A112,'Таблиця 1'!$I:$I,"Mi-24",'Таблиця 1'!$J:$J,"C-13"))</f>
        <v/>
      </c>
      <c r="J112">
        <f>IF($A112="","",SUMIFS('Таблиця 1'!$K:$K,'Таблиця 1'!$B:$B,$A112,'Таблиця 1'!$I:$I,"Mi-8",'Таблиця 1'!$J:$J,"Hydra-70")+SUMIFS('Таблиця 1'!$K:$K,'Таблиця 1'!$B:$B,$A112,'Таблиця 1'!$I:$I,"Mi-24",'Таблиця 1'!$J:$J,"Hydra-70"))</f>
        <v/>
      </c>
      <c r="K112">
        <f>IF($A112="","",SUMIFS('Таблиця 1'!$K:$K,'Таблиця 1'!$B:$B,$A112,'Таблиця 1'!$I:$I,"Mi-8",'Таблиця 1'!$J:$J,"Thales-70")+SUMIFS('Таблиця 1'!$K:$K,'Таблиця 1'!$B:$B,$A112,'Таблиця 1'!$I:$I,"Mi-24",'Таблиця 1'!$J:$J,"Thales-70"))</f>
        <v/>
      </c>
      <c r="L112">
        <f>IF($A112="","",SUMIFS('Таблиця 1'!$K:$K,'Таблиця 1'!$B:$B,$A112,'Таблиця 1'!$I:$I,"Mi-8",'Таблиця 1'!$J:$J,"Thales-FZ")+SUMIFS('Таблиця 1'!$K:$K,'Таблиця 1'!$B:$B,$A112,'Таблиця 1'!$I:$I,"Mi-24",'Таблиця 1'!$J:$J,"Thales-FZ"))</f>
        <v/>
      </c>
      <c r="M112">
        <f>IF($A112="","",SUMIFS('Таблиця 1'!$K:$K,'Таблиця 1'!$B:$B,$A112,'Таблиця 1'!$I:$I,"Mi-8",'Таблиця 1'!$J:$J,"МК-40")+SUMIFS('Таблиця 1'!$K:$K,'Таблиця 1'!$B:$B,$A112,'Таблиця 1'!$I:$I,"Mi-24",'Таблиця 1'!$J:$J,"МК-40"))</f>
        <v/>
      </c>
      <c r="N112">
        <f>IF($A112="","",SUMIFS('Таблиця 1'!$K:$K,'Таблиця 1'!$B:$B,$A112,'Таблиця 1'!$I:$I,"Mi-8",'Таблиця 1'!$J:$J,"Zuni")+SUMIFS('Таблиця 1'!$K:$K,'Таблиця 1'!$B:$B,$A112,'Таблиця 1'!$I:$I,"Mi-24",'Таблиця 1'!$J:$J,"Zuni"))</f>
        <v/>
      </c>
      <c r="O112">
        <f>IF($A112="","",COUNTIFS('Таблиця 1'!$B:$B,$A112,'Таблиця 1'!$I:$I,"Mi-8",'Таблиця 1'!$L:$L,"Уражено")+COUNTIFS('Таблиця 1'!$B:$B,$A112,'Таблиця 1'!$I:$I,"Mi-24",'Таблиця 1'!$L:$L,"Уражено"))</f>
        <v/>
      </c>
      <c r="P112">
        <f>IF($A112="","",COUNTIFS('Таблиця 1'!$B:$B,$A112,'Таблиця 1'!$I:$I,"Mi-8",'Таблиця 1'!$L:$L,"НЕ уражено")+COUNTIFS('Таблиця 1'!$B:$B,$A112,'Таблиця 1'!$I:$I,"Mi-24",'Таблиця 1'!$L:$L,"НЕ уражено"))</f>
        <v/>
      </c>
    </row>
    <row r="113">
      <c r="A113" s="273">
        <f>IF(A112="","",IF(A112+1&gt;MAX('Таблиця 1'!$B:$B),"",A112+1))</f>
        <v/>
      </c>
      <c r="B113">
        <f>IF($A113="","",COUNTIFS('Таблиця 1'!$B:$B,$A113,'Таблиця 1'!$I:$I,"Mi-8")+COUNTIFS('Таблиця 1'!$B:$B,$A113,'Таблиця 1'!$I:$I,"Mi-24"))</f>
        <v/>
      </c>
      <c r="C113">
        <f>IF($A113="","",COUNTIFS('Таблиця 1'!$B:$B,$A113,'Таблиця 1'!$I:$I,"Mi-8"))</f>
        <v/>
      </c>
      <c r="D113">
        <f>IF($A113="","",COUNTIFS('Таблиця 1'!$B:$B,$A113,'Таблиця 1'!$I:$I,"Mi-24"))</f>
        <v/>
      </c>
      <c r="E113">
        <f>IF($A113="","",SUMIFS('Таблиця 1'!$K:$K,'Таблиця 1'!$B:$B,$A113,'Таблиця 1'!$I:$I,"Mi-8",'Таблиця 1'!$J:$J,"ARS-8")+SUMIFS('Таблиця 1'!$K:$K,'Таблиця 1'!$B:$B,$A113,'Таблиця 1'!$I:$I,"Mi-24",'Таблиця 1'!$J:$J,"ARS-8"))</f>
        <v/>
      </c>
      <c r="F113">
        <f>IF($A113="","",SUMIFS('Таблиця 1'!$K:$K,'Таблиця 1'!$B:$B,$A113,'Таблиця 1'!$I:$I,"Mi-8",'Таблиця 1'!$J:$J,"С-8 ком")+SUMIFS('Таблиця 1'!$K:$K,'Таблиця 1'!$B:$B,$A113,'Таблиця 1'!$I:$I,"Mi-24",'Таблиця 1'!$J:$J,"С-8 ком"))</f>
        <v/>
      </c>
      <c r="G113">
        <f>IF($A113="","",SUMIFS('Таблиця 1'!$K:$K,'Таблиця 1'!$B:$B,$A113,'Таблиця 1'!$I:$I,"Mi-8",'Таблиця 1'!$J:$J,"PC-80")+SUMIFS('Таблиця 1'!$K:$K,'Таблиця 1'!$B:$B,$A113,'Таблиця 1'!$I:$I,"Mi-24",'Таблиця 1'!$J:$J,"PC-80"))</f>
        <v/>
      </c>
      <c r="H113">
        <f>IF($A113="","",SUMIFS('Таблиця 1'!$K:$K,'Таблиця 1'!$B:$B,$A113,'Таблиця 1'!$I:$I,"Mi-8",'Таблиця 1'!$J:$J,"UAR-80")+SUMIFS('Таблиця 1'!$K:$K,'Таблиця 1'!$B:$B,$A113,'Таблиця 1'!$I:$I,"Mi-24",'Таблиця 1'!$J:$J,"UAR-80"))</f>
        <v/>
      </c>
      <c r="I113">
        <f>IF($A113="","",SUMIFS('Таблиця 1'!$K:$K,'Таблиця 1'!$B:$B,$A113,'Таблиця 1'!$I:$I,"Mi-8",'Таблиця 1'!$J:$J,"C-13")+SUMIFS('Таблиця 1'!$K:$K,'Таблиця 1'!$B:$B,$A113,'Таблиця 1'!$I:$I,"Mi-24",'Таблиця 1'!$J:$J,"C-13"))</f>
        <v/>
      </c>
      <c r="J113">
        <f>IF($A113="","",SUMIFS('Таблиця 1'!$K:$K,'Таблиця 1'!$B:$B,$A113,'Таблиця 1'!$I:$I,"Mi-8",'Таблиця 1'!$J:$J,"Hydra-70")+SUMIFS('Таблиця 1'!$K:$K,'Таблиця 1'!$B:$B,$A113,'Таблиця 1'!$I:$I,"Mi-24",'Таблиця 1'!$J:$J,"Hydra-70"))</f>
        <v/>
      </c>
      <c r="K113">
        <f>IF($A113="","",SUMIFS('Таблиця 1'!$K:$K,'Таблиця 1'!$B:$B,$A113,'Таблиця 1'!$I:$I,"Mi-8",'Таблиця 1'!$J:$J,"Thales-70")+SUMIFS('Таблиця 1'!$K:$K,'Таблиця 1'!$B:$B,$A113,'Таблиця 1'!$I:$I,"Mi-24",'Таблиця 1'!$J:$J,"Thales-70"))</f>
        <v/>
      </c>
      <c r="L113">
        <f>IF($A113="","",SUMIFS('Таблиця 1'!$K:$K,'Таблиця 1'!$B:$B,$A113,'Таблиця 1'!$I:$I,"Mi-8",'Таблиця 1'!$J:$J,"Thales-FZ")+SUMIFS('Таблиця 1'!$K:$K,'Таблиця 1'!$B:$B,$A113,'Таблиця 1'!$I:$I,"Mi-24",'Таблиця 1'!$J:$J,"Thales-FZ"))</f>
        <v/>
      </c>
      <c r="M113">
        <f>IF($A113="","",SUMIFS('Таблиця 1'!$K:$K,'Таблиця 1'!$B:$B,$A113,'Таблиця 1'!$I:$I,"Mi-8",'Таблиця 1'!$J:$J,"МК-40")+SUMIFS('Таблиця 1'!$K:$K,'Таблиця 1'!$B:$B,$A113,'Таблиця 1'!$I:$I,"Mi-24",'Таблиця 1'!$J:$J,"МК-40"))</f>
        <v/>
      </c>
      <c r="N113">
        <f>IF($A113="","",SUMIFS('Таблиця 1'!$K:$K,'Таблиця 1'!$B:$B,$A113,'Таблиця 1'!$I:$I,"Mi-8",'Таблиця 1'!$J:$J,"Zuni")+SUMIFS('Таблиця 1'!$K:$K,'Таблиця 1'!$B:$B,$A113,'Таблиця 1'!$I:$I,"Mi-24",'Таблиця 1'!$J:$J,"Zuni"))</f>
        <v/>
      </c>
      <c r="O113">
        <f>IF($A113="","",COUNTIFS('Таблиця 1'!$B:$B,$A113,'Таблиця 1'!$I:$I,"Mi-8",'Таблиця 1'!$L:$L,"Уражено")+COUNTIFS('Таблиця 1'!$B:$B,$A113,'Таблиця 1'!$I:$I,"Mi-24",'Таблиця 1'!$L:$L,"Уражено"))</f>
        <v/>
      </c>
      <c r="P113">
        <f>IF($A113="","",COUNTIFS('Таблиця 1'!$B:$B,$A113,'Таблиця 1'!$I:$I,"Mi-8",'Таблиця 1'!$L:$L,"НЕ уражено")+COUNTIFS('Таблиця 1'!$B:$B,$A113,'Таблиця 1'!$I:$I,"Mi-24",'Таблиця 1'!$L:$L,"НЕ уражено"))</f>
        <v/>
      </c>
    </row>
    <row r="114">
      <c r="A114" s="273">
        <f>IF(A113="","",IF(A113+1&gt;MAX('Таблиця 1'!$B:$B),"",A113+1))</f>
        <v/>
      </c>
      <c r="B114">
        <f>IF($A114="","",COUNTIFS('Таблиця 1'!$B:$B,$A114,'Таблиця 1'!$I:$I,"Mi-8")+COUNTIFS('Таблиця 1'!$B:$B,$A114,'Таблиця 1'!$I:$I,"Mi-24"))</f>
        <v/>
      </c>
      <c r="C114">
        <f>IF($A114="","",COUNTIFS('Таблиця 1'!$B:$B,$A114,'Таблиця 1'!$I:$I,"Mi-8"))</f>
        <v/>
      </c>
      <c r="D114">
        <f>IF($A114="","",COUNTIFS('Таблиця 1'!$B:$B,$A114,'Таблиця 1'!$I:$I,"Mi-24"))</f>
        <v/>
      </c>
      <c r="E114">
        <f>IF($A114="","",SUMIFS('Таблиця 1'!$K:$K,'Таблиця 1'!$B:$B,$A114,'Таблиця 1'!$I:$I,"Mi-8",'Таблиця 1'!$J:$J,"ARS-8")+SUMIFS('Таблиця 1'!$K:$K,'Таблиця 1'!$B:$B,$A114,'Таблиця 1'!$I:$I,"Mi-24",'Таблиця 1'!$J:$J,"ARS-8"))</f>
        <v/>
      </c>
      <c r="F114">
        <f>IF($A114="","",SUMIFS('Таблиця 1'!$K:$K,'Таблиця 1'!$B:$B,$A114,'Таблиця 1'!$I:$I,"Mi-8",'Таблиця 1'!$J:$J,"С-8 ком")+SUMIFS('Таблиця 1'!$K:$K,'Таблиця 1'!$B:$B,$A114,'Таблиця 1'!$I:$I,"Mi-24",'Таблиця 1'!$J:$J,"С-8 ком"))</f>
        <v/>
      </c>
      <c r="G114">
        <f>IF($A114="","",SUMIFS('Таблиця 1'!$K:$K,'Таблиця 1'!$B:$B,$A114,'Таблиця 1'!$I:$I,"Mi-8",'Таблиця 1'!$J:$J,"PC-80")+SUMIFS('Таблиця 1'!$K:$K,'Таблиця 1'!$B:$B,$A114,'Таблиця 1'!$I:$I,"Mi-24",'Таблиця 1'!$J:$J,"PC-80"))</f>
        <v/>
      </c>
      <c r="H114">
        <f>IF($A114="","",SUMIFS('Таблиця 1'!$K:$K,'Таблиця 1'!$B:$B,$A114,'Таблиця 1'!$I:$I,"Mi-8",'Таблиця 1'!$J:$J,"UAR-80")+SUMIFS('Таблиця 1'!$K:$K,'Таблиця 1'!$B:$B,$A114,'Таблиця 1'!$I:$I,"Mi-24",'Таблиця 1'!$J:$J,"UAR-80"))</f>
        <v/>
      </c>
      <c r="I114">
        <f>IF($A114="","",SUMIFS('Таблиця 1'!$K:$K,'Таблиця 1'!$B:$B,$A114,'Таблиця 1'!$I:$I,"Mi-8",'Таблиця 1'!$J:$J,"C-13")+SUMIFS('Таблиця 1'!$K:$K,'Таблиця 1'!$B:$B,$A114,'Таблиця 1'!$I:$I,"Mi-24",'Таблиця 1'!$J:$J,"C-13"))</f>
        <v/>
      </c>
      <c r="J114">
        <f>IF($A114="","",SUMIFS('Таблиця 1'!$K:$K,'Таблиця 1'!$B:$B,$A114,'Таблиця 1'!$I:$I,"Mi-8",'Таблиця 1'!$J:$J,"Hydra-70")+SUMIFS('Таблиця 1'!$K:$K,'Таблиця 1'!$B:$B,$A114,'Таблиця 1'!$I:$I,"Mi-24",'Таблиця 1'!$J:$J,"Hydra-70"))</f>
        <v/>
      </c>
      <c r="K114">
        <f>IF($A114="","",SUMIFS('Таблиця 1'!$K:$K,'Таблиця 1'!$B:$B,$A114,'Таблиця 1'!$I:$I,"Mi-8",'Таблиця 1'!$J:$J,"Thales-70")+SUMIFS('Таблиця 1'!$K:$K,'Таблиця 1'!$B:$B,$A114,'Таблиця 1'!$I:$I,"Mi-24",'Таблиця 1'!$J:$J,"Thales-70"))</f>
        <v/>
      </c>
      <c r="L114">
        <f>IF($A114="","",SUMIFS('Таблиця 1'!$K:$K,'Таблиця 1'!$B:$B,$A114,'Таблиця 1'!$I:$I,"Mi-8",'Таблиця 1'!$J:$J,"Thales-FZ")+SUMIFS('Таблиця 1'!$K:$K,'Таблиця 1'!$B:$B,$A114,'Таблиця 1'!$I:$I,"Mi-24",'Таблиця 1'!$J:$J,"Thales-FZ"))</f>
        <v/>
      </c>
      <c r="M114">
        <f>IF($A114="","",SUMIFS('Таблиця 1'!$K:$K,'Таблиця 1'!$B:$B,$A114,'Таблиця 1'!$I:$I,"Mi-8",'Таблиця 1'!$J:$J,"МК-40")+SUMIFS('Таблиця 1'!$K:$K,'Таблиця 1'!$B:$B,$A114,'Таблиця 1'!$I:$I,"Mi-24",'Таблиця 1'!$J:$J,"МК-40"))</f>
        <v/>
      </c>
      <c r="N114">
        <f>IF($A114="","",SUMIFS('Таблиця 1'!$K:$K,'Таблиця 1'!$B:$B,$A114,'Таблиця 1'!$I:$I,"Mi-8",'Таблиця 1'!$J:$J,"Zuni")+SUMIFS('Таблиця 1'!$K:$K,'Таблиця 1'!$B:$B,$A114,'Таблиця 1'!$I:$I,"Mi-24",'Таблиця 1'!$J:$J,"Zuni"))</f>
        <v/>
      </c>
      <c r="O114">
        <f>IF($A114="","",COUNTIFS('Таблиця 1'!$B:$B,$A114,'Таблиця 1'!$I:$I,"Mi-8",'Таблиця 1'!$L:$L,"Уражено")+COUNTIFS('Таблиця 1'!$B:$B,$A114,'Таблиця 1'!$I:$I,"Mi-24",'Таблиця 1'!$L:$L,"Уражено"))</f>
        <v/>
      </c>
      <c r="P114">
        <f>IF($A114="","",COUNTIFS('Таблиця 1'!$B:$B,$A114,'Таблиця 1'!$I:$I,"Mi-8",'Таблиця 1'!$L:$L,"НЕ уражено")+COUNTIFS('Таблиця 1'!$B:$B,$A114,'Таблиця 1'!$I:$I,"Mi-24",'Таблиця 1'!$L:$L,"НЕ уражено"))</f>
        <v/>
      </c>
    </row>
    <row r="115">
      <c r="A115" s="273">
        <f>IF(A114="","",IF(A114+1&gt;MAX('Таблиця 1'!$B:$B),"",A114+1))</f>
        <v/>
      </c>
      <c r="B115">
        <f>IF($A115="","",COUNTIFS('Таблиця 1'!$B:$B,$A115,'Таблиця 1'!$I:$I,"Mi-8")+COUNTIFS('Таблиця 1'!$B:$B,$A115,'Таблиця 1'!$I:$I,"Mi-24"))</f>
        <v/>
      </c>
      <c r="C115">
        <f>IF($A115="","",COUNTIFS('Таблиця 1'!$B:$B,$A115,'Таблиця 1'!$I:$I,"Mi-8"))</f>
        <v/>
      </c>
      <c r="D115">
        <f>IF($A115="","",COUNTIFS('Таблиця 1'!$B:$B,$A115,'Таблиця 1'!$I:$I,"Mi-24"))</f>
        <v/>
      </c>
      <c r="E115">
        <f>IF($A115="","",SUMIFS('Таблиця 1'!$K:$K,'Таблиця 1'!$B:$B,$A115,'Таблиця 1'!$I:$I,"Mi-8",'Таблиця 1'!$J:$J,"ARS-8")+SUMIFS('Таблиця 1'!$K:$K,'Таблиця 1'!$B:$B,$A115,'Таблиця 1'!$I:$I,"Mi-24",'Таблиця 1'!$J:$J,"ARS-8"))</f>
        <v/>
      </c>
      <c r="F115">
        <f>IF($A115="","",SUMIFS('Таблиця 1'!$K:$K,'Таблиця 1'!$B:$B,$A115,'Таблиця 1'!$I:$I,"Mi-8",'Таблиця 1'!$J:$J,"С-8 ком")+SUMIFS('Таблиця 1'!$K:$K,'Таблиця 1'!$B:$B,$A115,'Таблиця 1'!$I:$I,"Mi-24",'Таблиця 1'!$J:$J,"С-8 ком"))</f>
        <v/>
      </c>
      <c r="G115">
        <f>IF($A115="","",SUMIFS('Таблиця 1'!$K:$K,'Таблиця 1'!$B:$B,$A115,'Таблиця 1'!$I:$I,"Mi-8",'Таблиця 1'!$J:$J,"PC-80")+SUMIFS('Таблиця 1'!$K:$K,'Таблиця 1'!$B:$B,$A115,'Таблиця 1'!$I:$I,"Mi-24",'Таблиця 1'!$J:$J,"PC-80"))</f>
        <v/>
      </c>
      <c r="H115">
        <f>IF($A115="","",SUMIFS('Таблиця 1'!$K:$K,'Таблиця 1'!$B:$B,$A115,'Таблиця 1'!$I:$I,"Mi-8",'Таблиця 1'!$J:$J,"UAR-80")+SUMIFS('Таблиця 1'!$K:$K,'Таблиця 1'!$B:$B,$A115,'Таблиця 1'!$I:$I,"Mi-24",'Таблиця 1'!$J:$J,"UAR-80"))</f>
        <v/>
      </c>
      <c r="I115">
        <f>IF($A115="","",SUMIFS('Таблиця 1'!$K:$K,'Таблиця 1'!$B:$B,$A115,'Таблиця 1'!$I:$I,"Mi-8",'Таблиця 1'!$J:$J,"C-13")+SUMIFS('Таблиця 1'!$K:$K,'Таблиця 1'!$B:$B,$A115,'Таблиця 1'!$I:$I,"Mi-24",'Таблиця 1'!$J:$J,"C-13"))</f>
        <v/>
      </c>
      <c r="J115">
        <f>IF($A115="","",SUMIFS('Таблиця 1'!$K:$K,'Таблиця 1'!$B:$B,$A115,'Таблиця 1'!$I:$I,"Mi-8",'Таблиця 1'!$J:$J,"Hydra-70")+SUMIFS('Таблиця 1'!$K:$K,'Таблиця 1'!$B:$B,$A115,'Таблиця 1'!$I:$I,"Mi-24",'Таблиця 1'!$J:$J,"Hydra-70"))</f>
        <v/>
      </c>
      <c r="K115">
        <f>IF($A115="","",SUMIFS('Таблиця 1'!$K:$K,'Таблиця 1'!$B:$B,$A115,'Таблиця 1'!$I:$I,"Mi-8",'Таблиця 1'!$J:$J,"Thales-70")+SUMIFS('Таблиця 1'!$K:$K,'Таблиця 1'!$B:$B,$A115,'Таблиця 1'!$I:$I,"Mi-24",'Таблиця 1'!$J:$J,"Thales-70"))</f>
        <v/>
      </c>
      <c r="L115">
        <f>IF($A115="","",SUMIFS('Таблиця 1'!$K:$K,'Таблиця 1'!$B:$B,$A115,'Таблиця 1'!$I:$I,"Mi-8",'Таблиця 1'!$J:$J,"Thales-FZ")+SUMIFS('Таблиця 1'!$K:$K,'Таблиця 1'!$B:$B,$A115,'Таблиця 1'!$I:$I,"Mi-24",'Таблиця 1'!$J:$J,"Thales-FZ"))</f>
        <v/>
      </c>
      <c r="M115">
        <f>IF($A115="","",SUMIFS('Таблиця 1'!$K:$K,'Таблиця 1'!$B:$B,$A115,'Таблиця 1'!$I:$I,"Mi-8",'Таблиця 1'!$J:$J,"МК-40")+SUMIFS('Таблиця 1'!$K:$K,'Таблиця 1'!$B:$B,$A115,'Таблиця 1'!$I:$I,"Mi-24",'Таблиця 1'!$J:$J,"МК-40"))</f>
        <v/>
      </c>
      <c r="N115">
        <f>IF($A115="","",SUMIFS('Таблиця 1'!$K:$K,'Таблиця 1'!$B:$B,$A115,'Таблиця 1'!$I:$I,"Mi-8",'Таблиця 1'!$J:$J,"Zuni")+SUMIFS('Таблиця 1'!$K:$K,'Таблиця 1'!$B:$B,$A115,'Таблиця 1'!$I:$I,"Mi-24",'Таблиця 1'!$J:$J,"Zuni"))</f>
        <v/>
      </c>
      <c r="O115">
        <f>IF($A115="","",COUNTIFS('Таблиця 1'!$B:$B,$A115,'Таблиця 1'!$I:$I,"Mi-8",'Таблиця 1'!$L:$L,"Уражено")+COUNTIFS('Таблиця 1'!$B:$B,$A115,'Таблиця 1'!$I:$I,"Mi-24",'Таблиця 1'!$L:$L,"Уражено"))</f>
        <v/>
      </c>
      <c r="P115">
        <f>IF($A115="","",COUNTIFS('Таблиця 1'!$B:$B,$A115,'Таблиця 1'!$I:$I,"Mi-8",'Таблиця 1'!$L:$L,"НЕ уражено")+COUNTIFS('Таблиця 1'!$B:$B,$A115,'Таблиця 1'!$I:$I,"Mi-24",'Таблиця 1'!$L:$L,"НЕ уражено"))</f>
        <v/>
      </c>
    </row>
    <row r="116">
      <c r="A116" s="273">
        <f>IF(A115="","",IF(A115+1&gt;MAX('Таблиця 1'!$B:$B),"",A115+1))</f>
        <v/>
      </c>
      <c r="B116">
        <f>IF($A116="","",COUNTIFS('Таблиця 1'!$B:$B,$A116,'Таблиця 1'!$I:$I,"Mi-8")+COUNTIFS('Таблиця 1'!$B:$B,$A116,'Таблиця 1'!$I:$I,"Mi-24"))</f>
        <v/>
      </c>
      <c r="C116">
        <f>IF($A116="","",COUNTIFS('Таблиця 1'!$B:$B,$A116,'Таблиця 1'!$I:$I,"Mi-8"))</f>
        <v/>
      </c>
      <c r="D116">
        <f>IF($A116="","",COUNTIFS('Таблиця 1'!$B:$B,$A116,'Таблиця 1'!$I:$I,"Mi-24"))</f>
        <v/>
      </c>
      <c r="E116">
        <f>IF($A116="","",SUMIFS('Таблиця 1'!$K:$K,'Таблиця 1'!$B:$B,$A116,'Таблиця 1'!$I:$I,"Mi-8",'Таблиця 1'!$J:$J,"ARS-8")+SUMIFS('Таблиця 1'!$K:$K,'Таблиця 1'!$B:$B,$A116,'Таблиця 1'!$I:$I,"Mi-24",'Таблиця 1'!$J:$J,"ARS-8"))</f>
        <v/>
      </c>
      <c r="F116">
        <f>IF($A116="","",SUMIFS('Таблиця 1'!$K:$K,'Таблиця 1'!$B:$B,$A116,'Таблиця 1'!$I:$I,"Mi-8",'Таблиця 1'!$J:$J,"С-8 ком")+SUMIFS('Таблиця 1'!$K:$K,'Таблиця 1'!$B:$B,$A116,'Таблиця 1'!$I:$I,"Mi-24",'Таблиця 1'!$J:$J,"С-8 ком"))</f>
        <v/>
      </c>
      <c r="G116">
        <f>IF($A116="","",SUMIFS('Таблиця 1'!$K:$K,'Таблиця 1'!$B:$B,$A116,'Таблиця 1'!$I:$I,"Mi-8",'Таблиця 1'!$J:$J,"PC-80")+SUMIFS('Таблиця 1'!$K:$K,'Таблиця 1'!$B:$B,$A116,'Таблиця 1'!$I:$I,"Mi-24",'Таблиця 1'!$J:$J,"PC-80"))</f>
        <v/>
      </c>
      <c r="H116">
        <f>IF($A116="","",SUMIFS('Таблиця 1'!$K:$K,'Таблиця 1'!$B:$B,$A116,'Таблиця 1'!$I:$I,"Mi-8",'Таблиця 1'!$J:$J,"UAR-80")+SUMIFS('Таблиця 1'!$K:$K,'Таблиця 1'!$B:$B,$A116,'Таблиця 1'!$I:$I,"Mi-24",'Таблиця 1'!$J:$J,"UAR-80"))</f>
        <v/>
      </c>
      <c r="I116">
        <f>IF($A116="","",SUMIFS('Таблиця 1'!$K:$K,'Таблиця 1'!$B:$B,$A116,'Таблиця 1'!$I:$I,"Mi-8",'Таблиця 1'!$J:$J,"C-13")+SUMIFS('Таблиця 1'!$K:$K,'Таблиця 1'!$B:$B,$A116,'Таблиця 1'!$I:$I,"Mi-24",'Таблиця 1'!$J:$J,"C-13"))</f>
        <v/>
      </c>
      <c r="J116">
        <f>IF($A116="","",SUMIFS('Таблиця 1'!$K:$K,'Таблиця 1'!$B:$B,$A116,'Таблиця 1'!$I:$I,"Mi-8",'Таблиця 1'!$J:$J,"Hydra-70")+SUMIFS('Таблиця 1'!$K:$K,'Таблиця 1'!$B:$B,$A116,'Таблиця 1'!$I:$I,"Mi-24",'Таблиця 1'!$J:$J,"Hydra-70"))</f>
        <v/>
      </c>
      <c r="K116">
        <f>IF($A116="","",SUMIFS('Таблиця 1'!$K:$K,'Таблиця 1'!$B:$B,$A116,'Таблиця 1'!$I:$I,"Mi-8",'Таблиця 1'!$J:$J,"Thales-70")+SUMIFS('Таблиця 1'!$K:$K,'Таблиця 1'!$B:$B,$A116,'Таблиця 1'!$I:$I,"Mi-24",'Таблиця 1'!$J:$J,"Thales-70"))</f>
        <v/>
      </c>
      <c r="L116">
        <f>IF($A116="","",SUMIFS('Таблиця 1'!$K:$K,'Таблиця 1'!$B:$B,$A116,'Таблиця 1'!$I:$I,"Mi-8",'Таблиця 1'!$J:$J,"Thales-FZ")+SUMIFS('Таблиця 1'!$K:$K,'Таблиця 1'!$B:$B,$A116,'Таблиця 1'!$I:$I,"Mi-24",'Таблиця 1'!$J:$J,"Thales-FZ"))</f>
        <v/>
      </c>
      <c r="M116">
        <f>IF($A116="","",SUMIFS('Таблиця 1'!$K:$K,'Таблиця 1'!$B:$B,$A116,'Таблиця 1'!$I:$I,"Mi-8",'Таблиця 1'!$J:$J,"МК-40")+SUMIFS('Таблиця 1'!$K:$K,'Таблиця 1'!$B:$B,$A116,'Таблиця 1'!$I:$I,"Mi-24",'Таблиця 1'!$J:$J,"МК-40"))</f>
        <v/>
      </c>
      <c r="N116">
        <f>IF($A116="","",SUMIFS('Таблиця 1'!$K:$K,'Таблиця 1'!$B:$B,$A116,'Таблиця 1'!$I:$I,"Mi-8",'Таблиця 1'!$J:$J,"Zuni")+SUMIFS('Таблиця 1'!$K:$K,'Таблиця 1'!$B:$B,$A116,'Таблиця 1'!$I:$I,"Mi-24",'Таблиця 1'!$J:$J,"Zuni"))</f>
        <v/>
      </c>
      <c r="O116">
        <f>IF($A116="","",COUNTIFS('Таблиця 1'!$B:$B,$A116,'Таблиця 1'!$I:$I,"Mi-8",'Таблиця 1'!$L:$L,"Уражено")+COUNTIFS('Таблиця 1'!$B:$B,$A116,'Таблиця 1'!$I:$I,"Mi-24",'Таблиця 1'!$L:$L,"Уражено"))</f>
        <v/>
      </c>
      <c r="P116">
        <f>IF($A116="","",COUNTIFS('Таблиця 1'!$B:$B,$A116,'Таблиця 1'!$I:$I,"Mi-8",'Таблиця 1'!$L:$L,"НЕ уражено")+COUNTIFS('Таблиця 1'!$B:$B,$A116,'Таблиця 1'!$I:$I,"Mi-24",'Таблиця 1'!$L:$L,"НЕ уражено"))</f>
        <v/>
      </c>
    </row>
    <row r="117">
      <c r="A117" s="273">
        <f>IF(A116="","",IF(A116+1&gt;MAX('Таблиця 1'!$B:$B),"",A116+1))</f>
        <v/>
      </c>
      <c r="B117">
        <f>IF($A117="","",COUNTIFS('Таблиця 1'!$B:$B,$A117,'Таблиця 1'!$I:$I,"Mi-8")+COUNTIFS('Таблиця 1'!$B:$B,$A117,'Таблиця 1'!$I:$I,"Mi-24"))</f>
        <v/>
      </c>
      <c r="C117">
        <f>IF($A117="","",COUNTIFS('Таблиця 1'!$B:$B,$A117,'Таблиця 1'!$I:$I,"Mi-8"))</f>
        <v/>
      </c>
      <c r="D117">
        <f>IF($A117="","",COUNTIFS('Таблиця 1'!$B:$B,$A117,'Таблиця 1'!$I:$I,"Mi-24"))</f>
        <v/>
      </c>
      <c r="E117">
        <f>IF($A117="","",SUMIFS('Таблиця 1'!$K:$K,'Таблиця 1'!$B:$B,$A117,'Таблиця 1'!$I:$I,"Mi-8",'Таблиця 1'!$J:$J,"ARS-8")+SUMIFS('Таблиця 1'!$K:$K,'Таблиця 1'!$B:$B,$A117,'Таблиця 1'!$I:$I,"Mi-24",'Таблиця 1'!$J:$J,"ARS-8"))</f>
        <v/>
      </c>
      <c r="F117">
        <f>IF($A117="","",SUMIFS('Таблиця 1'!$K:$K,'Таблиця 1'!$B:$B,$A117,'Таблиця 1'!$I:$I,"Mi-8",'Таблиця 1'!$J:$J,"С-8 ком")+SUMIFS('Таблиця 1'!$K:$K,'Таблиця 1'!$B:$B,$A117,'Таблиця 1'!$I:$I,"Mi-24",'Таблиця 1'!$J:$J,"С-8 ком"))</f>
        <v/>
      </c>
      <c r="G117">
        <f>IF($A117="","",SUMIFS('Таблиця 1'!$K:$K,'Таблиця 1'!$B:$B,$A117,'Таблиця 1'!$I:$I,"Mi-8",'Таблиця 1'!$J:$J,"PC-80")+SUMIFS('Таблиця 1'!$K:$K,'Таблиця 1'!$B:$B,$A117,'Таблиця 1'!$I:$I,"Mi-24",'Таблиця 1'!$J:$J,"PC-80"))</f>
        <v/>
      </c>
      <c r="H117">
        <f>IF($A117="","",SUMIFS('Таблиця 1'!$K:$K,'Таблиця 1'!$B:$B,$A117,'Таблиця 1'!$I:$I,"Mi-8",'Таблиця 1'!$J:$J,"UAR-80")+SUMIFS('Таблиця 1'!$K:$K,'Таблиця 1'!$B:$B,$A117,'Таблиця 1'!$I:$I,"Mi-24",'Таблиця 1'!$J:$J,"UAR-80"))</f>
        <v/>
      </c>
      <c r="I117">
        <f>IF($A117="","",SUMIFS('Таблиця 1'!$K:$K,'Таблиця 1'!$B:$B,$A117,'Таблиця 1'!$I:$I,"Mi-8",'Таблиця 1'!$J:$J,"C-13")+SUMIFS('Таблиця 1'!$K:$K,'Таблиця 1'!$B:$B,$A117,'Таблиця 1'!$I:$I,"Mi-24",'Таблиця 1'!$J:$J,"C-13"))</f>
        <v/>
      </c>
      <c r="J117">
        <f>IF($A117="","",SUMIFS('Таблиця 1'!$K:$K,'Таблиця 1'!$B:$B,$A117,'Таблиця 1'!$I:$I,"Mi-8",'Таблиця 1'!$J:$J,"Hydra-70")+SUMIFS('Таблиця 1'!$K:$K,'Таблиця 1'!$B:$B,$A117,'Таблиця 1'!$I:$I,"Mi-24",'Таблиця 1'!$J:$J,"Hydra-70"))</f>
        <v/>
      </c>
      <c r="K117">
        <f>IF($A117="","",SUMIFS('Таблиця 1'!$K:$K,'Таблиця 1'!$B:$B,$A117,'Таблиця 1'!$I:$I,"Mi-8",'Таблиця 1'!$J:$J,"Thales-70")+SUMIFS('Таблиця 1'!$K:$K,'Таблиця 1'!$B:$B,$A117,'Таблиця 1'!$I:$I,"Mi-24",'Таблиця 1'!$J:$J,"Thales-70"))</f>
        <v/>
      </c>
      <c r="L117">
        <f>IF($A117="","",SUMIFS('Таблиця 1'!$K:$K,'Таблиця 1'!$B:$B,$A117,'Таблиця 1'!$I:$I,"Mi-8",'Таблиця 1'!$J:$J,"Thales-FZ")+SUMIFS('Таблиця 1'!$K:$K,'Таблиця 1'!$B:$B,$A117,'Таблиця 1'!$I:$I,"Mi-24",'Таблиця 1'!$J:$J,"Thales-FZ"))</f>
        <v/>
      </c>
      <c r="M117">
        <f>IF($A117="","",SUMIFS('Таблиця 1'!$K:$K,'Таблиця 1'!$B:$B,$A117,'Таблиця 1'!$I:$I,"Mi-8",'Таблиця 1'!$J:$J,"МК-40")+SUMIFS('Таблиця 1'!$K:$K,'Таблиця 1'!$B:$B,$A117,'Таблиця 1'!$I:$I,"Mi-24",'Таблиця 1'!$J:$J,"МК-40"))</f>
        <v/>
      </c>
      <c r="N117">
        <f>IF($A117="","",SUMIFS('Таблиця 1'!$K:$K,'Таблиця 1'!$B:$B,$A117,'Таблиця 1'!$I:$I,"Mi-8",'Таблиця 1'!$J:$J,"Zuni")+SUMIFS('Таблиця 1'!$K:$K,'Таблиця 1'!$B:$B,$A117,'Таблиця 1'!$I:$I,"Mi-24",'Таблиця 1'!$J:$J,"Zuni"))</f>
        <v/>
      </c>
      <c r="O117">
        <f>IF($A117="","",COUNTIFS('Таблиця 1'!$B:$B,$A117,'Таблиця 1'!$I:$I,"Mi-8",'Таблиця 1'!$L:$L,"Уражено")+COUNTIFS('Таблиця 1'!$B:$B,$A117,'Таблиця 1'!$I:$I,"Mi-24",'Таблиця 1'!$L:$L,"Уражено"))</f>
        <v/>
      </c>
      <c r="P117">
        <f>IF($A117="","",COUNTIFS('Таблиця 1'!$B:$B,$A117,'Таблиця 1'!$I:$I,"Mi-8",'Таблиця 1'!$L:$L,"НЕ уражено")+COUNTIFS('Таблиця 1'!$B:$B,$A117,'Таблиця 1'!$I:$I,"Mi-24",'Таблиця 1'!$L:$L,"НЕ уражено"))</f>
        <v/>
      </c>
    </row>
    <row r="118">
      <c r="A118" s="273">
        <f>IF(A117="","",IF(A117+1&gt;MAX('Таблиця 1'!$B:$B),"",A117+1))</f>
        <v/>
      </c>
      <c r="B118">
        <f>IF($A118="","",COUNTIFS('Таблиця 1'!$B:$B,$A118,'Таблиця 1'!$I:$I,"Mi-8")+COUNTIFS('Таблиця 1'!$B:$B,$A118,'Таблиця 1'!$I:$I,"Mi-24"))</f>
        <v/>
      </c>
      <c r="C118">
        <f>IF($A118="","",COUNTIFS('Таблиця 1'!$B:$B,$A118,'Таблиця 1'!$I:$I,"Mi-8"))</f>
        <v/>
      </c>
      <c r="D118">
        <f>IF($A118="","",COUNTIFS('Таблиця 1'!$B:$B,$A118,'Таблиця 1'!$I:$I,"Mi-24"))</f>
        <v/>
      </c>
      <c r="E118">
        <f>IF($A118="","",SUMIFS('Таблиця 1'!$K:$K,'Таблиця 1'!$B:$B,$A118,'Таблиця 1'!$I:$I,"Mi-8",'Таблиця 1'!$J:$J,"ARS-8")+SUMIFS('Таблиця 1'!$K:$K,'Таблиця 1'!$B:$B,$A118,'Таблиця 1'!$I:$I,"Mi-24",'Таблиця 1'!$J:$J,"ARS-8"))</f>
        <v/>
      </c>
      <c r="F118">
        <f>IF($A118="","",SUMIFS('Таблиця 1'!$K:$K,'Таблиця 1'!$B:$B,$A118,'Таблиця 1'!$I:$I,"Mi-8",'Таблиця 1'!$J:$J,"С-8 ком")+SUMIFS('Таблиця 1'!$K:$K,'Таблиця 1'!$B:$B,$A118,'Таблиця 1'!$I:$I,"Mi-24",'Таблиця 1'!$J:$J,"С-8 ком"))</f>
        <v/>
      </c>
      <c r="G118">
        <f>IF($A118="","",SUMIFS('Таблиця 1'!$K:$K,'Таблиця 1'!$B:$B,$A118,'Таблиця 1'!$I:$I,"Mi-8",'Таблиця 1'!$J:$J,"PC-80")+SUMIFS('Таблиця 1'!$K:$K,'Таблиця 1'!$B:$B,$A118,'Таблиця 1'!$I:$I,"Mi-24",'Таблиця 1'!$J:$J,"PC-80"))</f>
        <v/>
      </c>
      <c r="H118">
        <f>IF($A118="","",SUMIFS('Таблиця 1'!$K:$K,'Таблиця 1'!$B:$B,$A118,'Таблиця 1'!$I:$I,"Mi-8",'Таблиця 1'!$J:$J,"UAR-80")+SUMIFS('Таблиця 1'!$K:$K,'Таблиця 1'!$B:$B,$A118,'Таблиця 1'!$I:$I,"Mi-24",'Таблиця 1'!$J:$J,"UAR-80"))</f>
        <v/>
      </c>
      <c r="I118">
        <f>IF($A118="","",SUMIFS('Таблиця 1'!$K:$K,'Таблиця 1'!$B:$B,$A118,'Таблиця 1'!$I:$I,"Mi-8",'Таблиця 1'!$J:$J,"C-13")+SUMIFS('Таблиця 1'!$K:$K,'Таблиця 1'!$B:$B,$A118,'Таблиця 1'!$I:$I,"Mi-24",'Таблиця 1'!$J:$J,"C-13"))</f>
        <v/>
      </c>
      <c r="J118">
        <f>IF($A118="","",SUMIFS('Таблиця 1'!$K:$K,'Таблиця 1'!$B:$B,$A118,'Таблиця 1'!$I:$I,"Mi-8",'Таблиця 1'!$J:$J,"Hydra-70")+SUMIFS('Таблиця 1'!$K:$K,'Таблиця 1'!$B:$B,$A118,'Таблиця 1'!$I:$I,"Mi-24",'Таблиця 1'!$J:$J,"Hydra-70"))</f>
        <v/>
      </c>
      <c r="K118">
        <f>IF($A118="","",SUMIFS('Таблиця 1'!$K:$K,'Таблиця 1'!$B:$B,$A118,'Таблиця 1'!$I:$I,"Mi-8",'Таблиця 1'!$J:$J,"Thales-70")+SUMIFS('Таблиця 1'!$K:$K,'Таблиця 1'!$B:$B,$A118,'Таблиця 1'!$I:$I,"Mi-24",'Таблиця 1'!$J:$J,"Thales-70"))</f>
        <v/>
      </c>
      <c r="L118">
        <f>IF($A118="","",SUMIFS('Таблиця 1'!$K:$K,'Таблиця 1'!$B:$B,$A118,'Таблиця 1'!$I:$I,"Mi-8",'Таблиця 1'!$J:$J,"Thales-FZ")+SUMIFS('Таблиця 1'!$K:$K,'Таблиця 1'!$B:$B,$A118,'Таблиця 1'!$I:$I,"Mi-24",'Таблиця 1'!$J:$J,"Thales-FZ"))</f>
        <v/>
      </c>
      <c r="M118">
        <f>IF($A118="","",SUMIFS('Таблиця 1'!$K:$K,'Таблиця 1'!$B:$B,$A118,'Таблиця 1'!$I:$I,"Mi-8",'Таблиця 1'!$J:$J,"МК-40")+SUMIFS('Таблиця 1'!$K:$K,'Таблиця 1'!$B:$B,$A118,'Таблиця 1'!$I:$I,"Mi-24",'Таблиця 1'!$J:$J,"МК-40"))</f>
        <v/>
      </c>
      <c r="N118">
        <f>IF($A118="","",SUMIFS('Таблиця 1'!$K:$K,'Таблиця 1'!$B:$B,$A118,'Таблиця 1'!$I:$I,"Mi-8",'Таблиця 1'!$J:$J,"Zuni")+SUMIFS('Таблиця 1'!$K:$K,'Таблиця 1'!$B:$B,$A118,'Таблиця 1'!$I:$I,"Mi-24",'Таблиця 1'!$J:$J,"Zuni"))</f>
        <v/>
      </c>
      <c r="O118">
        <f>IF($A118="","",COUNTIFS('Таблиця 1'!$B:$B,$A118,'Таблиця 1'!$I:$I,"Mi-8",'Таблиця 1'!$L:$L,"Уражено")+COUNTIFS('Таблиця 1'!$B:$B,$A118,'Таблиця 1'!$I:$I,"Mi-24",'Таблиця 1'!$L:$L,"Уражено"))</f>
        <v/>
      </c>
      <c r="P118">
        <f>IF($A118="","",COUNTIFS('Таблиця 1'!$B:$B,$A118,'Таблиця 1'!$I:$I,"Mi-8",'Таблиця 1'!$L:$L,"НЕ уражено")+COUNTIFS('Таблиця 1'!$B:$B,$A118,'Таблиця 1'!$I:$I,"Mi-24",'Таблиця 1'!$L:$L,"НЕ уражено"))</f>
        <v/>
      </c>
    </row>
    <row r="119">
      <c r="A119" s="273">
        <f>IF(A118="","",IF(A118+1&gt;MAX('Таблиця 1'!$B:$B),"",A118+1))</f>
        <v/>
      </c>
      <c r="B119">
        <f>IF($A119="","",COUNTIFS('Таблиця 1'!$B:$B,$A119,'Таблиця 1'!$I:$I,"Mi-8")+COUNTIFS('Таблиця 1'!$B:$B,$A119,'Таблиця 1'!$I:$I,"Mi-24"))</f>
        <v/>
      </c>
      <c r="C119">
        <f>IF($A119="","",COUNTIFS('Таблиця 1'!$B:$B,$A119,'Таблиця 1'!$I:$I,"Mi-8"))</f>
        <v/>
      </c>
      <c r="D119">
        <f>IF($A119="","",COUNTIFS('Таблиця 1'!$B:$B,$A119,'Таблиця 1'!$I:$I,"Mi-24"))</f>
        <v/>
      </c>
      <c r="E119">
        <f>IF($A119="","",SUMIFS('Таблиця 1'!$K:$K,'Таблиця 1'!$B:$B,$A119,'Таблиця 1'!$I:$I,"Mi-8",'Таблиця 1'!$J:$J,"ARS-8")+SUMIFS('Таблиця 1'!$K:$K,'Таблиця 1'!$B:$B,$A119,'Таблиця 1'!$I:$I,"Mi-24",'Таблиця 1'!$J:$J,"ARS-8"))</f>
        <v/>
      </c>
      <c r="F119">
        <f>IF($A119="","",SUMIFS('Таблиця 1'!$K:$K,'Таблиця 1'!$B:$B,$A119,'Таблиця 1'!$I:$I,"Mi-8",'Таблиця 1'!$J:$J,"С-8 ком")+SUMIFS('Таблиця 1'!$K:$K,'Таблиця 1'!$B:$B,$A119,'Таблиця 1'!$I:$I,"Mi-24",'Таблиця 1'!$J:$J,"С-8 ком"))</f>
        <v/>
      </c>
      <c r="G119">
        <f>IF($A119="","",SUMIFS('Таблиця 1'!$K:$K,'Таблиця 1'!$B:$B,$A119,'Таблиця 1'!$I:$I,"Mi-8",'Таблиця 1'!$J:$J,"PC-80")+SUMIFS('Таблиця 1'!$K:$K,'Таблиця 1'!$B:$B,$A119,'Таблиця 1'!$I:$I,"Mi-24",'Таблиця 1'!$J:$J,"PC-80"))</f>
        <v/>
      </c>
      <c r="H119">
        <f>IF($A119="","",SUMIFS('Таблиця 1'!$K:$K,'Таблиця 1'!$B:$B,$A119,'Таблиця 1'!$I:$I,"Mi-8",'Таблиця 1'!$J:$J,"UAR-80")+SUMIFS('Таблиця 1'!$K:$K,'Таблиця 1'!$B:$B,$A119,'Таблиця 1'!$I:$I,"Mi-24",'Таблиця 1'!$J:$J,"UAR-80"))</f>
        <v/>
      </c>
      <c r="I119">
        <f>IF($A119="","",SUMIFS('Таблиця 1'!$K:$K,'Таблиця 1'!$B:$B,$A119,'Таблиця 1'!$I:$I,"Mi-8",'Таблиця 1'!$J:$J,"C-13")+SUMIFS('Таблиця 1'!$K:$K,'Таблиця 1'!$B:$B,$A119,'Таблиця 1'!$I:$I,"Mi-24",'Таблиця 1'!$J:$J,"C-13"))</f>
        <v/>
      </c>
      <c r="J119">
        <f>IF($A119="","",SUMIFS('Таблиця 1'!$K:$K,'Таблиця 1'!$B:$B,$A119,'Таблиця 1'!$I:$I,"Mi-8",'Таблиця 1'!$J:$J,"Hydra-70")+SUMIFS('Таблиця 1'!$K:$K,'Таблиця 1'!$B:$B,$A119,'Таблиця 1'!$I:$I,"Mi-24",'Таблиця 1'!$J:$J,"Hydra-70"))</f>
        <v/>
      </c>
      <c r="K119">
        <f>IF($A119="","",SUMIFS('Таблиця 1'!$K:$K,'Таблиця 1'!$B:$B,$A119,'Таблиця 1'!$I:$I,"Mi-8",'Таблиця 1'!$J:$J,"Thales-70")+SUMIFS('Таблиця 1'!$K:$K,'Таблиця 1'!$B:$B,$A119,'Таблиця 1'!$I:$I,"Mi-24",'Таблиця 1'!$J:$J,"Thales-70"))</f>
        <v/>
      </c>
      <c r="L119">
        <f>IF($A119="","",SUMIFS('Таблиця 1'!$K:$K,'Таблиця 1'!$B:$B,$A119,'Таблиця 1'!$I:$I,"Mi-8",'Таблиця 1'!$J:$J,"Thales-FZ")+SUMIFS('Таблиця 1'!$K:$K,'Таблиця 1'!$B:$B,$A119,'Таблиця 1'!$I:$I,"Mi-24",'Таблиця 1'!$J:$J,"Thales-FZ"))</f>
        <v/>
      </c>
      <c r="M119">
        <f>IF($A119="","",SUMIFS('Таблиця 1'!$K:$K,'Таблиця 1'!$B:$B,$A119,'Таблиця 1'!$I:$I,"Mi-8",'Таблиця 1'!$J:$J,"МК-40")+SUMIFS('Таблиця 1'!$K:$K,'Таблиця 1'!$B:$B,$A119,'Таблиця 1'!$I:$I,"Mi-24",'Таблиця 1'!$J:$J,"МК-40"))</f>
        <v/>
      </c>
      <c r="N119">
        <f>IF($A119="","",SUMIFS('Таблиця 1'!$K:$K,'Таблиця 1'!$B:$B,$A119,'Таблиця 1'!$I:$I,"Mi-8",'Таблиця 1'!$J:$J,"Zuni")+SUMIFS('Таблиця 1'!$K:$K,'Таблиця 1'!$B:$B,$A119,'Таблиця 1'!$I:$I,"Mi-24",'Таблиця 1'!$J:$J,"Zuni"))</f>
        <v/>
      </c>
      <c r="O119">
        <f>IF($A119="","",COUNTIFS('Таблиця 1'!$B:$B,$A119,'Таблиця 1'!$I:$I,"Mi-8",'Таблиця 1'!$L:$L,"Уражено")+COUNTIFS('Таблиця 1'!$B:$B,$A119,'Таблиця 1'!$I:$I,"Mi-24",'Таблиця 1'!$L:$L,"Уражено"))</f>
        <v/>
      </c>
      <c r="P119">
        <f>IF($A119="","",COUNTIFS('Таблиця 1'!$B:$B,$A119,'Таблиця 1'!$I:$I,"Mi-8",'Таблиця 1'!$L:$L,"НЕ уражено")+COUNTIFS('Таблиця 1'!$B:$B,$A119,'Таблиця 1'!$I:$I,"Mi-24",'Таблиця 1'!$L:$L,"НЕ уражено"))</f>
        <v/>
      </c>
    </row>
    <row r="120">
      <c r="A120" s="273">
        <f>IF(A119="","",IF(A119+1&gt;MAX('Таблиця 1'!$B:$B),"",A119+1))</f>
        <v/>
      </c>
      <c r="B120">
        <f>IF($A120="","",COUNTIFS('Таблиця 1'!$B:$B,$A120,'Таблиця 1'!$I:$I,"Mi-8")+COUNTIFS('Таблиця 1'!$B:$B,$A120,'Таблиця 1'!$I:$I,"Mi-24"))</f>
        <v/>
      </c>
      <c r="C120">
        <f>IF($A120="","",COUNTIFS('Таблиця 1'!$B:$B,$A120,'Таблиця 1'!$I:$I,"Mi-8"))</f>
        <v/>
      </c>
      <c r="D120">
        <f>IF($A120="","",COUNTIFS('Таблиця 1'!$B:$B,$A120,'Таблиця 1'!$I:$I,"Mi-24"))</f>
        <v/>
      </c>
      <c r="E120">
        <f>IF($A120="","",SUMIFS('Таблиця 1'!$K:$K,'Таблиця 1'!$B:$B,$A120,'Таблиця 1'!$I:$I,"Mi-8",'Таблиця 1'!$J:$J,"ARS-8")+SUMIFS('Таблиця 1'!$K:$K,'Таблиця 1'!$B:$B,$A120,'Таблиця 1'!$I:$I,"Mi-24",'Таблиця 1'!$J:$J,"ARS-8"))</f>
        <v/>
      </c>
      <c r="F120">
        <f>IF($A120="","",SUMIFS('Таблиця 1'!$K:$K,'Таблиця 1'!$B:$B,$A120,'Таблиця 1'!$I:$I,"Mi-8",'Таблиця 1'!$J:$J,"С-8 ком")+SUMIFS('Таблиця 1'!$K:$K,'Таблиця 1'!$B:$B,$A120,'Таблиця 1'!$I:$I,"Mi-24",'Таблиця 1'!$J:$J,"С-8 ком"))</f>
        <v/>
      </c>
      <c r="G120">
        <f>IF($A120="","",SUMIFS('Таблиця 1'!$K:$K,'Таблиця 1'!$B:$B,$A120,'Таблиця 1'!$I:$I,"Mi-8",'Таблиця 1'!$J:$J,"PC-80")+SUMIFS('Таблиця 1'!$K:$K,'Таблиця 1'!$B:$B,$A120,'Таблиця 1'!$I:$I,"Mi-24",'Таблиця 1'!$J:$J,"PC-80"))</f>
        <v/>
      </c>
      <c r="H120">
        <f>IF($A120="","",SUMIFS('Таблиця 1'!$K:$K,'Таблиця 1'!$B:$B,$A120,'Таблиця 1'!$I:$I,"Mi-8",'Таблиця 1'!$J:$J,"UAR-80")+SUMIFS('Таблиця 1'!$K:$K,'Таблиця 1'!$B:$B,$A120,'Таблиця 1'!$I:$I,"Mi-24",'Таблиця 1'!$J:$J,"UAR-80"))</f>
        <v/>
      </c>
      <c r="I120">
        <f>IF($A120="","",SUMIFS('Таблиця 1'!$K:$K,'Таблиця 1'!$B:$B,$A120,'Таблиця 1'!$I:$I,"Mi-8",'Таблиця 1'!$J:$J,"C-13")+SUMIFS('Таблиця 1'!$K:$K,'Таблиця 1'!$B:$B,$A120,'Таблиця 1'!$I:$I,"Mi-24",'Таблиця 1'!$J:$J,"C-13"))</f>
        <v/>
      </c>
      <c r="J120">
        <f>IF($A120="","",SUMIFS('Таблиця 1'!$K:$K,'Таблиця 1'!$B:$B,$A120,'Таблиця 1'!$I:$I,"Mi-8",'Таблиця 1'!$J:$J,"Hydra-70")+SUMIFS('Таблиця 1'!$K:$K,'Таблиця 1'!$B:$B,$A120,'Таблиця 1'!$I:$I,"Mi-24",'Таблиця 1'!$J:$J,"Hydra-70"))</f>
        <v/>
      </c>
      <c r="K120">
        <f>IF($A120="","",SUMIFS('Таблиця 1'!$K:$K,'Таблиця 1'!$B:$B,$A120,'Таблиця 1'!$I:$I,"Mi-8",'Таблиця 1'!$J:$J,"Thales-70")+SUMIFS('Таблиця 1'!$K:$K,'Таблиця 1'!$B:$B,$A120,'Таблиця 1'!$I:$I,"Mi-24",'Таблиця 1'!$J:$J,"Thales-70"))</f>
        <v/>
      </c>
      <c r="L120">
        <f>IF($A120="","",SUMIFS('Таблиця 1'!$K:$K,'Таблиця 1'!$B:$B,$A120,'Таблиця 1'!$I:$I,"Mi-8",'Таблиця 1'!$J:$J,"Thales-FZ")+SUMIFS('Таблиця 1'!$K:$K,'Таблиця 1'!$B:$B,$A120,'Таблиця 1'!$I:$I,"Mi-24",'Таблиця 1'!$J:$J,"Thales-FZ"))</f>
        <v/>
      </c>
      <c r="M120">
        <f>IF($A120="","",SUMIFS('Таблиця 1'!$K:$K,'Таблиця 1'!$B:$B,$A120,'Таблиця 1'!$I:$I,"Mi-8",'Таблиця 1'!$J:$J,"МК-40")+SUMIFS('Таблиця 1'!$K:$K,'Таблиця 1'!$B:$B,$A120,'Таблиця 1'!$I:$I,"Mi-24",'Таблиця 1'!$J:$J,"МК-40"))</f>
        <v/>
      </c>
      <c r="N120">
        <f>IF($A120="","",SUMIFS('Таблиця 1'!$K:$K,'Таблиця 1'!$B:$B,$A120,'Таблиця 1'!$I:$I,"Mi-8",'Таблиця 1'!$J:$J,"Zuni")+SUMIFS('Таблиця 1'!$K:$K,'Таблиця 1'!$B:$B,$A120,'Таблиця 1'!$I:$I,"Mi-24",'Таблиця 1'!$J:$J,"Zuni"))</f>
        <v/>
      </c>
      <c r="O120">
        <f>IF($A120="","",COUNTIFS('Таблиця 1'!$B:$B,$A120,'Таблиця 1'!$I:$I,"Mi-8",'Таблиця 1'!$L:$L,"Уражено")+COUNTIFS('Таблиця 1'!$B:$B,$A120,'Таблиця 1'!$I:$I,"Mi-24",'Таблиця 1'!$L:$L,"Уражено"))</f>
        <v/>
      </c>
      <c r="P120">
        <f>IF($A120="","",COUNTIFS('Таблиця 1'!$B:$B,$A120,'Таблиця 1'!$I:$I,"Mi-8",'Таблиця 1'!$L:$L,"НЕ уражено")+COUNTIFS('Таблиця 1'!$B:$B,$A120,'Таблиця 1'!$I:$I,"Mi-24",'Таблиця 1'!$L:$L,"НЕ уражено"))</f>
        <v/>
      </c>
    </row>
    <row r="121">
      <c r="A121" s="273">
        <f>IF(A120="","",IF(A120+1&gt;MAX('Таблиця 1'!$B:$B),"",A120+1))</f>
        <v/>
      </c>
      <c r="B121">
        <f>IF($A121="","",COUNTIFS('Таблиця 1'!$B:$B,$A121,'Таблиця 1'!$I:$I,"Mi-8")+COUNTIFS('Таблиця 1'!$B:$B,$A121,'Таблиця 1'!$I:$I,"Mi-24"))</f>
        <v/>
      </c>
      <c r="C121">
        <f>IF($A121="","",COUNTIFS('Таблиця 1'!$B:$B,$A121,'Таблиця 1'!$I:$I,"Mi-8"))</f>
        <v/>
      </c>
      <c r="D121">
        <f>IF($A121="","",COUNTIFS('Таблиця 1'!$B:$B,$A121,'Таблиця 1'!$I:$I,"Mi-24"))</f>
        <v/>
      </c>
      <c r="E121">
        <f>IF($A121="","",SUMIFS('Таблиця 1'!$K:$K,'Таблиця 1'!$B:$B,$A121,'Таблиця 1'!$I:$I,"Mi-8",'Таблиця 1'!$J:$J,"ARS-8")+SUMIFS('Таблиця 1'!$K:$K,'Таблиця 1'!$B:$B,$A121,'Таблиця 1'!$I:$I,"Mi-24",'Таблиця 1'!$J:$J,"ARS-8"))</f>
        <v/>
      </c>
      <c r="F121">
        <f>IF($A121="","",SUMIFS('Таблиця 1'!$K:$K,'Таблиця 1'!$B:$B,$A121,'Таблиця 1'!$I:$I,"Mi-8",'Таблиця 1'!$J:$J,"С-8 ком")+SUMIFS('Таблиця 1'!$K:$K,'Таблиця 1'!$B:$B,$A121,'Таблиця 1'!$I:$I,"Mi-24",'Таблиця 1'!$J:$J,"С-8 ком"))</f>
        <v/>
      </c>
      <c r="G121">
        <f>IF($A121="","",SUMIFS('Таблиця 1'!$K:$K,'Таблиця 1'!$B:$B,$A121,'Таблиця 1'!$I:$I,"Mi-8",'Таблиця 1'!$J:$J,"PC-80")+SUMIFS('Таблиця 1'!$K:$K,'Таблиця 1'!$B:$B,$A121,'Таблиця 1'!$I:$I,"Mi-24",'Таблиця 1'!$J:$J,"PC-80"))</f>
        <v/>
      </c>
      <c r="H121">
        <f>IF($A121="","",SUMIFS('Таблиця 1'!$K:$K,'Таблиця 1'!$B:$B,$A121,'Таблиця 1'!$I:$I,"Mi-8",'Таблиця 1'!$J:$J,"UAR-80")+SUMIFS('Таблиця 1'!$K:$K,'Таблиця 1'!$B:$B,$A121,'Таблиця 1'!$I:$I,"Mi-24",'Таблиця 1'!$J:$J,"UAR-80"))</f>
        <v/>
      </c>
      <c r="I121">
        <f>IF($A121="","",SUMIFS('Таблиця 1'!$K:$K,'Таблиця 1'!$B:$B,$A121,'Таблиця 1'!$I:$I,"Mi-8",'Таблиця 1'!$J:$J,"C-13")+SUMIFS('Таблиця 1'!$K:$K,'Таблиця 1'!$B:$B,$A121,'Таблиця 1'!$I:$I,"Mi-24",'Таблиця 1'!$J:$J,"C-13"))</f>
        <v/>
      </c>
      <c r="J121">
        <f>IF($A121="","",SUMIFS('Таблиця 1'!$K:$K,'Таблиця 1'!$B:$B,$A121,'Таблиця 1'!$I:$I,"Mi-8",'Таблиця 1'!$J:$J,"Hydra-70")+SUMIFS('Таблиця 1'!$K:$K,'Таблиця 1'!$B:$B,$A121,'Таблиця 1'!$I:$I,"Mi-24",'Таблиця 1'!$J:$J,"Hydra-70"))</f>
        <v/>
      </c>
      <c r="K121">
        <f>IF($A121="","",SUMIFS('Таблиця 1'!$K:$K,'Таблиця 1'!$B:$B,$A121,'Таблиця 1'!$I:$I,"Mi-8",'Таблиця 1'!$J:$J,"Thales-70")+SUMIFS('Таблиця 1'!$K:$K,'Таблиця 1'!$B:$B,$A121,'Таблиця 1'!$I:$I,"Mi-24",'Таблиця 1'!$J:$J,"Thales-70"))</f>
        <v/>
      </c>
      <c r="L121">
        <f>IF($A121="","",SUMIFS('Таблиця 1'!$K:$K,'Таблиця 1'!$B:$B,$A121,'Таблиця 1'!$I:$I,"Mi-8",'Таблиця 1'!$J:$J,"Thales-FZ")+SUMIFS('Таблиця 1'!$K:$K,'Таблиця 1'!$B:$B,$A121,'Таблиця 1'!$I:$I,"Mi-24",'Таблиця 1'!$J:$J,"Thales-FZ"))</f>
        <v/>
      </c>
      <c r="M121">
        <f>IF($A121="","",SUMIFS('Таблиця 1'!$K:$K,'Таблиця 1'!$B:$B,$A121,'Таблиця 1'!$I:$I,"Mi-8",'Таблиця 1'!$J:$J,"МК-40")+SUMIFS('Таблиця 1'!$K:$K,'Таблиця 1'!$B:$B,$A121,'Таблиця 1'!$I:$I,"Mi-24",'Таблиця 1'!$J:$J,"МК-40"))</f>
        <v/>
      </c>
      <c r="N121">
        <f>IF($A121="","",SUMIFS('Таблиця 1'!$K:$K,'Таблиця 1'!$B:$B,$A121,'Таблиця 1'!$I:$I,"Mi-8",'Таблиця 1'!$J:$J,"Zuni")+SUMIFS('Таблиця 1'!$K:$K,'Таблиця 1'!$B:$B,$A121,'Таблиця 1'!$I:$I,"Mi-24",'Таблиця 1'!$J:$J,"Zuni"))</f>
        <v/>
      </c>
      <c r="O121">
        <f>IF($A121="","",COUNTIFS('Таблиця 1'!$B:$B,$A121,'Таблиця 1'!$I:$I,"Mi-8",'Таблиця 1'!$L:$L,"Уражено")+COUNTIFS('Таблиця 1'!$B:$B,$A121,'Таблиця 1'!$I:$I,"Mi-24",'Таблиця 1'!$L:$L,"Уражено"))</f>
        <v/>
      </c>
      <c r="P121">
        <f>IF($A121="","",COUNTIFS('Таблиця 1'!$B:$B,$A121,'Таблиця 1'!$I:$I,"Mi-8",'Таблиця 1'!$L:$L,"НЕ уражено")+COUNTIFS('Таблиця 1'!$B:$B,$A121,'Таблиця 1'!$I:$I,"Mi-24",'Таблиця 1'!$L:$L,"НЕ уражено"))</f>
        <v/>
      </c>
    </row>
    <row r="122">
      <c r="A122" s="273">
        <f>IF(A121="","",IF(A121+1&gt;MAX('Таблиця 1'!$B:$B),"",A121+1))</f>
        <v/>
      </c>
      <c r="B122">
        <f>IF($A122="","",COUNTIFS('Таблиця 1'!$B:$B,$A122,'Таблиця 1'!$I:$I,"Mi-8")+COUNTIFS('Таблиця 1'!$B:$B,$A122,'Таблиця 1'!$I:$I,"Mi-24"))</f>
        <v/>
      </c>
      <c r="C122">
        <f>IF($A122="","",COUNTIFS('Таблиця 1'!$B:$B,$A122,'Таблиця 1'!$I:$I,"Mi-8"))</f>
        <v/>
      </c>
      <c r="D122">
        <f>IF($A122="","",COUNTIFS('Таблиця 1'!$B:$B,$A122,'Таблиця 1'!$I:$I,"Mi-24"))</f>
        <v/>
      </c>
      <c r="E122">
        <f>IF($A122="","",SUMIFS('Таблиця 1'!$K:$K,'Таблиця 1'!$B:$B,$A122,'Таблиця 1'!$I:$I,"Mi-8",'Таблиця 1'!$J:$J,"ARS-8")+SUMIFS('Таблиця 1'!$K:$K,'Таблиця 1'!$B:$B,$A122,'Таблиця 1'!$I:$I,"Mi-24",'Таблиця 1'!$J:$J,"ARS-8"))</f>
        <v/>
      </c>
      <c r="F122">
        <f>IF($A122="","",SUMIFS('Таблиця 1'!$K:$K,'Таблиця 1'!$B:$B,$A122,'Таблиця 1'!$I:$I,"Mi-8",'Таблиця 1'!$J:$J,"С-8 ком")+SUMIFS('Таблиця 1'!$K:$K,'Таблиця 1'!$B:$B,$A122,'Таблиця 1'!$I:$I,"Mi-24",'Таблиця 1'!$J:$J,"С-8 ком"))</f>
        <v/>
      </c>
      <c r="G122">
        <f>IF($A122="","",SUMIFS('Таблиця 1'!$K:$K,'Таблиця 1'!$B:$B,$A122,'Таблиця 1'!$I:$I,"Mi-8",'Таблиця 1'!$J:$J,"PC-80")+SUMIFS('Таблиця 1'!$K:$K,'Таблиця 1'!$B:$B,$A122,'Таблиця 1'!$I:$I,"Mi-24",'Таблиця 1'!$J:$J,"PC-80"))</f>
        <v/>
      </c>
      <c r="H122">
        <f>IF($A122="","",SUMIFS('Таблиця 1'!$K:$K,'Таблиця 1'!$B:$B,$A122,'Таблиця 1'!$I:$I,"Mi-8",'Таблиця 1'!$J:$J,"UAR-80")+SUMIFS('Таблиця 1'!$K:$K,'Таблиця 1'!$B:$B,$A122,'Таблиця 1'!$I:$I,"Mi-24",'Таблиця 1'!$J:$J,"UAR-80"))</f>
        <v/>
      </c>
      <c r="I122">
        <f>IF($A122="","",SUMIFS('Таблиця 1'!$K:$K,'Таблиця 1'!$B:$B,$A122,'Таблиця 1'!$I:$I,"Mi-8",'Таблиця 1'!$J:$J,"C-13")+SUMIFS('Таблиця 1'!$K:$K,'Таблиця 1'!$B:$B,$A122,'Таблиця 1'!$I:$I,"Mi-24",'Таблиця 1'!$J:$J,"C-13"))</f>
        <v/>
      </c>
      <c r="J122">
        <f>IF($A122="","",SUMIFS('Таблиця 1'!$K:$K,'Таблиця 1'!$B:$B,$A122,'Таблиця 1'!$I:$I,"Mi-8",'Таблиця 1'!$J:$J,"Hydra-70")+SUMIFS('Таблиця 1'!$K:$K,'Таблиця 1'!$B:$B,$A122,'Таблиця 1'!$I:$I,"Mi-24",'Таблиця 1'!$J:$J,"Hydra-70"))</f>
        <v/>
      </c>
      <c r="K122">
        <f>IF($A122="","",SUMIFS('Таблиця 1'!$K:$K,'Таблиця 1'!$B:$B,$A122,'Таблиця 1'!$I:$I,"Mi-8",'Таблиця 1'!$J:$J,"Thales-70")+SUMIFS('Таблиця 1'!$K:$K,'Таблиця 1'!$B:$B,$A122,'Таблиця 1'!$I:$I,"Mi-24",'Таблиця 1'!$J:$J,"Thales-70"))</f>
        <v/>
      </c>
      <c r="L122">
        <f>IF($A122="","",SUMIFS('Таблиця 1'!$K:$K,'Таблиця 1'!$B:$B,$A122,'Таблиця 1'!$I:$I,"Mi-8",'Таблиця 1'!$J:$J,"Thales-FZ")+SUMIFS('Таблиця 1'!$K:$K,'Таблиця 1'!$B:$B,$A122,'Таблиця 1'!$I:$I,"Mi-24",'Таблиця 1'!$J:$J,"Thales-FZ"))</f>
        <v/>
      </c>
      <c r="M122">
        <f>IF($A122="","",SUMIFS('Таблиця 1'!$K:$K,'Таблиця 1'!$B:$B,$A122,'Таблиця 1'!$I:$I,"Mi-8",'Таблиця 1'!$J:$J,"МК-40")+SUMIFS('Таблиця 1'!$K:$K,'Таблиця 1'!$B:$B,$A122,'Таблиця 1'!$I:$I,"Mi-24",'Таблиця 1'!$J:$J,"МК-40"))</f>
        <v/>
      </c>
      <c r="N122">
        <f>IF($A122="","",SUMIFS('Таблиця 1'!$K:$K,'Таблиця 1'!$B:$B,$A122,'Таблиця 1'!$I:$I,"Mi-8",'Таблиця 1'!$J:$J,"Zuni")+SUMIFS('Таблиця 1'!$K:$K,'Таблиця 1'!$B:$B,$A122,'Таблиця 1'!$I:$I,"Mi-24",'Таблиця 1'!$J:$J,"Zuni"))</f>
        <v/>
      </c>
      <c r="O122">
        <f>IF($A122="","",COUNTIFS('Таблиця 1'!$B:$B,$A122,'Таблиця 1'!$I:$I,"Mi-8",'Таблиця 1'!$L:$L,"Уражено")+COUNTIFS('Таблиця 1'!$B:$B,$A122,'Таблиця 1'!$I:$I,"Mi-24",'Таблиця 1'!$L:$L,"Уражено"))</f>
        <v/>
      </c>
      <c r="P122">
        <f>IF($A122="","",COUNTIFS('Таблиця 1'!$B:$B,$A122,'Таблиця 1'!$I:$I,"Mi-8",'Таблиця 1'!$L:$L,"НЕ уражено")+COUNTIFS('Таблиця 1'!$B:$B,$A122,'Таблиця 1'!$I:$I,"Mi-24",'Таблиця 1'!$L:$L,"НЕ уражено"))</f>
        <v/>
      </c>
    </row>
    <row r="123">
      <c r="A123" s="273">
        <f>IF(A122="","",IF(A122+1&gt;MAX('Таблиця 1'!$B:$B),"",A122+1))</f>
        <v/>
      </c>
      <c r="B123">
        <f>IF($A123="","",COUNTIFS('Таблиця 1'!$B:$B,$A123,'Таблиця 1'!$I:$I,"Mi-8")+COUNTIFS('Таблиця 1'!$B:$B,$A123,'Таблиця 1'!$I:$I,"Mi-24"))</f>
        <v/>
      </c>
      <c r="C123">
        <f>IF($A123="","",COUNTIFS('Таблиця 1'!$B:$B,$A123,'Таблиця 1'!$I:$I,"Mi-8"))</f>
        <v/>
      </c>
      <c r="D123">
        <f>IF($A123="","",COUNTIFS('Таблиця 1'!$B:$B,$A123,'Таблиця 1'!$I:$I,"Mi-24"))</f>
        <v/>
      </c>
      <c r="E123">
        <f>IF($A123="","",SUMIFS('Таблиця 1'!$K:$K,'Таблиця 1'!$B:$B,$A123,'Таблиця 1'!$I:$I,"Mi-8",'Таблиця 1'!$J:$J,"ARS-8")+SUMIFS('Таблиця 1'!$K:$K,'Таблиця 1'!$B:$B,$A123,'Таблиця 1'!$I:$I,"Mi-24",'Таблиця 1'!$J:$J,"ARS-8"))</f>
        <v/>
      </c>
      <c r="F123">
        <f>IF($A123="","",SUMIFS('Таблиця 1'!$K:$K,'Таблиця 1'!$B:$B,$A123,'Таблиця 1'!$I:$I,"Mi-8",'Таблиця 1'!$J:$J,"С-8 ком")+SUMIFS('Таблиця 1'!$K:$K,'Таблиця 1'!$B:$B,$A123,'Таблиця 1'!$I:$I,"Mi-24",'Таблиця 1'!$J:$J,"С-8 ком"))</f>
        <v/>
      </c>
      <c r="G123">
        <f>IF($A123="","",SUMIFS('Таблиця 1'!$K:$K,'Таблиця 1'!$B:$B,$A123,'Таблиця 1'!$I:$I,"Mi-8",'Таблиця 1'!$J:$J,"PC-80")+SUMIFS('Таблиця 1'!$K:$K,'Таблиця 1'!$B:$B,$A123,'Таблиця 1'!$I:$I,"Mi-24",'Таблиця 1'!$J:$J,"PC-80"))</f>
        <v/>
      </c>
      <c r="H123">
        <f>IF($A123="","",SUMIFS('Таблиця 1'!$K:$K,'Таблиця 1'!$B:$B,$A123,'Таблиця 1'!$I:$I,"Mi-8",'Таблиця 1'!$J:$J,"UAR-80")+SUMIFS('Таблиця 1'!$K:$K,'Таблиця 1'!$B:$B,$A123,'Таблиця 1'!$I:$I,"Mi-24",'Таблиця 1'!$J:$J,"UAR-80"))</f>
        <v/>
      </c>
      <c r="I123">
        <f>IF($A123="","",SUMIFS('Таблиця 1'!$K:$K,'Таблиця 1'!$B:$B,$A123,'Таблиця 1'!$I:$I,"Mi-8",'Таблиця 1'!$J:$J,"C-13")+SUMIFS('Таблиця 1'!$K:$K,'Таблиця 1'!$B:$B,$A123,'Таблиця 1'!$I:$I,"Mi-24",'Таблиця 1'!$J:$J,"C-13"))</f>
        <v/>
      </c>
      <c r="J123">
        <f>IF($A123="","",SUMIFS('Таблиця 1'!$K:$K,'Таблиця 1'!$B:$B,$A123,'Таблиця 1'!$I:$I,"Mi-8",'Таблиця 1'!$J:$J,"Hydra-70")+SUMIFS('Таблиця 1'!$K:$K,'Таблиця 1'!$B:$B,$A123,'Таблиця 1'!$I:$I,"Mi-24",'Таблиця 1'!$J:$J,"Hydra-70"))</f>
        <v/>
      </c>
      <c r="K123">
        <f>IF($A123="","",SUMIFS('Таблиця 1'!$K:$K,'Таблиця 1'!$B:$B,$A123,'Таблиця 1'!$I:$I,"Mi-8",'Таблиця 1'!$J:$J,"Thales-70")+SUMIFS('Таблиця 1'!$K:$K,'Таблиця 1'!$B:$B,$A123,'Таблиця 1'!$I:$I,"Mi-24",'Таблиця 1'!$J:$J,"Thales-70"))</f>
        <v/>
      </c>
      <c r="L123">
        <f>IF($A123="","",SUMIFS('Таблиця 1'!$K:$K,'Таблиця 1'!$B:$B,$A123,'Таблиця 1'!$I:$I,"Mi-8",'Таблиця 1'!$J:$J,"Thales-FZ")+SUMIFS('Таблиця 1'!$K:$K,'Таблиця 1'!$B:$B,$A123,'Таблиця 1'!$I:$I,"Mi-24",'Таблиця 1'!$J:$J,"Thales-FZ"))</f>
        <v/>
      </c>
      <c r="M123">
        <f>IF($A123="","",SUMIFS('Таблиця 1'!$K:$K,'Таблиця 1'!$B:$B,$A123,'Таблиця 1'!$I:$I,"Mi-8",'Таблиця 1'!$J:$J,"МК-40")+SUMIFS('Таблиця 1'!$K:$K,'Таблиця 1'!$B:$B,$A123,'Таблиця 1'!$I:$I,"Mi-24",'Таблиця 1'!$J:$J,"МК-40"))</f>
        <v/>
      </c>
      <c r="N123">
        <f>IF($A123="","",SUMIFS('Таблиця 1'!$K:$K,'Таблиця 1'!$B:$B,$A123,'Таблиця 1'!$I:$I,"Mi-8",'Таблиця 1'!$J:$J,"Zuni")+SUMIFS('Таблиця 1'!$K:$K,'Таблиця 1'!$B:$B,$A123,'Таблиця 1'!$I:$I,"Mi-24",'Таблиця 1'!$J:$J,"Zuni"))</f>
        <v/>
      </c>
      <c r="O123">
        <f>IF($A123="","",COUNTIFS('Таблиця 1'!$B:$B,$A123,'Таблиця 1'!$I:$I,"Mi-8",'Таблиця 1'!$L:$L,"Уражено")+COUNTIFS('Таблиця 1'!$B:$B,$A123,'Таблиця 1'!$I:$I,"Mi-24",'Таблиця 1'!$L:$L,"Уражено"))</f>
        <v/>
      </c>
      <c r="P123">
        <f>IF($A123="","",COUNTIFS('Таблиця 1'!$B:$B,$A123,'Таблиця 1'!$I:$I,"Mi-8",'Таблиця 1'!$L:$L,"НЕ уражено")+COUNTIFS('Таблиця 1'!$B:$B,$A123,'Таблиця 1'!$I:$I,"Mi-24",'Таблиця 1'!$L:$L,"НЕ уражено"))</f>
        <v/>
      </c>
    </row>
    <row r="124">
      <c r="A124" s="273">
        <f>IF(A123="","",IF(A123+1&gt;MAX('Таблиця 1'!$B:$B),"",A123+1))</f>
        <v/>
      </c>
      <c r="B124">
        <f>IF($A124="","",COUNTIFS('Таблиця 1'!$B:$B,$A124,'Таблиця 1'!$I:$I,"Mi-8")+COUNTIFS('Таблиця 1'!$B:$B,$A124,'Таблиця 1'!$I:$I,"Mi-24"))</f>
        <v/>
      </c>
      <c r="C124">
        <f>IF($A124="","",COUNTIFS('Таблиця 1'!$B:$B,$A124,'Таблиця 1'!$I:$I,"Mi-8"))</f>
        <v/>
      </c>
      <c r="D124">
        <f>IF($A124="","",COUNTIFS('Таблиця 1'!$B:$B,$A124,'Таблиця 1'!$I:$I,"Mi-24"))</f>
        <v/>
      </c>
      <c r="E124">
        <f>IF($A124="","",SUMIFS('Таблиця 1'!$K:$K,'Таблиця 1'!$B:$B,$A124,'Таблиця 1'!$I:$I,"Mi-8",'Таблиця 1'!$J:$J,"ARS-8")+SUMIFS('Таблиця 1'!$K:$K,'Таблиця 1'!$B:$B,$A124,'Таблиця 1'!$I:$I,"Mi-24",'Таблиця 1'!$J:$J,"ARS-8"))</f>
        <v/>
      </c>
      <c r="F124">
        <f>IF($A124="","",SUMIFS('Таблиця 1'!$K:$K,'Таблиця 1'!$B:$B,$A124,'Таблиця 1'!$I:$I,"Mi-8",'Таблиця 1'!$J:$J,"С-8 ком")+SUMIFS('Таблиця 1'!$K:$K,'Таблиця 1'!$B:$B,$A124,'Таблиця 1'!$I:$I,"Mi-24",'Таблиця 1'!$J:$J,"С-8 ком"))</f>
        <v/>
      </c>
      <c r="G124">
        <f>IF($A124="","",SUMIFS('Таблиця 1'!$K:$K,'Таблиця 1'!$B:$B,$A124,'Таблиця 1'!$I:$I,"Mi-8",'Таблиця 1'!$J:$J,"PC-80")+SUMIFS('Таблиця 1'!$K:$K,'Таблиця 1'!$B:$B,$A124,'Таблиця 1'!$I:$I,"Mi-24",'Таблиця 1'!$J:$J,"PC-80"))</f>
        <v/>
      </c>
      <c r="H124">
        <f>IF($A124="","",SUMIFS('Таблиця 1'!$K:$K,'Таблиця 1'!$B:$B,$A124,'Таблиця 1'!$I:$I,"Mi-8",'Таблиця 1'!$J:$J,"UAR-80")+SUMIFS('Таблиця 1'!$K:$K,'Таблиця 1'!$B:$B,$A124,'Таблиця 1'!$I:$I,"Mi-24",'Таблиця 1'!$J:$J,"UAR-80"))</f>
        <v/>
      </c>
      <c r="I124">
        <f>IF($A124="","",SUMIFS('Таблиця 1'!$K:$K,'Таблиця 1'!$B:$B,$A124,'Таблиця 1'!$I:$I,"Mi-8",'Таблиця 1'!$J:$J,"C-13")+SUMIFS('Таблиця 1'!$K:$K,'Таблиця 1'!$B:$B,$A124,'Таблиця 1'!$I:$I,"Mi-24",'Таблиця 1'!$J:$J,"C-13"))</f>
        <v/>
      </c>
      <c r="J124">
        <f>IF($A124="","",SUMIFS('Таблиця 1'!$K:$K,'Таблиця 1'!$B:$B,$A124,'Таблиця 1'!$I:$I,"Mi-8",'Таблиця 1'!$J:$J,"Hydra-70")+SUMIFS('Таблиця 1'!$K:$K,'Таблиця 1'!$B:$B,$A124,'Таблиця 1'!$I:$I,"Mi-24",'Таблиця 1'!$J:$J,"Hydra-70"))</f>
        <v/>
      </c>
      <c r="K124">
        <f>IF($A124="","",SUMIFS('Таблиця 1'!$K:$K,'Таблиця 1'!$B:$B,$A124,'Таблиця 1'!$I:$I,"Mi-8",'Таблиця 1'!$J:$J,"Thales-70")+SUMIFS('Таблиця 1'!$K:$K,'Таблиця 1'!$B:$B,$A124,'Таблиця 1'!$I:$I,"Mi-24",'Таблиця 1'!$J:$J,"Thales-70"))</f>
        <v/>
      </c>
      <c r="L124">
        <f>IF($A124="","",SUMIFS('Таблиця 1'!$K:$K,'Таблиця 1'!$B:$B,$A124,'Таблиця 1'!$I:$I,"Mi-8",'Таблиця 1'!$J:$J,"Thales-FZ")+SUMIFS('Таблиця 1'!$K:$K,'Таблиця 1'!$B:$B,$A124,'Таблиця 1'!$I:$I,"Mi-24",'Таблиця 1'!$J:$J,"Thales-FZ"))</f>
        <v/>
      </c>
      <c r="M124">
        <f>IF($A124="","",SUMIFS('Таблиця 1'!$K:$K,'Таблиця 1'!$B:$B,$A124,'Таблиця 1'!$I:$I,"Mi-8",'Таблиця 1'!$J:$J,"МК-40")+SUMIFS('Таблиця 1'!$K:$K,'Таблиця 1'!$B:$B,$A124,'Таблиця 1'!$I:$I,"Mi-24",'Таблиця 1'!$J:$J,"МК-40"))</f>
        <v/>
      </c>
      <c r="N124">
        <f>IF($A124="","",SUMIFS('Таблиця 1'!$K:$K,'Таблиця 1'!$B:$B,$A124,'Таблиця 1'!$I:$I,"Mi-8",'Таблиця 1'!$J:$J,"Zuni")+SUMIFS('Таблиця 1'!$K:$K,'Таблиця 1'!$B:$B,$A124,'Таблиця 1'!$I:$I,"Mi-24",'Таблиця 1'!$J:$J,"Zuni"))</f>
        <v/>
      </c>
      <c r="O124">
        <f>IF($A124="","",COUNTIFS('Таблиця 1'!$B:$B,$A124,'Таблиця 1'!$I:$I,"Mi-8",'Таблиця 1'!$L:$L,"Уражено")+COUNTIFS('Таблиця 1'!$B:$B,$A124,'Таблиця 1'!$I:$I,"Mi-24",'Таблиця 1'!$L:$L,"Уражено"))</f>
        <v/>
      </c>
      <c r="P124">
        <f>IF($A124="","",COUNTIFS('Таблиця 1'!$B:$B,$A124,'Таблиця 1'!$I:$I,"Mi-8",'Таблиця 1'!$L:$L,"НЕ уражено")+COUNTIFS('Таблиця 1'!$B:$B,$A124,'Таблиця 1'!$I:$I,"Mi-24",'Таблиця 1'!$L:$L,"НЕ уражено"))</f>
        <v/>
      </c>
    </row>
    <row r="125">
      <c r="A125" s="273">
        <f>IF(A124="","",IF(A124+1&gt;MAX('Таблиця 1'!$B:$B),"",A124+1))</f>
        <v/>
      </c>
      <c r="B125">
        <f>IF($A125="","",COUNTIFS('Таблиця 1'!$B:$B,$A125,'Таблиця 1'!$I:$I,"Mi-8")+COUNTIFS('Таблиця 1'!$B:$B,$A125,'Таблиця 1'!$I:$I,"Mi-24"))</f>
        <v/>
      </c>
      <c r="C125">
        <f>IF($A125="","",COUNTIFS('Таблиця 1'!$B:$B,$A125,'Таблиця 1'!$I:$I,"Mi-8"))</f>
        <v/>
      </c>
      <c r="D125">
        <f>IF($A125="","",COUNTIFS('Таблиця 1'!$B:$B,$A125,'Таблиця 1'!$I:$I,"Mi-24"))</f>
        <v/>
      </c>
      <c r="E125">
        <f>IF($A125="","",SUMIFS('Таблиця 1'!$K:$K,'Таблиця 1'!$B:$B,$A125,'Таблиця 1'!$I:$I,"Mi-8",'Таблиця 1'!$J:$J,"ARS-8")+SUMIFS('Таблиця 1'!$K:$K,'Таблиця 1'!$B:$B,$A125,'Таблиця 1'!$I:$I,"Mi-24",'Таблиця 1'!$J:$J,"ARS-8"))</f>
        <v/>
      </c>
      <c r="F125">
        <f>IF($A125="","",SUMIFS('Таблиця 1'!$K:$K,'Таблиця 1'!$B:$B,$A125,'Таблиця 1'!$I:$I,"Mi-8",'Таблиця 1'!$J:$J,"С-8 ком")+SUMIFS('Таблиця 1'!$K:$K,'Таблиця 1'!$B:$B,$A125,'Таблиця 1'!$I:$I,"Mi-24",'Таблиця 1'!$J:$J,"С-8 ком"))</f>
        <v/>
      </c>
      <c r="G125">
        <f>IF($A125="","",SUMIFS('Таблиця 1'!$K:$K,'Таблиця 1'!$B:$B,$A125,'Таблиця 1'!$I:$I,"Mi-8",'Таблиця 1'!$J:$J,"PC-80")+SUMIFS('Таблиця 1'!$K:$K,'Таблиця 1'!$B:$B,$A125,'Таблиця 1'!$I:$I,"Mi-24",'Таблиця 1'!$J:$J,"PC-80"))</f>
        <v/>
      </c>
      <c r="H125">
        <f>IF($A125="","",SUMIFS('Таблиця 1'!$K:$K,'Таблиця 1'!$B:$B,$A125,'Таблиця 1'!$I:$I,"Mi-8",'Таблиця 1'!$J:$J,"UAR-80")+SUMIFS('Таблиця 1'!$K:$K,'Таблиця 1'!$B:$B,$A125,'Таблиця 1'!$I:$I,"Mi-24",'Таблиця 1'!$J:$J,"UAR-80"))</f>
        <v/>
      </c>
      <c r="I125">
        <f>IF($A125="","",SUMIFS('Таблиця 1'!$K:$K,'Таблиця 1'!$B:$B,$A125,'Таблиця 1'!$I:$I,"Mi-8",'Таблиця 1'!$J:$J,"C-13")+SUMIFS('Таблиця 1'!$K:$K,'Таблиця 1'!$B:$B,$A125,'Таблиця 1'!$I:$I,"Mi-24",'Таблиця 1'!$J:$J,"C-13"))</f>
        <v/>
      </c>
      <c r="J125">
        <f>IF($A125="","",SUMIFS('Таблиця 1'!$K:$K,'Таблиця 1'!$B:$B,$A125,'Таблиця 1'!$I:$I,"Mi-8",'Таблиця 1'!$J:$J,"Hydra-70")+SUMIFS('Таблиця 1'!$K:$K,'Таблиця 1'!$B:$B,$A125,'Таблиця 1'!$I:$I,"Mi-24",'Таблиця 1'!$J:$J,"Hydra-70"))</f>
        <v/>
      </c>
      <c r="K125">
        <f>IF($A125="","",SUMIFS('Таблиця 1'!$K:$K,'Таблиця 1'!$B:$B,$A125,'Таблиця 1'!$I:$I,"Mi-8",'Таблиця 1'!$J:$J,"Thales-70")+SUMIFS('Таблиця 1'!$K:$K,'Таблиця 1'!$B:$B,$A125,'Таблиця 1'!$I:$I,"Mi-24",'Таблиця 1'!$J:$J,"Thales-70"))</f>
        <v/>
      </c>
      <c r="L125">
        <f>IF($A125="","",SUMIFS('Таблиця 1'!$K:$K,'Таблиця 1'!$B:$B,$A125,'Таблиця 1'!$I:$I,"Mi-8",'Таблиця 1'!$J:$J,"Thales-FZ")+SUMIFS('Таблиця 1'!$K:$K,'Таблиця 1'!$B:$B,$A125,'Таблиця 1'!$I:$I,"Mi-24",'Таблиця 1'!$J:$J,"Thales-FZ"))</f>
        <v/>
      </c>
      <c r="M125">
        <f>IF($A125="","",SUMIFS('Таблиця 1'!$K:$K,'Таблиця 1'!$B:$B,$A125,'Таблиця 1'!$I:$I,"Mi-8",'Таблиця 1'!$J:$J,"МК-40")+SUMIFS('Таблиця 1'!$K:$K,'Таблиця 1'!$B:$B,$A125,'Таблиця 1'!$I:$I,"Mi-24",'Таблиця 1'!$J:$J,"МК-40"))</f>
        <v/>
      </c>
      <c r="N125">
        <f>IF($A125="","",SUMIFS('Таблиця 1'!$K:$K,'Таблиця 1'!$B:$B,$A125,'Таблиця 1'!$I:$I,"Mi-8",'Таблиця 1'!$J:$J,"Zuni")+SUMIFS('Таблиця 1'!$K:$K,'Таблиця 1'!$B:$B,$A125,'Таблиця 1'!$I:$I,"Mi-24",'Таблиця 1'!$J:$J,"Zuni"))</f>
        <v/>
      </c>
      <c r="O125">
        <f>IF($A125="","",COUNTIFS('Таблиця 1'!$B:$B,$A125,'Таблиця 1'!$I:$I,"Mi-8",'Таблиця 1'!$L:$L,"Уражено")+COUNTIFS('Таблиця 1'!$B:$B,$A125,'Таблиця 1'!$I:$I,"Mi-24",'Таблиця 1'!$L:$L,"Уражено"))</f>
        <v/>
      </c>
      <c r="P125">
        <f>IF($A125="","",COUNTIFS('Таблиця 1'!$B:$B,$A125,'Таблиця 1'!$I:$I,"Mi-8",'Таблиця 1'!$L:$L,"НЕ уражено")+COUNTIFS('Таблиця 1'!$B:$B,$A125,'Таблиця 1'!$I:$I,"Mi-24",'Таблиця 1'!$L:$L,"НЕ уражено"))</f>
        <v/>
      </c>
    </row>
    <row r="126">
      <c r="A126" s="273">
        <f>IF(A125="","",IF(A125+1&gt;MAX('Таблиця 1'!$B:$B),"",A125+1))</f>
        <v/>
      </c>
      <c r="B126">
        <f>IF($A126="","",COUNTIFS('Таблиця 1'!$B:$B,$A126,'Таблиця 1'!$I:$I,"Mi-8")+COUNTIFS('Таблиця 1'!$B:$B,$A126,'Таблиця 1'!$I:$I,"Mi-24"))</f>
        <v/>
      </c>
      <c r="C126">
        <f>IF($A126="","",COUNTIFS('Таблиця 1'!$B:$B,$A126,'Таблиця 1'!$I:$I,"Mi-8"))</f>
        <v/>
      </c>
      <c r="D126">
        <f>IF($A126="","",COUNTIFS('Таблиця 1'!$B:$B,$A126,'Таблиця 1'!$I:$I,"Mi-24"))</f>
        <v/>
      </c>
      <c r="E126">
        <f>IF($A126="","",SUMIFS('Таблиця 1'!$K:$K,'Таблиця 1'!$B:$B,$A126,'Таблиця 1'!$I:$I,"Mi-8",'Таблиця 1'!$J:$J,"ARS-8")+SUMIFS('Таблиця 1'!$K:$K,'Таблиця 1'!$B:$B,$A126,'Таблиця 1'!$I:$I,"Mi-24",'Таблиця 1'!$J:$J,"ARS-8"))</f>
        <v/>
      </c>
      <c r="F126">
        <f>IF($A126="","",SUMIFS('Таблиця 1'!$K:$K,'Таблиця 1'!$B:$B,$A126,'Таблиця 1'!$I:$I,"Mi-8",'Таблиця 1'!$J:$J,"С-8 ком")+SUMIFS('Таблиця 1'!$K:$K,'Таблиця 1'!$B:$B,$A126,'Таблиця 1'!$I:$I,"Mi-24",'Таблиця 1'!$J:$J,"С-8 ком"))</f>
        <v/>
      </c>
      <c r="G126">
        <f>IF($A126="","",SUMIFS('Таблиця 1'!$K:$K,'Таблиця 1'!$B:$B,$A126,'Таблиця 1'!$I:$I,"Mi-8",'Таблиця 1'!$J:$J,"PC-80")+SUMIFS('Таблиця 1'!$K:$K,'Таблиця 1'!$B:$B,$A126,'Таблиця 1'!$I:$I,"Mi-24",'Таблиця 1'!$J:$J,"PC-80"))</f>
        <v/>
      </c>
      <c r="H126">
        <f>IF($A126="","",SUMIFS('Таблиця 1'!$K:$K,'Таблиця 1'!$B:$B,$A126,'Таблиця 1'!$I:$I,"Mi-8",'Таблиця 1'!$J:$J,"UAR-80")+SUMIFS('Таблиця 1'!$K:$K,'Таблиця 1'!$B:$B,$A126,'Таблиця 1'!$I:$I,"Mi-24",'Таблиця 1'!$J:$J,"UAR-80"))</f>
        <v/>
      </c>
      <c r="I126">
        <f>IF($A126="","",SUMIFS('Таблиця 1'!$K:$K,'Таблиця 1'!$B:$B,$A126,'Таблиця 1'!$I:$I,"Mi-8",'Таблиця 1'!$J:$J,"C-13")+SUMIFS('Таблиця 1'!$K:$K,'Таблиця 1'!$B:$B,$A126,'Таблиця 1'!$I:$I,"Mi-24",'Таблиця 1'!$J:$J,"C-13"))</f>
        <v/>
      </c>
      <c r="J126">
        <f>IF($A126="","",SUMIFS('Таблиця 1'!$K:$K,'Таблиця 1'!$B:$B,$A126,'Таблиця 1'!$I:$I,"Mi-8",'Таблиця 1'!$J:$J,"Hydra-70")+SUMIFS('Таблиця 1'!$K:$K,'Таблиця 1'!$B:$B,$A126,'Таблиця 1'!$I:$I,"Mi-24",'Таблиця 1'!$J:$J,"Hydra-70"))</f>
        <v/>
      </c>
      <c r="K126">
        <f>IF($A126="","",SUMIFS('Таблиця 1'!$K:$K,'Таблиця 1'!$B:$B,$A126,'Таблиця 1'!$I:$I,"Mi-8",'Таблиця 1'!$J:$J,"Thales-70")+SUMIFS('Таблиця 1'!$K:$K,'Таблиця 1'!$B:$B,$A126,'Таблиця 1'!$I:$I,"Mi-24",'Таблиця 1'!$J:$J,"Thales-70"))</f>
        <v/>
      </c>
      <c r="L126">
        <f>IF($A126="","",SUMIFS('Таблиця 1'!$K:$K,'Таблиця 1'!$B:$B,$A126,'Таблиця 1'!$I:$I,"Mi-8",'Таблиця 1'!$J:$J,"Thales-FZ")+SUMIFS('Таблиця 1'!$K:$K,'Таблиця 1'!$B:$B,$A126,'Таблиця 1'!$I:$I,"Mi-24",'Таблиця 1'!$J:$J,"Thales-FZ"))</f>
        <v/>
      </c>
      <c r="M126">
        <f>IF($A126="","",SUMIFS('Таблиця 1'!$K:$K,'Таблиця 1'!$B:$B,$A126,'Таблиця 1'!$I:$I,"Mi-8",'Таблиця 1'!$J:$J,"МК-40")+SUMIFS('Таблиця 1'!$K:$K,'Таблиця 1'!$B:$B,$A126,'Таблиця 1'!$I:$I,"Mi-24",'Таблиця 1'!$J:$J,"МК-40"))</f>
        <v/>
      </c>
      <c r="N126">
        <f>IF($A126="","",SUMIFS('Таблиця 1'!$K:$K,'Таблиця 1'!$B:$B,$A126,'Таблиця 1'!$I:$I,"Mi-8",'Таблиця 1'!$J:$J,"Zuni")+SUMIFS('Таблиця 1'!$K:$K,'Таблиця 1'!$B:$B,$A126,'Таблиця 1'!$I:$I,"Mi-24",'Таблиця 1'!$J:$J,"Zuni"))</f>
        <v/>
      </c>
      <c r="O126">
        <f>IF($A126="","",COUNTIFS('Таблиця 1'!$B:$B,$A126,'Таблиця 1'!$I:$I,"Mi-8",'Таблиця 1'!$L:$L,"Уражено")+COUNTIFS('Таблиця 1'!$B:$B,$A126,'Таблиця 1'!$I:$I,"Mi-24",'Таблиця 1'!$L:$L,"Уражено"))</f>
        <v/>
      </c>
      <c r="P126">
        <f>IF($A126="","",COUNTIFS('Таблиця 1'!$B:$B,$A126,'Таблиця 1'!$I:$I,"Mi-8",'Таблиця 1'!$L:$L,"НЕ уражено")+COUNTIFS('Таблиця 1'!$B:$B,$A126,'Таблиця 1'!$I:$I,"Mi-24",'Таблиця 1'!$L:$L,"НЕ уражено"))</f>
        <v/>
      </c>
    </row>
    <row r="127">
      <c r="A127" s="273">
        <f>IF(A126="","",IF(A126+1&gt;MAX('Таблиця 1'!$B:$B),"",A126+1))</f>
        <v/>
      </c>
      <c r="B127">
        <f>IF($A127="","",COUNTIFS('Таблиця 1'!$B:$B,$A127,'Таблиця 1'!$I:$I,"Mi-8")+COUNTIFS('Таблиця 1'!$B:$B,$A127,'Таблиця 1'!$I:$I,"Mi-24"))</f>
        <v/>
      </c>
      <c r="C127">
        <f>IF($A127="","",COUNTIFS('Таблиця 1'!$B:$B,$A127,'Таблиця 1'!$I:$I,"Mi-8"))</f>
        <v/>
      </c>
      <c r="D127">
        <f>IF($A127="","",COUNTIFS('Таблиця 1'!$B:$B,$A127,'Таблиця 1'!$I:$I,"Mi-24"))</f>
        <v/>
      </c>
      <c r="E127">
        <f>IF($A127="","",SUMIFS('Таблиця 1'!$K:$K,'Таблиця 1'!$B:$B,$A127,'Таблиця 1'!$I:$I,"Mi-8",'Таблиця 1'!$J:$J,"ARS-8")+SUMIFS('Таблиця 1'!$K:$K,'Таблиця 1'!$B:$B,$A127,'Таблиця 1'!$I:$I,"Mi-24",'Таблиця 1'!$J:$J,"ARS-8"))</f>
        <v/>
      </c>
      <c r="F127">
        <f>IF($A127="","",SUMIFS('Таблиця 1'!$K:$K,'Таблиця 1'!$B:$B,$A127,'Таблиця 1'!$I:$I,"Mi-8",'Таблиця 1'!$J:$J,"С-8 ком")+SUMIFS('Таблиця 1'!$K:$K,'Таблиця 1'!$B:$B,$A127,'Таблиця 1'!$I:$I,"Mi-24",'Таблиця 1'!$J:$J,"С-8 ком"))</f>
        <v/>
      </c>
      <c r="G127">
        <f>IF($A127="","",SUMIFS('Таблиця 1'!$K:$K,'Таблиця 1'!$B:$B,$A127,'Таблиця 1'!$I:$I,"Mi-8",'Таблиця 1'!$J:$J,"PC-80")+SUMIFS('Таблиця 1'!$K:$K,'Таблиця 1'!$B:$B,$A127,'Таблиця 1'!$I:$I,"Mi-24",'Таблиця 1'!$J:$J,"PC-80"))</f>
        <v/>
      </c>
      <c r="H127">
        <f>IF($A127="","",SUMIFS('Таблиця 1'!$K:$K,'Таблиця 1'!$B:$B,$A127,'Таблиця 1'!$I:$I,"Mi-8",'Таблиця 1'!$J:$J,"UAR-80")+SUMIFS('Таблиця 1'!$K:$K,'Таблиця 1'!$B:$B,$A127,'Таблиця 1'!$I:$I,"Mi-24",'Таблиця 1'!$J:$J,"UAR-80"))</f>
        <v/>
      </c>
      <c r="I127">
        <f>IF($A127="","",SUMIFS('Таблиця 1'!$K:$K,'Таблиця 1'!$B:$B,$A127,'Таблиця 1'!$I:$I,"Mi-8",'Таблиця 1'!$J:$J,"C-13")+SUMIFS('Таблиця 1'!$K:$K,'Таблиця 1'!$B:$B,$A127,'Таблиця 1'!$I:$I,"Mi-24",'Таблиця 1'!$J:$J,"C-13"))</f>
        <v/>
      </c>
      <c r="J127">
        <f>IF($A127="","",SUMIFS('Таблиця 1'!$K:$K,'Таблиця 1'!$B:$B,$A127,'Таблиця 1'!$I:$I,"Mi-8",'Таблиця 1'!$J:$J,"Hydra-70")+SUMIFS('Таблиця 1'!$K:$K,'Таблиця 1'!$B:$B,$A127,'Таблиця 1'!$I:$I,"Mi-24",'Таблиця 1'!$J:$J,"Hydra-70"))</f>
        <v/>
      </c>
      <c r="K127">
        <f>IF($A127="","",SUMIFS('Таблиця 1'!$K:$K,'Таблиця 1'!$B:$B,$A127,'Таблиця 1'!$I:$I,"Mi-8",'Таблиця 1'!$J:$J,"Thales-70")+SUMIFS('Таблиця 1'!$K:$K,'Таблиця 1'!$B:$B,$A127,'Таблиця 1'!$I:$I,"Mi-24",'Таблиця 1'!$J:$J,"Thales-70"))</f>
        <v/>
      </c>
      <c r="L127">
        <f>IF($A127="","",SUMIFS('Таблиця 1'!$K:$K,'Таблиця 1'!$B:$B,$A127,'Таблиця 1'!$I:$I,"Mi-8",'Таблиця 1'!$J:$J,"Thales-FZ")+SUMIFS('Таблиця 1'!$K:$K,'Таблиця 1'!$B:$B,$A127,'Таблиця 1'!$I:$I,"Mi-24",'Таблиця 1'!$J:$J,"Thales-FZ"))</f>
        <v/>
      </c>
      <c r="M127">
        <f>IF($A127="","",SUMIFS('Таблиця 1'!$K:$K,'Таблиця 1'!$B:$B,$A127,'Таблиця 1'!$I:$I,"Mi-8",'Таблиця 1'!$J:$J,"МК-40")+SUMIFS('Таблиця 1'!$K:$K,'Таблиця 1'!$B:$B,$A127,'Таблиця 1'!$I:$I,"Mi-24",'Таблиця 1'!$J:$J,"МК-40"))</f>
        <v/>
      </c>
      <c r="N127">
        <f>IF($A127="","",SUMIFS('Таблиця 1'!$K:$K,'Таблиця 1'!$B:$B,$A127,'Таблиця 1'!$I:$I,"Mi-8",'Таблиця 1'!$J:$J,"Zuni")+SUMIFS('Таблиця 1'!$K:$K,'Таблиця 1'!$B:$B,$A127,'Таблиця 1'!$I:$I,"Mi-24",'Таблиця 1'!$J:$J,"Zuni"))</f>
        <v/>
      </c>
      <c r="O127">
        <f>IF($A127="","",COUNTIFS('Таблиця 1'!$B:$B,$A127,'Таблиця 1'!$I:$I,"Mi-8",'Таблиця 1'!$L:$L,"Уражено")+COUNTIFS('Таблиця 1'!$B:$B,$A127,'Таблиця 1'!$I:$I,"Mi-24",'Таблиця 1'!$L:$L,"Уражено"))</f>
        <v/>
      </c>
      <c r="P127">
        <f>IF($A127="","",COUNTIFS('Таблиця 1'!$B:$B,$A127,'Таблиця 1'!$I:$I,"Mi-8",'Таблиця 1'!$L:$L,"НЕ уражено")+COUNTIFS('Таблиця 1'!$B:$B,$A127,'Таблиця 1'!$I:$I,"Mi-24",'Таблиця 1'!$L:$L,"НЕ уражено"))</f>
        <v/>
      </c>
    </row>
    <row r="128">
      <c r="A128" s="273">
        <f>IF(A127="","",IF(A127+1&gt;MAX('Таблиця 1'!$B:$B),"",A127+1))</f>
        <v/>
      </c>
      <c r="B128">
        <f>IF($A128="","",COUNTIFS('Таблиця 1'!$B:$B,$A128,'Таблиця 1'!$I:$I,"Mi-8")+COUNTIFS('Таблиця 1'!$B:$B,$A128,'Таблиця 1'!$I:$I,"Mi-24"))</f>
        <v/>
      </c>
      <c r="C128">
        <f>IF($A128="","",COUNTIFS('Таблиця 1'!$B:$B,$A128,'Таблиця 1'!$I:$I,"Mi-8"))</f>
        <v/>
      </c>
      <c r="D128">
        <f>IF($A128="","",COUNTIFS('Таблиця 1'!$B:$B,$A128,'Таблиця 1'!$I:$I,"Mi-24"))</f>
        <v/>
      </c>
      <c r="E128">
        <f>IF($A128="","",SUMIFS('Таблиця 1'!$K:$K,'Таблиця 1'!$B:$B,$A128,'Таблиця 1'!$I:$I,"Mi-8",'Таблиця 1'!$J:$J,"ARS-8")+SUMIFS('Таблиця 1'!$K:$K,'Таблиця 1'!$B:$B,$A128,'Таблиця 1'!$I:$I,"Mi-24",'Таблиця 1'!$J:$J,"ARS-8"))</f>
        <v/>
      </c>
      <c r="F128">
        <f>IF($A128="","",SUMIFS('Таблиця 1'!$K:$K,'Таблиця 1'!$B:$B,$A128,'Таблиця 1'!$I:$I,"Mi-8",'Таблиця 1'!$J:$J,"С-8 ком")+SUMIFS('Таблиця 1'!$K:$K,'Таблиця 1'!$B:$B,$A128,'Таблиця 1'!$I:$I,"Mi-24",'Таблиця 1'!$J:$J,"С-8 ком"))</f>
        <v/>
      </c>
      <c r="G128">
        <f>IF($A128="","",SUMIFS('Таблиця 1'!$K:$K,'Таблиця 1'!$B:$B,$A128,'Таблиця 1'!$I:$I,"Mi-8",'Таблиця 1'!$J:$J,"PC-80")+SUMIFS('Таблиця 1'!$K:$K,'Таблиця 1'!$B:$B,$A128,'Таблиця 1'!$I:$I,"Mi-24",'Таблиця 1'!$J:$J,"PC-80"))</f>
        <v/>
      </c>
      <c r="H128">
        <f>IF($A128="","",SUMIFS('Таблиця 1'!$K:$K,'Таблиця 1'!$B:$B,$A128,'Таблиця 1'!$I:$I,"Mi-8",'Таблиця 1'!$J:$J,"UAR-80")+SUMIFS('Таблиця 1'!$K:$K,'Таблиця 1'!$B:$B,$A128,'Таблиця 1'!$I:$I,"Mi-24",'Таблиця 1'!$J:$J,"UAR-80"))</f>
        <v/>
      </c>
      <c r="I128">
        <f>IF($A128="","",SUMIFS('Таблиця 1'!$K:$K,'Таблиця 1'!$B:$B,$A128,'Таблиця 1'!$I:$I,"Mi-8",'Таблиця 1'!$J:$J,"C-13")+SUMIFS('Таблиця 1'!$K:$K,'Таблиця 1'!$B:$B,$A128,'Таблиця 1'!$I:$I,"Mi-24",'Таблиця 1'!$J:$J,"C-13"))</f>
        <v/>
      </c>
      <c r="J128">
        <f>IF($A128="","",SUMIFS('Таблиця 1'!$K:$K,'Таблиця 1'!$B:$B,$A128,'Таблиця 1'!$I:$I,"Mi-8",'Таблиця 1'!$J:$J,"Hydra-70")+SUMIFS('Таблиця 1'!$K:$K,'Таблиця 1'!$B:$B,$A128,'Таблиця 1'!$I:$I,"Mi-24",'Таблиця 1'!$J:$J,"Hydra-70"))</f>
        <v/>
      </c>
      <c r="K128">
        <f>IF($A128="","",SUMIFS('Таблиця 1'!$K:$K,'Таблиця 1'!$B:$B,$A128,'Таблиця 1'!$I:$I,"Mi-8",'Таблиця 1'!$J:$J,"Thales-70")+SUMIFS('Таблиця 1'!$K:$K,'Таблиця 1'!$B:$B,$A128,'Таблиця 1'!$I:$I,"Mi-24",'Таблиця 1'!$J:$J,"Thales-70"))</f>
        <v/>
      </c>
      <c r="L128">
        <f>IF($A128="","",SUMIFS('Таблиця 1'!$K:$K,'Таблиця 1'!$B:$B,$A128,'Таблиця 1'!$I:$I,"Mi-8",'Таблиця 1'!$J:$J,"Thales-FZ")+SUMIFS('Таблиця 1'!$K:$K,'Таблиця 1'!$B:$B,$A128,'Таблиця 1'!$I:$I,"Mi-24",'Таблиця 1'!$J:$J,"Thales-FZ"))</f>
        <v/>
      </c>
      <c r="M128">
        <f>IF($A128="","",SUMIFS('Таблиця 1'!$K:$K,'Таблиця 1'!$B:$B,$A128,'Таблиця 1'!$I:$I,"Mi-8",'Таблиця 1'!$J:$J,"МК-40")+SUMIFS('Таблиця 1'!$K:$K,'Таблиця 1'!$B:$B,$A128,'Таблиця 1'!$I:$I,"Mi-24",'Таблиця 1'!$J:$J,"МК-40"))</f>
        <v/>
      </c>
      <c r="N128">
        <f>IF($A128="","",SUMIFS('Таблиця 1'!$K:$K,'Таблиця 1'!$B:$B,$A128,'Таблиця 1'!$I:$I,"Mi-8",'Таблиця 1'!$J:$J,"Zuni")+SUMIFS('Таблиця 1'!$K:$K,'Таблиця 1'!$B:$B,$A128,'Таблиця 1'!$I:$I,"Mi-24",'Таблиця 1'!$J:$J,"Zuni"))</f>
        <v/>
      </c>
      <c r="O128">
        <f>IF($A128="","",COUNTIFS('Таблиця 1'!$B:$B,$A128,'Таблиця 1'!$I:$I,"Mi-8",'Таблиця 1'!$L:$L,"Уражено")+COUNTIFS('Таблиця 1'!$B:$B,$A128,'Таблиця 1'!$I:$I,"Mi-24",'Таблиця 1'!$L:$L,"Уражено"))</f>
        <v/>
      </c>
      <c r="P128">
        <f>IF($A128="","",COUNTIFS('Таблиця 1'!$B:$B,$A128,'Таблиця 1'!$I:$I,"Mi-8",'Таблиця 1'!$L:$L,"НЕ уражено")+COUNTIFS('Таблиця 1'!$B:$B,$A128,'Таблиця 1'!$I:$I,"Mi-24",'Таблиця 1'!$L:$L,"НЕ уражено"))</f>
        <v/>
      </c>
    </row>
    <row r="129">
      <c r="A129" s="273">
        <f>IF(A128="","",IF(A128+1&gt;MAX('Таблиця 1'!$B:$B),"",A128+1))</f>
        <v/>
      </c>
      <c r="B129">
        <f>IF($A129="","",COUNTIFS('Таблиця 1'!$B:$B,$A129,'Таблиця 1'!$I:$I,"Mi-8")+COUNTIFS('Таблиця 1'!$B:$B,$A129,'Таблиця 1'!$I:$I,"Mi-24"))</f>
        <v/>
      </c>
      <c r="C129">
        <f>IF($A129="","",COUNTIFS('Таблиця 1'!$B:$B,$A129,'Таблиця 1'!$I:$I,"Mi-8"))</f>
        <v/>
      </c>
      <c r="D129">
        <f>IF($A129="","",COUNTIFS('Таблиця 1'!$B:$B,$A129,'Таблиця 1'!$I:$I,"Mi-24"))</f>
        <v/>
      </c>
      <c r="E129">
        <f>IF($A129="","",SUMIFS('Таблиця 1'!$K:$K,'Таблиця 1'!$B:$B,$A129,'Таблиця 1'!$I:$I,"Mi-8",'Таблиця 1'!$J:$J,"ARS-8")+SUMIFS('Таблиця 1'!$K:$K,'Таблиця 1'!$B:$B,$A129,'Таблиця 1'!$I:$I,"Mi-24",'Таблиця 1'!$J:$J,"ARS-8"))</f>
        <v/>
      </c>
      <c r="F129">
        <f>IF($A129="","",SUMIFS('Таблиця 1'!$K:$K,'Таблиця 1'!$B:$B,$A129,'Таблиця 1'!$I:$I,"Mi-8",'Таблиця 1'!$J:$J,"С-8 ком")+SUMIFS('Таблиця 1'!$K:$K,'Таблиця 1'!$B:$B,$A129,'Таблиця 1'!$I:$I,"Mi-24",'Таблиця 1'!$J:$J,"С-8 ком"))</f>
        <v/>
      </c>
      <c r="G129">
        <f>IF($A129="","",SUMIFS('Таблиця 1'!$K:$K,'Таблиця 1'!$B:$B,$A129,'Таблиця 1'!$I:$I,"Mi-8",'Таблиця 1'!$J:$J,"PC-80")+SUMIFS('Таблиця 1'!$K:$K,'Таблиця 1'!$B:$B,$A129,'Таблиця 1'!$I:$I,"Mi-24",'Таблиця 1'!$J:$J,"PC-80"))</f>
        <v/>
      </c>
      <c r="H129">
        <f>IF($A129="","",SUMIFS('Таблиця 1'!$K:$K,'Таблиця 1'!$B:$B,$A129,'Таблиця 1'!$I:$I,"Mi-8",'Таблиця 1'!$J:$J,"UAR-80")+SUMIFS('Таблиця 1'!$K:$K,'Таблиця 1'!$B:$B,$A129,'Таблиця 1'!$I:$I,"Mi-24",'Таблиця 1'!$J:$J,"UAR-80"))</f>
        <v/>
      </c>
      <c r="I129">
        <f>IF($A129="","",SUMIFS('Таблиця 1'!$K:$K,'Таблиця 1'!$B:$B,$A129,'Таблиця 1'!$I:$I,"Mi-8",'Таблиця 1'!$J:$J,"C-13")+SUMIFS('Таблиця 1'!$K:$K,'Таблиця 1'!$B:$B,$A129,'Таблиця 1'!$I:$I,"Mi-24",'Таблиця 1'!$J:$J,"C-13"))</f>
        <v/>
      </c>
      <c r="J129">
        <f>IF($A129="","",SUMIFS('Таблиця 1'!$K:$K,'Таблиця 1'!$B:$B,$A129,'Таблиця 1'!$I:$I,"Mi-8",'Таблиця 1'!$J:$J,"Hydra-70")+SUMIFS('Таблиця 1'!$K:$K,'Таблиця 1'!$B:$B,$A129,'Таблиця 1'!$I:$I,"Mi-24",'Таблиця 1'!$J:$J,"Hydra-70"))</f>
        <v/>
      </c>
      <c r="K129">
        <f>IF($A129="","",SUMIFS('Таблиця 1'!$K:$K,'Таблиця 1'!$B:$B,$A129,'Таблиця 1'!$I:$I,"Mi-8",'Таблиця 1'!$J:$J,"Thales-70")+SUMIFS('Таблиця 1'!$K:$K,'Таблиця 1'!$B:$B,$A129,'Таблиця 1'!$I:$I,"Mi-24",'Таблиця 1'!$J:$J,"Thales-70"))</f>
        <v/>
      </c>
      <c r="L129">
        <f>IF($A129="","",SUMIFS('Таблиця 1'!$K:$K,'Таблиця 1'!$B:$B,$A129,'Таблиця 1'!$I:$I,"Mi-8",'Таблиця 1'!$J:$J,"Thales-FZ")+SUMIFS('Таблиця 1'!$K:$K,'Таблиця 1'!$B:$B,$A129,'Таблиця 1'!$I:$I,"Mi-24",'Таблиця 1'!$J:$J,"Thales-FZ"))</f>
        <v/>
      </c>
      <c r="M129">
        <f>IF($A129="","",SUMIFS('Таблиця 1'!$K:$K,'Таблиця 1'!$B:$B,$A129,'Таблиця 1'!$I:$I,"Mi-8",'Таблиця 1'!$J:$J,"МК-40")+SUMIFS('Таблиця 1'!$K:$K,'Таблиця 1'!$B:$B,$A129,'Таблиця 1'!$I:$I,"Mi-24",'Таблиця 1'!$J:$J,"МК-40"))</f>
        <v/>
      </c>
      <c r="N129">
        <f>IF($A129="","",SUMIFS('Таблиця 1'!$K:$K,'Таблиця 1'!$B:$B,$A129,'Таблиця 1'!$I:$I,"Mi-8",'Таблиця 1'!$J:$J,"Zuni")+SUMIFS('Таблиця 1'!$K:$K,'Таблиця 1'!$B:$B,$A129,'Таблиця 1'!$I:$I,"Mi-24",'Таблиця 1'!$J:$J,"Zuni"))</f>
        <v/>
      </c>
      <c r="O129">
        <f>IF($A129="","",COUNTIFS('Таблиця 1'!$B:$B,$A129,'Таблиця 1'!$I:$I,"Mi-8",'Таблиця 1'!$L:$L,"Уражено")+COUNTIFS('Таблиця 1'!$B:$B,$A129,'Таблиця 1'!$I:$I,"Mi-24",'Таблиця 1'!$L:$L,"Уражено"))</f>
        <v/>
      </c>
      <c r="P129">
        <f>IF($A129="","",COUNTIFS('Таблиця 1'!$B:$B,$A129,'Таблиця 1'!$I:$I,"Mi-8",'Таблиця 1'!$L:$L,"НЕ уражено")+COUNTIFS('Таблиця 1'!$B:$B,$A129,'Таблиця 1'!$I:$I,"Mi-24",'Таблиця 1'!$L:$L,"НЕ уражено"))</f>
        <v/>
      </c>
    </row>
    <row r="130">
      <c r="A130" s="273">
        <f>IF(A129="","",IF(A129+1&gt;MAX('Таблиця 1'!$B:$B),"",A129+1))</f>
        <v/>
      </c>
      <c r="B130">
        <f>IF($A130="","",COUNTIFS('Таблиця 1'!$B:$B,$A130,'Таблиця 1'!$I:$I,"Mi-8")+COUNTIFS('Таблиця 1'!$B:$B,$A130,'Таблиця 1'!$I:$I,"Mi-24"))</f>
        <v/>
      </c>
      <c r="C130">
        <f>IF($A130="","",COUNTIFS('Таблиця 1'!$B:$B,$A130,'Таблиця 1'!$I:$I,"Mi-8"))</f>
        <v/>
      </c>
      <c r="D130">
        <f>IF($A130="","",COUNTIFS('Таблиця 1'!$B:$B,$A130,'Таблиця 1'!$I:$I,"Mi-24"))</f>
        <v/>
      </c>
      <c r="E130">
        <f>IF($A130="","",SUMIFS('Таблиця 1'!$K:$K,'Таблиця 1'!$B:$B,$A130,'Таблиця 1'!$I:$I,"Mi-8",'Таблиця 1'!$J:$J,"ARS-8")+SUMIFS('Таблиця 1'!$K:$K,'Таблиця 1'!$B:$B,$A130,'Таблиця 1'!$I:$I,"Mi-24",'Таблиця 1'!$J:$J,"ARS-8"))</f>
        <v/>
      </c>
      <c r="F130">
        <f>IF($A130="","",SUMIFS('Таблиця 1'!$K:$K,'Таблиця 1'!$B:$B,$A130,'Таблиця 1'!$I:$I,"Mi-8",'Таблиця 1'!$J:$J,"С-8 ком")+SUMIFS('Таблиця 1'!$K:$K,'Таблиця 1'!$B:$B,$A130,'Таблиця 1'!$I:$I,"Mi-24",'Таблиця 1'!$J:$J,"С-8 ком"))</f>
        <v/>
      </c>
      <c r="G130">
        <f>IF($A130="","",SUMIFS('Таблиця 1'!$K:$K,'Таблиця 1'!$B:$B,$A130,'Таблиця 1'!$I:$I,"Mi-8",'Таблиця 1'!$J:$J,"PC-80")+SUMIFS('Таблиця 1'!$K:$K,'Таблиця 1'!$B:$B,$A130,'Таблиця 1'!$I:$I,"Mi-24",'Таблиця 1'!$J:$J,"PC-80"))</f>
        <v/>
      </c>
      <c r="H130">
        <f>IF($A130="","",SUMIFS('Таблиця 1'!$K:$K,'Таблиця 1'!$B:$B,$A130,'Таблиця 1'!$I:$I,"Mi-8",'Таблиця 1'!$J:$J,"UAR-80")+SUMIFS('Таблиця 1'!$K:$K,'Таблиця 1'!$B:$B,$A130,'Таблиця 1'!$I:$I,"Mi-24",'Таблиця 1'!$J:$J,"UAR-80"))</f>
        <v/>
      </c>
      <c r="I130">
        <f>IF($A130="","",SUMIFS('Таблиця 1'!$K:$K,'Таблиця 1'!$B:$B,$A130,'Таблиця 1'!$I:$I,"Mi-8",'Таблиця 1'!$J:$J,"C-13")+SUMIFS('Таблиця 1'!$K:$K,'Таблиця 1'!$B:$B,$A130,'Таблиця 1'!$I:$I,"Mi-24",'Таблиця 1'!$J:$J,"C-13"))</f>
        <v/>
      </c>
      <c r="J130">
        <f>IF($A130="","",SUMIFS('Таблиця 1'!$K:$K,'Таблиця 1'!$B:$B,$A130,'Таблиця 1'!$I:$I,"Mi-8",'Таблиця 1'!$J:$J,"Hydra-70")+SUMIFS('Таблиця 1'!$K:$K,'Таблиця 1'!$B:$B,$A130,'Таблиця 1'!$I:$I,"Mi-24",'Таблиця 1'!$J:$J,"Hydra-70"))</f>
        <v/>
      </c>
      <c r="K130">
        <f>IF($A130="","",SUMIFS('Таблиця 1'!$K:$K,'Таблиця 1'!$B:$B,$A130,'Таблиця 1'!$I:$I,"Mi-8",'Таблиця 1'!$J:$J,"Thales-70")+SUMIFS('Таблиця 1'!$K:$K,'Таблиця 1'!$B:$B,$A130,'Таблиця 1'!$I:$I,"Mi-24",'Таблиця 1'!$J:$J,"Thales-70"))</f>
        <v/>
      </c>
      <c r="L130">
        <f>IF($A130="","",SUMIFS('Таблиця 1'!$K:$K,'Таблиця 1'!$B:$B,$A130,'Таблиця 1'!$I:$I,"Mi-8",'Таблиця 1'!$J:$J,"Thales-FZ")+SUMIFS('Таблиця 1'!$K:$K,'Таблиця 1'!$B:$B,$A130,'Таблиця 1'!$I:$I,"Mi-24",'Таблиця 1'!$J:$J,"Thales-FZ"))</f>
        <v/>
      </c>
      <c r="M130">
        <f>IF($A130="","",SUMIFS('Таблиця 1'!$K:$K,'Таблиця 1'!$B:$B,$A130,'Таблиця 1'!$I:$I,"Mi-8",'Таблиця 1'!$J:$J,"МК-40")+SUMIFS('Таблиця 1'!$K:$K,'Таблиця 1'!$B:$B,$A130,'Таблиця 1'!$I:$I,"Mi-24",'Таблиця 1'!$J:$J,"МК-40"))</f>
        <v/>
      </c>
      <c r="N130">
        <f>IF($A130="","",SUMIFS('Таблиця 1'!$K:$K,'Таблиця 1'!$B:$B,$A130,'Таблиця 1'!$I:$I,"Mi-8",'Таблиця 1'!$J:$J,"Zuni")+SUMIFS('Таблиця 1'!$K:$K,'Таблиця 1'!$B:$B,$A130,'Таблиця 1'!$I:$I,"Mi-24",'Таблиця 1'!$J:$J,"Zuni"))</f>
        <v/>
      </c>
      <c r="O130">
        <f>IF($A130="","",COUNTIFS('Таблиця 1'!$B:$B,$A130,'Таблиця 1'!$I:$I,"Mi-8",'Таблиця 1'!$L:$L,"Уражено")+COUNTIFS('Таблиця 1'!$B:$B,$A130,'Таблиця 1'!$I:$I,"Mi-24",'Таблиця 1'!$L:$L,"Уражено"))</f>
        <v/>
      </c>
      <c r="P130">
        <f>IF($A130="","",COUNTIFS('Таблиця 1'!$B:$B,$A130,'Таблиця 1'!$I:$I,"Mi-8",'Таблиця 1'!$L:$L,"НЕ уражено")+COUNTIFS('Таблиця 1'!$B:$B,$A130,'Таблиця 1'!$I:$I,"Mi-24",'Таблиця 1'!$L:$L,"НЕ уражено"))</f>
        <v/>
      </c>
    </row>
    <row r="131">
      <c r="A131" s="273">
        <f>IF(A130="","",IF(A130+1&gt;MAX('Таблиця 1'!$B:$B),"",A130+1))</f>
        <v/>
      </c>
      <c r="B131">
        <f>IF($A131="","",COUNTIFS('Таблиця 1'!$B:$B,$A131,'Таблиця 1'!$I:$I,"Mi-8")+COUNTIFS('Таблиця 1'!$B:$B,$A131,'Таблиця 1'!$I:$I,"Mi-24"))</f>
        <v/>
      </c>
      <c r="C131">
        <f>IF($A131="","",COUNTIFS('Таблиця 1'!$B:$B,$A131,'Таблиця 1'!$I:$I,"Mi-8"))</f>
        <v/>
      </c>
      <c r="D131">
        <f>IF($A131="","",COUNTIFS('Таблиця 1'!$B:$B,$A131,'Таблиця 1'!$I:$I,"Mi-24"))</f>
        <v/>
      </c>
      <c r="E131">
        <f>IF($A131="","",SUMIFS('Таблиця 1'!$K:$K,'Таблиця 1'!$B:$B,$A131,'Таблиця 1'!$I:$I,"Mi-8",'Таблиця 1'!$J:$J,"ARS-8")+SUMIFS('Таблиця 1'!$K:$K,'Таблиця 1'!$B:$B,$A131,'Таблиця 1'!$I:$I,"Mi-24",'Таблиця 1'!$J:$J,"ARS-8"))</f>
        <v/>
      </c>
      <c r="F131">
        <f>IF($A131="","",SUMIFS('Таблиця 1'!$K:$K,'Таблиця 1'!$B:$B,$A131,'Таблиця 1'!$I:$I,"Mi-8",'Таблиця 1'!$J:$J,"С-8 ком")+SUMIFS('Таблиця 1'!$K:$K,'Таблиця 1'!$B:$B,$A131,'Таблиця 1'!$I:$I,"Mi-24",'Таблиця 1'!$J:$J,"С-8 ком"))</f>
        <v/>
      </c>
      <c r="G131">
        <f>IF($A131="","",SUMIFS('Таблиця 1'!$K:$K,'Таблиця 1'!$B:$B,$A131,'Таблиця 1'!$I:$I,"Mi-8",'Таблиця 1'!$J:$J,"PC-80")+SUMIFS('Таблиця 1'!$K:$K,'Таблиця 1'!$B:$B,$A131,'Таблиця 1'!$I:$I,"Mi-24",'Таблиця 1'!$J:$J,"PC-80"))</f>
        <v/>
      </c>
      <c r="H131">
        <f>IF($A131="","",SUMIFS('Таблиця 1'!$K:$K,'Таблиця 1'!$B:$B,$A131,'Таблиця 1'!$I:$I,"Mi-8",'Таблиця 1'!$J:$J,"UAR-80")+SUMIFS('Таблиця 1'!$K:$K,'Таблиця 1'!$B:$B,$A131,'Таблиця 1'!$I:$I,"Mi-24",'Таблиця 1'!$J:$J,"UAR-80"))</f>
        <v/>
      </c>
      <c r="I131">
        <f>IF($A131="","",SUMIFS('Таблиця 1'!$K:$K,'Таблиця 1'!$B:$B,$A131,'Таблиця 1'!$I:$I,"Mi-8",'Таблиця 1'!$J:$J,"C-13")+SUMIFS('Таблиця 1'!$K:$K,'Таблиця 1'!$B:$B,$A131,'Таблиця 1'!$I:$I,"Mi-24",'Таблиця 1'!$J:$J,"C-13"))</f>
        <v/>
      </c>
      <c r="J131">
        <f>IF($A131="","",SUMIFS('Таблиця 1'!$K:$K,'Таблиця 1'!$B:$B,$A131,'Таблиця 1'!$I:$I,"Mi-8",'Таблиця 1'!$J:$J,"Hydra-70")+SUMIFS('Таблиця 1'!$K:$K,'Таблиця 1'!$B:$B,$A131,'Таблиця 1'!$I:$I,"Mi-24",'Таблиця 1'!$J:$J,"Hydra-70"))</f>
        <v/>
      </c>
      <c r="K131">
        <f>IF($A131="","",SUMIFS('Таблиця 1'!$K:$K,'Таблиця 1'!$B:$B,$A131,'Таблиця 1'!$I:$I,"Mi-8",'Таблиця 1'!$J:$J,"Thales-70")+SUMIFS('Таблиця 1'!$K:$K,'Таблиця 1'!$B:$B,$A131,'Таблиця 1'!$I:$I,"Mi-24",'Таблиця 1'!$J:$J,"Thales-70"))</f>
        <v/>
      </c>
      <c r="L131">
        <f>IF($A131="","",SUMIFS('Таблиця 1'!$K:$K,'Таблиця 1'!$B:$B,$A131,'Таблиця 1'!$I:$I,"Mi-8",'Таблиця 1'!$J:$J,"Thales-FZ")+SUMIFS('Таблиця 1'!$K:$K,'Таблиця 1'!$B:$B,$A131,'Таблиця 1'!$I:$I,"Mi-24",'Таблиця 1'!$J:$J,"Thales-FZ"))</f>
        <v/>
      </c>
      <c r="M131">
        <f>IF($A131="","",SUMIFS('Таблиця 1'!$K:$K,'Таблиця 1'!$B:$B,$A131,'Таблиця 1'!$I:$I,"Mi-8",'Таблиця 1'!$J:$J,"МК-40")+SUMIFS('Таблиця 1'!$K:$K,'Таблиця 1'!$B:$B,$A131,'Таблиця 1'!$I:$I,"Mi-24",'Таблиця 1'!$J:$J,"МК-40"))</f>
        <v/>
      </c>
      <c r="N131">
        <f>IF($A131="","",SUMIFS('Таблиця 1'!$K:$K,'Таблиця 1'!$B:$B,$A131,'Таблиця 1'!$I:$I,"Mi-8",'Таблиця 1'!$J:$J,"Zuni")+SUMIFS('Таблиця 1'!$K:$K,'Таблиця 1'!$B:$B,$A131,'Таблиця 1'!$I:$I,"Mi-24",'Таблиця 1'!$J:$J,"Zuni"))</f>
        <v/>
      </c>
      <c r="O131">
        <f>IF($A131="","",COUNTIFS('Таблиця 1'!$B:$B,$A131,'Таблиця 1'!$I:$I,"Mi-8",'Таблиця 1'!$L:$L,"Уражено")+COUNTIFS('Таблиця 1'!$B:$B,$A131,'Таблиця 1'!$I:$I,"Mi-24",'Таблиця 1'!$L:$L,"Уражено"))</f>
        <v/>
      </c>
      <c r="P131">
        <f>IF($A131="","",COUNTIFS('Таблиця 1'!$B:$B,$A131,'Таблиця 1'!$I:$I,"Mi-8",'Таблиця 1'!$L:$L,"НЕ уражено")+COUNTIFS('Таблиця 1'!$B:$B,$A131,'Таблиця 1'!$I:$I,"Mi-24",'Таблиця 1'!$L:$L,"НЕ уражено"))</f>
        <v/>
      </c>
    </row>
    <row r="132">
      <c r="A132" s="273">
        <f>IF(A131="","",IF(A131+1&gt;MAX('Таблиця 1'!$B:$B),"",A131+1))</f>
        <v/>
      </c>
      <c r="B132">
        <f>IF($A132="","",COUNTIFS('Таблиця 1'!$B:$B,$A132,'Таблиця 1'!$I:$I,"Mi-8")+COUNTIFS('Таблиця 1'!$B:$B,$A132,'Таблиця 1'!$I:$I,"Mi-24"))</f>
        <v/>
      </c>
      <c r="C132">
        <f>IF($A132="","",COUNTIFS('Таблиця 1'!$B:$B,$A132,'Таблиця 1'!$I:$I,"Mi-8"))</f>
        <v/>
      </c>
      <c r="D132">
        <f>IF($A132="","",COUNTIFS('Таблиця 1'!$B:$B,$A132,'Таблиця 1'!$I:$I,"Mi-24"))</f>
        <v/>
      </c>
      <c r="E132">
        <f>IF($A132="","",SUMIFS('Таблиця 1'!$K:$K,'Таблиця 1'!$B:$B,$A132,'Таблиця 1'!$I:$I,"Mi-8",'Таблиця 1'!$J:$J,"ARS-8")+SUMIFS('Таблиця 1'!$K:$K,'Таблиця 1'!$B:$B,$A132,'Таблиця 1'!$I:$I,"Mi-24",'Таблиця 1'!$J:$J,"ARS-8"))</f>
        <v/>
      </c>
      <c r="F132">
        <f>IF($A132="","",SUMIFS('Таблиця 1'!$K:$K,'Таблиця 1'!$B:$B,$A132,'Таблиця 1'!$I:$I,"Mi-8",'Таблиця 1'!$J:$J,"С-8 ком")+SUMIFS('Таблиця 1'!$K:$K,'Таблиця 1'!$B:$B,$A132,'Таблиця 1'!$I:$I,"Mi-24",'Таблиця 1'!$J:$J,"С-8 ком"))</f>
        <v/>
      </c>
      <c r="G132">
        <f>IF($A132="","",SUMIFS('Таблиця 1'!$K:$K,'Таблиця 1'!$B:$B,$A132,'Таблиця 1'!$I:$I,"Mi-8",'Таблиця 1'!$J:$J,"PC-80")+SUMIFS('Таблиця 1'!$K:$K,'Таблиця 1'!$B:$B,$A132,'Таблиця 1'!$I:$I,"Mi-24",'Таблиця 1'!$J:$J,"PC-80"))</f>
        <v/>
      </c>
      <c r="H132">
        <f>IF($A132="","",SUMIFS('Таблиця 1'!$K:$K,'Таблиця 1'!$B:$B,$A132,'Таблиця 1'!$I:$I,"Mi-8",'Таблиця 1'!$J:$J,"UAR-80")+SUMIFS('Таблиця 1'!$K:$K,'Таблиця 1'!$B:$B,$A132,'Таблиця 1'!$I:$I,"Mi-24",'Таблиця 1'!$J:$J,"UAR-80"))</f>
        <v/>
      </c>
      <c r="I132">
        <f>IF($A132="","",SUMIFS('Таблиця 1'!$K:$K,'Таблиця 1'!$B:$B,$A132,'Таблиця 1'!$I:$I,"Mi-8",'Таблиця 1'!$J:$J,"C-13")+SUMIFS('Таблиця 1'!$K:$K,'Таблиця 1'!$B:$B,$A132,'Таблиця 1'!$I:$I,"Mi-24",'Таблиця 1'!$J:$J,"C-13"))</f>
        <v/>
      </c>
      <c r="J132">
        <f>IF($A132="","",SUMIFS('Таблиця 1'!$K:$K,'Таблиця 1'!$B:$B,$A132,'Таблиця 1'!$I:$I,"Mi-8",'Таблиця 1'!$J:$J,"Hydra-70")+SUMIFS('Таблиця 1'!$K:$K,'Таблиця 1'!$B:$B,$A132,'Таблиця 1'!$I:$I,"Mi-24",'Таблиця 1'!$J:$J,"Hydra-70"))</f>
        <v/>
      </c>
      <c r="K132">
        <f>IF($A132="","",SUMIFS('Таблиця 1'!$K:$K,'Таблиця 1'!$B:$B,$A132,'Таблиця 1'!$I:$I,"Mi-8",'Таблиця 1'!$J:$J,"Thales-70")+SUMIFS('Таблиця 1'!$K:$K,'Таблиця 1'!$B:$B,$A132,'Таблиця 1'!$I:$I,"Mi-24",'Таблиця 1'!$J:$J,"Thales-70"))</f>
        <v/>
      </c>
      <c r="L132">
        <f>IF($A132="","",SUMIFS('Таблиця 1'!$K:$K,'Таблиця 1'!$B:$B,$A132,'Таблиця 1'!$I:$I,"Mi-8",'Таблиця 1'!$J:$J,"Thales-FZ")+SUMIFS('Таблиця 1'!$K:$K,'Таблиця 1'!$B:$B,$A132,'Таблиця 1'!$I:$I,"Mi-24",'Таблиця 1'!$J:$J,"Thales-FZ"))</f>
        <v/>
      </c>
      <c r="M132">
        <f>IF($A132="","",SUMIFS('Таблиця 1'!$K:$K,'Таблиця 1'!$B:$B,$A132,'Таблиця 1'!$I:$I,"Mi-8",'Таблиця 1'!$J:$J,"МК-40")+SUMIFS('Таблиця 1'!$K:$K,'Таблиця 1'!$B:$B,$A132,'Таблиця 1'!$I:$I,"Mi-24",'Таблиця 1'!$J:$J,"МК-40"))</f>
        <v/>
      </c>
      <c r="N132">
        <f>IF($A132="","",SUMIFS('Таблиця 1'!$K:$K,'Таблиця 1'!$B:$B,$A132,'Таблиця 1'!$I:$I,"Mi-8",'Таблиця 1'!$J:$J,"Zuni")+SUMIFS('Таблиця 1'!$K:$K,'Таблиця 1'!$B:$B,$A132,'Таблиця 1'!$I:$I,"Mi-24",'Таблиця 1'!$J:$J,"Zuni"))</f>
        <v/>
      </c>
      <c r="O132">
        <f>IF($A132="","",COUNTIFS('Таблиця 1'!$B:$B,$A132,'Таблиця 1'!$I:$I,"Mi-8",'Таблиця 1'!$L:$L,"Уражено")+COUNTIFS('Таблиця 1'!$B:$B,$A132,'Таблиця 1'!$I:$I,"Mi-24",'Таблиця 1'!$L:$L,"Уражено"))</f>
        <v/>
      </c>
      <c r="P132">
        <f>IF($A132="","",COUNTIFS('Таблиця 1'!$B:$B,$A132,'Таблиця 1'!$I:$I,"Mi-8",'Таблиця 1'!$L:$L,"НЕ уражено")+COUNTIFS('Таблиця 1'!$B:$B,$A132,'Таблиця 1'!$I:$I,"Mi-24",'Таблиця 1'!$L:$L,"НЕ уражено"))</f>
        <v/>
      </c>
    </row>
    <row r="133">
      <c r="A133" s="273">
        <f>IF(A132="","",IF(A132+1&gt;MAX('Таблиця 1'!$B:$B),"",A132+1))</f>
        <v/>
      </c>
      <c r="B133">
        <f>IF($A133="","",COUNTIFS('Таблиця 1'!$B:$B,$A133,'Таблиця 1'!$I:$I,"Mi-8")+COUNTIFS('Таблиця 1'!$B:$B,$A133,'Таблиця 1'!$I:$I,"Mi-24"))</f>
        <v/>
      </c>
      <c r="C133">
        <f>IF($A133="","",COUNTIFS('Таблиця 1'!$B:$B,$A133,'Таблиця 1'!$I:$I,"Mi-8"))</f>
        <v/>
      </c>
      <c r="D133">
        <f>IF($A133="","",COUNTIFS('Таблиця 1'!$B:$B,$A133,'Таблиця 1'!$I:$I,"Mi-24"))</f>
        <v/>
      </c>
      <c r="E133">
        <f>IF($A133="","",SUMIFS('Таблиця 1'!$K:$K,'Таблиця 1'!$B:$B,$A133,'Таблиця 1'!$I:$I,"Mi-8",'Таблиця 1'!$J:$J,"ARS-8")+SUMIFS('Таблиця 1'!$K:$K,'Таблиця 1'!$B:$B,$A133,'Таблиця 1'!$I:$I,"Mi-24",'Таблиця 1'!$J:$J,"ARS-8"))</f>
        <v/>
      </c>
      <c r="F133">
        <f>IF($A133="","",SUMIFS('Таблиця 1'!$K:$K,'Таблиця 1'!$B:$B,$A133,'Таблиця 1'!$I:$I,"Mi-8",'Таблиця 1'!$J:$J,"С-8 ком")+SUMIFS('Таблиця 1'!$K:$K,'Таблиця 1'!$B:$B,$A133,'Таблиця 1'!$I:$I,"Mi-24",'Таблиця 1'!$J:$J,"С-8 ком"))</f>
        <v/>
      </c>
      <c r="G133">
        <f>IF($A133="","",SUMIFS('Таблиця 1'!$K:$K,'Таблиця 1'!$B:$B,$A133,'Таблиця 1'!$I:$I,"Mi-8",'Таблиця 1'!$J:$J,"PC-80")+SUMIFS('Таблиця 1'!$K:$K,'Таблиця 1'!$B:$B,$A133,'Таблиця 1'!$I:$I,"Mi-24",'Таблиця 1'!$J:$J,"PC-80"))</f>
        <v/>
      </c>
      <c r="H133">
        <f>IF($A133="","",SUMIFS('Таблиця 1'!$K:$K,'Таблиця 1'!$B:$B,$A133,'Таблиця 1'!$I:$I,"Mi-8",'Таблиця 1'!$J:$J,"UAR-80")+SUMIFS('Таблиця 1'!$K:$K,'Таблиця 1'!$B:$B,$A133,'Таблиця 1'!$I:$I,"Mi-24",'Таблиця 1'!$J:$J,"UAR-80"))</f>
        <v/>
      </c>
      <c r="I133">
        <f>IF($A133="","",SUMIFS('Таблиця 1'!$K:$K,'Таблиця 1'!$B:$B,$A133,'Таблиця 1'!$I:$I,"Mi-8",'Таблиця 1'!$J:$J,"C-13")+SUMIFS('Таблиця 1'!$K:$K,'Таблиця 1'!$B:$B,$A133,'Таблиця 1'!$I:$I,"Mi-24",'Таблиця 1'!$J:$J,"C-13"))</f>
        <v/>
      </c>
      <c r="J133">
        <f>IF($A133="","",SUMIFS('Таблиця 1'!$K:$K,'Таблиця 1'!$B:$B,$A133,'Таблиця 1'!$I:$I,"Mi-8",'Таблиця 1'!$J:$J,"Hydra-70")+SUMIFS('Таблиця 1'!$K:$K,'Таблиця 1'!$B:$B,$A133,'Таблиця 1'!$I:$I,"Mi-24",'Таблиця 1'!$J:$J,"Hydra-70"))</f>
        <v/>
      </c>
      <c r="K133">
        <f>IF($A133="","",SUMIFS('Таблиця 1'!$K:$K,'Таблиця 1'!$B:$B,$A133,'Таблиця 1'!$I:$I,"Mi-8",'Таблиця 1'!$J:$J,"Thales-70")+SUMIFS('Таблиця 1'!$K:$K,'Таблиця 1'!$B:$B,$A133,'Таблиця 1'!$I:$I,"Mi-24",'Таблиця 1'!$J:$J,"Thales-70"))</f>
        <v/>
      </c>
      <c r="L133">
        <f>IF($A133="","",SUMIFS('Таблиця 1'!$K:$K,'Таблиця 1'!$B:$B,$A133,'Таблиця 1'!$I:$I,"Mi-8",'Таблиця 1'!$J:$J,"Thales-FZ")+SUMIFS('Таблиця 1'!$K:$K,'Таблиця 1'!$B:$B,$A133,'Таблиця 1'!$I:$I,"Mi-24",'Таблиця 1'!$J:$J,"Thales-FZ"))</f>
        <v/>
      </c>
      <c r="M133">
        <f>IF($A133="","",SUMIFS('Таблиця 1'!$K:$K,'Таблиця 1'!$B:$B,$A133,'Таблиця 1'!$I:$I,"Mi-8",'Таблиця 1'!$J:$J,"МК-40")+SUMIFS('Таблиця 1'!$K:$K,'Таблиця 1'!$B:$B,$A133,'Таблиця 1'!$I:$I,"Mi-24",'Таблиця 1'!$J:$J,"МК-40"))</f>
        <v/>
      </c>
      <c r="N133">
        <f>IF($A133="","",SUMIFS('Таблиця 1'!$K:$K,'Таблиця 1'!$B:$B,$A133,'Таблиця 1'!$I:$I,"Mi-8",'Таблиця 1'!$J:$J,"Zuni")+SUMIFS('Таблиця 1'!$K:$K,'Таблиця 1'!$B:$B,$A133,'Таблиця 1'!$I:$I,"Mi-24",'Таблиця 1'!$J:$J,"Zuni"))</f>
        <v/>
      </c>
      <c r="O133">
        <f>IF($A133="","",COUNTIFS('Таблиця 1'!$B:$B,$A133,'Таблиця 1'!$I:$I,"Mi-8",'Таблиця 1'!$L:$L,"Уражено")+COUNTIFS('Таблиця 1'!$B:$B,$A133,'Таблиця 1'!$I:$I,"Mi-24",'Таблиця 1'!$L:$L,"Уражено"))</f>
        <v/>
      </c>
      <c r="P133">
        <f>IF($A133="","",COUNTIFS('Таблиця 1'!$B:$B,$A133,'Таблиця 1'!$I:$I,"Mi-8",'Таблиця 1'!$L:$L,"НЕ уражено")+COUNTIFS('Таблиця 1'!$B:$B,$A133,'Таблиця 1'!$I:$I,"Mi-24",'Таблиця 1'!$L:$L,"НЕ уражено"))</f>
        <v/>
      </c>
    </row>
    <row r="134">
      <c r="A134" s="273">
        <f>IF(A133="","",IF(A133+1&gt;MAX('Таблиця 1'!$B:$B),"",A133+1))</f>
        <v/>
      </c>
      <c r="B134">
        <f>IF($A134="","",COUNTIFS('Таблиця 1'!$B:$B,$A134,'Таблиця 1'!$I:$I,"Mi-8")+COUNTIFS('Таблиця 1'!$B:$B,$A134,'Таблиця 1'!$I:$I,"Mi-24"))</f>
        <v/>
      </c>
      <c r="C134">
        <f>IF($A134="","",COUNTIFS('Таблиця 1'!$B:$B,$A134,'Таблиця 1'!$I:$I,"Mi-8"))</f>
        <v/>
      </c>
      <c r="D134">
        <f>IF($A134="","",COUNTIFS('Таблиця 1'!$B:$B,$A134,'Таблиця 1'!$I:$I,"Mi-24"))</f>
        <v/>
      </c>
      <c r="E134">
        <f>IF($A134="","",SUMIFS('Таблиця 1'!$K:$K,'Таблиця 1'!$B:$B,$A134,'Таблиця 1'!$I:$I,"Mi-8",'Таблиця 1'!$J:$J,"ARS-8")+SUMIFS('Таблиця 1'!$K:$K,'Таблиця 1'!$B:$B,$A134,'Таблиця 1'!$I:$I,"Mi-24",'Таблиця 1'!$J:$J,"ARS-8"))</f>
        <v/>
      </c>
      <c r="F134">
        <f>IF($A134="","",SUMIFS('Таблиця 1'!$K:$K,'Таблиця 1'!$B:$B,$A134,'Таблиця 1'!$I:$I,"Mi-8",'Таблиця 1'!$J:$J,"С-8 ком")+SUMIFS('Таблиця 1'!$K:$K,'Таблиця 1'!$B:$B,$A134,'Таблиця 1'!$I:$I,"Mi-24",'Таблиця 1'!$J:$J,"С-8 ком"))</f>
        <v/>
      </c>
      <c r="G134">
        <f>IF($A134="","",SUMIFS('Таблиця 1'!$K:$K,'Таблиця 1'!$B:$B,$A134,'Таблиця 1'!$I:$I,"Mi-8",'Таблиця 1'!$J:$J,"PC-80")+SUMIFS('Таблиця 1'!$K:$K,'Таблиця 1'!$B:$B,$A134,'Таблиця 1'!$I:$I,"Mi-24",'Таблиця 1'!$J:$J,"PC-80"))</f>
        <v/>
      </c>
      <c r="H134">
        <f>IF($A134="","",SUMIFS('Таблиця 1'!$K:$K,'Таблиця 1'!$B:$B,$A134,'Таблиця 1'!$I:$I,"Mi-8",'Таблиця 1'!$J:$J,"UAR-80")+SUMIFS('Таблиця 1'!$K:$K,'Таблиця 1'!$B:$B,$A134,'Таблиця 1'!$I:$I,"Mi-24",'Таблиця 1'!$J:$J,"UAR-80"))</f>
        <v/>
      </c>
      <c r="I134">
        <f>IF($A134="","",SUMIFS('Таблиця 1'!$K:$K,'Таблиця 1'!$B:$B,$A134,'Таблиця 1'!$I:$I,"Mi-8",'Таблиця 1'!$J:$J,"C-13")+SUMIFS('Таблиця 1'!$K:$K,'Таблиця 1'!$B:$B,$A134,'Таблиця 1'!$I:$I,"Mi-24",'Таблиця 1'!$J:$J,"C-13"))</f>
        <v/>
      </c>
      <c r="J134">
        <f>IF($A134="","",SUMIFS('Таблиця 1'!$K:$K,'Таблиця 1'!$B:$B,$A134,'Таблиця 1'!$I:$I,"Mi-8",'Таблиця 1'!$J:$J,"Hydra-70")+SUMIFS('Таблиця 1'!$K:$K,'Таблиця 1'!$B:$B,$A134,'Таблиця 1'!$I:$I,"Mi-24",'Таблиця 1'!$J:$J,"Hydra-70"))</f>
        <v/>
      </c>
      <c r="K134">
        <f>IF($A134="","",SUMIFS('Таблиця 1'!$K:$K,'Таблиця 1'!$B:$B,$A134,'Таблиця 1'!$I:$I,"Mi-8",'Таблиця 1'!$J:$J,"Thales-70")+SUMIFS('Таблиця 1'!$K:$K,'Таблиця 1'!$B:$B,$A134,'Таблиця 1'!$I:$I,"Mi-24",'Таблиця 1'!$J:$J,"Thales-70"))</f>
        <v/>
      </c>
      <c r="L134">
        <f>IF($A134="","",SUMIFS('Таблиця 1'!$K:$K,'Таблиця 1'!$B:$B,$A134,'Таблиця 1'!$I:$I,"Mi-8",'Таблиця 1'!$J:$J,"Thales-FZ")+SUMIFS('Таблиця 1'!$K:$K,'Таблиця 1'!$B:$B,$A134,'Таблиця 1'!$I:$I,"Mi-24",'Таблиця 1'!$J:$J,"Thales-FZ"))</f>
        <v/>
      </c>
      <c r="M134">
        <f>IF($A134="","",SUMIFS('Таблиця 1'!$K:$K,'Таблиця 1'!$B:$B,$A134,'Таблиця 1'!$I:$I,"Mi-8",'Таблиця 1'!$J:$J,"МК-40")+SUMIFS('Таблиця 1'!$K:$K,'Таблиця 1'!$B:$B,$A134,'Таблиця 1'!$I:$I,"Mi-24",'Таблиця 1'!$J:$J,"МК-40"))</f>
        <v/>
      </c>
      <c r="N134">
        <f>IF($A134="","",SUMIFS('Таблиця 1'!$K:$K,'Таблиця 1'!$B:$B,$A134,'Таблиця 1'!$I:$I,"Mi-8",'Таблиця 1'!$J:$J,"Zuni")+SUMIFS('Таблиця 1'!$K:$K,'Таблиця 1'!$B:$B,$A134,'Таблиця 1'!$I:$I,"Mi-24",'Таблиця 1'!$J:$J,"Zuni"))</f>
        <v/>
      </c>
      <c r="O134">
        <f>IF($A134="","",COUNTIFS('Таблиця 1'!$B:$B,$A134,'Таблиця 1'!$I:$I,"Mi-8",'Таблиця 1'!$L:$L,"Уражено")+COUNTIFS('Таблиця 1'!$B:$B,$A134,'Таблиця 1'!$I:$I,"Mi-24",'Таблиця 1'!$L:$L,"Уражено"))</f>
        <v/>
      </c>
      <c r="P134">
        <f>IF($A134="","",COUNTIFS('Таблиця 1'!$B:$B,$A134,'Таблиця 1'!$I:$I,"Mi-8",'Таблиця 1'!$L:$L,"НЕ уражено")+COUNTIFS('Таблиця 1'!$B:$B,$A134,'Таблиця 1'!$I:$I,"Mi-24",'Таблиця 1'!$L:$L,"НЕ уражено"))</f>
        <v/>
      </c>
    </row>
    <row r="135">
      <c r="A135" s="273">
        <f>IF(A134="","",IF(A134+1&gt;MAX('Таблиця 1'!$B:$B),"",A134+1))</f>
        <v/>
      </c>
      <c r="B135">
        <f>IF($A135="","",COUNTIFS('Таблиця 1'!$B:$B,$A135,'Таблиця 1'!$I:$I,"Mi-8")+COUNTIFS('Таблиця 1'!$B:$B,$A135,'Таблиця 1'!$I:$I,"Mi-24"))</f>
        <v/>
      </c>
      <c r="C135">
        <f>IF($A135="","",COUNTIFS('Таблиця 1'!$B:$B,$A135,'Таблиця 1'!$I:$I,"Mi-8"))</f>
        <v/>
      </c>
      <c r="D135">
        <f>IF($A135="","",COUNTIFS('Таблиця 1'!$B:$B,$A135,'Таблиця 1'!$I:$I,"Mi-24"))</f>
        <v/>
      </c>
      <c r="E135">
        <f>IF($A135="","",SUMIFS('Таблиця 1'!$K:$K,'Таблиця 1'!$B:$B,$A135,'Таблиця 1'!$I:$I,"Mi-8",'Таблиця 1'!$J:$J,"ARS-8")+SUMIFS('Таблиця 1'!$K:$K,'Таблиця 1'!$B:$B,$A135,'Таблиця 1'!$I:$I,"Mi-24",'Таблиця 1'!$J:$J,"ARS-8"))</f>
        <v/>
      </c>
      <c r="F135">
        <f>IF($A135="","",SUMIFS('Таблиця 1'!$K:$K,'Таблиця 1'!$B:$B,$A135,'Таблиця 1'!$I:$I,"Mi-8",'Таблиця 1'!$J:$J,"С-8 ком")+SUMIFS('Таблиця 1'!$K:$K,'Таблиця 1'!$B:$B,$A135,'Таблиця 1'!$I:$I,"Mi-24",'Таблиця 1'!$J:$J,"С-8 ком"))</f>
        <v/>
      </c>
      <c r="G135">
        <f>IF($A135="","",SUMIFS('Таблиця 1'!$K:$K,'Таблиця 1'!$B:$B,$A135,'Таблиця 1'!$I:$I,"Mi-8",'Таблиця 1'!$J:$J,"PC-80")+SUMIFS('Таблиця 1'!$K:$K,'Таблиця 1'!$B:$B,$A135,'Таблиця 1'!$I:$I,"Mi-24",'Таблиця 1'!$J:$J,"PC-80"))</f>
        <v/>
      </c>
      <c r="H135">
        <f>IF($A135="","",SUMIFS('Таблиця 1'!$K:$K,'Таблиця 1'!$B:$B,$A135,'Таблиця 1'!$I:$I,"Mi-8",'Таблиця 1'!$J:$J,"UAR-80")+SUMIFS('Таблиця 1'!$K:$K,'Таблиця 1'!$B:$B,$A135,'Таблиця 1'!$I:$I,"Mi-24",'Таблиця 1'!$J:$J,"UAR-80"))</f>
        <v/>
      </c>
      <c r="I135">
        <f>IF($A135="","",SUMIFS('Таблиця 1'!$K:$K,'Таблиця 1'!$B:$B,$A135,'Таблиця 1'!$I:$I,"Mi-8",'Таблиця 1'!$J:$J,"C-13")+SUMIFS('Таблиця 1'!$K:$K,'Таблиця 1'!$B:$B,$A135,'Таблиця 1'!$I:$I,"Mi-24",'Таблиця 1'!$J:$J,"C-13"))</f>
        <v/>
      </c>
      <c r="J135">
        <f>IF($A135="","",SUMIFS('Таблиця 1'!$K:$K,'Таблиця 1'!$B:$B,$A135,'Таблиця 1'!$I:$I,"Mi-8",'Таблиця 1'!$J:$J,"Hydra-70")+SUMIFS('Таблиця 1'!$K:$K,'Таблиця 1'!$B:$B,$A135,'Таблиця 1'!$I:$I,"Mi-24",'Таблиця 1'!$J:$J,"Hydra-70"))</f>
        <v/>
      </c>
      <c r="K135">
        <f>IF($A135="","",SUMIFS('Таблиця 1'!$K:$K,'Таблиця 1'!$B:$B,$A135,'Таблиця 1'!$I:$I,"Mi-8",'Таблиця 1'!$J:$J,"Thales-70")+SUMIFS('Таблиця 1'!$K:$K,'Таблиця 1'!$B:$B,$A135,'Таблиця 1'!$I:$I,"Mi-24",'Таблиця 1'!$J:$J,"Thales-70"))</f>
        <v/>
      </c>
      <c r="L135">
        <f>IF($A135="","",SUMIFS('Таблиця 1'!$K:$K,'Таблиця 1'!$B:$B,$A135,'Таблиця 1'!$I:$I,"Mi-8",'Таблиця 1'!$J:$J,"Thales-FZ")+SUMIFS('Таблиця 1'!$K:$K,'Таблиця 1'!$B:$B,$A135,'Таблиця 1'!$I:$I,"Mi-24",'Таблиця 1'!$J:$J,"Thales-FZ"))</f>
        <v/>
      </c>
      <c r="M135">
        <f>IF($A135="","",SUMIFS('Таблиця 1'!$K:$K,'Таблиця 1'!$B:$B,$A135,'Таблиця 1'!$I:$I,"Mi-8",'Таблиця 1'!$J:$J,"МК-40")+SUMIFS('Таблиця 1'!$K:$K,'Таблиця 1'!$B:$B,$A135,'Таблиця 1'!$I:$I,"Mi-24",'Таблиця 1'!$J:$J,"МК-40"))</f>
        <v/>
      </c>
      <c r="N135">
        <f>IF($A135="","",SUMIFS('Таблиця 1'!$K:$K,'Таблиця 1'!$B:$B,$A135,'Таблиця 1'!$I:$I,"Mi-8",'Таблиця 1'!$J:$J,"Zuni")+SUMIFS('Таблиця 1'!$K:$K,'Таблиця 1'!$B:$B,$A135,'Таблиця 1'!$I:$I,"Mi-24",'Таблиця 1'!$J:$J,"Zuni"))</f>
        <v/>
      </c>
      <c r="O135">
        <f>IF($A135="","",COUNTIFS('Таблиця 1'!$B:$B,$A135,'Таблиця 1'!$I:$I,"Mi-8",'Таблиця 1'!$L:$L,"Уражено")+COUNTIFS('Таблиця 1'!$B:$B,$A135,'Таблиця 1'!$I:$I,"Mi-24",'Таблиця 1'!$L:$L,"Уражено"))</f>
        <v/>
      </c>
      <c r="P135">
        <f>IF($A135="","",COUNTIFS('Таблиця 1'!$B:$B,$A135,'Таблиця 1'!$I:$I,"Mi-8",'Таблиця 1'!$L:$L,"НЕ уражено")+COUNTIFS('Таблиця 1'!$B:$B,$A135,'Таблиця 1'!$I:$I,"Mi-24",'Таблиця 1'!$L:$L,"НЕ уражено"))</f>
        <v/>
      </c>
    </row>
    <row r="136">
      <c r="A136" s="273">
        <f>IF(A135="","",IF(A135+1&gt;MAX('Таблиця 1'!$B:$B),"",A135+1))</f>
        <v/>
      </c>
      <c r="B136">
        <f>IF($A136="","",COUNTIFS('Таблиця 1'!$B:$B,$A136,'Таблиця 1'!$I:$I,"Mi-8")+COUNTIFS('Таблиця 1'!$B:$B,$A136,'Таблиця 1'!$I:$I,"Mi-24"))</f>
        <v/>
      </c>
      <c r="C136">
        <f>IF($A136="","",COUNTIFS('Таблиця 1'!$B:$B,$A136,'Таблиця 1'!$I:$I,"Mi-8"))</f>
        <v/>
      </c>
      <c r="D136">
        <f>IF($A136="","",COUNTIFS('Таблиця 1'!$B:$B,$A136,'Таблиця 1'!$I:$I,"Mi-24"))</f>
        <v/>
      </c>
      <c r="E136">
        <f>IF($A136="","",SUMIFS('Таблиця 1'!$K:$K,'Таблиця 1'!$B:$B,$A136,'Таблиця 1'!$I:$I,"Mi-8",'Таблиця 1'!$J:$J,"ARS-8")+SUMIFS('Таблиця 1'!$K:$K,'Таблиця 1'!$B:$B,$A136,'Таблиця 1'!$I:$I,"Mi-24",'Таблиця 1'!$J:$J,"ARS-8"))</f>
        <v/>
      </c>
      <c r="F136">
        <f>IF($A136="","",SUMIFS('Таблиця 1'!$K:$K,'Таблиця 1'!$B:$B,$A136,'Таблиця 1'!$I:$I,"Mi-8",'Таблиця 1'!$J:$J,"С-8 ком")+SUMIFS('Таблиця 1'!$K:$K,'Таблиця 1'!$B:$B,$A136,'Таблиця 1'!$I:$I,"Mi-24",'Таблиця 1'!$J:$J,"С-8 ком"))</f>
        <v/>
      </c>
      <c r="G136">
        <f>IF($A136="","",SUMIFS('Таблиця 1'!$K:$K,'Таблиця 1'!$B:$B,$A136,'Таблиця 1'!$I:$I,"Mi-8",'Таблиця 1'!$J:$J,"PC-80")+SUMIFS('Таблиця 1'!$K:$K,'Таблиця 1'!$B:$B,$A136,'Таблиця 1'!$I:$I,"Mi-24",'Таблиця 1'!$J:$J,"PC-80"))</f>
        <v/>
      </c>
      <c r="H136">
        <f>IF($A136="","",SUMIFS('Таблиця 1'!$K:$K,'Таблиця 1'!$B:$B,$A136,'Таблиця 1'!$I:$I,"Mi-8",'Таблиця 1'!$J:$J,"UAR-80")+SUMIFS('Таблиця 1'!$K:$K,'Таблиця 1'!$B:$B,$A136,'Таблиця 1'!$I:$I,"Mi-24",'Таблиця 1'!$J:$J,"UAR-80"))</f>
        <v/>
      </c>
      <c r="I136">
        <f>IF($A136="","",SUMIFS('Таблиця 1'!$K:$K,'Таблиця 1'!$B:$B,$A136,'Таблиця 1'!$I:$I,"Mi-8",'Таблиця 1'!$J:$J,"C-13")+SUMIFS('Таблиця 1'!$K:$K,'Таблиця 1'!$B:$B,$A136,'Таблиця 1'!$I:$I,"Mi-24",'Таблиця 1'!$J:$J,"C-13"))</f>
        <v/>
      </c>
      <c r="J136">
        <f>IF($A136="","",SUMIFS('Таблиця 1'!$K:$K,'Таблиця 1'!$B:$B,$A136,'Таблиця 1'!$I:$I,"Mi-8",'Таблиця 1'!$J:$J,"Hydra-70")+SUMIFS('Таблиця 1'!$K:$K,'Таблиця 1'!$B:$B,$A136,'Таблиця 1'!$I:$I,"Mi-24",'Таблиця 1'!$J:$J,"Hydra-70"))</f>
        <v/>
      </c>
      <c r="K136">
        <f>IF($A136="","",SUMIFS('Таблиця 1'!$K:$K,'Таблиця 1'!$B:$B,$A136,'Таблиця 1'!$I:$I,"Mi-8",'Таблиця 1'!$J:$J,"Thales-70")+SUMIFS('Таблиця 1'!$K:$K,'Таблиця 1'!$B:$B,$A136,'Таблиця 1'!$I:$I,"Mi-24",'Таблиця 1'!$J:$J,"Thales-70"))</f>
        <v/>
      </c>
      <c r="L136">
        <f>IF($A136="","",SUMIFS('Таблиця 1'!$K:$K,'Таблиця 1'!$B:$B,$A136,'Таблиця 1'!$I:$I,"Mi-8",'Таблиця 1'!$J:$J,"Thales-FZ")+SUMIFS('Таблиця 1'!$K:$K,'Таблиця 1'!$B:$B,$A136,'Таблиця 1'!$I:$I,"Mi-24",'Таблиця 1'!$J:$J,"Thales-FZ"))</f>
        <v/>
      </c>
      <c r="M136">
        <f>IF($A136="","",SUMIFS('Таблиця 1'!$K:$K,'Таблиця 1'!$B:$B,$A136,'Таблиця 1'!$I:$I,"Mi-8",'Таблиця 1'!$J:$J,"МК-40")+SUMIFS('Таблиця 1'!$K:$K,'Таблиця 1'!$B:$B,$A136,'Таблиця 1'!$I:$I,"Mi-24",'Таблиця 1'!$J:$J,"МК-40"))</f>
        <v/>
      </c>
      <c r="N136">
        <f>IF($A136="","",SUMIFS('Таблиця 1'!$K:$K,'Таблиця 1'!$B:$B,$A136,'Таблиця 1'!$I:$I,"Mi-8",'Таблиця 1'!$J:$J,"Zuni")+SUMIFS('Таблиця 1'!$K:$K,'Таблиця 1'!$B:$B,$A136,'Таблиця 1'!$I:$I,"Mi-24",'Таблиця 1'!$J:$J,"Zuni"))</f>
        <v/>
      </c>
      <c r="O136">
        <f>IF($A136="","",COUNTIFS('Таблиця 1'!$B:$B,$A136,'Таблиця 1'!$I:$I,"Mi-8",'Таблиця 1'!$L:$L,"Уражено")+COUNTIFS('Таблиця 1'!$B:$B,$A136,'Таблиця 1'!$I:$I,"Mi-24",'Таблиця 1'!$L:$L,"Уражено"))</f>
        <v/>
      </c>
      <c r="P136">
        <f>IF($A136="","",COUNTIFS('Таблиця 1'!$B:$B,$A136,'Таблиця 1'!$I:$I,"Mi-8",'Таблиця 1'!$L:$L,"НЕ уражено")+COUNTIFS('Таблиця 1'!$B:$B,$A136,'Таблиця 1'!$I:$I,"Mi-24",'Таблиця 1'!$L:$L,"НЕ уражено"))</f>
        <v/>
      </c>
    </row>
    <row r="137">
      <c r="A137" s="273">
        <f>IF(A136="","",IF(A136+1&gt;MAX('Таблиця 1'!$B:$B),"",A136+1))</f>
        <v/>
      </c>
      <c r="B137">
        <f>IF($A137="","",COUNTIFS('Таблиця 1'!$B:$B,$A137,'Таблиця 1'!$I:$I,"Mi-8")+COUNTIFS('Таблиця 1'!$B:$B,$A137,'Таблиця 1'!$I:$I,"Mi-24"))</f>
        <v/>
      </c>
      <c r="C137">
        <f>IF($A137="","",COUNTIFS('Таблиця 1'!$B:$B,$A137,'Таблиця 1'!$I:$I,"Mi-8"))</f>
        <v/>
      </c>
      <c r="D137">
        <f>IF($A137="","",COUNTIFS('Таблиця 1'!$B:$B,$A137,'Таблиця 1'!$I:$I,"Mi-24"))</f>
        <v/>
      </c>
      <c r="E137">
        <f>IF($A137="","",SUMIFS('Таблиця 1'!$K:$K,'Таблиця 1'!$B:$B,$A137,'Таблиця 1'!$I:$I,"Mi-8",'Таблиця 1'!$J:$J,"ARS-8")+SUMIFS('Таблиця 1'!$K:$K,'Таблиця 1'!$B:$B,$A137,'Таблиця 1'!$I:$I,"Mi-24",'Таблиця 1'!$J:$J,"ARS-8"))</f>
        <v/>
      </c>
      <c r="F137">
        <f>IF($A137="","",SUMIFS('Таблиця 1'!$K:$K,'Таблиця 1'!$B:$B,$A137,'Таблиця 1'!$I:$I,"Mi-8",'Таблиця 1'!$J:$J,"С-8 ком")+SUMIFS('Таблиця 1'!$K:$K,'Таблиця 1'!$B:$B,$A137,'Таблиця 1'!$I:$I,"Mi-24",'Таблиця 1'!$J:$J,"С-8 ком"))</f>
        <v/>
      </c>
      <c r="G137">
        <f>IF($A137="","",SUMIFS('Таблиця 1'!$K:$K,'Таблиця 1'!$B:$B,$A137,'Таблиця 1'!$I:$I,"Mi-8",'Таблиця 1'!$J:$J,"PC-80")+SUMIFS('Таблиця 1'!$K:$K,'Таблиця 1'!$B:$B,$A137,'Таблиця 1'!$I:$I,"Mi-24",'Таблиця 1'!$J:$J,"PC-80"))</f>
        <v/>
      </c>
      <c r="H137">
        <f>IF($A137="","",SUMIFS('Таблиця 1'!$K:$K,'Таблиця 1'!$B:$B,$A137,'Таблиця 1'!$I:$I,"Mi-8",'Таблиця 1'!$J:$J,"UAR-80")+SUMIFS('Таблиця 1'!$K:$K,'Таблиця 1'!$B:$B,$A137,'Таблиця 1'!$I:$I,"Mi-24",'Таблиця 1'!$J:$J,"UAR-80"))</f>
        <v/>
      </c>
      <c r="I137">
        <f>IF($A137="","",SUMIFS('Таблиця 1'!$K:$K,'Таблиця 1'!$B:$B,$A137,'Таблиця 1'!$I:$I,"Mi-8",'Таблиця 1'!$J:$J,"C-13")+SUMIFS('Таблиця 1'!$K:$K,'Таблиця 1'!$B:$B,$A137,'Таблиця 1'!$I:$I,"Mi-24",'Таблиця 1'!$J:$J,"C-13"))</f>
        <v/>
      </c>
      <c r="J137">
        <f>IF($A137="","",SUMIFS('Таблиця 1'!$K:$K,'Таблиця 1'!$B:$B,$A137,'Таблиця 1'!$I:$I,"Mi-8",'Таблиця 1'!$J:$J,"Hydra-70")+SUMIFS('Таблиця 1'!$K:$K,'Таблиця 1'!$B:$B,$A137,'Таблиця 1'!$I:$I,"Mi-24",'Таблиця 1'!$J:$J,"Hydra-70"))</f>
        <v/>
      </c>
      <c r="K137">
        <f>IF($A137="","",SUMIFS('Таблиця 1'!$K:$K,'Таблиця 1'!$B:$B,$A137,'Таблиця 1'!$I:$I,"Mi-8",'Таблиця 1'!$J:$J,"Thales-70")+SUMIFS('Таблиця 1'!$K:$K,'Таблиця 1'!$B:$B,$A137,'Таблиця 1'!$I:$I,"Mi-24",'Таблиця 1'!$J:$J,"Thales-70"))</f>
        <v/>
      </c>
      <c r="L137">
        <f>IF($A137="","",SUMIFS('Таблиця 1'!$K:$K,'Таблиця 1'!$B:$B,$A137,'Таблиця 1'!$I:$I,"Mi-8",'Таблиця 1'!$J:$J,"Thales-FZ")+SUMIFS('Таблиця 1'!$K:$K,'Таблиця 1'!$B:$B,$A137,'Таблиця 1'!$I:$I,"Mi-24",'Таблиця 1'!$J:$J,"Thales-FZ"))</f>
        <v/>
      </c>
      <c r="M137">
        <f>IF($A137="","",SUMIFS('Таблиця 1'!$K:$K,'Таблиця 1'!$B:$B,$A137,'Таблиця 1'!$I:$I,"Mi-8",'Таблиця 1'!$J:$J,"МК-40")+SUMIFS('Таблиця 1'!$K:$K,'Таблиця 1'!$B:$B,$A137,'Таблиця 1'!$I:$I,"Mi-24",'Таблиця 1'!$J:$J,"МК-40"))</f>
        <v/>
      </c>
      <c r="N137">
        <f>IF($A137="","",SUMIFS('Таблиця 1'!$K:$K,'Таблиця 1'!$B:$B,$A137,'Таблиця 1'!$I:$I,"Mi-8",'Таблиця 1'!$J:$J,"Zuni")+SUMIFS('Таблиця 1'!$K:$K,'Таблиця 1'!$B:$B,$A137,'Таблиця 1'!$I:$I,"Mi-24",'Таблиця 1'!$J:$J,"Zuni"))</f>
        <v/>
      </c>
      <c r="O137">
        <f>IF($A137="","",COUNTIFS('Таблиця 1'!$B:$B,$A137,'Таблиця 1'!$I:$I,"Mi-8",'Таблиця 1'!$L:$L,"Уражено")+COUNTIFS('Таблиця 1'!$B:$B,$A137,'Таблиця 1'!$I:$I,"Mi-24",'Таблиця 1'!$L:$L,"Уражено"))</f>
        <v/>
      </c>
      <c r="P137">
        <f>IF($A137="","",COUNTIFS('Таблиця 1'!$B:$B,$A137,'Таблиця 1'!$I:$I,"Mi-8",'Таблиця 1'!$L:$L,"НЕ уражено")+COUNTIFS('Таблиця 1'!$B:$B,$A137,'Таблиця 1'!$I:$I,"Mi-24",'Таблиця 1'!$L:$L,"НЕ уражено"))</f>
        <v/>
      </c>
    </row>
    <row r="138">
      <c r="A138" s="273">
        <f>IF(A137="","",IF(A137+1&gt;MAX('Таблиця 1'!$B:$B),"",A137+1))</f>
        <v/>
      </c>
      <c r="B138">
        <f>IF($A138="","",COUNTIFS('Таблиця 1'!$B:$B,$A138,'Таблиця 1'!$I:$I,"Mi-8")+COUNTIFS('Таблиця 1'!$B:$B,$A138,'Таблиця 1'!$I:$I,"Mi-24"))</f>
        <v/>
      </c>
      <c r="C138">
        <f>IF($A138="","",COUNTIFS('Таблиця 1'!$B:$B,$A138,'Таблиця 1'!$I:$I,"Mi-8"))</f>
        <v/>
      </c>
      <c r="D138">
        <f>IF($A138="","",COUNTIFS('Таблиця 1'!$B:$B,$A138,'Таблиця 1'!$I:$I,"Mi-24"))</f>
        <v/>
      </c>
      <c r="E138">
        <f>IF($A138="","",SUMIFS('Таблиця 1'!$K:$K,'Таблиця 1'!$B:$B,$A138,'Таблиця 1'!$I:$I,"Mi-8",'Таблиця 1'!$J:$J,"ARS-8")+SUMIFS('Таблиця 1'!$K:$K,'Таблиця 1'!$B:$B,$A138,'Таблиця 1'!$I:$I,"Mi-24",'Таблиця 1'!$J:$J,"ARS-8"))</f>
        <v/>
      </c>
      <c r="F138">
        <f>IF($A138="","",SUMIFS('Таблиця 1'!$K:$K,'Таблиця 1'!$B:$B,$A138,'Таблиця 1'!$I:$I,"Mi-8",'Таблиця 1'!$J:$J,"С-8 ком")+SUMIFS('Таблиця 1'!$K:$K,'Таблиця 1'!$B:$B,$A138,'Таблиця 1'!$I:$I,"Mi-24",'Таблиця 1'!$J:$J,"С-8 ком"))</f>
        <v/>
      </c>
      <c r="G138">
        <f>IF($A138="","",SUMIFS('Таблиця 1'!$K:$K,'Таблиця 1'!$B:$B,$A138,'Таблиця 1'!$I:$I,"Mi-8",'Таблиця 1'!$J:$J,"PC-80")+SUMIFS('Таблиця 1'!$K:$K,'Таблиця 1'!$B:$B,$A138,'Таблиця 1'!$I:$I,"Mi-24",'Таблиця 1'!$J:$J,"PC-80"))</f>
        <v/>
      </c>
      <c r="H138">
        <f>IF($A138="","",SUMIFS('Таблиця 1'!$K:$K,'Таблиця 1'!$B:$B,$A138,'Таблиця 1'!$I:$I,"Mi-8",'Таблиця 1'!$J:$J,"UAR-80")+SUMIFS('Таблиця 1'!$K:$K,'Таблиця 1'!$B:$B,$A138,'Таблиця 1'!$I:$I,"Mi-24",'Таблиця 1'!$J:$J,"UAR-80"))</f>
        <v/>
      </c>
      <c r="I138">
        <f>IF($A138="","",SUMIFS('Таблиця 1'!$K:$K,'Таблиця 1'!$B:$B,$A138,'Таблиця 1'!$I:$I,"Mi-8",'Таблиця 1'!$J:$J,"C-13")+SUMIFS('Таблиця 1'!$K:$K,'Таблиця 1'!$B:$B,$A138,'Таблиця 1'!$I:$I,"Mi-24",'Таблиця 1'!$J:$J,"C-13"))</f>
        <v/>
      </c>
      <c r="J138">
        <f>IF($A138="","",SUMIFS('Таблиця 1'!$K:$K,'Таблиця 1'!$B:$B,$A138,'Таблиця 1'!$I:$I,"Mi-8",'Таблиця 1'!$J:$J,"Hydra-70")+SUMIFS('Таблиця 1'!$K:$K,'Таблиця 1'!$B:$B,$A138,'Таблиця 1'!$I:$I,"Mi-24",'Таблиця 1'!$J:$J,"Hydra-70"))</f>
        <v/>
      </c>
      <c r="K138">
        <f>IF($A138="","",SUMIFS('Таблиця 1'!$K:$K,'Таблиця 1'!$B:$B,$A138,'Таблиця 1'!$I:$I,"Mi-8",'Таблиця 1'!$J:$J,"Thales-70")+SUMIFS('Таблиця 1'!$K:$K,'Таблиця 1'!$B:$B,$A138,'Таблиця 1'!$I:$I,"Mi-24",'Таблиця 1'!$J:$J,"Thales-70"))</f>
        <v/>
      </c>
      <c r="L138">
        <f>IF($A138="","",SUMIFS('Таблиця 1'!$K:$K,'Таблиця 1'!$B:$B,$A138,'Таблиця 1'!$I:$I,"Mi-8",'Таблиця 1'!$J:$J,"Thales-FZ")+SUMIFS('Таблиця 1'!$K:$K,'Таблиця 1'!$B:$B,$A138,'Таблиця 1'!$I:$I,"Mi-24",'Таблиця 1'!$J:$J,"Thales-FZ"))</f>
        <v/>
      </c>
      <c r="M138">
        <f>IF($A138="","",SUMIFS('Таблиця 1'!$K:$K,'Таблиця 1'!$B:$B,$A138,'Таблиця 1'!$I:$I,"Mi-8",'Таблиця 1'!$J:$J,"МК-40")+SUMIFS('Таблиця 1'!$K:$K,'Таблиця 1'!$B:$B,$A138,'Таблиця 1'!$I:$I,"Mi-24",'Таблиця 1'!$J:$J,"МК-40"))</f>
        <v/>
      </c>
      <c r="N138">
        <f>IF($A138="","",SUMIFS('Таблиця 1'!$K:$K,'Таблиця 1'!$B:$B,$A138,'Таблиця 1'!$I:$I,"Mi-8",'Таблиця 1'!$J:$J,"Zuni")+SUMIFS('Таблиця 1'!$K:$K,'Таблиця 1'!$B:$B,$A138,'Таблиця 1'!$I:$I,"Mi-24",'Таблиця 1'!$J:$J,"Zuni"))</f>
        <v/>
      </c>
      <c r="O138">
        <f>IF($A138="","",COUNTIFS('Таблиця 1'!$B:$B,$A138,'Таблиця 1'!$I:$I,"Mi-8",'Таблиця 1'!$L:$L,"Уражено")+COUNTIFS('Таблиця 1'!$B:$B,$A138,'Таблиця 1'!$I:$I,"Mi-24",'Таблиця 1'!$L:$L,"Уражено"))</f>
        <v/>
      </c>
      <c r="P138">
        <f>IF($A138="","",COUNTIFS('Таблиця 1'!$B:$B,$A138,'Таблиця 1'!$I:$I,"Mi-8",'Таблиця 1'!$L:$L,"НЕ уражено")+COUNTIFS('Таблиця 1'!$B:$B,$A138,'Таблиця 1'!$I:$I,"Mi-24",'Таблиця 1'!$L:$L,"НЕ уражено"))</f>
        <v/>
      </c>
    </row>
    <row r="139">
      <c r="A139" s="273">
        <f>IF(A138="","",IF(A138+1&gt;MAX('Таблиця 1'!$B:$B),"",A138+1))</f>
        <v/>
      </c>
      <c r="B139">
        <f>IF($A139="","",COUNTIFS('Таблиця 1'!$B:$B,$A139,'Таблиця 1'!$I:$I,"Mi-8")+COUNTIFS('Таблиця 1'!$B:$B,$A139,'Таблиця 1'!$I:$I,"Mi-24"))</f>
        <v/>
      </c>
      <c r="C139">
        <f>IF($A139="","",COUNTIFS('Таблиця 1'!$B:$B,$A139,'Таблиця 1'!$I:$I,"Mi-8"))</f>
        <v/>
      </c>
      <c r="D139">
        <f>IF($A139="","",COUNTIFS('Таблиця 1'!$B:$B,$A139,'Таблиця 1'!$I:$I,"Mi-24"))</f>
        <v/>
      </c>
      <c r="E139">
        <f>IF($A139="","",SUMIFS('Таблиця 1'!$K:$K,'Таблиця 1'!$B:$B,$A139,'Таблиця 1'!$I:$I,"Mi-8",'Таблиця 1'!$J:$J,"ARS-8")+SUMIFS('Таблиця 1'!$K:$K,'Таблиця 1'!$B:$B,$A139,'Таблиця 1'!$I:$I,"Mi-24",'Таблиця 1'!$J:$J,"ARS-8"))</f>
        <v/>
      </c>
      <c r="F139">
        <f>IF($A139="","",SUMIFS('Таблиця 1'!$K:$K,'Таблиця 1'!$B:$B,$A139,'Таблиця 1'!$I:$I,"Mi-8",'Таблиця 1'!$J:$J,"С-8 ком")+SUMIFS('Таблиця 1'!$K:$K,'Таблиця 1'!$B:$B,$A139,'Таблиця 1'!$I:$I,"Mi-24",'Таблиця 1'!$J:$J,"С-8 ком"))</f>
        <v/>
      </c>
      <c r="G139">
        <f>IF($A139="","",SUMIFS('Таблиця 1'!$K:$K,'Таблиця 1'!$B:$B,$A139,'Таблиця 1'!$I:$I,"Mi-8",'Таблиця 1'!$J:$J,"PC-80")+SUMIFS('Таблиця 1'!$K:$K,'Таблиця 1'!$B:$B,$A139,'Таблиця 1'!$I:$I,"Mi-24",'Таблиця 1'!$J:$J,"PC-80"))</f>
        <v/>
      </c>
      <c r="H139">
        <f>IF($A139="","",SUMIFS('Таблиця 1'!$K:$K,'Таблиця 1'!$B:$B,$A139,'Таблиця 1'!$I:$I,"Mi-8",'Таблиця 1'!$J:$J,"UAR-80")+SUMIFS('Таблиця 1'!$K:$K,'Таблиця 1'!$B:$B,$A139,'Таблиця 1'!$I:$I,"Mi-24",'Таблиця 1'!$J:$J,"UAR-80"))</f>
        <v/>
      </c>
      <c r="I139">
        <f>IF($A139="","",SUMIFS('Таблиця 1'!$K:$K,'Таблиця 1'!$B:$B,$A139,'Таблиця 1'!$I:$I,"Mi-8",'Таблиця 1'!$J:$J,"C-13")+SUMIFS('Таблиця 1'!$K:$K,'Таблиця 1'!$B:$B,$A139,'Таблиця 1'!$I:$I,"Mi-24",'Таблиця 1'!$J:$J,"C-13"))</f>
        <v/>
      </c>
      <c r="J139">
        <f>IF($A139="","",SUMIFS('Таблиця 1'!$K:$K,'Таблиця 1'!$B:$B,$A139,'Таблиця 1'!$I:$I,"Mi-8",'Таблиця 1'!$J:$J,"Hydra-70")+SUMIFS('Таблиця 1'!$K:$K,'Таблиця 1'!$B:$B,$A139,'Таблиця 1'!$I:$I,"Mi-24",'Таблиця 1'!$J:$J,"Hydra-70"))</f>
        <v/>
      </c>
      <c r="K139">
        <f>IF($A139="","",SUMIFS('Таблиця 1'!$K:$K,'Таблиця 1'!$B:$B,$A139,'Таблиця 1'!$I:$I,"Mi-8",'Таблиця 1'!$J:$J,"Thales-70")+SUMIFS('Таблиця 1'!$K:$K,'Таблиця 1'!$B:$B,$A139,'Таблиця 1'!$I:$I,"Mi-24",'Таблиця 1'!$J:$J,"Thales-70"))</f>
        <v/>
      </c>
      <c r="L139">
        <f>IF($A139="","",SUMIFS('Таблиця 1'!$K:$K,'Таблиця 1'!$B:$B,$A139,'Таблиця 1'!$I:$I,"Mi-8",'Таблиця 1'!$J:$J,"Thales-FZ")+SUMIFS('Таблиця 1'!$K:$K,'Таблиця 1'!$B:$B,$A139,'Таблиця 1'!$I:$I,"Mi-24",'Таблиця 1'!$J:$J,"Thales-FZ"))</f>
        <v/>
      </c>
      <c r="M139">
        <f>IF($A139="","",SUMIFS('Таблиця 1'!$K:$K,'Таблиця 1'!$B:$B,$A139,'Таблиця 1'!$I:$I,"Mi-8",'Таблиця 1'!$J:$J,"МК-40")+SUMIFS('Таблиця 1'!$K:$K,'Таблиця 1'!$B:$B,$A139,'Таблиця 1'!$I:$I,"Mi-24",'Таблиця 1'!$J:$J,"МК-40"))</f>
        <v/>
      </c>
      <c r="N139">
        <f>IF($A139="","",SUMIFS('Таблиця 1'!$K:$K,'Таблиця 1'!$B:$B,$A139,'Таблиця 1'!$I:$I,"Mi-8",'Таблиця 1'!$J:$J,"Zuni")+SUMIFS('Таблиця 1'!$K:$K,'Таблиця 1'!$B:$B,$A139,'Таблиця 1'!$I:$I,"Mi-24",'Таблиця 1'!$J:$J,"Zuni"))</f>
        <v/>
      </c>
      <c r="O139">
        <f>IF($A139="","",COUNTIFS('Таблиця 1'!$B:$B,$A139,'Таблиця 1'!$I:$I,"Mi-8",'Таблиця 1'!$L:$L,"Уражено")+COUNTIFS('Таблиця 1'!$B:$B,$A139,'Таблиця 1'!$I:$I,"Mi-24",'Таблиця 1'!$L:$L,"Уражено"))</f>
        <v/>
      </c>
      <c r="P139">
        <f>IF($A139="","",COUNTIFS('Таблиця 1'!$B:$B,$A139,'Таблиця 1'!$I:$I,"Mi-8",'Таблиця 1'!$L:$L,"НЕ уражено")+COUNTIFS('Таблиця 1'!$B:$B,$A139,'Таблиця 1'!$I:$I,"Mi-24",'Таблиця 1'!$L:$L,"НЕ уражено"))</f>
        <v/>
      </c>
    </row>
    <row r="140">
      <c r="A140" s="273">
        <f>IF(A139="","",IF(A139+1&gt;MAX('Таблиця 1'!$B:$B),"",A139+1))</f>
        <v/>
      </c>
      <c r="B140">
        <f>IF($A140="","",COUNTIFS('Таблиця 1'!$B:$B,$A140,'Таблиця 1'!$I:$I,"Mi-8")+COUNTIFS('Таблиця 1'!$B:$B,$A140,'Таблиця 1'!$I:$I,"Mi-24"))</f>
        <v/>
      </c>
      <c r="C140">
        <f>IF($A140="","",COUNTIFS('Таблиця 1'!$B:$B,$A140,'Таблиця 1'!$I:$I,"Mi-8"))</f>
        <v/>
      </c>
      <c r="D140">
        <f>IF($A140="","",COUNTIFS('Таблиця 1'!$B:$B,$A140,'Таблиця 1'!$I:$I,"Mi-24"))</f>
        <v/>
      </c>
      <c r="E140">
        <f>IF($A140="","",SUMIFS('Таблиця 1'!$K:$K,'Таблиця 1'!$B:$B,$A140,'Таблиця 1'!$I:$I,"Mi-8",'Таблиця 1'!$J:$J,"ARS-8")+SUMIFS('Таблиця 1'!$K:$K,'Таблиця 1'!$B:$B,$A140,'Таблиця 1'!$I:$I,"Mi-24",'Таблиця 1'!$J:$J,"ARS-8"))</f>
        <v/>
      </c>
      <c r="F140">
        <f>IF($A140="","",SUMIFS('Таблиця 1'!$K:$K,'Таблиця 1'!$B:$B,$A140,'Таблиця 1'!$I:$I,"Mi-8",'Таблиця 1'!$J:$J,"С-8 ком")+SUMIFS('Таблиця 1'!$K:$K,'Таблиця 1'!$B:$B,$A140,'Таблиця 1'!$I:$I,"Mi-24",'Таблиця 1'!$J:$J,"С-8 ком"))</f>
        <v/>
      </c>
      <c r="G140">
        <f>IF($A140="","",SUMIFS('Таблиця 1'!$K:$K,'Таблиця 1'!$B:$B,$A140,'Таблиця 1'!$I:$I,"Mi-8",'Таблиця 1'!$J:$J,"PC-80")+SUMIFS('Таблиця 1'!$K:$K,'Таблиця 1'!$B:$B,$A140,'Таблиця 1'!$I:$I,"Mi-24",'Таблиця 1'!$J:$J,"PC-80"))</f>
        <v/>
      </c>
      <c r="H140">
        <f>IF($A140="","",SUMIFS('Таблиця 1'!$K:$K,'Таблиця 1'!$B:$B,$A140,'Таблиця 1'!$I:$I,"Mi-8",'Таблиця 1'!$J:$J,"UAR-80")+SUMIFS('Таблиця 1'!$K:$K,'Таблиця 1'!$B:$B,$A140,'Таблиця 1'!$I:$I,"Mi-24",'Таблиця 1'!$J:$J,"UAR-80"))</f>
        <v/>
      </c>
      <c r="I140">
        <f>IF($A140="","",SUMIFS('Таблиця 1'!$K:$K,'Таблиця 1'!$B:$B,$A140,'Таблиця 1'!$I:$I,"Mi-8",'Таблиця 1'!$J:$J,"C-13")+SUMIFS('Таблиця 1'!$K:$K,'Таблиця 1'!$B:$B,$A140,'Таблиця 1'!$I:$I,"Mi-24",'Таблиця 1'!$J:$J,"C-13"))</f>
        <v/>
      </c>
      <c r="J140">
        <f>IF($A140="","",SUMIFS('Таблиця 1'!$K:$K,'Таблиця 1'!$B:$B,$A140,'Таблиця 1'!$I:$I,"Mi-8",'Таблиця 1'!$J:$J,"Hydra-70")+SUMIFS('Таблиця 1'!$K:$K,'Таблиця 1'!$B:$B,$A140,'Таблиця 1'!$I:$I,"Mi-24",'Таблиця 1'!$J:$J,"Hydra-70"))</f>
        <v/>
      </c>
      <c r="K140">
        <f>IF($A140="","",SUMIFS('Таблиця 1'!$K:$K,'Таблиця 1'!$B:$B,$A140,'Таблиця 1'!$I:$I,"Mi-8",'Таблиця 1'!$J:$J,"Thales-70")+SUMIFS('Таблиця 1'!$K:$K,'Таблиця 1'!$B:$B,$A140,'Таблиця 1'!$I:$I,"Mi-24",'Таблиця 1'!$J:$J,"Thales-70"))</f>
        <v/>
      </c>
      <c r="L140">
        <f>IF($A140="","",SUMIFS('Таблиця 1'!$K:$K,'Таблиця 1'!$B:$B,$A140,'Таблиця 1'!$I:$I,"Mi-8",'Таблиця 1'!$J:$J,"Thales-FZ")+SUMIFS('Таблиця 1'!$K:$K,'Таблиця 1'!$B:$B,$A140,'Таблиця 1'!$I:$I,"Mi-24",'Таблиця 1'!$J:$J,"Thales-FZ"))</f>
        <v/>
      </c>
      <c r="M140">
        <f>IF($A140="","",SUMIFS('Таблиця 1'!$K:$K,'Таблиця 1'!$B:$B,$A140,'Таблиця 1'!$I:$I,"Mi-8",'Таблиця 1'!$J:$J,"МК-40")+SUMIFS('Таблиця 1'!$K:$K,'Таблиця 1'!$B:$B,$A140,'Таблиця 1'!$I:$I,"Mi-24",'Таблиця 1'!$J:$J,"МК-40"))</f>
        <v/>
      </c>
      <c r="N140">
        <f>IF($A140="","",SUMIFS('Таблиця 1'!$K:$K,'Таблиця 1'!$B:$B,$A140,'Таблиця 1'!$I:$I,"Mi-8",'Таблиця 1'!$J:$J,"Zuni")+SUMIFS('Таблиця 1'!$K:$K,'Таблиця 1'!$B:$B,$A140,'Таблиця 1'!$I:$I,"Mi-24",'Таблиця 1'!$J:$J,"Zuni"))</f>
        <v/>
      </c>
      <c r="O140">
        <f>IF($A140="","",COUNTIFS('Таблиця 1'!$B:$B,$A140,'Таблиця 1'!$I:$I,"Mi-8",'Таблиця 1'!$L:$L,"Уражено")+COUNTIFS('Таблиця 1'!$B:$B,$A140,'Таблиця 1'!$I:$I,"Mi-24",'Таблиця 1'!$L:$L,"Уражено"))</f>
        <v/>
      </c>
      <c r="P140">
        <f>IF($A140="","",COUNTIFS('Таблиця 1'!$B:$B,$A140,'Таблиця 1'!$I:$I,"Mi-8",'Таблиця 1'!$L:$L,"НЕ уражено")+COUNTIFS('Таблиця 1'!$B:$B,$A140,'Таблиця 1'!$I:$I,"Mi-24",'Таблиця 1'!$L:$L,"НЕ уражено"))</f>
        <v/>
      </c>
    </row>
    <row r="141">
      <c r="A141" s="273">
        <f>IF(A140="","",IF(A140+1&gt;MAX('Таблиця 1'!$B:$B),"",A140+1))</f>
        <v/>
      </c>
      <c r="B141">
        <f>IF($A141="","",COUNTIFS('Таблиця 1'!$B:$B,$A141,'Таблиця 1'!$I:$I,"Mi-8")+COUNTIFS('Таблиця 1'!$B:$B,$A141,'Таблиця 1'!$I:$I,"Mi-24"))</f>
        <v/>
      </c>
      <c r="C141">
        <f>IF($A141="","",COUNTIFS('Таблиця 1'!$B:$B,$A141,'Таблиця 1'!$I:$I,"Mi-8"))</f>
        <v/>
      </c>
      <c r="D141">
        <f>IF($A141="","",COUNTIFS('Таблиця 1'!$B:$B,$A141,'Таблиця 1'!$I:$I,"Mi-24"))</f>
        <v/>
      </c>
      <c r="E141">
        <f>IF($A141="","",SUMIFS('Таблиця 1'!$K:$K,'Таблиця 1'!$B:$B,$A141,'Таблиця 1'!$I:$I,"Mi-8",'Таблиця 1'!$J:$J,"ARS-8")+SUMIFS('Таблиця 1'!$K:$K,'Таблиця 1'!$B:$B,$A141,'Таблиця 1'!$I:$I,"Mi-24",'Таблиця 1'!$J:$J,"ARS-8"))</f>
        <v/>
      </c>
      <c r="F141">
        <f>IF($A141="","",SUMIFS('Таблиця 1'!$K:$K,'Таблиця 1'!$B:$B,$A141,'Таблиця 1'!$I:$I,"Mi-8",'Таблиця 1'!$J:$J,"С-8 ком")+SUMIFS('Таблиця 1'!$K:$K,'Таблиця 1'!$B:$B,$A141,'Таблиця 1'!$I:$I,"Mi-24",'Таблиця 1'!$J:$J,"С-8 ком"))</f>
        <v/>
      </c>
      <c r="G141">
        <f>IF($A141="","",SUMIFS('Таблиця 1'!$K:$K,'Таблиця 1'!$B:$B,$A141,'Таблиця 1'!$I:$I,"Mi-8",'Таблиця 1'!$J:$J,"PC-80")+SUMIFS('Таблиця 1'!$K:$K,'Таблиця 1'!$B:$B,$A141,'Таблиця 1'!$I:$I,"Mi-24",'Таблиця 1'!$J:$J,"PC-80"))</f>
        <v/>
      </c>
      <c r="H141">
        <f>IF($A141="","",SUMIFS('Таблиця 1'!$K:$K,'Таблиця 1'!$B:$B,$A141,'Таблиця 1'!$I:$I,"Mi-8",'Таблиця 1'!$J:$J,"UAR-80")+SUMIFS('Таблиця 1'!$K:$K,'Таблиця 1'!$B:$B,$A141,'Таблиця 1'!$I:$I,"Mi-24",'Таблиця 1'!$J:$J,"UAR-80"))</f>
        <v/>
      </c>
      <c r="I141">
        <f>IF($A141="","",SUMIFS('Таблиця 1'!$K:$K,'Таблиця 1'!$B:$B,$A141,'Таблиця 1'!$I:$I,"Mi-8",'Таблиця 1'!$J:$J,"C-13")+SUMIFS('Таблиця 1'!$K:$K,'Таблиця 1'!$B:$B,$A141,'Таблиця 1'!$I:$I,"Mi-24",'Таблиця 1'!$J:$J,"C-13"))</f>
        <v/>
      </c>
      <c r="J141">
        <f>IF($A141="","",SUMIFS('Таблиця 1'!$K:$K,'Таблиця 1'!$B:$B,$A141,'Таблиця 1'!$I:$I,"Mi-8",'Таблиця 1'!$J:$J,"Hydra-70")+SUMIFS('Таблиця 1'!$K:$K,'Таблиця 1'!$B:$B,$A141,'Таблиця 1'!$I:$I,"Mi-24",'Таблиця 1'!$J:$J,"Hydra-70"))</f>
        <v/>
      </c>
      <c r="K141">
        <f>IF($A141="","",SUMIFS('Таблиця 1'!$K:$K,'Таблиця 1'!$B:$B,$A141,'Таблиця 1'!$I:$I,"Mi-8",'Таблиця 1'!$J:$J,"Thales-70")+SUMIFS('Таблиця 1'!$K:$K,'Таблиця 1'!$B:$B,$A141,'Таблиця 1'!$I:$I,"Mi-24",'Таблиця 1'!$J:$J,"Thales-70"))</f>
        <v/>
      </c>
      <c r="L141">
        <f>IF($A141="","",SUMIFS('Таблиця 1'!$K:$K,'Таблиця 1'!$B:$B,$A141,'Таблиця 1'!$I:$I,"Mi-8",'Таблиця 1'!$J:$J,"Thales-FZ")+SUMIFS('Таблиця 1'!$K:$K,'Таблиця 1'!$B:$B,$A141,'Таблиця 1'!$I:$I,"Mi-24",'Таблиця 1'!$J:$J,"Thales-FZ"))</f>
        <v/>
      </c>
      <c r="M141">
        <f>IF($A141="","",SUMIFS('Таблиця 1'!$K:$K,'Таблиця 1'!$B:$B,$A141,'Таблиця 1'!$I:$I,"Mi-8",'Таблиця 1'!$J:$J,"МК-40")+SUMIFS('Таблиця 1'!$K:$K,'Таблиця 1'!$B:$B,$A141,'Таблиця 1'!$I:$I,"Mi-24",'Таблиця 1'!$J:$J,"МК-40"))</f>
        <v/>
      </c>
      <c r="N141">
        <f>IF($A141="","",SUMIFS('Таблиця 1'!$K:$K,'Таблиця 1'!$B:$B,$A141,'Таблиця 1'!$I:$I,"Mi-8",'Таблиця 1'!$J:$J,"Zuni")+SUMIFS('Таблиця 1'!$K:$K,'Таблиця 1'!$B:$B,$A141,'Таблиця 1'!$I:$I,"Mi-24",'Таблиця 1'!$J:$J,"Zuni"))</f>
        <v/>
      </c>
      <c r="O141">
        <f>IF($A141="","",COUNTIFS('Таблиця 1'!$B:$B,$A141,'Таблиця 1'!$I:$I,"Mi-8",'Таблиця 1'!$L:$L,"Уражено")+COUNTIFS('Таблиця 1'!$B:$B,$A141,'Таблиця 1'!$I:$I,"Mi-24",'Таблиця 1'!$L:$L,"Уражено"))</f>
        <v/>
      </c>
      <c r="P141">
        <f>IF($A141="","",COUNTIFS('Таблиця 1'!$B:$B,$A141,'Таблиця 1'!$I:$I,"Mi-8",'Таблиця 1'!$L:$L,"НЕ уражено")+COUNTIFS('Таблиця 1'!$B:$B,$A141,'Таблиця 1'!$I:$I,"Mi-24",'Таблиця 1'!$L:$L,"НЕ уражено"))</f>
        <v/>
      </c>
    </row>
    <row r="142">
      <c r="A142" s="273">
        <f>IF(A141="","",IF(A141+1&gt;MAX('Таблиця 1'!$B:$B),"",A141+1))</f>
        <v/>
      </c>
      <c r="B142">
        <f>IF($A142="","",COUNTIFS('Таблиця 1'!$B:$B,$A142,'Таблиця 1'!$I:$I,"Mi-8")+COUNTIFS('Таблиця 1'!$B:$B,$A142,'Таблиця 1'!$I:$I,"Mi-24"))</f>
        <v/>
      </c>
      <c r="C142">
        <f>IF($A142="","",COUNTIFS('Таблиця 1'!$B:$B,$A142,'Таблиця 1'!$I:$I,"Mi-8"))</f>
        <v/>
      </c>
      <c r="D142">
        <f>IF($A142="","",COUNTIFS('Таблиця 1'!$B:$B,$A142,'Таблиця 1'!$I:$I,"Mi-24"))</f>
        <v/>
      </c>
      <c r="E142">
        <f>IF($A142="","",SUMIFS('Таблиця 1'!$K:$K,'Таблиця 1'!$B:$B,$A142,'Таблиця 1'!$I:$I,"Mi-8",'Таблиця 1'!$J:$J,"ARS-8")+SUMIFS('Таблиця 1'!$K:$K,'Таблиця 1'!$B:$B,$A142,'Таблиця 1'!$I:$I,"Mi-24",'Таблиця 1'!$J:$J,"ARS-8"))</f>
        <v/>
      </c>
      <c r="F142">
        <f>IF($A142="","",SUMIFS('Таблиця 1'!$K:$K,'Таблиця 1'!$B:$B,$A142,'Таблиця 1'!$I:$I,"Mi-8",'Таблиця 1'!$J:$J,"С-8 ком")+SUMIFS('Таблиця 1'!$K:$K,'Таблиця 1'!$B:$B,$A142,'Таблиця 1'!$I:$I,"Mi-24",'Таблиця 1'!$J:$J,"С-8 ком"))</f>
        <v/>
      </c>
      <c r="G142">
        <f>IF($A142="","",SUMIFS('Таблиця 1'!$K:$K,'Таблиця 1'!$B:$B,$A142,'Таблиця 1'!$I:$I,"Mi-8",'Таблиця 1'!$J:$J,"PC-80")+SUMIFS('Таблиця 1'!$K:$K,'Таблиця 1'!$B:$B,$A142,'Таблиця 1'!$I:$I,"Mi-24",'Таблиця 1'!$J:$J,"PC-80"))</f>
        <v/>
      </c>
      <c r="H142">
        <f>IF($A142="","",SUMIFS('Таблиця 1'!$K:$K,'Таблиця 1'!$B:$B,$A142,'Таблиця 1'!$I:$I,"Mi-8",'Таблиця 1'!$J:$J,"UAR-80")+SUMIFS('Таблиця 1'!$K:$K,'Таблиця 1'!$B:$B,$A142,'Таблиця 1'!$I:$I,"Mi-24",'Таблиця 1'!$J:$J,"UAR-80"))</f>
        <v/>
      </c>
      <c r="I142">
        <f>IF($A142="","",SUMIFS('Таблиця 1'!$K:$K,'Таблиця 1'!$B:$B,$A142,'Таблиця 1'!$I:$I,"Mi-8",'Таблиця 1'!$J:$J,"C-13")+SUMIFS('Таблиця 1'!$K:$K,'Таблиця 1'!$B:$B,$A142,'Таблиця 1'!$I:$I,"Mi-24",'Таблиця 1'!$J:$J,"C-13"))</f>
        <v/>
      </c>
      <c r="J142">
        <f>IF($A142="","",SUMIFS('Таблиця 1'!$K:$K,'Таблиця 1'!$B:$B,$A142,'Таблиця 1'!$I:$I,"Mi-8",'Таблиця 1'!$J:$J,"Hydra-70")+SUMIFS('Таблиця 1'!$K:$K,'Таблиця 1'!$B:$B,$A142,'Таблиця 1'!$I:$I,"Mi-24",'Таблиця 1'!$J:$J,"Hydra-70"))</f>
        <v/>
      </c>
      <c r="K142">
        <f>IF($A142="","",SUMIFS('Таблиця 1'!$K:$K,'Таблиця 1'!$B:$B,$A142,'Таблиця 1'!$I:$I,"Mi-8",'Таблиця 1'!$J:$J,"Thales-70")+SUMIFS('Таблиця 1'!$K:$K,'Таблиця 1'!$B:$B,$A142,'Таблиця 1'!$I:$I,"Mi-24",'Таблиця 1'!$J:$J,"Thales-70"))</f>
        <v/>
      </c>
      <c r="L142">
        <f>IF($A142="","",SUMIFS('Таблиця 1'!$K:$K,'Таблиця 1'!$B:$B,$A142,'Таблиця 1'!$I:$I,"Mi-8",'Таблиця 1'!$J:$J,"Thales-FZ")+SUMIFS('Таблиця 1'!$K:$K,'Таблиця 1'!$B:$B,$A142,'Таблиця 1'!$I:$I,"Mi-24",'Таблиця 1'!$J:$J,"Thales-FZ"))</f>
        <v/>
      </c>
      <c r="M142">
        <f>IF($A142="","",SUMIFS('Таблиця 1'!$K:$K,'Таблиця 1'!$B:$B,$A142,'Таблиця 1'!$I:$I,"Mi-8",'Таблиця 1'!$J:$J,"МК-40")+SUMIFS('Таблиця 1'!$K:$K,'Таблиця 1'!$B:$B,$A142,'Таблиця 1'!$I:$I,"Mi-24",'Таблиця 1'!$J:$J,"МК-40"))</f>
        <v/>
      </c>
      <c r="N142">
        <f>IF($A142="","",SUMIFS('Таблиця 1'!$K:$K,'Таблиця 1'!$B:$B,$A142,'Таблиця 1'!$I:$I,"Mi-8",'Таблиця 1'!$J:$J,"Zuni")+SUMIFS('Таблиця 1'!$K:$K,'Таблиця 1'!$B:$B,$A142,'Таблиця 1'!$I:$I,"Mi-24",'Таблиця 1'!$J:$J,"Zuni"))</f>
        <v/>
      </c>
      <c r="O142">
        <f>IF($A142="","",COUNTIFS('Таблиця 1'!$B:$B,$A142,'Таблиця 1'!$I:$I,"Mi-8",'Таблиця 1'!$L:$L,"Уражено")+COUNTIFS('Таблиця 1'!$B:$B,$A142,'Таблиця 1'!$I:$I,"Mi-24",'Таблиця 1'!$L:$L,"Уражено"))</f>
        <v/>
      </c>
      <c r="P142">
        <f>IF($A142="","",COUNTIFS('Таблиця 1'!$B:$B,$A142,'Таблиця 1'!$I:$I,"Mi-8",'Таблиця 1'!$L:$L,"НЕ уражено")+COUNTIFS('Таблиця 1'!$B:$B,$A142,'Таблиця 1'!$I:$I,"Mi-24",'Таблиця 1'!$L:$L,"НЕ уражено"))</f>
        <v/>
      </c>
    </row>
    <row r="143">
      <c r="A143" s="273">
        <f>IF(A142="","",IF(A142+1&gt;MAX('Таблиця 1'!$B:$B),"",A142+1))</f>
        <v/>
      </c>
      <c r="B143">
        <f>IF($A143="","",COUNTIFS('Таблиця 1'!$B:$B,$A143,'Таблиця 1'!$I:$I,"Mi-8")+COUNTIFS('Таблиця 1'!$B:$B,$A143,'Таблиця 1'!$I:$I,"Mi-24"))</f>
        <v/>
      </c>
      <c r="C143">
        <f>IF($A143="","",COUNTIFS('Таблиця 1'!$B:$B,$A143,'Таблиця 1'!$I:$I,"Mi-8"))</f>
        <v/>
      </c>
      <c r="D143">
        <f>IF($A143="","",COUNTIFS('Таблиця 1'!$B:$B,$A143,'Таблиця 1'!$I:$I,"Mi-24"))</f>
        <v/>
      </c>
      <c r="E143">
        <f>IF($A143="","",SUMIFS('Таблиця 1'!$K:$K,'Таблиця 1'!$B:$B,$A143,'Таблиця 1'!$I:$I,"Mi-8",'Таблиця 1'!$J:$J,"ARS-8")+SUMIFS('Таблиця 1'!$K:$K,'Таблиця 1'!$B:$B,$A143,'Таблиця 1'!$I:$I,"Mi-24",'Таблиця 1'!$J:$J,"ARS-8"))</f>
        <v/>
      </c>
      <c r="F143">
        <f>IF($A143="","",SUMIFS('Таблиця 1'!$K:$K,'Таблиця 1'!$B:$B,$A143,'Таблиця 1'!$I:$I,"Mi-8",'Таблиця 1'!$J:$J,"С-8 ком")+SUMIFS('Таблиця 1'!$K:$K,'Таблиця 1'!$B:$B,$A143,'Таблиця 1'!$I:$I,"Mi-24",'Таблиця 1'!$J:$J,"С-8 ком"))</f>
        <v/>
      </c>
      <c r="G143">
        <f>IF($A143="","",SUMIFS('Таблиця 1'!$K:$K,'Таблиця 1'!$B:$B,$A143,'Таблиця 1'!$I:$I,"Mi-8",'Таблиця 1'!$J:$J,"PC-80")+SUMIFS('Таблиця 1'!$K:$K,'Таблиця 1'!$B:$B,$A143,'Таблиця 1'!$I:$I,"Mi-24",'Таблиця 1'!$J:$J,"PC-80"))</f>
        <v/>
      </c>
      <c r="H143">
        <f>IF($A143="","",SUMIFS('Таблиця 1'!$K:$K,'Таблиця 1'!$B:$B,$A143,'Таблиця 1'!$I:$I,"Mi-8",'Таблиця 1'!$J:$J,"UAR-80")+SUMIFS('Таблиця 1'!$K:$K,'Таблиця 1'!$B:$B,$A143,'Таблиця 1'!$I:$I,"Mi-24",'Таблиця 1'!$J:$J,"UAR-80"))</f>
        <v/>
      </c>
      <c r="I143">
        <f>IF($A143="","",SUMIFS('Таблиця 1'!$K:$K,'Таблиця 1'!$B:$B,$A143,'Таблиця 1'!$I:$I,"Mi-8",'Таблиця 1'!$J:$J,"C-13")+SUMIFS('Таблиця 1'!$K:$K,'Таблиця 1'!$B:$B,$A143,'Таблиця 1'!$I:$I,"Mi-24",'Таблиця 1'!$J:$J,"C-13"))</f>
        <v/>
      </c>
      <c r="J143">
        <f>IF($A143="","",SUMIFS('Таблиця 1'!$K:$K,'Таблиця 1'!$B:$B,$A143,'Таблиця 1'!$I:$I,"Mi-8",'Таблиця 1'!$J:$J,"Hydra-70")+SUMIFS('Таблиця 1'!$K:$K,'Таблиця 1'!$B:$B,$A143,'Таблиця 1'!$I:$I,"Mi-24",'Таблиця 1'!$J:$J,"Hydra-70"))</f>
        <v/>
      </c>
      <c r="K143">
        <f>IF($A143="","",SUMIFS('Таблиця 1'!$K:$K,'Таблиця 1'!$B:$B,$A143,'Таблиця 1'!$I:$I,"Mi-8",'Таблиця 1'!$J:$J,"Thales-70")+SUMIFS('Таблиця 1'!$K:$K,'Таблиця 1'!$B:$B,$A143,'Таблиця 1'!$I:$I,"Mi-24",'Таблиця 1'!$J:$J,"Thales-70"))</f>
        <v/>
      </c>
      <c r="L143">
        <f>IF($A143="","",SUMIFS('Таблиця 1'!$K:$K,'Таблиця 1'!$B:$B,$A143,'Таблиця 1'!$I:$I,"Mi-8",'Таблиця 1'!$J:$J,"Thales-FZ")+SUMIFS('Таблиця 1'!$K:$K,'Таблиця 1'!$B:$B,$A143,'Таблиця 1'!$I:$I,"Mi-24",'Таблиця 1'!$J:$J,"Thales-FZ"))</f>
        <v/>
      </c>
      <c r="M143">
        <f>IF($A143="","",SUMIFS('Таблиця 1'!$K:$K,'Таблиця 1'!$B:$B,$A143,'Таблиця 1'!$I:$I,"Mi-8",'Таблиця 1'!$J:$J,"МК-40")+SUMIFS('Таблиця 1'!$K:$K,'Таблиця 1'!$B:$B,$A143,'Таблиця 1'!$I:$I,"Mi-24",'Таблиця 1'!$J:$J,"МК-40"))</f>
        <v/>
      </c>
      <c r="N143">
        <f>IF($A143="","",SUMIFS('Таблиця 1'!$K:$K,'Таблиця 1'!$B:$B,$A143,'Таблиця 1'!$I:$I,"Mi-8",'Таблиця 1'!$J:$J,"Zuni")+SUMIFS('Таблиця 1'!$K:$K,'Таблиця 1'!$B:$B,$A143,'Таблиця 1'!$I:$I,"Mi-24",'Таблиця 1'!$J:$J,"Zuni"))</f>
        <v/>
      </c>
      <c r="O143">
        <f>IF($A143="","",COUNTIFS('Таблиця 1'!$B:$B,$A143,'Таблиця 1'!$I:$I,"Mi-8",'Таблиця 1'!$L:$L,"Уражено")+COUNTIFS('Таблиця 1'!$B:$B,$A143,'Таблиця 1'!$I:$I,"Mi-24",'Таблиця 1'!$L:$L,"Уражено"))</f>
        <v/>
      </c>
      <c r="P143">
        <f>IF($A143="","",COUNTIFS('Таблиця 1'!$B:$B,$A143,'Таблиця 1'!$I:$I,"Mi-8",'Таблиця 1'!$L:$L,"НЕ уражено")+COUNTIFS('Таблиця 1'!$B:$B,$A143,'Таблиця 1'!$I:$I,"Mi-24",'Таблиця 1'!$L:$L,"НЕ уражено"))</f>
        <v/>
      </c>
    </row>
    <row r="144">
      <c r="A144" s="273">
        <f>IF(A143="","",IF(A143+1&gt;MAX('Таблиця 1'!$B:$B),"",A143+1))</f>
        <v/>
      </c>
      <c r="B144">
        <f>IF($A144="","",COUNTIFS('Таблиця 1'!$B:$B,$A144,'Таблиця 1'!$I:$I,"Mi-8")+COUNTIFS('Таблиця 1'!$B:$B,$A144,'Таблиця 1'!$I:$I,"Mi-24"))</f>
        <v/>
      </c>
      <c r="C144">
        <f>IF($A144="","",COUNTIFS('Таблиця 1'!$B:$B,$A144,'Таблиця 1'!$I:$I,"Mi-8"))</f>
        <v/>
      </c>
      <c r="D144">
        <f>IF($A144="","",COUNTIFS('Таблиця 1'!$B:$B,$A144,'Таблиця 1'!$I:$I,"Mi-24"))</f>
        <v/>
      </c>
      <c r="E144">
        <f>IF($A144="","",SUMIFS('Таблиця 1'!$K:$K,'Таблиця 1'!$B:$B,$A144,'Таблиця 1'!$I:$I,"Mi-8",'Таблиця 1'!$J:$J,"ARS-8")+SUMIFS('Таблиця 1'!$K:$K,'Таблиця 1'!$B:$B,$A144,'Таблиця 1'!$I:$I,"Mi-24",'Таблиця 1'!$J:$J,"ARS-8"))</f>
        <v/>
      </c>
      <c r="F144">
        <f>IF($A144="","",SUMIFS('Таблиця 1'!$K:$K,'Таблиця 1'!$B:$B,$A144,'Таблиця 1'!$I:$I,"Mi-8",'Таблиця 1'!$J:$J,"С-8 ком")+SUMIFS('Таблиця 1'!$K:$K,'Таблиця 1'!$B:$B,$A144,'Таблиця 1'!$I:$I,"Mi-24",'Таблиця 1'!$J:$J,"С-8 ком"))</f>
        <v/>
      </c>
      <c r="G144">
        <f>IF($A144="","",SUMIFS('Таблиця 1'!$K:$K,'Таблиця 1'!$B:$B,$A144,'Таблиця 1'!$I:$I,"Mi-8",'Таблиця 1'!$J:$J,"PC-80")+SUMIFS('Таблиця 1'!$K:$K,'Таблиця 1'!$B:$B,$A144,'Таблиця 1'!$I:$I,"Mi-24",'Таблиця 1'!$J:$J,"PC-80"))</f>
        <v/>
      </c>
      <c r="H144">
        <f>IF($A144="","",SUMIFS('Таблиця 1'!$K:$K,'Таблиця 1'!$B:$B,$A144,'Таблиця 1'!$I:$I,"Mi-8",'Таблиця 1'!$J:$J,"UAR-80")+SUMIFS('Таблиця 1'!$K:$K,'Таблиця 1'!$B:$B,$A144,'Таблиця 1'!$I:$I,"Mi-24",'Таблиця 1'!$J:$J,"UAR-80"))</f>
        <v/>
      </c>
      <c r="I144">
        <f>IF($A144="","",SUMIFS('Таблиця 1'!$K:$K,'Таблиця 1'!$B:$B,$A144,'Таблиця 1'!$I:$I,"Mi-8",'Таблиця 1'!$J:$J,"C-13")+SUMIFS('Таблиця 1'!$K:$K,'Таблиця 1'!$B:$B,$A144,'Таблиця 1'!$I:$I,"Mi-24",'Таблиця 1'!$J:$J,"C-13"))</f>
        <v/>
      </c>
      <c r="J144">
        <f>IF($A144="","",SUMIFS('Таблиця 1'!$K:$K,'Таблиця 1'!$B:$B,$A144,'Таблиця 1'!$I:$I,"Mi-8",'Таблиця 1'!$J:$J,"Hydra-70")+SUMIFS('Таблиця 1'!$K:$K,'Таблиця 1'!$B:$B,$A144,'Таблиця 1'!$I:$I,"Mi-24",'Таблиця 1'!$J:$J,"Hydra-70"))</f>
        <v/>
      </c>
      <c r="K144">
        <f>IF($A144="","",SUMIFS('Таблиця 1'!$K:$K,'Таблиця 1'!$B:$B,$A144,'Таблиця 1'!$I:$I,"Mi-8",'Таблиця 1'!$J:$J,"Thales-70")+SUMIFS('Таблиця 1'!$K:$K,'Таблиця 1'!$B:$B,$A144,'Таблиця 1'!$I:$I,"Mi-24",'Таблиця 1'!$J:$J,"Thales-70"))</f>
        <v/>
      </c>
      <c r="L144">
        <f>IF($A144="","",SUMIFS('Таблиця 1'!$K:$K,'Таблиця 1'!$B:$B,$A144,'Таблиця 1'!$I:$I,"Mi-8",'Таблиця 1'!$J:$J,"Thales-FZ")+SUMIFS('Таблиця 1'!$K:$K,'Таблиця 1'!$B:$B,$A144,'Таблиця 1'!$I:$I,"Mi-24",'Таблиця 1'!$J:$J,"Thales-FZ"))</f>
        <v/>
      </c>
      <c r="M144">
        <f>IF($A144="","",SUMIFS('Таблиця 1'!$K:$K,'Таблиця 1'!$B:$B,$A144,'Таблиця 1'!$I:$I,"Mi-8",'Таблиця 1'!$J:$J,"МК-40")+SUMIFS('Таблиця 1'!$K:$K,'Таблиця 1'!$B:$B,$A144,'Таблиця 1'!$I:$I,"Mi-24",'Таблиця 1'!$J:$J,"МК-40"))</f>
        <v/>
      </c>
      <c r="N144">
        <f>IF($A144="","",SUMIFS('Таблиця 1'!$K:$K,'Таблиця 1'!$B:$B,$A144,'Таблиця 1'!$I:$I,"Mi-8",'Таблиця 1'!$J:$J,"Zuni")+SUMIFS('Таблиця 1'!$K:$K,'Таблиця 1'!$B:$B,$A144,'Таблиця 1'!$I:$I,"Mi-24",'Таблиця 1'!$J:$J,"Zuni"))</f>
        <v/>
      </c>
      <c r="O144">
        <f>IF($A144="","",COUNTIFS('Таблиця 1'!$B:$B,$A144,'Таблиця 1'!$I:$I,"Mi-8",'Таблиця 1'!$L:$L,"Уражено")+COUNTIFS('Таблиця 1'!$B:$B,$A144,'Таблиця 1'!$I:$I,"Mi-24",'Таблиця 1'!$L:$L,"Уражено"))</f>
        <v/>
      </c>
      <c r="P144">
        <f>IF($A144="","",COUNTIFS('Таблиця 1'!$B:$B,$A144,'Таблиця 1'!$I:$I,"Mi-8",'Таблиця 1'!$L:$L,"НЕ уражено")+COUNTIFS('Таблиця 1'!$B:$B,$A144,'Таблиця 1'!$I:$I,"Mi-24",'Таблиця 1'!$L:$L,"НЕ уражено"))</f>
        <v/>
      </c>
    </row>
    <row r="145">
      <c r="A145" s="273">
        <f>IF(A144="","",IF(A144+1&gt;MAX('Таблиця 1'!$B:$B),"",A144+1))</f>
        <v/>
      </c>
      <c r="B145">
        <f>IF($A145="","",COUNTIFS('Таблиця 1'!$B:$B,$A145,'Таблиця 1'!$I:$I,"Mi-8")+COUNTIFS('Таблиця 1'!$B:$B,$A145,'Таблиця 1'!$I:$I,"Mi-24"))</f>
        <v/>
      </c>
      <c r="C145">
        <f>IF($A145="","",COUNTIFS('Таблиця 1'!$B:$B,$A145,'Таблиця 1'!$I:$I,"Mi-8"))</f>
        <v/>
      </c>
      <c r="D145">
        <f>IF($A145="","",COUNTIFS('Таблиця 1'!$B:$B,$A145,'Таблиця 1'!$I:$I,"Mi-24"))</f>
        <v/>
      </c>
      <c r="E145">
        <f>IF($A145="","",SUMIFS('Таблиця 1'!$K:$K,'Таблиця 1'!$B:$B,$A145,'Таблиця 1'!$I:$I,"Mi-8",'Таблиця 1'!$J:$J,"ARS-8")+SUMIFS('Таблиця 1'!$K:$K,'Таблиця 1'!$B:$B,$A145,'Таблиця 1'!$I:$I,"Mi-24",'Таблиця 1'!$J:$J,"ARS-8"))</f>
        <v/>
      </c>
      <c r="F145">
        <f>IF($A145="","",SUMIFS('Таблиця 1'!$K:$K,'Таблиця 1'!$B:$B,$A145,'Таблиця 1'!$I:$I,"Mi-8",'Таблиця 1'!$J:$J,"С-8 ком")+SUMIFS('Таблиця 1'!$K:$K,'Таблиця 1'!$B:$B,$A145,'Таблиця 1'!$I:$I,"Mi-24",'Таблиця 1'!$J:$J,"С-8 ком"))</f>
        <v/>
      </c>
      <c r="G145">
        <f>IF($A145="","",SUMIFS('Таблиця 1'!$K:$K,'Таблиця 1'!$B:$B,$A145,'Таблиця 1'!$I:$I,"Mi-8",'Таблиця 1'!$J:$J,"PC-80")+SUMIFS('Таблиця 1'!$K:$K,'Таблиця 1'!$B:$B,$A145,'Таблиця 1'!$I:$I,"Mi-24",'Таблиця 1'!$J:$J,"PC-80"))</f>
        <v/>
      </c>
      <c r="H145">
        <f>IF($A145="","",SUMIFS('Таблиця 1'!$K:$K,'Таблиця 1'!$B:$B,$A145,'Таблиця 1'!$I:$I,"Mi-8",'Таблиця 1'!$J:$J,"UAR-80")+SUMIFS('Таблиця 1'!$K:$K,'Таблиця 1'!$B:$B,$A145,'Таблиця 1'!$I:$I,"Mi-24",'Таблиця 1'!$J:$J,"UAR-80"))</f>
        <v/>
      </c>
      <c r="I145">
        <f>IF($A145="","",SUMIFS('Таблиця 1'!$K:$K,'Таблиця 1'!$B:$B,$A145,'Таблиця 1'!$I:$I,"Mi-8",'Таблиця 1'!$J:$J,"C-13")+SUMIFS('Таблиця 1'!$K:$K,'Таблиця 1'!$B:$B,$A145,'Таблиця 1'!$I:$I,"Mi-24",'Таблиця 1'!$J:$J,"C-13"))</f>
        <v/>
      </c>
      <c r="J145">
        <f>IF($A145="","",SUMIFS('Таблиця 1'!$K:$K,'Таблиця 1'!$B:$B,$A145,'Таблиця 1'!$I:$I,"Mi-8",'Таблиця 1'!$J:$J,"Hydra-70")+SUMIFS('Таблиця 1'!$K:$K,'Таблиця 1'!$B:$B,$A145,'Таблиця 1'!$I:$I,"Mi-24",'Таблиця 1'!$J:$J,"Hydra-70"))</f>
        <v/>
      </c>
      <c r="K145">
        <f>IF($A145="","",SUMIFS('Таблиця 1'!$K:$K,'Таблиця 1'!$B:$B,$A145,'Таблиця 1'!$I:$I,"Mi-8",'Таблиця 1'!$J:$J,"Thales-70")+SUMIFS('Таблиця 1'!$K:$K,'Таблиця 1'!$B:$B,$A145,'Таблиця 1'!$I:$I,"Mi-24",'Таблиця 1'!$J:$J,"Thales-70"))</f>
        <v/>
      </c>
      <c r="L145">
        <f>IF($A145="","",SUMIFS('Таблиця 1'!$K:$K,'Таблиця 1'!$B:$B,$A145,'Таблиця 1'!$I:$I,"Mi-8",'Таблиця 1'!$J:$J,"Thales-FZ")+SUMIFS('Таблиця 1'!$K:$K,'Таблиця 1'!$B:$B,$A145,'Таблиця 1'!$I:$I,"Mi-24",'Таблиця 1'!$J:$J,"Thales-FZ"))</f>
        <v/>
      </c>
      <c r="M145">
        <f>IF($A145="","",SUMIFS('Таблиця 1'!$K:$K,'Таблиця 1'!$B:$B,$A145,'Таблиця 1'!$I:$I,"Mi-8",'Таблиця 1'!$J:$J,"МК-40")+SUMIFS('Таблиця 1'!$K:$K,'Таблиця 1'!$B:$B,$A145,'Таблиця 1'!$I:$I,"Mi-24",'Таблиця 1'!$J:$J,"МК-40"))</f>
        <v/>
      </c>
      <c r="N145">
        <f>IF($A145="","",SUMIFS('Таблиця 1'!$K:$K,'Таблиця 1'!$B:$B,$A145,'Таблиця 1'!$I:$I,"Mi-8",'Таблиця 1'!$J:$J,"Zuni")+SUMIFS('Таблиця 1'!$K:$K,'Таблиця 1'!$B:$B,$A145,'Таблиця 1'!$I:$I,"Mi-24",'Таблиця 1'!$J:$J,"Zuni"))</f>
        <v/>
      </c>
      <c r="O145">
        <f>IF($A145="","",COUNTIFS('Таблиця 1'!$B:$B,$A145,'Таблиця 1'!$I:$I,"Mi-8",'Таблиця 1'!$L:$L,"Уражено")+COUNTIFS('Таблиця 1'!$B:$B,$A145,'Таблиця 1'!$I:$I,"Mi-24",'Таблиця 1'!$L:$L,"Уражено"))</f>
        <v/>
      </c>
      <c r="P145">
        <f>IF($A145="","",COUNTIFS('Таблиця 1'!$B:$B,$A145,'Таблиця 1'!$I:$I,"Mi-8",'Таблиця 1'!$L:$L,"НЕ уражено")+COUNTIFS('Таблиця 1'!$B:$B,$A145,'Таблиця 1'!$I:$I,"Mi-24",'Таблиця 1'!$L:$L,"НЕ уражено"))</f>
        <v/>
      </c>
    </row>
    <row r="146">
      <c r="A146" s="273">
        <f>IF(A145="","",IF(A145+1&gt;MAX('Таблиця 1'!$B:$B),"",A145+1))</f>
        <v/>
      </c>
      <c r="B146">
        <f>IF($A146="","",COUNTIFS('Таблиця 1'!$B:$B,$A146,'Таблиця 1'!$I:$I,"Mi-8")+COUNTIFS('Таблиця 1'!$B:$B,$A146,'Таблиця 1'!$I:$I,"Mi-24"))</f>
        <v/>
      </c>
      <c r="C146">
        <f>IF($A146="","",COUNTIFS('Таблиця 1'!$B:$B,$A146,'Таблиця 1'!$I:$I,"Mi-8"))</f>
        <v/>
      </c>
      <c r="D146">
        <f>IF($A146="","",COUNTIFS('Таблиця 1'!$B:$B,$A146,'Таблиця 1'!$I:$I,"Mi-24"))</f>
        <v/>
      </c>
      <c r="E146">
        <f>IF($A146="","",SUMIFS('Таблиця 1'!$K:$K,'Таблиця 1'!$B:$B,$A146,'Таблиця 1'!$I:$I,"Mi-8",'Таблиця 1'!$J:$J,"ARS-8")+SUMIFS('Таблиця 1'!$K:$K,'Таблиця 1'!$B:$B,$A146,'Таблиця 1'!$I:$I,"Mi-24",'Таблиця 1'!$J:$J,"ARS-8"))</f>
        <v/>
      </c>
      <c r="F146">
        <f>IF($A146="","",SUMIFS('Таблиця 1'!$K:$K,'Таблиця 1'!$B:$B,$A146,'Таблиця 1'!$I:$I,"Mi-8",'Таблиця 1'!$J:$J,"С-8 ком")+SUMIFS('Таблиця 1'!$K:$K,'Таблиця 1'!$B:$B,$A146,'Таблиця 1'!$I:$I,"Mi-24",'Таблиця 1'!$J:$J,"С-8 ком"))</f>
        <v/>
      </c>
      <c r="G146">
        <f>IF($A146="","",SUMIFS('Таблиця 1'!$K:$K,'Таблиця 1'!$B:$B,$A146,'Таблиця 1'!$I:$I,"Mi-8",'Таблиця 1'!$J:$J,"PC-80")+SUMIFS('Таблиця 1'!$K:$K,'Таблиця 1'!$B:$B,$A146,'Таблиця 1'!$I:$I,"Mi-24",'Таблиця 1'!$J:$J,"PC-80"))</f>
        <v/>
      </c>
      <c r="H146">
        <f>IF($A146="","",SUMIFS('Таблиця 1'!$K:$K,'Таблиця 1'!$B:$B,$A146,'Таблиця 1'!$I:$I,"Mi-8",'Таблиця 1'!$J:$J,"UAR-80")+SUMIFS('Таблиця 1'!$K:$K,'Таблиця 1'!$B:$B,$A146,'Таблиця 1'!$I:$I,"Mi-24",'Таблиця 1'!$J:$J,"UAR-80"))</f>
        <v/>
      </c>
      <c r="I146">
        <f>IF($A146="","",SUMIFS('Таблиця 1'!$K:$K,'Таблиця 1'!$B:$B,$A146,'Таблиця 1'!$I:$I,"Mi-8",'Таблиця 1'!$J:$J,"C-13")+SUMIFS('Таблиця 1'!$K:$K,'Таблиця 1'!$B:$B,$A146,'Таблиця 1'!$I:$I,"Mi-24",'Таблиця 1'!$J:$J,"C-13"))</f>
        <v/>
      </c>
      <c r="J146">
        <f>IF($A146="","",SUMIFS('Таблиця 1'!$K:$K,'Таблиця 1'!$B:$B,$A146,'Таблиця 1'!$I:$I,"Mi-8",'Таблиця 1'!$J:$J,"Hydra-70")+SUMIFS('Таблиця 1'!$K:$K,'Таблиця 1'!$B:$B,$A146,'Таблиця 1'!$I:$I,"Mi-24",'Таблиця 1'!$J:$J,"Hydra-70"))</f>
        <v/>
      </c>
      <c r="K146">
        <f>IF($A146="","",SUMIFS('Таблиця 1'!$K:$K,'Таблиця 1'!$B:$B,$A146,'Таблиця 1'!$I:$I,"Mi-8",'Таблиця 1'!$J:$J,"Thales-70")+SUMIFS('Таблиця 1'!$K:$K,'Таблиця 1'!$B:$B,$A146,'Таблиця 1'!$I:$I,"Mi-24",'Таблиця 1'!$J:$J,"Thales-70"))</f>
        <v/>
      </c>
      <c r="L146">
        <f>IF($A146="","",SUMIFS('Таблиця 1'!$K:$K,'Таблиця 1'!$B:$B,$A146,'Таблиця 1'!$I:$I,"Mi-8",'Таблиця 1'!$J:$J,"Thales-FZ")+SUMIFS('Таблиця 1'!$K:$K,'Таблиця 1'!$B:$B,$A146,'Таблиця 1'!$I:$I,"Mi-24",'Таблиця 1'!$J:$J,"Thales-FZ"))</f>
        <v/>
      </c>
      <c r="M146">
        <f>IF($A146="","",SUMIFS('Таблиця 1'!$K:$K,'Таблиця 1'!$B:$B,$A146,'Таблиця 1'!$I:$I,"Mi-8",'Таблиця 1'!$J:$J,"МК-40")+SUMIFS('Таблиця 1'!$K:$K,'Таблиця 1'!$B:$B,$A146,'Таблиця 1'!$I:$I,"Mi-24",'Таблиця 1'!$J:$J,"МК-40"))</f>
        <v/>
      </c>
      <c r="N146">
        <f>IF($A146="","",SUMIFS('Таблиця 1'!$K:$K,'Таблиця 1'!$B:$B,$A146,'Таблиця 1'!$I:$I,"Mi-8",'Таблиця 1'!$J:$J,"Zuni")+SUMIFS('Таблиця 1'!$K:$K,'Таблиця 1'!$B:$B,$A146,'Таблиця 1'!$I:$I,"Mi-24",'Таблиця 1'!$J:$J,"Zuni"))</f>
        <v/>
      </c>
      <c r="O146">
        <f>IF($A146="","",COUNTIFS('Таблиця 1'!$B:$B,$A146,'Таблиця 1'!$I:$I,"Mi-8",'Таблиця 1'!$L:$L,"Уражено")+COUNTIFS('Таблиця 1'!$B:$B,$A146,'Таблиця 1'!$I:$I,"Mi-24",'Таблиця 1'!$L:$L,"Уражено"))</f>
        <v/>
      </c>
      <c r="P146">
        <f>IF($A146="","",COUNTIFS('Таблиця 1'!$B:$B,$A146,'Таблиця 1'!$I:$I,"Mi-8",'Таблиця 1'!$L:$L,"НЕ уражено")+COUNTIFS('Таблиця 1'!$B:$B,$A146,'Таблиця 1'!$I:$I,"Mi-24",'Таблиця 1'!$L:$L,"НЕ уражено"))</f>
        <v/>
      </c>
    </row>
    <row r="147">
      <c r="A147" s="273">
        <f>IF(A146="","",IF(A146+1&gt;MAX('Таблиця 1'!$B:$B),"",A146+1))</f>
        <v/>
      </c>
      <c r="B147">
        <f>IF($A147="","",COUNTIFS('Таблиця 1'!$B:$B,$A147,'Таблиця 1'!$I:$I,"Mi-8")+COUNTIFS('Таблиця 1'!$B:$B,$A147,'Таблиця 1'!$I:$I,"Mi-24"))</f>
        <v/>
      </c>
      <c r="C147">
        <f>IF($A147="","",COUNTIFS('Таблиця 1'!$B:$B,$A147,'Таблиця 1'!$I:$I,"Mi-8"))</f>
        <v/>
      </c>
      <c r="D147">
        <f>IF($A147="","",COUNTIFS('Таблиця 1'!$B:$B,$A147,'Таблиця 1'!$I:$I,"Mi-24"))</f>
        <v/>
      </c>
      <c r="E147">
        <f>IF($A147="","",SUMIFS('Таблиця 1'!$K:$K,'Таблиця 1'!$B:$B,$A147,'Таблиця 1'!$I:$I,"Mi-8",'Таблиця 1'!$J:$J,"ARS-8")+SUMIFS('Таблиця 1'!$K:$K,'Таблиця 1'!$B:$B,$A147,'Таблиця 1'!$I:$I,"Mi-24",'Таблиця 1'!$J:$J,"ARS-8"))</f>
        <v/>
      </c>
      <c r="F147">
        <f>IF($A147="","",SUMIFS('Таблиця 1'!$K:$K,'Таблиця 1'!$B:$B,$A147,'Таблиця 1'!$I:$I,"Mi-8",'Таблиця 1'!$J:$J,"С-8 ком")+SUMIFS('Таблиця 1'!$K:$K,'Таблиця 1'!$B:$B,$A147,'Таблиця 1'!$I:$I,"Mi-24",'Таблиця 1'!$J:$J,"С-8 ком"))</f>
        <v/>
      </c>
      <c r="G147">
        <f>IF($A147="","",SUMIFS('Таблиця 1'!$K:$K,'Таблиця 1'!$B:$B,$A147,'Таблиця 1'!$I:$I,"Mi-8",'Таблиця 1'!$J:$J,"PC-80")+SUMIFS('Таблиця 1'!$K:$K,'Таблиця 1'!$B:$B,$A147,'Таблиця 1'!$I:$I,"Mi-24",'Таблиця 1'!$J:$J,"PC-80"))</f>
        <v/>
      </c>
      <c r="H147">
        <f>IF($A147="","",SUMIFS('Таблиця 1'!$K:$K,'Таблиця 1'!$B:$B,$A147,'Таблиця 1'!$I:$I,"Mi-8",'Таблиця 1'!$J:$J,"UAR-80")+SUMIFS('Таблиця 1'!$K:$K,'Таблиця 1'!$B:$B,$A147,'Таблиця 1'!$I:$I,"Mi-24",'Таблиця 1'!$J:$J,"UAR-80"))</f>
        <v/>
      </c>
      <c r="I147">
        <f>IF($A147="","",SUMIFS('Таблиця 1'!$K:$K,'Таблиця 1'!$B:$B,$A147,'Таблиця 1'!$I:$I,"Mi-8",'Таблиця 1'!$J:$J,"C-13")+SUMIFS('Таблиця 1'!$K:$K,'Таблиця 1'!$B:$B,$A147,'Таблиця 1'!$I:$I,"Mi-24",'Таблиця 1'!$J:$J,"C-13"))</f>
        <v/>
      </c>
      <c r="J147">
        <f>IF($A147="","",SUMIFS('Таблиця 1'!$K:$K,'Таблиця 1'!$B:$B,$A147,'Таблиця 1'!$I:$I,"Mi-8",'Таблиця 1'!$J:$J,"Hydra-70")+SUMIFS('Таблиця 1'!$K:$K,'Таблиця 1'!$B:$B,$A147,'Таблиця 1'!$I:$I,"Mi-24",'Таблиця 1'!$J:$J,"Hydra-70"))</f>
        <v/>
      </c>
      <c r="K147">
        <f>IF($A147="","",SUMIFS('Таблиця 1'!$K:$K,'Таблиця 1'!$B:$B,$A147,'Таблиця 1'!$I:$I,"Mi-8",'Таблиця 1'!$J:$J,"Thales-70")+SUMIFS('Таблиця 1'!$K:$K,'Таблиця 1'!$B:$B,$A147,'Таблиця 1'!$I:$I,"Mi-24",'Таблиця 1'!$J:$J,"Thales-70"))</f>
        <v/>
      </c>
      <c r="L147">
        <f>IF($A147="","",SUMIFS('Таблиця 1'!$K:$K,'Таблиця 1'!$B:$B,$A147,'Таблиця 1'!$I:$I,"Mi-8",'Таблиця 1'!$J:$J,"Thales-FZ")+SUMIFS('Таблиця 1'!$K:$K,'Таблиця 1'!$B:$B,$A147,'Таблиця 1'!$I:$I,"Mi-24",'Таблиця 1'!$J:$J,"Thales-FZ"))</f>
        <v/>
      </c>
      <c r="M147">
        <f>IF($A147="","",SUMIFS('Таблиця 1'!$K:$K,'Таблиця 1'!$B:$B,$A147,'Таблиця 1'!$I:$I,"Mi-8",'Таблиця 1'!$J:$J,"МК-40")+SUMIFS('Таблиця 1'!$K:$K,'Таблиця 1'!$B:$B,$A147,'Таблиця 1'!$I:$I,"Mi-24",'Таблиця 1'!$J:$J,"МК-40"))</f>
        <v/>
      </c>
      <c r="N147">
        <f>IF($A147="","",SUMIFS('Таблиця 1'!$K:$K,'Таблиця 1'!$B:$B,$A147,'Таблиця 1'!$I:$I,"Mi-8",'Таблиця 1'!$J:$J,"Zuni")+SUMIFS('Таблиця 1'!$K:$K,'Таблиця 1'!$B:$B,$A147,'Таблиця 1'!$I:$I,"Mi-24",'Таблиця 1'!$J:$J,"Zuni"))</f>
        <v/>
      </c>
      <c r="O147">
        <f>IF($A147="","",COUNTIFS('Таблиця 1'!$B:$B,$A147,'Таблиця 1'!$I:$I,"Mi-8",'Таблиця 1'!$L:$L,"Уражено")+COUNTIFS('Таблиця 1'!$B:$B,$A147,'Таблиця 1'!$I:$I,"Mi-24",'Таблиця 1'!$L:$L,"Уражено"))</f>
        <v/>
      </c>
      <c r="P147">
        <f>IF($A147="","",COUNTIFS('Таблиця 1'!$B:$B,$A147,'Таблиця 1'!$I:$I,"Mi-8",'Таблиця 1'!$L:$L,"НЕ уражено")+COUNTIFS('Таблиця 1'!$B:$B,$A147,'Таблиця 1'!$I:$I,"Mi-24",'Таблиця 1'!$L:$L,"НЕ уражено"))</f>
        <v/>
      </c>
    </row>
    <row r="148">
      <c r="A148" s="273">
        <f>IF(A147="","",IF(A147+1&gt;MAX('Таблиця 1'!$B:$B),"",A147+1))</f>
        <v/>
      </c>
      <c r="B148">
        <f>IF($A148="","",COUNTIFS('Таблиця 1'!$B:$B,$A148,'Таблиця 1'!$I:$I,"Mi-8")+COUNTIFS('Таблиця 1'!$B:$B,$A148,'Таблиця 1'!$I:$I,"Mi-24"))</f>
        <v/>
      </c>
      <c r="C148">
        <f>IF($A148="","",COUNTIFS('Таблиця 1'!$B:$B,$A148,'Таблиця 1'!$I:$I,"Mi-8"))</f>
        <v/>
      </c>
      <c r="D148">
        <f>IF($A148="","",COUNTIFS('Таблиця 1'!$B:$B,$A148,'Таблиця 1'!$I:$I,"Mi-24"))</f>
        <v/>
      </c>
      <c r="E148">
        <f>IF($A148="","",SUMIFS('Таблиця 1'!$K:$K,'Таблиця 1'!$B:$B,$A148,'Таблиця 1'!$I:$I,"Mi-8",'Таблиця 1'!$J:$J,"ARS-8")+SUMIFS('Таблиця 1'!$K:$K,'Таблиця 1'!$B:$B,$A148,'Таблиця 1'!$I:$I,"Mi-24",'Таблиця 1'!$J:$J,"ARS-8"))</f>
        <v/>
      </c>
      <c r="F148">
        <f>IF($A148="","",SUMIFS('Таблиця 1'!$K:$K,'Таблиця 1'!$B:$B,$A148,'Таблиця 1'!$I:$I,"Mi-8",'Таблиця 1'!$J:$J,"С-8 ком")+SUMIFS('Таблиця 1'!$K:$K,'Таблиця 1'!$B:$B,$A148,'Таблиця 1'!$I:$I,"Mi-24",'Таблиця 1'!$J:$J,"С-8 ком"))</f>
        <v/>
      </c>
      <c r="G148">
        <f>IF($A148="","",SUMIFS('Таблиця 1'!$K:$K,'Таблиця 1'!$B:$B,$A148,'Таблиця 1'!$I:$I,"Mi-8",'Таблиця 1'!$J:$J,"PC-80")+SUMIFS('Таблиця 1'!$K:$K,'Таблиця 1'!$B:$B,$A148,'Таблиця 1'!$I:$I,"Mi-24",'Таблиця 1'!$J:$J,"PC-80"))</f>
        <v/>
      </c>
      <c r="H148">
        <f>IF($A148="","",SUMIFS('Таблиця 1'!$K:$K,'Таблиця 1'!$B:$B,$A148,'Таблиця 1'!$I:$I,"Mi-8",'Таблиця 1'!$J:$J,"UAR-80")+SUMIFS('Таблиця 1'!$K:$K,'Таблиця 1'!$B:$B,$A148,'Таблиця 1'!$I:$I,"Mi-24",'Таблиця 1'!$J:$J,"UAR-80"))</f>
        <v/>
      </c>
      <c r="I148">
        <f>IF($A148="","",SUMIFS('Таблиця 1'!$K:$K,'Таблиця 1'!$B:$B,$A148,'Таблиця 1'!$I:$I,"Mi-8",'Таблиця 1'!$J:$J,"C-13")+SUMIFS('Таблиця 1'!$K:$K,'Таблиця 1'!$B:$B,$A148,'Таблиця 1'!$I:$I,"Mi-24",'Таблиця 1'!$J:$J,"C-13"))</f>
        <v/>
      </c>
      <c r="J148">
        <f>IF($A148="","",SUMIFS('Таблиця 1'!$K:$K,'Таблиця 1'!$B:$B,$A148,'Таблиця 1'!$I:$I,"Mi-8",'Таблиця 1'!$J:$J,"Hydra-70")+SUMIFS('Таблиця 1'!$K:$K,'Таблиця 1'!$B:$B,$A148,'Таблиця 1'!$I:$I,"Mi-24",'Таблиця 1'!$J:$J,"Hydra-70"))</f>
        <v/>
      </c>
      <c r="K148">
        <f>IF($A148="","",SUMIFS('Таблиця 1'!$K:$K,'Таблиця 1'!$B:$B,$A148,'Таблиця 1'!$I:$I,"Mi-8",'Таблиця 1'!$J:$J,"Thales-70")+SUMIFS('Таблиця 1'!$K:$K,'Таблиця 1'!$B:$B,$A148,'Таблиця 1'!$I:$I,"Mi-24",'Таблиця 1'!$J:$J,"Thales-70"))</f>
        <v/>
      </c>
      <c r="L148">
        <f>IF($A148="","",SUMIFS('Таблиця 1'!$K:$K,'Таблиця 1'!$B:$B,$A148,'Таблиця 1'!$I:$I,"Mi-8",'Таблиця 1'!$J:$J,"Thales-FZ")+SUMIFS('Таблиця 1'!$K:$K,'Таблиця 1'!$B:$B,$A148,'Таблиця 1'!$I:$I,"Mi-24",'Таблиця 1'!$J:$J,"Thales-FZ"))</f>
        <v/>
      </c>
      <c r="M148">
        <f>IF($A148="","",SUMIFS('Таблиця 1'!$K:$K,'Таблиця 1'!$B:$B,$A148,'Таблиця 1'!$I:$I,"Mi-8",'Таблиця 1'!$J:$J,"МК-40")+SUMIFS('Таблиця 1'!$K:$K,'Таблиця 1'!$B:$B,$A148,'Таблиця 1'!$I:$I,"Mi-24",'Таблиця 1'!$J:$J,"МК-40"))</f>
        <v/>
      </c>
      <c r="N148">
        <f>IF($A148="","",SUMIFS('Таблиця 1'!$K:$K,'Таблиця 1'!$B:$B,$A148,'Таблиця 1'!$I:$I,"Mi-8",'Таблиця 1'!$J:$J,"Zuni")+SUMIFS('Таблиця 1'!$K:$K,'Таблиця 1'!$B:$B,$A148,'Таблиця 1'!$I:$I,"Mi-24",'Таблиця 1'!$J:$J,"Zuni"))</f>
        <v/>
      </c>
      <c r="O148">
        <f>IF($A148="","",COUNTIFS('Таблиця 1'!$B:$B,$A148,'Таблиця 1'!$I:$I,"Mi-8",'Таблиця 1'!$L:$L,"Уражено")+COUNTIFS('Таблиця 1'!$B:$B,$A148,'Таблиця 1'!$I:$I,"Mi-24",'Таблиця 1'!$L:$L,"Уражено"))</f>
        <v/>
      </c>
      <c r="P148">
        <f>IF($A148="","",COUNTIFS('Таблиця 1'!$B:$B,$A148,'Таблиця 1'!$I:$I,"Mi-8",'Таблиця 1'!$L:$L,"НЕ уражено")+COUNTIFS('Таблиця 1'!$B:$B,$A148,'Таблиця 1'!$I:$I,"Mi-24",'Таблиця 1'!$L:$L,"НЕ уражено"))</f>
        <v/>
      </c>
    </row>
    <row r="149">
      <c r="A149" s="273">
        <f>IF(A148="","",IF(A148+1&gt;MAX('Таблиця 1'!$B:$B),"",A148+1))</f>
        <v/>
      </c>
      <c r="B149">
        <f>IF($A149="","",COUNTIFS('Таблиця 1'!$B:$B,$A149,'Таблиця 1'!$I:$I,"Mi-8")+COUNTIFS('Таблиця 1'!$B:$B,$A149,'Таблиця 1'!$I:$I,"Mi-24"))</f>
        <v/>
      </c>
      <c r="C149">
        <f>IF($A149="","",COUNTIFS('Таблиця 1'!$B:$B,$A149,'Таблиця 1'!$I:$I,"Mi-8"))</f>
        <v/>
      </c>
      <c r="D149">
        <f>IF($A149="","",COUNTIFS('Таблиця 1'!$B:$B,$A149,'Таблиця 1'!$I:$I,"Mi-24"))</f>
        <v/>
      </c>
      <c r="E149">
        <f>IF($A149="","",SUMIFS('Таблиця 1'!$K:$K,'Таблиця 1'!$B:$B,$A149,'Таблиця 1'!$I:$I,"Mi-8",'Таблиця 1'!$J:$J,"ARS-8")+SUMIFS('Таблиця 1'!$K:$K,'Таблиця 1'!$B:$B,$A149,'Таблиця 1'!$I:$I,"Mi-24",'Таблиця 1'!$J:$J,"ARS-8"))</f>
        <v/>
      </c>
      <c r="F149">
        <f>IF($A149="","",SUMIFS('Таблиця 1'!$K:$K,'Таблиця 1'!$B:$B,$A149,'Таблиця 1'!$I:$I,"Mi-8",'Таблиця 1'!$J:$J,"С-8 ком")+SUMIFS('Таблиця 1'!$K:$K,'Таблиця 1'!$B:$B,$A149,'Таблиця 1'!$I:$I,"Mi-24",'Таблиця 1'!$J:$J,"С-8 ком"))</f>
        <v/>
      </c>
      <c r="G149">
        <f>IF($A149="","",SUMIFS('Таблиця 1'!$K:$K,'Таблиця 1'!$B:$B,$A149,'Таблиця 1'!$I:$I,"Mi-8",'Таблиця 1'!$J:$J,"PC-80")+SUMIFS('Таблиця 1'!$K:$K,'Таблиця 1'!$B:$B,$A149,'Таблиця 1'!$I:$I,"Mi-24",'Таблиця 1'!$J:$J,"PC-80"))</f>
        <v/>
      </c>
      <c r="H149">
        <f>IF($A149="","",SUMIFS('Таблиця 1'!$K:$K,'Таблиця 1'!$B:$B,$A149,'Таблиця 1'!$I:$I,"Mi-8",'Таблиця 1'!$J:$J,"UAR-80")+SUMIFS('Таблиця 1'!$K:$K,'Таблиця 1'!$B:$B,$A149,'Таблиця 1'!$I:$I,"Mi-24",'Таблиця 1'!$J:$J,"UAR-80"))</f>
        <v/>
      </c>
      <c r="I149">
        <f>IF($A149="","",SUMIFS('Таблиця 1'!$K:$K,'Таблиця 1'!$B:$B,$A149,'Таблиця 1'!$I:$I,"Mi-8",'Таблиця 1'!$J:$J,"C-13")+SUMIFS('Таблиця 1'!$K:$K,'Таблиця 1'!$B:$B,$A149,'Таблиця 1'!$I:$I,"Mi-24",'Таблиця 1'!$J:$J,"C-13"))</f>
        <v/>
      </c>
      <c r="J149">
        <f>IF($A149="","",SUMIFS('Таблиця 1'!$K:$K,'Таблиця 1'!$B:$B,$A149,'Таблиця 1'!$I:$I,"Mi-8",'Таблиця 1'!$J:$J,"Hydra-70")+SUMIFS('Таблиця 1'!$K:$K,'Таблиця 1'!$B:$B,$A149,'Таблиця 1'!$I:$I,"Mi-24",'Таблиця 1'!$J:$J,"Hydra-70"))</f>
        <v/>
      </c>
      <c r="K149">
        <f>IF($A149="","",SUMIFS('Таблиця 1'!$K:$K,'Таблиця 1'!$B:$B,$A149,'Таблиця 1'!$I:$I,"Mi-8",'Таблиця 1'!$J:$J,"Thales-70")+SUMIFS('Таблиця 1'!$K:$K,'Таблиця 1'!$B:$B,$A149,'Таблиця 1'!$I:$I,"Mi-24",'Таблиця 1'!$J:$J,"Thales-70"))</f>
        <v/>
      </c>
      <c r="L149">
        <f>IF($A149="","",SUMIFS('Таблиця 1'!$K:$K,'Таблиця 1'!$B:$B,$A149,'Таблиця 1'!$I:$I,"Mi-8",'Таблиця 1'!$J:$J,"Thales-FZ")+SUMIFS('Таблиця 1'!$K:$K,'Таблиця 1'!$B:$B,$A149,'Таблиця 1'!$I:$I,"Mi-24",'Таблиця 1'!$J:$J,"Thales-FZ"))</f>
        <v/>
      </c>
      <c r="M149">
        <f>IF($A149="","",SUMIFS('Таблиця 1'!$K:$K,'Таблиця 1'!$B:$B,$A149,'Таблиця 1'!$I:$I,"Mi-8",'Таблиця 1'!$J:$J,"МК-40")+SUMIFS('Таблиця 1'!$K:$K,'Таблиця 1'!$B:$B,$A149,'Таблиця 1'!$I:$I,"Mi-24",'Таблиця 1'!$J:$J,"МК-40"))</f>
        <v/>
      </c>
      <c r="N149">
        <f>IF($A149="","",SUMIFS('Таблиця 1'!$K:$K,'Таблиця 1'!$B:$B,$A149,'Таблиця 1'!$I:$I,"Mi-8",'Таблиця 1'!$J:$J,"Zuni")+SUMIFS('Таблиця 1'!$K:$K,'Таблиця 1'!$B:$B,$A149,'Таблиця 1'!$I:$I,"Mi-24",'Таблиця 1'!$J:$J,"Zuni"))</f>
        <v/>
      </c>
      <c r="O149">
        <f>IF($A149="","",COUNTIFS('Таблиця 1'!$B:$B,$A149,'Таблиця 1'!$I:$I,"Mi-8",'Таблиця 1'!$L:$L,"Уражено")+COUNTIFS('Таблиця 1'!$B:$B,$A149,'Таблиця 1'!$I:$I,"Mi-24",'Таблиця 1'!$L:$L,"Уражено"))</f>
        <v/>
      </c>
      <c r="P149">
        <f>IF($A149="","",COUNTIFS('Таблиця 1'!$B:$B,$A149,'Таблиця 1'!$I:$I,"Mi-8",'Таблиця 1'!$L:$L,"НЕ уражено")+COUNTIFS('Таблиця 1'!$B:$B,$A149,'Таблиця 1'!$I:$I,"Mi-24",'Таблиця 1'!$L:$L,"НЕ уражено"))</f>
        <v/>
      </c>
    </row>
    <row r="150">
      <c r="A150" s="273">
        <f>IF(A149="","",IF(A149+1&gt;MAX('Таблиця 1'!$B:$B),"",A149+1))</f>
        <v/>
      </c>
      <c r="B150">
        <f>IF($A150="","",COUNTIFS('Таблиця 1'!$B:$B,$A150,'Таблиця 1'!$I:$I,"Mi-8")+COUNTIFS('Таблиця 1'!$B:$B,$A150,'Таблиця 1'!$I:$I,"Mi-24"))</f>
        <v/>
      </c>
      <c r="C150">
        <f>IF($A150="","",COUNTIFS('Таблиця 1'!$B:$B,$A150,'Таблиця 1'!$I:$I,"Mi-8"))</f>
        <v/>
      </c>
      <c r="D150">
        <f>IF($A150="","",COUNTIFS('Таблиця 1'!$B:$B,$A150,'Таблиця 1'!$I:$I,"Mi-24"))</f>
        <v/>
      </c>
      <c r="E150">
        <f>IF($A150="","",SUMIFS('Таблиця 1'!$K:$K,'Таблиця 1'!$B:$B,$A150,'Таблиця 1'!$I:$I,"Mi-8",'Таблиця 1'!$J:$J,"ARS-8")+SUMIFS('Таблиця 1'!$K:$K,'Таблиця 1'!$B:$B,$A150,'Таблиця 1'!$I:$I,"Mi-24",'Таблиця 1'!$J:$J,"ARS-8"))</f>
        <v/>
      </c>
      <c r="F150">
        <f>IF($A150="","",SUMIFS('Таблиця 1'!$K:$K,'Таблиця 1'!$B:$B,$A150,'Таблиця 1'!$I:$I,"Mi-8",'Таблиця 1'!$J:$J,"С-8 ком")+SUMIFS('Таблиця 1'!$K:$K,'Таблиця 1'!$B:$B,$A150,'Таблиця 1'!$I:$I,"Mi-24",'Таблиця 1'!$J:$J,"С-8 ком"))</f>
        <v/>
      </c>
      <c r="G150">
        <f>IF($A150="","",SUMIFS('Таблиця 1'!$K:$K,'Таблиця 1'!$B:$B,$A150,'Таблиця 1'!$I:$I,"Mi-8",'Таблиця 1'!$J:$J,"PC-80")+SUMIFS('Таблиця 1'!$K:$K,'Таблиця 1'!$B:$B,$A150,'Таблиця 1'!$I:$I,"Mi-24",'Таблиця 1'!$J:$J,"PC-80"))</f>
        <v/>
      </c>
      <c r="H150">
        <f>IF($A150="","",SUMIFS('Таблиця 1'!$K:$K,'Таблиця 1'!$B:$B,$A150,'Таблиця 1'!$I:$I,"Mi-8",'Таблиця 1'!$J:$J,"UAR-80")+SUMIFS('Таблиця 1'!$K:$K,'Таблиця 1'!$B:$B,$A150,'Таблиця 1'!$I:$I,"Mi-24",'Таблиця 1'!$J:$J,"UAR-80"))</f>
        <v/>
      </c>
      <c r="I150">
        <f>IF($A150="","",SUMIFS('Таблиця 1'!$K:$K,'Таблиця 1'!$B:$B,$A150,'Таблиця 1'!$I:$I,"Mi-8",'Таблиця 1'!$J:$J,"C-13")+SUMIFS('Таблиця 1'!$K:$K,'Таблиця 1'!$B:$B,$A150,'Таблиця 1'!$I:$I,"Mi-24",'Таблиця 1'!$J:$J,"C-13"))</f>
        <v/>
      </c>
      <c r="J150">
        <f>IF($A150="","",SUMIFS('Таблиця 1'!$K:$K,'Таблиця 1'!$B:$B,$A150,'Таблиця 1'!$I:$I,"Mi-8",'Таблиця 1'!$J:$J,"Hydra-70")+SUMIFS('Таблиця 1'!$K:$K,'Таблиця 1'!$B:$B,$A150,'Таблиця 1'!$I:$I,"Mi-24",'Таблиця 1'!$J:$J,"Hydra-70"))</f>
        <v/>
      </c>
      <c r="K150">
        <f>IF($A150="","",SUMIFS('Таблиця 1'!$K:$K,'Таблиця 1'!$B:$B,$A150,'Таблиця 1'!$I:$I,"Mi-8",'Таблиця 1'!$J:$J,"Thales-70")+SUMIFS('Таблиця 1'!$K:$K,'Таблиця 1'!$B:$B,$A150,'Таблиця 1'!$I:$I,"Mi-24",'Таблиця 1'!$J:$J,"Thales-70"))</f>
        <v/>
      </c>
      <c r="L150">
        <f>IF($A150="","",SUMIFS('Таблиця 1'!$K:$K,'Таблиця 1'!$B:$B,$A150,'Таблиця 1'!$I:$I,"Mi-8",'Таблиця 1'!$J:$J,"Thales-FZ")+SUMIFS('Таблиця 1'!$K:$K,'Таблиця 1'!$B:$B,$A150,'Таблиця 1'!$I:$I,"Mi-24",'Таблиця 1'!$J:$J,"Thales-FZ"))</f>
        <v/>
      </c>
      <c r="M150">
        <f>IF($A150="","",SUMIFS('Таблиця 1'!$K:$K,'Таблиця 1'!$B:$B,$A150,'Таблиця 1'!$I:$I,"Mi-8",'Таблиця 1'!$J:$J,"МК-40")+SUMIFS('Таблиця 1'!$K:$K,'Таблиця 1'!$B:$B,$A150,'Таблиця 1'!$I:$I,"Mi-24",'Таблиця 1'!$J:$J,"МК-40"))</f>
        <v/>
      </c>
      <c r="N150">
        <f>IF($A150="","",SUMIFS('Таблиця 1'!$K:$K,'Таблиця 1'!$B:$B,$A150,'Таблиця 1'!$I:$I,"Mi-8",'Таблиця 1'!$J:$J,"Zuni")+SUMIFS('Таблиця 1'!$K:$K,'Таблиця 1'!$B:$B,$A150,'Таблиця 1'!$I:$I,"Mi-24",'Таблиця 1'!$J:$J,"Zuni"))</f>
        <v/>
      </c>
      <c r="O150">
        <f>IF($A150="","",COUNTIFS('Таблиця 1'!$B:$B,$A150,'Таблиця 1'!$I:$I,"Mi-8",'Таблиця 1'!$L:$L,"Уражено")+COUNTIFS('Таблиця 1'!$B:$B,$A150,'Таблиця 1'!$I:$I,"Mi-24",'Таблиця 1'!$L:$L,"Уражено"))</f>
        <v/>
      </c>
      <c r="P150">
        <f>IF($A150="","",COUNTIFS('Таблиця 1'!$B:$B,$A150,'Таблиця 1'!$I:$I,"Mi-8",'Таблиця 1'!$L:$L,"НЕ уражено")+COUNTIFS('Таблиця 1'!$B:$B,$A150,'Таблиця 1'!$I:$I,"Mi-24",'Таблиця 1'!$L:$L,"НЕ уражено"))</f>
        <v/>
      </c>
    </row>
    <row r="151">
      <c r="A151" s="273">
        <f>IF(A150="","",IF(A150+1&gt;MAX('Таблиця 1'!$B:$B),"",A150+1))</f>
        <v/>
      </c>
      <c r="B151">
        <f>IF($A151="","",COUNTIFS('Таблиця 1'!$B:$B,$A151,'Таблиця 1'!$I:$I,"Mi-8")+COUNTIFS('Таблиця 1'!$B:$B,$A151,'Таблиця 1'!$I:$I,"Mi-24"))</f>
        <v/>
      </c>
      <c r="C151">
        <f>IF($A151="","",COUNTIFS('Таблиця 1'!$B:$B,$A151,'Таблиця 1'!$I:$I,"Mi-8"))</f>
        <v/>
      </c>
      <c r="D151">
        <f>IF($A151="","",COUNTIFS('Таблиця 1'!$B:$B,$A151,'Таблиця 1'!$I:$I,"Mi-24"))</f>
        <v/>
      </c>
      <c r="E151">
        <f>IF($A151="","",SUMIFS('Таблиця 1'!$K:$K,'Таблиця 1'!$B:$B,$A151,'Таблиця 1'!$I:$I,"Mi-8",'Таблиця 1'!$J:$J,"ARS-8")+SUMIFS('Таблиця 1'!$K:$K,'Таблиця 1'!$B:$B,$A151,'Таблиця 1'!$I:$I,"Mi-24",'Таблиця 1'!$J:$J,"ARS-8"))</f>
        <v/>
      </c>
      <c r="F151">
        <f>IF($A151="","",SUMIFS('Таблиця 1'!$K:$K,'Таблиця 1'!$B:$B,$A151,'Таблиця 1'!$I:$I,"Mi-8",'Таблиця 1'!$J:$J,"С-8 ком")+SUMIFS('Таблиця 1'!$K:$K,'Таблиця 1'!$B:$B,$A151,'Таблиця 1'!$I:$I,"Mi-24",'Таблиця 1'!$J:$J,"С-8 ком"))</f>
        <v/>
      </c>
      <c r="G151">
        <f>IF($A151="","",SUMIFS('Таблиця 1'!$K:$K,'Таблиця 1'!$B:$B,$A151,'Таблиця 1'!$I:$I,"Mi-8",'Таблиця 1'!$J:$J,"PC-80")+SUMIFS('Таблиця 1'!$K:$K,'Таблиця 1'!$B:$B,$A151,'Таблиця 1'!$I:$I,"Mi-24",'Таблиця 1'!$J:$J,"PC-80"))</f>
        <v/>
      </c>
      <c r="H151">
        <f>IF($A151="","",SUMIFS('Таблиця 1'!$K:$K,'Таблиця 1'!$B:$B,$A151,'Таблиця 1'!$I:$I,"Mi-8",'Таблиця 1'!$J:$J,"UAR-80")+SUMIFS('Таблиця 1'!$K:$K,'Таблиця 1'!$B:$B,$A151,'Таблиця 1'!$I:$I,"Mi-24",'Таблиця 1'!$J:$J,"UAR-80"))</f>
        <v/>
      </c>
      <c r="I151">
        <f>IF($A151="","",SUMIFS('Таблиця 1'!$K:$K,'Таблиця 1'!$B:$B,$A151,'Таблиця 1'!$I:$I,"Mi-8",'Таблиця 1'!$J:$J,"C-13")+SUMIFS('Таблиця 1'!$K:$K,'Таблиця 1'!$B:$B,$A151,'Таблиця 1'!$I:$I,"Mi-24",'Таблиця 1'!$J:$J,"C-13"))</f>
        <v/>
      </c>
      <c r="J151">
        <f>IF($A151="","",SUMIFS('Таблиця 1'!$K:$K,'Таблиця 1'!$B:$B,$A151,'Таблиця 1'!$I:$I,"Mi-8",'Таблиця 1'!$J:$J,"Hydra-70")+SUMIFS('Таблиця 1'!$K:$K,'Таблиця 1'!$B:$B,$A151,'Таблиця 1'!$I:$I,"Mi-24",'Таблиця 1'!$J:$J,"Hydra-70"))</f>
        <v/>
      </c>
      <c r="K151">
        <f>IF($A151="","",SUMIFS('Таблиця 1'!$K:$K,'Таблиця 1'!$B:$B,$A151,'Таблиця 1'!$I:$I,"Mi-8",'Таблиця 1'!$J:$J,"Thales-70")+SUMIFS('Таблиця 1'!$K:$K,'Таблиця 1'!$B:$B,$A151,'Таблиця 1'!$I:$I,"Mi-24",'Таблиця 1'!$J:$J,"Thales-70"))</f>
        <v/>
      </c>
      <c r="L151">
        <f>IF($A151="","",SUMIFS('Таблиця 1'!$K:$K,'Таблиця 1'!$B:$B,$A151,'Таблиця 1'!$I:$I,"Mi-8",'Таблиця 1'!$J:$J,"Thales-FZ")+SUMIFS('Таблиця 1'!$K:$K,'Таблиця 1'!$B:$B,$A151,'Таблиця 1'!$I:$I,"Mi-24",'Таблиця 1'!$J:$J,"Thales-FZ"))</f>
        <v/>
      </c>
      <c r="M151">
        <f>IF($A151="","",SUMIFS('Таблиця 1'!$K:$K,'Таблиця 1'!$B:$B,$A151,'Таблиця 1'!$I:$I,"Mi-8",'Таблиця 1'!$J:$J,"МК-40")+SUMIFS('Таблиця 1'!$K:$K,'Таблиця 1'!$B:$B,$A151,'Таблиця 1'!$I:$I,"Mi-24",'Таблиця 1'!$J:$J,"МК-40"))</f>
        <v/>
      </c>
      <c r="N151">
        <f>IF($A151="","",SUMIFS('Таблиця 1'!$K:$K,'Таблиця 1'!$B:$B,$A151,'Таблиця 1'!$I:$I,"Mi-8",'Таблиця 1'!$J:$J,"Zuni")+SUMIFS('Таблиця 1'!$K:$K,'Таблиця 1'!$B:$B,$A151,'Таблиця 1'!$I:$I,"Mi-24",'Таблиця 1'!$J:$J,"Zuni"))</f>
        <v/>
      </c>
      <c r="O151">
        <f>IF($A151="","",COUNTIFS('Таблиця 1'!$B:$B,$A151,'Таблиця 1'!$I:$I,"Mi-8",'Таблиця 1'!$L:$L,"Уражено")+COUNTIFS('Таблиця 1'!$B:$B,$A151,'Таблиця 1'!$I:$I,"Mi-24",'Таблиця 1'!$L:$L,"Уражено"))</f>
        <v/>
      </c>
      <c r="P151">
        <f>IF($A151="","",COUNTIFS('Таблиця 1'!$B:$B,$A151,'Таблиця 1'!$I:$I,"Mi-8",'Таблиця 1'!$L:$L,"НЕ уражено")+COUNTIFS('Таблиця 1'!$B:$B,$A151,'Таблиця 1'!$I:$I,"Mi-24",'Таблиця 1'!$L:$L,"НЕ уражено"))</f>
        <v/>
      </c>
    </row>
    <row r="152">
      <c r="A152" s="273">
        <f>IF(A151="","",IF(A151+1&gt;MAX('Таблиця 1'!$B:$B),"",A151+1))</f>
        <v/>
      </c>
      <c r="B152">
        <f>IF($A152="","",COUNTIFS('Таблиця 1'!$B:$B,$A152,'Таблиця 1'!$I:$I,"Mi-8")+COUNTIFS('Таблиця 1'!$B:$B,$A152,'Таблиця 1'!$I:$I,"Mi-24"))</f>
        <v/>
      </c>
      <c r="C152">
        <f>IF($A152="","",COUNTIFS('Таблиця 1'!$B:$B,$A152,'Таблиця 1'!$I:$I,"Mi-8"))</f>
        <v/>
      </c>
      <c r="D152">
        <f>IF($A152="","",COUNTIFS('Таблиця 1'!$B:$B,$A152,'Таблиця 1'!$I:$I,"Mi-24"))</f>
        <v/>
      </c>
      <c r="E152">
        <f>IF($A152="","",SUMIFS('Таблиця 1'!$K:$K,'Таблиця 1'!$B:$B,$A152,'Таблиця 1'!$I:$I,"Mi-8",'Таблиця 1'!$J:$J,"ARS-8")+SUMIFS('Таблиця 1'!$K:$K,'Таблиця 1'!$B:$B,$A152,'Таблиця 1'!$I:$I,"Mi-24",'Таблиця 1'!$J:$J,"ARS-8"))</f>
        <v/>
      </c>
      <c r="F152">
        <f>IF($A152="","",SUMIFS('Таблиця 1'!$K:$K,'Таблиця 1'!$B:$B,$A152,'Таблиця 1'!$I:$I,"Mi-8",'Таблиця 1'!$J:$J,"С-8 ком")+SUMIFS('Таблиця 1'!$K:$K,'Таблиця 1'!$B:$B,$A152,'Таблиця 1'!$I:$I,"Mi-24",'Таблиця 1'!$J:$J,"С-8 ком"))</f>
        <v/>
      </c>
      <c r="G152">
        <f>IF($A152="","",SUMIFS('Таблиця 1'!$K:$K,'Таблиця 1'!$B:$B,$A152,'Таблиця 1'!$I:$I,"Mi-8",'Таблиця 1'!$J:$J,"PC-80")+SUMIFS('Таблиця 1'!$K:$K,'Таблиця 1'!$B:$B,$A152,'Таблиця 1'!$I:$I,"Mi-24",'Таблиця 1'!$J:$J,"PC-80"))</f>
        <v/>
      </c>
      <c r="H152">
        <f>IF($A152="","",SUMIFS('Таблиця 1'!$K:$K,'Таблиця 1'!$B:$B,$A152,'Таблиця 1'!$I:$I,"Mi-8",'Таблиця 1'!$J:$J,"UAR-80")+SUMIFS('Таблиця 1'!$K:$K,'Таблиця 1'!$B:$B,$A152,'Таблиця 1'!$I:$I,"Mi-24",'Таблиця 1'!$J:$J,"UAR-80"))</f>
        <v/>
      </c>
      <c r="I152">
        <f>IF($A152="","",SUMIFS('Таблиця 1'!$K:$K,'Таблиця 1'!$B:$B,$A152,'Таблиця 1'!$I:$I,"Mi-8",'Таблиця 1'!$J:$J,"C-13")+SUMIFS('Таблиця 1'!$K:$K,'Таблиця 1'!$B:$B,$A152,'Таблиця 1'!$I:$I,"Mi-24",'Таблиця 1'!$J:$J,"C-13"))</f>
        <v/>
      </c>
      <c r="J152">
        <f>IF($A152="","",SUMIFS('Таблиця 1'!$K:$K,'Таблиця 1'!$B:$B,$A152,'Таблиця 1'!$I:$I,"Mi-8",'Таблиця 1'!$J:$J,"Hydra-70")+SUMIFS('Таблиця 1'!$K:$K,'Таблиця 1'!$B:$B,$A152,'Таблиця 1'!$I:$I,"Mi-24",'Таблиця 1'!$J:$J,"Hydra-70"))</f>
        <v/>
      </c>
      <c r="K152">
        <f>IF($A152="","",SUMIFS('Таблиця 1'!$K:$K,'Таблиця 1'!$B:$B,$A152,'Таблиця 1'!$I:$I,"Mi-8",'Таблиця 1'!$J:$J,"Thales-70")+SUMIFS('Таблиця 1'!$K:$K,'Таблиця 1'!$B:$B,$A152,'Таблиця 1'!$I:$I,"Mi-24",'Таблиця 1'!$J:$J,"Thales-70"))</f>
        <v/>
      </c>
      <c r="L152">
        <f>IF($A152="","",SUMIFS('Таблиця 1'!$K:$K,'Таблиця 1'!$B:$B,$A152,'Таблиця 1'!$I:$I,"Mi-8",'Таблиця 1'!$J:$J,"Thales-FZ")+SUMIFS('Таблиця 1'!$K:$K,'Таблиця 1'!$B:$B,$A152,'Таблиця 1'!$I:$I,"Mi-24",'Таблиця 1'!$J:$J,"Thales-FZ"))</f>
        <v/>
      </c>
      <c r="M152">
        <f>IF($A152="","",SUMIFS('Таблиця 1'!$K:$K,'Таблиця 1'!$B:$B,$A152,'Таблиця 1'!$I:$I,"Mi-8",'Таблиця 1'!$J:$J,"МК-40")+SUMIFS('Таблиця 1'!$K:$K,'Таблиця 1'!$B:$B,$A152,'Таблиця 1'!$I:$I,"Mi-24",'Таблиця 1'!$J:$J,"МК-40"))</f>
        <v/>
      </c>
      <c r="N152">
        <f>IF($A152="","",SUMIFS('Таблиця 1'!$K:$K,'Таблиця 1'!$B:$B,$A152,'Таблиця 1'!$I:$I,"Mi-8",'Таблиця 1'!$J:$J,"Zuni")+SUMIFS('Таблиця 1'!$K:$K,'Таблиця 1'!$B:$B,$A152,'Таблиця 1'!$I:$I,"Mi-24",'Таблиця 1'!$J:$J,"Zuni"))</f>
        <v/>
      </c>
      <c r="O152">
        <f>IF($A152="","",COUNTIFS('Таблиця 1'!$B:$B,$A152,'Таблиця 1'!$I:$I,"Mi-8",'Таблиця 1'!$L:$L,"Уражено")+COUNTIFS('Таблиця 1'!$B:$B,$A152,'Таблиця 1'!$I:$I,"Mi-24",'Таблиця 1'!$L:$L,"Уражено"))</f>
        <v/>
      </c>
      <c r="P152">
        <f>IF($A152="","",COUNTIFS('Таблиця 1'!$B:$B,$A152,'Таблиця 1'!$I:$I,"Mi-8",'Таблиця 1'!$L:$L,"НЕ уражено")+COUNTIFS('Таблиця 1'!$B:$B,$A152,'Таблиця 1'!$I:$I,"Mi-24",'Таблиця 1'!$L:$L,"НЕ уражено"))</f>
        <v/>
      </c>
    </row>
    <row r="153">
      <c r="A153" s="273">
        <f>IF(A152="","",IF(A152+1&gt;MAX('Таблиця 1'!$B:$B),"",A152+1))</f>
        <v/>
      </c>
      <c r="B153">
        <f>IF($A153="","",COUNTIFS('Таблиця 1'!$B:$B,$A153,'Таблиця 1'!$I:$I,"Mi-8")+COUNTIFS('Таблиця 1'!$B:$B,$A153,'Таблиця 1'!$I:$I,"Mi-24"))</f>
        <v/>
      </c>
      <c r="C153">
        <f>IF($A153="","",COUNTIFS('Таблиця 1'!$B:$B,$A153,'Таблиця 1'!$I:$I,"Mi-8"))</f>
        <v/>
      </c>
      <c r="D153">
        <f>IF($A153="","",COUNTIFS('Таблиця 1'!$B:$B,$A153,'Таблиця 1'!$I:$I,"Mi-24"))</f>
        <v/>
      </c>
      <c r="E153">
        <f>IF($A153="","",SUMIFS('Таблиця 1'!$K:$K,'Таблиця 1'!$B:$B,$A153,'Таблиця 1'!$I:$I,"Mi-8",'Таблиця 1'!$J:$J,"ARS-8")+SUMIFS('Таблиця 1'!$K:$K,'Таблиця 1'!$B:$B,$A153,'Таблиця 1'!$I:$I,"Mi-24",'Таблиця 1'!$J:$J,"ARS-8"))</f>
        <v/>
      </c>
      <c r="F153">
        <f>IF($A153="","",SUMIFS('Таблиця 1'!$K:$K,'Таблиця 1'!$B:$B,$A153,'Таблиця 1'!$I:$I,"Mi-8",'Таблиця 1'!$J:$J,"С-8 ком")+SUMIFS('Таблиця 1'!$K:$K,'Таблиця 1'!$B:$B,$A153,'Таблиця 1'!$I:$I,"Mi-24",'Таблиця 1'!$J:$J,"С-8 ком"))</f>
        <v/>
      </c>
      <c r="G153">
        <f>IF($A153="","",SUMIFS('Таблиця 1'!$K:$K,'Таблиця 1'!$B:$B,$A153,'Таблиця 1'!$I:$I,"Mi-8",'Таблиця 1'!$J:$J,"PC-80")+SUMIFS('Таблиця 1'!$K:$K,'Таблиця 1'!$B:$B,$A153,'Таблиця 1'!$I:$I,"Mi-24",'Таблиця 1'!$J:$J,"PC-80"))</f>
        <v/>
      </c>
      <c r="H153">
        <f>IF($A153="","",SUMIFS('Таблиця 1'!$K:$K,'Таблиця 1'!$B:$B,$A153,'Таблиця 1'!$I:$I,"Mi-8",'Таблиця 1'!$J:$J,"UAR-80")+SUMIFS('Таблиця 1'!$K:$K,'Таблиця 1'!$B:$B,$A153,'Таблиця 1'!$I:$I,"Mi-24",'Таблиця 1'!$J:$J,"UAR-80"))</f>
        <v/>
      </c>
      <c r="I153">
        <f>IF($A153="","",SUMIFS('Таблиця 1'!$K:$K,'Таблиця 1'!$B:$B,$A153,'Таблиця 1'!$I:$I,"Mi-8",'Таблиця 1'!$J:$J,"C-13")+SUMIFS('Таблиця 1'!$K:$K,'Таблиця 1'!$B:$B,$A153,'Таблиця 1'!$I:$I,"Mi-24",'Таблиця 1'!$J:$J,"C-13"))</f>
        <v/>
      </c>
      <c r="J153">
        <f>IF($A153="","",SUMIFS('Таблиця 1'!$K:$K,'Таблиця 1'!$B:$B,$A153,'Таблиця 1'!$I:$I,"Mi-8",'Таблиця 1'!$J:$J,"Hydra-70")+SUMIFS('Таблиця 1'!$K:$K,'Таблиця 1'!$B:$B,$A153,'Таблиця 1'!$I:$I,"Mi-24",'Таблиця 1'!$J:$J,"Hydra-70"))</f>
        <v/>
      </c>
      <c r="K153">
        <f>IF($A153="","",SUMIFS('Таблиця 1'!$K:$K,'Таблиця 1'!$B:$B,$A153,'Таблиця 1'!$I:$I,"Mi-8",'Таблиця 1'!$J:$J,"Thales-70")+SUMIFS('Таблиця 1'!$K:$K,'Таблиця 1'!$B:$B,$A153,'Таблиця 1'!$I:$I,"Mi-24",'Таблиця 1'!$J:$J,"Thales-70"))</f>
        <v/>
      </c>
      <c r="L153">
        <f>IF($A153="","",SUMIFS('Таблиця 1'!$K:$K,'Таблиця 1'!$B:$B,$A153,'Таблиця 1'!$I:$I,"Mi-8",'Таблиця 1'!$J:$J,"Thales-FZ")+SUMIFS('Таблиця 1'!$K:$K,'Таблиця 1'!$B:$B,$A153,'Таблиця 1'!$I:$I,"Mi-24",'Таблиця 1'!$J:$J,"Thales-FZ"))</f>
        <v/>
      </c>
      <c r="M153">
        <f>IF($A153="","",SUMIFS('Таблиця 1'!$K:$K,'Таблиця 1'!$B:$B,$A153,'Таблиця 1'!$I:$I,"Mi-8",'Таблиця 1'!$J:$J,"МК-40")+SUMIFS('Таблиця 1'!$K:$K,'Таблиця 1'!$B:$B,$A153,'Таблиця 1'!$I:$I,"Mi-24",'Таблиця 1'!$J:$J,"МК-40"))</f>
        <v/>
      </c>
      <c r="N153">
        <f>IF($A153="","",SUMIFS('Таблиця 1'!$K:$K,'Таблиця 1'!$B:$B,$A153,'Таблиця 1'!$I:$I,"Mi-8",'Таблиця 1'!$J:$J,"Zuni")+SUMIFS('Таблиця 1'!$K:$K,'Таблиця 1'!$B:$B,$A153,'Таблиця 1'!$I:$I,"Mi-24",'Таблиця 1'!$J:$J,"Zuni"))</f>
        <v/>
      </c>
      <c r="O153">
        <f>IF($A153="","",COUNTIFS('Таблиця 1'!$B:$B,$A153,'Таблиця 1'!$I:$I,"Mi-8",'Таблиця 1'!$L:$L,"Уражено")+COUNTIFS('Таблиця 1'!$B:$B,$A153,'Таблиця 1'!$I:$I,"Mi-24",'Таблиця 1'!$L:$L,"Уражено"))</f>
        <v/>
      </c>
      <c r="P153">
        <f>IF($A153="","",COUNTIFS('Таблиця 1'!$B:$B,$A153,'Таблиця 1'!$I:$I,"Mi-8",'Таблиця 1'!$L:$L,"НЕ уражено")+COUNTIFS('Таблиця 1'!$B:$B,$A153,'Таблиця 1'!$I:$I,"Mi-24",'Таблиця 1'!$L:$L,"НЕ уражено"))</f>
        <v/>
      </c>
    </row>
    <row r="154">
      <c r="A154" s="273">
        <f>IF(A153="","",IF(A153+1&gt;MAX('Таблиця 1'!$B:$B),"",A153+1))</f>
        <v/>
      </c>
      <c r="B154">
        <f>IF($A154="","",COUNTIFS('Таблиця 1'!$B:$B,$A154,'Таблиця 1'!$I:$I,"Mi-8")+COUNTIFS('Таблиця 1'!$B:$B,$A154,'Таблиця 1'!$I:$I,"Mi-24"))</f>
        <v/>
      </c>
      <c r="C154">
        <f>IF($A154="","",COUNTIFS('Таблиця 1'!$B:$B,$A154,'Таблиця 1'!$I:$I,"Mi-8"))</f>
        <v/>
      </c>
      <c r="D154">
        <f>IF($A154="","",COUNTIFS('Таблиця 1'!$B:$B,$A154,'Таблиця 1'!$I:$I,"Mi-24"))</f>
        <v/>
      </c>
      <c r="E154">
        <f>IF($A154="","",SUMIFS('Таблиця 1'!$K:$K,'Таблиця 1'!$B:$B,$A154,'Таблиця 1'!$I:$I,"Mi-8",'Таблиця 1'!$J:$J,"ARS-8")+SUMIFS('Таблиця 1'!$K:$K,'Таблиця 1'!$B:$B,$A154,'Таблиця 1'!$I:$I,"Mi-24",'Таблиця 1'!$J:$J,"ARS-8"))</f>
        <v/>
      </c>
      <c r="F154">
        <f>IF($A154="","",SUMIFS('Таблиця 1'!$K:$K,'Таблиця 1'!$B:$B,$A154,'Таблиця 1'!$I:$I,"Mi-8",'Таблиця 1'!$J:$J,"С-8 ком")+SUMIFS('Таблиця 1'!$K:$K,'Таблиця 1'!$B:$B,$A154,'Таблиця 1'!$I:$I,"Mi-24",'Таблиця 1'!$J:$J,"С-8 ком"))</f>
        <v/>
      </c>
      <c r="G154">
        <f>IF($A154="","",SUMIFS('Таблиця 1'!$K:$K,'Таблиця 1'!$B:$B,$A154,'Таблиця 1'!$I:$I,"Mi-8",'Таблиця 1'!$J:$J,"PC-80")+SUMIFS('Таблиця 1'!$K:$K,'Таблиця 1'!$B:$B,$A154,'Таблиця 1'!$I:$I,"Mi-24",'Таблиця 1'!$J:$J,"PC-80"))</f>
        <v/>
      </c>
      <c r="H154">
        <f>IF($A154="","",SUMIFS('Таблиця 1'!$K:$K,'Таблиця 1'!$B:$B,$A154,'Таблиця 1'!$I:$I,"Mi-8",'Таблиця 1'!$J:$J,"UAR-80")+SUMIFS('Таблиця 1'!$K:$K,'Таблиця 1'!$B:$B,$A154,'Таблиця 1'!$I:$I,"Mi-24",'Таблиця 1'!$J:$J,"UAR-80"))</f>
        <v/>
      </c>
      <c r="I154">
        <f>IF($A154="","",SUMIFS('Таблиця 1'!$K:$K,'Таблиця 1'!$B:$B,$A154,'Таблиця 1'!$I:$I,"Mi-8",'Таблиця 1'!$J:$J,"C-13")+SUMIFS('Таблиця 1'!$K:$K,'Таблиця 1'!$B:$B,$A154,'Таблиця 1'!$I:$I,"Mi-24",'Таблиця 1'!$J:$J,"C-13"))</f>
        <v/>
      </c>
      <c r="J154">
        <f>IF($A154="","",SUMIFS('Таблиця 1'!$K:$K,'Таблиця 1'!$B:$B,$A154,'Таблиця 1'!$I:$I,"Mi-8",'Таблиця 1'!$J:$J,"Hydra-70")+SUMIFS('Таблиця 1'!$K:$K,'Таблиця 1'!$B:$B,$A154,'Таблиця 1'!$I:$I,"Mi-24",'Таблиця 1'!$J:$J,"Hydra-70"))</f>
        <v/>
      </c>
      <c r="K154">
        <f>IF($A154="","",SUMIFS('Таблиця 1'!$K:$K,'Таблиця 1'!$B:$B,$A154,'Таблиця 1'!$I:$I,"Mi-8",'Таблиця 1'!$J:$J,"Thales-70")+SUMIFS('Таблиця 1'!$K:$K,'Таблиця 1'!$B:$B,$A154,'Таблиця 1'!$I:$I,"Mi-24",'Таблиця 1'!$J:$J,"Thales-70"))</f>
        <v/>
      </c>
      <c r="L154">
        <f>IF($A154="","",SUMIFS('Таблиця 1'!$K:$K,'Таблиця 1'!$B:$B,$A154,'Таблиця 1'!$I:$I,"Mi-8",'Таблиця 1'!$J:$J,"Thales-FZ")+SUMIFS('Таблиця 1'!$K:$K,'Таблиця 1'!$B:$B,$A154,'Таблиця 1'!$I:$I,"Mi-24",'Таблиця 1'!$J:$J,"Thales-FZ"))</f>
        <v/>
      </c>
      <c r="M154">
        <f>IF($A154="","",SUMIFS('Таблиця 1'!$K:$K,'Таблиця 1'!$B:$B,$A154,'Таблиця 1'!$I:$I,"Mi-8",'Таблиця 1'!$J:$J,"МК-40")+SUMIFS('Таблиця 1'!$K:$K,'Таблиця 1'!$B:$B,$A154,'Таблиця 1'!$I:$I,"Mi-24",'Таблиця 1'!$J:$J,"МК-40"))</f>
        <v/>
      </c>
      <c r="N154">
        <f>IF($A154="","",SUMIFS('Таблиця 1'!$K:$K,'Таблиця 1'!$B:$B,$A154,'Таблиця 1'!$I:$I,"Mi-8",'Таблиця 1'!$J:$J,"Zuni")+SUMIFS('Таблиця 1'!$K:$K,'Таблиця 1'!$B:$B,$A154,'Таблиця 1'!$I:$I,"Mi-24",'Таблиця 1'!$J:$J,"Zuni"))</f>
        <v/>
      </c>
      <c r="O154">
        <f>IF($A154="","",COUNTIFS('Таблиця 1'!$B:$B,$A154,'Таблиця 1'!$I:$I,"Mi-8",'Таблиця 1'!$L:$L,"Уражено")+COUNTIFS('Таблиця 1'!$B:$B,$A154,'Таблиця 1'!$I:$I,"Mi-24",'Таблиця 1'!$L:$L,"Уражено"))</f>
        <v/>
      </c>
      <c r="P154">
        <f>IF($A154="","",COUNTIFS('Таблиця 1'!$B:$B,$A154,'Таблиця 1'!$I:$I,"Mi-8",'Таблиця 1'!$L:$L,"НЕ уражено")+COUNTIFS('Таблиця 1'!$B:$B,$A154,'Таблиця 1'!$I:$I,"Mi-24",'Таблиця 1'!$L:$L,"НЕ уражено"))</f>
        <v/>
      </c>
    </row>
    <row r="155">
      <c r="A155" s="273">
        <f>IF(A154="","",IF(A154+1&gt;MAX('Таблиця 1'!$B:$B),"",A154+1))</f>
        <v/>
      </c>
      <c r="B155">
        <f>IF($A155="","",COUNTIFS('Таблиця 1'!$B:$B,$A155,'Таблиця 1'!$I:$I,"Mi-8")+COUNTIFS('Таблиця 1'!$B:$B,$A155,'Таблиця 1'!$I:$I,"Mi-24"))</f>
        <v/>
      </c>
      <c r="C155">
        <f>IF($A155="","",COUNTIFS('Таблиця 1'!$B:$B,$A155,'Таблиця 1'!$I:$I,"Mi-8"))</f>
        <v/>
      </c>
      <c r="D155">
        <f>IF($A155="","",COUNTIFS('Таблиця 1'!$B:$B,$A155,'Таблиця 1'!$I:$I,"Mi-24"))</f>
        <v/>
      </c>
      <c r="E155">
        <f>IF($A155="","",SUMIFS('Таблиця 1'!$K:$K,'Таблиця 1'!$B:$B,$A155,'Таблиця 1'!$I:$I,"Mi-8",'Таблиця 1'!$J:$J,"ARS-8")+SUMIFS('Таблиця 1'!$K:$K,'Таблиця 1'!$B:$B,$A155,'Таблиця 1'!$I:$I,"Mi-24",'Таблиця 1'!$J:$J,"ARS-8"))</f>
        <v/>
      </c>
      <c r="F155">
        <f>IF($A155="","",SUMIFS('Таблиця 1'!$K:$K,'Таблиця 1'!$B:$B,$A155,'Таблиця 1'!$I:$I,"Mi-8",'Таблиця 1'!$J:$J,"С-8 ком")+SUMIFS('Таблиця 1'!$K:$K,'Таблиця 1'!$B:$B,$A155,'Таблиця 1'!$I:$I,"Mi-24",'Таблиця 1'!$J:$J,"С-8 ком"))</f>
        <v/>
      </c>
      <c r="G155">
        <f>IF($A155="","",SUMIFS('Таблиця 1'!$K:$K,'Таблиця 1'!$B:$B,$A155,'Таблиця 1'!$I:$I,"Mi-8",'Таблиця 1'!$J:$J,"PC-80")+SUMIFS('Таблиця 1'!$K:$K,'Таблиця 1'!$B:$B,$A155,'Таблиця 1'!$I:$I,"Mi-24",'Таблиця 1'!$J:$J,"PC-80"))</f>
        <v/>
      </c>
      <c r="H155">
        <f>IF($A155="","",SUMIFS('Таблиця 1'!$K:$K,'Таблиця 1'!$B:$B,$A155,'Таблиця 1'!$I:$I,"Mi-8",'Таблиця 1'!$J:$J,"UAR-80")+SUMIFS('Таблиця 1'!$K:$K,'Таблиця 1'!$B:$B,$A155,'Таблиця 1'!$I:$I,"Mi-24",'Таблиця 1'!$J:$J,"UAR-80"))</f>
        <v/>
      </c>
      <c r="I155">
        <f>IF($A155="","",SUMIFS('Таблиця 1'!$K:$K,'Таблиця 1'!$B:$B,$A155,'Таблиця 1'!$I:$I,"Mi-8",'Таблиця 1'!$J:$J,"C-13")+SUMIFS('Таблиця 1'!$K:$K,'Таблиця 1'!$B:$B,$A155,'Таблиця 1'!$I:$I,"Mi-24",'Таблиця 1'!$J:$J,"C-13"))</f>
        <v/>
      </c>
      <c r="J155">
        <f>IF($A155="","",SUMIFS('Таблиця 1'!$K:$K,'Таблиця 1'!$B:$B,$A155,'Таблиця 1'!$I:$I,"Mi-8",'Таблиця 1'!$J:$J,"Hydra-70")+SUMIFS('Таблиця 1'!$K:$K,'Таблиця 1'!$B:$B,$A155,'Таблиця 1'!$I:$I,"Mi-24",'Таблиця 1'!$J:$J,"Hydra-70"))</f>
        <v/>
      </c>
      <c r="K155">
        <f>IF($A155="","",SUMIFS('Таблиця 1'!$K:$K,'Таблиця 1'!$B:$B,$A155,'Таблиця 1'!$I:$I,"Mi-8",'Таблиця 1'!$J:$J,"Thales-70")+SUMIFS('Таблиця 1'!$K:$K,'Таблиця 1'!$B:$B,$A155,'Таблиця 1'!$I:$I,"Mi-24",'Таблиця 1'!$J:$J,"Thales-70"))</f>
        <v/>
      </c>
      <c r="L155">
        <f>IF($A155="","",SUMIFS('Таблиця 1'!$K:$K,'Таблиця 1'!$B:$B,$A155,'Таблиця 1'!$I:$I,"Mi-8",'Таблиця 1'!$J:$J,"Thales-FZ")+SUMIFS('Таблиця 1'!$K:$K,'Таблиця 1'!$B:$B,$A155,'Таблиця 1'!$I:$I,"Mi-24",'Таблиця 1'!$J:$J,"Thales-FZ"))</f>
        <v/>
      </c>
      <c r="M155">
        <f>IF($A155="","",SUMIFS('Таблиця 1'!$K:$K,'Таблиця 1'!$B:$B,$A155,'Таблиця 1'!$I:$I,"Mi-8",'Таблиця 1'!$J:$J,"МК-40")+SUMIFS('Таблиця 1'!$K:$K,'Таблиця 1'!$B:$B,$A155,'Таблиця 1'!$I:$I,"Mi-24",'Таблиця 1'!$J:$J,"МК-40"))</f>
        <v/>
      </c>
      <c r="N155">
        <f>IF($A155="","",SUMIFS('Таблиця 1'!$K:$K,'Таблиця 1'!$B:$B,$A155,'Таблиця 1'!$I:$I,"Mi-8",'Таблиця 1'!$J:$J,"Zuni")+SUMIFS('Таблиця 1'!$K:$K,'Таблиця 1'!$B:$B,$A155,'Таблиця 1'!$I:$I,"Mi-24",'Таблиця 1'!$J:$J,"Zuni"))</f>
        <v/>
      </c>
      <c r="O155">
        <f>IF($A155="","",COUNTIFS('Таблиця 1'!$B:$B,$A155,'Таблиця 1'!$I:$I,"Mi-8",'Таблиця 1'!$L:$L,"Уражено")+COUNTIFS('Таблиця 1'!$B:$B,$A155,'Таблиця 1'!$I:$I,"Mi-24",'Таблиця 1'!$L:$L,"Уражено"))</f>
        <v/>
      </c>
      <c r="P155">
        <f>IF($A155="","",COUNTIFS('Таблиця 1'!$B:$B,$A155,'Таблиця 1'!$I:$I,"Mi-8",'Таблиця 1'!$L:$L,"НЕ уражено")+COUNTIFS('Таблиця 1'!$B:$B,$A155,'Таблиця 1'!$I:$I,"Mi-24",'Таблиця 1'!$L:$L,"НЕ уражено"))</f>
        <v/>
      </c>
    </row>
    <row r="156">
      <c r="A156" s="273">
        <f>IF(A155="","",IF(A155+1&gt;MAX('Таблиця 1'!$B:$B),"",A155+1))</f>
        <v/>
      </c>
      <c r="B156">
        <f>IF($A156="","",COUNTIFS('Таблиця 1'!$B:$B,$A156,'Таблиця 1'!$I:$I,"Mi-8")+COUNTIFS('Таблиця 1'!$B:$B,$A156,'Таблиця 1'!$I:$I,"Mi-24"))</f>
        <v/>
      </c>
      <c r="C156">
        <f>IF($A156="","",COUNTIFS('Таблиця 1'!$B:$B,$A156,'Таблиця 1'!$I:$I,"Mi-8"))</f>
        <v/>
      </c>
      <c r="D156">
        <f>IF($A156="","",COUNTIFS('Таблиця 1'!$B:$B,$A156,'Таблиця 1'!$I:$I,"Mi-24"))</f>
        <v/>
      </c>
      <c r="E156">
        <f>IF($A156="","",SUMIFS('Таблиця 1'!$K:$K,'Таблиця 1'!$B:$B,$A156,'Таблиця 1'!$I:$I,"Mi-8",'Таблиця 1'!$J:$J,"ARS-8")+SUMIFS('Таблиця 1'!$K:$K,'Таблиця 1'!$B:$B,$A156,'Таблиця 1'!$I:$I,"Mi-24",'Таблиця 1'!$J:$J,"ARS-8"))</f>
        <v/>
      </c>
      <c r="F156">
        <f>IF($A156="","",SUMIFS('Таблиця 1'!$K:$K,'Таблиця 1'!$B:$B,$A156,'Таблиця 1'!$I:$I,"Mi-8",'Таблиця 1'!$J:$J,"С-8 ком")+SUMIFS('Таблиця 1'!$K:$K,'Таблиця 1'!$B:$B,$A156,'Таблиця 1'!$I:$I,"Mi-24",'Таблиця 1'!$J:$J,"С-8 ком"))</f>
        <v/>
      </c>
      <c r="G156">
        <f>IF($A156="","",SUMIFS('Таблиця 1'!$K:$K,'Таблиця 1'!$B:$B,$A156,'Таблиця 1'!$I:$I,"Mi-8",'Таблиця 1'!$J:$J,"PC-80")+SUMIFS('Таблиця 1'!$K:$K,'Таблиця 1'!$B:$B,$A156,'Таблиця 1'!$I:$I,"Mi-24",'Таблиця 1'!$J:$J,"PC-80"))</f>
        <v/>
      </c>
      <c r="H156">
        <f>IF($A156="","",SUMIFS('Таблиця 1'!$K:$K,'Таблиця 1'!$B:$B,$A156,'Таблиця 1'!$I:$I,"Mi-8",'Таблиця 1'!$J:$J,"UAR-80")+SUMIFS('Таблиця 1'!$K:$K,'Таблиця 1'!$B:$B,$A156,'Таблиця 1'!$I:$I,"Mi-24",'Таблиця 1'!$J:$J,"UAR-80"))</f>
        <v/>
      </c>
      <c r="I156">
        <f>IF($A156="","",SUMIFS('Таблиця 1'!$K:$K,'Таблиця 1'!$B:$B,$A156,'Таблиця 1'!$I:$I,"Mi-8",'Таблиця 1'!$J:$J,"C-13")+SUMIFS('Таблиця 1'!$K:$K,'Таблиця 1'!$B:$B,$A156,'Таблиця 1'!$I:$I,"Mi-24",'Таблиця 1'!$J:$J,"C-13"))</f>
        <v/>
      </c>
      <c r="J156">
        <f>IF($A156="","",SUMIFS('Таблиця 1'!$K:$K,'Таблиця 1'!$B:$B,$A156,'Таблиця 1'!$I:$I,"Mi-8",'Таблиця 1'!$J:$J,"Hydra-70")+SUMIFS('Таблиця 1'!$K:$K,'Таблиця 1'!$B:$B,$A156,'Таблиця 1'!$I:$I,"Mi-24",'Таблиця 1'!$J:$J,"Hydra-70"))</f>
        <v/>
      </c>
      <c r="K156">
        <f>IF($A156="","",SUMIFS('Таблиця 1'!$K:$K,'Таблиця 1'!$B:$B,$A156,'Таблиця 1'!$I:$I,"Mi-8",'Таблиця 1'!$J:$J,"Thales-70")+SUMIFS('Таблиця 1'!$K:$K,'Таблиця 1'!$B:$B,$A156,'Таблиця 1'!$I:$I,"Mi-24",'Таблиця 1'!$J:$J,"Thales-70"))</f>
        <v/>
      </c>
      <c r="L156">
        <f>IF($A156="","",SUMIFS('Таблиця 1'!$K:$K,'Таблиця 1'!$B:$B,$A156,'Таблиця 1'!$I:$I,"Mi-8",'Таблиця 1'!$J:$J,"Thales-FZ")+SUMIFS('Таблиця 1'!$K:$K,'Таблиця 1'!$B:$B,$A156,'Таблиця 1'!$I:$I,"Mi-24",'Таблиця 1'!$J:$J,"Thales-FZ"))</f>
        <v/>
      </c>
      <c r="M156">
        <f>IF($A156="","",SUMIFS('Таблиця 1'!$K:$K,'Таблиця 1'!$B:$B,$A156,'Таблиця 1'!$I:$I,"Mi-8",'Таблиця 1'!$J:$J,"МК-40")+SUMIFS('Таблиця 1'!$K:$K,'Таблиця 1'!$B:$B,$A156,'Таблиця 1'!$I:$I,"Mi-24",'Таблиця 1'!$J:$J,"МК-40"))</f>
        <v/>
      </c>
      <c r="N156">
        <f>IF($A156="","",SUMIFS('Таблиця 1'!$K:$K,'Таблиця 1'!$B:$B,$A156,'Таблиця 1'!$I:$I,"Mi-8",'Таблиця 1'!$J:$J,"Zuni")+SUMIFS('Таблиця 1'!$K:$K,'Таблиця 1'!$B:$B,$A156,'Таблиця 1'!$I:$I,"Mi-24",'Таблиця 1'!$J:$J,"Zuni"))</f>
        <v/>
      </c>
      <c r="O156">
        <f>IF($A156="","",COUNTIFS('Таблиця 1'!$B:$B,$A156,'Таблиця 1'!$I:$I,"Mi-8",'Таблиця 1'!$L:$L,"Уражено")+COUNTIFS('Таблиця 1'!$B:$B,$A156,'Таблиця 1'!$I:$I,"Mi-24",'Таблиця 1'!$L:$L,"Уражено"))</f>
        <v/>
      </c>
      <c r="P156">
        <f>IF($A156="","",COUNTIFS('Таблиця 1'!$B:$B,$A156,'Таблиця 1'!$I:$I,"Mi-8",'Таблиця 1'!$L:$L,"НЕ уражено")+COUNTIFS('Таблиця 1'!$B:$B,$A156,'Таблиця 1'!$I:$I,"Mi-24",'Таблиця 1'!$L:$L,"НЕ уражено"))</f>
        <v/>
      </c>
    </row>
    <row r="157">
      <c r="A157" s="273">
        <f>IF(A156="","",IF(A156+1&gt;MAX('Таблиця 1'!$B:$B),"",A156+1))</f>
        <v/>
      </c>
      <c r="B157">
        <f>IF($A157="","",COUNTIFS('Таблиця 1'!$B:$B,$A157,'Таблиця 1'!$I:$I,"Mi-8")+COUNTIFS('Таблиця 1'!$B:$B,$A157,'Таблиця 1'!$I:$I,"Mi-24"))</f>
        <v/>
      </c>
      <c r="C157">
        <f>IF($A157="","",COUNTIFS('Таблиця 1'!$B:$B,$A157,'Таблиця 1'!$I:$I,"Mi-8"))</f>
        <v/>
      </c>
      <c r="D157">
        <f>IF($A157="","",COUNTIFS('Таблиця 1'!$B:$B,$A157,'Таблиця 1'!$I:$I,"Mi-24"))</f>
        <v/>
      </c>
      <c r="E157">
        <f>IF($A157="","",SUMIFS('Таблиця 1'!$K:$K,'Таблиця 1'!$B:$B,$A157,'Таблиця 1'!$I:$I,"Mi-8",'Таблиця 1'!$J:$J,"ARS-8")+SUMIFS('Таблиця 1'!$K:$K,'Таблиця 1'!$B:$B,$A157,'Таблиця 1'!$I:$I,"Mi-24",'Таблиця 1'!$J:$J,"ARS-8"))</f>
        <v/>
      </c>
      <c r="F157">
        <f>IF($A157="","",SUMIFS('Таблиця 1'!$K:$K,'Таблиця 1'!$B:$B,$A157,'Таблиця 1'!$I:$I,"Mi-8",'Таблиця 1'!$J:$J,"С-8 ком")+SUMIFS('Таблиця 1'!$K:$K,'Таблиця 1'!$B:$B,$A157,'Таблиця 1'!$I:$I,"Mi-24",'Таблиця 1'!$J:$J,"С-8 ком"))</f>
        <v/>
      </c>
      <c r="G157">
        <f>IF($A157="","",SUMIFS('Таблиця 1'!$K:$K,'Таблиця 1'!$B:$B,$A157,'Таблиця 1'!$I:$I,"Mi-8",'Таблиця 1'!$J:$J,"PC-80")+SUMIFS('Таблиця 1'!$K:$K,'Таблиця 1'!$B:$B,$A157,'Таблиця 1'!$I:$I,"Mi-24",'Таблиця 1'!$J:$J,"PC-80"))</f>
        <v/>
      </c>
      <c r="H157">
        <f>IF($A157="","",SUMIFS('Таблиця 1'!$K:$K,'Таблиця 1'!$B:$B,$A157,'Таблиця 1'!$I:$I,"Mi-8",'Таблиця 1'!$J:$J,"UAR-80")+SUMIFS('Таблиця 1'!$K:$K,'Таблиця 1'!$B:$B,$A157,'Таблиця 1'!$I:$I,"Mi-24",'Таблиця 1'!$J:$J,"UAR-80"))</f>
        <v/>
      </c>
      <c r="I157">
        <f>IF($A157="","",SUMIFS('Таблиця 1'!$K:$K,'Таблиця 1'!$B:$B,$A157,'Таблиця 1'!$I:$I,"Mi-8",'Таблиця 1'!$J:$J,"C-13")+SUMIFS('Таблиця 1'!$K:$K,'Таблиця 1'!$B:$B,$A157,'Таблиця 1'!$I:$I,"Mi-24",'Таблиця 1'!$J:$J,"C-13"))</f>
        <v/>
      </c>
      <c r="J157">
        <f>IF($A157="","",SUMIFS('Таблиця 1'!$K:$K,'Таблиця 1'!$B:$B,$A157,'Таблиця 1'!$I:$I,"Mi-8",'Таблиця 1'!$J:$J,"Hydra-70")+SUMIFS('Таблиця 1'!$K:$K,'Таблиця 1'!$B:$B,$A157,'Таблиця 1'!$I:$I,"Mi-24",'Таблиця 1'!$J:$J,"Hydra-70"))</f>
        <v/>
      </c>
      <c r="K157">
        <f>IF($A157="","",SUMIFS('Таблиця 1'!$K:$K,'Таблиця 1'!$B:$B,$A157,'Таблиця 1'!$I:$I,"Mi-8",'Таблиця 1'!$J:$J,"Thales-70")+SUMIFS('Таблиця 1'!$K:$K,'Таблиця 1'!$B:$B,$A157,'Таблиця 1'!$I:$I,"Mi-24",'Таблиця 1'!$J:$J,"Thales-70"))</f>
        <v/>
      </c>
      <c r="L157">
        <f>IF($A157="","",SUMIFS('Таблиця 1'!$K:$K,'Таблиця 1'!$B:$B,$A157,'Таблиця 1'!$I:$I,"Mi-8",'Таблиця 1'!$J:$J,"Thales-FZ")+SUMIFS('Таблиця 1'!$K:$K,'Таблиця 1'!$B:$B,$A157,'Таблиця 1'!$I:$I,"Mi-24",'Таблиця 1'!$J:$J,"Thales-FZ"))</f>
        <v/>
      </c>
      <c r="M157">
        <f>IF($A157="","",SUMIFS('Таблиця 1'!$K:$K,'Таблиця 1'!$B:$B,$A157,'Таблиця 1'!$I:$I,"Mi-8",'Таблиця 1'!$J:$J,"МК-40")+SUMIFS('Таблиця 1'!$K:$K,'Таблиця 1'!$B:$B,$A157,'Таблиця 1'!$I:$I,"Mi-24",'Таблиця 1'!$J:$J,"МК-40"))</f>
        <v/>
      </c>
      <c r="N157">
        <f>IF($A157="","",SUMIFS('Таблиця 1'!$K:$K,'Таблиця 1'!$B:$B,$A157,'Таблиця 1'!$I:$I,"Mi-8",'Таблиця 1'!$J:$J,"Zuni")+SUMIFS('Таблиця 1'!$K:$K,'Таблиця 1'!$B:$B,$A157,'Таблиця 1'!$I:$I,"Mi-24",'Таблиця 1'!$J:$J,"Zuni"))</f>
        <v/>
      </c>
      <c r="O157">
        <f>IF($A157="","",COUNTIFS('Таблиця 1'!$B:$B,$A157,'Таблиця 1'!$I:$I,"Mi-8",'Таблиця 1'!$L:$L,"Уражено")+COUNTIFS('Таблиця 1'!$B:$B,$A157,'Таблиця 1'!$I:$I,"Mi-24",'Таблиця 1'!$L:$L,"Уражено"))</f>
        <v/>
      </c>
      <c r="P157">
        <f>IF($A157="","",COUNTIFS('Таблиця 1'!$B:$B,$A157,'Таблиця 1'!$I:$I,"Mi-8",'Таблиця 1'!$L:$L,"НЕ уражено")+COUNTIFS('Таблиця 1'!$B:$B,$A157,'Таблиця 1'!$I:$I,"Mi-24",'Таблиця 1'!$L:$L,"НЕ уражено"))</f>
        <v/>
      </c>
    </row>
    <row r="158">
      <c r="A158" s="273">
        <f>IF(A157="","",IF(A157+1&gt;MAX('Таблиця 1'!$B:$B),"",A157+1))</f>
        <v/>
      </c>
      <c r="B158">
        <f>IF($A158="","",COUNTIFS('Таблиця 1'!$B:$B,$A158,'Таблиця 1'!$I:$I,"Mi-8")+COUNTIFS('Таблиця 1'!$B:$B,$A158,'Таблиця 1'!$I:$I,"Mi-24"))</f>
        <v/>
      </c>
      <c r="C158">
        <f>IF($A158="","",COUNTIFS('Таблиця 1'!$B:$B,$A158,'Таблиця 1'!$I:$I,"Mi-8"))</f>
        <v/>
      </c>
      <c r="D158">
        <f>IF($A158="","",COUNTIFS('Таблиця 1'!$B:$B,$A158,'Таблиця 1'!$I:$I,"Mi-24"))</f>
        <v/>
      </c>
      <c r="E158">
        <f>IF($A158="","",SUMIFS('Таблиця 1'!$K:$K,'Таблиця 1'!$B:$B,$A158,'Таблиця 1'!$I:$I,"Mi-8",'Таблиця 1'!$J:$J,"ARS-8")+SUMIFS('Таблиця 1'!$K:$K,'Таблиця 1'!$B:$B,$A158,'Таблиця 1'!$I:$I,"Mi-24",'Таблиця 1'!$J:$J,"ARS-8"))</f>
        <v/>
      </c>
      <c r="F158">
        <f>IF($A158="","",SUMIFS('Таблиця 1'!$K:$K,'Таблиця 1'!$B:$B,$A158,'Таблиця 1'!$I:$I,"Mi-8",'Таблиця 1'!$J:$J,"С-8 ком")+SUMIFS('Таблиця 1'!$K:$K,'Таблиця 1'!$B:$B,$A158,'Таблиця 1'!$I:$I,"Mi-24",'Таблиця 1'!$J:$J,"С-8 ком"))</f>
        <v/>
      </c>
      <c r="G158">
        <f>IF($A158="","",SUMIFS('Таблиця 1'!$K:$K,'Таблиця 1'!$B:$B,$A158,'Таблиця 1'!$I:$I,"Mi-8",'Таблиця 1'!$J:$J,"PC-80")+SUMIFS('Таблиця 1'!$K:$K,'Таблиця 1'!$B:$B,$A158,'Таблиця 1'!$I:$I,"Mi-24",'Таблиця 1'!$J:$J,"PC-80"))</f>
        <v/>
      </c>
      <c r="H158">
        <f>IF($A158="","",SUMIFS('Таблиця 1'!$K:$K,'Таблиця 1'!$B:$B,$A158,'Таблиця 1'!$I:$I,"Mi-8",'Таблиця 1'!$J:$J,"UAR-80")+SUMIFS('Таблиця 1'!$K:$K,'Таблиця 1'!$B:$B,$A158,'Таблиця 1'!$I:$I,"Mi-24",'Таблиця 1'!$J:$J,"UAR-80"))</f>
        <v/>
      </c>
      <c r="I158">
        <f>IF($A158="","",SUMIFS('Таблиця 1'!$K:$K,'Таблиця 1'!$B:$B,$A158,'Таблиця 1'!$I:$I,"Mi-8",'Таблиця 1'!$J:$J,"C-13")+SUMIFS('Таблиця 1'!$K:$K,'Таблиця 1'!$B:$B,$A158,'Таблиця 1'!$I:$I,"Mi-24",'Таблиця 1'!$J:$J,"C-13"))</f>
        <v/>
      </c>
      <c r="J158">
        <f>IF($A158="","",SUMIFS('Таблиця 1'!$K:$K,'Таблиця 1'!$B:$B,$A158,'Таблиця 1'!$I:$I,"Mi-8",'Таблиця 1'!$J:$J,"Hydra-70")+SUMIFS('Таблиця 1'!$K:$K,'Таблиця 1'!$B:$B,$A158,'Таблиця 1'!$I:$I,"Mi-24",'Таблиця 1'!$J:$J,"Hydra-70"))</f>
        <v/>
      </c>
      <c r="K158">
        <f>IF($A158="","",SUMIFS('Таблиця 1'!$K:$K,'Таблиця 1'!$B:$B,$A158,'Таблиця 1'!$I:$I,"Mi-8",'Таблиця 1'!$J:$J,"Thales-70")+SUMIFS('Таблиця 1'!$K:$K,'Таблиця 1'!$B:$B,$A158,'Таблиця 1'!$I:$I,"Mi-24",'Таблиця 1'!$J:$J,"Thales-70"))</f>
        <v/>
      </c>
      <c r="L158">
        <f>IF($A158="","",SUMIFS('Таблиця 1'!$K:$K,'Таблиця 1'!$B:$B,$A158,'Таблиця 1'!$I:$I,"Mi-8",'Таблиця 1'!$J:$J,"Thales-FZ")+SUMIFS('Таблиця 1'!$K:$K,'Таблиця 1'!$B:$B,$A158,'Таблиця 1'!$I:$I,"Mi-24",'Таблиця 1'!$J:$J,"Thales-FZ"))</f>
        <v/>
      </c>
      <c r="M158">
        <f>IF($A158="","",SUMIFS('Таблиця 1'!$K:$K,'Таблиця 1'!$B:$B,$A158,'Таблиця 1'!$I:$I,"Mi-8",'Таблиця 1'!$J:$J,"МК-40")+SUMIFS('Таблиця 1'!$K:$K,'Таблиця 1'!$B:$B,$A158,'Таблиця 1'!$I:$I,"Mi-24",'Таблиця 1'!$J:$J,"МК-40"))</f>
        <v/>
      </c>
      <c r="N158">
        <f>IF($A158="","",SUMIFS('Таблиця 1'!$K:$K,'Таблиця 1'!$B:$B,$A158,'Таблиця 1'!$I:$I,"Mi-8",'Таблиця 1'!$J:$J,"Zuni")+SUMIFS('Таблиця 1'!$K:$K,'Таблиця 1'!$B:$B,$A158,'Таблиця 1'!$I:$I,"Mi-24",'Таблиця 1'!$J:$J,"Zuni"))</f>
        <v/>
      </c>
      <c r="O158">
        <f>IF($A158="","",COUNTIFS('Таблиця 1'!$B:$B,$A158,'Таблиця 1'!$I:$I,"Mi-8",'Таблиця 1'!$L:$L,"Уражено")+COUNTIFS('Таблиця 1'!$B:$B,$A158,'Таблиця 1'!$I:$I,"Mi-24",'Таблиця 1'!$L:$L,"Уражено"))</f>
        <v/>
      </c>
      <c r="P158">
        <f>IF($A158="","",COUNTIFS('Таблиця 1'!$B:$B,$A158,'Таблиця 1'!$I:$I,"Mi-8",'Таблиця 1'!$L:$L,"НЕ уражено")+COUNTIFS('Таблиця 1'!$B:$B,$A158,'Таблиця 1'!$I:$I,"Mi-24",'Таблиця 1'!$L:$L,"НЕ уражено"))</f>
        <v/>
      </c>
    </row>
    <row r="159">
      <c r="A159" s="273">
        <f>IF(A158="","",IF(A158+1&gt;MAX('Таблиця 1'!$B:$B),"",A158+1))</f>
        <v/>
      </c>
      <c r="B159">
        <f>IF($A159="","",COUNTIFS('Таблиця 1'!$B:$B,$A159,'Таблиця 1'!$I:$I,"Mi-8")+COUNTIFS('Таблиця 1'!$B:$B,$A159,'Таблиця 1'!$I:$I,"Mi-24"))</f>
        <v/>
      </c>
      <c r="C159">
        <f>IF($A159="","",COUNTIFS('Таблиця 1'!$B:$B,$A159,'Таблиця 1'!$I:$I,"Mi-8"))</f>
        <v/>
      </c>
      <c r="D159">
        <f>IF($A159="","",COUNTIFS('Таблиця 1'!$B:$B,$A159,'Таблиця 1'!$I:$I,"Mi-24"))</f>
        <v/>
      </c>
      <c r="E159">
        <f>IF($A159="","",SUMIFS('Таблиця 1'!$K:$K,'Таблиця 1'!$B:$B,$A159,'Таблиця 1'!$I:$I,"Mi-8",'Таблиця 1'!$J:$J,"ARS-8")+SUMIFS('Таблиця 1'!$K:$K,'Таблиця 1'!$B:$B,$A159,'Таблиця 1'!$I:$I,"Mi-24",'Таблиця 1'!$J:$J,"ARS-8"))</f>
        <v/>
      </c>
      <c r="F159">
        <f>IF($A159="","",SUMIFS('Таблиця 1'!$K:$K,'Таблиця 1'!$B:$B,$A159,'Таблиця 1'!$I:$I,"Mi-8",'Таблиця 1'!$J:$J,"С-8 ком")+SUMIFS('Таблиця 1'!$K:$K,'Таблиця 1'!$B:$B,$A159,'Таблиця 1'!$I:$I,"Mi-24",'Таблиця 1'!$J:$J,"С-8 ком"))</f>
        <v/>
      </c>
      <c r="G159">
        <f>IF($A159="","",SUMIFS('Таблиця 1'!$K:$K,'Таблиця 1'!$B:$B,$A159,'Таблиця 1'!$I:$I,"Mi-8",'Таблиця 1'!$J:$J,"PC-80")+SUMIFS('Таблиця 1'!$K:$K,'Таблиця 1'!$B:$B,$A159,'Таблиця 1'!$I:$I,"Mi-24",'Таблиця 1'!$J:$J,"PC-80"))</f>
        <v/>
      </c>
      <c r="H159">
        <f>IF($A159="","",SUMIFS('Таблиця 1'!$K:$K,'Таблиця 1'!$B:$B,$A159,'Таблиця 1'!$I:$I,"Mi-8",'Таблиця 1'!$J:$J,"UAR-80")+SUMIFS('Таблиця 1'!$K:$K,'Таблиця 1'!$B:$B,$A159,'Таблиця 1'!$I:$I,"Mi-24",'Таблиця 1'!$J:$J,"UAR-80"))</f>
        <v/>
      </c>
      <c r="I159">
        <f>IF($A159="","",SUMIFS('Таблиця 1'!$K:$K,'Таблиця 1'!$B:$B,$A159,'Таблиця 1'!$I:$I,"Mi-8",'Таблиця 1'!$J:$J,"C-13")+SUMIFS('Таблиця 1'!$K:$K,'Таблиця 1'!$B:$B,$A159,'Таблиця 1'!$I:$I,"Mi-24",'Таблиця 1'!$J:$J,"C-13"))</f>
        <v/>
      </c>
      <c r="J159">
        <f>IF($A159="","",SUMIFS('Таблиця 1'!$K:$K,'Таблиця 1'!$B:$B,$A159,'Таблиця 1'!$I:$I,"Mi-8",'Таблиця 1'!$J:$J,"Hydra-70")+SUMIFS('Таблиця 1'!$K:$K,'Таблиця 1'!$B:$B,$A159,'Таблиця 1'!$I:$I,"Mi-24",'Таблиця 1'!$J:$J,"Hydra-70"))</f>
        <v/>
      </c>
      <c r="K159">
        <f>IF($A159="","",SUMIFS('Таблиця 1'!$K:$K,'Таблиця 1'!$B:$B,$A159,'Таблиця 1'!$I:$I,"Mi-8",'Таблиця 1'!$J:$J,"Thales-70")+SUMIFS('Таблиця 1'!$K:$K,'Таблиця 1'!$B:$B,$A159,'Таблиця 1'!$I:$I,"Mi-24",'Таблиця 1'!$J:$J,"Thales-70"))</f>
        <v/>
      </c>
      <c r="L159">
        <f>IF($A159="","",SUMIFS('Таблиця 1'!$K:$K,'Таблиця 1'!$B:$B,$A159,'Таблиця 1'!$I:$I,"Mi-8",'Таблиця 1'!$J:$J,"Thales-FZ")+SUMIFS('Таблиця 1'!$K:$K,'Таблиця 1'!$B:$B,$A159,'Таблиця 1'!$I:$I,"Mi-24",'Таблиця 1'!$J:$J,"Thales-FZ"))</f>
        <v/>
      </c>
      <c r="M159">
        <f>IF($A159="","",SUMIFS('Таблиця 1'!$K:$K,'Таблиця 1'!$B:$B,$A159,'Таблиця 1'!$I:$I,"Mi-8",'Таблиця 1'!$J:$J,"МК-40")+SUMIFS('Таблиця 1'!$K:$K,'Таблиця 1'!$B:$B,$A159,'Таблиця 1'!$I:$I,"Mi-24",'Таблиця 1'!$J:$J,"МК-40"))</f>
        <v/>
      </c>
      <c r="N159">
        <f>IF($A159="","",SUMIFS('Таблиця 1'!$K:$K,'Таблиця 1'!$B:$B,$A159,'Таблиця 1'!$I:$I,"Mi-8",'Таблиця 1'!$J:$J,"Zuni")+SUMIFS('Таблиця 1'!$K:$K,'Таблиця 1'!$B:$B,$A159,'Таблиця 1'!$I:$I,"Mi-24",'Таблиця 1'!$J:$J,"Zuni"))</f>
        <v/>
      </c>
      <c r="O159">
        <f>IF($A159="","",COUNTIFS('Таблиця 1'!$B:$B,$A159,'Таблиця 1'!$I:$I,"Mi-8",'Таблиця 1'!$L:$L,"Уражено")+COUNTIFS('Таблиця 1'!$B:$B,$A159,'Таблиця 1'!$I:$I,"Mi-24",'Таблиця 1'!$L:$L,"Уражено"))</f>
        <v/>
      </c>
      <c r="P159">
        <f>IF($A159="","",COUNTIFS('Таблиця 1'!$B:$B,$A159,'Таблиця 1'!$I:$I,"Mi-8",'Таблиця 1'!$L:$L,"НЕ уражено")+COUNTIFS('Таблиця 1'!$B:$B,$A159,'Таблиця 1'!$I:$I,"Mi-24",'Таблиця 1'!$L:$L,"НЕ уражено"))</f>
        <v/>
      </c>
    </row>
    <row r="160">
      <c r="A160" s="273">
        <f>IF(A159="","",IF(A159+1&gt;MAX('Таблиця 1'!$B:$B),"",A159+1))</f>
        <v/>
      </c>
      <c r="B160">
        <f>IF($A160="","",COUNTIFS('Таблиця 1'!$B:$B,$A160,'Таблиця 1'!$I:$I,"Mi-8")+COUNTIFS('Таблиця 1'!$B:$B,$A160,'Таблиця 1'!$I:$I,"Mi-24"))</f>
        <v/>
      </c>
      <c r="C160">
        <f>IF($A160="","",COUNTIFS('Таблиця 1'!$B:$B,$A160,'Таблиця 1'!$I:$I,"Mi-8"))</f>
        <v/>
      </c>
      <c r="D160">
        <f>IF($A160="","",COUNTIFS('Таблиця 1'!$B:$B,$A160,'Таблиця 1'!$I:$I,"Mi-24"))</f>
        <v/>
      </c>
      <c r="E160">
        <f>IF($A160="","",SUMIFS('Таблиця 1'!$K:$K,'Таблиця 1'!$B:$B,$A160,'Таблиця 1'!$I:$I,"Mi-8",'Таблиця 1'!$J:$J,"ARS-8")+SUMIFS('Таблиця 1'!$K:$K,'Таблиця 1'!$B:$B,$A160,'Таблиця 1'!$I:$I,"Mi-24",'Таблиця 1'!$J:$J,"ARS-8"))</f>
        <v/>
      </c>
      <c r="F160">
        <f>IF($A160="","",SUMIFS('Таблиця 1'!$K:$K,'Таблиця 1'!$B:$B,$A160,'Таблиця 1'!$I:$I,"Mi-8",'Таблиця 1'!$J:$J,"С-8 ком")+SUMIFS('Таблиця 1'!$K:$K,'Таблиця 1'!$B:$B,$A160,'Таблиця 1'!$I:$I,"Mi-24",'Таблиця 1'!$J:$J,"С-8 ком"))</f>
        <v/>
      </c>
      <c r="G160">
        <f>IF($A160="","",SUMIFS('Таблиця 1'!$K:$K,'Таблиця 1'!$B:$B,$A160,'Таблиця 1'!$I:$I,"Mi-8",'Таблиця 1'!$J:$J,"PC-80")+SUMIFS('Таблиця 1'!$K:$K,'Таблиця 1'!$B:$B,$A160,'Таблиця 1'!$I:$I,"Mi-24",'Таблиця 1'!$J:$J,"PC-80"))</f>
        <v/>
      </c>
      <c r="H160">
        <f>IF($A160="","",SUMIFS('Таблиця 1'!$K:$K,'Таблиця 1'!$B:$B,$A160,'Таблиця 1'!$I:$I,"Mi-8",'Таблиця 1'!$J:$J,"UAR-80")+SUMIFS('Таблиця 1'!$K:$K,'Таблиця 1'!$B:$B,$A160,'Таблиця 1'!$I:$I,"Mi-24",'Таблиця 1'!$J:$J,"UAR-80"))</f>
        <v/>
      </c>
      <c r="I160">
        <f>IF($A160="","",SUMIFS('Таблиця 1'!$K:$K,'Таблиця 1'!$B:$B,$A160,'Таблиця 1'!$I:$I,"Mi-8",'Таблиця 1'!$J:$J,"C-13")+SUMIFS('Таблиця 1'!$K:$K,'Таблиця 1'!$B:$B,$A160,'Таблиця 1'!$I:$I,"Mi-24",'Таблиця 1'!$J:$J,"C-13"))</f>
        <v/>
      </c>
      <c r="J160">
        <f>IF($A160="","",SUMIFS('Таблиця 1'!$K:$K,'Таблиця 1'!$B:$B,$A160,'Таблиця 1'!$I:$I,"Mi-8",'Таблиця 1'!$J:$J,"Hydra-70")+SUMIFS('Таблиця 1'!$K:$K,'Таблиця 1'!$B:$B,$A160,'Таблиця 1'!$I:$I,"Mi-24",'Таблиця 1'!$J:$J,"Hydra-70"))</f>
        <v/>
      </c>
      <c r="K160">
        <f>IF($A160="","",SUMIFS('Таблиця 1'!$K:$K,'Таблиця 1'!$B:$B,$A160,'Таблиця 1'!$I:$I,"Mi-8",'Таблиця 1'!$J:$J,"Thales-70")+SUMIFS('Таблиця 1'!$K:$K,'Таблиця 1'!$B:$B,$A160,'Таблиця 1'!$I:$I,"Mi-24",'Таблиця 1'!$J:$J,"Thales-70"))</f>
        <v/>
      </c>
      <c r="L160">
        <f>IF($A160="","",SUMIFS('Таблиця 1'!$K:$K,'Таблиця 1'!$B:$B,$A160,'Таблиця 1'!$I:$I,"Mi-8",'Таблиця 1'!$J:$J,"Thales-FZ")+SUMIFS('Таблиця 1'!$K:$K,'Таблиця 1'!$B:$B,$A160,'Таблиця 1'!$I:$I,"Mi-24",'Таблиця 1'!$J:$J,"Thales-FZ"))</f>
        <v/>
      </c>
      <c r="M160">
        <f>IF($A160="","",SUMIFS('Таблиця 1'!$K:$K,'Таблиця 1'!$B:$B,$A160,'Таблиця 1'!$I:$I,"Mi-8",'Таблиця 1'!$J:$J,"МК-40")+SUMIFS('Таблиця 1'!$K:$K,'Таблиця 1'!$B:$B,$A160,'Таблиця 1'!$I:$I,"Mi-24",'Таблиця 1'!$J:$J,"МК-40"))</f>
        <v/>
      </c>
      <c r="N160">
        <f>IF($A160="","",SUMIFS('Таблиця 1'!$K:$K,'Таблиця 1'!$B:$B,$A160,'Таблиця 1'!$I:$I,"Mi-8",'Таблиця 1'!$J:$J,"Zuni")+SUMIFS('Таблиця 1'!$K:$K,'Таблиця 1'!$B:$B,$A160,'Таблиця 1'!$I:$I,"Mi-24",'Таблиця 1'!$J:$J,"Zuni"))</f>
        <v/>
      </c>
      <c r="O160">
        <f>IF($A160="","",COUNTIFS('Таблиця 1'!$B:$B,$A160,'Таблиця 1'!$I:$I,"Mi-8",'Таблиця 1'!$L:$L,"Уражено")+COUNTIFS('Таблиця 1'!$B:$B,$A160,'Таблиця 1'!$I:$I,"Mi-24",'Таблиця 1'!$L:$L,"Уражено"))</f>
        <v/>
      </c>
      <c r="P160">
        <f>IF($A160="","",COUNTIFS('Таблиця 1'!$B:$B,$A160,'Таблиця 1'!$I:$I,"Mi-8",'Таблиця 1'!$L:$L,"НЕ уражено")+COUNTIFS('Таблиця 1'!$B:$B,$A160,'Таблиця 1'!$I:$I,"Mi-24",'Таблиця 1'!$L:$L,"НЕ уражено"))</f>
        <v/>
      </c>
    </row>
    <row r="161">
      <c r="A161" s="273">
        <f>IF(A160="","",IF(A160+1&gt;MAX('Таблиця 1'!$B:$B),"",A160+1))</f>
        <v/>
      </c>
      <c r="B161">
        <f>IF($A161="","",COUNTIFS('Таблиця 1'!$B:$B,$A161,'Таблиця 1'!$I:$I,"Mi-8")+COUNTIFS('Таблиця 1'!$B:$B,$A161,'Таблиця 1'!$I:$I,"Mi-24"))</f>
        <v/>
      </c>
      <c r="C161">
        <f>IF($A161="","",COUNTIFS('Таблиця 1'!$B:$B,$A161,'Таблиця 1'!$I:$I,"Mi-8"))</f>
        <v/>
      </c>
      <c r="D161">
        <f>IF($A161="","",COUNTIFS('Таблиця 1'!$B:$B,$A161,'Таблиця 1'!$I:$I,"Mi-24"))</f>
        <v/>
      </c>
      <c r="E161">
        <f>IF($A161="","",SUMIFS('Таблиця 1'!$K:$K,'Таблиця 1'!$B:$B,$A161,'Таблиця 1'!$I:$I,"Mi-8",'Таблиця 1'!$J:$J,"ARS-8")+SUMIFS('Таблиця 1'!$K:$K,'Таблиця 1'!$B:$B,$A161,'Таблиця 1'!$I:$I,"Mi-24",'Таблиця 1'!$J:$J,"ARS-8"))</f>
        <v/>
      </c>
      <c r="F161">
        <f>IF($A161="","",SUMIFS('Таблиця 1'!$K:$K,'Таблиця 1'!$B:$B,$A161,'Таблиця 1'!$I:$I,"Mi-8",'Таблиця 1'!$J:$J,"С-8 ком")+SUMIFS('Таблиця 1'!$K:$K,'Таблиця 1'!$B:$B,$A161,'Таблиця 1'!$I:$I,"Mi-24",'Таблиця 1'!$J:$J,"С-8 ком"))</f>
        <v/>
      </c>
      <c r="G161">
        <f>IF($A161="","",SUMIFS('Таблиця 1'!$K:$K,'Таблиця 1'!$B:$B,$A161,'Таблиця 1'!$I:$I,"Mi-8",'Таблиця 1'!$J:$J,"PC-80")+SUMIFS('Таблиця 1'!$K:$K,'Таблиця 1'!$B:$B,$A161,'Таблиця 1'!$I:$I,"Mi-24",'Таблиця 1'!$J:$J,"PC-80"))</f>
        <v/>
      </c>
      <c r="H161">
        <f>IF($A161="","",SUMIFS('Таблиця 1'!$K:$K,'Таблиця 1'!$B:$B,$A161,'Таблиця 1'!$I:$I,"Mi-8",'Таблиця 1'!$J:$J,"UAR-80")+SUMIFS('Таблиця 1'!$K:$K,'Таблиця 1'!$B:$B,$A161,'Таблиця 1'!$I:$I,"Mi-24",'Таблиця 1'!$J:$J,"UAR-80"))</f>
        <v/>
      </c>
      <c r="I161">
        <f>IF($A161="","",SUMIFS('Таблиця 1'!$K:$K,'Таблиця 1'!$B:$B,$A161,'Таблиця 1'!$I:$I,"Mi-8",'Таблиця 1'!$J:$J,"C-13")+SUMIFS('Таблиця 1'!$K:$K,'Таблиця 1'!$B:$B,$A161,'Таблиця 1'!$I:$I,"Mi-24",'Таблиця 1'!$J:$J,"C-13"))</f>
        <v/>
      </c>
      <c r="J161">
        <f>IF($A161="","",SUMIFS('Таблиця 1'!$K:$K,'Таблиця 1'!$B:$B,$A161,'Таблиця 1'!$I:$I,"Mi-8",'Таблиця 1'!$J:$J,"Hydra-70")+SUMIFS('Таблиця 1'!$K:$K,'Таблиця 1'!$B:$B,$A161,'Таблиця 1'!$I:$I,"Mi-24",'Таблиця 1'!$J:$J,"Hydra-70"))</f>
        <v/>
      </c>
      <c r="K161">
        <f>IF($A161="","",SUMIFS('Таблиця 1'!$K:$K,'Таблиця 1'!$B:$B,$A161,'Таблиця 1'!$I:$I,"Mi-8",'Таблиця 1'!$J:$J,"Thales-70")+SUMIFS('Таблиця 1'!$K:$K,'Таблиця 1'!$B:$B,$A161,'Таблиця 1'!$I:$I,"Mi-24",'Таблиця 1'!$J:$J,"Thales-70"))</f>
        <v/>
      </c>
      <c r="L161">
        <f>IF($A161="","",SUMIFS('Таблиця 1'!$K:$K,'Таблиця 1'!$B:$B,$A161,'Таблиця 1'!$I:$I,"Mi-8",'Таблиця 1'!$J:$J,"Thales-FZ")+SUMIFS('Таблиця 1'!$K:$K,'Таблиця 1'!$B:$B,$A161,'Таблиця 1'!$I:$I,"Mi-24",'Таблиця 1'!$J:$J,"Thales-FZ"))</f>
        <v/>
      </c>
      <c r="M161">
        <f>IF($A161="","",SUMIFS('Таблиця 1'!$K:$K,'Таблиця 1'!$B:$B,$A161,'Таблиця 1'!$I:$I,"Mi-8",'Таблиця 1'!$J:$J,"МК-40")+SUMIFS('Таблиця 1'!$K:$K,'Таблиця 1'!$B:$B,$A161,'Таблиця 1'!$I:$I,"Mi-24",'Таблиця 1'!$J:$J,"МК-40"))</f>
        <v/>
      </c>
      <c r="N161">
        <f>IF($A161="","",SUMIFS('Таблиця 1'!$K:$K,'Таблиця 1'!$B:$B,$A161,'Таблиця 1'!$I:$I,"Mi-8",'Таблиця 1'!$J:$J,"Zuni")+SUMIFS('Таблиця 1'!$K:$K,'Таблиця 1'!$B:$B,$A161,'Таблиця 1'!$I:$I,"Mi-24",'Таблиця 1'!$J:$J,"Zuni"))</f>
        <v/>
      </c>
      <c r="O161">
        <f>IF($A161="","",COUNTIFS('Таблиця 1'!$B:$B,$A161,'Таблиця 1'!$I:$I,"Mi-8",'Таблиця 1'!$L:$L,"Уражено")+COUNTIFS('Таблиця 1'!$B:$B,$A161,'Таблиця 1'!$I:$I,"Mi-24",'Таблиця 1'!$L:$L,"Уражено"))</f>
        <v/>
      </c>
      <c r="P161">
        <f>IF($A161="","",COUNTIFS('Таблиця 1'!$B:$B,$A161,'Таблиця 1'!$I:$I,"Mi-8",'Таблиця 1'!$L:$L,"НЕ уражено")+COUNTIFS('Таблиця 1'!$B:$B,$A161,'Таблиця 1'!$I:$I,"Mi-24",'Таблиця 1'!$L:$L,"НЕ уражено"))</f>
        <v/>
      </c>
    </row>
    <row r="162">
      <c r="A162" s="273">
        <f>IF(A161="","",IF(A161+1&gt;MAX('Таблиця 1'!$B:$B),"",A161+1))</f>
        <v/>
      </c>
      <c r="B162">
        <f>IF($A162="","",COUNTIFS('Таблиця 1'!$B:$B,$A162,'Таблиця 1'!$I:$I,"Mi-8")+COUNTIFS('Таблиця 1'!$B:$B,$A162,'Таблиця 1'!$I:$I,"Mi-24"))</f>
        <v/>
      </c>
      <c r="C162">
        <f>IF($A162="","",COUNTIFS('Таблиця 1'!$B:$B,$A162,'Таблиця 1'!$I:$I,"Mi-8"))</f>
        <v/>
      </c>
      <c r="D162">
        <f>IF($A162="","",COUNTIFS('Таблиця 1'!$B:$B,$A162,'Таблиця 1'!$I:$I,"Mi-24"))</f>
        <v/>
      </c>
      <c r="E162">
        <f>IF($A162="","",SUMIFS('Таблиця 1'!$K:$K,'Таблиця 1'!$B:$B,$A162,'Таблиця 1'!$I:$I,"Mi-8",'Таблиця 1'!$J:$J,"ARS-8")+SUMIFS('Таблиця 1'!$K:$K,'Таблиця 1'!$B:$B,$A162,'Таблиця 1'!$I:$I,"Mi-24",'Таблиця 1'!$J:$J,"ARS-8"))</f>
        <v/>
      </c>
      <c r="F162">
        <f>IF($A162="","",SUMIFS('Таблиця 1'!$K:$K,'Таблиця 1'!$B:$B,$A162,'Таблиця 1'!$I:$I,"Mi-8",'Таблиця 1'!$J:$J,"С-8 ком")+SUMIFS('Таблиця 1'!$K:$K,'Таблиця 1'!$B:$B,$A162,'Таблиця 1'!$I:$I,"Mi-24",'Таблиця 1'!$J:$J,"С-8 ком"))</f>
        <v/>
      </c>
      <c r="G162">
        <f>IF($A162="","",SUMIFS('Таблиця 1'!$K:$K,'Таблиця 1'!$B:$B,$A162,'Таблиця 1'!$I:$I,"Mi-8",'Таблиця 1'!$J:$J,"PC-80")+SUMIFS('Таблиця 1'!$K:$K,'Таблиця 1'!$B:$B,$A162,'Таблиця 1'!$I:$I,"Mi-24",'Таблиця 1'!$J:$J,"PC-80"))</f>
        <v/>
      </c>
      <c r="H162">
        <f>IF($A162="","",SUMIFS('Таблиця 1'!$K:$K,'Таблиця 1'!$B:$B,$A162,'Таблиця 1'!$I:$I,"Mi-8",'Таблиця 1'!$J:$J,"UAR-80")+SUMIFS('Таблиця 1'!$K:$K,'Таблиця 1'!$B:$B,$A162,'Таблиця 1'!$I:$I,"Mi-24",'Таблиця 1'!$J:$J,"UAR-80"))</f>
        <v/>
      </c>
      <c r="I162">
        <f>IF($A162="","",SUMIFS('Таблиця 1'!$K:$K,'Таблиця 1'!$B:$B,$A162,'Таблиця 1'!$I:$I,"Mi-8",'Таблиця 1'!$J:$J,"C-13")+SUMIFS('Таблиця 1'!$K:$K,'Таблиця 1'!$B:$B,$A162,'Таблиця 1'!$I:$I,"Mi-24",'Таблиця 1'!$J:$J,"C-13"))</f>
        <v/>
      </c>
      <c r="J162">
        <f>IF($A162="","",SUMIFS('Таблиця 1'!$K:$K,'Таблиця 1'!$B:$B,$A162,'Таблиця 1'!$I:$I,"Mi-8",'Таблиця 1'!$J:$J,"Hydra-70")+SUMIFS('Таблиця 1'!$K:$K,'Таблиця 1'!$B:$B,$A162,'Таблиця 1'!$I:$I,"Mi-24",'Таблиця 1'!$J:$J,"Hydra-70"))</f>
        <v/>
      </c>
      <c r="K162">
        <f>IF($A162="","",SUMIFS('Таблиця 1'!$K:$K,'Таблиця 1'!$B:$B,$A162,'Таблиця 1'!$I:$I,"Mi-8",'Таблиця 1'!$J:$J,"Thales-70")+SUMIFS('Таблиця 1'!$K:$K,'Таблиця 1'!$B:$B,$A162,'Таблиця 1'!$I:$I,"Mi-24",'Таблиця 1'!$J:$J,"Thales-70"))</f>
        <v/>
      </c>
      <c r="L162">
        <f>IF($A162="","",SUMIFS('Таблиця 1'!$K:$K,'Таблиця 1'!$B:$B,$A162,'Таблиця 1'!$I:$I,"Mi-8",'Таблиця 1'!$J:$J,"Thales-FZ")+SUMIFS('Таблиця 1'!$K:$K,'Таблиця 1'!$B:$B,$A162,'Таблиця 1'!$I:$I,"Mi-24",'Таблиця 1'!$J:$J,"Thales-FZ"))</f>
        <v/>
      </c>
      <c r="M162">
        <f>IF($A162="","",SUMIFS('Таблиця 1'!$K:$K,'Таблиця 1'!$B:$B,$A162,'Таблиця 1'!$I:$I,"Mi-8",'Таблиця 1'!$J:$J,"МК-40")+SUMIFS('Таблиця 1'!$K:$K,'Таблиця 1'!$B:$B,$A162,'Таблиця 1'!$I:$I,"Mi-24",'Таблиця 1'!$J:$J,"МК-40"))</f>
        <v/>
      </c>
      <c r="N162">
        <f>IF($A162="","",SUMIFS('Таблиця 1'!$K:$K,'Таблиця 1'!$B:$B,$A162,'Таблиця 1'!$I:$I,"Mi-8",'Таблиця 1'!$J:$J,"Zuni")+SUMIFS('Таблиця 1'!$K:$K,'Таблиця 1'!$B:$B,$A162,'Таблиця 1'!$I:$I,"Mi-24",'Таблиця 1'!$J:$J,"Zuni"))</f>
        <v/>
      </c>
      <c r="O162">
        <f>IF($A162="","",COUNTIFS('Таблиця 1'!$B:$B,$A162,'Таблиця 1'!$I:$I,"Mi-8",'Таблиця 1'!$L:$L,"Уражено")+COUNTIFS('Таблиця 1'!$B:$B,$A162,'Таблиця 1'!$I:$I,"Mi-24",'Таблиця 1'!$L:$L,"Уражено"))</f>
        <v/>
      </c>
      <c r="P162">
        <f>IF($A162="","",COUNTIFS('Таблиця 1'!$B:$B,$A162,'Таблиця 1'!$I:$I,"Mi-8",'Таблиця 1'!$L:$L,"НЕ уражено")+COUNTIFS('Таблиця 1'!$B:$B,$A162,'Таблиця 1'!$I:$I,"Mi-24",'Таблиця 1'!$L:$L,"НЕ уражено"))</f>
        <v/>
      </c>
    </row>
    <row r="163">
      <c r="A163" s="273">
        <f>IF(A162="","",IF(A162+1&gt;MAX('Таблиця 1'!$B:$B),"",A162+1))</f>
        <v/>
      </c>
      <c r="B163">
        <f>IF($A163="","",COUNTIFS('Таблиця 1'!$B:$B,$A163,'Таблиця 1'!$I:$I,"Mi-8")+COUNTIFS('Таблиця 1'!$B:$B,$A163,'Таблиця 1'!$I:$I,"Mi-24"))</f>
        <v/>
      </c>
      <c r="C163">
        <f>IF($A163="","",COUNTIFS('Таблиця 1'!$B:$B,$A163,'Таблиця 1'!$I:$I,"Mi-8"))</f>
        <v/>
      </c>
      <c r="D163">
        <f>IF($A163="","",COUNTIFS('Таблиця 1'!$B:$B,$A163,'Таблиця 1'!$I:$I,"Mi-24"))</f>
        <v/>
      </c>
      <c r="E163">
        <f>IF($A163="","",SUMIFS('Таблиця 1'!$K:$K,'Таблиця 1'!$B:$B,$A163,'Таблиця 1'!$I:$I,"Mi-8",'Таблиця 1'!$J:$J,"ARS-8")+SUMIFS('Таблиця 1'!$K:$K,'Таблиця 1'!$B:$B,$A163,'Таблиця 1'!$I:$I,"Mi-24",'Таблиця 1'!$J:$J,"ARS-8"))</f>
        <v/>
      </c>
      <c r="F163">
        <f>IF($A163="","",SUMIFS('Таблиця 1'!$K:$K,'Таблиця 1'!$B:$B,$A163,'Таблиця 1'!$I:$I,"Mi-8",'Таблиця 1'!$J:$J,"С-8 ком")+SUMIFS('Таблиця 1'!$K:$K,'Таблиця 1'!$B:$B,$A163,'Таблиця 1'!$I:$I,"Mi-24",'Таблиця 1'!$J:$J,"С-8 ком"))</f>
        <v/>
      </c>
      <c r="G163">
        <f>IF($A163="","",SUMIFS('Таблиця 1'!$K:$K,'Таблиця 1'!$B:$B,$A163,'Таблиця 1'!$I:$I,"Mi-8",'Таблиця 1'!$J:$J,"PC-80")+SUMIFS('Таблиця 1'!$K:$K,'Таблиця 1'!$B:$B,$A163,'Таблиця 1'!$I:$I,"Mi-24",'Таблиця 1'!$J:$J,"PC-80"))</f>
        <v/>
      </c>
      <c r="H163">
        <f>IF($A163="","",SUMIFS('Таблиця 1'!$K:$K,'Таблиця 1'!$B:$B,$A163,'Таблиця 1'!$I:$I,"Mi-8",'Таблиця 1'!$J:$J,"UAR-80")+SUMIFS('Таблиця 1'!$K:$K,'Таблиця 1'!$B:$B,$A163,'Таблиця 1'!$I:$I,"Mi-24",'Таблиця 1'!$J:$J,"UAR-80"))</f>
        <v/>
      </c>
      <c r="I163">
        <f>IF($A163="","",SUMIFS('Таблиця 1'!$K:$K,'Таблиця 1'!$B:$B,$A163,'Таблиця 1'!$I:$I,"Mi-8",'Таблиця 1'!$J:$J,"C-13")+SUMIFS('Таблиця 1'!$K:$K,'Таблиця 1'!$B:$B,$A163,'Таблиця 1'!$I:$I,"Mi-24",'Таблиця 1'!$J:$J,"C-13"))</f>
        <v/>
      </c>
      <c r="J163">
        <f>IF($A163="","",SUMIFS('Таблиця 1'!$K:$K,'Таблиця 1'!$B:$B,$A163,'Таблиця 1'!$I:$I,"Mi-8",'Таблиця 1'!$J:$J,"Hydra-70")+SUMIFS('Таблиця 1'!$K:$K,'Таблиця 1'!$B:$B,$A163,'Таблиця 1'!$I:$I,"Mi-24",'Таблиця 1'!$J:$J,"Hydra-70"))</f>
        <v/>
      </c>
      <c r="K163">
        <f>IF($A163="","",SUMIFS('Таблиця 1'!$K:$K,'Таблиця 1'!$B:$B,$A163,'Таблиця 1'!$I:$I,"Mi-8",'Таблиця 1'!$J:$J,"Thales-70")+SUMIFS('Таблиця 1'!$K:$K,'Таблиця 1'!$B:$B,$A163,'Таблиця 1'!$I:$I,"Mi-24",'Таблиця 1'!$J:$J,"Thales-70"))</f>
        <v/>
      </c>
      <c r="L163">
        <f>IF($A163="","",SUMIFS('Таблиця 1'!$K:$K,'Таблиця 1'!$B:$B,$A163,'Таблиця 1'!$I:$I,"Mi-8",'Таблиця 1'!$J:$J,"Thales-FZ")+SUMIFS('Таблиця 1'!$K:$K,'Таблиця 1'!$B:$B,$A163,'Таблиця 1'!$I:$I,"Mi-24",'Таблиця 1'!$J:$J,"Thales-FZ"))</f>
        <v/>
      </c>
      <c r="M163">
        <f>IF($A163="","",SUMIFS('Таблиця 1'!$K:$K,'Таблиця 1'!$B:$B,$A163,'Таблиця 1'!$I:$I,"Mi-8",'Таблиця 1'!$J:$J,"МК-40")+SUMIFS('Таблиця 1'!$K:$K,'Таблиця 1'!$B:$B,$A163,'Таблиця 1'!$I:$I,"Mi-24",'Таблиця 1'!$J:$J,"МК-40"))</f>
        <v/>
      </c>
      <c r="N163">
        <f>IF($A163="","",SUMIFS('Таблиця 1'!$K:$K,'Таблиця 1'!$B:$B,$A163,'Таблиця 1'!$I:$I,"Mi-8",'Таблиця 1'!$J:$J,"Zuni")+SUMIFS('Таблиця 1'!$K:$K,'Таблиця 1'!$B:$B,$A163,'Таблиця 1'!$I:$I,"Mi-24",'Таблиця 1'!$J:$J,"Zuni"))</f>
        <v/>
      </c>
      <c r="O163">
        <f>IF($A163="","",COUNTIFS('Таблиця 1'!$B:$B,$A163,'Таблиця 1'!$I:$I,"Mi-8",'Таблиця 1'!$L:$L,"Уражено")+COUNTIFS('Таблиця 1'!$B:$B,$A163,'Таблиця 1'!$I:$I,"Mi-24",'Таблиця 1'!$L:$L,"Уражено"))</f>
        <v/>
      </c>
      <c r="P163">
        <f>IF($A163="","",COUNTIFS('Таблиця 1'!$B:$B,$A163,'Таблиця 1'!$I:$I,"Mi-8",'Таблиця 1'!$L:$L,"НЕ уражено")+COUNTIFS('Таблиця 1'!$B:$B,$A163,'Таблиця 1'!$I:$I,"Mi-24",'Таблиця 1'!$L:$L,"НЕ уражено"))</f>
        <v/>
      </c>
    </row>
    <row r="164">
      <c r="A164" s="273">
        <f>IF(A163="","",IF(A163+1&gt;MAX('Таблиця 1'!$B:$B),"",A163+1))</f>
        <v/>
      </c>
      <c r="B164">
        <f>IF($A164="","",COUNTIFS('Таблиця 1'!$B:$B,$A164,'Таблиця 1'!$I:$I,"Mi-8")+COUNTIFS('Таблиця 1'!$B:$B,$A164,'Таблиця 1'!$I:$I,"Mi-24"))</f>
        <v/>
      </c>
      <c r="C164">
        <f>IF($A164="","",COUNTIFS('Таблиця 1'!$B:$B,$A164,'Таблиця 1'!$I:$I,"Mi-8"))</f>
        <v/>
      </c>
      <c r="D164">
        <f>IF($A164="","",COUNTIFS('Таблиця 1'!$B:$B,$A164,'Таблиця 1'!$I:$I,"Mi-24"))</f>
        <v/>
      </c>
      <c r="E164">
        <f>IF($A164="","",SUMIFS('Таблиця 1'!$K:$K,'Таблиця 1'!$B:$B,$A164,'Таблиця 1'!$I:$I,"Mi-8",'Таблиця 1'!$J:$J,"ARS-8")+SUMIFS('Таблиця 1'!$K:$K,'Таблиця 1'!$B:$B,$A164,'Таблиця 1'!$I:$I,"Mi-24",'Таблиця 1'!$J:$J,"ARS-8"))</f>
        <v/>
      </c>
      <c r="F164">
        <f>IF($A164="","",SUMIFS('Таблиця 1'!$K:$K,'Таблиця 1'!$B:$B,$A164,'Таблиця 1'!$I:$I,"Mi-8",'Таблиця 1'!$J:$J,"С-8 ком")+SUMIFS('Таблиця 1'!$K:$K,'Таблиця 1'!$B:$B,$A164,'Таблиця 1'!$I:$I,"Mi-24",'Таблиця 1'!$J:$J,"С-8 ком"))</f>
        <v/>
      </c>
      <c r="G164">
        <f>IF($A164="","",SUMIFS('Таблиця 1'!$K:$K,'Таблиця 1'!$B:$B,$A164,'Таблиця 1'!$I:$I,"Mi-8",'Таблиця 1'!$J:$J,"PC-80")+SUMIFS('Таблиця 1'!$K:$K,'Таблиця 1'!$B:$B,$A164,'Таблиця 1'!$I:$I,"Mi-24",'Таблиця 1'!$J:$J,"PC-80"))</f>
        <v/>
      </c>
      <c r="H164">
        <f>IF($A164="","",SUMIFS('Таблиця 1'!$K:$K,'Таблиця 1'!$B:$B,$A164,'Таблиця 1'!$I:$I,"Mi-8",'Таблиця 1'!$J:$J,"UAR-80")+SUMIFS('Таблиця 1'!$K:$K,'Таблиця 1'!$B:$B,$A164,'Таблиця 1'!$I:$I,"Mi-24",'Таблиця 1'!$J:$J,"UAR-80"))</f>
        <v/>
      </c>
      <c r="I164">
        <f>IF($A164="","",SUMIFS('Таблиця 1'!$K:$K,'Таблиця 1'!$B:$B,$A164,'Таблиця 1'!$I:$I,"Mi-8",'Таблиця 1'!$J:$J,"C-13")+SUMIFS('Таблиця 1'!$K:$K,'Таблиця 1'!$B:$B,$A164,'Таблиця 1'!$I:$I,"Mi-24",'Таблиця 1'!$J:$J,"C-13"))</f>
        <v/>
      </c>
      <c r="J164">
        <f>IF($A164="","",SUMIFS('Таблиця 1'!$K:$K,'Таблиця 1'!$B:$B,$A164,'Таблиця 1'!$I:$I,"Mi-8",'Таблиця 1'!$J:$J,"Hydra-70")+SUMIFS('Таблиця 1'!$K:$K,'Таблиця 1'!$B:$B,$A164,'Таблиця 1'!$I:$I,"Mi-24",'Таблиця 1'!$J:$J,"Hydra-70"))</f>
        <v/>
      </c>
      <c r="K164">
        <f>IF($A164="","",SUMIFS('Таблиця 1'!$K:$K,'Таблиця 1'!$B:$B,$A164,'Таблиця 1'!$I:$I,"Mi-8",'Таблиця 1'!$J:$J,"Thales-70")+SUMIFS('Таблиця 1'!$K:$K,'Таблиця 1'!$B:$B,$A164,'Таблиця 1'!$I:$I,"Mi-24",'Таблиця 1'!$J:$J,"Thales-70"))</f>
        <v/>
      </c>
      <c r="L164">
        <f>IF($A164="","",SUMIFS('Таблиця 1'!$K:$K,'Таблиця 1'!$B:$B,$A164,'Таблиця 1'!$I:$I,"Mi-8",'Таблиця 1'!$J:$J,"Thales-FZ")+SUMIFS('Таблиця 1'!$K:$K,'Таблиця 1'!$B:$B,$A164,'Таблиця 1'!$I:$I,"Mi-24",'Таблиця 1'!$J:$J,"Thales-FZ"))</f>
        <v/>
      </c>
      <c r="M164">
        <f>IF($A164="","",SUMIFS('Таблиця 1'!$K:$K,'Таблиця 1'!$B:$B,$A164,'Таблиця 1'!$I:$I,"Mi-8",'Таблиця 1'!$J:$J,"МК-40")+SUMIFS('Таблиця 1'!$K:$K,'Таблиця 1'!$B:$B,$A164,'Таблиця 1'!$I:$I,"Mi-24",'Таблиця 1'!$J:$J,"МК-40"))</f>
        <v/>
      </c>
      <c r="N164">
        <f>IF($A164="","",SUMIFS('Таблиця 1'!$K:$K,'Таблиця 1'!$B:$B,$A164,'Таблиця 1'!$I:$I,"Mi-8",'Таблиця 1'!$J:$J,"Zuni")+SUMIFS('Таблиця 1'!$K:$K,'Таблиця 1'!$B:$B,$A164,'Таблиця 1'!$I:$I,"Mi-24",'Таблиця 1'!$J:$J,"Zuni"))</f>
        <v/>
      </c>
      <c r="O164">
        <f>IF($A164="","",COUNTIFS('Таблиця 1'!$B:$B,$A164,'Таблиця 1'!$I:$I,"Mi-8",'Таблиця 1'!$L:$L,"Уражено")+COUNTIFS('Таблиця 1'!$B:$B,$A164,'Таблиця 1'!$I:$I,"Mi-24",'Таблиця 1'!$L:$L,"Уражено"))</f>
        <v/>
      </c>
      <c r="P164">
        <f>IF($A164="","",COUNTIFS('Таблиця 1'!$B:$B,$A164,'Таблиця 1'!$I:$I,"Mi-8",'Таблиця 1'!$L:$L,"НЕ уражено")+COUNTIFS('Таблиця 1'!$B:$B,$A164,'Таблиця 1'!$I:$I,"Mi-24",'Таблиця 1'!$L:$L,"НЕ уражено"))</f>
        <v/>
      </c>
    </row>
    <row r="165">
      <c r="A165" s="273">
        <f>IF(A164="","",IF(A164+1&gt;MAX('Таблиця 1'!$B:$B),"",A164+1))</f>
        <v/>
      </c>
      <c r="B165">
        <f>IF($A165="","",COUNTIFS('Таблиця 1'!$B:$B,$A165,'Таблиця 1'!$I:$I,"Mi-8")+COUNTIFS('Таблиця 1'!$B:$B,$A165,'Таблиця 1'!$I:$I,"Mi-24"))</f>
        <v/>
      </c>
      <c r="C165">
        <f>IF($A165="","",COUNTIFS('Таблиця 1'!$B:$B,$A165,'Таблиця 1'!$I:$I,"Mi-8"))</f>
        <v/>
      </c>
      <c r="D165">
        <f>IF($A165="","",COUNTIFS('Таблиця 1'!$B:$B,$A165,'Таблиця 1'!$I:$I,"Mi-24"))</f>
        <v/>
      </c>
      <c r="E165">
        <f>IF($A165="","",SUMIFS('Таблиця 1'!$K:$K,'Таблиця 1'!$B:$B,$A165,'Таблиця 1'!$I:$I,"Mi-8",'Таблиця 1'!$J:$J,"ARS-8")+SUMIFS('Таблиця 1'!$K:$K,'Таблиця 1'!$B:$B,$A165,'Таблиця 1'!$I:$I,"Mi-24",'Таблиця 1'!$J:$J,"ARS-8"))</f>
        <v/>
      </c>
      <c r="F165">
        <f>IF($A165="","",SUMIFS('Таблиця 1'!$K:$K,'Таблиця 1'!$B:$B,$A165,'Таблиця 1'!$I:$I,"Mi-8",'Таблиця 1'!$J:$J,"С-8 ком")+SUMIFS('Таблиця 1'!$K:$K,'Таблиця 1'!$B:$B,$A165,'Таблиця 1'!$I:$I,"Mi-24",'Таблиця 1'!$J:$J,"С-8 ком"))</f>
        <v/>
      </c>
      <c r="G165">
        <f>IF($A165="","",SUMIFS('Таблиця 1'!$K:$K,'Таблиця 1'!$B:$B,$A165,'Таблиця 1'!$I:$I,"Mi-8",'Таблиця 1'!$J:$J,"PC-80")+SUMIFS('Таблиця 1'!$K:$K,'Таблиця 1'!$B:$B,$A165,'Таблиця 1'!$I:$I,"Mi-24",'Таблиця 1'!$J:$J,"PC-80"))</f>
        <v/>
      </c>
      <c r="H165">
        <f>IF($A165="","",SUMIFS('Таблиця 1'!$K:$K,'Таблиця 1'!$B:$B,$A165,'Таблиця 1'!$I:$I,"Mi-8",'Таблиця 1'!$J:$J,"UAR-80")+SUMIFS('Таблиця 1'!$K:$K,'Таблиця 1'!$B:$B,$A165,'Таблиця 1'!$I:$I,"Mi-24",'Таблиця 1'!$J:$J,"UAR-80"))</f>
        <v/>
      </c>
      <c r="I165">
        <f>IF($A165="","",SUMIFS('Таблиця 1'!$K:$K,'Таблиця 1'!$B:$B,$A165,'Таблиця 1'!$I:$I,"Mi-8",'Таблиця 1'!$J:$J,"C-13")+SUMIFS('Таблиця 1'!$K:$K,'Таблиця 1'!$B:$B,$A165,'Таблиця 1'!$I:$I,"Mi-24",'Таблиця 1'!$J:$J,"C-13"))</f>
        <v/>
      </c>
      <c r="J165">
        <f>IF($A165="","",SUMIFS('Таблиця 1'!$K:$K,'Таблиця 1'!$B:$B,$A165,'Таблиця 1'!$I:$I,"Mi-8",'Таблиця 1'!$J:$J,"Hydra-70")+SUMIFS('Таблиця 1'!$K:$K,'Таблиця 1'!$B:$B,$A165,'Таблиця 1'!$I:$I,"Mi-24",'Таблиця 1'!$J:$J,"Hydra-70"))</f>
        <v/>
      </c>
      <c r="K165">
        <f>IF($A165="","",SUMIFS('Таблиця 1'!$K:$K,'Таблиця 1'!$B:$B,$A165,'Таблиця 1'!$I:$I,"Mi-8",'Таблиця 1'!$J:$J,"Thales-70")+SUMIFS('Таблиця 1'!$K:$K,'Таблиця 1'!$B:$B,$A165,'Таблиця 1'!$I:$I,"Mi-24",'Таблиця 1'!$J:$J,"Thales-70"))</f>
        <v/>
      </c>
      <c r="L165">
        <f>IF($A165="","",SUMIFS('Таблиця 1'!$K:$K,'Таблиця 1'!$B:$B,$A165,'Таблиця 1'!$I:$I,"Mi-8",'Таблиця 1'!$J:$J,"Thales-FZ")+SUMIFS('Таблиця 1'!$K:$K,'Таблиця 1'!$B:$B,$A165,'Таблиця 1'!$I:$I,"Mi-24",'Таблиця 1'!$J:$J,"Thales-FZ"))</f>
        <v/>
      </c>
      <c r="M165">
        <f>IF($A165="","",SUMIFS('Таблиця 1'!$K:$K,'Таблиця 1'!$B:$B,$A165,'Таблиця 1'!$I:$I,"Mi-8",'Таблиця 1'!$J:$J,"МК-40")+SUMIFS('Таблиця 1'!$K:$K,'Таблиця 1'!$B:$B,$A165,'Таблиця 1'!$I:$I,"Mi-24",'Таблиця 1'!$J:$J,"МК-40"))</f>
        <v/>
      </c>
      <c r="N165">
        <f>IF($A165="","",SUMIFS('Таблиця 1'!$K:$K,'Таблиця 1'!$B:$B,$A165,'Таблиця 1'!$I:$I,"Mi-8",'Таблиця 1'!$J:$J,"Zuni")+SUMIFS('Таблиця 1'!$K:$K,'Таблиця 1'!$B:$B,$A165,'Таблиця 1'!$I:$I,"Mi-24",'Таблиця 1'!$J:$J,"Zuni"))</f>
        <v/>
      </c>
      <c r="O165">
        <f>IF($A165="","",COUNTIFS('Таблиця 1'!$B:$B,$A165,'Таблиця 1'!$I:$I,"Mi-8",'Таблиця 1'!$L:$L,"Уражено")+COUNTIFS('Таблиця 1'!$B:$B,$A165,'Таблиця 1'!$I:$I,"Mi-24",'Таблиця 1'!$L:$L,"Уражено"))</f>
        <v/>
      </c>
      <c r="P165">
        <f>IF($A165="","",COUNTIFS('Таблиця 1'!$B:$B,$A165,'Таблиця 1'!$I:$I,"Mi-8",'Таблиця 1'!$L:$L,"НЕ уражено")+COUNTIFS('Таблиця 1'!$B:$B,$A165,'Таблиця 1'!$I:$I,"Mi-24",'Таблиця 1'!$L:$L,"НЕ уражено"))</f>
        <v/>
      </c>
    </row>
    <row r="166">
      <c r="A166" s="273">
        <f>IF(A165="","",IF(A165+1&gt;MAX('Таблиця 1'!$B:$B),"",A165+1))</f>
        <v/>
      </c>
      <c r="B166">
        <f>IF($A166="","",COUNTIFS('Таблиця 1'!$B:$B,$A166,'Таблиця 1'!$I:$I,"Mi-8")+COUNTIFS('Таблиця 1'!$B:$B,$A166,'Таблиця 1'!$I:$I,"Mi-24"))</f>
        <v/>
      </c>
      <c r="C166">
        <f>IF($A166="","",COUNTIFS('Таблиця 1'!$B:$B,$A166,'Таблиця 1'!$I:$I,"Mi-8"))</f>
        <v/>
      </c>
      <c r="D166">
        <f>IF($A166="","",COUNTIFS('Таблиця 1'!$B:$B,$A166,'Таблиця 1'!$I:$I,"Mi-24"))</f>
        <v/>
      </c>
      <c r="E166">
        <f>IF($A166="","",SUMIFS('Таблиця 1'!$K:$K,'Таблиця 1'!$B:$B,$A166,'Таблиця 1'!$I:$I,"Mi-8",'Таблиця 1'!$J:$J,"ARS-8")+SUMIFS('Таблиця 1'!$K:$K,'Таблиця 1'!$B:$B,$A166,'Таблиця 1'!$I:$I,"Mi-24",'Таблиця 1'!$J:$J,"ARS-8"))</f>
        <v/>
      </c>
      <c r="F166">
        <f>IF($A166="","",SUMIFS('Таблиця 1'!$K:$K,'Таблиця 1'!$B:$B,$A166,'Таблиця 1'!$I:$I,"Mi-8",'Таблиця 1'!$J:$J,"С-8 ком")+SUMIFS('Таблиця 1'!$K:$K,'Таблиця 1'!$B:$B,$A166,'Таблиця 1'!$I:$I,"Mi-24",'Таблиця 1'!$J:$J,"С-8 ком"))</f>
        <v/>
      </c>
      <c r="G166">
        <f>IF($A166="","",SUMIFS('Таблиця 1'!$K:$K,'Таблиця 1'!$B:$B,$A166,'Таблиця 1'!$I:$I,"Mi-8",'Таблиця 1'!$J:$J,"PC-80")+SUMIFS('Таблиця 1'!$K:$K,'Таблиця 1'!$B:$B,$A166,'Таблиця 1'!$I:$I,"Mi-24",'Таблиця 1'!$J:$J,"PC-80"))</f>
        <v/>
      </c>
      <c r="H166">
        <f>IF($A166="","",SUMIFS('Таблиця 1'!$K:$K,'Таблиця 1'!$B:$B,$A166,'Таблиця 1'!$I:$I,"Mi-8",'Таблиця 1'!$J:$J,"UAR-80")+SUMIFS('Таблиця 1'!$K:$K,'Таблиця 1'!$B:$B,$A166,'Таблиця 1'!$I:$I,"Mi-24",'Таблиця 1'!$J:$J,"UAR-80"))</f>
        <v/>
      </c>
      <c r="I166">
        <f>IF($A166="","",SUMIFS('Таблиця 1'!$K:$K,'Таблиця 1'!$B:$B,$A166,'Таблиця 1'!$I:$I,"Mi-8",'Таблиця 1'!$J:$J,"C-13")+SUMIFS('Таблиця 1'!$K:$K,'Таблиця 1'!$B:$B,$A166,'Таблиця 1'!$I:$I,"Mi-24",'Таблиця 1'!$J:$J,"C-13"))</f>
        <v/>
      </c>
      <c r="J166">
        <f>IF($A166="","",SUMIFS('Таблиця 1'!$K:$K,'Таблиця 1'!$B:$B,$A166,'Таблиця 1'!$I:$I,"Mi-8",'Таблиця 1'!$J:$J,"Hydra-70")+SUMIFS('Таблиця 1'!$K:$K,'Таблиця 1'!$B:$B,$A166,'Таблиця 1'!$I:$I,"Mi-24",'Таблиця 1'!$J:$J,"Hydra-70"))</f>
        <v/>
      </c>
      <c r="K166">
        <f>IF($A166="","",SUMIFS('Таблиця 1'!$K:$K,'Таблиця 1'!$B:$B,$A166,'Таблиця 1'!$I:$I,"Mi-8",'Таблиця 1'!$J:$J,"Thales-70")+SUMIFS('Таблиця 1'!$K:$K,'Таблиця 1'!$B:$B,$A166,'Таблиця 1'!$I:$I,"Mi-24",'Таблиця 1'!$J:$J,"Thales-70"))</f>
        <v/>
      </c>
      <c r="L166">
        <f>IF($A166="","",SUMIFS('Таблиця 1'!$K:$K,'Таблиця 1'!$B:$B,$A166,'Таблиця 1'!$I:$I,"Mi-8",'Таблиця 1'!$J:$J,"Thales-FZ")+SUMIFS('Таблиця 1'!$K:$K,'Таблиця 1'!$B:$B,$A166,'Таблиця 1'!$I:$I,"Mi-24",'Таблиця 1'!$J:$J,"Thales-FZ"))</f>
        <v/>
      </c>
      <c r="M166">
        <f>IF($A166="","",SUMIFS('Таблиця 1'!$K:$K,'Таблиця 1'!$B:$B,$A166,'Таблиця 1'!$I:$I,"Mi-8",'Таблиця 1'!$J:$J,"МК-40")+SUMIFS('Таблиця 1'!$K:$K,'Таблиця 1'!$B:$B,$A166,'Таблиця 1'!$I:$I,"Mi-24",'Таблиця 1'!$J:$J,"МК-40"))</f>
        <v/>
      </c>
      <c r="N166">
        <f>IF($A166="","",SUMIFS('Таблиця 1'!$K:$K,'Таблиця 1'!$B:$B,$A166,'Таблиця 1'!$I:$I,"Mi-8",'Таблиця 1'!$J:$J,"Zuni")+SUMIFS('Таблиця 1'!$K:$K,'Таблиця 1'!$B:$B,$A166,'Таблиця 1'!$I:$I,"Mi-24",'Таблиця 1'!$J:$J,"Zuni"))</f>
        <v/>
      </c>
      <c r="O166">
        <f>IF($A166="","",COUNTIFS('Таблиця 1'!$B:$B,$A166,'Таблиця 1'!$I:$I,"Mi-8",'Таблиця 1'!$L:$L,"Уражено")+COUNTIFS('Таблиця 1'!$B:$B,$A166,'Таблиця 1'!$I:$I,"Mi-24",'Таблиця 1'!$L:$L,"Уражено"))</f>
        <v/>
      </c>
      <c r="P166">
        <f>IF($A166="","",COUNTIFS('Таблиця 1'!$B:$B,$A166,'Таблиця 1'!$I:$I,"Mi-8",'Таблиця 1'!$L:$L,"НЕ уражено")+COUNTIFS('Таблиця 1'!$B:$B,$A166,'Таблиця 1'!$I:$I,"Mi-24",'Таблиця 1'!$L:$L,"НЕ уражено"))</f>
        <v/>
      </c>
    </row>
    <row r="167">
      <c r="A167" s="273">
        <f>IF(A166="","",IF(A166+1&gt;MAX('Таблиця 1'!$B:$B),"",A166+1))</f>
        <v/>
      </c>
      <c r="B167">
        <f>IF($A167="","",COUNTIFS('Таблиця 1'!$B:$B,$A167,'Таблиця 1'!$I:$I,"Mi-8")+COUNTIFS('Таблиця 1'!$B:$B,$A167,'Таблиця 1'!$I:$I,"Mi-24"))</f>
        <v/>
      </c>
      <c r="C167">
        <f>IF($A167="","",COUNTIFS('Таблиця 1'!$B:$B,$A167,'Таблиця 1'!$I:$I,"Mi-8"))</f>
        <v/>
      </c>
      <c r="D167">
        <f>IF($A167="","",COUNTIFS('Таблиця 1'!$B:$B,$A167,'Таблиця 1'!$I:$I,"Mi-24"))</f>
        <v/>
      </c>
      <c r="E167">
        <f>IF($A167="","",SUMIFS('Таблиця 1'!$K:$K,'Таблиця 1'!$B:$B,$A167,'Таблиця 1'!$I:$I,"Mi-8",'Таблиця 1'!$J:$J,"ARS-8")+SUMIFS('Таблиця 1'!$K:$K,'Таблиця 1'!$B:$B,$A167,'Таблиця 1'!$I:$I,"Mi-24",'Таблиця 1'!$J:$J,"ARS-8"))</f>
        <v/>
      </c>
      <c r="F167">
        <f>IF($A167="","",SUMIFS('Таблиця 1'!$K:$K,'Таблиця 1'!$B:$B,$A167,'Таблиця 1'!$I:$I,"Mi-8",'Таблиця 1'!$J:$J,"С-8 ком")+SUMIFS('Таблиця 1'!$K:$K,'Таблиця 1'!$B:$B,$A167,'Таблиця 1'!$I:$I,"Mi-24",'Таблиця 1'!$J:$J,"С-8 ком"))</f>
        <v/>
      </c>
      <c r="G167">
        <f>IF($A167="","",SUMIFS('Таблиця 1'!$K:$K,'Таблиця 1'!$B:$B,$A167,'Таблиця 1'!$I:$I,"Mi-8",'Таблиця 1'!$J:$J,"PC-80")+SUMIFS('Таблиця 1'!$K:$K,'Таблиця 1'!$B:$B,$A167,'Таблиця 1'!$I:$I,"Mi-24",'Таблиця 1'!$J:$J,"PC-80"))</f>
        <v/>
      </c>
      <c r="H167">
        <f>IF($A167="","",SUMIFS('Таблиця 1'!$K:$K,'Таблиця 1'!$B:$B,$A167,'Таблиця 1'!$I:$I,"Mi-8",'Таблиця 1'!$J:$J,"UAR-80")+SUMIFS('Таблиця 1'!$K:$K,'Таблиця 1'!$B:$B,$A167,'Таблиця 1'!$I:$I,"Mi-24",'Таблиця 1'!$J:$J,"UAR-80"))</f>
        <v/>
      </c>
      <c r="I167">
        <f>IF($A167="","",SUMIFS('Таблиця 1'!$K:$K,'Таблиця 1'!$B:$B,$A167,'Таблиця 1'!$I:$I,"Mi-8",'Таблиця 1'!$J:$J,"C-13")+SUMIFS('Таблиця 1'!$K:$K,'Таблиця 1'!$B:$B,$A167,'Таблиця 1'!$I:$I,"Mi-24",'Таблиця 1'!$J:$J,"C-13"))</f>
        <v/>
      </c>
      <c r="J167">
        <f>IF($A167="","",SUMIFS('Таблиця 1'!$K:$K,'Таблиця 1'!$B:$B,$A167,'Таблиця 1'!$I:$I,"Mi-8",'Таблиця 1'!$J:$J,"Hydra-70")+SUMIFS('Таблиця 1'!$K:$K,'Таблиця 1'!$B:$B,$A167,'Таблиця 1'!$I:$I,"Mi-24",'Таблиця 1'!$J:$J,"Hydra-70"))</f>
        <v/>
      </c>
      <c r="K167">
        <f>IF($A167="","",SUMIFS('Таблиця 1'!$K:$K,'Таблиця 1'!$B:$B,$A167,'Таблиця 1'!$I:$I,"Mi-8",'Таблиця 1'!$J:$J,"Thales-70")+SUMIFS('Таблиця 1'!$K:$K,'Таблиця 1'!$B:$B,$A167,'Таблиця 1'!$I:$I,"Mi-24",'Таблиця 1'!$J:$J,"Thales-70"))</f>
        <v/>
      </c>
      <c r="L167">
        <f>IF($A167="","",SUMIFS('Таблиця 1'!$K:$K,'Таблиця 1'!$B:$B,$A167,'Таблиця 1'!$I:$I,"Mi-8",'Таблиця 1'!$J:$J,"Thales-FZ")+SUMIFS('Таблиця 1'!$K:$K,'Таблиця 1'!$B:$B,$A167,'Таблиця 1'!$I:$I,"Mi-24",'Таблиця 1'!$J:$J,"Thales-FZ"))</f>
        <v/>
      </c>
      <c r="M167">
        <f>IF($A167="","",SUMIFS('Таблиця 1'!$K:$K,'Таблиця 1'!$B:$B,$A167,'Таблиця 1'!$I:$I,"Mi-8",'Таблиця 1'!$J:$J,"МК-40")+SUMIFS('Таблиця 1'!$K:$K,'Таблиця 1'!$B:$B,$A167,'Таблиця 1'!$I:$I,"Mi-24",'Таблиця 1'!$J:$J,"МК-40"))</f>
        <v/>
      </c>
      <c r="N167">
        <f>IF($A167="","",SUMIFS('Таблиця 1'!$K:$K,'Таблиця 1'!$B:$B,$A167,'Таблиця 1'!$I:$I,"Mi-8",'Таблиця 1'!$J:$J,"Zuni")+SUMIFS('Таблиця 1'!$K:$K,'Таблиця 1'!$B:$B,$A167,'Таблиця 1'!$I:$I,"Mi-24",'Таблиця 1'!$J:$J,"Zuni"))</f>
        <v/>
      </c>
      <c r="O167">
        <f>IF($A167="","",COUNTIFS('Таблиця 1'!$B:$B,$A167,'Таблиця 1'!$I:$I,"Mi-8",'Таблиця 1'!$L:$L,"Уражено")+COUNTIFS('Таблиця 1'!$B:$B,$A167,'Таблиця 1'!$I:$I,"Mi-24",'Таблиця 1'!$L:$L,"Уражено"))</f>
        <v/>
      </c>
      <c r="P167">
        <f>IF($A167="","",COUNTIFS('Таблиця 1'!$B:$B,$A167,'Таблиця 1'!$I:$I,"Mi-8",'Таблиця 1'!$L:$L,"НЕ уражено")+COUNTIFS('Таблиця 1'!$B:$B,$A167,'Таблиця 1'!$I:$I,"Mi-24",'Таблиця 1'!$L:$L,"НЕ уражено"))</f>
        <v/>
      </c>
    </row>
    <row r="168">
      <c r="A168" s="273">
        <f>IF(A167="","",IF(A167+1&gt;MAX('Таблиця 1'!$B:$B),"",A167+1))</f>
        <v/>
      </c>
      <c r="B168">
        <f>IF($A168="","",COUNTIFS('Таблиця 1'!$B:$B,$A168,'Таблиця 1'!$I:$I,"Mi-8")+COUNTIFS('Таблиця 1'!$B:$B,$A168,'Таблиця 1'!$I:$I,"Mi-24"))</f>
        <v/>
      </c>
      <c r="C168">
        <f>IF($A168="","",COUNTIFS('Таблиця 1'!$B:$B,$A168,'Таблиця 1'!$I:$I,"Mi-8"))</f>
        <v/>
      </c>
      <c r="D168">
        <f>IF($A168="","",COUNTIFS('Таблиця 1'!$B:$B,$A168,'Таблиця 1'!$I:$I,"Mi-24"))</f>
        <v/>
      </c>
      <c r="E168">
        <f>IF($A168="","",SUMIFS('Таблиця 1'!$K:$K,'Таблиця 1'!$B:$B,$A168,'Таблиця 1'!$I:$I,"Mi-8",'Таблиця 1'!$J:$J,"ARS-8")+SUMIFS('Таблиця 1'!$K:$K,'Таблиця 1'!$B:$B,$A168,'Таблиця 1'!$I:$I,"Mi-24",'Таблиця 1'!$J:$J,"ARS-8"))</f>
        <v/>
      </c>
      <c r="F168">
        <f>IF($A168="","",SUMIFS('Таблиця 1'!$K:$K,'Таблиця 1'!$B:$B,$A168,'Таблиця 1'!$I:$I,"Mi-8",'Таблиця 1'!$J:$J,"С-8 ком")+SUMIFS('Таблиця 1'!$K:$K,'Таблиця 1'!$B:$B,$A168,'Таблиця 1'!$I:$I,"Mi-24",'Таблиця 1'!$J:$J,"С-8 ком"))</f>
        <v/>
      </c>
      <c r="G168">
        <f>IF($A168="","",SUMIFS('Таблиця 1'!$K:$K,'Таблиця 1'!$B:$B,$A168,'Таблиця 1'!$I:$I,"Mi-8",'Таблиця 1'!$J:$J,"PC-80")+SUMIFS('Таблиця 1'!$K:$K,'Таблиця 1'!$B:$B,$A168,'Таблиця 1'!$I:$I,"Mi-24",'Таблиця 1'!$J:$J,"PC-80"))</f>
        <v/>
      </c>
      <c r="H168">
        <f>IF($A168="","",SUMIFS('Таблиця 1'!$K:$K,'Таблиця 1'!$B:$B,$A168,'Таблиця 1'!$I:$I,"Mi-8",'Таблиця 1'!$J:$J,"UAR-80")+SUMIFS('Таблиця 1'!$K:$K,'Таблиця 1'!$B:$B,$A168,'Таблиця 1'!$I:$I,"Mi-24",'Таблиця 1'!$J:$J,"UAR-80"))</f>
        <v/>
      </c>
      <c r="I168">
        <f>IF($A168="","",SUMIFS('Таблиця 1'!$K:$K,'Таблиця 1'!$B:$B,$A168,'Таблиця 1'!$I:$I,"Mi-8",'Таблиця 1'!$J:$J,"C-13")+SUMIFS('Таблиця 1'!$K:$K,'Таблиця 1'!$B:$B,$A168,'Таблиця 1'!$I:$I,"Mi-24",'Таблиця 1'!$J:$J,"C-13"))</f>
        <v/>
      </c>
      <c r="J168">
        <f>IF($A168="","",SUMIFS('Таблиця 1'!$K:$K,'Таблиця 1'!$B:$B,$A168,'Таблиця 1'!$I:$I,"Mi-8",'Таблиця 1'!$J:$J,"Hydra-70")+SUMIFS('Таблиця 1'!$K:$K,'Таблиця 1'!$B:$B,$A168,'Таблиця 1'!$I:$I,"Mi-24",'Таблиця 1'!$J:$J,"Hydra-70"))</f>
        <v/>
      </c>
      <c r="K168">
        <f>IF($A168="","",SUMIFS('Таблиця 1'!$K:$K,'Таблиця 1'!$B:$B,$A168,'Таблиця 1'!$I:$I,"Mi-8",'Таблиця 1'!$J:$J,"Thales-70")+SUMIFS('Таблиця 1'!$K:$K,'Таблиця 1'!$B:$B,$A168,'Таблиця 1'!$I:$I,"Mi-24",'Таблиця 1'!$J:$J,"Thales-70"))</f>
        <v/>
      </c>
      <c r="L168">
        <f>IF($A168="","",SUMIFS('Таблиця 1'!$K:$K,'Таблиця 1'!$B:$B,$A168,'Таблиця 1'!$I:$I,"Mi-8",'Таблиця 1'!$J:$J,"Thales-FZ")+SUMIFS('Таблиця 1'!$K:$K,'Таблиця 1'!$B:$B,$A168,'Таблиця 1'!$I:$I,"Mi-24",'Таблиця 1'!$J:$J,"Thales-FZ"))</f>
        <v/>
      </c>
      <c r="M168">
        <f>IF($A168="","",SUMIFS('Таблиця 1'!$K:$K,'Таблиця 1'!$B:$B,$A168,'Таблиця 1'!$I:$I,"Mi-8",'Таблиця 1'!$J:$J,"МК-40")+SUMIFS('Таблиця 1'!$K:$K,'Таблиця 1'!$B:$B,$A168,'Таблиця 1'!$I:$I,"Mi-24",'Таблиця 1'!$J:$J,"МК-40"))</f>
        <v/>
      </c>
      <c r="N168">
        <f>IF($A168="","",SUMIFS('Таблиця 1'!$K:$K,'Таблиця 1'!$B:$B,$A168,'Таблиця 1'!$I:$I,"Mi-8",'Таблиця 1'!$J:$J,"Zuni")+SUMIFS('Таблиця 1'!$K:$K,'Таблиця 1'!$B:$B,$A168,'Таблиця 1'!$I:$I,"Mi-24",'Таблиця 1'!$J:$J,"Zuni"))</f>
        <v/>
      </c>
      <c r="O168">
        <f>IF($A168="","",COUNTIFS('Таблиця 1'!$B:$B,$A168,'Таблиця 1'!$I:$I,"Mi-8",'Таблиця 1'!$L:$L,"Уражено")+COUNTIFS('Таблиця 1'!$B:$B,$A168,'Таблиця 1'!$I:$I,"Mi-24",'Таблиця 1'!$L:$L,"Уражено"))</f>
        <v/>
      </c>
      <c r="P168">
        <f>IF($A168="","",COUNTIFS('Таблиця 1'!$B:$B,$A168,'Таблиця 1'!$I:$I,"Mi-8",'Таблиця 1'!$L:$L,"НЕ уражено")+COUNTIFS('Таблиця 1'!$B:$B,$A168,'Таблиця 1'!$I:$I,"Mi-24",'Таблиця 1'!$L:$L,"НЕ уражено"))</f>
        <v/>
      </c>
    </row>
    <row r="169">
      <c r="A169" s="273">
        <f>IF(A168="","",IF(A168+1&gt;MAX('Таблиця 1'!$B:$B),"",A168+1))</f>
        <v/>
      </c>
      <c r="B169">
        <f>IF($A169="","",COUNTIFS('Таблиця 1'!$B:$B,$A169,'Таблиця 1'!$I:$I,"Mi-8")+COUNTIFS('Таблиця 1'!$B:$B,$A169,'Таблиця 1'!$I:$I,"Mi-24"))</f>
        <v/>
      </c>
      <c r="C169">
        <f>IF($A169="","",COUNTIFS('Таблиця 1'!$B:$B,$A169,'Таблиця 1'!$I:$I,"Mi-8"))</f>
        <v/>
      </c>
      <c r="D169">
        <f>IF($A169="","",COUNTIFS('Таблиця 1'!$B:$B,$A169,'Таблиця 1'!$I:$I,"Mi-24"))</f>
        <v/>
      </c>
      <c r="E169">
        <f>IF($A169="","",SUMIFS('Таблиця 1'!$K:$K,'Таблиця 1'!$B:$B,$A169,'Таблиця 1'!$I:$I,"Mi-8",'Таблиця 1'!$J:$J,"ARS-8")+SUMIFS('Таблиця 1'!$K:$K,'Таблиця 1'!$B:$B,$A169,'Таблиця 1'!$I:$I,"Mi-24",'Таблиця 1'!$J:$J,"ARS-8"))</f>
        <v/>
      </c>
      <c r="F169">
        <f>IF($A169="","",SUMIFS('Таблиця 1'!$K:$K,'Таблиця 1'!$B:$B,$A169,'Таблиця 1'!$I:$I,"Mi-8",'Таблиця 1'!$J:$J,"С-8 ком")+SUMIFS('Таблиця 1'!$K:$K,'Таблиця 1'!$B:$B,$A169,'Таблиця 1'!$I:$I,"Mi-24",'Таблиця 1'!$J:$J,"С-8 ком"))</f>
        <v/>
      </c>
      <c r="G169">
        <f>IF($A169="","",SUMIFS('Таблиця 1'!$K:$K,'Таблиця 1'!$B:$B,$A169,'Таблиця 1'!$I:$I,"Mi-8",'Таблиця 1'!$J:$J,"PC-80")+SUMIFS('Таблиця 1'!$K:$K,'Таблиця 1'!$B:$B,$A169,'Таблиця 1'!$I:$I,"Mi-24",'Таблиця 1'!$J:$J,"PC-80"))</f>
        <v/>
      </c>
      <c r="H169">
        <f>IF($A169="","",SUMIFS('Таблиця 1'!$K:$K,'Таблиця 1'!$B:$B,$A169,'Таблиця 1'!$I:$I,"Mi-8",'Таблиця 1'!$J:$J,"UAR-80")+SUMIFS('Таблиця 1'!$K:$K,'Таблиця 1'!$B:$B,$A169,'Таблиця 1'!$I:$I,"Mi-24",'Таблиця 1'!$J:$J,"UAR-80"))</f>
        <v/>
      </c>
      <c r="I169">
        <f>IF($A169="","",SUMIFS('Таблиця 1'!$K:$K,'Таблиця 1'!$B:$B,$A169,'Таблиця 1'!$I:$I,"Mi-8",'Таблиця 1'!$J:$J,"C-13")+SUMIFS('Таблиця 1'!$K:$K,'Таблиця 1'!$B:$B,$A169,'Таблиця 1'!$I:$I,"Mi-24",'Таблиця 1'!$J:$J,"C-13"))</f>
        <v/>
      </c>
      <c r="J169">
        <f>IF($A169="","",SUMIFS('Таблиця 1'!$K:$K,'Таблиця 1'!$B:$B,$A169,'Таблиця 1'!$I:$I,"Mi-8",'Таблиця 1'!$J:$J,"Hydra-70")+SUMIFS('Таблиця 1'!$K:$K,'Таблиця 1'!$B:$B,$A169,'Таблиця 1'!$I:$I,"Mi-24",'Таблиця 1'!$J:$J,"Hydra-70"))</f>
        <v/>
      </c>
      <c r="K169">
        <f>IF($A169="","",SUMIFS('Таблиця 1'!$K:$K,'Таблиця 1'!$B:$B,$A169,'Таблиця 1'!$I:$I,"Mi-8",'Таблиця 1'!$J:$J,"Thales-70")+SUMIFS('Таблиця 1'!$K:$K,'Таблиця 1'!$B:$B,$A169,'Таблиця 1'!$I:$I,"Mi-24",'Таблиця 1'!$J:$J,"Thales-70"))</f>
        <v/>
      </c>
      <c r="L169">
        <f>IF($A169="","",SUMIFS('Таблиця 1'!$K:$K,'Таблиця 1'!$B:$B,$A169,'Таблиця 1'!$I:$I,"Mi-8",'Таблиця 1'!$J:$J,"Thales-FZ")+SUMIFS('Таблиця 1'!$K:$K,'Таблиця 1'!$B:$B,$A169,'Таблиця 1'!$I:$I,"Mi-24",'Таблиця 1'!$J:$J,"Thales-FZ"))</f>
        <v/>
      </c>
      <c r="M169">
        <f>IF($A169="","",SUMIFS('Таблиця 1'!$K:$K,'Таблиця 1'!$B:$B,$A169,'Таблиця 1'!$I:$I,"Mi-8",'Таблиця 1'!$J:$J,"МК-40")+SUMIFS('Таблиця 1'!$K:$K,'Таблиця 1'!$B:$B,$A169,'Таблиця 1'!$I:$I,"Mi-24",'Таблиця 1'!$J:$J,"МК-40"))</f>
        <v/>
      </c>
      <c r="N169">
        <f>IF($A169="","",SUMIFS('Таблиця 1'!$K:$K,'Таблиця 1'!$B:$B,$A169,'Таблиця 1'!$I:$I,"Mi-8",'Таблиця 1'!$J:$J,"Zuni")+SUMIFS('Таблиця 1'!$K:$K,'Таблиця 1'!$B:$B,$A169,'Таблиця 1'!$I:$I,"Mi-24",'Таблиця 1'!$J:$J,"Zuni"))</f>
        <v/>
      </c>
      <c r="O169">
        <f>IF($A169="","",COUNTIFS('Таблиця 1'!$B:$B,$A169,'Таблиця 1'!$I:$I,"Mi-8",'Таблиця 1'!$L:$L,"Уражено")+COUNTIFS('Таблиця 1'!$B:$B,$A169,'Таблиця 1'!$I:$I,"Mi-24",'Таблиця 1'!$L:$L,"Уражено"))</f>
        <v/>
      </c>
      <c r="P169">
        <f>IF($A169="","",COUNTIFS('Таблиця 1'!$B:$B,$A169,'Таблиця 1'!$I:$I,"Mi-8",'Таблиця 1'!$L:$L,"НЕ уражено")+COUNTIFS('Таблиця 1'!$B:$B,$A169,'Таблиця 1'!$I:$I,"Mi-24",'Таблиця 1'!$L:$L,"НЕ уражено"))</f>
        <v/>
      </c>
    </row>
    <row r="170">
      <c r="A170" s="273">
        <f>IF(A169="","",IF(A169+1&gt;MAX('Таблиця 1'!$B:$B),"",A169+1))</f>
        <v/>
      </c>
      <c r="B170">
        <f>IF($A170="","",COUNTIFS('Таблиця 1'!$B:$B,$A170,'Таблиця 1'!$I:$I,"Mi-8")+COUNTIFS('Таблиця 1'!$B:$B,$A170,'Таблиця 1'!$I:$I,"Mi-24"))</f>
        <v/>
      </c>
      <c r="C170">
        <f>IF($A170="","",COUNTIFS('Таблиця 1'!$B:$B,$A170,'Таблиця 1'!$I:$I,"Mi-8"))</f>
        <v/>
      </c>
      <c r="D170">
        <f>IF($A170="","",COUNTIFS('Таблиця 1'!$B:$B,$A170,'Таблиця 1'!$I:$I,"Mi-24"))</f>
        <v/>
      </c>
      <c r="E170">
        <f>IF($A170="","",SUMIFS('Таблиця 1'!$K:$K,'Таблиця 1'!$B:$B,$A170,'Таблиця 1'!$I:$I,"Mi-8",'Таблиця 1'!$J:$J,"ARS-8")+SUMIFS('Таблиця 1'!$K:$K,'Таблиця 1'!$B:$B,$A170,'Таблиця 1'!$I:$I,"Mi-24",'Таблиця 1'!$J:$J,"ARS-8"))</f>
        <v/>
      </c>
      <c r="F170">
        <f>IF($A170="","",SUMIFS('Таблиця 1'!$K:$K,'Таблиця 1'!$B:$B,$A170,'Таблиця 1'!$I:$I,"Mi-8",'Таблиця 1'!$J:$J,"С-8 ком")+SUMIFS('Таблиця 1'!$K:$K,'Таблиця 1'!$B:$B,$A170,'Таблиця 1'!$I:$I,"Mi-24",'Таблиця 1'!$J:$J,"С-8 ком"))</f>
        <v/>
      </c>
      <c r="G170">
        <f>IF($A170="","",SUMIFS('Таблиця 1'!$K:$K,'Таблиця 1'!$B:$B,$A170,'Таблиця 1'!$I:$I,"Mi-8",'Таблиця 1'!$J:$J,"PC-80")+SUMIFS('Таблиця 1'!$K:$K,'Таблиця 1'!$B:$B,$A170,'Таблиця 1'!$I:$I,"Mi-24",'Таблиця 1'!$J:$J,"PC-80"))</f>
        <v/>
      </c>
      <c r="H170">
        <f>IF($A170="","",SUMIFS('Таблиця 1'!$K:$K,'Таблиця 1'!$B:$B,$A170,'Таблиця 1'!$I:$I,"Mi-8",'Таблиця 1'!$J:$J,"UAR-80")+SUMIFS('Таблиця 1'!$K:$K,'Таблиця 1'!$B:$B,$A170,'Таблиця 1'!$I:$I,"Mi-24",'Таблиця 1'!$J:$J,"UAR-80"))</f>
        <v/>
      </c>
      <c r="I170">
        <f>IF($A170="","",SUMIFS('Таблиця 1'!$K:$K,'Таблиця 1'!$B:$B,$A170,'Таблиця 1'!$I:$I,"Mi-8",'Таблиця 1'!$J:$J,"C-13")+SUMIFS('Таблиця 1'!$K:$K,'Таблиця 1'!$B:$B,$A170,'Таблиця 1'!$I:$I,"Mi-24",'Таблиця 1'!$J:$J,"C-13"))</f>
        <v/>
      </c>
      <c r="J170">
        <f>IF($A170="","",SUMIFS('Таблиця 1'!$K:$K,'Таблиця 1'!$B:$B,$A170,'Таблиця 1'!$I:$I,"Mi-8",'Таблиця 1'!$J:$J,"Hydra-70")+SUMIFS('Таблиця 1'!$K:$K,'Таблиця 1'!$B:$B,$A170,'Таблиця 1'!$I:$I,"Mi-24",'Таблиця 1'!$J:$J,"Hydra-70"))</f>
        <v/>
      </c>
      <c r="K170">
        <f>IF($A170="","",SUMIFS('Таблиця 1'!$K:$K,'Таблиця 1'!$B:$B,$A170,'Таблиця 1'!$I:$I,"Mi-8",'Таблиця 1'!$J:$J,"Thales-70")+SUMIFS('Таблиця 1'!$K:$K,'Таблиця 1'!$B:$B,$A170,'Таблиця 1'!$I:$I,"Mi-24",'Таблиця 1'!$J:$J,"Thales-70"))</f>
        <v/>
      </c>
      <c r="L170">
        <f>IF($A170="","",SUMIFS('Таблиця 1'!$K:$K,'Таблиця 1'!$B:$B,$A170,'Таблиця 1'!$I:$I,"Mi-8",'Таблиця 1'!$J:$J,"Thales-FZ")+SUMIFS('Таблиця 1'!$K:$K,'Таблиця 1'!$B:$B,$A170,'Таблиця 1'!$I:$I,"Mi-24",'Таблиця 1'!$J:$J,"Thales-FZ"))</f>
        <v/>
      </c>
      <c r="M170">
        <f>IF($A170="","",SUMIFS('Таблиця 1'!$K:$K,'Таблиця 1'!$B:$B,$A170,'Таблиця 1'!$I:$I,"Mi-8",'Таблиця 1'!$J:$J,"МК-40")+SUMIFS('Таблиця 1'!$K:$K,'Таблиця 1'!$B:$B,$A170,'Таблиця 1'!$I:$I,"Mi-24",'Таблиця 1'!$J:$J,"МК-40"))</f>
        <v/>
      </c>
      <c r="N170">
        <f>IF($A170="","",SUMIFS('Таблиця 1'!$K:$K,'Таблиця 1'!$B:$B,$A170,'Таблиця 1'!$I:$I,"Mi-8",'Таблиця 1'!$J:$J,"Zuni")+SUMIFS('Таблиця 1'!$K:$K,'Таблиця 1'!$B:$B,$A170,'Таблиця 1'!$I:$I,"Mi-24",'Таблиця 1'!$J:$J,"Zuni"))</f>
        <v/>
      </c>
      <c r="O170">
        <f>IF($A170="","",COUNTIFS('Таблиця 1'!$B:$B,$A170,'Таблиця 1'!$I:$I,"Mi-8",'Таблиця 1'!$L:$L,"Уражено")+COUNTIFS('Таблиця 1'!$B:$B,$A170,'Таблиця 1'!$I:$I,"Mi-24",'Таблиця 1'!$L:$L,"Уражено"))</f>
        <v/>
      </c>
      <c r="P170">
        <f>IF($A170="","",COUNTIFS('Таблиця 1'!$B:$B,$A170,'Таблиця 1'!$I:$I,"Mi-8",'Таблиця 1'!$L:$L,"НЕ уражено")+COUNTIFS('Таблиця 1'!$B:$B,$A170,'Таблиця 1'!$I:$I,"Mi-24",'Таблиця 1'!$L:$L,"НЕ уражено"))</f>
        <v/>
      </c>
    </row>
    <row r="171">
      <c r="A171" s="273">
        <f>IF(A170="","",IF(A170+1&gt;MAX('Таблиця 1'!$B:$B),"",A170+1))</f>
        <v/>
      </c>
      <c r="B171">
        <f>IF($A171="","",COUNTIFS('Таблиця 1'!$B:$B,$A171,'Таблиця 1'!$I:$I,"Mi-8")+COUNTIFS('Таблиця 1'!$B:$B,$A171,'Таблиця 1'!$I:$I,"Mi-24"))</f>
        <v/>
      </c>
      <c r="C171">
        <f>IF($A171="","",COUNTIFS('Таблиця 1'!$B:$B,$A171,'Таблиця 1'!$I:$I,"Mi-8"))</f>
        <v/>
      </c>
      <c r="D171">
        <f>IF($A171="","",COUNTIFS('Таблиця 1'!$B:$B,$A171,'Таблиця 1'!$I:$I,"Mi-24"))</f>
        <v/>
      </c>
      <c r="E171">
        <f>IF($A171="","",SUMIFS('Таблиця 1'!$K:$K,'Таблиця 1'!$B:$B,$A171,'Таблиця 1'!$I:$I,"Mi-8",'Таблиця 1'!$J:$J,"ARS-8")+SUMIFS('Таблиця 1'!$K:$K,'Таблиця 1'!$B:$B,$A171,'Таблиця 1'!$I:$I,"Mi-24",'Таблиця 1'!$J:$J,"ARS-8"))</f>
        <v/>
      </c>
      <c r="F171">
        <f>IF($A171="","",SUMIFS('Таблиця 1'!$K:$K,'Таблиця 1'!$B:$B,$A171,'Таблиця 1'!$I:$I,"Mi-8",'Таблиця 1'!$J:$J,"С-8 ком")+SUMIFS('Таблиця 1'!$K:$K,'Таблиця 1'!$B:$B,$A171,'Таблиця 1'!$I:$I,"Mi-24",'Таблиця 1'!$J:$J,"С-8 ком"))</f>
        <v/>
      </c>
      <c r="G171">
        <f>IF($A171="","",SUMIFS('Таблиця 1'!$K:$K,'Таблиця 1'!$B:$B,$A171,'Таблиця 1'!$I:$I,"Mi-8",'Таблиця 1'!$J:$J,"PC-80")+SUMIFS('Таблиця 1'!$K:$K,'Таблиця 1'!$B:$B,$A171,'Таблиця 1'!$I:$I,"Mi-24",'Таблиця 1'!$J:$J,"PC-80"))</f>
        <v/>
      </c>
      <c r="H171">
        <f>IF($A171="","",SUMIFS('Таблиця 1'!$K:$K,'Таблиця 1'!$B:$B,$A171,'Таблиця 1'!$I:$I,"Mi-8",'Таблиця 1'!$J:$J,"UAR-80")+SUMIFS('Таблиця 1'!$K:$K,'Таблиця 1'!$B:$B,$A171,'Таблиця 1'!$I:$I,"Mi-24",'Таблиця 1'!$J:$J,"UAR-80"))</f>
        <v/>
      </c>
      <c r="I171">
        <f>IF($A171="","",SUMIFS('Таблиця 1'!$K:$K,'Таблиця 1'!$B:$B,$A171,'Таблиця 1'!$I:$I,"Mi-8",'Таблиця 1'!$J:$J,"C-13")+SUMIFS('Таблиця 1'!$K:$K,'Таблиця 1'!$B:$B,$A171,'Таблиця 1'!$I:$I,"Mi-24",'Таблиця 1'!$J:$J,"C-13"))</f>
        <v/>
      </c>
      <c r="J171">
        <f>IF($A171="","",SUMIFS('Таблиця 1'!$K:$K,'Таблиця 1'!$B:$B,$A171,'Таблиця 1'!$I:$I,"Mi-8",'Таблиця 1'!$J:$J,"Hydra-70")+SUMIFS('Таблиця 1'!$K:$K,'Таблиця 1'!$B:$B,$A171,'Таблиця 1'!$I:$I,"Mi-24",'Таблиця 1'!$J:$J,"Hydra-70"))</f>
        <v/>
      </c>
      <c r="K171">
        <f>IF($A171="","",SUMIFS('Таблиця 1'!$K:$K,'Таблиця 1'!$B:$B,$A171,'Таблиця 1'!$I:$I,"Mi-8",'Таблиця 1'!$J:$J,"Thales-70")+SUMIFS('Таблиця 1'!$K:$K,'Таблиця 1'!$B:$B,$A171,'Таблиця 1'!$I:$I,"Mi-24",'Таблиця 1'!$J:$J,"Thales-70"))</f>
        <v/>
      </c>
      <c r="L171">
        <f>IF($A171="","",SUMIFS('Таблиця 1'!$K:$K,'Таблиця 1'!$B:$B,$A171,'Таблиця 1'!$I:$I,"Mi-8",'Таблиця 1'!$J:$J,"Thales-FZ")+SUMIFS('Таблиця 1'!$K:$K,'Таблиця 1'!$B:$B,$A171,'Таблиця 1'!$I:$I,"Mi-24",'Таблиця 1'!$J:$J,"Thales-FZ"))</f>
        <v/>
      </c>
      <c r="M171">
        <f>IF($A171="","",SUMIFS('Таблиця 1'!$K:$K,'Таблиця 1'!$B:$B,$A171,'Таблиця 1'!$I:$I,"Mi-8",'Таблиця 1'!$J:$J,"МК-40")+SUMIFS('Таблиця 1'!$K:$K,'Таблиця 1'!$B:$B,$A171,'Таблиця 1'!$I:$I,"Mi-24",'Таблиця 1'!$J:$J,"МК-40"))</f>
        <v/>
      </c>
      <c r="N171">
        <f>IF($A171="","",SUMIFS('Таблиця 1'!$K:$K,'Таблиця 1'!$B:$B,$A171,'Таблиця 1'!$I:$I,"Mi-8",'Таблиця 1'!$J:$J,"Zuni")+SUMIFS('Таблиця 1'!$K:$K,'Таблиця 1'!$B:$B,$A171,'Таблиця 1'!$I:$I,"Mi-24",'Таблиця 1'!$J:$J,"Zuni"))</f>
        <v/>
      </c>
      <c r="O171">
        <f>IF($A171="","",COUNTIFS('Таблиця 1'!$B:$B,$A171,'Таблиця 1'!$I:$I,"Mi-8",'Таблиця 1'!$L:$L,"Уражено")+COUNTIFS('Таблиця 1'!$B:$B,$A171,'Таблиця 1'!$I:$I,"Mi-24",'Таблиця 1'!$L:$L,"Уражено"))</f>
        <v/>
      </c>
      <c r="P171">
        <f>IF($A171="","",COUNTIFS('Таблиця 1'!$B:$B,$A171,'Таблиця 1'!$I:$I,"Mi-8",'Таблиця 1'!$L:$L,"НЕ уражено")+COUNTIFS('Таблиця 1'!$B:$B,$A171,'Таблиця 1'!$I:$I,"Mi-24",'Таблиця 1'!$L:$L,"НЕ уражено"))</f>
        <v/>
      </c>
    </row>
    <row r="172">
      <c r="A172" s="273">
        <f>IF(A171="","",IF(A171+1&gt;MAX('Таблиця 1'!$B:$B),"",A171+1))</f>
        <v/>
      </c>
      <c r="B172">
        <f>IF($A172="","",COUNTIFS('Таблиця 1'!$B:$B,$A172,'Таблиця 1'!$I:$I,"Mi-8")+COUNTIFS('Таблиця 1'!$B:$B,$A172,'Таблиця 1'!$I:$I,"Mi-24"))</f>
        <v/>
      </c>
      <c r="C172">
        <f>IF($A172="","",COUNTIFS('Таблиця 1'!$B:$B,$A172,'Таблиця 1'!$I:$I,"Mi-8"))</f>
        <v/>
      </c>
      <c r="D172">
        <f>IF($A172="","",COUNTIFS('Таблиця 1'!$B:$B,$A172,'Таблиця 1'!$I:$I,"Mi-24"))</f>
        <v/>
      </c>
      <c r="E172">
        <f>IF($A172="","",SUMIFS('Таблиця 1'!$K:$K,'Таблиця 1'!$B:$B,$A172,'Таблиця 1'!$I:$I,"Mi-8",'Таблиця 1'!$J:$J,"ARS-8")+SUMIFS('Таблиця 1'!$K:$K,'Таблиця 1'!$B:$B,$A172,'Таблиця 1'!$I:$I,"Mi-24",'Таблиця 1'!$J:$J,"ARS-8"))</f>
        <v/>
      </c>
      <c r="F172">
        <f>IF($A172="","",SUMIFS('Таблиця 1'!$K:$K,'Таблиця 1'!$B:$B,$A172,'Таблиця 1'!$I:$I,"Mi-8",'Таблиця 1'!$J:$J,"С-8 ком")+SUMIFS('Таблиця 1'!$K:$K,'Таблиця 1'!$B:$B,$A172,'Таблиця 1'!$I:$I,"Mi-24",'Таблиця 1'!$J:$J,"С-8 ком"))</f>
        <v/>
      </c>
      <c r="G172">
        <f>IF($A172="","",SUMIFS('Таблиця 1'!$K:$K,'Таблиця 1'!$B:$B,$A172,'Таблиця 1'!$I:$I,"Mi-8",'Таблиця 1'!$J:$J,"PC-80")+SUMIFS('Таблиця 1'!$K:$K,'Таблиця 1'!$B:$B,$A172,'Таблиця 1'!$I:$I,"Mi-24",'Таблиця 1'!$J:$J,"PC-80"))</f>
        <v/>
      </c>
      <c r="H172">
        <f>IF($A172="","",SUMIFS('Таблиця 1'!$K:$K,'Таблиця 1'!$B:$B,$A172,'Таблиця 1'!$I:$I,"Mi-8",'Таблиця 1'!$J:$J,"UAR-80")+SUMIFS('Таблиця 1'!$K:$K,'Таблиця 1'!$B:$B,$A172,'Таблиця 1'!$I:$I,"Mi-24",'Таблиця 1'!$J:$J,"UAR-80"))</f>
        <v/>
      </c>
      <c r="I172">
        <f>IF($A172="","",SUMIFS('Таблиця 1'!$K:$K,'Таблиця 1'!$B:$B,$A172,'Таблиця 1'!$I:$I,"Mi-8",'Таблиця 1'!$J:$J,"C-13")+SUMIFS('Таблиця 1'!$K:$K,'Таблиця 1'!$B:$B,$A172,'Таблиця 1'!$I:$I,"Mi-24",'Таблиця 1'!$J:$J,"C-13"))</f>
        <v/>
      </c>
      <c r="J172">
        <f>IF($A172="","",SUMIFS('Таблиця 1'!$K:$K,'Таблиця 1'!$B:$B,$A172,'Таблиця 1'!$I:$I,"Mi-8",'Таблиця 1'!$J:$J,"Hydra-70")+SUMIFS('Таблиця 1'!$K:$K,'Таблиця 1'!$B:$B,$A172,'Таблиця 1'!$I:$I,"Mi-24",'Таблиця 1'!$J:$J,"Hydra-70"))</f>
        <v/>
      </c>
      <c r="K172">
        <f>IF($A172="","",SUMIFS('Таблиця 1'!$K:$K,'Таблиця 1'!$B:$B,$A172,'Таблиця 1'!$I:$I,"Mi-8",'Таблиця 1'!$J:$J,"Thales-70")+SUMIFS('Таблиця 1'!$K:$K,'Таблиця 1'!$B:$B,$A172,'Таблиця 1'!$I:$I,"Mi-24",'Таблиця 1'!$J:$J,"Thales-70"))</f>
        <v/>
      </c>
      <c r="L172">
        <f>IF($A172="","",SUMIFS('Таблиця 1'!$K:$K,'Таблиця 1'!$B:$B,$A172,'Таблиця 1'!$I:$I,"Mi-8",'Таблиця 1'!$J:$J,"Thales-FZ")+SUMIFS('Таблиця 1'!$K:$K,'Таблиця 1'!$B:$B,$A172,'Таблиця 1'!$I:$I,"Mi-24",'Таблиця 1'!$J:$J,"Thales-FZ"))</f>
        <v/>
      </c>
      <c r="M172">
        <f>IF($A172="","",SUMIFS('Таблиця 1'!$K:$K,'Таблиця 1'!$B:$B,$A172,'Таблиця 1'!$I:$I,"Mi-8",'Таблиця 1'!$J:$J,"МК-40")+SUMIFS('Таблиця 1'!$K:$K,'Таблиця 1'!$B:$B,$A172,'Таблиця 1'!$I:$I,"Mi-24",'Таблиця 1'!$J:$J,"МК-40"))</f>
        <v/>
      </c>
      <c r="N172">
        <f>IF($A172="","",SUMIFS('Таблиця 1'!$K:$K,'Таблиця 1'!$B:$B,$A172,'Таблиця 1'!$I:$I,"Mi-8",'Таблиця 1'!$J:$J,"Zuni")+SUMIFS('Таблиця 1'!$K:$K,'Таблиця 1'!$B:$B,$A172,'Таблиця 1'!$I:$I,"Mi-24",'Таблиця 1'!$J:$J,"Zuni"))</f>
        <v/>
      </c>
      <c r="O172">
        <f>IF($A172="","",COUNTIFS('Таблиця 1'!$B:$B,$A172,'Таблиця 1'!$I:$I,"Mi-8",'Таблиця 1'!$L:$L,"Уражено")+COUNTIFS('Таблиця 1'!$B:$B,$A172,'Таблиця 1'!$I:$I,"Mi-24",'Таблиця 1'!$L:$L,"Уражено"))</f>
        <v/>
      </c>
      <c r="P172">
        <f>IF($A172="","",COUNTIFS('Таблиця 1'!$B:$B,$A172,'Таблиця 1'!$I:$I,"Mi-8",'Таблиця 1'!$L:$L,"НЕ уражено")+COUNTIFS('Таблиця 1'!$B:$B,$A172,'Таблиця 1'!$I:$I,"Mi-24",'Таблиця 1'!$L:$L,"НЕ уражено"))</f>
        <v/>
      </c>
    </row>
    <row r="173">
      <c r="A173" s="273">
        <f>IF(A172="","",IF(A172+1&gt;MAX('Таблиця 1'!$B:$B),"",A172+1))</f>
        <v/>
      </c>
      <c r="B173">
        <f>IF($A173="","",COUNTIFS('Таблиця 1'!$B:$B,$A173,'Таблиця 1'!$I:$I,"Mi-8")+COUNTIFS('Таблиця 1'!$B:$B,$A173,'Таблиця 1'!$I:$I,"Mi-24"))</f>
        <v/>
      </c>
      <c r="C173">
        <f>IF($A173="","",COUNTIFS('Таблиця 1'!$B:$B,$A173,'Таблиця 1'!$I:$I,"Mi-8"))</f>
        <v/>
      </c>
      <c r="D173">
        <f>IF($A173="","",COUNTIFS('Таблиця 1'!$B:$B,$A173,'Таблиця 1'!$I:$I,"Mi-24"))</f>
        <v/>
      </c>
      <c r="E173">
        <f>IF($A173="","",SUMIFS('Таблиця 1'!$K:$K,'Таблиця 1'!$B:$B,$A173,'Таблиця 1'!$I:$I,"Mi-8",'Таблиця 1'!$J:$J,"ARS-8")+SUMIFS('Таблиця 1'!$K:$K,'Таблиця 1'!$B:$B,$A173,'Таблиця 1'!$I:$I,"Mi-24",'Таблиця 1'!$J:$J,"ARS-8"))</f>
        <v/>
      </c>
      <c r="F173">
        <f>IF($A173="","",SUMIFS('Таблиця 1'!$K:$K,'Таблиця 1'!$B:$B,$A173,'Таблиця 1'!$I:$I,"Mi-8",'Таблиця 1'!$J:$J,"С-8 ком")+SUMIFS('Таблиця 1'!$K:$K,'Таблиця 1'!$B:$B,$A173,'Таблиця 1'!$I:$I,"Mi-24",'Таблиця 1'!$J:$J,"С-8 ком"))</f>
        <v/>
      </c>
      <c r="G173">
        <f>IF($A173="","",SUMIFS('Таблиця 1'!$K:$K,'Таблиця 1'!$B:$B,$A173,'Таблиця 1'!$I:$I,"Mi-8",'Таблиця 1'!$J:$J,"PC-80")+SUMIFS('Таблиця 1'!$K:$K,'Таблиця 1'!$B:$B,$A173,'Таблиця 1'!$I:$I,"Mi-24",'Таблиця 1'!$J:$J,"PC-80"))</f>
        <v/>
      </c>
      <c r="H173">
        <f>IF($A173="","",SUMIFS('Таблиця 1'!$K:$K,'Таблиця 1'!$B:$B,$A173,'Таблиця 1'!$I:$I,"Mi-8",'Таблиця 1'!$J:$J,"UAR-80")+SUMIFS('Таблиця 1'!$K:$K,'Таблиця 1'!$B:$B,$A173,'Таблиця 1'!$I:$I,"Mi-24",'Таблиця 1'!$J:$J,"UAR-80"))</f>
        <v/>
      </c>
      <c r="I173">
        <f>IF($A173="","",SUMIFS('Таблиця 1'!$K:$K,'Таблиця 1'!$B:$B,$A173,'Таблиця 1'!$I:$I,"Mi-8",'Таблиця 1'!$J:$J,"C-13")+SUMIFS('Таблиця 1'!$K:$K,'Таблиця 1'!$B:$B,$A173,'Таблиця 1'!$I:$I,"Mi-24",'Таблиця 1'!$J:$J,"C-13"))</f>
        <v/>
      </c>
      <c r="J173">
        <f>IF($A173="","",SUMIFS('Таблиця 1'!$K:$K,'Таблиця 1'!$B:$B,$A173,'Таблиця 1'!$I:$I,"Mi-8",'Таблиця 1'!$J:$J,"Hydra-70")+SUMIFS('Таблиця 1'!$K:$K,'Таблиця 1'!$B:$B,$A173,'Таблиця 1'!$I:$I,"Mi-24",'Таблиця 1'!$J:$J,"Hydra-70"))</f>
        <v/>
      </c>
      <c r="K173">
        <f>IF($A173="","",SUMIFS('Таблиця 1'!$K:$K,'Таблиця 1'!$B:$B,$A173,'Таблиця 1'!$I:$I,"Mi-8",'Таблиця 1'!$J:$J,"Thales-70")+SUMIFS('Таблиця 1'!$K:$K,'Таблиця 1'!$B:$B,$A173,'Таблиця 1'!$I:$I,"Mi-24",'Таблиця 1'!$J:$J,"Thales-70"))</f>
        <v/>
      </c>
      <c r="L173">
        <f>IF($A173="","",SUMIFS('Таблиця 1'!$K:$K,'Таблиця 1'!$B:$B,$A173,'Таблиця 1'!$I:$I,"Mi-8",'Таблиця 1'!$J:$J,"Thales-FZ")+SUMIFS('Таблиця 1'!$K:$K,'Таблиця 1'!$B:$B,$A173,'Таблиця 1'!$I:$I,"Mi-24",'Таблиця 1'!$J:$J,"Thales-FZ"))</f>
        <v/>
      </c>
      <c r="M173">
        <f>IF($A173="","",SUMIFS('Таблиця 1'!$K:$K,'Таблиця 1'!$B:$B,$A173,'Таблиця 1'!$I:$I,"Mi-8",'Таблиця 1'!$J:$J,"МК-40")+SUMIFS('Таблиця 1'!$K:$K,'Таблиця 1'!$B:$B,$A173,'Таблиця 1'!$I:$I,"Mi-24",'Таблиця 1'!$J:$J,"МК-40"))</f>
        <v/>
      </c>
      <c r="N173">
        <f>IF($A173="","",SUMIFS('Таблиця 1'!$K:$K,'Таблиця 1'!$B:$B,$A173,'Таблиця 1'!$I:$I,"Mi-8",'Таблиця 1'!$J:$J,"Zuni")+SUMIFS('Таблиця 1'!$K:$K,'Таблиця 1'!$B:$B,$A173,'Таблиця 1'!$I:$I,"Mi-24",'Таблиця 1'!$J:$J,"Zuni"))</f>
        <v/>
      </c>
      <c r="O173">
        <f>IF($A173="","",COUNTIFS('Таблиця 1'!$B:$B,$A173,'Таблиця 1'!$I:$I,"Mi-8",'Таблиця 1'!$L:$L,"Уражено")+COUNTIFS('Таблиця 1'!$B:$B,$A173,'Таблиця 1'!$I:$I,"Mi-24",'Таблиця 1'!$L:$L,"Уражено"))</f>
        <v/>
      </c>
      <c r="P173">
        <f>IF($A173="","",COUNTIFS('Таблиця 1'!$B:$B,$A173,'Таблиця 1'!$I:$I,"Mi-8",'Таблиця 1'!$L:$L,"НЕ уражено")+COUNTIFS('Таблиця 1'!$B:$B,$A173,'Таблиця 1'!$I:$I,"Mi-24",'Таблиця 1'!$L:$L,"НЕ уражено"))</f>
        <v/>
      </c>
    </row>
    <row r="174">
      <c r="A174" s="273">
        <f>IF(A173="","",IF(A173+1&gt;MAX('Таблиця 1'!$B:$B),"",A173+1))</f>
        <v/>
      </c>
      <c r="B174">
        <f>IF($A174="","",COUNTIFS('Таблиця 1'!$B:$B,$A174,'Таблиця 1'!$I:$I,"Mi-8")+COUNTIFS('Таблиця 1'!$B:$B,$A174,'Таблиця 1'!$I:$I,"Mi-24"))</f>
        <v/>
      </c>
      <c r="C174">
        <f>IF($A174="","",COUNTIFS('Таблиця 1'!$B:$B,$A174,'Таблиця 1'!$I:$I,"Mi-8"))</f>
        <v/>
      </c>
      <c r="D174">
        <f>IF($A174="","",COUNTIFS('Таблиця 1'!$B:$B,$A174,'Таблиця 1'!$I:$I,"Mi-24"))</f>
        <v/>
      </c>
      <c r="E174">
        <f>IF($A174="","",SUMIFS('Таблиця 1'!$K:$K,'Таблиця 1'!$B:$B,$A174,'Таблиця 1'!$I:$I,"Mi-8",'Таблиця 1'!$J:$J,"ARS-8")+SUMIFS('Таблиця 1'!$K:$K,'Таблиця 1'!$B:$B,$A174,'Таблиця 1'!$I:$I,"Mi-24",'Таблиця 1'!$J:$J,"ARS-8"))</f>
        <v/>
      </c>
      <c r="F174">
        <f>IF($A174="","",SUMIFS('Таблиця 1'!$K:$K,'Таблиця 1'!$B:$B,$A174,'Таблиця 1'!$I:$I,"Mi-8",'Таблиця 1'!$J:$J,"С-8 ком")+SUMIFS('Таблиця 1'!$K:$K,'Таблиця 1'!$B:$B,$A174,'Таблиця 1'!$I:$I,"Mi-24",'Таблиця 1'!$J:$J,"С-8 ком"))</f>
        <v/>
      </c>
      <c r="G174">
        <f>IF($A174="","",SUMIFS('Таблиця 1'!$K:$K,'Таблиця 1'!$B:$B,$A174,'Таблиця 1'!$I:$I,"Mi-8",'Таблиця 1'!$J:$J,"PC-80")+SUMIFS('Таблиця 1'!$K:$K,'Таблиця 1'!$B:$B,$A174,'Таблиця 1'!$I:$I,"Mi-24",'Таблиця 1'!$J:$J,"PC-80"))</f>
        <v/>
      </c>
      <c r="H174">
        <f>IF($A174="","",SUMIFS('Таблиця 1'!$K:$K,'Таблиця 1'!$B:$B,$A174,'Таблиця 1'!$I:$I,"Mi-8",'Таблиця 1'!$J:$J,"UAR-80")+SUMIFS('Таблиця 1'!$K:$K,'Таблиця 1'!$B:$B,$A174,'Таблиця 1'!$I:$I,"Mi-24",'Таблиця 1'!$J:$J,"UAR-80"))</f>
        <v/>
      </c>
      <c r="I174">
        <f>IF($A174="","",SUMIFS('Таблиця 1'!$K:$K,'Таблиця 1'!$B:$B,$A174,'Таблиця 1'!$I:$I,"Mi-8",'Таблиця 1'!$J:$J,"C-13")+SUMIFS('Таблиця 1'!$K:$K,'Таблиця 1'!$B:$B,$A174,'Таблиця 1'!$I:$I,"Mi-24",'Таблиця 1'!$J:$J,"C-13"))</f>
        <v/>
      </c>
      <c r="J174">
        <f>IF($A174="","",SUMIFS('Таблиця 1'!$K:$K,'Таблиця 1'!$B:$B,$A174,'Таблиця 1'!$I:$I,"Mi-8",'Таблиця 1'!$J:$J,"Hydra-70")+SUMIFS('Таблиця 1'!$K:$K,'Таблиця 1'!$B:$B,$A174,'Таблиця 1'!$I:$I,"Mi-24",'Таблиця 1'!$J:$J,"Hydra-70"))</f>
        <v/>
      </c>
      <c r="K174">
        <f>IF($A174="","",SUMIFS('Таблиця 1'!$K:$K,'Таблиця 1'!$B:$B,$A174,'Таблиця 1'!$I:$I,"Mi-8",'Таблиця 1'!$J:$J,"Thales-70")+SUMIFS('Таблиця 1'!$K:$K,'Таблиця 1'!$B:$B,$A174,'Таблиця 1'!$I:$I,"Mi-24",'Таблиця 1'!$J:$J,"Thales-70"))</f>
        <v/>
      </c>
      <c r="L174">
        <f>IF($A174="","",SUMIFS('Таблиця 1'!$K:$K,'Таблиця 1'!$B:$B,$A174,'Таблиця 1'!$I:$I,"Mi-8",'Таблиця 1'!$J:$J,"Thales-FZ")+SUMIFS('Таблиця 1'!$K:$K,'Таблиця 1'!$B:$B,$A174,'Таблиця 1'!$I:$I,"Mi-24",'Таблиця 1'!$J:$J,"Thales-FZ"))</f>
        <v/>
      </c>
      <c r="M174">
        <f>IF($A174="","",SUMIFS('Таблиця 1'!$K:$K,'Таблиця 1'!$B:$B,$A174,'Таблиця 1'!$I:$I,"Mi-8",'Таблиця 1'!$J:$J,"МК-40")+SUMIFS('Таблиця 1'!$K:$K,'Таблиця 1'!$B:$B,$A174,'Таблиця 1'!$I:$I,"Mi-24",'Таблиця 1'!$J:$J,"МК-40"))</f>
        <v/>
      </c>
      <c r="N174">
        <f>IF($A174="","",SUMIFS('Таблиця 1'!$K:$K,'Таблиця 1'!$B:$B,$A174,'Таблиця 1'!$I:$I,"Mi-8",'Таблиця 1'!$J:$J,"Zuni")+SUMIFS('Таблиця 1'!$K:$K,'Таблиця 1'!$B:$B,$A174,'Таблиця 1'!$I:$I,"Mi-24",'Таблиця 1'!$J:$J,"Zuni"))</f>
        <v/>
      </c>
      <c r="O174">
        <f>IF($A174="","",COUNTIFS('Таблиця 1'!$B:$B,$A174,'Таблиця 1'!$I:$I,"Mi-8",'Таблиця 1'!$L:$L,"Уражено")+COUNTIFS('Таблиця 1'!$B:$B,$A174,'Таблиця 1'!$I:$I,"Mi-24",'Таблиця 1'!$L:$L,"Уражено"))</f>
        <v/>
      </c>
      <c r="P174">
        <f>IF($A174="","",COUNTIFS('Таблиця 1'!$B:$B,$A174,'Таблиця 1'!$I:$I,"Mi-8",'Таблиця 1'!$L:$L,"НЕ уражено")+COUNTIFS('Таблиця 1'!$B:$B,$A174,'Таблиця 1'!$I:$I,"Mi-24",'Таблиця 1'!$L:$L,"НЕ уражено"))</f>
        <v/>
      </c>
    </row>
    <row r="175">
      <c r="A175" s="273">
        <f>IF(A174="","",IF(A174+1&gt;MAX('Таблиця 1'!$B:$B),"",A174+1))</f>
        <v/>
      </c>
      <c r="B175">
        <f>IF($A175="","",COUNTIFS('Таблиця 1'!$B:$B,$A175,'Таблиця 1'!$I:$I,"Mi-8")+COUNTIFS('Таблиця 1'!$B:$B,$A175,'Таблиця 1'!$I:$I,"Mi-24"))</f>
        <v/>
      </c>
      <c r="C175">
        <f>IF($A175="","",COUNTIFS('Таблиця 1'!$B:$B,$A175,'Таблиця 1'!$I:$I,"Mi-8"))</f>
        <v/>
      </c>
      <c r="D175">
        <f>IF($A175="","",COUNTIFS('Таблиця 1'!$B:$B,$A175,'Таблиця 1'!$I:$I,"Mi-24"))</f>
        <v/>
      </c>
      <c r="E175">
        <f>IF($A175="","",SUMIFS('Таблиця 1'!$K:$K,'Таблиця 1'!$B:$B,$A175,'Таблиця 1'!$I:$I,"Mi-8",'Таблиця 1'!$J:$J,"ARS-8")+SUMIFS('Таблиця 1'!$K:$K,'Таблиця 1'!$B:$B,$A175,'Таблиця 1'!$I:$I,"Mi-24",'Таблиця 1'!$J:$J,"ARS-8"))</f>
        <v/>
      </c>
      <c r="F175">
        <f>IF($A175="","",SUMIFS('Таблиця 1'!$K:$K,'Таблиця 1'!$B:$B,$A175,'Таблиця 1'!$I:$I,"Mi-8",'Таблиця 1'!$J:$J,"С-8 ком")+SUMIFS('Таблиця 1'!$K:$K,'Таблиця 1'!$B:$B,$A175,'Таблиця 1'!$I:$I,"Mi-24",'Таблиця 1'!$J:$J,"С-8 ком"))</f>
        <v/>
      </c>
      <c r="G175">
        <f>IF($A175="","",SUMIFS('Таблиця 1'!$K:$K,'Таблиця 1'!$B:$B,$A175,'Таблиця 1'!$I:$I,"Mi-8",'Таблиця 1'!$J:$J,"PC-80")+SUMIFS('Таблиця 1'!$K:$K,'Таблиця 1'!$B:$B,$A175,'Таблиця 1'!$I:$I,"Mi-24",'Таблиця 1'!$J:$J,"PC-80"))</f>
        <v/>
      </c>
      <c r="H175">
        <f>IF($A175="","",SUMIFS('Таблиця 1'!$K:$K,'Таблиця 1'!$B:$B,$A175,'Таблиця 1'!$I:$I,"Mi-8",'Таблиця 1'!$J:$J,"UAR-80")+SUMIFS('Таблиця 1'!$K:$K,'Таблиця 1'!$B:$B,$A175,'Таблиця 1'!$I:$I,"Mi-24",'Таблиця 1'!$J:$J,"UAR-80"))</f>
        <v/>
      </c>
      <c r="I175">
        <f>IF($A175="","",SUMIFS('Таблиця 1'!$K:$K,'Таблиця 1'!$B:$B,$A175,'Таблиця 1'!$I:$I,"Mi-8",'Таблиця 1'!$J:$J,"C-13")+SUMIFS('Таблиця 1'!$K:$K,'Таблиця 1'!$B:$B,$A175,'Таблиця 1'!$I:$I,"Mi-24",'Таблиця 1'!$J:$J,"C-13"))</f>
        <v/>
      </c>
      <c r="J175">
        <f>IF($A175="","",SUMIFS('Таблиця 1'!$K:$K,'Таблиця 1'!$B:$B,$A175,'Таблиця 1'!$I:$I,"Mi-8",'Таблиця 1'!$J:$J,"Hydra-70")+SUMIFS('Таблиця 1'!$K:$K,'Таблиця 1'!$B:$B,$A175,'Таблиця 1'!$I:$I,"Mi-24",'Таблиця 1'!$J:$J,"Hydra-70"))</f>
        <v/>
      </c>
      <c r="K175">
        <f>IF($A175="","",SUMIFS('Таблиця 1'!$K:$K,'Таблиця 1'!$B:$B,$A175,'Таблиця 1'!$I:$I,"Mi-8",'Таблиця 1'!$J:$J,"Thales-70")+SUMIFS('Таблиця 1'!$K:$K,'Таблиця 1'!$B:$B,$A175,'Таблиця 1'!$I:$I,"Mi-24",'Таблиця 1'!$J:$J,"Thales-70"))</f>
        <v/>
      </c>
      <c r="L175">
        <f>IF($A175="","",SUMIFS('Таблиця 1'!$K:$K,'Таблиця 1'!$B:$B,$A175,'Таблиця 1'!$I:$I,"Mi-8",'Таблиця 1'!$J:$J,"Thales-FZ")+SUMIFS('Таблиця 1'!$K:$K,'Таблиця 1'!$B:$B,$A175,'Таблиця 1'!$I:$I,"Mi-24",'Таблиця 1'!$J:$J,"Thales-FZ"))</f>
        <v/>
      </c>
      <c r="M175">
        <f>IF($A175="","",SUMIFS('Таблиця 1'!$K:$K,'Таблиця 1'!$B:$B,$A175,'Таблиця 1'!$I:$I,"Mi-8",'Таблиця 1'!$J:$J,"МК-40")+SUMIFS('Таблиця 1'!$K:$K,'Таблиця 1'!$B:$B,$A175,'Таблиця 1'!$I:$I,"Mi-24",'Таблиця 1'!$J:$J,"МК-40"))</f>
        <v/>
      </c>
      <c r="N175">
        <f>IF($A175="","",SUMIFS('Таблиця 1'!$K:$K,'Таблиця 1'!$B:$B,$A175,'Таблиця 1'!$I:$I,"Mi-8",'Таблиця 1'!$J:$J,"Zuni")+SUMIFS('Таблиця 1'!$K:$K,'Таблиця 1'!$B:$B,$A175,'Таблиця 1'!$I:$I,"Mi-24",'Таблиця 1'!$J:$J,"Zuni"))</f>
        <v/>
      </c>
      <c r="O175">
        <f>IF($A175="","",COUNTIFS('Таблиця 1'!$B:$B,$A175,'Таблиця 1'!$I:$I,"Mi-8",'Таблиця 1'!$L:$L,"Уражено")+COUNTIFS('Таблиця 1'!$B:$B,$A175,'Таблиця 1'!$I:$I,"Mi-24",'Таблиця 1'!$L:$L,"Уражено"))</f>
        <v/>
      </c>
      <c r="P175">
        <f>IF($A175="","",COUNTIFS('Таблиця 1'!$B:$B,$A175,'Таблиця 1'!$I:$I,"Mi-8",'Таблиця 1'!$L:$L,"НЕ уражено")+COUNTIFS('Таблиця 1'!$B:$B,$A175,'Таблиця 1'!$I:$I,"Mi-24",'Таблиця 1'!$L:$L,"НЕ уражено"))</f>
        <v/>
      </c>
    </row>
    <row r="176">
      <c r="A176" s="273">
        <f>IF(A175="","",IF(A175+1&gt;MAX('Таблиця 1'!$B:$B),"",A175+1))</f>
        <v/>
      </c>
      <c r="B176">
        <f>IF($A176="","",COUNTIFS('Таблиця 1'!$B:$B,$A176,'Таблиця 1'!$I:$I,"Mi-8")+COUNTIFS('Таблиця 1'!$B:$B,$A176,'Таблиця 1'!$I:$I,"Mi-24"))</f>
        <v/>
      </c>
      <c r="C176">
        <f>IF($A176="","",COUNTIFS('Таблиця 1'!$B:$B,$A176,'Таблиця 1'!$I:$I,"Mi-8"))</f>
        <v/>
      </c>
      <c r="D176">
        <f>IF($A176="","",COUNTIFS('Таблиця 1'!$B:$B,$A176,'Таблиця 1'!$I:$I,"Mi-24"))</f>
        <v/>
      </c>
      <c r="E176">
        <f>IF($A176="","",SUMIFS('Таблиця 1'!$K:$K,'Таблиця 1'!$B:$B,$A176,'Таблиця 1'!$I:$I,"Mi-8",'Таблиця 1'!$J:$J,"ARS-8")+SUMIFS('Таблиця 1'!$K:$K,'Таблиця 1'!$B:$B,$A176,'Таблиця 1'!$I:$I,"Mi-24",'Таблиця 1'!$J:$J,"ARS-8"))</f>
        <v/>
      </c>
      <c r="F176">
        <f>IF($A176="","",SUMIFS('Таблиця 1'!$K:$K,'Таблиця 1'!$B:$B,$A176,'Таблиця 1'!$I:$I,"Mi-8",'Таблиця 1'!$J:$J,"С-8 ком")+SUMIFS('Таблиця 1'!$K:$K,'Таблиця 1'!$B:$B,$A176,'Таблиця 1'!$I:$I,"Mi-24",'Таблиця 1'!$J:$J,"С-8 ком"))</f>
        <v/>
      </c>
      <c r="G176">
        <f>IF($A176="","",SUMIFS('Таблиця 1'!$K:$K,'Таблиця 1'!$B:$B,$A176,'Таблиця 1'!$I:$I,"Mi-8",'Таблиця 1'!$J:$J,"PC-80")+SUMIFS('Таблиця 1'!$K:$K,'Таблиця 1'!$B:$B,$A176,'Таблиця 1'!$I:$I,"Mi-24",'Таблиця 1'!$J:$J,"PC-80"))</f>
        <v/>
      </c>
      <c r="H176">
        <f>IF($A176="","",SUMIFS('Таблиця 1'!$K:$K,'Таблиця 1'!$B:$B,$A176,'Таблиця 1'!$I:$I,"Mi-8",'Таблиця 1'!$J:$J,"UAR-80")+SUMIFS('Таблиця 1'!$K:$K,'Таблиця 1'!$B:$B,$A176,'Таблиця 1'!$I:$I,"Mi-24",'Таблиця 1'!$J:$J,"UAR-80"))</f>
        <v/>
      </c>
      <c r="I176">
        <f>IF($A176="","",SUMIFS('Таблиця 1'!$K:$K,'Таблиця 1'!$B:$B,$A176,'Таблиця 1'!$I:$I,"Mi-8",'Таблиця 1'!$J:$J,"C-13")+SUMIFS('Таблиця 1'!$K:$K,'Таблиця 1'!$B:$B,$A176,'Таблиця 1'!$I:$I,"Mi-24",'Таблиця 1'!$J:$J,"C-13"))</f>
        <v/>
      </c>
      <c r="J176">
        <f>IF($A176="","",SUMIFS('Таблиця 1'!$K:$K,'Таблиця 1'!$B:$B,$A176,'Таблиця 1'!$I:$I,"Mi-8",'Таблиця 1'!$J:$J,"Hydra-70")+SUMIFS('Таблиця 1'!$K:$K,'Таблиця 1'!$B:$B,$A176,'Таблиця 1'!$I:$I,"Mi-24",'Таблиця 1'!$J:$J,"Hydra-70"))</f>
        <v/>
      </c>
      <c r="K176">
        <f>IF($A176="","",SUMIFS('Таблиця 1'!$K:$K,'Таблиця 1'!$B:$B,$A176,'Таблиця 1'!$I:$I,"Mi-8",'Таблиця 1'!$J:$J,"Thales-70")+SUMIFS('Таблиця 1'!$K:$K,'Таблиця 1'!$B:$B,$A176,'Таблиця 1'!$I:$I,"Mi-24",'Таблиця 1'!$J:$J,"Thales-70"))</f>
        <v/>
      </c>
      <c r="L176">
        <f>IF($A176="","",SUMIFS('Таблиця 1'!$K:$K,'Таблиця 1'!$B:$B,$A176,'Таблиця 1'!$I:$I,"Mi-8",'Таблиця 1'!$J:$J,"Thales-FZ")+SUMIFS('Таблиця 1'!$K:$K,'Таблиця 1'!$B:$B,$A176,'Таблиця 1'!$I:$I,"Mi-24",'Таблиця 1'!$J:$J,"Thales-FZ"))</f>
        <v/>
      </c>
      <c r="M176">
        <f>IF($A176="","",SUMIFS('Таблиця 1'!$K:$K,'Таблиця 1'!$B:$B,$A176,'Таблиця 1'!$I:$I,"Mi-8",'Таблиця 1'!$J:$J,"МК-40")+SUMIFS('Таблиця 1'!$K:$K,'Таблиця 1'!$B:$B,$A176,'Таблиця 1'!$I:$I,"Mi-24",'Таблиця 1'!$J:$J,"МК-40"))</f>
        <v/>
      </c>
      <c r="N176">
        <f>IF($A176="","",SUMIFS('Таблиця 1'!$K:$K,'Таблиця 1'!$B:$B,$A176,'Таблиця 1'!$I:$I,"Mi-8",'Таблиця 1'!$J:$J,"Zuni")+SUMIFS('Таблиця 1'!$K:$K,'Таблиця 1'!$B:$B,$A176,'Таблиця 1'!$I:$I,"Mi-24",'Таблиця 1'!$J:$J,"Zuni"))</f>
        <v/>
      </c>
      <c r="O176">
        <f>IF($A176="","",COUNTIFS('Таблиця 1'!$B:$B,$A176,'Таблиця 1'!$I:$I,"Mi-8",'Таблиця 1'!$L:$L,"Уражено")+COUNTIFS('Таблиця 1'!$B:$B,$A176,'Таблиця 1'!$I:$I,"Mi-24",'Таблиця 1'!$L:$L,"Уражено"))</f>
        <v/>
      </c>
      <c r="P176">
        <f>IF($A176="","",COUNTIFS('Таблиця 1'!$B:$B,$A176,'Таблиця 1'!$I:$I,"Mi-8",'Таблиця 1'!$L:$L,"НЕ уражено")+COUNTIFS('Таблиця 1'!$B:$B,$A176,'Таблиця 1'!$I:$I,"Mi-24",'Таблиця 1'!$L:$L,"НЕ уражено"))</f>
        <v/>
      </c>
    </row>
    <row r="177">
      <c r="A177" s="273">
        <f>IF(A176="","",IF(A176+1&gt;MAX('Таблиця 1'!$B:$B),"",A176+1))</f>
        <v/>
      </c>
      <c r="B177">
        <f>IF($A177="","",COUNTIFS('Таблиця 1'!$B:$B,$A177,'Таблиця 1'!$I:$I,"Mi-8")+COUNTIFS('Таблиця 1'!$B:$B,$A177,'Таблиця 1'!$I:$I,"Mi-24"))</f>
        <v/>
      </c>
      <c r="C177">
        <f>IF($A177="","",COUNTIFS('Таблиця 1'!$B:$B,$A177,'Таблиця 1'!$I:$I,"Mi-8"))</f>
        <v/>
      </c>
      <c r="D177">
        <f>IF($A177="","",COUNTIFS('Таблиця 1'!$B:$B,$A177,'Таблиця 1'!$I:$I,"Mi-24"))</f>
        <v/>
      </c>
      <c r="E177">
        <f>IF($A177="","",SUMIFS('Таблиця 1'!$K:$K,'Таблиця 1'!$B:$B,$A177,'Таблиця 1'!$I:$I,"Mi-8",'Таблиця 1'!$J:$J,"ARS-8")+SUMIFS('Таблиця 1'!$K:$K,'Таблиця 1'!$B:$B,$A177,'Таблиця 1'!$I:$I,"Mi-24",'Таблиця 1'!$J:$J,"ARS-8"))</f>
        <v/>
      </c>
      <c r="F177">
        <f>IF($A177="","",SUMIFS('Таблиця 1'!$K:$K,'Таблиця 1'!$B:$B,$A177,'Таблиця 1'!$I:$I,"Mi-8",'Таблиця 1'!$J:$J,"С-8 ком")+SUMIFS('Таблиця 1'!$K:$K,'Таблиця 1'!$B:$B,$A177,'Таблиця 1'!$I:$I,"Mi-24",'Таблиця 1'!$J:$J,"С-8 ком"))</f>
        <v/>
      </c>
      <c r="G177">
        <f>IF($A177="","",SUMIFS('Таблиця 1'!$K:$K,'Таблиця 1'!$B:$B,$A177,'Таблиця 1'!$I:$I,"Mi-8",'Таблиця 1'!$J:$J,"PC-80")+SUMIFS('Таблиця 1'!$K:$K,'Таблиця 1'!$B:$B,$A177,'Таблиця 1'!$I:$I,"Mi-24",'Таблиця 1'!$J:$J,"PC-80"))</f>
        <v/>
      </c>
      <c r="H177">
        <f>IF($A177="","",SUMIFS('Таблиця 1'!$K:$K,'Таблиця 1'!$B:$B,$A177,'Таблиця 1'!$I:$I,"Mi-8",'Таблиця 1'!$J:$J,"UAR-80")+SUMIFS('Таблиця 1'!$K:$K,'Таблиця 1'!$B:$B,$A177,'Таблиця 1'!$I:$I,"Mi-24",'Таблиця 1'!$J:$J,"UAR-80"))</f>
        <v/>
      </c>
      <c r="I177">
        <f>IF($A177="","",SUMIFS('Таблиця 1'!$K:$K,'Таблиця 1'!$B:$B,$A177,'Таблиця 1'!$I:$I,"Mi-8",'Таблиця 1'!$J:$J,"C-13")+SUMIFS('Таблиця 1'!$K:$K,'Таблиця 1'!$B:$B,$A177,'Таблиця 1'!$I:$I,"Mi-24",'Таблиця 1'!$J:$J,"C-13"))</f>
        <v/>
      </c>
      <c r="J177">
        <f>IF($A177="","",SUMIFS('Таблиця 1'!$K:$K,'Таблиця 1'!$B:$B,$A177,'Таблиця 1'!$I:$I,"Mi-8",'Таблиця 1'!$J:$J,"Hydra-70")+SUMIFS('Таблиця 1'!$K:$K,'Таблиця 1'!$B:$B,$A177,'Таблиця 1'!$I:$I,"Mi-24",'Таблиця 1'!$J:$J,"Hydra-70"))</f>
        <v/>
      </c>
      <c r="K177">
        <f>IF($A177="","",SUMIFS('Таблиця 1'!$K:$K,'Таблиця 1'!$B:$B,$A177,'Таблиця 1'!$I:$I,"Mi-8",'Таблиця 1'!$J:$J,"Thales-70")+SUMIFS('Таблиця 1'!$K:$K,'Таблиця 1'!$B:$B,$A177,'Таблиця 1'!$I:$I,"Mi-24",'Таблиця 1'!$J:$J,"Thales-70"))</f>
        <v/>
      </c>
      <c r="L177">
        <f>IF($A177="","",SUMIFS('Таблиця 1'!$K:$K,'Таблиця 1'!$B:$B,$A177,'Таблиця 1'!$I:$I,"Mi-8",'Таблиця 1'!$J:$J,"Thales-FZ")+SUMIFS('Таблиця 1'!$K:$K,'Таблиця 1'!$B:$B,$A177,'Таблиця 1'!$I:$I,"Mi-24",'Таблиця 1'!$J:$J,"Thales-FZ"))</f>
        <v/>
      </c>
      <c r="M177">
        <f>IF($A177="","",SUMIFS('Таблиця 1'!$K:$K,'Таблиця 1'!$B:$B,$A177,'Таблиця 1'!$I:$I,"Mi-8",'Таблиця 1'!$J:$J,"МК-40")+SUMIFS('Таблиця 1'!$K:$K,'Таблиця 1'!$B:$B,$A177,'Таблиця 1'!$I:$I,"Mi-24",'Таблиця 1'!$J:$J,"МК-40"))</f>
        <v/>
      </c>
      <c r="N177">
        <f>IF($A177="","",SUMIFS('Таблиця 1'!$K:$K,'Таблиця 1'!$B:$B,$A177,'Таблиця 1'!$I:$I,"Mi-8",'Таблиця 1'!$J:$J,"Zuni")+SUMIFS('Таблиця 1'!$K:$K,'Таблиця 1'!$B:$B,$A177,'Таблиця 1'!$I:$I,"Mi-24",'Таблиця 1'!$J:$J,"Zuni"))</f>
        <v/>
      </c>
      <c r="O177">
        <f>IF($A177="","",COUNTIFS('Таблиця 1'!$B:$B,$A177,'Таблиця 1'!$I:$I,"Mi-8",'Таблиця 1'!$L:$L,"Уражено")+COUNTIFS('Таблиця 1'!$B:$B,$A177,'Таблиця 1'!$I:$I,"Mi-24",'Таблиця 1'!$L:$L,"Уражено"))</f>
        <v/>
      </c>
      <c r="P177">
        <f>IF($A177="","",COUNTIFS('Таблиця 1'!$B:$B,$A177,'Таблиця 1'!$I:$I,"Mi-8",'Таблиця 1'!$L:$L,"НЕ уражено")+COUNTIFS('Таблиця 1'!$B:$B,$A177,'Таблиця 1'!$I:$I,"Mi-24",'Таблиця 1'!$L:$L,"НЕ уражено"))</f>
        <v/>
      </c>
    </row>
    <row r="178">
      <c r="A178" s="273">
        <f>IF(A177="","",IF(A177+1&gt;MAX('Таблиця 1'!$B:$B),"",A177+1))</f>
        <v/>
      </c>
      <c r="B178">
        <f>IF($A178="","",COUNTIFS('Таблиця 1'!$B:$B,$A178,'Таблиця 1'!$I:$I,"Mi-8")+COUNTIFS('Таблиця 1'!$B:$B,$A178,'Таблиця 1'!$I:$I,"Mi-24"))</f>
        <v/>
      </c>
      <c r="C178">
        <f>IF($A178="","",COUNTIFS('Таблиця 1'!$B:$B,$A178,'Таблиця 1'!$I:$I,"Mi-8"))</f>
        <v/>
      </c>
      <c r="D178">
        <f>IF($A178="","",COUNTIFS('Таблиця 1'!$B:$B,$A178,'Таблиця 1'!$I:$I,"Mi-24"))</f>
        <v/>
      </c>
      <c r="E178">
        <f>IF($A178="","",SUMIFS('Таблиця 1'!$K:$K,'Таблиця 1'!$B:$B,$A178,'Таблиця 1'!$I:$I,"Mi-8",'Таблиця 1'!$J:$J,"ARS-8")+SUMIFS('Таблиця 1'!$K:$K,'Таблиця 1'!$B:$B,$A178,'Таблиця 1'!$I:$I,"Mi-24",'Таблиця 1'!$J:$J,"ARS-8"))</f>
        <v/>
      </c>
      <c r="F178">
        <f>IF($A178="","",SUMIFS('Таблиця 1'!$K:$K,'Таблиця 1'!$B:$B,$A178,'Таблиця 1'!$I:$I,"Mi-8",'Таблиця 1'!$J:$J,"С-8 ком")+SUMIFS('Таблиця 1'!$K:$K,'Таблиця 1'!$B:$B,$A178,'Таблиця 1'!$I:$I,"Mi-24",'Таблиця 1'!$J:$J,"С-8 ком"))</f>
        <v/>
      </c>
      <c r="G178">
        <f>IF($A178="","",SUMIFS('Таблиця 1'!$K:$K,'Таблиця 1'!$B:$B,$A178,'Таблиця 1'!$I:$I,"Mi-8",'Таблиця 1'!$J:$J,"PC-80")+SUMIFS('Таблиця 1'!$K:$K,'Таблиця 1'!$B:$B,$A178,'Таблиця 1'!$I:$I,"Mi-24",'Таблиця 1'!$J:$J,"PC-80"))</f>
        <v/>
      </c>
      <c r="H178">
        <f>IF($A178="","",SUMIFS('Таблиця 1'!$K:$K,'Таблиця 1'!$B:$B,$A178,'Таблиця 1'!$I:$I,"Mi-8",'Таблиця 1'!$J:$J,"UAR-80")+SUMIFS('Таблиця 1'!$K:$K,'Таблиця 1'!$B:$B,$A178,'Таблиця 1'!$I:$I,"Mi-24",'Таблиця 1'!$J:$J,"UAR-80"))</f>
        <v/>
      </c>
      <c r="I178">
        <f>IF($A178="","",SUMIFS('Таблиця 1'!$K:$K,'Таблиця 1'!$B:$B,$A178,'Таблиця 1'!$I:$I,"Mi-8",'Таблиця 1'!$J:$J,"C-13")+SUMIFS('Таблиця 1'!$K:$K,'Таблиця 1'!$B:$B,$A178,'Таблиця 1'!$I:$I,"Mi-24",'Таблиця 1'!$J:$J,"C-13"))</f>
        <v/>
      </c>
      <c r="J178">
        <f>IF($A178="","",SUMIFS('Таблиця 1'!$K:$K,'Таблиця 1'!$B:$B,$A178,'Таблиця 1'!$I:$I,"Mi-8",'Таблиця 1'!$J:$J,"Hydra-70")+SUMIFS('Таблиця 1'!$K:$K,'Таблиця 1'!$B:$B,$A178,'Таблиця 1'!$I:$I,"Mi-24",'Таблиця 1'!$J:$J,"Hydra-70"))</f>
        <v/>
      </c>
      <c r="K178">
        <f>IF($A178="","",SUMIFS('Таблиця 1'!$K:$K,'Таблиця 1'!$B:$B,$A178,'Таблиця 1'!$I:$I,"Mi-8",'Таблиця 1'!$J:$J,"Thales-70")+SUMIFS('Таблиця 1'!$K:$K,'Таблиця 1'!$B:$B,$A178,'Таблиця 1'!$I:$I,"Mi-24",'Таблиця 1'!$J:$J,"Thales-70"))</f>
        <v/>
      </c>
      <c r="L178">
        <f>IF($A178="","",SUMIFS('Таблиця 1'!$K:$K,'Таблиця 1'!$B:$B,$A178,'Таблиця 1'!$I:$I,"Mi-8",'Таблиця 1'!$J:$J,"Thales-FZ")+SUMIFS('Таблиця 1'!$K:$K,'Таблиця 1'!$B:$B,$A178,'Таблиця 1'!$I:$I,"Mi-24",'Таблиця 1'!$J:$J,"Thales-FZ"))</f>
        <v/>
      </c>
      <c r="M178">
        <f>IF($A178="","",SUMIFS('Таблиця 1'!$K:$K,'Таблиця 1'!$B:$B,$A178,'Таблиця 1'!$I:$I,"Mi-8",'Таблиця 1'!$J:$J,"МК-40")+SUMIFS('Таблиця 1'!$K:$K,'Таблиця 1'!$B:$B,$A178,'Таблиця 1'!$I:$I,"Mi-24",'Таблиця 1'!$J:$J,"МК-40"))</f>
        <v/>
      </c>
      <c r="N178">
        <f>IF($A178="","",SUMIFS('Таблиця 1'!$K:$K,'Таблиця 1'!$B:$B,$A178,'Таблиця 1'!$I:$I,"Mi-8",'Таблиця 1'!$J:$J,"Zuni")+SUMIFS('Таблиця 1'!$K:$K,'Таблиця 1'!$B:$B,$A178,'Таблиця 1'!$I:$I,"Mi-24",'Таблиця 1'!$J:$J,"Zuni"))</f>
        <v/>
      </c>
      <c r="O178">
        <f>IF($A178="","",COUNTIFS('Таблиця 1'!$B:$B,$A178,'Таблиця 1'!$I:$I,"Mi-8",'Таблиця 1'!$L:$L,"Уражено")+COUNTIFS('Таблиця 1'!$B:$B,$A178,'Таблиця 1'!$I:$I,"Mi-24",'Таблиця 1'!$L:$L,"Уражено"))</f>
        <v/>
      </c>
      <c r="P178">
        <f>IF($A178="","",COUNTIFS('Таблиця 1'!$B:$B,$A178,'Таблиця 1'!$I:$I,"Mi-8",'Таблиця 1'!$L:$L,"НЕ уражено")+COUNTIFS('Таблиця 1'!$B:$B,$A178,'Таблиця 1'!$I:$I,"Mi-24",'Таблиця 1'!$L:$L,"НЕ уражено"))</f>
        <v/>
      </c>
    </row>
    <row r="179">
      <c r="A179" s="273">
        <f>IF(A178="","",IF(A178+1&gt;MAX('Таблиця 1'!$B:$B),"",A178+1))</f>
        <v/>
      </c>
      <c r="B179">
        <f>IF($A179="","",COUNTIFS('Таблиця 1'!$B:$B,$A179,'Таблиця 1'!$I:$I,"Mi-8")+COUNTIFS('Таблиця 1'!$B:$B,$A179,'Таблиця 1'!$I:$I,"Mi-24"))</f>
        <v/>
      </c>
      <c r="C179">
        <f>IF($A179="","",COUNTIFS('Таблиця 1'!$B:$B,$A179,'Таблиця 1'!$I:$I,"Mi-8"))</f>
        <v/>
      </c>
      <c r="D179">
        <f>IF($A179="","",COUNTIFS('Таблиця 1'!$B:$B,$A179,'Таблиця 1'!$I:$I,"Mi-24"))</f>
        <v/>
      </c>
      <c r="E179">
        <f>IF($A179="","",SUMIFS('Таблиця 1'!$K:$K,'Таблиця 1'!$B:$B,$A179,'Таблиця 1'!$I:$I,"Mi-8",'Таблиця 1'!$J:$J,"ARS-8")+SUMIFS('Таблиця 1'!$K:$K,'Таблиця 1'!$B:$B,$A179,'Таблиця 1'!$I:$I,"Mi-24",'Таблиця 1'!$J:$J,"ARS-8"))</f>
        <v/>
      </c>
      <c r="F179">
        <f>IF($A179="","",SUMIFS('Таблиця 1'!$K:$K,'Таблиця 1'!$B:$B,$A179,'Таблиця 1'!$I:$I,"Mi-8",'Таблиця 1'!$J:$J,"С-8 ком")+SUMIFS('Таблиця 1'!$K:$K,'Таблиця 1'!$B:$B,$A179,'Таблиця 1'!$I:$I,"Mi-24",'Таблиця 1'!$J:$J,"С-8 ком"))</f>
        <v/>
      </c>
      <c r="G179">
        <f>IF($A179="","",SUMIFS('Таблиця 1'!$K:$K,'Таблиця 1'!$B:$B,$A179,'Таблиця 1'!$I:$I,"Mi-8",'Таблиця 1'!$J:$J,"PC-80")+SUMIFS('Таблиця 1'!$K:$K,'Таблиця 1'!$B:$B,$A179,'Таблиця 1'!$I:$I,"Mi-24",'Таблиця 1'!$J:$J,"PC-80"))</f>
        <v/>
      </c>
      <c r="H179">
        <f>IF($A179="","",SUMIFS('Таблиця 1'!$K:$K,'Таблиця 1'!$B:$B,$A179,'Таблиця 1'!$I:$I,"Mi-8",'Таблиця 1'!$J:$J,"UAR-80")+SUMIFS('Таблиця 1'!$K:$K,'Таблиця 1'!$B:$B,$A179,'Таблиця 1'!$I:$I,"Mi-24",'Таблиця 1'!$J:$J,"UAR-80"))</f>
        <v/>
      </c>
      <c r="I179">
        <f>IF($A179="","",SUMIFS('Таблиця 1'!$K:$K,'Таблиця 1'!$B:$B,$A179,'Таблиця 1'!$I:$I,"Mi-8",'Таблиця 1'!$J:$J,"C-13")+SUMIFS('Таблиця 1'!$K:$K,'Таблиця 1'!$B:$B,$A179,'Таблиця 1'!$I:$I,"Mi-24",'Таблиця 1'!$J:$J,"C-13"))</f>
        <v/>
      </c>
      <c r="J179">
        <f>IF($A179="","",SUMIFS('Таблиця 1'!$K:$K,'Таблиця 1'!$B:$B,$A179,'Таблиця 1'!$I:$I,"Mi-8",'Таблиця 1'!$J:$J,"Hydra-70")+SUMIFS('Таблиця 1'!$K:$K,'Таблиця 1'!$B:$B,$A179,'Таблиця 1'!$I:$I,"Mi-24",'Таблиця 1'!$J:$J,"Hydra-70"))</f>
        <v/>
      </c>
      <c r="K179">
        <f>IF($A179="","",SUMIFS('Таблиця 1'!$K:$K,'Таблиця 1'!$B:$B,$A179,'Таблиця 1'!$I:$I,"Mi-8",'Таблиця 1'!$J:$J,"Thales-70")+SUMIFS('Таблиця 1'!$K:$K,'Таблиця 1'!$B:$B,$A179,'Таблиця 1'!$I:$I,"Mi-24",'Таблиця 1'!$J:$J,"Thales-70"))</f>
        <v/>
      </c>
      <c r="L179">
        <f>IF($A179="","",SUMIFS('Таблиця 1'!$K:$K,'Таблиця 1'!$B:$B,$A179,'Таблиця 1'!$I:$I,"Mi-8",'Таблиця 1'!$J:$J,"Thales-FZ")+SUMIFS('Таблиця 1'!$K:$K,'Таблиця 1'!$B:$B,$A179,'Таблиця 1'!$I:$I,"Mi-24",'Таблиця 1'!$J:$J,"Thales-FZ"))</f>
        <v/>
      </c>
      <c r="M179">
        <f>IF($A179="","",SUMIFS('Таблиця 1'!$K:$K,'Таблиця 1'!$B:$B,$A179,'Таблиця 1'!$I:$I,"Mi-8",'Таблиця 1'!$J:$J,"МК-40")+SUMIFS('Таблиця 1'!$K:$K,'Таблиця 1'!$B:$B,$A179,'Таблиця 1'!$I:$I,"Mi-24",'Таблиця 1'!$J:$J,"МК-40"))</f>
        <v/>
      </c>
      <c r="N179">
        <f>IF($A179="","",SUMIFS('Таблиця 1'!$K:$K,'Таблиця 1'!$B:$B,$A179,'Таблиця 1'!$I:$I,"Mi-8",'Таблиця 1'!$J:$J,"Zuni")+SUMIFS('Таблиця 1'!$K:$K,'Таблиця 1'!$B:$B,$A179,'Таблиця 1'!$I:$I,"Mi-24",'Таблиця 1'!$J:$J,"Zuni"))</f>
        <v/>
      </c>
      <c r="O179">
        <f>IF($A179="","",COUNTIFS('Таблиця 1'!$B:$B,$A179,'Таблиця 1'!$I:$I,"Mi-8",'Таблиця 1'!$L:$L,"Уражено")+COUNTIFS('Таблиця 1'!$B:$B,$A179,'Таблиця 1'!$I:$I,"Mi-24",'Таблиця 1'!$L:$L,"Уражено"))</f>
        <v/>
      </c>
      <c r="P179">
        <f>IF($A179="","",COUNTIFS('Таблиця 1'!$B:$B,$A179,'Таблиця 1'!$I:$I,"Mi-8",'Таблиця 1'!$L:$L,"НЕ уражено")+COUNTIFS('Таблиця 1'!$B:$B,$A179,'Таблиця 1'!$I:$I,"Mi-24",'Таблиця 1'!$L:$L,"НЕ уражено"))</f>
        <v/>
      </c>
    </row>
    <row r="180">
      <c r="A180" s="273">
        <f>IF(A179="","",IF(A179+1&gt;MAX('Таблиця 1'!$B:$B),"",A179+1))</f>
        <v/>
      </c>
      <c r="B180">
        <f>IF($A180="","",COUNTIFS('Таблиця 1'!$B:$B,$A180,'Таблиця 1'!$I:$I,"Mi-8")+COUNTIFS('Таблиця 1'!$B:$B,$A180,'Таблиця 1'!$I:$I,"Mi-24"))</f>
        <v/>
      </c>
      <c r="C180">
        <f>IF($A180="","",COUNTIFS('Таблиця 1'!$B:$B,$A180,'Таблиця 1'!$I:$I,"Mi-8"))</f>
        <v/>
      </c>
      <c r="D180">
        <f>IF($A180="","",COUNTIFS('Таблиця 1'!$B:$B,$A180,'Таблиця 1'!$I:$I,"Mi-24"))</f>
        <v/>
      </c>
      <c r="E180">
        <f>IF($A180="","",SUMIFS('Таблиця 1'!$K:$K,'Таблиця 1'!$B:$B,$A180,'Таблиця 1'!$I:$I,"Mi-8",'Таблиця 1'!$J:$J,"ARS-8")+SUMIFS('Таблиця 1'!$K:$K,'Таблиця 1'!$B:$B,$A180,'Таблиця 1'!$I:$I,"Mi-24",'Таблиця 1'!$J:$J,"ARS-8"))</f>
        <v/>
      </c>
      <c r="F180">
        <f>IF($A180="","",SUMIFS('Таблиця 1'!$K:$K,'Таблиця 1'!$B:$B,$A180,'Таблиця 1'!$I:$I,"Mi-8",'Таблиця 1'!$J:$J,"С-8 ком")+SUMIFS('Таблиця 1'!$K:$K,'Таблиця 1'!$B:$B,$A180,'Таблиця 1'!$I:$I,"Mi-24",'Таблиця 1'!$J:$J,"С-8 ком"))</f>
        <v/>
      </c>
      <c r="G180">
        <f>IF($A180="","",SUMIFS('Таблиця 1'!$K:$K,'Таблиця 1'!$B:$B,$A180,'Таблиця 1'!$I:$I,"Mi-8",'Таблиця 1'!$J:$J,"PC-80")+SUMIFS('Таблиця 1'!$K:$K,'Таблиця 1'!$B:$B,$A180,'Таблиця 1'!$I:$I,"Mi-24",'Таблиця 1'!$J:$J,"PC-80"))</f>
        <v/>
      </c>
      <c r="H180">
        <f>IF($A180="","",SUMIFS('Таблиця 1'!$K:$K,'Таблиця 1'!$B:$B,$A180,'Таблиця 1'!$I:$I,"Mi-8",'Таблиця 1'!$J:$J,"UAR-80")+SUMIFS('Таблиця 1'!$K:$K,'Таблиця 1'!$B:$B,$A180,'Таблиця 1'!$I:$I,"Mi-24",'Таблиця 1'!$J:$J,"UAR-80"))</f>
        <v/>
      </c>
      <c r="I180">
        <f>IF($A180="","",SUMIFS('Таблиця 1'!$K:$K,'Таблиця 1'!$B:$B,$A180,'Таблиця 1'!$I:$I,"Mi-8",'Таблиця 1'!$J:$J,"C-13")+SUMIFS('Таблиця 1'!$K:$K,'Таблиця 1'!$B:$B,$A180,'Таблиця 1'!$I:$I,"Mi-24",'Таблиця 1'!$J:$J,"C-13"))</f>
        <v/>
      </c>
      <c r="J180">
        <f>IF($A180="","",SUMIFS('Таблиця 1'!$K:$K,'Таблиця 1'!$B:$B,$A180,'Таблиця 1'!$I:$I,"Mi-8",'Таблиця 1'!$J:$J,"Hydra-70")+SUMIFS('Таблиця 1'!$K:$K,'Таблиця 1'!$B:$B,$A180,'Таблиця 1'!$I:$I,"Mi-24",'Таблиця 1'!$J:$J,"Hydra-70"))</f>
        <v/>
      </c>
      <c r="K180">
        <f>IF($A180="","",SUMIFS('Таблиця 1'!$K:$K,'Таблиця 1'!$B:$B,$A180,'Таблиця 1'!$I:$I,"Mi-8",'Таблиця 1'!$J:$J,"Thales-70")+SUMIFS('Таблиця 1'!$K:$K,'Таблиця 1'!$B:$B,$A180,'Таблиця 1'!$I:$I,"Mi-24",'Таблиця 1'!$J:$J,"Thales-70"))</f>
        <v/>
      </c>
      <c r="L180">
        <f>IF($A180="","",SUMIFS('Таблиця 1'!$K:$K,'Таблиця 1'!$B:$B,$A180,'Таблиця 1'!$I:$I,"Mi-8",'Таблиця 1'!$J:$J,"Thales-FZ")+SUMIFS('Таблиця 1'!$K:$K,'Таблиця 1'!$B:$B,$A180,'Таблиця 1'!$I:$I,"Mi-24",'Таблиця 1'!$J:$J,"Thales-FZ"))</f>
        <v/>
      </c>
      <c r="M180">
        <f>IF($A180="","",SUMIFS('Таблиця 1'!$K:$K,'Таблиця 1'!$B:$B,$A180,'Таблиця 1'!$I:$I,"Mi-8",'Таблиця 1'!$J:$J,"МК-40")+SUMIFS('Таблиця 1'!$K:$K,'Таблиця 1'!$B:$B,$A180,'Таблиця 1'!$I:$I,"Mi-24",'Таблиця 1'!$J:$J,"МК-40"))</f>
        <v/>
      </c>
      <c r="N180">
        <f>IF($A180="","",SUMIFS('Таблиця 1'!$K:$K,'Таблиця 1'!$B:$B,$A180,'Таблиця 1'!$I:$I,"Mi-8",'Таблиця 1'!$J:$J,"Zuni")+SUMIFS('Таблиця 1'!$K:$K,'Таблиця 1'!$B:$B,$A180,'Таблиця 1'!$I:$I,"Mi-24",'Таблиця 1'!$J:$J,"Zuni"))</f>
        <v/>
      </c>
      <c r="O180">
        <f>IF($A180="","",COUNTIFS('Таблиця 1'!$B:$B,$A180,'Таблиця 1'!$I:$I,"Mi-8",'Таблиця 1'!$L:$L,"Уражено")+COUNTIFS('Таблиця 1'!$B:$B,$A180,'Таблиця 1'!$I:$I,"Mi-24",'Таблиця 1'!$L:$L,"Уражено"))</f>
        <v/>
      </c>
      <c r="P180">
        <f>IF($A180="","",COUNTIFS('Таблиця 1'!$B:$B,$A180,'Таблиця 1'!$I:$I,"Mi-8",'Таблиця 1'!$L:$L,"НЕ уражено")+COUNTIFS('Таблиця 1'!$B:$B,$A180,'Таблиця 1'!$I:$I,"Mi-24",'Таблиця 1'!$L:$L,"НЕ уражено"))</f>
        <v/>
      </c>
    </row>
    <row r="181">
      <c r="A181" s="273">
        <f>IF(A180="","",IF(A180+1&gt;MAX('Таблиця 1'!$B:$B),"",A180+1))</f>
        <v/>
      </c>
      <c r="B181">
        <f>IF($A181="","",COUNTIFS('Таблиця 1'!$B:$B,$A181,'Таблиця 1'!$I:$I,"Mi-8")+COUNTIFS('Таблиця 1'!$B:$B,$A181,'Таблиця 1'!$I:$I,"Mi-24"))</f>
        <v/>
      </c>
      <c r="C181">
        <f>IF($A181="","",COUNTIFS('Таблиця 1'!$B:$B,$A181,'Таблиця 1'!$I:$I,"Mi-8"))</f>
        <v/>
      </c>
      <c r="D181">
        <f>IF($A181="","",COUNTIFS('Таблиця 1'!$B:$B,$A181,'Таблиця 1'!$I:$I,"Mi-24"))</f>
        <v/>
      </c>
      <c r="E181">
        <f>IF($A181="","",SUMIFS('Таблиця 1'!$K:$K,'Таблиця 1'!$B:$B,$A181,'Таблиця 1'!$I:$I,"Mi-8",'Таблиця 1'!$J:$J,"ARS-8")+SUMIFS('Таблиця 1'!$K:$K,'Таблиця 1'!$B:$B,$A181,'Таблиця 1'!$I:$I,"Mi-24",'Таблиця 1'!$J:$J,"ARS-8"))</f>
        <v/>
      </c>
      <c r="F181">
        <f>IF($A181="","",SUMIFS('Таблиця 1'!$K:$K,'Таблиця 1'!$B:$B,$A181,'Таблиця 1'!$I:$I,"Mi-8",'Таблиця 1'!$J:$J,"С-8 ком")+SUMIFS('Таблиця 1'!$K:$K,'Таблиця 1'!$B:$B,$A181,'Таблиця 1'!$I:$I,"Mi-24",'Таблиця 1'!$J:$J,"С-8 ком"))</f>
        <v/>
      </c>
      <c r="G181">
        <f>IF($A181="","",SUMIFS('Таблиця 1'!$K:$K,'Таблиця 1'!$B:$B,$A181,'Таблиця 1'!$I:$I,"Mi-8",'Таблиця 1'!$J:$J,"PC-80")+SUMIFS('Таблиця 1'!$K:$K,'Таблиця 1'!$B:$B,$A181,'Таблиця 1'!$I:$I,"Mi-24",'Таблиця 1'!$J:$J,"PC-80"))</f>
        <v/>
      </c>
      <c r="H181">
        <f>IF($A181="","",SUMIFS('Таблиця 1'!$K:$K,'Таблиця 1'!$B:$B,$A181,'Таблиця 1'!$I:$I,"Mi-8",'Таблиця 1'!$J:$J,"UAR-80")+SUMIFS('Таблиця 1'!$K:$K,'Таблиця 1'!$B:$B,$A181,'Таблиця 1'!$I:$I,"Mi-24",'Таблиця 1'!$J:$J,"UAR-80"))</f>
        <v/>
      </c>
      <c r="I181">
        <f>IF($A181="","",SUMIFS('Таблиця 1'!$K:$K,'Таблиця 1'!$B:$B,$A181,'Таблиця 1'!$I:$I,"Mi-8",'Таблиця 1'!$J:$J,"C-13")+SUMIFS('Таблиця 1'!$K:$K,'Таблиця 1'!$B:$B,$A181,'Таблиця 1'!$I:$I,"Mi-24",'Таблиця 1'!$J:$J,"C-13"))</f>
        <v/>
      </c>
      <c r="J181">
        <f>IF($A181="","",SUMIFS('Таблиця 1'!$K:$K,'Таблиця 1'!$B:$B,$A181,'Таблиця 1'!$I:$I,"Mi-8",'Таблиця 1'!$J:$J,"Hydra-70")+SUMIFS('Таблиця 1'!$K:$K,'Таблиця 1'!$B:$B,$A181,'Таблиця 1'!$I:$I,"Mi-24",'Таблиця 1'!$J:$J,"Hydra-70"))</f>
        <v/>
      </c>
      <c r="K181">
        <f>IF($A181="","",SUMIFS('Таблиця 1'!$K:$K,'Таблиця 1'!$B:$B,$A181,'Таблиця 1'!$I:$I,"Mi-8",'Таблиця 1'!$J:$J,"Thales-70")+SUMIFS('Таблиця 1'!$K:$K,'Таблиця 1'!$B:$B,$A181,'Таблиця 1'!$I:$I,"Mi-24",'Таблиця 1'!$J:$J,"Thales-70"))</f>
        <v/>
      </c>
      <c r="L181">
        <f>IF($A181="","",SUMIFS('Таблиця 1'!$K:$K,'Таблиця 1'!$B:$B,$A181,'Таблиця 1'!$I:$I,"Mi-8",'Таблиця 1'!$J:$J,"Thales-FZ")+SUMIFS('Таблиця 1'!$K:$K,'Таблиця 1'!$B:$B,$A181,'Таблиця 1'!$I:$I,"Mi-24",'Таблиця 1'!$J:$J,"Thales-FZ"))</f>
        <v/>
      </c>
      <c r="M181">
        <f>IF($A181="","",SUMIFS('Таблиця 1'!$K:$K,'Таблиця 1'!$B:$B,$A181,'Таблиця 1'!$I:$I,"Mi-8",'Таблиця 1'!$J:$J,"МК-40")+SUMIFS('Таблиця 1'!$K:$K,'Таблиця 1'!$B:$B,$A181,'Таблиця 1'!$I:$I,"Mi-24",'Таблиця 1'!$J:$J,"МК-40"))</f>
        <v/>
      </c>
      <c r="N181">
        <f>IF($A181="","",SUMIFS('Таблиця 1'!$K:$K,'Таблиця 1'!$B:$B,$A181,'Таблиця 1'!$I:$I,"Mi-8",'Таблиця 1'!$J:$J,"Zuni")+SUMIFS('Таблиця 1'!$K:$K,'Таблиця 1'!$B:$B,$A181,'Таблиця 1'!$I:$I,"Mi-24",'Таблиця 1'!$J:$J,"Zuni"))</f>
        <v/>
      </c>
      <c r="O181">
        <f>IF($A181="","",COUNTIFS('Таблиця 1'!$B:$B,$A181,'Таблиця 1'!$I:$I,"Mi-8",'Таблиця 1'!$L:$L,"Уражено")+COUNTIFS('Таблиця 1'!$B:$B,$A181,'Таблиця 1'!$I:$I,"Mi-24",'Таблиця 1'!$L:$L,"Уражено"))</f>
        <v/>
      </c>
      <c r="P181">
        <f>IF($A181="","",COUNTIFS('Таблиця 1'!$B:$B,$A181,'Таблиця 1'!$I:$I,"Mi-8",'Таблиця 1'!$L:$L,"НЕ уражено")+COUNTIFS('Таблиця 1'!$B:$B,$A181,'Таблиця 1'!$I:$I,"Mi-24",'Таблиця 1'!$L:$L,"НЕ уражено"))</f>
        <v/>
      </c>
    </row>
    <row r="182">
      <c r="A182" s="273">
        <f>IF(A181="","",IF(A181+1&gt;MAX('Таблиця 1'!$B:$B),"",A181+1))</f>
        <v/>
      </c>
      <c r="B182">
        <f>IF($A182="","",COUNTIFS('Таблиця 1'!$B:$B,$A182,'Таблиця 1'!$I:$I,"Mi-8")+COUNTIFS('Таблиця 1'!$B:$B,$A182,'Таблиця 1'!$I:$I,"Mi-24"))</f>
        <v/>
      </c>
      <c r="C182">
        <f>IF($A182="","",COUNTIFS('Таблиця 1'!$B:$B,$A182,'Таблиця 1'!$I:$I,"Mi-8"))</f>
        <v/>
      </c>
      <c r="D182">
        <f>IF($A182="","",COUNTIFS('Таблиця 1'!$B:$B,$A182,'Таблиця 1'!$I:$I,"Mi-24"))</f>
        <v/>
      </c>
      <c r="E182">
        <f>IF($A182="","",SUMIFS('Таблиця 1'!$K:$K,'Таблиця 1'!$B:$B,$A182,'Таблиця 1'!$I:$I,"Mi-8",'Таблиця 1'!$J:$J,"ARS-8")+SUMIFS('Таблиця 1'!$K:$K,'Таблиця 1'!$B:$B,$A182,'Таблиця 1'!$I:$I,"Mi-24",'Таблиця 1'!$J:$J,"ARS-8"))</f>
        <v/>
      </c>
      <c r="F182">
        <f>IF($A182="","",SUMIFS('Таблиця 1'!$K:$K,'Таблиця 1'!$B:$B,$A182,'Таблиця 1'!$I:$I,"Mi-8",'Таблиця 1'!$J:$J,"С-8 ком")+SUMIFS('Таблиця 1'!$K:$K,'Таблиця 1'!$B:$B,$A182,'Таблиця 1'!$I:$I,"Mi-24",'Таблиця 1'!$J:$J,"С-8 ком"))</f>
        <v/>
      </c>
      <c r="G182">
        <f>IF($A182="","",SUMIFS('Таблиця 1'!$K:$K,'Таблиця 1'!$B:$B,$A182,'Таблиця 1'!$I:$I,"Mi-8",'Таблиця 1'!$J:$J,"PC-80")+SUMIFS('Таблиця 1'!$K:$K,'Таблиця 1'!$B:$B,$A182,'Таблиця 1'!$I:$I,"Mi-24",'Таблиця 1'!$J:$J,"PC-80"))</f>
        <v/>
      </c>
      <c r="H182">
        <f>IF($A182="","",SUMIFS('Таблиця 1'!$K:$K,'Таблиця 1'!$B:$B,$A182,'Таблиця 1'!$I:$I,"Mi-8",'Таблиця 1'!$J:$J,"UAR-80")+SUMIFS('Таблиця 1'!$K:$K,'Таблиця 1'!$B:$B,$A182,'Таблиця 1'!$I:$I,"Mi-24",'Таблиця 1'!$J:$J,"UAR-80"))</f>
        <v/>
      </c>
      <c r="I182">
        <f>IF($A182="","",SUMIFS('Таблиця 1'!$K:$K,'Таблиця 1'!$B:$B,$A182,'Таблиця 1'!$I:$I,"Mi-8",'Таблиця 1'!$J:$J,"C-13")+SUMIFS('Таблиця 1'!$K:$K,'Таблиця 1'!$B:$B,$A182,'Таблиця 1'!$I:$I,"Mi-24",'Таблиця 1'!$J:$J,"C-13"))</f>
        <v/>
      </c>
      <c r="J182">
        <f>IF($A182="","",SUMIFS('Таблиця 1'!$K:$K,'Таблиця 1'!$B:$B,$A182,'Таблиця 1'!$I:$I,"Mi-8",'Таблиця 1'!$J:$J,"Hydra-70")+SUMIFS('Таблиця 1'!$K:$K,'Таблиця 1'!$B:$B,$A182,'Таблиця 1'!$I:$I,"Mi-24",'Таблиця 1'!$J:$J,"Hydra-70"))</f>
        <v/>
      </c>
      <c r="K182">
        <f>IF($A182="","",SUMIFS('Таблиця 1'!$K:$K,'Таблиця 1'!$B:$B,$A182,'Таблиця 1'!$I:$I,"Mi-8",'Таблиця 1'!$J:$J,"Thales-70")+SUMIFS('Таблиця 1'!$K:$K,'Таблиця 1'!$B:$B,$A182,'Таблиця 1'!$I:$I,"Mi-24",'Таблиця 1'!$J:$J,"Thales-70"))</f>
        <v/>
      </c>
      <c r="L182">
        <f>IF($A182="","",SUMIFS('Таблиця 1'!$K:$K,'Таблиця 1'!$B:$B,$A182,'Таблиця 1'!$I:$I,"Mi-8",'Таблиця 1'!$J:$J,"Thales-FZ")+SUMIFS('Таблиця 1'!$K:$K,'Таблиця 1'!$B:$B,$A182,'Таблиця 1'!$I:$I,"Mi-24",'Таблиця 1'!$J:$J,"Thales-FZ"))</f>
        <v/>
      </c>
      <c r="M182">
        <f>IF($A182="","",SUMIFS('Таблиця 1'!$K:$K,'Таблиця 1'!$B:$B,$A182,'Таблиця 1'!$I:$I,"Mi-8",'Таблиця 1'!$J:$J,"МК-40")+SUMIFS('Таблиця 1'!$K:$K,'Таблиця 1'!$B:$B,$A182,'Таблиця 1'!$I:$I,"Mi-24",'Таблиця 1'!$J:$J,"МК-40"))</f>
        <v/>
      </c>
      <c r="N182">
        <f>IF($A182="","",SUMIFS('Таблиця 1'!$K:$K,'Таблиця 1'!$B:$B,$A182,'Таблиця 1'!$I:$I,"Mi-8",'Таблиця 1'!$J:$J,"Zuni")+SUMIFS('Таблиця 1'!$K:$K,'Таблиця 1'!$B:$B,$A182,'Таблиця 1'!$I:$I,"Mi-24",'Таблиця 1'!$J:$J,"Zuni"))</f>
        <v/>
      </c>
      <c r="O182">
        <f>IF($A182="","",COUNTIFS('Таблиця 1'!$B:$B,$A182,'Таблиця 1'!$I:$I,"Mi-8",'Таблиця 1'!$L:$L,"Уражено")+COUNTIFS('Таблиця 1'!$B:$B,$A182,'Таблиця 1'!$I:$I,"Mi-24",'Таблиця 1'!$L:$L,"Уражено"))</f>
        <v/>
      </c>
      <c r="P182">
        <f>IF($A182="","",COUNTIFS('Таблиця 1'!$B:$B,$A182,'Таблиця 1'!$I:$I,"Mi-8",'Таблиця 1'!$L:$L,"НЕ уражено")+COUNTIFS('Таблиця 1'!$B:$B,$A182,'Таблиця 1'!$I:$I,"Mi-24",'Таблиця 1'!$L:$L,"НЕ уражено"))</f>
        <v/>
      </c>
    </row>
    <row r="183">
      <c r="A183" s="273">
        <f>IF(A182="","",IF(A182+1&gt;MAX('Таблиця 1'!$B:$B),"",A182+1))</f>
        <v/>
      </c>
      <c r="B183">
        <f>IF($A183="","",COUNTIFS('Таблиця 1'!$B:$B,$A183,'Таблиця 1'!$I:$I,"Mi-8")+COUNTIFS('Таблиця 1'!$B:$B,$A183,'Таблиця 1'!$I:$I,"Mi-24"))</f>
        <v/>
      </c>
      <c r="C183">
        <f>IF($A183="","",COUNTIFS('Таблиця 1'!$B:$B,$A183,'Таблиця 1'!$I:$I,"Mi-8"))</f>
        <v/>
      </c>
      <c r="D183">
        <f>IF($A183="","",COUNTIFS('Таблиця 1'!$B:$B,$A183,'Таблиця 1'!$I:$I,"Mi-24"))</f>
        <v/>
      </c>
      <c r="E183">
        <f>IF($A183="","",SUMIFS('Таблиця 1'!$K:$K,'Таблиця 1'!$B:$B,$A183,'Таблиця 1'!$I:$I,"Mi-8",'Таблиця 1'!$J:$J,"ARS-8")+SUMIFS('Таблиця 1'!$K:$K,'Таблиця 1'!$B:$B,$A183,'Таблиця 1'!$I:$I,"Mi-24",'Таблиця 1'!$J:$J,"ARS-8"))</f>
        <v/>
      </c>
      <c r="F183">
        <f>IF($A183="","",SUMIFS('Таблиця 1'!$K:$K,'Таблиця 1'!$B:$B,$A183,'Таблиця 1'!$I:$I,"Mi-8",'Таблиця 1'!$J:$J,"С-8 ком")+SUMIFS('Таблиця 1'!$K:$K,'Таблиця 1'!$B:$B,$A183,'Таблиця 1'!$I:$I,"Mi-24",'Таблиця 1'!$J:$J,"С-8 ком"))</f>
        <v/>
      </c>
      <c r="G183">
        <f>IF($A183="","",SUMIFS('Таблиця 1'!$K:$K,'Таблиця 1'!$B:$B,$A183,'Таблиця 1'!$I:$I,"Mi-8",'Таблиця 1'!$J:$J,"PC-80")+SUMIFS('Таблиця 1'!$K:$K,'Таблиця 1'!$B:$B,$A183,'Таблиця 1'!$I:$I,"Mi-24",'Таблиця 1'!$J:$J,"PC-80"))</f>
        <v/>
      </c>
      <c r="H183">
        <f>IF($A183="","",SUMIFS('Таблиця 1'!$K:$K,'Таблиця 1'!$B:$B,$A183,'Таблиця 1'!$I:$I,"Mi-8",'Таблиця 1'!$J:$J,"UAR-80")+SUMIFS('Таблиця 1'!$K:$K,'Таблиця 1'!$B:$B,$A183,'Таблиця 1'!$I:$I,"Mi-24",'Таблиця 1'!$J:$J,"UAR-80"))</f>
        <v/>
      </c>
      <c r="I183">
        <f>IF($A183="","",SUMIFS('Таблиця 1'!$K:$K,'Таблиця 1'!$B:$B,$A183,'Таблиця 1'!$I:$I,"Mi-8",'Таблиця 1'!$J:$J,"C-13")+SUMIFS('Таблиця 1'!$K:$K,'Таблиця 1'!$B:$B,$A183,'Таблиця 1'!$I:$I,"Mi-24",'Таблиця 1'!$J:$J,"C-13"))</f>
        <v/>
      </c>
      <c r="J183">
        <f>IF($A183="","",SUMIFS('Таблиця 1'!$K:$K,'Таблиця 1'!$B:$B,$A183,'Таблиця 1'!$I:$I,"Mi-8",'Таблиця 1'!$J:$J,"Hydra-70")+SUMIFS('Таблиця 1'!$K:$K,'Таблиця 1'!$B:$B,$A183,'Таблиця 1'!$I:$I,"Mi-24",'Таблиця 1'!$J:$J,"Hydra-70"))</f>
        <v/>
      </c>
      <c r="K183">
        <f>IF($A183="","",SUMIFS('Таблиця 1'!$K:$K,'Таблиця 1'!$B:$B,$A183,'Таблиця 1'!$I:$I,"Mi-8",'Таблиця 1'!$J:$J,"Thales-70")+SUMIFS('Таблиця 1'!$K:$K,'Таблиця 1'!$B:$B,$A183,'Таблиця 1'!$I:$I,"Mi-24",'Таблиця 1'!$J:$J,"Thales-70"))</f>
        <v/>
      </c>
      <c r="L183">
        <f>IF($A183="","",SUMIFS('Таблиця 1'!$K:$K,'Таблиця 1'!$B:$B,$A183,'Таблиця 1'!$I:$I,"Mi-8",'Таблиця 1'!$J:$J,"Thales-FZ")+SUMIFS('Таблиця 1'!$K:$K,'Таблиця 1'!$B:$B,$A183,'Таблиця 1'!$I:$I,"Mi-24",'Таблиця 1'!$J:$J,"Thales-FZ"))</f>
        <v/>
      </c>
      <c r="M183">
        <f>IF($A183="","",SUMIFS('Таблиця 1'!$K:$K,'Таблиця 1'!$B:$B,$A183,'Таблиця 1'!$I:$I,"Mi-8",'Таблиця 1'!$J:$J,"МК-40")+SUMIFS('Таблиця 1'!$K:$K,'Таблиця 1'!$B:$B,$A183,'Таблиця 1'!$I:$I,"Mi-24",'Таблиця 1'!$J:$J,"МК-40"))</f>
        <v/>
      </c>
      <c r="N183">
        <f>IF($A183="","",SUMIFS('Таблиця 1'!$K:$K,'Таблиця 1'!$B:$B,$A183,'Таблиця 1'!$I:$I,"Mi-8",'Таблиця 1'!$J:$J,"Zuni")+SUMIFS('Таблиця 1'!$K:$K,'Таблиця 1'!$B:$B,$A183,'Таблиця 1'!$I:$I,"Mi-24",'Таблиця 1'!$J:$J,"Zuni"))</f>
        <v/>
      </c>
      <c r="O183">
        <f>IF($A183="","",COUNTIFS('Таблиця 1'!$B:$B,$A183,'Таблиця 1'!$I:$I,"Mi-8",'Таблиця 1'!$L:$L,"Уражено")+COUNTIFS('Таблиця 1'!$B:$B,$A183,'Таблиця 1'!$I:$I,"Mi-24",'Таблиця 1'!$L:$L,"Уражено"))</f>
        <v/>
      </c>
      <c r="P183">
        <f>IF($A183="","",COUNTIFS('Таблиця 1'!$B:$B,$A183,'Таблиця 1'!$I:$I,"Mi-8",'Таблиця 1'!$L:$L,"НЕ уражено")+COUNTIFS('Таблиця 1'!$B:$B,$A183,'Таблиця 1'!$I:$I,"Mi-24",'Таблиця 1'!$L:$L,"НЕ уражено"))</f>
        <v/>
      </c>
    </row>
    <row r="184">
      <c r="A184" s="273">
        <f>IF(A183="","",IF(A183+1&gt;MAX('Таблиця 1'!$B:$B),"",A183+1))</f>
        <v/>
      </c>
      <c r="B184">
        <f>IF($A184="","",COUNTIFS('Таблиця 1'!$B:$B,$A184,'Таблиця 1'!$I:$I,"Mi-8")+COUNTIFS('Таблиця 1'!$B:$B,$A184,'Таблиця 1'!$I:$I,"Mi-24"))</f>
        <v/>
      </c>
      <c r="C184">
        <f>IF($A184="","",COUNTIFS('Таблиця 1'!$B:$B,$A184,'Таблиця 1'!$I:$I,"Mi-8"))</f>
        <v/>
      </c>
      <c r="D184">
        <f>IF($A184="","",COUNTIFS('Таблиця 1'!$B:$B,$A184,'Таблиця 1'!$I:$I,"Mi-24"))</f>
        <v/>
      </c>
      <c r="E184">
        <f>IF($A184="","",SUMIFS('Таблиця 1'!$K:$K,'Таблиця 1'!$B:$B,$A184,'Таблиця 1'!$I:$I,"Mi-8",'Таблиця 1'!$J:$J,"ARS-8")+SUMIFS('Таблиця 1'!$K:$K,'Таблиця 1'!$B:$B,$A184,'Таблиця 1'!$I:$I,"Mi-24",'Таблиця 1'!$J:$J,"ARS-8"))</f>
        <v/>
      </c>
      <c r="F184">
        <f>IF($A184="","",SUMIFS('Таблиця 1'!$K:$K,'Таблиця 1'!$B:$B,$A184,'Таблиця 1'!$I:$I,"Mi-8",'Таблиця 1'!$J:$J,"С-8 ком")+SUMIFS('Таблиця 1'!$K:$K,'Таблиця 1'!$B:$B,$A184,'Таблиця 1'!$I:$I,"Mi-24",'Таблиця 1'!$J:$J,"С-8 ком"))</f>
        <v/>
      </c>
      <c r="G184">
        <f>IF($A184="","",SUMIFS('Таблиця 1'!$K:$K,'Таблиця 1'!$B:$B,$A184,'Таблиця 1'!$I:$I,"Mi-8",'Таблиця 1'!$J:$J,"PC-80")+SUMIFS('Таблиця 1'!$K:$K,'Таблиця 1'!$B:$B,$A184,'Таблиця 1'!$I:$I,"Mi-24",'Таблиця 1'!$J:$J,"PC-80"))</f>
        <v/>
      </c>
      <c r="H184">
        <f>IF($A184="","",SUMIFS('Таблиця 1'!$K:$K,'Таблиця 1'!$B:$B,$A184,'Таблиця 1'!$I:$I,"Mi-8",'Таблиця 1'!$J:$J,"UAR-80")+SUMIFS('Таблиця 1'!$K:$K,'Таблиця 1'!$B:$B,$A184,'Таблиця 1'!$I:$I,"Mi-24",'Таблиця 1'!$J:$J,"UAR-80"))</f>
        <v/>
      </c>
      <c r="I184">
        <f>IF($A184="","",SUMIFS('Таблиця 1'!$K:$K,'Таблиця 1'!$B:$B,$A184,'Таблиця 1'!$I:$I,"Mi-8",'Таблиця 1'!$J:$J,"C-13")+SUMIFS('Таблиця 1'!$K:$K,'Таблиця 1'!$B:$B,$A184,'Таблиця 1'!$I:$I,"Mi-24",'Таблиця 1'!$J:$J,"C-13"))</f>
        <v/>
      </c>
      <c r="J184">
        <f>IF($A184="","",SUMIFS('Таблиця 1'!$K:$K,'Таблиця 1'!$B:$B,$A184,'Таблиця 1'!$I:$I,"Mi-8",'Таблиця 1'!$J:$J,"Hydra-70")+SUMIFS('Таблиця 1'!$K:$K,'Таблиця 1'!$B:$B,$A184,'Таблиця 1'!$I:$I,"Mi-24",'Таблиця 1'!$J:$J,"Hydra-70"))</f>
        <v/>
      </c>
      <c r="K184">
        <f>IF($A184="","",SUMIFS('Таблиця 1'!$K:$K,'Таблиця 1'!$B:$B,$A184,'Таблиця 1'!$I:$I,"Mi-8",'Таблиця 1'!$J:$J,"Thales-70")+SUMIFS('Таблиця 1'!$K:$K,'Таблиця 1'!$B:$B,$A184,'Таблиця 1'!$I:$I,"Mi-24",'Таблиця 1'!$J:$J,"Thales-70"))</f>
        <v/>
      </c>
      <c r="L184">
        <f>IF($A184="","",SUMIFS('Таблиця 1'!$K:$K,'Таблиця 1'!$B:$B,$A184,'Таблиця 1'!$I:$I,"Mi-8",'Таблиця 1'!$J:$J,"Thales-FZ")+SUMIFS('Таблиця 1'!$K:$K,'Таблиця 1'!$B:$B,$A184,'Таблиця 1'!$I:$I,"Mi-24",'Таблиця 1'!$J:$J,"Thales-FZ"))</f>
        <v/>
      </c>
      <c r="M184">
        <f>IF($A184="","",SUMIFS('Таблиця 1'!$K:$K,'Таблиця 1'!$B:$B,$A184,'Таблиця 1'!$I:$I,"Mi-8",'Таблиця 1'!$J:$J,"МК-40")+SUMIFS('Таблиця 1'!$K:$K,'Таблиця 1'!$B:$B,$A184,'Таблиця 1'!$I:$I,"Mi-24",'Таблиця 1'!$J:$J,"МК-40"))</f>
        <v/>
      </c>
      <c r="N184">
        <f>IF($A184="","",SUMIFS('Таблиця 1'!$K:$K,'Таблиця 1'!$B:$B,$A184,'Таблиця 1'!$I:$I,"Mi-8",'Таблиця 1'!$J:$J,"Zuni")+SUMIFS('Таблиця 1'!$K:$K,'Таблиця 1'!$B:$B,$A184,'Таблиця 1'!$I:$I,"Mi-24",'Таблиця 1'!$J:$J,"Zuni"))</f>
        <v/>
      </c>
      <c r="O184">
        <f>IF($A184="","",COUNTIFS('Таблиця 1'!$B:$B,$A184,'Таблиця 1'!$I:$I,"Mi-8",'Таблиця 1'!$L:$L,"Уражено")+COUNTIFS('Таблиця 1'!$B:$B,$A184,'Таблиця 1'!$I:$I,"Mi-24",'Таблиця 1'!$L:$L,"Уражено"))</f>
        <v/>
      </c>
      <c r="P184">
        <f>IF($A184="","",COUNTIFS('Таблиця 1'!$B:$B,$A184,'Таблиця 1'!$I:$I,"Mi-8",'Таблиця 1'!$L:$L,"НЕ уражено")+COUNTIFS('Таблиця 1'!$B:$B,$A184,'Таблиця 1'!$I:$I,"Mi-24",'Таблиця 1'!$L:$L,"НЕ уражено"))</f>
        <v/>
      </c>
    </row>
    <row r="185">
      <c r="A185" s="273">
        <f>IF(A184="","",IF(A184+1&gt;MAX('Таблиця 1'!$B:$B),"",A184+1))</f>
        <v/>
      </c>
      <c r="B185">
        <f>IF($A185="","",COUNTIFS('Таблиця 1'!$B:$B,$A185,'Таблиця 1'!$I:$I,"Mi-8")+COUNTIFS('Таблиця 1'!$B:$B,$A185,'Таблиця 1'!$I:$I,"Mi-24"))</f>
        <v/>
      </c>
      <c r="C185">
        <f>IF($A185="","",COUNTIFS('Таблиця 1'!$B:$B,$A185,'Таблиця 1'!$I:$I,"Mi-8"))</f>
        <v/>
      </c>
      <c r="D185">
        <f>IF($A185="","",COUNTIFS('Таблиця 1'!$B:$B,$A185,'Таблиця 1'!$I:$I,"Mi-24"))</f>
        <v/>
      </c>
      <c r="E185">
        <f>IF($A185="","",SUMIFS('Таблиця 1'!$K:$K,'Таблиця 1'!$B:$B,$A185,'Таблиця 1'!$I:$I,"Mi-8",'Таблиця 1'!$J:$J,"ARS-8")+SUMIFS('Таблиця 1'!$K:$K,'Таблиця 1'!$B:$B,$A185,'Таблиця 1'!$I:$I,"Mi-24",'Таблиця 1'!$J:$J,"ARS-8"))</f>
        <v/>
      </c>
      <c r="F185">
        <f>IF($A185="","",SUMIFS('Таблиця 1'!$K:$K,'Таблиця 1'!$B:$B,$A185,'Таблиця 1'!$I:$I,"Mi-8",'Таблиця 1'!$J:$J,"С-8 ком")+SUMIFS('Таблиця 1'!$K:$K,'Таблиця 1'!$B:$B,$A185,'Таблиця 1'!$I:$I,"Mi-24",'Таблиця 1'!$J:$J,"С-8 ком"))</f>
        <v/>
      </c>
      <c r="G185">
        <f>IF($A185="","",SUMIFS('Таблиця 1'!$K:$K,'Таблиця 1'!$B:$B,$A185,'Таблиця 1'!$I:$I,"Mi-8",'Таблиця 1'!$J:$J,"PC-80")+SUMIFS('Таблиця 1'!$K:$K,'Таблиця 1'!$B:$B,$A185,'Таблиця 1'!$I:$I,"Mi-24",'Таблиця 1'!$J:$J,"PC-80"))</f>
        <v/>
      </c>
      <c r="H185">
        <f>IF($A185="","",SUMIFS('Таблиця 1'!$K:$K,'Таблиця 1'!$B:$B,$A185,'Таблиця 1'!$I:$I,"Mi-8",'Таблиця 1'!$J:$J,"UAR-80")+SUMIFS('Таблиця 1'!$K:$K,'Таблиця 1'!$B:$B,$A185,'Таблиця 1'!$I:$I,"Mi-24",'Таблиця 1'!$J:$J,"UAR-80"))</f>
        <v/>
      </c>
      <c r="I185">
        <f>IF($A185="","",SUMIFS('Таблиця 1'!$K:$K,'Таблиця 1'!$B:$B,$A185,'Таблиця 1'!$I:$I,"Mi-8",'Таблиця 1'!$J:$J,"C-13")+SUMIFS('Таблиця 1'!$K:$K,'Таблиця 1'!$B:$B,$A185,'Таблиця 1'!$I:$I,"Mi-24",'Таблиця 1'!$J:$J,"C-13"))</f>
        <v/>
      </c>
      <c r="J185">
        <f>IF($A185="","",SUMIFS('Таблиця 1'!$K:$K,'Таблиця 1'!$B:$B,$A185,'Таблиця 1'!$I:$I,"Mi-8",'Таблиця 1'!$J:$J,"Hydra-70")+SUMIFS('Таблиця 1'!$K:$K,'Таблиця 1'!$B:$B,$A185,'Таблиця 1'!$I:$I,"Mi-24",'Таблиця 1'!$J:$J,"Hydra-70"))</f>
        <v/>
      </c>
      <c r="K185">
        <f>IF($A185="","",SUMIFS('Таблиця 1'!$K:$K,'Таблиця 1'!$B:$B,$A185,'Таблиця 1'!$I:$I,"Mi-8",'Таблиця 1'!$J:$J,"Thales-70")+SUMIFS('Таблиця 1'!$K:$K,'Таблиця 1'!$B:$B,$A185,'Таблиця 1'!$I:$I,"Mi-24",'Таблиця 1'!$J:$J,"Thales-70"))</f>
        <v/>
      </c>
      <c r="L185">
        <f>IF($A185="","",SUMIFS('Таблиця 1'!$K:$K,'Таблиця 1'!$B:$B,$A185,'Таблиця 1'!$I:$I,"Mi-8",'Таблиця 1'!$J:$J,"Thales-FZ")+SUMIFS('Таблиця 1'!$K:$K,'Таблиця 1'!$B:$B,$A185,'Таблиця 1'!$I:$I,"Mi-24",'Таблиця 1'!$J:$J,"Thales-FZ"))</f>
        <v/>
      </c>
      <c r="M185">
        <f>IF($A185="","",SUMIFS('Таблиця 1'!$K:$K,'Таблиця 1'!$B:$B,$A185,'Таблиця 1'!$I:$I,"Mi-8",'Таблиця 1'!$J:$J,"МК-40")+SUMIFS('Таблиця 1'!$K:$K,'Таблиця 1'!$B:$B,$A185,'Таблиця 1'!$I:$I,"Mi-24",'Таблиця 1'!$J:$J,"МК-40"))</f>
        <v/>
      </c>
      <c r="N185">
        <f>IF($A185="","",SUMIFS('Таблиця 1'!$K:$K,'Таблиця 1'!$B:$B,$A185,'Таблиця 1'!$I:$I,"Mi-8",'Таблиця 1'!$J:$J,"Zuni")+SUMIFS('Таблиця 1'!$K:$K,'Таблиця 1'!$B:$B,$A185,'Таблиця 1'!$I:$I,"Mi-24",'Таблиця 1'!$J:$J,"Zuni"))</f>
        <v/>
      </c>
      <c r="O185">
        <f>IF($A185="","",COUNTIFS('Таблиця 1'!$B:$B,$A185,'Таблиця 1'!$I:$I,"Mi-8",'Таблиця 1'!$L:$L,"Уражено")+COUNTIFS('Таблиця 1'!$B:$B,$A185,'Таблиця 1'!$I:$I,"Mi-24",'Таблиця 1'!$L:$L,"Уражено"))</f>
        <v/>
      </c>
      <c r="P185">
        <f>IF($A185="","",COUNTIFS('Таблиця 1'!$B:$B,$A185,'Таблиця 1'!$I:$I,"Mi-8",'Таблиця 1'!$L:$L,"НЕ уражено")+COUNTIFS('Таблиця 1'!$B:$B,$A185,'Таблиця 1'!$I:$I,"Mi-24",'Таблиця 1'!$L:$L,"НЕ уражено"))</f>
        <v/>
      </c>
    </row>
    <row r="186">
      <c r="A186" s="273">
        <f>IF(A185="","",IF(A185+1&gt;MAX('Таблиця 1'!$B:$B),"",A185+1))</f>
        <v/>
      </c>
      <c r="B186">
        <f>IF($A186="","",COUNTIFS('Таблиця 1'!$B:$B,$A186,'Таблиця 1'!$I:$I,"Mi-8")+COUNTIFS('Таблиця 1'!$B:$B,$A186,'Таблиця 1'!$I:$I,"Mi-24"))</f>
        <v/>
      </c>
      <c r="C186">
        <f>IF($A186="","",COUNTIFS('Таблиця 1'!$B:$B,$A186,'Таблиця 1'!$I:$I,"Mi-8"))</f>
        <v/>
      </c>
      <c r="D186">
        <f>IF($A186="","",COUNTIFS('Таблиця 1'!$B:$B,$A186,'Таблиця 1'!$I:$I,"Mi-24"))</f>
        <v/>
      </c>
      <c r="E186">
        <f>IF($A186="","",SUMIFS('Таблиця 1'!$K:$K,'Таблиця 1'!$B:$B,$A186,'Таблиця 1'!$I:$I,"Mi-8",'Таблиця 1'!$J:$J,"ARS-8")+SUMIFS('Таблиця 1'!$K:$K,'Таблиця 1'!$B:$B,$A186,'Таблиця 1'!$I:$I,"Mi-24",'Таблиця 1'!$J:$J,"ARS-8"))</f>
        <v/>
      </c>
      <c r="F186">
        <f>IF($A186="","",SUMIFS('Таблиця 1'!$K:$K,'Таблиця 1'!$B:$B,$A186,'Таблиця 1'!$I:$I,"Mi-8",'Таблиця 1'!$J:$J,"С-8 ком")+SUMIFS('Таблиця 1'!$K:$K,'Таблиця 1'!$B:$B,$A186,'Таблиця 1'!$I:$I,"Mi-24",'Таблиця 1'!$J:$J,"С-8 ком"))</f>
        <v/>
      </c>
      <c r="G186">
        <f>IF($A186="","",SUMIFS('Таблиця 1'!$K:$K,'Таблиця 1'!$B:$B,$A186,'Таблиця 1'!$I:$I,"Mi-8",'Таблиця 1'!$J:$J,"PC-80")+SUMIFS('Таблиця 1'!$K:$K,'Таблиця 1'!$B:$B,$A186,'Таблиця 1'!$I:$I,"Mi-24",'Таблиця 1'!$J:$J,"PC-80"))</f>
        <v/>
      </c>
      <c r="H186">
        <f>IF($A186="","",SUMIFS('Таблиця 1'!$K:$K,'Таблиця 1'!$B:$B,$A186,'Таблиця 1'!$I:$I,"Mi-8",'Таблиця 1'!$J:$J,"UAR-80")+SUMIFS('Таблиця 1'!$K:$K,'Таблиця 1'!$B:$B,$A186,'Таблиця 1'!$I:$I,"Mi-24",'Таблиця 1'!$J:$J,"UAR-80"))</f>
        <v/>
      </c>
      <c r="I186">
        <f>IF($A186="","",SUMIFS('Таблиця 1'!$K:$K,'Таблиця 1'!$B:$B,$A186,'Таблиця 1'!$I:$I,"Mi-8",'Таблиця 1'!$J:$J,"C-13")+SUMIFS('Таблиця 1'!$K:$K,'Таблиця 1'!$B:$B,$A186,'Таблиця 1'!$I:$I,"Mi-24",'Таблиця 1'!$J:$J,"C-13"))</f>
        <v/>
      </c>
      <c r="J186">
        <f>IF($A186="","",SUMIFS('Таблиця 1'!$K:$K,'Таблиця 1'!$B:$B,$A186,'Таблиця 1'!$I:$I,"Mi-8",'Таблиця 1'!$J:$J,"Hydra-70")+SUMIFS('Таблиця 1'!$K:$K,'Таблиця 1'!$B:$B,$A186,'Таблиця 1'!$I:$I,"Mi-24",'Таблиця 1'!$J:$J,"Hydra-70"))</f>
        <v/>
      </c>
      <c r="K186">
        <f>IF($A186="","",SUMIFS('Таблиця 1'!$K:$K,'Таблиця 1'!$B:$B,$A186,'Таблиця 1'!$I:$I,"Mi-8",'Таблиця 1'!$J:$J,"Thales-70")+SUMIFS('Таблиця 1'!$K:$K,'Таблиця 1'!$B:$B,$A186,'Таблиця 1'!$I:$I,"Mi-24",'Таблиця 1'!$J:$J,"Thales-70"))</f>
        <v/>
      </c>
      <c r="L186">
        <f>IF($A186="","",SUMIFS('Таблиця 1'!$K:$K,'Таблиця 1'!$B:$B,$A186,'Таблиця 1'!$I:$I,"Mi-8",'Таблиця 1'!$J:$J,"Thales-FZ")+SUMIFS('Таблиця 1'!$K:$K,'Таблиця 1'!$B:$B,$A186,'Таблиця 1'!$I:$I,"Mi-24",'Таблиця 1'!$J:$J,"Thales-FZ"))</f>
        <v/>
      </c>
      <c r="M186">
        <f>IF($A186="","",SUMIFS('Таблиця 1'!$K:$K,'Таблиця 1'!$B:$B,$A186,'Таблиця 1'!$I:$I,"Mi-8",'Таблиця 1'!$J:$J,"МК-40")+SUMIFS('Таблиця 1'!$K:$K,'Таблиця 1'!$B:$B,$A186,'Таблиця 1'!$I:$I,"Mi-24",'Таблиця 1'!$J:$J,"МК-40"))</f>
        <v/>
      </c>
      <c r="N186">
        <f>IF($A186="","",SUMIFS('Таблиця 1'!$K:$K,'Таблиця 1'!$B:$B,$A186,'Таблиця 1'!$I:$I,"Mi-8",'Таблиця 1'!$J:$J,"Zuni")+SUMIFS('Таблиця 1'!$K:$K,'Таблиця 1'!$B:$B,$A186,'Таблиця 1'!$I:$I,"Mi-24",'Таблиця 1'!$J:$J,"Zuni"))</f>
        <v/>
      </c>
      <c r="O186">
        <f>IF($A186="","",COUNTIFS('Таблиця 1'!$B:$B,$A186,'Таблиця 1'!$I:$I,"Mi-8",'Таблиця 1'!$L:$L,"Уражено")+COUNTIFS('Таблиця 1'!$B:$B,$A186,'Таблиця 1'!$I:$I,"Mi-24",'Таблиця 1'!$L:$L,"Уражено"))</f>
        <v/>
      </c>
      <c r="P186">
        <f>IF($A186="","",COUNTIFS('Таблиця 1'!$B:$B,$A186,'Таблиця 1'!$I:$I,"Mi-8",'Таблиця 1'!$L:$L,"НЕ уражено")+COUNTIFS('Таблиця 1'!$B:$B,$A186,'Таблиця 1'!$I:$I,"Mi-24",'Таблиця 1'!$L:$L,"НЕ уражено"))</f>
        <v/>
      </c>
    </row>
    <row r="187">
      <c r="A187" s="273">
        <f>IF(A186="","",IF(A186+1&gt;MAX('Таблиця 1'!$B:$B),"",A186+1))</f>
        <v/>
      </c>
      <c r="B187">
        <f>IF($A187="","",COUNTIFS('Таблиця 1'!$B:$B,$A187,'Таблиця 1'!$I:$I,"Mi-8")+COUNTIFS('Таблиця 1'!$B:$B,$A187,'Таблиця 1'!$I:$I,"Mi-24"))</f>
        <v/>
      </c>
      <c r="C187">
        <f>IF($A187="","",COUNTIFS('Таблиця 1'!$B:$B,$A187,'Таблиця 1'!$I:$I,"Mi-8"))</f>
        <v/>
      </c>
      <c r="D187">
        <f>IF($A187="","",COUNTIFS('Таблиця 1'!$B:$B,$A187,'Таблиця 1'!$I:$I,"Mi-24"))</f>
        <v/>
      </c>
      <c r="E187">
        <f>IF($A187="","",SUMIFS('Таблиця 1'!$K:$K,'Таблиця 1'!$B:$B,$A187,'Таблиця 1'!$I:$I,"Mi-8",'Таблиця 1'!$J:$J,"ARS-8")+SUMIFS('Таблиця 1'!$K:$K,'Таблиця 1'!$B:$B,$A187,'Таблиця 1'!$I:$I,"Mi-24",'Таблиця 1'!$J:$J,"ARS-8"))</f>
        <v/>
      </c>
      <c r="F187">
        <f>IF($A187="","",SUMIFS('Таблиця 1'!$K:$K,'Таблиця 1'!$B:$B,$A187,'Таблиця 1'!$I:$I,"Mi-8",'Таблиця 1'!$J:$J,"С-8 ком")+SUMIFS('Таблиця 1'!$K:$K,'Таблиця 1'!$B:$B,$A187,'Таблиця 1'!$I:$I,"Mi-24",'Таблиця 1'!$J:$J,"С-8 ком"))</f>
        <v/>
      </c>
      <c r="G187">
        <f>IF($A187="","",SUMIFS('Таблиця 1'!$K:$K,'Таблиця 1'!$B:$B,$A187,'Таблиця 1'!$I:$I,"Mi-8",'Таблиця 1'!$J:$J,"PC-80")+SUMIFS('Таблиця 1'!$K:$K,'Таблиця 1'!$B:$B,$A187,'Таблиця 1'!$I:$I,"Mi-24",'Таблиця 1'!$J:$J,"PC-80"))</f>
        <v/>
      </c>
      <c r="H187">
        <f>IF($A187="","",SUMIFS('Таблиця 1'!$K:$K,'Таблиця 1'!$B:$B,$A187,'Таблиця 1'!$I:$I,"Mi-8",'Таблиця 1'!$J:$J,"UAR-80")+SUMIFS('Таблиця 1'!$K:$K,'Таблиця 1'!$B:$B,$A187,'Таблиця 1'!$I:$I,"Mi-24",'Таблиця 1'!$J:$J,"UAR-80"))</f>
        <v/>
      </c>
      <c r="I187">
        <f>IF($A187="","",SUMIFS('Таблиця 1'!$K:$K,'Таблиця 1'!$B:$B,$A187,'Таблиця 1'!$I:$I,"Mi-8",'Таблиця 1'!$J:$J,"C-13")+SUMIFS('Таблиця 1'!$K:$K,'Таблиця 1'!$B:$B,$A187,'Таблиця 1'!$I:$I,"Mi-24",'Таблиця 1'!$J:$J,"C-13"))</f>
        <v/>
      </c>
      <c r="J187">
        <f>IF($A187="","",SUMIFS('Таблиця 1'!$K:$K,'Таблиця 1'!$B:$B,$A187,'Таблиця 1'!$I:$I,"Mi-8",'Таблиця 1'!$J:$J,"Hydra-70")+SUMIFS('Таблиця 1'!$K:$K,'Таблиця 1'!$B:$B,$A187,'Таблиця 1'!$I:$I,"Mi-24",'Таблиця 1'!$J:$J,"Hydra-70"))</f>
        <v/>
      </c>
      <c r="K187">
        <f>IF($A187="","",SUMIFS('Таблиця 1'!$K:$K,'Таблиця 1'!$B:$B,$A187,'Таблиця 1'!$I:$I,"Mi-8",'Таблиця 1'!$J:$J,"Thales-70")+SUMIFS('Таблиця 1'!$K:$K,'Таблиця 1'!$B:$B,$A187,'Таблиця 1'!$I:$I,"Mi-24",'Таблиця 1'!$J:$J,"Thales-70"))</f>
        <v/>
      </c>
      <c r="L187">
        <f>IF($A187="","",SUMIFS('Таблиця 1'!$K:$K,'Таблиця 1'!$B:$B,$A187,'Таблиця 1'!$I:$I,"Mi-8",'Таблиця 1'!$J:$J,"Thales-FZ")+SUMIFS('Таблиця 1'!$K:$K,'Таблиця 1'!$B:$B,$A187,'Таблиця 1'!$I:$I,"Mi-24",'Таблиця 1'!$J:$J,"Thales-FZ"))</f>
        <v/>
      </c>
      <c r="M187">
        <f>IF($A187="","",SUMIFS('Таблиця 1'!$K:$K,'Таблиця 1'!$B:$B,$A187,'Таблиця 1'!$I:$I,"Mi-8",'Таблиця 1'!$J:$J,"МК-40")+SUMIFS('Таблиця 1'!$K:$K,'Таблиця 1'!$B:$B,$A187,'Таблиця 1'!$I:$I,"Mi-24",'Таблиця 1'!$J:$J,"МК-40"))</f>
        <v/>
      </c>
      <c r="N187">
        <f>IF($A187="","",SUMIFS('Таблиця 1'!$K:$K,'Таблиця 1'!$B:$B,$A187,'Таблиця 1'!$I:$I,"Mi-8",'Таблиця 1'!$J:$J,"Zuni")+SUMIFS('Таблиця 1'!$K:$K,'Таблиця 1'!$B:$B,$A187,'Таблиця 1'!$I:$I,"Mi-24",'Таблиця 1'!$J:$J,"Zuni"))</f>
        <v/>
      </c>
      <c r="O187">
        <f>IF($A187="","",COUNTIFS('Таблиця 1'!$B:$B,$A187,'Таблиця 1'!$I:$I,"Mi-8",'Таблиця 1'!$L:$L,"Уражено")+COUNTIFS('Таблиця 1'!$B:$B,$A187,'Таблиця 1'!$I:$I,"Mi-24",'Таблиця 1'!$L:$L,"Уражено"))</f>
        <v/>
      </c>
      <c r="P187">
        <f>IF($A187="","",COUNTIFS('Таблиця 1'!$B:$B,$A187,'Таблиця 1'!$I:$I,"Mi-8",'Таблиця 1'!$L:$L,"НЕ уражено")+COUNTIFS('Таблиця 1'!$B:$B,$A187,'Таблиця 1'!$I:$I,"Mi-24",'Таблиця 1'!$L:$L,"НЕ уражено"))</f>
        <v/>
      </c>
    </row>
    <row r="188">
      <c r="A188" s="273">
        <f>IF(A187="","",IF(A187+1&gt;MAX('Таблиця 1'!$B:$B),"",A187+1))</f>
        <v/>
      </c>
      <c r="B188">
        <f>IF($A188="","",COUNTIFS('Таблиця 1'!$B:$B,$A188,'Таблиця 1'!$I:$I,"Mi-8")+COUNTIFS('Таблиця 1'!$B:$B,$A188,'Таблиця 1'!$I:$I,"Mi-24"))</f>
        <v/>
      </c>
      <c r="C188">
        <f>IF($A188="","",COUNTIFS('Таблиця 1'!$B:$B,$A188,'Таблиця 1'!$I:$I,"Mi-8"))</f>
        <v/>
      </c>
      <c r="D188">
        <f>IF($A188="","",COUNTIFS('Таблиця 1'!$B:$B,$A188,'Таблиця 1'!$I:$I,"Mi-24"))</f>
        <v/>
      </c>
      <c r="E188">
        <f>IF($A188="","",SUMIFS('Таблиця 1'!$K:$K,'Таблиця 1'!$B:$B,$A188,'Таблиця 1'!$I:$I,"Mi-8",'Таблиця 1'!$J:$J,"ARS-8")+SUMIFS('Таблиця 1'!$K:$K,'Таблиця 1'!$B:$B,$A188,'Таблиця 1'!$I:$I,"Mi-24",'Таблиця 1'!$J:$J,"ARS-8"))</f>
        <v/>
      </c>
      <c r="F188">
        <f>IF($A188="","",SUMIFS('Таблиця 1'!$K:$K,'Таблиця 1'!$B:$B,$A188,'Таблиця 1'!$I:$I,"Mi-8",'Таблиця 1'!$J:$J,"С-8 ком")+SUMIFS('Таблиця 1'!$K:$K,'Таблиця 1'!$B:$B,$A188,'Таблиця 1'!$I:$I,"Mi-24",'Таблиця 1'!$J:$J,"С-8 ком"))</f>
        <v/>
      </c>
      <c r="G188">
        <f>IF($A188="","",SUMIFS('Таблиця 1'!$K:$K,'Таблиця 1'!$B:$B,$A188,'Таблиця 1'!$I:$I,"Mi-8",'Таблиця 1'!$J:$J,"PC-80")+SUMIFS('Таблиця 1'!$K:$K,'Таблиця 1'!$B:$B,$A188,'Таблиця 1'!$I:$I,"Mi-24",'Таблиця 1'!$J:$J,"PC-80"))</f>
        <v/>
      </c>
      <c r="H188">
        <f>IF($A188="","",SUMIFS('Таблиця 1'!$K:$K,'Таблиця 1'!$B:$B,$A188,'Таблиця 1'!$I:$I,"Mi-8",'Таблиця 1'!$J:$J,"UAR-80")+SUMIFS('Таблиця 1'!$K:$K,'Таблиця 1'!$B:$B,$A188,'Таблиця 1'!$I:$I,"Mi-24",'Таблиця 1'!$J:$J,"UAR-80"))</f>
        <v/>
      </c>
      <c r="I188">
        <f>IF($A188="","",SUMIFS('Таблиця 1'!$K:$K,'Таблиця 1'!$B:$B,$A188,'Таблиця 1'!$I:$I,"Mi-8",'Таблиця 1'!$J:$J,"C-13")+SUMIFS('Таблиця 1'!$K:$K,'Таблиця 1'!$B:$B,$A188,'Таблиця 1'!$I:$I,"Mi-24",'Таблиця 1'!$J:$J,"C-13"))</f>
        <v/>
      </c>
      <c r="J188">
        <f>IF($A188="","",SUMIFS('Таблиця 1'!$K:$K,'Таблиця 1'!$B:$B,$A188,'Таблиця 1'!$I:$I,"Mi-8",'Таблиця 1'!$J:$J,"Hydra-70")+SUMIFS('Таблиця 1'!$K:$K,'Таблиця 1'!$B:$B,$A188,'Таблиця 1'!$I:$I,"Mi-24",'Таблиця 1'!$J:$J,"Hydra-70"))</f>
        <v/>
      </c>
      <c r="K188">
        <f>IF($A188="","",SUMIFS('Таблиця 1'!$K:$K,'Таблиця 1'!$B:$B,$A188,'Таблиця 1'!$I:$I,"Mi-8",'Таблиця 1'!$J:$J,"Thales-70")+SUMIFS('Таблиця 1'!$K:$K,'Таблиця 1'!$B:$B,$A188,'Таблиця 1'!$I:$I,"Mi-24",'Таблиця 1'!$J:$J,"Thales-70"))</f>
        <v/>
      </c>
      <c r="L188">
        <f>IF($A188="","",SUMIFS('Таблиця 1'!$K:$K,'Таблиця 1'!$B:$B,$A188,'Таблиця 1'!$I:$I,"Mi-8",'Таблиця 1'!$J:$J,"Thales-FZ")+SUMIFS('Таблиця 1'!$K:$K,'Таблиця 1'!$B:$B,$A188,'Таблиця 1'!$I:$I,"Mi-24",'Таблиця 1'!$J:$J,"Thales-FZ"))</f>
        <v/>
      </c>
      <c r="M188">
        <f>IF($A188="","",SUMIFS('Таблиця 1'!$K:$K,'Таблиця 1'!$B:$B,$A188,'Таблиця 1'!$I:$I,"Mi-8",'Таблиця 1'!$J:$J,"МК-40")+SUMIFS('Таблиця 1'!$K:$K,'Таблиця 1'!$B:$B,$A188,'Таблиця 1'!$I:$I,"Mi-24",'Таблиця 1'!$J:$J,"МК-40"))</f>
        <v/>
      </c>
      <c r="N188">
        <f>IF($A188="","",SUMIFS('Таблиця 1'!$K:$K,'Таблиця 1'!$B:$B,$A188,'Таблиця 1'!$I:$I,"Mi-8",'Таблиця 1'!$J:$J,"Zuni")+SUMIFS('Таблиця 1'!$K:$K,'Таблиця 1'!$B:$B,$A188,'Таблиця 1'!$I:$I,"Mi-24",'Таблиця 1'!$J:$J,"Zuni"))</f>
        <v/>
      </c>
      <c r="O188">
        <f>IF($A188="","",COUNTIFS('Таблиця 1'!$B:$B,$A188,'Таблиця 1'!$I:$I,"Mi-8",'Таблиця 1'!$L:$L,"Уражено")+COUNTIFS('Таблиця 1'!$B:$B,$A188,'Таблиця 1'!$I:$I,"Mi-24",'Таблиця 1'!$L:$L,"Уражено"))</f>
        <v/>
      </c>
      <c r="P188">
        <f>IF($A188="","",COUNTIFS('Таблиця 1'!$B:$B,$A188,'Таблиця 1'!$I:$I,"Mi-8",'Таблиця 1'!$L:$L,"НЕ уражено")+COUNTIFS('Таблиця 1'!$B:$B,$A188,'Таблиця 1'!$I:$I,"Mi-24",'Таблиця 1'!$L:$L,"НЕ уражено"))</f>
        <v/>
      </c>
    </row>
    <row r="189">
      <c r="A189" s="273">
        <f>IF(A188="","",IF(A188+1&gt;MAX('Таблиця 1'!$B:$B),"",A188+1))</f>
        <v/>
      </c>
      <c r="B189">
        <f>IF($A189="","",COUNTIFS('Таблиця 1'!$B:$B,$A189,'Таблиця 1'!$I:$I,"Mi-8")+COUNTIFS('Таблиця 1'!$B:$B,$A189,'Таблиця 1'!$I:$I,"Mi-24"))</f>
        <v/>
      </c>
      <c r="C189">
        <f>IF($A189="","",COUNTIFS('Таблиця 1'!$B:$B,$A189,'Таблиця 1'!$I:$I,"Mi-8"))</f>
        <v/>
      </c>
      <c r="D189">
        <f>IF($A189="","",COUNTIFS('Таблиця 1'!$B:$B,$A189,'Таблиця 1'!$I:$I,"Mi-24"))</f>
        <v/>
      </c>
      <c r="E189">
        <f>IF($A189="","",SUMIFS('Таблиця 1'!$K:$K,'Таблиця 1'!$B:$B,$A189,'Таблиця 1'!$I:$I,"Mi-8",'Таблиця 1'!$J:$J,"ARS-8")+SUMIFS('Таблиця 1'!$K:$K,'Таблиця 1'!$B:$B,$A189,'Таблиця 1'!$I:$I,"Mi-24",'Таблиця 1'!$J:$J,"ARS-8"))</f>
        <v/>
      </c>
      <c r="F189">
        <f>IF($A189="","",SUMIFS('Таблиця 1'!$K:$K,'Таблиця 1'!$B:$B,$A189,'Таблиця 1'!$I:$I,"Mi-8",'Таблиця 1'!$J:$J,"С-8 ком")+SUMIFS('Таблиця 1'!$K:$K,'Таблиця 1'!$B:$B,$A189,'Таблиця 1'!$I:$I,"Mi-24",'Таблиця 1'!$J:$J,"С-8 ком"))</f>
        <v/>
      </c>
      <c r="G189">
        <f>IF($A189="","",SUMIFS('Таблиця 1'!$K:$K,'Таблиця 1'!$B:$B,$A189,'Таблиця 1'!$I:$I,"Mi-8",'Таблиця 1'!$J:$J,"PC-80")+SUMIFS('Таблиця 1'!$K:$K,'Таблиця 1'!$B:$B,$A189,'Таблиця 1'!$I:$I,"Mi-24",'Таблиця 1'!$J:$J,"PC-80"))</f>
        <v/>
      </c>
      <c r="H189">
        <f>IF($A189="","",SUMIFS('Таблиця 1'!$K:$K,'Таблиця 1'!$B:$B,$A189,'Таблиця 1'!$I:$I,"Mi-8",'Таблиця 1'!$J:$J,"UAR-80")+SUMIFS('Таблиця 1'!$K:$K,'Таблиця 1'!$B:$B,$A189,'Таблиця 1'!$I:$I,"Mi-24",'Таблиця 1'!$J:$J,"UAR-80"))</f>
        <v/>
      </c>
      <c r="I189">
        <f>IF($A189="","",SUMIFS('Таблиця 1'!$K:$K,'Таблиця 1'!$B:$B,$A189,'Таблиця 1'!$I:$I,"Mi-8",'Таблиця 1'!$J:$J,"C-13")+SUMIFS('Таблиця 1'!$K:$K,'Таблиця 1'!$B:$B,$A189,'Таблиця 1'!$I:$I,"Mi-24",'Таблиця 1'!$J:$J,"C-13"))</f>
        <v/>
      </c>
      <c r="J189">
        <f>IF($A189="","",SUMIFS('Таблиця 1'!$K:$K,'Таблиця 1'!$B:$B,$A189,'Таблиця 1'!$I:$I,"Mi-8",'Таблиця 1'!$J:$J,"Hydra-70")+SUMIFS('Таблиця 1'!$K:$K,'Таблиця 1'!$B:$B,$A189,'Таблиця 1'!$I:$I,"Mi-24",'Таблиця 1'!$J:$J,"Hydra-70"))</f>
        <v/>
      </c>
      <c r="K189">
        <f>IF($A189="","",SUMIFS('Таблиця 1'!$K:$K,'Таблиця 1'!$B:$B,$A189,'Таблиця 1'!$I:$I,"Mi-8",'Таблиця 1'!$J:$J,"Thales-70")+SUMIFS('Таблиця 1'!$K:$K,'Таблиця 1'!$B:$B,$A189,'Таблиця 1'!$I:$I,"Mi-24",'Таблиця 1'!$J:$J,"Thales-70"))</f>
        <v/>
      </c>
      <c r="L189">
        <f>IF($A189="","",SUMIFS('Таблиця 1'!$K:$K,'Таблиця 1'!$B:$B,$A189,'Таблиця 1'!$I:$I,"Mi-8",'Таблиця 1'!$J:$J,"Thales-FZ")+SUMIFS('Таблиця 1'!$K:$K,'Таблиця 1'!$B:$B,$A189,'Таблиця 1'!$I:$I,"Mi-24",'Таблиця 1'!$J:$J,"Thales-FZ"))</f>
        <v/>
      </c>
      <c r="M189">
        <f>IF($A189="","",SUMIFS('Таблиця 1'!$K:$K,'Таблиця 1'!$B:$B,$A189,'Таблиця 1'!$I:$I,"Mi-8",'Таблиця 1'!$J:$J,"МК-40")+SUMIFS('Таблиця 1'!$K:$K,'Таблиця 1'!$B:$B,$A189,'Таблиця 1'!$I:$I,"Mi-24",'Таблиця 1'!$J:$J,"МК-40"))</f>
        <v/>
      </c>
      <c r="N189">
        <f>IF($A189="","",SUMIFS('Таблиця 1'!$K:$K,'Таблиця 1'!$B:$B,$A189,'Таблиця 1'!$I:$I,"Mi-8",'Таблиця 1'!$J:$J,"Zuni")+SUMIFS('Таблиця 1'!$K:$K,'Таблиця 1'!$B:$B,$A189,'Таблиця 1'!$I:$I,"Mi-24",'Таблиця 1'!$J:$J,"Zuni"))</f>
        <v/>
      </c>
      <c r="O189">
        <f>IF($A189="","",COUNTIFS('Таблиця 1'!$B:$B,$A189,'Таблиця 1'!$I:$I,"Mi-8",'Таблиця 1'!$L:$L,"Уражено")+COUNTIFS('Таблиця 1'!$B:$B,$A189,'Таблиця 1'!$I:$I,"Mi-24",'Таблиця 1'!$L:$L,"Уражено"))</f>
        <v/>
      </c>
      <c r="P189">
        <f>IF($A189="","",COUNTIFS('Таблиця 1'!$B:$B,$A189,'Таблиця 1'!$I:$I,"Mi-8",'Таблиця 1'!$L:$L,"НЕ уражено")+COUNTIFS('Таблиця 1'!$B:$B,$A189,'Таблиця 1'!$I:$I,"Mi-24",'Таблиця 1'!$L:$L,"НЕ уражено"))</f>
        <v/>
      </c>
    </row>
    <row r="190">
      <c r="A190" s="273">
        <f>IF(A189="","",IF(A189+1&gt;MAX('Таблиця 1'!$B:$B),"",A189+1))</f>
        <v/>
      </c>
      <c r="B190">
        <f>IF($A190="","",COUNTIFS('Таблиця 1'!$B:$B,$A190,'Таблиця 1'!$I:$I,"Mi-8")+COUNTIFS('Таблиця 1'!$B:$B,$A190,'Таблиця 1'!$I:$I,"Mi-24"))</f>
        <v/>
      </c>
      <c r="C190">
        <f>IF($A190="","",COUNTIFS('Таблиця 1'!$B:$B,$A190,'Таблиця 1'!$I:$I,"Mi-8"))</f>
        <v/>
      </c>
      <c r="D190">
        <f>IF($A190="","",COUNTIFS('Таблиця 1'!$B:$B,$A190,'Таблиця 1'!$I:$I,"Mi-24"))</f>
        <v/>
      </c>
      <c r="E190">
        <f>IF($A190="","",SUMIFS('Таблиця 1'!$K:$K,'Таблиця 1'!$B:$B,$A190,'Таблиця 1'!$I:$I,"Mi-8",'Таблиця 1'!$J:$J,"ARS-8")+SUMIFS('Таблиця 1'!$K:$K,'Таблиця 1'!$B:$B,$A190,'Таблиця 1'!$I:$I,"Mi-24",'Таблиця 1'!$J:$J,"ARS-8"))</f>
        <v/>
      </c>
      <c r="F190">
        <f>IF($A190="","",SUMIFS('Таблиця 1'!$K:$K,'Таблиця 1'!$B:$B,$A190,'Таблиця 1'!$I:$I,"Mi-8",'Таблиця 1'!$J:$J,"С-8 ком")+SUMIFS('Таблиця 1'!$K:$K,'Таблиця 1'!$B:$B,$A190,'Таблиця 1'!$I:$I,"Mi-24",'Таблиця 1'!$J:$J,"С-8 ком"))</f>
        <v/>
      </c>
      <c r="G190">
        <f>IF($A190="","",SUMIFS('Таблиця 1'!$K:$K,'Таблиця 1'!$B:$B,$A190,'Таблиця 1'!$I:$I,"Mi-8",'Таблиця 1'!$J:$J,"PC-80")+SUMIFS('Таблиця 1'!$K:$K,'Таблиця 1'!$B:$B,$A190,'Таблиця 1'!$I:$I,"Mi-24",'Таблиця 1'!$J:$J,"PC-80"))</f>
        <v/>
      </c>
      <c r="H190">
        <f>IF($A190="","",SUMIFS('Таблиця 1'!$K:$K,'Таблиця 1'!$B:$B,$A190,'Таблиця 1'!$I:$I,"Mi-8",'Таблиця 1'!$J:$J,"UAR-80")+SUMIFS('Таблиця 1'!$K:$K,'Таблиця 1'!$B:$B,$A190,'Таблиця 1'!$I:$I,"Mi-24",'Таблиця 1'!$J:$J,"UAR-80"))</f>
        <v/>
      </c>
      <c r="I190">
        <f>IF($A190="","",SUMIFS('Таблиця 1'!$K:$K,'Таблиця 1'!$B:$B,$A190,'Таблиця 1'!$I:$I,"Mi-8",'Таблиця 1'!$J:$J,"C-13")+SUMIFS('Таблиця 1'!$K:$K,'Таблиця 1'!$B:$B,$A190,'Таблиця 1'!$I:$I,"Mi-24",'Таблиця 1'!$J:$J,"C-13"))</f>
        <v/>
      </c>
      <c r="J190">
        <f>IF($A190="","",SUMIFS('Таблиця 1'!$K:$K,'Таблиця 1'!$B:$B,$A190,'Таблиця 1'!$I:$I,"Mi-8",'Таблиця 1'!$J:$J,"Hydra-70")+SUMIFS('Таблиця 1'!$K:$K,'Таблиця 1'!$B:$B,$A190,'Таблиця 1'!$I:$I,"Mi-24",'Таблиця 1'!$J:$J,"Hydra-70"))</f>
        <v/>
      </c>
      <c r="K190">
        <f>IF($A190="","",SUMIFS('Таблиця 1'!$K:$K,'Таблиця 1'!$B:$B,$A190,'Таблиця 1'!$I:$I,"Mi-8",'Таблиця 1'!$J:$J,"Thales-70")+SUMIFS('Таблиця 1'!$K:$K,'Таблиця 1'!$B:$B,$A190,'Таблиця 1'!$I:$I,"Mi-24",'Таблиця 1'!$J:$J,"Thales-70"))</f>
        <v/>
      </c>
      <c r="L190">
        <f>IF($A190="","",SUMIFS('Таблиця 1'!$K:$K,'Таблиця 1'!$B:$B,$A190,'Таблиця 1'!$I:$I,"Mi-8",'Таблиця 1'!$J:$J,"Thales-FZ")+SUMIFS('Таблиця 1'!$K:$K,'Таблиця 1'!$B:$B,$A190,'Таблиця 1'!$I:$I,"Mi-24",'Таблиця 1'!$J:$J,"Thales-FZ"))</f>
        <v/>
      </c>
      <c r="M190">
        <f>IF($A190="","",SUMIFS('Таблиця 1'!$K:$K,'Таблиця 1'!$B:$B,$A190,'Таблиця 1'!$I:$I,"Mi-8",'Таблиця 1'!$J:$J,"МК-40")+SUMIFS('Таблиця 1'!$K:$K,'Таблиця 1'!$B:$B,$A190,'Таблиця 1'!$I:$I,"Mi-24",'Таблиця 1'!$J:$J,"МК-40"))</f>
        <v/>
      </c>
      <c r="N190">
        <f>IF($A190="","",SUMIFS('Таблиця 1'!$K:$K,'Таблиця 1'!$B:$B,$A190,'Таблиця 1'!$I:$I,"Mi-8",'Таблиця 1'!$J:$J,"Zuni")+SUMIFS('Таблиця 1'!$K:$K,'Таблиця 1'!$B:$B,$A190,'Таблиця 1'!$I:$I,"Mi-24",'Таблиця 1'!$J:$J,"Zuni"))</f>
        <v/>
      </c>
      <c r="O190">
        <f>IF($A190="","",COUNTIFS('Таблиця 1'!$B:$B,$A190,'Таблиця 1'!$I:$I,"Mi-8",'Таблиця 1'!$L:$L,"Уражено")+COUNTIFS('Таблиця 1'!$B:$B,$A190,'Таблиця 1'!$I:$I,"Mi-24",'Таблиця 1'!$L:$L,"Уражено"))</f>
        <v/>
      </c>
      <c r="P190">
        <f>IF($A190="","",COUNTIFS('Таблиця 1'!$B:$B,$A190,'Таблиця 1'!$I:$I,"Mi-8",'Таблиця 1'!$L:$L,"НЕ уражено")+COUNTIFS('Таблиця 1'!$B:$B,$A190,'Таблиця 1'!$I:$I,"Mi-24",'Таблиця 1'!$L:$L,"НЕ уражено"))</f>
        <v/>
      </c>
    </row>
    <row r="191">
      <c r="A191" s="273">
        <f>IF(A190="","",IF(A190+1&gt;MAX('Таблиця 1'!$B:$B),"",A190+1))</f>
        <v/>
      </c>
      <c r="B191">
        <f>IF($A191="","",COUNTIFS('Таблиця 1'!$B:$B,$A191,'Таблиця 1'!$I:$I,"Mi-8")+COUNTIFS('Таблиця 1'!$B:$B,$A191,'Таблиця 1'!$I:$I,"Mi-24"))</f>
        <v/>
      </c>
      <c r="C191">
        <f>IF($A191="","",COUNTIFS('Таблиця 1'!$B:$B,$A191,'Таблиця 1'!$I:$I,"Mi-8"))</f>
        <v/>
      </c>
      <c r="D191">
        <f>IF($A191="","",COUNTIFS('Таблиця 1'!$B:$B,$A191,'Таблиця 1'!$I:$I,"Mi-24"))</f>
        <v/>
      </c>
      <c r="E191">
        <f>IF($A191="","",SUMIFS('Таблиця 1'!$K:$K,'Таблиця 1'!$B:$B,$A191,'Таблиця 1'!$I:$I,"Mi-8",'Таблиця 1'!$J:$J,"ARS-8")+SUMIFS('Таблиця 1'!$K:$K,'Таблиця 1'!$B:$B,$A191,'Таблиця 1'!$I:$I,"Mi-24",'Таблиця 1'!$J:$J,"ARS-8"))</f>
        <v/>
      </c>
      <c r="F191">
        <f>IF($A191="","",SUMIFS('Таблиця 1'!$K:$K,'Таблиця 1'!$B:$B,$A191,'Таблиця 1'!$I:$I,"Mi-8",'Таблиця 1'!$J:$J,"С-8 ком")+SUMIFS('Таблиця 1'!$K:$K,'Таблиця 1'!$B:$B,$A191,'Таблиця 1'!$I:$I,"Mi-24",'Таблиця 1'!$J:$J,"С-8 ком"))</f>
        <v/>
      </c>
      <c r="G191">
        <f>IF($A191="","",SUMIFS('Таблиця 1'!$K:$K,'Таблиця 1'!$B:$B,$A191,'Таблиця 1'!$I:$I,"Mi-8",'Таблиця 1'!$J:$J,"PC-80")+SUMIFS('Таблиця 1'!$K:$K,'Таблиця 1'!$B:$B,$A191,'Таблиця 1'!$I:$I,"Mi-24",'Таблиця 1'!$J:$J,"PC-80"))</f>
        <v/>
      </c>
      <c r="H191">
        <f>IF($A191="","",SUMIFS('Таблиця 1'!$K:$K,'Таблиця 1'!$B:$B,$A191,'Таблиця 1'!$I:$I,"Mi-8",'Таблиця 1'!$J:$J,"UAR-80")+SUMIFS('Таблиця 1'!$K:$K,'Таблиця 1'!$B:$B,$A191,'Таблиця 1'!$I:$I,"Mi-24",'Таблиця 1'!$J:$J,"UAR-80"))</f>
        <v/>
      </c>
      <c r="I191">
        <f>IF($A191="","",SUMIFS('Таблиця 1'!$K:$K,'Таблиця 1'!$B:$B,$A191,'Таблиця 1'!$I:$I,"Mi-8",'Таблиця 1'!$J:$J,"C-13")+SUMIFS('Таблиця 1'!$K:$K,'Таблиця 1'!$B:$B,$A191,'Таблиця 1'!$I:$I,"Mi-24",'Таблиця 1'!$J:$J,"C-13"))</f>
        <v/>
      </c>
      <c r="J191">
        <f>IF($A191="","",SUMIFS('Таблиця 1'!$K:$K,'Таблиця 1'!$B:$B,$A191,'Таблиця 1'!$I:$I,"Mi-8",'Таблиця 1'!$J:$J,"Hydra-70")+SUMIFS('Таблиця 1'!$K:$K,'Таблиця 1'!$B:$B,$A191,'Таблиця 1'!$I:$I,"Mi-24",'Таблиця 1'!$J:$J,"Hydra-70"))</f>
        <v/>
      </c>
      <c r="K191">
        <f>IF($A191="","",SUMIFS('Таблиця 1'!$K:$K,'Таблиця 1'!$B:$B,$A191,'Таблиця 1'!$I:$I,"Mi-8",'Таблиця 1'!$J:$J,"Thales-70")+SUMIFS('Таблиця 1'!$K:$K,'Таблиця 1'!$B:$B,$A191,'Таблиця 1'!$I:$I,"Mi-24",'Таблиця 1'!$J:$J,"Thales-70"))</f>
        <v/>
      </c>
      <c r="L191">
        <f>IF($A191="","",SUMIFS('Таблиця 1'!$K:$K,'Таблиця 1'!$B:$B,$A191,'Таблиця 1'!$I:$I,"Mi-8",'Таблиця 1'!$J:$J,"Thales-FZ")+SUMIFS('Таблиця 1'!$K:$K,'Таблиця 1'!$B:$B,$A191,'Таблиця 1'!$I:$I,"Mi-24",'Таблиця 1'!$J:$J,"Thales-FZ"))</f>
        <v/>
      </c>
      <c r="M191">
        <f>IF($A191="","",SUMIFS('Таблиця 1'!$K:$K,'Таблиця 1'!$B:$B,$A191,'Таблиця 1'!$I:$I,"Mi-8",'Таблиця 1'!$J:$J,"МК-40")+SUMIFS('Таблиця 1'!$K:$K,'Таблиця 1'!$B:$B,$A191,'Таблиця 1'!$I:$I,"Mi-24",'Таблиця 1'!$J:$J,"МК-40"))</f>
        <v/>
      </c>
      <c r="N191">
        <f>IF($A191="","",SUMIFS('Таблиця 1'!$K:$K,'Таблиця 1'!$B:$B,$A191,'Таблиця 1'!$I:$I,"Mi-8",'Таблиця 1'!$J:$J,"Zuni")+SUMIFS('Таблиця 1'!$K:$K,'Таблиця 1'!$B:$B,$A191,'Таблиця 1'!$I:$I,"Mi-24",'Таблиця 1'!$J:$J,"Zuni"))</f>
        <v/>
      </c>
      <c r="O191">
        <f>IF($A191="","",COUNTIFS('Таблиця 1'!$B:$B,$A191,'Таблиця 1'!$I:$I,"Mi-8",'Таблиця 1'!$L:$L,"Уражено")+COUNTIFS('Таблиця 1'!$B:$B,$A191,'Таблиця 1'!$I:$I,"Mi-24",'Таблиця 1'!$L:$L,"Уражено"))</f>
        <v/>
      </c>
      <c r="P191">
        <f>IF($A191="","",COUNTIFS('Таблиця 1'!$B:$B,$A191,'Таблиця 1'!$I:$I,"Mi-8",'Таблиця 1'!$L:$L,"НЕ уражено")+COUNTIFS('Таблиця 1'!$B:$B,$A191,'Таблиця 1'!$I:$I,"Mi-24",'Таблиця 1'!$L:$L,"НЕ уражено"))</f>
        <v/>
      </c>
    </row>
    <row r="192">
      <c r="A192" s="273">
        <f>IF(A191="","",IF(A191+1&gt;MAX('Таблиця 1'!$B:$B),"",A191+1))</f>
        <v/>
      </c>
      <c r="B192">
        <f>IF($A192="","",COUNTIFS('Таблиця 1'!$B:$B,$A192,'Таблиця 1'!$I:$I,"Mi-8")+COUNTIFS('Таблиця 1'!$B:$B,$A192,'Таблиця 1'!$I:$I,"Mi-24"))</f>
        <v/>
      </c>
      <c r="C192">
        <f>IF($A192="","",COUNTIFS('Таблиця 1'!$B:$B,$A192,'Таблиця 1'!$I:$I,"Mi-8"))</f>
        <v/>
      </c>
      <c r="D192">
        <f>IF($A192="","",COUNTIFS('Таблиця 1'!$B:$B,$A192,'Таблиця 1'!$I:$I,"Mi-24"))</f>
        <v/>
      </c>
      <c r="E192">
        <f>IF($A192="","",SUMIFS('Таблиця 1'!$K:$K,'Таблиця 1'!$B:$B,$A192,'Таблиця 1'!$I:$I,"Mi-8",'Таблиця 1'!$J:$J,"ARS-8")+SUMIFS('Таблиця 1'!$K:$K,'Таблиця 1'!$B:$B,$A192,'Таблиця 1'!$I:$I,"Mi-24",'Таблиця 1'!$J:$J,"ARS-8"))</f>
        <v/>
      </c>
      <c r="F192">
        <f>IF($A192="","",SUMIFS('Таблиця 1'!$K:$K,'Таблиця 1'!$B:$B,$A192,'Таблиця 1'!$I:$I,"Mi-8",'Таблиця 1'!$J:$J,"С-8 ком")+SUMIFS('Таблиця 1'!$K:$K,'Таблиця 1'!$B:$B,$A192,'Таблиця 1'!$I:$I,"Mi-24",'Таблиця 1'!$J:$J,"С-8 ком"))</f>
        <v/>
      </c>
      <c r="G192">
        <f>IF($A192="","",SUMIFS('Таблиця 1'!$K:$K,'Таблиця 1'!$B:$B,$A192,'Таблиця 1'!$I:$I,"Mi-8",'Таблиця 1'!$J:$J,"PC-80")+SUMIFS('Таблиця 1'!$K:$K,'Таблиця 1'!$B:$B,$A192,'Таблиця 1'!$I:$I,"Mi-24",'Таблиця 1'!$J:$J,"PC-80"))</f>
        <v/>
      </c>
      <c r="H192">
        <f>IF($A192="","",SUMIFS('Таблиця 1'!$K:$K,'Таблиця 1'!$B:$B,$A192,'Таблиця 1'!$I:$I,"Mi-8",'Таблиця 1'!$J:$J,"UAR-80")+SUMIFS('Таблиця 1'!$K:$K,'Таблиця 1'!$B:$B,$A192,'Таблиця 1'!$I:$I,"Mi-24",'Таблиця 1'!$J:$J,"UAR-80"))</f>
        <v/>
      </c>
      <c r="I192">
        <f>IF($A192="","",SUMIFS('Таблиця 1'!$K:$K,'Таблиця 1'!$B:$B,$A192,'Таблиця 1'!$I:$I,"Mi-8",'Таблиця 1'!$J:$J,"C-13")+SUMIFS('Таблиця 1'!$K:$K,'Таблиця 1'!$B:$B,$A192,'Таблиця 1'!$I:$I,"Mi-24",'Таблиця 1'!$J:$J,"C-13"))</f>
        <v/>
      </c>
      <c r="J192">
        <f>IF($A192="","",SUMIFS('Таблиця 1'!$K:$K,'Таблиця 1'!$B:$B,$A192,'Таблиця 1'!$I:$I,"Mi-8",'Таблиця 1'!$J:$J,"Hydra-70")+SUMIFS('Таблиця 1'!$K:$K,'Таблиця 1'!$B:$B,$A192,'Таблиця 1'!$I:$I,"Mi-24",'Таблиця 1'!$J:$J,"Hydra-70"))</f>
        <v/>
      </c>
      <c r="K192">
        <f>IF($A192="","",SUMIFS('Таблиця 1'!$K:$K,'Таблиця 1'!$B:$B,$A192,'Таблиця 1'!$I:$I,"Mi-8",'Таблиця 1'!$J:$J,"Thales-70")+SUMIFS('Таблиця 1'!$K:$K,'Таблиця 1'!$B:$B,$A192,'Таблиця 1'!$I:$I,"Mi-24",'Таблиця 1'!$J:$J,"Thales-70"))</f>
        <v/>
      </c>
      <c r="L192">
        <f>IF($A192="","",SUMIFS('Таблиця 1'!$K:$K,'Таблиця 1'!$B:$B,$A192,'Таблиця 1'!$I:$I,"Mi-8",'Таблиця 1'!$J:$J,"Thales-FZ")+SUMIFS('Таблиця 1'!$K:$K,'Таблиця 1'!$B:$B,$A192,'Таблиця 1'!$I:$I,"Mi-24",'Таблиця 1'!$J:$J,"Thales-FZ"))</f>
        <v/>
      </c>
      <c r="M192">
        <f>IF($A192="","",SUMIFS('Таблиця 1'!$K:$K,'Таблиця 1'!$B:$B,$A192,'Таблиця 1'!$I:$I,"Mi-8",'Таблиця 1'!$J:$J,"МК-40")+SUMIFS('Таблиця 1'!$K:$K,'Таблиця 1'!$B:$B,$A192,'Таблиця 1'!$I:$I,"Mi-24",'Таблиця 1'!$J:$J,"МК-40"))</f>
        <v/>
      </c>
      <c r="N192">
        <f>IF($A192="","",SUMIFS('Таблиця 1'!$K:$K,'Таблиця 1'!$B:$B,$A192,'Таблиця 1'!$I:$I,"Mi-8",'Таблиця 1'!$J:$J,"Zuni")+SUMIFS('Таблиця 1'!$K:$K,'Таблиця 1'!$B:$B,$A192,'Таблиця 1'!$I:$I,"Mi-24",'Таблиця 1'!$J:$J,"Zuni"))</f>
        <v/>
      </c>
      <c r="O192">
        <f>IF($A192="","",COUNTIFS('Таблиця 1'!$B:$B,$A192,'Таблиця 1'!$I:$I,"Mi-8",'Таблиця 1'!$L:$L,"Уражено")+COUNTIFS('Таблиця 1'!$B:$B,$A192,'Таблиця 1'!$I:$I,"Mi-24",'Таблиця 1'!$L:$L,"Уражено"))</f>
        <v/>
      </c>
      <c r="P192">
        <f>IF($A192="","",COUNTIFS('Таблиця 1'!$B:$B,$A192,'Таблиця 1'!$I:$I,"Mi-8",'Таблиця 1'!$L:$L,"НЕ уражено")+COUNTIFS('Таблиця 1'!$B:$B,$A192,'Таблиця 1'!$I:$I,"Mi-24",'Таблиця 1'!$L:$L,"НЕ уражено"))</f>
        <v/>
      </c>
    </row>
    <row r="193">
      <c r="A193" s="273">
        <f>IF(A192="","",IF(A192+1&gt;MAX('Таблиця 1'!$B:$B),"",A192+1))</f>
        <v/>
      </c>
      <c r="B193">
        <f>IF($A193="","",COUNTIFS('Таблиця 1'!$B:$B,$A193,'Таблиця 1'!$I:$I,"Mi-8")+COUNTIFS('Таблиця 1'!$B:$B,$A193,'Таблиця 1'!$I:$I,"Mi-24"))</f>
        <v/>
      </c>
      <c r="C193">
        <f>IF($A193="","",COUNTIFS('Таблиця 1'!$B:$B,$A193,'Таблиця 1'!$I:$I,"Mi-8"))</f>
        <v/>
      </c>
      <c r="D193">
        <f>IF($A193="","",COUNTIFS('Таблиця 1'!$B:$B,$A193,'Таблиця 1'!$I:$I,"Mi-24"))</f>
        <v/>
      </c>
      <c r="E193">
        <f>IF($A193="","",SUMIFS('Таблиця 1'!$K:$K,'Таблиця 1'!$B:$B,$A193,'Таблиця 1'!$I:$I,"Mi-8",'Таблиця 1'!$J:$J,"ARS-8")+SUMIFS('Таблиця 1'!$K:$K,'Таблиця 1'!$B:$B,$A193,'Таблиця 1'!$I:$I,"Mi-24",'Таблиця 1'!$J:$J,"ARS-8"))</f>
        <v/>
      </c>
      <c r="F193">
        <f>IF($A193="","",SUMIFS('Таблиця 1'!$K:$K,'Таблиця 1'!$B:$B,$A193,'Таблиця 1'!$I:$I,"Mi-8",'Таблиця 1'!$J:$J,"С-8 ком")+SUMIFS('Таблиця 1'!$K:$K,'Таблиця 1'!$B:$B,$A193,'Таблиця 1'!$I:$I,"Mi-24",'Таблиця 1'!$J:$J,"С-8 ком"))</f>
        <v/>
      </c>
      <c r="G193">
        <f>IF($A193="","",SUMIFS('Таблиця 1'!$K:$K,'Таблиця 1'!$B:$B,$A193,'Таблиця 1'!$I:$I,"Mi-8",'Таблиця 1'!$J:$J,"PC-80")+SUMIFS('Таблиця 1'!$K:$K,'Таблиця 1'!$B:$B,$A193,'Таблиця 1'!$I:$I,"Mi-24",'Таблиця 1'!$J:$J,"PC-80"))</f>
        <v/>
      </c>
      <c r="H193">
        <f>IF($A193="","",SUMIFS('Таблиця 1'!$K:$K,'Таблиця 1'!$B:$B,$A193,'Таблиця 1'!$I:$I,"Mi-8",'Таблиця 1'!$J:$J,"UAR-80")+SUMIFS('Таблиця 1'!$K:$K,'Таблиця 1'!$B:$B,$A193,'Таблиця 1'!$I:$I,"Mi-24",'Таблиця 1'!$J:$J,"UAR-80"))</f>
        <v/>
      </c>
      <c r="I193">
        <f>IF($A193="","",SUMIFS('Таблиця 1'!$K:$K,'Таблиця 1'!$B:$B,$A193,'Таблиця 1'!$I:$I,"Mi-8",'Таблиця 1'!$J:$J,"C-13")+SUMIFS('Таблиця 1'!$K:$K,'Таблиця 1'!$B:$B,$A193,'Таблиця 1'!$I:$I,"Mi-24",'Таблиця 1'!$J:$J,"C-13"))</f>
        <v/>
      </c>
      <c r="J193">
        <f>IF($A193="","",SUMIFS('Таблиця 1'!$K:$K,'Таблиця 1'!$B:$B,$A193,'Таблиця 1'!$I:$I,"Mi-8",'Таблиця 1'!$J:$J,"Hydra-70")+SUMIFS('Таблиця 1'!$K:$K,'Таблиця 1'!$B:$B,$A193,'Таблиця 1'!$I:$I,"Mi-24",'Таблиця 1'!$J:$J,"Hydra-70"))</f>
        <v/>
      </c>
      <c r="K193">
        <f>IF($A193="","",SUMIFS('Таблиця 1'!$K:$K,'Таблиця 1'!$B:$B,$A193,'Таблиця 1'!$I:$I,"Mi-8",'Таблиця 1'!$J:$J,"Thales-70")+SUMIFS('Таблиця 1'!$K:$K,'Таблиця 1'!$B:$B,$A193,'Таблиця 1'!$I:$I,"Mi-24",'Таблиця 1'!$J:$J,"Thales-70"))</f>
        <v/>
      </c>
      <c r="L193">
        <f>IF($A193="","",SUMIFS('Таблиця 1'!$K:$K,'Таблиця 1'!$B:$B,$A193,'Таблиця 1'!$I:$I,"Mi-8",'Таблиця 1'!$J:$J,"Thales-FZ")+SUMIFS('Таблиця 1'!$K:$K,'Таблиця 1'!$B:$B,$A193,'Таблиця 1'!$I:$I,"Mi-24",'Таблиця 1'!$J:$J,"Thales-FZ"))</f>
        <v/>
      </c>
      <c r="M193">
        <f>IF($A193="","",SUMIFS('Таблиця 1'!$K:$K,'Таблиця 1'!$B:$B,$A193,'Таблиця 1'!$I:$I,"Mi-8",'Таблиця 1'!$J:$J,"МК-40")+SUMIFS('Таблиця 1'!$K:$K,'Таблиця 1'!$B:$B,$A193,'Таблиця 1'!$I:$I,"Mi-24",'Таблиця 1'!$J:$J,"МК-40"))</f>
        <v/>
      </c>
      <c r="N193">
        <f>IF($A193="","",SUMIFS('Таблиця 1'!$K:$K,'Таблиця 1'!$B:$B,$A193,'Таблиця 1'!$I:$I,"Mi-8",'Таблиця 1'!$J:$J,"Zuni")+SUMIFS('Таблиця 1'!$K:$K,'Таблиця 1'!$B:$B,$A193,'Таблиця 1'!$I:$I,"Mi-24",'Таблиця 1'!$J:$J,"Zuni"))</f>
        <v/>
      </c>
      <c r="O193">
        <f>IF($A193="","",COUNTIFS('Таблиця 1'!$B:$B,$A193,'Таблиця 1'!$I:$I,"Mi-8",'Таблиця 1'!$L:$L,"Уражено")+COUNTIFS('Таблиця 1'!$B:$B,$A193,'Таблиця 1'!$I:$I,"Mi-24",'Таблиця 1'!$L:$L,"Уражено"))</f>
        <v/>
      </c>
      <c r="P193">
        <f>IF($A193="","",COUNTIFS('Таблиця 1'!$B:$B,$A193,'Таблиця 1'!$I:$I,"Mi-8",'Таблиця 1'!$L:$L,"НЕ уражено")+COUNTIFS('Таблиця 1'!$B:$B,$A193,'Таблиця 1'!$I:$I,"Mi-24",'Таблиця 1'!$L:$L,"НЕ уражено"))</f>
        <v/>
      </c>
    </row>
    <row r="194">
      <c r="A194" s="273">
        <f>IF(A193="","",IF(A193+1&gt;MAX('Таблиця 1'!$B:$B),"",A193+1))</f>
        <v/>
      </c>
      <c r="B194">
        <f>IF($A194="","",COUNTIFS('Таблиця 1'!$B:$B,$A194,'Таблиця 1'!$I:$I,"Mi-8")+COUNTIFS('Таблиця 1'!$B:$B,$A194,'Таблиця 1'!$I:$I,"Mi-24"))</f>
        <v/>
      </c>
      <c r="C194">
        <f>IF($A194="","",COUNTIFS('Таблиця 1'!$B:$B,$A194,'Таблиця 1'!$I:$I,"Mi-8"))</f>
        <v/>
      </c>
      <c r="D194">
        <f>IF($A194="","",COUNTIFS('Таблиця 1'!$B:$B,$A194,'Таблиця 1'!$I:$I,"Mi-24"))</f>
        <v/>
      </c>
      <c r="E194">
        <f>IF($A194="","",SUMIFS('Таблиця 1'!$K:$K,'Таблиця 1'!$B:$B,$A194,'Таблиця 1'!$I:$I,"Mi-8",'Таблиця 1'!$J:$J,"ARS-8")+SUMIFS('Таблиця 1'!$K:$K,'Таблиця 1'!$B:$B,$A194,'Таблиця 1'!$I:$I,"Mi-24",'Таблиця 1'!$J:$J,"ARS-8"))</f>
        <v/>
      </c>
      <c r="F194">
        <f>IF($A194="","",SUMIFS('Таблиця 1'!$K:$K,'Таблиця 1'!$B:$B,$A194,'Таблиця 1'!$I:$I,"Mi-8",'Таблиця 1'!$J:$J,"С-8 ком")+SUMIFS('Таблиця 1'!$K:$K,'Таблиця 1'!$B:$B,$A194,'Таблиця 1'!$I:$I,"Mi-24",'Таблиця 1'!$J:$J,"С-8 ком"))</f>
        <v/>
      </c>
      <c r="G194">
        <f>IF($A194="","",SUMIFS('Таблиця 1'!$K:$K,'Таблиця 1'!$B:$B,$A194,'Таблиця 1'!$I:$I,"Mi-8",'Таблиця 1'!$J:$J,"PC-80")+SUMIFS('Таблиця 1'!$K:$K,'Таблиця 1'!$B:$B,$A194,'Таблиця 1'!$I:$I,"Mi-24",'Таблиця 1'!$J:$J,"PC-80"))</f>
        <v/>
      </c>
      <c r="H194">
        <f>IF($A194="","",SUMIFS('Таблиця 1'!$K:$K,'Таблиця 1'!$B:$B,$A194,'Таблиця 1'!$I:$I,"Mi-8",'Таблиця 1'!$J:$J,"UAR-80")+SUMIFS('Таблиця 1'!$K:$K,'Таблиця 1'!$B:$B,$A194,'Таблиця 1'!$I:$I,"Mi-24",'Таблиця 1'!$J:$J,"UAR-80"))</f>
        <v/>
      </c>
      <c r="I194">
        <f>IF($A194="","",SUMIFS('Таблиця 1'!$K:$K,'Таблиця 1'!$B:$B,$A194,'Таблиця 1'!$I:$I,"Mi-8",'Таблиця 1'!$J:$J,"C-13")+SUMIFS('Таблиця 1'!$K:$K,'Таблиця 1'!$B:$B,$A194,'Таблиця 1'!$I:$I,"Mi-24",'Таблиця 1'!$J:$J,"C-13"))</f>
        <v/>
      </c>
      <c r="J194">
        <f>IF($A194="","",SUMIFS('Таблиця 1'!$K:$K,'Таблиця 1'!$B:$B,$A194,'Таблиця 1'!$I:$I,"Mi-8",'Таблиця 1'!$J:$J,"Hydra-70")+SUMIFS('Таблиця 1'!$K:$K,'Таблиця 1'!$B:$B,$A194,'Таблиця 1'!$I:$I,"Mi-24",'Таблиця 1'!$J:$J,"Hydra-70"))</f>
        <v/>
      </c>
      <c r="K194">
        <f>IF($A194="","",SUMIFS('Таблиця 1'!$K:$K,'Таблиця 1'!$B:$B,$A194,'Таблиця 1'!$I:$I,"Mi-8",'Таблиця 1'!$J:$J,"Thales-70")+SUMIFS('Таблиця 1'!$K:$K,'Таблиця 1'!$B:$B,$A194,'Таблиця 1'!$I:$I,"Mi-24",'Таблиця 1'!$J:$J,"Thales-70"))</f>
        <v/>
      </c>
      <c r="L194">
        <f>IF($A194="","",SUMIFS('Таблиця 1'!$K:$K,'Таблиця 1'!$B:$B,$A194,'Таблиця 1'!$I:$I,"Mi-8",'Таблиця 1'!$J:$J,"Thales-FZ")+SUMIFS('Таблиця 1'!$K:$K,'Таблиця 1'!$B:$B,$A194,'Таблиця 1'!$I:$I,"Mi-24",'Таблиця 1'!$J:$J,"Thales-FZ"))</f>
        <v/>
      </c>
      <c r="M194">
        <f>IF($A194="","",SUMIFS('Таблиця 1'!$K:$K,'Таблиця 1'!$B:$B,$A194,'Таблиця 1'!$I:$I,"Mi-8",'Таблиця 1'!$J:$J,"МК-40")+SUMIFS('Таблиця 1'!$K:$K,'Таблиця 1'!$B:$B,$A194,'Таблиця 1'!$I:$I,"Mi-24",'Таблиця 1'!$J:$J,"МК-40"))</f>
        <v/>
      </c>
      <c r="N194">
        <f>IF($A194="","",SUMIFS('Таблиця 1'!$K:$K,'Таблиця 1'!$B:$B,$A194,'Таблиця 1'!$I:$I,"Mi-8",'Таблиця 1'!$J:$J,"Zuni")+SUMIFS('Таблиця 1'!$K:$K,'Таблиця 1'!$B:$B,$A194,'Таблиця 1'!$I:$I,"Mi-24",'Таблиця 1'!$J:$J,"Zuni"))</f>
        <v/>
      </c>
      <c r="O194">
        <f>IF($A194="","",COUNTIFS('Таблиця 1'!$B:$B,$A194,'Таблиця 1'!$I:$I,"Mi-8",'Таблиця 1'!$L:$L,"Уражено")+COUNTIFS('Таблиця 1'!$B:$B,$A194,'Таблиця 1'!$I:$I,"Mi-24",'Таблиця 1'!$L:$L,"Уражено"))</f>
        <v/>
      </c>
      <c r="P194">
        <f>IF($A194="","",COUNTIFS('Таблиця 1'!$B:$B,$A194,'Таблиця 1'!$I:$I,"Mi-8",'Таблиця 1'!$L:$L,"НЕ уражено")+COUNTIFS('Таблиця 1'!$B:$B,$A194,'Таблиця 1'!$I:$I,"Mi-24",'Таблиця 1'!$L:$L,"НЕ уражено"))</f>
        <v/>
      </c>
    </row>
    <row r="195">
      <c r="A195" s="273">
        <f>IF(A194="","",IF(A194+1&gt;MAX('Таблиця 1'!$B:$B),"",A194+1))</f>
        <v/>
      </c>
      <c r="B195">
        <f>IF($A195="","",COUNTIFS('Таблиця 1'!$B:$B,$A195,'Таблиця 1'!$I:$I,"Mi-8")+COUNTIFS('Таблиця 1'!$B:$B,$A195,'Таблиця 1'!$I:$I,"Mi-24"))</f>
        <v/>
      </c>
      <c r="C195">
        <f>IF($A195="","",COUNTIFS('Таблиця 1'!$B:$B,$A195,'Таблиця 1'!$I:$I,"Mi-8"))</f>
        <v/>
      </c>
      <c r="D195">
        <f>IF($A195="","",COUNTIFS('Таблиця 1'!$B:$B,$A195,'Таблиця 1'!$I:$I,"Mi-24"))</f>
        <v/>
      </c>
      <c r="E195">
        <f>IF($A195="","",SUMIFS('Таблиця 1'!$K:$K,'Таблиця 1'!$B:$B,$A195,'Таблиця 1'!$I:$I,"Mi-8",'Таблиця 1'!$J:$J,"ARS-8")+SUMIFS('Таблиця 1'!$K:$K,'Таблиця 1'!$B:$B,$A195,'Таблиця 1'!$I:$I,"Mi-24",'Таблиця 1'!$J:$J,"ARS-8"))</f>
        <v/>
      </c>
      <c r="F195">
        <f>IF($A195="","",SUMIFS('Таблиця 1'!$K:$K,'Таблиця 1'!$B:$B,$A195,'Таблиця 1'!$I:$I,"Mi-8",'Таблиця 1'!$J:$J,"С-8 ком")+SUMIFS('Таблиця 1'!$K:$K,'Таблиця 1'!$B:$B,$A195,'Таблиця 1'!$I:$I,"Mi-24",'Таблиця 1'!$J:$J,"С-8 ком"))</f>
        <v/>
      </c>
      <c r="G195">
        <f>IF($A195="","",SUMIFS('Таблиця 1'!$K:$K,'Таблиця 1'!$B:$B,$A195,'Таблиця 1'!$I:$I,"Mi-8",'Таблиця 1'!$J:$J,"PC-80")+SUMIFS('Таблиця 1'!$K:$K,'Таблиця 1'!$B:$B,$A195,'Таблиця 1'!$I:$I,"Mi-24",'Таблиця 1'!$J:$J,"PC-80"))</f>
        <v/>
      </c>
      <c r="H195">
        <f>IF($A195="","",SUMIFS('Таблиця 1'!$K:$K,'Таблиця 1'!$B:$B,$A195,'Таблиця 1'!$I:$I,"Mi-8",'Таблиця 1'!$J:$J,"UAR-80")+SUMIFS('Таблиця 1'!$K:$K,'Таблиця 1'!$B:$B,$A195,'Таблиця 1'!$I:$I,"Mi-24",'Таблиця 1'!$J:$J,"UAR-80"))</f>
        <v/>
      </c>
      <c r="I195">
        <f>IF($A195="","",SUMIFS('Таблиця 1'!$K:$K,'Таблиця 1'!$B:$B,$A195,'Таблиця 1'!$I:$I,"Mi-8",'Таблиця 1'!$J:$J,"C-13")+SUMIFS('Таблиця 1'!$K:$K,'Таблиця 1'!$B:$B,$A195,'Таблиця 1'!$I:$I,"Mi-24",'Таблиця 1'!$J:$J,"C-13"))</f>
        <v/>
      </c>
      <c r="J195">
        <f>IF($A195="","",SUMIFS('Таблиця 1'!$K:$K,'Таблиця 1'!$B:$B,$A195,'Таблиця 1'!$I:$I,"Mi-8",'Таблиця 1'!$J:$J,"Hydra-70")+SUMIFS('Таблиця 1'!$K:$K,'Таблиця 1'!$B:$B,$A195,'Таблиця 1'!$I:$I,"Mi-24",'Таблиця 1'!$J:$J,"Hydra-70"))</f>
        <v/>
      </c>
      <c r="K195">
        <f>IF($A195="","",SUMIFS('Таблиця 1'!$K:$K,'Таблиця 1'!$B:$B,$A195,'Таблиця 1'!$I:$I,"Mi-8",'Таблиця 1'!$J:$J,"Thales-70")+SUMIFS('Таблиця 1'!$K:$K,'Таблиця 1'!$B:$B,$A195,'Таблиця 1'!$I:$I,"Mi-24",'Таблиця 1'!$J:$J,"Thales-70"))</f>
        <v/>
      </c>
      <c r="L195">
        <f>IF($A195="","",SUMIFS('Таблиця 1'!$K:$K,'Таблиця 1'!$B:$B,$A195,'Таблиця 1'!$I:$I,"Mi-8",'Таблиця 1'!$J:$J,"Thales-FZ")+SUMIFS('Таблиця 1'!$K:$K,'Таблиця 1'!$B:$B,$A195,'Таблиця 1'!$I:$I,"Mi-24",'Таблиця 1'!$J:$J,"Thales-FZ"))</f>
        <v/>
      </c>
      <c r="M195">
        <f>IF($A195="","",SUMIFS('Таблиця 1'!$K:$K,'Таблиця 1'!$B:$B,$A195,'Таблиця 1'!$I:$I,"Mi-8",'Таблиця 1'!$J:$J,"МК-40")+SUMIFS('Таблиця 1'!$K:$K,'Таблиця 1'!$B:$B,$A195,'Таблиця 1'!$I:$I,"Mi-24",'Таблиця 1'!$J:$J,"МК-40"))</f>
        <v/>
      </c>
      <c r="N195">
        <f>IF($A195="","",SUMIFS('Таблиця 1'!$K:$K,'Таблиця 1'!$B:$B,$A195,'Таблиця 1'!$I:$I,"Mi-8",'Таблиця 1'!$J:$J,"Zuni")+SUMIFS('Таблиця 1'!$K:$K,'Таблиця 1'!$B:$B,$A195,'Таблиця 1'!$I:$I,"Mi-24",'Таблиця 1'!$J:$J,"Zuni"))</f>
        <v/>
      </c>
      <c r="O195">
        <f>IF($A195="","",COUNTIFS('Таблиця 1'!$B:$B,$A195,'Таблиця 1'!$I:$I,"Mi-8",'Таблиця 1'!$L:$L,"Уражено")+COUNTIFS('Таблиця 1'!$B:$B,$A195,'Таблиця 1'!$I:$I,"Mi-24",'Таблиця 1'!$L:$L,"Уражено"))</f>
        <v/>
      </c>
      <c r="P195">
        <f>IF($A195="","",COUNTIFS('Таблиця 1'!$B:$B,$A195,'Таблиця 1'!$I:$I,"Mi-8",'Таблиця 1'!$L:$L,"НЕ уражено")+COUNTIFS('Таблиця 1'!$B:$B,$A195,'Таблиця 1'!$I:$I,"Mi-24",'Таблиця 1'!$L:$L,"НЕ уражено"))</f>
        <v/>
      </c>
    </row>
    <row r="196">
      <c r="A196" s="273">
        <f>IF(A195="","",IF(A195+1&gt;MAX('Таблиця 1'!$B:$B),"",A195+1))</f>
        <v/>
      </c>
      <c r="B196">
        <f>IF($A196="","",COUNTIFS('Таблиця 1'!$B:$B,$A196,'Таблиця 1'!$I:$I,"Mi-8")+COUNTIFS('Таблиця 1'!$B:$B,$A196,'Таблиця 1'!$I:$I,"Mi-24"))</f>
        <v/>
      </c>
      <c r="C196">
        <f>IF($A196="","",COUNTIFS('Таблиця 1'!$B:$B,$A196,'Таблиця 1'!$I:$I,"Mi-8"))</f>
        <v/>
      </c>
      <c r="D196">
        <f>IF($A196="","",COUNTIFS('Таблиця 1'!$B:$B,$A196,'Таблиця 1'!$I:$I,"Mi-24"))</f>
        <v/>
      </c>
      <c r="E196">
        <f>IF($A196="","",SUMIFS('Таблиця 1'!$K:$K,'Таблиця 1'!$B:$B,$A196,'Таблиця 1'!$I:$I,"Mi-8",'Таблиця 1'!$J:$J,"ARS-8")+SUMIFS('Таблиця 1'!$K:$K,'Таблиця 1'!$B:$B,$A196,'Таблиця 1'!$I:$I,"Mi-24",'Таблиця 1'!$J:$J,"ARS-8"))</f>
        <v/>
      </c>
      <c r="F196">
        <f>IF($A196="","",SUMIFS('Таблиця 1'!$K:$K,'Таблиця 1'!$B:$B,$A196,'Таблиця 1'!$I:$I,"Mi-8",'Таблиця 1'!$J:$J,"С-8 ком")+SUMIFS('Таблиця 1'!$K:$K,'Таблиця 1'!$B:$B,$A196,'Таблиця 1'!$I:$I,"Mi-24",'Таблиця 1'!$J:$J,"С-8 ком"))</f>
        <v/>
      </c>
      <c r="G196">
        <f>IF($A196="","",SUMIFS('Таблиця 1'!$K:$K,'Таблиця 1'!$B:$B,$A196,'Таблиця 1'!$I:$I,"Mi-8",'Таблиця 1'!$J:$J,"PC-80")+SUMIFS('Таблиця 1'!$K:$K,'Таблиця 1'!$B:$B,$A196,'Таблиця 1'!$I:$I,"Mi-24",'Таблиця 1'!$J:$J,"PC-80"))</f>
        <v/>
      </c>
      <c r="H196">
        <f>IF($A196="","",SUMIFS('Таблиця 1'!$K:$K,'Таблиця 1'!$B:$B,$A196,'Таблиця 1'!$I:$I,"Mi-8",'Таблиця 1'!$J:$J,"UAR-80")+SUMIFS('Таблиця 1'!$K:$K,'Таблиця 1'!$B:$B,$A196,'Таблиця 1'!$I:$I,"Mi-24",'Таблиця 1'!$J:$J,"UAR-80"))</f>
        <v/>
      </c>
      <c r="I196">
        <f>IF($A196="","",SUMIFS('Таблиця 1'!$K:$K,'Таблиця 1'!$B:$B,$A196,'Таблиця 1'!$I:$I,"Mi-8",'Таблиця 1'!$J:$J,"C-13")+SUMIFS('Таблиця 1'!$K:$K,'Таблиця 1'!$B:$B,$A196,'Таблиця 1'!$I:$I,"Mi-24",'Таблиця 1'!$J:$J,"C-13"))</f>
        <v/>
      </c>
      <c r="J196">
        <f>IF($A196="","",SUMIFS('Таблиця 1'!$K:$K,'Таблиця 1'!$B:$B,$A196,'Таблиця 1'!$I:$I,"Mi-8",'Таблиця 1'!$J:$J,"Hydra-70")+SUMIFS('Таблиця 1'!$K:$K,'Таблиця 1'!$B:$B,$A196,'Таблиця 1'!$I:$I,"Mi-24",'Таблиця 1'!$J:$J,"Hydra-70"))</f>
        <v/>
      </c>
      <c r="K196">
        <f>IF($A196="","",SUMIFS('Таблиця 1'!$K:$K,'Таблиця 1'!$B:$B,$A196,'Таблиця 1'!$I:$I,"Mi-8",'Таблиця 1'!$J:$J,"Thales-70")+SUMIFS('Таблиця 1'!$K:$K,'Таблиця 1'!$B:$B,$A196,'Таблиця 1'!$I:$I,"Mi-24",'Таблиця 1'!$J:$J,"Thales-70"))</f>
        <v/>
      </c>
      <c r="L196">
        <f>IF($A196="","",SUMIFS('Таблиця 1'!$K:$K,'Таблиця 1'!$B:$B,$A196,'Таблиця 1'!$I:$I,"Mi-8",'Таблиця 1'!$J:$J,"Thales-FZ")+SUMIFS('Таблиця 1'!$K:$K,'Таблиця 1'!$B:$B,$A196,'Таблиця 1'!$I:$I,"Mi-24",'Таблиця 1'!$J:$J,"Thales-FZ"))</f>
        <v/>
      </c>
      <c r="M196">
        <f>IF($A196="","",SUMIFS('Таблиця 1'!$K:$K,'Таблиця 1'!$B:$B,$A196,'Таблиця 1'!$I:$I,"Mi-8",'Таблиця 1'!$J:$J,"МК-40")+SUMIFS('Таблиця 1'!$K:$K,'Таблиця 1'!$B:$B,$A196,'Таблиця 1'!$I:$I,"Mi-24",'Таблиця 1'!$J:$J,"МК-40"))</f>
        <v/>
      </c>
      <c r="N196">
        <f>IF($A196="","",SUMIFS('Таблиця 1'!$K:$K,'Таблиця 1'!$B:$B,$A196,'Таблиця 1'!$I:$I,"Mi-8",'Таблиця 1'!$J:$J,"Zuni")+SUMIFS('Таблиця 1'!$K:$K,'Таблиця 1'!$B:$B,$A196,'Таблиця 1'!$I:$I,"Mi-24",'Таблиця 1'!$J:$J,"Zuni"))</f>
        <v/>
      </c>
      <c r="O196">
        <f>IF($A196="","",COUNTIFS('Таблиця 1'!$B:$B,$A196,'Таблиця 1'!$I:$I,"Mi-8",'Таблиця 1'!$L:$L,"Уражено")+COUNTIFS('Таблиця 1'!$B:$B,$A196,'Таблиця 1'!$I:$I,"Mi-24",'Таблиця 1'!$L:$L,"Уражено"))</f>
        <v/>
      </c>
      <c r="P196">
        <f>IF($A196="","",COUNTIFS('Таблиця 1'!$B:$B,$A196,'Таблиця 1'!$I:$I,"Mi-8",'Таблиця 1'!$L:$L,"НЕ уражено")+COUNTIFS('Таблиця 1'!$B:$B,$A196,'Таблиця 1'!$I:$I,"Mi-24",'Таблиця 1'!$L:$L,"НЕ уражено"))</f>
        <v/>
      </c>
    </row>
    <row r="197">
      <c r="A197" s="273">
        <f>IF(A196="","",IF(A196+1&gt;MAX('Таблиця 1'!$B:$B),"",A196+1))</f>
        <v/>
      </c>
      <c r="B197">
        <f>IF($A197="","",COUNTIFS('Таблиця 1'!$B:$B,$A197,'Таблиця 1'!$I:$I,"Mi-8")+COUNTIFS('Таблиця 1'!$B:$B,$A197,'Таблиця 1'!$I:$I,"Mi-24"))</f>
        <v/>
      </c>
      <c r="C197">
        <f>IF($A197="","",COUNTIFS('Таблиця 1'!$B:$B,$A197,'Таблиця 1'!$I:$I,"Mi-8"))</f>
        <v/>
      </c>
      <c r="D197">
        <f>IF($A197="","",COUNTIFS('Таблиця 1'!$B:$B,$A197,'Таблиця 1'!$I:$I,"Mi-24"))</f>
        <v/>
      </c>
      <c r="E197">
        <f>IF($A197="","",SUMIFS('Таблиця 1'!$K:$K,'Таблиця 1'!$B:$B,$A197,'Таблиця 1'!$I:$I,"Mi-8",'Таблиця 1'!$J:$J,"ARS-8")+SUMIFS('Таблиця 1'!$K:$K,'Таблиця 1'!$B:$B,$A197,'Таблиця 1'!$I:$I,"Mi-24",'Таблиця 1'!$J:$J,"ARS-8"))</f>
        <v/>
      </c>
      <c r="F197">
        <f>IF($A197="","",SUMIFS('Таблиця 1'!$K:$K,'Таблиця 1'!$B:$B,$A197,'Таблиця 1'!$I:$I,"Mi-8",'Таблиця 1'!$J:$J,"С-8 ком")+SUMIFS('Таблиця 1'!$K:$K,'Таблиця 1'!$B:$B,$A197,'Таблиця 1'!$I:$I,"Mi-24",'Таблиця 1'!$J:$J,"С-8 ком"))</f>
        <v/>
      </c>
      <c r="G197">
        <f>IF($A197="","",SUMIFS('Таблиця 1'!$K:$K,'Таблиця 1'!$B:$B,$A197,'Таблиця 1'!$I:$I,"Mi-8",'Таблиця 1'!$J:$J,"PC-80")+SUMIFS('Таблиця 1'!$K:$K,'Таблиця 1'!$B:$B,$A197,'Таблиця 1'!$I:$I,"Mi-24",'Таблиця 1'!$J:$J,"PC-80"))</f>
        <v/>
      </c>
      <c r="H197">
        <f>IF($A197="","",SUMIFS('Таблиця 1'!$K:$K,'Таблиця 1'!$B:$B,$A197,'Таблиця 1'!$I:$I,"Mi-8",'Таблиця 1'!$J:$J,"UAR-80")+SUMIFS('Таблиця 1'!$K:$K,'Таблиця 1'!$B:$B,$A197,'Таблиця 1'!$I:$I,"Mi-24",'Таблиця 1'!$J:$J,"UAR-80"))</f>
        <v/>
      </c>
      <c r="I197">
        <f>IF($A197="","",SUMIFS('Таблиця 1'!$K:$K,'Таблиця 1'!$B:$B,$A197,'Таблиця 1'!$I:$I,"Mi-8",'Таблиця 1'!$J:$J,"C-13")+SUMIFS('Таблиця 1'!$K:$K,'Таблиця 1'!$B:$B,$A197,'Таблиця 1'!$I:$I,"Mi-24",'Таблиця 1'!$J:$J,"C-13"))</f>
        <v/>
      </c>
      <c r="J197">
        <f>IF($A197="","",SUMIFS('Таблиця 1'!$K:$K,'Таблиця 1'!$B:$B,$A197,'Таблиця 1'!$I:$I,"Mi-8",'Таблиця 1'!$J:$J,"Hydra-70")+SUMIFS('Таблиця 1'!$K:$K,'Таблиця 1'!$B:$B,$A197,'Таблиця 1'!$I:$I,"Mi-24",'Таблиця 1'!$J:$J,"Hydra-70"))</f>
        <v/>
      </c>
      <c r="K197">
        <f>IF($A197="","",SUMIFS('Таблиця 1'!$K:$K,'Таблиця 1'!$B:$B,$A197,'Таблиця 1'!$I:$I,"Mi-8",'Таблиця 1'!$J:$J,"Thales-70")+SUMIFS('Таблиця 1'!$K:$K,'Таблиця 1'!$B:$B,$A197,'Таблиця 1'!$I:$I,"Mi-24",'Таблиця 1'!$J:$J,"Thales-70"))</f>
        <v/>
      </c>
      <c r="L197">
        <f>IF($A197="","",SUMIFS('Таблиця 1'!$K:$K,'Таблиця 1'!$B:$B,$A197,'Таблиця 1'!$I:$I,"Mi-8",'Таблиця 1'!$J:$J,"Thales-FZ")+SUMIFS('Таблиця 1'!$K:$K,'Таблиця 1'!$B:$B,$A197,'Таблиця 1'!$I:$I,"Mi-24",'Таблиця 1'!$J:$J,"Thales-FZ"))</f>
        <v/>
      </c>
      <c r="M197">
        <f>IF($A197="","",SUMIFS('Таблиця 1'!$K:$K,'Таблиця 1'!$B:$B,$A197,'Таблиця 1'!$I:$I,"Mi-8",'Таблиця 1'!$J:$J,"МК-40")+SUMIFS('Таблиця 1'!$K:$K,'Таблиця 1'!$B:$B,$A197,'Таблиця 1'!$I:$I,"Mi-24",'Таблиця 1'!$J:$J,"МК-40"))</f>
        <v/>
      </c>
      <c r="N197">
        <f>IF($A197="","",SUMIFS('Таблиця 1'!$K:$K,'Таблиця 1'!$B:$B,$A197,'Таблиця 1'!$I:$I,"Mi-8",'Таблиця 1'!$J:$J,"Zuni")+SUMIFS('Таблиця 1'!$K:$K,'Таблиця 1'!$B:$B,$A197,'Таблиця 1'!$I:$I,"Mi-24",'Таблиця 1'!$J:$J,"Zuni"))</f>
        <v/>
      </c>
      <c r="O197">
        <f>IF($A197="","",COUNTIFS('Таблиця 1'!$B:$B,$A197,'Таблиця 1'!$I:$I,"Mi-8",'Таблиця 1'!$L:$L,"Уражено")+COUNTIFS('Таблиця 1'!$B:$B,$A197,'Таблиця 1'!$I:$I,"Mi-24",'Таблиця 1'!$L:$L,"Уражено"))</f>
        <v/>
      </c>
      <c r="P197">
        <f>IF($A197="","",COUNTIFS('Таблиця 1'!$B:$B,$A197,'Таблиця 1'!$I:$I,"Mi-8",'Таблиця 1'!$L:$L,"НЕ уражено")+COUNTIFS('Таблиця 1'!$B:$B,$A197,'Таблиця 1'!$I:$I,"Mi-24",'Таблиця 1'!$L:$L,"НЕ уражено"))</f>
        <v/>
      </c>
    </row>
    <row r="198">
      <c r="A198" s="273">
        <f>IF(A197="","",IF(A197+1&gt;MAX('Таблиця 1'!$B:$B),"",A197+1))</f>
        <v/>
      </c>
      <c r="B198">
        <f>IF($A198="","",COUNTIFS('Таблиця 1'!$B:$B,$A198,'Таблиця 1'!$I:$I,"Mi-8")+COUNTIFS('Таблиця 1'!$B:$B,$A198,'Таблиця 1'!$I:$I,"Mi-24"))</f>
        <v/>
      </c>
      <c r="C198">
        <f>IF($A198="","",COUNTIFS('Таблиця 1'!$B:$B,$A198,'Таблиця 1'!$I:$I,"Mi-8"))</f>
        <v/>
      </c>
      <c r="D198">
        <f>IF($A198="","",COUNTIFS('Таблиця 1'!$B:$B,$A198,'Таблиця 1'!$I:$I,"Mi-24"))</f>
        <v/>
      </c>
      <c r="E198">
        <f>IF($A198="","",SUMIFS('Таблиця 1'!$K:$K,'Таблиця 1'!$B:$B,$A198,'Таблиця 1'!$I:$I,"Mi-8",'Таблиця 1'!$J:$J,"ARS-8")+SUMIFS('Таблиця 1'!$K:$K,'Таблиця 1'!$B:$B,$A198,'Таблиця 1'!$I:$I,"Mi-24",'Таблиця 1'!$J:$J,"ARS-8"))</f>
        <v/>
      </c>
      <c r="F198">
        <f>IF($A198="","",SUMIFS('Таблиця 1'!$K:$K,'Таблиця 1'!$B:$B,$A198,'Таблиця 1'!$I:$I,"Mi-8",'Таблиця 1'!$J:$J,"С-8 ком")+SUMIFS('Таблиця 1'!$K:$K,'Таблиця 1'!$B:$B,$A198,'Таблиця 1'!$I:$I,"Mi-24",'Таблиця 1'!$J:$J,"С-8 ком"))</f>
        <v/>
      </c>
      <c r="G198">
        <f>IF($A198="","",SUMIFS('Таблиця 1'!$K:$K,'Таблиця 1'!$B:$B,$A198,'Таблиця 1'!$I:$I,"Mi-8",'Таблиця 1'!$J:$J,"PC-80")+SUMIFS('Таблиця 1'!$K:$K,'Таблиця 1'!$B:$B,$A198,'Таблиця 1'!$I:$I,"Mi-24",'Таблиця 1'!$J:$J,"PC-80"))</f>
        <v/>
      </c>
      <c r="H198">
        <f>IF($A198="","",SUMIFS('Таблиця 1'!$K:$K,'Таблиця 1'!$B:$B,$A198,'Таблиця 1'!$I:$I,"Mi-8",'Таблиця 1'!$J:$J,"UAR-80")+SUMIFS('Таблиця 1'!$K:$K,'Таблиця 1'!$B:$B,$A198,'Таблиця 1'!$I:$I,"Mi-24",'Таблиця 1'!$J:$J,"UAR-80"))</f>
        <v/>
      </c>
      <c r="I198">
        <f>IF($A198="","",SUMIFS('Таблиця 1'!$K:$K,'Таблиця 1'!$B:$B,$A198,'Таблиця 1'!$I:$I,"Mi-8",'Таблиця 1'!$J:$J,"C-13")+SUMIFS('Таблиця 1'!$K:$K,'Таблиця 1'!$B:$B,$A198,'Таблиця 1'!$I:$I,"Mi-24",'Таблиця 1'!$J:$J,"C-13"))</f>
        <v/>
      </c>
      <c r="J198">
        <f>IF($A198="","",SUMIFS('Таблиця 1'!$K:$K,'Таблиця 1'!$B:$B,$A198,'Таблиця 1'!$I:$I,"Mi-8",'Таблиця 1'!$J:$J,"Hydra-70")+SUMIFS('Таблиця 1'!$K:$K,'Таблиця 1'!$B:$B,$A198,'Таблиця 1'!$I:$I,"Mi-24",'Таблиця 1'!$J:$J,"Hydra-70"))</f>
        <v/>
      </c>
      <c r="K198">
        <f>IF($A198="","",SUMIFS('Таблиця 1'!$K:$K,'Таблиця 1'!$B:$B,$A198,'Таблиця 1'!$I:$I,"Mi-8",'Таблиця 1'!$J:$J,"Thales-70")+SUMIFS('Таблиця 1'!$K:$K,'Таблиця 1'!$B:$B,$A198,'Таблиця 1'!$I:$I,"Mi-24",'Таблиця 1'!$J:$J,"Thales-70"))</f>
        <v/>
      </c>
      <c r="L198">
        <f>IF($A198="","",SUMIFS('Таблиця 1'!$K:$K,'Таблиця 1'!$B:$B,$A198,'Таблиця 1'!$I:$I,"Mi-8",'Таблиця 1'!$J:$J,"Thales-FZ")+SUMIFS('Таблиця 1'!$K:$K,'Таблиця 1'!$B:$B,$A198,'Таблиця 1'!$I:$I,"Mi-24",'Таблиця 1'!$J:$J,"Thales-FZ"))</f>
        <v/>
      </c>
      <c r="M198">
        <f>IF($A198="","",SUMIFS('Таблиця 1'!$K:$K,'Таблиця 1'!$B:$B,$A198,'Таблиця 1'!$I:$I,"Mi-8",'Таблиця 1'!$J:$J,"МК-40")+SUMIFS('Таблиця 1'!$K:$K,'Таблиця 1'!$B:$B,$A198,'Таблиця 1'!$I:$I,"Mi-24",'Таблиця 1'!$J:$J,"МК-40"))</f>
        <v/>
      </c>
      <c r="N198">
        <f>IF($A198="","",SUMIFS('Таблиця 1'!$K:$K,'Таблиця 1'!$B:$B,$A198,'Таблиця 1'!$I:$I,"Mi-8",'Таблиця 1'!$J:$J,"Zuni")+SUMIFS('Таблиця 1'!$K:$K,'Таблиця 1'!$B:$B,$A198,'Таблиця 1'!$I:$I,"Mi-24",'Таблиця 1'!$J:$J,"Zuni"))</f>
        <v/>
      </c>
      <c r="O198">
        <f>IF($A198="","",COUNTIFS('Таблиця 1'!$B:$B,$A198,'Таблиця 1'!$I:$I,"Mi-8",'Таблиця 1'!$L:$L,"Уражено")+COUNTIFS('Таблиця 1'!$B:$B,$A198,'Таблиця 1'!$I:$I,"Mi-24",'Таблиця 1'!$L:$L,"Уражено"))</f>
        <v/>
      </c>
      <c r="P198">
        <f>IF($A198="","",COUNTIFS('Таблиця 1'!$B:$B,$A198,'Таблиця 1'!$I:$I,"Mi-8",'Таблиця 1'!$L:$L,"НЕ уражено")+COUNTIFS('Таблиця 1'!$B:$B,$A198,'Таблиця 1'!$I:$I,"Mi-24",'Таблиця 1'!$L:$L,"НЕ уражено"))</f>
        <v/>
      </c>
    </row>
    <row r="199">
      <c r="A199" s="273">
        <f>IF(A198="","",IF(A198+1&gt;MAX('Таблиця 1'!$B:$B),"",A198+1))</f>
        <v/>
      </c>
      <c r="B199">
        <f>IF($A199="","",COUNTIFS('Таблиця 1'!$B:$B,$A199,'Таблиця 1'!$I:$I,"Mi-8")+COUNTIFS('Таблиця 1'!$B:$B,$A199,'Таблиця 1'!$I:$I,"Mi-24"))</f>
        <v/>
      </c>
      <c r="C199">
        <f>IF($A199="","",COUNTIFS('Таблиця 1'!$B:$B,$A199,'Таблиця 1'!$I:$I,"Mi-8"))</f>
        <v/>
      </c>
      <c r="D199">
        <f>IF($A199="","",COUNTIFS('Таблиця 1'!$B:$B,$A199,'Таблиця 1'!$I:$I,"Mi-24"))</f>
        <v/>
      </c>
      <c r="E199">
        <f>IF($A199="","",SUMIFS('Таблиця 1'!$K:$K,'Таблиця 1'!$B:$B,$A199,'Таблиця 1'!$I:$I,"Mi-8",'Таблиця 1'!$J:$J,"ARS-8")+SUMIFS('Таблиця 1'!$K:$K,'Таблиця 1'!$B:$B,$A199,'Таблиця 1'!$I:$I,"Mi-24",'Таблиця 1'!$J:$J,"ARS-8"))</f>
        <v/>
      </c>
      <c r="F199">
        <f>IF($A199="","",SUMIFS('Таблиця 1'!$K:$K,'Таблиця 1'!$B:$B,$A199,'Таблиця 1'!$I:$I,"Mi-8",'Таблиця 1'!$J:$J,"С-8 ком")+SUMIFS('Таблиця 1'!$K:$K,'Таблиця 1'!$B:$B,$A199,'Таблиця 1'!$I:$I,"Mi-24",'Таблиця 1'!$J:$J,"С-8 ком"))</f>
        <v/>
      </c>
      <c r="G199">
        <f>IF($A199="","",SUMIFS('Таблиця 1'!$K:$K,'Таблиця 1'!$B:$B,$A199,'Таблиця 1'!$I:$I,"Mi-8",'Таблиця 1'!$J:$J,"PC-80")+SUMIFS('Таблиця 1'!$K:$K,'Таблиця 1'!$B:$B,$A199,'Таблиця 1'!$I:$I,"Mi-24",'Таблиця 1'!$J:$J,"PC-80"))</f>
        <v/>
      </c>
      <c r="H199">
        <f>IF($A199="","",SUMIFS('Таблиця 1'!$K:$K,'Таблиця 1'!$B:$B,$A199,'Таблиця 1'!$I:$I,"Mi-8",'Таблиця 1'!$J:$J,"UAR-80")+SUMIFS('Таблиця 1'!$K:$K,'Таблиця 1'!$B:$B,$A199,'Таблиця 1'!$I:$I,"Mi-24",'Таблиця 1'!$J:$J,"UAR-80"))</f>
        <v/>
      </c>
      <c r="I199">
        <f>IF($A199="","",SUMIFS('Таблиця 1'!$K:$K,'Таблиця 1'!$B:$B,$A199,'Таблиця 1'!$I:$I,"Mi-8",'Таблиця 1'!$J:$J,"C-13")+SUMIFS('Таблиця 1'!$K:$K,'Таблиця 1'!$B:$B,$A199,'Таблиця 1'!$I:$I,"Mi-24",'Таблиця 1'!$J:$J,"C-13"))</f>
        <v/>
      </c>
      <c r="J199">
        <f>IF($A199="","",SUMIFS('Таблиця 1'!$K:$K,'Таблиця 1'!$B:$B,$A199,'Таблиця 1'!$I:$I,"Mi-8",'Таблиця 1'!$J:$J,"Hydra-70")+SUMIFS('Таблиця 1'!$K:$K,'Таблиця 1'!$B:$B,$A199,'Таблиця 1'!$I:$I,"Mi-24",'Таблиця 1'!$J:$J,"Hydra-70"))</f>
        <v/>
      </c>
      <c r="K199">
        <f>IF($A199="","",SUMIFS('Таблиця 1'!$K:$K,'Таблиця 1'!$B:$B,$A199,'Таблиця 1'!$I:$I,"Mi-8",'Таблиця 1'!$J:$J,"Thales-70")+SUMIFS('Таблиця 1'!$K:$K,'Таблиця 1'!$B:$B,$A199,'Таблиця 1'!$I:$I,"Mi-24",'Таблиця 1'!$J:$J,"Thales-70"))</f>
        <v/>
      </c>
      <c r="L199">
        <f>IF($A199="","",SUMIFS('Таблиця 1'!$K:$K,'Таблиця 1'!$B:$B,$A199,'Таблиця 1'!$I:$I,"Mi-8",'Таблиця 1'!$J:$J,"Thales-FZ")+SUMIFS('Таблиця 1'!$K:$K,'Таблиця 1'!$B:$B,$A199,'Таблиця 1'!$I:$I,"Mi-24",'Таблиця 1'!$J:$J,"Thales-FZ"))</f>
        <v/>
      </c>
      <c r="M199">
        <f>IF($A199="","",SUMIFS('Таблиця 1'!$K:$K,'Таблиця 1'!$B:$B,$A199,'Таблиця 1'!$I:$I,"Mi-8",'Таблиця 1'!$J:$J,"МК-40")+SUMIFS('Таблиця 1'!$K:$K,'Таблиця 1'!$B:$B,$A199,'Таблиця 1'!$I:$I,"Mi-24",'Таблиця 1'!$J:$J,"МК-40"))</f>
        <v/>
      </c>
      <c r="N199">
        <f>IF($A199="","",SUMIFS('Таблиця 1'!$K:$K,'Таблиця 1'!$B:$B,$A199,'Таблиця 1'!$I:$I,"Mi-8",'Таблиця 1'!$J:$J,"Zuni")+SUMIFS('Таблиця 1'!$K:$K,'Таблиця 1'!$B:$B,$A199,'Таблиця 1'!$I:$I,"Mi-24",'Таблиця 1'!$J:$J,"Zuni"))</f>
        <v/>
      </c>
      <c r="O199">
        <f>IF($A199="","",COUNTIFS('Таблиця 1'!$B:$B,$A199,'Таблиця 1'!$I:$I,"Mi-8",'Таблиця 1'!$L:$L,"Уражено")+COUNTIFS('Таблиця 1'!$B:$B,$A199,'Таблиця 1'!$I:$I,"Mi-24",'Таблиця 1'!$L:$L,"Уражено"))</f>
        <v/>
      </c>
      <c r="P199">
        <f>IF($A199="","",COUNTIFS('Таблиця 1'!$B:$B,$A199,'Таблиця 1'!$I:$I,"Mi-8",'Таблиця 1'!$L:$L,"НЕ уражено")+COUNTIFS('Таблиця 1'!$B:$B,$A199,'Таблиця 1'!$I:$I,"Mi-24",'Таблиця 1'!$L:$L,"НЕ уражено"))</f>
        <v/>
      </c>
    </row>
    <row r="200">
      <c r="A200" s="273">
        <f>IF(A199="","",IF(A199+1&gt;MAX('Таблиця 1'!$B:$B),"",A199+1))</f>
        <v/>
      </c>
      <c r="B200">
        <f>IF($A200="","",COUNTIFS('Таблиця 1'!$B:$B,$A200,'Таблиця 1'!$I:$I,"Mi-8")+COUNTIFS('Таблиця 1'!$B:$B,$A200,'Таблиця 1'!$I:$I,"Mi-24"))</f>
        <v/>
      </c>
      <c r="C200">
        <f>IF($A200="","",COUNTIFS('Таблиця 1'!$B:$B,$A200,'Таблиця 1'!$I:$I,"Mi-8"))</f>
        <v/>
      </c>
      <c r="D200">
        <f>IF($A200="","",COUNTIFS('Таблиця 1'!$B:$B,$A200,'Таблиця 1'!$I:$I,"Mi-24"))</f>
        <v/>
      </c>
      <c r="E200">
        <f>IF($A200="","",SUMIFS('Таблиця 1'!$K:$K,'Таблиця 1'!$B:$B,$A200,'Таблиця 1'!$I:$I,"Mi-8",'Таблиця 1'!$J:$J,"ARS-8")+SUMIFS('Таблиця 1'!$K:$K,'Таблиця 1'!$B:$B,$A200,'Таблиця 1'!$I:$I,"Mi-24",'Таблиця 1'!$J:$J,"ARS-8"))</f>
        <v/>
      </c>
      <c r="F200">
        <f>IF($A200="","",SUMIFS('Таблиця 1'!$K:$K,'Таблиця 1'!$B:$B,$A200,'Таблиця 1'!$I:$I,"Mi-8",'Таблиця 1'!$J:$J,"С-8 ком")+SUMIFS('Таблиця 1'!$K:$K,'Таблиця 1'!$B:$B,$A200,'Таблиця 1'!$I:$I,"Mi-24",'Таблиця 1'!$J:$J,"С-8 ком"))</f>
        <v/>
      </c>
      <c r="G200">
        <f>IF($A200="","",SUMIFS('Таблиця 1'!$K:$K,'Таблиця 1'!$B:$B,$A200,'Таблиця 1'!$I:$I,"Mi-8",'Таблиця 1'!$J:$J,"PC-80")+SUMIFS('Таблиця 1'!$K:$K,'Таблиця 1'!$B:$B,$A200,'Таблиця 1'!$I:$I,"Mi-24",'Таблиця 1'!$J:$J,"PC-80"))</f>
        <v/>
      </c>
      <c r="H200">
        <f>IF($A200="","",SUMIFS('Таблиця 1'!$K:$K,'Таблиця 1'!$B:$B,$A200,'Таблиця 1'!$I:$I,"Mi-8",'Таблиця 1'!$J:$J,"UAR-80")+SUMIFS('Таблиця 1'!$K:$K,'Таблиця 1'!$B:$B,$A200,'Таблиця 1'!$I:$I,"Mi-24",'Таблиця 1'!$J:$J,"UAR-80"))</f>
        <v/>
      </c>
      <c r="I200">
        <f>IF($A200="","",SUMIFS('Таблиця 1'!$K:$K,'Таблиця 1'!$B:$B,$A200,'Таблиця 1'!$I:$I,"Mi-8",'Таблиця 1'!$J:$J,"C-13")+SUMIFS('Таблиця 1'!$K:$K,'Таблиця 1'!$B:$B,$A200,'Таблиця 1'!$I:$I,"Mi-24",'Таблиця 1'!$J:$J,"C-13"))</f>
        <v/>
      </c>
      <c r="J200">
        <f>IF($A200="","",SUMIFS('Таблиця 1'!$K:$K,'Таблиця 1'!$B:$B,$A200,'Таблиця 1'!$I:$I,"Mi-8",'Таблиця 1'!$J:$J,"Hydra-70")+SUMIFS('Таблиця 1'!$K:$K,'Таблиця 1'!$B:$B,$A200,'Таблиця 1'!$I:$I,"Mi-24",'Таблиця 1'!$J:$J,"Hydra-70"))</f>
        <v/>
      </c>
      <c r="K200">
        <f>IF($A200="","",SUMIFS('Таблиця 1'!$K:$K,'Таблиця 1'!$B:$B,$A200,'Таблиця 1'!$I:$I,"Mi-8",'Таблиця 1'!$J:$J,"Thales-70")+SUMIFS('Таблиця 1'!$K:$K,'Таблиця 1'!$B:$B,$A200,'Таблиця 1'!$I:$I,"Mi-24",'Таблиця 1'!$J:$J,"Thales-70"))</f>
        <v/>
      </c>
      <c r="L200">
        <f>IF($A200="","",SUMIFS('Таблиця 1'!$K:$K,'Таблиця 1'!$B:$B,$A200,'Таблиця 1'!$I:$I,"Mi-8",'Таблиця 1'!$J:$J,"Thales-FZ")+SUMIFS('Таблиця 1'!$K:$K,'Таблиця 1'!$B:$B,$A200,'Таблиця 1'!$I:$I,"Mi-24",'Таблиця 1'!$J:$J,"Thales-FZ"))</f>
        <v/>
      </c>
      <c r="M200">
        <f>IF($A200="","",SUMIFS('Таблиця 1'!$K:$K,'Таблиця 1'!$B:$B,$A200,'Таблиця 1'!$I:$I,"Mi-8",'Таблиця 1'!$J:$J,"МК-40")+SUMIFS('Таблиця 1'!$K:$K,'Таблиця 1'!$B:$B,$A200,'Таблиця 1'!$I:$I,"Mi-24",'Таблиця 1'!$J:$J,"МК-40"))</f>
        <v/>
      </c>
      <c r="N200">
        <f>IF($A200="","",SUMIFS('Таблиця 1'!$K:$K,'Таблиця 1'!$B:$B,$A200,'Таблиця 1'!$I:$I,"Mi-8",'Таблиця 1'!$J:$J,"Zuni")+SUMIFS('Таблиця 1'!$K:$K,'Таблиця 1'!$B:$B,$A200,'Таблиця 1'!$I:$I,"Mi-24",'Таблиця 1'!$J:$J,"Zuni"))</f>
        <v/>
      </c>
      <c r="O200">
        <f>IF($A200="","",COUNTIFS('Таблиця 1'!$B:$B,$A200,'Таблиця 1'!$I:$I,"Mi-8",'Таблиця 1'!$L:$L,"Уражено")+COUNTIFS('Таблиця 1'!$B:$B,$A200,'Таблиця 1'!$I:$I,"Mi-24",'Таблиця 1'!$L:$L,"Уражено"))</f>
        <v/>
      </c>
      <c r="P200">
        <f>IF($A200="","",COUNTIFS('Таблиця 1'!$B:$B,$A200,'Таблиця 1'!$I:$I,"Mi-8",'Таблиця 1'!$L:$L,"НЕ уражено")+COUNTIFS('Таблиця 1'!$B:$B,$A200,'Таблиця 1'!$I:$I,"Mi-24",'Таблиця 1'!$L:$L,"НЕ уражено"))</f>
        <v/>
      </c>
    </row>
    <row r="201">
      <c r="A201" s="273">
        <f>IF(A200="","",IF(A200+1&gt;MAX('Таблиця 1'!$B:$B),"",A200+1))</f>
        <v/>
      </c>
      <c r="B201">
        <f>IF($A201="","",COUNTIFS('Таблиця 1'!$B:$B,$A201,'Таблиця 1'!$I:$I,"Mi-8")+COUNTIFS('Таблиця 1'!$B:$B,$A201,'Таблиця 1'!$I:$I,"Mi-24"))</f>
        <v/>
      </c>
      <c r="C201">
        <f>IF($A201="","",COUNTIFS('Таблиця 1'!$B:$B,$A201,'Таблиця 1'!$I:$I,"Mi-8"))</f>
        <v/>
      </c>
      <c r="D201">
        <f>IF($A201="","",COUNTIFS('Таблиця 1'!$B:$B,$A201,'Таблиця 1'!$I:$I,"Mi-24"))</f>
        <v/>
      </c>
      <c r="E201">
        <f>IF($A201="","",SUMIFS('Таблиця 1'!$K:$K,'Таблиця 1'!$B:$B,$A201,'Таблиця 1'!$I:$I,"Mi-8",'Таблиця 1'!$J:$J,"ARS-8")+SUMIFS('Таблиця 1'!$K:$K,'Таблиця 1'!$B:$B,$A201,'Таблиця 1'!$I:$I,"Mi-24",'Таблиця 1'!$J:$J,"ARS-8"))</f>
        <v/>
      </c>
      <c r="F201">
        <f>IF($A201="","",SUMIFS('Таблиця 1'!$K:$K,'Таблиця 1'!$B:$B,$A201,'Таблиця 1'!$I:$I,"Mi-8",'Таблиця 1'!$J:$J,"С-8 ком")+SUMIFS('Таблиця 1'!$K:$K,'Таблиця 1'!$B:$B,$A201,'Таблиця 1'!$I:$I,"Mi-24",'Таблиця 1'!$J:$J,"С-8 ком"))</f>
        <v/>
      </c>
      <c r="G201">
        <f>IF($A201="","",SUMIFS('Таблиця 1'!$K:$K,'Таблиця 1'!$B:$B,$A201,'Таблиця 1'!$I:$I,"Mi-8",'Таблиця 1'!$J:$J,"PC-80")+SUMIFS('Таблиця 1'!$K:$K,'Таблиця 1'!$B:$B,$A201,'Таблиця 1'!$I:$I,"Mi-24",'Таблиця 1'!$J:$J,"PC-80"))</f>
        <v/>
      </c>
      <c r="H201">
        <f>IF($A201="","",SUMIFS('Таблиця 1'!$K:$K,'Таблиця 1'!$B:$B,$A201,'Таблиця 1'!$I:$I,"Mi-8",'Таблиця 1'!$J:$J,"UAR-80")+SUMIFS('Таблиця 1'!$K:$K,'Таблиця 1'!$B:$B,$A201,'Таблиця 1'!$I:$I,"Mi-24",'Таблиця 1'!$J:$J,"UAR-80"))</f>
        <v/>
      </c>
      <c r="I201">
        <f>IF($A201="","",SUMIFS('Таблиця 1'!$K:$K,'Таблиця 1'!$B:$B,$A201,'Таблиця 1'!$I:$I,"Mi-8",'Таблиця 1'!$J:$J,"C-13")+SUMIFS('Таблиця 1'!$K:$K,'Таблиця 1'!$B:$B,$A201,'Таблиця 1'!$I:$I,"Mi-24",'Таблиця 1'!$J:$J,"C-13"))</f>
        <v/>
      </c>
      <c r="J201">
        <f>IF($A201="","",SUMIFS('Таблиця 1'!$K:$K,'Таблиця 1'!$B:$B,$A201,'Таблиця 1'!$I:$I,"Mi-8",'Таблиця 1'!$J:$J,"Hydra-70")+SUMIFS('Таблиця 1'!$K:$K,'Таблиця 1'!$B:$B,$A201,'Таблиця 1'!$I:$I,"Mi-24",'Таблиця 1'!$J:$J,"Hydra-70"))</f>
        <v/>
      </c>
      <c r="K201">
        <f>IF($A201="","",SUMIFS('Таблиця 1'!$K:$K,'Таблиця 1'!$B:$B,$A201,'Таблиця 1'!$I:$I,"Mi-8",'Таблиця 1'!$J:$J,"Thales-70")+SUMIFS('Таблиця 1'!$K:$K,'Таблиця 1'!$B:$B,$A201,'Таблиця 1'!$I:$I,"Mi-24",'Таблиця 1'!$J:$J,"Thales-70"))</f>
        <v/>
      </c>
      <c r="L201">
        <f>IF($A201="","",SUMIFS('Таблиця 1'!$K:$K,'Таблиця 1'!$B:$B,$A201,'Таблиця 1'!$I:$I,"Mi-8",'Таблиця 1'!$J:$J,"Thales-FZ")+SUMIFS('Таблиця 1'!$K:$K,'Таблиця 1'!$B:$B,$A201,'Таблиця 1'!$I:$I,"Mi-24",'Таблиця 1'!$J:$J,"Thales-FZ"))</f>
        <v/>
      </c>
      <c r="M201">
        <f>IF($A201="","",SUMIFS('Таблиця 1'!$K:$K,'Таблиця 1'!$B:$B,$A201,'Таблиця 1'!$I:$I,"Mi-8",'Таблиця 1'!$J:$J,"МК-40")+SUMIFS('Таблиця 1'!$K:$K,'Таблиця 1'!$B:$B,$A201,'Таблиця 1'!$I:$I,"Mi-24",'Таблиця 1'!$J:$J,"МК-40"))</f>
        <v/>
      </c>
      <c r="N201">
        <f>IF($A201="","",SUMIFS('Таблиця 1'!$K:$K,'Таблиця 1'!$B:$B,$A201,'Таблиця 1'!$I:$I,"Mi-8",'Таблиця 1'!$J:$J,"Zuni")+SUMIFS('Таблиця 1'!$K:$K,'Таблиця 1'!$B:$B,$A201,'Таблиця 1'!$I:$I,"Mi-24",'Таблиця 1'!$J:$J,"Zuni"))</f>
        <v/>
      </c>
      <c r="O201">
        <f>IF($A201="","",COUNTIFS('Таблиця 1'!$B:$B,$A201,'Таблиця 1'!$I:$I,"Mi-8",'Таблиця 1'!$L:$L,"Уражено")+COUNTIFS('Таблиця 1'!$B:$B,$A201,'Таблиця 1'!$I:$I,"Mi-24",'Таблиця 1'!$L:$L,"Уражено"))</f>
        <v/>
      </c>
      <c r="P201">
        <f>IF($A201="","",COUNTIFS('Таблиця 1'!$B:$B,$A201,'Таблиця 1'!$I:$I,"Mi-8",'Таблиця 1'!$L:$L,"НЕ уражено")+COUNTIFS('Таблиця 1'!$B:$B,$A201,'Таблиця 1'!$I:$I,"Mi-24",'Таблиця 1'!$L:$L,"НЕ уражено"))</f>
        <v/>
      </c>
    </row>
    <row r="202">
      <c r="A202" s="273">
        <f>IF(A201="","",IF(A201+1&gt;MAX('Таблиця 1'!$B:$B),"",A201+1))</f>
        <v/>
      </c>
      <c r="B202">
        <f>IF($A202="","",COUNTIFS('Таблиця 1'!$B:$B,$A202,'Таблиця 1'!$I:$I,"Mi-8")+COUNTIFS('Таблиця 1'!$B:$B,$A202,'Таблиця 1'!$I:$I,"Mi-24"))</f>
        <v/>
      </c>
      <c r="C202">
        <f>IF($A202="","",COUNTIFS('Таблиця 1'!$B:$B,$A202,'Таблиця 1'!$I:$I,"Mi-8"))</f>
        <v/>
      </c>
      <c r="D202">
        <f>IF($A202="","",COUNTIFS('Таблиця 1'!$B:$B,$A202,'Таблиця 1'!$I:$I,"Mi-24"))</f>
        <v/>
      </c>
      <c r="E202">
        <f>IF($A202="","",SUMIFS('Таблиця 1'!$K:$K,'Таблиця 1'!$B:$B,$A202,'Таблиця 1'!$I:$I,"Mi-8",'Таблиця 1'!$J:$J,"ARS-8")+SUMIFS('Таблиця 1'!$K:$K,'Таблиця 1'!$B:$B,$A202,'Таблиця 1'!$I:$I,"Mi-24",'Таблиця 1'!$J:$J,"ARS-8"))</f>
        <v/>
      </c>
      <c r="F202">
        <f>IF($A202="","",SUMIFS('Таблиця 1'!$K:$K,'Таблиця 1'!$B:$B,$A202,'Таблиця 1'!$I:$I,"Mi-8",'Таблиця 1'!$J:$J,"С-8 ком")+SUMIFS('Таблиця 1'!$K:$K,'Таблиця 1'!$B:$B,$A202,'Таблиця 1'!$I:$I,"Mi-24",'Таблиця 1'!$J:$J,"С-8 ком"))</f>
        <v/>
      </c>
      <c r="G202">
        <f>IF($A202="","",SUMIFS('Таблиця 1'!$K:$K,'Таблиця 1'!$B:$B,$A202,'Таблиця 1'!$I:$I,"Mi-8",'Таблиця 1'!$J:$J,"PC-80")+SUMIFS('Таблиця 1'!$K:$K,'Таблиця 1'!$B:$B,$A202,'Таблиця 1'!$I:$I,"Mi-24",'Таблиця 1'!$J:$J,"PC-80"))</f>
        <v/>
      </c>
      <c r="H202">
        <f>IF($A202="","",SUMIFS('Таблиця 1'!$K:$K,'Таблиця 1'!$B:$B,$A202,'Таблиця 1'!$I:$I,"Mi-8",'Таблиця 1'!$J:$J,"UAR-80")+SUMIFS('Таблиця 1'!$K:$K,'Таблиця 1'!$B:$B,$A202,'Таблиця 1'!$I:$I,"Mi-24",'Таблиця 1'!$J:$J,"UAR-80"))</f>
        <v/>
      </c>
      <c r="I202">
        <f>IF($A202="","",SUMIFS('Таблиця 1'!$K:$K,'Таблиця 1'!$B:$B,$A202,'Таблиця 1'!$I:$I,"Mi-8",'Таблиця 1'!$J:$J,"C-13")+SUMIFS('Таблиця 1'!$K:$K,'Таблиця 1'!$B:$B,$A202,'Таблиця 1'!$I:$I,"Mi-24",'Таблиця 1'!$J:$J,"C-13"))</f>
        <v/>
      </c>
      <c r="J202">
        <f>IF($A202="","",SUMIFS('Таблиця 1'!$K:$K,'Таблиця 1'!$B:$B,$A202,'Таблиця 1'!$I:$I,"Mi-8",'Таблиця 1'!$J:$J,"Hydra-70")+SUMIFS('Таблиця 1'!$K:$K,'Таблиця 1'!$B:$B,$A202,'Таблиця 1'!$I:$I,"Mi-24",'Таблиця 1'!$J:$J,"Hydra-70"))</f>
        <v/>
      </c>
      <c r="K202">
        <f>IF($A202="","",SUMIFS('Таблиця 1'!$K:$K,'Таблиця 1'!$B:$B,$A202,'Таблиця 1'!$I:$I,"Mi-8",'Таблиця 1'!$J:$J,"Thales-70")+SUMIFS('Таблиця 1'!$K:$K,'Таблиця 1'!$B:$B,$A202,'Таблиця 1'!$I:$I,"Mi-24",'Таблиця 1'!$J:$J,"Thales-70"))</f>
        <v/>
      </c>
      <c r="L202">
        <f>IF($A202="","",SUMIFS('Таблиця 1'!$K:$K,'Таблиця 1'!$B:$B,$A202,'Таблиця 1'!$I:$I,"Mi-8",'Таблиця 1'!$J:$J,"Thales-FZ")+SUMIFS('Таблиця 1'!$K:$K,'Таблиця 1'!$B:$B,$A202,'Таблиця 1'!$I:$I,"Mi-24",'Таблиця 1'!$J:$J,"Thales-FZ"))</f>
        <v/>
      </c>
      <c r="M202">
        <f>IF($A202="","",SUMIFS('Таблиця 1'!$K:$K,'Таблиця 1'!$B:$B,$A202,'Таблиця 1'!$I:$I,"Mi-8",'Таблиця 1'!$J:$J,"МК-40")+SUMIFS('Таблиця 1'!$K:$K,'Таблиця 1'!$B:$B,$A202,'Таблиця 1'!$I:$I,"Mi-24",'Таблиця 1'!$J:$J,"МК-40"))</f>
        <v/>
      </c>
      <c r="N202">
        <f>IF($A202="","",SUMIFS('Таблиця 1'!$K:$K,'Таблиця 1'!$B:$B,$A202,'Таблиця 1'!$I:$I,"Mi-8",'Таблиця 1'!$J:$J,"Zuni")+SUMIFS('Таблиця 1'!$K:$K,'Таблиця 1'!$B:$B,$A202,'Таблиця 1'!$I:$I,"Mi-24",'Таблиця 1'!$J:$J,"Zuni"))</f>
        <v/>
      </c>
      <c r="O202">
        <f>IF($A202="","",COUNTIFS('Таблиця 1'!$B:$B,$A202,'Таблиця 1'!$I:$I,"Mi-8",'Таблиця 1'!$L:$L,"Уражено")+COUNTIFS('Таблиця 1'!$B:$B,$A202,'Таблиця 1'!$I:$I,"Mi-24",'Таблиця 1'!$L:$L,"Уражено"))</f>
        <v/>
      </c>
      <c r="P202">
        <f>IF($A202="","",COUNTIFS('Таблиця 1'!$B:$B,$A202,'Таблиця 1'!$I:$I,"Mi-8",'Таблиця 1'!$L:$L,"НЕ уражено")+COUNTIFS('Таблиця 1'!$B:$B,$A202,'Таблиця 1'!$I:$I,"Mi-24",'Таблиця 1'!$L:$L,"НЕ уражено"))</f>
        <v/>
      </c>
    </row>
    <row r="203">
      <c r="A203" s="273">
        <f>IF(A202="","",IF(A202+1&gt;MAX('Таблиця 1'!$B:$B),"",A202+1))</f>
        <v/>
      </c>
      <c r="B203">
        <f>IF($A203="","",COUNTIFS('Таблиця 1'!$B:$B,$A203,'Таблиця 1'!$I:$I,"Mi-8")+COUNTIFS('Таблиця 1'!$B:$B,$A203,'Таблиця 1'!$I:$I,"Mi-24"))</f>
        <v/>
      </c>
      <c r="C203">
        <f>IF($A203="","",COUNTIFS('Таблиця 1'!$B:$B,$A203,'Таблиця 1'!$I:$I,"Mi-8"))</f>
        <v/>
      </c>
      <c r="D203">
        <f>IF($A203="","",COUNTIFS('Таблиця 1'!$B:$B,$A203,'Таблиця 1'!$I:$I,"Mi-24"))</f>
        <v/>
      </c>
      <c r="E203">
        <f>IF($A203="","",SUMIFS('Таблиця 1'!$K:$K,'Таблиця 1'!$B:$B,$A203,'Таблиця 1'!$I:$I,"Mi-8",'Таблиця 1'!$J:$J,"ARS-8")+SUMIFS('Таблиця 1'!$K:$K,'Таблиця 1'!$B:$B,$A203,'Таблиця 1'!$I:$I,"Mi-24",'Таблиця 1'!$J:$J,"ARS-8"))</f>
        <v/>
      </c>
      <c r="F203">
        <f>IF($A203="","",SUMIFS('Таблиця 1'!$K:$K,'Таблиця 1'!$B:$B,$A203,'Таблиця 1'!$I:$I,"Mi-8",'Таблиця 1'!$J:$J,"С-8 ком")+SUMIFS('Таблиця 1'!$K:$K,'Таблиця 1'!$B:$B,$A203,'Таблиця 1'!$I:$I,"Mi-24",'Таблиця 1'!$J:$J,"С-8 ком"))</f>
        <v/>
      </c>
      <c r="G203">
        <f>IF($A203="","",SUMIFS('Таблиця 1'!$K:$K,'Таблиця 1'!$B:$B,$A203,'Таблиця 1'!$I:$I,"Mi-8",'Таблиця 1'!$J:$J,"PC-80")+SUMIFS('Таблиця 1'!$K:$K,'Таблиця 1'!$B:$B,$A203,'Таблиця 1'!$I:$I,"Mi-24",'Таблиця 1'!$J:$J,"PC-80"))</f>
        <v/>
      </c>
      <c r="H203">
        <f>IF($A203="","",SUMIFS('Таблиця 1'!$K:$K,'Таблиця 1'!$B:$B,$A203,'Таблиця 1'!$I:$I,"Mi-8",'Таблиця 1'!$J:$J,"UAR-80")+SUMIFS('Таблиця 1'!$K:$K,'Таблиця 1'!$B:$B,$A203,'Таблиця 1'!$I:$I,"Mi-24",'Таблиця 1'!$J:$J,"UAR-80"))</f>
        <v/>
      </c>
      <c r="I203">
        <f>IF($A203="","",SUMIFS('Таблиця 1'!$K:$K,'Таблиця 1'!$B:$B,$A203,'Таблиця 1'!$I:$I,"Mi-8",'Таблиця 1'!$J:$J,"C-13")+SUMIFS('Таблиця 1'!$K:$K,'Таблиця 1'!$B:$B,$A203,'Таблиця 1'!$I:$I,"Mi-24",'Таблиця 1'!$J:$J,"C-13"))</f>
        <v/>
      </c>
      <c r="J203">
        <f>IF($A203="","",SUMIFS('Таблиця 1'!$K:$K,'Таблиця 1'!$B:$B,$A203,'Таблиця 1'!$I:$I,"Mi-8",'Таблиця 1'!$J:$J,"Hydra-70")+SUMIFS('Таблиця 1'!$K:$K,'Таблиця 1'!$B:$B,$A203,'Таблиця 1'!$I:$I,"Mi-24",'Таблиця 1'!$J:$J,"Hydra-70"))</f>
        <v/>
      </c>
      <c r="K203">
        <f>IF($A203="","",SUMIFS('Таблиця 1'!$K:$K,'Таблиця 1'!$B:$B,$A203,'Таблиця 1'!$I:$I,"Mi-8",'Таблиця 1'!$J:$J,"Thales-70")+SUMIFS('Таблиця 1'!$K:$K,'Таблиця 1'!$B:$B,$A203,'Таблиця 1'!$I:$I,"Mi-24",'Таблиця 1'!$J:$J,"Thales-70"))</f>
        <v/>
      </c>
      <c r="L203">
        <f>IF($A203="","",SUMIFS('Таблиця 1'!$K:$K,'Таблиця 1'!$B:$B,$A203,'Таблиця 1'!$I:$I,"Mi-8",'Таблиця 1'!$J:$J,"Thales-FZ")+SUMIFS('Таблиця 1'!$K:$K,'Таблиця 1'!$B:$B,$A203,'Таблиця 1'!$I:$I,"Mi-24",'Таблиця 1'!$J:$J,"Thales-FZ"))</f>
        <v/>
      </c>
      <c r="M203">
        <f>IF($A203="","",SUMIFS('Таблиця 1'!$K:$K,'Таблиця 1'!$B:$B,$A203,'Таблиця 1'!$I:$I,"Mi-8",'Таблиця 1'!$J:$J,"МК-40")+SUMIFS('Таблиця 1'!$K:$K,'Таблиця 1'!$B:$B,$A203,'Таблиця 1'!$I:$I,"Mi-24",'Таблиця 1'!$J:$J,"МК-40"))</f>
        <v/>
      </c>
      <c r="N203">
        <f>IF($A203="","",SUMIFS('Таблиця 1'!$K:$K,'Таблиця 1'!$B:$B,$A203,'Таблиця 1'!$I:$I,"Mi-8",'Таблиця 1'!$J:$J,"Zuni")+SUMIFS('Таблиця 1'!$K:$K,'Таблиця 1'!$B:$B,$A203,'Таблиця 1'!$I:$I,"Mi-24",'Таблиця 1'!$J:$J,"Zuni"))</f>
        <v/>
      </c>
      <c r="O203">
        <f>IF($A203="","",COUNTIFS('Таблиця 1'!$B:$B,$A203,'Таблиця 1'!$I:$I,"Mi-8",'Таблиця 1'!$L:$L,"Уражено")+COUNTIFS('Таблиця 1'!$B:$B,$A203,'Таблиця 1'!$I:$I,"Mi-24",'Таблиця 1'!$L:$L,"Уражено"))</f>
        <v/>
      </c>
      <c r="P203">
        <f>IF($A203="","",COUNTIFS('Таблиця 1'!$B:$B,$A203,'Таблиця 1'!$I:$I,"Mi-8",'Таблиця 1'!$L:$L,"НЕ уражено")+COUNTIFS('Таблиця 1'!$B:$B,$A203,'Таблиця 1'!$I:$I,"Mi-24",'Таблиця 1'!$L:$L,"НЕ уражено"))</f>
        <v/>
      </c>
    </row>
    <row r="204">
      <c r="A204" s="273">
        <f>IF(A203="","",IF(A203+1&gt;MAX('Таблиця 1'!$B:$B),"",A203+1))</f>
        <v/>
      </c>
      <c r="B204">
        <f>IF($A204="","",COUNTIFS('Таблиця 1'!$B:$B,$A204,'Таблиця 1'!$I:$I,"Mi-8")+COUNTIFS('Таблиця 1'!$B:$B,$A204,'Таблиця 1'!$I:$I,"Mi-24"))</f>
        <v/>
      </c>
      <c r="C204">
        <f>IF($A204="","",COUNTIFS('Таблиця 1'!$B:$B,$A204,'Таблиця 1'!$I:$I,"Mi-8"))</f>
        <v/>
      </c>
      <c r="D204">
        <f>IF($A204="","",COUNTIFS('Таблиця 1'!$B:$B,$A204,'Таблиця 1'!$I:$I,"Mi-24"))</f>
        <v/>
      </c>
      <c r="E204">
        <f>IF($A204="","",SUMIFS('Таблиця 1'!$K:$K,'Таблиця 1'!$B:$B,$A204,'Таблиця 1'!$I:$I,"Mi-8",'Таблиця 1'!$J:$J,"ARS-8")+SUMIFS('Таблиця 1'!$K:$K,'Таблиця 1'!$B:$B,$A204,'Таблиця 1'!$I:$I,"Mi-24",'Таблиця 1'!$J:$J,"ARS-8"))</f>
        <v/>
      </c>
      <c r="F204">
        <f>IF($A204="","",SUMIFS('Таблиця 1'!$K:$K,'Таблиця 1'!$B:$B,$A204,'Таблиця 1'!$I:$I,"Mi-8",'Таблиця 1'!$J:$J,"С-8 ком")+SUMIFS('Таблиця 1'!$K:$K,'Таблиця 1'!$B:$B,$A204,'Таблиця 1'!$I:$I,"Mi-24",'Таблиця 1'!$J:$J,"С-8 ком"))</f>
        <v/>
      </c>
      <c r="G204">
        <f>IF($A204="","",SUMIFS('Таблиця 1'!$K:$K,'Таблиця 1'!$B:$B,$A204,'Таблиця 1'!$I:$I,"Mi-8",'Таблиця 1'!$J:$J,"PC-80")+SUMIFS('Таблиця 1'!$K:$K,'Таблиця 1'!$B:$B,$A204,'Таблиця 1'!$I:$I,"Mi-24",'Таблиця 1'!$J:$J,"PC-80"))</f>
        <v/>
      </c>
      <c r="H204">
        <f>IF($A204="","",SUMIFS('Таблиця 1'!$K:$K,'Таблиця 1'!$B:$B,$A204,'Таблиця 1'!$I:$I,"Mi-8",'Таблиця 1'!$J:$J,"UAR-80")+SUMIFS('Таблиця 1'!$K:$K,'Таблиця 1'!$B:$B,$A204,'Таблиця 1'!$I:$I,"Mi-24",'Таблиця 1'!$J:$J,"UAR-80"))</f>
        <v/>
      </c>
      <c r="I204">
        <f>IF($A204="","",SUMIFS('Таблиця 1'!$K:$K,'Таблиця 1'!$B:$B,$A204,'Таблиця 1'!$I:$I,"Mi-8",'Таблиця 1'!$J:$J,"C-13")+SUMIFS('Таблиця 1'!$K:$K,'Таблиця 1'!$B:$B,$A204,'Таблиця 1'!$I:$I,"Mi-24",'Таблиця 1'!$J:$J,"C-13"))</f>
        <v/>
      </c>
      <c r="J204">
        <f>IF($A204="","",SUMIFS('Таблиця 1'!$K:$K,'Таблиця 1'!$B:$B,$A204,'Таблиця 1'!$I:$I,"Mi-8",'Таблиця 1'!$J:$J,"Hydra-70")+SUMIFS('Таблиця 1'!$K:$K,'Таблиця 1'!$B:$B,$A204,'Таблиця 1'!$I:$I,"Mi-24",'Таблиця 1'!$J:$J,"Hydra-70"))</f>
        <v/>
      </c>
      <c r="K204">
        <f>IF($A204="","",SUMIFS('Таблиця 1'!$K:$K,'Таблиця 1'!$B:$B,$A204,'Таблиця 1'!$I:$I,"Mi-8",'Таблиця 1'!$J:$J,"Thales-70")+SUMIFS('Таблиця 1'!$K:$K,'Таблиця 1'!$B:$B,$A204,'Таблиця 1'!$I:$I,"Mi-24",'Таблиця 1'!$J:$J,"Thales-70"))</f>
        <v/>
      </c>
      <c r="L204">
        <f>IF($A204="","",SUMIFS('Таблиця 1'!$K:$K,'Таблиця 1'!$B:$B,$A204,'Таблиця 1'!$I:$I,"Mi-8",'Таблиця 1'!$J:$J,"Thales-FZ")+SUMIFS('Таблиця 1'!$K:$K,'Таблиця 1'!$B:$B,$A204,'Таблиця 1'!$I:$I,"Mi-24",'Таблиця 1'!$J:$J,"Thales-FZ"))</f>
        <v/>
      </c>
      <c r="M204">
        <f>IF($A204="","",SUMIFS('Таблиця 1'!$K:$K,'Таблиця 1'!$B:$B,$A204,'Таблиця 1'!$I:$I,"Mi-8",'Таблиця 1'!$J:$J,"МК-40")+SUMIFS('Таблиця 1'!$K:$K,'Таблиця 1'!$B:$B,$A204,'Таблиця 1'!$I:$I,"Mi-24",'Таблиця 1'!$J:$J,"МК-40"))</f>
        <v/>
      </c>
      <c r="N204">
        <f>IF($A204="","",SUMIFS('Таблиця 1'!$K:$K,'Таблиця 1'!$B:$B,$A204,'Таблиця 1'!$I:$I,"Mi-8",'Таблиця 1'!$J:$J,"Zuni")+SUMIFS('Таблиця 1'!$K:$K,'Таблиця 1'!$B:$B,$A204,'Таблиця 1'!$I:$I,"Mi-24",'Таблиця 1'!$J:$J,"Zuni"))</f>
        <v/>
      </c>
      <c r="O204">
        <f>IF($A204="","",COUNTIFS('Таблиця 1'!$B:$B,$A204,'Таблиця 1'!$I:$I,"Mi-8",'Таблиця 1'!$L:$L,"Уражено")+COUNTIFS('Таблиця 1'!$B:$B,$A204,'Таблиця 1'!$I:$I,"Mi-24",'Таблиця 1'!$L:$L,"Уражено"))</f>
        <v/>
      </c>
      <c r="P204">
        <f>IF($A204="","",COUNTIFS('Таблиця 1'!$B:$B,$A204,'Таблиця 1'!$I:$I,"Mi-8",'Таблиця 1'!$L:$L,"НЕ уражено")+COUNTIFS('Таблиця 1'!$B:$B,$A204,'Таблиця 1'!$I:$I,"Mi-24",'Таблиця 1'!$L:$L,"НЕ уражено"))</f>
        <v/>
      </c>
    </row>
    <row r="205">
      <c r="A205" s="273">
        <f>IF(A204="","",IF(A204+1&gt;MAX('Таблиця 1'!$B:$B),"",A204+1))</f>
        <v/>
      </c>
      <c r="B205">
        <f>IF($A205="","",COUNTIFS('Таблиця 1'!$B:$B,$A205,'Таблиця 1'!$I:$I,"Mi-8")+COUNTIFS('Таблиця 1'!$B:$B,$A205,'Таблиця 1'!$I:$I,"Mi-24"))</f>
        <v/>
      </c>
      <c r="C205">
        <f>IF($A205="","",COUNTIFS('Таблиця 1'!$B:$B,$A205,'Таблиця 1'!$I:$I,"Mi-8"))</f>
        <v/>
      </c>
      <c r="D205">
        <f>IF($A205="","",COUNTIFS('Таблиця 1'!$B:$B,$A205,'Таблиця 1'!$I:$I,"Mi-24"))</f>
        <v/>
      </c>
      <c r="E205">
        <f>IF($A205="","",SUMIFS('Таблиця 1'!$K:$K,'Таблиця 1'!$B:$B,$A205,'Таблиця 1'!$I:$I,"Mi-8",'Таблиця 1'!$J:$J,"ARS-8")+SUMIFS('Таблиця 1'!$K:$K,'Таблиця 1'!$B:$B,$A205,'Таблиця 1'!$I:$I,"Mi-24",'Таблиця 1'!$J:$J,"ARS-8"))</f>
        <v/>
      </c>
      <c r="F205">
        <f>IF($A205="","",SUMIFS('Таблиця 1'!$K:$K,'Таблиця 1'!$B:$B,$A205,'Таблиця 1'!$I:$I,"Mi-8",'Таблиця 1'!$J:$J,"С-8 ком")+SUMIFS('Таблиця 1'!$K:$K,'Таблиця 1'!$B:$B,$A205,'Таблиця 1'!$I:$I,"Mi-24",'Таблиця 1'!$J:$J,"С-8 ком"))</f>
        <v/>
      </c>
      <c r="G205">
        <f>IF($A205="","",SUMIFS('Таблиця 1'!$K:$K,'Таблиця 1'!$B:$B,$A205,'Таблиця 1'!$I:$I,"Mi-8",'Таблиця 1'!$J:$J,"PC-80")+SUMIFS('Таблиця 1'!$K:$K,'Таблиця 1'!$B:$B,$A205,'Таблиця 1'!$I:$I,"Mi-24",'Таблиця 1'!$J:$J,"PC-80"))</f>
        <v/>
      </c>
      <c r="H205">
        <f>IF($A205="","",SUMIFS('Таблиця 1'!$K:$K,'Таблиця 1'!$B:$B,$A205,'Таблиця 1'!$I:$I,"Mi-8",'Таблиця 1'!$J:$J,"UAR-80")+SUMIFS('Таблиця 1'!$K:$K,'Таблиця 1'!$B:$B,$A205,'Таблиця 1'!$I:$I,"Mi-24",'Таблиця 1'!$J:$J,"UAR-80"))</f>
        <v/>
      </c>
      <c r="I205">
        <f>IF($A205="","",SUMIFS('Таблиця 1'!$K:$K,'Таблиця 1'!$B:$B,$A205,'Таблиця 1'!$I:$I,"Mi-8",'Таблиця 1'!$J:$J,"C-13")+SUMIFS('Таблиця 1'!$K:$K,'Таблиця 1'!$B:$B,$A205,'Таблиця 1'!$I:$I,"Mi-24",'Таблиця 1'!$J:$J,"C-13"))</f>
        <v/>
      </c>
      <c r="J205">
        <f>IF($A205="","",SUMIFS('Таблиця 1'!$K:$K,'Таблиця 1'!$B:$B,$A205,'Таблиця 1'!$I:$I,"Mi-8",'Таблиця 1'!$J:$J,"Hydra-70")+SUMIFS('Таблиця 1'!$K:$K,'Таблиця 1'!$B:$B,$A205,'Таблиця 1'!$I:$I,"Mi-24",'Таблиця 1'!$J:$J,"Hydra-70"))</f>
        <v/>
      </c>
      <c r="K205">
        <f>IF($A205="","",SUMIFS('Таблиця 1'!$K:$K,'Таблиця 1'!$B:$B,$A205,'Таблиця 1'!$I:$I,"Mi-8",'Таблиця 1'!$J:$J,"Thales-70")+SUMIFS('Таблиця 1'!$K:$K,'Таблиця 1'!$B:$B,$A205,'Таблиця 1'!$I:$I,"Mi-24",'Таблиця 1'!$J:$J,"Thales-70"))</f>
        <v/>
      </c>
      <c r="L205">
        <f>IF($A205="","",SUMIFS('Таблиця 1'!$K:$K,'Таблиця 1'!$B:$B,$A205,'Таблиця 1'!$I:$I,"Mi-8",'Таблиця 1'!$J:$J,"Thales-FZ")+SUMIFS('Таблиця 1'!$K:$K,'Таблиця 1'!$B:$B,$A205,'Таблиця 1'!$I:$I,"Mi-24",'Таблиця 1'!$J:$J,"Thales-FZ"))</f>
        <v/>
      </c>
      <c r="M205">
        <f>IF($A205="","",SUMIFS('Таблиця 1'!$K:$K,'Таблиця 1'!$B:$B,$A205,'Таблиця 1'!$I:$I,"Mi-8",'Таблиця 1'!$J:$J,"МК-40")+SUMIFS('Таблиця 1'!$K:$K,'Таблиця 1'!$B:$B,$A205,'Таблиця 1'!$I:$I,"Mi-24",'Таблиця 1'!$J:$J,"МК-40"))</f>
        <v/>
      </c>
      <c r="N205">
        <f>IF($A205="","",SUMIFS('Таблиця 1'!$K:$K,'Таблиця 1'!$B:$B,$A205,'Таблиця 1'!$I:$I,"Mi-8",'Таблиця 1'!$J:$J,"Zuni")+SUMIFS('Таблиця 1'!$K:$K,'Таблиця 1'!$B:$B,$A205,'Таблиця 1'!$I:$I,"Mi-24",'Таблиця 1'!$J:$J,"Zuni"))</f>
        <v/>
      </c>
      <c r="O205">
        <f>IF($A205="","",COUNTIFS('Таблиця 1'!$B:$B,$A205,'Таблиця 1'!$I:$I,"Mi-8",'Таблиця 1'!$L:$L,"Уражено")+COUNTIFS('Таблиця 1'!$B:$B,$A205,'Таблиця 1'!$I:$I,"Mi-24",'Таблиця 1'!$L:$L,"Уражено"))</f>
        <v/>
      </c>
      <c r="P205">
        <f>IF($A205="","",COUNTIFS('Таблиця 1'!$B:$B,$A205,'Таблиця 1'!$I:$I,"Mi-8",'Таблиця 1'!$L:$L,"НЕ уражено")+COUNTIFS('Таблиця 1'!$B:$B,$A205,'Таблиця 1'!$I:$I,"Mi-24",'Таблиця 1'!$L:$L,"НЕ уражено"))</f>
        <v/>
      </c>
    </row>
    <row r="206">
      <c r="A206" s="273">
        <f>IF(A205="","",IF(A205+1&gt;MAX('Таблиця 1'!$B:$B),"",A205+1))</f>
        <v/>
      </c>
      <c r="B206">
        <f>IF($A206="","",COUNTIFS('Таблиця 1'!$B:$B,$A206,'Таблиця 1'!$I:$I,"Mi-8")+COUNTIFS('Таблиця 1'!$B:$B,$A206,'Таблиця 1'!$I:$I,"Mi-24"))</f>
        <v/>
      </c>
      <c r="C206">
        <f>IF($A206="","",COUNTIFS('Таблиця 1'!$B:$B,$A206,'Таблиця 1'!$I:$I,"Mi-8"))</f>
        <v/>
      </c>
      <c r="D206">
        <f>IF($A206="","",COUNTIFS('Таблиця 1'!$B:$B,$A206,'Таблиця 1'!$I:$I,"Mi-24"))</f>
        <v/>
      </c>
      <c r="E206">
        <f>IF($A206="","",SUMIFS('Таблиця 1'!$K:$K,'Таблиця 1'!$B:$B,$A206,'Таблиця 1'!$I:$I,"Mi-8",'Таблиця 1'!$J:$J,"ARS-8")+SUMIFS('Таблиця 1'!$K:$K,'Таблиця 1'!$B:$B,$A206,'Таблиця 1'!$I:$I,"Mi-24",'Таблиця 1'!$J:$J,"ARS-8"))</f>
        <v/>
      </c>
      <c r="F206">
        <f>IF($A206="","",SUMIFS('Таблиця 1'!$K:$K,'Таблиця 1'!$B:$B,$A206,'Таблиця 1'!$I:$I,"Mi-8",'Таблиця 1'!$J:$J,"С-8 ком")+SUMIFS('Таблиця 1'!$K:$K,'Таблиця 1'!$B:$B,$A206,'Таблиця 1'!$I:$I,"Mi-24",'Таблиця 1'!$J:$J,"С-8 ком"))</f>
        <v/>
      </c>
      <c r="G206">
        <f>IF($A206="","",SUMIFS('Таблиця 1'!$K:$K,'Таблиця 1'!$B:$B,$A206,'Таблиця 1'!$I:$I,"Mi-8",'Таблиця 1'!$J:$J,"PC-80")+SUMIFS('Таблиця 1'!$K:$K,'Таблиця 1'!$B:$B,$A206,'Таблиця 1'!$I:$I,"Mi-24",'Таблиця 1'!$J:$J,"PC-80"))</f>
        <v/>
      </c>
      <c r="H206">
        <f>IF($A206="","",SUMIFS('Таблиця 1'!$K:$K,'Таблиця 1'!$B:$B,$A206,'Таблиця 1'!$I:$I,"Mi-8",'Таблиця 1'!$J:$J,"UAR-80")+SUMIFS('Таблиця 1'!$K:$K,'Таблиця 1'!$B:$B,$A206,'Таблиця 1'!$I:$I,"Mi-24",'Таблиця 1'!$J:$J,"UAR-80"))</f>
        <v/>
      </c>
      <c r="I206">
        <f>IF($A206="","",SUMIFS('Таблиця 1'!$K:$K,'Таблиця 1'!$B:$B,$A206,'Таблиця 1'!$I:$I,"Mi-8",'Таблиця 1'!$J:$J,"C-13")+SUMIFS('Таблиця 1'!$K:$K,'Таблиця 1'!$B:$B,$A206,'Таблиця 1'!$I:$I,"Mi-24",'Таблиця 1'!$J:$J,"C-13"))</f>
        <v/>
      </c>
      <c r="J206">
        <f>IF($A206="","",SUMIFS('Таблиця 1'!$K:$K,'Таблиця 1'!$B:$B,$A206,'Таблиця 1'!$I:$I,"Mi-8",'Таблиця 1'!$J:$J,"Hydra-70")+SUMIFS('Таблиця 1'!$K:$K,'Таблиця 1'!$B:$B,$A206,'Таблиця 1'!$I:$I,"Mi-24",'Таблиця 1'!$J:$J,"Hydra-70"))</f>
        <v/>
      </c>
      <c r="K206">
        <f>IF($A206="","",SUMIFS('Таблиця 1'!$K:$K,'Таблиця 1'!$B:$B,$A206,'Таблиця 1'!$I:$I,"Mi-8",'Таблиця 1'!$J:$J,"Thales-70")+SUMIFS('Таблиця 1'!$K:$K,'Таблиця 1'!$B:$B,$A206,'Таблиця 1'!$I:$I,"Mi-24",'Таблиця 1'!$J:$J,"Thales-70"))</f>
        <v/>
      </c>
      <c r="L206">
        <f>IF($A206="","",SUMIFS('Таблиця 1'!$K:$K,'Таблиця 1'!$B:$B,$A206,'Таблиця 1'!$I:$I,"Mi-8",'Таблиця 1'!$J:$J,"Thales-FZ")+SUMIFS('Таблиця 1'!$K:$K,'Таблиця 1'!$B:$B,$A206,'Таблиця 1'!$I:$I,"Mi-24",'Таблиця 1'!$J:$J,"Thales-FZ"))</f>
        <v/>
      </c>
      <c r="M206">
        <f>IF($A206="","",SUMIFS('Таблиця 1'!$K:$K,'Таблиця 1'!$B:$B,$A206,'Таблиця 1'!$I:$I,"Mi-8",'Таблиця 1'!$J:$J,"МК-40")+SUMIFS('Таблиця 1'!$K:$K,'Таблиця 1'!$B:$B,$A206,'Таблиця 1'!$I:$I,"Mi-24",'Таблиця 1'!$J:$J,"МК-40"))</f>
        <v/>
      </c>
      <c r="N206">
        <f>IF($A206="","",SUMIFS('Таблиця 1'!$K:$K,'Таблиця 1'!$B:$B,$A206,'Таблиця 1'!$I:$I,"Mi-8",'Таблиця 1'!$J:$J,"Zuni")+SUMIFS('Таблиця 1'!$K:$K,'Таблиця 1'!$B:$B,$A206,'Таблиця 1'!$I:$I,"Mi-24",'Таблиця 1'!$J:$J,"Zuni"))</f>
        <v/>
      </c>
      <c r="O206">
        <f>IF($A206="","",COUNTIFS('Таблиця 1'!$B:$B,$A206,'Таблиця 1'!$I:$I,"Mi-8",'Таблиця 1'!$L:$L,"Уражено")+COUNTIFS('Таблиця 1'!$B:$B,$A206,'Таблиця 1'!$I:$I,"Mi-24",'Таблиця 1'!$L:$L,"Уражено"))</f>
        <v/>
      </c>
      <c r="P206">
        <f>IF($A206="","",COUNTIFS('Таблиця 1'!$B:$B,$A206,'Таблиця 1'!$I:$I,"Mi-8",'Таблиця 1'!$L:$L,"НЕ уражено")+COUNTIFS('Таблиця 1'!$B:$B,$A206,'Таблиця 1'!$I:$I,"Mi-24",'Таблиця 1'!$L:$L,"НЕ уражено"))</f>
        <v/>
      </c>
    </row>
    <row r="207">
      <c r="A207" s="273">
        <f>IF(A206="","",IF(A206+1&gt;MAX('Таблиця 1'!$B:$B),"",A206+1))</f>
        <v/>
      </c>
      <c r="B207">
        <f>IF($A207="","",COUNTIFS('Таблиця 1'!$B:$B,$A207,'Таблиця 1'!$I:$I,"Mi-8")+COUNTIFS('Таблиця 1'!$B:$B,$A207,'Таблиця 1'!$I:$I,"Mi-24"))</f>
        <v/>
      </c>
      <c r="C207">
        <f>IF($A207="","",COUNTIFS('Таблиця 1'!$B:$B,$A207,'Таблиця 1'!$I:$I,"Mi-8"))</f>
        <v/>
      </c>
      <c r="D207">
        <f>IF($A207="","",COUNTIFS('Таблиця 1'!$B:$B,$A207,'Таблиця 1'!$I:$I,"Mi-24"))</f>
        <v/>
      </c>
      <c r="E207">
        <f>IF($A207="","",SUMIFS('Таблиця 1'!$K:$K,'Таблиця 1'!$B:$B,$A207,'Таблиця 1'!$I:$I,"Mi-8",'Таблиця 1'!$J:$J,"ARS-8")+SUMIFS('Таблиця 1'!$K:$K,'Таблиця 1'!$B:$B,$A207,'Таблиця 1'!$I:$I,"Mi-24",'Таблиця 1'!$J:$J,"ARS-8"))</f>
        <v/>
      </c>
      <c r="F207">
        <f>IF($A207="","",SUMIFS('Таблиця 1'!$K:$K,'Таблиця 1'!$B:$B,$A207,'Таблиця 1'!$I:$I,"Mi-8",'Таблиця 1'!$J:$J,"С-8 ком")+SUMIFS('Таблиця 1'!$K:$K,'Таблиця 1'!$B:$B,$A207,'Таблиця 1'!$I:$I,"Mi-24",'Таблиця 1'!$J:$J,"С-8 ком"))</f>
        <v/>
      </c>
      <c r="G207">
        <f>IF($A207="","",SUMIFS('Таблиця 1'!$K:$K,'Таблиця 1'!$B:$B,$A207,'Таблиця 1'!$I:$I,"Mi-8",'Таблиця 1'!$J:$J,"PC-80")+SUMIFS('Таблиця 1'!$K:$K,'Таблиця 1'!$B:$B,$A207,'Таблиця 1'!$I:$I,"Mi-24",'Таблиця 1'!$J:$J,"PC-80"))</f>
        <v/>
      </c>
      <c r="H207">
        <f>IF($A207="","",SUMIFS('Таблиця 1'!$K:$K,'Таблиця 1'!$B:$B,$A207,'Таблиця 1'!$I:$I,"Mi-8",'Таблиця 1'!$J:$J,"UAR-80")+SUMIFS('Таблиця 1'!$K:$K,'Таблиця 1'!$B:$B,$A207,'Таблиця 1'!$I:$I,"Mi-24",'Таблиця 1'!$J:$J,"UAR-80"))</f>
        <v/>
      </c>
      <c r="I207">
        <f>IF($A207="","",SUMIFS('Таблиця 1'!$K:$K,'Таблиця 1'!$B:$B,$A207,'Таблиця 1'!$I:$I,"Mi-8",'Таблиця 1'!$J:$J,"C-13")+SUMIFS('Таблиця 1'!$K:$K,'Таблиця 1'!$B:$B,$A207,'Таблиця 1'!$I:$I,"Mi-24",'Таблиця 1'!$J:$J,"C-13"))</f>
        <v/>
      </c>
      <c r="J207">
        <f>IF($A207="","",SUMIFS('Таблиця 1'!$K:$K,'Таблиця 1'!$B:$B,$A207,'Таблиця 1'!$I:$I,"Mi-8",'Таблиця 1'!$J:$J,"Hydra-70")+SUMIFS('Таблиця 1'!$K:$K,'Таблиця 1'!$B:$B,$A207,'Таблиця 1'!$I:$I,"Mi-24",'Таблиця 1'!$J:$J,"Hydra-70"))</f>
        <v/>
      </c>
      <c r="K207">
        <f>IF($A207="","",SUMIFS('Таблиця 1'!$K:$K,'Таблиця 1'!$B:$B,$A207,'Таблиця 1'!$I:$I,"Mi-8",'Таблиця 1'!$J:$J,"Thales-70")+SUMIFS('Таблиця 1'!$K:$K,'Таблиця 1'!$B:$B,$A207,'Таблиця 1'!$I:$I,"Mi-24",'Таблиця 1'!$J:$J,"Thales-70"))</f>
        <v/>
      </c>
      <c r="L207">
        <f>IF($A207="","",SUMIFS('Таблиця 1'!$K:$K,'Таблиця 1'!$B:$B,$A207,'Таблиця 1'!$I:$I,"Mi-8",'Таблиця 1'!$J:$J,"Thales-FZ")+SUMIFS('Таблиця 1'!$K:$K,'Таблиця 1'!$B:$B,$A207,'Таблиця 1'!$I:$I,"Mi-24",'Таблиця 1'!$J:$J,"Thales-FZ"))</f>
        <v/>
      </c>
      <c r="M207">
        <f>IF($A207="","",SUMIFS('Таблиця 1'!$K:$K,'Таблиця 1'!$B:$B,$A207,'Таблиця 1'!$I:$I,"Mi-8",'Таблиця 1'!$J:$J,"МК-40")+SUMIFS('Таблиця 1'!$K:$K,'Таблиця 1'!$B:$B,$A207,'Таблиця 1'!$I:$I,"Mi-24",'Таблиця 1'!$J:$J,"МК-40"))</f>
        <v/>
      </c>
      <c r="N207">
        <f>IF($A207="","",SUMIFS('Таблиця 1'!$K:$K,'Таблиця 1'!$B:$B,$A207,'Таблиця 1'!$I:$I,"Mi-8",'Таблиця 1'!$J:$J,"Zuni")+SUMIFS('Таблиця 1'!$K:$K,'Таблиця 1'!$B:$B,$A207,'Таблиця 1'!$I:$I,"Mi-24",'Таблиця 1'!$J:$J,"Zuni"))</f>
        <v/>
      </c>
      <c r="O207">
        <f>IF($A207="","",COUNTIFS('Таблиця 1'!$B:$B,$A207,'Таблиця 1'!$I:$I,"Mi-8",'Таблиця 1'!$L:$L,"Уражено")+COUNTIFS('Таблиця 1'!$B:$B,$A207,'Таблиця 1'!$I:$I,"Mi-24",'Таблиця 1'!$L:$L,"Уражено"))</f>
        <v/>
      </c>
      <c r="P207">
        <f>IF($A207="","",COUNTIFS('Таблиця 1'!$B:$B,$A207,'Таблиця 1'!$I:$I,"Mi-8",'Таблиця 1'!$L:$L,"НЕ уражено")+COUNTIFS('Таблиця 1'!$B:$B,$A207,'Таблиця 1'!$I:$I,"Mi-24",'Таблиця 1'!$L:$L,"НЕ уражено"))</f>
        <v/>
      </c>
    </row>
    <row r="208">
      <c r="A208" s="273">
        <f>IF(A207="","",IF(A207+1&gt;MAX('Таблиця 1'!$B:$B),"",A207+1))</f>
        <v/>
      </c>
      <c r="B208">
        <f>IF($A208="","",COUNTIFS('Таблиця 1'!$B:$B,$A208,'Таблиця 1'!$I:$I,"Mi-8")+COUNTIFS('Таблиця 1'!$B:$B,$A208,'Таблиця 1'!$I:$I,"Mi-24"))</f>
        <v/>
      </c>
      <c r="C208">
        <f>IF($A208="","",COUNTIFS('Таблиця 1'!$B:$B,$A208,'Таблиця 1'!$I:$I,"Mi-8"))</f>
        <v/>
      </c>
      <c r="D208">
        <f>IF($A208="","",COUNTIFS('Таблиця 1'!$B:$B,$A208,'Таблиця 1'!$I:$I,"Mi-24"))</f>
        <v/>
      </c>
      <c r="E208">
        <f>IF($A208="","",SUMIFS('Таблиця 1'!$K:$K,'Таблиця 1'!$B:$B,$A208,'Таблиця 1'!$I:$I,"Mi-8",'Таблиця 1'!$J:$J,"ARS-8")+SUMIFS('Таблиця 1'!$K:$K,'Таблиця 1'!$B:$B,$A208,'Таблиця 1'!$I:$I,"Mi-24",'Таблиця 1'!$J:$J,"ARS-8"))</f>
        <v/>
      </c>
      <c r="F208">
        <f>IF($A208="","",SUMIFS('Таблиця 1'!$K:$K,'Таблиця 1'!$B:$B,$A208,'Таблиця 1'!$I:$I,"Mi-8",'Таблиця 1'!$J:$J,"С-8 ком")+SUMIFS('Таблиця 1'!$K:$K,'Таблиця 1'!$B:$B,$A208,'Таблиця 1'!$I:$I,"Mi-24",'Таблиця 1'!$J:$J,"С-8 ком"))</f>
        <v/>
      </c>
      <c r="G208">
        <f>IF($A208="","",SUMIFS('Таблиця 1'!$K:$K,'Таблиця 1'!$B:$B,$A208,'Таблиця 1'!$I:$I,"Mi-8",'Таблиця 1'!$J:$J,"PC-80")+SUMIFS('Таблиця 1'!$K:$K,'Таблиця 1'!$B:$B,$A208,'Таблиця 1'!$I:$I,"Mi-24",'Таблиця 1'!$J:$J,"PC-80"))</f>
        <v/>
      </c>
      <c r="H208">
        <f>IF($A208="","",SUMIFS('Таблиця 1'!$K:$K,'Таблиця 1'!$B:$B,$A208,'Таблиця 1'!$I:$I,"Mi-8",'Таблиця 1'!$J:$J,"UAR-80")+SUMIFS('Таблиця 1'!$K:$K,'Таблиця 1'!$B:$B,$A208,'Таблиця 1'!$I:$I,"Mi-24",'Таблиця 1'!$J:$J,"UAR-80"))</f>
        <v/>
      </c>
      <c r="I208">
        <f>IF($A208="","",SUMIFS('Таблиця 1'!$K:$K,'Таблиця 1'!$B:$B,$A208,'Таблиця 1'!$I:$I,"Mi-8",'Таблиця 1'!$J:$J,"C-13")+SUMIFS('Таблиця 1'!$K:$K,'Таблиця 1'!$B:$B,$A208,'Таблиця 1'!$I:$I,"Mi-24",'Таблиця 1'!$J:$J,"C-13"))</f>
        <v/>
      </c>
      <c r="J208">
        <f>IF($A208="","",SUMIFS('Таблиця 1'!$K:$K,'Таблиця 1'!$B:$B,$A208,'Таблиця 1'!$I:$I,"Mi-8",'Таблиця 1'!$J:$J,"Hydra-70")+SUMIFS('Таблиця 1'!$K:$K,'Таблиця 1'!$B:$B,$A208,'Таблиця 1'!$I:$I,"Mi-24",'Таблиця 1'!$J:$J,"Hydra-70"))</f>
        <v/>
      </c>
      <c r="K208">
        <f>IF($A208="","",SUMIFS('Таблиця 1'!$K:$K,'Таблиця 1'!$B:$B,$A208,'Таблиця 1'!$I:$I,"Mi-8",'Таблиця 1'!$J:$J,"Thales-70")+SUMIFS('Таблиця 1'!$K:$K,'Таблиця 1'!$B:$B,$A208,'Таблиця 1'!$I:$I,"Mi-24",'Таблиця 1'!$J:$J,"Thales-70"))</f>
        <v/>
      </c>
      <c r="L208">
        <f>IF($A208="","",SUMIFS('Таблиця 1'!$K:$K,'Таблиця 1'!$B:$B,$A208,'Таблиця 1'!$I:$I,"Mi-8",'Таблиця 1'!$J:$J,"Thales-FZ")+SUMIFS('Таблиця 1'!$K:$K,'Таблиця 1'!$B:$B,$A208,'Таблиця 1'!$I:$I,"Mi-24",'Таблиця 1'!$J:$J,"Thales-FZ"))</f>
        <v/>
      </c>
      <c r="M208">
        <f>IF($A208="","",SUMIFS('Таблиця 1'!$K:$K,'Таблиця 1'!$B:$B,$A208,'Таблиця 1'!$I:$I,"Mi-8",'Таблиця 1'!$J:$J,"МК-40")+SUMIFS('Таблиця 1'!$K:$K,'Таблиця 1'!$B:$B,$A208,'Таблиця 1'!$I:$I,"Mi-24",'Таблиця 1'!$J:$J,"МК-40"))</f>
        <v/>
      </c>
      <c r="N208">
        <f>IF($A208="","",SUMIFS('Таблиця 1'!$K:$K,'Таблиця 1'!$B:$B,$A208,'Таблиця 1'!$I:$I,"Mi-8",'Таблиця 1'!$J:$J,"Zuni")+SUMIFS('Таблиця 1'!$K:$K,'Таблиця 1'!$B:$B,$A208,'Таблиця 1'!$I:$I,"Mi-24",'Таблиця 1'!$J:$J,"Zuni"))</f>
        <v/>
      </c>
      <c r="O208">
        <f>IF($A208="","",COUNTIFS('Таблиця 1'!$B:$B,$A208,'Таблиця 1'!$I:$I,"Mi-8",'Таблиця 1'!$L:$L,"Уражено")+COUNTIFS('Таблиця 1'!$B:$B,$A208,'Таблиця 1'!$I:$I,"Mi-24",'Таблиця 1'!$L:$L,"Уражено"))</f>
        <v/>
      </c>
      <c r="P208">
        <f>IF($A208="","",COUNTIFS('Таблиця 1'!$B:$B,$A208,'Таблиця 1'!$I:$I,"Mi-8",'Таблиця 1'!$L:$L,"НЕ уражено")+COUNTIFS('Таблиця 1'!$B:$B,$A208,'Таблиця 1'!$I:$I,"Mi-24",'Таблиця 1'!$L:$L,"НЕ уражено"))</f>
        <v/>
      </c>
    </row>
    <row r="209">
      <c r="A209" s="273">
        <f>IF(A208="","",IF(A208+1&gt;MAX('Таблиця 1'!$B:$B),"",A208+1))</f>
        <v/>
      </c>
      <c r="B209">
        <f>IF($A209="","",COUNTIFS('Таблиця 1'!$B:$B,$A209,'Таблиця 1'!$I:$I,"Mi-8")+COUNTIFS('Таблиця 1'!$B:$B,$A209,'Таблиця 1'!$I:$I,"Mi-24"))</f>
        <v/>
      </c>
      <c r="C209">
        <f>IF($A209="","",COUNTIFS('Таблиця 1'!$B:$B,$A209,'Таблиця 1'!$I:$I,"Mi-8"))</f>
        <v/>
      </c>
      <c r="D209">
        <f>IF($A209="","",COUNTIFS('Таблиця 1'!$B:$B,$A209,'Таблиця 1'!$I:$I,"Mi-24"))</f>
        <v/>
      </c>
      <c r="E209">
        <f>IF($A209="","",SUMIFS('Таблиця 1'!$K:$K,'Таблиця 1'!$B:$B,$A209,'Таблиця 1'!$I:$I,"Mi-8",'Таблиця 1'!$J:$J,"ARS-8")+SUMIFS('Таблиця 1'!$K:$K,'Таблиця 1'!$B:$B,$A209,'Таблиця 1'!$I:$I,"Mi-24",'Таблиця 1'!$J:$J,"ARS-8"))</f>
        <v/>
      </c>
      <c r="F209">
        <f>IF($A209="","",SUMIFS('Таблиця 1'!$K:$K,'Таблиця 1'!$B:$B,$A209,'Таблиця 1'!$I:$I,"Mi-8",'Таблиця 1'!$J:$J,"С-8 ком")+SUMIFS('Таблиця 1'!$K:$K,'Таблиця 1'!$B:$B,$A209,'Таблиця 1'!$I:$I,"Mi-24",'Таблиця 1'!$J:$J,"С-8 ком"))</f>
        <v/>
      </c>
      <c r="G209">
        <f>IF($A209="","",SUMIFS('Таблиця 1'!$K:$K,'Таблиця 1'!$B:$B,$A209,'Таблиця 1'!$I:$I,"Mi-8",'Таблиця 1'!$J:$J,"PC-80")+SUMIFS('Таблиця 1'!$K:$K,'Таблиця 1'!$B:$B,$A209,'Таблиця 1'!$I:$I,"Mi-24",'Таблиця 1'!$J:$J,"PC-80"))</f>
        <v/>
      </c>
      <c r="H209">
        <f>IF($A209="","",SUMIFS('Таблиця 1'!$K:$K,'Таблиця 1'!$B:$B,$A209,'Таблиця 1'!$I:$I,"Mi-8",'Таблиця 1'!$J:$J,"UAR-80")+SUMIFS('Таблиця 1'!$K:$K,'Таблиця 1'!$B:$B,$A209,'Таблиця 1'!$I:$I,"Mi-24",'Таблиця 1'!$J:$J,"UAR-80"))</f>
        <v/>
      </c>
      <c r="I209">
        <f>IF($A209="","",SUMIFS('Таблиця 1'!$K:$K,'Таблиця 1'!$B:$B,$A209,'Таблиця 1'!$I:$I,"Mi-8",'Таблиця 1'!$J:$J,"C-13")+SUMIFS('Таблиця 1'!$K:$K,'Таблиця 1'!$B:$B,$A209,'Таблиця 1'!$I:$I,"Mi-24",'Таблиця 1'!$J:$J,"C-13"))</f>
        <v/>
      </c>
      <c r="J209">
        <f>IF($A209="","",SUMIFS('Таблиця 1'!$K:$K,'Таблиця 1'!$B:$B,$A209,'Таблиця 1'!$I:$I,"Mi-8",'Таблиця 1'!$J:$J,"Hydra-70")+SUMIFS('Таблиця 1'!$K:$K,'Таблиця 1'!$B:$B,$A209,'Таблиця 1'!$I:$I,"Mi-24",'Таблиця 1'!$J:$J,"Hydra-70"))</f>
        <v/>
      </c>
      <c r="K209">
        <f>IF($A209="","",SUMIFS('Таблиця 1'!$K:$K,'Таблиця 1'!$B:$B,$A209,'Таблиця 1'!$I:$I,"Mi-8",'Таблиця 1'!$J:$J,"Thales-70")+SUMIFS('Таблиця 1'!$K:$K,'Таблиця 1'!$B:$B,$A209,'Таблиця 1'!$I:$I,"Mi-24",'Таблиця 1'!$J:$J,"Thales-70"))</f>
        <v/>
      </c>
      <c r="L209">
        <f>IF($A209="","",SUMIFS('Таблиця 1'!$K:$K,'Таблиця 1'!$B:$B,$A209,'Таблиця 1'!$I:$I,"Mi-8",'Таблиця 1'!$J:$J,"Thales-FZ")+SUMIFS('Таблиця 1'!$K:$K,'Таблиця 1'!$B:$B,$A209,'Таблиця 1'!$I:$I,"Mi-24",'Таблиця 1'!$J:$J,"Thales-FZ"))</f>
        <v/>
      </c>
      <c r="M209">
        <f>IF($A209="","",SUMIFS('Таблиця 1'!$K:$K,'Таблиця 1'!$B:$B,$A209,'Таблиця 1'!$I:$I,"Mi-8",'Таблиця 1'!$J:$J,"МК-40")+SUMIFS('Таблиця 1'!$K:$K,'Таблиця 1'!$B:$B,$A209,'Таблиця 1'!$I:$I,"Mi-24",'Таблиця 1'!$J:$J,"МК-40"))</f>
        <v/>
      </c>
      <c r="N209">
        <f>IF($A209="","",SUMIFS('Таблиця 1'!$K:$K,'Таблиця 1'!$B:$B,$A209,'Таблиця 1'!$I:$I,"Mi-8",'Таблиця 1'!$J:$J,"Zuni")+SUMIFS('Таблиця 1'!$K:$K,'Таблиця 1'!$B:$B,$A209,'Таблиця 1'!$I:$I,"Mi-24",'Таблиця 1'!$J:$J,"Zuni"))</f>
        <v/>
      </c>
      <c r="O209">
        <f>IF($A209="","",COUNTIFS('Таблиця 1'!$B:$B,$A209,'Таблиця 1'!$I:$I,"Mi-8",'Таблиця 1'!$L:$L,"Уражено")+COUNTIFS('Таблиця 1'!$B:$B,$A209,'Таблиця 1'!$I:$I,"Mi-24",'Таблиця 1'!$L:$L,"Уражено"))</f>
        <v/>
      </c>
      <c r="P209">
        <f>IF($A209="","",COUNTIFS('Таблиця 1'!$B:$B,$A209,'Таблиця 1'!$I:$I,"Mi-8",'Таблиця 1'!$L:$L,"НЕ уражено")+COUNTIFS('Таблиця 1'!$B:$B,$A209,'Таблиця 1'!$I:$I,"Mi-24",'Таблиця 1'!$L:$L,"НЕ уражено"))</f>
        <v/>
      </c>
    </row>
    <row r="210">
      <c r="A210" s="273">
        <f>IF(A209="","",IF(A209+1&gt;MAX('Таблиця 1'!$B:$B),"",A209+1))</f>
        <v/>
      </c>
      <c r="B210">
        <f>IF($A210="","",COUNTIFS('Таблиця 1'!$B:$B,$A210,'Таблиця 1'!$I:$I,"Mi-8")+COUNTIFS('Таблиця 1'!$B:$B,$A210,'Таблиця 1'!$I:$I,"Mi-24"))</f>
        <v/>
      </c>
      <c r="C210">
        <f>IF($A210="","",COUNTIFS('Таблиця 1'!$B:$B,$A210,'Таблиця 1'!$I:$I,"Mi-8"))</f>
        <v/>
      </c>
      <c r="D210">
        <f>IF($A210="","",COUNTIFS('Таблиця 1'!$B:$B,$A210,'Таблиця 1'!$I:$I,"Mi-24"))</f>
        <v/>
      </c>
      <c r="E210">
        <f>IF($A210="","",SUMIFS('Таблиця 1'!$K:$K,'Таблиця 1'!$B:$B,$A210,'Таблиця 1'!$I:$I,"Mi-8",'Таблиця 1'!$J:$J,"ARS-8")+SUMIFS('Таблиця 1'!$K:$K,'Таблиця 1'!$B:$B,$A210,'Таблиця 1'!$I:$I,"Mi-24",'Таблиця 1'!$J:$J,"ARS-8"))</f>
        <v/>
      </c>
      <c r="F210">
        <f>IF($A210="","",SUMIFS('Таблиця 1'!$K:$K,'Таблиця 1'!$B:$B,$A210,'Таблиця 1'!$I:$I,"Mi-8",'Таблиця 1'!$J:$J,"С-8 ком")+SUMIFS('Таблиця 1'!$K:$K,'Таблиця 1'!$B:$B,$A210,'Таблиця 1'!$I:$I,"Mi-24",'Таблиця 1'!$J:$J,"С-8 ком"))</f>
        <v/>
      </c>
      <c r="G210">
        <f>IF($A210="","",SUMIFS('Таблиця 1'!$K:$K,'Таблиця 1'!$B:$B,$A210,'Таблиця 1'!$I:$I,"Mi-8",'Таблиця 1'!$J:$J,"PC-80")+SUMIFS('Таблиця 1'!$K:$K,'Таблиця 1'!$B:$B,$A210,'Таблиця 1'!$I:$I,"Mi-24",'Таблиця 1'!$J:$J,"PC-80"))</f>
        <v/>
      </c>
      <c r="H210">
        <f>IF($A210="","",SUMIFS('Таблиця 1'!$K:$K,'Таблиця 1'!$B:$B,$A210,'Таблиця 1'!$I:$I,"Mi-8",'Таблиця 1'!$J:$J,"UAR-80")+SUMIFS('Таблиця 1'!$K:$K,'Таблиця 1'!$B:$B,$A210,'Таблиця 1'!$I:$I,"Mi-24",'Таблиця 1'!$J:$J,"UAR-80"))</f>
        <v/>
      </c>
      <c r="I210">
        <f>IF($A210="","",SUMIFS('Таблиця 1'!$K:$K,'Таблиця 1'!$B:$B,$A210,'Таблиця 1'!$I:$I,"Mi-8",'Таблиця 1'!$J:$J,"C-13")+SUMIFS('Таблиця 1'!$K:$K,'Таблиця 1'!$B:$B,$A210,'Таблиця 1'!$I:$I,"Mi-24",'Таблиця 1'!$J:$J,"C-13"))</f>
        <v/>
      </c>
      <c r="J210">
        <f>IF($A210="","",SUMIFS('Таблиця 1'!$K:$K,'Таблиця 1'!$B:$B,$A210,'Таблиця 1'!$I:$I,"Mi-8",'Таблиця 1'!$J:$J,"Hydra-70")+SUMIFS('Таблиця 1'!$K:$K,'Таблиця 1'!$B:$B,$A210,'Таблиця 1'!$I:$I,"Mi-24",'Таблиця 1'!$J:$J,"Hydra-70"))</f>
        <v/>
      </c>
      <c r="K210">
        <f>IF($A210="","",SUMIFS('Таблиця 1'!$K:$K,'Таблиця 1'!$B:$B,$A210,'Таблиця 1'!$I:$I,"Mi-8",'Таблиця 1'!$J:$J,"Thales-70")+SUMIFS('Таблиця 1'!$K:$K,'Таблиця 1'!$B:$B,$A210,'Таблиця 1'!$I:$I,"Mi-24",'Таблиця 1'!$J:$J,"Thales-70"))</f>
        <v/>
      </c>
      <c r="L210">
        <f>IF($A210="","",SUMIFS('Таблиця 1'!$K:$K,'Таблиця 1'!$B:$B,$A210,'Таблиця 1'!$I:$I,"Mi-8",'Таблиця 1'!$J:$J,"Thales-FZ")+SUMIFS('Таблиця 1'!$K:$K,'Таблиця 1'!$B:$B,$A210,'Таблиця 1'!$I:$I,"Mi-24",'Таблиця 1'!$J:$J,"Thales-FZ"))</f>
        <v/>
      </c>
      <c r="M210">
        <f>IF($A210="","",SUMIFS('Таблиця 1'!$K:$K,'Таблиця 1'!$B:$B,$A210,'Таблиця 1'!$I:$I,"Mi-8",'Таблиця 1'!$J:$J,"МК-40")+SUMIFS('Таблиця 1'!$K:$K,'Таблиця 1'!$B:$B,$A210,'Таблиця 1'!$I:$I,"Mi-24",'Таблиця 1'!$J:$J,"МК-40"))</f>
        <v/>
      </c>
      <c r="N210">
        <f>IF($A210="","",SUMIFS('Таблиця 1'!$K:$K,'Таблиця 1'!$B:$B,$A210,'Таблиця 1'!$I:$I,"Mi-8",'Таблиця 1'!$J:$J,"Zuni")+SUMIFS('Таблиця 1'!$K:$K,'Таблиця 1'!$B:$B,$A210,'Таблиця 1'!$I:$I,"Mi-24",'Таблиця 1'!$J:$J,"Zuni"))</f>
        <v/>
      </c>
      <c r="O210">
        <f>IF($A210="","",COUNTIFS('Таблиця 1'!$B:$B,$A210,'Таблиця 1'!$I:$I,"Mi-8",'Таблиця 1'!$L:$L,"Уражено")+COUNTIFS('Таблиця 1'!$B:$B,$A210,'Таблиця 1'!$I:$I,"Mi-24",'Таблиця 1'!$L:$L,"Уражено"))</f>
        <v/>
      </c>
      <c r="P210">
        <f>IF($A210="","",COUNTIFS('Таблиця 1'!$B:$B,$A210,'Таблиця 1'!$I:$I,"Mi-8",'Таблиця 1'!$L:$L,"НЕ уражено")+COUNTIFS('Таблиця 1'!$B:$B,$A210,'Таблиця 1'!$I:$I,"Mi-24",'Таблиця 1'!$L:$L,"НЕ уражено"))</f>
        <v/>
      </c>
    </row>
    <row r="211">
      <c r="A211" s="273">
        <f>IF(A210="","",IF(A210+1&gt;MAX('Таблиця 1'!$B:$B),"",A210+1))</f>
        <v/>
      </c>
      <c r="B211">
        <f>IF($A211="","",COUNTIFS('Таблиця 1'!$B:$B,$A211,'Таблиця 1'!$I:$I,"Mi-8")+COUNTIFS('Таблиця 1'!$B:$B,$A211,'Таблиця 1'!$I:$I,"Mi-24"))</f>
        <v/>
      </c>
      <c r="C211">
        <f>IF($A211="","",COUNTIFS('Таблиця 1'!$B:$B,$A211,'Таблиця 1'!$I:$I,"Mi-8"))</f>
        <v/>
      </c>
      <c r="D211">
        <f>IF($A211="","",COUNTIFS('Таблиця 1'!$B:$B,$A211,'Таблиця 1'!$I:$I,"Mi-24"))</f>
        <v/>
      </c>
      <c r="E211">
        <f>IF($A211="","",SUMIFS('Таблиця 1'!$K:$K,'Таблиця 1'!$B:$B,$A211,'Таблиця 1'!$I:$I,"Mi-8",'Таблиця 1'!$J:$J,"ARS-8")+SUMIFS('Таблиця 1'!$K:$K,'Таблиця 1'!$B:$B,$A211,'Таблиця 1'!$I:$I,"Mi-24",'Таблиця 1'!$J:$J,"ARS-8"))</f>
        <v/>
      </c>
      <c r="F211">
        <f>IF($A211="","",SUMIFS('Таблиця 1'!$K:$K,'Таблиця 1'!$B:$B,$A211,'Таблиця 1'!$I:$I,"Mi-8",'Таблиця 1'!$J:$J,"С-8 ком")+SUMIFS('Таблиця 1'!$K:$K,'Таблиця 1'!$B:$B,$A211,'Таблиця 1'!$I:$I,"Mi-24",'Таблиця 1'!$J:$J,"С-8 ком"))</f>
        <v/>
      </c>
      <c r="G211">
        <f>IF($A211="","",SUMIFS('Таблиця 1'!$K:$K,'Таблиця 1'!$B:$B,$A211,'Таблиця 1'!$I:$I,"Mi-8",'Таблиця 1'!$J:$J,"PC-80")+SUMIFS('Таблиця 1'!$K:$K,'Таблиця 1'!$B:$B,$A211,'Таблиця 1'!$I:$I,"Mi-24",'Таблиця 1'!$J:$J,"PC-80"))</f>
        <v/>
      </c>
      <c r="H211">
        <f>IF($A211="","",SUMIFS('Таблиця 1'!$K:$K,'Таблиця 1'!$B:$B,$A211,'Таблиця 1'!$I:$I,"Mi-8",'Таблиця 1'!$J:$J,"UAR-80")+SUMIFS('Таблиця 1'!$K:$K,'Таблиця 1'!$B:$B,$A211,'Таблиця 1'!$I:$I,"Mi-24",'Таблиця 1'!$J:$J,"UAR-80"))</f>
        <v/>
      </c>
      <c r="I211">
        <f>IF($A211="","",SUMIFS('Таблиця 1'!$K:$K,'Таблиця 1'!$B:$B,$A211,'Таблиця 1'!$I:$I,"Mi-8",'Таблиця 1'!$J:$J,"C-13")+SUMIFS('Таблиця 1'!$K:$K,'Таблиця 1'!$B:$B,$A211,'Таблиця 1'!$I:$I,"Mi-24",'Таблиця 1'!$J:$J,"C-13"))</f>
        <v/>
      </c>
      <c r="J211">
        <f>IF($A211="","",SUMIFS('Таблиця 1'!$K:$K,'Таблиця 1'!$B:$B,$A211,'Таблиця 1'!$I:$I,"Mi-8",'Таблиця 1'!$J:$J,"Hydra-70")+SUMIFS('Таблиця 1'!$K:$K,'Таблиця 1'!$B:$B,$A211,'Таблиця 1'!$I:$I,"Mi-24",'Таблиця 1'!$J:$J,"Hydra-70"))</f>
        <v/>
      </c>
      <c r="K211">
        <f>IF($A211="","",SUMIFS('Таблиця 1'!$K:$K,'Таблиця 1'!$B:$B,$A211,'Таблиця 1'!$I:$I,"Mi-8",'Таблиця 1'!$J:$J,"Thales-70")+SUMIFS('Таблиця 1'!$K:$K,'Таблиця 1'!$B:$B,$A211,'Таблиця 1'!$I:$I,"Mi-24",'Таблиця 1'!$J:$J,"Thales-70"))</f>
        <v/>
      </c>
      <c r="L211">
        <f>IF($A211="","",SUMIFS('Таблиця 1'!$K:$K,'Таблиця 1'!$B:$B,$A211,'Таблиця 1'!$I:$I,"Mi-8",'Таблиця 1'!$J:$J,"Thales-FZ")+SUMIFS('Таблиця 1'!$K:$K,'Таблиця 1'!$B:$B,$A211,'Таблиця 1'!$I:$I,"Mi-24",'Таблиця 1'!$J:$J,"Thales-FZ"))</f>
        <v/>
      </c>
      <c r="M211">
        <f>IF($A211="","",SUMIFS('Таблиця 1'!$K:$K,'Таблиця 1'!$B:$B,$A211,'Таблиця 1'!$I:$I,"Mi-8",'Таблиця 1'!$J:$J,"МК-40")+SUMIFS('Таблиця 1'!$K:$K,'Таблиця 1'!$B:$B,$A211,'Таблиця 1'!$I:$I,"Mi-24",'Таблиця 1'!$J:$J,"МК-40"))</f>
        <v/>
      </c>
      <c r="N211">
        <f>IF($A211="","",SUMIFS('Таблиця 1'!$K:$K,'Таблиця 1'!$B:$B,$A211,'Таблиця 1'!$I:$I,"Mi-8",'Таблиця 1'!$J:$J,"Zuni")+SUMIFS('Таблиця 1'!$K:$K,'Таблиця 1'!$B:$B,$A211,'Таблиця 1'!$I:$I,"Mi-24",'Таблиця 1'!$J:$J,"Zuni"))</f>
        <v/>
      </c>
      <c r="O211">
        <f>IF($A211="","",COUNTIFS('Таблиця 1'!$B:$B,$A211,'Таблиця 1'!$I:$I,"Mi-8",'Таблиця 1'!$L:$L,"Уражено")+COUNTIFS('Таблиця 1'!$B:$B,$A211,'Таблиця 1'!$I:$I,"Mi-24",'Таблиця 1'!$L:$L,"Уражено"))</f>
        <v/>
      </c>
      <c r="P211">
        <f>IF($A211="","",COUNTIFS('Таблиця 1'!$B:$B,$A211,'Таблиця 1'!$I:$I,"Mi-8",'Таблиця 1'!$L:$L,"НЕ уражено")+COUNTIFS('Таблиця 1'!$B:$B,$A211,'Таблиця 1'!$I:$I,"Mi-24",'Таблиця 1'!$L:$L,"НЕ уражено"))</f>
        <v/>
      </c>
    </row>
    <row r="212">
      <c r="A212" s="273">
        <f>IF(A211="","",IF(A211+1&gt;MAX('Таблиця 1'!$B:$B),"",A211+1))</f>
        <v/>
      </c>
      <c r="B212">
        <f>IF($A212="","",COUNTIFS('Таблиця 1'!$B:$B,$A212,'Таблиця 1'!$I:$I,"Mi-8")+COUNTIFS('Таблиця 1'!$B:$B,$A212,'Таблиця 1'!$I:$I,"Mi-24"))</f>
        <v/>
      </c>
      <c r="C212">
        <f>IF($A212="","",COUNTIFS('Таблиця 1'!$B:$B,$A212,'Таблиця 1'!$I:$I,"Mi-8"))</f>
        <v/>
      </c>
      <c r="D212">
        <f>IF($A212="","",COUNTIFS('Таблиця 1'!$B:$B,$A212,'Таблиця 1'!$I:$I,"Mi-24"))</f>
        <v/>
      </c>
      <c r="E212">
        <f>IF($A212="","",SUMIFS('Таблиця 1'!$K:$K,'Таблиця 1'!$B:$B,$A212,'Таблиця 1'!$I:$I,"Mi-8",'Таблиця 1'!$J:$J,"ARS-8")+SUMIFS('Таблиця 1'!$K:$K,'Таблиця 1'!$B:$B,$A212,'Таблиця 1'!$I:$I,"Mi-24",'Таблиця 1'!$J:$J,"ARS-8"))</f>
        <v/>
      </c>
      <c r="F212">
        <f>IF($A212="","",SUMIFS('Таблиця 1'!$K:$K,'Таблиця 1'!$B:$B,$A212,'Таблиця 1'!$I:$I,"Mi-8",'Таблиця 1'!$J:$J,"С-8 ком")+SUMIFS('Таблиця 1'!$K:$K,'Таблиця 1'!$B:$B,$A212,'Таблиця 1'!$I:$I,"Mi-24",'Таблиця 1'!$J:$J,"С-8 ком"))</f>
        <v/>
      </c>
      <c r="G212">
        <f>IF($A212="","",SUMIFS('Таблиця 1'!$K:$K,'Таблиця 1'!$B:$B,$A212,'Таблиця 1'!$I:$I,"Mi-8",'Таблиця 1'!$J:$J,"PC-80")+SUMIFS('Таблиця 1'!$K:$K,'Таблиця 1'!$B:$B,$A212,'Таблиця 1'!$I:$I,"Mi-24",'Таблиця 1'!$J:$J,"PC-80"))</f>
        <v/>
      </c>
      <c r="H212">
        <f>IF($A212="","",SUMIFS('Таблиця 1'!$K:$K,'Таблиця 1'!$B:$B,$A212,'Таблиця 1'!$I:$I,"Mi-8",'Таблиця 1'!$J:$J,"UAR-80")+SUMIFS('Таблиця 1'!$K:$K,'Таблиця 1'!$B:$B,$A212,'Таблиця 1'!$I:$I,"Mi-24",'Таблиця 1'!$J:$J,"UAR-80"))</f>
        <v/>
      </c>
      <c r="I212">
        <f>IF($A212="","",SUMIFS('Таблиця 1'!$K:$K,'Таблиця 1'!$B:$B,$A212,'Таблиця 1'!$I:$I,"Mi-8",'Таблиця 1'!$J:$J,"C-13")+SUMIFS('Таблиця 1'!$K:$K,'Таблиця 1'!$B:$B,$A212,'Таблиця 1'!$I:$I,"Mi-24",'Таблиця 1'!$J:$J,"C-13"))</f>
        <v/>
      </c>
      <c r="J212">
        <f>IF($A212="","",SUMIFS('Таблиця 1'!$K:$K,'Таблиця 1'!$B:$B,$A212,'Таблиця 1'!$I:$I,"Mi-8",'Таблиця 1'!$J:$J,"Hydra-70")+SUMIFS('Таблиця 1'!$K:$K,'Таблиця 1'!$B:$B,$A212,'Таблиця 1'!$I:$I,"Mi-24",'Таблиця 1'!$J:$J,"Hydra-70"))</f>
        <v/>
      </c>
      <c r="K212">
        <f>IF($A212="","",SUMIFS('Таблиця 1'!$K:$K,'Таблиця 1'!$B:$B,$A212,'Таблиця 1'!$I:$I,"Mi-8",'Таблиця 1'!$J:$J,"Thales-70")+SUMIFS('Таблиця 1'!$K:$K,'Таблиця 1'!$B:$B,$A212,'Таблиця 1'!$I:$I,"Mi-24",'Таблиця 1'!$J:$J,"Thales-70"))</f>
        <v/>
      </c>
      <c r="L212">
        <f>IF($A212="","",SUMIFS('Таблиця 1'!$K:$K,'Таблиця 1'!$B:$B,$A212,'Таблиця 1'!$I:$I,"Mi-8",'Таблиця 1'!$J:$J,"Thales-FZ")+SUMIFS('Таблиця 1'!$K:$K,'Таблиця 1'!$B:$B,$A212,'Таблиця 1'!$I:$I,"Mi-24",'Таблиця 1'!$J:$J,"Thales-FZ"))</f>
        <v/>
      </c>
      <c r="M212">
        <f>IF($A212="","",SUMIFS('Таблиця 1'!$K:$K,'Таблиця 1'!$B:$B,$A212,'Таблиця 1'!$I:$I,"Mi-8",'Таблиця 1'!$J:$J,"МК-40")+SUMIFS('Таблиця 1'!$K:$K,'Таблиця 1'!$B:$B,$A212,'Таблиця 1'!$I:$I,"Mi-24",'Таблиця 1'!$J:$J,"МК-40"))</f>
        <v/>
      </c>
      <c r="N212">
        <f>IF($A212="","",SUMIFS('Таблиця 1'!$K:$K,'Таблиця 1'!$B:$B,$A212,'Таблиця 1'!$I:$I,"Mi-8",'Таблиця 1'!$J:$J,"Zuni")+SUMIFS('Таблиця 1'!$K:$K,'Таблиця 1'!$B:$B,$A212,'Таблиця 1'!$I:$I,"Mi-24",'Таблиця 1'!$J:$J,"Zuni"))</f>
        <v/>
      </c>
      <c r="O212">
        <f>IF($A212="","",COUNTIFS('Таблиця 1'!$B:$B,$A212,'Таблиця 1'!$I:$I,"Mi-8",'Таблиця 1'!$L:$L,"Уражено")+COUNTIFS('Таблиця 1'!$B:$B,$A212,'Таблиця 1'!$I:$I,"Mi-24",'Таблиця 1'!$L:$L,"Уражено"))</f>
        <v/>
      </c>
      <c r="P212">
        <f>IF($A212="","",COUNTIFS('Таблиця 1'!$B:$B,$A212,'Таблиця 1'!$I:$I,"Mi-8",'Таблиця 1'!$L:$L,"НЕ уражено")+COUNTIFS('Таблиця 1'!$B:$B,$A212,'Таблиця 1'!$I:$I,"Mi-24",'Таблиця 1'!$L:$L,"НЕ уражено"))</f>
        <v/>
      </c>
    </row>
    <row r="213">
      <c r="A213" s="273">
        <f>IF(A212="","",IF(A212+1&gt;MAX('Таблиця 1'!$B:$B),"",A212+1))</f>
        <v/>
      </c>
      <c r="B213">
        <f>IF($A213="","",COUNTIFS('Таблиця 1'!$B:$B,$A213,'Таблиця 1'!$I:$I,"Mi-8")+COUNTIFS('Таблиця 1'!$B:$B,$A213,'Таблиця 1'!$I:$I,"Mi-24"))</f>
        <v/>
      </c>
      <c r="C213">
        <f>IF($A213="","",COUNTIFS('Таблиця 1'!$B:$B,$A213,'Таблиця 1'!$I:$I,"Mi-8"))</f>
        <v/>
      </c>
      <c r="D213">
        <f>IF($A213="","",COUNTIFS('Таблиця 1'!$B:$B,$A213,'Таблиця 1'!$I:$I,"Mi-24"))</f>
        <v/>
      </c>
      <c r="E213">
        <f>IF($A213="","",SUMIFS('Таблиця 1'!$K:$K,'Таблиця 1'!$B:$B,$A213,'Таблиця 1'!$I:$I,"Mi-8",'Таблиця 1'!$J:$J,"ARS-8")+SUMIFS('Таблиця 1'!$K:$K,'Таблиця 1'!$B:$B,$A213,'Таблиця 1'!$I:$I,"Mi-24",'Таблиця 1'!$J:$J,"ARS-8"))</f>
        <v/>
      </c>
      <c r="F213">
        <f>IF($A213="","",SUMIFS('Таблиця 1'!$K:$K,'Таблиця 1'!$B:$B,$A213,'Таблиця 1'!$I:$I,"Mi-8",'Таблиця 1'!$J:$J,"С-8 ком")+SUMIFS('Таблиця 1'!$K:$K,'Таблиця 1'!$B:$B,$A213,'Таблиця 1'!$I:$I,"Mi-24",'Таблиця 1'!$J:$J,"С-8 ком"))</f>
        <v/>
      </c>
      <c r="G213">
        <f>IF($A213="","",SUMIFS('Таблиця 1'!$K:$K,'Таблиця 1'!$B:$B,$A213,'Таблиця 1'!$I:$I,"Mi-8",'Таблиця 1'!$J:$J,"PC-80")+SUMIFS('Таблиця 1'!$K:$K,'Таблиця 1'!$B:$B,$A213,'Таблиця 1'!$I:$I,"Mi-24",'Таблиця 1'!$J:$J,"PC-80"))</f>
        <v/>
      </c>
      <c r="H213">
        <f>IF($A213="","",SUMIFS('Таблиця 1'!$K:$K,'Таблиця 1'!$B:$B,$A213,'Таблиця 1'!$I:$I,"Mi-8",'Таблиця 1'!$J:$J,"UAR-80")+SUMIFS('Таблиця 1'!$K:$K,'Таблиця 1'!$B:$B,$A213,'Таблиця 1'!$I:$I,"Mi-24",'Таблиця 1'!$J:$J,"UAR-80"))</f>
        <v/>
      </c>
      <c r="I213">
        <f>IF($A213="","",SUMIFS('Таблиця 1'!$K:$K,'Таблиця 1'!$B:$B,$A213,'Таблиця 1'!$I:$I,"Mi-8",'Таблиця 1'!$J:$J,"C-13")+SUMIFS('Таблиця 1'!$K:$K,'Таблиця 1'!$B:$B,$A213,'Таблиця 1'!$I:$I,"Mi-24",'Таблиця 1'!$J:$J,"C-13"))</f>
        <v/>
      </c>
      <c r="J213">
        <f>IF($A213="","",SUMIFS('Таблиця 1'!$K:$K,'Таблиця 1'!$B:$B,$A213,'Таблиця 1'!$I:$I,"Mi-8",'Таблиця 1'!$J:$J,"Hydra-70")+SUMIFS('Таблиця 1'!$K:$K,'Таблиця 1'!$B:$B,$A213,'Таблиця 1'!$I:$I,"Mi-24",'Таблиця 1'!$J:$J,"Hydra-70"))</f>
        <v/>
      </c>
      <c r="K213">
        <f>IF($A213="","",SUMIFS('Таблиця 1'!$K:$K,'Таблиця 1'!$B:$B,$A213,'Таблиця 1'!$I:$I,"Mi-8",'Таблиця 1'!$J:$J,"Thales-70")+SUMIFS('Таблиця 1'!$K:$K,'Таблиця 1'!$B:$B,$A213,'Таблиця 1'!$I:$I,"Mi-24",'Таблиця 1'!$J:$J,"Thales-70"))</f>
        <v/>
      </c>
      <c r="L213">
        <f>IF($A213="","",SUMIFS('Таблиця 1'!$K:$K,'Таблиця 1'!$B:$B,$A213,'Таблиця 1'!$I:$I,"Mi-8",'Таблиця 1'!$J:$J,"Thales-FZ")+SUMIFS('Таблиця 1'!$K:$K,'Таблиця 1'!$B:$B,$A213,'Таблиця 1'!$I:$I,"Mi-24",'Таблиця 1'!$J:$J,"Thales-FZ"))</f>
        <v/>
      </c>
      <c r="M213">
        <f>IF($A213="","",SUMIFS('Таблиця 1'!$K:$K,'Таблиця 1'!$B:$B,$A213,'Таблиця 1'!$I:$I,"Mi-8",'Таблиця 1'!$J:$J,"МК-40")+SUMIFS('Таблиця 1'!$K:$K,'Таблиця 1'!$B:$B,$A213,'Таблиця 1'!$I:$I,"Mi-24",'Таблиця 1'!$J:$J,"МК-40"))</f>
        <v/>
      </c>
      <c r="N213">
        <f>IF($A213="","",SUMIFS('Таблиця 1'!$K:$K,'Таблиця 1'!$B:$B,$A213,'Таблиця 1'!$I:$I,"Mi-8",'Таблиця 1'!$J:$J,"Zuni")+SUMIFS('Таблиця 1'!$K:$K,'Таблиця 1'!$B:$B,$A213,'Таблиця 1'!$I:$I,"Mi-24",'Таблиця 1'!$J:$J,"Zuni"))</f>
        <v/>
      </c>
      <c r="O213">
        <f>IF($A213="","",COUNTIFS('Таблиця 1'!$B:$B,$A213,'Таблиця 1'!$I:$I,"Mi-8",'Таблиця 1'!$L:$L,"Уражено")+COUNTIFS('Таблиця 1'!$B:$B,$A213,'Таблиця 1'!$I:$I,"Mi-24",'Таблиця 1'!$L:$L,"Уражено"))</f>
        <v/>
      </c>
      <c r="P213">
        <f>IF($A213="","",COUNTIFS('Таблиця 1'!$B:$B,$A213,'Таблиця 1'!$I:$I,"Mi-8",'Таблиця 1'!$L:$L,"НЕ уражено")+COUNTIFS('Таблиця 1'!$B:$B,$A213,'Таблиця 1'!$I:$I,"Mi-24",'Таблиця 1'!$L:$L,"НЕ уражено"))</f>
        <v/>
      </c>
    </row>
    <row r="214">
      <c r="A214" s="273">
        <f>IF(A213="","",IF(A213+1&gt;MAX('Таблиця 1'!$B:$B),"",A213+1))</f>
        <v/>
      </c>
      <c r="B214">
        <f>IF($A214="","",COUNTIFS('Таблиця 1'!$B:$B,$A214,'Таблиця 1'!$I:$I,"Mi-8")+COUNTIFS('Таблиця 1'!$B:$B,$A214,'Таблиця 1'!$I:$I,"Mi-24"))</f>
        <v/>
      </c>
      <c r="C214">
        <f>IF($A214="","",COUNTIFS('Таблиця 1'!$B:$B,$A214,'Таблиця 1'!$I:$I,"Mi-8"))</f>
        <v/>
      </c>
      <c r="D214">
        <f>IF($A214="","",COUNTIFS('Таблиця 1'!$B:$B,$A214,'Таблиця 1'!$I:$I,"Mi-24"))</f>
        <v/>
      </c>
      <c r="E214">
        <f>IF($A214="","",SUMIFS('Таблиця 1'!$K:$K,'Таблиця 1'!$B:$B,$A214,'Таблиця 1'!$I:$I,"Mi-8",'Таблиця 1'!$J:$J,"ARS-8")+SUMIFS('Таблиця 1'!$K:$K,'Таблиця 1'!$B:$B,$A214,'Таблиця 1'!$I:$I,"Mi-24",'Таблиця 1'!$J:$J,"ARS-8"))</f>
        <v/>
      </c>
      <c r="F214">
        <f>IF($A214="","",SUMIFS('Таблиця 1'!$K:$K,'Таблиця 1'!$B:$B,$A214,'Таблиця 1'!$I:$I,"Mi-8",'Таблиця 1'!$J:$J,"С-8 ком")+SUMIFS('Таблиця 1'!$K:$K,'Таблиця 1'!$B:$B,$A214,'Таблиця 1'!$I:$I,"Mi-24",'Таблиця 1'!$J:$J,"С-8 ком"))</f>
        <v/>
      </c>
      <c r="G214">
        <f>IF($A214="","",SUMIFS('Таблиця 1'!$K:$K,'Таблиця 1'!$B:$B,$A214,'Таблиця 1'!$I:$I,"Mi-8",'Таблиця 1'!$J:$J,"PC-80")+SUMIFS('Таблиця 1'!$K:$K,'Таблиця 1'!$B:$B,$A214,'Таблиця 1'!$I:$I,"Mi-24",'Таблиця 1'!$J:$J,"PC-80"))</f>
        <v/>
      </c>
      <c r="H214">
        <f>IF($A214="","",SUMIFS('Таблиця 1'!$K:$K,'Таблиця 1'!$B:$B,$A214,'Таблиця 1'!$I:$I,"Mi-8",'Таблиця 1'!$J:$J,"UAR-80")+SUMIFS('Таблиця 1'!$K:$K,'Таблиця 1'!$B:$B,$A214,'Таблиця 1'!$I:$I,"Mi-24",'Таблиця 1'!$J:$J,"UAR-80"))</f>
        <v/>
      </c>
      <c r="I214">
        <f>IF($A214="","",SUMIFS('Таблиця 1'!$K:$K,'Таблиця 1'!$B:$B,$A214,'Таблиця 1'!$I:$I,"Mi-8",'Таблиця 1'!$J:$J,"C-13")+SUMIFS('Таблиця 1'!$K:$K,'Таблиця 1'!$B:$B,$A214,'Таблиця 1'!$I:$I,"Mi-24",'Таблиця 1'!$J:$J,"C-13"))</f>
        <v/>
      </c>
      <c r="J214">
        <f>IF($A214="","",SUMIFS('Таблиця 1'!$K:$K,'Таблиця 1'!$B:$B,$A214,'Таблиця 1'!$I:$I,"Mi-8",'Таблиця 1'!$J:$J,"Hydra-70")+SUMIFS('Таблиця 1'!$K:$K,'Таблиця 1'!$B:$B,$A214,'Таблиця 1'!$I:$I,"Mi-24",'Таблиця 1'!$J:$J,"Hydra-70"))</f>
        <v/>
      </c>
      <c r="K214">
        <f>IF($A214="","",SUMIFS('Таблиця 1'!$K:$K,'Таблиця 1'!$B:$B,$A214,'Таблиця 1'!$I:$I,"Mi-8",'Таблиця 1'!$J:$J,"Thales-70")+SUMIFS('Таблиця 1'!$K:$K,'Таблиця 1'!$B:$B,$A214,'Таблиця 1'!$I:$I,"Mi-24",'Таблиця 1'!$J:$J,"Thales-70"))</f>
        <v/>
      </c>
      <c r="L214">
        <f>IF($A214="","",SUMIFS('Таблиця 1'!$K:$K,'Таблиця 1'!$B:$B,$A214,'Таблиця 1'!$I:$I,"Mi-8",'Таблиця 1'!$J:$J,"Thales-FZ")+SUMIFS('Таблиця 1'!$K:$K,'Таблиця 1'!$B:$B,$A214,'Таблиця 1'!$I:$I,"Mi-24",'Таблиця 1'!$J:$J,"Thales-FZ"))</f>
        <v/>
      </c>
      <c r="M214">
        <f>IF($A214="","",SUMIFS('Таблиця 1'!$K:$K,'Таблиця 1'!$B:$B,$A214,'Таблиця 1'!$I:$I,"Mi-8",'Таблиця 1'!$J:$J,"МК-40")+SUMIFS('Таблиця 1'!$K:$K,'Таблиця 1'!$B:$B,$A214,'Таблиця 1'!$I:$I,"Mi-24",'Таблиця 1'!$J:$J,"МК-40"))</f>
        <v/>
      </c>
      <c r="N214">
        <f>IF($A214="","",SUMIFS('Таблиця 1'!$K:$K,'Таблиця 1'!$B:$B,$A214,'Таблиця 1'!$I:$I,"Mi-8",'Таблиця 1'!$J:$J,"Zuni")+SUMIFS('Таблиця 1'!$K:$K,'Таблиця 1'!$B:$B,$A214,'Таблиця 1'!$I:$I,"Mi-24",'Таблиця 1'!$J:$J,"Zuni"))</f>
        <v/>
      </c>
      <c r="O214">
        <f>IF($A214="","",COUNTIFS('Таблиця 1'!$B:$B,$A214,'Таблиця 1'!$I:$I,"Mi-8",'Таблиця 1'!$L:$L,"Уражено")+COUNTIFS('Таблиця 1'!$B:$B,$A214,'Таблиця 1'!$I:$I,"Mi-24",'Таблиця 1'!$L:$L,"Уражено"))</f>
        <v/>
      </c>
      <c r="P214">
        <f>IF($A214="","",COUNTIFS('Таблиця 1'!$B:$B,$A214,'Таблиця 1'!$I:$I,"Mi-8",'Таблиця 1'!$L:$L,"НЕ уражено")+COUNTIFS('Таблиця 1'!$B:$B,$A214,'Таблиця 1'!$I:$I,"Mi-24",'Таблиця 1'!$L:$L,"НЕ уражено"))</f>
        <v/>
      </c>
    </row>
    <row r="215">
      <c r="A215" s="273">
        <f>IF(A214="","",IF(A214+1&gt;MAX('Таблиця 1'!$B:$B),"",A214+1))</f>
        <v/>
      </c>
      <c r="B215">
        <f>IF($A215="","",COUNTIFS('Таблиця 1'!$B:$B,$A215,'Таблиця 1'!$I:$I,"Mi-8")+COUNTIFS('Таблиця 1'!$B:$B,$A215,'Таблиця 1'!$I:$I,"Mi-24"))</f>
        <v/>
      </c>
      <c r="C215">
        <f>IF($A215="","",COUNTIFS('Таблиця 1'!$B:$B,$A215,'Таблиця 1'!$I:$I,"Mi-8"))</f>
        <v/>
      </c>
      <c r="D215">
        <f>IF($A215="","",COUNTIFS('Таблиця 1'!$B:$B,$A215,'Таблиця 1'!$I:$I,"Mi-24"))</f>
        <v/>
      </c>
      <c r="E215">
        <f>IF($A215="","",SUMIFS('Таблиця 1'!$K:$K,'Таблиця 1'!$B:$B,$A215,'Таблиця 1'!$I:$I,"Mi-8",'Таблиця 1'!$J:$J,"ARS-8")+SUMIFS('Таблиця 1'!$K:$K,'Таблиця 1'!$B:$B,$A215,'Таблиця 1'!$I:$I,"Mi-24",'Таблиця 1'!$J:$J,"ARS-8"))</f>
        <v/>
      </c>
      <c r="F215">
        <f>IF($A215="","",SUMIFS('Таблиця 1'!$K:$K,'Таблиця 1'!$B:$B,$A215,'Таблиця 1'!$I:$I,"Mi-8",'Таблиця 1'!$J:$J,"С-8 ком")+SUMIFS('Таблиця 1'!$K:$K,'Таблиця 1'!$B:$B,$A215,'Таблиця 1'!$I:$I,"Mi-24",'Таблиця 1'!$J:$J,"С-8 ком"))</f>
        <v/>
      </c>
      <c r="G215">
        <f>IF($A215="","",SUMIFS('Таблиця 1'!$K:$K,'Таблиця 1'!$B:$B,$A215,'Таблиця 1'!$I:$I,"Mi-8",'Таблиця 1'!$J:$J,"PC-80")+SUMIFS('Таблиця 1'!$K:$K,'Таблиця 1'!$B:$B,$A215,'Таблиця 1'!$I:$I,"Mi-24",'Таблиця 1'!$J:$J,"PC-80"))</f>
        <v/>
      </c>
      <c r="H215">
        <f>IF($A215="","",SUMIFS('Таблиця 1'!$K:$K,'Таблиця 1'!$B:$B,$A215,'Таблиця 1'!$I:$I,"Mi-8",'Таблиця 1'!$J:$J,"UAR-80")+SUMIFS('Таблиця 1'!$K:$K,'Таблиця 1'!$B:$B,$A215,'Таблиця 1'!$I:$I,"Mi-24",'Таблиця 1'!$J:$J,"UAR-80"))</f>
        <v/>
      </c>
      <c r="I215">
        <f>IF($A215="","",SUMIFS('Таблиця 1'!$K:$K,'Таблиця 1'!$B:$B,$A215,'Таблиця 1'!$I:$I,"Mi-8",'Таблиця 1'!$J:$J,"C-13")+SUMIFS('Таблиця 1'!$K:$K,'Таблиця 1'!$B:$B,$A215,'Таблиця 1'!$I:$I,"Mi-24",'Таблиця 1'!$J:$J,"C-13"))</f>
        <v/>
      </c>
      <c r="J215">
        <f>IF($A215="","",SUMIFS('Таблиця 1'!$K:$K,'Таблиця 1'!$B:$B,$A215,'Таблиця 1'!$I:$I,"Mi-8",'Таблиця 1'!$J:$J,"Hydra-70")+SUMIFS('Таблиця 1'!$K:$K,'Таблиця 1'!$B:$B,$A215,'Таблиця 1'!$I:$I,"Mi-24",'Таблиця 1'!$J:$J,"Hydra-70"))</f>
        <v/>
      </c>
      <c r="K215">
        <f>IF($A215="","",SUMIFS('Таблиця 1'!$K:$K,'Таблиця 1'!$B:$B,$A215,'Таблиця 1'!$I:$I,"Mi-8",'Таблиця 1'!$J:$J,"Thales-70")+SUMIFS('Таблиця 1'!$K:$K,'Таблиця 1'!$B:$B,$A215,'Таблиця 1'!$I:$I,"Mi-24",'Таблиця 1'!$J:$J,"Thales-70"))</f>
        <v/>
      </c>
      <c r="L215">
        <f>IF($A215="","",SUMIFS('Таблиця 1'!$K:$K,'Таблиця 1'!$B:$B,$A215,'Таблиця 1'!$I:$I,"Mi-8",'Таблиця 1'!$J:$J,"Thales-FZ")+SUMIFS('Таблиця 1'!$K:$K,'Таблиця 1'!$B:$B,$A215,'Таблиця 1'!$I:$I,"Mi-24",'Таблиця 1'!$J:$J,"Thales-FZ"))</f>
        <v/>
      </c>
      <c r="M215">
        <f>IF($A215="","",SUMIFS('Таблиця 1'!$K:$K,'Таблиця 1'!$B:$B,$A215,'Таблиця 1'!$I:$I,"Mi-8",'Таблиця 1'!$J:$J,"МК-40")+SUMIFS('Таблиця 1'!$K:$K,'Таблиця 1'!$B:$B,$A215,'Таблиця 1'!$I:$I,"Mi-24",'Таблиця 1'!$J:$J,"МК-40"))</f>
        <v/>
      </c>
      <c r="N215">
        <f>IF($A215="","",SUMIFS('Таблиця 1'!$K:$K,'Таблиця 1'!$B:$B,$A215,'Таблиця 1'!$I:$I,"Mi-8",'Таблиця 1'!$J:$J,"Zuni")+SUMIFS('Таблиця 1'!$K:$K,'Таблиця 1'!$B:$B,$A215,'Таблиця 1'!$I:$I,"Mi-24",'Таблиця 1'!$J:$J,"Zuni"))</f>
        <v/>
      </c>
      <c r="O215">
        <f>IF($A215="","",COUNTIFS('Таблиця 1'!$B:$B,$A215,'Таблиця 1'!$I:$I,"Mi-8",'Таблиця 1'!$L:$L,"Уражено")+COUNTIFS('Таблиця 1'!$B:$B,$A215,'Таблиця 1'!$I:$I,"Mi-24",'Таблиця 1'!$L:$L,"Уражено"))</f>
        <v/>
      </c>
      <c r="P215">
        <f>IF($A215="","",COUNTIFS('Таблиця 1'!$B:$B,$A215,'Таблиця 1'!$I:$I,"Mi-8",'Таблиця 1'!$L:$L,"НЕ уражено")+COUNTIFS('Таблиця 1'!$B:$B,$A215,'Таблиця 1'!$I:$I,"Mi-24",'Таблиця 1'!$L:$L,"НЕ уражено"))</f>
        <v/>
      </c>
    </row>
    <row r="216">
      <c r="A216" s="273">
        <f>IF(A215="","",IF(A215+1&gt;MAX('Таблиця 1'!$B:$B),"",A215+1))</f>
        <v/>
      </c>
      <c r="B216">
        <f>IF($A216="","",COUNTIFS('Таблиця 1'!$B:$B,$A216,'Таблиця 1'!$I:$I,"Mi-8")+COUNTIFS('Таблиця 1'!$B:$B,$A216,'Таблиця 1'!$I:$I,"Mi-24"))</f>
        <v/>
      </c>
      <c r="C216">
        <f>IF($A216="","",COUNTIFS('Таблиця 1'!$B:$B,$A216,'Таблиця 1'!$I:$I,"Mi-8"))</f>
        <v/>
      </c>
      <c r="D216">
        <f>IF($A216="","",COUNTIFS('Таблиця 1'!$B:$B,$A216,'Таблиця 1'!$I:$I,"Mi-24"))</f>
        <v/>
      </c>
      <c r="E216">
        <f>IF($A216="","",SUMIFS('Таблиця 1'!$K:$K,'Таблиця 1'!$B:$B,$A216,'Таблиця 1'!$I:$I,"Mi-8",'Таблиця 1'!$J:$J,"ARS-8")+SUMIFS('Таблиця 1'!$K:$K,'Таблиця 1'!$B:$B,$A216,'Таблиця 1'!$I:$I,"Mi-24",'Таблиця 1'!$J:$J,"ARS-8"))</f>
        <v/>
      </c>
      <c r="F216">
        <f>IF($A216="","",SUMIFS('Таблиця 1'!$K:$K,'Таблиця 1'!$B:$B,$A216,'Таблиця 1'!$I:$I,"Mi-8",'Таблиця 1'!$J:$J,"С-8 ком")+SUMIFS('Таблиця 1'!$K:$K,'Таблиця 1'!$B:$B,$A216,'Таблиця 1'!$I:$I,"Mi-24",'Таблиця 1'!$J:$J,"С-8 ком"))</f>
        <v/>
      </c>
      <c r="G216">
        <f>IF($A216="","",SUMIFS('Таблиця 1'!$K:$K,'Таблиця 1'!$B:$B,$A216,'Таблиця 1'!$I:$I,"Mi-8",'Таблиця 1'!$J:$J,"PC-80")+SUMIFS('Таблиця 1'!$K:$K,'Таблиця 1'!$B:$B,$A216,'Таблиця 1'!$I:$I,"Mi-24",'Таблиця 1'!$J:$J,"PC-80"))</f>
        <v/>
      </c>
      <c r="H216">
        <f>IF($A216="","",SUMIFS('Таблиця 1'!$K:$K,'Таблиця 1'!$B:$B,$A216,'Таблиця 1'!$I:$I,"Mi-8",'Таблиця 1'!$J:$J,"UAR-80")+SUMIFS('Таблиця 1'!$K:$K,'Таблиця 1'!$B:$B,$A216,'Таблиця 1'!$I:$I,"Mi-24",'Таблиця 1'!$J:$J,"UAR-80"))</f>
        <v/>
      </c>
      <c r="I216">
        <f>IF($A216="","",SUMIFS('Таблиця 1'!$K:$K,'Таблиця 1'!$B:$B,$A216,'Таблиця 1'!$I:$I,"Mi-8",'Таблиця 1'!$J:$J,"C-13")+SUMIFS('Таблиця 1'!$K:$K,'Таблиця 1'!$B:$B,$A216,'Таблиця 1'!$I:$I,"Mi-24",'Таблиця 1'!$J:$J,"C-13"))</f>
        <v/>
      </c>
      <c r="J216">
        <f>IF($A216="","",SUMIFS('Таблиця 1'!$K:$K,'Таблиця 1'!$B:$B,$A216,'Таблиця 1'!$I:$I,"Mi-8",'Таблиця 1'!$J:$J,"Hydra-70")+SUMIFS('Таблиця 1'!$K:$K,'Таблиця 1'!$B:$B,$A216,'Таблиця 1'!$I:$I,"Mi-24",'Таблиця 1'!$J:$J,"Hydra-70"))</f>
        <v/>
      </c>
      <c r="K216">
        <f>IF($A216="","",SUMIFS('Таблиця 1'!$K:$K,'Таблиця 1'!$B:$B,$A216,'Таблиця 1'!$I:$I,"Mi-8",'Таблиця 1'!$J:$J,"Thales-70")+SUMIFS('Таблиця 1'!$K:$K,'Таблиця 1'!$B:$B,$A216,'Таблиця 1'!$I:$I,"Mi-24",'Таблиця 1'!$J:$J,"Thales-70"))</f>
        <v/>
      </c>
      <c r="L216">
        <f>IF($A216="","",SUMIFS('Таблиця 1'!$K:$K,'Таблиця 1'!$B:$B,$A216,'Таблиця 1'!$I:$I,"Mi-8",'Таблиця 1'!$J:$J,"Thales-FZ")+SUMIFS('Таблиця 1'!$K:$K,'Таблиця 1'!$B:$B,$A216,'Таблиця 1'!$I:$I,"Mi-24",'Таблиця 1'!$J:$J,"Thales-FZ"))</f>
        <v/>
      </c>
      <c r="M216">
        <f>IF($A216="","",SUMIFS('Таблиця 1'!$K:$K,'Таблиця 1'!$B:$B,$A216,'Таблиця 1'!$I:$I,"Mi-8",'Таблиця 1'!$J:$J,"МК-40")+SUMIFS('Таблиця 1'!$K:$K,'Таблиця 1'!$B:$B,$A216,'Таблиця 1'!$I:$I,"Mi-24",'Таблиця 1'!$J:$J,"МК-40"))</f>
        <v/>
      </c>
      <c r="N216">
        <f>IF($A216="","",SUMIFS('Таблиця 1'!$K:$K,'Таблиця 1'!$B:$B,$A216,'Таблиця 1'!$I:$I,"Mi-8",'Таблиця 1'!$J:$J,"Zuni")+SUMIFS('Таблиця 1'!$K:$K,'Таблиця 1'!$B:$B,$A216,'Таблиця 1'!$I:$I,"Mi-24",'Таблиця 1'!$J:$J,"Zuni"))</f>
        <v/>
      </c>
      <c r="O216">
        <f>IF($A216="","",COUNTIFS('Таблиця 1'!$B:$B,$A216,'Таблиця 1'!$I:$I,"Mi-8",'Таблиця 1'!$L:$L,"Уражено")+COUNTIFS('Таблиця 1'!$B:$B,$A216,'Таблиця 1'!$I:$I,"Mi-24",'Таблиця 1'!$L:$L,"Уражено"))</f>
        <v/>
      </c>
      <c r="P216">
        <f>IF($A216="","",COUNTIFS('Таблиця 1'!$B:$B,$A216,'Таблиця 1'!$I:$I,"Mi-8",'Таблиця 1'!$L:$L,"НЕ уражено")+COUNTIFS('Таблиця 1'!$B:$B,$A216,'Таблиця 1'!$I:$I,"Mi-24",'Таблиця 1'!$L:$L,"НЕ уражено"))</f>
        <v/>
      </c>
    </row>
    <row r="217">
      <c r="A217" s="273">
        <f>IF(A216="","",IF(A216+1&gt;MAX('Таблиця 1'!$B:$B),"",A216+1))</f>
        <v/>
      </c>
      <c r="B217">
        <f>IF($A217="","",COUNTIFS('Таблиця 1'!$B:$B,$A217,'Таблиця 1'!$I:$I,"Mi-8")+COUNTIFS('Таблиця 1'!$B:$B,$A217,'Таблиця 1'!$I:$I,"Mi-24"))</f>
        <v/>
      </c>
      <c r="C217">
        <f>IF($A217="","",COUNTIFS('Таблиця 1'!$B:$B,$A217,'Таблиця 1'!$I:$I,"Mi-8"))</f>
        <v/>
      </c>
      <c r="D217">
        <f>IF($A217="","",COUNTIFS('Таблиця 1'!$B:$B,$A217,'Таблиця 1'!$I:$I,"Mi-24"))</f>
        <v/>
      </c>
      <c r="E217">
        <f>IF($A217="","",SUMIFS('Таблиця 1'!$K:$K,'Таблиця 1'!$B:$B,$A217,'Таблиця 1'!$I:$I,"Mi-8",'Таблиця 1'!$J:$J,"ARS-8")+SUMIFS('Таблиця 1'!$K:$K,'Таблиця 1'!$B:$B,$A217,'Таблиця 1'!$I:$I,"Mi-24",'Таблиця 1'!$J:$J,"ARS-8"))</f>
        <v/>
      </c>
      <c r="F217">
        <f>IF($A217="","",SUMIFS('Таблиця 1'!$K:$K,'Таблиця 1'!$B:$B,$A217,'Таблиця 1'!$I:$I,"Mi-8",'Таблиця 1'!$J:$J,"С-8 ком")+SUMIFS('Таблиця 1'!$K:$K,'Таблиця 1'!$B:$B,$A217,'Таблиця 1'!$I:$I,"Mi-24",'Таблиця 1'!$J:$J,"С-8 ком"))</f>
        <v/>
      </c>
      <c r="G217">
        <f>IF($A217="","",SUMIFS('Таблиця 1'!$K:$K,'Таблиця 1'!$B:$B,$A217,'Таблиця 1'!$I:$I,"Mi-8",'Таблиця 1'!$J:$J,"PC-80")+SUMIFS('Таблиця 1'!$K:$K,'Таблиця 1'!$B:$B,$A217,'Таблиця 1'!$I:$I,"Mi-24",'Таблиця 1'!$J:$J,"PC-80"))</f>
        <v/>
      </c>
      <c r="H217">
        <f>IF($A217="","",SUMIFS('Таблиця 1'!$K:$K,'Таблиця 1'!$B:$B,$A217,'Таблиця 1'!$I:$I,"Mi-8",'Таблиця 1'!$J:$J,"UAR-80")+SUMIFS('Таблиця 1'!$K:$K,'Таблиця 1'!$B:$B,$A217,'Таблиця 1'!$I:$I,"Mi-24",'Таблиця 1'!$J:$J,"UAR-80"))</f>
        <v/>
      </c>
      <c r="I217">
        <f>IF($A217="","",SUMIFS('Таблиця 1'!$K:$K,'Таблиця 1'!$B:$B,$A217,'Таблиця 1'!$I:$I,"Mi-8",'Таблиця 1'!$J:$J,"C-13")+SUMIFS('Таблиця 1'!$K:$K,'Таблиця 1'!$B:$B,$A217,'Таблиця 1'!$I:$I,"Mi-24",'Таблиця 1'!$J:$J,"C-13"))</f>
        <v/>
      </c>
      <c r="J217">
        <f>IF($A217="","",SUMIFS('Таблиця 1'!$K:$K,'Таблиця 1'!$B:$B,$A217,'Таблиця 1'!$I:$I,"Mi-8",'Таблиця 1'!$J:$J,"Hydra-70")+SUMIFS('Таблиця 1'!$K:$K,'Таблиця 1'!$B:$B,$A217,'Таблиця 1'!$I:$I,"Mi-24",'Таблиця 1'!$J:$J,"Hydra-70"))</f>
        <v/>
      </c>
      <c r="K217">
        <f>IF($A217="","",SUMIFS('Таблиця 1'!$K:$K,'Таблиця 1'!$B:$B,$A217,'Таблиця 1'!$I:$I,"Mi-8",'Таблиця 1'!$J:$J,"Thales-70")+SUMIFS('Таблиця 1'!$K:$K,'Таблиця 1'!$B:$B,$A217,'Таблиця 1'!$I:$I,"Mi-24",'Таблиця 1'!$J:$J,"Thales-70"))</f>
        <v/>
      </c>
      <c r="L217">
        <f>IF($A217="","",SUMIFS('Таблиця 1'!$K:$K,'Таблиця 1'!$B:$B,$A217,'Таблиця 1'!$I:$I,"Mi-8",'Таблиця 1'!$J:$J,"Thales-FZ")+SUMIFS('Таблиця 1'!$K:$K,'Таблиця 1'!$B:$B,$A217,'Таблиця 1'!$I:$I,"Mi-24",'Таблиця 1'!$J:$J,"Thales-FZ"))</f>
        <v/>
      </c>
      <c r="M217">
        <f>IF($A217="","",SUMIFS('Таблиця 1'!$K:$K,'Таблиця 1'!$B:$B,$A217,'Таблиця 1'!$I:$I,"Mi-8",'Таблиця 1'!$J:$J,"МК-40")+SUMIFS('Таблиця 1'!$K:$K,'Таблиця 1'!$B:$B,$A217,'Таблиця 1'!$I:$I,"Mi-24",'Таблиця 1'!$J:$J,"МК-40"))</f>
        <v/>
      </c>
      <c r="N217">
        <f>IF($A217="","",SUMIFS('Таблиця 1'!$K:$K,'Таблиця 1'!$B:$B,$A217,'Таблиця 1'!$I:$I,"Mi-8",'Таблиця 1'!$J:$J,"Zuni")+SUMIFS('Таблиця 1'!$K:$K,'Таблиця 1'!$B:$B,$A217,'Таблиця 1'!$I:$I,"Mi-24",'Таблиця 1'!$J:$J,"Zuni"))</f>
        <v/>
      </c>
      <c r="O217">
        <f>IF($A217="","",COUNTIFS('Таблиця 1'!$B:$B,$A217,'Таблиця 1'!$I:$I,"Mi-8",'Таблиця 1'!$L:$L,"Уражено")+COUNTIFS('Таблиця 1'!$B:$B,$A217,'Таблиця 1'!$I:$I,"Mi-24",'Таблиця 1'!$L:$L,"Уражено"))</f>
        <v/>
      </c>
      <c r="P217">
        <f>IF($A217="","",COUNTIFS('Таблиця 1'!$B:$B,$A217,'Таблиця 1'!$I:$I,"Mi-8",'Таблиця 1'!$L:$L,"НЕ уражено")+COUNTIFS('Таблиця 1'!$B:$B,$A217,'Таблиця 1'!$I:$I,"Mi-24",'Таблиця 1'!$L:$L,"НЕ уражено"))</f>
        <v/>
      </c>
    </row>
    <row r="218">
      <c r="A218" s="273">
        <f>IF(A217="","",IF(A217+1&gt;MAX('Таблиця 1'!$B:$B),"",A217+1))</f>
        <v/>
      </c>
      <c r="B218">
        <f>IF($A218="","",COUNTIFS('Таблиця 1'!$B:$B,$A218,'Таблиця 1'!$I:$I,"Mi-8")+COUNTIFS('Таблиця 1'!$B:$B,$A218,'Таблиця 1'!$I:$I,"Mi-24"))</f>
        <v/>
      </c>
      <c r="C218">
        <f>IF($A218="","",COUNTIFS('Таблиця 1'!$B:$B,$A218,'Таблиця 1'!$I:$I,"Mi-8"))</f>
        <v/>
      </c>
      <c r="D218">
        <f>IF($A218="","",COUNTIFS('Таблиця 1'!$B:$B,$A218,'Таблиця 1'!$I:$I,"Mi-24"))</f>
        <v/>
      </c>
      <c r="E218">
        <f>IF($A218="","",SUMIFS('Таблиця 1'!$K:$K,'Таблиця 1'!$B:$B,$A218,'Таблиця 1'!$I:$I,"Mi-8",'Таблиця 1'!$J:$J,"ARS-8")+SUMIFS('Таблиця 1'!$K:$K,'Таблиця 1'!$B:$B,$A218,'Таблиця 1'!$I:$I,"Mi-24",'Таблиця 1'!$J:$J,"ARS-8"))</f>
        <v/>
      </c>
      <c r="F218">
        <f>IF($A218="","",SUMIFS('Таблиця 1'!$K:$K,'Таблиця 1'!$B:$B,$A218,'Таблиця 1'!$I:$I,"Mi-8",'Таблиця 1'!$J:$J,"С-8 ком")+SUMIFS('Таблиця 1'!$K:$K,'Таблиця 1'!$B:$B,$A218,'Таблиця 1'!$I:$I,"Mi-24",'Таблиця 1'!$J:$J,"С-8 ком"))</f>
        <v/>
      </c>
      <c r="G218">
        <f>IF($A218="","",SUMIFS('Таблиця 1'!$K:$K,'Таблиця 1'!$B:$B,$A218,'Таблиця 1'!$I:$I,"Mi-8",'Таблиця 1'!$J:$J,"PC-80")+SUMIFS('Таблиця 1'!$K:$K,'Таблиця 1'!$B:$B,$A218,'Таблиця 1'!$I:$I,"Mi-24",'Таблиця 1'!$J:$J,"PC-80"))</f>
        <v/>
      </c>
      <c r="H218">
        <f>IF($A218="","",SUMIFS('Таблиця 1'!$K:$K,'Таблиця 1'!$B:$B,$A218,'Таблиця 1'!$I:$I,"Mi-8",'Таблиця 1'!$J:$J,"UAR-80")+SUMIFS('Таблиця 1'!$K:$K,'Таблиця 1'!$B:$B,$A218,'Таблиця 1'!$I:$I,"Mi-24",'Таблиця 1'!$J:$J,"UAR-80"))</f>
        <v/>
      </c>
      <c r="I218">
        <f>IF($A218="","",SUMIFS('Таблиця 1'!$K:$K,'Таблиця 1'!$B:$B,$A218,'Таблиця 1'!$I:$I,"Mi-8",'Таблиця 1'!$J:$J,"C-13")+SUMIFS('Таблиця 1'!$K:$K,'Таблиця 1'!$B:$B,$A218,'Таблиця 1'!$I:$I,"Mi-24",'Таблиця 1'!$J:$J,"C-13"))</f>
        <v/>
      </c>
      <c r="J218">
        <f>IF($A218="","",SUMIFS('Таблиця 1'!$K:$K,'Таблиця 1'!$B:$B,$A218,'Таблиця 1'!$I:$I,"Mi-8",'Таблиця 1'!$J:$J,"Hydra-70")+SUMIFS('Таблиця 1'!$K:$K,'Таблиця 1'!$B:$B,$A218,'Таблиця 1'!$I:$I,"Mi-24",'Таблиця 1'!$J:$J,"Hydra-70"))</f>
        <v/>
      </c>
      <c r="K218">
        <f>IF($A218="","",SUMIFS('Таблиця 1'!$K:$K,'Таблиця 1'!$B:$B,$A218,'Таблиця 1'!$I:$I,"Mi-8",'Таблиця 1'!$J:$J,"Thales-70")+SUMIFS('Таблиця 1'!$K:$K,'Таблиця 1'!$B:$B,$A218,'Таблиця 1'!$I:$I,"Mi-24",'Таблиця 1'!$J:$J,"Thales-70"))</f>
        <v/>
      </c>
      <c r="L218">
        <f>IF($A218="","",SUMIFS('Таблиця 1'!$K:$K,'Таблиця 1'!$B:$B,$A218,'Таблиця 1'!$I:$I,"Mi-8",'Таблиця 1'!$J:$J,"Thales-FZ")+SUMIFS('Таблиця 1'!$K:$K,'Таблиця 1'!$B:$B,$A218,'Таблиця 1'!$I:$I,"Mi-24",'Таблиця 1'!$J:$J,"Thales-FZ"))</f>
        <v/>
      </c>
      <c r="M218">
        <f>IF($A218="","",SUMIFS('Таблиця 1'!$K:$K,'Таблиця 1'!$B:$B,$A218,'Таблиця 1'!$I:$I,"Mi-8",'Таблиця 1'!$J:$J,"МК-40")+SUMIFS('Таблиця 1'!$K:$K,'Таблиця 1'!$B:$B,$A218,'Таблиця 1'!$I:$I,"Mi-24",'Таблиця 1'!$J:$J,"МК-40"))</f>
        <v/>
      </c>
      <c r="N218">
        <f>IF($A218="","",SUMIFS('Таблиця 1'!$K:$K,'Таблиця 1'!$B:$B,$A218,'Таблиця 1'!$I:$I,"Mi-8",'Таблиця 1'!$J:$J,"Zuni")+SUMIFS('Таблиця 1'!$K:$K,'Таблиця 1'!$B:$B,$A218,'Таблиця 1'!$I:$I,"Mi-24",'Таблиця 1'!$J:$J,"Zuni"))</f>
        <v/>
      </c>
      <c r="O218">
        <f>IF($A218="","",COUNTIFS('Таблиця 1'!$B:$B,$A218,'Таблиця 1'!$I:$I,"Mi-8",'Таблиця 1'!$L:$L,"Уражено")+COUNTIFS('Таблиця 1'!$B:$B,$A218,'Таблиця 1'!$I:$I,"Mi-24",'Таблиця 1'!$L:$L,"Уражено"))</f>
        <v/>
      </c>
      <c r="P218">
        <f>IF($A218="","",COUNTIFS('Таблиця 1'!$B:$B,$A218,'Таблиця 1'!$I:$I,"Mi-8",'Таблиця 1'!$L:$L,"НЕ уражено")+COUNTIFS('Таблиця 1'!$B:$B,$A218,'Таблиця 1'!$I:$I,"Mi-24",'Таблиця 1'!$L:$L,"НЕ уражено"))</f>
        <v/>
      </c>
    </row>
    <row r="219">
      <c r="A219" s="273">
        <f>IF(A218="","",IF(A218+1&gt;MAX('Таблиця 1'!$B:$B),"",A218+1))</f>
        <v/>
      </c>
      <c r="B219">
        <f>IF($A219="","",COUNTIFS('Таблиця 1'!$B:$B,$A219,'Таблиця 1'!$I:$I,"Mi-8")+COUNTIFS('Таблиця 1'!$B:$B,$A219,'Таблиця 1'!$I:$I,"Mi-24"))</f>
        <v/>
      </c>
      <c r="C219">
        <f>IF($A219="","",COUNTIFS('Таблиця 1'!$B:$B,$A219,'Таблиця 1'!$I:$I,"Mi-8"))</f>
        <v/>
      </c>
      <c r="D219">
        <f>IF($A219="","",COUNTIFS('Таблиця 1'!$B:$B,$A219,'Таблиця 1'!$I:$I,"Mi-24"))</f>
        <v/>
      </c>
      <c r="E219">
        <f>IF($A219="","",SUMIFS('Таблиця 1'!$K:$K,'Таблиця 1'!$B:$B,$A219,'Таблиця 1'!$I:$I,"Mi-8",'Таблиця 1'!$J:$J,"ARS-8")+SUMIFS('Таблиця 1'!$K:$K,'Таблиця 1'!$B:$B,$A219,'Таблиця 1'!$I:$I,"Mi-24",'Таблиця 1'!$J:$J,"ARS-8"))</f>
        <v/>
      </c>
      <c r="F219">
        <f>IF($A219="","",SUMIFS('Таблиця 1'!$K:$K,'Таблиця 1'!$B:$B,$A219,'Таблиця 1'!$I:$I,"Mi-8",'Таблиця 1'!$J:$J,"С-8 ком")+SUMIFS('Таблиця 1'!$K:$K,'Таблиця 1'!$B:$B,$A219,'Таблиця 1'!$I:$I,"Mi-24",'Таблиця 1'!$J:$J,"С-8 ком"))</f>
        <v/>
      </c>
      <c r="G219">
        <f>IF($A219="","",SUMIFS('Таблиця 1'!$K:$K,'Таблиця 1'!$B:$B,$A219,'Таблиця 1'!$I:$I,"Mi-8",'Таблиця 1'!$J:$J,"PC-80")+SUMIFS('Таблиця 1'!$K:$K,'Таблиця 1'!$B:$B,$A219,'Таблиця 1'!$I:$I,"Mi-24",'Таблиця 1'!$J:$J,"PC-80"))</f>
        <v/>
      </c>
      <c r="H219">
        <f>IF($A219="","",SUMIFS('Таблиця 1'!$K:$K,'Таблиця 1'!$B:$B,$A219,'Таблиця 1'!$I:$I,"Mi-8",'Таблиця 1'!$J:$J,"UAR-80")+SUMIFS('Таблиця 1'!$K:$K,'Таблиця 1'!$B:$B,$A219,'Таблиця 1'!$I:$I,"Mi-24",'Таблиця 1'!$J:$J,"UAR-80"))</f>
        <v/>
      </c>
      <c r="I219">
        <f>IF($A219="","",SUMIFS('Таблиця 1'!$K:$K,'Таблиця 1'!$B:$B,$A219,'Таблиця 1'!$I:$I,"Mi-8",'Таблиця 1'!$J:$J,"C-13")+SUMIFS('Таблиця 1'!$K:$K,'Таблиця 1'!$B:$B,$A219,'Таблиця 1'!$I:$I,"Mi-24",'Таблиця 1'!$J:$J,"C-13"))</f>
        <v/>
      </c>
      <c r="J219">
        <f>IF($A219="","",SUMIFS('Таблиця 1'!$K:$K,'Таблиця 1'!$B:$B,$A219,'Таблиця 1'!$I:$I,"Mi-8",'Таблиця 1'!$J:$J,"Hydra-70")+SUMIFS('Таблиця 1'!$K:$K,'Таблиця 1'!$B:$B,$A219,'Таблиця 1'!$I:$I,"Mi-24",'Таблиця 1'!$J:$J,"Hydra-70"))</f>
        <v/>
      </c>
      <c r="K219">
        <f>IF($A219="","",SUMIFS('Таблиця 1'!$K:$K,'Таблиця 1'!$B:$B,$A219,'Таблиця 1'!$I:$I,"Mi-8",'Таблиця 1'!$J:$J,"Thales-70")+SUMIFS('Таблиця 1'!$K:$K,'Таблиця 1'!$B:$B,$A219,'Таблиця 1'!$I:$I,"Mi-24",'Таблиця 1'!$J:$J,"Thales-70"))</f>
        <v/>
      </c>
      <c r="L219">
        <f>IF($A219="","",SUMIFS('Таблиця 1'!$K:$K,'Таблиця 1'!$B:$B,$A219,'Таблиця 1'!$I:$I,"Mi-8",'Таблиця 1'!$J:$J,"Thales-FZ")+SUMIFS('Таблиця 1'!$K:$K,'Таблиця 1'!$B:$B,$A219,'Таблиця 1'!$I:$I,"Mi-24",'Таблиця 1'!$J:$J,"Thales-FZ"))</f>
        <v/>
      </c>
      <c r="M219">
        <f>IF($A219="","",SUMIFS('Таблиця 1'!$K:$K,'Таблиця 1'!$B:$B,$A219,'Таблиця 1'!$I:$I,"Mi-8",'Таблиця 1'!$J:$J,"МК-40")+SUMIFS('Таблиця 1'!$K:$K,'Таблиця 1'!$B:$B,$A219,'Таблиця 1'!$I:$I,"Mi-24",'Таблиця 1'!$J:$J,"МК-40"))</f>
        <v/>
      </c>
      <c r="N219">
        <f>IF($A219="","",SUMIFS('Таблиця 1'!$K:$K,'Таблиця 1'!$B:$B,$A219,'Таблиця 1'!$I:$I,"Mi-8",'Таблиця 1'!$J:$J,"Zuni")+SUMIFS('Таблиця 1'!$K:$K,'Таблиця 1'!$B:$B,$A219,'Таблиця 1'!$I:$I,"Mi-24",'Таблиця 1'!$J:$J,"Zuni"))</f>
        <v/>
      </c>
      <c r="O219">
        <f>IF($A219="","",COUNTIFS('Таблиця 1'!$B:$B,$A219,'Таблиця 1'!$I:$I,"Mi-8",'Таблиця 1'!$L:$L,"Уражено")+COUNTIFS('Таблиця 1'!$B:$B,$A219,'Таблиця 1'!$I:$I,"Mi-24",'Таблиця 1'!$L:$L,"Уражено"))</f>
        <v/>
      </c>
      <c r="P219">
        <f>IF($A219="","",COUNTIFS('Таблиця 1'!$B:$B,$A219,'Таблиця 1'!$I:$I,"Mi-8",'Таблиця 1'!$L:$L,"НЕ уражено")+COUNTIFS('Таблиця 1'!$B:$B,$A219,'Таблиця 1'!$I:$I,"Mi-24",'Таблиця 1'!$L:$L,"НЕ уражено"))</f>
        <v/>
      </c>
    </row>
    <row r="220">
      <c r="A220" s="273">
        <f>IF(A219="","",IF(A219+1&gt;MAX('Таблиця 1'!$B:$B),"",A219+1))</f>
        <v/>
      </c>
      <c r="B220">
        <f>IF($A220="","",COUNTIFS('Таблиця 1'!$B:$B,$A220,'Таблиця 1'!$I:$I,"Mi-8")+COUNTIFS('Таблиця 1'!$B:$B,$A220,'Таблиця 1'!$I:$I,"Mi-24"))</f>
        <v/>
      </c>
      <c r="C220">
        <f>IF($A220="","",COUNTIFS('Таблиця 1'!$B:$B,$A220,'Таблиця 1'!$I:$I,"Mi-8"))</f>
        <v/>
      </c>
      <c r="D220">
        <f>IF($A220="","",COUNTIFS('Таблиця 1'!$B:$B,$A220,'Таблиця 1'!$I:$I,"Mi-24"))</f>
        <v/>
      </c>
      <c r="E220">
        <f>IF($A220="","",SUMIFS('Таблиця 1'!$K:$K,'Таблиця 1'!$B:$B,$A220,'Таблиця 1'!$I:$I,"Mi-8",'Таблиця 1'!$J:$J,"ARS-8")+SUMIFS('Таблиця 1'!$K:$K,'Таблиця 1'!$B:$B,$A220,'Таблиця 1'!$I:$I,"Mi-24",'Таблиця 1'!$J:$J,"ARS-8"))</f>
        <v/>
      </c>
      <c r="F220">
        <f>IF($A220="","",SUMIFS('Таблиця 1'!$K:$K,'Таблиця 1'!$B:$B,$A220,'Таблиця 1'!$I:$I,"Mi-8",'Таблиця 1'!$J:$J,"С-8 ком")+SUMIFS('Таблиця 1'!$K:$K,'Таблиця 1'!$B:$B,$A220,'Таблиця 1'!$I:$I,"Mi-24",'Таблиця 1'!$J:$J,"С-8 ком"))</f>
        <v/>
      </c>
      <c r="G220">
        <f>IF($A220="","",SUMIFS('Таблиця 1'!$K:$K,'Таблиця 1'!$B:$B,$A220,'Таблиця 1'!$I:$I,"Mi-8",'Таблиця 1'!$J:$J,"PC-80")+SUMIFS('Таблиця 1'!$K:$K,'Таблиця 1'!$B:$B,$A220,'Таблиця 1'!$I:$I,"Mi-24",'Таблиця 1'!$J:$J,"PC-80"))</f>
        <v/>
      </c>
      <c r="H220">
        <f>IF($A220="","",SUMIFS('Таблиця 1'!$K:$K,'Таблиця 1'!$B:$B,$A220,'Таблиця 1'!$I:$I,"Mi-8",'Таблиця 1'!$J:$J,"UAR-80")+SUMIFS('Таблиця 1'!$K:$K,'Таблиця 1'!$B:$B,$A220,'Таблиця 1'!$I:$I,"Mi-24",'Таблиця 1'!$J:$J,"UAR-80"))</f>
        <v/>
      </c>
      <c r="I220">
        <f>IF($A220="","",SUMIFS('Таблиця 1'!$K:$K,'Таблиця 1'!$B:$B,$A220,'Таблиця 1'!$I:$I,"Mi-8",'Таблиця 1'!$J:$J,"C-13")+SUMIFS('Таблиця 1'!$K:$K,'Таблиця 1'!$B:$B,$A220,'Таблиця 1'!$I:$I,"Mi-24",'Таблиця 1'!$J:$J,"C-13"))</f>
        <v/>
      </c>
      <c r="J220">
        <f>IF($A220="","",SUMIFS('Таблиця 1'!$K:$K,'Таблиця 1'!$B:$B,$A220,'Таблиця 1'!$I:$I,"Mi-8",'Таблиця 1'!$J:$J,"Hydra-70")+SUMIFS('Таблиця 1'!$K:$K,'Таблиця 1'!$B:$B,$A220,'Таблиця 1'!$I:$I,"Mi-24",'Таблиця 1'!$J:$J,"Hydra-70"))</f>
        <v/>
      </c>
      <c r="K220">
        <f>IF($A220="","",SUMIFS('Таблиця 1'!$K:$K,'Таблиця 1'!$B:$B,$A220,'Таблиця 1'!$I:$I,"Mi-8",'Таблиця 1'!$J:$J,"Thales-70")+SUMIFS('Таблиця 1'!$K:$K,'Таблиця 1'!$B:$B,$A220,'Таблиця 1'!$I:$I,"Mi-24",'Таблиця 1'!$J:$J,"Thales-70"))</f>
        <v/>
      </c>
      <c r="L220">
        <f>IF($A220="","",SUMIFS('Таблиця 1'!$K:$K,'Таблиця 1'!$B:$B,$A220,'Таблиця 1'!$I:$I,"Mi-8",'Таблиця 1'!$J:$J,"Thales-FZ")+SUMIFS('Таблиця 1'!$K:$K,'Таблиця 1'!$B:$B,$A220,'Таблиця 1'!$I:$I,"Mi-24",'Таблиця 1'!$J:$J,"Thales-FZ"))</f>
        <v/>
      </c>
      <c r="M220">
        <f>IF($A220="","",SUMIFS('Таблиця 1'!$K:$K,'Таблиця 1'!$B:$B,$A220,'Таблиця 1'!$I:$I,"Mi-8",'Таблиця 1'!$J:$J,"МК-40")+SUMIFS('Таблиця 1'!$K:$K,'Таблиця 1'!$B:$B,$A220,'Таблиця 1'!$I:$I,"Mi-24",'Таблиця 1'!$J:$J,"МК-40"))</f>
        <v/>
      </c>
      <c r="N220">
        <f>IF($A220="","",SUMIFS('Таблиця 1'!$K:$K,'Таблиця 1'!$B:$B,$A220,'Таблиця 1'!$I:$I,"Mi-8",'Таблиця 1'!$J:$J,"Zuni")+SUMIFS('Таблиця 1'!$K:$K,'Таблиця 1'!$B:$B,$A220,'Таблиця 1'!$I:$I,"Mi-24",'Таблиця 1'!$J:$J,"Zuni"))</f>
        <v/>
      </c>
      <c r="O220">
        <f>IF($A220="","",COUNTIFS('Таблиця 1'!$B:$B,$A220,'Таблиця 1'!$I:$I,"Mi-8",'Таблиця 1'!$L:$L,"Уражено")+COUNTIFS('Таблиця 1'!$B:$B,$A220,'Таблиця 1'!$I:$I,"Mi-24",'Таблиця 1'!$L:$L,"Уражено"))</f>
        <v/>
      </c>
      <c r="P220">
        <f>IF($A220="","",COUNTIFS('Таблиця 1'!$B:$B,$A220,'Таблиця 1'!$I:$I,"Mi-8",'Таблиця 1'!$L:$L,"НЕ уражено")+COUNTIFS('Таблиця 1'!$B:$B,$A220,'Таблиця 1'!$I:$I,"Mi-24",'Таблиця 1'!$L:$L,"НЕ уражено"))</f>
        <v/>
      </c>
    </row>
    <row r="221">
      <c r="A221" s="273">
        <f>IF(A220="","",IF(A220+1&gt;MAX('Таблиця 1'!$B:$B),"",A220+1))</f>
        <v/>
      </c>
      <c r="B221">
        <f>IF($A221="","",COUNTIFS('Таблиця 1'!$B:$B,$A221,'Таблиця 1'!$I:$I,"Mi-8")+COUNTIFS('Таблиця 1'!$B:$B,$A221,'Таблиця 1'!$I:$I,"Mi-24"))</f>
        <v/>
      </c>
      <c r="C221">
        <f>IF($A221="","",COUNTIFS('Таблиця 1'!$B:$B,$A221,'Таблиця 1'!$I:$I,"Mi-8"))</f>
        <v/>
      </c>
      <c r="D221">
        <f>IF($A221="","",COUNTIFS('Таблиця 1'!$B:$B,$A221,'Таблиця 1'!$I:$I,"Mi-24"))</f>
        <v/>
      </c>
      <c r="E221">
        <f>IF($A221="","",SUMIFS('Таблиця 1'!$K:$K,'Таблиця 1'!$B:$B,$A221,'Таблиця 1'!$I:$I,"Mi-8",'Таблиця 1'!$J:$J,"ARS-8")+SUMIFS('Таблиця 1'!$K:$K,'Таблиця 1'!$B:$B,$A221,'Таблиця 1'!$I:$I,"Mi-24",'Таблиця 1'!$J:$J,"ARS-8"))</f>
        <v/>
      </c>
      <c r="F221">
        <f>IF($A221="","",SUMIFS('Таблиця 1'!$K:$K,'Таблиця 1'!$B:$B,$A221,'Таблиця 1'!$I:$I,"Mi-8",'Таблиця 1'!$J:$J,"С-8 ком")+SUMIFS('Таблиця 1'!$K:$K,'Таблиця 1'!$B:$B,$A221,'Таблиця 1'!$I:$I,"Mi-24",'Таблиця 1'!$J:$J,"С-8 ком"))</f>
        <v/>
      </c>
      <c r="G221">
        <f>IF($A221="","",SUMIFS('Таблиця 1'!$K:$K,'Таблиця 1'!$B:$B,$A221,'Таблиця 1'!$I:$I,"Mi-8",'Таблиця 1'!$J:$J,"PC-80")+SUMIFS('Таблиця 1'!$K:$K,'Таблиця 1'!$B:$B,$A221,'Таблиця 1'!$I:$I,"Mi-24",'Таблиця 1'!$J:$J,"PC-80"))</f>
        <v/>
      </c>
      <c r="H221">
        <f>IF($A221="","",SUMIFS('Таблиця 1'!$K:$K,'Таблиця 1'!$B:$B,$A221,'Таблиця 1'!$I:$I,"Mi-8",'Таблиця 1'!$J:$J,"UAR-80")+SUMIFS('Таблиця 1'!$K:$K,'Таблиця 1'!$B:$B,$A221,'Таблиця 1'!$I:$I,"Mi-24",'Таблиця 1'!$J:$J,"UAR-80"))</f>
        <v/>
      </c>
      <c r="I221">
        <f>IF($A221="","",SUMIFS('Таблиця 1'!$K:$K,'Таблиця 1'!$B:$B,$A221,'Таблиця 1'!$I:$I,"Mi-8",'Таблиця 1'!$J:$J,"C-13")+SUMIFS('Таблиця 1'!$K:$K,'Таблиця 1'!$B:$B,$A221,'Таблиця 1'!$I:$I,"Mi-24",'Таблиця 1'!$J:$J,"C-13"))</f>
        <v/>
      </c>
      <c r="J221">
        <f>IF($A221="","",SUMIFS('Таблиця 1'!$K:$K,'Таблиця 1'!$B:$B,$A221,'Таблиця 1'!$I:$I,"Mi-8",'Таблиця 1'!$J:$J,"Hydra-70")+SUMIFS('Таблиця 1'!$K:$K,'Таблиця 1'!$B:$B,$A221,'Таблиця 1'!$I:$I,"Mi-24",'Таблиця 1'!$J:$J,"Hydra-70"))</f>
        <v/>
      </c>
      <c r="K221">
        <f>IF($A221="","",SUMIFS('Таблиця 1'!$K:$K,'Таблиця 1'!$B:$B,$A221,'Таблиця 1'!$I:$I,"Mi-8",'Таблиця 1'!$J:$J,"Thales-70")+SUMIFS('Таблиця 1'!$K:$K,'Таблиця 1'!$B:$B,$A221,'Таблиця 1'!$I:$I,"Mi-24",'Таблиця 1'!$J:$J,"Thales-70"))</f>
        <v/>
      </c>
      <c r="L221">
        <f>IF($A221="","",SUMIFS('Таблиця 1'!$K:$K,'Таблиця 1'!$B:$B,$A221,'Таблиця 1'!$I:$I,"Mi-8",'Таблиця 1'!$J:$J,"Thales-FZ")+SUMIFS('Таблиця 1'!$K:$K,'Таблиця 1'!$B:$B,$A221,'Таблиця 1'!$I:$I,"Mi-24",'Таблиця 1'!$J:$J,"Thales-FZ"))</f>
        <v/>
      </c>
      <c r="M221">
        <f>IF($A221="","",SUMIFS('Таблиця 1'!$K:$K,'Таблиця 1'!$B:$B,$A221,'Таблиця 1'!$I:$I,"Mi-8",'Таблиця 1'!$J:$J,"МК-40")+SUMIFS('Таблиця 1'!$K:$K,'Таблиця 1'!$B:$B,$A221,'Таблиця 1'!$I:$I,"Mi-24",'Таблиця 1'!$J:$J,"МК-40"))</f>
        <v/>
      </c>
      <c r="N221">
        <f>IF($A221="","",SUMIFS('Таблиця 1'!$K:$K,'Таблиця 1'!$B:$B,$A221,'Таблиця 1'!$I:$I,"Mi-8",'Таблиця 1'!$J:$J,"Zuni")+SUMIFS('Таблиця 1'!$K:$K,'Таблиця 1'!$B:$B,$A221,'Таблиця 1'!$I:$I,"Mi-24",'Таблиця 1'!$J:$J,"Zuni"))</f>
        <v/>
      </c>
      <c r="O221">
        <f>IF($A221="","",COUNTIFS('Таблиця 1'!$B:$B,$A221,'Таблиця 1'!$I:$I,"Mi-8",'Таблиця 1'!$L:$L,"Уражено")+COUNTIFS('Таблиця 1'!$B:$B,$A221,'Таблиця 1'!$I:$I,"Mi-24",'Таблиця 1'!$L:$L,"Уражено"))</f>
        <v/>
      </c>
      <c r="P221">
        <f>IF($A221="","",COUNTIFS('Таблиця 1'!$B:$B,$A221,'Таблиця 1'!$I:$I,"Mi-8",'Таблиця 1'!$L:$L,"НЕ уражено")+COUNTIFS('Таблиця 1'!$B:$B,$A221,'Таблиця 1'!$I:$I,"Mi-24",'Таблиця 1'!$L:$L,"НЕ уражено"))</f>
        <v/>
      </c>
    </row>
    <row r="222">
      <c r="A222" s="273">
        <f>IF(A221="","",IF(A221+1&gt;MAX('Таблиця 1'!$B:$B),"",A221+1))</f>
        <v/>
      </c>
      <c r="B222">
        <f>IF($A222="","",COUNTIFS('Таблиця 1'!$B:$B,$A222,'Таблиця 1'!$I:$I,"Mi-8")+COUNTIFS('Таблиця 1'!$B:$B,$A222,'Таблиця 1'!$I:$I,"Mi-24"))</f>
        <v/>
      </c>
      <c r="C222">
        <f>IF($A222="","",COUNTIFS('Таблиця 1'!$B:$B,$A222,'Таблиця 1'!$I:$I,"Mi-8"))</f>
        <v/>
      </c>
      <c r="D222">
        <f>IF($A222="","",COUNTIFS('Таблиця 1'!$B:$B,$A222,'Таблиця 1'!$I:$I,"Mi-24"))</f>
        <v/>
      </c>
      <c r="E222">
        <f>IF($A222="","",SUMIFS('Таблиця 1'!$K:$K,'Таблиця 1'!$B:$B,$A222,'Таблиця 1'!$I:$I,"Mi-8",'Таблиця 1'!$J:$J,"ARS-8")+SUMIFS('Таблиця 1'!$K:$K,'Таблиця 1'!$B:$B,$A222,'Таблиця 1'!$I:$I,"Mi-24",'Таблиця 1'!$J:$J,"ARS-8"))</f>
        <v/>
      </c>
      <c r="F222">
        <f>IF($A222="","",SUMIFS('Таблиця 1'!$K:$K,'Таблиця 1'!$B:$B,$A222,'Таблиця 1'!$I:$I,"Mi-8",'Таблиця 1'!$J:$J,"С-8 ком")+SUMIFS('Таблиця 1'!$K:$K,'Таблиця 1'!$B:$B,$A222,'Таблиця 1'!$I:$I,"Mi-24",'Таблиця 1'!$J:$J,"С-8 ком"))</f>
        <v/>
      </c>
      <c r="G222">
        <f>IF($A222="","",SUMIFS('Таблиця 1'!$K:$K,'Таблиця 1'!$B:$B,$A222,'Таблиця 1'!$I:$I,"Mi-8",'Таблиця 1'!$J:$J,"PC-80")+SUMIFS('Таблиця 1'!$K:$K,'Таблиця 1'!$B:$B,$A222,'Таблиця 1'!$I:$I,"Mi-24",'Таблиця 1'!$J:$J,"PC-80"))</f>
        <v/>
      </c>
      <c r="H222">
        <f>IF($A222="","",SUMIFS('Таблиця 1'!$K:$K,'Таблиця 1'!$B:$B,$A222,'Таблиця 1'!$I:$I,"Mi-8",'Таблиця 1'!$J:$J,"UAR-80")+SUMIFS('Таблиця 1'!$K:$K,'Таблиця 1'!$B:$B,$A222,'Таблиця 1'!$I:$I,"Mi-24",'Таблиця 1'!$J:$J,"UAR-80"))</f>
        <v/>
      </c>
      <c r="I222">
        <f>IF($A222="","",SUMIFS('Таблиця 1'!$K:$K,'Таблиця 1'!$B:$B,$A222,'Таблиця 1'!$I:$I,"Mi-8",'Таблиця 1'!$J:$J,"C-13")+SUMIFS('Таблиця 1'!$K:$K,'Таблиця 1'!$B:$B,$A222,'Таблиця 1'!$I:$I,"Mi-24",'Таблиця 1'!$J:$J,"C-13"))</f>
        <v/>
      </c>
      <c r="J222">
        <f>IF($A222="","",SUMIFS('Таблиця 1'!$K:$K,'Таблиця 1'!$B:$B,$A222,'Таблиця 1'!$I:$I,"Mi-8",'Таблиця 1'!$J:$J,"Hydra-70")+SUMIFS('Таблиця 1'!$K:$K,'Таблиця 1'!$B:$B,$A222,'Таблиця 1'!$I:$I,"Mi-24",'Таблиця 1'!$J:$J,"Hydra-70"))</f>
        <v/>
      </c>
      <c r="K222">
        <f>IF($A222="","",SUMIFS('Таблиця 1'!$K:$K,'Таблиця 1'!$B:$B,$A222,'Таблиця 1'!$I:$I,"Mi-8",'Таблиця 1'!$J:$J,"Thales-70")+SUMIFS('Таблиця 1'!$K:$K,'Таблиця 1'!$B:$B,$A222,'Таблиця 1'!$I:$I,"Mi-24",'Таблиця 1'!$J:$J,"Thales-70"))</f>
        <v/>
      </c>
      <c r="L222">
        <f>IF($A222="","",SUMIFS('Таблиця 1'!$K:$K,'Таблиця 1'!$B:$B,$A222,'Таблиця 1'!$I:$I,"Mi-8",'Таблиця 1'!$J:$J,"Thales-FZ")+SUMIFS('Таблиця 1'!$K:$K,'Таблиця 1'!$B:$B,$A222,'Таблиця 1'!$I:$I,"Mi-24",'Таблиця 1'!$J:$J,"Thales-FZ"))</f>
        <v/>
      </c>
      <c r="M222">
        <f>IF($A222="","",SUMIFS('Таблиця 1'!$K:$K,'Таблиця 1'!$B:$B,$A222,'Таблиця 1'!$I:$I,"Mi-8",'Таблиця 1'!$J:$J,"МК-40")+SUMIFS('Таблиця 1'!$K:$K,'Таблиця 1'!$B:$B,$A222,'Таблиця 1'!$I:$I,"Mi-24",'Таблиця 1'!$J:$J,"МК-40"))</f>
        <v/>
      </c>
      <c r="N222">
        <f>IF($A222="","",SUMIFS('Таблиця 1'!$K:$K,'Таблиця 1'!$B:$B,$A222,'Таблиця 1'!$I:$I,"Mi-8",'Таблиця 1'!$J:$J,"Zuni")+SUMIFS('Таблиця 1'!$K:$K,'Таблиця 1'!$B:$B,$A222,'Таблиця 1'!$I:$I,"Mi-24",'Таблиця 1'!$J:$J,"Zuni"))</f>
        <v/>
      </c>
      <c r="O222">
        <f>IF($A222="","",COUNTIFS('Таблиця 1'!$B:$B,$A222,'Таблиця 1'!$I:$I,"Mi-8",'Таблиця 1'!$L:$L,"Уражено")+COUNTIFS('Таблиця 1'!$B:$B,$A222,'Таблиця 1'!$I:$I,"Mi-24",'Таблиця 1'!$L:$L,"Уражено"))</f>
        <v/>
      </c>
      <c r="P222">
        <f>IF($A222="","",COUNTIFS('Таблиця 1'!$B:$B,$A222,'Таблиця 1'!$I:$I,"Mi-8",'Таблиця 1'!$L:$L,"НЕ уражено")+COUNTIFS('Таблиця 1'!$B:$B,$A222,'Таблиця 1'!$I:$I,"Mi-24",'Таблиця 1'!$L:$L,"НЕ уражено"))</f>
        <v/>
      </c>
    </row>
    <row r="223">
      <c r="A223" s="273">
        <f>IF(A222="","",IF(A222+1&gt;MAX('Таблиця 1'!$B:$B),"",A222+1))</f>
        <v/>
      </c>
      <c r="B223">
        <f>IF($A223="","",COUNTIFS('Таблиця 1'!$B:$B,$A223,'Таблиця 1'!$I:$I,"Mi-8")+COUNTIFS('Таблиця 1'!$B:$B,$A223,'Таблиця 1'!$I:$I,"Mi-24"))</f>
        <v/>
      </c>
      <c r="C223">
        <f>IF($A223="","",COUNTIFS('Таблиця 1'!$B:$B,$A223,'Таблиця 1'!$I:$I,"Mi-8"))</f>
        <v/>
      </c>
      <c r="D223">
        <f>IF($A223="","",COUNTIFS('Таблиця 1'!$B:$B,$A223,'Таблиця 1'!$I:$I,"Mi-24"))</f>
        <v/>
      </c>
      <c r="E223">
        <f>IF($A223="","",SUMIFS('Таблиця 1'!$K:$K,'Таблиця 1'!$B:$B,$A223,'Таблиця 1'!$I:$I,"Mi-8",'Таблиця 1'!$J:$J,"ARS-8")+SUMIFS('Таблиця 1'!$K:$K,'Таблиця 1'!$B:$B,$A223,'Таблиця 1'!$I:$I,"Mi-24",'Таблиця 1'!$J:$J,"ARS-8"))</f>
        <v/>
      </c>
      <c r="F223">
        <f>IF($A223="","",SUMIFS('Таблиця 1'!$K:$K,'Таблиця 1'!$B:$B,$A223,'Таблиця 1'!$I:$I,"Mi-8",'Таблиця 1'!$J:$J,"С-8 ком")+SUMIFS('Таблиця 1'!$K:$K,'Таблиця 1'!$B:$B,$A223,'Таблиця 1'!$I:$I,"Mi-24",'Таблиця 1'!$J:$J,"С-8 ком"))</f>
        <v/>
      </c>
      <c r="G223">
        <f>IF($A223="","",SUMIFS('Таблиця 1'!$K:$K,'Таблиця 1'!$B:$B,$A223,'Таблиця 1'!$I:$I,"Mi-8",'Таблиця 1'!$J:$J,"PC-80")+SUMIFS('Таблиця 1'!$K:$K,'Таблиця 1'!$B:$B,$A223,'Таблиця 1'!$I:$I,"Mi-24",'Таблиця 1'!$J:$J,"PC-80"))</f>
        <v/>
      </c>
      <c r="H223">
        <f>IF($A223="","",SUMIFS('Таблиця 1'!$K:$K,'Таблиця 1'!$B:$B,$A223,'Таблиця 1'!$I:$I,"Mi-8",'Таблиця 1'!$J:$J,"UAR-80")+SUMIFS('Таблиця 1'!$K:$K,'Таблиця 1'!$B:$B,$A223,'Таблиця 1'!$I:$I,"Mi-24",'Таблиця 1'!$J:$J,"UAR-80"))</f>
        <v/>
      </c>
      <c r="I223">
        <f>IF($A223="","",SUMIFS('Таблиця 1'!$K:$K,'Таблиця 1'!$B:$B,$A223,'Таблиця 1'!$I:$I,"Mi-8",'Таблиця 1'!$J:$J,"C-13")+SUMIFS('Таблиця 1'!$K:$K,'Таблиця 1'!$B:$B,$A223,'Таблиця 1'!$I:$I,"Mi-24",'Таблиця 1'!$J:$J,"C-13"))</f>
        <v/>
      </c>
      <c r="J223">
        <f>IF($A223="","",SUMIFS('Таблиця 1'!$K:$K,'Таблиця 1'!$B:$B,$A223,'Таблиця 1'!$I:$I,"Mi-8",'Таблиця 1'!$J:$J,"Hydra-70")+SUMIFS('Таблиця 1'!$K:$K,'Таблиця 1'!$B:$B,$A223,'Таблиця 1'!$I:$I,"Mi-24",'Таблиця 1'!$J:$J,"Hydra-70"))</f>
        <v/>
      </c>
      <c r="K223">
        <f>IF($A223="","",SUMIFS('Таблиця 1'!$K:$K,'Таблиця 1'!$B:$B,$A223,'Таблиця 1'!$I:$I,"Mi-8",'Таблиця 1'!$J:$J,"Thales-70")+SUMIFS('Таблиця 1'!$K:$K,'Таблиця 1'!$B:$B,$A223,'Таблиця 1'!$I:$I,"Mi-24",'Таблиця 1'!$J:$J,"Thales-70"))</f>
        <v/>
      </c>
      <c r="L223">
        <f>IF($A223="","",SUMIFS('Таблиця 1'!$K:$K,'Таблиця 1'!$B:$B,$A223,'Таблиця 1'!$I:$I,"Mi-8",'Таблиця 1'!$J:$J,"Thales-FZ")+SUMIFS('Таблиця 1'!$K:$K,'Таблиця 1'!$B:$B,$A223,'Таблиця 1'!$I:$I,"Mi-24",'Таблиця 1'!$J:$J,"Thales-FZ"))</f>
        <v/>
      </c>
      <c r="M223">
        <f>IF($A223="","",SUMIFS('Таблиця 1'!$K:$K,'Таблиця 1'!$B:$B,$A223,'Таблиця 1'!$I:$I,"Mi-8",'Таблиця 1'!$J:$J,"МК-40")+SUMIFS('Таблиця 1'!$K:$K,'Таблиця 1'!$B:$B,$A223,'Таблиця 1'!$I:$I,"Mi-24",'Таблиця 1'!$J:$J,"МК-40"))</f>
        <v/>
      </c>
      <c r="N223">
        <f>IF($A223="","",SUMIFS('Таблиця 1'!$K:$K,'Таблиця 1'!$B:$B,$A223,'Таблиця 1'!$I:$I,"Mi-8",'Таблиця 1'!$J:$J,"Zuni")+SUMIFS('Таблиця 1'!$K:$K,'Таблиця 1'!$B:$B,$A223,'Таблиця 1'!$I:$I,"Mi-24",'Таблиця 1'!$J:$J,"Zuni"))</f>
        <v/>
      </c>
      <c r="O223">
        <f>IF($A223="","",COUNTIFS('Таблиця 1'!$B:$B,$A223,'Таблиця 1'!$I:$I,"Mi-8",'Таблиця 1'!$L:$L,"Уражено")+COUNTIFS('Таблиця 1'!$B:$B,$A223,'Таблиця 1'!$I:$I,"Mi-24",'Таблиця 1'!$L:$L,"Уражено"))</f>
        <v/>
      </c>
      <c r="P223">
        <f>IF($A223="","",COUNTIFS('Таблиця 1'!$B:$B,$A223,'Таблиця 1'!$I:$I,"Mi-8",'Таблиця 1'!$L:$L,"НЕ уражено")+COUNTIFS('Таблиця 1'!$B:$B,$A223,'Таблиця 1'!$I:$I,"Mi-24",'Таблиця 1'!$L:$L,"НЕ уражено"))</f>
        <v/>
      </c>
    </row>
    <row r="224">
      <c r="A224" s="273">
        <f>IF(A223="","",IF(A223+1&gt;MAX('Таблиця 1'!$B:$B),"",A223+1))</f>
        <v/>
      </c>
      <c r="B224">
        <f>IF($A224="","",COUNTIFS('Таблиця 1'!$B:$B,$A224,'Таблиця 1'!$I:$I,"Mi-8")+COUNTIFS('Таблиця 1'!$B:$B,$A224,'Таблиця 1'!$I:$I,"Mi-24"))</f>
        <v/>
      </c>
      <c r="C224">
        <f>IF($A224="","",COUNTIFS('Таблиця 1'!$B:$B,$A224,'Таблиця 1'!$I:$I,"Mi-8"))</f>
        <v/>
      </c>
      <c r="D224">
        <f>IF($A224="","",COUNTIFS('Таблиця 1'!$B:$B,$A224,'Таблиця 1'!$I:$I,"Mi-24"))</f>
        <v/>
      </c>
      <c r="E224">
        <f>IF($A224="","",SUMIFS('Таблиця 1'!$K:$K,'Таблиця 1'!$B:$B,$A224,'Таблиця 1'!$I:$I,"Mi-8",'Таблиця 1'!$J:$J,"ARS-8")+SUMIFS('Таблиця 1'!$K:$K,'Таблиця 1'!$B:$B,$A224,'Таблиця 1'!$I:$I,"Mi-24",'Таблиця 1'!$J:$J,"ARS-8"))</f>
        <v/>
      </c>
      <c r="F224">
        <f>IF($A224="","",SUMIFS('Таблиця 1'!$K:$K,'Таблиця 1'!$B:$B,$A224,'Таблиця 1'!$I:$I,"Mi-8",'Таблиця 1'!$J:$J,"С-8 ком")+SUMIFS('Таблиця 1'!$K:$K,'Таблиця 1'!$B:$B,$A224,'Таблиця 1'!$I:$I,"Mi-24",'Таблиця 1'!$J:$J,"С-8 ком"))</f>
        <v/>
      </c>
      <c r="G224">
        <f>IF($A224="","",SUMIFS('Таблиця 1'!$K:$K,'Таблиця 1'!$B:$B,$A224,'Таблиця 1'!$I:$I,"Mi-8",'Таблиця 1'!$J:$J,"PC-80")+SUMIFS('Таблиця 1'!$K:$K,'Таблиця 1'!$B:$B,$A224,'Таблиця 1'!$I:$I,"Mi-24",'Таблиця 1'!$J:$J,"PC-80"))</f>
        <v/>
      </c>
      <c r="H224">
        <f>IF($A224="","",SUMIFS('Таблиця 1'!$K:$K,'Таблиця 1'!$B:$B,$A224,'Таблиця 1'!$I:$I,"Mi-8",'Таблиця 1'!$J:$J,"UAR-80")+SUMIFS('Таблиця 1'!$K:$K,'Таблиця 1'!$B:$B,$A224,'Таблиця 1'!$I:$I,"Mi-24",'Таблиця 1'!$J:$J,"UAR-80"))</f>
        <v/>
      </c>
      <c r="I224">
        <f>IF($A224="","",SUMIFS('Таблиця 1'!$K:$K,'Таблиця 1'!$B:$B,$A224,'Таблиця 1'!$I:$I,"Mi-8",'Таблиця 1'!$J:$J,"C-13")+SUMIFS('Таблиця 1'!$K:$K,'Таблиця 1'!$B:$B,$A224,'Таблиця 1'!$I:$I,"Mi-24",'Таблиця 1'!$J:$J,"C-13"))</f>
        <v/>
      </c>
      <c r="J224">
        <f>IF($A224="","",SUMIFS('Таблиця 1'!$K:$K,'Таблиця 1'!$B:$B,$A224,'Таблиця 1'!$I:$I,"Mi-8",'Таблиця 1'!$J:$J,"Hydra-70")+SUMIFS('Таблиця 1'!$K:$K,'Таблиця 1'!$B:$B,$A224,'Таблиця 1'!$I:$I,"Mi-24",'Таблиця 1'!$J:$J,"Hydra-70"))</f>
        <v/>
      </c>
      <c r="K224">
        <f>IF($A224="","",SUMIFS('Таблиця 1'!$K:$K,'Таблиця 1'!$B:$B,$A224,'Таблиця 1'!$I:$I,"Mi-8",'Таблиця 1'!$J:$J,"Thales-70")+SUMIFS('Таблиця 1'!$K:$K,'Таблиця 1'!$B:$B,$A224,'Таблиця 1'!$I:$I,"Mi-24",'Таблиця 1'!$J:$J,"Thales-70"))</f>
        <v/>
      </c>
      <c r="L224">
        <f>IF($A224="","",SUMIFS('Таблиця 1'!$K:$K,'Таблиця 1'!$B:$B,$A224,'Таблиця 1'!$I:$I,"Mi-8",'Таблиця 1'!$J:$J,"Thales-FZ")+SUMIFS('Таблиця 1'!$K:$K,'Таблиця 1'!$B:$B,$A224,'Таблиця 1'!$I:$I,"Mi-24",'Таблиця 1'!$J:$J,"Thales-FZ"))</f>
        <v/>
      </c>
      <c r="M224">
        <f>IF($A224="","",SUMIFS('Таблиця 1'!$K:$K,'Таблиця 1'!$B:$B,$A224,'Таблиця 1'!$I:$I,"Mi-8",'Таблиця 1'!$J:$J,"МК-40")+SUMIFS('Таблиця 1'!$K:$K,'Таблиця 1'!$B:$B,$A224,'Таблиця 1'!$I:$I,"Mi-24",'Таблиця 1'!$J:$J,"МК-40"))</f>
        <v/>
      </c>
      <c r="N224">
        <f>IF($A224="","",SUMIFS('Таблиця 1'!$K:$K,'Таблиця 1'!$B:$B,$A224,'Таблиця 1'!$I:$I,"Mi-8",'Таблиця 1'!$J:$J,"Zuni")+SUMIFS('Таблиця 1'!$K:$K,'Таблиця 1'!$B:$B,$A224,'Таблиця 1'!$I:$I,"Mi-24",'Таблиця 1'!$J:$J,"Zuni"))</f>
        <v/>
      </c>
      <c r="O224">
        <f>IF($A224="","",COUNTIFS('Таблиця 1'!$B:$B,$A224,'Таблиця 1'!$I:$I,"Mi-8",'Таблиця 1'!$L:$L,"Уражено")+COUNTIFS('Таблиця 1'!$B:$B,$A224,'Таблиця 1'!$I:$I,"Mi-24",'Таблиця 1'!$L:$L,"Уражено"))</f>
        <v/>
      </c>
      <c r="P224">
        <f>IF($A224="","",COUNTIFS('Таблиця 1'!$B:$B,$A224,'Таблиця 1'!$I:$I,"Mi-8",'Таблиця 1'!$L:$L,"НЕ уражено")+COUNTIFS('Таблиця 1'!$B:$B,$A224,'Таблиця 1'!$I:$I,"Mi-24",'Таблиця 1'!$L:$L,"НЕ уражено"))</f>
        <v/>
      </c>
    </row>
    <row r="225">
      <c r="A225" s="273">
        <f>IF(A224="","",IF(A224+1&gt;MAX('Таблиця 1'!$B:$B),"",A224+1))</f>
        <v/>
      </c>
      <c r="B225">
        <f>IF($A225="","",COUNTIFS('Таблиця 1'!$B:$B,$A225,'Таблиця 1'!$I:$I,"Mi-8")+COUNTIFS('Таблиця 1'!$B:$B,$A225,'Таблиця 1'!$I:$I,"Mi-24"))</f>
        <v/>
      </c>
      <c r="C225">
        <f>IF($A225="","",COUNTIFS('Таблиця 1'!$B:$B,$A225,'Таблиця 1'!$I:$I,"Mi-8"))</f>
        <v/>
      </c>
      <c r="D225">
        <f>IF($A225="","",COUNTIFS('Таблиця 1'!$B:$B,$A225,'Таблиця 1'!$I:$I,"Mi-24"))</f>
        <v/>
      </c>
      <c r="E225">
        <f>IF($A225="","",SUMIFS('Таблиця 1'!$K:$K,'Таблиця 1'!$B:$B,$A225,'Таблиця 1'!$I:$I,"Mi-8",'Таблиця 1'!$J:$J,"ARS-8")+SUMIFS('Таблиця 1'!$K:$K,'Таблиця 1'!$B:$B,$A225,'Таблиця 1'!$I:$I,"Mi-24",'Таблиця 1'!$J:$J,"ARS-8"))</f>
        <v/>
      </c>
      <c r="F225">
        <f>IF($A225="","",SUMIFS('Таблиця 1'!$K:$K,'Таблиця 1'!$B:$B,$A225,'Таблиця 1'!$I:$I,"Mi-8",'Таблиця 1'!$J:$J,"С-8 ком")+SUMIFS('Таблиця 1'!$K:$K,'Таблиця 1'!$B:$B,$A225,'Таблиця 1'!$I:$I,"Mi-24",'Таблиця 1'!$J:$J,"С-8 ком"))</f>
        <v/>
      </c>
      <c r="G225">
        <f>IF($A225="","",SUMIFS('Таблиця 1'!$K:$K,'Таблиця 1'!$B:$B,$A225,'Таблиця 1'!$I:$I,"Mi-8",'Таблиця 1'!$J:$J,"PC-80")+SUMIFS('Таблиця 1'!$K:$K,'Таблиця 1'!$B:$B,$A225,'Таблиця 1'!$I:$I,"Mi-24",'Таблиця 1'!$J:$J,"PC-80"))</f>
        <v/>
      </c>
      <c r="H225">
        <f>IF($A225="","",SUMIFS('Таблиця 1'!$K:$K,'Таблиця 1'!$B:$B,$A225,'Таблиця 1'!$I:$I,"Mi-8",'Таблиця 1'!$J:$J,"UAR-80")+SUMIFS('Таблиця 1'!$K:$K,'Таблиця 1'!$B:$B,$A225,'Таблиця 1'!$I:$I,"Mi-24",'Таблиця 1'!$J:$J,"UAR-80"))</f>
        <v/>
      </c>
      <c r="I225">
        <f>IF($A225="","",SUMIFS('Таблиця 1'!$K:$K,'Таблиця 1'!$B:$B,$A225,'Таблиця 1'!$I:$I,"Mi-8",'Таблиця 1'!$J:$J,"C-13")+SUMIFS('Таблиця 1'!$K:$K,'Таблиця 1'!$B:$B,$A225,'Таблиця 1'!$I:$I,"Mi-24",'Таблиця 1'!$J:$J,"C-13"))</f>
        <v/>
      </c>
      <c r="J225">
        <f>IF($A225="","",SUMIFS('Таблиця 1'!$K:$K,'Таблиця 1'!$B:$B,$A225,'Таблиця 1'!$I:$I,"Mi-8",'Таблиця 1'!$J:$J,"Hydra-70")+SUMIFS('Таблиця 1'!$K:$K,'Таблиця 1'!$B:$B,$A225,'Таблиця 1'!$I:$I,"Mi-24",'Таблиця 1'!$J:$J,"Hydra-70"))</f>
        <v/>
      </c>
      <c r="K225">
        <f>IF($A225="","",SUMIFS('Таблиця 1'!$K:$K,'Таблиця 1'!$B:$B,$A225,'Таблиця 1'!$I:$I,"Mi-8",'Таблиця 1'!$J:$J,"Thales-70")+SUMIFS('Таблиця 1'!$K:$K,'Таблиця 1'!$B:$B,$A225,'Таблиця 1'!$I:$I,"Mi-24",'Таблиця 1'!$J:$J,"Thales-70"))</f>
        <v/>
      </c>
      <c r="L225">
        <f>IF($A225="","",SUMIFS('Таблиця 1'!$K:$K,'Таблиця 1'!$B:$B,$A225,'Таблиця 1'!$I:$I,"Mi-8",'Таблиця 1'!$J:$J,"Thales-FZ")+SUMIFS('Таблиця 1'!$K:$K,'Таблиця 1'!$B:$B,$A225,'Таблиця 1'!$I:$I,"Mi-24",'Таблиця 1'!$J:$J,"Thales-FZ"))</f>
        <v/>
      </c>
      <c r="M225">
        <f>IF($A225="","",SUMIFS('Таблиця 1'!$K:$K,'Таблиця 1'!$B:$B,$A225,'Таблиця 1'!$I:$I,"Mi-8",'Таблиця 1'!$J:$J,"МК-40")+SUMIFS('Таблиця 1'!$K:$K,'Таблиця 1'!$B:$B,$A225,'Таблиця 1'!$I:$I,"Mi-24",'Таблиця 1'!$J:$J,"МК-40"))</f>
        <v/>
      </c>
      <c r="N225">
        <f>IF($A225="","",SUMIFS('Таблиця 1'!$K:$K,'Таблиця 1'!$B:$B,$A225,'Таблиця 1'!$I:$I,"Mi-8",'Таблиця 1'!$J:$J,"Zuni")+SUMIFS('Таблиця 1'!$K:$K,'Таблиця 1'!$B:$B,$A225,'Таблиця 1'!$I:$I,"Mi-24",'Таблиця 1'!$J:$J,"Zuni"))</f>
        <v/>
      </c>
      <c r="O225">
        <f>IF($A225="","",COUNTIFS('Таблиця 1'!$B:$B,$A225,'Таблиця 1'!$I:$I,"Mi-8",'Таблиця 1'!$L:$L,"Уражено")+COUNTIFS('Таблиця 1'!$B:$B,$A225,'Таблиця 1'!$I:$I,"Mi-24",'Таблиця 1'!$L:$L,"Уражено"))</f>
        <v/>
      </c>
      <c r="P225">
        <f>IF($A225="","",COUNTIFS('Таблиця 1'!$B:$B,$A225,'Таблиця 1'!$I:$I,"Mi-8",'Таблиця 1'!$L:$L,"НЕ уражено")+COUNTIFS('Таблиця 1'!$B:$B,$A225,'Таблиця 1'!$I:$I,"Mi-24",'Таблиця 1'!$L:$L,"НЕ уражено"))</f>
        <v/>
      </c>
    </row>
    <row r="226">
      <c r="A226" s="273">
        <f>IF(A225="","",IF(A225+1&gt;MAX('Таблиця 1'!$B:$B),"",A225+1))</f>
        <v/>
      </c>
      <c r="B226">
        <f>IF($A226="","",COUNTIFS('Таблиця 1'!$B:$B,$A226,'Таблиця 1'!$I:$I,"Mi-8")+COUNTIFS('Таблиця 1'!$B:$B,$A226,'Таблиця 1'!$I:$I,"Mi-24"))</f>
        <v/>
      </c>
      <c r="C226">
        <f>IF($A226="","",COUNTIFS('Таблиця 1'!$B:$B,$A226,'Таблиця 1'!$I:$I,"Mi-8"))</f>
        <v/>
      </c>
      <c r="D226">
        <f>IF($A226="","",COUNTIFS('Таблиця 1'!$B:$B,$A226,'Таблиця 1'!$I:$I,"Mi-24"))</f>
        <v/>
      </c>
      <c r="E226">
        <f>IF($A226="","",SUMIFS('Таблиця 1'!$K:$K,'Таблиця 1'!$B:$B,$A226,'Таблиця 1'!$I:$I,"Mi-8",'Таблиця 1'!$J:$J,"ARS-8")+SUMIFS('Таблиця 1'!$K:$K,'Таблиця 1'!$B:$B,$A226,'Таблиця 1'!$I:$I,"Mi-24",'Таблиця 1'!$J:$J,"ARS-8"))</f>
        <v/>
      </c>
      <c r="F226">
        <f>IF($A226="","",SUMIFS('Таблиця 1'!$K:$K,'Таблиця 1'!$B:$B,$A226,'Таблиця 1'!$I:$I,"Mi-8",'Таблиця 1'!$J:$J,"С-8 ком")+SUMIFS('Таблиця 1'!$K:$K,'Таблиця 1'!$B:$B,$A226,'Таблиця 1'!$I:$I,"Mi-24",'Таблиця 1'!$J:$J,"С-8 ком"))</f>
        <v/>
      </c>
      <c r="G226">
        <f>IF($A226="","",SUMIFS('Таблиця 1'!$K:$K,'Таблиця 1'!$B:$B,$A226,'Таблиця 1'!$I:$I,"Mi-8",'Таблиця 1'!$J:$J,"PC-80")+SUMIFS('Таблиця 1'!$K:$K,'Таблиця 1'!$B:$B,$A226,'Таблиця 1'!$I:$I,"Mi-24",'Таблиця 1'!$J:$J,"PC-80"))</f>
        <v/>
      </c>
      <c r="H226">
        <f>IF($A226="","",SUMIFS('Таблиця 1'!$K:$K,'Таблиця 1'!$B:$B,$A226,'Таблиця 1'!$I:$I,"Mi-8",'Таблиця 1'!$J:$J,"UAR-80")+SUMIFS('Таблиця 1'!$K:$K,'Таблиця 1'!$B:$B,$A226,'Таблиця 1'!$I:$I,"Mi-24",'Таблиця 1'!$J:$J,"UAR-80"))</f>
        <v/>
      </c>
      <c r="I226">
        <f>IF($A226="","",SUMIFS('Таблиця 1'!$K:$K,'Таблиця 1'!$B:$B,$A226,'Таблиця 1'!$I:$I,"Mi-8",'Таблиця 1'!$J:$J,"C-13")+SUMIFS('Таблиця 1'!$K:$K,'Таблиця 1'!$B:$B,$A226,'Таблиця 1'!$I:$I,"Mi-24",'Таблиця 1'!$J:$J,"C-13"))</f>
        <v/>
      </c>
      <c r="J226">
        <f>IF($A226="","",SUMIFS('Таблиця 1'!$K:$K,'Таблиця 1'!$B:$B,$A226,'Таблиця 1'!$I:$I,"Mi-8",'Таблиця 1'!$J:$J,"Hydra-70")+SUMIFS('Таблиця 1'!$K:$K,'Таблиця 1'!$B:$B,$A226,'Таблиця 1'!$I:$I,"Mi-24",'Таблиця 1'!$J:$J,"Hydra-70"))</f>
        <v/>
      </c>
      <c r="K226">
        <f>IF($A226="","",SUMIFS('Таблиця 1'!$K:$K,'Таблиця 1'!$B:$B,$A226,'Таблиця 1'!$I:$I,"Mi-8",'Таблиця 1'!$J:$J,"Thales-70")+SUMIFS('Таблиця 1'!$K:$K,'Таблиця 1'!$B:$B,$A226,'Таблиця 1'!$I:$I,"Mi-24",'Таблиця 1'!$J:$J,"Thales-70"))</f>
        <v/>
      </c>
      <c r="L226">
        <f>IF($A226="","",SUMIFS('Таблиця 1'!$K:$K,'Таблиця 1'!$B:$B,$A226,'Таблиця 1'!$I:$I,"Mi-8",'Таблиця 1'!$J:$J,"Thales-FZ")+SUMIFS('Таблиця 1'!$K:$K,'Таблиця 1'!$B:$B,$A226,'Таблиця 1'!$I:$I,"Mi-24",'Таблиця 1'!$J:$J,"Thales-FZ"))</f>
        <v/>
      </c>
      <c r="M226">
        <f>IF($A226="","",SUMIFS('Таблиця 1'!$K:$K,'Таблиця 1'!$B:$B,$A226,'Таблиця 1'!$I:$I,"Mi-8",'Таблиця 1'!$J:$J,"МК-40")+SUMIFS('Таблиця 1'!$K:$K,'Таблиця 1'!$B:$B,$A226,'Таблиця 1'!$I:$I,"Mi-24",'Таблиця 1'!$J:$J,"МК-40"))</f>
        <v/>
      </c>
      <c r="N226">
        <f>IF($A226="","",SUMIFS('Таблиця 1'!$K:$K,'Таблиця 1'!$B:$B,$A226,'Таблиця 1'!$I:$I,"Mi-8",'Таблиця 1'!$J:$J,"Zuni")+SUMIFS('Таблиця 1'!$K:$K,'Таблиця 1'!$B:$B,$A226,'Таблиця 1'!$I:$I,"Mi-24",'Таблиця 1'!$J:$J,"Zuni"))</f>
        <v/>
      </c>
      <c r="O226">
        <f>IF($A226="","",COUNTIFS('Таблиця 1'!$B:$B,$A226,'Таблиця 1'!$I:$I,"Mi-8",'Таблиця 1'!$L:$L,"Уражено")+COUNTIFS('Таблиця 1'!$B:$B,$A226,'Таблиця 1'!$I:$I,"Mi-24",'Таблиця 1'!$L:$L,"Уражено"))</f>
        <v/>
      </c>
      <c r="P226">
        <f>IF($A226="","",COUNTIFS('Таблиця 1'!$B:$B,$A226,'Таблиця 1'!$I:$I,"Mi-8",'Таблиця 1'!$L:$L,"НЕ уражено")+COUNTIFS('Таблиця 1'!$B:$B,$A226,'Таблиця 1'!$I:$I,"Mi-24",'Таблиця 1'!$L:$L,"НЕ уражено"))</f>
        <v/>
      </c>
    </row>
    <row r="227">
      <c r="A227" s="273">
        <f>IF(A226="","",IF(A226+1&gt;MAX('Таблиця 1'!$B:$B),"",A226+1))</f>
        <v/>
      </c>
      <c r="B227">
        <f>IF($A227="","",COUNTIFS('Таблиця 1'!$B:$B,$A227,'Таблиця 1'!$I:$I,"Mi-8")+COUNTIFS('Таблиця 1'!$B:$B,$A227,'Таблиця 1'!$I:$I,"Mi-24"))</f>
        <v/>
      </c>
      <c r="C227">
        <f>IF($A227="","",COUNTIFS('Таблиця 1'!$B:$B,$A227,'Таблиця 1'!$I:$I,"Mi-8"))</f>
        <v/>
      </c>
      <c r="D227">
        <f>IF($A227="","",COUNTIFS('Таблиця 1'!$B:$B,$A227,'Таблиця 1'!$I:$I,"Mi-24"))</f>
        <v/>
      </c>
      <c r="E227">
        <f>IF($A227="","",SUMIFS('Таблиця 1'!$K:$K,'Таблиця 1'!$B:$B,$A227,'Таблиця 1'!$I:$I,"Mi-8",'Таблиця 1'!$J:$J,"ARS-8")+SUMIFS('Таблиця 1'!$K:$K,'Таблиця 1'!$B:$B,$A227,'Таблиця 1'!$I:$I,"Mi-24",'Таблиця 1'!$J:$J,"ARS-8"))</f>
        <v/>
      </c>
      <c r="F227">
        <f>IF($A227="","",SUMIFS('Таблиця 1'!$K:$K,'Таблиця 1'!$B:$B,$A227,'Таблиця 1'!$I:$I,"Mi-8",'Таблиця 1'!$J:$J,"С-8 ком")+SUMIFS('Таблиця 1'!$K:$K,'Таблиця 1'!$B:$B,$A227,'Таблиця 1'!$I:$I,"Mi-24",'Таблиця 1'!$J:$J,"С-8 ком"))</f>
        <v/>
      </c>
      <c r="G227">
        <f>IF($A227="","",SUMIFS('Таблиця 1'!$K:$K,'Таблиця 1'!$B:$B,$A227,'Таблиця 1'!$I:$I,"Mi-8",'Таблиця 1'!$J:$J,"PC-80")+SUMIFS('Таблиця 1'!$K:$K,'Таблиця 1'!$B:$B,$A227,'Таблиця 1'!$I:$I,"Mi-24",'Таблиця 1'!$J:$J,"PC-80"))</f>
        <v/>
      </c>
      <c r="H227">
        <f>IF($A227="","",SUMIFS('Таблиця 1'!$K:$K,'Таблиця 1'!$B:$B,$A227,'Таблиця 1'!$I:$I,"Mi-8",'Таблиця 1'!$J:$J,"UAR-80")+SUMIFS('Таблиця 1'!$K:$K,'Таблиця 1'!$B:$B,$A227,'Таблиця 1'!$I:$I,"Mi-24",'Таблиця 1'!$J:$J,"UAR-80"))</f>
        <v/>
      </c>
      <c r="I227">
        <f>IF($A227="","",SUMIFS('Таблиця 1'!$K:$K,'Таблиця 1'!$B:$B,$A227,'Таблиця 1'!$I:$I,"Mi-8",'Таблиця 1'!$J:$J,"C-13")+SUMIFS('Таблиця 1'!$K:$K,'Таблиця 1'!$B:$B,$A227,'Таблиця 1'!$I:$I,"Mi-24",'Таблиця 1'!$J:$J,"C-13"))</f>
        <v/>
      </c>
      <c r="J227">
        <f>IF($A227="","",SUMIFS('Таблиця 1'!$K:$K,'Таблиця 1'!$B:$B,$A227,'Таблиця 1'!$I:$I,"Mi-8",'Таблиця 1'!$J:$J,"Hydra-70")+SUMIFS('Таблиця 1'!$K:$K,'Таблиця 1'!$B:$B,$A227,'Таблиця 1'!$I:$I,"Mi-24",'Таблиця 1'!$J:$J,"Hydra-70"))</f>
        <v/>
      </c>
      <c r="K227">
        <f>IF($A227="","",SUMIFS('Таблиця 1'!$K:$K,'Таблиця 1'!$B:$B,$A227,'Таблиця 1'!$I:$I,"Mi-8",'Таблиця 1'!$J:$J,"Thales-70")+SUMIFS('Таблиця 1'!$K:$K,'Таблиця 1'!$B:$B,$A227,'Таблиця 1'!$I:$I,"Mi-24",'Таблиця 1'!$J:$J,"Thales-70"))</f>
        <v/>
      </c>
      <c r="L227">
        <f>IF($A227="","",SUMIFS('Таблиця 1'!$K:$K,'Таблиця 1'!$B:$B,$A227,'Таблиця 1'!$I:$I,"Mi-8",'Таблиця 1'!$J:$J,"Thales-FZ")+SUMIFS('Таблиця 1'!$K:$K,'Таблиця 1'!$B:$B,$A227,'Таблиця 1'!$I:$I,"Mi-24",'Таблиця 1'!$J:$J,"Thales-FZ"))</f>
        <v/>
      </c>
      <c r="M227">
        <f>IF($A227="","",SUMIFS('Таблиця 1'!$K:$K,'Таблиця 1'!$B:$B,$A227,'Таблиця 1'!$I:$I,"Mi-8",'Таблиця 1'!$J:$J,"МК-40")+SUMIFS('Таблиця 1'!$K:$K,'Таблиця 1'!$B:$B,$A227,'Таблиця 1'!$I:$I,"Mi-24",'Таблиця 1'!$J:$J,"МК-40"))</f>
        <v/>
      </c>
      <c r="N227">
        <f>IF($A227="","",SUMIFS('Таблиця 1'!$K:$K,'Таблиця 1'!$B:$B,$A227,'Таблиця 1'!$I:$I,"Mi-8",'Таблиця 1'!$J:$J,"Zuni")+SUMIFS('Таблиця 1'!$K:$K,'Таблиця 1'!$B:$B,$A227,'Таблиця 1'!$I:$I,"Mi-24",'Таблиця 1'!$J:$J,"Zuni"))</f>
        <v/>
      </c>
      <c r="O227">
        <f>IF($A227="","",COUNTIFS('Таблиця 1'!$B:$B,$A227,'Таблиця 1'!$I:$I,"Mi-8",'Таблиця 1'!$L:$L,"Уражено")+COUNTIFS('Таблиця 1'!$B:$B,$A227,'Таблиця 1'!$I:$I,"Mi-24",'Таблиця 1'!$L:$L,"Уражено"))</f>
        <v/>
      </c>
      <c r="P227">
        <f>IF($A227="","",COUNTIFS('Таблиця 1'!$B:$B,$A227,'Таблиця 1'!$I:$I,"Mi-8",'Таблиця 1'!$L:$L,"НЕ уражено")+COUNTIFS('Таблиця 1'!$B:$B,$A227,'Таблиця 1'!$I:$I,"Mi-24",'Таблиця 1'!$L:$L,"НЕ уражено"))</f>
        <v/>
      </c>
    </row>
    <row r="228">
      <c r="A228" s="273">
        <f>IF(A227="","",IF(A227+1&gt;MAX('Таблиця 1'!$B:$B),"",A227+1))</f>
        <v/>
      </c>
      <c r="B228">
        <f>IF($A228="","",COUNTIFS('Таблиця 1'!$B:$B,$A228,'Таблиця 1'!$I:$I,"Mi-8")+COUNTIFS('Таблиця 1'!$B:$B,$A228,'Таблиця 1'!$I:$I,"Mi-24"))</f>
        <v/>
      </c>
      <c r="C228">
        <f>IF($A228="","",COUNTIFS('Таблиця 1'!$B:$B,$A228,'Таблиця 1'!$I:$I,"Mi-8"))</f>
        <v/>
      </c>
      <c r="D228">
        <f>IF($A228="","",COUNTIFS('Таблиця 1'!$B:$B,$A228,'Таблиця 1'!$I:$I,"Mi-24"))</f>
        <v/>
      </c>
      <c r="E228">
        <f>IF($A228="","",SUMIFS('Таблиця 1'!$K:$K,'Таблиця 1'!$B:$B,$A228,'Таблиця 1'!$I:$I,"Mi-8",'Таблиця 1'!$J:$J,"ARS-8")+SUMIFS('Таблиця 1'!$K:$K,'Таблиця 1'!$B:$B,$A228,'Таблиця 1'!$I:$I,"Mi-24",'Таблиця 1'!$J:$J,"ARS-8"))</f>
        <v/>
      </c>
      <c r="F228">
        <f>IF($A228="","",SUMIFS('Таблиця 1'!$K:$K,'Таблиця 1'!$B:$B,$A228,'Таблиця 1'!$I:$I,"Mi-8",'Таблиця 1'!$J:$J,"С-8 ком")+SUMIFS('Таблиця 1'!$K:$K,'Таблиця 1'!$B:$B,$A228,'Таблиця 1'!$I:$I,"Mi-24",'Таблиця 1'!$J:$J,"С-8 ком"))</f>
        <v/>
      </c>
      <c r="G228">
        <f>IF($A228="","",SUMIFS('Таблиця 1'!$K:$K,'Таблиця 1'!$B:$B,$A228,'Таблиця 1'!$I:$I,"Mi-8",'Таблиця 1'!$J:$J,"PC-80")+SUMIFS('Таблиця 1'!$K:$K,'Таблиця 1'!$B:$B,$A228,'Таблиця 1'!$I:$I,"Mi-24",'Таблиця 1'!$J:$J,"PC-80"))</f>
        <v/>
      </c>
      <c r="H228">
        <f>IF($A228="","",SUMIFS('Таблиця 1'!$K:$K,'Таблиця 1'!$B:$B,$A228,'Таблиця 1'!$I:$I,"Mi-8",'Таблиця 1'!$J:$J,"UAR-80")+SUMIFS('Таблиця 1'!$K:$K,'Таблиця 1'!$B:$B,$A228,'Таблиця 1'!$I:$I,"Mi-24",'Таблиця 1'!$J:$J,"UAR-80"))</f>
        <v/>
      </c>
      <c r="I228">
        <f>IF($A228="","",SUMIFS('Таблиця 1'!$K:$K,'Таблиця 1'!$B:$B,$A228,'Таблиця 1'!$I:$I,"Mi-8",'Таблиця 1'!$J:$J,"C-13")+SUMIFS('Таблиця 1'!$K:$K,'Таблиця 1'!$B:$B,$A228,'Таблиця 1'!$I:$I,"Mi-24",'Таблиця 1'!$J:$J,"C-13"))</f>
        <v/>
      </c>
      <c r="J228">
        <f>IF($A228="","",SUMIFS('Таблиця 1'!$K:$K,'Таблиця 1'!$B:$B,$A228,'Таблиця 1'!$I:$I,"Mi-8",'Таблиця 1'!$J:$J,"Hydra-70")+SUMIFS('Таблиця 1'!$K:$K,'Таблиця 1'!$B:$B,$A228,'Таблиця 1'!$I:$I,"Mi-24",'Таблиця 1'!$J:$J,"Hydra-70"))</f>
        <v/>
      </c>
      <c r="K228">
        <f>IF($A228="","",SUMIFS('Таблиця 1'!$K:$K,'Таблиця 1'!$B:$B,$A228,'Таблиця 1'!$I:$I,"Mi-8",'Таблиця 1'!$J:$J,"Thales-70")+SUMIFS('Таблиця 1'!$K:$K,'Таблиця 1'!$B:$B,$A228,'Таблиця 1'!$I:$I,"Mi-24",'Таблиця 1'!$J:$J,"Thales-70"))</f>
        <v/>
      </c>
      <c r="L228">
        <f>IF($A228="","",SUMIFS('Таблиця 1'!$K:$K,'Таблиця 1'!$B:$B,$A228,'Таблиця 1'!$I:$I,"Mi-8",'Таблиця 1'!$J:$J,"Thales-FZ")+SUMIFS('Таблиця 1'!$K:$K,'Таблиця 1'!$B:$B,$A228,'Таблиця 1'!$I:$I,"Mi-24",'Таблиця 1'!$J:$J,"Thales-FZ"))</f>
        <v/>
      </c>
      <c r="M228">
        <f>IF($A228="","",SUMIFS('Таблиця 1'!$K:$K,'Таблиця 1'!$B:$B,$A228,'Таблиця 1'!$I:$I,"Mi-8",'Таблиця 1'!$J:$J,"МК-40")+SUMIFS('Таблиця 1'!$K:$K,'Таблиця 1'!$B:$B,$A228,'Таблиця 1'!$I:$I,"Mi-24",'Таблиця 1'!$J:$J,"МК-40"))</f>
        <v/>
      </c>
      <c r="N228">
        <f>IF($A228="","",SUMIFS('Таблиця 1'!$K:$K,'Таблиця 1'!$B:$B,$A228,'Таблиця 1'!$I:$I,"Mi-8",'Таблиця 1'!$J:$J,"Zuni")+SUMIFS('Таблиця 1'!$K:$K,'Таблиця 1'!$B:$B,$A228,'Таблиця 1'!$I:$I,"Mi-24",'Таблиця 1'!$J:$J,"Zuni"))</f>
        <v/>
      </c>
      <c r="O228">
        <f>IF($A228="","",COUNTIFS('Таблиця 1'!$B:$B,$A228,'Таблиця 1'!$I:$I,"Mi-8",'Таблиця 1'!$L:$L,"Уражено")+COUNTIFS('Таблиця 1'!$B:$B,$A228,'Таблиця 1'!$I:$I,"Mi-24",'Таблиця 1'!$L:$L,"Уражено"))</f>
        <v/>
      </c>
      <c r="P228">
        <f>IF($A228="","",COUNTIFS('Таблиця 1'!$B:$B,$A228,'Таблиця 1'!$I:$I,"Mi-8",'Таблиця 1'!$L:$L,"НЕ уражено")+COUNTIFS('Таблиця 1'!$B:$B,$A228,'Таблиця 1'!$I:$I,"Mi-24",'Таблиця 1'!$L:$L,"НЕ уражено"))</f>
        <v/>
      </c>
    </row>
    <row r="229">
      <c r="A229" s="273">
        <f>IF(A228="","",IF(A228+1&gt;MAX('Таблиця 1'!$B:$B),"",A228+1))</f>
        <v/>
      </c>
      <c r="B229">
        <f>IF($A229="","",COUNTIFS('Таблиця 1'!$B:$B,$A229,'Таблиця 1'!$I:$I,"Mi-8")+COUNTIFS('Таблиця 1'!$B:$B,$A229,'Таблиця 1'!$I:$I,"Mi-24"))</f>
        <v/>
      </c>
      <c r="C229">
        <f>IF($A229="","",COUNTIFS('Таблиця 1'!$B:$B,$A229,'Таблиця 1'!$I:$I,"Mi-8"))</f>
        <v/>
      </c>
      <c r="D229">
        <f>IF($A229="","",COUNTIFS('Таблиця 1'!$B:$B,$A229,'Таблиця 1'!$I:$I,"Mi-24"))</f>
        <v/>
      </c>
      <c r="E229">
        <f>IF($A229="","",SUMIFS('Таблиця 1'!$K:$K,'Таблиця 1'!$B:$B,$A229,'Таблиця 1'!$I:$I,"Mi-8",'Таблиця 1'!$J:$J,"ARS-8")+SUMIFS('Таблиця 1'!$K:$K,'Таблиця 1'!$B:$B,$A229,'Таблиця 1'!$I:$I,"Mi-24",'Таблиця 1'!$J:$J,"ARS-8"))</f>
        <v/>
      </c>
      <c r="F229">
        <f>IF($A229="","",SUMIFS('Таблиця 1'!$K:$K,'Таблиця 1'!$B:$B,$A229,'Таблиця 1'!$I:$I,"Mi-8",'Таблиця 1'!$J:$J,"С-8 ком")+SUMIFS('Таблиця 1'!$K:$K,'Таблиця 1'!$B:$B,$A229,'Таблиця 1'!$I:$I,"Mi-24",'Таблиця 1'!$J:$J,"С-8 ком"))</f>
        <v/>
      </c>
      <c r="G229">
        <f>IF($A229="","",SUMIFS('Таблиця 1'!$K:$K,'Таблиця 1'!$B:$B,$A229,'Таблиця 1'!$I:$I,"Mi-8",'Таблиця 1'!$J:$J,"PC-80")+SUMIFS('Таблиця 1'!$K:$K,'Таблиця 1'!$B:$B,$A229,'Таблиця 1'!$I:$I,"Mi-24",'Таблиця 1'!$J:$J,"PC-80"))</f>
        <v/>
      </c>
      <c r="H229">
        <f>IF($A229="","",SUMIFS('Таблиця 1'!$K:$K,'Таблиця 1'!$B:$B,$A229,'Таблиця 1'!$I:$I,"Mi-8",'Таблиця 1'!$J:$J,"UAR-80")+SUMIFS('Таблиця 1'!$K:$K,'Таблиця 1'!$B:$B,$A229,'Таблиця 1'!$I:$I,"Mi-24",'Таблиця 1'!$J:$J,"UAR-80"))</f>
        <v/>
      </c>
      <c r="I229">
        <f>IF($A229="","",SUMIFS('Таблиця 1'!$K:$K,'Таблиця 1'!$B:$B,$A229,'Таблиця 1'!$I:$I,"Mi-8",'Таблиця 1'!$J:$J,"C-13")+SUMIFS('Таблиця 1'!$K:$K,'Таблиця 1'!$B:$B,$A229,'Таблиця 1'!$I:$I,"Mi-24",'Таблиця 1'!$J:$J,"C-13"))</f>
        <v/>
      </c>
      <c r="J229">
        <f>IF($A229="","",SUMIFS('Таблиця 1'!$K:$K,'Таблиця 1'!$B:$B,$A229,'Таблиця 1'!$I:$I,"Mi-8",'Таблиця 1'!$J:$J,"Hydra-70")+SUMIFS('Таблиця 1'!$K:$K,'Таблиця 1'!$B:$B,$A229,'Таблиця 1'!$I:$I,"Mi-24",'Таблиця 1'!$J:$J,"Hydra-70"))</f>
        <v/>
      </c>
      <c r="K229">
        <f>IF($A229="","",SUMIFS('Таблиця 1'!$K:$K,'Таблиця 1'!$B:$B,$A229,'Таблиця 1'!$I:$I,"Mi-8",'Таблиця 1'!$J:$J,"Thales-70")+SUMIFS('Таблиця 1'!$K:$K,'Таблиця 1'!$B:$B,$A229,'Таблиця 1'!$I:$I,"Mi-24",'Таблиця 1'!$J:$J,"Thales-70"))</f>
        <v/>
      </c>
      <c r="L229">
        <f>IF($A229="","",SUMIFS('Таблиця 1'!$K:$K,'Таблиця 1'!$B:$B,$A229,'Таблиця 1'!$I:$I,"Mi-8",'Таблиця 1'!$J:$J,"Thales-FZ")+SUMIFS('Таблиця 1'!$K:$K,'Таблиця 1'!$B:$B,$A229,'Таблиця 1'!$I:$I,"Mi-24",'Таблиця 1'!$J:$J,"Thales-FZ"))</f>
        <v/>
      </c>
      <c r="M229">
        <f>IF($A229="","",SUMIFS('Таблиця 1'!$K:$K,'Таблиця 1'!$B:$B,$A229,'Таблиця 1'!$I:$I,"Mi-8",'Таблиця 1'!$J:$J,"МК-40")+SUMIFS('Таблиця 1'!$K:$K,'Таблиця 1'!$B:$B,$A229,'Таблиця 1'!$I:$I,"Mi-24",'Таблиця 1'!$J:$J,"МК-40"))</f>
        <v/>
      </c>
      <c r="N229">
        <f>IF($A229="","",SUMIFS('Таблиця 1'!$K:$K,'Таблиця 1'!$B:$B,$A229,'Таблиця 1'!$I:$I,"Mi-8",'Таблиця 1'!$J:$J,"Zuni")+SUMIFS('Таблиця 1'!$K:$K,'Таблиця 1'!$B:$B,$A229,'Таблиця 1'!$I:$I,"Mi-24",'Таблиця 1'!$J:$J,"Zuni"))</f>
        <v/>
      </c>
      <c r="O229">
        <f>IF($A229="","",COUNTIFS('Таблиця 1'!$B:$B,$A229,'Таблиця 1'!$I:$I,"Mi-8",'Таблиця 1'!$L:$L,"Уражено")+COUNTIFS('Таблиця 1'!$B:$B,$A229,'Таблиця 1'!$I:$I,"Mi-24",'Таблиця 1'!$L:$L,"Уражено"))</f>
        <v/>
      </c>
      <c r="P229">
        <f>IF($A229="","",COUNTIFS('Таблиця 1'!$B:$B,$A229,'Таблиця 1'!$I:$I,"Mi-8",'Таблиця 1'!$L:$L,"НЕ уражено")+COUNTIFS('Таблиця 1'!$B:$B,$A229,'Таблиця 1'!$I:$I,"Mi-24",'Таблиця 1'!$L:$L,"НЕ уражено"))</f>
        <v/>
      </c>
    </row>
    <row r="230">
      <c r="A230" s="273">
        <f>IF(A229="","",IF(A229+1&gt;MAX('Таблиця 1'!$B:$B),"",A229+1))</f>
        <v/>
      </c>
      <c r="B230">
        <f>IF($A230="","",COUNTIFS('Таблиця 1'!$B:$B,$A230,'Таблиця 1'!$I:$I,"Mi-8")+COUNTIFS('Таблиця 1'!$B:$B,$A230,'Таблиця 1'!$I:$I,"Mi-24"))</f>
        <v/>
      </c>
      <c r="C230">
        <f>IF($A230="","",COUNTIFS('Таблиця 1'!$B:$B,$A230,'Таблиця 1'!$I:$I,"Mi-8"))</f>
        <v/>
      </c>
      <c r="D230">
        <f>IF($A230="","",COUNTIFS('Таблиця 1'!$B:$B,$A230,'Таблиця 1'!$I:$I,"Mi-24"))</f>
        <v/>
      </c>
      <c r="E230">
        <f>IF($A230="","",SUMIFS('Таблиця 1'!$K:$K,'Таблиця 1'!$B:$B,$A230,'Таблиця 1'!$I:$I,"Mi-8",'Таблиця 1'!$J:$J,"ARS-8")+SUMIFS('Таблиця 1'!$K:$K,'Таблиця 1'!$B:$B,$A230,'Таблиця 1'!$I:$I,"Mi-24",'Таблиця 1'!$J:$J,"ARS-8"))</f>
        <v/>
      </c>
      <c r="F230">
        <f>IF($A230="","",SUMIFS('Таблиця 1'!$K:$K,'Таблиця 1'!$B:$B,$A230,'Таблиця 1'!$I:$I,"Mi-8",'Таблиця 1'!$J:$J,"С-8 ком")+SUMIFS('Таблиця 1'!$K:$K,'Таблиця 1'!$B:$B,$A230,'Таблиця 1'!$I:$I,"Mi-24",'Таблиця 1'!$J:$J,"С-8 ком"))</f>
        <v/>
      </c>
      <c r="G230">
        <f>IF($A230="","",SUMIFS('Таблиця 1'!$K:$K,'Таблиця 1'!$B:$B,$A230,'Таблиця 1'!$I:$I,"Mi-8",'Таблиця 1'!$J:$J,"PC-80")+SUMIFS('Таблиця 1'!$K:$K,'Таблиця 1'!$B:$B,$A230,'Таблиця 1'!$I:$I,"Mi-24",'Таблиця 1'!$J:$J,"PC-80"))</f>
        <v/>
      </c>
      <c r="H230">
        <f>IF($A230="","",SUMIFS('Таблиця 1'!$K:$K,'Таблиця 1'!$B:$B,$A230,'Таблиця 1'!$I:$I,"Mi-8",'Таблиця 1'!$J:$J,"UAR-80")+SUMIFS('Таблиця 1'!$K:$K,'Таблиця 1'!$B:$B,$A230,'Таблиця 1'!$I:$I,"Mi-24",'Таблиця 1'!$J:$J,"UAR-80"))</f>
        <v/>
      </c>
      <c r="I230">
        <f>IF($A230="","",SUMIFS('Таблиця 1'!$K:$K,'Таблиця 1'!$B:$B,$A230,'Таблиця 1'!$I:$I,"Mi-8",'Таблиця 1'!$J:$J,"C-13")+SUMIFS('Таблиця 1'!$K:$K,'Таблиця 1'!$B:$B,$A230,'Таблиця 1'!$I:$I,"Mi-24",'Таблиця 1'!$J:$J,"C-13"))</f>
        <v/>
      </c>
      <c r="J230">
        <f>IF($A230="","",SUMIFS('Таблиця 1'!$K:$K,'Таблиця 1'!$B:$B,$A230,'Таблиця 1'!$I:$I,"Mi-8",'Таблиця 1'!$J:$J,"Hydra-70")+SUMIFS('Таблиця 1'!$K:$K,'Таблиця 1'!$B:$B,$A230,'Таблиця 1'!$I:$I,"Mi-24",'Таблиця 1'!$J:$J,"Hydra-70"))</f>
        <v/>
      </c>
      <c r="K230">
        <f>IF($A230="","",SUMIFS('Таблиця 1'!$K:$K,'Таблиця 1'!$B:$B,$A230,'Таблиця 1'!$I:$I,"Mi-8",'Таблиця 1'!$J:$J,"Thales-70")+SUMIFS('Таблиця 1'!$K:$K,'Таблиця 1'!$B:$B,$A230,'Таблиця 1'!$I:$I,"Mi-24",'Таблиця 1'!$J:$J,"Thales-70"))</f>
        <v/>
      </c>
      <c r="L230">
        <f>IF($A230="","",SUMIFS('Таблиця 1'!$K:$K,'Таблиця 1'!$B:$B,$A230,'Таблиця 1'!$I:$I,"Mi-8",'Таблиця 1'!$J:$J,"Thales-FZ")+SUMIFS('Таблиця 1'!$K:$K,'Таблиця 1'!$B:$B,$A230,'Таблиця 1'!$I:$I,"Mi-24",'Таблиця 1'!$J:$J,"Thales-FZ"))</f>
        <v/>
      </c>
      <c r="M230">
        <f>IF($A230="","",SUMIFS('Таблиця 1'!$K:$K,'Таблиця 1'!$B:$B,$A230,'Таблиця 1'!$I:$I,"Mi-8",'Таблиця 1'!$J:$J,"МК-40")+SUMIFS('Таблиця 1'!$K:$K,'Таблиця 1'!$B:$B,$A230,'Таблиця 1'!$I:$I,"Mi-24",'Таблиця 1'!$J:$J,"МК-40"))</f>
        <v/>
      </c>
      <c r="N230">
        <f>IF($A230="","",SUMIFS('Таблиця 1'!$K:$K,'Таблиця 1'!$B:$B,$A230,'Таблиця 1'!$I:$I,"Mi-8",'Таблиця 1'!$J:$J,"Zuni")+SUMIFS('Таблиця 1'!$K:$K,'Таблиця 1'!$B:$B,$A230,'Таблиця 1'!$I:$I,"Mi-24",'Таблиця 1'!$J:$J,"Zuni"))</f>
        <v/>
      </c>
      <c r="O230">
        <f>IF($A230="","",COUNTIFS('Таблиця 1'!$B:$B,$A230,'Таблиця 1'!$I:$I,"Mi-8",'Таблиця 1'!$L:$L,"Уражено")+COUNTIFS('Таблиця 1'!$B:$B,$A230,'Таблиця 1'!$I:$I,"Mi-24",'Таблиця 1'!$L:$L,"Уражено"))</f>
        <v/>
      </c>
      <c r="P230">
        <f>IF($A230="","",COUNTIFS('Таблиця 1'!$B:$B,$A230,'Таблиця 1'!$I:$I,"Mi-8",'Таблиця 1'!$L:$L,"НЕ уражено")+COUNTIFS('Таблиця 1'!$B:$B,$A230,'Таблиця 1'!$I:$I,"Mi-24",'Таблиця 1'!$L:$L,"НЕ уражено"))</f>
        <v/>
      </c>
    </row>
    <row r="231">
      <c r="A231" s="273">
        <f>IF(A230="","",IF(A230+1&gt;MAX('Таблиця 1'!$B:$B),"",A230+1))</f>
        <v/>
      </c>
      <c r="B231">
        <f>IF($A231="","",COUNTIFS('Таблиця 1'!$B:$B,$A231,'Таблиця 1'!$I:$I,"Mi-8")+COUNTIFS('Таблиця 1'!$B:$B,$A231,'Таблиця 1'!$I:$I,"Mi-24"))</f>
        <v/>
      </c>
      <c r="C231">
        <f>IF($A231="","",COUNTIFS('Таблиця 1'!$B:$B,$A231,'Таблиця 1'!$I:$I,"Mi-8"))</f>
        <v/>
      </c>
      <c r="D231">
        <f>IF($A231="","",COUNTIFS('Таблиця 1'!$B:$B,$A231,'Таблиця 1'!$I:$I,"Mi-24"))</f>
        <v/>
      </c>
      <c r="E231">
        <f>IF($A231="","",SUMIFS('Таблиця 1'!$K:$K,'Таблиця 1'!$B:$B,$A231,'Таблиця 1'!$I:$I,"Mi-8",'Таблиця 1'!$J:$J,"ARS-8")+SUMIFS('Таблиця 1'!$K:$K,'Таблиця 1'!$B:$B,$A231,'Таблиця 1'!$I:$I,"Mi-24",'Таблиця 1'!$J:$J,"ARS-8"))</f>
        <v/>
      </c>
      <c r="F231">
        <f>IF($A231="","",SUMIFS('Таблиця 1'!$K:$K,'Таблиця 1'!$B:$B,$A231,'Таблиця 1'!$I:$I,"Mi-8",'Таблиця 1'!$J:$J,"С-8 ком")+SUMIFS('Таблиця 1'!$K:$K,'Таблиця 1'!$B:$B,$A231,'Таблиця 1'!$I:$I,"Mi-24",'Таблиця 1'!$J:$J,"С-8 ком"))</f>
        <v/>
      </c>
      <c r="G231">
        <f>IF($A231="","",SUMIFS('Таблиця 1'!$K:$K,'Таблиця 1'!$B:$B,$A231,'Таблиця 1'!$I:$I,"Mi-8",'Таблиця 1'!$J:$J,"PC-80")+SUMIFS('Таблиця 1'!$K:$K,'Таблиця 1'!$B:$B,$A231,'Таблиця 1'!$I:$I,"Mi-24",'Таблиця 1'!$J:$J,"PC-80"))</f>
        <v/>
      </c>
      <c r="H231">
        <f>IF($A231="","",SUMIFS('Таблиця 1'!$K:$K,'Таблиця 1'!$B:$B,$A231,'Таблиця 1'!$I:$I,"Mi-8",'Таблиця 1'!$J:$J,"UAR-80")+SUMIFS('Таблиця 1'!$K:$K,'Таблиця 1'!$B:$B,$A231,'Таблиця 1'!$I:$I,"Mi-24",'Таблиця 1'!$J:$J,"UAR-80"))</f>
        <v/>
      </c>
      <c r="I231">
        <f>IF($A231="","",SUMIFS('Таблиця 1'!$K:$K,'Таблиця 1'!$B:$B,$A231,'Таблиця 1'!$I:$I,"Mi-8",'Таблиця 1'!$J:$J,"C-13")+SUMIFS('Таблиця 1'!$K:$K,'Таблиця 1'!$B:$B,$A231,'Таблиця 1'!$I:$I,"Mi-24",'Таблиця 1'!$J:$J,"C-13"))</f>
        <v/>
      </c>
      <c r="J231">
        <f>IF($A231="","",SUMIFS('Таблиця 1'!$K:$K,'Таблиця 1'!$B:$B,$A231,'Таблиця 1'!$I:$I,"Mi-8",'Таблиця 1'!$J:$J,"Hydra-70")+SUMIFS('Таблиця 1'!$K:$K,'Таблиця 1'!$B:$B,$A231,'Таблиця 1'!$I:$I,"Mi-24",'Таблиця 1'!$J:$J,"Hydra-70"))</f>
        <v/>
      </c>
      <c r="K231">
        <f>IF($A231="","",SUMIFS('Таблиця 1'!$K:$K,'Таблиця 1'!$B:$B,$A231,'Таблиця 1'!$I:$I,"Mi-8",'Таблиця 1'!$J:$J,"Thales-70")+SUMIFS('Таблиця 1'!$K:$K,'Таблиця 1'!$B:$B,$A231,'Таблиця 1'!$I:$I,"Mi-24",'Таблиця 1'!$J:$J,"Thales-70"))</f>
        <v/>
      </c>
      <c r="L231">
        <f>IF($A231="","",SUMIFS('Таблиця 1'!$K:$K,'Таблиця 1'!$B:$B,$A231,'Таблиця 1'!$I:$I,"Mi-8",'Таблиця 1'!$J:$J,"Thales-FZ")+SUMIFS('Таблиця 1'!$K:$K,'Таблиця 1'!$B:$B,$A231,'Таблиця 1'!$I:$I,"Mi-24",'Таблиця 1'!$J:$J,"Thales-FZ"))</f>
        <v/>
      </c>
      <c r="M231">
        <f>IF($A231="","",SUMIFS('Таблиця 1'!$K:$K,'Таблиця 1'!$B:$B,$A231,'Таблиця 1'!$I:$I,"Mi-8",'Таблиця 1'!$J:$J,"МК-40")+SUMIFS('Таблиця 1'!$K:$K,'Таблиця 1'!$B:$B,$A231,'Таблиця 1'!$I:$I,"Mi-24",'Таблиця 1'!$J:$J,"МК-40"))</f>
        <v/>
      </c>
      <c r="N231">
        <f>IF($A231="","",SUMIFS('Таблиця 1'!$K:$K,'Таблиця 1'!$B:$B,$A231,'Таблиця 1'!$I:$I,"Mi-8",'Таблиця 1'!$J:$J,"Zuni")+SUMIFS('Таблиця 1'!$K:$K,'Таблиця 1'!$B:$B,$A231,'Таблиця 1'!$I:$I,"Mi-24",'Таблиця 1'!$J:$J,"Zuni"))</f>
        <v/>
      </c>
      <c r="O231">
        <f>IF($A231="","",COUNTIFS('Таблиця 1'!$B:$B,$A231,'Таблиця 1'!$I:$I,"Mi-8",'Таблиця 1'!$L:$L,"Уражено")+COUNTIFS('Таблиця 1'!$B:$B,$A231,'Таблиця 1'!$I:$I,"Mi-24",'Таблиця 1'!$L:$L,"Уражено"))</f>
        <v/>
      </c>
      <c r="P231">
        <f>IF($A231="","",COUNTIFS('Таблиця 1'!$B:$B,$A231,'Таблиця 1'!$I:$I,"Mi-8",'Таблиця 1'!$L:$L,"НЕ уражено")+COUNTIFS('Таблиця 1'!$B:$B,$A231,'Таблиця 1'!$I:$I,"Mi-24",'Таблиця 1'!$L:$L,"НЕ уражено"))</f>
        <v/>
      </c>
    </row>
    <row r="232">
      <c r="A232" s="273">
        <f>IF(A231="","",IF(A231+1&gt;MAX('Таблиця 1'!$B:$B),"",A231+1))</f>
        <v/>
      </c>
      <c r="B232">
        <f>IF($A232="","",COUNTIFS('Таблиця 1'!$B:$B,$A232,'Таблиця 1'!$I:$I,"Mi-8")+COUNTIFS('Таблиця 1'!$B:$B,$A232,'Таблиця 1'!$I:$I,"Mi-24"))</f>
        <v/>
      </c>
      <c r="C232">
        <f>IF($A232="","",COUNTIFS('Таблиця 1'!$B:$B,$A232,'Таблиця 1'!$I:$I,"Mi-8"))</f>
        <v/>
      </c>
      <c r="D232">
        <f>IF($A232="","",COUNTIFS('Таблиця 1'!$B:$B,$A232,'Таблиця 1'!$I:$I,"Mi-24"))</f>
        <v/>
      </c>
      <c r="E232">
        <f>IF($A232="","",SUMIFS('Таблиця 1'!$K:$K,'Таблиця 1'!$B:$B,$A232,'Таблиця 1'!$I:$I,"Mi-8",'Таблиця 1'!$J:$J,"ARS-8")+SUMIFS('Таблиця 1'!$K:$K,'Таблиця 1'!$B:$B,$A232,'Таблиця 1'!$I:$I,"Mi-24",'Таблиця 1'!$J:$J,"ARS-8"))</f>
        <v/>
      </c>
      <c r="F232">
        <f>IF($A232="","",SUMIFS('Таблиця 1'!$K:$K,'Таблиця 1'!$B:$B,$A232,'Таблиця 1'!$I:$I,"Mi-8",'Таблиця 1'!$J:$J,"С-8 ком")+SUMIFS('Таблиця 1'!$K:$K,'Таблиця 1'!$B:$B,$A232,'Таблиця 1'!$I:$I,"Mi-24",'Таблиця 1'!$J:$J,"С-8 ком"))</f>
        <v/>
      </c>
      <c r="G232">
        <f>IF($A232="","",SUMIFS('Таблиця 1'!$K:$K,'Таблиця 1'!$B:$B,$A232,'Таблиця 1'!$I:$I,"Mi-8",'Таблиця 1'!$J:$J,"PC-80")+SUMIFS('Таблиця 1'!$K:$K,'Таблиця 1'!$B:$B,$A232,'Таблиця 1'!$I:$I,"Mi-24",'Таблиця 1'!$J:$J,"PC-80"))</f>
        <v/>
      </c>
      <c r="H232">
        <f>IF($A232="","",SUMIFS('Таблиця 1'!$K:$K,'Таблиця 1'!$B:$B,$A232,'Таблиця 1'!$I:$I,"Mi-8",'Таблиця 1'!$J:$J,"UAR-80")+SUMIFS('Таблиця 1'!$K:$K,'Таблиця 1'!$B:$B,$A232,'Таблиця 1'!$I:$I,"Mi-24",'Таблиця 1'!$J:$J,"UAR-80"))</f>
        <v/>
      </c>
      <c r="I232">
        <f>IF($A232="","",SUMIFS('Таблиця 1'!$K:$K,'Таблиця 1'!$B:$B,$A232,'Таблиця 1'!$I:$I,"Mi-8",'Таблиця 1'!$J:$J,"C-13")+SUMIFS('Таблиця 1'!$K:$K,'Таблиця 1'!$B:$B,$A232,'Таблиця 1'!$I:$I,"Mi-24",'Таблиця 1'!$J:$J,"C-13"))</f>
        <v/>
      </c>
      <c r="J232">
        <f>IF($A232="","",SUMIFS('Таблиця 1'!$K:$K,'Таблиця 1'!$B:$B,$A232,'Таблиця 1'!$I:$I,"Mi-8",'Таблиця 1'!$J:$J,"Hydra-70")+SUMIFS('Таблиця 1'!$K:$K,'Таблиця 1'!$B:$B,$A232,'Таблиця 1'!$I:$I,"Mi-24",'Таблиця 1'!$J:$J,"Hydra-70"))</f>
        <v/>
      </c>
      <c r="K232">
        <f>IF($A232="","",SUMIFS('Таблиця 1'!$K:$K,'Таблиця 1'!$B:$B,$A232,'Таблиця 1'!$I:$I,"Mi-8",'Таблиця 1'!$J:$J,"Thales-70")+SUMIFS('Таблиця 1'!$K:$K,'Таблиця 1'!$B:$B,$A232,'Таблиця 1'!$I:$I,"Mi-24",'Таблиця 1'!$J:$J,"Thales-70"))</f>
        <v/>
      </c>
      <c r="L232">
        <f>IF($A232="","",SUMIFS('Таблиця 1'!$K:$K,'Таблиця 1'!$B:$B,$A232,'Таблиця 1'!$I:$I,"Mi-8",'Таблиця 1'!$J:$J,"Thales-FZ")+SUMIFS('Таблиця 1'!$K:$K,'Таблиця 1'!$B:$B,$A232,'Таблиця 1'!$I:$I,"Mi-24",'Таблиця 1'!$J:$J,"Thales-FZ"))</f>
        <v/>
      </c>
      <c r="M232">
        <f>IF($A232="","",SUMIFS('Таблиця 1'!$K:$K,'Таблиця 1'!$B:$B,$A232,'Таблиця 1'!$I:$I,"Mi-8",'Таблиця 1'!$J:$J,"МК-40")+SUMIFS('Таблиця 1'!$K:$K,'Таблиця 1'!$B:$B,$A232,'Таблиця 1'!$I:$I,"Mi-24",'Таблиця 1'!$J:$J,"МК-40"))</f>
        <v/>
      </c>
      <c r="N232">
        <f>IF($A232="","",SUMIFS('Таблиця 1'!$K:$K,'Таблиця 1'!$B:$B,$A232,'Таблиця 1'!$I:$I,"Mi-8",'Таблиця 1'!$J:$J,"Zuni")+SUMIFS('Таблиця 1'!$K:$K,'Таблиця 1'!$B:$B,$A232,'Таблиця 1'!$I:$I,"Mi-24",'Таблиця 1'!$J:$J,"Zuni"))</f>
        <v/>
      </c>
      <c r="O232">
        <f>IF($A232="","",COUNTIFS('Таблиця 1'!$B:$B,$A232,'Таблиця 1'!$I:$I,"Mi-8",'Таблиця 1'!$L:$L,"Уражено")+COUNTIFS('Таблиця 1'!$B:$B,$A232,'Таблиця 1'!$I:$I,"Mi-24",'Таблиця 1'!$L:$L,"Уражено"))</f>
        <v/>
      </c>
      <c r="P232">
        <f>IF($A232="","",COUNTIFS('Таблиця 1'!$B:$B,$A232,'Таблиця 1'!$I:$I,"Mi-8",'Таблиця 1'!$L:$L,"НЕ уражено")+COUNTIFS('Таблиця 1'!$B:$B,$A232,'Таблиця 1'!$I:$I,"Mi-24",'Таблиця 1'!$L:$L,"НЕ уражено"))</f>
        <v/>
      </c>
    </row>
    <row r="233">
      <c r="A233" s="273">
        <f>IF(A232="","",IF(A232+1&gt;MAX('Таблиця 1'!$B:$B),"",A232+1))</f>
        <v/>
      </c>
      <c r="B233">
        <f>IF($A233="","",COUNTIFS('Таблиця 1'!$B:$B,$A233,'Таблиця 1'!$I:$I,"Mi-8")+COUNTIFS('Таблиця 1'!$B:$B,$A233,'Таблиця 1'!$I:$I,"Mi-24"))</f>
        <v/>
      </c>
      <c r="C233">
        <f>IF($A233="","",COUNTIFS('Таблиця 1'!$B:$B,$A233,'Таблиця 1'!$I:$I,"Mi-8"))</f>
        <v/>
      </c>
      <c r="D233">
        <f>IF($A233="","",COUNTIFS('Таблиця 1'!$B:$B,$A233,'Таблиця 1'!$I:$I,"Mi-24"))</f>
        <v/>
      </c>
      <c r="E233">
        <f>IF($A233="","",SUMIFS('Таблиця 1'!$K:$K,'Таблиця 1'!$B:$B,$A233,'Таблиця 1'!$I:$I,"Mi-8",'Таблиця 1'!$J:$J,"ARS-8")+SUMIFS('Таблиця 1'!$K:$K,'Таблиця 1'!$B:$B,$A233,'Таблиця 1'!$I:$I,"Mi-24",'Таблиця 1'!$J:$J,"ARS-8"))</f>
        <v/>
      </c>
      <c r="F233">
        <f>IF($A233="","",SUMIFS('Таблиця 1'!$K:$K,'Таблиця 1'!$B:$B,$A233,'Таблиця 1'!$I:$I,"Mi-8",'Таблиця 1'!$J:$J,"С-8 ком")+SUMIFS('Таблиця 1'!$K:$K,'Таблиця 1'!$B:$B,$A233,'Таблиця 1'!$I:$I,"Mi-24",'Таблиця 1'!$J:$J,"С-8 ком"))</f>
        <v/>
      </c>
      <c r="G233">
        <f>IF($A233="","",SUMIFS('Таблиця 1'!$K:$K,'Таблиця 1'!$B:$B,$A233,'Таблиця 1'!$I:$I,"Mi-8",'Таблиця 1'!$J:$J,"PC-80")+SUMIFS('Таблиця 1'!$K:$K,'Таблиця 1'!$B:$B,$A233,'Таблиця 1'!$I:$I,"Mi-24",'Таблиця 1'!$J:$J,"PC-80"))</f>
        <v/>
      </c>
      <c r="H233">
        <f>IF($A233="","",SUMIFS('Таблиця 1'!$K:$K,'Таблиця 1'!$B:$B,$A233,'Таблиця 1'!$I:$I,"Mi-8",'Таблиця 1'!$J:$J,"UAR-80")+SUMIFS('Таблиця 1'!$K:$K,'Таблиця 1'!$B:$B,$A233,'Таблиця 1'!$I:$I,"Mi-24",'Таблиця 1'!$J:$J,"UAR-80"))</f>
        <v/>
      </c>
      <c r="I233">
        <f>IF($A233="","",SUMIFS('Таблиця 1'!$K:$K,'Таблиця 1'!$B:$B,$A233,'Таблиця 1'!$I:$I,"Mi-8",'Таблиця 1'!$J:$J,"C-13")+SUMIFS('Таблиця 1'!$K:$K,'Таблиця 1'!$B:$B,$A233,'Таблиця 1'!$I:$I,"Mi-24",'Таблиця 1'!$J:$J,"C-13"))</f>
        <v/>
      </c>
      <c r="J233">
        <f>IF($A233="","",SUMIFS('Таблиця 1'!$K:$K,'Таблиця 1'!$B:$B,$A233,'Таблиця 1'!$I:$I,"Mi-8",'Таблиця 1'!$J:$J,"Hydra-70")+SUMIFS('Таблиця 1'!$K:$K,'Таблиця 1'!$B:$B,$A233,'Таблиця 1'!$I:$I,"Mi-24",'Таблиця 1'!$J:$J,"Hydra-70"))</f>
        <v/>
      </c>
      <c r="K233">
        <f>IF($A233="","",SUMIFS('Таблиця 1'!$K:$K,'Таблиця 1'!$B:$B,$A233,'Таблиця 1'!$I:$I,"Mi-8",'Таблиця 1'!$J:$J,"Thales-70")+SUMIFS('Таблиця 1'!$K:$K,'Таблиця 1'!$B:$B,$A233,'Таблиця 1'!$I:$I,"Mi-24",'Таблиця 1'!$J:$J,"Thales-70"))</f>
        <v/>
      </c>
      <c r="L233">
        <f>IF($A233="","",SUMIFS('Таблиця 1'!$K:$K,'Таблиця 1'!$B:$B,$A233,'Таблиця 1'!$I:$I,"Mi-8",'Таблиця 1'!$J:$J,"Thales-FZ")+SUMIFS('Таблиця 1'!$K:$K,'Таблиця 1'!$B:$B,$A233,'Таблиця 1'!$I:$I,"Mi-24",'Таблиця 1'!$J:$J,"Thales-FZ"))</f>
        <v/>
      </c>
      <c r="M233">
        <f>IF($A233="","",SUMIFS('Таблиця 1'!$K:$K,'Таблиця 1'!$B:$B,$A233,'Таблиця 1'!$I:$I,"Mi-8",'Таблиця 1'!$J:$J,"МК-40")+SUMIFS('Таблиця 1'!$K:$K,'Таблиця 1'!$B:$B,$A233,'Таблиця 1'!$I:$I,"Mi-24",'Таблиця 1'!$J:$J,"МК-40"))</f>
        <v/>
      </c>
      <c r="N233">
        <f>IF($A233="","",SUMIFS('Таблиця 1'!$K:$K,'Таблиця 1'!$B:$B,$A233,'Таблиця 1'!$I:$I,"Mi-8",'Таблиця 1'!$J:$J,"Zuni")+SUMIFS('Таблиця 1'!$K:$K,'Таблиця 1'!$B:$B,$A233,'Таблиця 1'!$I:$I,"Mi-24",'Таблиця 1'!$J:$J,"Zuni"))</f>
        <v/>
      </c>
      <c r="O233">
        <f>IF($A233="","",COUNTIFS('Таблиця 1'!$B:$B,$A233,'Таблиця 1'!$I:$I,"Mi-8",'Таблиця 1'!$L:$L,"Уражено")+COUNTIFS('Таблиця 1'!$B:$B,$A233,'Таблиця 1'!$I:$I,"Mi-24",'Таблиця 1'!$L:$L,"Уражено"))</f>
        <v/>
      </c>
      <c r="P233">
        <f>IF($A233="","",COUNTIFS('Таблиця 1'!$B:$B,$A233,'Таблиця 1'!$I:$I,"Mi-8",'Таблиця 1'!$L:$L,"НЕ уражено")+COUNTIFS('Таблиця 1'!$B:$B,$A233,'Таблиця 1'!$I:$I,"Mi-24",'Таблиця 1'!$L:$L,"НЕ уражено"))</f>
        <v/>
      </c>
    </row>
    <row r="234">
      <c r="A234" s="273">
        <f>IF(A233="","",IF(A233+1&gt;MAX('Таблиця 1'!$B:$B),"",A233+1))</f>
        <v/>
      </c>
      <c r="B234">
        <f>IF($A234="","",COUNTIFS('Таблиця 1'!$B:$B,$A234,'Таблиця 1'!$I:$I,"Mi-8")+COUNTIFS('Таблиця 1'!$B:$B,$A234,'Таблиця 1'!$I:$I,"Mi-24"))</f>
        <v/>
      </c>
      <c r="C234">
        <f>IF($A234="","",COUNTIFS('Таблиця 1'!$B:$B,$A234,'Таблиця 1'!$I:$I,"Mi-8"))</f>
        <v/>
      </c>
      <c r="D234">
        <f>IF($A234="","",COUNTIFS('Таблиця 1'!$B:$B,$A234,'Таблиця 1'!$I:$I,"Mi-24"))</f>
        <v/>
      </c>
      <c r="E234">
        <f>IF($A234="","",SUMIFS('Таблиця 1'!$K:$K,'Таблиця 1'!$B:$B,$A234,'Таблиця 1'!$I:$I,"Mi-8",'Таблиця 1'!$J:$J,"ARS-8")+SUMIFS('Таблиця 1'!$K:$K,'Таблиця 1'!$B:$B,$A234,'Таблиця 1'!$I:$I,"Mi-24",'Таблиця 1'!$J:$J,"ARS-8"))</f>
        <v/>
      </c>
      <c r="F234">
        <f>IF($A234="","",SUMIFS('Таблиця 1'!$K:$K,'Таблиця 1'!$B:$B,$A234,'Таблиця 1'!$I:$I,"Mi-8",'Таблиця 1'!$J:$J,"С-8 ком")+SUMIFS('Таблиця 1'!$K:$K,'Таблиця 1'!$B:$B,$A234,'Таблиця 1'!$I:$I,"Mi-24",'Таблиця 1'!$J:$J,"С-8 ком"))</f>
        <v/>
      </c>
      <c r="G234">
        <f>IF($A234="","",SUMIFS('Таблиця 1'!$K:$K,'Таблиця 1'!$B:$B,$A234,'Таблиця 1'!$I:$I,"Mi-8",'Таблиця 1'!$J:$J,"PC-80")+SUMIFS('Таблиця 1'!$K:$K,'Таблиця 1'!$B:$B,$A234,'Таблиця 1'!$I:$I,"Mi-24",'Таблиця 1'!$J:$J,"PC-80"))</f>
        <v/>
      </c>
      <c r="H234">
        <f>IF($A234="","",SUMIFS('Таблиця 1'!$K:$K,'Таблиця 1'!$B:$B,$A234,'Таблиця 1'!$I:$I,"Mi-8",'Таблиця 1'!$J:$J,"UAR-80")+SUMIFS('Таблиця 1'!$K:$K,'Таблиця 1'!$B:$B,$A234,'Таблиця 1'!$I:$I,"Mi-24",'Таблиця 1'!$J:$J,"UAR-80"))</f>
        <v/>
      </c>
      <c r="I234">
        <f>IF($A234="","",SUMIFS('Таблиця 1'!$K:$K,'Таблиця 1'!$B:$B,$A234,'Таблиця 1'!$I:$I,"Mi-8",'Таблиця 1'!$J:$J,"C-13")+SUMIFS('Таблиця 1'!$K:$K,'Таблиця 1'!$B:$B,$A234,'Таблиця 1'!$I:$I,"Mi-24",'Таблиця 1'!$J:$J,"C-13"))</f>
        <v/>
      </c>
      <c r="J234">
        <f>IF($A234="","",SUMIFS('Таблиця 1'!$K:$K,'Таблиця 1'!$B:$B,$A234,'Таблиця 1'!$I:$I,"Mi-8",'Таблиця 1'!$J:$J,"Hydra-70")+SUMIFS('Таблиця 1'!$K:$K,'Таблиця 1'!$B:$B,$A234,'Таблиця 1'!$I:$I,"Mi-24",'Таблиця 1'!$J:$J,"Hydra-70"))</f>
        <v/>
      </c>
      <c r="K234">
        <f>IF($A234="","",SUMIFS('Таблиця 1'!$K:$K,'Таблиця 1'!$B:$B,$A234,'Таблиця 1'!$I:$I,"Mi-8",'Таблиця 1'!$J:$J,"Thales-70")+SUMIFS('Таблиця 1'!$K:$K,'Таблиця 1'!$B:$B,$A234,'Таблиця 1'!$I:$I,"Mi-24",'Таблиця 1'!$J:$J,"Thales-70"))</f>
        <v/>
      </c>
      <c r="L234">
        <f>IF($A234="","",SUMIFS('Таблиця 1'!$K:$K,'Таблиця 1'!$B:$B,$A234,'Таблиця 1'!$I:$I,"Mi-8",'Таблиця 1'!$J:$J,"Thales-FZ")+SUMIFS('Таблиця 1'!$K:$K,'Таблиця 1'!$B:$B,$A234,'Таблиця 1'!$I:$I,"Mi-24",'Таблиця 1'!$J:$J,"Thales-FZ"))</f>
        <v/>
      </c>
      <c r="M234">
        <f>IF($A234="","",SUMIFS('Таблиця 1'!$K:$K,'Таблиця 1'!$B:$B,$A234,'Таблиця 1'!$I:$I,"Mi-8",'Таблиця 1'!$J:$J,"МК-40")+SUMIFS('Таблиця 1'!$K:$K,'Таблиця 1'!$B:$B,$A234,'Таблиця 1'!$I:$I,"Mi-24",'Таблиця 1'!$J:$J,"МК-40"))</f>
        <v/>
      </c>
      <c r="N234">
        <f>IF($A234="","",SUMIFS('Таблиця 1'!$K:$K,'Таблиця 1'!$B:$B,$A234,'Таблиця 1'!$I:$I,"Mi-8",'Таблиця 1'!$J:$J,"Zuni")+SUMIFS('Таблиця 1'!$K:$K,'Таблиця 1'!$B:$B,$A234,'Таблиця 1'!$I:$I,"Mi-24",'Таблиця 1'!$J:$J,"Zuni"))</f>
        <v/>
      </c>
      <c r="O234">
        <f>IF($A234="","",COUNTIFS('Таблиця 1'!$B:$B,$A234,'Таблиця 1'!$I:$I,"Mi-8",'Таблиця 1'!$L:$L,"Уражено")+COUNTIFS('Таблиця 1'!$B:$B,$A234,'Таблиця 1'!$I:$I,"Mi-24",'Таблиця 1'!$L:$L,"Уражено"))</f>
        <v/>
      </c>
      <c r="P234">
        <f>IF($A234="","",COUNTIFS('Таблиця 1'!$B:$B,$A234,'Таблиця 1'!$I:$I,"Mi-8",'Таблиця 1'!$L:$L,"НЕ уражено")+COUNTIFS('Таблиця 1'!$B:$B,$A234,'Таблиця 1'!$I:$I,"Mi-24",'Таблиця 1'!$L:$L,"НЕ уражено"))</f>
        <v/>
      </c>
    </row>
    <row r="235">
      <c r="A235" s="273">
        <f>IF(A234="","",IF(A234+1&gt;MAX('Таблиця 1'!$B:$B),"",A234+1))</f>
        <v/>
      </c>
      <c r="B235">
        <f>IF($A235="","",COUNTIFS('Таблиця 1'!$B:$B,$A235,'Таблиця 1'!$I:$I,"Mi-8")+COUNTIFS('Таблиця 1'!$B:$B,$A235,'Таблиця 1'!$I:$I,"Mi-24"))</f>
        <v/>
      </c>
      <c r="C235">
        <f>IF($A235="","",COUNTIFS('Таблиця 1'!$B:$B,$A235,'Таблиця 1'!$I:$I,"Mi-8"))</f>
        <v/>
      </c>
      <c r="D235">
        <f>IF($A235="","",COUNTIFS('Таблиця 1'!$B:$B,$A235,'Таблиця 1'!$I:$I,"Mi-24"))</f>
        <v/>
      </c>
      <c r="E235">
        <f>IF($A235="","",SUMIFS('Таблиця 1'!$K:$K,'Таблиця 1'!$B:$B,$A235,'Таблиця 1'!$I:$I,"Mi-8",'Таблиця 1'!$J:$J,"ARS-8")+SUMIFS('Таблиця 1'!$K:$K,'Таблиця 1'!$B:$B,$A235,'Таблиця 1'!$I:$I,"Mi-24",'Таблиця 1'!$J:$J,"ARS-8"))</f>
        <v/>
      </c>
      <c r="F235">
        <f>IF($A235="","",SUMIFS('Таблиця 1'!$K:$K,'Таблиця 1'!$B:$B,$A235,'Таблиця 1'!$I:$I,"Mi-8",'Таблиця 1'!$J:$J,"С-8 ком")+SUMIFS('Таблиця 1'!$K:$K,'Таблиця 1'!$B:$B,$A235,'Таблиця 1'!$I:$I,"Mi-24",'Таблиця 1'!$J:$J,"С-8 ком"))</f>
        <v/>
      </c>
      <c r="G235">
        <f>IF($A235="","",SUMIFS('Таблиця 1'!$K:$K,'Таблиця 1'!$B:$B,$A235,'Таблиця 1'!$I:$I,"Mi-8",'Таблиця 1'!$J:$J,"PC-80")+SUMIFS('Таблиця 1'!$K:$K,'Таблиця 1'!$B:$B,$A235,'Таблиця 1'!$I:$I,"Mi-24",'Таблиця 1'!$J:$J,"PC-80"))</f>
        <v/>
      </c>
      <c r="H235">
        <f>IF($A235="","",SUMIFS('Таблиця 1'!$K:$K,'Таблиця 1'!$B:$B,$A235,'Таблиця 1'!$I:$I,"Mi-8",'Таблиця 1'!$J:$J,"UAR-80")+SUMIFS('Таблиця 1'!$K:$K,'Таблиця 1'!$B:$B,$A235,'Таблиця 1'!$I:$I,"Mi-24",'Таблиця 1'!$J:$J,"UAR-80"))</f>
        <v/>
      </c>
      <c r="I235">
        <f>IF($A235="","",SUMIFS('Таблиця 1'!$K:$K,'Таблиця 1'!$B:$B,$A235,'Таблиця 1'!$I:$I,"Mi-8",'Таблиця 1'!$J:$J,"C-13")+SUMIFS('Таблиця 1'!$K:$K,'Таблиця 1'!$B:$B,$A235,'Таблиця 1'!$I:$I,"Mi-24",'Таблиця 1'!$J:$J,"C-13"))</f>
        <v/>
      </c>
      <c r="J235">
        <f>IF($A235="","",SUMIFS('Таблиця 1'!$K:$K,'Таблиця 1'!$B:$B,$A235,'Таблиця 1'!$I:$I,"Mi-8",'Таблиця 1'!$J:$J,"Hydra-70")+SUMIFS('Таблиця 1'!$K:$K,'Таблиця 1'!$B:$B,$A235,'Таблиця 1'!$I:$I,"Mi-24",'Таблиця 1'!$J:$J,"Hydra-70"))</f>
        <v/>
      </c>
      <c r="K235">
        <f>IF($A235="","",SUMIFS('Таблиця 1'!$K:$K,'Таблиця 1'!$B:$B,$A235,'Таблиця 1'!$I:$I,"Mi-8",'Таблиця 1'!$J:$J,"Thales-70")+SUMIFS('Таблиця 1'!$K:$K,'Таблиця 1'!$B:$B,$A235,'Таблиця 1'!$I:$I,"Mi-24",'Таблиця 1'!$J:$J,"Thales-70"))</f>
        <v/>
      </c>
      <c r="L235">
        <f>IF($A235="","",SUMIFS('Таблиця 1'!$K:$K,'Таблиця 1'!$B:$B,$A235,'Таблиця 1'!$I:$I,"Mi-8",'Таблиця 1'!$J:$J,"Thales-FZ")+SUMIFS('Таблиця 1'!$K:$K,'Таблиця 1'!$B:$B,$A235,'Таблиця 1'!$I:$I,"Mi-24",'Таблиця 1'!$J:$J,"Thales-FZ"))</f>
        <v/>
      </c>
      <c r="M235">
        <f>IF($A235="","",SUMIFS('Таблиця 1'!$K:$K,'Таблиця 1'!$B:$B,$A235,'Таблиця 1'!$I:$I,"Mi-8",'Таблиця 1'!$J:$J,"МК-40")+SUMIFS('Таблиця 1'!$K:$K,'Таблиця 1'!$B:$B,$A235,'Таблиця 1'!$I:$I,"Mi-24",'Таблиця 1'!$J:$J,"МК-40"))</f>
        <v/>
      </c>
      <c r="N235">
        <f>IF($A235="","",SUMIFS('Таблиця 1'!$K:$K,'Таблиця 1'!$B:$B,$A235,'Таблиця 1'!$I:$I,"Mi-8",'Таблиця 1'!$J:$J,"Zuni")+SUMIFS('Таблиця 1'!$K:$K,'Таблиця 1'!$B:$B,$A235,'Таблиця 1'!$I:$I,"Mi-24",'Таблиця 1'!$J:$J,"Zuni"))</f>
        <v/>
      </c>
      <c r="O235">
        <f>IF($A235="","",COUNTIFS('Таблиця 1'!$B:$B,$A235,'Таблиця 1'!$I:$I,"Mi-8",'Таблиця 1'!$L:$L,"Уражено")+COUNTIFS('Таблиця 1'!$B:$B,$A235,'Таблиця 1'!$I:$I,"Mi-24",'Таблиця 1'!$L:$L,"Уражено"))</f>
        <v/>
      </c>
      <c r="P235">
        <f>IF($A235="","",COUNTIFS('Таблиця 1'!$B:$B,$A235,'Таблиця 1'!$I:$I,"Mi-8",'Таблиця 1'!$L:$L,"НЕ уражено")+COUNTIFS('Таблиця 1'!$B:$B,$A235,'Таблиця 1'!$I:$I,"Mi-24",'Таблиця 1'!$L:$L,"НЕ уражено"))</f>
        <v/>
      </c>
    </row>
    <row r="236">
      <c r="A236" s="273">
        <f>IF(A235="","",IF(A235+1&gt;MAX('Таблиця 1'!$B:$B),"",A235+1))</f>
        <v/>
      </c>
      <c r="B236">
        <f>IF($A236="","",COUNTIFS('Таблиця 1'!$B:$B,$A236,'Таблиця 1'!$I:$I,"Mi-8")+COUNTIFS('Таблиця 1'!$B:$B,$A236,'Таблиця 1'!$I:$I,"Mi-24"))</f>
        <v/>
      </c>
      <c r="C236">
        <f>IF($A236="","",COUNTIFS('Таблиця 1'!$B:$B,$A236,'Таблиця 1'!$I:$I,"Mi-8"))</f>
        <v/>
      </c>
      <c r="D236">
        <f>IF($A236="","",COUNTIFS('Таблиця 1'!$B:$B,$A236,'Таблиця 1'!$I:$I,"Mi-24"))</f>
        <v/>
      </c>
      <c r="E236">
        <f>IF($A236="","",SUMIFS('Таблиця 1'!$K:$K,'Таблиця 1'!$B:$B,$A236,'Таблиця 1'!$I:$I,"Mi-8",'Таблиця 1'!$J:$J,"ARS-8")+SUMIFS('Таблиця 1'!$K:$K,'Таблиця 1'!$B:$B,$A236,'Таблиця 1'!$I:$I,"Mi-24",'Таблиця 1'!$J:$J,"ARS-8"))</f>
        <v/>
      </c>
      <c r="F236">
        <f>IF($A236="","",SUMIFS('Таблиця 1'!$K:$K,'Таблиця 1'!$B:$B,$A236,'Таблиця 1'!$I:$I,"Mi-8",'Таблиця 1'!$J:$J,"С-8 ком")+SUMIFS('Таблиця 1'!$K:$K,'Таблиця 1'!$B:$B,$A236,'Таблиця 1'!$I:$I,"Mi-24",'Таблиця 1'!$J:$J,"С-8 ком"))</f>
        <v/>
      </c>
      <c r="G236">
        <f>IF($A236="","",SUMIFS('Таблиця 1'!$K:$K,'Таблиця 1'!$B:$B,$A236,'Таблиця 1'!$I:$I,"Mi-8",'Таблиця 1'!$J:$J,"PC-80")+SUMIFS('Таблиця 1'!$K:$K,'Таблиця 1'!$B:$B,$A236,'Таблиця 1'!$I:$I,"Mi-24",'Таблиця 1'!$J:$J,"PC-80"))</f>
        <v/>
      </c>
      <c r="H236">
        <f>IF($A236="","",SUMIFS('Таблиця 1'!$K:$K,'Таблиця 1'!$B:$B,$A236,'Таблиця 1'!$I:$I,"Mi-8",'Таблиця 1'!$J:$J,"UAR-80")+SUMIFS('Таблиця 1'!$K:$K,'Таблиця 1'!$B:$B,$A236,'Таблиця 1'!$I:$I,"Mi-24",'Таблиця 1'!$J:$J,"UAR-80"))</f>
        <v/>
      </c>
      <c r="I236">
        <f>IF($A236="","",SUMIFS('Таблиця 1'!$K:$K,'Таблиця 1'!$B:$B,$A236,'Таблиця 1'!$I:$I,"Mi-8",'Таблиця 1'!$J:$J,"C-13")+SUMIFS('Таблиця 1'!$K:$K,'Таблиця 1'!$B:$B,$A236,'Таблиця 1'!$I:$I,"Mi-24",'Таблиця 1'!$J:$J,"C-13"))</f>
        <v/>
      </c>
      <c r="J236">
        <f>IF($A236="","",SUMIFS('Таблиця 1'!$K:$K,'Таблиця 1'!$B:$B,$A236,'Таблиця 1'!$I:$I,"Mi-8",'Таблиця 1'!$J:$J,"Hydra-70")+SUMIFS('Таблиця 1'!$K:$K,'Таблиця 1'!$B:$B,$A236,'Таблиця 1'!$I:$I,"Mi-24",'Таблиця 1'!$J:$J,"Hydra-70"))</f>
        <v/>
      </c>
      <c r="K236">
        <f>IF($A236="","",SUMIFS('Таблиця 1'!$K:$K,'Таблиця 1'!$B:$B,$A236,'Таблиця 1'!$I:$I,"Mi-8",'Таблиця 1'!$J:$J,"Thales-70")+SUMIFS('Таблиця 1'!$K:$K,'Таблиця 1'!$B:$B,$A236,'Таблиця 1'!$I:$I,"Mi-24",'Таблиця 1'!$J:$J,"Thales-70"))</f>
        <v/>
      </c>
      <c r="L236">
        <f>IF($A236="","",SUMIFS('Таблиця 1'!$K:$K,'Таблиця 1'!$B:$B,$A236,'Таблиця 1'!$I:$I,"Mi-8",'Таблиця 1'!$J:$J,"Thales-FZ")+SUMIFS('Таблиця 1'!$K:$K,'Таблиця 1'!$B:$B,$A236,'Таблиця 1'!$I:$I,"Mi-24",'Таблиця 1'!$J:$J,"Thales-FZ"))</f>
        <v/>
      </c>
      <c r="M236">
        <f>IF($A236="","",SUMIFS('Таблиця 1'!$K:$K,'Таблиця 1'!$B:$B,$A236,'Таблиця 1'!$I:$I,"Mi-8",'Таблиця 1'!$J:$J,"МК-40")+SUMIFS('Таблиця 1'!$K:$K,'Таблиця 1'!$B:$B,$A236,'Таблиця 1'!$I:$I,"Mi-24",'Таблиця 1'!$J:$J,"МК-40"))</f>
        <v/>
      </c>
      <c r="N236">
        <f>IF($A236="","",SUMIFS('Таблиця 1'!$K:$K,'Таблиця 1'!$B:$B,$A236,'Таблиця 1'!$I:$I,"Mi-8",'Таблиця 1'!$J:$J,"Zuni")+SUMIFS('Таблиця 1'!$K:$K,'Таблиця 1'!$B:$B,$A236,'Таблиця 1'!$I:$I,"Mi-24",'Таблиця 1'!$J:$J,"Zuni"))</f>
        <v/>
      </c>
      <c r="O236">
        <f>IF($A236="","",COUNTIFS('Таблиця 1'!$B:$B,$A236,'Таблиця 1'!$I:$I,"Mi-8",'Таблиця 1'!$L:$L,"Уражено")+COUNTIFS('Таблиця 1'!$B:$B,$A236,'Таблиця 1'!$I:$I,"Mi-24",'Таблиця 1'!$L:$L,"Уражено"))</f>
        <v/>
      </c>
      <c r="P236">
        <f>IF($A236="","",COUNTIFS('Таблиця 1'!$B:$B,$A236,'Таблиця 1'!$I:$I,"Mi-8",'Таблиця 1'!$L:$L,"НЕ уражено")+COUNTIFS('Таблиця 1'!$B:$B,$A236,'Таблиця 1'!$I:$I,"Mi-24",'Таблиця 1'!$L:$L,"НЕ уражено"))</f>
        <v/>
      </c>
    </row>
    <row r="237">
      <c r="A237" s="273">
        <f>IF(A236="","",IF(A236+1&gt;MAX('Таблиця 1'!$B:$B),"",A236+1))</f>
        <v/>
      </c>
      <c r="B237">
        <f>IF($A237="","",COUNTIFS('Таблиця 1'!$B:$B,$A237,'Таблиця 1'!$I:$I,"Mi-8")+COUNTIFS('Таблиця 1'!$B:$B,$A237,'Таблиця 1'!$I:$I,"Mi-24"))</f>
        <v/>
      </c>
      <c r="C237">
        <f>IF($A237="","",COUNTIFS('Таблиця 1'!$B:$B,$A237,'Таблиця 1'!$I:$I,"Mi-8"))</f>
        <v/>
      </c>
      <c r="D237">
        <f>IF($A237="","",COUNTIFS('Таблиця 1'!$B:$B,$A237,'Таблиця 1'!$I:$I,"Mi-24"))</f>
        <v/>
      </c>
      <c r="E237">
        <f>IF($A237="","",SUMIFS('Таблиця 1'!$K:$K,'Таблиця 1'!$B:$B,$A237,'Таблиця 1'!$I:$I,"Mi-8",'Таблиця 1'!$J:$J,"ARS-8")+SUMIFS('Таблиця 1'!$K:$K,'Таблиця 1'!$B:$B,$A237,'Таблиця 1'!$I:$I,"Mi-24",'Таблиця 1'!$J:$J,"ARS-8"))</f>
        <v/>
      </c>
      <c r="F237">
        <f>IF($A237="","",SUMIFS('Таблиця 1'!$K:$K,'Таблиця 1'!$B:$B,$A237,'Таблиця 1'!$I:$I,"Mi-8",'Таблиця 1'!$J:$J,"С-8 ком")+SUMIFS('Таблиця 1'!$K:$K,'Таблиця 1'!$B:$B,$A237,'Таблиця 1'!$I:$I,"Mi-24",'Таблиця 1'!$J:$J,"С-8 ком"))</f>
        <v/>
      </c>
      <c r="G237">
        <f>IF($A237="","",SUMIFS('Таблиця 1'!$K:$K,'Таблиця 1'!$B:$B,$A237,'Таблиця 1'!$I:$I,"Mi-8",'Таблиця 1'!$J:$J,"PC-80")+SUMIFS('Таблиця 1'!$K:$K,'Таблиця 1'!$B:$B,$A237,'Таблиця 1'!$I:$I,"Mi-24",'Таблиця 1'!$J:$J,"PC-80"))</f>
        <v/>
      </c>
      <c r="H237">
        <f>IF($A237="","",SUMIFS('Таблиця 1'!$K:$K,'Таблиця 1'!$B:$B,$A237,'Таблиця 1'!$I:$I,"Mi-8",'Таблиця 1'!$J:$J,"UAR-80")+SUMIFS('Таблиця 1'!$K:$K,'Таблиця 1'!$B:$B,$A237,'Таблиця 1'!$I:$I,"Mi-24",'Таблиця 1'!$J:$J,"UAR-80"))</f>
        <v/>
      </c>
      <c r="I237">
        <f>IF($A237="","",SUMIFS('Таблиця 1'!$K:$K,'Таблиця 1'!$B:$B,$A237,'Таблиця 1'!$I:$I,"Mi-8",'Таблиця 1'!$J:$J,"C-13")+SUMIFS('Таблиця 1'!$K:$K,'Таблиця 1'!$B:$B,$A237,'Таблиця 1'!$I:$I,"Mi-24",'Таблиця 1'!$J:$J,"C-13"))</f>
        <v/>
      </c>
      <c r="J237">
        <f>IF($A237="","",SUMIFS('Таблиця 1'!$K:$K,'Таблиця 1'!$B:$B,$A237,'Таблиця 1'!$I:$I,"Mi-8",'Таблиця 1'!$J:$J,"Hydra-70")+SUMIFS('Таблиця 1'!$K:$K,'Таблиця 1'!$B:$B,$A237,'Таблиця 1'!$I:$I,"Mi-24",'Таблиця 1'!$J:$J,"Hydra-70"))</f>
        <v/>
      </c>
      <c r="K237">
        <f>IF($A237="","",SUMIFS('Таблиця 1'!$K:$K,'Таблиця 1'!$B:$B,$A237,'Таблиця 1'!$I:$I,"Mi-8",'Таблиця 1'!$J:$J,"Thales-70")+SUMIFS('Таблиця 1'!$K:$K,'Таблиця 1'!$B:$B,$A237,'Таблиця 1'!$I:$I,"Mi-24",'Таблиця 1'!$J:$J,"Thales-70"))</f>
        <v/>
      </c>
      <c r="L237">
        <f>IF($A237="","",SUMIFS('Таблиця 1'!$K:$K,'Таблиця 1'!$B:$B,$A237,'Таблиця 1'!$I:$I,"Mi-8",'Таблиця 1'!$J:$J,"Thales-FZ")+SUMIFS('Таблиця 1'!$K:$K,'Таблиця 1'!$B:$B,$A237,'Таблиця 1'!$I:$I,"Mi-24",'Таблиця 1'!$J:$J,"Thales-FZ"))</f>
        <v/>
      </c>
      <c r="M237">
        <f>IF($A237="","",SUMIFS('Таблиця 1'!$K:$K,'Таблиця 1'!$B:$B,$A237,'Таблиця 1'!$I:$I,"Mi-8",'Таблиця 1'!$J:$J,"МК-40")+SUMIFS('Таблиця 1'!$K:$K,'Таблиця 1'!$B:$B,$A237,'Таблиця 1'!$I:$I,"Mi-24",'Таблиця 1'!$J:$J,"МК-40"))</f>
        <v/>
      </c>
      <c r="N237">
        <f>IF($A237="","",SUMIFS('Таблиця 1'!$K:$K,'Таблиця 1'!$B:$B,$A237,'Таблиця 1'!$I:$I,"Mi-8",'Таблиця 1'!$J:$J,"Zuni")+SUMIFS('Таблиця 1'!$K:$K,'Таблиця 1'!$B:$B,$A237,'Таблиця 1'!$I:$I,"Mi-24",'Таблиця 1'!$J:$J,"Zuni"))</f>
        <v/>
      </c>
      <c r="O237">
        <f>IF($A237="","",COUNTIFS('Таблиця 1'!$B:$B,$A237,'Таблиця 1'!$I:$I,"Mi-8",'Таблиця 1'!$L:$L,"Уражено")+COUNTIFS('Таблиця 1'!$B:$B,$A237,'Таблиця 1'!$I:$I,"Mi-24",'Таблиця 1'!$L:$L,"Уражено"))</f>
        <v/>
      </c>
      <c r="P237">
        <f>IF($A237="","",COUNTIFS('Таблиця 1'!$B:$B,$A237,'Таблиця 1'!$I:$I,"Mi-8",'Таблиця 1'!$L:$L,"НЕ уражено")+COUNTIFS('Таблиця 1'!$B:$B,$A237,'Таблиця 1'!$I:$I,"Mi-24",'Таблиця 1'!$L:$L,"НЕ уражено"))</f>
        <v/>
      </c>
    </row>
    <row r="238">
      <c r="A238" s="273">
        <f>IF(A237="","",IF(A237+1&gt;MAX('Таблиця 1'!$B:$B),"",A237+1))</f>
        <v/>
      </c>
      <c r="B238">
        <f>IF($A238="","",COUNTIFS('Таблиця 1'!$B:$B,$A238,'Таблиця 1'!$I:$I,"Mi-8")+COUNTIFS('Таблиця 1'!$B:$B,$A238,'Таблиця 1'!$I:$I,"Mi-24"))</f>
        <v/>
      </c>
      <c r="C238">
        <f>IF($A238="","",COUNTIFS('Таблиця 1'!$B:$B,$A238,'Таблиця 1'!$I:$I,"Mi-8"))</f>
        <v/>
      </c>
      <c r="D238">
        <f>IF($A238="","",COUNTIFS('Таблиця 1'!$B:$B,$A238,'Таблиця 1'!$I:$I,"Mi-24"))</f>
        <v/>
      </c>
      <c r="E238">
        <f>IF($A238="","",SUMIFS('Таблиця 1'!$K:$K,'Таблиця 1'!$B:$B,$A238,'Таблиця 1'!$I:$I,"Mi-8",'Таблиця 1'!$J:$J,"ARS-8")+SUMIFS('Таблиця 1'!$K:$K,'Таблиця 1'!$B:$B,$A238,'Таблиця 1'!$I:$I,"Mi-24",'Таблиця 1'!$J:$J,"ARS-8"))</f>
        <v/>
      </c>
      <c r="F238">
        <f>IF($A238="","",SUMIFS('Таблиця 1'!$K:$K,'Таблиця 1'!$B:$B,$A238,'Таблиця 1'!$I:$I,"Mi-8",'Таблиця 1'!$J:$J,"С-8 ком")+SUMIFS('Таблиця 1'!$K:$K,'Таблиця 1'!$B:$B,$A238,'Таблиця 1'!$I:$I,"Mi-24",'Таблиця 1'!$J:$J,"С-8 ком"))</f>
        <v/>
      </c>
      <c r="G238">
        <f>IF($A238="","",SUMIFS('Таблиця 1'!$K:$K,'Таблиця 1'!$B:$B,$A238,'Таблиця 1'!$I:$I,"Mi-8",'Таблиця 1'!$J:$J,"PC-80")+SUMIFS('Таблиця 1'!$K:$K,'Таблиця 1'!$B:$B,$A238,'Таблиця 1'!$I:$I,"Mi-24",'Таблиця 1'!$J:$J,"PC-80"))</f>
        <v/>
      </c>
      <c r="H238">
        <f>IF($A238="","",SUMIFS('Таблиця 1'!$K:$K,'Таблиця 1'!$B:$B,$A238,'Таблиця 1'!$I:$I,"Mi-8",'Таблиця 1'!$J:$J,"UAR-80")+SUMIFS('Таблиця 1'!$K:$K,'Таблиця 1'!$B:$B,$A238,'Таблиця 1'!$I:$I,"Mi-24",'Таблиця 1'!$J:$J,"UAR-80"))</f>
        <v/>
      </c>
      <c r="I238">
        <f>IF($A238="","",SUMIFS('Таблиця 1'!$K:$K,'Таблиця 1'!$B:$B,$A238,'Таблиця 1'!$I:$I,"Mi-8",'Таблиця 1'!$J:$J,"C-13")+SUMIFS('Таблиця 1'!$K:$K,'Таблиця 1'!$B:$B,$A238,'Таблиця 1'!$I:$I,"Mi-24",'Таблиця 1'!$J:$J,"C-13"))</f>
        <v/>
      </c>
      <c r="J238">
        <f>IF($A238="","",SUMIFS('Таблиця 1'!$K:$K,'Таблиця 1'!$B:$B,$A238,'Таблиця 1'!$I:$I,"Mi-8",'Таблиця 1'!$J:$J,"Hydra-70")+SUMIFS('Таблиця 1'!$K:$K,'Таблиця 1'!$B:$B,$A238,'Таблиця 1'!$I:$I,"Mi-24",'Таблиця 1'!$J:$J,"Hydra-70"))</f>
        <v/>
      </c>
      <c r="K238">
        <f>IF($A238="","",SUMIFS('Таблиця 1'!$K:$K,'Таблиця 1'!$B:$B,$A238,'Таблиця 1'!$I:$I,"Mi-8",'Таблиця 1'!$J:$J,"Thales-70")+SUMIFS('Таблиця 1'!$K:$K,'Таблиця 1'!$B:$B,$A238,'Таблиця 1'!$I:$I,"Mi-24",'Таблиця 1'!$J:$J,"Thales-70"))</f>
        <v/>
      </c>
      <c r="L238">
        <f>IF($A238="","",SUMIFS('Таблиця 1'!$K:$K,'Таблиця 1'!$B:$B,$A238,'Таблиця 1'!$I:$I,"Mi-8",'Таблиця 1'!$J:$J,"Thales-FZ")+SUMIFS('Таблиця 1'!$K:$K,'Таблиця 1'!$B:$B,$A238,'Таблиця 1'!$I:$I,"Mi-24",'Таблиця 1'!$J:$J,"Thales-FZ"))</f>
        <v/>
      </c>
      <c r="M238">
        <f>IF($A238="","",SUMIFS('Таблиця 1'!$K:$K,'Таблиця 1'!$B:$B,$A238,'Таблиця 1'!$I:$I,"Mi-8",'Таблиця 1'!$J:$J,"МК-40")+SUMIFS('Таблиця 1'!$K:$K,'Таблиця 1'!$B:$B,$A238,'Таблиця 1'!$I:$I,"Mi-24",'Таблиця 1'!$J:$J,"МК-40"))</f>
        <v/>
      </c>
      <c r="N238">
        <f>IF($A238="","",SUMIFS('Таблиця 1'!$K:$K,'Таблиця 1'!$B:$B,$A238,'Таблиця 1'!$I:$I,"Mi-8",'Таблиця 1'!$J:$J,"Zuni")+SUMIFS('Таблиця 1'!$K:$K,'Таблиця 1'!$B:$B,$A238,'Таблиця 1'!$I:$I,"Mi-24",'Таблиця 1'!$J:$J,"Zuni"))</f>
        <v/>
      </c>
      <c r="O238">
        <f>IF($A238="","",COUNTIFS('Таблиця 1'!$B:$B,$A238,'Таблиця 1'!$I:$I,"Mi-8",'Таблиця 1'!$L:$L,"Уражено")+COUNTIFS('Таблиця 1'!$B:$B,$A238,'Таблиця 1'!$I:$I,"Mi-24",'Таблиця 1'!$L:$L,"Уражено"))</f>
        <v/>
      </c>
      <c r="P238">
        <f>IF($A238="","",COUNTIFS('Таблиця 1'!$B:$B,$A238,'Таблиця 1'!$I:$I,"Mi-8",'Таблиця 1'!$L:$L,"НЕ уражено")+COUNTIFS('Таблиця 1'!$B:$B,$A238,'Таблиця 1'!$I:$I,"Mi-24",'Таблиця 1'!$L:$L,"НЕ уражено"))</f>
        <v/>
      </c>
    </row>
    <row r="239">
      <c r="A239" s="273">
        <f>IF(A238="","",IF(A238+1&gt;MAX('Таблиця 1'!$B:$B),"",A238+1))</f>
        <v/>
      </c>
      <c r="B239">
        <f>IF($A239="","",COUNTIFS('Таблиця 1'!$B:$B,$A239,'Таблиця 1'!$I:$I,"Mi-8")+COUNTIFS('Таблиця 1'!$B:$B,$A239,'Таблиця 1'!$I:$I,"Mi-24"))</f>
        <v/>
      </c>
      <c r="C239">
        <f>IF($A239="","",COUNTIFS('Таблиця 1'!$B:$B,$A239,'Таблиця 1'!$I:$I,"Mi-8"))</f>
        <v/>
      </c>
      <c r="D239">
        <f>IF($A239="","",COUNTIFS('Таблиця 1'!$B:$B,$A239,'Таблиця 1'!$I:$I,"Mi-24"))</f>
        <v/>
      </c>
      <c r="E239">
        <f>IF($A239="","",SUMIFS('Таблиця 1'!$K:$K,'Таблиця 1'!$B:$B,$A239,'Таблиця 1'!$I:$I,"Mi-8",'Таблиця 1'!$J:$J,"ARS-8")+SUMIFS('Таблиця 1'!$K:$K,'Таблиця 1'!$B:$B,$A239,'Таблиця 1'!$I:$I,"Mi-24",'Таблиця 1'!$J:$J,"ARS-8"))</f>
        <v/>
      </c>
      <c r="F239">
        <f>IF($A239="","",SUMIFS('Таблиця 1'!$K:$K,'Таблиця 1'!$B:$B,$A239,'Таблиця 1'!$I:$I,"Mi-8",'Таблиця 1'!$J:$J,"С-8 ком")+SUMIFS('Таблиця 1'!$K:$K,'Таблиця 1'!$B:$B,$A239,'Таблиця 1'!$I:$I,"Mi-24",'Таблиця 1'!$J:$J,"С-8 ком"))</f>
        <v/>
      </c>
      <c r="G239">
        <f>IF($A239="","",SUMIFS('Таблиця 1'!$K:$K,'Таблиця 1'!$B:$B,$A239,'Таблиця 1'!$I:$I,"Mi-8",'Таблиця 1'!$J:$J,"PC-80")+SUMIFS('Таблиця 1'!$K:$K,'Таблиця 1'!$B:$B,$A239,'Таблиця 1'!$I:$I,"Mi-24",'Таблиця 1'!$J:$J,"PC-80"))</f>
        <v/>
      </c>
      <c r="H239">
        <f>IF($A239="","",SUMIFS('Таблиця 1'!$K:$K,'Таблиця 1'!$B:$B,$A239,'Таблиця 1'!$I:$I,"Mi-8",'Таблиця 1'!$J:$J,"UAR-80")+SUMIFS('Таблиця 1'!$K:$K,'Таблиця 1'!$B:$B,$A239,'Таблиця 1'!$I:$I,"Mi-24",'Таблиця 1'!$J:$J,"UAR-80"))</f>
        <v/>
      </c>
      <c r="I239">
        <f>IF($A239="","",SUMIFS('Таблиця 1'!$K:$K,'Таблиця 1'!$B:$B,$A239,'Таблиця 1'!$I:$I,"Mi-8",'Таблиця 1'!$J:$J,"C-13")+SUMIFS('Таблиця 1'!$K:$K,'Таблиця 1'!$B:$B,$A239,'Таблиця 1'!$I:$I,"Mi-24",'Таблиця 1'!$J:$J,"C-13"))</f>
        <v/>
      </c>
      <c r="J239">
        <f>IF($A239="","",SUMIFS('Таблиця 1'!$K:$K,'Таблиця 1'!$B:$B,$A239,'Таблиця 1'!$I:$I,"Mi-8",'Таблиця 1'!$J:$J,"Hydra-70")+SUMIFS('Таблиця 1'!$K:$K,'Таблиця 1'!$B:$B,$A239,'Таблиця 1'!$I:$I,"Mi-24",'Таблиця 1'!$J:$J,"Hydra-70"))</f>
        <v/>
      </c>
      <c r="K239">
        <f>IF($A239="","",SUMIFS('Таблиця 1'!$K:$K,'Таблиця 1'!$B:$B,$A239,'Таблиця 1'!$I:$I,"Mi-8",'Таблиця 1'!$J:$J,"Thales-70")+SUMIFS('Таблиця 1'!$K:$K,'Таблиця 1'!$B:$B,$A239,'Таблиця 1'!$I:$I,"Mi-24",'Таблиця 1'!$J:$J,"Thales-70"))</f>
        <v/>
      </c>
      <c r="L239">
        <f>IF($A239="","",SUMIFS('Таблиця 1'!$K:$K,'Таблиця 1'!$B:$B,$A239,'Таблиця 1'!$I:$I,"Mi-8",'Таблиця 1'!$J:$J,"Thales-FZ")+SUMIFS('Таблиця 1'!$K:$K,'Таблиця 1'!$B:$B,$A239,'Таблиця 1'!$I:$I,"Mi-24",'Таблиця 1'!$J:$J,"Thales-FZ"))</f>
        <v/>
      </c>
      <c r="M239">
        <f>IF($A239="","",SUMIFS('Таблиця 1'!$K:$K,'Таблиця 1'!$B:$B,$A239,'Таблиця 1'!$I:$I,"Mi-8",'Таблиця 1'!$J:$J,"МК-40")+SUMIFS('Таблиця 1'!$K:$K,'Таблиця 1'!$B:$B,$A239,'Таблиця 1'!$I:$I,"Mi-24",'Таблиця 1'!$J:$J,"МК-40"))</f>
        <v/>
      </c>
      <c r="N239">
        <f>IF($A239="","",SUMIFS('Таблиця 1'!$K:$K,'Таблиця 1'!$B:$B,$A239,'Таблиця 1'!$I:$I,"Mi-8",'Таблиця 1'!$J:$J,"Zuni")+SUMIFS('Таблиця 1'!$K:$K,'Таблиця 1'!$B:$B,$A239,'Таблиця 1'!$I:$I,"Mi-24",'Таблиця 1'!$J:$J,"Zuni"))</f>
        <v/>
      </c>
      <c r="O239">
        <f>IF($A239="","",COUNTIFS('Таблиця 1'!$B:$B,$A239,'Таблиця 1'!$I:$I,"Mi-8",'Таблиця 1'!$L:$L,"Уражено")+COUNTIFS('Таблиця 1'!$B:$B,$A239,'Таблиця 1'!$I:$I,"Mi-24",'Таблиця 1'!$L:$L,"Уражено"))</f>
        <v/>
      </c>
      <c r="P239">
        <f>IF($A239="","",COUNTIFS('Таблиця 1'!$B:$B,$A239,'Таблиця 1'!$I:$I,"Mi-8",'Таблиця 1'!$L:$L,"НЕ уражено")+COUNTIFS('Таблиця 1'!$B:$B,$A239,'Таблиця 1'!$I:$I,"Mi-24",'Таблиця 1'!$L:$L,"НЕ уражено"))</f>
        <v/>
      </c>
    </row>
    <row r="240">
      <c r="A240" s="273">
        <f>IF(A239="","",IF(A239+1&gt;MAX('Таблиця 1'!$B:$B),"",A239+1))</f>
        <v/>
      </c>
      <c r="B240">
        <f>IF($A240="","",COUNTIFS('Таблиця 1'!$B:$B,$A240,'Таблиця 1'!$I:$I,"Mi-8")+COUNTIFS('Таблиця 1'!$B:$B,$A240,'Таблиця 1'!$I:$I,"Mi-24"))</f>
        <v/>
      </c>
      <c r="C240">
        <f>IF($A240="","",COUNTIFS('Таблиця 1'!$B:$B,$A240,'Таблиця 1'!$I:$I,"Mi-8"))</f>
        <v/>
      </c>
      <c r="D240">
        <f>IF($A240="","",COUNTIFS('Таблиця 1'!$B:$B,$A240,'Таблиця 1'!$I:$I,"Mi-24"))</f>
        <v/>
      </c>
      <c r="E240">
        <f>IF($A240="","",SUMIFS('Таблиця 1'!$K:$K,'Таблиця 1'!$B:$B,$A240,'Таблиця 1'!$I:$I,"Mi-8",'Таблиця 1'!$J:$J,"ARS-8")+SUMIFS('Таблиця 1'!$K:$K,'Таблиця 1'!$B:$B,$A240,'Таблиця 1'!$I:$I,"Mi-24",'Таблиця 1'!$J:$J,"ARS-8"))</f>
        <v/>
      </c>
      <c r="F240">
        <f>IF($A240="","",SUMIFS('Таблиця 1'!$K:$K,'Таблиця 1'!$B:$B,$A240,'Таблиця 1'!$I:$I,"Mi-8",'Таблиця 1'!$J:$J,"С-8 ком")+SUMIFS('Таблиця 1'!$K:$K,'Таблиця 1'!$B:$B,$A240,'Таблиця 1'!$I:$I,"Mi-24",'Таблиця 1'!$J:$J,"С-8 ком"))</f>
        <v/>
      </c>
      <c r="G240">
        <f>IF($A240="","",SUMIFS('Таблиця 1'!$K:$K,'Таблиця 1'!$B:$B,$A240,'Таблиця 1'!$I:$I,"Mi-8",'Таблиця 1'!$J:$J,"PC-80")+SUMIFS('Таблиця 1'!$K:$K,'Таблиця 1'!$B:$B,$A240,'Таблиця 1'!$I:$I,"Mi-24",'Таблиця 1'!$J:$J,"PC-80"))</f>
        <v/>
      </c>
      <c r="H240">
        <f>IF($A240="","",SUMIFS('Таблиця 1'!$K:$K,'Таблиця 1'!$B:$B,$A240,'Таблиця 1'!$I:$I,"Mi-8",'Таблиця 1'!$J:$J,"UAR-80")+SUMIFS('Таблиця 1'!$K:$K,'Таблиця 1'!$B:$B,$A240,'Таблиця 1'!$I:$I,"Mi-24",'Таблиця 1'!$J:$J,"UAR-80"))</f>
        <v/>
      </c>
      <c r="I240">
        <f>IF($A240="","",SUMIFS('Таблиця 1'!$K:$K,'Таблиця 1'!$B:$B,$A240,'Таблиця 1'!$I:$I,"Mi-8",'Таблиця 1'!$J:$J,"C-13")+SUMIFS('Таблиця 1'!$K:$K,'Таблиця 1'!$B:$B,$A240,'Таблиця 1'!$I:$I,"Mi-24",'Таблиця 1'!$J:$J,"C-13"))</f>
        <v/>
      </c>
      <c r="J240">
        <f>IF($A240="","",SUMIFS('Таблиця 1'!$K:$K,'Таблиця 1'!$B:$B,$A240,'Таблиця 1'!$I:$I,"Mi-8",'Таблиця 1'!$J:$J,"Hydra-70")+SUMIFS('Таблиця 1'!$K:$K,'Таблиця 1'!$B:$B,$A240,'Таблиця 1'!$I:$I,"Mi-24",'Таблиця 1'!$J:$J,"Hydra-70"))</f>
        <v/>
      </c>
      <c r="K240">
        <f>IF($A240="","",SUMIFS('Таблиця 1'!$K:$K,'Таблиця 1'!$B:$B,$A240,'Таблиця 1'!$I:$I,"Mi-8",'Таблиця 1'!$J:$J,"Thales-70")+SUMIFS('Таблиця 1'!$K:$K,'Таблиця 1'!$B:$B,$A240,'Таблиця 1'!$I:$I,"Mi-24",'Таблиця 1'!$J:$J,"Thales-70"))</f>
        <v/>
      </c>
      <c r="L240">
        <f>IF($A240="","",SUMIFS('Таблиця 1'!$K:$K,'Таблиця 1'!$B:$B,$A240,'Таблиця 1'!$I:$I,"Mi-8",'Таблиця 1'!$J:$J,"Thales-FZ")+SUMIFS('Таблиця 1'!$K:$K,'Таблиця 1'!$B:$B,$A240,'Таблиця 1'!$I:$I,"Mi-24",'Таблиця 1'!$J:$J,"Thales-FZ"))</f>
        <v/>
      </c>
      <c r="M240">
        <f>IF($A240="","",SUMIFS('Таблиця 1'!$K:$K,'Таблиця 1'!$B:$B,$A240,'Таблиця 1'!$I:$I,"Mi-8",'Таблиця 1'!$J:$J,"МК-40")+SUMIFS('Таблиця 1'!$K:$K,'Таблиця 1'!$B:$B,$A240,'Таблиця 1'!$I:$I,"Mi-24",'Таблиця 1'!$J:$J,"МК-40"))</f>
        <v/>
      </c>
      <c r="N240">
        <f>IF($A240="","",SUMIFS('Таблиця 1'!$K:$K,'Таблиця 1'!$B:$B,$A240,'Таблиця 1'!$I:$I,"Mi-8",'Таблиця 1'!$J:$J,"Zuni")+SUMIFS('Таблиця 1'!$K:$K,'Таблиця 1'!$B:$B,$A240,'Таблиця 1'!$I:$I,"Mi-24",'Таблиця 1'!$J:$J,"Zuni"))</f>
        <v/>
      </c>
      <c r="O240">
        <f>IF($A240="","",COUNTIFS('Таблиця 1'!$B:$B,$A240,'Таблиця 1'!$I:$I,"Mi-8",'Таблиця 1'!$L:$L,"Уражено")+COUNTIFS('Таблиця 1'!$B:$B,$A240,'Таблиця 1'!$I:$I,"Mi-24",'Таблиця 1'!$L:$L,"Уражено"))</f>
        <v/>
      </c>
      <c r="P240">
        <f>IF($A240="","",COUNTIFS('Таблиця 1'!$B:$B,$A240,'Таблиця 1'!$I:$I,"Mi-8",'Таблиця 1'!$L:$L,"НЕ уражено")+COUNTIFS('Таблиця 1'!$B:$B,$A240,'Таблиця 1'!$I:$I,"Mi-24",'Таблиця 1'!$L:$L,"НЕ уражено"))</f>
        <v/>
      </c>
    </row>
    <row r="241">
      <c r="A241" s="273">
        <f>IF(A240="","",IF(A240+1&gt;MAX('Таблиця 1'!$B:$B),"",A240+1))</f>
        <v/>
      </c>
      <c r="B241">
        <f>IF($A241="","",COUNTIFS('Таблиця 1'!$B:$B,$A241,'Таблиця 1'!$I:$I,"Mi-8")+COUNTIFS('Таблиця 1'!$B:$B,$A241,'Таблиця 1'!$I:$I,"Mi-24"))</f>
        <v/>
      </c>
      <c r="C241">
        <f>IF($A241="","",COUNTIFS('Таблиця 1'!$B:$B,$A241,'Таблиця 1'!$I:$I,"Mi-8"))</f>
        <v/>
      </c>
      <c r="D241">
        <f>IF($A241="","",COUNTIFS('Таблиця 1'!$B:$B,$A241,'Таблиця 1'!$I:$I,"Mi-24"))</f>
        <v/>
      </c>
      <c r="E241">
        <f>IF($A241="","",SUMIFS('Таблиця 1'!$K:$K,'Таблиця 1'!$B:$B,$A241,'Таблиця 1'!$I:$I,"Mi-8",'Таблиця 1'!$J:$J,"ARS-8")+SUMIFS('Таблиця 1'!$K:$K,'Таблиця 1'!$B:$B,$A241,'Таблиця 1'!$I:$I,"Mi-24",'Таблиця 1'!$J:$J,"ARS-8"))</f>
        <v/>
      </c>
      <c r="F241">
        <f>IF($A241="","",SUMIFS('Таблиця 1'!$K:$K,'Таблиця 1'!$B:$B,$A241,'Таблиця 1'!$I:$I,"Mi-8",'Таблиця 1'!$J:$J,"С-8 ком")+SUMIFS('Таблиця 1'!$K:$K,'Таблиця 1'!$B:$B,$A241,'Таблиця 1'!$I:$I,"Mi-24",'Таблиця 1'!$J:$J,"С-8 ком"))</f>
        <v/>
      </c>
      <c r="G241">
        <f>IF($A241="","",SUMIFS('Таблиця 1'!$K:$K,'Таблиця 1'!$B:$B,$A241,'Таблиця 1'!$I:$I,"Mi-8",'Таблиця 1'!$J:$J,"PC-80")+SUMIFS('Таблиця 1'!$K:$K,'Таблиця 1'!$B:$B,$A241,'Таблиця 1'!$I:$I,"Mi-24",'Таблиця 1'!$J:$J,"PC-80"))</f>
        <v/>
      </c>
      <c r="H241">
        <f>IF($A241="","",SUMIFS('Таблиця 1'!$K:$K,'Таблиця 1'!$B:$B,$A241,'Таблиця 1'!$I:$I,"Mi-8",'Таблиця 1'!$J:$J,"UAR-80")+SUMIFS('Таблиця 1'!$K:$K,'Таблиця 1'!$B:$B,$A241,'Таблиця 1'!$I:$I,"Mi-24",'Таблиця 1'!$J:$J,"UAR-80"))</f>
        <v/>
      </c>
      <c r="I241">
        <f>IF($A241="","",SUMIFS('Таблиця 1'!$K:$K,'Таблиця 1'!$B:$B,$A241,'Таблиця 1'!$I:$I,"Mi-8",'Таблиця 1'!$J:$J,"C-13")+SUMIFS('Таблиця 1'!$K:$K,'Таблиця 1'!$B:$B,$A241,'Таблиця 1'!$I:$I,"Mi-24",'Таблиця 1'!$J:$J,"C-13"))</f>
        <v/>
      </c>
      <c r="J241">
        <f>IF($A241="","",SUMIFS('Таблиця 1'!$K:$K,'Таблиця 1'!$B:$B,$A241,'Таблиця 1'!$I:$I,"Mi-8",'Таблиця 1'!$J:$J,"Hydra-70")+SUMIFS('Таблиця 1'!$K:$K,'Таблиця 1'!$B:$B,$A241,'Таблиця 1'!$I:$I,"Mi-24",'Таблиця 1'!$J:$J,"Hydra-70"))</f>
        <v/>
      </c>
      <c r="K241">
        <f>IF($A241="","",SUMIFS('Таблиця 1'!$K:$K,'Таблиця 1'!$B:$B,$A241,'Таблиця 1'!$I:$I,"Mi-8",'Таблиця 1'!$J:$J,"Thales-70")+SUMIFS('Таблиця 1'!$K:$K,'Таблиця 1'!$B:$B,$A241,'Таблиця 1'!$I:$I,"Mi-24",'Таблиця 1'!$J:$J,"Thales-70"))</f>
        <v/>
      </c>
      <c r="L241">
        <f>IF($A241="","",SUMIFS('Таблиця 1'!$K:$K,'Таблиця 1'!$B:$B,$A241,'Таблиця 1'!$I:$I,"Mi-8",'Таблиця 1'!$J:$J,"Thales-FZ")+SUMIFS('Таблиця 1'!$K:$K,'Таблиця 1'!$B:$B,$A241,'Таблиця 1'!$I:$I,"Mi-24",'Таблиця 1'!$J:$J,"Thales-FZ"))</f>
        <v/>
      </c>
      <c r="M241">
        <f>IF($A241="","",SUMIFS('Таблиця 1'!$K:$K,'Таблиця 1'!$B:$B,$A241,'Таблиця 1'!$I:$I,"Mi-8",'Таблиця 1'!$J:$J,"МК-40")+SUMIFS('Таблиця 1'!$K:$K,'Таблиця 1'!$B:$B,$A241,'Таблиця 1'!$I:$I,"Mi-24",'Таблиця 1'!$J:$J,"МК-40"))</f>
        <v/>
      </c>
      <c r="N241">
        <f>IF($A241="","",SUMIFS('Таблиця 1'!$K:$K,'Таблиця 1'!$B:$B,$A241,'Таблиця 1'!$I:$I,"Mi-8",'Таблиця 1'!$J:$J,"Zuni")+SUMIFS('Таблиця 1'!$K:$K,'Таблиця 1'!$B:$B,$A241,'Таблиця 1'!$I:$I,"Mi-24",'Таблиця 1'!$J:$J,"Zuni"))</f>
        <v/>
      </c>
      <c r="O241">
        <f>IF($A241="","",COUNTIFS('Таблиця 1'!$B:$B,$A241,'Таблиця 1'!$I:$I,"Mi-8",'Таблиця 1'!$L:$L,"Уражено")+COUNTIFS('Таблиця 1'!$B:$B,$A241,'Таблиця 1'!$I:$I,"Mi-24",'Таблиця 1'!$L:$L,"Уражено"))</f>
        <v/>
      </c>
      <c r="P241">
        <f>IF($A241="","",COUNTIFS('Таблиця 1'!$B:$B,$A241,'Таблиця 1'!$I:$I,"Mi-8",'Таблиця 1'!$L:$L,"НЕ уражено")+COUNTIFS('Таблиця 1'!$B:$B,$A241,'Таблиця 1'!$I:$I,"Mi-24",'Таблиця 1'!$L:$L,"НЕ уражено"))</f>
        <v/>
      </c>
    </row>
    <row r="242">
      <c r="A242" s="273">
        <f>IF(A241="","",IF(A241+1&gt;MAX('Таблиця 1'!$B:$B),"",A241+1))</f>
        <v/>
      </c>
      <c r="B242">
        <f>IF($A242="","",COUNTIFS('Таблиця 1'!$B:$B,$A242,'Таблиця 1'!$I:$I,"Mi-8")+COUNTIFS('Таблиця 1'!$B:$B,$A242,'Таблиця 1'!$I:$I,"Mi-24"))</f>
        <v/>
      </c>
      <c r="C242">
        <f>IF($A242="","",COUNTIFS('Таблиця 1'!$B:$B,$A242,'Таблиця 1'!$I:$I,"Mi-8"))</f>
        <v/>
      </c>
      <c r="D242">
        <f>IF($A242="","",COUNTIFS('Таблиця 1'!$B:$B,$A242,'Таблиця 1'!$I:$I,"Mi-24"))</f>
        <v/>
      </c>
      <c r="E242">
        <f>IF($A242="","",SUMIFS('Таблиця 1'!$K:$K,'Таблиця 1'!$B:$B,$A242,'Таблиця 1'!$I:$I,"Mi-8",'Таблиця 1'!$J:$J,"ARS-8")+SUMIFS('Таблиця 1'!$K:$K,'Таблиця 1'!$B:$B,$A242,'Таблиця 1'!$I:$I,"Mi-24",'Таблиця 1'!$J:$J,"ARS-8"))</f>
        <v/>
      </c>
      <c r="F242">
        <f>IF($A242="","",SUMIFS('Таблиця 1'!$K:$K,'Таблиця 1'!$B:$B,$A242,'Таблиця 1'!$I:$I,"Mi-8",'Таблиця 1'!$J:$J,"С-8 ком")+SUMIFS('Таблиця 1'!$K:$K,'Таблиця 1'!$B:$B,$A242,'Таблиця 1'!$I:$I,"Mi-24",'Таблиця 1'!$J:$J,"С-8 ком"))</f>
        <v/>
      </c>
      <c r="G242">
        <f>IF($A242="","",SUMIFS('Таблиця 1'!$K:$K,'Таблиця 1'!$B:$B,$A242,'Таблиця 1'!$I:$I,"Mi-8",'Таблиця 1'!$J:$J,"PC-80")+SUMIFS('Таблиця 1'!$K:$K,'Таблиця 1'!$B:$B,$A242,'Таблиця 1'!$I:$I,"Mi-24",'Таблиця 1'!$J:$J,"PC-80"))</f>
        <v/>
      </c>
      <c r="H242">
        <f>IF($A242="","",SUMIFS('Таблиця 1'!$K:$K,'Таблиця 1'!$B:$B,$A242,'Таблиця 1'!$I:$I,"Mi-8",'Таблиця 1'!$J:$J,"UAR-80")+SUMIFS('Таблиця 1'!$K:$K,'Таблиця 1'!$B:$B,$A242,'Таблиця 1'!$I:$I,"Mi-24",'Таблиця 1'!$J:$J,"UAR-80"))</f>
        <v/>
      </c>
      <c r="I242">
        <f>IF($A242="","",SUMIFS('Таблиця 1'!$K:$K,'Таблиця 1'!$B:$B,$A242,'Таблиця 1'!$I:$I,"Mi-8",'Таблиця 1'!$J:$J,"C-13")+SUMIFS('Таблиця 1'!$K:$K,'Таблиця 1'!$B:$B,$A242,'Таблиця 1'!$I:$I,"Mi-24",'Таблиця 1'!$J:$J,"C-13"))</f>
        <v/>
      </c>
      <c r="J242">
        <f>IF($A242="","",SUMIFS('Таблиця 1'!$K:$K,'Таблиця 1'!$B:$B,$A242,'Таблиця 1'!$I:$I,"Mi-8",'Таблиця 1'!$J:$J,"Hydra-70")+SUMIFS('Таблиця 1'!$K:$K,'Таблиця 1'!$B:$B,$A242,'Таблиця 1'!$I:$I,"Mi-24",'Таблиця 1'!$J:$J,"Hydra-70"))</f>
        <v/>
      </c>
      <c r="K242">
        <f>IF($A242="","",SUMIFS('Таблиця 1'!$K:$K,'Таблиця 1'!$B:$B,$A242,'Таблиця 1'!$I:$I,"Mi-8",'Таблиця 1'!$J:$J,"Thales-70")+SUMIFS('Таблиця 1'!$K:$K,'Таблиця 1'!$B:$B,$A242,'Таблиця 1'!$I:$I,"Mi-24",'Таблиця 1'!$J:$J,"Thales-70"))</f>
        <v/>
      </c>
      <c r="L242">
        <f>IF($A242="","",SUMIFS('Таблиця 1'!$K:$K,'Таблиця 1'!$B:$B,$A242,'Таблиця 1'!$I:$I,"Mi-8",'Таблиця 1'!$J:$J,"Thales-FZ")+SUMIFS('Таблиця 1'!$K:$K,'Таблиця 1'!$B:$B,$A242,'Таблиця 1'!$I:$I,"Mi-24",'Таблиця 1'!$J:$J,"Thales-FZ"))</f>
        <v/>
      </c>
      <c r="M242">
        <f>IF($A242="","",SUMIFS('Таблиця 1'!$K:$K,'Таблиця 1'!$B:$B,$A242,'Таблиця 1'!$I:$I,"Mi-8",'Таблиця 1'!$J:$J,"МК-40")+SUMIFS('Таблиця 1'!$K:$K,'Таблиця 1'!$B:$B,$A242,'Таблиця 1'!$I:$I,"Mi-24",'Таблиця 1'!$J:$J,"МК-40"))</f>
        <v/>
      </c>
      <c r="N242">
        <f>IF($A242="","",SUMIFS('Таблиця 1'!$K:$K,'Таблиця 1'!$B:$B,$A242,'Таблиця 1'!$I:$I,"Mi-8",'Таблиця 1'!$J:$J,"Zuni")+SUMIFS('Таблиця 1'!$K:$K,'Таблиця 1'!$B:$B,$A242,'Таблиця 1'!$I:$I,"Mi-24",'Таблиця 1'!$J:$J,"Zuni"))</f>
        <v/>
      </c>
      <c r="O242">
        <f>IF($A242="","",COUNTIFS('Таблиця 1'!$B:$B,$A242,'Таблиця 1'!$I:$I,"Mi-8",'Таблиця 1'!$L:$L,"Уражено")+COUNTIFS('Таблиця 1'!$B:$B,$A242,'Таблиця 1'!$I:$I,"Mi-24",'Таблиця 1'!$L:$L,"Уражено"))</f>
        <v/>
      </c>
      <c r="P242">
        <f>IF($A242="","",COUNTIFS('Таблиця 1'!$B:$B,$A242,'Таблиця 1'!$I:$I,"Mi-8",'Таблиця 1'!$L:$L,"НЕ уражено")+COUNTIFS('Таблиця 1'!$B:$B,$A242,'Таблиця 1'!$I:$I,"Mi-24",'Таблиця 1'!$L:$L,"НЕ уражено"))</f>
        <v/>
      </c>
    </row>
    <row r="243">
      <c r="A243" s="273">
        <f>IF(A242="","",IF(A242+1&gt;MAX('Таблиця 1'!$B:$B),"",A242+1))</f>
        <v/>
      </c>
      <c r="B243">
        <f>IF($A243="","",COUNTIFS('Таблиця 1'!$B:$B,$A243,'Таблиця 1'!$I:$I,"Mi-8")+COUNTIFS('Таблиця 1'!$B:$B,$A243,'Таблиця 1'!$I:$I,"Mi-24"))</f>
        <v/>
      </c>
      <c r="C243">
        <f>IF($A243="","",COUNTIFS('Таблиця 1'!$B:$B,$A243,'Таблиця 1'!$I:$I,"Mi-8"))</f>
        <v/>
      </c>
      <c r="D243">
        <f>IF($A243="","",COUNTIFS('Таблиця 1'!$B:$B,$A243,'Таблиця 1'!$I:$I,"Mi-24"))</f>
        <v/>
      </c>
      <c r="E243">
        <f>IF($A243="","",SUMIFS('Таблиця 1'!$K:$K,'Таблиця 1'!$B:$B,$A243,'Таблиця 1'!$I:$I,"Mi-8",'Таблиця 1'!$J:$J,"ARS-8")+SUMIFS('Таблиця 1'!$K:$K,'Таблиця 1'!$B:$B,$A243,'Таблиця 1'!$I:$I,"Mi-24",'Таблиця 1'!$J:$J,"ARS-8"))</f>
        <v/>
      </c>
      <c r="F243">
        <f>IF($A243="","",SUMIFS('Таблиця 1'!$K:$K,'Таблиця 1'!$B:$B,$A243,'Таблиця 1'!$I:$I,"Mi-8",'Таблиця 1'!$J:$J,"С-8 ком")+SUMIFS('Таблиця 1'!$K:$K,'Таблиця 1'!$B:$B,$A243,'Таблиця 1'!$I:$I,"Mi-24",'Таблиця 1'!$J:$J,"С-8 ком"))</f>
        <v/>
      </c>
      <c r="G243">
        <f>IF($A243="","",SUMIFS('Таблиця 1'!$K:$K,'Таблиця 1'!$B:$B,$A243,'Таблиця 1'!$I:$I,"Mi-8",'Таблиця 1'!$J:$J,"PC-80")+SUMIFS('Таблиця 1'!$K:$K,'Таблиця 1'!$B:$B,$A243,'Таблиця 1'!$I:$I,"Mi-24",'Таблиця 1'!$J:$J,"PC-80"))</f>
        <v/>
      </c>
      <c r="H243">
        <f>IF($A243="","",SUMIFS('Таблиця 1'!$K:$K,'Таблиця 1'!$B:$B,$A243,'Таблиця 1'!$I:$I,"Mi-8",'Таблиця 1'!$J:$J,"UAR-80")+SUMIFS('Таблиця 1'!$K:$K,'Таблиця 1'!$B:$B,$A243,'Таблиця 1'!$I:$I,"Mi-24",'Таблиця 1'!$J:$J,"UAR-80"))</f>
        <v/>
      </c>
      <c r="I243">
        <f>IF($A243="","",SUMIFS('Таблиця 1'!$K:$K,'Таблиця 1'!$B:$B,$A243,'Таблиця 1'!$I:$I,"Mi-8",'Таблиця 1'!$J:$J,"C-13")+SUMIFS('Таблиця 1'!$K:$K,'Таблиця 1'!$B:$B,$A243,'Таблиця 1'!$I:$I,"Mi-24",'Таблиця 1'!$J:$J,"C-13"))</f>
        <v/>
      </c>
      <c r="J243">
        <f>IF($A243="","",SUMIFS('Таблиця 1'!$K:$K,'Таблиця 1'!$B:$B,$A243,'Таблиця 1'!$I:$I,"Mi-8",'Таблиця 1'!$J:$J,"Hydra-70")+SUMIFS('Таблиця 1'!$K:$K,'Таблиця 1'!$B:$B,$A243,'Таблиця 1'!$I:$I,"Mi-24",'Таблиця 1'!$J:$J,"Hydra-70"))</f>
        <v/>
      </c>
      <c r="K243">
        <f>IF($A243="","",SUMIFS('Таблиця 1'!$K:$K,'Таблиця 1'!$B:$B,$A243,'Таблиця 1'!$I:$I,"Mi-8",'Таблиця 1'!$J:$J,"Thales-70")+SUMIFS('Таблиця 1'!$K:$K,'Таблиця 1'!$B:$B,$A243,'Таблиця 1'!$I:$I,"Mi-24",'Таблиця 1'!$J:$J,"Thales-70"))</f>
        <v/>
      </c>
      <c r="L243">
        <f>IF($A243="","",SUMIFS('Таблиця 1'!$K:$K,'Таблиця 1'!$B:$B,$A243,'Таблиця 1'!$I:$I,"Mi-8",'Таблиця 1'!$J:$J,"Thales-FZ")+SUMIFS('Таблиця 1'!$K:$K,'Таблиця 1'!$B:$B,$A243,'Таблиця 1'!$I:$I,"Mi-24",'Таблиця 1'!$J:$J,"Thales-FZ"))</f>
        <v/>
      </c>
      <c r="M243">
        <f>IF($A243="","",SUMIFS('Таблиця 1'!$K:$K,'Таблиця 1'!$B:$B,$A243,'Таблиця 1'!$I:$I,"Mi-8",'Таблиця 1'!$J:$J,"МК-40")+SUMIFS('Таблиця 1'!$K:$K,'Таблиця 1'!$B:$B,$A243,'Таблиця 1'!$I:$I,"Mi-24",'Таблиця 1'!$J:$J,"МК-40"))</f>
        <v/>
      </c>
      <c r="N243">
        <f>IF($A243="","",SUMIFS('Таблиця 1'!$K:$K,'Таблиця 1'!$B:$B,$A243,'Таблиця 1'!$I:$I,"Mi-8",'Таблиця 1'!$J:$J,"Zuni")+SUMIFS('Таблиця 1'!$K:$K,'Таблиця 1'!$B:$B,$A243,'Таблиця 1'!$I:$I,"Mi-24",'Таблиця 1'!$J:$J,"Zuni"))</f>
        <v/>
      </c>
      <c r="O243">
        <f>IF($A243="","",COUNTIFS('Таблиця 1'!$B:$B,$A243,'Таблиця 1'!$I:$I,"Mi-8",'Таблиця 1'!$L:$L,"Уражено")+COUNTIFS('Таблиця 1'!$B:$B,$A243,'Таблиця 1'!$I:$I,"Mi-24",'Таблиця 1'!$L:$L,"Уражено"))</f>
        <v/>
      </c>
      <c r="P243">
        <f>IF($A243="","",COUNTIFS('Таблиця 1'!$B:$B,$A243,'Таблиця 1'!$I:$I,"Mi-8",'Таблиця 1'!$L:$L,"НЕ уражено")+COUNTIFS('Таблиця 1'!$B:$B,$A243,'Таблиця 1'!$I:$I,"Mi-24",'Таблиця 1'!$L:$L,"НЕ уражено"))</f>
        <v/>
      </c>
    </row>
    <row r="244">
      <c r="A244" s="273">
        <f>IF(A243="","",IF(A243+1&gt;MAX('Таблиця 1'!$B:$B),"",A243+1))</f>
        <v/>
      </c>
      <c r="B244">
        <f>IF($A244="","",COUNTIFS('Таблиця 1'!$B:$B,$A244,'Таблиця 1'!$I:$I,"Mi-8")+COUNTIFS('Таблиця 1'!$B:$B,$A244,'Таблиця 1'!$I:$I,"Mi-24"))</f>
        <v/>
      </c>
      <c r="C244">
        <f>IF($A244="","",COUNTIFS('Таблиця 1'!$B:$B,$A244,'Таблиця 1'!$I:$I,"Mi-8"))</f>
        <v/>
      </c>
      <c r="D244">
        <f>IF($A244="","",COUNTIFS('Таблиця 1'!$B:$B,$A244,'Таблиця 1'!$I:$I,"Mi-24"))</f>
        <v/>
      </c>
      <c r="E244">
        <f>IF($A244="","",SUMIFS('Таблиця 1'!$K:$K,'Таблиця 1'!$B:$B,$A244,'Таблиця 1'!$I:$I,"Mi-8",'Таблиця 1'!$J:$J,"ARS-8")+SUMIFS('Таблиця 1'!$K:$K,'Таблиця 1'!$B:$B,$A244,'Таблиця 1'!$I:$I,"Mi-24",'Таблиця 1'!$J:$J,"ARS-8"))</f>
        <v/>
      </c>
      <c r="F244">
        <f>IF($A244="","",SUMIFS('Таблиця 1'!$K:$K,'Таблиця 1'!$B:$B,$A244,'Таблиця 1'!$I:$I,"Mi-8",'Таблиця 1'!$J:$J,"С-8 ком")+SUMIFS('Таблиця 1'!$K:$K,'Таблиця 1'!$B:$B,$A244,'Таблиця 1'!$I:$I,"Mi-24",'Таблиця 1'!$J:$J,"С-8 ком"))</f>
        <v/>
      </c>
      <c r="G244">
        <f>IF($A244="","",SUMIFS('Таблиця 1'!$K:$K,'Таблиця 1'!$B:$B,$A244,'Таблиця 1'!$I:$I,"Mi-8",'Таблиця 1'!$J:$J,"PC-80")+SUMIFS('Таблиця 1'!$K:$K,'Таблиця 1'!$B:$B,$A244,'Таблиця 1'!$I:$I,"Mi-24",'Таблиця 1'!$J:$J,"PC-80"))</f>
        <v/>
      </c>
      <c r="H244">
        <f>IF($A244="","",SUMIFS('Таблиця 1'!$K:$K,'Таблиця 1'!$B:$B,$A244,'Таблиця 1'!$I:$I,"Mi-8",'Таблиця 1'!$J:$J,"UAR-80")+SUMIFS('Таблиця 1'!$K:$K,'Таблиця 1'!$B:$B,$A244,'Таблиця 1'!$I:$I,"Mi-24",'Таблиця 1'!$J:$J,"UAR-80"))</f>
        <v/>
      </c>
      <c r="I244">
        <f>IF($A244="","",SUMIFS('Таблиця 1'!$K:$K,'Таблиця 1'!$B:$B,$A244,'Таблиця 1'!$I:$I,"Mi-8",'Таблиця 1'!$J:$J,"C-13")+SUMIFS('Таблиця 1'!$K:$K,'Таблиця 1'!$B:$B,$A244,'Таблиця 1'!$I:$I,"Mi-24",'Таблиця 1'!$J:$J,"C-13"))</f>
        <v/>
      </c>
      <c r="J244">
        <f>IF($A244="","",SUMIFS('Таблиця 1'!$K:$K,'Таблиця 1'!$B:$B,$A244,'Таблиця 1'!$I:$I,"Mi-8",'Таблиця 1'!$J:$J,"Hydra-70")+SUMIFS('Таблиця 1'!$K:$K,'Таблиця 1'!$B:$B,$A244,'Таблиця 1'!$I:$I,"Mi-24",'Таблиця 1'!$J:$J,"Hydra-70"))</f>
        <v/>
      </c>
      <c r="K244">
        <f>IF($A244="","",SUMIFS('Таблиця 1'!$K:$K,'Таблиця 1'!$B:$B,$A244,'Таблиця 1'!$I:$I,"Mi-8",'Таблиця 1'!$J:$J,"Thales-70")+SUMIFS('Таблиця 1'!$K:$K,'Таблиця 1'!$B:$B,$A244,'Таблиця 1'!$I:$I,"Mi-24",'Таблиця 1'!$J:$J,"Thales-70"))</f>
        <v/>
      </c>
      <c r="L244">
        <f>IF($A244="","",SUMIFS('Таблиця 1'!$K:$K,'Таблиця 1'!$B:$B,$A244,'Таблиця 1'!$I:$I,"Mi-8",'Таблиця 1'!$J:$J,"Thales-FZ")+SUMIFS('Таблиця 1'!$K:$K,'Таблиця 1'!$B:$B,$A244,'Таблиця 1'!$I:$I,"Mi-24",'Таблиця 1'!$J:$J,"Thales-FZ"))</f>
        <v/>
      </c>
      <c r="M244">
        <f>IF($A244="","",SUMIFS('Таблиця 1'!$K:$K,'Таблиця 1'!$B:$B,$A244,'Таблиця 1'!$I:$I,"Mi-8",'Таблиця 1'!$J:$J,"МК-40")+SUMIFS('Таблиця 1'!$K:$K,'Таблиця 1'!$B:$B,$A244,'Таблиця 1'!$I:$I,"Mi-24",'Таблиця 1'!$J:$J,"МК-40"))</f>
        <v/>
      </c>
      <c r="N244">
        <f>IF($A244="","",SUMIFS('Таблиця 1'!$K:$K,'Таблиця 1'!$B:$B,$A244,'Таблиця 1'!$I:$I,"Mi-8",'Таблиця 1'!$J:$J,"Zuni")+SUMIFS('Таблиця 1'!$K:$K,'Таблиця 1'!$B:$B,$A244,'Таблиця 1'!$I:$I,"Mi-24",'Таблиця 1'!$J:$J,"Zuni"))</f>
        <v/>
      </c>
      <c r="O244">
        <f>IF($A244="","",COUNTIFS('Таблиця 1'!$B:$B,$A244,'Таблиця 1'!$I:$I,"Mi-8",'Таблиця 1'!$L:$L,"Уражено")+COUNTIFS('Таблиця 1'!$B:$B,$A244,'Таблиця 1'!$I:$I,"Mi-24",'Таблиця 1'!$L:$L,"Уражено"))</f>
        <v/>
      </c>
      <c r="P244">
        <f>IF($A244="","",COUNTIFS('Таблиця 1'!$B:$B,$A244,'Таблиця 1'!$I:$I,"Mi-8",'Таблиця 1'!$L:$L,"НЕ уражено")+COUNTIFS('Таблиця 1'!$B:$B,$A244,'Таблиця 1'!$I:$I,"Mi-24",'Таблиця 1'!$L:$L,"НЕ уражено"))</f>
        <v/>
      </c>
    </row>
    <row r="245">
      <c r="A245" s="273">
        <f>IF(A244="","",IF(A244+1&gt;MAX('Таблиця 1'!$B:$B),"",A244+1))</f>
        <v/>
      </c>
      <c r="B245">
        <f>IF($A245="","",COUNTIFS('Таблиця 1'!$B:$B,$A245,'Таблиця 1'!$I:$I,"Mi-8")+COUNTIFS('Таблиця 1'!$B:$B,$A245,'Таблиця 1'!$I:$I,"Mi-24"))</f>
        <v/>
      </c>
      <c r="C245">
        <f>IF($A245="","",COUNTIFS('Таблиця 1'!$B:$B,$A245,'Таблиця 1'!$I:$I,"Mi-8"))</f>
        <v/>
      </c>
      <c r="D245">
        <f>IF($A245="","",COUNTIFS('Таблиця 1'!$B:$B,$A245,'Таблиця 1'!$I:$I,"Mi-24"))</f>
        <v/>
      </c>
      <c r="E245">
        <f>IF($A245="","",SUMIFS('Таблиця 1'!$K:$K,'Таблиця 1'!$B:$B,$A245,'Таблиця 1'!$I:$I,"Mi-8",'Таблиця 1'!$J:$J,"ARS-8")+SUMIFS('Таблиця 1'!$K:$K,'Таблиця 1'!$B:$B,$A245,'Таблиця 1'!$I:$I,"Mi-24",'Таблиця 1'!$J:$J,"ARS-8"))</f>
        <v/>
      </c>
      <c r="F245">
        <f>IF($A245="","",SUMIFS('Таблиця 1'!$K:$K,'Таблиця 1'!$B:$B,$A245,'Таблиця 1'!$I:$I,"Mi-8",'Таблиця 1'!$J:$J,"С-8 ком")+SUMIFS('Таблиця 1'!$K:$K,'Таблиця 1'!$B:$B,$A245,'Таблиця 1'!$I:$I,"Mi-24",'Таблиця 1'!$J:$J,"С-8 ком"))</f>
        <v/>
      </c>
      <c r="G245">
        <f>IF($A245="","",SUMIFS('Таблиця 1'!$K:$K,'Таблиця 1'!$B:$B,$A245,'Таблиця 1'!$I:$I,"Mi-8",'Таблиця 1'!$J:$J,"PC-80")+SUMIFS('Таблиця 1'!$K:$K,'Таблиця 1'!$B:$B,$A245,'Таблиця 1'!$I:$I,"Mi-24",'Таблиця 1'!$J:$J,"PC-80"))</f>
        <v/>
      </c>
      <c r="H245">
        <f>IF($A245="","",SUMIFS('Таблиця 1'!$K:$K,'Таблиця 1'!$B:$B,$A245,'Таблиця 1'!$I:$I,"Mi-8",'Таблиця 1'!$J:$J,"UAR-80")+SUMIFS('Таблиця 1'!$K:$K,'Таблиця 1'!$B:$B,$A245,'Таблиця 1'!$I:$I,"Mi-24",'Таблиця 1'!$J:$J,"UAR-80"))</f>
        <v/>
      </c>
      <c r="I245">
        <f>IF($A245="","",SUMIFS('Таблиця 1'!$K:$K,'Таблиця 1'!$B:$B,$A245,'Таблиця 1'!$I:$I,"Mi-8",'Таблиця 1'!$J:$J,"C-13")+SUMIFS('Таблиця 1'!$K:$K,'Таблиця 1'!$B:$B,$A245,'Таблиця 1'!$I:$I,"Mi-24",'Таблиця 1'!$J:$J,"C-13"))</f>
        <v/>
      </c>
      <c r="J245">
        <f>IF($A245="","",SUMIFS('Таблиця 1'!$K:$K,'Таблиця 1'!$B:$B,$A245,'Таблиця 1'!$I:$I,"Mi-8",'Таблиця 1'!$J:$J,"Hydra-70")+SUMIFS('Таблиця 1'!$K:$K,'Таблиця 1'!$B:$B,$A245,'Таблиця 1'!$I:$I,"Mi-24",'Таблиця 1'!$J:$J,"Hydra-70"))</f>
        <v/>
      </c>
      <c r="K245">
        <f>IF($A245="","",SUMIFS('Таблиця 1'!$K:$K,'Таблиця 1'!$B:$B,$A245,'Таблиця 1'!$I:$I,"Mi-8",'Таблиця 1'!$J:$J,"Thales-70")+SUMIFS('Таблиця 1'!$K:$K,'Таблиця 1'!$B:$B,$A245,'Таблиця 1'!$I:$I,"Mi-24",'Таблиця 1'!$J:$J,"Thales-70"))</f>
        <v/>
      </c>
      <c r="L245">
        <f>IF($A245="","",SUMIFS('Таблиця 1'!$K:$K,'Таблиця 1'!$B:$B,$A245,'Таблиця 1'!$I:$I,"Mi-8",'Таблиця 1'!$J:$J,"Thales-FZ")+SUMIFS('Таблиця 1'!$K:$K,'Таблиця 1'!$B:$B,$A245,'Таблиця 1'!$I:$I,"Mi-24",'Таблиця 1'!$J:$J,"Thales-FZ"))</f>
        <v/>
      </c>
      <c r="M245">
        <f>IF($A245="","",SUMIFS('Таблиця 1'!$K:$K,'Таблиця 1'!$B:$B,$A245,'Таблиця 1'!$I:$I,"Mi-8",'Таблиця 1'!$J:$J,"МК-40")+SUMIFS('Таблиця 1'!$K:$K,'Таблиця 1'!$B:$B,$A245,'Таблиця 1'!$I:$I,"Mi-24",'Таблиця 1'!$J:$J,"МК-40"))</f>
        <v/>
      </c>
      <c r="N245">
        <f>IF($A245="","",SUMIFS('Таблиця 1'!$K:$K,'Таблиця 1'!$B:$B,$A245,'Таблиця 1'!$I:$I,"Mi-8",'Таблиця 1'!$J:$J,"Zuni")+SUMIFS('Таблиця 1'!$K:$K,'Таблиця 1'!$B:$B,$A245,'Таблиця 1'!$I:$I,"Mi-24",'Таблиця 1'!$J:$J,"Zuni"))</f>
        <v/>
      </c>
      <c r="O245">
        <f>IF($A245="","",COUNTIFS('Таблиця 1'!$B:$B,$A245,'Таблиця 1'!$I:$I,"Mi-8",'Таблиця 1'!$L:$L,"Уражено")+COUNTIFS('Таблиця 1'!$B:$B,$A245,'Таблиця 1'!$I:$I,"Mi-24",'Таблиця 1'!$L:$L,"Уражено"))</f>
        <v/>
      </c>
      <c r="P245">
        <f>IF($A245="","",COUNTIFS('Таблиця 1'!$B:$B,$A245,'Таблиця 1'!$I:$I,"Mi-8",'Таблиця 1'!$L:$L,"НЕ уражено")+COUNTIFS('Таблиця 1'!$B:$B,$A245,'Таблиця 1'!$I:$I,"Mi-24",'Таблиця 1'!$L:$L,"НЕ уражено"))</f>
        <v/>
      </c>
    </row>
    <row r="246">
      <c r="A246" s="273">
        <f>IF(A245="","",IF(A245+1&gt;MAX('Таблиця 1'!$B:$B),"",A245+1))</f>
        <v/>
      </c>
      <c r="B246">
        <f>IF($A246="","",COUNTIFS('Таблиця 1'!$B:$B,$A246,'Таблиця 1'!$I:$I,"Mi-8")+COUNTIFS('Таблиця 1'!$B:$B,$A246,'Таблиця 1'!$I:$I,"Mi-24"))</f>
        <v/>
      </c>
      <c r="C246">
        <f>IF($A246="","",COUNTIFS('Таблиця 1'!$B:$B,$A246,'Таблиця 1'!$I:$I,"Mi-8"))</f>
        <v/>
      </c>
      <c r="D246">
        <f>IF($A246="","",COUNTIFS('Таблиця 1'!$B:$B,$A246,'Таблиця 1'!$I:$I,"Mi-24"))</f>
        <v/>
      </c>
      <c r="E246">
        <f>IF($A246="","",SUMIFS('Таблиця 1'!$K:$K,'Таблиця 1'!$B:$B,$A246,'Таблиця 1'!$I:$I,"Mi-8",'Таблиця 1'!$J:$J,"ARS-8")+SUMIFS('Таблиця 1'!$K:$K,'Таблиця 1'!$B:$B,$A246,'Таблиця 1'!$I:$I,"Mi-24",'Таблиця 1'!$J:$J,"ARS-8"))</f>
        <v/>
      </c>
      <c r="F246">
        <f>IF($A246="","",SUMIFS('Таблиця 1'!$K:$K,'Таблиця 1'!$B:$B,$A246,'Таблиця 1'!$I:$I,"Mi-8",'Таблиця 1'!$J:$J,"С-8 ком")+SUMIFS('Таблиця 1'!$K:$K,'Таблиця 1'!$B:$B,$A246,'Таблиця 1'!$I:$I,"Mi-24",'Таблиця 1'!$J:$J,"С-8 ком"))</f>
        <v/>
      </c>
      <c r="G246">
        <f>IF($A246="","",SUMIFS('Таблиця 1'!$K:$K,'Таблиця 1'!$B:$B,$A246,'Таблиця 1'!$I:$I,"Mi-8",'Таблиця 1'!$J:$J,"PC-80")+SUMIFS('Таблиця 1'!$K:$K,'Таблиця 1'!$B:$B,$A246,'Таблиця 1'!$I:$I,"Mi-24",'Таблиця 1'!$J:$J,"PC-80"))</f>
        <v/>
      </c>
      <c r="H246">
        <f>IF($A246="","",SUMIFS('Таблиця 1'!$K:$K,'Таблиця 1'!$B:$B,$A246,'Таблиця 1'!$I:$I,"Mi-8",'Таблиця 1'!$J:$J,"UAR-80")+SUMIFS('Таблиця 1'!$K:$K,'Таблиця 1'!$B:$B,$A246,'Таблиця 1'!$I:$I,"Mi-24",'Таблиця 1'!$J:$J,"UAR-80"))</f>
        <v/>
      </c>
      <c r="I246">
        <f>IF($A246="","",SUMIFS('Таблиця 1'!$K:$K,'Таблиця 1'!$B:$B,$A246,'Таблиця 1'!$I:$I,"Mi-8",'Таблиця 1'!$J:$J,"C-13")+SUMIFS('Таблиця 1'!$K:$K,'Таблиця 1'!$B:$B,$A246,'Таблиця 1'!$I:$I,"Mi-24",'Таблиця 1'!$J:$J,"C-13"))</f>
        <v/>
      </c>
      <c r="J246">
        <f>IF($A246="","",SUMIFS('Таблиця 1'!$K:$K,'Таблиця 1'!$B:$B,$A246,'Таблиця 1'!$I:$I,"Mi-8",'Таблиця 1'!$J:$J,"Hydra-70")+SUMIFS('Таблиця 1'!$K:$K,'Таблиця 1'!$B:$B,$A246,'Таблиця 1'!$I:$I,"Mi-24",'Таблиця 1'!$J:$J,"Hydra-70"))</f>
        <v/>
      </c>
      <c r="K246">
        <f>IF($A246="","",SUMIFS('Таблиця 1'!$K:$K,'Таблиця 1'!$B:$B,$A246,'Таблиця 1'!$I:$I,"Mi-8",'Таблиця 1'!$J:$J,"Thales-70")+SUMIFS('Таблиця 1'!$K:$K,'Таблиця 1'!$B:$B,$A246,'Таблиця 1'!$I:$I,"Mi-24",'Таблиця 1'!$J:$J,"Thales-70"))</f>
        <v/>
      </c>
      <c r="L246">
        <f>IF($A246="","",SUMIFS('Таблиця 1'!$K:$K,'Таблиця 1'!$B:$B,$A246,'Таблиця 1'!$I:$I,"Mi-8",'Таблиця 1'!$J:$J,"Thales-FZ")+SUMIFS('Таблиця 1'!$K:$K,'Таблиця 1'!$B:$B,$A246,'Таблиця 1'!$I:$I,"Mi-24",'Таблиця 1'!$J:$J,"Thales-FZ"))</f>
        <v/>
      </c>
      <c r="M246">
        <f>IF($A246="","",SUMIFS('Таблиця 1'!$K:$K,'Таблиця 1'!$B:$B,$A246,'Таблиця 1'!$I:$I,"Mi-8",'Таблиця 1'!$J:$J,"МК-40")+SUMIFS('Таблиця 1'!$K:$K,'Таблиця 1'!$B:$B,$A246,'Таблиця 1'!$I:$I,"Mi-24",'Таблиця 1'!$J:$J,"МК-40"))</f>
        <v/>
      </c>
      <c r="N246">
        <f>IF($A246="","",SUMIFS('Таблиця 1'!$K:$K,'Таблиця 1'!$B:$B,$A246,'Таблиця 1'!$I:$I,"Mi-8",'Таблиця 1'!$J:$J,"Zuni")+SUMIFS('Таблиця 1'!$K:$K,'Таблиця 1'!$B:$B,$A246,'Таблиця 1'!$I:$I,"Mi-24",'Таблиця 1'!$J:$J,"Zuni"))</f>
        <v/>
      </c>
      <c r="O246">
        <f>IF($A246="","",COUNTIFS('Таблиця 1'!$B:$B,$A246,'Таблиця 1'!$I:$I,"Mi-8",'Таблиця 1'!$L:$L,"Уражено")+COUNTIFS('Таблиця 1'!$B:$B,$A246,'Таблиця 1'!$I:$I,"Mi-24",'Таблиця 1'!$L:$L,"Уражено"))</f>
        <v/>
      </c>
      <c r="P246">
        <f>IF($A246="","",COUNTIFS('Таблиця 1'!$B:$B,$A246,'Таблиця 1'!$I:$I,"Mi-8",'Таблиця 1'!$L:$L,"НЕ уражено")+COUNTIFS('Таблиця 1'!$B:$B,$A246,'Таблиця 1'!$I:$I,"Mi-24",'Таблиця 1'!$L:$L,"НЕ уражено"))</f>
        <v/>
      </c>
    </row>
    <row r="247">
      <c r="A247" s="273">
        <f>IF(A246="","",IF(A246+1&gt;MAX('Таблиця 1'!$B:$B),"",A246+1))</f>
        <v/>
      </c>
      <c r="B247">
        <f>IF($A247="","",COUNTIFS('Таблиця 1'!$B:$B,$A247,'Таблиця 1'!$I:$I,"Mi-8")+COUNTIFS('Таблиця 1'!$B:$B,$A247,'Таблиця 1'!$I:$I,"Mi-24"))</f>
        <v/>
      </c>
      <c r="C247">
        <f>IF($A247="","",COUNTIFS('Таблиця 1'!$B:$B,$A247,'Таблиця 1'!$I:$I,"Mi-8"))</f>
        <v/>
      </c>
      <c r="D247">
        <f>IF($A247="","",COUNTIFS('Таблиця 1'!$B:$B,$A247,'Таблиця 1'!$I:$I,"Mi-24"))</f>
        <v/>
      </c>
      <c r="E247">
        <f>IF($A247="","",SUMIFS('Таблиця 1'!$K:$K,'Таблиця 1'!$B:$B,$A247,'Таблиця 1'!$I:$I,"Mi-8",'Таблиця 1'!$J:$J,"ARS-8")+SUMIFS('Таблиця 1'!$K:$K,'Таблиця 1'!$B:$B,$A247,'Таблиця 1'!$I:$I,"Mi-24",'Таблиця 1'!$J:$J,"ARS-8"))</f>
        <v/>
      </c>
      <c r="F247">
        <f>IF($A247="","",SUMIFS('Таблиця 1'!$K:$K,'Таблиця 1'!$B:$B,$A247,'Таблиця 1'!$I:$I,"Mi-8",'Таблиця 1'!$J:$J,"С-8 ком")+SUMIFS('Таблиця 1'!$K:$K,'Таблиця 1'!$B:$B,$A247,'Таблиця 1'!$I:$I,"Mi-24",'Таблиця 1'!$J:$J,"С-8 ком"))</f>
        <v/>
      </c>
      <c r="G247">
        <f>IF($A247="","",SUMIFS('Таблиця 1'!$K:$K,'Таблиця 1'!$B:$B,$A247,'Таблиця 1'!$I:$I,"Mi-8",'Таблиця 1'!$J:$J,"PC-80")+SUMIFS('Таблиця 1'!$K:$K,'Таблиця 1'!$B:$B,$A247,'Таблиця 1'!$I:$I,"Mi-24",'Таблиця 1'!$J:$J,"PC-80"))</f>
        <v/>
      </c>
      <c r="H247">
        <f>IF($A247="","",SUMIFS('Таблиця 1'!$K:$K,'Таблиця 1'!$B:$B,$A247,'Таблиця 1'!$I:$I,"Mi-8",'Таблиця 1'!$J:$J,"UAR-80")+SUMIFS('Таблиця 1'!$K:$K,'Таблиця 1'!$B:$B,$A247,'Таблиця 1'!$I:$I,"Mi-24",'Таблиця 1'!$J:$J,"UAR-80"))</f>
        <v/>
      </c>
      <c r="I247">
        <f>IF($A247="","",SUMIFS('Таблиця 1'!$K:$K,'Таблиця 1'!$B:$B,$A247,'Таблиця 1'!$I:$I,"Mi-8",'Таблиця 1'!$J:$J,"C-13")+SUMIFS('Таблиця 1'!$K:$K,'Таблиця 1'!$B:$B,$A247,'Таблиця 1'!$I:$I,"Mi-24",'Таблиця 1'!$J:$J,"C-13"))</f>
        <v/>
      </c>
      <c r="J247">
        <f>IF($A247="","",SUMIFS('Таблиця 1'!$K:$K,'Таблиця 1'!$B:$B,$A247,'Таблиця 1'!$I:$I,"Mi-8",'Таблиця 1'!$J:$J,"Hydra-70")+SUMIFS('Таблиця 1'!$K:$K,'Таблиця 1'!$B:$B,$A247,'Таблиця 1'!$I:$I,"Mi-24",'Таблиця 1'!$J:$J,"Hydra-70"))</f>
        <v/>
      </c>
      <c r="K247">
        <f>IF($A247="","",SUMIFS('Таблиця 1'!$K:$K,'Таблиця 1'!$B:$B,$A247,'Таблиця 1'!$I:$I,"Mi-8",'Таблиця 1'!$J:$J,"Thales-70")+SUMIFS('Таблиця 1'!$K:$K,'Таблиця 1'!$B:$B,$A247,'Таблиця 1'!$I:$I,"Mi-24",'Таблиця 1'!$J:$J,"Thales-70"))</f>
        <v/>
      </c>
      <c r="L247">
        <f>IF($A247="","",SUMIFS('Таблиця 1'!$K:$K,'Таблиця 1'!$B:$B,$A247,'Таблиця 1'!$I:$I,"Mi-8",'Таблиця 1'!$J:$J,"Thales-FZ")+SUMIFS('Таблиця 1'!$K:$K,'Таблиця 1'!$B:$B,$A247,'Таблиця 1'!$I:$I,"Mi-24",'Таблиця 1'!$J:$J,"Thales-FZ"))</f>
        <v/>
      </c>
      <c r="M247">
        <f>IF($A247="","",SUMIFS('Таблиця 1'!$K:$K,'Таблиця 1'!$B:$B,$A247,'Таблиця 1'!$I:$I,"Mi-8",'Таблиця 1'!$J:$J,"МК-40")+SUMIFS('Таблиця 1'!$K:$K,'Таблиця 1'!$B:$B,$A247,'Таблиця 1'!$I:$I,"Mi-24",'Таблиця 1'!$J:$J,"МК-40"))</f>
        <v/>
      </c>
      <c r="N247">
        <f>IF($A247="","",SUMIFS('Таблиця 1'!$K:$K,'Таблиця 1'!$B:$B,$A247,'Таблиця 1'!$I:$I,"Mi-8",'Таблиця 1'!$J:$J,"Zuni")+SUMIFS('Таблиця 1'!$K:$K,'Таблиця 1'!$B:$B,$A247,'Таблиця 1'!$I:$I,"Mi-24",'Таблиця 1'!$J:$J,"Zuni"))</f>
        <v/>
      </c>
      <c r="O247">
        <f>IF($A247="","",COUNTIFS('Таблиця 1'!$B:$B,$A247,'Таблиця 1'!$I:$I,"Mi-8",'Таблиця 1'!$L:$L,"Уражено")+COUNTIFS('Таблиця 1'!$B:$B,$A247,'Таблиця 1'!$I:$I,"Mi-24",'Таблиця 1'!$L:$L,"Уражено"))</f>
        <v/>
      </c>
      <c r="P247">
        <f>IF($A247="","",COUNTIFS('Таблиця 1'!$B:$B,$A247,'Таблиця 1'!$I:$I,"Mi-8",'Таблиця 1'!$L:$L,"НЕ уражено")+COUNTIFS('Таблиця 1'!$B:$B,$A247,'Таблиця 1'!$I:$I,"Mi-24",'Таблиця 1'!$L:$L,"НЕ уражено"))</f>
        <v/>
      </c>
    </row>
    <row r="248">
      <c r="A248" s="273">
        <f>IF(A247="","",IF(A247+1&gt;MAX('Таблиця 1'!$B:$B),"",A247+1))</f>
        <v/>
      </c>
      <c r="B248">
        <f>IF($A248="","",COUNTIFS('Таблиця 1'!$B:$B,$A248,'Таблиця 1'!$I:$I,"Mi-8")+COUNTIFS('Таблиця 1'!$B:$B,$A248,'Таблиця 1'!$I:$I,"Mi-24"))</f>
        <v/>
      </c>
      <c r="C248">
        <f>IF($A248="","",COUNTIFS('Таблиця 1'!$B:$B,$A248,'Таблиця 1'!$I:$I,"Mi-8"))</f>
        <v/>
      </c>
      <c r="D248">
        <f>IF($A248="","",COUNTIFS('Таблиця 1'!$B:$B,$A248,'Таблиця 1'!$I:$I,"Mi-24"))</f>
        <v/>
      </c>
      <c r="E248">
        <f>IF($A248="","",SUMIFS('Таблиця 1'!$K:$K,'Таблиця 1'!$B:$B,$A248,'Таблиця 1'!$I:$I,"Mi-8",'Таблиця 1'!$J:$J,"ARS-8")+SUMIFS('Таблиця 1'!$K:$K,'Таблиця 1'!$B:$B,$A248,'Таблиця 1'!$I:$I,"Mi-24",'Таблиця 1'!$J:$J,"ARS-8"))</f>
        <v/>
      </c>
      <c r="F248">
        <f>IF($A248="","",SUMIFS('Таблиця 1'!$K:$K,'Таблиця 1'!$B:$B,$A248,'Таблиця 1'!$I:$I,"Mi-8",'Таблиця 1'!$J:$J,"С-8 ком")+SUMIFS('Таблиця 1'!$K:$K,'Таблиця 1'!$B:$B,$A248,'Таблиця 1'!$I:$I,"Mi-24",'Таблиця 1'!$J:$J,"С-8 ком"))</f>
        <v/>
      </c>
      <c r="G248">
        <f>IF($A248="","",SUMIFS('Таблиця 1'!$K:$K,'Таблиця 1'!$B:$B,$A248,'Таблиця 1'!$I:$I,"Mi-8",'Таблиця 1'!$J:$J,"PC-80")+SUMIFS('Таблиця 1'!$K:$K,'Таблиця 1'!$B:$B,$A248,'Таблиця 1'!$I:$I,"Mi-24",'Таблиця 1'!$J:$J,"PC-80"))</f>
        <v/>
      </c>
      <c r="H248">
        <f>IF($A248="","",SUMIFS('Таблиця 1'!$K:$K,'Таблиця 1'!$B:$B,$A248,'Таблиця 1'!$I:$I,"Mi-8",'Таблиця 1'!$J:$J,"UAR-80")+SUMIFS('Таблиця 1'!$K:$K,'Таблиця 1'!$B:$B,$A248,'Таблиця 1'!$I:$I,"Mi-24",'Таблиця 1'!$J:$J,"UAR-80"))</f>
        <v/>
      </c>
      <c r="I248">
        <f>IF($A248="","",SUMIFS('Таблиця 1'!$K:$K,'Таблиця 1'!$B:$B,$A248,'Таблиця 1'!$I:$I,"Mi-8",'Таблиця 1'!$J:$J,"C-13")+SUMIFS('Таблиця 1'!$K:$K,'Таблиця 1'!$B:$B,$A248,'Таблиця 1'!$I:$I,"Mi-24",'Таблиця 1'!$J:$J,"C-13"))</f>
        <v/>
      </c>
      <c r="J248">
        <f>IF($A248="","",SUMIFS('Таблиця 1'!$K:$K,'Таблиця 1'!$B:$B,$A248,'Таблиця 1'!$I:$I,"Mi-8",'Таблиця 1'!$J:$J,"Hydra-70")+SUMIFS('Таблиця 1'!$K:$K,'Таблиця 1'!$B:$B,$A248,'Таблиця 1'!$I:$I,"Mi-24",'Таблиця 1'!$J:$J,"Hydra-70"))</f>
        <v/>
      </c>
      <c r="K248">
        <f>IF($A248="","",SUMIFS('Таблиця 1'!$K:$K,'Таблиця 1'!$B:$B,$A248,'Таблиця 1'!$I:$I,"Mi-8",'Таблиця 1'!$J:$J,"Thales-70")+SUMIFS('Таблиця 1'!$K:$K,'Таблиця 1'!$B:$B,$A248,'Таблиця 1'!$I:$I,"Mi-24",'Таблиця 1'!$J:$J,"Thales-70"))</f>
        <v/>
      </c>
      <c r="L248">
        <f>IF($A248="","",SUMIFS('Таблиця 1'!$K:$K,'Таблиця 1'!$B:$B,$A248,'Таблиця 1'!$I:$I,"Mi-8",'Таблиця 1'!$J:$J,"Thales-FZ")+SUMIFS('Таблиця 1'!$K:$K,'Таблиця 1'!$B:$B,$A248,'Таблиця 1'!$I:$I,"Mi-24",'Таблиця 1'!$J:$J,"Thales-FZ"))</f>
        <v/>
      </c>
      <c r="M248">
        <f>IF($A248="","",SUMIFS('Таблиця 1'!$K:$K,'Таблиця 1'!$B:$B,$A248,'Таблиця 1'!$I:$I,"Mi-8",'Таблиця 1'!$J:$J,"МК-40")+SUMIFS('Таблиця 1'!$K:$K,'Таблиця 1'!$B:$B,$A248,'Таблиця 1'!$I:$I,"Mi-24",'Таблиця 1'!$J:$J,"МК-40"))</f>
        <v/>
      </c>
      <c r="N248">
        <f>IF($A248="","",SUMIFS('Таблиця 1'!$K:$K,'Таблиця 1'!$B:$B,$A248,'Таблиця 1'!$I:$I,"Mi-8",'Таблиця 1'!$J:$J,"Zuni")+SUMIFS('Таблиця 1'!$K:$K,'Таблиця 1'!$B:$B,$A248,'Таблиця 1'!$I:$I,"Mi-24",'Таблиця 1'!$J:$J,"Zuni"))</f>
        <v/>
      </c>
      <c r="O248">
        <f>IF($A248="","",COUNTIFS('Таблиця 1'!$B:$B,$A248,'Таблиця 1'!$I:$I,"Mi-8",'Таблиця 1'!$L:$L,"Уражено")+COUNTIFS('Таблиця 1'!$B:$B,$A248,'Таблиця 1'!$I:$I,"Mi-24",'Таблиця 1'!$L:$L,"Уражено"))</f>
        <v/>
      </c>
      <c r="P248">
        <f>IF($A248="","",COUNTIFS('Таблиця 1'!$B:$B,$A248,'Таблиця 1'!$I:$I,"Mi-8",'Таблиця 1'!$L:$L,"НЕ уражено")+COUNTIFS('Таблиця 1'!$B:$B,$A248,'Таблиця 1'!$I:$I,"Mi-24",'Таблиця 1'!$L:$L,"НЕ уражено"))</f>
        <v/>
      </c>
    </row>
    <row r="249">
      <c r="A249" s="273">
        <f>IF(A248="","",IF(A248+1&gt;MAX('Таблиця 1'!$B:$B),"",A248+1))</f>
        <v/>
      </c>
      <c r="B249">
        <f>IF($A249="","",COUNTIFS('Таблиця 1'!$B:$B,$A249,'Таблиця 1'!$I:$I,"Mi-8")+COUNTIFS('Таблиця 1'!$B:$B,$A249,'Таблиця 1'!$I:$I,"Mi-24"))</f>
        <v/>
      </c>
      <c r="C249">
        <f>IF($A249="","",COUNTIFS('Таблиця 1'!$B:$B,$A249,'Таблиця 1'!$I:$I,"Mi-8"))</f>
        <v/>
      </c>
      <c r="D249">
        <f>IF($A249="","",COUNTIFS('Таблиця 1'!$B:$B,$A249,'Таблиця 1'!$I:$I,"Mi-24"))</f>
        <v/>
      </c>
      <c r="E249">
        <f>IF($A249="","",SUMIFS('Таблиця 1'!$K:$K,'Таблиця 1'!$B:$B,$A249,'Таблиця 1'!$I:$I,"Mi-8",'Таблиця 1'!$J:$J,"ARS-8")+SUMIFS('Таблиця 1'!$K:$K,'Таблиця 1'!$B:$B,$A249,'Таблиця 1'!$I:$I,"Mi-24",'Таблиця 1'!$J:$J,"ARS-8"))</f>
        <v/>
      </c>
      <c r="F249">
        <f>IF($A249="","",SUMIFS('Таблиця 1'!$K:$K,'Таблиця 1'!$B:$B,$A249,'Таблиця 1'!$I:$I,"Mi-8",'Таблиця 1'!$J:$J,"С-8 ком")+SUMIFS('Таблиця 1'!$K:$K,'Таблиця 1'!$B:$B,$A249,'Таблиця 1'!$I:$I,"Mi-24",'Таблиця 1'!$J:$J,"С-8 ком"))</f>
        <v/>
      </c>
      <c r="G249">
        <f>IF($A249="","",SUMIFS('Таблиця 1'!$K:$K,'Таблиця 1'!$B:$B,$A249,'Таблиця 1'!$I:$I,"Mi-8",'Таблиця 1'!$J:$J,"PC-80")+SUMIFS('Таблиця 1'!$K:$K,'Таблиця 1'!$B:$B,$A249,'Таблиця 1'!$I:$I,"Mi-24",'Таблиця 1'!$J:$J,"PC-80"))</f>
        <v/>
      </c>
      <c r="H249">
        <f>IF($A249="","",SUMIFS('Таблиця 1'!$K:$K,'Таблиця 1'!$B:$B,$A249,'Таблиця 1'!$I:$I,"Mi-8",'Таблиця 1'!$J:$J,"UAR-80")+SUMIFS('Таблиця 1'!$K:$K,'Таблиця 1'!$B:$B,$A249,'Таблиця 1'!$I:$I,"Mi-24",'Таблиця 1'!$J:$J,"UAR-80"))</f>
        <v/>
      </c>
      <c r="I249">
        <f>IF($A249="","",SUMIFS('Таблиця 1'!$K:$K,'Таблиця 1'!$B:$B,$A249,'Таблиця 1'!$I:$I,"Mi-8",'Таблиця 1'!$J:$J,"C-13")+SUMIFS('Таблиця 1'!$K:$K,'Таблиця 1'!$B:$B,$A249,'Таблиця 1'!$I:$I,"Mi-24",'Таблиця 1'!$J:$J,"C-13"))</f>
        <v/>
      </c>
      <c r="J249">
        <f>IF($A249="","",SUMIFS('Таблиця 1'!$K:$K,'Таблиця 1'!$B:$B,$A249,'Таблиця 1'!$I:$I,"Mi-8",'Таблиця 1'!$J:$J,"Hydra-70")+SUMIFS('Таблиця 1'!$K:$K,'Таблиця 1'!$B:$B,$A249,'Таблиця 1'!$I:$I,"Mi-24",'Таблиця 1'!$J:$J,"Hydra-70"))</f>
        <v/>
      </c>
      <c r="K249">
        <f>IF($A249="","",SUMIFS('Таблиця 1'!$K:$K,'Таблиця 1'!$B:$B,$A249,'Таблиця 1'!$I:$I,"Mi-8",'Таблиця 1'!$J:$J,"Thales-70")+SUMIFS('Таблиця 1'!$K:$K,'Таблиця 1'!$B:$B,$A249,'Таблиця 1'!$I:$I,"Mi-24",'Таблиця 1'!$J:$J,"Thales-70"))</f>
        <v/>
      </c>
      <c r="L249">
        <f>IF($A249="","",SUMIFS('Таблиця 1'!$K:$K,'Таблиця 1'!$B:$B,$A249,'Таблиця 1'!$I:$I,"Mi-8",'Таблиця 1'!$J:$J,"Thales-FZ")+SUMIFS('Таблиця 1'!$K:$K,'Таблиця 1'!$B:$B,$A249,'Таблиця 1'!$I:$I,"Mi-24",'Таблиця 1'!$J:$J,"Thales-FZ"))</f>
        <v/>
      </c>
      <c r="M249">
        <f>IF($A249="","",SUMIFS('Таблиця 1'!$K:$K,'Таблиця 1'!$B:$B,$A249,'Таблиця 1'!$I:$I,"Mi-8",'Таблиця 1'!$J:$J,"МК-40")+SUMIFS('Таблиця 1'!$K:$K,'Таблиця 1'!$B:$B,$A249,'Таблиця 1'!$I:$I,"Mi-24",'Таблиця 1'!$J:$J,"МК-40"))</f>
        <v/>
      </c>
      <c r="N249">
        <f>IF($A249="","",SUMIFS('Таблиця 1'!$K:$K,'Таблиця 1'!$B:$B,$A249,'Таблиця 1'!$I:$I,"Mi-8",'Таблиця 1'!$J:$J,"Zuni")+SUMIFS('Таблиця 1'!$K:$K,'Таблиця 1'!$B:$B,$A249,'Таблиця 1'!$I:$I,"Mi-24",'Таблиця 1'!$J:$J,"Zuni"))</f>
        <v/>
      </c>
      <c r="O249">
        <f>IF($A249="","",COUNTIFS('Таблиця 1'!$B:$B,$A249,'Таблиця 1'!$I:$I,"Mi-8",'Таблиця 1'!$L:$L,"Уражено")+COUNTIFS('Таблиця 1'!$B:$B,$A249,'Таблиця 1'!$I:$I,"Mi-24",'Таблиця 1'!$L:$L,"Уражено"))</f>
        <v/>
      </c>
      <c r="P249">
        <f>IF($A249="","",COUNTIFS('Таблиця 1'!$B:$B,$A249,'Таблиця 1'!$I:$I,"Mi-8",'Таблиця 1'!$L:$L,"НЕ уражено")+COUNTIFS('Таблиця 1'!$B:$B,$A249,'Таблиця 1'!$I:$I,"Mi-24",'Таблиця 1'!$L:$L,"НЕ уражено"))</f>
        <v/>
      </c>
    </row>
    <row r="250">
      <c r="A250" s="273">
        <f>IF(A249="","",IF(A249+1&gt;MAX('Таблиця 1'!$B:$B),"",A249+1))</f>
        <v/>
      </c>
      <c r="B250">
        <f>IF($A250="","",COUNTIFS('Таблиця 1'!$B:$B,$A250,'Таблиця 1'!$I:$I,"Mi-8")+COUNTIFS('Таблиця 1'!$B:$B,$A250,'Таблиця 1'!$I:$I,"Mi-24"))</f>
        <v/>
      </c>
      <c r="C250">
        <f>IF($A250="","",COUNTIFS('Таблиця 1'!$B:$B,$A250,'Таблиця 1'!$I:$I,"Mi-8"))</f>
        <v/>
      </c>
      <c r="D250">
        <f>IF($A250="","",COUNTIFS('Таблиця 1'!$B:$B,$A250,'Таблиця 1'!$I:$I,"Mi-24"))</f>
        <v/>
      </c>
      <c r="E250">
        <f>IF($A250="","",SUMIFS('Таблиця 1'!$K:$K,'Таблиця 1'!$B:$B,$A250,'Таблиця 1'!$I:$I,"Mi-8",'Таблиця 1'!$J:$J,"ARS-8")+SUMIFS('Таблиця 1'!$K:$K,'Таблиця 1'!$B:$B,$A250,'Таблиця 1'!$I:$I,"Mi-24",'Таблиця 1'!$J:$J,"ARS-8"))</f>
        <v/>
      </c>
      <c r="F250">
        <f>IF($A250="","",SUMIFS('Таблиця 1'!$K:$K,'Таблиця 1'!$B:$B,$A250,'Таблиця 1'!$I:$I,"Mi-8",'Таблиця 1'!$J:$J,"С-8 ком")+SUMIFS('Таблиця 1'!$K:$K,'Таблиця 1'!$B:$B,$A250,'Таблиця 1'!$I:$I,"Mi-24",'Таблиця 1'!$J:$J,"С-8 ком"))</f>
        <v/>
      </c>
      <c r="G250">
        <f>IF($A250="","",SUMIFS('Таблиця 1'!$K:$K,'Таблиця 1'!$B:$B,$A250,'Таблиця 1'!$I:$I,"Mi-8",'Таблиця 1'!$J:$J,"PC-80")+SUMIFS('Таблиця 1'!$K:$K,'Таблиця 1'!$B:$B,$A250,'Таблиця 1'!$I:$I,"Mi-24",'Таблиця 1'!$J:$J,"PC-80"))</f>
        <v/>
      </c>
      <c r="H250">
        <f>IF($A250="","",SUMIFS('Таблиця 1'!$K:$K,'Таблиця 1'!$B:$B,$A250,'Таблиця 1'!$I:$I,"Mi-8",'Таблиця 1'!$J:$J,"UAR-80")+SUMIFS('Таблиця 1'!$K:$K,'Таблиця 1'!$B:$B,$A250,'Таблиця 1'!$I:$I,"Mi-24",'Таблиця 1'!$J:$J,"UAR-80"))</f>
        <v/>
      </c>
      <c r="I250">
        <f>IF($A250="","",SUMIFS('Таблиця 1'!$K:$K,'Таблиця 1'!$B:$B,$A250,'Таблиця 1'!$I:$I,"Mi-8",'Таблиця 1'!$J:$J,"C-13")+SUMIFS('Таблиця 1'!$K:$K,'Таблиця 1'!$B:$B,$A250,'Таблиця 1'!$I:$I,"Mi-24",'Таблиця 1'!$J:$J,"C-13"))</f>
        <v/>
      </c>
      <c r="J250">
        <f>IF($A250="","",SUMIFS('Таблиця 1'!$K:$K,'Таблиця 1'!$B:$B,$A250,'Таблиця 1'!$I:$I,"Mi-8",'Таблиця 1'!$J:$J,"Hydra-70")+SUMIFS('Таблиця 1'!$K:$K,'Таблиця 1'!$B:$B,$A250,'Таблиця 1'!$I:$I,"Mi-24",'Таблиця 1'!$J:$J,"Hydra-70"))</f>
        <v/>
      </c>
      <c r="K250">
        <f>IF($A250="","",SUMIFS('Таблиця 1'!$K:$K,'Таблиця 1'!$B:$B,$A250,'Таблиця 1'!$I:$I,"Mi-8",'Таблиця 1'!$J:$J,"Thales-70")+SUMIFS('Таблиця 1'!$K:$K,'Таблиця 1'!$B:$B,$A250,'Таблиця 1'!$I:$I,"Mi-24",'Таблиця 1'!$J:$J,"Thales-70"))</f>
        <v/>
      </c>
      <c r="L250">
        <f>IF($A250="","",SUMIFS('Таблиця 1'!$K:$K,'Таблиця 1'!$B:$B,$A250,'Таблиця 1'!$I:$I,"Mi-8",'Таблиця 1'!$J:$J,"Thales-FZ")+SUMIFS('Таблиця 1'!$K:$K,'Таблиця 1'!$B:$B,$A250,'Таблиця 1'!$I:$I,"Mi-24",'Таблиця 1'!$J:$J,"Thales-FZ"))</f>
        <v/>
      </c>
      <c r="M250">
        <f>IF($A250="","",SUMIFS('Таблиця 1'!$K:$K,'Таблиця 1'!$B:$B,$A250,'Таблиця 1'!$I:$I,"Mi-8",'Таблиця 1'!$J:$J,"МК-40")+SUMIFS('Таблиця 1'!$K:$K,'Таблиця 1'!$B:$B,$A250,'Таблиця 1'!$I:$I,"Mi-24",'Таблиця 1'!$J:$J,"МК-40"))</f>
        <v/>
      </c>
      <c r="N250">
        <f>IF($A250="","",SUMIFS('Таблиця 1'!$K:$K,'Таблиця 1'!$B:$B,$A250,'Таблиця 1'!$I:$I,"Mi-8",'Таблиця 1'!$J:$J,"Zuni")+SUMIFS('Таблиця 1'!$K:$K,'Таблиця 1'!$B:$B,$A250,'Таблиця 1'!$I:$I,"Mi-24",'Таблиця 1'!$J:$J,"Zuni"))</f>
        <v/>
      </c>
      <c r="O250">
        <f>IF($A250="","",COUNTIFS('Таблиця 1'!$B:$B,$A250,'Таблиця 1'!$I:$I,"Mi-8",'Таблиця 1'!$L:$L,"Уражено")+COUNTIFS('Таблиця 1'!$B:$B,$A250,'Таблиця 1'!$I:$I,"Mi-24",'Таблиця 1'!$L:$L,"Уражено"))</f>
        <v/>
      </c>
      <c r="P250">
        <f>IF($A250="","",COUNTIFS('Таблиця 1'!$B:$B,$A250,'Таблиця 1'!$I:$I,"Mi-8",'Таблиця 1'!$L:$L,"НЕ уражено")+COUNTIFS('Таблиця 1'!$B:$B,$A250,'Таблиця 1'!$I:$I,"Mi-24",'Таблиця 1'!$L:$L,"НЕ уражено"))</f>
        <v/>
      </c>
    </row>
    <row r="251">
      <c r="A251" s="273">
        <f>IF(A250="","",IF(A250+1&gt;MAX('Таблиця 1'!$B:$B),"",A250+1))</f>
        <v/>
      </c>
      <c r="B251">
        <f>IF($A251="","",COUNTIFS('Таблиця 1'!$B:$B,$A251,'Таблиця 1'!$I:$I,"Mi-8")+COUNTIFS('Таблиця 1'!$B:$B,$A251,'Таблиця 1'!$I:$I,"Mi-24"))</f>
        <v/>
      </c>
      <c r="C251">
        <f>IF($A251="","",COUNTIFS('Таблиця 1'!$B:$B,$A251,'Таблиця 1'!$I:$I,"Mi-8"))</f>
        <v/>
      </c>
      <c r="D251">
        <f>IF($A251="","",COUNTIFS('Таблиця 1'!$B:$B,$A251,'Таблиця 1'!$I:$I,"Mi-24"))</f>
        <v/>
      </c>
      <c r="E251">
        <f>IF($A251="","",SUMIFS('Таблиця 1'!$K:$K,'Таблиця 1'!$B:$B,$A251,'Таблиця 1'!$I:$I,"Mi-8",'Таблиця 1'!$J:$J,"ARS-8")+SUMIFS('Таблиця 1'!$K:$K,'Таблиця 1'!$B:$B,$A251,'Таблиця 1'!$I:$I,"Mi-24",'Таблиця 1'!$J:$J,"ARS-8"))</f>
        <v/>
      </c>
      <c r="F251">
        <f>IF($A251="","",SUMIFS('Таблиця 1'!$K:$K,'Таблиця 1'!$B:$B,$A251,'Таблиця 1'!$I:$I,"Mi-8",'Таблиця 1'!$J:$J,"С-8 ком")+SUMIFS('Таблиця 1'!$K:$K,'Таблиця 1'!$B:$B,$A251,'Таблиця 1'!$I:$I,"Mi-24",'Таблиця 1'!$J:$J,"С-8 ком"))</f>
        <v/>
      </c>
      <c r="G251">
        <f>IF($A251="","",SUMIFS('Таблиця 1'!$K:$K,'Таблиця 1'!$B:$B,$A251,'Таблиця 1'!$I:$I,"Mi-8",'Таблиця 1'!$J:$J,"PC-80")+SUMIFS('Таблиця 1'!$K:$K,'Таблиця 1'!$B:$B,$A251,'Таблиця 1'!$I:$I,"Mi-24",'Таблиця 1'!$J:$J,"PC-80"))</f>
        <v/>
      </c>
      <c r="H251">
        <f>IF($A251="","",SUMIFS('Таблиця 1'!$K:$K,'Таблиця 1'!$B:$B,$A251,'Таблиця 1'!$I:$I,"Mi-8",'Таблиця 1'!$J:$J,"UAR-80")+SUMIFS('Таблиця 1'!$K:$K,'Таблиця 1'!$B:$B,$A251,'Таблиця 1'!$I:$I,"Mi-24",'Таблиця 1'!$J:$J,"UAR-80"))</f>
        <v/>
      </c>
      <c r="I251">
        <f>IF($A251="","",SUMIFS('Таблиця 1'!$K:$K,'Таблиця 1'!$B:$B,$A251,'Таблиця 1'!$I:$I,"Mi-8",'Таблиця 1'!$J:$J,"C-13")+SUMIFS('Таблиця 1'!$K:$K,'Таблиця 1'!$B:$B,$A251,'Таблиця 1'!$I:$I,"Mi-24",'Таблиця 1'!$J:$J,"C-13"))</f>
        <v/>
      </c>
      <c r="J251">
        <f>IF($A251="","",SUMIFS('Таблиця 1'!$K:$K,'Таблиця 1'!$B:$B,$A251,'Таблиця 1'!$I:$I,"Mi-8",'Таблиця 1'!$J:$J,"Hydra-70")+SUMIFS('Таблиця 1'!$K:$K,'Таблиця 1'!$B:$B,$A251,'Таблиця 1'!$I:$I,"Mi-24",'Таблиця 1'!$J:$J,"Hydra-70"))</f>
        <v/>
      </c>
      <c r="K251">
        <f>IF($A251="","",SUMIFS('Таблиця 1'!$K:$K,'Таблиця 1'!$B:$B,$A251,'Таблиця 1'!$I:$I,"Mi-8",'Таблиця 1'!$J:$J,"Thales-70")+SUMIFS('Таблиця 1'!$K:$K,'Таблиця 1'!$B:$B,$A251,'Таблиця 1'!$I:$I,"Mi-24",'Таблиця 1'!$J:$J,"Thales-70"))</f>
        <v/>
      </c>
      <c r="L251">
        <f>IF($A251="","",SUMIFS('Таблиця 1'!$K:$K,'Таблиця 1'!$B:$B,$A251,'Таблиця 1'!$I:$I,"Mi-8",'Таблиця 1'!$J:$J,"Thales-FZ")+SUMIFS('Таблиця 1'!$K:$K,'Таблиця 1'!$B:$B,$A251,'Таблиця 1'!$I:$I,"Mi-24",'Таблиця 1'!$J:$J,"Thales-FZ"))</f>
        <v/>
      </c>
      <c r="M251">
        <f>IF($A251="","",SUMIFS('Таблиця 1'!$K:$K,'Таблиця 1'!$B:$B,$A251,'Таблиця 1'!$I:$I,"Mi-8",'Таблиця 1'!$J:$J,"МК-40")+SUMIFS('Таблиця 1'!$K:$K,'Таблиця 1'!$B:$B,$A251,'Таблиця 1'!$I:$I,"Mi-24",'Таблиця 1'!$J:$J,"МК-40"))</f>
        <v/>
      </c>
      <c r="N251">
        <f>IF($A251="","",SUMIFS('Таблиця 1'!$K:$K,'Таблиця 1'!$B:$B,$A251,'Таблиця 1'!$I:$I,"Mi-8",'Таблиця 1'!$J:$J,"Zuni")+SUMIFS('Таблиця 1'!$K:$K,'Таблиця 1'!$B:$B,$A251,'Таблиця 1'!$I:$I,"Mi-24",'Таблиця 1'!$J:$J,"Zuni"))</f>
        <v/>
      </c>
      <c r="O251">
        <f>IF($A251="","",COUNTIFS('Таблиця 1'!$B:$B,$A251,'Таблиця 1'!$I:$I,"Mi-8",'Таблиця 1'!$L:$L,"Уражено")+COUNTIFS('Таблиця 1'!$B:$B,$A251,'Таблиця 1'!$I:$I,"Mi-24",'Таблиця 1'!$L:$L,"Уражено"))</f>
        <v/>
      </c>
      <c r="P251">
        <f>IF($A251="","",COUNTIFS('Таблиця 1'!$B:$B,$A251,'Таблиця 1'!$I:$I,"Mi-8",'Таблиця 1'!$L:$L,"НЕ уражено")+COUNTIFS('Таблиця 1'!$B:$B,$A251,'Таблиця 1'!$I:$I,"Mi-24",'Таблиця 1'!$L:$L,"НЕ уражено"))</f>
        <v/>
      </c>
    </row>
    <row r="252">
      <c r="A252" s="273">
        <f>IF(A251="","",IF(A251+1&gt;MAX('Таблиця 1'!$B:$B),"",A251+1))</f>
        <v/>
      </c>
      <c r="B252">
        <f>IF($A252="","",COUNTIFS('Таблиця 1'!$B:$B,$A252,'Таблиця 1'!$I:$I,"Mi-8")+COUNTIFS('Таблиця 1'!$B:$B,$A252,'Таблиця 1'!$I:$I,"Mi-24"))</f>
        <v/>
      </c>
      <c r="C252">
        <f>IF($A252="","",COUNTIFS('Таблиця 1'!$B:$B,$A252,'Таблиця 1'!$I:$I,"Mi-8"))</f>
        <v/>
      </c>
      <c r="D252">
        <f>IF($A252="","",COUNTIFS('Таблиця 1'!$B:$B,$A252,'Таблиця 1'!$I:$I,"Mi-24"))</f>
        <v/>
      </c>
      <c r="E252">
        <f>IF($A252="","",SUMIFS('Таблиця 1'!$K:$K,'Таблиця 1'!$B:$B,$A252,'Таблиця 1'!$I:$I,"Mi-8",'Таблиця 1'!$J:$J,"ARS-8")+SUMIFS('Таблиця 1'!$K:$K,'Таблиця 1'!$B:$B,$A252,'Таблиця 1'!$I:$I,"Mi-24",'Таблиця 1'!$J:$J,"ARS-8"))</f>
        <v/>
      </c>
      <c r="F252">
        <f>IF($A252="","",SUMIFS('Таблиця 1'!$K:$K,'Таблиця 1'!$B:$B,$A252,'Таблиця 1'!$I:$I,"Mi-8",'Таблиця 1'!$J:$J,"С-8 ком")+SUMIFS('Таблиця 1'!$K:$K,'Таблиця 1'!$B:$B,$A252,'Таблиця 1'!$I:$I,"Mi-24",'Таблиця 1'!$J:$J,"С-8 ком"))</f>
        <v/>
      </c>
      <c r="G252">
        <f>IF($A252="","",SUMIFS('Таблиця 1'!$K:$K,'Таблиця 1'!$B:$B,$A252,'Таблиця 1'!$I:$I,"Mi-8",'Таблиця 1'!$J:$J,"PC-80")+SUMIFS('Таблиця 1'!$K:$K,'Таблиця 1'!$B:$B,$A252,'Таблиця 1'!$I:$I,"Mi-24",'Таблиця 1'!$J:$J,"PC-80"))</f>
        <v/>
      </c>
      <c r="H252">
        <f>IF($A252="","",SUMIFS('Таблиця 1'!$K:$K,'Таблиця 1'!$B:$B,$A252,'Таблиця 1'!$I:$I,"Mi-8",'Таблиця 1'!$J:$J,"UAR-80")+SUMIFS('Таблиця 1'!$K:$K,'Таблиця 1'!$B:$B,$A252,'Таблиця 1'!$I:$I,"Mi-24",'Таблиця 1'!$J:$J,"UAR-80"))</f>
        <v/>
      </c>
      <c r="I252">
        <f>IF($A252="","",SUMIFS('Таблиця 1'!$K:$K,'Таблиця 1'!$B:$B,$A252,'Таблиця 1'!$I:$I,"Mi-8",'Таблиця 1'!$J:$J,"C-13")+SUMIFS('Таблиця 1'!$K:$K,'Таблиця 1'!$B:$B,$A252,'Таблиця 1'!$I:$I,"Mi-24",'Таблиця 1'!$J:$J,"C-13"))</f>
        <v/>
      </c>
      <c r="J252">
        <f>IF($A252="","",SUMIFS('Таблиця 1'!$K:$K,'Таблиця 1'!$B:$B,$A252,'Таблиця 1'!$I:$I,"Mi-8",'Таблиця 1'!$J:$J,"Hydra-70")+SUMIFS('Таблиця 1'!$K:$K,'Таблиця 1'!$B:$B,$A252,'Таблиця 1'!$I:$I,"Mi-24",'Таблиця 1'!$J:$J,"Hydra-70"))</f>
        <v/>
      </c>
      <c r="K252">
        <f>IF($A252="","",SUMIFS('Таблиця 1'!$K:$K,'Таблиця 1'!$B:$B,$A252,'Таблиця 1'!$I:$I,"Mi-8",'Таблиця 1'!$J:$J,"Thales-70")+SUMIFS('Таблиця 1'!$K:$K,'Таблиця 1'!$B:$B,$A252,'Таблиця 1'!$I:$I,"Mi-24",'Таблиця 1'!$J:$J,"Thales-70"))</f>
        <v/>
      </c>
      <c r="L252">
        <f>IF($A252="","",SUMIFS('Таблиця 1'!$K:$K,'Таблиця 1'!$B:$B,$A252,'Таблиця 1'!$I:$I,"Mi-8",'Таблиця 1'!$J:$J,"Thales-FZ")+SUMIFS('Таблиця 1'!$K:$K,'Таблиця 1'!$B:$B,$A252,'Таблиця 1'!$I:$I,"Mi-24",'Таблиця 1'!$J:$J,"Thales-FZ"))</f>
        <v/>
      </c>
      <c r="M252">
        <f>IF($A252="","",SUMIFS('Таблиця 1'!$K:$K,'Таблиця 1'!$B:$B,$A252,'Таблиця 1'!$I:$I,"Mi-8",'Таблиця 1'!$J:$J,"МК-40")+SUMIFS('Таблиця 1'!$K:$K,'Таблиця 1'!$B:$B,$A252,'Таблиця 1'!$I:$I,"Mi-24",'Таблиця 1'!$J:$J,"МК-40"))</f>
        <v/>
      </c>
      <c r="N252">
        <f>IF($A252="","",SUMIFS('Таблиця 1'!$K:$K,'Таблиця 1'!$B:$B,$A252,'Таблиця 1'!$I:$I,"Mi-8",'Таблиця 1'!$J:$J,"Zuni")+SUMIFS('Таблиця 1'!$K:$K,'Таблиця 1'!$B:$B,$A252,'Таблиця 1'!$I:$I,"Mi-24",'Таблиця 1'!$J:$J,"Zuni"))</f>
        <v/>
      </c>
      <c r="O252">
        <f>IF($A252="","",COUNTIFS('Таблиця 1'!$B:$B,$A252,'Таблиця 1'!$I:$I,"Mi-8",'Таблиця 1'!$L:$L,"Уражено")+COUNTIFS('Таблиця 1'!$B:$B,$A252,'Таблиця 1'!$I:$I,"Mi-24",'Таблиця 1'!$L:$L,"Уражено"))</f>
        <v/>
      </c>
      <c r="P252">
        <f>IF($A252="","",COUNTIFS('Таблиця 1'!$B:$B,$A252,'Таблиця 1'!$I:$I,"Mi-8",'Таблиця 1'!$L:$L,"НЕ уражено")+COUNTIFS('Таблиця 1'!$B:$B,$A252,'Таблиця 1'!$I:$I,"Mi-24",'Таблиця 1'!$L:$L,"НЕ уражено"))</f>
        <v/>
      </c>
    </row>
    <row r="253">
      <c r="A253" s="273">
        <f>IF(A252="","",IF(A252+1&gt;MAX('Таблиця 1'!$B:$B),"",A252+1))</f>
        <v/>
      </c>
      <c r="B253">
        <f>IF($A253="","",COUNTIFS('Таблиця 1'!$B:$B,$A253,'Таблиця 1'!$I:$I,"Mi-8")+COUNTIFS('Таблиця 1'!$B:$B,$A253,'Таблиця 1'!$I:$I,"Mi-24"))</f>
        <v/>
      </c>
      <c r="C253">
        <f>IF($A253="","",COUNTIFS('Таблиця 1'!$B:$B,$A253,'Таблиця 1'!$I:$I,"Mi-8"))</f>
        <v/>
      </c>
      <c r="D253">
        <f>IF($A253="","",COUNTIFS('Таблиця 1'!$B:$B,$A253,'Таблиця 1'!$I:$I,"Mi-24"))</f>
        <v/>
      </c>
      <c r="E253">
        <f>IF($A253="","",SUMIFS('Таблиця 1'!$K:$K,'Таблиця 1'!$B:$B,$A253,'Таблиця 1'!$I:$I,"Mi-8",'Таблиця 1'!$J:$J,"ARS-8")+SUMIFS('Таблиця 1'!$K:$K,'Таблиця 1'!$B:$B,$A253,'Таблиця 1'!$I:$I,"Mi-24",'Таблиця 1'!$J:$J,"ARS-8"))</f>
        <v/>
      </c>
      <c r="F253">
        <f>IF($A253="","",SUMIFS('Таблиця 1'!$K:$K,'Таблиця 1'!$B:$B,$A253,'Таблиця 1'!$I:$I,"Mi-8",'Таблиця 1'!$J:$J,"С-8 ком")+SUMIFS('Таблиця 1'!$K:$K,'Таблиця 1'!$B:$B,$A253,'Таблиця 1'!$I:$I,"Mi-24",'Таблиця 1'!$J:$J,"С-8 ком"))</f>
        <v/>
      </c>
      <c r="G253">
        <f>IF($A253="","",SUMIFS('Таблиця 1'!$K:$K,'Таблиця 1'!$B:$B,$A253,'Таблиця 1'!$I:$I,"Mi-8",'Таблиця 1'!$J:$J,"PC-80")+SUMIFS('Таблиця 1'!$K:$K,'Таблиця 1'!$B:$B,$A253,'Таблиця 1'!$I:$I,"Mi-24",'Таблиця 1'!$J:$J,"PC-80"))</f>
        <v/>
      </c>
      <c r="H253">
        <f>IF($A253="","",SUMIFS('Таблиця 1'!$K:$K,'Таблиця 1'!$B:$B,$A253,'Таблиця 1'!$I:$I,"Mi-8",'Таблиця 1'!$J:$J,"UAR-80")+SUMIFS('Таблиця 1'!$K:$K,'Таблиця 1'!$B:$B,$A253,'Таблиця 1'!$I:$I,"Mi-24",'Таблиця 1'!$J:$J,"UAR-80"))</f>
        <v/>
      </c>
      <c r="I253">
        <f>IF($A253="","",SUMIFS('Таблиця 1'!$K:$K,'Таблиця 1'!$B:$B,$A253,'Таблиця 1'!$I:$I,"Mi-8",'Таблиця 1'!$J:$J,"C-13")+SUMIFS('Таблиця 1'!$K:$K,'Таблиця 1'!$B:$B,$A253,'Таблиця 1'!$I:$I,"Mi-24",'Таблиця 1'!$J:$J,"C-13"))</f>
        <v/>
      </c>
      <c r="J253">
        <f>IF($A253="","",SUMIFS('Таблиця 1'!$K:$K,'Таблиця 1'!$B:$B,$A253,'Таблиця 1'!$I:$I,"Mi-8",'Таблиця 1'!$J:$J,"Hydra-70")+SUMIFS('Таблиця 1'!$K:$K,'Таблиця 1'!$B:$B,$A253,'Таблиця 1'!$I:$I,"Mi-24",'Таблиця 1'!$J:$J,"Hydra-70"))</f>
        <v/>
      </c>
      <c r="K253">
        <f>IF($A253="","",SUMIFS('Таблиця 1'!$K:$K,'Таблиця 1'!$B:$B,$A253,'Таблиця 1'!$I:$I,"Mi-8",'Таблиця 1'!$J:$J,"Thales-70")+SUMIFS('Таблиця 1'!$K:$K,'Таблиця 1'!$B:$B,$A253,'Таблиця 1'!$I:$I,"Mi-24",'Таблиця 1'!$J:$J,"Thales-70"))</f>
        <v/>
      </c>
      <c r="L253">
        <f>IF($A253="","",SUMIFS('Таблиця 1'!$K:$K,'Таблиця 1'!$B:$B,$A253,'Таблиця 1'!$I:$I,"Mi-8",'Таблиця 1'!$J:$J,"Thales-FZ")+SUMIFS('Таблиця 1'!$K:$K,'Таблиця 1'!$B:$B,$A253,'Таблиця 1'!$I:$I,"Mi-24",'Таблиця 1'!$J:$J,"Thales-FZ"))</f>
        <v/>
      </c>
      <c r="M253">
        <f>IF($A253="","",SUMIFS('Таблиця 1'!$K:$K,'Таблиця 1'!$B:$B,$A253,'Таблиця 1'!$I:$I,"Mi-8",'Таблиця 1'!$J:$J,"МК-40")+SUMIFS('Таблиця 1'!$K:$K,'Таблиця 1'!$B:$B,$A253,'Таблиця 1'!$I:$I,"Mi-24",'Таблиця 1'!$J:$J,"МК-40"))</f>
        <v/>
      </c>
      <c r="N253">
        <f>IF($A253="","",SUMIFS('Таблиця 1'!$K:$K,'Таблиця 1'!$B:$B,$A253,'Таблиця 1'!$I:$I,"Mi-8",'Таблиця 1'!$J:$J,"Zuni")+SUMIFS('Таблиця 1'!$K:$K,'Таблиця 1'!$B:$B,$A253,'Таблиця 1'!$I:$I,"Mi-24",'Таблиця 1'!$J:$J,"Zuni"))</f>
        <v/>
      </c>
      <c r="O253">
        <f>IF($A253="","",COUNTIFS('Таблиця 1'!$B:$B,$A253,'Таблиця 1'!$I:$I,"Mi-8",'Таблиця 1'!$L:$L,"Уражено")+COUNTIFS('Таблиця 1'!$B:$B,$A253,'Таблиця 1'!$I:$I,"Mi-24",'Таблиця 1'!$L:$L,"Уражено"))</f>
        <v/>
      </c>
      <c r="P253">
        <f>IF($A253="","",COUNTIFS('Таблиця 1'!$B:$B,$A253,'Таблиця 1'!$I:$I,"Mi-8",'Таблиця 1'!$L:$L,"НЕ уражено")+COUNTIFS('Таблиця 1'!$B:$B,$A253,'Таблиця 1'!$I:$I,"Mi-24",'Таблиця 1'!$L:$L,"НЕ уражено"))</f>
        <v/>
      </c>
    </row>
    <row r="254">
      <c r="A254" s="273">
        <f>IF(A253="","",IF(A253+1&gt;MAX('Таблиця 1'!$B:$B),"",A253+1))</f>
        <v/>
      </c>
      <c r="B254">
        <f>IF($A254="","",COUNTIFS('Таблиця 1'!$B:$B,$A254,'Таблиця 1'!$I:$I,"Mi-8")+COUNTIFS('Таблиця 1'!$B:$B,$A254,'Таблиця 1'!$I:$I,"Mi-24"))</f>
        <v/>
      </c>
      <c r="C254">
        <f>IF($A254="","",COUNTIFS('Таблиця 1'!$B:$B,$A254,'Таблиця 1'!$I:$I,"Mi-8"))</f>
        <v/>
      </c>
      <c r="D254">
        <f>IF($A254="","",COUNTIFS('Таблиця 1'!$B:$B,$A254,'Таблиця 1'!$I:$I,"Mi-24"))</f>
        <v/>
      </c>
      <c r="E254">
        <f>IF($A254="","",SUMIFS('Таблиця 1'!$K:$K,'Таблиця 1'!$B:$B,$A254,'Таблиця 1'!$I:$I,"Mi-8",'Таблиця 1'!$J:$J,"ARS-8")+SUMIFS('Таблиця 1'!$K:$K,'Таблиця 1'!$B:$B,$A254,'Таблиця 1'!$I:$I,"Mi-24",'Таблиця 1'!$J:$J,"ARS-8"))</f>
        <v/>
      </c>
      <c r="F254">
        <f>IF($A254="","",SUMIFS('Таблиця 1'!$K:$K,'Таблиця 1'!$B:$B,$A254,'Таблиця 1'!$I:$I,"Mi-8",'Таблиця 1'!$J:$J,"С-8 ком")+SUMIFS('Таблиця 1'!$K:$K,'Таблиця 1'!$B:$B,$A254,'Таблиця 1'!$I:$I,"Mi-24",'Таблиця 1'!$J:$J,"С-8 ком"))</f>
        <v/>
      </c>
      <c r="G254">
        <f>IF($A254="","",SUMIFS('Таблиця 1'!$K:$K,'Таблиця 1'!$B:$B,$A254,'Таблиця 1'!$I:$I,"Mi-8",'Таблиця 1'!$J:$J,"PC-80")+SUMIFS('Таблиця 1'!$K:$K,'Таблиця 1'!$B:$B,$A254,'Таблиця 1'!$I:$I,"Mi-24",'Таблиця 1'!$J:$J,"PC-80"))</f>
        <v/>
      </c>
      <c r="H254">
        <f>IF($A254="","",SUMIFS('Таблиця 1'!$K:$K,'Таблиця 1'!$B:$B,$A254,'Таблиця 1'!$I:$I,"Mi-8",'Таблиця 1'!$J:$J,"UAR-80")+SUMIFS('Таблиця 1'!$K:$K,'Таблиця 1'!$B:$B,$A254,'Таблиця 1'!$I:$I,"Mi-24",'Таблиця 1'!$J:$J,"UAR-80"))</f>
        <v/>
      </c>
      <c r="I254">
        <f>IF($A254="","",SUMIFS('Таблиця 1'!$K:$K,'Таблиця 1'!$B:$B,$A254,'Таблиця 1'!$I:$I,"Mi-8",'Таблиця 1'!$J:$J,"C-13")+SUMIFS('Таблиця 1'!$K:$K,'Таблиця 1'!$B:$B,$A254,'Таблиця 1'!$I:$I,"Mi-24",'Таблиця 1'!$J:$J,"C-13"))</f>
        <v/>
      </c>
      <c r="J254">
        <f>IF($A254="","",SUMIFS('Таблиця 1'!$K:$K,'Таблиця 1'!$B:$B,$A254,'Таблиця 1'!$I:$I,"Mi-8",'Таблиця 1'!$J:$J,"Hydra-70")+SUMIFS('Таблиця 1'!$K:$K,'Таблиця 1'!$B:$B,$A254,'Таблиця 1'!$I:$I,"Mi-24",'Таблиця 1'!$J:$J,"Hydra-70"))</f>
        <v/>
      </c>
      <c r="K254">
        <f>IF($A254="","",SUMIFS('Таблиця 1'!$K:$K,'Таблиця 1'!$B:$B,$A254,'Таблиця 1'!$I:$I,"Mi-8",'Таблиця 1'!$J:$J,"Thales-70")+SUMIFS('Таблиця 1'!$K:$K,'Таблиця 1'!$B:$B,$A254,'Таблиця 1'!$I:$I,"Mi-24",'Таблиця 1'!$J:$J,"Thales-70"))</f>
        <v/>
      </c>
      <c r="L254">
        <f>IF($A254="","",SUMIFS('Таблиця 1'!$K:$K,'Таблиця 1'!$B:$B,$A254,'Таблиця 1'!$I:$I,"Mi-8",'Таблиця 1'!$J:$J,"Thales-FZ")+SUMIFS('Таблиця 1'!$K:$K,'Таблиця 1'!$B:$B,$A254,'Таблиця 1'!$I:$I,"Mi-24",'Таблиця 1'!$J:$J,"Thales-FZ"))</f>
        <v/>
      </c>
      <c r="M254">
        <f>IF($A254="","",SUMIFS('Таблиця 1'!$K:$K,'Таблиця 1'!$B:$B,$A254,'Таблиця 1'!$I:$I,"Mi-8",'Таблиця 1'!$J:$J,"МК-40")+SUMIFS('Таблиця 1'!$K:$K,'Таблиця 1'!$B:$B,$A254,'Таблиця 1'!$I:$I,"Mi-24",'Таблиця 1'!$J:$J,"МК-40"))</f>
        <v/>
      </c>
      <c r="N254">
        <f>IF($A254="","",SUMIFS('Таблиця 1'!$K:$K,'Таблиця 1'!$B:$B,$A254,'Таблиця 1'!$I:$I,"Mi-8",'Таблиця 1'!$J:$J,"Zuni")+SUMIFS('Таблиця 1'!$K:$K,'Таблиця 1'!$B:$B,$A254,'Таблиця 1'!$I:$I,"Mi-24",'Таблиця 1'!$J:$J,"Zuni"))</f>
        <v/>
      </c>
      <c r="O254">
        <f>IF($A254="","",COUNTIFS('Таблиця 1'!$B:$B,$A254,'Таблиця 1'!$I:$I,"Mi-8",'Таблиця 1'!$L:$L,"Уражено")+COUNTIFS('Таблиця 1'!$B:$B,$A254,'Таблиця 1'!$I:$I,"Mi-24",'Таблиця 1'!$L:$L,"Уражено"))</f>
        <v/>
      </c>
      <c r="P254">
        <f>IF($A254="","",COUNTIFS('Таблиця 1'!$B:$B,$A254,'Таблиця 1'!$I:$I,"Mi-8",'Таблиця 1'!$L:$L,"НЕ уражено")+COUNTIFS('Таблиця 1'!$B:$B,$A254,'Таблиця 1'!$I:$I,"Mi-24",'Таблиця 1'!$L:$L,"НЕ уражено"))</f>
        <v/>
      </c>
    </row>
    <row r="255">
      <c r="A255" s="273">
        <f>IF(A254="","",IF(A254+1&gt;MAX('Таблиця 1'!$B:$B),"",A254+1))</f>
        <v/>
      </c>
      <c r="B255">
        <f>IF($A255="","",COUNTIFS('Таблиця 1'!$B:$B,$A255,'Таблиця 1'!$I:$I,"Mi-8")+COUNTIFS('Таблиця 1'!$B:$B,$A255,'Таблиця 1'!$I:$I,"Mi-24"))</f>
        <v/>
      </c>
      <c r="C255">
        <f>IF($A255="","",COUNTIFS('Таблиця 1'!$B:$B,$A255,'Таблиця 1'!$I:$I,"Mi-8"))</f>
        <v/>
      </c>
      <c r="D255">
        <f>IF($A255="","",COUNTIFS('Таблиця 1'!$B:$B,$A255,'Таблиця 1'!$I:$I,"Mi-24"))</f>
        <v/>
      </c>
      <c r="E255">
        <f>IF($A255="","",SUMIFS('Таблиця 1'!$K:$K,'Таблиця 1'!$B:$B,$A255,'Таблиця 1'!$I:$I,"Mi-8",'Таблиця 1'!$J:$J,"ARS-8")+SUMIFS('Таблиця 1'!$K:$K,'Таблиця 1'!$B:$B,$A255,'Таблиця 1'!$I:$I,"Mi-24",'Таблиця 1'!$J:$J,"ARS-8"))</f>
        <v/>
      </c>
      <c r="F255">
        <f>IF($A255="","",SUMIFS('Таблиця 1'!$K:$K,'Таблиця 1'!$B:$B,$A255,'Таблиця 1'!$I:$I,"Mi-8",'Таблиця 1'!$J:$J,"С-8 ком")+SUMIFS('Таблиця 1'!$K:$K,'Таблиця 1'!$B:$B,$A255,'Таблиця 1'!$I:$I,"Mi-24",'Таблиця 1'!$J:$J,"С-8 ком"))</f>
        <v/>
      </c>
      <c r="G255">
        <f>IF($A255="","",SUMIFS('Таблиця 1'!$K:$K,'Таблиця 1'!$B:$B,$A255,'Таблиця 1'!$I:$I,"Mi-8",'Таблиця 1'!$J:$J,"PC-80")+SUMIFS('Таблиця 1'!$K:$K,'Таблиця 1'!$B:$B,$A255,'Таблиця 1'!$I:$I,"Mi-24",'Таблиця 1'!$J:$J,"PC-80"))</f>
        <v/>
      </c>
      <c r="H255">
        <f>IF($A255="","",SUMIFS('Таблиця 1'!$K:$K,'Таблиця 1'!$B:$B,$A255,'Таблиця 1'!$I:$I,"Mi-8",'Таблиця 1'!$J:$J,"UAR-80")+SUMIFS('Таблиця 1'!$K:$K,'Таблиця 1'!$B:$B,$A255,'Таблиця 1'!$I:$I,"Mi-24",'Таблиця 1'!$J:$J,"UAR-80"))</f>
        <v/>
      </c>
      <c r="I255">
        <f>IF($A255="","",SUMIFS('Таблиця 1'!$K:$K,'Таблиця 1'!$B:$B,$A255,'Таблиця 1'!$I:$I,"Mi-8",'Таблиця 1'!$J:$J,"C-13")+SUMIFS('Таблиця 1'!$K:$K,'Таблиця 1'!$B:$B,$A255,'Таблиця 1'!$I:$I,"Mi-24",'Таблиця 1'!$J:$J,"C-13"))</f>
        <v/>
      </c>
      <c r="J255">
        <f>IF($A255="","",SUMIFS('Таблиця 1'!$K:$K,'Таблиця 1'!$B:$B,$A255,'Таблиця 1'!$I:$I,"Mi-8",'Таблиця 1'!$J:$J,"Hydra-70")+SUMIFS('Таблиця 1'!$K:$K,'Таблиця 1'!$B:$B,$A255,'Таблиця 1'!$I:$I,"Mi-24",'Таблиця 1'!$J:$J,"Hydra-70"))</f>
        <v/>
      </c>
      <c r="K255">
        <f>IF($A255="","",SUMIFS('Таблиця 1'!$K:$K,'Таблиця 1'!$B:$B,$A255,'Таблиця 1'!$I:$I,"Mi-8",'Таблиця 1'!$J:$J,"Thales-70")+SUMIFS('Таблиця 1'!$K:$K,'Таблиця 1'!$B:$B,$A255,'Таблиця 1'!$I:$I,"Mi-24",'Таблиця 1'!$J:$J,"Thales-70"))</f>
        <v/>
      </c>
      <c r="L255">
        <f>IF($A255="","",SUMIFS('Таблиця 1'!$K:$K,'Таблиця 1'!$B:$B,$A255,'Таблиця 1'!$I:$I,"Mi-8",'Таблиця 1'!$J:$J,"Thales-FZ")+SUMIFS('Таблиця 1'!$K:$K,'Таблиця 1'!$B:$B,$A255,'Таблиця 1'!$I:$I,"Mi-24",'Таблиця 1'!$J:$J,"Thales-FZ"))</f>
        <v/>
      </c>
      <c r="M255">
        <f>IF($A255="","",SUMIFS('Таблиця 1'!$K:$K,'Таблиця 1'!$B:$B,$A255,'Таблиця 1'!$I:$I,"Mi-8",'Таблиця 1'!$J:$J,"МК-40")+SUMIFS('Таблиця 1'!$K:$K,'Таблиця 1'!$B:$B,$A255,'Таблиця 1'!$I:$I,"Mi-24",'Таблиця 1'!$J:$J,"МК-40"))</f>
        <v/>
      </c>
      <c r="N255">
        <f>IF($A255="","",SUMIFS('Таблиця 1'!$K:$K,'Таблиця 1'!$B:$B,$A255,'Таблиця 1'!$I:$I,"Mi-8",'Таблиця 1'!$J:$J,"Zuni")+SUMIFS('Таблиця 1'!$K:$K,'Таблиця 1'!$B:$B,$A255,'Таблиця 1'!$I:$I,"Mi-24",'Таблиця 1'!$J:$J,"Zuni"))</f>
        <v/>
      </c>
      <c r="O255">
        <f>IF($A255="","",COUNTIFS('Таблиця 1'!$B:$B,$A255,'Таблиця 1'!$I:$I,"Mi-8",'Таблиця 1'!$L:$L,"Уражено")+COUNTIFS('Таблиця 1'!$B:$B,$A255,'Таблиця 1'!$I:$I,"Mi-24",'Таблиця 1'!$L:$L,"Уражено"))</f>
        <v/>
      </c>
      <c r="P255">
        <f>IF($A255="","",COUNTIFS('Таблиця 1'!$B:$B,$A255,'Таблиця 1'!$I:$I,"Mi-8",'Таблиця 1'!$L:$L,"НЕ уражено")+COUNTIFS('Таблиця 1'!$B:$B,$A255,'Таблиця 1'!$I:$I,"Mi-24",'Таблиця 1'!$L:$L,"НЕ уражено"))</f>
        <v/>
      </c>
    </row>
    <row r="256">
      <c r="A256" s="273">
        <f>IF(A255="","",IF(A255+1&gt;MAX('Таблиця 1'!$B:$B),"",A255+1))</f>
        <v/>
      </c>
      <c r="B256">
        <f>IF($A256="","",COUNTIFS('Таблиця 1'!$B:$B,$A256,'Таблиця 1'!$I:$I,"Mi-8")+COUNTIFS('Таблиця 1'!$B:$B,$A256,'Таблиця 1'!$I:$I,"Mi-24"))</f>
        <v/>
      </c>
      <c r="C256">
        <f>IF($A256="","",COUNTIFS('Таблиця 1'!$B:$B,$A256,'Таблиця 1'!$I:$I,"Mi-8"))</f>
        <v/>
      </c>
      <c r="D256">
        <f>IF($A256="","",COUNTIFS('Таблиця 1'!$B:$B,$A256,'Таблиця 1'!$I:$I,"Mi-24"))</f>
        <v/>
      </c>
      <c r="E256">
        <f>IF($A256="","",SUMIFS('Таблиця 1'!$K:$K,'Таблиця 1'!$B:$B,$A256,'Таблиця 1'!$I:$I,"Mi-8",'Таблиця 1'!$J:$J,"ARS-8")+SUMIFS('Таблиця 1'!$K:$K,'Таблиця 1'!$B:$B,$A256,'Таблиця 1'!$I:$I,"Mi-24",'Таблиця 1'!$J:$J,"ARS-8"))</f>
        <v/>
      </c>
      <c r="F256">
        <f>IF($A256="","",SUMIFS('Таблиця 1'!$K:$K,'Таблиця 1'!$B:$B,$A256,'Таблиця 1'!$I:$I,"Mi-8",'Таблиця 1'!$J:$J,"С-8 ком")+SUMIFS('Таблиця 1'!$K:$K,'Таблиця 1'!$B:$B,$A256,'Таблиця 1'!$I:$I,"Mi-24",'Таблиця 1'!$J:$J,"С-8 ком"))</f>
        <v/>
      </c>
      <c r="G256">
        <f>IF($A256="","",SUMIFS('Таблиця 1'!$K:$K,'Таблиця 1'!$B:$B,$A256,'Таблиця 1'!$I:$I,"Mi-8",'Таблиця 1'!$J:$J,"PC-80")+SUMIFS('Таблиця 1'!$K:$K,'Таблиця 1'!$B:$B,$A256,'Таблиця 1'!$I:$I,"Mi-24",'Таблиця 1'!$J:$J,"PC-80"))</f>
        <v/>
      </c>
      <c r="H256">
        <f>IF($A256="","",SUMIFS('Таблиця 1'!$K:$K,'Таблиця 1'!$B:$B,$A256,'Таблиця 1'!$I:$I,"Mi-8",'Таблиця 1'!$J:$J,"UAR-80")+SUMIFS('Таблиця 1'!$K:$K,'Таблиця 1'!$B:$B,$A256,'Таблиця 1'!$I:$I,"Mi-24",'Таблиця 1'!$J:$J,"UAR-80"))</f>
        <v/>
      </c>
      <c r="I256">
        <f>IF($A256="","",SUMIFS('Таблиця 1'!$K:$K,'Таблиця 1'!$B:$B,$A256,'Таблиця 1'!$I:$I,"Mi-8",'Таблиця 1'!$J:$J,"C-13")+SUMIFS('Таблиця 1'!$K:$K,'Таблиця 1'!$B:$B,$A256,'Таблиця 1'!$I:$I,"Mi-24",'Таблиця 1'!$J:$J,"C-13"))</f>
        <v/>
      </c>
      <c r="J256">
        <f>IF($A256="","",SUMIFS('Таблиця 1'!$K:$K,'Таблиця 1'!$B:$B,$A256,'Таблиця 1'!$I:$I,"Mi-8",'Таблиця 1'!$J:$J,"Hydra-70")+SUMIFS('Таблиця 1'!$K:$K,'Таблиця 1'!$B:$B,$A256,'Таблиця 1'!$I:$I,"Mi-24",'Таблиця 1'!$J:$J,"Hydra-70"))</f>
        <v/>
      </c>
      <c r="K256">
        <f>IF($A256="","",SUMIFS('Таблиця 1'!$K:$K,'Таблиця 1'!$B:$B,$A256,'Таблиця 1'!$I:$I,"Mi-8",'Таблиця 1'!$J:$J,"Thales-70")+SUMIFS('Таблиця 1'!$K:$K,'Таблиця 1'!$B:$B,$A256,'Таблиця 1'!$I:$I,"Mi-24",'Таблиця 1'!$J:$J,"Thales-70"))</f>
        <v/>
      </c>
      <c r="L256">
        <f>IF($A256="","",SUMIFS('Таблиця 1'!$K:$K,'Таблиця 1'!$B:$B,$A256,'Таблиця 1'!$I:$I,"Mi-8",'Таблиця 1'!$J:$J,"Thales-FZ")+SUMIFS('Таблиця 1'!$K:$K,'Таблиця 1'!$B:$B,$A256,'Таблиця 1'!$I:$I,"Mi-24",'Таблиця 1'!$J:$J,"Thales-FZ"))</f>
        <v/>
      </c>
      <c r="M256">
        <f>IF($A256="","",SUMIFS('Таблиця 1'!$K:$K,'Таблиця 1'!$B:$B,$A256,'Таблиця 1'!$I:$I,"Mi-8",'Таблиця 1'!$J:$J,"МК-40")+SUMIFS('Таблиця 1'!$K:$K,'Таблиця 1'!$B:$B,$A256,'Таблиця 1'!$I:$I,"Mi-24",'Таблиця 1'!$J:$J,"МК-40"))</f>
        <v/>
      </c>
      <c r="N256">
        <f>IF($A256="","",SUMIFS('Таблиця 1'!$K:$K,'Таблиця 1'!$B:$B,$A256,'Таблиця 1'!$I:$I,"Mi-8",'Таблиця 1'!$J:$J,"Zuni")+SUMIFS('Таблиця 1'!$K:$K,'Таблиця 1'!$B:$B,$A256,'Таблиця 1'!$I:$I,"Mi-24",'Таблиця 1'!$J:$J,"Zuni"))</f>
        <v/>
      </c>
      <c r="O256">
        <f>IF($A256="","",COUNTIFS('Таблиця 1'!$B:$B,$A256,'Таблиця 1'!$I:$I,"Mi-8",'Таблиця 1'!$L:$L,"Уражено")+COUNTIFS('Таблиця 1'!$B:$B,$A256,'Таблиця 1'!$I:$I,"Mi-24",'Таблиця 1'!$L:$L,"Уражено"))</f>
        <v/>
      </c>
      <c r="P256">
        <f>IF($A256="","",COUNTIFS('Таблиця 1'!$B:$B,$A256,'Таблиця 1'!$I:$I,"Mi-8",'Таблиця 1'!$L:$L,"НЕ уражено")+COUNTIFS('Таблиця 1'!$B:$B,$A256,'Таблиця 1'!$I:$I,"Mi-24",'Таблиця 1'!$L:$L,"НЕ уражено"))</f>
        <v/>
      </c>
    </row>
    <row r="257">
      <c r="A257" s="273">
        <f>IF(A256="","",IF(A256+1&gt;MAX('Таблиця 1'!$B:$B),"",A256+1))</f>
        <v/>
      </c>
      <c r="B257">
        <f>IF($A257="","",COUNTIFS('Таблиця 1'!$B:$B,$A257,'Таблиця 1'!$I:$I,"Mi-8")+COUNTIFS('Таблиця 1'!$B:$B,$A257,'Таблиця 1'!$I:$I,"Mi-24"))</f>
        <v/>
      </c>
      <c r="C257">
        <f>IF($A257="","",COUNTIFS('Таблиця 1'!$B:$B,$A257,'Таблиця 1'!$I:$I,"Mi-8"))</f>
        <v/>
      </c>
      <c r="D257">
        <f>IF($A257="","",COUNTIFS('Таблиця 1'!$B:$B,$A257,'Таблиця 1'!$I:$I,"Mi-24"))</f>
        <v/>
      </c>
      <c r="E257">
        <f>IF($A257="","",SUMIFS('Таблиця 1'!$K:$K,'Таблиця 1'!$B:$B,$A257,'Таблиця 1'!$I:$I,"Mi-8",'Таблиця 1'!$J:$J,"ARS-8")+SUMIFS('Таблиця 1'!$K:$K,'Таблиця 1'!$B:$B,$A257,'Таблиця 1'!$I:$I,"Mi-24",'Таблиця 1'!$J:$J,"ARS-8"))</f>
        <v/>
      </c>
      <c r="F257">
        <f>IF($A257="","",SUMIFS('Таблиця 1'!$K:$K,'Таблиця 1'!$B:$B,$A257,'Таблиця 1'!$I:$I,"Mi-8",'Таблиця 1'!$J:$J,"С-8 ком")+SUMIFS('Таблиця 1'!$K:$K,'Таблиця 1'!$B:$B,$A257,'Таблиця 1'!$I:$I,"Mi-24",'Таблиця 1'!$J:$J,"С-8 ком"))</f>
        <v/>
      </c>
      <c r="G257">
        <f>IF($A257="","",SUMIFS('Таблиця 1'!$K:$K,'Таблиця 1'!$B:$B,$A257,'Таблиця 1'!$I:$I,"Mi-8",'Таблиця 1'!$J:$J,"PC-80")+SUMIFS('Таблиця 1'!$K:$K,'Таблиця 1'!$B:$B,$A257,'Таблиця 1'!$I:$I,"Mi-24",'Таблиця 1'!$J:$J,"PC-80"))</f>
        <v/>
      </c>
      <c r="H257">
        <f>IF($A257="","",SUMIFS('Таблиця 1'!$K:$K,'Таблиця 1'!$B:$B,$A257,'Таблиця 1'!$I:$I,"Mi-8",'Таблиця 1'!$J:$J,"UAR-80")+SUMIFS('Таблиця 1'!$K:$K,'Таблиця 1'!$B:$B,$A257,'Таблиця 1'!$I:$I,"Mi-24",'Таблиця 1'!$J:$J,"UAR-80"))</f>
        <v/>
      </c>
      <c r="I257">
        <f>IF($A257="","",SUMIFS('Таблиця 1'!$K:$K,'Таблиця 1'!$B:$B,$A257,'Таблиця 1'!$I:$I,"Mi-8",'Таблиця 1'!$J:$J,"C-13")+SUMIFS('Таблиця 1'!$K:$K,'Таблиця 1'!$B:$B,$A257,'Таблиця 1'!$I:$I,"Mi-24",'Таблиця 1'!$J:$J,"C-13"))</f>
        <v/>
      </c>
      <c r="J257">
        <f>IF($A257="","",SUMIFS('Таблиця 1'!$K:$K,'Таблиця 1'!$B:$B,$A257,'Таблиця 1'!$I:$I,"Mi-8",'Таблиця 1'!$J:$J,"Hydra-70")+SUMIFS('Таблиця 1'!$K:$K,'Таблиця 1'!$B:$B,$A257,'Таблиця 1'!$I:$I,"Mi-24",'Таблиця 1'!$J:$J,"Hydra-70"))</f>
        <v/>
      </c>
      <c r="K257">
        <f>IF($A257="","",SUMIFS('Таблиця 1'!$K:$K,'Таблиця 1'!$B:$B,$A257,'Таблиця 1'!$I:$I,"Mi-8",'Таблиця 1'!$J:$J,"Thales-70")+SUMIFS('Таблиця 1'!$K:$K,'Таблиця 1'!$B:$B,$A257,'Таблиця 1'!$I:$I,"Mi-24",'Таблиця 1'!$J:$J,"Thales-70"))</f>
        <v/>
      </c>
      <c r="L257">
        <f>IF($A257="","",SUMIFS('Таблиця 1'!$K:$K,'Таблиця 1'!$B:$B,$A257,'Таблиця 1'!$I:$I,"Mi-8",'Таблиця 1'!$J:$J,"Thales-FZ")+SUMIFS('Таблиця 1'!$K:$K,'Таблиця 1'!$B:$B,$A257,'Таблиця 1'!$I:$I,"Mi-24",'Таблиця 1'!$J:$J,"Thales-FZ"))</f>
        <v/>
      </c>
      <c r="M257">
        <f>IF($A257="","",SUMIFS('Таблиця 1'!$K:$K,'Таблиця 1'!$B:$B,$A257,'Таблиця 1'!$I:$I,"Mi-8",'Таблиця 1'!$J:$J,"МК-40")+SUMIFS('Таблиця 1'!$K:$K,'Таблиця 1'!$B:$B,$A257,'Таблиця 1'!$I:$I,"Mi-24",'Таблиця 1'!$J:$J,"МК-40"))</f>
        <v/>
      </c>
      <c r="N257">
        <f>IF($A257="","",SUMIFS('Таблиця 1'!$K:$K,'Таблиця 1'!$B:$B,$A257,'Таблиця 1'!$I:$I,"Mi-8",'Таблиця 1'!$J:$J,"Zuni")+SUMIFS('Таблиця 1'!$K:$K,'Таблиця 1'!$B:$B,$A257,'Таблиця 1'!$I:$I,"Mi-24",'Таблиця 1'!$J:$J,"Zuni"))</f>
        <v/>
      </c>
      <c r="O257">
        <f>IF($A257="","",COUNTIFS('Таблиця 1'!$B:$B,$A257,'Таблиця 1'!$I:$I,"Mi-8",'Таблиця 1'!$L:$L,"Уражено")+COUNTIFS('Таблиця 1'!$B:$B,$A257,'Таблиця 1'!$I:$I,"Mi-24",'Таблиця 1'!$L:$L,"Уражено"))</f>
        <v/>
      </c>
      <c r="P257">
        <f>IF($A257="","",COUNTIFS('Таблиця 1'!$B:$B,$A257,'Таблиця 1'!$I:$I,"Mi-8",'Таблиця 1'!$L:$L,"НЕ уражено")+COUNTIFS('Таблиця 1'!$B:$B,$A257,'Таблиця 1'!$I:$I,"Mi-24",'Таблиця 1'!$L:$L,"НЕ уражено"))</f>
        <v/>
      </c>
    </row>
    <row r="258">
      <c r="A258" s="273">
        <f>IF(A257="","",IF(A257+1&gt;MAX('Таблиця 1'!$B:$B),"",A257+1))</f>
        <v/>
      </c>
      <c r="B258">
        <f>IF($A258="","",COUNTIFS('Таблиця 1'!$B:$B,$A258,'Таблиця 1'!$I:$I,"Mi-8")+COUNTIFS('Таблиця 1'!$B:$B,$A258,'Таблиця 1'!$I:$I,"Mi-24"))</f>
        <v/>
      </c>
      <c r="C258">
        <f>IF($A258="","",COUNTIFS('Таблиця 1'!$B:$B,$A258,'Таблиця 1'!$I:$I,"Mi-8"))</f>
        <v/>
      </c>
      <c r="D258">
        <f>IF($A258="","",COUNTIFS('Таблиця 1'!$B:$B,$A258,'Таблиця 1'!$I:$I,"Mi-24"))</f>
        <v/>
      </c>
      <c r="E258">
        <f>IF($A258="","",SUMIFS('Таблиця 1'!$K:$K,'Таблиця 1'!$B:$B,$A258,'Таблиця 1'!$I:$I,"Mi-8",'Таблиця 1'!$J:$J,"ARS-8")+SUMIFS('Таблиця 1'!$K:$K,'Таблиця 1'!$B:$B,$A258,'Таблиця 1'!$I:$I,"Mi-24",'Таблиця 1'!$J:$J,"ARS-8"))</f>
        <v/>
      </c>
      <c r="F258">
        <f>IF($A258="","",SUMIFS('Таблиця 1'!$K:$K,'Таблиця 1'!$B:$B,$A258,'Таблиця 1'!$I:$I,"Mi-8",'Таблиця 1'!$J:$J,"С-8 ком")+SUMIFS('Таблиця 1'!$K:$K,'Таблиця 1'!$B:$B,$A258,'Таблиця 1'!$I:$I,"Mi-24",'Таблиця 1'!$J:$J,"С-8 ком"))</f>
        <v/>
      </c>
      <c r="G258">
        <f>IF($A258="","",SUMIFS('Таблиця 1'!$K:$K,'Таблиця 1'!$B:$B,$A258,'Таблиця 1'!$I:$I,"Mi-8",'Таблиця 1'!$J:$J,"PC-80")+SUMIFS('Таблиця 1'!$K:$K,'Таблиця 1'!$B:$B,$A258,'Таблиця 1'!$I:$I,"Mi-24",'Таблиця 1'!$J:$J,"PC-80"))</f>
        <v/>
      </c>
      <c r="H258">
        <f>IF($A258="","",SUMIFS('Таблиця 1'!$K:$K,'Таблиця 1'!$B:$B,$A258,'Таблиця 1'!$I:$I,"Mi-8",'Таблиця 1'!$J:$J,"UAR-80")+SUMIFS('Таблиця 1'!$K:$K,'Таблиця 1'!$B:$B,$A258,'Таблиця 1'!$I:$I,"Mi-24",'Таблиця 1'!$J:$J,"UAR-80"))</f>
        <v/>
      </c>
      <c r="I258">
        <f>IF($A258="","",SUMIFS('Таблиця 1'!$K:$K,'Таблиця 1'!$B:$B,$A258,'Таблиця 1'!$I:$I,"Mi-8",'Таблиця 1'!$J:$J,"C-13")+SUMIFS('Таблиця 1'!$K:$K,'Таблиця 1'!$B:$B,$A258,'Таблиця 1'!$I:$I,"Mi-24",'Таблиця 1'!$J:$J,"C-13"))</f>
        <v/>
      </c>
      <c r="J258">
        <f>IF($A258="","",SUMIFS('Таблиця 1'!$K:$K,'Таблиця 1'!$B:$B,$A258,'Таблиця 1'!$I:$I,"Mi-8",'Таблиця 1'!$J:$J,"Hydra-70")+SUMIFS('Таблиця 1'!$K:$K,'Таблиця 1'!$B:$B,$A258,'Таблиця 1'!$I:$I,"Mi-24",'Таблиця 1'!$J:$J,"Hydra-70"))</f>
        <v/>
      </c>
      <c r="K258">
        <f>IF($A258="","",SUMIFS('Таблиця 1'!$K:$K,'Таблиця 1'!$B:$B,$A258,'Таблиця 1'!$I:$I,"Mi-8",'Таблиця 1'!$J:$J,"Thales-70")+SUMIFS('Таблиця 1'!$K:$K,'Таблиця 1'!$B:$B,$A258,'Таблиця 1'!$I:$I,"Mi-24",'Таблиця 1'!$J:$J,"Thales-70"))</f>
        <v/>
      </c>
      <c r="L258">
        <f>IF($A258="","",SUMIFS('Таблиця 1'!$K:$K,'Таблиця 1'!$B:$B,$A258,'Таблиця 1'!$I:$I,"Mi-8",'Таблиця 1'!$J:$J,"Thales-FZ")+SUMIFS('Таблиця 1'!$K:$K,'Таблиця 1'!$B:$B,$A258,'Таблиця 1'!$I:$I,"Mi-24",'Таблиця 1'!$J:$J,"Thales-FZ"))</f>
        <v/>
      </c>
      <c r="M258">
        <f>IF($A258="","",SUMIFS('Таблиця 1'!$K:$K,'Таблиця 1'!$B:$B,$A258,'Таблиця 1'!$I:$I,"Mi-8",'Таблиця 1'!$J:$J,"МК-40")+SUMIFS('Таблиця 1'!$K:$K,'Таблиця 1'!$B:$B,$A258,'Таблиця 1'!$I:$I,"Mi-24",'Таблиця 1'!$J:$J,"МК-40"))</f>
        <v/>
      </c>
      <c r="N258">
        <f>IF($A258="","",SUMIFS('Таблиця 1'!$K:$K,'Таблиця 1'!$B:$B,$A258,'Таблиця 1'!$I:$I,"Mi-8",'Таблиця 1'!$J:$J,"Zuni")+SUMIFS('Таблиця 1'!$K:$K,'Таблиця 1'!$B:$B,$A258,'Таблиця 1'!$I:$I,"Mi-24",'Таблиця 1'!$J:$J,"Zuni"))</f>
        <v/>
      </c>
      <c r="O258">
        <f>IF($A258="","",COUNTIFS('Таблиця 1'!$B:$B,$A258,'Таблиця 1'!$I:$I,"Mi-8",'Таблиця 1'!$L:$L,"Уражено")+COUNTIFS('Таблиця 1'!$B:$B,$A258,'Таблиця 1'!$I:$I,"Mi-24",'Таблиця 1'!$L:$L,"Уражено"))</f>
        <v/>
      </c>
      <c r="P258">
        <f>IF($A258="","",COUNTIFS('Таблиця 1'!$B:$B,$A258,'Таблиця 1'!$I:$I,"Mi-8",'Таблиця 1'!$L:$L,"НЕ уражено")+COUNTIFS('Таблиця 1'!$B:$B,$A258,'Таблиця 1'!$I:$I,"Mi-24",'Таблиця 1'!$L:$L,"НЕ уражено"))</f>
        <v/>
      </c>
    </row>
    <row r="259">
      <c r="A259" s="273">
        <f>IF(A258="","",IF(A258+1&gt;MAX('Таблиця 1'!$B:$B),"",A258+1))</f>
        <v/>
      </c>
      <c r="B259">
        <f>IF($A259="","",COUNTIFS('Таблиця 1'!$B:$B,$A259,'Таблиця 1'!$I:$I,"Mi-8")+COUNTIFS('Таблиця 1'!$B:$B,$A259,'Таблиця 1'!$I:$I,"Mi-24"))</f>
        <v/>
      </c>
      <c r="C259">
        <f>IF($A259="","",COUNTIFS('Таблиця 1'!$B:$B,$A259,'Таблиця 1'!$I:$I,"Mi-8"))</f>
        <v/>
      </c>
      <c r="D259">
        <f>IF($A259="","",COUNTIFS('Таблиця 1'!$B:$B,$A259,'Таблиця 1'!$I:$I,"Mi-24"))</f>
        <v/>
      </c>
      <c r="E259">
        <f>IF($A259="","",SUMIFS('Таблиця 1'!$K:$K,'Таблиця 1'!$B:$B,$A259,'Таблиця 1'!$I:$I,"Mi-8",'Таблиця 1'!$J:$J,"ARS-8")+SUMIFS('Таблиця 1'!$K:$K,'Таблиця 1'!$B:$B,$A259,'Таблиця 1'!$I:$I,"Mi-24",'Таблиця 1'!$J:$J,"ARS-8"))</f>
        <v/>
      </c>
      <c r="F259">
        <f>IF($A259="","",SUMIFS('Таблиця 1'!$K:$K,'Таблиця 1'!$B:$B,$A259,'Таблиця 1'!$I:$I,"Mi-8",'Таблиця 1'!$J:$J,"С-8 ком")+SUMIFS('Таблиця 1'!$K:$K,'Таблиця 1'!$B:$B,$A259,'Таблиця 1'!$I:$I,"Mi-24",'Таблиця 1'!$J:$J,"С-8 ком"))</f>
        <v/>
      </c>
      <c r="G259">
        <f>IF($A259="","",SUMIFS('Таблиця 1'!$K:$K,'Таблиця 1'!$B:$B,$A259,'Таблиця 1'!$I:$I,"Mi-8",'Таблиця 1'!$J:$J,"PC-80")+SUMIFS('Таблиця 1'!$K:$K,'Таблиця 1'!$B:$B,$A259,'Таблиця 1'!$I:$I,"Mi-24",'Таблиця 1'!$J:$J,"PC-80"))</f>
        <v/>
      </c>
      <c r="H259">
        <f>IF($A259="","",SUMIFS('Таблиця 1'!$K:$K,'Таблиця 1'!$B:$B,$A259,'Таблиця 1'!$I:$I,"Mi-8",'Таблиця 1'!$J:$J,"UAR-80")+SUMIFS('Таблиця 1'!$K:$K,'Таблиця 1'!$B:$B,$A259,'Таблиця 1'!$I:$I,"Mi-24",'Таблиця 1'!$J:$J,"UAR-80"))</f>
        <v/>
      </c>
      <c r="I259">
        <f>IF($A259="","",SUMIFS('Таблиця 1'!$K:$K,'Таблиця 1'!$B:$B,$A259,'Таблиця 1'!$I:$I,"Mi-8",'Таблиця 1'!$J:$J,"C-13")+SUMIFS('Таблиця 1'!$K:$K,'Таблиця 1'!$B:$B,$A259,'Таблиця 1'!$I:$I,"Mi-24",'Таблиця 1'!$J:$J,"C-13"))</f>
        <v/>
      </c>
      <c r="J259">
        <f>IF($A259="","",SUMIFS('Таблиця 1'!$K:$K,'Таблиця 1'!$B:$B,$A259,'Таблиця 1'!$I:$I,"Mi-8",'Таблиця 1'!$J:$J,"Hydra-70")+SUMIFS('Таблиця 1'!$K:$K,'Таблиця 1'!$B:$B,$A259,'Таблиця 1'!$I:$I,"Mi-24",'Таблиця 1'!$J:$J,"Hydra-70"))</f>
        <v/>
      </c>
      <c r="K259">
        <f>IF($A259="","",SUMIFS('Таблиця 1'!$K:$K,'Таблиця 1'!$B:$B,$A259,'Таблиця 1'!$I:$I,"Mi-8",'Таблиця 1'!$J:$J,"Thales-70")+SUMIFS('Таблиця 1'!$K:$K,'Таблиця 1'!$B:$B,$A259,'Таблиця 1'!$I:$I,"Mi-24",'Таблиця 1'!$J:$J,"Thales-70"))</f>
        <v/>
      </c>
      <c r="L259">
        <f>IF($A259="","",SUMIFS('Таблиця 1'!$K:$K,'Таблиця 1'!$B:$B,$A259,'Таблиця 1'!$I:$I,"Mi-8",'Таблиця 1'!$J:$J,"Thales-FZ")+SUMIFS('Таблиця 1'!$K:$K,'Таблиця 1'!$B:$B,$A259,'Таблиця 1'!$I:$I,"Mi-24",'Таблиця 1'!$J:$J,"Thales-FZ"))</f>
        <v/>
      </c>
      <c r="M259">
        <f>IF($A259="","",SUMIFS('Таблиця 1'!$K:$K,'Таблиця 1'!$B:$B,$A259,'Таблиця 1'!$I:$I,"Mi-8",'Таблиця 1'!$J:$J,"МК-40")+SUMIFS('Таблиця 1'!$K:$K,'Таблиця 1'!$B:$B,$A259,'Таблиця 1'!$I:$I,"Mi-24",'Таблиця 1'!$J:$J,"МК-40"))</f>
        <v/>
      </c>
      <c r="N259">
        <f>IF($A259="","",SUMIFS('Таблиця 1'!$K:$K,'Таблиця 1'!$B:$B,$A259,'Таблиця 1'!$I:$I,"Mi-8",'Таблиця 1'!$J:$J,"Zuni")+SUMIFS('Таблиця 1'!$K:$K,'Таблиця 1'!$B:$B,$A259,'Таблиця 1'!$I:$I,"Mi-24",'Таблиця 1'!$J:$J,"Zuni"))</f>
        <v/>
      </c>
      <c r="O259">
        <f>IF($A259="","",COUNTIFS('Таблиця 1'!$B:$B,$A259,'Таблиця 1'!$I:$I,"Mi-8",'Таблиця 1'!$L:$L,"Уражено")+COUNTIFS('Таблиця 1'!$B:$B,$A259,'Таблиця 1'!$I:$I,"Mi-24",'Таблиця 1'!$L:$L,"Уражено"))</f>
        <v/>
      </c>
      <c r="P259">
        <f>IF($A259="","",COUNTIFS('Таблиця 1'!$B:$B,$A259,'Таблиця 1'!$I:$I,"Mi-8",'Таблиця 1'!$L:$L,"НЕ уражено")+COUNTIFS('Таблиця 1'!$B:$B,$A259,'Таблиця 1'!$I:$I,"Mi-24",'Таблиця 1'!$L:$L,"НЕ уражено"))</f>
        <v/>
      </c>
    </row>
    <row r="260">
      <c r="A260" s="273">
        <f>IF(A259="","",IF(A259+1&gt;MAX('Таблиця 1'!$B:$B),"",A259+1))</f>
        <v/>
      </c>
      <c r="B260">
        <f>IF($A260="","",COUNTIFS('Таблиця 1'!$B:$B,$A260,'Таблиця 1'!$I:$I,"Mi-8")+COUNTIFS('Таблиця 1'!$B:$B,$A260,'Таблиця 1'!$I:$I,"Mi-24"))</f>
        <v/>
      </c>
      <c r="C260">
        <f>IF($A260="","",COUNTIFS('Таблиця 1'!$B:$B,$A260,'Таблиця 1'!$I:$I,"Mi-8"))</f>
        <v/>
      </c>
      <c r="D260">
        <f>IF($A260="","",COUNTIFS('Таблиця 1'!$B:$B,$A260,'Таблиця 1'!$I:$I,"Mi-24"))</f>
        <v/>
      </c>
      <c r="E260">
        <f>IF($A260="","",SUMIFS('Таблиця 1'!$K:$K,'Таблиця 1'!$B:$B,$A260,'Таблиця 1'!$I:$I,"Mi-8",'Таблиця 1'!$J:$J,"ARS-8")+SUMIFS('Таблиця 1'!$K:$K,'Таблиця 1'!$B:$B,$A260,'Таблиця 1'!$I:$I,"Mi-24",'Таблиця 1'!$J:$J,"ARS-8"))</f>
        <v/>
      </c>
      <c r="F260">
        <f>IF($A260="","",SUMIFS('Таблиця 1'!$K:$K,'Таблиця 1'!$B:$B,$A260,'Таблиця 1'!$I:$I,"Mi-8",'Таблиця 1'!$J:$J,"С-8 ком")+SUMIFS('Таблиця 1'!$K:$K,'Таблиця 1'!$B:$B,$A260,'Таблиця 1'!$I:$I,"Mi-24",'Таблиця 1'!$J:$J,"С-8 ком"))</f>
        <v/>
      </c>
      <c r="G260">
        <f>IF($A260="","",SUMIFS('Таблиця 1'!$K:$K,'Таблиця 1'!$B:$B,$A260,'Таблиця 1'!$I:$I,"Mi-8",'Таблиця 1'!$J:$J,"PC-80")+SUMIFS('Таблиця 1'!$K:$K,'Таблиця 1'!$B:$B,$A260,'Таблиця 1'!$I:$I,"Mi-24",'Таблиця 1'!$J:$J,"PC-80"))</f>
        <v/>
      </c>
      <c r="H260">
        <f>IF($A260="","",SUMIFS('Таблиця 1'!$K:$K,'Таблиця 1'!$B:$B,$A260,'Таблиця 1'!$I:$I,"Mi-8",'Таблиця 1'!$J:$J,"UAR-80")+SUMIFS('Таблиця 1'!$K:$K,'Таблиця 1'!$B:$B,$A260,'Таблиця 1'!$I:$I,"Mi-24",'Таблиця 1'!$J:$J,"UAR-80"))</f>
        <v/>
      </c>
      <c r="I260">
        <f>IF($A260="","",SUMIFS('Таблиця 1'!$K:$K,'Таблиця 1'!$B:$B,$A260,'Таблиця 1'!$I:$I,"Mi-8",'Таблиця 1'!$J:$J,"C-13")+SUMIFS('Таблиця 1'!$K:$K,'Таблиця 1'!$B:$B,$A260,'Таблиця 1'!$I:$I,"Mi-24",'Таблиця 1'!$J:$J,"C-13"))</f>
        <v/>
      </c>
      <c r="J260">
        <f>IF($A260="","",SUMIFS('Таблиця 1'!$K:$K,'Таблиця 1'!$B:$B,$A260,'Таблиця 1'!$I:$I,"Mi-8",'Таблиця 1'!$J:$J,"Hydra-70")+SUMIFS('Таблиця 1'!$K:$K,'Таблиця 1'!$B:$B,$A260,'Таблиця 1'!$I:$I,"Mi-24",'Таблиця 1'!$J:$J,"Hydra-70"))</f>
        <v/>
      </c>
      <c r="K260">
        <f>IF($A260="","",SUMIFS('Таблиця 1'!$K:$K,'Таблиця 1'!$B:$B,$A260,'Таблиця 1'!$I:$I,"Mi-8",'Таблиця 1'!$J:$J,"Thales-70")+SUMIFS('Таблиця 1'!$K:$K,'Таблиця 1'!$B:$B,$A260,'Таблиця 1'!$I:$I,"Mi-24",'Таблиця 1'!$J:$J,"Thales-70"))</f>
        <v/>
      </c>
      <c r="L260">
        <f>IF($A260="","",SUMIFS('Таблиця 1'!$K:$K,'Таблиця 1'!$B:$B,$A260,'Таблиця 1'!$I:$I,"Mi-8",'Таблиця 1'!$J:$J,"Thales-FZ")+SUMIFS('Таблиця 1'!$K:$K,'Таблиця 1'!$B:$B,$A260,'Таблиця 1'!$I:$I,"Mi-24",'Таблиця 1'!$J:$J,"Thales-FZ"))</f>
        <v/>
      </c>
      <c r="M260">
        <f>IF($A260="","",SUMIFS('Таблиця 1'!$K:$K,'Таблиця 1'!$B:$B,$A260,'Таблиця 1'!$I:$I,"Mi-8",'Таблиця 1'!$J:$J,"МК-40")+SUMIFS('Таблиця 1'!$K:$K,'Таблиця 1'!$B:$B,$A260,'Таблиця 1'!$I:$I,"Mi-24",'Таблиця 1'!$J:$J,"МК-40"))</f>
        <v/>
      </c>
      <c r="N260">
        <f>IF($A260="","",SUMIFS('Таблиця 1'!$K:$K,'Таблиця 1'!$B:$B,$A260,'Таблиця 1'!$I:$I,"Mi-8",'Таблиця 1'!$J:$J,"Zuni")+SUMIFS('Таблиця 1'!$K:$K,'Таблиця 1'!$B:$B,$A260,'Таблиця 1'!$I:$I,"Mi-24",'Таблиця 1'!$J:$J,"Zuni"))</f>
        <v/>
      </c>
      <c r="O260">
        <f>IF($A260="","",COUNTIFS('Таблиця 1'!$B:$B,$A260,'Таблиця 1'!$I:$I,"Mi-8",'Таблиця 1'!$L:$L,"Уражено")+COUNTIFS('Таблиця 1'!$B:$B,$A260,'Таблиця 1'!$I:$I,"Mi-24",'Таблиця 1'!$L:$L,"Уражено"))</f>
        <v/>
      </c>
      <c r="P260">
        <f>IF($A260="","",COUNTIFS('Таблиця 1'!$B:$B,$A260,'Таблиця 1'!$I:$I,"Mi-8",'Таблиця 1'!$L:$L,"НЕ уражено")+COUNTIFS('Таблиця 1'!$B:$B,$A260,'Таблиця 1'!$I:$I,"Mi-24",'Таблиця 1'!$L:$L,"НЕ уражено"))</f>
        <v/>
      </c>
    </row>
    <row r="261">
      <c r="A261" s="273">
        <f>IF(A260="","",IF(A260+1&gt;MAX('Таблиця 1'!$B:$B),"",A260+1))</f>
        <v/>
      </c>
      <c r="B261">
        <f>IF($A261="","",COUNTIFS('Таблиця 1'!$B:$B,$A261,'Таблиця 1'!$I:$I,"Mi-8")+COUNTIFS('Таблиця 1'!$B:$B,$A261,'Таблиця 1'!$I:$I,"Mi-24"))</f>
        <v/>
      </c>
      <c r="C261">
        <f>IF($A261="","",COUNTIFS('Таблиця 1'!$B:$B,$A261,'Таблиця 1'!$I:$I,"Mi-8"))</f>
        <v/>
      </c>
      <c r="D261">
        <f>IF($A261="","",COUNTIFS('Таблиця 1'!$B:$B,$A261,'Таблиця 1'!$I:$I,"Mi-24"))</f>
        <v/>
      </c>
      <c r="E261">
        <f>IF($A261="","",SUMIFS('Таблиця 1'!$K:$K,'Таблиця 1'!$B:$B,$A261,'Таблиця 1'!$I:$I,"Mi-8",'Таблиця 1'!$J:$J,"ARS-8")+SUMIFS('Таблиця 1'!$K:$K,'Таблиця 1'!$B:$B,$A261,'Таблиця 1'!$I:$I,"Mi-24",'Таблиця 1'!$J:$J,"ARS-8"))</f>
        <v/>
      </c>
      <c r="F261">
        <f>IF($A261="","",SUMIFS('Таблиця 1'!$K:$K,'Таблиця 1'!$B:$B,$A261,'Таблиця 1'!$I:$I,"Mi-8",'Таблиця 1'!$J:$J,"С-8 ком")+SUMIFS('Таблиця 1'!$K:$K,'Таблиця 1'!$B:$B,$A261,'Таблиця 1'!$I:$I,"Mi-24",'Таблиця 1'!$J:$J,"С-8 ком"))</f>
        <v/>
      </c>
      <c r="G261">
        <f>IF($A261="","",SUMIFS('Таблиця 1'!$K:$K,'Таблиця 1'!$B:$B,$A261,'Таблиця 1'!$I:$I,"Mi-8",'Таблиця 1'!$J:$J,"PC-80")+SUMIFS('Таблиця 1'!$K:$K,'Таблиця 1'!$B:$B,$A261,'Таблиця 1'!$I:$I,"Mi-24",'Таблиця 1'!$J:$J,"PC-80"))</f>
        <v/>
      </c>
      <c r="H261">
        <f>IF($A261="","",SUMIFS('Таблиця 1'!$K:$K,'Таблиця 1'!$B:$B,$A261,'Таблиця 1'!$I:$I,"Mi-8",'Таблиця 1'!$J:$J,"UAR-80")+SUMIFS('Таблиця 1'!$K:$K,'Таблиця 1'!$B:$B,$A261,'Таблиця 1'!$I:$I,"Mi-24",'Таблиця 1'!$J:$J,"UAR-80"))</f>
        <v/>
      </c>
      <c r="I261">
        <f>IF($A261="","",SUMIFS('Таблиця 1'!$K:$K,'Таблиця 1'!$B:$B,$A261,'Таблиця 1'!$I:$I,"Mi-8",'Таблиця 1'!$J:$J,"C-13")+SUMIFS('Таблиця 1'!$K:$K,'Таблиця 1'!$B:$B,$A261,'Таблиця 1'!$I:$I,"Mi-24",'Таблиця 1'!$J:$J,"C-13"))</f>
        <v/>
      </c>
      <c r="J261">
        <f>IF($A261="","",SUMIFS('Таблиця 1'!$K:$K,'Таблиця 1'!$B:$B,$A261,'Таблиця 1'!$I:$I,"Mi-8",'Таблиця 1'!$J:$J,"Hydra-70")+SUMIFS('Таблиця 1'!$K:$K,'Таблиця 1'!$B:$B,$A261,'Таблиця 1'!$I:$I,"Mi-24",'Таблиця 1'!$J:$J,"Hydra-70"))</f>
        <v/>
      </c>
      <c r="K261">
        <f>IF($A261="","",SUMIFS('Таблиця 1'!$K:$K,'Таблиця 1'!$B:$B,$A261,'Таблиця 1'!$I:$I,"Mi-8",'Таблиця 1'!$J:$J,"Thales-70")+SUMIFS('Таблиця 1'!$K:$K,'Таблиця 1'!$B:$B,$A261,'Таблиця 1'!$I:$I,"Mi-24",'Таблиця 1'!$J:$J,"Thales-70"))</f>
        <v/>
      </c>
      <c r="L261">
        <f>IF($A261="","",SUMIFS('Таблиця 1'!$K:$K,'Таблиця 1'!$B:$B,$A261,'Таблиця 1'!$I:$I,"Mi-8",'Таблиця 1'!$J:$J,"Thales-FZ")+SUMIFS('Таблиця 1'!$K:$K,'Таблиця 1'!$B:$B,$A261,'Таблиця 1'!$I:$I,"Mi-24",'Таблиця 1'!$J:$J,"Thales-FZ"))</f>
        <v/>
      </c>
      <c r="M261">
        <f>IF($A261="","",SUMIFS('Таблиця 1'!$K:$K,'Таблиця 1'!$B:$B,$A261,'Таблиця 1'!$I:$I,"Mi-8",'Таблиця 1'!$J:$J,"МК-40")+SUMIFS('Таблиця 1'!$K:$K,'Таблиця 1'!$B:$B,$A261,'Таблиця 1'!$I:$I,"Mi-24",'Таблиця 1'!$J:$J,"МК-40"))</f>
        <v/>
      </c>
      <c r="N261">
        <f>IF($A261="","",SUMIFS('Таблиця 1'!$K:$K,'Таблиця 1'!$B:$B,$A261,'Таблиця 1'!$I:$I,"Mi-8",'Таблиця 1'!$J:$J,"Zuni")+SUMIFS('Таблиця 1'!$K:$K,'Таблиця 1'!$B:$B,$A261,'Таблиця 1'!$I:$I,"Mi-24",'Таблиця 1'!$J:$J,"Zuni"))</f>
        <v/>
      </c>
      <c r="O261">
        <f>IF($A261="","",COUNTIFS('Таблиця 1'!$B:$B,$A261,'Таблиця 1'!$I:$I,"Mi-8",'Таблиця 1'!$L:$L,"Уражено")+COUNTIFS('Таблиця 1'!$B:$B,$A261,'Таблиця 1'!$I:$I,"Mi-24",'Таблиця 1'!$L:$L,"Уражено"))</f>
        <v/>
      </c>
      <c r="P261">
        <f>IF($A261="","",COUNTIFS('Таблиця 1'!$B:$B,$A261,'Таблиця 1'!$I:$I,"Mi-8",'Таблиця 1'!$L:$L,"НЕ уражено")+COUNTIFS('Таблиця 1'!$B:$B,$A261,'Таблиця 1'!$I:$I,"Mi-24",'Таблиця 1'!$L:$L,"НЕ уражено"))</f>
        <v/>
      </c>
    </row>
    <row r="262">
      <c r="A262" s="273">
        <f>IF(A261="","",IF(A261+1&gt;MAX('Таблиця 1'!$B:$B),"",A261+1))</f>
        <v/>
      </c>
      <c r="B262">
        <f>IF($A262="","",COUNTIFS('Таблиця 1'!$B:$B,$A262,'Таблиця 1'!$I:$I,"Mi-8")+COUNTIFS('Таблиця 1'!$B:$B,$A262,'Таблиця 1'!$I:$I,"Mi-24"))</f>
        <v/>
      </c>
      <c r="C262">
        <f>IF($A262="","",COUNTIFS('Таблиця 1'!$B:$B,$A262,'Таблиця 1'!$I:$I,"Mi-8"))</f>
        <v/>
      </c>
      <c r="D262">
        <f>IF($A262="","",COUNTIFS('Таблиця 1'!$B:$B,$A262,'Таблиця 1'!$I:$I,"Mi-24"))</f>
        <v/>
      </c>
      <c r="E262">
        <f>IF($A262="","",SUMIFS('Таблиця 1'!$K:$K,'Таблиця 1'!$B:$B,$A262,'Таблиця 1'!$I:$I,"Mi-8",'Таблиця 1'!$J:$J,"ARS-8")+SUMIFS('Таблиця 1'!$K:$K,'Таблиця 1'!$B:$B,$A262,'Таблиця 1'!$I:$I,"Mi-24",'Таблиця 1'!$J:$J,"ARS-8"))</f>
        <v/>
      </c>
      <c r="F262">
        <f>IF($A262="","",SUMIFS('Таблиця 1'!$K:$K,'Таблиця 1'!$B:$B,$A262,'Таблиця 1'!$I:$I,"Mi-8",'Таблиця 1'!$J:$J,"С-8 ком")+SUMIFS('Таблиця 1'!$K:$K,'Таблиця 1'!$B:$B,$A262,'Таблиця 1'!$I:$I,"Mi-24",'Таблиця 1'!$J:$J,"С-8 ком"))</f>
        <v/>
      </c>
      <c r="G262">
        <f>IF($A262="","",SUMIFS('Таблиця 1'!$K:$K,'Таблиця 1'!$B:$B,$A262,'Таблиця 1'!$I:$I,"Mi-8",'Таблиця 1'!$J:$J,"PC-80")+SUMIFS('Таблиця 1'!$K:$K,'Таблиця 1'!$B:$B,$A262,'Таблиця 1'!$I:$I,"Mi-24",'Таблиця 1'!$J:$J,"PC-80"))</f>
        <v/>
      </c>
      <c r="H262">
        <f>IF($A262="","",SUMIFS('Таблиця 1'!$K:$K,'Таблиця 1'!$B:$B,$A262,'Таблиця 1'!$I:$I,"Mi-8",'Таблиця 1'!$J:$J,"UAR-80")+SUMIFS('Таблиця 1'!$K:$K,'Таблиця 1'!$B:$B,$A262,'Таблиця 1'!$I:$I,"Mi-24",'Таблиця 1'!$J:$J,"UAR-80"))</f>
        <v/>
      </c>
      <c r="I262">
        <f>IF($A262="","",SUMIFS('Таблиця 1'!$K:$K,'Таблиця 1'!$B:$B,$A262,'Таблиця 1'!$I:$I,"Mi-8",'Таблиця 1'!$J:$J,"C-13")+SUMIFS('Таблиця 1'!$K:$K,'Таблиця 1'!$B:$B,$A262,'Таблиця 1'!$I:$I,"Mi-24",'Таблиця 1'!$J:$J,"C-13"))</f>
        <v/>
      </c>
      <c r="J262">
        <f>IF($A262="","",SUMIFS('Таблиця 1'!$K:$K,'Таблиця 1'!$B:$B,$A262,'Таблиця 1'!$I:$I,"Mi-8",'Таблиця 1'!$J:$J,"Hydra-70")+SUMIFS('Таблиця 1'!$K:$K,'Таблиця 1'!$B:$B,$A262,'Таблиця 1'!$I:$I,"Mi-24",'Таблиця 1'!$J:$J,"Hydra-70"))</f>
        <v/>
      </c>
      <c r="K262">
        <f>IF($A262="","",SUMIFS('Таблиця 1'!$K:$K,'Таблиця 1'!$B:$B,$A262,'Таблиця 1'!$I:$I,"Mi-8",'Таблиця 1'!$J:$J,"Thales-70")+SUMIFS('Таблиця 1'!$K:$K,'Таблиця 1'!$B:$B,$A262,'Таблиця 1'!$I:$I,"Mi-24",'Таблиця 1'!$J:$J,"Thales-70"))</f>
        <v/>
      </c>
      <c r="L262">
        <f>IF($A262="","",SUMIFS('Таблиця 1'!$K:$K,'Таблиця 1'!$B:$B,$A262,'Таблиця 1'!$I:$I,"Mi-8",'Таблиця 1'!$J:$J,"Thales-FZ")+SUMIFS('Таблиця 1'!$K:$K,'Таблиця 1'!$B:$B,$A262,'Таблиця 1'!$I:$I,"Mi-24",'Таблиця 1'!$J:$J,"Thales-FZ"))</f>
        <v/>
      </c>
      <c r="M262">
        <f>IF($A262="","",SUMIFS('Таблиця 1'!$K:$K,'Таблиця 1'!$B:$B,$A262,'Таблиця 1'!$I:$I,"Mi-8",'Таблиця 1'!$J:$J,"МК-40")+SUMIFS('Таблиця 1'!$K:$K,'Таблиця 1'!$B:$B,$A262,'Таблиця 1'!$I:$I,"Mi-24",'Таблиця 1'!$J:$J,"МК-40"))</f>
        <v/>
      </c>
      <c r="N262">
        <f>IF($A262="","",SUMIFS('Таблиця 1'!$K:$K,'Таблиця 1'!$B:$B,$A262,'Таблиця 1'!$I:$I,"Mi-8",'Таблиця 1'!$J:$J,"Zuni")+SUMIFS('Таблиця 1'!$K:$K,'Таблиця 1'!$B:$B,$A262,'Таблиця 1'!$I:$I,"Mi-24",'Таблиця 1'!$J:$J,"Zuni"))</f>
        <v/>
      </c>
      <c r="O262">
        <f>IF($A262="","",COUNTIFS('Таблиця 1'!$B:$B,$A262,'Таблиця 1'!$I:$I,"Mi-8",'Таблиця 1'!$L:$L,"Уражено")+COUNTIFS('Таблиця 1'!$B:$B,$A262,'Таблиця 1'!$I:$I,"Mi-24",'Таблиця 1'!$L:$L,"Уражено"))</f>
        <v/>
      </c>
      <c r="P262">
        <f>IF($A262="","",COUNTIFS('Таблиця 1'!$B:$B,$A262,'Таблиця 1'!$I:$I,"Mi-8",'Таблиця 1'!$L:$L,"НЕ уражено")+COUNTIFS('Таблиця 1'!$B:$B,$A262,'Таблиця 1'!$I:$I,"Mi-24",'Таблиця 1'!$L:$L,"НЕ уражено"))</f>
        <v/>
      </c>
    </row>
    <row r="263">
      <c r="A263" s="273">
        <f>IF(A262="","",IF(A262+1&gt;MAX('Таблиця 1'!$B:$B),"",A262+1))</f>
        <v/>
      </c>
      <c r="B263">
        <f>IF($A263="","",COUNTIFS('Таблиця 1'!$B:$B,$A263,'Таблиця 1'!$I:$I,"Mi-8")+COUNTIFS('Таблиця 1'!$B:$B,$A263,'Таблиця 1'!$I:$I,"Mi-24"))</f>
        <v/>
      </c>
      <c r="C263">
        <f>IF($A263="","",COUNTIFS('Таблиця 1'!$B:$B,$A263,'Таблиця 1'!$I:$I,"Mi-8"))</f>
        <v/>
      </c>
      <c r="D263">
        <f>IF($A263="","",COUNTIFS('Таблиця 1'!$B:$B,$A263,'Таблиця 1'!$I:$I,"Mi-24"))</f>
        <v/>
      </c>
      <c r="E263">
        <f>IF($A263="","",SUMIFS('Таблиця 1'!$K:$K,'Таблиця 1'!$B:$B,$A263,'Таблиця 1'!$I:$I,"Mi-8",'Таблиця 1'!$J:$J,"ARS-8")+SUMIFS('Таблиця 1'!$K:$K,'Таблиця 1'!$B:$B,$A263,'Таблиця 1'!$I:$I,"Mi-24",'Таблиця 1'!$J:$J,"ARS-8"))</f>
        <v/>
      </c>
      <c r="F263">
        <f>IF($A263="","",SUMIFS('Таблиця 1'!$K:$K,'Таблиця 1'!$B:$B,$A263,'Таблиця 1'!$I:$I,"Mi-8",'Таблиця 1'!$J:$J,"С-8 ком")+SUMIFS('Таблиця 1'!$K:$K,'Таблиця 1'!$B:$B,$A263,'Таблиця 1'!$I:$I,"Mi-24",'Таблиця 1'!$J:$J,"С-8 ком"))</f>
        <v/>
      </c>
      <c r="G263">
        <f>IF($A263="","",SUMIFS('Таблиця 1'!$K:$K,'Таблиця 1'!$B:$B,$A263,'Таблиця 1'!$I:$I,"Mi-8",'Таблиця 1'!$J:$J,"PC-80")+SUMIFS('Таблиця 1'!$K:$K,'Таблиця 1'!$B:$B,$A263,'Таблиця 1'!$I:$I,"Mi-24",'Таблиця 1'!$J:$J,"PC-80"))</f>
        <v/>
      </c>
      <c r="H263">
        <f>IF($A263="","",SUMIFS('Таблиця 1'!$K:$K,'Таблиця 1'!$B:$B,$A263,'Таблиця 1'!$I:$I,"Mi-8",'Таблиця 1'!$J:$J,"UAR-80")+SUMIFS('Таблиця 1'!$K:$K,'Таблиця 1'!$B:$B,$A263,'Таблиця 1'!$I:$I,"Mi-24",'Таблиця 1'!$J:$J,"UAR-80"))</f>
        <v/>
      </c>
      <c r="I263">
        <f>IF($A263="","",SUMIFS('Таблиця 1'!$K:$K,'Таблиця 1'!$B:$B,$A263,'Таблиця 1'!$I:$I,"Mi-8",'Таблиця 1'!$J:$J,"C-13")+SUMIFS('Таблиця 1'!$K:$K,'Таблиця 1'!$B:$B,$A263,'Таблиця 1'!$I:$I,"Mi-24",'Таблиця 1'!$J:$J,"C-13"))</f>
        <v/>
      </c>
      <c r="J263">
        <f>IF($A263="","",SUMIFS('Таблиця 1'!$K:$K,'Таблиця 1'!$B:$B,$A263,'Таблиця 1'!$I:$I,"Mi-8",'Таблиця 1'!$J:$J,"Hydra-70")+SUMIFS('Таблиця 1'!$K:$K,'Таблиця 1'!$B:$B,$A263,'Таблиця 1'!$I:$I,"Mi-24",'Таблиця 1'!$J:$J,"Hydra-70"))</f>
        <v/>
      </c>
      <c r="K263">
        <f>IF($A263="","",SUMIFS('Таблиця 1'!$K:$K,'Таблиця 1'!$B:$B,$A263,'Таблиця 1'!$I:$I,"Mi-8",'Таблиця 1'!$J:$J,"Thales-70")+SUMIFS('Таблиця 1'!$K:$K,'Таблиця 1'!$B:$B,$A263,'Таблиця 1'!$I:$I,"Mi-24",'Таблиця 1'!$J:$J,"Thales-70"))</f>
        <v/>
      </c>
      <c r="L263">
        <f>IF($A263="","",SUMIFS('Таблиця 1'!$K:$K,'Таблиця 1'!$B:$B,$A263,'Таблиця 1'!$I:$I,"Mi-8",'Таблиця 1'!$J:$J,"Thales-FZ")+SUMIFS('Таблиця 1'!$K:$K,'Таблиця 1'!$B:$B,$A263,'Таблиця 1'!$I:$I,"Mi-24",'Таблиця 1'!$J:$J,"Thales-FZ"))</f>
        <v/>
      </c>
      <c r="M263">
        <f>IF($A263="","",SUMIFS('Таблиця 1'!$K:$K,'Таблиця 1'!$B:$B,$A263,'Таблиця 1'!$I:$I,"Mi-8",'Таблиця 1'!$J:$J,"МК-40")+SUMIFS('Таблиця 1'!$K:$K,'Таблиця 1'!$B:$B,$A263,'Таблиця 1'!$I:$I,"Mi-24",'Таблиця 1'!$J:$J,"МК-40"))</f>
        <v/>
      </c>
      <c r="N263">
        <f>IF($A263="","",SUMIFS('Таблиця 1'!$K:$K,'Таблиця 1'!$B:$B,$A263,'Таблиця 1'!$I:$I,"Mi-8",'Таблиця 1'!$J:$J,"Zuni")+SUMIFS('Таблиця 1'!$K:$K,'Таблиця 1'!$B:$B,$A263,'Таблиця 1'!$I:$I,"Mi-24",'Таблиця 1'!$J:$J,"Zuni"))</f>
        <v/>
      </c>
      <c r="O263">
        <f>IF($A263="","",COUNTIFS('Таблиця 1'!$B:$B,$A263,'Таблиця 1'!$I:$I,"Mi-8",'Таблиця 1'!$L:$L,"Уражено")+COUNTIFS('Таблиця 1'!$B:$B,$A263,'Таблиця 1'!$I:$I,"Mi-24",'Таблиця 1'!$L:$L,"Уражено"))</f>
        <v/>
      </c>
      <c r="P263">
        <f>IF($A263="","",COUNTIFS('Таблиця 1'!$B:$B,$A263,'Таблиця 1'!$I:$I,"Mi-8",'Таблиця 1'!$L:$L,"НЕ уражено")+COUNTIFS('Таблиця 1'!$B:$B,$A263,'Таблиця 1'!$I:$I,"Mi-24",'Таблиця 1'!$L:$L,"НЕ уражено"))</f>
        <v/>
      </c>
    </row>
    <row r="264">
      <c r="A264" s="273">
        <f>IF(A263="","",IF(A263+1&gt;MAX('Таблиця 1'!$B:$B),"",A263+1))</f>
        <v/>
      </c>
      <c r="B264">
        <f>IF($A264="","",COUNTIFS('Таблиця 1'!$B:$B,$A264,'Таблиця 1'!$I:$I,"Mi-8")+COUNTIFS('Таблиця 1'!$B:$B,$A264,'Таблиця 1'!$I:$I,"Mi-24"))</f>
        <v/>
      </c>
      <c r="C264">
        <f>IF($A264="","",COUNTIFS('Таблиця 1'!$B:$B,$A264,'Таблиця 1'!$I:$I,"Mi-8"))</f>
        <v/>
      </c>
      <c r="D264">
        <f>IF($A264="","",COUNTIFS('Таблиця 1'!$B:$B,$A264,'Таблиця 1'!$I:$I,"Mi-24"))</f>
        <v/>
      </c>
      <c r="E264">
        <f>IF($A264="","",SUMIFS('Таблиця 1'!$K:$K,'Таблиця 1'!$B:$B,$A264,'Таблиця 1'!$I:$I,"Mi-8",'Таблиця 1'!$J:$J,"ARS-8")+SUMIFS('Таблиця 1'!$K:$K,'Таблиця 1'!$B:$B,$A264,'Таблиця 1'!$I:$I,"Mi-24",'Таблиця 1'!$J:$J,"ARS-8"))</f>
        <v/>
      </c>
      <c r="F264">
        <f>IF($A264="","",SUMIFS('Таблиця 1'!$K:$K,'Таблиця 1'!$B:$B,$A264,'Таблиця 1'!$I:$I,"Mi-8",'Таблиця 1'!$J:$J,"С-8 ком")+SUMIFS('Таблиця 1'!$K:$K,'Таблиця 1'!$B:$B,$A264,'Таблиця 1'!$I:$I,"Mi-24",'Таблиця 1'!$J:$J,"С-8 ком"))</f>
        <v/>
      </c>
      <c r="G264">
        <f>IF($A264="","",SUMIFS('Таблиця 1'!$K:$K,'Таблиця 1'!$B:$B,$A264,'Таблиця 1'!$I:$I,"Mi-8",'Таблиця 1'!$J:$J,"PC-80")+SUMIFS('Таблиця 1'!$K:$K,'Таблиця 1'!$B:$B,$A264,'Таблиця 1'!$I:$I,"Mi-24",'Таблиця 1'!$J:$J,"PC-80"))</f>
        <v/>
      </c>
      <c r="H264">
        <f>IF($A264="","",SUMIFS('Таблиця 1'!$K:$K,'Таблиця 1'!$B:$B,$A264,'Таблиця 1'!$I:$I,"Mi-8",'Таблиця 1'!$J:$J,"UAR-80")+SUMIFS('Таблиця 1'!$K:$K,'Таблиця 1'!$B:$B,$A264,'Таблиця 1'!$I:$I,"Mi-24",'Таблиця 1'!$J:$J,"UAR-80"))</f>
        <v/>
      </c>
      <c r="I264">
        <f>IF($A264="","",SUMIFS('Таблиця 1'!$K:$K,'Таблиця 1'!$B:$B,$A264,'Таблиця 1'!$I:$I,"Mi-8",'Таблиця 1'!$J:$J,"C-13")+SUMIFS('Таблиця 1'!$K:$K,'Таблиця 1'!$B:$B,$A264,'Таблиця 1'!$I:$I,"Mi-24",'Таблиця 1'!$J:$J,"C-13"))</f>
        <v/>
      </c>
      <c r="J264">
        <f>IF($A264="","",SUMIFS('Таблиця 1'!$K:$K,'Таблиця 1'!$B:$B,$A264,'Таблиця 1'!$I:$I,"Mi-8",'Таблиця 1'!$J:$J,"Hydra-70")+SUMIFS('Таблиця 1'!$K:$K,'Таблиця 1'!$B:$B,$A264,'Таблиця 1'!$I:$I,"Mi-24",'Таблиця 1'!$J:$J,"Hydra-70"))</f>
        <v/>
      </c>
      <c r="K264">
        <f>IF($A264="","",SUMIFS('Таблиця 1'!$K:$K,'Таблиця 1'!$B:$B,$A264,'Таблиця 1'!$I:$I,"Mi-8",'Таблиця 1'!$J:$J,"Thales-70")+SUMIFS('Таблиця 1'!$K:$K,'Таблиця 1'!$B:$B,$A264,'Таблиця 1'!$I:$I,"Mi-24",'Таблиця 1'!$J:$J,"Thales-70"))</f>
        <v/>
      </c>
      <c r="L264">
        <f>IF($A264="","",SUMIFS('Таблиця 1'!$K:$K,'Таблиця 1'!$B:$B,$A264,'Таблиця 1'!$I:$I,"Mi-8",'Таблиця 1'!$J:$J,"Thales-FZ")+SUMIFS('Таблиця 1'!$K:$K,'Таблиця 1'!$B:$B,$A264,'Таблиця 1'!$I:$I,"Mi-24",'Таблиця 1'!$J:$J,"Thales-FZ"))</f>
        <v/>
      </c>
      <c r="M264">
        <f>IF($A264="","",SUMIFS('Таблиця 1'!$K:$K,'Таблиця 1'!$B:$B,$A264,'Таблиця 1'!$I:$I,"Mi-8",'Таблиця 1'!$J:$J,"МК-40")+SUMIFS('Таблиця 1'!$K:$K,'Таблиця 1'!$B:$B,$A264,'Таблиця 1'!$I:$I,"Mi-24",'Таблиця 1'!$J:$J,"МК-40"))</f>
        <v/>
      </c>
      <c r="N264">
        <f>IF($A264="","",SUMIFS('Таблиця 1'!$K:$K,'Таблиця 1'!$B:$B,$A264,'Таблиця 1'!$I:$I,"Mi-8",'Таблиця 1'!$J:$J,"Zuni")+SUMIFS('Таблиця 1'!$K:$K,'Таблиця 1'!$B:$B,$A264,'Таблиця 1'!$I:$I,"Mi-24",'Таблиця 1'!$J:$J,"Zuni"))</f>
        <v/>
      </c>
      <c r="O264">
        <f>IF($A264="","",COUNTIFS('Таблиця 1'!$B:$B,$A264,'Таблиця 1'!$I:$I,"Mi-8",'Таблиця 1'!$L:$L,"Уражено")+COUNTIFS('Таблиця 1'!$B:$B,$A264,'Таблиця 1'!$I:$I,"Mi-24",'Таблиця 1'!$L:$L,"Уражено"))</f>
        <v/>
      </c>
      <c r="P264">
        <f>IF($A264="","",COUNTIFS('Таблиця 1'!$B:$B,$A264,'Таблиця 1'!$I:$I,"Mi-8",'Таблиця 1'!$L:$L,"НЕ уражено")+COUNTIFS('Таблиця 1'!$B:$B,$A264,'Таблиця 1'!$I:$I,"Mi-24",'Таблиця 1'!$L:$L,"НЕ уражено"))</f>
        <v/>
      </c>
    </row>
    <row r="265">
      <c r="A265" s="273">
        <f>IF(A264="","",IF(A264+1&gt;MAX('Таблиця 1'!$B:$B),"",A264+1))</f>
        <v/>
      </c>
      <c r="B265">
        <f>IF($A265="","",COUNTIFS('Таблиця 1'!$B:$B,$A265,'Таблиця 1'!$I:$I,"Mi-8")+COUNTIFS('Таблиця 1'!$B:$B,$A265,'Таблиця 1'!$I:$I,"Mi-24"))</f>
        <v/>
      </c>
      <c r="C265">
        <f>IF($A265="","",COUNTIFS('Таблиця 1'!$B:$B,$A265,'Таблиця 1'!$I:$I,"Mi-8"))</f>
        <v/>
      </c>
      <c r="D265">
        <f>IF($A265="","",COUNTIFS('Таблиця 1'!$B:$B,$A265,'Таблиця 1'!$I:$I,"Mi-24"))</f>
        <v/>
      </c>
      <c r="E265">
        <f>IF($A265="","",SUMIFS('Таблиця 1'!$K:$K,'Таблиця 1'!$B:$B,$A265,'Таблиця 1'!$I:$I,"Mi-8",'Таблиця 1'!$J:$J,"ARS-8")+SUMIFS('Таблиця 1'!$K:$K,'Таблиця 1'!$B:$B,$A265,'Таблиця 1'!$I:$I,"Mi-24",'Таблиця 1'!$J:$J,"ARS-8"))</f>
        <v/>
      </c>
      <c r="F265">
        <f>IF($A265="","",SUMIFS('Таблиця 1'!$K:$K,'Таблиця 1'!$B:$B,$A265,'Таблиця 1'!$I:$I,"Mi-8",'Таблиця 1'!$J:$J,"С-8 ком")+SUMIFS('Таблиця 1'!$K:$K,'Таблиця 1'!$B:$B,$A265,'Таблиця 1'!$I:$I,"Mi-24",'Таблиця 1'!$J:$J,"С-8 ком"))</f>
        <v/>
      </c>
      <c r="G265">
        <f>IF($A265="","",SUMIFS('Таблиця 1'!$K:$K,'Таблиця 1'!$B:$B,$A265,'Таблиця 1'!$I:$I,"Mi-8",'Таблиця 1'!$J:$J,"PC-80")+SUMIFS('Таблиця 1'!$K:$K,'Таблиця 1'!$B:$B,$A265,'Таблиця 1'!$I:$I,"Mi-24",'Таблиця 1'!$J:$J,"PC-80"))</f>
        <v/>
      </c>
      <c r="H265">
        <f>IF($A265="","",SUMIFS('Таблиця 1'!$K:$K,'Таблиця 1'!$B:$B,$A265,'Таблиця 1'!$I:$I,"Mi-8",'Таблиця 1'!$J:$J,"UAR-80")+SUMIFS('Таблиця 1'!$K:$K,'Таблиця 1'!$B:$B,$A265,'Таблиця 1'!$I:$I,"Mi-24",'Таблиця 1'!$J:$J,"UAR-80"))</f>
        <v/>
      </c>
      <c r="I265">
        <f>IF($A265="","",SUMIFS('Таблиця 1'!$K:$K,'Таблиця 1'!$B:$B,$A265,'Таблиця 1'!$I:$I,"Mi-8",'Таблиця 1'!$J:$J,"C-13")+SUMIFS('Таблиця 1'!$K:$K,'Таблиця 1'!$B:$B,$A265,'Таблиця 1'!$I:$I,"Mi-24",'Таблиця 1'!$J:$J,"C-13"))</f>
        <v/>
      </c>
      <c r="J265">
        <f>IF($A265="","",SUMIFS('Таблиця 1'!$K:$K,'Таблиця 1'!$B:$B,$A265,'Таблиця 1'!$I:$I,"Mi-8",'Таблиця 1'!$J:$J,"Hydra-70")+SUMIFS('Таблиця 1'!$K:$K,'Таблиця 1'!$B:$B,$A265,'Таблиця 1'!$I:$I,"Mi-24",'Таблиця 1'!$J:$J,"Hydra-70"))</f>
        <v/>
      </c>
      <c r="K265">
        <f>IF($A265="","",SUMIFS('Таблиця 1'!$K:$K,'Таблиця 1'!$B:$B,$A265,'Таблиця 1'!$I:$I,"Mi-8",'Таблиця 1'!$J:$J,"Thales-70")+SUMIFS('Таблиця 1'!$K:$K,'Таблиця 1'!$B:$B,$A265,'Таблиця 1'!$I:$I,"Mi-24",'Таблиця 1'!$J:$J,"Thales-70"))</f>
        <v/>
      </c>
      <c r="L265">
        <f>IF($A265="","",SUMIFS('Таблиця 1'!$K:$K,'Таблиця 1'!$B:$B,$A265,'Таблиця 1'!$I:$I,"Mi-8",'Таблиця 1'!$J:$J,"Thales-FZ")+SUMIFS('Таблиця 1'!$K:$K,'Таблиця 1'!$B:$B,$A265,'Таблиця 1'!$I:$I,"Mi-24",'Таблиця 1'!$J:$J,"Thales-FZ"))</f>
        <v/>
      </c>
      <c r="M265">
        <f>IF($A265="","",SUMIFS('Таблиця 1'!$K:$K,'Таблиця 1'!$B:$B,$A265,'Таблиця 1'!$I:$I,"Mi-8",'Таблиця 1'!$J:$J,"МК-40")+SUMIFS('Таблиця 1'!$K:$K,'Таблиця 1'!$B:$B,$A265,'Таблиця 1'!$I:$I,"Mi-24",'Таблиця 1'!$J:$J,"МК-40"))</f>
        <v/>
      </c>
      <c r="N265">
        <f>IF($A265="","",SUMIFS('Таблиця 1'!$K:$K,'Таблиця 1'!$B:$B,$A265,'Таблиця 1'!$I:$I,"Mi-8",'Таблиця 1'!$J:$J,"Zuni")+SUMIFS('Таблиця 1'!$K:$K,'Таблиця 1'!$B:$B,$A265,'Таблиця 1'!$I:$I,"Mi-24",'Таблиця 1'!$J:$J,"Zuni"))</f>
        <v/>
      </c>
      <c r="O265">
        <f>IF($A265="","",COUNTIFS('Таблиця 1'!$B:$B,$A265,'Таблиця 1'!$I:$I,"Mi-8",'Таблиця 1'!$L:$L,"Уражено")+COUNTIFS('Таблиця 1'!$B:$B,$A265,'Таблиця 1'!$I:$I,"Mi-24",'Таблиця 1'!$L:$L,"Уражено"))</f>
        <v/>
      </c>
      <c r="P265">
        <f>IF($A265="","",COUNTIFS('Таблиця 1'!$B:$B,$A265,'Таблиця 1'!$I:$I,"Mi-8",'Таблиця 1'!$L:$L,"НЕ уражено")+COUNTIFS('Таблиця 1'!$B:$B,$A265,'Таблиця 1'!$I:$I,"Mi-24",'Таблиця 1'!$L:$L,"НЕ уражено"))</f>
        <v/>
      </c>
    </row>
    <row r="266">
      <c r="A266" s="273">
        <f>IF(A265="","",IF(A265+1&gt;MAX('Таблиця 1'!$B:$B),"",A265+1))</f>
        <v/>
      </c>
      <c r="B266">
        <f>IF($A266="","",COUNTIFS('Таблиця 1'!$B:$B,$A266,'Таблиця 1'!$I:$I,"Mi-8")+COUNTIFS('Таблиця 1'!$B:$B,$A266,'Таблиця 1'!$I:$I,"Mi-24"))</f>
        <v/>
      </c>
      <c r="C266">
        <f>IF($A266="","",COUNTIFS('Таблиця 1'!$B:$B,$A266,'Таблиця 1'!$I:$I,"Mi-8"))</f>
        <v/>
      </c>
      <c r="D266">
        <f>IF($A266="","",COUNTIFS('Таблиця 1'!$B:$B,$A266,'Таблиця 1'!$I:$I,"Mi-24"))</f>
        <v/>
      </c>
      <c r="E266">
        <f>IF($A266="","",SUMIFS('Таблиця 1'!$K:$K,'Таблиця 1'!$B:$B,$A266,'Таблиця 1'!$I:$I,"Mi-8",'Таблиця 1'!$J:$J,"ARS-8")+SUMIFS('Таблиця 1'!$K:$K,'Таблиця 1'!$B:$B,$A266,'Таблиця 1'!$I:$I,"Mi-24",'Таблиця 1'!$J:$J,"ARS-8"))</f>
        <v/>
      </c>
      <c r="F266">
        <f>IF($A266="","",SUMIFS('Таблиця 1'!$K:$K,'Таблиця 1'!$B:$B,$A266,'Таблиця 1'!$I:$I,"Mi-8",'Таблиця 1'!$J:$J,"С-8 ком")+SUMIFS('Таблиця 1'!$K:$K,'Таблиця 1'!$B:$B,$A266,'Таблиця 1'!$I:$I,"Mi-24",'Таблиця 1'!$J:$J,"С-8 ком"))</f>
        <v/>
      </c>
      <c r="G266">
        <f>IF($A266="","",SUMIFS('Таблиця 1'!$K:$K,'Таблиця 1'!$B:$B,$A266,'Таблиця 1'!$I:$I,"Mi-8",'Таблиця 1'!$J:$J,"PC-80")+SUMIFS('Таблиця 1'!$K:$K,'Таблиця 1'!$B:$B,$A266,'Таблиця 1'!$I:$I,"Mi-24",'Таблиця 1'!$J:$J,"PC-80"))</f>
        <v/>
      </c>
      <c r="H266">
        <f>IF($A266="","",SUMIFS('Таблиця 1'!$K:$K,'Таблиця 1'!$B:$B,$A266,'Таблиця 1'!$I:$I,"Mi-8",'Таблиця 1'!$J:$J,"UAR-80")+SUMIFS('Таблиця 1'!$K:$K,'Таблиця 1'!$B:$B,$A266,'Таблиця 1'!$I:$I,"Mi-24",'Таблиця 1'!$J:$J,"UAR-80"))</f>
        <v/>
      </c>
      <c r="I266">
        <f>IF($A266="","",SUMIFS('Таблиця 1'!$K:$K,'Таблиця 1'!$B:$B,$A266,'Таблиця 1'!$I:$I,"Mi-8",'Таблиця 1'!$J:$J,"C-13")+SUMIFS('Таблиця 1'!$K:$K,'Таблиця 1'!$B:$B,$A266,'Таблиця 1'!$I:$I,"Mi-24",'Таблиця 1'!$J:$J,"C-13"))</f>
        <v/>
      </c>
      <c r="J266">
        <f>IF($A266="","",SUMIFS('Таблиця 1'!$K:$K,'Таблиця 1'!$B:$B,$A266,'Таблиця 1'!$I:$I,"Mi-8",'Таблиця 1'!$J:$J,"Hydra-70")+SUMIFS('Таблиця 1'!$K:$K,'Таблиця 1'!$B:$B,$A266,'Таблиця 1'!$I:$I,"Mi-24",'Таблиця 1'!$J:$J,"Hydra-70"))</f>
        <v/>
      </c>
      <c r="K266">
        <f>IF($A266="","",SUMIFS('Таблиця 1'!$K:$K,'Таблиця 1'!$B:$B,$A266,'Таблиця 1'!$I:$I,"Mi-8",'Таблиця 1'!$J:$J,"Thales-70")+SUMIFS('Таблиця 1'!$K:$K,'Таблиця 1'!$B:$B,$A266,'Таблиця 1'!$I:$I,"Mi-24",'Таблиця 1'!$J:$J,"Thales-70"))</f>
        <v/>
      </c>
      <c r="L266">
        <f>IF($A266="","",SUMIFS('Таблиця 1'!$K:$K,'Таблиця 1'!$B:$B,$A266,'Таблиця 1'!$I:$I,"Mi-8",'Таблиця 1'!$J:$J,"Thales-FZ")+SUMIFS('Таблиця 1'!$K:$K,'Таблиця 1'!$B:$B,$A266,'Таблиця 1'!$I:$I,"Mi-24",'Таблиця 1'!$J:$J,"Thales-FZ"))</f>
        <v/>
      </c>
      <c r="M266">
        <f>IF($A266="","",SUMIFS('Таблиця 1'!$K:$K,'Таблиця 1'!$B:$B,$A266,'Таблиця 1'!$I:$I,"Mi-8",'Таблиця 1'!$J:$J,"МК-40")+SUMIFS('Таблиця 1'!$K:$K,'Таблиця 1'!$B:$B,$A266,'Таблиця 1'!$I:$I,"Mi-24",'Таблиця 1'!$J:$J,"МК-40"))</f>
        <v/>
      </c>
      <c r="N266">
        <f>IF($A266="","",SUMIFS('Таблиця 1'!$K:$K,'Таблиця 1'!$B:$B,$A266,'Таблиця 1'!$I:$I,"Mi-8",'Таблиця 1'!$J:$J,"Zuni")+SUMIFS('Таблиця 1'!$K:$K,'Таблиця 1'!$B:$B,$A266,'Таблиця 1'!$I:$I,"Mi-24",'Таблиця 1'!$J:$J,"Zuni"))</f>
        <v/>
      </c>
      <c r="O266">
        <f>IF($A266="","",COUNTIFS('Таблиця 1'!$B:$B,$A266,'Таблиця 1'!$I:$I,"Mi-8",'Таблиця 1'!$L:$L,"Уражено")+COUNTIFS('Таблиця 1'!$B:$B,$A266,'Таблиця 1'!$I:$I,"Mi-24",'Таблиця 1'!$L:$L,"Уражено"))</f>
        <v/>
      </c>
      <c r="P266">
        <f>IF($A266="","",COUNTIFS('Таблиця 1'!$B:$B,$A266,'Таблиця 1'!$I:$I,"Mi-8",'Таблиця 1'!$L:$L,"НЕ уражено")+COUNTIFS('Таблиця 1'!$B:$B,$A266,'Таблиця 1'!$I:$I,"Mi-24",'Таблиця 1'!$L:$L,"НЕ уражено"))</f>
        <v/>
      </c>
    </row>
    <row r="267">
      <c r="A267" s="273">
        <f>IF(A266="","",IF(A266+1&gt;MAX('Таблиця 1'!$B:$B),"",A266+1))</f>
        <v/>
      </c>
      <c r="B267">
        <f>IF($A267="","",COUNTIFS('Таблиця 1'!$B:$B,$A267,'Таблиця 1'!$I:$I,"Mi-8")+COUNTIFS('Таблиця 1'!$B:$B,$A267,'Таблиця 1'!$I:$I,"Mi-24"))</f>
        <v/>
      </c>
      <c r="C267">
        <f>IF($A267="","",COUNTIFS('Таблиця 1'!$B:$B,$A267,'Таблиця 1'!$I:$I,"Mi-8"))</f>
        <v/>
      </c>
      <c r="D267">
        <f>IF($A267="","",COUNTIFS('Таблиця 1'!$B:$B,$A267,'Таблиця 1'!$I:$I,"Mi-24"))</f>
        <v/>
      </c>
      <c r="E267">
        <f>IF($A267="","",SUMIFS('Таблиця 1'!$K:$K,'Таблиця 1'!$B:$B,$A267,'Таблиця 1'!$I:$I,"Mi-8",'Таблиця 1'!$J:$J,"ARS-8")+SUMIFS('Таблиця 1'!$K:$K,'Таблиця 1'!$B:$B,$A267,'Таблиця 1'!$I:$I,"Mi-24",'Таблиця 1'!$J:$J,"ARS-8"))</f>
        <v/>
      </c>
      <c r="F267">
        <f>IF($A267="","",SUMIFS('Таблиця 1'!$K:$K,'Таблиця 1'!$B:$B,$A267,'Таблиця 1'!$I:$I,"Mi-8",'Таблиця 1'!$J:$J,"С-8 ком")+SUMIFS('Таблиця 1'!$K:$K,'Таблиця 1'!$B:$B,$A267,'Таблиця 1'!$I:$I,"Mi-24",'Таблиця 1'!$J:$J,"С-8 ком"))</f>
        <v/>
      </c>
      <c r="G267">
        <f>IF($A267="","",SUMIFS('Таблиця 1'!$K:$K,'Таблиця 1'!$B:$B,$A267,'Таблиця 1'!$I:$I,"Mi-8",'Таблиця 1'!$J:$J,"PC-80")+SUMIFS('Таблиця 1'!$K:$K,'Таблиця 1'!$B:$B,$A267,'Таблиця 1'!$I:$I,"Mi-24",'Таблиця 1'!$J:$J,"PC-80"))</f>
        <v/>
      </c>
      <c r="H267">
        <f>IF($A267="","",SUMIFS('Таблиця 1'!$K:$K,'Таблиця 1'!$B:$B,$A267,'Таблиця 1'!$I:$I,"Mi-8",'Таблиця 1'!$J:$J,"UAR-80")+SUMIFS('Таблиця 1'!$K:$K,'Таблиця 1'!$B:$B,$A267,'Таблиця 1'!$I:$I,"Mi-24",'Таблиця 1'!$J:$J,"UAR-80"))</f>
        <v/>
      </c>
      <c r="I267">
        <f>IF($A267="","",SUMIFS('Таблиця 1'!$K:$K,'Таблиця 1'!$B:$B,$A267,'Таблиця 1'!$I:$I,"Mi-8",'Таблиця 1'!$J:$J,"C-13")+SUMIFS('Таблиця 1'!$K:$K,'Таблиця 1'!$B:$B,$A267,'Таблиця 1'!$I:$I,"Mi-24",'Таблиця 1'!$J:$J,"C-13"))</f>
        <v/>
      </c>
      <c r="J267">
        <f>IF($A267="","",SUMIFS('Таблиця 1'!$K:$K,'Таблиця 1'!$B:$B,$A267,'Таблиця 1'!$I:$I,"Mi-8",'Таблиця 1'!$J:$J,"Hydra-70")+SUMIFS('Таблиця 1'!$K:$K,'Таблиця 1'!$B:$B,$A267,'Таблиця 1'!$I:$I,"Mi-24",'Таблиця 1'!$J:$J,"Hydra-70"))</f>
        <v/>
      </c>
      <c r="K267">
        <f>IF($A267="","",SUMIFS('Таблиця 1'!$K:$K,'Таблиця 1'!$B:$B,$A267,'Таблиця 1'!$I:$I,"Mi-8",'Таблиця 1'!$J:$J,"Thales-70")+SUMIFS('Таблиця 1'!$K:$K,'Таблиця 1'!$B:$B,$A267,'Таблиця 1'!$I:$I,"Mi-24",'Таблиця 1'!$J:$J,"Thales-70"))</f>
        <v/>
      </c>
      <c r="L267">
        <f>IF($A267="","",SUMIFS('Таблиця 1'!$K:$K,'Таблиця 1'!$B:$B,$A267,'Таблиця 1'!$I:$I,"Mi-8",'Таблиця 1'!$J:$J,"Thales-FZ")+SUMIFS('Таблиця 1'!$K:$K,'Таблиця 1'!$B:$B,$A267,'Таблиця 1'!$I:$I,"Mi-24",'Таблиця 1'!$J:$J,"Thales-FZ"))</f>
        <v/>
      </c>
      <c r="M267">
        <f>IF($A267="","",SUMIFS('Таблиця 1'!$K:$K,'Таблиця 1'!$B:$B,$A267,'Таблиця 1'!$I:$I,"Mi-8",'Таблиця 1'!$J:$J,"МК-40")+SUMIFS('Таблиця 1'!$K:$K,'Таблиця 1'!$B:$B,$A267,'Таблиця 1'!$I:$I,"Mi-24",'Таблиця 1'!$J:$J,"МК-40"))</f>
        <v/>
      </c>
      <c r="N267">
        <f>IF($A267="","",SUMIFS('Таблиця 1'!$K:$K,'Таблиця 1'!$B:$B,$A267,'Таблиця 1'!$I:$I,"Mi-8",'Таблиця 1'!$J:$J,"Zuni")+SUMIFS('Таблиця 1'!$K:$K,'Таблиця 1'!$B:$B,$A267,'Таблиця 1'!$I:$I,"Mi-24",'Таблиця 1'!$J:$J,"Zuni"))</f>
        <v/>
      </c>
      <c r="O267">
        <f>IF($A267="","",COUNTIFS('Таблиця 1'!$B:$B,$A267,'Таблиця 1'!$I:$I,"Mi-8",'Таблиця 1'!$L:$L,"Уражено")+COUNTIFS('Таблиця 1'!$B:$B,$A267,'Таблиця 1'!$I:$I,"Mi-24",'Таблиця 1'!$L:$L,"Уражено"))</f>
        <v/>
      </c>
      <c r="P267">
        <f>IF($A267="","",COUNTIFS('Таблиця 1'!$B:$B,$A267,'Таблиця 1'!$I:$I,"Mi-8",'Таблиця 1'!$L:$L,"НЕ уражено")+COUNTIFS('Таблиця 1'!$B:$B,$A267,'Таблиця 1'!$I:$I,"Mi-24",'Таблиця 1'!$L:$L,"НЕ уражено"))</f>
        <v/>
      </c>
    </row>
    <row r="268">
      <c r="A268" s="273">
        <f>IF(A267="","",IF(A267+1&gt;MAX('Таблиця 1'!$B:$B),"",A267+1))</f>
        <v/>
      </c>
      <c r="B268">
        <f>IF($A268="","",COUNTIFS('Таблиця 1'!$B:$B,$A268,'Таблиця 1'!$I:$I,"Mi-8")+COUNTIFS('Таблиця 1'!$B:$B,$A268,'Таблиця 1'!$I:$I,"Mi-24"))</f>
        <v/>
      </c>
      <c r="C268">
        <f>IF($A268="","",COUNTIFS('Таблиця 1'!$B:$B,$A268,'Таблиця 1'!$I:$I,"Mi-8"))</f>
        <v/>
      </c>
      <c r="D268">
        <f>IF($A268="","",COUNTIFS('Таблиця 1'!$B:$B,$A268,'Таблиця 1'!$I:$I,"Mi-24"))</f>
        <v/>
      </c>
      <c r="E268">
        <f>IF($A268="","",SUMIFS('Таблиця 1'!$K:$K,'Таблиця 1'!$B:$B,$A268,'Таблиця 1'!$I:$I,"Mi-8",'Таблиця 1'!$J:$J,"ARS-8")+SUMIFS('Таблиця 1'!$K:$K,'Таблиця 1'!$B:$B,$A268,'Таблиця 1'!$I:$I,"Mi-24",'Таблиця 1'!$J:$J,"ARS-8"))</f>
        <v/>
      </c>
      <c r="F268">
        <f>IF($A268="","",SUMIFS('Таблиця 1'!$K:$K,'Таблиця 1'!$B:$B,$A268,'Таблиця 1'!$I:$I,"Mi-8",'Таблиця 1'!$J:$J,"С-8 ком")+SUMIFS('Таблиця 1'!$K:$K,'Таблиця 1'!$B:$B,$A268,'Таблиця 1'!$I:$I,"Mi-24",'Таблиця 1'!$J:$J,"С-8 ком"))</f>
        <v/>
      </c>
      <c r="G268">
        <f>IF($A268="","",SUMIFS('Таблиця 1'!$K:$K,'Таблиця 1'!$B:$B,$A268,'Таблиця 1'!$I:$I,"Mi-8",'Таблиця 1'!$J:$J,"PC-80")+SUMIFS('Таблиця 1'!$K:$K,'Таблиця 1'!$B:$B,$A268,'Таблиця 1'!$I:$I,"Mi-24",'Таблиця 1'!$J:$J,"PC-80"))</f>
        <v/>
      </c>
      <c r="H268">
        <f>IF($A268="","",SUMIFS('Таблиця 1'!$K:$K,'Таблиця 1'!$B:$B,$A268,'Таблиця 1'!$I:$I,"Mi-8",'Таблиця 1'!$J:$J,"UAR-80")+SUMIFS('Таблиця 1'!$K:$K,'Таблиця 1'!$B:$B,$A268,'Таблиця 1'!$I:$I,"Mi-24",'Таблиця 1'!$J:$J,"UAR-80"))</f>
        <v/>
      </c>
      <c r="I268">
        <f>IF($A268="","",SUMIFS('Таблиця 1'!$K:$K,'Таблиця 1'!$B:$B,$A268,'Таблиця 1'!$I:$I,"Mi-8",'Таблиця 1'!$J:$J,"C-13")+SUMIFS('Таблиця 1'!$K:$K,'Таблиця 1'!$B:$B,$A268,'Таблиця 1'!$I:$I,"Mi-24",'Таблиця 1'!$J:$J,"C-13"))</f>
        <v/>
      </c>
      <c r="J268">
        <f>IF($A268="","",SUMIFS('Таблиця 1'!$K:$K,'Таблиця 1'!$B:$B,$A268,'Таблиця 1'!$I:$I,"Mi-8",'Таблиця 1'!$J:$J,"Hydra-70")+SUMIFS('Таблиця 1'!$K:$K,'Таблиця 1'!$B:$B,$A268,'Таблиця 1'!$I:$I,"Mi-24",'Таблиця 1'!$J:$J,"Hydra-70"))</f>
        <v/>
      </c>
      <c r="K268">
        <f>IF($A268="","",SUMIFS('Таблиця 1'!$K:$K,'Таблиця 1'!$B:$B,$A268,'Таблиця 1'!$I:$I,"Mi-8",'Таблиця 1'!$J:$J,"Thales-70")+SUMIFS('Таблиця 1'!$K:$K,'Таблиця 1'!$B:$B,$A268,'Таблиця 1'!$I:$I,"Mi-24",'Таблиця 1'!$J:$J,"Thales-70"))</f>
        <v/>
      </c>
      <c r="L268">
        <f>IF($A268="","",SUMIFS('Таблиця 1'!$K:$K,'Таблиця 1'!$B:$B,$A268,'Таблиця 1'!$I:$I,"Mi-8",'Таблиця 1'!$J:$J,"Thales-FZ")+SUMIFS('Таблиця 1'!$K:$K,'Таблиця 1'!$B:$B,$A268,'Таблиця 1'!$I:$I,"Mi-24",'Таблиця 1'!$J:$J,"Thales-FZ"))</f>
        <v/>
      </c>
      <c r="M268">
        <f>IF($A268="","",SUMIFS('Таблиця 1'!$K:$K,'Таблиця 1'!$B:$B,$A268,'Таблиця 1'!$I:$I,"Mi-8",'Таблиця 1'!$J:$J,"МК-40")+SUMIFS('Таблиця 1'!$K:$K,'Таблиця 1'!$B:$B,$A268,'Таблиця 1'!$I:$I,"Mi-24",'Таблиця 1'!$J:$J,"МК-40"))</f>
        <v/>
      </c>
      <c r="N268">
        <f>IF($A268="","",SUMIFS('Таблиця 1'!$K:$K,'Таблиця 1'!$B:$B,$A268,'Таблиця 1'!$I:$I,"Mi-8",'Таблиця 1'!$J:$J,"Zuni")+SUMIFS('Таблиця 1'!$K:$K,'Таблиця 1'!$B:$B,$A268,'Таблиця 1'!$I:$I,"Mi-24",'Таблиця 1'!$J:$J,"Zuni"))</f>
        <v/>
      </c>
      <c r="O268">
        <f>IF($A268="","",COUNTIFS('Таблиця 1'!$B:$B,$A268,'Таблиця 1'!$I:$I,"Mi-8",'Таблиця 1'!$L:$L,"Уражено")+COUNTIFS('Таблиця 1'!$B:$B,$A268,'Таблиця 1'!$I:$I,"Mi-24",'Таблиця 1'!$L:$L,"Уражено"))</f>
        <v/>
      </c>
      <c r="P268">
        <f>IF($A268="","",COUNTIFS('Таблиця 1'!$B:$B,$A268,'Таблиця 1'!$I:$I,"Mi-8",'Таблиця 1'!$L:$L,"НЕ уражено")+COUNTIFS('Таблиця 1'!$B:$B,$A268,'Таблиця 1'!$I:$I,"Mi-24",'Таблиця 1'!$L:$L,"НЕ уражено"))</f>
        <v/>
      </c>
    </row>
    <row r="269">
      <c r="A269" s="273">
        <f>IF(A268="","",IF(A268+1&gt;MAX('Таблиця 1'!$B:$B),"",A268+1))</f>
        <v/>
      </c>
      <c r="B269">
        <f>IF($A269="","",COUNTIFS('Таблиця 1'!$B:$B,$A269,'Таблиця 1'!$I:$I,"Mi-8")+COUNTIFS('Таблиця 1'!$B:$B,$A269,'Таблиця 1'!$I:$I,"Mi-24"))</f>
        <v/>
      </c>
      <c r="C269">
        <f>IF($A269="","",COUNTIFS('Таблиця 1'!$B:$B,$A269,'Таблиця 1'!$I:$I,"Mi-8"))</f>
        <v/>
      </c>
      <c r="D269">
        <f>IF($A269="","",COUNTIFS('Таблиця 1'!$B:$B,$A269,'Таблиця 1'!$I:$I,"Mi-24"))</f>
        <v/>
      </c>
      <c r="E269">
        <f>IF($A269="","",SUMIFS('Таблиця 1'!$K:$K,'Таблиця 1'!$B:$B,$A269,'Таблиця 1'!$I:$I,"Mi-8",'Таблиця 1'!$J:$J,"ARS-8")+SUMIFS('Таблиця 1'!$K:$K,'Таблиця 1'!$B:$B,$A269,'Таблиця 1'!$I:$I,"Mi-24",'Таблиця 1'!$J:$J,"ARS-8"))</f>
        <v/>
      </c>
      <c r="F269">
        <f>IF($A269="","",SUMIFS('Таблиця 1'!$K:$K,'Таблиця 1'!$B:$B,$A269,'Таблиця 1'!$I:$I,"Mi-8",'Таблиця 1'!$J:$J,"С-8 ком")+SUMIFS('Таблиця 1'!$K:$K,'Таблиця 1'!$B:$B,$A269,'Таблиця 1'!$I:$I,"Mi-24",'Таблиця 1'!$J:$J,"С-8 ком"))</f>
        <v/>
      </c>
      <c r="G269">
        <f>IF($A269="","",SUMIFS('Таблиця 1'!$K:$K,'Таблиця 1'!$B:$B,$A269,'Таблиця 1'!$I:$I,"Mi-8",'Таблиця 1'!$J:$J,"PC-80")+SUMIFS('Таблиця 1'!$K:$K,'Таблиця 1'!$B:$B,$A269,'Таблиця 1'!$I:$I,"Mi-24",'Таблиця 1'!$J:$J,"PC-80"))</f>
        <v/>
      </c>
      <c r="H269">
        <f>IF($A269="","",SUMIFS('Таблиця 1'!$K:$K,'Таблиця 1'!$B:$B,$A269,'Таблиця 1'!$I:$I,"Mi-8",'Таблиця 1'!$J:$J,"UAR-80")+SUMIFS('Таблиця 1'!$K:$K,'Таблиця 1'!$B:$B,$A269,'Таблиця 1'!$I:$I,"Mi-24",'Таблиця 1'!$J:$J,"UAR-80"))</f>
        <v/>
      </c>
      <c r="I269">
        <f>IF($A269="","",SUMIFS('Таблиця 1'!$K:$K,'Таблиця 1'!$B:$B,$A269,'Таблиця 1'!$I:$I,"Mi-8",'Таблиця 1'!$J:$J,"C-13")+SUMIFS('Таблиця 1'!$K:$K,'Таблиця 1'!$B:$B,$A269,'Таблиця 1'!$I:$I,"Mi-24",'Таблиця 1'!$J:$J,"C-13"))</f>
        <v/>
      </c>
      <c r="J269">
        <f>IF($A269="","",SUMIFS('Таблиця 1'!$K:$K,'Таблиця 1'!$B:$B,$A269,'Таблиця 1'!$I:$I,"Mi-8",'Таблиця 1'!$J:$J,"Hydra-70")+SUMIFS('Таблиця 1'!$K:$K,'Таблиця 1'!$B:$B,$A269,'Таблиця 1'!$I:$I,"Mi-24",'Таблиця 1'!$J:$J,"Hydra-70"))</f>
        <v/>
      </c>
      <c r="K269">
        <f>IF($A269="","",SUMIFS('Таблиця 1'!$K:$K,'Таблиця 1'!$B:$B,$A269,'Таблиця 1'!$I:$I,"Mi-8",'Таблиця 1'!$J:$J,"Thales-70")+SUMIFS('Таблиця 1'!$K:$K,'Таблиця 1'!$B:$B,$A269,'Таблиця 1'!$I:$I,"Mi-24",'Таблиця 1'!$J:$J,"Thales-70"))</f>
        <v/>
      </c>
      <c r="L269">
        <f>IF($A269="","",SUMIFS('Таблиця 1'!$K:$K,'Таблиця 1'!$B:$B,$A269,'Таблиця 1'!$I:$I,"Mi-8",'Таблиця 1'!$J:$J,"Thales-FZ")+SUMIFS('Таблиця 1'!$K:$K,'Таблиця 1'!$B:$B,$A269,'Таблиця 1'!$I:$I,"Mi-24",'Таблиця 1'!$J:$J,"Thales-FZ"))</f>
        <v/>
      </c>
      <c r="M269">
        <f>IF($A269="","",SUMIFS('Таблиця 1'!$K:$K,'Таблиця 1'!$B:$B,$A269,'Таблиця 1'!$I:$I,"Mi-8",'Таблиця 1'!$J:$J,"МК-40")+SUMIFS('Таблиця 1'!$K:$K,'Таблиця 1'!$B:$B,$A269,'Таблиця 1'!$I:$I,"Mi-24",'Таблиця 1'!$J:$J,"МК-40"))</f>
        <v/>
      </c>
      <c r="N269">
        <f>IF($A269="","",SUMIFS('Таблиця 1'!$K:$K,'Таблиця 1'!$B:$B,$A269,'Таблиця 1'!$I:$I,"Mi-8",'Таблиця 1'!$J:$J,"Zuni")+SUMIFS('Таблиця 1'!$K:$K,'Таблиця 1'!$B:$B,$A269,'Таблиця 1'!$I:$I,"Mi-24",'Таблиця 1'!$J:$J,"Zuni"))</f>
        <v/>
      </c>
      <c r="O269">
        <f>IF($A269="","",COUNTIFS('Таблиця 1'!$B:$B,$A269,'Таблиця 1'!$I:$I,"Mi-8",'Таблиця 1'!$L:$L,"Уражено")+COUNTIFS('Таблиця 1'!$B:$B,$A269,'Таблиця 1'!$I:$I,"Mi-24",'Таблиця 1'!$L:$L,"Уражено"))</f>
        <v/>
      </c>
      <c r="P269">
        <f>IF($A269="","",COUNTIFS('Таблиця 1'!$B:$B,$A269,'Таблиця 1'!$I:$I,"Mi-8",'Таблиця 1'!$L:$L,"НЕ уражено")+COUNTIFS('Таблиця 1'!$B:$B,$A269,'Таблиця 1'!$I:$I,"Mi-24",'Таблиця 1'!$L:$L,"НЕ уражено"))</f>
        <v/>
      </c>
    </row>
    <row r="270">
      <c r="A270" s="273">
        <f>IF(A269="","",IF(A269+1&gt;MAX('Таблиця 1'!$B:$B),"",A269+1))</f>
        <v/>
      </c>
      <c r="B270">
        <f>IF($A270="","",COUNTIFS('Таблиця 1'!$B:$B,$A270,'Таблиця 1'!$I:$I,"Mi-8")+COUNTIFS('Таблиця 1'!$B:$B,$A270,'Таблиця 1'!$I:$I,"Mi-24"))</f>
        <v/>
      </c>
      <c r="C270">
        <f>IF($A270="","",COUNTIFS('Таблиця 1'!$B:$B,$A270,'Таблиця 1'!$I:$I,"Mi-8"))</f>
        <v/>
      </c>
      <c r="D270">
        <f>IF($A270="","",COUNTIFS('Таблиця 1'!$B:$B,$A270,'Таблиця 1'!$I:$I,"Mi-24"))</f>
        <v/>
      </c>
      <c r="E270">
        <f>IF($A270="","",SUMIFS('Таблиця 1'!$K:$K,'Таблиця 1'!$B:$B,$A270,'Таблиця 1'!$I:$I,"Mi-8",'Таблиця 1'!$J:$J,"ARS-8")+SUMIFS('Таблиця 1'!$K:$K,'Таблиця 1'!$B:$B,$A270,'Таблиця 1'!$I:$I,"Mi-24",'Таблиця 1'!$J:$J,"ARS-8"))</f>
        <v/>
      </c>
      <c r="F270">
        <f>IF($A270="","",SUMIFS('Таблиця 1'!$K:$K,'Таблиця 1'!$B:$B,$A270,'Таблиця 1'!$I:$I,"Mi-8",'Таблиця 1'!$J:$J,"С-8 ком")+SUMIFS('Таблиця 1'!$K:$K,'Таблиця 1'!$B:$B,$A270,'Таблиця 1'!$I:$I,"Mi-24",'Таблиця 1'!$J:$J,"С-8 ком"))</f>
        <v/>
      </c>
      <c r="G270">
        <f>IF($A270="","",SUMIFS('Таблиця 1'!$K:$K,'Таблиця 1'!$B:$B,$A270,'Таблиця 1'!$I:$I,"Mi-8",'Таблиця 1'!$J:$J,"PC-80")+SUMIFS('Таблиця 1'!$K:$K,'Таблиця 1'!$B:$B,$A270,'Таблиця 1'!$I:$I,"Mi-24",'Таблиця 1'!$J:$J,"PC-80"))</f>
        <v/>
      </c>
      <c r="H270">
        <f>IF($A270="","",SUMIFS('Таблиця 1'!$K:$K,'Таблиця 1'!$B:$B,$A270,'Таблиця 1'!$I:$I,"Mi-8",'Таблиця 1'!$J:$J,"UAR-80")+SUMIFS('Таблиця 1'!$K:$K,'Таблиця 1'!$B:$B,$A270,'Таблиця 1'!$I:$I,"Mi-24",'Таблиця 1'!$J:$J,"UAR-80"))</f>
        <v/>
      </c>
      <c r="I270">
        <f>IF($A270="","",SUMIFS('Таблиця 1'!$K:$K,'Таблиця 1'!$B:$B,$A270,'Таблиця 1'!$I:$I,"Mi-8",'Таблиця 1'!$J:$J,"C-13")+SUMIFS('Таблиця 1'!$K:$K,'Таблиця 1'!$B:$B,$A270,'Таблиця 1'!$I:$I,"Mi-24",'Таблиця 1'!$J:$J,"C-13"))</f>
        <v/>
      </c>
      <c r="J270">
        <f>IF($A270="","",SUMIFS('Таблиця 1'!$K:$K,'Таблиця 1'!$B:$B,$A270,'Таблиця 1'!$I:$I,"Mi-8",'Таблиця 1'!$J:$J,"Hydra-70")+SUMIFS('Таблиця 1'!$K:$K,'Таблиця 1'!$B:$B,$A270,'Таблиця 1'!$I:$I,"Mi-24",'Таблиця 1'!$J:$J,"Hydra-70"))</f>
        <v/>
      </c>
      <c r="K270">
        <f>IF($A270="","",SUMIFS('Таблиця 1'!$K:$K,'Таблиця 1'!$B:$B,$A270,'Таблиця 1'!$I:$I,"Mi-8",'Таблиця 1'!$J:$J,"Thales-70")+SUMIFS('Таблиця 1'!$K:$K,'Таблиця 1'!$B:$B,$A270,'Таблиця 1'!$I:$I,"Mi-24",'Таблиця 1'!$J:$J,"Thales-70"))</f>
        <v/>
      </c>
      <c r="L270">
        <f>IF($A270="","",SUMIFS('Таблиця 1'!$K:$K,'Таблиця 1'!$B:$B,$A270,'Таблиця 1'!$I:$I,"Mi-8",'Таблиця 1'!$J:$J,"Thales-FZ")+SUMIFS('Таблиця 1'!$K:$K,'Таблиця 1'!$B:$B,$A270,'Таблиця 1'!$I:$I,"Mi-24",'Таблиця 1'!$J:$J,"Thales-FZ"))</f>
        <v/>
      </c>
      <c r="M270">
        <f>IF($A270="","",SUMIFS('Таблиця 1'!$K:$K,'Таблиця 1'!$B:$B,$A270,'Таблиця 1'!$I:$I,"Mi-8",'Таблиця 1'!$J:$J,"МК-40")+SUMIFS('Таблиця 1'!$K:$K,'Таблиця 1'!$B:$B,$A270,'Таблиця 1'!$I:$I,"Mi-24",'Таблиця 1'!$J:$J,"МК-40"))</f>
        <v/>
      </c>
      <c r="N270">
        <f>IF($A270="","",SUMIFS('Таблиця 1'!$K:$K,'Таблиця 1'!$B:$B,$A270,'Таблиця 1'!$I:$I,"Mi-8",'Таблиця 1'!$J:$J,"Zuni")+SUMIFS('Таблиця 1'!$K:$K,'Таблиця 1'!$B:$B,$A270,'Таблиця 1'!$I:$I,"Mi-24",'Таблиця 1'!$J:$J,"Zuni"))</f>
        <v/>
      </c>
      <c r="O270">
        <f>IF($A270="","",COUNTIFS('Таблиця 1'!$B:$B,$A270,'Таблиця 1'!$I:$I,"Mi-8",'Таблиця 1'!$L:$L,"Уражено")+COUNTIFS('Таблиця 1'!$B:$B,$A270,'Таблиця 1'!$I:$I,"Mi-24",'Таблиця 1'!$L:$L,"Уражено"))</f>
        <v/>
      </c>
      <c r="P270">
        <f>IF($A270="","",COUNTIFS('Таблиця 1'!$B:$B,$A270,'Таблиця 1'!$I:$I,"Mi-8",'Таблиця 1'!$L:$L,"НЕ уражено")+COUNTIFS('Таблиця 1'!$B:$B,$A270,'Таблиця 1'!$I:$I,"Mi-24",'Таблиця 1'!$L:$L,"НЕ уражено"))</f>
        <v/>
      </c>
    </row>
    <row r="271">
      <c r="A271" s="273">
        <f>IF(A270="","",IF(A270+1&gt;MAX('Таблиця 1'!$B:$B),"",A270+1))</f>
        <v/>
      </c>
      <c r="B271">
        <f>IF($A271="","",COUNTIFS('Таблиця 1'!$B:$B,$A271,'Таблиця 1'!$I:$I,"Mi-8")+COUNTIFS('Таблиця 1'!$B:$B,$A271,'Таблиця 1'!$I:$I,"Mi-24"))</f>
        <v/>
      </c>
      <c r="C271">
        <f>IF($A271="","",COUNTIFS('Таблиця 1'!$B:$B,$A271,'Таблиця 1'!$I:$I,"Mi-8"))</f>
        <v/>
      </c>
      <c r="D271">
        <f>IF($A271="","",COUNTIFS('Таблиця 1'!$B:$B,$A271,'Таблиця 1'!$I:$I,"Mi-24"))</f>
        <v/>
      </c>
      <c r="E271">
        <f>IF($A271="","",SUMIFS('Таблиця 1'!$K:$K,'Таблиця 1'!$B:$B,$A271,'Таблиця 1'!$I:$I,"Mi-8",'Таблиця 1'!$J:$J,"ARS-8")+SUMIFS('Таблиця 1'!$K:$K,'Таблиця 1'!$B:$B,$A271,'Таблиця 1'!$I:$I,"Mi-24",'Таблиця 1'!$J:$J,"ARS-8"))</f>
        <v/>
      </c>
      <c r="F271">
        <f>IF($A271="","",SUMIFS('Таблиця 1'!$K:$K,'Таблиця 1'!$B:$B,$A271,'Таблиця 1'!$I:$I,"Mi-8",'Таблиця 1'!$J:$J,"С-8 ком")+SUMIFS('Таблиця 1'!$K:$K,'Таблиця 1'!$B:$B,$A271,'Таблиця 1'!$I:$I,"Mi-24",'Таблиця 1'!$J:$J,"С-8 ком"))</f>
        <v/>
      </c>
      <c r="G271">
        <f>IF($A271="","",SUMIFS('Таблиця 1'!$K:$K,'Таблиця 1'!$B:$B,$A271,'Таблиця 1'!$I:$I,"Mi-8",'Таблиця 1'!$J:$J,"PC-80")+SUMIFS('Таблиця 1'!$K:$K,'Таблиця 1'!$B:$B,$A271,'Таблиця 1'!$I:$I,"Mi-24",'Таблиця 1'!$J:$J,"PC-80"))</f>
        <v/>
      </c>
      <c r="H271">
        <f>IF($A271="","",SUMIFS('Таблиця 1'!$K:$K,'Таблиця 1'!$B:$B,$A271,'Таблиця 1'!$I:$I,"Mi-8",'Таблиця 1'!$J:$J,"UAR-80")+SUMIFS('Таблиця 1'!$K:$K,'Таблиця 1'!$B:$B,$A271,'Таблиця 1'!$I:$I,"Mi-24",'Таблиця 1'!$J:$J,"UAR-80"))</f>
        <v/>
      </c>
      <c r="I271">
        <f>IF($A271="","",SUMIFS('Таблиця 1'!$K:$K,'Таблиця 1'!$B:$B,$A271,'Таблиця 1'!$I:$I,"Mi-8",'Таблиця 1'!$J:$J,"C-13")+SUMIFS('Таблиця 1'!$K:$K,'Таблиця 1'!$B:$B,$A271,'Таблиця 1'!$I:$I,"Mi-24",'Таблиця 1'!$J:$J,"C-13"))</f>
        <v/>
      </c>
      <c r="J271">
        <f>IF($A271="","",SUMIFS('Таблиця 1'!$K:$K,'Таблиця 1'!$B:$B,$A271,'Таблиця 1'!$I:$I,"Mi-8",'Таблиця 1'!$J:$J,"Hydra-70")+SUMIFS('Таблиця 1'!$K:$K,'Таблиця 1'!$B:$B,$A271,'Таблиця 1'!$I:$I,"Mi-24",'Таблиця 1'!$J:$J,"Hydra-70"))</f>
        <v/>
      </c>
      <c r="K271">
        <f>IF($A271="","",SUMIFS('Таблиця 1'!$K:$K,'Таблиця 1'!$B:$B,$A271,'Таблиця 1'!$I:$I,"Mi-8",'Таблиця 1'!$J:$J,"Thales-70")+SUMIFS('Таблиця 1'!$K:$K,'Таблиця 1'!$B:$B,$A271,'Таблиця 1'!$I:$I,"Mi-24",'Таблиця 1'!$J:$J,"Thales-70"))</f>
        <v/>
      </c>
      <c r="L271">
        <f>IF($A271="","",SUMIFS('Таблиця 1'!$K:$K,'Таблиця 1'!$B:$B,$A271,'Таблиця 1'!$I:$I,"Mi-8",'Таблиця 1'!$J:$J,"Thales-FZ")+SUMIFS('Таблиця 1'!$K:$K,'Таблиця 1'!$B:$B,$A271,'Таблиця 1'!$I:$I,"Mi-24",'Таблиця 1'!$J:$J,"Thales-FZ"))</f>
        <v/>
      </c>
      <c r="M271">
        <f>IF($A271="","",SUMIFS('Таблиця 1'!$K:$K,'Таблиця 1'!$B:$B,$A271,'Таблиця 1'!$I:$I,"Mi-8",'Таблиця 1'!$J:$J,"МК-40")+SUMIFS('Таблиця 1'!$K:$K,'Таблиця 1'!$B:$B,$A271,'Таблиця 1'!$I:$I,"Mi-24",'Таблиця 1'!$J:$J,"МК-40"))</f>
        <v/>
      </c>
      <c r="N271">
        <f>IF($A271="","",SUMIFS('Таблиця 1'!$K:$K,'Таблиця 1'!$B:$B,$A271,'Таблиця 1'!$I:$I,"Mi-8",'Таблиця 1'!$J:$J,"Zuni")+SUMIFS('Таблиця 1'!$K:$K,'Таблиця 1'!$B:$B,$A271,'Таблиця 1'!$I:$I,"Mi-24",'Таблиця 1'!$J:$J,"Zuni"))</f>
        <v/>
      </c>
      <c r="O271">
        <f>IF($A271="","",COUNTIFS('Таблиця 1'!$B:$B,$A271,'Таблиця 1'!$I:$I,"Mi-8",'Таблиця 1'!$L:$L,"Уражено")+COUNTIFS('Таблиця 1'!$B:$B,$A271,'Таблиця 1'!$I:$I,"Mi-24",'Таблиця 1'!$L:$L,"Уражено"))</f>
        <v/>
      </c>
      <c r="P271">
        <f>IF($A271="","",COUNTIFS('Таблиця 1'!$B:$B,$A271,'Таблиця 1'!$I:$I,"Mi-8",'Таблиця 1'!$L:$L,"НЕ уражено")+COUNTIFS('Таблиця 1'!$B:$B,$A271,'Таблиця 1'!$I:$I,"Mi-24",'Таблиця 1'!$L:$L,"НЕ уражено"))</f>
        <v/>
      </c>
    </row>
    <row r="272">
      <c r="A272" s="273">
        <f>IF(A271="","",IF(A271+1&gt;MAX('Таблиця 1'!$B:$B),"",A271+1))</f>
        <v/>
      </c>
      <c r="B272">
        <f>IF($A272="","",COUNTIFS('Таблиця 1'!$B:$B,$A272,'Таблиця 1'!$I:$I,"Mi-8")+COUNTIFS('Таблиця 1'!$B:$B,$A272,'Таблиця 1'!$I:$I,"Mi-24"))</f>
        <v/>
      </c>
      <c r="C272">
        <f>IF($A272="","",COUNTIFS('Таблиця 1'!$B:$B,$A272,'Таблиця 1'!$I:$I,"Mi-8"))</f>
        <v/>
      </c>
      <c r="D272">
        <f>IF($A272="","",COUNTIFS('Таблиця 1'!$B:$B,$A272,'Таблиця 1'!$I:$I,"Mi-24"))</f>
        <v/>
      </c>
      <c r="E272">
        <f>IF($A272="","",SUMIFS('Таблиця 1'!$K:$K,'Таблиця 1'!$B:$B,$A272,'Таблиця 1'!$I:$I,"Mi-8",'Таблиця 1'!$J:$J,"ARS-8")+SUMIFS('Таблиця 1'!$K:$K,'Таблиця 1'!$B:$B,$A272,'Таблиця 1'!$I:$I,"Mi-24",'Таблиця 1'!$J:$J,"ARS-8"))</f>
        <v/>
      </c>
      <c r="F272">
        <f>IF($A272="","",SUMIFS('Таблиця 1'!$K:$K,'Таблиця 1'!$B:$B,$A272,'Таблиця 1'!$I:$I,"Mi-8",'Таблиця 1'!$J:$J,"С-8 ком")+SUMIFS('Таблиця 1'!$K:$K,'Таблиця 1'!$B:$B,$A272,'Таблиця 1'!$I:$I,"Mi-24",'Таблиця 1'!$J:$J,"С-8 ком"))</f>
        <v/>
      </c>
      <c r="G272">
        <f>IF($A272="","",SUMIFS('Таблиця 1'!$K:$K,'Таблиця 1'!$B:$B,$A272,'Таблиця 1'!$I:$I,"Mi-8",'Таблиця 1'!$J:$J,"PC-80")+SUMIFS('Таблиця 1'!$K:$K,'Таблиця 1'!$B:$B,$A272,'Таблиця 1'!$I:$I,"Mi-24",'Таблиця 1'!$J:$J,"PC-80"))</f>
        <v/>
      </c>
      <c r="H272">
        <f>IF($A272="","",SUMIFS('Таблиця 1'!$K:$K,'Таблиця 1'!$B:$B,$A272,'Таблиця 1'!$I:$I,"Mi-8",'Таблиця 1'!$J:$J,"UAR-80")+SUMIFS('Таблиця 1'!$K:$K,'Таблиця 1'!$B:$B,$A272,'Таблиця 1'!$I:$I,"Mi-24",'Таблиця 1'!$J:$J,"UAR-80"))</f>
        <v/>
      </c>
      <c r="I272">
        <f>IF($A272="","",SUMIFS('Таблиця 1'!$K:$K,'Таблиця 1'!$B:$B,$A272,'Таблиця 1'!$I:$I,"Mi-8",'Таблиця 1'!$J:$J,"C-13")+SUMIFS('Таблиця 1'!$K:$K,'Таблиця 1'!$B:$B,$A272,'Таблиця 1'!$I:$I,"Mi-24",'Таблиця 1'!$J:$J,"C-13"))</f>
        <v/>
      </c>
      <c r="J272">
        <f>IF($A272="","",SUMIFS('Таблиця 1'!$K:$K,'Таблиця 1'!$B:$B,$A272,'Таблиця 1'!$I:$I,"Mi-8",'Таблиця 1'!$J:$J,"Hydra-70")+SUMIFS('Таблиця 1'!$K:$K,'Таблиця 1'!$B:$B,$A272,'Таблиця 1'!$I:$I,"Mi-24",'Таблиця 1'!$J:$J,"Hydra-70"))</f>
        <v/>
      </c>
      <c r="K272">
        <f>IF($A272="","",SUMIFS('Таблиця 1'!$K:$K,'Таблиця 1'!$B:$B,$A272,'Таблиця 1'!$I:$I,"Mi-8",'Таблиця 1'!$J:$J,"Thales-70")+SUMIFS('Таблиця 1'!$K:$K,'Таблиця 1'!$B:$B,$A272,'Таблиця 1'!$I:$I,"Mi-24",'Таблиця 1'!$J:$J,"Thales-70"))</f>
        <v/>
      </c>
      <c r="L272">
        <f>IF($A272="","",SUMIFS('Таблиця 1'!$K:$K,'Таблиця 1'!$B:$B,$A272,'Таблиця 1'!$I:$I,"Mi-8",'Таблиця 1'!$J:$J,"Thales-FZ")+SUMIFS('Таблиця 1'!$K:$K,'Таблиця 1'!$B:$B,$A272,'Таблиця 1'!$I:$I,"Mi-24",'Таблиця 1'!$J:$J,"Thales-FZ"))</f>
        <v/>
      </c>
      <c r="M272">
        <f>IF($A272="","",SUMIFS('Таблиця 1'!$K:$K,'Таблиця 1'!$B:$B,$A272,'Таблиця 1'!$I:$I,"Mi-8",'Таблиця 1'!$J:$J,"МК-40")+SUMIFS('Таблиця 1'!$K:$K,'Таблиця 1'!$B:$B,$A272,'Таблиця 1'!$I:$I,"Mi-24",'Таблиця 1'!$J:$J,"МК-40"))</f>
        <v/>
      </c>
      <c r="N272">
        <f>IF($A272="","",SUMIFS('Таблиця 1'!$K:$K,'Таблиця 1'!$B:$B,$A272,'Таблиця 1'!$I:$I,"Mi-8",'Таблиця 1'!$J:$J,"Zuni")+SUMIFS('Таблиця 1'!$K:$K,'Таблиця 1'!$B:$B,$A272,'Таблиця 1'!$I:$I,"Mi-24",'Таблиця 1'!$J:$J,"Zuni"))</f>
        <v/>
      </c>
      <c r="O272">
        <f>IF($A272="","",COUNTIFS('Таблиця 1'!$B:$B,$A272,'Таблиця 1'!$I:$I,"Mi-8",'Таблиця 1'!$L:$L,"Уражено")+COUNTIFS('Таблиця 1'!$B:$B,$A272,'Таблиця 1'!$I:$I,"Mi-24",'Таблиця 1'!$L:$L,"Уражено"))</f>
        <v/>
      </c>
      <c r="P272">
        <f>IF($A272="","",COUNTIFS('Таблиця 1'!$B:$B,$A272,'Таблиця 1'!$I:$I,"Mi-8",'Таблиця 1'!$L:$L,"НЕ уражено")+COUNTIFS('Таблиця 1'!$B:$B,$A272,'Таблиця 1'!$I:$I,"Mi-24",'Таблиця 1'!$L:$L,"НЕ уражено"))</f>
        <v/>
      </c>
    </row>
    <row r="273">
      <c r="A273" s="273">
        <f>IF(A272="","",IF(A272+1&gt;MAX('Таблиця 1'!$B:$B),"",A272+1))</f>
        <v/>
      </c>
      <c r="B273">
        <f>IF($A273="","",COUNTIFS('Таблиця 1'!$B:$B,$A273,'Таблиця 1'!$I:$I,"Mi-8")+COUNTIFS('Таблиця 1'!$B:$B,$A273,'Таблиця 1'!$I:$I,"Mi-24"))</f>
        <v/>
      </c>
      <c r="C273">
        <f>IF($A273="","",COUNTIFS('Таблиця 1'!$B:$B,$A273,'Таблиця 1'!$I:$I,"Mi-8"))</f>
        <v/>
      </c>
      <c r="D273">
        <f>IF($A273="","",COUNTIFS('Таблиця 1'!$B:$B,$A273,'Таблиця 1'!$I:$I,"Mi-24"))</f>
        <v/>
      </c>
      <c r="E273">
        <f>IF($A273="","",SUMIFS('Таблиця 1'!$K:$K,'Таблиця 1'!$B:$B,$A273,'Таблиця 1'!$I:$I,"Mi-8",'Таблиця 1'!$J:$J,"ARS-8")+SUMIFS('Таблиця 1'!$K:$K,'Таблиця 1'!$B:$B,$A273,'Таблиця 1'!$I:$I,"Mi-24",'Таблиця 1'!$J:$J,"ARS-8"))</f>
        <v/>
      </c>
      <c r="F273">
        <f>IF($A273="","",SUMIFS('Таблиця 1'!$K:$K,'Таблиця 1'!$B:$B,$A273,'Таблиця 1'!$I:$I,"Mi-8",'Таблиця 1'!$J:$J,"С-8 ком")+SUMIFS('Таблиця 1'!$K:$K,'Таблиця 1'!$B:$B,$A273,'Таблиця 1'!$I:$I,"Mi-24",'Таблиця 1'!$J:$J,"С-8 ком"))</f>
        <v/>
      </c>
      <c r="G273">
        <f>IF($A273="","",SUMIFS('Таблиця 1'!$K:$K,'Таблиця 1'!$B:$B,$A273,'Таблиця 1'!$I:$I,"Mi-8",'Таблиця 1'!$J:$J,"PC-80")+SUMIFS('Таблиця 1'!$K:$K,'Таблиця 1'!$B:$B,$A273,'Таблиця 1'!$I:$I,"Mi-24",'Таблиця 1'!$J:$J,"PC-80"))</f>
        <v/>
      </c>
      <c r="H273">
        <f>IF($A273="","",SUMIFS('Таблиця 1'!$K:$K,'Таблиця 1'!$B:$B,$A273,'Таблиця 1'!$I:$I,"Mi-8",'Таблиця 1'!$J:$J,"UAR-80")+SUMIFS('Таблиця 1'!$K:$K,'Таблиця 1'!$B:$B,$A273,'Таблиця 1'!$I:$I,"Mi-24",'Таблиця 1'!$J:$J,"UAR-80"))</f>
        <v/>
      </c>
      <c r="I273">
        <f>IF($A273="","",SUMIFS('Таблиця 1'!$K:$K,'Таблиця 1'!$B:$B,$A273,'Таблиця 1'!$I:$I,"Mi-8",'Таблиця 1'!$J:$J,"C-13")+SUMIFS('Таблиця 1'!$K:$K,'Таблиця 1'!$B:$B,$A273,'Таблиця 1'!$I:$I,"Mi-24",'Таблиця 1'!$J:$J,"C-13"))</f>
        <v/>
      </c>
      <c r="J273">
        <f>IF($A273="","",SUMIFS('Таблиця 1'!$K:$K,'Таблиця 1'!$B:$B,$A273,'Таблиця 1'!$I:$I,"Mi-8",'Таблиця 1'!$J:$J,"Hydra-70")+SUMIFS('Таблиця 1'!$K:$K,'Таблиця 1'!$B:$B,$A273,'Таблиця 1'!$I:$I,"Mi-24",'Таблиця 1'!$J:$J,"Hydra-70"))</f>
        <v/>
      </c>
      <c r="K273">
        <f>IF($A273="","",SUMIFS('Таблиця 1'!$K:$K,'Таблиця 1'!$B:$B,$A273,'Таблиця 1'!$I:$I,"Mi-8",'Таблиця 1'!$J:$J,"Thales-70")+SUMIFS('Таблиця 1'!$K:$K,'Таблиця 1'!$B:$B,$A273,'Таблиця 1'!$I:$I,"Mi-24",'Таблиця 1'!$J:$J,"Thales-70"))</f>
        <v/>
      </c>
      <c r="L273">
        <f>IF($A273="","",SUMIFS('Таблиця 1'!$K:$K,'Таблиця 1'!$B:$B,$A273,'Таблиця 1'!$I:$I,"Mi-8",'Таблиця 1'!$J:$J,"Thales-FZ")+SUMIFS('Таблиця 1'!$K:$K,'Таблиця 1'!$B:$B,$A273,'Таблиця 1'!$I:$I,"Mi-24",'Таблиця 1'!$J:$J,"Thales-FZ"))</f>
        <v/>
      </c>
      <c r="M273">
        <f>IF($A273="","",SUMIFS('Таблиця 1'!$K:$K,'Таблиця 1'!$B:$B,$A273,'Таблиця 1'!$I:$I,"Mi-8",'Таблиця 1'!$J:$J,"МК-40")+SUMIFS('Таблиця 1'!$K:$K,'Таблиця 1'!$B:$B,$A273,'Таблиця 1'!$I:$I,"Mi-24",'Таблиця 1'!$J:$J,"МК-40"))</f>
        <v/>
      </c>
      <c r="N273">
        <f>IF($A273="","",SUMIFS('Таблиця 1'!$K:$K,'Таблиця 1'!$B:$B,$A273,'Таблиця 1'!$I:$I,"Mi-8",'Таблиця 1'!$J:$J,"Zuni")+SUMIFS('Таблиця 1'!$K:$K,'Таблиця 1'!$B:$B,$A273,'Таблиця 1'!$I:$I,"Mi-24",'Таблиця 1'!$J:$J,"Zuni"))</f>
        <v/>
      </c>
      <c r="O273">
        <f>IF($A273="","",COUNTIFS('Таблиця 1'!$B:$B,$A273,'Таблиця 1'!$I:$I,"Mi-8",'Таблиця 1'!$L:$L,"Уражено")+COUNTIFS('Таблиця 1'!$B:$B,$A273,'Таблиця 1'!$I:$I,"Mi-24",'Таблиця 1'!$L:$L,"Уражено"))</f>
        <v/>
      </c>
      <c r="P273">
        <f>IF($A273="","",COUNTIFS('Таблиця 1'!$B:$B,$A273,'Таблиця 1'!$I:$I,"Mi-8",'Таблиця 1'!$L:$L,"НЕ уражено")+COUNTIFS('Таблиця 1'!$B:$B,$A273,'Таблиця 1'!$I:$I,"Mi-24",'Таблиця 1'!$L:$L,"НЕ уражено"))</f>
        <v/>
      </c>
    </row>
    <row r="274">
      <c r="A274" s="273">
        <f>IF(A273="","",IF(A273+1&gt;MAX('Таблиця 1'!$B:$B),"",A273+1))</f>
        <v/>
      </c>
      <c r="B274">
        <f>IF($A274="","",COUNTIFS('Таблиця 1'!$B:$B,$A274,'Таблиця 1'!$I:$I,"Mi-8")+COUNTIFS('Таблиця 1'!$B:$B,$A274,'Таблиця 1'!$I:$I,"Mi-24"))</f>
        <v/>
      </c>
      <c r="C274">
        <f>IF($A274="","",COUNTIFS('Таблиця 1'!$B:$B,$A274,'Таблиця 1'!$I:$I,"Mi-8"))</f>
        <v/>
      </c>
      <c r="D274">
        <f>IF($A274="","",COUNTIFS('Таблиця 1'!$B:$B,$A274,'Таблиця 1'!$I:$I,"Mi-24"))</f>
        <v/>
      </c>
      <c r="E274">
        <f>IF($A274="","",SUMIFS('Таблиця 1'!$K:$K,'Таблиця 1'!$B:$B,$A274,'Таблиця 1'!$I:$I,"Mi-8",'Таблиця 1'!$J:$J,"ARS-8")+SUMIFS('Таблиця 1'!$K:$K,'Таблиця 1'!$B:$B,$A274,'Таблиця 1'!$I:$I,"Mi-24",'Таблиця 1'!$J:$J,"ARS-8"))</f>
        <v/>
      </c>
      <c r="F274">
        <f>IF($A274="","",SUMIFS('Таблиця 1'!$K:$K,'Таблиця 1'!$B:$B,$A274,'Таблиця 1'!$I:$I,"Mi-8",'Таблиця 1'!$J:$J,"С-8 ком")+SUMIFS('Таблиця 1'!$K:$K,'Таблиця 1'!$B:$B,$A274,'Таблиця 1'!$I:$I,"Mi-24",'Таблиця 1'!$J:$J,"С-8 ком"))</f>
        <v/>
      </c>
      <c r="G274">
        <f>IF($A274="","",SUMIFS('Таблиця 1'!$K:$K,'Таблиця 1'!$B:$B,$A274,'Таблиця 1'!$I:$I,"Mi-8",'Таблиця 1'!$J:$J,"PC-80")+SUMIFS('Таблиця 1'!$K:$K,'Таблиця 1'!$B:$B,$A274,'Таблиця 1'!$I:$I,"Mi-24",'Таблиця 1'!$J:$J,"PC-80"))</f>
        <v/>
      </c>
      <c r="H274">
        <f>IF($A274="","",SUMIFS('Таблиця 1'!$K:$K,'Таблиця 1'!$B:$B,$A274,'Таблиця 1'!$I:$I,"Mi-8",'Таблиця 1'!$J:$J,"UAR-80")+SUMIFS('Таблиця 1'!$K:$K,'Таблиця 1'!$B:$B,$A274,'Таблиця 1'!$I:$I,"Mi-24",'Таблиця 1'!$J:$J,"UAR-80"))</f>
        <v/>
      </c>
      <c r="I274">
        <f>IF($A274="","",SUMIFS('Таблиця 1'!$K:$K,'Таблиця 1'!$B:$B,$A274,'Таблиця 1'!$I:$I,"Mi-8",'Таблиця 1'!$J:$J,"C-13")+SUMIFS('Таблиця 1'!$K:$K,'Таблиця 1'!$B:$B,$A274,'Таблиця 1'!$I:$I,"Mi-24",'Таблиця 1'!$J:$J,"C-13"))</f>
        <v/>
      </c>
      <c r="J274">
        <f>IF($A274="","",SUMIFS('Таблиця 1'!$K:$K,'Таблиця 1'!$B:$B,$A274,'Таблиця 1'!$I:$I,"Mi-8",'Таблиця 1'!$J:$J,"Hydra-70")+SUMIFS('Таблиця 1'!$K:$K,'Таблиця 1'!$B:$B,$A274,'Таблиця 1'!$I:$I,"Mi-24",'Таблиця 1'!$J:$J,"Hydra-70"))</f>
        <v/>
      </c>
      <c r="K274">
        <f>IF($A274="","",SUMIFS('Таблиця 1'!$K:$K,'Таблиця 1'!$B:$B,$A274,'Таблиця 1'!$I:$I,"Mi-8",'Таблиця 1'!$J:$J,"Thales-70")+SUMIFS('Таблиця 1'!$K:$K,'Таблиця 1'!$B:$B,$A274,'Таблиця 1'!$I:$I,"Mi-24",'Таблиця 1'!$J:$J,"Thales-70"))</f>
        <v/>
      </c>
      <c r="L274">
        <f>IF($A274="","",SUMIFS('Таблиця 1'!$K:$K,'Таблиця 1'!$B:$B,$A274,'Таблиця 1'!$I:$I,"Mi-8",'Таблиця 1'!$J:$J,"Thales-FZ")+SUMIFS('Таблиця 1'!$K:$K,'Таблиця 1'!$B:$B,$A274,'Таблиця 1'!$I:$I,"Mi-24",'Таблиця 1'!$J:$J,"Thales-FZ"))</f>
        <v/>
      </c>
      <c r="M274">
        <f>IF($A274="","",SUMIFS('Таблиця 1'!$K:$K,'Таблиця 1'!$B:$B,$A274,'Таблиця 1'!$I:$I,"Mi-8",'Таблиця 1'!$J:$J,"МК-40")+SUMIFS('Таблиця 1'!$K:$K,'Таблиця 1'!$B:$B,$A274,'Таблиця 1'!$I:$I,"Mi-24",'Таблиця 1'!$J:$J,"МК-40"))</f>
        <v/>
      </c>
      <c r="N274">
        <f>IF($A274="","",SUMIFS('Таблиця 1'!$K:$K,'Таблиця 1'!$B:$B,$A274,'Таблиця 1'!$I:$I,"Mi-8",'Таблиця 1'!$J:$J,"Zuni")+SUMIFS('Таблиця 1'!$K:$K,'Таблиця 1'!$B:$B,$A274,'Таблиця 1'!$I:$I,"Mi-24",'Таблиця 1'!$J:$J,"Zuni"))</f>
        <v/>
      </c>
      <c r="O274">
        <f>IF($A274="","",COUNTIFS('Таблиця 1'!$B:$B,$A274,'Таблиця 1'!$I:$I,"Mi-8",'Таблиця 1'!$L:$L,"Уражено")+COUNTIFS('Таблиця 1'!$B:$B,$A274,'Таблиця 1'!$I:$I,"Mi-24",'Таблиця 1'!$L:$L,"Уражено"))</f>
        <v/>
      </c>
      <c r="P274">
        <f>IF($A274="","",COUNTIFS('Таблиця 1'!$B:$B,$A274,'Таблиця 1'!$I:$I,"Mi-8",'Таблиця 1'!$L:$L,"НЕ уражено")+COUNTIFS('Таблиця 1'!$B:$B,$A274,'Таблиця 1'!$I:$I,"Mi-24",'Таблиця 1'!$L:$L,"НЕ уражено"))</f>
        <v/>
      </c>
    </row>
    <row r="275">
      <c r="A275" s="273">
        <f>IF(A274="","",IF(A274+1&gt;MAX('Таблиця 1'!$B:$B),"",A274+1))</f>
        <v/>
      </c>
      <c r="B275">
        <f>IF($A275="","",COUNTIFS('Таблиця 1'!$B:$B,$A275,'Таблиця 1'!$I:$I,"Mi-8")+COUNTIFS('Таблиця 1'!$B:$B,$A275,'Таблиця 1'!$I:$I,"Mi-24"))</f>
        <v/>
      </c>
      <c r="C275">
        <f>IF($A275="","",COUNTIFS('Таблиця 1'!$B:$B,$A275,'Таблиця 1'!$I:$I,"Mi-8"))</f>
        <v/>
      </c>
      <c r="D275">
        <f>IF($A275="","",COUNTIFS('Таблиця 1'!$B:$B,$A275,'Таблиця 1'!$I:$I,"Mi-24"))</f>
        <v/>
      </c>
      <c r="E275">
        <f>IF($A275="","",SUMIFS('Таблиця 1'!$K:$K,'Таблиця 1'!$B:$B,$A275,'Таблиця 1'!$I:$I,"Mi-8",'Таблиця 1'!$J:$J,"ARS-8")+SUMIFS('Таблиця 1'!$K:$K,'Таблиця 1'!$B:$B,$A275,'Таблиця 1'!$I:$I,"Mi-24",'Таблиця 1'!$J:$J,"ARS-8"))</f>
        <v/>
      </c>
      <c r="F275">
        <f>IF($A275="","",SUMIFS('Таблиця 1'!$K:$K,'Таблиця 1'!$B:$B,$A275,'Таблиця 1'!$I:$I,"Mi-8",'Таблиця 1'!$J:$J,"С-8 ком")+SUMIFS('Таблиця 1'!$K:$K,'Таблиця 1'!$B:$B,$A275,'Таблиця 1'!$I:$I,"Mi-24",'Таблиця 1'!$J:$J,"С-8 ком"))</f>
        <v/>
      </c>
      <c r="G275">
        <f>IF($A275="","",SUMIFS('Таблиця 1'!$K:$K,'Таблиця 1'!$B:$B,$A275,'Таблиця 1'!$I:$I,"Mi-8",'Таблиця 1'!$J:$J,"PC-80")+SUMIFS('Таблиця 1'!$K:$K,'Таблиця 1'!$B:$B,$A275,'Таблиця 1'!$I:$I,"Mi-24",'Таблиця 1'!$J:$J,"PC-80"))</f>
        <v/>
      </c>
      <c r="H275">
        <f>IF($A275="","",SUMIFS('Таблиця 1'!$K:$K,'Таблиця 1'!$B:$B,$A275,'Таблиця 1'!$I:$I,"Mi-8",'Таблиця 1'!$J:$J,"UAR-80")+SUMIFS('Таблиця 1'!$K:$K,'Таблиця 1'!$B:$B,$A275,'Таблиця 1'!$I:$I,"Mi-24",'Таблиця 1'!$J:$J,"UAR-80"))</f>
        <v/>
      </c>
      <c r="I275">
        <f>IF($A275="","",SUMIFS('Таблиця 1'!$K:$K,'Таблиця 1'!$B:$B,$A275,'Таблиця 1'!$I:$I,"Mi-8",'Таблиця 1'!$J:$J,"C-13")+SUMIFS('Таблиця 1'!$K:$K,'Таблиця 1'!$B:$B,$A275,'Таблиця 1'!$I:$I,"Mi-24",'Таблиця 1'!$J:$J,"C-13"))</f>
        <v/>
      </c>
      <c r="J275">
        <f>IF($A275="","",SUMIFS('Таблиця 1'!$K:$K,'Таблиця 1'!$B:$B,$A275,'Таблиця 1'!$I:$I,"Mi-8",'Таблиця 1'!$J:$J,"Hydra-70")+SUMIFS('Таблиця 1'!$K:$K,'Таблиця 1'!$B:$B,$A275,'Таблиця 1'!$I:$I,"Mi-24",'Таблиця 1'!$J:$J,"Hydra-70"))</f>
        <v/>
      </c>
      <c r="K275">
        <f>IF($A275="","",SUMIFS('Таблиця 1'!$K:$K,'Таблиця 1'!$B:$B,$A275,'Таблиця 1'!$I:$I,"Mi-8",'Таблиця 1'!$J:$J,"Thales-70")+SUMIFS('Таблиця 1'!$K:$K,'Таблиця 1'!$B:$B,$A275,'Таблиця 1'!$I:$I,"Mi-24",'Таблиця 1'!$J:$J,"Thales-70"))</f>
        <v/>
      </c>
      <c r="L275">
        <f>IF($A275="","",SUMIFS('Таблиця 1'!$K:$K,'Таблиця 1'!$B:$B,$A275,'Таблиця 1'!$I:$I,"Mi-8",'Таблиця 1'!$J:$J,"Thales-FZ")+SUMIFS('Таблиця 1'!$K:$K,'Таблиця 1'!$B:$B,$A275,'Таблиця 1'!$I:$I,"Mi-24",'Таблиця 1'!$J:$J,"Thales-FZ"))</f>
        <v/>
      </c>
      <c r="M275">
        <f>IF($A275="","",SUMIFS('Таблиця 1'!$K:$K,'Таблиця 1'!$B:$B,$A275,'Таблиця 1'!$I:$I,"Mi-8",'Таблиця 1'!$J:$J,"МК-40")+SUMIFS('Таблиця 1'!$K:$K,'Таблиця 1'!$B:$B,$A275,'Таблиця 1'!$I:$I,"Mi-24",'Таблиця 1'!$J:$J,"МК-40"))</f>
        <v/>
      </c>
      <c r="N275">
        <f>IF($A275="","",SUMIFS('Таблиця 1'!$K:$K,'Таблиця 1'!$B:$B,$A275,'Таблиця 1'!$I:$I,"Mi-8",'Таблиця 1'!$J:$J,"Zuni")+SUMIFS('Таблиця 1'!$K:$K,'Таблиця 1'!$B:$B,$A275,'Таблиця 1'!$I:$I,"Mi-24",'Таблиця 1'!$J:$J,"Zuni"))</f>
        <v/>
      </c>
      <c r="O275">
        <f>IF($A275="","",COUNTIFS('Таблиця 1'!$B:$B,$A275,'Таблиця 1'!$I:$I,"Mi-8",'Таблиця 1'!$L:$L,"Уражено")+COUNTIFS('Таблиця 1'!$B:$B,$A275,'Таблиця 1'!$I:$I,"Mi-24",'Таблиця 1'!$L:$L,"Уражено"))</f>
        <v/>
      </c>
      <c r="P275">
        <f>IF($A275="","",COUNTIFS('Таблиця 1'!$B:$B,$A275,'Таблиця 1'!$I:$I,"Mi-8",'Таблиця 1'!$L:$L,"НЕ уражено")+COUNTIFS('Таблиця 1'!$B:$B,$A275,'Таблиця 1'!$I:$I,"Mi-24",'Таблиця 1'!$L:$L,"НЕ уражено"))</f>
        <v/>
      </c>
    </row>
    <row r="276">
      <c r="A276" s="273">
        <f>IF(A275="","",IF(A275+1&gt;MAX('Таблиця 1'!$B:$B),"",A275+1))</f>
        <v/>
      </c>
      <c r="B276">
        <f>IF($A276="","",COUNTIFS('Таблиця 1'!$B:$B,$A276,'Таблиця 1'!$I:$I,"Mi-8")+COUNTIFS('Таблиця 1'!$B:$B,$A276,'Таблиця 1'!$I:$I,"Mi-24"))</f>
        <v/>
      </c>
      <c r="C276">
        <f>IF($A276="","",COUNTIFS('Таблиця 1'!$B:$B,$A276,'Таблиця 1'!$I:$I,"Mi-8"))</f>
        <v/>
      </c>
      <c r="D276">
        <f>IF($A276="","",COUNTIFS('Таблиця 1'!$B:$B,$A276,'Таблиця 1'!$I:$I,"Mi-24"))</f>
        <v/>
      </c>
      <c r="E276">
        <f>IF($A276="","",SUMIFS('Таблиця 1'!$K:$K,'Таблиця 1'!$B:$B,$A276,'Таблиця 1'!$I:$I,"Mi-8",'Таблиця 1'!$J:$J,"ARS-8")+SUMIFS('Таблиця 1'!$K:$K,'Таблиця 1'!$B:$B,$A276,'Таблиця 1'!$I:$I,"Mi-24",'Таблиця 1'!$J:$J,"ARS-8"))</f>
        <v/>
      </c>
      <c r="F276">
        <f>IF($A276="","",SUMIFS('Таблиця 1'!$K:$K,'Таблиця 1'!$B:$B,$A276,'Таблиця 1'!$I:$I,"Mi-8",'Таблиця 1'!$J:$J,"С-8 ком")+SUMIFS('Таблиця 1'!$K:$K,'Таблиця 1'!$B:$B,$A276,'Таблиця 1'!$I:$I,"Mi-24",'Таблиця 1'!$J:$J,"С-8 ком"))</f>
        <v/>
      </c>
      <c r="G276">
        <f>IF($A276="","",SUMIFS('Таблиця 1'!$K:$K,'Таблиця 1'!$B:$B,$A276,'Таблиця 1'!$I:$I,"Mi-8",'Таблиця 1'!$J:$J,"PC-80")+SUMIFS('Таблиця 1'!$K:$K,'Таблиця 1'!$B:$B,$A276,'Таблиця 1'!$I:$I,"Mi-24",'Таблиця 1'!$J:$J,"PC-80"))</f>
        <v/>
      </c>
      <c r="H276">
        <f>IF($A276="","",SUMIFS('Таблиця 1'!$K:$K,'Таблиця 1'!$B:$B,$A276,'Таблиця 1'!$I:$I,"Mi-8",'Таблиця 1'!$J:$J,"UAR-80")+SUMIFS('Таблиця 1'!$K:$K,'Таблиця 1'!$B:$B,$A276,'Таблиця 1'!$I:$I,"Mi-24",'Таблиця 1'!$J:$J,"UAR-80"))</f>
        <v/>
      </c>
      <c r="I276">
        <f>IF($A276="","",SUMIFS('Таблиця 1'!$K:$K,'Таблиця 1'!$B:$B,$A276,'Таблиця 1'!$I:$I,"Mi-8",'Таблиця 1'!$J:$J,"C-13")+SUMIFS('Таблиця 1'!$K:$K,'Таблиця 1'!$B:$B,$A276,'Таблиця 1'!$I:$I,"Mi-24",'Таблиця 1'!$J:$J,"C-13"))</f>
        <v/>
      </c>
      <c r="J276">
        <f>IF($A276="","",SUMIFS('Таблиця 1'!$K:$K,'Таблиця 1'!$B:$B,$A276,'Таблиця 1'!$I:$I,"Mi-8",'Таблиця 1'!$J:$J,"Hydra-70")+SUMIFS('Таблиця 1'!$K:$K,'Таблиця 1'!$B:$B,$A276,'Таблиця 1'!$I:$I,"Mi-24",'Таблиця 1'!$J:$J,"Hydra-70"))</f>
        <v/>
      </c>
      <c r="K276">
        <f>IF($A276="","",SUMIFS('Таблиця 1'!$K:$K,'Таблиця 1'!$B:$B,$A276,'Таблиця 1'!$I:$I,"Mi-8",'Таблиця 1'!$J:$J,"Thales-70")+SUMIFS('Таблиця 1'!$K:$K,'Таблиця 1'!$B:$B,$A276,'Таблиця 1'!$I:$I,"Mi-24",'Таблиця 1'!$J:$J,"Thales-70"))</f>
        <v/>
      </c>
      <c r="L276">
        <f>IF($A276="","",SUMIFS('Таблиця 1'!$K:$K,'Таблиця 1'!$B:$B,$A276,'Таблиця 1'!$I:$I,"Mi-8",'Таблиця 1'!$J:$J,"Thales-FZ")+SUMIFS('Таблиця 1'!$K:$K,'Таблиця 1'!$B:$B,$A276,'Таблиця 1'!$I:$I,"Mi-24",'Таблиця 1'!$J:$J,"Thales-FZ"))</f>
        <v/>
      </c>
      <c r="M276">
        <f>IF($A276="","",SUMIFS('Таблиця 1'!$K:$K,'Таблиця 1'!$B:$B,$A276,'Таблиця 1'!$I:$I,"Mi-8",'Таблиця 1'!$J:$J,"МК-40")+SUMIFS('Таблиця 1'!$K:$K,'Таблиця 1'!$B:$B,$A276,'Таблиця 1'!$I:$I,"Mi-24",'Таблиця 1'!$J:$J,"МК-40"))</f>
        <v/>
      </c>
      <c r="N276">
        <f>IF($A276="","",SUMIFS('Таблиця 1'!$K:$K,'Таблиця 1'!$B:$B,$A276,'Таблиця 1'!$I:$I,"Mi-8",'Таблиця 1'!$J:$J,"Zuni")+SUMIFS('Таблиця 1'!$K:$K,'Таблиця 1'!$B:$B,$A276,'Таблиця 1'!$I:$I,"Mi-24",'Таблиця 1'!$J:$J,"Zuni"))</f>
        <v/>
      </c>
      <c r="O276">
        <f>IF($A276="","",COUNTIFS('Таблиця 1'!$B:$B,$A276,'Таблиця 1'!$I:$I,"Mi-8",'Таблиця 1'!$L:$L,"Уражено")+COUNTIFS('Таблиця 1'!$B:$B,$A276,'Таблиця 1'!$I:$I,"Mi-24",'Таблиця 1'!$L:$L,"Уражено"))</f>
        <v/>
      </c>
      <c r="P276">
        <f>IF($A276="","",COUNTIFS('Таблиця 1'!$B:$B,$A276,'Таблиця 1'!$I:$I,"Mi-8",'Таблиця 1'!$L:$L,"НЕ уражено")+COUNTIFS('Таблиця 1'!$B:$B,$A276,'Таблиця 1'!$I:$I,"Mi-24",'Таблиця 1'!$L:$L,"НЕ уражено"))</f>
        <v/>
      </c>
    </row>
    <row r="277">
      <c r="A277" s="273">
        <f>IF(A276="","",IF(A276+1&gt;MAX('Таблиця 1'!$B:$B),"",A276+1))</f>
        <v/>
      </c>
      <c r="B277">
        <f>IF($A277="","",COUNTIFS('Таблиця 1'!$B:$B,$A277,'Таблиця 1'!$I:$I,"Mi-8")+COUNTIFS('Таблиця 1'!$B:$B,$A277,'Таблиця 1'!$I:$I,"Mi-24"))</f>
        <v/>
      </c>
      <c r="C277">
        <f>IF($A277="","",COUNTIFS('Таблиця 1'!$B:$B,$A277,'Таблиця 1'!$I:$I,"Mi-8"))</f>
        <v/>
      </c>
      <c r="D277">
        <f>IF($A277="","",COUNTIFS('Таблиця 1'!$B:$B,$A277,'Таблиця 1'!$I:$I,"Mi-24"))</f>
        <v/>
      </c>
      <c r="E277">
        <f>IF($A277="","",SUMIFS('Таблиця 1'!$K:$K,'Таблиця 1'!$B:$B,$A277,'Таблиця 1'!$I:$I,"Mi-8",'Таблиця 1'!$J:$J,"ARS-8")+SUMIFS('Таблиця 1'!$K:$K,'Таблиця 1'!$B:$B,$A277,'Таблиця 1'!$I:$I,"Mi-24",'Таблиця 1'!$J:$J,"ARS-8"))</f>
        <v/>
      </c>
      <c r="F277">
        <f>IF($A277="","",SUMIFS('Таблиця 1'!$K:$K,'Таблиця 1'!$B:$B,$A277,'Таблиця 1'!$I:$I,"Mi-8",'Таблиця 1'!$J:$J,"С-8 ком")+SUMIFS('Таблиця 1'!$K:$K,'Таблиця 1'!$B:$B,$A277,'Таблиця 1'!$I:$I,"Mi-24",'Таблиця 1'!$J:$J,"С-8 ком"))</f>
        <v/>
      </c>
      <c r="G277">
        <f>IF($A277="","",SUMIFS('Таблиця 1'!$K:$K,'Таблиця 1'!$B:$B,$A277,'Таблиця 1'!$I:$I,"Mi-8",'Таблиця 1'!$J:$J,"PC-80")+SUMIFS('Таблиця 1'!$K:$K,'Таблиця 1'!$B:$B,$A277,'Таблиця 1'!$I:$I,"Mi-24",'Таблиця 1'!$J:$J,"PC-80"))</f>
        <v/>
      </c>
      <c r="H277">
        <f>IF($A277="","",SUMIFS('Таблиця 1'!$K:$K,'Таблиця 1'!$B:$B,$A277,'Таблиця 1'!$I:$I,"Mi-8",'Таблиця 1'!$J:$J,"UAR-80")+SUMIFS('Таблиця 1'!$K:$K,'Таблиця 1'!$B:$B,$A277,'Таблиця 1'!$I:$I,"Mi-24",'Таблиця 1'!$J:$J,"UAR-80"))</f>
        <v/>
      </c>
      <c r="I277">
        <f>IF($A277="","",SUMIFS('Таблиця 1'!$K:$K,'Таблиця 1'!$B:$B,$A277,'Таблиця 1'!$I:$I,"Mi-8",'Таблиця 1'!$J:$J,"C-13")+SUMIFS('Таблиця 1'!$K:$K,'Таблиця 1'!$B:$B,$A277,'Таблиця 1'!$I:$I,"Mi-24",'Таблиця 1'!$J:$J,"C-13"))</f>
        <v/>
      </c>
      <c r="J277">
        <f>IF($A277="","",SUMIFS('Таблиця 1'!$K:$K,'Таблиця 1'!$B:$B,$A277,'Таблиця 1'!$I:$I,"Mi-8",'Таблиця 1'!$J:$J,"Hydra-70")+SUMIFS('Таблиця 1'!$K:$K,'Таблиця 1'!$B:$B,$A277,'Таблиця 1'!$I:$I,"Mi-24",'Таблиця 1'!$J:$J,"Hydra-70"))</f>
        <v/>
      </c>
      <c r="K277">
        <f>IF($A277="","",SUMIFS('Таблиця 1'!$K:$K,'Таблиця 1'!$B:$B,$A277,'Таблиця 1'!$I:$I,"Mi-8",'Таблиця 1'!$J:$J,"Thales-70")+SUMIFS('Таблиця 1'!$K:$K,'Таблиця 1'!$B:$B,$A277,'Таблиця 1'!$I:$I,"Mi-24",'Таблиця 1'!$J:$J,"Thales-70"))</f>
        <v/>
      </c>
      <c r="L277">
        <f>IF($A277="","",SUMIFS('Таблиця 1'!$K:$K,'Таблиця 1'!$B:$B,$A277,'Таблиця 1'!$I:$I,"Mi-8",'Таблиця 1'!$J:$J,"Thales-FZ")+SUMIFS('Таблиця 1'!$K:$K,'Таблиця 1'!$B:$B,$A277,'Таблиця 1'!$I:$I,"Mi-24",'Таблиця 1'!$J:$J,"Thales-FZ"))</f>
        <v/>
      </c>
      <c r="M277">
        <f>IF($A277="","",SUMIFS('Таблиця 1'!$K:$K,'Таблиця 1'!$B:$B,$A277,'Таблиця 1'!$I:$I,"Mi-8",'Таблиця 1'!$J:$J,"МК-40")+SUMIFS('Таблиця 1'!$K:$K,'Таблиця 1'!$B:$B,$A277,'Таблиця 1'!$I:$I,"Mi-24",'Таблиця 1'!$J:$J,"МК-40"))</f>
        <v/>
      </c>
      <c r="N277">
        <f>IF($A277="","",SUMIFS('Таблиця 1'!$K:$K,'Таблиця 1'!$B:$B,$A277,'Таблиця 1'!$I:$I,"Mi-8",'Таблиця 1'!$J:$J,"Zuni")+SUMIFS('Таблиця 1'!$K:$K,'Таблиця 1'!$B:$B,$A277,'Таблиця 1'!$I:$I,"Mi-24",'Таблиця 1'!$J:$J,"Zuni"))</f>
        <v/>
      </c>
      <c r="O277">
        <f>IF($A277="","",COUNTIFS('Таблиця 1'!$B:$B,$A277,'Таблиця 1'!$I:$I,"Mi-8",'Таблиця 1'!$L:$L,"Уражено")+COUNTIFS('Таблиця 1'!$B:$B,$A277,'Таблиця 1'!$I:$I,"Mi-24",'Таблиця 1'!$L:$L,"Уражено"))</f>
        <v/>
      </c>
      <c r="P277">
        <f>IF($A277="","",COUNTIFS('Таблиця 1'!$B:$B,$A277,'Таблиця 1'!$I:$I,"Mi-8",'Таблиця 1'!$L:$L,"НЕ уражено")+COUNTIFS('Таблиця 1'!$B:$B,$A277,'Таблиця 1'!$I:$I,"Mi-24",'Таблиця 1'!$L:$L,"НЕ уражено"))</f>
        <v/>
      </c>
    </row>
    <row r="278">
      <c r="A278" s="273">
        <f>IF(A277="","",IF(A277+1&gt;MAX('Таблиця 1'!$B:$B),"",A277+1))</f>
        <v/>
      </c>
      <c r="B278">
        <f>IF($A278="","",COUNTIFS('Таблиця 1'!$B:$B,$A278,'Таблиця 1'!$I:$I,"Mi-8")+COUNTIFS('Таблиця 1'!$B:$B,$A278,'Таблиця 1'!$I:$I,"Mi-24"))</f>
        <v/>
      </c>
      <c r="C278">
        <f>IF($A278="","",COUNTIFS('Таблиця 1'!$B:$B,$A278,'Таблиця 1'!$I:$I,"Mi-8"))</f>
        <v/>
      </c>
      <c r="D278">
        <f>IF($A278="","",COUNTIFS('Таблиця 1'!$B:$B,$A278,'Таблиця 1'!$I:$I,"Mi-24"))</f>
        <v/>
      </c>
      <c r="E278">
        <f>IF($A278="","",SUMIFS('Таблиця 1'!$K:$K,'Таблиця 1'!$B:$B,$A278,'Таблиця 1'!$I:$I,"Mi-8",'Таблиця 1'!$J:$J,"ARS-8")+SUMIFS('Таблиця 1'!$K:$K,'Таблиця 1'!$B:$B,$A278,'Таблиця 1'!$I:$I,"Mi-24",'Таблиця 1'!$J:$J,"ARS-8"))</f>
        <v/>
      </c>
      <c r="F278">
        <f>IF($A278="","",SUMIFS('Таблиця 1'!$K:$K,'Таблиця 1'!$B:$B,$A278,'Таблиця 1'!$I:$I,"Mi-8",'Таблиця 1'!$J:$J,"С-8 ком")+SUMIFS('Таблиця 1'!$K:$K,'Таблиця 1'!$B:$B,$A278,'Таблиця 1'!$I:$I,"Mi-24",'Таблиця 1'!$J:$J,"С-8 ком"))</f>
        <v/>
      </c>
      <c r="G278">
        <f>IF($A278="","",SUMIFS('Таблиця 1'!$K:$K,'Таблиця 1'!$B:$B,$A278,'Таблиця 1'!$I:$I,"Mi-8",'Таблиця 1'!$J:$J,"PC-80")+SUMIFS('Таблиця 1'!$K:$K,'Таблиця 1'!$B:$B,$A278,'Таблиця 1'!$I:$I,"Mi-24",'Таблиця 1'!$J:$J,"PC-80"))</f>
        <v/>
      </c>
      <c r="H278">
        <f>IF($A278="","",SUMIFS('Таблиця 1'!$K:$K,'Таблиця 1'!$B:$B,$A278,'Таблиця 1'!$I:$I,"Mi-8",'Таблиця 1'!$J:$J,"UAR-80")+SUMIFS('Таблиця 1'!$K:$K,'Таблиця 1'!$B:$B,$A278,'Таблиця 1'!$I:$I,"Mi-24",'Таблиця 1'!$J:$J,"UAR-80"))</f>
        <v/>
      </c>
      <c r="I278">
        <f>IF($A278="","",SUMIFS('Таблиця 1'!$K:$K,'Таблиця 1'!$B:$B,$A278,'Таблиця 1'!$I:$I,"Mi-8",'Таблиця 1'!$J:$J,"C-13")+SUMIFS('Таблиця 1'!$K:$K,'Таблиця 1'!$B:$B,$A278,'Таблиця 1'!$I:$I,"Mi-24",'Таблиця 1'!$J:$J,"C-13"))</f>
        <v/>
      </c>
      <c r="J278">
        <f>IF($A278="","",SUMIFS('Таблиця 1'!$K:$K,'Таблиця 1'!$B:$B,$A278,'Таблиця 1'!$I:$I,"Mi-8",'Таблиця 1'!$J:$J,"Hydra-70")+SUMIFS('Таблиця 1'!$K:$K,'Таблиця 1'!$B:$B,$A278,'Таблиця 1'!$I:$I,"Mi-24",'Таблиця 1'!$J:$J,"Hydra-70"))</f>
        <v/>
      </c>
      <c r="K278">
        <f>IF($A278="","",SUMIFS('Таблиця 1'!$K:$K,'Таблиця 1'!$B:$B,$A278,'Таблиця 1'!$I:$I,"Mi-8",'Таблиця 1'!$J:$J,"Thales-70")+SUMIFS('Таблиця 1'!$K:$K,'Таблиця 1'!$B:$B,$A278,'Таблиця 1'!$I:$I,"Mi-24",'Таблиця 1'!$J:$J,"Thales-70"))</f>
        <v/>
      </c>
      <c r="L278">
        <f>IF($A278="","",SUMIFS('Таблиця 1'!$K:$K,'Таблиця 1'!$B:$B,$A278,'Таблиця 1'!$I:$I,"Mi-8",'Таблиця 1'!$J:$J,"Thales-FZ")+SUMIFS('Таблиця 1'!$K:$K,'Таблиця 1'!$B:$B,$A278,'Таблиця 1'!$I:$I,"Mi-24",'Таблиця 1'!$J:$J,"Thales-FZ"))</f>
        <v/>
      </c>
      <c r="M278">
        <f>IF($A278="","",SUMIFS('Таблиця 1'!$K:$K,'Таблиця 1'!$B:$B,$A278,'Таблиця 1'!$I:$I,"Mi-8",'Таблиця 1'!$J:$J,"МК-40")+SUMIFS('Таблиця 1'!$K:$K,'Таблиця 1'!$B:$B,$A278,'Таблиця 1'!$I:$I,"Mi-24",'Таблиця 1'!$J:$J,"МК-40"))</f>
        <v/>
      </c>
      <c r="N278">
        <f>IF($A278="","",SUMIFS('Таблиця 1'!$K:$K,'Таблиця 1'!$B:$B,$A278,'Таблиця 1'!$I:$I,"Mi-8",'Таблиця 1'!$J:$J,"Zuni")+SUMIFS('Таблиця 1'!$K:$K,'Таблиця 1'!$B:$B,$A278,'Таблиця 1'!$I:$I,"Mi-24",'Таблиця 1'!$J:$J,"Zuni"))</f>
        <v/>
      </c>
      <c r="O278">
        <f>IF($A278="","",COUNTIFS('Таблиця 1'!$B:$B,$A278,'Таблиця 1'!$I:$I,"Mi-8",'Таблиця 1'!$L:$L,"Уражено")+COUNTIFS('Таблиця 1'!$B:$B,$A278,'Таблиця 1'!$I:$I,"Mi-24",'Таблиця 1'!$L:$L,"Уражено"))</f>
        <v/>
      </c>
      <c r="P278">
        <f>IF($A278="","",COUNTIFS('Таблиця 1'!$B:$B,$A278,'Таблиця 1'!$I:$I,"Mi-8",'Таблиця 1'!$L:$L,"НЕ уражено")+COUNTIFS('Таблиця 1'!$B:$B,$A278,'Таблиця 1'!$I:$I,"Mi-24",'Таблиця 1'!$L:$L,"НЕ уражено"))</f>
        <v/>
      </c>
    </row>
    <row r="279">
      <c r="A279" s="273">
        <f>IF(A278="","",IF(A278+1&gt;MAX('Таблиця 1'!$B:$B),"",A278+1))</f>
        <v/>
      </c>
      <c r="B279">
        <f>IF($A279="","",COUNTIFS('Таблиця 1'!$B:$B,$A279,'Таблиця 1'!$I:$I,"Mi-8")+COUNTIFS('Таблиця 1'!$B:$B,$A279,'Таблиця 1'!$I:$I,"Mi-24"))</f>
        <v/>
      </c>
      <c r="C279">
        <f>IF($A279="","",COUNTIFS('Таблиця 1'!$B:$B,$A279,'Таблиця 1'!$I:$I,"Mi-8"))</f>
        <v/>
      </c>
      <c r="D279">
        <f>IF($A279="","",COUNTIFS('Таблиця 1'!$B:$B,$A279,'Таблиця 1'!$I:$I,"Mi-24"))</f>
        <v/>
      </c>
      <c r="E279">
        <f>IF($A279="","",SUMIFS('Таблиця 1'!$K:$K,'Таблиця 1'!$B:$B,$A279,'Таблиця 1'!$I:$I,"Mi-8",'Таблиця 1'!$J:$J,"ARS-8")+SUMIFS('Таблиця 1'!$K:$K,'Таблиця 1'!$B:$B,$A279,'Таблиця 1'!$I:$I,"Mi-24",'Таблиця 1'!$J:$J,"ARS-8"))</f>
        <v/>
      </c>
      <c r="F279">
        <f>IF($A279="","",SUMIFS('Таблиця 1'!$K:$K,'Таблиця 1'!$B:$B,$A279,'Таблиця 1'!$I:$I,"Mi-8",'Таблиця 1'!$J:$J,"С-8 ком")+SUMIFS('Таблиця 1'!$K:$K,'Таблиця 1'!$B:$B,$A279,'Таблиця 1'!$I:$I,"Mi-24",'Таблиця 1'!$J:$J,"С-8 ком"))</f>
        <v/>
      </c>
      <c r="G279">
        <f>IF($A279="","",SUMIFS('Таблиця 1'!$K:$K,'Таблиця 1'!$B:$B,$A279,'Таблиця 1'!$I:$I,"Mi-8",'Таблиця 1'!$J:$J,"PC-80")+SUMIFS('Таблиця 1'!$K:$K,'Таблиця 1'!$B:$B,$A279,'Таблиця 1'!$I:$I,"Mi-24",'Таблиця 1'!$J:$J,"PC-80"))</f>
        <v/>
      </c>
      <c r="H279">
        <f>IF($A279="","",SUMIFS('Таблиця 1'!$K:$K,'Таблиця 1'!$B:$B,$A279,'Таблиця 1'!$I:$I,"Mi-8",'Таблиця 1'!$J:$J,"UAR-80")+SUMIFS('Таблиця 1'!$K:$K,'Таблиця 1'!$B:$B,$A279,'Таблиця 1'!$I:$I,"Mi-24",'Таблиця 1'!$J:$J,"UAR-80"))</f>
        <v/>
      </c>
      <c r="I279">
        <f>IF($A279="","",SUMIFS('Таблиця 1'!$K:$K,'Таблиця 1'!$B:$B,$A279,'Таблиця 1'!$I:$I,"Mi-8",'Таблиця 1'!$J:$J,"C-13")+SUMIFS('Таблиця 1'!$K:$K,'Таблиця 1'!$B:$B,$A279,'Таблиця 1'!$I:$I,"Mi-24",'Таблиця 1'!$J:$J,"C-13"))</f>
        <v/>
      </c>
      <c r="J279">
        <f>IF($A279="","",SUMIFS('Таблиця 1'!$K:$K,'Таблиця 1'!$B:$B,$A279,'Таблиця 1'!$I:$I,"Mi-8",'Таблиця 1'!$J:$J,"Hydra-70")+SUMIFS('Таблиця 1'!$K:$K,'Таблиця 1'!$B:$B,$A279,'Таблиця 1'!$I:$I,"Mi-24",'Таблиця 1'!$J:$J,"Hydra-70"))</f>
        <v/>
      </c>
      <c r="K279">
        <f>IF($A279="","",SUMIFS('Таблиця 1'!$K:$K,'Таблиця 1'!$B:$B,$A279,'Таблиця 1'!$I:$I,"Mi-8",'Таблиця 1'!$J:$J,"Thales-70")+SUMIFS('Таблиця 1'!$K:$K,'Таблиця 1'!$B:$B,$A279,'Таблиця 1'!$I:$I,"Mi-24",'Таблиця 1'!$J:$J,"Thales-70"))</f>
        <v/>
      </c>
      <c r="L279">
        <f>IF($A279="","",SUMIFS('Таблиця 1'!$K:$K,'Таблиця 1'!$B:$B,$A279,'Таблиця 1'!$I:$I,"Mi-8",'Таблиця 1'!$J:$J,"Thales-FZ")+SUMIFS('Таблиця 1'!$K:$K,'Таблиця 1'!$B:$B,$A279,'Таблиця 1'!$I:$I,"Mi-24",'Таблиця 1'!$J:$J,"Thales-FZ"))</f>
        <v/>
      </c>
      <c r="M279">
        <f>IF($A279="","",SUMIFS('Таблиця 1'!$K:$K,'Таблиця 1'!$B:$B,$A279,'Таблиця 1'!$I:$I,"Mi-8",'Таблиця 1'!$J:$J,"МК-40")+SUMIFS('Таблиця 1'!$K:$K,'Таблиця 1'!$B:$B,$A279,'Таблиця 1'!$I:$I,"Mi-24",'Таблиця 1'!$J:$J,"МК-40"))</f>
        <v/>
      </c>
      <c r="N279">
        <f>IF($A279="","",SUMIFS('Таблиця 1'!$K:$K,'Таблиця 1'!$B:$B,$A279,'Таблиця 1'!$I:$I,"Mi-8",'Таблиця 1'!$J:$J,"Zuni")+SUMIFS('Таблиця 1'!$K:$K,'Таблиця 1'!$B:$B,$A279,'Таблиця 1'!$I:$I,"Mi-24",'Таблиця 1'!$J:$J,"Zuni"))</f>
        <v/>
      </c>
      <c r="O279">
        <f>IF($A279="","",COUNTIFS('Таблиця 1'!$B:$B,$A279,'Таблиця 1'!$I:$I,"Mi-8",'Таблиця 1'!$L:$L,"Уражено")+COUNTIFS('Таблиця 1'!$B:$B,$A279,'Таблиця 1'!$I:$I,"Mi-24",'Таблиця 1'!$L:$L,"Уражено"))</f>
        <v/>
      </c>
      <c r="P279">
        <f>IF($A279="","",COUNTIFS('Таблиця 1'!$B:$B,$A279,'Таблиця 1'!$I:$I,"Mi-8",'Таблиця 1'!$L:$L,"НЕ уражено")+COUNTIFS('Таблиця 1'!$B:$B,$A279,'Таблиця 1'!$I:$I,"Mi-24",'Таблиця 1'!$L:$L,"НЕ уражено"))</f>
        <v/>
      </c>
    </row>
    <row r="280">
      <c r="A280" s="273">
        <f>IF(A279="","",IF(A279+1&gt;MAX('Таблиця 1'!$B:$B),"",A279+1))</f>
        <v/>
      </c>
      <c r="B280">
        <f>IF($A280="","",COUNTIFS('Таблиця 1'!$B:$B,$A280,'Таблиця 1'!$I:$I,"Mi-8")+COUNTIFS('Таблиця 1'!$B:$B,$A280,'Таблиця 1'!$I:$I,"Mi-24"))</f>
        <v/>
      </c>
      <c r="C280">
        <f>IF($A280="","",COUNTIFS('Таблиця 1'!$B:$B,$A280,'Таблиця 1'!$I:$I,"Mi-8"))</f>
        <v/>
      </c>
      <c r="D280">
        <f>IF($A280="","",COUNTIFS('Таблиця 1'!$B:$B,$A280,'Таблиця 1'!$I:$I,"Mi-24"))</f>
        <v/>
      </c>
      <c r="E280">
        <f>IF($A280="","",SUMIFS('Таблиця 1'!$K:$K,'Таблиця 1'!$B:$B,$A280,'Таблиця 1'!$I:$I,"Mi-8",'Таблиця 1'!$J:$J,"ARS-8")+SUMIFS('Таблиця 1'!$K:$K,'Таблиця 1'!$B:$B,$A280,'Таблиця 1'!$I:$I,"Mi-24",'Таблиця 1'!$J:$J,"ARS-8"))</f>
        <v/>
      </c>
      <c r="F280">
        <f>IF($A280="","",SUMIFS('Таблиця 1'!$K:$K,'Таблиця 1'!$B:$B,$A280,'Таблиця 1'!$I:$I,"Mi-8",'Таблиця 1'!$J:$J,"С-8 ком")+SUMIFS('Таблиця 1'!$K:$K,'Таблиця 1'!$B:$B,$A280,'Таблиця 1'!$I:$I,"Mi-24",'Таблиця 1'!$J:$J,"С-8 ком"))</f>
        <v/>
      </c>
      <c r="G280">
        <f>IF($A280="","",SUMIFS('Таблиця 1'!$K:$K,'Таблиця 1'!$B:$B,$A280,'Таблиця 1'!$I:$I,"Mi-8",'Таблиця 1'!$J:$J,"PC-80")+SUMIFS('Таблиця 1'!$K:$K,'Таблиця 1'!$B:$B,$A280,'Таблиця 1'!$I:$I,"Mi-24",'Таблиця 1'!$J:$J,"PC-80"))</f>
        <v/>
      </c>
      <c r="H280">
        <f>IF($A280="","",SUMIFS('Таблиця 1'!$K:$K,'Таблиця 1'!$B:$B,$A280,'Таблиця 1'!$I:$I,"Mi-8",'Таблиця 1'!$J:$J,"UAR-80")+SUMIFS('Таблиця 1'!$K:$K,'Таблиця 1'!$B:$B,$A280,'Таблиця 1'!$I:$I,"Mi-24",'Таблиця 1'!$J:$J,"UAR-80"))</f>
        <v/>
      </c>
      <c r="I280">
        <f>IF($A280="","",SUMIFS('Таблиця 1'!$K:$K,'Таблиця 1'!$B:$B,$A280,'Таблиця 1'!$I:$I,"Mi-8",'Таблиця 1'!$J:$J,"C-13")+SUMIFS('Таблиця 1'!$K:$K,'Таблиця 1'!$B:$B,$A280,'Таблиця 1'!$I:$I,"Mi-24",'Таблиця 1'!$J:$J,"C-13"))</f>
        <v/>
      </c>
      <c r="J280">
        <f>IF($A280="","",SUMIFS('Таблиця 1'!$K:$K,'Таблиця 1'!$B:$B,$A280,'Таблиця 1'!$I:$I,"Mi-8",'Таблиця 1'!$J:$J,"Hydra-70")+SUMIFS('Таблиця 1'!$K:$K,'Таблиця 1'!$B:$B,$A280,'Таблиця 1'!$I:$I,"Mi-24",'Таблиця 1'!$J:$J,"Hydra-70"))</f>
        <v/>
      </c>
      <c r="K280">
        <f>IF($A280="","",SUMIFS('Таблиця 1'!$K:$K,'Таблиця 1'!$B:$B,$A280,'Таблиця 1'!$I:$I,"Mi-8",'Таблиця 1'!$J:$J,"Thales-70")+SUMIFS('Таблиця 1'!$K:$K,'Таблиця 1'!$B:$B,$A280,'Таблиця 1'!$I:$I,"Mi-24",'Таблиця 1'!$J:$J,"Thales-70"))</f>
        <v/>
      </c>
      <c r="L280">
        <f>IF($A280="","",SUMIFS('Таблиця 1'!$K:$K,'Таблиця 1'!$B:$B,$A280,'Таблиця 1'!$I:$I,"Mi-8",'Таблиця 1'!$J:$J,"Thales-FZ")+SUMIFS('Таблиця 1'!$K:$K,'Таблиця 1'!$B:$B,$A280,'Таблиця 1'!$I:$I,"Mi-24",'Таблиця 1'!$J:$J,"Thales-FZ"))</f>
        <v/>
      </c>
      <c r="M280">
        <f>IF($A280="","",SUMIFS('Таблиця 1'!$K:$K,'Таблиця 1'!$B:$B,$A280,'Таблиця 1'!$I:$I,"Mi-8",'Таблиця 1'!$J:$J,"МК-40")+SUMIFS('Таблиця 1'!$K:$K,'Таблиця 1'!$B:$B,$A280,'Таблиця 1'!$I:$I,"Mi-24",'Таблиця 1'!$J:$J,"МК-40"))</f>
        <v/>
      </c>
      <c r="N280">
        <f>IF($A280="","",SUMIFS('Таблиця 1'!$K:$K,'Таблиця 1'!$B:$B,$A280,'Таблиця 1'!$I:$I,"Mi-8",'Таблиця 1'!$J:$J,"Zuni")+SUMIFS('Таблиця 1'!$K:$K,'Таблиця 1'!$B:$B,$A280,'Таблиця 1'!$I:$I,"Mi-24",'Таблиця 1'!$J:$J,"Zuni"))</f>
        <v/>
      </c>
      <c r="O280">
        <f>IF($A280="","",COUNTIFS('Таблиця 1'!$B:$B,$A280,'Таблиця 1'!$I:$I,"Mi-8",'Таблиця 1'!$L:$L,"Уражено")+COUNTIFS('Таблиця 1'!$B:$B,$A280,'Таблиця 1'!$I:$I,"Mi-24",'Таблиця 1'!$L:$L,"Уражено"))</f>
        <v/>
      </c>
      <c r="P280">
        <f>IF($A280="","",COUNTIFS('Таблиця 1'!$B:$B,$A280,'Таблиця 1'!$I:$I,"Mi-8",'Таблиця 1'!$L:$L,"НЕ уражено")+COUNTIFS('Таблиця 1'!$B:$B,$A280,'Таблиця 1'!$I:$I,"Mi-24",'Таблиця 1'!$L:$L,"НЕ уражено"))</f>
        <v/>
      </c>
    </row>
    <row r="281">
      <c r="A281" s="273">
        <f>IF(A280="","",IF(A280+1&gt;MAX('Таблиця 1'!$B:$B),"",A280+1))</f>
        <v/>
      </c>
      <c r="B281">
        <f>IF($A281="","",COUNTIFS('Таблиця 1'!$B:$B,$A281,'Таблиця 1'!$I:$I,"Mi-8")+COUNTIFS('Таблиця 1'!$B:$B,$A281,'Таблиця 1'!$I:$I,"Mi-24"))</f>
        <v/>
      </c>
      <c r="C281">
        <f>IF($A281="","",COUNTIFS('Таблиця 1'!$B:$B,$A281,'Таблиця 1'!$I:$I,"Mi-8"))</f>
        <v/>
      </c>
      <c r="D281">
        <f>IF($A281="","",COUNTIFS('Таблиця 1'!$B:$B,$A281,'Таблиця 1'!$I:$I,"Mi-24"))</f>
        <v/>
      </c>
      <c r="E281">
        <f>IF($A281="","",SUMIFS('Таблиця 1'!$K:$K,'Таблиця 1'!$B:$B,$A281,'Таблиця 1'!$I:$I,"Mi-8",'Таблиця 1'!$J:$J,"ARS-8")+SUMIFS('Таблиця 1'!$K:$K,'Таблиця 1'!$B:$B,$A281,'Таблиця 1'!$I:$I,"Mi-24",'Таблиця 1'!$J:$J,"ARS-8"))</f>
        <v/>
      </c>
      <c r="F281">
        <f>IF($A281="","",SUMIFS('Таблиця 1'!$K:$K,'Таблиця 1'!$B:$B,$A281,'Таблиця 1'!$I:$I,"Mi-8",'Таблиця 1'!$J:$J,"С-8 ком")+SUMIFS('Таблиця 1'!$K:$K,'Таблиця 1'!$B:$B,$A281,'Таблиця 1'!$I:$I,"Mi-24",'Таблиця 1'!$J:$J,"С-8 ком"))</f>
        <v/>
      </c>
      <c r="G281">
        <f>IF($A281="","",SUMIFS('Таблиця 1'!$K:$K,'Таблиця 1'!$B:$B,$A281,'Таблиця 1'!$I:$I,"Mi-8",'Таблиця 1'!$J:$J,"PC-80")+SUMIFS('Таблиця 1'!$K:$K,'Таблиця 1'!$B:$B,$A281,'Таблиця 1'!$I:$I,"Mi-24",'Таблиця 1'!$J:$J,"PC-80"))</f>
        <v/>
      </c>
      <c r="H281">
        <f>IF($A281="","",SUMIFS('Таблиця 1'!$K:$K,'Таблиця 1'!$B:$B,$A281,'Таблиця 1'!$I:$I,"Mi-8",'Таблиця 1'!$J:$J,"UAR-80")+SUMIFS('Таблиця 1'!$K:$K,'Таблиця 1'!$B:$B,$A281,'Таблиця 1'!$I:$I,"Mi-24",'Таблиця 1'!$J:$J,"UAR-80"))</f>
        <v/>
      </c>
      <c r="I281">
        <f>IF($A281="","",SUMIFS('Таблиця 1'!$K:$K,'Таблиця 1'!$B:$B,$A281,'Таблиця 1'!$I:$I,"Mi-8",'Таблиця 1'!$J:$J,"C-13")+SUMIFS('Таблиця 1'!$K:$K,'Таблиця 1'!$B:$B,$A281,'Таблиця 1'!$I:$I,"Mi-24",'Таблиця 1'!$J:$J,"C-13"))</f>
        <v/>
      </c>
      <c r="J281">
        <f>IF($A281="","",SUMIFS('Таблиця 1'!$K:$K,'Таблиця 1'!$B:$B,$A281,'Таблиця 1'!$I:$I,"Mi-8",'Таблиця 1'!$J:$J,"Hydra-70")+SUMIFS('Таблиця 1'!$K:$K,'Таблиця 1'!$B:$B,$A281,'Таблиця 1'!$I:$I,"Mi-24",'Таблиця 1'!$J:$J,"Hydra-70"))</f>
        <v/>
      </c>
      <c r="K281">
        <f>IF($A281="","",SUMIFS('Таблиця 1'!$K:$K,'Таблиця 1'!$B:$B,$A281,'Таблиця 1'!$I:$I,"Mi-8",'Таблиця 1'!$J:$J,"Thales-70")+SUMIFS('Таблиця 1'!$K:$K,'Таблиця 1'!$B:$B,$A281,'Таблиця 1'!$I:$I,"Mi-24",'Таблиця 1'!$J:$J,"Thales-70"))</f>
        <v/>
      </c>
      <c r="L281">
        <f>IF($A281="","",SUMIFS('Таблиця 1'!$K:$K,'Таблиця 1'!$B:$B,$A281,'Таблиця 1'!$I:$I,"Mi-8",'Таблиця 1'!$J:$J,"Thales-FZ")+SUMIFS('Таблиця 1'!$K:$K,'Таблиця 1'!$B:$B,$A281,'Таблиця 1'!$I:$I,"Mi-24",'Таблиця 1'!$J:$J,"Thales-FZ"))</f>
        <v/>
      </c>
      <c r="M281">
        <f>IF($A281="","",SUMIFS('Таблиця 1'!$K:$K,'Таблиця 1'!$B:$B,$A281,'Таблиця 1'!$I:$I,"Mi-8",'Таблиця 1'!$J:$J,"МК-40")+SUMIFS('Таблиця 1'!$K:$K,'Таблиця 1'!$B:$B,$A281,'Таблиця 1'!$I:$I,"Mi-24",'Таблиця 1'!$J:$J,"МК-40"))</f>
        <v/>
      </c>
      <c r="N281">
        <f>IF($A281="","",SUMIFS('Таблиця 1'!$K:$K,'Таблиця 1'!$B:$B,$A281,'Таблиця 1'!$I:$I,"Mi-8",'Таблиця 1'!$J:$J,"Zuni")+SUMIFS('Таблиця 1'!$K:$K,'Таблиця 1'!$B:$B,$A281,'Таблиця 1'!$I:$I,"Mi-24",'Таблиця 1'!$J:$J,"Zuni"))</f>
        <v/>
      </c>
      <c r="O281">
        <f>IF($A281="","",COUNTIFS('Таблиця 1'!$B:$B,$A281,'Таблиця 1'!$I:$I,"Mi-8",'Таблиця 1'!$L:$L,"Уражено")+COUNTIFS('Таблиця 1'!$B:$B,$A281,'Таблиця 1'!$I:$I,"Mi-24",'Таблиця 1'!$L:$L,"Уражено"))</f>
        <v/>
      </c>
      <c r="P281">
        <f>IF($A281="","",COUNTIFS('Таблиця 1'!$B:$B,$A281,'Таблиця 1'!$I:$I,"Mi-8",'Таблиця 1'!$L:$L,"НЕ уражено")+COUNTIFS('Таблиця 1'!$B:$B,$A281,'Таблиця 1'!$I:$I,"Mi-24",'Таблиця 1'!$L:$L,"НЕ уражено"))</f>
        <v/>
      </c>
    </row>
    <row r="282">
      <c r="A282" s="273">
        <f>IF(A281="","",IF(A281+1&gt;MAX('Таблиця 1'!$B:$B),"",A281+1))</f>
        <v/>
      </c>
      <c r="B282">
        <f>IF($A282="","",COUNTIFS('Таблиця 1'!$B:$B,$A282,'Таблиця 1'!$I:$I,"Mi-8")+COUNTIFS('Таблиця 1'!$B:$B,$A282,'Таблиця 1'!$I:$I,"Mi-24"))</f>
        <v/>
      </c>
      <c r="C282">
        <f>IF($A282="","",COUNTIFS('Таблиця 1'!$B:$B,$A282,'Таблиця 1'!$I:$I,"Mi-8"))</f>
        <v/>
      </c>
      <c r="D282">
        <f>IF($A282="","",COUNTIFS('Таблиця 1'!$B:$B,$A282,'Таблиця 1'!$I:$I,"Mi-24"))</f>
        <v/>
      </c>
      <c r="E282">
        <f>IF($A282="","",SUMIFS('Таблиця 1'!$K:$K,'Таблиця 1'!$B:$B,$A282,'Таблиця 1'!$I:$I,"Mi-8",'Таблиця 1'!$J:$J,"ARS-8")+SUMIFS('Таблиця 1'!$K:$K,'Таблиця 1'!$B:$B,$A282,'Таблиця 1'!$I:$I,"Mi-24",'Таблиця 1'!$J:$J,"ARS-8"))</f>
        <v/>
      </c>
      <c r="F282">
        <f>IF($A282="","",SUMIFS('Таблиця 1'!$K:$K,'Таблиця 1'!$B:$B,$A282,'Таблиця 1'!$I:$I,"Mi-8",'Таблиця 1'!$J:$J,"С-8 ком")+SUMIFS('Таблиця 1'!$K:$K,'Таблиця 1'!$B:$B,$A282,'Таблиця 1'!$I:$I,"Mi-24",'Таблиця 1'!$J:$J,"С-8 ком"))</f>
        <v/>
      </c>
      <c r="G282">
        <f>IF($A282="","",SUMIFS('Таблиця 1'!$K:$K,'Таблиця 1'!$B:$B,$A282,'Таблиця 1'!$I:$I,"Mi-8",'Таблиця 1'!$J:$J,"PC-80")+SUMIFS('Таблиця 1'!$K:$K,'Таблиця 1'!$B:$B,$A282,'Таблиця 1'!$I:$I,"Mi-24",'Таблиця 1'!$J:$J,"PC-80"))</f>
        <v/>
      </c>
      <c r="H282">
        <f>IF($A282="","",SUMIFS('Таблиця 1'!$K:$K,'Таблиця 1'!$B:$B,$A282,'Таблиця 1'!$I:$I,"Mi-8",'Таблиця 1'!$J:$J,"UAR-80")+SUMIFS('Таблиця 1'!$K:$K,'Таблиця 1'!$B:$B,$A282,'Таблиця 1'!$I:$I,"Mi-24",'Таблиця 1'!$J:$J,"UAR-80"))</f>
        <v/>
      </c>
      <c r="I282">
        <f>IF($A282="","",SUMIFS('Таблиця 1'!$K:$K,'Таблиця 1'!$B:$B,$A282,'Таблиця 1'!$I:$I,"Mi-8",'Таблиця 1'!$J:$J,"C-13")+SUMIFS('Таблиця 1'!$K:$K,'Таблиця 1'!$B:$B,$A282,'Таблиця 1'!$I:$I,"Mi-24",'Таблиця 1'!$J:$J,"C-13"))</f>
        <v/>
      </c>
      <c r="J282">
        <f>IF($A282="","",SUMIFS('Таблиця 1'!$K:$K,'Таблиця 1'!$B:$B,$A282,'Таблиця 1'!$I:$I,"Mi-8",'Таблиця 1'!$J:$J,"Hydra-70")+SUMIFS('Таблиця 1'!$K:$K,'Таблиця 1'!$B:$B,$A282,'Таблиця 1'!$I:$I,"Mi-24",'Таблиця 1'!$J:$J,"Hydra-70"))</f>
        <v/>
      </c>
      <c r="K282">
        <f>IF($A282="","",SUMIFS('Таблиця 1'!$K:$K,'Таблиця 1'!$B:$B,$A282,'Таблиця 1'!$I:$I,"Mi-8",'Таблиця 1'!$J:$J,"Thales-70")+SUMIFS('Таблиця 1'!$K:$K,'Таблиця 1'!$B:$B,$A282,'Таблиця 1'!$I:$I,"Mi-24",'Таблиця 1'!$J:$J,"Thales-70"))</f>
        <v/>
      </c>
      <c r="L282">
        <f>IF($A282="","",SUMIFS('Таблиця 1'!$K:$K,'Таблиця 1'!$B:$B,$A282,'Таблиця 1'!$I:$I,"Mi-8",'Таблиця 1'!$J:$J,"Thales-FZ")+SUMIFS('Таблиця 1'!$K:$K,'Таблиця 1'!$B:$B,$A282,'Таблиця 1'!$I:$I,"Mi-24",'Таблиця 1'!$J:$J,"Thales-FZ"))</f>
        <v/>
      </c>
      <c r="M282">
        <f>IF($A282="","",SUMIFS('Таблиця 1'!$K:$K,'Таблиця 1'!$B:$B,$A282,'Таблиця 1'!$I:$I,"Mi-8",'Таблиця 1'!$J:$J,"МК-40")+SUMIFS('Таблиця 1'!$K:$K,'Таблиця 1'!$B:$B,$A282,'Таблиця 1'!$I:$I,"Mi-24",'Таблиця 1'!$J:$J,"МК-40"))</f>
        <v/>
      </c>
      <c r="N282">
        <f>IF($A282="","",SUMIFS('Таблиця 1'!$K:$K,'Таблиця 1'!$B:$B,$A282,'Таблиця 1'!$I:$I,"Mi-8",'Таблиця 1'!$J:$J,"Zuni")+SUMIFS('Таблиця 1'!$K:$K,'Таблиця 1'!$B:$B,$A282,'Таблиця 1'!$I:$I,"Mi-24",'Таблиця 1'!$J:$J,"Zuni"))</f>
        <v/>
      </c>
      <c r="O282">
        <f>IF($A282="","",COUNTIFS('Таблиця 1'!$B:$B,$A282,'Таблиця 1'!$I:$I,"Mi-8",'Таблиця 1'!$L:$L,"Уражено")+COUNTIFS('Таблиця 1'!$B:$B,$A282,'Таблиця 1'!$I:$I,"Mi-24",'Таблиця 1'!$L:$L,"Уражено"))</f>
        <v/>
      </c>
      <c r="P282">
        <f>IF($A282="","",COUNTIFS('Таблиця 1'!$B:$B,$A282,'Таблиця 1'!$I:$I,"Mi-8",'Таблиця 1'!$L:$L,"НЕ уражено")+COUNTIFS('Таблиця 1'!$B:$B,$A282,'Таблиця 1'!$I:$I,"Mi-24",'Таблиця 1'!$L:$L,"НЕ уражено"))</f>
        <v/>
      </c>
    </row>
    <row r="283">
      <c r="A283" s="273">
        <f>IF(A282="","",IF(A282+1&gt;MAX('Таблиця 1'!$B:$B),"",A282+1))</f>
        <v/>
      </c>
      <c r="B283">
        <f>IF($A283="","",COUNTIFS('Таблиця 1'!$B:$B,$A283,'Таблиця 1'!$I:$I,"Mi-8")+COUNTIFS('Таблиця 1'!$B:$B,$A283,'Таблиця 1'!$I:$I,"Mi-24"))</f>
        <v/>
      </c>
      <c r="C283">
        <f>IF($A283="","",COUNTIFS('Таблиця 1'!$B:$B,$A283,'Таблиця 1'!$I:$I,"Mi-8"))</f>
        <v/>
      </c>
      <c r="D283">
        <f>IF($A283="","",COUNTIFS('Таблиця 1'!$B:$B,$A283,'Таблиця 1'!$I:$I,"Mi-24"))</f>
        <v/>
      </c>
      <c r="E283">
        <f>IF($A283="","",SUMIFS('Таблиця 1'!$K:$K,'Таблиця 1'!$B:$B,$A283,'Таблиця 1'!$I:$I,"Mi-8",'Таблиця 1'!$J:$J,"ARS-8")+SUMIFS('Таблиця 1'!$K:$K,'Таблиця 1'!$B:$B,$A283,'Таблиця 1'!$I:$I,"Mi-24",'Таблиця 1'!$J:$J,"ARS-8"))</f>
        <v/>
      </c>
      <c r="F283">
        <f>IF($A283="","",SUMIFS('Таблиця 1'!$K:$K,'Таблиця 1'!$B:$B,$A283,'Таблиця 1'!$I:$I,"Mi-8",'Таблиця 1'!$J:$J,"С-8 ком")+SUMIFS('Таблиця 1'!$K:$K,'Таблиця 1'!$B:$B,$A283,'Таблиця 1'!$I:$I,"Mi-24",'Таблиця 1'!$J:$J,"С-8 ком"))</f>
        <v/>
      </c>
      <c r="G283">
        <f>IF($A283="","",SUMIFS('Таблиця 1'!$K:$K,'Таблиця 1'!$B:$B,$A283,'Таблиця 1'!$I:$I,"Mi-8",'Таблиця 1'!$J:$J,"PC-80")+SUMIFS('Таблиця 1'!$K:$K,'Таблиця 1'!$B:$B,$A283,'Таблиця 1'!$I:$I,"Mi-24",'Таблиця 1'!$J:$J,"PC-80"))</f>
        <v/>
      </c>
      <c r="H283">
        <f>IF($A283="","",SUMIFS('Таблиця 1'!$K:$K,'Таблиця 1'!$B:$B,$A283,'Таблиця 1'!$I:$I,"Mi-8",'Таблиця 1'!$J:$J,"UAR-80")+SUMIFS('Таблиця 1'!$K:$K,'Таблиця 1'!$B:$B,$A283,'Таблиця 1'!$I:$I,"Mi-24",'Таблиця 1'!$J:$J,"UAR-80"))</f>
        <v/>
      </c>
      <c r="I283">
        <f>IF($A283="","",SUMIFS('Таблиця 1'!$K:$K,'Таблиця 1'!$B:$B,$A283,'Таблиця 1'!$I:$I,"Mi-8",'Таблиця 1'!$J:$J,"C-13")+SUMIFS('Таблиця 1'!$K:$K,'Таблиця 1'!$B:$B,$A283,'Таблиця 1'!$I:$I,"Mi-24",'Таблиця 1'!$J:$J,"C-13"))</f>
        <v/>
      </c>
      <c r="J283">
        <f>IF($A283="","",SUMIFS('Таблиця 1'!$K:$K,'Таблиця 1'!$B:$B,$A283,'Таблиця 1'!$I:$I,"Mi-8",'Таблиця 1'!$J:$J,"Hydra-70")+SUMIFS('Таблиця 1'!$K:$K,'Таблиця 1'!$B:$B,$A283,'Таблиця 1'!$I:$I,"Mi-24",'Таблиця 1'!$J:$J,"Hydra-70"))</f>
        <v/>
      </c>
      <c r="K283">
        <f>IF($A283="","",SUMIFS('Таблиця 1'!$K:$K,'Таблиця 1'!$B:$B,$A283,'Таблиця 1'!$I:$I,"Mi-8",'Таблиця 1'!$J:$J,"Thales-70")+SUMIFS('Таблиця 1'!$K:$K,'Таблиця 1'!$B:$B,$A283,'Таблиця 1'!$I:$I,"Mi-24",'Таблиця 1'!$J:$J,"Thales-70"))</f>
        <v/>
      </c>
      <c r="L283">
        <f>IF($A283="","",SUMIFS('Таблиця 1'!$K:$K,'Таблиця 1'!$B:$B,$A283,'Таблиця 1'!$I:$I,"Mi-8",'Таблиця 1'!$J:$J,"Thales-FZ")+SUMIFS('Таблиця 1'!$K:$K,'Таблиця 1'!$B:$B,$A283,'Таблиця 1'!$I:$I,"Mi-24",'Таблиця 1'!$J:$J,"Thales-FZ"))</f>
        <v/>
      </c>
      <c r="M283">
        <f>IF($A283="","",SUMIFS('Таблиця 1'!$K:$K,'Таблиця 1'!$B:$B,$A283,'Таблиця 1'!$I:$I,"Mi-8",'Таблиця 1'!$J:$J,"МК-40")+SUMIFS('Таблиця 1'!$K:$K,'Таблиця 1'!$B:$B,$A283,'Таблиця 1'!$I:$I,"Mi-24",'Таблиця 1'!$J:$J,"МК-40"))</f>
        <v/>
      </c>
      <c r="N283">
        <f>IF($A283="","",SUMIFS('Таблиця 1'!$K:$K,'Таблиця 1'!$B:$B,$A283,'Таблиця 1'!$I:$I,"Mi-8",'Таблиця 1'!$J:$J,"Zuni")+SUMIFS('Таблиця 1'!$K:$K,'Таблиця 1'!$B:$B,$A283,'Таблиця 1'!$I:$I,"Mi-24",'Таблиця 1'!$J:$J,"Zuni"))</f>
        <v/>
      </c>
      <c r="O283">
        <f>IF($A283="","",COUNTIFS('Таблиця 1'!$B:$B,$A283,'Таблиця 1'!$I:$I,"Mi-8",'Таблиця 1'!$L:$L,"Уражено")+COUNTIFS('Таблиця 1'!$B:$B,$A283,'Таблиця 1'!$I:$I,"Mi-24",'Таблиця 1'!$L:$L,"Уражено"))</f>
        <v/>
      </c>
      <c r="P283">
        <f>IF($A283="","",COUNTIFS('Таблиця 1'!$B:$B,$A283,'Таблиця 1'!$I:$I,"Mi-8",'Таблиця 1'!$L:$L,"НЕ уражено")+COUNTIFS('Таблиця 1'!$B:$B,$A283,'Таблиця 1'!$I:$I,"Mi-24",'Таблиця 1'!$L:$L,"НЕ уражено"))</f>
        <v/>
      </c>
    </row>
    <row r="284">
      <c r="A284" s="273">
        <f>IF(A283="","",IF(A283+1&gt;MAX('Таблиця 1'!$B:$B),"",A283+1))</f>
        <v/>
      </c>
      <c r="B284">
        <f>IF($A284="","",COUNTIFS('Таблиця 1'!$B:$B,$A284,'Таблиця 1'!$I:$I,"Mi-8")+COUNTIFS('Таблиця 1'!$B:$B,$A284,'Таблиця 1'!$I:$I,"Mi-24"))</f>
        <v/>
      </c>
      <c r="C284">
        <f>IF($A284="","",COUNTIFS('Таблиця 1'!$B:$B,$A284,'Таблиця 1'!$I:$I,"Mi-8"))</f>
        <v/>
      </c>
      <c r="D284">
        <f>IF($A284="","",COUNTIFS('Таблиця 1'!$B:$B,$A284,'Таблиця 1'!$I:$I,"Mi-24"))</f>
        <v/>
      </c>
      <c r="E284">
        <f>IF($A284="","",SUMIFS('Таблиця 1'!$K:$K,'Таблиця 1'!$B:$B,$A284,'Таблиця 1'!$I:$I,"Mi-8",'Таблиця 1'!$J:$J,"ARS-8")+SUMIFS('Таблиця 1'!$K:$K,'Таблиця 1'!$B:$B,$A284,'Таблиця 1'!$I:$I,"Mi-24",'Таблиця 1'!$J:$J,"ARS-8"))</f>
        <v/>
      </c>
      <c r="F284">
        <f>IF($A284="","",SUMIFS('Таблиця 1'!$K:$K,'Таблиця 1'!$B:$B,$A284,'Таблиця 1'!$I:$I,"Mi-8",'Таблиця 1'!$J:$J,"С-8 ком")+SUMIFS('Таблиця 1'!$K:$K,'Таблиця 1'!$B:$B,$A284,'Таблиця 1'!$I:$I,"Mi-24",'Таблиця 1'!$J:$J,"С-8 ком"))</f>
        <v/>
      </c>
      <c r="G284">
        <f>IF($A284="","",SUMIFS('Таблиця 1'!$K:$K,'Таблиця 1'!$B:$B,$A284,'Таблиця 1'!$I:$I,"Mi-8",'Таблиця 1'!$J:$J,"PC-80")+SUMIFS('Таблиця 1'!$K:$K,'Таблиця 1'!$B:$B,$A284,'Таблиця 1'!$I:$I,"Mi-24",'Таблиця 1'!$J:$J,"PC-80"))</f>
        <v/>
      </c>
      <c r="H284">
        <f>IF($A284="","",SUMIFS('Таблиця 1'!$K:$K,'Таблиця 1'!$B:$B,$A284,'Таблиця 1'!$I:$I,"Mi-8",'Таблиця 1'!$J:$J,"UAR-80")+SUMIFS('Таблиця 1'!$K:$K,'Таблиця 1'!$B:$B,$A284,'Таблиця 1'!$I:$I,"Mi-24",'Таблиця 1'!$J:$J,"UAR-80"))</f>
        <v/>
      </c>
      <c r="I284">
        <f>IF($A284="","",SUMIFS('Таблиця 1'!$K:$K,'Таблиця 1'!$B:$B,$A284,'Таблиця 1'!$I:$I,"Mi-8",'Таблиця 1'!$J:$J,"C-13")+SUMIFS('Таблиця 1'!$K:$K,'Таблиця 1'!$B:$B,$A284,'Таблиця 1'!$I:$I,"Mi-24",'Таблиця 1'!$J:$J,"C-13"))</f>
        <v/>
      </c>
      <c r="J284">
        <f>IF($A284="","",SUMIFS('Таблиця 1'!$K:$K,'Таблиця 1'!$B:$B,$A284,'Таблиця 1'!$I:$I,"Mi-8",'Таблиця 1'!$J:$J,"Hydra-70")+SUMIFS('Таблиця 1'!$K:$K,'Таблиця 1'!$B:$B,$A284,'Таблиця 1'!$I:$I,"Mi-24",'Таблиця 1'!$J:$J,"Hydra-70"))</f>
        <v/>
      </c>
      <c r="K284">
        <f>IF($A284="","",SUMIFS('Таблиця 1'!$K:$K,'Таблиця 1'!$B:$B,$A284,'Таблиця 1'!$I:$I,"Mi-8",'Таблиця 1'!$J:$J,"Thales-70")+SUMIFS('Таблиця 1'!$K:$K,'Таблиця 1'!$B:$B,$A284,'Таблиця 1'!$I:$I,"Mi-24",'Таблиця 1'!$J:$J,"Thales-70"))</f>
        <v/>
      </c>
      <c r="L284">
        <f>IF($A284="","",SUMIFS('Таблиця 1'!$K:$K,'Таблиця 1'!$B:$B,$A284,'Таблиця 1'!$I:$I,"Mi-8",'Таблиця 1'!$J:$J,"Thales-FZ")+SUMIFS('Таблиця 1'!$K:$K,'Таблиця 1'!$B:$B,$A284,'Таблиця 1'!$I:$I,"Mi-24",'Таблиця 1'!$J:$J,"Thales-FZ"))</f>
        <v/>
      </c>
      <c r="M284">
        <f>IF($A284="","",SUMIFS('Таблиця 1'!$K:$K,'Таблиця 1'!$B:$B,$A284,'Таблиця 1'!$I:$I,"Mi-8",'Таблиця 1'!$J:$J,"МК-40")+SUMIFS('Таблиця 1'!$K:$K,'Таблиця 1'!$B:$B,$A284,'Таблиця 1'!$I:$I,"Mi-24",'Таблиця 1'!$J:$J,"МК-40"))</f>
        <v/>
      </c>
      <c r="N284">
        <f>IF($A284="","",SUMIFS('Таблиця 1'!$K:$K,'Таблиця 1'!$B:$B,$A284,'Таблиця 1'!$I:$I,"Mi-8",'Таблиця 1'!$J:$J,"Zuni")+SUMIFS('Таблиця 1'!$K:$K,'Таблиця 1'!$B:$B,$A284,'Таблиця 1'!$I:$I,"Mi-24",'Таблиця 1'!$J:$J,"Zuni"))</f>
        <v/>
      </c>
      <c r="O284">
        <f>IF($A284="","",COUNTIFS('Таблиця 1'!$B:$B,$A284,'Таблиця 1'!$I:$I,"Mi-8",'Таблиця 1'!$L:$L,"Уражено")+COUNTIFS('Таблиця 1'!$B:$B,$A284,'Таблиця 1'!$I:$I,"Mi-24",'Таблиця 1'!$L:$L,"Уражено"))</f>
        <v/>
      </c>
      <c r="P284">
        <f>IF($A284="","",COUNTIFS('Таблиця 1'!$B:$B,$A284,'Таблиця 1'!$I:$I,"Mi-8",'Таблиця 1'!$L:$L,"НЕ уражено")+COUNTIFS('Таблиця 1'!$B:$B,$A284,'Таблиця 1'!$I:$I,"Mi-24",'Таблиця 1'!$L:$L,"НЕ уражено"))</f>
        <v/>
      </c>
    </row>
    <row r="285">
      <c r="A285" s="273">
        <f>IF(A284="","",IF(A284+1&gt;MAX('Таблиця 1'!$B:$B),"",A284+1))</f>
        <v/>
      </c>
      <c r="B285">
        <f>IF($A285="","",COUNTIFS('Таблиця 1'!$B:$B,$A285,'Таблиця 1'!$I:$I,"Mi-8")+COUNTIFS('Таблиця 1'!$B:$B,$A285,'Таблиця 1'!$I:$I,"Mi-24"))</f>
        <v/>
      </c>
      <c r="C285">
        <f>IF($A285="","",COUNTIFS('Таблиця 1'!$B:$B,$A285,'Таблиця 1'!$I:$I,"Mi-8"))</f>
        <v/>
      </c>
      <c r="D285">
        <f>IF($A285="","",COUNTIFS('Таблиця 1'!$B:$B,$A285,'Таблиця 1'!$I:$I,"Mi-24"))</f>
        <v/>
      </c>
      <c r="E285">
        <f>IF($A285="","",SUMIFS('Таблиця 1'!$K:$K,'Таблиця 1'!$B:$B,$A285,'Таблиця 1'!$I:$I,"Mi-8",'Таблиця 1'!$J:$J,"ARS-8")+SUMIFS('Таблиця 1'!$K:$K,'Таблиця 1'!$B:$B,$A285,'Таблиця 1'!$I:$I,"Mi-24",'Таблиця 1'!$J:$J,"ARS-8"))</f>
        <v/>
      </c>
      <c r="F285">
        <f>IF($A285="","",SUMIFS('Таблиця 1'!$K:$K,'Таблиця 1'!$B:$B,$A285,'Таблиця 1'!$I:$I,"Mi-8",'Таблиця 1'!$J:$J,"С-8 ком")+SUMIFS('Таблиця 1'!$K:$K,'Таблиця 1'!$B:$B,$A285,'Таблиця 1'!$I:$I,"Mi-24",'Таблиця 1'!$J:$J,"С-8 ком"))</f>
        <v/>
      </c>
      <c r="G285">
        <f>IF($A285="","",SUMIFS('Таблиця 1'!$K:$K,'Таблиця 1'!$B:$B,$A285,'Таблиця 1'!$I:$I,"Mi-8",'Таблиця 1'!$J:$J,"PC-80")+SUMIFS('Таблиця 1'!$K:$K,'Таблиця 1'!$B:$B,$A285,'Таблиця 1'!$I:$I,"Mi-24",'Таблиця 1'!$J:$J,"PC-80"))</f>
        <v/>
      </c>
      <c r="H285">
        <f>IF($A285="","",SUMIFS('Таблиця 1'!$K:$K,'Таблиця 1'!$B:$B,$A285,'Таблиця 1'!$I:$I,"Mi-8",'Таблиця 1'!$J:$J,"UAR-80")+SUMIFS('Таблиця 1'!$K:$K,'Таблиця 1'!$B:$B,$A285,'Таблиця 1'!$I:$I,"Mi-24",'Таблиця 1'!$J:$J,"UAR-80"))</f>
        <v/>
      </c>
      <c r="I285">
        <f>IF($A285="","",SUMIFS('Таблиця 1'!$K:$K,'Таблиця 1'!$B:$B,$A285,'Таблиця 1'!$I:$I,"Mi-8",'Таблиця 1'!$J:$J,"C-13")+SUMIFS('Таблиця 1'!$K:$K,'Таблиця 1'!$B:$B,$A285,'Таблиця 1'!$I:$I,"Mi-24",'Таблиця 1'!$J:$J,"C-13"))</f>
        <v/>
      </c>
      <c r="J285">
        <f>IF($A285="","",SUMIFS('Таблиця 1'!$K:$K,'Таблиця 1'!$B:$B,$A285,'Таблиця 1'!$I:$I,"Mi-8",'Таблиця 1'!$J:$J,"Hydra-70")+SUMIFS('Таблиця 1'!$K:$K,'Таблиця 1'!$B:$B,$A285,'Таблиця 1'!$I:$I,"Mi-24",'Таблиця 1'!$J:$J,"Hydra-70"))</f>
        <v/>
      </c>
      <c r="K285">
        <f>IF($A285="","",SUMIFS('Таблиця 1'!$K:$K,'Таблиця 1'!$B:$B,$A285,'Таблиця 1'!$I:$I,"Mi-8",'Таблиця 1'!$J:$J,"Thales-70")+SUMIFS('Таблиця 1'!$K:$K,'Таблиця 1'!$B:$B,$A285,'Таблиця 1'!$I:$I,"Mi-24",'Таблиця 1'!$J:$J,"Thales-70"))</f>
        <v/>
      </c>
      <c r="L285">
        <f>IF($A285="","",SUMIFS('Таблиця 1'!$K:$K,'Таблиця 1'!$B:$B,$A285,'Таблиця 1'!$I:$I,"Mi-8",'Таблиця 1'!$J:$J,"Thales-FZ")+SUMIFS('Таблиця 1'!$K:$K,'Таблиця 1'!$B:$B,$A285,'Таблиця 1'!$I:$I,"Mi-24",'Таблиця 1'!$J:$J,"Thales-FZ"))</f>
        <v/>
      </c>
      <c r="M285">
        <f>IF($A285="","",SUMIFS('Таблиця 1'!$K:$K,'Таблиця 1'!$B:$B,$A285,'Таблиця 1'!$I:$I,"Mi-8",'Таблиця 1'!$J:$J,"МК-40")+SUMIFS('Таблиця 1'!$K:$K,'Таблиця 1'!$B:$B,$A285,'Таблиця 1'!$I:$I,"Mi-24",'Таблиця 1'!$J:$J,"МК-40"))</f>
        <v/>
      </c>
      <c r="N285">
        <f>IF($A285="","",SUMIFS('Таблиця 1'!$K:$K,'Таблиця 1'!$B:$B,$A285,'Таблиця 1'!$I:$I,"Mi-8",'Таблиця 1'!$J:$J,"Zuni")+SUMIFS('Таблиця 1'!$K:$K,'Таблиця 1'!$B:$B,$A285,'Таблиця 1'!$I:$I,"Mi-24",'Таблиця 1'!$J:$J,"Zuni"))</f>
        <v/>
      </c>
      <c r="O285">
        <f>IF($A285="","",COUNTIFS('Таблиця 1'!$B:$B,$A285,'Таблиця 1'!$I:$I,"Mi-8",'Таблиця 1'!$L:$L,"Уражено")+COUNTIFS('Таблиця 1'!$B:$B,$A285,'Таблиця 1'!$I:$I,"Mi-24",'Таблиця 1'!$L:$L,"Уражено"))</f>
        <v/>
      </c>
      <c r="P285">
        <f>IF($A285="","",COUNTIFS('Таблиця 1'!$B:$B,$A285,'Таблиця 1'!$I:$I,"Mi-8",'Таблиця 1'!$L:$L,"НЕ уражено")+COUNTIFS('Таблиця 1'!$B:$B,$A285,'Таблиця 1'!$I:$I,"Mi-24",'Таблиця 1'!$L:$L,"НЕ уражено"))</f>
        <v/>
      </c>
    </row>
    <row r="286">
      <c r="A286" s="273">
        <f>IF(A285="","",IF(A285+1&gt;MAX('Таблиця 1'!$B:$B),"",A285+1))</f>
        <v/>
      </c>
      <c r="B286">
        <f>IF($A286="","",COUNTIFS('Таблиця 1'!$B:$B,$A286,'Таблиця 1'!$I:$I,"Mi-8")+COUNTIFS('Таблиця 1'!$B:$B,$A286,'Таблиця 1'!$I:$I,"Mi-24"))</f>
        <v/>
      </c>
      <c r="C286">
        <f>IF($A286="","",COUNTIFS('Таблиця 1'!$B:$B,$A286,'Таблиця 1'!$I:$I,"Mi-8"))</f>
        <v/>
      </c>
      <c r="D286">
        <f>IF($A286="","",COUNTIFS('Таблиця 1'!$B:$B,$A286,'Таблиця 1'!$I:$I,"Mi-24"))</f>
        <v/>
      </c>
      <c r="E286">
        <f>IF($A286="","",SUMIFS('Таблиця 1'!$K:$K,'Таблиця 1'!$B:$B,$A286,'Таблиця 1'!$I:$I,"Mi-8",'Таблиця 1'!$J:$J,"ARS-8")+SUMIFS('Таблиця 1'!$K:$K,'Таблиця 1'!$B:$B,$A286,'Таблиця 1'!$I:$I,"Mi-24",'Таблиця 1'!$J:$J,"ARS-8"))</f>
        <v/>
      </c>
      <c r="F286">
        <f>IF($A286="","",SUMIFS('Таблиця 1'!$K:$K,'Таблиця 1'!$B:$B,$A286,'Таблиця 1'!$I:$I,"Mi-8",'Таблиця 1'!$J:$J,"С-8 ком")+SUMIFS('Таблиця 1'!$K:$K,'Таблиця 1'!$B:$B,$A286,'Таблиця 1'!$I:$I,"Mi-24",'Таблиця 1'!$J:$J,"С-8 ком"))</f>
        <v/>
      </c>
      <c r="G286">
        <f>IF($A286="","",SUMIFS('Таблиця 1'!$K:$K,'Таблиця 1'!$B:$B,$A286,'Таблиця 1'!$I:$I,"Mi-8",'Таблиця 1'!$J:$J,"PC-80")+SUMIFS('Таблиця 1'!$K:$K,'Таблиця 1'!$B:$B,$A286,'Таблиця 1'!$I:$I,"Mi-24",'Таблиця 1'!$J:$J,"PC-80"))</f>
        <v/>
      </c>
      <c r="H286">
        <f>IF($A286="","",SUMIFS('Таблиця 1'!$K:$K,'Таблиця 1'!$B:$B,$A286,'Таблиця 1'!$I:$I,"Mi-8",'Таблиця 1'!$J:$J,"UAR-80")+SUMIFS('Таблиця 1'!$K:$K,'Таблиця 1'!$B:$B,$A286,'Таблиця 1'!$I:$I,"Mi-24",'Таблиця 1'!$J:$J,"UAR-80"))</f>
        <v/>
      </c>
      <c r="I286">
        <f>IF($A286="","",SUMIFS('Таблиця 1'!$K:$K,'Таблиця 1'!$B:$B,$A286,'Таблиця 1'!$I:$I,"Mi-8",'Таблиця 1'!$J:$J,"C-13")+SUMIFS('Таблиця 1'!$K:$K,'Таблиця 1'!$B:$B,$A286,'Таблиця 1'!$I:$I,"Mi-24",'Таблиця 1'!$J:$J,"C-13"))</f>
        <v/>
      </c>
      <c r="J286">
        <f>IF($A286="","",SUMIFS('Таблиця 1'!$K:$K,'Таблиця 1'!$B:$B,$A286,'Таблиця 1'!$I:$I,"Mi-8",'Таблиця 1'!$J:$J,"Hydra-70")+SUMIFS('Таблиця 1'!$K:$K,'Таблиця 1'!$B:$B,$A286,'Таблиця 1'!$I:$I,"Mi-24",'Таблиця 1'!$J:$J,"Hydra-70"))</f>
        <v/>
      </c>
      <c r="K286">
        <f>IF($A286="","",SUMIFS('Таблиця 1'!$K:$K,'Таблиця 1'!$B:$B,$A286,'Таблиця 1'!$I:$I,"Mi-8",'Таблиця 1'!$J:$J,"Thales-70")+SUMIFS('Таблиця 1'!$K:$K,'Таблиця 1'!$B:$B,$A286,'Таблиця 1'!$I:$I,"Mi-24",'Таблиця 1'!$J:$J,"Thales-70"))</f>
        <v/>
      </c>
      <c r="L286">
        <f>IF($A286="","",SUMIFS('Таблиця 1'!$K:$K,'Таблиця 1'!$B:$B,$A286,'Таблиця 1'!$I:$I,"Mi-8",'Таблиця 1'!$J:$J,"Thales-FZ")+SUMIFS('Таблиця 1'!$K:$K,'Таблиця 1'!$B:$B,$A286,'Таблиця 1'!$I:$I,"Mi-24",'Таблиця 1'!$J:$J,"Thales-FZ"))</f>
        <v/>
      </c>
      <c r="M286">
        <f>IF($A286="","",SUMIFS('Таблиця 1'!$K:$K,'Таблиця 1'!$B:$B,$A286,'Таблиця 1'!$I:$I,"Mi-8",'Таблиця 1'!$J:$J,"МК-40")+SUMIFS('Таблиця 1'!$K:$K,'Таблиця 1'!$B:$B,$A286,'Таблиця 1'!$I:$I,"Mi-24",'Таблиця 1'!$J:$J,"МК-40"))</f>
        <v/>
      </c>
      <c r="N286">
        <f>IF($A286="","",SUMIFS('Таблиця 1'!$K:$K,'Таблиця 1'!$B:$B,$A286,'Таблиця 1'!$I:$I,"Mi-8",'Таблиця 1'!$J:$J,"Zuni")+SUMIFS('Таблиця 1'!$K:$K,'Таблиця 1'!$B:$B,$A286,'Таблиця 1'!$I:$I,"Mi-24",'Таблиця 1'!$J:$J,"Zuni"))</f>
        <v/>
      </c>
      <c r="O286">
        <f>IF($A286="","",COUNTIFS('Таблиця 1'!$B:$B,$A286,'Таблиця 1'!$I:$I,"Mi-8",'Таблиця 1'!$L:$L,"Уражено")+COUNTIFS('Таблиця 1'!$B:$B,$A286,'Таблиця 1'!$I:$I,"Mi-24",'Таблиця 1'!$L:$L,"Уражено"))</f>
        <v/>
      </c>
      <c r="P286">
        <f>IF($A286="","",COUNTIFS('Таблиця 1'!$B:$B,$A286,'Таблиця 1'!$I:$I,"Mi-8",'Таблиця 1'!$L:$L,"НЕ уражено")+COUNTIFS('Таблиця 1'!$B:$B,$A286,'Таблиця 1'!$I:$I,"Mi-24",'Таблиця 1'!$L:$L,"НЕ уражено"))</f>
        <v/>
      </c>
    </row>
    <row r="287">
      <c r="A287" s="273">
        <f>IF(A286="","",IF(A286+1&gt;MAX('Таблиця 1'!$B:$B),"",A286+1))</f>
        <v/>
      </c>
      <c r="B287">
        <f>IF($A287="","",COUNTIFS('Таблиця 1'!$B:$B,$A287,'Таблиця 1'!$I:$I,"Mi-8")+COUNTIFS('Таблиця 1'!$B:$B,$A287,'Таблиця 1'!$I:$I,"Mi-24"))</f>
        <v/>
      </c>
      <c r="C287">
        <f>IF($A287="","",COUNTIFS('Таблиця 1'!$B:$B,$A287,'Таблиця 1'!$I:$I,"Mi-8"))</f>
        <v/>
      </c>
      <c r="D287">
        <f>IF($A287="","",COUNTIFS('Таблиця 1'!$B:$B,$A287,'Таблиця 1'!$I:$I,"Mi-24"))</f>
        <v/>
      </c>
      <c r="E287">
        <f>IF($A287="","",SUMIFS('Таблиця 1'!$K:$K,'Таблиця 1'!$B:$B,$A287,'Таблиця 1'!$I:$I,"Mi-8",'Таблиця 1'!$J:$J,"ARS-8")+SUMIFS('Таблиця 1'!$K:$K,'Таблиця 1'!$B:$B,$A287,'Таблиця 1'!$I:$I,"Mi-24",'Таблиця 1'!$J:$J,"ARS-8"))</f>
        <v/>
      </c>
      <c r="F287">
        <f>IF($A287="","",SUMIFS('Таблиця 1'!$K:$K,'Таблиця 1'!$B:$B,$A287,'Таблиця 1'!$I:$I,"Mi-8",'Таблиця 1'!$J:$J,"С-8 ком")+SUMIFS('Таблиця 1'!$K:$K,'Таблиця 1'!$B:$B,$A287,'Таблиця 1'!$I:$I,"Mi-24",'Таблиця 1'!$J:$J,"С-8 ком"))</f>
        <v/>
      </c>
      <c r="G287">
        <f>IF($A287="","",SUMIFS('Таблиця 1'!$K:$K,'Таблиця 1'!$B:$B,$A287,'Таблиця 1'!$I:$I,"Mi-8",'Таблиця 1'!$J:$J,"PC-80")+SUMIFS('Таблиця 1'!$K:$K,'Таблиця 1'!$B:$B,$A287,'Таблиця 1'!$I:$I,"Mi-24",'Таблиця 1'!$J:$J,"PC-80"))</f>
        <v/>
      </c>
      <c r="H287">
        <f>IF($A287="","",SUMIFS('Таблиця 1'!$K:$K,'Таблиця 1'!$B:$B,$A287,'Таблиця 1'!$I:$I,"Mi-8",'Таблиця 1'!$J:$J,"UAR-80")+SUMIFS('Таблиця 1'!$K:$K,'Таблиця 1'!$B:$B,$A287,'Таблиця 1'!$I:$I,"Mi-24",'Таблиця 1'!$J:$J,"UAR-80"))</f>
        <v/>
      </c>
      <c r="I287">
        <f>IF($A287="","",SUMIFS('Таблиця 1'!$K:$K,'Таблиця 1'!$B:$B,$A287,'Таблиця 1'!$I:$I,"Mi-8",'Таблиця 1'!$J:$J,"C-13")+SUMIFS('Таблиця 1'!$K:$K,'Таблиця 1'!$B:$B,$A287,'Таблиця 1'!$I:$I,"Mi-24",'Таблиця 1'!$J:$J,"C-13"))</f>
        <v/>
      </c>
      <c r="J287">
        <f>IF($A287="","",SUMIFS('Таблиця 1'!$K:$K,'Таблиця 1'!$B:$B,$A287,'Таблиця 1'!$I:$I,"Mi-8",'Таблиця 1'!$J:$J,"Hydra-70")+SUMIFS('Таблиця 1'!$K:$K,'Таблиця 1'!$B:$B,$A287,'Таблиця 1'!$I:$I,"Mi-24",'Таблиця 1'!$J:$J,"Hydra-70"))</f>
        <v/>
      </c>
      <c r="K287">
        <f>IF($A287="","",SUMIFS('Таблиця 1'!$K:$K,'Таблиця 1'!$B:$B,$A287,'Таблиця 1'!$I:$I,"Mi-8",'Таблиця 1'!$J:$J,"Thales-70")+SUMIFS('Таблиця 1'!$K:$K,'Таблиця 1'!$B:$B,$A287,'Таблиця 1'!$I:$I,"Mi-24",'Таблиця 1'!$J:$J,"Thales-70"))</f>
        <v/>
      </c>
      <c r="L287">
        <f>IF($A287="","",SUMIFS('Таблиця 1'!$K:$K,'Таблиця 1'!$B:$B,$A287,'Таблиця 1'!$I:$I,"Mi-8",'Таблиця 1'!$J:$J,"Thales-FZ")+SUMIFS('Таблиця 1'!$K:$K,'Таблиця 1'!$B:$B,$A287,'Таблиця 1'!$I:$I,"Mi-24",'Таблиця 1'!$J:$J,"Thales-FZ"))</f>
        <v/>
      </c>
      <c r="M287">
        <f>IF($A287="","",SUMIFS('Таблиця 1'!$K:$K,'Таблиця 1'!$B:$B,$A287,'Таблиця 1'!$I:$I,"Mi-8",'Таблиця 1'!$J:$J,"МК-40")+SUMIFS('Таблиця 1'!$K:$K,'Таблиця 1'!$B:$B,$A287,'Таблиця 1'!$I:$I,"Mi-24",'Таблиця 1'!$J:$J,"МК-40"))</f>
        <v/>
      </c>
      <c r="N287">
        <f>IF($A287="","",SUMIFS('Таблиця 1'!$K:$K,'Таблиця 1'!$B:$B,$A287,'Таблиця 1'!$I:$I,"Mi-8",'Таблиця 1'!$J:$J,"Zuni")+SUMIFS('Таблиця 1'!$K:$K,'Таблиця 1'!$B:$B,$A287,'Таблиця 1'!$I:$I,"Mi-24",'Таблиця 1'!$J:$J,"Zuni"))</f>
        <v/>
      </c>
      <c r="O287">
        <f>IF($A287="","",COUNTIFS('Таблиця 1'!$B:$B,$A287,'Таблиця 1'!$I:$I,"Mi-8",'Таблиця 1'!$L:$L,"Уражено")+COUNTIFS('Таблиця 1'!$B:$B,$A287,'Таблиця 1'!$I:$I,"Mi-24",'Таблиця 1'!$L:$L,"Уражено"))</f>
        <v/>
      </c>
      <c r="P287">
        <f>IF($A287="","",COUNTIFS('Таблиця 1'!$B:$B,$A287,'Таблиця 1'!$I:$I,"Mi-8",'Таблиця 1'!$L:$L,"НЕ уражено")+COUNTIFS('Таблиця 1'!$B:$B,$A287,'Таблиця 1'!$I:$I,"Mi-24",'Таблиця 1'!$L:$L,"НЕ уражено"))</f>
        <v/>
      </c>
    </row>
    <row r="288">
      <c r="A288" s="273">
        <f>IF(A287="","",IF(A287+1&gt;MAX('Таблиця 1'!$B:$B),"",A287+1))</f>
        <v/>
      </c>
      <c r="B288">
        <f>IF($A288="","",COUNTIFS('Таблиця 1'!$B:$B,$A288,'Таблиця 1'!$I:$I,"Mi-8")+COUNTIFS('Таблиця 1'!$B:$B,$A288,'Таблиця 1'!$I:$I,"Mi-24"))</f>
        <v/>
      </c>
      <c r="C288">
        <f>IF($A288="","",COUNTIFS('Таблиця 1'!$B:$B,$A288,'Таблиця 1'!$I:$I,"Mi-8"))</f>
        <v/>
      </c>
      <c r="D288">
        <f>IF($A288="","",COUNTIFS('Таблиця 1'!$B:$B,$A288,'Таблиця 1'!$I:$I,"Mi-24"))</f>
        <v/>
      </c>
      <c r="E288">
        <f>IF($A288="","",SUMIFS('Таблиця 1'!$K:$K,'Таблиця 1'!$B:$B,$A288,'Таблиця 1'!$I:$I,"Mi-8",'Таблиця 1'!$J:$J,"ARS-8")+SUMIFS('Таблиця 1'!$K:$K,'Таблиця 1'!$B:$B,$A288,'Таблиця 1'!$I:$I,"Mi-24",'Таблиця 1'!$J:$J,"ARS-8"))</f>
        <v/>
      </c>
      <c r="F288">
        <f>IF($A288="","",SUMIFS('Таблиця 1'!$K:$K,'Таблиця 1'!$B:$B,$A288,'Таблиця 1'!$I:$I,"Mi-8",'Таблиця 1'!$J:$J,"С-8 ком")+SUMIFS('Таблиця 1'!$K:$K,'Таблиця 1'!$B:$B,$A288,'Таблиця 1'!$I:$I,"Mi-24",'Таблиця 1'!$J:$J,"С-8 ком"))</f>
        <v/>
      </c>
      <c r="G288">
        <f>IF($A288="","",SUMIFS('Таблиця 1'!$K:$K,'Таблиця 1'!$B:$B,$A288,'Таблиця 1'!$I:$I,"Mi-8",'Таблиця 1'!$J:$J,"PC-80")+SUMIFS('Таблиця 1'!$K:$K,'Таблиця 1'!$B:$B,$A288,'Таблиця 1'!$I:$I,"Mi-24",'Таблиця 1'!$J:$J,"PC-80"))</f>
        <v/>
      </c>
      <c r="H288">
        <f>IF($A288="","",SUMIFS('Таблиця 1'!$K:$K,'Таблиця 1'!$B:$B,$A288,'Таблиця 1'!$I:$I,"Mi-8",'Таблиця 1'!$J:$J,"UAR-80")+SUMIFS('Таблиця 1'!$K:$K,'Таблиця 1'!$B:$B,$A288,'Таблиця 1'!$I:$I,"Mi-24",'Таблиця 1'!$J:$J,"UAR-80"))</f>
        <v/>
      </c>
      <c r="I288">
        <f>IF($A288="","",SUMIFS('Таблиця 1'!$K:$K,'Таблиця 1'!$B:$B,$A288,'Таблиця 1'!$I:$I,"Mi-8",'Таблиця 1'!$J:$J,"C-13")+SUMIFS('Таблиця 1'!$K:$K,'Таблиця 1'!$B:$B,$A288,'Таблиця 1'!$I:$I,"Mi-24",'Таблиця 1'!$J:$J,"C-13"))</f>
        <v/>
      </c>
      <c r="J288">
        <f>IF($A288="","",SUMIFS('Таблиця 1'!$K:$K,'Таблиця 1'!$B:$B,$A288,'Таблиця 1'!$I:$I,"Mi-8",'Таблиця 1'!$J:$J,"Hydra-70")+SUMIFS('Таблиця 1'!$K:$K,'Таблиця 1'!$B:$B,$A288,'Таблиця 1'!$I:$I,"Mi-24",'Таблиця 1'!$J:$J,"Hydra-70"))</f>
        <v/>
      </c>
      <c r="K288">
        <f>IF($A288="","",SUMIFS('Таблиця 1'!$K:$K,'Таблиця 1'!$B:$B,$A288,'Таблиця 1'!$I:$I,"Mi-8",'Таблиця 1'!$J:$J,"Thales-70")+SUMIFS('Таблиця 1'!$K:$K,'Таблиця 1'!$B:$B,$A288,'Таблиця 1'!$I:$I,"Mi-24",'Таблиця 1'!$J:$J,"Thales-70"))</f>
        <v/>
      </c>
      <c r="L288">
        <f>IF($A288="","",SUMIFS('Таблиця 1'!$K:$K,'Таблиця 1'!$B:$B,$A288,'Таблиця 1'!$I:$I,"Mi-8",'Таблиця 1'!$J:$J,"Thales-FZ")+SUMIFS('Таблиця 1'!$K:$K,'Таблиця 1'!$B:$B,$A288,'Таблиця 1'!$I:$I,"Mi-24",'Таблиця 1'!$J:$J,"Thales-FZ"))</f>
        <v/>
      </c>
      <c r="M288">
        <f>IF($A288="","",SUMIFS('Таблиця 1'!$K:$K,'Таблиця 1'!$B:$B,$A288,'Таблиця 1'!$I:$I,"Mi-8",'Таблиця 1'!$J:$J,"МК-40")+SUMIFS('Таблиця 1'!$K:$K,'Таблиця 1'!$B:$B,$A288,'Таблиця 1'!$I:$I,"Mi-24",'Таблиця 1'!$J:$J,"МК-40"))</f>
        <v/>
      </c>
      <c r="N288">
        <f>IF($A288="","",SUMIFS('Таблиця 1'!$K:$K,'Таблиця 1'!$B:$B,$A288,'Таблиця 1'!$I:$I,"Mi-8",'Таблиця 1'!$J:$J,"Zuni")+SUMIFS('Таблиця 1'!$K:$K,'Таблиця 1'!$B:$B,$A288,'Таблиця 1'!$I:$I,"Mi-24",'Таблиця 1'!$J:$J,"Zuni"))</f>
        <v/>
      </c>
      <c r="O288">
        <f>IF($A288="","",COUNTIFS('Таблиця 1'!$B:$B,$A288,'Таблиця 1'!$I:$I,"Mi-8",'Таблиця 1'!$L:$L,"Уражено")+COUNTIFS('Таблиця 1'!$B:$B,$A288,'Таблиця 1'!$I:$I,"Mi-24",'Таблиця 1'!$L:$L,"Уражено"))</f>
        <v/>
      </c>
      <c r="P288">
        <f>IF($A288="","",COUNTIFS('Таблиця 1'!$B:$B,$A288,'Таблиця 1'!$I:$I,"Mi-8",'Таблиця 1'!$L:$L,"НЕ уражено")+COUNTIFS('Таблиця 1'!$B:$B,$A288,'Таблиця 1'!$I:$I,"Mi-24",'Таблиця 1'!$L:$L,"НЕ уражено"))</f>
        <v/>
      </c>
    </row>
    <row r="289">
      <c r="A289" s="273">
        <f>IF(A288="","",IF(A288+1&gt;MAX('Таблиця 1'!$B:$B),"",A288+1))</f>
        <v/>
      </c>
      <c r="B289">
        <f>IF($A289="","",COUNTIFS('Таблиця 1'!$B:$B,$A289,'Таблиця 1'!$I:$I,"Mi-8")+COUNTIFS('Таблиця 1'!$B:$B,$A289,'Таблиця 1'!$I:$I,"Mi-24"))</f>
        <v/>
      </c>
      <c r="C289">
        <f>IF($A289="","",COUNTIFS('Таблиця 1'!$B:$B,$A289,'Таблиця 1'!$I:$I,"Mi-8"))</f>
        <v/>
      </c>
      <c r="D289">
        <f>IF($A289="","",COUNTIFS('Таблиця 1'!$B:$B,$A289,'Таблиця 1'!$I:$I,"Mi-24"))</f>
        <v/>
      </c>
      <c r="E289">
        <f>IF($A289="","",SUMIFS('Таблиця 1'!$K:$K,'Таблиця 1'!$B:$B,$A289,'Таблиця 1'!$I:$I,"Mi-8",'Таблиця 1'!$J:$J,"ARS-8")+SUMIFS('Таблиця 1'!$K:$K,'Таблиця 1'!$B:$B,$A289,'Таблиця 1'!$I:$I,"Mi-24",'Таблиця 1'!$J:$J,"ARS-8"))</f>
        <v/>
      </c>
      <c r="F289">
        <f>IF($A289="","",SUMIFS('Таблиця 1'!$K:$K,'Таблиця 1'!$B:$B,$A289,'Таблиця 1'!$I:$I,"Mi-8",'Таблиця 1'!$J:$J,"С-8 ком")+SUMIFS('Таблиця 1'!$K:$K,'Таблиця 1'!$B:$B,$A289,'Таблиця 1'!$I:$I,"Mi-24",'Таблиця 1'!$J:$J,"С-8 ком"))</f>
        <v/>
      </c>
      <c r="G289">
        <f>IF($A289="","",SUMIFS('Таблиця 1'!$K:$K,'Таблиця 1'!$B:$B,$A289,'Таблиця 1'!$I:$I,"Mi-8",'Таблиця 1'!$J:$J,"PC-80")+SUMIFS('Таблиця 1'!$K:$K,'Таблиця 1'!$B:$B,$A289,'Таблиця 1'!$I:$I,"Mi-24",'Таблиця 1'!$J:$J,"PC-80"))</f>
        <v/>
      </c>
      <c r="H289">
        <f>IF($A289="","",SUMIFS('Таблиця 1'!$K:$K,'Таблиця 1'!$B:$B,$A289,'Таблиця 1'!$I:$I,"Mi-8",'Таблиця 1'!$J:$J,"UAR-80")+SUMIFS('Таблиця 1'!$K:$K,'Таблиця 1'!$B:$B,$A289,'Таблиця 1'!$I:$I,"Mi-24",'Таблиця 1'!$J:$J,"UAR-80"))</f>
        <v/>
      </c>
      <c r="I289">
        <f>IF($A289="","",SUMIFS('Таблиця 1'!$K:$K,'Таблиця 1'!$B:$B,$A289,'Таблиця 1'!$I:$I,"Mi-8",'Таблиця 1'!$J:$J,"C-13")+SUMIFS('Таблиця 1'!$K:$K,'Таблиця 1'!$B:$B,$A289,'Таблиця 1'!$I:$I,"Mi-24",'Таблиця 1'!$J:$J,"C-13"))</f>
        <v/>
      </c>
      <c r="J289">
        <f>IF($A289="","",SUMIFS('Таблиця 1'!$K:$K,'Таблиця 1'!$B:$B,$A289,'Таблиця 1'!$I:$I,"Mi-8",'Таблиця 1'!$J:$J,"Hydra-70")+SUMIFS('Таблиця 1'!$K:$K,'Таблиця 1'!$B:$B,$A289,'Таблиця 1'!$I:$I,"Mi-24",'Таблиця 1'!$J:$J,"Hydra-70"))</f>
        <v/>
      </c>
      <c r="K289">
        <f>IF($A289="","",SUMIFS('Таблиця 1'!$K:$K,'Таблиця 1'!$B:$B,$A289,'Таблиця 1'!$I:$I,"Mi-8",'Таблиця 1'!$J:$J,"Thales-70")+SUMIFS('Таблиця 1'!$K:$K,'Таблиця 1'!$B:$B,$A289,'Таблиця 1'!$I:$I,"Mi-24",'Таблиця 1'!$J:$J,"Thales-70"))</f>
        <v/>
      </c>
      <c r="L289">
        <f>IF($A289="","",SUMIFS('Таблиця 1'!$K:$K,'Таблиця 1'!$B:$B,$A289,'Таблиця 1'!$I:$I,"Mi-8",'Таблиця 1'!$J:$J,"Thales-FZ")+SUMIFS('Таблиця 1'!$K:$K,'Таблиця 1'!$B:$B,$A289,'Таблиця 1'!$I:$I,"Mi-24",'Таблиця 1'!$J:$J,"Thales-FZ"))</f>
        <v/>
      </c>
      <c r="M289">
        <f>IF($A289="","",SUMIFS('Таблиця 1'!$K:$K,'Таблиця 1'!$B:$B,$A289,'Таблиця 1'!$I:$I,"Mi-8",'Таблиця 1'!$J:$J,"МК-40")+SUMIFS('Таблиця 1'!$K:$K,'Таблиця 1'!$B:$B,$A289,'Таблиця 1'!$I:$I,"Mi-24",'Таблиця 1'!$J:$J,"МК-40"))</f>
        <v/>
      </c>
      <c r="N289">
        <f>IF($A289="","",SUMIFS('Таблиця 1'!$K:$K,'Таблиця 1'!$B:$B,$A289,'Таблиця 1'!$I:$I,"Mi-8",'Таблиця 1'!$J:$J,"Zuni")+SUMIFS('Таблиця 1'!$K:$K,'Таблиця 1'!$B:$B,$A289,'Таблиця 1'!$I:$I,"Mi-24",'Таблиця 1'!$J:$J,"Zuni"))</f>
        <v/>
      </c>
      <c r="O289">
        <f>IF($A289="","",COUNTIFS('Таблиця 1'!$B:$B,$A289,'Таблиця 1'!$I:$I,"Mi-8",'Таблиця 1'!$L:$L,"Уражено")+COUNTIFS('Таблиця 1'!$B:$B,$A289,'Таблиця 1'!$I:$I,"Mi-24",'Таблиця 1'!$L:$L,"Уражено"))</f>
        <v/>
      </c>
      <c r="P289">
        <f>IF($A289="","",COUNTIFS('Таблиця 1'!$B:$B,$A289,'Таблиця 1'!$I:$I,"Mi-8",'Таблиця 1'!$L:$L,"НЕ уражено")+COUNTIFS('Таблиця 1'!$B:$B,$A289,'Таблиця 1'!$I:$I,"Mi-24",'Таблиця 1'!$L:$L,"НЕ уражено"))</f>
        <v/>
      </c>
    </row>
    <row r="290">
      <c r="A290" s="273">
        <f>IF(A289="","",IF(A289+1&gt;MAX('Таблиця 1'!$B:$B),"",A289+1))</f>
        <v/>
      </c>
      <c r="B290">
        <f>IF($A290="","",COUNTIFS('Таблиця 1'!$B:$B,$A290,'Таблиця 1'!$I:$I,"Mi-8")+COUNTIFS('Таблиця 1'!$B:$B,$A290,'Таблиця 1'!$I:$I,"Mi-24"))</f>
        <v/>
      </c>
      <c r="C290">
        <f>IF($A290="","",COUNTIFS('Таблиця 1'!$B:$B,$A290,'Таблиця 1'!$I:$I,"Mi-8"))</f>
        <v/>
      </c>
      <c r="D290">
        <f>IF($A290="","",COUNTIFS('Таблиця 1'!$B:$B,$A290,'Таблиця 1'!$I:$I,"Mi-24"))</f>
        <v/>
      </c>
      <c r="E290">
        <f>IF($A290="","",SUMIFS('Таблиця 1'!$K:$K,'Таблиця 1'!$B:$B,$A290,'Таблиця 1'!$I:$I,"Mi-8",'Таблиця 1'!$J:$J,"ARS-8")+SUMIFS('Таблиця 1'!$K:$K,'Таблиця 1'!$B:$B,$A290,'Таблиця 1'!$I:$I,"Mi-24",'Таблиця 1'!$J:$J,"ARS-8"))</f>
        <v/>
      </c>
      <c r="F290">
        <f>IF($A290="","",SUMIFS('Таблиця 1'!$K:$K,'Таблиця 1'!$B:$B,$A290,'Таблиця 1'!$I:$I,"Mi-8",'Таблиця 1'!$J:$J,"С-8 ком")+SUMIFS('Таблиця 1'!$K:$K,'Таблиця 1'!$B:$B,$A290,'Таблиця 1'!$I:$I,"Mi-24",'Таблиця 1'!$J:$J,"С-8 ком"))</f>
        <v/>
      </c>
      <c r="G290">
        <f>IF($A290="","",SUMIFS('Таблиця 1'!$K:$K,'Таблиця 1'!$B:$B,$A290,'Таблиця 1'!$I:$I,"Mi-8",'Таблиця 1'!$J:$J,"PC-80")+SUMIFS('Таблиця 1'!$K:$K,'Таблиця 1'!$B:$B,$A290,'Таблиця 1'!$I:$I,"Mi-24",'Таблиця 1'!$J:$J,"PC-80"))</f>
        <v/>
      </c>
      <c r="H290">
        <f>IF($A290="","",SUMIFS('Таблиця 1'!$K:$K,'Таблиця 1'!$B:$B,$A290,'Таблиця 1'!$I:$I,"Mi-8",'Таблиця 1'!$J:$J,"UAR-80")+SUMIFS('Таблиця 1'!$K:$K,'Таблиця 1'!$B:$B,$A290,'Таблиця 1'!$I:$I,"Mi-24",'Таблиця 1'!$J:$J,"UAR-80"))</f>
        <v/>
      </c>
      <c r="I290">
        <f>IF($A290="","",SUMIFS('Таблиця 1'!$K:$K,'Таблиця 1'!$B:$B,$A290,'Таблиця 1'!$I:$I,"Mi-8",'Таблиця 1'!$J:$J,"C-13")+SUMIFS('Таблиця 1'!$K:$K,'Таблиця 1'!$B:$B,$A290,'Таблиця 1'!$I:$I,"Mi-24",'Таблиця 1'!$J:$J,"C-13"))</f>
        <v/>
      </c>
      <c r="J290">
        <f>IF($A290="","",SUMIFS('Таблиця 1'!$K:$K,'Таблиця 1'!$B:$B,$A290,'Таблиця 1'!$I:$I,"Mi-8",'Таблиця 1'!$J:$J,"Hydra-70")+SUMIFS('Таблиця 1'!$K:$K,'Таблиця 1'!$B:$B,$A290,'Таблиця 1'!$I:$I,"Mi-24",'Таблиця 1'!$J:$J,"Hydra-70"))</f>
        <v/>
      </c>
      <c r="K290">
        <f>IF($A290="","",SUMIFS('Таблиця 1'!$K:$K,'Таблиця 1'!$B:$B,$A290,'Таблиця 1'!$I:$I,"Mi-8",'Таблиця 1'!$J:$J,"Thales-70")+SUMIFS('Таблиця 1'!$K:$K,'Таблиця 1'!$B:$B,$A290,'Таблиця 1'!$I:$I,"Mi-24",'Таблиця 1'!$J:$J,"Thales-70"))</f>
        <v/>
      </c>
      <c r="L290">
        <f>IF($A290="","",SUMIFS('Таблиця 1'!$K:$K,'Таблиця 1'!$B:$B,$A290,'Таблиця 1'!$I:$I,"Mi-8",'Таблиця 1'!$J:$J,"Thales-FZ")+SUMIFS('Таблиця 1'!$K:$K,'Таблиця 1'!$B:$B,$A290,'Таблиця 1'!$I:$I,"Mi-24",'Таблиця 1'!$J:$J,"Thales-FZ"))</f>
        <v/>
      </c>
      <c r="M290">
        <f>IF($A290="","",SUMIFS('Таблиця 1'!$K:$K,'Таблиця 1'!$B:$B,$A290,'Таблиця 1'!$I:$I,"Mi-8",'Таблиця 1'!$J:$J,"МК-40")+SUMIFS('Таблиця 1'!$K:$K,'Таблиця 1'!$B:$B,$A290,'Таблиця 1'!$I:$I,"Mi-24",'Таблиця 1'!$J:$J,"МК-40"))</f>
        <v/>
      </c>
      <c r="N290">
        <f>IF($A290="","",SUMIFS('Таблиця 1'!$K:$K,'Таблиця 1'!$B:$B,$A290,'Таблиця 1'!$I:$I,"Mi-8",'Таблиця 1'!$J:$J,"Zuni")+SUMIFS('Таблиця 1'!$K:$K,'Таблиця 1'!$B:$B,$A290,'Таблиця 1'!$I:$I,"Mi-24",'Таблиця 1'!$J:$J,"Zuni"))</f>
        <v/>
      </c>
      <c r="O290">
        <f>IF($A290="","",COUNTIFS('Таблиця 1'!$B:$B,$A290,'Таблиця 1'!$I:$I,"Mi-8",'Таблиця 1'!$L:$L,"Уражено")+COUNTIFS('Таблиця 1'!$B:$B,$A290,'Таблиця 1'!$I:$I,"Mi-24",'Таблиця 1'!$L:$L,"Уражено"))</f>
        <v/>
      </c>
      <c r="P290">
        <f>IF($A290="","",COUNTIFS('Таблиця 1'!$B:$B,$A290,'Таблиця 1'!$I:$I,"Mi-8",'Таблиця 1'!$L:$L,"НЕ уражено")+COUNTIFS('Таблиця 1'!$B:$B,$A290,'Таблиця 1'!$I:$I,"Mi-24",'Таблиця 1'!$L:$L,"НЕ уражено"))</f>
        <v/>
      </c>
    </row>
    <row r="291">
      <c r="A291" s="273">
        <f>IF(A290="","",IF(A290+1&gt;MAX('Таблиця 1'!$B:$B),"",A290+1))</f>
        <v/>
      </c>
      <c r="B291">
        <f>IF($A291="","",COUNTIFS('Таблиця 1'!$B:$B,$A291,'Таблиця 1'!$I:$I,"Mi-8")+COUNTIFS('Таблиця 1'!$B:$B,$A291,'Таблиця 1'!$I:$I,"Mi-24"))</f>
        <v/>
      </c>
      <c r="C291">
        <f>IF($A291="","",COUNTIFS('Таблиця 1'!$B:$B,$A291,'Таблиця 1'!$I:$I,"Mi-8"))</f>
        <v/>
      </c>
      <c r="D291">
        <f>IF($A291="","",COUNTIFS('Таблиця 1'!$B:$B,$A291,'Таблиця 1'!$I:$I,"Mi-24"))</f>
        <v/>
      </c>
      <c r="E291">
        <f>IF($A291="","",SUMIFS('Таблиця 1'!$K:$K,'Таблиця 1'!$B:$B,$A291,'Таблиця 1'!$I:$I,"Mi-8",'Таблиця 1'!$J:$J,"ARS-8")+SUMIFS('Таблиця 1'!$K:$K,'Таблиця 1'!$B:$B,$A291,'Таблиця 1'!$I:$I,"Mi-24",'Таблиця 1'!$J:$J,"ARS-8"))</f>
        <v/>
      </c>
      <c r="F291">
        <f>IF($A291="","",SUMIFS('Таблиця 1'!$K:$K,'Таблиця 1'!$B:$B,$A291,'Таблиця 1'!$I:$I,"Mi-8",'Таблиця 1'!$J:$J,"С-8 ком")+SUMIFS('Таблиця 1'!$K:$K,'Таблиця 1'!$B:$B,$A291,'Таблиця 1'!$I:$I,"Mi-24",'Таблиця 1'!$J:$J,"С-8 ком"))</f>
        <v/>
      </c>
      <c r="G291">
        <f>IF($A291="","",SUMIFS('Таблиця 1'!$K:$K,'Таблиця 1'!$B:$B,$A291,'Таблиця 1'!$I:$I,"Mi-8",'Таблиця 1'!$J:$J,"PC-80")+SUMIFS('Таблиця 1'!$K:$K,'Таблиця 1'!$B:$B,$A291,'Таблиця 1'!$I:$I,"Mi-24",'Таблиця 1'!$J:$J,"PC-80"))</f>
        <v/>
      </c>
      <c r="H291">
        <f>IF($A291="","",SUMIFS('Таблиця 1'!$K:$K,'Таблиця 1'!$B:$B,$A291,'Таблиця 1'!$I:$I,"Mi-8",'Таблиця 1'!$J:$J,"UAR-80")+SUMIFS('Таблиця 1'!$K:$K,'Таблиця 1'!$B:$B,$A291,'Таблиця 1'!$I:$I,"Mi-24",'Таблиця 1'!$J:$J,"UAR-80"))</f>
        <v/>
      </c>
      <c r="I291">
        <f>IF($A291="","",SUMIFS('Таблиця 1'!$K:$K,'Таблиця 1'!$B:$B,$A291,'Таблиця 1'!$I:$I,"Mi-8",'Таблиця 1'!$J:$J,"C-13")+SUMIFS('Таблиця 1'!$K:$K,'Таблиця 1'!$B:$B,$A291,'Таблиця 1'!$I:$I,"Mi-24",'Таблиця 1'!$J:$J,"C-13"))</f>
        <v/>
      </c>
      <c r="J291">
        <f>IF($A291="","",SUMIFS('Таблиця 1'!$K:$K,'Таблиця 1'!$B:$B,$A291,'Таблиця 1'!$I:$I,"Mi-8",'Таблиця 1'!$J:$J,"Hydra-70")+SUMIFS('Таблиця 1'!$K:$K,'Таблиця 1'!$B:$B,$A291,'Таблиця 1'!$I:$I,"Mi-24",'Таблиця 1'!$J:$J,"Hydra-70"))</f>
        <v/>
      </c>
      <c r="K291">
        <f>IF($A291="","",SUMIFS('Таблиця 1'!$K:$K,'Таблиця 1'!$B:$B,$A291,'Таблиця 1'!$I:$I,"Mi-8",'Таблиця 1'!$J:$J,"Thales-70")+SUMIFS('Таблиця 1'!$K:$K,'Таблиця 1'!$B:$B,$A291,'Таблиця 1'!$I:$I,"Mi-24",'Таблиця 1'!$J:$J,"Thales-70"))</f>
        <v/>
      </c>
      <c r="L291">
        <f>IF($A291="","",SUMIFS('Таблиця 1'!$K:$K,'Таблиця 1'!$B:$B,$A291,'Таблиця 1'!$I:$I,"Mi-8",'Таблиця 1'!$J:$J,"Thales-FZ")+SUMIFS('Таблиця 1'!$K:$K,'Таблиця 1'!$B:$B,$A291,'Таблиця 1'!$I:$I,"Mi-24",'Таблиця 1'!$J:$J,"Thales-FZ"))</f>
        <v/>
      </c>
      <c r="M291">
        <f>IF($A291="","",SUMIFS('Таблиця 1'!$K:$K,'Таблиця 1'!$B:$B,$A291,'Таблиця 1'!$I:$I,"Mi-8",'Таблиця 1'!$J:$J,"МК-40")+SUMIFS('Таблиця 1'!$K:$K,'Таблиця 1'!$B:$B,$A291,'Таблиця 1'!$I:$I,"Mi-24",'Таблиця 1'!$J:$J,"МК-40"))</f>
        <v/>
      </c>
      <c r="N291">
        <f>IF($A291="","",SUMIFS('Таблиця 1'!$K:$K,'Таблиця 1'!$B:$B,$A291,'Таблиця 1'!$I:$I,"Mi-8",'Таблиця 1'!$J:$J,"Zuni")+SUMIFS('Таблиця 1'!$K:$K,'Таблиця 1'!$B:$B,$A291,'Таблиця 1'!$I:$I,"Mi-24",'Таблиця 1'!$J:$J,"Zuni"))</f>
        <v/>
      </c>
      <c r="O291">
        <f>IF($A291="","",COUNTIFS('Таблиця 1'!$B:$B,$A291,'Таблиця 1'!$I:$I,"Mi-8",'Таблиця 1'!$L:$L,"Уражено")+COUNTIFS('Таблиця 1'!$B:$B,$A291,'Таблиця 1'!$I:$I,"Mi-24",'Таблиця 1'!$L:$L,"Уражено"))</f>
        <v/>
      </c>
      <c r="P291">
        <f>IF($A291="","",COUNTIFS('Таблиця 1'!$B:$B,$A291,'Таблиця 1'!$I:$I,"Mi-8",'Таблиця 1'!$L:$L,"НЕ уражено")+COUNTIFS('Таблиця 1'!$B:$B,$A291,'Таблиця 1'!$I:$I,"Mi-24",'Таблиця 1'!$L:$L,"НЕ уражено"))</f>
        <v/>
      </c>
    </row>
    <row r="292">
      <c r="A292" s="273">
        <f>IF(A291="","",IF(A291+1&gt;MAX('Таблиця 1'!$B:$B),"",A291+1))</f>
        <v/>
      </c>
      <c r="B292">
        <f>IF($A292="","",COUNTIFS('Таблиця 1'!$B:$B,$A292,'Таблиця 1'!$I:$I,"Mi-8")+COUNTIFS('Таблиця 1'!$B:$B,$A292,'Таблиця 1'!$I:$I,"Mi-24"))</f>
        <v/>
      </c>
      <c r="C292">
        <f>IF($A292="","",COUNTIFS('Таблиця 1'!$B:$B,$A292,'Таблиця 1'!$I:$I,"Mi-8"))</f>
        <v/>
      </c>
      <c r="D292">
        <f>IF($A292="","",COUNTIFS('Таблиця 1'!$B:$B,$A292,'Таблиця 1'!$I:$I,"Mi-24"))</f>
        <v/>
      </c>
      <c r="E292">
        <f>IF($A292="","",SUMIFS('Таблиця 1'!$K:$K,'Таблиця 1'!$B:$B,$A292,'Таблиця 1'!$I:$I,"Mi-8",'Таблиця 1'!$J:$J,"ARS-8")+SUMIFS('Таблиця 1'!$K:$K,'Таблиця 1'!$B:$B,$A292,'Таблиця 1'!$I:$I,"Mi-24",'Таблиця 1'!$J:$J,"ARS-8"))</f>
        <v/>
      </c>
      <c r="F292">
        <f>IF($A292="","",SUMIFS('Таблиця 1'!$K:$K,'Таблиця 1'!$B:$B,$A292,'Таблиця 1'!$I:$I,"Mi-8",'Таблиця 1'!$J:$J,"С-8 ком")+SUMIFS('Таблиця 1'!$K:$K,'Таблиця 1'!$B:$B,$A292,'Таблиця 1'!$I:$I,"Mi-24",'Таблиця 1'!$J:$J,"С-8 ком"))</f>
        <v/>
      </c>
      <c r="G292">
        <f>IF($A292="","",SUMIFS('Таблиця 1'!$K:$K,'Таблиця 1'!$B:$B,$A292,'Таблиця 1'!$I:$I,"Mi-8",'Таблиця 1'!$J:$J,"PC-80")+SUMIFS('Таблиця 1'!$K:$K,'Таблиця 1'!$B:$B,$A292,'Таблиця 1'!$I:$I,"Mi-24",'Таблиця 1'!$J:$J,"PC-80"))</f>
        <v/>
      </c>
      <c r="H292">
        <f>IF($A292="","",SUMIFS('Таблиця 1'!$K:$K,'Таблиця 1'!$B:$B,$A292,'Таблиця 1'!$I:$I,"Mi-8",'Таблиця 1'!$J:$J,"UAR-80")+SUMIFS('Таблиця 1'!$K:$K,'Таблиця 1'!$B:$B,$A292,'Таблиця 1'!$I:$I,"Mi-24",'Таблиця 1'!$J:$J,"UAR-80"))</f>
        <v/>
      </c>
      <c r="I292">
        <f>IF($A292="","",SUMIFS('Таблиця 1'!$K:$K,'Таблиця 1'!$B:$B,$A292,'Таблиця 1'!$I:$I,"Mi-8",'Таблиця 1'!$J:$J,"C-13")+SUMIFS('Таблиця 1'!$K:$K,'Таблиця 1'!$B:$B,$A292,'Таблиця 1'!$I:$I,"Mi-24",'Таблиця 1'!$J:$J,"C-13"))</f>
        <v/>
      </c>
      <c r="J292">
        <f>IF($A292="","",SUMIFS('Таблиця 1'!$K:$K,'Таблиця 1'!$B:$B,$A292,'Таблиця 1'!$I:$I,"Mi-8",'Таблиця 1'!$J:$J,"Hydra-70")+SUMIFS('Таблиця 1'!$K:$K,'Таблиця 1'!$B:$B,$A292,'Таблиця 1'!$I:$I,"Mi-24",'Таблиця 1'!$J:$J,"Hydra-70"))</f>
        <v/>
      </c>
      <c r="K292">
        <f>IF($A292="","",SUMIFS('Таблиця 1'!$K:$K,'Таблиця 1'!$B:$B,$A292,'Таблиця 1'!$I:$I,"Mi-8",'Таблиця 1'!$J:$J,"Thales-70")+SUMIFS('Таблиця 1'!$K:$K,'Таблиця 1'!$B:$B,$A292,'Таблиця 1'!$I:$I,"Mi-24",'Таблиця 1'!$J:$J,"Thales-70"))</f>
        <v/>
      </c>
      <c r="L292">
        <f>IF($A292="","",SUMIFS('Таблиця 1'!$K:$K,'Таблиця 1'!$B:$B,$A292,'Таблиця 1'!$I:$I,"Mi-8",'Таблиця 1'!$J:$J,"Thales-FZ")+SUMIFS('Таблиця 1'!$K:$K,'Таблиця 1'!$B:$B,$A292,'Таблиця 1'!$I:$I,"Mi-24",'Таблиця 1'!$J:$J,"Thales-FZ"))</f>
        <v/>
      </c>
      <c r="M292">
        <f>IF($A292="","",SUMIFS('Таблиця 1'!$K:$K,'Таблиця 1'!$B:$B,$A292,'Таблиця 1'!$I:$I,"Mi-8",'Таблиця 1'!$J:$J,"МК-40")+SUMIFS('Таблиця 1'!$K:$K,'Таблиця 1'!$B:$B,$A292,'Таблиця 1'!$I:$I,"Mi-24",'Таблиця 1'!$J:$J,"МК-40"))</f>
        <v/>
      </c>
      <c r="N292">
        <f>IF($A292="","",SUMIFS('Таблиця 1'!$K:$K,'Таблиця 1'!$B:$B,$A292,'Таблиця 1'!$I:$I,"Mi-8",'Таблиця 1'!$J:$J,"Zuni")+SUMIFS('Таблиця 1'!$K:$K,'Таблиця 1'!$B:$B,$A292,'Таблиця 1'!$I:$I,"Mi-24",'Таблиця 1'!$J:$J,"Zuni"))</f>
        <v/>
      </c>
      <c r="O292">
        <f>IF($A292="","",COUNTIFS('Таблиця 1'!$B:$B,$A292,'Таблиця 1'!$I:$I,"Mi-8",'Таблиця 1'!$L:$L,"Уражено")+COUNTIFS('Таблиця 1'!$B:$B,$A292,'Таблиця 1'!$I:$I,"Mi-24",'Таблиця 1'!$L:$L,"Уражено"))</f>
        <v/>
      </c>
      <c r="P292">
        <f>IF($A292="","",COUNTIFS('Таблиця 1'!$B:$B,$A292,'Таблиця 1'!$I:$I,"Mi-8",'Таблиця 1'!$L:$L,"НЕ уражено")+COUNTIFS('Таблиця 1'!$B:$B,$A292,'Таблиця 1'!$I:$I,"Mi-24",'Таблиця 1'!$L:$L,"НЕ уражено"))</f>
        <v/>
      </c>
    </row>
    <row r="293">
      <c r="A293" s="273">
        <f>IF(A292="","",IF(A292+1&gt;MAX('Таблиця 1'!$B:$B),"",A292+1))</f>
        <v/>
      </c>
      <c r="B293">
        <f>IF($A293="","",COUNTIFS('Таблиця 1'!$B:$B,$A293,'Таблиця 1'!$I:$I,"Mi-8")+COUNTIFS('Таблиця 1'!$B:$B,$A293,'Таблиця 1'!$I:$I,"Mi-24"))</f>
        <v/>
      </c>
      <c r="C293">
        <f>IF($A293="","",COUNTIFS('Таблиця 1'!$B:$B,$A293,'Таблиця 1'!$I:$I,"Mi-8"))</f>
        <v/>
      </c>
      <c r="D293">
        <f>IF($A293="","",COUNTIFS('Таблиця 1'!$B:$B,$A293,'Таблиця 1'!$I:$I,"Mi-24"))</f>
        <v/>
      </c>
      <c r="E293">
        <f>IF($A293="","",SUMIFS('Таблиця 1'!$K:$K,'Таблиця 1'!$B:$B,$A293,'Таблиця 1'!$I:$I,"Mi-8",'Таблиця 1'!$J:$J,"ARS-8")+SUMIFS('Таблиця 1'!$K:$K,'Таблиця 1'!$B:$B,$A293,'Таблиця 1'!$I:$I,"Mi-24",'Таблиця 1'!$J:$J,"ARS-8"))</f>
        <v/>
      </c>
      <c r="F293">
        <f>IF($A293="","",SUMIFS('Таблиця 1'!$K:$K,'Таблиця 1'!$B:$B,$A293,'Таблиця 1'!$I:$I,"Mi-8",'Таблиця 1'!$J:$J,"С-8 ком")+SUMIFS('Таблиця 1'!$K:$K,'Таблиця 1'!$B:$B,$A293,'Таблиця 1'!$I:$I,"Mi-24",'Таблиця 1'!$J:$J,"С-8 ком"))</f>
        <v/>
      </c>
      <c r="G293">
        <f>IF($A293="","",SUMIFS('Таблиця 1'!$K:$K,'Таблиця 1'!$B:$B,$A293,'Таблиця 1'!$I:$I,"Mi-8",'Таблиця 1'!$J:$J,"PC-80")+SUMIFS('Таблиця 1'!$K:$K,'Таблиця 1'!$B:$B,$A293,'Таблиця 1'!$I:$I,"Mi-24",'Таблиця 1'!$J:$J,"PC-80"))</f>
        <v/>
      </c>
      <c r="H293">
        <f>IF($A293="","",SUMIFS('Таблиця 1'!$K:$K,'Таблиця 1'!$B:$B,$A293,'Таблиця 1'!$I:$I,"Mi-8",'Таблиця 1'!$J:$J,"UAR-80")+SUMIFS('Таблиця 1'!$K:$K,'Таблиця 1'!$B:$B,$A293,'Таблиця 1'!$I:$I,"Mi-24",'Таблиця 1'!$J:$J,"UAR-80"))</f>
        <v/>
      </c>
      <c r="I293">
        <f>IF($A293="","",SUMIFS('Таблиця 1'!$K:$K,'Таблиця 1'!$B:$B,$A293,'Таблиця 1'!$I:$I,"Mi-8",'Таблиця 1'!$J:$J,"C-13")+SUMIFS('Таблиця 1'!$K:$K,'Таблиця 1'!$B:$B,$A293,'Таблиця 1'!$I:$I,"Mi-24",'Таблиця 1'!$J:$J,"C-13"))</f>
        <v/>
      </c>
      <c r="J293">
        <f>IF($A293="","",SUMIFS('Таблиця 1'!$K:$K,'Таблиця 1'!$B:$B,$A293,'Таблиця 1'!$I:$I,"Mi-8",'Таблиця 1'!$J:$J,"Hydra-70")+SUMIFS('Таблиця 1'!$K:$K,'Таблиця 1'!$B:$B,$A293,'Таблиця 1'!$I:$I,"Mi-24",'Таблиця 1'!$J:$J,"Hydra-70"))</f>
        <v/>
      </c>
      <c r="K293">
        <f>IF($A293="","",SUMIFS('Таблиця 1'!$K:$K,'Таблиця 1'!$B:$B,$A293,'Таблиця 1'!$I:$I,"Mi-8",'Таблиця 1'!$J:$J,"Thales-70")+SUMIFS('Таблиця 1'!$K:$K,'Таблиця 1'!$B:$B,$A293,'Таблиця 1'!$I:$I,"Mi-24",'Таблиця 1'!$J:$J,"Thales-70"))</f>
        <v/>
      </c>
      <c r="L293">
        <f>IF($A293="","",SUMIFS('Таблиця 1'!$K:$K,'Таблиця 1'!$B:$B,$A293,'Таблиця 1'!$I:$I,"Mi-8",'Таблиця 1'!$J:$J,"Thales-FZ")+SUMIFS('Таблиця 1'!$K:$K,'Таблиця 1'!$B:$B,$A293,'Таблиця 1'!$I:$I,"Mi-24",'Таблиця 1'!$J:$J,"Thales-FZ"))</f>
        <v/>
      </c>
      <c r="M293">
        <f>IF($A293="","",SUMIFS('Таблиця 1'!$K:$K,'Таблиця 1'!$B:$B,$A293,'Таблиця 1'!$I:$I,"Mi-8",'Таблиця 1'!$J:$J,"МК-40")+SUMIFS('Таблиця 1'!$K:$K,'Таблиця 1'!$B:$B,$A293,'Таблиця 1'!$I:$I,"Mi-24",'Таблиця 1'!$J:$J,"МК-40"))</f>
        <v/>
      </c>
      <c r="N293">
        <f>IF($A293="","",SUMIFS('Таблиця 1'!$K:$K,'Таблиця 1'!$B:$B,$A293,'Таблиця 1'!$I:$I,"Mi-8",'Таблиця 1'!$J:$J,"Zuni")+SUMIFS('Таблиця 1'!$K:$K,'Таблиця 1'!$B:$B,$A293,'Таблиця 1'!$I:$I,"Mi-24",'Таблиця 1'!$J:$J,"Zuni"))</f>
        <v/>
      </c>
      <c r="O293">
        <f>IF($A293="","",COUNTIFS('Таблиця 1'!$B:$B,$A293,'Таблиця 1'!$I:$I,"Mi-8",'Таблиця 1'!$L:$L,"Уражено")+COUNTIFS('Таблиця 1'!$B:$B,$A293,'Таблиця 1'!$I:$I,"Mi-24",'Таблиця 1'!$L:$L,"Уражено"))</f>
        <v/>
      </c>
      <c r="P293">
        <f>IF($A293="","",COUNTIFS('Таблиця 1'!$B:$B,$A293,'Таблиця 1'!$I:$I,"Mi-8",'Таблиця 1'!$L:$L,"НЕ уражено")+COUNTIFS('Таблиця 1'!$B:$B,$A293,'Таблиця 1'!$I:$I,"Mi-24",'Таблиця 1'!$L:$L,"НЕ уражено"))</f>
        <v/>
      </c>
    </row>
    <row r="294">
      <c r="A294" s="273">
        <f>IF(A293="","",IF(A293+1&gt;MAX('Таблиця 1'!$B:$B),"",A293+1))</f>
        <v/>
      </c>
      <c r="B294">
        <f>IF($A294="","",COUNTIFS('Таблиця 1'!$B:$B,$A294,'Таблиця 1'!$I:$I,"Mi-8")+COUNTIFS('Таблиця 1'!$B:$B,$A294,'Таблиця 1'!$I:$I,"Mi-24"))</f>
        <v/>
      </c>
      <c r="C294">
        <f>IF($A294="","",COUNTIFS('Таблиця 1'!$B:$B,$A294,'Таблиця 1'!$I:$I,"Mi-8"))</f>
        <v/>
      </c>
      <c r="D294">
        <f>IF($A294="","",COUNTIFS('Таблиця 1'!$B:$B,$A294,'Таблиця 1'!$I:$I,"Mi-24"))</f>
        <v/>
      </c>
      <c r="E294">
        <f>IF($A294="","",SUMIFS('Таблиця 1'!$K:$K,'Таблиця 1'!$B:$B,$A294,'Таблиця 1'!$I:$I,"Mi-8",'Таблиця 1'!$J:$J,"ARS-8")+SUMIFS('Таблиця 1'!$K:$K,'Таблиця 1'!$B:$B,$A294,'Таблиця 1'!$I:$I,"Mi-24",'Таблиця 1'!$J:$J,"ARS-8"))</f>
        <v/>
      </c>
      <c r="F294">
        <f>IF($A294="","",SUMIFS('Таблиця 1'!$K:$K,'Таблиця 1'!$B:$B,$A294,'Таблиця 1'!$I:$I,"Mi-8",'Таблиця 1'!$J:$J,"С-8 ком")+SUMIFS('Таблиця 1'!$K:$K,'Таблиця 1'!$B:$B,$A294,'Таблиця 1'!$I:$I,"Mi-24",'Таблиця 1'!$J:$J,"С-8 ком"))</f>
        <v/>
      </c>
      <c r="G294">
        <f>IF($A294="","",SUMIFS('Таблиця 1'!$K:$K,'Таблиця 1'!$B:$B,$A294,'Таблиця 1'!$I:$I,"Mi-8",'Таблиця 1'!$J:$J,"PC-80")+SUMIFS('Таблиця 1'!$K:$K,'Таблиця 1'!$B:$B,$A294,'Таблиця 1'!$I:$I,"Mi-24",'Таблиця 1'!$J:$J,"PC-80"))</f>
        <v/>
      </c>
      <c r="H294">
        <f>IF($A294="","",SUMIFS('Таблиця 1'!$K:$K,'Таблиця 1'!$B:$B,$A294,'Таблиця 1'!$I:$I,"Mi-8",'Таблиця 1'!$J:$J,"UAR-80")+SUMIFS('Таблиця 1'!$K:$K,'Таблиця 1'!$B:$B,$A294,'Таблиця 1'!$I:$I,"Mi-24",'Таблиця 1'!$J:$J,"UAR-80"))</f>
        <v/>
      </c>
      <c r="I294">
        <f>IF($A294="","",SUMIFS('Таблиця 1'!$K:$K,'Таблиця 1'!$B:$B,$A294,'Таблиця 1'!$I:$I,"Mi-8",'Таблиця 1'!$J:$J,"C-13")+SUMIFS('Таблиця 1'!$K:$K,'Таблиця 1'!$B:$B,$A294,'Таблиця 1'!$I:$I,"Mi-24",'Таблиця 1'!$J:$J,"C-13"))</f>
        <v/>
      </c>
      <c r="J294">
        <f>IF($A294="","",SUMIFS('Таблиця 1'!$K:$K,'Таблиця 1'!$B:$B,$A294,'Таблиця 1'!$I:$I,"Mi-8",'Таблиця 1'!$J:$J,"Hydra-70")+SUMIFS('Таблиця 1'!$K:$K,'Таблиця 1'!$B:$B,$A294,'Таблиця 1'!$I:$I,"Mi-24",'Таблиця 1'!$J:$J,"Hydra-70"))</f>
        <v/>
      </c>
      <c r="K294">
        <f>IF($A294="","",SUMIFS('Таблиця 1'!$K:$K,'Таблиця 1'!$B:$B,$A294,'Таблиця 1'!$I:$I,"Mi-8",'Таблиця 1'!$J:$J,"Thales-70")+SUMIFS('Таблиця 1'!$K:$K,'Таблиця 1'!$B:$B,$A294,'Таблиця 1'!$I:$I,"Mi-24",'Таблиця 1'!$J:$J,"Thales-70"))</f>
        <v/>
      </c>
      <c r="L294">
        <f>IF($A294="","",SUMIFS('Таблиця 1'!$K:$K,'Таблиця 1'!$B:$B,$A294,'Таблиця 1'!$I:$I,"Mi-8",'Таблиця 1'!$J:$J,"Thales-FZ")+SUMIFS('Таблиця 1'!$K:$K,'Таблиця 1'!$B:$B,$A294,'Таблиця 1'!$I:$I,"Mi-24",'Таблиця 1'!$J:$J,"Thales-FZ"))</f>
        <v/>
      </c>
      <c r="M294">
        <f>IF($A294="","",SUMIFS('Таблиця 1'!$K:$K,'Таблиця 1'!$B:$B,$A294,'Таблиця 1'!$I:$I,"Mi-8",'Таблиця 1'!$J:$J,"МК-40")+SUMIFS('Таблиця 1'!$K:$K,'Таблиця 1'!$B:$B,$A294,'Таблиця 1'!$I:$I,"Mi-24",'Таблиця 1'!$J:$J,"МК-40"))</f>
        <v/>
      </c>
      <c r="N294">
        <f>IF($A294="","",SUMIFS('Таблиця 1'!$K:$K,'Таблиця 1'!$B:$B,$A294,'Таблиця 1'!$I:$I,"Mi-8",'Таблиця 1'!$J:$J,"Zuni")+SUMIFS('Таблиця 1'!$K:$K,'Таблиця 1'!$B:$B,$A294,'Таблиця 1'!$I:$I,"Mi-24",'Таблиця 1'!$J:$J,"Zuni"))</f>
        <v/>
      </c>
      <c r="O294">
        <f>IF($A294="","",COUNTIFS('Таблиця 1'!$B:$B,$A294,'Таблиця 1'!$I:$I,"Mi-8",'Таблиця 1'!$L:$L,"Уражено")+COUNTIFS('Таблиця 1'!$B:$B,$A294,'Таблиця 1'!$I:$I,"Mi-24",'Таблиця 1'!$L:$L,"Уражено"))</f>
        <v/>
      </c>
      <c r="P294">
        <f>IF($A294="","",COUNTIFS('Таблиця 1'!$B:$B,$A294,'Таблиця 1'!$I:$I,"Mi-8",'Таблиця 1'!$L:$L,"НЕ уражено")+COUNTIFS('Таблиця 1'!$B:$B,$A294,'Таблиця 1'!$I:$I,"Mi-24",'Таблиця 1'!$L:$L,"НЕ уражено"))</f>
        <v/>
      </c>
    </row>
    <row r="295">
      <c r="A295" s="273">
        <f>IF(A294="","",IF(A294+1&gt;MAX('Таблиця 1'!$B:$B),"",A294+1))</f>
        <v/>
      </c>
      <c r="B295">
        <f>IF($A295="","",COUNTIFS('Таблиця 1'!$B:$B,$A295,'Таблиця 1'!$I:$I,"Mi-8")+COUNTIFS('Таблиця 1'!$B:$B,$A295,'Таблиця 1'!$I:$I,"Mi-24"))</f>
        <v/>
      </c>
      <c r="C295">
        <f>IF($A295="","",COUNTIFS('Таблиця 1'!$B:$B,$A295,'Таблиця 1'!$I:$I,"Mi-8"))</f>
        <v/>
      </c>
      <c r="D295">
        <f>IF($A295="","",COUNTIFS('Таблиця 1'!$B:$B,$A295,'Таблиця 1'!$I:$I,"Mi-24"))</f>
        <v/>
      </c>
      <c r="E295">
        <f>IF($A295="","",SUMIFS('Таблиця 1'!$K:$K,'Таблиця 1'!$B:$B,$A295,'Таблиця 1'!$I:$I,"Mi-8",'Таблиця 1'!$J:$J,"ARS-8")+SUMIFS('Таблиця 1'!$K:$K,'Таблиця 1'!$B:$B,$A295,'Таблиця 1'!$I:$I,"Mi-24",'Таблиця 1'!$J:$J,"ARS-8"))</f>
        <v/>
      </c>
      <c r="F295">
        <f>IF($A295="","",SUMIFS('Таблиця 1'!$K:$K,'Таблиця 1'!$B:$B,$A295,'Таблиця 1'!$I:$I,"Mi-8",'Таблиця 1'!$J:$J,"С-8 ком")+SUMIFS('Таблиця 1'!$K:$K,'Таблиця 1'!$B:$B,$A295,'Таблиця 1'!$I:$I,"Mi-24",'Таблиця 1'!$J:$J,"С-8 ком"))</f>
        <v/>
      </c>
      <c r="G295">
        <f>IF($A295="","",SUMIFS('Таблиця 1'!$K:$K,'Таблиця 1'!$B:$B,$A295,'Таблиця 1'!$I:$I,"Mi-8",'Таблиця 1'!$J:$J,"PC-80")+SUMIFS('Таблиця 1'!$K:$K,'Таблиця 1'!$B:$B,$A295,'Таблиця 1'!$I:$I,"Mi-24",'Таблиця 1'!$J:$J,"PC-80"))</f>
        <v/>
      </c>
      <c r="H295">
        <f>IF($A295="","",SUMIFS('Таблиця 1'!$K:$K,'Таблиця 1'!$B:$B,$A295,'Таблиця 1'!$I:$I,"Mi-8",'Таблиця 1'!$J:$J,"UAR-80")+SUMIFS('Таблиця 1'!$K:$K,'Таблиця 1'!$B:$B,$A295,'Таблиця 1'!$I:$I,"Mi-24",'Таблиця 1'!$J:$J,"UAR-80"))</f>
        <v/>
      </c>
      <c r="I295">
        <f>IF($A295="","",SUMIFS('Таблиця 1'!$K:$K,'Таблиця 1'!$B:$B,$A295,'Таблиця 1'!$I:$I,"Mi-8",'Таблиця 1'!$J:$J,"C-13")+SUMIFS('Таблиця 1'!$K:$K,'Таблиця 1'!$B:$B,$A295,'Таблиця 1'!$I:$I,"Mi-24",'Таблиця 1'!$J:$J,"C-13"))</f>
        <v/>
      </c>
      <c r="J295">
        <f>IF($A295="","",SUMIFS('Таблиця 1'!$K:$K,'Таблиця 1'!$B:$B,$A295,'Таблиця 1'!$I:$I,"Mi-8",'Таблиця 1'!$J:$J,"Hydra-70")+SUMIFS('Таблиця 1'!$K:$K,'Таблиця 1'!$B:$B,$A295,'Таблиця 1'!$I:$I,"Mi-24",'Таблиця 1'!$J:$J,"Hydra-70"))</f>
        <v/>
      </c>
      <c r="K295">
        <f>IF($A295="","",SUMIFS('Таблиця 1'!$K:$K,'Таблиця 1'!$B:$B,$A295,'Таблиця 1'!$I:$I,"Mi-8",'Таблиця 1'!$J:$J,"Thales-70")+SUMIFS('Таблиця 1'!$K:$K,'Таблиця 1'!$B:$B,$A295,'Таблиця 1'!$I:$I,"Mi-24",'Таблиця 1'!$J:$J,"Thales-70"))</f>
        <v/>
      </c>
      <c r="L295">
        <f>IF($A295="","",SUMIFS('Таблиця 1'!$K:$K,'Таблиця 1'!$B:$B,$A295,'Таблиця 1'!$I:$I,"Mi-8",'Таблиця 1'!$J:$J,"Thales-FZ")+SUMIFS('Таблиця 1'!$K:$K,'Таблиця 1'!$B:$B,$A295,'Таблиця 1'!$I:$I,"Mi-24",'Таблиця 1'!$J:$J,"Thales-FZ"))</f>
        <v/>
      </c>
      <c r="M295">
        <f>IF($A295="","",SUMIFS('Таблиця 1'!$K:$K,'Таблиця 1'!$B:$B,$A295,'Таблиця 1'!$I:$I,"Mi-8",'Таблиця 1'!$J:$J,"МК-40")+SUMIFS('Таблиця 1'!$K:$K,'Таблиця 1'!$B:$B,$A295,'Таблиця 1'!$I:$I,"Mi-24",'Таблиця 1'!$J:$J,"МК-40"))</f>
        <v/>
      </c>
      <c r="N295">
        <f>IF($A295="","",SUMIFS('Таблиця 1'!$K:$K,'Таблиця 1'!$B:$B,$A295,'Таблиця 1'!$I:$I,"Mi-8",'Таблиця 1'!$J:$J,"Zuni")+SUMIFS('Таблиця 1'!$K:$K,'Таблиця 1'!$B:$B,$A295,'Таблиця 1'!$I:$I,"Mi-24",'Таблиця 1'!$J:$J,"Zuni"))</f>
        <v/>
      </c>
      <c r="O295">
        <f>IF($A295="","",COUNTIFS('Таблиця 1'!$B:$B,$A295,'Таблиця 1'!$I:$I,"Mi-8",'Таблиця 1'!$L:$L,"Уражено")+COUNTIFS('Таблиця 1'!$B:$B,$A295,'Таблиця 1'!$I:$I,"Mi-24",'Таблиця 1'!$L:$L,"Уражено"))</f>
        <v/>
      </c>
      <c r="P295">
        <f>IF($A295="","",COUNTIFS('Таблиця 1'!$B:$B,$A295,'Таблиця 1'!$I:$I,"Mi-8",'Таблиця 1'!$L:$L,"НЕ уражено")+COUNTIFS('Таблиця 1'!$B:$B,$A295,'Таблиця 1'!$I:$I,"Mi-24",'Таблиця 1'!$L:$L,"НЕ уражено"))</f>
        <v/>
      </c>
    </row>
    <row r="296">
      <c r="A296" s="273">
        <f>IF(A295="","",IF(A295+1&gt;MAX('Таблиця 1'!$B:$B),"",A295+1))</f>
        <v/>
      </c>
      <c r="B296">
        <f>IF($A296="","",COUNTIFS('Таблиця 1'!$B:$B,$A296,'Таблиця 1'!$I:$I,"Mi-8")+COUNTIFS('Таблиця 1'!$B:$B,$A296,'Таблиця 1'!$I:$I,"Mi-24"))</f>
        <v/>
      </c>
      <c r="C296">
        <f>IF($A296="","",COUNTIFS('Таблиця 1'!$B:$B,$A296,'Таблиця 1'!$I:$I,"Mi-8"))</f>
        <v/>
      </c>
      <c r="D296">
        <f>IF($A296="","",COUNTIFS('Таблиця 1'!$B:$B,$A296,'Таблиця 1'!$I:$I,"Mi-24"))</f>
        <v/>
      </c>
      <c r="E296">
        <f>IF($A296="","",SUMIFS('Таблиця 1'!$K:$K,'Таблиця 1'!$B:$B,$A296,'Таблиця 1'!$I:$I,"Mi-8",'Таблиця 1'!$J:$J,"ARS-8")+SUMIFS('Таблиця 1'!$K:$K,'Таблиця 1'!$B:$B,$A296,'Таблиця 1'!$I:$I,"Mi-24",'Таблиця 1'!$J:$J,"ARS-8"))</f>
        <v/>
      </c>
      <c r="F296">
        <f>IF($A296="","",SUMIFS('Таблиця 1'!$K:$K,'Таблиця 1'!$B:$B,$A296,'Таблиця 1'!$I:$I,"Mi-8",'Таблиця 1'!$J:$J,"С-8 ком")+SUMIFS('Таблиця 1'!$K:$K,'Таблиця 1'!$B:$B,$A296,'Таблиця 1'!$I:$I,"Mi-24",'Таблиця 1'!$J:$J,"С-8 ком"))</f>
        <v/>
      </c>
      <c r="G296">
        <f>IF($A296="","",SUMIFS('Таблиця 1'!$K:$K,'Таблиця 1'!$B:$B,$A296,'Таблиця 1'!$I:$I,"Mi-8",'Таблиця 1'!$J:$J,"PC-80")+SUMIFS('Таблиця 1'!$K:$K,'Таблиця 1'!$B:$B,$A296,'Таблиця 1'!$I:$I,"Mi-24",'Таблиця 1'!$J:$J,"PC-80"))</f>
        <v/>
      </c>
      <c r="H296">
        <f>IF($A296="","",SUMIFS('Таблиця 1'!$K:$K,'Таблиця 1'!$B:$B,$A296,'Таблиця 1'!$I:$I,"Mi-8",'Таблиця 1'!$J:$J,"UAR-80")+SUMIFS('Таблиця 1'!$K:$K,'Таблиця 1'!$B:$B,$A296,'Таблиця 1'!$I:$I,"Mi-24",'Таблиця 1'!$J:$J,"UAR-80"))</f>
        <v/>
      </c>
      <c r="I296">
        <f>IF($A296="","",SUMIFS('Таблиця 1'!$K:$K,'Таблиця 1'!$B:$B,$A296,'Таблиця 1'!$I:$I,"Mi-8",'Таблиця 1'!$J:$J,"C-13")+SUMIFS('Таблиця 1'!$K:$K,'Таблиця 1'!$B:$B,$A296,'Таблиця 1'!$I:$I,"Mi-24",'Таблиця 1'!$J:$J,"C-13"))</f>
        <v/>
      </c>
      <c r="J296">
        <f>IF($A296="","",SUMIFS('Таблиця 1'!$K:$K,'Таблиця 1'!$B:$B,$A296,'Таблиця 1'!$I:$I,"Mi-8",'Таблиця 1'!$J:$J,"Hydra-70")+SUMIFS('Таблиця 1'!$K:$K,'Таблиця 1'!$B:$B,$A296,'Таблиця 1'!$I:$I,"Mi-24",'Таблиця 1'!$J:$J,"Hydra-70"))</f>
        <v/>
      </c>
      <c r="K296">
        <f>IF($A296="","",SUMIFS('Таблиця 1'!$K:$K,'Таблиця 1'!$B:$B,$A296,'Таблиця 1'!$I:$I,"Mi-8",'Таблиця 1'!$J:$J,"Thales-70")+SUMIFS('Таблиця 1'!$K:$K,'Таблиця 1'!$B:$B,$A296,'Таблиця 1'!$I:$I,"Mi-24",'Таблиця 1'!$J:$J,"Thales-70"))</f>
        <v/>
      </c>
      <c r="L296">
        <f>IF($A296="","",SUMIFS('Таблиця 1'!$K:$K,'Таблиця 1'!$B:$B,$A296,'Таблиця 1'!$I:$I,"Mi-8",'Таблиця 1'!$J:$J,"Thales-FZ")+SUMIFS('Таблиця 1'!$K:$K,'Таблиця 1'!$B:$B,$A296,'Таблиця 1'!$I:$I,"Mi-24",'Таблиця 1'!$J:$J,"Thales-FZ"))</f>
        <v/>
      </c>
      <c r="M296">
        <f>IF($A296="","",SUMIFS('Таблиця 1'!$K:$K,'Таблиця 1'!$B:$B,$A296,'Таблиця 1'!$I:$I,"Mi-8",'Таблиця 1'!$J:$J,"МК-40")+SUMIFS('Таблиця 1'!$K:$K,'Таблиця 1'!$B:$B,$A296,'Таблиця 1'!$I:$I,"Mi-24",'Таблиця 1'!$J:$J,"МК-40"))</f>
        <v/>
      </c>
      <c r="N296">
        <f>IF($A296="","",SUMIFS('Таблиця 1'!$K:$K,'Таблиця 1'!$B:$B,$A296,'Таблиця 1'!$I:$I,"Mi-8",'Таблиця 1'!$J:$J,"Zuni")+SUMIFS('Таблиця 1'!$K:$K,'Таблиця 1'!$B:$B,$A296,'Таблиця 1'!$I:$I,"Mi-24",'Таблиця 1'!$J:$J,"Zuni"))</f>
        <v/>
      </c>
      <c r="O296">
        <f>IF($A296="","",COUNTIFS('Таблиця 1'!$B:$B,$A296,'Таблиця 1'!$I:$I,"Mi-8",'Таблиця 1'!$L:$L,"Уражено")+COUNTIFS('Таблиця 1'!$B:$B,$A296,'Таблиця 1'!$I:$I,"Mi-24",'Таблиця 1'!$L:$L,"Уражено"))</f>
        <v/>
      </c>
      <c r="P296">
        <f>IF($A296="","",COUNTIFS('Таблиця 1'!$B:$B,$A296,'Таблиця 1'!$I:$I,"Mi-8",'Таблиця 1'!$L:$L,"НЕ уражено")+COUNTIFS('Таблиця 1'!$B:$B,$A296,'Таблиця 1'!$I:$I,"Mi-24",'Таблиця 1'!$L:$L,"НЕ уражено"))</f>
        <v/>
      </c>
    </row>
    <row r="297">
      <c r="A297" s="273">
        <f>IF(A296="","",IF(A296+1&gt;MAX('Таблиця 1'!$B:$B),"",A296+1))</f>
        <v/>
      </c>
      <c r="B297">
        <f>IF($A297="","",COUNTIFS('Таблиця 1'!$B:$B,$A297,'Таблиця 1'!$I:$I,"Mi-8")+COUNTIFS('Таблиця 1'!$B:$B,$A297,'Таблиця 1'!$I:$I,"Mi-24"))</f>
        <v/>
      </c>
      <c r="C297">
        <f>IF($A297="","",COUNTIFS('Таблиця 1'!$B:$B,$A297,'Таблиця 1'!$I:$I,"Mi-8"))</f>
        <v/>
      </c>
      <c r="D297">
        <f>IF($A297="","",COUNTIFS('Таблиця 1'!$B:$B,$A297,'Таблиця 1'!$I:$I,"Mi-24"))</f>
        <v/>
      </c>
      <c r="E297">
        <f>IF($A297="","",SUMIFS('Таблиця 1'!$K:$K,'Таблиця 1'!$B:$B,$A297,'Таблиця 1'!$I:$I,"Mi-8",'Таблиця 1'!$J:$J,"ARS-8")+SUMIFS('Таблиця 1'!$K:$K,'Таблиця 1'!$B:$B,$A297,'Таблиця 1'!$I:$I,"Mi-24",'Таблиця 1'!$J:$J,"ARS-8"))</f>
        <v/>
      </c>
      <c r="F297">
        <f>IF($A297="","",SUMIFS('Таблиця 1'!$K:$K,'Таблиця 1'!$B:$B,$A297,'Таблиця 1'!$I:$I,"Mi-8",'Таблиця 1'!$J:$J,"С-8 ком")+SUMIFS('Таблиця 1'!$K:$K,'Таблиця 1'!$B:$B,$A297,'Таблиця 1'!$I:$I,"Mi-24",'Таблиця 1'!$J:$J,"С-8 ком"))</f>
        <v/>
      </c>
      <c r="G297">
        <f>IF($A297="","",SUMIFS('Таблиця 1'!$K:$K,'Таблиця 1'!$B:$B,$A297,'Таблиця 1'!$I:$I,"Mi-8",'Таблиця 1'!$J:$J,"PC-80")+SUMIFS('Таблиця 1'!$K:$K,'Таблиця 1'!$B:$B,$A297,'Таблиця 1'!$I:$I,"Mi-24",'Таблиця 1'!$J:$J,"PC-80"))</f>
        <v/>
      </c>
      <c r="H297">
        <f>IF($A297="","",SUMIFS('Таблиця 1'!$K:$K,'Таблиця 1'!$B:$B,$A297,'Таблиця 1'!$I:$I,"Mi-8",'Таблиця 1'!$J:$J,"UAR-80")+SUMIFS('Таблиця 1'!$K:$K,'Таблиця 1'!$B:$B,$A297,'Таблиця 1'!$I:$I,"Mi-24",'Таблиця 1'!$J:$J,"UAR-80"))</f>
        <v/>
      </c>
      <c r="I297">
        <f>IF($A297="","",SUMIFS('Таблиця 1'!$K:$K,'Таблиця 1'!$B:$B,$A297,'Таблиця 1'!$I:$I,"Mi-8",'Таблиця 1'!$J:$J,"C-13")+SUMIFS('Таблиця 1'!$K:$K,'Таблиця 1'!$B:$B,$A297,'Таблиця 1'!$I:$I,"Mi-24",'Таблиця 1'!$J:$J,"C-13"))</f>
        <v/>
      </c>
      <c r="J297">
        <f>IF($A297="","",SUMIFS('Таблиця 1'!$K:$K,'Таблиця 1'!$B:$B,$A297,'Таблиця 1'!$I:$I,"Mi-8",'Таблиця 1'!$J:$J,"Hydra-70")+SUMIFS('Таблиця 1'!$K:$K,'Таблиця 1'!$B:$B,$A297,'Таблиця 1'!$I:$I,"Mi-24",'Таблиця 1'!$J:$J,"Hydra-70"))</f>
        <v/>
      </c>
      <c r="K297">
        <f>IF($A297="","",SUMIFS('Таблиця 1'!$K:$K,'Таблиця 1'!$B:$B,$A297,'Таблиця 1'!$I:$I,"Mi-8",'Таблиця 1'!$J:$J,"Thales-70")+SUMIFS('Таблиця 1'!$K:$K,'Таблиця 1'!$B:$B,$A297,'Таблиця 1'!$I:$I,"Mi-24",'Таблиця 1'!$J:$J,"Thales-70"))</f>
        <v/>
      </c>
      <c r="L297">
        <f>IF($A297="","",SUMIFS('Таблиця 1'!$K:$K,'Таблиця 1'!$B:$B,$A297,'Таблиця 1'!$I:$I,"Mi-8",'Таблиця 1'!$J:$J,"Thales-FZ")+SUMIFS('Таблиця 1'!$K:$K,'Таблиця 1'!$B:$B,$A297,'Таблиця 1'!$I:$I,"Mi-24",'Таблиця 1'!$J:$J,"Thales-FZ"))</f>
        <v/>
      </c>
      <c r="M297">
        <f>IF($A297="","",SUMIFS('Таблиця 1'!$K:$K,'Таблиця 1'!$B:$B,$A297,'Таблиця 1'!$I:$I,"Mi-8",'Таблиця 1'!$J:$J,"МК-40")+SUMIFS('Таблиця 1'!$K:$K,'Таблиця 1'!$B:$B,$A297,'Таблиця 1'!$I:$I,"Mi-24",'Таблиця 1'!$J:$J,"МК-40"))</f>
        <v/>
      </c>
      <c r="N297">
        <f>IF($A297="","",SUMIFS('Таблиця 1'!$K:$K,'Таблиця 1'!$B:$B,$A297,'Таблиця 1'!$I:$I,"Mi-8",'Таблиця 1'!$J:$J,"Zuni")+SUMIFS('Таблиця 1'!$K:$K,'Таблиця 1'!$B:$B,$A297,'Таблиця 1'!$I:$I,"Mi-24",'Таблиця 1'!$J:$J,"Zuni"))</f>
        <v/>
      </c>
      <c r="O297">
        <f>IF($A297="","",COUNTIFS('Таблиця 1'!$B:$B,$A297,'Таблиця 1'!$I:$I,"Mi-8",'Таблиця 1'!$L:$L,"Уражено")+COUNTIFS('Таблиця 1'!$B:$B,$A297,'Таблиця 1'!$I:$I,"Mi-24",'Таблиця 1'!$L:$L,"Уражено"))</f>
        <v/>
      </c>
      <c r="P297">
        <f>IF($A297="","",COUNTIFS('Таблиця 1'!$B:$B,$A297,'Таблиця 1'!$I:$I,"Mi-8",'Таблиця 1'!$L:$L,"НЕ уражено")+COUNTIFS('Таблиця 1'!$B:$B,$A297,'Таблиця 1'!$I:$I,"Mi-24",'Таблиця 1'!$L:$L,"НЕ уражено"))</f>
        <v/>
      </c>
    </row>
    <row r="298">
      <c r="A298" s="273">
        <f>IF(A297="","",IF(A297+1&gt;MAX('Таблиця 1'!$B:$B),"",A297+1))</f>
        <v/>
      </c>
      <c r="B298">
        <f>IF($A298="","",COUNTIFS('Таблиця 1'!$B:$B,$A298,'Таблиця 1'!$I:$I,"Mi-8")+COUNTIFS('Таблиця 1'!$B:$B,$A298,'Таблиця 1'!$I:$I,"Mi-24"))</f>
        <v/>
      </c>
      <c r="C298">
        <f>IF($A298="","",COUNTIFS('Таблиця 1'!$B:$B,$A298,'Таблиця 1'!$I:$I,"Mi-8"))</f>
        <v/>
      </c>
      <c r="D298">
        <f>IF($A298="","",COUNTIFS('Таблиця 1'!$B:$B,$A298,'Таблиця 1'!$I:$I,"Mi-24"))</f>
        <v/>
      </c>
      <c r="E298">
        <f>IF($A298="","",SUMIFS('Таблиця 1'!$K:$K,'Таблиця 1'!$B:$B,$A298,'Таблиця 1'!$I:$I,"Mi-8",'Таблиця 1'!$J:$J,"ARS-8")+SUMIFS('Таблиця 1'!$K:$K,'Таблиця 1'!$B:$B,$A298,'Таблиця 1'!$I:$I,"Mi-24",'Таблиця 1'!$J:$J,"ARS-8"))</f>
        <v/>
      </c>
      <c r="F298">
        <f>IF($A298="","",SUMIFS('Таблиця 1'!$K:$K,'Таблиця 1'!$B:$B,$A298,'Таблиця 1'!$I:$I,"Mi-8",'Таблиця 1'!$J:$J,"С-8 ком")+SUMIFS('Таблиця 1'!$K:$K,'Таблиця 1'!$B:$B,$A298,'Таблиця 1'!$I:$I,"Mi-24",'Таблиця 1'!$J:$J,"С-8 ком"))</f>
        <v/>
      </c>
      <c r="G298">
        <f>IF($A298="","",SUMIFS('Таблиця 1'!$K:$K,'Таблиця 1'!$B:$B,$A298,'Таблиця 1'!$I:$I,"Mi-8",'Таблиця 1'!$J:$J,"PC-80")+SUMIFS('Таблиця 1'!$K:$K,'Таблиця 1'!$B:$B,$A298,'Таблиця 1'!$I:$I,"Mi-24",'Таблиця 1'!$J:$J,"PC-80"))</f>
        <v/>
      </c>
      <c r="H298">
        <f>IF($A298="","",SUMIFS('Таблиця 1'!$K:$K,'Таблиця 1'!$B:$B,$A298,'Таблиця 1'!$I:$I,"Mi-8",'Таблиця 1'!$J:$J,"UAR-80")+SUMIFS('Таблиця 1'!$K:$K,'Таблиця 1'!$B:$B,$A298,'Таблиця 1'!$I:$I,"Mi-24",'Таблиця 1'!$J:$J,"UAR-80"))</f>
        <v/>
      </c>
      <c r="I298">
        <f>IF($A298="","",SUMIFS('Таблиця 1'!$K:$K,'Таблиця 1'!$B:$B,$A298,'Таблиця 1'!$I:$I,"Mi-8",'Таблиця 1'!$J:$J,"C-13")+SUMIFS('Таблиця 1'!$K:$K,'Таблиця 1'!$B:$B,$A298,'Таблиця 1'!$I:$I,"Mi-24",'Таблиця 1'!$J:$J,"C-13"))</f>
        <v/>
      </c>
      <c r="J298">
        <f>IF($A298="","",SUMIFS('Таблиця 1'!$K:$K,'Таблиця 1'!$B:$B,$A298,'Таблиця 1'!$I:$I,"Mi-8",'Таблиця 1'!$J:$J,"Hydra-70")+SUMIFS('Таблиця 1'!$K:$K,'Таблиця 1'!$B:$B,$A298,'Таблиця 1'!$I:$I,"Mi-24",'Таблиця 1'!$J:$J,"Hydra-70"))</f>
        <v/>
      </c>
      <c r="K298">
        <f>IF($A298="","",SUMIFS('Таблиця 1'!$K:$K,'Таблиця 1'!$B:$B,$A298,'Таблиця 1'!$I:$I,"Mi-8",'Таблиця 1'!$J:$J,"Thales-70")+SUMIFS('Таблиця 1'!$K:$K,'Таблиця 1'!$B:$B,$A298,'Таблиця 1'!$I:$I,"Mi-24",'Таблиця 1'!$J:$J,"Thales-70"))</f>
        <v/>
      </c>
      <c r="L298">
        <f>IF($A298="","",SUMIFS('Таблиця 1'!$K:$K,'Таблиця 1'!$B:$B,$A298,'Таблиця 1'!$I:$I,"Mi-8",'Таблиця 1'!$J:$J,"Thales-FZ")+SUMIFS('Таблиця 1'!$K:$K,'Таблиця 1'!$B:$B,$A298,'Таблиця 1'!$I:$I,"Mi-24",'Таблиця 1'!$J:$J,"Thales-FZ"))</f>
        <v/>
      </c>
      <c r="M298">
        <f>IF($A298="","",SUMIFS('Таблиця 1'!$K:$K,'Таблиця 1'!$B:$B,$A298,'Таблиця 1'!$I:$I,"Mi-8",'Таблиця 1'!$J:$J,"МК-40")+SUMIFS('Таблиця 1'!$K:$K,'Таблиця 1'!$B:$B,$A298,'Таблиця 1'!$I:$I,"Mi-24",'Таблиця 1'!$J:$J,"МК-40"))</f>
        <v/>
      </c>
      <c r="N298">
        <f>IF($A298="","",SUMIFS('Таблиця 1'!$K:$K,'Таблиця 1'!$B:$B,$A298,'Таблиця 1'!$I:$I,"Mi-8",'Таблиця 1'!$J:$J,"Zuni")+SUMIFS('Таблиця 1'!$K:$K,'Таблиця 1'!$B:$B,$A298,'Таблиця 1'!$I:$I,"Mi-24",'Таблиця 1'!$J:$J,"Zuni"))</f>
        <v/>
      </c>
      <c r="O298">
        <f>IF($A298="","",COUNTIFS('Таблиця 1'!$B:$B,$A298,'Таблиця 1'!$I:$I,"Mi-8",'Таблиця 1'!$L:$L,"Уражено")+COUNTIFS('Таблиця 1'!$B:$B,$A298,'Таблиця 1'!$I:$I,"Mi-24",'Таблиця 1'!$L:$L,"Уражено"))</f>
        <v/>
      </c>
      <c r="P298">
        <f>IF($A298="","",COUNTIFS('Таблиця 1'!$B:$B,$A298,'Таблиця 1'!$I:$I,"Mi-8",'Таблиця 1'!$L:$L,"НЕ уражено")+COUNTIFS('Таблиця 1'!$B:$B,$A298,'Таблиця 1'!$I:$I,"Mi-24",'Таблиця 1'!$L:$L,"НЕ уражено"))</f>
        <v/>
      </c>
    </row>
    <row r="299">
      <c r="A299" s="273">
        <f>IF(A298="","",IF(A298+1&gt;MAX('Таблиця 1'!$B:$B),"",A298+1))</f>
        <v/>
      </c>
      <c r="B299">
        <f>IF($A299="","",COUNTIFS('Таблиця 1'!$B:$B,$A299,'Таблиця 1'!$I:$I,"Mi-8")+COUNTIFS('Таблиця 1'!$B:$B,$A299,'Таблиця 1'!$I:$I,"Mi-24"))</f>
        <v/>
      </c>
      <c r="C299">
        <f>IF($A299="","",COUNTIFS('Таблиця 1'!$B:$B,$A299,'Таблиця 1'!$I:$I,"Mi-8"))</f>
        <v/>
      </c>
      <c r="D299">
        <f>IF($A299="","",COUNTIFS('Таблиця 1'!$B:$B,$A299,'Таблиця 1'!$I:$I,"Mi-24"))</f>
        <v/>
      </c>
      <c r="E299">
        <f>IF($A299="","",SUMIFS('Таблиця 1'!$K:$K,'Таблиця 1'!$B:$B,$A299,'Таблиця 1'!$I:$I,"Mi-8",'Таблиця 1'!$J:$J,"ARS-8")+SUMIFS('Таблиця 1'!$K:$K,'Таблиця 1'!$B:$B,$A299,'Таблиця 1'!$I:$I,"Mi-24",'Таблиця 1'!$J:$J,"ARS-8"))</f>
        <v/>
      </c>
      <c r="F299">
        <f>IF($A299="","",SUMIFS('Таблиця 1'!$K:$K,'Таблиця 1'!$B:$B,$A299,'Таблиця 1'!$I:$I,"Mi-8",'Таблиця 1'!$J:$J,"С-8 ком")+SUMIFS('Таблиця 1'!$K:$K,'Таблиця 1'!$B:$B,$A299,'Таблиця 1'!$I:$I,"Mi-24",'Таблиця 1'!$J:$J,"С-8 ком"))</f>
        <v/>
      </c>
      <c r="G299">
        <f>IF($A299="","",SUMIFS('Таблиця 1'!$K:$K,'Таблиця 1'!$B:$B,$A299,'Таблиця 1'!$I:$I,"Mi-8",'Таблиця 1'!$J:$J,"PC-80")+SUMIFS('Таблиця 1'!$K:$K,'Таблиця 1'!$B:$B,$A299,'Таблиця 1'!$I:$I,"Mi-24",'Таблиця 1'!$J:$J,"PC-80"))</f>
        <v/>
      </c>
      <c r="H299">
        <f>IF($A299="","",SUMIFS('Таблиця 1'!$K:$K,'Таблиця 1'!$B:$B,$A299,'Таблиця 1'!$I:$I,"Mi-8",'Таблиця 1'!$J:$J,"UAR-80")+SUMIFS('Таблиця 1'!$K:$K,'Таблиця 1'!$B:$B,$A299,'Таблиця 1'!$I:$I,"Mi-24",'Таблиця 1'!$J:$J,"UAR-80"))</f>
        <v/>
      </c>
      <c r="I299">
        <f>IF($A299="","",SUMIFS('Таблиця 1'!$K:$K,'Таблиця 1'!$B:$B,$A299,'Таблиця 1'!$I:$I,"Mi-8",'Таблиця 1'!$J:$J,"C-13")+SUMIFS('Таблиця 1'!$K:$K,'Таблиця 1'!$B:$B,$A299,'Таблиця 1'!$I:$I,"Mi-24",'Таблиця 1'!$J:$J,"C-13"))</f>
        <v/>
      </c>
      <c r="J299">
        <f>IF($A299="","",SUMIFS('Таблиця 1'!$K:$K,'Таблиця 1'!$B:$B,$A299,'Таблиця 1'!$I:$I,"Mi-8",'Таблиця 1'!$J:$J,"Hydra-70")+SUMIFS('Таблиця 1'!$K:$K,'Таблиця 1'!$B:$B,$A299,'Таблиця 1'!$I:$I,"Mi-24",'Таблиця 1'!$J:$J,"Hydra-70"))</f>
        <v/>
      </c>
      <c r="K299">
        <f>IF($A299="","",SUMIFS('Таблиця 1'!$K:$K,'Таблиця 1'!$B:$B,$A299,'Таблиця 1'!$I:$I,"Mi-8",'Таблиця 1'!$J:$J,"Thales-70")+SUMIFS('Таблиця 1'!$K:$K,'Таблиця 1'!$B:$B,$A299,'Таблиця 1'!$I:$I,"Mi-24",'Таблиця 1'!$J:$J,"Thales-70"))</f>
        <v/>
      </c>
      <c r="L299">
        <f>IF($A299="","",SUMIFS('Таблиця 1'!$K:$K,'Таблиця 1'!$B:$B,$A299,'Таблиця 1'!$I:$I,"Mi-8",'Таблиця 1'!$J:$J,"Thales-FZ")+SUMIFS('Таблиця 1'!$K:$K,'Таблиця 1'!$B:$B,$A299,'Таблиця 1'!$I:$I,"Mi-24",'Таблиця 1'!$J:$J,"Thales-FZ"))</f>
        <v/>
      </c>
      <c r="M299">
        <f>IF($A299="","",SUMIFS('Таблиця 1'!$K:$K,'Таблиця 1'!$B:$B,$A299,'Таблиця 1'!$I:$I,"Mi-8",'Таблиця 1'!$J:$J,"МК-40")+SUMIFS('Таблиця 1'!$K:$K,'Таблиця 1'!$B:$B,$A299,'Таблиця 1'!$I:$I,"Mi-24",'Таблиця 1'!$J:$J,"МК-40"))</f>
        <v/>
      </c>
      <c r="N299">
        <f>IF($A299="","",SUMIFS('Таблиця 1'!$K:$K,'Таблиця 1'!$B:$B,$A299,'Таблиця 1'!$I:$I,"Mi-8",'Таблиця 1'!$J:$J,"Zuni")+SUMIFS('Таблиця 1'!$K:$K,'Таблиця 1'!$B:$B,$A299,'Таблиця 1'!$I:$I,"Mi-24",'Таблиця 1'!$J:$J,"Zuni"))</f>
        <v/>
      </c>
      <c r="O299">
        <f>IF($A299="","",COUNTIFS('Таблиця 1'!$B:$B,$A299,'Таблиця 1'!$I:$I,"Mi-8",'Таблиця 1'!$L:$L,"Уражено")+COUNTIFS('Таблиця 1'!$B:$B,$A299,'Таблиця 1'!$I:$I,"Mi-24",'Таблиця 1'!$L:$L,"Уражено"))</f>
        <v/>
      </c>
      <c r="P299">
        <f>IF($A299="","",COUNTIFS('Таблиця 1'!$B:$B,$A299,'Таблиця 1'!$I:$I,"Mi-8",'Таблиця 1'!$L:$L,"НЕ уражено")+COUNTIFS('Таблиця 1'!$B:$B,$A299,'Таблиця 1'!$I:$I,"Mi-24",'Таблиця 1'!$L:$L,"НЕ уражено"))</f>
        <v/>
      </c>
    </row>
    <row r="300">
      <c r="A300" s="273">
        <f>IF(A299="","",IF(A299+1&gt;MAX('Таблиця 1'!$B:$B),"",A299+1))</f>
        <v/>
      </c>
      <c r="B300">
        <f>IF($A300="","",COUNTIFS('Таблиця 1'!$B:$B,$A300,'Таблиця 1'!$I:$I,"Mi-8")+COUNTIFS('Таблиця 1'!$B:$B,$A300,'Таблиця 1'!$I:$I,"Mi-24"))</f>
        <v/>
      </c>
      <c r="C300">
        <f>IF($A300="","",COUNTIFS('Таблиця 1'!$B:$B,$A300,'Таблиця 1'!$I:$I,"Mi-8"))</f>
        <v/>
      </c>
      <c r="D300">
        <f>IF($A300="","",COUNTIFS('Таблиця 1'!$B:$B,$A300,'Таблиця 1'!$I:$I,"Mi-24"))</f>
        <v/>
      </c>
      <c r="E300">
        <f>IF($A300="","",SUMIFS('Таблиця 1'!$K:$K,'Таблиця 1'!$B:$B,$A300,'Таблиця 1'!$I:$I,"Mi-8",'Таблиця 1'!$J:$J,"ARS-8")+SUMIFS('Таблиця 1'!$K:$K,'Таблиця 1'!$B:$B,$A300,'Таблиця 1'!$I:$I,"Mi-24",'Таблиця 1'!$J:$J,"ARS-8"))</f>
        <v/>
      </c>
      <c r="F300">
        <f>IF($A300="","",SUMIFS('Таблиця 1'!$K:$K,'Таблиця 1'!$B:$B,$A300,'Таблиця 1'!$I:$I,"Mi-8",'Таблиця 1'!$J:$J,"С-8 ком")+SUMIFS('Таблиця 1'!$K:$K,'Таблиця 1'!$B:$B,$A300,'Таблиця 1'!$I:$I,"Mi-24",'Таблиця 1'!$J:$J,"С-8 ком"))</f>
        <v/>
      </c>
      <c r="G300">
        <f>IF($A300="","",SUMIFS('Таблиця 1'!$K:$K,'Таблиця 1'!$B:$B,$A300,'Таблиця 1'!$I:$I,"Mi-8",'Таблиця 1'!$J:$J,"PC-80")+SUMIFS('Таблиця 1'!$K:$K,'Таблиця 1'!$B:$B,$A300,'Таблиця 1'!$I:$I,"Mi-24",'Таблиця 1'!$J:$J,"PC-80"))</f>
        <v/>
      </c>
      <c r="H300">
        <f>IF($A300="","",SUMIFS('Таблиця 1'!$K:$K,'Таблиця 1'!$B:$B,$A300,'Таблиця 1'!$I:$I,"Mi-8",'Таблиця 1'!$J:$J,"UAR-80")+SUMIFS('Таблиця 1'!$K:$K,'Таблиця 1'!$B:$B,$A300,'Таблиця 1'!$I:$I,"Mi-24",'Таблиця 1'!$J:$J,"UAR-80"))</f>
        <v/>
      </c>
      <c r="I300">
        <f>IF($A300="","",SUMIFS('Таблиця 1'!$K:$K,'Таблиця 1'!$B:$B,$A300,'Таблиця 1'!$I:$I,"Mi-8",'Таблиця 1'!$J:$J,"C-13")+SUMIFS('Таблиця 1'!$K:$K,'Таблиця 1'!$B:$B,$A300,'Таблиця 1'!$I:$I,"Mi-24",'Таблиця 1'!$J:$J,"C-13"))</f>
        <v/>
      </c>
      <c r="J300">
        <f>IF($A300="","",SUMIFS('Таблиця 1'!$K:$K,'Таблиця 1'!$B:$B,$A300,'Таблиця 1'!$I:$I,"Mi-8",'Таблиця 1'!$J:$J,"Hydra-70")+SUMIFS('Таблиця 1'!$K:$K,'Таблиця 1'!$B:$B,$A300,'Таблиця 1'!$I:$I,"Mi-24",'Таблиця 1'!$J:$J,"Hydra-70"))</f>
        <v/>
      </c>
      <c r="K300">
        <f>IF($A300="","",SUMIFS('Таблиця 1'!$K:$K,'Таблиця 1'!$B:$B,$A300,'Таблиця 1'!$I:$I,"Mi-8",'Таблиця 1'!$J:$J,"Thales-70")+SUMIFS('Таблиця 1'!$K:$K,'Таблиця 1'!$B:$B,$A300,'Таблиця 1'!$I:$I,"Mi-24",'Таблиця 1'!$J:$J,"Thales-70"))</f>
        <v/>
      </c>
      <c r="L300">
        <f>IF($A300="","",SUMIFS('Таблиця 1'!$K:$K,'Таблиця 1'!$B:$B,$A300,'Таблиця 1'!$I:$I,"Mi-8",'Таблиця 1'!$J:$J,"Thales-FZ")+SUMIFS('Таблиця 1'!$K:$K,'Таблиця 1'!$B:$B,$A300,'Таблиця 1'!$I:$I,"Mi-24",'Таблиця 1'!$J:$J,"Thales-FZ"))</f>
        <v/>
      </c>
      <c r="M300">
        <f>IF($A300="","",SUMIFS('Таблиця 1'!$K:$K,'Таблиця 1'!$B:$B,$A300,'Таблиця 1'!$I:$I,"Mi-8",'Таблиця 1'!$J:$J,"МК-40")+SUMIFS('Таблиця 1'!$K:$K,'Таблиця 1'!$B:$B,$A300,'Таблиця 1'!$I:$I,"Mi-24",'Таблиця 1'!$J:$J,"МК-40"))</f>
        <v/>
      </c>
      <c r="N300">
        <f>IF($A300="","",SUMIFS('Таблиця 1'!$K:$K,'Таблиця 1'!$B:$B,$A300,'Таблиця 1'!$I:$I,"Mi-8",'Таблиця 1'!$J:$J,"Zuni")+SUMIFS('Таблиця 1'!$K:$K,'Таблиця 1'!$B:$B,$A300,'Таблиця 1'!$I:$I,"Mi-24",'Таблиця 1'!$J:$J,"Zuni"))</f>
        <v/>
      </c>
      <c r="O300">
        <f>IF($A300="","",COUNTIFS('Таблиця 1'!$B:$B,$A300,'Таблиця 1'!$I:$I,"Mi-8",'Таблиця 1'!$L:$L,"Уражено")+COUNTIFS('Таблиця 1'!$B:$B,$A300,'Таблиця 1'!$I:$I,"Mi-24",'Таблиця 1'!$L:$L,"Уражено"))</f>
        <v/>
      </c>
      <c r="P300">
        <f>IF($A300="","",COUNTIFS('Таблиця 1'!$B:$B,$A300,'Таблиця 1'!$I:$I,"Mi-8",'Таблиця 1'!$L:$L,"НЕ уражено")+COUNTIFS('Таблиця 1'!$B:$B,$A300,'Таблиця 1'!$I:$I,"Mi-24",'Таблиця 1'!$L:$L,"НЕ уражено"))</f>
        <v/>
      </c>
    </row>
    <row r="301">
      <c r="A301" s="273">
        <f>IF(A300="","",IF(A300+1&gt;MAX('Таблиця 1'!$B:$B),"",A300+1))</f>
        <v/>
      </c>
      <c r="B301">
        <f>IF($A301="","",COUNTIFS('Таблиця 1'!$B:$B,$A301,'Таблиця 1'!$I:$I,"Mi-8")+COUNTIFS('Таблиця 1'!$B:$B,$A301,'Таблиця 1'!$I:$I,"Mi-24"))</f>
        <v/>
      </c>
      <c r="C301">
        <f>IF($A301="","",COUNTIFS('Таблиця 1'!$B:$B,$A301,'Таблиця 1'!$I:$I,"Mi-8"))</f>
        <v/>
      </c>
      <c r="D301">
        <f>IF($A301="","",COUNTIFS('Таблиця 1'!$B:$B,$A301,'Таблиця 1'!$I:$I,"Mi-24"))</f>
        <v/>
      </c>
      <c r="E301">
        <f>IF($A301="","",SUMIFS('Таблиця 1'!$K:$K,'Таблиця 1'!$B:$B,$A301,'Таблиця 1'!$I:$I,"Mi-8",'Таблиця 1'!$J:$J,"ARS-8")+SUMIFS('Таблиця 1'!$K:$K,'Таблиця 1'!$B:$B,$A301,'Таблиця 1'!$I:$I,"Mi-24",'Таблиця 1'!$J:$J,"ARS-8"))</f>
        <v/>
      </c>
      <c r="F301">
        <f>IF($A301="","",SUMIFS('Таблиця 1'!$K:$K,'Таблиця 1'!$B:$B,$A301,'Таблиця 1'!$I:$I,"Mi-8",'Таблиця 1'!$J:$J,"С-8 ком")+SUMIFS('Таблиця 1'!$K:$K,'Таблиця 1'!$B:$B,$A301,'Таблиця 1'!$I:$I,"Mi-24",'Таблиця 1'!$J:$J,"С-8 ком"))</f>
        <v/>
      </c>
      <c r="G301">
        <f>IF($A301="","",SUMIFS('Таблиця 1'!$K:$K,'Таблиця 1'!$B:$B,$A301,'Таблиця 1'!$I:$I,"Mi-8",'Таблиця 1'!$J:$J,"PC-80")+SUMIFS('Таблиця 1'!$K:$K,'Таблиця 1'!$B:$B,$A301,'Таблиця 1'!$I:$I,"Mi-24",'Таблиця 1'!$J:$J,"PC-80"))</f>
        <v/>
      </c>
      <c r="H301">
        <f>IF($A301="","",SUMIFS('Таблиця 1'!$K:$K,'Таблиця 1'!$B:$B,$A301,'Таблиця 1'!$I:$I,"Mi-8",'Таблиця 1'!$J:$J,"UAR-80")+SUMIFS('Таблиця 1'!$K:$K,'Таблиця 1'!$B:$B,$A301,'Таблиця 1'!$I:$I,"Mi-24",'Таблиця 1'!$J:$J,"UAR-80"))</f>
        <v/>
      </c>
      <c r="I301">
        <f>IF($A301="","",SUMIFS('Таблиця 1'!$K:$K,'Таблиця 1'!$B:$B,$A301,'Таблиця 1'!$I:$I,"Mi-8",'Таблиця 1'!$J:$J,"C-13")+SUMIFS('Таблиця 1'!$K:$K,'Таблиця 1'!$B:$B,$A301,'Таблиця 1'!$I:$I,"Mi-24",'Таблиця 1'!$J:$J,"C-13"))</f>
        <v/>
      </c>
      <c r="J301">
        <f>IF($A301="","",SUMIFS('Таблиця 1'!$K:$K,'Таблиця 1'!$B:$B,$A301,'Таблиця 1'!$I:$I,"Mi-8",'Таблиця 1'!$J:$J,"Hydra-70")+SUMIFS('Таблиця 1'!$K:$K,'Таблиця 1'!$B:$B,$A301,'Таблиця 1'!$I:$I,"Mi-24",'Таблиця 1'!$J:$J,"Hydra-70"))</f>
        <v/>
      </c>
      <c r="K301">
        <f>IF($A301="","",SUMIFS('Таблиця 1'!$K:$K,'Таблиця 1'!$B:$B,$A301,'Таблиця 1'!$I:$I,"Mi-8",'Таблиця 1'!$J:$J,"Thales-70")+SUMIFS('Таблиця 1'!$K:$K,'Таблиця 1'!$B:$B,$A301,'Таблиця 1'!$I:$I,"Mi-24",'Таблиця 1'!$J:$J,"Thales-70"))</f>
        <v/>
      </c>
      <c r="L301">
        <f>IF($A301="","",SUMIFS('Таблиця 1'!$K:$K,'Таблиця 1'!$B:$B,$A301,'Таблиця 1'!$I:$I,"Mi-8",'Таблиця 1'!$J:$J,"Thales-FZ")+SUMIFS('Таблиця 1'!$K:$K,'Таблиця 1'!$B:$B,$A301,'Таблиця 1'!$I:$I,"Mi-24",'Таблиця 1'!$J:$J,"Thales-FZ"))</f>
        <v/>
      </c>
      <c r="M301">
        <f>IF($A301="","",SUMIFS('Таблиця 1'!$K:$K,'Таблиця 1'!$B:$B,$A301,'Таблиця 1'!$I:$I,"Mi-8",'Таблиця 1'!$J:$J,"МК-40")+SUMIFS('Таблиця 1'!$K:$K,'Таблиця 1'!$B:$B,$A301,'Таблиця 1'!$I:$I,"Mi-24",'Таблиця 1'!$J:$J,"МК-40"))</f>
        <v/>
      </c>
      <c r="N301">
        <f>IF($A301="","",SUMIFS('Таблиця 1'!$K:$K,'Таблиця 1'!$B:$B,$A301,'Таблиця 1'!$I:$I,"Mi-8",'Таблиця 1'!$J:$J,"Zuni")+SUMIFS('Таблиця 1'!$K:$K,'Таблиця 1'!$B:$B,$A301,'Таблиця 1'!$I:$I,"Mi-24",'Таблиця 1'!$J:$J,"Zuni"))</f>
        <v/>
      </c>
      <c r="O301">
        <f>IF($A301="","",COUNTIFS('Таблиця 1'!$B:$B,$A301,'Таблиця 1'!$I:$I,"Mi-8",'Таблиця 1'!$L:$L,"Уражено")+COUNTIFS('Таблиця 1'!$B:$B,$A301,'Таблиця 1'!$I:$I,"Mi-24",'Таблиця 1'!$L:$L,"Уражено"))</f>
        <v/>
      </c>
      <c r="P301">
        <f>IF($A301="","",COUNTIFS('Таблиця 1'!$B:$B,$A301,'Таблиця 1'!$I:$I,"Mi-8",'Таблиця 1'!$L:$L,"НЕ уражено")+COUNTIFS('Таблиця 1'!$B:$B,$A301,'Таблиця 1'!$I:$I,"Mi-24",'Таблиця 1'!$L:$L,"НЕ уражено"))</f>
        <v/>
      </c>
    </row>
    <row r="302">
      <c r="A302" s="273">
        <f>IF(A301="","",IF(A301+1&gt;MAX('Таблиця 1'!$B:$B),"",A301+1))</f>
        <v/>
      </c>
      <c r="B302">
        <f>IF($A302="","",COUNTIFS('Таблиця 1'!$B:$B,$A302,'Таблиця 1'!$I:$I,"Mi-8")+COUNTIFS('Таблиця 1'!$B:$B,$A302,'Таблиця 1'!$I:$I,"Mi-24"))</f>
        <v/>
      </c>
      <c r="C302">
        <f>IF($A302="","",COUNTIFS('Таблиця 1'!$B:$B,$A302,'Таблиця 1'!$I:$I,"Mi-8"))</f>
        <v/>
      </c>
      <c r="D302">
        <f>IF($A302="","",COUNTIFS('Таблиця 1'!$B:$B,$A302,'Таблиця 1'!$I:$I,"Mi-24"))</f>
        <v/>
      </c>
      <c r="E302">
        <f>IF($A302="","",SUMIFS('Таблиця 1'!$K:$K,'Таблиця 1'!$B:$B,$A302,'Таблиця 1'!$I:$I,"Mi-8",'Таблиця 1'!$J:$J,"ARS-8")+SUMIFS('Таблиця 1'!$K:$K,'Таблиця 1'!$B:$B,$A302,'Таблиця 1'!$I:$I,"Mi-24",'Таблиця 1'!$J:$J,"ARS-8"))</f>
        <v/>
      </c>
      <c r="F302">
        <f>IF($A302="","",SUMIFS('Таблиця 1'!$K:$K,'Таблиця 1'!$B:$B,$A302,'Таблиця 1'!$I:$I,"Mi-8",'Таблиця 1'!$J:$J,"С-8 ком")+SUMIFS('Таблиця 1'!$K:$K,'Таблиця 1'!$B:$B,$A302,'Таблиця 1'!$I:$I,"Mi-24",'Таблиця 1'!$J:$J,"С-8 ком"))</f>
        <v/>
      </c>
      <c r="G302">
        <f>IF($A302="","",SUMIFS('Таблиця 1'!$K:$K,'Таблиця 1'!$B:$B,$A302,'Таблиця 1'!$I:$I,"Mi-8",'Таблиця 1'!$J:$J,"PC-80")+SUMIFS('Таблиця 1'!$K:$K,'Таблиця 1'!$B:$B,$A302,'Таблиця 1'!$I:$I,"Mi-24",'Таблиця 1'!$J:$J,"PC-80"))</f>
        <v/>
      </c>
      <c r="H302">
        <f>IF($A302="","",SUMIFS('Таблиця 1'!$K:$K,'Таблиця 1'!$B:$B,$A302,'Таблиця 1'!$I:$I,"Mi-8",'Таблиця 1'!$J:$J,"UAR-80")+SUMIFS('Таблиця 1'!$K:$K,'Таблиця 1'!$B:$B,$A302,'Таблиця 1'!$I:$I,"Mi-24",'Таблиця 1'!$J:$J,"UAR-80"))</f>
        <v/>
      </c>
      <c r="I302">
        <f>IF($A302="","",SUMIFS('Таблиця 1'!$K:$K,'Таблиця 1'!$B:$B,$A302,'Таблиця 1'!$I:$I,"Mi-8",'Таблиця 1'!$J:$J,"C-13")+SUMIFS('Таблиця 1'!$K:$K,'Таблиця 1'!$B:$B,$A302,'Таблиця 1'!$I:$I,"Mi-24",'Таблиця 1'!$J:$J,"C-13"))</f>
        <v/>
      </c>
      <c r="J302">
        <f>IF($A302="","",SUMIFS('Таблиця 1'!$K:$K,'Таблиця 1'!$B:$B,$A302,'Таблиця 1'!$I:$I,"Mi-8",'Таблиця 1'!$J:$J,"Hydra-70")+SUMIFS('Таблиця 1'!$K:$K,'Таблиця 1'!$B:$B,$A302,'Таблиця 1'!$I:$I,"Mi-24",'Таблиця 1'!$J:$J,"Hydra-70"))</f>
        <v/>
      </c>
      <c r="K302">
        <f>IF($A302="","",SUMIFS('Таблиця 1'!$K:$K,'Таблиця 1'!$B:$B,$A302,'Таблиця 1'!$I:$I,"Mi-8",'Таблиця 1'!$J:$J,"Thales-70")+SUMIFS('Таблиця 1'!$K:$K,'Таблиця 1'!$B:$B,$A302,'Таблиця 1'!$I:$I,"Mi-24",'Таблиця 1'!$J:$J,"Thales-70"))</f>
        <v/>
      </c>
      <c r="L302">
        <f>IF($A302="","",SUMIFS('Таблиця 1'!$K:$K,'Таблиця 1'!$B:$B,$A302,'Таблиця 1'!$I:$I,"Mi-8",'Таблиця 1'!$J:$J,"Thales-FZ")+SUMIFS('Таблиця 1'!$K:$K,'Таблиця 1'!$B:$B,$A302,'Таблиця 1'!$I:$I,"Mi-24",'Таблиця 1'!$J:$J,"Thales-FZ"))</f>
        <v/>
      </c>
      <c r="M302">
        <f>IF($A302="","",SUMIFS('Таблиця 1'!$K:$K,'Таблиця 1'!$B:$B,$A302,'Таблиця 1'!$I:$I,"Mi-8",'Таблиця 1'!$J:$J,"МК-40")+SUMIFS('Таблиця 1'!$K:$K,'Таблиця 1'!$B:$B,$A302,'Таблиця 1'!$I:$I,"Mi-24",'Таблиця 1'!$J:$J,"МК-40"))</f>
        <v/>
      </c>
      <c r="N302">
        <f>IF($A302="","",SUMIFS('Таблиця 1'!$K:$K,'Таблиця 1'!$B:$B,$A302,'Таблиця 1'!$I:$I,"Mi-8",'Таблиця 1'!$J:$J,"Zuni")+SUMIFS('Таблиця 1'!$K:$K,'Таблиця 1'!$B:$B,$A302,'Таблиця 1'!$I:$I,"Mi-24",'Таблиця 1'!$J:$J,"Zuni"))</f>
        <v/>
      </c>
      <c r="O302">
        <f>IF($A302="","",COUNTIFS('Таблиця 1'!$B:$B,$A302,'Таблиця 1'!$I:$I,"Mi-8",'Таблиця 1'!$L:$L,"Уражено")+COUNTIFS('Таблиця 1'!$B:$B,$A302,'Таблиця 1'!$I:$I,"Mi-24",'Таблиця 1'!$L:$L,"Уражено"))</f>
        <v/>
      </c>
      <c r="P302">
        <f>IF($A302="","",COUNTIFS('Таблиця 1'!$B:$B,$A302,'Таблиця 1'!$I:$I,"Mi-8",'Таблиця 1'!$L:$L,"НЕ уражено")+COUNTIFS('Таблиця 1'!$B:$B,$A302,'Таблиця 1'!$I:$I,"Mi-24",'Таблиця 1'!$L:$L,"НЕ уражено"))</f>
        <v/>
      </c>
    </row>
    <row r="303">
      <c r="A303" s="273">
        <f>IF(A302="","",IF(A302+1&gt;MAX('Таблиця 1'!$B:$B),"",A302+1))</f>
        <v/>
      </c>
      <c r="B303">
        <f>IF($A303="","",COUNTIFS('Таблиця 1'!$B:$B,$A303,'Таблиця 1'!$I:$I,"Mi-8")+COUNTIFS('Таблиця 1'!$B:$B,$A303,'Таблиця 1'!$I:$I,"Mi-24"))</f>
        <v/>
      </c>
      <c r="C303">
        <f>IF($A303="","",COUNTIFS('Таблиця 1'!$B:$B,$A303,'Таблиця 1'!$I:$I,"Mi-8"))</f>
        <v/>
      </c>
      <c r="D303">
        <f>IF($A303="","",COUNTIFS('Таблиця 1'!$B:$B,$A303,'Таблиця 1'!$I:$I,"Mi-24"))</f>
        <v/>
      </c>
      <c r="E303">
        <f>IF($A303="","",SUMIFS('Таблиця 1'!$K:$K,'Таблиця 1'!$B:$B,$A303,'Таблиця 1'!$I:$I,"Mi-8",'Таблиця 1'!$J:$J,"ARS-8")+SUMIFS('Таблиця 1'!$K:$K,'Таблиця 1'!$B:$B,$A303,'Таблиця 1'!$I:$I,"Mi-24",'Таблиця 1'!$J:$J,"ARS-8"))</f>
        <v/>
      </c>
      <c r="F303">
        <f>IF($A303="","",SUMIFS('Таблиця 1'!$K:$K,'Таблиця 1'!$B:$B,$A303,'Таблиця 1'!$I:$I,"Mi-8",'Таблиця 1'!$J:$J,"С-8 ком")+SUMIFS('Таблиця 1'!$K:$K,'Таблиця 1'!$B:$B,$A303,'Таблиця 1'!$I:$I,"Mi-24",'Таблиця 1'!$J:$J,"С-8 ком"))</f>
        <v/>
      </c>
      <c r="G303">
        <f>IF($A303="","",SUMIFS('Таблиця 1'!$K:$K,'Таблиця 1'!$B:$B,$A303,'Таблиця 1'!$I:$I,"Mi-8",'Таблиця 1'!$J:$J,"PC-80")+SUMIFS('Таблиця 1'!$K:$K,'Таблиця 1'!$B:$B,$A303,'Таблиця 1'!$I:$I,"Mi-24",'Таблиця 1'!$J:$J,"PC-80"))</f>
        <v/>
      </c>
      <c r="H303">
        <f>IF($A303="","",SUMIFS('Таблиця 1'!$K:$K,'Таблиця 1'!$B:$B,$A303,'Таблиця 1'!$I:$I,"Mi-8",'Таблиця 1'!$J:$J,"UAR-80")+SUMIFS('Таблиця 1'!$K:$K,'Таблиця 1'!$B:$B,$A303,'Таблиця 1'!$I:$I,"Mi-24",'Таблиця 1'!$J:$J,"UAR-80"))</f>
        <v/>
      </c>
      <c r="I303">
        <f>IF($A303="","",SUMIFS('Таблиця 1'!$K:$K,'Таблиця 1'!$B:$B,$A303,'Таблиця 1'!$I:$I,"Mi-8",'Таблиця 1'!$J:$J,"C-13")+SUMIFS('Таблиця 1'!$K:$K,'Таблиця 1'!$B:$B,$A303,'Таблиця 1'!$I:$I,"Mi-24",'Таблиця 1'!$J:$J,"C-13"))</f>
        <v/>
      </c>
      <c r="J303">
        <f>IF($A303="","",SUMIFS('Таблиця 1'!$K:$K,'Таблиця 1'!$B:$B,$A303,'Таблиця 1'!$I:$I,"Mi-8",'Таблиця 1'!$J:$J,"Hydra-70")+SUMIFS('Таблиця 1'!$K:$K,'Таблиця 1'!$B:$B,$A303,'Таблиця 1'!$I:$I,"Mi-24",'Таблиця 1'!$J:$J,"Hydra-70"))</f>
        <v/>
      </c>
      <c r="K303">
        <f>IF($A303="","",SUMIFS('Таблиця 1'!$K:$K,'Таблиця 1'!$B:$B,$A303,'Таблиця 1'!$I:$I,"Mi-8",'Таблиця 1'!$J:$J,"Thales-70")+SUMIFS('Таблиця 1'!$K:$K,'Таблиця 1'!$B:$B,$A303,'Таблиця 1'!$I:$I,"Mi-24",'Таблиця 1'!$J:$J,"Thales-70"))</f>
        <v/>
      </c>
      <c r="L303">
        <f>IF($A303="","",SUMIFS('Таблиця 1'!$K:$K,'Таблиця 1'!$B:$B,$A303,'Таблиця 1'!$I:$I,"Mi-8",'Таблиця 1'!$J:$J,"Thales-FZ")+SUMIFS('Таблиця 1'!$K:$K,'Таблиця 1'!$B:$B,$A303,'Таблиця 1'!$I:$I,"Mi-24",'Таблиця 1'!$J:$J,"Thales-FZ"))</f>
        <v/>
      </c>
      <c r="M303">
        <f>IF($A303="","",SUMIFS('Таблиця 1'!$K:$K,'Таблиця 1'!$B:$B,$A303,'Таблиця 1'!$I:$I,"Mi-8",'Таблиця 1'!$J:$J,"МК-40")+SUMIFS('Таблиця 1'!$K:$K,'Таблиця 1'!$B:$B,$A303,'Таблиця 1'!$I:$I,"Mi-24",'Таблиця 1'!$J:$J,"МК-40"))</f>
        <v/>
      </c>
      <c r="N303">
        <f>IF($A303="","",SUMIFS('Таблиця 1'!$K:$K,'Таблиця 1'!$B:$B,$A303,'Таблиця 1'!$I:$I,"Mi-8",'Таблиця 1'!$J:$J,"Zuni")+SUMIFS('Таблиця 1'!$K:$K,'Таблиця 1'!$B:$B,$A303,'Таблиця 1'!$I:$I,"Mi-24",'Таблиця 1'!$J:$J,"Zuni"))</f>
        <v/>
      </c>
      <c r="O303">
        <f>IF($A303="","",COUNTIFS('Таблиця 1'!$B:$B,$A303,'Таблиця 1'!$I:$I,"Mi-8",'Таблиця 1'!$L:$L,"Уражено")+COUNTIFS('Таблиця 1'!$B:$B,$A303,'Таблиця 1'!$I:$I,"Mi-24",'Таблиця 1'!$L:$L,"Уражено"))</f>
        <v/>
      </c>
      <c r="P303">
        <f>IF($A303="","",COUNTIFS('Таблиця 1'!$B:$B,$A303,'Таблиця 1'!$I:$I,"Mi-8",'Таблиця 1'!$L:$L,"НЕ уражено")+COUNTIFS('Таблиця 1'!$B:$B,$A303,'Таблиця 1'!$I:$I,"Mi-24",'Таблиця 1'!$L:$L,"НЕ уражено"))</f>
        <v/>
      </c>
    </row>
    <row r="304">
      <c r="A304" s="273">
        <f>IF(A303="","",IF(A303+1&gt;MAX('Таблиця 1'!$B:$B),"",A303+1))</f>
        <v/>
      </c>
      <c r="B304">
        <f>IF($A304="","",COUNTIFS('Таблиця 1'!$B:$B,$A304,'Таблиця 1'!$I:$I,"Mi-8")+COUNTIFS('Таблиця 1'!$B:$B,$A304,'Таблиця 1'!$I:$I,"Mi-24"))</f>
        <v/>
      </c>
      <c r="C304">
        <f>IF($A304="","",COUNTIFS('Таблиця 1'!$B:$B,$A304,'Таблиця 1'!$I:$I,"Mi-8"))</f>
        <v/>
      </c>
      <c r="D304">
        <f>IF($A304="","",COUNTIFS('Таблиця 1'!$B:$B,$A304,'Таблиця 1'!$I:$I,"Mi-24"))</f>
        <v/>
      </c>
      <c r="E304">
        <f>IF($A304="","",SUMIFS('Таблиця 1'!$K:$K,'Таблиця 1'!$B:$B,$A304,'Таблиця 1'!$I:$I,"Mi-8",'Таблиця 1'!$J:$J,"ARS-8")+SUMIFS('Таблиця 1'!$K:$K,'Таблиця 1'!$B:$B,$A304,'Таблиця 1'!$I:$I,"Mi-24",'Таблиця 1'!$J:$J,"ARS-8"))</f>
        <v/>
      </c>
      <c r="F304">
        <f>IF($A304="","",SUMIFS('Таблиця 1'!$K:$K,'Таблиця 1'!$B:$B,$A304,'Таблиця 1'!$I:$I,"Mi-8",'Таблиця 1'!$J:$J,"С-8 ком")+SUMIFS('Таблиця 1'!$K:$K,'Таблиця 1'!$B:$B,$A304,'Таблиця 1'!$I:$I,"Mi-24",'Таблиця 1'!$J:$J,"С-8 ком"))</f>
        <v/>
      </c>
      <c r="G304">
        <f>IF($A304="","",SUMIFS('Таблиця 1'!$K:$K,'Таблиця 1'!$B:$B,$A304,'Таблиця 1'!$I:$I,"Mi-8",'Таблиця 1'!$J:$J,"PC-80")+SUMIFS('Таблиця 1'!$K:$K,'Таблиця 1'!$B:$B,$A304,'Таблиця 1'!$I:$I,"Mi-24",'Таблиця 1'!$J:$J,"PC-80"))</f>
        <v/>
      </c>
      <c r="H304">
        <f>IF($A304="","",SUMIFS('Таблиця 1'!$K:$K,'Таблиця 1'!$B:$B,$A304,'Таблиця 1'!$I:$I,"Mi-8",'Таблиця 1'!$J:$J,"UAR-80")+SUMIFS('Таблиця 1'!$K:$K,'Таблиця 1'!$B:$B,$A304,'Таблиця 1'!$I:$I,"Mi-24",'Таблиця 1'!$J:$J,"UAR-80"))</f>
        <v/>
      </c>
      <c r="I304">
        <f>IF($A304="","",SUMIFS('Таблиця 1'!$K:$K,'Таблиця 1'!$B:$B,$A304,'Таблиця 1'!$I:$I,"Mi-8",'Таблиця 1'!$J:$J,"C-13")+SUMIFS('Таблиця 1'!$K:$K,'Таблиця 1'!$B:$B,$A304,'Таблиця 1'!$I:$I,"Mi-24",'Таблиця 1'!$J:$J,"C-13"))</f>
        <v/>
      </c>
      <c r="J304">
        <f>IF($A304="","",SUMIFS('Таблиця 1'!$K:$K,'Таблиця 1'!$B:$B,$A304,'Таблиця 1'!$I:$I,"Mi-8",'Таблиця 1'!$J:$J,"Hydra-70")+SUMIFS('Таблиця 1'!$K:$K,'Таблиця 1'!$B:$B,$A304,'Таблиця 1'!$I:$I,"Mi-24",'Таблиця 1'!$J:$J,"Hydra-70"))</f>
        <v/>
      </c>
      <c r="K304">
        <f>IF($A304="","",SUMIFS('Таблиця 1'!$K:$K,'Таблиця 1'!$B:$B,$A304,'Таблиця 1'!$I:$I,"Mi-8",'Таблиця 1'!$J:$J,"Thales-70")+SUMIFS('Таблиця 1'!$K:$K,'Таблиця 1'!$B:$B,$A304,'Таблиця 1'!$I:$I,"Mi-24",'Таблиця 1'!$J:$J,"Thales-70"))</f>
        <v/>
      </c>
      <c r="L304">
        <f>IF($A304="","",SUMIFS('Таблиця 1'!$K:$K,'Таблиця 1'!$B:$B,$A304,'Таблиця 1'!$I:$I,"Mi-8",'Таблиця 1'!$J:$J,"Thales-FZ")+SUMIFS('Таблиця 1'!$K:$K,'Таблиця 1'!$B:$B,$A304,'Таблиця 1'!$I:$I,"Mi-24",'Таблиця 1'!$J:$J,"Thales-FZ"))</f>
        <v/>
      </c>
      <c r="M304">
        <f>IF($A304="","",SUMIFS('Таблиця 1'!$K:$K,'Таблиця 1'!$B:$B,$A304,'Таблиця 1'!$I:$I,"Mi-8",'Таблиця 1'!$J:$J,"МК-40")+SUMIFS('Таблиця 1'!$K:$K,'Таблиця 1'!$B:$B,$A304,'Таблиця 1'!$I:$I,"Mi-24",'Таблиця 1'!$J:$J,"МК-40"))</f>
        <v/>
      </c>
      <c r="N304">
        <f>IF($A304="","",SUMIFS('Таблиця 1'!$K:$K,'Таблиця 1'!$B:$B,$A304,'Таблиця 1'!$I:$I,"Mi-8",'Таблиця 1'!$J:$J,"Zuni")+SUMIFS('Таблиця 1'!$K:$K,'Таблиця 1'!$B:$B,$A304,'Таблиця 1'!$I:$I,"Mi-24",'Таблиця 1'!$J:$J,"Zuni"))</f>
        <v/>
      </c>
      <c r="O304">
        <f>IF($A304="","",COUNTIFS('Таблиця 1'!$B:$B,$A304,'Таблиця 1'!$I:$I,"Mi-8",'Таблиця 1'!$L:$L,"Уражено")+COUNTIFS('Таблиця 1'!$B:$B,$A304,'Таблиця 1'!$I:$I,"Mi-24",'Таблиця 1'!$L:$L,"Уражено"))</f>
        <v/>
      </c>
      <c r="P304">
        <f>IF($A304="","",COUNTIFS('Таблиця 1'!$B:$B,$A304,'Таблиця 1'!$I:$I,"Mi-8",'Таблиця 1'!$L:$L,"НЕ уражено")+COUNTIFS('Таблиця 1'!$B:$B,$A304,'Таблиця 1'!$I:$I,"Mi-24",'Таблиця 1'!$L:$L,"НЕ уражено"))</f>
        <v/>
      </c>
    </row>
    <row r="305">
      <c r="A305" s="273">
        <f>IF(A304="","",IF(A304+1&gt;MAX('Таблиця 1'!$B:$B),"",A304+1))</f>
        <v/>
      </c>
      <c r="B305">
        <f>IF($A305="","",COUNTIFS('Таблиця 1'!$B:$B,$A305,'Таблиця 1'!$I:$I,"Mi-8")+COUNTIFS('Таблиця 1'!$B:$B,$A305,'Таблиця 1'!$I:$I,"Mi-24"))</f>
        <v/>
      </c>
      <c r="C305">
        <f>IF($A305="","",COUNTIFS('Таблиця 1'!$B:$B,$A305,'Таблиця 1'!$I:$I,"Mi-8"))</f>
        <v/>
      </c>
      <c r="D305">
        <f>IF($A305="","",COUNTIFS('Таблиця 1'!$B:$B,$A305,'Таблиця 1'!$I:$I,"Mi-24"))</f>
        <v/>
      </c>
      <c r="E305">
        <f>IF($A305="","",SUMIFS('Таблиця 1'!$K:$K,'Таблиця 1'!$B:$B,$A305,'Таблиця 1'!$I:$I,"Mi-8",'Таблиця 1'!$J:$J,"ARS-8")+SUMIFS('Таблиця 1'!$K:$K,'Таблиця 1'!$B:$B,$A305,'Таблиця 1'!$I:$I,"Mi-24",'Таблиця 1'!$J:$J,"ARS-8"))</f>
        <v/>
      </c>
      <c r="F305">
        <f>IF($A305="","",SUMIFS('Таблиця 1'!$K:$K,'Таблиця 1'!$B:$B,$A305,'Таблиця 1'!$I:$I,"Mi-8",'Таблиця 1'!$J:$J,"С-8 ком")+SUMIFS('Таблиця 1'!$K:$K,'Таблиця 1'!$B:$B,$A305,'Таблиця 1'!$I:$I,"Mi-24",'Таблиця 1'!$J:$J,"С-8 ком"))</f>
        <v/>
      </c>
      <c r="G305">
        <f>IF($A305="","",SUMIFS('Таблиця 1'!$K:$K,'Таблиця 1'!$B:$B,$A305,'Таблиця 1'!$I:$I,"Mi-8",'Таблиця 1'!$J:$J,"PC-80")+SUMIFS('Таблиця 1'!$K:$K,'Таблиця 1'!$B:$B,$A305,'Таблиця 1'!$I:$I,"Mi-24",'Таблиця 1'!$J:$J,"PC-80"))</f>
        <v/>
      </c>
      <c r="H305">
        <f>IF($A305="","",SUMIFS('Таблиця 1'!$K:$K,'Таблиця 1'!$B:$B,$A305,'Таблиця 1'!$I:$I,"Mi-8",'Таблиця 1'!$J:$J,"UAR-80")+SUMIFS('Таблиця 1'!$K:$K,'Таблиця 1'!$B:$B,$A305,'Таблиця 1'!$I:$I,"Mi-24",'Таблиця 1'!$J:$J,"UAR-80"))</f>
        <v/>
      </c>
      <c r="I305">
        <f>IF($A305="","",SUMIFS('Таблиця 1'!$K:$K,'Таблиця 1'!$B:$B,$A305,'Таблиця 1'!$I:$I,"Mi-8",'Таблиця 1'!$J:$J,"C-13")+SUMIFS('Таблиця 1'!$K:$K,'Таблиця 1'!$B:$B,$A305,'Таблиця 1'!$I:$I,"Mi-24",'Таблиця 1'!$J:$J,"C-13"))</f>
        <v/>
      </c>
      <c r="J305">
        <f>IF($A305="","",SUMIFS('Таблиця 1'!$K:$K,'Таблиця 1'!$B:$B,$A305,'Таблиця 1'!$I:$I,"Mi-8",'Таблиця 1'!$J:$J,"Hydra-70")+SUMIFS('Таблиця 1'!$K:$K,'Таблиця 1'!$B:$B,$A305,'Таблиця 1'!$I:$I,"Mi-24",'Таблиця 1'!$J:$J,"Hydra-70"))</f>
        <v/>
      </c>
      <c r="K305">
        <f>IF($A305="","",SUMIFS('Таблиця 1'!$K:$K,'Таблиця 1'!$B:$B,$A305,'Таблиця 1'!$I:$I,"Mi-8",'Таблиця 1'!$J:$J,"Thales-70")+SUMIFS('Таблиця 1'!$K:$K,'Таблиця 1'!$B:$B,$A305,'Таблиця 1'!$I:$I,"Mi-24",'Таблиця 1'!$J:$J,"Thales-70"))</f>
        <v/>
      </c>
      <c r="L305">
        <f>IF($A305="","",SUMIFS('Таблиця 1'!$K:$K,'Таблиця 1'!$B:$B,$A305,'Таблиця 1'!$I:$I,"Mi-8",'Таблиця 1'!$J:$J,"Thales-FZ")+SUMIFS('Таблиця 1'!$K:$K,'Таблиця 1'!$B:$B,$A305,'Таблиця 1'!$I:$I,"Mi-24",'Таблиця 1'!$J:$J,"Thales-FZ"))</f>
        <v/>
      </c>
      <c r="M305">
        <f>IF($A305="","",SUMIFS('Таблиця 1'!$K:$K,'Таблиця 1'!$B:$B,$A305,'Таблиця 1'!$I:$I,"Mi-8",'Таблиця 1'!$J:$J,"МК-40")+SUMIFS('Таблиця 1'!$K:$K,'Таблиця 1'!$B:$B,$A305,'Таблиця 1'!$I:$I,"Mi-24",'Таблиця 1'!$J:$J,"МК-40"))</f>
        <v/>
      </c>
      <c r="N305">
        <f>IF($A305="","",SUMIFS('Таблиця 1'!$K:$K,'Таблиця 1'!$B:$B,$A305,'Таблиця 1'!$I:$I,"Mi-8",'Таблиця 1'!$J:$J,"Zuni")+SUMIFS('Таблиця 1'!$K:$K,'Таблиця 1'!$B:$B,$A305,'Таблиця 1'!$I:$I,"Mi-24",'Таблиця 1'!$J:$J,"Zuni"))</f>
        <v/>
      </c>
      <c r="O305">
        <f>IF($A305="","",COUNTIFS('Таблиця 1'!$B:$B,$A305,'Таблиця 1'!$I:$I,"Mi-8",'Таблиця 1'!$L:$L,"Уражено")+COUNTIFS('Таблиця 1'!$B:$B,$A305,'Таблиця 1'!$I:$I,"Mi-24",'Таблиця 1'!$L:$L,"Уражено"))</f>
        <v/>
      </c>
      <c r="P305">
        <f>IF($A305="","",COUNTIFS('Таблиця 1'!$B:$B,$A305,'Таблиця 1'!$I:$I,"Mi-8",'Таблиця 1'!$L:$L,"НЕ уражено")+COUNTIFS('Таблиця 1'!$B:$B,$A305,'Таблиця 1'!$I:$I,"Mi-24",'Таблиця 1'!$L:$L,"НЕ уражено"))</f>
        <v/>
      </c>
    </row>
    <row r="306">
      <c r="A306" s="273">
        <f>IF(A305="","",IF(A305+1&gt;MAX('Таблиця 1'!$B:$B),"",A305+1))</f>
        <v/>
      </c>
      <c r="B306">
        <f>IF($A306="","",COUNTIFS('Таблиця 1'!$B:$B,$A306,'Таблиця 1'!$I:$I,"Mi-8")+COUNTIFS('Таблиця 1'!$B:$B,$A306,'Таблиця 1'!$I:$I,"Mi-24"))</f>
        <v/>
      </c>
      <c r="C306">
        <f>IF($A306="","",COUNTIFS('Таблиця 1'!$B:$B,$A306,'Таблиця 1'!$I:$I,"Mi-8"))</f>
        <v/>
      </c>
      <c r="D306">
        <f>IF($A306="","",COUNTIFS('Таблиця 1'!$B:$B,$A306,'Таблиця 1'!$I:$I,"Mi-24"))</f>
        <v/>
      </c>
      <c r="E306">
        <f>IF($A306="","",SUMIFS('Таблиця 1'!$K:$K,'Таблиця 1'!$B:$B,$A306,'Таблиця 1'!$I:$I,"Mi-8",'Таблиця 1'!$J:$J,"ARS-8")+SUMIFS('Таблиця 1'!$K:$K,'Таблиця 1'!$B:$B,$A306,'Таблиця 1'!$I:$I,"Mi-24",'Таблиця 1'!$J:$J,"ARS-8"))</f>
        <v/>
      </c>
      <c r="F306">
        <f>IF($A306="","",SUMIFS('Таблиця 1'!$K:$K,'Таблиця 1'!$B:$B,$A306,'Таблиця 1'!$I:$I,"Mi-8",'Таблиця 1'!$J:$J,"С-8 ком")+SUMIFS('Таблиця 1'!$K:$K,'Таблиця 1'!$B:$B,$A306,'Таблиця 1'!$I:$I,"Mi-24",'Таблиця 1'!$J:$J,"С-8 ком"))</f>
        <v/>
      </c>
      <c r="G306">
        <f>IF($A306="","",SUMIFS('Таблиця 1'!$K:$K,'Таблиця 1'!$B:$B,$A306,'Таблиця 1'!$I:$I,"Mi-8",'Таблиця 1'!$J:$J,"PC-80")+SUMIFS('Таблиця 1'!$K:$K,'Таблиця 1'!$B:$B,$A306,'Таблиця 1'!$I:$I,"Mi-24",'Таблиця 1'!$J:$J,"PC-80"))</f>
        <v/>
      </c>
      <c r="H306">
        <f>IF($A306="","",SUMIFS('Таблиця 1'!$K:$K,'Таблиця 1'!$B:$B,$A306,'Таблиця 1'!$I:$I,"Mi-8",'Таблиця 1'!$J:$J,"UAR-80")+SUMIFS('Таблиця 1'!$K:$K,'Таблиця 1'!$B:$B,$A306,'Таблиця 1'!$I:$I,"Mi-24",'Таблиця 1'!$J:$J,"UAR-80"))</f>
        <v/>
      </c>
      <c r="I306">
        <f>IF($A306="","",SUMIFS('Таблиця 1'!$K:$K,'Таблиця 1'!$B:$B,$A306,'Таблиця 1'!$I:$I,"Mi-8",'Таблиця 1'!$J:$J,"C-13")+SUMIFS('Таблиця 1'!$K:$K,'Таблиця 1'!$B:$B,$A306,'Таблиця 1'!$I:$I,"Mi-24",'Таблиця 1'!$J:$J,"C-13"))</f>
        <v/>
      </c>
      <c r="J306">
        <f>IF($A306="","",SUMIFS('Таблиця 1'!$K:$K,'Таблиця 1'!$B:$B,$A306,'Таблиця 1'!$I:$I,"Mi-8",'Таблиця 1'!$J:$J,"Hydra-70")+SUMIFS('Таблиця 1'!$K:$K,'Таблиця 1'!$B:$B,$A306,'Таблиця 1'!$I:$I,"Mi-24",'Таблиця 1'!$J:$J,"Hydra-70"))</f>
        <v/>
      </c>
      <c r="K306">
        <f>IF($A306="","",SUMIFS('Таблиця 1'!$K:$K,'Таблиця 1'!$B:$B,$A306,'Таблиця 1'!$I:$I,"Mi-8",'Таблиця 1'!$J:$J,"Thales-70")+SUMIFS('Таблиця 1'!$K:$K,'Таблиця 1'!$B:$B,$A306,'Таблиця 1'!$I:$I,"Mi-24",'Таблиця 1'!$J:$J,"Thales-70"))</f>
        <v/>
      </c>
      <c r="L306">
        <f>IF($A306="","",SUMIFS('Таблиця 1'!$K:$K,'Таблиця 1'!$B:$B,$A306,'Таблиця 1'!$I:$I,"Mi-8",'Таблиця 1'!$J:$J,"Thales-FZ")+SUMIFS('Таблиця 1'!$K:$K,'Таблиця 1'!$B:$B,$A306,'Таблиця 1'!$I:$I,"Mi-24",'Таблиця 1'!$J:$J,"Thales-FZ"))</f>
        <v/>
      </c>
      <c r="M306">
        <f>IF($A306="","",SUMIFS('Таблиця 1'!$K:$K,'Таблиця 1'!$B:$B,$A306,'Таблиця 1'!$I:$I,"Mi-8",'Таблиця 1'!$J:$J,"МК-40")+SUMIFS('Таблиця 1'!$K:$K,'Таблиця 1'!$B:$B,$A306,'Таблиця 1'!$I:$I,"Mi-24",'Таблиця 1'!$J:$J,"МК-40"))</f>
        <v/>
      </c>
      <c r="N306">
        <f>IF($A306="","",SUMIFS('Таблиця 1'!$K:$K,'Таблиця 1'!$B:$B,$A306,'Таблиця 1'!$I:$I,"Mi-8",'Таблиця 1'!$J:$J,"Zuni")+SUMIFS('Таблиця 1'!$K:$K,'Таблиця 1'!$B:$B,$A306,'Таблиця 1'!$I:$I,"Mi-24",'Таблиця 1'!$J:$J,"Zuni"))</f>
        <v/>
      </c>
      <c r="O306">
        <f>IF($A306="","",COUNTIFS('Таблиця 1'!$B:$B,$A306,'Таблиця 1'!$I:$I,"Mi-8",'Таблиця 1'!$L:$L,"Уражено")+COUNTIFS('Таблиця 1'!$B:$B,$A306,'Таблиця 1'!$I:$I,"Mi-24",'Таблиця 1'!$L:$L,"Уражено"))</f>
        <v/>
      </c>
      <c r="P306">
        <f>IF($A306="","",COUNTIFS('Таблиця 1'!$B:$B,$A306,'Таблиця 1'!$I:$I,"Mi-8",'Таблиця 1'!$L:$L,"НЕ уражено")+COUNTIFS('Таблиця 1'!$B:$B,$A306,'Таблиця 1'!$I:$I,"Mi-24",'Таблиця 1'!$L:$L,"НЕ уражено"))</f>
        <v/>
      </c>
    </row>
    <row r="307">
      <c r="A307" s="273">
        <f>IF(A306="","",IF(A306+1&gt;MAX('Таблиця 1'!$B:$B),"",A306+1))</f>
        <v/>
      </c>
      <c r="B307">
        <f>IF($A307="","",COUNTIFS('Таблиця 1'!$B:$B,$A307,'Таблиця 1'!$I:$I,"Mi-8")+COUNTIFS('Таблиця 1'!$B:$B,$A307,'Таблиця 1'!$I:$I,"Mi-24"))</f>
        <v/>
      </c>
      <c r="C307">
        <f>IF($A307="","",COUNTIFS('Таблиця 1'!$B:$B,$A307,'Таблиця 1'!$I:$I,"Mi-8"))</f>
        <v/>
      </c>
      <c r="D307">
        <f>IF($A307="","",COUNTIFS('Таблиця 1'!$B:$B,$A307,'Таблиця 1'!$I:$I,"Mi-24"))</f>
        <v/>
      </c>
      <c r="E307">
        <f>IF($A307="","",SUMIFS('Таблиця 1'!$K:$K,'Таблиця 1'!$B:$B,$A307,'Таблиця 1'!$I:$I,"Mi-8",'Таблиця 1'!$J:$J,"ARS-8")+SUMIFS('Таблиця 1'!$K:$K,'Таблиця 1'!$B:$B,$A307,'Таблиця 1'!$I:$I,"Mi-24",'Таблиця 1'!$J:$J,"ARS-8"))</f>
        <v/>
      </c>
      <c r="F307">
        <f>IF($A307="","",SUMIFS('Таблиця 1'!$K:$K,'Таблиця 1'!$B:$B,$A307,'Таблиця 1'!$I:$I,"Mi-8",'Таблиця 1'!$J:$J,"С-8 ком")+SUMIFS('Таблиця 1'!$K:$K,'Таблиця 1'!$B:$B,$A307,'Таблиця 1'!$I:$I,"Mi-24",'Таблиця 1'!$J:$J,"С-8 ком"))</f>
        <v/>
      </c>
      <c r="G307">
        <f>IF($A307="","",SUMIFS('Таблиця 1'!$K:$K,'Таблиця 1'!$B:$B,$A307,'Таблиця 1'!$I:$I,"Mi-8",'Таблиця 1'!$J:$J,"PC-80")+SUMIFS('Таблиця 1'!$K:$K,'Таблиця 1'!$B:$B,$A307,'Таблиця 1'!$I:$I,"Mi-24",'Таблиця 1'!$J:$J,"PC-80"))</f>
        <v/>
      </c>
      <c r="H307">
        <f>IF($A307="","",SUMIFS('Таблиця 1'!$K:$K,'Таблиця 1'!$B:$B,$A307,'Таблиця 1'!$I:$I,"Mi-8",'Таблиця 1'!$J:$J,"UAR-80")+SUMIFS('Таблиця 1'!$K:$K,'Таблиця 1'!$B:$B,$A307,'Таблиця 1'!$I:$I,"Mi-24",'Таблиця 1'!$J:$J,"UAR-80"))</f>
        <v/>
      </c>
      <c r="I307">
        <f>IF($A307="","",SUMIFS('Таблиця 1'!$K:$K,'Таблиця 1'!$B:$B,$A307,'Таблиця 1'!$I:$I,"Mi-8",'Таблиця 1'!$J:$J,"C-13")+SUMIFS('Таблиця 1'!$K:$K,'Таблиця 1'!$B:$B,$A307,'Таблиця 1'!$I:$I,"Mi-24",'Таблиця 1'!$J:$J,"C-13"))</f>
        <v/>
      </c>
      <c r="J307">
        <f>IF($A307="","",SUMIFS('Таблиця 1'!$K:$K,'Таблиця 1'!$B:$B,$A307,'Таблиця 1'!$I:$I,"Mi-8",'Таблиця 1'!$J:$J,"Hydra-70")+SUMIFS('Таблиця 1'!$K:$K,'Таблиця 1'!$B:$B,$A307,'Таблиця 1'!$I:$I,"Mi-24",'Таблиця 1'!$J:$J,"Hydra-70"))</f>
        <v/>
      </c>
      <c r="K307">
        <f>IF($A307="","",SUMIFS('Таблиця 1'!$K:$K,'Таблиця 1'!$B:$B,$A307,'Таблиця 1'!$I:$I,"Mi-8",'Таблиця 1'!$J:$J,"Thales-70")+SUMIFS('Таблиця 1'!$K:$K,'Таблиця 1'!$B:$B,$A307,'Таблиця 1'!$I:$I,"Mi-24",'Таблиця 1'!$J:$J,"Thales-70"))</f>
        <v/>
      </c>
      <c r="L307">
        <f>IF($A307="","",SUMIFS('Таблиця 1'!$K:$K,'Таблиця 1'!$B:$B,$A307,'Таблиця 1'!$I:$I,"Mi-8",'Таблиця 1'!$J:$J,"Thales-FZ")+SUMIFS('Таблиця 1'!$K:$K,'Таблиця 1'!$B:$B,$A307,'Таблиця 1'!$I:$I,"Mi-24",'Таблиця 1'!$J:$J,"Thales-FZ"))</f>
        <v/>
      </c>
      <c r="M307">
        <f>IF($A307="","",SUMIFS('Таблиця 1'!$K:$K,'Таблиця 1'!$B:$B,$A307,'Таблиця 1'!$I:$I,"Mi-8",'Таблиця 1'!$J:$J,"МК-40")+SUMIFS('Таблиця 1'!$K:$K,'Таблиця 1'!$B:$B,$A307,'Таблиця 1'!$I:$I,"Mi-24",'Таблиця 1'!$J:$J,"МК-40"))</f>
        <v/>
      </c>
      <c r="N307">
        <f>IF($A307="","",SUMIFS('Таблиця 1'!$K:$K,'Таблиця 1'!$B:$B,$A307,'Таблиця 1'!$I:$I,"Mi-8",'Таблиця 1'!$J:$J,"Zuni")+SUMIFS('Таблиця 1'!$K:$K,'Таблиця 1'!$B:$B,$A307,'Таблиця 1'!$I:$I,"Mi-24",'Таблиця 1'!$J:$J,"Zuni"))</f>
        <v/>
      </c>
      <c r="O307">
        <f>IF($A307="","",COUNTIFS('Таблиця 1'!$B:$B,$A307,'Таблиця 1'!$I:$I,"Mi-8",'Таблиця 1'!$L:$L,"Уражено")+COUNTIFS('Таблиця 1'!$B:$B,$A307,'Таблиця 1'!$I:$I,"Mi-24",'Таблиця 1'!$L:$L,"Уражено"))</f>
        <v/>
      </c>
      <c r="P307">
        <f>IF($A307="","",COUNTIFS('Таблиця 1'!$B:$B,$A307,'Таблиця 1'!$I:$I,"Mi-8",'Таблиця 1'!$L:$L,"НЕ уражено")+COUNTIFS('Таблиця 1'!$B:$B,$A307,'Таблиця 1'!$I:$I,"Mi-24",'Таблиця 1'!$L:$L,"НЕ уражено"))</f>
        <v/>
      </c>
    </row>
    <row r="308">
      <c r="A308" s="273">
        <f>IF(A307="","",IF(A307+1&gt;MAX('Таблиця 1'!$B:$B),"",A307+1))</f>
        <v/>
      </c>
      <c r="B308">
        <f>IF($A308="","",COUNTIFS('Таблиця 1'!$B:$B,$A308,'Таблиця 1'!$I:$I,"Mi-8")+COUNTIFS('Таблиця 1'!$B:$B,$A308,'Таблиця 1'!$I:$I,"Mi-24"))</f>
        <v/>
      </c>
      <c r="C308">
        <f>IF($A308="","",COUNTIFS('Таблиця 1'!$B:$B,$A308,'Таблиця 1'!$I:$I,"Mi-8"))</f>
        <v/>
      </c>
      <c r="D308">
        <f>IF($A308="","",COUNTIFS('Таблиця 1'!$B:$B,$A308,'Таблиця 1'!$I:$I,"Mi-24"))</f>
        <v/>
      </c>
      <c r="E308">
        <f>IF($A308="","",SUMIFS('Таблиця 1'!$K:$K,'Таблиця 1'!$B:$B,$A308,'Таблиця 1'!$I:$I,"Mi-8",'Таблиця 1'!$J:$J,"ARS-8")+SUMIFS('Таблиця 1'!$K:$K,'Таблиця 1'!$B:$B,$A308,'Таблиця 1'!$I:$I,"Mi-24",'Таблиця 1'!$J:$J,"ARS-8"))</f>
        <v/>
      </c>
      <c r="F308">
        <f>IF($A308="","",SUMIFS('Таблиця 1'!$K:$K,'Таблиця 1'!$B:$B,$A308,'Таблиця 1'!$I:$I,"Mi-8",'Таблиця 1'!$J:$J,"С-8 ком")+SUMIFS('Таблиця 1'!$K:$K,'Таблиця 1'!$B:$B,$A308,'Таблиця 1'!$I:$I,"Mi-24",'Таблиця 1'!$J:$J,"С-8 ком"))</f>
        <v/>
      </c>
      <c r="G308">
        <f>IF($A308="","",SUMIFS('Таблиця 1'!$K:$K,'Таблиця 1'!$B:$B,$A308,'Таблиця 1'!$I:$I,"Mi-8",'Таблиця 1'!$J:$J,"PC-80")+SUMIFS('Таблиця 1'!$K:$K,'Таблиця 1'!$B:$B,$A308,'Таблиця 1'!$I:$I,"Mi-24",'Таблиця 1'!$J:$J,"PC-80"))</f>
        <v/>
      </c>
      <c r="H308">
        <f>IF($A308="","",SUMIFS('Таблиця 1'!$K:$K,'Таблиця 1'!$B:$B,$A308,'Таблиця 1'!$I:$I,"Mi-8",'Таблиця 1'!$J:$J,"UAR-80")+SUMIFS('Таблиця 1'!$K:$K,'Таблиця 1'!$B:$B,$A308,'Таблиця 1'!$I:$I,"Mi-24",'Таблиця 1'!$J:$J,"UAR-80"))</f>
        <v/>
      </c>
      <c r="I308">
        <f>IF($A308="","",SUMIFS('Таблиця 1'!$K:$K,'Таблиця 1'!$B:$B,$A308,'Таблиця 1'!$I:$I,"Mi-8",'Таблиця 1'!$J:$J,"C-13")+SUMIFS('Таблиця 1'!$K:$K,'Таблиця 1'!$B:$B,$A308,'Таблиця 1'!$I:$I,"Mi-24",'Таблиця 1'!$J:$J,"C-13"))</f>
        <v/>
      </c>
      <c r="J308">
        <f>IF($A308="","",SUMIFS('Таблиця 1'!$K:$K,'Таблиця 1'!$B:$B,$A308,'Таблиця 1'!$I:$I,"Mi-8",'Таблиця 1'!$J:$J,"Hydra-70")+SUMIFS('Таблиця 1'!$K:$K,'Таблиця 1'!$B:$B,$A308,'Таблиця 1'!$I:$I,"Mi-24",'Таблиця 1'!$J:$J,"Hydra-70"))</f>
        <v/>
      </c>
      <c r="K308">
        <f>IF($A308="","",SUMIFS('Таблиця 1'!$K:$K,'Таблиця 1'!$B:$B,$A308,'Таблиця 1'!$I:$I,"Mi-8",'Таблиця 1'!$J:$J,"Thales-70")+SUMIFS('Таблиця 1'!$K:$K,'Таблиця 1'!$B:$B,$A308,'Таблиця 1'!$I:$I,"Mi-24",'Таблиця 1'!$J:$J,"Thales-70"))</f>
        <v/>
      </c>
      <c r="L308">
        <f>IF($A308="","",SUMIFS('Таблиця 1'!$K:$K,'Таблиця 1'!$B:$B,$A308,'Таблиця 1'!$I:$I,"Mi-8",'Таблиця 1'!$J:$J,"Thales-FZ")+SUMIFS('Таблиця 1'!$K:$K,'Таблиця 1'!$B:$B,$A308,'Таблиця 1'!$I:$I,"Mi-24",'Таблиця 1'!$J:$J,"Thales-FZ"))</f>
        <v/>
      </c>
      <c r="M308">
        <f>IF($A308="","",SUMIFS('Таблиця 1'!$K:$K,'Таблиця 1'!$B:$B,$A308,'Таблиця 1'!$I:$I,"Mi-8",'Таблиця 1'!$J:$J,"МК-40")+SUMIFS('Таблиця 1'!$K:$K,'Таблиця 1'!$B:$B,$A308,'Таблиця 1'!$I:$I,"Mi-24",'Таблиця 1'!$J:$J,"МК-40"))</f>
        <v/>
      </c>
      <c r="N308">
        <f>IF($A308="","",SUMIFS('Таблиця 1'!$K:$K,'Таблиця 1'!$B:$B,$A308,'Таблиця 1'!$I:$I,"Mi-8",'Таблиця 1'!$J:$J,"Zuni")+SUMIFS('Таблиця 1'!$K:$K,'Таблиця 1'!$B:$B,$A308,'Таблиця 1'!$I:$I,"Mi-24",'Таблиця 1'!$J:$J,"Zuni"))</f>
        <v/>
      </c>
      <c r="O308">
        <f>IF($A308="","",COUNTIFS('Таблиця 1'!$B:$B,$A308,'Таблиця 1'!$I:$I,"Mi-8",'Таблиця 1'!$L:$L,"Уражено")+COUNTIFS('Таблиця 1'!$B:$B,$A308,'Таблиця 1'!$I:$I,"Mi-24",'Таблиця 1'!$L:$L,"Уражено"))</f>
        <v/>
      </c>
      <c r="P308">
        <f>IF($A308="","",COUNTIFS('Таблиця 1'!$B:$B,$A308,'Таблиця 1'!$I:$I,"Mi-8",'Таблиця 1'!$L:$L,"НЕ уражено")+COUNTIFS('Таблиця 1'!$B:$B,$A308,'Таблиця 1'!$I:$I,"Mi-24",'Таблиця 1'!$L:$L,"НЕ уражено"))</f>
        <v/>
      </c>
    </row>
    <row r="309">
      <c r="A309" s="273">
        <f>IF(A308="","",IF(A308+1&gt;MAX('Таблиця 1'!$B:$B),"",A308+1))</f>
        <v/>
      </c>
      <c r="B309">
        <f>IF($A309="","",COUNTIFS('Таблиця 1'!$B:$B,$A309,'Таблиця 1'!$I:$I,"Mi-8")+COUNTIFS('Таблиця 1'!$B:$B,$A309,'Таблиця 1'!$I:$I,"Mi-24"))</f>
        <v/>
      </c>
      <c r="C309">
        <f>IF($A309="","",COUNTIFS('Таблиця 1'!$B:$B,$A309,'Таблиця 1'!$I:$I,"Mi-8"))</f>
        <v/>
      </c>
      <c r="D309">
        <f>IF($A309="","",COUNTIFS('Таблиця 1'!$B:$B,$A309,'Таблиця 1'!$I:$I,"Mi-24"))</f>
        <v/>
      </c>
      <c r="E309">
        <f>IF($A309="","",SUMIFS('Таблиця 1'!$K:$K,'Таблиця 1'!$B:$B,$A309,'Таблиця 1'!$I:$I,"Mi-8",'Таблиця 1'!$J:$J,"ARS-8")+SUMIFS('Таблиця 1'!$K:$K,'Таблиця 1'!$B:$B,$A309,'Таблиця 1'!$I:$I,"Mi-24",'Таблиця 1'!$J:$J,"ARS-8"))</f>
        <v/>
      </c>
      <c r="F309">
        <f>IF($A309="","",SUMIFS('Таблиця 1'!$K:$K,'Таблиця 1'!$B:$B,$A309,'Таблиця 1'!$I:$I,"Mi-8",'Таблиця 1'!$J:$J,"С-8 ком")+SUMIFS('Таблиця 1'!$K:$K,'Таблиця 1'!$B:$B,$A309,'Таблиця 1'!$I:$I,"Mi-24",'Таблиця 1'!$J:$J,"С-8 ком"))</f>
        <v/>
      </c>
      <c r="G309">
        <f>IF($A309="","",SUMIFS('Таблиця 1'!$K:$K,'Таблиця 1'!$B:$B,$A309,'Таблиця 1'!$I:$I,"Mi-8",'Таблиця 1'!$J:$J,"PC-80")+SUMIFS('Таблиця 1'!$K:$K,'Таблиця 1'!$B:$B,$A309,'Таблиця 1'!$I:$I,"Mi-24",'Таблиця 1'!$J:$J,"PC-80"))</f>
        <v/>
      </c>
      <c r="H309">
        <f>IF($A309="","",SUMIFS('Таблиця 1'!$K:$K,'Таблиця 1'!$B:$B,$A309,'Таблиця 1'!$I:$I,"Mi-8",'Таблиця 1'!$J:$J,"UAR-80")+SUMIFS('Таблиця 1'!$K:$K,'Таблиця 1'!$B:$B,$A309,'Таблиця 1'!$I:$I,"Mi-24",'Таблиця 1'!$J:$J,"UAR-80"))</f>
        <v/>
      </c>
      <c r="I309">
        <f>IF($A309="","",SUMIFS('Таблиця 1'!$K:$K,'Таблиця 1'!$B:$B,$A309,'Таблиця 1'!$I:$I,"Mi-8",'Таблиця 1'!$J:$J,"C-13")+SUMIFS('Таблиця 1'!$K:$K,'Таблиця 1'!$B:$B,$A309,'Таблиця 1'!$I:$I,"Mi-24",'Таблиця 1'!$J:$J,"C-13"))</f>
        <v/>
      </c>
      <c r="J309">
        <f>IF($A309="","",SUMIFS('Таблиця 1'!$K:$K,'Таблиця 1'!$B:$B,$A309,'Таблиця 1'!$I:$I,"Mi-8",'Таблиця 1'!$J:$J,"Hydra-70")+SUMIFS('Таблиця 1'!$K:$K,'Таблиця 1'!$B:$B,$A309,'Таблиця 1'!$I:$I,"Mi-24",'Таблиця 1'!$J:$J,"Hydra-70"))</f>
        <v/>
      </c>
      <c r="K309">
        <f>IF($A309="","",SUMIFS('Таблиця 1'!$K:$K,'Таблиця 1'!$B:$B,$A309,'Таблиця 1'!$I:$I,"Mi-8",'Таблиця 1'!$J:$J,"Thales-70")+SUMIFS('Таблиця 1'!$K:$K,'Таблиця 1'!$B:$B,$A309,'Таблиця 1'!$I:$I,"Mi-24",'Таблиця 1'!$J:$J,"Thales-70"))</f>
        <v/>
      </c>
      <c r="L309">
        <f>IF($A309="","",SUMIFS('Таблиця 1'!$K:$K,'Таблиця 1'!$B:$B,$A309,'Таблиця 1'!$I:$I,"Mi-8",'Таблиця 1'!$J:$J,"Thales-FZ")+SUMIFS('Таблиця 1'!$K:$K,'Таблиця 1'!$B:$B,$A309,'Таблиця 1'!$I:$I,"Mi-24",'Таблиця 1'!$J:$J,"Thales-FZ"))</f>
        <v/>
      </c>
      <c r="M309">
        <f>IF($A309="","",SUMIFS('Таблиця 1'!$K:$K,'Таблиця 1'!$B:$B,$A309,'Таблиця 1'!$I:$I,"Mi-8",'Таблиця 1'!$J:$J,"МК-40")+SUMIFS('Таблиця 1'!$K:$K,'Таблиця 1'!$B:$B,$A309,'Таблиця 1'!$I:$I,"Mi-24",'Таблиця 1'!$J:$J,"МК-40"))</f>
        <v/>
      </c>
      <c r="N309">
        <f>IF($A309="","",SUMIFS('Таблиця 1'!$K:$K,'Таблиця 1'!$B:$B,$A309,'Таблиця 1'!$I:$I,"Mi-8",'Таблиця 1'!$J:$J,"Zuni")+SUMIFS('Таблиця 1'!$K:$K,'Таблиця 1'!$B:$B,$A309,'Таблиця 1'!$I:$I,"Mi-24",'Таблиця 1'!$J:$J,"Zuni"))</f>
        <v/>
      </c>
      <c r="O309">
        <f>IF($A309="","",COUNTIFS('Таблиця 1'!$B:$B,$A309,'Таблиця 1'!$I:$I,"Mi-8",'Таблиця 1'!$L:$L,"Уражено")+COUNTIFS('Таблиця 1'!$B:$B,$A309,'Таблиця 1'!$I:$I,"Mi-24",'Таблиця 1'!$L:$L,"Уражено"))</f>
        <v/>
      </c>
      <c r="P309">
        <f>IF($A309="","",COUNTIFS('Таблиця 1'!$B:$B,$A309,'Таблиця 1'!$I:$I,"Mi-8",'Таблиця 1'!$L:$L,"НЕ уражено")+COUNTIFS('Таблиця 1'!$B:$B,$A309,'Таблиця 1'!$I:$I,"Mi-24",'Таблиця 1'!$L:$L,"НЕ уражено"))</f>
        <v/>
      </c>
    </row>
    <row r="310">
      <c r="A310" s="273">
        <f>IF(A309="","",IF(A309+1&gt;MAX('Таблиця 1'!$B:$B),"",A309+1))</f>
        <v/>
      </c>
      <c r="B310">
        <f>IF($A310="","",COUNTIFS('Таблиця 1'!$B:$B,$A310,'Таблиця 1'!$I:$I,"Mi-8")+COUNTIFS('Таблиця 1'!$B:$B,$A310,'Таблиця 1'!$I:$I,"Mi-24"))</f>
        <v/>
      </c>
      <c r="C310">
        <f>IF($A310="","",COUNTIFS('Таблиця 1'!$B:$B,$A310,'Таблиця 1'!$I:$I,"Mi-8"))</f>
        <v/>
      </c>
      <c r="D310">
        <f>IF($A310="","",COUNTIFS('Таблиця 1'!$B:$B,$A310,'Таблиця 1'!$I:$I,"Mi-24"))</f>
        <v/>
      </c>
      <c r="E310">
        <f>IF($A310="","",SUMIFS('Таблиця 1'!$K:$K,'Таблиця 1'!$B:$B,$A310,'Таблиця 1'!$I:$I,"Mi-8",'Таблиця 1'!$J:$J,"ARS-8")+SUMIFS('Таблиця 1'!$K:$K,'Таблиця 1'!$B:$B,$A310,'Таблиця 1'!$I:$I,"Mi-24",'Таблиця 1'!$J:$J,"ARS-8"))</f>
        <v/>
      </c>
      <c r="F310">
        <f>IF($A310="","",SUMIFS('Таблиця 1'!$K:$K,'Таблиця 1'!$B:$B,$A310,'Таблиця 1'!$I:$I,"Mi-8",'Таблиця 1'!$J:$J,"С-8 ком")+SUMIFS('Таблиця 1'!$K:$K,'Таблиця 1'!$B:$B,$A310,'Таблиця 1'!$I:$I,"Mi-24",'Таблиця 1'!$J:$J,"С-8 ком"))</f>
        <v/>
      </c>
      <c r="G310">
        <f>IF($A310="","",SUMIFS('Таблиця 1'!$K:$K,'Таблиця 1'!$B:$B,$A310,'Таблиця 1'!$I:$I,"Mi-8",'Таблиця 1'!$J:$J,"PC-80")+SUMIFS('Таблиця 1'!$K:$K,'Таблиця 1'!$B:$B,$A310,'Таблиця 1'!$I:$I,"Mi-24",'Таблиця 1'!$J:$J,"PC-80"))</f>
        <v/>
      </c>
      <c r="H310">
        <f>IF($A310="","",SUMIFS('Таблиця 1'!$K:$K,'Таблиця 1'!$B:$B,$A310,'Таблиця 1'!$I:$I,"Mi-8",'Таблиця 1'!$J:$J,"UAR-80")+SUMIFS('Таблиця 1'!$K:$K,'Таблиця 1'!$B:$B,$A310,'Таблиця 1'!$I:$I,"Mi-24",'Таблиця 1'!$J:$J,"UAR-80"))</f>
        <v/>
      </c>
      <c r="I310">
        <f>IF($A310="","",SUMIFS('Таблиця 1'!$K:$K,'Таблиця 1'!$B:$B,$A310,'Таблиця 1'!$I:$I,"Mi-8",'Таблиця 1'!$J:$J,"C-13")+SUMIFS('Таблиця 1'!$K:$K,'Таблиця 1'!$B:$B,$A310,'Таблиця 1'!$I:$I,"Mi-24",'Таблиця 1'!$J:$J,"C-13"))</f>
        <v/>
      </c>
      <c r="J310">
        <f>IF($A310="","",SUMIFS('Таблиця 1'!$K:$K,'Таблиця 1'!$B:$B,$A310,'Таблиця 1'!$I:$I,"Mi-8",'Таблиця 1'!$J:$J,"Hydra-70")+SUMIFS('Таблиця 1'!$K:$K,'Таблиця 1'!$B:$B,$A310,'Таблиця 1'!$I:$I,"Mi-24",'Таблиця 1'!$J:$J,"Hydra-70"))</f>
        <v/>
      </c>
      <c r="K310">
        <f>IF($A310="","",SUMIFS('Таблиця 1'!$K:$K,'Таблиця 1'!$B:$B,$A310,'Таблиця 1'!$I:$I,"Mi-8",'Таблиця 1'!$J:$J,"Thales-70")+SUMIFS('Таблиця 1'!$K:$K,'Таблиця 1'!$B:$B,$A310,'Таблиця 1'!$I:$I,"Mi-24",'Таблиця 1'!$J:$J,"Thales-70"))</f>
        <v/>
      </c>
      <c r="L310">
        <f>IF($A310="","",SUMIFS('Таблиця 1'!$K:$K,'Таблиця 1'!$B:$B,$A310,'Таблиця 1'!$I:$I,"Mi-8",'Таблиця 1'!$J:$J,"Thales-FZ")+SUMIFS('Таблиця 1'!$K:$K,'Таблиця 1'!$B:$B,$A310,'Таблиця 1'!$I:$I,"Mi-24",'Таблиця 1'!$J:$J,"Thales-FZ"))</f>
        <v/>
      </c>
      <c r="M310">
        <f>IF($A310="","",SUMIFS('Таблиця 1'!$K:$K,'Таблиця 1'!$B:$B,$A310,'Таблиця 1'!$I:$I,"Mi-8",'Таблиця 1'!$J:$J,"МК-40")+SUMIFS('Таблиця 1'!$K:$K,'Таблиця 1'!$B:$B,$A310,'Таблиця 1'!$I:$I,"Mi-24",'Таблиця 1'!$J:$J,"МК-40"))</f>
        <v/>
      </c>
      <c r="N310">
        <f>IF($A310="","",SUMIFS('Таблиця 1'!$K:$K,'Таблиця 1'!$B:$B,$A310,'Таблиця 1'!$I:$I,"Mi-8",'Таблиця 1'!$J:$J,"Zuni")+SUMIFS('Таблиця 1'!$K:$K,'Таблиця 1'!$B:$B,$A310,'Таблиця 1'!$I:$I,"Mi-24",'Таблиця 1'!$J:$J,"Zuni"))</f>
        <v/>
      </c>
      <c r="O310">
        <f>IF($A310="","",COUNTIFS('Таблиця 1'!$B:$B,$A310,'Таблиця 1'!$I:$I,"Mi-8",'Таблиця 1'!$L:$L,"Уражено")+COUNTIFS('Таблиця 1'!$B:$B,$A310,'Таблиця 1'!$I:$I,"Mi-24",'Таблиця 1'!$L:$L,"Уражено"))</f>
        <v/>
      </c>
      <c r="P310">
        <f>IF($A310="","",COUNTIFS('Таблиця 1'!$B:$B,$A310,'Таблиця 1'!$I:$I,"Mi-8",'Таблиця 1'!$L:$L,"НЕ уражено")+COUNTIFS('Таблиця 1'!$B:$B,$A310,'Таблиця 1'!$I:$I,"Mi-24",'Таблиця 1'!$L:$L,"НЕ уражено"))</f>
        <v/>
      </c>
    </row>
    <row r="311">
      <c r="A311" s="273">
        <f>IF(A310="","",IF(A310+1&gt;MAX('Таблиця 1'!$B:$B),"",A310+1))</f>
        <v/>
      </c>
      <c r="B311">
        <f>IF($A311="","",COUNTIFS('Таблиця 1'!$B:$B,$A311,'Таблиця 1'!$I:$I,"Mi-8")+COUNTIFS('Таблиця 1'!$B:$B,$A311,'Таблиця 1'!$I:$I,"Mi-24"))</f>
        <v/>
      </c>
      <c r="C311">
        <f>IF($A311="","",COUNTIFS('Таблиця 1'!$B:$B,$A311,'Таблиця 1'!$I:$I,"Mi-8"))</f>
        <v/>
      </c>
      <c r="D311">
        <f>IF($A311="","",COUNTIFS('Таблиця 1'!$B:$B,$A311,'Таблиця 1'!$I:$I,"Mi-24"))</f>
        <v/>
      </c>
      <c r="E311">
        <f>IF($A311="","",SUMIFS('Таблиця 1'!$K:$K,'Таблиця 1'!$B:$B,$A311,'Таблиця 1'!$I:$I,"Mi-8",'Таблиця 1'!$J:$J,"ARS-8")+SUMIFS('Таблиця 1'!$K:$K,'Таблиця 1'!$B:$B,$A311,'Таблиця 1'!$I:$I,"Mi-24",'Таблиця 1'!$J:$J,"ARS-8"))</f>
        <v/>
      </c>
      <c r="F311">
        <f>IF($A311="","",SUMIFS('Таблиця 1'!$K:$K,'Таблиця 1'!$B:$B,$A311,'Таблиця 1'!$I:$I,"Mi-8",'Таблиця 1'!$J:$J,"С-8 ком")+SUMIFS('Таблиця 1'!$K:$K,'Таблиця 1'!$B:$B,$A311,'Таблиця 1'!$I:$I,"Mi-24",'Таблиця 1'!$J:$J,"С-8 ком"))</f>
        <v/>
      </c>
      <c r="G311">
        <f>IF($A311="","",SUMIFS('Таблиця 1'!$K:$K,'Таблиця 1'!$B:$B,$A311,'Таблиця 1'!$I:$I,"Mi-8",'Таблиця 1'!$J:$J,"PC-80")+SUMIFS('Таблиця 1'!$K:$K,'Таблиця 1'!$B:$B,$A311,'Таблиця 1'!$I:$I,"Mi-24",'Таблиця 1'!$J:$J,"PC-80"))</f>
        <v/>
      </c>
      <c r="H311">
        <f>IF($A311="","",SUMIFS('Таблиця 1'!$K:$K,'Таблиця 1'!$B:$B,$A311,'Таблиця 1'!$I:$I,"Mi-8",'Таблиця 1'!$J:$J,"UAR-80")+SUMIFS('Таблиця 1'!$K:$K,'Таблиця 1'!$B:$B,$A311,'Таблиця 1'!$I:$I,"Mi-24",'Таблиця 1'!$J:$J,"UAR-80"))</f>
        <v/>
      </c>
      <c r="I311">
        <f>IF($A311="","",SUMIFS('Таблиця 1'!$K:$K,'Таблиця 1'!$B:$B,$A311,'Таблиця 1'!$I:$I,"Mi-8",'Таблиця 1'!$J:$J,"C-13")+SUMIFS('Таблиця 1'!$K:$K,'Таблиця 1'!$B:$B,$A311,'Таблиця 1'!$I:$I,"Mi-24",'Таблиця 1'!$J:$J,"C-13"))</f>
        <v/>
      </c>
      <c r="J311">
        <f>IF($A311="","",SUMIFS('Таблиця 1'!$K:$K,'Таблиця 1'!$B:$B,$A311,'Таблиця 1'!$I:$I,"Mi-8",'Таблиця 1'!$J:$J,"Hydra-70")+SUMIFS('Таблиця 1'!$K:$K,'Таблиця 1'!$B:$B,$A311,'Таблиця 1'!$I:$I,"Mi-24",'Таблиця 1'!$J:$J,"Hydra-70"))</f>
        <v/>
      </c>
      <c r="K311">
        <f>IF($A311="","",SUMIFS('Таблиця 1'!$K:$K,'Таблиця 1'!$B:$B,$A311,'Таблиця 1'!$I:$I,"Mi-8",'Таблиця 1'!$J:$J,"Thales-70")+SUMIFS('Таблиця 1'!$K:$K,'Таблиця 1'!$B:$B,$A311,'Таблиця 1'!$I:$I,"Mi-24",'Таблиця 1'!$J:$J,"Thales-70"))</f>
        <v/>
      </c>
      <c r="L311">
        <f>IF($A311="","",SUMIFS('Таблиця 1'!$K:$K,'Таблиця 1'!$B:$B,$A311,'Таблиця 1'!$I:$I,"Mi-8",'Таблиця 1'!$J:$J,"Thales-FZ")+SUMIFS('Таблиця 1'!$K:$K,'Таблиця 1'!$B:$B,$A311,'Таблиця 1'!$I:$I,"Mi-24",'Таблиця 1'!$J:$J,"Thales-FZ"))</f>
        <v/>
      </c>
      <c r="M311">
        <f>IF($A311="","",SUMIFS('Таблиця 1'!$K:$K,'Таблиця 1'!$B:$B,$A311,'Таблиця 1'!$I:$I,"Mi-8",'Таблиця 1'!$J:$J,"МК-40")+SUMIFS('Таблиця 1'!$K:$K,'Таблиця 1'!$B:$B,$A311,'Таблиця 1'!$I:$I,"Mi-24",'Таблиця 1'!$J:$J,"МК-40"))</f>
        <v/>
      </c>
      <c r="N311">
        <f>IF($A311="","",SUMIFS('Таблиця 1'!$K:$K,'Таблиця 1'!$B:$B,$A311,'Таблиця 1'!$I:$I,"Mi-8",'Таблиця 1'!$J:$J,"Zuni")+SUMIFS('Таблиця 1'!$K:$K,'Таблиця 1'!$B:$B,$A311,'Таблиця 1'!$I:$I,"Mi-24",'Таблиця 1'!$J:$J,"Zuni"))</f>
        <v/>
      </c>
      <c r="O311">
        <f>IF($A311="","",COUNTIFS('Таблиця 1'!$B:$B,$A311,'Таблиця 1'!$I:$I,"Mi-8",'Таблиця 1'!$L:$L,"Уражено")+COUNTIFS('Таблиця 1'!$B:$B,$A311,'Таблиця 1'!$I:$I,"Mi-24",'Таблиця 1'!$L:$L,"Уражено"))</f>
        <v/>
      </c>
      <c r="P311">
        <f>IF($A311="","",COUNTIFS('Таблиця 1'!$B:$B,$A311,'Таблиця 1'!$I:$I,"Mi-8",'Таблиця 1'!$L:$L,"НЕ уражено")+COUNTIFS('Таблиця 1'!$B:$B,$A311,'Таблиця 1'!$I:$I,"Mi-24",'Таблиця 1'!$L:$L,"НЕ уражено"))</f>
        <v/>
      </c>
    </row>
    <row r="312">
      <c r="A312" s="273">
        <f>IF(A311="","",IF(A311+1&gt;MAX('Таблиця 1'!$B:$B),"",A311+1))</f>
        <v/>
      </c>
      <c r="B312">
        <f>IF($A312="","",COUNTIFS('Таблиця 1'!$B:$B,$A312,'Таблиця 1'!$I:$I,"Mi-8")+COUNTIFS('Таблиця 1'!$B:$B,$A312,'Таблиця 1'!$I:$I,"Mi-24"))</f>
        <v/>
      </c>
      <c r="C312">
        <f>IF($A312="","",COUNTIFS('Таблиця 1'!$B:$B,$A312,'Таблиця 1'!$I:$I,"Mi-8"))</f>
        <v/>
      </c>
      <c r="D312">
        <f>IF($A312="","",COUNTIFS('Таблиця 1'!$B:$B,$A312,'Таблиця 1'!$I:$I,"Mi-24"))</f>
        <v/>
      </c>
      <c r="E312">
        <f>IF($A312="","",SUMIFS('Таблиця 1'!$K:$K,'Таблиця 1'!$B:$B,$A312,'Таблиця 1'!$I:$I,"Mi-8",'Таблиця 1'!$J:$J,"ARS-8")+SUMIFS('Таблиця 1'!$K:$K,'Таблиця 1'!$B:$B,$A312,'Таблиця 1'!$I:$I,"Mi-24",'Таблиця 1'!$J:$J,"ARS-8"))</f>
        <v/>
      </c>
      <c r="F312">
        <f>IF($A312="","",SUMIFS('Таблиця 1'!$K:$K,'Таблиця 1'!$B:$B,$A312,'Таблиця 1'!$I:$I,"Mi-8",'Таблиця 1'!$J:$J,"С-8 ком")+SUMIFS('Таблиця 1'!$K:$K,'Таблиця 1'!$B:$B,$A312,'Таблиця 1'!$I:$I,"Mi-24",'Таблиця 1'!$J:$J,"С-8 ком"))</f>
        <v/>
      </c>
      <c r="G312">
        <f>IF($A312="","",SUMIFS('Таблиця 1'!$K:$K,'Таблиця 1'!$B:$B,$A312,'Таблиця 1'!$I:$I,"Mi-8",'Таблиця 1'!$J:$J,"PC-80")+SUMIFS('Таблиця 1'!$K:$K,'Таблиця 1'!$B:$B,$A312,'Таблиця 1'!$I:$I,"Mi-24",'Таблиця 1'!$J:$J,"PC-80"))</f>
        <v/>
      </c>
      <c r="H312">
        <f>IF($A312="","",SUMIFS('Таблиця 1'!$K:$K,'Таблиця 1'!$B:$B,$A312,'Таблиця 1'!$I:$I,"Mi-8",'Таблиця 1'!$J:$J,"UAR-80")+SUMIFS('Таблиця 1'!$K:$K,'Таблиця 1'!$B:$B,$A312,'Таблиця 1'!$I:$I,"Mi-24",'Таблиця 1'!$J:$J,"UAR-80"))</f>
        <v/>
      </c>
      <c r="I312">
        <f>IF($A312="","",SUMIFS('Таблиця 1'!$K:$K,'Таблиця 1'!$B:$B,$A312,'Таблиця 1'!$I:$I,"Mi-8",'Таблиця 1'!$J:$J,"C-13")+SUMIFS('Таблиця 1'!$K:$K,'Таблиця 1'!$B:$B,$A312,'Таблиця 1'!$I:$I,"Mi-24",'Таблиця 1'!$J:$J,"C-13"))</f>
        <v/>
      </c>
      <c r="J312">
        <f>IF($A312="","",SUMIFS('Таблиця 1'!$K:$K,'Таблиця 1'!$B:$B,$A312,'Таблиця 1'!$I:$I,"Mi-8",'Таблиця 1'!$J:$J,"Hydra-70")+SUMIFS('Таблиця 1'!$K:$K,'Таблиця 1'!$B:$B,$A312,'Таблиця 1'!$I:$I,"Mi-24",'Таблиця 1'!$J:$J,"Hydra-70"))</f>
        <v/>
      </c>
      <c r="K312">
        <f>IF($A312="","",SUMIFS('Таблиця 1'!$K:$K,'Таблиця 1'!$B:$B,$A312,'Таблиця 1'!$I:$I,"Mi-8",'Таблиця 1'!$J:$J,"Thales-70")+SUMIFS('Таблиця 1'!$K:$K,'Таблиця 1'!$B:$B,$A312,'Таблиця 1'!$I:$I,"Mi-24",'Таблиця 1'!$J:$J,"Thales-70"))</f>
        <v/>
      </c>
      <c r="L312">
        <f>IF($A312="","",SUMIFS('Таблиця 1'!$K:$K,'Таблиця 1'!$B:$B,$A312,'Таблиця 1'!$I:$I,"Mi-8",'Таблиця 1'!$J:$J,"Thales-FZ")+SUMIFS('Таблиця 1'!$K:$K,'Таблиця 1'!$B:$B,$A312,'Таблиця 1'!$I:$I,"Mi-24",'Таблиця 1'!$J:$J,"Thales-FZ"))</f>
        <v/>
      </c>
      <c r="M312">
        <f>IF($A312="","",SUMIFS('Таблиця 1'!$K:$K,'Таблиця 1'!$B:$B,$A312,'Таблиця 1'!$I:$I,"Mi-8",'Таблиця 1'!$J:$J,"МК-40")+SUMIFS('Таблиця 1'!$K:$K,'Таблиця 1'!$B:$B,$A312,'Таблиця 1'!$I:$I,"Mi-24",'Таблиця 1'!$J:$J,"МК-40"))</f>
        <v/>
      </c>
      <c r="N312">
        <f>IF($A312="","",SUMIFS('Таблиця 1'!$K:$K,'Таблиця 1'!$B:$B,$A312,'Таблиця 1'!$I:$I,"Mi-8",'Таблиця 1'!$J:$J,"Zuni")+SUMIFS('Таблиця 1'!$K:$K,'Таблиця 1'!$B:$B,$A312,'Таблиця 1'!$I:$I,"Mi-24",'Таблиця 1'!$J:$J,"Zuni"))</f>
        <v/>
      </c>
      <c r="O312">
        <f>IF($A312="","",COUNTIFS('Таблиця 1'!$B:$B,$A312,'Таблиця 1'!$I:$I,"Mi-8",'Таблиця 1'!$L:$L,"Уражено")+COUNTIFS('Таблиця 1'!$B:$B,$A312,'Таблиця 1'!$I:$I,"Mi-24",'Таблиця 1'!$L:$L,"Уражено"))</f>
        <v/>
      </c>
      <c r="P312">
        <f>IF($A312="","",COUNTIFS('Таблиця 1'!$B:$B,$A312,'Таблиця 1'!$I:$I,"Mi-8",'Таблиця 1'!$L:$L,"НЕ уражено")+COUNTIFS('Таблиця 1'!$B:$B,$A312,'Таблиця 1'!$I:$I,"Mi-24",'Таблиця 1'!$L:$L,"НЕ уражено"))</f>
        <v/>
      </c>
    </row>
    <row r="313">
      <c r="A313" s="273">
        <f>IF(A312="","",IF(A312+1&gt;MAX('Таблиця 1'!$B:$B),"",A312+1))</f>
        <v/>
      </c>
      <c r="B313">
        <f>IF($A313="","",COUNTIFS('Таблиця 1'!$B:$B,$A313,'Таблиця 1'!$I:$I,"Mi-8")+COUNTIFS('Таблиця 1'!$B:$B,$A313,'Таблиця 1'!$I:$I,"Mi-24"))</f>
        <v/>
      </c>
      <c r="C313">
        <f>IF($A313="","",COUNTIFS('Таблиця 1'!$B:$B,$A313,'Таблиця 1'!$I:$I,"Mi-8"))</f>
        <v/>
      </c>
      <c r="D313">
        <f>IF($A313="","",COUNTIFS('Таблиця 1'!$B:$B,$A313,'Таблиця 1'!$I:$I,"Mi-24"))</f>
        <v/>
      </c>
      <c r="E313">
        <f>IF($A313="","",SUMIFS('Таблиця 1'!$K:$K,'Таблиця 1'!$B:$B,$A313,'Таблиця 1'!$I:$I,"Mi-8",'Таблиця 1'!$J:$J,"ARS-8")+SUMIFS('Таблиця 1'!$K:$K,'Таблиця 1'!$B:$B,$A313,'Таблиця 1'!$I:$I,"Mi-24",'Таблиця 1'!$J:$J,"ARS-8"))</f>
        <v/>
      </c>
      <c r="F313">
        <f>IF($A313="","",SUMIFS('Таблиця 1'!$K:$K,'Таблиця 1'!$B:$B,$A313,'Таблиця 1'!$I:$I,"Mi-8",'Таблиця 1'!$J:$J,"С-8 ком")+SUMIFS('Таблиця 1'!$K:$K,'Таблиця 1'!$B:$B,$A313,'Таблиця 1'!$I:$I,"Mi-24",'Таблиця 1'!$J:$J,"С-8 ком"))</f>
        <v/>
      </c>
      <c r="G313">
        <f>IF($A313="","",SUMIFS('Таблиця 1'!$K:$K,'Таблиця 1'!$B:$B,$A313,'Таблиця 1'!$I:$I,"Mi-8",'Таблиця 1'!$J:$J,"PC-80")+SUMIFS('Таблиця 1'!$K:$K,'Таблиця 1'!$B:$B,$A313,'Таблиця 1'!$I:$I,"Mi-24",'Таблиця 1'!$J:$J,"PC-80"))</f>
        <v/>
      </c>
      <c r="H313">
        <f>IF($A313="","",SUMIFS('Таблиця 1'!$K:$K,'Таблиця 1'!$B:$B,$A313,'Таблиця 1'!$I:$I,"Mi-8",'Таблиця 1'!$J:$J,"UAR-80")+SUMIFS('Таблиця 1'!$K:$K,'Таблиця 1'!$B:$B,$A313,'Таблиця 1'!$I:$I,"Mi-24",'Таблиця 1'!$J:$J,"UAR-80"))</f>
        <v/>
      </c>
      <c r="I313">
        <f>IF($A313="","",SUMIFS('Таблиця 1'!$K:$K,'Таблиця 1'!$B:$B,$A313,'Таблиця 1'!$I:$I,"Mi-8",'Таблиця 1'!$J:$J,"C-13")+SUMIFS('Таблиця 1'!$K:$K,'Таблиця 1'!$B:$B,$A313,'Таблиця 1'!$I:$I,"Mi-24",'Таблиця 1'!$J:$J,"C-13"))</f>
        <v/>
      </c>
      <c r="J313">
        <f>IF($A313="","",SUMIFS('Таблиця 1'!$K:$K,'Таблиця 1'!$B:$B,$A313,'Таблиця 1'!$I:$I,"Mi-8",'Таблиця 1'!$J:$J,"Hydra-70")+SUMIFS('Таблиця 1'!$K:$K,'Таблиця 1'!$B:$B,$A313,'Таблиця 1'!$I:$I,"Mi-24",'Таблиця 1'!$J:$J,"Hydra-70"))</f>
        <v/>
      </c>
      <c r="K313">
        <f>IF($A313="","",SUMIFS('Таблиця 1'!$K:$K,'Таблиця 1'!$B:$B,$A313,'Таблиця 1'!$I:$I,"Mi-8",'Таблиця 1'!$J:$J,"Thales-70")+SUMIFS('Таблиця 1'!$K:$K,'Таблиця 1'!$B:$B,$A313,'Таблиця 1'!$I:$I,"Mi-24",'Таблиця 1'!$J:$J,"Thales-70"))</f>
        <v/>
      </c>
      <c r="L313">
        <f>IF($A313="","",SUMIFS('Таблиця 1'!$K:$K,'Таблиця 1'!$B:$B,$A313,'Таблиця 1'!$I:$I,"Mi-8",'Таблиця 1'!$J:$J,"Thales-FZ")+SUMIFS('Таблиця 1'!$K:$K,'Таблиця 1'!$B:$B,$A313,'Таблиця 1'!$I:$I,"Mi-24",'Таблиця 1'!$J:$J,"Thales-FZ"))</f>
        <v/>
      </c>
      <c r="M313">
        <f>IF($A313="","",SUMIFS('Таблиця 1'!$K:$K,'Таблиця 1'!$B:$B,$A313,'Таблиця 1'!$I:$I,"Mi-8",'Таблиця 1'!$J:$J,"МК-40")+SUMIFS('Таблиця 1'!$K:$K,'Таблиця 1'!$B:$B,$A313,'Таблиця 1'!$I:$I,"Mi-24",'Таблиця 1'!$J:$J,"МК-40"))</f>
        <v/>
      </c>
      <c r="N313">
        <f>IF($A313="","",SUMIFS('Таблиця 1'!$K:$K,'Таблиця 1'!$B:$B,$A313,'Таблиця 1'!$I:$I,"Mi-8",'Таблиця 1'!$J:$J,"Zuni")+SUMIFS('Таблиця 1'!$K:$K,'Таблиця 1'!$B:$B,$A313,'Таблиця 1'!$I:$I,"Mi-24",'Таблиця 1'!$J:$J,"Zuni"))</f>
        <v/>
      </c>
      <c r="O313">
        <f>IF($A313="","",COUNTIFS('Таблиця 1'!$B:$B,$A313,'Таблиця 1'!$I:$I,"Mi-8",'Таблиця 1'!$L:$L,"Уражено")+COUNTIFS('Таблиця 1'!$B:$B,$A313,'Таблиця 1'!$I:$I,"Mi-24",'Таблиця 1'!$L:$L,"Уражено"))</f>
        <v/>
      </c>
      <c r="P313">
        <f>IF($A313="","",COUNTIFS('Таблиця 1'!$B:$B,$A313,'Таблиця 1'!$I:$I,"Mi-8",'Таблиця 1'!$L:$L,"НЕ уражено")+COUNTIFS('Таблиця 1'!$B:$B,$A313,'Таблиця 1'!$I:$I,"Mi-24",'Таблиця 1'!$L:$L,"НЕ уражено"))</f>
        <v/>
      </c>
    </row>
    <row r="314">
      <c r="A314" s="273">
        <f>IF(A313="","",IF(A313+1&gt;MAX('Таблиця 1'!$B:$B),"",A313+1))</f>
        <v/>
      </c>
      <c r="B314">
        <f>IF($A314="","",COUNTIFS('Таблиця 1'!$B:$B,$A314,'Таблиця 1'!$I:$I,"Mi-8")+COUNTIFS('Таблиця 1'!$B:$B,$A314,'Таблиця 1'!$I:$I,"Mi-24"))</f>
        <v/>
      </c>
      <c r="C314">
        <f>IF($A314="","",COUNTIFS('Таблиця 1'!$B:$B,$A314,'Таблиця 1'!$I:$I,"Mi-8"))</f>
        <v/>
      </c>
      <c r="D314">
        <f>IF($A314="","",COUNTIFS('Таблиця 1'!$B:$B,$A314,'Таблиця 1'!$I:$I,"Mi-24"))</f>
        <v/>
      </c>
      <c r="E314">
        <f>IF($A314="","",SUMIFS('Таблиця 1'!$K:$K,'Таблиця 1'!$B:$B,$A314,'Таблиця 1'!$I:$I,"Mi-8",'Таблиця 1'!$J:$J,"ARS-8")+SUMIFS('Таблиця 1'!$K:$K,'Таблиця 1'!$B:$B,$A314,'Таблиця 1'!$I:$I,"Mi-24",'Таблиця 1'!$J:$J,"ARS-8"))</f>
        <v/>
      </c>
      <c r="F314">
        <f>IF($A314="","",SUMIFS('Таблиця 1'!$K:$K,'Таблиця 1'!$B:$B,$A314,'Таблиця 1'!$I:$I,"Mi-8",'Таблиця 1'!$J:$J,"С-8 ком")+SUMIFS('Таблиця 1'!$K:$K,'Таблиця 1'!$B:$B,$A314,'Таблиця 1'!$I:$I,"Mi-24",'Таблиця 1'!$J:$J,"С-8 ком"))</f>
        <v/>
      </c>
      <c r="G314">
        <f>IF($A314="","",SUMIFS('Таблиця 1'!$K:$K,'Таблиця 1'!$B:$B,$A314,'Таблиця 1'!$I:$I,"Mi-8",'Таблиця 1'!$J:$J,"PC-80")+SUMIFS('Таблиця 1'!$K:$K,'Таблиця 1'!$B:$B,$A314,'Таблиця 1'!$I:$I,"Mi-24",'Таблиця 1'!$J:$J,"PC-80"))</f>
        <v/>
      </c>
      <c r="H314">
        <f>IF($A314="","",SUMIFS('Таблиця 1'!$K:$K,'Таблиця 1'!$B:$B,$A314,'Таблиця 1'!$I:$I,"Mi-8",'Таблиця 1'!$J:$J,"UAR-80")+SUMIFS('Таблиця 1'!$K:$K,'Таблиця 1'!$B:$B,$A314,'Таблиця 1'!$I:$I,"Mi-24",'Таблиця 1'!$J:$J,"UAR-80"))</f>
        <v/>
      </c>
      <c r="I314">
        <f>IF($A314="","",SUMIFS('Таблиця 1'!$K:$K,'Таблиця 1'!$B:$B,$A314,'Таблиця 1'!$I:$I,"Mi-8",'Таблиця 1'!$J:$J,"C-13")+SUMIFS('Таблиця 1'!$K:$K,'Таблиця 1'!$B:$B,$A314,'Таблиця 1'!$I:$I,"Mi-24",'Таблиця 1'!$J:$J,"C-13"))</f>
        <v/>
      </c>
      <c r="J314">
        <f>IF($A314="","",SUMIFS('Таблиця 1'!$K:$K,'Таблиця 1'!$B:$B,$A314,'Таблиця 1'!$I:$I,"Mi-8",'Таблиця 1'!$J:$J,"Hydra-70")+SUMIFS('Таблиця 1'!$K:$K,'Таблиця 1'!$B:$B,$A314,'Таблиця 1'!$I:$I,"Mi-24",'Таблиця 1'!$J:$J,"Hydra-70"))</f>
        <v/>
      </c>
      <c r="K314">
        <f>IF($A314="","",SUMIFS('Таблиця 1'!$K:$K,'Таблиця 1'!$B:$B,$A314,'Таблиця 1'!$I:$I,"Mi-8",'Таблиця 1'!$J:$J,"Thales-70")+SUMIFS('Таблиця 1'!$K:$K,'Таблиця 1'!$B:$B,$A314,'Таблиця 1'!$I:$I,"Mi-24",'Таблиця 1'!$J:$J,"Thales-70"))</f>
        <v/>
      </c>
      <c r="L314">
        <f>IF($A314="","",SUMIFS('Таблиця 1'!$K:$K,'Таблиця 1'!$B:$B,$A314,'Таблиця 1'!$I:$I,"Mi-8",'Таблиця 1'!$J:$J,"Thales-FZ")+SUMIFS('Таблиця 1'!$K:$K,'Таблиця 1'!$B:$B,$A314,'Таблиця 1'!$I:$I,"Mi-24",'Таблиця 1'!$J:$J,"Thales-FZ"))</f>
        <v/>
      </c>
      <c r="M314">
        <f>IF($A314="","",SUMIFS('Таблиця 1'!$K:$K,'Таблиця 1'!$B:$B,$A314,'Таблиця 1'!$I:$I,"Mi-8",'Таблиця 1'!$J:$J,"МК-40")+SUMIFS('Таблиця 1'!$K:$K,'Таблиця 1'!$B:$B,$A314,'Таблиця 1'!$I:$I,"Mi-24",'Таблиця 1'!$J:$J,"МК-40"))</f>
        <v/>
      </c>
      <c r="N314">
        <f>IF($A314="","",SUMIFS('Таблиця 1'!$K:$K,'Таблиця 1'!$B:$B,$A314,'Таблиця 1'!$I:$I,"Mi-8",'Таблиця 1'!$J:$J,"Zuni")+SUMIFS('Таблиця 1'!$K:$K,'Таблиця 1'!$B:$B,$A314,'Таблиця 1'!$I:$I,"Mi-24",'Таблиця 1'!$J:$J,"Zuni"))</f>
        <v/>
      </c>
      <c r="O314">
        <f>IF($A314="","",COUNTIFS('Таблиця 1'!$B:$B,$A314,'Таблиця 1'!$I:$I,"Mi-8",'Таблиця 1'!$L:$L,"Уражено")+COUNTIFS('Таблиця 1'!$B:$B,$A314,'Таблиця 1'!$I:$I,"Mi-24",'Таблиця 1'!$L:$L,"Уражено"))</f>
        <v/>
      </c>
      <c r="P314">
        <f>IF($A314="","",COUNTIFS('Таблиця 1'!$B:$B,$A314,'Таблиця 1'!$I:$I,"Mi-8",'Таблиця 1'!$L:$L,"НЕ уражено")+COUNTIFS('Таблиця 1'!$B:$B,$A314,'Таблиця 1'!$I:$I,"Mi-24",'Таблиця 1'!$L:$L,"НЕ уражено"))</f>
        <v/>
      </c>
    </row>
    <row r="315">
      <c r="A315" s="273">
        <f>IF(A314="","",IF(A314+1&gt;MAX('Таблиця 1'!$B:$B),"",A314+1))</f>
        <v/>
      </c>
      <c r="B315">
        <f>IF($A315="","",COUNTIFS('Таблиця 1'!$B:$B,$A315,'Таблиця 1'!$I:$I,"Mi-8")+COUNTIFS('Таблиця 1'!$B:$B,$A315,'Таблиця 1'!$I:$I,"Mi-24"))</f>
        <v/>
      </c>
      <c r="C315">
        <f>IF($A315="","",COUNTIFS('Таблиця 1'!$B:$B,$A315,'Таблиця 1'!$I:$I,"Mi-8"))</f>
        <v/>
      </c>
      <c r="D315">
        <f>IF($A315="","",COUNTIFS('Таблиця 1'!$B:$B,$A315,'Таблиця 1'!$I:$I,"Mi-24"))</f>
        <v/>
      </c>
      <c r="E315">
        <f>IF($A315="","",SUMIFS('Таблиця 1'!$K:$K,'Таблиця 1'!$B:$B,$A315,'Таблиця 1'!$I:$I,"Mi-8",'Таблиця 1'!$J:$J,"ARS-8")+SUMIFS('Таблиця 1'!$K:$K,'Таблиця 1'!$B:$B,$A315,'Таблиця 1'!$I:$I,"Mi-24",'Таблиця 1'!$J:$J,"ARS-8"))</f>
        <v/>
      </c>
      <c r="F315">
        <f>IF($A315="","",SUMIFS('Таблиця 1'!$K:$K,'Таблиця 1'!$B:$B,$A315,'Таблиця 1'!$I:$I,"Mi-8",'Таблиця 1'!$J:$J,"С-8 ком")+SUMIFS('Таблиця 1'!$K:$K,'Таблиця 1'!$B:$B,$A315,'Таблиця 1'!$I:$I,"Mi-24",'Таблиця 1'!$J:$J,"С-8 ком"))</f>
        <v/>
      </c>
      <c r="G315">
        <f>IF($A315="","",SUMIFS('Таблиця 1'!$K:$K,'Таблиця 1'!$B:$B,$A315,'Таблиця 1'!$I:$I,"Mi-8",'Таблиця 1'!$J:$J,"PC-80")+SUMIFS('Таблиця 1'!$K:$K,'Таблиця 1'!$B:$B,$A315,'Таблиця 1'!$I:$I,"Mi-24",'Таблиця 1'!$J:$J,"PC-80"))</f>
        <v/>
      </c>
      <c r="H315">
        <f>IF($A315="","",SUMIFS('Таблиця 1'!$K:$K,'Таблиця 1'!$B:$B,$A315,'Таблиця 1'!$I:$I,"Mi-8",'Таблиця 1'!$J:$J,"UAR-80")+SUMIFS('Таблиця 1'!$K:$K,'Таблиця 1'!$B:$B,$A315,'Таблиця 1'!$I:$I,"Mi-24",'Таблиця 1'!$J:$J,"UAR-80"))</f>
        <v/>
      </c>
      <c r="I315">
        <f>IF($A315="","",SUMIFS('Таблиця 1'!$K:$K,'Таблиця 1'!$B:$B,$A315,'Таблиця 1'!$I:$I,"Mi-8",'Таблиця 1'!$J:$J,"C-13")+SUMIFS('Таблиця 1'!$K:$K,'Таблиця 1'!$B:$B,$A315,'Таблиця 1'!$I:$I,"Mi-24",'Таблиця 1'!$J:$J,"C-13"))</f>
        <v/>
      </c>
      <c r="J315">
        <f>IF($A315="","",SUMIFS('Таблиця 1'!$K:$K,'Таблиця 1'!$B:$B,$A315,'Таблиця 1'!$I:$I,"Mi-8",'Таблиця 1'!$J:$J,"Hydra-70")+SUMIFS('Таблиця 1'!$K:$K,'Таблиця 1'!$B:$B,$A315,'Таблиця 1'!$I:$I,"Mi-24",'Таблиця 1'!$J:$J,"Hydra-70"))</f>
        <v/>
      </c>
      <c r="K315">
        <f>IF($A315="","",SUMIFS('Таблиця 1'!$K:$K,'Таблиця 1'!$B:$B,$A315,'Таблиця 1'!$I:$I,"Mi-8",'Таблиця 1'!$J:$J,"Thales-70")+SUMIFS('Таблиця 1'!$K:$K,'Таблиця 1'!$B:$B,$A315,'Таблиця 1'!$I:$I,"Mi-24",'Таблиця 1'!$J:$J,"Thales-70"))</f>
        <v/>
      </c>
      <c r="L315">
        <f>IF($A315="","",SUMIFS('Таблиця 1'!$K:$K,'Таблиця 1'!$B:$B,$A315,'Таблиця 1'!$I:$I,"Mi-8",'Таблиця 1'!$J:$J,"Thales-FZ")+SUMIFS('Таблиця 1'!$K:$K,'Таблиця 1'!$B:$B,$A315,'Таблиця 1'!$I:$I,"Mi-24",'Таблиця 1'!$J:$J,"Thales-FZ"))</f>
        <v/>
      </c>
      <c r="M315">
        <f>IF($A315="","",SUMIFS('Таблиця 1'!$K:$K,'Таблиця 1'!$B:$B,$A315,'Таблиця 1'!$I:$I,"Mi-8",'Таблиця 1'!$J:$J,"МК-40")+SUMIFS('Таблиця 1'!$K:$K,'Таблиця 1'!$B:$B,$A315,'Таблиця 1'!$I:$I,"Mi-24",'Таблиця 1'!$J:$J,"МК-40"))</f>
        <v/>
      </c>
      <c r="N315">
        <f>IF($A315="","",SUMIFS('Таблиця 1'!$K:$K,'Таблиця 1'!$B:$B,$A315,'Таблиця 1'!$I:$I,"Mi-8",'Таблиця 1'!$J:$J,"Zuni")+SUMIFS('Таблиця 1'!$K:$K,'Таблиця 1'!$B:$B,$A315,'Таблиця 1'!$I:$I,"Mi-24",'Таблиця 1'!$J:$J,"Zuni"))</f>
        <v/>
      </c>
      <c r="O315">
        <f>IF($A315="","",COUNTIFS('Таблиця 1'!$B:$B,$A315,'Таблиця 1'!$I:$I,"Mi-8",'Таблиця 1'!$L:$L,"Уражено")+COUNTIFS('Таблиця 1'!$B:$B,$A315,'Таблиця 1'!$I:$I,"Mi-24",'Таблиця 1'!$L:$L,"Уражено"))</f>
        <v/>
      </c>
      <c r="P315">
        <f>IF($A315="","",COUNTIFS('Таблиця 1'!$B:$B,$A315,'Таблиця 1'!$I:$I,"Mi-8",'Таблиця 1'!$L:$L,"НЕ уражено")+COUNTIFS('Таблиця 1'!$B:$B,$A315,'Таблиця 1'!$I:$I,"Mi-24",'Таблиця 1'!$L:$L,"НЕ уражено"))</f>
        <v/>
      </c>
    </row>
    <row r="316">
      <c r="A316" s="273">
        <f>IF(A315="","",IF(A315+1&gt;MAX('Таблиця 1'!$B:$B),"",A315+1))</f>
        <v/>
      </c>
      <c r="B316">
        <f>IF($A316="","",COUNTIFS('Таблиця 1'!$B:$B,$A316,'Таблиця 1'!$I:$I,"Mi-8")+COUNTIFS('Таблиця 1'!$B:$B,$A316,'Таблиця 1'!$I:$I,"Mi-24"))</f>
        <v/>
      </c>
      <c r="C316">
        <f>IF($A316="","",COUNTIFS('Таблиця 1'!$B:$B,$A316,'Таблиця 1'!$I:$I,"Mi-8"))</f>
        <v/>
      </c>
      <c r="D316">
        <f>IF($A316="","",COUNTIFS('Таблиця 1'!$B:$B,$A316,'Таблиця 1'!$I:$I,"Mi-24"))</f>
        <v/>
      </c>
      <c r="E316">
        <f>IF($A316="","",SUMIFS('Таблиця 1'!$K:$K,'Таблиця 1'!$B:$B,$A316,'Таблиця 1'!$I:$I,"Mi-8",'Таблиця 1'!$J:$J,"ARS-8")+SUMIFS('Таблиця 1'!$K:$K,'Таблиця 1'!$B:$B,$A316,'Таблиця 1'!$I:$I,"Mi-24",'Таблиця 1'!$J:$J,"ARS-8"))</f>
        <v/>
      </c>
      <c r="F316">
        <f>IF($A316="","",SUMIFS('Таблиця 1'!$K:$K,'Таблиця 1'!$B:$B,$A316,'Таблиця 1'!$I:$I,"Mi-8",'Таблиця 1'!$J:$J,"С-8 ком")+SUMIFS('Таблиця 1'!$K:$K,'Таблиця 1'!$B:$B,$A316,'Таблиця 1'!$I:$I,"Mi-24",'Таблиця 1'!$J:$J,"С-8 ком"))</f>
        <v/>
      </c>
      <c r="G316">
        <f>IF($A316="","",SUMIFS('Таблиця 1'!$K:$K,'Таблиця 1'!$B:$B,$A316,'Таблиця 1'!$I:$I,"Mi-8",'Таблиця 1'!$J:$J,"PC-80")+SUMIFS('Таблиця 1'!$K:$K,'Таблиця 1'!$B:$B,$A316,'Таблиця 1'!$I:$I,"Mi-24",'Таблиця 1'!$J:$J,"PC-80"))</f>
        <v/>
      </c>
      <c r="H316">
        <f>IF($A316="","",SUMIFS('Таблиця 1'!$K:$K,'Таблиця 1'!$B:$B,$A316,'Таблиця 1'!$I:$I,"Mi-8",'Таблиця 1'!$J:$J,"UAR-80")+SUMIFS('Таблиця 1'!$K:$K,'Таблиця 1'!$B:$B,$A316,'Таблиця 1'!$I:$I,"Mi-24",'Таблиця 1'!$J:$J,"UAR-80"))</f>
        <v/>
      </c>
      <c r="I316">
        <f>IF($A316="","",SUMIFS('Таблиця 1'!$K:$K,'Таблиця 1'!$B:$B,$A316,'Таблиця 1'!$I:$I,"Mi-8",'Таблиця 1'!$J:$J,"C-13")+SUMIFS('Таблиця 1'!$K:$K,'Таблиця 1'!$B:$B,$A316,'Таблиця 1'!$I:$I,"Mi-24",'Таблиця 1'!$J:$J,"C-13"))</f>
        <v/>
      </c>
      <c r="J316">
        <f>IF($A316="","",SUMIFS('Таблиця 1'!$K:$K,'Таблиця 1'!$B:$B,$A316,'Таблиця 1'!$I:$I,"Mi-8",'Таблиця 1'!$J:$J,"Hydra-70")+SUMIFS('Таблиця 1'!$K:$K,'Таблиця 1'!$B:$B,$A316,'Таблиця 1'!$I:$I,"Mi-24",'Таблиця 1'!$J:$J,"Hydra-70"))</f>
        <v/>
      </c>
      <c r="K316">
        <f>IF($A316="","",SUMIFS('Таблиця 1'!$K:$K,'Таблиця 1'!$B:$B,$A316,'Таблиця 1'!$I:$I,"Mi-8",'Таблиця 1'!$J:$J,"Thales-70")+SUMIFS('Таблиця 1'!$K:$K,'Таблиця 1'!$B:$B,$A316,'Таблиця 1'!$I:$I,"Mi-24",'Таблиця 1'!$J:$J,"Thales-70"))</f>
        <v/>
      </c>
      <c r="L316">
        <f>IF($A316="","",SUMIFS('Таблиця 1'!$K:$K,'Таблиця 1'!$B:$B,$A316,'Таблиця 1'!$I:$I,"Mi-8",'Таблиця 1'!$J:$J,"Thales-FZ")+SUMIFS('Таблиця 1'!$K:$K,'Таблиця 1'!$B:$B,$A316,'Таблиця 1'!$I:$I,"Mi-24",'Таблиця 1'!$J:$J,"Thales-FZ"))</f>
        <v/>
      </c>
      <c r="M316">
        <f>IF($A316="","",SUMIFS('Таблиця 1'!$K:$K,'Таблиця 1'!$B:$B,$A316,'Таблиця 1'!$I:$I,"Mi-8",'Таблиця 1'!$J:$J,"МК-40")+SUMIFS('Таблиця 1'!$K:$K,'Таблиця 1'!$B:$B,$A316,'Таблиця 1'!$I:$I,"Mi-24",'Таблиця 1'!$J:$J,"МК-40"))</f>
        <v/>
      </c>
      <c r="N316">
        <f>IF($A316="","",SUMIFS('Таблиця 1'!$K:$K,'Таблиця 1'!$B:$B,$A316,'Таблиця 1'!$I:$I,"Mi-8",'Таблиця 1'!$J:$J,"Zuni")+SUMIFS('Таблиця 1'!$K:$K,'Таблиця 1'!$B:$B,$A316,'Таблиця 1'!$I:$I,"Mi-24",'Таблиця 1'!$J:$J,"Zuni"))</f>
        <v/>
      </c>
      <c r="O316">
        <f>IF($A316="","",COUNTIFS('Таблиця 1'!$B:$B,$A316,'Таблиця 1'!$I:$I,"Mi-8",'Таблиця 1'!$L:$L,"Уражено")+COUNTIFS('Таблиця 1'!$B:$B,$A316,'Таблиця 1'!$I:$I,"Mi-24",'Таблиця 1'!$L:$L,"Уражено"))</f>
        <v/>
      </c>
      <c r="P316">
        <f>IF($A316="","",COUNTIFS('Таблиця 1'!$B:$B,$A316,'Таблиця 1'!$I:$I,"Mi-8",'Таблиця 1'!$L:$L,"НЕ уражено")+COUNTIFS('Таблиця 1'!$B:$B,$A316,'Таблиця 1'!$I:$I,"Mi-24",'Таблиця 1'!$L:$L,"НЕ уражено"))</f>
        <v/>
      </c>
    </row>
    <row r="317">
      <c r="A317" s="273">
        <f>IF(A316="","",IF(A316+1&gt;MAX('Таблиця 1'!$B:$B),"",A316+1))</f>
        <v/>
      </c>
      <c r="B317">
        <f>IF($A317="","",COUNTIFS('Таблиця 1'!$B:$B,$A317,'Таблиця 1'!$I:$I,"Mi-8")+COUNTIFS('Таблиця 1'!$B:$B,$A317,'Таблиця 1'!$I:$I,"Mi-24"))</f>
        <v/>
      </c>
      <c r="C317">
        <f>IF($A317="","",COUNTIFS('Таблиця 1'!$B:$B,$A317,'Таблиця 1'!$I:$I,"Mi-8"))</f>
        <v/>
      </c>
      <c r="D317">
        <f>IF($A317="","",COUNTIFS('Таблиця 1'!$B:$B,$A317,'Таблиця 1'!$I:$I,"Mi-24"))</f>
        <v/>
      </c>
      <c r="E317">
        <f>IF($A317="","",SUMIFS('Таблиця 1'!$K:$K,'Таблиця 1'!$B:$B,$A317,'Таблиця 1'!$I:$I,"Mi-8",'Таблиця 1'!$J:$J,"ARS-8")+SUMIFS('Таблиця 1'!$K:$K,'Таблиця 1'!$B:$B,$A317,'Таблиця 1'!$I:$I,"Mi-24",'Таблиця 1'!$J:$J,"ARS-8"))</f>
        <v/>
      </c>
      <c r="F317">
        <f>IF($A317="","",SUMIFS('Таблиця 1'!$K:$K,'Таблиця 1'!$B:$B,$A317,'Таблиця 1'!$I:$I,"Mi-8",'Таблиця 1'!$J:$J,"С-8 ком")+SUMIFS('Таблиця 1'!$K:$K,'Таблиця 1'!$B:$B,$A317,'Таблиця 1'!$I:$I,"Mi-24",'Таблиця 1'!$J:$J,"С-8 ком"))</f>
        <v/>
      </c>
      <c r="G317">
        <f>IF($A317="","",SUMIFS('Таблиця 1'!$K:$K,'Таблиця 1'!$B:$B,$A317,'Таблиця 1'!$I:$I,"Mi-8",'Таблиця 1'!$J:$J,"PC-80")+SUMIFS('Таблиця 1'!$K:$K,'Таблиця 1'!$B:$B,$A317,'Таблиця 1'!$I:$I,"Mi-24",'Таблиця 1'!$J:$J,"PC-80"))</f>
        <v/>
      </c>
      <c r="H317">
        <f>IF($A317="","",SUMIFS('Таблиця 1'!$K:$K,'Таблиця 1'!$B:$B,$A317,'Таблиця 1'!$I:$I,"Mi-8",'Таблиця 1'!$J:$J,"UAR-80")+SUMIFS('Таблиця 1'!$K:$K,'Таблиця 1'!$B:$B,$A317,'Таблиця 1'!$I:$I,"Mi-24",'Таблиця 1'!$J:$J,"UAR-80"))</f>
        <v/>
      </c>
      <c r="I317">
        <f>IF($A317="","",SUMIFS('Таблиця 1'!$K:$K,'Таблиця 1'!$B:$B,$A317,'Таблиця 1'!$I:$I,"Mi-8",'Таблиця 1'!$J:$J,"C-13")+SUMIFS('Таблиця 1'!$K:$K,'Таблиця 1'!$B:$B,$A317,'Таблиця 1'!$I:$I,"Mi-24",'Таблиця 1'!$J:$J,"C-13"))</f>
        <v/>
      </c>
      <c r="J317">
        <f>IF($A317="","",SUMIFS('Таблиця 1'!$K:$K,'Таблиця 1'!$B:$B,$A317,'Таблиця 1'!$I:$I,"Mi-8",'Таблиця 1'!$J:$J,"Hydra-70")+SUMIFS('Таблиця 1'!$K:$K,'Таблиця 1'!$B:$B,$A317,'Таблиця 1'!$I:$I,"Mi-24",'Таблиця 1'!$J:$J,"Hydra-70"))</f>
        <v/>
      </c>
      <c r="K317">
        <f>IF($A317="","",SUMIFS('Таблиця 1'!$K:$K,'Таблиця 1'!$B:$B,$A317,'Таблиця 1'!$I:$I,"Mi-8",'Таблиця 1'!$J:$J,"Thales-70")+SUMIFS('Таблиця 1'!$K:$K,'Таблиця 1'!$B:$B,$A317,'Таблиця 1'!$I:$I,"Mi-24",'Таблиця 1'!$J:$J,"Thales-70"))</f>
        <v/>
      </c>
      <c r="L317">
        <f>IF($A317="","",SUMIFS('Таблиця 1'!$K:$K,'Таблиця 1'!$B:$B,$A317,'Таблиця 1'!$I:$I,"Mi-8",'Таблиця 1'!$J:$J,"Thales-FZ")+SUMIFS('Таблиця 1'!$K:$K,'Таблиця 1'!$B:$B,$A317,'Таблиця 1'!$I:$I,"Mi-24",'Таблиця 1'!$J:$J,"Thales-FZ"))</f>
        <v/>
      </c>
      <c r="M317">
        <f>IF($A317="","",SUMIFS('Таблиця 1'!$K:$K,'Таблиця 1'!$B:$B,$A317,'Таблиця 1'!$I:$I,"Mi-8",'Таблиця 1'!$J:$J,"МК-40")+SUMIFS('Таблиця 1'!$K:$K,'Таблиця 1'!$B:$B,$A317,'Таблиця 1'!$I:$I,"Mi-24",'Таблиця 1'!$J:$J,"МК-40"))</f>
        <v/>
      </c>
      <c r="N317">
        <f>IF($A317="","",SUMIFS('Таблиця 1'!$K:$K,'Таблиця 1'!$B:$B,$A317,'Таблиця 1'!$I:$I,"Mi-8",'Таблиця 1'!$J:$J,"Zuni")+SUMIFS('Таблиця 1'!$K:$K,'Таблиця 1'!$B:$B,$A317,'Таблиця 1'!$I:$I,"Mi-24",'Таблиця 1'!$J:$J,"Zuni"))</f>
        <v/>
      </c>
      <c r="O317">
        <f>IF($A317="","",COUNTIFS('Таблиця 1'!$B:$B,$A317,'Таблиця 1'!$I:$I,"Mi-8",'Таблиця 1'!$L:$L,"Уражено")+COUNTIFS('Таблиця 1'!$B:$B,$A317,'Таблиця 1'!$I:$I,"Mi-24",'Таблиця 1'!$L:$L,"Уражено"))</f>
        <v/>
      </c>
      <c r="P317">
        <f>IF($A317="","",COUNTIFS('Таблиця 1'!$B:$B,$A317,'Таблиця 1'!$I:$I,"Mi-8",'Таблиця 1'!$L:$L,"НЕ уражено")+COUNTIFS('Таблиця 1'!$B:$B,$A317,'Таблиця 1'!$I:$I,"Mi-24",'Таблиця 1'!$L:$L,"НЕ уражено"))</f>
        <v/>
      </c>
    </row>
    <row r="318">
      <c r="A318" s="273">
        <f>IF(A317="","",IF(A317+1&gt;MAX('Таблиця 1'!$B:$B),"",A317+1))</f>
        <v/>
      </c>
      <c r="B318">
        <f>IF($A318="","",COUNTIFS('Таблиця 1'!$B:$B,$A318,'Таблиця 1'!$I:$I,"Mi-8")+COUNTIFS('Таблиця 1'!$B:$B,$A318,'Таблиця 1'!$I:$I,"Mi-24"))</f>
        <v/>
      </c>
      <c r="C318">
        <f>IF($A318="","",COUNTIFS('Таблиця 1'!$B:$B,$A318,'Таблиця 1'!$I:$I,"Mi-8"))</f>
        <v/>
      </c>
      <c r="D318">
        <f>IF($A318="","",COUNTIFS('Таблиця 1'!$B:$B,$A318,'Таблиця 1'!$I:$I,"Mi-24"))</f>
        <v/>
      </c>
      <c r="E318">
        <f>IF($A318="","",SUMIFS('Таблиця 1'!$K:$K,'Таблиця 1'!$B:$B,$A318,'Таблиця 1'!$I:$I,"Mi-8",'Таблиця 1'!$J:$J,"ARS-8")+SUMIFS('Таблиця 1'!$K:$K,'Таблиця 1'!$B:$B,$A318,'Таблиця 1'!$I:$I,"Mi-24",'Таблиця 1'!$J:$J,"ARS-8"))</f>
        <v/>
      </c>
      <c r="F318">
        <f>IF($A318="","",SUMIFS('Таблиця 1'!$K:$K,'Таблиця 1'!$B:$B,$A318,'Таблиця 1'!$I:$I,"Mi-8",'Таблиця 1'!$J:$J,"С-8 ком")+SUMIFS('Таблиця 1'!$K:$K,'Таблиця 1'!$B:$B,$A318,'Таблиця 1'!$I:$I,"Mi-24",'Таблиця 1'!$J:$J,"С-8 ком"))</f>
        <v/>
      </c>
      <c r="G318">
        <f>IF($A318="","",SUMIFS('Таблиця 1'!$K:$K,'Таблиця 1'!$B:$B,$A318,'Таблиця 1'!$I:$I,"Mi-8",'Таблиця 1'!$J:$J,"PC-80")+SUMIFS('Таблиця 1'!$K:$K,'Таблиця 1'!$B:$B,$A318,'Таблиця 1'!$I:$I,"Mi-24",'Таблиця 1'!$J:$J,"PC-80"))</f>
        <v/>
      </c>
      <c r="H318">
        <f>IF($A318="","",SUMIFS('Таблиця 1'!$K:$K,'Таблиця 1'!$B:$B,$A318,'Таблиця 1'!$I:$I,"Mi-8",'Таблиця 1'!$J:$J,"UAR-80")+SUMIFS('Таблиця 1'!$K:$K,'Таблиця 1'!$B:$B,$A318,'Таблиця 1'!$I:$I,"Mi-24",'Таблиця 1'!$J:$J,"UAR-80"))</f>
        <v/>
      </c>
      <c r="I318">
        <f>IF($A318="","",SUMIFS('Таблиця 1'!$K:$K,'Таблиця 1'!$B:$B,$A318,'Таблиця 1'!$I:$I,"Mi-8",'Таблиця 1'!$J:$J,"C-13")+SUMIFS('Таблиця 1'!$K:$K,'Таблиця 1'!$B:$B,$A318,'Таблиця 1'!$I:$I,"Mi-24",'Таблиця 1'!$J:$J,"C-13"))</f>
        <v/>
      </c>
      <c r="J318">
        <f>IF($A318="","",SUMIFS('Таблиця 1'!$K:$K,'Таблиця 1'!$B:$B,$A318,'Таблиця 1'!$I:$I,"Mi-8",'Таблиця 1'!$J:$J,"Hydra-70")+SUMIFS('Таблиця 1'!$K:$K,'Таблиця 1'!$B:$B,$A318,'Таблиця 1'!$I:$I,"Mi-24",'Таблиця 1'!$J:$J,"Hydra-70"))</f>
        <v/>
      </c>
      <c r="K318">
        <f>IF($A318="","",SUMIFS('Таблиця 1'!$K:$K,'Таблиця 1'!$B:$B,$A318,'Таблиця 1'!$I:$I,"Mi-8",'Таблиця 1'!$J:$J,"Thales-70")+SUMIFS('Таблиця 1'!$K:$K,'Таблиця 1'!$B:$B,$A318,'Таблиця 1'!$I:$I,"Mi-24",'Таблиця 1'!$J:$J,"Thales-70"))</f>
        <v/>
      </c>
      <c r="L318">
        <f>IF($A318="","",SUMIFS('Таблиця 1'!$K:$K,'Таблиця 1'!$B:$B,$A318,'Таблиця 1'!$I:$I,"Mi-8",'Таблиця 1'!$J:$J,"Thales-FZ")+SUMIFS('Таблиця 1'!$K:$K,'Таблиця 1'!$B:$B,$A318,'Таблиця 1'!$I:$I,"Mi-24",'Таблиця 1'!$J:$J,"Thales-FZ"))</f>
        <v/>
      </c>
      <c r="M318">
        <f>IF($A318="","",SUMIFS('Таблиця 1'!$K:$K,'Таблиця 1'!$B:$B,$A318,'Таблиця 1'!$I:$I,"Mi-8",'Таблиця 1'!$J:$J,"МК-40")+SUMIFS('Таблиця 1'!$K:$K,'Таблиця 1'!$B:$B,$A318,'Таблиця 1'!$I:$I,"Mi-24",'Таблиця 1'!$J:$J,"МК-40"))</f>
        <v/>
      </c>
      <c r="N318">
        <f>IF($A318="","",SUMIFS('Таблиця 1'!$K:$K,'Таблиця 1'!$B:$B,$A318,'Таблиця 1'!$I:$I,"Mi-8",'Таблиця 1'!$J:$J,"Zuni")+SUMIFS('Таблиця 1'!$K:$K,'Таблиця 1'!$B:$B,$A318,'Таблиця 1'!$I:$I,"Mi-24",'Таблиця 1'!$J:$J,"Zuni"))</f>
        <v/>
      </c>
      <c r="O318">
        <f>IF($A318="","",COUNTIFS('Таблиця 1'!$B:$B,$A318,'Таблиця 1'!$I:$I,"Mi-8",'Таблиця 1'!$L:$L,"Уражено")+COUNTIFS('Таблиця 1'!$B:$B,$A318,'Таблиця 1'!$I:$I,"Mi-24",'Таблиця 1'!$L:$L,"Уражено"))</f>
        <v/>
      </c>
      <c r="P318">
        <f>IF($A318="","",COUNTIFS('Таблиця 1'!$B:$B,$A318,'Таблиця 1'!$I:$I,"Mi-8",'Таблиця 1'!$L:$L,"НЕ уражено")+COUNTIFS('Таблиця 1'!$B:$B,$A318,'Таблиця 1'!$I:$I,"Mi-24",'Таблиця 1'!$L:$L,"НЕ уражено"))</f>
        <v/>
      </c>
    </row>
    <row r="319">
      <c r="A319" s="273">
        <f>IF(A318="","",IF(A318+1&gt;MAX('Таблиця 1'!$B:$B),"",A318+1))</f>
        <v/>
      </c>
      <c r="B319">
        <f>IF($A319="","",COUNTIFS('Таблиця 1'!$B:$B,$A319,'Таблиця 1'!$I:$I,"Mi-8")+COUNTIFS('Таблиця 1'!$B:$B,$A319,'Таблиця 1'!$I:$I,"Mi-24"))</f>
        <v/>
      </c>
      <c r="C319">
        <f>IF($A319="","",COUNTIFS('Таблиця 1'!$B:$B,$A319,'Таблиця 1'!$I:$I,"Mi-8"))</f>
        <v/>
      </c>
      <c r="D319">
        <f>IF($A319="","",COUNTIFS('Таблиця 1'!$B:$B,$A319,'Таблиця 1'!$I:$I,"Mi-24"))</f>
        <v/>
      </c>
      <c r="E319">
        <f>IF($A319="","",SUMIFS('Таблиця 1'!$K:$K,'Таблиця 1'!$B:$B,$A319,'Таблиця 1'!$I:$I,"Mi-8",'Таблиця 1'!$J:$J,"ARS-8")+SUMIFS('Таблиця 1'!$K:$K,'Таблиця 1'!$B:$B,$A319,'Таблиця 1'!$I:$I,"Mi-24",'Таблиця 1'!$J:$J,"ARS-8"))</f>
        <v/>
      </c>
      <c r="F319">
        <f>IF($A319="","",SUMIFS('Таблиця 1'!$K:$K,'Таблиця 1'!$B:$B,$A319,'Таблиця 1'!$I:$I,"Mi-8",'Таблиця 1'!$J:$J,"С-8 ком")+SUMIFS('Таблиця 1'!$K:$K,'Таблиця 1'!$B:$B,$A319,'Таблиця 1'!$I:$I,"Mi-24",'Таблиця 1'!$J:$J,"С-8 ком"))</f>
        <v/>
      </c>
      <c r="G319">
        <f>IF($A319="","",SUMIFS('Таблиця 1'!$K:$K,'Таблиця 1'!$B:$B,$A319,'Таблиця 1'!$I:$I,"Mi-8",'Таблиця 1'!$J:$J,"PC-80")+SUMIFS('Таблиця 1'!$K:$K,'Таблиця 1'!$B:$B,$A319,'Таблиця 1'!$I:$I,"Mi-24",'Таблиця 1'!$J:$J,"PC-80"))</f>
        <v/>
      </c>
      <c r="H319">
        <f>IF($A319="","",SUMIFS('Таблиця 1'!$K:$K,'Таблиця 1'!$B:$B,$A319,'Таблиця 1'!$I:$I,"Mi-8",'Таблиця 1'!$J:$J,"UAR-80")+SUMIFS('Таблиця 1'!$K:$K,'Таблиця 1'!$B:$B,$A319,'Таблиця 1'!$I:$I,"Mi-24",'Таблиця 1'!$J:$J,"UAR-80"))</f>
        <v/>
      </c>
      <c r="I319">
        <f>IF($A319="","",SUMIFS('Таблиця 1'!$K:$K,'Таблиця 1'!$B:$B,$A319,'Таблиця 1'!$I:$I,"Mi-8",'Таблиця 1'!$J:$J,"C-13")+SUMIFS('Таблиця 1'!$K:$K,'Таблиця 1'!$B:$B,$A319,'Таблиця 1'!$I:$I,"Mi-24",'Таблиця 1'!$J:$J,"C-13"))</f>
        <v/>
      </c>
      <c r="J319">
        <f>IF($A319="","",SUMIFS('Таблиця 1'!$K:$K,'Таблиця 1'!$B:$B,$A319,'Таблиця 1'!$I:$I,"Mi-8",'Таблиця 1'!$J:$J,"Hydra-70")+SUMIFS('Таблиця 1'!$K:$K,'Таблиця 1'!$B:$B,$A319,'Таблиця 1'!$I:$I,"Mi-24",'Таблиця 1'!$J:$J,"Hydra-70"))</f>
        <v/>
      </c>
      <c r="K319">
        <f>IF($A319="","",SUMIFS('Таблиця 1'!$K:$K,'Таблиця 1'!$B:$B,$A319,'Таблиця 1'!$I:$I,"Mi-8",'Таблиця 1'!$J:$J,"Thales-70")+SUMIFS('Таблиця 1'!$K:$K,'Таблиця 1'!$B:$B,$A319,'Таблиця 1'!$I:$I,"Mi-24",'Таблиця 1'!$J:$J,"Thales-70"))</f>
        <v/>
      </c>
      <c r="L319">
        <f>IF($A319="","",SUMIFS('Таблиця 1'!$K:$K,'Таблиця 1'!$B:$B,$A319,'Таблиця 1'!$I:$I,"Mi-8",'Таблиця 1'!$J:$J,"Thales-FZ")+SUMIFS('Таблиця 1'!$K:$K,'Таблиця 1'!$B:$B,$A319,'Таблиця 1'!$I:$I,"Mi-24",'Таблиця 1'!$J:$J,"Thales-FZ"))</f>
        <v/>
      </c>
      <c r="M319">
        <f>IF($A319="","",SUMIFS('Таблиця 1'!$K:$K,'Таблиця 1'!$B:$B,$A319,'Таблиця 1'!$I:$I,"Mi-8",'Таблиця 1'!$J:$J,"МК-40")+SUMIFS('Таблиця 1'!$K:$K,'Таблиця 1'!$B:$B,$A319,'Таблиця 1'!$I:$I,"Mi-24",'Таблиця 1'!$J:$J,"МК-40"))</f>
        <v/>
      </c>
      <c r="N319">
        <f>IF($A319="","",SUMIFS('Таблиця 1'!$K:$K,'Таблиця 1'!$B:$B,$A319,'Таблиця 1'!$I:$I,"Mi-8",'Таблиця 1'!$J:$J,"Zuni")+SUMIFS('Таблиця 1'!$K:$K,'Таблиця 1'!$B:$B,$A319,'Таблиця 1'!$I:$I,"Mi-24",'Таблиця 1'!$J:$J,"Zuni"))</f>
        <v/>
      </c>
      <c r="O319">
        <f>IF($A319="","",COUNTIFS('Таблиця 1'!$B:$B,$A319,'Таблиця 1'!$I:$I,"Mi-8",'Таблиця 1'!$L:$L,"Уражено")+COUNTIFS('Таблиця 1'!$B:$B,$A319,'Таблиця 1'!$I:$I,"Mi-24",'Таблиця 1'!$L:$L,"Уражено"))</f>
        <v/>
      </c>
      <c r="P319">
        <f>IF($A319="","",COUNTIFS('Таблиця 1'!$B:$B,$A319,'Таблиця 1'!$I:$I,"Mi-8",'Таблиця 1'!$L:$L,"НЕ уражено")+COUNTIFS('Таблиця 1'!$B:$B,$A319,'Таблиця 1'!$I:$I,"Mi-24",'Таблиця 1'!$L:$L,"НЕ уражено"))</f>
        <v/>
      </c>
    </row>
    <row r="320">
      <c r="A320" s="273">
        <f>IF(A319="","",IF(A319+1&gt;MAX('Таблиця 1'!$B:$B),"",A319+1))</f>
        <v/>
      </c>
      <c r="B320">
        <f>IF($A320="","",COUNTIFS('Таблиця 1'!$B:$B,$A320,'Таблиця 1'!$I:$I,"Mi-8")+COUNTIFS('Таблиця 1'!$B:$B,$A320,'Таблиця 1'!$I:$I,"Mi-24"))</f>
        <v/>
      </c>
      <c r="C320">
        <f>IF($A320="","",COUNTIFS('Таблиця 1'!$B:$B,$A320,'Таблиця 1'!$I:$I,"Mi-8"))</f>
        <v/>
      </c>
      <c r="D320">
        <f>IF($A320="","",COUNTIFS('Таблиця 1'!$B:$B,$A320,'Таблиця 1'!$I:$I,"Mi-24"))</f>
        <v/>
      </c>
      <c r="E320">
        <f>IF($A320="","",SUMIFS('Таблиця 1'!$K:$K,'Таблиця 1'!$B:$B,$A320,'Таблиця 1'!$I:$I,"Mi-8",'Таблиця 1'!$J:$J,"ARS-8")+SUMIFS('Таблиця 1'!$K:$K,'Таблиця 1'!$B:$B,$A320,'Таблиця 1'!$I:$I,"Mi-24",'Таблиця 1'!$J:$J,"ARS-8"))</f>
        <v/>
      </c>
      <c r="F320">
        <f>IF($A320="","",SUMIFS('Таблиця 1'!$K:$K,'Таблиця 1'!$B:$B,$A320,'Таблиця 1'!$I:$I,"Mi-8",'Таблиця 1'!$J:$J,"С-8 ком")+SUMIFS('Таблиця 1'!$K:$K,'Таблиця 1'!$B:$B,$A320,'Таблиця 1'!$I:$I,"Mi-24",'Таблиця 1'!$J:$J,"С-8 ком"))</f>
        <v/>
      </c>
      <c r="G320">
        <f>IF($A320="","",SUMIFS('Таблиця 1'!$K:$K,'Таблиця 1'!$B:$B,$A320,'Таблиця 1'!$I:$I,"Mi-8",'Таблиця 1'!$J:$J,"PC-80")+SUMIFS('Таблиця 1'!$K:$K,'Таблиця 1'!$B:$B,$A320,'Таблиця 1'!$I:$I,"Mi-24",'Таблиця 1'!$J:$J,"PC-80"))</f>
        <v/>
      </c>
      <c r="H320">
        <f>IF($A320="","",SUMIFS('Таблиця 1'!$K:$K,'Таблиця 1'!$B:$B,$A320,'Таблиця 1'!$I:$I,"Mi-8",'Таблиця 1'!$J:$J,"UAR-80")+SUMIFS('Таблиця 1'!$K:$K,'Таблиця 1'!$B:$B,$A320,'Таблиця 1'!$I:$I,"Mi-24",'Таблиця 1'!$J:$J,"UAR-80"))</f>
        <v/>
      </c>
      <c r="I320">
        <f>IF($A320="","",SUMIFS('Таблиця 1'!$K:$K,'Таблиця 1'!$B:$B,$A320,'Таблиця 1'!$I:$I,"Mi-8",'Таблиця 1'!$J:$J,"C-13")+SUMIFS('Таблиця 1'!$K:$K,'Таблиця 1'!$B:$B,$A320,'Таблиця 1'!$I:$I,"Mi-24",'Таблиця 1'!$J:$J,"C-13"))</f>
        <v/>
      </c>
      <c r="J320">
        <f>IF($A320="","",SUMIFS('Таблиця 1'!$K:$K,'Таблиця 1'!$B:$B,$A320,'Таблиця 1'!$I:$I,"Mi-8",'Таблиця 1'!$J:$J,"Hydra-70")+SUMIFS('Таблиця 1'!$K:$K,'Таблиця 1'!$B:$B,$A320,'Таблиця 1'!$I:$I,"Mi-24",'Таблиця 1'!$J:$J,"Hydra-70"))</f>
        <v/>
      </c>
      <c r="K320">
        <f>IF($A320="","",SUMIFS('Таблиця 1'!$K:$K,'Таблиця 1'!$B:$B,$A320,'Таблиця 1'!$I:$I,"Mi-8",'Таблиця 1'!$J:$J,"Thales-70")+SUMIFS('Таблиця 1'!$K:$K,'Таблиця 1'!$B:$B,$A320,'Таблиця 1'!$I:$I,"Mi-24",'Таблиця 1'!$J:$J,"Thales-70"))</f>
        <v/>
      </c>
      <c r="L320">
        <f>IF($A320="","",SUMIFS('Таблиця 1'!$K:$K,'Таблиця 1'!$B:$B,$A320,'Таблиця 1'!$I:$I,"Mi-8",'Таблиця 1'!$J:$J,"Thales-FZ")+SUMIFS('Таблиця 1'!$K:$K,'Таблиця 1'!$B:$B,$A320,'Таблиця 1'!$I:$I,"Mi-24",'Таблиця 1'!$J:$J,"Thales-FZ"))</f>
        <v/>
      </c>
      <c r="M320">
        <f>IF($A320="","",SUMIFS('Таблиця 1'!$K:$K,'Таблиця 1'!$B:$B,$A320,'Таблиця 1'!$I:$I,"Mi-8",'Таблиця 1'!$J:$J,"МК-40")+SUMIFS('Таблиця 1'!$K:$K,'Таблиця 1'!$B:$B,$A320,'Таблиця 1'!$I:$I,"Mi-24",'Таблиця 1'!$J:$J,"МК-40"))</f>
        <v/>
      </c>
      <c r="N320">
        <f>IF($A320="","",SUMIFS('Таблиця 1'!$K:$K,'Таблиця 1'!$B:$B,$A320,'Таблиця 1'!$I:$I,"Mi-8",'Таблиця 1'!$J:$J,"Zuni")+SUMIFS('Таблиця 1'!$K:$K,'Таблиця 1'!$B:$B,$A320,'Таблиця 1'!$I:$I,"Mi-24",'Таблиця 1'!$J:$J,"Zuni"))</f>
        <v/>
      </c>
      <c r="O320">
        <f>IF($A320="","",COUNTIFS('Таблиця 1'!$B:$B,$A320,'Таблиця 1'!$I:$I,"Mi-8",'Таблиця 1'!$L:$L,"Уражено")+COUNTIFS('Таблиця 1'!$B:$B,$A320,'Таблиця 1'!$I:$I,"Mi-24",'Таблиця 1'!$L:$L,"Уражено"))</f>
        <v/>
      </c>
      <c r="P320">
        <f>IF($A320="","",COUNTIFS('Таблиця 1'!$B:$B,$A320,'Таблиця 1'!$I:$I,"Mi-8",'Таблиця 1'!$L:$L,"НЕ уражено")+COUNTIFS('Таблиця 1'!$B:$B,$A320,'Таблиця 1'!$I:$I,"Mi-24",'Таблиця 1'!$L:$L,"НЕ уражено"))</f>
        <v/>
      </c>
    </row>
    <row r="321">
      <c r="A321" s="273">
        <f>IF(A320="","",IF(A320+1&gt;MAX('Таблиця 1'!$B:$B),"",A320+1))</f>
        <v/>
      </c>
      <c r="B321">
        <f>IF($A321="","",COUNTIFS('Таблиця 1'!$B:$B,$A321,'Таблиця 1'!$I:$I,"Mi-8")+COUNTIFS('Таблиця 1'!$B:$B,$A321,'Таблиця 1'!$I:$I,"Mi-24"))</f>
        <v/>
      </c>
      <c r="C321">
        <f>IF($A321="","",COUNTIFS('Таблиця 1'!$B:$B,$A321,'Таблиця 1'!$I:$I,"Mi-8"))</f>
        <v/>
      </c>
      <c r="D321">
        <f>IF($A321="","",COUNTIFS('Таблиця 1'!$B:$B,$A321,'Таблиця 1'!$I:$I,"Mi-24"))</f>
        <v/>
      </c>
      <c r="E321">
        <f>IF($A321="","",SUMIFS('Таблиця 1'!$K:$K,'Таблиця 1'!$B:$B,$A321,'Таблиця 1'!$I:$I,"Mi-8",'Таблиця 1'!$J:$J,"ARS-8")+SUMIFS('Таблиця 1'!$K:$K,'Таблиця 1'!$B:$B,$A321,'Таблиця 1'!$I:$I,"Mi-24",'Таблиця 1'!$J:$J,"ARS-8"))</f>
        <v/>
      </c>
      <c r="F321">
        <f>IF($A321="","",SUMIFS('Таблиця 1'!$K:$K,'Таблиця 1'!$B:$B,$A321,'Таблиця 1'!$I:$I,"Mi-8",'Таблиця 1'!$J:$J,"С-8 ком")+SUMIFS('Таблиця 1'!$K:$K,'Таблиця 1'!$B:$B,$A321,'Таблиця 1'!$I:$I,"Mi-24",'Таблиця 1'!$J:$J,"С-8 ком"))</f>
        <v/>
      </c>
      <c r="G321">
        <f>IF($A321="","",SUMIFS('Таблиця 1'!$K:$K,'Таблиця 1'!$B:$B,$A321,'Таблиця 1'!$I:$I,"Mi-8",'Таблиця 1'!$J:$J,"PC-80")+SUMIFS('Таблиця 1'!$K:$K,'Таблиця 1'!$B:$B,$A321,'Таблиця 1'!$I:$I,"Mi-24",'Таблиця 1'!$J:$J,"PC-80"))</f>
        <v/>
      </c>
      <c r="H321">
        <f>IF($A321="","",SUMIFS('Таблиця 1'!$K:$K,'Таблиця 1'!$B:$B,$A321,'Таблиця 1'!$I:$I,"Mi-8",'Таблиця 1'!$J:$J,"UAR-80")+SUMIFS('Таблиця 1'!$K:$K,'Таблиця 1'!$B:$B,$A321,'Таблиця 1'!$I:$I,"Mi-24",'Таблиця 1'!$J:$J,"UAR-80"))</f>
        <v/>
      </c>
      <c r="I321">
        <f>IF($A321="","",SUMIFS('Таблиця 1'!$K:$K,'Таблиця 1'!$B:$B,$A321,'Таблиця 1'!$I:$I,"Mi-8",'Таблиця 1'!$J:$J,"C-13")+SUMIFS('Таблиця 1'!$K:$K,'Таблиця 1'!$B:$B,$A321,'Таблиця 1'!$I:$I,"Mi-24",'Таблиця 1'!$J:$J,"C-13"))</f>
        <v/>
      </c>
      <c r="J321">
        <f>IF($A321="","",SUMIFS('Таблиця 1'!$K:$K,'Таблиця 1'!$B:$B,$A321,'Таблиця 1'!$I:$I,"Mi-8",'Таблиця 1'!$J:$J,"Hydra-70")+SUMIFS('Таблиця 1'!$K:$K,'Таблиця 1'!$B:$B,$A321,'Таблиця 1'!$I:$I,"Mi-24",'Таблиця 1'!$J:$J,"Hydra-70"))</f>
        <v/>
      </c>
      <c r="K321">
        <f>IF($A321="","",SUMIFS('Таблиця 1'!$K:$K,'Таблиця 1'!$B:$B,$A321,'Таблиця 1'!$I:$I,"Mi-8",'Таблиця 1'!$J:$J,"Thales-70")+SUMIFS('Таблиця 1'!$K:$K,'Таблиця 1'!$B:$B,$A321,'Таблиця 1'!$I:$I,"Mi-24",'Таблиця 1'!$J:$J,"Thales-70"))</f>
        <v/>
      </c>
      <c r="L321">
        <f>IF($A321="","",SUMIFS('Таблиця 1'!$K:$K,'Таблиця 1'!$B:$B,$A321,'Таблиця 1'!$I:$I,"Mi-8",'Таблиця 1'!$J:$J,"Thales-FZ")+SUMIFS('Таблиця 1'!$K:$K,'Таблиця 1'!$B:$B,$A321,'Таблиця 1'!$I:$I,"Mi-24",'Таблиця 1'!$J:$J,"Thales-FZ"))</f>
        <v/>
      </c>
      <c r="M321">
        <f>IF($A321="","",SUMIFS('Таблиця 1'!$K:$K,'Таблиця 1'!$B:$B,$A321,'Таблиця 1'!$I:$I,"Mi-8",'Таблиця 1'!$J:$J,"МК-40")+SUMIFS('Таблиця 1'!$K:$K,'Таблиця 1'!$B:$B,$A321,'Таблиця 1'!$I:$I,"Mi-24",'Таблиця 1'!$J:$J,"МК-40"))</f>
        <v/>
      </c>
      <c r="N321">
        <f>IF($A321="","",SUMIFS('Таблиця 1'!$K:$K,'Таблиця 1'!$B:$B,$A321,'Таблиця 1'!$I:$I,"Mi-8",'Таблиця 1'!$J:$J,"Zuni")+SUMIFS('Таблиця 1'!$K:$K,'Таблиця 1'!$B:$B,$A321,'Таблиця 1'!$I:$I,"Mi-24",'Таблиця 1'!$J:$J,"Zuni"))</f>
        <v/>
      </c>
      <c r="O321">
        <f>IF($A321="","",COUNTIFS('Таблиця 1'!$B:$B,$A321,'Таблиця 1'!$I:$I,"Mi-8",'Таблиця 1'!$L:$L,"Уражено")+COUNTIFS('Таблиця 1'!$B:$B,$A321,'Таблиця 1'!$I:$I,"Mi-24",'Таблиця 1'!$L:$L,"Уражено"))</f>
        <v/>
      </c>
      <c r="P321">
        <f>IF($A321="","",COUNTIFS('Таблиця 1'!$B:$B,$A321,'Таблиця 1'!$I:$I,"Mi-8",'Таблиця 1'!$L:$L,"НЕ уражено")+COUNTIFS('Таблиця 1'!$B:$B,$A321,'Таблиця 1'!$I:$I,"Mi-24",'Таблиця 1'!$L:$L,"НЕ уражено"))</f>
        <v/>
      </c>
    </row>
    <row r="322">
      <c r="A322" s="273">
        <f>IF(A321="","",IF(A321+1&gt;MAX('Таблиця 1'!$B:$B),"",A321+1))</f>
        <v/>
      </c>
      <c r="B322">
        <f>IF($A322="","",COUNTIFS('Таблиця 1'!$B:$B,$A322,'Таблиця 1'!$I:$I,"Mi-8")+COUNTIFS('Таблиця 1'!$B:$B,$A322,'Таблиця 1'!$I:$I,"Mi-24"))</f>
        <v/>
      </c>
      <c r="C322">
        <f>IF($A322="","",COUNTIFS('Таблиця 1'!$B:$B,$A322,'Таблиця 1'!$I:$I,"Mi-8"))</f>
        <v/>
      </c>
      <c r="D322">
        <f>IF($A322="","",COUNTIFS('Таблиця 1'!$B:$B,$A322,'Таблиця 1'!$I:$I,"Mi-24"))</f>
        <v/>
      </c>
      <c r="E322">
        <f>IF($A322="","",SUMIFS('Таблиця 1'!$K:$K,'Таблиця 1'!$B:$B,$A322,'Таблиця 1'!$I:$I,"Mi-8",'Таблиця 1'!$J:$J,"ARS-8")+SUMIFS('Таблиця 1'!$K:$K,'Таблиця 1'!$B:$B,$A322,'Таблиця 1'!$I:$I,"Mi-24",'Таблиця 1'!$J:$J,"ARS-8"))</f>
        <v/>
      </c>
      <c r="F322">
        <f>IF($A322="","",SUMIFS('Таблиця 1'!$K:$K,'Таблиця 1'!$B:$B,$A322,'Таблиця 1'!$I:$I,"Mi-8",'Таблиця 1'!$J:$J,"С-8 ком")+SUMIFS('Таблиця 1'!$K:$K,'Таблиця 1'!$B:$B,$A322,'Таблиця 1'!$I:$I,"Mi-24",'Таблиця 1'!$J:$J,"С-8 ком"))</f>
        <v/>
      </c>
      <c r="G322">
        <f>IF($A322="","",SUMIFS('Таблиця 1'!$K:$K,'Таблиця 1'!$B:$B,$A322,'Таблиця 1'!$I:$I,"Mi-8",'Таблиця 1'!$J:$J,"PC-80")+SUMIFS('Таблиця 1'!$K:$K,'Таблиця 1'!$B:$B,$A322,'Таблиця 1'!$I:$I,"Mi-24",'Таблиця 1'!$J:$J,"PC-80"))</f>
        <v/>
      </c>
      <c r="H322">
        <f>IF($A322="","",SUMIFS('Таблиця 1'!$K:$K,'Таблиця 1'!$B:$B,$A322,'Таблиця 1'!$I:$I,"Mi-8",'Таблиця 1'!$J:$J,"UAR-80")+SUMIFS('Таблиця 1'!$K:$K,'Таблиця 1'!$B:$B,$A322,'Таблиця 1'!$I:$I,"Mi-24",'Таблиця 1'!$J:$J,"UAR-80"))</f>
        <v/>
      </c>
      <c r="I322">
        <f>IF($A322="","",SUMIFS('Таблиця 1'!$K:$K,'Таблиця 1'!$B:$B,$A322,'Таблиця 1'!$I:$I,"Mi-8",'Таблиця 1'!$J:$J,"C-13")+SUMIFS('Таблиця 1'!$K:$K,'Таблиця 1'!$B:$B,$A322,'Таблиця 1'!$I:$I,"Mi-24",'Таблиця 1'!$J:$J,"C-13"))</f>
        <v/>
      </c>
      <c r="J322">
        <f>IF($A322="","",SUMIFS('Таблиця 1'!$K:$K,'Таблиця 1'!$B:$B,$A322,'Таблиця 1'!$I:$I,"Mi-8",'Таблиця 1'!$J:$J,"Hydra-70")+SUMIFS('Таблиця 1'!$K:$K,'Таблиця 1'!$B:$B,$A322,'Таблиця 1'!$I:$I,"Mi-24",'Таблиця 1'!$J:$J,"Hydra-70"))</f>
        <v/>
      </c>
      <c r="K322">
        <f>IF($A322="","",SUMIFS('Таблиця 1'!$K:$K,'Таблиця 1'!$B:$B,$A322,'Таблиця 1'!$I:$I,"Mi-8",'Таблиця 1'!$J:$J,"Thales-70")+SUMIFS('Таблиця 1'!$K:$K,'Таблиця 1'!$B:$B,$A322,'Таблиця 1'!$I:$I,"Mi-24",'Таблиця 1'!$J:$J,"Thales-70"))</f>
        <v/>
      </c>
      <c r="L322">
        <f>IF($A322="","",SUMIFS('Таблиця 1'!$K:$K,'Таблиця 1'!$B:$B,$A322,'Таблиця 1'!$I:$I,"Mi-8",'Таблиця 1'!$J:$J,"Thales-FZ")+SUMIFS('Таблиця 1'!$K:$K,'Таблиця 1'!$B:$B,$A322,'Таблиця 1'!$I:$I,"Mi-24",'Таблиця 1'!$J:$J,"Thales-FZ"))</f>
        <v/>
      </c>
      <c r="M322">
        <f>IF($A322="","",SUMIFS('Таблиця 1'!$K:$K,'Таблиця 1'!$B:$B,$A322,'Таблиця 1'!$I:$I,"Mi-8",'Таблиця 1'!$J:$J,"МК-40")+SUMIFS('Таблиця 1'!$K:$K,'Таблиця 1'!$B:$B,$A322,'Таблиця 1'!$I:$I,"Mi-24",'Таблиця 1'!$J:$J,"МК-40"))</f>
        <v/>
      </c>
      <c r="N322">
        <f>IF($A322="","",SUMIFS('Таблиця 1'!$K:$K,'Таблиця 1'!$B:$B,$A322,'Таблиця 1'!$I:$I,"Mi-8",'Таблиця 1'!$J:$J,"Zuni")+SUMIFS('Таблиця 1'!$K:$K,'Таблиця 1'!$B:$B,$A322,'Таблиця 1'!$I:$I,"Mi-24",'Таблиця 1'!$J:$J,"Zuni"))</f>
        <v/>
      </c>
      <c r="O322">
        <f>IF($A322="","",COUNTIFS('Таблиця 1'!$B:$B,$A322,'Таблиця 1'!$I:$I,"Mi-8",'Таблиця 1'!$L:$L,"Уражено")+COUNTIFS('Таблиця 1'!$B:$B,$A322,'Таблиця 1'!$I:$I,"Mi-24",'Таблиця 1'!$L:$L,"Уражено"))</f>
        <v/>
      </c>
      <c r="P322">
        <f>IF($A322="","",COUNTIFS('Таблиця 1'!$B:$B,$A322,'Таблиця 1'!$I:$I,"Mi-8",'Таблиця 1'!$L:$L,"НЕ уражено")+COUNTIFS('Таблиця 1'!$B:$B,$A322,'Таблиця 1'!$I:$I,"Mi-24",'Таблиця 1'!$L:$L,"НЕ уражено"))</f>
        <v/>
      </c>
    </row>
    <row r="323">
      <c r="A323" s="273">
        <f>IF(A322="","",IF(A322+1&gt;MAX('Таблиця 1'!$B:$B),"",A322+1))</f>
        <v/>
      </c>
      <c r="B323">
        <f>IF($A323="","",COUNTIFS('Таблиця 1'!$B:$B,$A323,'Таблиця 1'!$I:$I,"Mi-8")+COUNTIFS('Таблиця 1'!$B:$B,$A323,'Таблиця 1'!$I:$I,"Mi-24"))</f>
        <v/>
      </c>
      <c r="C323">
        <f>IF($A323="","",COUNTIFS('Таблиця 1'!$B:$B,$A323,'Таблиця 1'!$I:$I,"Mi-8"))</f>
        <v/>
      </c>
      <c r="D323">
        <f>IF($A323="","",COUNTIFS('Таблиця 1'!$B:$B,$A323,'Таблиця 1'!$I:$I,"Mi-24"))</f>
        <v/>
      </c>
      <c r="E323">
        <f>IF($A323="","",SUMIFS('Таблиця 1'!$K:$K,'Таблиця 1'!$B:$B,$A323,'Таблиця 1'!$I:$I,"Mi-8",'Таблиця 1'!$J:$J,"ARS-8")+SUMIFS('Таблиця 1'!$K:$K,'Таблиця 1'!$B:$B,$A323,'Таблиця 1'!$I:$I,"Mi-24",'Таблиця 1'!$J:$J,"ARS-8"))</f>
        <v/>
      </c>
      <c r="F323">
        <f>IF($A323="","",SUMIFS('Таблиця 1'!$K:$K,'Таблиця 1'!$B:$B,$A323,'Таблиця 1'!$I:$I,"Mi-8",'Таблиця 1'!$J:$J,"С-8 ком")+SUMIFS('Таблиця 1'!$K:$K,'Таблиця 1'!$B:$B,$A323,'Таблиця 1'!$I:$I,"Mi-24",'Таблиця 1'!$J:$J,"С-8 ком"))</f>
        <v/>
      </c>
      <c r="G323">
        <f>IF($A323="","",SUMIFS('Таблиця 1'!$K:$K,'Таблиця 1'!$B:$B,$A323,'Таблиця 1'!$I:$I,"Mi-8",'Таблиця 1'!$J:$J,"PC-80")+SUMIFS('Таблиця 1'!$K:$K,'Таблиця 1'!$B:$B,$A323,'Таблиця 1'!$I:$I,"Mi-24",'Таблиця 1'!$J:$J,"PC-80"))</f>
        <v/>
      </c>
      <c r="H323">
        <f>IF($A323="","",SUMIFS('Таблиця 1'!$K:$K,'Таблиця 1'!$B:$B,$A323,'Таблиця 1'!$I:$I,"Mi-8",'Таблиця 1'!$J:$J,"UAR-80")+SUMIFS('Таблиця 1'!$K:$K,'Таблиця 1'!$B:$B,$A323,'Таблиця 1'!$I:$I,"Mi-24",'Таблиця 1'!$J:$J,"UAR-80"))</f>
        <v/>
      </c>
      <c r="I323">
        <f>IF($A323="","",SUMIFS('Таблиця 1'!$K:$K,'Таблиця 1'!$B:$B,$A323,'Таблиця 1'!$I:$I,"Mi-8",'Таблиця 1'!$J:$J,"C-13")+SUMIFS('Таблиця 1'!$K:$K,'Таблиця 1'!$B:$B,$A323,'Таблиця 1'!$I:$I,"Mi-24",'Таблиця 1'!$J:$J,"C-13"))</f>
        <v/>
      </c>
      <c r="J323">
        <f>IF($A323="","",SUMIFS('Таблиця 1'!$K:$K,'Таблиця 1'!$B:$B,$A323,'Таблиця 1'!$I:$I,"Mi-8",'Таблиця 1'!$J:$J,"Hydra-70")+SUMIFS('Таблиця 1'!$K:$K,'Таблиця 1'!$B:$B,$A323,'Таблиця 1'!$I:$I,"Mi-24",'Таблиця 1'!$J:$J,"Hydra-70"))</f>
        <v/>
      </c>
      <c r="K323">
        <f>IF($A323="","",SUMIFS('Таблиця 1'!$K:$K,'Таблиця 1'!$B:$B,$A323,'Таблиця 1'!$I:$I,"Mi-8",'Таблиця 1'!$J:$J,"Thales-70")+SUMIFS('Таблиця 1'!$K:$K,'Таблиця 1'!$B:$B,$A323,'Таблиця 1'!$I:$I,"Mi-24",'Таблиця 1'!$J:$J,"Thales-70"))</f>
        <v/>
      </c>
      <c r="L323">
        <f>IF($A323="","",SUMIFS('Таблиця 1'!$K:$K,'Таблиця 1'!$B:$B,$A323,'Таблиця 1'!$I:$I,"Mi-8",'Таблиця 1'!$J:$J,"Thales-FZ")+SUMIFS('Таблиця 1'!$K:$K,'Таблиця 1'!$B:$B,$A323,'Таблиця 1'!$I:$I,"Mi-24",'Таблиця 1'!$J:$J,"Thales-FZ"))</f>
        <v/>
      </c>
      <c r="M323">
        <f>IF($A323="","",SUMIFS('Таблиця 1'!$K:$K,'Таблиця 1'!$B:$B,$A323,'Таблиця 1'!$I:$I,"Mi-8",'Таблиця 1'!$J:$J,"МК-40")+SUMIFS('Таблиця 1'!$K:$K,'Таблиця 1'!$B:$B,$A323,'Таблиця 1'!$I:$I,"Mi-24",'Таблиця 1'!$J:$J,"МК-40"))</f>
        <v/>
      </c>
      <c r="N323">
        <f>IF($A323="","",SUMIFS('Таблиця 1'!$K:$K,'Таблиця 1'!$B:$B,$A323,'Таблиця 1'!$I:$I,"Mi-8",'Таблиця 1'!$J:$J,"Zuni")+SUMIFS('Таблиця 1'!$K:$K,'Таблиця 1'!$B:$B,$A323,'Таблиця 1'!$I:$I,"Mi-24",'Таблиця 1'!$J:$J,"Zuni"))</f>
        <v/>
      </c>
      <c r="O323">
        <f>IF($A323="","",COUNTIFS('Таблиця 1'!$B:$B,$A323,'Таблиця 1'!$I:$I,"Mi-8",'Таблиця 1'!$L:$L,"Уражено")+COUNTIFS('Таблиця 1'!$B:$B,$A323,'Таблиця 1'!$I:$I,"Mi-24",'Таблиця 1'!$L:$L,"Уражено"))</f>
        <v/>
      </c>
      <c r="P323">
        <f>IF($A323="","",COUNTIFS('Таблиця 1'!$B:$B,$A323,'Таблиця 1'!$I:$I,"Mi-8",'Таблиця 1'!$L:$L,"НЕ уражено")+COUNTIFS('Таблиця 1'!$B:$B,$A323,'Таблиця 1'!$I:$I,"Mi-24",'Таблиця 1'!$L:$L,"НЕ уражено"))</f>
        <v/>
      </c>
    </row>
    <row r="324">
      <c r="A324" s="273">
        <f>IF(A323="","",IF(A323+1&gt;MAX('Таблиця 1'!$B:$B),"",A323+1))</f>
        <v/>
      </c>
      <c r="B324">
        <f>IF($A324="","",COUNTIFS('Таблиця 1'!$B:$B,$A324,'Таблиця 1'!$I:$I,"Mi-8")+COUNTIFS('Таблиця 1'!$B:$B,$A324,'Таблиця 1'!$I:$I,"Mi-24"))</f>
        <v/>
      </c>
      <c r="C324">
        <f>IF($A324="","",COUNTIFS('Таблиця 1'!$B:$B,$A324,'Таблиця 1'!$I:$I,"Mi-8"))</f>
        <v/>
      </c>
      <c r="D324">
        <f>IF($A324="","",COUNTIFS('Таблиця 1'!$B:$B,$A324,'Таблиця 1'!$I:$I,"Mi-24"))</f>
        <v/>
      </c>
      <c r="E324">
        <f>IF($A324="","",SUMIFS('Таблиця 1'!$K:$K,'Таблиця 1'!$B:$B,$A324,'Таблиця 1'!$I:$I,"Mi-8",'Таблиця 1'!$J:$J,"ARS-8")+SUMIFS('Таблиця 1'!$K:$K,'Таблиця 1'!$B:$B,$A324,'Таблиця 1'!$I:$I,"Mi-24",'Таблиця 1'!$J:$J,"ARS-8"))</f>
        <v/>
      </c>
      <c r="F324">
        <f>IF($A324="","",SUMIFS('Таблиця 1'!$K:$K,'Таблиця 1'!$B:$B,$A324,'Таблиця 1'!$I:$I,"Mi-8",'Таблиця 1'!$J:$J,"С-8 ком")+SUMIFS('Таблиця 1'!$K:$K,'Таблиця 1'!$B:$B,$A324,'Таблиця 1'!$I:$I,"Mi-24",'Таблиця 1'!$J:$J,"С-8 ком"))</f>
        <v/>
      </c>
      <c r="G324">
        <f>IF($A324="","",SUMIFS('Таблиця 1'!$K:$K,'Таблиця 1'!$B:$B,$A324,'Таблиця 1'!$I:$I,"Mi-8",'Таблиця 1'!$J:$J,"PC-80")+SUMIFS('Таблиця 1'!$K:$K,'Таблиця 1'!$B:$B,$A324,'Таблиця 1'!$I:$I,"Mi-24",'Таблиця 1'!$J:$J,"PC-80"))</f>
        <v/>
      </c>
      <c r="H324">
        <f>IF($A324="","",SUMIFS('Таблиця 1'!$K:$K,'Таблиця 1'!$B:$B,$A324,'Таблиця 1'!$I:$I,"Mi-8",'Таблиця 1'!$J:$J,"UAR-80")+SUMIFS('Таблиця 1'!$K:$K,'Таблиця 1'!$B:$B,$A324,'Таблиця 1'!$I:$I,"Mi-24",'Таблиця 1'!$J:$J,"UAR-80"))</f>
        <v/>
      </c>
      <c r="I324">
        <f>IF($A324="","",SUMIFS('Таблиця 1'!$K:$K,'Таблиця 1'!$B:$B,$A324,'Таблиця 1'!$I:$I,"Mi-8",'Таблиця 1'!$J:$J,"C-13")+SUMIFS('Таблиця 1'!$K:$K,'Таблиця 1'!$B:$B,$A324,'Таблиця 1'!$I:$I,"Mi-24",'Таблиця 1'!$J:$J,"C-13"))</f>
        <v/>
      </c>
      <c r="J324">
        <f>IF($A324="","",SUMIFS('Таблиця 1'!$K:$K,'Таблиця 1'!$B:$B,$A324,'Таблиця 1'!$I:$I,"Mi-8",'Таблиця 1'!$J:$J,"Hydra-70")+SUMIFS('Таблиця 1'!$K:$K,'Таблиця 1'!$B:$B,$A324,'Таблиця 1'!$I:$I,"Mi-24",'Таблиця 1'!$J:$J,"Hydra-70"))</f>
        <v/>
      </c>
      <c r="K324">
        <f>IF($A324="","",SUMIFS('Таблиця 1'!$K:$K,'Таблиця 1'!$B:$B,$A324,'Таблиця 1'!$I:$I,"Mi-8",'Таблиця 1'!$J:$J,"Thales-70")+SUMIFS('Таблиця 1'!$K:$K,'Таблиця 1'!$B:$B,$A324,'Таблиця 1'!$I:$I,"Mi-24",'Таблиця 1'!$J:$J,"Thales-70"))</f>
        <v/>
      </c>
      <c r="L324">
        <f>IF($A324="","",SUMIFS('Таблиця 1'!$K:$K,'Таблиця 1'!$B:$B,$A324,'Таблиця 1'!$I:$I,"Mi-8",'Таблиця 1'!$J:$J,"Thales-FZ")+SUMIFS('Таблиця 1'!$K:$K,'Таблиця 1'!$B:$B,$A324,'Таблиця 1'!$I:$I,"Mi-24",'Таблиця 1'!$J:$J,"Thales-FZ"))</f>
        <v/>
      </c>
      <c r="M324">
        <f>IF($A324="","",SUMIFS('Таблиця 1'!$K:$K,'Таблиця 1'!$B:$B,$A324,'Таблиця 1'!$I:$I,"Mi-8",'Таблиця 1'!$J:$J,"МК-40")+SUMIFS('Таблиця 1'!$K:$K,'Таблиця 1'!$B:$B,$A324,'Таблиця 1'!$I:$I,"Mi-24",'Таблиця 1'!$J:$J,"МК-40"))</f>
        <v/>
      </c>
      <c r="N324">
        <f>IF($A324="","",SUMIFS('Таблиця 1'!$K:$K,'Таблиця 1'!$B:$B,$A324,'Таблиця 1'!$I:$I,"Mi-8",'Таблиця 1'!$J:$J,"Zuni")+SUMIFS('Таблиця 1'!$K:$K,'Таблиця 1'!$B:$B,$A324,'Таблиця 1'!$I:$I,"Mi-24",'Таблиця 1'!$J:$J,"Zuni"))</f>
        <v/>
      </c>
      <c r="O324">
        <f>IF($A324="","",COUNTIFS('Таблиця 1'!$B:$B,$A324,'Таблиця 1'!$I:$I,"Mi-8",'Таблиця 1'!$L:$L,"Уражено")+COUNTIFS('Таблиця 1'!$B:$B,$A324,'Таблиця 1'!$I:$I,"Mi-24",'Таблиця 1'!$L:$L,"Уражено"))</f>
        <v/>
      </c>
      <c r="P324">
        <f>IF($A324="","",COUNTIFS('Таблиця 1'!$B:$B,$A324,'Таблиця 1'!$I:$I,"Mi-8",'Таблиця 1'!$L:$L,"НЕ уражено")+COUNTIFS('Таблиця 1'!$B:$B,$A324,'Таблиця 1'!$I:$I,"Mi-24",'Таблиця 1'!$L:$L,"НЕ уражено"))</f>
        <v/>
      </c>
    </row>
    <row r="325">
      <c r="A325" s="273">
        <f>IF(A324="","",IF(A324+1&gt;MAX('Таблиця 1'!$B:$B),"",A324+1))</f>
        <v/>
      </c>
      <c r="B325">
        <f>IF($A325="","",COUNTIFS('Таблиця 1'!$B:$B,$A325,'Таблиця 1'!$I:$I,"Mi-8")+COUNTIFS('Таблиця 1'!$B:$B,$A325,'Таблиця 1'!$I:$I,"Mi-24"))</f>
        <v/>
      </c>
      <c r="C325">
        <f>IF($A325="","",COUNTIFS('Таблиця 1'!$B:$B,$A325,'Таблиця 1'!$I:$I,"Mi-8"))</f>
        <v/>
      </c>
      <c r="D325">
        <f>IF($A325="","",COUNTIFS('Таблиця 1'!$B:$B,$A325,'Таблиця 1'!$I:$I,"Mi-24"))</f>
        <v/>
      </c>
      <c r="E325">
        <f>IF($A325="","",SUMIFS('Таблиця 1'!$K:$K,'Таблиця 1'!$B:$B,$A325,'Таблиця 1'!$I:$I,"Mi-8",'Таблиця 1'!$J:$J,"ARS-8")+SUMIFS('Таблиця 1'!$K:$K,'Таблиця 1'!$B:$B,$A325,'Таблиця 1'!$I:$I,"Mi-24",'Таблиця 1'!$J:$J,"ARS-8"))</f>
        <v/>
      </c>
      <c r="F325">
        <f>IF($A325="","",SUMIFS('Таблиця 1'!$K:$K,'Таблиця 1'!$B:$B,$A325,'Таблиця 1'!$I:$I,"Mi-8",'Таблиця 1'!$J:$J,"С-8 ком")+SUMIFS('Таблиця 1'!$K:$K,'Таблиця 1'!$B:$B,$A325,'Таблиця 1'!$I:$I,"Mi-24",'Таблиця 1'!$J:$J,"С-8 ком"))</f>
        <v/>
      </c>
      <c r="G325">
        <f>IF($A325="","",SUMIFS('Таблиця 1'!$K:$K,'Таблиця 1'!$B:$B,$A325,'Таблиця 1'!$I:$I,"Mi-8",'Таблиця 1'!$J:$J,"PC-80")+SUMIFS('Таблиця 1'!$K:$K,'Таблиця 1'!$B:$B,$A325,'Таблиця 1'!$I:$I,"Mi-24",'Таблиця 1'!$J:$J,"PC-80"))</f>
        <v/>
      </c>
      <c r="H325">
        <f>IF($A325="","",SUMIFS('Таблиця 1'!$K:$K,'Таблиця 1'!$B:$B,$A325,'Таблиця 1'!$I:$I,"Mi-8",'Таблиця 1'!$J:$J,"UAR-80")+SUMIFS('Таблиця 1'!$K:$K,'Таблиця 1'!$B:$B,$A325,'Таблиця 1'!$I:$I,"Mi-24",'Таблиця 1'!$J:$J,"UAR-80"))</f>
        <v/>
      </c>
      <c r="I325">
        <f>IF($A325="","",SUMIFS('Таблиця 1'!$K:$K,'Таблиця 1'!$B:$B,$A325,'Таблиця 1'!$I:$I,"Mi-8",'Таблиця 1'!$J:$J,"C-13")+SUMIFS('Таблиця 1'!$K:$K,'Таблиця 1'!$B:$B,$A325,'Таблиця 1'!$I:$I,"Mi-24",'Таблиця 1'!$J:$J,"C-13"))</f>
        <v/>
      </c>
      <c r="J325">
        <f>IF($A325="","",SUMIFS('Таблиця 1'!$K:$K,'Таблиця 1'!$B:$B,$A325,'Таблиця 1'!$I:$I,"Mi-8",'Таблиця 1'!$J:$J,"Hydra-70")+SUMIFS('Таблиця 1'!$K:$K,'Таблиця 1'!$B:$B,$A325,'Таблиця 1'!$I:$I,"Mi-24",'Таблиця 1'!$J:$J,"Hydra-70"))</f>
        <v/>
      </c>
      <c r="K325">
        <f>IF($A325="","",SUMIFS('Таблиця 1'!$K:$K,'Таблиця 1'!$B:$B,$A325,'Таблиця 1'!$I:$I,"Mi-8",'Таблиця 1'!$J:$J,"Thales-70")+SUMIFS('Таблиця 1'!$K:$K,'Таблиця 1'!$B:$B,$A325,'Таблиця 1'!$I:$I,"Mi-24",'Таблиця 1'!$J:$J,"Thales-70"))</f>
        <v/>
      </c>
      <c r="L325">
        <f>IF($A325="","",SUMIFS('Таблиця 1'!$K:$K,'Таблиця 1'!$B:$B,$A325,'Таблиця 1'!$I:$I,"Mi-8",'Таблиця 1'!$J:$J,"Thales-FZ")+SUMIFS('Таблиця 1'!$K:$K,'Таблиця 1'!$B:$B,$A325,'Таблиця 1'!$I:$I,"Mi-24",'Таблиця 1'!$J:$J,"Thales-FZ"))</f>
        <v/>
      </c>
      <c r="M325">
        <f>IF($A325="","",SUMIFS('Таблиця 1'!$K:$K,'Таблиця 1'!$B:$B,$A325,'Таблиця 1'!$I:$I,"Mi-8",'Таблиця 1'!$J:$J,"МК-40")+SUMIFS('Таблиця 1'!$K:$K,'Таблиця 1'!$B:$B,$A325,'Таблиця 1'!$I:$I,"Mi-24",'Таблиця 1'!$J:$J,"МК-40"))</f>
        <v/>
      </c>
      <c r="N325">
        <f>IF($A325="","",SUMIFS('Таблиця 1'!$K:$K,'Таблиця 1'!$B:$B,$A325,'Таблиця 1'!$I:$I,"Mi-8",'Таблиця 1'!$J:$J,"Zuni")+SUMIFS('Таблиця 1'!$K:$K,'Таблиця 1'!$B:$B,$A325,'Таблиця 1'!$I:$I,"Mi-24",'Таблиця 1'!$J:$J,"Zuni"))</f>
        <v/>
      </c>
      <c r="O325">
        <f>IF($A325="","",COUNTIFS('Таблиця 1'!$B:$B,$A325,'Таблиця 1'!$I:$I,"Mi-8",'Таблиця 1'!$L:$L,"Уражено")+COUNTIFS('Таблиця 1'!$B:$B,$A325,'Таблиця 1'!$I:$I,"Mi-24",'Таблиця 1'!$L:$L,"Уражено"))</f>
        <v/>
      </c>
      <c r="P325">
        <f>IF($A325="","",COUNTIFS('Таблиця 1'!$B:$B,$A325,'Таблиця 1'!$I:$I,"Mi-8",'Таблиця 1'!$L:$L,"НЕ уражено")+COUNTIFS('Таблиця 1'!$B:$B,$A325,'Таблиця 1'!$I:$I,"Mi-24",'Таблиця 1'!$L:$L,"НЕ уражено"))</f>
        <v/>
      </c>
    </row>
    <row r="326">
      <c r="A326" s="273">
        <f>IF(A325="","",IF(A325+1&gt;MAX('Таблиця 1'!$B:$B),"",A325+1))</f>
        <v/>
      </c>
      <c r="B326">
        <f>IF($A326="","",COUNTIFS('Таблиця 1'!$B:$B,$A326,'Таблиця 1'!$I:$I,"Mi-8")+COUNTIFS('Таблиця 1'!$B:$B,$A326,'Таблиця 1'!$I:$I,"Mi-24"))</f>
        <v/>
      </c>
      <c r="C326">
        <f>IF($A326="","",COUNTIFS('Таблиця 1'!$B:$B,$A326,'Таблиця 1'!$I:$I,"Mi-8"))</f>
        <v/>
      </c>
      <c r="D326">
        <f>IF($A326="","",COUNTIFS('Таблиця 1'!$B:$B,$A326,'Таблиця 1'!$I:$I,"Mi-24"))</f>
        <v/>
      </c>
      <c r="E326">
        <f>IF($A326="","",SUMIFS('Таблиця 1'!$K:$K,'Таблиця 1'!$B:$B,$A326,'Таблиця 1'!$I:$I,"Mi-8",'Таблиця 1'!$J:$J,"ARS-8")+SUMIFS('Таблиця 1'!$K:$K,'Таблиця 1'!$B:$B,$A326,'Таблиця 1'!$I:$I,"Mi-24",'Таблиця 1'!$J:$J,"ARS-8"))</f>
        <v/>
      </c>
      <c r="F326">
        <f>IF($A326="","",SUMIFS('Таблиця 1'!$K:$K,'Таблиця 1'!$B:$B,$A326,'Таблиця 1'!$I:$I,"Mi-8",'Таблиця 1'!$J:$J,"С-8 ком")+SUMIFS('Таблиця 1'!$K:$K,'Таблиця 1'!$B:$B,$A326,'Таблиця 1'!$I:$I,"Mi-24",'Таблиця 1'!$J:$J,"С-8 ком"))</f>
        <v/>
      </c>
      <c r="G326">
        <f>IF($A326="","",SUMIFS('Таблиця 1'!$K:$K,'Таблиця 1'!$B:$B,$A326,'Таблиця 1'!$I:$I,"Mi-8",'Таблиця 1'!$J:$J,"PC-80")+SUMIFS('Таблиця 1'!$K:$K,'Таблиця 1'!$B:$B,$A326,'Таблиця 1'!$I:$I,"Mi-24",'Таблиця 1'!$J:$J,"PC-80"))</f>
        <v/>
      </c>
      <c r="H326">
        <f>IF($A326="","",SUMIFS('Таблиця 1'!$K:$K,'Таблиця 1'!$B:$B,$A326,'Таблиця 1'!$I:$I,"Mi-8",'Таблиця 1'!$J:$J,"UAR-80")+SUMIFS('Таблиця 1'!$K:$K,'Таблиця 1'!$B:$B,$A326,'Таблиця 1'!$I:$I,"Mi-24",'Таблиця 1'!$J:$J,"UAR-80"))</f>
        <v/>
      </c>
      <c r="I326">
        <f>IF($A326="","",SUMIFS('Таблиця 1'!$K:$K,'Таблиця 1'!$B:$B,$A326,'Таблиця 1'!$I:$I,"Mi-8",'Таблиця 1'!$J:$J,"C-13")+SUMIFS('Таблиця 1'!$K:$K,'Таблиця 1'!$B:$B,$A326,'Таблиця 1'!$I:$I,"Mi-24",'Таблиця 1'!$J:$J,"C-13"))</f>
        <v/>
      </c>
      <c r="J326">
        <f>IF($A326="","",SUMIFS('Таблиця 1'!$K:$K,'Таблиця 1'!$B:$B,$A326,'Таблиця 1'!$I:$I,"Mi-8",'Таблиця 1'!$J:$J,"Hydra-70")+SUMIFS('Таблиця 1'!$K:$K,'Таблиця 1'!$B:$B,$A326,'Таблиця 1'!$I:$I,"Mi-24",'Таблиця 1'!$J:$J,"Hydra-70"))</f>
        <v/>
      </c>
      <c r="K326">
        <f>IF($A326="","",SUMIFS('Таблиця 1'!$K:$K,'Таблиця 1'!$B:$B,$A326,'Таблиця 1'!$I:$I,"Mi-8",'Таблиця 1'!$J:$J,"Thales-70")+SUMIFS('Таблиця 1'!$K:$K,'Таблиця 1'!$B:$B,$A326,'Таблиця 1'!$I:$I,"Mi-24",'Таблиця 1'!$J:$J,"Thales-70"))</f>
        <v/>
      </c>
      <c r="L326">
        <f>IF($A326="","",SUMIFS('Таблиця 1'!$K:$K,'Таблиця 1'!$B:$B,$A326,'Таблиця 1'!$I:$I,"Mi-8",'Таблиця 1'!$J:$J,"Thales-FZ")+SUMIFS('Таблиця 1'!$K:$K,'Таблиця 1'!$B:$B,$A326,'Таблиця 1'!$I:$I,"Mi-24",'Таблиця 1'!$J:$J,"Thales-FZ"))</f>
        <v/>
      </c>
      <c r="M326">
        <f>IF($A326="","",SUMIFS('Таблиця 1'!$K:$K,'Таблиця 1'!$B:$B,$A326,'Таблиця 1'!$I:$I,"Mi-8",'Таблиця 1'!$J:$J,"МК-40")+SUMIFS('Таблиця 1'!$K:$K,'Таблиця 1'!$B:$B,$A326,'Таблиця 1'!$I:$I,"Mi-24",'Таблиця 1'!$J:$J,"МК-40"))</f>
        <v/>
      </c>
      <c r="N326">
        <f>IF($A326="","",SUMIFS('Таблиця 1'!$K:$K,'Таблиця 1'!$B:$B,$A326,'Таблиця 1'!$I:$I,"Mi-8",'Таблиця 1'!$J:$J,"Zuni")+SUMIFS('Таблиця 1'!$K:$K,'Таблиця 1'!$B:$B,$A326,'Таблиця 1'!$I:$I,"Mi-24",'Таблиця 1'!$J:$J,"Zuni"))</f>
        <v/>
      </c>
      <c r="O326">
        <f>IF($A326="","",COUNTIFS('Таблиця 1'!$B:$B,$A326,'Таблиця 1'!$I:$I,"Mi-8",'Таблиця 1'!$L:$L,"Уражено")+COUNTIFS('Таблиця 1'!$B:$B,$A326,'Таблиця 1'!$I:$I,"Mi-24",'Таблиця 1'!$L:$L,"Уражено"))</f>
        <v/>
      </c>
      <c r="P326">
        <f>IF($A326="","",COUNTIFS('Таблиця 1'!$B:$B,$A326,'Таблиця 1'!$I:$I,"Mi-8",'Таблиця 1'!$L:$L,"НЕ уражено")+COUNTIFS('Таблиця 1'!$B:$B,$A326,'Таблиця 1'!$I:$I,"Mi-24",'Таблиця 1'!$L:$L,"НЕ уражено"))</f>
        <v/>
      </c>
    </row>
    <row r="327">
      <c r="A327" s="273">
        <f>IF(A326="","",IF(A326+1&gt;MAX('Таблиця 1'!$B:$B),"",A326+1))</f>
        <v/>
      </c>
      <c r="B327">
        <f>IF($A327="","",COUNTIFS('Таблиця 1'!$B:$B,$A327,'Таблиця 1'!$I:$I,"Mi-8")+COUNTIFS('Таблиця 1'!$B:$B,$A327,'Таблиця 1'!$I:$I,"Mi-24"))</f>
        <v/>
      </c>
      <c r="C327">
        <f>IF($A327="","",COUNTIFS('Таблиця 1'!$B:$B,$A327,'Таблиця 1'!$I:$I,"Mi-8"))</f>
        <v/>
      </c>
      <c r="D327">
        <f>IF($A327="","",COUNTIFS('Таблиця 1'!$B:$B,$A327,'Таблиця 1'!$I:$I,"Mi-24"))</f>
        <v/>
      </c>
      <c r="E327">
        <f>IF($A327="","",SUMIFS('Таблиця 1'!$K:$K,'Таблиця 1'!$B:$B,$A327,'Таблиця 1'!$I:$I,"Mi-8",'Таблиця 1'!$J:$J,"ARS-8")+SUMIFS('Таблиця 1'!$K:$K,'Таблиця 1'!$B:$B,$A327,'Таблиця 1'!$I:$I,"Mi-24",'Таблиця 1'!$J:$J,"ARS-8"))</f>
        <v/>
      </c>
      <c r="F327">
        <f>IF($A327="","",SUMIFS('Таблиця 1'!$K:$K,'Таблиця 1'!$B:$B,$A327,'Таблиця 1'!$I:$I,"Mi-8",'Таблиця 1'!$J:$J,"С-8 ком")+SUMIFS('Таблиця 1'!$K:$K,'Таблиця 1'!$B:$B,$A327,'Таблиця 1'!$I:$I,"Mi-24",'Таблиця 1'!$J:$J,"С-8 ком"))</f>
        <v/>
      </c>
      <c r="G327">
        <f>IF($A327="","",SUMIFS('Таблиця 1'!$K:$K,'Таблиця 1'!$B:$B,$A327,'Таблиця 1'!$I:$I,"Mi-8",'Таблиця 1'!$J:$J,"PC-80")+SUMIFS('Таблиця 1'!$K:$K,'Таблиця 1'!$B:$B,$A327,'Таблиця 1'!$I:$I,"Mi-24",'Таблиця 1'!$J:$J,"PC-80"))</f>
        <v/>
      </c>
      <c r="H327">
        <f>IF($A327="","",SUMIFS('Таблиця 1'!$K:$K,'Таблиця 1'!$B:$B,$A327,'Таблиця 1'!$I:$I,"Mi-8",'Таблиця 1'!$J:$J,"UAR-80")+SUMIFS('Таблиця 1'!$K:$K,'Таблиця 1'!$B:$B,$A327,'Таблиця 1'!$I:$I,"Mi-24",'Таблиця 1'!$J:$J,"UAR-80"))</f>
        <v/>
      </c>
      <c r="I327">
        <f>IF($A327="","",SUMIFS('Таблиця 1'!$K:$K,'Таблиця 1'!$B:$B,$A327,'Таблиця 1'!$I:$I,"Mi-8",'Таблиця 1'!$J:$J,"C-13")+SUMIFS('Таблиця 1'!$K:$K,'Таблиця 1'!$B:$B,$A327,'Таблиця 1'!$I:$I,"Mi-24",'Таблиця 1'!$J:$J,"C-13"))</f>
        <v/>
      </c>
      <c r="J327">
        <f>IF($A327="","",SUMIFS('Таблиця 1'!$K:$K,'Таблиця 1'!$B:$B,$A327,'Таблиця 1'!$I:$I,"Mi-8",'Таблиця 1'!$J:$J,"Hydra-70")+SUMIFS('Таблиця 1'!$K:$K,'Таблиця 1'!$B:$B,$A327,'Таблиця 1'!$I:$I,"Mi-24",'Таблиця 1'!$J:$J,"Hydra-70"))</f>
        <v/>
      </c>
      <c r="K327">
        <f>IF($A327="","",SUMIFS('Таблиця 1'!$K:$K,'Таблиця 1'!$B:$B,$A327,'Таблиця 1'!$I:$I,"Mi-8",'Таблиця 1'!$J:$J,"Thales-70")+SUMIFS('Таблиця 1'!$K:$K,'Таблиця 1'!$B:$B,$A327,'Таблиця 1'!$I:$I,"Mi-24",'Таблиця 1'!$J:$J,"Thales-70"))</f>
        <v/>
      </c>
      <c r="L327">
        <f>IF($A327="","",SUMIFS('Таблиця 1'!$K:$K,'Таблиця 1'!$B:$B,$A327,'Таблиця 1'!$I:$I,"Mi-8",'Таблиця 1'!$J:$J,"Thales-FZ")+SUMIFS('Таблиця 1'!$K:$K,'Таблиця 1'!$B:$B,$A327,'Таблиця 1'!$I:$I,"Mi-24",'Таблиця 1'!$J:$J,"Thales-FZ"))</f>
        <v/>
      </c>
      <c r="M327">
        <f>IF($A327="","",SUMIFS('Таблиця 1'!$K:$K,'Таблиця 1'!$B:$B,$A327,'Таблиця 1'!$I:$I,"Mi-8",'Таблиця 1'!$J:$J,"МК-40")+SUMIFS('Таблиця 1'!$K:$K,'Таблиця 1'!$B:$B,$A327,'Таблиця 1'!$I:$I,"Mi-24",'Таблиця 1'!$J:$J,"МК-40"))</f>
        <v/>
      </c>
      <c r="N327">
        <f>IF($A327="","",SUMIFS('Таблиця 1'!$K:$K,'Таблиця 1'!$B:$B,$A327,'Таблиця 1'!$I:$I,"Mi-8",'Таблиця 1'!$J:$J,"Zuni")+SUMIFS('Таблиця 1'!$K:$K,'Таблиця 1'!$B:$B,$A327,'Таблиця 1'!$I:$I,"Mi-24",'Таблиця 1'!$J:$J,"Zuni"))</f>
        <v/>
      </c>
      <c r="O327">
        <f>IF($A327="","",COUNTIFS('Таблиця 1'!$B:$B,$A327,'Таблиця 1'!$I:$I,"Mi-8",'Таблиця 1'!$L:$L,"Уражено")+COUNTIFS('Таблиця 1'!$B:$B,$A327,'Таблиця 1'!$I:$I,"Mi-24",'Таблиця 1'!$L:$L,"Уражено"))</f>
        <v/>
      </c>
      <c r="P327">
        <f>IF($A327="","",COUNTIFS('Таблиця 1'!$B:$B,$A327,'Таблиця 1'!$I:$I,"Mi-8",'Таблиця 1'!$L:$L,"НЕ уражено")+COUNTIFS('Таблиця 1'!$B:$B,$A327,'Таблиця 1'!$I:$I,"Mi-24",'Таблиця 1'!$L:$L,"НЕ уражено"))</f>
        <v/>
      </c>
    </row>
    <row r="328">
      <c r="A328" s="273">
        <f>IF(A327="","",IF(A327+1&gt;MAX('Таблиця 1'!$B:$B),"",A327+1))</f>
        <v/>
      </c>
      <c r="B328">
        <f>IF($A328="","",COUNTIFS('Таблиця 1'!$B:$B,$A328,'Таблиця 1'!$I:$I,"Mi-8")+COUNTIFS('Таблиця 1'!$B:$B,$A328,'Таблиця 1'!$I:$I,"Mi-24"))</f>
        <v/>
      </c>
      <c r="C328">
        <f>IF($A328="","",COUNTIFS('Таблиця 1'!$B:$B,$A328,'Таблиця 1'!$I:$I,"Mi-8"))</f>
        <v/>
      </c>
      <c r="D328">
        <f>IF($A328="","",COUNTIFS('Таблиця 1'!$B:$B,$A328,'Таблиця 1'!$I:$I,"Mi-24"))</f>
        <v/>
      </c>
      <c r="E328">
        <f>IF($A328="","",SUMIFS('Таблиця 1'!$K:$K,'Таблиця 1'!$B:$B,$A328,'Таблиця 1'!$I:$I,"Mi-8",'Таблиця 1'!$J:$J,"ARS-8")+SUMIFS('Таблиця 1'!$K:$K,'Таблиця 1'!$B:$B,$A328,'Таблиця 1'!$I:$I,"Mi-24",'Таблиця 1'!$J:$J,"ARS-8"))</f>
        <v/>
      </c>
      <c r="F328">
        <f>IF($A328="","",SUMIFS('Таблиця 1'!$K:$K,'Таблиця 1'!$B:$B,$A328,'Таблиця 1'!$I:$I,"Mi-8",'Таблиця 1'!$J:$J,"С-8 ком")+SUMIFS('Таблиця 1'!$K:$K,'Таблиця 1'!$B:$B,$A328,'Таблиця 1'!$I:$I,"Mi-24",'Таблиця 1'!$J:$J,"С-8 ком"))</f>
        <v/>
      </c>
      <c r="G328">
        <f>IF($A328="","",SUMIFS('Таблиця 1'!$K:$K,'Таблиця 1'!$B:$B,$A328,'Таблиця 1'!$I:$I,"Mi-8",'Таблиця 1'!$J:$J,"PC-80")+SUMIFS('Таблиця 1'!$K:$K,'Таблиця 1'!$B:$B,$A328,'Таблиця 1'!$I:$I,"Mi-24",'Таблиця 1'!$J:$J,"PC-80"))</f>
        <v/>
      </c>
      <c r="H328">
        <f>IF($A328="","",SUMIFS('Таблиця 1'!$K:$K,'Таблиця 1'!$B:$B,$A328,'Таблиця 1'!$I:$I,"Mi-8",'Таблиця 1'!$J:$J,"UAR-80")+SUMIFS('Таблиця 1'!$K:$K,'Таблиця 1'!$B:$B,$A328,'Таблиця 1'!$I:$I,"Mi-24",'Таблиця 1'!$J:$J,"UAR-80"))</f>
        <v/>
      </c>
      <c r="I328">
        <f>IF($A328="","",SUMIFS('Таблиця 1'!$K:$K,'Таблиця 1'!$B:$B,$A328,'Таблиця 1'!$I:$I,"Mi-8",'Таблиця 1'!$J:$J,"C-13")+SUMIFS('Таблиця 1'!$K:$K,'Таблиця 1'!$B:$B,$A328,'Таблиця 1'!$I:$I,"Mi-24",'Таблиця 1'!$J:$J,"C-13"))</f>
        <v/>
      </c>
      <c r="J328">
        <f>IF($A328="","",SUMIFS('Таблиця 1'!$K:$K,'Таблиця 1'!$B:$B,$A328,'Таблиця 1'!$I:$I,"Mi-8",'Таблиця 1'!$J:$J,"Hydra-70")+SUMIFS('Таблиця 1'!$K:$K,'Таблиця 1'!$B:$B,$A328,'Таблиця 1'!$I:$I,"Mi-24",'Таблиця 1'!$J:$J,"Hydra-70"))</f>
        <v/>
      </c>
      <c r="K328">
        <f>IF($A328="","",SUMIFS('Таблиця 1'!$K:$K,'Таблиця 1'!$B:$B,$A328,'Таблиця 1'!$I:$I,"Mi-8",'Таблиця 1'!$J:$J,"Thales-70")+SUMIFS('Таблиця 1'!$K:$K,'Таблиця 1'!$B:$B,$A328,'Таблиця 1'!$I:$I,"Mi-24",'Таблиця 1'!$J:$J,"Thales-70"))</f>
        <v/>
      </c>
      <c r="L328">
        <f>IF($A328="","",SUMIFS('Таблиця 1'!$K:$K,'Таблиця 1'!$B:$B,$A328,'Таблиця 1'!$I:$I,"Mi-8",'Таблиця 1'!$J:$J,"Thales-FZ")+SUMIFS('Таблиця 1'!$K:$K,'Таблиця 1'!$B:$B,$A328,'Таблиця 1'!$I:$I,"Mi-24",'Таблиця 1'!$J:$J,"Thales-FZ"))</f>
        <v/>
      </c>
      <c r="M328">
        <f>IF($A328="","",SUMIFS('Таблиця 1'!$K:$K,'Таблиця 1'!$B:$B,$A328,'Таблиця 1'!$I:$I,"Mi-8",'Таблиця 1'!$J:$J,"МК-40")+SUMIFS('Таблиця 1'!$K:$K,'Таблиця 1'!$B:$B,$A328,'Таблиця 1'!$I:$I,"Mi-24",'Таблиця 1'!$J:$J,"МК-40"))</f>
        <v/>
      </c>
      <c r="N328">
        <f>IF($A328="","",SUMIFS('Таблиця 1'!$K:$K,'Таблиця 1'!$B:$B,$A328,'Таблиця 1'!$I:$I,"Mi-8",'Таблиця 1'!$J:$J,"Zuni")+SUMIFS('Таблиця 1'!$K:$K,'Таблиця 1'!$B:$B,$A328,'Таблиця 1'!$I:$I,"Mi-24",'Таблиця 1'!$J:$J,"Zuni"))</f>
        <v/>
      </c>
      <c r="O328">
        <f>IF($A328="","",COUNTIFS('Таблиця 1'!$B:$B,$A328,'Таблиця 1'!$I:$I,"Mi-8",'Таблиця 1'!$L:$L,"Уражено")+COUNTIFS('Таблиця 1'!$B:$B,$A328,'Таблиця 1'!$I:$I,"Mi-24",'Таблиця 1'!$L:$L,"Уражено"))</f>
        <v/>
      </c>
      <c r="P328">
        <f>IF($A328="","",COUNTIFS('Таблиця 1'!$B:$B,$A328,'Таблиця 1'!$I:$I,"Mi-8",'Таблиця 1'!$L:$L,"НЕ уражено")+COUNTIFS('Таблиця 1'!$B:$B,$A328,'Таблиця 1'!$I:$I,"Mi-24",'Таблиця 1'!$L:$L,"НЕ уражено"))</f>
        <v/>
      </c>
    </row>
    <row r="329">
      <c r="A329" s="273">
        <f>IF(A328="","",IF(A328+1&gt;MAX('Таблиця 1'!$B:$B),"",A328+1))</f>
        <v/>
      </c>
      <c r="B329">
        <f>IF($A329="","",COUNTIFS('Таблиця 1'!$B:$B,$A329,'Таблиця 1'!$I:$I,"Mi-8")+COUNTIFS('Таблиця 1'!$B:$B,$A329,'Таблиця 1'!$I:$I,"Mi-24"))</f>
        <v/>
      </c>
      <c r="C329">
        <f>IF($A329="","",COUNTIFS('Таблиця 1'!$B:$B,$A329,'Таблиця 1'!$I:$I,"Mi-8"))</f>
        <v/>
      </c>
      <c r="D329">
        <f>IF($A329="","",COUNTIFS('Таблиця 1'!$B:$B,$A329,'Таблиця 1'!$I:$I,"Mi-24"))</f>
        <v/>
      </c>
      <c r="E329">
        <f>IF($A329="","",SUMIFS('Таблиця 1'!$K:$K,'Таблиця 1'!$B:$B,$A329,'Таблиця 1'!$I:$I,"Mi-8",'Таблиця 1'!$J:$J,"ARS-8")+SUMIFS('Таблиця 1'!$K:$K,'Таблиця 1'!$B:$B,$A329,'Таблиця 1'!$I:$I,"Mi-24",'Таблиця 1'!$J:$J,"ARS-8"))</f>
        <v/>
      </c>
      <c r="F329">
        <f>IF($A329="","",SUMIFS('Таблиця 1'!$K:$K,'Таблиця 1'!$B:$B,$A329,'Таблиця 1'!$I:$I,"Mi-8",'Таблиця 1'!$J:$J,"С-8 ком")+SUMIFS('Таблиця 1'!$K:$K,'Таблиця 1'!$B:$B,$A329,'Таблиця 1'!$I:$I,"Mi-24",'Таблиця 1'!$J:$J,"С-8 ком"))</f>
        <v/>
      </c>
      <c r="G329">
        <f>IF($A329="","",SUMIFS('Таблиця 1'!$K:$K,'Таблиця 1'!$B:$B,$A329,'Таблиця 1'!$I:$I,"Mi-8",'Таблиця 1'!$J:$J,"PC-80")+SUMIFS('Таблиця 1'!$K:$K,'Таблиця 1'!$B:$B,$A329,'Таблиця 1'!$I:$I,"Mi-24",'Таблиця 1'!$J:$J,"PC-80"))</f>
        <v/>
      </c>
      <c r="H329">
        <f>IF($A329="","",SUMIFS('Таблиця 1'!$K:$K,'Таблиця 1'!$B:$B,$A329,'Таблиця 1'!$I:$I,"Mi-8",'Таблиця 1'!$J:$J,"UAR-80")+SUMIFS('Таблиця 1'!$K:$K,'Таблиця 1'!$B:$B,$A329,'Таблиця 1'!$I:$I,"Mi-24",'Таблиця 1'!$J:$J,"UAR-80"))</f>
        <v/>
      </c>
      <c r="I329">
        <f>IF($A329="","",SUMIFS('Таблиця 1'!$K:$K,'Таблиця 1'!$B:$B,$A329,'Таблиця 1'!$I:$I,"Mi-8",'Таблиця 1'!$J:$J,"C-13")+SUMIFS('Таблиця 1'!$K:$K,'Таблиця 1'!$B:$B,$A329,'Таблиця 1'!$I:$I,"Mi-24",'Таблиця 1'!$J:$J,"C-13"))</f>
        <v/>
      </c>
      <c r="J329">
        <f>IF($A329="","",SUMIFS('Таблиця 1'!$K:$K,'Таблиця 1'!$B:$B,$A329,'Таблиця 1'!$I:$I,"Mi-8",'Таблиця 1'!$J:$J,"Hydra-70")+SUMIFS('Таблиця 1'!$K:$K,'Таблиця 1'!$B:$B,$A329,'Таблиця 1'!$I:$I,"Mi-24",'Таблиця 1'!$J:$J,"Hydra-70"))</f>
        <v/>
      </c>
      <c r="K329">
        <f>IF($A329="","",SUMIFS('Таблиця 1'!$K:$K,'Таблиця 1'!$B:$B,$A329,'Таблиця 1'!$I:$I,"Mi-8",'Таблиця 1'!$J:$J,"Thales-70")+SUMIFS('Таблиця 1'!$K:$K,'Таблиця 1'!$B:$B,$A329,'Таблиця 1'!$I:$I,"Mi-24",'Таблиця 1'!$J:$J,"Thales-70"))</f>
        <v/>
      </c>
      <c r="L329">
        <f>IF($A329="","",SUMIFS('Таблиця 1'!$K:$K,'Таблиця 1'!$B:$B,$A329,'Таблиця 1'!$I:$I,"Mi-8",'Таблиця 1'!$J:$J,"Thales-FZ")+SUMIFS('Таблиця 1'!$K:$K,'Таблиця 1'!$B:$B,$A329,'Таблиця 1'!$I:$I,"Mi-24",'Таблиця 1'!$J:$J,"Thales-FZ"))</f>
        <v/>
      </c>
      <c r="M329">
        <f>IF($A329="","",SUMIFS('Таблиця 1'!$K:$K,'Таблиця 1'!$B:$B,$A329,'Таблиця 1'!$I:$I,"Mi-8",'Таблиця 1'!$J:$J,"МК-40")+SUMIFS('Таблиця 1'!$K:$K,'Таблиця 1'!$B:$B,$A329,'Таблиця 1'!$I:$I,"Mi-24",'Таблиця 1'!$J:$J,"МК-40"))</f>
        <v/>
      </c>
      <c r="N329">
        <f>IF($A329="","",SUMIFS('Таблиця 1'!$K:$K,'Таблиця 1'!$B:$B,$A329,'Таблиця 1'!$I:$I,"Mi-8",'Таблиця 1'!$J:$J,"Zuni")+SUMIFS('Таблиця 1'!$K:$K,'Таблиця 1'!$B:$B,$A329,'Таблиця 1'!$I:$I,"Mi-24",'Таблиця 1'!$J:$J,"Zuni"))</f>
        <v/>
      </c>
      <c r="O329">
        <f>IF($A329="","",COUNTIFS('Таблиця 1'!$B:$B,$A329,'Таблиця 1'!$I:$I,"Mi-8",'Таблиця 1'!$L:$L,"Уражено")+COUNTIFS('Таблиця 1'!$B:$B,$A329,'Таблиця 1'!$I:$I,"Mi-24",'Таблиця 1'!$L:$L,"Уражено"))</f>
        <v/>
      </c>
      <c r="P329">
        <f>IF($A329="","",COUNTIFS('Таблиця 1'!$B:$B,$A329,'Таблиця 1'!$I:$I,"Mi-8",'Таблиця 1'!$L:$L,"НЕ уражено")+COUNTIFS('Таблиця 1'!$B:$B,$A329,'Таблиця 1'!$I:$I,"Mi-24",'Таблиця 1'!$L:$L,"НЕ уражено"))</f>
        <v/>
      </c>
    </row>
    <row r="330">
      <c r="A330" s="273">
        <f>IF(A329="","",IF(A329+1&gt;MAX('Таблиця 1'!$B:$B),"",A329+1))</f>
        <v/>
      </c>
      <c r="B330">
        <f>IF($A330="","",COUNTIFS('Таблиця 1'!$B:$B,$A330,'Таблиця 1'!$I:$I,"Mi-8")+COUNTIFS('Таблиця 1'!$B:$B,$A330,'Таблиця 1'!$I:$I,"Mi-24"))</f>
        <v/>
      </c>
      <c r="C330">
        <f>IF($A330="","",COUNTIFS('Таблиця 1'!$B:$B,$A330,'Таблиця 1'!$I:$I,"Mi-8"))</f>
        <v/>
      </c>
      <c r="D330">
        <f>IF($A330="","",COUNTIFS('Таблиця 1'!$B:$B,$A330,'Таблиця 1'!$I:$I,"Mi-24"))</f>
        <v/>
      </c>
      <c r="E330">
        <f>IF($A330="","",SUMIFS('Таблиця 1'!$K:$K,'Таблиця 1'!$B:$B,$A330,'Таблиця 1'!$I:$I,"Mi-8",'Таблиця 1'!$J:$J,"ARS-8")+SUMIFS('Таблиця 1'!$K:$K,'Таблиця 1'!$B:$B,$A330,'Таблиця 1'!$I:$I,"Mi-24",'Таблиця 1'!$J:$J,"ARS-8"))</f>
        <v/>
      </c>
      <c r="F330">
        <f>IF($A330="","",SUMIFS('Таблиця 1'!$K:$K,'Таблиця 1'!$B:$B,$A330,'Таблиця 1'!$I:$I,"Mi-8",'Таблиця 1'!$J:$J,"С-8 ком")+SUMIFS('Таблиця 1'!$K:$K,'Таблиця 1'!$B:$B,$A330,'Таблиця 1'!$I:$I,"Mi-24",'Таблиця 1'!$J:$J,"С-8 ком"))</f>
        <v/>
      </c>
      <c r="G330">
        <f>IF($A330="","",SUMIFS('Таблиця 1'!$K:$K,'Таблиця 1'!$B:$B,$A330,'Таблиця 1'!$I:$I,"Mi-8",'Таблиця 1'!$J:$J,"PC-80")+SUMIFS('Таблиця 1'!$K:$K,'Таблиця 1'!$B:$B,$A330,'Таблиця 1'!$I:$I,"Mi-24",'Таблиця 1'!$J:$J,"PC-80"))</f>
        <v/>
      </c>
      <c r="H330">
        <f>IF($A330="","",SUMIFS('Таблиця 1'!$K:$K,'Таблиця 1'!$B:$B,$A330,'Таблиця 1'!$I:$I,"Mi-8",'Таблиця 1'!$J:$J,"UAR-80")+SUMIFS('Таблиця 1'!$K:$K,'Таблиця 1'!$B:$B,$A330,'Таблиця 1'!$I:$I,"Mi-24",'Таблиця 1'!$J:$J,"UAR-80"))</f>
        <v/>
      </c>
      <c r="I330">
        <f>IF($A330="","",SUMIFS('Таблиця 1'!$K:$K,'Таблиця 1'!$B:$B,$A330,'Таблиця 1'!$I:$I,"Mi-8",'Таблиця 1'!$J:$J,"C-13")+SUMIFS('Таблиця 1'!$K:$K,'Таблиця 1'!$B:$B,$A330,'Таблиця 1'!$I:$I,"Mi-24",'Таблиця 1'!$J:$J,"C-13"))</f>
        <v/>
      </c>
      <c r="J330">
        <f>IF($A330="","",SUMIFS('Таблиця 1'!$K:$K,'Таблиця 1'!$B:$B,$A330,'Таблиця 1'!$I:$I,"Mi-8",'Таблиця 1'!$J:$J,"Hydra-70")+SUMIFS('Таблиця 1'!$K:$K,'Таблиця 1'!$B:$B,$A330,'Таблиця 1'!$I:$I,"Mi-24",'Таблиця 1'!$J:$J,"Hydra-70"))</f>
        <v/>
      </c>
      <c r="K330">
        <f>IF($A330="","",SUMIFS('Таблиця 1'!$K:$K,'Таблиця 1'!$B:$B,$A330,'Таблиця 1'!$I:$I,"Mi-8",'Таблиця 1'!$J:$J,"Thales-70")+SUMIFS('Таблиця 1'!$K:$K,'Таблиця 1'!$B:$B,$A330,'Таблиця 1'!$I:$I,"Mi-24",'Таблиця 1'!$J:$J,"Thales-70"))</f>
        <v/>
      </c>
      <c r="L330">
        <f>IF($A330="","",SUMIFS('Таблиця 1'!$K:$K,'Таблиця 1'!$B:$B,$A330,'Таблиця 1'!$I:$I,"Mi-8",'Таблиця 1'!$J:$J,"Thales-FZ")+SUMIFS('Таблиця 1'!$K:$K,'Таблиця 1'!$B:$B,$A330,'Таблиця 1'!$I:$I,"Mi-24",'Таблиця 1'!$J:$J,"Thales-FZ"))</f>
        <v/>
      </c>
      <c r="M330">
        <f>IF($A330="","",SUMIFS('Таблиця 1'!$K:$K,'Таблиця 1'!$B:$B,$A330,'Таблиця 1'!$I:$I,"Mi-8",'Таблиця 1'!$J:$J,"МК-40")+SUMIFS('Таблиця 1'!$K:$K,'Таблиця 1'!$B:$B,$A330,'Таблиця 1'!$I:$I,"Mi-24",'Таблиця 1'!$J:$J,"МК-40"))</f>
        <v/>
      </c>
      <c r="N330">
        <f>IF($A330="","",SUMIFS('Таблиця 1'!$K:$K,'Таблиця 1'!$B:$B,$A330,'Таблиця 1'!$I:$I,"Mi-8",'Таблиця 1'!$J:$J,"Zuni")+SUMIFS('Таблиця 1'!$K:$K,'Таблиця 1'!$B:$B,$A330,'Таблиця 1'!$I:$I,"Mi-24",'Таблиця 1'!$J:$J,"Zuni"))</f>
        <v/>
      </c>
      <c r="O330">
        <f>IF($A330="","",COUNTIFS('Таблиця 1'!$B:$B,$A330,'Таблиця 1'!$I:$I,"Mi-8",'Таблиця 1'!$L:$L,"Уражено")+COUNTIFS('Таблиця 1'!$B:$B,$A330,'Таблиця 1'!$I:$I,"Mi-24",'Таблиця 1'!$L:$L,"Уражено"))</f>
        <v/>
      </c>
      <c r="P330">
        <f>IF($A330="","",COUNTIFS('Таблиця 1'!$B:$B,$A330,'Таблиця 1'!$I:$I,"Mi-8",'Таблиця 1'!$L:$L,"НЕ уражено")+COUNTIFS('Таблиця 1'!$B:$B,$A330,'Таблиця 1'!$I:$I,"Mi-24",'Таблиця 1'!$L:$L,"НЕ уражено"))</f>
        <v/>
      </c>
    </row>
    <row r="331">
      <c r="A331" s="273">
        <f>IF(A330="","",IF(A330+1&gt;MAX('Таблиця 1'!$B:$B),"",A330+1))</f>
        <v/>
      </c>
      <c r="B331">
        <f>IF($A331="","",COUNTIFS('Таблиця 1'!$B:$B,$A331,'Таблиця 1'!$I:$I,"Mi-8")+COUNTIFS('Таблиця 1'!$B:$B,$A331,'Таблиця 1'!$I:$I,"Mi-24"))</f>
        <v/>
      </c>
      <c r="C331">
        <f>IF($A331="","",COUNTIFS('Таблиця 1'!$B:$B,$A331,'Таблиця 1'!$I:$I,"Mi-8"))</f>
        <v/>
      </c>
      <c r="D331">
        <f>IF($A331="","",COUNTIFS('Таблиця 1'!$B:$B,$A331,'Таблиця 1'!$I:$I,"Mi-24"))</f>
        <v/>
      </c>
      <c r="E331">
        <f>IF($A331="","",SUMIFS('Таблиця 1'!$K:$K,'Таблиця 1'!$B:$B,$A331,'Таблиця 1'!$I:$I,"Mi-8",'Таблиця 1'!$J:$J,"ARS-8")+SUMIFS('Таблиця 1'!$K:$K,'Таблиця 1'!$B:$B,$A331,'Таблиця 1'!$I:$I,"Mi-24",'Таблиця 1'!$J:$J,"ARS-8"))</f>
        <v/>
      </c>
      <c r="F331">
        <f>IF($A331="","",SUMIFS('Таблиця 1'!$K:$K,'Таблиця 1'!$B:$B,$A331,'Таблиця 1'!$I:$I,"Mi-8",'Таблиця 1'!$J:$J,"С-8 ком")+SUMIFS('Таблиця 1'!$K:$K,'Таблиця 1'!$B:$B,$A331,'Таблиця 1'!$I:$I,"Mi-24",'Таблиця 1'!$J:$J,"С-8 ком"))</f>
        <v/>
      </c>
      <c r="G331">
        <f>IF($A331="","",SUMIFS('Таблиця 1'!$K:$K,'Таблиця 1'!$B:$B,$A331,'Таблиця 1'!$I:$I,"Mi-8",'Таблиця 1'!$J:$J,"PC-80")+SUMIFS('Таблиця 1'!$K:$K,'Таблиця 1'!$B:$B,$A331,'Таблиця 1'!$I:$I,"Mi-24",'Таблиця 1'!$J:$J,"PC-80"))</f>
        <v/>
      </c>
      <c r="H331">
        <f>IF($A331="","",SUMIFS('Таблиця 1'!$K:$K,'Таблиця 1'!$B:$B,$A331,'Таблиця 1'!$I:$I,"Mi-8",'Таблиця 1'!$J:$J,"UAR-80")+SUMIFS('Таблиця 1'!$K:$K,'Таблиця 1'!$B:$B,$A331,'Таблиця 1'!$I:$I,"Mi-24",'Таблиця 1'!$J:$J,"UAR-80"))</f>
        <v/>
      </c>
      <c r="I331">
        <f>IF($A331="","",SUMIFS('Таблиця 1'!$K:$K,'Таблиця 1'!$B:$B,$A331,'Таблиця 1'!$I:$I,"Mi-8",'Таблиця 1'!$J:$J,"C-13")+SUMIFS('Таблиця 1'!$K:$K,'Таблиця 1'!$B:$B,$A331,'Таблиця 1'!$I:$I,"Mi-24",'Таблиця 1'!$J:$J,"C-13"))</f>
        <v/>
      </c>
      <c r="J331">
        <f>IF($A331="","",SUMIFS('Таблиця 1'!$K:$K,'Таблиця 1'!$B:$B,$A331,'Таблиця 1'!$I:$I,"Mi-8",'Таблиця 1'!$J:$J,"Hydra-70")+SUMIFS('Таблиця 1'!$K:$K,'Таблиця 1'!$B:$B,$A331,'Таблиця 1'!$I:$I,"Mi-24",'Таблиця 1'!$J:$J,"Hydra-70"))</f>
        <v/>
      </c>
      <c r="K331">
        <f>IF($A331="","",SUMIFS('Таблиця 1'!$K:$K,'Таблиця 1'!$B:$B,$A331,'Таблиця 1'!$I:$I,"Mi-8",'Таблиця 1'!$J:$J,"Thales-70")+SUMIFS('Таблиця 1'!$K:$K,'Таблиця 1'!$B:$B,$A331,'Таблиця 1'!$I:$I,"Mi-24",'Таблиця 1'!$J:$J,"Thales-70"))</f>
        <v/>
      </c>
      <c r="L331">
        <f>IF($A331="","",SUMIFS('Таблиця 1'!$K:$K,'Таблиця 1'!$B:$B,$A331,'Таблиця 1'!$I:$I,"Mi-8",'Таблиця 1'!$J:$J,"Thales-FZ")+SUMIFS('Таблиця 1'!$K:$K,'Таблиця 1'!$B:$B,$A331,'Таблиця 1'!$I:$I,"Mi-24",'Таблиця 1'!$J:$J,"Thales-FZ"))</f>
        <v/>
      </c>
      <c r="M331">
        <f>IF($A331="","",SUMIFS('Таблиця 1'!$K:$K,'Таблиця 1'!$B:$B,$A331,'Таблиця 1'!$I:$I,"Mi-8",'Таблиця 1'!$J:$J,"МК-40")+SUMIFS('Таблиця 1'!$K:$K,'Таблиця 1'!$B:$B,$A331,'Таблиця 1'!$I:$I,"Mi-24",'Таблиця 1'!$J:$J,"МК-40"))</f>
        <v/>
      </c>
      <c r="N331">
        <f>IF($A331="","",SUMIFS('Таблиця 1'!$K:$K,'Таблиця 1'!$B:$B,$A331,'Таблиця 1'!$I:$I,"Mi-8",'Таблиця 1'!$J:$J,"Zuni")+SUMIFS('Таблиця 1'!$K:$K,'Таблиця 1'!$B:$B,$A331,'Таблиця 1'!$I:$I,"Mi-24",'Таблиця 1'!$J:$J,"Zuni"))</f>
        <v/>
      </c>
      <c r="O331">
        <f>IF($A331="","",COUNTIFS('Таблиця 1'!$B:$B,$A331,'Таблиця 1'!$I:$I,"Mi-8",'Таблиця 1'!$L:$L,"Уражено")+COUNTIFS('Таблиця 1'!$B:$B,$A331,'Таблиця 1'!$I:$I,"Mi-24",'Таблиця 1'!$L:$L,"Уражено"))</f>
        <v/>
      </c>
      <c r="P331">
        <f>IF($A331="","",COUNTIFS('Таблиця 1'!$B:$B,$A331,'Таблиця 1'!$I:$I,"Mi-8",'Таблиця 1'!$L:$L,"НЕ уражено")+COUNTIFS('Таблиця 1'!$B:$B,$A331,'Таблиця 1'!$I:$I,"Mi-24",'Таблиця 1'!$L:$L,"НЕ уражено"))</f>
        <v/>
      </c>
    </row>
    <row r="332">
      <c r="A332" s="273">
        <f>IF(A331="","",IF(A331+1&gt;MAX('Таблиця 1'!$B:$B),"",A331+1))</f>
        <v/>
      </c>
      <c r="B332">
        <f>IF($A332="","",COUNTIFS('Таблиця 1'!$B:$B,$A332,'Таблиця 1'!$I:$I,"Mi-8")+COUNTIFS('Таблиця 1'!$B:$B,$A332,'Таблиця 1'!$I:$I,"Mi-24"))</f>
        <v/>
      </c>
      <c r="C332">
        <f>IF($A332="","",COUNTIFS('Таблиця 1'!$B:$B,$A332,'Таблиця 1'!$I:$I,"Mi-8"))</f>
        <v/>
      </c>
      <c r="D332">
        <f>IF($A332="","",COUNTIFS('Таблиця 1'!$B:$B,$A332,'Таблиця 1'!$I:$I,"Mi-24"))</f>
        <v/>
      </c>
      <c r="E332">
        <f>IF($A332="","",SUMIFS('Таблиця 1'!$K:$K,'Таблиця 1'!$B:$B,$A332,'Таблиця 1'!$I:$I,"Mi-8",'Таблиця 1'!$J:$J,"ARS-8")+SUMIFS('Таблиця 1'!$K:$K,'Таблиця 1'!$B:$B,$A332,'Таблиця 1'!$I:$I,"Mi-24",'Таблиця 1'!$J:$J,"ARS-8"))</f>
        <v/>
      </c>
      <c r="F332">
        <f>IF($A332="","",SUMIFS('Таблиця 1'!$K:$K,'Таблиця 1'!$B:$B,$A332,'Таблиця 1'!$I:$I,"Mi-8",'Таблиця 1'!$J:$J,"С-8 ком")+SUMIFS('Таблиця 1'!$K:$K,'Таблиця 1'!$B:$B,$A332,'Таблиця 1'!$I:$I,"Mi-24",'Таблиця 1'!$J:$J,"С-8 ком"))</f>
        <v/>
      </c>
      <c r="G332">
        <f>IF($A332="","",SUMIFS('Таблиця 1'!$K:$K,'Таблиця 1'!$B:$B,$A332,'Таблиця 1'!$I:$I,"Mi-8",'Таблиця 1'!$J:$J,"PC-80")+SUMIFS('Таблиця 1'!$K:$K,'Таблиця 1'!$B:$B,$A332,'Таблиця 1'!$I:$I,"Mi-24",'Таблиця 1'!$J:$J,"PC-80"))</f>
        <v/>
      </c>
      <c r="H332">
        <f>IF($A332="","",SUMIFS('Таблиця 1'!$K:$K,'Таблиця 1'!$B:$B,$A332,'Таблиця 1'!$I:$I,"Mi-8",'Таблиця 1'!$J:$J,"UAR-80")+SUMIFS('Таблиця 1'!$K:$K,'Таблиця 1'!$B:$B,$A332,'Таблиця 1'!$I:$I,"Mi-24",'Таблиця 1'!$J:$J,"UAR-80"))</f>
        <v/>
      </c>
      <c r="I332">
        <f>IF($A332="","",SUMIFS('Таблиця 1'!$K:$K,'Таблиця 1'!$B:$B,$A332,'Таблиця 1'!$I:$I,"Mi-8",'Таблиця 1'!$J:$J,"C-13")+SUMIFS('Таблиця 1'!$K:$K,'Таблиця 1'!$B:$B,$A332,'Таблиця 1'!$I:$I,"Mi-24",'Таблиця 1'!$J:$J,"C-13"))</f>
        <v/>
      </c>
      <c r="J332">
        <f>IF($A332="","",SUMIFS('Таблиця 1'!$K:$K,'Таблиця 1'!$B:$B,$A332,'Таблиця 1'!$I:$I,"Mi-8",'Таблиця 1'!$J:$J,"Hydra-70")+SUMIFS('Таблиця 1'!$K:$K,'Таблиця 1'!$B:$B,$A332,'Таблиця 1'!$I:$I,"Mi-24",'Таблиця 1'!$J:$J,"Hydra-70"))</f>
        <v/>
      </c>
      <c r="K332">
        <f>IF($A332="","",SUMIFS('Таблиця 1'!$K:$K,'Таблиця 1'!$B:$B,$A332,'Таблиця 1'!$I:$I,"Mi-8",'Таблиця 1'!$J:$J,"Thales-70")+SUMIFS('Таблиця 1'!$K:$K,'Таблиця 1'!$B:$B,$A332,'Таблиця 1'!$I:$I,"Mi-24",'Таблиця 1'!$J:$J,"Thales-70"))</f>
        <v/>
      </c>
      <c r="L332">
        <f>IF($A332="","",SUMIFS('Таблиця 1'!$K:$K,'Таблиця 1'!$B:$B,$A332,'Таблиця 1'!$I:$I,"Mi-8",'Таблиця 1'!$J:$J,"Thales-FZ")+SUMIFS('Таблиця 1'!$K:$K,'Таблиця 1'!$B:$B,$A332,'Таблиця 1'!$I:$I,"Mi-24",'Таблиця 1'!$J:$J,"Thales-FZ"))</f>
        <v/>
      </c>
      <c r="M332">
        <f>IF($A332="","",SUMIFS('Таблиця 1'!$K:$K,'Таблиця 1'!$B:$B,$A332,'Таблиця 1'!$I:$I,"Mi-8",'Таблиця 1'!$J:$J,"МК-40")+SUMIFS('Таблиця 1'!$K:$K,'Таблиця 1'!$B:$B,$A332,'Таблиця 1'!$I:$I,"Mi-24",'Таблиця 1'!$J:$J,"МК-40"))</f>
        <v/>
      </c>
      <c r="N332">
        <f>IF($A332="","",SUMIFS('Таблиця 1'!$K:$K,'Таблиця 1'!$B:$B,$A332,'Таблиця 1'!$I:$I,"Mi-8",'Таблиця 1'!$J:$J,"Zuni")+SUMIFS('Таблиця 1'!$K:$K,'Таблиця 1'!$B:$B,$A332,'Таблиця 1'!$I:$I,"Mi-24",'Таблиця 1'!$J:$J,"Zuni"))</f>
        <v/>
      </c>
      <c r="O332">
        <f>IF($A332="","",COUNTIFS('Таблиця 1'!$B:$B,$A332,'Таблиця 1'!$I:$I,"Mi-8",'Таблиця 1'!$L:$L,"Уражено")+COUNTIFS('Таблиця 1'!$B:$B,$A332,'Таблиця 1'!$I:$I,"Mi-24",'Таблиця 1'!$L:$L,"Уражено"))</f>
        <v/>
      </c>
      <c r="P332">
        <f>IF($A332="","",COUNTIFS('Таблиця 1'!$B:$B,$A332,'Таблиця 1'!$I:$I,"Mi-8",'Таблиця 1'!$L:$L,"НЕ уражено")+COUNTIFS('Таблиця 1'!$B:$B,$A332,'Таблиця 1'!$I:$I,"Mi-24",'Таблиця 1'!$L:$L,"НЕ уражено"))</f>
        <v/>
      </c>
    </row>
    <row r="333">
      <c r="A333" s="273">
        <f>IF(A332="","",IF(A332+1&gt;MAX('Таблиця 1'!$B:$B),"",A332+1))</f>
        <v/>
      </c>
      <c r="B333">
        <f>IF($A333="","",COUNTIFS('Таблиця 1'!$B:$B,$A333,'Таблиця 1'!$I:$I,"Mi-8")+COUNTIFS('Таблиця 1'!$B:$B,$A333,'Таблиця 1'!$I:$I,"Mi-24"))</f>
        <v/>
      </c>
      <c r="C333">
        <f>IF($A333="","",COUNTIFS('Таблиця 1'!$B:$B,$A333,'Таблиця 1'!$I:$I,"Mi-8"))</f>
        <v/>
      </c>
      <c r="D333">
        <f>IF($A333="","",COUNTIFS('Таблиця 1'!$B:$B,$A333,'Таблиця 1'!$I:$I,"Mi-24"))</f>
        <v/>
      </c>
      <c r="E333">
        <f>IF($A333="","",SUMIFS('Таблиця 1'!$K:$K,'Таблиця 1'!$B:$B,$A333,'Таблиця 1'!$I:$I,"Mi-8",'Таблиця 1'!$J:$J,"ARS-8")+SUMIFS('Таблиця 1'!$K:$K,'Таблиця 1'!$B:$B,$A333,'Таблиця 1'!$I:$I,"Mi-24",'Таблиця 1'!$J:$J,"ARS-8"))</f>
        <v/>
      </c>
      <c r="F333">
        <f>IF($A333="","",SUMIFS('Таблиця 1'!$K:$K,'Таблиця 1'!$B:$B,$A333,'Таблиця 1'!$I:$I,"Mi-8",'Таблиця 1'!$J:$J,"С-8 ком")+SUMIFS('Таблиця 1'!$K:$K,'Таблиця 1'!$B:$B,$A333,'Таблиця 1'!$I:$I,"Mi-24",'Таблиця 1'!$J:$J,"С-8 ком"))</f>
        <v/>
      </c>
      <c r="G333">
        <f>IF($A333="","",SUMIFS('Таблиця 1'!$K:$K,'Таблиця 1'!$B:$B,$A333,'Таблиця 1'!$I:$I,"Mi-8",'Таблиця 1'!$J:$J,"PC-80")+SUMIFS('Таблиця 1'!$K:$K,'Таблиця 1'!$B:$B,$A333,'Таблиця 1'!$I:$I,"Mi-24",'Таблиця 1'!$J:$J,"PC-80"))</f>
        <v/>
      </c>
      <c r="H333">
        <f>IF($A333="","",SUMIFS('Таблиця 1'!$K:$K,'Таблиця 1'!$B:$B,$A333,'Таблиця 1'!$I:$I,"Mi-8",'Таблиця 1'!$J:$J,"UAR-80")+SUMIFS('Таблиця 1'!$K:$K,'Таблиця 1'!$B:$B,$A333,'Таблиця 1'!$I:$I,"Mi-24",'Таблиця 1'!$J:$J,"UAR-80"))</f>
        <v/>
      </c>
      <c r="I333">
        <f>IF($A333="","",SUMIFS('Таблиця 1'!$K:$K,'Таблиця 1'!$B:$B,$A333,'Таблиця 1'!$I:$I,"Mi-8",'Таблиця 1'!$J:$J,"C-13")+SUMIFS('Таблиця 1'!$K:$K,'Таблиця 1'!$B:$B,$A333,'Таблиця 1'!$I:$I,"Mi-24",'Таблиця 1'!$J:$J,"C-13"))</f>
        <v/>
      </c>
      <c r="J333">
        <f>IF($A333="","",SUMIFS('Таблиця 1'!$K:$K,'Таблиця 1'!$B:$B,$A333,'Таблиця 1'!$I:$I,"Mi-8",'Таблиця 1'!$J:$J,"Hydra-70")+SUMIFS('Таблиця 1'!$K:$K,'Таблиця 1'!$B:$B,$A333,'Таблиця 1'!$I:$I,"Mi-24",'Таблиця 1'!$J:$J,"Hydra-70"))</f>
        <v/>
      </c>
      <c r="K333">
        <f>IF($A333="","",SUMIFS('Таблиця 1'!$K:$K,'Таблиця 1'!$B:$B,$A333,'Таблиця 1'!$I:$I,"Mi-8",'Таблиця 1'!$J:$J,"Thales-70")+SUMIFS('Таблиця 1'!$K:$K,'Таблиця 1'!$B:$B,$A333,'Таблиця 1'!$I:$I,"Mi-24",'Таблиця 1'!$J:$J,"Thales-70"))</f>
        <v/>
      </c>
      <c r="L333">
        <f>IF($A333="","",SUMIFS('Таблиця 1'!$K:$K,'Таблиця 1'!$B:$B,$A333,'Таблиця 1'!$I:$I,"Mi-8",'Таблиця 1'!$J:$J,"Thales-FZ")+SUMIFS('Таблиця 1'!$K:$K,'Таблиця 1'!$B:$B,$A333,'Таблиця 1'!$I:$I,"Mi-24",'Таблиця 1'!$J:$J,"Thales-FZ"))</f>
        <v/>
      </c>
      <c r="M333">
        <f>IF($A333="","",SUMIFS('Таблиця 1'!$K:$K,'Таблиця 1'!$B:$B,$A333,'Таблиця 1'!$I:$I,"Mi-8",'Таблиця 1'!$J:$J,"МК-40")+SUMIFS('Таблиця 1'!$K:$K,'Таблиця 1'!$B:$B,$A333,'Таблиця 1'!$I:$I,"Mi-24",'Таблиця 1'!$J:$J,"МК-40"))</f>
        <v/>
      </c>
      <c r="N333">
        <f>IF($A333="","",SUMIFS('Таблиця 1'!$K:$K,'Таблиця 1'!$B:$B,$A333,'Таблиця 1'!$I:$I,"Mi-8",'Таблиця 1'!$J:$J,"Zuni")+SUMIFS('Таблиця 1'!$K:$K,'Таблиця 1'!$B:$B,$A333,'Таблиця 1'!$I:$I,"Mi-24",'Таблиця 1'!$J:$J,"Zuni"))</f>
        <v/>
      </c>
      <c r="O333">
        <f>IF($A333="","",COUNTIFS('Таблиця 1'!$B:$B,$A333,'Таблиця 1'!$I:$I,"Mi-8",'Таблиця 1'!$L:$L,"Уражено")+COUNTIFS('Таблиця 1'!$B:$B,$A333,'Таблиця 1'!$I:$I,"Mi-24",'Таблиця 1'!$L:$L,"Уражено"))</f>
        <v/>
      </c>
      <c r="P333">
        <f>IF($A333="","",COUNTIFS('Таблиця 1'!$B:$B,$A333,'Таблиця 1'!$I:$I,"Mi-8",'Таблиця 1'!$L:$L,"НЕ уражено")+COUNTIFS('Таблиця 1'!$B:$B,$A333,'Таблиця 1'!$I:$I,"Mi-24",'Таблиця 1'!$L:$L,"НЕ уражено"))</f>
        <v/>
      </c>
    </row>
    <row r="334">
      <c r="A334" s="273">
        <f>IF(A333="","",IF(A333+1&gt;MAX('Таблиця 1'!$B:$B),"",A333+1))</f>
        <v/>
      </c>
      <c r="B334">
        <f>IF($A334="","",COUNTIFS('Таблиця 1'!$B:$B,$A334,'Таблиця 1'!$I:$I,"Mi-8")+COUNTIFS('Таблиця 1'!$B:$B,$A334,'Таблиця 1'!$I:$I,"Mi-24"))</f>
        <v/>
      </c>
      <c r="C334">
        <f>IF($A334="","",COUNTIFS('Таблиця 1'!$B:$B,$A334,'Таблиця 1'!$I:$I,"Mi-8"))</f>
        <v/>
      </c>
      <c r="D334">
        <f>IF($A334="","",COUNTIFS('Таблиця 1'!$B:$B,$A334,'Таблиця 1'!$I:$I,"Mi-24"))</f>
        <v/>
      </c>
      <c r="E334">
        <f>IF($A334="","",SUMIFS('Таблиця 1'!$K:$K,'Таблиця 1'!$B:$B,$A334,'Таблиця 1'!$I:$I,"Mi-8",'Таблиця 1'!$J:$J,"ARS-8")+SUMIFS('Таблиця 1'!$K:$K,'Таблиця 1'!$B:$B,$A334,'Таблиця 1'!$I:$I,"Mi-24",'Таблиця 1'!$J:$J,"ARS-8"))</f>
        <v/>
      </c>
      <c r="F334">
        <f>IF($A334="","",SUMIFS('Таблиця 1'!$K:$K,'Таблиця 1'!$B:$B,$A334,'Таблиця 1'!$I:$I,"Mi-8",'Таблиця 1'!$J:$J,"С-8 ком")+SUMIFS('Таблиця 1'!$K:$K,'Таблиця 1'!$B:$B,$A334,'Таблиця 1'!$I:$I,"Mi-24",'Таблиця 1'!$J:$J,"С-8 ком"))</f>
        <v/>
      </c>
      <c r="G334">
        <f>IF($A334="","",SUMIFS('Таблиця 1'!$K:$K,'Таблиця 1'!$B:$B,$A334,'Таблиця 1'!$I:$I,"Mi-8",'Таблиця 1'!$J:$J,"PC-80")+SUMIFS('Таблиця 1'!$K:$K,'Таблиця 1'!$B:$B,$A334,'Таблиця 1'!$I:$I,"Mi-24",'Таблиця 1'!$J:$J,"PC-80"))</f>
        <v/>
      </c>
      <c r="H334">
        <f>IF($A334="","",SUMIFS('Таблиця 1'!$K:$K,'Таблиця 1'!$B:$B,$A334,'Таблиця 1'!$I:$I,"Mi-8",'Таблиця 1'!$J:$J,"UAR-80")+SUMIFS('Таблиця 1'!$K:$K,'Таблиця 1'!$B:$B,$A334,'Таблиця 1'!$I:$I,"Mi-24",'Таблиця 1'!$J:$J,"UAR-80"))</f>
        <v/>
      </c>
      <c r="I334">
        <f>IF($A334="","",SUMIFS('Таблиця 1'!$K:$K,'Таблиця 1'!$B:$B,$A334,'Таблиця 1'!$I:$I,"Mi-8",'Таблиця 1'!$J:$J,"C-13")+SUMIFS('Таблиця 1'!$K:$K,'Таблиця 1'!$B:$B,$A334,'Таблиця 1'!$I:$I,"Mi-24",'Таблиця 1'!$J:$J,"C-13"))</f>
        <v/>
      </c>
      <c r="J334">
        <f>IF($A334="","",SUMIFS('Таблиця 1'!$K:$K,'Таблиця 1'!$B:$B,$A334,'Таблиця 1'!$I:$I,"Mi-8",'Таблиця 1'!$J:$J,"Hydra-70")+SUMIFS('Таблиця 1'!$K:$K,'Таблиця 1'!$B:$B,$A334,'Таблиця 1'!$I:$I,"Mi-24",'Таблиця 1'!$J:$J,"Hydra-70"))</f>
        <v/>
      </c>
      <c r="K334">
        <f>IF($A334="","",SUMIFS('Таблиця 1'!$K:$K,'Таблиця 1'!$B:$B,$A334,'Таблиця 1'!$I:$I,"Mi-8",'Таблиця 1'!$J:$J,"Thales-70")+SUMIFS('Таблиця 1'!$K:$K,'Таблиця 1'!$B:$B,$A334,'Таблиця 1'!$I:$I,"Mi-24",'Таблиця 1'!$J:$J,"Thales-70"))</f>
        <v/>
      </c>
      <c r="L334">
        <f>IF($A334="","",SUMIFS('Таблиця 1'!$K:$K,'Таблиця 1'!$B:$B,$A334,'Таблиця 1'!$I:$I,"Mi-8",'Таблиця 1'!$J:$J,"Thales-FZ")+SUMIFS('Таблиця 1'!$K:$K,'Таблиця 1'!$B:$B,$A334,'Таблиця 1'!$I:$I,"Mi-24",'Таблиця 1'!$J:$J,"Thales-FZ"))</f>
        <v/>
      </c>
      <c r="M334">
        <f>IF($A334="","",SUMIFS('Таблиця 1'!$K:$K,'Таблиця 1'!$B:$B,$A334,'Таблиця 1'!$I:$I,"Mi-8",'Таблиця 1'!$J:$J,"МК-40")+SUMIFS('Таблиця 1'!$K:$K,'Таблиця 1'!$B:$B,$A334,'Таблиця 1'!$I:$I,"Mi-24",'Таблиця 1'!$J:$J,"МК-40"))</f>
        <v/>
      </c>
      <c r="N334">
        <f>IF($A334="","",SUMIFS('Таблиця 1'!$K:$K,'Таблиця 1'!$B:$B,$A334,'Таблиця 1'!$I:$I,"Mi-8",'Таблиця 1'!$J:$J,"Zuni")+SUMIFS('Таблиця 1'!$K:$K,'Таблиця 1'!$B:$B,$A334,'Таблиця 1'!$I:$I,"Mi-24",'Таблиця 1'!$J:$J,"Zuni"))</f>
        <v/>
      </c>
      <c r="O334">
        <f>IF($A334="","",COUNTIFS('Таблиця 1'!$B:$B,$A334,'Таблиця 1'!$I:$I,"Mi-8",'Таблиця 1'!$L:$L,"Уражено")+COUNTIFS('Таблиця 1'!$B:$B,$A334,'Таблиця 1'!$I:$I,"Mi-24",'Таблиця 1'!$L:$L,"Уражено"))</f>
        <v/>
      </c>
      <c r="P334">
        <f>IF($A334="","",COUNTIFS('Таблиця 1'!$B:$B,$A334,'Таблиця 1'!$I:$I,"Mi-8",'Таблиця 1'!$L:$L,"НЕ уражено")+COUNTIFS('Таблиця 1'!$B:$B,$A334,'Таблиця 1'!$I:$I,"Mi-24",'Таблиця 1'!$L:$L,"НЕ уражено"))</f>
        <v/>
      </c>
    </row>
    <row r="335">
      <c r="A335" s="273">
        <f>IF(A334="","",IF(A334+1&gt;MAX('Таблиця 1'!$B:$B),"",A334+1))</f>
        <v/>
      </c>
      <c r="B335">
        <f>IF($A335="","",COUNTIFS('Таблиця 1'!$B:$B,$A335,'Таблиця 1'!$I:$I,"Mi-8")+COUNTIFS('Таблиця 1'!$B:$B,$A335,'Таблиця 1'!$I:$I,"Mi-24"))</f>
        <v/>
      </c>
      <c r="C335">
        <f>IF($A335="","",COUNTIFS('Таблиця 1'!$B:$B,$A335,'Таблиця 1'!$I:$I,"Mi-8"))</f>
        <v/>
      </c>
      <c r="D335">
        <f>IF($A335="","",COUNTIFS('Таблиця 1'!$B:$B,$A335,'Таблиця 1'!$I:$I,"Mi-24"))</f>
        <v/>
      </c>
      <c r="E335">
        <f>IF($A335="","",SUMIFS('Таблиця 1'!$K:$K,'Таблиця 1'!$B:$B,$A335,'Таблиця 1'!$I:$I,"Mi-8",'Таблиця 1'!$J:$J,"ARS-8")+SUMIFS('Таблиця 1'!$K:$K,'Таблиця 1'!$B:$B,$A335,'Таблиця 1'!$I:$I,"Mi-24",'Таблиця 1'!$J:$J,"ARS-8"))</f>
        <v/>
      </c>
      <c r="F335">
        <f>IF($A335="","",SUMIFS('Таблиця 1'!$K:$K,'Таблиця 1'!$B:$B,$A335,'Таблиця 1'!$I:$I,"Mi-8",'Таблиця 1'!$J:$J,"С-8 ком")+SUMIFS('Таблиця 1'!$K:$K,'Таблиця 1'!$B:$B,$A335,'Таблиця 1'!$I:$I,"Mi-24",'Таблиця 1'!$J:$J,"С-8 ком"))</f>
        <v/>
      </c>
      <c r="G335">
        <f>IF($A335="","",SUMIFS('Таблиця 1'!$K:$K,'Таблиця 1'!$B:$B,$A335,'Таблиця 1'!$I:$I,"Mi-8",'Таблиця 1'!$J:$J,"PC-80")+SUMIFS('Таблиця 1'!$K:$K,'Таблиця 1'!$B:$B,$A335,'Таблиця 1'!$I:$I,"Mi-24",'Таблиця 1'!$J:$J,"PC-80"))</f>
        <v/>
      </c>
      <c r="H335">
        <f>IF($A335="","",SUMIFS('Таблиця 1'!$K:$K,'Таблиця 1'!$B:$B,$A335,'Таблиця 1'!$I:$I,"Mi-8",'Таблиця 1'!$J:$J,"UAR-80")+SUMIFS('Таблиця 1'!$K:$K,'Таблиця 1'!$B:$B,$A335,'Таблиця 1'!$I:$I,"Mi-24",'Таблиця 1'!$J:$J,"UAR-80"))</f>
        <v/>
      </c>
      <c r="I335">
        <f>IF($A335="","",SUMIFS('Таблиця 1'!$K:$K,'Таблиця 1'!$B:$B,$A335,'Таблиця 1'!$I:$I,"Mi-8",'Таблиця 1'!$J:$J,"C-13")+SUMIFS('Таблиця 1'!$K:$K,'Таблиця 1'!$B:$B,$A335,'Таблиця 1'!$I:$I,"Mi-24",'Таблиця 1'!$J:$J,"C-13"))</f>
        <v/>
      </c>
      <c r="J335">
        <f>IF($A335="","",SUMIFS('Таблиця 1'!$K:$K,'Таблиця 1'!$B:$B,$A335,'Таблиця 1'!$I:$I,"Mi-8",'Таблиця 1'!$J:$J,"Hydra-70")+SUMIFS('Таблиця 1'!$K:$K,'Таблиця 1'!$B:$B,$A335,'Таблиця 1'!$I:$I,"Mi-24",'Таблиця 1'!$J:$J,"Hydra-70"))</f>
        <v/>
      </c>
      <c r="K335">
        <f>IF($A335="","",SUMIFS('Таблиця 1'!$K:$K,'Таблиця 1'!$B:$B,$A335,'Таблиця 1'!$I:$I,"Mi-8",'Таблиця 1'!$J:$J,"Thales-70")+SUMIFS('Таблиця 1'!$K:$K,'Таблиця 1'!$B:$B,$A335,'Таблиця 1'!$I:$I,"Mi-24",'Таблиця 1'!$J:$J,"Thales-70"))</f>
        <v/>
      </c>
      <c r="L335">
        <f>IF($A335="","",SUMIFS('Таблиця 1'!$K:$K,'Таблиця 1'!$B:$B,$A335,'Таблиця 1'!$I:$I,"Mi-8",'Таблиця 1'!$J:$J,"Thales-FZ")+SUMIFS('Таблиця 1'!$K:$K,'Таблиця 1'!$B:$B,$A335,'Таблиця 1'!$I:$I,"Mi-24",'Таблиця 1'!$J:$J,"Thales-FZ"))</f>
        <v/>
      </c>
      <c r="M335">
        <f>IF($A335="","",SUMIFS('Таблиця 1'!$K:$K,'Таблиця 1'!$B:$B,$A335,'Таблиця 1'!$I:$I,"Mi-8",'Таблиця 1'!$J:$J,"МК-40")+SUMIFS('Таблиця 1'!$K:$K,'Таблиця 1'!$B:$B,$A335,'Таблиця 1'!$I:$I,"Mi-24",'Таблиця 1'!$J:$J,"МК-40"))</f>
        <v/>
      </c>
      <c r="N335">
        <f>IF($A335="","",SUMIFS('Таблиця 1'!$K:$K,'Таблиця 1'!$B:$B,$A335,'Таблиця 1'!$I:$I,"Mi-8",'Таблиця 1'!$J:$J,"Zuni")+SUMIFS('Таблиця 1'!$K:$K,'Таблиця 1'!$B:$B,$A335,'Таблиця 1'!$I:$I,"Mi-24",'Таблиця 1'!$J:$J,"Zuni"))</f>
        <v/>
      </c>
      <c r="O335">
        <f>IF($A335="","",COUNTIFS('Таблиця 1'!$B:$B,$A335,'Таблиця 1'!$I:$I,"Mi-8",'Таблиця 1'!$L:$L,"Уражено")+COUNTIFS('Таблиця 1'!$B:$B,$A335,'Таблиця 1'!$I:$I,"Mi-24",'Таблиця 1'!$L:$L,"Уражено"))</f>
        <v/>
      </c>
      <c r="P335">
        <f>IF($A335="","",COUNTIFS('Таблиця 1'!$B:$B,$A335,'Таблиця 1'!$I:$I,"Mi-8",'Таблиця 1'!$L:$L,"НЕ уражено")+COUNTIFS('Таблиця 1'!$B:$B,$A335,'Таблиця 1'!$I:$I,"Mi-24",'Таблиця 1'!$L:$L,"НЕ уражено"))</f>
        <v/>
      </c>
    </row>
    <row r="336">
      <c r="A336" s="273">
        <f>IF(A335="","",IF(A335+1&gt;MAX('Таблиця 1'!$B:$B),"",A335+1))</f>
        <v/>
      </c>
      <c r="B336">
        <f>IF($A336="","",COUNTIFS('Таблиця 1'!$B:$B,$A336,'Таблиця 1'!$I:$I,"Mi-8")+COUNTIFS('Таблиця 1'!$B:$B,$A336,'Таблиця 1'!$I:$I,"Mi-24"))</f>
        <v/>
      </c>
      <c r="C336">
        <f>IF($A336="","",COUNTIFS('Таблиця 1'!$B:$B,$A336,'Таблиця 1'!$I:$I,"Mi-8"))</f>
        <v/>
      </c>
      <c r="D336">
        <f>IF($A336="","",COUNTIFS('Таблиця 1'!$B:$B,$A336,'Таблиця 1'!$I:$I,"Mi-24"))</f>
        <v/>
      </c>
      <c r="E336">
        <f>IF($A336="","",SUMIFS('Таблиця 1'!$K:$K,'Таблиця 1'!$B:$B,$A336,'Таблиця 1'!$I:$I,"Mi-8",'Таблиця 1'!$J:$J,"ARS-8")+SUMIFS('Таблиця 1'!$K:$K,'Таблиця 1'!$B:$B,$A336,'Таблиця 1'!$I:$I,"Mi-24",'Таблиця 1'!$J:$J,"ARS-8"))</f>
        <v/>
      </c>
      <c r="F336">
        <f>IF($A336="","",SUMIFS('Таблиця 1'!$K:$K,'Таблиця 1'!$B:$B,$A336,'Таблиця 1'!$I:$I,"Mi-8",'Таблиця 1'!$J:$J,"С-8 ком")+SUMIFS('Таблиця 1'!$K:$K,'Таблиця 1'!$B:$B,$A336,'Таблиця 1'!$I:$I,"Mi-24",'Таблиця 1'!$J:$J,"С-8 ком"))</f>
        <v/>
      </c>
      <c r="G336">
        <f>IF($A336="","",SUMIFS('Таблиця 1'!$K:$K,'Таблиця 1'!$B:$B,$A336,'Таблиця 1'!$I:$I,"Mi-8",'Таблиця 1'!$J:$J,"PC-80")+SUMIFS('Таблиця 1'!$K:$K,'Таблиця 1'!$B:$B,$A336,'Таблиця 1'!$I:$I,"Mi-24",'Таблиця 1'!$J:$J,"PC-80"))</f>
        <v/>
      </c>
      <c r="H336">
        <f>IF($A336="","",SUMIFS('Таблиця 1'!$K:$K,'Таблиця 1'!$B:$B,$A336,'Таблиця 1'!$I:$I,"Mi-8",'Таблиця 1'!$J:$J,"UAR-80")+SUMIFS('Таблиця 1'!$K:$K,'Таблиця 1'!$B:$B,$A336,'Таблиця 1'!$I:$I,"Mi-24",'Таблиця 1'!$J:$J,"UAR-80"))</f>
        <v/>
      </c>
      <c r="I336">
        <f>IF($A336="","",SUMIFS('Таблиця 1'!$K:$K,'Таблиця 1'!$B:$B,$A336,'Таблиця 1'!$I:$I,"Mi-8",'Таблиця 1'!$J:$J,"C-13")+SUMIFS('Таблиця 1'!$K:$K,'Таблиця 1'!$B:$B,$A336,'Таблиця 1'!$I:$I,"Mi-24",'Таблиця 1'!$J:$J,"C-13"))</f>
        <v/>
      </c>
      <c r="J336">
        <f>IF($A336="","",SUMIFS('Таблиця 1'!$K:$K,'Таблиця 1'!$B:$B,$A336,'Таблиця 1'!$I:$I,"Mi-8",'Таблиця 1'!$J:$J,"Hydra-70")+SUMIFS('Таблиця 1'!$K:$K,'Таблиця 1'!$B:$B,$A336,'Таблиця 1'!$I:$I,"Mi-24",'Таблиця 1'!$J:$J,"Hydra-70"))</f>
        <v/>
      </c>
      <c r="K336">
        <f>IF($A336="","",SUMIFS('Таблиця 1'!$K:$K,'Таблиця 1'!$B:$B,$A336,'Таблиця 1'!$I:$I,"Mi-8",'Таблиця 1'!$J:$J,"Thales-70")+SUMIFS('Таблиця 1'!$K:$K,'Таблиця 1'!$B:$B,$A336,'Таблиця 1'!$I:$I,"Mi-24",'Таблиця 1'!$J:$J,"Thales-70"))</f>
        <v/>
      </c>
      <c r="L336">
        <f>IF($A336="","",SUMIFS('Таблиця 1'!$K:$K,'Таблиця 1'!$B:$B,$A336,'Таблиця 1'!$I:$I,"Mi-8",'Таблиця 1'!$J:$J,"Thales-FZ")+SUMIFS('Таблиця 1'!$K:$K,'Таблиця 1'!$B:$B,$A336,'Таблиця 1'!$I:$I,"Mi-24",'Таблиця 1'!$J:$J,"Thales-FZ"))</f>
        <v/>
      </c>
      <c r="M336">
        <f>IF($A336="","",SUMIFS('Таблиця 1'!$K:$K,'Таблиця 1'!$B:$B,$A336,'Таблиця 1'!$I:$I,"Mi-8",'Таблиця 1'!$J:$J,"МК-40")+SUMIFS('Таблиця 1'!$K:$K,'Таблиця 1'!$B:$B,$A336,'Таблиця 1'!$I:$I,"Mi-24",'Таблиця 1'!$J:$J,"МК-40"))</f>
        <v/>
      </c>
      <c r="N336">
        <f>IF($A336="","",SUMIFS('Таблиця 1'!$K:$K,'Таблиця 1'!$B:$B,$A336,'Таблиця 1'!$I:$I,"Mi-8",'Таблиця 1'!$J:$J,"Zuni")+SUMIFS('Таблиця 1'!$K:$K,'Таблиця 1'!$B:$B,$A336,'Таблиця 1'!$I:$I,"Mi-24",'Таблиця 1'!$J:$J,"Zuni"))</f>
        <v/>
      </c>
      <c r="O336">
        <f>IF($A336="","",COUNTIFS('Таблиця 1'!$B:$B,$A336,'Таблиця 1'!$I:$I,"Mi-8",'Таблиця 1'!$L:$L,"Уражено")+COUNTIFS('Таблиця 1'!$B:$B,$A336,'Таблиця 1'!$I:$I,"Mi-24",'Таблиця 1'!$L:$L,"Уражено"))</f>
        <v/>
      </c>
      <c r="P336">
        <f>IF($A336="","",COUNTIFS('Таблиця 1'!$B:$B,$A336,'Таблиця 1'!$I:$I,"Mi-8",'Таблиця 1'!$L:$L,"НЕ уражено")+COUNTIFS('Таблиця 1'!$B:$B,$A336,'Таблиця 1'!$I:$I,"Mi-24",'Таблиця 1'!$L:$L,"НЕ уражено"))</f>
        <v/>
      </c>
    </row>
    <row r="337">
      <c r="A337" s="273">
        <f>IF(A336="","",IF(A336+1&gt;MAX('Таблиця 1'!$B:$B),"",A336+1))</f>
        <v/>
      </c>
      <c r="B337">
        <f>IF($A337="","",COUNTIFS('Таблиця 1'!$B:$B,$A337,'Таблиця 1'!$I:$I,"Mi-8")+COUNTIFS('Таблиця 1'!$B:$B,$A337,'Таблиця 1'!$I:$I,"Mi-24"))</f>
        <v/>
      </c>
      <c r="C337">
        <f>IF($A337="","",COUNTIFS('Таблиця 1'!$B:$B,$A337,'Таблиця 1'!$I:$I,"Mi-8"))</f>
        <v/>
      </c>
      <c r="D337">
        <f>IF($A337="","",COUNTIFS('Таблиця 1'!$B:$B,$A337,'Таблиця 1'!$I:$I,"Mi-24"))</f>
        <v/>
      </c>
      <c r="E337">
        <f>IF($A337="","",SUMIFS('Таблиця 1'!$K:$K,'Таблиця 1'!$B:$B,$A337,'Таблиця 1'!$I:$I,"Mi-8",'Таблиця 1'!$J:$J,"ARS-8")+SUMIFS('Таблиця 1'!$K:$K,'Таблиця 1'!$B:$B,$A337,'Таблиця 1'!$I:$I,"Mi-24",'Таблиця 1'!$J:$J,"ARS-8"))</f>
        <v/>
      </c>
      <c r="F337">
        <f>IF($A337="","",SUMIFS('Таблиця 1'!$K:$K,'Таблиця 1'!$B:$B,$A337,'Таблиця 1'!$I:$I,"Mi-8",'Таблиця 1'!$J:$J,"С-8 ком")+SUMIFS('Таблиця 1'!$K:$K,'Таблиця 1'!$B:$B,$A337,'Таблиця 1'!$I:$I,"Mi-24",'Таблиця 1'!$J:$J,"С-8 ком"))</f>
        <v/>
      </c>
      <c r="G337">
        <f>IF($A337="","",SUMIFS('Таблиця 1'!$K:$K,'Таблиця 1'!$B:$B,$A337,'Таблиця 1'!$I:$I,"Mi-8",'Таблиця 1'!$J:$J,"PC-80")+SUMIFS('Таблиця 1'!$K:$K,'Таблиця 1'!$B:$B,$A337,'Таблиця 1'!$I:$I,"Mi-24",'Таблиця 1'!$J:$J,"PC-80"))</f>
        <v/>
      </c>
      <c r="H337">
        <f>IF($A337="","",SUMIFS('Таблиця 1'!$K:$K,'Таблиця 1'!$B:$B,$A337,'Таблиця 1'!$I:$I,"Mi-8",'Таблиця 1'!$J:$J,"UAR-80")+SUMIFS('Таблиця 1'!$K:$K,'Таблиця 1'!$B:$B,$A337,'Таблиця 1'!$I:$I,"Mi-24",'Таблиця 1'!$J:$J,"UAR-80"))</f>
        <v/>
      </c>
      <c r="I337">
        <f>IF($A337="","",SUMIFS('Таблиця 1'!$K:$K,'Таблиця 1'!$B:$B,$A337,'Таблиця 1'!$I:$I,"Mi-8",'Таблиця 1'!$J:$J,"C-13")+SUMIFS('Таблиця 1'!$K:$K,'Таблиця 1'!$B:$B,$A337,'Таблиця 1'!$I:$I,"Mi-24",'Таблиця 1'!$J:$J,"C-13"))</f>
        <v/>
      </c>
      <c r="J337">
        <f>IF($A337="","",SUMIFS('Таблиця 1'!$K:$K,'Таблиця 1'!$B:$B,$A337,'Таблиця 1'!$I:$I,"Mi-8",'Таблиця 1'!$J:$J,"Hydra-70")+SUMIFS('Таблиця 1'!$K:$K,'Таблиця 1'!$B:$B,$A337,'Таблиця 1'!$I:$I,"Mi-24",'Таблиця 1'!$J:$J,"Hydra-70"))</f>
        <v/>
      </c>
      <c r="K337">
        <f>IF($A337="","",SUMIFS('Таблиця 1'!$K:$K,'Таблиця 1'!$B:$B,$A337,'Таблиця 1'!$I:$I,"Mi-8",'Таблиця 1'!$J:$J,"Thales-70")+SUMIFS('Таблиця 1'!$K:$K,'Таблиця 1'!$B:$B,$A337,'Таблиця 1'!$I:$I,"Mi-24",'Таблиця 1'!$J:$J,"Thales-70"))</f>
        <v/>
      </c>
      <c r="L337">
        <f>IF($A337="","",SUMIFS('Таблиця 1'!$K:$K,'Таблиця 1'!$B:$B,$A337,'Таблиця 1'!$I:$I,"Mi-8",'Таблиця 1'!$J:$J,"Thales-FZ")+SUMIFS('Таблиця 1'!$K:$K,'Таблиця 1'!$B:$B,$A337,'Таблиця 1'!$I:$I,"Mi-24",'Таблиця 1'!$J:$J,"Thales-FZ"))</f>
        <v/>
      </c>
      <c r="M337">
        <f>IF($A337="","",SUMIFS('Таблиця 1'!$K:$K,'Таблиця 1'!$B:$B,$A337,'Таблиця 1'!$I:$I,"Mi-8",'Таблиця 1'!$J:$J,"МК-40")+SUMIFS('Таблиця 1'!$K:$K,'Таблиця 1'!$B:$B,$A337,'Таблиця 1'!$I:$I,"Mi-24",'Таблиця 1'!$J:$J,"МК-40"))</f>
        <v/>
      </c>
      <c r="N337">
        <f>IF($A337="","",SUMIFS('Таблиця 1'!$K:$K,'Таблиця 1'!$B:$B,$A337,'Таблиця 1'!$I:$I,"Mi-8",'Таблиця 1'!$J:$J,"Zuni")+SUMIFS('Таблиця 1'!$K:$K,'Таблиця 1'!$B:$B,$A337,'Таблиця 1'!$I:$I,"Mi-24",'Таблиця 1'!$J:$J,"Zuni"))</f>
        <v/>
      </c>
      <c r="O337">
        <f>IF($A337="","",COUNTIFS('Таблиця 1'!$B:$B,$A337,'Таблиця 1'!$I:$I,"Mi-8",'Таблиця 1'!$L:$L,"Уражено")+COUNTIFS('Таблиця 1'!$B:$B,$A337,'Таблиця 1'!$I:$I,"Mi-24",'Таблиця 1'!$L:$L,"Уражено"))</f>
        <v/>
      </c>
      <c r="P337">
        <f>IF($A337="","",COUNTIFS('Таблиця 1'!$B:$B,$A337,'Таблиця 1'!$I:$I,"Mi-8",'Таблиця 1'!$L:$L,"НЕ уражено")+COUNTIFS('Таблиця 1'!$B:$B,$A337,'Таблиця 1'!$I:$I,"Mi-24",'Таблиця 1'!$L:$L,"НЕ уражено"))</f>
        <v/>
      </c>
    </row>
    <row r="338">
      <c r="A338" s="273">
        <f>IF(A337="","",IF(A337+1&gt;MAX('Таблиця 1'!$B:$B),"",A337+1))</f>
        <v/>
      </c>
      <c r="B338">
        <f>IF($A338="","",COUNTIFS('Таблиця 1'!$B:$B,$A338,'Таблиця 1'!$I:$I,"Mi-8")+COUNTIFS('Таблиця 1'!$B:$B,$A338,'Таблиця 1'!$I:$I,"Mi-24"))</f>
        <v/>
      </c>
      <c r="C338">
        <f>IF($A338="","",COUNTIFS('Таблиця 1'!$B:$B,$A338,'Таблиця 1'!$I:$I,"Mi-8"))</f>
        <v/>
      </c>
      <c r="D338">
        <f>IF($A338="","",COUNTIFS('Таблиця 1'!$B:$B,$A338,'Таблиця 1'!$I:$I,"Mi-24"))</f>
        <v/>
      </c>
      <c r="E338">
        <f>IF($A338="","",SUMIFS('Таблиця 1'!$K:$K,'Таблиця 1'!$B:$B,$A338,'Таблиця 1'!$I:$I,"Mi-8",'Таблиця 1'!$J:$J,"ARS-8")+SUMIFS('Таблиця 1'!$K:$K,'Таблиця 1'!$B:$B,$A338,'Таблиця 1'!$I:$I,"Mi-24",'Таблиця 1'!$J:$J,"ARS-8"))</f>
        <v/>
      </c>
      <c r="F338">
        <f>IF($A338="","",SUMIFS('Таблиця 1'!$K:$K,'Таблиця 1'!$B:$B,$A338,'Таблиця 1'!$I:$I,"Mi-8",'Таблиця 1'!$J:$J,"С-8 ком")+SUMIFS('Таблиця 1'!$K:$K,'Таблиця 1'!$B:$B,$A338,'Таблиця 1'!$I:$I,"Mi-24",'Таблиця 1'!$J:$J,"С-8 ком"))</f>
        <v/>
      </c>
      <c r="G338">
        <f>IF($A338="","",SUMIFS('Таблиця 1'!$K:$K,'Таблиця 1'!$B:$B,$A338,'Таблиця 1'!$I:$I,"Mi-8",'Таблиця 1'!$J:$J,"PC-80")+SUMIFS('Таблиця 1'!$K:$K,'Таблиця 1'!$B:$B,$A338,'Таблиця 1'!$I:$I,"Mi-24",'Таблиця 1'!$J:$J,"PC-80"))</f>
        <v/>
      </c>
      <c r="H338">
        <f>IF($A338="","",SUMIFS('Таблиця 1'!$K:$K,'Таблиця 1'!$B:$B,$A338,'Таблиця 1'!$I:$I,"Mi-8",'Таблиця 1'!$J:$J,"UAR-80")+SUMIFS('Таблиця 1'!$K:$K,'Таблиця 1'!$B:$B,$A338,'Таблиця 1'!$I:$I,"Mi-24",'Таблиця 1'!$J:$J,"UAR-80"))</f>
        <v/>
      </c>
      <c r="I338">
        <f>IF($A338="","",SUMIFS('Таблиця 1'!$K:$K,'Таблиця 1'!$B:$B,$A338,'Таблиця 1'!$I:$I,"Mi-8",'Таблиця 1'!$J:$J,"C-13")+SUMIFS('Таблиця 1'!$K:$K,'Таблиця 1'!$B:$B,$A338,'Таблиця 1'!$I:$I,"Mi-24",'Таблиця 1'!$J:$J,"C-13"))</f>
        <v/>
      </c>
      <c r="J338">
        <f>IF($A338="","",SUMIFS('Таблиця 1'!$K:$K,'Таблиця 1'!$B:$B,$A338,'Таблиця 1'!$I:$I,"Mi-8",'Таблиця 1'!$J:$J,"Hydra-70")+SUMIFS('Таблиця 1'!$K:$K,'Таблиця 1'!$B:$B,$A338,'Таблиця 1'!$I:$I,"Mi-24",'Таблиця 1'!$J:$J,"Hydra-70"))</f>
        <v/>
      </c>
      <c r="K338">
        <f>IF($A338="","",SUMIFS('Таблиця 1'!$K:$K,'Таблиця 1'!$B:$B,$A338,'Таблиця 1'!$I:$I,"Mi-8",'Таблиця 1'!$J:$J,"Thales-70")+SUMIFS('Таблиця 1'!$K:$K,'Таблиця 1'!$B:$B,$A338,'Таблиця 1'!$I:$I,"Mi-24",'Таблиця 1'!$J:$J,"Thales-70"))</f>
        <v/>
      </c>
      <c r="L338">
        <f>IF($A338="","",SUMIFS('Таблиця 1'!$K:$K,'Таблиця 1'!$B:$B,$A338,'Таблиця 1'!$I:$I,"Mi-8",'Таблиця 1'!$J:$J,"Thales-FZ")+SUMIFS('Таблиця 1'!$K:$K,'Таблиця 1'!$B:$B,$A338,'Таблиця 1'!$I:$I,"Mi-24",'Таблиця 1'!$J:$J,"Thales-FZ"))</f>
        <v/>
      </c>
      <c r="M338">
        <f>IF($A338="","",SUMIFS('Таблиця 1'!$K:$K,'Таблиця 1'!$B:$B,$A338,'Таблиця 1'!$I:$I,"Mi-8",'Таблиця 1'!$J:$J,"МК-40")+SUMIFS('Таблиця 1'!$K:$K,'Таблиця 1'!$B:$B,$A338,'Таблиця 1'!$I:$I,"Mi-24",'Таблиця 1'!$J:$J,"МК-40"))</f>
        <v/>
      </c>
      <c r="N338">
        <f>IF($A338="","",SUMIFS('Таблиця 1'!$K:$K,'Таблиця 1'!$B:$B,$A338,'Таблиця 1'!$I:$I,"Mi-8",'Таблиця 1'!$J:$J,"Zuni")+SUMIFS('Таблиця 1'!$K:$K,'Таблиця 1'!$B:$B,$A338,'Таблиця 1'!$I:$I,"Mi-24",'Таблиця 1'!$J:$J,"Zuni"))</f>
        <v/>
      </c>
      <c r="O338">
        <f>IF($A338="","",COUNTIFS('Таблиця 1'!$B:$B,$A338,'Таблиця 1'!$I:$I,"Mi-8",'Таблиця 1'!$L:$L,"Уражено")+COUNTIFS('Таблиця 1'!$B:$B,$A338,'Таблиця 1'!$I:$I,"Mi-24",'Таблиця 1'!$L:$L,"Уражено"))</f>
        <v/>
      </c>
      <c r="P338">
        <f>IF($A338="","",COUNTIFS('Таблиця 1'!$B:$B,$A338,'Таблиця 1'!$I:$I,"Mi-8",'Таблиця 1'!$L:$L,"НЕ уражено")+COUNTIFS('Таблиця 1'!$B:$B,$A338,'Таблиця 1'!$I:$I,"Mi-24",'Таблиця 1'!$L:$L,"НЕ уражено"))</f>
        <v/>
      </c>
    </row>
    <row r="339">
      <c r="A339" s="273">
        <f>IF(A338="","",IF(A338+1&gt;MAX('Таблиця 1'!$B:$B),"",A338+1))</f>
        <v/>
      </c>
      <c r="B339">
        <f>IF($A339="","",COUNTIFS('Таблиця 1'!$B:$B,$A339,'Таблиця 1'!$I:$I,"Mi-8")+COUNTIFS('Таблиця 1'!$B:$B,$A339,'Таблиця 1'!$I:$I,"Mi-24"))</f>
        <v/>
      </c>
      <c r="C339">
        <f>IF($A339="","",COUNTIFS('Таблиця 1'!$B:$B,$A339,'Таблиця 1'!$I:$I,"Mi-8"))</f>
        <v/>
      </c>
      <c r="D339">
        <f>IF($A339="","",COUNTIFS('Таблиця 1'!$B:$B,$A339,'Таблиця 1'!$I:$I,"Mi-24"))</f>
        <v/>
      </c>
      <c r="E339">
        <f>IF($A339="","",SUMIFS('Таблиця 1'!$K:$K,'Таблиця 1'!$B:$B,$A339,'Таблиця 1'!$I:$I,"Mi-8",'Таблиця 1'!$J:$J,"ARS-8")+SUMIFS('Таблиця 1'!$K:$K,'Таблиця 1'!$B:$B,$A339,'Таблиця 1'!$I:$I,"Mi-24",'Таблиця 1'!$J:$J,"ARS-8"))</f>
        <v/>
      </c>
      <c r="F339">
        <f>IF($A339="","",SUMIFS('Таблиця 1'!$K:$K,'Таблиця 1'!$B:$B,$A339,'Таблиця 1'!$I:$I,"Mi-8",'Таблиця 1'!$J:$J,"С-8 ком")+SUMIFS('Таблиця 1'!$K:$K,'Таблиця 1'!$B:$B,$A339,'Таблиця 1'!$I:$I,"Mi-24",'Таблиця 1'!$J:$J,"С-8 ком"))</f>
        <v/>
      </c>
      <c r="G339">
        <f>IF($A339="","",SUMIFS('Таблиця 1'!$K:$K,'Таблиця 1'!$B:$B,$A339,'Таблиця 1'!$I:$I,"Mi-8",'Таблиця 1'!$J:$J,"PC-80")+SUMIFS('Таблиця 1'!$K:$K,'Таблиця 1'!$B:$B,$A339,'Таблиця 1'!$I:$I,"Mi-24",'Таблиця 1'!$J:$J,"PC-80"))</f>
        <v/>
      </c>
      <c r="H339">
        <f>IF($A339="","",SUMIFS('Таблиця 1'!$K:$K,'Таблиця 1'!$B:$B,$A339,'Таблиця 1'!$I:$I,"Mi-8",'Таблиця 1'!$J:$J,"UAR-80")+SUMIFS('Таблиця 1'!$K:$K,'Таблиця 1'!$B:$B,$A339,'Таблиця 1'!$I:$I,"Mi-24",'Таблиця 1'!$J:$J,"UAR-80"))</f>
        <v/>
      </c>
      <c r="I339">
        <f>IF($A339="","",SUMIFS('Таблиця 1'!$K:$K,'Таблиця 1'!$B:$B,$A339,'Таблиця 1'!$I:$I,"Mi-8",'Таблиця 1'!$J:$J,"C-13")+SUMIFS('Таблиця 1'!$K:$K,'Таблиця 1'!$B:$B,$A339,'Таблиця 1'!$I:$I,"Mi-24",'Таблиця 1'!$J:$J,"C-13"))</f>
        <v/>
      </c>
      <c r="J339">
        <f>IF($A339="","",SUMIFS('Таблиця 1'!$K:$K,'Таблиця 1'!$B:$B,$A339,'Таблиця 1'!$I:$I,"Mi-8",'Таблиця 1'!$J:$J,"Hydra-70")+SUMIFS('Таблиця 1'!$K:$K,'Таблиця 1'!$B:$B,$A339,'Таблиця 1'!$I:$I,"Mi-24",'Таблиця 1'!$J:$J,"Hydra-70"))</f>
        <v/>
      </c>
      <c r="K339">
        <f>IF($A339="","",SUMIFS('Таблиця 1'!$K:$K,'Таблиця 1'!$B:$B,$A339,'Таблиця 1'!$I:$I,"Mi-8",'Таблиця 1'!$J:$J,"Thales-70")+SUMIFS('Таблиця 1'!$K:$K,'Таблиця 1'!$B:$B,$A339,'Таблиця 1'!$I:$I,"Mi-24",'Таблиця 1'!$J:$J,"Thales-70"))</f>
        <v/>
      </c>
      <c r="L339">
        <f>IF($A339="","",SUMIFS('Таблиця 1'!$K:$K,'Таблиця 1'!$B:$B,$A339,'Таблиця 1'!$I:$I,"Mi-8",'Таблиця 1'!$J:$J,"Thales-FZ")+SUMIFS('Таблиця 1'!$K:$K,'Таблиця 1'!$B:$B,$A339,'Таблиця 1'!$I:$I,"Mi-24",'Таблиця 1'!$J:$J,"Thales-FZ"))</f>
        <v/>
      </c>
      <c r="M339">
        <f>IF($A339="","",SUMIFS('Таблиця 1'!$K:$K,'Таблиця 1'!$B:$B,$A339,'Таблиця 1'!$I:$I,"Mi-8",'Таблиця 1'!$J:$J,"МК-40")+SUMIFS('Таблиця 1'!$K:$K,'Таблиця 1'!$B:$B,$A339,'Таблиця 1'!$I:$I,"Mi-24",'Таблиця 1'!$J:$J,"МК-40"))</f>
        <v/>
      </c>
      <c r="N339">
        <f>IF($A339="","",SUMIFS('Таблиця 1'!$K:$K,'Таблиця 1'!$B:$B,$A339,'Таблиця 1'!$I:$I,"Mi-8",'Таблиця 1'!$J:$J,"Zuni")+SUMIFS('Таблиця 1'!$K:$K,'Таблиця 1'!$B:$B,$A339,'Таблиця 1'!$I:$I,"Mi-24",'Таблиця 1'!$J:$J,"Zuni"))</f>
        <v/>
      </c>
      <c r="O339">
        <f>IF($A339="","",COUNTIFS('Таблиця 1'!$B:$B,$A339,'Таблиця 1'!$I:$I,"Mi-8",'Таблиця 1'!$L:$L,"Уражено")+COUNTIFS('Таблиця 1'!$B:$B,$A339,'Таблиця 1'!$I:$I,"Mi-24",'Таблиця 1'!$L:$L,"Уражено"))</f>
        <v/>
      </c>
      <c r="P339">
        <f>IF($A339="","",COUNTIFS('Таблиця 1'!$B:$B,$A339,'Таблиця 1'!$I:$I,"Mi-8",'Таблиця 1'!$L:$L,"НЕ уражено")+COUNTIFS('Таблиця 1'!$B:$B,$A339,'Таблиця 1'!$I:$I,"Mi-24",'Таблиця 1'!$L:$L,"НЕ уражено"))</f>
        <v/>
      </c>
    </row>
    <row r="340">
      <c r="A340" s="273">
        <f>IF(A339="","",IF(A339+1&gt;MAX('Таблиця 1'!$B:$B),"",A339+1))</f>
        <v/>
      </c>
      <c r="B340">
        <f>IF($A340="","",COUNTIFS('Таблиця 1'!$B:$B,$A340,'Таблиця 1'!$I:$I,"Mi-8")+COUNTIFS('Таблиця 1'!$B:$B,$A340,'Таблиця 1'!$I:$I,"Mi-24"))</f>
        <v/>
      </c>
      <c r="C340">
        <f>IF($A340="","",COUNTIFS('Таблиця 1'!$B:$B,$A340,'Таблиця 1'!$I:$I,"Mi-8"))</f>
        <v/>
      </c>
      <c r="D340">
        <f>IF($A340="","",COUNTIFS('Таблиця 1'!$B:$B,$A340,'Таблиця 1'!$I:$I,"Mi-24"))</f>
        <v/>
      </c>
      <c r="E340">
        <f>IF($A340="","",SUMIFS('Таблиця 1'!$K:$K,'Таблиця 1'!$B:$B,$A340,'Таблиця 1'!$I:$I,"Mi-8",'Таблиця 1'!$J:$J,"ARS-8")+SUMIFS('Таблиця 1'!$K:$K,'Таблиця 1'!$B:$B,$A340,'Таблиця 1'!$I:$I,"Mi-24",'Таблиця 1'!$J:$J,"ARS-8"))</f>
        <v/>
      </c>
      <c r="F340">
        <f>IF($A340="","",SUMIFS('Таблиця 1'!$K:$K,'Таблиця 1'!$B:$B,$A340,'Таблиця 1'!$I:$I,"Mi-8",'Таблиця 1'!$J:$J,"С-8 ком")+SUMIFS('Таблиця 1'!$K:$K,'Таблиця 1'!$B:$B,$A340,'Таблиця 1'!$I:$I,"Mi-24",'Таблиця 1'!$J:$J,"С-8 ком"))</f>
        <v/>
      </c>
      <c r="G340">
        <f>IF($A340="","",SUMIFS('Таблиця 1'!$K:$K,'Таблиця 1'!$B:$B,$A340,'Таблиця 1'!$I:$I,"Mi-8",'Таблиця 1'!$J:$J,"PC-80")+SUMIFS('Таблиця 1'!$K:$K,'Таблиця 1'!$B:$B,$A340,'Таблиця 1'!$I:$I,"Mi-24",'Таблиця 1'!$J:$J,"PC-80"))</f>
        <v/>
      </c>
      <c r="H340">
        <f>IF($A340="","",SUMIFS('Таблиця 1'!$K:$K,'Таблиця 1'!$B:$B,$A340,'Таблиця 1'!$I:$I,"Mi-8",'Таблиця 1'!$J:$J,"UAR-80")+SUMIFS('Таблиця 1'!$K:$K,'Таблиця 1'!$B:$B,$A340,'Таблиця 1'!$I:$I,"Mi-24",'Таблиця 1'!$J:$J,"UAR-80"))</f>
        <v/>
      </c>
      <c r="I340">
        <f>IF($A340="","",SUMIFS('Таблиця 1'!$K:$K,'Таблиця 1'!$B:$B,$A340,'Таблиця 1'!$I:$I,"Mi-8",'Таблиця 1'!$J:$J,"C-13")+SUMIFS('Таблиця 1'!$K:$K,'Таблиця 1'!$B:$B,$A340,'Таблиця 1'!$I:$I,"Mi-24",'Таблиця 1'!$J:$J,"C-13"))</f>
        <v/>
      </c>
      <c r="J340">
        <f>IF($A340="","",SUMIFS('Таблиця 1'!$K:$K,'Таблиця 1'!$B:$B,$A340,'Таблиця 1'!$I:$I,"Mi-8",'Таблиця 1'!$J:$J,"Hydra-70")+SUMIFS('Таблиця 1'!$K:$K,'Таблиця 1'!$B:$B,$A340,'Таблиця 1'!$I:$I,"Mi-24",'Таблиця 1'!$J:$J,"Hydra-70"))</f>
        <v/>
      </c>
      <c r="K340">
        <f>IF($A340="","",SUMIFS('Таблиця 1'!$K:$K,'Таблиця 1'!$B:$B,$A340,'Таблиця 1'!$I:$I,"Mi-8",'Таблиця 1'!$J:$J,"Thales-70")+SUMIFS('Таблиця 1'!$K:$K,'Таблиця 1'!$B:$B,$A340,'Таблиця 1'!$I:$I,"Mi-24",'Таблиця 1'!$J:$J,"Thales-70"))</f>
        <v/>
      </c>
      <c r="L340">
        <f>IF($A340="","",SUMIFS('Таблиця 1'!$K:$K,'Таблиця 1'!$B:$B,$A340,'Таблиця 1'!$I:$I,"Mi-8",'Таблиця 1'!$J:$J,"Thales-FZ")+SUMIFS('Таблиця 1'!$K:$K,'Таблиця 1'!$B:$B,$A340,'Таблиця 1'!$I:$I,"Mi-24",'Таблиця 1'!$J:$J,"Thales-FZ"))</f>
        <v/>
      </c>
      <c r="M340">
        <f>IF($A340="","",SUMIFS('Таблиця 1'!$K:$K,'Таблиця 1'!$B:$B,$A340,'Таблиця 1'!$I:$I,"Mi-8",'Таблиця 1'!$J:$J,"МК-40")+SUMIFS('Таблиця 1'!$K:$K,'Таблиця 1'!$B:$B,$A340,'Таблиця 1'!$I:$I,"Mi-24",'Таблиця 1'!$J:$J,"МК-40"))</f>
        <v/>
      </c>
      <c r="N340">
        <f>IF($A340="","",SUMIFS('Таблиця 1'!$K:$K,'Таблиця 1'!$B:$B,$A340,'Таблиця 1'!$I:$I,"Mi-8",'Таблиця 1'!$J:$J,"Zuni")+SUMIFS('Таблиця 1'!$K:$K,'Таблиця 1'!$B:$B,$A340,'Таблиця 1'!$I:$I,"Mi-24",'Таблиця 1'!$J:$J,"Zuni"))</f>
        <v/>
      </c>
      <c r="O340">
        <f>IF($A340="","",COUNTIFS('Таблиця 1'!$B:$B,$A340,'Таблиця 1'!$I:$I,"Mi-8",'Таблиця 1'!$L:$L,"Уражено")+COUNTIFS('Таблиця 1'!$B:$B,$A340,'Таблиця 1'!$I:$I,"Mi-24",'Таблиця 1'!$L:$L,"Уражено"))</f>
        <v/>
      </c>
      <c r="P340">
        <f>IF($A340="","",COUNTIFS('Таблиця 1'!$B:$B,$A340,'Таблиця 1'!$I:$I,"Mi-8",'Таблиця 1'!$L:$L,"НЕ уражено")+COUNTIFS('Таблиця 1'!$B:$B,$A340,'Таблиця 1'!$I:$I,"Mi-24",'Таблиця 1'!$L:$L,"НЕ уражено"))</f>
        <v/>
      </c>
    </row>
    <row r="341">
      <c r="A341" s="273">
        <f>IF(A340="","",IF(A340+1&gt;MAX('Таблиця 1'!$B:$B),"",A340+1))</f>
        <v/>
      </c>
      <c r="B341">
        <f>IF($A341="","",COUNTIFS('Таблиця 1'!$B:$B,$A341,'Таблиця 1'!$I:$I,"Mi-8")+COUNTIFS('Таблиця 1'!$B:$B,$A341,'Таблиця 1'!$I:$I,"Mi-24"))</f>
        <v/>
      </c>
      <c r="C341">
        <f>IF($A341="","",COUNTIFS('Таблиця 1'!$B:$B,$A341,'Таблиця 1'!$I:$I,"Mi-8"))</f>
        <v/>
      </c>
      <c r="D341">
        <f>IF($A341="","",COUNTIFS('Таблиця 1'!$B:$B,$A341,'Таблиця 1'!$I:$I,"Mi-24"))</f>
        <v/>
      </c>
      <c r="E341">
        <f>IF($A341="","",SUMIFS('Таблиця 1'!$K:$K,'Таблиця 1'!$B:$B,$A341,'Таблиця 1'!$I:$I,"Mi-8",'Таблиця 1'!$J:$J,"ARS-8")+SUMIFS('Таблиця 1'!$K:$K,'Таблиця 1'!$B:$B,$A341,'Таблиця 1'!$I:$I,"Mi-24",'Таблиця 1'!$J:$J,"ARS-8"))</f>
        <v/>
      </c>
      <c r="F341">
        <f>IF($A341="","",SUMIFS('Таблиця 1'!$K:$K,'Таблиця 1'!$B:$B,$A341,'Таблиця 1'!$I:$I,"Mi-8",'Таблиця 1'!$J:$J,"С-8 ком")+SUMIFS('Таблиця 1'!$K:$K,'Таблиця 1'!$B:$B,$A341,'Таблиця 1'!$I:$I,"Mi-24",'Таблиця 1'!$J:$J,"С-8 ком"))</f>
        <v/>
      </c>
      <c r="G341">
        <f>IF($A341="","",SUMIFS('Таблиця 1'!$K:$K,'Таблиця 1'!$B:$B,$A341,'Таблиця 1'!$I:$I,"Mi-8",'Таблиця 1'!$J:$J,"PC-80")+SUMIFS('Таблиця 1'!$K:$K,'Таблиця 1'!$B:$B,$A341,'Таблиця 1'!$I:$I,"Mi-24",'Таблиця 1'!$J:$J,"PC-80"))</f>
        <v/>
      </c>
      <c r="H341">
        <f>IF($A341="","",SUMIFS('Таблиця 1'!$K:$K,'Таблиця 1'!$B:$B,$A341,'Таблиця 1'!$I:$I,"Mi-8",'Таблиця 1'!$J:$J,"UAR-80")+SUMIFS('Таблиця 1'!$K:$K,'Таблиця 1'!$B:$B,$A341,'Таблиця 1'!$I:$I,"Mi-24",'Таблиця 1'!$J:$J,"UAR-80"))</f>
        <v/>
      </c>
      <c r="I341">
        <f>IF($A341="","",SUMIFS('Таблиця 1'!$K:$K,'Таблиця 1'!$B:$B,$A341,'Таблиця 1'!$I:$I,"Mi-8",'Таблиця 1'!$J:$J,"C-13")+SUMIFS('Таблиця 1'!$K:$K,'Таблиця 1'!$B:$B,$A341,'Таблиця 1'!$I:$I,"Mi-24",'Таблиця 1'!$J:$J,"C-13"))</f>
        <v/>
      </c>
      <c r="J341">
        <f>IF($A341="","",SUMIFS('Таблиця 1'!$K:$K,'Таблиця 1'!$B:$B,$A341,'Таблиця 1'!$I:$I,"Mi-8",'Таблиця 1'!$J:$J,"Hydra-70")+SUMIFS('Таблиця 1'!$K:$K,'Таблиця 1'!$B:$B,$A341,'Таблиця 1'!$I:$I,"Mi-24",'Таблиця 1'!$J:$J,"Hydra-70"))</f>
        <v/>
      </c>
      <c r="K341">
        <f>IF($A341="","",SUMIFS('Таблиця 1'!$K:$K,'Таблиця 1'!$B:$B,$A341,'Таблиця 1'!$I:$I,"Mi-8",'Таблиця 1'!$J:$J,"Thales-70")+SUMIFS('Таблиця 1'!$K:$K,'Таблиця 1'!$B:$B,$A341,'Таблиця 1'!$I:$I,"Mi-24",'Таблиця 1'!$J:$J,"Thales-70"))</f>
        <v/>
      </c>
      <c r="L341">
        <f>IF($A341="","",SUMIFS('Таблиця 1'!$K:$K,'Таблиця 1'!$B:$B,$A341,'Таблиця 1'!$I:$I,"Mi-8",'Таблиця 1'!$J:$J,"Thales-FZ")+SUMIFS('Таблиця 1'!$K:$K,'Таблиця 1'!$B:$B,$A341,'Таблиця 1'!$I:$I,"Mi-24",'Таблиця 1'!$J:$J,"Thales-FZ"))</f>
        <v/>
      </c>
      <c r="M341">
        <f>IF($A341="","",SUMIFS('Таблиця 1'!$K:$K,'Таблиця 1'!$B:$B,$A341,'Таблиця 1'!$I:$I,"Mi-8",'Таблиця 1'!$J:$J,"МК-40")+SUMIFS('Таблиця 1'!$K:$K,'Таблиця 1'!$B:$B,$A341,'Таблиця 1'!$I:$I,"Mi-24",'Таблиця 1'!$J:$J,"МК-40"))</f>
        <v/>
      </c>
      <c r="N341">
        <f>IF($A341="","",SUMIFS('Таблиця 1'!$K:$K,'Таблиця 1'!$B:$B,$A341,'Таблиця 1'!$I:$I,"Mi-8",'Таблиця 1'!$J:$J,"Zuni")+SUMIFS('Таблиця 1'!$K:$K,'Таблиця 1'!$B:$B,$A341,'Таблиця 1'!$I:$I,"Mi-24",'Таблиця 1'!$J:$J,"Zuni"))</f>
        <v/>
      </c>
      <c r="O341">
        <f>IF($A341="","",COUNTIFS('Таблиця 1'!$B:$B,$A341,'Таблиця 1'!$I:$I,"Mi-8",'Таблиця 1'!$L:$L,"Уражено")+COUNTIFS('Таблиця 1'!$B:$B,$A341,'Таблиця 1'!$I:$I,"Mi-24",'Таблиця 1'!$L:$L,"Уражено"))</f>
        <v/>
      </c>
      <c r="P341">
        <f>IF($A341="","",COUNTIFS('Таблиця 1'!$B:$B,$A341,'Таблиця 1'!$I:$I,"Mi-8",'Таблиця 1'!$L:$L,"НЕ уражено")+COUNTIFS('Таблиця 1'!$B:$B,$A341,'Таблиця 1'!$I:$I,"Mi-24",'Таблиця 1'!$L:$L,"НЕ уражено"))</f>
        <v/>
      </c>
    </row>
    <row r="342">
      <c r="A342" s="273">
        <f>IF(A341="","",IF(A341+1&gt;MAX('Таблиця 1'!$B:$B),"",A341+1))</f>
        <v/>
      </c>
      <c r="B342">
        <f>IF($A342="","",COUNTIFS('Таблиця 1'!$B:$B,$A342,'Таблиця 1'!$I:$I,"Mi-8")+COUNTIFS('Таблиця 1'!$B:$B,$A342,'Таблиця 1'!$I:$I,"Mi-24"))</f>
        <v/>
      </c>
      <c r="C342">
        <f>IF($A342="","",COUNTIFS('Таблиця 1'!$B:$B,$A342,'Таблиця 1'!$I:$I,"Mi-8"))</f>
        <v/>
      </c>
      <c r="D342">
        <f>IF($A342="","",COUNTIFS('Таблиця 1'!$B:$B,$A342,'Таблиця 1'!$I:$I,"Mi-24"))</f>
        <v/>
      </c>
      <c r="E342">
        <f>IF($A342="","",SUMIFS('Таблиця 1'!$K:$K,'Таблиця 1'!$B:$B,$A342,'Таблиця 1'!$I:$I,"Mi-8",'Таблиця 1'!$J:$J,"ARS-8")+SUMIFS('Таблиця 1'!$K:$K,'Таблиця 1'!$B:$B,$A342,'Таблиця 1'!$I:$I,"Mi-24",'Таблиця 1'!$J:$J,"ARS-8"))</f>
        <v/>
      </c>
      <c r="F342">
        <f>IF($A342="","",SUMIFS('Таблиця 1'!$K:$K,'Таблиця 1'!$B:$B,$A342,'Таблиця 1'!$I:$I,"Mi-8",'Таблиця 1'!$J:$J,"С-8 ком")+SUMIFS('Таблиця 1'!$K:$K,'Таблиця 1'!$B:$B,$A342,'Таблиця 1'!$I:$I,"Mi-24",'Таблиця 1'!$J:$J,"С-8 ком"))</f>
        <v/>
      </c>
      <c r="G342">
        <f>IF($A342="","",SUMIFS('Таблиця 1'!$K:$K,'Таблиця 1'!$B:$B,$A342,'Таблиця 1'!$I:$I,"Mi-8",'Таблиця 1'!$J:$J,"PC-80")+SUMIFS('Таблиця 1'!$K:$K,'Таблиця 1'!$B:$B,$A342,'Таблиця 1'!$I:$I,"Mi-24",'Таблиця 1'!$J:$J,"PC-80"))</f>
        <v/>
      </c>
      <c r="H342">
        <f>IF($A342="","",SUMIFS('Таблиця 1'!$K:$K,'Таблиця 1'!$B:$B,$A342,'Таблиця 1'!$I:$I,"Mi-8",'Таблиця 1'!$J:$J,"UAR-80")+SUMIFS('Таблиця 1'!$K:$K,'Таблиця 1'!$B:$B,$A342,'Таблиця 1'!$I:$I,"Mi-24",'Таблиця 1'!$J:$J,"UAR-80"))</f>
        <v/>
      </c>
      <c r="I342">
        <f>IF($A342="","",SUMIFS('Таблиця 1'!$K:$K,'Таблиця 1'!$B:$B,$A342,'Таблиця 1'!$I:$I,"Mi-8",'Таблиця 1'!$J:$J,"C-13")+SUMIFS('Таблиця 1'!$K:$K,'Таблиця 1'!$B:$B,$A342,'Таблиця 1'!$I:$I,"Mi-24",'Таблиця 1'!$J:$J,"C-13"))</f>
        <v/>
      </c>
      <c r="J342">
        <f>IF($A342="","",SUMIFS('Таблиця 1'!$K:$K,'Таблиця 1'!$B:$B,$A342,'Таблиця 1'!$I:$I,"Mi-8",'Таблиця 1'!$J:$J,"Hydra-70")+SUMIFS('Таблиця 1'!$K:$K,'Таблиця 1'!$B:$B,$A342,'Таблиця 1'!$I:$I,"Mi-24",'Таблиця 1'!$J:$J,"Hydra-70"))</f>
        <v/>
      </c>
      <c r="K342">
        <f>IF($A342="","",SUMIFS('Таблиця 1'!$K:$K,'Таблиця 1'!$B:$B,$A342,'Таблиця 1'!$I:$I,"Mi-8",'Таблиця 1'!$J:$J,"Thales-70")+SUMIFS('Таблиця 1'!$K:$K,'Таблиця 1'!$B:$B,$A342,'Таблиця 1'!$I:$I,"Mi-24",'Таблиця 1'!$J:$J,"Thales-70"))</f>
        <v/>
      </c>
      <c r="L342">
        <f>IF($A342="","",SUMIFS('Таблиця 1'!$K:$K,'Таблиця 1'!$B:$B,$A342,'Таблиця 1'!$I:$I,"Mi-8",'Таблиця 1'!$J:$J,"Thales-FZ")+SUMIFS('Таблиця 1'!$K:$K,'Таблиця 1'!$B:$B,$A342,'Таблиця 1'!$I:$I,"Mi-24",'Таблиця 1'!$J:$J,"Thales-FZ"))</f>
        <v/>
      </c>
      <c r="M342">
        <f>IF($A342="","",SUMIFS('Таблиця 1'!$K:$K,'Таблиця 1'!$B:$B,$A342,'Таблиця 1'!$I:$I,"Mi-8",'Таблиця 1'!$J:$J,"МК-40")+SUMIFS('Таблиця 1'!$K:$K,'Таблиця 1'!$B:$B,$A342,'Таблиця 1'!$I:$I,"Mi-24",'Таблиця 1'!$J:$J,"МК-40"))</f>
        <v/>
      </c>
      <c r="N342">
        <f>IF($A342="","",SUMIFS('Таблиця 1'!$K:$K,'Таблиця 1'!$B:$B,$A342,'Таблиця 1'!$I:$I,"Mi-8",'Таблиця 1'!$J:$J,"Zuni")+SUMIFS('Таблиця 1'!$K:$K,'Таблиця 1'!$B:$B,$A342,'Таблиця 1'!$I:$I,"Mi-24",'Таблиця 1'!$J:$J,"Zuni"))</f>
        <v/>
      </c>
      <c r="O342">
        <f>IF($A342="","",COUNTIFS('Таблиця 1'!$B:$B,$A342,'Таблиця 1'!$I:$I,"Mi-8",'Таблиця 1'!$L:$L,"Уражено")+COUNTIFS('Таблиця 1'!$B:$B,$A342,'Таблиця 1'!$I:$I,"Mi-24",'Таблиця 1'!$L:$L,"Уражено"))</f>
        <v/>
      </c>
      <c r="P342">
        <f>IF($A342="","",COUNTIFS('Таблиця 1'!$B:$B,$A342,'Таблиця 1'!$I:$I,"Mi-8",'Таблиця 1'!$L:$L,"НЕ уражено")+COUNTIFS('Таблиця 1'!$B:$B,$A342,'Таблиця 1'!$I:$I,"Mi-24",'Таблиця 1'!$L:$L,"НЕ уражено"))</f>
        <v/>
      </c>
    </row>
    <row r="343">
      <c r="A343" s="273">
        <f>IF(A342="","",IF(A342+1&gt;MAX('Таблиця 1'!$B:$B),"",A342+1))</f>
        <v/>
      </c>
      <c r="B343">
        <f>IF($A343="","",COUNTIFS('Таблиця 1'!$B:$B,$A343,'Таблиця 1'!$I:$I,"Mi-8")+COUNTIFS('Таблиця 1'!$B:$B,$A343,'Таблиця 1'!$I:$I,"Mi-24"))</f>
        <v/>
      </c>
      <c r="C343">
        <f>IF($A343="","",COUNTIFS('Таблиця 1'!$B:$B,$A343,'Таблиця 1'!$I:$I,"Mi-8"))</f>
        <v/>
      </c>
      <c r="D343">
        <f>IF($A343="","",COUNTIFS('Таблиця 1'!$B:$B,$A343,'Таблиця 1'!$I:$I,"Mi-24"))</f>
        <v/>
      </c>
      <c r="E343">
        <f>IF($A343="","",SUMIFS('Таблиця 1'!$K:$K,'Таблиця 1'!$B:$B,$A343,'Таблиця 1'!$I:$I,"Mi-8",'Таблиця 1'!$J:$J,"ARS-8")+SUMIFS('Таблиця 1'!$K:$K,'Таблиця 1'!$B:$B,$A343,'Таблиця 1'!$I:$I,"Mi-24",'Таблиця 1'!$J:$J,"ARS-8"))</f>
        <v/>
      </c>
      <c r="F343">
        <f>IF($A343="","",SUMIFS('Таблиця 1'!$K:$K,'Таблиця 1'!$B:$B,$A343,'Таблиця 1'!$I:$I,"Mi-8",'Таблиця 1'!$J:$J,"С-8 ком")+SUMIFS('Таблиця 1'!$K:$K,'Таблиця 1'!$B:$B,$A343,'Таблиця 1'!$I:$I,"Mi-24",'Таблиця 1'!$J:$J,"С-8 ком"))</f>
        <v/>
      </c>
      <c r="G343">
        <f>IF($A343="","",SUMIFS('Таблиця 1'!$K:$K,'Таблиця 1'!$B:$B,$A343,'Таблиця 1'!$I:$I,"Mi-8",'Таблиця 1'!$J:$J,"PC-80")+SUMIFS('Таблиця 1'!$K:$K,'Таблиця 1'!$B:$B,$A343,'Таблиця 1'!$I:$I,"Mi-24",'Таблиця 1'!$J:$J,"PC-80"))</f>
        <v/>
      </c>
      <c r="H343">
        <f>IF($A343="","",SUMIFS('Таблиця 1'!$K:$K,'Таблиця 1'!$B:$B,$A343,'Таблиця 1'!$I:$I,"Mi-8",'Таблиця 1'!$J:$J,"UAR-80")+SUMIFS('Таблиця 1'!$K:$K,'Таблиця 1'!$B:$B,$A343,'Таблиця 1'!$I:$I,"Mi-24",'Таблиця 1'!$J:$J,"UAR-80"))</f>
        <v/>
      </c>
      <c r="I343">
        <f>IF($A343="","",SUMIFS('Таблиця 1'!$K:$K,'Таблиця 1'!$B:$B,$A343,'Таблиця 1'!$I:$I,"Mi-8",'Таблиця 1'!$J:$J,"C-13")+SUMIFS('Таблиця 1'!$K:$K,'Таблиця 1'!$B:$B,$A343,'Таблиця 1'!$I:$I,"Mi-24",'Таблиця 1'!$J:$J,"C-13"))</f>
        <v/>
      </c>
      <c r="J343">
        <f>IF($A343="","",SUMIFS('Таблиця 1'!$K:$K,'Таблиця 1'!$B:$B,$A343,'Таблиця 1'!$I:$I,"Mi-8",'Таблиця 1'!$J:$J,"Hydra-70")+SUMIFS('Таблиця 1'!$K:$K,'Таблиця 1'!$B:$B,$A343,'Таблиця 1'!$I:$I,"Mi-24",'Таблиця 1'!$J:$J,"Hydra-70"))</f>
        <v/>
      </c>
      <c r="K343">
        <f>IF($A343="","",SUMIFS('Таблиця 1'!$K:$K,'Таблиця 1'!$B:$B,$A343,'Таблиця 1'!$I:$I,"Mi-8",'Таблиця 1'!$J:$J,"Thales-70")+SUMIFS('Таблиця 1'!$K:$K,'Таблиця 1'!$B:$B,$A343,'Таблиця 1'!$I:$I,"Mi-24",'Таблиця 1'!$J:$J,"Thales-70"))</f>
        <v/>
      </c>
      <c r="L343">
        <f>IF($A343="","",SUMIFS('Таблиця 1'!$K:$K,'Таблиця 1'!$B:$B,$A343,'Таблиця 1'!$I:$I,"Mi-8",'Таблиця 1'!$J:$J,"Thales-FZ")+SUMIFS('Таблиця 1'!$K:$K,'Таблиця 1'!$B:$B,$A343,'Таблиця 1'!$I:$I,"Mi-24",'Таблиця 1'!$J:$J,"Thales-FZ"))</f>
        <v/>
      </c>
      <c r="M343">
        <f>IF($A343="","",SUMIFS('Таблиця 1'!$K:$K,'Таблиця 1'!$B:$B,$A343,'Таблиця 1'!$I:$I,"Mi-8",'Таблиця 1'!$J:$J,"МК-40")+SUMIFS('Таблиця 1'!$K:$K,'Таблиця 1'!$B:$B,$A343,'Таблиця 1'!$I:$I,"Mi-24",'Таблиця 1'!$J:$J,"МК-40"))</f>
        <v/>
      </c>
      <c r="N343">
        <f>IF($A343="","",SUMIFS('Таблиця 1'!$K:$K,'Таблиця 1'!$B:$B,$A343,'Таблиця 1'!$I:$I,"Mi-8",'Таблиця 1'!$J:$J,"Zuni")+SUMIFS('Таблиця 1'!$K:$K,'Таблиця 1'!$B:$B,$A343,'Таблиця 1'!$I:$I,"Mi-24",'Таблиця 1'!$J:$J,"Zuni"))</f>
        <v/>
      </c>
      <c r="O343">
        <f>IF($A343="","",COUNTIFS('Таблиця 1'!$B:$B,$A343,'Таблиця 1'!$I:$I,"Mi-8",'Таблиця 1'!$L:$L,"Уражено")+COUNTIFS('Таблиця 1'!$B:$B,$A343,'Таблиця 1'!$I:$I,"Mi-24",'Таблиця 1'!$L:$L,"Уражено"))</f>
        <v/>
      </c>
      <c r="P343">
        <f>IF($A343="","",COUNTIFS('Таблиця 1'!$B:$B,$A343,'Таблиця 1'!$I:$I,"Mi-8",'Таблиця 1'!$L:$L,"НЕ уражено")+COUNTIFS('Таблиця 1'!$B:$B,$A343,'Таблиця 1'!$I:$I,"Mi-24",'Таблиця 1'!$L:$L,"НЕ уражено"))</f>
        <v/>
      </c>
    </row>
    <row r="344">
      <c r="A344" s="273">
        <f>IF(A343="","",IF(A343+1&gt;MAX('Таблиця 1'!$B:$B),"",A343+1))</f>
        <v/>
      </c>
      <c r="B344">
        <f>IF($A344="","",COUNTIFS('Таблиця 1'!$B:$B,$A344,'Таблиця 1'!$I:$I,"Mi-8")+COUNTIFS('Таблиця 1'!$B:$B,$A344,'Таблиця 1'!$I:$I,"Mi-24"))</f>
        <v/>
      </c>
      <c r="C344">
        <f>IF($A344="","",COUNTIFS('Таблиця 1'!$B:$B,$A344,'Таблиця 1'!$I:$I,"Mi-8"))</f>
        <v/>
      </c>
      <c r="D344">
        <f>IF($A344="","",COUNTIFS('Таблиця 1'!$B:$B,$A344,'Таблиця 1'!$I:$I,"Mi-24"))</f>
        <v/>
      </c>
      <c r="E344">
        <f>IF($A344="","",SUMIFS('Таблиця 1'!$K:$K,'Таблиця 1'!$B:$B,$A344,'Таблиця 1'!$I:$I,"Mi-8",'Таблиця 1'!$J:$J,"ARS-8")+SUMIFS('Таблиця 1'!$K:$K,'Таблиця 1'!$B:$B,$A344,'Таблиця 1'!$I:$I,"Mi-24",'Таблиця 1'!$J:$J,"ARS-8"))</f>
        <v/>
      </c>
      <c r="F344">
        <f>IF($A344="","",SUMIFS('Таблиця 1'!$K:$K,'Таблиця 1'!$B:$B,$A344,'Таблиця 1'!$I:$I,"Mi-8",'Таблиця 1'!$J:$J,"С-8 ком")+SUMIFS('Таблиця 1'!$K:$K,'Таблиця 1'!$B:$B,$A344,'Таблиця 1'!$I:$I,"Mi-24",'Таблиця 1'!$J:$J,"С-8 ком"))</f>
        <v/>
      </c>
      <c r="G344">
        <f>IF($A344="","",SUMIFS('Таблиця 1'!$K:$K,'Таблиця 1'!$B:$B,$A344,'Таблиця 1'!$I:$I,"Mi-8",'Таблиця 1'!$J:$J,"PC-80")+SUMIFS('Таблиця 1'!$K:$K,'Таблиця 1'!$B:$B,$A344,'Таблиця 1'!$I:$I,"Mi-24",'Таблиця 1'!$J:$J,"PC-80"))</f>
        <v/>
      </c>
      <c r="H344">
        <f>IF($A344="","",SUMIFS('Таблиця 1'!$K:$K,'Таблиця 1'!$B:$B,$A344,'Таблиця 1'!$I:$I,"Mi-8",'Таблиця 1'!$J:$J,"UAR-80")+SUMIFS('Таблиця 1'!$K:$K,'Таблиця 1'!$B:$B,$A344,'Таблиця 1'!$I:$I,"Mi-24",'Таблиця 1'!$J:$J,"UAR-80"))</f>
        <v/>
      </c>
      <c r="I344">
        <f>IF($A344="","",SUMIFS('Таблиця 1'!$K:$K,'Таблиця 1'!$B:$B,$A344,'Таблиця 1'!$I:$I,"Mi-8",'Таблиця 1'!$J:$J,"C-13")+SUMIFS('Таблиця 1'!$K:$K,'Таблиця 1'!$B:$B,$A344,'Таблиця 1'!$I:$I,"Mi-24",'Таблиця 1'!$J:$J,"C-13"))</f>
        <v/>
      </c>
      <c r="J344">
        <f>IF($A344="","",SUMIFS('Таблиця 1'!$K:$K,'Таблиця 1'!$B:$B,$A344,'Таблиця 1'!$I:$I,"Mi-8",'Таблиця 1'!$J:$J,"Hydra-70")+SUMIFS('Таблиця 1'!$K:$K,'Таблиця 1'!$B:$B,$A344,'Таблиця 1'!$I:$I,"Mi-24",'Таблиця 1'!$J:$J,"Hydra-70"))</f>
        <v/>
      </c>
      <c r="K344">
        <f>IF($A344="","",SUMIFS('Таблиця 1'!$K:$K,'Таблиця 1'!$B:$B,$A344,'Таблиця 1'!$I:$I,"Mi-8",'Таблиця 1'!$J:$J,"Thales-70")+SUMIFS('Таблиця 1'!$K:$K,'Таблиця 1'!$B:$B,$A344,'Таблиця 1'!$I:$I,"Mi-24",'Таблиця 1'!$J:$J,"Thales-70"))</f>
        <v/>
      </c>
      <c r="L344">
        <f>IF($A344="","",SUMIFS('Таблиця 1'!$K:$K,'Таблиця 1'!$B:$B,$A344,'Таблиця 1'!$I:$I,"Mi-8",'Таблиця 1'!$J:$J,"Thales-FZ")+SUMIFS('Таблиця 1'!$K:$K,'Таблиця 1'!$B:$B,$A344,'Таблиця 1'!$I:$I,"Mi-24",'Таблиця 1'!$J:$J,"Thales-FZ"))</f>
        <v/>
      </c>
      <c r="M344">
        <f>IF($A344="","",SUMIFS('Таблиця 1'!$K:$K,'Таблиця 1'!$B:$B,$A344,'Таблиця 1'!$I:$I,"Mi-8",'Таблиця 1'!$J:$J,"МК-40")+SUMIFS('Таблиця 1'!$K:$K,'Таблиця 1'!$B:$B,$A344,'Таблиця 1'!$I:$I,"Mi-24",'Таблиця 1'!$J:$J,"МК-40"))</f>
        <v/>
      </c>
      <c r="N344">
        <f>IF($A344="","",SUMIFS('Таблиця 1'!$K:$K,'Таблиця 1'!$B:$B,$A344,'Таблиця 1'!$I:$I,"Mi-8",'Таблиця 1'!$J:$J,"Zuni")+SUMIFS('Таблиця 1'!$K:$K,'Таблиця 1'!$B:$B,$A344,'Таблиця 1'!$I:$I,"Mi-24",'Таблиця 1'!$J:$J,"Zuni"))</f>
        <v/>
      </c>
      <c r="O344">
        <f>IF($A344="","",COUNTIFS('Таблиця 1'!$B:$B,$A344,'Таблиця 1'!$I:$I,"Mi-8",'Таблиця 1'!$L:$L,"Уражено")+COUNTIFS('Таблиця 1'!$B:$B,$A344,'Таблиця 1'!$I:$I,"Mi-24",'Таблиця 1'!$L:$L,"Уражено"))</f>
        <v/>
      </c>
      <c r="P344">
        <f>IF($A344="","",COUNTIFS('Таблиця 1'!$B:$B,$A344,'Таблиця 1'!$I:$I,"Mi-8",'Таблиця 1'!$L:$L,"НЕ уражено")+COUNTIFS('Таблиця 1'!$B:$B,$A344,'Таблиця 1'!$I:$I,"Mi-24",'Таблиця 1'!$L:$L,"НЕ уражено"))</f>
        <v/>
      </c>
    </row>
    <row r="345">
      <c r="A345" s="273">
        <f>IF(A344="","",IF(A344+1&gt;MAX('Таблиця 1'!$B:$B),"",A344+1))</f>
        <v/>
      </c>
      <c r="B345">
        <f>IF($A345="","",COUNTIFS('Таблиця 1'!$B:$B,$A345,'Таблиця 1'!$I:$I,"Mi-8")+COUNTIFS('Таблиця 1'!$B:$B,$A345,'Таблиця 1'!$I:$I,"Mi-24"))</f>
        <v/>
      </c>
      <c r="C345">
        <f>IF($A345="","",COUNTIFS('Таблиця 1'!$B:$B,$A345,'Таблиця 1'!$I:$I,"Mi-8"))</f>
        <v/>
      </c>
      <c r="D345">
        <f>IF($A345="","",COUNTIFS('Таблиця 1'!$B:$B,$A345,'Таблиця 1'!$I:$I,"Mi-24"))</f>
        <v/>
      </c>
      <c r="E345">
        <f>IF($A345="","",SUMIFS('Таблиця 1'!$K:$K,'Таблиця 1'!$B:$B,$A345,'Таблиця 1'!$I:$I,"Mi-8",'Таблиця 1'!$J:$J,"ARS-8")+SUMIFS('Таблиця 1'!$K:$K,'Таблиця 1'!$B:$B,$A345,'Таблиця 1'!$I:$I,"Mi-24",'Таблиця 1'!$J:$J,"ARS-8"))</f>
        <v/>
      </c>
      <c r="F345">
        <f>IF($A345="","",SUMIFS('Таблиця 1'!$K:$K,'Таблиця 1'!$B:$B,$A345,'Таблиця 1'!$I:$I,"Mi-8",'Таблиця 1'!$J:$J,"С-8 ком")+SUMIFS('Таблиця 1'!$K:$K,'Таблиця 1'!$B:$B,$A345,'Таблиця 1'!$I:$I,"Mi-24",'Таблиця 1'!$J:$J,"С-8 ком"))</f>
        <v/>
      </c>
      <c r="G345">
        <f>IF($A345="","",SUMIFS('Таблиця 1'!$K:$K,'Таблиця 1'!$B:$B,$A345,'Таблиця 1'!$I:$I,"Mi-8",'Таблиця 1'!$J:$J,"PC-80")+SUMIFS('Таблиця 1'!$K:$K,'Таблиця 1'!$B:$B,$A345,'Таблиця 1'!$I:$I,"Mi-24",'Таблиця 1'!$J:$J,"PC-80"))</f>
        <v/>
      </c>
      <c r="H345">
        <f>IF($A345="","",SUMIFS('Таблиця 1'!$K:$K,'Таблиця 1'!$B:$B,$A345,'Таблиця 1'!$I:$I,"Mi-8",'Таблиця 1'!$J:$J,"UAR-80")+SUMIFS('Таблиця 1'!$K:$K,'Таблиця 1'!$B:$B,$A345,'Таблиця 1'!$I:$I,"Mi-24",'Таблиця 1'!$J:$J,"UAR-80"))</f>
        <v/>
      </c>
      <c r="I345">
        <f>IF($A345="","",SUMIFS('Таблиця 1'!$K:$K,'Таблиця 1'!$B:$B,$A345,'Таблиця 1'!$I:$I,"Mi-8",'Таблиця 1'!$J:$J,"C-13")+SUMIFS('Таблиця 1'!$K:$K,'Таблиця 1'!$B:$B,$A345,'Таблиця 1'!$I:$I,"Mi-24",'Таблиця 1'!$J:$J,"C-13"))</f>
        <v/>
      </c>
      <c r="J345">
        <f>IF($A345="","",SUMIFS('Таблиця 1'!$K:$K,'Таблиця 1'!$B:$B,$A345,'Таблиця 1'!$I:$I,"Mi-8",'Таблиця 1'!$J:$J,"Hydra-70")+SUMIFS('Таблиця 1'!$K:$K,'Таблиця 1'!$B:$B,$A345,'Таблиця 1'!$I:$I,"Mi-24",'Таблиця 1'!$J:$J,"Hydra-70"))</f>
        <v/>
      </c>
      <c r="K345">
        <f>IF($A345="","",SUMIFS('Таблиця 1'!$K:$K,'Таблиця 1'!$B:$B,$A345,'Таблиця 1'!$I:$I,"Mi-8",'Таблиця 1'!$J:$J,"Thales-70")+SUMIFS('Таблиця 1'!$K:$K,'Таблиця 1'!$B:$B,$A345,'Таблиця 1'!$I:$I,"Mi-24",'Таблиця 1'!$J:$J,"Thales-70"))</f>
        <v/>
      </c>
      <c r="L345">
        <f>IF($A345="","",SUMIFS('Таблиця 1'!$K:$K,'Таблиця 1'!$B:$B,$A345,'Таблиця 1'!$I:$I,"Mi-8",'Таблиця 1'!$J:$J,"Thales-FZ")+SUMIFS('Таблиця 1'!$K:$K,'Таблиця 1'!$B:$B,$A345,'Таблиця 1'!$I:$I,"Mi-24",'Таблиця 1'!$J:$J,"Thales-FZ"))</f>
        <v/>
      </c>
      <c r="M345">
        <f>IF($A345="","",SUMIFS('Таблиця 1'!$K:$K,'Таблиця 1'!$B:$B,$A345,'Таблиця 1'!$I:$I,"Mi-8",'Таблиця 1'!$J:$J,"МК-40")+SUMIFS('Таблиця 1'!$K:$K,'Таблиця 1'!$B:$B,$A345,'Таблиця 1'!$I:$I,"Mi-24",'Таблиця 1'!$J:$J,"МК-40"))</f>
        <v/>
      </c>
      <c r="N345">
        <f>IF($A345="","",SUMIFS('Таблиця 1'!$K:$K,'Таблиця 1'!$B:$B,$A345,'Таблиця 1'!$I:$I,"Mi-8",'Таблиця 1'!$J:$J,"Zuni")+SUMIFS('Таблиця 1'!$K:$K,'Таблиця 1'!$B:$B,$A345,'Таблиця 1'!$I:$I,"Mi-24",'Таблиця 1'!$J:$J,"Zuni"))</f>
        <v/>
      </c>
      <c r="O345">
        <f>IF($A345="","",COUNTIFS('Таблиця 1'!$B:$B,$A345,'Таблиця 1'!$I:$I,"Mi-8",'Таблиця 1'!$L:$L,"Уражено")+COUNTIFS('Таблиця 1'!$B:$B,$A345,'Таблиця 1'!$I:$I,"Mi-24",'Таблиця 1'!$L:$L,"Уражено"))</f>
        <v/>
      </c>
      <c r="P345">
        <f>IF($A345="","",COUNTIFS('Таблиця 1'!$B:$B,$A345,'Таблиця 1'!$I:$I,"Mi-8",'Таблиця 1'!$L:$L,"НЕ уражено")+COUNTIFS('Таблиця 1'!$B:$B,$A345,'Таблиця 1'!$I:$I,"Mi-24",'Таблиця 1'!$L:$L,"НЕ уражено"))</f>
        <v/>
      </c>
    </row>
    <row r="346">
      <c r="A346" s="273">
        <f>IF(A345="","",IF(A345+1&gt;MAX('Таблиця 1'!$B:$B),"",A345+1))</f>
        <v/>
      </c>
      <c r="B346">
        <f>IF($A346="","",COUNTIFS('Таблиця 1'!$B:$B,$A346,'Таблиця 1'!$I:$I,"Mi-8")+COUNTIFS('Таблиця 1'!$B:$B,$A346,'Таблиця 1'!$I:$I,"Mi-24"))</f>
        <v/>
      </c>
      <c r="C346">
        <f>IF($A346="","",COUNTIFS('Таблиця 1'!$B:$B,$A346,'Таблиця 1'!$I:$I,"Mi-8"))</f>
        <v/>
      </c>
      <c r="D346">
        <f>IF($A346="","",COUNTIFS('Таблиця 1'!$B:$B,$A346,'Таблиця 1'!$I:$I,"Mi-24"))</f>
        <v/>
      </c>
      <c r="E346">
        <f>IF($A346="","",SUMIFS('Таблиця 1'!$K:$K,'Таблиця 1'!$B:$B,$A346,'Таблиця 1'!$I:$I,"Mi-8",'Таблиця 1'!$J:$J,"ARS-8")+SUMIFS('Таблиця 1'!$K:$K,'Таблиця 1'!$B:$B,$A346,'Таблиця 1'!$I:$I,"Mi-24",'Таблиця 1'!$J:$J,"ARS-8"))</f>
        <v/>
      </c>
      <c r="F346">
        <f>IF($A346="","",SUMIFS('Таблиця 1'!$K:$K,'Таблиця 1'!$B:$B,$A346,'Таблиця 1'!$I:$I,"Mi-8",'Таблиця 1'!$J:$J,"С-8 ком")+SUMIFS('Таблиця 1'!$K:$K,'Таблиця 1'!$B:$B,$A346,'Таблиця 1'!$I:$I,"Mi-24",'Таблиця 1'!$J:$J,"С-8 ком"))</f>
        <v/>
      </c>
      <c r="G346">
        <f>IF($A346="","",SUMIFS('Таблиця 1'!$K:$K,'Таблиця 1'!$B:$B,$A346,'Таблиця 1'!$I:$I,"Mi-8",'Таблиця 1'!$J:$J,"PC-80")+SUMIFS('Таблиця 1'!$K:$K,'Таблиця 1'!$B:$B,$A346,'Таблиця 1'!$I:$I,"Mi-24",'Таблиця 1'!$J:$J,"PC-80"))</f>
        <v/>
      </c>
      <c r="H346">
        <f>IF($A346="","",SUMIFS('Таблиця 1'!$K:$K,'Таблиця 1'!$B:$B,$A346,'Таблиця 1'!$I:$I,"Mi-8",'Таблиця 1'!$J:$J,"UAR-80")+SUMIFS('Таблиця 1'!$K:$K,'Таблиця 1'!$B:$B,$A346,'Таблиця 1'!$I:$I,"Mi-24",'Таблиця 1'!$J:$J,"UAR-80"))</f>
        <v/>
      </c>
      <c r="I346">
        <f>IF($A346="","",SUMIFS('Таблиця 1'!$K:$K,'Таблиця 1'!$B:$B,$A346,'Таблиця 1'!$I:$I,"Mi-8",'Таблиця 1'!$J:$J,"C-13")+SUMIFS('Таблиця 1'!$K:$K,'Таблиця 1'!$B:$B,$A346,'Таблиця 1'!$I:$I,"Mi-24",'Таблиця 1'!$J:$J,"C-13"))</f>
        <v/>
      </c>
      <c r="J346">
        <f>IF($A346="","",SUMIFS('Таблиця 1'!$K:$K,'Таблиця 1'!$B:$B,$A346,'Таблиця 1'!$I:$I,"Mi-8",'Таблиця 1'!$J:$J,"Hydra-70")+SUMIFS('Таблиця 1'!$K:$K,'Таблиця 1'!$B:$B,$A346,'Таблиця 1'!$I:$I,"Mi-24",'Таблиця 1'!$J:$J,"Hydra-70"))</f>
        <v/>
      </c>
      <c r="K346">
        <f>IF($A346="","",SUMIFS('Таблиця 1'!$K:$K,'Таблиця 1'!$B:$B,$A346,'Таблиця 1'!$I:$I,"Mi-8",'Таблиця 1'!$J:$J,"Thales-70")+SUMIFS('Таблиця 1'!$K:$K,'Таблиця 1'!$B:$B,$A346,'Таблиця 1'!$I:$I,"Mi-24",'Таблиця 1'!$J:$J,"Thales-70"))</f>
        <v/>
      </c>
      <c r="L346">
        <f>IF($A346="","",SUMIFS('Таблиця 1'!$K:$K,'Таблиця 1'!$B:$B,$A346,'Таблиця 1'!$I:$I,"Mi-8",'Таблиця 1'!$J:$J,"Thales-FZ")+SUMIFS('Таблиця 1'!$K:$K,'Таблиця 1'!$B:$B,$A346,'Таблиця 1'!$I:$I,"Mi-24",'Таблиця 1'!$J:$J,"Thales-FZ"))</f>
        <v/>
      </c>
      <c r="M346">
        <f>IF($A346="","",SUMIFS('Таблиця 1'!$K:$K,'Таблиця 1'!$B:$B,$A346,'Таблиця 1'!$I:$I,"Mi-8",'Таблиця 1'!$J:$J,"МК-40")+SUMIFS('Таблиця 1'!$K:$K,'Таблиця 1'!$B:$B,$A346,'Таблиця 1'!$I:$I,"Mi-24",'Таблиця 1'!$J:$J,"МК-40"))</f>
        <v/>
      </c>
      <c r="N346">
        <f>IF($A346="","",SUMIFS('Таблиця 1'!$K:$K,'Таблиця 1'!$B:$B,$A346,'Таблиця 1'!$I:$I,"Mi-8",'Таблиця 1'!$J:$J,"Zuni")+SUMIFS('Таблиця 1'!$K:$K,'Таблиця 1'!$B:$B,$A346,'Таблиця 1'!$I:$I,"Mi-24",'Таблиця 1'!$J:$J,"Zuni"))</f>
        <v/>
      </c>
      <c r="O346">
        <f>IF($A346="","",COUNTIFS('Таблиця 1'!$B:$B,$A346,'Таблиця 1'!$I:$I,"Mi-8",'Таблиця 1'!$L:$L,"Уражено")+COUNTIFS('Таблиця 1'!$B:$B,$A346,'Таблиця 1'!$I:$I,"Mi-24",'Таблиця 1'!$L:$L,"Уражено"))</f>
        <v/>
      </c>
      <c r="P346">
        <f>IF($A346="","",COUNTIFS('Таблиця 1'!$B:$B,$A346,'Таблиця 1'!$I:$I,"Mi-8",'Таблиця 1'!$L:$L,"НЕ уражено")+COUNTIFS('Таблиця 1'!$B:$B,$A346,'Таблиця 1'!$I:$I,"Mi-24",'Таблиця 1'!$L:$L,"НЕ уражено"))</f>
        <v/>
      </c>
    </row>
    <row r="347">
      <c r="A347" s="273">
        <f>IF(A346="","",IF(A346+1&gt;MAX('Таблиця 1'!$B:$B),"",A346+1))</f>
        <v/>
      </c>
      <c r="B347">
        <f>IF($A347="","",COUNTIFS('Таблиця 1'!$B:$B,$A347,'Таблиця 1'!$I:$I,"Mi-8")+COUNTIFS('Таблиця 1'!$B:$B,$A347,'Таблиця 1'!$I:$I,"Mi-24"))</f>
        <v/>
      </c>
      <c r="C347">
        <f>IF($A347="","",COUNTIFS('Таблиця 1'!$B:$B,$A347,'Таблиця 1'!$I:$I,"Mi-8"))</f>
        <v/>
      </c>
      <c r="D347">
        <f>IF($A347="","",COUNTIFS('Таблиця 1'!$B:$B,$A347,'Таблиця 1'!$I:$I,"Mi-24"))</f>
        <v/>
      </c>
      <c r="E347">
        <f>IF($A347="","",SUMIFS('Таблиця 1'!$K:$K,'Таблиця 1'!$B:$B,$A347,'Таблиця 1'!$I:$I,"Mi-8",'Таблиця 1'!$J:$J,"ARS-8")+SUMIFS('Таблиця 1'!$K:$K,'Таблиця 1'!$B:$B,$A347,'Таблиця 1'!$I:$I,"Mi-24",'Таблиця 1'!$J:$J,"ARS-8"))</f>
        <v/>
      </c>
      <c r="F347">
        <f>IF($A347="","",SUMIFS('Таблиця 1'!$K:$K,'Таблиця 1'!$B:$B,$A347,'Таблиця 1'!$I:$I,"Mi-8",'Таблиця 1'!$J:$J,"С-8 ком")+SUMIFS('Таблиця 1'!$K:$K,'Таблиця 1'!$B:$B,$A347,'Таблиця 1'!$I:$I,"Mi-24",'Таблиця 1'!$J:$J,"С-8 ком"))</f>
        <v/>
      </c>
      <c r="G347">
        <f>IF($A347="","",SUMIFS('Таблиця 1'!$K:$K,'Таблиця 1'!$B:$B,$A347,'Таблиця 1'!$I:$I,"Mi-8",'Таблиця 1'!$J:$J,"PC-80")+SUMIFS('Таблиця 1'!$K:$K,'Таблиця 1'!$B:$B,$A347,'Таблиця 1'!$I:$I,"Mi-24",'Таблиця 1'!$J:$J,"PC-80"))</f>
        <v/>
      </c>
      <c r="H347">
        <f>IF($A347="","",SUMIFS('Таблиця 1'!$K:$K,'Таблиця 1'!$B:$B,$A347,'Таблиця 1'!$I:$I,"Mi-8",'Таблиця 1'!$J:$J,"UAR-80")+SUMIFS('Таблиця 1'!$K:$K,'Таблиця 1'!$B:$B,$A347,'Таблиця 1'!$I:$I,"Mi-24",'Таблиця 1'!$J:$J,"UAR-80"))</f>
        <v/>
      </c>
      <c r="I347">
        <f>IF($A347="","",SUMIFS('Таблиця 1'!$K:$K,'Таблиця 1'!$B:$B,$A347,'Таблиця 1'!$I:$I,"Mi-8",'Таблиця 1'!$J:$J,"C-13")+SUMIFS('Таблиця 1'!$K:$K,'Таблиця 1'!$B:$B,$A347,'Таблиця 1'!$I:$I,"Mi-24",'Таблиця 1'!$J:$J,"C-13"))</f>
        <v/>
      </c>
      <c r="J347">
        <f>IF($A347="","",SUMIFS('Таблиця 1'!$K:$K,'Таблиця 1'!$B:$B,$A347,'Таблиця 1'!$I:$I,"Mi-8",'Таблиця 1'!$J:$J,"Hydra-70")+SUMIFS('Таблиця 1'!$K:$K,'Таблиця 1'!$B:$B,$A347,'Таблиця 1'!$I:$I,"Mi-24",'Таблиця 1'!$J:$J,"Hydra-70"))</f>
        <v/>
      </c>
      <c r="K347">
        <f>IF($A347="","",SUMIFS('Таблиця 1'!$K:$K,'Таблиця 1'!$B:$B,$A347,'Таблиця 1'!$I:$I,"Mi-8",'Таблиця 1'!$J:$J,"Thales-70")+SUMIFS('Таблиця 1'!$K:$K,'Таблиця 1'!$B:$B,$A347,'Таблиця 1'!$I:$I,"Mi-24",'Таблиця 1'!$J:$J,"Thales-70"))</f>
        <v/>
      </c>
      <c r="L347">
        <f>IF($A347="","",SUMIFS('Таблиця 1'!$K:$K,'Таблиця 1'!$B:$B,$A347,'Таблиця 1'!$I:$I,"Mi-8",'Таблиця 1'!$J:$J,"Thales-FZ")+SUMIFS('Таблиця 1'!$K:$K,'Таблиця 1'!$B:$B,$A347,'Таблиця 1'!$I:$I,"Mi-24",'Таблиця 1'!$J:$J,"Thales-FZ"))</f>
        <v/>
      </c>
      <c r="M347">
        <f>IF($A347="","",SUMIFS('Таблиця 1'!$K:$K,'Таблиця 1'!$B:$B,$A347,'Таблиця 1'!$I:$I,"Mi-8",'Таблиця 1'!$J:$J,"МК-40")+SUMIFS('Таблиця 1'!$K:$K,'Таблиця 1'!$B:$B,$A347,'Таблиця 1'!$I:$I,"Mi-24",'Таблиця 1'!$J:$J,"МК-40"))</f>
        <v/>
      </c>
      <c r="N347">
        <f>IF($A347="","",SUMIFS('Таблиця 1'!$K:$K,'Таблиця 1'!$B:$B,$A347,'Таблиця 1'!$I:$I,"Mi-8",'Таблиця 1'!$J:$J,"Zuni")+SUMIFS('Таблиця 1'!$K:$K,'Таблиця 1'!$B:$B,$A347,'Таблиця 1'!$I:$I,"Mi-24",'Таблиця 1'!$J:$J,"Zuni"))</f>
        <v/>
      </c>
      <c r="O347">
        <f>IF($A347="","",COUNTIFS('Таблиця 1'!$B:$B,$A347,'Таблиця 1'!$I:$I,"Mi-8",'Таблиця 1'!$L:$L,"Уражено")+COUNTIFS('Таблиця 1'!$B:$B,$A347,'Таблиця 1'!$I:$I,"Mi-24",'Таблиця 1'!$L:$L,"Уражено"))</f>
        <v/>
      </c>
      <c r="P347">
        <f>IF($A347="","",COUNTIFS('Таблиця 1'!$B:$B,$A347,'Таблиця 1'!$I:$I,"Mi-8",'Таблиця 1'!$L:$L,"НЕ уражено")+COUNTIFS('Таблиця 1'!$B:$B,$A347,'Таблиця 1'!$I:$I,"Mi-24",'Таблиця 1'!$L:$L,"НЕ уражено"))</f>
        <v/>
      </c>
    </row>
    <row r="348">
      <c r="A348" s="273">
        <f>IF(A347="","",IF(A347+1&gt;MAX('Таблиця 1'!$B:$B),"",A347+1))</f>
        <v/>
      </c>
      <c r="B348">
        <f>IF($A348="","",COUNTIFS('Таблиця 1'!$B:$B,$A348,'Таблиця 1'!$I:$I,"Mi-8")+COUNTIFS('Таблиця 1'!$B:$B,$A348,'Таблиця 1'!$I:$I,"Mi-24"))</f>
        <v/>
      </c>
      <c r="C348">
        <f>IF($A348="","",COUNTIFS('Таблиця 1'!$B:$B,$A348,'Таблиця 1'!$I:$I,"Mi-8"))</f>
        <v/>
      </c>
      <c r="D348">
        <f>IF($A348="","",COUNTIFS('Таблиця 1'!$B:$B,$A348,'Таблиця 1'!$I:$I,"Mi-24"))</f>
        <v/>
      </c>
      <c r="E348">
        <f>IF($A348="","",SUMIFS('Таблиця 1'!$K:$K,'Таблиця 1'!$B:$B,$A348,'Таблиця 1'!$I:$I,"Mi-8",'Таблиця 1'!$J:$J,"ARS-8")+SUMIFS('Таблиця 1'!$K:$K,'Таблиця 1'!$B:$B,$A348,'Таблиця 1'!$I:$I,"Mi-24",'Таблиця 1'!$J:$J,"ARS-8"))</f>
        <v/>
      </c>
      <c r="F348">
        <f>IF($A348="","",SUMIFS('Таблиця 1'!$K:$K,'Таблиця 1'!$B:$B,$A348,'Таблиця 1'!$I:$I,"Mi-8",'Таблиця 1'!$J:$J,"С-8 ком")+SUMIFS('Таблиця 1'!$K:$K,'Таблиця 1'!$B:$B,$A348,'Таблиця 1'!$I:$I,"Mi-24",'Таблиця 1'!$J:$J,"С-8 ком"))</f>
        <v/>
      </c>
      <c r="G348">
        <f>IF($A348="","",SUMIFS('Таблиця 1'!$K:$K,'Таблиця 1'!$B:$B,$A348,'Таблиця 1'!$I:$I,"Mi-8",'Таблиця 1'!$J:$J,"PC-80")+SUMIFS('Таблиця 1'!$K:$K,'Таблиця 1'!$B:$B,$A348,'Таблиця 1'!$I:$I,"Mi-24",'Таблиця 1'!$J:$J,"PC-80"))</f>
        <v/>
      </c>
      <c r="H348">
        <f>IF($A348="","",SUMIFS('Таблиця 1'!$K:$K,'Таблиця 1'!$B:$B,$A348,'Таблиця 1'!$I:$I,"Mi-8",'Таблиця 1'!$J:$J,"UAR-80")+SUMIFS('Таблиця 1'!$K:$K,'Таблиця 1'!$B:$B,$A348,'Таблиця 1'!$I:$I,"Mi-24",'Таблиця 1'!$J:$J,"UAR-80"))</f>
        <v/>
      </c>
      <c r="I348">
        <f>IF($A348="","",SUMIFS('Таблиця 1'!$K:$K,'Таблиця 1'!$B:$B,$A348,'Таблиця 1'!$I:$I,"Mi-8",'Таблиця 1'!$J:$J,"C-13")+SUMIFS('Таблиця 1'!$K:$K,'Таблиця 1'!$B:$B,$A348,'Таблиця 1'!$I:$I,"Mi-24",'Таблиця 1'!$J:$J,"C-13"))</f>
        <v/>
      </c>
      <c r="J348">
        <f>IF($A348="","",SUMIFS('Таблиця 1'!$K:$K,'Таблиця 1'!$B:$B,$A348,'Таблиця 1'!$I:$I,"Mi-8",'Таблиця 1'!$J:$J,"Hydra-70")+SUMIFS('Таблиця 1'!$K:$K,'Таблиця 1'!$B:$B,$A348,'Таблиця 1'!$I:$I,"Mi-24",'Таблиця 1'!$J:$J,"Hydra-70"))</f>
        <v/>
      </c>
      <c r="K348">
        <f>IF($A348="","",SUMIFS('Таблиця 1'!$K:$K,'Таблиця 1'!$B:$B,$A348,'Таблиця 1'!$I:$I,"Mi-8",'Таблиця 1'!$J:$J,"Thales-70")+SUMIFS('Таблиця 1'!$K:$K,'Таблиця 1'!$B:$B,$A348,'Таблиця 1'!$I:$I,"Mi-24",'Таблиця 1'!$J:$J,"Thales-70"))</f>
        <v/>
      </c>
      <c r="L348">
        <f>IF($A348="","",SUMIFS('Таблиця 1'!$K:$K,'Таблиця 1'!$B:$B,$A348,'Таблиця 1'!$I:$I,"Mi-8",'Таблиця 1'!$J:$J,"Thales-FZ")+SUMIFS('Таблиця 1'!$K:$K,'Таблиця 1'!$B:$B,$A348,'Таблиця 1'!$I:$I,"Mi-24",'Таблиця 1'!$J:$J,"Thales-FZ"))</f>
        <v/>
      </c>
      <c r="M348">
        <f>IF($A348="","",SUMIFS('Таблиця 1'!$K:$K,'Таблиця 1'!$B:$B,$A348,'Таблиця 1'!$I:$I,"Mi-8",'Таблиця 1'!$J:$J,"МК-40")+SUMIFS('Таблиця 1'!$K:$K,'Таблиця 1'!$B:$B,$A348,'Таблиця 1'!$I:$I,"Mi-24",'Таблиця 1'!$J:$J,"МК-40"))</f>
        <v/>
      </c>
      <c r="N348">
        <f>IF($A348="","",SUMIFS('Таблиця 1'!$K:$K,'Таблиця 1'!$B:$B,$A348,'Таблиця 1'!$I:$I,"Mi-8",'Таблиця 1'!$J:$J,"Zuni")+SUMIFS('Таблиця 1'!$K:$K,'Таблиця 1'!$B:$B,$A348,'Таблиця 1'!$I:$I,"Mi-24",'Таблиця 1'!$J:$J,"Zuni"))</f>
        <v/>
      </c>
      <c r="O348">
        <f>IF($A348="","",COUNTIFS('Таблиця 1'!$B:$B,$A348,'Таблиця 1'!$I:$I,"Mi-8",'Таблиця 1'!$L:$L,"Уражено")+COUNTIFS('Таблиця 1'!$B:$B,$A348,'Таблиця 1'!$I:$I,"Mi-24",'Таблиця 1'!$L:$L,"Уражено"))</f>
        <v/>
      </c>
      <c r="P348">
        <f>IF($A348="","",COUNTIFS('Таблиця 1'!$B:$B,$A348,'Таблиця 1'!$I:$I,"Mi-8",'Таблиця 1'!$L:$L,"НЕ уражено")+COUNTIFS('Таблиця 1'!$B:$B,$A348,'Таблиця 1'!$I:$I,"Mi-24",'Таблиця 1'!$L:$L,"НЕ уражено"))</f>
        <v/>
      </c>
    </row>
    <row r="349">
      <c r="A349" s="273">
        <f>IF(A348="","",IF(A348+1&gt;MAX('Таблиця 1'!$B:$B),"",A348+1))</f>
        <v/>
      </c>
      <c r="B349">
        <f>IF($A349="","",COUNTIFS('Таблиця 1'!$B:$B,$A349,'Таблиця 1'!$I:$I,"Mi-8")+COUNTIFS('Таблиця 1'!$B:$B,$A349,'Таблиця 1'!$I:$I,"Mi-24"))</f>
        <v/>
      </c>
      <c r="C349">
        <f>IF($A349="","",COUNTIFS('Таблиця 1'!$B:$B,$A349,'Таблиця 1'!$I:$I,"Mi-8"))</f>
        <v/>
      </c>
      <c r="D349">
        <f>IF($A349="","",COUNTIFS('Таблиця 1'!$B:$B,$A349,'Таблиця 1'!$I:$I,"Mi-24"))</f>
        <v/>
      </c>
      <c r="E349">
        <f>IF($A349="","",SUMIFS('Таблиця 1'!$K:$K,'Таблиця 1'!$B:$B,$A349,'Таблиця 1'!$I:$I,"Mi-8",'Таблиця 1'!$J:$J,"ARS-8")+SUMIFS('Таблиця 1'!$K:$K,'Таблиця 1'!$B:$B,$A349,'Таблиця 1'!$I:$I,"Mi-24",'Таблиця 1'!$J:$J,"ARS-8"))</f>
        <v/>
      </c>
      <c r="F349">
        <f>IF($A349="","",SUMIFS('Таблиця 1'!$K:$K,'Таблиця 1'!$B:$B,$A349,'Таблиця 1'!$I:$I,"Mi-8",'Таблиця 1'!$J:$J,"С-8 ком")+SUMIFS('Таблиця 1'!$K:$K,'Таблиця 1'!$B:$B,$A349,'Таблиця 1'!$I:$I,"Mi-24",'Таблиця 1'!$J:$J,"С-8 ком"))</f>
        <v/>
      </c>
      <c r="G349">
        <f>IF($A349="","",SUMIFS('Таблиця 1'!$K:$K,'Таблиця 1'!$B:$B,$A349,'Таблиця 1'!$I:$I,"Mi-8",'Таблиця 1'!$J:$J,"PC-80")+SUMIFS('Таблиця 1'!$K:$K,'Таблиця 1'!$B:$B,$A349,'Таблиця 1'!$I:$I,"Mi-24",'Таблиця 1'!$J:$J,"PC-80"))</f>
        <v/>
      </c>
      <c r="H349">
        <f>IF($A349="","",SUMIFS('Таблиця 1'!$K:$K,'Таблиця 1'!$B:$B,$A349,'Таблиця 1'!$I:$I,"Mi-8",'Таблиця 1'!$J:$J,"UAR-80")+SUMIFS('Таблиця 1'!$K:$K,'Таблиця 1'!$B:$B,$A349,'Таблиця 1'!$I:$I,"Mi-24",'Таблиця 1'!$J:$J,"UAR-80"))</f>
        <v/>
      </c>
      <c r="I349">
        <f>IF($A349="","",SUMIFS('Таблиця 1'!$K:$K,'Таблиця 1'!$B:$B,$A349,'Таблиця 1'!$I:$I,"Mi-8",'Таблиця 1'!$J:$J,"C-13")+SUMIFS('Таблиця 1'!$K:$K,'Таблиця 1'!$B:$B,$A349,'Таблиця 1'!$I:$I,"Mi-24",'Таблиця 1'!$J:$J,"C-13"))</f>
        <v/>
      </c>
      <c r="J349">
        <f>IF($A349="","",SUMIFS('Таблиця 1'!$K:$K,'Таблиця 1'!$B:$B,$A349,'Таблиця 1'!$I:$I,"Mi-8",'Таблиця 1'!$J:$J,"Hydra-70")+SUMIFS('Таблиця 1'!$K:$K,'Таблиця 1'!$B:$B,$A349,'Таблиця 1'!$I:$I,"Mi-24",'Таблиця 1'!$J:$J,"Hydra-70"))</f>
        <v/>
      </c>
      <c r="K349">
        <f>IF($A349="","",SUMIFS('Таблиця 1'!$K:$K,'Таблиця 1'!$B:$B,$A349,'Таблиця 1'!$I:$I,"Mi-8",'Таблиця 1'!$J:$J,"Thales-70")+SUMIFS('Таблиця 1'!$K:$K,'Таблиця 1'!$B:$B,$A349,'Таблиця 1'!$I:$I,"Mi-24",'Таблиця 1'!$J:$J,"Thales-70"))</f>
        <v/>
      </c>
      <c r="L349">
        <f>IF($A349="","",SUMIFS('Таблиця 1'!$K:$K,'Таблиця 1'!$B:$B,$A349,'Таблиця 1'!$I:$I,"Mi-8",'Таблиця 1'!$J:$J,"Thales-FZ")+SUMIFS('Таблиця 1'!$K:$K,'Таблиця 1'!$B:$B,$A349,'Таблиця 1'!$I:$I,"Mi-24",'Таблиця 1'!$J:$J,"Thales-FZ"))</f>
        <v/>
      </c>
      <c r="M349">
        <f>IF($A349="","",SUMIFS('Таблиця 1'!$K:$K,'Таблиця 1'!$B:$B,$A349,'Таблиця 1'!$I:$I,"Mi-8",'Таблиця 1'!$J:$J,"МК-40")+SUMIFS('Таблиця 1'!$K:$K,'Таблиця 1'!$B:$B,$A349,'Таблиця 1'!$I:$I,"Mi-24",'Таблиця 1'!$J:$J,"МК-40"))</f>
        <v/>
      </c>
      <c r="N349">
        <f>IF($A349="","",SUMIFS('Таблиця 1'!$K:$K,'Таблиця 1'!$B:$B,$A349,'Таблиця 1'!$I:$I,"Mi-8",'Таблиця 1'!$J:$J,"Zuni")+SUMIFS('Таблиця 1'!$K:$K,'Таблиця 1'!$B:$B,$A349,'Таблиця 1'!$I:$I,"Mi-24",'Таблиця 1'!$J:$J,"Zuni"))</f>
        <v/>
      </c>
      <c r="O349">
        <f>IF($A349="","",COUNTIFS('Таблиця 1'!$B:$B,$A349,'Таблиця 1'!$I:$I,"Mi-8",'Таблиця 1'!$L:$L,"Уражено")+COUNTIFS('Таблиця 1'!$B:$B,$A349,'Таблиця 1'!$I:$I,"Mi-24",'Таблиця 1'!$L:$L,"Уражено"))</f>
        <v/>
      </c>
      <c r="P349">
        <f>IF($A349="","",COUNTIFS('Таблиця 1'!$B:$B,$A349,'Таблиця 1'!$I:$I,"Mi-8",'Таблиця 1'!$L:$L,"НЕ уражено")+COUNTIFS('Таблиця 1'!$B:$B,$A349,'Таблиця 1'!$I:$I,"Mi-24",'Таблиця 1'!$L:$L,"НЕ уражено"))</f>
        <v/>
      </c>
    </row>
    <row r="350">
      <c r="A350" s="273">
        <f>IF(A349="","",IF(A349+1&gt;MAX('Таблиця 1'!$B:$B),"",A349+1))</f>
        <v/>
      </c>
      <c r="B350">
        <f>IF($A350="","",COUNTIFS('Таблиця 1'!$B:$B,$A350,'Таблиця 1'!$I:$I,"Mi-8")+COUNTIFS('Таблиця 1'!$B:$B,$A350,'Таблиця 1'!$I:$I,"Mi-24"))</f>
        <v/>
      </c>
      <c r="C350">
        <f>IF($A350="","",COUNTIFS('Таблиця 1'!$B:$B,$A350,'Таблиця 1'!$I:$I,"Mi-8"))</f>
        <v/>
      </c>
      <c r="D350">
        <f>IF($A350="","",COUNTIFS('Таблиця 1'!$B:$B,$A350,'Таблиця 1'!$I:$I,"Mi-24"))</f>
        <v/>
      </c>
      <c r="E350">
        <f>IF($A350="","",SUMIFS('Таблиця 1'!$K:$K,'Таблиця 1'!$B:$B,$A350,'Таблиця 1'!$I:$I,"Mi-8",'Таблиця 1'!$J:$J,"ARS-8")+SUMIFS('Таблиця 1'!$K:$K,'Таблиця 1'!$B:$B,$A350,'Таблиця 1'!$I:$I,"Mi-24",'Таблиця 1'!$J:$J,"ARS-8"))</f>
        <v/>
      </c>
      <c r="F350">
        <f>IF($A350="","",SUMIFS('Таблиця 1'!$K:$K,'Таблиця 1'!$B:$B,$A350,'Таблиця 1'!$I:$I,"Mi-8",'Таблиця 1'!$J:$J,"С-8 ком")+SUMIFS('Таблиця 1'!$K:$K,'Таблиця 1'!$B:$B,$A350,'Таблиця 1'!$I:$I,"Mi-24",'Таблиця 1'!$J:$J,"С-8 ком"))</f>
        <v/>
      </c>
      <c r="G350">
        <f>IF($A350="","",SUMIFS('Таблиця 1'!$K:$K,'Таблиця 1'!$B:$B,$A350,'Таблиця 1'!$I:$I,"Mi-8",'Таблиця 1'!$J:$J,"PC-80")+SUMIFS('Таблиця 1'!$K:$K,'Таблиця 1'!$B:$B,$A350,'Таблиця 1'!$I:$I,"Mi-24",'Таблиця 1'!$J:$J,"PC-80"))</f>
        <v/>
      </c>
      <c r="H350">
        <f>IF($A350="","",SUMIFS('Таблиця 1'!$K:$K,'Таблиця 1'!$B:$B,$A350,'Таблиця 1'!$I:$I,"Mi-8",'Таблиця 1'!$J:$J,"UAR-80")+SUMIFS('Таблиця 1'!$K:$K,'Таблиця 1'!$B:$B,$A350,'Таблиця 1'!$I:$I,"Mi-24",'Таблиця 1'!$J:$J,"UAR-80"))</f>
        <v/>
      </c>
      <c r="I350">
        <f>IF($A350="","",SUMIFS('Таблиця 1'!$K:$K,'Таблиця 1'!$B:$B,$A350,'Таблиця 1'!$I:$I,"Mi-8",'Таблиця 1'!$J:$J,"C-13")+SUMIFS('Таблиця 1'!$K:$K,'Таблиця 1'!$B:$B,$A350,'Таблиця 1'!$I:$I,"Mi-24",'Таблиця 1'!$J:$J,"C-13"))</f>
        <v/>
      </c>
      <c r="J350">
        <f>IF($A350="","",SUMIFS('Таблиця 1'!$K:$K,'Таблиця 1'!$B:$B,$A350,'Таблиця 1'!$I:$I,"Mi-8",'Таблиця 1'!$J:$J,"Hydra-70")+SUMIFS('Таблиця 1'!$K:$K,'Таблиця 1'!$B:$B,$A350,'Таблиця 1'!$I:$I,"Mi-24",'Таблиця 1'!$J:$J,"Hydra-70"))</f>
        <v/>
      </c>
      <c r="K350">
        <f>IF($A350="","",SUMIFS('Таблиця 1'!$K:$K,'Таблиця 1'!$B:$B,$A350,'Таблиця 1'!$I:$I,"Mi-8",'Таблиця 1'!$J:$J,"Thales-70")+SUMIFS('Таблиця 1'!$K:$K,'Таблиця 1'!$B:$B,$A350,'Таблиця 1'!$I:$I,"Mi-24",'Таблиця 1'!$J:$J,"Thales-70"))</f>
        <v/>
      </c>
      <c r="L350">
        <f>IF($A350="","",SUMIFS('Таблиця 1'!$K:$K,'Таблиця 1'!$B:$B,$A350,'Таблиця 1'!$I:$I,"Mi-8",'Таблиця 1'!$J:$J,"Thales-FZ")+SUMIFS('Таблиця 1'!$K:$K,'Таблиця 1'!$B:$B,$A350,'Таблиця 1'!$I:$I,"Mi-24",'Таблиця 1'!$J:$J,"Thales-FZ"))</f>
        <v/>
      </c>
      <c r="M350">
        <f>IF($A350="","",SUMIFS('Таблиця 1'!$K:$K,'Таблиця 1'!$B:$B,$A350,'Таблиця 1'!$I:$I,"Mi-8",'Таблиця 1'!$J:$J,"МК-40")+SUMIFS('Таблиця 1'!$K:$K,'Таблиця 1'!$B:$B,$A350,'Таблиця 1'!$I:$I,"Mi-24",'Таблиця 1'!$J:$J,"МК-40"))</f>
        <v/>
      </c>
      <c r="N350">
        <f>IF($A350="","",SUMIFS('Таблиця 1'!$K:$K,'Таблиця 1'!$B:$B,$A350,'Таблиця 1'!$I:$I,"Mi-8",'Таблиця 1'!$J:$J,"Zuni")+SUMIFS('Таблиця 1'!$K:$K,'Таблиця 1'!$B:$B,$A350,'Таблиця 1'!$I:$I,"Mi-24",'Таблиця 1'!$J:$J,"Zuni"))</f>
        <v/>
      </c>
      <c r="O350">
        <f>IF($A350="","",COUNTIFS('Таблиця 1'!$B:$B,$A350,'Таблиця 1'!$I:$I,"Mi-8",'Таблиця 1'!$L:$L,"Уражено")+COUNTIFS('Таблиця 1'!$B:$B,$A350,'Таблиця 1'!$I:$I,"Mi-24",'Таблиця 1'!$L:$L,"Уражено"))</f>
        <v/>
      </c>
      <c r="P350">
        <f>IF($A350="","",COUNTIFS('Таблиця 1'!$B:$B,$A350,'Таблиця 1'!$I:$I,"Mi-8",'Таблиця 1'!$L:$L,"НЕ уражено")+COUNTIFS('Таблиця 1'!$B:$B,$A350,'Таблиця 1'!$I:$I,"Mi-24",'Таблиця 1'!$L:$L,"НЕ уражено"))</f>
        <v/>
      </c>
    </row>
    <row r="351">
      <c r="A351" s="273">
        <f>IF(A350="","",IF(A350+1&gt;MAX('Таблиця 1'!$B:$B),"",A350+1))</f>
        <v/>
      </c>
      <c r="B351">
        <f>IF($A351="","",COUNTIFS('Таблиця 1'!$B:$B,$A351,'Таблиця 1'!$I:$I,"Mi-8")+COUNTIFS('Таблиця 1'!$B:$B,$A351,'Таблиця 1'!$I:$I,"Mi-24"))</f>
        <v/>
      </c>
      <c r="C351">
        <f>IF($A351="","",COUNTIFS('Таблиця 1'!$B:$B,$A351,'Таблиця 1'!$I:$I,"Mi-8"))</f>
        <v/>
      </c>
      <c r="D351">
        <f>IF($A351="","",COUNTIFS('Таблиця 1'!$B:$B,$A351,'Таблиця 1'!$I:$I,"Mi-24"))</f>
        <v/>
      </c>
      <c r="E351">
        <f>IF($A351="","",SUMIFS('Таблиця 1'!$K:$K,'Таблиця 1'!$B:$B,$A351,'Таблиця 1'!$I:$I,"Mi-8",'Таблиця 1'!$J:$J,"ARS-8")+SUMIFS('Таблиця 1'!$K:$K,'Таблиця 1'!$B:$B,$A351,'Таблиця 1'!$I:$I,"Mi-24",'Таблиця 1'!$J:$J,"ARS-8"))</f>
        <v/>
      </c>
      <c r="F351">
        <f>IF($A351="","",SUMIFS('Таблиця 1'!$K:$K,'Таблиця 1'!$B:$B,$A351,'Таблиця 1'!$I:$I,"Mi-8",'Таблиця 1'!$J:$J,"С-8 ком")+SUMIFS('Таблиця 1'!$K:$K,'Таблиця 1'!$B:$B,$A351,'Таблиця 1'!$I:$I,"Mi-24",'Таблиця 1'!$J:$J,"С-8 ком"))</f>
        <v/>
      </c>
      <c r="G351">
        <f>IF($A351="","",SUMIFS('Таблиця 1'!$K:$K,'Таблиця 1'!$B:$B,$A351,'Таблиця 1'!$I:$I,"Mi-8",'Таблиця 1'!$J:$J,"PC-80")+SUMIFS('Таблиця 1'!$K:$K,'Таблиця 1'!$B:$B,$A351,'Таблиця 1'!$I:$I,"Mi-24",'Таблиця 1'!$J:$J,"PC-80"))</f>
        <v/>
      </c>
      <c r="H351">
        <f>IF($A351="","",SUMIFS('Таблиця 1'!$K:$K,'Таблиця 1'!$B:$B,$A351,'Таблиця 1'!$I:$I,"Mi-8",'Таблиця 1'!$J:$J,"UAR-80")+SUMIFS('Таблиця 1'!$K:$K,'Таблиця 1'!$B:$B,$A351,'Таблиця 1'!$I:$I,"Mi-24",'Таблиця 1'!$J:$J,"UAR-80"))</f>
        <v/>
      </c>
      <c r="I351">
        <f>IF($A351="","",SUMIFS('Таблиця 1'!$K:$K,'Таблиця 1'!$B:$B,$A351,'Таблиця 1'!$I:$I,"Mi-8",'Таблиця 1'!$J:$J,"C-13")+SUMIFS('Таблиця 1'!$K:$K,'Таблиця 1'!$B:$B,$A351,'Таблиця 1'!$I:$I,"Mi-24",'Таблиця 1'!$J:$J,"C-13"))</f>
        <v/>
      </c>
      <c r="J351">
        <f>IF($A351="","",SUMIFS('Таблиця 1'!$K:$K,'Таблиця 1'!$B:$B,$A351,'Таблиця 1'!$I:$I,"Mi-8",'Таблиця 1'!$J:$J,"Hydra-70")+SUMIFS('Таблиця 1'!$K:$K,'Таблиця 1'!$B:$B,$A351,'Таблиця 1'!$I:$I,"Mi-24",'Таблиця 1'!$J:$J,"Hydra-70"))</f>
        <v/>
      </c>
      <c r="K351">
        <f>IF($A351="","",SUMIFS('Таблиця 1'!$K:$K,'Таблиця 1'!$B:$B,$A351,'Таблиця 1'!$I:$I,"Mi-8",'Таблиця 1'!$J:$J,"Thales-70")+SUMIFS('Таблиця 1'!$K:$K,'Таблиця 1'!$B:$B,$A351,'Таблиця 1'!$I:$I,"Mi-24",'Таблиця 1'!$J:$J,"Thales-70"))</f>
        <v/>
      </c>
      <c r="L351">
        <f>IF($A351="","",SUMIFS('Таблиця 1'!$K:$K,'Таблиця 1'!$B:$B,$A351,'Таблиця 1'!$I:$I,"Mi-8",'Таблиця 1'!$J:$J,"Thales-FZ")+SUMIFS('Таблиця 1'!$K:$K,'Таблиця 1'!$B:$B,$A351,'Таблиця 1'!$I:$I,"Mi-24",'Таблиця 1'!$J:$J,"Thales-FZ"))</f>
        <v/>
      </c>
      <c r="M351">
        <f>IF($A351="","",SUMIFS('Таблиця 1'!$K:$K,'Таблиця 1'!$B:$B,$A351,'Таблиця 1'!$I:$I,"Mi-8",'Таблиця 1'!$J:$J,"МК-40")+SUMIFS('Таблиця 1'!$K:$K,'Таблиця 1'!$B:$B,$A351,'Таблиця 1'!$I:$I,"Mi-24",'Таблиця 1'!$J:$J,"МК-40"))</f>
        <v/>
      </c>
      <c r="N351">
        <f>IF($A351="","",SUMIFS('Таблиця 1'!$K:$K,'Таблиця 1'!$B:$B,$A351,'Таблиця 1'!$I:$I,"Mi-8",'Таблиця 1'!$J:$J,"Zuni")+SUMIFS('Таблиця 1'!$K:$K,'Таблиця 1'!$B:$B,$A351,'Таблиця 1'!$I:$I,"Mi-24",'Таблиця 1'!$J:$J,"Zuni"))</f>
        <v/>
      </c>
      <c r="O351">
        <f>IF($A351="","",COUNTIFS('Таблиця 1'!$B:$B,$A351,'Таблиця 1'!$I:$I,"Mi-8",'Таблиця 1'!$L:$L,"Уражено")+COUNTIFS('Таблиця 1'!$B:$B,$A351,'Таблиця 1'!$I:$I,"Mi-24",'Таблиця 1'!$L:$L,"Уражено"))</f>
        <v/>
      </c>
      <c r="P351">
        <f>IF($A351="","",COUNTIFS('Таблиця 1'!$B:$B,$A351,'Таблиця 1'!$I:$I,"Mi-8",'Таблиця 1'!$L:$L,"НЕ уражено")+COUNTIFS('Таблиця 1'!$B:$B,$A351,'Таблиця 1'!$I:$I,"Mi-24",'Таблиця 1'!$L:$L,"НЕ уражено"))</f>
        <v/>
      </c>
    </row>
    <row r="352">
      <c r="A352" s="273">
        <f>IF(A351="","",IF(A351+1&gt;MAX('Таблиця 1'!$B:$B),"",A351+1))</f>
        <v/>
      </c>
      <c r="B352">
        <f>IF($A352="","",COUNTIFS('Таблиця 1'!$B:$B,$A352,'Таблиця 1'!$I:$I,"Mi-8")+COUNTIFS('Таблиця 1'!$B:$B,$A352,'Таблиця 1'!$I:$I,"Mi-24"))</f>
        <v/>
      </c>
      <c r="C352">
        <f>IF($A352="","",COUNTIFS('Таблиця 1'!$B:$B,$A352,'Таблиця 1'!$I:$I,"Mi-8"))</f>
        <v/>
      </c>
      <c r="D352">
        <f>IF($A352="","",COUNTIFS('Таблиця 1'!$B:$B,$A352,'Таблиця 1'!$I:$I,"Mi-24"))</f>
        <v/>
      </c>
      <c r="E352">
        <f>IF($A352="","",SUMIFS('Таблиця 1'!$K:$K,'Таблиця 1'!$B:$B,$A352,'Таблиця 1'!$I:$I,"Mi-8",'Таблиця 1'!$J:$J,"ARS-8")+SUMIFS('Таблиця 1'!$K:$K,'Таблиця 1'!$B:$B,$A352,'Таблиця 1'!$I:$I,"Mi-24",'Таблиця 1'!$J:$J,"ARS-8"))</f>
        <v/>
      </c>
      <c r="F352">
        <f>IF($A352="","",SUMIFS('Таблиця 1'!$K:$K,'Таблиця 1'!$B:$B,$A352,'Таблиця 1'!$I:$I,"Mi-8",'Таблиця 1'!$J:$J,"С-8 ком")+SUMIFS('Таблиця 1'!$K:$K,'Таблиця 1'!$B:$B,$A352,'Таблиця 1'!$I:$I,"Mi-24",'Таблиця 1'!$J:$J,"С-8 ком"))</f>
        <v/>
      </c>
      <c r="G352">
        <f>IF($A352="","",SUMIFS('Таблиця 1'!$K:$K,'Таблиця 1'!$B:$B,$A352,'Таблиця 1'!$I:$I,"Mi-8",'Таблиця 1'!$J:$J,"PC-80")+SUMIFS('Таблиця 1'!$K:$K,'Таблиця 1'!$B:$B,$A352,'Таблиця 1'!$I:$I,"Mi-24",'Таблиця 1'!$J:$J,"PC-80"))</f>
        <v/>
      </c>
      <c r="H352">
        <f>IF($A352="","",SUMIFS('Таблиця 1'!$K:$K,'Таблиця 1'!$B:$B,$A352,'Таблиця 1'!$I:$I,"Mi-8",'Таблиця 1'!$J:$J,"UAR-80")+SUMIFS('Таблиця 1'!$K:$K,'Таблиця 1'!$B:$B,$A352,'Таблиця 1'!$I:$I,"Mi-24",'Таблиця 1'!$J:$J,"UAR-80"))</f>
        <v/>
      </c>
      <c r="I352">
        <f>IF($A352="","",SUMIFS('Таблиця 1'!$K:$K,'Таблиця 1'!$B:$B,$A352,'Таблиця 1'!$I:$I,"Mi-8",'Таблиця 1'!$J:$J,"C-13")+SUMIFS('Таблиця 1'!$K:$K,'Таблиця 1'!$B:$B,$A352,'Таблиця 1'!$I:$I,"Mi-24",'Таблиця 1'!$J:$J,"C-13"))</f>
        <v/>
      </c>
      <c r="J352">
        <f>IF($A352="","",SUMIFS('Таблиця 1'!$K:$K,'Таблиця 1'!$B:$B,$A352,'Таблиця 1'!$I:$I,"Mi-8",'Таблиця 1'!$J:$J,"Hydra-70")+SUMIFS('Таблиця 1'!$K:$K,'Таблиця 1'!$B:$B,$A352,'Таблиця 1'!$I:$I,"Mi-24",'Таблиця 1'!$J:$J,"Hydra-70"))</f>
        <v/>
      </c>
      <c r="K352">
        <f>IF($A352="","",SUMIFS('Таблиця 1'!$K:$K,'Таблиця 1'!$B:$B,$A352,'Таблиця 1'!$I:$I,"Mi-8",'Таблиця 1'!$J:$J,"Thales-70")+SUMIFS('Таблиця 1'!$K:$K,'Таблиця 1'!$B:$B,$A352,'Таблиця 1'!$I:$I,"Mi-24",'Таблиця 1'!$J:$J,"Thales-70"))</f>
        <v/>
      </c>
      <c r="L352">
        <f>IF($A352="","",SUMIFS('Таблиця 1'!$K:$K,'Таблиця 1'!$B:$B,$A352,'Таблиця 1'!$I:$I,"Mi-8",'Таблиця 1'!$J:$J,"Thales-FZ")+SUMIFS('Таблиця 1'!$K:$K,'Таблиця 1'!$B:$B,$A352,'Таблиця 1'!$I:$I,"Mi-24",'Таблиця 1'!$J:$J,"Thales-FZ"))</f>
        <v/>
      </c>
      <c r="M352">
        <f>IF($A352="","",SUMIFS('Таблиця 1'!$K:$K,'Таблиця 1'!$B:$B,$A352,'Таблиця 1'!$I:$I,"Mi-8",'Таблиця 1'!$J:$J,"МК-40")+SUMIFS('Таблиця 1'!$K:$K,'Таблиця 1'!$B:$B,$A352,'Таблиця 1'!$I:$I,"Mi-24",'Таблиця 1'!$J:$J,"МК-40"))</f>
        <v/>
      </c>
      <c r="N352">
        <f>IF($A352="","",SUMIFS('Таблиця 1'!$K:$K,'Таблиця 1'!$B:$B,$A352,'Таблиця 1'!$I:$I,"Mi-8",'Таблиця 1'!$J:$J,"Zuni")+SUMIFS('Таблиця 1'!$K:$K,'Таблиця 1'!$B:$B,$A352,'Таблиця 1'!$I:$I,"Mi-24",'Таблиця 1'!$J:$J,"Zuni"))</f>
        <v/>
      </c>
      <c r="O352">
        <f>IF($A352="","",COUNTIFS('Таблиця 1'!$B:$B,$A352,'Таблиця 1'!$I:$I,"Mi-8",'Таблиця 1'!$L:$L,"Уражено")+COUNTIFS('Таблиця 1'!$B:$B,$A352,'Таблиця 1'!$I:$I,"Mi-24",'Таблиця 1'!$L:$L,"Уражено"))</f>
        <v/>
      </c>
      <c r="P352">
        <f>IF($A352="","",COUNTIFS('Таблиця 1'!$B:$B,$A352,'Таблиця 1'!$I:$I,"Mi-8",'Таблиця 1'!$L:$L,"НЕ уражено")+COUNTIFS('Таблиця 1'!$B:$B,$A352,'Таблиця 1'!$I:$I,"Mi-24",'Таблиця 1'!$L:$L,"НЕ уражено"))</f>
        <v/>
      </c>
    </row>
    <row r="353">
      <c r="A353" s="273">
        <f>IF(A352="","",IF(A352+1&gt;MAX('Таблиця 1'!$B:$B),"",A352+1))</f>
        <v/>
      </c>
      <c r="B353">
        <f>IF($A353="","",COUNTIFS('Таблиця 1'!$B:$B,$A353,'Таблиця 1'!$I:$I,"Mi-8")+COUNTIFS('Таблиця 1'!$B:$B,$A353,'Таблиця 1'!$I:$I,"Mi-24"))</f>
        <v/>
      </c>
      <c r="C353">
        <f>IF($A353="","",COUNTIFS('Таблиця 1'!$B:$B,$A353,'Таблиця 1'!$I:$I,"Mi-8"))</f>
        <v/>
      </c>
      <c r="D353">
        <f>IF($A353="","",COUNTIFS('Таблиця 1'!$B:$B,$A353,'Таблиця 1'!$I:$I,"Mi-24"))</f>
        <v/>
      </c>
      <c r="E353">
        <f>IF($A353="","",SUMIFS('Таблиця 1'!$K:$K,'Таблиця 1'!$B:$B,$A353,'Таблиця 1'!$I:$I,"Mi-8",'Таблиця 1'!$J:$J,"ARS-8")+SUMIFS('Таблиця 1'!$K:$K,'Таблиця 1'!$B:$B,$A353,'Таблиця 1'!$I:$I,"Mi-24",'Таблиця 1'!$J:$J,"ARS-8"))</f>
        <v/>
      </c>
      <c r="F353">
        <f>IF($A353="","",SUMIFS('Таблиця 1'!$K:$K,'Таблиця 1'!$B:$B,$A353,'Таблиця 1'!$I:$I,"Mi-8",'Таблиця 1'!$J:$J,"С-8 ком")+SUMIFS('Таблиця 1'!$K:$K,'Таблиця 1'!$B:$B,$A353,'Таблиця 1'!$I:$I,"Mi-24",'Таблиця 1'!$J:$J,"С-8 ком"))</f>
        <v/>
      </c>
      <c r="G353">
        <f>IF($A353="","",SUMIFS('Таблиця 1'!$K:$K,'Таблиця 1'!$B:$B,$A353,'Таблиця 1'!$I:$I,"Mi-8",'Таблиця 1'!$J:$J,"PC-80")+SUMIFS('Таблиця 1'!$K:$K,'Таблиця 1'!$B:$B,$A353,'Таблиця 1'!$I:$I,"Mi-24",'Таблиця 1'!$J:$J,"PC-80"))</f>
        <v/>
      </c>
      <c r="H353">
        <f>IF($A353="","",SUMIFS('Таблиця 1'!$K:$K,'Таблиця 1'!$B:$B,$A353,'Таблиця 1'!$I:$I,"Mi-8",'Таблиця 1'!$J:$J,"UAR-80")+SUMIFS('Таблиця 1'!$K:$K,'Таблиця 1'!$B:$B,$A353,'Таблиця 1'!$I:$I,"Mi-24",'Таблиця 1'!$J:$J,"UAR-80"))</f>
        <v/>
      </c>
      <c r="I353">
        <f>IF($A353="","",SUMIFS('Таблиця 1'!$K:$K,'Таблиця 1'!$B:$B,$A353,'Таблиця 1'!$I:$I,"Mi-8",'Таблиця 1'!$J:$J,"C-13")+SUMIFS('Таблиця 1'!$K:$K,'Таблиця 1'!$B:$B,$A353,'Таблиця 1'!$I:$I,"Mi-24",'Таблиця 1'!$J:$J,"C-13"))</f>
        <v/>
      </c>
      <c r="J353">
        <f>IF($A353="","",SUMIFS('Таблиця 1'!$K:$K,'Таблиця 1'!$B:$B,$A353,'Таблиця 1'!$I:$I,"Mi-8",'Таблиця 1'!$J:$J,"Hydra-70")+SUMIFS('Таблиця 1'!$K:$K,'Таблиця 1'!$B:$B,$A353,'Таблиця 1'!$I:$I,"Mi-24",'Таблиця 1'!$J:$J,"Hydra-70"))</f>
        <v/>
      </c>
      <c r="K353">
        <f>IF($A353="","",SUMIFS('Таблиця 1'!$K:$K,'Таблиця 1'!$B:$B,$A353,'Таблиця 1'!$I:$I,"Mi-8",'Таблиця 1'!$J:$J,"Thales-70")+SUMIFS('Таблиця 1'!$K:$K,'Таблиця 1'!$B:$B,$A353,'Таблиця 1'!$I:$I,"Mi-24",'Таблиця 1'!$J:$J,"Thales-70"))</f>
        <v/>
      </c>
      <c r="L353">
        <f>IF($A353="","",SUMIFS('Таблиця 1'!$K:$K,'Таблиця 1'!$B:$B,$A353,'Таблиця 1'!$I:$I,"Mi-8",'Таблиця 1'!$J:$J,"Thales-FZ")+SUMIFS('Таблиця 1'!$K:$K,'Таблиця 1'!$B:$B,$A353,'Таблиця 1'!$I:$I,"Mi-24",'Таблиця 1'!$J:$J,"Thales-FZ"))</f>
        <v/>
      </c>
      <c r="M353">
        <f>IF($A353="","",SUMIFS('Таблиця 1'!$K:$K,'Таблиця 1'!$B:$B,$A353,'Таблиця 1'!$I:$I,"Mi-8",'Таблиця 1'!$J:$J,"МК-40")+SUMIFS('Таблиця 1'!$K:$K,'Таблиця 1'!$B:$B,$A353,'Таблиця 1'!$I:$I,"Mi-24",'Таблиця 1'!$J:$J,"МК-40"))</f>
        <v/>
      </c>
      <c r="N353">
        <f>IF($A353="","",SUMIFS('Таблиця 1'!$K:$K,'Таблиця 1'!$B:$B,$A353,'Таблиця 1'!$I:$I,"Mi-8",'Таблиця 1'!$J:$J,"Zuni")+SUMIFS('Таблиця 1'!$K:$K,'Таблиця 1'!$B:$B,$A353,'Таблиця 1'!$I:$I,"Mi-24",'Таблиця 1'!$J:$J,"Zuni"))</f>
        <v/>
      </c>
      <c r="O353">
        <f>IF($A353="","",COUNTIFS('Таблиця 1'!$B:$B,$A353,'Таблиця 1'!$I:$I,"Mi-8",'Таблиця 1'!$L:$L,"Уражено")+COUNTIFS('Таблиця 1'!$B:$B,$A353,'Таблиця 1'!$I:$I,"Mi-24",'Таблиця 1'!$L:$L,"Уражено"))</f>
        <v/>
      </c>
      <c r="P353">
        <f>IF($A353="","",COUNTIFS('Таблиця 1'!$B:$B,$A353,'Таблиця 1'!$I:$I,"Mi-8",'Таблиця 1'!$L:$L,"НЕ уражено")+COUNTIFS('Таблиця 1'!$B:$B,$A353,'Таблиця 1'!$I:$I,"Mi-24",'Таблиця 1'!$L:$L,"НЕ уражено"))</f>
        <v/>
      </c>
    </row>
    <row r="354">
      <c r="A354" s="273">
        <f>IF(A353="","",IF(A353+1&gt;MAX('Таблиця 1'!$B:$B),"",A353+1))</f>
        <v/>
      </c>
      <c r="B354">
        <f>IF($A354="","",COUNTIFS('Таблиця 1'!$B:$B,$A354,'Таблиця 1'!$I:$I,"Mi-8")+COUNTIFS('Таблиця 1'!$B:$B,$A354,'Таблиця 1'!$I:$I,"Mi-24"))</f>
        <v/>
      </c>
      <c r="C354">
        <f>IF($A354="","",COUNTIFS('Таблиця 1'!$B:$B,$A354,'Таблиця 1'!$I:$I,"Mi-8"))</f>
        <v/>
      </c>
      <c r="D354">
        <f>IF($A354="","",COUNTIFS('Таблиця 1'!$B:$B,$A354,'Таблиця 1'!$I:$I,"Mi-24"))</f>
        <v/>
      </c>
      <c r="E354">
        <f>IF($A354="","",SUMIFS('Таблиця 1'!$K:$K,'Таблиця 1'!$B:$B,$A354,'Таблиця 1'!$I:$I,"Mi-8",'Таблиця 1'!$J:$J,"ARS-8")+SUMIFS('Таблиця 1'!$K:$K,'Таблиця 1'!$B:$B,$A354,'Таблиця 1'!$I:$I,"Mi-24",'Таблиця 1'!$J:$J,"ARS-8"))</f>
        <v/>
      </c>
      <c r="F354">
        <f>IF($A354="","",SUMIFS('Таблиця 1'!$K:$K,'Таблиця 1'!$B:$B,$A354,'Таблиця 1'!$I:$I,"Mi-8",'Таблиця 1'!$J:$J,"С-8 ком")+SUMIFS('Таблиця 1'!$K:$K,'Таблиця 1'!$B:$B,$A354,'Таблиця 1'!$I:$I,"Mi-24",'Таблиця 1'!$J:$J,"С-8 ком"))</f>
        <v/>
      </c>
      <c r="G354">
        <f>IF($A354="","",SUMIFS('Таблиця 1'!$K:$K,'Таблиця 1'!$B:$B,$A354,'Таблиця 1'!$I:$I,"Mi-8",'Таблиця 1'!$J:$J,"PC-80")+SUMIFS('Таблиця 1'!$K:$K,'Таблиця 1'!$B:$B,$A354,'Таблиця 1'!$I:$I,"Mi-24",'Таблиця 1'!$J:$J,"PC-80"))</f>
        <v/>
      </c>
      <c r="H354">
        <f>IF($A354="","",SUMIFS('Таблиця 1'!$K:$K,'Таблиця 1'!$B:$B,$A354,'Таблиця 1'!$I:$I,"Mi-8",'Таблиця 1'!$J:$J,"UAR-80")+SUMIFS('Таблиця 1'!$K:$K,'Таблиця 1'!$B:$B,$A354,'Таблиця 1'!$I:$I,"Mi-24",'Таблиця 1'!$J:$J,"UAR-80"))</f>
        <v/>
      </c>
      <c r="I354">
        <f>IF($A354="","",SUMIFS('Таблиця 1'!$K:$K,'Таблиця 1'!$B:$B,$A354,'Таблиця 1'!$I:$I,"Mi-8",'Таблиця 1'!$J:$J,"C-13")+SUMIFS('Таблиця 1'!$K:$K,'Таблиця 1'!$B:$B,$A354,'Таблиця 1'!$I:$I,"Mi-24",'Таблиця 1'!$J:$J,"C-13"))</f>
        <v/>
      </c>
      <c r="J354">
        <f>IF($A354="","",SUMIFS('Таблиця 1'!$K:$K,'Таблиця 1'!$B:$B,$A354,'Таблиця 1'!$I:$I,"Mi-8",'Таблиця 1'!$J:$J,"Hydra-70")+SUMIFS('Таблиця 1'!$K:$K,'Таблиця 1'!$B:$B,$A354,'Таблиця 1'!$I:$I,"Mi-24",'Таблиця 1'!$J:$J,"Hydra-70"))</f>
        <v/>
      </c>
      <c r="K354">
        <f>IF($A354="","",SUMIFS('Таблиця 1'!$K:$K,'Таблиця 1'!$B:$B,$A354,'Таблиця 1'!$I:$I,"Mi-8",'Таблиця 1'!$J:$J,"Thales-70")+SUMIFS('Таблиця 1'!$K:$K,'Таблиця 1'!$B:$B,$A354,'Таблиця 1'!$I:$I,"Mi-24",'Таблиця 1'!$J:$J,"Thales-70"))</f>
        <v/>
      </c>
      <c r="L354">
        <f>IF($A354="","",SUMIFS('Таблиця 1'!$K:$K,'Таблиця 1'!$B:$B,$A354,'Таблиця 1'!$I:$I,"Mi-8",'Таблиця 1'!$J:$J,"Thales-FZ")+SUMIFS('Таблиця 1'!$K:$K,'Таблиця 1'!$B:$B,$A354,'Таблиця 1'!$I:$I,"Mi-24",'Таблиця 1'!$J:$J,"Thales-FZ"))</f>
        <v/>
      </c>
      <c r="M354">
        <f>IF($A354="","",SUMIFS('Таблиця 1'!$K:$K,'Таблиця 1'!$B:$B,$A354,'Таблиця 1'!$I:$I,"Mi-8",'Таблиця 1'!$J:$J,"МК-40")+SUMIFS('Таблиця 1'!$K:$K,'Таблиця 1'!$B:$B,$A354,'Таблиця 1'!$I:$I,"Mi-24",'Таблиця 1'!$J:$J,"МК-40"))</f>
        <v/>
      </c>
      <c r="N354">
        <f>IF($A354="","",SUMIFS('Таблиця 1'!$K:$K,'Таблиця 1'!$B:$B,$A354,'Таблиця 1'!$I:$I,"Mi-8",'Таблиця 1'!$J:$J,"Zuni")+SUMIFS('Таблиця 1'!$K:$K,'Таблиця 1'!$B:$B,$A354,'Таблиця 1'!$I:$I,"Mi-24",'Таблиця 1'!$J:$J,"Zuni"))</f>
        <v/>
      </c>
      <c r="O354">
        <f>IF($A354="","",COUNTIFS('Таблиця 1'!$B:$B,$A354,'Таблиця 1'!$I:$I,"Mi-8",'Таблиця 1'!$L:$L,"Уражено")+COUNTIFS('Таблиця 1'!$B:$B,$A354,'Таблиця 1'!$I:$I,"Mi-24",'Таблиця 1'!$L:$L,"Уражено"))</f>
        <v/>
      </c>
      <c r="P354">
        <f>IF($A354="","",COUNTIFS('Таблиця 1'!$B:$B,$A354,'Таблиця 1'!$I:$I,"Mi-8",'Таблиця 1'!$L:$L,"НЕ уражено")+COUNTIFS('Таблиця 1'!$B:$B,$A354,'Таблиця 1'!$I:$I,"Mi-24",'Таблиця 1'!$L:$L,"НЕ уражено"))</f>
        <v/>
      </c>
    </row>
    <row r="355">
      <c r="A355" s="273">
        <f>IF(A354="","",IF(A354+1&gt;MAX('Таблиця 1'!$B:$B),"",A354+1))</f>
        <v/>
      </c>
      <c r="B355">
        <f>IF($A355="","",COUNTIFS('Таблиця 1'!$B:$B,$A355,'Таблиця 1'!$I:$I,"Mi-8")+COUNTIFS('Таблиця 1'!$B:$B,$A355,'Таблиця 1'!$I:$I,"Mi-24"))</f>
        <v/>
      </c>
      <c r="C355">
        <f>IF($A355="","",COUNTIFS('Таблиця 1'!$B:$B,$A355,'Таблиця 1'!$I:$I,"Mi-8"))</f>
        <v/>
      </c>
      <c r="D355">
        <f>IF($A355="","",COUNTIFS('Таблиця 1'!$B:$B,$A355,'Таблиця 1'!$I:$I,"Mi-24"))</f>
        <v/>
      </c>
      <c r="E355">
        <f>IF($A355="","",SUMIFS('Таблиця 1'!$K:$K,'Таблиця 1'!$B:$B,$A355,'Таблиця 1'!$I:$I,"Mi-8",'Таблиця 1'!$J:$J,"ARS-8")+SUMIFS('Таблиця 1'!$K:$K,'Таблиця 1'!$B:$B,$A355,'Таблиця 1'!$I:$I,"Mi-24",'Таблиця 1'!$J:$J,"ARS-8"))</f>
        <v/>
      </c>
      <c r="F355">
        <f>IF($A355="","",SUMIFS('Таблиця 1'!$K:$K,'Таблиця 1'!$B:$B,$A355,'Таблиця 1'!$I:$I,"Mi-8",'Таблиця 1'!$J:$J,"С-8 ком")+SUMIFS('Таблиця 1'!$K:$K,'Таблиця 1'!$B:$B,$A355,'Таблиця 1'!$I:$I,"Mi-24",'Таблиця 1'!$J:$J,"С-8 ком"))</f>
        <v/>
      </c>
      <c r="G355">
        <f>IF($A355="","",SUMIFS('Таблиця 1'!$K:$K,'Таблиця 1'!$B:$B,$A355,'Таблиця 1'!$I:$I,"Mi-8",'Таблиця 1'!$J:$J,"PC-80")+SUMIFS('Таблиця 1'!$K:$K,'Таблиця 1'!$B:$B,$A355,'Таблиця 1'!$I:$I,"Mi-24",'Таблиця 1'!$J:$J,"PC-80"))</f>
        <v/>
      </c>
      <c r="H355">
        <f>IF($A355="","",SUMIFS('Таблиця 1'!$K:$K,'Таблиця 1'!$B:$B,$A355,'Таблиця 1'!$I:$I,"Mi-8",'Таблиця 1'!$J:$J,"UAR-80")+SUMIFS('Таблиця 1'!$K:$K,'Таблиця 1'!$B:$B,$A355,'Таблиця 1'!$I:$I,"Mi-24",'Таблиця 1'!$J:$J,"UAR-80"))</f>
        <v/>
      </c>
      <c r="I355">
        <f>IF($A355="","",SUMIFS('Таблиця 1'!$K:$K,'Таблиця 1'!$B:$B,$A355,'Таблиця 1'!$I:$I,"Mi-8",'Таблиця 1'!$J:$J,"C-13")+SUMIFS('Таблиця 1'!$K:$K,'Таблиця 1'!$B:$B,$A355,'Таблиця 1'!$I:$I,"Mi-24",'Таблиця 1'!$J:$J,"C-13"))</f>
        <v/>
      </c>
      <c r="J355">
        <f>IF($A355="","",SUMIFS('Таблиця 1'!$K:$K,'Таблиця 1'!$B:$B,$A355,'Таблиця 1'!$I:$I,"Mi-8",'Таблиця 1'!$J:$J,"Hydra-70")+SUMIFS('Таблиця 1'!$K:$K,'Таблиця 1'!$B:$B,$A355,'Таблиця 1'!$I:$I,"Mi-24",'Таблиця 1'!$J:$J,"Hydra-70"))</f>
        <v/>
      </c>
      <c r="K355">
        <f>IF($A355="","",SUMIFS('Таблиця 1'!$K:$K,'Таблиця 1'!$B:$B,$A355,'Таблиця 1'!$I:$I,"Mi-8",'Таблиця 1'!$J:$J,"Thales-70")+SUMIFS('Таблиця 1'!$K:$K,'Таблиця 1'!$B:$B,$A355,'Таблиця 1'!$I:$I,"Mi-24",'Таблиця 1'!$J:$J,"Thales-70"))</f>
        <v/>
      </c>
      <c r="L355">
        <f>IF($A355="","",SUMIFS('Таблиця 1'!$K:$K,'Таблиця 1'!$B:$B,$A355,'Таблиця 1'!$I:$I,"Mi-8",'Таблиця 1'!$J:$J,"Thales-FZ")+SUMIFS('Таблиця 1'!$K:$K,'Таблиця 1'!$B:$B,$A355,'Таблиця 1'!$I:$I,"Mi-24",'Таблиця 1'!$J:$J,"Thales-FZ"))</f>
        <v/>
      </c>
      <c r="M355">
        <f>IF($A355="","",SUMIFS('Таблиця 1'!$K:$K,'Таблиця 1'!$B:$B,$A355,'Таблиця 1'!$I:$I,"Mi-8",'Таблиця 1'!$J:$J,"МК-40")+SUMIFS('Таблиця 1'!$K:$K,'Таблиця 1'!$B:$B,$A355,'Таблиця 1'!$I:$I,"Mi-24",'Таблиця 1'!$J:$J,"МК-40"))</f>
        <v/>
      </c>
      <c r="N355">
        <f>IF($A355="","",SUMIFS('Таблиця 1'!$K:$K,'Таблиця 1'!$B:$B,$A355,'Таблиця 1'!$I:$I,"Mi-8",'Таблиця 1'!$J:$J,"Zuni")+SUMIFS('Таблиця 1'!$K:$K,'Таблиця 1'!$B:$B,$A355,'Таблиця 1'!$I:$I,"Mi-24",'Таблиця 1'!$J:$J,"Zuni"))</f>
        <v/>
      </c>
      <c r="O355">
        <f>IF($A355="","",COUNTIFS('Таблиця 1'!$B:$B,$A355,'Таблиця 1'!$I:$I,"Mi-8",'Таблиця 1'!$L:$L,"Уражено")+COUNTIFS('Таблиця 1'!$B:$B,$A355,'Таблиця 1'!$I:$I,"Mi-24",'Таблиця 1'!$L:$L,"Уражено"))</f>
        <v/>
      </c>
      <c r="P355">
        <f>IF($A355="","",COUNTIFS('Таблиця 1'!$B:$B,$A355,'Таблиця 1'!$I:$I,"Mi-8",'Таблиця 1'!$L:$L,"НЕ уражено")+COUNTIFS('Таблиця 1'!$B:$B,$A355,'Таблиця 1'!$I:$I,"Mi-24",'Таблиця 1'!$L:$L,"НЕ уражено"))</f>
        <v/>
      </c>
    </row>
    <row r="356">
      <c r="A356" s="273">
        <f>IF(A355="","",IF(A355+1&gt;MAX('Таблиця 1'!$B:$B),"",A355+1))</f>
        <v/>
      </c>
      <c r="B356">
        <f>IF($A356="","",COUNTIFS('Таблиця 1'!$B:$B,$A356,'Таблиця 1'!$I:$I,"Mi-8")+COUNTIFS('Таблиця 1'!$B:$B,$A356,'Таблиця 1'!$I:$I,"Mi-24"))</f>
        <v/>
      </c>
      <c r="C356">
        <f>IF($A356="","",COUNTIFS('Таблиця 1'!$B:$B,$A356,'Таблиця 1'!$I:$I,"Mi-8"))</f>
        <v/>
      </c>
      <c r="D356">
        <f>IF($A356="","",COUNTIFS('Таблиця 1'!$B:$B,$A356,'Таблиця 1'!$I:$I,"Mi-24"))</f>
        <v/>
      </c>
      <c r="E356">
        <f>IF($A356="","",SUMIFS('Таблиця 1'!$K:$K,'Таблиця 1'!$B:$B,$A356,'Таблиця 1'!$I:$I,"Mi-8",'Таблиця 1'!$J:$J,"ARS-8")+SUMIFS('Таблиця 1'!$K:$K,'Таблиця 1'!$B:$B,$A356,'Таблиця 1'!$I:$I,"Mi-24",'Таблиця 1'!$J:$J,"ARS-8"))</f>
        <v/>
      </c>
      <c r="F356">
        <f>IF($A356="","",SUMIFS('Таблиця 1'!$K:$K,'Таблиця 1'!$B:$B,$A356,'Таблиця 1'!$I:$I,"Mi-8",'Таблиця 1'!$J:$J,"С-8 ком")+SUMIFS('Таблиця 1'!$K:$K,'Таблиця 1'!$B:$B,$A356,'Таблиця 1'!$I:$I,"Mi-24",'Таблиця 1'!$J:$J,"С-8 ком"))</f>
        <v/>
      </c>
      <c r="G356">
        <f>IF($A356="","",SUMIFS('Таблиця 1'!$K:$K,'Таблиця 1'!$B:$B,$A356,'Таблиця 1'!$I:$I,"Mi-8",'Таблиця 1'!$J:$J,"PC-80")+SUMIFS('Таблиця 1'!$K:$K,'Таблиця 1'!$B:$B,$A356,'Таблиця 1'!$I:$I,"Mi-24",'Таблиця 1'!$J:$J,"PC-80"))</f>
        <v/>
      </c>
      <c r="H356">
        <f>IF($A356="","",SUMIFS('Таблиця 1'!$K:$K,'Таблиця 1'!$B:$B,$A356,'Таблиця 1'!$I:$I,"Mi-8",'Таблиця 1'!$J:$J,"UAR-80")+SUMIFS('Таблиця 1'!$K:$K,'Таблиця 1'!$B:$B,$A356,'Таблиця 1'!$I:$I,"Mi-24",'Таблиця 1'!$J:$J,"UAR-80"))</f>
        <v/>
      </c>
      <c r="I356">
        <f>IF($A356="","",SUMIFS('Таблиця 1'!$K:$K,'Таблиця 1'!$B:$B,$A356,'Таблиця 1'!$I:$I,"Mi-8",'Таблиця 1'!$J:$J,"C-13")+SUMIFS('Таблиця 1'!$K:$K,'Таблиця 1'!$B:$B,$A356,'Таблиця 1'!$I:$I,"Mi-24",'Таблиця 1'!$J:$J,"C-13"))</f>
        <v/>
      </c>
      <c r="J356">
        <f>IF($A356="","",SUMIFS('Таблиця 1'!$K:$K,'Таблиця 1'!$B:$B,$A356,'Таблиця 1'!$I:$I,"Mi-8",'Таблиця 1'!$J:$J,"Hydra-70")+SUMIFS('Таблиця 1'!$K:$K,'Таблиця 1'!$B:$B,$A356,'Таблиця 1'!$I:$I,"Mi-24",'Таблиця 1'!$J:$J,"Hydra-70"))</f>
        <v/>
      </c>
      <c r="K356">
        <f>IF($A356="","",SUMIFS('Таблиця 1'!$K:$K,'Таблиця 1'!$B:$B,$A356,'Таблиця 1'!$I:$I,"Mi-8",'Таблиця 1'!$J:$J,"Thales-70")+SUMIFS('Таблиця 1'!$K:$K,'Таблиця 1'!$B:$B,$A356,'Таблиця 1'!$I:$I,"Mi-24",'Таблиця 1'!$J:$J,"Thales-70"))</f>
        <v/>
      </c>
      <c r="L356">
        <f>IF($A356="","",SUMIFS('Таблиця 1'!$K:$K,'Таблиця 1'!$B:$B,$A356,'Таблиця 1'!$I:$I,"Mi-8",'Таблиця 1'!$J:$J,"Thales-FZ")+SUMIFS('Таблиця 1'!$K:$K,'Таблиця 1'!$B:$B,$A356,'Таблиця 1'!$I:$I,"Mi-24",'Таблиця 1'!$J:$J,"Thales-FZ"))</f>
        <v/>
      </c>
      <c r="M356">
        <f>IF($A356="","",SUMIFS('Таблиця 1'!$K:$K,'Таблиця 1'!$B:$B,$A356,'Таблиця 1'!$I:$I,"Mi-8",'Таблиця 1'!$J:$J,"МК-40")+SUMIFS('Таблиця 1'!$K:$K,'Таблиця 1'!$B:$B,$A356,'Таблиця 1'!$I:$I,"Mi-24",'Таблиця 1'!$J:$J,"МК-40"))</f>
        <v/>
      </c>
      <c r="N356">
        <f>IF($A356="","",SUMIFS('Таблиця 1'!$K:$K,'Таблиця 1'!$B:$B,$A356,'Таблиця 1'!$I:$I,"Mi-8",'Таблиця 1'!$J:$J,"Zuni")+SUMIFS('Таблиця 1'!$K:$K,'Таблиця 1'!$B:$B,$A356,'Таблиця 1'!$I:$I,"Mi-24",'Таблиця 1'!$J:$J,"Zuni"))</f>
        <v/>
      </c>
      <c r="O356">
        <f>IF($A356="","",COUNTIFS('Таблиця 1'!$B:$B,$A356,'Таблиця 1'!$I:$I,"Mi-8",'Таблиця 1'!$L:$L,"Уражено")+COUNTIFS('Таблиця 1'!$B:$B,$A356,'Таблиця 1'!$I:$I,"Mi-24",'Таблиця 1'!$L:$L,"Уражено"))</f>
        <v/>
      </c>
      <c r="P356">
        <f>IF($A356="","",COUNTIFS('Таблиця 1'!$B:$B,$A356,'Таблиця 1'!$I:$I,"Mi-8",'Таблиця 1'!$L:$L,"НЕ уражено")+COUNTIFS('Таблиця 1'!$B:$B,$A356,'Таблиця 1'!$I:$I,"Mi-24",'Таблиця 1'!$L:$L,"НЕ уражено"))</f>
        <v/>
      </c>
    </row>
    <row r="357">
      <c r="A357" s="273">
        <f>IF(A356="","",IF(A356+1&gt;MAX('Таблиця 1'!$B:$B),"",A356+1))</f>
        <v/>
      </c>
      <c r="B357">
        <f>IF($A357="","",COUNTIFS('Таблиця 1'!$B:$B,$A357,'Таблиця 1'!$I:$I,"Mi-8")+COUNTIFS('Таблиця 1'!$B:$B,$A357,'Таблиця 1'!$I:$I,"Mi-24"))</f>
        <v/>
      </c>
      <c r="C357">
        <f>IF($A357="","",COUNTIFS('Таблиця 1'!$B:$B,$A357,'Таблиця 1'!$I:$I,"Mi-8"))</f>
        <v/>
      </c>
      <c r="D357">
        <f>IF($A357="","",COUNTIFS('Таблиця 1'!$B:$B,$A357,'Таблиця 1'!$I:$I,"Mi-24"))</f>
        <v/>
      </c>
      <c r="E357">
        <f>IF($A357="","",SUMIFS('Таблиця 1'!$K:$K,'Таблиця 1'!$B:$B,$A357,'Таблиця 1'!$I:$I,"Mi-8",'Таблиця 1'!$J:$J,"ARS-8")+SUMIFS('Таблиця 1'!$K:$K,'Таблиця 1'!$B:$B,$A357,'Таблиця 1'!$I:$I,"Mi-24",'Таблиця 1'!$J:$J,"ARS-8"))</f>
        <v/>
      </c>
      <c r="F357">
        <f>IF($A357="","",SUMIFS('Таблиця 1'!$K:$K,'Таблиця 1'!$B:$B,$A357,'Таблиця 1'!$I:$I,"Mi-8",'Таблиця 1'!$J:$J,"С-8 ком")+SUMIFS('Таблиця 1'!$K:$K,'Таблиця 1'!$B:$B,$A357,'Таблиця 1'!$I:$I,"Mi-24",'Таблиця 1'!$J:$J,"С-8 ком"))</f>
        <v/>
      </c>
      <c r="G357">
        <f>IF($A357="","",SUMIFS('Таблиця 1'!$K:$K,'Таблиця 1'!$B:$B,$A357,'Таблиця 1'!$I:$I,"Mi-8",'Таблиця 1'!$J:$J,"PC-80")+SUMIFS('Таблиця 1'!$K:$K,'Таблиця 1'!$B:$B,$A357,'Таблиця 1'!$I:$I,"Mi-24",'Таблиця 1'!$J:$J,"PC-80"))</f>
        <v/>
      </c>
      <c r="H357">
        <f>IF($A357="","",SUMIFS('Таблиця 1'!$K:$K,'Таблиця 1'!$B:$B,$A357,'Таблиця 1'!$I:$I,"Mi-8",'Таблиця 1'!$J:$J,"UAR-80")+SUMIFS('Таблиця 1'!$K:$K,'Таблиця 1'!$B:$B,$A357,'Таблиця 1'!$I:$I,"Mi-24",'Таблиця 1'!$J:$J,"UAR-80"))</f>
        <v/>
      </c>
      <c r="I357">
        <f>IF($A357="","",SUMIFS('Таблиця 1'!$K:$K,'Таблиця 1'!$B:$B,$A357,'Таблиця 1'!$I:$I,"Mi-8",'Таблиця 1'!$J:$J,"C-13")+SUMIFS('Таблиця 1'!$K:$K,'Таблиця 1'!$B:$B,$A357,'Таблиця 1'!$I:$I,"Mi-24",'Таблиця 1'!$J:$J,"C-13"))</f>
        <v/>
      </c>
      <c r="J357">
        <f>IF($A357="","",SUMIFS('Таблиця 1'!$K:$K,'Таблиця 1'!$B:$B,$A357,'Таблиця 1'!$I:$I,"Mi-8",'Таблиця 1'!$J:$J,"Hydra-70")+SUMIFS('Таблиця 1'!$K:$K,'Таблиця 1'!$B:$B,$A357,'Таблиця 1'!$I:$I,"Mi-24",'Таблиця 1'!$J:$J,"Hydra-70"))</f>
        <v/>
      </c>
      <c r="K357">
        <f>IF($A357="","",SUMIFS('Таблиця 1'!$K:$K,'Таблиця 1'!$B:$B,$A357,'Таблиця 1'!$I:$I,"Mi-8",'Таблиця 1'!$J:$J,"Thales-70")+SUMIFS('Таблиця 1'!$K:$K,'Таблиця 1'!$B:$B,$A357,'Таблиця 1'!$I:$I,"Mi-24",'Таблиця 1'!$J:$J,"Thales-70"))</f>
        <v/>
      </c>
      <c r="L357">
        <f>IF($A357="","",SUMIFS('Таблиця 1'!$K:$K,'Таблиця 1'!$B:$B,$A357,'Таблиця 1'!$I:$I,"Mi-8",'Таблиця 1'!$J:$J,"Thales-FZ")+SUMIFS('Таблиця 1'!$K:$K,'Таблиця 1'!$B:$B,$A357,'Таблиця 1'!$I:$I,"Mi-24",'Таблиця 1'!$J:$J,"Thales-FZ"))</f>
        <v/>
      </c>
      <c r="M357">
        <f>IF($A357="","",SUMIFS('Таблиця 1'!$K:$K,'Таблиця 1'!$B:$B,$A357,'Таблиця 1'!$I:$I,"Mi-8",'Таблиця 1'!$J:$J,"МК-40")+SUMIFS('Таблиця 1'!$K:$K,'Таблиця 1'!$B:$B,$A357,'Таблиця 1'!$I:$I,"Mi-24",'Таблиця 1'!$J:$J,"МК-40"))</f>
        <v/>
      </c>
      <c r="N357">
        <f>IF($A357="","",SUMIFS('Таблиця 1'!$K:$K,'Таблиця 1'!$B:$B,$A357,'Таблиця 1'!$I:$I,"Mi-8",'Таблиця 1'!$J:$J,"Zuni")+SUMIFS('Таблиця 1'!$K:$K,'Таблиця 1'!$B:$B,$A357,'Таблиця 1'!$I:$I,"Mi-24",'Таблиця 1'!$J:$J,"Zuni"))</f>
        <v/>
      </c>
      <c r="O357">
        <f>IF($A357="","",COUNTIFS('Таблиця 1'!$B:$B,$A357,'Таблиця 1'!$I:$I,"Mi-8",'Таблиця 1'!$L:$L,"Уражено")+COUNTIFS('Таблиця 1'!$B:$B,$A357,'Таблиця 1'!$I:$I,"Mi-24",'Таблиця 1'!$L:$L,"Уражено"))</f>
        <v/>
      </c>
      <c r="P357">
        <f>IF($A357="","",COUNTIFS('Таблиця 1'!$B:$B,$A357,'Таблиця 1'!$I:$I,"Mi-8",'Таблиця 1'!$L:$L,"НЕ уражено")+COUNTIFS('Таблиця 1'!$B:$B,$A357,'Таблиця 1'!$I:$I,"Mi-24",'Таблиця 1'!$L:$L,"НЕ уражено"))</f>
        <v/>
      </c>
    </row>
    <row r="358">
      <c r="A358" s="273">
        <f>IF(A357="","",IF(A357+1&gt;MAX('Таблиця 1'!$B:$B),"",A357+1))</f>
        <v/>
      </c>
      <c r="B358">
        <f>IF($A358="","",COUNTIFS('Таблиця 1'!$B:$B,$A358,'Таблиця 1'!$I:$I,"Mi-8")+COUNTIFS('Таблиця 1'!$B:$B,$A358,'Таблиця 1'!$I:$I,"Mi-24"))</f>
        <v/>
      </c>
      <c r="C358">
        <f>IF($A358="","",COUNTIFS('Таблиця 1'!$B:$B,$A358,'Таблиця 1'!$I:$I,"Mi-8"))</f>
        <v/>
      </c>
      <c r="D358">
        <f>IF($A358="","",COUNTIFS('Таблиця 1'!$B:$B,$A358,'Таблиця 1'!$I:$I,"Mi-24"))</f>
        <v/>
      </c>
      <c r="E358">
        <f>IF($A358="","",SUMIFS('Таблиця 1'!$K:$K,'Таблиця 1'!$B:$B,$A358,'Таблиця 1'!$I:$I,"Mi-8",'Таблиця 1'!$J:$J,"ARS-8")+SUMIFS('Таблиця 1'!$K:$K,'Таблиця 1'!$B:$B,$A358,'Таблиця 1'!$I:$I,"Mi-24",'Таблиця 1'!$J:$J,"ARS-8"))</f>
        <v/>
      </c>
      <c r="F358">
        <f>IF($A358="","",SUMIFS('Таблиця 1'!$K:$K,'Таблиця 1'!$B:$B,$A358,'Таблиця 1'!$I:$I,"Mi-8",'Таблиця 1'!$J:$J,"С-8 ком")+SUMIFS('Таблиця 1'!$K:$K,'Таблиця 1'!$B:$B,$A358,'Таблиця 1'!$I:$I,"Mi-24",'Таблиця 1'!$J:$J,"С-8 ком"))</f>
        <v/>
      </c>
      <c r="G358">
        <f>IF($A358="","",SUMIFS('Таблиця 1'!$K:$K,'Таблиця 1'!$B:$B,$A358,'Таблиця 1'!$I:$I,"Mi-8",'Таблиця 1'!$J:$J,"PC-80")+SUMIFS('Таблиця 1'!$K:$K,'Таблиця 1'!$B:$B,$A358,'Таблиця 1'!$I:$I,"Mi-24",'Таблиця 1'!$J:$J,"PC-80"))</f>
        <v/>
      </c>
      <c r="H358">
        <f>IF($A358="","",SUMIFS('Таблиця 1'!$K:$K,'Таблиця 1'!$B:$B,$A358,'Таблиця 1'!$I:$I,"Mi-8",'Таблиця 1'!$J:$J,"UAR-80")+SUMIFS('Таблиця 1'!$K:$K,'Таблиця 1'!$B:$B,$A358,'Таблиця 1'!$I:$I,"Mi-24",'Таблиця 1'!$J:$J,"UAR-80"))</f>
        <v/>
      </c>
      <c r="I358">
        <f>IF($A358="","",SUMIFS('Таблиця 1'!$K:$K,'Таблиця 1'!$B:$B,$A358,'Таблиця 1'!$I:$I,"Mi-8",'Таблиця 1'!$J:$J,"C-13")+SUMIFS('Таблиця 1'!$K:$K,'Таблиця 1'!$B:$B,$A358,'Таблиця 1'!$I:$I,"Mi-24",'Таблиця 1'!$J:$J,"C-13"))</f>
        <v/>
      </c>
      <c r="J358">
        <f>IF($A358="","",SUMIFS('Таблиця 1'!$K:$K,'Таблиця 1'!$B:$B,$A358,'Таблиця 1'!$I:$I,"Mi-8",'Таблиця 1'!$J:$J,"Hydra-70")+SUMIFS('Таблиця 1'!$K:$K,'Таблиця 1'!$B:$B,$A358,'Таблиця 1'!$I:$I,"Mi-24",'Таблиця 1'!$J:$J,"Hydra-70"))</f>
        <v/>
      </c>
      <c r="K358">
        <f>IF($A358="","",SUMIFS('Таблиця 1'!$K:$K,'Таблиця 1'!$B:$B,$A358,'Таблиця 1'!$I:$I,"Mi-8",'Таблиця 1'!$J:$J,"Thales-70")+SUMIFS('Таблиця 1'!$K:$K,'Таблиця 1'!$B:$B,$A358,'Таблиця 1'!$I:$I,"Mi-24",'Таблиця 1'!$J:$J,"Thales-70"))</f>
        <v/>
      </c>
      <c r="L358">
        <f>IF($A358="","",SUMIFS('Таблиця 1'!$K:$K,'Таблиця 1'!$B:$B,$A358,'Таблиця 1'!$I:$I,"Mi-8",'Таблиця 1'!$J:$J,"Thales-FZ")+SUMIFS('Таблиця 1'!$K:$K,'Таблиця 1'!$B:$B,$A358,'Таблиця 1'!$I:$I,"Mi-24",'Таблиця 1'!$J:$J,"Thales-FZ"))</f>
        <v/>
      </c>
      <c r="M358">
        <f>IF($A358="","",SUMIFS('Таблиця 1'!$K:$K,'Таблиця 1'!$B:$B,$A358,'Таблиця 1'!$I:$I,"Mi-8",'Таблиця 1'!$J:$J,"МК-40")+SUMIFS('Таблиця 1'!$K:$K,'Таблиця 1'!$B:$B,$A358,'Таблиця 1'!$I:$I,"Mi-24",'Таблиця 1'!$J:$J,"МК-40"))</f>
        <v/>
      </c>
      <c r="N358">
        <f>IF($A358="","",SUMIFS('Таблиця 1'!$K:$K,'Таблиця 1'!$B:$B,$A358,'Таблиця 1'!$I:$I,"Mi-8",'Таблиця 1'!$J:$J,"Zuni")+SUMIFS('Таблиця 1'!$K:$K,'Таблиця 1'!$B:$B,$A358,'Таблиця 1'!$I:$I,"Mi-24",'Таблиця 1'!$J:$J,"Zuni"))</f>
        <v/>
      </c>
      <c r="O358">
        <f>IF($A358="","",COUNTIFS('Таблиця 1'!$B:$B,$A358,'Таблиця 1'!$I:$I,"Mi-8",'Таблиця 1'!$L:$L,"Уражено")+COUNTIFS('Таблиця 1'!$B:$B,$A358,'Таблиця 1'!$I:$I,"Mi-24",'Таблиця 1'!$L:$L,"Уражено"))</f>
        <v/>
      </c>
      <c r="P358">
        <f>IF($A358="","",COUNTIFS('Таблиця 1'!$B:$B,$A358,'Таблиця 1'!$I:$I,"Mi-8",'Таблиця 1'!$L:$L,"НЕ уражено")+COUNTIFS('Таблиця 1'!$B:$B,$A358,'Таблиця 1'!$I:$I,"Mi-24",'Таблиця 1'!$L:$L,"НЕ уражено"))</f>
        <v/>
      </c>
    </row>
    <row r="359">
      <c r="A359" s="273">
        <f>IF(A358="","",IF(A358+1&gt;MAX('Таблиця 1'!$B:$B),"",A358+1))</f>
        <v/>
      </c>
      <c r="B359">
        <f>IF($A359="","",COUNTIFS('Таблиця 1'!$B:$B,$A359,'Таблиця 1'!$I:$I,"Mi-8")+COUNTIFS('Таблиця 1'!$B:$B,$A359,'Таблиця 1'!$I:$I,"Mi-24"))</f>
        <v/>
      </c>
      <c r="C359">
        <f>IF($A359="","",COUNTIFS('Таблиця 1'!$B:$B,$A359,'Таблиця 1'!$I:$I,"Mi-8"))</f>
        <v/>
      </c>
      <c r="D359">
        <f>IF($A359="","",COUNTIFS('Таблиця 1'!$B:$B,$A359,'Таблиця 1'!$I:$I,"Mi-24"))</f>
        <v/>
      </c>
      <c r="E359">
        <f>IF($A359="","",SUMIFS('Таблиця 1'!$K:$K,'Таблиця 1'!$B:$B,$A359,'Таблиця 1'!$I:$I,"Mi-8",'Таблиця 1'!$J:$J,"ARS-8")+SUMIFS('Таблиця 1'!$K:$K,'Таблиця 1'!$B:$B,$A359,'Таблиця 1'!$I:$I,"Mi-24",'Таблиця 1'!$J:$J,"ARS-8"))</f>
        <v/>
      </c>
      <c r="F359">
        <f>IF($A359="","",SUMIFS('Таблиця 1'!$K:$K,'Таблиця 1'!$B:$B,$A359,'Таблиця 1'!$I:$I,"Mi-8",'Таблиця 1'!$J:$J,"С-8 ком")+SUMIFS('Таблиця 1'!$K:$K,'Таблиця 1'!$B:$B,$A359,'Таблиця 1'!$I:$I,"Mi-24",'Таблиця 1'!$J:$J,"С-8 ком"))</f>
        <v/>
      </c>
      <c r="G359">
        <f>IF($A359="","",SUMIFS('Таблиця 1'!$K:$K,'Таблиця 1'!$B:$B,$A359,'Таблиця 1'!$I:$I,"Mi-8",'Таблиця 1'!$J:$J,"PC-80")+SUMIFS('Таблиця 1'!$K:$K,'Таблиця 1'!$B:$B,$A359,'Таблиця 1'!$I:$I,"Mi-24",'Таблиця 1'!$J:$J,"PC-80"))</f>
        <v/>
      </c>
      <c r="H359">
        <f>IF($A359="","",SUMIFS('Таблиця 1'!$K:$K,'Таблиця 1'!$B:$B,$A359,'Таблиця 1'!$I:$I,"Mi-8",'Таблиця 1'!$J:$J,"UAR-80")+SUMIFS('Таблиця 1'!$K:$K,'Таблиця 1'!$B:$B,$A359,'Таблиця 1'!$I:$I,"Mi-24",'Таблиця 1'!$J:$J,"UAR-80"))</f>
        <v/>
      </c>
      <c r="I359">
        <f>IF($A359="","",SUMIFS('Таблиця 1'!$K:$K,'Таблиця 1'!$B:$B,$A359,'Таблиця 1'!$I:$I,"Mi-8",'Таблиця 1'!$J:$J,"C-13")+SUMIFS('Таблиця 1'!$K:$K,'Таблиця 1'!$B:$B,$A359,'Таблиця 1'!$I:$I,"Mi-24",'Таблиця 1'!$J:$J,"C-13"))</f>
        <v/>
      </c>
      <c r="J359">
        <f>IF($A359="","",SUMIFS('Таблиця 1'!$K:$K,'Таблиця 1'!$B:$B,$A359,'Таблиця 1'!$I:$I,"Mi-8",'Таблиця 1'!$J:$J,"Hydra-70")+SUMIFS('Таблиця 1'!$K:$K,'Таблиця 1'!$B:$B,$A359,'Таблиця 1'!$I:$I,"Mi-24",'Таблиця 1'!$J:$J,"Hydra-70"))</f>
        <v/>
      </c>
      <c r="K359">
        <f>IF($A359="","",SUMIFS('Таблиця 1'!$K:$K,'Таблиця 1'!$B:$B,$A359,'Таблиця 1'!$I:$I,"Mi-8",'Таблиця 1'!$J:$J,"Thales-70")+SUMIFS('Таблиця 1'!$K:$K,'Таблиця 1'!$B:$B,$A359,'Таблиця 1'!$I:$I,"Mi-24",'Таблиця 1'!$J:$J,"Thales-70"))</f>
        <v/>
      </c>
      <c r="L359">
        <f>IF($A359="","",SUMIFS('Таблиця 1'!$K:$K,'Таблиця 1'!$B:$B,$A359,'Таблиця 1'!$I:$I,"Mi-8",'Таблиця 1'!$J:$J,"Thales-FZ")+SUMIFS('Таблиця 1'!$K:$K,'Таблиця 1'!$B:$B,$A359,'Таблиця 1'!$I:$I,"Mi-24",'Таблиця 1'!$J:$J,"Thales-FZ"))</f>
        <v/>
      </c>
      <c r="M359">
        <f>IF($A359="","",SUMIFS('Таблиця 1'!$K:$K,'Таблиця 1'!$B:$B,$A359,'Таблиця 1'!$I:$I,"Mi-8",'Таблиця 1'!$J:$J,"МК-40")+SUMIFS('Таблиця 1'!$K:$K,'Таблиця 1'!$B:$B,$A359,'Таблиця 1'!$I:$I,"Mi-24",'Таблиця 1'!$J:$J,"МК-40"))</f>
        <v/>
      </c>
      <c r="N359">
        <f>IF($A359="","",SUMIFS('Таблиця 1'!$K:$K,'Таблиця 1'!$B:$B,$A359,'Таблиця 1'!$I:$I,"Mi-8",'Таблиця 1'!$J:$J,"Zuni")+SUMIFS('Таблиця 1'!$K:$K,'Таблиця 1'!$B:$B,$A359,'Таблиця 1'!$I:$I,"Mi-24",'Таблиця 1'!$J:$J,"Zuni"))</f>
        <v/>
      </c>
      <c r="O359">
        <f>IF($A359="","",COUNTIFS('Таблиця 1'!$B:$B,$A359,'Таблиця 1'!$I:$I,"Mi-8",'Таблиця 1'!$L:$L,"Уражено")+COUNTIFS('Таблиця 1'!$B:$B,$A359,'Таблиця 1'!$I:$I,"Mi-24",'Таблиця 1'!$L:$L,"Уражено"))</f>
        <v/>
      </c>
      <c r="P359">
        <f>IF($A359="","",COUNTIFS('Таблиця 1'!$B:$B,$A359,'Таблиця 1'!$I:$I,"Mi-8",'Таблиця 1'!$L:$L,"НЕ уражено")+COUNTIFS('Таблиця 1'!$B:$B,$A359,'Таблиця 1'!$I:$I,"Mi-24",'Таблиця 1'!$L:$L,"НЕ уражено"))</f>
        <v/>
      </c>
    </row>
    <row r="360">
      <c r="A360" s="273">
        <f>IF(A359="","",IF(A359+1&gt;MAX('Таблиця 1'!$B:$B),"",A359+1))</f>
        <v/>
      </c>
      <c r="B360">
        <f>IF($A360="","",COUNTIFS('Таблиця 1'!$B:$B,$A360,'Таблиця 1'!$I:$I,"Mi-8")+COUNTIFS('Таблиця 1'!$B:$B,$A360,'Таблиця 1'!$I:$I,"Mi-24"))</f>
        <v/>
      </c>
      <c r="C360">
        <f>IF($A360="","",COUNTIFS('Таблиця 1'!$B:$B,$A360,'Таблиця 1'!$I:$I,"Mi-8"))</f>
        <v/>
      </c>
      <c r="D360">
        <f>IF($A360="","",COUNTIFS('Таблиця 1'!$B:$B,$A360,'Таблиця 1'!$I:$I,"Mi-24"))</f>
        <v/>
      </c>
      <c r="E360">
        <f>IF($A360="","",SUMIFS('Таблиця 1'!$K:$K,'Таблиця 1'!$B:$B,$A360,'Таблиця 1'!$I:$I,"Mi-8",'Таблиця 1'!$J:$J,"ARS-8")+SUMIFS('Таблиця 1'!$K:$K,'Таблиця 1'!$B:$B,$A360,'Таблиця 1'!$I:$I,"Mi-24",'Таблиця 1'!$J:$J,"ARS-8"))</f>
        <v/>
      </c>
      <c r="F360">
        <f>IF($A360="","",SUMIFS('Таблиця 1'!$K:$K,'Таблиця 1'!$B:$B,$A360,'Таблиця 1'!$I:$I,"Mi-8",'Таблиця 1'!$J:$J,"С-8 ком")+SUMIFS('Таблиця 1'!$K:$K,'Таблиця 1'!$B:$B,$A360,'Таблиця 1'!$I:$I,"Mi-24",'Таблиця 1'!$J:$J,"С-8 ком"))</f>
        <v/>
      </c>
      <c r="G360">
        <f>IF($A360="","",SUMIFS('Таблиця 1'!$K:$K,'Таблиця 1'!$B:$B,$A360,'Таблиця 1'!$I:$I,"Mi-8",'Таблиця 1'!$J:$J,"PC-80")+SUMIFS('Таблиця 1'!$K:$K,'Таблиця 1'!$B:$B,$A360,'Таблиця 1'!$I:$I,"Mi-24",'Таблиця 1'!$J:$J,"PC-80"))</f>
        <v/>
      </c>
      <c r="H360">
        <f>IF($A360="","",SUMIFS('Таблиця 1'!$K:$K,'Таблиця 1'!$B:$B,$A360,'Таблиця 1'!$I:$I,"Mi-8",'Таблиця 1'!$J:$J,"UAR-80")+SUMIFS('Таблиця 1'!$K:$K,'Таблиця 1'!$B:$B,$A360,'Таблиця 1'!$I:$I,"Mi-24",'Таблиця 1'!$J:$J,"UAR-80"))</f>
        <v/>
      </c>
      <c r="I360">
        <f>IF($A360="","",SUMIFS('Таблиця 1'!$K:$K,'Таблиця 1'!$B:$B,$A360,'Таблиця 1'!$I:$I,"Mi-8",'Таблиця 1'!$J:$J,"C-13")+SUMIFS('Таблиця 1'!$K:$K,'Таблиця 1'!$B:$B,$A360,'Таблиця 1'!$I:$I,"Mi-24",'Таблиця 1'!$J:$J,"C-13"))</f>
        <v/>
      </c>
      <c r="J360">
        <f>IF($A360="","",SUMIFS('Таблиця 1'!$K:$K,'Таблиця 1'!$B:$B,$A360,'Таблиця 1'!$I:$I,"Mi-8",'Таблиця 1'!$J:$J,"Hydra-70")+SUMIFS('Таблиця 1'!$K:$K,'Таблиця 1'!$B:$B,$A360,'Таблиця 1'!$I:$I,"Mi-24",'Таблиця 1'!$J:$J,"Hydra-70"))</f>
        <v/>
      </c>
      <c r="K360">
        <f>IF($A360="","",SUMIFS('Таблиця 1'!$K:$K,'Таблиця 1'!$B:$B,$A360,'Таблиця 1'!$I:$I,"Mi-8",'Таблиця 1'!$J:$J,"Thales-70")+SUMIFS('Таблиця 1'!$K:$K,'Таблиця 1'!$B:$B,$A360,'Таблиця 1'!$I:$I,"Mi-24",'Таблиця 1'!$J:$J,"Thales-70"))</f>
        <v/>
      </c>
      <c r="L360">
        <f>IF($A360="","",SUMIFS('Таблиця 1'!$K:$K,'Таблиця 1'!$B:$B,$A360,'Таблиця 1'!$I:$I,"Mi-8",'Таблиця 1'!$J:$J,"Thales-FZ")+SUMIFS('Таблиця 1'!$K:$K,'Таблиця 1'!$B:$B,$A360,'Таблиця 1'!$I:$I,"Mi-24",'Таблиця 1'!$J:$J,"Thales-FZ"))</f>
        <v/>
      </c>
      <c r="M360">
        <f>IF($A360="","",SUMIFS('Таблиця 1'!$K:$K,'Таблиця 1'!$B:$B,$A360,'Таблиця 1'!$I:$I,"Mi-8",'Таблиця 1'!$J:$J,"МК-40")+SUMIFS('Таблиця 1'!$K:$K,'Таблиця 1'!$B:$B,$A360,'Таблиця 1'!$I:$I,"Mi-24",'Таблиця 1'!$J:$J,"МК-40"))</f>
        <v/>
      </c>
      <c r="N360">
        <f>IF($A360="","",SUMIFS('Таблиця 1'!$K:$K,'Таблиця 1'!$B:$B,$A360,'Таблиця 1'!$I:$I,"Mi-8",'Таблиця 1'!$J:$J,"Zuni")+SUMIFS('Таблиця 1'!$K:$K,'Таблиця 1'!$B:$B,$A360,'Таблиця 1'!$I:$I,"Mi-24",'Таблиця 1'!$J:$J,"Zuni"))</f>
        <v/>
      </c>
      <c r="O360">
        <f>IF($A360="","",COUNTIFS('Таблиця 1'!$B:$B,$A360,'Таблиця 1'!$I:$I,"Mi-8",'Таблиця 1'!$L:$L,"Уражено")+COUNTIFS('Таблиця 1'!$B:$B,$A360,'Таблиця 1'!$I:$I,"Mi-24",'Таблиця 1'!$L:$L,"Уражено"))</f>
        <v/>
      </c>
      <c r="P360">
        <f>IF($A360="","",COUNTIFS('Таблиця 1'!$B:$B,$A360,'Таблиця 1'!$I:$I,"Mi-8",'Таблиця 1'!$L:$L,"НЕ уражено")+COUNTIFS('Таблиця 1'!$B:$B,$A360,'Таблиця 1'!$I:$I,"Mi-24",'Таблиця 1'!$L:$L,"НЕ уражено"))</f>
        <v/>
      </c>
    </row>
    <row r="361">
      <c r="A361" s="273">
        <f>IF(A360="","",IF(A360+1&gt;MAX('Таблиця 1'!$B:$B),"",A360+1))</f>
        <v/>
      </c>
      <c r="B361">
        <f>IF($A361="","",COUNTIFS('Таблиця 1'!$B:$B,$A361,'Таблиця 1'!$I:$I,"Mi-8")+COUNTIFS('Таблиця 1'!$B:$B,$A361,'Таблиця 1'!$I:$I,"Mi-24"))</f>
        <v/>
      </c>
      <c r="C361">
        <f>IF($A361="","",COUNTIFS('Таблиця 1'!$B:$B,$A361,'Таблиця 1'!$I:$I,"Mi-8"))</f>
        <v/>
      </c>
      <c r="D361">
        <f>IF($A361="","",COUNTIFS('Таблиця 1'!$B:$B,$A361,'Таблиця 1'!$I:$I,"Mi-24"))</f>
        <v/>
      </c>
      <c r="E361">
        <f>IF($A361="","",SUMIFS('Таблиця 1'!$K:$K,'Таблиця 1'!$B:$B,$A361,'Таблиця 1'!$I:$I,"Mi-8",'Таблиця 1'!$J:$J,"ARS-8")+SUMIFS('Таблиця 1'!$K:$K,'Таблиця 1'!$B:$B,$A361,'Таблиця 1'!$I:$I,"Mi-24",'Таблиця 1'!$J:$J,"ARS-8"))</f>
        <v/>
      </c>
      <c r="F361">
        <f>IF($A361="","",SUMIFS('Таблиця 1'!$K:$K,'Таблиця 1'!$B:$B,$A361,'Таблиця 1'!$I:$I,"Mi-8",'Таблиця 1'!$J:$J,"С-8 ком")+SUMIFS('Таблиця 1'!$K:$K,'Таблиця 1'!$B:$B,$A361,'Таблиця 1'!$I:$I,"Mi-24",'Таблиця 1'!$J:$J,"С-8 ком"))</f>
        <v/>
      </c>
      <c r="G361">
        <f>IF($A361="","",SUMIFS('Таблиця 1'!$K:$K,'Таблиця 1'!$B:$B,$A361,'Таблиця 1'!$I:$I,"Mi-8",'Таблиця 1'!$J:$J,"PC-80")+SUMIFS('Таблиця 1'!$K:$K,'Таблиця 1'!$B:$B,$A361,'Таблиця 1'!$I:$I,"Mi-24",'Таблиця 1'!$J:$J,"PC-80"))</f>
        <v/>
      </c>
      <c r="H361">
        <f>IF($A361="","",SUMIFS('Таблиця 1'!$K:$K,'Таблиця 1'!$B:$B,$A361,'Таблиця 1'!$I:$I,"Mi-8",'Таблиця 1'!$J:$J,"UAR-80")+SUMIFS('Таблиця 1'!$K:$K,'Таблиця 1'!$B:$B,$A361,'Таблиця 1'!$I:$I,"Mi-24",'Таблиця 1'!$J:$J,"UAR-80"))</f>
        <v/>
      </c>
      <c r="I361">
        <f>IF($A361="","",SUMIFS('Таблиця 1'!$K:$K,'Таблиця 1'!$B:$B,$A361,'Таблиця 1'!$I:$I,"Mi-8",'Таблиця 1'!$J:$J,"C-13")+SUMIFS('Таблиця 1'!$K:$K,'Таблиця 1'!$B:$B,$A361,'Таблиця 1'!$I:$I,"Mi-24",'Таблиця 1'!$J:$J,"C-13"))</f>
        <v/>
      </c>
      <c r="J361">
        <f>IF($A361="","",SUMIFS('Таблиця 1'!$K:$K,'Таблиця 1'!$B:$B,$A361,'Таблиця 1'!$I:$I,"Mi-8",'Таблиця 1'!$J:$J,"Hydra-70")+SUMIFS('Таблиця 1'!$K:$K,'Таблиця 1'!$B:$B,$A361,'Таблиця 1'!$I:$I,"Mi-24",'Таблиця 1'!$J:$J,"Hydra-70"))</f>
        <v/>
      </c>
      <c r="K361">
        <f>IF($A361="","",SUMIFS('Таблиця 1'!$K:$K,'Таблиця 1'!$B:$B,$A361,'Таблиця 1'!$I:$I,"Mi-8",'Таблиця 1'!$J:$J,"Thales-70")+SUMIFS('Таблиця 1'!$K:$K,'Таблиця 1'!$B:$B,$A361,'Таблиця 1'!$I:$I,"Mi-24",'Таблиця 1'!$J:$J,"Thales-70"))</f>
        <v/>
      </c>
      <c r="L361">
        <f>IF($A361="","",SUMIFS('Таблиця 1'!$K:$K,'Таблиця 1'!$B:$B,$A361,'Таблиця 1'!$I:$I,"Mi-8",'Таблиця 1'!$J:$J,"Thales-FZ")+SUMIFS('Таблиця 1'!$K:$K,'Таблиця 1'!$B:$B,$A361,'Таблиця 1'!$I:$I,"Mi-24",'Таблиця 1'!$J:$J,"Thales-FZ"))</f>
        <v/>
      </c>
      <c r="M361">
        <f>IF($A361="","",SUMIFS('Таблиця 1'!$K:$K,'Таблиця 1'!$B:$B,$A361,'Таблиця 1'!$I:$I,"Mi-8",'Таблиця 1'!$J:$J,"МК-40")+SUMIFS('Таблиця 1'!$K:$K,'Таблиця 1'!$B:$B,$A361,'Таблиця 1'!$I:$I,"Mi-24",'Таблиця 1'!$J:$J,"МК-40"))</f>
        <v/>
      </c>
      <c r="N361">
        <f>IF($A361="","",SUMIFS('Таблиця 1'!$K:$K,'Таблиця 1'!$B:$B,$A361,'Таблиця 1'!$I:$I,"Mi-8",'Таблиця 1'!$J:$J,"Zuni")+SUMIFS('Таблиця 1'!$K:$K,'Таблиця 1'!$B:$B,$A361,'Таблиця 1'!$I:$I,"Mi-24",'Таблиця 1'!$J:$J,"Zuni"))</f>
        <v/>
      </c>
      <c r="O361">
        <f>IF($A361="","",COUNTIFS('Таблиця 1'!$B:$B,$A361,'Таблиця 1'!$I:$I,"Mi-8",'Таблиця 1'!$L:$L,"Уражено")+COUNTIFS('Таблиця 1'!$B:$B,$A361,'Таблиця 1'!$I:$I,"Mi-24",'Таблиця 1'!$L:$L,"Уражено"))</f>
        <v/>
      </c>
      <c r="P361">
        <f>IF($A361="","",COUNTIFS('Таблиця 1'!$B:$B,$A361,'Таблиця 1'!$I:$I,"Mi-8",'Таблиця 1'!$L:$L,"НЕ уражено")+COUNTIFS('Таблиця 1'!$B:$B,$A361,'Таблиця 1'!$I:$I,"Mi-24",'Таблиця 1'!$L:$L,"НЕ уражено"))</f>
        <v/>
      </c>
    </row>
    <row r="362">
      <c r="A362" s="273">
        <f>IF(A361="","",IF(A361+1&gt;MAX('Таблиця 1'!$B:$B),"",A361+1))</f>
        <v/>
      </c>
      <c r="B362">
        <f>IF($A362="","",COUNTIFS('Таблиця 1'!$B:$B,$A362,'Таблиця 1'!$I:$I,"Mi-8")+COUNTIFS('Таблиця 1'!$B:$B,$A362,'Таблиця 1'!$I:$I,"Mi-24"))</f>
        <v/>
      </c>
      <c r="C362">
        <f>IF($A362="","",COUNTIFS('Таблиця 1'!$B:$B,$A362,'Таблиця 1'!$I:$I,"Mi-8"))</f>
        <v/>
      </c>
      <c r="D362">
        <f>IF($A362="","",COUNTIFS('Таблиця 1'!$B:$B,$A362,'Таблиця 1'!$I:$I,"Mi-24"))</f>
        <v/>
      </c>
      <c r="E362">
        <f>IF($A362="","",SUMIFS('Таблиця 1'!$K:$K,'Таблиця 1'!$B:$B,$A362,'Таблиця 1'!$I:$I,"Mi-8",'Таблиця 1'!$J:$J,"ARS-8")+SUMIFS('Таблиця 1'!$K:$K,'Таблиця 1'!$B:$B,$A362,'Таблиця 1'!$I:$I,"Mi-24",'Таблиця 1'!$J:$J,"ARS-8"))</f>
        <v/>
      </c>
      <c r="F362">
        <f>IF($A362="","",SUMIFS('Таблиця 1'!$K:$K,'Таблиця 1'!$B:$B,$A362,'Таблиця 1'!$I:$I,"Mi-8",'Таблиця 1'!$J:$J,"С-8 ком")+SUMIFS('Таблиця 1'!$K:$K,'Таблиця 1'!$B:$B,$A362,'Таблиця 1'!$I:$I,"Mi-24",'Таблиця 1'!$J:$J,"С-8 ком"))</f>
        <v/>
      </c>
      <c r="G362">
        <f>IF($A362="","",SUMIFS('Таблиця 1'!$K:$K,'Таблиця 1'!$B:$B,$A362,'Таблиця 1'!$I:$I,"Mi-8",'Таблиця 1'!$J:$J,"PC-80")+SUMIFS('Таблиця 1'!$K:$K,'Таблиця 1'!$B:$B,$A362,'Таблиця 1'!$I:$I,"Mi-24",'Таблиця 1'!$J:$J,"PC-80"))</f>
        <v/>
      </c>
      <c r="H362">
        <f>IF($A362="","",SUMIFS('Таблиця 1'!$K:$K,'Таблиця 1'!$B:$B,$A362,'Таблиця 1'!$I:$I,"Mi-8",'Таблиця 1'!$J:$J,"UAR-80")+SUMIFS('Таблиця 1'!$K:$K,'Таблиця 1'!$B:$B,$A362,'Таблиця 1'!$I:$I,"Mi-24",'Таблиця 1'!$J:$J,"UAR-80"))</f>
        <v/>
      </c>
      <c r="I362">
        <f>IF($A362="","",SUMIFS('Таблиця 1'!$K:$K,'Таблиця 1'!$B:$B,$A362,'Таблиця 1'!$I:$I,"Mi-8",'Таблиця 1'!$J:$J,"C-13")+SUMIFS('Таблиця 1'!$K:$K,'Таблиця 1'!$B:$B,$A362,'Таблиця 1'!$I:$I,"Mi-24",'Таблиця 1'!$J:$J,"C-13"))</f>
        <v/>
      </c>
      <c r="J362">
        <f>IF($A362="","",SUMIFS('Таблиця 1'!$K:$K,'Таблиця 1'!$B:$B,$A362,'Таблиця 1'!$I:$I,"Mi-8",'Таблиця 1'!$J:$J,"Hydra-70")+SUMIFS('Таблиця 1'!$K:$K,'Таблиця 1'!$B:$B,$A362,'Таблиця 1'!$I:$I,"Mi-24",'Таблиця 1'!$J:$J,"Hydra-70"))</f>
        <v/>
      </c>
      <c r="K362">
        <f>IF($A362="","",SUMIFS('Таблиця 1'!$K:$K,'Таблиця 1'!$B:$B,$A362,'Таблиця 1'!$I:$I,"Mi-8",'Таблиця 1'!$J:$J,"Thales-70")+SUMIFS('Таблиця 1'!$K:$K,'Таблиця 1'!$B:$B,$A362,'Таблиця 1'!$I:$I,"Mi-24",'Таблиця 1'!$J:$J,"Thales-70"))</f>
        <v/>
      </c>
      <c r="L362">
        <f>IF($A362="","",SUMIFS('Таблиця 1'!$K:$K,'Таблиця 1'!$B:$B,$A362,'Таблиця 1'!$I:$I,"Mi-8",'Таблиця 1'!$J:$J,"Thales-FZ")+SUMIFS('Таблиця 1'!$K:$K,'Таблиця 1'!$B:$B,$A362,'Таблиця 1'!$I:$I,"Mi-24",'Таблиця 1'!$J:$J,"Thales-FZ"))</f>
        <v/>
      </c>
      <c r="M362">
        <f>IF($A362="","",SUMIFS('Таблиця 1'!$K:$K,'Таблиця 1'!$B:$B,$A362,'Таблиця 1'!$I:$I,"Mi-8",'Таблиця 1'!$J:$J,"МК-40")+SUMIFS('Таблиця 1'!$K:$K,'Таблиця 1'!$B:$B,$A362,'Таблиця 1'!$I:$I,"Mi-24",'Таблиця 1'!$J:$J,"МК-40"))</f>
        <v/>
      </c>
      <c r="N362">
        <f>IF($A362="","",SUMIFS('Таблиця 1'!$K:$K,'Таблиця 1'!$B:$B,$A362,'Таблиця 1'!$I:$I,"Mi-8",'Таблиця 1'!$J:$J,"Zuni")+SUMIFS('Таблиця 1'!$K:$K,'Таблиця 1'!$B:$B,$A362,'Таблиця 1'!$I:$I,"Mi-24",'Таблиця 1'!$J:$J,"Zuni"))</f>
        <v/>
      </c>
      <c r="O362">
        <f>IF($A362="","",COUNTIFS('Таблиця 1'!$B:$B,$A362,'Таблиця 1'!$I:$I,"Mi-8",'Таблиця 1'!$L:$L,"Уражено")+COUNTIFS('Таблиця 1'!$B:$B,$A362,'Таблиця 1'!$I:$I,"Mi-24",'Таблиця 1'!$L:$L,"Уражено"))</f>
        <v/>
      </c>
      <c r="P362">
        <f>IF($A362="","",COUNTIFS('Таблиця 1'!$B:$B,$A362,'Таблиця 1'!$I:$I,"Mi-8",'Таблиця 1'!$L:$L,"НЕ уражено")+COUNTIFS('Таблиця 1'!$B:$B,$A362,'Таблиця 1'!$I:$I,"Mi-24",'Таблиця 1'!$L:$L,"НЕ уражено"))</f>
        <v/>
      </c>
    </row>
    <row r="363">
      <c r="A363" s="273">
        <f>IF(A362="","",IF(A362+1&gt;MAX('Таблиця 1'!$B:$B),"",A362+1))</f>
        <v/>
      </c>
      <c r="B363">
        <f>IF($A363="","",COUNTIFS('Таблиця 1'!$B:$B,$A363,'Таблиця 1'!$I:$I,"Mi-8")+COUNTIFS('Таблиця 1'!$B:$B,$A363,'Таблиця 1'!$I:$I,"Mi-24"))</f>
        <v/>
      </c>
      <c r="C363">
        <f>IF($A363="","",COUNTIFS('Таблиця 1'!$B:$B,$A363,'Таблиця 1'!$I:$I,"Mi-8"))</f>
        <v/>
      </c>
      <c r="D363">
        <f>IF($A363="","",COUNTIFS('Таблиця 1'!$B:$B,$A363,'Таблиця 1'!$I:$I,"Mi-24"))</f>
        <v/>
      </c>
      <c r="E363">
        <f>IF($A363="","",SUMIFS('Таблиця 1'!$K:$K,'Таблиця 1'!$B:$B,$A363,'Таблиця 1'!$I:$I,"Mi-8",'Таблиця 1'!$J:$J,"ARS-8")+SUMIFS('Таблиця 1'!$K:$K,'Таблиця 1'!$B:$B,$A363,'Таблиця 1'!$I:$I,"Mi-24",'Таблиця 1'!$J:$J,"ARS-8"))</f>
        <v/>
      </c>
      <c r="F363">
        <f>IF($A363="","",SUMIFS('Таблиця 1'!$K:$K,'Таблиця 1'!$B:$B,$A363,'Таблиця 1'!$I:$I,"Mi-8",'Таблиця 1'!$J:$J,"С-8 ком")+SUMIFS('Таблиця 1'!$K:$K,'Таблиця 1'!$B:$B,$A363,'Таблиця 1'!$I:$I,"Mi-24",'Таблиця 1'!$J:$J,"С-8 ком"))</f>
        <v/>
      </c>
      <c r="G363">
        <f>IF($A363="","",SUMIFS('Таблиця 1'!$K:$K,'Таблиця 1'!$B:$B,$A363,'Таблиця 1'!$I:$I,"Mi-8",'Таблиця 1'!$J:$J,"PC-80")+SUMIFS('Таблиця 1'!$K:$K,'Таблиця 1'!$B:$B,$A363,'Таблиця 1'!$I:$I,"Mi-24",'Таблиця 1'!$J:$J,"PC-80"))</f>
        <v/>
      </c>
      <c r="H363">
        <f>IF($A363="","",SUMIFS('Таблиця 1'!$K:$K,'Таблиця 1'!$B:$B,$A363,'Таблиця 1'!$I:$I,"Mi-8",'Таблиця 1'!$J:$J,"UAR-80")+SUMIFS('Таблиця 1'!$K:$K,'Таблиця 1'!$B:$B,$A363,'Таблиця 1'!$I:$I,"Mi-24",'Таблиця 1'!$J:$J,"UAR-80"))</f>
        <v/>
      </c>
      <c r="I363">
        <f>IF($A363="","",SUMIFS('Таблиця 1'!$K:$K,'Таблиця 1'!$B:$B,$A363,'Таблиця 1'!$I:$I,"Mi-8",'Таблиця 1'!$J:$J,"C-13")+SUMIFS('Таблиця 1'!$K:$K,'Таблиця 1'!$B:$B,$A363,'Таблиця 1'!$I:$I,"Mi-24",'Таблиця 1'!$J:$J,"C-13"))</f>
        <v/>
      </c>
      <c r="J363">
        <f>IF($A363="","",SUMIFS('Таблиця 1'!$K:$K,'Таблиця 1'!$B:$B,$A363,'Таблиця 1'!$I:$I,"Mi-8",'Таблиця 1'!$J:$J,"Hydra-70")+SUMIFS('Таблиця 1'!$K:$K,'Таблиця 1'!$B:$B,$A363,'Таблиця 1'!$I:$I,"Mi-24",'Таблиця 1'!$J:$J,"Hydra-70"))</f>
        <v/>
      </c>
      <c r="K363">
        <f>IF($A363="","",SUMIFS('Таблиця 1'!$K:$K,'Таблиця 1'!$B:$B,$A363,'Таблиця 1'!$I:$I,"Mi-8",'Таблиця 1'!$J:$J,"Thales-70")+SUMIFS('Таблиця 1'!$K:$K,'Таблиця 1'!$B:$B,$A363,'Таблиця 1'!$I:$I,"Mi-24",'Таблиця 1'!$J:$J,"Thales-70"))</f>
        <v/>
      </c>
      <c r="L363">
        <f>IF($A363="","",SUMIFS('Таблиця 1'!$K:$K,'Таблиця 1'!$B:$B,$A363,'Таблиця 1'!$I:$I,"Mi-8",'Таблиця 1'!$J:$J,"Thales-FZ")+SUMIFS('Таблиця 1'!$K:$K,'Таблиця 1'!$B:$B,$A363,'Таблиця 1'!$I:$I,"Mi-24",'Таблиця 1'!$J:$J,"Thales-FZ"))</f>
        <v/>
      </c>
      <c r="M363">
        <f>IF($A363="","",SUMIFS('Таблиця 1'!$K:$K,'Таблиця 1'!$B:$B,$A363,'Таблиця 1'!$I:$I,"Mi-8",'Таблиця 1'!$J:$J,"МК-40")+SUMIFS('Таблиця 1'!$K:$K,'Таблиця 1'!$B:$B,$A363,'Таблиця 1'!$I:$I,"Mi-24",'Таблиця 1'!$J:$J,"МК-40"))</f>
        <v/>
      </c>
      <c r="N363">
        <f>IF($A363="","",SUMIFS('Таблиця 1'!$K:$K,'Таблиця 1'!$B:$B,$A363,'Таблиця 1'!$I:$I,"Mi-8",'Таблиця 1'!$J:$J,"Zuni")+SUMIFS('Таблиця 1'!$K:$K,'Таблиця 1'!$B:$B,$A363,'Таблиця 1'!$I:$I,"Mi-24",'Таблиця 1'!$J:$J,"Zuni"))</f>
        <v/>
      </c>
      <c r="O363">
        <f>IF($A363="","",COUNTIFS('Таблиця 1'!$B:$B,$A363,'Таблиця 1'!$I:$I,"Mi-8",'Таблиця 1'!$L:$L,"Уражено")+COUNTIFS('Таблиця 1'!$B:$B,$A363,'Таблиця 1'!$I:$I,"Mi-24",'Таблиця 1'!$L:$L,"Уражено"))</f>
        <v/>
      </c>
      <c r="P363">
        <f>IF($A363="","",COUNTIFS('Таблиця 1'!$B:$B,$A363,'Таблиця 1'!$I:$I,"Mi-8",'Таблиця 1'!$L:$L,"НЕ уражено")+COUNTIFS('Таблиця 1'!$B:$B,$A363,'Таблиця 1'!$I:$I,"Mi-24",'Таблиця 1'!$L:$L,"НЕ уражено"))</f>
        <v/>
      </c>
    </row>
    <row r="364">
      <c r="A364" s="273">
        <f>IF(A363="","",IF(A363+1&gt;MAX('Таблиця 1'!$B:$B),"",A363+1))</f>
        <v/>
      </c>
      <c r="B364">
        <f>IF($A364="","",COUNTIFS('Таблиця 1'!$B:$B,$A364,'Таблиця 1'!$I:$I,"Mi-8")+COUNTIFS('Таблиця 1'!$B:$B,$A364,'Таблиця 1'!$I:$I,"Mi-24"))</f>
        <v/>
      </c>
      <c r="C364">
        <f>IF($A364="","",COUNTIFS('Таблиця 1'!$B:$B,$A364,'Таблиця 1'!$I:$I,"Mi-8"))</f>
        <v/>
      </c>
      <c r="D364">
        <f>IF($A364="","",COUNTIFS('Таблиця 1'!$B:$B,$A364,'Таблиця 1'!$I:$I,"Mi-24"))</f>
        <v/>
      </c>
      <c r="E364">
        <f>IF($A364="","",SUMIFS('Таблиця 1'!$K:$K,'Таблиця 1'!$B:$B,$A364,'Таблиця 1'!$I:$I,"Mi-8",'Таблиця 1'!$J:$J,"ARS-8")+SUMIFS('Таблиця 1'!$K:$K,'Таблиця 1'!$B:$B,$A364,'Таблиця 1'!$I:$I,"Mi-24",'Таблиця 1'!$J:$J,"ARS-8"))</f>
        <v/>
      </c>
      <c r="F364">
        <f>IF($A364="","",SUMIFS('Таблиця 1'!$K:$K,'Таблиця 1'!$B:$B,$A364,'Таблиця 1'!$I:$I,"Mi-8",'Таблиця 1'!$J:$J,"С-8 ком")+SUMIFS('Таблиця 1'!$K:$K,'Таблиця 1'!$B:$B,$A364,'Таблиця 1'!$I:$I,"Mi-24",'Таблиця 1'!$J:$J,"С-8 ком"))</f>
        <v/>
      </c>
      <c r="G364">
        <f>IF($A364="","",SUMIFS('Таблиця 1'!$K:$K,'Таблиця 1'!$B:$B,$A364,'Таблиця 1'!$I:$I,"Mi-8",'Таблиця 1'!$J:$J,"PC-80")+SUMIFS('Таблиця 1'!$K:$K,'Таблиця 1'!$B:$B,$A364,'Таблиця 1'!$I:$I,"Mi-24",'Таблиця 1'!$J:$J,"PC-80"))</f>
        <v/>
      </c>
      <c r="H364">
        <f>IF($A364="","",SUMIFS('Таблиця 1'!$K:$K,'Таблиця 1'!$B:$B,$A364,'Таблиця 1'!$I:$I,"Mi-8",'Таблиця 1'!$J:$J,"UAR-80")+SUMIFS('Таблиця 1'!$K:$K,'Таблиця 1'!$B:$B,$A364,'Таблиця 1'!$I:$I,"Mi-24",'Таблиця 1'!$J:$J,"UAR-80"))</f>
        <v/>
      </c>
      <c r="I364">
        <f>IF($A364="","",SUMIFS('Таблиця 1'!$K:$K,'Таблиця 1'!$B:$B,$A364,'Таблиця 1'!$I:$I,"Mi-8",'Таблиця 1'!$J:$J,"C-13")+SUMIFS('Таблиця 1'!$K:$K,'Таблиця 1'!$B:$B,$A364,'Таблиця 1'!$I:$I,"Mi-24",'Таблиця 1'!$J:$J,"C-13"))</f>
        <v/>
      </c>
      <c r="J364">
        <f>IF($A364="","",SUMIFS('Таблиця 1'!$K:$K,'Таблиця 1'!$B:$B,$A364,'Таблиця 1'!$I:$I,"Mi-8",'Таблиця 1'!$J:$J,"Hydra-70")+SUMIFS('Таблиця 1'!$K:$K,'Таблиця 1'!$B:$B,$A364,'Таблиця 1'!$I:$I,"Mi-24",'Таблиця 1'!$J:$J,"Hydra-70"))</f>
        <v/>
      </c>
      <c r="K364">
        <f>IF($A364="","",SUMIFS('Таблиця 1'!$K:$K,'Таблиця 1'!$B:$B,$A364,'Таблиця 1'!$I:$I,"Mi-8",'Таблиця 1'!$J:$J,"Thales-70")+SUMIFS('Таблиця 1'!$K:$K,'Таблиця 1'!$B:$B,$A364,'Таблиця 1'!$I:$I,"Mi-24",'Таблиця 1'!$J:$J,"Thales-70"))</f>
        <v/>
      </c>
      <c r="L364">
        <f>IF($A364="","",SUMIFS('Таблиця 1'!$K:$K,'Таблиця 1'!$B:$B,$A364,'Таблиця 1'!$I:$I,"Mi-8",'Таблиця 1'!$J:$J,"Thales-FZ")+SUMIFS('Таблиця 1'!$K:$K,'Таблиця 1'!$B:$B,$A364,'Таблиця 1'!$I:$I,"Mi-24",'Таблиця 1'!$J:$J,"Thales-FZ"))</f>
        <v/>
      </c>
      <c r="M364">
        <f>IF($A364="","",SUMIFS('Таблиця 1'!$K:$K,'Таблиця 1'!$B:$B,$A364,'Таблиця 1'!$I:$I,"Mi-8",'Таблиця 1'!$J:$J,"МК-40")+SUMIFS('Таблиця 1'!$K:$K,'Таблиця 1'!$B:$B,$A364,'Таблиця 1'!$I:$I,"Mi-24",'Таблиця 1'!$J:$J,"МК-40"))</f>
        <v/>
      </c>
      <c r="N364">
        <f>IF($A364="","",SUMIFS('Таблиця 1'!$K:$K,'Таблиця 1'!$B:$B,$A364,'Таблиця 1'!$I:$I,"Mi-8",'Таблиця 1'!$J:$J,"Zuni")+SUMIFS('Таблиця 1'!$K:$K,'Таблиця 1'!$B:$B,$A364,'Таблиця 1'!$I:$I,"Mi-24",'Таблиця 1'!$J:$J,"Zuni"))</f>
        <v/>
      </c>
      <c r="O364">
        <f>IF($A364="","",COUNTIFS('Таблиця 1'!$B:$B,$A364,'Таблиця 1'!$I:$I,"Mi-8",'Таблиця 1'!$L:$L,"Уражено")+COUNTIFS('Таблиця 1'!$B:$B,$A364,'Таблиця 1'!$I:$I,"Mi-24",'Таблиця 1'!$L:$L,"Уражено"))</f>
        <v/>
      </c>
      <c r="P364">
        <f>IF($A364="","",COUNTIFS('Таблиця 1'!$B:$B,$A364,'Таблиця 1'!$I:$I,"Mi-8",'Таблиця 1'!$L:$L,"НЕ уражено")+COUNTIFS('Таблиця 1'!$B:$B,$A364,'Таблиця 1'!$I:$I,"Mi-24",'Таблиця 1'!$L:$L,"НЕ уражено"))</f>
        <v/>
      </c>
    </row>
    <row r="365">
      <c r="A365" s="273">
        <f>IF(A364="","",IF(A364+1&gt;MAX('Таблиця 1'!$B:$B),"",A364+1))</f>
        <v/>
      </c>
      <c r="B365">
        <f>IF($A365="","",COUNTIFS('Таблиця 1'!$B:$B,$A365,'Таблиця 1'!$I:$I,"Mi-8")+COUNTIFS('Таблиця 1'!$B:$B,$A365,'Таблиця 1'!$I:$I,"Mi-24"))</f>
        <v/>
      </c>
      <c r="C365">
        <f>IF($A365="","",COUNTIFS('Таблиця 1'!$B:$B,$A365,'Таблиця 1'!$I:$I,"Mi-8"))</f>
        <v/>
      </c>
      <c r="D365">
        <f>IF($A365="","",COUNTIFS('Таблиця 1'!$B:$B,$A365,'Таблиця 1'!$I:$I,"Mi-24"))</f>
        <v/>
      </c>
      <c r="E365">
        <f>IF($A365="","",SUMIFS('Таблиця 1'!$K:$K,'Таблиця 1'!$B:$B,$A365,'Таблиця 1'!$I:$I,"Mi-8",'Таблиця 1'!$J:$J,"ARS-8")+SUMIFS('Таблиця 1'!$K:$K,'Таблиця 1'!$B:$B,$A365,'Таблиця 1'!$I:$I,"Mi-24",'Таблиця 1'!$J:$J,"ARS-8"))</f>
        <v/>
      </c>
      <c r="F365">
        <f>IF($A365="","",SUMIFS('Таблиця 1'!$K:$K,'Таблиця 1'!$B:$B,$A365,'Таблиця 1'!$I:$I,"Mi-8",'Таблиця 1'!$J:$J,"С-8 ком")+SUMIFS('Таблиця 1'!$K:$K,'Таблиця 1'!$B:$B,$A365,'Таблиця 1'!$I:$I,"Mi-24",'Таблиця 1'!$J:$J,"С-8 ком"))</f>
        <v/>
      </c>
      <c r="G365">
        <f>IF($A365="","",SUMIFS('Таблиця 1'!$K:$K,'Таблиця 1'!$B:$B,$A365,'Таблиця 1'!$I:$I,"Mi-8",'Таблиця 1'!$J:$J,"PC-80")+SUMIFS('Таблиця 1'!$K:$K,'Таблиця 1'!$B:$B,$A365,'Таблиця 1'!$I:$I,"Mi-24",'Таблиця 1'!$J:$J,"PC-80"))</f>
        <v/>
      </c>
      <c r="H365">
        <f>IF($A365="","",SUMIFS('Таблиця 1'!$K:$K,'Таблиця 1'!$B:$B,$A365,'Таблиця 1'!$I:$I,"Mi-8",'Таблиця 1'!$J:$J,"UAR-80")+SUMIFS('Таблиця 1'!$K:$K,'Таблиця 1'!$B:$B,$A365,'Таблиця 1'!$I:$I,"Mi-24",'Таблиця 1'!$J:$J,"UAR-80"))</f>
        <v/>
      </c>
      <c r="I365">
        <f>IF($A365="","",SUMIFS('Таблиця 1'!$K:$K,'Таблиця 1'!$B:$B,$A365,'Таблиця 1'!$I:$I,"Mi-8",'Таблиця 1'!$J:$J,"C-13")+SUMIFS('Таблиця 1'!$K:$K,'Таблиця 1'!$B:$B,$A365,'Таблиця 1'!$I:$I,"Mi-24",'Таблиця 1'!$J:$J,"C-13"))</f>
        <v/>
      </c>
      <c r="J365">
        <f>IF($A365="","",SUMIFS('Таблиця 1'!$K:$K,'Таблиця 1'!$B:$B,$A365,'Таблиця 1'!$I:$I,"Mi-8",'Таблиця 1'!$J:$J,"Hydra-70")+SUMIFS('Таблиця 1'!$K:$K,'Таблиця 1'!$B:$B,$A365,'Таблиця 1'!$I:$I,"Mi-24",'Таблиця 1'!$J:$J,"Hydra-70"))</f>
        <v/>
      </c>
      <c r="K365">
        <f>IF($A365="","",SUMIFS('Таблиця 1'!$K:$K,'Таблиця 1'!$B:$B,$A365,'Таблиця 1'!$I:$I,"Mi-8",'Таблиця 1'!$J:$J,"Thales-70")+SUMIFS('Таблиця 1'!$K:$K,'Таблиця 1'!$B:$B,$A365,'Таблиця 1'!$I:$I,"Mi-24",'Таблиця 1'!$J:$J,"Thales-70"))</f>
        <v/>
      </c>
      <c r="L365">
        <f>IF($A365="","",SUMIFS('Таблиця 1'!$K:$K,'Таблиця 1'!$B:$B,$A365,'Таблиця 1'!$I:$I,"Mi-8",'Таблиця 1'!$J:$J,"Thales-FZ")+SUMIFS('Таблиця 1'!$K:$K,'Таблиця 1'!$B:$B,$A365,'Таблиця 1'!$I:$I,"Mi-24",'Таблиця 1'!$J:$J,"Thales-FZ"))</f>
        <v/>
      </c>
      <c r="M365">
        <f>IF($A365="","",SUMIFS('Таблиця 1'!$K:$K,'Таблиця 1'!$B:$B,$A365,'Таблиця 1'!$I:$I,"Mi-8",'Таблиця 1'!$J:$J,"МК-40")+SUMIFS('Таблиця 1'!$K:$K,'Таблиця 1'!$B:$B,$A365,'Таблиця 1'!$I:$I,"Mi-24",'Таблиця 1'!$J:$J,"МК-40"))</f>
        <v/>
      </c>
      <c r="N365">
        <f>IF($A365="","",SUMIFS('Таблиця 1'!$K:$K,'Таблиця 1'!$B:$B,$A365,'Таблиця 1'!$I:$I,"Mi-8",'Таблиця 1'!$J:$J,"Zuni")+SUMIFS('Таблиця 1'!$K:$K,'Таблиця 1'!$B:$B,$A365,'Таблиця 1'!$I:$I,"Mi-24",'Таблиця 1'!$J:$J,"Zuni"))</f>
        <v/>
      </c>
      <c r="O365">
        <f>IF($A365="","",COUNTIFS('Таблиця 1'!$B:$B,$A365,'Таблиця 1'!$I:$I,"Mi-8",'Таблиця 1'!$L:$L,"Уражено")+COUNTIFS('Таблиця 1'!$B:$B,$A365,'Таблиця 1'!$I:$I,"Mi-24",'Таблиця 1'!$L:$L,"Уражено"))</f>
        <v/>
      </c>
      <c r="P365">
        <f>IF($A365="","",COUNTIFS('Таблиця 1'!$B:$B,$A365,'Таблиця 1'!$I:$I,"Mi-8",'Таблиця 1'!$L:$L,"НЕ уражено")+COUNTIFS('Таблиця 1'!$B:$B,$A365,'Таблиця 1'!$I:$I,"Mi-24",'Таблиця 1'!$L:$L,"НЕ уражено"))</f>
        <v/>
      </c>
    </row>
    <row r="366">
      <c r="A366" s="273">
        <f>IF(A365="","",IF(A365+1&gt;MAX('Таблиця 1'!$B:$B),"",A365+1))</f>
        <v/>
      </c>
      <c r="B366">
        <f>IF($A366="","",COUNTIFS('Таблиця 1'!$B:$B,$A366,'Таблиця 1'!$I:$I,"Mi-8")+COUNTIFS('Таблиця 1'!$B:$B,$A366,'Таблиця 1'!$I:$I,"Mi-24"))</f>
        <v/>
      </c>
      <c r="C366">
        <f>IF($A366="","",COUNTIFS('Таблиця 1'!$B:$B,$A366,'Таблиця 1'!$I:$I,"Mi-8"))</f>
        <v/>
      </c>
      <c r="D366">
        <f>IF($A366="","",COUNTIFS('Таблиця 1'!$B:$B,$A366,'Таблиця 1'!$I:$I,"Mi-24"))</f>
        <v/>
      </c>
      <c r="E366">
        <f>IF($A366="","",SUMIFS('Таблиця 1'!$K:$K,'Таблиця 1'!$B:$B,$A366,'Таблиця 1'!$I:$I,"Mi-8",'Таблиця 1'!$J:$J,"ARS-8")+SUMIFS('Таблиця 1'!$K:$K,'Таблиця 1'!$B:$B,$A366,'Таблиця 1'!$I:$I,"Mi-24",'Таблиця 1'!$J:$J,"ARS-8"))</f>
        <v/>
      </c>
      <c r="F366">
        <f>IF($A366="","",SUMIFS('Таблиця 1'!$K:$K,'Таблиця 1'!$B:$B,$A366,'Таблиця 1'!$I:$I,"Mi-8",'Таблиця 1'!$J:$J,"С-8 ком")+SUMIFS('Таблиця 1'!$K:$K,'Таблиця 1'!$B:$B,$A366,'Таблиця 1'!$I:$I,"Mi-24",'Таблиця 1'!$J:$J,"С-8 ком"))</f>
        <v/>
      </c>
      <c r="G366">
        <f>IF($A366="","",SUMIFS('Таблиця 1'!$K:$K,'Таблиця 1'!$B:$B,$A366,'Таблиця 1'!$I:$I,"Mi-8",'Таблиця 1'!$J:$J,"PC-80")+SUMIFS('Таблиця 1'!$K:$K,'Таблиця 1'!$B:$B,$A366,'Таблиця 1'!$I:$I,"Mi-24",'Таблиця 1'!$J:$J,"PC-80"))</f>
        <v/>
      </c>
      <c r="H366">
        <f>IF($A366="","",SUMIFS('Таблиця 1'!$K:$K,'Таблиця 1'!$B:$B,$A366,'Таблиця 1'!$I:$I,"Mi-8",'Таблиця 1'!$J:$J,"UAR-80")+SUMIFS('Таблиця 1'!$K:$K,'Таблиця 1'!$B:$B,$A366,'Таблиця 1'!$I:$I,"Mi-24",'Таблиця 1'!$J:$J,"UAR-80"))</f>
        <v/>
      </c>
      <c r="I366">
        <f>IF($A366="","",SUMIFS('Таблиця 1'!$K:$K,'Таблиця 1'!$B:$B,$A366,'Таблиця 1'!$I:$I,"Mi-8",'Таблиця 1'!$J:$J,"C-13")+SUMIFS('Таблиця 1'!$K:$K,'Таблиця 1'!$B:$B,$A366,'Таблиця 1'!$I:$I,"Mi-24",'Таблиця 1'!$J:$J,"C-13"))</f>
        <v/>
      </c>
      <c r="J366">
        <f>IF($A366="","",SUMIFS('Таблиця 1'!$K:$K,'Таблиця 1'!$B:$B,$A366,'Таблиця 1'!$I:$I,"Mi-8",'Таблиця 1'!$J:$J,"Hydra-70")+SUMIFS('Таблиця 1'!$K:$K,'Таблиця 1'!$B:$B,$A366,'Таблиця 1'!$I:$I,"Mi-24",'Таблиця 1'!$J:$J,"Hydra-70"))</f>
        <v/>
      </c>
      <c r="K366">
        <f>IF($A366="","",SUMIFS('Таблиця 1'!$K:$K,'Таблиця 1'!$B:$B,$A366,'Таблиця 1'!$I:$I,"Mi-8",'Таблиця 1'!$J:$J,"Thales-70")+SUMIFS('Таблиця 1'!$K:$K,'Таблиця 1'!$B:$B,$A366,'Таблиця 1'!$I:$I,"Mi-24",'Таблиця 1'!$J:$J,"Thales-70"))</f>
        <v/>
      </c>
      <c r="L366">
        <f>IF($A366="","",SUMIFS('Таблиця 1'!$K:$K,'Таблиця 1'!$B:$B,$A366,'Таблиця 1'!$I:$I,"Mi-8",'Таблиця 1'!$J:$J,"Thales-FZ")+SUMIFS('Таблиця 1'!$K:$K,'Таблиця 1'!$B:$B,$A366,'Таблиця 1'!$I:$I,"Mi-24",'Таблиця 1'!$J:$J,"Thales-FZ"))</f>
        <v/>
      </c>
      <c r="M366">
        <f>IF($A366="","",SUMIFS('Таблиця 1'!$K:$K,'Таблиця 1'!$B:$B,$A366,'Таблиця 1'!$I:$I,"Mi-8",'Таблиця 1'!$J:$J,"МК-40")+SUMIFS('Таблиця 1'!$K:$K,'Таблиця 1'!$B:$B,$A366,'Таблиця 1'!$I:$I,"Mi-24",'Таблиця 1'!$J:$J,"МК-40"))</f>
        <v/>
      </c>
      <c r="N366">
        <f>IF($A366="","",SUMIFS('Таблиця 1'!$K:$K,'Таблиця 1'!$B:$B,$A366,'Таблиця 1'!$I:$I,"Mi-8",'Таблиця 1'!$J:$J,"Zuni")+SUMIFS('Таблиця 1'!$K:$K,'Таблиця 1'!$B:$B,$A366,'Таблиця 1'!$I:$I,"Mi-24",'Таблиця 1'!$J:$J,"Zuni"))</f>
        <v/>
      </c>
      <c r="O366">
        <f>IF($A366="","",COUNTIFS('Таблиця 1'!$B:$B,$A366,'Таблиця 1'!$I:$I,"Mi-8",'Таблиця 1'!$L:$L,"Уражено")+COUNTIFS('Таблиця 1'!$B:$B,$A366,'Таблиця 1'!$I:$I,"Mi-24",'Таблиця 1'!$L:$L,"Уражено"))</f>
        <v/>
      </c>
      <c r="P366">
        <f>IF($A366="","",COUNTIFS('Таблиця 1'!$B:$B,$A366,'Таблиця 1'!$I:$I,"Mi-8",'Таблиця 1'!$L:$L,"НЕ уражено")+COUNTIFS('Таблиця 1'!$B:$B,$A366,'Таблиця 1'!$I:$I,"Mi-24",'Таблиця 1'!$L:$L,"НЕ уражено"))</f>
        <v/>
      </c>
    </row>
    <row r="367">
      <c r="A367" s="273">
        <f>IF(A366="","",IF(A366+1&gt;MAX('Таблиця 1'!$B:$B),"",A366+1))</f>
        <v/>
      </c>
      <c r="B367">
        <f>IF($A367="","",COUNTIFS('Таблиця 1'!$B:$B,$A367,'Таблиця 1'!$I:$I,"Mi-8")+COUNTIFS('Таблиця 1'!$B:$B,$A367,'Таблиця 1'!$I:$I,"Mi-24"))</f>
        <v/>
      </c>
      <c r="C367">
        <f>IF($A367="","",COUNTIFS('Таблиця 1'!$B:$B,$A367,'Таблиця 1'!$I:$I,"Mi-8"))</f>
        <v/>
      </c>
      <c r="D367">
        <f>IF($A367="","",COUNTIFS('Таблиця 1'!$B:$B,$A367,'Таблиця 1'!$I:$I,"Mi-24"))</f>
        <v/>
      </c>
      <c r="E367">
        <f>IF($A367="","",SUMIFS('Таблиця 1'!$K:$K,'Таблиця 1'!$B:$B,$A367,'Таблиця 1'!$I:$I,"Mi-8",'Таблиця 1'!$J:$J,"ARS-8")+SUMIFS('Таблиця 1'!$K:$K,'Таблиця 1'!$B:$B,$A367,'Таблиця 1'!$I:$I,"Mi-24",'Таблиця 1'!$J:$J,"ARS-8"))</f>
        <v/>
      </c>
      <c r="F367">
        <f>IF($A367="","",SUMIFS('Таблиця 1'!$K:$K,'Таблиця 1'!$B:$B,$A367,'Таблиця 1'!$I:$I,"Mi-8",'Таблиця 1'!$J:$J,"С-8 ком")+SUMIFS('Таблиця 1'!$K:$K,'Таблиця 1'!$B:$B,$A367,'Таблиця 1'!$I:$I,"Mi-24",'Таблиця 1'!$J:$J,"С-8 ком"))</f>
        <v/>
      </c>
      <c r="G367">
        <f>IF($A367="","",SUMIFS('Таблиця 1'!$K:$K,'Таблиця 1'!$B:$B,$A367,'Таблиця 1'!$I:$I,"Mi-8",'Таблиця 1'!$J:$J,"PC-80")+SUMIFS('Таблиця 1'!$K:$K,'Таблиця 1'!$B:$B,$A367,'Таблиця 1'!$I:$I,"Mi-24",'Таблиця 1'!$J:$J,"PC-80"))</f>
        <v/>
      </c>
      <c r="H367">
        <f>IF($A367="","",SUMIFS('Таблиця 1'!$K:$K,'Таблиця 1'!$B:$B,$A367,'Таблиця 1'!$I:$I,"Mi-8",'Таблиця 1'!$J:$J,"UAR-80")+SUMIFS('Таблиця 1'!$K:$K,'Таблиця 1'!$B:$B,$A367,'Таблиця 1'!$I:$I,"Mi-24",'Таблиця 1'!$J:$J,"UAR-80"))</f>
        <v/>
      </c>
      <c r="I367">
        <f>IF($A367="","",SUMIFS('Таблиця 1'!$K:$K,'Таблиця 1'!$B:$B,$A367,'Таблиця 1'!$I:$I,"Mi-8",'Таблиця 1'!$J:$J,"C-13")+SUMIFS('Таблиця 1'!$K:$K,'Таблиця 1'!$B:$B,$A367,'Таблиця 1'!$I:$I,"Mi-24",'Таблиця 1'!$J:$J,"C-13"))</f>
        <v/>
      </c>
      <c r="J367">
        <f>IF($A367="","",SUMIFS('Таблиця 1'!$K:$K,'Таблиця 1'!$B:$B,$A367,'Таблиця 1'!$I:$I,"Mi-8",'Таблиця 1'!$J:$J,"Hydra-70")+SUMIFS('Таблиця 1'!$K:$K,'Таблиця 1'!$B:$B,$A367,'Таблиця 1'!$I:$I,"Mi-24",'Таблиця 1'!$J:$J,"Hydra-70"))</f>
        <v/>
      </c>
      <c r="K367">
        <f>IF($A367="","",SUMIFS('Таблиця 1'!$K:$K,'Таблиця 1'!$B:$B,$A367,'Таблиця 1'!$I:$I,"Mi-8",'Таблиця 1'!$J:$J,"Thales-70")+SUMIFS('Таблиця 1'!$K:$K,'Таблиця 1'!$B:$B,$A367,'Таблиця 1'!$I:$I,"Mi-24",'Таблиця 1'!$J:$J,"Thales-70"))</f>
        <v/>
      </c>
      <c r="L367">
        <f>IF($A367="","",SUMIFS('Таблиця 1'!$K:$K,'Таблиця 1'!$B:$B,$A367,'Таблиця 1'!$I:$I,"Mi-8",'Таблиця 1'!$J:$J,"Thales-FZ")+SUMIFS('Таблиця 1'!$K:$K,'Таблиця 1'!$B:$B,$A367,'Таблиця 1'!$I:$I,"Mi-24",'Таблиця 1'!$J:$J,"Thales-FZ"))</f>
        <v/>
      </c>
      <c r="M367">
        <f>IF($A367="","",SUMIFS('Таблиця 1'!$K:$K,'Таблиця 1'!$B:$B,$A367,'Таблиця 1'!$I:$I,"Mi-8",'Таблиця 1'!$J:$J,"МК-40")+SUMIFS('Таблиця 1'!$K:$K,'Таблиця 1'!$B:$B,$A367,'Таблиця 1'!$I:$I,"Mi-24",'Таблиця 1'!$J:$J,"МК-40"))</f>
        <v/>
      </c>
      <c r="N367">
        <f>IF($A367="","",SUMIFS('Таблиця 1'!$K:$K,'Таблиця 1'!$B:$B,$A367,'Таблиця 1'!$I:$I,"Mi-8",'Таблиця 1'!$J:$J,"Zuni")+SUMIFS('Таблиця 1'!$K:$K,'Таблиця 1'!$B:$B,$A367,'Таблиця 1'!$I:$I,"Mi-24",'Таблиця 1'!$J:$J,"Zuni"))</f>
        <v/>
      </c>
      <c r="O367">
        <f>IF($A367="","",COUNTIFS('Таблиця 1'!$B:$B,$A367,'Таблиця 1'!$I:$I,"Mi-8",'Таблиця 1'!$L:$L,"Уражено")+COUNTIFS('Таблиця 1'!$B:$B,$A367,'Таблиця 1'!$I:$I,"Mi-24",'Таблиця 1'!$L:$L,"Уражено"))</f>
        <v/>
      </c>
      <c r="P367">
        <f>IF($A367="","",COUNTIFS('Таблиця 1'!$B:$B,$A367,'Таблиця 1'!$I:$I,"Mi-8",'Таблиця 1'!$L:$L,"НЕ уражено")+COUNTIFS('Таблиця 1'!$B:$B,$A367,'Таблиця 1'!$I:$I,"Mi-24",'Таблиця 1'!$L:$L,"НЕ уражено"))</f>
        <v/>
      </c>
    </row>
    <row r="368">
      <c r="A368" s="273">
        <f>IF(A367="","",IF(A367+1&gt;MAX('Таблиця 1'!$B:$B),"",A367+1))</f>
        <v/>
      </c>
      <c r="B368">
        <f>IF($A368="","",COUNTIFS('Таблиця 1'!$B:$B,$A368,'Таблиця 1'!$I:$I,"Mi-8")+COUNTIFS('Таблиця 1'!$B:$B,$A368,'Таблиця 1'!$I:$I,"Mi-24"))</f>
        <v/>
      </c>
      <c r="C368">
        <f>IF($A368="","",COUNTIFS('Таблиця 1'!$B:$B,$A368,'Таблиця 1'!$I:$I,"Mi-8"))</f>
        <v/>
      </c>
      <c r="D368">
        <f>IF($A368="","",COUNTIFS('Таблиця 1'!$B:$B,$A368,'Таблиця 1'!$I:$I,"Mi-24"))</f>
        <v/>
      </c>
      <c r="E368">
        <f>IF($A368="","",SUMIFS('Таблиця 1'!$K:$K,'Таблиця 1'!$B:$B,$A368,'Таблиця 1'!$I:$I,"Mi-8",'Таблиця 1'!$J:$J,"ARS-8")+SUMIFS('Таблиця 1'!$K:$K,'Таблиця 1'!$B:$B,$A368,'Таблиця 1'!$I:$I,"Mi-24",'Таблиця 1'!$J:$J,"ARS-8"))</f>
        <v/>
      </c>
      <c r="F368">
        <f>IF($A368="","",SUMIFS('Таблиця 1'!$K:$K,'Таблиця 1'!$B:$B,$A368,'Таблиця 1'!$I:$I,"Mi-8",'Таблиця 1'!$J:$J,"С-8 ком")+SUMIFS('Таблиця 1'!$K:$K,'Таблиця 1'!$B:$B,$A368,'Таблиця 1'!$I:$I,"Mi-24",'Таблиця 1'!$J:$J,"С-8 ком"))</f>
        <v/>
      </c>
      <c r="G368">
        <f>IF($A368="","",SUMIFS('Таблиця 1'!$K:$K,'Таблиця 1'!$B:$B,$A368,'Таблиця 1'!$I:$I,"Mi-8",'Таблиця 1'!$J:$J,"PC-80")+SUMIFS('Таблиця 1'!$K:$K,'Таблиця 1'!$B:$B,$A368,'Таблиця 1'!$I:$I,"Mi-24",'Таблиця 1'!$J:$J,"PC-80"))</f>
        <v/>
      </c>
      <c r="H368">
        <f>IF($A368="","",SUMIFS('Таблиця 1'!$K:$K,'Таблиця 1'!$B:$B,$A368,'Таблиця 1'!$I:$I,"Mi-8",'Таблиця 1'!$J:$J,"UAR-80")+SUMIFS('Таблиця 1'!$K:$K,'Таблиця 1'!$B:$B,$A368,'Таблиця 1'!$I:$I,"Mi-24",'Таблиця 1'!$J:$J,"UAR-80"))</f>
        <v/>
      </c>
      <c r="I368">
        <f>IF($A368="","",SUMIFS('Таблиця 1'!$K:$K,'Таблиця 1'!$B:$B,$A368,'Таблиця 1'!$I:$I,"Mi-8",'Таблиця 1'!$J:$J,"C-13")+SUMIFS('Таблиця 1'!$K:$K,'Таблиця 1'!$B:$B,$A368,'Таблиця 1'!$I:$I,"Mi-24",'Таблиця 1'!$J:$J,"C-13"))</f>
        <v/>
      </c>
      <c r="J368">
        <f>IF($A368="","",SUMIFS('Таблиця 1'!$K:$K,'Таблиця 1'!$B:$B,$A368,'Таблиця 1'!$I:$I,"Mi-8",'Таблиця 1'!$J:$J,"Hydra-70")+SUMIFS('Таблиця 1'!$K:$K,'Таблиця 1'!$B:$B,$A368,'Таблиця 1'!$I:$I,"Mi-24",'Таблиця 1'!$J:$J,"Hydra-70"))</f>
        <v/>
      </c>
      <c r="K368">
        <f>IF($A368="","",SUMIFS('Таблиця 1'!$K:$K,'Таблиця 1'!$B:$B,$A368,'Таблиця 1'!$I:$I,"Mi-8",'Таблиця 1'!$J:$J,"Thales-70")+SUMIFS('Таблиця 1'!$K:$K,'Таблиця 1'!$B:$B,$A368,'Таблиця 1'!$I:$I,"Mi-24",'Таблиця 1'!$J:$J,"Thales-70"))</f>
        <v/>
      </c>
      <c r="L368">
        <f>IF($A368="","",SUMIFS('Таблиця 1'!$K:$K,'Таблиця 1'!$B:$B,$A368,'Таблиця 1'!$I:$I,"Mi-8",'Таблиця 1'!$J:$J,"Thales-FZ")+SUMIFS('Таблиця 1'!$K:$K,'Таблиця 1'!$B:$B,$A368,'Таблиця 1'!$I:$I,"Mi-24",'Таблиця 1'!$J:$J,"Thales-FZ"))</f>
        <v/>
      </c>
      <c r="M368">
        <f>IF($A368="","",SUMIFS('Таблиця 1'!$K:$K,'Таблиця 1'!$B:$B,$A368,'Таблиця 1'!$I:$I,"Mi-8",'Таблиця 1'!$J:$J,"МК-40")+SUMIFS('Таблиця 1'!$K:$K,'Таблиця 1'!$B:$B,$A368,'Таблиця 1'!$I:$I,"Mi-24",'Таблиця 1'!$J:$J,"МК-40"))</f>
        <v/>
      </c>
      <c r="N368">
        <f>IF($A368="","",SUMIFS('Таблиця 1'!$K:$K,'Таблиця 1'!$B:$B,$A368,'Таблиця 1'!$I:$I,"Mi-8",'Таблиця 1'!$J:$J,"Zuni")+SUMIFS('Таблиця 1'!$K:$K,'Таблиця 1'!$B:$B,$A368,'Таблиця 1'!$I:$I,"Mi-24",'Таблиця 1'!$J:$J,"Zuni"))</f>
        <v/>
      </c>
      <c r="O368">
        <f>IF($A368="","",COUNTIFS('Таблиця 1'!$B:$B,$A368,'Таблиця 1'!$I:$I,"Mi-8",'Таблиця 1'!$L:$L,"Уражено")+COUNTIFS('Таблиця 1'!$B:$B,$A368,'Таблиця 1'!$I:$I,"Mi-24",'Таблиця 1'!$L:$L,"Уражено"))</f>
        <v/>
      </c>
      <c r="P368">
        <f>IF($A368="","",COUNTIFS('Таблиця 1'!$B:$B,$A368,'Таблиця 1'!$I:$I,"Mi-8",'Таблиця 1'!$L:$L,"НЕ уражено")+COUNTIFS('Таблиця 1'!$B:$B,$A368,'Таблиця 1'!$I:$I,"Mi-24",'Таблиця 1'!$L:$L,"НЕ уражено"))</f>
        <v/>
      </c>
    </row>
    <row r="369">
      <c r="A369" s="273">
        <f>IF(A368="","",IF(A368+1&gt;MAX('Таблиця 1'!$B:$B),"",A368+1))</f>
        <v/>
      </c>
      <c r="B369">
        <f>IF($A369="","",COUNTIFS('Таблиця 1'!$B:$B,$A369,'Таблиця 1'!$I:$I,"Mi-8")+COUNTIFS('Таблиця 1'!$B:$B,$A369,'Таблиця 1'!$I:$I,"Mi-24"))</f>
        <v/>
      </c>
      <c r="C369">
        <f>IF($A369="","",COUNTIFS('Таблиця 1'!$B:$B,$A369,'Таблиця 1'!$I:$I,"Mi-8"))</f>
        <v/>
      </c>
      <c r="D369">
        <f>IF($A369="","",COUNTIFS('Таблиця 1'!$B:$B,$A369,'Таблиця 1'!$I:$I,"Mi-24"))</f>
        <v/>
      </c>
      <c r="E369">
        <f>IF($A369="","",SUMIFS('Таблиця 1'!$K:$K,'Таблиця 1'!$B:$B,$A369,'Таблиця 1'!$I:$I,"Mi-8",'Таблиця 1'!$J:$J,"ARS-8")+SUMIFS('Таблиця 1'!$K:$K,'Таблиця 1'!$B:$B,$A369,'Таблиця 1'!$I:$I,"Mi-24",'Таблиця 1'!$J:$J,"ARS-8"))</f>
        <v/>
      </c>
      <c r="F369">
        <f>IF($A369="","",SUMIFS('Таблиця 1'!$K:$K,'Таблиця 1'!$B:$B,$A369,'Таблиця 1'!$I:$I,"Mi-8",'Таблиця 1'!$J:$J,"С-8 ком")+SUMIFS('Таблиця 1'!$K:$K,'Таблиця 1'!$B:$B,$A369,'Таблиця 1'!$I:$I,"Mi-24",'Таблиця 1'!$J:$J,"С-8 ком"))</f>
        <v/>
      </c>
      <c r="G369">
        <f>IF($A369="","",SUMIFS('Таблиця 1'!$K:$K,'Таблиця 1'!$B:$B,$A369,'Таблиця 1'!$I:$I,"Mi-8",'Таблиця 1'!$J:$J,"PC-80")+SUMIFS('Таблиця 1'!$K:$K,'Таблиця 1'!$B:$B,$A369,'Таблиця 1'!$I:$I,"Mi-24",'Таблиця 1'!$J:$J,"PC-80"))</f>
        <v/>
      </c>
      <c r="H369">
        <f>IF($A369="","",SUMIFS('Таблиця 1'!$K:$K,'Таблиця 1'!$B:$B,$A369,'Таблиця 1'!$I:$I,"Mi-8",'Таблиця 1'!$J:$J,"UAR-80")+SUMIFS('Таблиця 1'!$K:$K,'Таблиця 1'!$B:$B,$A369,'Таблиця 1'!$I:$I,"Mi-24",'Таблиця 1'!$J:$J,"UAR-80"))</f>
        <v/>
      </c>
      <c r="I369">
        <f>IF($A369="","",SUMIFS('Таблиця 1'!$K:$K,'Таблиця 1'!$B:$B,$A369,'Таблиця 1'!$I:$I,"Mi-8",'Таблиця 1'!$J:$J,"C-13")+SUMIFS('Таблиця 1'!$K:$K,'Таблиця 1'!$B:$B,$A369,'Таблиця 1'!$I:$I,"Mi-24",'Таблиця 1'!$J:$J,"C-13"))</f>
        <v/>
      </c>
      <c r="J369">
        <f>IF($A369="","",SUMIFS('Таблиця 1'!$K:$K,'Таблиця 1'!$B:$B,$A369,'Таблиця 1'!$I:$I,"Mi-8",'Таблиця 1'!$J:$J,"Hydra-70")+SUMIFS('Таблиця 1'!$K:$K,'Таблиця 1'!$B:$B,$A369,'Таблиця 1'!$I:$I,"Mi-24",'Таблиця 1'!$J:$J,"Hydra-70"))</f>
        <v/>
      </c>
      <c r="K369">
        <f>IF($A369="","",SUMIFS('Таблиця 1'!$K:$K,'Таблиця 1'!$B:$B,$A369,'Таблиця 1'!$I:$I,"Mi-8",'Таблиця 1'!$J:$J,"Thales-70")+SUMIFS('Таблиця 1'!$K:$K,'Таблиця 1'!$B:$B,$A369,'Таблиця 1'!$I:$I,"Mi-24",'Таблиця 1'!$J:$J,"Thales-70"))</f>
        <v/>
      </c>
      <c r="L369">
        <f>IF($A369="","",SUMIFS('Таблиця 1'!$K:$K,'Таблиця 1'!$B:$B,$A369,'Таблиця 1'!$I:$I,"Mi-8",'Таблиця 1'!$J:$J,"Thales-FZ")+SUMIFS('Таблиця 1'!$K:$K,'Таблиця 1'!$B:$B,$A369,'Таблиця 1'!$I:$I,"Mi-24",'Таблиця 1'!$J:$J,"Thales-FZ"))</f>
        <v/>
      </c>
      <c r="M369">
        <f>IF($A369="","",SUMIFS('Таблиця 1'!$K:$K,'Таблиця 1'!$B:$B,$A369,'Таблиця 1'!$I:$I,"Mi-8",'Таблиця 1'!$J:$J,"МК-40")+SUMIFS('Таблиця 1'!$K:$K,'Таблиця 1'!$B:$B,$A369,'Таблиця 1'!$I:$I,"Mi-24",'Таблиця 1'!$J:$J,"МК-40"))</f>
        <v/>
      </c>
      <c r="N369">
        <f>IF($A369="","",SUMIFS('Таблиця 1'!$K:$K,'Таблиця 1'!$B:$B,$A369,'Таблиця 1'!$I:$I,"Mi-8",'Таблиця 1'!$J:$J,"Zuni")+SUMIFS('Таблиця 1'!$K:$K,'Таблиця 1'!$B:$B,$A369,'Таблиця 1'!$I:$I,"Mi-24",'Таблиця 1'!$J:$J,"Zuni"))</f>
        <v/>
      </c>
      <c r="O369">
        <f>IF($A369="","",COUNTIFS('Таблиця 1'!$B:$B,$A369,'Таблиця 1'!$I:$I,"Mi-8",'Таблиця 1'!$L:$L,"Уражено")+COUNTIFS('Таблиця 1'!$B:$B,$A369,'Таблиця 1'!$I:$I,"Mi-24",'Таблиця 1'!$L:$L,"Уражено"))</f>
        <v/>
      </c>
      <c r="P369">
        <f>IF($A369="","",COUNTIFS('Таблиця 1'!$B:$B,$A369,'Таблиця 1'!$I:$I,"Mi-8",'Таблиця 1'!$L:$L,"НЕ уражено")+COUNTIFS('Таблиця 1'!$B:$B,$A369,'Таблиця 1'!$I:$I,"Mi-24",'Таблиця 1'!$L:$L,"НЕ уражено"))</f>
        <v/>
      </c>
    </row>
    <row r="370">
      <c r="A370" s="273">
        <f>IF(A369="","",IF(A369+1&gt;MAX('Таблиця 1'!$B:$B),"",A369+1))</f>
        <v/>
      </c>
      <c r="B370">
        <f>IF($A370="","",COUNTIFS('Таблиця 1'!$B:$B,$A370,'Таблиця 1'!$I:$I,"Mi-8")+COUNTIFS('Таблиця 1'!$B:$B,$A370,'Таблиця 1'!$I:$I,"Mi-24"))</f>
        <v/>
      </c>
      <c r="C370">
        <f>IF($A370="","",COUNTIFS('Таблиця 1'!$B:$B,$A370,'Таблиця 1'!$I:$I,"Mi-8"))</f>
        <v/>
      </c>
      <c r="D370">
        <f>IF($A370="","",COUNTIFS('Таблиця 1'!$B:$B,$A370,'Таблиця 1'!$I:$I,"Mi-24"))</f>
        <v/>
      </c>
      <c r="E370">
        <f>IF($A370="","",SUMIFS('Таблиця 1'!$K:$K,'Таблиця 1'!$B:$B,$A370,'Таблиця 1'!$I:$I,"Mi-8",'Таблиця 1'!$J:$J,"ARS-8")+SUMIFS('Таблиця 1'!$K:$K,'Таблиця 1'!$B:$B,$A370,'Таблиця 1'!$I:$I,"Mi-24",'Таблиця 1'!$J:$J,"ARS-8"))</f>
        <v/>
      </c>
      <c r="F370">
        <f>IF($A370="","",SUMIFS('Таблиця 1'!$K:$K,'Таблиця 1'!$B:$B,$A370,'Таблиця 1'!$I:$I,"Mi-8",'Таблиця 1'!$J:$J,"С-8 ком")+SUMIFS('Таблиця 1'!$K:$K,'Таблиця 1'!$B:$B,$A370,'Таблиця 1'!$I:$I,"Mi-24",'Таблиця 1'!$J:$J,"С-8 ком"))</f>
        <v/>
      </c>
      <c r="G370">
        <f>IF($A370="","",SUMIFS('Таблиця 1'!$K:$K,'Таблиця 1'!$B:$B,$A370,'Таблиця 1'!$I:$I,"Mi-8",'Таблиця 1'!$J:$J,"PC-80")+SUMIFS('Таблиця 1'!$K:$K,'Таблиця 1'!$B:$B,$A370,'Таблиця 1'!$I:$I,"Mi-24",'Таблиця 1'!$J:$J,"PC-80"))</f>
        <v/>
      </c>
      <c r="H370">
        <f>IF($A370="","",SUMIFS('Таблиця 1'!$K:$K,'Таблиця 1'!$B:$B,$A370,'Таблиця 1'!$I:$I,"Mi-8",'Таблиця 1'!$J:$J,"UAR-80")+SUMIFS('Таблиця 1'!$K:$K,'Таблиця 1'!$B:$B,$A370,'Таблиця 1'!$I:$I,"Mi-24",'Таблиця 1'!$J:$J,"UAR-80"))</f>
        <v/>
      </c>
      <c r="I370">
        <f>IF($A370="","",SUMIFS('Таблиця 1'!$K:$K,'Таблиця 1'!$B:$B,$A370,'Таблиця 1'!$I:$I,"Mi-8",'Таблиця 1'!$J:$J,"C-13")+SUMIFS('Таблиця 1'!$K:$K,'Таблиця 1'!$B:$B,$A370,'Таблиця 1'!$I:$I,"Mi-24",'Таблиця 1'!$J:$J,"C-13"))</f>
        <v/>
      </c>
      <c r="J370">
        <f>IF($A370="","",SUMIFS('Таблиця 1'!$K:$K,'Таблиця 1'!$B:$B,$A370,'Таблиця 1'!$I:$I,"Mi-8",'Таблиця 1'!$J:$J,"Hydra-70")+SUMIFS('Таблиця 1'!$K:$K,'Таблиця 1'!$B:$B,$A370,'Таблиця 1'!$I:$I,"Mi-24",'Таблиця 1'!$J:$J,"Hydra-70"))</f>
        <v/>
      </c>
      <c r="K370">
        <f>IF($A370="","",SUMIFS('Таблиця 1'!$K:$K,'Таблиця 1'!$B:$B,$A370,'Таблиця 1'!$I:$I,"Mi-8",'Таблиця 1'!$J:$J,"Thales-70")+SUMIFS('Таблиця 1'!$K:$K,'Таблиця 1'!$B:$B,$A370,'Таблиця 1'!$I:$I,"Mi-24",'Таблиця 1'!$J:$J,"Thales-70"))</f>
        <v/>
      </c>
      <c r="L370">
        <f>IF($A370="","",SUMIFS('Таблиця 1'!$K:$K,'Таблиця 1'!$B:$B,$A370,'Таблиця 1'!$I:$I,"Mi-8",'Таблиця 1'!$J:$J,"Thales-FZ")+SUMIFS('Таблиця 1'!$K:$K,'Таблиця 1'!$B:$B,$A370,'Таблиця 1'!$I:$I,"Mi-24",'Таблиця 1'!$J:$J,"Thales-FZ"))</f>
        <v/>
      </c>
      <c r="M370">
        <f>IF($A370="","",SUMIFS('Таблиця 1'!$K:$K,'Таблиця 1'!$B:$B,$A370,'Таблиця 1'!$I:$I,"Mi-8",'Таблиця 1'!$J:$J,"МК-40")+SUMIFS('Таблиця 1'!$K:$K,'Таблиця 1'!$B:$B,$A370,'Таблиця 1'!$I:$I,"Mi-24",'Таблиця 1'!$J:$J,"МК-40"))</f>
        <v/>
      </c>
      <c r="N370">
        <f>IF($A370="","",SUMIFS('Таблиця 1'!$K:$K,'Таблиця 1'!$B:$B,$A370,'Таблиця 1'!$I:$I,"Mi-8",'Таблиця 1'!$J:$J,"Zuni")+SUMIFS('Таблиця 1'!$K:$K,'Таблиця 1'!$B:$B,$A370,'Таблиця 1'!$I:$I,"Mi-24",'Таблиця 1'!$J:$J,"Zuni"))</f>
        <v/>
      </c>
      <c r="O370">
        <f>IF($A370="","",COUNTIFS('Таблиця 1'!$B:$B,$A370,'Таблиця 1'!$I:$I,"Mi-8",'Таблиця 1'!$L:$L,"Уражено")+COUNTIFS('Таблиця 1'!$B:$B,$A370,'Таблиця 1'!$I:$I,"Mi-24",'Таблиця 1'!$L:$L,"Уражено"))</f>
        <v/>
      </c>
      <c r="P370">
        <f>IF($A370="","",COUNTIFS('Таблиця 1'!$B:$B,$A370,'Таблиця 1'!$I:$I,"Mi-8",'Таблиця 1'!$L:$L,"НЕ уражено")+COUNTIFS('Таблиця 1'!$B:$B,$A370,'Таблиця 1'!$I:$I,"Mi-24",'Таблиця 1'!$L:$L,"НЕ уражено"))</f>
        <v/>
      </c>
    </row>
    <row r="371">
      <c r="A371" s="273">
        <f>IF(A370="","",IF(A370+1&gt;MAX('Таблиця 1'!$B:$B),"",A370+1))</f>
        <v/>
      </c>
      <c r="B371">
        <f>IF($A371="","",COUNTIFS('Таблиця 1'!$B:$B,$A371,'Таблиця 1'!$I:$I,"Mi-8")+COUNTIFS('Таблиця 1'!$B:$B,$A371,'Таблиця 1'!$I:$I,"Mi-24"))</f>
        <v/>
      </c>
      <c r="C371">
        <f>IF($A371="","",COUNTIFS('Таблиця 1'!$B:$B,$A371,'Таблиця 1'!$I:$I,"Mi-8"))</f>
        <v/>
      </c>
      <c r="D371">
        <f>IF($A371="","",COUNTIFS('Таблиця 1'!$B:$B,$A371,'Таблиця 1'!$I:$I,"Mi-24"))</f>
        <v/>
      </c>
      <c r="E371">
        <f>IF($A371="","",SUMIFS('Таблиця 1'!$K:$K,'Таблиця 1'!$B:$B,$A371,'Таблиця 1'!$I:$I,"Mi-8",'Таблиця 1'!$J:$J,"ARS-8")+SUMIFS('Таблиця 1'!$K:$K,'Таблиця 1'!$B:$B,$A371,'Таблиця 1'!$I:$I,"Mi-24",'Таблиця 1'!$J:$J,"ARS-8"))</f>
        <v/>
      </c>
      <c r="F371">
        <f>IF($A371="","",SUMIFS('Таблиця 1'!$K:$K,'Таблиця 1'!$B:$B,$A371,'Таблиця 1'!$I:$I,"Mi-8",'Таблиця 1'!$J:$J,"С-8 ком")+SUMIFS('Таблиця 1'!$K:$K,'Таблиця 1'!$B:$B,$A371,'Таблиця 1'!$I:$I,"Mi-24",'Таблиця 1'!$J:$J,"С-8 ком"))</f>
        <v/>
      </c>
      <c r="G371">
        <f>IF($A371="","",SUMIFS('Таблиця 1'!$K:$K,'Таблиця 1'!$B:$B,$A371,'Таблиця 1'!$I:$I,"Mi-8",'Таблиця 1'!$J:$J,"PC-80")+SUMIFS('Таблиця 1'!$K:$K,'Таблиця 1'!$B:$B,$A371,'Таблиця 1'!$I:$I,"Mi-24",'Таблиця 1'!$J:$J,"PC-80"))</f>
        <v/>
      </c>
      <c r="H371">
        <f>IF($A371="","",SUMIFS('Таблиця 1'!$K:$K,'Таблиця 1'!$B:$B,$A371,'Таблиця 1'!$I:$I,"Mi-8",'Таблиця 1'!$J:$J,"UAR-80")+SUMIFS('Таблиця 1'!$K:$K,'Таблиця 1'!$B:$B,$A371,'Таблиця 1'!$I:$I,"Mi-24",'Таблиця 1'!$J:$J,"UAR-80"))</f>
        <v/>
      </c>
      <c r="I371">
        <f>IF($A371="","",SUMIFS('Таблиця 1'!$K:$K,'Таблиця 1'!$B:$B,$A371,'Таблиця 1'!$I:$I,"Mi-8",'Таблиця 1'!$J:$J,"C-13")+SUMIFS('Таблиця 1'!$K:$K,'Таблиця 1'!$B:$B,$A371,'Таблиця 1'!$I:$I,"Mi-24",'Таблиця 1'!$J:$J,"C-13"))</f>
        <v/>
      </c>
      <c r="J371">
        <f>IF($A371="","",SUMIFS('Таблиця 1'!$K:$K,'Таблиця 1'!$B:$B,$A371,'Таблиця 1'!$I:$I,"Mi-8",'Таблиця 1'!$J:$J,"Hydra-70")+SUMIFS('Таблиця 1'!$K:$K,'Таблиця 1'!$B:$B,$A371,'Таблиця 1'!$I:$I,"Mi-24",'Таблиця 1'!$J:$J,"Hydra-70"))</f>
        <v/>
      </c>
      <c r="K371">
        <f>IF($A371="","",SUMIFS('Таблиця 1'!$K:$K,'Таблиця 1'!$B:$B,$A371,'Таблиця 1'!$I:$I,"Mi-8",'Таблиця 1'!$J:$J,"Thales-70")+SUMIFS('Таблиця 1'!$K:$K,'Таблиця 1'!$B:$B,$A371,'Таблиця 1'!$I:$I,"Mi-24",'Таблиця 1'!$J:$J,"Thales-70"))</f>
        <v/>
      </c>
      <c r="L371">
        <f>IF($A371="","",SUMIFS('Таблиця 1'!$K:$K,'Таблиця 1'!$B:$B,$A371,'Таблиця 1'!$I:$I,"Mi-8",'Таблиця 1'!$J:$J,"Thales-FZ")+SUMIFS('Таблиця 1'!$K:$K,'Таблиця 1'!$B:$B,$A371,'Таблиця 1'!$I:$I,"Mi-24",'Таблиця 1'!$J:$J,"Thales-FZ"))</f>
        <v/>
      </c>
      <c r="M371">
        <f>IF($A371="","",SUMIFS('Таблиця 1'!$K:$K,'Таблиця 1'!$B:$B,$A371,'Таблиця 1'!$I:$I,"Mi-8",'Таблиця 1'!$J:$J,"МК-40")+SUMIFS('Таблиця 1'!$K:$K,'Таблиця 1'!$B:$B,$A371,'Таблиця 1'!$I:$I,"Mi-24",'Таблиця 1'!$J:$J,"МК-40"))</f>
        <v/>
      </c>
      <c r="N371">
        <f>IF($A371="","",SUMIFS('Таблиця 1'!$K:$K,'Таблиця 1'!$B:$B,$A371,'Таблиця 1'!$I:$I,"Mi-8",'Таблиця 1'!$J:$J,"Zuni")+SUMIFS('Таблиця 1'!$K:$K,'Таблиця 1'!$B:$B,$A371,'Таблиця 1'!$I:$I,"Mi-24",'Таблиця 1'!$J:$J,"Zuni"))</f>
        <v/>
      </c>
      <c r="O371">
        <f>IF($A371="","",COUNTIFS('Таблиця 1'!$B:$B,$A371,'Таблиця 1'!$I:$I,"Mi-8",'Таблиця 1'!$L:$L,"Уражено")+COUNTIFS('Таблиця 1'!$B:$B,$A371,'Таблиця 1'!$I:$I,"Mi-24",'Таблиця 1'!$L:$L,"Уражено"))</f>
        <v/>
      </c>
      <c r="P371">
        <f>IF($A371="","",COUNTIFS('Таблиця 1'!$B:$B,$A371,'Таблиця 1'!$I:$I,"Mi-8",'Таблиця 1'!$L:$L,"НЕ уражено")+COUNTIFS('Таблиця 1'!$B:$B,$A371,'Таблиця 1'!$I:$I,"Mi-24",'Таблиця 1'!$L:$L,"НЕ уражено"))</f>
        <v/>
      </c>
    </row>
    <row r="372">
      <c r="A372" s="273">
        <f>IF(A371="","",IF(A371+1&gt;MAX('Таблиця 1'!$B:$B),"",A371+1))</f>
        <v/>
      </c>
      <c r="B372">
        <f>IF($A372="","",COUNTIFS('Таблиця 1'!$B:$B,$A372,'Таблиця 1'!$I:$I,"Mi-8")+COUNTIFS('Таблиця 1'!$B:$B,$A372,'Таблиця 1'!$I:$I,"Mi-24"))</f>
        <v/>
      </c>
      <c r="C372">
        <f>IF($A372="","",COUNTIFS('Таблиця 1'!$B:$B,$A372,'Таблиця 1'!$I:$I,"Mi-8"))</f>
        <v/>
      </c>
      <c r="D372">
        <f>IF($A372="","",COUNTIFS('Таблиця 1'!$B:$B,$A372,'Таблиця 1'!$I:$I,"Mi-24"))</f>
        <v/>
      </c>
      <c r="E372">
        <f>IF($A372="","",SUMIFS('Таблиця 1'!$K:$K,'Таблиця 1'!$B:$B,$A372,'Таблиця 1'!$I:$I,"Mi-8",'Таблиця 1'!$J:$J,"ARS-8")+SUMIFS('Таблиця 1'!$K:$K,'Таблиця 1'!$B:$B,$A372,'Таблиця 1'!$I:$I,"Mi-24",'Таблиця 1'!$J:$J,"ARS-8"))</f>
        <v/>
      </c>
      <c r="F372">
        <f>IF($A372="","",SUMIFS('Таблиця 1'!$K:$K,'Таблиця 1'!$B:$B,$A372,'Таблиця 1'!$I:$I,"Mi-8",'Таблиця 1'!$J:$J,"С-8 ком")+SUMIFS('Таблиця 1'!$K:$K,'Таблиця 1'!$B:$B,$A372,'Таблиця 1'!$I:$I,"Mi-24",'Таблиця 1'!$J:$J,"С-8 ком"))</f>
        <v/>
      </c>
      <c r="G372">
        <f>IF($A372="","",SUMIFS('Таблиця 1'!$K:$K,'Таблиця 1'!$B:$B,$A372,'Таблиця 1'!$I:$I,"Mi-8",'Таблиця 1'!$J:$J,"PC-80")+SUMIFS('Таблиця 1'!$K:$K,'Таблиця 1'!$B:$B,$A372,'Таблиця 1'!$I:$I,"Mi-24",'Таблиця 1'!$J:$J,"PC-80"))</f>
        <v/>
      </c>
      <c r="H372">
        <f>IF($A372="","",SUMIFS('Таблиця 1'!$K:$K,'Таблиця 1'!$B:$B,$A372,'Таблиця 1'!$I:$I,"Mi-8",'Таблиця 1'!$J:$J,"UAR-80")+SUMIFS('Таблиця 1'!$K:$K,'Таблиця 1'!$B:$B,$A372,'Таблиця 1'!$I:$I,"Mi-24",'Таблиця 1'!$J:$J,"UAR-80"))</f>
        <v/>
      </c>
      <c r="I372">
        <f>IF($A372="","",SUMIFS('Таблиця 1'!$K:$K,'Таблиця 1'!$B:$B,$A372,'Таблиця 1'!$I:$I,"Mi-8",'Таблиця 1'!$J:$J,"C-13")+SUMIFS('Таблиця 1'!$K:$K,'Таблиця 1'!$B:$B,$A372,'Таблиця 1'!$I:$I,"Mi-24",'Таблиця 1'!$J:$J,"C-13"))</f>
        <v/>
      </c>
      <c r="J372">
        <f>IF($A372="","",SUMIFS('Таблиця 1'!$K:$K,'Таблиця 1'!$B:$B,$A372,'Таблиця 1'!$I:$I,"Mi-8",'Таблиця 1'!$J:$J,"Hydra-70")+SUMIFS('Таблиця 1'!$K:$K,'Таблиця 1'!$B:$B,$A372,'Таблиця 1'!$I:$I,"Mi-24",'Таблиця 1'!$J:$J,"Hydra-70"))</f>
        <v/>
      </c>
      <c r="K372">
        <f>IF($A372="","",SUMIFS('Таблиця 1'!$K:$K,'Таблиця 1'!$B:$B,$A372,'Таблиця 1'!$I:$I,"Mi-8",'Таблиця 1'!$J:$J,"Thales-70")+SUMIFS('Таблиця 1'!$K:$K,'Таблиця 1'!$B:$B,$A372,'Таблиця 1'!$I:$I,"Mi-24",'Таблиця 1'!$J:$J,"Thales-70"))</f>
        <v/>
      </c>
      <c r="L372">
        <f>IF($A372="","",SUMIFS('Таблиця 1'!$K:$K,'Таблиця 1'!$B:$B,$A372,'Таблиця 1'!$I:$I,"Mi-8",'Таблиця 1'!$J:$J,"Thales-FZ")+SUMIFS('Таблиця 1'!$K:$K,'Таблиця 1'!$B:$B,$A372,'Таблиця 1'!$I:$I,"Mi-24",'Таблиця 1'!$J:$J,"Thales-FZ"))</f>
        <v/>
      </c>
      <c r="M372">
        <f>IF($A372="","",SUMIFS('Таблиця 1'!$K:$K,'Таблиця 1'!$B:$B,$A372,'Таблиця 1'!$I:$I,"Mi-8",'Таблиця 1'!$J:$J,"МК-40")+SUMIFS('Таблиця 1'!$K:$K,'Таблиця 1'!$B:$B,$A372,'Таблиця 1'!$I:$I,"Mi-24",'Таблиця 1'!$J:$J,"МК-40"))</f>
        <v/>
      </c>
      <c r="N372">
        <f>IF($A372="","",SUMIFS('Таблиця 1'!$K:$K,'Таблиця 1'!$B:$B,$A372,'Таблиця 1'!$I:$I,"Mi-8",'Таблиця 1'!$J:$J,"Zuni")+SUMIFS('Таблиця 1'!$K:$K,'Таблиця 1'!$B:$B,$A372,'Таблиця 1'!$I:$I,"Mi-24",'Таблиця 1'!$J:$J,"Zuni"))</f>
        <v/>
      </c>
      <c r="O372">
        <f>IF($A372="","",COUNTIFS('Таблиця 1'!$B:$B,$A372,'Таблиця 1'!$I:$I,"Mi-8",'Таблиця 1'!$L:$L,"Уражено")+COUNTIFS('Таблиця 1'!$B:$B,$A372,'Таблиця 1'!$I:$I,"Mi-24",'Таблиця 1'!$L:$L,"Уражено"))</f>
        <v/>
      </c>
      <c r="P372">
        <f>IF($A372="","",COUNTIFS('Таблиця 1'!$B:$B,$A372,'Таблиця 1'!$I:$I,"Mi-8",'Таблиця 1'!$L:$L,"НЕ уражено")+COUNTIFS('Таблиця 1'!$B:$B,$A372,'Таблиця 1'!$I:$I,"Mi-24",'Таблиця 1'!$L:$L,"НЕ уражено"))</f>
        <v/>
      </c>
    </row>
    <row r="373">
      <c r="A373" s="273">
        <f>IF(A372="","",IF(A372+1&gt;MAX('Таблиця 1'!$B:$B),"",A372+1))</f>
        <v/>
      </c>
      <c r="B373">
        <f>IF($A373="","",COUNTIFS('Таблиця 1'!$B:$B,$A373,'Таблиця 1'!$I:$I,"Mi-8")+COUNTIFS('Таблиця 1'!$B:$B,$A373,'Таблиця 1'!$I:$I,"Mi-24"))</f>
        <v/>
      </c>
      <c r="C373">
        <f>IF($A373="","",COUNTIFS('Таблиця 1'!$B:$B,$A373,'Таблиця 1'!$I:$I,"Mi-8"))</f>
        <v/>
      </c>
      <c r="D373">
        <f>IF($A373="","",COUNTIFS('Таблиця 1'!$B:$B,$A373,'Таблиця 1'!$I:$I,"Mi-24"))</f>
        <v/>
      </c>
      <c r="E373">
        <f>IF($A373="","",SUMIFS('Таблиця 1'!$K:$K,'Таблиця 1'!$B:$B,$A373,'Таблиця 1'!$I:$I,"Mi-8",'Таблиця 1'!$J:$J,"ARS-8")+SUMIFS('Таблиця 1'!$K:$K,'Таблиця 1'!$B:$B,$A373,'Таблиця 1'!$I:$I,"Mi-24",'Таблиця 1'!$J:$J,"ARS-8"))</f>
        <v/>
      </c>
      <c r="F373">
        <f>IF($A373="","",SUMIFS('Таблиця 1'!$K:$K,'Таблиця 1'!$B:$B,$A373,'Таблиця 1'!$I:$I,"Mi-8",'Таблиця 1'!$J:$J,"С-8 ком")+SUMIFS('Таблиця 1'!$K:$K,'Таблиця 1'!$B:$B,$A373,'Таблиця 1'!$I:$I,"Mi-24",'Таблиця 1'!$J:$J,"С-8 ком"))</f>
        <v/>
      </c>
      <c r="G373">
        <f>IF($A373="","",SUMIFS('Таблиця 1'!$K:$K,'Таблиця 1'!$B:$B,$A373,'Таблиця 1'!$I:$I,"Mi-8",'Таблиця 1'!$J:$J,"PC-80")+SUMIFS('Таблиця 1'!$K:$K,'Таблиця 1'!$B:$B,$A373,'Таблиця 1'!$I:$I,"Mi-24",'Таблиця 1'!$J:$J,"PC-80"))</f>
        <v/>
      </c>
      <c r="H373">
        <f>IF($A373="","",SUMIFS('Таблиця 1'!$K:$K,'Таблиця 1'!$B:$B,$A373,'Таблиця 1'!$I:$I,"Mi-8",'Таблиця 1'!$J:$J,"UAR-80")+SUMIFS('Таблиця 1'!$K:$K,'Таблиця 1'!$B:$B,$A373,'Таблиця 1'!$I:$I,"Mi-24",'Таблиця 1'!$J:$J,"UAR-80"))</f>
        <v/>
      </c>
      <c r="I373">
        <f>IF($A373="","",SUMIFS('Таблиця 1'!$K:$K,'Таблиця 1'!$B:$B,$A373,'Таблиця 1'!$I:$I,"Mi-8",'Таблиця 1'!$J:$J,"C-13")+SUMIFS('Таблиця 1'!$K:$K,'Таблиця 1'!$B:$B,$A373,'Таблиця 1'!$I:$I,"Mi-24",'Таблиця 1'!$J:$J,"C-13"))</f>
        <v/>
      </c>
      <c r="J373">
        <f>IF($A373="","",SUMIFS('Таблиця 1'!$K:$K,'Таблиця 1'!$B:$B,$A373,'Таблиця 1'!$I:$I,"Mi-8",'Таблиця 1'!$J:$J,"Hydra-70")+SUMIFS('Таблиця 1'!$K:$K,'Таблиця 1'!$B:$B,$A373,'Таблиця 1'!$I:$I,"Mi-24",'Таблиця 1'!$J:$J,"Hydra-70"))</f>
        <v/>
      </c>
      <c r="K373">
        <f>IF($A373="","",SUMIFS('Таблиця 1'!$K:$K,'Таблиця 1'!$B:$B,$A373,'Таблиця 1'!$I:$I,"Mi-8",'Таблиця 1'!$J:$J,"Thales-70")+SUMIFS('Таблиця 1'!$K:$K,'Таблиця 1'!$B:$B,$A373,'Таблиця 1'!$I:$I,"Mi-24",'Таблиця 1'!$J:$J,"Thales-70"))</f>
        <v/>
      </c>
      <c r="L373">
        <f>IF($A373="","",SUMIFS('Таблиця 1'!$K:$K,'Таблиця 1'!$B:$B,$A373,'Таблиця 1'!$I:$I,"Mi-8",'Таблиця 1'!$J:$J,"Thales-FZ")+SUMIFS('Таблиця 1'!$K:$K,'Таблиця 1'!$B:$B,$A373,'Таблиця 1'!$I:$I,"Mi-24",'Таблиця 1'!$J:$J,"Thales-FZ"))</f>
        <v/>
      </c>
      <c r="M373">
        <f>IF($A373="","",SUMIFS('Таблиця 1'!$K:$K,'Таблиця 1'!$B:$B,$A373,'Таблиця 1'!$I:$I,"Mi-8",'Таблиця 1'!$J:$J,"МК-40")+SUMIFS('Таблиця 1'!$K:$K,'Таблиця 1'!$B:$B,$A373,'Таблиця 1'!$I:$I,"Mi-24",'Таблиця 1'!$J:$J,"МК-40"))</f>
        <v/>
      </c>
      <c r="N373">
        <f>IF($A373="","",SUMIFS('Таблиця 1'!$K:$K,'Таблиця 1'!$B:$B,$A373,'Таблиця 1'!$I:$I,"Mi-8",'Таблиця 1'!$J:$J,"Zuni")+SUMIFS('Таблиця 1'!$K:$K,'Таблиця 1'!$B:$B,$A373,'Таблиця 1'!$I:$I,"Mi-24",'Таблиця 1'!$J:$J,"Zuni"))</f>
        <v/>
      </c>
      <c r="O373">
        <f>IF($A373="","",COUNTIFS('Таблиця 1'!$B:$B,$A373,'Таблиця 1'!$I:$I,"Mi-8",'Таблиця 1'!$L:$L,"Уражено")+COUNTIFS('Таблиця 1'!$B:$B,$A373,'Таблиця 1'!$I:$I,"Mi-24",'Таблиця 1'!$L:$L,"Уражено"))</f>
        <v/>
      </c>
      <c r="P373">
        <f>IF($A373="","",COUNTIFS('Таблиця 1'!$B:$B,$A373,'Таблиця 1'!$I:$I,"Mi-8",'Таблиця 1'!$L:$L,"НЕ уражено")+COUNTIFS('Таблиця 1'!$B:$B,$A373,'Таблиця 1'!$I:$I,"Mi-24",'Таблиця 1'!$L:$L,"НЕ уражено"))</f>
        <v/>
      </c>
    </row>
    <row r="374">
      <c r="A374" s="273">
        <f>IF(A373="","",IF(A373+1&gt;MAX('Таблиця 1'!$B:$B),"",A373+1))</f>
        <v/>
      </c>
      <c r="B374">
        <f>IF($A374="","",COUNTIFS('Таблиця 1'!$B:$B,$A374,'Таблиця 1'!$I:$I,"Mi-8")+COUNTIFS('Таблиця 1'!$B:$B,$A374,'Таблиця 1'!$I:$I,"Mi-24"))</f>
        <v/>
      </c>
      <c r="C374">
        <f>IF($A374="","",COUNTIFS('Таблиця 1'!$B:$B,$A374,'Таблиця 1'!$I:$I,"Mi-8"))</f>
        <v/>
      </c>
      <c r="D374">
        <f>IF($A374="","",COUNTIFS('Таблиця 1'!$B:$B,$A374,'Таблиця 1'!$I:$I,"Mi-24"))</f>
        <v/>
      </c>
      <c r="E374">
        <f>IF($A374="","",SUMIFS('Таблиця 1'!$K:$K,'Таблиця 1'!$B:$B,$A374,'Таблиця 1'!$I:$I,"Mi-8",'Таблиця 1'!$J:$J,"ARS-8")+SUMIFS('Таблиця 1'!$K:$K,'Таблиця 1'!$B:$B,$A374,'Таблиця 1'!$I:$I,"Mi-24",'Таблиця 1'!$J:$J,"ARS-8"))</f>
        <v/>
      </c>
      <c r="F374">
        <f>IF($A374="","",SUMIFS('Таблиця 1'!$K:$K,'Таблиця 1'!$B:$B,$A374,'Таблиця 1'!$I:$I,"Mi-8",'Таблиця 1'!$J:$J,"С-8 ком")+SUMIFS('Таблиця 1'!$K:$K,'Таблиця 1'!$B:$B,$A374,'Таблиця 1'!$I:$I,"Mi-24",'Таблиця 1'!$J:$J,"С-8 ком"))</f>
        <v/>
      </c>
      <c r="G374">
        <f>IF($A374="","",SUMIFS('Таблиця 1'!$K:$K,'Таблиця 1'!$B:$B,$A374,'Таблиця 1'!$I:$I,"Mi-8",'Таблиця 1'!$J:$J,"PC-80")+SUMIFS('Таблиця 1'!$K:$K,'Таблиця 1'!$B:$B,$A374,'Таблиця 1'!$I:$I,"Mi-24",'Таблиця 1'!$J:$J,"PC-80"))</f>
        <v/>
      </c>
      <c r="H374">
        <f>IF($A374="","",SUMIFS('Таблиця 1'!$K:$K,'Таблиця 1'!$B:$B,$A374,'Таблиця 1'!$I:$I,"Mi-8",'Таблиця 1'!$J:$J,"UAR-80")+SUMIFS('Таблиця 1'!$K:$K,'Таблиця 1'!$B:$B,$A374,'Таблиця 1'!$I:$I,"Mi-24",'Таблиця 1'!$J:$J,"UAR-80"))</f>
        <v/>
      </c>
      <c r="I374">
        <f>IF($A374="","",SUMIFS('Таблиця 1'!$K:$K,'Таблиця 1'!$B:$B,$A374,'Таблиця 1'!$I:$I,"Mi-8",'Таблиця 1'!$J:$J,"C-13")+SUMIFS('Таблиця 1'!$K:$K,'Таблиця 1'!$B:$B,$A374,'Таблиця 1'!$I:$I,"Mi-24",'Таблиця 1'!$J:$J,"C-13"))</f>
        <v/>
      </c>
      <c r="J374">
        <f>IF($A374="","",SUMIFS('Таблиця 1'!$K:$K,'Таблиця 1'!$B:$B,$A374,'Таблиця 1'!$I:$I,"Mi-8",'Таблиця 1'!$J:$J,"Hydra-70")+SUMIFS('Таблиця 1'!$K:$K,'Таблиця 1'!$B:$B,$A374,'Таблиця 1'!$I:$I,"Mi-24",'Таблиця 1'!$J:$J,"Hydra-70"))</f>
        <v/>
      </c>
      <c r="K374">
        <f>IF($A374="","",SUMIFS('Таблиця 1'!$K:$K,'Таблиця 1'!$B:$B,$A374,'Таблиця 1'!$I:$I,"Mi-8",'Таблиця 1'!$J:$J,"Thales-70")+SUMIFS('Таблиця 1'!$K:$K,'Таблиця 1'!$B:$B,$A374,'Таблиця 1'!$I:$I,"Mi-24",'Таблиця 1'!$J:$J,"Thales-70"))</f>
        <v/>
      </c>
      <c r="L374">
        <f>IF($A374="","",SUMIFS('Таблиця 1'!$K:$K,'Таблиця 1'!$B:$B,$A374,'Таблиця 1'!$I:$I,"Mi-8",'Таблиця 1'!$J:$J,"Thales-FZ")+SUMIFS('Таблиця 1'!$K:$K,'Таблиця 1'!$B:$B,$A374,'Таблиця 1'!$I:$I,"Mi-24",'Таблиця 1'!$J:$J,"Thales-FZ"))</f>
        <v/>
      </c>
      <c r="M374">
        <f>IF($A374="","",SUMIFS('Таблиця 1'!$K:$K,'Таблиця 1'!$B:$B,$A374,'Таблиця 1'!$I:$I,"Mi-8",'Таблиця 1'!$J:$J,"МК-40")+SUMIFS('Таблиця 1'!$K:$K,'Таблиця 1'!$B:$B,$A374,'Таблиця 1'!$I:$I,"Mi-24",'Таблиця 1'!$J:$J,"МК-40"))</f>
        <v/>
      </c>
      <c r="N374">
        <f>IF($A374="","",SUMIFS('Таблиця 1'!$K:$K,'Таблиця 1'!$B:$B,$A374,'Таблиця 1'!$I:$I,"Mi-8",'Таблиця 1'!$J:$J,"Zuni")+SUMIFS('Таблиця 1'!$K:$K,'Таблиця 1'!$B:$B,$A374,'Таблиця 1'!$I:$I,"Mi-24",'Таблиця 1'!$J:$J,"Zuni"))</f>
        <v/>
      </c>
      <c r="O374">
        <f>IF($A374="","",COUNTIFS('Таблиця 1'!$B:$B,$A374,'Таблиця 1'!$I:$I,"Mi-8",'Таблиця 1'!$L:$L,"Уражено")+COUNTIFS('Таблиця 1'!$B:$B,$A374,'Таблиця 1'!$I:$I,"Mi-24",'Таблиця 1'!$L:$L,"Уражено"))</f>
        <v/>
      </c>
      <c r="P374">
        <f>IF($A374="","",COUNTIFS('Таблиця 1'!$B:$B,$A374,'Таблиця 1'!$I:$I,"Mi-8",'Таблиця 1'!$L:$L,"НЕ уражено")+COUNTIFS('Таблиця 1'!$B:$B,$A374,'Таблиця 1'!$I:$I,"Mi-24",'Таблиця 1'!$L:$L,"НЕ уражено"))</f>
        <v/>
      </c>
    </row>
    <row r="375">
      <c r="A375" s="273">
        <f>IF(A374="","",IF(A374+1&gt;MAX('Таблиця 1'!$B:$B),"",A374+1))</f>
        <v/>
      </c>
      <c r="B375">
        <f>IF($A375="","",COUNTIFS('Таблиця 1'!$B:$B,$A375,'Таблиця 1'!$I:$I,"Mi-8")+COUNTIFS('Таблиця 1'!$B:$B,$A375,'Таблиця 1'!$I:$I,"Mi-24"))</f>
        <v/>
      </c>
      <c r="C375">
        <f>IF($A375="","",COUNTIFS('Таблиця 1'!$B:$B,$A375,'Таблиця 1'!$I:$I,"Mi-8"))</f>
        <v/>
      </c>
      <c r="D375">
        <f>IF($A375="","",COUNTIFS('Таблиця 1'!$B:$B,$A375,'Таблиця 1'!$I:$I,"Mi-24"))</f>
        <v/>
      </c>
      <c r="E375">
        <f>IF($A375="","",SUMIFS('Таблиця 1'!$K:$K,'Таблиця 1'!$B:$B,$A375,'Таблиця 1'!$I:$I,"Mi-8",'Таблиця 1'!$J:$J,"ARS-8")+SUMIFS('Таблиця 1'!$K:$K,'Таблиця 1'!$B:$B,$A375,'Таблиця 1'!$I:$I,"Mi-24",'Таблиця 1'!$J:$J,"ARS-8"))</f>
        <v/>
      </c>
      <c r="F375">
        <f>IF($A375="","",SUMIFS('Таблиця 1'!$K:$K,'Таблиця 1'!$B:$B,$A375,'Таблиця 1'!$I:$I,"Mi-8",'Таблиця 1'!$J:$J,"С-8 ком")+SUMIFS('Таблиця 1'!$K:$K,'Таблиця 1'!$B:$B,$A375,'Таблиця 1'!$I:$I,"Mi-24",'Таблиця 1'!$J:$J,"С-8 ком"))</f>
        <v/>
      </c>
      <c r="G375">
        <f>IF($A375="","",SUMIFS('Таблиця 1'!$K:$K,'Таблиця 1'!$B:$B,$A375,'Таблиця 1'!$I:$I,"Mi-8",'Таблиця 1'!$J:$J,"PC-80")+SUMIFS('Таблиця 1'!$K:$K,'Таблиця 1'!$B:$B,$A375,'Таблиця 1'!$I:$I,"Mi-24",'Таблиця 1'!$J:$J,"PC-80"))</f>
        <v/>
      </c>
      <c r="H375">
        <f>IF($A375="","",SUMIFS('Таблиця 1'!$K:$K,'Таблиця 1'!$B:$B,$A375,'Таблиця 1'!$I:$I,"Mi-8",'Таблиця 1'!$J:$J,"UAR-80")+SUMIFS('Таблиця 1'!$K:$K,'Таблиця 1'!$B:$B,$A375,'Таблиця 1'!$I:$I,"Mi-24",'Таблиця 1'!$J:$J,"UAR-80"))</f>
        <v/>
      </c>
      <c r="I375">
        <f>IF($A375="","",SUMIFS('Таблиця 1'!$K:$K,'Таблиця 1'!$B:$B,$A375,'Таблиця 1'!$I:$I,"Mi-8",'Таблиця 1'!$J:$J,"C-13")+SUMIFS('Таблиця 1'!$K:$K,'Таблиця 1'!$B:$B,$A375,'Таблиця 1'!$I:$I,"Mi-24",'Таблиця 1'!$J:$J,"C-13"))</f>
        <v/>
      </c>
      <c r="J375">
        <f>IF($A375="","",SUMIFS('Таблиця 1'!$K:$K,'Таблиця 1'!$B:$B,$A375,'Таблиця 1'!$I:$I,"Mi-8",'Таблиця 1'!$J:$J,"Hydra-70")+SUMIFS('Таблиця 1'!$K:$K,'Таблиця 1'!$B:$B,$A375,'Таблиця 1'!$I:$I,"Mi-24",'Таблиця 1'!$J:$J,"Hydra-70"))</f>
        <v/>
      </c>
      <c r="K375">
        <f>IF($A375="","",SUMIFS('Таблиця 1'!$K:$K,'Таблиця 1'!$B:$B,$A375,'Таблиця 1'!$I:$I,"Mi-8",'Таблиця 1'!$J:$J,"Thales-70")+SUMIFS('Таблиця 1'!$K:$K,'Таблиця 1'!$B:$B,$A375,'Таблиця 1'!$I:$I,"Mi-24",'Таблиця 1'!$J:$J,"Thales-70"))</f>
        <v/>
      </c>
      <c r="L375">
        <f>IF($A375="","",SUMIFS('Таблиця 1'!$K:$K,'Таблиця 1'!$B:$B,$A375,'Таблиця 1'!$I:$I,"Mi-8",'Таблиця 1'!$J:$J,"Thales-FZ")+SUMIFS('Таблиця 1'!$K:$K,'Таблиця 1'!$B:$B,$A375,'Таблиця 1'!$I:$I,"Mi-24",'Таблиця 1'!$J:$J,"Thales-FZ"))</f>
        <v/>
      </c>
      <c r="M375">
        <f>IF($A375="","",SUMIFS('Таблиця 1'!$K:$K,'Таблиця 1'!$B:$B,$A375,'Таблиця 1'!$I:$I,"Mi-8",'Таблиця 1'!$J:$J,"МК-40")+SUMIFS('Таблиця 1'!$K:$K,'Таблиця 1'!$B:$B,$A375,'Таблиця 1'!$I:$I,"Mi-24",'Таблиця 1'!$J:$J,"МК-40"))</f>
        <v/>
      </c>
      <c r="N375">
        <f>IF($A375="","",SUMIFS('Таблиця 1'!$K:$K,'Таблиця 1'!$B:$B,$A375,'Таблиця 1'!$I:$I,"Mi-8",'Таблиця 1'!$J:$J,"Zuni")+SUMIFS('Таблиця 1'!$K:$K,'Таблиця 1'!$B:$B,$A375,'Таблиця 1'!$I:$I,"Mi-24",'Таблиця 1'!$J:$J,"Zuni"))</f>
        <v/>
      </c>
      <c r="O375">
        <f>IF($A375="","",COUNTIFS('Таблиця 1'!$B:$B,$A375,'Таблиця 1'!$I:$I,"Mi-8",'Таблиця 1'!$L:$L,"Уражено")+COUNTIFS('Таблиця 1'!$B:$B,$A375,'Таблиця 1'!$I:$I,"Mi-24",'Таблиця 1'!$L:$L,"Уражено"))</f>
        <v/>
      </c>
      <c r="P375">
        <f>IF($A375="","",COUNTIFS('Таблиця 1'!$B:$B,$A375,'Таблиця 1'!$I:$I,"Mi-8",'Таблиця 1'!$L:$L,"НЕ уражено")+COUNTIFS('Таблиця 1'!$B:$B,$A375,'Таблиця 1'!$I:$I,"Mi-24",'Таблиця 1'!$L:$L,"НЕ уражено"))</f>
        <v/>
      </c>
    </row>
    <row r="376">
      <c r="A376" s="273">
        <f>IF(A375="","",IF(A375+1&gt;MAX('Таблиця 1'!$B:$B),"",A375+1))</f>
        <v/>
      </c>
      <c r="B376">
        <f>IF($A376="","",COUNTIFS('Таблиця 1'!$B:$B,$A376,'Таблиця 1'!$I:$I,"Mi-8")+COUNTIFS('Таблиця 1'!$B:$B,$A376,'Таблиця 1'!$I:$I,"Mi-24"))</f>
        <v/>
      </c>
      <c r="C376">
        <f>IF($A376="","",COUNTIFS('Таблиця 1'!$B:$B,$A376,'Таблиця 1'!$I:$I,"Mi-8"))</f>
        <v/>
      </c>
      <c r="D376">
        <f>IF($A376="","",COUNTIFS('Таблиця 1'!$B:$B,$A376,'Таблиця 1'!$I:$I,"Mi-24"))</f>
        <v/>
      </c>
      <c r="E376">
        <f>IF($A376="","",SUMIFS('Таблиця 1'!$K:$K,'Таблиця 1'!$B:$B,$A376,'Таблиця 1'!$I:$I,"Mi-8",'Таблиця 1'!$J:$J,"ARS-8")+SUMIFS('Таблиця 1'!$K:$K,'Таблиця 1'!$B:$B,$A376,'Таблиця 1'!$I:$I,"Mi-24",'Таблиця 1'!$J:$J,"ARS-8"))</f>
        <v/>
      </c>
      <c r="F376">
        <f>IF($A376="","",SUMIFS('Таблиця 1'!$K:$K,'Таблиця 1'!$B:$B,$A376,'Таблиця 1'!$I:$I,"Mi-8",'Таблиця 1'!$J:$J,"С-8 ком")+SUMIFS('Таблиця 1'!$K:$K,'Таблиця 1'!$B:$B,$A376,'Таблиця 1'!$I:$I,"Mi-24",'Таблиця 1'!$J:$J,"С-8 ком"))</f>
        <v/>
      </c>
      <c r="G376">
        <f>IF($A376="","",SUMIFS('Таблиця 1'!$K:$K,'Таблиця 1'!$B:$B,$A376,'Таблиця 1'!$I:$I,"Mi-8",'Таблиця 1'!$J:$J,"PC-80")+SUMIFS('Таблиця 1'!$K:$K,'Таблиця 1'!$B:$B,$A376,'Таблиця 1'!$I:$I,"Mi-24",'Таблиця 1'!$J:$J,"PC-80"))</f>
        <v/>
      </c>
      <c r="H376">
        <f>IF($A376="","",SUMIFS('Таблиця 1'!$K:$K,'Таблиця 1'!$B:$B,$A376,'Таблиця 1'!$I:$I,"Mi-8",'Таблиця 1'!$J:$J,"UAR-80")+SUMIFS('Таблиця 1'!$K:$K,'Таблиця 1'!$B:$B,$A376,'Таблиця 1'!$I:$I,"Mi-24",'Таблиця 1'!$J:$J,"UAR-80"))</f>
        <v/>
      </c>
      <c r="I376">
        <f>IF($A376="","",SUMIFS('Таблиця 1'!$K:$K,'Таблиця 1'!$B:$B,$A376,'Таблиця 1'!$I:$I,"Mi-8",'Таблиця 1'!$J:$J,"C-13")+SUMIFS('Таблиця 1'!$K:$K,'Таблиця 1'!$B:$B,$A376,'Таблиця 1'!$I:$I,"Mi-24",'Таблиця 1'!$J:$J,"C-13"))</f>
        <v/>
      </c>
      <c r="J376">
        <f>IF($A376="","",SUMIFS('Таблиця 1'!$K:$K,'Таблиця 1'!$B:$B,$A376,'Таблиця 1'!$I:$I,"Mi-8",'Таблиця 1'!$J:$J,"Hydra-70")+SUMIFS('Таблиця 1'!$K:$K,'Таблиця 1'!$B:$B,$A376,'Таблиця 1'!$I:$I,"Mi-24",'Таблиця 1'!$J:$J,"Hydra-70"))</f>
        <v/>
      </c>
      <c r="K376">
        <f>IF($A376="","",SUMIFS('Таблиця 1'!$K:$K,'Таблиця 1'!$B:$B,$A376,'Таблиця 1'!$I:$I,"Mi-8",'Таблиця 1'!$J:$J,"Thales-70")+SUMIFS('Таблиця 1'!$K:$K,'Таблиця 1'!$B:$B,$A376,'Таблиця 1'!$I:$I,"Mi-24",'Таблиця 1'!$J:$J,"Thales-70"))</f>
        <v/>
      </c>
      <c r="L376">
        <f>IF($A376="","",SUMIFS('Таблиця 1'!$K:$K,'Таблиця 1'!$B:$B,$A376,'Таблиця 1'!$I:$I,"Mi-8",'Таблиця 1'!$J:$J,"Thales-FZ")+SUMIFS('Таблиця 1'!$K:$K,'Таблиця 1'!$B:$B,$A376,'Таблиця 1'!$I:$I,"Mi-24",'Таблиця 1'!$J:$J,"Thales-FZ"))</f>
        <v/>
      </c>
      <c r="M376">
        <f>IF($A376="","",SUMIFS('Таблиця 1'!$K:$K,'Таблиця 1'!$B:$B,$A376,'Таблиця 1'!$I:$I,"Mi-8",'Таблиця 1'!$J:$J,"МК-40")+SUMIFS('Таблиця 1'!$K:$K,'Таблиця 1'!$B:$B,$A376,'Таблиця 1'!$I:$I,"Mi-24",'Таблиця 1'!$J:$J,"МК-40"))</f>
        <v/>
      </c>
      <c r="N376">
        <f>IF($A376="","",SUMIFS('Таблиця 1'!$K:$K,'Таблиця 1'!$B:$B,$A376,'Таблиця 1'!$I:$I,"Mi-8",'Таблиця 1'!$J:$J,"Zuni")+SUMIFS('Таблиця 1'!$K:$K,'Таблиця 1'!$B:$B,$A376,'Таблиця 1'!$I:$I,"Mi-24",'Таблиця 1'!$J:$J,"Zuni"))</f>
        <v/>
      </c>
      <c r="O376">
        <f>IF($A376="","",COUNTIFS('Таблиця 1'!$B:$B,$A376,'Таблиця 1'!$I:$I,"Mi-8",'Таблиця 1'!$L:$L,"Уражено")+COUNTIFS('Таблиця 1'!$B:$B,$A376,'Таблиця 1'!$I:$I,"Mi-24",'Таблиця 1'!$L:$L,"Уражено"))</f>
        <v/>
      </c>
      <c r="P376">
        <f>IF($A376="","",COUNTIFS('Таблиця 1'!$B:$B,$A376,'Таблиця 1'!$I:$I,"Mi-8",'Таблиця 1'!$L:$L,"НЕ уражено")+COUNTIFS('Таблиця 1'!$B:$B,$A376,'Таблиця 1'!$I:$I,"Mi-24",'Таблиця 1'!$L:$L,"НЕ уражено"))</f>
        <v/>
      </c>
    </row>
    <row r="377">
      <c r="A377" s="273">
        <f>IF(A376="","",IF(A376+1&gt;MAX('Таблиця 1'!$B:$B),"",A376+1))</f>
        <v/>
      </c>
      <c r="B377">
        <f>IF($A377="","",COUNTIFS('Таблиця 1'!$B:$B,$A377,'Таблиця 1'!$I:$I,"Mi-8")+COUNTIFS('Таблиця 1'!$B:$B,$A377,'Таблиця 1'!$I:$I,"Mi-24"))</f>
        <v/>
      </c>
      <c r="C377">
        <f>IF($A377="","",COUNTIFS('Таблиця 1'!$B:$B,$A377,'Таблиця 1'!$I:$I,"Mi-8"))</f>
        <v/>
      </c>
      <c r="D377">
        <f>IF($A377="","",COUNTIFS('Таблиця 1'!$B:$B,$A377,'Таблиця 1'!$I:$I,"Mi-24"))</f>
        <v/>
      </c>
      <c r="E377">
        <f>IF($A377="","",SUMIFS('Таблиця 1'!$K:$K,'Таблиця 1'!$B:$B,$A377,'Таблиця 1'!$I:$I,"Mi-8",'Таблиця 1'!$J:$J,"ARS-8")+SUMIFS('Таблиця 1'!$K:$K,'Таблиця 1'!$B:$B,$A377,'Таблиця 1'!$I:$I,"Mi-24",'Таблиця 1'!$J:$J,"ARS-8"))</f>
        <v/>
      </c>
      <c r="F377">
        <f>IF($A377="","",SUMIFS('Таблиця 1'!$K:$K,'Таблиця 1'!$B:$B,$A377,'Таблиця 1'!$I:$I,"Mi-8",'Таблиця 1'!$J:$J,"С-8 ком")+SUMIFS('Таблиця 1'!$K:$K,'Таблиця 1'!$B:$B,$A377,'Таблиця 1'!$I:$I,"Mi-24",'Таблиця 1'!$J:$J,"С-8 ком"))</f>
        <v/>
      </c>
      <c r="G377">
        <f>IF($A377="","",SUMIFS('Таблиця 1'!$K:$K,'Таблиця 1'!$B:$B,$A377,'Таблиця 1'!$I:$I,"Mi-8",'Таблиця 1'!$J:$J,"PC-80")+SUMIFS('Таблиця 1'!$K:$K,'Таблиця 1'!$B:$B,$A377,'Таблиця 1'!$I:$I,"Mi-24",'Таблиця 1'!$J:$J,"PC-80"))</f>
        <v/>
      </c>
      <c r="H377">
        <f>IF($A377="","",SUMIFS('Таблиця 1'!$K:$K,'Таблиця 1'!$B:$B,$A377,'Таблиця 1'!$I:$I,"Mi-8",'Таблиця 1'!$J:$J,"UAR-80")+SUMIFS('Таблиця 1'!$K:$K,'Таблиця 1'!$B:$B,$A377,'Таблиця 1'!$I:$I,"Mi-24",'Таблиця 1'!$J:$J,"UAR-80"))</f>
        <v/>
      </c>
      <c r="I377">
        <f>IF($A377="","",SUMIFS('Таблиця 1'!$K:$K,'Таблиця 1'!$B:$B,$A377,'Таблиця 1'!$I:$I,"Mi-8",'Таблиця 1'!$J:$J,"C-13")+SUMIFS('Таблиця 1'!$K:$K,'Таблиця 1'!$B:$B,$A377,'Таблиця 1'!$I:$I,"Mi-24",'Таблиця 1'!$J:$J,"C-13"))</f>
        <v/>
      </c>
      <c r="J377">
        <f>IF($A377="","",SUMIFS('Таблиця 1'!$K:$K,'Таблиця 1'!$B:$B,$A377,'Таблиця 1'!$I:$I,"Mi-8",'Таблиця 1'!$J:$J,"Hydra-70")+SUMIFS('Таблиця 1'!$K:$K,'Таблиця 1'!$B:$B,$A377,'Таблиця 1'!$I:$I,"Mi-24",'Таблиця 1'!$J:$J,"Hydra-70"))</f>
        <v/>
      </c>
      <c r="K377">
        <f>IF($A377="","",SUMIFS('Таблиця 1'!$K:$K,'Таблиця 1'!$B:$B,$A377,'Таблиця 1'!$I:$I,"Mi-8",'Таблиця 1'!$J:$J,"Thales-70")+SUMIFS('Таблиця 1'!$K:$K,'Таблиця 1'!$B:$B,$A377,'Таблиця 1'!$I:$I,"Mi-24",'Таблиця 1'!$J:$J,"Thales-70"))</f>
        <v/>
      </c>
      <c r="L377">
        <f>IF($A377="","",SUMIFS('Таблиця 1'!$K:$K,'Таблиця 1'!$B:$B,$A377,'Таблиця 1'!$I:$I,"Mi-8",'Таблиця 1'!$J:$J,"Thales-FZ")+SUMIFS('Таблиця 1'!$K:$K,'Таблиця 1'!$B:$B,$A377,'Таблиця 1'!$I:$I,"Mi-24",'Таблиця 1'!$J:$J,"Thales-FZ"))</f>
        <v/>
      </c>
      <c r="M377">
        <f>IF($A377="","",SUMIFS('Таблиця 1'!$K:$K,'Таблиця 1'!$B:$B,$A377,'Таблиця 1'!$I:$I,"Mi-8",'Таблиця 1'!$J:$J,"МК-40")+SUMIFS('Таблиця 1'!$K:$K,'Таблиця 1'!$B:$B,$A377,'Таблиця 1'!$I:$I,"Mi-24",'Таблиця 1'!$J:$J,"МК-40"))</f>
        <v/>
      </c>
      <c r="N377">
        <f>IF($A377="","",SUMIFS('Таблиця 1'!$K:$K,'Таблиця 1'!$B:$B,$A377,'Таблиця 1'!$I:$I,"Mi-8",'Таблиця 1'!$J:$J,"Zuni")+SUMIFS('Таблиця 1'!$K:$K,'Таблиця 1'!$B:$B,$A377,'Таблиця 1'!$I:$I,"Mi-24",'Таблиця 1'!$J:$J,"Zuni"))</f>
        <v/>
      </c>
      <c r="O377">
        <f>IF($A377="","",COUNTIFS('Таблиця 1'!$B:$B,$A377,'Таблиця 1'!$I:$I,"Mi-8",'Таблиця 1'!$L:$L,"Уражено")+COUNTIFS('Таблиця 1'!$B:$B,$A377,'Таблиця 1'!$I:$I,"Mi-24",'Таблиця 1'!$L:$L,"Уражено"))</f>
        <v/>
      </c>
      <c r="P377">
        <f>IF($A377="","",COUNTIFS('Таблиця 1'!$B:$B,$A377,'Таблиця 1'!$I:$I,"Mi-8",'Таблиця 1'!$L:$L,"НЕ уражено")+COUNTIFS('Таблиця 1'!$B:$B,$A377,'Таблиця 1'!$I:$I,"Mi-24",'Таблиця 1'!$L:$L,"НЕ уражено"))</f>
        <v/>
      </c>
    </row>
    <row r="378">
      <c r="A378" s="273">
        <f>IF(A377="","",IF(A377+1&gt;MAX('Таблиця 1'!$B:$B),"",A377+1))</f>
        <v/>
      </c>
      <c r="B378">
        <f>IF($A378="","",COUNTIFS('Таблиця 1'!$B:$B,$A378,'Таблиця 1'!$I:$I,"Mi-8")+COUNTIFS('Таблиця 1'!$B:$B,$A378,'Таблиця 1'!$I:$I,"Mi-24"))</f>
        <v/>
      </c>
      <c r="C378">
        <f>IF($A378="","",COUNTIFS('Таблиця 1'!$B:$B,$A378,'Таблиця 1'!$I:$I,"Mi-8"))</f>
        <v/>
      </c>
      <c r="D378">
        <f>IF($A378="","",COUNTIFS('Таблиця 1'!$B:$B,$A378,'Таблиця 1'!$I:$I,"Mi-24"))</f>
        <v/>
      </c>
      <c r="E378">
        <f>IF($A378="","",SUMIFS('Таблиця 1'!$K:$K,'Таблиця 1'!$B:$B,$A378,'Таблиця 1'!$I:$I,"Mi-8",'Таблиця 1'!$J:$J,"ARS-8")+SUMIFS('Таблиця 1'!$K:$K,'Таблиця 1'!$B:$B,$A378,'Таблиця 1'!$I:$I,"Mi-24",'Таблиця 1'!$J:$J,"ARS-8"))</f>
        <v/>
      </c>
      <c r="F378">
        <f>IF($A378="","",SUMIFS('Таблиця 1'!$K:$K,'Таблиця 1'!$B:$B,$A378,'Таблиця 1'!$I:$I,"Mi-8",'Таблиця 1'!$J:$J,"С-8 ком")+SUMIFS('Таблиця 1'!$K:$K,'Таблиця 1'!$B:$B,$A378,'Таблиця 1'!$I:$I,"Mi-24",'Таблиця 1'!$J:$J,"С-8 ком"))</f>
        <v/>
      </c>
      <c r="G378">
        <f>IF($A378="","",SUMIFS('Таблиця 1'!$K:$K,'Таблиця 1'!$B:$B,$A378,'Таблиця 1'!$I:$I,"Mi-8",'Таблиця 1'!$J:$J,"PC-80")+SUMIFS('Таблиця 1'!$K:$K,'Таблиця 1'!$B:$B,$A378,'Таблиця 1'!$I:$I,"Mi-24",'Таблиця 1'!$J:$J,"PC-80"))</f>
        <v/>
      </c>
      <c r="H378">
        <f>IF($A378="","",SUMIFS('Таблиця 1'!$K:$K,'Таблиця 1'!$B:$B,$A378,'Таблиця 1'!$I:$I,"Mi-8",'Таблиця 1'!$J:$J,"UAR-80")+SUMIFS('Таблиця 1'!$K:$K,'Таблиця 1'!$B:$B,$A378,'Таблиця 1'!$I:$I,"Mi-24",'Таблиця 1'!$J:$J,"UAR-80"))</f>
        <v/>
      </c>
      <c r="I378">
        <f>IF($A378="","",SUMIFS('Таблиця 1'!$K:$K,'Таблиця 1'!$B:$B,$A378,'Таблиця 1'!$I:$I,"Mi-8",'Таблиця 1'!$J:$J,"C-13")+SUMIFS('Таблиця 1'!$K:$K,'Таблиця 1'!$B:$B,$A378,'Таблиця 1'!$I:$I,"Mi-24",'Таблиця 1'!$J:$J,"C-13"))</f>
        <v/>
      </c>
      <c r="J378">
        <f>IF($A378="","",SUMIFS('Таблиця 1'!$K:$K,'Таблиця 1'!$B:$B,$A378,'Таблиця 1'!$I:$I,"Mi-8",'Таблиця 1'!$J:$J,"Hydra-70")+SUMIFS('Таблиця 1'!$K:$K,'Таблиця 1'!$B:$B,$A378,'Таблиця 1'!$I:$I,"Mi-24",'Таблиця 1'!$J:$J,"Hydra-70"))</f>
        <v/>
      </c>
      <c r="K378">
        <f>IF($A378="","",SUMIFS('Таблиця 1'!$K:$K,'Таблиця 1'!$B:$B,$A378,'Таблиця 1'!$I:$I,"Mi-8",'Таблиця 1'!$J:$J,"Thales-70")+SUMIFS('Таблиця 1'!$K:$K,'Таблиця 1'!$B:$B,$A378,'Таблиця 1'!$I:$I,"Mi-24",'Таблиця 1'!$J:$J,"Thales-70"))</f>
        <v/>
      </c>
      <c r="L378">
        <f>IF($A378="","",SUMIFS('Таблиця 1'!$K:$K,'Таблиця 1'!$B:$B,$A378,'Таблиця 1'!$I:$I,"Mi-8",'Таблиця 1'!$J:$J,"Thales-FZ")+SUMIFS('Таблиця 1'!$K:$K,'Таблиця 1'!$B:$B,$A378,'Таблиця 1'!$I:$I,"Mi-24",'Таблиця 1'!$J:$J,"Thales-FZ"))</f>
        <v/>
      </c>
      <c r="M378">
        <f>IF($A378="","",SUMIFS('Таблиця 1'!$K:$K,'Таблиця 1'!$B:$B,$A378,'Таблиця 1'!$I:$I,"Mi-8",'Таблиця 1'!$J:$J,"МК-40")+SUMIFS('Таблиця 1'!$K:$K,'Таблиця 1'!$B:$B,$A378,'Таблиця 1'!$I:$I,"Mi-24",'Таблиця 1'!$J:$J,"МК-40"))</f>
        <v/>
      </c>
      <c r="N378">
        <f>IF($A378="","",SUMIFS('Таблиця 1'!$K:$K,'Таблиця 1'!$B:$B,$A378,'Таблиця 1'!$I:$I,"Mi-8",'Таблиця 1'!$J:$J,"Zuni")+SUMIFS('Таблиця 1'!$K:$K,'Таблиця 1'!$B:$B,$A378,'Таблиця 1'!$I:$I,"Mi-24",'Таблиця 1'!$J:$J,"Zuni"))</f>
        <v/>
      </c>
      <c r="O378">
        <f>IF($A378="","",COUNTIFS('Таблиця 1'!$B:$B,$A378,'Таблиця 1'!$I:$I,"Mi-8",'Таблиця 1'!$L:$L,"Уражено")+COUNTIFS('Таблиця 1'!$B:$B,$A378,'Таблиця 1'!$I:$I,"Mi-24",'Таблиця 1'!$L:$L,"Уражено"))</f>
        <v/>
      </c>
      <c r="P378">
        <f>IF($A378="","",COUNTIFS('Таблиця 1'!$B:$B,$A378,'Таблиця 1'!$I:$I,"Mi-8",'Таблиця 1'!$L:$L,"НЕ уражено")+COUNTIFS('Таблиця 1'!$B:$B,$A378,'Таблиця 1'!$I:$I,"Mi-24",'Таблиця 1'!$L:$L,"НЕ уражено"))</f>
        <v/>
      </c>
    </row>
    <row r="379">
      <c r="A379" s="273">
        <f>IF(A378="","",IF(A378+1&gt;MAX('Таблиця 1'!$B:$B),"",A378+1))</f>
        <v/>
      </c>
      <c r="B379">
        <f>IF($A379="","",COUNTIFS('Таблиця 1'!$B:$B,$A379,'Таблиця 1'!$I:$I,"Mi-8")+COUNTIFS('Таблиця 1'!$B:$B,$A379,'Таблиця 1'!$I:$I,"Mi-24"))</f>
        <v/>
      </c>
      <c r="C379">
        <f>IF($A379="","",COUNTIFS('Таблиця 1'!$B:$B,$A379,'Таблиця 1'!$I:$I,"Mi-8"))</f>
        <v/>
      </c>
      <c r="D379">
        <f>IF($A379="","",COUNTIFS('Таблиця 1'!$B:$B,$A379,'Таблиця 1'!$I:$I,"Mi-24"))</f>
        <v/>
      </c>
      <c r="E379">
        <f>IF($A379="","",SUMIFS('Таблиця 1'!$K:$K,'Таблиця 1'!$B:$B,$A379,'Таблиця 1'!$I:$I,"Mi-8",'Таблиця 1'!$J:$J,"ARS-8")+SUMIFS('Таблиця 1'!$K:$K,'Таблиця 1'!$B:$B,$A379,'Таблиця 1'!$I:$I,"Mi-24",'Таблиця 1'!$J:$J,"ARS-8"))</f>
        <v/>
      </c>
      <c r="F379">
        <f>IF($A379="","",SUMIFS('Таблиця 1'!$K:$K,'Таблиця 1'!$B:$B,$A379,'Таблиця 1'!$I:$I,"Mi-8",'Таблиця 1'!$J:$J,"С-8 ком")+SUMIFS('Таблиця 1'!$K:$K,'Таблиця 1'!$B:$B,$A379,'Таблиця 1'!$I:$I,"Mi-24",'Таблиця 1'!$J:$J,"С-8 ком"))</f>
        <v/>
      </c>
      <c r="G379">
        <f>IF($A379="","",SUMIFS('Таблиця 1'!$K:$K,'Таблиця 1'!$B:$B,$A379,'Таблиця 1'!$I:$I,"Mi-8",'Таблиця 1'!$J:$J,"PC-80")+SUMIFS('Таблиця 1'!$K:$K,'Таблиця 1'!$B:$B,$A379,'Таблиця 1'!$I:$I,"Mi-24",'Таблиця 1'!$J:$J,"PC-80"))</f>
        <v/>
      </c>
      <c r="H379">
        <f>IF($A379="","",SUMIFS('Таблиця 1'!$K:$K,'Таблиця 1'!$B:$B,$A379,'Таблиця 1'!$I:$I,"Mi-8",'Таблиця 1'!$J:$J,"UAR-80")+SUMIFS('Таблиця 1'!$K:$K,'Таблиця 1'!$B:$B,$A379,'Таблиця 1'!$I:$I,"Mi-24",'Таблиця 1'!$J:$J,"UAR-80"))</f>
        <v/>
      </c>
      <c r="I379">
        <f>IF($A379="","",SUMIFS('Таблиця 1'!$K:$K,'Таблиця 1'!$B:$B,$A379,'Таблиця 1'!$I:$I,"Mi-8",'Таблиця 1'!$J:$J,"C-13")+SUMIFS('Таблиця 1'!$K:$K,'Таблиця 1'!$B:$B,$A379,'Таблиця 1'!$I:$I,"Mi-24",'Таблиця 1'!$J:$J,"C-13"))</f>
        <v/>
      </c>
      <c r="J379">
        <f>IF($A379="","",SUMIFS('Таблиця 1'!$K:$K,'Таблиця 1'!$B:$B,$A379,'Таблиця 1'!$I:$I,"Mi-8",'Таблиця 1'!$J:$J,"Hydra-70")+SUMIFS('Таблиця 1'!$K:$K,'Таблиця 1'!$B:$B,$A379,'Таблиця 1'!$I:$I,"Mi-24",'Таблиця 1'!$J:$J,"Hydra-70"))</f>
        <v/>
      </c>
      <c r="K379">
        <f>IF($A379="","",SUMIFS('Таблиця 1'!$K:$K,'Таблиця 1'!$B:$B,$A379,'Таблиця 1'!$I:$I,"Mi-8",'Таблиця 1'!$J:$J,"Thales-70")+SUMIFS('Таблиця 1'!$K:$K,'Таблиця 1'!$B:$B,$A379,'Таблиця 1'!$I:$I,"Mi-24",'Таблиця 1'!$J:$J,"Thales-70"))</f>
        <v/>
      </c>
      <c r="L379">
        <f>IF($A379="","",SUMIFS('Таблиця 1'!$K:$K,'Таблиця 1'!$B:$B,$A379,'Таблиця 1'!$I:$I,"Mi-8",'Таблиця 1'!$J:$J,"Thales-FZ")+SUMIFS('Таблиця 1'!$K:$K,'Таблиця 1'!$B:$B,$A379,'Таблиця 1'!$I:$I,"Mi-24",'Таблиця 1'!$J:$J,"Thales-FZ"))</f>
        <v/>
      </c>
      <c r="M379">
        <f>IF($A379="","",SUMIFS('Таблиця 1'!$K:$K,'Таблиця 1'!$B:$B,$A379,'Таблиця 1'!$I:$I,"Mi-8",'Таблиця 1'!$J:$J,"МК-40")+SUMIFS('Таблиця 1'!$K:$K,'Таблиця 1'!$B:$B,$A379,'Таблиця 1'!$I:$I,"Mi-24",'Таблиця 1'!$J:$J,"МК-40"))</f>
        <v/>
      </c>
      <c r="N379">
        <f>IF($A379="","",SUMIFS('Таблиця 1'!$K:$K,'Таблиця 1'!$B:$B,$A379,'Таблиця 1'!$I:$I,"Mi-8",'Таблиця 1'!$J:$J,"Zuni")+SUMIFS('Таблиця 1'!$K:$K,'Таблиця 1'!$B:$B,$A379,'Таблиця 1'!$I:$I,"Mi-24",'Таблиця 1'!$J:$J,"Zuni"))</f>
        <v/>
      </c>
      <c r="O379">
        <f>IF($A379="","",COUNTIFS('Таблиця 1'!$B:$B,$A379,'Таблиця 1'!$I:$I,"Mi-8",'Таблиця 1'!$L:$L,"Уражено")+COUNTIFS('Таблиця 1'!$B:$B,$A379,'Таблиця 1'!$I:$I,"Mi-24",'Таблиця 1'!$L:$L,"Уражено"))</f>
        <v/>
      </c>
      <c r="P379">
        <f>IF($A379="","",COUNTIFS('Таблиця 1'!$B:$B,$A379,'Таблиця 1'!$I:$I,"Mi-8",'Таблиця 1'!$L:$L,"НЕ уражено")+COUNTIFS('Таблиця 1'!$B:$B,$A379,'Таблиця 1'!$I:$I,"Mi-24",'Таблиця 1'!$L:$L,"НЕ уражено"))</f>
        <v/>
      </c>
    </row>
    <row r="380">
      <c r="A380" s="273">
        <f>IF(A379="","",IF(A379+1&gt;MAX('Таблиця 1'!$B:$B),"",A379+1))</f>
        <v/>
      </c>
      <c r="B380">
        <f>IF($A380="","",COUNTIFS('Таблиця 1'!$B:$B,$A380,'Таблиця 1'!$I:$I,"Mi-8")+COUNTIFS('Таблиця 1'!$B:$B,$A380,'Таблиця 1'!$I:$I,"Mi-24"))</f>
        <v/>
      </c>
      <c r="C380">
        <f>IF($A380="","",COUNTIFS('Таблиця 1'!$B:$B,$A380,'Таблиця 1'!$I:$I,"Mi-8"))</f>
        <v/>
      </c>
      <c r="D380">
        <f>IF($A380="","",COUNTIFS('Таблиця 1'!$B:$B,$A380,'Таблиця 1'!$I:$I,"Mi-24"))</f>
        <v/>
      </c>
      <c r="E380">
        <f>IF($A380="","",SUMIFS('Таблиця 1'!$K:$K,'Таблиця 1'!$B:$B,$A380,'Таблиця 1'!$I:$I,"Mi-8",'Таблиця 1'!$J:$J,"ARS-8")+SUMIFS('Таблиця 1'!$K:$K,'Таблиця 1'!$B:$B,$A380,'Таблиця 1'!$I:$I,"Mi-24",'Таблиця 1'!$J:$J,"ARS-8"))</f>
        <v/>
      </c>
      <c r="F380">
        <f>IF($A380="","",SUMIFS('Таблиця 1'!$K:$K,'Таблиця 1'!$B:$B,$A380,'Таблиця 1'!$I:$I,"Mi-8",'Таблиця 1'!$J:$J,"С-8 ком")+SUMIFS('Таблиця 1'!$K:$K,'Таблиця 1'!$B:$B,$A380,'Таблиця 1'!$I:$I,"Mi-24",'Таблиця 1'!$J:$J,"С-8 ком"))</f>
        <v/>
      </c>
      <c r="G380">
        <f>IF($A380="","",SUMIFS('Таблиця 1'!$K:$K,'Таблиця 1'!$B:$B,$A380,'Таблиця 1'!$I:$I,"Mi-8",'Таблиця 1'!$J:$J,"PC-80")+SUMIFS('Таблиця 1'!$K:$K,'Таблиця 1'!$B:$B,$A380,'Таблиця 1'!$I:$I,"Mi-24",'Таблиця 1'!$J:$J,"PC-80"))</f>
        <v/>
      </c>
      <c r="H380">
        <f>IF($A380="","",SUMIFS('Таблиця 1'!$K:$K,'Таблиця 1'!$B:$B,$A380,'Таблиця 1'!$I:$I,"Mi-8",'Таблиця 1'!$J:$J,"UAR-80")+SUMIFS('Таблиця 1'!$K:$K,'Таблиця 1'!$B:$B,$A380,'Таблиця 1'!$I:$I,"Mi-24",'Таблиця 1'!$J:$J,"UAR-80"))</f>
        <v/>
      </c>
      <c r="I380">
        <f>IF($A380="","",SUMIFS('Таблиця 1'!$K:$K,'Таблиця 1'!$B:$B,$A380,'Таблиця 1'!$I:$I,"Mi-8",'Таблиця 1'!$J:$J,"C-13")+SUMIFS('Таблиця 1'!$K:$K,'Таблиця 1'!$B:$B,$A380,'Таблиця 1'!$I:$I,"Mi-24",'Таблиця 1'!$J:$J,"C-13"))</f>
        <v/>
      </c>
      <c r="J380">
        <f>IF($A380="","",SUMIFS('Таблиця 1'!$K:$K,'Таблиця 1'!$B:$B,$A380,'Таблиця 1'!$I:$I,"Mi-8",'Таблиця 1'!$J:$J,"Hydra-70")+SUMIFS('Таблиця 1'!$K:$K,'Таблиця 1'!$B:$B,$A380,'Таблиця 1'!$I:$I,"Mi-24",'Таблиця 1'!$J:$J,"Hydra-70"))</f>
        <v/>
      </c>
      <c r="K380">
        <f>IF($A380="","",SUMIFS('Таблиця 1'!$K:$K,'Таблиця 1'!$B:$B,$A380,'Таблиця 1'!$I:$I,"Mi-8",'Таблиця 1'!$J:$J,"Thales-70")+SUMIFS('Таблиця 1'!$K:$K,'Таблиця 1'!$B:$B,$A380,'Таблиця 1'!$I:$I,"Mi-24",'Таблиця 1'!$J:$J,"Thales-70"))</f>
        <v/>
      </c>
      <c r="L380">
        <f>IF($A380="","",SUMIFS('Таблиця 1'!$K:$K,'Таблиця 1'!$B:$B,$A380,'Таблиця 1'!$I:$I,"Mi-8",'Таблиця 1'!$J:$J,"Thales-FZ")+SUMIFS('Таблиця 1'!$K:$K,'Таблиця 1'!$B:$B,$A380,'Таблиця 1'!$I:$I,"Mi-24",'Таблиця 1'!$J:$J,"Thales-FZ"))</f>
        <v/>
      </c>
      <c r="M380">
        <f>IF($A380="","",SUMIFS('Таблиця 1'!$K:$K,'Таблиця 1'!$B:$B,$A380,'Таблиця 1'!$I:$I,"Mi-8",'Таблиця 1'!$J:$J,"МК-40")+SUMIFS('Таблиця 1'!$K:$K,'Таблиця 1'!$B:$B,$A380,'Таблиця 1'!$I:$I,"Mi-24",'Таблиця 1'!$J:$J,"МК-40"))</f>
        <v/>
      </c>
      <c r="N380">
        <f>IF($A380="","",SUMIFS('Таблиця 1'!$K:$K,'Таблиця 1'!$B:$B,$A380,'Таблиця 1'!$I:$I,"Mi-8",'Таблиця 1'!$J:$J,"Zuni")+SUMIFS('Таблиця 1'!$K:$K,'Таблиця 1'!$B:$B,$A380,'Таблиця 1'!$I:$I,"Mi-24",'Таблиця 1'!$J:$J,"Zuni"))</f>
        <v/>
      </c>
      <c r="O380">
        <f>IF($A380="","",COUNTIFS('Таблиця 1'!$B:$B,$A380,'Таблиця 1'!$I:$I,"Mi-8",'Таблиця 1'!$L:$L,"Уражено")+COUNTIFS('Таблиця 1'!$B:$B,$A380,'Таблиця 1'!$I:$I,"Mi-24",'Таблиця 1'!$L:$L,"Уражено"))</f>
        <v/>
      </c>
      <c r="P380">
        <f>IF($A380="","",COUNTIFS('Таблиця 1'!$B:$B,$A380,'Таблиця 1'!$I:$I,"Mi-8",'Таблиця 1'!$L:$L,"НЕ уражено")+COUNTIFS('Таблиця 1'!$B:$B,$A380,'Таблиця 1'!$I:$I,"Mi-24",'Таблиця 1'!$L:$L,"НЕ уражено"))</f>
        <v/>
      </c>
    </row>
    <row r="381">
      <c r="A381" s="273">
        <f>IF(A380="","",IF(A380+1&gt;MAX('Таблиця 1'!$B:$B),"",A380+1))</f>
        <v/>
      </c>
      <c r="B381">
        <f>IF($A381="","",COUNTIFS('Таблиця 1'!$B:$B,$A381,'Таблиця 1'!$I:$I,"Mi-8")+COUNTIFS('Таблиця 1'!$B:$B,$A381,'Таблиця 1'!$I:$I,"Mi-24"))</f>
        <v/>
      </c>
      <c r="C381">
        <f>IF($A381="","",COUNTIFS('Таблиця 1'!$B:$B,$A381,'Таблиця 1'!$I:$I,"Mi-8"))</f>
        <v/>
      </c>
      <c r="D381">
        <f>IF($A381="","",COUNTIFS('Таблиця 1'!$B:$B,$A381,'Таблиця 1'!$I:$I,"Mi-24"))</f>
        <v/>
      </c>
      <c r="E381">
        <f>IF($A381="","",SUMIFS('Таблиця 1'!$K:$K,'Таблиця 1'!$B:$B,$A381,'Таблиця 1'!$I:$I,"Mi-8",'Таблиця 1'!$J:$J,"ARS-8")+SUMIFS('Таблиця 1'!$K:$K,'Таблиця 1'!$B:$B,$A381,'Таблиця 1'!$I:$I,"Mi-24",'Таблиця 1'!$J:$J,"ARS-8"))</f>
        <v/>
      </c>
      <c r="F381">
        <f>IF($A381="","",SUMIFS('Таблиця 1'!$K:$K,'Таблиця 1'!$B:$B,$A381,'Таблиця 1'!$I:$I,"Mi-8",'Таблиця 1'!$J:$J,"С-8 ком")+SUMIFS('Таблиця 1'!$K:$K,'Таблиця 1'!$B:$B,$A381,'Таблиця 1'!$I:$I,"Mi-24",'Таблиця 1'!$J:$J,"С-8 ком"))</f>
        <v/>
      </c>
      <c r="G381">
        <f>IF($A381="","",SUMIFS('Таблиця 1'!$K:$K,'Таблиця 1'!$B:$B,$A381,'Таблиця 1'!$I:$I,"Mi-8",'Таблиця 1'!$J:$J,"PC-80")+SUMIFS('Таблиця 1'!$K:$K,'Таблиця 1'!$B:$B,$A381,'Таблиця 1'!$I:$I,"Mi-24",'Таблиця 1'!$J:$J,"PC-80"))</f>
        <v/>
      </c>
      <c r="H381">
        <f>IF($A381="","",SUMIFS('Таблиця 1'!$K:$K,'Таблиця 1'!$B:$B,$A381,'Таблиця 1'!$I:$I,"Mi-8",'Таблиця 1'!$J:$J,"UAR-80")+SUMIFS('Таблиця 1'!$K:$K,'Таблиця 1'!$B:$B,$A381,'Таблиця 1'!$I:$I,"Mi-24",'Таблиця 1'!$J:$J,"UAR-80"))</f>
        <v/>
      </c>
      <c r="I381">
        <f>IF($A381="","",SUMIFS('Таблиця 1'!$K:$K,'Таблиця 1'!$B:$B,$A381,'Таблиця 1'!$I:$I,"Mi-8",'Таблиця 1'!$J:$J,"C-13")+SUMIFS('Таблиця 1'!$K:$K,'Таблиця 1'!$B:$B,$A381,'Таблиця 1'!$I:$I,"Mi-24",'Таблиця 1'!$J:$J,"C-13"))</f>
        <v/>
      </c>
      <c r="J381">
        <f>IF($A381="","",SUMIFS('Таблиця 1'!$K:$K,'Таблиця 1'!$B:$B,$A381,'Таблиця 1'!$I:$I,"Mi-8",'Таблиця 1'!$J:$J,"Hydra-70")+SUMIFS('Таблиця 1'!$K:$K,'Таблиця 1'!$B:$B,$A381,'Таблиця 1'!$I:$I,"Mi-24",'Таблиця 1'!$J:$J,"Hydra-70"))</f>
        <v/>
      </c>
      <c r="K381">
        <f>IF($A381="","",SUMIFS('Таблиця 1'!$K:$K,'Таблиця 1'!$B:$B,$A381,'Таблиця 1'!$I:$I,"Mi-8",'Таблиця 1'!$J:$J,"Thales-70")+SUMIFS('Таблиця 1'!$K:$K,'Таблиця 1'!$B:$B,$A381,'Таблиця 1'!$I:$I,"Mi-24",'Таблиця 1'!$J:$J,"Thales-70"))</f>
        <v/>
      </c>
      <c r="L381">
        <f>IF($A381="","",SUMIFS('Таблиця 1'!$K:$K,'Таблиця 1'!$B:$B,$A381,'Таблиця 1'!$I:$I,"Mi-8",'Таблиця 1'!$J:$J,"Thales-FZ")+SUMIFS('Таблиця 1'!$K:$K,'Таблиця 1'!$B:$B,$A381,'Таблиця 1'!$I:$I,"Mi-24",'Таблиця 1'!$J:$J,"Thales-FZ"))</f>
        <v/>
      </c>
      <c r="M381">
        <f>IF($A381="","",SUMIFS('Таблиця 1'!$K:$K,'Таблиця 1'!$B:$B,$A381,'Таблиця 1'!$I:$I,"Mi-8",'Таблиця 1'!$J:$J,"МК-40")+SUMIFS('Таблиця 1'!$K:$K,'Таблиця 1'!$B:$B,$A381,'Таблиця 1'!$I:$I,"Mi-24",'Таблиця 1'!$J:$J,"МК-40"))</f>
        <v/>
      </c>
      <c r="N381">
        <f>IF($A381="","",SUMIFS('Таблиця 1'!$K:$K,'Таблиця 1'!$B:$B,$A381,'Таблиця 1'!$I:$I,"Mi-8",'Таблиця 1'!$J:$J,"Zuni")+SUMIFS('Таблиця 1'!$K:$K,'Таблиця 1'!$B:$B,$A381,'Таблиця 1'!$I:$I,"Mi-24",'Таблиця 1'!$J:$J,"Zuni"))</f>
        <v/>
      </c>
      <c r="O381">
        <f>IF($A381="","",COUNTIFS('Таблиця 1'!$B:$B,$A381,'Таблиця 1'!$I:$I,"Mi-8",'Таблиця 1'!$L:$L,"Уражено")+COUNTIFS('Таблиця 1'!$B:$B,$A381,'Таблиця 1'!$I:$I,"Mi-24",'Таблиця 1'!$L:$L,"Уражено"))</f>
        <v/>
      </c>
      <c r="P381">
        <f>IF($A381="","",COUNTIFS('Таблиця 1'!$B:$B,$A381,'Таблиця 1'!$I:$I,"Mi-8",'Таблиця 1'!$L:$L,"НЕ уражено")+COUNTIFS('Таблиця 1'!$B:$B,$A381,'Таблиця 1'!$I:$I,"Mi-24",'Таблиця 1'!$L:$L,"НЕ уражено"))</f>
        <v/>
      </c>
    </row>
    <row r="382">
      <c r="A382" s="273">
        <f>IF(A381="","",IF(A381+1&gt;MAX('Таблиця 1'!$B:$B),"",A381+1))</f>
        <v/>
      </c>
      <c r="B382">
        <f>IF($A382="","",COUNTIFS('Таблиця 1'!$B:$B,$A382,'Таблиця 1'!$I:$I,"Mi-8")+COUNTIFS('Таблиця 1'!$B:$B,$A382,'Таблиця 1'!$I:$I,"Mi-24"))</f>
        <v/>
      </c>
      <c r="C382">
        <f>IF($A382="","",COUNTIFS('Таблиця 1'!$B:$B,$A382,'Таблиця 1'!$I:$I,"Mi-8"))</f>
        <v/>
      </c>
      <c r="D382">
        <f>IF($A382="","",COUNTIFS('Таблиця 1'!$B:$B,$A382,'Таблиця 1'!$I:$I,"Mi-24"))</f>
        <v/>
      </c>
      <c r="E382">
        <f>IF($A382="","",SUMIFS('Таблиця 1'!$K:$K,'Таблиця 1'!$B:$B,$A382,'Таблиця 1'!$I:$I,"Mi-8",'Таблиця 1'!$J:$J,"ARS-8")+SUMIFS('Таблиця 1'!$K:$K,'Таблиця 1'!$B:$B,$A382,'Таблиця 1'!$I:$I,"Mi-24",'Таблиця 1'!$J:$J,"ARS-8"))</f>
        <v/>
      </c>
      <c r="F382">
        <f>IF($A382="","",SUMIFS('Таблиця 1'!$K:$K,'Таблиця 1'!$B:$B,$A382,'Таблиця 1'!$I:$I,"Mi-8",'Таблиця 1'!$J:$J,"С-8 ком")+SUMIFS('Таблиця 1'!$K:$K,'Таблиця 1'!$B:$B,$A382,'Таблиця 1'!$I:$I,"Mi-24",'Таблиця 1'!$J:$J,"С-8 ком"))</f>
        <v/>
      </c>
      <c r="G382">
        <f>IF($A382="","",SUMIFS('Таблиця 1'!$K:$K,'Таблиця 1'!$B:$B,$A382,'Таблиця 1'!$I:$I,"Mi-8",'Таблиця 1'!$J:$J,"PC-80")+SUMIFS('Таблиця 1'!$K:$K,'Таблиця 1'!$B:$B,$A382,'Таблиця 1'!$I:$I,"Mi-24",'Таблиця 1'!$J:$J,"PC-80"))</f>
        <v/>
      </c>
      <c r="H382">
        <f>IF($A382="","",SUMIFS('Таблиця 1'!$K:$K,'Таблиця 1'!$B:$B,$A382,'Таблиця 1'!$I:$I,"Mi-8",'Таблиця 1'!$J:$J,"UAR-80")+SUMIFS('Таблиця 1'!$K:$K,'Таблиця 1'!$B:$B,$A382,'Таблиця 1'!$I:$I,"Mi-24",'Таблиця 1'!$J:$J,"UAR-80"))</f>
        <v/>
      </c>
      <c r="I382">
        <f>IF($A382="","",SUMIFS('Таблиця 1'!$K:$K,'Таблиця 1'!$B:$B,$A382,'Таблиця 1'!$I:$I,"Mi-8",'Таблиця 1'!$J:$J,"C-13")+SUMIFS('Таблиця 1'!$K:$K,'Таблиця 1'!$B:$B,$A382,'Таблиця 1'!$I:$I,"Mi-24",'Таблиця 1'!$J:$J,"C-13"))</f>
        <v/>
      </c>
      <c r="J382">
        <f>IF($A382="","",SUMIFS('Таблиця 1'!$K:$K,'Таблиця 1'!$B:$B,$A382,'Таблиця 1'!$I:$I,"Mi-8",'Таблиця 1'!$J:$J,"Hydra-70")+SUMIFS('Таблиця 1'!$K:$K,'Таблиця 1'!$B:$B,$A382,'Таблиця 1'!$I:$I,"Mi-24",'Таблиця 1'!$J:$J,"Hydra-70"))</f>
        <v/>
      </c>
      <c r="K382">
        <f>IF($A382="","",SUMIFS('Таблиця 1'!$K:$K,'Таблиця 1'!$B:$B,$A382,'Таблиця 1'!$I:$I,"Mi-8",'Таблиця 1'!$J:$J,"Thales-70")+SUMIFS('Таблиця 1'!$K:$K,'Таблиця 1'!$B:$B,$A382,'Таблиця 1'!$I:$I,"Mi-24",'Таблиця 1'!$J:$J,"Thales-70"))</f>
        <v/>
      </c>
      <c r="L382">
        <f>IF($A382="","",SUMIFS('Таблиця 1'!$K:$K,'Таблиця 1'!$B:$B,$A382,'Таблиця 1'!$I:$I,"Mi-8",'Таблиця 1'!$J:$J,"Thales-FZ")+SUMIFS('Таблиця 1'!$K:$K,'Таблиця 1'!$B:$B,$A382,'Таблиця 1'!$I:$I,"Mi-24",'Таблиця 1'!$J:$J,"Thales-FZ"))</f>
        <v/>
      </c>
      <c r="M382">
        <f>IF($A382="","",SUMIFS('Таблиця 1'!$K:$K,'Таблиця 1'!$B:$B,$A382,'Таблиця 1'!$I:$I,"Mi-8",'Таблиця 1'!$J:$J,"МК-40")+SUMIFS('Таблиця 1'!$K:$K,'Таблиця 1'!$B:$B,$A382,'Таблиця 1'!$I:$I,"Mi-24",'Таблиця 1'!$J:$J,"МК-40"))</f>
        <v/>
      </c>
      <c r="N382">
        <f>IF($A382="","",SUMIFS('Таблиця 1'!$K:$K,'Таблиця 1'!$B:$B,$A382,'Таблиця 1'!$I:$I,"Mi-8",'Таблиця 1'!$J:$J,"Zuni")+SUMIFS('Таблиця 1'!$K:$K,'Таблиця 1'!$B:$B,$A382,'Таблиця 1'!$I:$I,"Mi-24",'Таблиця 1'!$J:$J,"Zuni"))</f>
        <v/>
      </c>
      <c r="O382">
        <f>IF($A382="","",COUNTIFS('Таблиця 1'!$B:$B,$A382,'Таблиця 1'!$I:$I,"Mi-8",'Таблиця 1'!$L:$L,"Уражено")+COUNTIFS('Таблиця 1'!$B:$B,$A382,'Таблиця 1'!$I:$I,"Mi-24",'Таблиця 1'!$L:$L,"Уражено"))</f>
        <v/>
      </c>
      <c r="P382">
        <f>IF($A382="","",COUNTIFS('Таблиця 1'!$B:$B,$A382,'Таблиця 1'!$I:$I,"Mi-8",'Таблиця 1'!$L:$L,"НЕ уражено")+COUNTIFS('Таблиця 1'!$B:$B,$A382,'Таблиця 1'!$I:$I,"Mi-24",'Таблиця 1'!$L:$L,"НЕ уражено"))</f>
        <v/>
      </c>
    </row>
    <row r="383">
      <c r="A383" s="273">
        <f>IF(A382="","",IF(A382+1&gt;MAX('Таблиця 1'!$B:$B),"",A382+1))</f>
        <v/>
      </c>
      <c r="B383">
        <f>IF($A383="","",COUNTIFS('Таблиця 1'!$B:$B,$A383,'Таблиця 1'!$I:$I,"Mi-8")+COUNTIFS('Таблиця 1'!$B:$B,$A383,'Таблиця 1'!$I:$I,"Mi-24"))</f>
        <v/>
      </c>
      <c r="C383">
        <f>IF($A383="","",COUNTIFS('Таблиця 1'!$B:$B,$A383,'Таблиця 1'!$I:$I,"Mi-8"))</f>
        <v/>
      </c>
      <c r="D383">
        <f>IF($A383="","",COUNTIFS('Таблиця 1'!$B:$B,$A383,'Таблиця 1'!$I:$I,"Mi-24"))</f>
        <v/>
      </c>
      <c r="E383">
        <f>IF($A383="","",SUMIFS('Таблиця 1'!$K:$K,'Таблиця 1'!$B:$B,$A383,'Таблиця 1'!$I:$I,"Mi-8",'Таблиця 1'!$J:$J,"ARS-8")+SUMIFS('Таблиця 1'!$K:$K,'Таблиця 1'!$B:$B,$A383,'Таблиця 1'!$I:$I,"Mi-24",'Таблиця 1'!$J:$J,"ARS-8"))</f>
        <v/>
      </c>
      <c r="F383">
        <f>IF($A383="","",SUMIFS('Таблиця 1'!$K:$K,'Таблиця 1'!$B:$B,$A383,'Таблиця 1'!$I:$I,"Mi-8",'Таблиця 1'!$J:$J,"С-8 ком")+SUMIFS('Таблиця 1'!$K:$K,'Таблиця 1'!$B:$B,$A383,'Таблиця 1'!$I:$I,"Mi-24",'Таблиця 1'!$J:$J,"С-8 ком"))</f>
        <v/>
      </c>
      <c r="G383">
        <f>IF($A383="","",SUMIFS('Таблиця 1'!$K:$K,'Таблиця 1'!$B:$B,$A383,'Таблиця 1'!$I:$I,"Mi-8",'Таблиця 1'!$J:$J,"PC-80")+SUMIFS('Таблиця 1'!$K:$K,'Таблиця 1'!$B:$B,$A383,'Таблиця 1'!$I:$I,"Mi-24",'Таблиця 1'!$J:$J,"PC-80"))</f>
        <v/>
      </c>
      <c r="H383">
        <f>IF($A383="","",SUMIFS('Таблиця 1'!$K:$K,'Таблиця 1'!$B:$B,$A383,'Таблиця 1'!$I:$I,"Mi-8",'Таблиця 1'!$J:$J,"UAR-80")+SUMIFS('Таблиця 1'!$K:$K,'Таблиця 1'!$B:$B,$A383,'Таблиця 1'!$I:$I,"Mi-24",'Таблиця 1'!$J:$J,"UAR-80"))</f>
        <v/>
      </c>
      <c r="I383">
        <f>IF($A383="","",SUMIFS('Таблиця 1'!$K:$K,'Таблиця 1'!$B:$B,$A383,'Таблиця 1'!$I:$I,"Mi-8",'Таблиця 1'!$J:$J,"C-13")+SUMIFS('Таблиця 1'!$K:$K,'Таблиця 1'!$B:$B,$A383,'Таблиця 1'!$I:$I,"Mi-24",'Таблиця 1'!$J:$J,"C-13"))</f>
        <v/>
      </c>
      <c r="J383">
        <f>IF($A383="","",SUMIFS('Таблиця 1'!$K:$K,'Таблиця 1'!$B:$B,$A383,'Таблиця 1'!$I:$I,"Mi-8",'Таблиця 1'!$J:$J,"Hydra-70")+SUMIFS('Таблиця 1'!$K:$K,'Таблиця 1'!$B:$B,$A383,'Таблиця 1'!$I:$I,"Mi-24",'Таблиця 1'!$J:$J,"Hydra-70"))</f>
        <v/>
      </c>
      <c r="K383">
        <f>IF($A383="","",SUMIFS('Таблиця 1'!$K:$K,'Таблиця 1'!$B:$B,$A383,'Таблиця 1'!$I:$I,"Mi-8",'Таблиця 1'!$J:$J,"Thales-70")+SUMIFS('Таблиця 1'!$K:$K,'Таблиця 1'!$B:$B,$A383,'Таблиця 1'!$I:$I,"Mi-24",'Таблиця 1'!$J:$J,"Thales-70"))</f>
        <v/>
      </c>
      <c r="L383">
        <f>IF($A383="","",SUMIFS('Таблиця 1'!$K:$K,'Таблиця 1'!$B:$B,$A383,'Таблиця 1'!$I:$I,"Mi-8",'Таблиця 1'!$J:$J,"Thales-FZ")+SUMIFS('Таблиця 1'!$K:$K,'Таблиця 1'!$B:$B,$A383,'Таблиця 1'!$I:$I,"Mi-24",'Таблиця 1'!$J:$J,"Thales-FZ"))</f>
        <v/>
      </c>
      <c r="M383">
        <f>IF($A383="","",SUMIFS('Таблиця 1'!$K:$K,'Таблиця 1'!$B:$B,$A383,'Таблиця 1'!$I:$I,"Mi-8",'Таблиця 1'!$J:$J,"МК-40")+SUMIFS('Таблиця 1'!$K:$K,'Таблиця 1'!$B:$B,$A383,'Таблиця 1'!$I:$I,"Mi-24",'Таблиця 1'!$J:$J,"МК-40"))</f>
        <v/>
      </c>
      <c r="N383">
        <f>IF($A383="","",SUMIFS('Таблиця 1'!$K:$K,'Таблиця 1'!$B:$B,$A383,'Таблиця 1'!$I:$I,"Mi-8",'Таблиця 1'!$J:$J,"Zuni")+SUMIFS('Таблиця 1'!$K:$K,'Таблиця 1'!$B:$B,$A383,'Таблиця 1'!$I:$I,"Mi-24",'Таблиця 1'!$J:$J,"Zuni"))</f>
        <v/>
      </c>
      <c r="O383">
        <f>IF($A383="","",COUNTIFS('Таблиця 1'!$B:$B,$A383,'Таблиця 1'!$I:$I,"Mi-8",'Таблиця 1'!$L:$L,"Уражено")+COUNTIFS('Таблиця 1'!$B:$B,$A383,'Таблиця 1'!$I:$I,"Mi-24",'Таблиця 1'!$L:$L,"Уражено"))</f>
        <v/>
      </c>
      <c r="P383">
        <f>IF($A383="","",COUNTIFS('Таблиця 1'!$B:$B,$A383,'Таблиця 1'!$I:$I,"Mi-8",'Таблиця 1'!$L:$L,"НЕ уражено")+COUNTIFS('Таблиця 1'!$B:$B,$A383,'Таблиця 1'!$I:$I,"Mi-24",'Таблиця 1'!$L:$L,"НЕ уражено"))</f>
        <v/>
      </c>
    </row>
    <row r="384">
      <c r="A384" s="273">
        <f>IF(A383="","",IF(A383+1&gt;MAX('Таблиця 1'!$B:$B),"",A383+1))</f>
        <v/>
      </c>
      <c r="B384">
        <f>IF($A384="","",COUNTIFS('Таблиця 1'!$B:$B,$A384,'Таблиця 1'!$I:$I,"Mi-8")+COUNTIFS('Таблиця 1'!$B:$B,$A384,'Таблиця 1'!$I:$I,"Mi-24"))</f>
        <v/>
      </c>
      <c r="C384">
        <f>IF($A384="","",COUNTIFS('Таблиця 1'!$B:$B,$A384,'Таблиця 1'!$I:$I,"Mi-8"))</f>
        <v/>
      </c>
      <c r="D384">
        <f>IF($A384="","",COUNTIFS('Таблиця 1'!$B:$B,$A384,'Таблиця 1'!$I:$I,"Mi-24"))</f>
        <v/>
      </c>
      <c r="E384">
        <f>IF($A384="","",SUMIFS('Таблиця 1'!$K:$K,'Таблиця 1'!$B:$B,$A384,'Таблиця 1'!$I:$I,"Mi-8",'Таблиця 1'!$J:$J,"ARS-8")+SUMIFS('Таблиця 1'!$K:$K,'Таблиця 1'!$B:$B,$A384,'Таблиця 1'!$I:$I,"Mi-24",'Таблиця 1'!$J:$J,"ARS-8"))</f>
        <v/>
      </c>
      <c r="F384">
        <f>IF($A384="","",SUMIFS('Таблиця 1'!$K:$K,'Таблиця 1'!$B:$B,$A384,'Таблиця 1'!$I:$I,"Mi-8",'Таблиця 1'!$J:$J,"С-8 ком")+SUMIFS('Таблиця 1'!$K:$K,'Таблиця 1'!$B:$B,$A384,'Таблиця 1'!$I:$I,"Mi-24",'Таблиця 1'!$J:$J,"С-8 ком"))</f>
        <v/>
      </c>
      <c r="G384">
        <f>IF($A384="","",SUMIFS('Таблиця 1'!$K:$K,'Таблиця 1'!$B:$B,$A384,'Таблиця 1'!$I:$I,"Mi-8",'Таблиця 1'!$J:$J,"PC-80")+SUMIFS('Таблиця 1'!$K:$K,'Таблиця 1'!$B:$B,$A384,'Таблиця 1'!$I:$I,"Mi-24",'Таблиця 1'!$J:$J,"PC-80"))</f>
        <v/>
      </c>
      <c r="H384">
        <f>IF($A384="","",SUMIFS('Таблиця 1'!$K:$K,'Таблиця 1'!$B:$B,$A384,'Таблиця 1'!$I:$I,"Mi-8",'Таблиця 1'!$J:$J,"UAR-80")+SUMIFS('Таблиця 1'!$K:$K,'Таблиця 1'!$B:$B,$A384,'Таблиця 1'!$I:$I,"Mi-24",'Таблиця 1'!$J:$J,"UAR-80"))</f>
        <v/>
      </c>
      <c r="I384">
        <f>IF($A384="","",SUMIFS('Таблиця 1'!$K:$K,'Таблиця 1'!$B:$B,$A384,'Таблиця 1'!$I:$I,"Mi-8",'Таблиця 1'!$J:$J,"C-13")+SUMIFS('Таблиця 1'!$K:$K,'Таблиця 1'!$B:$B,$A384,'Таблиця 1'!$I:$I,"Mi-24",'Таблиця 1'!$J:$J,"C-13"))</f>
        <v/>
      </c>
      <c r="J384">
        <f>IF($A384="","",SUMIFS('Таблиця 1'!$K:$K,'Таблиця 1'!$B:$B,$A384,'Таблиця 1'!$I:$I,"Mi-8",'Таблиця 1'!$J:$J,"Hydra-70")+SUMIFS('Таблиця 1'!$K:$K,'Таблиця 1'!$B:$B,$A384,'Таблиця 1'!$I:$I,"Mi-24",'Таблиця 1'!$J:$J,"Hydra-70"))</f>
        <v/>
      </c>
      <c r="K384">
        <f>IF($A384="","",SUMIFS('Таблиця 1'!$K:$K,'Таблиця 1'!$B:$B,$A384,'Таблиця 1'!$I:$I,"Mi-8",'Таблиця 1'!$J:$J,"Thales-70")+SUMIFS('Таблиця 1'!$K:$K,'Таблиця 1'!$B:$B,$A384,'Таблиця 1'!$I:$I,"Mi-24",'Таблиця 1'!$J:$J,"Thales-70"))</f>
        <v/>
      </c>
      <c r="L384">
        <f>IF($A384="","",SUMIFS('Таблиця 1'!$K:$K,'Таблиця 1'!$B:$B,$A384,'Таблиця 1'!$I:$I,"Mi-8",'Таблиця 1'!$J:$J,"Thales-FZ")+SUMIFS('Таблиця 1'!$K:$K,'Таблиця 1'!$B:$B,$A384,'Таблиця 1'!$I:$I,"Mi-24",'Таблиця 1'!$J:$J,"Thales-FZ"))</f>
        <v/>
      </c>
      <c r="M384">
        <f>IF($A384="","",SUMIFS('Таблиця 1'!$K:$K,'Таблиця 1'!$B:$B,$A384,'Таблиця 1'!$I:$I,"Mi-8",'Таблиця 1'!$J:$J,"МК-40")+SUMIFS('Таблиця 1'!$K:$K,'Таблиця 1'!$B:$B,$A384,'Таблиця 1'!$I:$I,"Mi-24",'Таблиця 1'!$J:$J,"МК-40"))</f>
        <v/>
      </c>
      <c r="N384">
        <f>IF($A384="","",SUMIFS('Таблиця 1'!$K:$K,'Таблиця 1'!$B:$B,$A384,'Таблиця 1'!$I:$I,"Mi-8",'Таблиця 1'!$J:$J,"Zuni")+SUMIFS('Таблиця 1'!$K:$K,'Таблиця 1'!$B:$B,$A384,'Таблиця 1'!$I:$I,"Mi-24",'Таблиця 1'!$J:$J,"Zuni"))</f>
        <v/>
      </c>
      <c r="O384">
        <f>IF($A384="","",COUNTIFS('Таблиця 1'!$B:$B,$A384,'Таблиця 1'!$I:$I,"Mi-8",'Таблиця 1'!$L:$L,"Уражено")+COUNTIFS('Таблиця 1'!$B:$B,$A384,'Таблиця 1'!$I:$I,"Mi-24",'Таблиця 1'!$L:$L,"Уражено"))</f>
        <v/>
      </c>
      <c r="P384">
        <f>IF($A384="","",COUNTIFS('Таблиця 1'!$B:$B,$A384,'Таблиця 1'!$I:$I,"Mi-8",'Таблиця 1'!$L:$L,"НЕ уражено")+COUNTIFS('Таблиця 1'!$B:$B,$A384,'Таблиця 1'!$I:$I,"Mi-24",'Таблиця 1'!$L:$L,"НЕ уражено"))</f>
        <v/>
      </c>
    </row>
    <row r="385">
      <c r="A385" s="273">
        <f>IF(A384="","",IF(A384+1&gt;MAX('Таблиця 1'!$B:$B),"",A384+1))</f>
        <v/>
      </c>
      <c r="B385">
        <f>IF($A385="","",COUNTIFS('Таблиця 1'!$B:$B,$A385,'Таблиця 1'!$I:$I,"Mi-8")+COUNTIFS('Таблиця 1'!$B:$B,$A385,'Таблиця 1'!$I:$I,"Mi-24"))</f>
        <v/>
      </c>
      <c r="C385">
        <f>IF($A385="","",COUNTIFS('Таблиця 1'!$B:$B,$A385,'Таблиця 1'!$I:$I,"Mi-8"))</f>
        <v/>
      </c>
      <c r="D385">
        <f>IF($A385="","",COUNTIFS('Таблиця 1'!$B:$B,$A385,'Таблиця 1'!$I:$I,"Mi-24"))</f>
        <v/>
      </c>
      <c r="E385">
        <f>IF($A385="","",SUMIFS('Таблиця 1'!$K:$K,'Таблиця 1'!$B:$B,$A385,'Таблиця 1'!$I:$I,"Mi-8",'Таблиця 1'!$J:$J,"ARS-8")+SUMIFS('Таблиця 1'!$K:$K,'Таблиця 1'!$B:$B,$A385,'Таблиця 1'!$I:$I,"Mi-24",'Таблиця 1'!$J:$J,"ARS-8"))</f>
        <v/>
      </c>
      <c r="F385">
        <f>IF($A385="","",SUMIFS('Таблиця 1'!$K:$K,'Таблиця 1'!$B:$B,$A385,'Таблиця 1'!$I:$I,"Mi-8",'Таблиця 1'!$J:$J,"С-8 ком")+SUMIFS('Таблиця 1'!$K:$K,'Таблиця 1'!$B:$B,$A385,'Таблиця 1'!$I:$I,"Mi-24",'Таблиця 1'!$J:$J,"С-8 ком"))</f>
        <v/>
      </c>
      <c r="G385">
        <f>IF($A385="","",SUMIFS('Таблиця 1'!$K:$K,'Таблиця 1'!$B:$B,$A385,'Таблиця 1'!$I:$I,"Mi-8",'Таблиця 1'!$J:$J,"PC-80")+SUMIFS('Таблиця 1'!$K:$K,'Таблиця 1'!$B:$B,$A385,'Таблиця 1'!$I:$I,"Mi-24",'Таблиця 1'!$J:$J,"PC-80"))</f>
        <v/>
      </c>
      <c r="H385">
        <f>IF($A385="","",SUMIFS('Таблиця 1'!$K:$K,'Таблиця 1'!$B:$B,$A385,'Таблиця 1'!$I:$I,"Mi-8",'Таблиця 1'!$J:$J,"UAR-80")+SUMIFS('Таблиця 1'!$K:$K,'Таблиця 1'!$B:$B,$A385,'Таблиця 1'!$I:$I,"Mi-24",'Таблиця 1'!$J:$J,"UAR-80"))</f>
        <v/>
      </c>
      <c r="I385">
        <f>IF($A385="","",SUMIFS('Таблиця 1'!$K:$K,'Таблиця 1'!$B:$B,$A385,'Таблиця 1'!$I:$I,"Mi-8",'Таблиця 1'!$J:$J,"C-13")+SUMIFS('Таблиця 1'!$K:$K,'Таблиця 1'!$B:$B,$A385,'Таблиця 1'!$I:$I,"Mi-24",'Таблиця 1'!$J:$J,"C-13"))</f>
        <v/>
      </c>
      <c r="J385">
        <f>IF($A385="","",SUMIFS('Таблиця 1'!$K:$K,'Таблиця 1'!$B:$B,$A385,'Таблиця 1'!$I:$I,"Mi-8",'Таблиця 1'!$J:$J,"Hydra-70")+SUMIFS('Таблиця 1'!$K:$K,'Таблиця 1'!$B:$B,$A385,'Таблиця 1'!$I:$I,"Mi-24",'Таблиця 1'!$J:$J,"Hydra-70"))</f>
        <v/>
      </c>
      <c r="K385">
        <f>IF($A385="","",SUMIFS('Таблиця 1'!$K:$K,'Таблиця 1'!$B:$B,$A385,'Таблиця 1'!$I:$I,"Mi-8",'Таблиця 1'!$J:$J,"Thales-70")+SUMIFS('Таблиця 1'!$K:$K,'Таблиця 1'!$B:$B,$A385,'Таблиця 1'!$I:$I,"Mi-24",'Таблиця 1'!$J:$J,"Thales-70"))</f>
        <v/>
      </c>
      <c r="L385">
        <f>IF($A385="","",SUMIFS('Таблиця 1'!$K:$K,'Таблиця 1'!$B:$B,$A385,'Таблиця 1'!$I:$I,"Mi-8",'Таблиця 1'!$J:$J,"Thales-FZ")+SUMIFS('Таблиця 1'!$K:$K,'Таблиця 1'!$B:$B,$A385,'Таблиця 1'!$I:$I,"Mi-24",'Таблиця 1'!$J:$J,"Thales-FZ"))</f>
        <v/>
      </c>
      <c r="M385">
        <f>IF($A385="","",SUMIFS('Таблиця 1'!$K:$K,'Таблиця 1'!$B:$B,$A385,'Таблиця 1'!$I:$I,"Mi-8",'Таблиця 1'!$J:$J,"МК-40")+SUMIFS('Таблиця 1'!$K:$K,'Таблиця 1'!$B:$B,$A385,'Таблиця 1'!$I:$I,"Mi-24",'Таблиця 1'!$J:$J,"МК-40"))</f>
        <v/>
      </c>
      <c r="N385">
        <f>IF($A385="","",SUMIFS('Таблиця 1'!$K:$K,'Таблиця 1'!$B:$B,$A385,'Таблиця 1'!$I:$I,"Mi-8",'Таблиця 1'!$J:$J,"Zuni")+SUMIFS('Таблиця 1'!$K:$K,'Таблиця 1'!$B:$B,$A385,'Таблиця 1'!$I:$I,"Mi-24",'Таблиця 1'!$J:$J,"Zuni"))</f>
        <v/>
      </c>
      <c r="O385">
        <f>IF($A385="","",COUNTIFS('Таблиця 1'!$B:$B,$A385,'Таблиця 1'!$I:$I,"Mi-8",'Таблиця 1'!$L:$L,"Уражено")+COUNTIFS('Таблиця 1'!$B:$B,$A385,'Таблиця 1'!$I:$I,"Mi-24",'Таблиця 1'!$L:$L,"Уражено"))</f>
        <v/>
      </c>
      <c r="P385">
        <f>IF($A385="","",COUNTIFS('Таблиця 1'!$B:$B,$A385,'Таблиця 1'!$I:$I,"Mi-8",'Таблиця 1'!$L:$L,"НЕ уражено")+COUNTIFS('Таблиця 1'!$B:$B,$A385,'Таблиця 1'!$I:$I,"Mi-24",'Таблиця 1'!$L:$L,"НЕ уражено"))</f>
        <v/>
      </c>
    </row>
    <row r="386">
      <c r="A386" s="273">
        <f>IF(A385="","",IF(A385+1&gt;MAX('Таблиця 1'!$B:$B),"",A385+1))</f>
        <v/>
      </c>
      <c r="B386">
        <f>IF($A386="","",COUNTIFS('Таблиця 1'!$B:$B,$A386,'Таблиця 1'!$I:$I,"Mi-8")+COUNTIFS('Таблиця 1'!$B:$B,$A386,'Таблиця 1'!$I:$I,"Mi-24"))</f>
        <v/>
      </c>
      <c r="C386">
        <f>IF($A386="","",COUNTIFS('Таблиця 1'!$B:$B,$A386,'Таблиця 1'!$I:$I,"Mi-8"))</f>
        <v/>
      </c>
      <c r="D386">
        <f>IF($A386="","",COUNTIFS('Таблиця 1'!$B:$B,$A386,'Таблиця 1'!$I:$I,"Mi-24"))</f>
        <v/>
      </c>
      <c r="E386">
        <f>IF($A386="","",SUMIFS('Таблиця 1'!$K:$K,'Таблиця 1'!$B:$B,$A386,'Таблиця 1'!$I:$I,"Mi-8",'Таблиця 1'!$J:$J,"ARS-8")+SUMIFS('Таблиця 1'!$K:$K,'Таблиця 1'!$B:$B,$A386,'Таблиця 1'!$I:$I,"Mi-24",'Таблиця 1'!$J:$J,"ARS-8"))</f>
        <v/>
      </c>
      <c r="F386">
        <f>IF($A386="","",SUMIFS('Таблиця 1'!$K:$K,'Таблиця 1'!$B:$B,$A386,'Таблиця 1'!$I:$I,"Mi-8",'Таблиця 1'!$J:$J,"С-8 ком")+SUMIFS('Таблиця 1'!$K:$K,'Таблиця 1'!$B:$B,$A386,'Таблиця 1'!$I:$I,"Mi-24",'Таблиця 1'!$J:$J,"С-8 ком"))</f>
        <v/>
      </c>
      <c r="G386">
        <f>IF($A386="","",SUMIFS('Таблиця 1'!$K:$K,'Таблиця 1'!$B:$B,$A386,'Таблиця 1'!$I:$I,"Mi-8",'Таблиця 1'!$J:$J,"PC-80")+SUMIFS('Таблиця 1'!$K:$K,'Таблиця 1'!$B:$B,$A386,'Таблиця 1'!$I:$I,"Mi-24",'Таблиця 1'!$J:$J,"PC-80"))</f>
        <v/>
      </c>
      <c r="H386">
        <f>IF($A386="","",SUMIFS('Таблиця 1'!$K:$K,'Таблиця 1'!$B:$B,$A386,'Таблиця 1'!$I:$I,"Mi-8",'Таблиця 1'!$J:$J,"UAR-80")+SUMIFS('Таблиця 1'!$K:$K,'Таблиця 1'!$B:$B,$A386,'Таблиця 1'!$I:$I,"Mi-24",'Таблиця 1'!$J:$J,"UAR-80"))</f>
        <v/>
      </c>
      <c r="I386">
        <f>IF($A386="","",SUMIFS('Таблиця 1'!$K:$K,'Таблиця 1'!$B:$B,$A386,'Таблиця 1'!$I:$I,"Mi-8",'Таблиця 1'!$J:$J,"C-13")+SUMIFS('Таблиця 1'!$K:$K,'Таблиця 1'!$B:$B,$A386,'Таблиця 1'!$I:$I,"Mi-24",'Таблиця 1'!$J:$J,"C-13"))</f>
        <v/>
      </c>
      <c r="J386">
        <f>IF($A386="","",SUMIFS('Таблиця 1'!$K:$K,'Таблиця 1'!$B:$B,$A386,'Таблиця 1'!$I:$I,"Mi-8",'Таблиця 1'!$J:$J,"Hydra-70")+SUMIFS('Таблиця 1'!$K:$K,'Таблиця 1'!$B:$B,$A386,'Таблиця 1'!$I:$I,"Mi-24",'Таблиця 1'!$J:$J,"Hydra-70"))</f>
        <v/>
      </c>
      <c r="K386">
        <f>IF($A386="","",SUMIFS('Таблиця 1'!$K:$K,'Таблиця 1'!$B:$B,$A386,'Таблиця 1'!$I:$I,"Mi-8",'Таблиця 1'!$J:$J,"Thales-70")+SUMIFS('Таблиця 1'!$K:$K,'Таблиця 1'!$B:$B,$A386,'Таблиця 1'!$I:$I,"Mi-24",'Таблиця 1'!$J:$J,"Thales-70"))</f>
        <v/>
      </c>
      <c r="L386">
        <f>IF($A386="","",SUMIFS('Таблиця 1'!$K:$K,'Таблиця 1'!$B:$B,$A386,'Таблиця 1'!$I:$I,"Mi-8",'Таблиця 1'!$J:$J,"Thales-FZ")+SUMIFS('Таблиця 1'!$K:$K,'Таблиця 1'!$B:$B,$A386,'Таблиця 1'!$I:$I,"Mi-24",'Таблиця 1'!$J:$J,"Thales-FZ"))</f>
        <v/>
      </c>
      <c r="M386">
        <f>IF($A386="","",SUMIFS('Таблиця 1'!$K:$K,'Таблиця 1'!$B:$B,$A386,'Таблиця 1'!$I:$I,"Mi-8",'Таблиця 1'!$J:$J,"МК-40")+SUMIFS('Таблиця 1'!$K:$K,'Таблиця 1'!$B:$B,$A386,'Таблиця 1'!$I:$I,"Mi-24",'Таблиця 1'!$J:$J,"МК-40"))</f>
        <v/>
      </c>
      <c r="N386">
        <f>IF($A386="","",SUMIFS('Таблиця 1'!$K:$K,'Таблиця 1'!$B:$B,$A386,'Таблиця 1'!$I:$I,"Mi-8",'Таблиця 1'!$J:$J,"Zuni")+SUMIFS('Таблиця 1'!$K:$K,'Таблиця 1'!$B:$B,$A386,'Таблиця 1'!$I:$I,"Mi-24",'Таблиця 1'!$J:$J,"Zuni"))</f>
        <v/>
      </c>
      <c r="O386">
        <f>IF($A386="","",COUNTIFS('Таблиця 1'!$B:$B,$A386,'Таблиця 1'!$I:$I,"Mi-8",'Таблиця 1'!$L:$L,"Уражено")+COUNTIFS('Таблиця 1'!$B:$B,$A386,'Таблиця 1'!$I:$I,"Mi-24",'Таблиця 1'!$L:$L,"Уражено"))</f>
        <v/>
      </c>
      <c r="P386">
        <f>IF($A386="","",COUNTIFS('Таблиця 1'!$B:$B,$A386,'Таблиця 1'!$I:$I,"Mi-8",'Таблиця 1'!$L:$L,"НЕ уражено")+COUNTIFS('Таблиця 1'!$B:$B,$A386,'Таблиця 1'!$I:$I,"Mi-24",'Таблиця 1'!$L:$L,"НЕ уражено"))</f>
        <v/>
      </c>
    </row>
    <row r="387">
      <c r="A387" s="273">
        <f>IF(A386="","",IF(A386+1&gt;MAX('Таблиця 1'!$B:$B),"",A386+1))</f>
        <v/>
      </c>
      <c r="B387">
        <f>IF($A387="","",COUNTIFS('Таблиця 1'!$B:$B,$A387,'Таблиця 1'!$I:$I,"Mi-8")+COUNTIFS('Таблиця 1'!$B:$B,$A387,'Таблиця 1'!$I:$I,"Mi-24"))</f>
        <v/>
      </c>
      <c r="C387">
        <f>IF($A387="","",COUNTIFS('Таблиця 1'!$B:$B,$A387,'Таблиця 1'!$I:$I,"Mi-8"))</f>
        <v/>
      </c>
      <c r="D387">
        <f>IF($A387="","",COUNTIFS('Таблиця 1'!$B:$B,$A387,'Таблиця 1'!$I:$I,"Mi-24"))</f>
        <v/>
      </c>
      <c r="E387">
        <f>IF($A387="","",SUMIFS('Таблиця 1'!$K:$K,'Таблиця 1'!$B:$B,$A387,'Таблиця 1'!$I:$I,"Mi-8",'Таблиця 1'!$J:$J,"ARS-8")+SUMIFS('Таблиця 1'!$K:$K,'Таблиця 1'!$B:$B,$A387,'Таблиця 1'!$I:$I,"Mi-24",'Таблиця 1'!$J:$J,"ARS-8"))</f>
        <v/>
      </c>
      <c r="F387">
        <f>IF($A387="","",SUMIFS('Таблиця 1'!$K:$K,'Таблиця 1'!$B:$B,$A387,'Таблиця 1'!$I:$I,"Mi-8",'Таблиця 1'!$J:$J,"С-8 ком")+SUMIFS('Таблиця 1'!$K:$K,'Таблиця 1'!$B:$B,$A387,'Таблиця 1'!$I:$I,"Mi-24",'Таблиця 1'!$J:$J,"С-8 ком"))</f>
        <v/>
      </c>
      <c r="G387">
        <f>IF($A387="","",SUMIFS('Таблиця 1'!$K:$K,'Таблиця 1'!$B:$B,$A387,'Таблиця 1'!$I:$I,"Mi-8",'Таблиця 1'!$J:$J,"PC-80")+SUMIFS('Таблиця 1'!$K:$K,'Таблиця 1'!$B:$B,$A387,'Таблиця 1'!$I:$I,"Mi-24",'Таблиця 1'!$J:$J,"PC-80"))</f>
        <v/>
      </c>
      <c r="H387">
        <f>IF($A387="","",SUMIFS('Таблиця 1'!$K:$K,'Таблиця 1'!$B:$B,$A387,'Таблиця 1'!$I:$I,"Mi-8",'Таблиця 1'!$J:$J,"UAR-80")+SUMIFS('Таблиця 1'!$K:$K,'Таблиця 1'!$B:$B,$A387,'Таблиця 1'!$I:$I,"Mi-24",'Таблиця 1'!$J:$J,"UAR-80"))</f>
        <v/>
      </c>
      <c r="I387">
        <f>IF($A387="","",SUMIFS('Таблиця 1'!$K:$K,'Таблиця 1'!$B:$B,$A387,'Таблиця 1'!$I:$I,"Mi-8",'Таблиця 1'!$J:$J,"C-13")+SUMIFS('Таблиця 1'!$K:$K,'Таблиця 1'!$B:$B,$A387,'Таблиця 1'!$I:$I,"Mi-24",'Таблиця 1'!$J:$J,"C-13"))</f>
        <v/>
      </c>
      <c r="J387">
        <f>IF($A387="","",SUMIFS('Таблиця 1'!$K:$K,'Таблиця 1'!$B:$B,$A387,'Таблиця 1'!$I:$I,"Mi-8",'Таблиця 1'!$J:$J,"Hydra-70")+SUMIFS('Таблиця 1'!$K:$K,'Таблиця 1'!$B:$B,$A387,'Таблиця 1'!$I:$I,"Mi-24",'Таблиця 1'!$J:$J,"Hydra-70"))</f>
        <v/>
      </c>
      <c r="K387">
        <f>IF($A387="","",SUMIFS('Таблиця 1'!$K:$K,'Таблиця 1'!$B:$B,$A387,'Таблиця 1'!$I:$I,"Mi-8",'Таблиця 1'!$J:$J,"Thales-70")+SUMIFS('Таблиця 1'!$K:$K,'Таблиця 1'!$B:$B,$A387,'Таблиця 1'!$I:$I,"Mi-24",'Таблиця 1'!$J:$J,"Thales-70"))</f>
        <v/>
      </c>
      <c r="L387">
        <f>IF($A387="","",SUMIFS('Таблиця 1'!$K:$K,'Таблиця 1'!$B:$B,$A387,'Таблиця 1'!$I:$I,"Mi-8",'Таблиця 1'!$J:$J,"Thales-FZ")+SUMIFS('Таблиця 1'!$K:$K,'Таблиця 1'!$B:$B,$A387,'Таблиця 1'!$I:$I,"Mi-24",'Таблиця 1'!$J:$J,"Thales-FZ"))</f>
        <v/>
      </c>
      <c r="M387">
        <f>IF($A387="","",SUMIFS('Таблиця 1'!$K:$K,'Таблиця 1'!$B:$B,$A387,'Таблиця 1'!$I:$I,"Mi-8",'Таблиця 1'!$J:$J,"МК-40")+SUMIFS('Таблиця 1'!$K:$K,'Таблиця 1'!$B:$B,$A387,'Таблиця 1'!$I:$I,"Mi-24",'Таблиця 1'!$J:$J,"МК-40"))</f>
        <v/>
      </c>
      <c r="N387">
        <f>IF($A387="","",SUMIFS('Таблиця 1'!$K:$K,'Таблиця 1'!$B:$B,$A387,'Таблиця 1'!$I:$I,"Mi-8",'Таблиця 1'!$J:$J,"Zuni")+SUMIFS('Таблиця 1'!$K:$K,'Таблиця 1'!$B:$B,$A387,'Таблиця 1'!$I:$I,"Mi-24",'Таблиця 1'!$J:$J,"Zuni"))</f>
        <v/>
      </c>
      <c r="O387">
        <f>IF($A387="","",COUNTIFS('Таблиця 1'!$B:$B,$A387,'Таблиця 1'!$I:$I,"Mi-8",'Таблиця 1'!$L:$L,"Уражено")+COUNTIFS('Таблиця 1'!$B:$B,$A387,'Таблиця 1'!$I:$I,"Mi-24",'Таблиця 1'!$L:$L,"Уражено"))</f>
        <v/>
      </c>
      <c r="P387">
        <f>IF($A387="","",COUNTIFS('Таблиця 1'!$B:$B,$A387,'Таблиця 1'!$I:$I,"Mi-8",'Таблиця 1'!$L:$L,"НЕ уражено")+COUNTIFS('Таблиця 1'!$B:$B,$A387,'Таблиця 1'!$I:$I,"Mi-24",'Таблиця 1'!$L:$L,"НЕ уражено"))</f>
        <v/>
      </c>
    </row>
    <row r="388">
      <c r="A388" s="273">
        <f>IF(A387="","",IF(A387+1&gt;MAX('Таблиця 1'!$B:$B),"",A387+1))</f>
        <v/>
      </c>
      <c r="B388">
        <f>IF($A388="","",COUNTIFS('Таблиця 1'!$B:$B,$A388,'Таблиця 1'!$I:$I,"Mi-8")+COUNTIFS('Таблиця 1'!$B:$B,$A388,'Таблиця 1'!$I:$I,"Mi-24"))</f>
        <v/>
      </c>
      <c r="C388">
        <f>IF($A388="","",COUNTIFS('Таблиця 1'!$B:$B,$A388,'Таблиця 1'!$I:$I,"Mi-8"))</f>
        <v/>
      </c>
      <c r="D388">
        <f>IF($A388="","",COUNTIFS('Таблиця 1'!$B:$B,$A388,'Таблиця 1'!$I:$I,"Mi-24"))</f>
        <v/>
      </c>
      <c r="E388">
        <f>IF($A388="","",SUMIFS('Таблиця 1'!$K:$K,'Таблиця 1'!$B:$B,$A388,'Таблиця 1'!$I:$I,"Mi-8",'Таблиця 1'!$J:$J,"ARS-8")+SUMIFS('Таблиця 1'!$K:$K,'Таблиця 1'!$B:$B,$A388,'Таблиця 1'!$I:$I,"Mi-24",'Таблиця 1'!$J:$J,"ARS-8"))</f>
        <v/>
      </c>
      <c r="F388">
        <f>IF($A388="","",SUMIFS('Таблиця 1'!$K:$K,'Таблиця 1'!$B:$B,$A388,'Таблиця 1'!$I:$I,"Mi-8",'Таблиця 1'!$J:$J,"С-8 ком")+SUMIFS('Таблиця 1'!$K:$K,'Таблиця 1'!$B:$B,$A388,'Таблиця 1'!$I:$I,"Mi-24",'Таблиця 1'!$J:$J,"С-8 ком"))</f>
        <v/>
      </c>
      <c r="G388">
        <f>IF($A388="","",SUMIFS('Таблиця 1'!$K:$K,'Таблиця 1'!$B:$B,$A388,'Таблиця 1'!$I:$I,"Mi-8",'Таблиця 1'!$J:$J,"PC-80")+SUMIFS('Таблиця 1'!$K:$K,'Таблиця 1'!$B:$B,$A388,'Таблиця 1'!$I:$I,"Mi-24",'Таблиця 1'!$J:$J,"PC-80"))</f>
        <v/>
      </c>
      <c r="H388">
        <f>IF($A388="","",SUMIFS('Таблиця 1'!$K:$K,'Таблиця 1'!$B:$B,$A388,'Таблиця 1'!$I:$I,"Mi-8",'Таблиця 1'!$J:$J,"UAR-80")+SUMIFS('Таблиця 1'!$K:$K,'Таблиця 1'!$B:$B,$A388,'Таблиця 1'!$I:$I,"Mi-24",'Таблиця 1'!$J:$J,"UAR-80"))</f>
        <v/>
      </c>
      <c r="I388">
        <f>IF($A388="","",SUMIFS('Таблиця 1'!$K:$K,'Таблиця 1'!$B:$B,$A388,'Таблиця 1'!$I:$I,"Mi-8",'Таблиця 1'!$J:$J,"C-13")+SUMIFS('Таблиця 1'!$K:$K,'Таблиця 1'!$B:$B,$A388,'Таблиця 1'!$I:$I,"Mi-24",'Таблиця 1'!$J:$J,"C-13"))</f>
        <v/>
      </c>
      <c r="J388">
        <f>IF($A388="","",SUMIFS('Таблиця 1'!$K:$K,'Таблиця 1'!$B:$B,$A388,'Таблиця 1'!$I:$I,"Mi-8",'Таблиця 1'!$J:$J,"Hydra-70")+SUMIFS('Таблиця 1'!$K:$K,'Таблиця 1'!$B:$B,$A388,'Таблиця 1'!$I:$I,"Mi-24",'Таблиця 1'!$J:$J,"Hydra-70"))</f>
        <v/>
      </c>
      <c r="K388">
        <f>IF($A388="","",SUMIFS('Таблиця 1'!$K:$K,'Таблиця 1'!$B:$B,$A388,'Таблиця 1'!$I:$I,"Mi-8",'Таблиця 1'!$J:$J,"Thales-70")+SUMIFS('Таблиця 1'!$K:$K,'Таблиця 1'!$B:$B,$A388,'Таблиця 1'!$I:$I,"Mi-24",'Таблиця 1'!$J:$J,"Thales-70"))</f>
        <v/>
      </c>
      <c r="L388">
        <f>IF($A388="","",SUMIFS('Таблиця 1'!$K:$K,'Таблиця 1'!$B:$B,$A388,'Таблиця 1'!$I:$I,"Mi-8",'Таблиця 1'!$J:$J,"Thales-FZ")+SUMIFS('Таблиця 1'!$K:$K,'Таблиця 1'!$B:$B,$A388,'Таблиця 1'!$I:$I,"Mi-24",'Таблиця 1'!$J:$J,"Thales-FZ"))</f>
        <v/>
      </c>
      <c r="M388">
        <f>IF($A388="","",SUMIFS('Таблиця 1'!$K:$K,'Таблиця 1'!$B:$B,$A388,'Таблиця 1'!$I:$I,"Mi-8",'Таблиця 1'!$J:$J,"МК-40")+SUMIFS('Таблиця 1'!$K:$K,'Таблиця 1'!$B:$B,$A388,'Таблиця 1'!$I:$I,"Mi-24",'Таблиця 1'!$J:$J,"МК-40"))</f>
        <v/>
      </c>
      <c r="N388">
        <f>IF($A388="","",SUMIFS('Таблиця 1'!$K:$K,'Таблиця 1'!$B:$B,$A388,'Таблиця 1'!$I:$I,"Mi-8",'Таблиця 1'!$J:$J,"Zuni")+SUMIFS('Таблиця 1'!$K:$K,'Таблиця 1'!$B:$B,$A388,'Таблиця 1'!$I:$I,"Mi-24",'Таблиця 1'!$J:$J,"Zuni"))</f>
        <v/>
      </c>
      <c r="O388">
        <f>IF($A388="","",COUNTIFS('Таблиця 1'!$B:$B,$A388,'Таблиця 1'!$I:$I,"Mi-8",'Таблиця 1'!$L:$L,"Уражено")+COUNTIFS('Таблиця 1'!$B:$B,$A388,'Таблиця 1'!$I:$I,"Mi-24",'Таблиця 1'!$L:$L,"Уражено"))</f>
        <v/>
      </c>
      <c r="P388">
        <f>IF($A388="","",COUNTIFS('Таблиця 1'!$B:$B,$A388,'Таблиця 1'!$I:$I,"Mi-8",'Таблиця 1'!$L:$L,"НЕ уражено")+COUNTIFS('Таблиця 1'!$B:$B,$A388,'Таблиця 1'!$I:$I,"Mi-24",'Таблиця 1'!$L:$L,"НЕ уражено"))</f>
        <v/>
      </c>
    </row>
    <row r="389">
      <c r="A389" s="273">
        <f>IF(A388="","",IF(A388+1&gt;MAX('Таблиця 1'!$B:$B),"",A388+1))</f>
        <v/>
      </c>
      <c r="B389">
        <f>IF($A389="","",COUNTIFS('Таблиця 1'!$B:$B,$A389,'Таблиця 1'!$I:$I,"Mi-8")+COUNTIFS('Таблиця 1'!$B:$B,$A389,'Таблиця 1'!$I:$I,"Mi-24"))</f>
        <v/>
      </c>
      <c r="C389">
        <f>IF($A389="","",COUNTIFS('Таблиця 1'!$B:$B,$A389,'Таблиця 1'!$I:$I,"Mi-8"))</f>
        <v/>
      </c>
      <c r="D389">
        <f>IF($A389="","",COUNTIFS('Таблиця 1'!$B:$B,$A389,'Таблиця 1'!$I:$I,"Mi-24"))</f>
        <v/>
      </c>
      <c r="E389">
        <f>IF($A389="","",SUMIFS('Таблиця 1'!$K:$K,'Таблиця 1'!$B:$B,$A389,'Таблиця 1'!$I:$I,"Mi-8",'Таблиця 1'!$J:$J,"ARS-8")+SUMIFS('Таблиця 1'!$K:$K,'Таблиця 1'!$B:$B,$A389,'Таблиця 1'!$I:$I,"Mi-24",'Таблиця 1'!$J:$J,"ARS-8"))</f>
        <v/>
      </c>
      <c r="F389">
        <f>IF($A389="","",SUMIFS('Таблиця 1'!$K:$K,'Таблиця 1'!$B:$B,$A389,'Таблиця 1'!$I:$I,"Mi-8",'Таблиця 1'!$J:$J,"С-8 ком")+SUMIFS('Таблиця 1'!$K:$K,'Таблиця 1'!$B:$B,$A389,'Таблиця 1'!$I:$I,"Mi-24",'Таблиця 1'!$J:$J,"С-8 ком"))</f>
        <v/>
      </c>
      <c r="G389">
        <f>IF($A389="","",SUMIFS('Таблиця 1'!$K:$K,'Таблиця 1'!$B:$B,$A389,'Таблиця 1'!$I:$I,"Mi-8",'Таблиця 1'!$J:$J,"PC-80")+SUMIFS('Таблиця 1'!$K:$K,'Таблиця 1'!$B:$B,$A389,'Таблиця 1'!$I:$I,"Mi-24",'Таблиця 1'!$J:$J,"PC-80"))</f>
        <v/>
      </c>
      <c r="H389">
        <f>IF($A389="","",SUMIFS('Таблиця 1'!$K:$K,'Таблиця 1'!$B:$B,$A389,'Таблиця 1'!$I:$I,"Mi-8",'Таблиця 1'!$J:$J,"UAR-80")+SUMIFS('Таблиця 1'!$K:$K,'Таблиця 1'!$B:$B,$A389,'Таблиця 1'!$I:$I,"Mi-24",'Таблиця 1'!$J:$J,"UAR-80"))</f>
        <v/>
      </c>
      <c r="I389">
        <f>IF($A389="","",SUMIFS('Таблиця 1'!$K:$K,'Таблиця 1'!$B:$B,$A389,'Таблиця 1'!$I:$I,"Mi-8",'Таблиця 1'!$J:$J,"C-13")+SUMIFS('Таблиця 1'!$K:$K,'Таблиця 1'!$B:$B,$A389,'Таблиця 1'!$I:$I,"Mi-24",'Таблиця 1'!$J:$J,"C-13"))</f>
        <v/>
      </c>
      <c r="J389">
        <f>IF($A389="","",SUMIFS('Таблиця 1'!$K:$K,'Таблиця 1'!$B:$B,$A389,'Таблиця 1'!$I:$I,"Mi-8",'Таблиця 1'!$J:$J,"Hydra-70")+SUMIFS('Таблиця 1'!$K:$K,'Таблиця 1'!$B:$B,$A389,'Таблиця 1'!$I:$I,"Mi-24",'Таблиця 1'!$J:$J,"Hydra-70"))</f>
        <v/>
      </c>
      <c r="K389">
        <f>IF($A389="","",SUMIFS('Таблиця 1'!$K:$K,'Таблиця 1'!$B:$B,$A389,'Таблиця 1'!$I:$I,"Mi-8",'Таблиця 1'!$J:$J,"Thales-70")+SUMIFS('Таблиця 1'!$K:$K,'Таблиця 1'!$B:$B,$A389,'Таблиця 1'!$I:$I,"Mi-24",'Таблиця 1'!$J:$J,"Thales-70"))</f>
        <v/>
      </c>
      <c r="L389">
        <f>IF($A389="","",SUMIFS('Таблиця 1'!$K:$K,'Таблиця 1'!$B:$B,$A389,'Таблиця 1'!$I:$I,"Mi-8",'Таблиця 1'!$J:$J,"Thales-FZ")+SUMIFS('Таблиця 1'!$K:$K,'Таблиця 1'!$B:$B,$A389,'Таблиця 1'!$I:$I,"Mi-24",'Таблиця 1'!$J:$J,"Thales-FZ"))</f>
        <v/>
      </c>
      <c r="M389">
        <f>IF($A389="","",SUMIFS('Таблиця 1'!$K:$K,'Таблиця 1'!$B:$B,$A389,'Таблиця 1'!$I:$I,"Mi-8",'Таблиця 1'!$J:$J,"МК-40")+SUMIFS('Таблиця 1'!$K:$K,'Таблиця 1'!$B:$B,$A389,'Таблиця 1'!$I:$I,"Mi-24",'Таблиця 1'!$J:$J,"МК-40"))</f>
        <v/>
      </c>
      <c r="N389">
        <f>IF($A389="","",SUMIFS('Таблиця 1'!$K:$K,'Таблиця 1'!$B:$B,$A389,'Таблиця 1'!$I:$I,"Mi-8",'Таблиця 1'!$J:$J,"Zuni")+SUMIFS('Таблиця 1'!$K:$K,'Таблиця 1'!$B:$B,$A389,'Таблиця 1'!$I:$I,"Mi-24",'Таблиця 1'!$J:$J,"Zuni"))</f>
        <v/>
      </c>
      <c r="O389">
        <f>IF($A389="","",COUNTIFS('Таблиця 1'!$B:$B,$A389,'Таблиця 1'!$I:$I,"Mi-8",'Таблиця 1'!$L:$L,"Уражено")+COUNTIFS('Таблиця 1'!$B:$B,$A389,'Таблиця 1'!$I:$I,"Mi-24",'Таблиця 1'!$L:$L,"Уражено"))</f>
        <v/>
      </c>
      <c r="P389">
        <f>IF($A389="","",COUNTIFS('Таблиця 1'!$B:$B,$A389,'Таблиця 1'!$I:$I,"Mi-8",'Таблиця 1'!$L:$L,"НЕ уражено")+COUNTIFS('Таблиця 1'!$B:$B,$A389,'Таблиця 1'!$I:$I,"Mi-24",'Таблиця 1'!$L:$L,"НЕ уражено"))</f>
        <v/>
      </c>
    </row>
    <row r="390">
      <c r="A390" s="273">
        <f>IF(A389="","",IF(A389+1&gt;MAX('Таблиця 1'!$B:$B),"",A389+1))</f>
        <v/>
      </c>
      <c r="B390">
        <f>IF($A390="","",COUNTIFS('Таблиця 1'!$B:$B,$A390,'Таблиця 1'!$I:$I,"Mi-8")+COUNTIFS('Таблиця 1'!$B:$B,$A390,'Таблиця 1'!$I:$I,"Mi-24"))</f>
        <v/>
      </c>
      <c r="C390">
        <f>IF($A390="","",COUNTIFS('Таблиця 1'!$B:$B,$A390,'Таблиця 1'!$I:$I,"Mi-8"))</f>
        <v/>
      </c>
      <c r="D390">
        <f>IF($A390="","",COUNTIFS('Таблиця 1'!$B:$B,$A390,'Таблиця 1'!$I:$I,"Mi-24"))</f>
        <v/>
      </c>
      <c r="E390">
        <f>IF($A390="","",SUMIFS('Таблиця 1'!$K:$K,'Таблиця 1'!$B:$B,$A390,'Таблиця 1'!$I:$I,"Mi-8",'Таблиця 1'!$J:$J,"ARS-8")+SUMIFS('Таблиця 1'!$K:$K,'Таблиця 1'!$B:$B,$A390,'Таблиця 1'!$I:$I,"Mi-24",'Таблиця 1'!$J:$J,"ARS-8"))</f>
        <v/>
      </c>
      <c r="F390">
        <f>IF($A390="","",SUMIFS('Таблиця 1'!$K:$K,'Таблиця 1'!$B:$B,$A390,'Таблиця 1'!$I:$I,"Mi-8",'Таблиця 1'!$J:$J,"С-8 ком")+SUMIFS('Таблиця 1'!$K:$K,'Таблиця 1'!$B:$B,$A390,'Таблиця 1'!$I:$I,"Mi-24",'Таблиця 1'!$J:$J,"С-8 ком"))</f>
        <v/>
      </c>
      <c r="G390">
        <f>IF($A390="","",SUMIFS('Таблиця 1'!$K:$K,'Таблиця 1'!$B:$B,$A390,'Таблиця 1'!$I:$I,"Mi-8",'Таблиця 1'!$J:$J,"PC-80")+SUMIFS('Таблиця 1'!$K:$K,'Таблиця 1'!$B:$B,$A390,'Таблиця 1'!$I:$I,"Mi-24",'Таблиця 1'!$J:$J,"PC-80"))</f>
        <v/>
      </c>
      <c r="H390">
        <f>IF($A390="","",SUMIFS('Таблиця 1'!$K:$K,'Таблиця 1'!$B:$B,$A390,'Таблиця 1'!$I:$I,"Mi-8",'Таблиця 1'!$J:$J,"UAR-80")+SUMIFS('Таблиця 1'!$K:$K,'Таблиця 1'!$B:$B,$A390,'Таблиця 1'!$I:$I,"Mi-24",'Таблиця 1'!$J:$J,"UAR-80"))</f>
        <v/>
      </c>
      <c r="I390">
        <f>IF($A390="","",SUMIFS('Таблиця 1'!$K:$K,'Таблиця 1'!$B:$B,$A390,'Таблиця 1'!$I:$I,"Mi-8",'Таблиця 1'!$J:$J,"C-13")+SUMIFS('Таблиця 1'!$K:$K,'Таблиця 1'!$B:$B,$A390,'Таблиця 1'!$I:$I,"Mi-24",'Таблиця 1'!$J:$J,"C-13"))</f>
        <v/>
      </c>
      <c r="J390">
        <f>IF($A390="","",SUMIFS('Таблиця 1'!$K:$K,'Таблиця 1'!$B:$B,$A390,'Таблиця 1'!$I:$I,"Mi-8",'Таблиця 1'!$J:$J,"Hydra-70")+SUMIFS('Таблиця 1'!$K:$K,'Таблиця 1'!$B:$B,$A390,'Таблиця 1'!$I:$I,"Mi-24",'Таблиця 1'!$J:$J,"Hydra-70"))</f>
        <v/>
      </c>
      <c r="K390">
        <f>IF($A390="","",SUMIFS('Таблиця 1'!$K:$K,'Таблиця 1'!$B:$B,$A390,'Таблиця 1'!$I:$I,"Mi-8",'Таблиця 1'!$J:$J,"Thales-70")+SUMIFS('Таблиця 1'!$K:$K,'Таблиця 1'!$B:$B,$A390,'Таблиця 1'!$I:$I,"Mi-24",'Таблиця 1'!$J:$J,"Thales-70"))</f>
        <v/>
      </c>
      <c r="L390">
        <f>IF($A390="","",SUMIFS('Таблиця 1'!$K:$K,'Таблиця 1'!$B:$B,$A390,'Таблиця 1'!$I:$I,"Mi-8",'Таблиця 1'!$J:$J,"Thales-FZ")+SUMIFS('Таблиця 1'!$K:$K,'Таблиця 1'!$B:$B,$A390,'Таблиця 1'!$I:$I,"Mi-24",'Таблиця 1'!$J:$J,"Thales-FZ"))</f>
        <v/>
      </c>
      <c r="M390">
        <f>IF($A390="","",SUMIFS('Таблиця 1'!$K:$K,'Таблиця 1'!$B:$B,$A390,'Таблиця 1'!$I:$I,"Mi-8",'Таблиця 1'!$J:$J,"МК-40")+SUMIFS('Таблиця 1'!$K:$K,'Таблиця 1'!$B:$B,$A390,'Таблиця 1'!$I:$I,"Mi-24",'Таблиця 1'!$J:$J,"МК-40"))</f>
        <v/>
      </c>
      <c r="N390">
        <f>IF($A390="","",SUMIFS('Таблиця 1'!$K:$K,'Таблиця 1'!$B:$B,$A390,'Таблиця 1'!$I:$I,"Mi-8",'Таблиця 1'!$J:$J,"Zuni")+SUMIFS('Таблиця 1'!$K:$K,'Таблиця 1'!$B:$B,$A390,'Таблиця 1'!$I:$I,"Mi-24",'Таблиця 1'!$J:$J,"Zuni"))</f>
        <v/>
      </c>
      <c r="O390">
        <f>IF($A390="","",COUNTIFS('Таблиця 1'!$B:$B,$A390,'Таблиця 1'!$I:$I,"Mi-8",'Таблиця 1'!$L:$L,"Уражено")+COUNTIFS('Таблиця 1'!$B:$B,$A390,'Таблиця 1'!$I:$I,"Mi-24",'Таблиця 1'!$L:$L,"Уражено"))</f>
        <v/>
      </c>
      <c r="P390">
        <f>IF($A390="","",COUNTIFS('Таблиця 1'!$B:$B,$A390,'Таблиця 1'!$I:$I,"Mi-8",'Таблиця 1'!$L:$L,"НЕ уражено")+COUNTIFS('Таблиця 1'!$B:$B,$A390,'Таблиця 1'!$I:$I,"Mi-24",'Таблиця 1'!$L:$L,"НЕ уражено"))</f>
        <v/>
      </c>
    </row>
    <row r="391">
      <c r="A391" s="273">
        <f>IF(A390="","",IF(A390+1&gt;MAX('Таблиця 1'!$B:$B),"",A390+1))</f>
        <v/>
      </c>
      <c r="B391">
        <f>IF($A391="","",COUNTIFS('Таблиця 1'!$B:$B,$A391,'Таблиця 1'!$I:$I,"Mi-8")+COUNTIFS('Таблиця 1'!$B:$B,$A391,'Таблиця 1'!$I:$I,"Mi-24"))</f>
        <v/>
      </c>
      <c r="C391">
        <f>IF($A391="","",COUNTIFS('Таблиця 1'!$B:$B,$A391,'Таблиця 1'!$I:$I,"Mi-8"))</f>
        <v/>
      </c>
      <c r="D391">
        <f>IF($A391="","",COUNTIFS('Таблиця 1'!$B:$B,$A391,'Таблиця 1'!$I:$I,"Mi-24"))</f>
        <v/>
      </c>
      <c r="E391">
        <f>IF($A391="","",SUMIFS('Таблиця 1'!$K:$K,'Таблиця 1'!$B:$B,$A391,'Таблиця 1'!$I:$I,"Mi-8",'Таблиця 1'!$J:$J,"ARS-8")+SUMIFS('Таблиця 1'!$K:$K,'Таблиця 1'!$B:$B,$A391,'Таблиця 1'!$I:$I,"Mi-24",'Таблиця 1'!$J:$J,"ARS-8"))</f>
        <v/>
      </c>
      <c r="F391">
        <f>IF($A391="","",SUMIFS('Таблиця 1'!$K:$K,'Таблиця 1'!$B:$B,$A391,'Таблиця 1'!$I:$I,"Mi-8",'Таблиця 1'!$J:$J,"С-8 ком")+SUMIFS('Таблиця 1'!$K:$K,'Таблиця 1'!$B:$B,$A391,'Таблиця 1'!$I:$I,"Mi-24",'Таблиця 1'!$J:$J,"С-8 ком"))</f>
        <v/>
      </c>
      <c r="G391">
        <f>IF($A391="","",SUMIFS('Таблиця 1'!$K:$K,'Таблиця 1'!$B:$B,$A391,'Таблиця 1'!$I:$I,"Mi-8",'Таблиця 1'!$J:$J,"PC-80")+SUMIFS('Таблиця 1'!$K:$K,'Таблиця 1'!$B:$B,$A391,'Таблиця 1'!$I:$I,"Mi-24",'Таблиця 1'!$J:$J,"PC-80"))</f>
        <v/>
      </c>
      <c r="H391">
        <f>IF($A391="","",SUMIFS('Таблиця 1'!$K:$K,'Таблиця 1'!$B:$B,$A391,'Таблиця 1'!$I:$I,"Mi-8",'Таблиця 1'!$J:$J,"UAR-80")+SUMIFS('Таблиця 1'!$K:$K,'Таблиця 1'!$B:$B,$A391,'Таблиця 1'!$I:$I,"Mi-24",'Таблиця 1'!$J:$J,"UAR-80"))</f>
        <v/>
      </c>
      <c r="I391">
        <f>IF($A391="","",SUMIFS('Таблиця 1'!$K:$K,'Таблиця 1'!$B:$B,$A391,'Таблиця 1'!$I:$I,"Mi-8",'Таблиця 1'!$J:$J,"C-13")+SUMIFS('Таблиця 1'!$K:$K,'Таблиця 1'!$B:$B,$A391,'Таблиця 1'!$I:$I,"Mi-24",'Таблиця 1'!$J:$J,"C-13"))</f>
        <v/>
      </c>
      <c r="J391">
        <f>IF($A391="","",SUMIFS('Таблиця 1'!$K:$K,'Таблиця 1'!$B:$B,$A391,'Таблиця 1'!$I:$I,"Mi-8",'Таблиця 1'!$J:$J,"Hydra-70")+SUMIFS('Таблиця 1'!$K:$K,'Таблиця 1'!$B:$B,$A391,'Таблиця 1'!$I:$I,"Mi-24",'Таблиця 1'!$J:$J,"Hydra-70"))</f>
        <v/>
      </c>
      <c r="K391">
        <f>IF($A391="","",SUMIFS('Таблиця 1'!$K:$K,'Таблиця 1'!$B:$B,$A391,'Таблиця 1'!$I:$I,"Mi-8",'Таблиця 1'!$J:$J,"Thales-70")+SUMIFS('Таблиця 1'!$K:$K,'Таблиця 1'!$B:$B,$A391,'Таблиця 1'!$I:$I,"Mi-24",'Таблиця 1'!$J:$J,"Thales-70"))</f>
        <v/>
      </c>
      <c r="L391">
        <f>IF($A391="","",SUMIFS('Таблиця 1'!$K:$K,'Таблиця 1'!$B:$B,$A391,'Таблиця 1'!$I:$I,"Mi-8",'Таблиця 1'!$J:$J,"Thales-FZ")+SUMIFS('Таблиця 1'!$K:$K,'Таблиця 1'!$B:$B,$A391,'Таблиця 1'!$I:$I,"Mi-24",'Таблиця 1'!$J:$J,"Thales-FZ"))</f>
        <v/>
      </c>
      <c r="M391">
        <f>IF($A391="","",SUMIFS('Таблиця 1'!$K:$K,'Таблиця 1'!$B:$B,$A391,'Таблиця 1'!$I:$I,"Mi-8",'Таблиця 1'!$J:$J,"МК-40")+SUMIFS('Таблиця 1'!$K:$K,'Таблиця 1'!$B:$B,$A391,'Таблиця 1'!$I:$I,"Mi-24",'Таблиця 1'!$J:$J,"МК-40"))</f>
        <v/>
      </c>
      <c r="N391">
        <f>IF($A391="","",SUMIFS('Таблиця 1'!$K:$K,'Таблиця 1'!$B:$B,$A391,'Таблиця 1'!$I:$I,"Mi-8",'Таблиця 1'!$J:$J,"Zuni")+SUMIFS('Таблиця 1'!$K:$K,'Таблиця 1'!$B:$B,$A391,'Таблиця 1'!$I:$I,"Mi-24",'Таблиця 1'!$J:$J,"Zuni"))</f>
        <v/>
      </c>
      <c r="O391">
        <f>IF($A391="","",COUNTIFS('Таблиця 1'!$B:$B,$A391,'Таблиця 1'!$I:$I,"Mi-8",'Таблиця 1'!$L:$L,"Уражено")+COUNTIFS('Таблиця 1'!$B:$B,$A391,'Таблиця 1'!$I:$I,"Mi-24",'Таблиця 1'!$L:$L,"Уражено"))</f>
        <v/>
      </c>
      <c r="P391">
        <f>IF($A391="","",COUNTIFS('Таблиця 1'!$B:$B,$A391,'Таблиця 1'!$I:$I,"Mi-8",'Таблиця 1'!$L:$L,"НЕ уражено")+COUNTIFS('Таблиця 1'!$B:$B,$A391,'Таблиця 1'!$I:$I,"Mi-24",'Таблиця 1'!$L:$L,"НЕ уражено"))</f>
        <v/>
      </c>
    </row>
    <row r="392">
      <c r="A392" s="273">
        <f>IF(A391="","",IF(A391+1&gt;MAX('Таблиця 1'!$B:$B),"",A391+1))</f>
        <v/>
      </c>
      <c r="B392">
        <f>IF($A392="","",COUNTIFS('Таблиця 1'!$B:$B,$A392,'Таблиця 1'!$I:$I,"Mi-8")+COUNTIFS('Таблиця 1'!$B:$B,$A392,'Таблиця 1'!$I:$I,"Mi-24"))</f>
        <v/>
      </c>
      <c r="C392">
        <f>IF($A392="","",COUNTIFS('Таблиця 1'!$B:$B,$A392,'Таблиця 1'!$I:$I,"Mi-8"))</f>
        <v/>
      </c>
      <c r="D392">
        <f>IF($A392="","",COUNTIFS('Таблиця 1'!$B:$B,$A392,'Таблиця 1'!$I:$I,"Mi-24"))</f>
        <v/>
      </c>
      <c r="E392">
        <f>IF($A392="","",SUMIFS('Таблиця 1'!$K:$K,'Таблиця 1'!$B:$B,$A392,'Таблиця 1'!$I:$I,"Mi-8",'Таблиця 1'!$J:$J,"ARS-8")+SUMIFS('Таблиця 1'!$K:$K,'Таблиця 1'!$B:$B,$A392,'Таблиця 1'!$I:$I,"Mi-24",'Таблиця 1'!$J:$J,"ARS-8"))</f>
        <v/>
      </c>
      <c r="F392">
        <f>IF($A392="","",SUMIFS('Таблиця 1'!$K:$K,'Таблиця 1'!$B:$B,$A392,'Таблиця 1'!$I:$I,"Mi-8",'Таблиця 1'!$J:$J,"С-8 ком")+SUMIFS('Таблиця 1'!$K:$K,'Таблиця 1'!$B:$B,$A392,'Таблиця 1'!$I:$I,"Mi-24",'Таблиця 1'!$J:$J,"С-8 ком"))</f>
        <v/>
      </c>
      <c r="G392">
        <f>IF($A392="","",SUMIFS('Таблиця 1'!$K:$K,'Таблиця 1'!$B:$B,$A392,'Таблиця 1'!$I:$I,"Mi-8",'Таблиця 1'!$J:$J,"PC-80")+SUMIFS('Таблиця 1'!$K:$K,'Таблиця 1'!$B:$B,$A392,'Таблиця 1'!$I:$I,"Mi-24",'Таблиця 1'!$J:$J,"PC-80"))</f>
        <v/>
      </c>
      <c r="H392">
        <f>IF($A392="","",SUMIFS('Таблиця 1'!$K:$K,'Таблиця 1'!$B:$B,$A392,'Таблиця 1'!$I:$I,"Mi-8",'Таблиця 1'!$J:$J,"UAR-80")+SUMIFS('Таблиця 1'!$K:$K,'Таблиця 1'!$B:$B,$A392,'Таблиця 1'!$I:$I,"Mi-24",'Таблиця 1'!$J:$J,"UAR-80"))</f>
        <v/>
      </c>
      <c r="I392">
        <f>IF($A392="","",SUMIFS('Таблиця 1'!$K:$K,'Таблиця 1'!$B:$B,$A392,'Таблиця 1'!$I:$I,"Mi-8",'Таблиця 1'!$J:$J,"C-13")+SUMIFS('Таблиця 1'!$K:$K,'Таблиця 1'!$B:$B,$A392,'Таблиця 1'!$I:$I,"Mi-24",'Таблиця 1'!$J:$J,"C-13"))</f>
        <v/>
      </c>
      <c r="J392">
        <f>IF($A392="","",SUMIFS('Таблиця 1'!$K:$K,'Таблиця 1'!$B:$B,$A392,'Таблиця 1'!$I:$I,"Mi-8",'Таблиця 1'!$J:$J,"Hydra-70")+SUMIFS('Таблиця 1'!$K:$K,'Таблиця 1'!$B:$B,$A392,'Таблиця 1'!$I:$I,"Mi-24",'Таблиця 1'!$J:$J,"Hydra-70"))</f>
        <v/>
      </c>
      <c r="K392">
        <f>IF($A392="","",SUMIFS('Таблиця 1'!$K:$K,'Таблиця 1'!$B:$B,$A392,'Таблиця 1'!$I:$I,"Mi-8",'Таблиця 1'!$J:$J,"Thales-70")+SUMIFS('Таблиця 1'!$K:$K,'Таблиця 1'!$B:$B,$A392,'Таблиця 1'!$I:$I,"Mi-24",'Таблиця 1'!$J:$J,"Thales-70"))</f>
        <v/>
      </c>
      <c r="L392">
        <f>IF($A392="","",SUMIFS('Таблиця 1'!$K:$K,'Таблиця 1'!$B:$B,$A392,'Таблиця 1'!$I:$I,"Mi-8",'Таблиця 1'!$J:$J,"Thales-FZ")+SUMIFS('Таблиця 1'!$K:$K,'Таблиця 1'!$B:$B,$A392,'Таблиця 1'!$I:$I,"Mi-24",'Таблиця 1'!$J:$J,"Thales-FZ"))</f>
        <v/>
      </c>
      <c r="M392">
        <f>IF($A392="","",SUMIFS('Таблиця 1'!$K:$K,'Таблиця 1'!$B:$B,$A392,'Таблиця 1'!$I:$I,"Mi-8",'Таблиця 1'!$J:$J,"МК-40")+SUMIFS('Таблиця 1'!$K:$K,'Таблиця 1'!$B:$B,$A392,'Таблиця 1'!$I:$I,"Mi-24",'Таблиця 1'!$J:$J,"МК-40"))</f>
        <v/>
      </c>
      <c r="N392">
        <f>IF($A392="","",SUMIFS('Таблиця 1'!$K:$K,'Таблиця 1'!$B:$B,$A392,'Таблиця 1'!$I:$I,"Mi-8",'Таблиця 1'!$J:$J,"Zuni")+SUMIFS('Таблиця 1'!$K:$K,'Таблиця 1'!$B:$B,$A392,'Таблиця 1'!$I:$I,"Mi-24",'Таблиця 1'!$J:$J,"Zuni"))</f>
        <v/>
      </c>
      <c r="O392">
        <f>IF($A392="","",COUNTIFS('Таблиця 1'!$B:$B,$A392,'Таблиця 1'!$I:$I,"Mi-8",'Таблиця 1'!$L:$L,"Уражено")+COUNTIFS('Таблиця 1'!$B:$B,$A392,'Таблиця 1'!$I:$I,"Mi-24",'Таблиця 1'!$L:$L,"Уражено"))</f>
        <v/>
      </c>
      <c r="P392">
        <f>IF($A392="","",COUNTIFS('Таблиця 1'!$B:$B,$A392,'Таблиця 1'!$I:$I,"Mi-8",'Таблиця 1'!$L:$L,"НЕ уражено")+COUNTIFS('Таблиця 1'!$B:$B,$A392,'Таблиця 1'!$I:$I,"Mi-24",'Таблиця 1'!$L:$L,"НЕ уражено"))</f>
        <v/>
      </c>
    </row>
    <row r="393">
      <c r="A393" s="273">
        <f>IF(A392="","",IF(A392+1&gt;MAX('Таблиця 1'!$B:$B),"",A392+1))</f>
        <v/>
      </c>
      <c r="B393">
        <f>IF($A393="","",COUNTIFS('Таблиця 1'!$B:$B,$A393,'Таблиця 1'!$I:$I,"Mi-8")+COUNTIFS('Таблиця 1'!$B:$B,$A393,'Таблиця 1'!$I:$I,"Mi-24"))</f>
        <v/>
      </c>
      <c r="C393">
        <f>IF($A393="","",COUNTIFS('Таблиця 1'!$B:$B,$A393,'Таблиця 1'!$I:$I,"Mi-8"))</f>
        <v/>
      </c>
      <c r="D393">
        <f>IF($A393="","",COUNTIFS('Таблиця 1'!$B:$B,$A393,'Таблиця 1'!$I:$I,"Mi-24"))</f>
        <v/>
      </c>
      <c r="E393">
        <f>IF($A393="","",SUMIFS('Таблиця 1'!$K:$K,'Таблиця 1'!$B:$B,$A393,'Таблиця 1'!$I:$I,"Mi-8",'Таблиця 1'!$J:$J,"ARS-8")+SUMIFS('Таблиця 1'!$K:$K,'Таблиця 1'!$B:$B,$A393,'Таблиця 1'!$I:$I,"Mi-24",'Таблиця 1'!$J:$J,"ARS-8"))</f>
        <v/>
      </c>
      <c r="F393">
        <f>IF($A393="","",SUMIFS('Таблиця 1'!$K:$K,'Таблиця 1'!$B:$B,$A393,'Таблиця 1'!$I:$I,"Mi-8",'Таблиця 1'!$J:$J,"С-8 ком")+SUMIFS('Таблиця 1'!$K:$K,'Таблиця 1'!$B:$B,$A393,'Таблиця 1'!$I:$I,"Mi-24",'Таблиця 1'!$J:$J,"С-8 ком"))</f>
        <v/>
      </c>
      <c r="G393">
        <f>IF($A393="","",SUMIFS('Таблиця 1'!$K:$K,'Таблиця 1'!$B:$B,$A393,'Таблиця 1'!$I:$I,"Mi-8",'Таблиця 1'!$J:$J,"PC-80")+SUMIFS('Таблиця 1'!$K:$K,'Таблиця 1'!$B:$B,$A393,'Таблиця 1'!$I:$I,"Mi-24",'Таблиця 1'!$J:$J,"PC-80"))</f>
        <v/>
      </c>
      <c r="H393">
        <f>IF($A393="","",SUMIFS('Таблиця 1'!$K:$K,'Таблиця 1'!$B:$B,$A393,'Таблиця 1'!$I:$I,"Mi-8",'Таблиця 1'!$J:$J,"UAR-80")+SUMIFS('Таблиця 1'!$K:$K,'Таблиця 1'!$B:$B,$A393,'Таблиця 1'!$I:$I,"Mi-24",'Таблиця 1'!$J:$J,"UAR-80"))</f>
        <v/>
      </c>
      <c r="I393">
        <f>IF($A393="","",SUMIFS('Таблиця 1'!$K:$K,'Таблиця 1'!$B:$B,$A393,'Таблиця 1'!$I:$I,"Mi-8",'Таблиця 1'!$J:$J,"C-13")+SUMIFS('Таблиця 1'!$K:$K,'Таблиця 1'!$B:$B,$A393,'Таблиця 1'!$I:$I,"Mi-24",'Таблиця 1'!$J:$J,"C-13"))</f>
        <v/>
      </c>
      <c r="J393">
        <f>IF($A393="","",SUMIFS('Таблиця 1'!$K:$K,'Таблиця 1'!$B:$B,$A393,'Таблиця 1'!$I:$I,"Mi-8",'Таблиця 1'!$J:$J,"Hydra-70")+SUMIFS('Таблиця 1'!$K:$K,'Таблиця 1'!$B:$B,$A393,'Таблиця 1'!$I:$I,"Mi-24",'Таблиця 1'!$J:$J,"Hydra-70"))</f>
        <v/>
      </c>
      <c r="K393">
        <f>IF($A393="","",SUMIFS('Таблиця 1'!$K:$K,'Таблиця 1'!$B:$B,$A393,'Таблиця 1'!$I:$I,"Mi-8",'Таблиця 1'!$J:$J,"Thales-70")+SUMIFS('Таблиця 1'!$K:$K,'Таблиця 1'!$B:$B,$A393,'Таблиця 1'!$I:$I,"Mi-24",'Таблиця 1'!$J:$J,"Thales-70"))</f>
        <v/>
      </c>
      <c r="L393">
        <f>IF($A393="","",SUMIFS('Таблиця 1'!$K:$K,'Таблиця 1'!$B:$B,$A393,'Таблиця 1'!$I:$I,"Mi-8",'Таблиця 1'!$J:$J,"Thales-FZ")+SUMIFS('Таблиця 1'!$K:$K,'Таблиця 1'!$B:$B,$A393,'Таблиця 1'!$I:$I,"Mi-24",'Таблиця 1'!$J:$J,"Thales-FZ"))</f>
        <v/>
      </c>
      <c r="M393">
        <f>IF($A393="","",SUMIFS('Таблиця 1'!$K:$K,'Таблиця 1'!$B:$B,$A393,'Таблиця 1'!$I:$I,"Mi-8",'Таблиця 1'!$J:$J,"МК-40")+SUMIFS('Таблиця 1'!$K:$K,'Таблиця 1'!$B:$B,$A393,'Таблиця 1'!$I:$I,"Mi-24",'Таблиця 1'!$J:$J,"МК-40"))</f>
        <v/>
      </c>
      <c r="N393">
        <f>IF($A393="","",SUMIFS('Таблиця 1'!$K:$K,'Таблиця 1'!$B:$B,$A393,'Таблиця 1'!$I:$I,"Mi-8",'Таблиця 1'!$J:$J,"Zuni")+SUMIFS('Таблиця 1'!$K:$K,'Таблиця 1'!$B:$B,$A393,'Таблиця 1'!$I:$I,"Mi-24",'Таблиця 1'!$J:$J,"Zuni"))</f>
        <v/>
      </c>
      <c r="O393">
        <f>IF($A393="","",COUNTIFS('Таблиця 1'!$B:$B,$A393,'Таблиця 1'!$I:$I,"Mi-8",'Таблиця 1'!$L:$L,"Уражено")+COUNTIFS('Таблиця 1'!$B:$B,$A393,'Таблиця 1'!$I:$I,"Mi-24",'Таблиця 1'!$L:$L,"Уражено"))</f>
        <v/>
      </c>
      <c r="P393">
        <f>IF($A393="","",COUNTIFS('Таблиця 1'!$B:$B,$A393,'Таблиця 1'!$I:$I,"Mi-8",'Таблиця 1'!$L:$L,"НЕ уражено")+COUNTIFS('Таблиця 1'!$B:$B,$A393,'Таблиця 1'!$I:$I,"Mi-24",'Таблиця 1'!$L:$L,"НЕ уражено"))</f>
        <v/>
      </c>
    </row>
    <row r="394">
      <c r="A394" s="273">
        <f>IF(A393="","",IF(A393+1&gt;MAX('Таблиця 1'!$B:$B),"",A393+1))</f>
        <v/>
      </c>
      <c r="B394">
        <f>IF($A394="","",COUNTIFS('Таблиця 1'!$B:$B,$A394,'Таблиця 1'!$I:$I,"Mi-8")+COUNTIFS('Таблиця 1'!$B:$B,$A394,'Таблиця 1'!$I:$I,"Mi-24"))</f>
        <v/>
      </c>
      <c r="C394">
        <f>IF($A394="","",COUNTIFS('Таблиця 1'!$B:$B,$A394,'Таблиця 1'!$I:$I,"Mi-8"))</f>
        <v/>
      </c>
      <c r="D394">
        <f>IF($A394="","",COUNTIFS('Таблиця 1'!$B:$B,$A394,'Таблиця 1'!$I:$I,"Mi-24"))</f>
        <v/>
      </c>
      <c r="E394">
        <f>IF($A394="","",SUMIFS('Таблиця 1'!$K:$K,'Таблиця 1'!$B:$B,$A394,'Таблиця 1'!$I:$I,"Mi-8",'Таблиця 1'!$J:$J,"ARS-8")+SUMIFS('Таблиця 1'!$K:$K,'Таблиця 1'!$B:$B,$A394,'Таблиця 1'!$I:$I,"Mi-24",'Таблиця 1'!$J:$J,"ARS-8"))</f>
        <v/>
      </c>
      <c r="F394">
        <f>IF($A394="","",SUMIFS('Таблиця 1'!$K:$K,'Таблиця 1'!$B:$B,$A394,'Таблиця 1'!$I:$I,"Mi-8",'Таблиця 1'!$J:$J,"С-8 ком")+SUMIFS('Таблиця 1'!$K:$K,'Таблиця 1'!$B:$B,$A394,'Таблиця 1'!$I:$I,"Mi-24",'Таблиця 1'!$J:$J,"С-8 ком"))</f>
        <v/>
      </c>
      <c r="G394">
        <f>IF($A394="","",SUMIFS('Таблиця 1'!$K:$K,'Таблиця 1'!$B:$B,$A394,'Таблиця 1'!$I:$I,"Mi-8",'Таблиця 1'!$J:$J,"PC-80")+SUMIFS('Таблиця 1'!$K:$K,'Таблиця 1'!$B:$B,$A394,'Таблиця 1'!$I:$I,"Mi-24",'Таблиця 1'!$J:$J,"PC-80"))</f>
        <v/>
      </c>
      <c r="H394">
        <f>IF($A394="","",SUMIFS('Таблиця 1'!$K:$K,'Таблиця 1'!$B:$B,$A394,'Таблиця 1'!$I:$I,"Mi-8",'Таблиця 1'!$J:$J,"UAR-80")+SUMIFS('Таблиця 1'!$K:$K,'Таблиця 1'!$B:$B,$A394,'Таблиця 1'!$I:$I,"Mi-24",'Таблиця 1'!$J:$J,"UAR-80"))</f>
        <v/>
      </c>
      <c r="I394">
        <f>IF($A394="","",SUMIFS('Таблиця 1'!$K:$K,'Таблиця 1'!$B:$B,$A394,'Таблиця 1'!$I:$I,"Mi-8",'Таблиця 1'!$J:$J,"C-13")+SUMIFS('Таблиця 1'!$K:$K,'Таблиця 1'!$B:$B,$A394,'Таблиця 1'!$I:$I,"Mi-24",'Таблиця 1'!$J:$J,"C-13"))</f>
        <v/>
      </c>
      <c r="J394">
        <f>IF($A394="","",SUMIFS('Таблиця 1'!$K:$K,'Таблиця 1'!$B:$B,$A394,'Таблиця 1'!$I:$I,"Mi-8",'Таблиця 1'!$J:$J,"Hydra-70")+SUMIFS('Таблиця 1'!$K:$K,'Таблиця 1'!$B:$B,$A394,'Таблиця 1'!$I:$I,"Mi-24",'Таблиця 1'!$J:$J,"Hydra-70"))</f>
        <v/>
      </c>
      <c r="K394">
        <f>IF($A394="","",SUMIFS('Таблиця 1'!$K:$K,'Таблиця 1'!$B:$B,$A394,'Таблиця 1'!$I:$I,"Mi-8",'Таблиця 1'!$J:$J,"Thales-70")+SUMIFS('Таблиця 1'!$K:$K,'Таблиця 1'!$B:$B,$A394,'Таблиця 1'!$I:$I,"Mi-24",'Таблиця 1'!$J:$J,"Thales-70"))</f>
        <v/>
      </c>
      <c r="L394">
        <f>IF($A394="","",SUMIFS('Таблиця 1'!$K:$K,'Таблиця 1'!$B:$B,$A394,'Таблиця 1'!$I:$I,"Mi-8",'Таблиця 1'!$J:$J,"Thales-FZ")+SUMIFS('Таблиця 1'!$K:$K,'Таблиця 1'!$B:$B,$A394,'Таблиця 1'!$I:$I,"Mi-24",'Таблиця 1'!$J:$J,"Thales-FZ"))</f>
        <v/>
      </c>
      <c r="M394">
        <f>IF($A394="","",SUMIFS('Таблиця 1'!$K:$K,'Таблиця 1'!$B:$B,$A394,'Таблиця 1'!$I:$I,"Mi-8",'Таблиця 1'!$J:$J,"МК-40")+SUMIFS('Таблиця 1'!$K:$K,'Таблиця 1'!$B:$B,$A394,'Таблиця 1'!$I:$I,"Mi-24",'Таблиця 1'!$J:$J,"МК-40"))</f>
        <v/>
      </c>
      <c r="N394">
        <f>IF($A394="","",SUMIFS('Таблиця 1'!$K:$K,'Таблиця 1'!$B:$B,$A394,'Таблиця 1'!$I:$I,"Mi-8",'Таблиця 1'!$J:$J,"Zuni")+SUMIFS('Таблиця 1'!$K:$K,'Таблиця 1'!$B:$B,$A394,'Таблиця 1'!$I:$I,"Mi-24",'Таблиця 1'!$J:$J,"Zuni"))</f>
        <v/>
      </c>
      <c r="O394">
        <f>IF($A394="","",COUNTIFS('Таблиця 1'!$B:$B,$A394,'Таблиця 1'!$I:$I,"Mi-8",'Таблиця 1'!$L:$L,"Уражено")+COUNTIFS('Таблиця 1'!$B:$B,$A394,'Таблиця 1'!$I:$I,"Mi-24",'Таблиця 1'!$L:$L,"Уражено"))</f>
        <v/>
      </c>
      <c r="P394">
        <f>IF($A394="","",COUNTIFS('Таблиця 1'!$B:$B,$A394,'Таблиця 1'!$I:$I,"Mi-8",'Таблиця 1'!$L:$L,"НЕ уражено")+COUNTIFS('Таблиця 1'!$B:$B,$A394,'Таблиця 1'!$I:$I,"Mi-24",'Таблиця 1'!$L:$L,"НЕ уражено"))</f>
        <v/>
      </c>
    </row>
    <row r="395">
      <c r="A395" s="273">
        <f>IF(A394="","",IF(A394+1&gt;MAX('Таблиця 1'!$B:$B),"",A394+1))</f>
        <v/>
      </c>
      <c r="B395">
        <f>IF($A395="","",COUNTIFS('Таблиця 1'!$B:$B,$A395,'Таблиця 1'!$I:$I,"Mi-8")+COUNTIFS('Таблиця 1'!$B:$B,$A395,'Таблиця 1'!$I:$I,"Mi-24"))</f>
        <v/>
      </c>
      <c r="C395">
        <f>IF($A395="","",COUNTIFS('Таблиця 1'!$B:$B,$A395,'Таблиця 1'!$I:$I,"Mi-8"))</f>
        <v/>
      </c>
      <c r="D395">
        <f>IF($A395="","",COUNTIFS('Таблиця 1'!$B:$B,$A395,'Таблиця 1'!$I:$I,"Mi-24"))</f>
        <v/>
      </c>
      <c r="E395">
        <f>IF($A395="","",SUMIFS('Таблиця 1'!$K:$K,'Таблиця 1'!$B:$B,$A395,'Таблиця 1'!$I:$I,"Mi-8",'Таблиця 1'!$J:$J,"ARS-8")+SUMIFS('Таблиця 1'!$K:$K,'Таблиця 1'!$B:$B,$A395,'Таблиця 1'!$I:$I,"Mi-24",'Таблиця 1'!$J:$J,"ARS-8"))</f>
        <v/>
      </c>
      <c r="F395">
        <f>IF($A395="","",SUMIFS('Таблиця 1'!$K:$K,'Таблиця 1'!$B:$B,$A395,'Таблиця 1'!$I:$I,"Mi-8",'Таблиця 1'!$J:$J,"С-8 ком")+SUMIFS('Таблиця 1'!$K:$K,'Таблиця 1'!$B:$B,$A395,'Таблиця 1'!$I:$I,"Mi-24",'Таблиця 1'!$J:$J,"С-8 ком"))</f>
        <v/>
      </c>
      <c r="G395">
        <f>IF($A395="","",SUMIFS('Таблиця 1'!$K:$K,'Таблиця 1'!$B:$B,$A395,'Таблиця 1'!$I:$I,"Mi-8",'Таблиця 1'!$J:$J,"PC-80")+SUMIFS('Таблиця 1'!$K:$K,'Таблиця 1'!$B:$B,$A395,'Таблиця 1'!$I:$I,"Mi-24",'Таблиця 1'!$J:$J,"PC-80"))</f>
        <v/>
      </c>
      <c r="H395">
        <f>IF($A395="","",SUMIFS('Таблиця 1'!$K:$K,'Таблиця 1'!$B:$B,$A395,'Таблиця 1'!$I:$I,"Mi-8",'Таблиця 1'!$J:$J,"UAR-80")+SUMIFS('Таблиця 1'!$K:$K,'Таблиця 1'!$B:$B,$A395,'Таблиця 1'!$I:$I,"Mi-24",'Таблиця 1'!$J:$J,"UAR-80"))</f>
        <v/>
      </c>
      <c r="I395">
        <f>IF($A395="","",SUMIFS('Таблиця 1'!$K:$K,'Таблиця 1'!$B:$B,$A395,'Таблиця 1'!$I:$I,"Mi-8",'Таблиця 1'!$J:$J,"C-13")+SUMIFS('Таблиця 1'!$K:$K,'Таблиця 1'!$B:$B,$A395,'Таблиця 1'!$I:$I,"Mi-24",'Таблиця 1'!$J:$J,"C-13"))</f>
        <v/>
      </c>
      <c r="J395">
        <f>IF($A395="","",SUMIFS('Таблиця 1'!$K:$K,'Таблиця 1'!$B:$B,$A395,'Таблиця 1'!$I:$I,"Mi-8",'Таблиця 1'!$J:$J,"Hydra-70")+SUMIFS('Таблиця 1'!$K:$K,'Таблиця 1'!$B:$B,$A395,'Таблиця 1'!$I:$I,"Mi-24",'Таблиця 1'!$J:$J,"Hydra-70"))</f>
        <v/>
      </c>
      <c r="K395">
        <f>IF($A395="","",SUMIFS('Таблиця 1'!$K:$K,'Таблиця 1'!$B:$B,$A395,'Таблиця 1'!$I:$I,"Mi-8",'Таблиця 1'!$J:$J,"Thales-70")+SUMIFS('Таблиця 1'!$K:$K,'Таблиця 1'!$B:$B,$A395,'Таблиця 1'!$I:$I,"Mi-24",'Таблиця 1'!$J:$J,"Thales-70"))</f>
        <v/>
      </c>
      <c r="L395">
        <f>IF($A395="","",SUMIFS('Таблиця 1'!$K:$K,'Таблиця 1'!$B:$B,$A395,'Таблиця 1'!$I:$I,"Mi-8",'Таблиця 1'!$J:$J,"Thales-FZ")+SUMIFS('Таблиця 1'!$K:$K,'Таблиця 1'!$B:$B,$A395,'Таблиця 1'!$I:$I,"Mi-24",'Таблиця 1'!$J:$J,"Thales-FZ"))</f>
        <v/>
      </c>
      <c r="M395">
        <f>IF($A395="","",SUMIFS('Таблиця 1'!$K:$K,'Таблиця 1'!$B:$B,$A395,'Таблиця 1'!$I:$I,"Mi-8",'Таблиця 1'!$J:$J,"МК-40")+SUMIFS('Таблиця 1'!$K:$K,'Таблиця 1'!$B:$B,$A395,'Таблиця 1'!$I:$I,"Mi-24",'Таблиця 1'!$J:$J,"МК-40"))</f>
        <v/>
      </c>
      <c r="N395">
        <f>IF($A395="","",SUMIFS('Таблиця 1'!$K:$K,'Таблиця 1'!$B:$B,$A395,'Таблиця 1'!$I:$I,"Mi-8",'Таблиця 1'!$J:$J,"Zuni")+SUMIFS('Таблиця 1'!$K:$K,'Таблиця 1'!$B:$B,$A395,'Таблиця 1'!$I:$I,"Mi-24",'Таблиця 1'!$J:$J,"Zuni"))</f>
        <v/>
      </c>
      <c r="O395">
        <f>IF($A395="","",COUNTIFS('Таблиця 1'!$B:$B,$A395,'Таблиця 1'!$I:$I,"Mi-8",'Таблиця 1'!$L:$L,"Уражено")+COUNTIFS('Таблиця 1'!$B:$B,$A395,'Таблиця 1'!$I:$I,"Mi-24",'Таблиця 1'!$L:$L,"Уражено"))</f>
        <v/>
      </c>
      <c r="P395">
        <f>IF($A395="","",COUNTIFS('Таблиця 1'!$B:$B,$A395,'Таблиця 1'!$I:$I,"Mi-8",'Таблиця 1'!$L:$L,"НЕ уражено")+COUNTIFS('Таблиця 1'!$B:$B,$A395,'Таблиця 1'!$I:$I,"Mi-24",'Таблиця 1'!$L:$L,"НЕ уражено"))</f>
        <v/>
      </c>
    </row>
    <row r="396">
      <c r="A396" s="273">
        <f>IF(A395="","",IF(A395+1&gt;MAX('Таблиця 1'!$B:$B),"",A395+1))</f>
        <v/>
      </c>
      <c r="B396">
        <f>IF($A396="","",COUNTIFS('Таблиця 1'!$B:$B,$A396,'Таблиця 1'!$I:$I,"Mi-8")+COUNTIFS('Таблиця 1'!$B:$B,$A396,'Таблиця 1'!$I:$I,"Mi-24"))</f>
        <v/>
      </c>
      <c r="C396">
        <f>IF($A396="","",COUNTIFS('Таблиця 1'!$B:$B,$A396,'Таблиця 1'!$I:$I,"Mi-8"))</f>
        <v/>
      </c>
      <c r="D396">
        <f>IF($A396="","",COUNTIFS('Таблиця 1'!$B:$B,$A396,'Таблиця 1'!$I:$I,"Mi-24"))</f>
        <v/>
      </c>
      <c r="E396">
        <f>IF($A396="","",SUMIFS('Таблиця 1'!$K:$K,'Таблиця 1'!$B:$B,$A396,'Таблиця 1'!$I:$I,"Mi-8",'Таблиця 1'!$J:$J,"ARS-8")+SUMIFS('Таблиця 1'!$K:$K,'Таблиця 1'!$B:$B,$A396,'Таблиця 1'!$I:$I,"Mi-24",'Таблиця 1'!$J:$J,"ARS-8"))</f>
        <v/>
      </c>
      <c r="F396">
        <f>IF($A396="","",SUMIFS('Таблиця 1'!$K:$K,'Таблиця 1'!$B:$B,$A396,'Таблиця 1'!$I:$I,"Mi-8",'Таблиця 1'!$J:$J,"С-8 ком")+SUMIFS('Таблиця 1'!$K:$K,'Таблиця 1'!$B:$B,$A396,'Таблиця 1'!$I:$I,"Mi-24",'Таблиця 1'!$J:$J,"С-8 ком"))</f>
        <v/>
      </c>
      <c r="G396">
        <f>IF($A396="","",SUMIFS('Таблиця 1'!$K:$K,'Таблиця 1'!$B:$B,$A396,'Таблиця 1'!$I:$I,"Mi-8",'Таблиця 1'!$J:$J,"PC-80")+SUMIFS('Таблиця 1'!$K:$K,'Таблиця 1'!$B:$B,$A396,'Таблиця 1'!$I:$I,"Mi-24",'Таблиця 1'!$J:$J,"PC-80"))</f>
        <v/>
      </c>
      <c r="H396">
        <f>IF($A396="","",SUMIFS('Таблиця 1'!$K:$K,'Таблиця 1'!$B:$B,$A396,'Таблиця 1'!$I:$I,"Mi-8",'Таблиця 1'!$J:$J,"UAR-80")+SUMIFS('Таблиця 1'!$K:$K,'Таблиця 1'!$B:$B,$A396,'Таблиця 1'!$I:$I,"Mi-24",'Таблиця 1'!$J:$J,"UAR-80"))</f>
        <v/>
      </c>
      <c r="I396">
        <f>IF($A396="","",SUMIFS('Таблиця 1'!$K:$K,'Таблиця 1'!$B:$B,$A396,'Таблиця 1'!$I:$I,"Mi-8",'Таблиця 1'!$J:$J,"C-13")+SUMIFS('Таблиця 1'!$K:$K,'Таблиця 1'!$B:$B,$A396,'Таблиця 1'!$I:$I,"Mi-24",'Таблиця 1'!$J:$J,"C-13"))</f>
        <v/>
      </c>
      <c r="J396">
        <f>IF($A396="","",SUMIFS('Таблиця 1'!$K:$K,'Таблиця 1'!$B:$B,$A396,'Таблиця 1'!$I:$I,"Mi-8",'Таблиця 1'!$J:$J,"Hydra-70")+SUMIFS('Таблиця 1'!$K:$K,'Таблиця 1'!$B:$B,$A396,'Таблиця 1'!$I:$I,"Mi-24",'Таблиця 1'!$J:$J,"Hydra-70"))</f>
        <v/>
      </c>
      <c r="K396">
        <f>IF($A396="","",SUMIFS('Таблиця 1'!$K:$K,'Таблиця 1'!$B:$B,$A396,'Таблиця 1'!$I:$I,"Mi-8",'Таблиця 1'!$J:$J,"Thales-70")+SUMIFS('Таблиця 1'!$K:$K,'Таблиця 1'!$B:$B,$A396,'Таблиця 1'!$I:$I,"Mi-24",'Таблиця 1'!$J:$J,"Thales-70"))</f>
        <v/>
      </c>
      <c r="L396">
        <f>IF($A396="","",SUMIFS('Таблиця 1'!$K:$K,'Таблиця 1'!$B:$B,$A396,'Таблиця 1'!$I:$I,"Mi-8",'Таблиця 1'!$J:$J,"Thales-FZ")+SUMIFS('Таблиця 1'!$K:$K,'Таблиця 1'!$B:$B,$A396,'Таблиця 1'!$I:$I,"Mi-24",'Таблиця 1'!$J:$J,"Thales-FZ"))</f>
        <v/>
      </c>
      <c r="M396">
        <f>IF($A396="","",SUMIFS('Таблиця 1'!$K:$K,'Таблиця 1'!$B:$B,$A396,'Таблиця 1'!$I:$I,"Mi-8",'Таблиця 1'!$J:$J,"МК-40")+SUMIFS('Таблиця 1'!$K:$K,'Таблиця 1'!$B:$B,$A396,'Таблиця 1'!$I:$I,"Mi-24",'Таблиця 1'!$J:$J,"МК-40"))</f>
        <v/>
      </c>
      <c r="N396">
        <f>IF($A396="","",SUMIFS('Таблиця 1'!$K:$K,'Таблиця 1'!$B:$B,$A396,'Таблиця 1'!$I:$I,"Mi-8",'Таблиця 1'!$J:$J,"Zuni")+SUMIFS('Таблиця 1'!$K:$K,'Таблиця 1'!$B:$B,$A396,'Таблиця 1'!$I:$I,"Mi-24",'Таблиця 1'!$J:$J,"Zuni"))</f>
        <v/>
      </c>
      <c r="O396">
        <f>IF($A396="","",COUNTIFS('Таблиця 1'!$B:$B,$A396,'Таблиця 1'!$I:$I,"Mi-8",'Таблиця 1'!$L:$L,"Уражено")+COUNTIFS('Таблиця 1'!$B:$B,$A396,'Таблиця 1'!$I:$I,"Mi-24",'Таблиця 1'!$L:$L,"Уражено"))</f>
        <v/>
      </c>
      <c r="P396">
        <f>IF($A396="","",COUNTIFS('Таблиця 1'!$B:$B,$A396,'Таблиця 1'!$I:$I,"Mi-8",'Таблиця 1'!$L:$L,"НЕ уражено")+COUNTIFS('Таблиця 1'!$B:$B,$A396,'Таблиця 1'!$I:$I,"Mi-24",'Таблиця 1'!$L:$L,"НЕ уражено"))</f>
        <v/>
      </c>
    </row>
    <row r="397">
      <c r="A397" s="273">
        <f>IF(A396="","",IF(A396+1&gt;MAX('Таблиця 1'!$B:$B),"",A396+1))</f>
        <v/>
      </c>
      <c r="B397">
        <f>IF($A397="","",COUNTIFS('Таблиця 1'!$B:$B,$A397,'Таблиця 1'!$I:$I,"Mi-8")+COUNTIFS('Таблиця 1'!$B:$B,$A397,'Таблиця 1'!$I:$I,"Mi-24"))</f>
        <v/>
      </c>
      <c r="C397">
        <f>IF($A397="","",COUNTIFS('Таблиця 1'!$B:$B,$A397,'Таблиця 1'!$I:$I,"Mi-8"))</f>
        <v/>
      </c>
      <c r="D397">
        <f>IF($A397="","",COUNTIFS('Таблиця 1'!$B:$B,$A397,'Таблиця 1'!$I:$I,"Mi-24"))</f>
        <v/>
      </c>
      <c r="E397">
        <f>IF($A397="","",SUMIFS('Таблиця 1'!$K:$K,'Таблиця 1'!$B:$B,$A397,'Таблиця 1'!$I:$I,"Mi-8",'Таблиця 1'!$J:$J,"ARS-8")+SUMIFS('Таблиця 1'!$K:$K,'Таблиця 1'!$B:$B,$A397,'Таблиця 1'!$I:$I,"Mi-24",'Таблиця 1'!$J:$J,"ARS-8"))</f>
        <v/>
      </c>
      <c r="F397">
        <f>IF($A397="","",SUMIFS('Таблиця 1'!$K:$K,'Таблиця 1'!$B:$B,$A397,'Таблиця 1'!$I:$I,"Mi-8",'Таблиця 1'!$J:$J,"С-8 ком")+SUMIFS('Таблиця 1'!$K:$K,'Таблиця 1'!$B:$B,$A397,'Таблиця 1'!$I:$I,"Mi-24",'Таблиця 1'!$J:$J,"С-8 ком"))</f>
        <v/>
      </c>
      <c r="G397">
        <f>IF($A397="","",SUMIFS('Таблиця 1'!$K:$K,'Таблиця 1'!$B:$B,$A397,'Таблиця 1'!$I:$I,"Mi-8",'Таблиця 1'!$J:$J,"PC-80")+SUMIFS('Таблиця 1'!$K:$K,'Таблиця 1'!$B:$B,$A397,'Таблиця 1'!$I:$I,"Mi-24",'Таблиця 1'!$J:$J,"PC-80"))</f>
        <v/>
      </c>
      <c r="H397">
        <f>IF($A397="","",SUMIFS('Таблиця 1'!$K:$K,'Таблиця 1'!$B:$B,$A397,'Таблиця 1'!$I:$I,"Mi-8",'Таблиця 1'!$J:$J,"UAR-80")+SUMIFS('Таблиця 1'!$K:$K,'Таблиця 1'!$B:$B,$A397,'Таблиця 1'!$I:$I,"Mi-24",'Таблиця 1'!$J:$J,"UAR-80"))</f>
        <v/>
      </c>
      <c r="I397">
        <f>IF($A397="","",SUMIFS('Таблиця 1'!$K:$K,'Таблиця 1'!$B:$B,$A397,'Таблиця 1'!$I:$I,"Mi-8",'Таблиця 1'!$J:$J,"C-13")+SUMIFS('Таблиця 1'!$K:$K,'Таблиця 1'!$B:$B,$A397,'Таблиця 1'!$I:$I,"Mi-24",'Таблиця 1'!$J:$J,"C-13"))</f>
        <v/>
      </c>
      <c r="J397">
        <f>IF($A397="","",SUMIFS('Таблиця 1'!$K:$K,'Таблиця 1'!$B:$B,$A397,'Таблиця 1'!$I:$I,"Mi-8",'Таблиця 1'!$J:$J,"Hydra-70")+SUMIFS('Таблиця 1'!$K:$K,'Таблиця 1'!$B:$B,$A397,'Таблиця 1'!$I:$I,"Mi-24",'Таблиця 1'!$J:$J,"Hydra-70"))</f>
        <v/>
      </c>
      <c r="K397">
        <f>IF($A397="","",SUMIFS('Таблиця 1'!$K:$K,'Таблиця 1'!$B:$B,$A397,'Таблиця 1'!$I:$I,"Mi-8",'Таблиця 1'!$J:$J,"Thales-70")+SUMIFS('Таблиця 1'!$K:$K,'Таблиця 1'!$B:$B,$A397,'Таблиця 1'!$I:$I,"Mi-24",'Таблиця 1'!$J:$J,"Thales-70"))</f>
        <v/>
      </c>
      <c r="L397">
        <f>IF($A397="","",SUMIFS('Таблиця 1'!$K:$K,'Таблиця 1'!$B:$B,$A397,'Таблиця 1'!$I:$I,"Mi-8",'Таблиця 1'!$J:$J,"Thales-FZ")+SUMIFS('Таблиця 1'!$K:$K,'Таблиця 1'!$B:$B,$A397,'Таблиця 1'!$I:$I,"Mi-24",'Таблиця 1'!$J:$J,"Thales-FZ"))</f>
        <v/>
      </c>
      <c r="M397">
        <f>IF($A397="","",SUMIFS('Таблиця 1'!$K:$K,'Таблиця 1'!$B:$B,$A397,'Таблиця 1'!$I:$I,"Mi-8",'Таблиця 1'!$J:$J,"МК-40")+SUMIFS('Таблиця 1'!$K:$K,'Таблиця 1'!$B:$B,$A397,'Таблиця 1'!$I:$I,"Mi-24",'Таблиця 1'!$J:$J,"МК-40"))</f>
        <v/>
      </c>
      <c r="N397">
        <f>IF($A397="","",SUMIFS('Таблиця 1'!$K:$K,'Таблиця 1'!$B:$B,$A397,'Таблиця 1'!$I:$I,"Mi-8",'Таблиця 1'!$J:$J,"Zuni")+SUMIFS('Таблиця 1'!$K:$K,'Таблиця 1'!$B:$B,$A397,'Таблиця 1'!$I:$I,"Mi-24",'Таблиця 1'!$J:$J,"Zuni"))</f>
        <v/>
      </c>
      <c r="O397">
        <f>IF($A397="","",COUNTIFS('Таблиця 1'!$B:$B,$A397,'Таблиця 1'!$I:$I,"Mi-8",'Таблиця 1'!$L:$L,"Уражено")+COUNTIFS('Таблиця 1'!$B:$B,$A397,'Таблиця 1'!$I:$I,"Mi-24",'Таблиця 1'!$L:$L,"Уражено"))</f>
        <v/>
      </c>
      <c r="P397">
        <f>IF($A397="","",COUNTIFS('Таблиця 1'!$B:$B,$A397,'Таблиця 1'!$I:$I,"Mi-8",'Таблиця 1'!$L:$L,"НЕ уражено")+COUNTIFS('Таблиця 1'!$B:$B,$A397,'Таблиця 1'!$I:$I,"Mi-24",'Таблиця 1'!$L:$L,"НЕ уражено"))</f>
        <v/>
      </c>
    </row>
    <row r="398">
      <c r="A398" s="273">
        <f>IF(A397="","",IF(A397+1&gt;MAX('Таблиця 1'!$B:$B),"",A397+1))</f>
        <v/>
      </c>
      <c r="B398">
        <f>IF($A398="","",COUNTIFS('Таблиця 1'!$B:$B,$A398,'Таблиця 1'!$I:$I,"Mi-8")+COUNTIFS('Таблиця 1'!$B:$B,$A398,'Таблиця 1'!$I:$I,"Mi-24"))</f>
        <v/>
      </c>
      <c r="C398">
        <f>IF($A398="","",COUNTIFS('Таблиця 1'!$B:$B,$A398,'Таблиця 1'!$I:$I,"Mi-8"))</f>
        <v/>
      </c>
      <c r="D398">
        <f>IF($A398="","",COUNTIFS('Таблиця 1'!$B:$B,$A398,'Таблиця 1'!$I:$I,"Mi-24"))</f>
        <v/>
      </c>
      <c r="E398">
        <f>IF($A398="","",SUMIFS('Таблиця 1'!$K:$K,'Таблиця 1'!$B:$B,$A398,'Таблиця 1'!$I:$I,"Mi-8",'Таблиця 1'!$J:$J,"ARS-8")+SUMIFS('Таблиця 1'!$K:$K,'Таблиця 1'!$B:$B,$A398,'Таблиця 1'!$I:$I,"Mi-24",'Таблиця 1'!$J:$J,"ARS-8"))</f>
        <v/>
      </c>
      <c r="F398">
        <f>IF($A398="","",SUMIFS('Таблиця 1'!$K:$K,'Таблиця 1'!$B:$B,$A398,'Таблиця 1'!$I:$I,"Mi-8",'Таблиця 1'!$J:$J,"С-8 ком")+SUMIFS('Таблиця 1'!$K:$K,'Таблиця 1'!$B:$B,$A398,'Таблиця 1'!$I:$I,"Mi-24",'Таблиця 1'!$J:$J,"С-8 ком"))</f>
        <v/>
      </c>
      <c r="G398">
        <f>IF($A398="","",SUMIFS('Таблиця 1'!$K:$K,'Таблиця 1'!$B:$B,$A398,'Таблиця 1'!$I:$I,"Mi-8",'Таблиця 1'!$J:$J,"PC-80")+SUMIFS('Таблиця 1'!$K:$K,'Таблиця 1'!$B:$B,$A398,'Таблиця 1'!$I:$I,"Mi-24",'Таблиця 1'!$J:$J,"PC-80"))</f>
        <v/>
      </c>
      <c r="H398">
        <f>IF($A398="","",SUMIFS('Таблиця 1'!$K:$K,'Таблиця 1'!$B:$B,$A398,'Таблиця 1'!$I:$I,"Mi-8",'Таблиця 1'!$J:$J,"UAR-80")+SUMIFS('Таблиця 1'!$K:$K,'Таблиця 1'!$B:$B,$A398,'Таблиця 1'!$I:$I,"Mi-24",'Таблиця 1'!$J:$J,"UAR-80"))</f>
        <v/>
      </c>
      <c r="I398">
        <f>IF($A398="","",SUMIFS('Таблиця 1'!$K:$K,'Таблиця 1'!$B:$B,$A398,'Таблиця 1'!$I:$I,"Mi-8",'Таблиця 1'!$J:$J,"C-13")+SUMIFS('Таблиця 1'!$K:$K,'Таблиця 1'!$B:$B,$A398,'Таблиця 1'!$I:$I,"Mi-24",'Таблиця 1'!$J:$J,"C-13"))</f>
        <v/>
      </c>
      <c r="J398">
        <f>IF($A398="","",SUMIFS('Таблиця 1'!$K:$K,'Таблиця 1'!$B:$B,$A398,'Таблиця 1'!$I:$I,"Mi-8",'Таблиця 1'!$J:$J,"Hydra-70")+SUMIFS('Таблиця 1'!$K:$K,'Таблиця 1'!$B:$B,$A398,'Таблиця 1'!$I:$I,"Mi-24",'Таблиця 1'!$J:$J,"Hydra-70"))</f>
        <v/>
      </c>
      <c r="K398">
        <f>IF($A398="","",SUMIFS('Таблиця 1'!$K:$K,'Таблиця 1'!$B:$B,$A398,'Таблиця 1'!$I:$I,"Mi-8",'Таблиця 1'!$J:$J,"Thales-70")+SUMIFS('Таблиця 1'!$K:$K,'Таблиця 1'!$B:$B,$A398,'Таблиця 1'!$I:$I,"Mi-24",'Таблиця 1'!$J:$J,"Thales-70"))</f>
        <v/>
      </c>
      <c r="L398">
        <f>IF($A398="","",SUMIFS('Таблиця 1'!$K:$K,'Таблиця 1'!$B:$B,$A398,'Таблиця 1'!$I:$I,"Mi-8",'Таблиця 1'!$J:$J,"Thales-FZ")+SUMIFS('Таблиця 1'!$K:$K,'Таблиця 1'!$B:$B,$A398,'Таблиця 1'!$I:$I,"Mi-24",'Таблиця 1'!$J:$J,"Thales-FZ"))</f>
        <v/>
      </c>
      <c r="M398">
        <f>IF($A398="","",SUMIFS('Таблиця 1'!$K:$K,'Таблиця 1'!$B:$B,$A398,'Таблиця 1'!$I:$I,"Mi-8",'Таблиця 1'!$J:$J,"МК-40")+SUMIFS('Таблиця 1'!$K:$K,'Таблиця 1'!$B:$B,$A398,'Таблиця 1'!$I:$I,"Mi-24",'Таблиця 1'!$J:$J,"МК-40"))</f>
        <v/>
      </c>
      <c r="N398">
        <f>IF($A398="","",SUMIFS('Таблиця 1'!$K:$K,'Таблиця 1'!$B:$B,$A398,'Таблиця 1'!$I:$I,"Mi-8",'Таблиця 1'!$J:$J,"Zuni")+SUMIFS('Таблиця 1'!$K:$K,'Таблиця 1'!$B:$B,$A398,'Таблиця 1'!$I:$I,"Mi-24",'Таблиця 1'!$J:$J,"Zuni"))</f>
        <v/>
      </c>
      <c r="O398">
        <f>IF($A398="","",COUNTIFS('Таблиця 1'!$B:$B,$A398,'Таблиця 1'!$I:$I,"Mi-8",'Таблиця 1'!$L:$L,"Уражено")+COUNTIFS('Таблиця 1'!$B:$B,$A398,'Таблиця 1'!$I:$I,"Mi-24",'Таблиця 1'!$L:$L,"Уражено"))</f>
        <v/>
      </c>
      <c r="P398">
        <f>IF($A398="","",COUNTIFS('Таблиця 1'!$B:$B,$A398,'Таблиця 1'!$I:$I,"Mi-8",'Таблиця 1'!$L:$L,"НЕ уражено")+COUNTIFS('Таблиця 1'!$B:$B,$A398,'Таблиця 1'!$I:$I,"Mi-24",'Таблиця 1'!$L:$L,"НЕ уражено"))</f>
        <v/>
      </c>
    </row>
    <row r="399">
      <c r="A399" s="273">
        <f>IF(A398="","",IF(A398+1&gt;MAX('Таблиця 1'!$B:$B),"",A398+1))</f>
        <v/>
      </c>
      <c r="B399">
        <f>IF($A399="","",COUNTIFS('Таблиця 1'!$B:$B,$A399,'Таблиця 1'!$I:$I,"Mi-8")+COUNTIFS('Таблиця 1'!$B:$B,$A399,'Таблиця 1'!$I:$I,"Mi-24"))</f>
        <v/>
      </c>
      <c r="C399">
        <f>IF($A399="","",COUNTIFS('Таблиця 1'!$B:$B,$A399,'Таблиця 1'!$I:$I,"Mi-8"))</f>
        <v/>
      </c>
      <c r="D399">
        <f>IF($A399="","",COUNTIFS('Таблиця 1'!$B:$B,$A399,'Таблиця 1'!$I:$I,"Mi-24"))</f>
        <v/>
      </c>
      <c r="E399">
        <f>IF($A399="","",SUMIFS('Таблиця 1'!$K:$K,'Таблиця 1'!$B:$B,$A399,'Таблиця 1'!$I:$I,"Mi-8",'Таблиця 1'!$J:$J,"ARS-8")+SUMIFS('Таблиця 1'!$K:$K,'Таблиця 1'!$B:$B,$A399,'Таблиця 1'!$I:$I,"Mi-24",'Таблиця 1'!$J:$J,"ARS-8"))</f>
        <v/>
      </c>
      <c r="F399">
        <f>IF($A399="","",SUMIFS('Таблиця 1'!$K:$K,'Таблиця 1'!$B:$B,$A399,'Таблиця 1'!$I:$I,"Mi-8",'Таблиця 1'!$J:$J,"С-8 ком")+SUMIFS('Таблиця 1'!$K:$K,'Таблиця 1'!$B:$B,$A399,'Таблиця 1'!$I:$I,"Mi-24",'Таблиця 1'!$J:$J,"С-8 ком"))</f>
        <v/>
      </c>
      <c r="G399">
        <f>IF($A399="","",SUMIFS('Таблиця 1'!$K:$K,'Таблиця 1'!$B:$B,$A399,'Таблиця 1'!$I:$I,"Mi-8",'Таблиця 1'!$J:$J,"PC-80")+SUMIFS('Таблиця 1'!$K:$K,'Таблиця 1'!$B:$B,$A399,'Таблиця 1'!$I:$I,"Mi-24",'Таблиця 1'!$J:$J,"PC-80"))</f>
        <v/>
      </c>
      <c r="H399">
        <f>IF($A399="","",SUMIFS('Таблиця 1'!$K:$K,'Таблиця 1'!$B:$B,$A399,'Таблиця 1'!$I:$I,"Mi-8",'Таблиця 1'!$J:$J,"UAR-80")+SUMIFS('Таблиця 1'!$K:$K,'Таблиця 1'!$B:$B,$A399,'Таблиця 1'!$I:$I,"Mi-24",'Таблиця 1'!$J:$J,"UAR-80"))</f>
        <v/>
      </c>
      <c r="I399">
        <f>IF($A399="","",SUMIFS('Таблиця 1'!$K:$K,'Таблиця 1'!$B:$B,$A399,'Таблиця 1'!$I:$I,"Mi-8",'Таблиця 1'!$J:$J,"C-13")+SUMIFS('Таблиця 1'!$K:$K,'Таблиця 1'!$B:$B,$A399,'Таблиця 1'!$I:$I,"Mi-24",'Таблиця 1'!$J:$J,"C-13"))</f>
        <v/>
      </c>
      <c r="J399">
        <f>IF($A399="","",SUMIFS('Таблиця 1'!$K:$K,'Таблиця 1'!$B:$B,$A399,'Таблиця 1'!$I:$I,"Mi-8",'Таблиця 1'!$J:$J,"Hydra-70")+SUMIFS('Таблиця 1'!$K:$K,'Таблиця 1'!$B:$B,$A399,'Таблиця 1'!$I:$I,"Mi-24",'Таблиця 1'!$J:$J,"Hydra-70"))</f>
        <v/>
      </c>
      <c r="K399">
        <f>IF($A399="","",SUMIFS('Таблиця 1'!$K:$K,'Таблиця 1'!$B:$B,$A399,'Таблиця 1'!$I:$I,"Mi-8",'Таблиця 1'!$J:$J,"Thales-70")+SUMIFS('Таблиця 1'!$K:$K,'Таблиця 1'!$B:$B,$A399,'Таблиця 1'!$I:$I,"Mi-24",'Таблиця 1'!$J:$J,"Thales-70"))</f>
        <v/>
      </c>
      <c r="L399">
        <f>IF($A399="","",SUMIFS('Таблиця 1'!$K:$K,'Таблиця 1'!$B:$B,$A399,'Таблиця 1'!$I:$I,"Mi-8",'Таблиця 1'!$J:$J,"Thales-FZ")+SUMIFS('Таблиця 1'!$K:$K,'Таблиця 1'!$B:$B,$A399,'Таблиця 1'!$I:$I,"Mi-24",'Таблиця 1'!$J:$J,"Thales-FZ"))</f>
        <v/>
      </c>
      <c r="M399">
        <f>IF($A399="","",SUMIFS('Таблиця 1'!$K:$K,'Таблиця 1'!$B:$B,$A399,'Таблиця 1'!$I:$I,"Mi-8",'Таблиця 1'!$J:$J,"МК-40")+SUMIFS('Таблиця 1'!$K:$K,'Таблиця 1'!$B:$B,$A399,'Таблиця 1'!$I:$I,"Mi-24",'Таблиця 1'!$J:$J,"МК-40"))</f>
        <v/>
      </c>
      <c r="N399">
        <f>IF($A399="","",SUMIFS('Таблиця 1'!$K:$K,'Таблиця 1'!$B:$B,$A399,'Таблиця 1'!$I:$I,"Mi-8",'Таблиця 1'!$J:$J,"Zuni")+SUMIFS('Таблиця 1'!$K:$K,'Таблиця 1'!$B:$B,$A399,'Таблиця 1'!$I:$I,"Mi-24",'Таблиця 1'!$J:$J,"Zuni"))</f>
        <v/>
      </c>
      <c r="O399">
        <f>IF($A399="","",COUNTIFS('Таблиця 1'!$B:$B,$A399,'Таблиця 1'!$I:$I,"Mi-8",'Таблиця 1'!$L:$L,"Уражено")+COUNTIFS('Таблиця 1'!$B:$B,$A399,'Таблиця 1'!$I:$I,"Mi-24",'Таблиця 1'!$L:$L,"Уражено"))</f>
        <v/>
      </c>
      <c r="P399">
        <f>IF($A399="","",COUNTIFS('Таблиця 1'!$B:$B,$A399,'Таблиця 1'!$I:$I,"Mi-8",'Таблиця 1'!$L:$L,"НЕ уражено")+COUNTIFS('Таблиця 1'!$B:$B,$A399,'Таблиця 1'!$I:$I,"Mi-24",'Таблиця 1'!$L:$L,"НЕ уражено"))</f>
        <v/>
      </c>
    </row>
    <row r="400">
      <c r="A400" s="273">
        <f>IF(A399="","",IF(A399+1&gt;MAX('Таблиця 1'!$B:$B),"",A399+1))</f>
        <v/>
      </c>
      <c r="B400">
        <f>IF($A400="","",COUNTIFS('Таблиця 1'!$B:$B,$A400,'Таблиця 1'!$I:$I,"Mi-8")+COUNTIFS('Таблиця 1'!$B:$B,$A400,'Таблиця 1'!$I:$I,"Mi-24"))</f>
        <v/>
      </c>
      <c r="C400">
        <f>IF($A400="","",COUNTIFS('Таблиця 1'!$B:$B,$A400,'Таблиця 1'!$I:$I,"Mi-8"))</f>
        <v/>
      </c>
      <c r="D400">
        <f>IF($A400="","",COUNTIFS('Таблиця 1'!$B:$B,$A400,'Таблиця 1'!$I:$I,"Mi-24"))</f>
        <v/>
      </c>
      <c r="E400">
        <f>IF($A400="","",SUMIFS('Таблиця 1'!$K:$K,'Таблиця 1'!$B:$B,$A400,'Таблиця 1'!$I:$I,"Mi-8",'Таблиця 1'!$J:$J,"ARS-8")+SUMIFS('Таблиця 1'!$K:$K,'Таблиця 1'!$B:$B,$A400,'Таблиця 1'!$I:$I,"Mi-24",'Таблиця 1'!$J:$J,"ARS-8"))</f>
        <v/>
      </c>
      <c r="F400">
        <f>IF($A400="","",SUMIFS('Таблиця 1'!$K:$K,'Таблиця 1'!$B:$B,$A400,'Таблиця 1'!$I:$I,"Mi-8",'Таблиця 1'!$J:$J,"С-8 ком")+SUMIFS('Таблиця 1'!$K:$K,'Таблиця 1'!$B:$B,$A400,'Таблиця 1'!$I:$I,"Mi-24",'Таблиця 1'!$J:$J,"С-8 ком"))</f>
        <v/>
      </c>
      <c r="G400">
        <f>IF($A400="","",SUMIFS('Таблиця 1'!$K:$K,'Таблиця 1'!$B:$B,$A400,'Таблиця 1'!$I:$I,"Mi-8",'Таблиця 1'!$J:$J,"PC-80")+SUMIFS('Таблиця 1'!$K:$K,'Таблиця 1'!$B:$B,$A400,'Таблиця 1'!$I:$I,"Mi-24",'Таблиця 1'!$J:$J,"PC-80"))</f>
        <v/>
      </c>
      <c r="H400">
        <f>IF($A400="","",SUMIFS('Таблиця 1'!$K:$K,'Таблиця 1'!$B:$B,$A400,'Таблиця 1'!$I:$I,"Mi-8",'Таблиця 1'!$J:$J,"UAR-80")+SUMIFS('Таблиця 1'!$K:$K,'Таблиця 1'!$B:$B,$A400,'Таблиця 1'!$I:$I,"Mi-24",'Таблиця 1'!$J:$J,"UAR-80"))</f>
        <v/>
      </c>
      <c r="I400">
        <f>IF($A400="","",SUMIFS('Таблиця 1'!$K:$K,'Таблиця 1'!$B:$B,$A400,'Таблиця 1'!$I:$I,"Mi-8",'Таблиця 1'!$J:$J,"C-13")+SUMIFS('Таблиця 1'!$K:$K,'Таблиця 1'!$B:$B,$A400,'Таблиця 1'!$I:$I,"Mi-24",'Таблиця 1'!$J:$J,"C-13"))</f>
        <v/>
      </c>
      <c r="J400">
        <f>IF($A400="","",SUMIFS('Таблиця 1'!$K:$K,'Таблиця 1'!$B:$B,$A400,'Таблиця 1'!$I:$I,"Mi-8",'Таблиця 1'!$J:$J,"Hydra-70")+SUMIFS('Таблиця 1'!$K:$K,'Таблиця 1'!$B:$B,$A400,'Таблиця 1'!$I:$I,"Mi-24",'Таблиця 1'!$J:$J,"Hydra-70"))</f>
        <v/>
      </c>
      <c r="K400">
        <f>IF($A400="","",SUMIFS('Таблиця 1'!$K:$K,'Таблиця 1'!$B:$B,$A400,'Таблиця 1'!$I:$I,"Mi-8",'Таблиця 1'!$J:$J,"Thales-70")+SUMIFS('Таблиця 1'!$K:$K,'Таблиця 1'!$B:$B,$A400,'Таблиця 1'!$I:$I,"Mi-24",'Таблиця 1'!$J:$J,"Thales-70"))</f>
        <v/>
      </c>
      <c r="L400">
        <f>IF($A400="","",SUMIFS('Таблиця 1'!$K:$K,'Таблиця 1'!$B:$B,$A400,'Таблиця 1'!$I:$I,"Mi-8",'Таблиця 1'!$J:$J,"Thales-FZ")+SUMIFS('Таблиця 1'!$K:$K,'Таблиця 1'!$B:$B,$A400,'Таблиця 1'!$I:$I,"Mi-24",'Таблиця 1'!$J:$J,"Thales-FZ"))</f>
        <v/>
      </c>
      <c r="M400">
        <f>IF($A400="","",SUMIFS('Таблиця 1'!$K:$K,'Таблиця 1'!$B:$B,$A400,'Таблиця 1'!$I:$I,"Mi-8",'Таблиця 1'!$J:$J,"МК-40")+SUMIFS('Таблиця 1'!$K:$K,'Таблиця 1'!$B:$B,$A400,'Таблиця 1'!$I:$I,"Mi-24",'Таблиця 1'!$J:$J,"МК-40"))</f>
        <v/>
      </c>
      <c r="N400">
        <f>IF($A400="","",SUMIFS('Таблиця 1'!$K:$K,'Таблиця 1'!$B:$B,$A400,'Таблиця 1'!$I:$I,"Mi-8",'Таблиця 1'!$J:$J,"Zuni")+SUMIFS('Таблиця 1'!$K:$K,'Таблиця 1'!$B:$B,$A400,'Таблиця 1'!$I:$I,"Mi-24",'Таблиця 1'!$J:$J,"Zuni"))</f>
        <v/>
      </c>
      <c r="O400">
        <f>IF($A400="","",COUNTIFS('Таблиця 1'!$B:$B,$A400,'Таблиця 1'!$I:$I,"Mi-8",'Таблиця 1'!$L:$L,"Уражено")+COUNTIFS('Таблиця 1'!$B:$B,$A400,'Таблиця 1'!$I:$I,"Mi-24",'Таблиця 1'!$L:$L,"Уражено"))</f>
        <v/>
      </c>
      <c r="P400">
        <f>IF($A400="","",COUNTIFS('Таблиця 1'!$B:$B,$A400,'Таблиця 1'!$I:$I,"Mi-8",'Таблиця 1'!$L:$L,"НЕ уражено")+COUNTIFS('Таблиця 1'!$B:$B,$A400,'Таблиця 1'!$I:$I,"Mi-24",'Таблиця 1'!$L:$L,"НЕ уражено"))</f>
        <v/>
      </c>
    </row>
    <row r="401">
      <c r="A401" s="273">
        <f>IF(A400="","",IF(A400+1&gt;MAX('Таблиця 1'!$B:$B),"",A400+1))</f>
        <v/>
      </c>
      <c r="B401">
        <f>IF($A401="","",COUNTIFS('Таблиця 1'!$B:$B,$A401,'Таблиця 1'!$I:$I,"Mi-8")+COUNTIFS('Таблиця 1'!$B:$B,$A401,'Таблиця 1'!$I:$I,"Mi-24"))</f>
        <v/>
      </c>
      <c r="C401">
        <f>IF($A401="","",COUNTIFS('Таблиця 1'!$B:$B,$A401,'Таблиця 1'!$I:$I,"Mi-8"))</f>
        <v/>
      </c>
      <c r="D401">
        <f>IF($A401="","",COUNTIFS('Таблиця 1'!$B:$B,$A401,'Таблиця 1'!$I:$I,"Mi-24"))</f>
        <v/>
      </c>
      <c r="E401">
        <f>IF($A401="","",SUMIFS('Таблиця 1'!$K:$K,'Таблиця 1'!$B:$B,$A401,'Таблиця 1'!$I:$I,"Mi-8",'Таблиця 1'!$J:$J,"ARS-8")+SUMIFS('Таблиця 1'!$K:$K,'Таблиця 1'!$B:$B,$A401,'Таблиця 1'!$I:$I,"Mi-24",'Таблиця 1'!$J:$J,"ARS-8"))</f>
        <v/>
      </c>
      <c r="F401">
        <f>IF($A401="","",SUMIFS('Таблиця 1'!$K:$K,'Таблиця 1'!$B:$B,$A401,'Таблиця 1'!$I:$I,"Mi-8",'Таблиця 1'!$J:$J,"С-8 ком")+SUMIFS('Таблиця 1'!$K:$K,'Таблиця 1'!$B:$B,$A401,'Таблиця 1'!$I:$I,"Mi-24",'Таблиця 1'!$J:$J,"С-8 ком"))</f>
        <v/>
      </c>
      <c r="G401">
        <f>IF($A401="","",SUMIFS('Таблиця 1'!$K:$K,'Таблиця 1'!$B:$B,$A401,'Таблиця 1'!$I:$I,"Mi-8",'Таблиця 1'!$J:$J,"PC-80")+SUMIFS('Таблиця 1'!$K:$K,'Таблиця 1'!$B:$B,$A401,'Таблиця 1'!$I:$I,"Mi-24",'Таблиця 1'!$J:$J,"PC-80"))</f>
        <v/>
      </c>
      <c r="H401">
        <f>IF($A401="","",SUMIFS('Таблиця 1'!$K:$K,'Таблиця 1'!$B:$B,$A401,'Таблиця 1'!$I:$I,"Mi-8",'Таблиця 1'!$J:$J,"UAR-80")+SUMIFS('Таблиця 1'!$K:$K,'Таблиця 1'!$B:$B,$A401,'Таблиця 1'!$I:$I,"Mi-24",'Таблиця 1'!$J:$J,"UAR-80"))</f>
        <v/>
      </c>
      <c r="I401">
        <f>IF($A401="","",SUMIFS('Таблиця 1'!$K:$K,'Таблиця 1'!$B:$B,$A401,'Таблиця 1'!$I:$I,"Mi-8",'Таблиця 1'!$J:$J,"C-13")+SUMIFS('Таблиця 1'!$K:$K,'Таблиця 1'!$B:$B,$A401,'Таблиця 1'!$I:$I,"Mi-24",'Таблиця 1'!$J:$J,"C-13"))</f>
        <v/>
      </c>
      <c r="J401">
        <f>IF($A401="","",SUMIFS('Таблиця 1'!$K:$K,'Таблиця 1'!$B:$B,$A401,'Таблиця 1'!$I:$I,"Mi-8",'Таблиця 1'!$J:$J,"Hydra-70")+SUMIFS('Таблиця 1'!$K:$K,'Таблиця 1'!$B:$B,$A401,'Таблиця 1'!$I:$I,"Mi-24",'Таблиця 1'!$J:$J,"Hydra-70"))</f>
        <v/>
      </c>
      <c r="K401">
        <f>IF($A401="","",SUMIFS('Таблиця 1'!$K:$K,'Таблиця 1'!$B:$B,$A401,'Таблиця 1'!$I:$I,"Mi-8",'Таблиця 1'!$J:$J,"Thales-70")+SUMIFS('Таблиця 1'!$K:$K,'Таблиця 1'!$B:$B,$A401,'Таблиця 1'!$I:$I,"Mi-24",'Таблиця 1'!$J:$J,"Thales-70"))</f>
        <v/>
      </c>
      <c r="L401">
        <f>IF($A401="","",SUMIFS('Таблиця 1'!$K:$K,'Таблиця 1'!$B:$B,$A401,'Таблиця 1'!$I:$I,"Mi-8",'Таблиця 1'!$J:$J,"Thales-FZ")+SUMIFS('Таблиця 1'!$K:$K,'Таблиця 1'!$B:$B,$A401,'Таблиця 1'!$I:$I,"Mi-24",'Таблиця 1'!$J:$J,"Thales-FZ"))</f>
        <v/>
      </c>
      <c r="M401">
        <f>IF($A401="","",SUMIFS('Таблиця 1'!$K:$K,'Таблиця 1'!$B:$B,$A401,'Таблиця 1'!$I:$I,"Mi-8",'Таблиця 1'!$J:$J,"МК-40")+SUMIFS('Таблиця 1'!$K:$K,'Таблиця 1'!$B:$B,$A401,'Таблиця 1'!$I:$I,"Mi-24",'Таблиця 1'!$J:$J,"МК-40"))</f>
        <v/>
      </c>
      <c r="N401">
        <f>IF($A401="","",SUMIFS('Таблиця 1'!$K:$K,'Таблиця 1'!$B:$B,$A401,'Таблиця 1'!$I:$I,"Mi-8",'Таблиця 1'!$J:$J,"Zuni")+SUMIFS('Таблиця 1'!$K:$K,'Таблиця 1'!$B:$B,$A401,'Таблиця 1'!$I:$I,"Mi-24",'Таблиця 1'!$J:$J,"Zuni"))</f>
        <v/>
      </c>
      <c r="O401">
        <f>IF($A401="","",COUNTIFS('Таблиця 1'!$B:$B,$A401,'Таблиця 1'!$I:$I,"Mi-8",'Таблиця 1'!$L:$L,"Уражено")+COUNTIFS('Таблиця 1'!$B:$B,$A401,'Таблиця 1'!$I:$I,"Mi-24",'Таблиця 1'!$L:$L,"Уражено"))</f>
        <v/>
      </c>
      <c r="P401">
        <f>IF($A401="","",COUNTIFS('Таблиця 1'!$B:$B,$A401,'Таблиця 1'!$I:$I,"Mi-8",'Таблиця 1'!$L:$L,"НЕ уражено")+COUNTIFS('Таблиця 1'!$B:$B,$A401,'Таблиця 1'!$I:$I,"Mi-24",'Таблиця 1'!$L:$L,"НЕ уражено"))</f>
        <v/>
      </c>
    </row>
    <row r="402">
      <c r="A402" s="273">
        <f>IF(A401="","",IF(A401+1&gt;MAX('Таблиця 1'!$B:$B),"",A401+1))</f>
        <v/>
      </c>
      <c r="B402">
        <f>IF($A402="","",COUNTIFS('Таблиця 1'!$B:$B,$A402,'Таблиця 1'!$I:$I,"Mi-8")+COUNTIFS('Таблиця 1'!$B:$B,$A402,'Таблиця 1'!$I:$I,"Mi-24"))</f>
        <v/>
      </c>
      <c r="C402">
        <f>IF($A402="","",COUNTIFS('Таблиця 1'!$B:$B,$A402,'Таблиця 1'!$I:$I,"Mi-8"))</f>
        <v/>
      </c>
      <c r="D402">
        <f>IF($A402="","",COUNTIFS('Таблиця 1'!$B:$B,$A402,'Таблиця 1'!$I:$I,"Mi-24"))</f>
        <v/>
      </c>
      <c r="E402">
        <f>IF($A402="","",SUMIFS('Таблиця 1'!$K:$K,'Таблиця 1'!$B:$B,$A402,'Таблиця 1'!$I:$I,"Mi-8",'Таблиця 1'!$J:$J,"ARS-8")+SUMIFS('Таблиця 1'!$K:$K,'Таблиця 1'!$B:$B,$A402,'Таблиця 1'!$I:$I,"Mi-24",'Таблиця 1'!$J:$J,"ARS-8"))</f>
        <v/>
      </c>
      <c r="F402">
        <f>IF($A402="","",SUMIFS('Таблиця 1'!$K:$K,'Таблиця 1'!$B:$B,$A402,'Таблиця 1'!$I:$I,"Mi-8",'Таблиця 1'!$J:$J,"С-8 ком")+SUMIFS('Таблиця 1'!$K:$K,'Таблиця 1'!$B:$B,$A402,'Таблиця 1'!$I:$I,"Mi-24",'Таблиця 1'!$J:$J,"С-8 ком"))</f>
        <v/>
      </c>
      <c r="G402">
        <f>IF($A402="","",SUMIFS('Таблиця 1'!$K:$K,'Таблиця 1'!$B:$B,$A402,'Таблиця 1'!$I:$I,"Mi-8",'Таблиця 1'!$J:$J,"PC-80")+SUMIFS('Таблиця 1'!$K:$K,'Таблиця 1'!$B:$B,$A402,'Таблиця 1'!$I:$I,"Mi-24",'Таблиця 1'!$J:$J,"PC-80"))</f>
        <v/>
      </c>
      <c r="H402">
        <f>IF($A402="","",SUMIFS('Таблиця 1'!$K:$K,'Таблиця 1'!$B:$B,$A402,'Таблиця 1'!$I:$I,"Mi-8",'Таблиця 1'!$J:$J,"UAR-80")+SUMIFS('Таблиця 1'!$K:$K,'Таблиця 1'!$B:$B,$A402,'Таблиця 1'!$I:$I,"Mi-24",'Таблиця 1'!$J:$J,"UAR-80"))</f>
        <v/>
      </c>
      <c r="I402">
        <f>IF($A402="","",SUMIFS('Таблиця 1'!$K:$K,'Таблиця 1'!$B:$B,$A402,'Таблиця 1'!$I:$I,"Mi-8",'Таблиця 1'!$J:$J,"C-13")+SUMIFS('Таблиця 1'!$K:$K,'Таблиця 1'!$B:$B,$A402,'Таблиця 1'!$I:$I,"Mi-24",'Таблиця 1'!$J:$J,"C-13"))</f>
        <v/>
      </c>
      <c r="J402">
        <f>IF($A402="","",SUMIFS('Таблиця 1'!$K:$K,'Таблиця 1'!$B:$B,$A402,'Таблиця 1'!$I:$I,"Mi-8",'Таблиця 1'!$J:$J,"Hydra-70")+SUMIFS('Таблиця 1'!$K:$K,'Таблиця 1'!$B:$B,$A402,'Таблиця 1'!$I:$I,"Mi-24",'Таблиця 1'!$J:$J,"Hydra-70"))</f>
        <v/>
      </c>
      <c r="K402">
        <f>IF($A402="","",SUMIFS('Таблиця 1'!$K:$K,'Таблиця 1'!$B:$B,$A402,'Таблиця 1'!$I:$I,"Mi-8",'Таблиця 1'!$J:$J,"Thales-70")+SUMIFS('Таблиця 1'!$K:$K,'Таблиця 1'!$B:$B,$A402,'Таблиця 1'!$I:$I,"Mi-24",'Таблиця 1'!$J:$J,"Thales-70"))</f>
        <v/>
      </c>
      <c r="L402">
        <f>IF($A402="","",SUMIFS('Таблиця 1'!$K:$K,'Таблиця 1'!$B:$B,$A402,'Таблиця 1'!$I:$I,"Mi-8",'Таблиця 1'!$J:$J,"Thales-FZ")+SUMIFS('Таблиця 1'!$K:$K,'Таблиця 1'!$B:$B,$A402,'Таблиця 1'!$I:$I,"Mi-24",'Таблиця 1'!$J:$J,"Thales-FZ"))</f>
        <v/>
      </c>
      <c r="M402">
        <f>IF($A402="","",SUMIFS('Таблиця 1'!$K:$K,'Таблиця 1'!$B:$B,$A402,'Таблиця 1'!$I:$I,"Mi-8",'Таблиця 1'!$J:$J,"МК-40")+SUMIFS('Таблиця 1'!$K:$K,'Таблиця 1'!$B:$B,$A402,'Таблиця 1'!$I:$I,"Mi-24",'Таблиця 1'!$J:$J,"МК-40"))</f>
        <v/>
      </c>
      <c r="N402">
        <f>IF($A402="","",SUMIFS('Таблиця 1'!$K:$K,'Таблиця 1'!$B:$B,$A402,'Таблиця 1'!$I:$I,"Mi-8",'Таблиця 1'!$J:$J,"Zuni")+SUMIFS('Таблиця 1'!$K:$K,'Таблиця 1'!$B:$B,$A402,'Таблиця 1'!$I:$I,"Mi-24",'Таблиця 1'!$J:$J,"Zuni"))</f>
        <v/>
      </c>
      <c r="O402">
        <f>IF($A402="","",COUNTIFS('Таблиця 1'!$B:$B,$A402,'Таблиця 1'!$I:$I,"Mi-8",'Таблиця 1'!$L:$L,"Уражено")+COUNTIFS('Таблиця 1'!$B:$B,$A402,'Таблиця 1'!$I:$I,"Mi-24",'Таблиця 1'!$L:$L,"Уражено"))</f>
        <v/>
      </c>
      <c r="P402">
        <f>IF($A402="","",COUNTIFS('Таблиця 1'!$B:$B,$A402,'Таблиця 1'!$I:$I,"Mi-8",'Таблиця 1'!$L:$L,"НЕ уражено")+COUNTIFS('Таблиця 1'!$B:$B,$A402,'Таблиця 1'!$I:$I,"Mi-24",'Таблиця 1'!$L:$L,"НЕ уражено"))</f>
        <v/>
      </c>
    </row>
    <row r="403">
      <c r="A403" s="273">
        <f>IF(A402="","",IF(A402+1&gt;MAX('Таблиця 1'!$B:$B),"",A402+1))</f>
        <v/>
      </c>
      <c r="B403">
        <f>IF($A403="","",COUNTIFS('Таблиця 1'!$B:$B,$A403,'Таблиця 1'!$I:$I,"Mi-8")+COUNTIFS('Таблиця 1'!$B:$B,$A403,'Таблиця 1'!$I:$I,"Mi-24"))</f>
        <v/>
      </c>
      <c r="C403">
        <f>IF($A403="","",COUNTIFS('Таблиця 1'!$B:$B,$A403,'Таблиця 1'!$I:$I,"Mi-8"))</f>
        <v/>
      </c>
      <c r="D403">
        <f>IF($A403="","",COUNTIFS('Таблиця 1'!$B:$B,$A403,'Таблиця 1'!$I:$I,"Mi-24"))</f>
        <v/>
      </c>
      <c r="E403">
        <f>IF($A403="","",SUMIFS('Таблиця 1'!$K:$K,'Таблиця 1'!$B:$B,$A403,'Таблиця 1'!$I:$I,"Mi-8",'Таблиця 1'!$J:$J,"ARS-8")+SUMIFS('Таблиця 1'!$K:$K,'Таблиця 1'!$B:$B,$A403,'Таблиця 1'!$I:$I,"Mi-24",'Таблиця 1'!$J:$J,"ARS-8"))</f>
        <v/>
      </c>
      <c r="F403">
        <f>IF($A403="","",SUMIFS('Таблиця 1'!$K:$K,'Таблиця 1'!$B:$B,$A403,'Таблиця 1'!$I:$I,"Mi-8",'Таблиця 1'!$J:$J,"С-8 ком")+SUMIFS('Таблиця 1'!$K:$K,'Таблиця 1'!$B:$B,$A403,'Таблиця 1'!$I:$I,"Mi-24",'Таблиця 1'!$J:$J,"С-8 ком"))</f>
        <v/>
      </c>
      <c r="G403">
        <f>IF($A403="","",SUMIFS('Таблиця 1'!$K:$K,'Таблиця 1'!$B:$B,$A403,'Таблиця 1'!$I:$I,"Mi-8",'Таблиця 1'!$J:$J,"PC-80")+SUMIFS('Таблиця 1'!$K:$K,'Таблиця 1'!$B:$B,$A403,'Таблиця 1'!$I:$I,"Mi-24",'Таблиця 1'!$J:$J,"PC-80"))</f>
        <v/>
      </c>
      <c r="H403">
        <f>IF($A403="","",SUMIFS('Таблиця 1'!$K:$K,'Таблиця 1'!$B:$B,$A403,'Таблиця 1'!$I:$I,"Mi-8",'Таблиця 1'!$J:$J,"UAR-80")+SUMIFS('Таблиця 1'!$K:$K,'Таблиця 1'!$B:$B,$A403,'Таблиця 1'!$I:$I,"Mi-24",'Таблиця 1'!$J:$J,"UAR-80"))</f>
        <v/>
      </c>
      <c r="I403">
        <f>IF($A403="","",SUMIFS('Таблиця 1'!$K:$K,'Таблиця 1'!$B:$B,$A403,'Таблиця 1'!$I:$I,"Mi-8",'Таблиця 1'!$J:$J,"C-13")+SUMIFS('Таблиця 1'!$K:$K,'Таблиця 1'!$B:$B,$A403,'Таблиця 1'!$I:$I,"Mi-24",'Таблиця 1'!$J:$J,"C-13"))</f>
        <v/>
      </c>
      <c r="J403">
        <f>IF($A403="","",SUMIFS('Таблиця 1'!$K:$K,'Таблиця 1'!$B:$B,$A403,'Таблиця 1'!$I:$I,"Mi-8",'Таблиця 1'!$J:$J,"Hydra-70")+SUMIFS('Таблиця 1'!$K:$K,'Таблиця 1'!$B:$B,$A403,'Таблиця 1'!$I:$I,"Mi-24",'Таблиця 1'!$J:$J,"Hydra-70"))</f>
        <v/>
      </c>
      <c r="K403">
        <f>IF($A403="","",SUMIFS('Таблиця 1'!$K:$K,'Таблиця 1'!$B:$B,$A403,'Таблиця 1'!$I:$I,"Mi-8",'Таблиця 1'!$J:$J,"Thales-70")+SUMIFS('Таблиця 1'!$K:$K,'Таблиця 1'!$B:$B,$A403,'Таблиця 1'!$I:$I,"Mi-24",'Таблиця 1'!$J:$J,"Thales-70"))</f>
        <v/>
      </c>
      <c r="L403">
        <f>IF($A403="","",SUMIFS('Таблиця 1'!$K:$K,'Таблиця 1'!$B:$B,$A403,'Таблиця 1'!$I:$I,"Mi-8",'Таблиця 1'!$J:$J,"Thales-FZ")+SUMIFS('Таблиця 1'!$K:$K,'Таблиця 1'!$B:$B,$A403,'Таблиця 1'!$I:$I,"Mi-24",'Таблиця 1'!$J:$J,"Thales-FZ"))</f>
        <v/>
      </c>
      <c r="M403">
        <f>IF($A403="","",SUMIFS('Таблиця 1'!$K:$K,'Таблиця 1'!$B:$B,$A403,'Таблиця 1'!$I:$I,"Mi-8",'Таблиця 1'!$J:$J,"МК-40")+SUMIFS('Таблиця 1'!$K:$K,'Таблиця 1'!$B:$B,$A403,'Таблиця 1'!$I:$I,"Mi-24",'Таблиця 1'!$J:$J,"МК-40"))</f>
        <v/>
      </c>
      <c r="N403">
        <f>IF($A403="","",SUMIFS('Таблиця 1'!$K:$K,'Таблиця 1'!$B:$B,$A403,'Таблиця 1'!$I:$I,"Mi-8",'Таблиця 1'!$J:$J,"Zuni")+SUMIFS('Таблиця 1'!$K:$K,'Таблиця 1'!$B:$B,$A403,'Таблиця 1'!$I:$I,"Mi-24",'Таблиця 1'!$J:$J,"Zuni"))</f>
        <v/>
      </c>
      <c r="O403">
        <f>IF($A403="","",COUNTIFS('Таблиця 1'!$B:$B,$A403,'Таблиця 1'!$I:$I,"Mi-8",'Таблиця 1'!$L:$L,"Уражено")+COUNTIFS('Таблиця 1'!$B:$B,$A403,'Таблиця 1'!$I:$I,"Mi-24",'Таблиця 1'!$L:$L,"Уражено"))</f>
        <v/>
      </c>
      <c r="P403">
        <f>IF($A403="","",COUNTIFS('Таблиця 1'!$B:$B,$A403,'Таблиця 1'!$I:$I,"Mi-8",'Таблиця 1'!$L:$L,"НЕ уражено")+COUNTIFS('Таблиця 1'!$B:$B,$A403,'Таблиця 1'!$I:$I,"Mi-24",'Таблиця 1'!$L:$L,"НЕ уражено"))</f>
        <v/>
      </c>
    </row>
    <row r="404">
      <c r="A404" s="273">
        <f>IF(A403="","",IF(A403+1&gt;MAX('Таблиця 1'!$B:$B),"",A403+1))</f>
        <v/>
      </c>
      <c r="B404">
        <f>IF($A404="","",COUNTIFS('Таблиця 1'!$B:$B,$A404,'Таблиця 1'!$I:$I,"Mi-8")+COUNTIFS('Таблиця 1'!$B:$B,$A404,'Таблиця 1'!$I:$I,"Mi-24"))</f>
        <v/>
      </c>
      <c r="C404">
        <f>IF($A404="","",COUNTIFS('Таблиця 1'!$B:$B,$A404,'Таблиця 1'!$I:$I,"Mi-8"))</f>
        <v/>
      </c>
      <c r="D404">
        <f>IF($A404="","",COUNTIFS('Таблиця 1'!$B:$B,$A404,'Таблиця 1'!$I:$I,"Mi-24"))</f>
        <v/>
      </c>
      <c r="E404">
        <f>IF($A404="","",SUMIFS('Таблиця 1'!$K:$K,'Таблиця 1'!$B:$B,$A404,'Таблиця 1'!$I:$I,"Mi-8",'Таблиця 1'!$J:$J,"ARS-8")+SUMIFS('Таблиця 1'!$K:$K,'Таблиця 1'!$B:$B,$A404,'Таблиця 1'!$I:$I,"Mi-24",'Таблиця 1'!$J:$J,"ARS-8"))</f>
        <v/>
      </c>
      <c r="F404">
        <f>IF($A404="","",SUMIFS('Таблиця 1'!$K:$K,'Таблиця 1'!$B:$B,$A404,'Таблиця 1'!$I:$I,"Mi-8",'Таблиця 1'!$J:$J,"С-8 ком")+SUMIFS('Таблиця 1'!$K:$K,'Таблиця 1'!$B:$B,$A404,'Таблиця 1'!$I:$I,"Mi-24",'Таблиця 1'!$J:$J,"С-8 ком"))</f>
        <v/>
      </c>
      <c r="G404">
        <f>IF($A404="","",SUMIFS('Таблиця 1'!$K:$K,'Таблиця 1'!$B:$B,$A404,'Таблиця 1'!$I:$I,"Mi-8",'Таблиця 1'!$J:$J,"PC-80")+SUMIFS('Таблиця 1'!$K:$K,'Таблиця 1'!$B:$B,$A404,'Таблиця 1'!$I:$I,"Mi-24",'Таблиця 1'!$J:$J,"PC-80"))</f>
        <v/>
      </c>
      <c r="H404">
        <f>IF($A404="","",SUMIFS('Таблиця 1'!$K:$K,'Таблиця 1'!$B:$B,$A404,'Таблиця 1'!$I:$I,"Mi-8",'Таблиця 1'!$J:$J,"UAR-80")+SUMIFS('Таблиця 1'!$K:$K,'Таблиця 1'!$B:$B,$A404,'Таблиця 1'!$I:$I,"Mi-24",'Таблиця 1'!$J:$J,"UAR-80"))</f>
        <v/>
      </c>
      <c r="I404">
        <f>IF($A404="","",SUMIFS('Таблиця 1'!$K:$K,'Таблиця 1'!$B:$B,$A404,'Таблиця 1'!$I:$I,"Mi-8",'Таблиця 1'!$J:$J,"C-13")+SUMIFS('Таблиця 1'!$K:$K,'Таблиця 1'!$B:$B,$A404,'Таблиця 1'!$I:$I,"Mi-24",'Таблиця 1'!$J:$J,"C-13"))</f>
        <v/>
      </c>
      <c r="J404">
        <f>IF($A404="","",SUMIFS('Таблиця 1'!$K:$K,'Таблиця 1'!$B:$B,$A404,'Таблиця 1'!$I:$I,"Mi-8",'Таблиця 1'!$J:$J,"Hydra-70")+SUMIFS('Таблиця 1'!$K:$K,'Таблиця 1'!$B:$B,$A404,'Таблиця 1'!$I:$I,"Mi-24",'Таблиця 1'!$J:$J,"Hydra-70"))</f>
        <v/>
      </c>
      <c r="K404">
        <f>IF($A404="","",SUMIFS('Таблиця 1'!$K:$K,'Таблиця 1'!$B:$B,$A404,'Таблиця 1'!$I:$I,"Mi-8",'Таблиця 1'!$J:$J,"Thales-70")+SUMIFS('Таблиця 1'!$K:$K,'Таблиця 1'!$B:$B,$A404,'Таблиця 1'!$I:$I,"Mi-24",'Таблиця 1'!$J:$J,"Thales-70"))</f>
        <v/>
      </c>
      <c r="L404">
        <f>IF($A404="","",SUMIFS('Таблиця 1'!$K:$K,'Таблиця 1'!$B:$B,$A404,'Таблиця 1'!$I:$I,"Mi-8",'Таблиця 1'!$J:$J,"Thales-FZ")+SUMIFS('Таблиця 1'!$K:$K,'Таблиця 1'!$B:$B,$A404,'Таблиця 1'!$I:$I,"Mi-24",'Таблиця 1'!$J:$J,"Thales-FZ"))</f>
        <v/>
      </c>
      <c r="M404">
        <f>IF($A404="","",SUMIFS('Таблиця 1'!$K:$K,'Таблиця 1'!$B:$B,$A404,'Таблиця 1'!$I:$I,"Mi-8",'Таблиця 1'!$J:$J,"МК-40")+SUMIFS('Таблиця 1'!$K:$K,'Таблиця 1'!$B:$B,$A404,'Таблиця 1'!$I:$I,"Mi-24",'Таблиця 1'!$J:$J,"МК-40"))</f>
        <v/>
      </c>
      <c r="N404">
        <f>IF($A404="","",SUMIFS('Таблиця 1'!$K:$K,'Таблиця 1'!$B:$B,$A404,'Таблиця 1'!$I:$I,"Mi-8",'Таблиця 1'!$J:$J,"Zuni")+SUMIFS('Таблиця 1'!$K:$K,'Таблиця 1'!$B:$B,$A404,'Таблиця 1'!$I:$I,"Mi-24",'Таблиця 1'!$J:$J,"Zuni"))</f>
        <v/>
      </c>
      <c r="O404">
        <f>IF($A404="","",COUNTIFS('Таблиця 1'!$B:$B,$A404,'Таблиця 1'!$I:$I,"Mi-8",'Таблиця 1'!$L:$L,"Уражено")+COUNTIFS('Таблиця 1'!$B:$B,$A404,'Таблиця 1'!$I:$I,"Mi-24",'Таблиця 1'!$L:$L,"Уражено"))</f>
        <v/>
      </c>
      <c r="P404">
        <f>IF($A404="","",COUNTIFS('Таблиця 1'!$B:$B,$A404,'Таблиця 1'!$I:$I,"Mi-8",'Таблиця 1'!$L:$L,"НЕ уражено")+COUNTIFS('Таблиця 1'!$B:$B,$A404,'Таблиця 1'!$I:$I,"Mi-24",'Таблиця 1'!$L:$L,"НЕ уражено"))</f>
        <v/>
      </c>
    </row>
    <row r="405">
      <c r="A405" s="273">
        <f>IF(A404="","",IF(A404+1&gt;MAX('Таблиця 1'!$B:$B),"",A404+1))</f>
        <v/>
      </c>
      <c r="B405">
        <f>IF($A405="","",COUNTIFS('Таблиця 1'!$B:$B,$A405,'Таблиця 1'!$I:$I,"Mi-8")+COUNTIFS('Таблиця 1'!$B:$B,$A405,'Таблиця 1'!$I:$I,"Mi-24"))</f>
        <v/>
      </c>
      <c r="C405">
        <f>IF($A405="","",COUNTIFS('Таблиця 1'!$B:$B,$A405,'Таблиця 1'!$I:$I,"Mi-8"))</f>
        <v/>
      </c>
      <c r="D405">
        <f>IF($A405="","",COUNTIFS('Таблиця 1'!$B:$B,$A405,'Таблиця 1'!$I:$I,"Mi-24"))</f>
        <v/>
      </c>
      <c r="E405">
        <f>IF($A405="","",SUMIFS('Таблиця 1'!$K:$K,'Таблиця 1'!$B:$B,$A405,'Таблиця 1'!$I:$I,"Mi-8",'Таблиця 1'!$J:$J,"ARS-8")+SUMIFS('Таблиця 1'!$K:$K,'Таблиця 1'!$B:$B,$A405,'Таблиця 1'!$I:$I,"Mi-24",'Таблиця 1'!$J:$J,"ARS-8"))</f>
        <v/>
      </c>
      <c r="F405">
        <f>IF($A405="","",SUMIFS('Таблиця 1'!$K:$K,'Таблиця 1'!$B:$B,$A405,'Таблиця 1'!$I:$I,"Mi-8",'Таблиця 1'!$J:$J,"С-8 ком")+SUMIFS('Таблиця 1'!$K:$K,'Таблиця 1'!$B:$B,$A405,'Таблиця 1'!$I:$I,"Mi-24",'Таблиця 1'!$J:$J,"С-8 ком"))</f>
        <v/>
      </c>
      <c r="G405">
        <f>IF($A405="","",SUMIFS('Таблиця 1'!$K:$K,'Таблиця 1'!$B:$B,$A405,'Таблиця 1'!$I:$I,"Mi-8",'Таблиця 1'!$J:$J,"PC-80")+SUMIFS('Таблиця 1'!$K:$K,'Таблиця 1'!$B:$B,$A405,'Таблиця 1'!$I:$I,"Mi-24",'Таблиця 1'!$J:$J,"PC-80"))</f>
        <v/>
      </c>
      <c r="H405">
        <f>IF($A405="","",SUMIFS('Таблиця 1'!$K:$K,'Таблиця 1'!$B:$B,$A405,'Таблиця 1'!$I:$I,"Mi-8",'Таблиця 1'!$J:$J,"UAR-80")+SUMIFS('Таблиця 1'!$K:$K,'Таблиця 1'!$B:$B,$A405,'Таблиця 1'!$I:$I,"Mi-24",'Таблиця 1'!$J:$J,"UAR-80"))</f>
        <v/>
      </c>
      <c r="I405">
        <f>IF($A405="","",SUMIFS('Таблиця 1'!$K:$K,'Таблиця 1'!$B:$B,$A405,'Таблиця 1'!$I:$I,"Mi-8",'Таблиця 1'!$J:$J,"C-13")+SUMIFS('Таблиця 1'!$K:$K,'Таблиця 1'!$B:$B,$A405,'Таблиця 1'!$I:$I,"Mi-24",'Таблиця 1'!$J:$J,"C-13"))</f>
        <v/>
      </c>
      <c r="J405">
        <f>IF($A405="","",SUMIFS('Таблиця 1'!$K:$K,'Таблиця 1'!$B:$B,$A405,'Таблиця 1'!$I:$I,"Mi-8",'Таблиця 1'!$J:$J,"Hydra-70")+SUMIFS('Таблиця 1'!$K:$K,'Таблиця 1'!$B:$B,$A405,'Таблиця 1'!$I:$I,"Mi-24",'Таблиця 1'!$J:$J,"Hydra-70"))</f>
        <v/>
      </c>
      <c r="K405">
        <f>IF($A405="","",SUMIFS('Таблиця 1'!$K:$K,'Таблиця 1'!$B:$B,$A405,'Таблиця 1'!$I:$I,"Mi-8",'Таблиця 1'!$J:$J,"Thales-70")+SUMIFS('Таблиця 1'!$K:$K,'Таблиця 1'!$B:$B,$A405,'Таблиця 1'!$I:$I,"Mi-24",'Таблиця 1'!$J:$J,"Thales-70"))</f>
        <v/>
      </c>
      <c r="L405">
        <f>IF($A405="","",SUMIFS('Таблиця 1'!$K:$K,'Таблиця 1'!$B:$B,$A405,'Таблиця 1'!$I:$I,"Mi-8",'Таблиця 1'!$J:$J,"Thales-FZ")+SUMIFS('Таблиця 1'!$K:$K,'Таблиця 1'!$B:$B,$A405,'Таблиця 1'!$I:$I,"Mi-24",'Таблиця 1'!$J:$J,"Thales-FZ"))</f>
        <v/>
      </c>
      <c r="M405">
        <f>IF($A405="","",SUMIFS('Таблиця 1'!$K:$K,'Таблиця 1'!$B:$B,$A405,'Таблиця 1'!$I:$I,"Mi-8",'Таблиця 1'!$J:$J,"МК-40")+SUMIFS('Таблиця 1'!$K:$K,'Таблиця 1'!$B:$B,$A405,'Таблиця 1'!$I:$I,"Mi-24",'Таблиця 1'!$J:$J,"МК-40"))</f>
        <v/>
      </c>
      <c r="N405">
        <f>IF($A405="","",SUMIFS('Таблиця 1'!$K:$K,'Таблиця 1'!$B:$B,$A405,'Таблиця 1'!$I:$I,"Mi-8",'Таблиця 1'!$J:$J,"Zuni")+SUMIFS('Таблиця 1'!$K:$K,'Таблиця 1'!$B:$B,$A405,'Таблиця 1'!$I:$I,"Mi-24",'Таблиця 1'!$J:$J,"Zuni"))</f>
        <v/>
      </c>
      <c r="O405">
        <f>IF($A405="","",COUNTIFS('Таблиця 1'!$B:$B,$A405,'Таблиця 1'!$I:$I,"Mi-8",'Таблиця 1'!$L:$L,"Уражено")+COUNTIFS('Таблиця 1'!$B:$B,$A405,'Таблиця 1'!$I:$I,"Mi-24",'Таблиця 1'!$L:$L,"Уражено"))</f>
        <v/>
      </c>
      <c r="P405">
        <f>IF($A405="","",COUNTIFS('Таблиця 1'!$B:$B,$A405,'Таблиця 1'!$I:$I,"Mi-8",'Таблиця 1'!$L:$L,"НЕ уражено")+COUNTIFS('Таблиця 1'!$B:$B,$A405,'Таблиця 1'!$I:$I,"Mi-24",'Таблиця 1'!$L:$L,"НЕ уражено"))</f>
        <v/>
      </c>
    </row>
    <row r="406">
      <c r="A406" s="273">
        <f>IF(A405="","",IF(A405+1&gt;MAX('Таблиця 1'!$B:$B),"",A405+1))</f>
        <v/>
      </c>
      <c r="B406">
        <f>IF($A406="","",COUNTIFS('Таблиця 1'!$B:$B,$A406,'Таблиця 1'!$I:$I,"Mi-8")+COUNTIFS('Таблиця 1'!$B:$B,$A406,'Таблиця 1'!$I:$I,"Mi-24"))</f>
        <v/>
      </c>
      <c r="C406">
        <f>IF($A406="","",COUNTIFS('Таблиця 1'!$B:$B,$A406,'Таблиця 1'!$I:$I,"Mi-8"))</f>
        <v/>
      </c>
      <c r="D406">
        <f>IF($A406="","",COUNTIFS('Таблиця 1'!$B:$B,$A406,'Таблиця 1'!$I:$I,"Mi-24"))</f>
        <v/>
      </c>
      <c r="E406">
        <f>IF($A406="","",SUMIFS('Таблиця 1'!$K:$K,'Таблиця 1'!$B:$B,$A406,'Таблиця 1'!$I:$I,"Mi-8",'Таблиця 1'!$J:$J,"ARS-8")+SUMIFS('Таблиця 1'!$K:$K,'Таблиця 1'!$B:$B,$A406,'Таблиця 1'!$I:$I,"Mi-24",'Таблиця 1'!$J:$J,"ARS-8"))</f>
        <v/>
      </c>
      <c r="F406">
        <f>IF($A406="","",SUMIFS('Таблиця 1'!$K:$K,'Таблиця 1'!$B:$B,$A406,'Таблиця 1'!$I:$I,"Mi-8",'Таблиця 1'!$J:$J,"С-8 ком")+SUMIFS('Таблиця 1'!$K:$K,'Таблиця 1'!$B:$B,$A406,'Таблиця 1'!$I:$I,"Mi-24",'Таблиця 1'!$J:$J,"С-8 ком"))</f>
        <v/>
      </c>
      <c r="G406">
        <f>IF($A406="","",SUMIFS('Таблиця 1'!$K:$K,'Таблиця 1'!$B:$B,$A406,'Таблиця 1'!$I:$I,"Mi-8",'Таблиця 1'!$J:$J,"PC-80")+SUMIFS('Таблиця 1'!$K:$K,'Таблиця 1'!$B:$B,$A406,'Таблиця 1'!$I:$I,"Mi-24",'Таблиця 1'!$J:$J,"PC-80"))</f>
        <v/>
      </c>
      <c r="H406">
        <f>IF($A406="","",SUMIFS('Таблиця 1'!$K:$K,'Таблиця 1'!$B:$B,$A406,'Таблиця 1'!$I:$I,"Mi-8",'Таблиця 1'!$J:$J,"UAR-80")+SUMIFS('Таблиця 1'!$K:$K,'Таблиця 1'!$B:$B,$A406,'Таблиця 1'!$I:$I,"Mi-24",'Таблиця 1'!$J:$J,"UAR-80"))</f>
        <v/>
      </c>
      <c r="I406">
        <f>IF($A406="","",SUMIFS('Таблиця 1'!$K:$K,'Таблиця 1'!$B:$B,$A406,'Таблиця 1'!$I:$I,"Mi-8",'Таблиця 1'!$J:$J,"C-13")+SUMIFS('Таблиця 1'!$K:$K,'Таблиця 1'!$B:$B,$A406,'Таблиця 1'!$I:$I,"Mi-24",'Таблиця 1'!$J:$J,"C-13"))</f>
        <v/>
      </c>
      <c r="J406">
        <f>IF($A406="","",SUMIFS('Таблиця 1'!$K:$K,'Таблиця 1'!$B:$B,$A406,'Таблиця 1'!$I:$I,"Mi-8",'Таблиця 1'!$J:$J,"Hydra-70")+SUMIFS('Таблиця 1'!$K:$K,'Таблиця 1'!$B:$B,$A406,'Таблиця 1'!$I:$I,"Mi-24",'Таблиця 1'!$J:$J,"Hydra-70"))</f>
        <v/>
      </c>
      <c r="K406">
        <f>IF($A406="","",SUMIFS('Таблиця 1'!$K:$K,'Таблиця 1'!$B:$B,$A406,'Таблиця 1'!$I:$I,"Mi-8",'Таблиця 1'!$J:$J,"Thales-70")+SUMIFS('Таблиця 1'!$K:$K,'Таблиця 1'!$B:$B,$A406,'Таблиця 1'!$I:$I,"Mi-24",'Таблиця 1'!$J:$J,"Thales-70"))</f>
        <v/>
      </c>
      <c r="L406">
        <f>IF($A406="","",SUMIFS('Таблиця 1'!$K:$K,'Таблиця 1'!$B:$B,$A406,'Таблиця 1'!$I:$I,"Mi-8",'Таблиця 1'!$J:$J,"Thales-FZ")+SUMIFS('Таблиця 1'!$K:$K,'Таблиця 1'!$B:$B,$A406,'Таблиця 1'!$I:$I,"Mi-24",'Таблиця 1'!$J:$J,"Thales-FZ"))</f>
        <v/>
      </c>
      <c r="M406">
        <f>IF($A406="","",SUMIFS('Таблиця 1'!$K:$K,'Таблиця 1'!$B:$B,$A406,'Таблиця 1'!$I:$I,"Mi-8",'Таблиця 1'!$J:$J,"МК-40")+SUMIFS('Таблиця 1'!$K:$K,'Таблиця 1'!$B:$B,$A406,'Таблиця 1'!$I:$I,"Mi-24",'Таблиця 1'!$J:$J,"МК-40"))</f>
        <v/>
      </c>
      <c r="N406">
        <f>IF($A406="","",SUMIFS('Таблиця 1'!$K:$K,'Таблиця 1'!$B:$B,$A406,'Таблиця 1'!$I:$I,"Mi-8",'Таблиця 1'!$J:$J,"Zuni")+SUMIFS('Таблиця 1'!$K:$K,'Таблиця 1'!$B:$B,$A406,'Таблиця 1'!$I:$I,"Mi-24",'Таблиця 1'!$J:$J,"Zuni"))</f>
        <v/>
      </c>
      <c r="O406">
        <f>IF($A406="","",COUNTIFS('Таблиця 1'!$B:$B,$A406,'Таблиця 1'!$I:$I,"Mi-8",'Таблиця 1'!$L:$L,"Уражено")+COUNTIFS('Таблиця 1'!$B:$B,$A406,'Таблиця 1'!$I:$I,"Mi-24",'Таблиця 1'!$L:$L,"Уражено"))</f>
        <v/>
      </c>
      <c r="P406">
        <f>IF($A406="","",COUNTIFS('Таблиця 1'!$B:$B,$A406,'Таблиця 1'!$I:$I,"Mi-8",'Таблиця 1'!$L:$L,"НЕ уражено")+COUNTIFS('Таблиця 1'!$B:$B,$A406,'Таблиця 1'!$I:$I,"Mi-24",'Таблиця 1'!$L:$L,"НЕ уражено"))</f>
        <v/>
      </c>
    </row>
    <row r="407">
      <c r="A407" s="273">
        <f>IF(A406="","",IF(A406+1&gt;MAX('Таблиця 1'!$B:$B),"",A406+1))</f>
        <v/>
      </c>
      <c r="B407">
        <f>IF($A407="","",COUNTIFS('Таблиця 1'!$B:$B,$A407,'Таблиця 1'!$I:$I,"Mi-8")+COUNTIFS('Таблиця 1'!$B:$B,$A407,'Таблиця 1'!$I:$I,"Mi-24"))</f>
        <v/>
      </c>
      <c r="C407">
        <f>IF($A407="","",COUNTIFS('Таблиця 1'!$B:$B,$A407,'Таблиця 1'!$I:$I,"Mi-8"))</f>
        <v/>
      </c>
      <c r="D407">
        <f>IF($A407="","",COUNTIFS('Таблиця 1'!$B:$B,$A407,'Таблиця 1'!$I:$I,"Mi-24"))</f>
        <v/>
      </c>
      <c r="E407">
        <f>IF($A407="","",SUMIFS('Таблиця 1'!$K:$K,'Таблиця 1'!$B:$B,$A407,'Таблиця 1'!$I:$I,"Mi-8",'Таблиця 1'!$J:$J,"ARS-8")+SUMIFS('Таблиця 1'!$K:$K,'Таблиця 1'!$B:$B,$A407,'Таблиця 1'!$I:$I,"Mi-24",'Таблиця 1'!$J:$J,"ARS-8"))</f>
        <v/>
      </c>
      <c r="F407">
        <f>IF($A407="","",SUMIFS('Таблиця 1'!$K:$K,'Таблиця 1'!$B:$B,$A407,'Таблиця 1'!$I:$I,"Mi-8",'Таблиця 1'!$J:$J,"С-8 ком")+SUMIFS('Таблиця 1'!$K:$K,'Таблиця 1'!$B:$B,$A407,'Таблиця 1'!$I:$I,"Mi-24",'Таблиця 1'!$J:$J,"С-8 ком"))</f>
        <v/>
      </c>
      <c r="G407">
        <f>IF($A407="","",SUMIFS('Таблиця 1'!$K:$K,'Таблиця 1'!$B:$B,$A407,'Таблиця 1'!$I:$I,"Mi-8",'Таблиця 1'!$J:$J,"PC-80")+SUMIFS('Таблиця 1'!$K:$K,'Таблиця 1'!$B:$B,$A407,'Таблиця 1'!$I:$I,"Mi-24",'Таблиця 1'!$J:$J,"PC-80"))</f>
        <v/>
      </c>
      <c r="H407">
        <f>IF($A407="","",SUMIFS('Таблиця 1'!$K:$K,'Таблиця 1'!$B:$B,$A407,'Таблиця 1'!$I:$I,"Mi-8",'Таблиця 1'!$J:$J,"UAR-80")+SUMIFS('Таблиця 1'!$K:$K,'Таблиця 1'!$B:$B,$A407,'Таблиця 1'!$I:$I,"Mi-24",'Таблиця 1'!$J:$J,"UAR-80"))</f>
        <v/>
      </c>
      <c r="I407">
        <f>IF($A407="","",SUMIFS('Таблиця 1'!$K:$K,'Таблиця 1'!$B:$B,$A407,'Таблиця 1'!$I:$I,"Mi-8",'Таблиця 1'!$J:$J,"C-13")+SUMIFS('Таблиця 1'!$K:$K,'Таблиця 1'!$B:$B,$A407,'Таблиця 1'!$I:$I,"Mi-24",'Таблиця 1'!$J:$J,"C-13"))</f>
        <v/>
      </c>
      <c r="J407">
        <f>IF($A407="","",SUMIFS('Таблиця 1'!$K:$K,'Таблиця 1'!$B:$B,$A407,'Таблиця 1'!$I:$I,"Mi-8",'Таблиця 1'!$J:$J,"Hydra-70")+SUMIFS('Таблиця 1'!$K:$K,'Таблиця 1'!$B:$B,$A407,'Таблиця 1'!$I:$I,"Mi-24",'Таблиця 1'!$J:$J,"Hydra-70"))</f>
        <v/>
      </c>
      <c r="K407">
        <f>IF($A407="","",SUMIFS('Таблиця 1'!$K:$K,'Таблиця 1'!$B:$B,$A407,'Таблиця 1'!$I:$I,"Mi-8",'Таблиця 1'!$J:$J,"Thales-70")+SUMIFS('Таблиця 1'!$K:$K,'Таблиця 1'!$B:$B,$A407,'Таблиця 1'!$I:$I,"Mi-24",'Таблиця 1'!$J:$J,"Thales-70"))</f>
        <v/>
      </c>
      <c r="L407">
        <f>IF($A407="","",SUMIFS('Таблиця 1'!$K:$K,'Таблиця 1'!$B:$B,$A407,'Таблиця 1'!$I:$I,"Mi-8",'Таблиця 1'!$J:$J,"Thales-FZ")+SUMIFS('Таблиця 1'!$K:$K,'Таблиця 1'!$B:$B,$A407,'Таблиця 1'!$I:$I,"Mi-24",'Таблиця 1'!$J:$J,"Thales-FZ"))</f>
        <v/>
      </c>
      <c r="M407">
        <f>IF($A407="","",SUMIFS('Таблиця 1'!$K:$K,'Таблиця 1'!$B:$B,$A407,'Таблиця 1'!$I:$I,"Mi-8",'Таблиця 1'!$J:$J,"МК-40")+SUMIFS('Таблиця 1'!$K:$K,'Таблиця 1'!$B:$B,$A407,'Таблиця 1'!$I:$I,"Mi-24",'Таблиця 1'!$J:$J,"МК-40"))</f>
        <v/>
      </c>
      <c r="N407">
        <f>IF($A407="","",SUMIFS('Таблиця 1'!$K:$K,'Таблиця 1'!$B:$B,$A407,'Таблиця 1'!$I:$I,"Mi-8",'Таблиця 1'!$J:$J,"Zuni")+SUMIFS('Таблиця 1'!$K:$K,'Таблиця 1'!$B:$B,$A407,'Таблиця 1'!$I:$I,"Mi-24",'Таблиця 1'!$J:$J,"Zuni"))</f>
        <v/>
      </c>
      <c r="O407">
        <f>IF($A407="","",COUNTIFS('Таблиця 1'!$B:$B,$A407,'Таблиця 1'!$I:$I,"Mi-8",'Таблиця 1'!$L:$L,"Уражено")+COUNTIFS('Таблиця 1'!$B:$B,$A407,'Таблиця 1'!$I:$I,"Mi-24",'Таблиця 1'!$L:$L,"Уражено"))</f>
        <v/>
      </c>
      <c r="P407">
        <f>IF($A407="","",COUNTIFS('Таблиця 1'!$B:$B,$A407,'Таблиця 1'!$I:$I,"Mi-8",'Таблиця 1'!$L:$L,"НЕ уражено")+COUNTIFS('Таблиця 1'!$B:$B,$A407,'Таблиця 1'!$I:$I,"Mi-24",'Таблиця 1'!$L:$L,"НЕ уражено"))</f>
        <v/>
      </c>
    </row>
    <row r="408">
      <c r="A408" s="273">
        <f>IF(A407="","",IF(A407+1&gt;MAX('Таблиця 1'!$B:$B),"",A407+1))</f>
        <v/>
      </c>
      <c r="B408">
        <f>IF($A408="","",COUNTIFS('Таблиця 1'!$B:$B,$A408,'Таблиця 1'!$I:$I,"Mi-8")+COUNTIFS('Таблиця 1'!$B:$B,$A408,'Таблиця 1'!$I:$I,"Mi-24"))</f>
        <v/>
      </c>
      <c r="C408">
        <f>IF($A408="","",COUNTIFS('Таблиця 1'!$B:$B,$A408,'Таблиця 1'!$I:$I,"Mi-8"))</f>
        <v/>
      </c>
      <c r="D408">
        <f>IF($A408="","",COUNTIFS('Таблиця 1'!$B:$B,$A408,'Таблиця 1'!$I:$I,"Mi-24"))</f>
        <v/>
      </c>
      <c r="E408">
        <f>IF($A408="","",SUMIFS('Таблиця 1'!$K:$K,'Таблиця 1'!$B:$B,$A408,'Таблиця 1'!$I:$I,"Mi-8",'Таблиця 1'!$J:$J,"ARS-8")+SUMIFS('Таблиця 1'!$K:$K,'Таблиця 1'!$B:$B,$A408,'Таблиця 1'!$I:$I,"Mi-24",'Таблиця 1'!$J:$J,"ARS-8"))</f>
        <v/>
      </c>
      <c r="F408">
        <f>IF($A408="","",SUMIFS('Таблиця 1'!$K:$K,'Таблиця 1'!$B:$B,$A408,'Таблиця 1'!$I:$I,"Mi-8",'Таблиця 1'!$J:$J,"С-8 ком")+SUMIFS('Таблиця 1'!$K:$K,'Таблиця 1'!$B:$B,$A408,'Таблиця 1'!$I:$I,"Mi-24",'Таблиця 1'!$J:$J,"С-8 ком"))</f>
        <v/>
      </c>
      <c r="G408">
        <f>IF($A408="","",SUMIFS('Таблиця 1'!$K:$K,'Таблиця 1'!$B:$B,$A408,'Таблиця 1'!$I:$I,"Mi-8",'Таблиця 1'!$J:$J,"PC-80")+SUMIFS('Таблиця 1'!$K:$K,'Таблиця 1'!$B:$B,$A408,'Таблиця 1'!$I:$I,"Mi-24",'Таблиця 1'!$J:$J,"PC-80"))</f>
        <v/>
      </c>
      <c r="H408">
        <f>IF($A408="","",SUMIFS('Таблиця 1'!$K:$K,'Таблиця 1'!$B:$B,$A408,'Таблиця 1'!$I:$I,"Mi-8",'Таблиця 1'!$J:$J,"UAR-80")+SUMIFS('Таблиця 1'!$K:$K,'Таблиця 1'!$B:$B,$A408,'Таблиця 1'!$I:$I,"Mi-24",'Таблиця 1'!$J:$J,"UAR-80"))</f>
        <v/>
      </c>
      <c r="I408">
        <f>IF($A408="","",SUMIFS('Таблиця 1'!$K:$K,'Таблиця 1'!$B:$B,$A408,'Таблиця 1'!$I:$I,"Mi-8",'Таблиця 1'!$J:$J,"C-13")+SUMIFS('Таблиця 1'!$K:$K,'Таблиця 1'!$B:$B,$A408,'Таблиця 1'!$I:$I,"Mi-24",'Таблиця 1'!$J:$J,"C-13"))</f>
        <v/>
      </c>
      <c r="J408">
        <f>IF($A408="","",SUMIFS('Таблиця 1'!$K:$K,'Таблиця 1'!$B:$B,$A408,'Таблиця 1'!$I:$I,"Mi-8",'Таблиця 1'!$J:$J,"Hydra-70")+SUMIFS('Таблиця 1'!$K:$K,'Таблиця 1'!$B:$B,$A408,'Таблиця 1'!$I:$I,"Mi-24",'Таблиця 1'!$J:$J,"Hydra-70"))</f>
        <v/>
      </c>
      <c r="K408">
        <f>IF($A408="","",SUMIFS('Таблиця 1'!$K:$K,'Таблиця 1'!$B:$B,$A408,'Таблиця 1'!$I:$I,"Mi-8",'Таблиця 1'!$J:$J,"Thales-70")+SUMIFS('Таблиця 1'!$K:$K,'Таблиця 1'!$B:$B,$A408,'Таблиця 1'!$I:$I,"Mi-24",'Таблиця 1'!$J:$J,"Thales-70"))</f>
        <v/>
      </c>
      <c r="L408">
        <f>IF($A408="","",SUMIFS('Таблиця 1'!$K:$K,'Таблиця 1'!$B:$B,$A408,'Таблиця 1'!$I:$I,"Mi-8",'Таблиця 1'!$J:$J,"Thales-FZ")+SUMIFS('Таблиця 1'!$K:$K,'Таблиця 1'!$B:$B,$A408,'Таблиця 1'!$I:$I,"Mi-24",'Таблиця 1'!$J:$J,"Thales-FZ"))</f>
        <v/>
      </c>
      <c r="M408">
        <f>IF($A408="","",SUMIFS('Таблиця 1'!$K:$K,'Таблиця 1'!$B:$B,$A408,'Таблиця 1'!$I:$I,"Mi-8",'Таблиця 1'!$J:$J,"МК-40")+SUMIFS('Таблиця 1'!$K:$K,'Таблиця 1'!$B:$B,$A408,'Таблиця 1'!$I:$I,"Mi-24",'Таблиця 1'!$J:$J,"МК-40"))</f>
        <v/>
      </c>
      <c r="N408">
        <f>IF($A408="","",SUMIFS('Таблиця 1'!$K:$K,'Таблиця 1'!$B:$B,$A408,'Таблиця 1'!$I:$I,"Mi-8",'Таблиця 1'!$J:$J,"Zuni")+SUMIFS('Таблиця 1'!$K:$K,'Таблиця 1'!$B:$B,$A408,'Таблиця 1'!$I:$I,"Mi-24",'Таблиця 1'!$J:$J,"Zuni"))</f>
        <v/>
      </c>
      <c r="O408">
        <f>IF($A408="","",COUNTIFS('Таблиця 1'!$B:$B,$A408,'Таблиця 1'!$I:$I,"Mi-8",'Таблиця 1'!$L:$L,"Уражено")+COUNTIFS('Таблиця 1'!$B:$B,$A408,'Таблиця 1'!$I:$I,"Mi-24",'Таблиця 1'!$L:$L,"Уражено"))</f>
        <v/>
      </c>
      <c r="P408">
        <f>IF($A408="","",COUNTIFS('Таблиця 1'!$B:$B,$A408,'Таблиця 1'!$I:$I,"Mi-8",'Таблиця 1'!$L:$L,"НЕ уражено")+COUNTIFS('Таблиця 1'!$B:$B,$A408,'Таблиця 1'!$I:$I,"Mi-24",'Таблиця 1'!$L:$L,"НЕ уражено"))</f>
        <v/>
      </c>
    </row>
    <row r="409">
      <c r="A409" s="273">
        <f>IF(A408="","",IF(A408+1&gt;MAX('Таблиця 1'!$B:$B),"",A408+1))</f>
        <v/>
      </c>
      <c r="B409">
        <f>IF($A409="","",COUNTIFS('Таблиця 1'!$B:$B,$A409,'Таблиця 1'!$I:$I,"Mi-8")+COUNTIFS('Таблиця 1'!$B:$B,$A409,'Таблиця 1'!$I:$I,"Mi-24"))</f>
        <v/>
      </c>
      <c r="C409">
        <f>IF($A409="","",COUNTIFS('Таблиця 1'!$B:$B,$A409,'Таблиця 1'!$I:$I,"Mi-8"))</f>
        <v/>
      </c>
      <c r="D409">
        <f>IF($A409="","",COUNTIFS('Таблиця 1'!$B:$B,$A409,'Таблиця 1'!$I:$I,"Mi-24"))</f>
        <v/>
      </c>
      <c r="E409">
        <f>IF($A409="","",SUMIFS('Таблиця 1'!$K:$K,'Таблиця 1'!$B:$B,$A409,'Таблиця 1'!$I:$I,"Mi-8",'Таблиця 1'!$J:$J,"ARS-8")+SUMIFS('Таблиця 1'!$K:$K,'Таблиця 1'!$B:$B,$A409,'Таблиця 1'!$I:$I,"Mi-24",'Таблиця 1'!$J:$J,"ARS-8"))</f>
        <v/>
      </c>
      <c r="F409">
        <f>IF($A409="","",SUMIFS('Таблиця 1'!$K:$K,'Таблиця 1'!$B:$B,$A409,'Таблиця 1'!$I:$I,"Mi-8",'Таблиця 1'!$J:$J,"С-8 ком")+SUMIFS('Таблиця 1'!$K:$K,'Таблиця 1'!$B:$B,$A409,'Таблиця 1'!$I:$I,"Mi-24",'Таблиця 1'!$J:$J,"С-8 ком"))</f>
        <v/>
      </c>
      <c r="G409">
        <f>IF($A409="","",SUMIFS('Таблиця 1'!$K:$K,'Таблиця 1'!$B:$B,$A409,'Таблиця 1'!$I:$I,"Mi-8",'Таблиця 1'!$J:$J,"PC-80")+SUMIFS('Таблиця 1'!$K:$K,'Таблиця 1'!$B:$B,$A409,'Таблиця 1'!$I:$I,"Mi-24",'Таблиця 1'!$J:$J,"PC-80"))</f>
        <v/>
      </c>
      <c r="H409">
        <f>IF($A409="","",SUMIFS('Таблиця 1'!$K:$K,'Таблиця 1'!$B:$B,$A409,'Таблиця 1'!$I:$I,"Mi-8",'Таблиця 1'!$J:$J,"UAR-80")+SUMIFS('Таблиця 1'!$K:$K,'Таблиця 1'!$B:$B,$A409,'Таблиця 1'!$I:$I,"Mi-24",'Таблиця 1'!$J:$J,"UAR-80"))</f>
        <v/>
      </c>
      <c r="I409">
        <f>IF($A409="","",SUMIFS('Таблиця 1'!$K:$K,'Таблиця 1'!$B:$B,$A409,'Таблиця 1'!$I:$I,"Mi-8",'Таблиця 1'!$J:$J,"C-13")+SUMIFS('Таблиця 1'!$K:$K,'Таблиця 1'!$B:$B,$A409,'Таблиця 1'!$I:$I,"Mi-24",'Таблиця 1'!$J:$J,"C-13"))</f>
        <v/>
      </c>
      <c r="J409">
        <f>IF($A409="","",SUMIFS('Таблиця 1'!$K:$K,'Таблиця 1'!$B:$B,$A409,'Таблиця 1'!$I:$I,"Mi-8",'Таблиця 1'!$J:$J,"Hydra-70")+SUMIFS('Таблиця 1'!$K:$K,'Таблиця 1'!$B:$B,$A409,'Таблиця 1'!$I:$I,"Mi-24",'Таблиця 1'!$J:$J,"Hydra-70"))</f>
        <v/>
      </c>
      <c r="K409">
        <f>IF($A409="","",SUMIFS('Таблиця 1'!$K:$K,'Таблиця 1'!$B:$B,$A409,'Таблиця 1'!$I:$I,"Mi-8",'Таблиця 1'!$J:$J,"Thales-70")+SUMIFS('Таблиця 1'!$K:$K,'Таблиця 1'!$B:$B,$A409,'Таблиця 1'!$I:$I,"Mi-24",'Таблиця 1'!$J:$J,"Thales-70"))</f>
        <v/>
      </c>
      <c r="L409">
        <f>IF($A409="","",SUMIFS('Таблиця 1'!$K:$K,'Таблиця 1'!$B:$B,$A409,'Таблиця 1'!$I:$I,"Mi-8",'Таблиця 1'!$J:$J,"Thales-FZ")+SUMIFS('Таблиця 1'!$K:$K,'Таблиця 1'!$B:$B,$A409,'Таблиця 1'!$I:$I,"Mi-24",'Таблиця 1'!$J:$J,"Thales-FZ"))</f>
        <v/>
      </c>
      <c r="M409">
        <f>IF($A409="","",SUMIFS('Таблиця 1'!$K:$K,'Таблиця 1'!$B:$B,$A409,'Таблиця 1'!$I:$I,"Mi-8",'Таблиця 1'!$J:$J,"МК-40")+SUMIFS('Таблиця 1'!$K:$K,'Таблиця 1'!$B:$B,$A409,'Таблиця 1'!$I:$I,"Mi-24",'Таблиця 1'!$J:$J,"МК-40"))</f>
        <v/>
      </c>
      <c r="N409">
        <f>IF($A409="","",SUMIFS('Таблиця 1'!$K:$K,'Таблиця 1'!$B:$B,$A409,'Таблиця 1'!$I:$I,"Mi-8",'Таблиця 1'!$J:$J,"Zuni")+SUMIFS('Таблиця 1'!$K:$K,'Таблиця 1'!$B:$B,$A409,'Таблиця 1'!$I:$I,"Mi-24",'Таблиця 1'!$J:$J,"Zuni"))</f>
        <v/>
      </c>
      <c r="O409">
        <f>IF($A409="","",COUNTIFS('Таблиця 1'!$B:$B,$A409,'Таблиця 1'!$I:$I,"Mi-8",'Таблиця 1'!$L:$L,"Уражено")+COUNTIFS('Таблиця 1'!$B:$B,$A409,'Таблиця 1'!$I:$I,"Mi-24",'Таблиця 1'!$L:$L,"Уражено"))</f>
        <v/>
      </c>
      <c r="P409">
        <f>IF($A409="","",COUNTIFS('Таблиця 1'!$B:$B,$A409,'Таблиця 1'!$I:$I,"Mi-8",'Таблиця 1'!$L:$L,"НЕ уражено")+COUNTIFS('Таблиця 1'!$B:$B,$A409,'Таблиця 1'!$I:$I,"Mi-24",'Таблиця 1'!$L:$L,"НЕ уражено"))</f>
        <v/>
      </c>
    </row>
    <row r="410">
      <c r="A410" s="273">
        <f>IF(A409="","",IF(A409+1&gt;MAX('Таблиця 1'!$B:$B),"",A409+1))</f>
        <v/>
      </c>
      <c r="B410">
        <f>IF($A410="","",COUNTIFS('Таблиця 1'!$B:$B,$A410,'Таблиця 1'!$I:$I,"Mi-8")+COUNTIFS('Таблиця 1'!$B:$B,$A410,'Таблиця 1'!$I:$I,"Mi-24"))</f>
        <v/>
      </c>
      <c r="C410">
        <f>IF($A410="","",COUNTIFS('Таблиця 1'!$B:$B,$A410,'Таблиця 1'!$I:$I,"Mi-8"))</f>
        <v/>
      </c>
      <c r="D410">
        <f>IF($A410="","",COUNTIFS('Таблиця 1'!$B:$B,$A410,'Таблиця 1'!$I:$I,"Mi-24"))</f>
        <v/>
      </c>
      <c r="E410">
        <f>IF($A410="","",SUMIFS('Таблиця 1'!$K:$K,'Таблиця 1'!$B:$B,$A410,'Таблиця 1'!$I:$I,"Mi-8",'Таблиця 1'!$J:$J,"ARS-8")+SUMIFS('Таблиця 1'!$K:$K,'Таблиця 1'!$B:$B,$A410,'Таблиця 1'!$I:$I,"Mi-24",'Таблиця 1'!$J:$J,"ARS-8"))</f>
        <v/>
      </c>
      <c r="F410">
        <f>IF($A410="","",SUMIFS('Таблиця 1'!$K:$K,'Таблиця 1'!$B:$B,$A410,'Таблиця 1'!$I:$I,"Mi-8",'Таблиця 1'!$J:$J,"С-8 ком")+SUMIFS('Таблиця 1'!$K:$K,'Таблиця 1'!$B:$B,$A410,'Таблиця 1'!$I:$I,"Mi-24",'Таблиця 1'!$J:$J,"С-8 ком"))</f>
        <v/>
      </c>
      <c r="G410">
        <f>IF($A410="","",SUMIFS('Таблиця 1'!$K:$K,'Таблиця 1'!$B:$B,$A410,'Таблиця 1'!$I:$I,"Mi-8",'Таблиця 1'!$J:$J,"PC-80")+SUMIFS('Таблиця 1'!$K:$K,'Таблиця 1'!$B:$B,$A410,'Таблиця 1'!$I:$I,"Mi-24",'Таблиця 1'!$J:$J,"PC-80"))</f>
        <v/>
      </c>
      <c r="H410">
        <f>IF($A410="","",SUMIFS('Таблиця 1'!$K:$K,'Таблиця 1'!$B:$B,$A410,'Таблиця 1'!$I:$I,"Mi-8",'Таблиця 1'!$J:$J,"UAR-80")+SUMIFS('Таблиця 1'!$K:$K,'Таблиця 1'!$B:$B,$A410,'Таблиця 1'!$I:$I,"Mi-24",'Таблиця 1'!$J:$J,"UAR-80"))</f>
        <v/>
      </c>
      <c r="I410">
        <f>IF($A410="","",SUMIFS('Таблиця 1'!$K:$K,'Таблиця 1'!$B:$B,$A410,'Таблиця 1'!$I:$I,"Mi-8",'Таблиця 1'!$J:$J,"C-13")+SUMIFS('Таблиця 1'!$K:$K,'Таблиця 1'!$B:$B,$A410,'Таблиця 1'!$I:$I,"Mi-24",'Таблиця 1'!$J:$J,"C-13"))</f>
        <v/>
      </c>
      <c r="J410">
        <f>IF($A410="","",SUMIFS('Таблиця 1'!$K:$K,'Таблиця 1'!$B:$B,$A410,'Таблиця 1'!$I:$I,"Mi-8",'Таблиця 1'!$J:$J,"Hydra-70")+SUMIFS('Таблиця 1'!$K:$K,'Таблиця 1'!$B:$B,$A410,'Таблиця 1'!$I:$I,"Mi-24",'Таблиця 1'!$J:$J,"Hydra-70"))</f>
        <v/>
      </c>
      <c r="K410">
        <f>IF($A410="","",SUMIFS('Таблиця 1'!$K:$K,'Таблиця 1'!$B:$B,$A410,'Таблиця 1'!$I:$I,"Mi-8",'Таблиця 1'!$J:$J,"Thales-70")+SUMIFS('Таблиця 1'!$K:$K,'Таблиця 1'!$B:$B,$A410,'Таблиця 1'!$I:$I,"Mi-24",'Таблиця 1'!$J:$J,"Thales-70"))</f>
        <v/>
      </c>
      <c r="L410">
        <f>IF($A410="","",SUMIFS('Таблиця 1'!$K:$K,'Таблиця 1'!$B:$B,$A410,'Таблиця 1'!$I:$I,"Mi-8",'Таблиця 1'!$J:$J,"Thales-FZ")+SUMIFS('Таблиця 1'!$K:$K,'Таблиця 1'!$B:$B,$A410,'Таблиця 1'!$I:$I,"Mi-24",'Таблиця 1'!$J:$J,"Thales-FZ"))</f>
        <v/>
      </c>
      <c r="M410">
        <f>IF($A410="","",SUMIFS('Таблиця 1'!$K:$K,'Таблиця 1'!$B:$B,$A410,'Таблиця 1'!$I:$I,"Mi-8",'Таблиця 1'!$J:$J,"МК-40")+SUMIFS('Таблиця 1'!$K:$K,'Таблиця 1'!$B:$B,$A410,'Таблиця 1'!$I:$I,"Mi-24",'Таблиця 1'!$J:$J,"МК-40"))</f>
        <v/>
      </c>
      <c r="N410">
        <f>IF($A410="","",SUMIFS('Таблиця 1'!$K:$K,'Таблиця 1'!$B:$B,$A410,'Таблиця 1'!$I:$I,"Mi-8",'Таблиця 1'!$J:$J,"Zuni")+SUMIFS('Таблиця 1'!$K:$K,'Таблиця 1'!$B:$B,$A410,'Таблиця 1'!$I:$I,"Mi-24",'Таблиця 1'!$J:$J,"Zuni"))</f>
        <v/>
      </c>
      <c r="O410">
        <f>IF($A410="","",COUNTIFS('Таблиця 1'!$B:$B,$A410,'Таблиця 1'!$I:$I,"Mi-8",'Таблиця 1'!$L:$L,"Уражено")+COUNTIFS('Таблиця 1'!$B:$B,$A410,'Таблиця 1'!$I:$I,"Mi-24",'Таблиця 1'!$L:$L,"Уражено"))</f>
        <v/>
      </c>
      <c r="P410">
        <f>IF($A410="","",COUNTIFS('Таблиця 1'!$B:$B,$A410,'Таблиця 1'!$I:$I,"Mi-8",'Таблиця 1'!$L:$L,"НЕ уражено")+COUNTIFS('Таблиця 1'!$B:$B,$A410,'Таблиця 1'!$I:$I,"Mi-24",'Таблиця 1'!$L:$L,"НЕ уражено"))</f>
        <v/>
      </c>
    </row>
    <row r="411">
      <c r="A411" s="273">
        <f>IF(A410="","",IF(A410+1&gt;MAX('Таблиця 1'!$B:$B),"",A410+1))</f>
        <v/>
      </c>
      <c r="B411">
        <f>IF($A411="","",COUNTIFS('Таблиця 1'!$B:$B,$A411,'Таблиця 1'!$I:$I,"Mi-8")+COUNTIFS('Таблиця 1'!$B:$B,$A411,'Таблиця 1'!$I:$I,"Mi-24"))</f>
        <v/>
      </c>
      <c r="C411">
        <f>IF($A411="","",COUNTIFS('Таблиця 1'!$B:$B,$A411,'Таблиця 1'!$I:$I,"Mi-8"))</f>
        <v/>
      </c>
      <c r="D411">
        <f>IF($A411="","",COUNTIFS('Таблиця 1'!$B:$B,$A411,'Таблиця 1'!$I:$I,"Mi-24"))</f>
        <v/>
      </c>
      <c r="E411">
        <f>IF($A411="","",SUMIFS('Таблиця 1'!$K:$K,'Таблиця 1'!$B:$B,$A411,'Таблиця 1'!$I:$I,"Mi-8",'Таблиця 1'!$J:$J,"ARS-8")+SUMIFS('Таблиця 1'!$K:$K,'Таблиця 1'!$B:$B,$A411,'Таблиця 1'!$I:$I,"Mi-24",'Таблиця 1'!$J:$J,"ARS-8"))</f>
        <v/>
      </c>
      <c r="F411">
        <f>IF($A411="","",SUMIFS('Таблиця 1'!$K:$K,'Таблиця 1'!$B:$B,$A411,'Таблиця 1'!$I:$I,"Mi-8",'Таблиця 1'!$J:$J,"С-8 ком")+SUMIFS('Таблиця 1'!$K:$K,'Таблиця 1'!$B:$B,$A411,'Таблиця 1'!$I:$I,"Mi-24",'Таблиця 1'!$J:$J,"С-8 ком"))</f>
        <v/>
      </c>
      <c r="G411">
        <f>IF($A411="","",SUMIFS('Таблиця 1'!$K:$K,'Таблиця 1'!$B:$B,$A411,'Таблиця 1'!$I:$I,"Mi-8",'Таблиця 1'!$J:$J,"PC-80")+SUMIFS('Таблиця 1'!$K:$K,'Таблиця 1'!$B:$B,$A411,'Таблиця 1'!$I:$I,"Mi-24",'Таблиця 1'!$J:$J,"PC-80"))</f>
        <v/>
      </c>
      <c r="H411">
        <f>IF($A411="","",SUMIFS('Таблиця 1'!$K:$K,'Таблиця 1'!$B:$B,$A411,'Таблиця 1'!$I:$I,"Mi-8",'Таблиця 1'!$J:$J,"UAR-80")+SUMIFS('Таблиця 1'!$K:$K,'Таблиця 1'!$B:$B,$A411,'Таблиця 1'!$I:$I,"Mi-24",'Таблиця 1'!$J:$J,"UAR-80"))</f>
        <v/>
      </c>
      <c r="I411">
        <f>IF($A411="","",SUMIFS('Таблиця 1'!$K:$K,'Таблиця 1'!$B:$B,$A411,'Таблиця 1'!$I:$I,"Mi-8",'Таблиця 1'!$J:$J,"C-13")+SUMIFS('Таблиця 1'!$K:$K,'Таблиця 1'!$B:$B,$A411,'Таблиця 1'!$I:$I,"Mi-24",'Таблиця 1'!$J:$J,"C-13"))</f>
        <v/>
      </c>
      <c r="J411">
        <f>IF($A411="","",SUMIFS('Таблиця 1'!$K:$K,'Таблиця 1'!$B:$B,$A411,'Таблиця 1'!$I:$I,"Mi-8",'Таблиця 1'!$J:$J,"Hydra-70")+SUMIFS('Таблиця 1'!$K:$K,'Таблиця 1'!$B:$B,$A411,'Таблиця 1'!$I:$I,"Mi-24",'Таблиця 1'!$J:$J,"Hydra-70"))</f>
        <v/>
      </c>
      <c r="K411">
        <f>IF($A411="","",SUMIFS('Таблиця 1'!$K:$K,'Таблиця 1'!$B:$B,$A411,'Таблиця 1'!$I:$I,"Mi-8",'Таблиця 1'!$J:$J,"Thales-70")+SUMIFS('Таблиця 1'!$K:$K,'Таблиця 1'!$B:$B,$A411,'Таблиця 1'!$I:$I,"Mi-24",'Таблиця 1'!$J:$J,"Thales-70"))</f>
        <v/>
      </c>
      <c r="L411">
        <f>IF($A411="","",SUMIFS('Таблиця 1'!$K:$K,'Таблиця 1'!$B:$B,$A411,'Таблиця 1'!$I:$I,"Mi-8",'Таблиця 1'!$J:$J,"Thales-FZ")+SUMIFS('Таблиця 1'!$K:$K,'Таблиця 1'!$B:$B,$A411,'Таблиця 1'!$I:$I,"Mi-24",'Таблиця 1'!$J:$J,"Thales-FZ"))</f>
        <v/>
      </c>
      <c r="M411">
        <f>IF($A411="","",SUMIFS('Таблиця 1'!$K:$K,'Таблиця 1'!$B:$B,$A411,'Таблиця 1'!$I:$I,"Mi-8",'Таблиця 1'!$J:$J,"МК-40")+SUMIFS('Таблиця 1'!$K:$K,'Таблиця 1'!$B:$B,$A411,'Таблиця 1'!$I:$I,"Mi-24",'Таблиця 1'!$J:$J,"МК-40"))</f>
        <v/>
      </c>
      <c r="N411">
        <f>IF($A411="","",SUMIFS('Таблиця 1'!$K:$K,'Таблиця 1'!$B:$B,$A411,'Таблиця 1'!$I:$I,"Mi-8",'Таблиця 1'!$J:$J,"Zuni")+SUMIFS('Таблиця 1'!$K:$K,'Таблиця 1'!$B:$B,$A411,'Таблиця 1'!$I:$I,"Mi-24",'Таблиця 1'!$J:$J,"Zuni"))</f>
        <v/>
      </c>
      <c r="O411">
        <f>IF($A411="","",COUNTIFS('Таблиця 1'!$B:$B,$A411,'Таблиця 1'!$I:$I,"Mi-8",'Таблиця 1'!$L:$L,"Уражено")+COUNTIFS('Таблиця 1'!$B:$B,$A411,'Таблиця 1'!$I:$I,"Mi-24",'Таблиця 1'!$L:$L,"Уражено"))</f>
        <v/>
      </c>
      <c r="P411">
        <f>IF($A411="","",COUNTIFS('Таблиця 1'!$B:$B,$A411,'Таблиця 1'!$I:$I,"Mi-8",'Таблиця 1'!$L:$L,"НЕ уражено")+COUNTIFS('Таблиця 1'!$B:$B,$A411,'Таблиця 1'!$I:$I,"Mi-24",'Таблиця 1'!$L:$L,"НЕ уражено"))</f>
        <v/>
      </c>
    </row>
    <row r="412">
      <c r="A412" s="273">
        <f>IF(A411="","",IF(A411+1&gt;MAX('Таблиця 1'!$B:$B),"",A411+1))</f>
        <v/>
      </c>
      <c r="B412">
        <f>IF($A412="","",COUNTIFS('Таблиця 1'!$B:$B,$A412,'Таблиця 1'!$I:$I,"Mi-8")+COUNTIFS('Таблиця 1'!$B:$B,$A412,'Таблиця 1'!$I:$I,"Mi-24"))</f>
        <v/>
      </c>
      <c r="C412">
        <f>IF($A412="","",COUNTIFS('Таблиця 1'!$B:$B,$A412,'Таблиця 1'!$I:$I,"Mi-8"))</f>
        <v/>
      </c>
      <c r="D412">
        <f>IF($A412="","",COUNTIFS('Таблиця 1'!$B:$B,$A412,'Таблиця 1'!$I:$I,"Mi-24"))</f>
        <v/>
      </c>
      <c r="E412">
        <f>IF($A412="","",SUMIFS('Таблиця 1'!$K:$K,'Таблиця 1'!$B:$B,$A412,'Таблиця 1'!$I:$I,"Mi-8",'Таблиця 1'!$J:$J,"ARS-8")+SUMIFS('Таблиця 1'!$K:$K,'Таблиця 1'!$B:$B,$A412,'Таблиця 1'!$I:$I,"Mi-24",'Таблиця 1'!$J:$J,"ARS-8"))</f>
        <v/>
      </c>
      <c r="F412">
        <f>IF($A412="","",SUMIFS('Таблиця 1'!$K:$K,'Таблиця 1'!$B:$B,$A412,'Таблиця 1'!$I:$I,"Mi-8",'Таблиця 1'!$J:$J,"С-8 ком")+SUMIFS('Таблиця 1'!$K:$K,'Таблиця 1'!$B:$B,$A412,'Таблиця 1'!$I:$I,"Mi-24",'Таблиця 1'!$J:$J,"С-8 ком"))</f>
        <v/>
      </c>
      <c r="G412">
        <f>IF($A412="","",SUMIFS('Таблиця 1'!$K:$K,'Таблиця 1'!$B:$B,$A412,'Таблиця 1'!$I:$I,"Mi-8",'Таблиця 1'!$J:$J,"PC-80")+SUMIFS('Таблиця 1'!$K:$K,'Таблиця 1'!$B:$B,$A412,'Таблиця 1'!$I:$I,"Mi-24",'Таблиця 1'!$J:$J,"PC-80"))</f>
        <v/>
      </c>
      <c r="H412">
        <f>IF($A412="","",SUMIFS('Таблиця 1'!$K:$K,'Таблиця 1'!$B:$B,$A412,'Таблиця 1'!$I:$I,"Mi-8",'Таблиця 1'!$J:$J,"UAR-80")+SUMIFS('Таблиця 1'!$K:$K,'Таблиця 1'!$B:$B,$A412,'Таблиця 1'!$I:$I,"Mi-24",'Таблиця 1'!$J:$J,"UAR-80"))</f>
        <v/>
      </c>
      <c r="I412">
        <f>IF($A412="","",SUMIFS('Таблиця 1'!$K:$K,'Таблиця 1'!$B:$B,$A412,'Таблиця 1'!$I:$I,"Mi-8",'Таблиця 1'!$J:$J,"C-13")+SUMIFS('Таблиця 1'!$K:$K,'Таблиця 1'!$B:$B,$A412,'Таблиця 1'!$I:$I,"Mi-24",'Таблиця 1'!$J:$J,"C-13"))</f>
        <v/>
      </c>
      <c r="J412">
        <f>IF($A412="","",SUMIFS('Таблиця 1'!$K:$K,'Таблиця 1'!$B:$B,$A412,'Таблиця 1'!$I:$I,"Mi-8",'Таблиця 1'!$J:$J,"Hydra-70")+SUMIFS('Таблиця 1'!$K:$K,'Таблиця 1'!$B:$B,$A412,'Таблиця 1'!$I:$I,"Mi-24",'Таблиця 1'!$J:$J,"Hydra-70"))</f>
        <v/>
      </c>
      <c r="K412">
        <f>IF($A412="","",SUMIFS('Таблиця 1'!$K:$K,'Таблиця 1'!$B:$B,$A412,'Таблиця 1'!$I:$I,"Mi-8",'Таблиця 1'!$J:$J,"Thales-70")+SUMIFS('Таблиця 1'!$K:$K,'Таблиця 1'!$B:$B,$A412,'Таблиця 1'!$I:$I,"Mi-24",'Таблиця 1'!$J:$J,"Thales-70"))</f>
        <v/>
      </c>
      <c r="L412">
        <f>IF($A412="","",SUMIFS('Таблиця 1'!$K:$K,'Таблиця 1'!$B:$B,$A412,'Таблиця 1'!$I:$I,"Mi-8",'Таблиця 1'!$J:$J,"Thales-FZ")+SUMIFS('Таблиця 1'!$K:$K,'Таблиця 1'!$B:$B,$A412,'Таблиця 1'!$I:$I,"Mi-24",'Таблиця 1'!$J:$J,"Thales-FZ"))</f>
        <v/>
      </c>
      <c r="M412">
        <f>IF($A412="","",SUMIFS('Таблиця 1'!$K:$K,'Таблиця 1'!$B:$B,$A412,'Таблиця 1'!$I:$I,"Mi-8",'Таблиця 1'!$J:$J,"МК-40")+SUMIFS('Таблиця 1'!$K:$K,'Таблиця 1'!$B:$B,$A412,'Таблиця 1'!$I:$I,"Mi-24",'Таблиця 1'!$J:$J,"МК-40"))</f>
        <v/>
      </c>
      <c r="N412">
        <f>IF($A412="","",SUMIFS('Таблиця 1'!$K:$K,'Таблиця 1'!$B:$B,$A412,'Таблиця 1'!$I:$I,"Mi-8",'Таблиця 1'!$J:$J,"Zuni")+SUMIFS('Таблиця 1'!$K:$K,'Таблиця 1'!$B:$B,$A412,'Таблиця 1'!$I:$I,"Mi-24",'Таблиця 1'!$J:$J,"Zuni"))</f>
        <v/>
      </c>
      <c r="O412">
        <f>IF($A412="","",COUNTIFS('Таблиця 1'!$B:$B,$A412,'Таблиця 1'!$I:$I,"Mi-8",'Таблиця 1'!$L:$L,"Уражено")+COUNTIFS('Таблиця 1'!$B:$B,$A412,'Таблиця 1'!$I:$I,"Mi-24",'Таблиця 1'!$L:$L,"Уражено"))</f>
        <v/>
      </c>
      <c r="P412">
        <f>IF($A412="","",COUNTIFS('Таблиця 1'!$B:$B,$A412,'Таблиця 1'!$I:$I,"Mi-8",'Таблиця 1'!$L:$L,"НЕ уражено")+COUNTIFS('Таблиця 1'!$B:$B,$A412,'Таблиця 1'!$I:$I,"Mi-24",'Таблиця 1'!$L:$L,"НЕ уражено"))</f>
        <v/>
      </c>
    </row>
    <row r="413">
      <c r="A413" s="273">
        <f>IF(A412="","",IF(A412+1&gt;MAX('Таблиця 1'!$B:$B),"",A412+1))</f>
        <v/>
      </c>
      <c r="B413">
        <f>IF($A413="","",COUNTIFS('Таблиця 1'!$B:$B,$A413,'Таблиця 1'!$I:$I,"Mi-8")+COUNTIFS('Таблиця 1'!$B:$B,$A413,'Таблиця 1'!$I:$I,"Mi-24"))</f>
        <v/>
      </c>
      <c r="C413">
        <f>IF($A413="","",COUNTIFS('Таблиця 1'!$B:$B,$A413,'Таблиця 1'!$I:$I,"Mi-8"))</f>
        <v/>
      </c>
      <c r="D413">
        <f>IF($A413="","",COUNTIFS('Таблиця 1'!$B:$B,$A413,'Таблиця 1'!$I:$I,"Mi-24"))</f>
        <v/>
      </c>
      <c r="E413">
        <f>IF($A413="","",SUMIFS('Таблиця 1'!$K:$K,'Таблиця 1'!$B:$B,$A413,'Таблиця 1'!$I:$I,"Mi-8",'Таблиця 1'!$J:$J,"ARS-8")+SUMIFS('Таблиця 1'!$K:$K,'Таблиця 1'!$B:$B,$A413,'Таблиця 1'!$I:$I,"Mi-24",'Таблиця 1'!$J:$J,"ARS-8"))</f>
        <v/>
      </c>
      <c r="F413">
        <f>IF($A413="","",SUMIFS('Таблиця 1'!$K:$K,'Таблиця 1'!$B:$B,$A413,'Таблиця 1'!$I:$I,"Mi-8",'Таблиця 1'!$J:$J,"С-8 ком")+SUMIFS('Таблиця 1'!$K:$K,'Таблиця 1'!$B:$B,$A413,'Таблиця 1'!$I:$I,"Mi-24",'Таблиця 1'!$J:$J,"С-8 ком"))</f>
        <v/>
      </c>
      <c r="G413">
        <f>IF($A413="","",SUMIFS('Таблиця 1'!$K:$K,'Таблиця 1'!$B:$B,$A413,'Таблиця 1'!$I:$I,"Mi-8",'Таблиця 1'!$J:$J,"PC-80")+SUMIFS('Таблиця 1'!$K:$K,'Таблиця 1'!$B:$B,$A413,'Таблиця 1'!$I:$I,"Mi-24",'Таблиця 1'!$J:$J,"PC-80"))</f>
        <v/>
      </c>
      <c r="H413">
        <f>IF($A413="","",SUMIFS('Таблиця 1'!$K:$K,'Таблиця 1'!$B:$B,$A413,'Таблиця 1'!$I:$I,"Mi-8",'Таблиця 1'!$J:$J,"UAR-80")+SUMIFS('Таблиця 1'!$K:$K,'Таблиця 1'!$B:$B,$A413,'Таблиця 1'!$I:$I,"Mi-24",'Таблиця 1'!$J:$J,"UAR-80"))</f>
        <v/>
      </c>
      <c r="I413">
        <f>IF($A413="","",SUMIFS('Таблиця 1'!$K:$K,'Таблиця 1'!$B:$B,$A413,'Таблиця 1'!$I:$I,"Mi-8",'Таблиця 1'!$J:$J,"C-13")+SUMIFS('Таблиця 1'!$K:$K,'Таблиця 1'!$B:$B,$A413,'Таблиця 1'!$I:$I,"Mi-24",'Таблиця 1'!$J:$J,"C-13"))</f>
        <v/>
      </c>
      <c r="J413">
        <f>IF($A413="","",SUMIFS('Таблиця 1'!$K:$K,'Таблиця 1'!$B:$B,$A413,'Таблиця 1'!$I:$I,"Mi-8",'Таблиця 1'!$J:$J,"Hydra-70")+SUMIFS('Таблиця 1'!$K:$K,'Таблиця 1'!$B:$B,$A413,'Таблиця 1'!$I:$I,"Mi-24",'Таблиця 1'!$J:$J,"Hydra-70"))</f>
        <v/>
      </c>
      <c r="K413">
        <f>IF($A413="","",SUMIFS('Таблиця 1'!$K:$K,'Таблиця 1'!$B:$B,$A413,'Таблиця 1'!$I:$I,"Mi-8",'Таблиця 1'!$J:$J,"Thales-70")+SUMIFS('Таблиця 1'!$K:$K,'Таблиця 1'!$B:$B,$A413,'Таблиця 1'!$I:$I,"Mi-24",'Таблиця 1'!$J:$J,"Thales-70"))</f>
        <v/>
      </c>
      <c r="L413">
        <f>IF($A413="","",SUMIFS('Таблиця 1'!$K:$K,'Таблиця 1'!$B:$B,$A413,'Таблиця 1'!$I:$I,"Mi-8",'Таблиця 1'!$J:$J,"Thales-FZ")+SUMIFS('Таблиця 1'!$K:$K,'Таблиця 1'!$B:$B,$A413,'Таблиця 1'!$I:$I,"Mi-24",'Таблиця 1'!$J:$J,"Thales-FZ"))</f>
        <v/>
      </c>
      <c r="M413">
        <f>IF($A413="","",SUMIFS('Таблиця 1'!$K:$K,'Таблиця 1'!$B:$B,$A413,'Таблиця 1'!$I:$I,"Mi-8",'Таблиця 1'!$J:$J,"МК-40")+SUMIFS('Таблиця 1'!$K:$K,'Таблиця 1'!$B:$B,$A413,'Таблиця 1'!$I:$I,"Mi-24",'Таблиця 1'!$J:$J,"МК-40"))</f>
        <v/>
      </c>
      <c r="N413">
        <f>IF($A413="","",SUMIFS('Таблиця 1'!$K:$K,'Таблиця 1'!$B:$B,$A413,'Таблиця 1'!$I:$I,"Mi-8",'Таблиця 1'!$J:$J,"Zuni")+SUMIFS('Таблиця 1'!$K:$K,'Таблиця 1'!$B:$B,$A413,'Таблиця 1'!$I:$I,"Mi-24",'Таблиця 1'!$J:$J,"Zuni"))</f>
        <v/>
      </c>
      <c r="O413">
        <f>IF($A413="","",COUNTIFS('Таблиця 1'!$B:$B,$A413,'Таблиця 1'!$I:$I,"Mi-8",'Таблиця 1'!$L:$L,"Уражено")+COUNTIFS('Таблиця 1'!$B:$B,$A413,'Таблиця 1'!$I:$I,"Mi-24",'Таблиця 1'!$L:$L,"Уражено"))</f>
        <v/>
      </c>
      <c r="P413">
        <f>IF($A413="","",COUNTIFS('Таблиця 1'!$B:$B,$A413,'Таблиця 1'!$I:$I,"Mi-8",'Таблиця 1'!$L:$L,"НЕ уражено")+COUNTIFS('Таблиця 1'!$B:$B,$A413,'Таблиця 1'!$I:$I,"Mi-24",'Таблиця 1'!$L:$L,"НЕ уражено"))</f>
        <v/>
      </c>
    </row>
    <row r="414">
      <c r="A414" s="273">
        <f>IF(A413="","",IF(A413+1&gt;MAX('Таблиця 1'!$B:$B),"",A413+1))</f>
        <v/>
      </c>
      <c r="B414">
        <f>IF($A414="","",COUNTIFS('Таблиця 1'!$B:$B,$A414,'Таблиця 1'!$I:$I,"Mi-8")+COUNTIFS('Таблиця 1'!$B:$B,$A414,'Таблиця 1'!$I:$I,"Mi-24"))</f>
        <v/>
      </c>
      <c r="C414">
        <f>IF($A414="","",COUNTIFS('Таблиця 1'!$B:$B,$A414,'Таблиця 1'!$I:$I,"Mi-8"))</f>
        <v/>
      </c>
      <c r="D414">
        <f>IF($A414="","",COUNTIFS('Таблиця 1'!$B:$B,$A414,'Таблиця 1'!$I:$I,"Mi-24"))</f>
        <v/>
      </c>
      <c r="E414">
        <f>IF($A414="","",SUMIFS('Таблиця 1'!$K:$K,'Таблиця 1'!$B:$B,$A414,'Таблиця 1'!$I:$I,"Mi-8",'Таблиця 1'!$J:$J,"ARS-8")+SUMIFS('Таблиця 1'!$K:$K,'Таблиця 1'!$B:$B,$A414,'Таблиця 1'!$I:$I,"Mi-24",'Таблиця 1'!$J:$J,"ARS-8"))</f>
        <v/>
      </c>
      <c r="F414">
        <f>IF($A414="","",SUMIFS('Таблиця 1'!$K:$K,'Таблиця 1'!$B:$B,$A414,'Таблиця 1'!$I:$I,"Mi-8",'Таблиця 1'!$J:$J,"С-8 ком")+SUMIFS('Таблиця 1'!$K:$K,'Таблиця 1'!$B:$B,$A414,'Таблиця 1'!$I:$I,"Mi-24",'Таблиця 1'!$J:$J,"С-8 ком"))</f>
        <v/>
      </c>
      <c r="G414">
        <f>IF($A414="","",SUMIFS('Таблиця 1'!$K:$K,'Таблиця 1'!$B:$B,$A414,'Таблиця 1'!$I:$I,"Mi-8",'Таблиця 1'!$J:$J,"PC-80")+SUMIFS('Таблиця 1'!$K:$K,'Таблиця 1'!$B:$B,$A414,'Таблиця 1'!$I:$I,"Mi-24",'Таблиця 1'!$J:$J,"PC-80"))</f>
        <v/>
      </c>
      <c r="H414">
        <f>IF($A414="","",SUMIFS('Таблиця 1'!$K:$K,'Таблиця 1'!$B:$B,$A414,'Таблиця 1'!$I:$I,"Mi-8",'Таблиця 1'!$J:$J,"UAR-80")+SUMIFS('Таблиця 1'!$K:$K,'Таблиця 1'!$B:$B,$A414,'Таблиця 1'!$I:$I,"Mi-24",'Таблиця 1'!$J:$J,"UAR-80"))</f>
        <v/>
      </c>
      <c r="I414">
        <f>IF($A414="","",SUMIFS('Таблиця 1'!$K:$K,'Таблиця 1'!$B:$B,$A414,'Таблиця 1'!$I:$I,"Mi-8",'Таблиця 1'!$J:$J,"C-13")+SUMIFS('Таблиця 1'!$K:$K,'Таблиця 1'!$B:$B,$A414,'Таблиця 1'!$I:$I,"Mi-24",'Таблиця 1'!$J:$J,"C-13"))</f>
        <v/>
      </c>
      <c r="J414">
        <f>IF($A414="","",SUMIFS('Таблиця 1'!$K:$K,'Таблиця 1'!$B:$B,$A414,'Таблиця 1'!$I:$I,"Mi-8",'Таблиця 1'!$J:$J,"Hydra-70")+SUMIFS('Таблиця 1'!$K:$K,'Таблиця 1'!$B:$B,$A414,'Таблиця 1'!$I:$I,"Mi-24",'Таблиця 1'!$J:$J,"Hydra-70"))</f>
        <v/>
      </c>
      <c r="K414">
        <f>IF($A414="","",SUMIFS('Таблиця 1'!$K:$K,'Таблиця 1'!$B:$B,$A414,'Таблиця 1'!$I:$I,"Mi-8",'Таблиця 1'!$J:$J,"Thales-70")+SUMIFS('Таблиця 1'!$K:$K,'Таблиця 1'!$B:$B,$A414,'Таблиця 1'!$I:$I,"Mi-24",'Таблиця 1'!$J:$J,"Thales-70"))</f>
        <v/>
      </c>
      <c r="L414">
        <f>IF($A414="","",SUMIFS('Таблиця 1'!$K:$K,'Таблиця 1'!$B:$B,$A414,'Таблиця 1'!$I:$I,"Mi-8",'Таблиця 1'!$J:$J,"Thales-FZ")+SUMIFS('Таблиця 1'!$K:$K,'Таблиця 1'!$B:$B,$A414,'Таблиця 1'!$I:$I,"Mi-24",'Таблиця 1'!$J:$J,"Thales-FZ"))</f>
        <v/>
      </c>
      <c r="M414">
        <f>IF($A414="","",SUMIFS('Таблиця 1'!$K:$K,'Таблиця 1'!$B:$B,$A414,'Таблиця 1'!$I:$I,"Mi-8",'Таблиця 1'!$J:$J,"МК-40")+SUMIFS('Таблиця 1'!$K:$K,'Таблиця 1'!$B:$B,$A414,'Таблиця 1'!$I:$I,"Mi-24",'Таблиця 1'!$J:$J,"МК-40"))</f>
        <v/>
      </c>
      <c r="N414">
        <f>IF($A414="","",SUMIFS('Таблиця 1'!$K:$K,'Таблиця 1'!$B:$B,$A414,'Таблиця 1'!$I:$I,"Mi-8",'Таблиця 1'!$J:$J,"Zuni")+SUMIFS('Таблиця 1'!$K:$K,'Таблиця 1'!$B:$B,$A414,'Таблиця 1'!$I:$I,"Mi-24",'Таблиця 1'!$J:$J,"Zuni"))</f>
        <v/>
      </c>
      <c r="O414">
        <f>IF($A414="","",COUNTIFS('Таблиця 1'!$B:$B,$A414,'Таблиця 1'!$I:$I,"Mi-8",'Таблиця 1'!$L:$L,"Уражено")+COUNTIFS('Таблиця 1'!$B:$B,$A414,'Таблиця 1'!$I:$I,"Mi-24",'Таблиця 1'!$L:$L,"Уражено"))</f>
        <v/>
      </c>
      <c r="P414">
        <f>IF($A414="","",COUNTIFS('Таблиця 1'!$B:$B,$A414,'Таблиця 1'!$I:$I,"Mi-8",'Таблиця 1'!$L:$L,"НЕ уражено")+COUNTIFS('Таблиця 1'!$B:$B,$A414,'Таблиця 1'!$I:$I,"Mi-24",'Таблиця 1'!$L:$L,"НЕ уражено"))</f>
        <v/>
      </c>
    </row>
    <row r="415">
      <c r="A415" s="273">
        <f>IF(A414="","",IF(A414+1&gt;MAX('Таблиця 1'!$B:$B),"",A414+1))</f>
        <v/>
      </c>
      <c r="B415">
        <f>IF($A415="","",COUNTIFS('Таблиця 1'!$B:$B,$A415,'Таблиця 1'!$I:$I,"Mi-8")+COUNTIFS('Таблиця 1'!$B:$B,$A415,'Таблиця 1'!$I:$I,"Mi-24"))</f>
        <v/>
      </c>
      <c r="C415">
        <f>IF($A415="","",COUNTIFS('Таблиця 1'!$B:$B,$A415,'Таблиця 1'!$I:$I,"Mi-8"))</f>
        <v/>
      </c>
      <c r="D415">
        <f>IF($A415="","",COUNTIFS('Таблиця 1'!$B:$B,$A415,'Таблиця 1'!$I:$I,"Mi-24"))</f>
        <v/>
      </c>
      <c r="E415">
        <f>IF($A415="","",SUMIFS('Таблиця 1'!$K:$K,'Таблиця 1'!$B:$B,$A415,'Таблиця 1'!$I:$I,"Mi-8",'Таблиця 1'!$J:$J,"ARS-8")+SUMIFS('Таблиця 1'!$K:$K,'Таблиця 1'!$B:$B,$A415,'Таблиця 1'!$I:$I,"Mi-24",'Таблиця 1'!$J:$J,"ARS-8"))</f>
        <v/>
      </c>
      <c r="F415">
        <f>IF($A415="","",SUMIFS('Таблиця 1'!$K:$K,'Таблиця 1'!$B:$B,$A415,'Таблиця 1'!$I:$I,"Mi-8",'Таблиця 1'!$J:$J,"С-8 ком")+SUMIFS('Таблиця 1'!$K:$K,'Таблиця 1'!$B:$B,$A415,'Таблиця 1'!$I:$I,"Mi-24",'Таблиця 1'!$J:$J,"С-8 ком"))</f>
        <v/>
      </c>
      <c r="G415">
        <f>IF($A415="","",SUMIFS('Таблиця 1'!$K:$K,'Таблиця 1'!$B:$B,$A415,'Таблиця 1'!$I:$I,"Mi-8",'Таблиця 1'!$J:$J,"PC-80")+SUMIFS('Таблиця 1'!$K:$K,'Таблиця 1'!$B:$B,$A415,'Таблиця 1'!$I:$I,"Mi-24",'Таблиця 1'!$J:$J,"PC-80"))</f>
        <v/>
      </c>
      <c r="H415">
        <f>IF($A415="","",SUMIFS('Таблиця 1'!$K:$K,'Таблиця 1'!$B:$B,$A415,'Таблиця 1'!$I:$I,"Mi-8",'Таблиця 1'!$J:$J,"UAR-80")+SUMIFS('Таблиця 1'!$K:$K,'Таблиця 1'!$B:$B,$A415,'Таблиця 1'!$I:$I,"Mi-24",'Таблиця 1'!$J:$J,"UAR-80"))</f>
        <v/>
      </c>
      <c r="I415">
        <f>IF($A415="","",SUMIFS('Таблиця 1'!$K:$K,'Таблиця 1'!$B:$B,$A415,'Таблиця 1'!$I:$I,"Mi-8",'Таблиця 1'!$J:$J,"C-13")+SUMIFS('Таблиця 1'!$K:$K,'Таблиця 1'!$B:$B,$A415,'Таблиця 1'!$I:$I,"Mi-24",'Таблиця 1'!$J:$J,"C-13"))</f>
        <v/>
      </c>
      <c r="J415">
        <f>IF($A415="","",SUMIFS('Таблиця 1'!$K:$K,'Таблиця 1'!$B:$B,$A415,'Таблиця 1'!$I:$I,"Mi-8",'Таблиця 1'!$J:$J,"Hydra-70")+SUMIFS('Таблиця 1'!$K:$K,'Таблиця 1'!$B:$B,$A415,'Таблиця 1'!$I:$I,"Mi-24",'Таблиця 1'!$J:$J,"Hydra-70"))</f>
        <v/>
      </c>
      <c r="K415">
        <f>IF($A415="","",SUMIFS('Таблиця 1'!$K:$K,'Таблиця 1'!$B:$B,$A415,'Таблиця 1'!$I:$I,"Mi-8",'Таблиця 1'!$J:$J,"Thales-70")+SUMIFS('Таблиця 1'!$K:$K,'Таблиця 1'!$B:$B,$A415,'Таблиця 1'!$I:$I,"Mi-24",'Таблиця 1'!$J:$J,"Thales-70"))</f>
        <v/>
      </c>
      <c r="L415">
        <f>IF($A415="","",SUMIFS('Таблиця 1'!$K:$K,'Таблиця 1'!$B:$B,$A415,'Таблиця 1'!$I:$I,"Mi-8",'Таблиця 1'!$J:$J,"Thales-FZ")+SUMIFS('Таблиця 1'!$K:$K,'Таблиця 1'!$B:$B,$A415,'Таблиця 1'!$I:$I,"Mi-24",'Таблиця 1'!$J:$J,"Thales-FZ"))</f>
        <v/>
      </c>
      <c r="M415">
        <f>IF($A415="","",SUMIFS('Таблиця 1'!$K:$K,'Таблиця 1'!$B:$B,$A415,'Таблиця 1'!$I:$I,"Mi-8",'Таблиця 1'!$J:$J,"МК-40")+SUMIFS('Таблиця 1'!$K:$K,'Таблиця 1'!$B:$B,$A415,'Таблиця 1'!$I:$I,"Mi-24",'Таблиця 1'!$J:$J,"МК-40"))</f>
        <v/>
      </c>
      <c r="N415">
        <f>IF($A415="","",SUMIFS('Таблиця 1'!$K:$K,'Таблиця 1'!$B:$B,$A415,'Таблиця 1'!$I:$I,"Mi-8",'Таблиця 1'!$J:$J,"Zuni")+SUMIFS('Таблиця 1'!$K:$K,'Таблиця 1'!$B:$B,$A415,'Таблиця 1'!$I:$I,"Mi-24",'Таблиця 1'!$J:$J,"Zuni"))</f>
        <v/>
      </c>
      <c r="O415">
        <f>IF($A415="","",COUNTIFS('Таблиця 1'!$B:$B,$A415,'Таблиця 1'!$I:$I,"Mi-8",'Таблиця 1'!$L:$L,"Уражено")+COUNTIFS('Таблиця 1'!$B:$B,$A415,'Таблиця 1'!$I:$I,"Mi-24",'Таблиця 1'!$L:$L,"Уражено"))</f>
        <v/>
      </c>
      <c r="P415">
        <f>IF($A415="","",COUNTIFS('Таблиця 1'!$B:$B,$A415,'Таблиця 1'!$I:$I,"Mi-8",'Таблиця 1'!$L:$L,"НЕ уражено")+COUNTIFS('Таблиця 1'!$B:$B,$A415,'Таблиця 1'!$I:$I,"Mi-24",'Таблиця 1'!$L:$L,"НЕ уражено"))</f>
        <v/>
      </c>
    </row>
    <row r="416">
      <c r="A416" s="273">
        <f>IF(A415="","",IF(A415+1&gt;MAX('Таблиця 1'!$B:$B),"",A415+1))</f>
        <v/>
      </c>
      <c r="B416">
        <f>IF($A416="","",COUNTIFS('Таблиця 1'!$B:$B,$A416,'Таблиця 1'!$I:$I,"Mi-8")+COUNTIFS('Таблиця 1'!$B:$B,$A416,'Таблиця 1'!$I:$I,"Mi-24"))</f>
        <v/>
      </c>
      <c r="C416">
        <f>IF($A416="","",COUNTIFS('Таблиця 1'!$B:$B,$A416,'Таблиця 1'!$I:$I,"Mi-8"))</f>
        <v/>
      </c>
      <c r="D416">
        <f>IF($A416="","",COUNTIFS('Таблиця 1'!$B:$B,$A416,'Таблиця 1'!$I:$I,"Mi-24"))</f>
        <v/>
      </c>
      <c r="E416">
        <f>IF($A416="","",SUMIFS('Таблиця 1'!$K:$K,'Таблиця 1'!$B:$B,$A416,'Таблиця 1'!$I:$I,"Mi-8",'Таблиця 1'!$J:$J,"ARS-8")+SUMIFS('Таблиця 1'!$K:$K,'Таблиця 1'!$B:$B,$A416,'Таблиця 1'!$I:$I,"Mi-24",'Таблиця 1'!$J:$J,"ARS-8"))</f>
        <v/>
      </c>
      <c r="F416">
        <f>IF($A416="","",SUMIFS('Таблиця 1'!$K:$K,'Таблиця 1'!$B:$B,$A416,'Таблиця 1'!$I:$I,"Mi-8",'Таблиця 1'!$J:$J,"С-8 ком")+SUMIFS('Таблиця 1'!$K:$K,'Таблиця 1'!$B:$B,$A416,'Таблиця 1'!$I:$I,"Mi-24",'Таблиця 1'!$J:$J,"С-8 ком"))</f>
        <v/>
      </c>
      <c r="G416">
        <f>IF($A416="","",SUMIFS('Таблиця 1'!$K:$K,'Таблиця 1'!$B:$B,$A416,'Таблиця 1'!$I:$I,"Mi-8",'Таблиця 1'!$J:$J,"PC-80")+SUMIFS('Таблиця 1'!$K:$K,'Таблиця 1'!$B:$B,$A416,'Таблиця 1'!$I:$I,"Mi-24",'Таблиця 1'!$J:$J,"PC-80"))</f>
        <v/>
      </c>
      <c r="H416">
        <f>IF($A416="","",SUMIFS('Таблиця 1'!$K:$K,'Таблиця 1'!$B:$B,$A416,'Таблиця 1'!$I:$I,"Mi-8",'Таблиця 1'!$J:$J,"UAR-80")+SUMIFS('Таблиця 1'!$K:$K,'Таблиця 1'!$B:$B,$A416,'Таблиця 1'!$I:$I,"Mi-24",'Таблиця 1'!$J:$J,"UAR-80"))</f>
        <v/>
      </c>
      <c r="I416">
        <f>IF($A416="","",SUMIFS('Таблиця 1'!$K:$K,'Таблиця 1'!$B:$B,$A416,'Таблиця 1'!$I:$I,"Mi-8",'Таблиця 1'!$J:$J,"C-13")+SUMIFS('Таблиця 1'!$K:$K,'Таблиця 1'!$B:$B,$A416,'Таблиця 1'!$I:$I,"Mi-24",'Таблиця 1'!$J:$J,"C-13"))</f>
        <v/>
      </c>
      <c r="J416">
        <f>IF($A416="","",SUMIFS('Таблиця 1'!$K:$K,'Таблиця 1'!$B:$B,$A416,'Таблиця 1'!$I:$I,"Mi-8",'Таблиця 1'!$J:$J,"Hydra-70")+SUMIFS('Таблиця 1'!$K:$K,'Таблиця 1'!$B:$B,$A416,'Таблиця 1'!$I:$I,"Mi-24",'Таблиця 1'!$J:$J,"Hydra-70"))</f>
        <v/>
      </c>
      <c r="K416">
        <f>IF($A416="","",SUMIFS('Таблиця 1'!$K:$K,'Таблиця 1'!$B:$B,$A416,'Таблиця 1'!$I:$I,"Mi-8",'Таблиця 1'!$J:$J,"Thales-70")+SUMIFS('Таблиця 1'!$K:$K,'Таблиця 1'!$B:$B,$A416,'Таблиця 1'!$I:$I,"Mi-24",'Таблиця 1'!$J:$J,"Thales-70"))</f>
        <v/>
      </c>
      <c r="L416">
        <f>IF($A416="","",SUMIFS('Таблиця 1'!$K:$K,'Таблиця 1'!$B:$B,$A416,'Таблиця 1'!$I:$I,"Mi-8",'Таблиця 1'!$J:$J,"Thales-FZ")+SUMIFS('Таблиця 1'!$K:$K,'Таблиця 1'!$B:$B,$A416,'Таблиця 1'!$I:$I,"Mi-24",'Таблиця 1'!$J:$J,"Thales-FZ"))</f>
        <v/>
      </c>
      <c r="M416">
        <f>IF($A416="","",SUMIFS('Таблиця 1'!$K:$K,'Таблиця 1'!$B:$B,$A416,'Таблиця 1'!$I:$I,"Mi-8",'Таблиця 1'!$J:$J,"МК-40")+SUMIFS('Таблиця 1'!$K:$K,'Таблиця 1'!$B:$B,$A416,'Таблиця 1'!$I:$I,"Mi-24",'Таблиця 1'!$J:$J,"МК-40"))</f>
        <v/>
      </c>
      <c r="N416">
        <f>IF($A416="","",SUMIFS('Таблиця 1'!$K:$K,'Таблиця 1'!$B:$B,$A416,'Таблиця 1'!$I:$I,"Mi-8",'Таблиця 1'!$J:$J,"Zuni")+SUMIFS('Таблиця 1'!$K:$K,'Таблиця 1'!$B:$B,$A416,'Таблиця 1'!$I:$I,"Mi-24",'Таблиця 1'!$J:$J,"Zuni"))</f>
        <v/>
      </c>
      <c r="O416">
        <f>IF($A416="","",COUNTIFS('Таблиця 1'!$B:$B,$A416,'Таблиця 1'!$I:$I,"Mi-8",'Таблиця 1'!$L:$L,"Уражено")+COUNTIFS('Таблиця 1'!$B:$B,$A416,'Таблиця 1'!$I:$I,"Mi-24",'Таблиця 1'!$L:$L,"Уражено"))</f>
        <v/>
      </c>
      <c r="P416">
        <f>IF($A416="","",COUNTIFS('Таблиця 1'!$B:$B,$A416,'Таблиця 1'!$I:$I,"Mi-8",'Таблиця 1'!$L:$L,"НЕ уражено")+COUNTIFS('Таблиця 1'!$B:$B,$A416,'Таблиця 1'!$I:$I,"Mi-24",'Таблиця 1'!$L:$L,"НЕ уражено"))</f>
        <v/>
      </c>
    </row>
    <row r="417">
      <c r="A417" s="273">
        <f>IF(A416="","",IF(A416+1&gt;MAX('Таблиця 1'!$B:$B),"",A416+1))</f>
        <v/>
      </c>
      <c r="B417">
        <f>IF($A417="","",COUNTIFS('Таблиця 1'!$B:$B,$A417,'Таблиця 1'!$I:$I,"Mi-8")+COUNTIFS('Таблиця 1'!$B:$B,$A417,'Таблиця 1'!$I:$I,"Mi-24"))</f>
        <v/>
      </c>
      <c r="C417">
        <f>IF($A417="","",COUNTIFS('Таблиця 1'!$B:$B,$A417,'Таблиця 1'!$I:$I,"Mi-8"))</f>
        <v/>
      </c>
      <c r="D417">
        <f>IF($A417="","",COUNTIFS('Таблиця 1'!$B:$B,$A417,'Таблиця 1'!$I:$I,"Mi-24"))</f>
        <v/>
      </c>
      <c r="E417">
        <f>IF($A417="","",SUMIFS('Таблиця 1'!$K:$K,'Таблиця 1'!$B:$B,$A417,'Таблиця 1'!$I:$I,"Mi-8",'Таблиця 1'!$J:$J,"ARS-8")+SUMIFS('Таблиця 1'!$K:$K,'Таблиця 1'!$B:$B,$A417,'Таблиця 1'!$I:$I,"Mi-24",'Таблиця 1'!$J:$J,"ARS-8"))</f>
        <v/>
      </c>
      <c r="F417">
        <f>IF($A417="","",SUMIFS('Таблиця 1'!$K:$K,'Таблиця 1'!$B:$B,$A417,'Таблиця 1'!$I:$I,"Mi-8",'Таблиця 1'!$J:$J,"С-8 ком")+SUMIFS('Таблиця 1'!$K:$K,'Таблиця 1'!$B:$B,$A417,'Таблиця 1'!$I:$I,"Mi-24",'Таблиця 1'!$J:$J,"С-8 ком"))</f>
        <v/>
      </c>
      <c r="G417">
        <f>IF($A417="","",SUMIFS('Таблиця 1'!$K:$K,'Таблиця 1'!$B:$B,$A417,'Таблиця 1'!$I:$I,"Mi-8",'Таблиця 1'!$J:$J,"PC-80")+SUMIFS('Таблиця 1'!$K:$K,'Таблиця 1'!$B:$B,$A417,'Таблиця 1'!$I:$I,"Mi-24",'Таблиця 1'!$J:$J,"PC-80"))</f>
        <v/>
      </c>
      <c r="H417">
        <f>IF($A417="","",SUMIFS('Таблиця 1'!$K:$K,'Таблиця 1'!$B:$B,$A417,'Таблиця 1'!$I:$I,"Mi-8",'Таблиця 1'!$J:$J,"UAR-80")+SUMIFS('Таблиця 1'!$K:$K,'Таблиця 1'!$B:$B,$A417,'Таблиця 1'!$I:$I,"Mi-24",'Таблиця 1'!$J:$J,"UAR-80"))</f>
        <v/>
      </c>
      <c r="I417">
        <f>IF($A417="","",SUMIFS('Таблиця 1'!$K:$K,'Таблиця 1'!$B:$B,$A417,'Таблиця 1'!$I:$I,"Mi-8",'Таблиця 1'!$J:$J,"C-13")+SUMIFS('Таблиця 1'!$K:$K,'Таблиця 1'!$B:$B,$A417,'Таблиця 1'!$I:$I,"Mi-24",'Таблиця 1'!$J:$J,"C-13"))</f>
        <v/>
      </c>
      <c r="J417">
        <f>IF($A417="","",SUMIFS('Таблиця 1'!$K:$K,'Таблиця 1'!$B:$B,$A417,'Таблиця 1'!$I:$I,"Mi-8",'Таблиця 1'!$J:$J,"Hydra-70")+SUMIFS('Таблиця 1'!$K:$K,'Таблиця 1'!$B:$B,$A417,'Таблиця 1'!$I:$I,"Mi-24",'Таблиця 1'!$J:$J,"Hydra-70"))</f>
        <v/>
      </c>
      <c r="K417">
        <f>IF($A417="","",SUMIFS('Таблиця 1'!$K:$K,'Таблиця 1'!$B:$B,$A417,'Таблиця 1'!$I:$I,"Mi-8",'Таблиця 1'!$J:$J,"Thales-70")+SUMIFS('Таблиця 1'!$K:$K,'Таблиця 1'!$B:$B,$A417,'Таблиця 1'!$I:$I,"Mi-24",'Таблиця 1'!$J:$J,"Thales-70"))</f>
        <v/>
      </c>
      <c r="L417">
        <f>IF($A417="","",SUMIFS('Таблиця 1'!$K:$K,'Таблиця 1'!$B:$B,$A417,'Таблиця 1'!$I:$I,"Mi-8",'Таблиця 1'!$J:$J,"Thales-FZ")+SUMIFS('Таблиця 1'!$K:$K,'Таблиця 1'!$B:$B,$A417,'Таблиця 1'!$I:$I,"Mi-24",'Таблиця 1'!$J:$J,"Thales-FZ"))</f>
        <v/>
      </c>
      <c r="M417">
        <f>IF($A417="","",SUMIFS('Таблиця 1'!$K:$K,'Таблиця 1'!$B:$B,$A417,'Таблиця 1'!$I:$I,"Mi-8",'Таблиця 1'!$J:$J,"МК-40")+SUMIFS('Таблиця 1'!$K:$K,'Таблиця 1'!$B:$B,$A417,'Таблиця 1'!$I:$I,"Mi-24",'Таблиця 1'!$J:$J,"МК-40"))</f>
        <v/>
      </c>
      <c r="N417">
        <f>IF($A417="","",SUMIFS('Таблиця 1'!$K:$K,'Таблиця 1'!$B:$B,$A417,'Таблиця 1'!$I:$I,"Mi-8",'Таблиця 1'!$J:$J,"Zuni")+SUMIFS('Таблиця 1'!$K:$K,'Таблиця 1'!$B:$B,$A417,'Таблиця 1'!$I:$I,"Mi-24",'Таблиця 1'!$J:$J,"Zuni"))</f>
        <v/>
      </c>
      <c r="O417">
        <f>IF($A417="","",COUNTIFS('Таблиця 1'!$B:$B,$A417,'Таблиця 1'!$I:$I,"Mi-8",'Таблиця 1'!$L:$L,"Уражено")+COUNTIFS('Таблиця 1'!$B:$B,$A417,'Таблиця 1'!$I:$I,"Mi-24",'Таблиця 1'!$L:$L,"Уражено"))</f>
        <v/>
      </c>
      <c r="P417">
        <f>IF($A417="","",COUNTIFS('Таблиця 1'!$B:$B,$A417,'Таблиця 1'!$I:$I,"Mi-8",'Таблиця 1'!$L:$L,"НЕ уражено")+COUNTIFS('Таблиця 1'!$B:$B,$A417,'Таблиця 1'!$I:$I,"Mi-24",'Таблиця 1'!$L:$L,"НЕ уражено"))</f>
        <v/>
      </c>
    </row>
    <row r="418">
      <c r="A418" s="273">
        <f>IF(A417="","",IF(A417+1&gt;MAX('Таблиця 1'!$B:$B),"",A417+1))</f>
        <v/>
      </c>
      <c r="B418">
        <f>IF($A418="","",COUNTIFS('Таблиця 1'!$B:$B,$A418,'Таблиця 1'!$I:$I,"Mi-8")+COUNTIFS('Таблиця 1'!$B:$B,$A418,'Таблиця 1'!$I:$I,"Mi-24"))</f>
        <v/>
      </c>
      <c r="C418">
        <f>IF($A418="","",COUNTIFS('Таблиця 1'!$B:$B,$A418,'Таблиця 1'!$I:$I,"Mi-8"))</f>
        <v/>
      </c>
      <c r="D418">
        <f>IF($A418="","",COUNTIFS('Таблиця 1'!$B:$B,$A418,'Таблиця 1'!$I:$I,"Mi-24"))</f>
        <v/>
      </c>
      <c r="E418">
        <f>IF($A418="","",SUMIFS('Таблиця 1'!$K:$K,'Таблиця 1'!$B:$B,$A418,'Таблиця 1'!$I:$I,"Mi-8",'Таблиця 1'!$J:$J,"ARS-8")+SUMIFS('Таблиця 1'!$K:$K,'Таблиця 1'!$B:$B,$A418,'Таблиця 1'!$I:$I,"Mi-24",'Таблиця 1'!$J:$J,"ARS-8"))</f>
        <v/>
      </c>
      <c r="F418">
        <f>IF($A418="","",SUMIFS('Таблиця 1'!$K:$K,'Таблиця 1'!$B:$B,$A418,'Таблиця 1'!$I:$I,"Mi-8",'Таблиця 1'!$J:$J,"С-8 ком")+SUMIFS('Таблиця 1'!$K:$K,'Таблиця 1'!$B:$B,$A418,'Таблиця 1'!$I:$I,"Mi-24",'Таблиця 1'!$J:$J,"С-8 ком"))</f>
        <v/>
      </c>
      <c r="G418">
        <f>IF($A418="","",SUMIFS('Таблиця 1'!$K:$K,'Таблиця 1'!$B:$B,$A418,'Таблиця 1'!$I:$I,"Mi-8",'Таблиця 1'!$J:$J,"PC-80")+SUMIFS('Таблиця 1'!$K:$K,'Таблиця 1'!$B:$B,$A418,'Таблиця 1'!$I:$I,"Mi-24",'Таблиця 1'!$J:$J,"PC-80"))</f>
        <v/>
      </c>
      <c r="H418">
        <f>IF($A418="","",SUMIFS('Таблиця 1'!$K:$K,'Таблиця 1'!$B:$B,$A418,'Таблиця 1'!$I:$I,"Mi-8",'Таблиця 1'!$J:$J,"UAR-80")+SUMIFS('Таблиця 1'!$K:$K,'Таблиця 1'!$B:$B,$A418,'Таблиця 1'!$I:$I,"Mi-24",'Таблиця 1'!$J:$J,"UAR-80"))</f>
        <v/>
      </c>
      <c r="I418">
        <f>IF($A418="","",SUMIFS('Таблиця 1'!$K:$K,'Таблиця 1'!$B:$B,$A418,'Таблиця 1'!$I:$I,"Mi-8",'Таблиця 1'!$J:$J,"C-13")+SUMIFS('Таблиця 1'!$K:$K,'Таблиця 1'!$B:$B,$A418,'Таблиця 1'!$I:$I,"Mi-24",'Таблиця 1'!$J:$J,"C-13"))</f>
        <v/>
      </c>
      <c r="J418">
        <f>IF($A418="","",SUMIFS('Таблиця 1'!$K:$K,'Таблиця 1'!$B:$B,$A418,'Таблиця 1'!$I:$I,"Mi-8",'Таблиця 1'!$J:$J,"Hydra-70")+SUMIFS('Таблиця 1'!$K:$K,'Таблиця 1'!$B:$B,$A418,'Таблиця 1'!$I:$I,"Mi-24",'Таблиця 1'!$J:$J,"Hydra-70"))</f>
        <v/>
      </c>
      <c r="K418">
        <f>IF($A418="","",SUMIFS('Таблиця 1'!$K:$K,'Таблиця 1'!$B:$B,$A418,'Таблиця 1'!$I:$I,"Mi-8",'Таблиця 1'!$J:$J,"Thales-70")+SUMIFS('Таблиця 1'!$K:$K,'Таблиця 1'!$B:$B,$A418,'Таблиця 1'!$I:$I,"Mi-24",'Таблиця 1'!$J:$J,"Thales-70"))</f>
        <v/>
      </c>
      <c r="L418">
        <f>IF($A418="","",SUMIFS('Таблиця 1'!$K:$K,'Таблиця 1'!$B:$B,$A418,'Таблиця 1'!$I:$I,"Mi-8",'Таблиця 1'!$J:$J,"Thales-FZ")+SUMIFS('Таблиця 1'!$K:$K,'Таблиця 1'!$B:$B,$A418,'Таблиця 1'!$I:$I,"Mi-24",'Таблиця 1'!$J:$J,"Thales-FZ"))</f>
        <v/>
      </c>
      <c r="M418">
        <f>IF($A418="","",SUMIFS('Таблиця 1'!$K:$K,'Таблиця 1'!$B:$B,$A418,'Таблиця 1'!$I:$I,"Mi-8",'Таблиця 1'!$J:$J,"МК-40")+SUMIFS('Таблиця 1'!$K:$K,'Таблиця 1'!$B:$B,$A418,'Таблиця 1'!$I:$I,"Mi-24",'Таблиця 1'!$J:$J,"МК-40"))</f>
        <v/>
      </c>
      <c r="N418">
        <f>IF($A418="","",SUMIFS('Таблиця 1'!$K:$K,'Таблиця 1'!$B:$B,$A418,'Таблиця 1'!$I:$I,"Mi-8",'Таблиця 1'!$J:$J,"Zuni")+SUMIFS('Таблиця 1'!$K:$K,'Таблиця 1'!$B:$B,$A418,'Таблиця 1'!$I:$I,"Mi-24",'Таблиця 1'!$J:$J,"Zuni"))</f>
        <v/>
      </c>
      <c r="O418">
        <f>IF($A418="","",COUNTIFS('Таблиця 1'!$B:$B,$A418,'Таблиця 1'!$I:$I,"Mi-8",'Таблиця 1'!$L:$L,"Уражено")+COUNTIFS('Таблиця 1'!$B:$B,$A418,'Таблиця 1'!$I:$I,"Mi-24",'Таблиця 1'!$L:$L,"Уражено"))</f>
        <v/>
      </c>
      <c r="P418">
        <f>IF($A418="","",COUNTIFS('Таблиця 1'!$B:$B,$A418,'Таблиця 1'!$I:$I,"Mi-8",'Таблиця 1'!$L:$L,"НЕ уражено")+COUNTIFS('Таблиця 1'!$B:$B,$A418,'Таблиця 1'!$I:$I,"Mi-24",'Таблиця 1'!$L:$L,"НЕ уражено"))</f>
        <v/>
      </c>
    </row>
    <row r="419">
      <c r="A419" s="273">
        <f>IF(A418="","",IF(A418+1&gt;MAX('Таблиця 1'!$B:$B),"",A418+1))</f>
        <v/>
      </c>
      <c r="B419">
        <f>IF($A419="","",COUNTIFS('Таблиця 1'!$B:$B,$A419,'Таблиця 1'!$I:$I,"Mi-8")+COUNTIFS('Таблиця 1'!$B:$B,$A419,'Таблиця 1'!$I:$I,"Mi-24"))</f>
        <v/>
      </c>
      <c r="C419">
        <f>IF($A419="","",COUNTIFS('Таблиця 1'!$B:$B,$A419,'Таблиця 1'!$I:$I,"Mi-8"))</f>
        <v/>
      </c>
      <c r="D419">
        <f>IF($A419="","",COUNTIFS('Таблиця 1'!$B:$B,$A419,'Таблиця 1'!$I:$I,"Mi-24"))</f>
        <v/>
      </c>
      <c r="E419">
        <f>IF($A419="","",SUMIFS('Таблиця 1'!$K:$K,'Таблиця 1'!$B:$B,$A419,'Таблиця 1'!$I:$I,"Mi-8",'Таблиця 1'!$J:$J,"ARS-8")+SUMIFS('Таблиця 1'!$K:$K,'Таблиця 1'!$B:$B,$A419,'Таблиця 1'!$I:$I,"Mi-24",'Таблиця 1'!$J:$J,"ARS-8"))</f>
        <v/>
      </c>
      <c r="F419">
        <f>IF($A419="","",SUMIFS('Таблиця 1'!$K:$K,'Таблиця 1'!$B:$B,$A419,'Таблиця 1'!$I:$I,"Mi-8",'Таблиця 1'!$J:$J,"С-8 ком")+SUMIFS('Таблиця 1'!$K:$K,'Таблиця 1'!$B:$B,$A419,'Таблиця 1'!$I:$I,"Mi-24",'Таблиця 1'!$J:$J,"С-8 ком"))</f>
        <v/>
      </c>
      <c r="G419">
        <f>IF($A419="","",SUMIFS('Таблиця 1'!$K:$K,'Таблиця 1'!$B:$B,$A419,'Таблиця 1'!$I:$I,"Mi-8",'Таблиця 1'!$J:$J,"PC-80")+SUMIFS('Таблиця 1'!$K:$K,'Таблиця 1'!$B:$B,$A419,'Таблиця 1'!$I:$I,"Mi-24",'Таблиця 1'!$J:$J,"PC-80"))</f>
        <v/>
      </c>
      <c r="H419">
        <f>IF($A419="","",SUMIFS('Таблиця 1'!$K:$K,'Таблиця 1'!$B:$B,$A419,'Таблиця 1'!$I:$I,"Mi-8",'Таблиця 1'!$J:$J,"UAR-80")+SUMIFS('Таблиця 1'!$K:$K,'Таблиця 1'!$B:$B,$A419,'Таблиця 1'!$I:$I,"Mi-24",'Таблиця 1'!$J:$J,"UAR-80"))</f>
        <v/>
      </c>
      <c r="I419">
        <f>IF($A419="","",SUMIFS('Таблиця 1'!$K:$K,'Таблиця 1'!$B:$B,$A419,'Таблиця 1'!$I:$I,"Mi-8",'Таблиця 1'!$J:$J,"C-13")+SUMIFS('Таблиця 1'!$K:$K,'Таблиця 1'!$B:$B,$A419,'Таблиця 1'!$I:$I,"Mi-24",'Таблиця 1'!$J:$J,"C-13"))</f>
        <v/>
      </c>
      <c r="J419">
        <f>IF($A419="","",SUMIFS('Таблиця 1'!$K:$K,'Таблиця 1'!$B:$B,$A419,'Таблиця 1'!$I:$I,"Mi-8",'Таблиця 1'!$J:$J,"Hydra-70")+SUMIFS('Таблиця 1'!$K:$K,'Таблиця 1'!$B:$B,$A419,'Таблиця 1'!$I:$I,"Mi-24",'Таблиця 1'!$J:$J,"Hydra-70"))</f>
        <v/>
      </c>
      <c r="K419">
        <f>IF($A419="","",SUMIFS('Таблиця 1'!$K:$K,'Таблиця 1'!$B:$B,$A419,'Таблиця 1'!$I:$I,"Mi-8",'Таблиця 1'!$J:$J,"Thales-70")+SUMIFS('Таблиця 1'!$K:$K,'Таблиця 1'!$B:$B,$A419,'Таблиця 1'!$I:$I,"Mi-24",'Таблиця 1'!$J:$J,"Thales-70"))</f>
        <v/>
      </c>
      <c r="L419">
        <f>IF($A419="","",SUMIFS('Таблиця 1'!$K:$K,'Таблиця 1'!$B:$B,$A419,'Таблиця 1'!$I:$I,"Mi-8",'Таблиця 1'!$J:$J,"Thales-FZ")+SUMIFS('Таблиця 1'!$K:$K,'Таблиця 1'!$B:$B,$A419,'Таблиця 1'!$I:$I,"Mi-24",'Таблиця 1'!$J:$J,"Thales-FZ"))</f>
        <v/>
      </c>
      <c r="M419">
        <f>IF($A419="","",SUMIFS('Таблиця 1'!$K:$K,'Таблиця 1'!$B:$B,$A419,'Таблиця 1'!$I:$I,"Mi-8",'Таблиця 1'!$J:$J,"МК-40")+SUMIFS('Таблиця 1'!$K:$K,'Таблиця 1'!$B:$B,$A419,'Таблиця 1'!$I:$I,"Mi-24",'Таблиця 1'!$J:$J,"МК-40"))</f>
        <v/>
      </c>
      <c r="N419">
        <f>IF($A419="","",SUMIFS('Таблиця 1'!$K:$K,'Таблиця 1'!$B:$B,$A419,'Таблиця 1'!$I:$I,"Mi-8",'Таблиця 1'!$J:$J,"Zuni")+SUMIFS('Таблиця 1'!$K:$K,'Таблиця 1'!$B:$B,$A419,'Таблиця 1'!$I:$I,"Mi-24",'Таблиця 1'!$J:$J,"Zuni"))</f>
        <v/>
      </c>
      <c r="O419">
        <f>IF($A419="","",COUNTIFS('Таблиця 1'!$B:$B,$A419,'Таблиця 1'!$I:$I,"Mi-8",'Таблиця 1'!$L:$L,"Уражено")+COUNTIFS('Таблиця 1'!$B:$B,$A419,'Таблиця 1'!$I:$I,"Mi-24",'Таблиця 1'!$L:$L,"Уражено"))</f>
        <v/>
      </c>
      <c r="P419">
        <f>IF($A419="","",COUNTIFS('Таблиця 1'!$B:$B,$A419,'Таблиця 1'!$I:$I,"Mi-8",'Таблиця 1'!$L:$L,"НЕ уражено")+COUNTIFS('Таблиця 1'!$B:$B,$A419,'Таблиця 1'!$I:$I,"Mi-24",'Таблиця 1'!$L:$L,"НЕ уражено"))</f>
        <v/>
      </c>
    </row>
    <row r="420">
      <c r="A420" s="273">
        <f>IF(A419="","",IF(A419+1&gt;MAX('Таблиця 1'!$B:$B),"",A419+1))</f>
        <v/>
      </c>
      <c r="B420">
        <f>IF($A420="","",COUNTIFS('Таблиця 1'!$B:$B,$A420,'Таблиця 1'!$I:$I,"Mi-8")+COUNTIFS('Таблиця 1'!$B:$B,$A420,'Таблиця 1'!$I:$I,"Mi-24"))</f>
        <v/>
      </c>
      <c r="C420">
        <f>IF($A420="","",COUNTIFS('Таблиця 1'!$B:$B,$A420,'Таблиця 1'!$I:$I,"Mi-8"))</f>
        <v/>
      </c>
      <c r="D420">
        <f>IF($A420="","",COUNTIFS('Таблиця 1'!$B:$B,$A420,'Таблиця 1'!$I:$I,"Mi-24"))</f>
        <v/>
      </c>
      <c r="E420">
        <f>IF($A420="","",SUMIFS('Таблиця 1'!$K:$K,'Таблиця 1'!$B:$B,$A420,'Таблиця 1'!$I:$I,"Mi-8",'Таблиця 1'!$J:$J,"ARS-8")+SUMIFS('Таблиця 1'!$K:$K,'Таблиця 1'!$B:$B,$A420,'Таблиця 1'!$I:$I,"Mi-24",'Таблиця 1'!$J:$J,"ARS-8"))</f>
        <v/>
      </c>
      <c r="F420">
        <f>IF($A420="","",SUMIFS('Таблиця 1'!$K:$K,'Таблиця 1'!$B:$B,$A420,'Таблиця 1'!$I:$I,"Mi-8",'Таблиця 1'!$J:$J,"С-8 ком")+SUMIFS('Таблиця 1'!$K:$K,'Таблиця 1'!$B:$B,$A420,'Таблиця 1'!$I:$I,"Mi-24",'Таблиця 1'!$J:$J,"С-8 ком"))</f>
        <v/>
      </c>
      <c r="G420">
        <f>IF($A420="","",SUMIFS('Таблиця 1'!$K:$K,'Таблиця 1'!$B:$B,$A420,'Таблиця 1'!$I:$I,"Mi-8",'Таблиця 1'!$J:$J,"PC-80")+SUMIFS('Таблиця 1'!$K:$K,'Таблиця 1'!$B:$B,$A420,'Таблиця 1'!$I:$I,"Mi-24",'Таблиця 1'!$J:$J,"PC-80"))</f>
        <v/>
      </c>
      <c r="H420">
        <f>IF($A420="","",SUMIFS('Таблиця 1'!$K:$K,'Таблиця 1'!$B:$B,$A420,'Таблиця 1'!$I:$I,"Mi-8",'Таблиця 1'!$J:$J,"UAR-80")+SUMIFS('Таблиця 1'!$K:$K,'Таблиця 1'!$B:$B,$A420,'Таблиця 1'!$I:$I,"Mi-24",'Таблиця 1'!$J:$J,"UAR-80"))</f>
        <v/>
      </c>
      <c r="I420">
        <f>IF($A420="","",SUMIFS('Таблиця 1'!$K:$K,'Таблиця 1'!$B:$B,$A420,'Таблиця 1'!$I:$I,"Mi-8",'Таблиця 1'!$J:$J,"C-13")+SUMIFS('Таблиця 1'!$K:$K,'Таблиця 1'!$B:$B,$A420,'Таблиця 1'!$I:$I,"Mi-24",'Таблиця 1'!$J:$J,"C-13"))</f>
        <v/>
      </c>
      <c r="J420">
        <f>IF($A420="","",SUMIFS('Таблиця 1'!$K:$K,'Таблиця 1'!$B:$B,$A420,'Таблиця 1'!$I:$I,"Mi-8",'Таблиця 1'!$J:$J,"Hydra-70")+SUMIFS('Таблиця 1'!$K:$K,'Таблиця 1'!$B:$B,$A420,'Таблиця 1'!$I:$I,"Mi-24",'Таблиця 1'!$J:$J,"Hydra-70"))</f>
        <v/>
      </c>
      <c r="K420">
        <f>IF($A420="","",SUMIFS('Таблиця 1'!$K:$K,'Таблиця 1'!$B:$B,$A420,'Таблиця 1'!$I:$I,"Mi-8",'Таблиця 1'!$J:$J,"Thales-70")+SUMIFS('Таблиця 1'!$K:$K,'Таблиця 1'!$B:$B,$A420,'Таблиця 1'!$I:$I,"Mi-24",'Таблиця 1'!$J:$J,"Thales-70"))</f>
        <v/>
      </c>
      <c r="L420">
        <f>IF($A420="","",SUMIFS('Таблиця 1'!$K:$K,'Таблиця 1'!$B:$B,$A420,'Таблиця 1'!$I:$I,"Mi-8",'Таблиця 1'!$J:$J,"Thales-FZ")+SUMIFS('Таблиця 1'!$K:$K,'Таблиця 1'!$B:$B,$A420,'Таблиця 1'!$I:$I,"Mi-24",'Таблиця 1'!$J:$J,"Thales-FZ"))</f>
        <v/>
      </c>
      <c r="M420">
        <f>IF($A420="","",SUMIFS('Таблиця 1'!$K:$K,'Таблиця 1'!$B:$B,$A420,'Таблиця 1'!$I:$I,"Mi-8",'Таблиця 1'!$J:$J,"МК-40")+SUMIFS('Таблиця 1'!$K:$K,'Таблиця 1'!$B:$B,$A420,'Таблиця 1'!$I:$I,"Mi-24",'Таблиця 1'!$J:$J,"МК-40"))</f>
        <v/>
      </c>
      <c r="N420">
        <f>IF($A420="","",SUMIFS('Таблиця 1'!$K:$K,'Таблиця 1'!$B:$B,$A420,'Таблиця 1'!$I:$I,"Mi-8",'Таблиця 1'!$J:$J,"Zuni")+SUMIFS('Таблиця 1'!$K:$K,'Таблиця 1'!$B:$B,$A420,'Таблиця 1'!$I:$I,"Mi-24",'Таблиця 1'!$J:$J,"Zuni"))</f>
        <v/>
      </c>
      <c r="O420">
        <f>IF($A420="","",COUNTIFS('Таблиця 1'!$B:$B,$A420,'Таблиця 1'!$I:$I,"Mi-8",'Таблиця 1'!$L:$L,"Уражено")+COUNTIFS('Таблиця 1'!$B:$B,$A420,'Таблиця 1'!$I:$I,"Mi-24",'Таблиця 1'!$L:$L,"Уражено"))</f>
        <v/>
      </c>
      <c r="P420">
        <f>IF($A420="","",COUNTIFS('Таблиця 1'!$B:$B,$A420,'Таблиця 1'!$I:$I,"Mi-8",'Таблиця 1'!$L:$L,"НЕ уражено")+COUNTIFS('Таблиця 1'!$B:$B,$A420,'Таблиця 1'!$I:$I,"Mi-24",'Таблиця 1'!$L:$L,"НЕ уражено"))</f>
        <v/>
      </c>
    </row>
    <row r="421">
      <c r="A421" s="273">
        <f>IF(A420="","",IF(A420+1&gt;MAX('Таблиця 1'!$B:$B),"",A420+1))</f>
        <v/>
      </c>
      <c r="B421">
        <f>IF($A421="","",COUNTIFS('Таблиця 1'!$B:$B,$A421,'Таблиця 1'!$I:$I,"Mi-8")+COUNTIFS('Таблиця 1'!$B:$B,$A421,'Таблиця 1'!$I:$I,"Mi-24"))</f>
        <v/>
      </c>
      <c r="C421">
        <f>IF($A421="","",COUNTIFS('Таблиця 1'!$B:$B,$A421,'Таблиця 1'!$I:$I,"Mi-8"))</f>
        <v/>
      </c>
      <c r="D421">
        <f>IF($A421="","",COUNTIFS('Таблиця 1'!$B:$B,$A421,'Таблиця 1'!$I:$I,"Mi-24"))</f>
        <v/>
      </c>
      <c r="E421">
        <f>IF($A421="","",SUMIFS('Таблиця 1'!$K:$K,'Таблиця 1'!$B:$B,$A421,'Таблиця 1'!$I:$I,"Mi-8",'Таблиця 1'!$J:$J,"ARS-8")+SUMIFS('Таблиця 1'!$K:$K,'Таблиця 1'!$B:$B,$A421,'Таблиця 1'!$I:$I,"Mi-24",'Таблиця 1'!$J:$J,"ARS-8"))</f>
        <v/>
      </c>
      <c r="F421">
        <f>IF($A421="","",SUMIFS('Таблиця 1'!$K:$K,'Таблиця 1'!$B:$B,$A421,'Таблиця 1'!$I:$I,"Mi-8",'Таблиця 1'!$J:$J,"С-8 ком")+SUMIFS('Таблиця 1'!$K:$K,'Таблиця 1'!$B:$B,$A421,'Таблиця 1'!$I:$I,"Mi-24",'Таблиця 1'!$J:$J,"С-8 ком"))</f>
        <v/>
      </c>
      <c r="G421">
        <f>IF($A421="","",SUMIFS('Таблиця 1'!$K:$K,'Таблиця 1'!$B:$B,$A421,'Таблиця 1'!$I:$I,"Mi-8",'Таблиця 1'!$J:$J,"PC-80")+SUMIFS('Таблиця 1'!$K:$K,'Таблиця 1'!$B:$B,$A421,'Таблиця 1'!$I:$I,"Mi-24",'Таблиця 1'!$J:$J,"PC-80"))</f>
        <v/>
      </c>
      <c r="H421">
        <f>IF($A421="","",SUMIFS('Таблиця 1'!$K:$K,'Таблиця 1'!$B:$B,$A421,'Таблиця 1'!$I:$I,"Mi-8",'Таблиця 1'!$J:$J,"UAR-80")+SUMIFS('Таблиця 1'!$K:$K,'Таблиця 1'!$B:$B,$A421,'Таблиця 1'!$I:$I,"Mi-24",'Таблиця 1'!$J:$J,"UAR-80"))</f>
        <v/>
      </c>
      <c r="I421">
        <f>IF($A421="","",SUMIFS('Таблиця 1'!$K:$K,'Таблиця 1'!$B:$B,$A421,'Таблиця 1'!$I:$I,"Mi-8",'Таблиця 1'!$J:$J,"C-13")+SUMIFS('Таблиця 1'!$K:$K,'Таблиця 1'!$B:$B,$A421,'Таблиця 1'!$I:$I,"Mi-24",'Таблиця 1'!$J:$J,"C-13"))</f>
        <v/>
      </c>
      <c r="J421">
        <f>IF($A421="","",SUMIFS('Таблиця 1'!$K:$K,'Таблиця 1'!$B:$B,$A421,'Таблиця 1'!$I:$I,"Mi-8",'Таблиця 1'!$J:$J,"Hydra-70")+SUMIFS('Таблиця 1'!$K:$K,'Таблиця 1'!$B:$B,$A421,'Таблиця 1'!$I:$I,"Mi-24",'Таблиця 1'!$J:$J,"Hydra-70"))</f>
        <v/>
      </c>
      <c r="K421">
        <f>IF($A421="","",SUMIFS('Таблиця 1'!$K:$K,'Таблиця 1'!$B:$B,$A421,'Таблиця 1'!$I:$I,"Mi-8",'Таблиця 1'!$J:$J,"Thales-70")+SUMIFS('Таблиця 1'!$K:$K,'Таблиця 1'!$B:$B,$A421,'Таблиця 1'!$I:$I,"Mi-24",'Таблиця 1'!$J:$J,"Thales-70"))</f>
        <v/>
      </c>
      <c r="L421">
        <f>IF($A421="","",SUMIFS('Таблиця 1'!$K:$K,'Таблиця 1'!$B:$B,$A421,'Таблиця 1'!$I:$I,"Mi-8",'Таблиця 1'!$J:$J,"Thales-FZ")+SUMIFS('Таблиця 1'!$K:$K,'Таблиця 1'!$B:$B,$A421,'Таблиця 1'!$I:$I,"Mi-24",'Таблиця 1'!$J:$J,"Thales-FZ"))</f>
        <v/>
      </c>
      <c r="M421">
        <f>IF($A421="","",SUMIFS('Таблиця 1'!$K:$K,'Таблиця 1'!$B:$B,$A421,'Таблиця 1'!$I:$I,"Mi-8",'Таблиця 1'!$J:$J,"МК-40")+SUMIFS('Таблиця 1'!$K:$K,'Таблиця 1'!$B:$B,$A421,'Таблиця 1'!$I:$I,"Mi-24",'Таблиця 1'!$J:$J,"МК-40"))</f>
        <v/>
      </c>
      <c r="N421">
        <f>IF($A421="","",SUMIFS('Таблиця 1'!$K:$K,'Таблиця 1'!$B:$B,$A421,'Таблиця 1'!$I:$I,"Mi-8",'Таблиця 1'!$J:$J,"Zuni")+SUMIFS('Таблиця 1'!$K:$K,'Таблиця 1'!$B:$B,$A421,'Таблиця 1'!$I:$I,"Mi-24",'Таблиця 1'!$J:$J,"Zuni"))</f>
        <v/>
      </c>
      <c r="O421">
        <f>IF($A421="","",COUNTIFS('Таблиця 1'!$B:$B,$A421,'Таблиця 1'!$I:$I,"Mi-8",'Таблиця 1'!$L:$L,"Уражено")+COUNTIFS('Таблиця 1'!$B:$B,$A421,'Таблиця 1'!$I:$I,"Mi-24",'Таблиця 1'!$L:$L,"Уражено"))</f>
        <v/>
      </c>
      <c r="P421">
        <f>IF($A421="","",COUNTIFS('Таблиця 1'!$B:$B,$A421,'Таблиця 1'!$I:$I,"Mi-8",'Таблиця 1'!$L:$L,"НЕ уражено")+COUNTIFS('Таблиця 1'!$B:$B,$A421,'Таблиця 1'!$I:$I,"Mi-24",'Таблиця 1'!$L:$L,"НЕ уражено"))</f>
        <v/>
      </c>
    </row>
    <row r="422">
      <c r="A422" s="273">
        <f>IF(A421="","",IF(A421+1&gt;MAX('Таблиця 1'!$B:$B),"",A421+1))</f>
        <v/>
      </c>
      <c r="B422">
        <f>IF($A422="","",COUNTIFS('Таблиця 1'!$B:$B,$A422,'Таблиця 1'!$I:$I,"Mi-8")+COUNTIFS('Таблиця 1'!$B:$B,$A422,'Таблиця 1'!$I:$I,"Mi-24"))</f>
        <v/>
      </c>
      <c r="C422">
        <f>IF($A422="","",COUNTIFS('Таблиця 1'!$B:$B,$A422,'Таблиця 1'!$I:$I,"Mi-8"))</f>
        <v/>
      </c>
      <c r="D422">
        <f>IF($A422="","",COUNTIFS('Таблиця 1'!$B:$B,$A422,'Таблиця 1'!$I:$I,"Mi-24"))</f>
        <v/>
      </c>
      <c r="E422">
        <f>IF($A422="","",SUMIFS('Таблиця 1'!$K:$K,'Таблиця 1'!$B:$B,$A422,'Таблиця 1'!$I:$I,"Mi-8",'Таблиця 1'!$J:$J,"ARS-8")+SUMIFS('Таблиця 1'!$K:$K,'Таблиця 1'!$B:$B,$A422,'Таблиця 1'!$I:$I,"Mi-24",'Таблиця 1'!$J:$J,"ARS-8"))</f>
        <v/>
      </c>
      <c r="F422">
        <f>IF($A422="","",SUMIFS('Таблиця 1'!$K:$K,'Таблиця 1'!$B:$B,$A422,'Таблиця 1'!$I:$I,"Mi-8",'Таблиця 1'!$J:$J,"С-8 ком")+SUMIFS('Таблиця 1'!$K:$K,'Таблиця 1'!$B:$B,$A422,'Таблиця 1'!$I:$I,"Mi-24",'Таблиця 1'!$J:$J,"С-8 ком"))</f>
        <v/>
      </c>
      <c r="G422">
        <f>IF($A422="","",SUMIFS('Таблиця 1'!$K:$K,'Таблиця 1'!$B:$B,$A422,'Таблиця 1'!$I:$I,"Mi-8",'Таблиця 1'!$J:$J,"PC-80")+SUMIFS('Таблиця 1'!$K:$K,'Таблиця 1'!$B:$B,$A422,'Таблиця 1'!$I:$I,"Mi-24",'Таблиця 1'!$J:$J,"PC-80"))</f>
        <v/>
      </c>
      <c r="H422">
        <f>IF($A422="","",SUMIFS('Таблиця 1'!$K:$K,'Таблиця 1'!$B:$B,$A422,'Таблиця 1'!$I:$I,"Mi-8",'Таблиця 1'!$J:$J,"UAR-80")+SUMIFS('Таблиця 1'!$K:$K,'Таблиця 1'!$B:$B,$A422,'Таблиця 1'!$I:$I,"Mi-24",'Таблиця 1'!$J:$J,"UAR-80"))</f>
        <v/>
      </c>
      <c r="I422">
        <f>IF($A422="","",SUMIFS('Таблиця 1'!$K:$K,'Таблиця 1'!$B:$B,$A422,'Таблиця 1'!$I:$I,"Mi-8",'Таблиця 1'!$J:$J,"C-13")+SUMIFS('Таблиця 1'!$K:$K,'Таблиця 1'!$B:$B,$A422,'Таблиця 1'!$I:$I,"Mi-24",'Таблиця 1'!$J:$J,"C-13"))</f>
        <v/>
      </c>
      <c r="J422">
        <f>IF($A422="","",SUMIFS('Таблиця 1'!$K:$K,'Таблиця 1'!$B:$B,$A422,'Таблиця 1'!$I:$I,"Mi-8",'Таблиця 1'!$J:$J,"Hydra-70")+SUMIFS('Таблиця 1'!$K:$K,'Таблиця 1'!$B:$B,$A422,'Таблиця 1'!$I:$I,"Mi-24",'Таблиця 1'!$J:$J,"Hydra-70"))</f>
        <v/>
      </c>
      <c r="K422">
        <f>IF($A422="","",SUMIFS('Таблиця 1'!$K:$K,'Таблиця 1'!$B:$B,$A422,'Таблиця 1'!$I:$I,"Mi-8",'Таблиця 1'!$J:$J,"Thales-70")+SUMIFS('Таблиця 1'!$K:$K,'Таблиця 1'!$B:$B,$A422,'Таблиця 1'!$I:$I,"Mi-24",'Таблиця 1'!$J:$J,"Thales-70"))</f>
        <v/>
      </c>
      <c r="L422">
        <f>IF($A422="","",SUMIFS('Таблиця 1'!$K:$K,'Таблиця 1'!$B:$B,$A422,'Таблиця 1'!$I:$I,"Mi-8",'Таблиця 1'!$J:$J,"Thales-FZ")+SUMIFS('Таблиця 1'!$K:$K,'Таблиця 1'!$B:$B,$A422,'Таблиця 1'!$I:$I,"Mi-24",'Таблиця 1'!$J:$J,"Thales-FZ"))</f>
        <v/>
      </c>
      <c r="M422">
        <f>IF($A422="","",SUMIFS('Таблиця 1'!$K:$K,'Таблиця 1'!$B:$B,$A422,'Таблиця 1'!$I:$I,"Mi-8",'Таблиця 1'!$J:$J,"МК-40")+SUMIFS('Таблиця 1'!$K:$K,'Таблиця 1'!$B:$B,$A422,'Таблиця 1'!$I:$I,"Mi-24",'Таблиця 1'!$J:$J,"МК-40"))</f>
        <v/>
      </c>
      <c r="N422">
        <f>IF($A422="","",SUMIFS('Таблиця 1'!$K:$K,'Таблиця 1'!$B:$B,$A422,'Таблиця 1'!$I:$I,"Mi-8",'Таблиця 1'!$J:$J,"Zuni")+SUMIFS('Таблиця 1'!$K:$K,'Таблиця 1'!$B:$B,$A422,'Таблиця 1'!$I:$I,"Mi-24",'Таблиця 1'!$J:$J,"Zuni"))</f>
        <v/>
      </c>
      <c r="O422">
        <f>IF($A422="","",COUNTIFS('Таблиця 1'!$B:$B,$A422,'Таблиця 1'!$I:$I,"Mi-8",'Таблиця 1'!$L:$L,"Уражено")+COUNTIFS('Таблиця 1'!$B:$B,$A422,'Таблиця 1'!$I:$I,"Mi-24",'Таблиця 1'!$L:$L,"Уражено"))</f>
        <v/>
      </c>
      <c r="P422">
        <f>IF($A422="","",COUNTIFS('Таблиця 1'!$B:$B,$A422,'Таблиця 1'!$I:$I,"Mi-8",'Таблиця 1'!$L:$L,"НЕ уражено")+COUNTIFS('Таблиця 1'!$B:$B,$A422,'Таблиця 1'!$I:$I,"Mi-24",'Таблиця 1'!$L:$L,"НЕ уражено"))</f>
        <v/>
      </c>
    </row>
    <row r="423">
      <c r="A423" s="273">
        <f>IF(A422="","",IF(A422+1&gt;MAX('Таблиця 1'!$B:$B),"",A422+1))</f>
        <v/>
      </c>
      <c r="B423">
        <f>IF($A423="","",COUNTIFS('Таблиця 1'!$B:$B,$A423,'Таблиця 1'!$I:$I,"Mi-8")+COUNTIFS('Таблиця 1'!$B:$B,$A423,'Таблиця 1'!$I:$I,"Mi-24"))</f>
        <v/>
      </c>
      <c r="C423">
        <f>IF($A423="","",COUNTIFS('Таблиця 1'!$B:$B,$A423,'Таблиця 1'!$I:$I,"Mi-8"))</f>
        <v/>
      </c>
      <c r="D423">
        <f>IF($A423="","",COUNTIFS('Таблиця 1'!$B:$B,$A423,'Таблиця 1'!$I:$I,"Mi-24"))</f>
        <v/>
      </c>
      <c r="E423">
        <f>IF($A423="","",SUMIFS('Таблиця 1'!$K:$K,'Таблиця 1'!$B:$B,$A423,'Таблиця 1'!$I:$I,"Mi-8",'Таблиця 1'!$J:$J,"ARS-8")+SUMIFS('Таблиця 1'!$K:$K,'Таблиця 1'!$B:$B,$A423,'Таблиця 1'!$I:$I,"Mi-24",'Таблиця 1'!$J:$J,"ARS-8"))</f>
        <v/>
      </c>
      <c r="F423">
        <f>IF($A423="","",SUMIFS('Таблиця 1'!$K:$K,'Таблиця 1'!$B:$B,$A423,'Таблиця 1'!$I:$I,"Mi-8",'Таблиця 1'!$J:$J,"С-8 ком")+SUMIFS('Таблиця 1'!$K:$K,'Таблиця 1'!$B:$B,$A423,'Таблиця 1'!$I:$I,"Mi-24",'Таблиця 1'!$J:$J,"С-8 ком"))</f>
        <v/>
      </c>
      <c r="G423">
        <f>IF($A423="","",SUMIFS('Таблиця 1'!$K:$K,'Таблиця 1'!$B:$B,$A423,'Таблиця 1'!$I:$I,"Mi-8",'Таблиця 1'!$J:$J,"PC-80")+SUMIFS('Таблиця 1'!$K:$K,'Таблиця 1'!$B:$B,$A423,'Таблиця 1'!$I:$I,"Mi-24",'Таблиця 1'!$J:$J,"PC-80"))</f>
        <v/>
      </c>
      <c r="H423">
        <f>IF($A423="","",SUMIFS('Таблиця 1'!$K:$K,'Таблиця 1'!$B:$B,$A423,'Таблиця 1'!$I:$I,"Mi-8",'Таблиця 1'!$J:$J,"UAR-80")+SUMIFS('Таблиця 1'!$K:$K,'Таблиця 1'!$B:$B,$A423,'Таблиця 1'!$I:$I,"Mi-24",'Таблиця 1'!$J:$J,"UAR-80"))</f>
        <v/>
      </c>
      <c r="I423">
        <f>IF($A423="","",SUMIFS('Таблиця 1'!$K:$K,'Таблиця 1'!$B:$B,$A423,'Таблиця 1'!$I:$I,"Mi-8",'Таблиця 1'!$J:$J,"C-13")+SUMIFS('Таблиця 1'!$K:$K,'Таблиця 1'!$B:$B,$A423,'Таблиця 1'!$I:$I,"Mi-24",'Таблиця 1'!$J:$J,"C-13"))</f>
        <v/>
      </c>
      <c r="J423">
        <f>IF($A423="","",SUMIFS('Таблиця 1'!$K:$K,'Таблиця 1'!$B:$B,$A423,'Таблиця 1'!$I:$I,"Mi-8",'Таблиця 1'!$J:$J,"Hydra-70")+SUMIFS('Таблиця 1'!$K:$K,'Таблиця 1'!$B:$B,$A423,'Таблиця 1'!$I:$I,"Mi-24",'Таблиця 1'!$J:$J,"Hydra-70"))</f>
        <v/>
      </c>
      <c r="K423">
        <f>IF($A423="","",SUMIFS('Таблиця 1'!$K:$K,'Таблиця 1'!$B:$B,$A423,'Таблиця 1'!$I:$I,"Mi-8",'Таблиця 1'!$J:$J,"Thales-70")+SUMIFS('Таблиця 1'!$K:$K,'Таблиця 1'!$B:$B,$A423,'Таблиця 1'!$I:$I,"Mi-24",'Таблиця 1'!$J:$J,"Thales-70"))</f>
        <v/>
      </c>
      <c r="L423">
        <f>IF($A423="","",SUMIFS('Таблиця 1'!$K:$K,'Таблиця 1'!$B:$B,$A423,'Таблиця 1'!$I:$I,"Mi-8",'Таблиця 1'!$J:$J,"Thales-FZ")+SUMIFS('Таблиця 1'!$K:$K,'Таблиця 1'!$B:$B,$A423,'Таблиця 1'!$I:$I,"Mi-24",'Таблиця 1'!$J:$J,"Thales-FZ"))</f>
        <v/>
      </c>
      <c r="M423">
        <f>IF($A423="","",SUMIFS('Таблиця 1'!$K:$K,'Таблиця 1'!$B:$B,$A423,'Таблиця 1'!$I:$I,"Mi-8",'Таблиця 1'!$J:$J,"МК-40")+SUMIFS('Таблиця 1'!$K:$K,'Таблиця 1'!$B:$B,$A423,'Таблиця 1'!$I:$I,"Mi-24",'Таблиця 1'!$J:$J,"МК-40"))</f>
        <v/>
      </c>
      <c r="N423">
        <f>IF($A423="","",SUMIFS('Таблиця 1'!$K:$K,'Таблиця 1'!$B:$B,$A423,'Таблиця 1'!$I:$I,"Mi-8",'Таблиця 1'!$J:$J,"Zuni")+SUMIFS('Таблиця 1'!$K:$K,'Таблиця 1'!$B:$B,$A423,'Таблиця 1'!$I:$I,"Mi-24",'Таблиця 1'!$J:$J,"Zuni"))</f>
        <v/>
      </c>
      <c r="O423">
        <f>IF($A423="","",COUNTIFS('Таблиця 1'!$B:$B,$A423,'Таблиця 1'!$I:$I,"Mi-8",'Таблиця 1'!$L:$L,"Уражено")+COUNTIFS('Таблиця 1'!$B:$B,$A423,'Таблиця 1'!$I:$I,"Mi-24",'Таблиця 1'!$L:$L,"Уражено"))</f>
        <v/>
      </c>
      <c r="P423">
        <f>IF($A423="","",COUNTIFS('Таблиця 1'!$B:$B,$A423,'Таблиця 1'!$I:$I,"Mi-8",'Таблиця 1'!$L:$L,"НЕ уражено")+COUNTIFS('Таблиця 1'!$B:$B,$A423,'Таблиця 1'!$I:$I,"Mi-24",'Таблиця 1'!$L:$L,"НЕ уражено"))</f>
        <v/>
      </c>
    </row>
    <row r="424">
      <c r="A424" s="273">
        <f>IF(A423="","",IF(A423+1&gt;MAX('Таблиця 1'!$B:$B),"",A423+1))</f>
        <v/>
      </c>
      <c r="B424">
        <f>IF($A424="","",COUNTIFS('Таблиця 1'!$B:$B,$A424,'Таблиця 1'!$I:$I,"Mi-8")+COUNTIFS('Таблиця 1'!$B:$B,$A424,'Таблиця 1'!$I:$I,"Mi-24"))</f>
        <v/>
      </c>
      <c r="C424">
        <f>IF($A424="","",COUNTIFS('Таблиця 1'!$B:$B,$A424,'Таблиця 1'!$I:$I,"Mi-8"))</f>
        <v/>
      </c>
      <c r="D424">
        <f>IF($A424="","",COUNTIFS('Таблиця 1'!$B:$B,$A424,'Таблиця 1'!$I:$I,"Mi-24"))</f>
        <v/>
      </c>
      <c r="E424">
        <f>IF($A424="","",SUMIFS('Таблиця 1'!$K:$K,'Таблиця 1'!$B:$B,$A424,'Таблиця 1'!$I:$I,"Mi-8",'Таблиця 1'!$J:$J,"ARS-8")+SUMIFS('Таблиця 1'!$K:$K,'Таблиця 1'!$B:$B,$A424,'Таблиця 1'!$I:$I,"Mi-24",'Таблиця 1'!$J:$J,"ARS-8"))</f>
        <v/>
      </c>
      <c r="F424">
        <f>IF($A424="","",SUMIFS('Таблиця 1'!$K:$K,'Таблиця 1'!$B:$B,$A424,'Таблиця 1'!$I:$I,"Mi-8",'Таблиця 1'!$J:$J,"С-8 ком")+SUMIFS('Таблиця 1'!$K:$K,'Таблиця 1'!$B:$B,$A424,'Таблиця 1'!$I:$I,"Mi-24",'Таблиця 1'!$J:$J,"С-8 ком"))</f>
        <v/>
      </c>
      <c r="G424">
        <f>IF($A424="","",SUMIFS('Таблиця 1'!$K:$K,'Таблиця 1'!$B:$B,$A424,'Таблиця 1'!$I:$I,"Mi-8",'Таблиця 1'!$J:$J,"PC-80")+SUMIFS('Таблиця 1'!$K:$K,'Таблиця 1'!$B:$B,$A424,'Таблиця 1'!$I:$I,"Mi-24",'Таблиця 1'!$J:$J,"PC-80"))</f>
        <v/>
      </c>
      <c r="H424">
        <f>IF($A424="","",SUMIFS('Таблиця 1'!$K:$K,'Таблиця 1'!$B:$B,$A424,'Таблиця 1'!$I:$I,"Mi-8",'Таблиця 1'!$J:$J,"UAR-80")+SUMIFS('Таблиця 1'!$K:$K,'Таблиця 1'!$B:$B,$A424,'Таблиця 1'!$I:$I,"Mi-24",'Таблиця 1'!$J:$J,"UAR-80"))</f>
        <v/>
      </c>
      <c r="I424">
        <f>IF($A424="","",SUMIFS('Таблиця 1'!$K:$K,'Таблиця 1'!$B:$B,$A424,'Таблиця 1'!$I:$I,"Mi-8",'Таблиця 1'!$J:$J,"C-13")+SUMIFS('Таблиця 1'!$K:$K,'Таблиця 1'!$B:$B,$A424,'Таблиця 1'!$I:$I,"Mi-24",'Таблиця 1'!$J:$J,"C-13"))</f>
        <v/>
      </c>
      <c r="J424">
        <f>IF($A424="","",SUMIFS('Таблиця 1'!$K:$K,'Таблиця 1'!$B:$B,$A424,'Таблиця 1'!$I:$I,"Mi-8",'Таблиця 1'!$J:$J,"Hydra-70")+SUMIFS('Таблиця 1'!$K:$K,'Таблиця 1'!$B:$B,$A424,'Таблиця 1'!$I:$I,"Mi-24",'Таблиця 1'!$J:$J,"Hydra-70"))</f>
        <v/>
      </c>
      <c r="K424">
        <f>IF($A424="","",SUMIFS('Таблиця 1'!$K:$K,'Таблиця 1'!$B:$B,$A424,'Таблиця 1'!$I:$I,"Mi-8",'Таблиця 1'!$J:$J,"Thales-70")+SUMIFS('Таблиця 1'!$K:$K,'Таблиця 1'!$B:$B,$A424,'Таблиця 1'!$I:$I,"Mi-24",'Таблиця 1'!$J:$J,"Thales-70"))</f>
        <v/>
      </c>
      <c r="L424">
        <f>IF($A424="","",SUMIFS('Таблиця 1'!$K:$K,'Таблиця 1'!$B:$B,$A424,'Таблиця 1'!$I:$I,"Mi-8",'Таблиця 1'!$J:$J,"Thales-FZ")+SUMIFS('Таблиця 1'!$K:$K,'Таблиця 1'!$B:$B,$A424,'Таблиця 1'!$I:$I,"Mi-24",'Таблиця 1'!$J:$J,"Thales-FZ"))</f>
        <v/>
      </c>
      <c r="M424">
        <f>IF($A424="","",SUMIFS('Таблиця 1'!$K:$K,'Таблиця 1'!$B:$B,$A424,'Таблиця 1'!$I:$I,"Mi-8",'Таблиця 1'!$J:$J,"МК-40")+SUMIFS('Таблиця 1'!$K:$K,'Таблиця 1'!$B:$B,$A424,'Таблиця 1'!$I:$I,"Mi-24",'Таблиця 1'!$J:$J,"МК-40"))</f>
        <v/>
      </c>
      <c r="N424">
        <f>IF($A424="","",SUMIFS('Таблиця 1'!$K:$K,'Таблиця 1'!$B:$B,$A424,'Таблиця 1'!$I:$I,"Mi-8",'Таблиця 1'!$J:$J,"Zuni")+SUMIFS('Таблиця 1'!$K:$K,'Таблиця 1'!$B:$B,$A424,'Таблиця 1'!$I:$I,"Mi-24",'Таблиця 1'!$J:$J,"Zuni"))</f>
        <v/>
      </c>
      <c r="O424">
        <f>IF($A424="","",COUNTIFS('Таблиця 1'!$B:$B,$A424,'Таблиця 1'!$I:$I,"Mi-8",'Таблиця 1'!$L:$L,"Уражено")+COUNTIFS('Таблиця 1'!$B:$B,$A424,'Таблиця 1'!$I:$I,"Mi-24",'Таблиця 1'!$L:$L,"Уражено"))</f>
        <v/>
      </c>
      <c r="P424">
        <f>IF($A424="","",COUNTIFS('Таблиця 1'!$B:$B,$A424,'Таблиця 1'!$I:$I,"Mi-8",'Таблиця 1'!$L:$L,"НЕ уражено")+COUNTIFS('Таблиця 1'!$B:$B,$A424,'Таблиця 1'!$I:$I,"Mi-24",'Таблиця 1'!$L:$L,"НЕ уражено"))</f>
        <v/>
      </c>
    </row>
    <row r="425">
      <c r="A425" s="273">
        <f>IF(A424="","",IF(A424+1&gt;MAX('Таблиця 1'!$B:$B),"",A424+1))</f>
        <v/>
      </c>
      <c r="B425">
        <f>IF($A425="","",COUNTIFS('Таблиця 1'!$B:$B,$A425,'Таблиця 1'!$I:$I,"Mi-8")+COUNTIFS('Таблиця 1'!$B:$B,$A425,'Таблиця 1'!$I:$I,"Mi-24"))</f>
        <v/>
      </c>
      <c r="C425">
        <f>IF($A425="","",COUNTIFS('Таблиця 1'!$B:$B,$A425,'Таблиця 1'!$I:$I,"Mi-8"))</f>
        <v/>
      </c>
      <c r="D425">
        <f>IF($A425="","",COUNTIFS('Таблиця 1'!$B:$B,$A425,'Таблиця 1'!$I:$I,"Mi-24"))</f>
        <v/>
      </c>
      <c r="E425">
        <f>IF($A425="","",SUMIFS('Таблиця 1'!$K:$K,'Таблиця 1'!$B:$B,$A425,'Таблиця 1'!$I:$I,"Mi-8",'Таблиця 1'!$J:$J,"ARS-8")+SUMIFS('Таблиця 1'!$K:$K,'Таблиця 1'!$B:$B,$A425,'Таблиця 1'!$I:$I,"Mi-24",'Таблиця 1'!$J:$J,"ARS-8"))</f>
        <v/>
      </c>
      <c r="F425">
        <f>IF($A425="","",SUMIFS('Таблиця 1'!$K:$K,'Таблиця 1'!$B:$B,$A425,'Таблиця 1'!$I:$I,"Mi-8",'Таблиця 1'!$J:$J,"С-8 ком")+SUMIFS('Таблиця 1'!$K:$K,'Таблиця 1'!$B:$B,$A425,'Таблиця 1'!$I:$I,"Mi-24",'Таблиця 1'!$J:$J,"С-8 ком"))</f>
        <v/>
      </c>
      <c r="G425">
        <f>IF($A425="","",SUMIFS('Таблиця 1'!$K:$K,'Таблиця 1'!$B:$B,$A425,'Таблиця 1'!$I:$I,"Mi-8",'Таблиця 1'!$J:$J,"PC-80")+SUMIFS('Таблиця 1'!$K:$K,'Таблиця 1'!$B:$B,$A425,'Таблиця 1'!$I:$I,"Mi-24",'Таблиця 1'!$J:$J,"PC-80"))</f>
        <v/>
      </c>
      <c r="H425">
        <f>IF($A425="","",SUMIFS('Таблиця 1'!$K:$K,'Таблиця 1'!$B:$B,$A425,'Таблиця 1'!$I:$I,"Mi-8",'Таблиця 1'!$J:$J,"UAR-80")+SUMIFS('Таблиця 1'!$K:$K,'Таблиця 1'!$B:$B,$A425,'Таблиця 1'!$I:$I,"Mi-24",'Таблиця 1'!$J:$J,"UAR-80"))</f>
        <v/>
      </c>
      <c r="I425">
        <f>IF($A425="","",SUMIFS('Таблиця 1'!$K:$K,'Таблиця 1'!$B:$B,$A425,'Таблиця 1'!$I:$I,"Mi-8",'Таблиця 1'!$J:$J,"C-13")+SUMIFS('Таблиця 1'!$K:$K,'Таблиця 1'!$B:$B,$A425,'Таблиця 1'!$I:$I,"Mi-24",'Таблиця 1'!$J:$J,"C-13"))</f>
        <v/>
      </c>
      <c r="J425">
        <f>IF($A425="","",SUMIFS('Таблиця 1'!$K:$K,'Таблиця 1'!$B:$B,$A425,'Таблиця 1'!$I:$I,"Mi-8",'Таблиця 1'!$J:$J,"Hydra-70")+SUMIFS('Таблиця 1'!$K:$K,'Таблиця 1'!$B:$B,$A425,'Таблиця 1'!$I:$I,"Mi-24",'Таблиця 1'!$J:$J,"Hydra-70"))</f>
        <v/>
      </c>
      <c r="K425">
        <f>IF($A425="","",SUMIFS('Таблиця 1'!$K:$K,'Таблиця 1'!$B:$B,$A425,'Таблиця 1'!$I:$I,"Mi-8",'Таблиця 1'!$J:$J,"Thales-70")+SUMIFS('Таблиця 1'!$K:$K,'Таблиця 1'!$B:$B,$A425,'Таблиця 1'!$I:$I,"Mi-24",'Таблиця 1'!$J:$J,"Thales-70"))</f>
        <v/>
      </c>
      <c r="L425">
        <f>IF($A425="","",SUMIFS('Таблиця 1'!$K:$K,'Таблиця 1'!$B:$B,$A425,'Таблиця 1'!$I:$I,"Mi-8",'Таблиця 1'!$J:$J,"Thales-FZ")+SUMIFS('Таблиця 1'!$K:$K,'Таблиця 1'!$B:$B,$A425,'Таблиця 1'!$I:$I,"Mi-24",'Таблиця 1'!$J:$J,"Thales-FZ"))</f>
        <v/>
      </c>
      <c r="M425">
        <f>IF($A425="","",SUMIFS('Таблиця 1'!$K:$K,'Таблиця 1'!$B:$B,$A425,'Таблиця 1'!$I:$I,"Mi-8",'Таблиця 1'!$J:$J,"МК-40")+SUMIFS('Таблиця 1'!$K:$K,'Таблиця 1'!$B:$B,$A425,'Таблиця 1'!$I:$I,"Mi-24",'Таблиця 1'!$J:$J,"МК-40"))</f>
        <v/>
      </c>
      <c r="N425">
        <f>IF($A425="","",SUMIFS('Таблиця 1'!$K:$K,'Таблиця 1'!$B:$B,$A425,'Таблиця 1'!$I:$I,"Mi-8",'Таблиця 1'!$J:$J,"Zuni")+SUMIFS('Таблиця 1'!$K:$K,'Таблиця 1'!$B:$B,$A425,'Таблиця 1'!$I:$I,"Mi-24",'Таблиця 1'!$J:$J,"Zuni"))</f>
        <v/>
      </c>
      <c r="O425">
        <f>IF($A425="","",COUNTIFS('Таблиця 1'!$B:$B,$A425,'Таблиця 1'!$I:$I,"Mi-8",'Таблиця 1'!$L:$L,"Уражено")+COUNTIFS('Таблиця 1'!$B:$B,$A425,'Таблиця 1'!$I:$I,"Mi-24",'Таблиця 1'!$L:$L,"Уражено"))</f>
        <v/>
      </c>
      <c r="P425">
        <f>IF($A425="","",COUNTIFS('Таблиця 1'!$B:$B,$A425,'Таблиця 1'!$I:$I,"Mi-8",'Таблиця 1'!$L:$L,"НЕ уражено")+COUNTIFS('Таблиця 1'!$B:$B,$A425,'Таблиця 1'!$I:$I,"Mi-24",'Таблиця 1'!$L:$L,"НЕ уражено"))</f>
        <v/>
      </c>
    </row>
    <row r="426">
      <c r="A426" s="273">
        <f>IF(A425="","",IF(A425+1&gt;MAX('Таблиця 1'!$B:$B),"",A425+1))</f>
        <v/>
      </c>
      <c r="B426">
        <f>IF($A426="","",COUNTIFS('Таблиця 1'!$B:$B,$A426,'Таблиця 1'!$I:$I,"Mi-8")+COUNTIFS('Таблиця 1'!$B:$B,$A426,'Таблиця 1'!$I:$I,"Mi-24"))</f>
        <v/>
      </c>
      <c r="C426">
        <f>IF($A426="","",COUNTIFS('Таблиця 1'!$B:$B,$A426,'Таблиця 1'!$I:$I,"Mi-8"))</f>
        <v/>
      </c>
      <c r="D426">
        <f>IF($A426="","",COUNTIFS('Таблиця 1'!$B:$B,$A426,'Таблиця 1'!$I:$I,"Mi-24"))</f>
        <v/>
      </c>
      <c r="E426">
        <f>IF($A426="","",SUMIFS('Таблиця 1'!$K:$K,'Таблиця 1'!$B:$B,$A426,'Таблиця 1'!$I:$I,"Mi-8",'Таблиця 1'!$J:$J,"ARS-8")+SUMIFS('Таблиця 1'!$K:$K,'Таблиця 1'!$B:$B,$A426,'Таблиця 1'!$I:$I,"Mi-24",'Таблиця 1'!$J:$J,"ARS-8"))</f>
        <v/>
      </c>
      <c r="F426">
        <f>IF($A426="","",SUMIFS('Таблиця 1'!$K:$K,'Таблиця 1'!$B:$B,$A426,'Таблиця 1'!$I:$I,"Mi-8",'Таблиця 1'!$J:$J,"С-8 ком")+SUMIFS('Таблиця 1'!$K:$K,'Таблиця 1'!$B:$B,$A426,'Таблиця 1'!$I:$I,"Mi-24",'Таблиця 1'!$J:$J,"С-8 ком"))</f>
        <v/>
      </c>
      <c r="G426">
        <f>IF($A426="","",SUMIFS('Таблиця 1'!$K:$K,'Таблиця 1'!$B:$B,$A426,'Таблиця 1'!$I:$I,"Mi-8",'Таблиця 1'!$J:$J,"PC-80")+SUMIFS('Таблиця 1'!$K:$K,'Таблиця 1'!$B:$B,$A426,'Таблиця 1'!$I:$I,"Mi-24",'Таблиця 1'!$J:$J,"PC-80"))</f>
        <v/>
      </c>
      <c r="H426">
        <f>IF($A426="","",SUMIFS('Таблиця 1'!$K:$K,'Таблиця 1'!$B:$B,$A426,'Таблиця 1'!$I:$I,"Mi-8",'Таблиця 1'!$J:$J,"UAR-80")+SUMIFS('Таблиця 1'!$K:$K,'Таблиця 1'!$B:$B,$A426,'Таблиця 1'!$I:$I,"Mi-24",'Таблиця 1'!$J:$J,"UAR-80"))</f>
        <v/>
      </c>
      <c r="I426">
        <f>IF($A426="","",SUMIFS('Таблиця 1'!$K:$K,'Таблиця 1'!$B:$B,$A426,'Таблиця 1'!$I:$I,"Mi-8",'Таблиця 1'!$J:$J,"C-13")+SUMIFS('Таблиця 1'!$K:$K,'Таблиця 1'!$B:$B,$A426,'Таблиця 1'!$I:$I,"Mi-24",'Таблиця 1'!$J:$J,"C-13"))</f>
        <v/>
      </c>
      <c r="J426">
        <f>IF($A426="","",SUMIFS('Таблиця 1'!$K:$K,'Таблиця 1'!$B:$B,$A426,'Таблиця 1'!$I:$I,"Mi-8",'Таблиця 1'!$J:$J,"Hydra-70")+SUMIFS('Таблиця 1'!$K:$K,'Таблиця 1'!$B:$B,$A426,'Таблиця 1'!$I:$I,"Mi-24",'Таблиця 1'!$J:$J,"Hydra-70"))</f>
        <v/>
      </c>
      <c r="K426">
        <f>IF($A426="","",SUMIFS('Таблиця 1'!$K:$K,'Таблиця 1'!$B:$B,$A426,'Таблиця 1'!$I:$I,"Mi-8",'Таблиця 1'!$J:$J,"Thales-70")+SUMIFS('Таблиця 1'!$K:$K,'Таблиця 1'!$B:$B,$A426,'Таблиця 1'!$I:$I,"Mi-24",'Таблиця 1'!$J:$J,"Thales-70"))</f>
        <v/>
      </c>
      <c r="L426">
        <f>IF($A426="","",SUMIFS('Таблиця 1'!$K:$K,'Таблиця 1'!$B:$B,$A426,'Таблиця 1'!$I:$I,"Mi-8",'Таблиця 1'!$J:$J,"Thales-FZ")+SUMIFS('Таблиця 1'!$K:$K,'Таблиця 1'!$B:$B,$A426,'Таблиця 1'!$I:$I,"Mi-24",'Таблиця 1'!$J:$J,"Thales-FZ"))</f>
        <v/>
      </c>
      <c r="M426">
        <f>IF($A426="","",SUMIFS('Таблиця 1'!$K:$K,'Таблиця 1'!$B:$B,$A426,'Таблиця 1'!$I:$I,"Mi-8",'Таблиця 1'!$J:$J,"МК-40")+SUMIFS('Таблиця 1'!$K:$K,'Таблиця 1'!$B:$B,$A426,'Таблиця 1'!$I:$I,"Mi-24",'Таблиця 1'!$J:$J,"МК-40"))</f>
        <v/>
      </c>
      <c r="N426">
        <f>IF($A426="","",SUMIFS('Таблиця 1'!$K:$K,'Таблиця 1'!$B:$B,$A426,'Таблиця 1'!$I:$I,"Mi-8",'Таблиця 1'!$J:$J,"Zuni")+SUMIFS('Таблиця 1'!$K:$K,'Таблиця 1'!$B:$B,$A426,'Таблиця 1'!$I:$I,"Mi-24",'Таблиця 1'!$J:$J,"Zuni"))</f>
        <v/>
      </c>
      <c r="O426">
        <f>IF($A426="","",COUNTIFS('Таблиця 1'!$B:$B,$A426,'Таблиця 1'!$I:$I,"Mi-8",'Таблиця 1'!$L:$L,"Уражено")+COUNTIFS('Таблиця 1'!$B:$B,$A426,'Таблиця 1'!$I:$I,"Mi-24",'Таблиця 1'!$L:$L,"Уражено"))</f>
        <v/>
      </c>
      <c r="P426">
        <f>IF($A426="","",COUNTIFS('Таблиця 1'!$B:$B,$A426,'Таблиця 1'!$I:$I,"Mi-8",'Таблиця 1'!$L:$L,"НЕ уражено")+COUNTIFS('Таблиця 1'!$B:$B,$A426,'Таблиця 1'!$I:$I,"Mi-24",'Таблиця 1'!$L:$L,"НЕ уражено"))</f>
        <v/>
      </c>
    </row>
    <row r="427">
      <c r="A427" s="273">
        <f>IF(A426="","",IF(A426+1&gt;MAX('Таблиця 1'!$B:$B),"",A426+1))</f>
        <v/>
      </c>
      <c r="B427">
        <f>IF($A427="","",COUNTIFS('Таблиця 1'!$B:$B,$A427,'Таблиця 1'!$I:$I,"Mi-8")+COUNTIFS('Таблиця 1'!$B:$B,$A427,'Таблиця 1'!$I:$I,"Mi-24"))</f>
        <v/>
      </c>
      <c r="C427">
        <f>IF($A427="","",COUNTIFS('Таблиця 1'!$B:$B,$A427,'Таблиця 1'!$I:$I,"Mi-8"))</f>
        <v/>
      </c>
      <c r="D427">
        <f>IF($A427="","",COUNTIFS('Таблиця 1'!$B:$B,$A427,'Таблиця 1'!$I:$I,"Mi-24"))</f>
        <v/>
      </c>
      <c r="E427">
        <f>IF($A427="","",SUMIFS('Таблиця 1'!$K:$K,'Таблиця 1'!$B:$B,$A427,'Таблиця 1'!$I:$I,"Mi-8",'Таблиця 1'!$J:$J,"ARS-8")+SUMIFS('Таблиця 1'!$K:$K,'Таблиця 1'!$B:$B,$A427,'Таблиця 1'!$I:$I,"Mi-24",'Таблиця 1'!$J:$J,"ARS-8"))</f>
        <v/>
      </c>
      <c r="F427">
        <f>IF($A427="","",SUMIFS('Таблиця 1'!$K:$K,'Таблиця 1'!$B:$B,$A427,'Таблиця 1'!$I:$I,"Mi-8",'Таблиця 1'!$J:$J,"С-8 ком")+SUMIFS('Таблиця 1'!$K:$K,'Таблиця 1'!$B:$B,$A427,'Таблиця 1'!$I:$I,"Mi-24",'Таблиця 1'!$J:$J,"С-8 ком"))</f>
        <v/>
      </c>
      <c r="G427">
        <f>IF($A427="","",SUMIFS('Таблиця 1'!$K:$K,'Таблиця 1'!$B:$B,$A427,'Таблиця 1'!$I:$I,"Mi-8",'Таблиця 1'!$J:$J,"PC-80")+SUMIFS('Таблиця 1'!$K:$K,'Таблиця 1'!$B:$B,$A427,'Таблиця 1'!$I:$I,"Mi-24",'Таблиця 1'!$J:$J,"PC-80"))</f>
        <v/>
      </c>
      <c r="H427">
        <f>IF($A427="","",SUMIFS('Таблиця 1'!$K:$K,'Таблиця 1'!$B:$B,$A427,'Таблиця 1'!$I:$I,"Mi-8",'Таблиця 1'!$J:$J,"UAR-80")+SUMIFS('Таблиця 1'!$K:$K,'Таблиця 1'!$B:$B,$A427,'Таблиця 1'!$I:$I,"Mi-24",'Таблиця 1'!$J:$J,"UAR-80"))</f>
        <v/>
      </c>
      <c r="I427">
        <f>IF($A427="","",SUMIFS('Таблиця 1'!$K:$K,'Таблиця 1'!$B:$B,$A427,'Таблиця 1'!$I:$I,"Mi-8",'Таблиця 1'!$J:$J,"C-13")+SUMIFS('Таблиця 1'!$K:$K,'Таблиця 1'!$B:$B,$A427,'Таблиця 1'!$I:$I,"Mi-24",'Таблиця 1'!$J:$J,"C-13"))</f>
        <v/>
      </c>
      <c r="J427">
        <f>IF($A427="","",SUMIFS('Таблиця 1'!$K:$K,'Таблиця 1'!$B:$B,$A427,'Таблиця 1'!$I:$I,"Mi-8",'Таблиця 1'!$J:$J,"Hydra-70")+SUMIFS('Таблиця 1'!$K:$K,'Таблиця 1'!$B:$B,$A427,'Таблиця 1'!$I:$I,"Mi-24",'Таблиця 1'!$J:$J,"Hydra-70"))</f>
        <v/>
      </c>
      <c r="K427">
        <f>IF($A427="","",SUMIFS('Таблиця 1'!$K:$K,'Таблиця 1'!$B:$B,$A427,'Таблиця 1'!$I:$I,"Mi-8",'Таблиця 1'!$J:$J,"Thales-70")+SUMIFS('Таблиця 1'!$K:$K,'Таблиця 1'!$B:$B,$A427,'Таблиця 1'!$I:$I,"Mi-24",'Таблиця 1'!$J:$J,"Thales-70"))</f>
        <v/>
      </c>
      <c r="L427">
        <f>IF($A427="","",SUMIFS('Таблиця 1'!$K:$K,'Таблиця 1'!$B:$B,$A427,'Таблиця 1'!$I:$I,"Mi-8",'Таблиця 1'!$J:$J,"Thales-FZ")+SUMIFS('Таблиця 1'!$K:$K,'Таблиця 1'!$B:$B,$A427,'Таблиця 1'!$I:$I,"Mi-24",'Таблиця 1'!$J:$J,"Thales-FZ"))</f>
        <v/>
      </c>
      <c r="M427">
        <f>IF($A427="","",SUMIFS('Таблиця 1'!$K:$K,'Таблиця 1'!$B:$B,$A427,'Таблиця 1'!$I:$I,"Mi-8",'Таблиця 1'!$J:$J,"МК-40")+SUMIFS('Таблиця 1'!$K:$K,'Таблиця 1'!$B:$B,$A427,'Таблиця 1'!$I:$I,"Mi-24",'Таблиця 1'!$J:$J,"МК-40"))</f>
        <v/>
      </c>
      <c r="N427">
        <f>IF($A427="","",SUMIFS('Таблиця 1'!$K:$K,'Таблиця 1'!$B:$B,$A427,'Таблиця 1'!$I:$I,"Mi-8",'Таблиця 1'!$J:$J,"Zuni")+SUMIFS('Таблиця 1'!$K:$K,'Таблиця 1'!$B:$B,$A427,'Таблиця 1'!$I:$I,"Mi-24",'Таблиця 1'!$J:$J,"Zuni"))</f>
        <v/>
      </c>
      <c r="O427">
        <f>IF($A427="","",COUNTIFS('Таблиця 1'!$B:$B,$A427,'Таблиця 1'!$I:$I,"Mi-8",'Таблиця 1'!$L:$L,"Уражено")+COUNTIFS('Таблиця 1'!$B:$B,$A427,'Таблиця 1'!$I:$I,"Mi-24",'Таблиця 1'!$L:$L,"Уражено"))</f>
        <v/>
      </c>
      <c r="P427">
        <f>IF($A427="","",COUNTIFS('Таблиця 1'!$B:$B,$A427,'Таблиця 1'!$I:$I,"Mi-8",'Таблиця 1'!$L:$L,"НЕ уражено")+COUNTIFS('Таблиця 1'!$B:$B,$A427,'Таблиця 1'!$I:$I,"Mi-24",'Таблиця 1'!$L:$L,"НЕ уражено"))</f>
        <v/>
      </c>
    </row>
    <row r="428">
      <c r="A428" s="273">
        <f>IF(A427="","",IF(A427+1&gt;MAX('Таблиця 1'!$B:$B),"",A427+1))</f>
        <v/>
      </c>
      <c r="B428">
        <f>IF($A428="","",COUNTIFS('Таблиця 1'!$B:$B,$A428,'Таблиця 1'!$I:$I,"Mi-8")+COUNTIFS('Таблиця 1'!$B:$B,$A428,'Таблиця 1'!$I:$I,"Mi-24"))</f>
        <v/>
      </c>
      <c r="C428">
        <f>IF($A428="","",COUNTIFS('Таблиця 1'!$B:$B,$A428,'Таблиця 1'!$I:$I,"Mi-8"))</f>
        <v/>
      </c>
      <c r="D428">
        <f>IF($A428="","",COUNTIFS('Таблиця 1'!$B:$B,$A428,'Таблиця 1'!$I:$I,"Mi-24"))</f>
        <v/>
      </c>
      <c r="E428">
        <f>IF($A428="","",SUMIFS('Таблиця 1'!$K:$K,'Таблиця 1'!$B:$B,$A428,'Таблиця 1'!$I:$I,"Mi-8",'Таблиця 1'!$J:$J,"ARS-8")+SUMIFS('Таблиця 1'!$K:$K,'Таблиця 1'!$B:$B,$A428,'Таблиця 1'!$I:$I,"Mi-24",'Таблиця 1'!$J:$J,"ARS-8"))</f>
        <v/>
      </c>
      <c r="F428">
        <f>IF($A428="","",SUMIFS('Таблиця 1'!$K:$K,'Таблиця 1'!$B:$B,$A428,'Таблиця 1'!$I:$I,"Mi-8",'Таблиця 1'!$J:$J,"С-8 ком")+SUMIFS('Таблиця 1'!$K:$K,'Таблиця 1'!$B:$B,$A428,'Таблиця 1'!$I:$I,"Mi-24",'Таблиця 1'!$J:$J,"С-8 ком"))</f>
        <v/>
      </c>
      <c r="G428">
        <f>IF($A428="","",SUMIFS('Таблиця 1'!$K:$K,'Таблиця 1'!$B:$B,$A428,'Таблиця 1'!$I:$I,"Mi-8",'Таблиця 1'!$J:$J,"PC-80")+SUMIFS('Таблиця 1'!$K:$K,'Таблиця 1'!$B:$B,$A428,'Таблиця 1'!$I:$I,"Mi-24",'Таблиця 1'!$J:$J,"PC-80"))</f>
        <v/>
      </c>
      <c r="H428">
        <f>IF($A428="","",SUMIFS('Таблиця 1'!$K:$K,'Таблиця 1'!$B:$B,$A428,'Таблиця 1'!$I:$I,"Mi-8",'Таблиця 1'!$J:$J,"UAR-80")+SUMIFS('Таблиця 1'!$K:$K,'Таблиця 1'!$B:$B,$A428,'Таблиця 1'!$I:$I,"Mi-24",'Таблиця 1'!$J:$J,"UAR-80"))</f>
        <v/>
      </c>
      <c r="I428">
        <f>IF($A428="","",SUMIFS('Таблиця 1'!$K:$K,'Таблиця 1'!$B:$B,$A428,'Таблиця 1'!$I:$I,"Mi-8",'Таблиця 1'!$J:$J,"C-13")+SUMIFS('Таблиця 1'!$K:$K,'Таблиця 1'!$B:$B,$A428,'Таблиця 1'!$I:$I,"Mi-24",'Таблиця 1'!$J:$J,"C-13"))</f>
        <v/>
      </c>
      <c r="J428">
        <f>IF($A428="","",SUMIFS('Таблиця 1'!$K:$K,'Таблиця 1'!$B:$B,$A428,'Таблиця 1'!$I:$I,"Mi-8",'Таблиця 1'!$J:$J,"Hydra-70")+SUMIFS('Таблиця 1'!$K:$K,'Таблиця 1'!$B:$B,$A428,'Таблиця 1'!$I:$I,"Mi-24",'Таблиця 1'!$J:$J,"Hydra-70"))</f>
        <v/>
      </c>
      <c r="K428">
        <f>IF($A428="","",SUMIFS('Таблиця 1'!$K:$K,'Таблиця 1'!$B:$B,$A428,'Таблиця 1'!$I:$I,"Mi-8",'Таблиця 1'!$J:$J,"Thales-70")+SUMIFS('Таблиця 1'!$K:$K,'Таблиця 1'!$B:$B,$A428,'Таблиця 1'!$I:$I,"Mi-24",'Таблиця 1'!$J:$J,"Thales-70"))</f>
        <v/>
      </c>
      <c r="L428">
        <f>IF($A428="","",SUMIFS('Таблиця 1'!$K:$K,'Таблиця 1'!$B:$B,$A428,'Таблиця 1'!$I:$I,"Mi-8",'Таблиця 1'!$J:$J,"Thales-FZ")+SUMIFS('Таблиця 1'!$K:$K,'Таблиця 1'!$B:$B,$A428,'Таблиця 1'!$I:$I,"Mi-24",'Таблиця 1'!$J:$J,"Thales-FZ"))</f>
        <v/>
      </c>
      <c r="M428">
        <f>IF($A428="","",SUMIFS('Таблиця 1'!$K:$K,'Таблиця 1'!$B:$B,$A428,'Таблиця 1'!$I:$I,"Mi-8",'Таблиця 1'!$J:$J,"МК-40")+SUMIFS('Таблиця 1'!$K:$K,'Таблиця 1'!$B:$B,$A428,'Таблиця 1'!$I:$I,"Mi-24",'Таблиця 1'!$J:$J,"МК-40"))</f>
        <v/>
      </c>
      <c r="N428">
        <f>IF($A428="","",SUMIFS('Таблиця 1'!$K:$K,'Таблиця 1'!$B:$B,$A428,'Таблиця 1'!$I:$I,"Mi-8",'Таблиця 1'!$J:$J,"Zuni")+SUMIFS('Таблиця 1'!$K:$K,'Таблиця 1'!$B:$B,$A428,'Таблиця 1'!$I:$I,"Mi-24",'Таблиця 1'!$J:$J,"Zuni"))</f>
        <v/>
      </c>
      <c r="O428">
        <f>IF($A428="","",COUNTIFS('Таблиця 1'!$B:$B,$A428,'Таблиця 1'!$I:$I,"Mi-8",'Таблиця 1'!$L:$L,"Уражено")+COUNTIFS('Таблиця 1'!$B:$B,$A428,'Таблиця 1'!$I:$I,"Mi-24",'Таблиця 1'!$L:$L,"Уражено"))</f>
        <v/>
      </c>
      <c r="P428">
        <f>IF($A428="","",COUNTIFS('Таблиця 1'!$B:$B,$A428,'Таблиця 1'!$I:$I,"Mi-8",'Таблиця 1'!$L:$L,"НЕ уражено")+COUNTIFS('Таблиця 1'!$B:$B,$A428,'Таблиця 1'!$I:$I,"Mi-24",'Таблиця 1'!$L:$L,"НЕ уражено"))</f>
        <v/>
      </c>
    </row>
    <row r="429">
      <c r="A429" s="273">
        <f>IF(A428="","",IF(A428+1&gt;MAX('Таблиця 1'!$B:$B),"",A428+1))</f>
        <v/>
      </c>
      <c r="B429">
        <f>IF($A429="","",COUNTIFS('Таблиця 1'!$B:$B,$A429,'Таблиця 1'!$I:$I,"Mi-8")+COUNTIFS('Таблиця 1'!$B:$B,$A429,'Таблиця 1'!$I:$I,"Mi-24"))</f>
        <v/>
      </c>
      <c r="C429">
        <f>IF($A429="","",COUNTIFS('Таблиця 1'!$B:$B,$A429,'Таблиця 1'!$I:$I,"Mi-8"))</f>
        <v/>
      </c>
      <c r="D429">
        <f>IF($A429="","",COUNTIFS('Таблиця 1'!$B:$B,$A429,'Таблиця 1'!$I:$I,"Mi-24"))</f>
        <v/>
      </c>
      <c r="E429">
        <f>IF($A429="","",SUMIFS('Таблиця 1'!$K:$K,'Таблиця 1'!$B:$B,$A429,'Таблиця 1'!$I:$I,"Mi-8",'Таблиця 1'!$J:$J,"ARS-8")+SUMIFS('Таблиця 1'!$K:$K,'Таблиця 1'!$B:$B,$A429,'Таблиця 1'!$I:$I,"Mi-24",'Таблиця 1'!$J:$J,"ARS-8"))</f>
        <v/>
      </c>
      <c r="F429">
        <f>IF($A429="","",SUMIFS('Таблиця 1'!$K:$K,'Таблиця 1'!$B:$B,$A429,'Таблиця 1'!$I:$I,"Mi-8",'Таблиця 1'!$J:$J,"С-8 ком")+SUMIFS('Таблиця 1'!$K:$K,'Таблиця 1'!$B:$B,$A429,'Таблиця 1'!$I:$I,"Mi-24",'Таблиця 1'!$J:$J,"С-8 ком"))</f>
        <v/>
      </c>
      <c r="G429">
        <f>IF($A429="","",SUMIFS('Таблиця 1'!$K:$K,'Таблиця 1'!$B:$B,$A429,'Таблиця 1'!$I:$I,"Mi-8",'Таблиця 1'!$J:$J,"PC-80")+SUMIFS('Таблиця 1'!$K:$K,'Таблиця 1'!$B:$B,$A429,'Таблиця 1'!$I:$I,"Mi-24",'Таблиця 1'!$J:$J,"PC-80"))</f>
        <v/>
      </c>
      <c r="H429">
        <f>IF($A429="","",SUMIFS('Таблиця 1'!$K:$K,'Таблиця 1'!$B:$B,$A429,'Таблиця 1'!$I:$I,"Mi-8",'Таблиця 1'!$J:$J,"UAR-80")+SUMIFS('Таблиця 1'!$K:$K,'Таблиця 1'!$B:$B,$A429,'Таблиця 1'!$I:$I,"Mi-24",'Таблиця 1'!$J:$J,"UAR-80"))</f>
        <v/>
      </c>
      <c r="I429">
        <f>IF($A429="","",SUMIFS('Таблиця 1'!$K:$K,'Таблиця 1'!$B:$B,$A429,'Таблиця 1'!$I:$I,"Mi-8",'Таблиця 1'!$J:$J,"C-13")+SUMIFS('Таблиця 1'!$K:$K,'Таблиця 1'!$B:$B,$A429,'Таблиця 1'!$I:$I,"Mi-24",'Таблиця 1'!$J:$J,"C-13"))</f>
        <v/>
      </c>
      <c r="J429">
        <f>IF($A429="","",SUMIFS('Таблиця 1'!$K:$K,'Таблиця 1'!$B:$B,$A429,'Таблиця 1'!$I:$I,"Mi-8",'Таблиця 1'!$J:$J,"Hydra-70")+SUMIFS('Таблиця 1'!$K:$K,'Таблиця 1'!$B:$B,$A429,'Таблиця 1'!$I:$I,"Mi-24",'Таблиця 1'!$J:$J,"Hydra-70"))</f>
        <v/>
      </c>
      <c r="K429">
        <f>IF($A429="","",SUMIFS('Таблиця 1'!$K:$K,'Таблиця 1'!$B:$B,$A429,'Таблиця 1'!$I:$I,"Mi-8",'Таблиця 1'!$J:$J,"Thales-70")+SUMIFS('Таблиця 1'!$K:$K,'Таблиця 1'!$B:$B,$A429,'Таблиця 1'!$I:$I,"Mi-24",'Таблиця 1'!$J:$J,"Thales-70"))</f>
        <v/>
      </c>
      <c r="L429">
        <f>IF($A429="","",SUMIFS('Таблиця 1'!$K:$K,'Таблиця 1'!$B:$B,$A429,'Таблиця 1'!$I:$I,"Mi-8",'Таблиця 1'!$J:$J,"Thales-FZ")+SUMIFS('Таблиця 1'!$K:$K,'Таблиця 1'!$B:$B,$A429,'Таблиця 1'!$I:$I,"Mi-24",'Таблиця 1'!$J:$J,"Thales-FZ"))</f>
        <v/>
      </c>
      <c r="M429">
        <f>IF($A429="","",SUMIFS('Таблиця 1'!$K:$K,'Таблиця 1'!$B:$B,$A429,'Таблиця 1'!$I:$I,"Mi-8",'Таблиця 1'!$J:$J,"МК-40")+SUMIFS('Таблиця 1'!$K:$K,'Таблиця 1'!$B:$B,$A429,'Таблиця 1'!$I:$I,"Mi-24",'Таблиця 1'!$J:$J,"МК-40"))</f>
        <v/>
      </c>
      <c r="N429">
        <f>IF($A429="","",SUMIFS('Таблиця 1'!$K:$K,'Таблиця 1'!$B:$B,$A429,'Таблиця 1'!$I:$I,"Mi-8",'Таблиця 1'!$J:$J,"Zuni")+SUMIFS('Таблиця 1'!$K:$K,'Таблиця 1'!$B:$B,$A429,'Таблиця 1'!$I:$I,"Mi-24",'Таблиця 1'!$J:$J,"Zuni"))</f>
        <v/>
      </c>
      <c r="O429">
        <f>IF($A429="","",COUNTIFS('Таблиця 1'!$B:$B,$A429,'Таблиця 1'!$I:$I,"Mi-8",'Таблиця 1'!$L:$L,"Уражено")+COUNTIFS('Таблиця 1'!$B:$B,$A429,'Таблиця 1'!$I:$I,"Mi-24",'Таблиця 1'!$L:$L,"Уражено"))</f>
        <v/>
      </c>
      <c r="P429">
        <f>IF($A429="","",COUNTIFS('Таблиця 1'!$B:$B,$A429,'Таблиця 1'!$I:$I,"Mi-8",'Таблиця 1'!$L:$L,"НЕ уражено")+COUNTIFS('Таблиця 1'!$B:$B,$A429,'Таблиця 1'!$I:$I,"Mi-24",'Таблиця 1'!$L:$L,"НЕ уражено"))</f>
        <v/>
      </c>
    </row>
    <row r="430">
      <c r="A430" s="273">
        <f>IF(A429="","",IF(A429+1&gt;MAX('Таблиця 1'!$B:$B),"",A429+1))</f>
        <v/>
      </c>
      <c r="B430">
        <f>IF($A430="","",COUNTIFS('Таблиця 1'!$B:$B,$A430,'Таблиця 1'!$I:$I,"Mi-8")+COUNTIFS('Таблиця 1'!$B:$B,$A430,'Таблиця 1'!$I:$I,"Mi-24"))</f>
        <v/>
      </c>
      <c r="C430">
        <f>IF($A430="","",COUNTIFS('Таблиця 1'!$B:$B,$A430,'Таблиця 1'!$I:$I,"Mi-8"))</f>
        <v/>
      </c>
      <c r="D430">
        <f>IF($A430="","",COUNTIFS('Таблиця 1'!$B:$B,$A430,'Таблиця 1'!$I:$I,"Mi-24"))</f>
        <v/>
      </c>
      <c r="E430">
        <f>IF($A430="","",SUMIFS('Таблиця 1'!$K:$K,'Таблиця 1'!$B:$B,$A430,'Таблиця 1'!$I:$I,"Mi-8",'Таблиця 1'!$J:$J,"ARS-8")+SUMIFS('Таблиця 1'!$K:$K,'Таблиця 1'!$B:$B,$A430,'Таблиця 1'!$I:$I,"Mi-24",'Таблиця 1'!$J:$J,"ARS-8"))</f>
        <v/>
      </c>
      <c r="F430">
        <f>IF($A430="","",SUMIFS('Таблиця 1'!$K:$K,'Таблиця 1'!$B:$B,$A430,'Таблиця 1'!$I:$I,"Mi-8",'Таблиця 1'!$J:$J,"С-8 ком")+SUMIFS('Таблиця 1'!$K:$K,'Таблиця 1'!$B:$B,$A430,'Таблиця 1'!$I:$I,"Mi-24",'Таблиця 1'!$J:$J,"С-8 ком"))</f>
        <v/>
      </c>
      <c r="G430">
        <f>IF($A430="","",SUMIFS('Таблиця 1'!$K:$K,'Таблиця 1'!$B:$B,$A430,'Таблиця 1'!$I:$I,"Mi-8",'Таблиця 1'!$J:$J,"PC-80")+SUMIFS('Таблиця 1'!$K:$K,'Таблиця 1'!$B:$B,$A430,'Таблиця 1'!$I:$I,"Mi-24",'Таблиця 1'!$J:$J,"PC-80"))</f>
        <v/>
      </c>
      <c r="H430">
        <f>IF($A430="","",SUMIFS('Таблиця 1'!$K:$K,'Таблиця 1'!$B:$B,$A430,'Таблиця 1'!$I:$I,"Mi-8",'Таблиця 1'!$J:$J,"UAR-80")+SUMIFS('Таблиця 1'!$K:$K,'Таблиця 1'!$B:$B,$A430,'Таблиця 1'!$I:$I,"Mi-24",'Таблиця 1'!$J:$J,"UAR-80"))</f>
        <v/>
      </c>
      <c r="I430">
        <f>IF($A430="","",SUMIFS('Таблиця 1'!$K:$K,'Таблиця 1'!$B:$B,$A430,'Таблиця 1'!$I:$I,"Mi-8",'Таблиця 1'!$J:$J,"C-13")+SUMIFS('Таблиця 1'!$K:$K,'Таблиця 1'!$B:$B,$A430,'Таблиця 1'!$I:$I,"Mi-24",'Таблиця 1'!$J:$J,"C-13"))</f>
        <v/>
      </c>
      <c r="J430">
        <f>IF($A430="","",SUMIFS('Таблиця 1'!$K:$K,'Таблиця 1'!$B:$B,$A430,'Таблиця 1'!$I:$I,"Mi-8",'Таблиця 1'!$J:$J,"Hydra-70")+SUMIFS('Таблиця 1'!$K:$K,'Таблиця 1'!$B:$B,$A430,'Таблиця 1'!$I:$I,"Mi-24",'Таблиця 1'!$J:$J,"Hydra-70"))</f>
        <v/>
      </c>
      <c r="K430">
        <f>IF($A430="","",SUMIFS('Таблиця 1'!$K:$K,'Таблиця 1'!$B:$B,$A430,'Таблиця 1'!$I:$I,"Mi-8",'Таблиця 1'!$J:$J,"Thales-70")+SUMIFS('Таблиця 1'!$K:$K,'Таблиця 1'!$B:$B,$A430,'Таблиця 1'!$I:$I,"Mi-24",'Таблиця 1'!$J:$J,"Thales-70"))</f>
        <v/>
      </c>
      <c r="L430">
        <f>IF($A430="","",SUMIFS('Таблиця 1'!$K:$K,'Таблиця 1'!$B:$B,$A430,'Таблиця 1'!$I:$I,"Mi-8",'Таблиця 1'!$J:$J,"Thales-FZ")+SUMIFS('Таблиця 1'!$K:$K,'Таблиця 1'!$B:$B,$A430,'Таблиця 1'!$I:$I,"Mi-24",'Таблиця 1'!$J:$J,"Thales-FZ"))</f>
        <v/>
      </c>
      <c r="M430">
        <f>IF($A430="","",SUMIFS('Таблиця 1'!$K:$K,'Таблиця 1'!$B:$B,$A430,'Таблиця 1'!$I:$I,"Mi-8",'Таблиця 1'!$J:$J,"МК-40")+SUMIFS('Таблиця 1'!$K:$K,'Таблиця 1'!$B:$B,$A430,'Таблиця 1'!$I:$I,"Mi-24",'Таблиця 1'!$J:$J,"МК-40"))</f>
        <v/>
      </c>
      <c r="N430">
        <f>IF($A430="","",SUMIFS('Таблиця 1'!$K:$K,'Таблиця 1'!$B:$B,$A430,'Таблиця 1'!$I:$I,"Mi-8",'Таблиця 1'!$J:$J,"Zuni")+SUMIFS('Таблиця 1'!$K:$K,'Таблиця 1'!$B:$B,$A430,'Таблиця 1'!$I:$I,"Mi-24",'Таблиця 1'!$J:$J,"Zuni"))</f>
        <v/>
      </c>
      <c r="O430">
        <f>IF($A430="","",COUNTIFS('Таблиця 1'!$B:$B,$A430,'Таблиця 1'!$I:$I,"Mi-8",'Таблиця 1'!$L:$L,"Уражено")+COUNTIFS('Таблиця 1'!$B:$B,$A430,'Таблиця 1'!$I:$I,"Mi-24",'Таблиця 1'!$L:$L,"Уражено"))</f>
        <v/>
      </c>
      <c r="P430">
        <f>IF($A430="","",COUNTIFS('Таблиця 1'!$B:$B,$A430,'Таблиця 1'!$I:$I,"Mi-8",'Таблиця 1'!$L:$L,"НЕ уражено")+COUNTIFS('Таблиця 1'!$B:$B,$A430,'Таблиця 1'!$I:$I,"Mi-24",'Таблиця 1'!$L:$L,"НЕ уражено"))</f>
        <v/>
      </c>
    </row>
    <row r="431">
      <c r="A431" s="273">
        <f>IF(A430="","",IF(A430+1&gt;MAX('Таблиця 1'!$B:$B),"",A430+1))</f>
        <v/>
      </c>
      <c r="B431">
        <f>IF($A431="","",COUNTIFS('Таблиця 1'!$B:$B,$A431,'Таблиця 1'!$I:$I,"Mi-8")+COUNTIFS('Таблиця 1'!$B:$B,$A431,'Таблиця 1'!$I:$I,"Mi-24"))</f>
        <v/>
      </c>
      <c r="C431">
        <f>IF($A431="","",COUNTIFS('Таблиця 1'!$B:$B,$A431,'Таблиця 1'!$I:$I,"Mi-8"))</f>
        <v/>
      </c>
      <c r="D431">
        <f>IF($A431="","",COUNTIFS('Таблиця 1'!$B:$B,$A431,'Таблиця 1'!$I:$I,"Mi-24"))</f>
        <v/>
      </c>
      <c r="E431">
        <f>IF($A431="","",SUMIFS('Таблиця 1'!$K:$K,'Таблиця 1'!$B:$B,$A431,'Таблиця 1'!$I:$I,"Mi-8",'Таблиця 1'!$J:$J,"ARS-8")+SUMIFS('Таблиця 1'!$K:$K,'Таблиця 1'!$B:$B,$A431,'Таблиця 1'!$I:$I,"Mi-24",'Таблиця 1'!$J:$J,"ARS-8"))</f>
        <v/>
      </c>
      <c r="F431">
        <f>IF($A431="","",SUMIFS('Таблиця 1'!$K:$K,'Таблиця 1'!$B:$B,$A431,'Таблиця 1'!$I:$I,"Mi-8",'Таблиця 1'!$J:$J,"С-8 ком")+SUMIFS('Таблиця 1'!$K:$K,'Таблиця 1'!$B:$B,$A431,'Таблиця 1'!$I:$I,"Mi-24",'Таблиця 1'!$J:$J,"С-8 ком"))</f>
        <v/>
      </c>
      <c r="G431">
        <f>IF($A431="","",SUMIFS('Таблиця 1'!$K:$K,'Таблиця 1'!$B:$B,$A431,'Таблиця 1'!$I:$I,"Mi-8",'Таблиця 1'!$J:$J,"PC-80")+SUMIFS('Таблиця 1'!$K:$K,'Таблиця 1'!$B:$B,$A431,'Таблиця 1'!$I:$I,"Mi-24",'Таблиця 1'!$J:$J,"PC-80"))</f>
        <v/>
      </c>
      <c r="H431">
        <f>IF($A431="","",SUMIFS('Таблиця 1'!$K:$K,'Таблиця 1'!$B:$B,$A431,'Таблиця 1'!$I:$I,"Mi-8",'Таблиця 1'!$J:$J,"UAR-80")+SUMIFS('Таблиця 1'!$K:$K,'Таблиця 1'!$B:$B,$A431,'Таблиця 1'!$I:$I,"Mi-24",'Таблиця 1'!$J:$J,"UAR-80"))</f>
        <v/>
      </c>
      <c r="I431">
        <f>IF($A431="","",SUMIFS('Таблиця 1'!$K:$K,'Таблиця 1'!$B:$B,$A431,'Таблиця 1'!$I:$I,"Mi-8",'Таблиця 1'!$J:$J,"C-13")+SUMIFS('Таблиця 1'!$K:$K,'Таблиця 1'!$B:$B,$A431,'Таблиця 1'!$I:$I,"Mi-24",'Таблиця 1'!$J:$J,"C-13"))</f>
        <v/>
      </c>
      <c r="J431">
        <f>IF($A431="","",SUMIFS('Таблиця 1'!$K:$K,'Таблиця 1'!$B:$B,$A431,'Таблиця 1'!$I:$I,"Mi-8",'Таблиця 1'!$J:$J,"Hydra-70")+SUMIFS('Таблиця 1'!$K:$K,'Таблиця 1'!$B:$B,$A431,'Таблиця 1'!$I:$I,"Mi-24",'Таблиця 1'!$J:$J,"Hydra-70"))</f>
        <v/>
      </c>
      <c r="K431">
        <f>IF($A431="","",SUMIFS('Таблиця 1'!$K:$K,'Таблиця 1'!$B:$B,$A431,'Таблиця 1'!$I:$I,"Mi-8",'Таблиця 1'!$J:$J,"Thales-70")+SUMIFS('Таблиця 1'!$K:$K,'Таблиця 1'!$B:$B,$A431,'Таблиця 1'!$I:$I,"Mi-24",'Таблиця 1'!$J:$J,"Thales-70"))</f>
        <v/>
      </c>
      <c r="L431">
        <f>IF($A431="","",SUMIFS('Таблиця 1'!$K:$K,'Таблиця 1'!$B:$B,$A431,'Таблиця 1'!$I:$I,"Mi-8",'Таблиця 1'!$J:$J,"Thales-FZ")+SUMIFS('Таблиця 1'!$K:$K,'Таблиця 1'!$B:$B,$A431,'Таблиця 1'!$I:$I,"Mi-24",'Таблиця 1'!$J:$J,"Thales-FZ"))</f>
        <v/>
      </c>
      <c r="M431">
        <f>IF($A431="","",SUMIFS('Таблиця 1'!$K:$K,'Таблиця 1'!$B:$B,$A431,'Таблиця 1'!$I:$I,"Mi-8",'Таблиця 1'!$J:$J,"МК-40")+SUMIFS('Таблиця 1'!$K:$K,'Таблиця 1'!$B:$B,$A431,'Таблиця 1'!$I:$I,"Mi-24",'Таблиця 1'!$J:$J,"МК-40"))</f>
        <v/>
      </c>
      <c r="N431">
        <f>IF($A431="","",SUMIFS('Таблиця 1'!$K:$K,'Таблиця 1'!$B:$B,$A431,'Таблиця 1'!$I:$I,"Mi-8",'Таблиця 1'!$J:$J,"Zuni")+SUMIFS('Таблиця 1'!$K:$K,'Таблиця 1'!$B:$B,$A431,'Таблиця 1'!$I:$I,"Mi-24",'Таблиця 1'!$J:$J,"Zuni"))</f>
        <v/>
      </c>
      <c r="O431">
        <f>IF($A431="","",COUNTIFS('Таблиця 1'!$B:$B,$A431,'Таблиця 1'!$I:$I,"Mi-8",'Таблиця 1'!$L:$L,"Уражено")+COUNTIFS('Таблиця 1'!$B:$B,$A431,'Таблиця 1'!$I:$I,"Mi-24",'Таблиця 1'!$L:$L,"Уражено"))</f>
        <v/>
      </c>
      <c r="P431">
        <f>IF($A431="","",COUNTIFS('Таблиця 1'!$B:$B,$A431,'Таблиця 1'!$I:$I,"Mi-8",'Таблиця 1'!$L:$L,"НЕ уражено")+COUNTIFS('Таблиця 1'!$B:$B,$A431,'Таблиця 1'!$I:$I,"Mi-24",'Таблиця 1'!$L:$L,"НЕ уражено"))</f>
        <v/>
      </c>
    </row>
    <row r="432">
      <c r="A432" s="273">
        <f>IF(A431="","",IF(A431+1&gt;MAX('Таблиця 1'!$B:$B),"",A431+1))</f>
        <v/>
      </c>
      <c r="B432">
        <f>IF($A432="","",COUNTIFS('Таблиця 1'!$B:$B,$A432,'Таблиця 1'!$I:$I,"Mi-8")+COUNTIFS('Таблиця 1'!$B:$B,$A432,'Таблиця 1'!$I:$I,"Mi-24"))</f>
        <v/>
      </c>
      <c r="C432">
        <f>IF($A432="","",COUNTIFS('Таблиця 1'!$B:$B,$A432,'Таблиця 1'!$I:$I,"Mi-8"))</f>
        <v/>
      </c>
      <c r="D432">
        <f>IF($A432="","",COUNTIFS('Таблиця 1'!$B:$B,$A432,'Таблиця 1'!$I:$I,"Mi-24"))</f>
        <v/>
      </c>
      <c r="E432">
        <f>IF($A432="","",SUMIFS('Таблиця 1'!$K:$K,'Таблиця 1'!$B:$B,$A432,'Таблиця 1'!$I:$I,"Mi-8",'Таблиця 1'!$J:$J,"ARS-8")+SUMIFS('Таблиця 1'!$K:$K,'Таблиця 1'!$B:$B,$A432,'Таблиця 1'!$I:$I,"Mi-24",'Таблиця 1'!$J:$J,"ARS-8"))</f>
        <v/>
      </c>
      <c r="F432">
        <f>IF($A432="","",SUMIFS('Таблиця 1'!$K:$K,'Таблиця 1'!$B:$B,$A432,'Таблиця 1'!$I:$I,"Mi-8",'Таблиця 1'!$J:$J,"С-8 ком")+SUMIFS('Таблиця 1'!$K:$K,'Таблиця 1'!$B:$B,$A432,'Таблиця 1'!$I:$I,"Mi-24",'Таблиця 1'!$J:$J,"С-8 ком"))</f>
        <v/>
      </c>
      <c r="G432">
        <f>IF($A432="","",SUMIFS('Таблиця 1'!$K:$K,'Таблиця 1'!$B:$B,$A432,'Таблиця 1'!$I:$I,"Mi-8",'Таблиця 1'!$J:$J,"PC-80")+SUMIFS('Таблиця 1'!$K:$K,'Таблиця 1'!$B:$B,$A432,'Таблиця 1'!$I:$I,"Mi-24",'Таблиця 1'!$J:$J,"PC-80"))</f>
        <v/>
      </c>
      <c r="H432">
        <f>IF($A432="","",SUMIFS('Таблиця 1'!$K:$K,'Таблиця 1'!$B:$B,$A432,'Таблиця 1'!$I:$I,"Mi-8",'Таблиця 1'!$J:$J,"UAR-80")+SUMIFS('Таблиця 1'!$K:$K,'Таблиця 1'!$B:$B,$A432,'Таблиця 1'!$I:$I,"Mi-24",'Таблиця 1'!$J:$J,"UAR-80"))</f>
        <v/>
      </c>
      <c r="I432">
        <f>IF($A432="","",SUMIFS('Таблиця 1'!$K:$K,'Таблиця 1'!$B:$B,$A432,'Таблиця 1'!$I:$I,"Mi-8",'Таблиця 1'!$J:$J,"C-13")+SUMIFS('Таблиця 1'!$K:$K,'Таблиця 1'!$B:$B,$A432,'Таблиця 1'!$I:$I,"Mi-24",'Таблиця 1'!$J:$J,"C-13"))</f>
        <v/>
      </c>
      <c r="J432">
        <f>IF($A432="","",SUMIFS('Таблиця 1'!$K:$K,'Таблиця 1'!$B:$B,$A432,'Таблиця 1'!$I:$I,"Mi-8",'Таблиця 1'!$J:$J,"Hydra-70")+SUMIFS('Таблиця 1'!$K:$K,'Таблиця 1'!$B:$B,$A432,'Таблиця 1'!$I:$I,"Mi-24",'Таблиця 1'!$J:$J,"Hydra-70"))</f>
        <v/>
      </c>
      <c r="K432">
        <f>IF($A432="","",SUMIFS('Таблиця 1'!$K:$K,'Таблиця 1'!$B:$B,$A432,'Таблиця 1'!$I:$I,"Mi-8",'Таблиця 1'!$J:$J,"Thales-70")+SUMIFS('Таблиця 1'!$K:$K,'Таблиця 1'!$B:$B,$A432,'Таблиця 1'!$I:$I,"Mi-24",'Таблиця 1'!$J:$J,"Thales-70"))</f>
        <v/>
      </c>
      <c r="L432">
        <f>IF($A432="","",SUMIFS('Таблиця 1'!$K:$K,'Таблиця 1'!$B:$B,$A432,'Таблиця 1'!$I:$I,"Mi-8",'Таблиця 1'!$J:$J,"Thales-FZ")+SUMIFS('Таблиця 1'!$K:$K,'Таблиця 1'!$B:$B,$A432,'Таблиця 1'!$I:$I,"Mi-24",'Таблиця 1'!$J:$J,"Thales-FZ"))</f>
        <v/>
      </c>
      <c r="M432">
        <f>IF($A432="","",SUMIFS('Таблиця 1'!$K:$K,'Таблиця 1'!$B:$B,$A432,'Таблиця 1'!$I:$I,"Mi-8",'Таблиця 1'!$J:$J,"МК-40")+SUMIFS('Таблиця 1'!$K:$K,'Таблиця 1'!$B:$B,$A432,'Таблиця 1'!$I:$I,"Mi-24",'Таблиця 1'!$J:$J,"МК-40"))</f>
        <v/>
      </c>
      <c r="N432">
        <f>IF($A432="","",SUMIFS('Таблиця 1'!$K:$K,'Таблиця 1'!$B:$B,$A432,'Таблиця 1'!$I:$I,"Mi-8",'Таблиця 1'!$J:$J,"Zuni")+SUMIFS('Таблиця 1'!$K:$K,'Таблиця 1'!$B:$B,$A432,'Таблиця 1'!$I:$I,"Mi-24",'Таблиця 1'!$J:$J,"Zuni"))</f>
        <v/>
      </c>
      <c r="O432">
        <f>IF($A432="","",COUNTIFS('Таблиця 1'!$B:$B,$A432,'Таблиця 1'!$I:$I,"Mi-8",'Таблиця 1'!$L:$L,"Уражено")+COUNTIFS('Таблиця 1'!$B:$B,$A432,'Таблиця 1'!$I:$I,"Mi-24",'Таблиця 1'!$L:$L,"Уражено"))</f>
        <v/>
      </c>
      <c r="P432">
        <f>IF($A432="","",COUNTIFS('Таблиця 1'!$B:$B,$A432,'Таблиця 1'!$I:$I,"Mi-8",'Таблиця 1'!$L:$L,"НЕ уражено")+COUNTIFS('Таблиця 1'!$B:$B,$A432,'Таблиця 1'!$I:$I,"Mi-24",'Таблиця 1'!$L:$L,"НЕ уражено"))</f>
        <v/>
      </c>
    </row>
    <row r="433">
      <c r="A433" s="273">
        <f>IF(A432="","",IF(A432+1&gt;MAX('Таблиця 1'!$B:$B),"",A432+1))</f>
        <v/>
      </c>
      <c r="B433">
        <f>IF($A433="","",COUNTIFS('Таблиця 1'!$B:$B,$A433,'Таблиця 1'!$I:$I,"Mi-8")+COUNTIFS('Таблиця 1'!$B:$B,$A433,'Таблиця 1'!$I:$I,"Mi-24"))</f>
        <v/>
      </c>
      <c r="C433">
        <f>IF($A433="","",COUNTIFS('Таблиця 1'!$B:$B,$A433,'Таблиця 1'!$I:$I,"Mi-8"))</f>
        <v/>
      </c>
      <c r="D433">
        <f>IF($A433="","",COUNTIFS('Таблиця 1'!$B:$B,$A433,'Таблиця 1'!$I:$I,"Mi-24"))</f>
        <v/>
      </c>
      <c r="E433">
        <f>IF($A433="","",SUMIFS('Таблиця 1'!$K:$K,'Таблиця 1'!$B:$B,$A433,'Таблиця 1'!$I:$I,"Mi-8",'Таблиця 1'!$J:$J,"ARS-8")+SUMIFS('Таблиця 1'!$K:$K,'Таблиця 1'!$B:$B,$A433,'Таблиця 1'!$I:$I,"Mi-24",'Таблиця 1'!$J:$J,"ARS-8"))</f>
        <v/>
      </c>
      <c r="F433">
        <f>IF($A433="","",SUMIFS('Таблиця 1'!$K:$K,'Таблиця 1'!$B:$B,$A433,'Таблиця 1'!$I:$I,"Mi-8",'Таблиця 1'!$J:$J,"С-8 ком")+SUMIFS('Таблиця 1'!$K:$K,'Таблиця 1'!$B:$B,$A433,'Таблиця 1'!$I:$I,"Mi-24",'Таблиця 1'!$J:$J,"С-8 ком"))</f>
        <v/>
      </c>
      <c r="G433">
        <f>IF($A433="","",SUMIFS('Таблиця 1'!$K:$K,'Таблиця 1'!$B:$B,$A433,'Таблиця 1'!$I:$I,"Mi-8",'Таблиця 1'!$J:$J,"PC-80")+SUMIFS('Таблиця 1'!$K:$K,'Таблиця 1'!$B:$B,$A433,'Таблиця 1'!$I:$I,"Mi-24",'Таблиця 1'!$J:$J,"PC-80"))</f>
        <v/>
      </c>
      <c r="H433">
        <f>IF($A433="","",SUMIFS('Таблиця 1'!$K:$K,'Таблиця 1'!$B:$B,$A433,'Таблиця 1'!$I:$I,"Mi-8",'Таблиця 1'!$J:$J,"UAR-80")+SUMIFS('Таблиця 1'!$K:$K,'Таблиця 1'!$B:$B,$A433,'Таблиця 1'!$I:$I,"Mi-24",'Таблиця 1'!$J:$J,"UAR-80"))</f>
        <v/>
      </c>
      <c r="I433">
        <f>IF($A433="","",SUMIFS('Таблиця 1'!$K:$K,'Таблиця 1'!$B:$B,$A433,'Таблиця 1'!$I:$I,"Mi-8",'Таблиця 1'!$J:$J,"C-13")+SUMIFS('Таблиця 1'!$K:$K,'Таблиця 1'!$B:$B,$A433,'Таблиця 1'!$I:$I,"Mi-24",'Таблиця 1'!$J:$J,"C-13"))</f>
        <v/>
      </c>
      <c r="J433">
        <f>IF($A433="","",SUMIFS('Таблиця 1'!$K:$K,'Таблиця 1'!$B:$B,$A433,'Таблиця 1'!$I:$I,"Mi-8",'Таблиця 1'!$J:$J,"Hydra-70")+SUMIFS('Таблиця 1'!$K:$K,'Таблиця 1'!$B:$B,$A433,'Таблиця 1'!$I:$I,"Mi-24",'Таблиця 1'!$J:$J,"Hydra-70"))</f>
        <v/>
      </c>
      <c r="K433">
        <f>IF($A433="","",SUMIFS('Таблиця 1'!$K:$K,'Таблиця 1'!$B:$B,$A433,'Таблиця 1'!$I:$I,"Mi-8",'Таблиця 1'!$J:$J,"Thales-70")+SUMIFS('Таблиця 1'!$K:$K,'Таблиця 1'!$B:$B,$A433,'Таблиця 1'!$I:$I,"Mi-24",'Таблиця 1'!$J:$J,"Thales-70"))</f>
        <v/>
      </c>
      <c r="L433">
        <f>IF($A433="","",SUMIFS('Таблиця 1'!$K:$K,'Таблиця 1'!$B:$B,$A433,'Таблиця 1'!$I:$I,"Mi-8",'Таблиця 1'!$J:$J,"Thales-FZ")+SUMIFS('Таблиця 1'!$K:$K,'Таблиця 1'!$B:$B,$A433,'Таблиця 1'!$I:$I,"Mi-24",'Таблиця 1'!$J:$J,"Thales-FZ"))</f>
        <v/>
      </c>
      <c r="M433">
        <f>IF($A433="","",SUMIFS('Таблиця 1'!$K:$K,'Таблиця 1'!$B:$B,$A433,'Таблиця 1'!$I:$I,"Mi-8",'Таблиця 1'!$J:$J,"МК-40")+SUMIFS('Таблиця 1'!$K:$K,'Таблиця 1'!$B:$B,$A433,'Таблиця 1'!$I:$I,"Mi-24",'Таблиця 1'!$J:$J,"МК-40"))</f>
        <v/>
      </c>
      <c r="N433">
        <f>IF($A433="","",SUMIFS('Таблиця 1'!$K:$K,'Таблиця 1'!$B:$B,$A433,'Таблиця 1'!$I:$I,"Mi-8",'Таблиця 1'!$J:$J,"Zuni")+SUMIFS('Таблиця 1'!$K:$K,'Таблиця 1'!$B:$B,$A433,'Таблиця 1'!$I:$I,"Mi-24",'Таблиця 1'!$J:$J,"Zuni"))</f>
        <v/>
      </c>
      <c r="O433">
        <f>IF($A433="","",COUNTIFS('Таблиця 1'!$B:$B,$A433,'Таблиця 1'!$I:$I,"Mi-8",'Таблиця 1'!$L:$L,"Уражено")+COUNTIFS('Таблиця 1'!$B:$B,$A433,'Таблиця 1'!$I:$I,"Mi-24",'Таблиця 1'!$L:$L,"Уражено"))</f>
        <v/>
      </c>
      <c r="P433">
        <f>IF($A433="","",COUNTIFS('Таблиця 1'!$B:$B,$A433,'Таблиця 1'!$I:$I,"Mi-8",'Таблиця 1'!$L:$L,"НЕ уражено")+COUNTIFS('Таблиця 1'!$B:$B,$A433,'Таблиця 1'!$I:$I,"Mi-24",'Таблиця 1'!$L:$L,"НЕ уражено"))</f>
        <v/>
      </c>
    </row>
    <row r="434">
      <c r="A434" s="273">
        <f>IF(A433="","",IF(A433+1&gt;MAX('Таблиця 1'!$B:$B),"",A433+1))</f>
        <v/>
      </c>
      <c r="B434">
        <f>IF($A434="","",COUNTIFS('Таблиця 1'!$B:$B,$A434,'Таблиця 1'!$I:$I,"Mi-8")+COUNTIFS('Таблиця 1'!$B:$B,$A434,'Таблиця 1'!$I:$I,"Mi-24"))</f>
        <v/>
      </c>
      <c r="C434">
        <f>IF($A434="","",COUNTIFS('Таблиця 1'!$B:$B,$A434,'Таблиця 1'!$I:$I,"Mi-8"))</f>
        <v/>
      </c>
      <c r="D434">
        <f>IF($A434="","",COUNTIFS('Таблиця 1'!$B:$B,$A434,'Таблиця 1'!$I:$I,"Mi-24"))</f>
        <v/>
      </c>
      <c r="E434">
        <f>IF($A434="","",SUMIFS('Таблиця 1'!$K:$K,'Таблиця 1'!$B:$B,$A434,'Таблиця 1'!$I:$I,"Mi-8",'Таблиця 1'!$J:$J,"ARS-8")+SUMIFS('Таблиця 1'!$K:$K,'Таблиця 1'!$B:$B,$A434,'Таблиця 1'!$I:$I,"Mi-24",'Таблиця 1'!$J:$J,"ARS-8"))</f>
        <v/>
      </c>
      <c r="F434">
        <f>IF($A434="","",SUMIFS('Таблиця 1'!$K:$K,'Таблиця 1'!$B:$B,$A434,'Таблиця 1'!$I:$I,"Mi-8",'Таблиця 1'!$J:$J,"С-8 ком")+SUMIFS('Таблиця 1'!$K:$K,'Таблиця 1'!$B:$B,$A434,'Таблиця 1'!$I:$I,"Mi-24",'Таблиця 1'!$J:$J,"С-8 ком"))</f>
        <v/>
      </c>
      <c r="G434">
        <f>IF($A434="","",SUMIFS('Таблиця 1'!$K:$K,'Таблиця 1'!$B:$B,$A434,'Таблиця 1'!$I:$I,"Mi-8",'Таблиця 1'!$J:$J,"PC-80")+SUMIFS('Таблиця 1'!$K:$K,'Таблиця 1'!$B:$B,$A434,'Таблиця 1'!$I:$I,"Mi-24",'Таблиця 1'!$J:$J,"PC-80"))</f>
        <v/>
      </c>
      <c r="H434">
        <f>IF($A434="","",SUMIFS('Таблиця 1'!$K:$K,'Таблиця 1'!$B:$B,$A434,'Таблиця 1'!$I:$I,"Mi-8",'Таблиця 1'!$J:$J,"UAR-80")+SUMIFS('Таблиця 1'!$K:$K,'Таблиця 1'!$B:$B,$A434,'Таблиця 1'!$I:$I,"Mi-24",'Таблиця 1'!$J:$J,"UAR-80"))</f>
        <v/>
      </c>
      <c r="I434">
        <f>IF($A434="","",SUMIFS('Таблиця 1'!$K:$K,'Таблиця 1'!$B:$B,$A434,'Таблиця 1'!$I:$I,"Mi-8",'Таблиця 1'!$J:$J,"C-13")+SUMIFS('Таблиця 1'!$K:$K,'Таблиця 1'!$B:$B,$A434,'Таблиця 1'!$I:$I,"Mi-24",'Таблиця 1'!$J:$J,"C-13"))</f>
        <v/>
      </c>
      <c r="J434">
        <f>IF($A434="","",SUMIFS('Таблиця 1'!$K:$K,'Таблиця 1'!$B:$B,$A434,'Таблиця 1'!$I:$I,"Mi-8",'Таблиця 1'!$J:$J,"Hydra-70")+SUMIFS('Таблиця 1'!$K:$K,'Таблиця 1'!$B:$B,$A434,'Таблиця 1'!$I:$I,"Mi-24",'Таблиця 1'!$J:$J,"Hydra-70"))</f>
        <v/>
      </c>
      <c r="K434">
        <f>IF($A434="","",SUMIFS('Таблиця 1'!$K:$K,'Таблиця 1'!$B:$B,$A434,'Таблиця 1'!$I:$I,"Mi-8",'Таблиця 1'!$J:$J,"Thales-70")+SUMIFS('Таблиця 1'!$K:$K,'Таблиця 1'!$B:$B,$A434,'Таблиця 1'!$I:$I,"Mi-24",'Таблиця 1'!$J:$J,"Thales-70"))</f>
        <v/>
      </c>
      <c r="L434">
        <f>IF($A434="","",SUMIFS('Таблиця 1'!$K:$K,'Таблиця 1'!$B:$B,$A434,'Таблиця 1'!$I:$I,"Mi-8",'Таблиця 1'!$J:$J,"Thales-FZ")+SUMIFS('Таблиця 1'!$K:$K,'Таблиця 1'!$B:$B,$A434,'Таблиця 1'!$I:$I,"Mi-24",'Таблиця 1'!$J:$J,"Thales-FZ"))</f>
        <v/>
      </c>
      <c r="M434">
        <f>IF($A434="","",SUMIFS('Таблиця 1'!$K:$K,'Таблиця 1'!$B:$B,$A434,'Таблиця 1'!$I:$I,"Mi-8",'Таблиця 1'!$J:$J,"МК-40")+SUMIFS('Таблиця 1'!$K:$K,'Таблиця 1'!$B:$B,$A434,'Таблиця 1'!$I:$I,"Mi-24",'Таблиця 1'!$J:$J,"МК-40"))</f>
        <v/>
      </c>
      <c r="N434">
        <f>IF($A434="","",SUMIFS('Таблиця 1'!$K:$K,'Таблиця 1'!$B:$B,$A434,'Таблиця 1'!$I:$I,"Mi-8",'Таблиця 1'!$J:$J,"Zuni")+SUMIFS('Таблиця 1'!$K:$K,'Таблиця 1'!$B:$B,$A434,'Таблиця 1'!$I:$I,"Mi-24",'Таблиця 1'!$J:$J,"Zuni"))</f>
        <v/>
      </c>
      <c r="O434">
        <f>IF($A434="","",COUNTIFS('Таблиця 1'!$B:$B,$A434,'Таблиця 1'!$I:$I,"Mi-8",'Таблиця 1'!$L:$L,"Уражено")+COUNTIFS('Таблиця 1'!$B:$B,$A434,'Таблиця 1'!$I:$I,"Mi-24",'Таблиця 1'!$L:$L,"Уражено"))</f>
        <v/>
      </c>
      <c r="P434">
        <f>IF($A434="","",COUNTIFS('Таблиця 1'!$B:$B,$A434,'Таблиця 1'!$I:$I,"Mi-8",'Таблиця 1'!$L:$L,"НЕ уражено")+COUNTIFS('Таблиця 1'!$B:$B,$A434,'Таблиця 1'!$I:$I,"Mi-24",'Таблиця 1'!$L:$L,"НЕ уражено"))</f>
        <v/>
      </c>
    </row>
    <row r="435">
      <c r="A435" s="273">
        <f>IF(A434="","",IF(A434+1&gt;MAX('Таблиця 1'!$B:$B),"",A434+1))</f>
        <v/>
      </c>
      <c r="B435">
        <f>IF($A435="","",COUNTIFS('Таблиця 1'!$B:$B,$A435,'Таблиця 1'!$I:$I,"Mi-8")+COUNTIFS('Таблиця 1'!$B:$B,$A435,'Таблиця 1'!$I:$I,"Mi-24"))</f>
        <v/>
      </c>
      <c r="C435">
        <f>IF($A435="","",COUNTIFS('Таблиця 1'!$B:$B,$A435,'Таблиця 1'!$I:$I,"Mi-8"))</f>
        <v/>
      </c>
      <c r="D435">
        <f>IF($A435="","",COUNTIFS('Таблиця 1'!$B:$B,$A435,'Таблиця 1'!$I:$I,"Mi-24"))</f>
        <v/>
      </c>
      <c r="E435">
        <f>IF($A435="","",SUMIFS('Таблиця 1'!$K:$K,'Таблиця 1'!$B:$B,$A435,'Таблиця 1'!$I:$I,"Mi-8",'Таблиця 1'!$J:$J,"ARS-8")+SUMIFS('Таблиця 1'!$K:$K,'Таблиця 1'!$B:$B,$A435,'Таблиця 1'!$I:$I,"Mi-24",'Таблиця 1'!$J:$J,"ARS-8"))</f>
        <v/>
      </c>
      <c r="F435">
        <f>IF($A435="","",SUMIFS('Таблиця 1'!$K:$K,'Таблиця 1'!$B:$B,$A435,'Таблиця 1'!$I:$I,"Mi-8",'Таблиця 1'!$J:$J,"С-8 ком")+SUMIFS('Таблиця 1'!$K:$K,'Таблиця 1'!$B:$B,$A435,'Таблиця 1'!$I:$I,"Mi-24",'Таблиця 1'!$J:$J,"С-8 ком"))</f>
        <v/>
      </c>
      <c r="G435">
        <f>IF($A435="","",SUMIFS('Таблиця 1'!$K:$K,'Таблиця 1'!$B:$B,$A435,'Таблиця 1'!$I:$I,"Mi-8",'Таблиця 1'!$J:$J,"PC-80")+SUMIFS('Таблиця 1'!$K:$K,'Таблиця 1'!$B:$B,$A435,'Таблиця 1'!$I:$I,"Mi-24",'Таблиця 1'!$J:$J,"PC-80"))</f>
        <v/>
      </c>
      <c r="H435">
        <f>IF($A435="","",SUMIFS('Таблиця 1'!$K:$K,'Таблиця 1'!$B:$B,$A435,'Таблиця 1'!$I:$I,"Mi-8",'Таблиця 1'!$J:$J,"UAR-80")+SUMIFS('Таблиця 1'!$K:$K,'Таблиця 1'!$B:$B,$A435,'Таблиця 1'!$I:$I,"Mi-24",'Таблиця 1'!$J:$J,"UAR-80"))</f>
        <v/>
      </c>
      <c r="I435">
        <f>IF($A435="","",SUMIFS('Таблиця 1'!$K:$K,'Таблиця 1'!$B:$B,$A435,'Таблиця 1'!$I:$I,"Mi-8",'Таблиця 1'!$J:$J,"C-13")+SUMIFS('Таблиця 1'!$K:$K,'Таблиця 1'!$B:$B,$A435,'Таблиця 1'!$I:$I,"Mi-24",'Таблиця 1'!$J:$J,"C-13"))</f>
        <v/>
      </c>
      <c r="J435">
        <f>IF($A435="","",SUMIFS('Таблиця 1'!$K:$K,'Таблиця 1'!$B:$B,$A435,'Таблиця 1'!$I:$I,"Mi-8",'Таблиця 1'!$J:$J,"Hydra-70")+SUMIFS('Таблиця 1'!$K:$K,'Таблиця 1'!$B:$B,$A435,'Таблиця 1'!$I:$I,"Mi-24",'Таблиця 1'!$J:$J,"Hydra-70"))</f>
        <v/>
      </c>
      <c r="K435">
        <f>IF($A435="","",SUMIFS('Таблиця 1'!$K:$K,'Таблиця 1'!$B:$B,$A435,'Таблиця 1'!$I:$I,"Mi-8",'Таблиця 1'!$J:$J,"Thales-70")+SUMIFS('Таблиця 1'!$K:$K,'Таблиця 1'!$B:$B,$A435,'Таблиця 1'!$I:$I,"Mi-24",'Таблиця 1'!$J:$J,"Thales-70"))</f>
        <v/>
      </c>
      <c r="L435">
        <f>IF($A435="","",SUMIFS('Таблиця 1'!$K:$K,'Таблиця 1'!$B:$B,$A435,'Таблиця 1'!$I:$I,"Mi-8",'Таблиця 1'!$J:$J,"Thales-FZ")+SUMIFS('Таблиця 1'!$K:$K,'Таблиця 1'!$B:$B,$A435,'Таблиця 1'!$I:$I,"Mi-24",'Таблиця 1'!$J:$J,"Thales-FZ"))</f>
        <v/>
      </c>
      <c r="M435">
        <f>IF($A435="","",SUMIFS('Таблиця 1'!$K:$K,'Таблиця 1'!$B:$B,$A435,'Таблиця 1'!$I:$I,"Mi-8",'Таблиця 1'!$J:$J,"МК-40")+SUMIFS('Таблиця 1'!$K:$K,'Таблиця 1'!$B:$B,$A435,'Таблиця 1'!$I:$I,"Mi-24",'Таблиця 1'!$J:$J,"МК-40"))</f>
        <v/>
      </c>
      <c r="N435">
        <f>IF($A435="","",SUMIFS('Таблиця 1'!$K:$K,'Таблиця 1'!$B:$B,$A435,'Таблиця 1'!$I:$I,"Mi-8",'Таблиця 1'!$J:$J,"Zuni")+SUMIFS('Таблиця 1'!$K:$K,'Таблиця 1'!$B:$B,$A435,'Таблиця 1'!$I:$I,"Mi-24",'Таблиця 1'!$J:$J,"Zuni"))</f>
        <v/>
      </c>
      <c r="O435">
        <f>IF($A435="","",COUNTIFS('Таблиця 1'!$B:$B,$A435,'Таблиця 1'!$I:$I,"Mi-8",'Таблиця 1'!$L:$L,"Уражено")+COUNTIFS('Таблиця 1'!$B:$B,$A435,'Таблиця 1'!$I:$I,"Mi-24",'Таблиця 1'!$L:$L,"Уражено"))</f>
        <v/>
      </c>
      <c r="P435">
        <f>IF($A435="","",COUNTIFS('Таблиця 1'!$B:$B,$A435,'Таблиця 1'!$I:$I,"Mi-8",'Таблиця 1'!$L:$L,"НЕ уражено")+COUNTIFS('Таблиця 1'!$B:$B,$A435,'Таблиця 1'!$I:$I,"Mi-24",'Таблиця 1'!$L:$L,"НЕ уражено"))</f>
        <v/>
      </c>
    </row>
    <row r="436">
      <c r="A436" s="273">
        <f>IF(A435="","",IF(A435+1&gt;MAX('Таблиця 1'!$B:$B),"",A435+1))</f>
        <v/>
      </c>
      <c r="B436">
        <f>IF($A436="","",COUNTIFS('Таблиця 1'!$B:$B,$A436,'Таблиця 1'!$I:$I,"Mi-8")+COUNTIFS('Таблиця 1'!$B:$B,$A436,'Таблиця 1'!$I:$I,"Mi-24"))</f>
        <v/>
      </c>
      <c r="C436">
        <f>IF($A436="","",COUNTIFS('Таблиця 1'!$B:$B,$A436,'Таблиця 1'!$I:$I,"Mi-8"))</f>
        <v/>
      </c>
      <c r="D436">
        <f>IF($A436="","",COUNTIFS('Таблиця 1'!$B:$B,$A436,'Таблиця 1'!$I:$I,"Mi-24"))</f>
        <v/>
      </c>
      <c r="E436">
        <f>IF($A436="","",SUMIFS('Таблиця 1'!$K:$K,'Таблиця 1'!$B:$B,$A436,'Таблиця 1'!$I:$I,"Mi-8",'Таблиця 1'!$J:$J,"ARS-8")+SUMIFS('Таблиця 1'!$K:$K,'Таблиця 1'!$B:$B,$A436,'Таблиця 1'!$I:$I,"Mi-24",'Таблиця 1'!$J:$J,"ARS-8"))</f>
        <v/>
      </c>
      <c r="F436">
        <f>IF($A436="","",SUMIFS('Таблиця 1'!$K:$K,'Таблиця 1'!$B:$B,$A436,'Таблиця 1'!$I:$I,"Mi-8",'Таблиця 1'!$J:$J,"С-8 ком")+SUMIFS('Таблиця 1'!$K:$K,'Таблиця 1'!$B:$B,$A436,'Таблиця 1'!$I:$I,"Mi-24",'Таблиця 1'!$J:$J,"С-8 ком"))</f>
        <v/>
      </c>
      <c r="G436">
        <f>IF($A436="","",SUMIFS('Таблиця 1'!$K:$K,'Таблиця 1'!$B:$B,$A436,'Таблиця 1'!$I:$I,"Mi-8",'Таблиця 1'!$J:$J,"PC-80")+SUMIFS('Таблиця 1'!$K:$K,'Таблиця 1'!$B:$B,$A436,'Таблиця 1'!$I:$I,"Mi-24",'Таблиця 1'!$J:$J,"PC-80"))</f>
        <v/>
      </c>
      <c r="H436">
        <f>IF($A436="","",SUMIFS('Таблиця 1'!$K:$K,'Таблиця 1'!$B:$B,$A436,'Таблиця 1'!$I:$I,"Mi-8",'Таблиця 1'!$J:$J,"UAR-80")+SUMIFS('Таблиця 1'!$K:$K,'Таблиця 1'!$B:$B,$A436,'Таблиця 1'!$I:$I,"Mi-24",'Таблиця 1'!$J:$J,"UAR-80"))</f>
        <v/>
      </c>
      <c r="I436">
        <f>IF($A436="","",SUMIFS('Таблиця 1'!$K:$K,'Таблиця 1'!$B:$B,$A436,'Таблиця 1'!$I:$I,"Mi-8",'Таблиця 1'!$J:$J,"C-13")+SUMIFS('Таблиця 1'!$K:$K,'Таблиця 1'!$B:$B,$A436,'Таблиця 1'!$I:$I,"Mi-24",'Таблиця 1'!$J:$J,"C-13"))</f>
        <v/>
      </c>
      <c r="J436">
        <f>IF($A436="","",SUMIFS('Таблиця 1'!$K:$K,'Таблиця 1'!$B:$B,$A436,'Таблиця 1'!$I:$I,"Mi-8",'Таблиця 1'!$J:$J,"Hydra-70")+SUMIFS('Таблиця 1'!$K:$K,'Таблиця 1'!$B:$B,$A436,'Таблиця 1'!$I:$I,"Mi-24",'Таблиця 1'!$J:$J,"Hydra-70"))</f>
        <v/>
      </c>
      <c r="K436">
        <f>IF($A436="","",SUMIFS('Таблиця 1'!$K:$K,'Таблиця 1'!$B:$B,$A436,'Таблиця 1'!$I:$I,"Mi-8",'Таблиця 1'!$J:$J,"Thales-70")+SUMIFS('Таблиця 1'!$K:$K,'Таблиця 1'!$B:$B,$A436,'Таблиця 1'!$I:$I,"Mi-24",'Таблиця 1'!$J:$J,"Thales-70"))</f>
        <v/>
      </c>
      <c r="L436">
        <f>IF($A436="","",SUMIFS('Таблиця 1'!$K:$K,'Таблиця 1'!$B:$B,$A436,'Таблиця 1'!$I:$I,"Mi-8",'Таблиця 1'!$J:$J,"Thales-FZ")+SUMIFS('Таблиця 1'!$K:$K,'Таблиця 1'!$B:$B,$A436,'Таблиця 1'!$I:$I,"Mi-24",'Таблиця 1'!$J:$J,"Thales-FZ"))</f>
        <v/>
      </c>
      <c r="M436">
        <f>IF($A436="","",SUMIFS('Таблиця 1'!$K:$K,'Таблиця 1'!$B:$B,$A436,'Таблиця 1'!$I:$I,"Mi-8",'Таблиця 1'!$J:$J,"МК-40")+SUMIFS('Таблиця 1'!$K:$K,'Таблиця 1'!$B:$B,$A436,'Таблиця 1'!$I:$I,"Mi-24",'Таблиця 1'!$J:$J,"МК-40"))</f>
        <v/>
      </c>
      <c r="N436">
        <f>IF($A436="","",SUMIFS('Таблиця 1'!$K:$K,'Таблиця 1'!$B:$B,$A436,'Таблиця 1'!$I:$I,"Mi-8",'Таблиця 1'!$J:$J,"Zuni")+SUMIFS('Таблиця 1'!$K:$K,'Таблиця 1'!$B:$B,$A436,'Таблиця 1'!$I:$I,"Mi-24",'Таблиця 1'!$J:$J,"Zuni"))</f>
        <v/>
      </c>
      <c r="O436">
        <f>IF($A436="","",COUNTIFS('Таблиця 1'!$B:$B,$A436,'Таблиця 1'!$I:$I,"Mi-8",'Таблиця 1'!$L:$L,"Уражено")+COUNTIFS('Таблиця 1'!$B:$B,$A436,'Таблиця 1'!$I:$I,"Mi-24",'Таблиця 1'!$L:$L,"Уражено"))</f>
        <v/>
      </c>
      <c r="P436">
        <f>IF($A436="","",COUNTIFS('Таблиця 1'!$B:$B,$A436,'Таблиця 1'!$I:$I,"Mi-8",'Таблиця 1'!$L:$L,"НЕ уражено")+COUNTIFS('Таблиця 1'!$B:$B,$A436,'Таблиця 1'!$I:$I,"Mi-24",'Таблиця 1'!$L:$L,"НЕ уражено"))</f>
        <v/>
      </c>
    </row>
    <row r="437">
      <c r="A437" s="273">
        <f>IF(A436="","",IF(A436+1&gt;MAX('Таблиця 1'!$B:$B),"",A436+1))</f>
        <v/>
      </c>
      <c r="B437">
        <f>IF($A437="","",COUNTIFS('Таблиця 1'!$B:$B,$A437,'Таблиця 1'!$I:$I,"Mi-8")+COUNTIFS('Таблиця 1'!$B:$B,$A437,'Таблиця 1'!$I:$I,"Mi-24"))</f>
        <v/>
      </c>
      <c r="C437">
        <f>IF($A437="","",COUNTIFS('Таблиця 1'!$B:$B,$A437,'Таблиця 1'!$I:$I,"Mi-8"))</f>
        <v/>
      </c>
      <c r="D437">
        <f>IF($A437="","",COUNTIFS('Таблиця 1'!$B:$B,$A437,'Таблиця 1'!$I:$I,"Mi-24"))</f>
        <v/>
      </c>
      <c r="E437">
        <f>IF($A437="","",SUMIFS('Таблиця 1'!$K:$K,'Таблиця 1'!$B:$B,$A437,'Таблиця 1'!$I:$I,"Mi-8",'Таблиця 1'!$J:$J,"ARS-8")+SUMIFS('Таблиця 1'!$K:$K,'Таблиця 1'!$B:$B,$A437,'Таблиця 1'!$I:$I,"Mi-24",'Таблиця 1'!$J:$J,"ARS-8"))</f>
        <v/>
      </c>
      <c r="F437">
        <f>IF($A437="","",SUMIFS('Таблиця 1'!$K:$K,'Таблиця 1'!$B:$B,$A437,'Таблиця 1'!$I:$I,"Mi-8",'Таблиця 1'!$J:$J,"С-8 ком")+SUMIFS('Таблиця 1'!$K:$K,'Таблиця 1'!$B:$B,$A437,'Таблиця 1'!$I:$I,"Mi-24",'Таблиця 1'!$J:$J,"С-8 ком"))</f>
        <v/>
      </c>
      <c r="G437">
        <f>IF($A437="","",SUMIFS('Таблиця 1'!$K:$K,'Таблиця 1'!$B:$B,$A437,'Таблиця 1'!$I:$I,"Mi-8",'Таблиця 1'!$J:$J,"PC-80")+SUMIFS('Таблиця 1'!$K:$K,'Таблиця 1'!$B:$B,$A437,'Таблиця 1'!$I:$I,"Mi-24",'Таблиця 1'!$J:$J,"PC-80"))</f>
        <v/>
      </c>
      <c r="H437">
        <f>IF($A437="","",SUMIFS('Таблиця 1'!$K:$K,'Таблиця 1'!$B:$B,$A437,'Таблиця 1'!$I:$I,"Mi-8",'Таблиця 1'!$J:$J,"UAR-80")+SUMIFS('Таблиця 1'!$K:$K,'Таблиця 1'!$B:$B,$A437,'Таблиця 1'!$I:$I,"Mi-24",'Таблиця 1'!$J:$J,"UAR-80"))</f>
        <v/>
      </c>
      <c r="I437">
        <f>IF($A437="","",SUMIFS('Таблиця 1'!$K:$K,'Таблиця 1'!$B:$B,$A437,'Таблиця 1'!$I:$I,"Mi-8",'Таблиця 1'!$J:$J,"C-13")+SUMIFS('Таблиця 1'!$K:$K,'Таблиця 1'!$B:$B,$A437,'Таблиця 1'!$I:$I,"Mi-24",'Таблиця 1'!$J:$J,"C-13"))</f>
        <v/>
      </c>
      <c r="J437">
        <f>IF($A437="","",SUMIFS('Таблиця 1'!$K:$K,'Таблиця 1'!$B:$B,$A437,'Таблиця 1'!$I:$I,"Mi-8",'Таблиця 1'!$J:$J,"Hydra-70")+SUMIFS('Таблиця 1'!$K:$K,'Таблиця 1'!$B:$B,$A437,'Таблиця 1'!$I:$I,"Mi-24",'Таблиця 1'!$J:$J,"Hydra-70"))</f>
        <v/>
      </c>
      <c r="K437">
        <f>IF($A437="","",SUMIFS('Таблиця 1'!$K:$K,'Таблиця 1'!$B:$B,$A437,'Таблиця 1'!$I:$I,"Mi-8",'Таблиця 1'!$J:$J,"Thales-70")+SUMIFS('Таблиця 1'!$K:$K,'Таблиця 1'!$B:$B,$A437,'Таблиця 1'!$I:$I,"Mi-24",'Таблиця 1'!$J:$J,"Thales-70"))</f>
        <v/>
      </c>
      <c r="L437">
        <f>IF($A437="","",SUMIFS('Таблиця 1'!$K:$K,'Таблиця 1'!$B:$B,$A437,'Таблиця 1'!$I:$I,"Mi-8",'Таблиця 1'!$J:$J,"Thales-FZ")+SUMIFS('Таблиця 1'!$K:$K,'Таблиця 1'!$B:$B,$A437,'Таблиця 1'!$I:$I,"Mi-24",'Таблиця 1'!$J:$J,"Thales-FZ"))</f>
        <v/>
      </c>
      <c r="M437">
        <f>IF($A437="","",SUMIFS('Таблиця 1'!$K:$K,'Таблиця 1'!$B:$B,$A437,'Таблиця 1'!$I:$I,"Mi-8",'Таблиця 1'!$J:$J,"МК-40")+SUMIFS('Таблиця 1'!$K:$K,'Таблиця 1'!$B:$B,$A437,'Таблиця 1'!$I:$I,"Mi-24",'Таблиця 1'!$J:$J,"МК-40"))</f>
        <v/>
      </c>
      <c r="N437">
        <f>IF($A437="","",SUMIFS('Таблиця 1'!$K:$K,'Таблиця 1'!$B:$B,$A437,'Таблиця 1'!$I:$I,"Mi-8",'Таблиця 1'!$J:$J,"Zuni")+SUMIFS('Таблиця 1'!$K:$K,'Таблиця 1'!$B:$B,$A437,'Таблиця 1'!$I:$I,"Mi-24",'Таблиця 1'!$J:$J,"Zuni"))</f>
        <v/>
      </c>
      <c r="O437">
        <f>IF($A437="","",COUNTIFS('Таблиця 1'!$B:$B,$A437,'Таблиця 1'!$I:$I,"Mi-8",'Таблиця 1'!$L:$L,"Уражено")+COUNTIFS('Таблиця 1'!$B:$B,$A437,'Таблиця 1'!$I:$I,"Mi-24",'Таблиця 1'!$L:$L,"Уражено"))</f>
        <v/>
      </c>
      <c r="P437">
        <f>IF($A437="","",COUNTIFS('Таблиця 1'!$B:$B,$A437,'Таблиця 1'!$I:$I,"Mi-8",'Таблиця 1'!$L:$L,"НЕ уражено")+COUNTIFS('Таблиця 1'!$B:$B,$A437,'Таблиця 1'!$I:$I,"Mi-24",'Таблиця 1'!$L:$L,"НЕ уражено"))</f>
        <v/>
      </c>
    </row>
    <row r="438">
      <c r="A438" s="273">
        <f>IF(A437="","",IF(A437+1&gt;MAX('Таблиця 1'!$B:$B),"",A437+1))</f>
        <v/>
      </c>
      <c r="B438">
        <f>IF($A438="","",COUNTIFS('Таблиця 1'!$B:$B,$A438,'Таблиця 1'!$I:$I,"Mi-8")+COUNTIFS('Таблиця 1'!$B:$B,$A438,'Таблиця 1'!$I:$I,"Mi-24"))</f>
        <v/>
      </c>
      <c r="C438">
        <f>IF($A438="","",COUNTIFS('Таблиця 1'!$B:$B,$A438,'Таблиця 1'!$I:$I,"Mi-8"))</f>
        <v/>
      </c>
      <c r="D438">
        <f>IF($A438="","",COUNTIFS('Таблиця 1'!$B:$B,$A438,'Таблиця 1'!$I:$I,"Mi-24"))</f>
        <v/>
      </c>
      <c r="E438">
        <f>IF($A438="","",SUMIFS('Таблиця 1'!$K:$K,'Таблиця 1'!$B:$B,$A438,'Таблиця 1'!$I:$I,"Mi-8",'Таблиця 1'!$J:$J,"ARS-8")+SUMIFS('Таблиця 1'!$K:$K,'Таблиця 1'!$B:$B,$A438,'Таблиця 1'!$I:$I,"Mi-24",'Таблиця 1'!$J:$J,"ARS-8"))</f>
        <v/>
      </c>
      <c r="F438">
        <f>IF($A438="","",SUMIFS('Таблиця 1'!$K:$K,'Таблиця 1'!$B:$B,$A438,'Таблиця 1'!$I:$I,"Mi-8",'Таблиця 1'!$J:$J,"С-8 ком")+SUMIFS('Таблиця 1'!$K:$K,'Таблиця 1'!$B:$B,$A438,'Таблиця 1'!$I:$I,"Mi-24",'Таблиця 1'!$J:$J,"С-8 ком"))</f>
        <v/>
      </c>
      <c r="G438">
        <f>IF($A438="","",SUMIFS('Таблиця 1'!$K:$K,'Таблиця 1'!$B:$B,$A438,'Таблиця 1'!$I:$I,"Mi-8",'Таблиця 1'!$J:$J,"PC-80")+SUMIFS('Таблиця 1'!$K:$K,'Таблиця 1'!$B:$B,$A438,'Таблиця 1'!$I:$I,"Mi-24",'Таблиця 1'!$J:$J,"PC-80"))</f>
        <v/>
      </c>
      <c r="H438">
        <f>IF($A438="","",SUMIFS('Таблиця 1'!$K:$K,'Таблиця 1'!$B:$B,$A438,'Таблиця 1'!$I:$I,"Mi-8",'Таблиця 1'!$J:$J,"UAR-80")+SUMIFS('Таблиця 1'!$K:$K,'Таблиця 1'!$B:$B,$A438,'Таблиця 1'!$I:$I,"Mi-24",'Таблиця 1'!$J:$J,"UAR-80"))</f>
        <v/>
      </c>
      <c r="I438">
        <f>IF($A438="","",SUMIFS('Таблиця 1'!$K:$K,'Таблиця 1'!$B:$B,$A438,'Таблиця 1'!$I:$I,"Mi-8",'Таблиця 1'!$J:$J,"C-13")+SUMIFS('Таблиця 1'!$K:$K,'Таблиця 1'!$B:$B,$A438,'Таблиця 1'!$I:$I,"Mi-24",'Таблиця 1'!$J:$J,"C-13"))</f>
        <v/>
      </c>
      <c r="J438">
        <f>IF($A438="","",SUMIFS('Таблиця 1'!$K:$K,'Таблиця 1'!$B:$B,$A438,'Таблиця 1'!$I:$I,"Mi-8",'Таблиця 1'!$J:$J,"Hydra-70")+SUMIFS('Таблиця 1'!$K:$K,'Таблиця 1'!$B:$B,$A438,'Таблиця 1'!$I:$I,"Mi-24",'Таблиця 1'!$J:$J,"Hydra-70"))</f>
        <v/>
      </c>
      <c r="K438">
        <f>IF($A438="","",SUMIFS('Таблиця 1'!$K:$K,'Таблиця 1'!$B:$B,$A438,'Таблиця 1'!$I:$I,"Mi-8",'Таблиця 1'!$J:$J,"Thales-70")+SUMIFS('Таблиця 1'!$K:$K,'Таблиця 1'!$B:$B,$A438,'Таблиця 1'!$I:$I,"Mi-24",'Таблиця 1'!$J:$J,"Thales-70"))</f>
        <v/>
      </c>
      <c r="L438">
        <f>IF($A438="","",SUMIFS('Таблиця 1'!$K:$K,'Таблиця 1'!$B:$B,$A438,'Таблиця 1'!$I:$I,"Mi-8",'Таблиця 1'!$J:$J,"Thales-FZ")+SUMIFS('Таблиця 1'!$K:$K,'Таблиця 1'!$B:$B,$A438,'Таблиця 1'!$I:$I,"Mi-24",'Таблиця 1'!$J:$J,"Thales-FZ"))</f>
        <v/>
      </c>
      <c r="M438">
        <f>IF($A438="","",SUMIFS('Таблиця 1'!$K:$K,'Таблиця 1'!$B:$B,$A438,'Таблиця 1'!$I:$I,"Mi-8",'Таблиця 1'!$J:$J,"МК-40")+SUMIFS('Таблиця 1'!$K:$K,'Таблиця 1'!$B:$B,$A438,'Таблиця 1'!$I:$I,"Mi-24",'Таблиця 1'!$J:$J,"МК-40"))</f>
        <v/>
      </c>
      <c r="N438">
        <f>IF($A438="","",SUMIFS('Таблиця 1'!$K:$K,'Таблиця 1'!$B:$B,$A438,'Таблиця 1'!$I:$I,"Mi-8",'Таблиця 1'!$J:$J,"Zuni")+SUMIFS('Таблиця 1'!$K:$K,'Таблиця 1'!$B:$B,$A438,'Таблиця 1'!$I:$I,"Mi-24",'Таблиця 1'!$J:$J,"Zuni"))</f>
        <v/>
      </c>
      <c r="O438">
        <f>IF($A438="","",COUNTIFS('Таблиця 1'!$B:$B,$A438,'Таблиця 1'!$I:$I,"Mi-8",'Таблиця 1'!$L:$L,"Уражено")+COUNTIFS('Таблиця 1'!$B:$B,$A438,'Таблиця 1'!$I:$I,"Mi-24",'Таблиця 1'!$L:$L,"Уражено"))</f>
        <v/>
      </c>
      <c r="P438">
        <f>IF($A438="","",COUNTIFS('Таблиця 1'!$B:$B,$A438,'Таблиця 1'!$I:$I,"Mi-8",'Таблиця 1'!$L:$L,"НЕ уражено")+COUNTIFS('Таблиця 1'!$B:$B,$A438,'Таблиця 1'!$I:$I,"Mi-24",'Таблиця 1'!$L:$L,"НЕ уражено"))</f>
        <v/>
      </c>
    </row>
    <row r="439">
      <c r="A439" s="273">
        <f>IF(A438="","",IF(A438+1&gt;MAX('Таблиця 1'!$B:$B),"",A438+1))</f>
        <v/>
      </c>
      <c r="B439">
        <f>IF($A439="","",COUNTIFS('Таблиця 1'!$B:$B,$A439,'Таблиця 1'!$I:$I,"Mi-8")+COUNTIFS('Таблиця 1'!$B:$B,$A439,'Таблиця 1'!$I:$I,"Mi-24"))</f>
        <v/>
      </c>
      <c r="C439">
        <f>IF($A439="","",COUNTIFS('Таблиця 1'!$B:$B,$A439,'Таблиця 1'!$I:$I,"Mi-8"))</f>
        <v/>
      </c>
      <c r="D439">
        <f>IF($A439="","",COUNTIFS('Таблиця 1'!$B:$B,$A439,'Таблиця 1'!$I:$I,"Mi-24"))</f>
        <v/>
      </c>
      <c r="E439">
        <f>IF($A439="","",SUMIFS('Таблиця 1'!$K:$K,'Таблиця 1'!$B:$B,$A439,'Таблиця 1'!$I:$I,"Mi-8",'Таблиця 1'!$J:$J,"ARS-8")+SUMIFS('Таблиця 1'!$K:$K,'Таблиця 1'!$B:$B,$A439,'Таблиця 1'!$I:$I,"Mi-24",'Таблиця 1'!$J:$J,"ARS-8"))</f>
        <v/>
      </c>
      <c r="F439">
        <f>IF($A439="","",SUMIFS('Таблиця 1'!$K:$K,'Таблиця 1'!$B:$B,$A439,'Таблиця 1'!$I:$I,"Mi-8",'Таблиця 1'!$J:$J,"С-8 ком")+SUMIFS('Таблиця 1'!$K:$K,'Таблиця 1'!$B:$B,$A439,'Таблиця 1'!$I:$I,"Mi-24",'Таблиця 1'!$J:$J,"С-8 ком"))</f>
        <v/>
      </c>
      <c r="G439">
        <f>IF($A439="","",SUMIFS('Таблиця 1'!$K:$K,'Таблиця 1'!$B:$B,$A439,'Таблиця 1'!$I:$I,"Mi-8",'Таблиця 1'!$J:$J,"PC-80")+SUMIFS('Таблиця 1'!$K:$K,'Таблиця 1'!$B:$B,$A439,'Таблиця 1'!$I:$I,"Mi-24",'Таблиця 1'!$J:$J,"PC-80"))</f>
        <v/>
      </c>
      <c r="H439">
        <f>IF($A439="","",SUMIFS('Таблиця 1'!$K:$K,'Таблиця 1'!$B:$B,$A439,'Таблиця 1'!$I:$I,"Mi-8",'Таблиця 1'!$J:$J,"UAR-80")+SUMIFS('Таблиця 1'!$K:$K,'Таблиця 1'!$B:$B,$A439,'Таблиця 1'!$I:$I,"Mi-24",'Таблиця 1'!$J:$J,"UAR-80"))</f>
        <v/>
      </c>
      <c r="I439">
        <f>IF($A439="","",SUMIFS('Таблиця 1'!$K:$K,'Таблиця 1'!$B:$B,$A439,'Таблиця 1'!$I:$I,"Mi-8",'Таблиця 1'!$J:$J,"C-13")+SUMIFS('Таблиця 1'!$K:$K,'Таблиця 1'!$B:$B,$A439,'Таблиця 1'!$I:$I,"Mi-24",'Таблиця 1'!$J:$J,"C-13"))</f>
        <v/>
      </c>
      <c r="J439">
        <f>IF($A439="","",SUMIFS('Таблиця 1'!$K:$K,'Таблиця 1'!$B:$B,$A439,'Таблиця 1'!$I:$I,"Mi-8",'Таблиця 1'!$J:$J,"Hydra-70")+SUMIFS('Таблиця 1'!$K:$K,'Таблиця 1'!$B:$B,$A439,'Таблиця 1'!$I:$I,"Mi-24",'Таблиця 1'!$J:$J,"Hydra-70"))</f>
        <v/>
      </c>
      <c r="K439">
        <f>IF($A439="","",SUMIFS('Таблиця 1'!$K:$K,'Таблиця 1'!$B:$B,$A439,'Таблиця 1'!$I:$I,"Mi-8",'Таблиця 1'!$J:$J,"Thales-70")+SUMIFS('Таблиця 1'!$K:$K,'Таблиця 1'!$B:$B,$A439,'Таблиця 1'!$I:$I,"Mi-24",'Таблиця 1'!$J:$J,"Thales-70"))</f>
        <v/>
      </c>
      <c r="L439">
        <f>IF($A439="","",SUMIFS('Таблиця 1'!$K:$K,'Таблиця 1'!$B:$B,$A439,'Таблиця 1'!$I:$I,"Mi-8",'Таблиця 1'!$J:$J,"Thales-FZ")+SUMIFS('Таблиця 1'!$K:$K,'Таблиця 1'!$B:$B,$A439,'Таблиця 1'!$I:$I,"Mi-24",'Таблиця 1'!$J:$J,"Thales-FZ"))</f>
        <v/>
      </c>
      <c r="M439">
        <f>IF($A439="","",SUMIFS('Таблиця 1'!$K:$K,'Таблиця 1'!$B:$B,$A439,'Таблиця 1'!$I:$I,"Mi-8",'Таблиця 1'!$J:$J,"МК-40")+SUMIFS('Таблиця 1'!$K:$K,'Таблиця 1'!$B:$B,$A439,'Таблиця 1'!$I:$I,"Mi-24",'Таблиця 1'!$J:$J,"МК-40"))</f>
        <v/>
      </c>
      <c r="N439">
        <f>IF($A439="","",SUMIFS('Таблиця 1'!$K:$K,'Таблиця 1'!$B:$B,$A439,'Таблиця 1'!$I:$I,"Mi-8",'Таблиця 1'!$J:$J,"Zuni")+SUMIFS('Таблиця 1'!$K:$K,'Таблиця 1'!$B:$B,$A439,'Таблиця 1'!$I:$I,"Mi-24",'Таблиця 1'!$J:$J,"Zuni"))</f>
        <v/>
      </c>
      <c r="O439">
        <f>IF($A439="","",COUNTIFS('Таблиця 1'!$B:$B,$A439,'Таблиця 1'!$I:$I,"Mi-8",'Таблиця 1'!$L:$L,"Уражено")+COUNTIFS('Таблиця 1'!$B:$B,$A439,'Таблиця 1'!$I:$I,"Mi-24",'Таблиця 1'!$L:$L,"Уражено"))</f>
        <v/>
      </c>
      <c r="P439">
        <f>IF($A439="","",COUNTIFS('Таблиця 1'!$B:$B,$A439,'Таблиця 1'!$I:$I,"Mi-8",'Таблиця 1'!$L:$L,"НЕ уражено")+COUNTIFS('Таблиця 1'!$B:$B,$A439,'Таблиця 1'!$I:$I,"Mi-24",'Таблиця 1'!$L:$L,"НЕ уражено"))</f>
        <v/>
      </c>
    </row>
    <row r="440">
      <c r="A440" s="273">
        <f>IF(A439="","",IF(A439+1&gt;MAX('Таблиця 1'!$B:$B),"",A439+1))</f>
        <v/>
      </c>
      <c r="B440">
        <f>IF($A440="","",COUNTIFS('Таблиця 1'!$B:$B,$A440,'Таблиця 1'!$I:$I,"Mi-8")+COUNTIFS('Таблиця 1'!$B:$B,$A440,'Таблиця 1'!$I:$I,"Mi-24"))</f>
        <v/>
      </c>
      <c r="C440">
        <f>IF($A440="","",COUNTIFS('Таблиця 1'!$B:$B,$A440,'Таблиця 1'!$I:$I,"Mi-8"))</f>
        <v/>
      </c>
      <c r="D440">
        <f>IF($A440="","",COUNTIFS('Таблиця 1'!$B:$B,$A440,'Таблиця 1'!$I:$I,"Mi-24"))</f>
        <v/>
      </c>
      <c r="E440">
        <f>IF($A440="","",SUMIFS('Таблиця 1'!$K:$K,'Таблиця 1'!$B:$B,$A440,'Таблиця 1'!$I:$I,"Mi-8",'Таблиця 1'!$J:$J,"ARS-8")+SUMIFS('Таблиця 1'!$K:$K,'Таблиця 1'!$B:$B,$A440,'Таблиця 1'!$I:$I,"Mi-24",'Таблиця 1'!$J:$J,"ARS-8"))</f>
        <v/>
      </c>
      <c r="F440">
        <f>IF($A440="","",SUMIFS('Таблиця 1'!$K:$K,'Таблиця 1'!$B:$B,$A440,'Таблиця 1'!$I:$I,"Mi-8",'Таблиця 1'!$J:$J,"С-8 ком")+SUMIFS('Таблиця 1'!$K:$K,'Таблиця 1'!$B:$B,$A440,'Таблиця 1'!$I:$I,"Mi-24",'Таблиця 1'!$J:$J,"С-8 ком"))</f>
        <v/>
      </c>
      <c r="G440">
        <f>IF($A440="","",SUMIFS('Таблиця 1'!$K:$K,'Таблиця 1'!$B:$B,$A440,'Таблиця 1'!$I:$I,"Mi-8",'Таблиця 1'!$J:$J,"PC-80")+SUMIFS('Таблиця 1'!$K:$K,'Таблиця 1'!$B:$B,$A440,'Таблиця 1'!$I:$I,"Mi-24",'Таблиця 1'!$J:$J,"PC-80"))</f>
        <v/>
      </c>
      <c r="H440">
        <f>IF($A440="","",SUMIFS('Таблиця 1'!$K:$K,'Таблиця 1'!$B:$B,$A440,'Таблиця 1'!$I:$I,"Mi-8",'Таблиця 1'!$J:$J,"UAR-80")+SUMIFS('Таблиця 1'!$K:$K,'Таблиця 1'!$B:$B,$A440,'Таблиця 1'!$I:$I,"Mi-24",'Таблиця 1'!$J:$J,"UAR-80"))</f>
        <v/>
      </c>
      <c r="I440">
        <f>IF($A440="","",SUMIFS('Таблиця 1'!$K:$K,'Таблиця 1'!$B:$B,$A440,'Таблиця 1'!$I:$I,"Mi-8",'Таблиця 1'!$J:$J,"C-13")+SUMIFS('Таблиця 1'!$K:$K,'Таблиця 1'!$B:$B,$A440,'Таблиця 1'!$I:$I,"Mi-24",'Таблиця 1'!$J:$J,"C-13"))</f>
        <v/>
      </c>
      <c r="J440">
        <f>IF($A440="","",SUMIFS('Таблиця 1'!$K:$K,'Таблиця 1'!$B:$B,$A440,'Таблиця 1'!$I:$I,"Mi-8",'Таблиця 1'!$J:$J,"Hydra-70")+SUMIFS('Таблиця 1'!$K:$K,'Таблиця 1'!$B:$B,$A440,'Таблиця 1'!$I:$I,"Mi-24",'Таблиця 1'!$J:$J,"Hydra-70"))</f>
        <v/>
      </c>
      <c r="K440">
        <f>IF($A440="","",SUMIFS('Таблиця 1'!$K:$K,'Таблиця 1'!$B:$B,$A440,'Таблиця 1'!$I:$I,"Mi-8",'Таблиця 1'!$J:$J,"Thales-70")+SUMIFS('Таблиця 1'!$K:$K,'Таблиця 1'!$B:$B,$A440,'Таблиця 1'!$I:$I,"Mi-24",'Таблиця 1'!$J:$J,"Thales-70"))</f>
        <v/>
      </c>
      <c r="L440">
        <f>IF($A440="","",SUMIFS('Таблиця 1'!$K:$K,'Таблиця 1'!$B:$B,$A440,'Таблиця 1'!$I:$I,"Mi-8",'Таблиця 1'!$J:$J,"Thales-FZ")+SUMIFS('Таблиця 1'!$K:$K,'Таблиця 1'!$B:$B,$A440,'Таблиця 1'!$I:$I,"Mi-24",'Таблиця 1'!$J:$J,"Thales-FZ"))</f>
        <v/>
      </c>
      <c r="M440">
        <f>IF($A440="","",SUMIFS('Таблиця 1'!$K:$K,'Таблиця 1'!$B:$B,$A440,'Таблиця 1'!$I:$I,"Mi-8",'Таблиця 1'!$J:$J,"МК-40")+SUMIFS('Таблиця 1'!$K:$K,'Таблиця 1'!$B:$B,$A440,'Таблиця 1'!$I:$I,"Mi-24",'Таблиця 1'!$J:$J,"МК-40"))</f>
        <v/>
      </c>
      <c r="N440">
        <f>IF($A440="","",SUMIFS('Таблиця 1'!$K:$K,'Таблиця 1'!$B:$B,$A440,'Таблиця 1'!$I:$I,"Mi-8",'Таблиця 1'!$J:$J,"Zuni")+SUMIFS('Таблиця 1'!$K:$K,'Таблиця 1'!$B:$B,$A440,'Таблиця 1'!$I:$I,"Mi-24",'Таблиця 1'!$J:$J,"Zuni"))</f>
        <v/>
      </c>
      <c r="O440">
        <f>IF($A440="","",COUNTIFS('Таблиця 1'!$B:$B,$A440,'Таблиця 1'!$I:$I,"Mi-8",'Таблиця 1'!$L:$L,"Уражено")+COUNTIFS('Таблиця 1'!$B:$B,$A440,'Таблиця 1'!$I:$I,"Mi-24",'Таблиця 1'!$L:$L,"Уражено"))</f>
        <v/>
      </c>
      <c r="P440">
        <f>IF($A440="","",COUNTIFS('Таблиця 1'!$B:$B,$A440,'Таблиця 1'!$I:$I,"Mi-8",'Таблиця 1'!$L:$L,"НЕ уражено")+COUNTIFS('Таблиця 1'!$B:$B,$A440,'Таблиця 1'!$I:$I,"Mi-24",'Таблиця 1'!$L:$L,"НЕ уражено"))</f>
        <v/>
      </c>
    </row>
    <row r="441">
      <c r="A441" s="273">
        <f>IF(A440="","",IF(A440+1&gt;MAX('Таблиця 1'!$B:$B),"",A440+1))</f>
        <v/>
      </c>
      <c r="B441">
        <f>IF($A441="","",COUNTIFS('Таблиця 1'!$B:$B,$A441,'Таблиця 1'!$I:$I,"Mi-8")+COUNTIFS('Таблиця 1'!$B:$B,$A441,'Таблиця 1'!$I:$I,"Mi-24"))</f>
        <v/>
      </c>
      <c r="C441">
        <f>IF($A441="","",COUNTIFS('Таблиця 1'!$B:$B,$A441,'Таблиця 1'!$I:$I,"Mi-8"))</f>
        <v/>
      </c>
      <c r="D441">
        <f>IF($A441="","",COUNTIFS('Таблиця 1'!$B:$B,$A441,'Таблиця 1'!$I:$I,"Mi-24"))</f>
        <v/>
      </c>
      <c r="E441">
        <f>IF($A441="","",SUMIFS('Таблиця 1'!$K:$K,'Таблиця 1'!$B:$B,$A441,'Таблиця 1'!$I:$I,"Mi-8",'Таблиця 1'!$J:$J,"ARS-8")+SUMIFS('Таблиця 1'!$K:$K,'Таблиця 1'!$B:$B,$A441,'Таблиця 1'!$I:$I,"Mi-24",'Таблиця 1'!$J:$J,"ARS-8"))</f>
        <v/>
      </c>
      <c r="F441">
        <f>IF($A441="","",SUMIFS('Таблиця 1'!$K:$K,'Таблиця 1'!$B:$B,$A441,'Таблиця 1'!$I:$I,"Mi-8",'Таблиця 1'!$J:$J,"С-8 ком")+SUMIFS('Таблиця 1'!$K:$K,'Таблиця 1'!$B:$B,$A441,'Таблиця 1'!$I:$I,"Mi-24",'Таблиця 1'!$J:$J,"С-8 ком"))</f>
        <v/>
      </c>
      <c r="G441">
        <f>IF($A441="","",SUMIFS('Таблиця 1'!$K:$K,'Таблиця 1'!$B:$B,$A441,'Таблиця 1'!$I:$I,"Mi-8",'Таблиця 1'!$J:$J,"PC-80")+SUMIFS('Таблиця 1'!$K:$K,'Таблиця 1'!$B:$B,$A441,'Таблиця 1'!$I:$I,"Mi-24",'Таблиця 1'!$J:$J,"PC-80"))</f>
        <v/>
      </c>
      <c r="H441">
        <f>IF($A441="","",SUMIFS('Таблиця 1'!$K:$K,'Таблиця 1'!$B:$B,$A441,'Таблиця 1'!$I:$I,"Mi-8",'Таблиця 1'!$J:$J,"UAR-80")+SUMIFS('Таблиця 1'!$K:$K,'Таблиця 1'!$B:$B,$A441,'Таблиця 1'!$I:$I,"Mi-24",'Таблиця 1'!$J:$J,"UAR-80"))</f>
        <v/>
      </c>
      <c r="I441">
        <f>IF($A441="","",SUMIFS('Таблиця 1'!$K:$K,'Таблиця 1'!$B:$B,$A441,'Таблиця 1'!$I:$I,"Mi-8",'Таблиця 1'!$J:$J,"C-13")+SUMIFS('Таблиця 1'!$K:$K,'Таблиця 1'!$B:$B,$A441,'Таблиця 1'!$I:$I,"Mi-24",'Таблиця 1'!$J:$J,"C-13"))</f>
        <v/>
      </c>
      <c r="J441">
        <f>IF($A441="","",SUMIFS('Таблиця 1'!$K:$K,'Таблиця 1'!$B:$B,$A441,'Таблиця 1'!$I:$I,"Mi-8",'Таблиця 1'!$J:$J,"Hydra-70")+SUMIFS('Таблиця 1'!$K:$K,'Таблиця 1'!$B:$B,$A441,'Таблиця 1'!$I:$I,"Mi-24",'Таблиця 1'!$J:$J,"Hydra-70"))</f>
        <v/>
      </c>
      <c r="K441">
        <f>IF($A441="","",SUMIFS('Таблиця 1'!$K:$K,'Таблиця 1'!$B:$B,$A441,'Таблиця 1'!$I:$I,"Mi-8",'Таблиця 1'!$J:$J,"Thales-70")+SUMIFS('Таблиця 1'!$K:$K,'Таблиця 1'!$B:$B,$A441,'Таблиця 1'!$I:$I,"Mi-24",'Таблиця 1'!$J:$J,"Thales-70"))</f>
        <v/>
      </c>
      <c r="L441">
        <f>IF($A441="","",SUMIFS('Таблиця 1'!$K:$K,'Таблиця 1'!$B:$B,$A441,'Таблиця 1'!$I:$I,"Mi-8",'Таблиця 1'!$J:$J,"Thales-FZ")+SUMIFS('Таблиця 1'!$K:$K,'Таблиця 1'!$B:$B,$A441,'Таблиця 1'!$I:$I,"Mi-24",'Таблиця 1'!$J:$J,"Thales-FZ"))</f>
        <v/>
      </c>
      <c r="M441">
        <f>IF($A441="","",SUMIFS('Таблиця 1'!$K:$K,'Таблиця 1'!$B:$B,$A441,'Таблиця 1'!$I:$I,"Mi-8",'Таблиця 1'!$J:$J,"МК-40")+SUMIFS('Таблиця 1'!$K:$K,'Таблиця 1'!$B:$B,$A441,'Таблиця 1'!$I:$I,"Mi-24",'Таблиця 1'!$J:$J,"МК-40"))</f>
        <v/>
      </c>
      <c r="N441">
        <f>IF($A441="","",SUMIFS('Таблиця 1'!$K:$K,'Таблиця 1'!$B:$B,$A441,'Таблиця 1'!$I:$I,"Mi-8",'Таблиця 1'!$J:$J,"Zuni")+SUMIFS('Таблиця 1'!$K:$K,'Таблиця 1'!$B:$B,$A441,'Таблиця 1'!$I:$I,"Mi-24",'Таблиця 1'!$J:$J,"Zuni"))</f>
        <v/>
      </c>
      <c r="O441">
        <f>IF($A441="","",COUNTIFS('Таблиця 1'!$B:$B,$A441,'Таблиця 1'!$I:$I,"Mi-8",'Таблиця 1'!$L:$L,"Уражено")+COUNTIFS('Таблиця 1'!$B:$B,$A441,'Таблиця 1'!$I:$I,"Mi-24",'Таблиця 1'!$L:$L,"Уражено"))</f>
        <v/>
      </c>
      <c r="P441">
        <f>IF($A441="","",COUNTIFS('Таблиця 1'!$B:$B,$A441,'Таблиця 1'!$I:$I,"Mi-8",'Таблиця 1'!$L:$L,"НЕ уражено")+COUNTIFS('Таблиця 1'!$B:$B,$A441,'Таблиця 1'!$I:$I,"Mi-24",'Таблиця 1'!$L:$L,"НЕ уражено"))</f>
        <v/>
      </c>
    </row>
    <row r="442">
      <c r="A442" s="273">
        <f>IF(A441="","",IF(A441+1&gt;MAX('Таблиця 1'!$B:$B),"",A441+1))</f>
        <v/>
      </c>
      <c r="B442">
        <f>IF($A442="","",COUNTIFS('Таблиця 1'!$B:$B,$A442,'Таблиця 1'!$I:$I,"Mi-8")+COUNTIFS('Таблиця 1'!$B:$B,$A442,'Таблиця 1'!$I:$I,"Mi-24"))</f>
        <v/>
      </c>
      <c r="C442">
        <f>IF($A442="","",COUNTIFS('Таблиця 1'!$B:$B,$A442,'Таблиця 1'!$I:$I,"Mi-8"))</f>
        <v/>
      </c>
      <c r="D442">
        <f>IF($A442="","",COUNTIFS('Таблиця 1'!$B:$B,$A442,'Таблиця 1'!$I:$I,"Mi-24"))</f>
        <v/>
      </c>
      <c r="E442">
        <f>IF($A442="","",SUMIFS('Таблиця 1'!$K:$K,'Таблиця 1'!$B:$B,$A442,'Таблиця 1'!$I:$I,"Mi-8",'Таблиця 1'!$J:$J,"ARS-8")+SUMIFS('Таблиця 1'!$K:$K,'Таблиця 1'!$B:$B,$A442,'Таблиця 1'!$I:$I,"Mi-24",'Таблиця 1'!$J:$J,"ARS-8"))</f>
        <v/>
      </c>
      <c r="F442">
        <f>IF($A442="","",SUMIFS('Таблиця 1'!$K:$K,'Таблиця 1'!$B:$B,$A442,'Таблиця 1'!$I:$I,"Mi-8",'Таблиця 1'!$J:$J,"С-8 ком")+SUMIFS('Таблиця 1'!$K:$K,'Таблиця 1'!$B:$B,$A442,'Таблиця 1'!$I:$I,"Mi-24",'Таблиця 1'!$J:$J,"С-8 ком"))</f>
        <v/>
      </c>
      <c r="G442">
        <f>IF($A442="","",SUMIFS('Таблиця 1'!$K:$K,'Таблиця 1'!$B:$B,$A442,'Таблиця 1'!$I:$I,"Mi-8",'Таблиця 1'!$J:$J,"PC-80")+SUMIFS('Таблиця 1'!$K:$K,'Таблиця 1'!$B:$B,$A442,'Таблиця 1'!$I:$I,"Mi-24",'Таблиця 1'!$J:$J,"PC-80"))</f>
        <v/>
      </c>
      <c r="H442">
        <f>IF($A442="","",SUMIFS('Таблиця 1'!$K:$K,'Таблиця 1'!$B:$B,$A442,'Таблиця 1'!$I:$I,"Mi-8",'Таблиця 1'!$J:$J,"UAR-80")+SUMIFS('Таблиця 1'!$K:$K,'Таблиця 1'!$B:$B,$A442,'Таблиця 1'!$I:$I,"Mi-24",'Таблиця 1'!$J:$J,"UAR-80"))</f>
        <v/>
      </c>
      <c r="I442">
        <f>IF($A442="","",SUMIFS('Таблиця 1'!$K:$K,'Таблиця 1'!$B:$B,$A442,'Таблиця 1'!$I:$I,"Mi-8",'Таблиця 1'!$J:$J,"C-13")+SUMIFS('Таблиця 1'!$K:$K,'Таблиця 1'!$B:$B,$A442,'Таблиця 1'!$I:$I,"Mi-24",'Таблиця 1'!$J:$J,"C-13"))</f>
        <v/>
      </c>
      <c r="J442">
        <f>IF($A442="","",SUMIFS('Таблиця 1'!$K:$K,'Таблиця 1'!$B:$B,$A442,'Таблиця 1'!$I:$I,"Mi-8",'Таблиця 1'!$J:$J,"Hydra-70")+SUMIFS('Таблиця 1'!$K:$K,'Таблиця 1'!$B:$B,$A442,'Таблиця 1'!$I:$I,"Mi-24",'Таблиця 1'!$J:$J,"Hydra-70"))</f>
        <v/>
      </c>
      <c r="K442">
        <f>IF($A442="","",SUMIFS('Таблиця 1'!$K:$K,'Таблиця 1'!$B:$B,$A442,'Таблиця 1'!$I:$I,"Mi-8",'Таблиця 1'!$J:$J,"Thales-70")+SUMIFS('Таблиця 1'!$K:$K,'Таблиця 1'!$B:$B,$A442,'Таблиця 1'!$I:$I,"Mi-24",'Таблиця 1'!$J:$J,"Thales-70"))</f>
        <v/>
      </c>
      <c r="L442">
        <f>IF($A442="","",SUMIFS('Таблиця 1'!$K:$K,'Таблиця 1'!$B:$B,$A442,'Таблиця 1'!$I:$I,"Mi-8",'Таблиця 1'!$J:$J,"Thales-FZ")+SUMIFS('Таблиця 1'!$K:$K,'Таблиця 1'!$B:$B,$A442,'Таблиця 1'!$I:$I,"Mi-24",'Таблиця 1'!$J:$J,"Thales-FZ"))</f>
        <v/>
      </c>
      <c r="M442">
        <f>IF($A442="","",SUMIFS('Таблиця 1'!$K:$K,'Таблиця 1'!$B:$B,$A442,'Таблиця 1'!$I:$I,"Mi-8",'Таблиця 1'!$J:$J,"МК-40")+SUMIFS('Таблиця 1'!$K:$K,'Таблиця 1'!$B:$B,$A442,'Таблиця 1'!$I:$I,"Mi-24",'Таблиця 1'!$J:$J,"МК-40"))</f>
        <v/>
      </c>
      <c r="N442">
        <f>IF($A442="","",SUMIFS('Таблиця 1'!$K:$K,'Таблиця 1'!$B:$B,$A442,'Таблиця 1'!$I:$I,"Mi-8",'Таблиця 1'!$J:$J,"Zuni")+SUMIFS('Таблиця 1'!$K:$K,'Таблиця 1'!$B:$B,$A442,'Таблиця 1'!$I:$I,"Mi-24",'Таблиця 1'!$J:$J,"Zuni"))</f>
        <v/>
      </c>
      <c r="O442">
        <f>IF($A442="","",COUNTIFS('Таблиця 1'!$B:$B,$A442,'Таблиця 1'!$I:$I,"Mi-8",'Таблиця 1'!$L:$L,"Уражено")+COUNTIFS('Таблиця 1'!$B:$B,$A442,'Таблиця 1'!$I:$I,"Mi-24",'Таблиця 1'!$L:$L,"Уражено"))</f>
        <v/>
      </c>
      <c r="P442">
        <f>IF($A442="","",COUNTIFS('Таблиця 1'!$B:$B,$A442,'Таблиця 1'!$I:$I,"Mi-8",'Таблиця 1'!$L:$L,"НЕ уражено")+COUNTIFS('Таблиця 1'!$B:$B,$A442,'Таблиця 1'!$I:$I,"Mi-24",'Таблиця 1'!$L:$L,"НЕ уражено"))</f>
        <v/>
      </c>
    </row>
    <row r="443">
      <c r="A443" s="273">
        <f>IF(A442="","",IF(A442+1&gt;MAX('Таблиця 1'!$B:$B),"",A442+1))</f>
        <v/>
      </c>
      <c r="B443">
        <f>IF($A443="","",COUNTIFS('Таблиця 1'!$B:$B,$A443,'Таблиця 1'!$I:$I,"Mi-8")+COUNTIFS('Таблиця 1'!$B:$B,$A443,'Таблиця 1'!$I:$I,"Mi-24"))</f>
        <v/>
      </c>
      <c r="C443">
        <f>IF($A443="","",COUNTIFS('Таблиця 1'!$B:$B,$A443,'Таблиця 1'!$I:$I,"Mi-8"))</f>
        <v/>
      </c>
      <c r="D443">
        <f>IF($A443="","",COUNTIFS('Таблиця 1'!$B:$B,$A443,'Таблиця 1'!$I:$I,"Mi-24"))</f>
        <v/>
      </c>
      <c r="E443">
        <f>IF($A443="","",SUMIFS('Таблиця 1'!$K:$K,'Таблиця 1'!$B:$B,$A443,'Таблиця 1'!$I:$I,"Mi-8",'Таблиця 1'!$J:$J,"ARS-8")+SUMIFS('Таблиця 1'!$K:$K,'Таблиця 1'!$B:$B,$A443,'Таблиця 1'!$I:$I,"Mi-24",'Таблиця 1'!$J:$J,"ARS-8"))</f>
        <v/>
      </c>
      <c r="F443">
        <f>IF($A443="","",SUMIFS('Таблиця 1'!$K:$K,'Таблиця 1'!$B:$B,$A443,'Таблиця 1'!$I:$I,"Mi-8",'Таблиця 1'!$J:$J,"С-8 ком")+SUMIFS('Таблиця 1'!$K:$K,'Таблиця 1'!$B:$B,$A443,'Таблиця 1'!$I:$I,"Mi-24",'Таблиця 1'!$J:$J,"С-8 ком"))</f>
        <v/>
      </c>
      <c r="G443">
        <f>IF($A443="","",SUMIFS('Таблиця 1'!$K:$K,'Таблиця 1'!$B:$B,$A443,'Таблиця 1'!$I:$I,"Mi-8",'Таблиця 1'!$J:$J,"PC-80")+SUMIFS('Таблиця 1'!$K:$K,'Таблиця 1'!$B:$B,$A443,'Таблиця 1'!$I:$I,"Mi-24",'Таблиця 1'!$J:$J,"PC-80"))</f>
        <v/>
      </c>
      <c r="H443">
        <f>IF($A443="","",SUMIFS('Таблиця 1'!$K:$K,'Таблиця 1'!$B:$B,$A443,'Таблиця 1'!$I:$I,"Mi-8",'Таблиця 1'!$J:$J,"UAR-80")+SUMIFS('Таблиця 1'!$K:$K,'Таблиця 1'!$B:$B,$A443,'Таблиця 1'!$I:$I,"Mi-24",'Таблиця 1'!$J:$J,"UAR-80"))</f>
        <v/>
      </c>
      <c r="I443">
        <f>IF($A443="","",SUMIFS('Таблиця 1'!$K:$K,'Таблиця 1'!$B:$B,$A443,'Таблиця 1'!$I:$I,"Mi-8",'Таблиця 1'!$J:$J,"C-13")+SUMIFS('Таблиця 1'!$K:$K,'Таблиця 1'!$B:$B,$A443,'Таблиця 1'!$I:$I,"Mi-24",'Таблиця 1'!$J:$J,"C-13"))</f>
        <v/>
      </c>
      <c r="J443">
        <f>IF($A443="","",SUMIFS('Таблиця 1'!$K:$K,'Таблиця 1'!$B:$B,$A443,'Таблиця 1'!$I:$I,"Mi-8",'Таблиця 1'!$J:$J,"Hydra-70")+SUMIFS('Таблиця 1'!$K:$K,'Таблиця 1'!$B:$B,$A443,'Таблиця 1'!$I:$I,"Mi-24",'Таблиця 1'!$J:$J,"Hydra-70"))</f>
        <v/>
      </c>
      <c r="K443">
        <f>IF($A443="","",SUMIFS('Таблиця 1'!$K:$K,'Таблиця 1'!$B:$B,$A443,'Таблиця 1'!$I:$I,"Mi-8",'Таблиця 1'!$J:$J,"Thales-70")+SUMIFS('Таблиця 1'!$K:$K,'Таблиця 1'!$B:$B,$A443,'Таблиця 1'!$I:$I,"Mi-24",'Таблиця 1'!$J:$J,"Thales-70"))</f>
        <v/>
      </c>
      <c r="L443">
        <f>IF($A443="","",SUMIFS('Таблиця 1'!$K:$K,'Таблиця 1'!$B:$B,$A443,'Таблиця 1'!$I:$I,"Mi-8",'Таблиця 1'!$J:$J,"Thales-FZ")+SUMIFS('Таблиця 1'!$K:$K,'Таблиця 1'!$B:$B,$A443,'Таблиця 1'!$I:$I,"Mi-24",'Таблиця 1'!$J:$J,"Thales-FZ"))</f>
        <v/>
      </c>
      <c r="M443">
        <f>IF($A443="","",SUMIFS('Таблиця 1'!$K:$K,'Таблиця 1'!$B:$B,$A443,'Таблиця 1'!$I:$I,"Mi-8",'Таблиця 1'!$J:$J,"МК-40")+SUMIFS('Таблиця 1'!$K:$K,'Таблиця 1'!$B:$B,$A443,'Таблиця 1'!$I:$I,"Mi-24",'Таблиця 1'!$J:$J,"МК-40"))</f>
        <v/>
      </c>
      <c r="N443">
        <f>IF($A443="","",SUMIFS('Таблиця 1'!$K:$K,'Таблиця 1'!$B:$B,$A443,'Таблиця 1'!$I:$I,"Mi-8",'Таблиця 1'!$J:$J,"Zuni")+SUMIFS('Таблиця 1'!$K:$K,'Таблиця 1'!$B:$B,$A443,'Таблиця 1'!$I:$I,"Mi-24",'Таблиця 1'!$J:$J,"Zuni"))</f>
        <v/>
      </c>
      <c r="O443">
        <f>IF($A443="","",COUNTIFS('Таблиця 1'!$B:$B,$A443,'Таблиця 1'!$I:$I,"Mi-8",'Таблиця 1'!$L:$L,"Уражено")+COUNTIFS('Таблиця 1'!$B:$B,$A443,'Таблиця 1'!$I:$I,"Mi-24",'Таблиця 1'!$L:$L,"Уражено"))</f>
        <v/>
      </c>
      <c r="P443">
        <f>IF($A443="","",COUNTIFS('Таблиця 1'!$B:$B,$A443,'Таблиця 1'!$I:$I,"Mi-8",'Таблиця 1'!$L:$L,"НЕ уражено")+COUNTIFS('Таблиця 1'!$B:$B,$A443,'Таблиця 1'!$I:$I,"Mi-24",'Таблиця 1'!$L:$L,"НЕ уражено"))</f>
        <v/>
      </c>
    </row>
    <row r="444">
      <c r="A444" s="273">
        <f>IF(A443="","",IF(A443+1&gt;MAX('Таблиця 1'!$B:$B),"",A443+1))</f>
        <v/>
      </c>
      <c r="B444">
        <f>IF($A444="","",COUNTIFS('Таблиця 1'!$B:$B,$A444,'Таблиця 1'!$I:$I,"Mi-8")+COUNTIFS('Таблиця 1'!$B:$B,$A444,'Таблиця 1'!$I:$I,"Mi-24"))</f>
        <v/>
      </c>
      <c r="C444">
        <f>IF($A444="","",COUNTIFS('Таблиця 1'!$B:$B,$A444,'Таблиця 1'!$I:$I,"Mi-8"))</f>
        <v/>
      </c>
      <c r="D444">
        <f>IF($A444="","",COUNTIFS('Таблиця 1'!$B:$B,$A444,'Таблиця 1'!$I:$I,"Mi-24"))</f>
        <v/>
      </c>
      <c r="E444">
        <f>IF($A444="","",SUMIFS('Таблиця 1'!$K:$K,'Таблиця 1'!$B:$B,$A444,'Таблиця 1'!$I:$I,"Mi-8",'Таблиця 1'!$J:$J,"ARS-8")+SUMIFS('Таблиця 1'!$K:$K,'Таблиця 1'!$B:$B,$A444,'Таблиця 1'!$I:$I,"Mi-24",'Таблиця 1'!$J:$J,"ARS-8"))</f>
        <v/>
      </c>
      <c r="F444">
        <f>IF($A444="","",SUMIFS('Таблиця 1'!$K:$K,'Таблиця 1'!$B:$B,$A444,'Таблиця 1'!$I:$I,"Mi-8",'Таблиця 1'!$J:$J,"С-8 ком")+SUMIFS('Таблиця 1'!$K:$K,'Таблиця 1'!$B:$B,$A444,'Таблиця 1'!$I:$I,"Mi-24",'Таблиця 1'!$J:$J,"С-8 ком"))</f>
        <v/>
      </c>
      <c r="G444">
        <f>IF($A444="","",SUMIFS('Таблиця 1'!$K:$K,'Таблиця 1'!$B:$B,$A444,'Таблиця 1'!$I:$I,"Mi-8",'Таблиця 1'!$J:$J,"PC-80")+SUMIFS('Таблиця 1'!$K:$K,'Таблиця 1'!$B:$B,$A444,'Таблиця 1'!$I:$I,"Mi-24",'Таблиця 1'!$J:$J,"PC-80"))</f>
        <v/>
      </c>
      <c r="H444">
        <f>IF($A444="","",SUMIFS('Таблиця 1'!$K:$K,'Таблиця 1'!$B:$B,$A444,'Таблиця 1'!$I:$I,"Mi-8",'Таблиця 1'!$J:$J,"UAR-80")+SUMIFS('Таблиця 1'!$K:$K,'Таблиця 1'!$B:$B,$A444,'Таблиця 1'!$I:$I,"Mi-24",'Таблиця 1'!$J:$J,"UAR-80"))</f>
        <v/>
      </c>
      <c r="I444">
        <f>IF($A444="","",SUMIFS('Таблиця 1'!$K:$K,'Таблиця 1'!$B:$B,$A444,'Таблиця 1'!$I:$I,"Mi-8",'Таблиця 1'!$J:$J,"C-13")+SUMIFS('Таблиця 1'!$K:$K,'Таблиця 1'!$B:$B,$A444,'Таблиця 1'!$I:$I,"Mi-24",'Таблиця 1'!$J:$J,"C-13"))</f>
        <v/>
      </c>
      <c r="J444">
        <f>IF($A444="","",SUMIFS('Таблиця 1'!$K:$K,'Таблиця 1'!$B:$B,$A444,'Таблиця 1'!$I:$I,"Mi-8",'Таблиця 1'!$J:$J,"Hydra-70")+SUMIFS('Таблиця 1'!$K:$K,'Таблиця 1'!$B:$B,$A444,'Таблиця 1'!$I:$I,"Mi-24",'Таблиця 1'!$J:$J,"Hydra-70"))</f>
        <v/>
      </c>
      <c r="K444">
        <f>IF($A444="","",SUMIFS('Таблиця 1'!$K:$K,'Таблиця 1'!$B:$B,$A444,'Таблиця 1'!$I:$I,"Mi-8",'Таблиця 1'!$J:$J,"Thales-70")+SUMIFS('Таблиця 1'!$K:$K,'Таблиця 1'!$B:$B,$A444,'Таблиця 1'!$I:$I,"Mi-24",'Таблиця 1'!$J:$J,"Thales-70"))</f>
        <v/>
      </c>
      <c r="L444">
        <f>IF($A444="","",SUMIFS('Таблиця 1'!$K:$K,'Таблиця 1'!$B:$B,$A444,'Таблиця 1'!$I:$I,"Mi-8",'Таблиця 1'!$J:$J,"Thales-FZ")+SUMIFS('Таблиця 1'!$K:$K,'Таблиця 1'!$B:$B,$A444,'Таблиця 1'!$I:$I,"Mi-24",'Таблиця 1'!$J:$J,"Thales-FZ"))</f>
        <v/>
      </c>
      <c r="M444">
        <f>IF($A444="","",SUMIFS('Таблиця 1'!$K:$K,'Таблиця 1'!$B:$B,$A444,'Таблиця 1'!$I:$I,"Mi-8",'Таблиця 1'!$J:$J,"МК-40")+SUMIFS('Таблиця 1'!$K:$K,'Таблиця 1'!$B:$B,$A444,'Таблиця 1'!$I:$I,"Mi-24",'Таблиця 1'!$J:$J,"МК-40"))</f>
        <v/>
      </c>
      <c r="N444">
        <f>IF($A444="","",SUMIFS('Таблиця 1'!$K:$K,'Таблиця 1'!$B:$B,$A444,'Таблиця 1'!$I:$I,"Mi-8",'Таблиця 1'!$J:$J,"Zuni")+SUMIFS('Таблиця 1'!$K:$K,'Таблиця 1'!$B:$B,$A444,'Таблиця 1'!$I:$I,"Mi-24",'Таблиця 1'!$J:$J,"Zuni"))</f>
        <v/>
      </c>
      <c r="O444">
        <f>IF($A444="","",COUNTIFS('Таблиця 1'!$B:$B,$A444,'Таблиця 1'!$I:$I,"Mi-8",'Таблиця 1'!$L:$L,"Уражено")+COUNTIFS('Таблиця 1'!$B:$B,$A444,'Таблиця 1'!$I:$I,"Mi-24",'Таблиця 1'!$L:$L,"Уражено"))</f>
        <v/>
      </c>
      <c r="P444">
        <f>IF($A444="","",COUNTIFS('Таблиця 1'!$B:$B,$A444,'Таблиця 1'!$I:$I,"Mi-8",'Таблиця 1'!$L:$L,"НЕ уражено")+COUNTIFS('Таблиця 1'!$B:$B,$A444,'Таблиця 1'!$I:$I,"Mi-24",'Таблиця 1'!$L:$L,"НЕ уражено"))</f>
        <v/>
      </c>
    </row>
    <row r="445">
      <c r="A445" s="273">
        <f>IF(A444="","",IF(A444+1&gt;MAX('Таблиця 1'!$B:$B),"",A444+1))</f>
        <v/>
      </c>
      <c r="B445">
        <f>IF($A445="","",COUNTIFS('Таблиця 1'!$B:$B,$A445,'Таблиця 1'!$I:$I,"Mi-8")+COUNTIFS('Таблиця 1'!$B:$B,$A445,'Таблиця 1'!$I:$I,"Mi-24"))</f>
        <v/>
      </c>
      <c r="C445">
        <f>IF($A445="","",COUNTIFS('Таблиця 1'!$B:$B,$A445,'Таблиця 1'!$I:$I,"Mi-8"))</f>
        <v/>
      </c>
      <c r="D445">
        <f>IF($A445="","",COUNTIFS('Таблиця 1'!$B:$B,$A445,'Таблиця 1'!$I:$I,"Mi-24"))</f>
        <v/>
      </c>
      <c r="E445">
        <f>IF($A445="","",SUMIFS('Таблиця 1'!$K:$K,'Таблиця 1'!$B:$B,$A445,'Таблиця 1'!$I:$I,"Mi-8",'Таблиця 1'!$J:$J,"ARS-8")+SUMIFS('Таблиця 1'!$K:$K,'Таблиця 1'!$B:$B,$A445,'Таблиця 1'!$I:$I,"Mi-24",'Таблиця 1'!$J:$J,"ARS-8"))</f>
        <v/>
      </c>
      <c r="F445">
        <f>IF($A445="","",SUMIFS('Таблиця 1'!$K:$K,'Таблиця 1'!$B:$B,$A445,'Таблиця 1'!$I:$I,"Mi-8",'Таблиця 1'!$J:$J,"С-8 ком")+SUMIFS('Таблиця 1'!$K:$K,'Таблиця 1'!$B:$B,$A445,'Таблиця 1'!$I:$I,"Mi-24",'Таблиця 1'!$J:$J,"С-8 ком"))</f>
        <v/>
      </c>
      <c r="G445">
        <f>IF($A445="","",SUMIFS('Таблиця 1'!$K:$K,'Таблиця 1'!$B:$B,$A445,'Таблиця 1'!$I:$I,"Mi-8",'Таблиця 1'!$J:$J,"PC-80")+SUMIFS('Таблиця 1'!$K:$K,'Таблиця 1'!$B:$B,$A445,'Таблиця 1'!$I:$I,"Mi-24",'Таблиця 1'!$J:$J,"PC-80"))</f>
        <v/>
      </c>
      <c r="H445">
        <f>IF($A445="","",SUMIFS('Таблиця 1'!$K:$K,'Таблиця 1'!$B:$B,$A445,'Таблиця 1'!$I:$I,"Mi-8",'Таблиця 1'!$J:$J,"UAR-80")+SUMIFS('Таблиця 1'!$K:$K,'Таблиця 1'!$B:$B,$A445,'Таблиця 1'!$I:$I,"Mi-24",'Таблиця 1'!$J:$J,"UAR-80"))</f>
        <v/>
      </c>
      <c r="I445">
        <f>IF($A445="","",SUMIFS('Таблиця 1'!$K:$K,'Таблиця 1'!$B:$B,$A445,'Таблиця 1'!$I:$I,"Mi-8",'Таблиця 1'!$J:$J,"C-13")+SUMIFS('Таблиця 1'!$K:$K,'Таблиця 1'!$B:$B,$A445,'Таблиця 1'!$I:$I,"Mi-24",'Таблиця 1'!$J:$J,"C-13"))</f>
        <v/>
      </c>
      <c r="J445">
        <f>IF($A445="","",SUMIFS('Таблиця 1'!$K:$K,'Таблиця 1'!$B:$B,$A445,'Таблиця 1'!$I:$I,"Mi-8",'Таблиця 1'!$J:$J,"Hydra-70")+SUMIFS('Таблиця 1'!$K:$K,'Таблиця 1'!$B:$B,$A445,'Таблиця 1'!$I:$I,"Mi-24",'Таблиця 1'!$J:$J,"Hydra-70"))</f>
        <v/>
      </c>
      <c r="K445">
        <f>IF($A445="","",SUMIFS('Таблиця 1'!$K:$K,'Таблиця 1'!$B:$B,$A445,'Таблиця 1'!$I:$I,"Mi-8",'Таблиця 1'!$J:$J,"Thales-70")+SUMIFS('Таблиця 1'!$K:$K,'Таблиця 1'!$B:$B,$A445,'Таблиця 1'!$I:$I,"Mi-24",'Таблиця 1'!$J:$J,"Thales-70"))</f>
        <v/>
      </c>
      <c r="L445">
        <f>IF($A445="","",SUMIFS('Таблиця 1'!$K:$K,'Таблиця 1'!$B:$B,$A445,'Таблиця 1'!$I:$I,"Mi-8",'Таблиця 1'!$J:$J,"Thales-FZ")+SUMIFS('Таблиця 1'!$K:$K,'Таблиця 1'!$B:$B,$A445,'Таблиця 1'!$I:$I,"Mi-24",'Таблиця 1'!$J:$J,"Thales-FZ"))</f>
        <v/>
      </c>
      <c r="M445">
        <f>IF($A445="","",SUMIFS('Таблиця 1'!$K:$K,'Таблиця 1'!$B:$B,$A445,'Таблиця 1'!$I:$I,"Mi-8",'Таблиця 1'!$J:$J,"МК-40")+SUMIFS('Таблиця 1'!$K:$K,'Таблиця 1'!$B:$B,$A445,'Таблиця 1'!$I:$I,"Mi-24",'Таблиця 1'!$J:$J,"МК-40"))</f>
        <v/>
      </c>
      <c r="N445">
        <f>IF($A445="","",SUMIFS('Таблиця 1'!$K:$K,'Таблиця 1'!$B:$B,$A445,'Таблиця 1'!$I:$I,"Mi-8",'Таблиця 1'!$J:$J,"Zuni")+SUMIFS('Таблиця 1'!$K:$K,'Таблиця 1'!$B:$B,$A445,'Таблиця 1'!$I:$I,"Mi-24",'Таблиця 1'!$J:$J,"Zuni"))</f>
        <v/>
      </c>
      <c r="O445">
        <f>IF($A445="","",COUNTIFS('Таблиця 1'!$B:$B,$A445,'Таблиця 1'!$I:$I,"Mi-8",'Таблиця 1'!$L:$L,"Уражено")+COUNTIFS('Таблиця 1'!$B:$B,$A445,'Таблиця 1'!$I:$I,"Mi-24",'Таблиця 1'!$L:$L,"Уражено"))</f>
        <v/>
      </c>
      <c r="P445">
        <f>IF($A445="","",COUNTIFS('Таблиця 1'!$B:$B,$A445,'Таблиця 1'!$I:$I,"Mi-8",'Таблиця 1'!$L:$L,"НЕ уражено")+COUNTIFS('Таблиця 1'!$B:$B,$A445,'Таблиця 1'!$I:$I,"Mi-24",'Таблиця 1'!$L:$L,"НЕ уражено"))</f>
        <v/>
      </c>
    </row>
    <row r="446">
      <c r="A446" s="273">
        <f>IF(A445="","",IF(A445+1&gt;MAX('Таблиця 1'!$B:$B),"",A445+1))</f>
        <v/>
      </c>
      <c r="B446">
        <f>IF($A446="","",COUNTIFS('Таблиця 1'!$B:$B,$A446,'Таблиця 1'!$I:$I,"Mi-8")+COUNTIFS('Таблиця 1'!$B:$B,$A446,'Таблиця 1'!$I:$I,"Mi-24"))</f>
        <v/>
      </c>
      <c r="C446">
        <f>IF($A446="","",COUNTIFS('Таблиця 1'!$B:$B,$A446,'Таблиця 1'!$I:$I,"Mi-8"))</f>
        <v/>
      </c>
      <c r="D446">
        <f>IF($A446="","",COUNTIFS('Таблиця 1'!$B:$B,$A446,'Таблиця 1'!$I:$I,"Mi-24"))</f>
        <v/>
      </c>
      <c r="E446">
        <f>IF($A446="","",SUMIFS('Таблиця 1'!$K:$K,'Таблиця 1'!$B:$B,$A446,'Таблиця 1'!$I:$I,"Mi-8",'Таблиця 1'!$J:$J,"ARS-8")+SUMIFS('Таблиця 1'!$K:$K,'Таблиця 1'!$B:$B,$A446,'Таблиця 1'!$I:$I,"Mi-24",'Таблиця 1'!$J:$J,"ARS-8"))</f>
        <v/>
      </c>
      <c r="F446">
        <f>IF($A446="","",SUMIFS('Таблиця 1'!$K:$K,'Таблиця 1'!$B:$B,$A446,'Таблиця 1'!$I:$I,"Mi-8",'Таблиця 1'!$J:$J,"С-8 ком")+SUMIFS('Таблиця 1'!$K:$K,'Таблиця 1'!$B:$B,$A446,'Таблиця 1'!$I:$I,"Mi-24",'Таблиця 1'!$J:$J,"С-8 ком"))</f>
        <v/>
      </c>
      <c r="G446">
        <f>IF($A446="","",SUMIFS('Таблиця 1'!$K:$K,'Таблиця 1'!$B:$B,$A446,'Таблиця 1'!$I:$I,"Mi-8",'Таблиця 1'!$J:$J,"PC-80")+SUMIFS('Таблиця 1'!$K:$K,'Таблиця 1'!$B:$B,$A446,'Таблиця 1'!$I:$I,"Mi-24",'Таблиця 1'!$J:$J,"PC-80"))</f>
        <v/>
      </c>
      <c r="H446">
        <f>IF($A446="","",SUMIFS('Таблиця 1'!$K:$K,'Таблиця 1'!$B:$B,$A446,'Таблиця 1'!$I:$I,"Mi-8",'Таблиця 1'!$J:$J,"UAR-80")+SUMIFS('Таблиця 1'!$K:$K,'Таблиця 1'!$B:$B,$A446,'Таблиця 1'!$I:$I,"Mi-24",'Таблиця 1'!$J:$J,"UAR-80"))</f>
        <v/>
      </c>
      <c r="I446">
        <f>IF($A446="","",SUMIFS('Таблиця 1'!$K:$K,'Таблиця 1'!$B:$B,$A446,'Таблиця 1'!$I:$I,"Mi-8",'Таблиця 1'!$J:$J,"C-13")+SUMIFS('Таблиця 1'!$K:$K,'Таблиця 1'!$B:$B,$A446,'Таблиця 1'!$I:$I,"Mi-24",'Таблиця 1'!$J:$J,"C-13"))</f>
        <v/>
      </c>
      <c r="J446">
        <f>IF($A446="","",SUMIFS('Таблиця 1'!$K:$K,'Таблиця 1'!$B:$B,$A446,'Таблиця 1'!$I:$I,"Mi-8",'Таблиця 1'!$J:$J,"Hydra-70")+SUMIFS('Таблиця 1'!$K:$K,'Таблиця 1'!$B:$B,$A446,'Таблиця 1'!$I:$I,"Mi-24",'Таблиця 1'!$J:$J,"Hydra-70"))</f>
        <v/>
      </c>
      <c r="K446">
        <f>IF($A446="","",SUMIFS('Таблиця 1'!$K:$K,'Таблиця 1'!$B:$B,$A446,'Таблиця 1'!$I:$I,"Mi-8",'Таблиця 1'!$J:$J,"Thales-70")+SUMIFS('Таблиця 1'!$K:$K,'Таблиця 1'!$B:$B,$A446,'Таблиця 1'!$I:$I,"Mi-24",'Таблиця 1'!$J:$J,"Thales-70"))</f>
        <v/>
      </c>
      <c r="L446">
        <f>IF($A446="","",SUMIFS('Таблиця 1'!$K:$K,'Таблиця 1'!$B:$B,$A446,'Таблиця 1'!$I:$I,"Mi-8",'Таблиця 1'!$J:$J,"Thales-FZ")+SUMIFS('Таблиця 1'!$K:$K,'Таблиця 1'!$B:$B,$A446,'Таблиця 1'!$I:$I,"Mi-24",'Таблиця 1'!$J:$J,"Thales-FZ"))</f>
        <v/>
      </c>
      <c r="M446">
        <f>IF($A446="","",SUMIFS('Таблиця 1'!$K:$K,'Таблиця 1'!$B:$B,$A446,'Таблиця 1'!$I:$I,"Mi-8",'Таблиця 1'!$J:$J,"МК-40")+SUMIFS('Таблиця 1'!$K:$K,'Таблиця 1'!$B:$B,$A446,'Таблиця 1'!$I:$I,"Mi-24",'Таблиця 1'!$J:$J,"МК-40"))</f>
        <v/>
      </c>
      <c r="N446">
        <f>IF($A446="","",SUMIFS('Таблиця 1'!$K:$K,'Таблиця 1'!$B:$B,$A446,'Таблиця 1'!$I:$I,"Mi-8",'Таблиця 1'!$J:$J,"Zuni")+SUMIFS('Таблиця 1'!$K:$K,'Таблиця 1'!$B:$B,$A446,'Таблиця 1'!$I:$I,"Mi-24",'Таблиця 1'!$J:$J,"Zuni"))</f>
        <v/>
      </c>
      <c r="O446">
        <f>IF($A446="","",COUNTIFS('Таблиця 1'!$B:$B,$A446,'Таблиця 1'!$I:$I,"Mi-8",'Таблиця 1'!$L:$L,"Уражено")+COUNTIFS('Таблиця 1'!$B:$B,$A446,'Таблиця 1'!$I:$I,"Mi-24",'Таблиця 1'!$L:$L,"Уражено"))</f>
        <v/>
      </c>
      <c r="P446">
        <f>IF($A446="","",COUNTIFS('Таблиця 1'!$B:$B,$A446,'Таблиця 1'!$I:$I,"Mi-8",'Таблиця 1'!$L:$L,"НЕ уражено")+COUNTIFS('Таблиця 1'!$B:$B,$A446,'Таблиця 1'!$I:$I,"Mi-24",'Таблиця 1'!$L:$L,"НЕ уражено"))</f>
        <v/>
      </c>
    </row>
    <row r="447">
      <c r="A447" s="273">
        <f>IF(A446="","",IF(A446+1&gt;MAX('Таблиця 1'!$B:$B),"",A446+1))</f>
        <v/>
      </c>
      <c r="B447">
        <f>IF($A447="","",COUNTIFS('Таблиця 1'!$B:$B,$A447,'Таблиця 1'!$I:$I,"Mi-8")+COUNTIFS('Таблиця 1'!$B:$B,$A447,'Таблиця 1'!$I:$I,"Mi-24"))</f>
        <v/>
      </c>
      <c r="C447">
        <f>IF($A447="","",COUNTIFS('Таблиця 1'!$B:$B,$A447,'Таблиця 1'!$I:$I,"Mi-8"))</f>
        <v/>
      </c>
      <c r="D447">
        <f>IF($A447="","",COUNTIFS('Таблиця 1'!$B:$B,$A447,'Таблиця 1'!$I:$I,"Mi-24"))</f>
        <v/>
      </c>
      <c r="E447">
        <f>IF($A447="","",SUMIFS('Таблиця 1'!$K:$K,'Таблиця 1'!$B:$B,$A447,'Таблиця 1'!$I:$I,"Mi-8",'Таблиця 1'!$J:$J,"ARS-8")+SUMIFS('Таблиця 1'!$K:$K,'Таблиця 1'!$B:$B,$A447,'Таблиця 1'!$I:$I,"Mi-24",'Таблиця 1'!$J:$J,"ARS-8"))</f>
        <v/>
      </c>
      <c r="F447">
        <f>IF($A447="","",SUMIFS('Таблиця 1'!$K:$K,'Таблиця 1'!$B:$B,$A447,'Таблиця 1'!$I:$I,"Mi-8",'Таблиця 1'!$J:$J,"С-8 ком")+SUMIFS('Таблиця 1'!$K:$K,'Таблиця 1'!$B:$B,$A447,'Таблиця 1'!$I:$I,"Mi-24",'Таблиця 1'!$J:$J,"С-8 ком"))</f>
        <v/>
      </c>
      <c r="G447">
        <f>IF($A447="","",SUMIFS('Таблиця 1'!$K:$K,'Таблиця 1'!$B:$B,$A447,'Таблиця 1'!$I:$I,"Mi-8",'Таблиця 1'!$J:$J,"PC-80")+SUMIFS('Таблиця 1'!$K:$K,'Таблиця 1'!$B:$B,$A447,'Таблиця 1'!$I:$I,"Mi-24",'Таблиця 1'!$J:$J,"PC-80"))</f>
        <v/>
      </c>
      <c r="H447">
        <f>IF($A447="","",SUMIFS('Таблиця 1'!$K:$K,'Таблиця 1'!$B:$B,$A447,'Таблиця 1'!$I:$I,"Mi-8",'Таблиця 1'!$J:$J,"UAR-80")+SUMIFS('Таблиця 1'!$K:$K,'Таблиця 1'!$B:$B,$A447,'Таблиця 1'!$I:$I,"Mi-24",'Таблиця 1'!$J:$J,"UAR-80"))</f>
        <v/>
      </c>
      <c r="I447">
        <f>IF($A447="","",SUMIFS('Таблиця 1'!$K:$K,'Таблиця 1'!$B:$B,$A447,'Таблиця 1'!$I:$I,"Mi-8",'Таблиця 1'!$J:$J,"C-13")+SUMIFS('Таблиця 1'!$K:$K,'Таблиця 1'!$B:$B,$A447,'Таблиця 1'!$I:$I,"Mi-24",'Таблиця 1'!$J:$J,"C-13"))</f>
        <v/>
      </c>
      <c r="J447">
        <f>IF($A447="","",SUMIFS('Таблиця 1'!$K:$K,'Таблиця 1'!$B:$B,$A447,'Таблиця 1'!$I:$I,"Mi-8",'Таблиця 1'!$J:$J,"Hydra-70")+SUMIFS('Таблиця 1'!$K:$K,'Таблиця 1'!$B:$B,$A447,'Таблиця 1'!$I:$I,"Mi-24",'Таблиця 1'!$J:$J,"Hydra-70"))</f>
        <v/>
      </c>
      <c r="K447">
        <f>IF($A447="","",SUMIFS('Таблиця 1'!$K:$K,'Таблиця 1'!$B:$B,$A447,'Таблиця 1'!$I:$I,"Mi-8",'Таблиця 1'!$J:$J,"Thales-70")+SUMIFS('Таблиця 1'!$K:$K,'Таблиця 1'!$B:$B,$A447,'Таблиця 1'!$I:$I,"Mi-24",'Таблиця 1'!$J:$J,"Thales-70"))</f>
        <v/>
      </c>
      <c r="L447">
        <f>IF($A447="","",SUMIFS('Таблиця 1'!$K:$K,'Таблиця 1'!$B:$B,$A447,'Таблиця 1'!$I:$I,"Mi-8",'Таблиця 1'!$J:$J,"Thales-FZ")+SUMIFS('Таблиця 1'!$K:$K,'Таблиця 1'!$B:$B,$A447,'Таблиця 1'!$I:$I,"Mi-24",'Таблиця 1'!$J:$J,"Thales-FZ"))</f>
        <v/>
      </c>
      <c r="M447">
        <f>IF($A447="","",SUMIFS('Таблиця 1'!$K:$K,'Таблиця 1'!$B:$B,$A447,'Таблиця 1'!$I:$I,"Mi-8",'Таблиця 1'!$J:$J,"МК-40")+SUMIFS('Таблиця 1'!$K:$K,'Таблиця 1'!$B:$B,$A447,'Таблиця 1'!$I:$I,"Mi-24",'Таблиця 1'!$J:$J,"МК-40"))</f>
        <v/>
      </c>
      <c r="N447">
        <f>IF($A447="","",SUMIFS('Таблиця 1'!$K:$K,'Таблиця 1'!$B:$B,$A447,'Таблиця 1'!$I:$I,"Mi-8",'Таблиця 1'!$J:$J,"Zuni")+SUMIFS('Таблиця 1'!$K:$K,'Таблиця 1'!$B:$B,$A447,'Таблиця 1'!$I:$I,"Mi-24",'Таблиця 1'!$J:$J,"Zuni"))</f>
        <v/>
      </c>
      <c r="O447">
        <f>IF($A447="","",COUNTIFS('Таблиця 1'!$B:$B,$A447,'Таблиця 1'!$I:$I,"Mi-8",'Таблиця 1'!$L:$L,"Уражено")+COUNTIFS('Таблиця 1'!$B:$B,$A447,'Таблиця 1'!$I:$I,"Mi-24",'Таблиця 1'!$L:$L,"Уражено"))</f>
        <v/>
      </c>
      <c r="P447">
        <f>IF($A447="","",COUNTIFS('Таблиця 1'!$B:$B,$A447,'Таблиця 1'!$I:$I,"Mi-8",'Таблиця 1'!$L:$L,"НЕ уражено")+COUNTIFS('Таблиця 1'!$B:$B,$A447,'Таблиця 1'!$I:$I,"Mi-24",'Таблиця 1'!$L:$L,"НЕ уражено"))</f>
        <v/>
      </c>
    </row>
    <row r="448">
      <c r="A448" s="273">
        <f>IF(A447="","",IF(A447+1&gt;MAX('Таблиця 1'!$B:$B),"",A447+1))</f>
        <v/>
      </c>
      <c r="B448">
        <f>IF($A448="","",COUNTIFS('Таблиця 1'!$B:$B,$A448,'Таблиця 1'!$I:$I,"Mi-8")+COUNTIFS('Таблиця 1'!$B:$B,$A448,'Таблиця 1'!$I:$I,"Mi-24"))</f>
        <v/>
      </c>
      <c r="C448">
        <f>IF($A448="","",COUNTIFS('Таблиця 1'!$B:$B,$A448,'Таблиця 1'!$I:$I,"Mi-8"))</f>
        <v/>
      </c>
      <c r="D448">
        <f>IF($A448="","",COUNTIFS('Таблиця 1'!$B:$B,$A448,'Таблиця 1'!$I:$I,"Mi-24"))</f>
        <v/>
      </c>
      <c r="E448">
        <f>IF($A448="","",SUMIFS('Таблиця 1'!$K:$K,'Таблиця 1'!$B:$B,$A448,'Таблиця 1'!$I:$I,"Mi-8",'Таблиця 1'!$J:$J,"ARS-8")+SUMIFS('Таблиця 1'!$K:$K,'Таблиця 1'!$B:$B,$A448,'Таблиця 1'!$I:$I,"Mi-24",'Таблиця 1'!$J:$J,"ARS-8"))</f>
        <v/>
      </c>
      <c r="F448">
        <f>IF($A448="","",SUMIFS('Таблиця 1'!$K:$K,'Таблиця 1'!$B:$B,$A448,'Таблиця 1'!$I:$I,"Mi-8",'Таблиця 1'!$J:$J,"С-8 ком")+SUMIFS('Таблиця 1'!$K:$K,'Таблиця 1'!$B:$B,$A448,'Таблиця 1'!$I:$I,"Mi-24",'Таблиця 1'!$J:$J,"С-8 ком"))</f>
        <v/>
      </c>
      <c r="G448">
        <f>IF($A448="","",SUMIFS('Таблиця 1'!$K:$K,'Таблиця 1'!$B:$B,$A448,'Таблиця 1'!$I:$I,"Mi-8",'Таблиця 1'!$J:$J,"PC-80")+SUMIFS('Таблиця 1'!$K:$K,'Таблиця 1'!$B:$B,$A448,'Таблиця 1'!$I:$I,"Mi-24",'Таблиця 1'!$J:$J,"PC-80"))</f>
        <v/>
      </c>
      <c r="H448">
        <f>IF($A448="","",SUMIFS('Таблиця 1'!$K:$K,'Таблиця 1'!$B:$B,$A448,'Таблиця 1'!$I:$I,"Mi-8",'Таблиця 1'!$J:$J,"UAR-80")+SUMIFS('Таблиця 1'!$K:$K,'Таблиця 1'!$B:$B,$A448,'Таблиця 1'!$I:$I,"Mi-24",'Таблиця 1'!$J:$J,"UAR-80"))</f>
        <v/>
      </c>
      <c r="I448">
        <f>IF($A448="","",SUMIFS('Таблиця 1'!$K:$K,'Таблиця 1'!$B:$B,$A448,'Таблиця 1'!$I:$I,"Mi-8",'Таблиця 1'!$J:$J,"C-13")+SUMIFS('Таблиця 1'!$K:$K,'Таблиця 1'!$B:$B,$A448,'Таблиця 1'!$I:$I,"Mi-24",'Таблиця 1'!$J:$J,"C-13"))</f>
        <v/>
      </c>
      <c r="J448">
        <f>IF($A448="","",SUMIFS('Таблиця 1'!$K:$K,'Таблиця 1'!$B:$B,$A448,'Таблиця 1'!$I:$I,"Mi-8",'Таблиця 1'!$J:$J,"Hydra-70")+SUMIFS('Таблиця 1'!$K:$K,'Таблиця 1'!$B:$B,$A448,'Таблиця 1'!$I:$I,"Mi-24",'Таблиця 1'!$J:$J,"Hydra-70"))</f>
        <v/>
      </c>
      <c r="K448">
        <f>IF($A448="","",SUMIFS('Таблиця 1'!$K:$K,'Таблиця 1'!$B:$B,$A448,'Таблиця 1'!$I:$I,"Mi-8",'Таблиця 1'!$J:$J,"Thales-70")+SUMIFS('Таблиця 1'!$K:$K,'Таблиця 1'!$B:$B,$A448,'Таблиця 1'!$I:$I,"Mi-24",'Таблиця 1'!$J:$J,"Thales-70"))</f>
        <v/>
      </c>
      <c r="L448">
        <f>IF($A448="","",SUMIFS('Таблиця 1'!$K:$K,'Таблиця 1'!$B:$B,$A448,'Таблиця 1'!$I:$I,"Mi-8",'Таблиця 1'!$J:$J,"Thales-FZ")+SUMIFS('Таблиця 1'!$K:$K,'Таблиця 1'!$B:$B,$A448,'Таблиця 1'!$I:$I,"Mi-24",'Таблиця 1'!$J:$J,"Thales-FZ"))</f>
        <v/>
      </c>
      <c r="M448">
        <f>IF($A448="","",SUMIFS('Таблиця 1'!$K:$K,'Таблиця 1'!$B:$B,$A448,'Таблиця 1'!$I:$I,"Mi-8",'Таблиця 1'!$J:$J,"МК-40")+SUMIFS('Таблиця 1'!$K:$K,'Таблиця 1'!$B:$B,$A448,'Таблиця 1'!$I:$I,"Mi-24",'Таблиця 1'!$J:$J,"МК-40"))</f>
        <v/>
      </c>
      <c r="N448">
        <f>IF($A448="","",SUMIFS('Таблиця 1'!$K:$K,'Таблиця 1'!$B:$B,$A448,'Таблиця 1'!$I:$I,"Mi-8",'Таблиця 1'!$J:$J,"Zuni")+SUMIFS('Таблиця 1'!$K:$K,'Таблиця 1'!$B:$B,$A448,'Таблиця 1'!$I:$I,"Mi-24",'Таблиця 1'!$J:$J,"Zuni"))</f>
        <v/>
      </c>
      <c r="O448">
        <f>IF($A448="","",COUNTIFS('Таблиця 1'!$B:$B,$A448,'Таблиця 1'!$I:$I,"Mi-8",'Таблиця 1'!$L:$L,"Уражено")+COUNTIFS('Таблиця 1'!$B:$B,$A448,'Таблиця 1'!$I:$I,"Mi-24",'Таблиця 1'!$L:$L,"Уражено"))</f>
        <v/>
      </c>
      <c r="P448">
        <f>IF($A448="","",COUNTIFS('Таблиця 1'!$B:$B,$A448,'Таблиця 1'!$I:$I,"Mi-8",'Таблиця 1'!$L:$L,"НЕ уражено")+COUNTIFS('Таблиця 1'!$B:$B,$A448,'Таблиця 1'!$I:$I,"Mi-24",'Таблиця 1'!$L:$L,"НЕ уражено"))</f>
        <v/>
      </c>
    </row>
    <row r="449">
      <c r="A449" s="273">
        <f>IF(A448="","",IF(A448+1&gt;MAX('Таблиця 1'!$B:$B),"",A448+1))</f>
        <v/>
      </c>
      <c r="B449">
        <f>IF($A449="","",COUNTIFS('Таблиця 1'!$B:$B,$A449,'Таблиця 1'!$I:$I,"Mi-8")+COUNTIFS('Таблиця 1'!$B:$B,$A449,'Таблиця 1'!$I:$I,"Mi-24"))</f>
        <v/>
      </c>
      <c r="C449">
        <f>IF($A449="","",COUNTIFS('Таблиця 1'!$B:$B,$A449,'Таблиця 1'!$I:$I,"Mi-8"))</f>
        <v/>
      </c>
      <c r="D449">
        <f>IF($A449="","",COUNTIFS('Таблиця 1'!$B:$B,$A449,'Таблиця 1'!$I:$I,"Mi-24"))</f>
        <v/>
      </c>
      <c r="E449">
        <f>IF($A449="","",SUMIFS('Таблиця 1'!$K:$K,'Таблиця 1'!$B:$B,$A449,'Таблиця 1'!$I:$I,"Mi-8",'Таблиця 1'!$J:$J,"ARS-8")+SUMIFS('Таблиця 1'!$K:$K,'Таблиця 1'!$B:$B,$A449,'Таблиця 1'!$I:$I,"Mi-24",'Таблиця 1'!$J:$J,"ARS-8"))</f>
        <v/>
      </c>
      <c r="F449">
        <f>IF($A449="","",SUMIFS('Таблиця 1'!$K:$K,'Таблиця 1'!$B:$B,$A449,'Таблиця 1'!$I:$I,"Mi-8",'Таблиця 1'!$J:$J,"С-8 ком")+SUMIFS('Таблиця 1'!$K:$K,'Таблиця 1'!$B:$B,$A449,'Таблиця 1'!$I:$I,"Mi-24",'Таблиця 1'!$J:$J,"С-8 ком"))</f>
        <v/>
      </c>
      <c r="G449">
        <f>IF($A449="","",SUMIFS('Таблиця 1'!$K:$K,'Таблиця 1'!$B:$B,$A449,'Таблиця 1'!$I:$I,"Mi-8",'Таблиця 1'!$J:$J,"PC-80")+SUMIFS('Таблиця 1'!$K:$K,'Таблиця 1'!$B:$B,$A449,'Таблиця 1'!$I:$I,"Mi-24",'Таблиця 1'!$J:$J,"PC-80"))</f>
        <v/>
      </c>
      <c r="H449">
        <f>IF($A449="","",SUMIFS('Таблиця 1'!$K:$K,'Таблиця 1'!$B:$B,$A449,'Таблиця 1'!$I:$I,"Mi-8",'Таблиця 1'!$J:$J,"UAR-80")+SUMIFS('Таблиця 1'!$K:$K,'Таблиця 1'!$B:$B,$A449,'Таблиця 1'!$I:$I,"Mi-24",'Таблиця 1'!$J:$J,"UAR-80"))</f>
        <v/>
      </c>
      <c r="I449">
        <f>IF($A449="","",SUMIFS('Таблиця 1'!$K:$K,'Таблиця 1'!$B:$B,$A449,'Таблиця 1'!$I:$I,"Mi-8",'Таблиця 1'!$J:$J,"C-13")+SUMIFS('Таблиця 1'!$K:$K,'Таблиця 1'!$B:$B,$A449,'Таблиця 1'!$I:$I,"Mi-24",'Таблиця 1'!$J:$J,"C-13"))</f>
        <v/>
      </c>
      <c r="J449">
        <f>IF($A449="","",SUMIFS('Таблиця 1'!$K:$K,'Таблиця 1'!$B:$B,$A449,'Таблиця 1'!$I:$I,"Mi-8",'Таблиця 1'!$J:$J,"Hydra-70")+SUMIFS('Таблиця 1'!$K:$K,'Таблиця 1'!$B:$B,$A449,'Таблиця 1'!$I:$I,"Mi-24",'Таблиця 1'!$J:$J,"Hydra-70"))</f>
        <v/>
      </c>
      <c r="K449">
        <f>IF($A449="","",SUMIFS('Таблиця 1'!$K:$K,'Таблиця 1'!$B:$B,$A449,'Таблиця 1'!$I:$I,"Mi-8",'Таблиця 1'!$J:$J,"Thales-70")+SUMIFS('Таблиця 1'!$K:$K,'Таблиця 1'!$B:$B,$A449,'Таблиця 1'!$I:$I,"Mi-24",'Таблиця 1'!$J:$J,"Thales-70"))</f>
        <v/>
      </c>
      <c r="L449">
        <f>IF($A449="","",SUMIFS('Таблиця 1'!$K:$K,'Таблиця 1'!$B:$B,$A449,'Таблиця 1'!$I:$I,"Mi-8",'Таблиця 1'!$J:$J,"Thales-FZ")+SUMIFS('Таблиця 1'!$K:$K,'Таблиця 1'!$B:$B,$A449,'Таблиця 1'!$I:$I,"Mi-24",'Таблиця 1'!$J:$J,"Thales-FZ"))</f>
        <v/>
      </c>
      <c r="M449">
        <f>IF($A449="","",SUMIFS('Таблиця 1'!$K:$K,'Таблиця 1'!$B:$B,$A449,'Таблиця 1'!$I:$I,"Mi-8",'Таблиця 1'!$J:$J,"МК-40")+SUMIFS('Таблиця 1'!$K:$K,'Таблиця 1'!$B:$B,$A449,'Таблиця 1'!$I:$I,"Mi-24",'Таблиця 1'!$J:$J,"МК-40"))</f>
        <v/>
      </c>
      <c r="N449">
        <f>IF($A449="","",SUMIFS('Таблиця 1'!$K:$K,'Таблиця 1'!$B:$B,$A449,'Таблиця 1'!$I:$I,"Mi-8",'Таблиця 1'!$J:$J,"Zuni")+SUMIFS('Таблиця 1'!$K:$K,'Таблиця 1'!$B:$B,$A449,'Таблиця 1'!$I:$I,"Mi-24",'Таблиця 1'!$J:$J,"Zuni"))</f>
        <v/>
      </c>
      <c r="O449">
        <f>IF($A449="","",COUNTIFS('Таблиця 1'!$B:$B,$A449,'Таблиця 1'!$I:$I,"Mi-8",'Таблиця 1'!$L:$L,"Уражено")+COUNTIFS('Таблиця 1'!$B:$B,$A449,'Таблиця 1'!$I:$I,"Mi-24",'Таблиця 1'!$L:$L,"Уражено"))</f>
        <v/>
      </c>
      <c r="P449">
        <f>IF($A449="","",COUNTIFS('Таблиця 1'!$B:$B,$A449,'Таблиця 1'!$I:$I,"Mi-8",'Таблиця 1'!$L:$L,"НЕ уражено")+COUNTIFS('Таблиця 1'!$B:$B,$A449,'Таблиця 1'!$I:$I,"Mi-24",'Таблиця 1'!$L:$L,"НЕ уражено"))</f>
        <v/>
      </c>
    </row>
    <row r="450">
      <c r="A450" s="273">
        <f>IF(A449="","",IF(A449+1&gt;MAX('Таблиця 1'!$B:$B),"",A449+1))</f>
        <v/>
      </c>
      <c r="B450">
        <f>IF($A450="","",COUNTIFS('Таблиця 1'!$B:$B,$A450,'Таблиця 1'!$I:$I,"Mi-8")+COUNTIFS('Таблиця 1'!$B:$B,$A450,'Таблиця 1'!$I:$I,"Mi-24"))</f>
        <v/>
      </c>
      <c r="C450">
        <f>IF($A450="","",COUNTIFS('Таблиця 1'!$B:$B,$A450,'Таблиця 1'!$I:$I,"Mi-8"))</f>
        <v/>
      </c>
      <c r="D450">
        <f>IF($A450="","",COUNTIFS('Таблиця 1'!$B:$B,$A450,'Таблиця 1'!$I:$I,"Mi-24"))</f>
        <v/>
      </c>
      <c r="E450">
        <f>IF($A450="","",SUMIFS('Таблиця 1'!$K:$K,'Таблиця 1'!$B:$B,$A450,'Таблиця 1'!$I:$I,"Mi-8",'Таблиця 1'!$J:$J,"ARS-8")+SUMIFS('Таблиця 1'!$K:$K,'Таблиця 1'!$B:$B,$A450,'Таблиця 1'!$I:$I,"Mi-24",'Таблиця 1'!$J:$J,"ARS-8"))</f>
        <v/>
      </c>
      <c r="F450">
        <f>IF($A450="","",SUMIFS('Таблиця 1'!$K:$K,'Таблиця 1'!$B:$B,$A450,'Таблиця 1'!$I:$I,"Mi-8",'Таблиця 1'!$J:$J,"С-8 ком")+SUMIFS('Таблиця 1'!$K:$K,'Таблиця 1'!$B:$B,$A450,'Таблиця 1'!$I:$I,"Mi-24",'Таблиця 1'!$J:$J,"С-8 ком"))</f>
        <v/>
      </c>
      <c r="G450">
        <f>IF($A450="","",SUMIFS('Таблиця 1'!$K:$K,'Таблиця 1'!$B:$B,$A450,'Таблиця 1'!$I:$I,"Mi-8",'Таблиця 1'!$J:$J,"PC-80")+SUMIFS('Таблиця 1'!$K:$K,'Таблиця 1'!$B:$B,$A450,'Таблиця 1'!$I:$I,"Mi-24",'Таблиця 1'!$J:$J,"PC-80"))</f>
        <v/>
      </c>
      <c r="H450">
        <f>IF($A450="","",SUMIFS('Таблиця 1'!$K:$K,'Таблиця 1'!$B:$B,$A450,'Таблиця 1'!$I:$I,"Mi-8",'Таблиця 1'!$J:$J,"UAR-80")+SUMIFS('Таблиця 1'!$K:$K,'Таблиця 1'!$B:$B,$A450,'Таблиця 1'!$I:$I,"Mi-24",'Таблиця 1'!$J:$J,"UAR-80"))</f>
        <v/>
      </c>
      <c r="I450">
        <f>IF($A450="","",SUMIFS('Таблиця 1'!$K:$K,'Таблиця 1'!$B:$B,$A450,'Таблиця 1'!$I:$I,"Mi-8",'Таблиця 1'!$J:$J,"C-13")+SUMIFS('Таблиця 1'!$K:$K,'Таблиця 1'!$B:$B,$A450,'Таблиця 1'!$I:$I,"Mi-24",'Таблиця 1'!$J:$J,"C-13"))</f>
        <v/>
      </c>
      <c r="J450">
        <f>IF($A450="","",SUMIFS('Таблиця 1'!$K:$K,'Таблиця 1'!$B:$B,$A450,'Таблиця 1'!$I:$I,"Mi-8",'Таблиця 1'!$J:$J,"Hydra-70")+SUMIFS('Таблиця 1'!$K:$K,'Таблиця 1'!$B:$B,$A450,'Таблиця 1'!$I:$I,"Mi-24",'Таблиця 1'!$J:$J,"Hydra-70"))</f>
        <v/>
      </c>
      <c r="K450">
        <f>IF($A450="","",SUMIFS('Таблиця 1'!$K:$K,'Таблиця 1'!$B:$B,$A450,'Таблиця 1'!$I:$I,"Mi-8",'Таблиця 1'!$J:$J,"Thales-70")+SUMIFS('Таблиця 1'!$K:$K,'Таблиця 1'!$B:$B,$A450,'Таблиця 1'!$I:$I,"Mi-24",'Таблиця 1'!$J:$J,"Thales-70"))</f>
        <v/>
      </c>
      <c r="L450">
        <f>IF($A450="","",SUMIFS('Таблиця 1'!$K:$K,'Таблиця 1'!$B:$B,$A450,'Таблиця 1'!$I:$I,"Mi-8",'Таблиця 1'!$J:$J,"Thales-FZ")+SUMIFS('Таблиця 1'!$K:$K,'Таблиця 1'!$B:$B,$A450,'Таблиця 1'!$I:$I,"Mi-24",'Таблиця 1'!$J:$J,"Thales-FZ"))</f>
        <v/>
      </c>
      <c r="M450">
        <f>IF($A450="","",SUMIFS('Таблиця 1'!$K:$K,'Таблиця 1'!$B:$B,$A450,'Таблиця 1'!$I:$I,"Mi-8",'Таблиця 1'!$J:$J,"МК-40")+SUMIFS('Таблиця 1'!$K:$K,'Таблиця 1'!$B:$B,$A450,'Таблиця 1'!$I:$I,"Mi-24",'Таблиця 1'!$J:$J,"МК-40"))</f>
        <v/>
      </c>
      <c r="N450">
        <f>IF($A450="","",SUMIFS('Таблиця 1'!$K:$K,'Таблиця 1'!$B:$B,$A450,'Таблиця 1'!$I:$I,"Mi-8",'Таблиця 1'!$J:$J,"Zuni")+SUMIFS('Таблиця 1'!$K:$K,'Таблиця 1'!$B:$B,$A450,'Таблиця 1'!$I:$I,"Mi-24",'Таблиця 1'!$J:$J,"Zuni"))</f>
        <v/>
      </c>
      <c r="O450">
        <f>IF($A450="","",COUNTIFS('Таблиця 1'!$B:$B,$A450,'Таблиця 1'!$I:$I,"Mi-8",'Таблиця 1'!$L:$L,"Уражено")+COUNTIFS('Таблиця 1'!$B:$B,$A450,'Таблиця 1'!$I:$I,"Mi-24",'Таблиця 1'!$L:$L,"Уражено"))</f>
        <v/>
      </c>
      <c r="P450">
        <f>IF($A450="","",COUNTIFS('Таблиця 1'!$B:$B,$A450,'Таблиця 1'!$I:$I,"Mi-8",'Таблиця 1'!$L:$L,"НЕ уражено")+COUNTIFS('Таблиця 1'!$B:$B,$A450,'Таблиця 1'!$I:$I,"Mi-24",'Таблиця 1'!$L:$L,"НЕ уражено"))</f>
        <v/>
      </c>
    </row>
    <row r="451">
      <c r="A451" s="273">
        <f>IF(A450="","",IF(A450+1&gt;MAX('Таблиця 1'!$B:$B),"",A450+1))</f>
        <v/>
      </c>
      <c r="B451">
        <f>IF($A451="","",COUNTIFS('Таблиця 1'!$B:$B,$A451,'Таблиця 1'!$I:$I,"Mi-8")+COUNTIFS('Таблиця 1'!$B:$B,$A451,'Таблиця 1'!$I:$I,"Mi-24"))</f>
        <v/>
      </c>
      <c r="C451">
        <f>IF($A451="","",COUNTIFS('Таблиця 1'!$B:$B,$A451,'Таблиця 1'!$I:$I,"Mi-8"))</f>
        <v/>
      </c>
      <c r="D451">
        <f>IF($A451="","",COUNTIFS('Таблиця 1'!$B:$B,$A451,'Таблиця 1'!$I:$I,"Mi-24"))</f>
        <v/>
      </c>
      <c r="E451">
        <f>IF($A451="","",SUMIFS('Таблиця 1'!$K:$K,'Таблиця 1'!$B:$B,$A451,'Таблиця 1'!$I:$I,"Mi-8",'Таблиця 1'!$J:$J,"ARS-8")+SUMIFS('Таблиця 1'!$K:$K,'Таблиця 1'!$B:$B,$A451,'Таблиця 1'!$I:$I,"Mi-24",'Таблиця 1'!$J:$J,"ARS-8"))</f>
        <v/>
      </c>
      <c r="F451">
        <f>IF($A451="","",SUMIFS('Таблиця 1'!$K:$K,'Таблиця 1'!$B:$B,$A451,'Таблиця 1'!$I:$I,"Mi-8",'Таблиця 1'!$J:$J,"С-8 ком")+SUMIFS('Таблиця 1'!$K:$K,'Таблиця 1'!$B:$B,$A451,'Таблиця 1'!$I:$I,"Mi-24",'Таблиця 1'!$J:$J,"С-8 ком"))</f>
        <v/>
      </c>
      <c r="G451">
        <f>IF($A451="","",SUMIFS('Таблиця 1'!$K:$K,'Таблиця 1'!$B:$B,$A451,'Таблиця 1'!$I:$I,"Mi-8",'Таблиця 1'!$J:$J,"PC-80")+SUMIFS('Таблиця 1'!$K:$K,'Таблиця 1'!$B:$B,$A451,'Таблиця 1'!$I:$I,"Mi-24",'Таблиця 1'!$J:$J,"PC-80"))</f>
        <v/>
      </c>
      <c r="H451">
        <f>IF($A451="","",SUMIFS('Таблиця 1'!$K:$K,'Таблиця 1'!$B:$B,$A451,'Таблиця 1'!$I:$I,"Mi-8",'Таблиця 1'!$J:$J,"UAR-80")+SUMIFS('Таблиця 1'!$K:$K,'Таблиця 1'!$B:$B,$A451,'Таблиця 1'!$I:$I,"Mi-24",'Таблиця 1'!$J:$J,"UAR-80"))</f>
        <v/>
      </c>
      <c r="I451">
        <f>IF($A451="","",SUMIFS('Таблиця 1'!$K:$K,'Таблиця 1'!$B:$B,$A451,'Таблиця 1'!$I:$I,"Mi-8",'Таблиця 1'!$J:$J,"C-13")+SUMIFS('Таблиця 1'!$K:$K,'Таблиця 1'!$B:$B,$A451,'Таблиця 1'!$I:$I,"Mi-24",'Таблиця 1'!$J:$J,"C-13"))</f>
        <v/>
      </c>
      <c r="J451">
        <f>IF($A451="","",SUMIFS('Таблиця 1'!$K:$K,'Таблиця 1'!$B:$B,$A451,'Таблиця 1'!$I:$I,"Mi-8",'Таблиця 1'!$J:$J,"Hydra-70")+SUMIFS('Таблиця 1'!$K:$K,'Таблиця 1'!$B:$B,$A451,'Таблиця 1'!$I:$I,"Mi-24",'Таблиця 1'!$J:$J,"Hydra-70"))</f>
        <v/>
      </c>
      <c r="K451">
        <f>IF($A451="","",SUMIFS('Таблиця 1'!$K:$K,'Таблиця 1'!$B:$B,$A451,'Таблиця 1'!$I:$I,"Mi-8",'Таблиця 1'!$J:$J,"Thales-70")+SUMIFS('Таблиця 1'!$K:$K,'Таблиця 1'!$B:$B,$A451,'Таблиця 1'!$I:$I,"Mi-24",'Таблиця 1'!$J:$J,"Thales-70"))</f>
        <v/>
      </c>
      <c r="L451">
        <f>IF($A451="","",SUMIFS('Таблиця 1'!$K:$K,'Таблиця 1'!$B:$B,$A451,'Таблиця 1'!$I:$I,"Mi-8",'Таблиця 1'!$J:$J,"Thales-FZ")+SUMIFS('Таблиця 1'!$K:$K,'Таблиця 1'!$B:$B,$A451,'Таблиця 1'!$I:$I,"Mi-24",'Таблиця 1'!$J:$J,"Thales-FZ"))</f>
        <v/>
      </c>
      <c r="M451">
        <f>IF($A451="","",SUMIFS('Таблиця 1'!$K:$K,'Таблиця 1'!$B:$B,$A451,'Таблиця 1'!$I:$I,"Mi-8",'Таблиця 1'!$J:$J,"МК-40")+SUMIFS('Таблиця 1'!$K:$K,'Таблиця 1'!$B:$B,$A451,'Таблиця 1'!$I:$I,"Mi-24",'Таблиця 1'!$J:$J,"МК-40"))</f>
        <v/>
      </c>
      <c r="N451">
        <f>IF($A451="","",SUMIFS('Таблиця 1'!$K:$K,'Таблиця 1'!$B:$B,$A451,'Таблиця 1'!$I:$I,"Mi-8",'Таблиця 1'!$J:$J,"Zuni")+SUMIFS('Таблиця 1'!$K:$K,'Таблиця 1'!$B:$B,$A451,'Таблиця 1'!$I:$I,"Mi-24",'Таблиця 1'!$J:$J,"Zuni"))</f>
        <v/>
      </c>
      <c r="O451">
        <f>IF($A451="","",COUNTIFS('Таблиця 1'!$B:$B,$A451,'Таблиця 1'!$I:$I,"Mi-8",'Таблиця 1'!$L:$L,"Уражено")+COUNTIFS('Таблиця 1'!$B:$B,$A451,'Таблиця 1'!$I:$I,"Mi-24",'Таблиця 1'!$L:$L,"Уражено"))</f>
        <v/>
      </c>
      <c r="P451">
        <f>IF($A451="","",COUNTIFS('Таблиця 1'!$B:$B,$A451,'Таблиця 1'!$I:$I,"Mi-8",'Таблиця 1'!$L:$L,"НЕ уражено")+COUNTIFS('Таблиця 1'!$B:$B,$A451,'Таблиця 1'!$I:$I,"Mi-24",'Таблиця 1'!$L:$L,"НЕ уражено"))</f>
        <v/>
      </c>
    </row>
    <row r="452">
      <c r="A452" s="273">
        <f>IF(A451="","",IF(A451+1&gt;MAX('Таблиця 1'!$B:$B),"",A451+1))</f>
        <v/>
      </c>
      <c r="B452">
        <f>IF($A452="","",COUNTIFS('Таблиця 1'!$B:$B,$A452,'Таблиця 1'!$I:$I,"Mi-8")+COUNTIFS('Таблиця 1'!$B:$B,$A452,'Таблиця 1'!$I:$I,"Mi-24"))</f>
        <v/>
      </c>
      <c r="C452">
        <f>IF($A452="","",COUNTIFS('Таблиця 1'!$B:$B,$A452,'Таблиця 1'!$I:$I,"Mi-8"))</f>
        <v/>
      </c>
      <c r="D452">
        <f>IF($A452="","",COUNTIFS('Таблиця 1'!$B:$B,$A452,'Таблиця 1'!$I:$I,"Mi-24"))</f>
        <v/>
      </c>
      <c r="E452">
        <f>IF($A452="","",SUMIFS('Таблиця 1'!$K:$K,'Таблиця 1'!$B:$B,$A452,'Таблиця 1'!$I:$I,"Mi-8",'Таблиця 1'!$J:$J,"ARS-8")+SUMIFS('Таблиця 1'!$K:$K,'Таблиця 1'!$B:$B,$A452,'Таблиця 1'!$I:$I,"Mi-24",'Таблиця 1'!$J:$J,"ARS-8"))</f>
        <v/>
      </c>
      <c r="F452">
        <f>IF($A452="","",SUMIFS('Таблиця 1'!$K:$K,'Таблиця 1'!$B:$B,$A452,'Таблиця 1'!$I:$I,"Mi-8",'Таблиця 1'!$J:$J,"С-8 ком")+SUMIFS('Таблиця 1'!$K:$K,'Таблиця 1'!$B:$B,$A452,'Таблиця 1'!$I:$I,"Mi-24",'Таблиця 1'!$J:$J,"С-8 ком"))</f>
        <v/>
      </c>
      <c r="G452">
        <f>IF($A452="","",SUMIFS('Таблиця 1'!$K:$K,'Таблиця 1'!$B:$B,$A452,'Таблиця 1'!$I:$I,"Mi-8",'Таблиця 1'!$J:$J,"PC-80")+SUMIFS('Таблиця 1'!$K:$K,'Таблиця 1'!$B:$B,$A452,'Таблиця 1'!$I:$I,"Mi-24",'Таблиця 1'!$J:$J,"PC-80"))</f>
        <v/>
      </c>
      <c r="H452">
        <f>IF($A452="","",SUMIFS('Таблиця 1'!$K:$K,'Таблиця 1'!$B:$B,$A452,'Таблиця 1'!$I:$I,"Mi-8",'Таблиця 1'!$J:$J,"UAR-80")+SUMIFS('Таблиця 1'!$K:$K,'Таблиця 1'!$B:$B,$A452,'Таблиця 1'!$I:$I,"Mi-24",'Таблиця 1'!$J:$J,"UAR-80"))</f>
        <v/>
      </c>
      <c r="I452">
        <f>IF($A452="","",SUMIFS('Таблиця 1'!$K:$K,'Таблиця 1'!$B:$B,$A452,'Таблиця 1'!$I:$I,"Mi-8",'Таблиця 1'!$J:$J,"C-13")+SUMIFS('Таблиця 1'!$K:$K,'Таблиця 1'!$B:$B,$A452,'Таблиця 1'!$I:$I,"Mi-24",'Таблиця 1'!$J:$J,"C-13"))</f>
        <v/>
      </c>
      <c r="J452">
        <f>IF($A452="","",SUMIFS('Таблиця 1'!$K:$K,'Таблиця 1'!$B:$B,$A452,'Таблиця 1'!$I:$I,"Mi-8",'Таблиця 1'!$J:$J,"Hydra-70")+SUMIFS('Таблиця 1'!$K:$K,'Таблиця 1'!$B:$B,$A452,'Таблиця 1'!$I:$I,"Mi-24",'Таблиця 1'!$J:$J,"Hydra-70"))</f>
        <v/>
      </c>
      <c r="K452">
        <f>IF($A452="","",SUMIFS('Таблиця 1'!$K:$K,'Таблиця 1'!$B:$B,$A452,'Таблиця 1'!$I:$I,"Mi-8",'Таблиця 1'!$J:$J,"Thales-70")+SUMIFS('Таблиця 1'!$K:$K,'Таблиця 1'!$B:$B,$A452,'Таблиця 1'!$I:$I,"Mi-24",'Таблиця 1'!$J:$J,"Thales-70"))</f>
        <v/>
      </c>
      <c r="L452">
        <f>IF($A452="","",SUMIFS('Таблиця 1'!$K:$K,'Таблиця 1'!$B:$B,$A452,'Таблиця 1'!$I:$I,"Mi-8",'Таблиця 1'!$J:$J,"Thales-FZ")+SUMIFS('Таблиця 1'!$K:$K,'Таблиця 1'!$B:$B,$A452,'Таблиця 1'!$I:$I,"Mi-24",'Таблиця 1'!$J:$J,"Thales-FZ"))</f>
        <v/>
      </c>
      <c r="M452">
        <f>IF($A452="","",SUMIFS('Таблиця 1'!$K:$K,'Таблиця 1'!$B:$B,$A452,'Таблиця 1'!$I:$I,"Mi-8",'Таблиця 1'!$J:$J,"МК-40")+SUMIFS('Таблиця 1'!$K:$K,'Таблиця 1'!$B:$B,$A452,'Таблиця 1'!$I:$I,"Mi-24",'Таблиця 1'!$J:$J,"МК-40"))</f>
        <v/>
      </c>
      <c r="N452">
        <f>IF($A452="","",SUMIFS('Таблиця 1'!$K:$K,'Таблиця 1'!$B:$B,$A452,'Таблиця 1'!$I:$I,"Mi-8",'Таблиця 1'!$J:$J,"Zuni")+SUMIFS('Таблиця 1'!$K:$K,'Таблиця 1'!$B:$B,$A452,'Таблиця 1'!$I:$I,"Mi-24",'Таблиця 1'!$J:$J,"Zuni"))</f>
        <v/>
      </c>
      <c r="O452">
        <f>IF($A452="","",COUNTIFS('Таблиця 1'!$B:$B,$A452,'Таблиця 1'!$I:$I,"Mi-8",'Таблиця 1'!$L:$L,"Уражено")+COUNTIFS('Таблиця 1'!$B:$B,$A452,'Таблиця 1'!$I:$I,"Mi-24",'Таблиця 1'!$L:$L,"Уражено"))</f>
        <v/>
      </c>
      <c r="P452">
        <f>IF($A452="","",COUNTIFS('Таблиця 1'!$B:$B,$A452,'Таблиця 1'!$I:$I,"Mi-8",'Таблиця 1'!$L:$L,"НЕ уражено")+COUNTIFS('Таблиця 1'!$B:$B,$A452,'Таблиця 1'!$I:$I,"Mi-24",'Таблиця 1'!$L:$L,"НЕ уражено"))</f>
        <v/>
      </c>
    </row>
    <row r="453">
      <c r="A453" s="273">
        <f>IF(A452="","",IF(A452+1&gt;MAX('Таблиця 1'!$B:$B),"",A452+1))</f>
        <v/>
      </c>
      <c r="B453">
        <f>IF($A453="","",COUNTIFS('Таблиця 1'!$B:$B,$A453,'Таблиця 1'!$I:$I,"Mi-8")+COUNTIFS('Таблиця 1'!$B:$B,$A453,'Таблиця 1'!$I:$I,"Mi-24"))</f>
        <v/>
      </c>
      <c r="C453">
        <f>IF($A453="","",COUNTIFS('Таблиця 1'!$B:$B,$A453,'Таблиця 1'!$I:$I,"Mi-8"))</f>
        <v/>
      </c>
      <c r="D453">
        <f>IF($A453="","",COUNTIFS('Таблиця 1'!$B:$B,$A453,'Таблиця 1'!$I:$I,"Mi-24"))</f>
        <v/>
      </c>
      <c r="E453">
        <f>IF($A453="","",SUMIFS('Таблиця 1'!$K:$K,'Таблиця 1'!$B:$B,$A453,'Таблиця 1'!$I:$I,"Mi-8",'Таблиця 1'!$J:$J,"ARS-8")+SUMIFS('Таблиця 1'!$K:$K,'Таблиця 1'!$B:$B,$A453,'Таблиця 1'!$I:$I,"Mi-24",'Таблиця 1'!$J:$J,"ARS-8"))</f>
        <v/>
      </c>
      <c r="F453">
        <f>IF($A453="","",SUMIFS('Таблиця 1'!$K:$K,'Таблиця 1'!$B:$B,$A453,'Таблиця 1'!$I:$I,"Mi-8",'Таблиця 1'!$J:$J,"С-8 ком")+SUMIFS('Таблиця 1'!$K:$K,'Таблиця 1'!$B:$B,$A453,'Таблиця 1'!$I:$I,"Mi-24",'Таблиця 1'!$J:$J,"С-8 ком"))</f>
        <v/>
      </c>
      <c r="G453">
        <f>IF($A453="","",SUMIFS('Таблиця 1'!$K:$K,'Таблиця 1'!$B:$B,$A453,'Таблиця 1'!$I:$I,"Mi-8",'Таблиця 1'!$J:$J,"PC-80")+SUMIFS('Таблиця 1'!$K:$K,'Таблиця 1'!$B:$B,$A453,'Таблиця 1'!$I:$I,"Mi-24",'Таблиця 1'!$J:$J,"PC-80"))</f>
        <v/>
      </c>
      <c r="H453">
        <f>IF($A453="","",SUMIFS('Таблиця 1'!$K:$K,'Таблиця 1'!$B:$B,$A453,'Таблиця 1'!$I:$I,"Mi-8",'Таблиця 1'!$J:$J,"UAR-80")+SUMIFS('Таблиця 1'!$K:$K,'Таблиця 1'!$B:$B,$A453,'Таблиця 1'!$I:$I,"Mi-24",'Таблиця 1'!$J:$J,"UAR-80"))</f>
        <v/>
      </c>
      <c r="I453">
        <f>IF($A453="","",SUMIFS('Таблиця 1'!$K:$K,'Таблиця 1'!$B:$B,$A453,'Таблиця 1'!$I:$I,"Mi-8",'Таблиця 1'!$J:$J,"C-13")+SUMIFS('Таблиця 1'!$K:$K,'Таблиця 1'!$B:$B,$A453,'Таблиця 1'!$I:$I,"Mi-24",'Таблиця 1'!$J:$J,"C-13"))</f>
        <v/>
      </c>
      <c r="J453">
        <f>IF($A453="","",SUMIFS('Таблиця 1'!$K:$K,'Таблиця 1'!$B:$B,$A453,'Таблиця 1'!$I:$I,"Mi-8",'Таблиця 1'!$J:$J,"Hydra-70")+SUMIFS('Таблиця 1'!$K:$K,'Таблиця 1'!$B:$B,$A453,'Таблиця 1'!$I:$I,"Mi-24",'Таблиця 1'!$J:$J,"Hydra-70"))</f>
        <v/>
      </c>
      <c r="K453">
        <f>IF($A453="","",SUMIFS('Таблиця 1'!$K:$K,'Таблиця 1'!$B:$B,$A453,'Таблиця 1'!$I:$I,"Mi-8",'Таблиця 1'!$J:$J,"Thales-70")+SUMIFS('Таблиця 1'!$K:$K,'Таблиця 1'!$B:$B,$A453,'Таблиця 1'!$I:$I,"Mi-24",'Таблиця 1'!$J:$J,"Thales-70"))</f>
        <v/>
      </c>
      <c r="L453">
        <f>IF($A453="","",SUMIFS('Таблиця 1'!$K:$K,'Таблиця 1'!$B:$B,$A453,'Таблиця 1'!$I:$I,"Mi-8",'Таблиця 1'!$J:$J,"Thales-FZ")+SUMIFS('Таблиця 1'!$K:$K,'Таблиця 1'!$B:$B,$A453,'Таблиця 1'!$I:$I,"Mi-24",'Таблиця 1'!$J:$J,"Thales-FZ"))</f>
        <v/>
      </c>
      <c r="M453">
        <f>IF($A453="","",SUMIFS('Таблиця 1'!$K:$K,'Таблиця 1'!$B:$B,$A453,'Таблиця 1'!$I:$I,"Mi-8",'Таблиця 1'!$J:$J,"МК-40")+SUMIFS('Таблиця 1'!$K:$K,'Таблиця 1'!$B:$B,$A453,'Таблиця 1'!$I:$I,"Mi-24",'Таблиця 1'!$J:$J,"МК-40"))</f>
        <v/>
      </c>
      <c r="N453">
        <f>IF($A453="","",SUMIFS('Таблиця 1'!$K:$K,'Таблиця 1'!$B:$B,$A453,'Таблиця 1'!$I:$I,"Mi-8",'Таблиця 1'!$J:$J,"Zuni")+SUMIFS('Таблиця 1'!$K:$K,'Таблиця 1'!$B:$B,$A453,'Таблиця 1'!$I:$I,"Mi-24",'Таблиця 1'!$J:$J,"Zuni"))</f>
        <v/>
      </c>
      <c r="O453">
        <f>IF($A453="","",COUNTIFS('Таблиця 1'!$B:$B,$A453,'Таблиця 1'!$I:$I,"Mi-8",'Таблиця 1'!$L:$L,"Уражено")+COUNTIFS('Таблиця 1'!$B:$B,$A453,'Таблиця 1'!$I:$I,"Mi-24",'Таблиця 1'!$L:$L,"Уражено"))</f>
        <v/>
      </c>
      <c r="P453">
        <f>IF($A453="","",COUNTIFS('Таблиця 1'!$B:$B,$A453,'Таблиця 1'!$I:$I,"Mi-8",'Таблиця 1'!$L:$L,"НЕ уражено")+COUNTIFS('Таблиця 1'!$B:$B,$A453,'Таблиця 1'!$I:$I,"Mi-24",'Таблиця 1'!$L:$L,"НЕ уражено"))</f>
        <v/>
      </c>
    </row>
    <row r="454">
      <c r="A454" s="273">
        <f>IF(A453="","",IF(A453+1&gt;MAX('Таблиця 1'!$B:$B),"",A453+1))</f>
        <v/>
      </c>
      <c r="B454">
        <f>IF($A454="","",COUNTIFS('Таблиця 1'!$B:$B,$A454,'Таблиця 1'!$I:$I,"Mi-8")+COUNTIFS('Таблиця 1'!$B:$B,$A454,'Таблиця 1'!$I:$I,"Mi-24"))</f>
        <v/>
      </c>
      <c r="C454">
        <f>IF($A454="","",COUNTIFS('Таблиця 1'!$B:$B,$A454,'Таблиця 1'!$I:$I,"Mi-8"))</f>
        <v/>
      </c>
      <c r="D454">
        <f>IF($A454="","",COUNTIFS('Таблиця 1'!$B:$B,$A454,'Таблиця 1'!$I:$I,"Mi-24"))</f>
        <v/>
      </c>
      <c r="E454">
        <f>IF($A454="","",SUMIFS('Таблиця 1'!$K:$K,'Таблиця 1'!$B:$B,$A454,'Таблиця 1'!$I:$I,"Mi-8",'Таблиця 1'!$J:$J,"ARS-8")+SUMIFS('Таблиця 1'!$K:$K,'Таблиця 1'!$B:$B,$A454,'Таблиця 1'!$I:$I,"Mi-24",'Таблиця 1'!$J:$J,"ARS-8"))</f>
        <v/>
      </c>
      <c r="F454">
        <f>IF($A454="","",SUMIFS('Таблиця 1'!$K:$K,'Таблиця 1'!$B:$B,$A454,'Таблиця 1'!$I:$I,"Mi-8",'Таблиця 1'!$J:$J,"С-8 ком")+SUMIFS('Таблиця 1'!$K:$K,'Таблиця 1'!$B:$B,$A454,'Таблиця 1'!$I:$I,"Mi-24",'Таблиця 1'!$J:$J,"С-8 ком"))</f>
        <v/>
      </c>
      <c r="G454">
        <f>IF($A454="","",SUMIFS('Таблиця 1'!$K:$K,'Таблиця 1'!$B:$B,$A454,'Таблиця 1'!$I:$I,"Mi-8",'Таблиця 1'!$J:$J,"PC-80")+SUMIFS('Таблиця 1'!$K:$K,'Таблиця 1'!$B:$B,$A454,'Таблиця 1'!$I:$I,"Mi-24",'Таблиця 1'!$J:$J,"PC-80"))</f>
        <v/>
      </c>
      <c r="H454">
        <f>IF($A454="","",SUMIFS('Таблиця 1'!$K:$K,'Таблиця 1'!$B:$B,$A454,'Таблиця 1'!$I:$I,"Mi-8",'Таблиця 1'!$J:$J,"UAR-80")+SUMIFS('Таблиця 1'!$K:$K,'Таблиця 1'!$B:$B,$A454,'Таблиця 1'!$I:$I,"Mi-24",'Таблиця 1'!$J:$J,"UAR-80"))</f>
        <v/>
      </c>
      <c r="I454">
        <f>IF($A454="","",SUMIFS('Таблиця 1'!$K:$K,'Таблиця 1'!$B:$B,$A454,'Таблиця 1'!$I:$I,"Mi-8",'Таблиця 1'!$J:$J,"C-13")+SUMIFS('Таблиця 1'!$K:$K,'Таблиця 1'!$B:$B,$A454,'Таблиця 1'!$I:$I,"Mi-24",'Таблиця 1'!$J:$J,"C-13"))</f>
        <v/>
      </c>
      <c r="J454">
        <f>IF($A454="","",SUMIFS('Таблиця 1'!$K:$K,'Таблиця 1'!$B:$B,$A454,'Таблиця 1'!$I:$I,"Mi-8",'Таблиця 1'!$J:$J,"Hydra-70")+SUMIFS('Таблиця 1'!$K:$K,'Таблиця 1'!$B:$B,$A454,'Таблиця 1'!$I:$I,"Mi-24",'Таблиця 1'!$J:$J,"Hydra-70"))</f>
        <v/>
      </c>
      <c r="K454">
        <f>IF($A454="","",SUMIFS('Таблиця 1'!$K:$K,'Таблиця 1'!$B:$B,$A454,'Таблиця 1'!$I:$I,"Mi-8",'Таблиця 1'!$J:$J,"Thales-70")+SUMIFS('Таблиця 1'!$K:$K,'Таблиця 1'!$B:$B,$A454,'Таблиця 1'!$I:$I,"Mi-24",'Таблиця 1'!$J:$J,"Thales-70"))</f>
        <v/>
      </c>
      <c r="L454">
        <f>IF($A454="","",SUMIFS('Таблиця 1'!$K:$K,'Таблиця 1'!$B:$B,$A454,'Таблиця 1'!$I:$I,"Mi-8",'Таблиця 1'!$J:$J,"Thales-FZ")+SUMIFS('Таблиця 1'!$K:$K,'Таблиця 1'!$B:$B,$A454,'Таблиця 1'!$I:$I,"Mi-24",'Таблиця 1'!$J:$J,"Thales-FZ"))</f>
        <v/>
      </c>
      <c r="M454">
        <f>IF($A454="","",SUMIFS('Таблиця 1'!$K:$K,'Таблиця 1'!$B:$B,$A454,'Таблиця 1'!$I:$I,"Mi-8",'Таблиця 1'!$J:$J,"МК-40")+SUMIFS('Таблиця 1'!$K:$K,'Таблиця 1'!$B:$B,$A454,'Таблиця 1'!$I:$I,"Mi-24",'Таблиця 1'!$J:$J,"МК-40"))</f>
        <v/>
      </c>
      <c r="N454">
        <f>IF($A454="","",SUMIFS('Таблиця 1'!$K:$K,'Таблиця 1'!$B:$B,$A454,'Таблиця 1'!$I:$I,"Mi-8",'Таблиця 1'!$J:$J,"Zuni")+SUMIFS('Таблиця 1'!$K:$K,'Таблиця 1'!$B:$B,$A454,'Таблиця 1'!$I:$I,"Mi-24",'Таблиця 1'!$J:$J,"Zuni"))</f>
        <v/>
      </c>
      <c r="O454">
        <f>IF($A454="","",COUNTIFS('Таблиця 1'!$B:$B,$A454,'Таблиця 1'!$I:$I,"Mi-8",'Таблиця 1'!$L:$L,"Уражено")+COUNTIFS('Таблиця 1'!$B:$B,$A454,'Таблиця 1'!$I:$I,"Mi-24",'Таблиця 1'!$L:$L,"Уражено"))</f>
        <v/>
      </c>
      <c r="P454">
        <f>IF($A454="","",COUNTIFS('Таблиця 1'!$B:$B,$A454,'Таблиця 1'!$I:$I,"Mi-8",'Таблиця 1'!$L:$L,"НЕ уражено")+COUNTIFS('Таблиця 1'!$B:$B,$A454,'Таблиця 1'!$I:$I,"Mi-24",'Таблиця 1'!$L:$L,"НЕ уражено"))</f>
        <v/>
      </c>
    </row>
    <row r="455">
      <c r="A455" s="273">
        <f>IF(A454="","",IF(A454+1&gt;MAX('Таблиця 1'!$B:$B),"",A454+1))</f>
        <v/>
      </c>
      <c r="B455">
        <f>IF($A455="","",COUNTIFS('Таблиця 1'!$B:$B,$A455,'Таблиця 1'!$I:$I,"Mi-8")+COUNTIFS('Таблиця 1'!$B:$B,$A455,'Таблиця 1'!$I:$I,"Mi-24"))</f>
        <v/>
      </c>
      <c r="C455">
        <f>IF($A455="","",COUNTIFS('Таблиця 1'!$B:$B,$A455,'Таблиця 1'!$I:$I,"Mi-8"))</f>
        <v/>
      </c>
      <c r="D455">
        <f>IF($A455="","",COUNTIFS('Таблиця 1'!$B:$B,$A455,'Таблиця 1'!$I:$I,"Mi-24"))</f>
        <v/>
      </c>
      <c r="E455">
        <f>IF($A455="","",SUMIFS('Таблиця 1'!$K:$K,'Таблиця 1'!$B:$B,$A455,'Таблиця 1'!$I:$I,"Mi-8",'Таблиця 1'!$J:$J,"ARS-8")+SUMIFS('Таблиця 1'!$K:$K,'Таблиця 1'!$B:$B,$A455,'Таблиця 1'!$I:$I,"Mi-24",'Таблиця 1'!$J:$J,"ARS-8"))</f>
        <v/>
      </c>
      <c r="F455">
        <f>IF($A455="","",SUMIFS('Таблиця 1'!$K:$K,'Таблиця 1'!$B:$B,$A455,'Таблиця 1'!$I:$I,"Mi-8",'Таблиця 1'!$J:$J,"С-8 ком")+SUMIFS('Таблиця 1'!$K:$K,'Таблиця 1'!$B:$B,$A455,'Таблиця 1'!$I:$I,"Mi-24",'Таблиця 1'!$J:$J,"С-8 ком"))</f>
        <v/>
      </c>
      <c r="G455">
        <f>IF($A455="","",SUMIFS('Таблиця 1'!$K:$K,'Таблиця 1'!$B:$B,$A455,'Таблиця 1'!$I:$I,"Mi-8",'Таблиця 1'!$J:$J,"PC-80")+SUMIFS('Таблиця 1'!$K:$K,'Таблиця 1'!$B:$B,$A455,'Таблиця 1'!$I:$I,"Mi-24",'Таблиця 1'!$J:$J,"PC-80"))</f>
        <v/>
      </c>
      <c r="H455">
        <f>IF($A455="","",SUMIFS('Таблиця 1'!$K:$K,'Таблиця 1'!$B:$B,$A455,'Таблиця 1'!$I:$I,"Mi-8",'Таблиця 1'!$J:$J,"UAR-80")+SUMIFS('Таблиця 1'!$K:$K,'Таблиця 1'!$B:$B,$A455,'Таблиця 1'!$I:$I,"Mi-24",'Таблиця 1'!$J:$J,"UAR-80"))</f>
        <v/>
      </c>
      <c r="I455">
        <f>IF($A455="","",SUMIFS('Таблиця 1'!$K:$K,'Таблиця 1'!$B:$B,$A455,'Таблиця 1'!$I:$I,"Mi-8",'Таблиця 1'!$J:$J,"C-13")+SUMIFS('Таблиця 1'!$K:$K,'Таблиця 1'!$B:$B,$A455,'Таблиця 1'!$I:$I,"Mi-24",'Таблиця 1'!$J:$J,"C-13"))</f>
        <v/>
      </c>
      <c r="J455">
        <f>IF($A455="","",SUMIFS('Таблиця 1'!$K:$K,'Таблиця 1'!$B:$B,$A455,'Таблиця 1'!$I:$I,"Mi-8",'Таблиця 1'!$J:$J,"Hydra-70")+SUMIFS('Таблиця 1'!$K:$K,'Таблиця 1'!$B:$B,$A455,'Таблиця 1'!$I:$I,"Mi-24",'Таблиця 1'!$J:$J,"Hydra-70"))</f>
        <v/>
      </c>
      <c r="K455">
        <f>IF($A455="","",SUMIFS('Таблиця 1'!$K:$K,'Таблиця 1'!$B:$B,$A455,'Таблиця 1'!$I:$I,"Mi-8",'Таблиця 1'!$J:$J,"Thales-70")+SUMIFS('Таблиця 1'!$K:$K,'Таблиця 1'!$B:$B,$A455,'Таблиця 1'!$I:$I,"Mi-24",'Таблиця 1'!$J:$J,"Thales-70"))</f>
        <v/>
      </c>
      <c r="L455">
        <f>IF($A455="","",SUMIFS('Таблиця 1'!$K:$K,'Таблиця 1'!$B:$B,$A455,'Таблиця 1'!$I:$I,"Mi-8",'Таблиця 1'!$J:$J,"Thales-FZ")+SUMIFS('Таблиця 1'!$K:$K,'Таблиця 1'!$B:$B,$A455,'Таблиця 1'!$I:$I,"Mi-24",'Таблиця 1'!$J:$J,"Thales-FZ"))</f>
        <v/>
      </c>
      <c r="M455">
        <f>IF($A455="","",SUMIFS('Таблиця 1'!$K:$K,'Таблиця 1'!$B:$B,$A455,'Таблиця 1'!$I:$I,"Mi-8",'Таблиця 1'!$J:$J,"МК-40")+SUMIFS('Таблиця 1'!$K:$K,'Таблиця 1'!$B:$B,$A455,'Таблиця 1'!$I:$I,"Mi-24",'Таблиця 1'!$J:$J,"МК-40"))</f>
        <v/>
      </c>
      <c r="N455">
        <f>IF($A455="","",SUMIFS('Таблиця 1'!$K:$K,'Таблиця 1'!$B:$B,$A455,'Таблиця 1'!$I:$I,"Mi-8",'Таблиця 1'!$J:$J,"Zuni")+SUMIFS('Таблиця 1'!$K:$K,'Таблиця 1'!$B:$B,$A455,'Таблиця 1'!$I:$I,"Mi-24",'Таблиця 1'!$J:$J,"Zuni"))</f>
        <v/>
      </c>
      <c r="O455">
        <f>IF($A455="","",COUNTIFS('Таблиця 1'!$B:$B,$A455,'Таблиця 1'!$I:$I,"Mi-8",'Таблиця 1'!$L:$L,"Уражено")+COUNTIFS('Таблиця 1'!$B:$B,$A455,'Таблиця 1'!$I:$I,"Mi-24",'Таблиця 1'!$L:$L,"Уражено"))</f>
        <v/>
      </c>
      <c r="P455">
        <f>IF($A455="","",COUNTIFS('Таблиця 1'!$B:$B,$A455,'Таблиця 1'!$I:$I,"Mi-8",'Таблиця 1'!$L:$L,"НЕ уражено")+COUNTIFS('Таблиця 1'!$B:$B,$A455,'Таблиця 1'!$I:$I,"Mi-24",'Таблиця 1'!$L:$L,"НЕ уражено"))</f>
        <v/>
      </c>
    </row>
    <row r="456">
      <c r="A456" s="273">
        <f>IF(A455="","",IF(A455+1&gt;MAX('Таблиця 1'!$B:$B),"",A455+1))</f>
        <v/>
      </c>
      <c r="B456">
        <f>IF($A456="","",COUNTIFS('Таблиця 1'!$B:$B,$A456,'Таблиця 1'!$I:$I,"Mi-8")+COUNTIFS('Таблиця 1'!$B:$B,$A456,'Таблиця 1'!$I:$I,"Mi-24"))</f>
        <v/>
      </c>
      <c r="C456">
        <f>IF($A456="","",COUNTIFS('Таблиця 1'!$B:$B,$A456,'Таблиця 1'!$I:$I,"Mi-8"))</f>
        <v/>
      </c>
      <c r="D456">
        <f>IF($A456="","",COUNTIFS('Таблиця 1'!$B:$B,$A456,'Таблиця 1'!$I:$I,"Mi-24"))</f>
        <v/>
      </c>
      <c r="E456">
        <f>IF($A456="","",SUMIFS('Таблиця 1'!$K:$K,'Таблиця 1'!$B:$B,$A456,'Таблиця 1'!$I:$I,"Mi-8",'Таблиця 1'!$J:$J,"ARS-8")+SUMIFS('Таблиця 1'!$K:$K,'Таблиця 1'!$B:$B,$A456,'Таблиця 1'!$I:$I,"Mi-24",'Таблиця 1'!$J:$J,"ARS-8"))</f>
        <v/>
      </c>
      <c r="F456">
        <f>IF($A456="","",SUMIFS('Таблиця 1'!$K:$K,'Таблиця 1'!$B:$B,$A456,'Таблиця 1'!$I:$I,"Mi-8",'Таблиця 1'!$J:$J,"С-8 ком")+SUMIFS('Таблиця 1'!$K:$K,'Таблиця 1'!$B:$B,$A456,'Таблиця 1'!$I:$I,"Mi-24",'Таблиця 1'!$J:$J,"С-8 ком"))</f>
        <v/>
      </c>
      <c r="G456">
        <f>IF($A456="","",SUMIFS('Таблиця 1'!$K:$K,'Таблиця 1'!$B:$B,$A456,'Таблиця 1'!$I:$I,"Mi-8",'Таблиця 1'!$J:$J,"PC-80")+SUMIFS('Таблиця 1'!$K:$K,'Таблиця 1'!$B:$B,$A456,'Таблиця 1'!$I:$I,"Mi-24",'Таблиця 1'!$J:$J,"PC-80"))</f>
        <v/>
      </c>
      <c r="H456">
        <f>IF($A456="","",SUMIFS('Таблиця 1'!$K:$K,'Таблиця 1'!$B:$B,$A456,'Таблиця 1'!$I:$I,"Mi-8",'Таблиця 1'!$J:$J,"UAR-80")+SUMIFS('Таблиця 1'!$K:$K,'Таблиця 1'!$B:$B,$A456,'Таблиця 1'!$I:$I,"Mi-24",'Таблиця 1'!$J:$J,"UAR-80"))</f>
        <v/>
      </c>
      <c r="I456">
        <f>IF($A456="","",SUMIFS('Таблиця 1'!$K:$K,'Таблиця 1'!$B:$B,$A456,'Таблиця 1'!$I:$I,"Mi-8",'Таблиця 1'!$J:$J,"C-13")+SUMIFS('Таблиця 1'!$K:$K,'Таблиця 1'!$B:$B,$A456,'Таблиця 1'!$I:$I,"Mi-24",'Таблиця 1'!$J:$J,"C-13"))</f>
        <v/>
      </c>
      <c r="J456">
        <f>IF($A456="","",SUMIFS('Таблиця 1'!$K:$K,'Таблиця 1'!$B:$B,$A456,'Таблиця 1'!$I:$I,"Mi-8",'Таблиця 1'!$J:$J,"Hydra-70")+SUMIFS('Таблиця 1'!$K:$K,'Таблиця 1'!$B:$B,$A456,'Таблиця 1'!$I:$I,"Mi-24",'Таблиця 1'!$J:$J,"Hydra-70"))</f>
        <v/>
      </c>
      <c r="K456">
        <f>IF($A456="","",SUMIFS('Таблиця 1'!$K:$K,'Таблиця 1'!$B:$B,$A456,'Таблиця 1'!$I:$I,"Mi-8",'Таблиця 1'!$J:$J,"Thales-70")+SUMIFS('Таблиця 1'!$K:$K,'Таблиця 1'!$B:$B,$A456,'Таблиця 1'!$I:$I,"Mi-24",'Таблиця 1'!$J:$J,"Thales-70"))</f>
        <v/>
      </c>
      <c r="L456">
        <f>IF($A456="","",SUMIFS('Таблиця 1'!$K:$K,'Таблиця 1'!$B:$B,$A456,'Таблиця 1'!$I:$I,"Mi-8",'Таблиця 1'!$J:$J,"Thales-FZ")+SUMIFS('Таблиця 1'!$K:$K,'Таблиця 1'!$B:$B,$A456,'Таблиця 1'!$I:$I,"Mi-24",'Таблиця 1'!$J:$J,"Thales-FZ"))</f>
        <v/>
      </c>
      <c r="M456">
        <f>IF($A456="","",SUMIFS('Таблиця 1'!$K:$K,'Таблиця 1'!$B:$B,$A456,'Таблиця 1'!$I:$I,"Mi-8",'Таблиця 1'!$J:$J,"МК-40")+SUMIFS('Таблиця 1'!$K:$K,'Таблиця 1'!$B:$B,$A456,'Таблиця 1'!$I:$I,"Mi-24",'Таблиця 1'!$J:$J,"МК-40"))</f>
        <v/>
      </c>
      <c r="N456">
        <f>IF($A456="","",SUMIFS('Таблиця 1'!$K:$K,'Таблиця 1'!$B:$B,$A456,'Таблиця 1'!$I:$I,"Mi-8",'Таблиця 1'!$J:$J,"Zuni")+SUMIFS('Таблиця 1'!$K:$K,'Таблиця 1'!$B:$B,$A456,'Таблиця 1'!$I:$I,"Mi-24",'Таблиця 1'!$J:$J,"Zuni"))</f>
        <v/>
      </c>
      <c r="O456">
        <f>IF($A456="","",COUNTIFS('Таблиця 1'!$B:$B,$A456,'Таблиця 1'!$I:$I,"Mi-8",'Таблиця 1'!$L:$L,"Уражено")+COUNTIFS('Таблиця 1'!$B:$B,$A456,'Таблиця 1'!$I:$I,"Mi-24",'Таблиця 1'!$L:$L,"Уражено"))</f>
        <v/>
      </c>
      <c r="P456">
        <f>IF($A456="","",COUNTIFS('Таблиця 1'!$B:$B,$A456,'Таблиця 1'!$I:$I,"Mi-8",'Таблиця 1'!$L:$L,"НЕ уражено")+COUNTIFS('Таблиця 1'!$B:$B,$A456,'Таблиця 1'!$I:$I,"Mi-24",'Таблиця 1'!$L:$L,"НЕ уражено"))</f>
        <v/>
      </c>
    </row>
    <row r="457">
      <c r="A457" s="273">
        <f>IF(A456="","",IF(A456+1&gt;MAX('Таблиця 1'!$B:$B),"",A456+1))</f>
        <v/>
      </c>
      <c r="B457">
        <f>IF($A457="","",COUNTIFS('Таблиця 1'!$B:$B,$A457,'Таблиця 1'!$I:$I,"Mi-8")+COUNTIFS('Таблиця 1'!$B:$B,$A457,'Таблиця 1'!$I:$I,"Mi-24"))</f>
        <v/>
      </c>
      <c r="C457">
        <f>IF($A457="","",COUNTIFS('Таблиця 1'!$B:$B,$A457,'Таблиця 1'!$I:$I,"Mi-8"))</f>
        <v/>
      </c>
      <c r="D457">
        <f>IF($A457="","",COUNTIFS('Таблиця 1'!$B:$B,$A457,'Таблиця 1'!$I:$I,"Mi-24"))</f>
        <v/>
      </c>
      <c r="E457">
        <f>IF($A457="","",SUMIFS('Таблиця 1'!$K:$K,'Таблиця 1'!$B:$B,$A457,'Таблиця 1'!$I:$I,"Mi-8",'Таблиця 1'!$J:$J,"ARS-8")+SUMIFS('Таблиця 1'!$K:$K,'Таблиця 1'!$B:$B,$A457,'Таблиця 1'!$I:$I,"Mi-24",'Таблиця 1'!$J:$J,"ARS-8"))</f>
        <v/>
      </c>
      <c r="F457">
        <f>IF($A457="","",SUMIFS('Таблиця 1'!$K:$K,'Таблиця 1'!$B:$B,$A457,'Таблиця 1'!$I:$I,"Mi-8",'Таблиця 1'!$J:$J,"С-8 ком")+SUMIFS('Таблиця 1'!$K:$K,'Таблиця 1'!$B:$B,$A457,'Таблиця 1'!$I:$I,"Mi-24",'Таблиця 1'!$J:$J,"С-8 ком"))</f>
        <v/>
      </c>
      <c r="G457">
        <f>IF($A457="","",SUMIFS('Таблиця 1'!$K:$K,'Таблиця 1'!$B:$B,$A457,'Таблиця 1'!$I:$I,"Mi-8",'Таблиця 1'!$J:$J,"PC-80")+SUMIFS('Таблиця 1'!$K:$K,'Таблиця 1'!$B:$B,$A457,'Таблиця 1'!$I:$I,"Mi-24",'Таблиця 1'!$J:$J,"PC-80"))</f>
        <v/>
      </c>
      <c r="H457">
        <f>IF($A457="","",SUMIFS('Таблиця 1'!$K:$K,'Таблиця 1'!$B:$B,$A457,'Таблиця 1'!$I:$I,"Mi-8",'Таблиця 1'!$J:$J,"UAR-80")+SUMIFS('Таблиця 1'!$K:$K,'Таблиця 1'!$B:$B,$A457,'Таблиця 1'!$I:$I,"Mi-24",'Таблиця 1'!$J:$J,"UAR-80"))</f>
        <v/>
      </c>
      <c r="I457">
        <f>IF($A457="","",SUMIFS('Таблиця 1'!$K:$K,'Таблиця 1'!$B:$B,$A457,'Таблиця 1'!$I:$I,"Mi-8",'Таблиця 1'!$J:$J,"C-13")+SUMIFS('Таблиця 1'!$K:$K,'Таблиця 1'!$B:$B,$A457,'Таблиця 1'!$I:$I,"Mi-24",'Таблиця 1'!$J:$J,"C-13"))</f>
        <v/>
      </c>
      <c r="J457">
        <f>IF($A457="","",SUMIFS('Таблиця 1'!$K:$K,'Таблиця 1'!$B:$B,$A457,'Таблиця 1'!$I:$I,"Mi-8",'Таблиця 1'!$J:$J,"Hydra-70")+SUMIFS('Таблиця 1'!$K:$K,'Таблиця 1'!$B:$B,$A457,'Таблиця 1'!$I:$I,"Mi-24",'Таблиця 1'!$J:$J,"Hydra-70"))</f>
        <v/>
      </c>
      <c r="K457">
        <f>IF($A457="","",SUMIFS('Таблиця 1'!$K:$K,'Таблиця 1'!$B:$B,$A457,'Таблиця 1'!$I:$I,"Mi-8",'Таблиця 1'!$J:$J,"Thales-70")+SUMIFS('Таблиця 1'!$K:$K,'Таблиця 1'!$B:$B,$A457,'Таблиця 1'!$I:$I,"Mi-24",'Таблиця 1'!$J:$J,"Thales-70"))</f>
        <v/>
      </c>
      <c r="L457">
        <f>IF($A457="","",SUMIFS('Таблиця 1'!$K:$K,'Таблиця 1'!$B:$B,$A457,'Таблиця 1'!$I:$I,"Mi-8",'Таблиця 1'!$J:$J,"Thales-FZ")+SUMIFS('Таблиця 1'!$K:$K,'Таблиця 1'!$B:$B,$A457,'Таблиця 1'!$I:$I,"Mi-24",'Таблиця 1'!$J:$J,"Thales-FZ"))</f>
        <v/>
      </c>
      <c r="M457">
        <f>IF($A457="","",SUMIFS('Таблиця 1'!$K:$K,'Таблиця 1'!$B:$B,$A457,'Таблиця 1'!$I:$I,"Mi-8",'Таблиця 1'!$J:$J,"МК-40")+SUMIFS('Таблиця 1'!$K:$K,'Таблиця 1'!$B:$B,$A457,'Таблиця 1'!$I:$I,"Mi-24",'Таблиця 1'!$J:$J,"МК-40"))</f>
        <v/>
      </c>
      <c r="N457">
        <f>IF($A457="","",SUMIFS('Таблиця 1'!$K:$K,'Таблиця 1'!$B:$B,$A457,'Таблиця 1'!$I:$I,"Mi-8",'Таблиця 1'!$J:$J,"Zuni")+SUMIFS('Таблиця 1'!$K:$K,'Таблиця 1'!$B:$B,$A457,'Таблиця 1'!$I:$I,"Mi-24",'Таблиця 1'!$J:$J,"Zuni"))</f>
        <v/>
      </c>
      <c r="O457">
        <f>IF($A457="","",COUNTIFS('Таблиця 1'!$B:$B,$A457,'Таблиця 1'!$I:$I,"Mi-8",'Таблиця 1'!$L:$L,"Уражено")+COUNTIFS('Таблиця 1'!$B:$B,$A457,'Таблиця 1'!$I:$I,"Mi-24",'Таблиця 1'!$L:$L,"Уражено"))</f>
        <v/>
      </c>
      <c r="P457">
        <f>IF($A457="","",COUNTIFS('Таблиця 1'!$B:$B,$A457,'Таблиця 1'!$I:$I,"Mi-8",'Таблиця 1'!$L:$L,"НЕ уражено")+COUNTIFS('Таблиця 1'!$B:$B,$A457,'Таблиця 1'!$I:$I,"Mi-24",'Таблиця 1'!$L:$L,"НЕ уражено"))</f>
        <v/>
      </c>
    </row>
    <row r="458">
      <c r="A458" s="273">
        <f>IF(A457="","",IF(A457+1&gt;MAX('Таблиця 1'!$B:$B),"",A457+1))</f>
        <v/>
      </c>
      <c r="B458">
        <f>IF($A458="","",COUNTIFS('Таблиця 1'!$B:$B,$A458,'Таблиця 1'!$I:$I,"Mi-8")+COUNTIFS('Таблиця 1'!$B:$B,$A458,'Таблиця 1'!$I:$I,"Mi-24"))</f>
        <v/>
      </c>
      <c r="C458">
        <f>IF($A458="","",COUNTIFS('Таблиця 1'!$B:$B,$A458,'Таблиця 1'!$I:$I,"Mi-8"))</f>
        <v/>
      </c>
      <c r="D458">
        <f>IF($A458="","",COUNTIFS('Таблиця 1'!$B:$B,$A458,'Таблиця 1'!$I:$I,"Mi-24"))</f>
        <v/>
      </c>
      <c r="E458">
        <f>IF($A458="","",SUMIFS('Таблиця 1'!$K:$K,'Таблиця 1'!$B:$B,$A458,'Таблиця 1'!$I:$I,"Mi-8",'Таблиця 1'!$J:$J,"ARS-8")+SUMIFS('Таблиця 1'!$K:$K,'Таблиця 1'!$B:$B,$A458,'Таблиця 1'!$I:$I,"Mi-24",'Таблиця 1'!$J:$J,"ARS-8"))</f>
        <v/>
      </c>
      <c r="F458">
        <f>IF($A458="","",SUMIFS('Таблиця 1'!$K:$K,'Таблиця 1'!$B:$B,$A458,'Таблиця 1'!$I:$I,"Mi-8",'Таблиця 1'!$J:$J,"С-8 ком")+SUMIFS('Таблиця 1'!$K:$K,'Таблиця 1'!$B:$B,$A458,'Таблиця 1'!$I:$I,"Mi-24",'Таблиця 1'!$J:$J,"С-8 ком"))</f>
        <v/>
      </c>
      <c r="G458">
        <f>IF($A458="","",SUMIFS('Таблиця 1'!$K:$K,'Таблиця 1'!$B:$B,$A458,'Таблиця 1'!$I:$I,"Mi-8",'Таблиця 1'!$J:$J,"PC-80")+SUMIFS('Таблиця 1'!$K:$K,'Таблиця 1'!$B:$B,$A458,'Таблиця 1'!$I:$I,"Mi-24",'Таблиця 1'!$J:$J,"PC-80"))</f>
        <v/>
      </c>
      <c r="H458">
        <f>IF($A458="","",SUMIFS('Таблиця 1'!$K:$K,'Таблиця 1'!$B:$B,$A458,'Таблиця 1'!$I:$I,"Mi-8",'Таблиця 1'!$J:$J,"UAR-80")+SUMIFS('Таблиця 1'!$K:$K,'Таблиця 1'!$B:$B,$A458,'Таблиця 1'!$I:$I,"Mi-24",'Таблиця 1'!$J:$J,"UAR-80"))</f>
        <v/>
      </c>
      <c r="I458">
        <f>IF($A458="","",SUMIFS('Таблиця 1'!$K:$K,'Таблиця 1'!$B:$B,$A458,'Таблиця 1'!$I:$I,"Mi-8",'Таблиця 1'!$J:$J,"C-13")+SUMIFS('Таблиця 1'!$K:$K,'Таблиця 1'!$B:$B,$A458,'Таблиця 1'!$I:$I,"Mi-24",'Таблиця 1'!$J:$J,"C-13"))</f>
        <v/>
      </c>
      <c r="J458">
        <f>IF($A458="","",SUMIFS('Таблиця 1'!$K:$K,'Таблиця 1'!$B:$B,$A458,'Таблиця 1'!$I:$I,"Mi-8",'Таблиця 1'!$J:$J,"Hydra-70")+SUMIFS('Таблиця 1'!$K:$K,'Таблиця 1'!$B:$B,$A458,'Таблиця 1'!$I:$I,"Mi-24",'Таблиця 1'!$J:$J,"Hydra-70"))</f>
        <v/>
      </c>
      <c r="K458">
        <f>IF($A458="","",SUMIFS('Таблиця 1'!$K:$K,'Таблиця 1'!$B:$B,$A458,'Таблиця 1'!$I:$I,"Mi-8",'Таблиця 1'!$J:$J,"Thales-70")+SUMIFS('Таблиця 1'!$K:$K,'Таблиця 1'!$B:$B,$A458,'Таблиця 1'!$I:$I,"Mi-24",'Таблиця 1'!$J:$J,"Thales-70"))</f>
        <v/>
      </c>
      <c r="L458">
        <f>IF($A458="","",SUMIFS('Таблиця 1'!$K:$K,'Таблиця 1'!$B:$B,$A458,'Таблиця 1'!$I:$I,"Mi-8",'Таблиця 1'!$J:$J,"Thales-FZ")+SUMIFS('Таблиця 1'!$K:$K,'Таблиця 1'!$B:$B,$A458,'Таблиця 1'!$I:$I,"Mi-24",'Таблиця 1'!$J:$J,"Thales-FZ"))</f>
        <v/>
      </c>
      <c r="M458">
        <f>IF($A458="","",SUMIFS('Таблиця 1'!$K:$K,'Таблиця 1'!$B:$B,$A458,'Таблиця 1'!$I:$I,"Mi-8",'Таблиця 1'!$J:$J,"МК-40")+SUMIFS('Таблиця 1'!$K:$K,'Таблиця 1'!$B:$B,$A458,'Таблиця 1'!$I:$I,"Mi-24",'Таблиця 1'!$J:$J,"МК-40"))</f>
        <v/>
      </c>
      <c r="N458">
        <f>IF($A458="","",SUMIFS('Таблиця 1'!$K:$K,'Таблиця 1'!$B:$B,$A458,'Таблиця 1'!$I:$I,"Mi-8",'Таблиця 1'!$J:$J,"Zuni")+SUMIFS('Таблиця 1'!$K:$K,'Таблиця 1'!$B:$B,$A458,'Таблиця 1'!$I:$I,"Mi-24",'Таблиця 1'!$J:$J,"Zuni"))</f>
        <v/>
      </c>
      <c r="O458">
        <f>IF($A458="","",COUNTIFS('Таблиця 1'!$B:$B,$A458,'Таблиця 1'!$I:$I,"Mi-8",'Таблиця 1'!$L:$L,"Уражено")+COUNTIFS('Таблиця 1'!$B:$B,$A458,'Таблиця 1'!$I:$I,"Mi-24",'Таблиця 1'!$L:$L,"Уражено"))</f>
        <v/>
      </c>
      <c r="P458">
        <f>IF($A458="","",COUNTIFS('Таблиця 1'!$B:$B,$A458,'Таблиця 1'!$I:$I,"Mi-8",'Таблиця 1'!$L:$L,"НЕ уражено")+COUNTIFS('Таблиця 1'!$B:$B,$A458,'Таблиця 1'!$I:$I,"Mi-24",'Таблиця 1'!$L:$L,"НЕ уражено"))</f>
        <v/>
      </c>
    </row>
    <row r="459">
      <c r="A459" s="273">
        <f>IF(A458="","",IF(A458+1&gt;MAX('Таблиця 1'!$B:$B),"",A458+1))</f>
        <v/>
      </c>
      <c r="B459">
        <f>IF($A459="","",COUNTIFS('Таблиця 1'!$B:$B,$A459,'Таблиця 1'!$I:$I,"Mi-8")+COUNTIFS('Таблиця 1'!$B:$B,$A459,'Таблиця 1'!$I:$I,"Mi-24"))</f>
        <v/>
      </c>
      <c r="C459">
        <f>IF($A459="","",COUNTIFS('Таблиця 1'!$B:$B,$A459,'Таблиця 1'!$I:$I,"Mi-8"))</f>
        <v/>
      </c>
      <c r="D459">
        <f>IF($A459="","",COUNTIFS('Таблиця 1'!$B:$B,$A459,'Таблиця 1'!$I:$I,"Mi-24"))</f>
        <v/>
      </c>
      <c r="E459">
        <f>IF($A459="","",SUMIFS('Таблиця 1'!$K:$K,'Таблиця 1'!$B:$B,$A459,'Таблиця 1'!$I:$I,"Mi-8",'Таблиця 1'!$J:$J,"ARS-8")+SUMIFS('Таблиця 1'!$K:$K,'Таблиця 1'!$B:$B,$A459,'Таблиця 1'!$I:$I,"Mi-24",'Таблиця 1'!$J:$J,"ARS-8"))</f>
        <v/>
      </c>
      <c r="F459">
        <f>IF($A459="","",SUMIFS('Таблиця 1'!$K:$K,'Таблиця 1'!$B:$B,$A459,'Таблиця 1'!$I:$I,"Mi-8",'Таблиця 1'!$J:$J,"С-8 ком")+SUMIFS('Таблиця 1'!$K:$K,'Таблиця 1'!$B:$B,$A459,'Таблиця 1'!$I:$I,"Mi-24",'Таблиця 1'!$J:$J,"С-8 ком"))</f>
        <v/>
      </c>
      <c r="G459">
        <f>IF($A459="","",SUMIFS('Таблиця 1'!$K:$K,'Таблиця 1'!$B:$B,$A459,'Таблиця 1'!$I:$I,"Mi-8",'Таблиця 1'!$J:$J,"PC-80")+SUMIFS('Таблиця 1'!$K:$K,'Таблиця 1'!$B:$B,$A459,'Таблиця 1'!$I:$I,"Mi-24",'Таблиця 1'!$J:$J,"PC-80"))</f>
        <v/>
      </c>
      <c r="H459">
        <f>IF($A459="","",SUMIFS('Таблиця 1'!$K:$K,'Таблиця 1'!$B:$B,$A459,'Таблиця 1'!$I:$I,"Mi-8",'Таблиця 1'!$J:$J,"UAR-80")+SUMIFS('Таблиця 1'!$K:$K,'Таблиця 1'!$B:$B,$A459,'Таблиця 1'!$I:$I,"Mi-24",'Таблиця 1'!$J:$J,"UAR-80"))</f>
        <v/>
      </c>
      <c r="I459">
        <f>IF($A459="","",SUMIFS('Таблиця 1'!$K:$K,'Таблиця 1'!$B:$B,$A459,'Таблиця 1'!$I:$I,"Mi-8",'Таблиця 1'!$J:$J,"C-13")+SUMIFS('Таблиця 1'!$K:$K,'Таблиця 1'!$B:$B,$A459,'Таблиця 1'!$I:$I,"Mi-24",'Таблиця 1'!$J:$J,"C-13"))</f>
        <v/>
      </c>
      <c r="J459">
        <f>IF($A459="","",SUMIFS('Таблиця 1'!$K:$K,'Таблиця 1'!$B:$B,$A459,'Таблиця 1'!$I:$I,"Mi-8",'Таблиця 1'!$J:$J,"Hydra-70")+SUMIFS('Таблиця 1'!$K:$K,'Таблиця 1'!$B:$B,$A459,'Таблиця 1'!$I:$I,"Mi-24",'Таблиця 1'!$J:$J,"Hydra-70"))</f>
        <v/>
      </c>
      <c r="K459">
        <f>IF($A459="","",SUMIFS('Таблиця 1'!$K:$K,'Таблиця 1'!$B:$B,$A459,'Таблиця 1'!$I:$I,"Mi-8",'Таблиця 1'!$J:$J,"Thales-70")+SUMIFS('Таблиця 1'!$K:$K,'Таблиця 1'!$B:$B,$A459,'Таблиця 1'!$I:$I,"Mi-24",'Таблиця 1'!$J:$J,"Thales-70"))</f>
        <v/>
      </c>
      <c r="L459">
        <f>IF($A459="","",SUMIFS('Таблиця 1'!$K:$K,'Таблиця 1'!$B:$B,$A459,'Таблиця 1'!$I:$I,"Mi-8",'Таблиця 1'!$J:$J,"Thales-FZ")+SUMIFS('Таблиця 1'!$K:$K,'Таблиця 1'!$B:$B,$A459,'Таблиця 1'!$I:$I,"Mi-24",'Таблиця 1'!$J:$J,"Thales-FZ"))</f>
        <v/>
      </c>
      <c r="M459">
        <f>IF($A459="","",SUMIFS('Таблиця 1'!$K:$K,'Таблиця 1'!$B:$B,$A459,'Таблиця 1'!$I:$I,"Mi-8",'Таблиця 1'!$J:$J,"МК-40")+SUMIFS('Таблиця 1'!$K:$K,'Таблиця 1'!$B:$B,$A459,'Таблиця 1'!$I:$I,"Mi-24",'Таблиця 1'!$J:$J,"МК-40"))</f>
        <v/>
      </c>
      <c r="N459">
        <f>IF($A459="","",SUMIFS('Таблиця 1'!$K:$K,'Таблиця 1'!$B:$B,$A459,'Таблиця 1'!$I:$I,"Mi-8",'Таблиця 1'!$J:$J,"Zuni")+SUMIFS('Таблиця 1'!$K:$K,'Таблиця 1'!$B:$B,$A459,'Таблиця 1'!$I:$I,"Mi-24",'Таблиця 1'!$J:$J,"Zuni"))</f>
        <v/>
      </c>
      <c r="O459">
        <f>IF($A459="","",COUNTIFS('Таблиця 1'!$B:$B,$A459,'Таблиця 1'!$I:$I,"Mi-8",'Таблиця 1'!$L:$L,"Уражено")+COUNTIFS('Таблиця 1'!$B:$B,$A459,'Таблиця 1'!$I:$I,"Mi-24",'Таблиця 1'!$L:$L,"Уражено"))</f>
        <v/>
      </c>
      <c r="P459">
        <f>IF($A459="","",COUNTIFS('Таблиця 1'!$B:$B,$A459,'Таблиця 1'!$I:$I,"Mi-8",'Таблиця 1'!$L:$L,"НЕ уражено")+COUNTIFS('Таблиця 1'!$B:$B,$A459,'Таблиця 1'!$I:$I,"Mi-24",'Таблиця 1'!$L:$L,"НЕ уражено"))</f>
        <v/>
      </c>
    </row>
    <row r="460">
      <c r="A460" s="273">
        <f>IF(A459="","",IF(A459+1&gt;MAX('Таблиця 1'!$B:$B),"",A459+1))</f>
        <v/>
      </c>
      <c r="B460">
        <f>IF($A460="","",COUNTIFS('Таблиця 1'!$B:$B,$A460,'Таблиця 1'!$I:$I,"Mi-8")+COUNTIFS('Таблиця 1'!$B:$B,$A460,'Таблиця 1'!$I:$I,"Mi-24"))</f>
        <v/>
      </c>
      <c r="C460">
        <f>IF($A460="","",COUNTIFS('Таблиця 1'!$B:$B,$A460,'Таблиця 1'!$I:$I,"Mi-8"))</f>
        <v/>
      </c>
      <c r="D460">
        <f>IF($A460="","",COUNTIFS('Таблиця 1'!$B:$B,$A460,'Таблиця 1'!$I:$I,"Mi-24"))</f>
        <v/>
      </c>
      <c r="E460">
        <f>IF($A460="","",SUMIFS('Таблиця 1'!$K:$K,'Таблиця 1'!$B:$B,$A460,'Таблиця 1'!$I:$I,"Mi-8",'Таблиця 1'!$J:$J,"ARS-8")+SUMIFS('Таблиця 1'!$K:$K,'Таблиця 1'!$B:$B,$A460,'Таблиця 1'!$I:$I,"Mi-24",'Таблиця 1'!$J:$J,"ARS-8"))</f>
        <v/>
      </c>
      <c r="F460">
        <f>IF($A460="","",SUMIFS('Таблиця 1'!$K:$K,'Таблиця 1'!$B:$B,$A460,'Таблиця 1'!$I:$I,"Mi-8",'Таблиця 1'!$J:$J,"С-8 ком")+SUMIFS('Таблиця 1'!$K:$K,'Таблиця 1'!$B:$B,$A460,'Таблиця 1'!$I:$I,"Mi-24",'Таблиця 1'!$J:$J,"С-8 ком"))</f>
        <v/>
      </c>
      <c r="G460">
        <f>IF($A460="","",SUMIFS('Таблиця 1'!$K:$K,'Таблиця 1'!$B:$B,$A460,'Таблиця 1'!$I:$I,"Mi-8",'Таблиця 1'!$J:$J,"PC-80")+SUMIFS('Таблиця 1'!$K:$K,'Таблиця 1'!$B:$B,$A460,'Таблиця 1'!$I:$I,"Mi-24",'Таблиця 1'!$J:$J,"PC-80"))</f>
        <v/>
      </c>
      <c r="H460">
        <f>IF($A460="","",SUMIFS('Таблиця 1'!$K:$K,'Таблиця 1'!$B:$B,$A460,'Таблиця 1'!$I:$I,"Mi-8",'Таблиця 1'!$J:$J,"UAR-80")+SUMIFS('Таблиця 1'!$K:$K,'Таблиця 1'!$B:$B,$A460,'Таблиця 1'!$I:$I,"Mi-24",'Таблиця 1'!$J:$J,"UAR-80"))</f>
        <v/>
      </c>
      <c r="I460">
        <f>IF($A460="","",SUMIFS('Таблиця 1'!$K:$K,'Таблиця 1'!$B:$B,$A460,'Таблиця 1'!$I:$I,"Mi-8",'Таблиця 1'!$J:$J,"C-13")+SUMIFS('Таблиця 1'!$K:$K,'Таблиця 1'!$B:$B,$A460,'Таблиця 1'!$I:$I,"Mi-24",'Таблиця 1'!$J:$J,"C-13"))</f>
        <v/>
      </c>
      <c r="J460">
        <f>IF($A460="","",SUMIFS('Таблиця 1'!$K:$K,'Таблиця 1'!$B:$B,$A460,'Таблиця 1'!$I:$I,"Mi-8",'Таблиця 1'!$J:$J,"Hydra-70")+SUMIFS('Таблиця 1'!$K:$K,'Таблиця 1'!$B:$B,$A460,'Таблиця 1'!$I:$I,"Mi-24",'Таблиця 1'!$J:$J,"Hydra-70"))</f>
        <v/>
      </c>
      <c r="K460">
        <f>IF($A460="","",SUMIFS('Таблиця 1'!$K:$K,'Таблиця 1'!$B:$B,$A460,'Таблиця 1'!$I:$I,"Mi-8",'Таблиця 1'!$J:$J,"Thales-70")+SUMIFS('Таблиця 1'!$K:$K,'Таблиця 1'!$B:$B,$A460,'Таблиця 1'!$I:$I,"Mi-24",'Таблиця 1'!$J:$J,"Thales-70"))</f>
        <v/>
      </c>
      <c r="L460">
        <f>IF($A460="","",SUMIFS('Таблиця 1'!$K:$K,'Таблиця 1'!$B:$B,$A460,'Таблиця 1'!$I:$I,"Mi-8",'Таблиця 1'!$J:$J,"Thales-FZ")+SUMIFS('Таблиця 1'!$K:$K,'Таблиця 1'!$B:$B,$A460,'Таблиця 1'!$I:$I,"Mi-24",'Таблиця 1'!$J:$J,"Thales-FZ"))</f>
        <v/>
      </c>
      <c r="M460">
        <f>IF($A460="","",SUMIFS('Таблиця 1'!$K:$K,'Таблиця 1'!$B:$B,$A460,'Таблиця 1'!$I:$I,"Mi-8",'Таблиця 1'!$J:$J,"МК-40")+SUMIFS('Таблиця 1'!$K:$K,'Таблиця 1'!$B:$B,$A460,'Таблиця 1'!$I:$I,"Mi-24",'Таблиця 1'!$J:$J,"МК-40"))</f>
        <v/>
      </c>
      <c r="N460">
        <f>IF($A460="","",SUMIFS('Таблиця 1'!$K:$K,'Таблиця 1'!$B:$B,$A460,'Таблиця 1'!$I:$I,"Mi-8",'Таблиця 1'!$J:$J,"Zuni")+SUMIFS('Таблиця 1'!$K:$K,'Таблиця 1'!$B:$B,$A460,'Таблиця 1'!$I:$I,"Mi-24",'Таблиця 1'!$J:$J,"Zuni"))</f>
        <v/>
      </c>
      <c r="O460">
        <f>IF($A460="","",COUNTIFS('Таблиця 1'!$B:$B,$A460,'Таблиця 1'!$I:$I,"Mi-8",'Таблиця 1'!$L:$L,"Уражено")+COUNTIFS('Таблиця 1'!$B:$B,$A460,'Таблиця 1'!$I:$I,"Mi-24",'Таблиця 1'!$L:$L,"Уражено"))</f>
        <v/>
      </c>
      <c r="P460">
        <f>IF($A460="","",COUNTIFS('Таблиця 1'!$B:$B,$A460,'Таблиця 1'!$I:$I,"Mi-8",'Таблиця 1'!$L:$L,"НЕ уражено")+COUNTIFS('Таблиця 1'!$B:$B,$A460,'Таблиця 1'!$I:$I,"Mi-24",'Таблиця 1'!$L:$L,"НЕ уражено"))</f>
        <v/>
      </c>
    </row>
    <row r="461">
      <c r="A461" s="273">
        <f>IF(A460="","",IF(A460+1&gt;MAX('Таблиця 1'!$B:$B),"",A460+1))</f>
        <v/>
      </c>
      <c r="B461">
        <f>IF($A461="","",COUNTIFS('Таблиця 1'!$B:$B,$A461,'Таблиця 1'!$I:$I,"Mi-8")+COUNTIFS('Таблиця 1'!$B:$B,$A461,'Таблиця 1'!$I:$I,"Mi-24"))</f>
        <v/>
      </c>
      <c r="C461">
        <f>IF($A461="","",COUNTIFS('Таблиця 1'!$B:$B,$A461,'Таблиця 1'!$I:$I,"Mi-8"))</f>
        <v/>
      </c>
      <c r="D461">
        <f>IF($A461="","",COUNTIFS('Таблиця 1'!$B:$B,$A461,'Таблиця 1'!$I:$I,"Mi-24"))</f>
        <v/>
      </c>
      <c r="E461">
        <f>IF($A461="","",SUMIFS('Таблиця 1'!$K:$K,'Таблиця 1'!$B:$B,$A461,'Таблиця 1'!$I:$I,"Mi-8",'Таблиця 1'!$J:$J,"ARS-8")+SUMIFS('Таблиця 1'!$K:$K,'Таблиця 1'!$B:$B,$A461,'Таблиця 1'!$I:$I,"Mi-24",'Таблиця 1'!$J:$J,"ARS-8"))</f>
        <v/>
      </c>
      <c r="F461">
        <f>IF($A461="","",SUMIFS('Таблиця 1'!$K:$K,'Таблиця 1'!$B:$B,$A461,'Таблиця 1'!$I:$I,"Mi-8",'Таблиця 1'!$J:$J,"С-8 ком")+SUMIFS('Таблиця 1'!$K:$K,'Таблиця 1'!$B:$B,$A461,'Таблиця 1'!$I:$I,"Mi-24",'Таблиця 1'!$J:$J,"С-8 ком"))</f>
        <v/>
      </c>
      <c r="G461">
        <f>IF($A461="","",SUMIFS('Таблиця 1'!$K:$K,'Таблиця 1'!$B:$B,$A461,'Таблиця 1'!$I:$I,"Mi-8",'Таблиця 1'!$J:$J,"PC-80")+SUMIFS('Таблиця 1'!$K:$K,'Таблиця 1'!$B:$B,$A461,'Таблиця 1'!$I:$I,"Mi-24",'Таблиця 1'!$J:$J,"PC-80"))</f>
        <v/>
      </c>
      <c r="H461">
        <f>IF($A461="","",SUMIFS('Таблиця 1'!$K:$K,'Таблиця 1'!$B:$B,$A461,'Таблиця 1'!$I:$I,"Mi-8",'Таблиця 1'!$J:$J,"UAR-80")+SUMIFS('Таблиця 1'!$K:$K,'Таблиця 1'!$B:$B,$A461,'Таблиця 1'!$I:$I,"Mi-24",'Таблиця 1'!$J:$J,"UAR-80"))</f>
        <v/>
      </c>
      <c r="I461">
        <f>IF($A461="","",SUMIFS('Таблиця 1'!$K:$K,'Таблиця 1'!$B:$B,$A461,'Таблиця 1'!$I:$I,"Mi-8",'Таблиця 1'!$J:$J,"C-13")+SUMIFS('Таблиця 1'!$K:$K,'Таблиця 1'!$B:$B,$A461,'Таблиця 1'!$I:$I,"Mi-24",'Таблиця 1'!$J:$J,"C-13"))</f>
        <v/>
      </c>
      <c r="J461">
        <f>IF($A461="","",SUMIFS('Таблиця 1'!$K:$K,'Таблиця 1'!$B:$B,$A461,'Таблиця 1'!$I:$I,"Mi-8",'Таблиця 1'!$J:$J,"Hydra-70")+SUMIFS('Таблиця 1'!$K:$K,'Таблиця 1'!$B:$B,$A461,'Таблиця 1'!$I:$I,"Mi-24",'Таблиця 1'!$J:$J,"Hydra-70"))</f>
        <v/>
      </c>
      <c r="K461">
        <f>IF($A461="","",SUMIFS('Таблиця 1'!$K:$K,'Таблиця 1'!$B:$B,$A461,'Таблиця 1'!$I:$I,"Mi-8",'Таблиця 1'!$J:$J,"Thales-70")+SUMIFS('Таблиця 1'!$K:$K,'Таблиця 1'!$B:$B,$A461,'Таблиця 1'!$I:$I,"Mi-24",'Таблиця 1'!$J:$J,"Thales-70"))</f>
        <v/>
      </c>
      <c r="L461">
        <f>IF($A461="","",SUMIFS('Таблиця 1'!$K:$K,'Таблиця 1'!$B:$B,$A461,'Таблиця 1'!$I:$I,"Mi-8",'Таблиця 1'!$J:$J,"Thales-FZ")+SUMIFS('Таблиця 1'!$K:$K,'Таблиця 1'!$B:$B,$A461,'Таблиця 1'!$I:$I,"Mi-24",'Таблиця 1'!$J:$J,"Thales-FZ"))</f>
        <v/>
      </c>
      <c r="M461">
        <f>IF($A461="","",SUMIFS('Таблиця 1'!$K:$K,'Таблиця 1'!$B:$B,$A461,'Таблиця 1'!$I:$I,"Mi-8",'Таблиця 1'!$J:$J,"МК-40")+SUMIFS('Таблиця 1'!$K:$K,'Таблиця 1'!$B:$B,$A461,'Таблиця 1'!$I:$I,"Mi-24",'Таблиця 1'!$J:$J,"МК-40"))</f>
        <v/>
      </c>
      <c r="N461">
        <f>IF($A461="","",SUMIFS('Таблиця 1'!$K:$K,'Таблиця 1'!$B:$B,$A461,'Таблиця 1'!$I:$I,"Mi-8",'Таблиця 1'!$J:$J,"Zuni")+SUMIFS('Таблиця 1'!$K:$K,'Таблиця 1'!$B:$B,$A461,'Таблиця 1'!$I:$I,"Mi-24",'Таблиця 1'!$J:$J,"Zuni"))</f>
        <v/>
      </c>
      <c r="O461">
        <f>IF($A461="","",COUNTIFS('Таблиця 1'!$B:$B,$A461,'Таблиця 1'!$I:$I,"Mi-8",'Таблиця 1'!$L:$L,"Уражено")+COUNTIFS('Таблиця 1'!$B:$B,$A461,'Таблиця 1'!$I:$I,"Mi-24",'Таблиця 1'!$L:$L,"Уражено"))</f>
        <v/>
      </c>
      <c r="P461">
        <f>IF($A461="","",COUNTIFS('Таблиця 1'!$B:$B,$A461,'Таблиця 1'!$I:$I,"Mi-8",'Таблиця 1'!$L:$L,"НЕ уражено")+COUNTIFS('Таблиця 1'!$B:$B,$A461,'Таблиця 1'!$I:$I,"Mi-24",'Таблиця 1'!$L:$L,"НЕ уражено"))</f>
        <v/>
      </c>
    </row>
    <row r="462">
      <c r="A462" s="273">
        <f>IF(A461="","",IF(A461+1&gt;MAX('Таблиця 1'!$B:$B),"",A461+1))</f>
        <v/>
      </c>
      <c r="B462">
        <f>IF($A462="","",COUNTIFS('Таблиця 1'!$B:$B,$A462,'Таблиця 1'!$I:$I,"Mi-8")+COUNTIFS('Таблиця 1'!$B:$B,$A462,'Таблиця 1'!$I:$I,"Mi-24"))</f>
        <v/>
      </c>
      <c r="C462">
        <f>IF($A462="","",COUNTIFS('Таблиця 1'!$B:$B,$A462,'Таблиця 1'!$I:$I,"Mi-8"))</f>
        <v/>
      </c>
      <c r="D462">
        <f>IF($A462="","",COUNTIFS('Таблиця 1'!$B:$B,$A462,'Таблиця 1'!$I:$I,"Mi-24"))</f>
        <v/>
      </c>
      <c r="E462">
        <f>IF($A462="","",SUMIFS('Таблиця 1'!$K:$K,'Таблиця 1'!$B:$B,$A462,'Таблиця 1'!$I:$I,"Mi-8",'Таблиця 1'!$J:$J,"ARS-8")+SUMIFS('Таблиця 1'!$K:$K,'Таблиця 1'!$B:$B,$A462,'Таблиця 1'!$I:$I,"Mi-24",'Таблиця 1'!$J:$J,"ARS-8"))</f>
        <v/>
      </c>
      <c r="F462">
        <f>IF($A462="","",SUMIFS('Таблиця 1'!$K:$K,'Таблиця 1'!$B:$B,$A462,'Таблиця 1'!$I:$I,"Mi-8",'Таблиця 1'!$J:$J,"С-8 ком")+SUMIFS('Таблиця 1'!$K:$K,'Таблиця 1'!$B:$B,$A462,'Таблиця 1'!$I:$I,"Mi-24",'Таблиця 1'!$J:$J,"С-8 ком"))</f>
        <v/>
      </c>
      <c r="G462">
        <f>IF($A462="","",SUMIFS('Таблиця 1'!$K:$K,'Таблиця 1'!$B:$B,$A462,'Таблиця 1'!$I:$I,"Mi-8",'Таблиця 1'!$J:$J,"PC-80")+SUMIFS('Таблиця 1'!$K:$K,'Таблиця 1'!$B:$B,$A462,'Таблиця 1'!$I:$I,"Mi-24",'Таблиця 1'!$J:$J,"PC-80"))</f>
        <v/>
      </c>
      <c r="H462">
        <f>IF($A462="","",SUMIFS('Таблиця 1'!$K:$K,'Таблиця 1'!$B:$B,$A462,'Таблиця 1'!$I:$I,"Mi-8",'Таблиця 1'!$J:$J,"UAR-80")+SUMIFS('Таблиця 1'!$K:$K,'Таблиця 1'!$B:$B,$A462,'Таблиця 1'!$I:$I,"Mi-24",'Таблиця 1'!$J:$J,"UAR-80"))</f>
        <v/>
      </c>
      <c r="I462">
        <f>IF($A462="","",SUMIFS('Таблиця 1'!$K:$K,'Таблиця 1'!$B:$B,$A462,'Таблиця 1'!$I:$I,"Mi-8",'Таблиця 1'!$J:$J,"C-13")+SUMIFS('Таблиця 1'!$K:$K,'Таблиця 1'!$B:$B,$A462,'Таблиця 1'!$I:$I,"Mi-24",'Таблиця 1'!$J:$J,"C-13"))</f>
        <v/>
      </c>
      <c r="J462">
        <f>IF($A462="","",SUMIFS('Таблиця 1'!$K:$K,'Таблиця 1'!$B:$B,$A462,'Таблиця 1'!$I:$I,"Mi-8",'Таблиця 1'!$J:$J,"Hydra-70")+SUMIFS('Таблиця 1'!$K:$K,'Таблиця 1'!$B:$B,$A462,'Таблиця 1'!$I:$I,"Mi-24",'Таблиця 1'!$J:$J,"Hydra-70"))</f>
        <v/>
      </c>
      <c r="K462">
        <f>IF($A462="","",SUMIFS('Таблиця 1'!$K:$K,'Таблиця 1'!$B:$B,$A462,'Таблиця 1'!$I:$I,"Mi-8",'Таблиця 1'!$J:$J,"Thales-70")+SUMIFS('Таблиця 1'!$K:$K,'Таблиця 1'!$B:$B,$A462,'Таблиця 1'!$I:$I,"Mi-24",'Таблиця 1'!$J:$J,"Thales-70"))</f>
        <v/>
      </c>
      <c r="L462">
        <f>IF($A462="","",SUMIFS('Таблиця 1'!$K:$K,'Таблиця 1'!$B:$B,$A462,'Таблиця 1'!$I:$I,"Mi-8",'Таблиця 1'!$J:$J,"Thales-FZ")+SUMIFS('Таблиця 1'!$K:$K,'Таблиця 1'!$B:$B,$A462,'Таблиця 1'!$I:$I,"Mi-24",'Таблиця 1'!$J:$J,"Thales-FZ"))</f>
        <v/>
      </c>
      <c r="M462">
        <f>IF($A462="","",SUMIFS('Таблиця 1'!$K:$K,'Таблиця 1'!$B:$B,$A462,'Таблиця 1'!$I:$I,"Mi-8",'Таблиця 1'!$J:$J,"МК-40")+SUMIFS('Таблиця 1'!$K:$K,'Таблиця 1'!$B:$B,$A462,'Таблиця 1'!$I:$I,"Mi-24",'Таблиця 1'!$J:$J,"МК-40"))</f>
        <v/>
      </c>
      <c r="N462">
        <f>IF($A462="","",SUMIFS('Таблиця 1'!$K:$K,'Таблиця 1'!$B:$B,$A462,'Таблиця 1'!$I:$I,"Mi-8",'Таблиця 1'!$J:$J,"Zuni")+SUMIFS('Таблиця 1'!$K:$K,'Таблиця 1'!$B:$B,$A462,'Таблиця 1'!$I:$I,"Mi-24",'Таблиця 1'!$J:$J,"Zuni"))</f>
        <v/>
      </c>
      <c r="O462">
        <f>IF($A462="","",COUNTIFS('Таблиця 1'!$B:$B,$A462,'Таблиця 1'!$I:$I,"Mi-8",'Таблиця 1'!$L:$L,"Уражено")+COUNTIFS('Таблиця 1'!$B:$B,$A462,'Таблиця 1'!$I:$I,"Mi-24",'Таблиця 1'!$L:$L,"Уражено"))</f>
        <v/>
      </c>
      <c r="P462">
        <f>IF($A462="","",COUNTIFS('Таблиця 1'!$B:$B,$A462,'Таблиця 1'!$I:$I,"Mi-8",'Таблиця 1'!$L:$L,"НЕ уражено")+COUNTIFS('Таблиця 1'!$B:$B,$A462,'Таблиця 1'!$I:$I,"Mi-24",'Таблиця 1'!$L:$L,"НЕ уражено"))</f>
        <v/>
      </c>
    </row>
    <row r="463">
      <c r="A463" s="273">
        <f>IF(A462="","",IF(A462+1&gt;MAX('Таблиця 1'!$B:$B),"",A462+1))</f>
        <v/>
      </c>
      <c r="B463">
        <f>IF($A463="","",COUNTIFS('Таблиця 1'!$B:$B,$A463,'Таблиця 1'!$I:$I,"Mi-8")+COUNTIFS('Таблиця 1'!$B:$B,$A463,'Таблиця 1'!$I:$I,"Mi-24"))</f>
        <v/>
      </c>
      <c r="C463">
        <f>IF($A463="","",COUNTIFS('Таблиця 1'!$B:$B,$A463,'Таблиця 1'!$I:$I,"Mi-8"))</f>
        <v/>
      </c>
      <c r="D463">
        <f>IF($A463="","",COUNTIFS('Таблиця 1'!$B:$B,$A463,'Таблиця 1'!$I:$I,"Mi-24"))</f>
        <v/>
      </c>
      <c r="E463">
        <f>IF($A463="","",SUMIFS('Таблиця 1'!$K:$K,'Таблиця 1'!$B:$B,$A463,'Таблиця 1'!$I:$I,"Mi-8",'Таблиця 1'!$J:$J,"ARS-8")+SUMIFS('Таблиця 1'!$K:$K,'Таблиця 1'!$B:$B,$A463,'Таблиця 1'!$I:$I,"Mi-24",'Таблиця 1'!$J:$J,"ARS-8"))</f>
        <v/>
      </c>
      <c r="F463">
        <f>IF($A463="","",SUMIFS('Таблиця 1'!$K:$K,'Таблиця 1'!$B:$B,$A463,'Таблиця 1'!$I:$I,"Mi-8",'Таблиця 1'!$J:$J,"С-8 ком")+SUMIFS('Таблиця 1'!$K:$K,'Таблиця 1'!$B:$B,$A463,'Таблиця 1'!$I:$I,"Mi-24",'Таблиця 1'!$J:$J,"С-8 ком"))</f>
        <v/>
      </c>
      <c r="G463">
        <f>IF($A463="","",SUMIFS('Таблиця 1'!$K:$K,'Таблиця 1'!$B:$B,$A463,'Таблиця 1'!$I:$I,"Mi-8",'Таблиця 1'!$J:$J,"PC-80")+SUMIFS('Таблиця 1'!$K:$K,'Таблиця 1'!$B:$B,$A463,'Таблиця 1'!$I:$I,"Mi-24",'Таблиця 1'!$J:$J,"PC-80"))</f>
        <v/>
      </c>
      <c r="H463">
        <f>IF($A463="","",SUMIFS('Таблиця 1'!$K:$K,'Таблиця 1'!$B:$B,$A463,'Таблиця 1'!$I:$I,"Mi-8",'Таблиця 1'!$J:$J,"UAR-80")+SUMIFS('Таблиця 1'!$K:$K,'Таблиця 1'!$B:$B,$A463,'Таблиця 1'!$I:$I,"Mi-24",'Таблиця 1'!$J:$J,"UAR-80"))</f>
        <v/>
      </c>
      <c r="I463">
        <f>IF($A463="","",SUMIFS('Таблиця 1'!$K:$K,'Таблиця 1'!$B:$B,$A463,'Таблиця 1'!$I:$I,"Mi-8",'Таблиця 1'!$J:$J,"C-13")+SUMIFS('Таблиця 1'!$K:$K,'Таблиця 1'!$B:$B,$A463,'Таблиця 1'!$I:$I,"Mi-24",'Таблиця 1'!$J:$J,"C-13"))</f>
        <v/>
      </c>
      <c r="J463">
        <f>IF($A463="","",SUMIFS('Таблиця 1'!$K:$K,'Таблиця 1'!$B:$B,$A463,'Таблиця 1'!$I:$I,"Mi-8",'Таблиця 1'!$J:$J,"Hydra-70")+SUMIFS('Таблиця 1'!$K:$K,'Таблиця 1'!$B:$B,$A463,'Таблиця 1'!$I:$I,"Mi-24",'Таблиця 1'!$J:$J,"Hydra-70"))</f>
        <v/>
      </c>
      <c r="K463">
        <f>IF($A463="","",SUMIFS('Таблиця 1'!$K:$K,'Таблиця 1'!$B:$B,$A463,'Таблиця 1'!$I:$I,"Mi-8",'Таблиця 1'!$J:$J,"Thales-70")+SUMIFS('Таблиця 1'!$K:$K,'Таблиця 1'!$B:$B,$A463,'Таблиця 1'!$I:$I,"Mi-24",'Таблиця 1'!$J:$J,"Thales-70"))</f>
        <v/>
      </c>
      <c r="L463">
        <f>IF($A463="","",SUMIFS('Таблиця 1'!$K:$K,'Таблиця 1'!$B:$B,$A463,'Таблиця 1'!$I:$I,"Mi-8",'Таблиця 1'!$J:$J,"Thales-FZ")+SUMIFS('Таблиця 1'!$K:$K,'Таблиця 1'!$B:$B,$A463,'Таблиця 1'!$I:$I,"Mi-24",'Таблиця 1'!$J:$J,"Thales-FZ"))</f>
        <v/>
      </c>
      <c r="M463">
        <f>IF($A463="","",SUMIFS('Таблиця 1'!$K:$K,'Таблиця 1'!$B:$B,$A463,'Таблиця 1'!$I:$I,"Mi-8",'Таблиця 1'!$J:$J,"МК-40")+SUMIFS('Таблиця 1'!$K:$K,'Таблиця 1'!$B:$B,$A463,'Таблиця 1'!$I:$I,"Mi-24",'Таблиця 1'!$J:$J,"МК-40"))</f>
        <v/>
      </c>
      <c r="N463">
        <f>IF($A463="","",SUMIFS('Таблиця 1'!$K:$K,'Таблиця 1'!$B:$B,$A463,'Таблиця 1'!$I:$I,"Mi-8",'Таблиця 1'!$J:$J,"Zuni")+SUMIFS('Таблиця 1'!$K:$K,'Таблиця 1'!$B:$B,$A463,'Таблиця 1'!$I:$I,"Mi-24",'Таблиця 1'!$J:$J,"Zuni"))</f>
        <v/>
      </c>
      <c r="O463">
        <f>IF($A463="","",COUNTIFS('Таблиця 1'!$B:$B,$A463,'Таблиця 1'!$I:$I,"Mi-8",'Таблиця 1'!$L:$L,"Уражено")+COUNTIFS('Таблиця 1'!$B:$B,$A463,'Таблиця 1'!$I:$I,"Mi-24",'Таблиця 1'!$L:$L,"Уражено"))</f>
        <v/>
      </c>
      <c r="P463">
        <f>IF($A463="","",COUNTIFS('Таблиця 1'!$B:$B,$A463,'Таблиця 1'!$I:$I,"Mi-8",'Таблиця 1'!$L:$L,"НЕ уражено")+COUNTIFS('Таблиця 1'!$B:$B,$A463,'Таблиця 1'!$I:$I,"Mi-24",'Таблиця 1'!$L:$L,"НЕ уражено"))</f>
        <v/>
      </c>
    </row>
    <row r="464">
      <c r="A464" s="273">
        <f>IF(A463="","",IF(A463+1&gt;MAX('Таблиця 1'!$B:$B),"",A463+1))</f>
        <v/>
      </c>
      <c r="B464">
        <f>IF($A464="","",COUNTIFS('Таблиця 1'!$B:$B,$A464,'Таблиця 1'!$I:$I,"Mi-8")+COUNTIFS('Таблиця 1'!$B:$B,$A464,'Таблиця 1'!$I:$I,"Mi-24"))</f>
        <v/>
      </c>
      <c r="C464">
        <f>IF($A464="","",COUNTIFS('Таблиця 1'!$B:$B,$A464,'Таблиця 1'!$I:$I,"Mi-8"))</f>
        <v/>
      </c>
      <c r="D464">
        <f>IF($A464="","",COUNTIFS('Таблиця 1'!$B:$B,$A464,'Таблиця 1'!$I:$I,"Mi-24"))</f>
        <v/>
      </c>
      <c r="E464">
        <f>IF($A464="","",SUMIFS('Таблиця 1'!$K:$K,'Таблиця 1'!$B:$B,$A464,'Таблиця 1'!$I:$I,"Mi-8",'Таблиця 1'!$J:$J,"ARS-8")+SUMIFS('Таблиця 1'!$K:$K,'Таблиця 1'!$B:$B,$A464,'Таблиця 1'!$I:$I,"Mi-24",'Таблиця 1'!$J:$J,"ARS-8"))</f>
        <v/>
      </c>
      <c r="F464">
        <f>IF($A464="","",SUMIFS('Таблиця 1'!$K:$K,'Таблиця 1'!$B:$B,$A464,'Таблиця 1'!$I:$I,"Mi-8",'Таблиця 1'!$J:$J,"С-8 ком")+SUMIFS('Таблиця 1'!$K:$K,'Таблиця 1'!$B:$B,$A464,'Таблиця 1'!$I:$I,"Mi-24",'Таблиця 1'!$J:$J,"С-8 ком"))</f>
        <v/>
      </c>
      <c r="G464">
        <f>IF($A464="","",SUMIFS('Таблиця 1'!$K:$K,'Таблиця 1'!$B:$B,$A464,'Таблиця 1'!$I:$I,"Mi-8",'Таблиця 1'!$J:$J,"PC-80")+SUMIFS('Таблиця 1'!$K:$K,'Таблиця 1'!$B:$B,$A464,'Таблиця 1'!$I:$I,"Mi-24",'Таблиця 1'!$J:$J,"PC-80"))</f>
        <v/>
      </c>
      <c r="H464">
        <f>IF($A464="","",SUMIFS('Таблиця 1'!$K:$K,'Таблиця 1'!$B:$B,$A464,'Таблиця 1'!$I:$I,"Mi-8",'Таблиця 1'!$J:$J,"UAR-80")+SUMIFS('Таблиця 1'!$K:$K,'Таблиця 1'!$B:$B,$A464,'Таблиця 1'!$I:$I,"Mi-24",'Таблиця 1'!$J:$J,"UAR-80"))</f>
        <v/>
      </c>
      <c r="I464">
        <f>IF($A464="","",SUMIFS('Таблиця 1'!$K:$K,'Таблиця 1'!$B:$B,$A464,'Таблиця 1'!$I:$I,"Mi-8",'Таблиця 1'!$J:$J,"C-13")+SUMIFS('Таблиця 1'!$K:$K,'Таблиця 1'!$B:$B,$A464,'Таблиця 1'!$I:$I,"Mi-24",'Таблиця 1'!$J:$J,"C-13"))</f>
        <v/>
      </c>
      <c r="J464">
        <f>IF($A464="","",SUMIFS('Таблиця 1'!$K:$K,'Таблиця 1'!$B:$B,$A464,'Таблиця 1'!$I:$I,"Mi-8",'Таблиця 1'!$J:$J,"Hydra-70")+SUMIFS('Таблиця 1'!$K:$K,'Таблиця 1'!$B:$B,$A464,'Таблиця 1'!$I:$I,"Mi-24",'Таблиця 1'!$J:$J,"Hydra-70"))</f>
        <v/>
      </c>
      <c r="K464">
        <f>IF($A464="","",SUMIFS('Таблиця 1'!$K:$K,'Таблиця 1'!$B:$B,$A464,'Таблиця 1'!$I:$I,"Mi-8",'Таблиця 1'!$J:$J,"Thales-70")+SUMIFS('Таблиця 1'!$K:$K,'Таблиця 1'!$B:$B,$A464,'Таблиця 1'!$I:$I,"Mi-24",'Таблиця 1'!$J:$J,"Thales-70"))</f>
        <v/>
      </c>
      <c r="L464">
        <f>IF($A464="","",SUMIFS('Таблиця 1'!$K:$K,'Таблиця 1'!$B:$B,$A464,'Таблиця 1'!$I:$I,"Mi-8",'Таблиця 1'!$J:$J,"Thales-FZ")+SUMIFS('Таблиця 1'!$K:$K,'Таблиця 1'!$B:$B,$A464,'Таблиця 1'!$I:$I,"Mi-24",'Таблиця 1'!$J:$J,"Thales-FZ"))</f>
        <v/>
      </c>
      <c r="M464">
        <f>IF($A464="","",SUMIFS('Таблиця 1'!$K:$K,'Таблиця 1'!$B:$B,$A464,'Таблиця 1'!$I:$I,"Mi-8",'Таблиця 1'!$J:$J,"МК-40")+SUMIFS('Таблиця 1'!$K:$K,'Таблиця 1'!$B:$B,$A464,'Таблиця 1'!$I:$I,"Mi-24",'Таблиця 1'!$J:$J,"МК-40"))</f>
        <v/>
      </c>
      <c r="N464">
        <f>IF($A464="","",SUMIFS('Таблиця 1'!$K:$K,'Таблиця 1'!$B:$B,$A464,'Таблиця 1'!$I:$I,"Mi-8",'Таблиця 1'!$J:$J,"Zuni")+SUMIFS('Таблиця 1'!$K:$K,'Таблиця 1'!$B:$B,$A464,'Таблиця 1'!$I:$I,"Mi-24",'Таблиця 1'!$J:$J,"Zuni"))</f>
        <v/>
      </c>
      <c r="O464">
        <f>IF($A464="","",COUNTIFS('Таблиця 1'!$B:$B,$A464,'Таблиця 1'!$I:$I,"Mi-8",'Таблиця 1'!$L:$L,"Уражено")+COUNTIFS('Таблиця 1'!$B:$B,$A464,'Таблиця 1'!$I:$I,"Mi-24",'Таблиця 1'!$L:$L,"Уражено"))</f>
        <v/>
      </c>
      <c r="P464">
        <f>IF($A464="","",COUNTIFS('Таблиця 1'!$B:$B,$A464,'Таблиця 1'!$I:$I,"Mi-8",'Таблиця 1'!$L:$L,"НЕ уражено")+COUNTIFS('Таблиця 1'!$B:$B,$A464,'Таблиця 1'!$I:$I,"Mi-24",'Таблиця 1'!$L:$L,"НЕ уражено"))</f>
        <v/>
      </c>
    </row>
    <row r="465">
      <c r="A465" s="273">
        <f>IF(A464="","",IF(A464+1&gt;MAX('Таблиця 1'!$B:$B),"",A464+1))</f>
        <v/>
      </c>
      <c r="B465">
        <f>IF($A465="","",COUNTIFS('Таблиця 1'!$B:$B,$A465,'Таблиця 1'!$I:$I,"Mi-8")+COUNTIFS('Таблиця 1'!$B:$B,$A465,'Таблиця 1'!$I:$I,"Mi-24"))</f>
        <v/>
      </c>
      <c r="C465">
        <f>IF($A465="","",COUNTIFS('Таблиця 1'!$B:$B,$A465,'Таблиця 1'!$I:$I,"Mi-8"))</f>
        <v/>
      </c>
      <c r="D465">
        <f>IF($A465="","",COUNTIFS('Таблиця 1'!$B:$B,$A465,'Таблиця 1'!$I:$I,"Mi-24"))</f>
        <v/>
      </c>
      <c r="E465">
        <f>IF($A465="","",SUMIFS('Таблиця 1'!$K:$K,'Таблиця 1'!$B:$B,$A465,'Таблиця 1'!$I:$I,"Mi-8",'Таблиця 1'!$J:$J,"ARS-8")+SUMIFS('Таблиця 1'!$K:$K,'Таблиця 1'!$B:$B,$A465,'Таблиця 1'!$I:$I,"Mi-24",'Таблиця 1'!$J:$J,"ARS-8"))</f>
        <v/>
      </c>
      <c r="F465">
        <f>IF($A465="","",SUMIFS('Таблиця 1'!$K:$K,'Таблиця 1'!$B:$B,$A465,'Таблиця 1'!$I:$I,"Mi-8",'Таблиця 1'!$J:$J,"С-8 ком")+SUMIFS('Таблиця 1'!$K:$K,'Таблиця 1'!$B:$B,$A465,'Таблиця 1'!$I:$I,"Mi-24",'Таблиця 1'!$J:$J,"С-8 ком"))</f>
        <v/>
      </c>
      <c r="G465">
        <f>IF($A465="","",SUMIFS('Таблиця 1'!$K:$K,'Таблиця 1'!$B:$B,$A465,'Таблиця 1'!$I:$I,"Mi-8",'Таблиця 1'!$J:$J,"PC-80")+SUMIFS('Таблиця 1'!$K:$K,'Таблиця 1'!$B:$B,$A465,'Таблиця 1'!$I:$I,"Mi-24",'Таблиця 1'!$J:$J,"PC-80"))</f>
        <v/>
      </c>
      <c r="H465">
        <f>IF($A465="","",SUMIFS('Таблиця 1'!$K:$K,'Таблиця 1'!$B:$B,$A465,'Таблиця 1'!$I:$I,"Mi-8",'Таблиця 1'!$J:$J,"UAR-80")+SUMIFS('Таблиця 1'!$K:$K,'Таблиця 1'!$B:$B,$A465,'Таблиця 1'!$I:$I,"Mi-24",'Таблиця 1'!$J:$J,"UAR-80"))</f>
        <v/>
      </c>
      <c r="I465">
        <f>IF($A465="","",SUMIFS('Таблиця 1'!$K:$K,'Таблиця 1'!$B:$B,$A465,'Таблиця 1'!$I:$I,"Mi-8",'Таблиця 1'!$J:$J,"C-13")+SUMIFS('Таблиця 1'!$K:$K,'Таблиця 1'!$B:$B,$A465,'Таблиця 1'!$I:$I,"Mi-24",'Таблиця 1'!$J:$J,"C-13"))</f>
        <v/>
      </c>
      <c r="J465">
        <f>IF($A465="","",SUMIFS('Таблиця 1'!$K:$K,'Таблиця 1'!$B:$B,$A465,'Таблиця 1'!$I:$I,"Mi-8",'Таблиця 1'!$J:$J,"Hydra-70")+SUMIFS('Таблиця 1'!$K:$K,'Таблиця 1'!$B:$B,$A465,'Таблиця 1'!$I:$I,"Mi-24",'Таблиця 1'!$J:$J,"Hydra-70"))</f>
        <v/>
      </c>
      <c r="K465">
        <f>IF($A465="","",SUMIFS('Таблиця 1'!$K:$K,'Таблиця 1'!$B:$B,$A465,'Таблиця 1'!$I:$I,"Mi-8",'Таблиця 1'!$J:$J,"Thales-70")+SUMIFS('Таблиця 1'!$K:$K,'Таблиця 1'!$B:$B,$A465,'Таблиця 1'!$I:$I,"Mi-24",'Таблиця 1'!$J:$J,"Thales-70"))</f>
        <v/>
      </c>
      <c r="L465">
        <f>IF($A465="","",SUMIFS('Таблиця 1'!$K:$K,'Таблиця 1'!$B:$B,$A465,'Таблиця 1'!$I:$I,"Mi-8",'Таблиця 1'!$J:$J,"Thales-FZ")+SUMIFS('Таблиця 1'!$K:$K,'Таблиця 1'!$B:$B,$A465,'Таблиця 1'!$I:$I,"Mi-24",'Таблиця 1'!$J:$J,"Thales-FZ"))</f>
        <v/>
      </c>
      <c r="M465">
        <f>IF($A465="","",SUMIFS('Таблиця 1'!$K:$K,'Таблиця 1'!$B:$B,$A465,'Таблиця 1'!$I:$I,"Mi-8",'Таблиця 1'!$J:$J,"МК-40")+SUMIFS('Таблиця 1'!$K:$K,'Таблиця 1'!$B:$B,$A465,'Таблиця 1'!$I:$I,"Mi-24",'Таблиця 1'!$J:$J,"МК-40"))</f>
        <v/>
      </c>
      <c r="N465">
        <f>IF($A465="","",SUMIFS('Таблиця 1'!$K:$K,'Таблиця 1'!$B:$B,$A465,'Таблиця 1'!$I:$I,"Mi-8",'Таблиця 1'!$J:$J,"Zuni")+SUMIFS('Таблиця 1'!$K:$K,'Таблиця 1'!$B:$B,$A465,'Таблиця 1'!$I:$I,"Mi-24",'Таблиця 1'!$J:$J,"Zuni"))</f>
        <v/>
      </c>
      <c r="O465">
        <f>IF($A465="","",COUNTIFS('Таблиця 1'!$B:$B,$A465,'Таблиця 1'!$I:$I,"Mi-8",'Таблиця 1'!$L:$L,"Уражено")+COUNTIFS('Таблиця 1'!$B:$B,$A465,'Таблиця 1'!$I:$I,"Mi-24",'Таблиця 1'!$L:$L,"Уражено"))</f>
        <v/>
      </c>
      <c r="P465">
        <f>IF($A465="","",COUNTIFS('Таблиця 1'!$B:$B,$A465,'Таблиця 1'!$I:$I,"Mi-8",'Таблиця 1'!$L:$L,"НЕ уражено")+COUNTIFS('Таблиця 1'!$B:$B,$A465,'Таблиця 1'!$I:$I,"Mi-24",'Таблиця 1'!$L:$L,"НЕ уражено"))</f>
        <v/>
      </c>
    </row>
    <row r="466">
      <c r="A466" s="273">
        <f>IF(A465="","",IF(A465+1&gt;MAX('Таблиця 1'!$B:$B),"",A465+1))</f>
        <v/>
      </c>
      <c r="B466">
        <f>IF($A466="","",COUNTIFS('Таблиця 1'!$B:$B,$A466,'Таблиця 1'!$I:$I,"Mi-8")+COUNTIFS('Таблиця 1'!$B:$B,$A466,'Таблиця 1'!$I:$I,"Mi-24"))</f>
        <v/>
      </c>
      <c r="C466">
        <f>IF($A466="","",COUNTIFS('Таблиця 1'!$B:$B,$A466,'Таблиця 1'!$I:$I,"Mi-8"))</f>
        <v/>
      </c>
      <c r="D466">
        <f>IF($A466="","",COUNTIFS('Таблиця 1'!$B:$B,$A466,'Таблиця 1'!$I:$I,"Mi-24"))</f>
        <v/>
      </c>
      <c r="E466">
        <f>IF($A466="","",SUMIFS('Таблиця 1'!$K:$K,'Таблиця 1'!$B:$B,$A466,'Таблиця 1'!$I:$I,"Mi-8",'Таблиця 1'!$J:$J,"ARS-8")+SUMIFS('Таблиця 1'!$K:$K,'Таблиця 1'!$B:$B,$A466,'Таблиця 1'!$I:$I,"Mi-24",'Таблиця 1'!$J:$J,"ARS-8"))</f>
        <v/>
      </c>
      <c r="F466">
        <f>IF($A466="","",SUMIFS('Таблиця 1'!$K:$K,'Таблиця 1'!$B:$B,$A466,'Таблиця 1'!$I:$I,"Mi-8",'Таблиця 1'!$J:$J,"С-8 ком")+SUMIFS('Таблиця 1'!$K:$K,'Таблиця 1'!$B:$B,$A466,'Таблиця 1'!$I:$I,"Mi-24",'Таблиця 1'!$J:$J,"С-8 ком"))</f>
        <v/>
      </c>
      <c r="G466">
        <f>IF($A466="","",SUMIFS('Таблиця 1'!$K:$K,'Таблиця 1'!$B:$B,$A466,'Таблиця 1'!$I:$I,"Mi-8",'Таблиця 1'!$J:$J,"PC-80")+SUMIFS('Таблиця 1'!$K:$K,'Таблиця 1'!$B:$B,$A466,'Таблиця 1'!$I:$I,"Mi-24",'Таблиця 1'!$J:$J,"PC-80"))</f>
        <v/>
      </c>
      <c r="H466">
        <f>IF($A466="","",SUMIFS('Таблиця 1'!$K:$K,'Таблиця 1'!$B:$B,$A466,'Таблиця 1'!$I:$I,"Mi-8",'Таблиця 1'!$J:$J,"UAR-80")+SUMIFS('Таблиця 1'!$K:$K,'Таблиця 1'!$B:$B,$A466,'Таблиця 1'!$I:$I,"Mi-24",'Таблиця 1'!$J:$J,"UAR-80"))</f>
        <v/>
      </c>
      <c r="I466">
        <f>IF($A466="","",SUMIFS('Таблиця 1'!$K:$K,'Таблиця 1'!$B:$B,$A466,'Таблиця 1'!$I:$I,"Mi-8",'Таблиця 1'!$J:$J,"C-13")+SUMIFS('Таблиця 1'!$K:$K,'Таблиця 1'!$B:$B,$A466,'Таблиця 1'!$I:$I,"Mi-24",'Таблиця 1'!$J:$J,"C-13"))</f>
        <v/>
      </c>
      <c r="J466">
        <f>IF($A466="","",SUMIFS('Таблиця 1'!$K:$K,'Таблиця 1'!$B:$B,$A466,'Таблиця 1'!$I:$I,"Mi-8",'Таблиця 1'!$J:$J,"Hydra-70")+SUMIFS('Таблиця 1'!$K:$K,'Таблиця 1'!$B:$B,$A466,'Таблиця 1'!$I:$I,"Mi-24",'Таблиця 1'!$J:$J,"Hydra-70"))</f>
        <v/>
      </c>
      <c r="K466">
        <f>IF($A466="","",SUMIFS('Таблиця 1'!$K:$K,'Таблиця 1'!$B:$B,$A466,'Таблиця 1'!$I:$I,"Mi-8",'Таблиця 1'!$J:$J,"Thales-70")+SUMIFS('Таблиця 1'!$K:$K,'Таблиця 1'!$B:$B,$A466,'Таблиця 1'!$I:$I,"Mi-24",'Таблиця 1'!$J:$J,"Thales-70"))</f>
        <v/>
      </c>
      <c r="L466">
        <f>IF($A466="","",SUMIFS('Таблиця 1'!$K:$K,'Таблиця 1'!$B:$B,$A466,'Таблиця 1'!$I:$I,"Mi-8",'Таблиця 1'!$J:$J,"Thales-FZ")+SUMIFS('Таблиця 1'!$K:$K,'Таблиця 1'!$B:$B,$A466,'Таблиця 1'!$I:$I,"Mi-24",'Таблиця 1'!$J:$J,"Thales-FZ"))</f>
        <v/>
      </c>
      <c r="M466">
        <f>IF($A466="","",SUMIFS('Таблиця 1'!$K:$K,'Таблиця 1'!$B:$B,$A466,'Таблиця 1'!$I:$I,"Mi-8",'Таблиця 1'!$J:$J,"МК-40")+SUMIFS('Таблиця 1'!$K:$K,'Таблиця 1'!$B:$B,$A466,'Таблиця 1'!$I:$I,"Mi-24",'Таблиця 1'!$J:$J,"МК-40"))</f>
        <v/>
      </c>
      <c r="N466">
        <f>IF($A466="","",SUMIFS('Таблиця 1'!$K:$K,'Таблиця 1'!$B:$B,$A466,'Таблиця 1'!$I:$I,"Mi-8",'Таблиця 1'!$J:$J,"Zuni")+SUMIFS('Таблиця 1'!$K:$K,'Таблиця 1'!$B:$B,$A466,'Таблиця 1'!$I:$I,"Mi-24",'Таблиця 1'!$J:$J,"Zuni"))</f>
        <v/>
      </c>
      <c r="O466">
        <f>IF($A466="","",COUNTIFS('Таблиця 1'!$B:$B,$A466,'Таблиця 1'!$I:$I,"Mi-8",'Таблиця 1'!$L:$L,"Уражено")+COUNTIFS('Таблиця 1'!$B:$B,$A466,'Таблиця 1'!$I:$I,"Mi-24",'Таблиця 1'!$L:$L,"Уражено"))</f>
        <v/>
      </c>
      <c r="P466">
        <f>IF($A466="","",COUNTIFS('Таблиця 1'!$B:$B,$A466,'Таблиця 1'!$I:$I,"Mi-8",'Таблиця 1'!$L:$L,"НЕ уражено")+COUNTIFS('Таблиця 1'!$B:$B,$A466,'Таблиця 1'!$I:$I,"Mi-24",'Таблиця 1'!$L:$L,"НЕ уражено"))</f>
        <v/>
      </c>
    </row>
    <row r="467">
      <c r="A467" s="273">
        <f>IF(A466="","",IF(A466+1&gt;MAX('Таблиця 1'!$B:$B),"",A466+1))</f>
        <v/>
      </c>
      <c r="B467">
        <f>IF($A467="","",COUNTIFS('Таблиця 1'!$B:$B,$A467,'Таблиця 1'!$I:$I,"Mi-8")+COUNTIFS('Таблиця 1'!$B:$B,$A467,'Таблиця 1'!$I:$I,"Mi-24"))</f>
        <v/>
      </c>
      <c r="C467">
        <f>IF($A467="","",COUNTIFS('Таблиця 1'!$B:$B,$A467,'Таблиця 1'!$I:$I,"Mi-8"))</f>
        <v/>
      </c>
      <c r="D467">
        <f>IF($A467="","",COUNTIFS('Таблиця 1'!$B:$B,$A467,'Таблиця 1'!$I:$I,"Mi-24"))</f>
        <v/>
      </c>
      <c r="E467">
        <f>IF($A467="","",SUMIFS('Таблиця 1'!$K:$K,'Таблиця 1'!$B:$B,$A467,'Таблиця 1'!$I:$I,"Mi-8",'Таблиця 1'!$J:$J,"ARS-8")+SUMIFS('Таблиця 1'!$K:$K,'Таблиця 1'!$B:$B,$A467,'Таблиця 1'!$I:$I,"Mi-24",'Таблиця 1'!$J:$J,"ARS-8"))</f>
        <v/>
      </c>
      <c r="F467">
        <f>IF($A467="","",SUMIFS('Таблиця 1'!$K:$K,'Таблиця 1'!$B:$B,$A467,'Таблиця 1'!$I:$I,"Mi-8",'Таблиця 1'!$J:$J,"С-8 ком")+SUMIFS('Таблиця 1'!$K:$K,'Таблиця 1'!$B:$B,$A467,'Таблиця 1'!$I:$I,"Mi-24",'Таблиця 1'!$J:$J,"С-8 ком"))</f>
        <v/>
      </c>
      <c r="G467">
        <f>IF($A467="","",SUMIFS('Таблиця 1'!$K:$K,'Таблиця 1'!$B:$B,$A467,'Таблиця 1'!$I:$I,"Mi-8",'Таблиця 1'!$J:$J,"PC-80")+SUMIFS('Таблиця 1'!$K:$K,'Таблиця 1'!$B:$B,$A467,'Таблиця 1'!$I:$I,"Mi-24",'Таблиця 1'!$J:$J,"PC-80"))</f>
        <v/>
      </c>
      <c r="H467">
        <f>IF($A467="","",SUMIFS('Таблиця 1'!$K:$K,'Таблиця 1'!$B:$B,$A467,'Таблиця 1'!$I:$I,"Mi-8",'Таблиця 1'!$J:$J,"UAR-80")+SUMIFS('Таблиця 1'!$K:$K,'Таблиця 1'!$B:$B,$A467,'Таблиця 1'!$I:$I,"Mi-24",'Таблиця 1'!$J:$J,"UAR-80"))</f>
        <v/>
      </c>
      <c r="I467">
        <f>IF($A467="","",SUMIFS('Таблиця 1'!$K:$K,'Таблиця 1'!$B:$B,$A467,'Таблиця 1'!$I:$I,"Mi-8",'Таблиця 1'!$J:$J,"C-13")+SUMIFS('Таблиця 1'!$K:$K,'Таблиця 1'!$B:$B,$A467,'Таблиця 1'!$I:$I,"Mi-24",'Таблиця 1'!$J:$J,"C-13"))</f>
        <v/>
      </c>
      <c r="J467">
        <f>IF($A467="","",SUMIFS('Таблиця 1'!$K:$K,'Таблиця 1'!$B:$B,$A467,'Таблиця 1'!$I:$I,"Mi-8",'Таблиця 1'!$J:$J,"Hydra-70")+SUMIFS('Таблиця 1'!$K:$K,'Таблиця 1'!$B:$B,$A467,'Таблиця 1'!$I:$I,"Mi-24",'Таблиця 1'!$J:$J,"Hydra-70"))</f>
        <v/>
      </c>
      <c r="K467">
        <f>IF($A467="","",SUMIFS('Таблиця 1'!$K:$K,'Таблиця 1'!$B:$B,$A467,'Таблиця 1'!$I:$I,"Mi-8",'Таблиця 1'!$J:$J,"Thales-70")+SUMIFS('Таблиця 1'!$K:$K,'Таблиця 1'!$B:$B,$A467,'Таблиця 1'!$I:$I,"Mi-24",'Таблиця 1'!$J:$J,"Thales-70"))</f>
        <v/>
      </c>
      <c r="L467">
        <f>IF($A467="","",SUMIFS('Таблиця 1'!$K:$K,'Таблиця 1'!$B:$B,$A467,'Таблиця 1'!$I:$I,"Mi-8",'Таблиця 1'!$J:$J,"Thales-FZ")+SUMIFS('Таблиця 1'!$K:$K,'Таблиця 1'!$B:$B,$A467,'Таблиця 1'!$I:$I,"Mi-24",'Таблиця 1'!$J:$J,"Thales-FZ"))</f>
        <v/>
      </c>
      <c r="M467">
        <f>IF($A467="","",SUMIFS('Таблиця 1'!$K:$K,'Таблиця 1'!$B:$B,$A467,'Таблиця 1'!$I:$I,"Mi-8",'Таблиця 1'!$J:$J,"МК-40")+SUMIFS('Таблиця 1'!$K:$K,'Таблиця 1'!$B:$B,$A467,'Таблиця 1'!$I:$I,"Mi-24",'Таблиця 1'!$J:$J,"МК-40"))</f>
        <v/>
      </c>
      <c r="N467">
        <f>IF($A467="","",SUMIFS('Таблиця 1'!$K:$K,'Таблиця 1'!$B:$B,$A467,'Таблиця 1'!$I:$I,"Mi-8",'Таблиця 1'!$J:$J,"Zuni")+SUMIFS('Таблиця 1'!$K:$K,'Таблиця 1'!$B:$B,$A467,'Таблиця 1'!$I:$I,"Mi-24",'Таблиця 1'!$J:$J,"Zuni"))</f>
        <v/>
      </c>
      <c r="O467">
        <f>IF($A467="","",COUNTIFS('Таблиця 1'!$B:$B,$A467,'Таблиця 1'!$I:$I,"Mi-8",'Таблиця 1'!$L:$L,"Уражено")+COUNTIFS('Таблиця 1'!$B:$B,$A467,'Таблиця 1'!$I:$I,"Mi-24",'Таблиця 1'!$L:$L,"Уражено"))</f>
        <v/>
      </c>
      <c r="P467">
        <f>IF($A467="","",COUNTIFS('Таблиця 1'!$B:$B,$A467,'Таблиця 1'!$I:$I,"Mi-8",'Таблиця 1'!$L:$L,"НЕ уражено")+COUNTIFS('Таблиця 1'!$B:$B,$A467,'Таблиця 1'!$I:$I,"Mi-24",'Таблиця 1'!$L:$L,"НЕ уражено"))</f>
        <v/>
      </c>
    </row>
    <row r="468">
      <c r="A468" s="273">
        <f>IF(A467="","",IF(A467+1&gt;MAX('Таблиця 1'!$B:$B),"",A467+1))</f>
        <v/>
      </c>
      <c r="B468">
        <f>IF($A468="","",COUNTIFS('Таблиця 1'!$B:$B,$A468,'Таблиця 1'!$I:$I,"Mi-8")+COUNTIFS('Таблиця 1'!$B:$B,$A468,'Таблиця 1'!$I:$I,"Mi-24"))</f>
        <v/>
      </c>
      <c r="C468">
        <f>IF($A468="","",COUNTIFS('Таблиця 1'!$B:$B,$A468,'Таблиця 1'!$I:$I,"Mi-8"))</f>
        <v/>
      </c>
      <c r="D468">
        <f>IF($A468="","",COUNTIFS('Таблиця 1'!$B:$B,$A468,'Таблиця 1'!$I:$I,"Mi-24"))</f>
        <v/>
      </c>
      <c r="E468">
        <f>IF($A468="","",SUMIFS('Таблиця 1'!$K:$K,'Таблиця 1'!$B:$B,$A468,'Таблиця 1'!$I:$I,"Mi-8",'Таблиця 1'!$J:$J,"ARS-8")+SUMIFS('Таблиця 1'!$K:$K,'Таблиця 1'!$B:$B,$A468,'Таблиця 1'!$I:$I,"Mi-24",'Таблиця 1'!$J:$J,"ARS-8"))</f>
        <v/>
      </c>
      <c r="F468">
        <f>IF($A468="","",SUMIFS('Таблиця 1'!$K:$K,'Таблиця 1'!$B:$B,$A468,'Таблиця 1'!$I:$I,"Mi-8",'Таблиця 1'!$J:$J,"С-8 ком")+SUMIFS('Таблиця 1'!$K:$K,'Таблиця 1'!$B:$B,$A468,'Таблиця 1'!$I:$I,"Mi-24",'Таблиця 1'!$J:$J,"С-8 ком"))</f>
        <v/>
      </c>
      <c r="G468">
        <f>IF($A468="","",SUMIFS('Таблиця 1'!$K:$K,'Таблиця 1'!$B:$B,$A468,'Таблиця 1'!$I:$I,"Mi-8",'Таблиця 1'!$J:$J,"PC-80")+SUMIFS('Таблиця 1'!$K:$K,'Таблиця 1'!$B:$B,$A468,'Таблиця 1'!$I:$I,"Mi-24",'Таблиця 1'!$J:$J,"PC-80"))</f>
        <v/>
      </c>
      <c r="H468">
        <f>IF($A468="","",SUMIFS('Таблиця 1'!$K:$K,'Таблиця 1'!$B:$B,$A468,'Таблиця 1'!$I:$I,"Mi-8",'Таблиця 1'!$J:$J,"UAR-80")+SUMIFS('Таблиця 1'!$K:$K,'Таблиця 1'!$B:$B,$A468,'Таблиця 1'!$I:$I,"Mi-24",'Таблиця 1'!$J:$J,"UAR-80"))</f>
        <v/>
      </c>
      <c r="I468">
        <f>IF($A468="","",SUMIFS('Таблиця 1'!$K:$K,'Таблиця 1'!$B:$B,$A468,'Таблиця 1'!$I:$I,"Mi-8",'Таблиця 1'!$J:$J,"C-13")+SUMIFS('Таблиця 1'!$K:$K,'Таблиця 1'!$B:$B,$A468,'Таблиця 1'!$I:$I,"Mi-24",'Таблиця 1'!$J:$J,"C-13"))</f>
        <v/>
      </c>
      <c r="J468">
        <f>IF($A468="","",SUMIFS('Таблиця 1'!$K:$K,'Таблиця 1'!$B:$B,$A468,'Таблиця 1'!$I:$I,"Mi-8",'Таблиця 1'!$J:$J,"Hydra-70")+SUMIFS('Таблиця 1'!$K:$K,'Таблиця 1'!$B:$B,$A468,'Таблиця 1'!$I:$I,"Mi-24",'Таблиця 1'!$J:$J,"Hydra-70"))</f>
        <v/>
      </c>
      <c r="K468">
        <f>IF($A468="","",SUMIFS('Таблиця 1'!$K:$K,'Таблиця 1'!$B:$B,$A468,'Таблиця 1'!$I:$I,"Mi-8",'Таблиця 1'!$J:$J,"Thales-70")+SUMIFS('Таблиця 1'!$K:$K,'Таблиця 1'!$B:$B,$A468,'Таблиця 1'!$I:$I,"Mi-24",'Таблиця 1'!$J:$J,"Thales-70"))</f>
        <v/>
      </c>
      <c r="L468">
        <f>IF($A468="","",SUMIFS('Таблиця 1'!$K:$K,'Таблиця 1'!$B:$B,$A468,'Таблиця 1'!$I:$I,"Mi-8",'Таблиця 1'!$J:$J,"Thales-FZ")+SUMIFS('Таблиця 1'!$K:$K,'Таблиця 1'!$B:$B,$A468,'Таблиця 1'!$I:$I,"Mi-24",'Таблиця 1'!$J:$J,"Thales-FZ"))</f>
        <v/>
      </c>
      <c r="M468">
        <f>IF($A468="","",SUMIFS('Таблиця 1'!$K:$K,'Таблиця 1'!$B:$B,$A468,'Таблиця 1'!$I:$I,"Mi-8",'Таблиця 1'!$J:$J,"МК-40")+SUMIFS('Таблиця 1'!$K:$K,'Таблиця 1'!$B:$B,$A468,'Таблиця 1'!$I:$I,"Mi-24",'Таблиця 1'!$J:$J,"МК-40"))</f>
        <v/>
      </c>
      <c r="N468">
        <f>IF($A468="","",SUMIFS('Таблиця 1'!$K:$K,'Таблиця 1'!$B:$B,$A468,'Таблиця 1'!$I:$I,"Mi-8",'Таблиця 1'!$J:$J,"Zuni")+SUMIFS('Таблиця 1'!$K:$K,'Таблиця 1'!$B:$B,$A468,'Таблиця 1'!$I:$I,"Mi-24",'Таблиця 1'!$J:$J,"Zuni"))</f>
        <v/>
      </c>
      <c r="O468">
        <f>IF($A468="","",COUNTIFS('Таблиця 1'!$B:$B,$A468,'Таблиця 1'!$I:$I,"Mi-8",'Таблиця 1'!$L:$L,"Уражено")+COUNTIFS('Таблиця 1'!$B:$B,$A468,'Таблиця 1'!$I:$I,"Mi-24",'Таблиця 1'!$L:$L,"Уражено"))</f>
        <v/>
      </c>
      <c r="P468">
        <f>IF($A468="","",COUNTIFS('Таблиця 1'!$B:$B,$A468,'Таблиця 1'!$I:$I,"Mi-8",'Таблиця 1'!$L:$L,"НЕ уражено")+COUNTIFS('Таблиця 1'!$B:$B,$A468,'Таблиця 1'!$I:$I,"Mi-24",'Таблиця 1'!$L:$L,"НЕ уражено"))</f>
        <v/>
      </c>
    </row>
    <row r="469">
      <c r="A469" s="273">
        <f>IF(A468="","",IF(A468+1&gt;MAX('Таблиця 1'!$B:$B),"",A468+1))</f>
        <v/>
      </c>
      <c r="B469">
        <f>IF($A469="","",COUNTIFS('Таблиця 1'!$B:$B,$A469,'Таблиця 1'!$I:$I,"Mi-8")+COUNTIFS('Таблиця 1'!$B:$B,$A469,'Таблиця 1'!$I:$I,"Mi-24"))</f>
        <v/>
      </c>
      <c r="C469">
        <f>IF($A469="","",COUNTIFS('Таблиця 1'!$B:$B,$A469,'Таблиця 1'!$I:$I,"Mi-8"))</f>
        <v/>
      </c>
      <c r="D469">
        <f>IF($A469="","",COUNTIFS('Таблиця 1'!$B:$B,$A469,'Таблиця 1'!$I:$I,"Mi-24"))</f>
        <v/>
      </c>
      <c r="E469">
        <f>IF($A469="","",SUMIFS('Таблиця 1'!$K:$K,'Таблиця 1'!$B:$B,$A469,'Таблиця 1'!$I:$I,"Mi-8",'Таблиця 1'!$J:$J,"ARS-8")+SUMIFS('Таблиця 1'!$K:$K,'Таблиця 1'!$B:$B,$A469,'Таблиця 1'!$I:$I,"Mi-24",'Таблиця 1'!$J:$J,"ARS-8"))</f>
        <v/>
      </c>
      <c r="F469">
        <f>IF($A469="","",SUMIFS('Таблиця 1'!$K:$K,'Таблиця 1'!$B:$B,$A469,'Таблиця 1'!$I:$I,"Mi-8",'Таблиця 1'!$J:$J,"С-8 ком")+SUMIFS('Таблиця 1'!$K:$K,'Таблиця 1'!$B:$B,$A469,'Таблиця 1'!$I:$I,"Mi-24",'Таблиця 1'!$J:$J,"С-8 ком"))</f>
        <v/>
      </c>
      <c r="G469">
        <f>IF($A469="","",SUMIFS('Таблиця 1'!$K:$K,'Таблиця 1'!$B:$B,$A469,'Таблиця 1'!$I:$I,"Mi-8",'Таблиця 1'!$J:$J,"PC-80")+SUMIFS('Таблиця 1'!$K:$K,'Таблиця 1'!$B:$B,$A469,'Таблиця 1'!$I:$I,"Mi-24",'Таблиця 1'!$J:$J,"PC-80"))</f>
        <v/>
      </c>
      <c r="H469">
        <f>IF($A469="","",SUMIFS('Таблиця 1'!$K:$K,'Таблиця 1'!$B:$B,$A469,'Таблиця 1'!$I:$I,"Mi-8",'Таблиця 1'!$J:$J,"UAR-80")+SUMIFS('Таблиця 1'!$K:$K,'Таблиця 1'!$B:$B,$A469,'Таблиця 1'!$I:$I,"Mi-24",'Таблиця 1'!$J:$J,"UAR-80"))</f>
        <v/>
      </c>
      <c r="I469">
        <f>IF($A469="","",SUMIFS('Таблиця 1'!$K:$K,'Таблиця 1'!$B:$B,$A469,'Таблиця 1'!$I:$I,"Mi-8",'Таблиця 1'!$J:$J,"C-13")+SUMIFS('Таблиця 1'!$K:$K,'Таблиця 1'!$B:$B,$A469,'Таблиця 1'!$I:$I,"Mi-24",'Таблиця 1'!$J:$J,"C-13"))</f>
        <v/>
      </c>
      <c r="J469">
        <f>IF($A469="","",SUMIFS('Таблиця 1'!$K:$K,'Таблиця 1'!$B:$B,$A469,'Таблиця 1'!$I:$I,"Mi-8",'Таблиця 1'!$J:$J,"Hydra-70")+SUMIFS('Таблиця 1'!$K:$K,'Таблиця 1'!$B:$B,$A469,'Таблиця 1'!$I:$I,"Mi-24",'Таблиця 1'!$J:$J,"Hydra-70"))</f>
        <v/>
      </c>
      <c r="K469">
        <f>IF($A469="","",SUMIFS('Таблиця 1'!$K:$K,'Таблиця 1'!$B:$B,$A469,'Таблиця 1'!$I:$I,"Mi-8",'Таблиця 1'!$J:$J,"Thales-70")+SUMIFS('Таблиця 1'!$K:$K,'Таблиця 1'!$B:$B,$A469,'Таблиця 1'!$I:$I,"Mi-24",'Таблиця 1'!$J:$J,"Thales-70"))</f>
        <v/>
      </c>
      <c r="L469">
        <f>IF($A469="","",SUMIFS('Таблиця 1'!$K:$K,'Таблиця 1'!$B:$B,$A469,'Таблиця 1'!$I:$I,"Mi-8",'Таблиця 1'!$J:$J,"Thales-FZ")+SUMIFS('Таблиця 1'!$K:$K,'Таблиця 1'!$B:$B,$A469,'Таблиця 1'!$I:$I,"Mi-24",'Таблиця 1'!$J:$J,"Thales-FZ"))</f>
        <v/>
      </c>
      <c r="M469">
        <f>IF($A469="","",SUMIFS('Таблиця 1'!$K:$K,'Таблиця 1'!$B:$B,$A469,'Таблиця 1'!$I:$I,"Mi-8",'Таблиця 1'!$J:$J,"МК-40")+SUMIFS('Таблиця 1'!$K:$K,'Таблиця 1'!$B:$B,$A469,'Таблиця 1'!$I:$I,"Mi-24",'Таблиця 1'!$J:$J,"МК-40"))</f>
        <v/>
      </c>
      <c r="N469">
        <f>IF($A469="","",SUMIFS('Таблиця 1'!$K:$K,'Таблиця 1'!$B:$B,$A469,'Таблиця 1'!$I:$I,"Mi-8",'Таблиця 1'!$J:$J,"Zuni")+SUMIFS('Таблиця 1'!$K:$K,'Таблиця 1'!$B:$B,$A469,'Таблиця 1'!$I:$I,"Mi-24",'Таблиця 1'!$J:$J,"Zuni"))</f>
        <v/>
      </c>
      <c r="O469">
        <f>IF($A469="","",COUNTIFS('Таблиця 1'!$B:$B,$A469,'Таблиця 1'!$I:$I,"Mi-8",'Таблиця 1'!$L:$L,"Уражено")+COUNTIFS('Таблиця 1'!$B:$B,$A469,'Таблиця 1'!$I:$I,"Mi-24",'Таблиця 1'!$L:$L,"Уражено"))</f>
        <v/>
      </c>
      <c r="P469">
        <f>IF($A469="","",COUNTIFS('Таблиця 1'!$B:$B,$A469,'Таблиця 1'!$I:$I,"Mi-8",'Таблиця 1'!$L:$L,"НЕ уражено")+COUNTIFS('Таблиця 1'!$B:$B,$A469,'Таблиця 1'!$I:$I,"Mi-24",'Таблиця 1'!$L:$L,"НЕ уражено"))</f>
        <v/>
      </c>
    </row>
    <row r="470">
      <c r="A470" s="273">
        <f>IF(A469="","",IF(A469+1&gt;MAX('Таблиця 1'!$B:$B),"",A469+1))</f>
        <v/>
      </c>
      <c r="B470">
        <f>IF($A470="","",COUNTIFS('Таблиця 1'!$B:$B,$A470,'Таблиця 1'!$I:$I,"Mi-8")+COUNTIFS('Таблиця 1'!$B:$B,$A470,'Таблиця 1'!$I:$I,"Mi-24"))</f>
        <v/>
      </c>
      <c r="C470">
        <f>IF($A470="","",COUNTIFS('Таблиця 1'!$B:$B,$A470,'Таблиця 1'!$I:$I,"Mi-8"))</f>
        <v/>
      </c>
      <c r="D470">
        <f>IF($A470="","",COUNTIFS('Таблиця 1'!$B:$B,$A470,'Таблиця 1'!$I:$I,"Mi-24"))</f>
        <v/>
      </c>
      <c r="E470">
        <f>IF($A470="","",SUMIFS('Таблиця 1'!$K:$K,'Таблиця 1'!$B:$B,$A470,'Таблиця 1'!$I:$I,"Mi-8",'Таблиця 1'!$J:$J,"ARS-8")+SUMIFS('Таблиця 1'!$K:$K,'Таблиця 1'!$B:$B,$A470,'Таблиця 1'!$I:$I,"Mi-24",'Таблиця 1'!$J:$J,"ARS-8"))</f>
        <v/>
      </c>
      <c r="F470">
        <f>IF($A470="","",SUMIFS('Таблиця 1'!$K:$K,'Таблиця 1'!$B:$B,$A470,'Таблиця 1'!$I:$I,"Mi-8",'Таблиця 1'!$J:$J,"С-8 ком")+SUMIFS('Таблиця 1'!$K:$K,'Таблиця 1'!$B:$B,$A470,'Таблиця 1'!$I:$I,"Mi-24",'Таблиця 1'!$J:$J,"С-8 ком"))</f>
        <v/>
      </c>
      <c r="G470">
        <f>IF($A470="","",SUMIFS('Таблиця 1'!$K:$K,'Таблиця 1'!$B:$B,$A470,'Таблиця 1'!$I:$I,"Mi-8",'Таблиця 1'!$J:$J,"PC-80")+SUMIFS('Таблиця 1'!$K:$K,'Таблиця 1'!$B:$B,$A470,'Таблиця 1'!$I:$I,"Mi-24",'Таблиця 1'!$J:$J,"PC-80"))</f>
        <v/>
      </c>
      <c r="H470">
        <f>IF($A470="","",SUMIFS('Таблиця 1'!$K:$K,'Таблиця 1'!$B:$B,$A470,'Таблиця 1'!$I:$I,"Mi-8",'Таблиця 1'!$J:$J,"UAR-80")+SUMIFS('Таблиця 1'!$K:$K,'Таблиця 1'!$B:$B,$A470,'Таблиця 1'!$I:$I,"Mi-24",'Таблиця 1'!$J:$J,"UAR-80"))</f>
        <v/>
      </c>
      <c r="I470">
        <f>IF($A470="","",SUMIFS('Таблиця 1'!$K:$K,'Таблиця 1'!$B:$B,$A470,'Таблиця 1'!$I:$I,"Mi-8",'Таблиця 1'!$J:$J,"C-13")+SUMIFS('Таблиця 1'!$K:$K,'Таблиця 1'!$B:$B,$A470,'Таблиця 1'!$I:$I,"Mi-24",'Таблиця 1'!$J:$J,"C-13"))</f>
        <v/>
      </c>
      <c r="J470">
        <f>IF($A470="","",SUMIFS('Таблиця 1'!$K:$K,'Таблиця 1'!$B:$B,$A470,'Таблиця 1'!$I:$I,"Mi-8",'Таблиця 1'!$J:$J,"Hydra-70")+SUMIFS('Таблиця 1'!$K:$K,'Таблиця 1'!$B:$B,$A470,'Таблиця 1'!$I:$I,"Mi-24",'Таблиця 1'!$J:$J,"Hydra-70"))</f>
        <v/>
      </c>
      <c r="K470">
        <f>IF($A470="","",SUMIFS('Таблиця 1'!$K:$K,'Таблиця 1'!$B:$B,$A470,'Таблиця 1'!$I:$I,"Mi-8",'Таблиця 1'!$J:$J,"Thales-70")+SUMIFS('Таблиця 1'!$K:$K,'Таблиця 1'!$B:$B,$A470,'Таблиця 1'!$I:$I,"Mi-24",'Таблиця 1'!$J:$J,"Thales-70"))</f>
        <v/>
      </c>
      <c r="L470">
        <f>IF($A470="","",SUMIFS('Таблиця 1'!$K:$K,'Таблиця 1'!$B:$B,$A470,'Таблиця 1'!$I:$I,"Mi-8",'Таблиця 1'!$J:$J,"Thales-FZ")+SUMIFS('Таблиця 1'!$K:$K,'Таблиця 1'!$B:$B,$A470,'Таблиця 1'!$I:$I,"Mi-24",'Таблиця 1'!$J:$J,"Thales-FZ"))</f>
        <v/>
      </c>
      <c r="M470">
        <f>IF($A470="","",SUMIFS('Таблиця 1'!$K:$K,'Таблиця 1'!$B:$B,$A470,'Таблиця 1'!$I:$I,"Mi-8",'Таблиця 1'!$J:$J,"МК-40")+SUMIFS('Таблиця 1'!$K:$K,'Таблиця 1'!$B:$B,$A470,'Таблиця 1'!$I:$I,"Mi-24",'Таблиця 1'!$J:$J,"МК-40"))</f>
        <v/>
      </c>
      <c r="N470">
        <f>IF($A470="","",SUMIFS('Таблиця 1'!$K:$K,'Таблиця 1'!$B:$B,$A470,'Таблиця 1'!$I:$I,"Mi-8",'Таблиця 1'!$J:$J,"Zuni")+SUMIFS('Таблиця 1'!$K:$K,'Таблиця 1'!$B:$B,$A470,'Таблиця 1'!$I:$I,"Mi-24",'Таблиця 1'!$J:$J,"Zuni"))</f>
        <v/>
      </c>
      <c r="O470">
        <f>IF($A470="","",COUNTIFS('Таблиця 1'!$B:$B,$A470,'Таблиця 1'!$I:$I,"Mi-8",'Таблиця 1'!$L:$L,"Уражено")+COUNTIFS('Таблиця 1'!$B:$B,$A470,'Таблиця 1'!$I:$I,"Mi-24",'Таблиця 1'!$L:$L,"Уражено"))</f>
        <v/>
      </c>
      <c r="P470">
        <f>IF($A470="","",COUNTIFS('Таблиця 1'!$B:$B,$A470,'Таблиця 1'!$I:$I,"Mi-8",'Таблиця 1'!$L:$L,"НЕ уражено")+COUNTIFS('Таблиця 1'!$B:$B,$A470,'Таблиця 1'!$I:$I,"Mi-24",'Таблиця 1'!$L:$L,"НЕ уражено"))</f>
        <v/>
      </c>
    </row>
    <row r="471">
      <c r="A471" s="273">
        <f>IF(A470="","",IF(A470+1&gt;MAX('Таблиця 1'!$B:$B),"",A470+1))</f>
        <v/>
      </c>
      <c r="B471">
        <f>IF($A471="","",COUNTIFS('Таблиця 1'!$B:$B,$A471,'Таблиця 1'!$I:$I,"Mi-8")+COUNTIFS('Таблиця 1'!$B:$B,$A471,'Таблиця 1'!$I:$I,"Mi-24"))</f>
        <v/>
      </c>
      <c r="C471">
        <f>IF($A471="","",COUNTIFS('Таблиця 1'!$B:$B,$A471,'Таблиця 1'!$I:$I,"Mi-8"))</f>
        <v/>
      </c>
      <c r="D471">
        <f>IF($A471="","",COUNTIFS('Таблиця 1'!$B:$B,$A471,'Таблиця 1'!$I:$I,"Mi-24"))</f>
        <v/>
      </c>
      <c r="E471">
        <f>IF($A471="","",SUMIFS('Таблиця 1'!$K:$K,'Таблиця 1'!$B:$B,$A471,'Таблиця 1'!$I:$I,"Mi-8",'Таблиця 1'!$J:$J,"ARS-8")+SUMIFS('Таблиця 1'!$K:$K,'Таблиця 1'!$B:$B,$A471,'Таблиця 1'!$I:$I,"Mi-24",'Таблиця 1'!$J:$J,"ARS-8"))</f>
        <v/>
      </c>
      <c r="F471">
        <f>IF($A471="","",SUMIFS('Таблиця 1'!$K:$K,'Таблиця 1'!$B:$B,$A471,'Таблиця 1'!$I:$I,"Mi-8",'Таблиця 1'!$J:$J,"С-8 ком")+SUMIFS('Таблиця 1'!$K:$K,'Таблиця 1'!$B:$B,$A471,'Таблиця 1'!$I:$I,"Mi-24",'Таблиця 1'!$J:$J,"С-8 ком"))</f>
        <v/>
      </c>
      <c r="G471">
        <f>IF($A471="","",SUMIFS('Таблиця 1'!$K:$K,'Таблиця 1'!$B:$B,$A471,'Таблиця 1'!$I:$I,"Mi-8",'Таблиця 1'!$J:$J,"PC-80")+SUMIFS('Таблиця 1'!$K:$K,'Таблиця 1'!$B:$B,$A471,'Таблиця 1'!$I:$I,"Mi-24",'Таблиця 1'!$J:$J,"PC-80"))</f>
        <v/>
      </c>
      <c r="H471">
        <f>IF($A471="","",SUMIFS('Таблиця 1'!$K:$K,'Таблиця 1'!$B:$B,$A471,'Таблиця 1'!$I:$I,"Mi-8",'Таблиця 1'!$J:$J,"UAR-80")+SUMIFS('Таблиця 1'!$K:$K,'Таблиця 1'!$B:$B,$A471,'Таблиця 1'!$I:$I,"Mi-24",'Таблиця 1'!$J:$J,"UAR-80"))</f>
        <v/>
      </c>
      <c r="I471">
        <f>IF($A471="","",SUMIFS('Таблиця 1'!$K:$K,'Таблиця 1'!$B:$B,$A471,'Таблиця 1'!$I:$I,"Mi-8",'Таблиця 1'!$J:$J,"C-13")+SUMIFS('Таблиця 1'!$K:$K,'Таблиця 1'!$B:$B,$A471,'Таблиця 1'!$I:$I,"Mi-24",'Таблиця 1'!$J:$J,"C-13"))</f>
        <v/>
      </c>
      <c r="J471">
        <f>IF($A471="","",SUMIFS('Таблиця 1'!$K:$K,'Таблиця 1'!$B:$B,$A471,'Таблиця 1'!$I:$I,"Mi-8",'Таблиця 1'!$J:$J,"Hydra-70")+SUMIFS('Таблиця 1'!$K:$K,'Таблиця 1'!$B:$B,$A471,'Таблиця 1'!$I:$I,"Mi-24",'Таблиця 1'!$J:$J,"Hydra-70"))</f>
        <v/>
      </c>
      <c r="K471">
        <f>IF($A471="","",SUMIFS('Таблиця 1'!$K:$K,'Таблиця 1'!$B:$B,$A471,'Таблиця 1'!$I:$I,"Mi-8",'Таблиця 1'!$J:$J,"Thales-70")+SUMIFS('Таблиця 1'!$K:$K,'Таблиця 1'!$B:$B,$A471,'Таблиця 1'!$I:$I,"Mi-24",'Таблиця 1'!$J:$J,"Thales-70"))</f>
        <v/>
      </c>
      <c r="L471">
        <f>IF($A471="","",SUMIFS('Таблиця 1'!$K:$K,'Таблиця 1'!$B:$B,$A471,'Таблиця 1'!$I:$I,"Mi-8",'Таблиця 1'!$J:$J,"Thales-FZ")+SUMIFS('Таблиця 1'!$K:$K,'Таблиця 1'!$B:$B,$A471,'Таблиця 1'!$I:$I,"Mi-24",'Таблиця 1'!$J:$J,"Thales-FZ"))</f>
        <v/>
      </c>
      <c r="M471">
        <f>IF($A471="","",SUMIFS('Таблиця 1'!$K:$K,'Таблиця 1'!$B:$B,$A471,'Таблиця 1'!$I:$I,"Mi-8",'Таблиця 1'!$J:$J,"МК-40")+SUMIFS('Таблиця 1'!$K:$K,'Таблиця 1'!$B:$B,$A471,'Таблиця 1'!$I:$I,"Mi-24",'Таблиця 1'!$J:$J,"МК-40"))</f>
        <v/>
      </c>
      <c r="N471">
        <f>IF($A471="","",SUMIFS('Таблиця 1'!$K:$K,'Таблиця 1'!$B:$B,$A471,'Таблиця 1'!$I:$I,"Mi-8",'Таблиця 1'!$J:$J,"Zuni")+SUMIFS('Таблиця 1'!$K:$K,'Таблиця 1'!$B:$B,$A471,'Таблиця 1'!$I:$I,"Mi-24",'Таблиця 1'!$J:$J,"Zuni"))</f>
        <v/>
      </c>
      <c r="O471">
        <f>IF($A471="","",COUNTIFS('Таблиця 1'!$B:$B,$A471,'Таблиця 1'!$I:$I,"Mi-8",'Таблиця 1'!$L:$L,"Уражено")+COUNTIFS('Таблиця 1'!$B:$B,$A471,'Таблиця 1'!$I:$I,"Mi-24",'Таблиця 1'!$L:$L,"Уражено"))</f>
        <v/>
      </c>
      <c r="P471">
        <f>IF($A471="","",COUNTIFS('Таблиця 1'!$B:$B,$A471,'Таблиця 1'!$I:$I,"Mi-8",'Таблиця 1'!$L:$L,"НЕ уражено")+COUNTIFS('Таблиця 1'!$B:$B,$A471,'Таблиця 1'!$I:$I,"Mi-24",'Таблиця 1'!$L:$L,"НЕ уражено"))</f>
        <v/>
      </c>
    </row>
    <row r="472">
      <c r="A472" s="273">
        <f>IF(A471="","",IF(A471+1&gt;MAX('Таблиця 1'!$B:$B),"",A471+1))</f>
        <v/>
      </c>
      <c r="B472">
        <f>IF($A472="","",COUNTIFS('Таблиця 1'!$B:$B,$A472,'Таблиця 1'!$I:$I,"Mi-8")+COUNTIFS('Таблиця 1'!$B:$B,$A472,'Таблиця 1'!$I:$I,"Mi-24"))</f>
        <v/>
      </c>
      <c r="C472">
        <f>IF($A472="","",COUNTIFS('Таблиця 1'!$B:$B,$A472,'Таблиця 1'!$I:$I,"Mi-8"))</f>
        <v/>
      </c>
      <c r="D472">
        <f>IF($A472="","",COUNTIFS('Таблиця 1'!$B:$B,$A472,'Таблиця 1'!$I:$I,"Mi-24"))</f>
        <v/>
      </c>
      <c r="E472">
        <f>IF($A472="","",SUMIFS('Таблиця 1'!$K:$K,'Таблиця 1'!$B:$B,$A472,'Таблиця 1'!$I:$I,"Mi-8",'Таблиця 1'!$J:$J,"ARS-8")+SUMIFS('Таблиця 1'!$K:$K,'Таблиця 1'!$B:$B,$A472,'Таблиця 1'!$I:$I,"Mi-24",'Таблиця 1'!$J:$J,"ARS-8"))</f>
        <v/>
      </c>
      <c r="F472">
        <f>IF($A472="","",SUMIFS('Таблиця 1'!$K:$K,'Таблиця 1'!$B:$B,$A472,'Таблиця 1'!$I:$I,"Mi-8",'Таблиця 1'!$J:$J,"С-8 ком")+SUMIFS('Таблиця 1'!$K:$K,'Таблиця 1'!$B:$B,$A472,'Таблиця 1'!$I:$I,"Mi-24",'Таблиця 1'!$J:$J,"С-8 ком"))</f>
        <v/>
      </c>
      <c r="G472">
        <f>IF($A472="","",SUMIFS('Таблиця 1'!$K:$K,'Таблиця 1'!$B:$B,$A472,'Таблиця 1'!$I:$I,"Mi-8",'Таблиця 1'!$J:$J,"PC-80")+SUMIFS('Таблиця 1'!$K:$K,'Таблиця 1'!$B:$B,$A472,'Таблиця 1'!$I:$I,"Mi-24",'Таблиця 1'!$J:$J,"PC-80"))</f>
        <v/>
      </c>
      <c r="H472">
        <f>IF($A472="","",SUMIFS('Таблиця 1'!$K:$K,'Таблиця 1'!$B:$B,$A472,'Таблиця 1'!$I:$I,"Mi-8",'Таблиця 1'!$J:$J,"UAR-80")+SUMIFS('Таблиця 1'!$K:$K,'Таблиця 1'!$B:$B,$A472,'Таблиця 1'!$I:$I,"Mi-24",'Таблиця 1'!$J:$J,"UAR-80"))</f>
        <v/>
      </c>
      <c r="I472">
        <f>IF($A472="","",SUMIFS('Таблиця 1'!$K:$K,'Таблиця 1'!$B:$B,$A472,'Таблиця 1'!$I:$I,"Mi-8",'Таблиця 1'!$J:$J,"C-13")+SUMIFS('Таблиця 1'!$K:$K,'Таблиця 1'!$B:$B,$A472,'Таблиця 1'!$I:$I,"Mi-24",'Таблиця 1'!$J:$J,"C-13"))</f>
        <v/>
      </c>
      <c r="J472">
        <f>IF($A472="","",SUMIFS('Таблиця 1'!$K:$K,'Таблиця 1'!$B:$B,$A472,'Таблиця 1'!$I:$I,"Mi-8",'Таблиця 1'!$J:$J,"Hydra-70")+SUMIFS('Таблиця 1'!$K:$K,'Таблиця 1'!$B:$B,$A472,'Таблиця 1'!$I:$I,"Mi-24",'Таблиця 1'!$J:$J,"Hydra-70"))</f>
        <v/>
      </c>
      <c r="K472">
        <f>IF($A472="","",SUMIFS('Таблиця 1'!$K:$K,'Таблиця 1'!$B:$B,$A472,'Таблиця 1'!$I:$I,"Mi-8",'Таблиця 1'!$J:$J,"Thales-70")+SUMIFS('Таблиця 1'!$K:$K,'Таблиця 1'!$B:$B,$A472,'Таблиця 1'!$I:$I,"Mi-24",'Таблиця 1'!$J:$J,"Thales-70"))</f>
        <v/>
      </c>
      <c r="L472">
        <f>IF($A472="","",SUMIFS('Таблиця 1'!$K:$K,'Таблиця 1'!$B:$B,$A472,'Таблиця 1'!$I:$I,"Mi-8",'Таблиця 1'!$J:$J,"Thales-FZ")+SUMIFS('Таблиця 1'!$K:$K,'Таблиця 1'!$B:$B,$A472,'Таблиця 1'!$I:$I,"Mi-24",'Таблиця 1'!$J:$J,"Thales-FZ"))</f>
        <v/>
      </c>
      <c r="M472">
        <f>IF($A472="","",SUMIFS('Таблиця 1'!$K:$K,'Таблиця 1'!$B:$B,$A472,'Таблиця 1'!$I:$I,"Mi-8",'Таблиця 1'!$J:$J,"МК-40")+SUMIFS('Таблиця 1'!$K:$K,'Таблиця 1'!$B:$B,$A472,'Таблиця 1'!$I:$I,"Mi-24",'Таблиця 1'!$J:$J,"МК-40"))</f>
        <v/>
      </c>
      <c r="N472">
        <f>IF($A472="","",SUMIFS('Таблиця 1'!$K:$K,'Таблиця 1'!$B:$B,$A472,'Таблиця 1'!$I:$I,"Mi-8",'Таблиця 1'!$J:$J,"Zuni")+SUMIFS('Таблиця 1'!$K:$K,'Таблиця 1'!$B:$B,$A472,'Таблиця 1'!$I:$I,"Mi-24",'Таблиця 1'!$J:$J,"Zuni"))</f>
        <v/>
      </c>
      <c r="O472">
        <f>IF($A472="","",COUNTIFS('Таблиця 1'!$B:$B,$A472,'Таблиця 1'!$I:$I,"Mi-8",'Таблиця 1'!$L:$L,"Уражено")+COUNTIFS('Таблиця 1'!$B:$B,$A472,'Таблиця 1'!$I:$I,"Mi-24",'Таблиця 1'!$L:$L,"Уражено"))</f>
        <v/>
      </c>
      <c r="P472">
        <f>IF($A472="","",COUNTIFS('Таблиця 1'!$B:$B,$A472,'Таблиця 1'!$I:$I,"Mi-8",'Таблиця 1'!$L:$L,"НЕ уражено")+COUNTIFS('Таблиця 1'!$B:$B,$A472,'Таблиця 1'!$I:$I,"Mi-24",'Таблиця 1'!$L:$L,"НЕ уражено"))</f>
        <v/>
      </c>
    </row>
    <row r="473">
      <c r="A473" s="273">
        <f>IF(A472="","",IF(A472+1&gt;MAX('Таблиця 1'!$B:$B),"",A472+1))</f>
        <v/>
      </c>
      <c r="B473">
        <f>IF($A473="","",COUNTIFS('Таблиця 1'!$B:$B,$A473,'Таблиця 1'!$I:$I,"Mi-8")+COUNTIFS('Таблиця 1'!$B:$B,$A473,'Таблиця 1'!$I:$I,"Mi-24"))</f>
        <v/>
      </c>
      <c r="C473">
        <f>IF($A473="","",COUNTIFS('Таблиця 1'!$B:$B,$A473,'Таблиця 1'!$I:$I,"Mi-8"))</f>
        <v/>
      </c>
      <c r="D473">
        <f>IF($A473="","",COUNTIFS('Таблиця 1'!$B:$B,$A473,'Таблиця 1'!$I:$I,"Mi-24"))</f>
        <v/>
      </c>
      <c r="E473">
        <f>IF($A473="","",SUMIFS('Таблиця 1'!$K:$K,'Таблиця 1'!$B:$B,$A473,'Таблиця 1'!$I:$I,"Mi-8",'Таблиця 1'!$J:$J,"ARS-8")+SUMIFS('Таблиця 1'!$K:$K,'Таблиця 1'!$B:$B,$A473,'Таблиця 1'!$I:$I,"Mi-24",'Таблиця 1'!$J:$J,"ARS-8"))</f>
        <v/>
      </c>
      <c r="F473">
        <f>IF($A473="","",SUMIFS('Таблиця 1'!$K:$K,'Таблиця 1'!$B:$B,$A473,'Таблиця 1'!$I:$I,"Mi-8",'Таблиця 1'!$J:$J,"С-8 ком")+SUMIFS('Таблиця 1'!$K:$K,'Таблиця 1'!$B:$B,$A473,'Таблиця 1'!$I:$I,"Mi-24",'Таблиця 1'!$J:$J,"С-8 ком"))</f>
        <v/>
      </c>
      <c r="G473">
        <f>IF($A473="","",SUMIFS('Таблиця 1'!$K:$K,'Таблиця 1'!$B:$B,$A473,'Таблиця 1'!$I:$I,"Mi-8",'Таблиця 1'!$J:$J,"PC-80")+SUMIFS('Таблиця 1'!$K:$K,'Таблиця 1'!$B:$B,$A473,'Таблиця 1'!$I:$I,"Mi-24",'Таблиця 1'!$J:$J,"PC-80"))</f>
        <v/>
      </c>
      <c r="H473">
        <f>IF($A473="","",SUMIFS('Таблиця 1'!$K:$K,'Таблиця 1'!$B:$B,$A473,'Таблиця 1'!$I:$I,"Mi-8",'Таблиця 1'!$J:$J,"UAR-80")+SUMIFS('Таблиця 1'!$K:$K,'Таблиця 1'!$B:$B,$A473,'Таблиця 1'!$I:$I,"Mi-24",'Таблиця 1'!$J:$J,"UAR-80"))</f>
        <v/>
      </c>
      <c r="I473">
        <f>IF($A473="","",SUMIFS('Таблиця 1'!$K:$K,'Таблиця 1'!$B:$B,$A473,'Таблиця 1'!$I:$I,"Mi-8",'Таблиця 1'!$J:$J,"C-13")+SUMIFS('Таблиця 1'!$K:$K,'Таблиця 1'!$B:$B,$A473,'Таблиця 1'!$I:$I,"Mi-24",'Таблиця 1'!$J:$J,"C-13"))</f>
        <v/>
      </c>
      <c r="J473">
        <f>IF($A473="","",SUMIFS('Таблиця 1'!$K:$K,'Таблиця 1'!$B:$B,$A473,'Таблиця 1'!$I:$I,"Mi-8",'Таблиця 1'!$J:$J,"Hydra-70")+SUMIFS('Таблиця 1'!$K:$K,'Таблиця 1'!$B:$B,$A473,'Таблиця 1'!$I:$I,"Mi-24",'Таблиця 1'!$J:$J,"Hydra-70"))</f>
        <v/>
      </c>
      <c r="K473">
        <f>IF($A473="","",SUMIFS('Таблиця 1'!$K:$K,'Таблиця 1'!$B:$B,$A473,'Таблиця 1'!$I:$I,"Mi-8",'Таблиця 1'!$J:$J,"Thales-70")+SUMIFS('Таблиця 1'!$K:$K,'Таблиця 1'!$B:$B,$A473,'Таблиця 1'!$I:$I,"Mi-24",'Таблиця 1'!$J:$J,"Thales-70"))</f>
        <v/>
      </c>
      <c r="L473">
        <f>IF($A473="","",SUMIFS('Таблиця 1'!$K:$K,'Таблиця 1'!$B:$B,$A473,'Таблиця 1'!$I:$I,"Mi-8",'Таблиця 1'!$J:$J,"Thales-FZ")+SUMIFS('Таблиця 1'!$K:$K,'Таблиця 1'!$B:$B,$A473,'Таблиця 1'!$I:$I,"Mi-24",'Таблиця 1'!$J:$J,"Thales-FZ"))</f>
        <v/>
      </c>
      <c r="M473">
        <f>IF($A473="","",SUMIFS('Таблиця 1'!$K:$K,'Таблиця 1'!$B:$B,$A473,'Таблиця 1'!$I:$I,"Mi-8",'Таблиця 1'!$J:$J,"МК-40")+SUMIFS('Таблиця 1'!$K:$K,'Таблиця 1'!$B:$B,$A473,'Таблиця 1'!$I:$I,"Mi-24",'Таблиця 1'!$J:$J,"МК-40"))</f>
        <v/>
      </c>
      <c r="N473">
        <f>IF($A473="","",SUMIFS('Таблиця 1'!$K:$K,'Таблиця 1'!$B:$B,$A473,'Таблиця 1'!$I:$I,"Mi-8",'Таблиця 1'!$J:$J,"Zuni")+SUMIFS('Таблиця 1'!$K:$K,'Таблиця 1'!$B:$B,$A473,'Таблиця 1'!$I:$I,"Mi-24",'Таблиця 1'!$J:$J,"Zuni"))</f>
        <v/>
      </c>
      <c r="O473">
        <f>IF($A473="","",COUNTIFS('Таблиця 1'!$B:$B,$A473,'Таблиця 1'!$I:$I,"Mi-8",'Таблиця 1'!$L:$L,"Уражено")+COUNTIFS('Таблиця 1'!$B:$B,$A473,'Таблиця 1'!$I:$I,"Mi-24",'Таблиця 1'!$L:$L,"Уражено"))</f>
        <v/>
      </c>
      <c r="P473">
        <f>IF($A473="","",COUNTIFS('Таблиця 1'!$B:$B,$A473,'Таблиця 1'!$I:$I,"Mi-8",'Таблиця 1'!$L:$L,"НЕ уражено")+COUNTIFS('Таблиця 1'!$B:$B,$A473,'Таблиця 1'!$I:$I,"Mi-24",'Таблиця 1'!$L:$L,"НЕ уражено"))</f>
        <v/>
      </c>
    </row>
    <row r="474">
      <c r="A474" s="273">
        <f>IF(A473="","",IF(A473+1&gt;MAX('Таблиця 1'!$B:$B),"",A473+1))</f>
        <v/>
      </c>
      <c r="B474">
        <f>IF($A474="","",COUNTIFS('Таблиця 1'!$B:$B,$A474,'Таблиця 1'!$I:$I,"Mi-8")+COUNTIFS('Таблиця 1'!$B:$B,$A474,'Таблиця 1'!$I:$I,"Mi-24"))</f>
        <v/>
      </c>
      <c r="C474">
        <f>IF($A474="","",COUNTIFS('Таблиця 1'!$B:$B,$A474,'Таблиця 1'!$I:$I,"Mi-8"))</f>
        <v/>
      </c>
      <c r="D474">
        <f>IF($A474="","",COUNTIFS('Таблиця 1'!$B:$B,$A474,'Таблиця 1'!$I:$I,"Mi-24"))</f>
        <v/>
      </c>
      <c r="E474">
        <f>IF($A474="","",SUMIFS('Таблиця 1'!$K:$K,'Таблиця 1'!$B:$B,$A474,'Таблиця 1'!$I:$I,"Mi-8",'Таблиця 1'!$J:$J,"ARS-8")+SUMIFS('Таблиця 1'!$K:$K,'Таблиця 1'!$B:$B,$A474,'Таблиця 1'!$I:$I,"Mi-24",'Таблиця 1'!$J:$J,"ARS-8"))</f>
        <v/>
      </c>
      <c r="F474">
        <f>IF($A474="","",SUMIFS('Таблиця 1'!$K:$K,'Таблиця 1'!$B:$B,$A474,'Таблиця 1'!$I:$I,"Mi-8",'Таблиця 1'!$J:$J,"С-8 ком")+SUMIFS('Таблиця 1'!$K:$K,'Таблиця 1'!$B:$B,$A474,'Таблиця 1'!$I:$I,"Mi-24",'Таблиця 1'!$J:$J,"С-8 ком"))</f>
        <v/>
      </c>
      <c r="G474">
        <f>IF($A474="","",SUMIFS('Таблиця 1'!$K:$K,'Таблиця 1'!$B:$B,$A474,'Таблиця 1'!$I:$I,"Mi-8",'Таблиця 1'!$J:$J,"PC-80")+SUMIFS('Таблиця 1'!$K:$K,'Таблиця 1'!$B:$B,$A474,'Таблиця 1'!$I:$I,"Mi-24",'Таблиця 1'!$J:$J,"PC-80"))</f>
        <v/>
      </c>
      <c r="H474">
        <f>IF($A474="","",SUMIFS('Таблиця 1'!$K:$K,'Таблиця 1'!$B:$B,$A474,'Таблиця 1'!$I:$I,"Mi-8",'Таблиця 1'!$J:$J,"UAR-80")+SUMIFS('Таблиця 1'!$K:$K,'Таблиця 1'!$B:$B,$A474,'Таблиця 1'!$I:$I,"Mi-24",'Таблиця 1'!$J:$J,"UAR-80"))</f>
        <v/>
      </c>
      <c r="I474">
        <f>IF($A474="","",SUMIFS('Таблиця 1'!$K:$K,'Таблиця 1'!$B:$B,$A474,'Таблиця 1'!$I:$I,"Mi-8",'Таблиця 1'!$J:$J,"C-13")+SUMIFS('Таблиця 1'!$K:$K,'Таблиця 1'!$B:$B,$A474,'Таблиця 1'!$I:$I,"Mi-24",'Таблиця 1'!$J:$J,"C-13"))</f>
        <v/>
      </c>
      <c r="J474">
        <f>IF($A474="","",SUMIFS('Таблиця 1'!$K:$K,'Таблиця 1'!$B:$B,$A474,'Таблиця 1'!$I:$I,"Mi-8",'Таблиця 1'!$J:$J,"Hydra-70")+SUMIFS('Таблиця 1'!$K:$K,'Таблиця 1'!$B:$B,$A474,'Таблиця 1'!$I:$I,"Mi-24",'Таблиця 1'!$J:$J,"Hydra-70"))</f>
        <v/>
      </c>
      <c r="K474">
        <f>IF($A474="","",SUMIFS('Таблиця 1'!$K:$K,'Таблиця 1'!$B:$B,$A474,'Таблиця 1'!$I:$I,"Mi-8",'Таблиця 1'!$J:$J,"Thales-70")+SUMIFS('Таблиця 1'!$K:$K,'Таблиця 1'!$B:$B,$A474,'Таблиця 1'!$I:$I,"Mi-24",'Таблиця 1'!$J:$J,"Thales-70"))</f>
        <v/>
      </c>
      <c r="L474">
        <f>IF($A474="","",SUMIFS('Таблиця 1'!$K:$K,'Таблиця 1'!$B:$B,$A474,'Таблиця 1'!$I:$I,"Mi-8",'Таблиця 1'!$J:$J,"Thales-FZ")+SUMIFS('Таблиця 1'!$K:$K,'Таблиця 1'!$B:$B,$A474,'Таблиця 1'!$I:$I,"Mi-24",'Таблиця 1'!$J:$J,"Thales-FZ"))</f>
        <v/>
      </c>
      <c r="M474">
        <f>IF($A474="","",SUMIFS('Таблиця 1'!$K:$K,'Таблиця 1'!$B:$B,$A474,'Таблиця 1'!$I:$I,"Mi-8",'Таблиця 1'!$J:$J,"МК-40")+SUMIFS('Таблиця 1'!$K:$K,'Таблиця 1'!$B:$B,$A474,'Таблиця 1'!$I:$I,"Mi-24",'Таблиця 1'!$J:$J,"МК-40"))</f>
        <v/>
      </c>
      <c r="N474">
        <f>IF($A474="","",SUMIFS('Таблиця 1'!$K:$K,'Таблиця 1'!$B:$B,$A474,'Таблиця 1'!$I:$I,"Mi-8",'Таблиця 1'!$J:$J,"Zuni")+SUMIFS('Таблиця 1'!$K:$K,'Таблиця 1'!$B:$B,$A474,'Таблиця 1'!$I:$I,"Mi-24",'Таблиця 1'!$J:$J,"Zuni"))</f>
        <v/>
      </c>
      <c r="O474">
        <f>IF($A474="","",COUNTIFS('Таблиця 1'!$B:$B,$A474,'Таблиця 1'!$I:$I,"Mi-8",'Таблиця 1'!$L:$L,"Уражено")+COUNTIFS('Таблиця 1'!$B:$B,$A474,'Таблиця 1'!$I:$I,"Mi-24",'Таблиця 1'!$L:$L,"Уражено"))</f>
        <v/>
      </c>
      <c r="P474">
        <f>IF($A474="","",COUNTIFS('Таблиця 1'!$B:$B,$A474,'Таблиця 1'!$I:$I,"Mi-8",'Таблиця 1'!$L:$L,"НЕ уражено")+COUNTIFS('Таблиця 1'!$B:$B,$A474,'Таблиця 1'!$I:$I,"Mi-24",'Таблиця 1'!$L:$L,"НЕ уражено"))</f>
        <v/>
      </c>
    </row>
    <row r="475">
      <c r="A475" s="273">
        <f>IF(A474="","",IF(A474+1&gt;MAX('Таблиця 1'!$B:$B),"",A474+1))</f>
        <v/>
      </c>
      <c r="B475">
        <f>IF($A475="","",COUNTIFS('Таблиця 1'!$B:$B,$A475,'Таблиця 1'!$I:$I,"Mi-8")+COUNTIFS('Таблиця 1'!$B:$B,$A475,'Таблиця 1'!$I:$I,"Mi-24"))</f>
        <v/>
      </c>
      <c r="C475">
        <f>IF($A475="","",COUNTIFS('Таблиця 1'!$B:$B,$A475,'Таблиця 1'!$I:$I,"Mi-8"))</f>
        <v/>
      </c>
      <c r="D475">
        <f>IF($A475="","",COUNTIFS('Таблиця 1'!$B:$B,$A475,'Таблиця 1'!$I:$I,"Mi-24"))</f>
        <v/>
      </c>
      <c r="E475">
        <f>IF($A475="","",SUMIFS('Таблиця 1'!$K:$K,'Таблиця 1'!$B:$B,$A475,'Таблиця 1'!$I:$I,"Mi-8",'Таблиця 1'!$J:$J,"ARS-8")+SUMIFS('Таблиця 1'!$K:$K,'Таблиця 1'!$B:$B,$A475,'Таблиця 1'!$I:$I,"Mi-24",'Таблиця 1'!$J:$J,"ARS-8"))</f>
        <v/>
      </c>
      <c r="F475">
        <f>IF($A475="","",SUMIFS('Таблиця 1'!$K:$K,'Таблиця 1'!$B:$B,$A475,'Таблиця 1'!$I:$I,"Mi-8",'Таблиця 1'!$J:$J,"С-8 ком")+SUMIFS('Таблиця 1'!$K:$K,'Таблиця 1'!$B:$B,$A475,'Таблиця 1'!$I:$I,"Mi-24",'Таблиця 1'!$J:$J,"С-8 ком"))</f>
        <v/>
      </c>
      <c r="G475">
        <f>IF($A475="","",SUMIFS('Таблиця 1'!$K:$K,'Таблиця 1'!$B:$B,$A475,'Таблиця 1'!$I:$I,"Mi-8",'Таблиця 1'!$J:$J,"PC-80")+SUMIFS('Таблиця 1'!$K:$K,'Таблиця 1'!$B:$B,$A475,'Таблиця 1'!$I:$I,"Mi-24",'Таблиця 1'!$J:$J,"PC-80"))</f>
        <v/>
      </c>
      <c r="H475">
        <f>IF($A475="","",SUMIFS('Таблиця 1'!$K:$K,'Таблиця 1'!$B:$B,$A475,'Таблиця 1'!$I:$I,"Mi-8",'Таблиця 1'!$J:$J,"UAR-80")+SUMIFS('Таблиця 1'!$K:$K,'Таблиця 1'!$B:$B,$A475,'Таблиця 1'!$I:$I,"Mi-24",'Таблиця 1'!$J:$J,"UAR-80"))</f>
        <v/>
      </c>
      <c r="I475">
        <f>IF($A475="","",SUMIFS('Таблиця 1'!$K:$K,'Таблиця 1'!$B:$B,$A475,'Таблиця 1'!$I:$I,"Mi-8",'Таблиця 1'!$J:$J,"C-13")+SUMIFS('Таблиця 1'!$K:$K,'Таблиця 1'!$B:$B,$A475,'Таблиця 1'!$I:$I,"Mi-24",'Таблиця 1'!$J:$J,"C-13"))</f>
        <v/>
      </c>
      <c r="J475">
        <f>IF($A475="","",SUMIFS('Таблиця 1'!$K:$K,'Таблиця 1'!$B:$B,$A475,'Таблиця 1'!$I:$I,"Mi-8",'Таблиця 1'!$J:$J,"Hydra-70")+SUMIFS('Таблиця 1'!$K:$K,'Таблиця 1'!$B:$B,$A475,'Таблиця 1'!$I:$I,"Mi-24",'Таблиця 1'!$J:$J,"Hydra-70"))</f>
        <v/>
      </c>
      <c r="K475">
        <f>IF($A475="","",SUMIFS('Таблиця 1'!$K:$K,'Таблиця 1'!$B:$B,$A475,'Таблиця 1'!$I:$I,"Mi-8",'Таблиця 1'!$J:$J,"Thales-70")+SUMIFS('Таблиця 1'!$K:$K,'Таблиця 1'!$B:$B,$A475,'Таблиця 1'!$I:$I,"Mi-24",'Таблиця 1'!$J:$J,"Thales-70"))</f>
        <v/>
      </c>
      <c r="L475">
        <f>IF($A475="","",SUMIFS('Таблиця 1'!$K:$K,'Таблиця 1'!$B:$B,$A475,'Таблиця 1'!$I:$I,"Mi-8",'Таблиця 1'!$J:$J,"Thales-FZ")+SUMIFS('Таблиця 1'!$K:$K,'Таблиця 1'!$B:$B,$A475,'Таблиця 1'!$I:$I,"Mi-24",'Таблиця 1'!$J:$J,"Thales-FZ"))</f>
        <v/>
      </c>
      <c r="M475">
        <f>IF($A475="","",SUMIFS('Таблиця 1'!$K:$K,'Таблиця 1'!$B:$B,$A475,'Таблиця 1'!$I:$I,"Mi-8",'Таблиця 1'!$J:$J,"МК-40")+SUMIFS('Таблиця 1'!$K:$K,'Таблиця 1'!$B:$B,$A475,'Таблиця 1'!$I:$I,"Mi-24",'Таблиця 1'!$J:$J,"МК-40"))</f>
        <v/>
      </c>
      <c r="N475">
        <f>IF($A475="","",SUMIFS('Таблиця 1'!$K:$K,'Таблиця 1'!$B:$B,$A475,'Таблиця 1'!$I:$I,"Mi-8",'Таблиця 1'!$J:$J,"Zuni")+SUMIFS('Таблиця 1'!$K:$K,'Таблиця 1'!$B:$B,$A475,'Таблиця 1'!$I:$I,"Mi-24",'Таблиця 1'!$J:$J,"Zuni"))</f>
        <v/>
      </c>
      <c r="O475">
        <f>IF($A475="","",COUNTIFS('Таблиця 1'!$B:$B,$A475,'Таблиця 1'!$I:$I,"Mi-8",'Таблиця 1'!$L:$L,"Уражено")+COUNTIFS('Таблиця 1'!$B:$B,$A475,'Таблиця 1'!$I:$I,"Mi-24",'Таблиця 1'!$L:$L,"Уражено"))</f>
        <v/>
      </c>
      <c r="P475">
        <f>IF($A475="","",COUNTIFS('Таблиця 1'!$B:$B,$A475,'Таблиця 1'!$I:$I,"Mi-8",'Таблиця 1'!$L:$L,"НЕ уражено")+COUNTIFS('Таблиця 1'!$B:$B,$A475,'Таблиця 1'!$I:$I,"Mi-24",'Таблиця 1'!$L:$L,"НЕ уражено"))</f>
        <v/>
      </c>
    </row>
    <row r="476">
      <c r="A476" s="273">
        <f>IF(A475="","",IF(A475+1&gt;MAX('Таблиця 1'!$B:$B),"",A475+1))</f>
        <v/>
      </c>
      <c r="B476">
        <f>IF($A476="","",COUNTIFS('Таблиця 1'!$B:$B,$A476,'Таблиця 1'!$I:$I,"Mi-8")+COUNTIFS('Таблиця 1'!$B:$B,$A476,'Таблиця 1'!$I:$I,"Mi-24"))</f>
        <v/>
      </c>
      <c r="C476">
        <f>IF($A476="","",COUNTIFS('Таблиця 1'!$B:$B,$A476,'Таблиця 1'!$I:$I,"Mi-8"))</f>
        <v/>
      </c>
      <c r="D476">
        <f>IF($A476="","",COUNTIFS('Таблиця 1'!$B:$B,$A476,'Таблиця 1'!$I:$I,"Mi-24"))</f>
        <v/>
      </c>
      <c r="E476">
        <f>IF($A476="","",SUMIFS('Таблиця 1'!$K:$K,'Таблиця 1'!$B:$B,$A476,'Таблиця 1'!$I:$I,"Mi-8",'Таблиця 1'!$J:$J,"ARS-8")+SUMIFS('Таблиця 1'!$K:$K,'Таблиця 1'!$B:$B,$A476,'Таблиця 1'!$I:$I,"Mi-24",'Таблиця 1'!$J:$J,"ARS-8"))</f>
        <v/>
      </c>
      <c r="F476">
        <f>IF($A476="","",SUMIFS('Таблиця 1'!$K:$K,'Таблиця 1'!$B:$B,$A476,'Таблиця 1'!$I:$I,"Mi-8",'Таблиця 1'!$J:$J,"С-8 ком")+SUMIFS('Таблиця 1'!$K:$K,'Таблиця 1'!$B:$B,$A476,'Таблиця 1'!$I:$I,"Mi-24",'Таблиця 1'!$J:$J,"С-8 ком"))</f>
        <v/>
      </c>
      <c r="G476">
        <f>IF($A476="","",SUMIFS('Таблиця 1'!$K:$K,'Таблиця 1'!$B:$B,$A476,'Таблиця 1'!$I:$I,"Mi-8",'Таблиця 1'!$J:$J,"PC-80")+SUMIFS('Таблиця 1'!$K:$K,'Таблиця 1'!$B:$B,$A476,'Таблиця 1'!$I:$I,"Mi-24",'Таблиця 1'!$J:$J,"PC-80"))</f>
        <v/>
      </c>
      <c r="H476">
        <f>IF($A476="","",SUMIFS('Таблиця 1'!$K:$K,'Таблиця 1'!$B:$B,$A476,'Таблиця 1'!$I:$I,"Mi-8",'Таблиця 1'!$J:$J,"UAR-80")+SUMIFS('Таблиця 1'!$K:$K,'Таблиця 1'!$B:$B,$A476,'Таблиця 1'!$I:$I,"Mi-24",'Таблиця 1'!$J:$J,"UAR-80"))</f>
        <v/>
      </c>
      <c r="I476">
        <f>IF($A476="","",SUMIFS('Таблиця 1'!$K:$K,'Таблиця 1'!$B:$B,$A476,'Таблиця 1'!$I:$I,"Mi-8",'Таблиця 1'!$J:$J,"C-13")+SUMIFS('Таблиця 1'!$K:$K,'Таблиця 1'!$B:$B,$A476,'Таблиця 1'!$I:$I,"Mi-24",'Таблиця 1'!$J:$J,"C-13"))</f>
        <v/>
      </c>
      <c r="J476">
        <f>IF($A476="","",SUMIFS('Таблиця 1'!$K:$K,'Таблиця 1'!$B:$B,$A476,'Таблиця 1'!$I:$I,"Mi-8",'Таблиця 1'!$J:$J,"Hydra-70")+SUMIFS('Таблиця 1'!$K:$K,'Таблиця 1'!$B:$B,$A476,'Таблиця 1'!$I:$I,"Mi-24",'Таблиця 1'!$J:$J,"Hydra-70"))</f>
        <v/>
      </c>
      <c r="K476">
        <f>IF($A476="","",SUMIFS('Таблиця 1'!$K:$K,'Таблиця 1'!$B:$B,$A476,'Таблиця 1'!$I:$I,"Mi-8",'Таблиця 1'!$J:$J,"Thales-70")+SUMIFS('Таблиця 1'!$K:$K,'Таблиця 1'!$B:$B,$A476,'Таблиця 1'!$I:$I,"Mi-24",'Таблиця 1'!$J:$J,"Thales-70"))</f>
        <v/>
      </c>
      <c r="L476">
        <f>IF($A476="","",SUMIFS('Таблиця 1'!$K:$K,'Таблиця 1'!$B:$B,$A476,'Таблиця 1'!$I:$I,"Mi-8",'Таблиця 1'!$J:$J,"Thales-FZ")+SUMIFS('Таблиця 1'!$K:$K,'Таблиця 1'!$B:$B,$A476,'Таблиця 1'!$I:$I,"Mi-24",'Таблиця 1'!$J:$J,"Thales-FZ"))</f>
        <v/>
      </c>
      <c r="M476">
        <f>IF($A476="","",SUMIFS('Таблиця 1'!$K:$K,'Таблиця 1'!$B:$B,$A476,'Таблиця 1'!$I:$I,"Mi-8",'Таблиця 1'!$J:$J,"МК-40")+SUMIFS('Таблиця 1'!$K:$K,'Таблиця 1'!$B:$B,$A476,'Таблиця 1'!$I:$I,"Mi-24",'Таблиця 1'!$J:$J,"МК-40"))</f>
        <v/>
      </c>
      <c r="N476">
        <f>IF($A476="","",SUMIFS('Таблиця 1'!$K:$K,'Таблиця 1'!$B:$B,$A476,'Таблиця 1'!$I:$I,"Mi-8",'Таблиця 1'!$J:$J,"Zuni")+SUMIFS('Таблиця 1'!$K:$K,'Таблиця 1'!$B:$B,$A476,'Таблиця 1'!$I:$I,"Mi-24",'Таблиця 1'!$J:$J,"Zuni"))</f>
        <v/>
      </c>
      <c r="O476">
        <f>IF($A476="","",COUNTIFS('Таблиця 1'!$B:$B,$A476,'Таблиця 1'!$I:$I,"Mi-8",'Таблиця 1'!$L:$L,"Уражено")+COUNTIFS('Таблиця 1'!$B:$B,$A476,'Таблиця 1'!$I:$I,"Mi-24",'Таблиця 1'!$L:$L,"Уражено"))</f>
        <v/>
      </c>
      <c r="P476">
        <f>IF($A476="","",COUNTIFS('Таблиця 1'!$B:$B,$A476,'Таблиця 1'!$I:$I,"Mi-8",'Таблиця 1'!$L:$L,"НЕ уражено")+COUNTIFS('Таблиця 1'!$B:$B,$A476,'Таблиця 1'!$I:$I,"Mi-24",'Таблиця 1'!$L:$L,"НЕ уражено"))</f>
        <v/>
      </c>
    </row>
    <row r="477">
      <c r="A477" s="273">
        <f>IF(A476="","",IF(A476+1&gt;MAX('Таблиця 1'!$B:$B),"",A476+1))</f>
        <v/>
      </c>
      <c r="B477">
        <f>IF($A477="","",COUNTIFS('Таблиця 1'!$B:$B,$A477,'Таблиця 1'!$I:$I,"Mi-8")+COUNTIFS('Таблиця 1'!$B:$B,$A477,'Таблиця 1'!$I:$I,"Mi-24"))</f>
        <v/>
      </c>
      <c r="C477">
        <f>IF($A477="","",COUNTIFS('Таблиця 1'!$B:$B,$A477,'Таблиця 1'!$I:$I,"Mi-8"))</f>
        <v/>
      </c>
      <c r="D477">
        <f>IF($A477="","",COUNTIFS('Таблиця 1'!$B:$B,$A477,'Таблиця 1'!$I:$I,"Mi-24"))</f>
        <v/>
      </c>
      <c r="E477">
        <f>IF($A477="","",SUMIFS('Таблиця 1'!$K:$K,'Таблиця 1'!$B:$B,$A477,'Таблиця 1'!$I:$I,"Mi-8",'Таблиця 1'!$J:$J,"ARS-8")+SUMIFS('Таблиця 1'!$K:$K,'Таблиця 1'!$B:$B,$A477,'Таблиця 1'!$I:$I,"Mi-24",'Таблиця 1'!$J:$J,"ARS-8"))</f>
        <v/>
      </c>
      <c r="F477">
        <f>IF($A477="","",SUMIFS('Таблиця 1'!$K:$K,'Таблиця 1'!$B:$B,$A477,'Таблиця 1'!$I:$I,"Mi-8",'Таблиця 1'!$J:$J,"С-8 ком")+SUMIFS('Таблиця 1'!$K:$K,'Таблиця 1'!$B:$B,$A477,'Таблиця 1'!$I:$I,"Mi-24",'Таблиця 1'!$J:$J,"С-8 ком"))</f>
        <v/>
      </c>
      <c r="G477">
        <f>IF($A477="","",SUMIFS('Таблиця 1'!$K:$K,'Таблиця 1'!$B:$B,$A477,'Таблиця 1'!$I:$I,"Mi-8",'Таблиця 1'!$J:$J,"PC-80")+SUMIFS('Таблиця 1'!$K:$K,'Таблиця 1'!$B:$B,$A477,'Таблиця 1'!$I:$I,"Mi-24",'Таблиця 1'!$J:$J,"PC-80"))</f>
        <v/>
      </c>
      <c r="H477">
        <f>IF($A477="","",SUMIFS('Таблиця 1'!$K:$K,'Таблиця 1'!$B:$B,$A477,'Таблиця 1'!$I:$I,"Mi-8",'Таблиця 1'!$J:$J,"UAR-80")+SUMIFS('Таблиця 1'!$K:$K,'Таблиця 1'!$B:$B,$A477,'Таблиця 1'!$I:$I,"Mi-24",'Таблиця 1'!$J:$J,"UAR-80"))</f>
        <v/>
      </c>
      <c r="I477">
        <f>IF($A477="","",SUMIFS('Таблиця 1'!$K:$K,'Таблиця 1'!$B:$B,$A477,'Таблиця 1'!$I:$I,"Mi-8",'Таблиця 1'!$J:$J,"C-13")+SUMIFS('Таблиця 1'!$K:$K,'Таблиця 1'!$B:$B,$A477,'Таблиця 1'!$I:$I,"Mi-24",'Таблиця 1'!$J:$J,"C-13"))</f>
        <v/>
      </c>
      <c r="J477">
        <f>IF($A477="","",SUMIFS('Таблиця 1'!$K:$K,'Таблиця 1'!$B:$B,$A477,'Таблиця 1'!$I:$I,"Mi-8",'Таблиця 1'!$J:$J,"Hydra-70")+SUMIFS('Таблиця 1'!$K:$K,'Таблиця 1'!$B:$B,$A477,'Таблиця 1'!$I:$I,"Mi-24",'Таблиця 1'!$J:$J,"Hydra-70"))</f>
        <v/>
      </c>
      <c r="K477">
        <f>IF($A477="","",SUMIFS('Таблиця 1'!$K:$K,'Таблиця 1'!$B:$B,$A477,'Таблиця 1'!$I:$I,"Mi-8",'Таблиця 1'!$J:$J,"Thales-70")+SUMIFS('Таблиця 1'!$K:$K,'Таблиця 1'!$B:$B,$A477,'Таблиця 1'!$I:$I,"Mi-24",'Таблиця 1'!$J:$J,"Thales-70"))</f>
        <v/>
      </c>
      <c r="L477">
        <f>IF($A477="","",SUMIFS('Таблиця 1'!$K:$K,'Таблиця 1'!$B:$B,$A477,'Таблиця 1'!$I:$I,"Mi-8",'Таблиця 1'!$J:$J,"Thales-FZ")+SUMIFS('Таблиця 1'!$K:$K,'Таблиця 1'!$B:$B,$A477,'Таблиця 1'!$I:$I,"Mi-24",'Таблиця 1'!$J:$J,"Thales-FZ"))</f>
        <v/>
      </c>
      <c r="M477">
        <f>IF($A477="","",SUMIFS('Таблиця 1'!$K:$K,'Таблиця 1'!$B:$B,$A477,'Таблиця 1'!$I:$I,"Mi-8",'Таблиця 1'!$J:$J,"МК-40")+SUMIFS('Таблиця 1'!$K:$K,'Таблиця 1'!$B:$B,$A477,'Таблиця 1'!$I:$I,"Mi-24",'Таблиця 1'!$J:$J,"МК-40"))</f>
        <v/>
      </c>
      <c r="N477">
        <f>IF($A477="","",SUMIFS('Таблиця 1'!$K:$K,'Таблиця 1'!$B:$B,$A477,'Таблиця 1'!$I:$I,"Mi-8",'Таблиця 1'!$J:$J,"Zuni")+SUMIFS('Таблиця 1'!$K:$K,'Таблиця 1'!$B:$B,$A477,'Таблиця 1'!$I:$I,"Mi-24",'Таблиця 1'!$J:$J,"Zuni"))</f>
        <v/>
      </c>
      <c r="O477">
        <f>IF($A477="","",COUNTIFS('Таблиця 1'!$B:$B,$A477,'Таблиця 1'!$I:$I,"Mi-8",'Таблиця 1'!$L:$L,"Уражено")+COUNTIFS('Таблиця 1'!$B:$B,$A477,'Таблиця 1'!$I:$I,"Mi-24",'Таблиця 1'!$L:$L,"Уражено"))</f>
        <v/>
      </c>
      <c r="P477">
        <f>IF($A477="","",COUNTIFS('Таблиця 1'!$B:$B,$A477,'Таблиця 1'!$I:$I,"Mi-8",'Таблиця 1'!$L:$L,"НЕ уражено")+COUNTIFS('Таблиця 1'!$B:$B,$A477,'Таблиця 1'!$I:$I,"Mi-24",'Таблиця 1'!$L:$L,"НЕ уражено"))</f>
        <v/>
      </c>
    </row>
    <row r="478">
      <c r="A478" s="273">
        <f>IF(A477="","",IF(A477+1&gt;MAX('Таблиця 1'!$B:$B),"",A477+1))</f>
        <v/>
      </c>
      <c r="B478">
        <f>IF($A478="","",COUNTIFS('Таблиця 1'!$B:$B,$A478,'Таблиця 1'!$I:$I,"Mi-8")+COUNTIFS('Таблиця 1'!$B:$B,$A478,'Таблиця 1'!$I:$I,"Mi-24"))</f>
        <v/>
      </c>
      <c r="C478">
        <f>IF($A478="","",COUNTIFS('Таблиця 1'!$B:$B,$A478,'Таблиця 1'!$I:$I,"Mi-8"))</f>
        <v/>
      </c>
      <c r="D478">
        <f>IF($A478="","",COUNTIFS('Таблиця 1'!$B:$B,$A478,'Таблиця 1'!$I:$I,"Mi-24"))</f>
        <v/>
      </c>
      <c r="E478">
        <f>IF($A478="","",SUMIFS('Таблиця 1'!$K:$K,'Таблиця 1'!$B:$B,$A478,'Таблиця 1'!$I:$I,"Mi-8",'Таблиця 1'!$J:$J,"ARS-8")+SUMIFS('Таблиця 1'!$K:$K,'Таблиця 1'!$B:$B,$A478,'Таблиця 1'!$I:$I,"Mi-24",'Таблиця 1'!$J:$J,"ARS-8"))</f>
        <v/>
      </c>
      <c r="F478">
        <f>IF($A478="","",SUMIFS('Таблиця 1'!$K:$K,'Таблиця 1'!$B:$B,$A478,'Таблиця 1'!$I:$I,"Mi-8",'Таблиця 1'!$J:$J,"С-8 ком")+SUMIFS('Таблиця 1'!$K:$K,'Таблиця 1'!$B:$B,$A478,'Таблиця 1'!$I:$I,"Mi-24",'Таблиця 1'!$J:$J,"С-8 ком"))</f>
        <v/>
      </c>
      <c r="G478">
        <f>IF($A478="","",SUMIFS('Таблиця 1'!$K:$K,'Таблиця 1'!$B:$B,$A478,'Таблиця 1'!$I:$I,"Mi-8",'Таблиця 1'!$J:$J,"PC-80")+SUMIFS('Таблиця 1'!$K:$K,'Таблиця 1'!$B:$B,$A478,'Таблиця 1'!$I:$I,"Mi-24",'Таблиця 1'!$J:$J,"PC-80"))</f>
        <v/>
      </c>
      <c r="H478">
        <f>IF($A478="","",SUMIFS('Таблиця 1'!$K:$K,'Таблиця 1'!$B:$B,$A478,'Таблиця 1'!$I:$I,"Mi-8",'Таблиця 1'!$J:$J,"UAR-80")+SUMIFS('Таблиця 1'!$K:$K,'Таблиця 1'!$B:$B,$A478,'Таблиця 1'!$I:$I,"Mi-24",'Таблиця 1'!$J:$J,"UAR-80"))</f>
        <v/>
      </c>
      <c r="I478">
        <f>IF($A478="","",SUMIFS('Таблиця 1'!$K:$K,'Таблиця 1'!$B:$B,$A478,'Таблиця 1'!$I:$I,"Mi-8",'Таблиця 1'!$J:$J,"C-13")+SUMIFS('Таблиця 1'!$K:$K,'Таблиця 1'!$B:$B,$A478,'Таблиця 1'!$I:$I,"Mi-24",'Таблиця 1'!$J:$J,"C-13"))</f>
        <v/>
      </c>
      <c r="J478">
        <f>IF($A478="","",SUMIFS('Таблиця 1'!$K:$K,'Таблиця 1'!$B:$B,$A478,'Таблиця 1'!$I:$I,"Mi-8",'Таблиця 1'!$J:$J,"Hydra-70")+SUMIFS('Таблиця 1'!$K:$K,'Таблиця 1'!$B:$B,$A478,'Таблиця 1'!$I:$I,"Mi-24",'Таблиця 1'!$J:$J,"Hydra-70"))</f>
        <v/>
      </c>
      <c r="K478">
        <f>IF($A478="","",SUMIFS('Таблиця 1'!$K:$K,'Таблиця 1'!$B:$B,$A478,'Таблиця 1'!$I:$I,"Mi-8",'Таблиця 1'!$J:$J,"Thales-70")+SUMIFS('Таблиця 1'!$K:$K,'Таблиця 1'!$B:$B,$A478,'Таблиця 1'!$I:$I,"Mi-24",'Таблиця 1'!$J:$J,"Thales-70"))</f>
        <v/>
      </c>
      <c r="L478">
        <f>IF($A478="","",SUMIFS('Таблиця 1'!$K:$K,'Таблиця 1'!$B:$B,$A478,'Таблиця 1'!$I:$I,"Mi-8",'Таблиця 1'!$J:$J,"Thales-FZ")+SUMIFS('Таблиця 1'!$K:$K,'Таблиця 1'!$B:$B,$A478,'Таблиця 1'!$I:$I,"Mi-24",'Таблиця 1'!$J:$J,"Thales-FZ"))</f>
        <v/>
      </c>
      <c r="M478">
        <f>IF($A478="","",SUMIFS('Таблиця 1'!$K:$K,'Таблиця 1'!$B:$B,$A478,'Таблиця 1'!$I:$I,"Mi-8",'Таблиця 1'!$J:$J,"МК-40")+SUMIFS('Таблиця 1'!$K:$K,'Таблиця 1'!$B:$B,$A478,'Таблиця 1'!$I:$I,"Mi-24",'Таблиця 1'!$J:$J,"МК-40"))</f>
        <v/>
      </c>
      <c r="N478">
        <f>IF($A478="","",SUMIFS('Таблиця 1'!$K:$K,'Таблиця 1'!$B:$B,$A478,'Таблиця 1'!$I:$I,"Mi-8",'Таблиця 1'!$J:$J,"Zuni")+SUMIFS('Таблиця 1'!$K:$K,'Таблиця 1'!$B:$B,$A478,'Таблиця 1'!$I:$I,"Mi-24",'Таблиця 1'!$J:$J,"Zuni"))</f>
        <v/>
      </c>
      <c r="O478">
        <f>IF($A478="","",COUNTIFS('Таблиця 1'!$B:$B,$A478,'Таблиця 1'!$I:$I,"Mi-8",'Таблиця 1'!$L:$L,"Уражено")+COUNTIFS('Таблиця 1'!$B:$B,$A478,'Таблиця 1'!$I:$I,"Mi-24",'Таблиця 1'!$L:$L,"Уражено"))</f>
        <v/>
      </c>
      <c r="P478">
        <f>IF($A478="","",COUNTIFS('Таблиця 1'!$B:$B,$A478,'Таблиця 1'!$I:$I,"Mi-8",'Таблиця 1'!$L:$L,"НЕ уражено")+COUNTIFS('Таблиця 1'!$B:$B,$A478,'Таблиця 1'!$I:$I,"Mi-24",'Таблиця 1'!$L:$L,"НЕ уражено"))</f>
        <v/>
      </c>
    </row>
    <row r="479">
      <c r="A479" s="273">
        <f>IF(A478="","",IF(A478+1&gt;MAX('Таблиця 1'!$B:$B),"",A478+1))</f>
        <v/>
      </c>
      <c r="B479">
        <f>IF($A479="","",COUNTIFS('Таблиця 1'!$B:$B,$A479,'Таблиця 1'!$I:$I,"Mi-8")+COUNTIFS('Таблиця 1'!$B:$B,$A479,'Таблиця 1'!$I:$I,"Mi-24"))</f>
        <v/>
      </c>
      <c r="C479">
        <f>IF($A479="","",COUNTIFS('Таблиця 1'!$B:$B,$A479,'Таблиця 1'!$I:$I,"Mi-8"))</f>
        <v/>
      </c>
      <c r="D479">
        <f>IF($A479="","",COUNTIFS('Таблиця 1'!$B:$B,$A479,'Таблиця 1'!$I:$I,"Mi-24"))</f>
        <v/>
      </c>
      <c r="E479">
        <f>IF($A479="","",SUMIFS('Таблиця 1'!$K:$K,'Таблиця 1'!$B:$B,$A479,'Таблиця 1'!$I:$I,"Mi-8",'Таблиця 1'!$J:$J,"ARS-8")+SUMIFS('Таблиця 1'!$K:$K,'Таблиця 1'!$B:$B,$A479,'Таблиця 1'!$I:$I,"Mi-24",'Таблиця 1'!$J:$J,"ARS-8"))</f>
        <v/>
      </c>
      <c r="F479">
        <f>IF($A479="","",SUMIFS('Таблиця 1'!$K:$K,'Таблиця 1'!$B:$B,$A479,'Таблиця 1'!$I:$I,"Mi-8",'Таблиця 1'!$J:$J,"С-8 ком")+SUMIFS('Таблиця 1'!$K:$K,'Таблиця 1'!$B:$B,$A479,'Таблиця 1'!$I:$I,"Mi-24",'Таблиця 1'!$J:$J,"С-8 ком"))</f>
        <v/>
      </c>
      <c r="G479">
        <f>IF($A479="","",SUMIFS('Таблиця 1'!$K:$K,'Таблиця 1'!$B:$B,$A479,'Таблиця 1'!$I:$I,"Mi-8",'Таблиця 1'!$J:$J,"PC-80")+SUMIFS('Таблиця 1'!$K:$K,'Таблиця 1'!$B:$B,$A479,'Таблиця 1'!$I:$I,"Mi-24",'Таблиця 1'!$J:$J,"PC-80"))</f>
        <v/>
      </c>
      <c r="H479">
        <f>IF($A479="","",SUMIFS('Таблиця 1'!$K:$K,'Таблиця 1'!$B:$B,$A479,'Таблиця 1'!$I:$I,"Mi-8",'Таблиця 1'!$J:$J,"UAR-80")+SUMIFS('Таблиця 1'!$K:$K,'Таблиця 1'!$B:$B,$A479,'Таблиця 1'!$I:$I,"Mi-24",'Таблиця 1'!$J:$J,"UAR-80"))</f>
        <v/>
      </c>
      <c r="I479">
        <f>IF($A479="","",SUMIFS('Таблиця 1'!$K:$K,'Таблиця 1'!$B:$B,$A479,'Таблиця 1'!$I:$I,"Mi-8",'Таблиця 1'!$J:$J,"C-13")+SUMIFS('Таблиця 1'!$K:$K,'Таблиця 1'!$B:$B,$A479,'Таблиця 1'!$I:$I,"Mi-24",'Таблиця 1'!$J:$J,"C-13"))</f>
        <v/>
      </c>
      <c r="J479">
        <f>IF($A479="","",SUMIFS('Таблиця 1'!$K:$K,'Таблиця 1'!$B:$B,$A479,'Таблиця 1'!$I:$I,"Mi-8",'Таблиця 1'!$J:$J,"Hydra-70")+SUMIFS('Таблиця 1'!$K:$K,'Таблиця 1'!$B:$B,$A479,'Таблиця 1'!$I:$I,"Mi-24",'Таблиця 1'!$J:$J,"Hydra-70"))</f>
        <v/>
      </c>
      <c r="K479">
        <f>IF($A479="","",SUMIFS('Таблиця 1'!$K:$K,'Таблиця 1'!$B:$B,$A479,'Таблиця 1'!$I:$I,"Mi-8",'Таблиця 1'!$J:$J,"Thales-70")+SUMIFS('Таблиця 1'!$K:$K,'Таблиця 1'!$B:$B,$A479,'Таблиця 1'!$I:$I,"Mi-24",'Таблиця 1'!$J:$J,"Thales-70"))</f>
        <v/>
      </c>
      <c r="L479">
        <f>IF($A479="","",SUMIFS('Таблиця 1'!$K:$K,'Таблиця 1'!$B:$B,$A479,'Таблиця 1'!$I:$I,"Mi-8",'Таблиця 1'!$J:$J,"Thales-FZ")+SUMIFS('Таблиця 1'!$K:$K,'Таблиця 1'!$B:$B,$A479,'Таблиця 1'!$I:$I,"Mi-24",'Таблиця 1'!$J:$J,"Thales-FZ"))</f>
        <v/>
      </c>
      <c r="M479">
        <f>IF($A479="","",SUMIFS('Таблиця 1'!$K:$K,'Таблиця 1'!$B:$B,$A479,'Таблиця 1'!$I:$I,"Mi-8",'Таблиця 1'!$J:$J,"МК-40")+SUMIFS('Таблиця 1'!$K:$K,'Таблиця 1'!$B:$B,$A479,'Таблиця 1'!$I:$I,"Mi-24",'Таблиця 1'!$J:$J,"МК-40"))</f>
        <v/>
      </c>
      <c r="N479">
        <f>IF($A479="","",SUMIFS('Таблиця 1'!$K:$K,'Таблиця 1'!$B:$B,$A479,'Таблиця 1'!$I:$I,"Mi-8",'Таблиця 1'!$J:$J,"Zuni")+SUMIFS('Таблиця 1'!$K:$K,'Таблиця 1'!$B:$B,$A479,'Таблиця 1'!$I:$I,"Mi-24",'Таблиця 1'!$J:$J,"Zuni"))</f>
        <v/>
      </c>
      <c r="O479">
        <f>IF($A479="","",COUNTIFS('Таблиця 1'!$B:$B,$A479,'Таблиця 1'!$I:$I,"Mi-8",'Таблиця 1'!$L:$L,"Уражено")+COUNTIFS('Таблиця 1'!$B:$B,$A479,'Таблиця 1'!$I:$I,"Mi-24",'Таблиця 1'!$L:$L,"Уражено"))</f>
        <v/>
      </c>
      <c r="P479">
        <f>IF($A479="","",COUNTIFS('Таблиця 1'!$B:$B,$A479,'Таблиця 1'!$I:$I,"Mi-8",'Таблиця 1'!$L:$L,"НЕ уражено")+COUNTIFS('Таблиця 1'!$B:$B,$A479,'Таблиця 1'!$I:$I,"Mi-24",'Таблиця 1'!$L:$L,"НЕ уражено"))</f>
        <v/>
      </c>
    </row>
    <row r="480">
      <c r="A480" s="273">
        <f>IF(A479="","",IF(A479+1&gt;MAX('Таблиця 1'!$B:$B),"",A479+1))</f>
        <v/>
      </c>
      <c r="B480">
        <f>IF($A480="","",COUNTIFS('Таблиця 1'!$B:$B,$A480,'Таблиця 1'!$I:$I,"Mi-8")+COUNTIFS('Таблиця 1'!$B:$B,$A480,'Таблиця 1'!$I:$I,"Mi-24"))</f>
        <v/>
      </c>
      <c r="C480">
        <f>IF($A480="","",COUNTIFS('Таблиця 1'!$B:$B,$A480,'Таблиця 1'!$I:$I,"Mi-8"))</f>
        <v/>
      </c>
      <c r="D480">
        <f>IF($A480="","",COUNTIFS('Таблиця 1'!$B:$B,$A480,'Таблиця 1'!$I:$I,"Mi-24"))</f>
        <v/>
      </c>
      <c r="E480">
        <f>IF($A480="","",SUMIFS('Таблиця 1'!$K:$K,'Таблиця 1'!$B:$B,$A480,'Таблиця 1'!$I:$I,"Mi-8",'Таблиця 1'!$J:$J,"ARS-8")+SUMIFS('Таблиця 1'!$K:$K,'Таблиця 1'!$B:$B,$A480,'Таблиця 1'!$I:$I,"Mi-24",'Таблиця 1'!$J:$J,"ARS-8"))</f>
        <v/>
      </c>
      <c r="F480">
        <f>IF($A480="","",SUMIFS('Таблиця 1'!$K:$K,'Таблиця 1'!$B:$B,$A480,'Таблиця 1'!$I:$I,"Mi-8",'Таблиця 1'!$J:$J,"С-8 ком")+SUMIFS('Таблиця 1'!$K:$K,'Таблиця 1'!$B:$B,$A480,'Таблиця 1'!$I:$I,"Mi-24",'Таблиця 1'!$J:$J,"С-8 ком"))</f>
        <v/>
      </c>
      <c r="G480">
        <f>IF($A480="","",SUMIFS('Таблиця 1'!$K:$K,'Таблиця 1'!$B:$B,$A480,'Таблиця 1'!$I:$I,"Mi-8",'Таблиця 1'!$J:$J,"PC-80")+SUMIFS('Таблиця 1'!$K:$K,'Таблиця 1'!$B:$B,$A480,'Таблиця 1'!$I:$I,"Mi-24",'Таблиця 1'!$J:$J,"PC-80"))</f>
        <v/>
      </c>
      <c r="H480">
        <f>IF($A480="","",SUMIFS('Таблиця 1'!$K:$K,'Таблиця 1'!$B:$B,$A480,'Таблиця 1'!$I:$I,"Mi-8",'Таблиця 1'!$J:$J,"UAR-80")+SUMIFS('Таблиця 1'!$K:$K,'Таблиця 1'!$B:$B,$A480,'Таблиця 1'!$I:$I,"Mi-24",'Таблиця 1'!$J:$J,"UAR-80"))</f>
        <v/>
      </c>
      <c r="I480">
        <f>IF($A480="","",SUMIFS('Таблиця 1'!$K:$K,'Таблиця 1'!$B:$B,$A480,'Таблиця 1'!$I:$I,"Mi-8",'Таблиця 1'!$J:$J,"C-13")+SUMIFS('Таблиця 1'!$K:$K,'Таблиця 1'!$B:$B,$A480,'Таблиця 1'!$I:$I,"Mi-24",'Таблиця 1'!$J:$J,"C-13"))</f>
        <v/>
      </c>
      <c r="J480">
        <f>IF($A480="","",SUMIFS('Таблиця 1'!$K:$K,'Таблиця 1'!$B:$B,$A480,'Таблиця 1'!$I:$I,"Mi-8",'Таблиця 1'!$J:$J,"Hydra-70")+SUMIFS('Таблиця 1'!$K:$K,'Таблиця 1'!$B:$B,$A480,'Таблиця 1'!$I:$I,"Mi-24",'Таблиця 1'!$J:$J,"Hydra-70"))</f>
        <v/>
      </c>
      <c r="K480">
        <f>IF($A480="","",SUMIFS('Таблиця 1'!$K:$K,'Таблиця 1'!$B:$B,$A480,'Таблиця 1'!$I:$I,"Mi-8",'Таблиця 1'!$J:$J,"Thales-70")+SUMIFS('Таблиця 1'!$K:$K,'Таблиця 1'!$B:$B,$A480,'Таблиця 1'!$I:$I,"Mi-24",'Таблиця 1'!$J:$J,"Thales-70"))</f>
        <v/>
      </c>
      <c r="L480">
        <f>IF($A480="","",SUMIFS('Таблиця 1'!$K:$K,'Таблиця 1'!$B:$B,$A480,'Таблиця 1'!$I:$I,"Mi-8",'Таблиця 1'!$J:$J,"Thales-FZ")+SUMIFS('Таблиця 1'!$K:$K,'Таблиця 1'!$B:$B,$A480,'Таблиця 1'!$I:$I,"Mi-24",'Таблиця 1'!$J:$J,"Thales-FZ"))</f>
        <v/>
      </c>
      <c r="M480">
        <f>IF($A480="","",SUMIFS('Таблиця 1'!$K:$K,'Таблиця 1'!$B:$B,$A480,'Таблиця 1'!$I:$I,"Mi-8",'Таблиця 1'!$J:$J,"МК-40")+SUMIFS('Таблиця 1'!$K:$K,'Таблиця 1'!$B:$B,$A480,'Таблиця 1'!$I:$I,"Mi-24",'Таблиця 1'!$J:$J,"МК-40"))</f>
        <v/>
      </c>
      <c r="N480">
        <f>IF($A480="","",SUMIFS('Таблиця 1'!$K:$K,'Таблиця 1'!$B:$B,$A480,'Таблиця 1'!$I:$I,"Mi-8",'Таблиця 1'!$J:$J,"Zuni")+SUMIFS('Таблиця 1'!$K:$K,'Таблиця 1'!$B:$B,$A480,'Таблиця 1'!$I:$I,"Mi-24",'Таблиця 1'!$J:$J,"Zuni"))</f>
        <v/>
      </c>
      <c r="O480">
        <f>IF($A480="","",COUNTIFS('Таблиця 1'!$B:$B,$A480,'Таблиця 1'!$I:$I,"Mi-8",'Таблиця 1'!$L:$L,"Уражено")+COUNTIFS('Таблиця 1'!$B:$B,$A480,'Таблиця 1'!$I:$I,"Mi-24",'Таблиця 1'!$L:$L,"Уражено"))</f>
        <v/>
      </c>
      <c r="P480">
        <f>IF($A480="","",COUNTIFS('Таблиця 1'!$B:$B,$A480,'Таблиця 1'!$I:$I,"Mi-8",'Таблиця 1'!$L:$L,"НЕ уражено")+COUNTIFS('Таблиця 1'!$B:$B,$A480,'Таблиця 1'!$I:$I,"Mi-24",'Таблиця 1'!$L:$L,"НЕ уражено"))</f>
        <v/>
      </c>
    </row>
    <row r="481">
      <c r="A481" s="273">
        <f>IF(A480="","",IF(A480+1&gt;MAX('Таблиця 1'!$B:$B),"",A480+1))</f>
        <v/>
      </c>
      <c r="B481">
        <f>IF($A481="","",COUNTIFS('Таблиця 1'!$B:$B,$A481,'Таблиця 1'!$I:$I,"Mi-8")+COUNTIFS('Таблиця 1'!$B:$B,$A481,'Таблиця 1'!$I:$I,"Mi-24"))</f>
        <v/>
      </c>
      <c r="C481">
        <f>IF($A481="","",COUNTIFS('Таблиця 1'!$B:$B,$A481,'Таблиця 1'!$I:$I,"Mi-8"))</f>
        <v/>
      </c>
      <c r="D481">
        <f>IF($A481="","",COUNTIFS('Таблиця 1'!$B:$B,$A481,'Таблиця 1'!$I:$I,"Mi-24"))</f>
        <v/>
      </c>
      <c r="E481">
        <f>IF($A481="","",SUMIFS('Таблиця 1'!$K:$K,'Таблиця 1'!$B:$B,$A481,'Таблиця 1'!$I:$I,"Mi-8",'Таблиця 1'!$J:$J,"ARS-8")+SUMIFS('Таблиця 1'!$K:$K,'Таблиця 1'!$B:$B,$A481,'Таблиця 1'!$I:$I,"Mi-24",'Таблиця 1'!$J:$J,"ARS-8"))</f>
        <v/>
      </c>
      <c r="F481">
        <f>IF($A481="","",SUMIFS('Таблиця 1'!$K:$K,'Таблиця 1'!$B:$B,$A481,'Таблиця 1'!$I:$I,"Mi-8",'Таблиця 1'!$J:$J,"С-8 ком")+SUMIFS('Таблиця 1'!$K:$K,'Таблиця 1'!$B:$B,$A481,'Таблиця 1'!$I:$I,"Mi-24",'Таблиця 1'!$J:$J,"С-8 ком"))</f>
        <v/>
      </c>
      <c r="G481">
        <f>IF($A481="","",SUMIFS('Таблиця 1'!$K:$K,'Таблиця 1'!$B:$B,$A481,'Таблиця 1'!$I:$I,"Mi-8",'Таблиця 1'!$J:$J,"PC-80")+SUMIFS('Таблиця 1'!$K:$K,'Таблиця 1'!$B:$B,$A481,'Таблиця 1'!$I:$I,"Mi-24",'Таблиця 1'!$J:$J,"PC-80"))</f>
        <v/>
      </c>
      <c r="H481">
        <f>IF($A481="","",SUMIFS('Таблиця 1'!$K:$K,'Таблиця 1'!$B:$B,$A481,'Таблиця 1'!$I:$I,"Mi-8",'Таблиця 1'!$J:$J,"UAR-80")+SUMIFS('Таблиця 1'!$K:$K,'Таблиця 1'!$B:$B,$A481,'Таблиця 1'!$I:$I,"Mi-24",'Таблиця 1'!$J:$J,"UAR-80"))</f>
        <v/>
      </c>
      <c r="I481">
        <f>IF($A481="","",SUMIFS('Таблиця 1'!$K:$K,'Таблиця 1'!$B:$B,$A481,'Таблиця 1'!$I:$I,"Mi-8",'Таблиця 1'!$J:$J,"C-13")+SUMIFS('Таблиця 1'!$K:$K,'Таблиця 1'!$B:$B,$A481,'Таблиця 1'!$I:$I,"Mi-24",'Таблиця 1'!$J:$J,"C-13"))</f>
        <v/>
      </c>
      <c r="J481">
        <f>IF($A481="","",SUMIFS('Таблиця 1'!$K:$K,'Таблиця 1'!$B:$B,$A481,'Таблиця 1'!$I:$I,"Mi-8",'Таблиця 1'!$J:$J,"Hydra-70")+SUMIFS('Таблиця 1'!$K:$K,'Таблиця 1'!$B:$B,$A481,'Таблиця 1'!$I:$I,"Mi-24",'Таблиця 1'!$J:$J,"Hydra-70"))</f>
        <v/>
      </c>
      <c r="K481">
        <f>IF($A481="","",SUMIFS('Таблиця 1'!$K:$K,'Таблиця 1'!$B:$B,$A481,'Таблиця 1'!$I:$I,"Mi-8",'Таблиця 1'!$J:$J,"Thales-70")+SUMIFS('Таблиця 1'!$K:$K,'Таблиця 1'!$B:$B,$A481,'Таблиця 1'!$I:$I,"Mi-24",'Таблиця 1'!$J:$J,"Thales-70"))</f>
        <v/>
      </c>
      <c r="L481">
        <f>IF($A481="","",SUMIFS('Таблиця 1'!$K:$K,'Таблиця 1'!$B:$B,$A481,'Таблиця 1'!$I:$I,"Mi-8",'Таблиця 1'!$J:$J,"Thales-FZ")+SUMIFS('Таблиця 1'!$K:$K,'Таблиця 1'!$B:$B,$A481,'Таблиця 1'!$I:$I,"Mi-24",'Таблиця 1'!$J:$J,"Thales-FZ"))</f>
        <v/>
      </c>
      <c r="M481">
        <f>IF($A481="","",SUMIFS('Таблиця 1'!$K:$K,'Таблиця 1'!$B:$B,$A481,'Таблиця 1'!$I:$I,"Mi-8",'Таблиця 1'!$J:$J,"МК-40")+SUMIFS('Таблиця 1'!$K:$K,'Таблиця 1'!$B:$B,$A481,'Таблиця 1'!$I:$I,"Mi-24",'Таблиця 1'!$J:$J,"МК-40"))</f>
        <v/>
      </c>
      <c r="N481">
        <f>IF($A481="","",SUMIFS('Таблиця 1'!$K:$K,'Таблиця 1'!$B:$B,$A481,'Таблиця 1'!$I:$I,"Mi-8",'Таблиця 1'!$J:$J,"Zuni")+SUMIFS('Таблиця 1'!$K:$K,'Таблиця 1'!$B:$B,$A481,'Таблиця 1'!$I:$I,"Mi-24",'Таблиця 1'!$J:$J,"Zuni"))</f>
        <v/>
      </c>
      <c r="O481">
        <f>IF($A481="","",COUNTIFS('Таблиця 1'!$B:$B,$A481,'Таблиця 1'!$I:$I,"Mi-8",'Таблиця 1'!$L:$L,"Уражено")+COUNTIFS('Таблиця 1'!$B:$B,$A481,'Таблиця 1'!$I:$I,"Mi-24",'Таблиця 1'!$L:$L,"Уражено"))</f>
        <v/>
      </c>
      <c r="P481">
        <f>IF($A481="","",COUNTIFS('Таблиця 1'!$B:$B,$A481,'Таблиця 1'!$I:$I,"Mi-8",'Таблиця 1'!$L:$L,"НЕ уражено")+COUNTIFS('Таблиця 1'!$B:$B,$A481,'Таблиця 1'!$I:$I,"Mi-24",'Таблиця 1'!$L:$L,"НЕ уражено"))</f>
        <v/>
      </c>
    </row>
    <row r="482">
      <c r="A482" s="273">
        <f>IF(A481="","",IF(A481+1&gt;MAX('Таблиця 1'!$B:$B),"",A481+1))</f>
        <v/>
      </c>
      <c r="B482">
        <f>IF($A482="","",COUNTIFS('Таблиця 1'!$B:$B,$A482,'Таблиця 1'!$I:$I,"Mi-8")+COUNTIFS('Таблиця 1'!$B:$B,$A482,'Таблиця 1'!$I:$I,"Mi-24"))</f>
        <v/>
      </c>
      <c r="C482">
        <f>IF($A482="","",COUNTIFS('Таблиця 1'!$B:$B,$A482,'Таблиця 1'!$I:$I,"Mi-8"))</f>
        <v/>
      </c>
      <c r="D482">
        <f>IF($A482="","",COUNTIFS('Таблиця 1'!$B:$B,$A482,'Таблиця 1'!$I:$I,"Mi-24"))</f>
        <v/>
      </c>
      <c r="E482">
        <f>IF($A482="","",SUMIFS('Таблиця 1'!$K:$K,'Таблиця 1'!$B:$B,$A482,'Таблиця 1'!$I:$I,"Mi-8",'Таблиця 1'!$J:$J,"ARS-8")+SUMIFS('Таблиця 1'!$K:$K,'Таблиця 1'!$B:$B,$A482,'Таблиця 1'!$I:$I,"Mi-24",'Таблиця 1'!$J:$J,"ARS-8"))</f>
        <v/>
      </c>
      <c r="F482">
        <f>IF($A482="","",SUMIFS('Таблиця 1'!$K:$K,'Таблиця 1'!$B:$B,$A482,'Таблиця 1'!$I:$I,"Mi-8",'Таблиця 1'!$J:$J,"С-8 ком")+SUMIFS('Таблиця 1'!$K:$K,'Таблиця 1'!$B:$B,$A482,'Таблиця 1'!$I:$I,"Mi-24",'Таблиця 1'!$J:$J,"С-8 ком"))</f>
        <v/>
      </c>
      <c r="G482">
        <f>IF($A482="","",SUMIFS('Таблиця 1'!$K:$K,'Таблиця 1'!$B:$B,$A482,'Таблиця 1'!$I:$I,"Mi-8",'Таблиця 1'!$J:$J,"PC-80")+SUMIFS('Таблиця 1'!$K:$K,'Таблиця 1'!$B:$B,$A482,'Таблиця 1'!$I:$I,"Mi-24",'Таблиця 1'!$J:$J,"PC-80"))</f>
        <v/>
      </c>
      <c r="H482">
        <f>IF($A482="","",SUMIFS('Таблиця 1'!$K:$K,'Таблиця 1'!$B:$B,$A482,'Таблиця 1'!$I:$I,"Mi-8",'Таблиця 1'!$J:$J,"UAR-80")+SUMIFS('Таблиця 1'!$K:$K,'Таблиця 1'!$B:$B,$A482,'Таблиця 1'!$I:$I,"Mi-24",'Таблиця 1'!$J:$J,"UAR-80"))</f>
        <v/>
      </c>
      <c r="I482">
        <f>IF($A482="","",SUMIFS('Таблиця 1'!$K:$K,'Таблиця 1'!$B:$B,$A482,'Таблиця 1'!$I:$I,"Mi-8",'Таблиця 1'!$J:$J,"C-13")+SUMIFS('Таблиця 1'!$K:$K,'Таблиця 1'!$B:$B,$A482,'Таблиця 1'!$I:$I,"Mi-24",'Таблиця 1'!$J:$J,"C-13"))</f>
        <v/>
      </c>
      <c r="J482">
        <f>IF($A482="","",SUMIFS('Таблиця 1'!$K:$K,'Таблиця 1'!$B:$B,$A482,'Таблиця 1'!$I:$I,"Mi-8",'Таблиця 1'!$J:$J,"Hydra-70")+SUMIFS('Таблиця 1'!$K:$K,'Таблиця 1'!$B:$B,$A482,'Таблиця 1'!$I:$I,"Mi-24",'Таблиця 1'!$J:$J,"Hydra-70"))</f>
        <v/>
      </c>
      <c r="K482">
        <f>IF($A482="","",SUMIFS('Таблиця 1'!$K:$K,'Таблиця 1'!$B:$B,$A482,'Таблиця 1'!$I:$I,"Mi-8",'Таблиця 1'!$J:$J,"Thales-70")+SUMIFS('Таблиця 1'!$K:$K,'Таблиця 1'!$B:$B,$A482,'Таблиця 1'!$I:$I,"Mi-24",'Таблиця 1'!$J:$J,"Thales-70"))</f>
        <v/>
      </c>
      <c r="L482">
        <f>IF($A482="","",SUMIFS('Таблиця 1'!$K:$K,'Таблиця 1'!$B:$B,$A482,'Таблиця 1'!$I:$I,"Mi-8",'Таблиця 1'!$J:$J,"Thales-FZ")+SUMIFS('Таблиця 1'!$K:$K,'Таблиця 1'!$B:$B,$A482,'Таблиця 1'!$I:$I,"Mi-24",'Таблиця 1'!$J:$J,"Thales-FZ"))</f>
        <v/>
      </c>
      <c r="M482">
        <f>IF($A482="","",SUMIFS('Таблиця 1'!$K:$K,'Таблиця 1'!$B:$B,$A482,'Таблиця 1'!$I:$I,"Mi-8",'Таблиця 1'!$J:$J,"МК-40")+SUMIFS('Таблиця 1'!$K:$K,'Таблиця 1'!$B:$B,$A482,'Таблиця 1'!$I:$I,"Mi-24",'Таблиця 1'!$J:$J,"МК-40"))</f>
        <v/>
      </c>
      <c r="N482">
        <f>IF($A482="","",SUMIFS('Таблиця 1'!$K:$K,'Таблиця 1'!$B:$B,$A482,'Таблиця 1'!$I:$I,"Mi-8",'Таблиця 1'!$J:$J,"Zuni")+SUMIFS('Таблиця 1'!$K:$K,'Таблиця 1'!$B:$B,$A482,'Таблиця 1'!$I:$I,"Mi-24",'Таблиця 1'!$J:$J,"Zuni"))</f>
        <v/>
      </c>
      <c r="O482">
        <f>IF($A482="","",COUNTIFS('Таблиця 1'!$B:$B,$A482,'Таблиця 1'!$I:$I,"Mi-8",'Таблиця 1'!$L:$L,"Уражено")+COUNTIFS('Таблиця 1'!$B:$B,$A482,'Таблиця 1'!$I:$I,"Mi-24",'Таблиця 1'!$L:$L,"Уражено"))</f>
        <v/>
      </c>
      <c r="P482">
        <f>IF($A482="","",COUNTIFS('Таблиця 1'!$B:$B,$A482,'Таблиця 1'!$I:$I,"Mi-8",'Таблиця 1'!$L:$L,"НЕ уражено")+COUNTIFS('Таблиця 1'!$B:$B,$A482,'Таблиця 1'!$I:$I,"Mi-24",'Таблиця 1'!$L:$L,"НЕ уражено"))</f>
        <v/>
      </c>
    </row>
    <row r="483">
      <c r="A483" s="273">
        <f>IF(A482="","",IF(A482+1&gt;MAX('Таблиця 1'!$B:$B),"",A482+1))</f>
        <v/>
      </c>
      <c r="B483">
        <f>IF($A483="","",COUNTIFS('Таблиця 1'!$B:$B,$A483,'Таблиця 1'!$I:$I,"Mi-8")+COUNTIFS('Таблиця 1'!$B:$B,$A483,'Таблиця 1'!$I:$I,"Mi-24"))</f>
        <v/>
      </c>
      <c r="C483">
        <f>IF($A483="","",COUNTIFS('Таблиця 1'!$B:$B,$A483,'Таблиця 1'!$I:$I,"Mi-8"))</f>
        <v/>
      </c>
      <c r="D483">
        <f>IF($A483="","",COUNTIFS('Таблиця 1'!$B:$B,$A483,'Таблиця 1'!$I:$I,"Mi-24"))</f>
        <v/>
      </c>
      <c r="E483">
        <f>IF($A483="","",SUMIFS('Таблиця 1'!$K:$K,'Таблиця 1'!$B:$B,$A483,'Таблиця 1'!$I:$I,"Mi-8",'Таблиця 1'!$J:$J,"ARS-8")+SUMIFS('Таблиця 1'!$K:$K,'Таблиця 1'!$B:$B,$A483,'Таблиця 1'!$I:$I,"Mi-24",'Таблиця 1'!$J:$J,"ARS-8"))</f>
        <v/>
      </c>
      <c r="F483">
        <f>IF($A483="","",SUMIFS('Таблиця 1'!$K:$K,'Таблиця 1'!$B:$B,$A483,'Таблиця 1'!$I:$I,"Mi-8",'Таблиця 1'!$J:$J,"С-8 ком")+SUMIFS('Таблиця 1'!$K:$K,'Таблиця 1'!$B:$B,$A483,'Таблиця 1'!$I:$I,"Mi-24",'Таблиця 1'!$J:$J,"С-8 ком"))</f>
        <v/>
      </c>
      <c r="G483">
        <f>IF($A483="","",SUMIFS('Таблиця 1'!$K:$K,'Таблиця 1'!$B:$B,$A483,'Таблиця 1'!$I:$I,"Mi-8",'Таблиця 1'!$J:$J,"PC-80")+SUMIFS('Таблиця 1'!$K:$K,'Таблиця 1'!$B:$B,$A483,'Таблиця 1'!$I:$I,"Mi-24",'Таблиця 1'!$J:$J,"PC-80"))</f>
        <v/>
      </c>
      <c r="H483">
        <f>IF($A483="","",SUMIFS('Таблиця 1'!$K:$K,'Таблиця 1'!$B:$B,$A483,'Таблиця 1'!$I:$I,"Mi-8",'Таблиця 1'!$J:$J,"UAR-80")+SUMIFS('Таблиця 1'!$K:$K,'Таблиця 1'!$B:$B,$A483,'Таблиця 1'!$I:$I,"Mi-24",'Таблиця 1'!$J:$J,"UAR-80"))</f>
        <v/>
      </c>
      <c r="I483">
        <f>IF($A483="","",SUMIFS('Таблиця 1'!$K:$K,'Таблиця 1'!$B:$B,$A483,'Таблиця 1'!$I:$I,"Mi-8",'Таблиця 1'!$J:$J,"C-13")+SUMIFS('Таблиця 1'!$K:$K,'Таблиця 1'!$B:$B,$A483,'Таблиця 1'!$I:$I,"Mi-24",'Таблиця 1'!$J:$J,"C-13"))</f>
        <v/>
      </c>
      <c r="J483">
        <f>IF($A483="","",SUMIFS('Таблиця 1'!$K:$K,'Таблиця 1'!$B:$B,$A483,'Таблиця 1'!$I:$I,"Mi-8",'Таблиця 1'!$J:$J,"Hydra-70")+SUMIFS('Таблиця 1'!$K:$K,'Таблиця 1'!$B:$B,$A483,'Таблиця 1'!$I:$I,"Mi-24",'Таблиця 1'!$J:$J,"Hydra-70"))</f>
        <v/>
      </c>
      <c r="K483">
        <f>IF($A483="","",SUMIFS('Таблиця 1'!$K:$K,'Таблиця 1'!$B:$B,$A483,'Таблиця 1'!$I:$I,"Mi-8",'Таблиця 1'!$J:$J,"Thales-70")+SUMIFS('Таблиця 1'!$K:$K,'Таблиця 1'!$B:$B,$A483,'Таблиця 1'!$I:$I,"Mi-24",'Таблиця 1'!$J:$J,"Thales-70"))</f>
        <v/>
      </c>
      <c r="L483">
        <f>IF($A483="","",SUMIFS('Таблиця 1'!$K:$K,'Таблиця 1'!$B:$B,$A483,'Таблиця 1'!$I:$I,"Mi-8",'Таблиця 1'!$J:$J,"Thales-FZ")+SUMIFS('Таблиця 1'!$K:$K,'Таблиця 1'!$B:$B,$A483,'Таблиця 1'!$I:$I,"Mi-24",'Таблиця 1'!$J:$J,"Thales-FZ"))</f>
        <v/>
      </c>
      <c r="M483">
        <f>IF($A483="","",SUMIFS('Таблиця 1'!$K:$K,'Таблиця 1'!$B:$B,$A483,'Таблиця 1'!$I:$I,"Mi-8",'Таблиця 1'!$J:$J,"МК-40")+SUMIFS('Таблиця 1'!$K:$K,'Таблиця 1'!$B:$B,$A483,'Таблиця 1'!$I:$I,"Mi-24",'Таблиця 1'!$J:$J,"МК-40"))</f>
        <v/>
      </c>
      <c r="N483">
        <f>IF($A483="","",SUMIFS('Таблиця 1'!$K:$K,'Таблиця 1'!$B:$B,$A483,'Таблиця 1'!$I:$I,"Mi-8",'Таблиця 1'!$J:$J,"Zuni")+SUMIFS('Таблиця 1'!$K:$K,'Таблиця 1'!$B:$B,$A483,'Таблиця 1'!$I:$I,"Mi-24",'Таблиця 1'!$J:$J,"Zuni"))</f>
        <v/>
      </c>
      <c r="O483">
        <f>IF($A483="","",COUNTIFS('Таблиця 1'!$B:$B,$A483,'Таблиця 1'!$I:$I,"Mi-8",'Таблиця 1'!$L:$L,"Уражено")+COUNTIFS('Таблиця 1'!$B:$B,$A483,'Таблиця 1'!$I:$I,"Mi-24",'Таблиця 1'!$L:$L,"Уражено"))</f>
        <v/>
      </c>
      <c r="P483">
        <f>IF($A483="","",COUNTIFS('Таблиця 1'!$B:$B,$A483,'Таблиця 1'!$I:$I,"Mi-8",'Таблиця 1'!$L:$L,"НЕ уражено")+COUNTIFS('Таблиця 1'!$B:$B,$A483,'Таблиця 1'!$I:$I,"Mi-24",'Таблиця 1'!$L:$L,"НЕ уражено"))</f>
        <v/>
      </c>
    </row>
    <row r="484">
      <c r="A484" s="273">
        <f>IF(A483="","",IF(A483+1&gt;MAX('Таблиця 1'!$B:$B),"",A483+1))</f>
        <v/>
      </c>
      <c r="B484">
        <f>IF($A484="","",COUNTIFS('Таблиця 1'!$B:$B,$A484,'Таблиця 1'!$I:$I,"Mi-8")+COUNTIFS('Таблиця 1'!$B:$B,$A484,'Таблиця 1'!$I:$I,"Mi-24"))</f>
        <v/>
      </c>
      <c r="C484">
        <f>IF($A484="","",COUNTIFS('Таблиця 1'!$B:$B,$A484,'Таблиця 1'!$I:$I,"Mi-8"))</f>
        <v/>
      </c>
      <c r="D484">
        <f>IF($A484="","",COUNTIFS('Таблиця 1'!$B:$B,$A484,'Таблиця 1'!$I:$I,"Mi-24"))</f>
        <v/>
      </c>
      <c r="E484">
        <f>IF($A484="","",SUMIFS('Таблиця 1'!$K:$K,'Таблиця 1'!$B:$B,$A484,'Таблиця 1'!$I:$I,"Mi-8",'Таблиця 1'!$J:$J,"ARS-8")+SUMIFS('Таблиця 1'!$K:$K,'Таблиця 1'!$B:$B,$A484,'Таблиця 1'!$I:$I,"Mi-24",'Таблиця 1'!$J:$J,"ARS-8"))</f>
        <v/>
      </c>
      <c r="F484">
        <f>IF($A484="","",SUMIFS('Таблиця 1'!$K:$K,'Таблиця 1'!$B:$B,$A484,'Таблиця 1'!$I:$I,"Mi-8",'Таблиця 1'!$J:$J,"С-8 ком")+SUMIFS('Таблиця 1'!$K:$K,'Таблиця 1'!$B:$B,$A484,'Таблиця 1'!$I:$I,"Mi-24",'Таблиця 1'!$J:$J,"С-8 ком"))</f>
        <v/>
      </c>
      <c r="G484">
        <f>IF($A484="","",SUMIFS('Таблиця 1'!$K:$K,'Таблиця 1'!$B:$B,$A484,'Таблиця 1'!$I:$I,"Mi-8",'Таблиця 1'!$J:$J,"PC-80")+SUMIFS('Таблиця 1'!$K:$K,'Таблиця 1'!$B:$B,$A484,'Таблиця 1'!$I:$I,"Mi-24",'Таблиця 1'!$J:$J,"PC-80"))</f>
        <v/>
      </c>
      <c r="H484">
        <f>IF($A484="","",SUMIFS('Таблиця 1'!$K:$K,'Таблиця 1'!$B:$B,$A484,'Таблиця 1'!$I:$I,"Mi-8",'Таблиця 1'!$J:$J,"UAR-80")+SUMIFS('Таблиця 1'!$K:$K,'Таблиця 1'!$B:$B,$A484,'Таблиця 1'!$I:$I,"Mi-24",'Таблиця 1'!$J:$J,"UAR-80"))</f>
        <v/>
      </c>
      <c r="I484">
        <f>IF($A484="","",SUMIFS('Таблиця 1'!$K:$K,'Таблиця 1'!$B:$B,$A484,'Таблиця 1'!$I:$I,"Mi-8",'Таблиця 1'!$J:$J,"C-13")+SUMIFS('Таблиця 1'!$K:$K,'Таблиця 1'!$B:$B,$A484,'Таблиця 1'!$I:$I,"Mi-24",'Таблиця 1'!$J:$J,"C-13"))</f>
        <v/>
      </c>
      <c r="J484">
        <f>IF($A484="","",SUMIFS('Таблиця 1'!$K:$K,'Таблиця 1'!$B:$B,$A484,'Таблиця 1'!$I:$I,"Mi-8",'Таблиця 1'!$J:$J,"Hydra-70")+SUMIFS('Таблиця 1'!$K:$K,'Таблиця 1'!$B:$B,$A484,'Таблиця 1'!$I:$I,"Mi-24",'Таблиця 1'!$J:$J,"Hydra-70"))</f>
        <v/>
      </c>
      <c r="K484">
        <f>IF($A484="","",SUMIFS('Таблиця 1'!$K:$K,'Таблиця 1'!$B:$B,$A484,'Таблиця 1'!$I:$I,"Mi-8",'Таблиця 1'!$J:$J,"Thales-70")+SUMIFS('Таблиця 1'!$K:$K,'Таблиця 1'!$B:$B,$A484,'Таблиця 1'!$I:$I,"Mi-24",'Таблиця 1'!$J:$J,"Thales-70"))</f>
        <v/>
      </c>
      <c r="L484">
        <f>IF($A484="","",SUMIFS('Таблиця 1'!$K:$K,'Таблиця 1'!$B:$B,$A484,'Таблиця 1'!$I:$I,"Mi-8",'Таблиця 1'!$J:$J,"Thales-FZ")+SUMIFS('Таблиця 1'!$K:$K,'Таблиця 1'!$B:$B,$A484,'Таблиця 1'!$I:$I,"Mi-24",'Таблиця 1'!$J:$J,"Thales-FZ"))</f>
        <v/>
      </c>
      <c r="M484">
        <f>IF($A484="","",SUMIFS('Таблиця 1'!$K:$K,'Таблиця 1'!$B:$B,$A484,'Таблиця 1'!$I:$I,"Mi-8",'Таблиця 1'!$J:$J,"МК-40")+SUMIFS('Таблиця 1'!$K:$K,'Таблиця 1'!$B:$B,$A484,'Таблиця 1'!$I:$I,"Mi-24",'Таблиця 1'!$J:$J,"МК-40"))</f>
        <v/>
      </c>
      <c r="N484">
        <f>IF($A484="","",SUMIFS('Таблиця 1'!$K:$K,'Таблиця 1'!$B:$B,$A484,'Таблиця 1'!$I:$I,"Mi-8",'Таблиця 1'!$J:$J,"Zuni")+SUMIFS('Таблиця 1'!$K:$K,'Таблиця 1'!$B:$B,$A484,'Таблиця 1'!$I:$I,"Mi-24",'Таблиця 1'!$J:$J,"Zuni"))</f>
        <v/>
      </c>
      <c r="O484">
        <f>IF($A484="","",COUNTIFS('Таблиця 1'!$B:$B,$A484,'Таблиця 1'!$I:$I,"Mi-8",'Таблиця 1'!$L:$L,"Уражено")+COUNTIFS('Таблиця 1'!$B:$B,$A484,'Таблиця 1'!$I:$I,"Mi-24",'Таблиця 1'!$L:$L,"Уражено"))</f>
        <v/>
      </c>
      <c r="P484">
        <f>IF($A484="","",COUNTIFS('Таблиця 1'!$B:$B,$A484,'Таблиця 1'!$I:$I,"Mi-8",'Таблиця 1'!$L:$L,"НЕ уражено")+COUNTIFS('Таблиця 1'!$B:$B,$A484,'Таблиця 1'!$I:$I,"Mi-24",'Таблиця 1'!$L:$L,"НЕ уражено"))</f>
        <v/>
      </c>
    </row>
    <row r="485">
      <c r="A485" s="273">
        <f>IF(A484="","",IF(A484+1&gt;MAX('Таблиця 1'!$B:$B),"",A484+1))</f>
        <v/>
      </c>
      <c r="B485">
        <f>IF($A485="","",COUNTIFS('Таблиця 1'!$B:$B,$A485,'Таблиця 1'!$I:$I,"Mi-8")+COUNTIFS('Таблиця 1'!$B:$B,$A485,'Таблиця 1'!$I:$I,"Mi-24"))</f>
        <v/>
      </c>
      <c r="C485">
        <f>IF($A485="","",COUNTIFS('Таблиця 1'!$B:$B,$A485,'Таблиця 1'!$I:$I,"Mi-8"))</f>
        <v/>
      </c>
      <c r="D485">
        <f>IF($A485="","",COUNTIFS('Таблиця 1'!$B:$B,$A485,'Таблиця 1'!$I:$I,"Mi-24"))</f>
        <v/>
      </c>
      <c r="E485">
        <f>IF($A485="","",SUMIFS('Таблиця 1'!$K:$K,'Таблиця 1'!$B:$B,$A485,'Таблиця 1'!$I:$I,"Mi-8",'Таблиця 1'!$J:$J,"ARS-8")+SUMIFS('Таблиця 1'!$K:$K,'Таблиця 1'!$B:$B,$A485,'Таблиця 1'!$I:$I,"Mi-24",'Таблиця 1'!$J:$J,"ARS-8"))</f>
        <v/>
      </c>
      <c r="F485">
        <f>IF($A485="","",SUMIFS('Таблиця 1'!$K:$K,'Таблиця 1'!$B:$B,$A485,'Таблиця 1'!$I:$I,"Mi-8",'Таблиця 1'!$J:$J,"С-8 ком")+SUMIFS('Таблиця 1'!$K:$K,'Таблиця 1'!$B:$B,$A485,'Таблиця 1'!$I:$I,"Mi-24",'Таблиця 1'!$J:$J,"С-8 ком"))</f>
        <v/>
      </c>
      <c r="G485">
        <f>IF($A485="","",SUMIFS('Таблиця 1'!$K:$K,'Таблиця 1'!$B:$B,$A485,'Таблиця 1'!$I:$I,"Mi-8",'Таблиця 1'!$J:$J,"PC-80")+SUMIFS('Таблиця 1'!$K:$K,'Таблиця 1'!$B:$B,$A485,'Таблиця 1'!$I:$I,"Mi-24",'Таблиця 1'!$J:$J,"PC-80"))</f>
        <v/>
      </c>
      <c r="H485">
        <f>IF($A485="","",SUMIFS('Таблиця 1'!$K:$K,'Таблиця 1'!$B:$B,$A485,'Таблиця 1'!$I:$I,"Mi-8",'Таблиця 1'!$J:$J,"UAR-80")+SUMIFS('Таблиця 1'!$K:$K,'Таблиця 1'!$B:$B,$A485,'Таблиця 1'!$I:$I,"Mi-24",'Таблиця 1'!$J:$J,"UAR-80"))</f>
        <v/>
      </c>
      <c r="I485">
        <f>IF($A485="","",SUMIFS('Таблиця 1'!$K:$K,'Таблиця 1'!$B:$B,$A485,'Таблиця 1'!$I:$I,"Mi-8",'Таблиця 1'!$J:$J,"C-13")+SUMIFS('Таблиця 1'!$K:$K,'Таблиця 1'!$B:$B,$A485,'Таблиця 1'!$I:$I,"Mi-24",'Таблиця 1'!$J:$J,"C-13"))</f>
        <v/>
      </c>
      <c r="J485">
        <f>IF($A485="","",SUMIFS('Таблиця 1'!$K:$K,'Таблиця 1'!$B:$B,$A485,'Таблиця 1'!$I:$I,"Mi-8",'Таблиця 1'!$J:$J,"Hydra-70")+SUMIFS('Таблиця 1'!$K:$K,'Таблиця 1'!$B:$B,$A485,'Таблиця 1'!$I:$I,"Mi-24",'Таблиця 1'!$J:$J,"Hydra-70"))</f>
        <v/>
      </c>
      <c r="K485">
        <f>IF($A485="","",SUMIFS('Таблиця 1'!$K:$K,'Таблиця 1'!$B:$B,$A485,'Таблиця 1'!$I:$I,"Mi-8",'Таблиця 1'!$J:$J,"Thales-70")+SUMIFS('Таблиця 1'!$K:$K,'Таблиця 1'!$B:$B,$A485,'Таблиця 1'!$I:$I,"Mi-24",'Таблиця 1'!$J:$J,"Thales-70"))</f>
        <v/>
      </c>
      <c r="L485">
        <f>IF($A485="","",SUMIFS('Таблиця 1'!$K:$K,'Таблиця 1'!$B:$B,$A485,'Таблиця 1'!$I:$I,"Mi-8",'Таблиця 1'!$J:$J,"Thales-FZ")+SUMIFS('Таблиця 1'!$K:$K,'Таблиця 1'!$B:$B,$A485,'Таблиця 1'!$I:$I,"Mi-24",'Таблиця 1'!$J:$J,"Thales-FZ"))</f>
        <v/>
      </c>
      <c r="M485">
        <f>IF($A485="","",SUMIFS('Таблиця 1'!$K:$K,'Таблиця 1'!$B:$B,$A485,'Таблиця 1'!$I:$I,"Mi-8",'Таблиця 1'!$J:$J,"МК-40")+SUMIFS('Таблиця 1'!$K:$K,'Таблиця 1'!$B:$B,$A485,'Таблиця 1'!$I:$I,"Mi-24",'Таблиця 1'!$J:$J,"МК-40"))</f>
        <v/>
      </c>
      <c r="N485">
        <f>IF($A485="","",SUMIFS('Таблиця 1'!$K:$K,'Таблиця 1'!$B:$B,$A485,'Таблиця 1'!$I:$I,"Mi-8",'Таблиця 1'!$J:$J,"Zuni")+SUMIFS('Таблиця 1'!$K:$K,'Таблиця 1'!$B:$B,$A485,'Таблиця 1'!$I:$I,"Mi-24",'Таблиця 1'!$J:$J,"Zuni"))</f>
        <v/>
      </c>
      <c r="O485">
        <f>IF($A485="","",COUNTIFS('Таблиця 1'!$B:$B,$A485,'Таблиця 1'!$I:$I,"Mi-8",'Таблиця 1'!$L:$L,"Уражено")+COUNTIFS('Таблиця 1'!$B:$B,$A485,'Таблиця 1'!$I:$I,"Mi-24",'Таблиця 1'!$L:$L,"Уражено"))</f>
        <v/>
      </c>
      <c r="P485">
        <f>IF($A485="","",COUNTIFS('Таблиця 1'!$B:$B,$A485,'Таблиця 1'!$I:$I,"Mi-8",'Таблиця 1'!$L:$L,"НЕ уражено")+COUNTIFS('Таблиця 1'!$B:$B,$A485,'Таблиця 1'!$I:$I,"Mi-24",'Таблиця 1'!$L:$L,"НЕ уражено"))</f>
        <v/>
      </c>
    </row>
    <row r="486">
      <c r="A486" s="273">
        <f>IF(A485="","",IF(A485+1&gt;MAX('Таблиця 1'!$B:$B),"",A485+1))</f>
        <v/>
      </c>
      <c r="B486">
        <f>IF($A486="","",COUNTIFS('Таблиця 1'!$B:$B,$A486,'Таблиця 1'!$I:$I,"Mi-8")+COUNTIFS('Таблиця 1'!$B:$B,$A486,'Таблиця 1'!$I:$I,"Mi-24"))</f>
        <v/>
      </c>
      <c r="C486">
        <f>IF($A486="","",COUNTIFS('Таблиця 1'!$B:$B,$A486,'Таблиця 1'!$I:$I,"Mi-8"))</f>
        <v/>
      </c>
      <c r="D486">
        <f>IF($A486="","",COUNTIFS('Таблиця 1'!$B:$B,$A486,'Таблиця 1'!$I:$I,"Mi-24"))</f>
        <v/>
      </c>
      <c r="E486">
        <f>IF($A486="","",SUMIFS('Таблиця 1'!$K:$K,'Таблиця 1'!$B:$B,$A486,'Таблиця 1'!$I:$I,"Mi-8",'Таблиця 1'!$J:$J,"ARS-8")+SUMIFS('Таблиця 1'!$K:$K,'Таблиця 1'!$B:$B,$A486,'Таблиця 1'!$I:$I,"Mi-24",'Таблиця 1'!$J:$J,"ARS-8"))</f>
        <v/>
      </c>
      <c r="F486">
        <f>IF($A486="","",SUMIFS('Таблиця 1'!$K:$K,'Таблиця 1'!$B:$B,$A486,'Таблиця 1'!$I:$I,"Mi-8",'Таблиця 1'!$J:$J,"С-8 ком")+SUMIFS('Таблиця 1'!$K:$K,'Таблиця 1'!$B:$B,$A486,'Таблиця 1'!$I:$I,"Mi-24",'Таблиця 1'!$J:$J,"С-8 ком"))</f>
        <v/>
      </c>
      <c r="G486">
        <f>IF($A486="","",SUMIFS('Таблиця 1'!$K:$K,'Таблиця 1'!$B:$B,$A486,'Таблиця 1'!$I:$I,"Mi-8",'Таблиця 1'!$J:$J,"PC-80")+SUMIFS('Таблиця 1'!$K:$K,'Таблиця 1'!$B:$B,$A486,'Таблиця 1'!$I:$I,"Mi-24",'Таблиця 1'!$J:$J,"PC-80"))</f>
        <v/>
      </c>
      <c r="H486">
        <f>IF($A486="","",SUMIFS('Таблиця 1'!$K:$K,'Таблиця 1'!$B:$B,$A486,'Таблиця 1'!$I:$I,"Mi-8",'Таблиця 1'!$J:$J,"UAR-80")+SUMIFS('Таблиця 1'!$K:$K,'Таблиця 1'!$B:$B,$A486,'Таблиця 1'!$I:$I,"Mi-24",'Таблиця 1'!$J:$J,"UAR-80"))</f>
        <v/>
      </c>
      <c r="I486">
        <f>IF($A486="","",SUMIFS('Таблиця 1'!$K:$K,'Таблиця 1'!$B:$B,$A486,'Таблиця 1'!$I:$I,"Mi-8",'Таблиця 1'!$J:$J,"C-13")+SUMIFS('Таблиця 1'!$K:$K,'Таблиця 1'!$B:$B,$A486,'Таблиця 1'!$I:$I,"Mi-24",'Таблиця 1'!$J:$J,"C-13"))</f>
        <v/>
      </c>
      <c r="J486">
        <f>IF($A486="","",SUMIFS('Таблиця 1'!$K:$K,'Таблиця 1'!$B:$B,$A486,'Таблиця 1'!$I:$I,"Mi-8",'Таблиця 1'!$J:$J,"Hydra-70")+SUMIFS('Таблиця 1'!$K:$K,'Таблиця 1'!$B:$B,$A486,'Таблиця 1'!$I:$I,"Mi-24",'Таблиця 1'!$J:$J,"Hydra-70"))</f>
        <v/>
      </c>
      <c r="K486">
        <f>IF($A486="","",SUMIFS('Таблиця 1'!$K:$K,'Таблиця 1'!$B:$B,$A486,'Таблиця 1'!$I:$I,"Mi-8",'Таблиця 1'!$J:$J,"Thales-70")+SUMIFS('Таблиця 1'!$K:$K,'Таблиця 1'!$B:$B,$A486,'Таблиця 1'!$I:$I,"Mi-24",'Таблиця 1'!$J:$J,"Thales-70"))</f>
        <v/>
      </c>
      <c r="L486">
        <f>IF($A486="","",SUMIFS('Таблиця 1'!$K:$K,'Таблиця 1'!$B:$B,$A486,'Таблиця 1'!$I:$I,"Mi-8",'Таблиця 1'!$J:$J,"Thales-FZ")+SUMIFS('Таблиця 1'!$K:$K,'Таблиця 1'!$B:$B,$A486,'Таблиця 1'!$I:$I,"Mi-24",'Таблиця 1'!$J:$J,"Thales-FZ"))</f>
        <v/>
      </c>
      <c r="M486">
        <f>IF($A486="","",SUMIFS('Таблиця 1'!$K:$K,'Таблиця 1'!$B:$B,$A486,'Таблиця 1'!$I:$I,"Mi-8",'Таблиця 1'!$J:$J,"МК-40")+SUMIFS('Таблиця 1'!$K:$K,'Таблиця 1'!$B:$B,$A486,'Таблиця 1'!$I:$I,"Mi-24",'Таблиця 1'!$J:$J,"МК-40"))</f>
        <v/>
      </c>
      <c r="N486">
        <f>IF($A486="","",SUMIFS('Таблиця 1'!$K:$K,'Таблиця 1'!$B:$B,$A486,'Таблиця 1'!$I:$I,"Mi-8",'Таблиця 1'!$J:$J,"Zuni")+SUMIFS('Таблиця 1'!$K:$K,'Таблиця 1'!$B:$B,$A486,'Таблиця 1'!$I:$I,"Mi-24",'Таблиця 1'!$J:$J,"Zuni"))</f>
        <v/>
      </c>
      <c r="O486">
        <f>IF($A486="","",COUNTIFS('Таблиця 1'!$B:$B,$A486,'Таблиця 1'!$I:$I,"Mi-8",'Таблиця 1'!$L:$L,"Уражено")+COUNTIFS('Таблиця 1'!$B:$B,$A486,'Таблиця 1'!$I:$I,"Mi-24",'Таблиця 1'!$L:$L,"Уражено"))</f>
        <v/>
      </c>
      <c r="P486">
        <f>IF($A486="","",COUNTIFS('Таблиця 1'!$B:$B,$A486,'Таблиця 1'!$I:$I,"Mi-8",'Таблиця 1'!$L:$L,"НЕ уражено")+COUNTIFS('Таблиця 1'!$B:$B,$A486,'Таблиця 1'!$I:$I,"Mi-24",'Таблиця 1'!$L:$L,"НЕ уражено"))</f>
        <v/>
      </c>
    </row>
    <row r="487">
      <c r="A487" s="273">
        <f>IF(A486="","",IF(A486+1&gt;MAX('Таблиця 1'!$B:$B),"",A486+1))</f>
        <v/>
      </c>
      <c r="B487">
        <f>IF($A487="","",COUNTIFS('Таблиця 1'!$B:$B,$A487,'Таблиця 1'!$I:$I,"Mi-8")+COUNTIFS('Таблиця 1'!$B:$B,$A487,'Таблиця 1'!$I:$I,"Mi-24"))</f>
        <v/>
      </c>
      <c r="C487">
        <f>IF($A487="","",COUNTIFS('Таблиця 1'!$B:$B,$A487,'Таблиця 1'!$I:$I,"Mi-8"))</f>
        <v/>
      </c>
      <c r="D487">
        <f>IF($A487="","",COUNTIFS('Таблиця 1'!$B:$B,$A487,'Таблиця 1'!$I:$I,"Mi-24"))</f>
        <v/>
      </c>
      <c r="E487">
        <f>IF($A487="","",SUMIFS('Таблиця 1'!$K:$K,'Таблиця 1'!$B:$B,$A487,'Таблиця 1'!$I:$I,"Mi-8",'Таблиця 1'!$J:$J,"ARS-8")+SUMIFS('Таблиця 1'!$K:$K,'Таблиця 1'!$B:$B,$A487,'Таблиця 1'!$I:$I,"Mi-24",'Таблиця 1'!$J:$J,"ARS-8"))</f>
        <v/>
      </c>
      <c r="F487">
        <f>IF($A487="","",SUMIFS('Таблиця 1'!$K:$K,'Таблиця 1'!$B:$B,$A487,'Таблиця 1'!$I:$I,"Mi-8",'Таблиця 1'!$J:$J,"С-8 ком")+SUMIFS('Таблиця 1'!$K:$K,'Таблиця 1'!$B:$B,$A487,'Таблиця 1'!$I:$I,"Mi-24",'Таблиця 1'!$J:$J,"С-8 ком"))</f>
        <v/>
      </c>
      <c r="G487">
        <f>IF($A487="","",SUMIFS('Таблиця 1'!$K:$K,'Таблиця 1'!$B:$B,$A487,'Таблиця 1'!$I:$I,"Mi-8",'Таблиця 1'!$J:$J,"PC-80")+SUMIFS('Таблиця 1'!$K:$K,'Таблиця 1'!$B:$B,$A487,'Таблиця 1'!$I:$I,"Mi-24",'Таблиця 1'!$J:$J,"PC-80"))</f>
        <v/>
      </c>
      <c r="H487">
        <f>IF($A487="","",SUMIFS('Таблиця 1'!$K:$K,'Таблиця 1'!$B:$B,$A487,'Таблиця 1'!$I:$I,"Mi-8",'Таблиця 1'!$J:$J,"UAR-80")+SUMIFS('Таблиця 1'!$K:$K,'Таблиця 1'!$B:$B,$A487,'Таблиця 1'!$I:$I,"Mi-24",'Таблиця 1'!$J:$J,"UAR-80"))</f>
        <v/>
      </c>
      <c r="I487">
        <f>IF($A487="","",SUMIFS('Таблиця 1'!$K:$K,'Таблиця 1'!$B:$B,$A487,'Таблиця 1'!$I:$I,"Mi-8",'Таблиця 1'!$J:$J,"C-13")+SUMIFS('Таблиця 1'!$K:$K,'Таблиця 1'!$B:$B,$A487,'Таблиця 1'!$I:$I,"Mi-24",'Таблиця 1'!$J:$J,"C-13"))</f>
        <v/>
      </c>
      <c r="J487">
        <f>IF($A487="","",SUMIFS('Таблиця 1'!$K:$K,'Таблиця 1'!$B:$B,$A487,'Таблиця 1'!$I:$I,"Mi-8",'Таблиця 1'!$J:$J,"Hydra-70")+SUMIFS('Таблиця 1'!$K:$K,'Таблиця 1'!$B:$B,$A487,'Таблиця 1'!$I:$I,"Mi-24",'Таблиця 1'!$J:$J,"Hydra-70"))</f>
        <v/>
      </c>
      <c r="K487">
        <f>IF($A487="","",SUMIFS('Таблиця 1'!$K:$K,'Таблиця 1'!$B:$B,$A487,'Таблиця 1'!$I:$I,"Mi-8",'Таблиця 1'!$J:$J,"Thales-70")+SUMIFS('Таблиця 1'!$K:$K,'Таблиця 1'!$B:$B,$A487,'Таблиця 1'!$I:$I,"Mi-24",'Таблиця 1'!$J:$J,"Thales-70"))</f>
        <v/>
      </c>
      <c r="L487">
        <f>IF($A487="","",SUMIFS('Таблиця 1'!$K:$K,'Таблиця 1'!$B:$B,$A487,'Таблиця 1'!$I:$I,"Mi-8",'Таблиця 1'!$J:$J,"Thales-FZ")+SUMIFS('Таблиця 1'!$K:$K,'Таблиця 1'!$B:$B,$A487,'Таблиця 1'!$I:$I,"Mi-24",'Таблиця 1'!$J:$J,"Thales-FZ"))</f>
        <v/>
      </c>
      <c r="M487">
        <f>IF($A487="","",SUMIFS('Таблиця 1'!$K:$K,'Таблиця 1'!$B:$B,$A487,'Таблиця 1'!$I:$I,"Mi-8",'Таблиця 1'!$J:$J,"МК-40")+SUMIFS('Таблиця 1'!$K:$K,'Таблиця 1'!$B:$B,$A487,'Таблиця 1'!$I:$I,"Mi-24",'Таблиця 1'!$J:$J,"МК-40"))</f>
        <v/>
      </c>
      <c r="N487">
        <f>IF($A487="","",SUMIFS('Таблиця 1'!$K:$K,'Таблиця 1'!$B:$B,$A487,'Таблиця 1'!$I:$I,"Mi-8",'Таблиця 1'!$J:$J,"Zuni")+SUMIFS('Таблиця 1'!$K:$K,'Таблиця 1'!$B:$B,$A487,'Таблиця 1'!$I:$I,"Mi-24",'Таблиця 1'!$J:$J,"Zuni"))</f>
        <v/>
      </c>
      <c r="O487">
        <f>IF($A487="","",COUNTIFS('Таблиця 1'!$B:$B,$A487,'Таблиця 1'!$I:$I,"Mi-8",'Таблиця 1'!$L:$L,"Уражено")+COUNTIFS('Таблиця 1'!$B:$B,$A487,'Таблиця 1'!$I:$I,"Mi-24",'Таблиця 1'!$L:$L,"Уражено"))</f>
        <v/>
      </c>
      <c r="P487">
        <f>IF($A487="","",COUNTIFS('Таблиця 1'!$B:$B,$A487,'Таблиця 1'!$I:$I,"Mi-8",'Таблиця 1'!$L:$L,"НЕ уражено")+COUNTIFS('Таблиця 1'!$B:$B,$A487,'Таблиця 1'!$I:$I,"Mi-24",'Таблиця 1'!$L:$L,"НЕ уражено"))</f>
        <v/>
      </c>
    </row>
    <row r="488">
      <c r="A488" s="273">
        <f>IF(A487="","",IF(A487+1&gt;MAX('Таблиця 1'!$B:$B),"",A487+1))</f>
        <v/>
      </c>
      <c r="B488">
        <f>IF($A488="","",COUNTIFS('Таблиця 1'!$B:$B,$A488,'Таблиця 1'!$I:$I,"Mi-8")+COUNTIFS('Таблиця 1'!$B:$B,$A488,'Таблиця 1'!$I:$I,"Mi-24"))</f>
        <v/>
      </c>
      <c r="C488">
        <f>IF($A488="","",COUNTIFS('Таблиця 1'!$B:$B,$A488,'Таблиця 1'!$I:$I,"Mi-8"))</f>
        <v/>
      </c>
      <c r="D488">
        <f>IF($A488="","",COUNTIFS('Таблиця 1'!$B:$B,$A488,'Таблиця 1'!$I:$I,"Mi-24"))</f>
        <v/>
      </c>
      <c r="E488">
        <f>IF($A488="","",SUMIFS('Таблиця 1'!$K:$K,'Таблиця 1'!$B:$B,$A488,'Таблиця 1'!$I:$I,"Mi-8",'Таблиця 1'!$J:$J,"ARS-8")+SUMIFS('Таблиця 1'!$K:$K,'Таблиця 1'!$B:$B,$A488,'Таблиця 1'!$I:$I,"Mi-24",'Таблиця 1'!$J:$J,"ARS-8"))</f>
        <v/>
      </c>
      <c r="F488">
        <f>IF($A488="","",SUMIFS('Таблиця 1'!$K:$K,'Таблиця 1'!$B:$B,$A488,'Таблиця 1'!$I:$I,"Mi-8",'Таблиця 1'!$J:$J,"С-8 ком")+SUMIFS('Таблиця 1'!$K:$K,'Таблиця 1'!$B:$B,$A488,'Таблиця 1'!$I:$I,"Mi-24",'Таблиця 1'!$J:$J,"С-8 ком"))</f>
        <v/>
      </c>
      <c r="G488">
        <f>IF($A488="","",SUMIFS('Таблиця 1'!$K:$K,'Таблиця 1'!$B:$B,$A488,'Таблиця 1'!$I:$I,"Mi-8",'Таблиця 1'!$J:$J,"PC-80")+SUMIFS('Таблиця 1'!$K:$K,'Таблиця 1'!$B:$B,$A488,'Таблиця 1'!$I:$I,"Mi-24",'Таблиця 1'!$J:$J,"PC-80"))</f>
        <v/>
      </c>
      <c r="H488">
        <f>IF($A488="","",SUMIFS('Таблиця 1'!$K:$K,'Таблиця 1'!$B:$B,$A488,'Таблиця 1'!$I:$I,"Mi-8",'Таблиця 1'!$J:$J,"UAR-80")+SUMIFS('Таблиця 1'!$K:$K,'Таблиця 1'!$B:$B,$A488,'Таблиця 1'!$I:$I,"Mi-24",'Таблиця 1'!$J:$J,"UAR-80"))</f>
        <v/>
      </c>
      <c r="I488">
        <f>IF($A488="","",SUMIFS('Таблиця 1'!$K:$K,'Таблиця 1'!$B:$B,$A488,'Таблиця 1'!$I:$I,"Mi-8",'Таблиця 1'!$J:$J,"C-13")+SUMIFS('Таблиця 1'!$K:$K,'Таблиця 1'!$B:$B,$A488,'Таблиця 1'!$I:$I,"Mi-24",'Таблиця 1'!$J:$J,"C-13"))</f>
        <v/>
      </c>
      <c r="J488">
        <f>IF($A488="","",SUMIFS('Таблиця 1'!$K:$K,'Таблиця 1'!$B:$B,$A488,'Таблиця 1'!$I:$I,"Mi-8",'Таблиця 1'!$J:$J,"Hydra-70")+SUMIFS('Таблиця 1'!$K:$K,'Таблиця 1'!$B:$B,$A488,'Таблиця 1'!$I:$I,"Mi-24",'Таблиця 1'!$J:$J,"Hydra-70"))</f>
        <v/>
      </c>
      <c r="K488">
        <f>IF($A488="","",SUMIFS('Таблиця 1'!$K:$K,'Таблиця 1'!$B:$B,$A488,'Таблиця 1'!$I:$I,"Mi-8",'Таблиця 1'!$J:$J,"Thales-70")+SUMIFS('Таблиця 1'!$K:$K,'Таблиця 1'!$B:$B,$A488,'Таблиця 1'!$I:$I,"Mi-24",'Таблиця 1'!$J:$J,"Thales-70"))</f>
        <v/>
      </c>
      <c r="L488">
        <f>IF($A488="","",SUMIFS('Таблиця 1'!$K:$K,'Таблиця 1'!$B:$B,$A488,'Таблиця 1'!$I:$I,"Mi-8",'Таблиця 1'!$J:$J,"Thales-FZ")+SUMIFS('Таблиця 1'!$K:$K,'Таблиця 1'!$B:$B,$A488,'Таблиця 1'!$I:$I,"Mi-24",'Таблиця 1'!$J:$J,"Thales-FZ"))</f>
        <v/>
      </c>
      <c r="M488">
        <f>IF($A488="","",SUMIFS('Таблиця 1'!$K:$K,'Таблиця 1'!$B:$B,$A488,'Таблиця 1'!$I:$I,"Mi-8",'Таблиця 1'!$J:$J,"МК-40")+SUMIFS('Таблиця 1'!$K:$K,'Таблиця 1'!$B:$B,$A488,'Таблиця 1'!$I:$I,"Mi-24",'Таблиця 1'!$J:$J,"МК-40"))</f>
        <v/>
      </c>
      <c r="N488">
        <f>IF($A488="","",SUMIFS('Таблиця 1'!$K:$K,'Таблиця 1'!$B:$B,$A488,'Таблиця 1'!$I:$I,"Mi-8",'Таблиця 1'!$J:$J,"Zuni")+SUMIFS('Таблиця 1'!$K:$K,'Таблиця 1'!$B:$B,$A488,'Таблиця 1'!$I:$I,"Mi-24",'Таблиця 1'!$J:$J,"Zuni"))</f>
        <v/>
      </c>
      <c r="O488">
        <f>IF($A488="","",COUNTIFS('Таблиця 1'!$B:$B,$A488,'Таблиця 1'!$I:$I,"Mi-8",'Таблиця 1'!$L:$L,"Уражено")+COUNTIFS('Таблиця 1'!$B:$B,$A488,'Таблиця 1'!$I:$I,"Mi-24",'Таблиця 1'!$L:$L,"Уражено"))</f>
        <v/>
      </c>
      <c r="P488">
        <f>IF($A488="","",COUNTIFS('Таблиця 1'!$B:$B,$A488,'Таблиця 1'!$I:$I,"Mi-8",'Таблиця 1'!$L:$L,"НЕ уражено")+COUNTIFS('Таблиця 1'!$B:$B,$A488,'Таблиця 1'!$I:$I,"Mi-24",'Таблиця 1'!$L:$L,"НЕ уражено"))</f>
        <v/>
      </c>
    </row>
    <row r="489">
      <c r="A489" s="273">
        <f>IF(A488="","",IF(A488+1&gt;MAX('Таблиця 1'!$B:$B),"",A488+1))</f>
        <v/>
      </c>
      <c r="B489">
        <f>IF($A489="","",COUNTIFS('Таблиця 1'!$B:$B,$A489,'Таблиця 1'!$I:$I,"Mi-8")+COUNTIFS('Таблиця 1'!$B:$B,$A489,'Таблиця 1'!$I:$I,"Mi-24"))</f>
        <v/>
      </c>
      <c r="C489">
        <f>IF($A489="","",COUNTIFS('Таблиця 1'!$B:$B,$A489,'Таблиця 1'!$I:$I,"Mi-8"))</f>
        <v/>
      </c>
      <c r="D489">
        <f>IF($A489="","",COUNTIFS('Таблиця 1'!$B:$B,$A489,'Таблиця 1'!$I:$I,"Mi-24"))</f>
        <v/>
      </c>
      <c r="E489">
        <f>IF($A489="","",SUMIFS('Таблиця 1'!$K:$K,'Таблиця 1'!$B:$B,$A489,'Таблиця 1'!$I:$I,"Mi-8",'Таблиця 1'!$J:$J,"ARS-8")+SUMIFS('Таблиця 1'!$K:$K,'Таблиця 1'!$B:$B,$A489,'Таблиця 1'!$I:$I,"Mi-24",'Таблиця 1'!$J:$J,"ARS-8"))</f>
        <v/>
      </c>
      <c r="F489">
        <f>IF($A489="","",SUMIFS('Таблиця 1'!$K:$K,'Таблиця 1'!$B:$B,$A489,'Таблиця 1'!$I:$I,"Mi-8",'Таблиця 1'!$J:$J,"С-8 ком")+SUMIFS('Таблиця 1'!$K:$K,'Таблиця 1'!$B:$B,$A489,'Таблиця 1'!$I:$I,"Mi-24",'Таблиця 1'!$J:$J,"С-8 ком"))</f>
        <v/>
      </c>
      <c r="G489">
        <f>IF($A489="","",SUMIFS('Таблиця 1'!$K:$K,'Таблиця 1'!$B:$B,$A489,'Таблиця 1'!$I:$I,"Mi-8",'Таблиця 1'!$J:$J,"PC-80")+SUMIFS('Таблиця 1'!$K:$K,'Таблиця 1'!$B:$B,$A489,'Таблиця 1'!$I:$I,"Mi-24",'Таблиця 1'!$J:$J,"PC-80"))</f>
        <v/>
      </c>
      <c r="H489">
        <f>IF($A489="","",SUMIFS('Таблиця 1'!$K:$K,'Таблиця 1'!$B:$B,$A489,'Таблиця 1'!$I:$I,"Mi-8",'Таблиця 1'!$J:$J,"UAR-80")+SUMIFS('Таблиця 1'!$K:$K,'Таблиця 1'!$B:$B,$A489,'Таблиця 1'!$I:$I,"Mi-24",'Таблиця 1'!$J:$J,"UAR-80"))</f>
        <v/>
      </c>
      <c r="I489">
        <f>IF($A489="","",SUMIFS('Таблиця 1'!$K:$K,'Таблиця 1'!$B:$B,$A489,'Таблиця 1'!$I:$I,"Mi-8",'Таблиця 1'!$J:$J,"C-13")+SUMIFS('Таблиця 1'!$K:$K,'Таблиця 1'!$B:$B,$A489,'Таблиця 1'!$I:$I,"Mi-24",'Таблиця 1'!$J:$J,"C-13"))</f>
        <v/>
      </c>
      <c r="J489">
        <f>IF($A489="","",SUMIFS('Таблиця 1'!$K:$K,'Таблиця 1'!$B:$B,$A489,'Таблиця 1'!$I:$I,"Mi-8",'Таблиця 1'!$J:$J,"Hydra-70")+SUMIFS('Таблиця 1'!$K:$K,'Таблиця 1'!$B:$B,$A489,'Таблиця 1'!$I:$I,"Mi-24",'Таблиця 1'!$J:$J,"Hydra-70"))</f>
        <v/>
      </c>
      <c r="K489">
        <f>IF($A489="","",SUMIFS('Таблиця 1'!$K:$K,'Таблиця 1'!$B:$B,$A489,'Таблиця 1'!$I:$I,"Mi-8",'Таблиця 1'!$J:$J,"Thales-70")+SUMIFS('Таблиця 1'!$K:$K,'Таблиця 1'!$B:$B,$A489,'Таблиця 1'!$I:$I,"Mi-24",'Таблиця 1'!$J:$J,"Thales-70"))</f>
        <v/>
      </c>
      <c r="L489">
        <f>IF($A489="","",SUMIFS('Таблиця 1'!$K:$K,'Таблиця 1'!$B:$B,$A489,'Таблиця 1'!$I:$I,"Mi-8",'Таблиця 1'!$J:$J,"Thales-FZ")+SUMIFS('Таблиця 1'!$K:$K,'Таблиця 1'!$B:$B,$A489,'Таблиця 1'!$I:$I,"Mi-24",'Таблиця 1'!$J:$J,"Thales-FZ"))</f>
        <v/>
      </c>
      <c r="M489">
        <f>IF($A489="","",SUMIFS('Таблиця 1'!$K:$K,'Таблиця 1'!$B:$B,$A489,'Таблиця 1'!$I:$I,"Mi-8",'Таблиця 1'!$J:$J,"МК-40")+SUMIFS('Таблиця 1'!$K:$K,'Таблиця 1'!$B:$B,$A489,'Таблиця 1'!$I:$I,"Mi-24",'Таблиця 1'!$J:$J,"МК-40"))</f>
        <v/>
      </c>
      <c r="N489">
        <f>IF($A489="","",SUMIFS('Таблиця 1'!$K:$K,'Таблиця 1'!$B:$B,$A489,'Таблиця 1'!$I:$I,"Mi-8",'Таблиця 1'!$J:$J,"Zuni")+SUMIFS('Таблиця 1'!$K:$K,'Таблиця 1'!$B:$B,$A489,'Таблиця 1'!$I:$I,"Mi-24",'Таблиця 1'!$J:$J,"Zuni"))</f>
        <v/>
      </c>
      <c r="O489">
        <f>IF($A489="","",COUNTIFS('Таблиця 1'!$B:$B,$A489,'Таблиця 1'!$I:$I,"Mi-8",'Таблиця 1'!$L:$L,"Уражено")+COUNTIFS('Таблиця 1'!$B:$B,$A489,'Таблиця 1'!$I:$I,"Mi-24",'Таблиця 1'!$L:$L,"Уражено"))</f>
        <v/>
      </c>
      <c r="P489">
        <f>IF($A489="","",COUNTIFS('Таблиця 1'!$B:$B,$A489,'Таблиця 1'!$I:$I,"Mi-8",'Таблиця 1'!$L:$L,"НЕ уражено")+COUNTIFS('Таблиця 1'!$B:$B,$A489,'Таблиця 1'!$I:$I,"Mi-24",'Таблиця 1'!$L:$L,"НЕ уражено"))</f>
        <v/>
      </c>
    </row>
    <row r="490">
      <c r="A490" s="273">
        <f>IF(A489="","",IF(A489+1&gt;MAX('Таблиця 1'!$B:$B),"",A489+1))</f>
        <v/>
      </c>
      <c r="B490">
        <f>IF($A490="","",COUNTIFS('Таблиця 1'!$B:$B,$A490,'Таблиця 1'!$I:$I,"Mi-8")+COUNTIFS('Таблиця 1'!$B:$B,$A490,'Таблиця 1'!$I:$I,"Mi-24"))</f>
        <v/>
      </c>
      <c r="C490">
        <f>IF($A490="","",COUNTIFS('Таблиця 1'!$B:$B,$A490,'Таблиця 1'!$I:$I,"Mi-8"))</f>
        <v/>
      </c>
      <c r="D490">
        <f>IF($A490="","",COUNTIFS('Таблиця 1'!$B:$B,$A490,'Таблиця 1'!$I:$I,"Mi-24"))</f>
        <v/>
      </c>
      <c r="E490">
        <f>IF($A490="","",SUMIFS('Таблиця 1'!$K:$K,'Таблиця 1'!$B:$B,$A490,'Таблиця 1'!$I:$I,"Mi-8",'Таблиця 1'!$J:$J,"ARS-8")+SUMIFS('Таблиця 1'!$K:$K,'Таблиця 1'!$B:$B,$A490,'Таблиця 1'!$I:$I,"Mi-24",'Таблиця 1'!$J:$J,"ARS-8"))</f>
        <v/>
      </c>
      <c r="F490">
        <f>IF($A490="","",SUMIFS('Таблиця 1'!$K:$K,'Таблиця 1'!$B:$B,$A490,'Таблиця 1'!$I:$I,"Mi-8",'Таблиця 1'!$J:$J,"С-8 ком")+SUMIFS('Таблиця 1'!$K:$K,'Таблиця 1'!$B:$B,$A490,'Таблиця 1'!$I:$I,"Mi-24",'Таблиця 1'!$J:$J,"С-8 ком"))</f>
        <v/>
      </c>
      <c r="G490">
        <f>IF($A490="","",SUMIFS('Таблиця 1'!$K:$K,'Таблиця 1'!$B:$B,$A490,'Таблиця 1'!$I:$I,"Mi-8",'Таблиця 1'!$J:$J,"PC-80")+SUMIFS('Таблиця 1'!$K:$K,'Таблиця 1'!$B:$B,$A490,'Таблиця 1'!$I:$I,"Mi-24",'Таблиця 1'!$J:$J,"PC-80"))</f>
        <v/>
      </c>
      <c r="H490">
        <f>IF($A490="","",SUMIFS('Таблиця 1'!$K:$K,'Таблиця 1'!$B:$B,$A490,'Таблиця 1'!$I:$I,"Mi-8",'Таблиця 1'!$J:$J,"UAR-80")+SUMIFS('Таблиця 1'!$K:$K,'Таблиця 1'!$B:$B,$A490,'Таблиця 1'!$I:$I,"Mi-24",'Таблиця 1'!$J:$J,"UAR-80"))</f>
        <v/>
      </c>
      <c r="I490">
        <f>IF($A490="","",SUMIFS('Таблиця 1'!$K:$K,'Таблиця 1'!$B:$B,$A490,'Таблиця 1'!$I:$I,"Mi-8",'Таблиця 1'!$J:$J,"C-13")+SUMIFS('Таблиця 1'!$K:$K,'Таблиця 1'!$B:$B,$A490,'Таблиця 1'!$I:$I,"Mi-24",'Таблиця 1'!$J:$J,"C-13"))</f>
        <v/>
      </c>
      <c r="J490">
        <f>IF($A490="","",SUMIFS('Таблиця 1'!$K:$K,'Таблиця 1'!$B:$B,$A490,'Таблиця 1'!$I:$I,"Mi-8",'Таблиця 1'!$J:$J,"Hydra-70")+SUMIFS('Таблиця 1'!$K:$K,'Таблиця 1'!$B:$B,$A490,'Таблиця 1'!$I:$I,"Mi-24",'Таблиця 1'!$J:$J,"Hydra-70"))</f>
        <v/>
      </c>
      <c r="K490">
        <f>IF($A490="","",SUMIFS('Таблиця 1'!$K:$K,'Таблиця 1'!$B:$B,$A490,'Таблиця 1'!$I:$I,"Mi-8",'Таблиця 1'!$J:$J,"Thales-70")+SUMIFS('Таблиця 1'!$K:$K,'Таблиця 1'!$B:$B,$A490,'Таблиця 1'!$I:$I,"Mi-24",'Таблиця 1'!$J:$J,"Thales-70"))</f>
        <v/>
      </c>
      <c r="L490">
        <f>IF($A490="","",SUMIFS('Таблиця 1'!$K:$K,'Таблиця 1'!$B:$B,$A490,'Таблиця 1'!$I:$I,"Mi-8",'Таблиця 1'!$J:$J,"Thales-FZ")+SUMIFS('Таблиця 1'!$K:$K,'Таблиця 1'!$B:$B,$A490,'Таблиця 1'!$I:$I,"Mi-24",'Таблиця 1'!$J:$J,"Thales-FZ"))</f>
        <v/>
      </c>
      <c r="M490">
        <f>IF($A490="","",SUMIFS('Таблиця 1'!$K:$K,'Таблиця 1'!$B:$B,$A490,'Таблиця 1'!$I:$I,"Mi-8",'Таблиця 1'!$J:$J,"МК-40")+SUMIFS('Таблиця 1'!$K:$K,'Таблиця 1'!$B:$B,$A490,'Таблиця 1'!$I:$I,"Mi-24",'Таблиця 1'!$J:$J,"МК-40"))</f>
        <v/>
      </c>
      <c r="N490">
        <f>IF($A490="","",SUMIFS('Таблиця 1'!$K:$K,'Таблиця 1'!$B:$B,$A490,'Таблиця 1'!$I:$I,"Mi-8",'Таблиця 1'!$J:$J,"Zuni")+SUMIFS('Таблиця 1'!$K:$K,'Таблиця 1'!$B:$B,$A490,'Таблиця 1'!$I:$I,"Mi-24",'Таблиця 1'!$J:$J,"Zuni"))</f>
        <v/>
      </c>
      <c r="O490">
        <f>IF($A490="","",COUNTIFS('Таблиця 1'!$B:$B,$A490,'Таблиця 1'!$I:$I,"Mi-8",'Таблиця 1'!$L:$L,"Уражено")+COUNTIFS('Таблиця 1'!$B:$B,$A490,'Таблиця 1'!$I:$I,"Mi-24",'Таблиця 1'!$L:$L,"Уражено"))</f>
        <v/>
      </c>
      <c r="P490">
        <f>IF($A490="","",COUNTIFS('Таблиця 1'!$B:$B,$A490,'Таблиця 1'!$I:$I,"Mi-8",'Таблиця 1'!$L:$L,"НЕ уражено")+COUNTIFS('Таблиця 1'!$B:$B,$A490,'Таблиця 1'!$I:$I,"Mi-24",'Таблиця 1'!$L:$L,"НЕ уражено"))</f>
        <v/>
      </c>
    </row>
    <row r="491">
      <c r="A491" s="273">
        <f>IF(A490="","",IF(A490+1&gt;MAX('Таблиця 1'!$B:$B),"",A490+1))</f>
        <v/>
      </c>
      <c r="B491">
        <f>IF($A491="","",COUNTIFS('Таблиця 1'!$B:$B,$A491,'Таблиця 1'!$I:$I,"Mi-8")+COUNTIFS('Таблиця 1'!$B:$B,$A491,'Таблиця 1'!$I:$I,"Mi-24"))</f>
        <v/>
      </c>
      <c r="C491">
        <f>IF($A491="","",COUNTIFS('Таблиця 1'!$B:$B,$A491,'Таблиця 1'!$I:$I,"Mi-8"))</f>
        <v/>
      </c>
      <c r="D491">
        <f>IF($A491="","",COUNTIFS('Таблиця 1'!$B:$B,$A491,'Таблиця 1'!$I:$I,"Mi-24"))</f>
        <v/>
      </c>
      <c r="E491">
        <f>IF($A491="","",SUMIFS('Таблиця 1'!$K:$K,'Таблиця 1'!$B:$B,$A491,'Таблиця 1'!$I:$I,"Mi-8",'Таблиця 1'!$J:$J,"ARS-8")+SUMIFS('Таблиця 1'!$K:$K,'Таблиця 1'!$B:$B,$A491,'Таблиця 1'!$I:$I,"Mi-24",'Таблиця 1'!$J:$J,"ARS-8"))</f>
        <v/>
      </c>
      <c r="F491">
        <f>IF($A491="","",SUMIFS('Таблиця 1'!$K:$K,'Таблиця 1'!$B:$B,$A491,'Таблиця 1'!$I:$I,"Mi-8",'Таблиця 1'!$J:$J,"С-8 ком")+SUMIFS('Таблиця 1'!$K:$K,'Таблиця 1'!$B:$B,$A491,'Таблиця 1'!$I:$I,"Mi-24",'Таблиця 1'!$J:$J,"С-8 ком"))</f>
        <v/>
      </c>
      <c r="G491">
        <f>IF($A491="","",SUMIFS('Таблиця 1'!$K:$K,'Таблиця 1'!$B:$B,$A491,'Таблиця 1'!$I:$I,"Mi-8",'Таблиця 1'!$J:$J,"PC-80")+SUMIFS('Таблиця 1'!$K:$K,'Таблиця 1'!$B:$B,$A491,'Таблиця 1'!$I:$I,"Mi-24",'Таблиця 1'!$J:$J,"PC-80"))</f>
        <v/>
      </c>
      <c r="H491">
        <f>IF($A491="","",SUMIFS('Таблиця 1'!$K:$K,'Таблиця 1'!$B:$B,$A491,'Таблиця 1'!$I:$I,"Mi-8",'Таблиця 1'!$J:$J,"UAR-80")+SUMIFS('Таблиця 1'!$K:$K,'Таблиця 1'!$B:$B,$A491,'Таблиця 1'!$I:$I,"Mi-24",'Таблиця 1'!$J:$J,"UAR-80"))</f>
        <v/>
      </c>
      <c r="I491">
        <f>IF($A491="","",SUMIFS('Таблиця 1'!$K:$K,'Таблиця 1'!$B:$B,$A491,'Таблиця 1'!$I:$I,"Mi-8",'Таблиця 1'!$J:$J,"C-13")+SUMIFS('Таблиця 1'!$K:$K,'Таблиця 1'!$B:$B,$A491,'Таблиця 1'!$I:$I,"Mi-24",'Таблиця 1'!$J:$J,"C-13"))</f>
        <v/>
      </c>
      <c r="J491">
        <f>IF($A491="","",SUMIFS('Таблиця 1'!$K:$K,'Таблиця 1'!$B:$B,$A491,'Таблиця 1'!$I:$I,"Mi-8",'Таблиця 1'!$J:$J,"Hydra-70")+SUMIFS('Таблиця 1'!$K:$K,'Таблиця 1'!$B:$B,$A491,'Таблиця 1'!$I:$I,"Mi-24",'Таблиця 1'!$J:$J,"Hydra-70"))</f>
        <v/>
      </c>
      <c r="K491">
        <f>IF($A491="","",SUMIFS('Таблиця 1'!$K:$K,'Таблиця 1'!$B:$B,$A491,'Таблиця 1'!$I:$I,"Mi-8",'Таблиця 1'!$J:$J,"Thales-70")+SUMIFS('Таблиця 1'!$K:$K,'Таблиця 1'!$B:$B,$A491,'Таблиця 1'!$I:$I,"Mi-24",'Таблиця 1'!$J:$J,"Thales-70"))</f>
        <v/>
      </c>
      <c r="L491">
        <f>IF($A491="","",SUMIFS('Таблиця 1'!$K:$K,'Таблиця 1'!$B:$B,$A491,'Таблиця 1'!$I:$I,"Mi-8",'Таблиця 1'!$J:$J,"Thales-FZ")+SUMIFS('Таблиця 1'!$K:$K,'Таблиця 1'!$B:$B,$A491,'Таблиця 1'!$I:$I,"Mi-24",'Таблиця 1'!$J:$J,"Thales-FZ"))</f>
        <v/>
      </c>
      <c r="M491">
        <f>IF($A491="","",SUMIFS('Таблиця 1'!$K:$K,'Таблиця 1'!$B:$B,$A491,'Таблиця 1'!$I:$I,"Mi-8",'Таблиця 1'!$J:$J,"МК-40")+SUMIFS('Таблиця 1'!$K:$K,'Таблиця 1'!$B:$B,$A491,'Таблиця 1'!$I:$I,"Mi-24",'Таблиця 1'!$J:$J,"МК-40"))</f>
        <v/>
      </c>
      <c r="N491">
        <f>IF($A491="","",SUMIFS('Таблиця 1'!$K:$K,'Таблиця 1'!$B:$B,$A491,'Таблиця 1'!$I:$I,"Mi-8",'Таблиця 1'!$J:$J,"Zuni")+SUMIFS('Таблиця 1'!$K:$K,'Таблиця 1'!$B:$B,$A491,'Таблиця 1'!$I:$I,"Mi-24",'Таблиця 1'!$J:$J,"Zuni"))</f>
        <v/>
      </c>
      <c r="O491">
        <f>IF($A491="","",COUNTIFS('Таблиця 1'!$B:$B,$A491,'Таблиця 1'!$I:$I,"Mi-8",'Таблиця 1'!$L:$L,"Уражено")+COUNTIFS('Таблиця 1'!$B:$B,$A491,'Таблиця 1'!$I:$I,"Mi-24",'Таблиця 1'!$L:$L,"Уражено"))</f>
        <v/>
      </c>
      <c r="P491">
        <f>IF($A491="","",COUNTIFS('Таблиця 1'!$B:$B,$A491,'Таблиця 1'!$I:$I,"Mi-8",'Таблиця 1'!$L:$L,"НЕ уражено")+COUNTIFS('Таблиця 1'!$B:$B,$A491,'Таблиця 1'!$I:$I,"Mi-24",'Таблиця 1'!$L:$L,"НЕ уражено"))</f>
        <v/>
      </c>
    </row>
    <row r="492">
      <c r="A492" s="273">
        <f>IF(A491="","",IF(A491+1&gt;MAX('Таблиця 1'!$B:$B),"",A491+1))</f>
        <v/>
      </c>
      <c r="B492">
        <f>IF($A492="","",COUNTIFS('Таблиця 1'!$B:$B,$A492,'Таблиця 1'!$I:$I,"Mi-8")+COUNTIFS('Таблиця 1'!$B:$B,$A492,'Таблиця 1'!$I:$I,"Mi-24"))</f>
        <v/>
      </c>
      <c r="C492">
        <f>IF($A492="","",COUNTIFS('Таблиця 1'!$B:$B,$A492,'Таблиця 1'!$I:$I,"Mi-8"))</f>
        <v/>
      </c>
      <c r="D492">
        <f>IF($A492="","",COUNTIFS('Таблиця 1'!$B:$B,$A492,'Таблиця 1'!$I:$I,"Mi-24"))</f>
        <v/>
      </c>
      <c r="E492">
        <f>IF($A492="","",SUMIFS('Таблиця 1'!$K:$K,'Таблиця 1'!$B:$B,$A492,'Таблиця 1'!$I:$I,"Mi-8",'Таблиця 1'!$J:$J,"ARS-8")+SUMIFS('Таблиця 1'!$K:$K,'Таблиця 1'!$B:$B,$A492,'Таблиця 1'!$I:$I,"Mi-24",'Таблиця 1'!$J:$J,"ARS-8"))</f>
        <v/>
      </c>
      <c r="F492">
        <f>IF($A492="","",SUMIFS('Таблиця 1'!$K:$K,'Таблиця 1'!$B:$B,$A492,'Таблиця 1'!$I:$I,"Mi-8",'Таблиця 1'!$J:$J,"С-8 ком")+SUMIFS('Таблиця 1'!$K:$K,'Таблиця 1'!$B:$B,$A492,'Таблиця 1'!$I:$I,"Mi-24",'Таблиця 1'!$J:$J,"С-8 ком"))</f>
        <v/>
      </c>
      <c r="G492">
        <f>IF($A492="","",SUMIFS('Таблиця 1'!$K:$K,'Таблиця 1'!$B:$B,$A492,'Таблиця 1'!$I:$I,"Mi-8",'Таблиця 1'!$J:$J,"PC-80")+SUMIFS('Таблиця 1'!$K:$K,'Таблиця 1'!$B:$B,$A492,'Таблиця 1'!$I:$I,"Mi-24",'Таблиця 1'!$J:$J,"PC-80"))</f>
        <v/>
      </c>
      <c r="H492">
        <f>IF($A492="","",SUMIFS('Таблиця 1'!$K:$K,'Таблиця 1'!$B:$B,$A492,'Таблиця 1'!$I:$I,"Mi-8",'Таблиця 1'!$J:$J,"UAR-80")+SUMIFS('Таблиця 1'!$K:$K,'Таблиця 1'!$B:$B,$A492,'Таблиця 1'!$I:$I,"Mi-24",'Таблиця 1'!$J:$J,"UAR-80"))</f>
        <v/>
      </c>
      <c r="I492">
        <f>IF($A492="","",SUMIFS('Таблиця 1'!$K:$K,'Таблиця 1'!$B:$B,$A492,'Таблиця 1'!$I:$I,"Mi-8",'Таблиця 1'!$J:$J,"C-13")+SUMIFS('Таблиця 1'!$K:$K,'Таблиця 1'!$B:$B,$A492,'Таблиця 1'!$I:$I,"Mi-24",'Таблиця 1'!$J:$J,"C-13"))</f>
        <v/>
      </c>
      <c r="J492">
        <f>IF($A492="","",SUMIFS('Таблиця 1'!$K:$K,'Таблиця 1'!$B:$B,$A492,'Таблиця 1'!$I:$I,"Mi-8",'Таблиця 1'!$J:$J,"Hydra-70")+SUMIFS('Таблиця 1'!$K:$K,'Таблиця 1'!$B:$B,$A492,'Таблиця 1'!$I:$I,"Mi-24",'Таблиця 1'!$J:$J,"Hydra-70"))</f>
        <v/>
      </c>
      <c r="K492">
        <f>IF($A492="","",SUMIFS('Таблиця 1'!$K:$K,'Таблиця 1'!$B:$B,$A492,'Таблиця 1'!$I:$I,"Mi-8",'Таблиця 1'!$J:$J,"Thales-70")+SUMIFS('Таблиця 1'!$K:$K,'Таблиця 1'!$B:$B,$A492,'Таблиця 1'!$I:$I,"Mi-24",'Таблиця 1'!$J:$J,"Thales-70"))</f>
        <v/>
      </c>
      <c r="L492">
        <f>IF($A492="","",SUMIFS('Таблиця 1'!$K:$K,'Таблиця 1'!$B:$B,$A492,'Таблиця 1'!$I:$I,"Mi-8",'Таблиця 1'!$J:$J,"Thales-FZ")+SUMIFS('Таблиця 1'!$K:$K,'Таблиця 1'!$B:$B,$A492,'Таблиця 1'!$I:$I,"Mi-24",'Таблиця 1'!$J:$J,"Thales-FZ"))</f>
        <v/>
      </c>
      <c r="M492">
        <f>IF($A492="","",SUMIFS('Таблиця 1'!$K:$K,'Таблиця 1'!$B:$B,$A492,'Таблиця 1'!$I:$I,"Mi-8",'Таблиця 1'!$J:$J,"МК-40")+SUMIFS('Таблиця 1'!$K:$K,'Таблиця 1'!$B:$B,$A492,'Таблиця 1'!$I:$I,"Mi-24",'Таблиця 1'!$J:$J,"МК-40"))</f>
        <v/>
      </c>
      <c r="N492">
        <f>IF($A492="","",SUMIFS('Таблиця 1'!$K:$K,'Таблиця 1'!$B:$B,$A492,'Таблиця 1'!$I:$I,"Mi-8",'Таблиця 1'!$J:$J,"Zuni")+SUMIFS('Таблиця 1'!$K:$K,'Таблиця 1'!$B:$B,$A492,'Таблиця 1'!$I:$I,"Mi-24",'Таблиця 1'!$J:$J,"Zuni"))</f>
        <v/>
      </c>
      <c r="O492">
        <f>IF($A492="","",COUNTIFS('Таблиця 1'!$B:$B,$A492,'Таблиця 1'!$I:$I,"Mi-8",'Таблиця 1'!$L:$L,"Уражено")+COUNTIFS('Таблиця 1'!$B:$B,$A492,'Таблиця 1'!$I:$I,"Mi-24",'Таблиця 1'!$L:$L,"Уражено"))</f>
        <v/>
      </c>
      <c r="P492">
        <f>IF($A492="","",COUNTIFS('Таблиця 1'!$B:$B,$A492,'Таблиця 1'!$I:$I,"Mi-8",'Таблиця 1'!$L:$L,"НЕ уражено")+COUNTIFS('Таблиця 1'!$B:$B,$A492,'Таблиця 1'!$I:$I,"Mi-24",'Таблиця 1'!$L:$L,"НЕ уражено"))</f>
        <v/>
      </c>
    </row>
    <row r="493">
      <c r="A493" s="273">
        <f>IF(A492="","",IF(A492+1&gt;MAX('Таблиця 1'!$B:$B),"",A492+1))</f>
        <v/>
      </c>
      <c r="B493">
        <f>IF($A493="","",COUNTIFS('Таблиця 1'!$B:$B,$A493,'Таблиця 1'!$I:$I,"Mi-8")+COUNTIFS('Таблиця 1'!$B:$B,$A493,'Таблиця 1'!$I:$I,"Mi-24"))</f>
        <v/>
      </c>
      <c r="C493">
        <f>IF($A493="","",COUNTIFS('Таблиця 1'!$B:$B,$A493,'Таблиця 1'!$I:$I,"Mi-8"))</f>
        <v/>
      </c>
      <c r="D493">
        <f>IF($A493="","",COUNTIFS('Таблиця 1'!$B:$B,$A493,'Таблиця 1'!$I:$I,"Mi-24"))</f>
        <v/>
      </c>
      <c r="E493">
        <f>IF($A493="","",SUMIFS('Таблиця 1'!$K:$K,'Таблиця 1'!$B:$B,$A493,'Таблиця 1'!$I:$I,"Mi-8",'Таблиця 1'!$J:$J,"ARS-8")+SUMIFS('Таблиця 1'!$K:$K,'Таблиця 1'!$B:$B,$A493,'Таблиця 1'!$I:$I,"Mi-24",'Таблиця 1'!$J:$J,"ARS-8"))</f>
        <v/>
      </c>
      <c r="F493">
        <f>IF($A493="","",SUMIFS('Таблиця 1'!$K:$K,'Таблиця 1'!$B:$B,$A493,'Таблиця 1'!$I:$I,"Mi-8",'Таблиця 1'!$J:$J,"С-8 ком")+SUMIFS('Таблиця 1'!$K:$K,'Таблиця 1'!$B:$B,$A493,'Таблиця 1'!$I:$I,"Mi-24",'Таблиця 1'!$J:$J,"С-8 ком"))</f>
        <v/>
      </c>
      <c r="G493">
        <f>IF($A493="","",SUMIFS('Таблиця 1'!$K:$K,'Таблиця 1'!$B:$B,$A493,'Таблиця 1'!$I:$I,"Mi-8",'Таблиця 1'!$J:$J,"PC-80")+SUMIFS('Таблиця 1'!$K:$K,'Таблиця 1'!$B:$B,$A493,'Таблиця 1'!$I:$I,"Mi-24",'Таблиця 1'!$J:$J,"PC-80"))</f>
        <v/>
      </c>
      <c r="H493">
        <f>IF($A493="","",SUMIFS('Таблиця 1'!$K:$K,'Таблиця 1'!$B:$B,$A493,'Таблиця 1'!$I:$I,"Mi-8",'Таблиця 1'!$J:$J,"UAR-80")+SUMIFS('Таблиця 1'!$K:$K,'Таблиця 1'!$B:$B,$A493,'Таблиця 1'!$I:$I,"Mi-24",'Таблиця 1'!$J:$J,"UAR-80"))</f>
        <v/>
      </c>
      <c r="I493">
        <f>IF($A493="","",SUMIFS('Таблиця 1'!$K:$K,'Таблиця 1'!$B:$B,$A493,'Таблиця 1'!$I:$I,"Mi-8",'Таблиця 1'!$J:$J,"C-13")+SUMIFS('Таблиця 1'!$K:$K,'Таблиця 1'!$B:$B,$A493,'Таблиця 1'!$I:$I,"Mi-24",'Таблиця 1'!$J:$J,"C-13"))</f>
        <v/>
      </c>
      <c r="J493">
        <f>IF($A493="","",SUMIFS('Таблиця 1'!$K:$K,'Таблиця 1'!$B:$B,$A493,'Таблиця 1'!$I:$I,"Mi-8",'Таблиця 1'!$J:$J,"Hydra-70")+SUMIFS('Таблиця 1'!$K:$K,'Таблиця 1'!$B:$B,$A493,'Таблиця 1'!$I:$I,"Mi-24",'Таблиця 1'!$J:$J,"Hydra-70"))</f>
        <v/>
      </c>
      <c r="K493">
        <f>IF($A493="","",SUMIFS('Таблиця 1'!$K:$K,'Таблиця 1'!$B:$B,$A493,'Таблиця 1'!$I:$I,"Mi-8",'Таблиця 1'!$J:$J,"Thales-70")+SUMIFS('Таблиця 1'!$K:$K,'Таблиця 1'!$B:$B,$A493,'Таблиця 1'!$I:$I,"Mi-24",'Таблиця 1'!$J:$J,"Thales-70"))</f>
        <v/>
      </c>
      <c r="L493">
        <f>IF($A493="","",SUMIFS('Таблиця 1'!$K:$K,'Таблиця 1'!$B:$B,$A493,'Таблиця 1'!$I:$I,"Mi-8",'Таблиця 1'!$J:$J,"Thales-FZ")+SUMIFS('Таблиця 1'!$K:$K,'Таблиця 1'!$B:$B,$A493,'Таблиця 1'!$I:$I,"Mi-24",'Таблиця 1'!$J:$J,"Thales-FZ"))</f>
        <v/>
      </c>
      <c r="M493">
        <f>IF($A493="","",SUMIFS('Таблиця 1'!$K:$K,'Таблиця 1'!$B:$B,$A493,'Таблиця 1'!$I:$I,"Mi-8",'Таблиця 1'!$J:$J,"МК-40")+SUMIFS('Таблиця 1'!$K:$K,'Таблиця 1'!$B:$B,$A493,'Таблиця 1'!$I:$I,"Mi-24",'Таблиця 1'!$J:$J,"МК-40"))</f>
        <v/>
      </c>
      <c r="N493">
        <f>IF($A493="","",SUMIFS('Таблиця 1'!$K:$K,'Таблиця 1'!$B:$B,$A493,'Таблиця 1'!$I:$I,"Mi-8",'Таблиця 1'!$J:$J,"Zuni")+SUMIFS('Таблиця 1'!$K:$K,'Таблиця 1'!$B:$B,$A493,'Таблиця 1'!$I:$I,"Mi-24",'Таблиця 1'!$J:$J,"Zuni"))</f>
        <v/>
      </c>
      <c r="O493">
        <f>IF($A493="","",COUNTIFS('Таблиця 1'!$B:$B,$A493,'Таблиця 1'!$I:$I,"Mi-8",'Таблиця 1'!$L:$L,"Уражено")+COUNTIFS('Таблиця 1'!$B:$B,$A493,'Таблиця 1'!$I:$I,"Mi-24",'Таблиця 1'!$L:$L,"Уражено"))</f>
        <v/>
      </c>
      <c r="P493">
        <f>IF($A493="","",COUNTIFS('Таблиця 1'!$B:$B,$A493,'Таблиця 1'!$I:$I,"Mi-8",'Таблиця 1'!$L:$L,"НЕ уражено")+COUNTIFS('Таблиця 1'!$B:$B,$A493,'Таблиця 1'!$I:$I,"Mi-24",'Таблиця 1'!$L:$L,"НЕ уражено"))</f>
        <v/>
      </c>
    </row>
    <row r="494">
      <c r="A494" s="273">
        <f>IF(A493="","",IF(A493+1&gt;MAX('Таблиця 1'!$B:$B),"",A493+1))</f>
        <v/>
      </c>
      <c r="B494">
        <f>IF($A494="","",COUNTIFS('Таблиця 1'!$B:$B,$A494,'Таблиця 1'!$I:$I,"Mi-8")+COUNTIFS('Таблиця 1'!$B:$B,$A494,'Таблиця 1'!$I:$I,"Mi-24"))</f>
        <v/>
      </c>
      <c r="C494">
        <f>IF($A494="","",COUNTIFS('Таблиця 1'!$B:$B,$A494,'Таблиця 1'!$I:$I,"Mi-8"))</f>
        <v/>
      </c>
      <c r="D494">
        <f>IF($A494="","",COUNTIFS('Таблиця 1'!$B:$B,$A494,'Таблиця 1'!$I:$I,"Mi-24"))</f>
        <v/>
      </c>
      <c r="E494">
        <f>IF($A494="","",SUMIFS('Таблиця 1'!$K:$K,'Таблиця 1'!$B:$B,$A494,'Таблиця 1'!$I:$I,"Mi-8",'Таблиця 1'!$J:$J,"ARS-8")+SUMIFS('Таблиця 1'!$K:$K,'Таблиця 1'!$B:$B,$A494,'Таблиця 1'!$I:$I,"Mi-24",'Таблиця 1'!$J:$J,"ARS-8"))</f>
        <v/>
      </c>
      <c r="F494">
        <f>IF($A494="","",SUMIFS('Таблиця 1'!$K:$K,'Таблиця 1'!$B:$B,$A494,'Таблиця 1'!$I:$I,"Mi-8",'Таблиця 1'!$J:$J,"С-8 ком")+SUMIFS('Таблиця 1'!$K:$K,'Таблиця 1'!$B:$B,$A494,'Таблиця 1'!$I:$I,"Mi-24",'Таблиця 1'!$J:$J,"С-8 ком"))</f>
        <v/>
      </c>
      <c r="G494">
        <f>IF($A494="","",SUMIFS('Таблиця 1'!$K:$K,'Таблиця 1'!$B:$B,$A494,'Таблиця 1'!$I:$I,"Mi-8",'Таблиця 1'!$J:$J,"PC-80")+SUMIFS('Таблиця 1'!$K:$K,'Таблиця 1'!$B:$B,$A494,'Таблиця 1'!$I:$I,"Mi-24",'Таблиця 1'!$J:$J,"PC-80"))</f>
        <v/>
      </c>
      <c r="H494">
        <f>IF($A494="","",SUMIFS('Таблиця 1'!$K:$K,'Таблиця 1'!$B:$B,$A494,'Таблиця 1'!$I:$I,"Mi-8",'Таблиця 1'!$J:$J,"UAR-80")+SUMIFS('Таблиця 1'!$K:$K,'Таблиця 1'!$B:$B,$A494,'Таблиця 1'!$I:$I,"Mi-24",'Таблиця 1'!$J:$J,"UAR-80"))</f>
        <v/>
      </c>
      <c r="I494">
        <f>IF($A494="","",SUMIFS('Таблиця 1'!$K:$K,'Таблиця 1'!$B:$B,$A494,'Таблиця 1'!$I:$I,"Mi-8",'Таблиця 1'!$J:$J,"C-13")+SUMIFS('Таблиця 1'!$K:$K,'Таблиця 1'!$B:$B,$A494,'Таблиця 1'!$I:$I,"Mi-24",'Таблиця 1'!$J:$J,"C-13"))</f>
        <v/>
      </c>
      <c r="J494">
        <f>IF($A494="","",SUMIFS('Таблиця 1'!$K:$K,'Таблиця 1'!$B:$B,$A494,'Таблиця 1'!$I:$I,"Mi-8",'Таблиця 1'!$J:$J,"Hydra-70")+SUMIFS('Таблиця 1'!$K:$K,'Таблиця 1'!$B:$B,$A494,'Таблиця 1'!$I:$I,"Mi-24",'Таблиця 1'!$J:$J,"Hydra-70"))</f>
        <v/>
      </c>
      <c r="K494">
        <f>IF($A494="","",SUMIFS('Таблиця 1'!$K:$K,'Таблиця 1'!$B:$B,$A494,'Таблиця 1'!$I:$I,"Mi-8",'Таблиця 1'!$J:$J,"Thales-70")+SUMIFS('Таблиця 1'!$K:$K,'Таблиця 1'!$B:$B,$A494,'Таблиця 1'!$I:$I,"Mi-24",'Таблиця 1'!$J:$J,"Thales-70"))</f>
        <v/>
      </c>
      <c r="L494">
        <f>IF($A494="","",SUMIFS('Таблиця 1'!$K:$K,'Таблиця 1'!$B:$B,$A494,'Таблиця 1'!$I:$I,"Mi-8",'Таблиця 1'!$J:$J,"Thales-FZ")+SUMIFS('Таблиця 1'!$K:$K,'Таблиця 1'!$B:$B,$A494,'Таблиця 1'!$I:$I,"Mi-24",'Таблиця 1'!$J:$J,"Thales-FZ"))</f>
        <v/>
      </c>
      <c r="M494">
        <f>IF($A494="","",SUMIFS('Таблиця 1'!$K:$K,'Таблиця 1'!$B:$B,$A494,'Таблиця 1'!$I:$I,"Mi-8",'Таблиця 1'!$J:$J,"МК-40")+SUMIFS('Таблиця 1'!$K:$K,'Таблиця 1'!$B:$B,$A494,'Таблиця 1'!$I:$I,"Mi-24",'Таблиця 1'!$J:$J,"МК-40"))</f>
        <v/>
      </c>
      <c r="N494">
        <f>IF($A494="","",SUMIFS('Таблиця 1'!$K:$K,'Таблиця 1'!$B:$B,$A494,'Таблиця 1'!$I:$I,"Mi-8",'Таблиця 1'!$J:$J,"Zuni")+SUMIFS('Таблиця 1'!$K:$K,'Таблиця 1'!$B:$B,$A494,'Таблиця 1'!$I:$I,"Mi-24",'Таблиця 1'!$J:$J,"Zuni"))</f>
        <v/>
      </c>
      <c r="O494">
        <f>IF($A494="","",COUNTIFS('Таблиця 1'!$B:$B,$A494,'Таблиця 1'!$I:$I,"Mi-8",'Таблиця 1'!$L:$L,"Уражено")+COUNTIFS('Таблиця 1'!$B:$B,$A494,'Таблиця 1'!$I:$I,"Mi-24",'Таблиця 1'!$L:$L,"Уражено"))</f>
        <v/>
      </c>
      <c r="P494">
        <f>IF($A494="","",COUNTIFS('Таблиця 1'!$B:$B,$A494,'Таблиця 1'!$I:$I,"Mi-8",'Таблиця 1'!$L:$L,"НЕ уражено")+COUNTIFS('Таблиця 1'!$B:$B,$A494,'Таблиця 1'!$I:$I,"Mi-24",'Таблиця 1'!$L:$L,"НЕ уражено"))</f>
        <v/>
      </c>
    </row>
    <row r="495">
      <c r="A495" s="273">
        <f>IF(A494="","",IF(A494+1&gt;MAX('Таблиця 1'!$B:$B),"",A494+1))</f>
        <v/>
      </c>
      <c r="B495">
        <f>IF($A495="","",COUNTIFS('Таблиця 1'!$B:$B,$A495,'Таблиця 1'!$I:$I,"Mi-8")+COUNTIFS('Таблиця 1'!$B:$B,$A495,'Таблиця 1'!$I:$I,"Mi-24"))</f>
        <v/>
      </c>
      <c r="C495">
        <f>IF($A495="","",COUNTIFS('Таблиця 1'!$B:$B,$A495,'Таблиця 1'!$I:$I,"Mi-8"))</f>
        <v/>
      </c>
      <c r="D495">
        <f>IF($A495="","",COUNTIFS('Таблиця 1'!$B:$B,$A495,'Таблиця 1'!$I:$I,"Mi-24"))</f>
        <v/>
      </c>
      <c r="E495">
        <f>IF($A495="","",SUMIFS('Таблиця 1'!$K:$K,'Таблиця 1'!$B:$B,$A495,'Таблиця 1'!$I:$I,"Mi-8",'Таблиця 1'!$J:$J,"ARS-8")+SUMIFS('Таблиця 1'!$K:$K,'Таблиця 1'!$B:$B,$A495,'Таблиця 1'!$I:$I,"Mi-24",'Таблиця 1'!$J:$J,"ARS-8"))</f>
        <v/>
      </c>
      <c r="F495">
        <f>IF($A495="","",SUMIFS('Таблиця 1'!$K:$K,'Таблиця 1'!$B:$B,$A495,'Таблиця 1'!$I:$I,"Mi-8",'Таблиця 1'!$J:$J,"С-8 ком")+SUMIFS('Таблиця 1'!$K:$K,'Таблиця 1'!$B:$B,$A495,'Таблиця 1'!$I:$I,"Mi-24",'Таблиця 1'!$J:$J,"С-8 ком"))</f>
        <v/>
      </c>
      <c r="G495">
        <f>IF($A495="","",SUMIFS('Таблиця 1'!$K:$K,'Таблиця 1'!$B:$B,$A495,'Таблиця 1'!$I:$I,"Mi-8",'Таблиця 1'!$J:$J,"PC-80")+SUMIFS('Таблиця 1'!$K:$K,'Таблиця 1'!$B:$B,$A495,'Таблиця 1'!$I:$I,"Mi-24",'Таблиця 1'!$J:$J,"PC-80"))</f>
        <v/>
      </c>
      <c r="H495">
        <f>IF($A495="","",SUMIFS('Таблиця 1'!$K:$K,'Таблиця 1'!$B:$B,$A495,'Таблиця 1'!$I:$I,"Mi-8",'Таблиця 1'!$J:$J,"UAR-80")+SUMIFS('Таблиця 1'!$K:$K,'Таблиця 1'!$B:$B,$A495,'Таблиця 1'!$I:$I,"Mi-24",'Таблиця 1'!$J:$J,"UAR-80"))</f>
        <v/>
      </c>
      <c r="I495">
        <f>IF($A495="","",SUMIFS('Таблиця 1'!$K:$K,'Таблиця 1'!$B:$B,$A495,'Таблиця 1'!$I:$I,"Mi-8",'Таблиця 1'!$J:$J,"C-13")+SUMIFS('Таблиця 1'!$K:$K,'Таблиця 1'!$B:$B,$A495,'Таблиця 1'!$I:$I,"Mi-24",'Таблиця 1'!$J:$J,"C-13"))</f>
        <v/>
      </c>
      <c r="J495">
        <f>IF($A495="","",SUMIFS('Таблиця 1'!$K:$K,'Таблиця 1'!$B:$B,$A495,'Таблиця 1'!$I:$I,"Mi-8",'Таблиця 1'!$J:$J,"Hydra-70")+SUMIFS('Таблиця 1'!$K:$K,'Таблиця 1'!$B:$B,$A495,'Таблиця 1'!$I:$I,"Mi-24",'Таблиця 1'!$J:$J,"Hydra-70"))</f>
        <v/>
      </c>
      <c r="K495">
        <f>IF($A495="","",SUMIFS('Таблиця 1'!$K:$K,'Таблиця 1'!$B:$B,$A495,'Таблиця 1'!$I:$I,"Mi-8",'Таблиця 1'!$J:$J,"Thales-70")+SUMIFS('Таблиця 1'!$K:$K,'Таблиця 1'!$B:$B,$A495,'Таблиця 1'!$I:$I,"Mi-24",'Таблиця 1'!$J:$J,"Thales-70"))</f>
        <v/>
      </c>
      <c r="L495">
        <f>IF($A495="","",SUMIFS('Таблиця 1'!$K:$K,'Таблиця 1'!$B:$B,$A495,'Таблиця 1'!$I:$I,"Mi-8",'Таблиця 1'!$J:$J,"Thales-FZ")+SUMIFS('Таблиця 1'!$K:$K,'Таблиця 1'!$B:$B,$A495,'Таблиця 1'!$I:$I,"Mi-24",'Таблиця 1'!$J:$J,"Thales-FZ"))</f>
        <v/>
      </c>
      <c r="M495">
        <f>IF($A495="","",SUMIFS('Таблиця 1'!$K:$K,'Таблиця 1'!$B:$B,$A495,'Таблиця 1'!$I:$I,"Mi-8",'Таблиця 1'!$J:$J,"МК-40")+SUMIFS('Таблиця 1'!$K:$K,'Таблиця 1'!$B:$B,$A495,'Таблиця 1'!$I:$I,"Mi-24",'Таблиця 1'!$J:$J,"МК-40"))</f>
        <v/>
      </c>
      <c r="N495">
        <f>IF($A495="","",SUMIFS('Таблиця 1'!$K:$K,'Таблиця 1'!$B:$B,$A495,'Таблиця 1'!$I:$I,"Mi-8",'Таблиця 1'!$J:$J,"Zuni")+SUMIFS('Таблиця 1'!$K:$K,'Таблиця 1'!$B:$B,$A495,'Таблиця 1'!$I:$I,"Mi-24",'Таблиця 1'!$J:$J,"Zuni"))</f>
        <v/>
      </c>
      <c r="O495">
        <f>IF($A495="","",COUNTIFS('Таблиця 1'!$B:$B,$A495,'Таблиця 1'!$I:$I,"Mi-8",'Таблиця 1'!$L:$L,"Уражено")+COUNTIFS('Таблиця 1'!$B:$B,$A495,'Таблиця 1'!$I:$I,"Mi-24",'Таблиця 1'!$L:$L,"Уражено"))</f>
        <v/>
      </c>
      <c r="P495">
        <f>IF($A495="","",COUNTIFS('Таблиця 1'!$B:$B,$A495,'Таблиця 1'!$I:$I,"Mi-8",'Таблиця 1'!$L:$L,"НЕ уражено")+COUNTIFS('Таблиця 1'!$B:$B,$A495,'Таблиця 1'!$I:$I,"Mi-24",'Таблиця 1'!$L:$L,"НЕ уражено"))</f>
        <v/>
      </c>
    </row>
    <row r="496">
      <c r="A496" s="273">
        <f>IF(A495="","",IF(A495+1&gt;MAX('Таблиця 1'!$B:$B),"",A495+1))</f>
        <v/>
      </c>
      <c r="B496">
        <f>IF($A496="","",COUNTIFS('Таблиця 1'!$B:$B,$A496,'Таблиця 1'!$I:$I,"Mi-8")+COUNTIFS('Таблиця 1'!$B:$B,$A496,'Таблиця 1'!$I:$I,"Mi-24"))</f>
        <v/>
      </c>
      <c r="C496">
        <f>IF($A496="","",COUNTIFS('Таблиця 1'!$B:$B,$A496,'Таблиця 1'!$I:$I,"Mi-8"))</f>
        <v/>
      </c>
      <c r="D496">
        <f>IF($A496="","",COUNTIFS('Таблиця 1'!$B:$B,$A496,'Таблиця 1'!$I:$I,"Mi-24"))</f>
        <v/>
      </c>
      <c r="E496">
        <f>IF($A496="","",SUMIFS('Таблиця 1'!$K:$K,'Таблиця 1'!$B:$B,$A496,'Таблиця 1'!$I:$I,"Mi-8",'Таблиця 1'!$J:$J,"ARS-8")+SUMIFS('Таблиця 1'!$K:$K,'Таблиця 1'!$B:$B,$A496,'Таблиця 1'!$I:$I,"Mi-24",'Таблиця 1'!$J:$J,"ARS-8"))</f>
        <v/>
      </c>
      <c r="F496">
        <f>IF($A496="","",SUMIFS('Таблиця 1'!$K:$K,'Таблиця 1'!$B:$B,$A496,'Таблиця 1'!$I:$I,"Mi-8",'Таблиця 1'!$J:$J,"С-8 ком")+SUMIFS('Таблиця 1'!$K:$K,'Таблиця 1'!$B:$B,$A496,'Таблиця 1'!$I:$I,"Mi-24",'Таблиця 1'!$J:$J,"С-8 ком"))</f>
        <v/>
      </c>
      <c r="G496">
        <f>IF($A496="","",SUMIFS('Таблиця 1'!$K:$K,'Таблиця 1'!$B:$B,$A496,'Таблиця 1'!$I:$I,"Mi-8",'Таблиця 1'!$J:$J,"PC-80")+SUMIFS('Таблиця 1'!$K:$K,'Таблиця 1'!$B:$B,$A496,'Таблиця 1'!$I:$I,"Mi-24",'Таблиця 1'!$J:$J,"PC-80"))</f>
        <v/>
      </c>
      <c r="H496">
        <f>IF($A496="","",SUMIFS('Таблиця 1'!$K:$K,'Таблиця 1'!$B:$B,$A496,'Таблиця 1'!$I:$I,"Mi-8",'Таблиця 1'!$J:$J,"UAR-80")+SUMIFS('Таблиця 1'!$K:$K,'Таблиця 1'!$B:$B,$A496,'Таблиця 1'!$I:$I,"Mi-24",'Таблиця 1'!$J:$J,"UAR-80"))</f>
        <v/>
      </c>
      <c r="I496">
        <f>IF($A496="","",SUMIFS('Таблиця 1'!$K:$K,'Таблиця 1'!$B:$B,$A496,'Таблиця 1'!$I:$I,"Mi-8",'Таблиця 1'!$J:$J,"C-13")+SUMIFS('Таблиця 1'!$K:$K,'Таблиця 1'!$B:$B,$A496,'Таблиця 1'!$I:$I,"Mi-24",'Таблиця 1'!$J:$J,"C-13"))</f>
        <v/>
      </c>
      <c r="J496">
        <f>IF($A496="","",SUMIFS('Таблиця 1'!$K:$K,'Таблиця 1'!$B:$B,$A496,'Таблиця 1'!$I:$I,"Mi-8",'Таблиця 1'!$J:$J,"Hydra-70")+SUMIFS('Таблиця 1'!$K:$K,'Таблиця 1'!$B:$B,$A496,'Таблиця 1'!$I:$I,"Mi-24",'Таблиця 1'!$J:$J,"Hydra-70"))</f>
        <v/>
      </c>
      <c r="K496">
        <f>IF($A496="","",SUMIFS('Таблиця 1'!$K:$K,'Таблиця 1'!$B:$B,$A496,'Таблиця 1'!$I:$I,"Mi-8",'Таблиця 1'!$J:$J,"Thales-70")+SUMIFS('Таблиця 1'!$K:$K,'Таблиця 1'!$B:$B,$A496,'Таблиця 1'!$I:$I,"Mi-24",'Таблиця 1'!$J:$J,"Thales-70"))</f>
        <v/>
      </c>
      <c r="L496">
        <f>IF($A496="","",SUMIFS('Таблиця 1'!$K:$K,'Таблиця 1'!$B:$B,$A496,'Таблиця 1'!$I:$I,"Mi-8",'Таблиця 1'!$J:$J,"Thales-FZ")+SUMIFS('Таблиця 1'!$K:$K,'Таблиця 1'!$B:$B,$A496,'Таблиця 1'!$I:$I,"Mi-24",'Таблиця 1'!$J:$J,"Thales-FZ"))</f>
        <v/>
      </c>
      <c r="M496">
        <f>IF($A496="","",SUMIFS('Таблиця 1'!$K:$K,'Таблиця 1'!$B:$B,$A496,'Таблиця 1'!$I:$I,"Mi-8",'Таблиця 1'!$J:$J,"МК-40")+SUMIFS('Таблиця 1'!$K:$K,'Таблиця 1'!$B:$B,$A496,'Таблиця 1'!$I:$I,"Mi-24",'Таблиця 1'!$J:$J,"МК-40"))</f>
        <v/>
      </c>
      <c r="N496">
        <f>IF($A496="","",SUMIFS('Таблиця 1'!$K:$K,'Таблиця 1'!$B:$B,$A496,'Таблиця 1'!$I:$I,"Mi-8",'Таблиця 1'!$J:$J,"Zuni")+SUMIFS('Таблиця 1'!$K:$K,'Таблиця 1'!$B:$B,$A496,'Таблиця 1'!$I:$I,"Mi-24",'Таблиця 1'!$J:$J,"Zuni"))</f>
        <v/>
      </c>
      <c r="O496">
        <f>IF($A496="","",COUNTIFS('Таблиця 1'!$B:$B,$A496,'Таблиця 1'!$I:$I,"Mi-8",'Таблиця 1'!$L:$L,"Уражено")+COUNTIFS('Таблиця 1'!$B:$B,$A496,'Таблиця 1'!$I:$I,"Mi-24",'Таблиця 1'!$L:$L,"Уражено"))</f>
        <v/>
      </c>
      <c r="P496">
        <f>IF($A496="","",COUNTIFS('Таблиця 1'!$B:$B,$A496,'Таблиця 1'!$I:$I,"Mi-8",'Таблиця 1'!$L:$L,"НЕ уражено")+COUNTIFS('Таблиця 1'!$B:$B,$A496,'Таблиця 1'!$I:$I,"Mi-24",'Таблиця 1'!$L:$L,"НЕ уражено"))</f>
        <v/>
      </c>
    </row>
    <row r="497">
      <c r="A497" s="273">
        <f>IF(A496="","",IF(A496+1&gt;MAX('Таблиця 1'!$B:$B),"",A496+1))</f>
        <v/>
      </c>
      <c r="B497">
        <f>IF($A497="","",COUNTIFS('Таблиця 1'!$B:$B,$A497,'Таблиця 1'!$I:$I,"Mi-8")+COUNTIFS('Таблиця 1'!$B:$B,$A497,'Таблиця 1'!$I:$I,"Mi-24"))</f>
        <v/>
      </c>
      <c r="C497">
        <f>IF($A497="","",COUNTIFS('Таблиця 1'!$B:$B,$A497,'Таблиця 1'!$I:$I,"Mi-8"))</f>
        <v/>
      </c>
      <c r="D497">
        <f>IF($A497="","",COUNTIFS('Таблиця 1'!$B:$B,$A497,'Таблиця 1'!$I:$I,"Mi-24"))</f>
        <v/>
      </c>
      <c r="E497">
        <f>IF($A497="","",SUMIFS('Таблиця 1'!$K:$K,'Таблиця 1'!$B:$B,$A497,'Таблиця 1'!$I:$I,"Mi-8",'Таблиця 1'!$J:$J,"ARS-8")+SUMIFS('Таблиця 1'!$K:$K,'Таблиця 1'!$B:$B,$A497,'Таблиця 1'!$I:$I,"Mi-24",'Таблиця 1'!$J:$J,"ARS-8"))</f>
        <v/>
      </c>
      <c r="F497">
        <f>IF($A497="","",SUMIFS('Таблиця 1'!$K:$K,'Таблиця 1'!$B:$B,$A497,'Таблиця 1'!$I:$I,"Mi-8",'Таблиця 1'!$J:$J,"С-8 ком")+SUMIFS('Таблиця 1'!$K:$K,'Таблиця 1'!$B:$B,$A497,'Таблиця 1'!$I:$I,"Mi-24",'Таблиця 1'!$J:$J,"С-8 ком"))</f>
        <v/>
      </c>
      <c r="G497">
        <f>IF($A497="","",SUMIFS('Таблиця 1'!$K:$K,'Таблиця 1'!$B:$B,$A497,'Таблиця 1'!$I:$I,"Mi-8",'Таблиця 1'!$J:$J,"PC-80")+SUMIFS('Таблиця 1'!$K:$K,'Таблиця 1'!$B:$B,$A497,'Таблиця 1'!$I:$I,"Mi-24",'Таблиця 1'!$J:$J,"PC-80"))</f>
        <v/>
      </c>
      <c r="H497">
        <f>IF($A497="","",SUMIFS('Таблиця 1'!$K:$K,'Таблиця 1'!$B:$B,$A497,'Таблиця 1'!$I:$I,"Mi-8",'Таблиця 1'!$J:$J,"UAR-80")+SUMIFS('Таблиця 1'!$K:$K,'Таблиця 1'!$B:$B,$A497,'Таблиця 1'!$I:$I,"Mi-24",'Таблиця 1'!$J:$J,"UAR-80"))</f>
        <v/>
      </c>
      <c r="I497">
        <f>IF($A497="","",SUMIFS('Таблиця 1'!$K:$K,'Таблиця 1'!$B:$B,$A497,'Таблиця 1'!$I:$I,"Mi-8",'Таблиця 1'!$J:$J,"C-13")+SUMIFS('Таблиця 1'!$K:$K,'Таблиця 1'!$B:$B,$A497,'Таблиця 1'!$I:$I,"Mi-24",'Таблиця 1'!$J:$J,"C-13"))</f>
        <v/>
      </c>
      <c r="J497">
        <f>IF($A497="","",SUMIFS('Таблиця 1'!$K:$K,'Таблиця 1'!$B:$B,$A497,'Таблиця 1'!$I:$I,"Mi-8",'Таблиця 1'!$J:$J,"Hydra-70")+SUMIFS('Таблиця 1'!$K:$K,'Таблиця 1'!$B:$B,$A497,'Таблиця 1'!$I:$I,"Mi-24",'Таблиця 1'!$J:$J,"Hydra-70"))</f>
        <v/>
      </c>
      <c r="K497">
        <f>IF($A497="","",SUMIFS('Таблиця 1'!$K:$K,'Таблиця 1'!$B:$B,$A497,'Таблиця 1'!$I:$I,"Mi-8",'Таблиця 1'!$J:$J,"Thales-70")+SUMIFS('Таблиця 1'!$K:$K,'Таблиця 1'!$B:$B,$A497,'Таблиця 1'!$I:$I,"Mi-24",'Таблиця 1'!$J:$J,"Thales-70"))</f>
        <v/>
      </c>
      <c r="L497">
        <f>IF($A497="","",SUMIFS('Таблиця 1'!$K:$K,'Таблиця 1'!$B:$B,$A497,'Таблиця 1'!$I:$I,"Mi-8",'Таблиця 1'!$J:$J,"Thales-FZ")+SUMIFS('Таблиця 1'!$K:$K,'Таблиця 1'!$B:$B,$A497,'Таблиця 1'!$I:$I,"Mi-24",'Таблиця 1'!$J:$J,"Thales-FZ"))</f>
        <v/>
      </c>
      <c r="M497">
        <f>IF($A497="","",SUMIFS('Таблиця 1'!$K:$K,'Таблиця 1'!$B:$B,$A497,'Таблиця 1'!$I:$I,"Mi-8",'Таблиця 1'!$J:$J,"МК-40")+SUMIFS('Таблиця 1'!$K:$K,'Таблиця 1'!$B:$B,$A497,'Таблиця 1'!$I:$I,"Mi-24",'Таблиця 1'!$J:$J,"МК-40"))</f>
        <v/>
      </c>
      <c r="N497">
        <f>IF($A497="","",SUMIFS('Таблиця 1'!$K:$K,'Таблиця 1'!$B:$B,$A497,'Таблиця 1'!$I:$I,"Mi-8",'Таблиця 1'!$J:$J,"Zuni")+SUMIFS('Таблиця 1'!$K:$K,'Таблиця 1'!$B:$B,$A497,'Таблиця 1'!$I:$I,"Mi-24",'Таблиця 1'!$J:$J,"Zuni"))</f>
        <v/>
      </c>
      <c r="O497">
        <f>IF($A497="","",COUNTIFS('Таблиця 1'!$B:$B,$A497,'Таблиця 1'!$I:$I,"Mi-8",'Таблиця 1'!$L:$L,"Уражено")+COUNTIFS('Таблиця 1'!$B:$B,$A497,'Таблиця 1'!$I:$I,"Mi-24",'Таблиця 1'!$L:$L,"Уражено"))</f>
        <v/>
      </c>
      <c r="P497">
        <f>IF($A497="","",COUNTIFS('Таблиця 1'!$B:$B,$A497,'Таблиця 1'!$I:$I,"Mi-8",'Таблиця 1'!$L:$L,"НЕ уражено")+COUNTIFS('Таблиця 1'!$B:$B,$A497,'Таблиця 1'!$I:$I,"Mi-24",'Таблиця 1'!$L:$L,"НЕ уражено"))</f>
        <v/>
      </c>
    </row>
    <row r="498">
      <c r="A498" s="273">
        <f>IF(A497="","",IF(A497+1&gt;MAX('Таблиця 1'!$B:$B),"",A497+1))</f>
        <v/>
      </c>
      <c r="B498">
        <f>IF($A498="","",COUNTIFS('Таблиця 1'!$B:$B,$A498,'Таблиця 1'!$I:$I,"Mi-8")+COUNTIFS('Таблиця 1'!$B:$B,$A498,'Таблиця 1'!$I:$I,"Mi-24"))</f>
        <v/>
      </c>
      <c r="C498">
        <f>IF($A498="","",COUNTIFS('Таблиця 1'!$B:$B,$A498,'Таблиця 1'!$I:$I,"Mi-8"))</f>
        <v/>
      </c>
      <c r="D498">
        <f>IF($A498="","",COUNTIFS('Таблиця 1'!$B:$B,$A498,'Таблиця 1'!$I:$I,"Mi-24"))</f>
        <v/>
      </c>
      <c r="E498">
        <f>IF($A498="","",SUMIFS('Таблиця 1'!$K:$K,'Таблиця 1'!$B:$B,$A498,'Таблиця 1'!$I:$I,"Mi-8",'Таблиця 1'!$J:$J,"ARS-8")+SUMIFS('Таблиця 1'!$K:$K,'Таблиця 1'!$B:$B,$A498,'Таблиця 1'!$I:$I,"Mi-24",'Таблиця 1'!$J:$J,"ARS-8"))</f>
        <v/>
      </c>
      <c r="F498">
        <f>IF($A498="","",SUMIFS('Таблиця 1'!$K:$K,'Таблиця 1'!$B:$B,$A498,'Таблиця 1'!$I:$I,"Mi-8",'Таблиця 1'!$J:$J,"С-8 ком")+SUMIFS('Таблиця 1'!$K:$K,'Таблиця 1'!$B:$B,$A498,'Таблиця 1'!$I:$I,"Mi-24",'Таблиця 1'!$J:$J,"С-8 ком"))</f>
        <v/>
      </c>
      <c r="G498">
        <f>IF($A498="","",SUMIFS('Таблиця 1'!$K:$K,'Таблиця 1'!$B:$B,$A498,'Таблиця 1'!$I:$I,"Mi-8",'Таблиця 1'!$J:$J,"PC-80")+SUMIFS('Таблиця 1'!$K:$K,'Таблиця 1'!$B:$B,$A498,'Таблиця 1'!$I:$I,"Mi-24",'Таблиця 1'!$J:$J,"PC-80"))</f>
        <v/>
      </c>
      <c r="H498">
        <f>IF($A498="","",SUMIFS('Таблиця 1'!$K:$K,'Таблиця 1'!$B:$B,$A498,'Таблиця 1'!$I:$I,"Mi-8",'Таблиця 1'!$J:$J,"UAR-80")+SUMIFS('Таблиця 1'!$K:$K,'Таблиця 1'!$B:$B,$A498,'Таблиця 1'!$I:$I,"Mi-24",'Таблиця 1'!$J:$J,"UAR-80"))</f>
        <v/>
      </c>
      <c r="I498">
        <f>IF($A498="","",SUMIFS('Таблиця 1'!$K:$K,'Таблиця 1'!$B:$B,$A498,'Таблиця 1'!$I:$I,"Mi-8",'Таблиця 1'!$J:$J,"C-13")+SUMIFS('Таблиця 1'!$K:$K,'Таблиця 1'!$B:$B,$A498,'Таблиця 1'!$I:$I,"Mi-24",'Таблиця 1'!$J:$J,"C-13"))</f>
        <v/>
      </c>
      <c r="J498">
        <f>IF($A498="","",SUMIFS('Таблиця 1'!$K:$K,'Таблиця 1'!$B:$B,$A498,'Таблиця 1'!$I:$I,"Mi-8",'Таблиця 1'!$J:$J,"Hydra-70")+SUMIFS('Таблиця 1'!$K:$K,'Таблиця 1'!$B:$B,$A498,'Таблиця 1'!$I:$I,"Mi-24",'Таблиця 1'!$J:$J,"Hydra-70"))</f>
        <v/>
      </c>
      <c r="K498">
        <f>IF($A498="","",SUMIFS('Таблиця 1'!$K:$K,'Таблиця 1'!$B:$B,$A498,'Таблиця 1'!$I:$I,"Mi-8",'Таблиця 1'!$J:$J,"Thales-70")+SUMIFS('Таблиця 1'!$K:$K,'Таблиця 1'!$B:$B,$A498,'Таблиця 1'!$I:$I,"Mi-24",'Таблиця 1'!$J:$J,"Thales-70"))</f>
        <v/>
      </c>
      <c r="L498">
        <f>IF($A498="","",SUMIFS('Таблиця 1'!$K:$K,'Таблиця 1'!$B:$B,$A498,'Таблиця 1'!$I:$I,"Mi-8",'Таблиця 1'!$J:$J,"Thales-FZ")+SUMIFS('Таблиця 1'!$K:$K,'Таблиця 1'!$B:$B,$A498,'Таблиця 1'!$I:$I,"Mi-24",'Таблиця 1'!$J:$J,"Thales-FZ"))</f>
        <v/>
      </c>
      <c r="M498">
        <f>IF($A498="","",SUMIFS('Таблиця 1'!$K:$K,'Таблиця 1'!$B:$B,$A498,'Таблиця 1'!$I:$I,"Mi-8",'Таблиця 1'!$J:$J,"МК-40")+SUMIFS('Таблиця 1'!$K:$K,'Таблиця 1'!$B:$B,$A498,'Таблиця 1'!$I:$I,"Mi-24",'Таблиця 1'!$J:$J,"МК-40"))</f>
        <v/>
      </c>
      <c r="N498">
        <f>IF($A498="","",SUMIFS('Таблиця 1'!$K:$K,'Таблиця 1'!$B:$B,$A498,'Таблиця 1'!$I:$I,"Mi-8",'Таблиця 1'!$J:$J,"Zuni")+SUMIFS('Таблиця 1'!$K:$K,'Таблиця 1'!$B:$B,$A498,'Таблиця 1'!$I:$I,"Mi-24",'Таблиця 1'!$J:$J,"Zuni"))</f>
        <v/>
      </c>
      <c r="O498">
        <f>IF($A498="","",COUNTIFS('Таблиця 1'!$B:$B,$A498,'Таблиця 1'!$I:$I,"Mi-8",'Таблиця 1'!$L:$L,"Уражено")+COUNTIFS('Таблиця 1'!$B:$B,$A498,'Таблиця 1'!$I:$I,"Mi-24",'Таблиця 1'!$L:$L,"Уражено"))</f>
        <v/>
      </c>
      <c r="P498">
        <f>IF($A498="","",COUNTIFS('Таблиця 1'!$B:$B,$A498,'Таблиця 1'!$I:$I,"Mi-8",'Таблиця 1'!$L:$L,"НЕ уражено")+COUNTIFS('Таблиця 1'!$B:$B,$A498,'Таблиця 1'!$I:$I,"Mi-24",'Таблиця 1'!$L:$L,"НЕ уражено"))</f>
        <v/>
      </c>
    </row>
    <row r="499">
      <c r="A499" s="273">
        <f>IF(A498="","",IF(A498+1&gt;MAX('Таблиця 1'!$B:$B),"",A498+1))</f>
        <v/>
      </c>
      <c r="B499">
        <f>IF($A499="","",COUNTIFS('Таблиця 1'!$B:$B,$A499,'Таблиця 1'!$I:$I,"Mi-8")+COUNTIFS('Таблиця 1'!$B:$B,$A499,'Таблиця 1'!$I:$I,"Mi-24"))</f>
        <v/>
      </c>
      <c r="C499">
        <f>IF($A499="","",COUNTIFS('Таблиця 1'!$B:$B,$A499,'Таблиця 1'!$I:$I,"Mi-8"))</f>
        <v/>
      </c>
      <c r="D499">
        <f>IF($A499="","",COUNTIFS('Таблиця 1'!$B:$B,$A499,'Таблиця 1'!$I:$I,"Mi-24"))</f>
        <v/>
      </c>
      <c r="E499">
        <f>IF($A499="","",SUMIFS('Таблиця 1'!$K:$K,'Таблиця 1'!$B:$B,$A499,'Таблиця 1'!$I:$I,"Mi-8",'Таблиця 1'!$J:$J,"ARS-8")+SUMIFS('Таблиця 1'!$K:$K,'Таблиця 1'!$B:$B,$A499,'Таблиця 1'!$I:$I,"Mi-24",'Таблиця 1'!$J:$J,"ARS-8"))</f>
        <v/>
      </c>
      <c r="F499">
        <f>IF($A499="","",SUMIFS('Таблиця 1'!$K:$K,'Таблиця 1'!$B:$B,$A499,'Таблиця 1'!$I:$I,"Mi-8",'Таблиця 1'!$J:$J,"С-8 ком")+SUMIFS('Таблиця 1'!$K:$K,'Таблиця 1'!$B:$B,$A499,'Таблиця 1'!$I:$I,"Mi-24",'Таблиця 1'!$J:$J,"С-8 ком"))</f>
        <v/>
      </c>
      <c r="G499">
        <f>IF($A499="","",SUMIFS('Таблиця 1'!$K:$K,'Таблиця 1'!$B:$B,$A499,'Таблиця 1'!$I:$I,"Mi-8",'Таблиця 1'!$J:$J,"PC-80")+SUMIFS('Таблиця 1'!$K:$K,'Таблиця 1'!$B:$B,$A499,'Таблиця 1'!$I:$I,"Mi-24",'Таблиця 1'!$J:$J,"PC-80"))</f>
        <v/>
      </c>
      <c r="H499">
        <f>IF($A499="","",SUMIFS('Таблиця 1'!$K:$K,'Таблиця 1'!$B:$B,$A499,'Таблиця 1'!$I:$I,"Mi-8",'Таблиця 1'!$J:$J,"UAR-80")+SUMIFS('Таблиця 1'!$K:$K,'Таблиця 1'!$B:$B,$A499,'Таблиця 1'!$I:$I,"Mi-24",'Таблиця 1'!$J:$J,"UAR-80"))</f>
        <v/>
      </c>
      <c r="I499">
        <f>IF($A499="","",SUMIFS('Таблиця 1'!$K:$K,'Таблиця 1'!$B:$B,$A499,'Таблиця 1'!$I:$I,"Mi-8",'Таблиця 1'!$J:$J,"C-13")+SUMIFS('Таблиця 1'!$K:$K,'Таблиця 1'!$B:$B,$A499,'Таблиця 1'!$I:$I,"Mi-24",'Таблиця 1'!$J:$J,"C-13"))</f>
        <v/>
      </c>
      <c r="J499">
        <f>IF($A499="","",SUMIFS('Таблиця 1'!$K:$K,'Таблиця 1'!$B:$B,$A499,'Таблиця 1'!$I:$I,"Mi-8",'Таблиця 1'!$J:$J,"Hydra-70")+SUMIFS('Таблиця 1'!$K:$K,'Таблиця 1'!$B:$B,$A499,'Таблиця 1'!$I:$I,"Mi-24",'Таблиця 1'!$J:$J,"Hydra-70"))</f>
        <v/>
      </c>
      <c r="K499">
        <f>IF($A499="","",SUMIFS('Таблиця 1'!$K:$K,'Таблиця 1'!$B:$B,$A499,'Таблиця 1'!$I:$I,"Mi-8",'Таблиця 1'!$J:$J,"Thales-70")+SUMIFS('Таблиця 1'!$K:$K,'Таблиця 1'!$B:$B,$A499,'Таблиця 1'!$I:$I,"Mi-24",'Таблиця 1'!$J:$J,"Thales-70"))</f>
        <v/>
      </c>
      <c r="L499">
        <f>IF($A499="","",SUMIFS('Таблиця 1'!$K:$K,'Таблиця 1'!$B:$B,$A499,'Таблиця 1'!$I:$I,"Mi-8",'Таблиця 1'!$J:$J,"Thales-FZ")+SUMIFS('Таблиця 1'!$K:$K,'Таблиця 1'!$B:$B,$A499,'Таблиця 1'!$I:$I,"Mi-24",'Таблиця 1'!$J:$J,"Thales-FZ"))</f>
        <v/>
      </c>
      <c r="M499">
        <f>IF($A499="","",SUMIFS('Таблиця 1'!$K:$K,'Таблиця 1'!$B:$B,$A499,'Таблиця 1'!$I:$I,"Mi-8",'Таблиця 1'!$J:$J,"МК-40")+SUMIFS('Таблиця 1'!$K:$K,'Таблиця 1'!$B:$B,$A499,'Таблиця 1'!$I:$I,"Mi-24",'Таблиця 1'!$J:$J,"МК-40"))</f>
        <v/>
      </c>
      <c r="N499">
        <f>IF($A499="","",SUMIFS('Таблиця 1'!$K:$K,'Таблиця 1'!$B:$B,$A499,'Таблиця 1'!$I:$I,"Mi-8",'Таблиця 1'!$J:$J,"Zuni")+SUMIFS('Таблиця 1'!$K:$K,'Таблиця 1'!$B:$B,$A499,'Таблиця 1'!$I:$I,"Mi-24",'Таблиця 1'!$J:$J,"Zuni"))</f>
        <v/>
      </c>
      <c r="O499">
        <f>IF($A499="","",COUNTIFS('Таблиця 1'!$B:$B,$A499,'Таблиця 1'!$I:$I,"Mi-8",'Таблиця 1'!$L:$L,"Уражено")+COUNTIFS('Таблиця 1'!$B:$B,$A499,'Таблиця 1'!$I:$I,"Mi-24",'Таблиця 1'!$L:$L,"Уражено"))</f>
        <v/>
      </c>
      <c r="P499">
        <f>IF($A499="","",COUNTIFS('Таблиця 1'!$B:$B,$A499,'Таблиця 1'!$I:$I,"Mi-8",'Таблиця 1'!$L:$L,"НЕ уражено")+COUNTIFS('Таблиця 1'!$B:$B,$A499,'Таблиця 1'!$I:$I,"Mi-24",'Таблиця 1'!$L:$L,"НЕ уражено"))</f>
        <v/>
      </c>
    </row>
    <row r="500">
      <c r="A500" s="273">
        <f>IF(A499="","",IF(A499+1&gt;MAX('Таблиця 1'!$B:$B),"",A499+1))</f>
        <v/>
      </c>
      <c r="B500">
        <f>IF($A500="","",COUNTIFS('Таблиця 1'!$B:$B,$A500,'Таблиця 1'!$I:$I,"Mi-8")+COUNTIFS('Таблиця 1'!$B:$B,$A500,'Таблиця 1'!$I:$I,"Mi-24"))</f>
        <v/>
      </c>
      <c r="C500">
        <f>IF($A500="","",COUNTIFS('Таблиця 1'!$B:$B,$A500,'Таблиця 1'!$I:$I,"Mi-8"))</f>
        <v/>
      </c>
      <c r="D500">
        <f>IF($A500="","",COUNTIFS('Таблиця 1'!$B:$B,$A500,'Таблиця 1'!$I:$I,"Mi-24"))</f>
        <v/>
      </c>
      <c r="E500">
        <f>IF($A500="","",SUMIFS('Таблиця 1'!$K:$K,'Таблиця 1'!$B:$B,$A500,'Таблиця 1'!$I:$I,"Mi-8",'Таблиця 1'!$J:$J,"ARS-8")+SUMIFS('Таблиця 1'!$K:$K,'Таблиця 1'!$B:$B,$A500,'Таблиця 1'!$I:$I,"Mi-24",'Таблиця 1'!$J:$J,"ARS-8"))</f>
        <v/>
      </c>
      <c r="F500">
        <f>IF($A500="","",SUMIFS('Таблиця 1'!$K:$K,'Таблиця 1'!$B:$B,$A500,'Таблиця 1'!$I:$I,"Mi-8",'Таблиця 1'!$J:$J,"С-8 ком")+SUMIFS('Таблиця 1'!$K:$K,'Таблиця 1'!$B:$B,$A500,'Таблиця 1'!$I:$I,"Mi-24",'Таблиця 1'!$J:$J,"С-8 ком"))</f>
        <v/>
      </c>
      <c r="G500">
        <f>IF($A500="","",SUMIFS('Таблиця 1'!$K:$K,'Таблиця 1'!$B:$B,$A500,'Таблиця 1'!$I:$I,"Mi-8",'Таблиця 1'!$J:$J,"PC-80")+SUMIFS('Таблиця 1'!$K:$K,'Таблиця 1'!$B:$B,$A500,'Таблиця 1'!$I:$I,"Mi-24",'Таблиця 1'!$J:$J,"PC-80"))</f>
        <v/>
      </c>
      <c r="H500">
        <f>IF($A500="","",SUMIFS('Таблиця 1'!$K:$K,'Таблиця 1'!$B:$B,$A500,'Таблиця 1'!$I:$I,"Mi-8",'Таблиця 1'!$J:$J,"UAR-80")+SUMIFS('Таблиця 1'!$K:$K,'Таблиця 1'!$B:$B,$A500,'Таблиця 1'!$I:$I,"Mi-24",'Таблиця 1'!$J:$J,"UAR-80"))</f>
        <v/>
      </c>
      <c r="I500">
        <f>IF($A500="","",SUMIFS('Таблиця 1'!$K:$K,'Таблиця 1'!$B:$B,$A500,'Таблиця 1'!$I:$I,"Mi-8",'Таблиця 1'!$J:$J,"C-13")+SUMIFS('Таблиця 1'!$K:$K,'Таблиця 1'!$B:$B,$A500,'Таблиця 1'!$I:$I,"Mi-24",'Таблиця 1'!$J:$J,"C-13"))</f>
        <v/>
      </c>
      <c r="J500">
        <f>IF($A500="","",SUMIFS('Таблиця 1'!$K:$K,'Таблиця 1'!$B:$B,$A500,'Таблиця 1'!$I:$I,"Mi-8",'Таблиця 1'!$J:$J,"Hydra-70")+SUMIFS('Таблиця 1'!$K:$K,'Таблиця 1'!$B:$B,$A500,'Таблиця 1'!$I:$I,"Mi-24",'Таблиця 1'!$J:$J,"Hydra-70"))</f>
        <v/>
      </c>
      <c r="K500">
        <f>IF($A500="","",SUMIFS('Таблиця 1'!$K:$K,'Таблиця 1'!$B:$B,$A500,'Таблиця 1'!$I:$I,"Mi-8",'Таблиця 1'!$J:$J,"Thales-70")+SUMIFS('Таблиця 1'!$K:$K,'Таблиця 1'!$B:$B,$A500,'Таблиця 1'!$I:$I,"Mi-24",'Таблиця 1'!$J:$J,"Thales-70"))</f>
        <v/>
      </c>
      <c r="L500">
        <f>IF($A500="","",SUMIFS('Таблиця 1'!$K:$K,'Таблиця 1'!$B:$B,$A500,'Таблиця 1'!$I:$I,"Mi-8",'Таблиця 1'!$J:$J,"Thales-FZ")+SUMIFS('Таблиця 1'!$K:$K,'Таблиця 1'!$B:$B,$A500,'Таблиця 1'!$I:$I,"Mi-24",'Таблиця 1'!$J:$J,"Thales-FZ"))</f>
        <v/>
      </c>
      <c r="M500">
        <f>IF($A500="","",SUMIFS('Таблиця 1'!$K:$K,'Таблиця 1'!$B:$B,$A500,'Таблиця 1'!$I:$I,"Mi-8",'Таблиця 1'!$J:$J,"МК-40")+SUMIFS('Таблиця 1'!$K:$K,'Таблиця 1'!$B:$B,$A500,'Таблиця 1'!$I:$I,"Mi-24",'Таблиця 1'!$J:$J,"МК-40"))</f>
        <v/>
      </c>
      <c r="N500">
        <f>IF($A500="","",SUMIFS('Таблиця 1'!$K:$K,'Таблиця 1'!$B:$B,$A500,'Таблиця 1'!$I:$I,"Mi-8",'Таблиця 1'!$J:$J,"Zuni")+SUMIFS('Таблиця 1'!$K:$K,'Таблиця 1'!$B:$B,$A500,'Таблиця 1'!$I:$I,"Mi-24",'Таблиця 1'!$J:$J,"Zuni"))</f>
        <v/>
      </c>
      <c r="O500">
        <f>IF($A500="","",COUNTIFS('Таблиця 1'!$B:$B,$A500,'Таблиця 1'!$I:$I,"Mi-8",'Таблиця 1'!$L:$L,"Уражено")+COUNTIFS('Таблиця 1'!$B:$B,$A500,'Таблиця 1'!$I:$I,"Mi-24",'Таблиця 1'!$L:$L,"Уражено"))</f>
        <v/>
      </c>
      <c r="P500">
        <f>IF($A500="","",COUNTIFS('Таблиця 1'!$B:$B,$A500,'Таблиця 1'!$I:$I,"Mi-8",'Таблиця 1'!$L:$L,"НЕ уражено")+COUNTIFS('Таблиця 1'!$B:$B,$A500,'Таблиця 1'!$I:$I,"Mi-24",'Таблиця 1'!$L:$L,"НЕ уражено"))</f>
        <v/>
      </c>
    </row>
    <row r="501">
      <c r="A501" s="273">
        <f>IF(A500="","",IF(A500+1&gt;MAX('Таблиця 1'!$B:$B),"",A500+1))</f>
        <v/>
      </c>
      <c r="B501">
        <f>IF($A501="","",COUNTIFS('Таблиця 1'!$B:$B,$A501,'Таблиця 1'!$I:$I,"Mi-8")+COUNTIFS('Таблиця 1'!$B:$B,$A501,'Таблиця 1'!$I:$I,"Mi-24"))</f>
        <v/>
      </c>
      <c r="C501">
        <f>IF($A501="","",COUNTIFS('Таблиця 1'!$B:$B,$A501,'Таблиця 1'!$I:$I,"Mi-8"))</f>
        <v/>
      </c>
      <c r="D501">
        <f>IF($A501="","",COUNTIFS('Таблиця 1'!$B:$B,$A501,'Таблиця 1'!$I:$I,"Mi-24"))</f>
        <v/>
      </c>
      <c r="E501">
        <f>IF($A501="","",SUMIFS('Таблиця 1'!$K:$K,'Таблиця 1'!$B:$B,$A501,'Таблиця 1'!$I:$I,"Mi-8",'Таблиця 1'!$J:$J,"ARS-8")+SUMIFS('Таблиця 1'!$K:$K,'Таблиця 1'!$B:$B,$A501,'Таблиця 1'!$I:$I,"Mi-24",'Таблиця 1'!$J:$J,"ARS-8"))</f>
        <v/>
      </c>
      <c r="F501">
        <f>IF($A501="","",SUMIFS('Таблиця 1'!$K:$K,'Таблиця 1'!$B:$B,$A501,'Таблиця 1'!$I:$I,"Mi-8",'Таблиця 1'!$J:$J,"С-8 ком")+SUMIFS('Таблиця 1'!$K:$K,'Таблиця 1'!$B:$B,$A501,'Таблиця 1'!$I:$I,"Mi-24",'Таблиця 1'!$J:$J,"С-8 ком"))</f>
        <v/>
      </c>
      <c r="G501">
        <f>IF($A501="","",SUMIFS('Таблиця 1'!$K:$K,'Таблиця 1'!$B:$B,$A501,'Таблиця 1'!$I:$I,"Mi-8",'Таблиця 1'!$J:$J,"PC-80")+SUMIFS('Таблиця 1'!$K:$K,'Таблиця 1'!$B:$B,$A501,'Таблиця 1'!$I:$I,"Mi-24",'Таблиця 1'!$J:$J,"PC-80"))</f>
        <v/>
      </c>
      <c r="H501">
        <f>IF($A501="","",SUMIFS('Таблиця 1'!$K:$K,'Таблиця 1'!$B:$B,$A501,'Таблиця 1'!$I:$I,"Mi-8",'Таблиця 1'!$J:$J,"UAR-80")+SUMIFS('Таблиця 1'!$K:$K,'Таблиця 1'!$B:$B,$A501,'Таблиця 1'!$I:$I,"Mi-24",'Таблиця 1'!$J:$J,"UAR-80"))</f>
        <v/>
      </c>
      <c r="I501">
        <f>IF($A501="","",SUMIFS('Таблиця 1'!$K:$K,'Таблиця 1'!$B:$B,$A501,'Таблиця 1'!$I:$I,"Mi-8",'Таблиця 1'!$J:$J,"C-13")+SUMIFS('Таблиця 1'!$K:$K,'Таблиця 1'!$B:$B,$A501,'Таблиця 1'!$I:$I,"Mi-24",'Таблиця 1'!$J:$J,"C-13"))</f>
        <v/>
      </c>
      <c r="J501">
        <f>IF($A501="","",SUMIFS('Таблиця 1'!$K:$K,'Таблиця 1'!$B:$B,$A501,'Таблиця 1'!$I:$I,"Mi-8",'Таблиця 1'!$J:$J,"Hydra-70")+SUMIFS('Таблиця 1'!$K:$K,'Таблиця 1'!$B:$B,$A501,'Таблиця 1'!$I:$I,"Mi-24",'Таблиця 1'!$J:$J,"Hydra-70"))</f>
        <v/>
      </c>
      <c r="K501">
        <f>IF($A501="","",SUMIFS('Таблиця 1'!$K:$K,'Таблиця 1'!$B:$B,$A501,'Таблиця 1'!$I:$I,"Mi-8",'Таблиця 1'!$J:$J,"Thales-70")+SUMIFS('Таблиця 1'!$K:$K,'Таблиця 1'!$B:$B,$A501,'Таблиця 1'!$I:$I,"Mi-24",'Таблиця 1'!$J:$J,"Thales-70"))</f>
        <v/>
      </c>
      <c r="L501">
        <f>IF($A501="","",SUMIFS('Таблиця 1'!$K:$K,'Таблиця 1'!$B:$B,$A501,'Таблиця 1'!$I:$I,"Mi-8",'Таблиця 1'!$J:$J,"Thales-FZ")+SUMIFS('Таблиця 1'!$K:$K,'Таблиця 1'!$B:$B,$A501,'Таблиця 1'!$I:$I,"Mi-24",'Таблиця 1'!$J:$J,"Thales-FZ"))</f>
        <v/>
      </c>
      <c r="M501">
        <f>IF($A501="","",SUMIFS('Таблиця 1'!$K:$K,'Таблиця 1'!$B:$B,$A501,'Таблиця 1'!$I:$I,"Mi-8",'Таблиця 1'!$J:$J,"МК-40")+SUMIFS('Таблиця 1'!$K:$K,'Таблиця 1'!$B:$B,$A501,'Таблиця 1'!$I:$I,"Mi-24",'Таблиця 1'!$J:$J,"МК-40"))</f>
        <v/>
      </c>
      <c r="N501">
        <f>IF($A501="","",SUMIFS('Таблиця 1'!$K:$K,'Таблиця 1'!$B:$B,$A501,'Таблиця 1'!$I:$I,"Mi-8",'Таблиця 1'!$J:$J,"Zuni")+SUMIFS('Таблиця 1'!$K:$K,'Таблиця 1'!$B:$B,$A501,'Таблиця 1'!$I:$I,"Mi-24",'Таблиця 1'!$J:$J,"Zuni"))</f>
        <v/>
      </c>
      <c r="O501">
        <f>IF($A501="","",COUNTIFS('Таблиця 1'!$B:$B,$A501,'Таблиця 1'!$I:$I,"Mi-8",'Таблиця 1'!$L:$L,"Уражено")+COUNTIFS('Таблиця 1'!$B:$B,$A501,'Таблиця 1'!$I:$I,"Mi-24",'Таблиця 1'!$L:$L,"Уражено"))</f>
        <v/>
      </c>
      <c r="P501">
        <f>IF($A501="","",COUNTIFS('Таблиця 1'!$B:$B,$A501,'Таблиця 1'!$I:$I,"Mi-8",'Таблиця 1'!$L:$L,"НЕ уражено")+COUNTIFS('Таблиця 1'!$B:$B,$A501,'Таблиця 1'!$I:$I,"Mi-24",'Таблиця 1'!$L:$L,"НЕ уражено"))</f>
        <v/>
      </c>
    </row>
    <row r="502">
      <c r="A502" s="273">
        <f>IF(A501="","",IF(A501+1&gt;MAX('Таблиця 1'!$B:$B),"",A501+1))</f>
        <v/>
      </c>
      <c r="B502">
        <f>IF($A502="","",COUNTIFS('Таблиця 1'!$B:$B,$A502,'Таблиця 1'!$I:$I,"Mi-8")+COUNTIFS('Таблиця 1'!$B:$B,$A502,'Таблиця 1'!$I:$I,"Mi-24"))</f>
        <v/>
      </c>
      <c r="C502">
        <f>IF($A502="","",COUNTIFS('Таблиця 1'!$B:$B,$A502,'Таблиця 1'!$I:$I,"Mi-8"))</f>
        <v/>
      </c>
      <c r="D502">
        <f>IF($A502="","",COUNTIFS('Таблиця 1'!$B:$B,$A502,'Таблиця 1'!$I:$I,"Mi-24"))</f>
        <v/>
      </c>
      <c r="E502">
        <f>IF($A502="","",SUMIFS('Таблиця 1'!$K:$K,'Таблиця 1'!$B:$B,$A502,'Таблиця 1'!$I:$I,"Mi-8",'Таблиця 1'!$J:$J,"ARS-8")+SUMIFS('Таблиця 1'!$K:$K,'Таблиця 1'!$B:$B,$A502,'Таблиця 1'!$I:$I,"Mi-24",'Таблиця 1'!$J:$J,"ARS-8"))</f>
        <v/>
      </c>
      <c r="F502">
        <f>IF($A502="","",SUMIFS('Таблиця 1'!$K:$K,'Таблиця 1'!$B:$B,$A502,'Таблиця 1'!$I:$I,"Mi-8",'Таблиця 1'!$J:$J,"С-8 ком")+SUMIFS('Таблиця 1'!$K:$K,'Таблиця 1'!$B:$B,$A502,'Таблиця 1'!$I:$I,"Mi-24",'Таблиця 1'!$J:$J,"С-8 ком"))</f>
        <v/>
      </c>
      <c r="G502">
        <f>IF($A502="","",SUMIFS('Таблиця 1'!$K:$K,'Таблиця 1'!$B:$B,$A502,'Таблиця 1'!$I:$I,"Mi-8",'Таблиця 1'!$J:$J,"PC-80")+SUMIFS('Таблиця 1'!$K:$K,'Таблиця 1'!$B:$B,$A502,'Таблиця 1'!$I:$I,"Mi-24",'Таблиця 1'!$J:$J,"PC-80"))</f>
        <v/>
      </c>
      <c r="H502">
        <f>IF($A502="","",SUMIFS('Таблиця 1'!$K:$K,'Таблиця 1'!$B:$B,$A502,'Таблиця 1'!$I:$I,"Mi-8",'Таблиця 1'!$J:$J,"UAR-80")+SUMIFS('Таблиця 1'!$K:$K,'Таблиця 1'!$B:$B,$A502,'Таблиця 1'!$I:$I,"Mi-24",'Таблиця 1'!$J:$J,"UAR-80"))</f>
        <v/>
      </c>
      <c r="I502">
        <f>IF($A502="","",SUMIFS('Таблиця 1'!$K:$K,'Таблиця 1'!$B:$B,$A502,'Таблиця 1'!$I:$I,"Mi-8",'Таблиця 1'!$J:$J,"C-13")+SUMIFS('Таблиця 1'!$K:$K,'Таблиця 1'!$B:$B,$A502,'Таблиця 1'!$I:$I,"Mi-24",'Таблиця 1'!$J:$J,"C-13"))</f>
        <v/>
      </c>
      <c r="J502">
        <f>IF($A502="","",SUMIFS('Таблиця 1'!$K:$K,'Таблиця 1'!$B:$B,$A502,'Таблиця 1'!$I:$I,"Mi-8",'Таблиця 1'!$J:$J,"Hydra-70")+SUMIFS('Таблиця 1'!$K:$K,'Таблиця 1'!$B:$B,$A502,'Таблиця 1'!$I:$I,"Mi-24",'Таблиця 1'!$J:$J,"Hydra-70"))</f>
        <v/>
      </c>
      <c r="K502">
        <f>IF($A502="","",SUMIFS('Таблиця 1'!$K:$K,'Таблиця 1'!$B:$B,$A502,'Таблиця 1'!$I:$I,"Mi-8",'Таблиця 1'!$J:$J,"Thales-70")+SUMIFS('Таблиця 1'!$K:$K,'Таблиця 1'!$B:$B,$A502,'Таблиця 1'!$I:$I,"Mi-24",'Таблиця 1'!$J:$J,"Thales-70"))</f>
        <v/>
      </c>
      <c r="L502">
        <f>IF($A502="","",SUMIFS('Таблиця 1'!$K:$K,'Таблиця 1'!$B:$B,$A502,'Таблиця 1'!$I:$I,"Mi-8",'Таблиця 1'!$J:$J,"Thales-FZ")+SUMIFS('Таблиця 1'!$K:$K,'Таблиця 1'!$B:$B,$A502,'Таблиця 1'!$I:$I,"Mi-24",'Таблиця 1'!$J:$J,"Thales-FZ"))</f>
        <v/>
      </c>
      <c r="M502">
        <f>IF($A502="","",SUMIFS('Таблиця 1'!$K:$K,'Таблиця 1'!$B:$B,$A502,'Таблиця 1'!$I:$I,"Mi-8",'Таблиця 1'!$J:$J,"МК-40")+SUMIFS('Таблиця 1'!$K:$K,'Таблиця 1'!$B:$B,$A502,'Таблиця 1'!$I:$I,"Mi-24",'Таблиця 1'!$J:$J,"МК-40"))</f>
        <v/>
      </c>
      <c r="N502">
        <f>IF($A502="","",SUMIFS('Таблиця 1'!$K:$K,'Таблиця 1'!$B:$B,$A502,'Таблиця 1'!$I:$I,"Mi-8",'Таблиця 1'!$J:$J,"Zuni")+SUMIFS('Таблиця 1'!$K:$K,'Таблиця 1'!$B:$B,$A502,'Таблиця 1'!$I:$I,"Mi-24",'Таблиця 1'!$J:$J,"Zuni"))</f>
        <v/>
      </c>
      <c r="O502">
        <f>IF($A502="","",COUNTIFS('Таблиця 1'!$B:$B,$A502,'Таблиця 1'!$I:$I,"Mi-8",'Таблиця 1'!$L:$L,"Уражено")+COUNTIFS('Таблиця 1'!$B:$B,$A502,'Таблиця 1'!$I:$I,"Mi-24",'Таблиця 1'!$L:$L,"Уражено"))</f>
        <v/>
      </c>
      <c r="P502">
        <f>IF($A502="","",COUNTIFS('Таблиця 1'!$B:$B,$A502,'Таблиця 1'!$I:$I,"Mi-8",'Таблиця 1'!$L:$L,"НЕ уражено")+COUNTIFS('Таблиця 1'!$B:$B,$A502,'Таблиця 1'!$I:$I,"Mi-24",'Таблиця 1'!$L:$L,"НЕ уражено"))</f>
        <v/>
      </c>
    </row>
    <row r="503">
      <c r="A503" s="273">
        <f>IF(A502="","",IF(A502+1&gt;MAX('Таблиця 1'!$B:$B),"",A502+1))</f>
        <v/>
      </c>
      <c r="B503">
        <f>IF($A503="","",COUNTIFS('Таблиця 1'!$B:$B,$A503,'Таблиця 1'!$I:$I,"Mi-8")+COUNTIFS('Таблиця 1'!$B:$B,$A503,'Таблиця 1'!$I:$I,"Mi-24"))</f>
        <v/>
      </c>
      <c r="C503">
        <f>IF($A503="","",COUNTIFS('Таблиця 1'!$B:$B,$A503,'Таблиця 1'!$I:$I,"Mi-8"))</f>
        <v/>
      </c>
      <c r="D503">
        <f>IF($A503="","",COUNTIFS('Таблиця 1'!$B:$B,$A503,'Таблиця 1'!$I:$I,"Mi-24"))</f>
        <v/>
      </c>
      <c r="E503">
        <f>IF($A503="","",SUMIFS('Таблиця 1'!$K:$K,'Таблиця 1'!$B:$B,$A503,'Таблиця 1'!$I:$I,"Mi-8",'Таблиця 1'!$J:$J,"ARS-8")+SUMIFS('Таблиця 1'!$K:$K,'Таблиця 1'!$B:$B,$A503,'Таблиця 1'!$I:$I,"Mi-24",'Таблиця 1'!$J:$J,"ARS-8"))</f>
        <v/>
      </c>
      <c r="F503">
        <f>IF($A503="","",SUMIFS('Таблиця 1'!$K:$K,'Таблиця 1'!$B:$B,$A503,'Таблиця 1'!$I:$I,"Mi-8",'Таблиця 1'!$J:$J,"С-8 ком")+SUMIFS('Таблиця 1'!$K:$K,'Таблиця 1'!$B:$B,$A503,'Таблиця 1'!$I:$I,"Mi-24",'Таблиця 1'!$J:$J,"С-8 ком"))</f>
        <v/>
      </c>
      <c r="G503">
        <f>IF($A503="","",SUMIFS('Таблиця 1'!$K:$K,'Таблиця 1'!$B:$B,$A503,'Таблиця 1'!$I:$I,"Mi-8",'Таблиця 1'!$J:$J,"PC-80")+SUMIFS('Таблиця 1'!$K:$K,'Таблиця 1'!$B:$B,$A503,'Таблиця 1'!$I:$I,"Mi-24",'Таблиця 1'!$J:$J,"PC-80"))</f>
        <v/>
      </c>
      <c r="H503">
        <f>IF($A503="","",SUMIFS('Таблиця 1'!$K:$K,'Таблиця 1'!$B:$B,$A503,'Таблиця 1'!$I:$I,"Mi-8",'Таблиця 1'!$J:$J,"UAR-80")+SUMIFS('Таблиця 1'!$K:$K,'Таблиця 1'!$B:$B,$A503,'Таблиця 1'!$I:$I,"Mi-24",'Таблиця 1'!$J:$J,"UAR-80"))</f>
        <v/>
      </c>
      <c r="I503">
        <f>IF($A503="","",SUMIFS('Таблиця 1'!$K:$K,'Таблиця 1'!$B:$B,$A503,'Таблиця 1'!$I:$I,"Mi-8",'Таблиця 1'!$J:$J,"C-13")+SUMIFS('Таблиця 1'!$K:$K,'Таблиця 1'!$B:$B,$A503,'Таблиця 1'!$I:$I,"Mi-24",'Таблиця 1'!$J:$J,"C-13"))</f>
        <v/>
      </c>
      <c r="J503">
        <f>IF($A503="","",SUMIFS('Таблиця 1'!$K:$K,'Таблиця 1'!$B:$B,$A503,'Таблиця 1'!$I:$I,"Mi-8",'Таблиця 1'!$J:$J,"Hydra-70")+SUMIFS('Таблиця 1'!$K:$K,'Таблиця 1'!$B:$B,$A503,'Таблиця 1'!$I:$I,"Mi-24",'Таблиця 1'!$J:$J,"Hydra-70"))</f>
        <v/>
      </c>
      <c r="K503">
        <f>IF($A503="","",SUMIFS('Таблиця 1'!$K:$K,'Таблиця 1'!$B:$B,$A503,'Таблиця 1'!$I:$I,"Mi-8",'Таблиця 1'!$J:$J,"Thales-70")+SUMIFS('Таблиця 1'!$K:$K,'Таблиця 1'!$B:$B,$A503,'Таблиця 1'!$I:$I,"Mi-24",'Таблиця 1'!$J:$J,"Thales-70"))</f>
        <v/>
      </c>
      <c r="L503">
        <f>IF($A503="","",SUMIFS('Таблиця 1'!$K:$K,'Таблиця 1'!$B:$B,$A503,'Таблиця 1'!$I:$I,"Mi-8",'Таблиця 1'!$J:$J,"Thales-FZ")+SUMIFS('Таблиця 1'!$K:$K,'Таблиця 1'!$B:$B,$A503,'Таблиця 1'!$I:$I,"Mi-24",'Таблиця 1'!$J:$J,"Thales-FZ"))</f>
        <v/>
      </c>
      <c r="M503">
        <f>IF($A503="","",SUMIFS('Таблиця 1'!$K:$K,'Таблиця 1'!$B:$B,$A503,'Таблиця 1'!$I:$I,"Mi-8",'Таблиця 1'!$J:$J,"МК-40")+SUMIFS('Таблиця 1'!$K:$K,'Таблиця 1'!$B:$B,$A503,'Таблиця 1'!$I:$I,"Mi-24",'Таблиця 1'!$J:$J,"МК-40"))</f>
        <v/>
      </c>
      <c r="N503">
        <f>IF($A503="","",SUMIFS('Таблиця 1'!$K:$K,'Таблиця 1'!$B:$B,$A503,'Таблиця 1'!$I:$I,"Mi-8",'Таблиця 1'!$J:$J,"Zuni")+SUMIFS('Таблиця 1'!$K:$K,'Таблиця 1'!$B:$B,$A503,'Таблиця 1'!$I:$I,"Mi-24",'Таблиця 1'!$J:$J,"Zuni"))</f>
        <v/>
      </c>
      <c r="O503">
        <f>IF($A503="","",COUNTIFS('Таблиця 1'!$B:$B,$A503,'Таблиця 1'!$I:$I,"Mi-8",'Таблиця 1'!$L:$L,"Уражено")+COUNTIFS('Таблиця 1'!$B:$B,$A503,'Таблиця 1'!$I:$I,"Mi-24",'Таблиця 1'!$L:$L,"Уражено"))</f>
        <v/>
      </c>
      <c r="P503">
        <f>IF($A503="","",COUNTIFS('Таблиця 1'!$B:$B,$A503,'Таблиця 1'!$I:$I,"Mi-8",'Таблиця 1'!$L:$L,"НЕ уражено")+COUNTIFS('Таблиця 1'!$B:$B,$A503,'Таблиця 1'!$I:$I,"Mi-24",'Таблиця 1'!$L:$L,"НЕ уражено"))</f>
        <v/>
      </c>
    </row>
    <row r="504">
      <c r="A504" s="273">
        <f>IF(A503="","",IF(A503+1&gt;MAX('Таблиця 1'!$B:$B),"",A503+1))</f>
        <v/>
      </c>
      <c r="B504">
        <f>IF($A504="","",COUNTIFS('Таблиця 1'!$B:$B,$A504,'Таблиця 1'!$I:$I,"Mi-8")+COUNTIFS('Таблиця 1'!$B:$B,$A504,'Таблиця 1'!$I:$I,"Mi-24"))</f>
        <v/>
      </c>
      <c r="C504">
        <f>IF($A504="","",COUNTIFS('Таблиця 1'!$B:$B,$A504,'Таблиця 1'!$I:$I,"Mi-8"))</f>
        <v/>
      </c>
      <c r="D504">
        <f>IF($A504="","",COUNTIFS('Таблиця 1'!$B:$B,$A504,'Таблиця 1'!$I:$I,"Mi-24"))</f>
        <v/>
      </c>
      <c r="E504">
        <f>IF($A504="","",SUMIFS('Таблиця 1'!$K:$K,'Таблиця 1'!$B:$B,$A504,'Таблиця 1'!$I:$I,"Mi-8",'Таблиця 1'!$J:$J,"ARS-8")+SUMIFS('Таблиця 1'!$K:$K,'Таблиця 1'!$B:$B,$A504,'Таблиця 1'!$I:$I,"Mi-24",'Таблиця 1'!$J:$J,"ARS-8"))</f>
        <v/>
      </c>
      <c r="F504">
        <f>IF($A504="","",SUMIFS('Таблиця 1'!$K:$K,'Таблиця 1'!$B:$B,$A504,'Таблиця 1'!$I:$I,"Mi-8",'Таблиця 1'!$J:$J,"С-8 ком")+SUMIFS('Таблиця 1'!$K:$K,'Таблиця 1'!$B:$B,$A504,'Таблиця 1'!$I:$I,"Mi-24",'Таблиця 1'!$J:$J,"С-8 ком"))</f>
        <v/>
      </c>
      <c r="G504">
        <f>IF($A504="","",SUMIFS('Таблиця 1'!$K:$K,'Таблиця 1'!$B:$B,$A504,'Таблиця 1'!$I:$I,"Mi-8",'Таблиця 1'!$J:$J,"PC-80")+SUMIFS('Таблиця 1'!$K:$K,'Таблиця 1'!$B:$B,$A504,'Таблиця 1'!$I:$I,"Mi-24",'Таблиця 1'!$J:$J,"PC-80"))</f>
        <v/>
      </c>
      <c r="H504">
        <f>IF($A504="","",SUMIFS('Таблиця 1'!$K:$K,'Таблиця 1'!$B:$B,$A504,'Таблиця 1'!$I:$I,"Mi-8",'Таблиця 1'!$J:$J,"UAR-80")+SUMIFS('Таблиця 1'!$K:$K,'Таблиця 1'!$B:$B,$A504,'Таблиця 1'!$I:$I,"Mi-24",'Таблиця 1'!$J:$J,"UAR-80"))</f>
        <v/>
      </c>
      <c r="I504">
        <f>IF($A504="","",SUMIFS('Таблиця 1'!$K:$K,'Таблиця 1'!$B:$B,$A504,'Таблиця 1'!$I:$I,"Mi-8",'Таблиця 1'!$J:$J,"C-13")+SUMIFS('Таблиця 1'!$K:$K,'Таблиця 1'!$B:$B,$A504,'Таблиця 1'!$I:$I,"Mi-24",'Таблиця 1'!$J:$J,"C-13"))</f>
        <v/>
      </c>
      <c r="J504">
        <f>IF($A504="","",SUMIFS('Таблиця 1'!$K:$K,'Таблиця 1'!$B:$B,$A504,'Таблиця 1'!$I:$I,"Mi-8",'Таблиця 1'!$J:$J,"Hydra-70")+SUMIFS('Таблиця 1'!$K:$K,'Таблиця 1'!$B:$B,$A504,'Таблиця 1'!$I:$I,"Mi-24",'Таблиця 1'!$J:$J,"Hydra-70"))</f>
        <v/>
      </c>
      <c r="K504">
        <f>IF($A504="","",SUMIFS('Таблиця 1'!$K:$K,'Таблиця 1'!$B:$B,$A504,'Таблиця 1'!$I:$I,"Mi-8",'Таблиця 1'!$J:$J,"Thales-70")+SUMIFS('Таблиця 1'!$K:$K,'Таблиця 1'!$B:$B,$A504,'Таблиця 1'!$I:$I,"Mi-24",'Таблиця 1'!$J:$J,"Thales-70"))</f>
        <v/>
      </c>
      <c r="L504">
        <f>IF($A504="","",SUMIFS('Таблиця 1'!$K:$K,'Таблиця 1'!$B:$B,$A504,'Таблиця 1'!$I:$I,"Mi-8",'Таблиця 1'!$J:$J,"Thales-FZ")+SUMIFS('Таблиця 1'!$K:$K,'Таблиця 1'!$B:$B,$A504,'Таблиця 1'!$I:$I,"Mi-24",'Таблиця 1'!$J:$J,"Thales-FZ"))</f>
        <v/>
      </c>
      <c r="M504">
        <f>IF($A504="","",SUMIFS('Таблиця 1'!$K:$K,'Таблиця 1'!$B:$B,$A504,'Таблиця 1'!$I:$I,"Mi-8",'Таблиця 1'!$J:$J,"МК-40")+SUMIFS('Таблиця 1'!$K:$K,'Таблиця 1'!$B:$B,$A504,'Таблиця 1'!$I:$I,"Mi-24",'Таблиця 1'!$J:$J,"МК-40"))</f>
        <v/>
      </c>
      <c r="N504">
        <f>IF($A504="","",SUMIFS('Таблиця 1'!$K:$K,'Таблиця 1'!$B:$B,$A504,'Таблиця 1'!$I:$I,"Mi-8",'Таблиця 1'!$J:$J,"Zuni")+SUMIFS('Таблиця 1'!$K:$K,'Таблиця 1'!$B:$B,$A504,'Таблиця 1'!$I:$I,"Mi-24",'Таблиця 1'!$J:$J,"Zuni"))</f>
        <v/>
      </c>
      <c r="O504">
        <f>IF($A504="","",COUNTIFS('Таблиця 1'!$B:$B,$A504,'Таблиця 1'!$I:$I,"Mi-8",'Таблиця 1'!$L:$L,"Уражено")+COUNTIFS('Таблиця 1'!$B:$B,$A504,'Таблиця 1'!$I:$I,"Mi-24",'Таблиця 1'!$L:$L,"Уражено"))</f>
        <v/>
      </c>
      <c r="P504">
        <f>IF($A504="","",COUNTIFS('Таблиця 1'!$B:$B,$A504,'Таблиця 1'!$I:$I,"Mi-8",'Таблиця 1'!$L:$L,"НЕ уражено")+COUNTIFS('Таблиця 1'!$B:$B,$A504,'Таблиця 1'!$I:$I,"Mi-24",'Таблиця 1'!$L:$L,"НЕ уражено"))</f>
        <v/>
      </c>
    </row>
    <row r="505">
      <c r="A505" s="273">
        <f>IF(A504="","",IF(A504+1&gt;MAX('Таблиця 1'!$B:$B),"",A504+1))</f>
        <v/>
      </c>
      <c r="B505">
        <f>IF($A505="","",COUNTIFS('Таблиця 1'!$B:$B,$A505,'Таблиця 1'!$I:$I,"Mi-8")+COUNTIFS('Таблиця 1'!$B:$B,$A505,'Таблиця 1'!$I:$I,"Mi-24"))</f>
        <v/>
      </c>
      <c r="C505">
        <f>IF($A505="","",COUNTIFS('Таблиця 1'!$B:$B,$A505,'Таблиця 1'!$I:$I,"Mi-8"))</f>
        <v/>
      </c>
      <c r="D505">
        <f>IF($A505="","",COUNTIFS('Таблиця 1'!$B:$B,$A505,'Таблиця 1'!$I:$I,"Mi-24"))</f>
        <v/>
      </c>
      <c r="E505">
        <f>IF($A505="","",SUMIFS('Таблиця 1'!$K:$K,'Таблиця 1'!$B:$B,$A505,'Таблиця 1'!$I:$I,"Mi-8",'Таблиця 1'!$J:$J,"ARS-8")+SUMIFS('Таблиця 1'!$K:$K,'Таблиця 1'!$B:$B,$A505,'Таблиця 1'!$I:$I,"Mi-24",'Таблиця 1'!$J:$J,"ARS-8"))</f>
        <v/>
      </c>
      <c r="F505">
        <f>IF($A505="","",SUMIFS('Таблиця 1'!$K:$K,'Таблиця 1'!$B:$B,$A505,'Таблиця 1'!$I:$I,"Mi-8",'Таблиця 1'!$J:$J,"С-8 ком")+SUMIFS('Таблиця 1'!$K:$K,'Таблиця 1'!$B:$B,$A505,'Таблиця 1'!$I:$I,"Mi-24",'Таблиця 1'!$J:$J,"С-8 ком"))</f>
        <v/>
      </c>
      <c r="G505">
        <f>IF($A505="","",SUMIFS('Таблиця 1'!$K:$K,'Таблиця 1'!$B:$B,$A505,'Таблиця 1'!$I:$I,"Mi-8",'Таблиця 1'!$J:$J,"PC-80")+SUMIFS('Таблиця 1'!$K:$K,'Таблиця 1'!$B:$B,$A505,'Таблиця 1'!$I:$I,"Mi-24",'Таблиця 1'!$J:$J,"PC-80"))</f>
        <v/>
      </c>
      <c r="H505">
        <f>IF($A505="","",SUMIFS('Таблиця 1'!$K:$K,'Таблиця 1'!$B:$B,$A505,'Таблиця 1'!$I:$I,"Mi-8",'Таблиця 1'!$J:$J,"UAR-80")+SUMIFS('Таблиця 1'!$K:$K,'Таблиця 1'!$B:$B,$A505,'Таблиця 1'!$I:$I,"Mi-24",'Таблиця 1'!$J:$J,"UAR-80"))</f>
        <v/>
      </c>
      <c r="I505">
        <f>IF($A505="","",SUMIFS('Таблиця 1'!$K:$K,'Таблиця 1'!$B:$B,$A505,'Таблиця 1'!$I:$I,"Mi-8",'Таблиця 1'!$J:$J,"C-13")+SUMIFS('Таблиця 1'!$K:$K,'Таблиця 1'!$B:$B,$A505,'Таблиця 1'!$I:$I,"Mi-24",'Таблиця 1'!$J:$J,"C-13"))</f>
        <v/>
      </c>
      <c r="J505">
        <f>IF($A505="","",SUMIFS('Таблиця 1'!$K:$K,'Таблиця 1'!$B:$B,$A505,'Таблиця 1'!$I:$I,"Mi-8",'Таблиця 1'!$J:$J,"Hydra-70")+SUMIFS('Таблиця 1'!$K:$K,'Таблиця 1'!$B:$B,$A505,'Таблиця 1'!$I:$I,"Mi-24",'Таблиця 1'!$J:$J,"Hydra-70"))</f>
        <v/>
      </c>
      <c r="K505">
        <f>IF($A505="","",SUMIFS('Таблиця 1'!$K:$K,'Таблиця 1'!$B:$B,$A505,'Таблиця 1'!$I:$I,"Mi-8",'Таблиця 1'!$J:$J,"Thales-70")+SUMIFS('Таблиця 1'!$K:$K,'Таблиця 1'!$B:$B,$A505,'Таблиця 1'!$I:$I,"Mi-24",'Таблиця 1'!$J:$J,"Thales-70"))</f>
        <v/>
      </c>
      <c r="L505">
        <f>IF($A505="","",SUMIFS('Таблиця 1'!$K:$K,'Таблиця 1'!$B:$B,$A505,'Таблиця 1'!$I:$I,"Mi-8",'Таблиця 1'!$J:$J,"Thales-FZ")+SUMIFS('Таблиця 1'!$K:$K,'Таблиця 1'!$B:$B,$A505,'Таблиця 1'!$I:$I,"Mi-24",'Таблиця 1'!$J:$J,"Thales-FZ"))</f>
        <v/>
      </c>
      <c r="M505">
        <f>IF($A505="","",SUMIFS('Таблиця 1'!$K:$K,'Таблиця 1'!$B:$B,$A505,'Таблиця 1'!$I:$I,"Mi-8",'Таблиця 1'!$J:$J,"МК-40")+SUMIFS('Таблиця 1'!$K:$K,'Таблиця 1'!$B:$B,$A505,'Таблиця 1'!$I:$I,"Mi-24",'Таблиця 1'!$J:$J,"МК-40"))</f>
        <v/>
      </c>
      <c r="N505">
        <f>IF($A505="","",SUMIFS('Таблиця 1'!$K:$K,'Таблиця 1'!$B:$B,$A505,'Таблиця 1'!$I:$I,"Mi-8",'Таблиця 1'!$J:$J,"Zuni")+SUMIFS('Таблиця 1'!$K:$K,'Таблиця 1'!$B:$B,$A505,'Таблиця 1'!$I:$I,"Mi-24",'Таблиця 1'!$J:$J,"Zuni"))</f>
        <v/>
      </c>
      <c r="O505">
        <f>IF($A505="","",COUNTIFS('Таблиця 1'!$B:$B,$A505,'Таблиця 1'!$I:$I,"Mi-8",'Таблиця 1'!$L:$L,"Уражено")+COUNTIFS('Таблиця 1'!$B:$B,$A505,'Таблиця 1'!$I:$I,"Mi-24",'Таблиця 1'!$L:$L,"Уражено"))</f>
        <v/>
      </c>
      <c r="P505">
        <f>IF($A505="","",COUNTIFS('Таблиця 1'!$B:$B,$A505,'Таблиця 1'!$I:$I,"Mi-8",'Таблиця 1'!$L:$L,"НЕ уражено")+COUNTIFS('Таблиця 1'!$B:$B,$A505,'Таблиця 1'!$I:$I,"Mi-24",'Таблиця 1'!$L:$L,"НЕ уражено"))</f>
        <v/>
      </c>
    </row>
    <row r="506">
      <c r="A506" s="273">
        <f>IF(A505="","",IF(A505+1&gt;MAX('Таблиця 1'!$B:$B),"",A505+1))</f>
        <v/>
      </c>
      <c r="B506">
        <f>IF($A506="","",COUNTIFS('Таблиця 1'!$B:$B,$A506,'Таблиця 1'!$I:$I,"Mi-8")+COUNTIFS('Таблиця 1'!$B:$B,$A506,'Таблиця 1'!$I:$I,"Mi-24"))</f>
        <v/>
      </c>
      <c r="C506">
        <f>IF($A506="","",COUNTIFS('Таблиця 1'!$B:$B,$A506,'Таблиця 1'!$I:$I,"Mi-8"))</f>
        <v/>
      </c>
      <c r="D506">
        <f>IF($A506="","",COUNTIFS('Таблиця 1'!$B:$B,$A506,'Таблиця 1'!$I:$I,"Mi-24"))</f>
        <v/>
      </c>
      <c r="E506">
        <f>IF($A506="","",SUMIFS('Таблиця 1'!$K:$K,'Таблиця 1'!$B:$B,$A506,'Таблиця 1'!$I:$I,"Mi-8",'Таблиця 1'!$J:$J,"ARS-8")+SUMIFS('Таблиця 1'!$K:$K,'Таблиця 1'!$B:$B,$A506,'Таблиця 1'!$I:$I,"Mi-24",'Таблиця 1'!$J:$J,"ARS-8"))</f>
        <v/>
      </c>
      <c r="F506">
        <f>IF($A506="","",SUMIFS('Таблиця 1'!$K:$K,'Таблиця 1'!$B:$B,$A506,'Таблиця 1'!$I:$I,"Mi-8",'Таблиця 1'!$J:$J,"С-8 ком")+SUMIFS('Таблиця 1'!$K:$K,'Таблиця 1'!$B:$B,$A506,'Таблиця 1'!$I:$I,"Mi-24",'Таблиця 1'!$J:$J,"С-8 ком"))</f>
        <v/>
      </c>
      <c r="G506">
        <f>IF($A506="","",SUMIFS('Таблиця 1'!$K:$K,'Таблиця 1'!$B:$B,$A506,'Таблиця 1'!$I:$I,"Mi-8",'Таблиця 1'!$J:$J,"PC-80")+SUMIFS('Таблиця 1'!$K:$K,'Таблиця 1'!$B:$B,$A506,'Таблиця 1'!$I:$I,"Mi-24",'Таблиця 1'!$J:$J,"PC-80"))</f>
        <v/>
      </c>
      <c r="H506">
        <f>IF($A506="","",SUMIFS('Таблиця 1'!$K:$K,'Таблиця 1'!$B:$B,$A506,'Таблиця 1'!$I:$I,"Mi-8",'Таблиця 1'!$J:$J,"UAR-80")+SUMIFS('Таблиця 1'!$K:$K,'Таблиця 1'!$B:$B,$A506,'Таблиця 1'!$I:$I,"Mi-24",'Таблиця 1'!$J:$J,"UAR-80"))</f>
        <v/>
      </c>
      <c r="I506">
        <f>IF($A506="","",SUMIFS('Таблиця 1'!$K:$K,'Таблиця 1'!$B:$B,$A506,'Таблиця 1'!$I:$I,"Mi-8",'Таблиця 1'!$J:$J,"C-13")+SUMIFS('Таблиця 1'!$K:$K,'Таблиця 1'!$B:$B,$A506,'Таблиця 1'!$I:$I,"Mi-24",'Таблиця 1'!$J:$J,"C-13"))</f>
        <v/>
      </c>
      <c r="J506">
        <f>IF($A506="","",SUMIFS('Таблиця 1'!$K:$K,'Таблиця 1'!$B:$B,$A506,'Таблиця 1'!$I:$I,"Mi-8",'Таблиця 1'!$J:$J,"Hydra-70")+SUMIFS('Таблиця 1'!$K:$K,'Таблиця 1'!$B:$B,$A506,'Таблиця 1'!$I:$I,"Mi-24",'Таблиця 1'!$J:$J,"Hydra-70"))</f>
        <v/>
      </c>
      <c r="K506">
        <f>IF($A506="","",SUMIFS('Таблиця 1'!$K:$K,'Таблиця 1'!$B:$B,$A506,'Таблиця 1'!$I:$I,"Mi-8",'Таблиця 1'!$J:$J,"Thales-70")+SUMIFS('Таблиця 1'!$K:$K,'Таблиця 1'!$B:$B,$A506,'Таблиця 1'!$I:$I,"Mi-24",'Таблиця 1'!$J:$J,"Thales-70"))</f>
        <v/>
      </c>
      <c r="L506">
        <f>IF($A506="","",SUMIFS('Таблиця 1'!$K:$K,'Таблиця 1'!$B:$B,$A506,'Таблиця 1'!$I:$I,"Mi-8",'Таблиця 1'!$J:$J,"Thales-FZ")+SUMIFS('Таблиця 1'!$K:$K,'Таблиця 1'!$B:$B,$A506,'Таблиця 1'!$I:$I,"Mi-24",'Таблиця 1'!$J:$J,"Thales-FZ"))</f>
        <v/>
      </c>
      <c r="M506">
        <f>IF($A506="","",SUMIFS('Таблиця 1'!$K:$K,'Таблиця 1'!$B:$B,$A506,'Таблиця 1'!$I:$I,"Mi-8",'Таблиця 1'!$J:$J,"МК-40")+SUMIFS('Таблиця 1'!$K:$K,'Таблиця 1'!$B:$B,$A506,'Таблиця 1'!$I:$I,"Mi-24",'Таблиця 1'!$J:$J,"МК-40"))</f>
        <v/>
      </c>
      <c r="N506">
        <f>IF($A506="","",SUMIFS('Таблиця 1'!$K:$K,'Таблиця 1'!$B:$B,$A506,'Таблиця 1'!$I:$I,"Mi-8",'Таблиця 1'!$J:$J,"Zuni")+SUMIFS('Таблиця 1'!$K:$K,'Таблиця 1'!$B:$B,$A506,'Таблиця 1'!$I:$I,"Mi-24",'Таблиця 1'!$J:$J,"Zuni"))</f>
        <v/>
      </c>
      <c r="O506">
        <f>IF($A506="","",COUNTIFS('Таблиця 1'!$B:$B,$A506,'Таблиця 1'!$I:$I,"Mi-8",'Таблиця 1'!$L:$L,"Уражено")+COUNTIFS('Таблиця 1'!$B:$B,$A506,'Таблиця 1'!$I:$I,"Mi-24",'Таблиця 1'!$L:$L,"Уражено"))</f>
        <v/>
      </c>
      <c r="P506">
        <f>IF($A506="","",COUNTIFS('Таблиця 1'!$B:$B,$A506,'Таблиця 1'!$I:$I,"Mi-8",'Таблиця 1'!$L:$L,"НЕ уражено")+COUNTIFS('Таблиця 1'!$B:$B,$A506,'Таблиця 1'!$I:$I,"Mi-24",'Таблиця 1'!$L:$L,"НЕ уражено"))</f>
        <v/>
      </c>
    </row>
    <row r="507">
      <c r="A507" s="273">
        <f>IF(A506="","",IF(A506+1&gt;MAX('Таблиця 1'!$B:$B),"",A506+1))</f>
        <v/>
      </c>
      <c r="B507">
        <f>IF($A507="","",COUNTIFS('Таблиця 1'!$B:$B,$A507,'Таблиця 1'!$I:$I,"Mi-8")+COUNTIFS('Таблиця 1'!$B:$B,$A507,'Таблиця 1'!$I:$I,"Mi-24"))</f>
        <v/>
      </c>
      <c r="C507">
        <f>IF($A507="","",COUNTIFS('Таблиця 1'!$B:$B,$A507,'Таблиця 1'!$I:$I,"Mi-8"))</f>
        <v/>
      </c>
      <c r="D507">
        <f>IF($A507="","",COUNTIFS('Таблиця 1'!$B:$B,$A507,'Таблиця 1'!$I:$I,"Mi-24"))</f>
        <v/>
      </c>
      <c r="E507">
        <f>IF($A507="","",SUMIFS('Таблиця 1'!$K:$K,'Таблиця 1'!$B:$B,$A507,'Таблиця 1'!$I:$I,"Mi-8",'Таблиця 1'!$J:$J,"ARS-8")+SUMIFS('Таблиця 1'!$K:$K,'Таблиця 1'!$B:$B,$A507,'Таблиця 1'!$I:$I,"Mi-24",'Таблиця 1'!$J:$J,"ARS-8"))</f>
        <v/>
      </c>
      <c r="F507">
        <f>IF($A507="","",SUMIFS('Таблиця 1'!$K:$K,'Таблиця 1'!$B:$B,$A507,'Таблиця 1'!$I:$I,"Mi-8",'Таблиця 1'!$J:$J,"С-8 ком")+SUMIFS('Таблиця 1'!$K:$K,'Таблиця 1'!$B:$B,$A507,'Таблиця 1'!$I:$I,"Mi-24",'Таблиця 1'!$J:$J,"С-8 ком"))</f>
        <v/>
      </c>
      <c r="G507">
        <f>IF($A507="","",SUMIFS('Таблиця 1'!$K:$K,'Таблиця 1'!$B:$B,$A507,'Таблиця 1'!$I:$I,"Mi-8",'Таблиця 1'!$J:$J,"PC-80")+SUMIFS('Таблиця 1'!$K:$K,'Таблиця 1'!$B:$B,$A507,'Таблиця 1'!$I:$I,"Mi-24",'Таблиця 1'!$J:$J,"PC-80"))</f>
        <v/>
      </c>
      <c r="H507">
        <f>IF($A507="","",SUMIFS('Таблиця 1'!$K:$K,'Таблиця 1'!$B:$B,$A507,'Таблиця 1'!$I:$I,"Mi-8",'Таблиця 1'!$J:$J,"UAR-80")+SUMIFS('Таблиця 1'!$K:$K,'Таблиця 1'!$B:$B,$A507,'Таблиця 1'!$I:$I,"Mi-24",'Таблиця 1'!$J:$J,"UAR-80"))</f>
        <v/>
      </c>
      <c r="I507">
        <f>IF($A507="","",SUMIFS('Таблиця 1'!$K:$K,'Таблиця 1'!$B:$B,$A507,'Таблиця 1'!$I:$I,"Mi-8",'Таблиця 1'!$J:$J,"C-13")+SUMIFS('Таблиця 1'!$K:$K,'Таблиця 1'!$B:$B,$A507,'Таблиця 1'!$I:$I,"Mi-24",'Таблиця 1'!$J:$J,"C-13"))</f>
        <v/>
      </c>
      <c r="J507">
        <f>IF($A507="","",SUMIFS('Таблиця 1'!$K:$K,'Таблиця 1'!$B:$B,$A507,'Таблиця 1'!$I:$I,"Mi-8",'Таблиця 1'!$J:$J,"Hydra-70")+SUMIFS('Таблиця 1'!$K:$K,'Таблиця 1'!$B:$B,$A507,'Таблиця 1'!$I:$I,"Mi-24",'Таблиця 1'!$J:$J,"Hydra-70"))</f>
        <v/>
      </c>
      <c r="K507">
        <f>IF($A507="","",SUMIFS('Таблиця 1'!$K:$K,'Таблиця 1'!$B:$B,$A507,'Таблиця 1'!$I:$I,"Mi-8",'Таблиця 1'!$J:$J,"Thales-70")+SUMIFS('Таблиця 1'!$K:$K,'Таблиця 1'!$B:$B,$A507,'Таблиця 1'!$I:$I,"Mi-24",'Таблиця 1'!$J:$J,"Thales-70"))</f>
        <v/>
      </c>
      <c r="L507">
        <f>IF($A507="","",SUMIFS('Таблиця 1'!$K:$K,'Таблиця 1'!$B:$B,$A507,'Таблиця 1'!$I:$I,"Mi-8",'Таблиця 1'!$J:$J,"Thales-FZ")+SUMIFS('Таблиця 1'!$K:$K,'Таблиця 1'!$B:$B,$A507,'Таблиця 1'!$I:$I,"Mi-24",'Таблиця 1'!$J:$J,"Thales-FZ"))</f>
        <v/>
      </c>
      <c r="M507">
        <f>IF($A507="","",SUMIFS('Таблиця 1'!$K:$K,'Таблиця 1'!$B:$B,$A507,'Таблиця 1'!$I:$I,"Mi-8",'Таблиця 1'!$J:$J,"МК-40")+SUMIFS('Таблиця 1'!$K:$K,'Таблиця 1'!$B:$B,$A507,'Таблиця 1'!$I:$I,"Mi-24",'Таблиця 1'!$J:$J,"МК-40"))</f>
        <v/>
      </c>
      <c r="N507">
        <f>IF($A507="","",SUMIFS('Таблиця 1'!$K:$K,'Таблиця 1'!$B:$B,$A507,'Таблиця 1'!$I:$I,"Mi-8",'Таблиця 1'!$J:$J,"Zuni")+SUMIFS('Таблиця 1'!$K:$K,'Таблиця 1'!$B:$B,$A507,'Таблиця 1'!$I:$I,"Mi-24",'Таблиця 1'!$J:$J,"Zuni"))</f>
        <v/>
      </c>
      <c r="O507">
        <f>IF($A507="","",COUNTIFS('Таблиця 1'!$B:$B,$A507,'Таблиця 1'!$I:$I,"Mi-8",'Таблиця 1'!$L:$L,"Уражено")+COUNTIFS('Таблиця 1'!$B:$B,$A507,'Таблиця 1'!$I:$I,"Mi-24",'Таблиця 1'!$L:$L,"Уражено"))</f>
        <v/>
      </c>
      <c r="P507">
        <f>IF($A507="","",COUNTIFS('Таблиця 1'!$B:$B,$A507,'Таблиця 1'!$I:$I,"Mi-8",'Таблиця 1'!$L:$L,"НЕ уражено")+COUNTIFS('Таблиця 1'!$B:$B,$A507,'Таблиця 1'!$I:$I,"Mi-24",'Таблиця 1'!$L:$L,"НЕ уражено"))</f>
        <v/>
      </c>
    </row>
    <row r="508">
      <c r="A508" s="273">
        <f>IF(A507="","",IF(A507+1&gt;MAX('Таблиця 1'!$B:$B),"",A507+1))</f>
        <v/>
      </c>
      <c r="B508">
        <f>IF($A508="","",COUNTIFS('Таблиця 1'!$B:$B,$A508,'Таблиця 1'!$I:$I,"Mi-8")+COUNTIFS('Таблиця 1'!$B:$B,$A508,'Таблиця 1'!$I:$I,"Mi-24"))</f>
        <v/>
      </c>
      <c r="C508">
        <f>IF($A508="","",COUNTIFS('Таблиця 1'!$B:$B,$A508,'Таблиця 1'!$I:$I,"Mi-8"))</f>
        <v/>
      </c>
      <c r="D508">
        <f>IF($A508="","",COUNTIFS('Таблиця 1'!$B:$B,$A508,'Таблиця 1'!$I:$I,"Mi-24"))</f>
        <v/>
      </c>
      <c r="E508">
        <f>IF($A508="","",SUMIFS('Таблиця 1'!$K:$K,'Таблиця 1'!$B:$B,$A508,'Таблиця 1'!$I:$I,"Mi-8",'Таблиця 1'!$J:$J,"ARS-8")+SUMIFS('Таблиця 1'!$K:$K,'Таблиця 1'!$B:$B,$A508,'Таблиця 1'!$I:$I,"Mi-24",'Таблиця 1'!$J:$J,"ARS-8"))</f>
        <v/>
      </c>
      <c r="F508">
        <f>IF($A508="","",SUMIFS('Таблиця 1'!$K:$K,'Таблиця 1'!$B:$B,$A508,'Таблиця 1'!$I:$I,"Mi-8",'Таблиця 1'!$J:$J,"С-8 ком")+SUMIFS('Таблиця 1'!$K:$K,'Таблиця 1'!$B:$B,$A508,'Таблиця 1'!$I:$I,"Mi-24",'Таблиця 1'!$J:$J,"С-8 ком"))</f>
        <v/>
      </c>
      <c r="G508">
        <f>IF($A508="","",SUMIFS('Таблиця 1'!$K:$K,'Таблиця 1'!$B:$B,$A508,'Таблиця 1'!$I:$I,"Mi-8",'Таблиця 1'!$J:$J,"PC-80")+SUMIFS('Таблиця 1'!$K:$K,'Таблиця 1'!$B:$B,$A508,'Таблиця 1'!$I:$I,"Mi-24",'Таблиця 1'!$J:$J,"PC-80"))</f>
        <v/>
      </c>
      <c r="H508">
        <f>IF($A508="","",SUMIFS('Таблиця 1'!$K:$K,'Таблиця 1'!$B:$B,$A508,'Таблиця 1'!$I:$I,"Mi-8",'Таблиця 1'!$J:$J,"UAR-80")+SUMIFS('Таблиця 1'!$K:$K,'Таблиця 1'!$B:$B,$A508,'Таблиця 1'!$I:$I,"Mi-24",'Таблиця 1'!$J:$J,"UAR-80"))</f>
        <v/>
      </c>
      <c r="I508">
        <f>IF($A508="","",SUMIFS('Таблиця 1'!$K:$K,'Таблиця 1'!$B:$B,$A508,'Таблиця 1'!$I:$I,"Mi-8",'Таблиця 1'!$J:$J,"C-13")+SUMIFS('Таблиця 1'!$K:$K,'Таблиця 1'!$B:$B,$A508,'Таблиця 1'!$I:$I,"Mi-24",'Таблиця 1'!$J:$J,"C-13"))</f>
        <v/>
      </c>
      <c r="J508">
        <f>IF($A508="","",SUMIFS('Таблиця 1'!$K:$K,'Таблиця 1'!$B:$B,$A508,'Таблиця 1'!$I:$I,"Mi-8",'Таблиця 1'!$J:$J,"Hydra-70")+SUMIFS('Таблиця 1'!$K:$K,'Таблиця 1'!$B:$B,$A508,'Таблиця 1'!$I:$I,"Mi-24",'Таблиця 1'!$J:$J,"Hydra-70"))</f>
        <v/>
      </c>
      <c r="K508">
        <f>IF($A508="","",SUMIFS('Таблиця 1'!$K:$K,'Таблиця 1'!$B:$B,$A508,'Таблиця 1'!$I:$I,"Mi-8",'Таблиця 1'!$J:$J,"Thales-70")+SUMIFS('Таблиця 1'!$K:$K,'Таблиця 1'!$B:$B,$A508,'Таблиця 1'!$I:$I,"Mi-24",'Таблиця 1'!$J:$J,"Thales-70"))</f>
        <v/>
      </c>
      <c r="L508">
        <f>IF($A508="","",SUMIFS('Таблиця 1'!$K:$K,'Таблиця 1'!$B:$B,$A508,'Таблиця 1'!$I:$I,"Mi-8",'Таблиця 1'!$J:$J,"Thales-FZ")+SUMIFS('Таблиця 1'!$K:$K,'Таблиця 1'!$B:$B,$A508,'Таблиця 1'!$I:$I,"Mi-24",'Таблиця 1'!$J:$J,"Thales-FZ"))</f>
        <v/>
      </c>
      <c r="M508">
        <f>IF($A508="","",SUMIFS('Таблиця 1'!$K:$K,'Таблиця 1'!$B:$B,$A508,'Таблиця 1'!$I:$I,"Mi-8",'Таблиця 1'!$J:$J,"МК-40")+SUMIFS('Таблиця 1'!$K:$K,'Таблиця 1'!$B:$B,$A508,'Таблиця 1'!$I:$I,"Mi-24",'Таблиця 1'!$J:$J,"МК-40"))</f>
        <v/>
      </c>
      <c r="N508">
        <f>IF($A508="","",SUMIFS('Таблиця 1'!$K:$K,'Таблиця 1'!$B:$B,$A508,'Таблиця 1'!$I:$I,"Mi-8",'Таблиця 1'!$J:$J,"Zuni")+SUMIFS('Таблиця 1'!$K:$K,'Таблиця 1'!$B:$B,$A508,'Таблиця 1'!$I:$I,"Mi-24",'Таблиця 1'!$J:$J,"Zuni"))</f>
        <v/>
      </c>
      <c r="O508">
        <f>IF($A508="","",COUNTIFS('Таблиця 1'!$B:$B,$A508,'Таблиця 1'!$I:$I,"Mi-8",'Таблиця 1'!$L:$L,"Уражено")+COUNTIFS('Таблиця 1'!$B:$B,$A508,'Таблиця 1'!$I:$I,"Mi-24",'Таблиця 1'!$L:$L,"Уражено"))</f>
        <v/>
      </c>
      <c r="P508">
        <f>IF($A508="","",COUNTIFS('Таблиця 1'!$B:$B,$A508,'Таблиця 1'!$I:$I,"Mi-8",'Таблиця 1'!$L:$L,"НЕ уражено")+COUNTIFS('Таблиця 1'!$B:$B,$A508,'Таблиця 1'!$I:$I,"Mi-24",'Таблиця 1'!$L:$L,"НЕ уражено"))</f>
        <v/>
      </c>
    </row>
    <row r="509">
      <c r="A509" s="273">
        <f>IF(A508="","",IF(A508+1&gt;MAX('Таблиця 1'!$B:$B),"",A508+1))</f>
        <v/>
      </c>
      <c r="B509">
        <f>IF($A509="","",COUNTIFS('Таблиця 1'!$B:$B,$A509,'Таблиця 1'!$I:$I,"Mi-8")+COUNTIFS('Таблиця 1'!$B:$B,$A509,'Таблиця 1'!$I:$I,"Mi-24"))</f>
        <v/>
      </c>
      <c r="C509">
        <f>IF($A509="","",COUNTIFS('Таблиця 1'!$B:$B,$A509,'Таблиця 1'!$I:$I,"Mi-8"))</f>
        <v/>
      </c>
      <c r="D509">
        <f>IF($A509="","",COUNTIFS('Таблиця 1'!$B:$B,$A509,'Таблиця 1'!$I:$I,"Mi-24"))</f>
        <v/>
      </c>
      <c r="E509">
        <f>IF($A509="","",SUMIFS('Таблиця 1'!$K:$K,'Таблиця 1'!$B:$B,$A509,'Таблиця 1'!$I:$I,"Mi-8",'Таблиця 1'!$J:$J,"ARS-8")+SUMIFS('Таблиця 1'!$K:$K,'Таблиця 1'!$B:$B,$A509,'Таблиця 1'!$I:$I,"Mi-24",'Таблиця 1'!$J:$J,"ARS-8"))</f>
        <v/>
      </c>
      <c r="F509">
        <f>IF($A509="","",SUMIFS('Таблиця 1'!$K:$K,'Таблиця 1'!$B:$B,$A509,'Таблиця 1'!$I:$I,"Mi-8",'Таблиця 1'!$J:$J,"С-8 ком")+SUMIFS('Таблиця 1'!$K:$K,'Таблиця 1'!$B:$B,$A509,'Таблиця 1'!$I:$I,"Mi-24",'Таблиця 1'!$J:$J,"С-8 ком"))</f>
        <v/>
      </c>
      <c r="G509">
        <f>IF($A509="","",SUMIFS('Таблиця 1'!$K:$K,'Таблиця 1'!$B:$B,$A509,'Таблиця 1'!$I:$I,"Mi-8",'Таблиця 1'!$J:$J,"PC-80")+SUMIFS('Таблиця 1'!$K:$K,'Таблиця 1'!$B:$B,$A509,'Таблиця 1'!$I:$I,"Mi-24",'Таблиця 1'!$J:$J,"PC-80"))</f>
        <v/>
      </c>
      <c r="H509">
        <f>IF($A509="","",SUMIFS('Таблиця 1'!$K:$K,'Таблиця 1'!$B:$B,$A509,'Таблиця 1'!$I:$I,"Mi-8",'Таблиця 1'!$J:$J,"UAR-80")+SUMIFS('Таблиця 1'!$K:$K,'Таблиця 1'!$B:$B,$A509,'Таблиця 1'!$I:$I,"Mi-24",'Таблиця 1'!$J:$J,"UAR-80"))</f>
        <v/>
      </c>
      <c r="I509">
        <f>IF($A509="","",SUMIFS('Таблиця 1'!$K:$K,'Таблиця 1'!$B:$B,$A509,'Таблиця 1'!$I:$I,"Mi-8",'Таблиця 1'!$J:$J,"C-13")+SUMIFS('Таблиця 1'!$K:$K,'Таблиця 1'!$B:$B,$A509,'Таблиця 1'!$I:$I,"Mi-24",'Таблиця 1'!$J:$J,"C-13"))</f>
        <v/>
      </c>
      <c r="J509">
        <f>IF($A509="","",SUMIFS('Таблиця 1'!$K:$K,'Таблиця 1'!$B:$B,$A509,'Таблиця 1'!$I:$I,"Mi-8",'Таблиця 1'!$J:$J,"Hydra-70")+SUMIFS('Таблиця 1'!$K:$K,'Таблиця 1'!$B:$B,$A509,'Таблиця 1'!$I:$I,"Mi-24",'Таблиця 1'!$J:$J,"Hydra-70"))</f>
        <v/>
      </c>
      <c r="K509">
        <f>IF($A509="","",SUMIFS('Таблиця 1'!$K:$K,'Таблиця 1'!$B:$B,$A509,'Таблиця 1'!$I:$I,"Mi-8",'Таблиця 1'!$J:$J,"Thales-70")+SUMIFS('Таблиця 1'!$K:$K,'Таблиця 1'!$B:$B,$A509,'Таблиця 1'!$I:$I,"Mi-24",'Таблиця 1'!$J:$J,"Thales-70"))</f>
        <v/>
      </c>
      <c r="L509">
        <f>IF($A509="","",SUMIFS('Таблиця 1'!$K:$K,'Таблиця 1'!$B:$B,$A509,'Таблиця 1'!$I:$I,"Mi-8",'Таблиця 1'!$J:$J,"Thales-FZ")+SUMIFS('Таблиця 1'!$K:$K,'Таблиця 1'!$B:$B,$A509,'Таблиця 1'!$I:$I,"Mi-24",'Таблиця 1'!$J:$J,"Thales-FZ"))</f>
        <v/>
      </c>
      <c r="M509">
        <f>IF($A509="","",SUMIFS('Таблиця 1'!$K:$K,'Таблиця 1'!$B:$B,$A509,'Таблиця 1'!$I:$I,"Mi-8",'Таблиця 1'!$J:$J,"МК-40")+SUMIFS('Таблиця 1'!$K:$K,'Таблиця 1'!$B:$B,$A509,'Таблиця 1'!$I:$I,"Mi-24",'Таблиця 1'!$J:$J,"МК-40"))</f>
        <v/>
      </c>
      <c r="N509">
        <f>IF($A509="","",SUMIFS('Таблиця 1'!$K:$K,'Таблиця 1'!$B:$B,$A509,'Таблиця 1'!$I:$I,"Mi-8",'Таблиця 1'!$J:$J,"Zuni")+SUMIFS('Таблиця 1'!$K:$K,'Таблиця 1'!$B:$B,$A509,'Таблиця 1'!$I:$I,"Mi-24",'Таблиця 1'!$J:$J,"Zuni"))</f>
        <v/>
      </c>
      <c r="O509">
        <f>IF($A509="","",COUNTIFS('Таблиця 1'!$B:$B,$A509,'Таблиця 1'!$I:$I,"Mi-8",'Таблиця 1'!$L:$L,"Уражено")+COUNTIFS('Таблиця 1'!$B:$B,$A509,'Таблиця 1'!$I:$I,"Mi-24",'Таблиця 1'!$L:$L,"Уражено"))</f>
        <v/>
      </c>
      <c r="P509">
        <f>IF($A509="","",COUNTIFS('Таблиця 1'!$B:$B,$A509,'Таблиця 1'!$I:$I,"Mi-8",'Таблиця 1'!$L:$L,"НЕ уражено")+COUNTIFS('Таблиця 1'!$B:$B,$A509,'Таблиця 1'!$I:$I,"Mi-24",'Таблиця 1'!$L:$L,"НЕ уражено"))</f>
        <v/>
      </c>
    </row>
    <row r="510">
      <c r="A510" s="273">
        <f>IF(A509="","",IF(A509+1&gt;MAX('Таблиця 1'!$B:$B),"",A509+1))</f>
        <v/>
      </c>
      <c r="B510">
        <f>IF($A510="","",COUNTIFS('Таблиця 1'!$B:$B,$A510,'Таблиця 1'!$I:$I,"Mi-8")+COUNTIFS('Таблиця 1'!$B:$B,$A510,'Таблиця 1'!$I:$I,"Mi-24"))</f>
        <v/>
      </c>
      <c r="C510">
        <f>IF($A510="","",COUNTIFS('Таблиця 1'!$B:$B,$A510,'Таблиця 1'!$I:$I,"Mi-8"))</f>
        <v/>
      </c>
      <c r="D510">
        <f>IF($A510="","",COUNTIFS('Таблиця 1'!$B:$B,$A510,'Таблиця 1'!$I:$I,"Mi-24"))</f>
        <v/>
      </c>
      <c r="E510">
        <f>IF($A510="","",SUMIFS('Таблиця 1'!$K:$K,'Таблиця 1'!$B:$B,$A510,'Таблиця 1'!$I:$I,"Mi-8",'Таблиця 1'!$J:$J,"ARS-8")+SUMIFS('Таблиця 1'!$K:$K,'Таблиця 1'!$B:$B,$A510,'Таблиця 1'!$I:$I,"Mi-24",'Таблиця 1'!$J:$J,"ARS-8"))</f>
        <v/>
      </c>
      <c r="F510">
        <f>IF($A510="","",SUMIFS('Таблиця 1'!$K:$K,'Таблиця 1'!$B:$B,$A510,'Таблиця 1'!$I:$I,"Mi-8",'Таблиця 1'!$J:$J,"С-8 ком")+SUMIFS('Таблиця 1'!$K:$K,'Таблиця 1'!$B:$B,$A510,'Таблиця 1'!$I:$I,"Mi-24",'Таблиця 1'!$J:$J,"С-8 ком"))</f>
        <v/>
      </c>
      <c r="G510">
        <f>IF($A510="","",SUMIFS('Таблиця 1'!$K:$K,'Таблиця 1'!$B:$B,$A510,'Таблиця 1'!$I:$I,"Mi-8",'Таблиця 1'!$J:$J,"PC-80")+SUMIFS('Таблиця 1'!$K:$K,'Таблиця 1'!$B:$B,$A510,'Таблиця 1'!$I:$I,"Mi-24",'Таблиця 1'!$J:$J,"PC-80"))</f>
        <v/>
      </c>
      <c r="H510">
        <f>IF($A510="","",SUMIFS('Таблиця 1'!$K:$K,'Таблиця 1'!$B:$B,$A510,'Таблиця 1'!$I:$I,"Mi-8",'Таблиця 1'!$J:$J,"UAR-80")+SUMIFS('Таблиця 1'!$K:$K,'Таблиця 1'!$B:$B,$A510,'Таблиця 1'!$I:$I,"Mi-24",'Таблиця 1'!$J:$J,"UAR-80"))</f>
        <v/>
      </c>
      <c r="I510">
        <f>IF($A510="","",SUMIFS('Таблиця 1'!$K:$K,'Таблиця 1'!$B:$B,$A510,'Таблиця 1'!$I:$I,"Mi-8",'Таблиця 1'!$J:$J,"C-13")+SUMIFS('Таблиця 1'!$K:$K,'Таблиця 1'!$B:$B,$A510,'Таблиця 1'!$I:$I,"Mi-24",'Таблиця 1'!$J:$J,"C-13"))</f>
        <v/>
      </c>
      <c r="J510">
        <f>IF($A510="","",SUMIFS('Таблиця 1'!$K:$K,'Таблиця 1'!$B:$B,$A510,'Таблиця 1'!$I:$I,"Mi-8",'Таблиця 1'!$J:$J,"Hydra-70")+SUMIFS('Таблиця 1'!$K:$K,'Таблиця 1'!$B:$B,$A510,'Таблиця 1'!$I:$I,"Mi-24",'Таблиця 1'!$J:$J,"Hydra-70"))</f>
        <v/>
      </c>
      <c r="K510">
        <f>IF($A510="","",SUMIFS('Таблиця 1'!$K:$K,'Таблиця 1'!$B:$B,$A510,'Таблиця 1'!$I:$I,"Mi-8",'Таблиця 1'!$J:$J,"Thales-70")+SUMIFS('Таблиця 1'!$K:$K,'Таблиця 1'!$B:$B,$A510,'Таблиця 1'!$I:$I,"Mi-24",'Таблиця 1'!$J:$J,"Thales-70"))</f>
        <v/>
      </c>
      <c r="L510">
        <f>IF($A510="","",SUMIFS('Таблиця 1'!$K:$K,'Таблиця 1'!$B:$B,$A510,'Таблиця 1'!$I:$I,"Mi-8",'Таблиця 1'!$J:$J,"Thales-FZ")+SUMIFS('Таблиця 1'!$K:$K,'Таблиця 1'!$B:$B,$A510,'Таблиця 1'!$I:$I,"Mi-24",'Таблиця 1'!$J:$J,"Thales-FZ"))</f>
        <v/>
      </c>
      <c r="M510">
        <f>IF($A510="","",SUMIFS('Таблиця 1'!$K:$K,'Таблиця 1'!$B:$B,$A510,'Таблиця 1'!$I:$I,"Mi-8",'Таблиця 1'!$J:$J,"МК-40")+SUMIFS('Таблиця 1'!$K:$K,'Таблиця 1'!$B:$B,$A510,'Таблиця 1'!$I:$I,"Mi-24",'Таблиця 1'!$J:$J,"МК-40"))</f>
        <v/>
      </c>
      <c r="N510">
        <f>IF($A510="","",SUMIFS('Таблиця 1'!$K:$K,'Таблиця 1'!$B:$B,$A510,'Таблиця 1'!$I:$I,"Mi-8",'Таблиця 1'!$J:$J,"Zuni")+SUMIFS('Таблиця 1'!$K:$K,'Таблиця 1'!$B:$B,$A510,'Таблиця 1'!$I:$I,"Mi-24",'Таблиця 1'!$J:$J,"Zuni"))</f>
        <v/>
      </c>
      <c r="O510">
        <f>IF($A510="","",COUNTIFS('Таблиця 1'!$B:$B,$A510,'Таблиця 1'!$I:$I,"Mi-8",'Таблиця 1'!$L:$L,"Уражено")+COUNTIFS('Таблиця 1'!$B:$B,$A510,'Таблиця 1'!$I:$I,"Mi-24",'Таблиця 1'!$L:$L,"Уражено"))</f>
        <v/>
      </c>
      <c r="P510">
        <f>IF($A510="","",COUNTIFS('Таблиця 1'!$B:$B,$A510,'Таблиця 1'!$I:$I,"Mi-8",'Таблиця 1'!$L:$L,"НЕ уражено")+COUNTIFS('Таблиця 1'!$B:$B,$A510,'Таблиця 1'!$I:$I,"Mi-24",'Таблиця 1'!$L:$L,"НЕ уражено"))</f>
        <v/>
      </c>
    </row>
    <row r="511">
      <c r="A511" s="273">
        <f>IF(A510="","",IF(A510+1&gt;MAX('Таблиця 1'!$B:$B),"",A510+1))</f>
        <v/>
      </c>
      <c r="B511">
        <f>IF($A511="","",COUNTIFS('Таблиця 1'!$B:$B,$A511,'Таблиця 1'!$I:$I,"Mi-8")+COUNTIFS('Таблиця 1'!$B:$B,$A511,'Таблиця 1'!$I:$I,"Mi-24"))</f>
        <v/>
      </c>
      <c r="C511">
        <f>IF($A511="","",COUNTIFS('Таблиця 1'!$B:$B,$A511,'Таблиця 1'!$I:$I,"Mi-8"))</f>
        <v/>
      </c>
      <c r="D511">
        <f>IF($A511="","",COUNTIFS('Таблиця 1'!$B:$B,$A511,'Таблиця 1'!$I:$I,"Mi-24"))</f>
        <v/>
      </c>
      <c r="E511">
        <f>IF($A511="","",SUMIFS('Таблиця 1'!$K:$K,'Таблиця 1'!$B:$B,$A511,'Таблиця 1'!$I:$I,"Mi-8",'Таблиця 1'!$J:$J,"ARS-8")+SUMIFS('Таблиця 1'!$K:$K,'Таблиця 1'!$B:$B,$A511,'Таблиця 1'!$I:$I,"Mi-24",'Таблиця 1'!$J:$J,"ARS-8"))</f>
        <v/>
      </c>
      <c r="F511">
        <f>IF($A511="","",SUMIFS('Таблиця 1'!$K:$K,'Таблиця 1'!$B:$B,$A511,'Таблиця 1'!$I:$I,"Mi-8",'Таблиця 1'!$J:$J,"С-8 ком")+SUMIFS('Таблиця 1'!$K:$K,'Таблиця 1'!$B:$B,$A511,'Таблиця 1'!$I:$I,"Mi-24",'Таблиця 1'!$J:$J,"С-8 ком"))</f>
        <v/>
      </c>
      <c r="G511">
        <f>IF($A511="","",SUMIFS('Таблиця 1'!$K:$K,'Таблиця 1'!$B:$B,$A511,'Таблиця 1'!$I:$I,"Mi-8",'Таблиця 1'!$J:$J,"PC-80")+SUMIFS('Таблиця 1'!$K:$K,'Таблиця 1'!$B:$B,$A511,'Таблиця 1'!$I:$I,"Mi-24",'Таблиця 1'!$J:$J,"PC-80"))</f>
        <v/>
      </c>
      <c r="H511">
        <f>IF($A511="","",SUMIFS('Таблиця 1'!$K:$K,'Таблиця 1'!$B:$B,$A511,'Таблиця 1'!$I:$I,"Mi-8",'Таблиця 1'!$J:$J,"UAR-80")+SUMIFS('Таблиця 1'!$K:$K,'Таблиця 1'!$B:$B,$A511,'Таблиця 1'!$I:$I,"Mi-24",'Таблиця 1'!$J:$J,"UAR-80"))</f>
        <v/>
      </c>
      <c r="I511">
        <f>IF($A511="","",SUMIFS('Таблиця 1'!$K:$K,'Таблиця 1'!$B:$B,$A511,'Таблиця 1'!$I:$I,"Mi-8",'Таблиця 1'!$J:$J,"C-13")+SUMIFS('Таблиця 1'!$K:$K,'Таблиця 1'!$B:$B,$A511,'Таблиця 1'!$I:$I,"Mi-24",'Таблиця 1'!$J:$J,"C-13"))</f>
        <v/>
      </c>
      <c r="J511">
        <f>IF($A511="","",SUMIFS('Таблиця 1'!$K:$K,'Таблиця 1'!$B:$B,$A511,'Таблиця 1'!$I:$I,"Mi-8",'Таблиця 1'!$J:$J,"Hydra-70")+SUMIFS('Таблиця 1'!$K:$K,'Таблиця 1'!$B:$B,$A511,'Таблиця 1'!$I:$I,"Mi-24",'Таблиця 1'!$J:$J,"Hydra-70"))</f>
        <v/>
      </c>
      <c r="K511">
        <f>IF($A511="","",SUMIFS('Таблиця 1'!$K:$K,'Таблиця 1'!$B:$B,$A511,'Таблиця 1'!$I:$I,"Mi-8",'Таблиця 1'!$J:$J,"Thales-70")+SUMIFS('Таблиця 1'!$K:$K,'Таблиця 1'!$B:$B,$A511,'Таблиця 1'!$I:$I,"Mi-24",'Таблиця 1'!$J:$J,"Thales-70"))</f>
        <v/>
      </c>
      <c r="L511">
        <f>IF($A511="","",SUMIFS('Таблиця 1'!$K:$K,'Таблиця 1'!$B:$B,$A511,'Таблиця 1'!$I:$I,"Mi-8",'Таблиця 1'!$J:$J,"Thales-FZ")+SUMIFS('Таблиця 1'!$K:$K,'Таблиця 1'!$B:$B,$A511,'Таблиця 1'!$I:$I,"Mi-24",'Таблиця 1'!$J:$J,"Thales-FZ"))</f>
        <v/>
      </c>
      <c r="M511">
        <f>IF($A511="","",SUMIFS('Таблиця 1'!$K:$K,'Таблиця 1'!$B:$B,$A511,'Таблиця 1'!$I:$I,"Mi-8",'Таблиця 1'!$J:$J,"МК-40")+SUMIFS('Таблиця 1'!$K:$K,'Таблиця 1'!$B:$B,$A511,'Таблиця 1'!$I:$I,"Mi-24",'Таблиця 1'!$J:$J,"МК-40"))</f>
        <v/>
      </c>
      <c r="N511">
        <f>IF($A511="","",SUMIFS('Таблиця 1'!$K:$K,'Таблиця 1'!$B:$B,$A511,'Таблиця 1'!$I:$I,"Mi-8",'Таблиця 1'!$J:$J,"Zuni")+SUMIFS('Таблиця 1'!$K:$K,'Таблиця 1'!$B:$B,$A511,'Таблиця 1'!$I:$I,"Mi-24",'Таблиця 1'!$J:$J,"Zuni"))</f>
        <v/>
      </c>
      <c r="O511">
        <f>IF($A511="","",COUNTIFS('Таблиця 1'!$B:$B,$A511,'Таблиця 1'!$I:$I,"Mi-8",'Таблиця 1'!$L:$L,"Уражено")+COUNTIFS('Таблиця 1'!$B:$B,$A511,'Таблиця 1'!$I:$I,"Mi-24",'Таблиця 1'!$L:$L,"Уражено"))</f>
        <v/>
      </c>
      <c r="P511">
        <f>IF($A511="","",COUNTIFS('Таблиця 1'!$B:$B,$A511,'Таблиця 1'!$I:$I,"Mi-8",'Таблиця 1'!$L:$L,"НЕ уражено")+COUNTIFS('Таблиця 1'!$B:$B,$A511,'Таблиця 1'!$I:$I,"Mi-24",'Таблиця 1'!$L:$L,"НЕ уражено"))</f>
        <v/>
      </c>
    </row>
    <row r="512">
      <c r="A512" s="273">
        <f>IF(A511="","",IF(A511+1&gt;MAX('Таблиця 1'!$B:$B),"",A511+1))</f>
        <v/>
      </c>
      <c r="B512">
        <f>IF($A512="","",COUNTIFS('Таблиця 1'!$B:$B,$A512,'Таблиця 1'!$I:$I,"Mi-8")+COUNTIFS('Таблиця 1'!$B:$B,$A512,'Таблиця 1'!$I:$I,"Mi-24"))</f>
        <v/>
      </c>
      <c r="C512">
        <f>IF($A512="","",COUNTIFS('Таблиця 1'!$B:$B,$A512,'Таблиця 1'!$I:$I,"Mi-8"))</f>
        <v/>
      </c>
      <c r="D512">
        <f>IF($A512="","",COUNTIFS('Таблиця 1'!$B:$B,$A512,'Таблиця 1'!$I:$I,"Mi-24"))</f>
        <v/>
      </c>
      <c r="E512">
        <f>IF($A512="","",SUMIFS('Таблиця 1'!$K:$K,'Таблиця 1'!$B:$B,$A512,'Таблиця 1'!$I:$I,"Mi-8",'Таблиця 1'!$J:$J,"ARS-8")+SUMIFS('Таблиця 1'!$K:$K,'Таблиця 1'!$B:$B,$A512,'Таблиця 1'!$I:$I,"Mi-24",'Таблиця 1'!$J:$J,"ARS-8"))</f>
        <v/>
      </c>
      <c r="F512">
        <f>IF($A512="","",SUMIFS('Таблиця 1'!$K:$K,'Таблиця 1'!$B:$B,$A512,'Таблиця 1'!$I:$I,"Mi-8",'Таблиця 1'!$J:$J,"С-8 ком")+SUMIFS('Таблиця 1'!$K:$K,'Таблиця 1'!$B:$B,$A512,'Таблиця 1'!$I:$I,"Mi-24",'Таблиця 1'!$J:$J,"С-8 ком"))</f>
        <v/>
      </c>
      <c r="G512">
        <f>IF($A512="","",SUMIFS('Таблиця 1'!$K:$K,'Таблиця 1'!$B:$B,$A512,'Таблиця 1'!$I:$I,"Mi-8",'Таблиця 1'!$J:$J,"PC-80")+SUMIFS('Таблиця 1'!$K:$K,'Таблиця 1'!$B:$B,$A512,'Таблиця 1'!$I:$I,"Mi-24",'Таблиця 1'!$J:$J,"PC-80"))</f>
        <v/>
      </c>
      <c r="H512">
        <f>IF($A512="","",SUMIFS('Таблиця 1'!$K:$K,'Таблиця 1'!$B:$B,$A512,'Таблиця 1'!$I:$I,"Mi-8",'Таблиця 1'!$J:$J,"UAR-80")+SUMIFS('Таблиця 1'!$K:$K,'Таблиця 1'!$B:$B,$A512,'Таблиця 1'!$I:$I,"Mi-24",'Таблиця 1'!$J:$J,"UAR-80"))</f>
        <v/>
      </c>
      <c r="I512">
        <f>IF($A512="","",SUMIFS('Таблиця 1'!$K:$K,'Таблиця 1'!$B:$B,$A512,'Таблиця 1'!$I:$I,"Mi-8",'Таблиця 1'!$J:$J,"C-13")+SUMIFS('Таблиця 1'!$K:$K,'Таблиця 1'!$B:$B,$A512,'Таблиця 1'!$I:$I,"Mi-24",'Таблиця 1'!$J:$J,"C-13"))</f>
        <v/>
      </c>
      <c r="J512">
        <f>IF($A512="","",SUMIFS('Таблиця 1'!$K:$K,'Таблиця 1'!$B:$B,$A512,'Таблиця 1'!$I:$I,"Mi-8",'Таблиця 1'!$J:$J,"Hydra-70")+SUMIFS('Таблиця 1'!$K:$K,'Таблиця 1'!$B:$B,$A512,'Таблиця 1'!$I:$I,"Mi-24",'Таблиця 1'!$J:$J,"Hydra-70"))</f>
        <v/>
      </c>
      <c r="K512">
        <f>IF($A512="","",SUMIFS('Таблиця 1'!$K:$K,'Таблиця 1'!$B:$B,$A512,'Таблиця 1'!$I:$I,"Mi-8",'Таблиця 1'!$J:$J,"Thales-70")+SUMIFS('Таблиця 1'!$K:$K,'Таблиця 1'!$B:$B,$A512,'Таблиця 1'!$I:$I,"Mi-24",'Таблиця 1'!$J:$J,"Thales-70"))</f>
        <v/>
      </c>
      <c r="L512">
        <f>IF($A512="","",SUMIFS('Таблиця 1'!$K:$K,'Таблиця 1'!$B:$B,$A512,'Таблиця 1'!$I:$I,"Mi-8",'Таблиця 1'!$J:$J,"Thales-FZ")+SUMIFS('Таблиця 1'!$K:$K,'Таблиця 1'!$B:$B,$A512,'Таблиця 1'!$I:$I,"Mi-24",'Таблиця 1'!$J:$J,"Thales-FZ"))</f>
        <v/>
      </c>
      <c r="M512">
        <f>IF($A512="","",SUMIFS('Таблиця 1'!$K:$K,'Таблиця 1'!$B:$B,$A512,'Таблиця 1'!$I:$I,"Mi-8",'Таблиця 1'!$J:$J,"МК-40")+SUMIFS('Таблиця 1'!$K:$K,'Таблиця 1'!$B:$B,$A512,'Таблиця 1'!$I:$I,"Mi-24",'Таблиця 1'!$J:$J,"МК-40"))</f>
        <v/>
      </c>
      <c r="N512">
        <f>IF($A512="","",SUMIFS('Таблиця 1'!$K:$K,'Таблиця 1'!$B:$B,$A512,'Таблиця 1'!$I:$I,"Mi-8",'Таблиця 1'!$J:$J,"Zuni")+SUMIFS('Таблиця 1'!$K:$K,'Таблиця 1'!$B:$B,$A512,'Таблиця 1'!$I:$I,"Mi-24",'Таблиця 1'!$J:$J,"Zuni"))</f>
        <v/>
      </c>
      <c r="O512">
        <f>IF($A512="","",COUNTIFS('Таблиця 1'!$B:$B,$A512,'Таблиця 1'!$I:$I,"Mi-8",'Таблиця 1'!$L:$L,"Уражено")+COUNTIFS('Таблиця 1'!$B:$B,$A512,'Таблиця 1'!$I:$I,"Mi-24",'Таблиця 1'!$L:$L,"Уражено"))</f>
        <v/>
      </c>
      <c r="P512">
        <f>IF($A512="","",COUNTIFS('Таблиця 1'!$B:$B,$A512,'Таблиця 1'!$I:$I,"Mi-8",'Таблиця 1'!$L:$L,"НЕ уражено")+COUNTIFS('Таблиця 1'!$B:$B,$A512,'Таблиця 1'!$I:$I,"Mi-24",'Таблиця 1'!$L:$L,"НЕ уражено"))</f>
        <v/>
      </c>
    </row>
    <row r="513">
      <c r="A513" s="273">
        <f>IF(A512="","",IF(A512+1&gt;MAX('Таблиця 1'!$B:$B),"",A512+1))</f>
        <v/>
      </c>
      <c r="B513">
        <f>IF($A513="","",COUNTIFS('Таблиця 1'!$B:$B,$A513,'Таблиця 1'!$I:$I,"Mi-8")+COUNTIFS('Таблиця 1'!$B:$B,$A513,'Таблиця 1'!$I:$I,"Mi-24"))</f>
        <v/>
      </c>
      <c r="C513">
        <f>IF($A513="","",COUNTIFS('Таблиця 1'!$B:$B,$A513,'Таблиця 1'!$I:$I,"Mi-8"))</f>
        <v/>
      </c>
      <c r="D513">
        <f>IF($A513="","",COUNTIFS('Таблиця 1'!$B:$B,$A513,'Таблиця 1'!$I:$I,"Mi-24"))</f>
        <v/>
      </c>
      <c r="E513">
        <f>IF($A513="","",SUMIFS('Таблиця 1'!$K:$K,'Таблиця 1'!$B:$B,$A513,'Таблиця 1'!$I:$I,"Mi-8",'Таблиця 1'!$J:$J,"ARS-8")+SUMIFS('Таблиця 1'!$K:$K,'Таблиця 1'!$B:$B,$A513,'Таблиця 1'!$I:$I,"Mi-24",'Таблиця 1'!$J:$J,"ARS-8"))</f>
        <v/>
      </c>
      <c r="F513">
        <f>IF($A513="","",SUMIFS('Таблиця 1'!$K:$K,'Таблиця 1'!$B:$B,$A513,'Таблиця 1'!$I:$I,"Mi-8",'Таблиця 1'!$J:$J,"С-8 ком")+SUMIFS('Таблиця 1'!$K:$K,'Таблиця 1'!$B:$B,$A513,'Таблиця 1'!$I:$I,"Mi-24",'Таблиця 1'!$J:$J,"С-8 ком"))</f>
        <v/>
      </c>
      <c r="G513">
        <f>IF($A513="","",SUMIFS('Таблиця 1'!$K:$K,'Таблиця 1'!$B:$B,$A513,'Таблиця 1'!$I:$I,"Mi-8",'Таблиця 1'!$J:$J,"PC-80")+SUMIFS('Таблиця 1'!$K:$K,'Таблиця 1'!$B:$B,$A513,'Таблиця 1'!$I:$I,"Mi-24",'Таблиця 1'!$J:$J,"PC-80"))</f>
        <v/>
      </c>
      <c r="H513">
        <f>IF($A513="","",SUMIFS('Таблиця 1'!$K:$K,'Таблиця 1'!$B:$B,$A513,'Таблиця 1'!$I:$I,"Mi-8",'Таблиця 1'!$J:$J,"UAR-80")+SUMIFS('Таблиця 1'!$K:$K,'Таблиця 1'!$B:$B,$A513,'Таблиця 1'!$I:$I,"Mi-24",'Таблиця 1'!$J:$J,"UAR-80"))</f>
        <v/>
      </c>
      <c r="I513">
        <f>IF($A513="","",SUMIFS('Таблиця 1'!$K:$K,'Таблиця 1'!$B:$B,$A513,'Таблиця 1'!$I:$I,"Mi-8",'Таблиця 1'!$J:$J,"C-13")+SUMIFS('Таблиця 1'!$K:$K,'Таблиця 1'!$B:$B,$A513,'Таблиця 1'!$I:$I,"Mi-24",'Таблиця 1'!$J:$J,"C-13"))</f>
        <v/>
      </c>
      <c r="J513">
        <f>IF($A513="","",SUMIFS('Таблиця 1'!$K:$K,'Таблиця 1'!$B:$B,$A513,'Таблиця 1'!$I:$I,"Mi-8",'Таблиця 1'!$J:$J,"Hydra-70")+SUMIFS('Таблиця 1'!$K:$K,'Таблиця 1'!$B:$B,$A513,'Таблиця 1'!$I:$I,"Mi-24",'Таблиця 1'!$J:$J,"Hydra-70"))</f>
        <v/>
      </c>
      <c r="K513">
        <f>IF($A513="","",SUMIFS('Таблиця 1'!$K:$K,'Таблиця 1'!$B:$B,$A513,'Таблиця 1'!$I:$I,"Mi-8",'Таблиця 1'!$J:$J,"Thales-70")+SUMIFS('Таблиця 1'!$K:$K,'Таблиця 1'!$B:$B,$A513,'Таблиця 1'!$I:$I,"Mi-24",'Таблиця 1'!$J:$J,"Thales-70"))</f>
        <v/>
      </c>
      <c r="L513">
        <f>IF($A513="","",SUMIFS('Таблиця 1'!$K:$K,'Таблиця 1'!$B:$B,$A513,'Таблиця 1'!$I:$I,"Mi-8",'Таблиця 1'!$J:$J,"Thales-FZ")+SUMIFS('Таблиця 1'!$K:$K,'Таблиця 1'!$B:$B,$A513,'Таблиця 1'!$I:$I,"Mi-24",'Таблиця 1'!$J:$J,"Thales-FZ"))</f>
        <v/>
      </c>
      <c r="M513">
        <f>IF($A513="","",SUMIFS('Таблиця 1'!$K:$K,'Таблиця 1'!$B:$B,$A513,'Таблиця 1'!$I:$I,"Mi-8",'Таблиця 1'!$J:$J,"МК-40")+SUMIFS('Таблиця 1'!$K:$K,'Таблиця 1'!$B:$B,$A513,'Таблиця 1'!$I:$I,"Mi-24",'Таблиця 1'!$J:$J,"МК-40"))</f>
        <v/>
      </c>
      <c r="N513">
        <f>IF($A513="","",SUMIFS('Таблиця 1'!$K:$K,'Таблиця 1'!$B:$B,$A513,'Таблиця 1'!$I:$I,"Mi-8",'Таблиця 1'!$J:$J,"Zuni")+SUMIFS('Таблиця 1'!$K:$K,'Таблиця 1'!$B:$B,$A513,'Таблиця 1'!$I:$I,"Mi-24",'Таблиця 1'!$J:$J,"Zuni"))</f>
        <v/>
      </c>
      <c r="O513">
        <f>IF($A513="","",COUNTIFS('Таблиця 1'!$B:$B,$A513,'Таблиця 1'!$I:$I,"Mi-8",'Таблиця 1'!$L:$L,"Уражено")+COUNTIFS('Таблиця 1'!$B:$B,$A513,'Таблиця 1'!$I:$I,"Mi-24",'Таблиця 1'!$L:$L,"Уражено"))</f>
        <v/>
      </c>
      <c r="P513">
        <f>IF($A513="","",COUNTIFS('Таблиця 1'!$B:$B,$A513,'Таблиця 1'!$I:$I,"Mi-8",'Таблиця 1'!$L:$L,"НЕ уражено")+COUNTIFS('Таблиця 1'!$B:$B,$A513,'Таблиця 1'!$I:$I,"Mi-24",'Таблиця 1'!$L:$L,"НЕ уражено"))</f>
        <v/>
      </c>
    </row>
    <row r="514">
      <c r="A514" s="273">
        <f>IF(A513="","",IF(A513+1&gt;MAX('Таблиця 1'!$B:$B),"",A513+1))</f>
        <v/>
      </c>
      <c r="B514">
        <f>IF($A514="","",COUNTIFS('Таблиця 1'!$B:$B,$A514,'Таблиця 1'!$I:$I,"Mi-8")+COUNTIFS('Таблиця 1'!$B:$B,$A514,'Таблиця 1'!$I:$I,"Mi-24"))</f>
        <v/>
      </c>
      <c r="C514">
        <f>IF($A514="","",COUNTIFS('Таблиця 1'!$B:$B,$A514,'Таблиця 1'!$I:$I,"Mi-8"))</f>
        <v/>
      </c>
      <c r="D514">
        <f>IF($A514="","",COUNTIFS('Таблиця 1'!$B:$B,$A514,'Таблиця 1'!$I:$I,"Mi-24"))</f>
        <v/>
      </c>
      <c r="E514">
        <f>IF($A514="","",SUMIFS('Таблиця 1'!$K:$K,'Таблиця 1'!$B:$B,$A514,'Таблиця 1'!$I:$I,"Mi-8",'Таблиця 1'!$J:$J,"ARS-8")+SUMIFS('Таблиця 1'!$K:$K,'Таблиця 1'!$B:$B,$A514,'Таблиця 1'!$I:$I,"Mi-24",'Таблиця 1'!$J:$J,"ARS-8"))</f>
        <v/>
      </c>
      <c r="F514">
        <f>IF($A514="","",SUMIFS('Таблиця 1'!$K:$K,'Таблиця 1'!$B:$B,$A514,'Таблиця 1'!$I:$I,"Mi-8",'Таблиця 1'!$J:$J,"С-8 ком")+SUMIFS('Таблиця 1'!$K:$K,'Таблиця 1'!$B:$B,$A514,'Таблиця 1'!$I:$I,"Mi-24",'Таблиця 1'!$J:$J,"С-8 ком"))</f>
        <v/>
      </c>
      <c r="G514">
        <f>IF($A514="","",SUMIFS('Таблиця 1'!$K:$K,'Таблиця 1'!$B:$B,$A514,'Таблиця 1'!$I:$I,"Mi-8",'Таблиця 1'!$J:$J,"PC-80")+SUMIFS('Таблиця 1'!$K:$K,'Таблиця 1'!$B:$B,$A514,'Таблиця 1'!$I:$I,"Mi-24",'Таблиця 1'!$J:$J,"PC-80"))</f>
        <v/>
      </c>
      <c r="H514">
        <f>IF($A514="","",SUMIFS('Таблиця 1'!$K:$K,'Таблиця 1'!$B:$B,$A514,'Таблиця 1'!$I:$I,"Mi-8",'Таблиця 1'!$J:$J,"UAR-80")+SUMIFS('Таблиця 1'!$K:$K,'Таблиця 1'!$B:$B,$A514,'Таблиця 1'!$I:$I,"Mi-24",'Таблиця 1'!$J:$J,"UAR-80"))</f>
        <v/>
      </c>
      <c r="I514">
        <f>IF($A514="","",SUMIFS('Таблиця 1'!$K:$K,'Таблиця 1'!$B:$B,$A514,'Таблиця 1'!$I:$I,"Mi-8",'Таблиця 1'!$J:$J,"C-13")+SUMIFS('Таблиця 1'!$K:$K,'Таблиця 1'!$B:$B,$A514,'Таблиця 1'!$I:$I,"Mi-24",'Таблиця 1'!$J:$J,"C-13"))</f>
        <v/>
      </c>
      <c r="J514">
        <f>IF($A514="","",SUMIFS('Таблиця 1'!$K:$K,'Таблиця 1'!$B:$B,$A514,'Таблиця 1'!$I:$I,"Mi-8",'Таблиця 1'!$J:$J,"Hydra-70")+SUMIFS('Таблиця 1'!$K:$K,'Таблиця 1'!$B:$B,$A514,'Таблиця 1'!$I:$I,"Mi-24",'Таблиця 1'!$J:$J,"Hydra-70"))</f>
        <v/>
      </c>
      <c r="K514">
        <f>IF($A514="","",SUMIFS('Таблиця 1'!$K:$K,'Таблиця 1'!$B:$B,$A514,'Таблиця 1'!$I:$I,"Mi-8",'Таблиця 1'!$J:$J,"Thales-70")+SUMIFS('Таблиця 1'!$K:$K,'Таблиця 1'!$B:$B,$A514,'Таблиця 1'!$I:$I,"Mi-24",'Таблиця 1'!$J:$J,"Thales-70"))</f>
        <v/>
      </c>
      <c r="L514">
        <f>IF($A514="","",SUMIFS('Таблиця 1'!$K:$K,'Таблиця 1'!$B:$B,$A514,'Таблиця 1'!$I:$I,"Mi-8",'Таблиця 1'!$J:$J,"Thales-FZ")+SUMIFS('Таблиця 1'!$K:$K,'Таблиця 1'!$B:$B,$A514,'Таблиця 1'!$I:$I,"Mi-24",'Таблиця 1'!$J:$J,"Thales-FZ"))</f>
        <v/>
      </c>
      <c r="M514">
        <f>IF($A514="","",SUMIFS('Таблиця 1'!$K:$K,'Таблиця 1'!$B:$B,$A514,'Таблиця 1'!$I:$I,"Mi-8",'Таблиця 1'!$J:$J,"МК-40")+SUMIFS('Таблиця 1'!$K:$K,'Таблиця 1'!$B:$B,$A514,'Таблиця 1'!$I:$I,"Mi-24",'Таблиця 1'!$J:$J,"МК-40"))</f>
        <v/>
      </c>
      <c r="N514">
        <f>IF($A514="","",SUMIFS('Таблиця 1'!$K:$K,'Таблиця 1'!$B:$B,$A514,'Таблиця 1'!$I:$I,"Mi-8",'Таблиця 1'!$J:$J,"Zuni")+SUMIFS('Таблиця 1'!$K:$K,'Таблиця 1'!$B:$B,$A514,'Таблиця 1'!$I:$I,"Mi-24",'Таблиця 1'!$J:$J,"Zuni"))</f>
        <v/>
      </c>
      <c r="O514">
        <f>IF($A514="","",COUNTIFS('Таблиця 1'!$B:$B,$A514,'Таблиця 1'!$I:$I,"Mi-8",'Таблиця 1'!$L:$L,"Уражено")+COUNTIFS('Таблиця 1'!$B:$B,$A514,'Таблиця 1'!$I:$I,"Mi-24",'Таблиця 1'!$L:$L,"Уражено"))</f>
        <v/>
      </c>
      <c r="P514">
        <f>IF($A514="","",COUNTIFS('Таблиця 1'!$B:$B,$A514,'Таблиця 1'!$I:$I,"Mi-8",'Таблиця 1'!$L:$L,"НЕ уражено")+COUNTIFS('Таблиця 1'!$B:$B,$A514,'Таблиця 1'!$I:$I,"Mi-24",'Таблиця 1'!$L:$L,"НЕ уражено"))</f>
        <v/>
      </c>
    </row>
    <row r="515">
      <c r="A515" s="273">
        <f>IF(A514="","",IF(A514+1&gt;MAX('Таблиця 1'!$B:$B),"",A514+1))</f>
        <v/>
      </c>
      <c r="B515">
        <f>IF($A515="","",COUNTIFS('Таблиця 1'!$B:$B,$A515,'Таблиця 1'!$I:$I,"Mi-8")+COUNTIFS('Таблиця 1'!$B:$B,$A515,'Таблиця 1'!$I:$I,"Mi-24"))</f>
        <v/>
      </c>
      <c r="C515">
        <f>IF($A515="","",COUNTIFS('Таблиця 1'!$B:$B,$A515,'Таблиця 1'!$I:$I,"Mi-8"))</f>
        <v/>
      </c>
      <c r="D515">
        <f>IF($A515="","",COUNTIFS('Таблиця 1'!$B:$B,$A515,'Таблиця 1'!$I:$I,"Mi-24"))</f>
        <v/>
      </c>
      <c r="E515">
        <f>IF($A515="","",SUMIFS('Таблиця 1'!$K:$K,'Таблиця 1'!$B:$B,$A515,'Таблиця 1'!$I:$I,"Mi-8",'Таблиця 1'!$J:$J,"ARS-8")+SUMIFS('Таблиця 1'!$K:$K,'Таблиця 1'!$B:$B,$A515,'Таблиця 1'!$I:$I,"Mi-24",'Таблиця 1'!$J:$J,"ARS-8"))</f>
        <v/>
      </c>
      <c r="F515">
        <f>IF($A515="","",SUMIFS('Таблиця 1'!$K:$K,'Таблиця 1'!$B:$B,$A515,'Таблиця 1'!$I:$I,"Mi-8",'Таблиця 1'!$J:$J,"С-8 ком")+SUMIFS('Таблиця 1'!$K:$K,'Таблиця 1'!$B:$B,$A515,'Таблиця 1'!$I:$I,"Mi-24",'Таблиця 1'!$J:$J,"С-8 ком"))</f>
        <v/>
      </c>
      <c r="G515">
        <f>IF($A515="","",SUMIFS('Таблиця 1'!$K:$K,'Таблиця 1'!$B:$B,$A515,'Таблиця 1'!$I:$I,"Mi-8",'Таблиця 1'!$J:$J,"PC-80")+SUMIFS('Таблиця 1'!$K:$K,'Таблиця 1'!$B:$B,$A515,'Таблиця 1'!$I:$I,"Mi-24",'Таблиця 1'!$J:$J,"PC-80"))</f>
        <v/>
      </c>
      <c r="H515">
        <f>IF($A515="","",SUMIFS('Таблиця 1'!$K:$K,'Таблиця 1'!$B:$B,$A515,'Таблиця 1'!$I:$I,"Mi-8",'Таблиця 1'!$J:$J,"UAR-80")+SUMIFS('Таблиця 1'!$K:$K,'Таблиця 1'!$B:$B,$A515,'Таблиця 1'!$I:$I,"Mi-24",'Таблиця 1'!$J:$J,"UAR-80"))</f>
        <v/>
      </c>
      <c r="I515">
        <f>IF($A515="","",SUMIFS('Таблиця 1'!$K:$K,'Таблиця 1'!$B:$B,$A515,'Таблиця 1'!$I:$I,"Mi-8",'Таблиця 1'!$J:$J,"C-13")+SUMIFS('Таблиця 1'!$K:$K,'Таблиця 1'!$B:$B,$A515,'Таблиця 1'!$I:$I,"Mi-24",'Таблиця 1'!$J:$J,"C-13"))</f>
        <v/>
      </c>
      <c r="J515">
        <f>IF($A515="","",SUMIFS('Таблиця 1'!$K:$K,'Таблиця 1'!$B:$B,$A515,'Таблиця 1'!$I:$I,"Mi-8",'Таблиця 1'!$J:$J,"Hydra-70")+SUMIFS('Таблиця 1'!$K:$K,'Таблиця 1'!$B:$B,$A515,'Таблиця 1'!$I:$I,"Mi-24",'Таблиця 1'!$J:$J,"Hydra-70"))</f>
        <v/>
      </c>
      <c r="K515">
        <f>IF($A515="","",SUMIFS('Таблиця 1'!$K:$K,'Таблиця 1'!$B:$B,$A515,'Таблиця 1'!$I:$I,"Mi-8",'Таблиця 1'!$J:$J,"Thales-70")+SUMIFS('Таблиця 1'!$K:$K,'Таблиця 1'!$B:$B,$A515,'Таблиця 1'!$I:$I,"Mi-24",'Таблиця 1'!$J:$J,"Thales-70"))</f>
        <v/>
      </c>
      <c r="L515">
        <f>IF($A515="","",SUMIFS('Таблиця 1'!$K:$K,'Таблиця 1'!$B:$B,$A515,'Таблиця 1'!$I:$I,"Mi-8",'Таблиця 1'!$J:$J,"Thales-FZ")+SUMIFS('Таблиця 1'!$K:$K,'Таблиця 1'!$B:$B,$A515,'Таблиця 1'!$I:$I,"Mi-24",'Таблиця 1'!$J:$J,"Thales-FZ"))</f>
        <v/>
      </c>
      <c r="M515">
        <f>IF($A515="","",SUMIFS('Таблиця 1'!$K:$K,'Таблиця 1'!$B:$B,$A515,'Таблиця 1'!$I:$I,"Mi-8",'Таблиця 1'!$J:$J,"МК-40")+SUMIFS('Таблиця 1'!$K:$K,'Таблиця 1'!$B:$B,$A515,'Таблиця 1'!$I:$I,"Mi-24",'Таблиця 1'!$J:$J,"МК-40"))</f>
        <v/>
      </c>
      <c r="N515">
        <f>IF($A515="","",SUMIFS('Таблиця 1'!$K:$K,'Таблиця 1'!$B:$B,$A515,'Таблиця 1'!$I:$I,"Mi-8",'Таблиця 1'!$J:$J,"Zuni")+SUMIFS('Таблиця 1'!$K:$K,'Таблиця 1'!$B:$B,$A515,'Таблиця 1'!$I:$I,"Mi-24",'Таблиця 1'!$J:$J,"Zuni"))</f>
        <v/>
      </c>
      <c r="O515">
        <f>IF($A515="","",COUNTIFS('Таблиця 1'!$B:$B,$A515,'Таблиця 1'!$I:$I,"Mi-8",'Таблиця 1'!$L:$L,"Уражено")+COUNTIFS('Таблиця 1'!$B:$B,$A515,'Таблиця 1'!$I:$I,"Mi-24",'Таблиця 1'!$L:$L,"Уражено"))</f>
        <v/>
      </c>
      <c r="P515">
        <f>IF($A515="","",COUNTIFS('Таблиця 1'!$B:$B,$A515,'Таблиця 1'!$I:$I,"Mi-8",'Таблиця 1'!$L:$L,"НЕ уражено")+COUNTIFS('Таблиця 1'!$B:$B,$A515,'Таблиця 1'!$I:$I,"Mi-24",'Таблиця 1'!$L:$L,"НЕ уражено"))</f>
        <v/>
      </c>
    </row>
    <row r="516">
      <c r="A516" s="273">
        <f>IF(A515="","",IF(A515+1&gt;MAX('Таблиця 1'!$B:$B),"",A515+1))</f>
        <v/>
      </c>
      <c r="B516">
        <f>IF($A516="","",COUNTIFS('Таблиця 1'!$B:$B,$A516,'Таблиця 1'!$I:$I,"Mi-8")+COUNTIFS('Таблиця 1'!$B:$B,$A516,'Таблиця 1'!$I:$I,"Mi-24"))</f>
        <v/>
      </c>
      <c r="C516">
        <f>IF($A516="","",COUNTIFS('Таблиця 1'!$B:$B,$A516,'Таблиця 1'!$I:$I,"Mi-8"))</f>
        <v/>
      </c>
      <c r="D516">
        <f>IF($A516="","",COUNTIFS('Таблиця 1'!$B:$B,$A516,'Таблиця 1'!$I:$I,"Mi-24"))</f>
        <v/>
      </c>
      <c r="E516">
        <f>IF($A516="","",SUMIFS('Таблиця 1'!$K:$K,'Таблиця 1'!$B:$B,$A516,'Таблиця 1'!$I:$I,"Mi-8",'Таблиця 1'!$J:$J,"ARS-8")+SUMIFS('Таблиця 1'!$K:$K,'Таблиця 1'!$B:$B,$A516,'Таблиця 1'!$I:$I,"Mi-24",'Таблиця 1'!$J:$J,"ARS-8"))</f>
        <v/>
      </c>
      <c r="F516">
        <f>IF($A516="","",SUMIFS('Таблиця 1'!$K:$K,'Таблиця 1'!$B:$B,$A516,'Таблиця 1'!$I:$I,"Mi-8",'Таблиця 1'!$J:$J,"С-8 ком")+SUMIFS('Таблиця 1'!$K:$K,'Таблиця 1'!$B:$B,$A516,'Таблиця 1'!$I:$I,"Mi-24",'Таблиця 1'!$J:$J,"С-8 ком"))</f>
        <v/>
      </c>
      <c r="G516">
        <f>IF($A516="","",SUMIFS('Таблиця 1'!$K:$K,'Таблиця 1'!$B:$B,$A516,'Таблиця 1'!$I:$I,"Mi-8",'Таблиця 1'!$J:$J,"PC-80")+SUMIFS('Таблиця 1'!$K:$K,'Таблиця 1'!$B:$B,$A516,'Таблиця 1'!$I:$I,"Mi-24",'Таблиця 1'!$J:$J,"PC-80"))</f>
        <v/>
      </c>
      <c r="H516">
        <f>IF($A516="","",SUMIFS('Таблиця 1'!$K:$K,'Таблиця 1'!$B:$B,$A516,'Таблиця 1'!$I:$I,"Mi-8",'Таблиця 1'!$J:$J,"UAR-80")+SUMIFS('Таблиця 1'!$K:$K,'Таблиця 1'!$B:$B,$A516,'Таблиця 1'!$I:$I,"Mi-24",'Таблиця 1'!$J:$J,"UAR-80"))</f>
        <v/>
      </c>
      <c r="I516">
        <f>IF($A516="","",SUMIFS('Таблиця 1'!$K:$K,'Таблиця 1'!$B:$B,$A516,'Таблиця 1'!$I:$I,"Mi-8",'Таблиця 1'!$J:$J,"C-13")+SUMIFS('Таблиця 1'!$K:$K,'Таблиця 1'!$B:$B,$A516,'Таблиця 1'!$I:$I,"Mi-24",'Таблиця 1'!$J:$J,"C-13"))</f>
        <v/>
      </c>
      <c r="J516">
        <f>IF($A516="","",SUMIFS('Таблиця 1'!$K:$K,'Таблиця 1'!$B:$B,$A516,'Таблиця 1'!$I:$I,"Mi-8",'Таблиця 1'!$J:$J,"Hydra-70")+SUMIFS('Таблиця 1'!$K:$K,'Таблиця 1'!$B:$B,$A516,'Таблиця 1'!$I:$I,"Mi-24",'Таблиця 1'!$J:$J,"Hydra-70"))</f>
        <v/>
      </c>
      <c r="K516">
        <f>IF($A516="","",SUMIFS('Таблиця 1'!$K:$K,'Таблиця 1'!$B:$B,$A516,'Таблиця 1'!$I:$I,"Mi-8",'Таблиця 1'!$J:$J,"Thales-70")+SUMIFS('Таблиця 1'!$K:$K,'Таблиця 1'!$B:$B,$A516,'Таблиця 1'!$I:$I,"Mi-24",'Таблиця 1'!$J:$J,"Thales-70"))</f>
        <v/>
      </c>
      <c r="L516">
        <f>IF($A516="","",SUMIFS('Таблиця 1'!$K:$K,'Таблиця 1'!$B:$B,$A516,'Таблиця 1'!$I:$I,"Mi-8",'Таблиця 1'!$J:$J,"Thales-FZ")+SUMIFS('Таблиця 1'!$K:$K,'Таблиця 1'!$B:$B,$A516,'Таблиця 1'!$I:$I,"Mi-24",'Таблиця 1'!$J:$J,"Thales-FZ"))</f>
        <v/>
      </c>
      <c r="M516">
        <f>IF($A516="","",SUMIFS('Таблиця 1'!$K:$K,'Таблиця 1'!$B:$B,$A516,'Таблиця 1'!$I:$I,"Mi-8",'Таблиця 1'!$J:$J,"МК-40")+SUMIFS('Таблиця 1'!$K:$K,'Таблиця 1'!$B:$B,$A516,'Таблиця 1'!$I:$I,"Mi-24",'Таблиця 1'!$J:$J,"МК-40"))</f>
        <v/>
      </c>
      <c r="N516">
        <f>IF($A516="","",SUMIFS('Таблиця 1'!$K:$K,'Таблиця 1'!$B:$B,$A516,'Таблиця 1'!$I:$I,"Mi-8",'Таблиця 1'!$J:$J,"Zuni")+SUMIFS('Таблиця 1'!$K:$K,'Таблиця 1'!$B:$B,$A516,'Таблиця 1'!$I:$I,"Mi-24",'Таблиця 1'!$J:$J,"Zuni"))</f>
        <v/>
      </c>
      <c r="O516">
        <f>IF($A516="","",COUNTIFS('Таблиця 1'!$B:$B,$A516,'Таблиця 1'!$I:$I,"Mi-8",'Таблиця 1'!$L:$L,"Уражено")+COUNTIFS('Таблиця 1'!$B:$B,$A516,'Таблиця 1'!$I:$I,"Mi-24",'Таблиця 1'!$L:$L,"Уражено"))</f>
        <v/>
      </c>
      <c r="P516">
        <f>IF($A516="","",COUNTIFS('Таблиця 1'!$B:$B,$A516,'Таблиця 1'!$I:$I,"Mi-8",'Таблиця 1'!$L:$L,"НЕ уражено")+COUNTIFS('Таблиця 1'!$B:$B,$A516,'Таблиця 1'!$I:$I,"Mi-24",'Таблиця 1'!$L:$L,"НЕ уражено"))</f>
        <v/>
      </c>
    </row>
    <row r="517">
      <c r="A517" s="273">
        <f>IF(A516="","",IF(A516+1&gt;MAX('Таблиця 1'!$B:$B),"",A516+1))</f>
        <v/>
      </c>
      <c r="B517">
        <f>IF($A517="","",COUNTIFS('Таблиця 1'!$B:$B,$A517,'Таблиця 1'!$I:$I,"Mi-8")+COUNTIFS('Таблиця 1'!$B:$B,$A517,'Таблиця 1'!$I:$I,"Mi-24"))</f>
        <v/>
      </c>
      <c r="C517">
        <f>IF($A517="","",COUNTIFS('Таблиця 1'!$B:$B,$A517,'Таблиця 1'!$I:$I,"Mi-8"))</f>
        <v/>
      </c>
      <c r="D517">
        <f>IF($A517="","",COUNTIFS('Таблиця 1'!$B:$B,$A517,'Таблиця 1'!$I:$I,"Mi-24"))</f>
        <v/>
      </c>
      <c r="E517">
        <f>IF($A517="","",SUMIFS('Таблиця 1'!$K:$K,'Таблиця 1'!$B:$B,$A517,'Таблиця 1'!$I:$I,"Mi-8",'Таблиця 1'!$J:$J,"ARS-8")+SUMIFS('Таблиця 1'!$K:$K,'Таблиця 1'!$B:$B,$A517,'Таблиця 1'!$I:$I,"Mi-24",'Таблиця 1'!$J:$J,"ARS-8"))</f>
        <v/>
      </c>
      <c r="F517">
        <f>IF($A517="","",SUMIFS('Таблиця 1'!$K:$K,'Таблиця 1'!$B:$B,$A517,'Таблиця 1'!$I:$I,"Mi-8",'Таблиця 1'!$J:$J,"С-8 ком")+SUMIFS('Таблиця 1'!$K:$K,'Таблиця 1'!$B:$B,$A517,'Таблиця 1'!$I:$I,"Mi-24",'Таблиця 1'!$J:$J,"С-8 ком"))</f>
        <v/>
      </c>
      <c r="G517">
        <f>IF($A517="","",SUMIFS('Таблиця 1'!$K:$K,'Таблиця 1'!$B:$B,$A517,'Таблиця 1'!$I:$I,"Mi-8",'Таблиця 1'!$J:$J,"PC-80")+SUMIFS('Таблиця 1'!$K:$K,'Таблиця 1'!$B:$B,$A517,'Таблиця 1'!$I:$I,"Mi-24",'Таблиця 1'!$J:$J,"PC-80"))</f>
        <v/>
      </c>
      <c r="H517">
        <f>IF($A517="","",SUMIFS('Таблиця 1'!$K:$K,'Таблиця 1'!$B:$B,$A517,'Таблиця 1'!$I:$I,"Mi-8",'Таблиця 1'!$J:$J,"UAR-80")+SUMIFS('Таблиця 1'!$K:$K,'Таблиця 1'!$B:$B,$A517,'Таблиця 1'!$I:$I,"Mi-24",'Таблиця 1'!$J:$J,"UAR-80"))</f>
        <v/>
      </c>
      <c r="I517">
        <f>IF($A517="","",SUMIFS('Таблиця 1'!$K:$K,'Таблиця 1'!$B:$B,$A517,'Таблиця 1'!$I:$I,"Mi-8",'Таблиця 1'!$J:$J,"C-13")+SUMIFS('Таблиця 1'!$K:$K,'Таблиця 1'!$B:$B,$A517,'Таблиця 1'!$I:$I,"Mi-24",'Таблиця 1'!$J:$J,"C-13"))</f>
        <v/>
      </c>
      <c r="J517">
        <f>IF($A517="","",SUMIFS('Таблиця 1'!$K:$K,'Таблиця 1'!$B:$B,$A517,'Таблиця 1'!$I:$I,"Mi-8",'Таблиця 1'!$J:$J,"Hydra-70")+SUMIFS('Таблиця 1'!$K:$K,'Таблиця 1'!$B:$B,$A517,'Таблиця 1'!$I:$I,"Mi-24",'Таблиця 1'!$J:$J,"Hydra-70"))</f>
        <v/>
      </c>
      <c r="K517">
        <f>IF($A517="","",SUMIFS('Таблиця 1'!$K:$K,'Таблиця 1'!$B:$B,$A517,'Таблиця 1'!$I:$I,"Mi-8",'Таблиця 1'!$J:$J,"Thales-70")+SUMIFS('Таблиця 1'!$K:$K,'Таблиця 1'!$B:$B,$A517,'Таблиця 1'!$I:$I,"Mi-24",'Таблиця 1'!$J:$J,"Thales-70"))</f>
        <v/>
      </c>
      <c r="L517">
        <f>IF($A517="","",SUMIFS('Таблиця 1'!$K:$K,'Таблиця 1'!$B:$B,$A517,'Таблиця 1'!$I:$I,"Mi-8",'Таблиця 1'!$J:$J,"Thales-FZ")+SUMIFS('Таблиця 1'!$K:$K,'Таблиця 1'!$B:$B,$A517,'Таблиця 1'!$I:$I,"Mi-24",'Таблиця 1'!$J:$J,"Thales-FZ"))</f>
        <v/>
      </c>
      <c r="M517">
        <f>IF($A517="","",SUMIFS('Таблиця 1'!$K:$K,'Таблиця 1'!$B:$B,$A517,'Таблиця 1'!$I:$I,"Mi-8",'Таблиця 1'!$J:$J,"МК-40")+SUMIFS('Таблиця 1'!$K:$K,'Таблиця 1'!$B:$B,$A517,'Таблиця 1'!$I:$I,"Mi-24",'Таблиця 1'!$J:$J,"МК-40"))</f>
        <v/>
      </c>
      <c r="N517">
        <f>IF($A517="","",SUMIFS('Таблиця 1'!$K:$K,'Таблиця 1'!$B:$B,$A517,'Таблиця 1'!$I:$I,"Mi-8",'Таблиця 1'!$J:$J,"Zuni")+SUMIFS('Таблиця 1'!$K:$K,'Таблиця 1'!$B:$B,$A517,'Таблиця 1'!$I:$I,"Mi-24",'Таблиця 1'!$J:$J,"Zuni"))</f>
        <v/>
      </c>
      <c r="O517">
        <f>IF($A517="","",COUNTIFS('Таблиця 1'!$B:$B,$A517,'Таблиця 1'!$I:$I,"Mi-8",'Таблиця 1'!$L:$L,"Уражено")+COUNTIFS('Таблиця 1'!$B:$B,$A517,'Таблиця 1'!$I:$I,"Mi-24",'Таблиця 1'!$L:$L,"Уражено"))</f>
        <v/>
      </c>
      <c r="P517">
        <f>IF($A517="","",COUNTIFS('Таблиця 1'!$B:$B,$A517,'Таблиця 1'!$I:$I,"Mi-8",'Таблиця 1'!$L:$L,"НЕ уражено")+COUNTIFS('Таблиця 1'!$B:$B,$A517,'Таблиця 1'!$I:$I,"Mi-24",'Таблиця 1'!$L:$L,"НЕ уражено"))</f>
        <v/>
      </c>
    </row>
    <row r="518">
      <c r="A518" s="273">
        <f>IF(A517="","",IF(A517+1&gt;MAX('Таблиця 1'!$B:$B),"",A517+1))</f>
        <v/>
      </c>
      <c r="B518">
        <f>IF($A518="","",COUNTIFS('Таблиця 1'!$B:$B,$A518,'Таблиця 1'!$I:$I,"Mi-8")+COUNTIFS('Таблиця 1'!$B:$B,$A518,'Таблиця 1'!$I:$I,"Mi-24"))</f>
        <v/>
      </c>
      <c r="C518">
        <f>IF($A518="","",COUNTIFS('Таблиця 1'!$B:$B,$A518,'Таблиця 1'!$I:$I,"Mi-8"))</f>
        <v/>
      </c>
      <c r="D518">
        <f>IF($A518="","",COUNTIFS('Таблиця 1'!$B:$B,$A518,'Таблиця 1'!$I:$I,"Mi-24"))</f>
        <v/>
      </c>
      <c r="E518">
        <f>IF($A518="","",SUMIFS('Таблиця 1'!$K:$K,'Таблиця 1'!$B:$B,$A518,'Таблиця 1'!$I:$I,"Mi-8",'Таблиця 1'!$J:$J,"ARS-8")+SUMIFS('Таблиця 1'!$K:$K,'Таблиця 1'!$B:$B,$A518,'Таблиця 1'!$I:$I,"Mi-24",'Таблиця 1'!$J:$J,"ARS-8"))</f>
        <v/>
      </c>
      <c r="F518">
        <f>IF($A518="","",SUMIFS('Таблиця 1'!$K:$K,'Таблиця 1'!$B:$B,$A518,'Таблиця 1'!$I:$I,"Mi-8",'Таблиця 1'!$J:$J,"С-8 ком")+SUMIFS('Таблиця 1'!$K:$K,'Таблиця 1'!$B:$B,$A518,'Таблиця 1'!$I:$I,"Mi-24",'Таблиця 1'!$J:$J,"С-8 ком"))</f>
        <v/>
      </c>
      <c r="G518">
        <f>IF($A518="","",SUMIFS('Таблиця 1'!$K:$K,'Таблиця 1'!$B:$B,$A518,'Таблиця 1'!$I:$I,"Mi-8",'Таблиця 1'!$J:$J,"PC-80")+SUMIFS('Таблиця 1'!$K:$K,'Таблиця 1'!$B:$B,$A518,'Таблиця 1'!$I:$I,"Mi-24",'Таблиця 1'!$J:$J,"PC-80"))</f>
        <v/>
      </c>
      <c r="H518">
        <f>IF($A518="","",SUMIFS('Таблиця 1'!$K:$K,'Таблиця 1'!$B:$B,$A518,'Таблиця 1'!$I:$I,"Mi-8",'Таблиця 1'!$J:$J,"UAR-80")+SUMIFS('Таблиця 1'!$K:$K,'Таблиця 1'!$B:$B,$A518,'Таблиця 1'!$I:$I,"Mi-24",'Таблиця 1'!$J:$J,"UAR-80"))</f>
        <v/>
      </c>
      <c r="I518">
        <f>IF($A518="","",SUMIFS('Таблиця 1'!$K:$K,'Таблиця 1'!$B:$B,$A518,'Таблиця 1'!$I:$I,"Mi-8",'Таблиця 1'!$J:$J,"C-13")+SUMIFS('Таблиця 1'!$K:$K,'Таблиця 1'!$B:$B,$A518,'Таблиця 1'!$I:$I,"Mi-24",'Таблиця 1'!$J:$J,"C-13"))</f>
        <v/>
      </c>
      <c r="J518">
        <f>IF($A518="","",SUMIFS('Таблиця 1'!$K:$K,'Таблиця 1'!$B:$B,$A518,'Таблиця 1'!$I:$I,"Mi-8",'Таблиця 1'!$J:$J,"Hydra-70")+SUMIFS('Таблиця 1'!$K:$K,'Таблиця 1'!$B:$B,$A518,'Таблиця 1'!$I:$I,"Mi-24",'Таблиця 1'!$J:$J,"Hydra-70"))</f>
        <v/>
      </c>
      <c r="K518">
        <f>IF($A518="","",SUMIFS('Таблиця 1'!$K:$K,'Таблиця 1'!$B:$B,$A518,'Таблиця 1'!$I:$I,"Mi-8",'Таблиця 1'!$J:$J,"Thales-70")+SUMIFS('Таблиця 1'!$K:$K,'Таблиця 1'!$B:$B,$A518,'Таблиця 1'!$I:$I,"Mi-24",'Таблиця 1'!$J:$J,"Thales-70"))</f>
        <v/>
      </c>
      <c r="L518">
        <f>IF($A518="","",SUMIFS('Таблиця 1'!$K:$K,'Таблиця 1'!$B:$B,$A518,'Таблиця 1'!$I:$I,"Mi-8",'Таблиця 1'!$J:$J,"Thales-FZ")+SUMIFS('Таблиця 1'!$K:$K,'Таблиця 1'!$B:$B,$A518,'Таблиця 1'!$I:$I,"Mi-24",'Таблиця 1'!$J:$J,"Thales-FZ"))</f>
        <v/>
      </c>
      <c r="M518">
        <f>IF($A518="","",SUMIFS('Таблиця 1'!$K:$K,'Таблиця 1'!$B:$B,$A518,'Таблиця 1'!$I:$I,"Mi-8",'Таблиця 1'!$J:$J,"МК-40")+SUMIFS('Таблиця 1'!$K:$K,'Таблиця 1'!$B:$B,$A518,'Таблиця 1'!$I:$I,"Mi-24",'Таблиця 1'!$J:$J,"МК-40"))</f>
        <v/>
      </c>
      <c r="N518">
        <f>IF($A518="","",SUMIFS('Таблиця 1'!$K:$K,'Таблиця 1'!$B:$B,$A518,'Таблиця 1'!$I:$I,"Mi-8",'Таблиця 1'!$J:$J,"Zuni")+SUMIFS('Таблиця 1'!$K:$K,'Таблиця 1'!$B:$B,$A518,'Таблиця 1'!$I:$I,"Mi-24",'Таблиця 1'!$J:$J,"Zuni"))</f>
        <v/>
      </c>
      <c r="O518">
        <f>IF($A518="","",COUNTIFS('Таблиця 1'!$B:$B,$A518,'Таблиця 1'!$I:$I,"Mi-8",'Таблиця 1'!$L:$L,"Уражено")+COUNTIFS('Таблиця 1'!$B:$B,$A518,'Таблиця 1'!$I:$I,"Mi-24",'Таблиця 1'!$L:$L,"Уражено"))</f>
        <v/>
      </c>
      <c r="P518">
        <f>IF($A518="","",COUNTIFS('Таблиця 1'!$B:$B,$A518,'Таблиця 1'!$I:$I,"Mi-8",'Таблиця 1'!$L:$L,"НЕ уражено")+COUNTIFS('Таблиця 1'!$B:$B,$A518,'Таблиця 1'!$I:$I,"Mi-24",'Таблиця 1'!$L:$L,"НЕ уражено"))</f>
        <v/>
      </c>
    </row>
    <row r="519">
      <c r="A519" s="273">
        <f>IF(A518="","",IF(A518+1&gt;MAX('Таблиця 1'!$B:$B),"",A518+1))</f>
        <v/>
      </c>
      <c r="B519">
        <f>IF($A519="","",COUNTIFS('Таблиця 1'!$B:$B,$A519,'Таблиця 1'!$I:$I,"Mi-8")+COUNTIFS('Таблиця 1'!$B:$B,$A519,'Таблиця 1'!$I:$I,"Mi-24"))</f>
        <v/>
      </c>
      <c r="C519">
        <f>IF($A519="","",COUNTIFS('Таблиця 1'!$B:$B,$A519,'Таблиця 1'!$I:$I,"Mi-8"))</f>
        <v/>
      </c>
      <c r="D519">
        <f>IF($A519="","",COUNTIFS('Таблиця 1'!$B:$B,$A519,'Таблиця 1'!$I:$I,"Mi-24"))</f>
        <v/>
      </c>
      <c r="E519">
        <f>IF($A519="","",SUMIFS('Таблиця 1'!$K:$K,'Таблиця 1'!$B:$B,$A519,'Таблиця 1'!$I:$I,"Mi-8",'Таблиця 1'!$J:$J,"ARS-8")+SUMIFS('Таблиця 1'!$K:$K,'Таблиця 1'!$B:$B,$A519,'Таблиця 1'!$I:$I,"Mi-24",'Таблиця 1'!$J:$J,"ARS-8"))</f>
        <v/>
      </c>
      <c r="F519">
        <f>IF($A519="","",SUMIFS('Таблиця 1'!$K:$K,'Таблиця 1'!$B:$B,$A519,'Таблиця 1'!$I:$I,"Mi-8",'Таблиця 1'!$J:$J,"С-8 ком")+SUMIFS('Таблиця 1'!$K:$K,'Таблиця 1'!$B:$B,$A519,'Таблиця 1'!$I:$I,"Mi-24",'Таблиця 1'!$J:$J,"С-8 ком"))</f>
        <v/>
      </c>
      <c r="G519">
        <f>IF($A519="","",SUMIFS('Таблиця 1'!$K:$K,'Таблиця 1'!$B:$B,$A519,'Таблиця 1'!$I:$I,"Mi-8",'Таблиця 1'!$J:$J,"PC-80")+SUMIFS('Таблиця 1'!$K:$K,'Таблиця 1'!$B:$B,$A519,'Таблиця 1'!$I:$I,"Mi-24",'Таблиця 1'!$J:$J,"PC-80"))</f>
        <v/>
      </c>
      <c r="H519">
        <f>IF($A519="","",SUMIFS('Таблиця 1'!$K:$K,'Таблиця 1'!$B:$B,$A519,'Таблиця 1'!$I:$I,"Mi-8",'Таблиця 1'!$J:$J,"UAR-80")+SUMIFS('Таблиця 1'!$K:$K,'Таблиця 1'!$B:$B,$A519,'Таблиця 1'!$I:$I,"Mi-24",'Таблиця 1'!$J:$J,"UAR-80"))</f>
        <v/>
      </c>
      <c r="I519">
        <f>IF($A519="","",SUMIFS('Таблиця 1'!$K:$K,'Таблиця 1'!$B:$B,$A519,'Таблиця 1'!$I:$I,"Mi-8",'Таблиця 1'!$J:$J,"C-13")+SUMIFS('Таблиця 1'!$K:$K,'Таблиця 1'!$B:$B,$A519,'Таблиця 1'!$I:$I,"Mi-24",'Таблиця 1'!$J:$J,"C-13"))</f>
        <v/>
      </c>
      <c r="J519">
        <f>IF($A519="","",SUMIFS('Таблиця 1'!$K:$K,'Таблиця 1'!$B:$B,$A519,'Таблиця 1'!$I:$I,"Mi-8",'Таблиця 1'!$J:$J,"Hydra-70")+SUMIFS('Таблиця 1'!$K:$K,'Таблиця 1'!$B:$B,$A519,'Таблиця 1'!$I:$I,"Mi-24",'Таблиця 1'!$J:$J,"Hydra-70"))</f>
        <v/>
      </c>
      <c r="K519">
        <f>IF($A519="","",SUMIFS('Таблиця 1'!$K:$K,'Таблиця 1'!$B:$B,$A519,'Таблиця 1'!$I:$I,"Mi-8",'Таблиця 1'!$J:$J,"Thales-70")+SUMIFS('Таблиця 1'!$K:$K,'Таблиця 1'!$B:$B,$A519,'Таблиця 1'!$I:$I,"Mi-24",'Таблиця 1'!$J:$J,"Thales-70"))</f>
        <v/>
      </c>
      <c r="L519">
        <f>IF($A519="","",SUMIFS('Таблиця 1'!$K:$K,'Таблиця 1'!$B:$B,$A519,'Таблиця 1'!$I:$I,"Mi-8",'Таблиця 1'!$J:$J,"Thales-FZ")+SUMIFS('Таблиця 1'!$K:$K,'Таблиця 1'!$B:$B,$A519,'Таблиця 1'!$I:$I,"Mi-24",'Таблиця 1'!$J:$J,"Thales-FZ"))</f>
        <v/>
      </c>
      <c r="M519">
        <f>IF($A519="","",SUMIFS('Таблиця 1'!$K:$K,'Таблиця 1'!$B:$B,$A519,'Таблиця 1'!$I:$I,"Mi-8",'Таблиця 1'!$J:$J,"МК-40")+SUMIFS('Таблиця 1'!$K:$K,'Таблиця 1'!$B:$B,$A519,'Таблиця 1'!$I:$I,"Mi-24",'Таблиця 1'!$J:$J,"МК-40"))</f>
        <v/>
      </c>
      <c r="N519">
        <f>IF($A519="","",SUMIFS('Таблиця 1'!$K:$K,'Таблиця 1'!$B:$B,$A519,'Таблиця 1'!$I:$I,"Mi-8",'Таблиця 1'!$J:$J,"Zuni")+SUMIFS('Таблиця 1'!$K:$K,'Таблиця 1'!$B:$B,$A519,'Таблиця 1'!$I:$I,"Mi-24",'Таблиця 1'!$J:$J,"Zuni"))</f>
        <v/>
      </c>
      <c r="O519">
        <f>IF($A519="","",COUNTIFS('Таблиця 1'!$B:$B,$A519,'Таблиця 1'!$I:$I,"Mi-8",'Таблиця 1'!$L:$L,"Уражено")+COUNTIFS('Таблиця 1'!$B:$B,$A519,'Таблиця 1'!$I:$I,"Mi-24",'Таблиця 1'!$L:$L,"Уражено"))</f>
        <v/>
      </c>
      <c r="P519">
        <f>IF($A519="","",COUNTIFS('Таблиця 1'!$B:$B,$A519,'Таблиця 1'!$I:$I,"Mi-8",'Таблиця 1'!$L:$L,"НЕ уражено")+COUNTIFS('Таблиця 1'!$B:$B,$A519,'Таблиця 1'!$I:$I,"Mi-24",'Таблиця 1'!$L:$L,"НЕ уражено"))</f>
        <v/>
      </c>
    </row>
    <row r="520">
      <c r="A520" s="273">
        <f>IF(A519="","",IF(A519+1&gt;MAX('Таблиця 1'!$B:$B),"",A519+1))</f>
        <v/>
      </c>
      <c r="B520">
        <f>IF($A520="","",COUNTIFS('Таблиця 1'!$B:$B,$A520,'Таблиця 1'!$I:$I,"Mi-8")+COUNTIFS('Таблиця 1'!$B:$B,$A520,'Таблиця 1'!$I:$I,"Mi-24"))</f>
        <v/>
      </c>
      <c r="C520">
        <f>IF($A520="","",COUNTIFS('Таблиця 1'!$B:$B,$A520,'Таблиця 1'!$I:$I,"Mi-8"))</f>
        <v/>
      </c>
      <c r="D520">
        <f>IF($A520="","",COUNTIFS('Таблиця 1'!$B:$B,$A520,'Таблиця 1'!$I:$I,"Mi-24"))</f>
        <v/>
      </c>
      <c r="E520">
        <f>IF($A520="","",SUMIFS('Таблиця 1'!$K:$K,'Таблиця 1'!$B:$B,$A520,'Таблиця 1'!$I:$I,"Mi-8",'Таблиця 1'!$J:$J,"ARS-8")+SUMIFS('Таблиця 1'!$K:$K,'Таблиця 1'!$B:$B,$A520,'Таблиця 1'!$I:$I,"Mi-24",'Таблиця 1'!$J:$J,"ARS-8"))</f>
        <v/>
      </c>
      <c r="F520">
        <f>IF($A520="","",SUMIFS('Таблиця 1'!$K:$K,'Таблиця 1'!$B:$B,$A520,'Таблиця 1'!$I:$I,"Mi-8",'Таблиця 1'!$J:$J,"С-8 ком")+SUMIFS('Таблиця 1'!$K:$K,'Таблиця 1'!$B:$B,$A520,'Таблиця 1'!$I:$I,"Mi-24",'Таблиця 1'!$J:$J,"С-8 ком"))</f>
        <v/>
      </c>
      <c r="G520">
        <f>IF($A520="","",SUMIFS('Таблиця 1'!$K:$K,'Таблиця 1'!$B:$B,$A520,'Таблиця 1'!$I:$I,"Mi-8",'Таблиця 1'!$J:$J,"PC-80")+SUMIFS('Таблиця 1'!$K:$K,'Таблиця 1'!$B:$B,$A520,'Таблиця 1'!$I:$I,"Mi-24",'Таблиця 1'!$J:$J,"PC-80"))</f>
        <v/>
      </c>
      <c r="H520">
        <f>IF($A520="","",SUMIFS('Таблиця 1'!$K:$K,'Таблиця 1'!$B:$B,$A520,'Таблиця 1'!$I:$I,"Mi-8",'Таблиця 1'!$J:$J,"UAR-80")+SUMIFS('Таблиця 1'!$K:$K,'Таблиця 1'!$B:$B,$A520,'Таблиця 1'!$I:$I,"Mi-24",'Таблиця 1'!$J:$J,"UAR-80"))</f>
        <v/>
      </c>
      <c r="I520">
        <f>IF($A520="","",SUMIFS('Таблиця 1'!$K:$K,'Таблиця 1'!$B:$B,$A520,'Таблиця 1'!$I:$I,"Mi-8",'Таблиця 1'!$J:$J,"C-13")+SUMIFS('Таблиця 1'!$K:$K,'Таблиця 1'!$B:$B,$A520,'Таблиця 1'!$I:$I,"Mi-24",'Таблиця 1'!$J:$J,"C-13"))</f>
        <v/>
      </c>
      <c r="J520">
        <f>IF($A520="","",SUMIFS('Таблиця 1'!$K:$K,'Таблиця 1'!$B:$B,$A520,'Таблиця 1'!$I:$I,"Mi-8",'Таблиця 1'!$J:$J,"Hydra-70")+SUMIFS('Таблиця 1'!$K:$K,'Таблиця 1'!$B:$B,$A520,'Таблиця 1'!$I:$I,"Mi-24",'Таблиця 1'!$J:$J,"Hydra-70"))</f>
        <v/>
      </c>
      <c r="K520">
        <f>IF($A520="","",SUMIFS('Таблиця 1'!$K:$K,'Таблиця 1'!$B:$B,$A520,'Таблиця 1'!$I:$I,"Mi-8",'Таблиця 1'!$J:$J,"Thales-70")+SUMIFS('Таблиця 1'!$K:$K,'Таблиця 1'!$B:$B,$A520,'Таблиця 1'!$I:$I,"Mi-24",'Таблиця 1'!$J:$J,"Thales-70"))</f>
        <v/>
      </c>
      <c r="L520">
        <f>IF($A520="","",SUMIFS('Таблиця 1'!$K:$K,'Таблиця 1'!$B:$B,$A520,'Таблиця 1'!$I:$I,"Mi-8",'Таблиця 1'!$J:$J,"Thales-FZ")+SUMIFS('Таблиця 1'!$K:$K,'Таблиця 1'!$B:$B,$A520,'Таблиця 1'!$I:$I,"Mi-24",'Таблиця 1'!$J:$J,"Thales-FZ"))</f>
        <v/>
      </c>
      <c r="M520">
        <f>IF($A520="","",SUMIFS('Таблиця 1'!$K:$K,'Таблиця 1'!$B:$B,$A520,'Таблиця 1'!$I:$I,"Mi-8",'Таблиця 1'!$J:$J,"МК-40")+SUMIFS('Таблиця 1'!$K:$K,'Таблиця 1'!$B:$B,$A520,'Таблиця 1'!$I:$I,"Mi-24",'Таблиця 1'!$J:$J,"МК-40"))</f>
        <v/>
      </c>
      <c r="N520">
        <f>IF($A520="","",SUMIFS('Таблиця 1'!$K:$K,'Таблиця 1'!$B:$B,$A520,'Таблиця 1'!$I:$I,"Mi-8",'Таблиця 1'!$J:$J,"Zuni")+SUMIFS('Таблиця 1'!$K:$K,'Таблиця 1'!$B:$B,$A520,'Таблиця 1'!$I:$I,"Mi-24",'Таблиця 1'!$J:$J,"Zuni"))</f>
        <v/>
      </c>
      <c r="O520">
        <f>IF($A520="","",COUNTIFS('Таблиця 1'!$B:$B,$A520,'Таблиця 1'!$I:$I,"Mi-8",'Таблиця 1'!$L:$L,"Уражено")+COUNTIFS('Таблиця 1'!$B:$B,$A520,'Таблиця 1'!$I:$I,"Mi-24",'Таблиця 1'!$L:$L,"Уражено"))</f>
        <v/>
      </c>
      <c r="P520">
        <f>IF($A520="","",COUNTIFS('Таблиця 1'!$B:$B,$A520,'Таблиця 1'!$I:$I,"Mi-8",'Таблиця 1'!$L:$L,"НЕ уражено")+COUNTIFS('Таблиця 1'!$B:$B,$A520,'Таблиця 1'!$I:$I,"Mi-24",'Таблиця 1'!$L:$L,"НЕ уражено"))</f>
        <v/>
      </c>
    </row>
    <row r="521">
      <c r="A521" s="273">
        <f>IF(A520="","",IF(A520+1&gt;MAX('Таблиця 1'!$B:$B),"",A520+1))</f>
        <v/>
      </c>
      <c r="B521">
        <f>IF($A521="","",COUNTIFS('Таблиця 1'!$B:$B,$A521,'Таблиця 1'!$I:$I,"Mi-8")+COUNTIFS('Таблиця 1'!$B:$B,$A521,'Таблиця 1'!$I:$I,"Mi-24"))</f>
        <v/>
      </c>
      <c r="C521">
        <f>IF($A521="","",COUNTIFS('Таблиця 1'!$B:$B,$A521,'Таблиця 1'!$I:$I,"Mi-8"))</f>
        <v/>
      </c>
      <c r="D521">
        <f>IF($A521="","",COUNTIFS('Таблиця 1'!$B:$B,$A521,'Таблиця 1'!$I:$I,"Mi-24"))</f>
        <v/>
      </c>
      <c r="E521">
        <f>IF($A521="","",SUMIFS('Таблиця 1'!$K:$K,'Таблиця 1'!$B:$B,$A521,'Таблиця 1'!$I:$I,"Mi-8",'Таблиця 1'!$J:$J,"ARS-8")+SUMIFS('Таблиця 1'!$K:$K,'Таблиця 1'!$B:$B,$A521,'Таблиця 1'!$I:$I,"Mi-24",'Таблиця 1'!$J:$J,"ARS-8"))</f>
        <v/>
      </c>
      <c r="F521">
        <f>IF($A521="","",SUMIFS('Таблиця 1'!$K:$K,'Таблиця 1'!$B:$B,$A521,'Таблиця 1'!$I:$I,"Mi-8",'Таблиця 1'!$J:$J,"С-8 ком")+SUMIFS('Таблиця 1'!$K:$K,'Таблиця 1'!$B:$B,$A521,'Таблиця 1'!$I:$I,"Mi-24",'Таблиця 1'!$J:$J,"С-8 ком"))</f>
        <v/>
      </c>
      <c r="G521">
        <f>IF($A521="","",SUMIFS('Таблиця 1'!$K:$K,'Таблиця 1'!$B:$B,$A521,'Таблиця 1'!$I:$I,"Mi-8",'Таблиця 1'!$J:$J,"PC-80")+SUMIFS('Таблиця 1'!$K:$K,'Таблиця 1'!$B:$B,$A521,'Таблиця 1'!$I:$I,"Mi-24",'Таблиця 1'!$J:$J,"PC-80"))</f>
        <v/>
      </c>
      <c r="H521">
        <f>IF($A521="","",SUMIFS('Таблиця 1'!$K:$K,'Таблиця 1'!$B:$B,$A521,'Таблиця 1'!$I:$I,"Mi-8",'Таблиця 1'!$J:$J,"UAR-80")+SUMIFS('Таблиця 1'!$K:$K,'Таблиця 1'!$B:$B,$A521,'Таблиця 1'!$I:$I,"Mi-24",'Таблиця 1'!$J:$J,"UAR-80"))</f>
        <v/>
      </c>
      <c r="I521">
        <f>IF($A521="","",SUMIFS('Таблиця 1'!$K:$K,'Таблиця 1'!$B:$B,$A521,'Таблиця 1'!$I:$I,"Mi-8",'Таблиця 1'!$J:$J,"C-13")+SUMIFS('Таблиця 1'!$K:$K,'Таблиця 1'!$B:$B,$A521,'Таблиця 1'!$I:$I,"Mi-24",'Таблиця 1'!$J:$J,"C-13"))</f>
        <v/>
      </c>
      <c r="J521">
        <f>IF($A521="","",SUMIFS('Таблиця 1'!$K:$K,'Таблиця 1'!$B:$B,$A521,'Таблиця 1'!$I:$I,"Mi-8",'Таблиця 1'!$J:$J,"Hydra-70")+SUMIFS('Таблиця 1'!$K:$K,'Таблиця 1'!$B:$B,$A521,'Таблиця 1'!$I:$I,"Mi-24",'Таблиця 1'!$J:$J,"Hydra-70"))</f>
        <v/>
      </c>
      <c r="K521">
        <f>IF($A521="","",SUMIFS('Таблиця 1'!$K:$K,'Таблиця 1'!$B:$B,$A521,'Таблиця 1'!$I:$I,"Mi-8",'Таблиця 1'!$J:$J,"Thales-70")+SUMIFS('Таблиця 1'!$K:$K,'Таблиця 1'!$B:$B,$A521,'Таблиця 1'!$I:$I,"Mi-24",'Таблиця 1'!$J:$J,"Thales-70"))</f>
        <v/>
      </c>
      <c r="L521">
        <f>IF($A521="","",SUMIFS('Таблиця 1'!$K:$K,'Таблиця 1'!$B:$B,$A521,'Таблиця 1'!$I:$I,"Mi-8",'Таблиця 1'!$J:$J,"Thales-FZ")+SUMIFS('Таблиця 1'!$K:$K,'Таблиця 1'!$B:$B,$A521,'Таблиця 1'!$I:$I,"Mi-24",'Таблиця 1'!$J:$J,"Thales-FZ"))</f>
        <v/>
      </c>
      <c r="M521">
        <f>IF($A521="","",SUMIFS('Таблиця 1'!$K:$K,'Таблиця 1'!$B:$B,$A521,'Таблиця 1'!$I:$I,"Mi-8",'Таблиця 1'!$J:$J,"МК-40")+SUMIFS('Таблиця 1'!$K:$K,'Таблиця 1'!$B:$B,$A521,'Таблиця 1'!$I:$I,"Mi-24",'Таблиця 1'!$J:$J,"МК-40"))</f>
        <v/>
      </c>
      <c r="N521">
        <f>IF($A521="","",SUMIFS('Таблиця 1'!$K:$K,'Таблиця 1'!$B:$B,$A521,'Таблиця 1'!$I:$I,"Mi-8",'Таблиця 1'!$J:$J,"Zuni")+SUMIFS('Таблиця 1'!$K:$K,'Таблиця 1'!$B:$B,$A521,'Таблиця 1'!$I:$I,"Mi-24",'Таблиця 1'!$J:$J,"Zuni"))</f>
        <v/>
      </c>
      <c r="O521">
        <f>IF($A521="","",COUNTIFS('Таблиця 1'!$B:$B,$A521,'Таблиця 1'!$I:$I,"Mi-8",'Таблиця 1'!$L:$L,"Уражено")+COUNTIFS('Таблиця 1'!$B:$B,$A521,'Таблиця 1'!$I:$I,"Mi-24",'Таблиця 1'!$L:$L,"Уражено"))</f>
        <v/>
      </c>
      <c r="P521">
        <f>IF($A521="","",COUNTIFS('Таблиця 1'!$B:$B,$A521,'Таблиця 1'!$I:$I,"Mi-8",'Таблиця 1'!$L:$L,"НЕ уражено")+COUNTIFS('Таблиця 1'!$B:$B,$A521,'Таблиця 1'!$I:$I,"Mi-24",'Таблиця 1'!$L:$L,"НЕ уражено"))</f>
        <v/>
      </c>
    </row>
    <row r="522">
      <c r="A522" s="273">
        <f>IF(A521="","",IF(A521+1&gt;MAX('Таблиця 1'!$B:$B),"",A521+1))</f>
        <v/>
      </c>
      <c r="B522">
        <f>IF($A522="","",COUNTIFS('Таблиця 1'!$B:$B,$A522,'Таблиця 1'!$I:$I,"Mi-8")+COUNTIFS('Таблиця 1'!$B:$B,$A522,'Таблиця 1'!$I:$I,"Mi-24"))</f>
        <v/>
      </c>
      <c r="C522">
        <f>IF($A522="","",COUNTIFS('Таблиця 1'!$B:$B,$A522,'Таблиця 1'!$I:$I,"Mi-8"))</f>
        <v/>
      </c>
      <c r="D522">
        <f>IF($A522="","",COUNTIFS('Таблиця 1'!$B:$B,$A522,'Таблиця 1'!$I:$I,"Mi-24"))</f>
        <v/>
      </c>
      <c r="E522">
        <f>IF($A522="","",SUMIFS('Таблиця 1'!$K:$K,'Таблиця 1'!$B:$B,$A522,'Таблиця 1'!$I:$I,"Mi-8",'Таблиця 1'!$J:$J,"ARS-8")+SUMIFS('Таблиця 1'!$K:$K,'Таблиця 1'!$B:$B,$A522,'Таблиця 1'!$I:$I,"Mi-24",'Таблиця 1'!$J:$J,"ARS-8"))</f>
        <v/>
      </c>
      <c r="F522">
        <f>IF($A522="","",SUMIFS('Таблиця 1'!$K:$K,'Таблиця 1'!$B:$B,$A522,'Таблиця 1'!$I:$I,"Mi-8",'Таблиця 1'!$J:$J,"С-8 ком")+SUMIFS('Таблиця 1'!$K:$K,'Таблиця 1'!$B:$B,$A522,'Таблиця 1'!$I:$I,"Mi-24",'Таблиця 1'!$J:$J,"С-8 ком"))</f>
        <v/>
      </c>
      <c r="G522">
        <f>IF($A522="","",SUMIFS('Таблиця 1'!$K:$K,'Таблиця 1'!$B:$B,$A522,'Таблиця 1'!$I:$I,"Mi-8",'Таблиця 1'!$J:$J,"PC-80")+SUMIFS('Таблиця 1'!$K:$K,'Таблиця 1'!$B:$B,$A522,'Таблиця 1'!$I:$I,"Mi-24",'Таблиця 1'!$J:$J,"PC-80"))</f>
        <v/>
      </c>
      <c r="H522">
        <f>IF($A522="","",SUMIFS('Таблиця 1'!$K:$K,'Таблиця 1'!$B:$B,$A522,'Таблиця 1'!$I:$I,"Mi-8",'Таблиця 1'!$J:$J,"UAR-80")+SUMIFS('Таблиця 1'!$K:$K,'Таблиця 1'!$B:$B,$A522,'Таблиця 1'!$I:$I,"Mi-24",'Таблиця 1'!$J:$J,"UAR-80"))</f>
        <v/>
      </c>
      <c r="I522">
        <f>IF($A522="","",SUMIFS('Таблиця 1'!$K:$K,'Таблиця 1'!$B:$B,$A522,'Таблиця 1'!$I:$I,"Mi-8",'Таблиця 1'!$J:$J,"C-13")+SUMIFS('Таблиця 1'!$K:$K,'Таблиця 1'!$B:$B,$A522,'Таблиця 1'!$I:$I,"Mi-24",'Таблиця 1'!$J:$J,"C-13"))</f>
        <v/>
      </c>
      <c r="J522">
        <f>IF($A522="","",SUMIFS('Таблиця 1'!$K:$K,'Таблиця 1'!$B:$B,$A522,'Таблиця 1'!$I:$I,"Mi-8",'Таблиця 1'!$J:$J,"Hydra-70")+SUMIFS('Таблиця 1'!$K:$K,'Таблиця 1'!$B:$B,$A522,'Таблиця 1'!$I:$I,"Mi-24",'Таблиця 1'!$J:$J,"Hydra-70"))</f>
        <v/>
      </c>
      <c r="K522">
        <f>IF($A522="","",SUMIFS('Таблиця 1'!$K:$K,'Таблиця 1'!$B:$B,$A522,'Таблиця 1'!$I:$I,"Mi-8",'Таблиця 1'!$J:$J,"Thales-70")+SUMIFS('Таблиця 1'!$K:$K,'Таблиця 1'!$B:$B,$A522,'Таблиця 1'!$I:$I,"Mi-24",'Таблиця 1'!$J:$J,"Thales-70"))</f>
        <v/>
      </c>
      <c r="L522">
        <f>IF($A522="","",SUMIFS('Таблиця 1'!$K:$K,'Таблиця 1'!$B:$B,$A522,'Таблиця 1'!$I:$I,"Mi-8",'Таблиця 1'!$J:$J,"Thales-FZ")+SUMIFS('Таблиця 1'!$K:$K,'Таблиця 1'!$B:$B,$A522,'Таблиця 1'!$I:$I,"Mi-24",'Таблиця 1'!$J:$J,"Thales-FZ"))</f>
        <v/>
      </c>
      <c r="M522">
        <f>IF($A522="","",SUMIFS('Таблиця 1'!$K:$K,'Таблиця 1'!$B:$B,$A522,'Таблиця 1'!$I:$I,"Mi-8",'Таблиця 1'!$J:$J,"МК-40")+SUMIFS('Таблиця 1'!$K:$K,'Таблиця 1'!$B:$B,$A522,'Таблиця 1'!$I:$I,"Mi-24",'Таблиця 1'!$J:$J,"МК-40"))</f>
        <v/>
      </c>
      <c r="N522">
        <f>IF($A522="","",SUMIFS('Таблиця 1'!$K:$K,'Таблиця 1'!$B:$B,$A522,'Таблиця 1'!$I:$I,"Mi-8",'Таблиця 1'!$J:$J,"Zuni")+SUMIFS('Таблиця 1'!$K:$K,'Таблиця 1'!$B:$B,$A522,'Таблиця 1'!$I:$I,"Mi-24",'Таблиця 1'!$J:$J,"Zuni"))</f>
        <v/>
      </c>
      <c r="O522">
        <f>IF($A522="","",COUNTIFS('Таблиця 1'!$B:$B,$A522,'Таблиця 1'!$I:$I,"Mi-8",'Таблиця 1'!$L:$L,"Уражено")+COUNTIFS('Таблиця 1'!$B:$B,$A522,'Таблиця 1'!$I:$I,"Mi-24",'Таблиця 1'!$L:$L,"Уражено"))</f>
        <v/>
      </c>
      <c r="P522">
        <f>IF($A522="","",COUNTIFS('Таблиця 1'!$B:$B,$A522,'Таблиця 1'!$I:$I,"Mi-8",'Таблиця 1'!$L:$L,"НЕ уражено")+COUNTIFS('Таблиця 1'!$B:$B,$A522,'Таблиця 1'!$I:$I,"Mi-24",'Таблиця 1'!$L:$L,"НЕ уражено"))</f>
        <v/>
      </c>
    </row>
    <row r="523">
      <c r="A523" s="273">
        <f>IF(A522="","",IF(A522+1&gt;MAX('Таблиця 1'!$B:$B),"",A522+1))</f>
        <v/>
      </c>
      <c r="B523">
        <f>IF($A523="","",COUNTIFS('Таблиця 1'!$B:$B,$A523,'Таблиця 1'!$I:$I,"Mi-8")+COUNTIFS('Таблиця 1'!$B:$B,$A523,'Таблиця 1'!$I:$I,"Mi-24"))</f>
        <v/>
      </c>
      <c r="C523">
        <f>IF($A523="","",COUNTIFS('Таблиця 1'!$B:$B,$A523,'Таблиця 1'!$I:$I,"Mi-8"))</f>
        <v/>
      </c>
      <c r="D523">
        <f>IF($A523="","",COUNTIFS('Таблиця 1'!$B:$B,$A523,'Таблиця 1'!$I:$I,"Mi-24"))</f>
        <v/>
      </c>
      <c r="E523">
        <f>IF($A523="","",SUMIFS('Таблиця 1'!$K:$K,'Таблиця 1'!$B:$B,$A523,'Таблиця 1'!$I:$I,"Mi-8",'Таблиця 1'!$J:$J,"ARS-8")+SUMIFS('Таблиця 1'!$K:$K,'Таблиця 1'!$B:$B,$A523,'Таблиця 1'!$I:$I,"Mi-24",'Таблиця 1'!$J:$J,"ARS-8"))</f>
        <v/>
      </c>
      <c r="F523">
        <f>IF($A523="","",SUMIFS('Таблиця 1'!$K:$K,'Таблиця 1'!$B:$B,$A523,'Таблиця 1'!$I:$I,"Mi-8",'Таблиця 1'!$J:$J,"С-8 ком")+SUMIFS('Таблиця 1'!$K:$K,'Таблиця 1'!$B:$B,$A523,'Таблиця 1'!$I:$I,"Mi-24",'Таблиця 1'!$J:$J,"С-8 ком"))</f>
        <v/>
      </c>
      <c r="G523">
        <f>IF($A523="","",SUMIFS('Таблиця 1'!$K:$K,'Таблиця 1'!$B:$B,$A523,'Таблиця 1'!$I:$I,"Mi-8",'Таблиця 1'!$J:$J,"PC-80")+SUMIFS('Таблиця 1'!$K:$K,'Таблиця 1'!$B:$B,$A523,'Таблиця 1'!$I:$I,"Mi-24",'Таблиця 1'!$J:$J,"PC-80"))</f>
        <v/>
      </c>
      <c r="H523">
        <f>IF($A523="","",SUMIFS('Таблиця 1'!$K:$K,'Таблиця 1'!$B:$B,$A523,'Таблиця 1'!$I:$I,"Mi-8",'Таблиця 1'!$J:$J,"UAR-80")+SUMIFS('Таблиця 1'!$K:$K,'Таблиця 1'!$B:$B,$A523,'Таблиця 1'!$I:$I,"Mi-24",'Таблиця 1'!$J:$J,"UAR-80"))</f>
        <v/>
      </c>
      <c r="I523">
        <f>IF($A523="","",SUMIFS('Таблиця 1'!$K:$K,'Таблиця 1'!$B:$B,$A523,'Таблиця 1'!$I:$I,"Mi-8",'Таблиця 1'!$J:$J,"C-13")+SUMIFS('Таблиця 1'!$K:$K,'Таблиця 1'!$B:$B,$A523,'Таблиця 1'!$I:$I,"Mi-24",'Таблиця 1'!$J:$J,"C-13"))</f>
        <v/>
      </c>
      <c r="J523">
        <f>IF($A523="","",SUMIFS('Таблиця 1'!$K:$K,'Таблиця 1'!$B:$B,$A523,'Таблиця 1'!$I:$I,"Mi-8",'Таблиця 1'!$J:$J,"Hydra-70")+SUMIFS('Таблиця 1'!$K:$K,'Таблиця 1'!$B:$B,$A523,'Таблиця 1'!$I:$I,"Mi-24",'Таблиця 1'!$J:$J,"Hydra-70"))</f>
        <v/>
      </c>
      <c r="K523">
        <f>IF($A523="","",SUMIFS('Таблиця 1'!$K:$K,'Таблиця 1'!$B:$B,$A523,'Таблиця 1'!$I:$I,"Mi-8",'Таблиця 1'!$J:$J,"Thales-70")+SUMIFS('Таблиця 1'!$K:$K,'Таблиця 1'!$B:$B,$A523,'Таблиця 1'!$I:$I,"Mi-24",'Таблиця 1'!$J:$J,"Thales-70"))</f>
        <v/>
      </c>
      <c r="L523">
        <f>IF($A523="","",SUMIFS('Таблиця 1'!$K:$K,'Таблиця 1'!$B:$B,$A523,'Таблиця 1'!$I:$I,"Mi-8",'Таблиця 1'!$J:$J,"Thales-FZ")+SUMIFS('Таблиця 1'!$K:$K,'Таблиця 1'!$B:$B,$A523,'Таблиця 1'!$I:$I,"Mi-24",'Таблиця 1'!$J:$J,"Thales-FZ"))</f>
        <v/>
      </c>
      <c r="M523">
        <f>IF($A523="","",SUMIFS('Таблиця 1'!$K:$K,'Таблиця 1'!$B:$B,$A523,'Таблиця 1'!$I:$I,"Mi-8",'Таблиця 1'!$J:$J,"МК-40")+SUMIFS('Таблиця 1'!$K:$K,'Таблиця 1'!$B:$B,$A523,'Таблиця 1'!$I:$I,"Mi-24",'Таблиця 1'!$J:$J,"МК-40"))</f>
        <v/>
      </c>
      <c r="N523">
        <f>IF($A523="","",SUMIFS('Таблиця 1'!$K:$K,'Таблиця 1'!$B:$B,$A523,'Таблиця 1'!$I:$I,"Mi-8",'Таблиця 1'!$J:$J,"Zuni")+SUMIFS('Таблиця 1'!$K:$K,'Таблиця 1'!$B:$B,$A523,'Таблиця 1'!$I:$I,"Mi-24",'Таблиця 1'!$J:$J,"Zuni"))</f>
        <v/>
      </c>
      <c r="O523">
        <f>IF($A523="","",COUNTIFS('Таблиця 1'!$B:$B,$A523,'Таблиця 1'!$I:$I,"Mi-8",'Таблиця 1'!$L:$L,"Уражено")+COUNTIFS('Таблиця 1'!$B:$B,$A523,'Таблиця 1'!$I:$I,"Mi-24",'Таблиця 1'!$L:$L,"Уражено"))</f>
        <v/>
      </c>
      <c r="P523">
        <f>IF($A523="","",COUNTIFS('Таблиця 1'!$B:$B,$A523,'Таблиця 1'!$I:$I,"Mi-8",'Таблиця 1'!$L:$L,"НЕ уражено")+COUNTIFS('Таблиця 1'!$B:$B,$A523,'Таблиця 1'!$I:$I,"Mi-24",'Таблиця 1'!$L:$L,"НЕ уражено"))</f>
        <v/>
      </c>
    </row>
    <row r="524">
      <c r="A524" s="273">
        <f>IF(A523="","",IF(A523+1&gt;MAX('Таблиця 1'!$B:$B),"",A523+1))</f>
        <v/>
      </c>
      <c r="B524">
        <f>IF($A524="","",COUNTIFS('Таблиця 1'!$B:$B,$A524,'Таблиця 1'!$I:$I,"Mi-8")+COUNTIFS('Таблиця 1'!$B:$B,$A524,'Таблиця 1'!$I:$I,"Mi-24"))</f>
        <v/>
      </c>
      <c r="C524">
        <f>IF($A524="","",COUNTIFS('Таблиця 1'!$B:$B,$A524,'Таблиця 1'!$I:$I,"Mi-8"))</f>
        <v/>
      </c>
      <c r="D524">
        <f>IF($A524="","",COUNTIFS('Таблиця 1'!$B:$B,$A524,'Таблиця 1'!$I:$I,"Mi-24"))</f>
        <v/>
      </c>
      <c r="E524">
        <f>IF($A524="","",SUMIFS('Таблиця 1'!$K:$K,'Таблиця 1'!$B:$B,$A524,'Таблиця 1'!$I:$I,"Mi-8",'Таблиця 1'!$J:$J,"ARS-8")+SUMIFS('Таблиця 1'!$K:$K,'Таблиця 1'!$B:$B,$A524,'Таблиця 1'!$I:$I,"Mi-24",'Таблиця 1'!$J:$J,"ARS-8"))</f>
        <v/>
      </c>
      <c r="F524">
        <f>IF($A524="","",SUMIFS('Таблиця 1'!$K:$K,'Таблиця 1'!$B:$B,$A524,'Таблиця 1'!$I:$I,"Mi-8",'Таблиця 1'!$J:$J,"С-8 ком")+SUMIFS('Таблиця 1'!$K:$K,'Таблиця 1'!$B:$B,$A524,'Таблиця 1'!$I:$I,"Mi-24",'Таблиця 1'!$J:$J,"С-8 ком"))</f>
        <v/>
      </c>
      <c r="G524">
        <f>IF($A524="","",SUMIFS('Таблиця 1'!$K:$K,'Таблиця 1'!$B:$B,$A524,'Таблиця 1'!$I:$I,"Mi-8",'Таблиця 1'!$J:$J,"PC-80")+SUMIFS('Таблиця 1'!$K:$K,'Таблиця 1'!$B:$B,$A524,'Таблиця 1'!$I:$I,"Mi-24",'Таблиця 1'!$J:$J,"PC-80"))</f>
        <v/>
      </c>
      <c r="H524">
        <f>IF($A524="","",SUMIFS('Таблиця 1'!$K:$K,'Таблиця 1'!$B:$B,$A524,'Таблиця 1'!$I:$I,"Mi-8",'Таблиця 1'!$J:$J,"UAR-80")+SUMIFS('Таблиця 1'!$K:$K,'Таблиця 1'!$B:$B,$A524,'Таблиця 1'!$I:$I,"Mi-24",'Таблиця 1'!$J:$J,"UAR-80"))</f>
        <v/>
      </c>
      <c r="I524">
        <f>IF($A524="","",SUMIFS('Таблиця 1'!$K:$K,'Таблиця 1'!$B:$B,$A524,'Таблиця 1'!$I:$I,"Mi-8",'Таблиця 1'!$J:$J,"C-13")+SUMIFS('Таблиця 1'!$K:$K,'Таблиця 1'!$B:$B,$A524,'Таблиця 1'!$I:$I,"Mi-24",'Таблиця 1'!$J:$J,"C-13"))</f>
        <v/>
      </c>
      <c r="J524">
        <f>IF($A524="","",SUMIFS('Таблиця 1'!$K:$K,'Таблиця 1'!$B:$B,$A524,'Таблиця 1'!$I:$I,"Mi-8",'Таблиця 1'!$J:$J,"Hydra-70")+SUMIFS('Таблиця 1'!$K:$K,'Таблиця 1'!$B:$B,$A524,'Таблиця 1'!$I:$I,"Mi-24",'Таблиця 1'!$J:$J,"Hydra-70"))</f>
        <v/>
      </c>
      <c r="K524">
        <f>IF($A524="","",SUMIFS('Таблиця 1'!$K:$K,'Таблиця 1'!$B:$B,$A524,'Таблиця 1'!$I:$I,"Mi-8",'Таблиця 1'!$J:$J,"Thales-70")+SUMIFS('Таблиця 1'!$K:$K,'Таблиця 1'!$B:$B,$A524,'Таблиця 1'!$I:$I,"Mi-24",'Таблиця 1'!$J:$J,"Thales-70"))</f>
        <v/>
      </c>
      <c r="L524">
        <f>IF($A524="","",SUMIFS('Таблиця 1'!$K:$K,'Таблиця 1'!$B:$B,$A524,'Таблиця 1'!$I:$I,"Mi-8",'Таблиця 1'!$J:$J,"Thales-FZ")+SUMIFS('Таблиця 1'!$K:$K,'Таблиця 1'!$B:$B,$A524,'Таблиця 1'!$I:$I,"Mi-24",'Таблиця 1'!$J:$J,"Thales-FZ"))</f>
        <v/>
      </c>
      <c r="M524">
        <f>IF($A524="","",SUMIFS('Таблиця 1'!$K:$K,'Таблиця 1'!$B:$B,$A524,'Таблиця 1'!$I:$I,"Mi-8",'Таблиця 1'!$J:$J,"МК-40")+SUMIFS('Таблиця 1'!$K:$K,'Таблиця 1'!$B:$B,$A524,'Таблиця 1'!$I:$I,"Mi-24",'Таблиця 1'!$J:$J,"МК-40"))</f>
        <v/>
      </c>
      <c r="N524">
        <f>IF($A524="","",SUMIFS('Таблиця 1'!$K:$K,'Таблиця 1'!$B:$B,$A524,'Таблиця 1'!$I:$I,"Mi-8",'Таблиця 1'!$J:$J,"Zuni")+SUMIFS('Таблиця 1'!$K:$K,'Таблиця 1'!$B:$B,$A524,'Таблиця 1'!$I:$I,"Mi-24",'Таблиця 1'!$J:$J,"Zuni"))</f>
        <v/>
      </c>
      <c r="O524">
        <f>IF($A524="","",COUNTIFS('Таблиця 1'!$B:$B,$A524,'Таблиця 1'!$I:$I,"Mi-8",'Таблиця 1'!$L:$L,"Уражено")+COUNTIFS('Таблиця 1'!$B:$B,$A524,'Таблиця 1'!$I:$I,"Mi-24",'Таблиця 1'!$L:$L,"Уражено"))</f>
        <v/>
      </c>
      <c r="P524">
        <f>IF($A524="","",COUNTIFS('Таблиця 1'!$B:$B,$A524,'Таблиця 1'!$I:$I,"Mi-8",'Таблиця 1'!$L:$L,"НЕ уражено")+COUNTIFS('Таблиця 1'!$B:$B,$A524,'Таблиця 1'!$I:$I,"Mi-24",'Таблиця 1'!$L:$L,"НЕ уражено"))</f>
        <v/>
      </c>
    </row>
    <row r="525">
      <c r="A525" s="273">
        <f>IF(A524="","",IF(A524+1&gt;MAX('Таблиця 1'!$B:$B),"",A524+1))</f>
        <v/>
      </c>
      <c r="B525">
        <f>IF($A525="","",COUNTIFS('Таблиця 1'!$B:$B,$A525,'Таблиця 1'!$I:$I,"Mi-8")+COUNTIFS('Таблиця 1'!$B:$B,$A525,'Таблиця 1'!$I:$I,"Mi-24"))</f>
        <v/>
      </c>
      <c r="C525">
        <f>IF($A525="","",COUNTIFS('Таблиця 1'!$B:$B,$A525,'Таблиця 1'!$I:$I,"Mi-8"))</f>
        <v/>
      </c>
      <c r="D525">
        <f>IF($A525="","",COUNTIFS('Таблиця 1'!$B:$B,$A525,'Таблиця 1'!$I:$I,"Mi-24"))</f>
        <v/>
      </c>
      <c r="E525">
        <f>IF($A525="","",SUMIFS('Таблиця 1'!$K:$K,'Таблиця 1'!$B:$B,$A525,'Таблиця 1'!$I:$I,"Mi-8",'Таблиця 1'!$J:$J,"ARS-8")+SUMIFS('Таблиця 1'!$K:$K,'Таблиця 1'!$B:$B,$A525,'Таблиця 1'!$I:$I,"Mi-24",'Таблиця 1'!$J:$J,"ARS-8"))</f>
        <v/>
      </c>
      <c r="F525">
        <f>IF($A525="","",SUMIFS('Таблиця 1'!$K:$K,'Таблиця 1'!$B:$B,$A525,'Таблиця 1'!$I:$I,"Mi-8",'Таблиця 1'!$J:$J,"С-8 ком")+SUMIFS('Таблиця 1'!$K:$K,'Таблиця 1'!$B:$B,$A525,'Таблиця 1'!$I:$I,"Mi-24",'Таблиця 1'!$J:$J,"С-8 ком"))</f>
        <v/>
      </c>
      <c r="G525">
        <f>IF($A525="","",SUMIFS('Таблиця 1'!$K:$K,'Таблиця 1'!$B:$B,$A525,'Таблиця 1'!$I:$I,"Mi-8",'Таблиця 1'!$J:$J,"PC-80")+SUMIFS('Таблиця 1'!$K:$K,'Таблиця 1'!$B:$B,$A525,'Таблиця 1'!$I:$I,"Mi-24",'Таблиця 1'!$J:$J,"PC-80"))</f>
        <v/>
      </c>
      <c r="H525">
        <f>IF($A525="","",SUMIFS('Таблиця 1'!$K:$K,'Таблиця 1'!$B:$B,$A525,'Таблиця 1'!$I:$I,"Mi-8",'Таблиця 1'!$J:$J,"UAR-80")+SUMIFS('Таблиця 1'!$K:$K,'Таблиця 1'!$B:$B,$A525,'Таблиця 1'!$I:$I,"Mi-24",'Таблиця 1'!$J:$J,"UAR-80"))</f>
        <v/>
      </c>
      <c r="I525">
        <f>IF($A525="","",SUMIFS('Таблиця 1'!$K:$K,'Таблиця 1'!$B:$B,$A525,'Таблиця 1'!$I:$I,"Mi-8",'Таблиця 1'!$J:$J,"C-13")+SUMIFS('Таблиця 1'!$K:$K,'Таблиця 1'!$B:$B,$A525,'Таблиця 1'!$I:$I,"Mi-24",'Таблиця 1'!$J:$J,"C-13"))</f>
        <v/>
      </c>
      <c r="J525">
        <f>IF($A525="","",SUMIFS('Таблиця 1'!$K:$K,'Таблиця 1'!$B:$B,$A525,'Таблиця 1'!$I:$I,"Mi-8",'Таблиця 1'!$J:$J,"Hydra-70")+SUMIFS('Таблиця 1'!$K:$K,'Таблиця 1'!$B:$B,$A525,'Таблиця 1'!$I:$I,"Mi-24",'Таблиця 1'!$J:$J,"Hydra-70"))</f>
        <v/>
      </c>
      <c r="K525">
        <f>IF($A525="","",SUMIFS('Таблиця 1'!$K:$K,'Таблиця 1'!$B:$B,$A525,'Таблиця 1'!$I:$I,"Mi-8",'Таблиця 1'!$J:$J,"Thales-70")+SUMIFS('Таблиця 1'!$K:$K,'Таблиця 1'!$B:$B,$A525,'Таблиця 1'!$I:$I,"Mi-24",'Таблиця 1'!$J:$J,"Thales-70"))</f>
        <v/>
      </c>
      <c r="L525">
        <f>IF($A525="","",SUMIFS('Таблиця 1'!$K:$K,'Таблиця 1'!$B:$B,$A525,'Таблиця 1'!$I:$I,"Mi-8",'Таблиця 1'!$J:$J,"Thales-FZ")+SUMIFS('Таблиця 1'!$K:$K,'Таблиця 1'!$B:$B,$A525,'Таблиця 1'!$I:$I,"Mi-24",'Таблиця 1'!$J:$J,"Thales-FZ"))</f>
        <v/>
      </c>
      <c r="M525">
        <f>IF($A525="","",SUMIFS('Таблиця 1'!$K:$K,'Таблиця 1'!$B:$B,$A525,'Таблиця 1'!$I:$I,"Mi-8",'Таблиця 1'!$J:$J,"МК-40")+SUMIFS('Таблиця 1'!$K:$K,'Таблиця 1'!$B:$B,$A525,'Таблиця 1'!$I:$I,"Mi-24",'Таблиця 1'!$J:$J,"МК-40"))</f>
        <v/>
      </c>
      <c r="N525">
        <f>IF($A525="","",SUMIFS('Таблиця 1'!$K:$K,'Таблиця 1'!$B:$B,$A525,'Таблиця 1'!$I:$I,"Mi-8",'Таблиця 1'!$J:$J,"Zuni")+SUMIFS('Таблиця 1'!$K:$K,'Таблиця 1'!$B:$B,$A525,'Таблиця 1'!$I:$I,"Mi-24",'Таблиця 1'!$J:$J,"Zuni"))</f>
        <v/>
      </c>
      <c r="O525">
        <f>IF($A525="","",COUNTIFS('Таблиця 1'!$B:$B,$A525,'Таблиця 1'!$I:$I,"Mi-8",'Таблиця 1'!$L:$L,"Уражено")+COUNTIFS('Таблиця 1'!$B:$B,$A525,'Таблиця 1'!$I:$I,"Mi-24",'Таблиця 1'!$L:$L,"Уражено"))</f>
        <v/>
      </c>
      <c r="P525">
        <f>IF($A525="","",COUNTIFS('Таблиця 1'!$B:$B,$A525,'Таблиця 1'!$I:$I,"Mi-8",'Таблиця 1'!$L:$L,"НЕ уражено")+COUNTIFS('Таблиця 1'!$B:$B,$A525,'Таблиця 1'!$I:$I,"Mi-24",'Таблиця 1'!$L:$L,"НЕ уражено"))</f>
        <v/>
      </c>
    </row>
    <row r="526">
      <c r="A526" s="273">
        <f>IF(A525="","",IF(A525+1&gt;MAX('Таблиця 1'!$B:$B),"",A525+1))</f>
        <v/>
      </c>
      <c r="B526">
        <f>IF($A526="","",COUNTIFS('Таблиця 1'!$B:$B,$A526,'Таблиця 1'!$I:$I,"Mi-8")+COUNTIFS('Таблиця 1'!$B:$B,$A526,'Таблиця 1'!$I:$I,"Mi-24"))</f>
        <v/>
      </c>
      <c r="C526">
        <f>IF($A526="","",COUNTIFS('Таблиця 1'!$B:$B,$A526,'Таблиця 1'!$I:$I,"Mi-8"))</f>
        <v/>
      </c>
      <c r="D526">
        <f>IF($A526="","",COUNTIFS('Таблиця 1'!$B:$B,$A526,'Таблиця 1'!$I:$I,"Mi-24"))</f>
        <v/>
      </c>
      <c r="E526">
        <f>IF($A526="","",SUMIFS('Таблиця 1'!$K:$K,'Таблиця 1'!$B:$B,$A526,'Таблиця 1'!$I:$I,"Mi-8",'Таблиця 1'!$J:$J,"ARS-8")+SUMIFS('Таблиця 1'!$K:$K,'Таблиця 1'!$B:$B,$A526,'Таблиця 1'!$I:$I,"Mi-24",'Таблиця 1'!$J:$J,"ARS-8"))</f>
        <v/>
      </c>
      <c r="F526">
        <f>IF($A526="","",SUMIFS('Таблиця 1'!$K:$K,'Таблиця 1'!$B:$B,$A526,'Таблиця 1'!$I:$I,"Mi-8",'Таблиця 1'!$J:$J,"С-8 ком")+SUMIFS('Таблиця 1'!$K:$K,'Таблиця 1'!$B:$B,$A526,'Таблиця 1'!$I:$I,"Mi-24",'Таблиця 1'!$J:$J,"С-8 ком"))</f>
        <v/>
      </c>
      <c r="G526">
        <f>IF($A526="","",SUMIFS('Таблиця 1'!$K:$K,'Таблиця 1'!$B:$B,$A526,'Таблиця 1'!$I:$I,"Mi-8",'Таблиця 1'!$J:$J,"PC-80")+SUMIFS('Таблиця 1'!$K:$K,'Таблиця 1'!$B:$B,$A526,'Таблиця 1'!$I:$I,"Mi-24",'Таблиця 1'!$J:$J,"PC-80"))</f>
        <v/>
      </c>
      <c r="H526">
        <f>IF($A526="","",SUMIFS('Таблиця 1'!$K:$K,'Таблиця 1'!$B:$B,$A526,'Таблиця 1'!$I:$I,"Mi-8",'Таблиця 1'!$J:$J,"UAR-80")+SUMIFS('Таблиця 1'!$K:$K,'Таблиця 1'!$B:$B,$A526,'Таблиця 1'!$I:$I,"Mi-24",'Таблиця 1'!$J:$J,"UAR-80"))</f>
        <v/>
      </c>
      <c r="I526">
        <f>IF($A526="","",SUMIFS('Таблиця 1'!$K:$K,'Таблиця 1'!$B:$B,$A526,'Таблиця 1'!$I:$I,"Mi-8",'Таблиця 1'!$J:$J,"C-13")+SUMIFS('Таблиця 1'!$K:$K,'Таблиця 1'!$B:$B,$A526,'Таблиця 1'!$I:$I,"Mi-24",'Таблиця 1'!$J:$J,"C-13"))</f>
        <v/>
      </c>
      <c r="J526">
        <f>IF($A526="","",SUMIFS('Таблиця 1'!$K:$K,'Таблиця 1'!$B:$B,$A526,'Таблиця 1'!$I:$I,"Mi-8",'Таблиця 1'!$J:$J,"Hydra-70")+SUMIFS('Таблиця 1'!$K:$K,'Таблиця 1'!$B:$B,$A526,'Таблиця 1'!$I:$I,"Mi-24",'Таблиця 1'!$J:$J,"Hydra-70"))</f>
        <v/>
      </c>
      <c r="K526">
        <f>IF($A526="","",SUMIFS('Таблиця 1'!$K:$K,'Таблиця 1'!$B:$B,$A526,'Таблиця 1'!$I:$I,"Mi-8",'Таблиця 1'!$J:$J,"Thales-70")+SUMIFS('Таблиця 1'!$K:$K,'Таблиця 1'!$B:$B,$A526,'Таблиця 1'!$I:$I,"Mi-24",'Таблиця 1'!$J:$J,"Thales-70"))</f>
        <v/>
      </c>
      <c r="L526">
        <f>IF($A526="","",SUMIFS('Таблиця 1'!$K:$K,'Таблиця 1'!$B:$B,$A526,'Таблиця 1'!$I:$I,"Mi-8",'Таблиця 1'!$J:$J,"Thales-FZ")+SUMIFS('Таблиця 1'!$K:$K,'Таблиця 1'!$B:$B,$A526,'Таблиця 1'!$I:$I,"Mi-24",'Таблиця 1'!$J:$J,"Thales-FZ"))</f>
        <v/>
      </c>
      <c r="M526">
        <f>IF($A526="","",SUMIFS('Таблиця 1'!$K:$K,'Таблиця 1'!$B:$B,$A526,'Таблиця 1'!$I:$I,"Mi-8",'Таблиця 1'!$J:$J,"МК-40")+SUMIFS('Таблиця 1'!$K:$K,'Таблиця 1'!$B:$B,$A526,'Таблиця 1'!$I:$I,"Mi-24",'Таблиця 1'!$J:$J,"МК-40"))</f>
        <v/>
      </c>
      <c r="N526">
        <f>IF($A526="","",SUMIFS('Таблиця 1'!$K:$K,'Таблиця 1'!$B:$B,$A526,'Таблиця 1'!$I:$I,"Mi-8",'Таблиця 1'!$J:$J,"Zuni")+SUMIFS('Таблиця 1'!$K:$K,'Таблиця 1'!$B:$B,$A526,'Таблиця 1'!$I:$I,"Mi-24",'Таблиця 1'!$J:$J,"Zuni"))</f>
        <v/>
      </c>
      <c r="O526">
        <f>IF($A526="","",COUNTIFS('Таблиця 1'!$B:$B,$A526,'Таблиця 1'!$I:$I,"Mi-8",'Таблиця 1'!$L:$L,"Уражено")+COUNTIFS('Таблиця 1'!$B:$B,$A526,'Таблиця 1'!$I:$I,"Mi-24",'Таблиця 1'!$L:$L,"Уражено"))</f>
        <v/>
      </c>
      <c r="P526">
        <f>IF($A526="","",COUNTIFS('Таблиця 1'!$B:$B,$A526,'Таблиця 1'!$I:$I,"Mi-8",'Таблиця 1'!$L:$L,"НЕ уражено")+COUNTIFS('Таблиця 1'!$B:$B,$A526,'Таблиця 1'!$I:$I,"Mi-24",'Таблиця 1'!$L:$L,"НЕ уражено"))</f>
        <v/>
      </c>
    </row>
    <row r="527">
      <c r="A527" s="273">
        <f>IF(A526="","",IF(A526+1&gt;MAX('Таблиця 1'!$B:$B),"",A526+1))</f>
        <v/>
      </c>
      <c r="B527">
        <f>IF($A527="","",COUNTIFS('Таблиця 1'!$B:$B,$A527,'Таблиця 1'!$I:$I,"Mi-8")+COUNTIFS('Таблиця 1'!$B:$B,$A527,'Таблиця 1'!$I:$I,"Mi-24"))</f>
        <v/>
      </c>
      <c r="C527">
        <f>IF($A527="","",COUNTIFS('Таблиця 1'!$B:$B,$A527,'Таблиця 1'!$I:$I,"Mi-8"))</f>
        <v/>
      </c>
      <c r="D527">
        <f>IF($A527="","",COUNTIFS('Таблиця 1'!$B:$B,$A527,'Таблиця 1'!$I:$I,"Mi-24"))</f>
        <v/>
      </c>
      <c r="E527">
        <f>IF($A527="","",SUMIFS('Таблиця 1'!$K:$K,'Таблиця 1'!$B:$B,$A527,'Таблиця 1'!$I:$I,"Mi-8",'Таблиця 1'!$J:$J,"ARS-8")+SUMIFS('Таблиця 1'!$K:$K,'Таблиця 1'!$B:$B,$A527,'Таблиця 1'!$I:$I,"Mi-24",'Таблиця 1'!$J:$J,"ARS-8"))</f>
        <v/>
      </c>
      <c r="F527">
        <f>IF($A527="","",SUMIFS('Таблиця 1'!$K:$K,'Таблиця 1'!$B:$B,$A527,'Таблиця 1'!$I:$I,"Mi-8",'Таблиця 1'!$J:$J,"С-8 ком")+SUMIFS('Таблиця 1'!$K:$K,'Таблиця 1'!$B:$B,$A527,'Таблиця 1'!$I:$I,"Mi-24",'Таблиця 1'!$J:$J,"С-8 ком"))</f>
        <v/>
      </c>
      <c r="G527">
        <f>IF($A527="","",SUMIFS('Таблиця 1'!$K:$K,'Таблиця 1'!$B:$B,$A527,'Таблиця 1'!$I:$I,"Mi-8",'Таблиця 1'!$J:$J,"PC-80")+SUMIFS('Таблиця 1'!$K:$K,'Таблиця 1'!$B:$B,$A527,'Таблиця 1'!$I:$I,"Mi-24",'Таблиця 1'!$J:$J,"PC-80"))</f>
        <v/>
      </c>
      <c r="H527">
        <f>IF($A527="","",SUMIFS('Таблиця 1'!$K:$K,'Таблиця 1'!$B:$B,$A527,'Таблиця 1'!$I:$I,"Mi-8",'Таблиця 1'!$J:$J,"UAR-80")+SUMIFS('Таблиця 1'!$K:$K,'Таблиця 1'!$B:$B,$A527,'Таблиця 1'!$I:$I,"Mi-24",'Таблиця 1'!$J:$J,"UAR-80"))</f>
        <v/>
      </c>
      <c r="I527">
        <f>IF($A527="","",SUMIFS('Таблиця 1'!$K:$K,'Таблиця 1'!$B:$B,$A527,'Таблиця 1'!$I:$I,"Mi-8",'Таблиця 1'!$J:$J,"C-13")+SUMIFS('Таблиця 1'!$K:$K,'Таблиця 1'!$B:$B,$A527,'Таблиця 1'!$I:$I,"Mi-24",'Таблиця 1'!$J:$J,"C-13"))</f>
        <v/>
      </c>
      <c r="J527">
        <f>IF($A527="","",SUMIFS('Таблиця 1'!$K:$K,'Таблиця 1'!$B:$B,$A527,'Таблиця 1'!$I:$I,"Mi-8",'Таблиця 1'!$J:$J,"Hydra-70")+SUMIFS('Таблиця 1'!$K:$K,'Таблиця 1'!$B:$B,$A527,'Таблиця 1'!$I:$I,"Mi-24",'Таблиця 1'!$J:$J,"Hydra-70"))</f>
        <v/>
      </c>
      <c r="K527">
        <f>IF($A527="","",SUMIFS('Таблиця 1'!$K:$K,'Таблиця 1'!$B:$B,$A527,'Таблиця 1'!$I:$I,"Mi-8",'Таблиця 1'!$J:$J,"Thales-70")+SUMIFS('Таблиця 1'!$K:$K,'Таблиця 1'!$B:$B,$A527,'Таблиця 1'!$I:$I,"Mi-24",'Таблиця 1'!$J:$J,"Thales-70"))</f>
        <v/>
      </c>
      <c r="L527">
        <f>IF($A527="","",SUMIFS('Таблиця 1'!$K:$K,'Таблиця 1'!$B:$B,$A527,'Таблиця 1'!$I:$I,"Mi-8",'Таблиця 1'!$J:$J,"Thales-FZ")+SUMIFS('Таблиця 1'!$K:$K,'Таблиця 1'!$B:$B,$A527,'Таблиця 1'!$I:$I,"Mi-24",'Таблиця 1'!$J:$J,"Thales-FZ"))</f>
        <v/>
      </c>
      <c r="M527">
        <f>IF($A527="","",SUMIFS('Таблиця 1'!$K:$K,'Таблиця 1'!$B:$B,$A527,'Таблиця 1'!$I:$I,"Mi-8",'Таблиця 1'!$J:$J,"МК-40")+SUMIFS('Таблиця 1'!$K:$K,'Таблиця 1'!$B:$B,$A527,'Таблиця 1'!$I:$I,"Mi-24",'Таблиця 1'!$J:$J,"МК-40"))</f>
        <v/>
      </c>
      <c r="N527">
        <f>IF($A527="","",SUMIFS('Таблиця 1'!$K:$K,'Таблиця 1'!$B:$B,$A527,'Таблиця 1'!$I:$I,"Mi-8",'Таблиця 1'!$J:$J,"Zuni")+SUMIFS('Таблиця 1'!$K:$K,'Таблиця 1'!$B:$B,$A527,'Таблиця 1'!$I:$I,"Mi-24",'Таблиця 1'!$J:$J,"Zuni"))</f>
        <v/>
      </c>
      <c r="O527">
        <f>IF($A527="","",COUNTIFS('Таблиця 1'!$B:$B,$A527,'Таблиця 1'!$I:$I,"Mi-8",'Таблиця 1'!$L:$L,"Уражено")+COUNTIFS('Таблиця 1'!$B:$B,$A527,'Таблиця 1'!$I:$I,"Mi-24",'Таблиця 1'!$L:$L,"Уражено"))</f>
        <v/>
      </c>
      <c r="P527">
        <f>IF($A527="","",COUNTIFS('Таблиця 1'!$B:$B,$A527,'Таблиця 1'!$I:$I,"Mi-8",'Таблиця 1'!$L:$L,"НЕ уражено")+COUNTIFS('Таблиця 1'!$B:$B,$A527,'Таблиця 1'!$I:$I,"Mi-24",'Таблиця 1'!$L:$L,"НЕ уражено"))</f>
        <v/>
      </c>
    </row>
    <row r="528">
      <c r="A528" s="273">
        <f>IF(A527="","",IF(A527+1&gt;MAX('Таблиця 1'!$B:$B),"",A527+1))</f>
        <v/>
      </c>
      <c r="B528">
        <f>IF($A528="","",COUNTIFS('Таблиця 1'!$B:$B,$A528,'Таблиця 1'!$I:$I,"Mi-8")+COUNTIFS('Таблиця 1'!$B:$B,$A528,'Таблиця 1'!$I:$I,"Mi-24"))</f>
        <v/>
      </c>
      <c r="C528">
        <f>IF($A528="","",COUNTIFS('Таблиця 1'!$B:$B,$A528,'Таблиця 1'!$I:$I,"Mi-8"))</f>
        <v/>
      </c>
      <c r="D528">
        <f>IF($A528="","",COUNTIFS('Таблиця 1'!$B:$B,$A528,'Таблиця 1'!$I:$I,"Mi-24"))</f>
        <v/>
      </c>
      <c r="E528">
        <f>IF($A528="","",SUMIFS('Таблиця 1'!$K:$K,'Таблиця 1'!$B:$B,$A528,'Таблиця 1'!$I:$I,"Mi-8",'Таблиця 1'!$J:$J,"ARS-8")+SUMIFS('Таблиця 1'!$K:$K,'Таблиця 1'!$B:$B,$A528,'Таблиця 1'!$I:$I,"Mi-24",'Таблиця 1'!$J:$J,"ARS-8"))</f>
        <v/>
      </c>
      <c r="F528">
        <f>IF($A528="","",SUMIFS('Таблиця 1'!$K:$K,'Таблиця 1'!$B:$B,$A528,'Таблиця 1'!$I:$I,"Mi-8",'Таблиця 1'!$J:$J,"С-8 ком")+SUMIFS('Таблиця 1'!$K:$K,'Таблиця 1'!$B:$B,$A528,'Таблиця 1'!$I:$I,"Mi-24",'Таблиця 1'!$J:$J,"С-8 ком"))</f>
        <v/>
      </c>
      <c r="G528">
        <f>IF($A528="","",SUMIFS('Таблиця 1'!$K:$K,'Таблиця 1'!$B:$B,$A528,'Таблиця 1'!$I:$I,"Mi-8",'Таблиця 1'!$J:$J,"PC-80")+SUMIFS('Таблиця 1'!$K:$K,'Таблиця 1'!$B:$B,$A528,'Таблиця 1'!$I:$I,"Mi-24",'Таблиця 1'!$J:$J,"PC-80"))</f>
        <v/>
      </c>
      <c r="H528">
        <f>IF($A528="","",SUMIFS('Таблиця 1'!$K:$K,'Таблиця 1'!$B:$B,$A528,'Таблиця 1'!$I:$I,"Mi-8",'Таблиця 1'!$J:$J,"UAR-80")+SUMIFS('Таблиця 1'!$K:$K,'Таблиця 1'!$B:$B,$A528,'Таблиця 1'!$I:$I,"Mi-24",'Таблиця 1'!$J:$J,"UAR-80"))</f>
        <v/>
      </c>
      <c r="I528">
        <f>IF($A528="","",SUMIFS('Таблиця 1'!$K:$K,'Таблиця 1'!$B:$B,$A528,'Таблиця 1'!$I:$I,"Mi-8",'Таблиця 1'!$J:$J,"C-13")+SUMIFS('Таблиця 1'!$K:$K,'Таблиця 1'!$B:$B,$A528,'Таблиця 1'!$I:$I,"Mi-24",'Таблиця 1'!$J:$J,"C-13"))</f>
        <v/>
      </c>
      <c r="J528">
        <f>IF($A528="","",SUMIFS('Таблиця 1'!$K:$K,'Таблиця 1'!$B:$B,$A528,'Таблиця 1'!$I:$I,"Mi-8",'Таблиця 1'!$J:$J,"Hydra-70")+SUMIFS('Таблиця 1'!$K:$K,'Таблиця 1'!$B:$B,$A528,'Таблиця 1'!$I:$I,"Mi-24",'Таблиця 1'!$J:$J,"Hydra-70"))</f>
        <v/>
      </c>
      <c r="K528">
        <f>IF($A528="","",SUMIFS('Таблиця 1'!$K:$K,'Таблиця 1'!$B:$B,$A528,'Таблиця 1'!$I:$I,"Mi-8",'Таблиця 1'!$J:$J,"Thales-70")+SUMIFS('Таблиця 1'!$K:$K,'Таблиця 1'!$B:$B,$A528,'Таблиця 1'!$I:$I,"Mi-24",'Таблиця 1'!$J:$J,"Thales-70"))</f>
        <v/>
      </c>
      <c r="L528">
        <f>IF($A528="","",SUMIFS('Таблиця 1'!$K:$K,'Таблиця 1'!$B:$B,$A528,'Таблиця 1'!$I:$I,"Mi-8",'Таблиця 1'!$J:$J,"Thales-FZ")+SUMIFS('Таблиця 1'!$K:$K,'Таблиця 1'!$B:$B,$A528,'Таблиця 1'!$I:$I,"Mi-24",'Таблиця 1'!$J:$J,"Thales-FZ"))</f>
        <v/>
      </c>
      <c r="M528">
        <f>IF($A528="","",SUMIFS('Таблиця 1'!$K:$K,'Таблиця 1'!$B:$B,$A528,'Таблиця 1'!$I:$I,"Mi-8",'Таблиця 1'!$J:$J,"МК-40")+SUMIFS('Таблиця 1'!$K:$K,'Таблиця 1'!$B:$B,$A528,'Таблиця 1'!$I:$I,"Mi-24",'Таблиця 1'!$J:$J,"МК-40"))</f>
        <v/>
      </c>
      <c r="N528">
        <f>IF($A528="","",SUMIFS('Таблиця 1'!$K:$K,'Таблиця 1'!$B:$B,$A528,'Таблиця 1'!$I:$I,"Mi-8",'Таблиця 1'!$J:$J,"Zuni")+SUMIFS('Таблиця 1'!$K:$K,'Таблиця 1'!$B:$B,$A528,'Таблиця 1'!$I:$I,"Mi-24",'Таблиця 1'!$J:$J,"Zuni"))</f>
        <v/>
      </c>
      <c r="O528">
        <f>IF($A528="","",COUNTIFS('Таблиця 1'!$B:$B,$A528,'Таблиця 1'!$I:$I,"Mi-8",'Таблиця 1'!$L:$L,"Уражено")+COUNTIFS('Таблиця 1'!$B:$B,$A528,'Таблиця 1'!$I:$I,"Mi-24",'Таблиця 1'!$L:$L,"Уражено"))</f>
        <v/>
      </c>
      <c r="P528">
        <f>IF($A528="","",COUNTIFS('Таблиця 1'!$B:$B,$A528,'Таблиця 1'!$I:$I,"Mi-8",'Таблиця 1'!$L:$L,"НЕ уражено")+COUNTIFS('Таблиця 1'!$B:$B,$A528,'Таблиця 1'!$I:$I,"Mi-24",'Таблиця 1'!$L:$L,"НЕ уражено"))</f>
        <v/>
      </c>
    </row>
    <row r="529">
      <c r="A529" s="273">
        <f>IF(A528="","",IF(A528+1&gt;MAX('Таблиця 1'!$B:$B),"",A528+1))</f>
        <v/>
      </c>
      <c r="B529">
        <f>IF($A529="","",COUNTIFS('Таблиця 1'!$B:$B,$A529,'Таблиця 1'!$I:$I,"Mi-8")+COUNTIFS('Таблиця 1'!$B:$B,$A529,'Таблиця 1'!$I:$I,"Mi-24"))</f>
        <v/>
      </c>
      <c r="C529">
        <f>IF($A529="","",COUNTIFS('Таблиця 1'!$B:$B,$A529,'Таблиця 1'!$I:$I,"Mi-8"))</f>
        <v/>
      </c>
      <c r="D529">
        <f>IF($A529="","",COUNTIFS('Таблиця 1'!$B:$B,$A529,'Таблиця 1'!$I:$I,"Mi-24"))</f>
        <v/>
      </c>
      <c r="E529">
        <f>IF($A529="","",SUMIFS('Таблиця 1'!$K:$K,'Таблиця 1'!$B:$B,$A529,'Таблиця 1'!$I:$I,"Mi-8",'Таблиця 1'!$J:$J,"ARS-8")+SUMIFS('Таблиця 1'!$K:$K,'Таблиця 1'!$B:$B,$A529,'Таблиця 1'!$I:$I,"Mi-24",'Таблиця 1'!$J:$J,"ARS-8"))</f>
        <v/>
      </c>
      <c r="F529">
        <f>IF($A529="","",SUMIFS('Таблиця 1'!$K:$K,'Таблиця 1'!$B:$B,$A529,'Таблиця 1'!$I:$I,"Mi-8",'Таблиця 1'!$J:$J,"С-8 ком")+SUMIFS('Таблиця 1'!$K:$K,'Таблиця 1'!$B:$B,$A529,'Таблиця 1'!$I:$I,"Mi-24",'Таблиця 1'!$J:$J,"С-8 ком"))</f>
        <v/>
      </c>
      <c r="G529">
        <f>IF($A529="","",SUMIFS('Таблиця 1'!$K:$K,'Таблиця 1'!$B:$B,$A529,'Таблиця 1'!$I:$I,"Mi-8",'Таблиця 1'!$J:$J,"PC-80")+SUMIFS('Таблиця 1'!$K:$K,'Таблиця 1'!$B:$B,$A529,'Таблиця 1'!$I:$I,"Mi-24",'Таблиця 1'!$J:$J,"PC-80"))</f>
        <v/>
      </c>
      <c r="H529">
        <f>IF($A529="","",SUMIFS('Таблиця 1'!$K:$K,'Таблиця 1'!$B:$B,$A529,'Таблиця 1'!$I:$I,"Mi-8",'Таблиця 1'!$J:$J,"UAR-80")+SUMIFS('Таблиця 1'!$K:$K,'Таблиця 1'!$B:$B,$A529,'Таблиця 1'!$I:$I,"Mi-24",'Таблиця 1'!$J:$J,"UAR-80"))</f>
        <v/>
      </c>
      <c r="I529">
        <f>IF($A529="","",SUMIFS('Таблиця 1'!$K:$K,'Таблиця 1'!$B:$B,$A529,'Таблиця 1'!$I:$I,"Mi-8",'Таблиця 1'!$J:$J,"C-13")+SUMIFS('Таблиця 1'!$K:$K,'Таблиця 1'!$B:$B,$A529,'Таблиця 1'!$I:$I,"Mi-24",'Таблиця 1'!$J:$J,"C-13"))</f>
        <v/>
      </c>
      <c r="J529">
        <f>IF($A529="","",SUMIFS('Таблиця 1'!$K:$K,'Таблиця 1'!$B:$B,$A529,'Таблиця 1'!$I:$I,"Mi-8",'Таблиця 1'!$J:$J,"Hydra-70")+SUMIFS('Таблиця 1'!$K:$K,'Таблиця 1'!$B:$B,$A529,'Таблиця 1'!$I:$I,"Mi-24",'Таблиця 1'!$J:$J,"Hydra-70"))</f>
        <v/>
      </c>
      <c r="K529">
        <f>IF($A529="","",SUMIFS('Таблиця 1'!$K:$K,'Таблиця 1'!$B:$B,$A529,'Таблиця 1'!$I:$I,"Mi-8",'Таблиця 1'!$J:$J,"Thales-70")+SUMIFS('Таблиця 1'!$K:$K,'Таблиця 1'!$B:$B,$A529,'Таблиця 1'!$I:$I,"Mi-24",'Таблиця 1'!$J:$J,"Thales-70"))</f>
        <v/>
      </c>
      <c r="L529">
        <f>IF($A529="","",SUMIFS('Таблиця 1'!$K:$K,'Таблиця 1'!$B:$B,$A529,'Таблиця 1'!$I:$I,"Mi-8",'Таблиця 1'!$J:$J,"Thales-FZ")+SUMIFS('Таблиця 1'!$K:$K,'Таблиця 1'!$B:$B,$A529,'Таблиця 1'!$I:$I,"Mi-24",'Таблиця 1'!$J:$J,"Thales-FZ"))</f>
        <v/>
      </c>
      <c r="M529">
        <f>IF($A529="","",SUMIFS('Таблиця 1'!$K:$K,'Таблиця 1'!$B:$B,$A529,'Таблиця 1'!$I:$I,"Mi-8",'Таблиця 1'!$J:$J,"МК-40")+SUMIFS('Таблиця 1'!$K:$K,'Таблиця 1'!$B:$B,$A529,'Таблиця 1'!$I:$I,"Mi-24",'Таблиця 1'!$J:$J,"МК-40"))</f>
        <v/>
      </c>
      <c r="N529">
        <f>IF($A529="","",SUMIFS('Таблиця 1'!$K:$K,'Таблиця 1'!$B:$B,$A529,'Таблиця 1'!$I:$I,"Mi-8",'Таблиця 1'!$J:$J,"Zuni")+SUMIFS('Таблиця 1'!$K:$K,'Таблиця 1'!$B:$B,$A529,'Таблиця 1'!$I:$I,"Mi-24",'Таблиця 1'!$J:$J,"Zuni"))</f>
        <v/>
      </c>
      <c r="O529">
        <f>IF($A529="","",COUNTIFS('Таблиця 1'!$B:$B,$A529,'Таблиця 1'!$I:$I,"Mi-8",'Таблиця 1'!$L:$L,"Уражено")+COUNTIFS('Таблиця 1'!$B:$B,$A529,'Таблиця 1'!$I:$I,"Mi-24",'Таблиця 1'!$L:$L,"Уражено"))</f>
        <v/>
      </c>
      <c r="P529">
        <f>IF($A529="","",COUNTIFS('Таблиця 1'!$B:$B,$A529,'Таблиця 1'!$I:$I,"Mi-8",'Таблиця 1'!$L:$L,"НЕ уражено")+COUNTIFS('Таблиця 1'!$B:$B,$A529,'Таблиця 1'!$I:$I,"Mi-24",'Таблиця 1'!$L:$L,"НЕ уражено"))</f>
        <v/>
      </c>
    </row>
    <row r="530">
      <c r="A530" s="273">
        <f>IF(A529="","",IF(A529+1&gt;MAX('Таблиця 1'!$B:$B),"",A529+1))</f>
        <v/>
      </c>
      <c r="B530">
        <f>IF($A530="","",COUNTIFS('Таблиця 1'!$B:$B,$A530,'Таблиця 1'!$I:$I,"Mi-8")+COUNTIFS('Таблиця 1'!$B:$B,$A530,'Таблиця 1'!$I:$I,"Mi-24"))</f>
        <v/>
      </c>
      <c r="C530">
        <f>IF($A530="","",COUNTIFS('Таблиця 1'!$B:$B,$A530,'Таблиця 1'!$I:$I,"Mi-8"))</f>
        <v/>
      </c>
      <c r="D530">
        <f>IF($A530="","",COUNTIFS('Таблиця 1'!$B:$B,$A530,'Таблиця 1'!$I:$I,"Mi-24"))</f>
        <v/>
      </c>
      <c r="E530">
        <f>IF($A530="","",SUMIFS('Таблиця 1'!$K:$K,'Таблиця 1'!$B:$B,$A530,'Таблиця 1'!$I:$I,"Mi-8",'Таблиця 1'!$J:$J,"ARS-8")+SUMIFS('Таблиця 1'!$K:$K,'Таблиця 1'!$B:$B,$A530,'Таблиця 1'!$I:$I,"Mi-24",'Таблиця 1'!$J:$J,"ARS-8"))</f>
        <v/>
      </c>
      <c r="F530">
        <f>IF($A530="","",SUMIFS('Таблиця 1'!$K:$K,'Таблиця 1'!$B:$B,$A530,'Таблиця 1'!$I:$I,"Mi-8",'Таблиця 1'!$J:$J,"С-8 ком")+SUMIFS('Таблиця 1'!$K:$K,'Таблиця 1'!$B:$B,$A530,'Таблиця 1'!$I:$I,"Mi-24",'Таблиця 1'!$J:$J,"С-8 ком"))</f>
        <v/>
      </c>
      <c r="G530">
        <f>IF($A530="","",SUMIFS('Таблиця 1'!$K:$K,'Таблиця 1'!$B:$B,$A530,'Таблиця 1'!$I:$I,"Mi-8",'Таблиця 1'!$J:$J,"PC-80")+SUMIFS('Таблиця 1'!$K:$K,'Таблиця 1'!$B:$B,$A530,'Таблиця 1'!$I:$I,"Mi-24",'Таблиця 1'!$J:$J,"PC-80"))</f>
        <v/>
      </c>
      <c r="H530">
        <f>IF($A530="","",SUMIFS('Таблиця 1'!$K:$K,'Таблиця 1'!$B:$B,$A530,'Таблиця 1'!$I:$I,"Mi-8",'Таблиця 1'!$J:$J,"UAR-80")+SUMIFS('Таблиця 1'!$K:$K,'Таблиця 1'!$B:$B,$A530,'Таблиця 1'!$I:$I,"Mi-24",'Таблиця 1'!$J:$J,"UAR-80"))</f>
        <v/>
      </c>
      <c r="I530">
        <f>IF($A530="","",SUMIFS('Таблиця 1'!$K:$K,'Таблиця 1'!$B:$B,$A530,'Таблиця 1'!$I:$I,"Mi-8",'Таблиця 1'!$J:$J,"C-13")+SUMIFS('Таблиця 1'!$K:$K,'Таблиця 1'!$B:$B,$A530,'Таблиця 1'!$I:$I,"Mi-24",'Таблиця 1'!$J:$J,"C-13"))</f>
        <v/>
      </c>
      <c r="J530">
        <f>IF($A530="","",SUMIFS('Таблиця 1'!$K:$K,'Таблиця 1'!$B:$B,$A530,'Таблиця 1'!$I:$I,"Mi-8",'Таблиця 1'!$J:$J,"Hydra-70")+SUMIFS('Таблиця 1'!$K:$K,'Таблиця 1'!$B:$B,$A530,'Таблиця 1'!$I:$I,"Mi-24",'Таблиця 1'!$J:$J,"Hydra-70"))</f>
        <v/>
      </c>
      <c r="K530">
        <f>IF($A530="","",SUMIFS('Таблиця 1'!$K:$K,'Таблиця 1'!$B:$B,$A530,'Таблиця 1'!$I:$I,"Mi-8",'Таблиця 1'!$J:$J,"Thales-70")+SUMIFS('Таблиця 1'!$K:$K,'Таблиця 1'!$B:$B,$A530,'Таблиця 1'!$I:$I,"Mi-24",'Таблиця 1'!$J:$J,"Thales-70"))</f>
        <v/>
      </c>
      <c r="L530">
        <f>IF($A530="","",SUMIFS('Таблиця 1'!$K:$K,'Таблиця 1'!$B:$B,$A530,'Таблиця 1'!$I:$I,"Mi-8",'Таблиця 1'!$J:$J,"Thales-FZ")+SUMIFS('Таблиця 1'!$K:$K,'Таблиця 1'!$B:$B,$A530,'Таблиця 1'!$I:$I,"Mi-24",'Таблиця 1'!$J:$J,"Thales-FZ"))</f>
        <v/>
      </c>
      <c r="M530">
        <f>IF($A530="","",SUMIFS('Таблиця 1'!$K:$K,'Таблиця 1'!$B:$B,$A530,'Таблиця 1'!$I:$I,"Mi-8",'Таблиця 1'!$J:$J,"МК-40")+SUMIFS('Таблиця 1'!$K:$K,'Таблиця 1'!$B:$B,$A530,'Таблиця 1'!$I:$I,"Mi-24",'Таблиця 1'!$J:$J,"МК-40"))</f>
        <v/>
      </c>
      <c r="N530">
        <f>IF($A530="","",SUMIFS('Таблиця 1'!$K:$K,'Таблиця 1'!$B:$B,$A530,'Таблиця 1'!$I:$I,"Mi-8",'Таблиця 1'!$J:$J,"Zuni")+SUMIFS('Таблиця 1'!$K:$K,'Таблиця 1'!$B:$B,$A530,'Таблиця 1'!$I:$I,"Mi-24",'Таблиця 1'!$J:$J,"Zuni"))</f>
        <v/>
      </c>
      <c r="O530">
        <f>IF($A530="","",COUNTIFS('Таблиця 1'!$B:$B,$A530,'Таблиця 1'!$I:$I,"Mi-8",'Таблиця 1'!$L:$L,"Уражено")+COUNTIFS('Таблиця 1'!$B:$B,$A530,'Таблиця 1'!$I:$I,"Mi-24",'Таблиця 1'!$L:$L,"Уражено"))</f>
        <v/>
      </c>
      <c r="P530">
        <f>IF($A530="","",COUNTIFS('Таблиця 1'!$B:$B,$A530,'Таблиця 1'!$I:$I,"Mi-8",'Таблиця 1'!$L:$L,"НЕ уражено")+COUNTIFS('Таблиця 1'!$B:$B,$A530,'Таблиця 1'!$I:$I,"Mi-24",'Таблиця 1'!$L:$L,"НЕ уражено"))</f>
        <v/>
      </c>
    </row>
    <row r="531">
      <c r="A531" s="273">
        <f>IF(A530="","",IF(A530+1&gt;MAX('Таблиця 1'!$B:$B),"",A530+1))</f>
        <v/>
      </c>
      <c r="B531">
        <f>IF($A531="","",COUNTIFS('Таблиця 1'!$B:$B,$A531,'Таблиця 1'!$I:$I,"Mi-8")+COUNTIFS('Таблиця 1'!$B:$B,$A531,'Таблиця 1'!$I:$I,"Mi-24"))</f>
        <v/>
      </c>
      <c r="C531">
        <f>IF($A531="","",COUNTIFS('Таблиця 1'!$B:$B,$A531,'Таблиця 1'!$I:$I,"Mi-8"))</f>
        <v/>
      </c>
      <c r="D531">
        <f>IF($A531="","",COUNTIFS('Таблиця 1'!$B:$B,$A531,'Таблиця 1'!$I:$I,"Mi-24"))</f>
        <v/>
      </c>
      <c r="E531">
        <f>IF($A531="","",SUMIFS('Таблиця 1'!$K:$K,'Таблиця 1'!$B:$B,$A531,'Таблиця 1'!$I:$I,"Mi-8",'Таблиця 1'!$J:$J,"ARS-8")+SUMIFS('Таблиця 1'!$K:$K,'Таблиця 1'!$B:$B,$A531,'Таблиця 1'!$I:$I,"Mi-24",'Таблиця 1'!$J:$J,"ARS-8"))</f>
        <v/>
      </c>
      <c r="F531">
        <f>IF($A531="","",SUMIFS('Таблиця 1'!$K:$K,'Таблиця 1'!$B:$B,$A531,'Таблиця 1'!$I:$I,"Mi-8",'Таблиця 1'!$J:$J,"С-8 ком")+SUMIFS('Таблиця 1'!$K:$K,'Таблиця 1'!$B:$B,$A531,'Таблиця 1'!$I:$I,"Mi-24",'Таблиця 1'!$J:$J,"С-8 ком"))</f>
        <v/>
      </c>
      <c r="G531">
        <f>IF($A531="","",SUMIFS('Таблиця 1'!$K:$K,'Таблиця 1'!$B:$B,$A531,'Таблиця 1'!$I:$I,"Mi-8",'Таблиця 1'!$J:$J,"PC-80")+SUMIFS('Таблиця 1'!$K:$K,'Таблиця 1'!$B:$B,$A531,'Таблиця 1'!$I:$I,"Mi-24",'Таблиця 1'!$J:$J,"PC-80"))</f>
        <v/>
      </c>
      <c r="H531">
        <f>IF($A531="","",SUMIFS('Таблиця 1'!$K:$K,'Таблиця 1'!$B:$B,$A531,'Таблиця 1'!$I:$I,"Mi-8",'Таблиця 1'!$J:$J,"UAR-80")+SUMIFS('Таблиця 1'!$K:$K,'Таблиця 1'!$B:$B,$A531,'Таблиця 1'!$I:$I,"Mi-24",'Таблиця 1'!$J:$J,"UAR-80"))</f>
        <v/>
      </c>
      <c r="I531">
        <f>IF($A531="","",SUMIFS('Таблиця 1'!$K:$K,'Таблиця 1'!$B:$B,$A531,'Таблиця 1'!$I:$I,"Mi-8",'Таблиця 1'!$J:$J,"C-13")+SUMIFS('Таблиця 1'!$K:$K,'Таблиця 1'!$B:$B,$A531,'Таблиця 1'!$I:$I,"Mi-24",'Таблиця 1'!$J:$J,"C-13"))</f>
        <v/>
      </c>
      <c r="J531">
        <f>IF($A531="","",SUMIFS('Таблиця 1'!$K:$K,'Таблиця 1'!$B:$B,$A531,'Таблиця 1'!$I:$I,"Mi-8",'Таблиця 1'!$J:$J,"Hydra-70")+SUMIFS('Таблиця 1'!$K:$K,'Таблиця 1'!$B:$B,$A531,'Таблиця 1'!$I:$I,"Mi-24",'Таблиця 1'!$J:$J,"Hydra-70"))</f>
        <v/>
      </c>
      <c r="K531">
        <f>IF($A531="","",SUMIFS('Таблиця 1'!$K:$K,'Таблиця 1'!$B:$B,$A531,'Таблиця 1'!$I:$I,"Mi-8",'Таблиця 1'!$J:$J,"Thales-70")+SUMIFS('Таблиця 1'!$K:$K,'Таблиця 1'!$B:$B,$A531,'Таблиця 1'!$I:$I,"Mi-24",'Таблиця 1'!$J:$J,"Thales-70"))</f>
        <v/>
      </c>
      <c r="L531">
        <f>IF($A531="","",SUMIFS('Таблиця 1'!$K:$K,'Таблиця 1'!$B:$B,$A531,'Таблиця 1'!$I:$I,"Mi-8",'Таблиця 1'!$J:$J,"Thales-FZ")+SUMIFS('Таблиця 1'!$K:$K,'Таблиця 1'!$B:$B,$A531,'Таблиця 1'!$I:$I,"Mi-24",'Таблиця 1'!$J:$J,"Thales-FZ"))</f>
        <v/>
      </c>
      <c r="M531">
        <f>IF($A531="","",SUMIFS('Таблиця 1'!$K:$K,'Таблиця 1'!$B:$B,$A531,'Таблиця 1'!$I:$I,"Mi-8",'Таблиця 1'!$J:$J,"МК-40")+SUMIFS('Таблиця 1'!$K:$K,'Таблиця 1'!$B:$B,$A531,'Таблиця 1'!$I:$I,"Mi-24",'Таблиця 1'!$J:$J,"МК-40"))</f>
        <v/>
      </c>
      <c r="N531">
        <f>IF($A531="","",SUMIFS('Таблиця 1'!$K:$K,'Таблиця 1'!$B:$B,$A531,'Таблиця 1'!$I:$I,"Mi-8",'Таблиця 1'!$J:$J,"Zuni")+SUMIFS('Таблиця 1'!$K:$K,'Таблиця 1'!$B:$B,$A531,'Таблиця 1'!$I:$I,"Mi-24",'Таблиця 1'!$J:$J,"Zuni"))</f>
        <v/>
      </c>
      <c r="O531">
        <f>IF($A531="","",COUNTIFS('Таблиця 1'!$B:$B,$A531,'Таблиця 1'!$I:$I,"Mi-8",'Таблиця 1'!$L:$L,"Уражено")+COUNTIFS('Таблиця 1'!$B:$B,$A531,'Таблиця 1'!$I:$I,"Mi-24",'Таблиця 1'!$L:$L,"Уражено"))</f>
        <v/>
      </c>
      <c r="P531">
        <f>IF($A531="","",COUNTIFS('Таблиця 1'!$B:$B,$A531,'Таблиця 1'!$I:$I,"Mi-8",'Таблиця 1'!$L:$L,"НЕ уражено")+COUNTIFS('Таблиця 1'!$B:$B,$A531,'Таблиця 1'!$I:$I,"Mi-24",'Таблиця 1'!$L:$L,"НЕ уражено"))</f>
        <v/>
      </c>
    </row>
    <row r="532">
      <c r="A532" s="273">
        <f>IF(A531="","",IF(A531+1&gt;MAX('Таблиця 1'!$B:$B),"",A531+1))</f>
        <v/>
      </c>
      <c r="B532">
        <f>IF($A532="","",COUNTIFS('Таблиця 1'!$B:$B,$A532,'Таблиця 1'!$I:$I,"Mi-8")+COUNTIFS('Таблиця 1'!$B:$B,$A532,'Таблиця 1'!$I:$I,"Mi-24"))</f>
        <v/>
      </c>
      <c r="C532">
        <f>IF($A532="","",COUNTIFS('Таблиця 1'!$B:$B,$A532,'Таблиця 1'!$I:$I,"Mi-8"))</f>
        <v/>
      </c>
      <c r="D532">
        <f>IF($A532="","",COUNTIFS('Таблиця 1'!$B:$B,$A532,'Таблиця 1'!$I:$I,"Mi-24"))</f>
        <v/>
      </c>
      <c r="E532">
        <f>IF($A532="","",SUMIFS('Таблиця 1'!$K:$K,'Таблиця 1'!$B:$B,$A532,'Таблиця 1'!$I:$I,"Mi-8",'Таблиця 1'!$J:$J,"ARS-8")+SUMIFS('Таблиця 1'!$K:$K,'Таблиця 1'!$B:$B,$A532,'Таблиця 1'!$I:$I,"Mi-24",'Таблиця 1'!$J:$J,"ARS-8"))</f>
        <v/>
      </c>
      <c r="F532">
        <f>IF($A532="","",SUMIFS('Таблиця 1'!$K:$K,'Таблиця 1'!$B:$B,$A532,'Таблиця 1'!$I:$I,"Mi-8",'Таблиця 1'!$J:$J,"С-8 ком")+SUMIFS('Таблиця 1'!$K:$K,'Таблиця 1'!$B:$B,$A532,'Таблиця 1'!$I:$I,"Mi-24",'Таблиця 1'!$J:$J,"С-8 ком"))</f>
        <v/>
      </c>
      <c r="G532">
        <f>IF($A532="","",SUMIFS('Таблиця 1'!$K:$K,'Таблиця 1'!$B:$B,$A532,'Таблиця 1'!$I:$I,"Mi-8",'Таблиця 1'!$J:$J,"PC-80")+SUMIFS('Таблиця 1'!$K:$K,'Таблиця 1'!$B:$B,$A532,'Таблиця 1'!$I:$I,"Mi-24",'Таблиця 1'!$J:$J,"PC-80"))</f>
        <v/>
      </c>
      <c r="H532">
        <f>IF($A532="","",SUMIFS('Таблиця 1'!$K:$K,'Таблиця 1'!$B:$B,$A532,'Таблиця 1'!$I:$I,"Mi-8",'Таблиця 1'!$J:$J,"UAR-80")+SUMIFS('Таблиця 1'!$K:$K,'Таблиця 1'!$B:$B,$A532,'Таблиця 1'!$I:$I,"Mi-24",'Таблиця 1'!$J:$J,"UAR-80"))</f>
        <v/>
      </c>
      <c r="I532">
        <f>IF($A532="","",SUMIFS('Таблиця 1'!$K:$K,'Таблиця 1'!$B:$B,$A532,'Таблиця 1'!$I:$I,"Mi-8",'Таблиця 1'!$J:$J,"C-13")+SUMIFS('Таблиця 1'!$K:$K,'Таблиця 1'!$B:$B,$A532,'Таблиця 1'!$I:$I,"Mi-24",'Таблиця 1'!$J:$J,"C-13"))</f>
        <v/>
      </c>
      <c r="J532">
        <f>IF($A532="","",SUMIFS('Таблиця 1'!$K:$K,'Таблиця 1'!$B:$B,$A532,'Таблиця 1'!$I:$I,"Mi-8",'Таблиця 1'!$J:$J,"Hydra-70")+SUMIFS('Таблиця 1'!$K:$K,'Таблиця 1'!$B:$B,$A532,'Таблиця 1'!$I:$I,"Mi-24",'Таблиця 1'!$J:$J,"Hydra-70"))</f>
        <v/>
      </c>
      <c r="K532">
        <f>IF($A532="","",SUMIFS('Таблиця 1'!$K:$K,'Таблиця 1'!$B:$B,$A532,'Таблиця 1'!$I:$I,"Mi-8",'Таблиця 1'!$J:$J,"Thales-70")+SUMIFS('Таблиця 1'!$K:$K,'Таблиця 1'!$B:$B,$A532,'Таблиця 1'!$I:$I,"Mi-24",'Таблиця 1'!$J:$J,"Thales-70"))</f>
        <v/>
      </c>
      <c r="L532">
        <f>IF($A532="","",SUMIFS('Таблиця 1'!$K:$K,'Таблиця 1'!$B:$B,$A532,'Таблиця 1'!$I:$I,"Mi-8",'Таблиця 1'!$J:$J,"Thales-FZ")+SUMIFS('Таблиця 1'!$K:$K,'Таблиця 1'!$B:$B,$A532,'Таблиця 1'!$I:$I,"Mi-24",'Таблиця 1'!$J:$J,"Thales-FZ"))</f>
        <v/>
      </c>
      <c r="M532">
        <f>IF($A532="","",SUMIFS('Таблиця 1'!$K:$K,'Таблиця 1'!$B:$B,$A532,'Таблиця 1'!$I:$I,"Mi-8",'Таблиця 1'!$J:$J,"МК-40")+SUMIFS('Таблиця 1'!$K:$K,'Таблиця 1'!$B:$B,$A532,'Таблиця 1'!$I:$I,"Mi-24",'Таблиця 1'!$J:$J,"МК-40"))</f>
        <v/>
      </c>
      <c r="N532">
        <f>IF($A532="","",SUMIFS('Таблиця 1'!$K:$K,'Таблиця 1'!$B:$B,$A532,'Таблиця 1'!$I:$I,"Mi-8",'Таблиця 1'!$J:$J,"Zuni")+SUMIFS('Таблиця 1'!$K:$K,'Таблиця 1'!$B:$B,$A532,'Таблиця 1'!$I:$I,"Mi-24",'Таблиця 1'!$J:$J,"Zuni"))</f>
        <v/>
      </c>
      <c r="O532">
        <f>IF($A532="","",COUNTIFS('Таблиця 1'!$B:$B,$A532,'Таблиця 1'!$I:$I,"Mi-8",'Таблиця 1'!$L:$L,"Уражено")+COUNTIFS('Таблиця 1'!$B:$B,$A532,'Таблиця 1'!$I:$I,"Mi-24",'Таблиця 1'!$L:$L,"Уражено"))</f>
        <v/>
      </c>
      <c r="P532">
        <f>IF($A532="","",COUNTIFS('Таблиця 1'!$B:$B,$A532,'Таблиця 1'!$I:$I,"Mi-8",'Таблиця 1'!$L:$L,"НЕ уражено")+COUNTIFS('Таблиця 1'!$B:$B,$A532,'Таблиця 1'!$I:$I,"Mi-24",'Таблиця 1'!$L:$L,"НЕ уражено"))</f>
        <v/>
      </c>
    </row>
    <row r="533">
      <c r="A533" s="273">
        <f>IF(A532="","",IF(A532+1&gt;MAX('Таблиця 1'!$B:$B),"",A532+1))</f>
        <v/>
      </c>
      <c r="B533">
        <f>IF($A533="","",COUNTIFS('Таблиця 1'!$B:$B,$A533,'Таблиця 1'!$I:$I,"Mi-8")+COUNTIFS('Таблиця 1'!$B:$B,$A533,'Таблиця 1'!$I:$I,"Mi-24"))</f>
        <v/>
      </c>
      <c r="C533">
        <f>IF($A533="","",COUNTIFS('Таблиця 1'!$B:$B,$A533,'Таблиця 1'!$I:$I,"Mi-8"))</f>
        <v/>
      </c>
      <c r="D533">
        <f>IF($A533="","",COUNTIFS('Таблиця 1'!$B:$B,$A533,'Таблиця 1'!$I:$I,"Mi-24"))</f>
        <v/>
      </c>
      <c r="E533">
        <f>IF($A533="","",SUMIFS('Таблиця 1'!$K:$K,'Таблиця 1'!$B:$B,$A533,'Таблиця 1'!$I:$I,"Mi-8",'Таблиця 1'!$J:$J,"ARS-8")+SUMIFS('Таблиця 1'!$K:$K,'Таблиця 1'!$B:$B,$A533,'Таблиця 1'!$I:$I,"Mi-24",'Таблиця 1'!$J:$J,"ARS-8"))</f>
        <v/>
      </c>
      <c r="F533">
        <f>IF($A533="","",SUMIFS('Таблиця 1'!$K:$K,'Таблиця 1'!$B:$B,$A533,'Таблиця 1'!$I:$I,"Mi-8",'Таблиця 1'!$J:$J,"С-8 ком")+SUMIFS('Таблиця 1'!$K:$K,'Таблиця 1'!$B:$B,$A533,'Таблиця 1'!$I:$I,"Mi-24",'Таблиця 1'!$J:$J,"С-8 ком"))</f>
        <v/>
      </c>
      <c r="G533">
        <f>IF($A533="","",SUMIFS('Таблиця 1'!$K:$K,'Таблиця 1'!$B:$B,$A533,'Таблиця 1'!$I:$I,"Mi-8",'Таблиця 1'!$J:$J,"PC-80")+SUMIFS('Таблиця 1'!$K:$K,'Таблиця 1'!$B:$B,$A533,'Таблиця 1'!$I:$I,"Mi-24",'Таблиця 1'!$J:$J,"PC-80"))</f>
        <v/>
      </c>
      <c r="H533">
        <f>IF($A533="","",SUMIFS('Таблиця 1'!$K:$K,'Таблиця 1'!$B:$B,$A533,'Таблиця 1'!$I:$I,"Mi-8",'Таблиця 1'!$J:$J,"UAR-80")+SUMIFS('Таблиця 1'!$K:$K,'Таблиця 1'!$B:$B,$A533,'Таблиця 1'!$I:$I,"Mi-24",'Таблиця 1'!$J:$J,"UAR-80"))</f>
        <v/>
      </c>
      <c r="I533">
        <f>IF($A533="","",SUMIFS('Таблиця 1'!$K:$K,'Таблиця 1'!$B:$B,$A533,'Таблиця 1'!$I:$I,"Mi-8",'Таблиця 1'!$J:$J,"C-13")+SUMIFS('Таблиця 1'!$K:$K,'Таблиця 1'!$B:$B,$A533,'Таблиця 1'!$I:$I,"Mi-24",'Таблиця 1'!$J:$J,"C-13"))</f>
        <v/>
      </c>
      <c r="J533">
        <f>IF($A533="","",SUMIFS('Таблиця 1'!$K:$K,'Таблиця 1'!$B:$B,$A533,'Таблиця 1'!$I:$I,"Mi-8",'Таблиця 1'!$J:$J,"Hydra-70")+SUMIFS('Таблиця 1'!$K:$K,'Таблиця 1'!$B:$B,$A533,'Таблиця 1'!$I:$I,"Mi-24",'Таблиця 1'!$J:$J,"Hydra-70"))</f>
        <v/>
      </c>
      <c r="K533">
        <f>IF($A533="","",SUMIFS('Таблиця 1'!$K:$K,'Таблиця 1'!$B:$B,$A533,'Таблиця 1'!$I:$I,"Mi-8",'Таблиця 1'!$J:$J,"Thales-70")+SUMIFS('Таблиця 1'!$K:$K,'Таблиця 1'!$B:$B,$A533,'Таблиця 1'!$I:$I,"Mi-24",'Таблиця 1'!$J:$J,"Thales-70"))</f>
        <v/>
      </c>
      <c r="L533">
        <f>IF($A533="","",SUMIFS('Таблиця 1'!$K:$K,'Таблиця 1'!$B:$B,$A533,'Таблиця 1'!$I:$I,"Mi-8",'Таблиця 1'!$J:$J,"Thales-FZ")+SUMIFS('Таблиця 1'!$K:$K,'Таблиця 1'!$B:$B,$A533,'Таблиця 1'!$I:$I,"Mi-24",'Таблиця 1'!$J:$J,"Thales-FZ"))</f>
        <v/>
      </c>
      <c r="M533">
        <f>IF($A533="","",SUMIFS('Таблиця 1'!$K:$K,'Таблиця 1'!$B:$B,$A533,'Таблиця 1'!$I:$I,"Mi-8",'Таблиця 1'!$J:$J,"МК-40")+SUMIFS('Таблиця 1'!$K:$K,'Таблиця 1'!$B:$B,$A533,'Таблиця 1'!$I:$I,"Mi-24",'Таблиця 1'!$J:$J,"МК-40"))</f>
        <v/>
      </c>
      <c r="N533">
        <f>IF($A533="","",SUMIFS('Таблиця 1'!$K:$K,'Таблиця 1'!$B:$B,$A533,'Таблиця 1'!$I:$I,"Mi-8",'Таблиця 1'!$J:$J,"Zuni")+SUMIFS('Таблиця 1'!$K:$K,'Таблиця 1'!$B:$B,$A533,'Таблиця 1'!$I:$I,"Mi-24",'Таблиця 1'!$J:$J,"Zuni"))</f>
        <v/>
      </c>
      <c r="O533">
        <f>IF($A533="","",COUNTIFS('Таблиця 1'!$B:$B,$A533,'Таблиця 1'!$I:$I,"Mi-8",'Таблиця 1'!$L:$L,"Уражено")+COUNTIFS('Таблиця 1'!$B:$B,$A533,'Таблиця 1'!$I:$I,"Mi-24",'Таблиця 1'!$L:$L,"Уражено"))</f>
        <v/>
      </c>
      <c r="P533">
        <f>IF($A533="","",COUNTIFS('Таблиця 1'!$B:$B,$A533,'Таблиця 1'!$I:$I,"Mi-8",'Таблиця 1'!$L:$L,"НЕ уражено")+COUNTIFS('Таблиця 1'!$B:$B,$A533,'Таблиця 1'!$I:$I,"Mi-24",'Таблиця 1'!$L:$L,"НЕ уражено"))</f>
        <v/>
      </c>
    </row>
    <row r="534">
      <c r="A534" s="273">
        <f>IF(A533="","",IF(A533+1&gt;MAX('Таблиця 1'!$B:$B),"",A533+1))</f>
        <v/>
      </c>
      <c r="B534">
        <f>IF($A534="","",COUNTIFS('Таблиця 1'!$B:$B,$A534,'Таблиця 1'!$I:$I,"Mi-8")+COUNTIFS('Таблиця 1'!$B:$B,$A534,'Таблиця 1'!$I:$I,"Mi-24"))</f>
        <v/>
      </c>
      <c r="C534">
        <f>IF($A534="","",COUNTIFS('Таблиця 1'!$B:$B,$A534,'Таблиця 1'!$I:$I,"Mi-8"))</f>
        <v/>
      </c>
      <c r="D534">
        <f>IF($A534="","",COUNTIFS('Таблиця 1'!$B:$B,$A534,'Таблиця 1'!$I:$I,"Mi-24"))</f>
        <v/>
      </c>
      <c r="E534">
        <f>IF($A534="","",SUMIFS('Таблиця 1'!$K:$K,'Таблиця 1'!$B:$B,$A534,'Таблиця 1'!$I:$I,"Mi-8",'Таблиця 1'!$J:$J,"ARS-8")+SUMIFS('Таблиця 1'!$K:$K,'Таблиця 1'!$B:$B,$A534,'Таблиця 1'!$I:$I,"Mi-24",'Таблиця 1'!$J:$J,"ARS-8"))</f>
        <v/>
      </c>
      <c r="F534">
        <f>IF($A534="","",SUMIFS('Таблиця 1'!$K:$K,'Таблиця 1'!$B:$B,$A534,'Таблиця 1'!$I:$I,"Mi-8",'Таблиця 1'!$J:$J,"С-8 ком")+SUMIFS('Таблиця 1'!$K:$K,'Таблиця 1'!$B:$B,$A534,'Таблиця 1'!$I:$I,"Mi-24",'Таблиця 1'!$J:$J,"С-8 ком"))</f>
        <v/>
      </c>
      <c r="G534">
        <f>IF($A534="","",SUMIFS('Таблиця 1'!$K:$K,'Таблиця 1'!$B:$B,$A534,'Таблиця 1'!$I:$I,"Mi-8",'Таблиця 1'!$J:$J,"PC-80")+SUMIFS('Таблиця 1'!$K:$K,'Таблиця 1'!$B:$B,$A534,'Таблиця 1'!$I:$I,"Mi-24",'Таблиця 1'!$J:$J,"PC-80"))</f>
        <v/>
      </c>
      <c r="H534">
        <f>IF($A534="","",SUMIFS('Таблиця 1'!$K:$K,'Таблиця 1'!$B:$B,$A534,'Таблиця 1'!$I:$I,"Mi-8",'Таблиця 1'!$J:$J,"UAR-80")+SUMIFS('Таблиця 1'!$K:$K,'Таблиця 1'!$B:$B,$A534,'Таблиця 1'!$I:$I,"Mi-24",'Таблиця 1'!$J:$J,"UAR-80"))</f>
        <v/>
      </c>
      <c r="I534">
        <f>IF($A534="","",SUMIFS('Таблиця 1'!$K:$K,'Таблиця 1'!$B:$B,$A534,'Таблиця 1'!$I:$I,"Mi-8",'Таблиця 1'!$J:$J,"C-13")+SUMIFS('Таблиця 1'!$K:$K,'Таблиця 1'!$B:$B,$A534,'Таблиця 1'!$I:$I,"Mi-24",'Таблиця 1'!$J:$J,"C-13"))</f>
        <v/>
      </c>
      <c r="J534">
        <f>IF($A534="","",SUMIFS('Таблиця 1'!$K:$K,'Таблиця 1'!$B:$B,$A534,'Таблиця 1'!$I:$I,"Mi-8",'Таблиця 1'!$J:$J,"Hydra-70")+SUMIFS('Таблиця 1'!$K:$K,'Таблиця 1'!$B:$B,$A534,'Таблиця 1'!$I:$I,"Mi-24",'Таблиця 1'!$J:$J,"Hydra-70"))</f>
        <v/>
      </c>
      <c r="K534">
        <f>IF($A534="","",SUMIFS('Таблиця 1'!$K:$K,'Таблиця 1'!$B:$B,$A534,'Таблиця 1'!$I:$I,"Mi-8",'Таблиця 1'!$J:$J,"Thales-70")+SUMIFS('Таблиця 1'!$K:$K,'Таблиця 1'!$B:$B,$A534,'Таблиця 1'!$I:$I,"Mi-24",'Таблиця 1'!$J:$J,"Thales-70"))</f>
        <v/>
      </c>
      <c r="L534">
        <f>IF($A534="","",SUMIFS('Таблиця 1'!$K:$K,'Таблиця 1'!$B:$B,$A534,'Таблиця 1'!$I:$I,"Mi-8",'Таблиця 1'!$J:$J,"Thales-FZ")+SUMIFS('Таблиця 1'!$K:$K,'Таблиця 1'!$B:$B,$A534,'Таблиця 1'!$I:$I,"Mi-24",'Таблиця 1'!$J:$J,"Thales-FZ"))</f>
        <v/>
      </c>
      <c r="M534">
        <f>IF($A534="","",SUMIFS('Таблиця 1'!$K:$K,'Таблиця 1'!$B:$B,$A534,'Таблиця 1'!$I:$I,"Mi-8",'Таблиця 1'!$J:$J,"МК-40")+SUMIFS('Таблиця 1'!$K:$K,'Таблиця 1'!$B:$B,$A534,'Таблиця 1'!$I:$I,"Mi-24",'Таблиця 1'!$J:$J,"МК-40"))</f>
        <v/>
      </c>
      <c r="N534">
        <f>IF($A534="","",SUMIFS('Таблиця 1'!$K:$K,'Таблиця 1'!$B:$B,$A534,'Таблиця 1'!$I:$I,"Mi-8",'Таблиця 1'!$J:$J,"Zuni")+SUMIFS('Таблиця 1'!$K:$K,'Таблиця 1'!$B:$B,$A534,'Таблиця 1'!$I:$I,"Mi-24",'Таблиця 1'!$J:$J,"Zuni"))</f>
        <v/>
      </c>
      <c r="O534">
        <f>IF($A534="","",COUNTIFS('Таблиця 1'!$B:$B,$A534,'Таблиця 1'!$I:$I,"Mi-8",'Таблиця 1'!$L:$L,"Уражено")+COUNTIFS('Таблиця 1'!$B:$B,$A534,'Таблиця 1'!$I:$I,"Mi-24",'Таблиця 1'!$L:$L,"Уражено"))</f>
        <v/>
      </c>
      <c r="P534">
        <f>IF($A534="","",COUNTIFS('Таблиця 1'!$B:$B,$A534,'Таблиця 1'!$I:$I,"Mi-8",'Таблиця 1'!$L:$L,"НЕ уражено")+COUNTIFS('Таблиця 1'!$B:$B,$A534,'Таблиця 1'!$I:$I,"Mi-24",'Таблиця 1'!$L:$L,"НЕ уражено"))</f>
        <v/>
      </c>
    </row>
    <row r="535">
      <c r="A535" s="273">
        <f>IF(A534="","",IF(A534+1&gt;MAX('Таблиця 1'!$B:$B),"",A534+1))</f>
        <v/>
      </c>
      <c r="B535">
        <f>IF($A535="","",COUNTIFS('Таблиця 1'!$B:$B,$A535,'Таблиця 1'!$I:$I,"Mi-8")+COUNTIFS('Таблиця 1'!$B:$B,$A535,'Таблиця 1'!$I:$I,"Mi-24"))</f>
        <v/>
      </c>
      <c r="C535">
        <f>IF($A535="","",COUNTIFS('Таблиця 1'!$B:$B,$A535,'Таблиця 1'!$I:$I,"Mi-8"))</f>
        <v/>
      </c>
      <c r="D535">
        <f>IF($A535="","",COUNTIFS('Таблиця 1'!$B:$B,$A535,'Таблиця 1'!$I:$I,"Mi-24"))</f>
        <v/>
      </c>
      <c r="E535">
        <f>IF($A535="","",SUMIFS('Таблиця 1'!$K:$K,'Таблиця 1'!$B:$B,$A535,'Таблиця 1'!$I:$I,"Mi-8",'Таблиця 1'!$J:$J,"ARS-8")+SUMIFS('Таблиця 1'!$K:$K,'Таблиця 1'!$B:$B,$A535,'Таблиця 1'!$I:$I,"Mi-24",'Таблиця 1'!$J:$J,"ARS-8"))</f>
        <v/>
      </c>
      <c r="F535">
        <f>IF($A535="","",SUMIFS('Таблиця 1'!$K:$K,'Таблиця 1'!$B:$B,$A535,'Таблиця 1'!$I:$I,"Mi-8",'Таблиця 1'!$J:$J,"С-8 ком")+SUMIFS('Таблиця 1'!$K:$K,'Таблиця 1'!$B:$B,$A535,'Таблиця 1'!$I:$I,"Mi-24",'Таблиця 1'!$J:$J,"С-8 ком"))</f>
        <v/>
      </c>
      <c r="G535">
        <f>IF($A535="","",SUMIFS('Таблиця 1'!$K:$K,'Таблиця 1'!$B:$B,$A535,'Таблиця 1'!$I:$I,"Mi-8",'Таблиця 1'!$J:$J,"PC-80")+SUMIFS('Таблиця 1'!$K:$K,'Таблиця 1'!$B:$B,$A535,'Таблиця 1'!$I:$I,"Mi-24",'Таблиця 1'!$J:$J,"PC-80"))</f>
        <v/>
      </c>
      <c r="H535">
        <f>IF($A535="","",SUMIFS('Таблиця 1'!$K:$K,'Таблиця 1'!$B:$B,$A535,'Таблиця 1'!$I:$I,"Mi-8",'Таблиця 1'!$J:$J,"UAR-80")+SUMIFS('Таблиця 1'!$K:$K,'Таблиця 1'!$B:$B,$A535,'Таблиця 1'!$I:$I,"Mi-24",'Таблиця 1'!$J:$J,"UAR-80"))</f>
        <v/>
      </c>
      <c r="I535">
        <f>IF($A535="","",SUMIFS('Таблиця 1'!$K:$K,'Таблиця 1'!$B:$B,$A535,'Таблиця 1'!$I:$I,"Mi-8",'Таблиця 1'!$J:$J,"C-13")+SUMIFS('Таблиця 1'!$K:$K,'Таблиця 1'!$B:$B,$A535,'Таблиця 1'!$I:$I,"Mi-24",'Таблиця 1'!$J:$J,"C-13"))</f>
        <v/>
      </c>
      <c r="J535">
        <f>IF($A535="","",SUMIFS('Таблиця 1'!$K:$K,'Таблиця 1'!$B:$B,$A535,'Таблиця 1'!$I:$I,"Mi-8",'Таблиця 1'!$J:$J,"Hydra-70")+SUMIFS('Таблиця 1'!$K:$K,'Таблиця 1'!$B:$B,$A535,'Таблиця 1'!$I:$I,"Mi-24",'Таблиця 1'!$J:$J,"Hydra-70"))</f>
        <v/>
      </c>
      <c r="K535">
        <f>IF($A535="","",SUMIFS('Таблиця 1'!$K:$K,'Таблиця 1'!$B:$B,$A535,'Таблиця 1'!$I:$I,"Mi-8",'Таблиця 1'!$J:$J,"Thales-70")+SUMIFS('Таблиця 1'!$K:$K,'Таблиця 1'!$B:$B,$A535,'Таблиця 1'!$I:$I,"Mi-24",'Таблиця 1'!$J:$J,"Thales-70"))</f>
        <v/>
      </c>
      <c r="L535">
        <f>IF($A535="","",SUMIFS('Таблиця 1'!$K:$K,'Таблиця 1'!$B:$B,$A535,'Таблиця 1'!$I:$I,"Mi-8",'Таблиця 1'!$J:$J,"Thales-FZ")+SUMIFS('Таблиця 1'!$K:$K,'Таблиця 1'!$B:$B,$A535,'Таблиця 1'!$I:$I,"Mi-24",'Таблиця 1'!$J:$J,"Thales-FZ"))</f>
        <v/>
      </c>
      <c r="M535">
        <f>IF($A535="","",SUMIFS('Таблиця 1'!$K:$K,'Таблиця 1'!$B:$B,$A535,'Таблиця 1'!$I:$I,"Mi-8",'Таблиця 1'!$J:$J,"МК-40")+SUMIFS('Таблиця 1'!$K:$K,'Таблиця 1'!$B:$B,$A535,'Таблиця 1'!$I:$I,"Mi-24",'Таблиця 1'!$J:$J,"МК-40"))</f>
        <v/>
      </c>
      <c r="N535">
        <f>IF($A535="","",SUMIFS('Таблиця 1'!$K:$K,'Таблиця 1'!$B:$B,$A535,'Таблиця 1'!$I:$I,"Mi-8",'Таблиця 1'!$J:$J,"Zuni")+SUMIFS('Таблиця 1'!$K:$K,'Таблиця 1'!$B:$B,$A535,'Таблиця 1'!$I:$I,"Mi-24",'Таблиця 1'!$J:$J,"Zuni"))</f>
        <v/>
      </c>
      <c r="O535">
        <f>IF($A535="","",COUNTIFS('Таблиця 1'!$B:$B,$A535,'Таблиця 1'!$I:$I,"Mi-8",'Таблиця 1'!$L:$L,"Уражено")+COUNTIFS('Таблиця 1'!$B:$B,$A535,'Таблиця 1'!$I:$I,"Mi-24",'Таблиця 1'!$L:$L,"Уражено"))</f>
        <v/>
      </c>
      <c r="P535">
        <f>IF($A535="","",COUNTIFS('Таблиця 1'!$B:$B,$A535,'Таблиця 1'!$I:$I,"Mi-8",'Таблиця 1'!$L:$L,"НЕ уражено")+COUNTIFS('Таблиця 1'!$B:$B,$A535,'Таблиця 1'!$I:$I,"Mi-24",'Таблиця 1'!$L:$L,"НЕ уражено"))</f>
        <v/>
      </c>
    </row>
    <row r="536">
      <c r="A536" s="273">
        <f>IF(A535="","",IF(A535+1&gt;MAX('Таблиця 1'!$B:$B),"",A535+1))</f>
        <v/>
      </c>
      <c r="B536">
        <f>IF($A536="","",COUNTIFS('Таблиця 1'!$B:$B,$A536,'Таблиця 1'!$I:$I,"Mi-8")+COUNTIFS('Таблиця 1'!$B:$B,$A536,'Таблиця 1'!$I:$I,"Mi-24"))</f>
        <v/>
      </c>
      <c r="C536">
        <f>IF($A536="","",COUNTIFS('Таблиця 1'!$B:$B,$A536,'Таблиця 1'!$I:$I,"Mi-8"))</f>
        <v/>
      </c>
      <c r="D536">
        <f>IF($A536="","",COUNTIFS('Таблиця 1'!$B:$B,$A536,'Таблиця 1'!$I:$I,"Mi-24"))</f>
        <v/>
      </c>
      <c r="E536">
        <f>IF($A536="","",SUMIFS('Таблиця 1'!$K:$K,'Таблиця 1'!$B:$B,$A536,'Таблиця 1'!$I:$I,"Mi-8",'Таблиця 1'!$J:$J,"ARS-8")+SUMIFS('Таблиця 1'!$K:$K,'Таблиця 1'!$B:$B,$A536,'Таблиця 1'!$I:$I,"Mi-24",'Таблиця 1'!$J:$J,"ARS-8"))</f>
        <v/>
      </c>
      <c r="F536">
        <f>IF($A536="","",SUMIFS('Таблиця 1'!$K:$K,'Таблиця 1'!$B:$B,$A536,'Таблиця 1'!$I:$I,"Mi-8",'Таблиця 1'!$J:$J,"С-8 ком")+SUMIFS('Таблиця 1'!$K:$K,'Таблиця 1'!$B:$B,$A536,'Таблиця 1'!$I:$I,"Mi-24",'Таблиця 1'!$J:$J,"С-8 ком"))</f>
        <v/>
      </c>
      <c r="G536">
        <f>IF($A536="","",SUMIFS('Таблиця 1'!$K:$K,'Таблиця 1'!$B:$B,$A536,'Таблиця 1'!$I:$I,"Mi-8",'Таблиця 1'!$J:$J,"PC-80")+SUMIFS('Таблиця 1'!$K:$K,'Таблиця 1'!$B:$B,$A536,'Таблиця 1'!$I:$I,"Mi-24",'Таблиця 1'!$J:$J,"PC-80"))</f>
        <v/>
      </c>
      <c r="H536">
        <f>IF($A536="","",SUMIFS('Таблиця 1'!$K:$K,'Таблиця 1'!$B:$B,$A536,'Таблиця 1'!$I:$I,"Mi-8",'Таблиця 1'!$J:$J,"UAR-80")+SUMIFS('Таблиця 1'!$K:$K,'Таблиця 1'!$B:$B,$A536,'Таблиця 1'!$I:$I,"Mi-24",'Таблиця 1'!$J:$J,"UAR-80"))</f>
        <v/>
      </c>
      <c r="I536">
        <f>IF($A536="","",SUMIFS('Таблиця 1'!$K:$K,'Таблиця 1'!$B:$B,$A536,'Таблиця 1'!$I:$I,"Mi-8",'Таблиця 1'!$J:$J,"C-13")+SUMIFS('Таблиця 1'!$K:$K,'Таблиця 1'!$B:$B,$A536,'Таблиця 1'!$I:$I,"Mi-24",'Таблиця 1'!$J:$J,"C-13"))</f>
        <v/>
      </c>
      <c r="J536">
        <f>IF($A536="","",SUMIFS('Таблиця 1'!$K:$K,'Таблиця 1'!$B:$B,$A536,'Таблиця 1'!$I:$I,"Mi-8",'Таблиця 1'!$J:$J,"Hydra-70")+SUMIFS('Таблиця 1'!$K:$K,'Таблиця 1'!$B:$B,$A536,'Таблиця 1'!$I:$I,"Mi-24",'Таблиця 1'!$J:$J,"Hydra-70"))</f>
        <v/>
      </c>
      <c r="K536">
        <f>IF($A536="","",SUMIFS('Таблиця 1'!$K:$K,'Таблиця 1'!$B:$B,$A536,'Таблиця 1'!$I:$I,"Mi-8",'Таблиця 1'!$J:$J,"Thales-70")+SUMIFS('Таблиця 1'!$K:$K,'Таблиця 1'!$B:$B,$A536,'Таблиця 1'!$I:$I,"Mi-24",'Таблиця 1'!$J:$J,"Thales-70"))</f>
        <v/>
      </c>
      <c r="L536">
        <f>IF($A536="","",SUMIFS('Таблиця 1'!$K:$K,'Таблиця 1'!$B:$B,$A536,'Таблиця 1'!$I:$I,"Mi-8",'Таблиця 1'!$J:$J,"Thales-FZ")+SUMIFS('Таблиця 1'!$K:$K,'Таблиця 1'!$B:$B,$A536,'Таблиця 1'!$I:$I,"Mi-24",'Таблиця 1'!$J:$J,"Thales-FZ"))</f>
        <v/>
      </c>
      <c r="M536">
        <f>IF($A536="","",SUMIFS('Таблиця 1'!$K:$K,'Таблиця 1'!$B:$B,$A536,'Таблиця 1'!$I:$I,"Mi-8",'Таблиця 1'!$J:$J,"МК-40")+SUMIFS('Таблиця 1'!$K:$K,'Таблиця 1'!$B:$B,$A536,'Таблиця 1'!$I:$I,"Mi-24",'Таблиця 1'!$J:$J,"МК-40"))</f>
        <v/>
      </c>
      <c r="N536">
        <f>IF($A536="","",SUMIFS('Таблиця 1'!$K:$K,'Таблиця 1'!$B:$B,$A536,'Таблиця 1'!$I:$I,"Mi-8",'Таблиця 1'!$J:$J,"Zuni")+SUMIFS('Таблиця 1'!$K:$K,'Таблиця 1'!$B:$B,$A536,'Таблиця 1'!$I:$I,"Mi-24",'Таблиця 1'!$J:$J,"Zuni"))</f>
        <v/>
      </c>
      <c r="O536">
        <f>IF($A536="","",COUNTIFS('Таблиця 1'!$B:$B,$A536,'Таблиця 1'!$I:$I,"Mi-8",'Таблиця 1'!$L:$L,"Уражено")+COUNTIFS('Таблиця 1'!$B:$B,$A536,'Таблиця 1'!$I:$I,"Mi-24",'Таблиця 1'!$L:$L,"Уражено"))</f>
        <v/>
      </c>
      <c r="P536">
        <f>IF($A536="","",COUNTIFS('Таблиця 1'!$B:$B,$A536,'Таблиця 1'!$I:$I,"Mi-8",'Таблиця 1'!$L:$L,"НЕ уражено")+COUNTIFS('Таблиця 1'!$B:$B,$A536,'Таблиця 1'!$I:$I,"Mi-24",'Таблиця 1'!$L:$L,"НЕ уражено"))</f>
        <v/>
      </c>
    </row>
    <row r="537">
      <c r="A537" s="273">
        <f>IF(A536="","",IF(A536+1&gt;MAX('Таблиця 1'!$B:$B),"",A536+1))</f>
        <v/>
      </c>
      <c r="B537">
        <f>IF($A537="","",COUNTIFS('Таблиця 1'!$B:$B,$A537,'Таблиця 1'!$I:$I,"Mi-8")+COUNTIFS('Таблиця 1'!$B:$B,$A537,'Таблиця 1'!$I:$I,"Mi-24"))</f>
        <v/>
      </c>
      <c r="C537">
        <f>IF($A537="","",COUNTIFS('Таблиця 1'!$B:$B,$A537,'Таблиця 1'!$I:$I,"Mi-8"))</f>
        <v/>
      </c>
      <c r="D537">
        <f>IF($A537="","",COUNTIFS('Таблиця 1'!$B:$B,$A537,'Таблиця 1'!$I:$I,"Mi-24"))</f>
        <v/>
      </c>
      <c r="E537">
        <f>IF($A537="","",SUMIFS('Таблиця 1'!$K:$K,'Таблиця 1'!$B:$B,$A537,'Таблиця 1'!$I:$I,"Mi-8",'Таблиця 1'!$J:$J,"ARS-8")+SUMIFS('Таблиця 1'!$K:$K,'Таблиця 1'!$B:$B,$A537,'Таблиця 1'!$I:$I,"Mi-24",'Таблиця 1'!$J:$J,"ARS-8"))</f>
        <v/>
      </c>
      <c r="F537">
        <f>IF($A537="","",SUMIFS('Таблиця 1'!$K:$K,'Таблиця 1'!$B:$B,$A537,'Таблиця 1'!$I:$I,"Mi-8",'Таблиця 1'!$J:$J,"С-8 ком")+SUMIFS('Таблиця 1'!$K:$K,'Таблиця 1'!$B:$B,$A537,'Таблиця 1'!$I:$I,"Mi-24",'Таблиця 1'!$J:$J,"С-8 ком"))</f>
        <v/>
      </c>
      <c r="G537">
        <f>IF($A537="","",SUMIFS('Таблиця 1'!$K:$K,'Таблиця 1'!$B:$B,$A537,'Таблиця 1'!$I:$I,"Mi-8",'Таблиця 1'!$J:$J,"PC-80")+SUMIFS('Таблиця 1'!$K:$K,'Таблиця 1'!$B:$B,$A537,'Таблиця 1'!$I:$I,"Mi-24",'Таблиця 1'!$J:$J,"PC-80"))</f>
        <v/>
      </c>
      <c r="H537">
        <f>IF($A537="","",SUMIFS('Таблиця 1'!$K:$K,'Таблиця 1'!$B:$B,$A537,'Таблиця 1'!$I:$I,"Mi-8",'Таблиця 1'!$J:$J,"UAR-80")+SUMIFS('Таблиця 1'!$K:$K,'Таблиця 1'!$B:$B,$A537,'Таблиця 1'!$I:$I,"Mi-24",'Таблиця 1'!$J:$J,"UAR-80"))</f>
        <v/>
      </c>
      <c r="I537">
        <f>IF($A537="","",SUMIFS('Таблиця 1'!$K:$K,'Таблиця 1'!$B:$B,$A537,'Таблиця 1'!$I:$I,"Mi-8",'Таблиця 1'!$J:$J,"C-13")+SUMIFS('Таблиця 1'!$K:$K,'Таблиця 1'!$B:$B,$A537,'Таблиця 1'!$I:$I,"Mi-24",'Таблиця 1'!$J:$J,"C-13"))</f>
        <v/>
      </c>
      <c r="J537">
        <f>IF($A537="","",SUMIFS('Таблиця 1'!$K:$K,'Таблиця 1'!$B:$B,$A537,'Таблиця 1'!$I:$I,"Mi-8",'Таблиця 1'!$J:$J,"Hydra-70")+SUMIFS('Таблиця 1'!$K:$K,'Таблиця 1'!$B:$B,$A537,'Таблиця 1'!$I:$I,"Mi-24",'Таблиця 1'!$J:$J,"Hydra-70"))</f>
        <v/>
      </c>
      <c r="K537">
        <f>IF($A537="","",SUMIFS('Таблиця 1'!$K:$K,'Таблиця 1'!$B:$B,$A537,'Таблиця 1'!$I:$I,"Mi-8",'Таблиця 1'!$J:$J,"Thales-70")+SUMIFS('Таблиця 1'!$K:$K,'Таблиця 1'!$B:$B,$A537,'Таблиця 1'!$I:$I,"Mi-24",'Таблиця 1'!$J:$J,"Thales-70"))</f>
        <v/>
      </c>
      <c r="L537">
        <f>IF($A537="","",SUMIFS('Таблиця 1'!$K:$K,'Таблиця 1'!$B:$B,$A537,'Таблиця 1'!$I:$I,"Mi-8",'Таблиця 1'!$J:$J,"Thales-FZ")+SUMIFS('Таблиця 1'!$K:$K,'Таблиця 1'!$B:$B,$A537,'Таблиця 1'!$I:$I,"Mi-24",'Таблиця 1'!$J:$J,"Thales-FZ"))</f>
        <v/>
      </c>
      <c r="M537">
        <f>IF($A537="","",SUMIFS('Таблиця 1'!$K:$K,'Таблиця 1'!$B:$B,$A537,'Таблиця 1'!$I:$I,"Mi-8",'Таблиця 1'!$J:$J,"МК-40")+SUMIFS('Таблиця 1'!$K:$K,'Таблиця 1'!$B:$B,$A537,'Таблиця 1'!$I:$I,"Mi-24",'Таблиця 1'!$J:$J,"МК-40"))</f>
        <v/>
      </c>
      <c r="N537">
        <f>IF($A537="","",SUMIFS('Таблиця 1'!$K:$K,'Таблиця 1'!$B:$B,$A537,'Таблиця 1'!$I:$I,"Mi-8",'Таблиця 1'!$J:$J,"Zuni")+SUMIFS('Таблиця 1'!$K:$K,'Таблиця 1'!$B:$B,$A537,'Таблиця 1'!$I:$I,"Mi-24",'Таблиця 1'!$J:$J,"Zuni"))</f>
        <v/>
      </c>
      <c r="O537">
        <f>IF($A537="","",COUNTIFS('Таблиця 1'!$B:$B,$A537,'Таблиця 1'!$I:$I,"Mi-8",'Таблиця 1'!$L:$L,"Уражено")+COUNTIFS('Таблиця 1'!$B:$B,$A537,'Таблиця 1'!$I:$I,"Mi-24",'Таблиця 1'!$L:$L,"Уражено"))</f>
        <v/>
      </c>
      <c r="P537">
        <f>IF($A537="","",COUNTIFS('Таблиця 1'!$B:$B,$A537,'Таблиця 1'!$I:$I,"Mi-8",'Таблиця 1'!$L:$L,"НЕ уражено")+COUNTIFS('Таблиця 1'!$B:$B,$A537,'Таблиця 1'!$I:$I,"Mi-24",'Таблиця 1'!$L:$L,"НЕ уражено"))</f>
        <v/>
      </c>
    </row>
    <row r="538">
      <c r="A538" s="273">
        <f>IF(A537="","",IF(A537+1&gt;MAX('Таблиця 1'!$B:$B),"",A537+1))</f>
        <v/>
      </c>
      <c r="B538">
        <f>IF($A538="","",COUNTIFS('Таблиця 1'!$B:$B,$A538,'Таблиця 1'!$I:$I,"Mi-8")+COUNTIFS('Таблиця 1'!$B:$B,$A538,'Таблиця 1'!$I:$I,"Mi-24"))</f>
        <v/>
      </c>
      <c r="C538">
        <f>IF($A538="","",COUNTIFS('Таблиця 1'!$B:$B,$A538,'Таблиця 1'!$I:$I,"Mi-8"))</f>
        <v/>
      </c>
      <c r="D538">
        <f>IF($A538="","",COUNTIFS('Таблиця 1'!$B:$B,$A538,'Таблиця 1'!$I:$I,"Mi-24"))</f>
        <v/>
      </c>
      <c r="E538">
        <f>IF($A538="","",SUMIFS('Таблиця 1'!$K:$K,'Таблиця 1'!$B:$B,$A538,'Таблиця 1'!$I:$I,"Mi-8",'Таблиця 1'!$J:$J,"ARS-8")+SUMIFS('Таблиця 1'!$K:$K,'Таблиця 1'!$B:$B,$A538,'Таблиця 1'!$I:$I,"Mi-24",'Таблиця 1'!$J:$J,"ARS-8"))</f>
        <v/>
      </c>
      <c r="F538">
        <f>IF($A538="","",SUMIFS('Таблиця 1'!$K:$K,'Таблиця 1'!$B:$B,$A538,'Таблиця 1'!$I:$I,"Mi-8",'Таблиця 1'!$J:$J,"С-8 ком")+SUMIFS('Таблиця 1'!$K:$K,'Таблиця 1'!$B:$B,$A538,'Таблиця 1'!$I:$I,"Mi-24",'Таблиця 1'!$J:$J,"С-8 ком"))</f>
        <v/>
      </c>
      <c r="G538">
        <f>IF($A538="","",SUMIFS('Таблиця 1'!$K:$K,'Таблиця 1'!$B:$B,$A538,'Таблиця 1'!$I:$I,"Mi-8",'Таблиця 1'!$J:$J,"PC-80")+SUMIFS('Таблиця 1'!$K:$K,'Таблиця 1'!$B:$B,$A538,'Таблиця 1'!$I:$I,"Mi-24",'Таблиця 1'!$J:$J,"PC-80"))</f>
        <v/>
      </c>
      <c r="H538">
        <f>IF($A538="","",SUMIFS('Таблиця 1'!$K:$K,'Таблиця 1'!$B:$B,$A538,'Таблиця 1'!$I:$I,"Mi-8",'Таблиця 1'!$J:$J,"UAR-80")+SUMIFS('Таблиця 1'!$K:$K,'Таблиця 1'!$B:$B,$A538,'Таблиця 1'!$I:$I,"Mi-24",'Таблиця 1'!$J:$J,"UAR-80"))</f>
        <v/>
      </c>
      <c r="I538">
        <f>IF($A538="","",SUMIFS('Таблиця 1'!$K:$K,'Таблиця 1'!$B:$B,$A538,'Таблиця 1'!$I:$I,"Mi-8",'Таблиця 1'!$J:$J,"C-13")+SUMIFS('Таблиця 1'!$K:$K,'Таблиця 1'!$B:$B,$A538,'Таблиця 1'!$I:$I,"Mi-24",'Таблиця 1'!$J:$J,"C-13"))</f>
        <v/>
      </c>
      <c r="J538">
        <f>IF($A538="","",SUMIFS('Таблиця 1'!$K:$K,'Таблиця 1'!$B:$B,$A538,'Таблиця 1'!$I:$I,"Mi-8",'Таблиця 1'!$J:$J,"Hydra-70")+SUMIFS('Таблиця 1'!$K:$K,'Таблиця 1'!$B:$B,$A538,'Таблиця 1'!$I:$I,"Mi-24",'Таблиця 1'!$J:$J,"Hydra-70"))</f>
        <v/>
      </c>
      <c r="K538">
        <f>IF($A538="","",SUMIFS('Таблиця 1'!$K:$K,'Таблиця 1'!$B:$B,$A538,'Таблиця 1'!$I:$I,"Mi-8",'Таблиця 1'!$J:$J,"Thales-70")+SUMIFS('Таблиця 1'!$K:$K,'Таблиця 1'!$B:$B,$A538,'Таблиця 1'!$I:$I,"Mi-24",'Таблиця 1'!$J:$J,"Thales-70"))</f>
        <v/>
      </c>
      <c r="L538">
        <f>IF($A538="","",SUMIFS('Таблиця 1'!$K:$K,'Таблиця 1'!$B:$B,$A538,'Таблиця 1'!$I:$I,"Mi-8",'Таблиця 1'!$J:$J,"Thales-FZ")+SUMIFS('Таблиця 1'!$K:$K,'Таблиця 1'!$B:$B,$A538,'Таблиця 1'!$I:$I,"Mi-24",'Таблиця 1'!$J:$J,"Thales-FZ"))</f>
        <v/>
      </c>
      <c r="M538">
        <f>IF($A538="","",SUMIFS('Таблиця 1'!$K:$K,'Таблиця 1'!$B:$B,$A538,'Таблиця 1'!$I:$I,"Mi-8",'Таблиця 1'!$J:$J,"МК-40")+SUMIFS('Таблиця 1'!$K:$K,'Таблиця 1'!$B:$B,$A538,'Таблиця 1'!$I:$I,"Mi-24",'Таблиця 1'!$J:$J,"МК-40"))</f>
        <v/>
      </c>
      <c r="N538">
        <f>IF($A538="","",SUMIFS('Таблиця 1'!$K:$K,'Таблиця 1'!$B:$B,$A538,'Таблиця 1'!$I:$I,"Mi-8",'Таблиця 1'!$J:$J,"Zuni")+SUMIFS('Таблиця 1'!$K:$K,'Таблиця 1'!$B:$B,$A538,'Таблиця 1'!$I:$I,"Mi-24",'Таблиця 1'!$J:$J,"Zuni"))</f>
        <v/>
      </c>
      <c r="O538">
        <f>IF($A538="","",COUNTIFS('Таблиця 1'!$B:$B,$A538,'Таблиця 1'!$I:$I,"Mi-8",'Таблиця 1'!$L:$L,"Уражено")+COUNTIFS('Таблиця 1'!$B:$B,$A538,'Таблиця 1'!$I:$I,"Mi-24",'Таблиця 1'!$L:$L,"Уражено"))</f>
        <v/>
      </c>
      <c r="P538">
        <f>IF($A538="","",COUNTIFS('Таблиця 1'!$B:$B,$A538,'Таблиця 1'!$I:$I,"Mi-8",'Таблиця 1'!$L:$L,"НЕ уражено")+COUNTIFS('Таблиця 1'!$B:$B,$A538,'Таблиця 1'!$I:$I,"Mi-24",'Таблиця 1'!$L:$L,"НЕ уражено"))</f>
        <v/>
      </c>
    </row>
    <row r="539">
      <c r="A539" s="273">
        <f>IF(A538="","",IF(A538+1&gt;MAX('Таблиця 1'!$B:$B),"",A538+1))</f>
        <v/>
      </c>
      <c r="B539">
        <f>IF($A539="","",COUNTIFS('Таблиця 1'!$B:$B,$A539,'Таблиця 1'!$I:$I,"Mi-8")+COUNTIFS('Таблиця 1'!$B:$B,$A539,'Таблиця 1'!$I:$I,"Mi-24"))</f>
        <v/>
      </c>
      <c r="C539">
        <f>IF($A539="","",COUNTIFS('Таблиця 1'!$B:$B,$A539,'Таблиця 1'!$I:$I,"Mi-8"))</f>
        <v/>
      </c>
      <c r="D539">
        <f>IF($A539="","",COUNTIFS('Таблиця 1'!$B:$B,$A539,'Таблиця 1'!$I:$I,"Mi-24"))</f>
        <v/>
      </c>
      <c r="E539">
        <f>IF($A539="","",SUMIFS('Таблиця 1'!$K:$K,'Таблиця 1'!$B:$B,$A539,'Таблиця 1'!$I:$I,"Mi-8",'Таблиця 1'!$J:$J,"ARS-8")+SUMIFS('Таблиця 1'!$K:$K,'Таблиця 1'!$B:$B,$A539,'Таблиця 1'!$I:$I,"Mi-24",'Таблиця 1'!$J:$J,"ARS-8"))</f>
        <v/>
      </c>
      <c r="F539">
        <f>IF($A539="","",SUMIFS('Таблиця 1'!$K:$K,'Таблиця 1'!$B:$B,$A539,'Таблиця 1'!$I:$I,"Mi-8",'Таблиця 1'!$J:$J,"С-8 ком")+SUMIFS('Таблиця 1'!$K:$K,'Таблиця 1'!$B:$B,$A539,'Таблиця 1'!$I:$I,"Mi-24",'Таблиця 1'!$J:$J,"С-8 ком"))</f>
        <v/>
      </c>
      <c r="G539">
        <f>IF($A539="","",SUMIFS('Таблиця 1'!$K:$K,'Таблиця 1'!$B:$B,$A539,'Таблиця 1'!$I:$I,"Mi-8",'Таблиця 1'!$J:$J,"PC-80")+SUMIFS('Таблиця 1'!$K:$K,'Таблиця 1'!$B:$B,$A539,'Таблиця 1'!$I:$I,"Mi-24",'Таблиця 1'!$J:$J,"PC-80"))</f>
        <v/>
      </c>
      <c r="H539">
        <f>IF($A539="","",SUMIFS('Таблиця 1'!$K:$K,'Таблиця 1'!$B:$B,$A539,'Таблиця 1'!$I:$I,"Mi-8",'Таблиця 1'!$J:$J,"UAR-80")+SUMIFS('Таблиця 1'!$K:$K,'Таблиця 1'!$B:$B,$A539,'Таблиця 1'!$I:$I,"Mi-24",'Таблиця 1'!$J:$J,"UAR-80"))</f>
        <v/>
      </c>
      <c r="I539">
        <f>IF($A539="","",SUMIFS('Таблиця 1'!$K:$K,'Таблиця 1'!$B:$B,$A539,'Таблиця 1'!$I:$I,"Mi-8",'Таблиця 1'!$J:$J,"C-13")+SUMIFS('Таблиця 1'!$K:$K,'Таблиця 1'!$B:$B,$A539,'Таблиця 1'!$I:$I,"Mi-24",'Таблиця 1'!$J:$J,"C-13"))</f>
        <v/>
      </c>
      <c r="J539">
        <f>IF($A539="","",SUMIFS('Таблиця 1'!$K:$K,'Таблиця 1'!$B:$B,$A539,'Таблиця 1'!$I:$I,"Mi-8",'Таблиця 1'!$J:$J,"Hydra-70")+SUMIFS('Таблиця 1'!$K:$K,'Таблиця 1'!$B:$B,$A539,'Таблиця 1'!$I:$I,"Mi-24",'Таблиця 1'!$J:$J,"Hydra-70"))</f>
        <v/>
      </c>
      <c r="K539">
        <f>IF($A539="","",SUMIFS('Таблиця 1'!$K:$K,'Таблиця 1'!$B:$B,$A539,'Таблиця 1'!$I:$I,"Mi-8",'Таблиця 1'!$J:$J,"Thales-70")+SUMIFS('Таблиця 1'!$K:$K,'Таблиця 1'!$B:$B,$A539,'Таблиця 1'!$I:$I,"Mi-24",'Таблиця 1'!$J:$J,"Thales-70"))</f>
        <v/>
      </c>
      <c r="L539">
        <f>IF($A539="","",SUMIFS('Таблиця 1'!$K:$K,'Таблиця 1'!$B:$B,$A539,'Таблиця 1'!$I:$I,"Mi-8",'Таблиця 1'!$J:$J,"Thales-FZ")+SUMIFS('Таблиця 1'!$K:$K,'Таблиця 1'!$B:$B,$A539,'Таблиця 1'!$I:$I,"Mi-24",'Таблиця 1'!$J:$J,"Thales-FZ"))</f>
        <v/>
      </c>
      <c r="M539">
        <f>IF($A539="","",SUMIFS('Таблиця 1'!$K:$K,'Таблиця 1'!$B:$B,$A539,'Таблиця 1'!$I:$I,"Mi-8",'Таблиця 1'!$J:$J,"МК-40")+SUMIFS('Таблиця 1'!$K:$K,'Таблиця 1'!$B:$B,$A539,'Таблиця 1'!$I:$I,"Mi-24",'Таблиця 1'!$J:$J,"МК-40"))</f>
        <v/>
      </c>
      <c r="N539">
        <f>IF($A539="","",SUMIFS('Таблиця 1'!$K:$K,'Таблиця 1'!$B:$B,$A539,'Таблиця 1'!$I:$I,"Mi-8",'Таблиця 1'!$J:$J,"Zuni")+SUMIFS('Таблиця 1'!$K:$K,'Таблиця 1'!$B:$B,$A539,'Таблиця 1'!$I:$I,"Mi-24",'Таблиця 1'!$J:$J,"Zuni"))</f>
        <v/>
      </c>
      <c r="O539">
        <f>IF($A539="","",COUNTIFS('Таблиця 1'!$B:$B,$A539,'Таблиця 1'!$I:$I,"Mi-8",'Таблиця 1'!$L:$L,"Уражено")+COUNTIFS('Таблиця 1'!$B:$B,$A539,'Таблиця 1'!$I:$I,"Mi-24",'Таблиця 1'!$L:$L,"Уражено"))</f>
        <v/>
      </c>
      <c r="P539">
        <f>IF($A539="","",COUNTIFS('Таблиця 1'!$B:$B,$A539,'Таблиця 1'!$I:$I,"Mi-8",'Таблиця 1'!$L:$L,"НЕ уражено")+COUNTIFS('Таблиця 1'!$B:$B,$A539,'Таблиця 1'!$I:$I,"Mi-24",'Таблиця 1'!$L:$L,"НЕ уражено"))</f>
        <v/>
      </c>
    </row>
    <row r="540">
      <c r="A540" s="273">
        <f>IF(A539="","",IF(A539+1&gt;MAX('Таблиця 1'!$B:$B),"",A539+1))</f>
        <v/>
      </c>
      <c r="B540">
        <f>IF($A540="","",COUNTIFS('Таблиця 1'!$B:$B,$A540,'Таблиця 1'!$I:$I,"Mi-8")+COUNTIFS('Таблиця 1'!$B:$B,$A540,'Таблиця 1'!$I:$I,"Mi-24"))</f>
        <v/>
      </c>
      <c r="C540">
        <f>IF($A540="","",COUNTIFS('Таблиця 1'!$B:$B,$A540,'Таблиця 1'!$I:$I,"Mi-8"))</f>
        <v/>
      </c>
      <c r="D540">
        <f>IF($A540="","",COUNTIFS('Таблиця 1'!$B:$B,$A540,'Таблиця 1'!$I:$I,"Mi-24"))</f>
        <v/>
      </c>
      <c r="E540">
        <f>IF($A540="","",SUMIFS('Таблиця 1'!$K:$K,'Таблиця 1'!$B:$B,$A540,'Таблиця 1'!$I:$I,"Mi-8",'Таблиця 1'!$J:$J,"ARS-8")+SUMIFS('Таблиця 1'!$K:$K,'Таблиця 1'!$B:$B,$A540,'Таблиця 1'!$I:$I,"Mi-24",'Таблиця 1'!$J:$J,"ARS-8"))</f>
        <v/>
      </c>
      <c r="F540">
        <f>IF($A540="","",SUMIFS('Таблиця 1'!$K:$K,'Таблиця 1'!$B:$B,$A540,'Таблиця 1'!$I:$I,"Mi-8",'Таблиця 1'!$J:$J,"С-8 ком")+SUMIFS('Таблиця 1'!$K:$K,'Таблиця 1'!$B:$B,$A540,'Таблиця 1'!$I:$I,"Mi-24",'Таблиця 1'!$J:$J,"С-8 ком"))</f>
        <v/>
      </c>
      <c r="G540">
        <f>IF($A540="","",SUMIFS('Таблиця 1'!$K:$K,'Таблиця 1'!$B:$B,$A540,'Таблиця 1'!$I:$I,"Mi-8",'Таблиця 1'!$J:$J,"PC-80")+SUMIFS('Таблиця 1'!$K:$K,'Таблиця 1'!$B:$B,$A540,'Таблиця 1'!$I:$I,"Mi-24",'Таблиця 1'!$J:$J,"PC-80"))</f>
        <v/>
      </c>
      <c r="H540">
        <f>IF($A540="","",SUMIFS('Таблиця 1'!$K:$K,'Таблиця 1'!$B:$B,$A540,'Таблиця 1'!$I:$I,"Mi-8",'Таблиця 1'!$J:$J,"UAR-80")+SUMIFS('Таблиця 1'!$K:$K,'Таблиця 1'!$B:$B,$A540,'Таблиця 1'!$I:$I,"Mi-24",'Таблиця 1'!$J:$J,"UAR-80"))</f>
        <v/>
      </c>
      <c r="I540">
        <f>IF($A540="","",SUMIFS('Таблиця 1'!$K:$K,'Таблиця 1'!$B:$B,$A540,'Таблиця 1'!$I:$I,"Mi-8",'Таблиця 1'!$J:$J,"C-13")+SUMIFS('Таблиця 1'!$K:$K,'Таблиця 1'!$B:$B,$A540,'Таблиця 1'!$I:$I,"Mi-24",'Таблиця 1'!$J:$J,"C-13"))</f>
        <v/>
      </c>
      <c r="J540">
        <f>IF($A540="","",SUMIFS('Таблиця 1'!$K:$K,'Таблиця 1'!$B:$B,$A540,'Таблиця 1'!$I:$I,"Mi-8",'Таблиця 1'!$J:$J,"Hydra-70")+SUMIFS('Таблиця 1'!$K:$K,'Таблиця 1'!$B:$B,$A540,'Таблиця 1'!$I:$I,"Mi-24",'Таблиця 1'!$J:$J,"Hydra-70"))</f>
        <v/>
      </c>
      <c r="K540">
        <f>IF($A540="","",SUMIFS('Таблиця 1'!$K:$K,'Таблиця 1'!$B:$B,$A540,'Таблиця 1'!$I:$I,"Mi-8",'Таблиця 1'!$J:$J,"Thales-70")+SUMIFS('Таблиця 1'!$K:$K,'Таблиця 1'!$B:$B,$A540,'Таблиця 1'!$I:$I,"Mi-24",'Таблиця 1'!$J:$J,"Thales-70"))</f>
        <v/>
      </c>
      <c r="L540">
        <f>IF($A540="","",SUMIFS('Таблиця 1'!$K:$K,'Таблиця 1'!$B:$B,$A540,'Таблиця 1'!$I:$I,"Mi-8",'Таблиця 1'!$J:$J,"Thales-FZ")+SUMIFS('Таблиця 1'!$K:$K,'Таблиця 1'!$B:$B,$A540,'Таблиця 1'!$I:$I,"Mi-24",'Таблиця 1'!$J:$J,"Thales-FZ"))</f>
        <v/>
      </c>
      <c r="M540">
        <f>IF($A540="","",SUMIFS('Таблиця 1'!$K:$K,'Таблиця 1'!$B:$B,$A540,'Таблиця 1'!$I:$I,"Mi-8",'Таблиця 1'!$J:$J,"МК-40")+SUMIFS('Таблиця 1'!$K:$K,'Таблиця 1'!$B:$B,$A540,'Таблиця 1'!$I:$I,"Mi-24",'Таблиця 1'!$J:$J,"МК-40"))</f>
        <v/>
      </c>
      <c r="N540">
        <f>IF($A540="","",SUMIFS('Таблиця 1'!$K:$K,'Таблиця 1'!$B:$B,$A540,'Таблиця 1'!$I:$I,"Mi-8",'Таблиця 1'!$J:$J,"Zuni")+SUMIFS('Таблиця 1'!$K:$K,'Таблиця 1'!$B:$B,$A540,'Таблиця 1'!$I:$I,"Mi-24",'Таблиця 1'!$J:$J,"Zuni"))</f>
        <v/>
      </c>
      <c r="O540">
        <f>IF($A540="","",COUNTIFS('Таблиця 1'!$B:$B,$A540,'Таблиця 1'!$I:$I,"Mi-8",'Таблиця 1'!$L:$L,"Уражено")+COUNTIFS('Таблиця 1'!$B:$B,$A540,'Таблиця 1'!$I:$I,"Mi-24",'Таблиця 1'!$L:$L,"Уражено"))</f>
        <v/>
      </c>
      <c r="P540">
        <f>IF($A540="","",COUNTIFS('Таблиця 1'!$B:$B,$A540,'Таблиця 1'!$I:$I,"Mi-8",'Таблиця 1'!$L:$L,"НЕ уражено")+COUNTIFS('Таблиця 1'!$B:$B,$A540,'Таблиця 1'!$I:$I,"Mi-24",'Таблиця 1'!$L:$L,"НЕ уражено"))</f>
        <v/>
      </c>
    </row>
    <row r="541">
      <c r="A541" s="273">
        <f>IF(A540="","",IF(A540+1&gt;MAX('Таблиця 1'!$B:$B),"",A540+1))</f>
        <v/>
      </c>
      <c r="B541">
        <f>IF($A541="","",COUNTIFS('Таблиця 1'!$B:$B,$A541,'Таблиця 1'!$I:$I,"Mi-8")+COUNTIFS('Таблиця 1'!$B:$B,$A541,'Таблиця 1'!$I:$I,"Mi-24"))</f>
        <v/>
      </c>
      <c r="C541">
        <f>IF($A541="","",COUNTIFS('Таблиця 1'!$B:$B,$A541,'Таблиця 1'!$I:$I,"Mi-8"))</f>
        <v/>
      </c>
      <c r="D541">
        <f>IF($A541="","",COUNTIFS('Таблиця 1'!$B:$B,$A541,'Таблиця 1'!$I:$I,"Mi-24"))</f>
        <v/>
      </c>
      <c r="E541">
        <f>IF($A541="","",SUMIFS('Таблиця 1'!$K:$K,'Таблиця 1'!$B:$B,$A541,'Таблиця 1'!$I:$I,"Mi-8",'Таблиця 1'!$J:$J,"ARS-8")+SUMIFS('Таблиця 1'!$K:$K,'Таблиця 1'!$B:$B,$A541,'Таблиця 1'!$I:$I,"Mi-24",'Таблиця 1'!$J:$J,"ARS-8"))</f>
        <v/>
      </c>
      <c r="F541">
        <f>IF($A541="","",SUMIFS('Таблиця 1'!$K:$K,'Таблиця 1'!$B:$B,$A541,'Таблиця 1'!$I:$I,"Mi-8",'Таблиця 1'!$J:$J,"С-8 ком")+SUMIFS('Таблиця 1'!$K:$K,'Таблиця 1'!$B:$B,$A541,'Таблиця 1'!$I:$I,"Mi-24",'Таблиця 1'!$J:$J,"С-8 ком"))</f>
        <v/>
      </c>
      <c r="G541">
        <f>IF($A541="","",SUMIFS('Таблиця 1'!$K:$K,'Таблиця 1'!$B:$B,$A541,'Таблиця 1'!$I:$I,"Mi-8",'Таблиця 1'!$J:$J,"PC-80")+SUMIFS('Таблиця 1'!$K:$K,'Таблиця 1'!$B:$B,$A541,'Таблиця 1'!$I:$I,"Mi-24",'Таблиця 1'!$J:$J,"PC-80"))</f>
        <v/>
      </c>
      <c r="H541">
        <f>IF($A541="","",SUMIFS('Таблиця 1'!$K:$K,'Таблиця 1'!$B:$B,$A541,'Таблиця 1'!$I:$I,"Mi-8",'Таблиця 1'!$J:$J,"UAR-80")+SUMIFS('Таблиця 1'!$K:$K,'Таблиця 1'!$B:$B,$A541,'Таблиця 1'!$I:$I,"Mi-24",'Таблиця 1'!$J:$J,"UAR-80"))</f>
        <v/>
      </c>
      <c r="I541">
        <f>IF($A541="","",SUMIFS('Таблиця 1'!$K:$K,'Таблиця 1'!$B:$B,$A541,'Таблиця 1'!$I:$I,"Mi-8",'Таблиця 1'!$J:$J,"C-13")+SUMIFS('Таблиця 1'!$K:$K,'Таблиця 1'!$B:$B,$A541,'Таблиця 1'!$I:$I,"Mi-24",'Таблиця 1'!$J:$J,"C-13"))</f>
        <v/>
      </c>
      <c r="J541">
        <f>IF($A541="","",SUMIFS('Таблиця 1'!$K:$K,'Таблиця 1'!$B:$B,$A541,'Таблиця 1'!$I:$I,"Mi-8",'Таблиця 1'!$J:$J,"Hydra-70")+SUMIFS('Таблиця 1'!$K:$K,'Таблиця 1'!$B:$B,$A541,'Таблиця 1'!$I:$I,"Mi-24",'Таблиця 1'!$J:$J,"Hydra-70"))</f>
        <v/>
      </c>
      <c r="K541">
        <f>IF($A541="","",SUMIFS('Таблиця 1'!$K:$K,'Таблиця 1'!$B:$B,$A541,'Таблиця 1'!$I:$I,"Mi-8",'Таблиця 1'!$J:$J,"Thales-70")+SUMIFS('Таблиця 1'!$K:$K,'Таблиця 1'!$B:$B,$A541,'Таблиця 1'!$I:$I,"Mi-24",'Таблиця 1'!$J:$J,"Thales-70"))</f>
        <v/>
      </c>
      <c r="L541">
        <f>IF($A541="","",SUMIFS('Таблиця 1'!$K:$K,'Таблиця 1'!$B:$B,$A541,'Таблиця 1'!$I:$I,"Mi-8",'Таблиця 1'!$J:$J,"Thales-FZ")+SUMIFS('Таблиця 1'!$K:$K,'Таблиця 1'!$B:$B,$A541,'Таблиця 1'!$I:$I,"Mi-24",'Таблиця 1'!$J:$J,"Thales-FZ"))</f>
        <v/>
      </c>
      <c r="M541">
        <f>IF($A541="","",SUMIFS('Таблиця 1'!$K:$K,'Таблиця 1'!$B:$B,$A541,'Таблиця 1'!$I:$I,"Mi-8",'Таблиця 1'!$J:$J,"МК-40")+SUMIFS('Таблиця 1'!$K:$K,'Таблиця 1'!$B:$B,$A541,'Таблиця 1'!$I:$I,"Mi-24",'Таблиця 1'!$J:$J,"МК-40"))</f>
        <v/>
      </c>
      <c r="N541">
        <f>IF($A541="","",SUMIFS('Таблиця 1'!$K:$K,'Таблиця 1'!$B:$B,$A541,'Таблиця 1'!$I:$I,"Mi-8",'Таблиця 1'!$J:$J,"Zuni")+SUMIFS('Таблиця 1'!$K:$K,'Таблиця 1'!$B:$B,$A541,'Таблиця 1'!$I:$I,"Mi-24",'Таблиця 1'!$J:$J,"Zuni"))</f>
        <v/>
      </c>
      <c r="O541">
        <f>IF($A541="","",COUNTIFS('Таблиця 1'!$B:$B,$A541,'Таблиця 1'!$I:$I,"Mi-8",'Таблиця 1'!$L:$L,"Уражено")+COUNTIFS('Таблиця 1'!$B:$B,$A541,'Таблиця 1'!$I:$I,"Mi-24",'Таблиця 1'!$L:$L,"Уражено"))</f>
        <v/>
      </c>
      <c r="P541">
        <f>IF($A541="","",COUNTIFS('Таблиця 1'!$B:$B,$A541,'Таблиця 1'!$I:$I,"Mi-8",'Таблиця 1'!$L:$L,"НЕ уражено")+COUNTIFS('Таблиця 1'!$B:$B,$A541,'Таблиця 1'!$I:$I,"Mi-24",'Таблиця 1'!$L:$L,"НЕ уражено"))</f>
        <v/>
      </c>
    </row>
    <row r="542">
      <c r="A542" s="273">
        <f>IF(A541="","",IF(A541+1&gt;MAX('Таблиця 1'!$B:$B),"",A541+1))</f>
        <v/>
      </c>
      <c r="B542">
        <f>IF($A542="","",COUNTIFS('Таблиця 1'!$B:$B,$A542,'Таблиця 1'!$I:$I,"Mi-8")+COUNTIFS('Таблиця 1'!$B:$B,$A542,'Таблиця 1'!$I:$I,"Mi-24"))</f>
        <v/>
      </c>
      <c r="C542">
        <f>IF($A542="","",COUNTIFS('Таблиця 1'!$B:$B,$A542,'Таблиця 1'!$I:$I,"Mi-8"))</f>
        <v/>
      </c>
      <c r="D542">
        <f>IF($A542="","",COUNTIFS('Таблиця 1'!$B:$B,$A542,'Таблиця 1'!$I:$I,"Mi-24"))</f>
        <v/>
      </c>
      <c r="E542">
        <f>IF($A542="","",SUMIFS('Таблиця 1'!$K:$K,'Таблиця 1'!$B:$B,$A542,'Таблиця 1'!$I:$I,"Mi-8",'Таблиця 1'!$J:$J,"ARS-8")+SUMIFS('Таблиця 1'!$K:$K,'Таблиця 1'!$B:$B,$A542,'Таблиця 1'!$I:$I,"Mi-24",'Таблиця 1'!$J:$J,"ARS-8"))</f>
        <v/>
      </c>
      <c r="F542">
        <f>IF($A542="","",SUMIFS('Таблиця 1'!$K:$K,'Таблиця 1'!$B:$B,$A542,'Таблиця 1'!$I:$I,"Mi-8",'Таблиця 1'!$J:$J,"С-8 ком")+SUMIFS('Таблиця 1'!$K:$K,'Таблиця 1'!$B:$B,$A542,'Таблиця 1'!$I:$I,"Mi-24",'Таблиця 1'!$J:$J,"С-8 ком"))</f>
        <v/>
      </c>
      <c r="G542">
        <f>IF($A542="","",SUMIFS('Таблиця 1'!$K:$K,'Таблиця 1'!$B:$B,$A542,'Таблиця 1'!$I:$I,"Mi-8",'Таблиця 1'!$J:$J,"PC-80")+SUMIFS('Таблиця 1'!$K:$K,'Таблиця 1'!$B:$B,$A542,'Таблиця 1'!$I:$I,"Mi-24",'Таблиця 1'!$J:$J,"PC-80"))</f>
        <v/>
      </c>
      <c r="H542">
        <f>IF($A542="","",SUMIFS('Таблиця 1'!$K:$K,'Таблиця 1'!$B:$B,$A542,'Таблиця 1'!$I:$I,"Mi-8",'Таблиця 1'!$J:$J,"UAR-80")+SUMIFS('Таблиця 1'!$K:$K,'Таблиця 1'!$B:$B,$A542,'Таблиця 1'!$I:$I,"Mi-24",'Таблиця 1'!$J:$J,"UAR-80"))</f>
        <v/>
      </c>
      <c r="I542">
        <f>IF($A542="","",SUMIFS('Таблиця 1'!$K:$K,'Таблиця 1'!$B:$B,$A542,'Таблиця 1'!$I:$I,"Mi-8",'Таблиця 1'!$J:$J,"C-13")+SUMIFS('Таблиця 1'!$K:$K,'Таблиця 1'!$B:$B,$A542,'Таблиця 1'!$I:$I,"Mi-24",'Таблиця 1'!$J:$J,"C-13"))</f>
        <v/>
      </c>
      <c r="J542">
        <f>IF($A542="","",SUMIFS('Таблиця 1'!$K:$K,'Таблиця 1'!$B:$B,$A542,'Таблиця 1'!$I:$I,"Mi-8",'Таблиця 1'!$J:$J,"Hydra-70")+SUMIFS('Таблиця 1'!$K:$K,'Таблиця 1'!$B:$B,$A542,'Таблиця 1'!$I:$I,"Mi-24",'Таблиця 1'!$J:$J,"Hydra-70"))</f>
        <v/>
      </c>
      <c r="K542">
        <f>IF($A542="","",SUMIFS('Таблиця 1'!$K:$K,'Таблиця 1'!$B:$B,$A542,'Таблиця 1'!$I:$I,"Mi-8",'Таблиця 1'!$J:$J,"Thales-70")+SUMIFS('Таблиця 1'!$K:$K,'Таблиця 1'!$B:$B,$A542,'Таблиця 1'!$I:$I,"Mi-24",'Таблиця 1'!$J:$J,"Thales-70"))</f>
        <v/>
      </c>
      <c r="L542">
        <f>IF($A542="","",SUMIFS('Таблиця 1'!$K:$K,'Таблиця 1'!$B:$B,$A542,'Таблиця 1'!$I:$I,"Mi-8",'Таблиця 1'!$J:$J,"Thales-FZ")+SUMIFS('Таблиця 1'!$K:$K,'Таблиця 1'!$B:$B,$A542,'Таблиця 1'!$I:$I,"Mi-24",'Таблиця 1'!$J:$J,"Thales-FZ"))</f>
        <v/>
      </c>
      <c r="M542">
        <f>IF($A542="","",SUMIFS('Таблиця 1'!$K:$K,'Таблиця 1'!$B:$B,$A542,'Таблиця 1'!$I:$I,"Mi-8",'Таблиця 1'!$J:$J,"МК-40")+SUMIFS('Таблиця 1'!$K:$K,'Таблиця 1'!$B:$B,$A542,'Таблиця 1'!$I:$I,"Mi-24",'Таблиця 1'!$J:$J,"МК-40"))</f>
        <v/>
      </c>
      <c r="N542">
        <f>IF($A542="","",SUMIFS('Таблиця 1'!$K:$K,'Таблиця 1'!$B:$B,$A542,'Таблиця 1'!$I:$I,"Mi-8",'Таблиця 1'!$J:$J,"Zuni")+SUMIFS('Таблиця 1'!$K:$K,'Таблиця 1'!$B:$B,$A542,'Таблиця 1'!$I:$I,"Mi-24",'Таблиця 1'!$J:$J,"Zuni"))</f>
        <v/>
      </c>
      <c r="O542">
        <f>IF($A542="","",COUNTIFS('Таблиця 1'!$B:$B,$A542,'Таблиця 1'!$I:$I,"Mi-8",'Таблиця 1'!$L:$L,"Уражено")+COUNTIFS('Таблиця 1'!$B:$B,$A542,'Таблиця 1'!$I:$I,"Mi-24",'Таблиця 1'!$L:$L,"Уражено"))</f>
        <v/>
      </c>
      <c r="P542">
        <f>IF($A542="","",COUNTIFS('Таблиця 1'!$B:$B,$A542,'Таблиця 1'!$I:$I,"Mi-8",'Таблиця 1'!$L:$L,"НЕ уражено")+COUNTIFS('Таблиця 1'!$B:$B,$A542,'Таблиця 1'!$I:$I,"Mi-24",'Таблиця 1'!$L:$L,"НЕ уражено"))</f>
        <v/>
      </c>
    </row>
    <row r="543">
      <c r="A543" s="273">
        <f>IF(A542="","",IF(A542+1&gt;MAX('Таблиця 1'!$B:$B),"",A542+1))</f>
        <v/>
      </c>
      <c r="B543">
        <f>IF($A543="","",COUNTIFS('Таблиця 1'!$B:$B,$A543,'Таблиця 1'!$I:$I,"Mi-8")+COUNTIFS('Таблиця 1'!$B:$B,$A543,'Таблиця 1'!$I:$I,"Mi-24"))</f>
        <v/>
      </c>
      <c r="C543">
        <f>IF($A543="","",COUNTIFS('Таблиця 1'!$B:$B,$A543,'Таблиця 1'!$I:$I,"Mi-8"))</f>
        <v/>
      </c>
      <c r="D543">
        <f>IF($A543="","",COUNTIFS('Таблиця 1'!$B:$B,$A543,'Таблиця 1'!$I:$I,"Mi-24"))</f>
        <v/>
      </c>
      <c r="E543">
        <f>IF($A543="","",SUMIFS('Таблиця 1'!$K:$K,'Таблиця 1'!$B:$B,$A543,'Таблиця 1'!$I:$I,"Mi-8",'Таблиця 1'!$J:$J,"ARS-8")+SUMIFS('Таблиця 1'!$K:$K,'Таблиця 1'!$B:$B,$A543,'Таблиця 1'!$I:$I,"Mi-24",'Таблиця 1'!$J:$J,"ARS-8"))</f>
        <v/>
      </c>
      <c r="F543">
        <f>IF($A543="","",SUMIFS('Таблиця 1'!$K:$K,'Таблиця 1'!$B:$B,$A543,'Таблиця 1'!$I:$I,"Mi-8",'Таблиця 1'!$J:$J,"С-8 ком")+SUMIFS('Таблиця 1'!$K:$K,'Таблиця 1'!$B:$B,$A543,'Таблиця 1'!$I:$I,"Mi-24",'Таблиця 1'!$J:$J,"С-8 ком"))</f>
        <v/>
      </c>
      <c r="G543">
        <f>IF($A543="","",SUMIFS('Таблиця 1'!$K:$K,'Таблиця 1'!$B:$B,$A543,'Таблиця 1'!$I:$I,"Mi-8",'Таблиця 1'!$J:$J,"PC-80")+SUMIFS('Таблиця 1'!$K:$K,'Таблиця 1'!$B:$B,$A543,'Таблиця 1'!$I:$I,"Mi-24",'Таблиця 1'!$J:$J,"PC-80"))</f>
        <v/>
      </c>
      <c r="H543">
        <f>IF($A543="","",SUMIFS('Таблиця 1'!$K:$K,'Таблиця 1'!$B:$B,$A543,'Таблиця 1'!$I:$I,"Mi-8",'Таблиця 1'!$J:$J,"UAR-80")+SUMIFS('Таблиця 1'!$K:$K,'Таблиця 1'!$B:$B,$A543,'Таблиця 1'!$I:$I,"Mi-24",'Таблиця 1'!$J:$J,"UAR-80"))</f>
        <v/>
      </c>
      <c r="I543">
        <f>IF($A543="","",SUMIFS('Таблиця 1'!$K:$K,'Таблиця 1'!$B:$B,$A543,'Таблиця 1'!$I:$I,"Mi-8",'Таблиця 1'!$J:$J,"C-13")+SUMIFS('Таблиця 1'!$K:$K,'Таблиця 1'!$B:$B,$A543,'Таблиця 1'!$I:$I,"Mi-24",'Таблиця 1'!$J:$J,"C-13"))</f>
        <v/>
      </c>
      <c r="J543">
        <f>IF($A543="","",SUMIFS('Таблиця 1'!$K:$K,'Таблиця 1'!$B:$B,$A543,'Таблиця 1'!$I:$I,"Mi-8",'Таблиця 1'!$J:$J,"Hydra-70")+SUMIFS('Таблиця 1'!$K:$K,'Таблиця 1'!$B:$B,$A543,'Таблиця 1'!$I:$I,"Mi-24",'Таблиця 1'!$J:$J,"Hydra-70"))</f>
        <v/>
      </c>
      <c r="K543">
        <f>IF($A543="","",SUMIFS('Таблиця 1'!$K:$K,'Таблиця 1'!$B:$B,$A543,'Таблиця 1'!$I:$I,"Mi-8",'Таблиця 1'!$J:$J,"Thales-70")+SUMIFS('Таблиця 1'!$K:$K,'Таблиця 1'!$B:$B,$A543,'Таблиця 1'!$I:$I,"Mi-24",'Таблиця 1'!$J:$J,"Thales-70"))</f>
        <v/>
      </c>
      <c r="L543">
        <f>IF($A543="","",SUMIFS('Таблиця 1'!$K:$K,'Таблиця 1'!$B:$B,$A543,'Таблиця 1'!$I:$I,"Mi-8",'Таблиця 1'!$J:$J,"Thales-FZ")+SUMIFS('Таблиця 1'!$K:$K,'Таблиця 1'!$B:$B,$A543,'Таблиця 1'!$I:$I,"Mi-24",'Таблиця 1'!$J:$J,"Thales-FZ"))</f>
        <v/>
      </c>
      <c r="M543">
        <f>IF($A543="","",SUMIFS('Таблиця 1'!$K:$K,'Таблиця 1'!$B:$B,$A543,'Таблиця 1'!$I:$I,"Mi-8",'Таблиця 1'!$J:$J,"МК-40")+SUMIFS('Таблиця 1'!$K:$K,'Таблиця 1'!$B:$B,$A543,'Таблиця 1'!$I:$I,"Mi-24",'Таблиця 1'!$J:$J,"МК-40"))</f>
        <v/>
      </c>
      <c r="N543">
        <f>IF($A543="","",SUMIFS('Таблиця 1'!$K:$K,'Таблиця 1'!$B:$B,$A543,'Таблиця 1'!$I:$I,"Mi-8",'Таблиця 1'!$J:$J,"Zuni")+SUMIFS('Таблиця 1'!$K:$K,'Таблиця 1'!$B:$B,$A543,'Таблиця 1'!$I:$I,"Mi-24",'Таблиця 1'!$J:$J,"Zuni"))</f>
        <v/>
      </c>
      <c r="O543">
        <f>IF($A543="","",COUNTIFS('Таблиця 1'!$B:$B,$A543,'Таблиця 1'!$I:$I,"Mi-8",'Таблиця 1'!$L:$L,"Уражено")+COUNTIFS('Таблиця 1'!$B:$B,$A543,'Таблиця 1'!$I:$I,"Mi-24",'Таблиця 1'!$L:$L,"Уражено"))</f>
        <v/>
      </c>
      <c r="P543">
        <f>IF($A543="","",COUNTIFS('Таблиця 1'!$B:$B,$A543,'Таблиця 1'!$I:$I,"Mi-8",'Таблиця 1'!$L:$L,"НЕ уражено")+COUNTIFS('Таблиця 1'!$B:$B,$A543,'Таблиця 1'!$I:$I,"Mi-24",'Таблиця 1'!$L:$L,"НЕ уражено"))</f>
        <v/>
      </c>
    </row>
    <row r="544">
      <c r="A544" s="273">
        <f>IF(A543="","",IF(A543+1&gt;MAX('Таблиця 1'!$B:$B),"",A543+1))</f>
        <v/>
      </c>
      <c r="B544">
        <f>IF($A544="","",COUNTIFS('Таблиця 1'!$B:$B,$A544,'Таблиця 1'!$I:$I,"Mi-8")+COUNTIFS('Таблиця 1'!$B:$B,$A544,'Таблиця 1'!$I:$I,"Mi-24"))</f>
        <v/>
      </c>
      <c r="C544">
        <f>IF($A544="","",COUNTIFS('Таблиця 1'!$B:$B,$A544,'Таблиця 1'!$I:$I,"Mi-8"))</f>
        <v/>
      </c>
      <c r="D544">
        <f>IF($A544="","",COUNTIFS('Таблиця 1'!$B:$B,$A544,'Таблиця 1'!$I:$I,"Mi-24"))</f>
        <v/>
      </c>
      <c r="E544">
        <f>IF($A544="","",SUMIFS('Таблиця 1'!$K:$K,'Таблиця 1'!$B:$B,$A544,'Таблиця 1'!$I:$I,"Mi-8",'Таблиця 1'!$J:$J,"ARS-8")+SUMIFS('Таблиця 1'!$K:$K,'Таблиця 1'!$B:$B,$A544,'Таблиця 1'!$I:$I,"Mi-24",'Таблиця 1'!$J:$J,"ARS-8"))</f>
        <v/>
      </c>
      <c r="F544">
        <f>IF($A544="","",SUMIFS('Таблиця 1'!$K:$K,'Таблиця 1'!$B:$B,$A544,'Таблиця 1'!$I:$I,"Mi-8",'Таблиця 1'!$J:$J,"С-8 ком")+SUMIFS('Таблиця 1'!$K:$K,'Таблиця 1'!$B:$B,$A544,'Таблиця 1'!$I:$I,"Mi-24",'Таблиця 1'!$J:$J,"С-8 ком"))</f>
        <v/>
      </c>
      <c r="G544">
        <f>IF($A544="","",SUMIFS('Таблиця 1'!$K:$K,'Таблиця 1'!$B:$B,$A544,'Таблиця 1'!$I:$I,"Mi-8",'Таблиця 1'!$J:$J,"PC-80")+SUMIFS('Таблиця 1'!$K:$K,'Таблиця 1'!$B:$B,$A544,'Таблиця 1'!$I:$I,"Mi-24",'Таблиця 1'!$J:$J,"PC-80"))</f>
        <v/>
      </c>
      <c r="H544">
        <f>IF($A544="","",SUMIFS('Таблиця 1'!$K:$K,'Таблиця 1'!$B:$B,$A544,'Таблиця 1'!$I:$I,"Mi-8",'Таблиця 1'!$J:$J,"UAR-80")+SUMIFS('Таблиця 1'!$K:$K,'Таблиця 1'!$B:$B,$A544,'Таблиця 1'!$I:$I,"Mi-24",'Таблиця 1'!$J:$J,"UAR-80"))</f>
        <v/>
      </c>
      <c r="I544">
        <f>IF($A544="","",SUMIFS('Таблиця 1'!$K:$K,'Таблиця 1'!$B:$B,$A544,'Таблиця 1'!$I:$I,"Mi-8",'Таблиця 1'!$J:$J,"C-13")+SUMIFS('Таблиця 1'!$K:$K,'Таблиця 1'!$B:$B,$A544,'Таблиця 1'!$I:$I,"Mi-24",'Таблиця 1'!$J:$J,"C-13"))</f>
        <v/>
      </c>
      <c r="J544">
        <f>IF($A544="","",SUMIFS('Таблиця 1'!$K:$K,'Таблиця 1'!$B:$B,$A544,'Таблиця 1'!$I:$I,"Mi-8",'Таблиця 1'!$J:$J,"Hydra-70")+SUMIFS('Таблиця 1'!$K:$K,'Таблиця 1'!$B:$B,$A544,'Таблиця 1'!$I:$I,"Mi-24",'Таблиця 1'!$J:$J,"Hydra-70"))</f>
        <v/>
      </c>
      <c r="K544">
        <f>IF($A544="","",SUMIFS('Таблиця 1'!$K:$K,'Таблиця 1'!$B:$B,$A544,'Таблиця 1'!$I:$I,"Mi-8",'Таблиця 1'!$J:$J,"Thales-70")+SUMIFS('Таблиця 1'!$K:$K,'Таблиця 1'!$B:$B,$A544,'Таблиця 1'!$I:$I,"Mi-24",'Таблиця 1'!$J:$J,"Thales-70"))</f>
        <v/>
      </c>
      <c r="L544">
        <f>IF($A544="","",SUMIFS('Таблиця 1'!$K:$K,'Таблиця 1'!$B:$B,$A544,'Таблиця 1'!$I:$I,"Mi-8",'Таблиця 1'!$J:$J,"Thales-FZ")+SUMIFS('Таблиця 1'!$K:$K,'Таблиця 1'!$B:$B,$A544,'Таблиця 1'!$I:$I,"Mi-24",'Таблиця 1'!$J:$J,"Thales-FZ"))</f>
        <v/>
      </c>
      <c r="M544">
        <f>IF($A544="","",SUMIFS('Таблиця 1'!$K:$K,'Таблиця 1'!$B:$B,$A544,'Таблиця 1'!$I:$I,"Mi-8",'Таблиця 1'!$J:$J,"МК-40")+SUMIFS('Таблиця 1'!$K:$K,'Таблиця 1'!$B:$B,$A544,'Таблиця 1'!$I:$I,"Mi-24",'Таблиця 1'!$J:$J,"МК-40"))</f>
        <v/>
      </c>
      <c r="N544">
        <f>IF($A544="","",SUMIFS('Таблиця 1'!$K:$K,'Таблиця 1'!$B:$B,$A544,'Таблиця 1'!$I:$I,"Mi-8",'Таблиця 1'!$J:$J,"Zuni")+SUMIFS('Таблиця 1'!$K:$K,'Таблиця 1'!$B:$B,$A544,'Таблиця 1'!$I:$I,"Mi-24",'Таблиця 1'!$J:$J,"Zuni"))</f>
        <v/>
      </c>
      <c r="O544">
        <f>IF($A544="","",COUNTIFS('Таблиця 1'!$B:$B,$A544,'Таблиця 1'!$I:$I,"Mi-8",'Таблиця 1'!$L:$L,"Уражено")+COUNTIFS('Таблиця 1'!$B:$B,$A544,'Таблиця 1'!$I:$I,"Mi-24",'Таблиця 1'!$L:$L,"Уражено"))</f>
        <v/>
      </c>
      <c r="P544">
        <f>IF($A544="","",COUNTIFS('Таблиця 1'!$B:$B,$A544,'Таблиця 1'!$I:$I,"Mi-8",'Таблиця 1'!$L:$L,"НЕ уражено")+COUNTIFS('Таблиця 1'!$B:$B,$A544,'Таблиця 1'!$I:$I,"Mi-24",'Таблиця 1'!$L:$L,"НЕ уражено"))</f>
        <v/>
      </c>
    </row>
    <row r="545">
      <c r="A545" s="273">
        <f>IF(A544="","",IF(A544+1&gt;MAX('Таблиця 1'!$B:$B),"",A544+1))</f>
        <v/>
      </c>
      <c r="B545">
        <f>IF($A545="","",COUNTIFS('Таблиця 1'!$B:$B,$A545,'Таблиця 1'!$I:$I,"Mi-8")+COUNTIFS('Таблиця 1'!$B:$B,$A545,'Таблиця 1'!$I:$I,"Mi-24"))</f>
        <v/>
      </c>
      <c r="C545">
        <f>IF($A545="","",COUNTIFS('Таблиця 1'!$B:$B,$A545,'Таблиця 1'!$I:$I,"Mi-8"))</f>
        <v/>
      </c>
      <c r="D545">
        <f>IF($A545="","",COUNTIFS('Таблиця 1'!$B:$B,$A545,'Таблиця 1'!$I:$I,"Mi-24"))</f>
        <v/>
      </c>
      <c r="E545">
        <f>IF($A545="","",SUMIFS('Таблиця 1'!$K:$K,'Таблиця 1'!$B:$B,$A545,'Таблиця 1'!$I:$I,"Mi-8",'Таблиця 1'!$J:$J,"ARS-8")+SUMIFS('Таблиця 1'!$K:$K,'Таблиця 1'!$B:$B,$A545,'Таблиця 1'!$I:$I,"Mi-24",'Таблиця 1'!$J:$J,"ARS-8"))</f>
        <v/>
      </c>
      <c r="F545">
        <f>IF($A545="","",SUMIFS('Таблиця 1'!$K:$K,'Таблиця 1'!$B:$B,$A545,'Таблиця 1'!$I:$I,"Mi-8",'Таблиця 1'!$J:$J,"С-8 ком")+SUMIFS('Таблиця 1'!$K:$K,'Таблиця 1'!$B:$B,$A545,'Таблиця 1'!$I:$I,"Mi-24",'Таблиця 1'!$J:$J,"С-8 ком"))</f>
        <v/>
      </c>
      <c r="G545">
        <f>IF($A545="","",SUMIFS('Таблиця 1'!$K:$K,'Таблиця 1'!$B:$B,$A545,'Таблиця 1'!$I:$I,"Mi-8",'Таблиця 1'!$J:$J,"PC-80")+SUMIFS('Таблиця 1'!$K:$K,'Таблиця 1'!$B:$B,$A545,'Таблиця 1'!$I:$I,"Mi-24",'Таблиця 1'!$J:$J,"PC-80"))</f>
        <v/>
      </c>
      <c r="H545">
        <f>IF($A545="","",SUMIFS('Таблиця 1'!$K:$K,'Таблиця 1'!$B:$B,$A545,'Таблиця 1'!$I:$I,"Mi-8",'Таблиця 1'!$J:$J,"UAR-80")+SUMIFS('Таблиця 1'!$K:$K,'Таблиця 1'!$B:$B,$A545,'Таблиця 1'!$I:$I,"Mi-24",'Таблиця 1'!$J:$J,"UAR-80"))</f>
        <v/>
      </c>
      <c r="I545">
        <f>IF($A545="","",SUMIFS('Таблиця 1'!$K:$K,'Таблиця 1'!$B:$B,$A545,'Таблиця 1'!$I:$I,"Mi-8",'Таблиця 1'!$J:$J,"C-13")+SUMIFS('Таблиця 1'!$K:$K,'Таблиця 1'!$B:$B,$A545,'Таблиця 1'!$I:$I,"Mi-24",'Таблиця 1'!$J:$J,"C-13"))</f>
        <v/>
      </c>
      <c r="J545">
        <f>IF($A545="","",SUMIFS('Таблиця 1'!$K:$K,'Таблиця 1'!$B:$B,$A545,'Таблиця 1'!$I:$I,"Mi-8",'Таблиця 1'!$J:$J,"Hydra-70")+SUMIFS('Таблиця 1'!$K:$K,'Таблиця 1'!$B:$B,$A545,'Таблиця 1'!$I:$I,"Mi-24",'Таблиця 1'!$J:$J,"Hydra-70"))</f>
        <v/>
      </c>
      <c r="K545">
        <f>IF($A545="","",SUMIFS('Таблиця 1'!$K:$K,'Таблиця 1'!$B:$B,$A545,'Таблиця 1'!$I:$I,"Mi-8",'Таблиця 1'!$J:$J,"Thales-70")+SUMIFS('Таблиця 1'!$K:$K,'Таблиця 1'!$B:$B,$A545,'Таблиця 1'!$I:$I,"Mi-24",'Таблиця 1'!$J:$J,"Thales-70"))</f>
        <v/>
      </c>
      <c r="L545">
        <f>IF($A545="","",SUMIFS('Таблиця 1'!$K:$K,'Таблиця 1'!$B:$B,$A545,'Таблиця 1'!$I:$I,"Mi-8",'Таблиця 1'!$J:$J,"Thales-FZ")+SUMIFS('Таблиця 1'!$K:$K,'Таблиця 1'!$B:$B,$A545,'Таблиця 1'!$I:$I,"Mi-24",'Таблиця 1'!$J:$J,"Thales-FZ"))</f>
        <v/>
      </c>
      <c r="M545">
        <f>IF($A545="","",SUMIFS('Таблиця 1'!$K:$K,'Таблиця 1'!$B:$B,$A545,'Таблиця 1'!$I:$I,"Mi-8",'Таблиця 1'!$J:$J,"МК-40")+SUMIFS('Таблиця 1'!$K:$K,'Таблиця 1'!$B:$B,$A545,'Таблиця 1'!$I:$I,"Mi-24",'Таблиця 1'!$J:$J,"МК-40"))</f>
        <v/>
      </c>
      <c r="N545">
        <f>IF($A545="","",SUMIFS('Таблиця 1'!$K:$K,'Таблиця 1'!$B:$B,$A545,'Таблиця 1'!$I:$I,"Mi-8",'Таблиця 1'!$J:$J,"Zuni")+SUMIFS('Таблиця 1'!$K:$K,'Таблиця 1'!$B:$B,$A545,'Таблиця 1'!$I:$I,"Mi-24",'Таблиця 1'!$J:$J,"Zuni"))</f>
        <v/>
      </c>
      <c r="O545">
        <f>IF($A545="","",COUNTIFS('Таблиця 1'!$B:$B,$A545,'Таблиця 1'!$I:$I,"Mi-8",'Таблиця 1'!$L:$L,"Уражено")+COUNTIFS('Таблиця 1'!$B:$B,$A545,'Таблиця 1'!$I:$I,"Mi-24",'Таблиця 1'!$L:$L,"Уражено"))</f>
        <v/>
      </c>
      <c r="P545">
        <f>IF($A545="","",COUNTIFS('Таблиця 1'!$B:$B,$A545,'Таблиця 1'!$I:$I,"Mi-8",'Таблиця 1'!$L:$L,"НЕ уражено")+COUNTIFS('Таблиця 1'!$B:$B,$A545,'Таблиця 1'!$I:$I,"Mi-24",'Таблиця 1'!$L:$L,"НЕ уражено"))</f>
        <v/>
      </c>
    </row>
    <row r="546">
      <c r="A546" s="273">
        <f>IF(A545="","",IF(A545+1&gt;MAX('Таблиця 1'!$B:$B),"",A545+1))</f>
        <v/>
      </c>
      <c r="B546">
        <f>IF($A546="","",COUNTIFS('Таблиця 1'!$B:$B,$A546,'Таблиця 1'!$I:$I,"Mi-8")+COUNTIFS('Таблиця 1'!$B:$B,$A546,'Таблиця 1'!$I:$I,"Mi-24"))</f>
        <v/>
      </c>
      <c r="C546">
        <f>IF($A546="","",COUNTIFS('Таблиця 1'!$B:$B,$A546,'Таблиця 1'!$I:$I,"Mi-8"))</f>
        <v/>
      </c>
      <c r="D546">
        <f>IF($A546="","",COUNTIFS('Таблиця 1'!$B:$B,$A546,'Таблиця 1'!$I:$I,"Mi-24"))</f>
        <v/>
      </c>
      <c r="E546">
        <f>IF($A546="","",SUMIFS('Таблиця 1'!$K:$K,'Таблиця 1'!$B:$B,$A546,'Таблиця 1'!$I:$I,"Mi-8",'Таблиця 1'!$J:$J,"ARS-8")+SUMIFS('Таблиця 1'!$K:$K,'Таблиця 1'!$B:$B,$A546,'Таблиця 1'!$I:$I,"Mi-24",'Таблиця 1'!$J:$J,"ARS-8"))</f>
        <v/>
      </c>
      <c r="F546">
        <f>IF($A546="","",SUMIFS('Таблиця 1'!$K:$K,'Таблиця 1'!$B:$B,$A546,'Таблиця 1'!$I:$I,"Mi-8",'Таблиця 1'!$J:$J,"С-8 ком")+SUMIFS('Таблиця 1'!$K:$K,'Таблиця 1'!$B:$B,$A546,'Таблиця 1'!$I:$I,"Mi-24",'Таблиця 1'!$J:$J,"С-8 ком"))</f>
        <v/>
      </c>
      <c r="G546">
        <f>IF($A546="","",SUMIFS('Таблиця 1'!$K:$K,'Таблиця 1'!$B:$B,$A546,'Таблиця 1'!$I:$I,"Mi-8",'Таблиця 1'!$J:$J,"PC-80")+SUMIFS('Таблиця 1'!$K:$K,'Таблиця 1'!$B:$B,$A546,'Таблиця 1'!$I:$I,"Mi-24",'Таблиця 1'!$J:$J,"PC-80"))</f>
        <v/>
      </c>
      <c r="H546">
        <f>IF($A546="","",SUMIFS('Таблиця 1'!$K:$K,'Таблиця 1'!$B:$B,$A546,'Таблиця 1'!$I:$I,"Mi-8",'Таблиця 1'!$J:$J,"UAR-80")+SUMIFS('Таблиця 1'!$K:$K,'Таблиця 1'!$B:$B,$A546,'Таблиця 1'!$I:$I,"Mi-24",'Таблиця 1'!$J:$J,"UAR-80"))</f>
        <v/>
      </c>
      <c r="I546">
        <f>IF($A546="","",SUMIFS('Таблиця 1'!$K:$K,'Таблиця 1'!$B:$B,$A546,'Таблиця 1'!$I:$I,"Mi-8",'Таблиця 1'!$J:$J,"C-13")+SUMIFS('Таблиця 1'!$K:$K,'Таблиця 1'!$B:$B,$A546,'Таблиця 1'!$I:$I,"Mi-24",'Таблиця 1'!$J:$J,"C-13"))</f>
        <v/>
      </c>
      <c r="J546">
        <f>IF($A546="","",SUMIFS('Таблиця 1'!$K:$K,'Таблиця 1'!$B:$B,$A546,'Таблиця 1'!$I:$I,"Mi-8",'Таблиця 1'!$J:$J,"Hydra-70")+SUMIFS('Таблиця 1'!$K:$K,'Таблиця 1'!$B:$B,$A546,'Таблиця 1'!$I:$I,"Mi-24",'Таблиця 1'!$J:$J,"Hydra-70"))</f>
        <v/>
      </c>
      <c r="K546">
        <f>IF($A546="","",SUMIFS('Таблиця 1'!$K:$K,'Таблиця 1'!$B:$B,$A546,'Таблиця 1'!$I:$I,"Mi-8",'Таблиця 1'!$J:$J,"Thales-70")+SUMIFS('Таблиця 1'!$K:$K,'Таблиця 1'!$B:$B,$A546,'Таблиця 1'!$I:$I,"Mi-24",'Таблиця 1'!$J:$J,"Thales-70"))</f>
        <v/>
      </c>
      <c r="L546">
        <f>IF($A546="","",SUMIFS('Таблиця 1'!$K:$K,'Таблиця 1'!$B:$B,$A546,'Таблиця 1'!$I:$I,"Mi-8",'Таблиця 1'!$J:$J,"Thales-FZ")+SUMIFS('Таблиця 1'!$K:$K,'Таблиця 1'!$B:$B,$A546,'Таблиця 1'!$I:$I,"Mi-24",'Таблиця 1'!$J:$J,"Thales-FZ"))</f>
        <v/>
      </c>
      <c r="M546">
        <f>IF($A546="","",SUMIFS('Таблиця 1'!$K:$K,'Таблиця 1'!$B:$B,$A546,'Таблиця 1'!$I:$I,"Mi-8",'Таблиця 1'!$J:$J,"МК-40")+SUMIFS('Таблиця 1'!$K:$K,'Таблиця 1'!$B:$B,$A546,'Таблиця 1'!$I:$I,"Mi-24",'Таблиця 1'!$J:$J,"МК-40"))</f>
        <v/>
      </c>
      <c r="N546">
        <f>IF($A546="","",SUMIFS('Таблиця 1'!$K:$K,'Таблиця 1'!$B:$B,$A546,'Таблиця 1'!$I:$I,"Mi-8",'Таблиця 1'!$J:$J,"Zuni")+SUMIFS('Таблиця 1'!$K:$K,'Таблиця 1'!$B:$B,$A546,'Таблиця 1'!$I:$I,"Mi-24",'Таблиця 1'!$J:$J,"Zuni"))</f>
        <v/>
      </c>
      <c r="O546">
        <f>IF($A546="","",COUNTIFS('Таблиця 1'!$B:$B,$A546,'Таблиця 1'!$I:$I,"Mi-8",'Таблиця 1'!$L:$L,"Уражено")+COUNTIFS('Таблиця 1'!$B:$B,$A546,'Таблиця 1'!$I:$I,"Mi-24",'Таблиця 1'!$L:$L,"Уражено"))</f>
        <v/>
      </c>
      <c r="P546">
        <f>IF($A546="","",COUNTIFS('Таблиця 1'!$B:$B,$A546,'Таблиця 1'!$I:$I,"Mi-8",'Таблиця 1'!$L:$L,"НЕ уражено")+COUNTIFS('Таблиця 1'!$B:$B,$A546,'Таблиця 1'!$I:$I,"Mi-24",'Таблиця 1'!$L:$L,"НЕ уражено"))</f>
        <v/>
      </c>
    </row>
    <row r="547">
      <c r="A547" s="273">
        <f>IF(A546="","",IF(A546+1&gt;MAX('Таблиця 1'!$B:$B),"",A546+1))</f>
        <v/>
      </c>
      <c r="B547">
        <f>IF($A547="","",COUNTIFS('Таблиця 1'!$B:$B,$A547,'Таблиця 1'!$I:$I,"Mi-8")+COUNTIFS('Таблиця 1'!$B:$B,$A547,'Таблиця 1'!$I:$I,"Mi-24"))</f>
        <v/>
      </c>
      <c r="C547">
        <f>IF($A547="","",COUNTIFS('Таблиця 1'!$B:$B,$A547,'Таблиця 1'!$I:$I,"Mi-8"))</f>
        <v/>
      </c>
      <c r="D547">
        <f>IF($A547="","",COUNTIFS('Таблиця 1'!$B:$B,$A547,'Таблиця 1'!$I:$I,"Mi-24"))</f>
        <v/>
      </c>
      <c r="E547">
        <f>IF($A547="","",SUMIFS('Таблиця 1'!$K:$K,'Таблиця 1'!$B:$B,$A547,'Таблиця 1'!$I:$I,"Mi-8",'Таблиця 1'!$J:$J,"ARS-8")+SUMIFS('Таблиця 1'!$K:$K,'Таблиця 1'!$B:$B,$A547,'Таблиця 1'!$I:$I,"Mi-24",'Таблиця 1'!$J:$J,"ARS-8"))</f>
        <v/>
      </c>
      <c r="F547">
        <f>IF($A547="","",SUMIFS('Таблиця 1'!$K:$K,'Таблиця 1'!$B:$B,$A547,'Таблиця 1'!$I:$I,"Mi-8",'Таблиця 1'!$J:$J,"С-8 ком")+SUMIFS('Таблиця 1'!$K:$K,'Таблиця 1'!$B:$B,$A547,'Таблиця 1'!$I:$I,"Mi-24",'Таблиця 1'!$J:$J,"С-8 ком"))</f>
        <v/>
      </c>
      <c r="G547">
        <f>IF($A547="","",SUMIFS('Таблиця 1'!$K:$K,'Таблиця 1'!$B:$B,$A547,'Таблиця 1'!$I:$I,"Mi-8",'Таблиця 1'!$J:$J,"PC-80")+SUMIFS('Таблиця 1'!$K:$K,'Таблиця 1'!$B:$B,$A547,'Таблиця 1'!$I:$I,"Mi-24",'Таблиця 1'!$J:$J,"PC-80"))</f>
        <v/>
      </c>
      <c r="H547">
        <f>IF($A547="","",SUMIFS('Таблиця 1'!$K:$K,'Таблиця 1'!$B:$B,$A547,'Таблиця 1'!$I:$I,"Mi-8",'Таблиця 1'!$J:$J,"UAR-80")+SUMIFS('Таблиця 1'!$K:$K,'Таблиця 1'!$B:$B,$A547,'Таблиця 1'!$I:$I,"Mi-24",'Таблиця 1'!$J:$J,"UAR-80"))</f>
        <v/>
      </c>
      <c r="I547">
        <f>IF($A547="","",SUMIFS('Таблиця 1'!$K:$K,'Таблиця 1'!$B:$B,$A547,'Таблиця 1'!$I:$I,"Mi-8",'Таблиця 1'!$J:$J,"C-13")+SUMIFS('Таблиця 1'!$K:$K,'Таблиця 1'!$B:$B,$A547,'Таблиця 1'!$I:$I,"Mi-24",'Таблиця 1'!$J:$J,"C-13"))</f>
        <v/>
      </c>
      <c r="J547">
        <f>IF($A547="","",SUMIFS('Таблиця 1'!$K:$K,'Таблиця 1'!$B:$B,$A547,'Таблиця 1'!$I:$I,"Mi-8",'Таблиця 1'!$J:$J,"Hydra-70")+SUMIFS('Таблиця 1'!$K:$K,'Таблиця 1'!$B:$B,$A547,'Таблиця 1'!$I:$I,"Mi-24",'Таблиця 1'!$J:$J,"Hydra-70"))</f>
        <v/>
      </c>
      <c r="K547">
        <f>IF($A547="","",SUMIFS('Таблиця 1'!$K:$K,'Таблиця 1'!$B:$B,$A547,'Таблиця 1'!$I:$I,"Mi-8",'Таблиця 1'!$J:$J,"Thales-70")+SUMIFS('Таблиця 1'!$K:$K,'Таблиця 1'!$B:$B,$A547,'Таблиця 1'!$I:$I,"Mi-24",'Таблиця 1'!$J:$J,"Thales-70"))</f>
        <v/>
      </c>
      <c r="L547">
        <f>IF($A547="","",SUMIFS('Таблиця 1'!$K:$K,'Таблиця 1'!$B:$B,$A547,'Таблиця 1'!$I:$I,"Mi-8",'Таблиця 1'!$J:$J,"Thales-FZ")+SUMIFS('Таблиця 1'!$K:$K,'Таблиця 1'!$B:$B,$A547,'Таблиця 1'!$I:$I,"Mi-24",'Таблиця 1'!$J:$J,"Thales-FZ"))</f>
        <v/>
      </c>
      <c r="M547">
        <f>IF($A547="","",SUMIFS('Таблиця 1'!$K:$K,'Таблиця 1'!$B:$B,$A547,'Таблиця 1'!$I:$I,"Mi-8",'Таблиця 1'!$J:$J,"МК-40")+SUMIFS('Таблиця 1'!$K:$K,'Таблиця 1'!$B:$B,$A547,'Таблиця 1'!$I:$I,"Mi-24",'Таблиця 1'!$J:$J,"МК-40"))</f>
        <v/>
      </c>
      <c r="N547">
        <f>IF($A547="","",SUMIFS('Таблиця 1'!$K:$K,'Таблиця 1'!$B:$B,$A547,'Таблиця 1'!$I:$I,"Mi-8",'Таблиця 1'!$J:$J,"Zuni")+SUMIFS('Таблиця 1'!$K:$K,'Таблиця 1'!$B:$B,$A547,'Таблиця 1'!$I:$I,"Mi-24",'Таблиця 1'!$J:$J,"Zuni"))</f>
        <v/>
      </c>
      <c r="O547">
        <f>IF($A547="","",COUNTIFS('Таблиця 1'!$B:$B,$A547,'Таблиця 1'!$I:$I,"Mi-8",'Таблиця 1'!$L:$L,"Уражено")+COUNTIFS('Таблиця 1'!$B:$B,$A547,'Таблиця 1'!$I:$I,"Mi-24",'Таблиця 1'!$L:$L,"Уражено"))</f>
        <v/>
      </c>
      <c r="P547">
        <f>IF($A547="","",COUNTIFS('Таблиця 1'!$B:$B,$A547,'Таблиця 1'!$I:$I,"Mi-8",'Таблиця 1'!$L:$L,"НЕ уражено")+COUNTIFS('Таблиця 1'!$B:$B,$A547,'Таблиця 1'!$I:$I,"Mi-24",'Таблиця 1'!$L:$L,"НЕ уражено"))</f>
        <v/>
      </c>
    </row>
    <row r="548">
      <c r="A548" s="273">
        <f>IF(A547="","",IF(A547+1&gt;MAX('Таблиця 1'!$B:$B),"",A547+1))</f>
        <v/>
      </c>
      <c r="B548">
        <f>IF($A548="","",COUNTIFS('Таблиця 1'!$B:$B,$A548,'Таблиця 1'!$I:$I,"Mi-8")+COUNTIFS('Таблиця 1'!$B:$B,$A548,'Таблиця 1'!$I:$I,"Mi-24"))</f>
        <v/>
      </c>
      <c r="C548">
        <f>IF($A548="","",COUNTIFS('Таблиця 1'!$B:$B,$A548,'Таблиця 1'!$I:$I,"Mi-8"))</f>
        <v/>
      </c>
      <c r="D548">
        <f>IF($A548="","",COUNTIFS('Таблиця 1'!$B:$B,$A548,'Таблиця 1'!$I:$I,"Mi-24"))</f>
        <v/>
      </c>
      <c r="E548">
        <f>IF($A548="","",SUMIFS('Таблиця 1'!$K:$K,'Таблиця 1'!$B:$B,$A548,'Таблиця 1'!$I:$I,"Mi-8",'Таблиця 1'!$J:$J,"ARS-8")+SUMIFS('Таблиця 1'!$K:$K,'Таблиця 1'!$B:$B,$A548,'Таблиця 1'!$I:$I,"Mi-24",'Таблиця 1'!$J:$J,"ARS-8"))</f>
        <v/>
      </c>
      <c r="F548">
        <f>IF($A548="","",SUMIFS('Таблиця 1'!$K:$K,'Таблиця 1'!$B:$B,$A548,'Таблиця 1'!$I:$I,"Mi-8",'Таблиця 1'!$J:$J,"С-8 ком")+SUMIFS('Таблиця 1'!$K:$K,'Таблиця 1'!$B:$B,$A548,'Таблиця 1'!$I:$I,"Mi-24",'Таблиця 1'!$J:$J,"С-8 ком"))</f>
        <v/>
      </c>
      <c r="G548">
        <f>IF($A548="","",SUMIFS('Таблиця 1'!$K:$K,'Таблиця 1'!$B:$B,$A548,'Таблиця 1'!$I:$I,"Mi-8",'Таблиця 1'!$J:$J,"PC-80")+SUMIFS('Таблиця 1'!$K:$K,'Таблиця 1'!$B:$B,$A548,'Таблиця 1'!$I:$I,"Mi-24",'Таблиця 1'!$J:$J,"PC-80"))</f>
        <v/>
      </c>
      <c r="H548">
        <f>IF($A548="","",SUMIFS('Таблиця 1'!$K:$K,'Таблиця 1'!$B:$B,$A548,'Таблиця 1'!$I:$I,"Mi-8",'Таблиця 1'!$J:$J,"UAR-80")+SUMIFS('Таблиця 1'!$K:$K,'Таблиця 1'!$B:$B,$A548,'Таблиця 1'!$I:$I,"Mi-24",'Таблиця 1'!$J:$J,"UAR-80"))</f>
        <v/>
      </c>
      <c r="I548">
        <f>IF($A548="","",SUMIFS('Таблиця 1'!$K:$K,'Таблиця 1'!$B:$B,$A548,'Таблиця 1'!$I:$I,"Mi-8",'Таблиця 1'!$J:$J,"C-13")+SUMIFS('Таблиця 1'!$K:$K,'Таблиця 1'!$B:$B,$A548,'Таблиця 1'!$I:$I,"Mi-24",'Таблиця 1'!$J:$J,"C-13"))</f>
        <v/>
      </c>
      <c r="J548">
        <f>IF($A548="","",SUMIFS('Таблиця 1'!$K:$K,'Таблиця 1'!$B:$B,$A548,'Таблиця 1'!$I:$I,"Mi-8",'Таблиця 1'!$J:$J,"Hydra-70")+SUMIFS('Таблиця 1'!$K:$K,'Таблиця 1'!$B:$B,$A548,'Таблиця 1'!$I:$I,"Mi-24",'Таблиця 1'!$J:$J,"Hydra-70"))</f>
        <v/>
      </c>
      <c r="K548">
        <f>IF($A548="","",SUMIFS('Таблиця 1'!$K:$K,'Таблиця 1'!$B:$B,$A548,'Таблиця 1'!$I:$I,"Mi-8",'Таблиця 1'!$J:$J,"Thales-70")+SUMIFS('Таблиця 1'!$K:$K,'Таблиця 1'!$B:$B,$A548,'Таблиця 1'!$I:$I,"Mi-24",'Таблиця 1'!$J:$J,"Thales-70"))</f>
        <v/>
      </c>
      <c r="L548">
        <f>IF($A548="","",SUMIFS('Таблиця 1'!$K:$K,'Таблиця 1'!$B:$B,$A548,'Таблиця 1'!$I:$I,"Mi-8",'Таблиця 1'!$J:$J,"Thales-FZ")+SUMIFS('Таблиця 1'!$K:$K,'Таблиця 1'!$B:$B,$A548,'Таблиця 1'!$I:$I,"Mi-24",'Таблиця 1'!$J:$J,"Thales-FZ"))</f>
        <v/>
      </c>
      <c r="M548">
        <f>IF($A548="","",SUMIFS('Таблиця 1'!$K:$K,'Таблиця 1'!$B:$B,$A548,'Таблиця 1'!$I:$I,"Mi-8",'Таблиця 1'!$J:$J,"МК-40")+SUMIFS('Таблиця 1'!$K:$K,'Таблиця 1'!$B:$B,$A548,'Таблиця 1'!$I:$I,"Mi-24",'Таблиця 1'!$J:$J,"МК-40"))</f>
        <v/>
      </c>
      <c r="N548">
        <f>IF($A548="","",SUMIFS('Таблиця 1'!$K:$K,'Таблиця 1'!$B:$B,$A548,'Таблиця 1'!$I:$I,"Mi-8",'Таблиця 1'!$J:$J,"Zuni")+SUMIFS('Таблиця 1'!$K:$K,'Таблиця 1'!$B:$B,$A548,'Таблиця 1'!$I:$I,"Mi-24",'Таблиця 1'!$J:$J,"Zuni"))</f>
        <v/>
      </c>
      <c r="O548">
        <f>IF($A548="","",COUNTIFS('Таблиця 1'!$B:$B,$A548,'Таблиця 1'!$I:$I,"Mi-8",'Таблиця 1'!$L:$L,"Уражено")+COUNTIFS('Таблиця 1'!$B:$B,$A548,'Таблиця 1'!$I:$I,"Mi-24",'Таблиця 1'!$L:$L,"Уражено"))</f>
        <v/>
      </c>
      <c r="P548">
        <f>IF($A548="","",COUNTIFS('Таблиця 1'!$B:$B,$A548,'Таблиця 1'!$I:$I,"Mi-8",'Таблиця 1'!$L:$L,"НЕ уражено")+COUNTIFS('Таблиця 1'!$B:$B,$A548,'Таблиця 1'!$I:$I,"Mi-24",'Таблиця 1'!$L:$L,"НЕ уражено"))</f>
        <v/>
      </c>
    </row>
    <row r="549">
      <c r="A549" s="273">
        <f>IF(A548="","",IF(A548+1&gt;MAX('Таблиця 1'!$B:$B),"",A548+1))</f>
        <v/>
      </c>
      <c r="B549">
        <f>IF($A549="","",COUNTIFS('Таблиця 1'!$B:$B,$A549,'Таблиця 1'!$I:$I,"Mi-8")+COUNTIFS('Таблиця 1'!$B:$B,$A549,'Таблиця 1'!$I:$I,"Mi-24"))</f>
        <v/>
      </c>
      <c r="C549">
        <f>IF($A549="","",COUNTIFS('Таблиця 1'!$B:$B,$A549,'Таблиця 1'!$I:$I,"Mi-8"))</f>
        <v/>
      </c>
      <c r="D549">
        <f>IF($A549="","",COUNTIFS('Таблиця 1'!$B:$B,$A549,'Таблиця 1'!$I:$I,"Mi-24"))</f>
        <v/>
      </c>
      <c r="E549">
        <f>IF($A549="","",SUMIFS('Таблиця 1'!$K:$K,'Таблиця 1'!$B:$B,$A549,'Таблиця 1'!$I:$I,"Mi-8",'Таблиця 1'!$J:$J,"ARS-8")+SUMIFS('Таблиця 1'!$K:$K,'Таблиця 1'!$B:$B,$A549,'Таблиця 1'!$I:$I,"Mi-24",'Таблиця 1'!$J:$J,"ARS-8"))</f>
        <v/>
      </c>
      <c r="F549">
        <f>IF($A549="","",SUMIFS('Таблиця 1'!$K:$K,'Таблиця 1'!$B:$B,$A549,'Таблиця 1'!$I:$I,"Mi-8",'Таблиця 1'!$J:$J,"С-8 ком")+SUMIFS('Таблиця 1'!$K:$K,'Таблиця 1'!$B:$B,$A549,'Таблиця 1'!$I:$I,"Mi-24",'Таблиця 1'!$J:$J,"С-8 ком"))</f>
        <v/>
      </c>
      <c r="G549">
        <f>IF($A549="","",SUMIFS('Таблиця 1'!$K:$K,'Таблиця 1'!$B:$B,$A549,'Таблиця 1'!$I:$I,"Mi-8",'Таблиця 1'!$J:$J,"PC-80")+SUMIFS('Таблиця 1'!$K:$K,'Таблиця 1'!$B:$B,$A549,'Таблиця 1'!$I:$I,"Mi-24",'Таблиця 1'!$J:$J,"PC-80"))</f>
        <v/>
      </c>
      <c r="H549">
        <f>IF($A549="","",SUMIFS('Таблиця 1'!$K:$K,'Таблиця 1'!$B:$B,$A549,'Таблиця 1'!$I:$I,"Mi-8",'Таблиця 1'!$J:$J,"UAR-80")+SUMIFS('Таблиця 1'!$K:$K,'Таблиця 1'!$B:$B,$A549,'Таблиця 1'!$I:$I,"Mi-24",'Таблиця 1'!$J:$J,"UAR-80"))</f>
        <v/>
      </c>
      <c r="I549">
        <f>IF($A549="","",SUMIFS('Таблиця 1'!$K:$K,'Таблиця 1'!$B:$B,$A549,'Таблиця 1'!$I:$I,"Mi-8",'Таблиця 1'!$J:$J,"C-13")+SUMIFS('Таблиця 1'!$K:$K,'Таблиця 1'!$B:$B,$A549,'Таблиця 1'!$I:$I,"Mi-24",'Таблиця 1'!$J:$J,"C-13"))</f>
        <v/>
      </c>
      <c r="J549">
        <f>IF($A549="","",SUMIFS('Таблиця 1'!$K:$K,'Таблиця 1'!$B:$B,$A549,'Таблиця 1'!$I:$I,"Mi-8",'Таблиця 1'!$J:$J,"Hydra-70")+SUMIFS('Таблиця 1'!$K:$K,'Таблиця 1'!$B:$B,$A549,'Таблиця 1'!$I:$I,"Mi-24",'Таблиця 1'!$J:$J,"Hydra-70"))</f>
        <v/>
      </c>
      <c r="K549">
        <f>IF($A549="","",SUMIFS('Таблиця 1'!$K:$K,'Таблиця 1'!$B:$B,$A549,'Таблиця 1'!$I:$I,"Mi-8",'Таблиця 1'!$J:$J,"Thales-70")+SUMIFS('Таблиця 1'!$K:$K,'Таблиця 1'!$B:$B,$A549,'Таблиця 1'!$I:$I,"Mi-24",'Таблиця 1'!$J:$J,"Thales-70"))</f>
        <v/>
      </c>
      <c r="L549">
        <f>IF($A549="","",SUMIFS('Таблиця 1'!$K:$K,'Таблиця 1'!$B:$B,$A549,'Таблиця 1'!$I:$I,"Mi-8",'Таблиця 1'!$J:$J,"Thales-FZ")+SUMIFS('Таблиця 1'!$K:$K,'Таблиця 1'!$B:$B,$A549,'Таблиця 1'!$I:$I,"Mi-24",'Таблиця 1'!$J:$J,"Thales-FZ"))</f>
        <v/>
      </c>
      <c r="M549">
        <f>IF($A549="","",SUMIFS('Таблиця 1'!$K:$K,'Таблиця 1'!$B:$B,$A549,'Таблиця 1'!$I:$I,"Mi-8",'Таблиця 1'!$J:$J,"МК-40")+SUMIFS('Таблиця 1'!$K:$K,'Таблиця 1'!$B:$B,$A549,'Таблиця 1'!$I:$I,"Mi-24",'Таблиця 1'!$J:$J,"МК-40"))</f>
        <v/>
      </c>
      <c r="N549">
        <f>IF($A549="","",SUMIFS('Таблиця 1'!$K:$K,'Таблиця 1'!$B:$B,$A549,'Таблиця 1'!$I:$I,"Mi-8",'Таблиця 1'!$J:$J,"Zuni")+SUMIFS('Таблиця 1'!$K:$K,'Таблиця 1'!$B:$B,$A549,'Таблиця 1'!$I:$I,"Mi-24",'Таблиця 1'!$J:$J,"Zuni"))</f>
        <v/>
      </c>
      <c r="O549">
        <f>IF($A549="","",COUNTIFS('Таблиця 1'!$B:$B,$A549,'Таблиця 1'!$I:$I,"Mi-8",'Таблиця 1'!$L:$L,"Уражено")+COUNTIFS('Таблиця 1'!$B:$B,$A549,'Таблиця 1'!$I:$I,"Mi-24",'Таблиця 1'!$L:$L,"Уражено"))</f>
        <v/>
      </c>
      <c r="P549">
        <f>IF($A549="","",COUNTIFS('Таблиця 1'!$B:$B,$A549,'Таблиця 1'!$I:$I,"Mi-8",'Таблиця 1'!$L:$L,"НЕ уражено")+COUNTIFS('Таблиця 1'!$B:$B,$A549,'Таблиця 1'!$I:$I,"Mi-24",'Таблиця 1'!$L:$L,"НЕ уражено"))</f>
        <v/>
      </c>
    </row>
    <row r="550">
      <c r="A550" s="273">
        <f>IF(A549="","",IF(A549+1&gt;MAX('Таблиця 1'!$B:$B),"",A549+1))</f>
        <v/>
      </c>
      <c r="B550">
        <f>IF($A550="","",COUNTIFS('Таблиця 1'!$B:$B,$A550,'Таблиця 1'!$I:$I,"Mi-8")+COUNTIFS('Таблиця 1'!$B:$B,$A550,'Таблиця 1'!$I:$I,"Mi-24"))</f>
        <v/>
      </c>
      <c r="C550">
        <f>IF($A550="","",COUNTIFS('Таблиця 1'!$B:$B,$A550,'Таблиця 1'!$I:$I,"Mi-8"))</f>
        <v/>
      </c>
      <c r="D550">
        <f>IF($A550="","",COUNTIFS('Таблиця 1'!$B:$B,$A550,'Таблиця 1'!$I:$I,"Mi-24"))</f>
        <v/>
      </c>
      <c r="E550">
        <f>IF($A550="","",SUMIFS('Таблиця 1'!$K:$K,'Таблиця 1'!$B:$B,$A550,'Таблиця 1'!$I:$I,"Mi-8",'Таблиця 1'!$J:$J,"ARS-8")+SUMIFS('Таблиця 1'!$K:$K,'Таблиця 1'!$B:$B,$A550,'Таблиця 1'!$I:$I,"Mi-24",'Таблиця 1'!$J:$J,"ARS-8"))</f>
        <v/>
      </c>
      <c r="F550">
        <f>IF($A550="","",SUMIFS('Таблиця 1'!$K:$K,'Таблиця 1'!$B:$B,$A550,'Таблиця 1'!$I:$I,"Mi-8",'Таблиця 1'!$J:$J,"С-8 ком")+SUMIFS('Таблиця 1'!$K:$K,'Таблиця 1'!$B:$B,$A550,'Таблиця 1'!$I:$I,"Mi-24",'Таблиця 1'!$J:$J,"С-8 ком"))</f>
        <v/>
      </c>
      <c r="G550">
        <f>IF($A550="","",SUMIFS('Таблиця 1'!$K:$K,'Таблиця 1'!$B:$B,$A550,'Таблиця 1'!$I:$I,"Mi-8",'Таблиця 1'!$J:$J,"PC-80")+SUMIFS('Таблиця 1'!$K:$K,'Таблиця 1'!$B:$B,$A550,'Таблиця 1'!$I:$I,"Mi-24",'Таблиця 1'!$J:$J,"PC-80"))</f>
        <v/>
      </c>
      <c r="H550">
        <f>IF($A550="","",SUMIFS('Таблиця 1'!$K:$K,'Таблиця 1'!$B:$B,$A550,'Таблиця 1'!$I:$I,"Mi-8",'Таблиця 1'!$J:$J,"UAR-80")+SUMIFS('Таблиця 1'!$K:$K,'Таблиця 1'!$B:$B,$A550,'Таблиця 1'!$I:$I,"Mi-24",'Таблиця 1'!$J:$J,"UAR-80"))</f>
        <v/>
      </c>
      <c r="I550">
        <f>IF($A550="","",SUMIFS('Таблиця 1'!$K:$K,'Таблиця 1'!$B:$B,$A550,'Таблиця 1'!$I:$I,"Mi-8",'Таблиця 1'!$J:$J,"C-13")+SUMIFS('Таблиця 1'!$K:$K,'Таблиця 1'!$B:$B,$A550,'Таблиця 1'!$I:$I,"Mi-24",'Таблиця 1'!$J:$J,"C-13"))</f>
        <v/>
      </c>
      <c r="J550">
        <f>IF($A550="","",SUMIFS('Таблиця 1'!$K:$K,'Таблиця 1'!$B:$B,$A550,'Таблиця 1'!$I:$I,"Mi-8",'Таблиця 1'!$J:$J,"Hydra-70")+SUMIFS('Таблиця 1'!$K:$K,'Таблиця 1'!$B:$B,$A550,'Таблиця 1'!$I:$I,"Mi-24",'Таблиця 1'!$J:$J,"Hydra-70"))</f>
        <v/>
      </c>
      <c r="K550">
        <f>IF($A550="","",SUMIFS('Таблиця 1'!$K:$K,'Таблиця 1'!$B:$B,$A550,'Таблиця 1'!$I:$I,"Mi-8",'Таблиця 1'!$J:$J,"Thales-70")+SUMIFS('Таблиця 1'!$K:$K,'Таблиця 1'!$B:$B,$A550,'Таблиця 1'!$I:$I,"Mi-24",'Таблиця 1'!$J:$J,"Thales-70"))</f>
        <v/>
      </c>
      <c r="L550">
        <f>IF($A550="","",SUMIFS('Таблиця 1'!$K:$K,'Таблиця 1'!$B:$B,$A550,'Таблиця 1'!$I:$I,"Mi-8",'Таблиця 1'!$J:$J,"Thales-FZ")+SUMIFS('Таблиця 1'!$K:$K,'Таблиця 1'!$B:$B,$A550,'Таблиця 1'!$I:$I,"Mi-24",'Таблиця 1'!$J:$J,"Thales-FZ"))</f>
        <v/>
      </c>
      <c r="M550">
        <f>IF($A550="","",SUMIFS('Таблиця 1'!$K:$K,'Таблиця 1'!$B:$B,$A550,'Таблиця 1'!$I:$I,"Mi-8",'Таблиця 1'!$J:$J,"МК-40")+SUMIFS('Таблиця 1'!$K:$K,'Таблиця 1'!$B:$B,$A550,'Таблиця 1'!$I:$I,"Mi-24",'Таблиця 1'!$J:$J,"МК-40"))</f>
        <v/>
      </c>
      <c r="N550">
        <f>IF($A550="","",SUMIFS('Таблиця 1'!$K:$K,'Таблиця 1'!$B:$B,$A550,'Таблиця 1'!$I:$I,"Mi-8",'Таблиця 1'!$J:$J,"Zuni")+SUMIFS('Таблиця 1'!$K:$K,'Таблиця 1'!$B:$B,$A550,'Таблиця 1'!$I:$I,"Mi-24",'Таблиця 1'!$J:$J,"Zuni"))</f>
        <v/>
      </c>
      <c r="O550">
        <f>IF($A550="","",COUNTIFS('Таблиця 1'!$B:$B,$A550,'Таблиця 1'!$I:$I,"Mi-8",'Таблиця 1'!$L:$L,"Уражено")+COUNTIFS('Таблиця 1'!$B:$B,$A550,'Таблиця 1'!$I:$I,"Mi-24",'Таблиця 1'!$L:$L,"Уражено"))</f>
        <v/>
      </c>
      <c r="P550">
        <f>IF($A550="","",COUNTIFS('Таблиця 1'!$B:$B,$A550,'Таблиця 1'!$I:$I,"Mi-8",'Таблиця 1'!$L:$L,"НЕ уражено")+COUNTIFS('Таблиця 1'!$B:$B,$A550,'Таблиця 1'!$I:$I,"Mi-24",'Таблиця 1'!$L:$L,"НЕ уражено"))</f>
        <v/>
      </c>
    </row>
    <row r="551">
      <c r="A551" s="273">
        <f>IF(A550="","",IF(A550+1&gt;MAX('Таблиця 1'!$B:$B),"",A550+1))</f>
        <v/>
      </c>
      <c r="B551">
        <f>IF($A551="","",COUNTIFS('Таблиця 1'!$B:$B,$A551,'Таблиця 1'!$I:$I,"Mi-8")+COUNTIFS('Таблиця 1'!$B:$B,$A551,'Таблиця 1'!$I:$I,"Mi-24"))</f>
        <v/>
      </c>
      <c r="C551">
        <f>IF($A551="","",COUNTIFS('Таблиця 1'!$B:$B,$A551,'Таблиця 1'!$I:$I,"Mi-8"))</f>
        <v/>
      </c>
      <c r="D551">
        <f>IF($A551="","",COUNTIFS('Таблиця 1'!$B:$B,$A551,'Таблиця 1'!$I:$I,"Mi-24"))</f>
        <v/>
      </c>
      <c r="E551">
        <f>IF($A551="","",SUMIFS('Таблиця 1'!$K:$K,'Таблиця 1'!$B:$B,$A551,'Таблиця 1'!$I:$I,"Mi-8",'Таблиця 1'!$J:$J,"ARS-8")+SUMIFS('Таблиця 1'!$K:$K,'Таблиця 1'!$B:$B,$A551,'Таблиця 1'!$I:$I,"Mi-24",'Таблиця 1'!$J:$J,"ARS-8"))</f>
        <v/>
      </c>
      <c r="F551">
        <f>IF($A551="","",SUMIFS('Таблиця 1'!$K:$K,'Таблиця 1'!$B:$B,$A551,'Таблиця 1'!$I:$I,"Mi-8",'Таблиця 1'!$J:$J,"С-8 ком")+SUMIFS('Таблиця 1'!$K:$K,'Таблиця 1'!$B:$B,$A551,'Таблиця 1'!$I:$I,"Mi-24",'Таблиця 1'!$J:$J,"С-8 ком"))</f>
        <v/>
      </c>
      <c r="G551">
        <f>IF($A551="","",SUMIFS('Таблиця 1'!$K:$K,'Таблиця 1'!$B:$B,$A551,'Таблиця 1'!$I:$I,"Mi-8",'Таблиця 1'!$J:$J,"PC-80")+SUMIFS('Таблиця 1'!$K:$K,'Таблиця 1'!$B:$B,$A551,'Таблиця 1'!$I:$I,"Mi-24",'Таблиця 1'!$J:$J,"PC-80"))</f>
        <v/>
      </c>
      <c r="H551">
        <f>IF($A551="","",SUMIFS('Таблиця 1'!$K:$K,'Таблиця 1'!$B:$B,$A551,'Таблиця 1'!$I:$I,"Mi-8",'Таблиця 1'!$J:$J,"UAR-80")+SUMIFS('Таблиця 1'!$K:$K,'Таблиця 1'!$B:$B,$A551,'Таблиця 1'!$I:$I,"Mi-24",'Таблиця 1'!$J:$J,"UAR-80"))</f>
        <v/>
      </c>
      <c r="I551">
        <f>IF($A551="","",SUMIFS('Таблиця 1'!$K:$K,'Таблиця 1'!$B:$B,$A551,'Таблиця 1'!$I:$I,"Mi-8",'Таблиця 1'!$J:$J,"C-13")+SUMIFS('Таблиця 1'!$K:$K,'Таблиця 1'!$B:$B,$A551,'Таблиця 1'!$I:$I,"Mi-24",'Таблиця 1'!$J:$J,"C-13"))</f>
        <v/>
      </c>
      <c r="J551">
        <f>IF($A551="","",SUMIFS('Таблиця 1'!$K:$K,'Таблиця 1'!$B:$B,$A551,'Таблиця 1'!$I:$I,"Mi-8",'Таблиця 1'!$J:$J,"Hydra-70")+SUMIFS('Таблиця 1'!$K:$K,'Таблиця 1'!$B:$B,$A551,'Таблиця 1'!$I:$I,"Mi-24",'Таблиця 1'!$J:$J,"Hydra-70"))</f>
        <v/>
      </c>
      <c r="K551">
        <f>IF($A551="","",SUMIFS('Таблиця 1'!$K:$K,'Таблиця 1'!$B:$B,$A551,'Таблиця 1'!$I:$I,"Mi-8",'Таблиця 1'!$J:$J,"Thales-70")+SUMIFS('Таблиця 1'!$K:$K,'Таблиця 1'!$B:$B,$A551,'Таблиця 1'!$I:$I,"Mi-24",'Таблиця 1'!$J:$J,"Thales-70"))</f>
        <v/>
      </c>
      <c r="L551">
        <f>IF($A551="","",SUMIFS('Таблиця 1'!$K:$K,'Таблиця 1'!$B:$B,$A551,'Таблиця 1'!$I:$I,"Mi-8",'Таблиця 1'!$J:$J,"Thales-FZ")+SUMIFS('Таблиця 1'!$K:$K,'Таблиця 1'!$B:$B,$A551,'Таблиця 1'!$I:$I,"Mi-24",'Таблиця 1'!$J:$J,"Thales-FZ"))</f>
        <v/>
      </c>
      <c r="M551">
        <f>IF($A551="","",SUMIFS('Таблиця 1'!$K:$K,'Таблиця 1'!$B:$B,$A551,'Таблиця 1'!$I:$I,"Mi-8",'Таблиця 1'!$J:$J,"МК-40")+SUMIFS('Таблиця 1'!$K:$K,'Таблиця 1'!$B:$B,$A551,'Таблиця 1'!$I:$I,"Mi-24",'Таблиця 1'!$J:$J,"МК-40"))</f>
        <v/>
      </c>
      <c r="N551">
        <f>IF($A551="","",SUMIFS('Таблиця 1'!$K:$K,'Таблиця 1'!$B:$B,$A551,'Таблиця 1'!$I:$I,"Mi-8",'Таблиця 1'!$J:$J,"Zuni")+SUMIFS('Таблиця 1'!$K:$K,'Таблиця 1'!$B:$B,$A551,'Таблиця 1'!$I:$I,"Mi-24",'Таблиця 1'!$J:$J,"Zuni"))</f>
        <v/>
      </c>
      <c r="O551">
        <f>IF($A551="","",COUNTIFS('Таблиця 1'!$B:$B,$A551,'Таблиця 1'!$I:$I,"Mi-8",'Таблиця 1'!$L:$L,"Уражено")+COUNTIFS('Таблиця 1'!$B:$B,$A551,'Таблиця 1'!$I:$I,"Mi-24",'Таблиця 1'!$L:$L,"Уражено"))</f>
        <v/>
      </c>
      <c r="P551">
        <f>IF($A551="","",COUNTIFS('Таблиця 1'!$B:$B,$A551,'Таблиця 1'!$I:$I,"Mi-8",'Таблиця 1'!$L:$L,"НЕ уражено")+COUNTIFS('Таблиця 1'!$B:$B,$A551,'Таблиця 1'!$I:$I,"Mi-24",'Таблиця 1'!$L:$L,"НЕ уражено"))</f>
        <v/>
      </c>
    </row>
    <row r="552">
      <c r="A552" s="273">
        <f>IF(A551="","",IF(A551+1&gt;MAX('Таблиця 1'!$B:$B),"",A551+1))</f>
        <v/>
      </c>
      <c r="B552">
        <f>IF($A552="","",COUNTIFS('Таблиця 1'!$B:$B,$A552,'Таблиця 1'!$I:$I,"Mi-8")+COUNTIFS('Таблиця 1'!$B:$B,$A552,'Таблиця 1'!$I:$I,"Mi-24"))</f>
        <v/>
      </c>
      <c r="C552">
        <f>IF($A552="","",COUNTIFS('Таблиця 1'!$B:$B,$A552,'Таблиця 1'!$I:$I,"Mi-8"))</f>
        <v/>
      </c>
      <c r="D552">
        <f>IF($A552="","",COUNTIFS('Таблиця 1'!$B:$B,$A552,'Таблиця 1'!$I:$I,"Mi-24"))</f>
        <v/>
      </c>
      <c r="E552">
        <f>IF($A552="","",SUMIFS('Таблиця 1'!$K:$K,'Таблиця 1'!$B:$B,$A552,'Таблиця 1'!$I:$I,"Mi-8",'Таблиця 1'!$J:$J,"ARS-8")+SUMIFS('Таблиця 1'!$K:$K,'Таблиця 1'!$B:$B,$A552,'Таблиця 1'!$I:$I,"Mi-24",'Таблиця 1'!$J:$J,"ARS-8"))</f>
        <v/>
      </c>
      <c r="F552">
        <f>IF($A552="","",SUMIFS('Таблиця 1'!$K:$K,'Таблиця 1'!$B:$B,$A552,'Таблиця 1'!$I:$I,"Mi-8",'Таблиця 1'!$J:$J,"С-8 ком")+SUMIFS('Таблиця 1'!$K:$K,'Таблиця 1'!$B:$B,$A552,'Таблиця 1'!$I:$I,"Mi-24",'Таблиця 1'!$J:$J,"С-8 ком"))</f>
        <v/>
      </c>
      <c r="G552">
        <f>IF($A552="","",SUMIFS('Таблиця 1'!$K:$K,'Таблиця 1'!$B:$B,$A552,'Таблиця 1'!$I:$I,"Mi-8",'Таблиця 1'!$J:$J,"PC-80")+SUMIFS('Таблиця 1'!$K:$K,'Таблиця 1'!$B:$B,$A552,'Таблиця 1'!$I:$I,"Mi-24",'Таблиця 1'!$J:$J,"PC-80"))</f>
        <v/>
      </c>
      <c r="H552">
        <f>IF($A552="","",SUMIFS('Таблиця 1'!$K:$K,'Таблиця 1'!$B:$B,$A552,'Таблиця 1'!$I:$I,"Mi-8",'Таблиця 1'!$J:$J,"UAR-80")+SUMIFS('Таблиця 1'!$K:$K,'Таблиця 1'!$B:$B,$A552,'Таблиця 1'!$I:$I,"Mi-24",'Таблиця 1'!$J:$J,"UAR-80"))</f>
        <v/>
      </c>
      <c r="I552">
        <f>IF($A552="","",SUMIFS('Таблиця 1'!$K:$K,'Таблиця 1'!$B:$B,$A552,'Таблиця 1'!$I:$I,"Mi-8",'Таблиця 1'!$J:$J,"C-13")+SUMIFS('Таблиця 1'!$K:$K,'Таблиця 1'!$B:$B,$A552,'Таблиця 1'!$I:$I,"Mi-24",'Таблиця 1'!$J:$J,"C-13"))</f>
        <v/>
      </c>
      <c r="J552">
        <f>IF($A552="","",SUMIFS('Таблиця 1'!$K:$K,'Таблиця 1'!$B:$B,$A552,'Таблиця 1'!$I:$I,"Mi-8",'Таблиця 1'!$J:$J,"Hydra-70")+SUMIFS('Таблиця 1'!$K:$K,'Таблиця 1'!$B:$B,$A552,'Таблиця 1'!$I:$I,"Mi-24",'Таблиця 1'!$J:$J,"Hydra-70"))</f>
        <v/>
      </c>
      <c r="K552">
        <f>IF($A552="","",SUMIFS('Таблиця 1'!$K:$K,'Таблиця 1'!$B:$B,$A552,'Таблиця 1'!$I:$I,"Mi-8",'Таблиця 1'!$J:$J,"Thales-70")+SUMIFS('Таблиця 1'!$K:$K,'Таблиця 1'!$B:$B,$A552,'Таблиця 1'!$I:$I,"Mi-24",'Таблиця 1'!$J:$J,"Thales-70"))</f>
        <v/>
      </c>
      <c r="L552">
        <f>IF($A552="","",SUMIFS('Таблиця 1'!$K:$K,'Таблиця 1'!$B:$B,$A552,'Таблиця 1'!$I:$I,"Mi-8",'Таблиця 1'!$J:$J,"Thales-FZ")+SUMIFS('Таблиця 1'!$K:$K,'Таблиця 1'!$B:$B,$A552,'Таблиця 1'!$I:$I,"Mi-24",'Таблиця 1'!$J:$J,"Thales-FZ"))</f>
        <v/>
      </c>
      <c r="M552">
        <f>IF($A552="","",SUMIFS('Таблиця 1'!$K:$K,'Таблиця 1'!$B:$B,$A552,'Таблиця 1'!$I:$I,"Mi-8",'Таблиця 1'!$J:$J,"МК-40")+SUMIFS('Таблиця 1'!$K:$K,'Таблиця 1'!$B:$B,$A552,'Таблиця 1'!$I:$I,"Mi-24",'Таблиця 1'!$J:$J,"МК-40"))</f>
        <v/>
      </c>
      <c r="N552">
        <f>IF($A552="","",SUMIFS('Таблиця 1'!$K:$K,'Таблиця 1'!$B:$B,$A552,'Таблиця 1'!$I:$I,"Mi-8",'Таблиця 1'!$J:$J,"Zuni")+SUMIFS('Таблиця 1'!$K:$K,'Таблиця 1'!$B:$B,$A552,'Таблиця 1'!$I:$I,"Mi-24",'Таблиця 1'!$J:$J,"Zuni"))</f>
        <v/>
      </c>
      <c r="O552">
        <f>IF($A552="","",COUNTIFS('Таблиця 1'!$B:$B,$A552,'Таблиця 1'!$I:$I,"Mi-8",'Таблиця 1'!$L:$L,"Уражено")+COUNTIFS('Таблиця 1'!$B:$B,$A552,'Таблиця 1'!$I:$I,"Mi-24",'Таблиця 1'!$L:$L,"Уражено"))</f>
        <v/>
      </c>
      <c r="P552">
        <f>IF($A552="","",COUNTIFS('Таблиця 1'!$B:$B,$A552,'Таблиця 1'!$I:$I,"Mi-8",'Таблиця 1'!$L:$L,"НЕ уражено")+COUNTIFS('Таблиця 1'!$B:$B,$A552,'Таблиця 1'!$I:$I,"Mi-24",'Таблиця 1'!$L:$L,"НЕ уражено"))</f>
        <v/>
      </c>
    </row>
    <row r="553">
      <c r="A553" s="273">
        <f>IF(A552="","",IF(A552+1&gt;MAX('Таблиця 1'!$B:$B),"",A552+1))</f>
        <v/>
      </c>
      <c r="B553">
        <f>IF($A553="","",COUNTIFS('Таблиця 1'!$B:$B,$A553,'Таблиця 1'!$I:$I,"Mi-8")+COUNTIFS('Таблиця 1'!$B:$B,$A553,'Таблиця 1'!$I:$I,"Mi-24"))</f>
        <v/>
      </c>
      <c r="C553">
        <f>IF($A553="","",COUNTIFS('Таблиця 1'!$B:$B,$A553,'Таблиця 1'!$I:$I,"Mi-8"))</f>
        <v/>
      </c>
      <c r="D553">
        <f>IF($A553="","",COUNTIFS('Таблиця 1'!$B:$B,$A553,'Таблиця 1'!$I:$I,"Mi-24"))</f>
        <v/>
      </c>
      <c r="E553">
        <f>IF($A553="","",SUMIFS('Таблиця 1'!$K:$K,'Таблиця 1'!$B:$B,$A553,'Таблиця 1'!$I:$I,"Mi-8",'Таблиця 1'!$J:$J,"ARS-8")+SUMIFS('Таблиця 1'!$K:$K,'Таблиця 1'!$B:$B,$A553,'Таблиця 1'!$I:$I,"Mi-24",'Таблиця 1'!$J:$J,"ARS-8"))</f>
        <v/>
      </c>
      <c r="F553">
        <f>IF($A553="","",SUMIFS('Таблиця 1'!$K:$K,'Таблиця 1'!$B:$B,$A553,'Таблиця 1'!$I:$I,"Mi-8",'Таблиця 1'!$J:$J,"С-8 ком")+SUMIFS('Таблиця 1'!$K:$K,'Таблиця 1'!$B:$B,$A553,'Таблиця 1'!$I:$I,"Mi-24",'Таблиця 1'!$J:$J,"С-8 ком"))</f>
        <v/>
      </c>
      <c r="G553">
        <f>IF($A553="","",SUMIFS('Таблиця 1'!$K:$K,'Таблиця 1'!$B:$B,$A553,'Таблиця 1'!$I:$I,"Mi-8",'Таблиця 1'!$J:$J,"PC-80")+SUMIFS('Таблиця 1'!$K:$K,'Таблиця 1'!$B:$B,$A553,'Таблиця 1'!$I:$I,"Mi-24",'Таблиця 1'!$J:$J,"PC-80"))</f>
        <v/>
      </c>
      <c r="H553">
        <f>IF($A553="","",SUMIFS('Таблиця 1'!$K:$K,'Таблиця 1'!$B:$B,$A553,'Таблиця 1'!$I:$I,"Mi-8",'Таблиця 1'!$J:$J,"UAR-80")+SUMIFS('Таблиця 1'!$K:$K,'Таблиця 1'!$B:$B,$A553,'Таблиця 1'!$I:$I,"Mi-24",'Таблиця 1'!$J:$J,"UAR-80"))</f>
        <v/>
      </c>
      <c r="I553">
        <f>IF($A553="","",SUMIFS('Таблиця 1'!$K:$K,'Таблиця 1'!$B:$B,$A553,'Таблиця 1'!$I:$I,"Mi-8",'Таблиця 1'!$J:$J,"C-13")+SUMIFS('Таблиця 1'!$K:$K,'Таблиця 1'!$B:$B,$A553,'Таблиця 1'!$I:$I,"Mi-24",'Таблиця 1'!$J:$J,"C-13"))</f>
        <v/>
      </c>
      <c r="J553">
        <f>IF($A553="","",SUMIFS('Таблиця 1'!$K:$K,'Таблиця 1'!$B:$B,$A553,'Таблиця 1'!$I:$I,"Mi-8",'Таблиця 1'!$J:$J,"Hydra-70")+SUMIFS('Таблиця 1'!$K:$K,'Таблиця 1'!$B:$B,$A553,'Таблиця 1'!$I:$I,"Mi-24",'Таблиця 1'!$J:$J,"Hydra-70"))</f>
        <v/>
      </c>
      <c r="K553">
        <f>IF($A553="","",SUMIFS('Таблиця 1'!$K:$K,'Таблиця 1'!$B:$B,$A553,'Таблиця 1'!$I:$I,"Mi-8",'Таблиця 1'!$J:$J,"Thales-70")+SUMIFS('Таблиця 1'!$K:$K,'Таблиця 1'!$B:$B,$A553,'Таблиця 1'!$I:$I,"Mi-24",'Таблиця 1'!$J:$J,"Thales-70"))</f>
        <v/>
      </c>
      <c r="L553">
        <f>IF($A553="","",SUMIFS('Таблиця 1'!$K:$K,'Таблиця 1'!$B:$B,$A553,'Таблиця 1'!$I:$I,"Mi-8",'Таблиця 1'!$J:$J,"Thales-FZ")+SUMIFS('Таблиця 1'!$K:$K,'Таблиця 1'!$B:$B,$A553,'Таблиця 1'!$I:$I,"Mi-24",'Таблиця 1'!$J:$J,"Thales-FZ"))</f>
        <v/>
      </c>
      <c r="M553">
        <f>IF($A553="","",SUMIFS('Таблиця 1'!$K:$K,'Таблиця 1'!$B:$B,$A553,'Таблиця 1'!$I:$I,"Mi-8",'Таблиця 1'!$J:$J,"МК-40")+SUMIFS('Таблиця 1'!$K:$K,'Таблиця 1'!$B:$B,$A553,'Таблиця 1'!$I:$I,"Mi-24",'Таблиця 1'!$J:$J,"МК-40"))</f>
        <v/>
      </c>
      <c r="N553">
        <f>IF($A553="","",SUMIFS('Таблиця 1'!$K:$K,'Таблиця 1'!$B:$B,$A553,'Таблиця 1'!$I:$I,"Mi-8",'Таблиця 1'!$J:$J,"Zuni")+SUMIFS('Таблиця 1'!$K:$K,'Таблиця 1'!$B:$B,$A553,'Таблиця 1'!$I:$I,"Mi-24",'Таблиця 1'!$J:$J,"Zuni"))</f>
        <v/>
      </c>
      <c r="O553">
        <f>IF($A553="","",COUNTIFS('Таблиця 1'!$B:$B,$A553,'Таблиця 1'!$I:$I,"Mi-8",'Таблиця 1'!$L:$L,"Уражено")+COUNTIFS('Таблиця 1'!$B:$B,$A553,'Таблиця 1'!$I:$I,"Mi-24",'Таблиця 1'!$L:$L,"Уражено"))</f>
        <v/>
      </c>
      <c r="P553">
        <f>IF($A553="","",COUNTIFS('Таблиця 1'!$B:$B,$A553,'Таблиця 1'!$I:$I,"Mi-8",'Таблиця 1'!$L:$L,"НЕ уражено")+COUNTIFS('Таблиця 1'!$B:$B,$A553,'Таблиця 1'!$I:$I,"Mi-24",'Таблиця 1'!$L:$L,"НЕ уражено"))</f>
        <v/>
      </c>
    </row>
    <row r="554">
      <c r="A554" s="273">
        <f>IF(A553="","",IF(A553+1&gt;MAX('Таблиця 1'!$B:$B),"",A553+1))</f>
        <v/>
      </c>
      <c r="B554">
        <f>IF($A554="","",COUNTIFS('Таблиця 1'!$B:$B,$A554,'Таблиця 1'!$I:$I,"Mi-8")+COUNTIFS('Таблиця 1'!$B:$B,$A554,'Таблиця 1'!$I:$I,"Mi-24"))</f>
        <v/>
      </c>
      <c r="C554">
        <f>IF($A554="","",COUNTIFS('Таблиця 1'!$B:$B,$A554,'Таблиця 1'!$I:$I,"Mi-8"))</f>
        <v/>
      </c>
      <c r="D554">
        <f>IF($A554="","",COUNTIFS('Таблиця 1'!$B:$B,$A554,'Таблиця 1'!$I:$I,"Mi-24"))</f>
        <v/>
      </c>
      <c r="E554">
        <f>IF($A554="","",SUMIFS('Таблиця 1'!$K:$K,'Таблиця 1'!$B:$B,$A554,'Таблиця 1'!$I:$I,"Mi-8",'Таблиця 1'!$J:$J,"ARS-8")+SUMIFS('Таблиця 1'!$K:$K,'Таблиця 1'!$B:$B,$A554,'Таблиця 1'!$I:$I,"Mi-24",'Таблиця 1'!$J:$J,"ARS-8"))</f>
        <v/>
      </c>
      <c r="F554">
        <f>IF($A554="","",SUMIFS('Таблиця 1'!$K:$K,'Таблиця 1'!$B:$B,$A554,'Таблиця 1'!$I:$I,"Mi-8",'Таблиця 1'!$J:$J,"С-8 ком")+SUMIFS('Таблиця 1'!$K:$K,'Таблиця 1'!$B:$B,$A554,'Таблиця 1'!$I:$I,"Mi-24",'Таблиця 1'!$J:$J,"С-8 ком"))</f>
        <v/>
      </c>
      <c r="G554">
        <f>IF($A554="","",SUMIFS('Таблиця 1'!$K:$K,'Таблиця 1'!$B:$B,$A554,'Таблиця 1'!$I:$I,"Mi-8",'Таблиця 1'!$J:$J,"PC-80")+SUMIFS('Таблиця 1'!$K:$K,'Таблиця 1'!$B:$B,$A554,'Таблиця 1'!$I:$I,"Mi-24",'Таблиця 1'!$J:$J,"PC-80"))</f>
        <v/>
      </c>
      <c r="H554">
        <f>IF($A554="","",SUMIFS('Таблиця 1'!$K:$K,'Таблиця 1'!$B:$B,$A554,'Таблиця 1'!$I:$I,"Mi-8",'Таблиця 1'!$J:$J,"UAR-80")+SUMIFS('Таблиця 1'!$K:$K,'Таблиця 1'!$B:$B,$A554,'Таблиця 1'!$I:$I,"Mi-24",'Таблиця 1'!$J:$J,"UAR-80"))</f>
        <v/>
      </c>
      <c r="I554">
        <f>IF($A554="","",SUMIFS('Таблиця 1'!$K:$K,'Таблиця 1'!$B:$B,$A554,'Таблиця 1'!$I:$I,"Mi-8",'Таблиця 1'!$J:$J,"C-13")+SUMIFS('Таблиця 1'!$K:$K,'Таблиця 1'!$B:$B,$A554,'Таблиця 1'!$I:$I,"Mi-24",'Таблиця 1'!$J:$J,"C-13"))</f>
        <v/>
      </c>
      <c r="J554">
        <f>IF($A554="","",SUMIFS('Таблиця 1'!$K:$K,'Таблиця 1'!$B:$B,$A554,'Таблиця 1'!$I:$I,"Mi-8",'Таблиця 1'!$J:$J,"Hydra-70")+SUMIFS('Таблиця 1'!$K:$K,'Таблиця 1'!$B:$B,$A554,'Таблиця 1'!$I:$I,"Mi-24",'Таблиця 1'!$J:$J,"Hydra-70"))</f>
        <v/>
      </c>
      <c r="K554">
        <f>IF($A554="","",SUMIFS('Таблиця 1'!$K:$K,'Таблиця 1'!$B:$B,$A554,'Таблиця 1'!$I:$I,"Mi-8",'Таблиця 1'!$J:$J,"Thales-70")+SUMIFS('Таблиця 1'!$K:$K,'Таблиця 1'!$B:$B,$A554,'Таблиця 1'!$I:$I,"Mi-24",'Таблиця 1'!$J:$J,"Thales-70"))</f>
        <v/>
      </c>
      <c r="L554">
        <f>IF($A554="","",SUMIFS('Таблиця 1'!$K:$K,'Таблиця 1'!$B:$B,$A554,'Таблиця 1'!$I:$I,"Mi-8",'Таблиця 1'!$J:$J,"Thales-FZ")+SUMIFS('Таблиця 1'!$K:$K,'Таблиця 1'!$B:$B,$A554,'Таблиця 1'!$I:$I,"Mi-24",'Таблиця 1'!$J:$J,"Thales-FZ"))</f>
        <v/>
      </c>
      <c r="M554">
        <f>IF($A554="","",SUMIFS('Таблиця 1'!$K:$K,'Таблиця 1'!$B:$B,$A554,'Таблиця 1'!$I:$I,"Mi-8",'Таблиця 1'!$J:$J,"МК-40")+SUMIFS('Таблиця 1'!$K:$K,'Таблиця 1'!$B:$B,$A554,'Таблиця 1'!$I:$I,"Mi-24",'Таблиця 1'!$J:$J,"МК-40"))</f>
        <v/>
      </c>
      <c r="N554">
        <f>IF($A554="","",SUMIFS('Таблиця 1'!$K:$K,'Таблиця 1'!$B:$B,$A554,'Таблиця 1'!$I:$I,"Mi-8",'Таблиця 1'!$J:$J,"Zuni")+SUMIFS('Таблиця 1'!$K:$K,'Таблиця 1'!$B:$B,$A554,'Таблиця 1'!$I:$I,"Mi-24",'Таблиця 1'!$J:$J,"Zuni"))</f>
        <v/>
      </c>
      <c r="O554">
        <f>IF($A554="","",COUNTIFS('Таблиця 1'!$B:$B,$A554,'Таблиця 1'!$I:$I,"Mi-8",'Таблиця 1'!$L:$L,"Уражено")+COUNTIFS('Таблиця 1'!$B:$B,$A554,'Таблиця 1'!$I:$I,"Mi-24",'Таблиця 1'!$L:$L,"Уражено"))</f>
        <v/>
      </c>
      <c r="P554">
        <f>IF($A554="","",COUNTIFS('Таблиця 1'!$B:$B,$A554,'Таблиця 1'!$I:$I,"Mi-8",'Таблиця 1'!$L:$L,"НЕ уражено")+COUNTIFS('Таблиця 1'!$B:$B,$A554,'Таблиця 1'!$I:$I,"Mi-24",'Таблиця 1'!$L:$L,"НЕ уражено"))</f>
        <v/>
      </c>
    </row>
    <row r="555">
      <c r="A555" s="273">
        <f>IF(A554="","",IF(A554+1&gt;MAX('Таблиця 1'!$B:$B),"",A554+1))</f>
        <v/>
      </c>
      <c r="B555">
        <f>IF($A555="","",COUNTIFS('Таблиця 1'!$B:$B,$A555,'Таблиця 1'!$I:$I,"Mi-8")+COUNTIFS('Таблиця 1'!$B:$B,$A555,'Таблиця 1'!$I:$I,"Mi-24"))</f>
        <v/>
      </c>
      <c r="C555">
        <f>IF($A555="","",COUNTIFS('Таблиця 1'!$B:$B,$A555,'Таблиця 1'!$I:$I,"Mi-8"))</f>
        <v/>
      </c>
      <c r="D555">
        <f>IF($A555="","",COUNTIFS('Таблиця 1'!$B:$B,$A555,'Таблиця 1'!$I:$I,"Mi-24"))</f>
        <v/>
      </c>
      <c r="E555">
        <f>IF($A555="","",SUMIFS('Таблиця 1'!$K:$K,'Таблиця 1'!$B:$B,$A555,'Таблиця 1'!$I:$I,"Mi-8",'Таблиця 1'!$J:$J,"ARS-8")+SUMIFS('Таблиця 1'!$K:$K,'Таблиця 1'!$B:$B,$A555,'Таблиця 1'!$I:$I,"Mi-24",'Таблиця 1'!$J:$J,"ARS-8"))</f>
        <v/>
      </c>
      <c r="F555">
        <f>IF($A555="","",SUMIFS('Таблиця 1'!$K:$K,'Таблиця 1'!$B:$B,$A555,'Таблиця 1'!$I:$I,"Mi-8",'Таблиця 1'!$J:$J,"С-8 ком")+SUMIFS('Таблиця 1'!$K:$K,'Таблиця 1'!$B:$B,$A555,'Таблиця 1'!$I:$I,"Mi-24",'Таблиця 1'!$J:$J,"С-8 ком"))</f>
        <v/>
      </c>
      <c r="G555">
        <f>IF($A555="","",SUMIFS('Таблиця 1'!$K:$K,'Таблиця 1'!$B:$B,$A555,'Таблиця 1'!$I:$I,"Mi-8",'Таблиця 1'!$J:$J,"PC-80")+SUMIFS('Таблиця 1'!$K:$K,'Таблиця 1'!$B:$B,$A555,'Таблиця 1'!$I:$I,"Mi-24",'Таблиця 1'!$J:$J,"PC-80"))</f>
        <v/>
      </c>
      <c r="H555">
        <f>IF($A555="","",SUMIFS('Таблиця 1'!$K:$K,'Таблиця 1'!$B:$B,$A555,'Таблиця 1'!$I:$I,"Mi-8",'Таблиця 1'!$J:$J,"UAR-80")+SUMIFS('Таблиця 1'!$K:$K,'Таблиця 1'!$B:$B,$A555,'Таблиця 1'!$I:$I,"Mi-24",'Таблиця 1'!$J:$J,"UAR-80"))</f>
        <v/>
      </c>
      <c r="I555">
        <f>IF($A555="","",SUMIFS('Таблиця 1'!$K:$K,'Таблиця 1'!$B:$B,$A555,'Таблиця 1'!$I:$I,"Mi-8",'Таблиця 1'!$J:$J,"C-13")+SUMIFS('Таблиця 1'!$K:$K,'Таблиця 1'!$B:$B,$A555,'Таблиця 1'!$I:$I,"Mi-24",'Таблиця 1'!$J:$J,"C-13"))</f>
        <v/>
      </c>
      <c r="J555">
        <f>IF($A555="","",SUMIFS('Таблиця 1'!$K:$K,'Таблиця 1'!$B:$B,$A555,'Таблиця 1'!$I:$I,"Mi-8",'Таблиця 1'!$J:$J,"Hydra-70")+SUMIFS('Таблиця 1'!$K:$K,'Таблиця 1'!$B:$B,$A555,'Таблиця 1'!$I:$I,"Mi-24",'Таблиця 1'!$J:$J,"Hydra-70"))</f>
        <v/>
      </c>
      <c r="K555">
        <f>IF($A555="","",SUMIFS('Таблиця 1'!$K:$K,'Таблиця 1'!$B:$B,$A555,'Таблиця 1'!$I:$I,"Mi-8",'Таблиця 1'!$J:$J,"Thales-70")+SUMIFS('Таблиця 1'!$K:$K,'Таблиця 1'!$B:$B,$A555,'Таблиця 1'!$I:$I,"Mi-24",'Таблиця 1'!$J:$J,"Thales-70"))</f>
        <v/>
      </c>
      <c r="L555">
        <f>IF($A555="","",SUMIFS('Таблиця 1'!$K:$K,'Таблиця 1'!$B:$B,$A555,'Таблиця 1'!$I:$I,"Mi-8",'Таблиця 1'!$J:$J,"Thales-FZ")+SUMIFS('Таблиця 1'!$K:$K,'Таблиця 1'!$B:$B,$A555,'Таблиця 1'!$I:$I,"Mi-24",'Таблиця 1'!$J:$J,"Thales-FZ"))</f>
        <v/>
      </c>
      <c r="M555">
        <f>IF($A555="","",SUMIFS('Таблиця 1'!$K:$K,'Таблиця 1'!$B:$B,$A555,'Таблиця 1'!$I:$I,"Mi-8",'Таблиця 1'!$J:$J,"МК-40")+SUMIFS('Таблиця 1'!$K:$K,'Таблиця 1'!$B:$B,$A555,'Таблиця 1'!$I:$I,"Mi-24",'Таблиця 1'!$J:$J,"МК-40"))</f>
        <v/>
      </c>
      <c r="N555">
        <f>IF($A555="","",SUMIFS('Таблиця 1'!$K:$K,'Таблиця 1'!$B:$B,$A555,'Таблиця 1'!$I:$I,"Mi-8",'Таблиця 1'!$J:$J,"Zuni")+SUMIFS('Таблиця 1'!$K:$K,'Таблиця 1'!$B:$B,$A555,'Таблиця 1'!$I:$I,"Mi-24",'Таблиця 1'!$J:$J,"Zuni"))</f>
        <v/>
      </c>
      <c r="O555">
        <f>IF($A555="","",COUNTIFS('Таблиця 1'!$B:$B,$A555,'Таблиця 1'!$I:$I,"Mi-8",'Таблиця 1'!$L:$L,"Уражено")+COUNTIFS('Таблиця 1'!$B:$B,$A555,'Таблиця 1'!$I:$I,"Mi-24",'Таблиця 1'!$L:$L,"Уражено"))</f>
        <v/>
      </c>
      <c r="P555">
        <f>IF($A555="","",COUNTIFS('Таблиця 1'!$B:$B,$A555,'Таблиця 1'!$I:$I,"Mi-8",'Таблиця 1'!$L:$L,"НЕ уражено")+COUNTIFS('Таблиця 1'!$B:$B,$A555,'Таблиця 1'!$I:$I,"Mi-24",'Таблиця 1'!$L:$L,"НЕ уражено"))</f>
        <v/>
      </c>
    </row>
    <row r="556">
      <c r="A556" s="273">
        <f>IF(A555="","",IF(A555+1&gt;MAX('Таблиця 1'!$B:$B),"",A555+1))</f>
        <v/>
      </c>
      <c r="B556">
        <f>IF($A556="","",COUNTIFS('Таблиця 1'!$B:$B,$A556,'Таблиця 1'!$I:$I,"Mi-8")+COUNTIFS('Таблиця 1'!$B:$B,$A556,'Таблиця 1'!$I:$I,"Mi-24"))</f>
        <v/>
      </c>
      <c r="C556">
        <f>IF($A556="","",COUNTIFS('Таблиця 1'!$B:$B,$A556,'Таблиця 1'!$I:$I,"Mi-8"))</f>
        <v/>
      </c>
      <c r="D556">
        <f>IF($A556="","",COUNTIFS('Таблиця 1'!$B:$B,$A556,'Таблиця 1'!$I:$I,"Mi-24"))</f>
        <v/>
      </c>
      <c r="E556">
        <f>IF($A556="","",SUMIFS('Таблиця 1'!$K:$K,'Таблиця 1'!$B:$B,$A556,'Таблиця 1'!$I:$I,"Mi-8",'Таблиця 1'!$J:$J,"ARS-8")+SUMIFS('Таблиця 1'!$K:$K,'Таблиця 1'!$B:$B,$A556,'Таблиця 1'!$I:$I,"Mi-24",'Таблиця 1'!$J:$J,"ARS-8"))</f>
        <v/>
      </c>
      <c r="F556">
        <f>IF($A556="","",SUMIFS('Таблиця 1'!$K:$K,'Таблиця 1'!$B:$B,$A556,'Таблиця 1'!$I:$I,"Mi-8",'Таблиця 1'!$J:$J,"С-8 ком")+SUMIFS('Таблиця 1'!$K:$K,'Таблиця 1'!$B:$B,$A556,'Таблиця 1'!$I:$I,"Mi-24",'Таблиця 1'!$J:$J,"С-8 ком"))</f>
        <v/>
      </c>
      <c r="G556">
        <f>IF($A556="","",SUMIFS('Таблиця 1'!$K:$K,'Таблиця 1'!$B:$B,$A556,'Таблиця 1'!$I:$I,"Mi-8",'Таблиця 1'!$J:$J,"PC-80")+SUMIFS('Таблиця 1'!$K:$K,'Таблиця 1'!$B:$B,$A556,'Таблиця 1'!$I:$I,"Mi-24",'Таблиця 1'!$J:$J,"PC-80"))</f>
        <v/>
      </c>
      <c r="H556">
        <f>IF($A556="","",SUMIFS('Таблиця 1'!$K:$K,'Таблиця 1'!$B:$B,$A556,'Таблиця 1'!$I:$I,"Mi-8",'Таблиця 1'!$J:$J,"UAR-80")+SUMIFS('Таблиця 1'!$K:$K,'Таблиця 1'!$B:$B,$A556,'Таблиця 1'!$I:$I,"Mi-24",'Таблиця 1'!$J:$J,"UAR-80"))</f>
        <v/>
      </c>
      <c r="I556">
        <f>IF($A556="","",SUMIFS('Таблиця 1'!$K:$K,'Таблиця 1'!$B:$B,$A556,'Таблиця 1'!$I:$I,"Mi-8",'Таблиця 1'!$J:$J,"C-13")+SUMIFS('Таблиця 1'!$K:$K,'Таблиця 1'!$B:$B,$A556,'Таблиця 1'!$I:$I,"Mi-24",'Таблиця 1'!$J:$J,"C-13"))</f>
        <v/>
      </c>
      <c r="J556">
        <f>IF($A556="","",SUMIFS('Таблиця 1'!$K:$K,'Таблиця 1'!$B:$B,$A556,'Таблиця 1'!$I:$I,"Mi-8",'Таблиця 1'!$J:$J,"Hydra-70")+SUMIFS('Таблиця 1'!$K:$K,'Таблиця 1'!$B:$B,$A556,'Таблиця 1'!$I:$I,"Mi-24",'Таблиця 1'!$J:$J,"Hydra-70"))</f>
        <v/>
      </c>
      <c r="K556">
        <f>IF($A556="","",SUMIFS('Таблиця 1'!$K:$K,'Таблиця 1'!$B:$B,$A556,'Таблиця 1'!$I:$I,"Mi-8",'Таблиця 1'!$J:$J,"Thales-70")+SUMIFS('Таблиця 1'!$K:$K,'Таблиця 1'!$B:$B,$A556,'Таблиця 1'!$I:$I,"Mi-24",'Таблиця 1'!$J:$J,"Thales-70"))</f>
        <v/>
      </c>
      <c r="L556">
        <f>IF($A556="","",SUMIFS('Таблиця 1'!$K:$K,'Таблиця 1'!$B:$B,$A556,'Таблиця 1'!$I:$I,"Mi-8",'Таблиця 1'!$J:$J,"Thales-FZ")+SUMIFS('Таблиця 1'!$K:$K,'Таблиця 1'!$B:$B,$A556,'Таблиця 1'!$I:$I,"Mi-24",'Таблиця 1'!$J:$J,"Thales-FZ"))</f>
        <v/>
      </c>
      <c r="M556">
        <f>IF($A556="","",SUMIFS('Таблиця 1'!$K:$K,'Таблиця 1'!$B:$B,$A556,'Таблиця 1'!$I:$I,"Mi-8",'Таблиця 1'!$J:$J,"МК-40")+SUMIFS('Таблиця 1'!$K:$K,'Таблиця 1'!$B:$B,$A556,'Таблиця 1'!$I:$I,"Mi-24",'Таблиця 1'!$J:$J,"МК-40"))</f>
        <v/>
      </c>
      <c r="N556">
        <f>IF($A556="","",SUMIFS('Таблиця 1'!$K:$K,'Таблиця 1'!$B:$B,$A556,'Таблиця 1'!$I:$I,"Mi-8",'Таблиця 1'!$J:$J,"Zuni")+SUMIFS('Таблиця 1'!$K:$K,'Таблиця 1'!$B:$B,$A556,'Таблиця 1'!$I:$I,"Mi-24",'Таблиця 1'!$J:$J,"Zuni"))</f>
        <v/>
      </c>
      <c r="O556">
        <f>IF($A556="","",COUNTIFS('Таблиця 1'!$B:$B,$A556,'Таблиця 1'!$I:$I,"Mi-8",'Таблиця 1'!$L:$L,"Уражено")+COUNTIFS('Таблиця 1'!$B:$B,$A556,'Таблиця 1'!$I:$I,"Mi-24",'Таблиця 1'!$L:$L,"Уражено"))</f>
        <v/>
      </c>
      <c r="P556">
        <f>IF($A556="","",COUNTIFS('Таблиця 1'!$B:$B,$A556,'Таблиця 1'!$I:$I,"Mi-8",'Таблиця 1'!$L:$L,"НЕ уражено")+COUNTIFS('Таблиця 1'!$B:$B,$A556,'Таблиця 1'!$I:$I,"Mi-24",'Таблиця 1'!$L:$L,"НЕ уражено"))</f>
        <v/>
      </c>
    </row>
    <row r="557">
      <c r="A557" s="273">
        <f>IF(A556="","",IF(A556+1&gt;MAX('Таблиця 1'!$B:$B),"",A556+1))</f>
        <v/>
      </c>
      <c r="B557">
        <f>IF($A557="","",COUNTIFS('Таблиця 1'!$B:$B,$A557,'Таблиця 1'!$I:$I,"Mi-8")+COUNTIFS('Таблиця 1'!$B:$B,$A557,'Таблиця 1'!$I:$I,"Mi-24"))</f>
        <v/>
      </c>
      <c r="C557">
        <f>IF($A557="","",COUNTIFS('Таблиця 1'!$B:$B,$A557,'Таблиця 1'!$I:$I,"Mi-8"))</f>
        <v/>
      </c>
      <c r="D557">
        <f>IF($A557="","",COUNTIFS('Таблиця 1'!$B:$B,$A557,'Таблиця 1'!$I:$I,"Mi-24"))</f>
        <v/>
      </c>
      <c r="E557">
        <f>IF($A557="","",SUMIFS('Таблиця 1'!$K:$K,'Таблиця 1'!$B:$B,$A557,'Таблиця 1'!$I:$I,"Mi-8",'Таблиця 1'!$J:$J,"ARS-8")+SUMIFS('Таблиця 1'!$K:$K,'Таблиця 1'!$B:$B,$A557,'Таблиця 1'!$I:$I,"Mi-24",'Таблиця 1'!$J:$J,"ARS-8"))</f>
        <v/>
      </c>
      <c r="F557">
        <f>IF($A557="","",SUMIFS('Таблиця 1'!$K:$K,'Таблиця 1'!$B:$B,$A557,'Таблиця 1'!$I:$I,"Mi-8",'Таблиця 1'!$J:$J,"С-8 ком")+SUMIFS('Таблиця 1'!$K:$K,'Таблиця 1'!$B:$B,$A557,'Таблиця 1'!$I:$I,"Mi-24",'Таблиця 1'!$J:$J,"С-8 ком"))</f>
        <v/>
      </c>
      <c r="G557">
        <f>IF($A557="","",SUMIFS('Таблиця 1'!$K:$K,'Таблиця 1'!$B:$B,$A557,'Таблиця 1'!$I:$I,"Mi-8",'Таблиця 1'!$J:$J,"PC-80")+SUMIFS('Таблиця 1'!$K:$K,'Таблиця 1'!$B:$B,$A557,'Таблиця 1'!$I:$I,"Mi-24",'Таблиця 1'!$J:$J,"PC-80"))</f>
        <v/>
      </c>
      <c r="H557">
        <f>IF($A557="","",SUMIFS('Таблиця 1'!$K:$K,'Таблиця 1'!$B:$B,$A557,'Таблиця 1'!$I:$I,"Mi-8",'Таблиця 1'!$J:$J,"UAR-80")+SUMIFS('Таблиця 1'!$K:$K,'Таблиця 1'!$B:$B,$A557,'Таблиця 1'!$I:$I,"Mi-24",'Таблиця 1'!$J:$J,"UAR-80"))</f>
        <v/>
      </c>
      <c r="I557">
        <f>IF($A557="","",SUMIFS('Таблиця 1'!$K:$K,'Таблиця 1'!$B:$B,$A557,'Таблиця 1'!$I:$I,"Mi-8",'Таблиця 1'!$J:$J,"C-13")+SUMIFS('Таблиця 1'!$K:$K,'Таблиця 1'!$B:$B,$A557,'Таблиця 1'!$I:$I,"Mi-24",'Таблиця 1'!$J:$J,"C-13"))</f>
        <v/>
      </c>
      <c r="J557">
        <f>IF($A557="","",SUMIFS('Таблиця 1'!$K:$K,'Таблиця 1'!$B:$B,$A557,'Таблиця 1'!$I:$I,"Mi-8",'Таблиця 1'!$J:$J,"Hydra-70")+SUMIFS('Таблиця 1'!$K:$K,'Таблиця 1'!$B:$B,$A557,'Таблиця 1'!$I:$I,"Mi-24",'Таблиця 1'!$J:$J,"Hydra-70"))</f>
        <v/>
      </c>
      <c r="K557">
        <f>IF($A557="","",SUMIFS('Таблиця 1'!$K:$K,'Таблиця 1'!$B:$B,$A557,'Таблиця 1'!$I:$I,"Mi-8",'Таблиця 1'!$J:$J,"Thales-70")+SUMIFS('Таблиця 1'!$K:$K,'Таблиця 1'!$B:$B,$A557,'Таблиця 1'!$I:$I,"Mi-24",'Таблиця 1'!$J:$J,"Thales-70"))</f>
        <v/>
      </c>
      <c r="L557">
        <f>IF($A557="","",SUMIFS('Таблиця 1'!$K:$K,'Таблиця 1'!$B:$B,$A557,'Таблиця 1'!$I:$I,"Mi-8",'Таблиця 1'!$J:$J,"Thales-FZ")+SUMIFS('Таблиця 1'!$K:$K,'Таблиця 1'!$B:$B,$A557,'Таблиця 1'!$I:$I,"Mi-24",'Таблиця 1'!$J:$J,"Thales-FZ"))</f>
        <v/>
      </c>
      <c r="M557">
        <f>IF($A557="","",SUMIFS('Таблиця 1'!$K:$K,'Таблиця 1'!$B:$B,$A557,'Таблиця 1'!$I:$I,"Mi-8",'Таблиця 1'!$J:$J,"МК-40")+SUMIFS('Таблиця 1'!$K:$K,'Таблиця 1'!$B:$B,$A557,'Таблиця 1'!$I:$I,"Mi-24",'Таблиця 1'!$J:$J,"МК-40"))</f>
        <v/>
      </c>
      <c r="N557">
        <f>IF($A557="","",SUMIFS('Таблиця 1'!$K:$K,'Таблиця 1'!$B:$B,$A557,'Таблиця 1'!$I:$I,"Mi-8",'Таблиця 1'!$J:$J,"Zuni")+SUMIFS('Таблиця 1'!$K:$K,'Таблиця 1'!$B:$B,$A557,'Таблиця 1'!$I:$I,"Mi-24",'Таблиця 1'!$J:$J,"Zuni"))</f>
        <v/>
      </c>
      <c r="O557">
        <f>IF($A557="","",COUNTIFS('Таблиця 1'!$B:$B,$A557,'Таблиця 1'!$I:$I,"Mi-8",'Таблиця 1'!$L:$L,"Уражено")+COUNTIFS('Таблиця 1'!$B:$B,$A557,'Таблиця 1'!$I:$I,"Mi-24",'Таблиця 1'!$L:$L,"Уражено"))</f>
        <v/>
      </c>
      <c r="P557">
        <f>IF($A557="","",COUNTIFS('Таблиця 1'!$B:$B,$A557,'Таблиця 1'!$I:$I,"Mi-8",'Таблиця 1'!$L:$L,"НЕ уражено")+COUNTIFS('Таблиця 1'!$B:$B,$A557,'Таблиця 1'!$I:$I,"Mi-24",'Таблиця 1'!$L:$L,"НЕ уражено"))</f>
        <v/>
      </c>
    </row>
    <row r="558">
      <c r="A558" s="273">
        <f>IF(A557="","",IF(A557+1&gt;MAX('Таблиця 1'!$B:$B),"",A557+1))</f>
        <v/>
      </c>
      <c r="B558">
        <f>IF($A558="","",COUNTIFS('Таблиця 1'!$B:$B,$A558,'Таблиця 1'!$I:$I,"Mi-8")+COUNTIFS('Таблиця 1'!$B:$B,$A558,'Таблиця 1'!$I:$I,"Mi-24"))</f>
        <v/>
      </c>
      <c r="C558">
        <f>IF($A558="","",COUNTIFS('Таблиця 1'!$B:$B,$A558,'Таблиця 1'!$I:$I,"Mi-8"))</f>
        <v/>
      </c>
      <c r="D558">
        <f>IF($A558="","",COUNTIFS('Таблиця 1'!$B:$B,$A558,'Таблиця 1'!$I:$I,"Mi-24"))</f>
        <v/>
      </c>
      <c r="E558">
        <f>IF($A558="","",SUMIFS('Таблиця 1'!$K:$K,'Таблиця 1'!$B:$B,$A558,'Таблиця 1'!$I:$I,"Mi-8",'Таблиця 1'!$J:$J,"ARS-8")+SUMIFS('Таблиця 1'!$K:$K,'Таблиця 1'!$B:$B,$A558,'Таблиця 1'!$I:$I,"Mi-24",'Таблиця 1'!$J:$J,"ARS-8"))</f>
        <v/>
      </c>
      <c r="F558">
        <f>IF($A558="","",SUMIFS('Таблиця 1'!$K:$K,'Таблиця 1'!$B:$B,$A558,'Таблиця 1'!$I:$I,"Mi-8",'Таблиця 1'!$J:$J,"С-8 ком")+SUMIFS('Таблиця 1'!$K:$K,'Таблиця 1'!$B:$B,$A558,'Таблиця 1'!$I:$I,"Mi-24",'Таблиця 1'!$J:$J,"С-8 ком"))</f>
        <v/>
      </c>
      <c r="G558">
        <f>IF($A558="","",SUMIFS('Таблиця 1'!$K:$K,'Таблиця 1'!$B:$B,$A558,'Таблиця 1'!$I:$I,"Mi-8",'Таблиця 1'!$J:$J,"PC-80")+SUMIFS('Таблиця 1'!$K:$K,'Таблиця 1'!$B:$B,$A558,'Таблиця 1'!$I:$I,"Mi-24",'Таблиця 1'!$J:$J,"PC-80"))</f>
        <v/>
      </c>
      <c r="H558">
        <f>IF($A558="","",SUMIFS('Таблиця 1'!$K:$K,'Таблиця 1'!$B:$B,$A558,'Таблиця 1'!$I:$I,"Mi-8",'Таблиця 1'!$J:$J,"UAR-80")+SUMIFS('Таблиця 1'!$K:$K,'Таблиця 1'!$B:$B,$A558,'Таблиця 1'!$I:$I,"Mi-24",'Таблиця 1'!$J:$J,"UAR-80"))</f>
        <v/>
      </c>
      <c r="I558">
        <f>IF($A558="","",SUMIFS('Таблиця 1'!$K:$K,'Таблиця 1'!$B:$B,$A558,'Таблиця 1'!$I:$I,"Mi-8",'Таблиця 1'!$J:$J,"C-13")+SUMIFS('Таблиця 1'!$K:$K,'Таблиця 1'!$B:$B,$A558,'Таблиця 1'!$I:$I,"Mi-24",'Таблиця 1'!$J:$J,"C-13"))</f>
        <v/>
      </c>
      <c r="J558">
        <f>IF($A558="","",SUMIFS('Таблиця 1'!$K:$K,'Таблиця 1'!$B:$B,$A558,'Таблиця 1'!$I:$I,"Mi-8",'Таблиця 1'!$J:$J,"Hydra-70")+SUMIFS('Таблиця 1'!$K:$K,'Таблиця 1'!$B:$B,$A558,'Таблиця 1'!$I:$I,"Mi-24",'Таблиця 1'!$J:$J,"Hydra-70"))</f>
        <v/>
      </c>
      <c r="K558">
        <f>IF($A558="","",SUMIFS('Таблиця 1'!$K:$K,'Таблиця 1'!$B:$B,$A558,'Таблиця 1'!$I:$I,"Mi-8",'Таблиця 1'!$J:$J,"Thales-70")+SUMIFS('Таблиця 1'!$K:$K,'Таблиця 1'!$B:$B,$A558,'Таблиця 1'!$I:$I,"Mi-24",'Таблиця 1'!$J:$J,"Thales-70"))</f>
        <v/>
      </c>
      <c r="L558">
        <f>IF($A558="","",SUMIFS('Таблиця 1'!$K:$K,'Таблиця 1'!$B:$B,$A558,'Таблиця 1'!$I:$I,"Mi-8",'Таблиця 1'!$J:$J,"Thales-FZ")+SUMIFS('Таблиця 1'!$K:$K,'Таблиця 1'!$B:$B,$A558,'Таблиця 1'!$I:$I,"Mi-24",'Таблиця 1'!$J:$J,"Thales-FZ"))</f>
        <v/>
      </c>
      <c r="M558">
        <f>IF($A558="","",SUMIFS('Таблиця 1'!$K:$K,'Таблиця 1'!$B:$B,$A558,'Таблиця 1'!$I:$I,"Mi-8",'Таблиця 1'!$J:$J,"МК-40")+SUMIFS('Таблиця 1'!$K:$K,'Таблиця 1'!$B:$B,$A558,'Таблиця 1'!$I:$I,"Mi-24",'Таблиця 1'!$J:$J,"МК-40"))</f>
        <v/>
      </c>
      <c r="N558">
        <f>IF($A558="","",SUMIFS('Таблиця 1'!$K:$K,'Таблиця 1'!$B:$B,$A558,'Таблиця 1'!$I:$I,"Mi-8",'Таблиця 1'!$J:$J,"Zuni")+SUMIFS('Таблиця 1'!$K:$K,'Таблиця 1'!$B:$B,$A558,'Таблиця 1'!$I:$I,"Mi-24",'Таблиця 1'!$J:$J,"Zuni"))</f>
        <v/>
      </c>
      <c r="O558">
        <f>IF($A558="","",COUNTIFS('Таблиця 1'!$B:$B,$A558,'Таблиця 1'!$I:$I,"Mi-8",'Таблиця 1'!$L:$L,"Уражено")+COUNTIFS('Таблиця 1'!$B:$B,$A558,'Таблиця 1'!$I:$I,"Mi-24",'Таблиця 1'!$L:$L,"Уражено"))</f>
        <v/>
      </c>
      <c r="P558">
        <f>IF($A558="","",COUNTIFS('Таблиця 1'!$B:$B,$A558,'Таблиця 1'!$I:$I,"Mi-8",'Таблиця 1'!$L:$L,"НЕ уражено")+COUNTIFS('Таблиця 1'!$B:$B,$A558,'Таблиця 1'!$I:$I,"Mi-24",'Таблиця 1'!$L:$L,"НЕ уражено"))</f>
        <v/>
      </c>
    </row>
    <row r="559">
      <c r="A559" s="273">
        <f>IF(A558="","",IF(A558+1&gt;MAX('Таблиця 1'!$B:$B),"",A558+1))</f>
        <v/>
      </c>
      <c r="B559">
        <f>IF($A559="","",COUNTIFS('Таблиця 1'!$B:$B,$A559,'Таблиця 1'!$I:$I,"Mi-8")+COUNTIFS('Таблиця 1'!$B:$B,$A559,'Таблиця 1'!$I:$I,"Mi-24"))</f>
        <v/>
      </c>
      <c r="C559">
        <f>IF($A559="","",COUNTIFS('Таблиця 1'!$B:$B,$A559,'Таблиця 1'!$I:$I,"Mi-8"))</f>
        <v/>
      </c>
      <c r="D559">
        <f>IF($A559="","",COUNTIFS('Таблиця 1'!$B:$B,$A559,'Таблиця 1'!$I:$I,"Mi-24"))</f>
        <v/>
      </c>
      <c r="E559">
        <f>IF($A559="","",SUMIFS('Таблиця 1'!$K:$K,'Таблиця 1'!$B:$B,$A559,'Таблиця 1'!$I:$I,"Mi-8",'Таблиця 1'!$J:$J,"ARS-8")+SUMIFS('Таблиця 1'!$K:$K,'Таблиця 1'!$B:$B,$A559,'Таблиця 1'!$I:$I,"Mi-24",'Таблиця 1'!$J:$J,"ARS-8"))</f>
        <v/>
      </c>
      <c r="F559">
        <f>IF($A559="","",SUMIFS('Таблиця 1'!$K:$K,'Таблиця 1'!$B:$B,$A559,'Таблиця 1'!$I:$I,"Mi-8",'Таблиця 1'!$J:$J,"С-8 ком")+SUMIFS('Таблиця 1'!$K:$K,'Таблиця 1'!$B:$B,$A559,'Таблиця 1'!$I:$I,"Mi-24",'Таблиця 1'!$J:$J,"С-8 ком"))</f>
        <v/>
      </c>
      <c r="G559">
        <f>IF($A559="","",SUMIFS('Таблиця 1'!$K:$K,'Таблиця 1'!$B:$B,$A559,'Таблиця 1'!$I:$I,"Mi-8",'Таблиця 1'!$J:$J,"PC-80")+SUMIFS('Таблиця 1'!$K:$K,'Таблиця 1'!$B:$B,$A559,'Таблиця 1'!$I:$I,"Mi-24",'Таблиця 1'!$J:$J,"PC-80"))</f>
        <v/>
      </c>
      <c r="H559">
        <f>IF($A559="","",SUMIFS('Таблиця 1'!$K:$K,'Таблиця 1'!$B:$B,$A559,'Таблиця 1'!$I:$I,"Mi-8",'Таблиця 1'!$J:$J,"UAR-80")+SUMIFS('Таблиця 1'!$K:$K,'Таблиця 1'!$B:$B,$A559,'Таблиця 1'!$I:$I,"Mi-24",'Таблиця 1'!$J:$J,"UAR-80"))</f>
        <v/>
      </c>
      <c r="I559">
        <f>IF($A559="","",SUMIFS('Таблиця 1'!$K:$K,'Таблиця 1'!$B:$B,$A559,'Таблиця 1'!$I:$I,"Mi-8",'Таблиця 1'!$J:$J,"C-13")+SUMIFS('Таблиця 1'!$K:$K,'Таблиця 1'!$B:$B,$A559,'Таблиця 1'!$I:$I,"Mi-24",'Таблиця 1'!$J:$J,"C-13"))</f>
        <v/>
      </c>
      <c r="J559">
        <f>IF($A559="","",SUMIFS('Таблиця 1'!$K:$K,'Таблиця 1'!$B:$B,$A559,'Таблиця 1'!$I:$I,"Mi-8",'Таблиця 1'!$J:$J,"Hydra-70")+SUMIFS('Таблиця 1'!$K:$K,'Таблиця 1'!$B:$B,$A559,'Таблиця 1'!$I:$I,"Mi-24",'Таблиця 1'!$J:$J,"Hydra-70"))</f>
        <v/>
      </c>
      <c r="K559">
        <f>IF($A559="","",SUMIFS('Таблиця 1'!$K:$K,'Таблиця 1'!$B:$B,$A559,'Таблиця 1'!$I:$I,"Mi-8",'Таблиця 1'!$J:$J,"Thales-70")+SUMIFS('Таблиця 1'!$K:$K,'Таблиця 1'!$B:$B,$A559,'Таблиця 1'!$I:$I,"Mi-24",'Таблиця 1'!$J:$J,"Thales-70"))</f>
        <v/>
      </c>
      <c r="L559">
        <f>IF($A559="","",SUMIFS('Таблиця 1'!$K:$K,'Таблиця 1'!$B:$B,$A559,'Таблиця 1'!$I:$I,"Mi-8",'Таблиця 1'!$J:$J,"Thales-FZ")+SUMIFS('Таблиця 1'!$K:$K,'Таблиця 1'!$B:$B,$A559,'Таблиця 1'!$I:$I,"Mi-24",'Таблиця 1'!$J:$J,"Thales-FZ"))</f>
        <v/>
      </c>
      <c r="M559">
        <f>IF($A559="","",SUMIFS('Таблиця 1'!$K:$K,'Таблиця 1'!$B:$B,$A559,'Таблиця 1'!$I:$I,"Mi-8",'Таблиця 1'!$J:$J,"МК-40")+SUMIFS('Таблиця 1'!$K:$K,'Таблиця 1'!$B:$B,$A559,'Таблиця 1'!$I:$I,"Mi-24",'Таблиця 1'!$J:$J,"МК-40"))</f>
        <v/>
      </c>
      <c r="N559">
        <f>IF($A559="","",SUMIFS('Таблиця 1'!$K:$K,'Таблиця 1'!$B:$B,$A559,'Таблиця 1'!$I:$I,"Mi-8",'Таблиця 1'!$J:$J,"Zuni")+SUMIFS('Таблиця 1'!$K:$K,'Таблиця 1'!$B:$B,$A559,'Таблиця 1'!$I:$I,"Mi-24",'Таблиця 1'!$J:$J,"Zuni"))</f>
        <v/>
      </c>
      <c r="O559">
        <f>IF($A559="","",COUNTIFS('Таблиця 1'!$B:$B,$A559,'Таблиця 1'!$I:$I,"Mi-8",'Таблиця 1'!$L:$L,"Уражено")+COUNTIFS('Таблиця 1'!$B:$B,$A559,'Таблиця 1'!$I:$I,"Mi-24",'Таблиця 1'!$L:$L,"Уражено"))</f>
        <v/>
      </c>
      <c r="P559">
        <f>IF($A559="","",COUNTIFS('Таблиця 1'!$B:$B,$A559,'Таблиця 1'!$I:$I,"Mi-8",'Таблиця 1'!$L:$L,"НЕ уражено")+COUNTIFS('Таблиця 1'!$B:$B,$A559,'Таблиця 1'!$I:$I,"Mi-24",'Таблиця 1'!$L:$L,"НЕ уражено"))</f>
        <v/>
      </c>
    </row>
    <row r="560">
      <c r="A560" s="273">
        <f>IF(A559="","",IF(A559+1&gt;MAX('Таблиця 1'!$B:$B),"",A559+1))</f>
        <v/>
      </c>
      <c r="B560">
        <f>IF($A560="","",COUNTIFS('Таблиця 1'!$B:$B,$A560,'Таблиця 1'!$I:$I,"Mi-8")+COUNTIFS('Таблиця 1'!$B:$B,$A560,'Таблиця 1'!$I:$I,"Mi-24"))</f>
        <v/>
      </c>
      <c r="C560">
        <f>IF($A560="","",COUNTIFS('Таблиця 1'!$B:$B,$A560,'Таблиця 1'!$I:$I,"Mi-8"))</f>
        <v/>
      </c>
      <c r="D560">
        <f>IF($A560="","",COUNTIFS('Таблиця 1'!$B:$B,$A560,'Таблиця 1'!$I:$I,"Mi-24"))</f>
        <v/>
      </c>
      <c r="E560">
        <f>IF($A560="","",SUMIFS('Таблиця 1'!$K:$K,'Таблиця 1'!$B:$B,$A560,'Таблиця 1'!$I:$I,"Mi-8",'Таблиця 1'!$J:$J,"ARS-8")+SUMIFS('Таблиця 1'!$K:$K,'Таблиця 1'!$B:$B,$A560,'Таблиця 1'!$I:$I,"Mi-24",'Таблиця 1'!$J:$J,"ARS-8"))</f>
        <v/>
      </c>
      <c r="F560">
        <f>IF($A560="","",SUMIFS('Таблиця 1'!$K:$K,'Таблиця 1'!$B:$B,$A560,'Таблиця 1'!$I:$I,"Mi-8",'Таблиця 1'!$J:$J,"С-8 ком")+SUMIFS('Таблиця 1'!$K:$K,'Таблиця 1'!$B:$B,$A560,'Таблиця 1'!$I:$I,"Mi-24",'Таблиця 1'!$J:$J,"С-8 ком"))</f>
        <v/>
      </c>
      <c r="G560">
        <f>IF($A560="","",SUMIFS('Таблиця 1'!$K:$K,'Таблиця 1'!$B:$B,$A560,'Таблиця 1'!$I:$I,"Mi-8",'Таблиця 1'!$J:$J,"PC-80")+SUMIFS('Таблиця 1'!$K:$K,'Таблиця 1'!$B:$B,$A560,'Таблиця 1'!$I:$I,"Mi-24",'Таблиця 1'!$J:$J,"PC-80"))</f>
        <v/>
      </c>
      <c r="H560">
        <f>IF($A560="","",SUMIFS('Таблиця 1'!$K:$K,'Таблиця 1'!$B:$B,$A560,'Таблиця 1'!$I:$I,"Mi-8",'Таблиця 1'!$J:$J,"UAR-80")+SUMIFS('Таблиця 1'!$K:$K,'Таблиця 1'!$B:$B,$A560,'Таблиця 1'!$I:$I,"Mi-24",'Таблиця 1'!$J:$J,"UAR-80"))</f>
        <v/>
      </c>
      <c r="I560">
        <f>IF($A560="","",SUMIFS('Таблиця 1'!$K:$K,'Таблиця 1'!$B:$B,$A560,'Таблиця 1'!$I:$I,"Mi-8",'Таблиця 1'!$J:$J,"C-13")+SUMIFS('Таблиця 1'!$K:$K,'Таблиця 1'!$B:$B,$A560,'Таблиця 1'!$I:$I,"Mi-24",'Таблиця 1'!$J:$J,"C-13"))</f>
        <v/>
      </c>
      <c r="J560">
        <f>IF($A560="","",SUMIFS('Таблиця 1'!$K:$K,'Таблиця 1'!$B:$B,$A560,'Таблиця 1'!$I:$I,"Mi-8",'Таблиця 1'!$J:$J,"Hydra-70")+SUMIFS('Таблиця 1'!$K:$K,'Таблиця 1'!$B:$B,$A560,'Таблиця 1'!$I:$I,"Mi-24",'Таблиця 1'!$J:$J,"Hydra-70"))</f>
        <v/>
      </c>
      <c r="K560">
        <f>IF($A560="","",SUMIFS('Таблиця 1'!$K:$K,'Таблиця 1'!$B:$B,$A560,'Таблиця 1'!$I:$I,"Mi-8",'Таблиця 1'!$J:$J,"Thales-70")+SUMIFS('Таблиця 1'!$K:$K,'Таблиця 1'!$B:$B,$A560,'Таблиця 1'!$I:$I,"Mi-24",'Таблиця 1'!$J:$J,"Thales-70"))</f>
        <v/>
      </c>
      <c r="L560">
        <f>IF($A560="","",SUMIFS('Таблиця 1'!$K:$K,'Таблиця 1'!$B:$B,$A560,'Таблиця 1'!$I:$I,"Mi-8",'Таблиця 1'!$J:$J,"Thales-FZ")+SUMIFS('Таблиця 1'!$K:$K,'Таблиця 1'!$B:$B,$A560,'Таблиця 1'!$I:$I,"Mi-24",'Таблиця 1'!$J:$J,"Thales-FZ"))</f>
        <v/>
      </c>
      <c r="M560">
        <f>IF($A560="","",SUMIFS('Таблиця 1'!$K:$K,'Таблиця 1'!$B:$B,$A560,'Таблиця 1'!$I:$I,"Mi-8",'Таблиця 1'!$J:$J,"МК-40")+SUMIFS('Таблиця 1'!$K:$K,'Таблиця 1'!$B:$B,$A560,'Таблиця 1'!$I:$I,"Mi-24",'Таблиця 1'!$J:$J,"МК-40"))</f>
        <v/>
      </c>
      <c r="N560">
        <f>IF($A560="","",SUMIFS('Таблиця 1'!$K:$K,'Таблиця 1'!$B:$B,$A560,'Таблиця 1'!$I:$I,"Mi-8",'Таблиця 1'!$J:$J,"Zuni")+SUMIFS('Таблиця 1'!$K:$K,'Таблиця 1'!$B:$B,$A560,'Таблиця 1'!$I:$I,"Mi-24",'Таблиця 1'!$J:$J,"Zuni"))</f>
        <v/>
      </c>
      <c r="O560">
        <f>IF($A560="","",COUNTIFS('Таблиця 1'!$B:$B,$A560,'Таблиця 1'!$I:$I,"Mi-8",'Таблиця 1'!$L:$L,"Уражено")+COUNTIFS('Таблиця 1'!$B:$B,$A560,'Таблиця 1'!$I:$I,"Mi-24",'Таблиця 1'!$L:$L,"Уражено"))</f>
        <v/>
      </c>
      <c r="P560">
        <f>IF($A560="","",COUNTIFS('Таблиця 1'!$B:$B,$A560,'Таблиця 1'!$I:$I,"Mi-8",'Таблиця 1'!$L:$L,"НЕ уражено")+COUNTIFS('Таблиця 1'!$B:$B,$A560,'Таблиця 1'!$I:$I,"Mi-24",'Таблиця 1'!$L:$L,"НЕ уражено"))</f>
        <v/>
      </c>
    </row>
    <row r="561">
      <c r="A561" s="273">
        <f>IF(A560="","",IF(A560+1&gt;MAX('Таблиця 1'!$B:$B),"",A560+1))</f>
        <v/>
      </c>
      <c r="B561">
        <f>IF($A561="","",COUNTIFS('Таблиця 1'!$B:$B,$A561,'Таблиця 1'!$I:$I,"Mi-8")+COUNTIFS('Таблиця 1'!$B:$B,$A561,'Таблиця 1'!$I:$I,"Mi-24"))</f>
        <v/>
      </c>
      <c r="C561">
        <f>IF($A561="","",COUNTIFS('Таблиця 1'!$B:$B,$A561,'Таблиця 1'!$I:$I,"Mi-8"))</f>
        <v/>
      </c>
      <c r="D561">
        <f>IF($A561="","",COUNTIFS('Таблиця 1'!$B:$B,$A561,'Таблиця 1'!$I:$I,"Mi-24"))</f>
        <v/>
      </c>
      <c r="E561">
        <f>IF($A561="","",SUMIFS('Таблиця 1'!$K:$K,'Таблиця 1'!$B:$B,$A561,'Таблиця 1'!$I:$I,"Mi-8",'Таблиця 1'!$J:$J,"ARS-8")+SUMIFS('Таблиця 1'!$K:$K,'Таблиця 1'!$B:$B,$A561,'Таблиця 1'!$I:$I,"Mi-24",'Таблиця 1'!$J:$J,"ARS-8"))</f>
        <v/>
      </c>
      <c r="F561">
        <f>IF($A561="","",SUMIFS('Таблиця 1'!$K:$K,'Таблиця 1'!$B:$B,$A561,'Таблиця 1'!$I:$I,"Mi-8",'Таблиця 1'!$J:$J,"С-8 ком")+SUMIFS('Таблиця 1'!$K:$K,'Таблиця 1'!$B:$B,$A561,'Таблиця 1'!$I:$I,"Mi-24",'Таблиця 1'!$J:$J,"С-8 ком"))</f>
        <v/>
      </c>
      <c r="G561">
        <f>IF($A561="","",SUMIFS('Таблиця 1'!$K:$K,'Таблиця 1'!$B:$B,$A561,'Таблиця 1'!$I:$I,"Mi-8",'Таблиця 1'!$J:$J,"PC-80")+SUMIFS('Таблиця 1'!$K:$K,'Таблиця 1'!$B:$B,$A561,'Таблиця 1'!$I:$I,"Mi-24",'Таблиця 1'!$J:$J,"PC-80"))</f>
        <v/>
      </c>
      <c r="H561">
        <f>IF($A561="","",SUMIFS('Таблиця 1'!$K:$K,'Таблиця 1'!$B:$B,$A561,'Таблиця 1'!$I:$I,"Mi-8",'Таблиця 1'!$J:$J,"UAR-80")+SUMIFS('Таблиця 1'!$K:$K,'Таблиця 1'!$B:$B,$A561,'Таблиця 1'!$I:$I,"Mi-24",'Таблиця 1'!$J:$J,"UAR-80"))</f>
        <v/>
      </c>
      <c r="I561">
        <f>IF($A561="","",SUMIFS('Таблиця 1'!$K:$K,'Таблиця 1'!$B:$B,$A561,'Таблиця 1'!$I:$I,"Mi-8",'Таблиця 1'!$J:$J,"C-13")+SUMIFS('Таблиця 1'!$K:$K,'Таблиця 1'!$B:$B,$A561,'Таблиця 1'!$I:$I,"Mi-24",'Таблиця 1'!$J:$J,"C-13"))</f>
        <v/>
      </c>
      <c r="J561">
        <f>IF($A561="","",SUMIFS('Таблиця 1'!$K:$K,'Таблиця 1'!$B:$B,$A561,'Таблиця 1'!$I:$I,"Mi-8",'Таблиця 1'!$J:$J,"Hydra-70")+SUMIFS('Таблиця 1'!$K:$K,'Таблиця 1'!$B:$B,$A561,'Таблиця 1'!$I:$I,"Mi-24",'Таблиця 1'!$J:$J,"Hydra-70"))</f>
        <v/>
      </c>
      <c r="K561">
        <f>IF($A561="","",SUMIFS('Таблиця 1'!$K:$K,'Таблиця 1'!$B:$B,$A561,'Таблиця 1'!$I:$I,"Mi-8",'Таблиця 1'!$J:$J,"Thales-70")+SUMIFS('Таблиця 1'!$K:$K,'Таблиця 1'!$B:$B,$A561,'Таблиця 1'!$I:$I,"Mi-24",'Таблиця 1'!$J:$J,"Thales-70"))</f>
        <v/>
      </c>
      <c r="L561">
        <f>IF($A561="","",SUMIFS('Таблиця 1'!$K:$K,'Таблиця 1'!$B:$B,$A561,'Таблиця 1'!$I:$I,"Mi-8",'Таблиця 1'!$J:$J,"Thales-FZ")+SUMIFS('Таблиця 1'!$K:$K,'Таблиця 1'!$B:$B,$A561,'Таблиця 1'!$I:$I,"Mi-24",'Таблиця 1'!$J:$J,"Thales-FZ"))</f>
        <v/>
      </c>
      <c r="M561">
        <f>IF($A561="","",SUMIFS('Таблиця 1'!$K:$K,'Таблиця 1'!$B:$B,$A561,'Таблиця 1'!$I:$I,"Mi-8",'Таблиця 1'!$J:$J,"МК-40")+SUMIFS('Таблиця 1'!$K:$K,'Таблиця 1'!$B:$B,$A561,'Таблиця 1'!$I:$I,"Mi-24",'Таблиця 1'!$J:$J,"МК-40"))</f>
        <v/>
      </c>
      <c r="N561">
        <f>IF($A561="","",SUMIFS('Таблиця 1'!$K:$K,'Таблиця 1'!$B:$B,$A561,'Таблиця 1'!$I:$I,"Mi-8",'Таблиця 1'!$J:$J,"Zuni")+SUMIFS('Таблиця 1'!$K:$K,'Таблиця 1'!$B:$B,$A561,'Таблиця 1'!$I:$I,"Mi-24",'Таблиця 1'!$J:$J,"Zuni"))</f>
        <v/>
      </c>
      <c r="O561">
        <f>IF($A561="","",COUNTIFS('Таблиця 1'!$B:$B,$A561,'Таблиця 1'!$I:$I,"Mi-8",'Таблиця 1'!$L:$L,"Уражено")+COUNTIFS('Таблиця 1'!$B:$B,$A561,'Таблиця 1'!$I:$I,"Mi-24",'Таблиця 1'!$L:$L,"Уражено"))</f>
        <v/>
      </c>
      <c r="P561">
        <f>IF($A561="","",COUNTIFS('Таблиця 1'!$B:$B,$A561,'Таблиця 1'!$I:$I,"Mi-8",'Таблиця 1'!$L:$L,"НЕ уражено")+COUNTIFS('Таблиця 1'!$B:$B,$A561,'Таблиця 1'!$I:$I,"Mi-24",'Таблиця 1'!$L:$L,"НЕ уражено"))</f>
        <v/>
      </c>
    </row>
    <row r="562">
      <c r="A562" s="273">
        <f>IF(A561="","",IF(A561+1&gt;MAX('Таблиця 1'!$B:$B),"",A561+1))</f>
        <v/>
      </c>
      <c r="B562">
        <f>IF($A562="","",COUNTIFS('Таблиця 1'!$B:$B,$A562,'Таблиця 1'!$I:$I,"Mi-8")+COUNTIFS('Таблиця 1'!$B:$B,$A562,'Таблиця 1'!$I:$I,"Mi-24"))</f>
        <v/>
      </c>
      <c r="C562">
        <f>IF($A562="","",COUNTIFS('Таблиця 1'!$B:$B,$A562,'Таблиця 1'!$I:$I,"Mi-8"))</f>
        <v/>
      </c>
      <c r="D562">
        <f>IF($A562="","",COUNTIFS('Таблиця 1'!$B:$B,$A562,'Таблиця 1'!$I:$I,"Mi-24"))</f>
        <v/>
      </c>
      <c r="E562">
        <f>IF($A562="","",SUMIFS('Таблиця 1'!$K:$K,'Таблиця 1'!$B:$B,$A562,'Таблиця 1'!$I:$I,"Mi-8",'Таблиця 1'!$J:$J,"ARS-8")+SUMIFS('Таблиця 1'!$K:$K,'Таблиця 1'!$B:$B,$A562,'Таблиця 1'!$I:$I,"Mi-24",'Таблиця 1'!$J:$J,"ARS-8"))</f>
        <v/>
      </c>
      <c r="F562">
        <f>IF($A562="","",SUMIFS('Таблиця 1'!$K:$K,'Таблиця 1'!$B:$B,$A562,'Таблиця 1'!$I:$I,"Mi-8",'Таблиця 1'!$J:$J,"С-8 ком")+SUMIFS('Таблиця 1'!$K:$K,'Таблиця 1'!$B:$B,$A562,'Таблиця 1'!$I:$I,"Mi-24",'Таблиця 1'!$J:$J,"С-8 ком"))</f>
        <v/>
      </c>
      <c r="G562">
        <f>IF($A562="","",SUMIFS('Таблиця 1'!$K:$K,'Таблиця 1'!$B:$B,$A562,'Таблиця 1'!$I:$I,"Mi-8",'Таблиця 1'!$J:$J,"PC-80")+SUMIFS('Таблиця 1'!$K:$K,'Таблиця 1'!$B:$B,$A562,'Таблиця 1'!$I:$I,"Mi-24",'Таблиця 1'!$J:$J,"PC-80"))</f>
        <v/>
      </c>
      <c r="H562">
        <f>IF($A562="","",SUMIFS('Таблиця 1'!$K:$K,'Таблиця 1'!$B:$B,$A562,'Таблиця 1'!$I:$I,"Mi-8",'Таблиця 1'!$J:$J,"UAR-80")+SUMIFS('Таблиця 1'!$K:$K,'Таблиця 1'!$B:$B,$A562,'Таблиця 1'!$I:$I,"Mi-24",'Таблиця 1'!$J:$J,"UAR-80"))</f>
        <v/>
      </c>
      <c r="I562">
        <f>IF($A562="","",SUMIFS('Таблиця 1'!$K:$K,'Таблиця 1'!$B:$B,$A562,'Таблиця 1'!$I:$I,"Mi-8",'Таблиця 1'!$J:$J,"C-13")+SUMIFS('Таблиця 1'!$K:$K,'Таблиця 1'!$B:$B,$A562,'Таблиця 1'!$I:$I,"Mi-24",'Таблиця 1'!$J:$J,"C-13"))</f>
        <v/>
      </c>
      <c r="J562">
        <f>IF($A562="","",SUMIFS('Таблиця 1'!$K:$K,'Таблиця 1'!$B:$B,$A562,'Таблиця 1'!$I:$I,"Mi-8",'Таблиця 1'!$J:$J,"Hydra-70")+SUMIFS('Таблиця 1'!$K:$K,'Таблиця 1'!$B:$B,$A562,'Таблиця 1'!$I:$I,"Mi-24",'Таблиця 1'!$J:$J,"Hydra-70"))</f>
        <v/>
      </c>
      <c r="K562">
        <f>IF($A562="","",SUMIFS('Таблиця 1'!$K:$K,'Таблиця 1'!$B:$B,$A562,'Таблиця 1'!$I:$I,"Mi-8",'Таблиця 1'!$J:$J,"Thales-70")+SUMIFS('Таблиця 1'!$K:$K,'Таблиця 1'!$B:$B,$A562,'Таблиця 1'!$I:$I,"Mi-24",'Таблиця 1'!$J:$J,"Thales-70"))</f>
        <v/>
      </c>
      <c r="L562">
        <f>IF($A562="","",SUMIFS('Таблиця 1'!$K:$K,'Таблиця 1'!$B:$B,$A562,'Таблиця 1'!$I:$I,"Mi-8",'Таблиця 1'!$J:$J,"Thales-FZ")+SUMIFS('Таблиця 1'!$K:$K,'Таблиця 1'!$B:$B,$A562,'Таблиця 1'!$I:$I,"Mi-24",'Таблиця 1'!$J:$J,"Thales-FZ"))</f>
        <v/>
      </c>
      <c r="M562">
        <f>IF($A562="","",SUMIFS('Таблиця 1'!$K:$K,'Таблиця 1'!$B:$B,$A562,'Таблиця 1'!$I:$I,"Mi-8",'Таблиця 1'!$J:$J,"МК-40")+SUMIFS('Таблиця 1'!$K:$K,'Таблиця 1'!$B:$B,$A562,'Таблиця 1'!$I:$I,"Mi-24",'Таблиця 1'!$J:$J,"МК-40"))</f>
        <v/>
      </c>
      <c r="N562">
        <f>IF($A562="","",SUMIFS('Таблиця 1'!$K:$K,'Таблиця 1'!$B:$B,$A562,'Таблиця 1'!$I:$I,"Mi-8",'Таблиця 1'!$J:$J,"Zuni")+SUMIFS('Таблиця 1'!$K:$K,'Таблиця 1'!$B:$B,$A562,'Таблиця 1'!$I:$I,"Mi-24",'Таблиця 1'!$J:$J,"Zuni"))</f>
        <v/>
      </c>
      <c r="O562">
        <f>IF($A562="","",COUNTIFS('Таблиця 1'!$B:$B,$A562,'Таблиця 1'!$I:$I,"Mi-8",'Таблиця 1'!$L:$L,"Уражено")+COUNTIFS('Таблиця 1'!$B:$B,$A562,'Таблиця 1'!$I:$I,"Mi-24",'Таблиця 1'!$L:$L,"Уражено"))</f>
        <v/>
      </c>
      <c r="P562">
        <f>IF($A562="","",COUNTIFS('Таблиця 1'!$B:$B,$A562,'Таблиця 1'!$I:$I,"Mi-8",'Таблиця 1'!$L:$L,"НЕ уражено")+COUNTIFS('Таблиця 1'!$B:$B,$A562,'Таблиця 1'!$I:$I,"Mi-24",'Таблиця 1'!$L:$L,"НЕ уражено"))</f>
        <v/>
      </c>
    </row>
    <row r="563">
      <c r="A563" s="273">
        <f>IF(A562="","",IF(A562+1&gt;MAX('Таблиця 1'!$B:$B),"",A562+1))</f>
        <v/>
      </c>
      <c r="B563">
        <f>IF($A563="","",COUNTIFS('Таблиця 1'!$B:$B,$A563,'Таблиця 1'!$I:$I,"Mi-8")+COUNTIFS('Таблиця 1'!$B:$B,$A563,'Таблиця 1'!$I:$I,"Mi-24"))</f>
        <v/>
      </c>
      <c r="C563">
        <f>IF($A563="","",COUNTIFS('Таблиця 1'!$B:$B,$A563,'Таблиця 1'!$I:$I,"Mi-8"))</f>
        <v/>
      </c>
      <c r="D563">
        <f>IF($A563="","",COUNTIFS('Таблиця 1'!$B:$B,$A563,'Таблиця 1'!$I:$I,"Mi-24"))</f>
        <v/>
      </c>
      <c r="E563">
        <f>IF($A563="","",SUMIFS('Таблиця 1'!$K:$K,'Таблиця 1'!$B:$B,$A563,'Таблиця 1'!$I:$I,"Mi-8",'Таблиця 1'!$J:$J,"ARS-8")+SUMIFS('Таблиця 1'!$K:$K,'Таблиця 1'!$B:$B,$A563,'Таблиця 1'!$I:$I,"Mi-24",'Таблиця 1'!$J:$J,"ARS-8"))</f>
        <v/>
      </c>
      <c r="F563">
        <f>IF($A563="","",SUMIFS('Таблиця 1'!$K:$K,'Таблиця 1'!$B:$B,$A563,'Таблиця 1'!$I:$I,"Mi-8",'Таблиця 1'!$J:$J,"С-8 ком")+SUMIFS('Таблиця 1'!$K:$K,'Таблиця 1'!$B:$B,$A563,'Таблиця 1'!$I:$I,"Mi-24",'Таблиця 1'!$J:$J,"С-8 ком"))</f>
        <v/>
      </c>
      <c r="G563">
        <f>IF($A563="","",SUMIFS('Таблиця 1'!$K:$K,'Таблиця 1'!$B:$B,$A563,'Таблиця 1'!$I:$I,"Mi-8",'Таблиця 1'!$J:$J,"PC-80")+SUMIFS('Таблиця 1'!$K:$K,'Таблиця 1'!$B:$B,$A563,'Таблиця 1'!$I:$I,"Mi-24",'Таблиця 1'!$J:$J,"PC-80"))</f>
        <v/>
      </c>
      <c r="H563">
        <f>IF($A563="","",SUMIFS('Таблиця 1'!$K:$K,'Таблиця 1'!$B:$B,$A563,'Таблиця 1'!$I:$I,"Mi-8",'Таблиця 1'!$J:$J,"UAR-80")+SUMIFS('Таблиця 1'!$K:$K,'Таблиця 1'!$B:$B,$A563,'Таблиця 1'!$I:$I,"Mi-24",'Таблиця 1'!$J:$J,"UAR-80"))</f>
        <v/>
      </c>
      <c r="I563">
        <f>IF($A563="","",SUMIFS('Таблиця 1'!$K:$K,'Таблиця 1'!$B:$B,$A563,'Таблиця 1'!$I:$I,"Mi-8",'Таблиця 1'!$J:$J,"C-13")+SUMIFS('Таблиця 1'!$K:$K,'Таблиця 1'!$B:$B,$A563,'Таблиця 1'!$I:$I,"Mi-24",'Таблиця 1'!$J:$J,"C-13"))</f>
        <v/>
      </c>
      <c r="J563">
        <f>IF($A563="","",SUMIFS('Таблиця 1'!$K:$K,'Таблиця 1'!$B:$B,$A563,'Таблиця 1'!$I:$I,"Mi-8",'Таблиця 1'!$J:$J,"Hydra-70")+SUMIFS('Таблиця 1'!$K:$K,'Таблиця 1'!$B:$B,$A563,'Таблиця 1'!$I:$I,"Mi-24",'Таблиця 1'!$J:$J,"Hydra-70"))</f>
        <v/>
      </c>
      <c r="K563">
        <f>IF($A563="","",SUMIFS('Таблиця 1'!$K:$K,'Таблиця 1'!$B:$B,$A563,'Таблиця 1'!$I:$I,"Mi-8",'Таблиця 1'!$J:$J,"Thales-70")+SUMIFS('Таблиця 1'!$K:$K,'Таблиця 1'!$B:$B,$A563,'Таблиця 1'!$I:$I,"Mi-24",'Таблиця 1'!$J:$J,"Thales-70"))</f>
        <v/>
      </c>
      <c r="L563">
        <f>IF($A563="","",SUMIFS('Таблиця 1'!$K:$K,'Таблиця 1'!$B:$B,$A563,'Таблиця 1'!$I:$I,"Mi-8",'Таблиця 1'!$J:$J,"Thales-FZ")+SUMIFS('Таблиця 1'!$K:$K,'Таблиця 1'!$B:$B,$A563,'Таблиця 1'!$I:$I,"Mi-24",'Таблиця 1'!$J:$J,"Thales-FZ"))</f>
        <v/>
      </c>
      <c r="M563">
        <f>IF($A563="","",SUMIFS('Таблиця 1'!$K:$K,'Таблиця 1'!$B:$B,$A563,'Таблиця 1'!$I:$I,"Mi-8",'Таблиця 1'!$J:$J,"МК-40")+SUMIFS('Таблиця 1'!$K:$K,'Таблиця 1'!$B:$B,$A563,'Таблиця 1'!$I:$I,"Mi-24",'Таблиця 1'!$J:$J,"МК-40"))</f>
        <v/>
      </c>
      <c r="N563">
        <f>IF($A563="","",SUMIFS('Таблиця 1'!$K:$K,'Таблиця 1'!$B:$B,$A563,'Таблиця 1'!$I:$I,"Mi-8",'Таблиця 1'!$J:$J,"Zuni")+SUMIFS('Таблиця 1'!$K:$K,'Таблиця 1'!$B:$B,$A563,'Таблиця 1'!$I:$I,"Mi-24",'Таблиця 1'!$J:$J,"Zuni"))</f>
        <v/>
      </c>
      <c r="O563">
        <f>IF($A563="","",COUNTIFS('Таблиця 1'!$B:$B,$A563,'Таблиця 1'!$I:$I,"Mi-8",'Таблиця 1'!$L:$L,"Уражено")+COUNTIFS('Таблиця 1'!$B:$B,$A563,'Таблиця 1'!$I:$I,"Mi-24",'Таблиця 1'!$L:$L,"Уражено"))</f>
        <v/>
      </c>
      <c r="P563">
        <f>IF($A563="","",COUNTIFS('Таблиця 1'!$B:$B,$A563,'Таблиця 1'!$I:$I,"Mi-8",'Таблиця 1'!$L:$L,"НЕ уражено")+COUNTIFS('Таблиця 1'!$B:$B,$A563,'Таблиця 1'!$I:$I,"Mi-24",'Таблиця 1'!$L:$L,"НЕ уражено"))</f>
        <v/>
      </c>
    </row>
    <row r="564">
      <c r="A564" s="273">
        <f>IF(A563="","",IF(A563+1&gt;MAX('Таблиця 1'!$B:$B),"",A563+1))</f>
        <v/>
      </c>
      <c r="B564">
        <f>IF($A564="","",COUNTIFS('Таблиця 1'!$B:$B,$A564,'Таблиця 1'!$I:$I,"Mi-8")+COUNTIFS('Таблиця 1'!$B:$B,$A564,'Таблиця 1'!$I:$I,"Mi-24"))</f>
        <v/>
      </c>
      <c r="C564">
        <f>IF($A564="","",COUNTIFS('Таблиця 1'!$B:$B,$A564,'Таблиця 1'!$I:$I,"Mi-8"))</f>
        <v/>
      </c>
      <c r="D564">
        <f>IF($A564="","",COUNTIFS('Таблиця 1'!$B:$B,$A564,'Таблиця 1'!$I:$I,"Mi-24"))</f>
        <v/>
      </c>
      <c r="E564">
        <f>IF($A564="","",SUMIFS('Таблиця 1'!$K:$K,'Таблиця 1'!$B:$B,$A564,'Таблиця 1'!$I:$I,"Mi-8",'Таблиця 1'!$J:$J,"ARS-8")+SUMIFS('Таблиця 1'!$K:$K,'Таблиця 1'!$B:$B,$A564,'Таблиця 1'!$I:$I,"Mi-24",'Таблиця 1'!$J:$J,"ARS-8"))</f>
        <v/>
      </c>
      <c r="F564">
        <f>IF($A564="","",SUMIFS('Таблиця 1'!$K:$K,'Таблиця 1'!$B:$B,$A564,'Таблиця 1'!$I:$I,"Mi-8",'Таблиця 1'!$J:$J,"С-8 ком")+SUMIFS('Таблиця 1'!$K:$K,'Таблиця 1'!$B:$B,$A564,'Таблиця 1'!$I:$I,"Mi-24",'Таблиця 1'!$J:$J,"С-8 ком"))</f>
        <v/>
      </c>
      <c r="G564">
        <f>IF($A564="","",SUMIFS('Таблиця 1'!$K:$K,'Таблиця 1'!$B:$B,$A564,'Таблиця 1'!$I:$I,"Mi-8",'Таблиця 1'!$J:$J,"PC-80")+SUMIFS('Таблиця 1'!$K:$K,'Таблиця 1'!$B:$B,$A564,'Таблиця 1'!$I:$I,"Mi-24",'Таблиця 1'!$J:$J,"PC-80"))</f>
        <v/>
      </c>
      <c r="H564">
        <f>IF($A564="","",SUMIFS('Таблиця 1'!$K:$K,'Таблиця 1'!$B:$B,$A564,'Таблиця 1'!$I:$I,"Mi-8",'Таблиця 1'!$J:$J,"UAR-80")+SUMIFS('Таблиця 1'!$K:$K,'Таблиця 1'!$B:$B,$A564,'Таблиця 1'!$I:$I,"Mi-24",'Таблиця 1'!$J:$J,"UAR-80"))</f>
        <v/>
      </c>
      <c r="I564">
        <f>IF($A564="","",SUMIFS('Таблиця 1'!$K:$K,'Таблиця 1'!$B:$B,$A564,'Таблиця 1'!$I:$I,"Mi-8",'Таблиця 1'!$J:$J,"C-13")+SUMIFS('Таблиця 1'!$K:$K,'Таблиця 1'!$B:$B,$A564,'Таблиця 1'!$I:$I,"Mi-24",'Таблиця 1'!$J:$J,"C-13"))</f>
        <v/>
      </c>
      <c r="J564">
        <f>IF($A564="","",SUMIFS('Таблиця 1'!$K:$K,'Таблиця 1'!$B:$B,$A564,'Таблиця 1'!$I:$I,"Mi-8",'Таблиця 1'!$J:$J,"Hydra-70")+SUMIFS('Таблиця 1'!$K:$K,'Таблиця 1'!$B:$B,$A564,'Таблиця 1'!$I:$I,"Mi-24",'Таблиця 1'!$J:$J,"Hydra-70"))</f>
        <v/>
      </c>
      <c r="K564">
        <f>IF($A564="","",SUMIFS('Таблиця 1'!$K:$K,'Таблиця 1'!$B:$B,$A564,'Таблиця 1'!$I:$I,"Mi-8",'Таблиця 1'!$J:$J,"Thales-70")+SUMIFS('Таблиця 1'!$K:$K,'Таблиця 1'!$B:$B,$A564,'Таблиця 1'!$I:$I,"Mi-24",'Таблиця 1'!$J:$J,"Thales-70"))</f>
        <v/>
      </c>
      <c r="L564">
        <f>IF($A564="","",SUMIFS('Таблиця 1'!$K:$K,'Таблиця 1'!$B:$B,$A564,'Таблиця 1'!$I:$I,"Mi-8",'Таблиця 1'!$J:$J,"Thales-FZ")+SUMIFS('Таблиця 1'!$K:$K,'Таблиця 1'!$B:$B,$A564,'Таблиця 1'!$I:$I,"Mi-24",'Таблиця 1'!$J:$J,"Thales-FZ"))</f>
        <v/>
      </c>
      <c r="M564">
        <f>IF($A564="","",SUMIFS('Таблиця 1'!$K:$K,'Таблиця 1'!$B:$B,$A564,'Таблиця 1'!$I:$I,"Mi-8",'Таблиця 1'!$J:$J,"МК-40")+SUMIFS('Таблиця 1'!$K:$K,'Таблиця 1'!$B:$B,$A564,'Таблиця 1'!$I:$I,"Mi-24",'Таблиця 1'!$J:$J,"МК-40"))</f>
        <v/>
      </c>
      <c r="N564">
        <f>IF($A564="","",SUMIFS('Таблиця 1'!$K:$K,'Таблиця 1'!$B:$B,$A564,'Таблиця 1'!$I:$I,"Mi-8",'Таблиця 1'!$J:$J,"Zuni")+SUMIFS('Таблиця 1'!$K:$K,'Таблиця 1'!$B:$B,$A564,'Таблиця 1'!$I:$I,"Mi-24",'Таблиця 1'!$J:$J,"Zuni"))</f>
        <v/>
      </c>
      <c r="O564">
        <f>IF($A564="","",COUNTIFS('Таблиця 1'!$B:$B,$A564,'Таблиця 1'!$I:$I,"Mi-8",'Таблиця 1'!$L:$L,"Уражено")+COUNTIFS('Таблиця 1'!$B:$B,$A564,'Таблиця 1'!$I:$I,"Mi-24",'Таблиця 1'!$L:$L,"Уражено"))</f>
        <v/>
      </c>
      <c r="P564">
        <f>IF($A564="","",COUNTIFS('Таблиця 1'!$B:$B,$A564,'Таблиця 1'!$I:$I,"Mi-8",'Таблиця 1'!$L:$L,"НЕ уражено")+COUNTIFS('Таблиця 1'!$B:$B,$A564,'Таблиця 1'!$I:$I,"Mi-24",'Таблиця 1'!$L:$L,"НЕ уражено"))</f>
        <v/>
      </c>
    </row>
    <row r="565">
      <c r="A565" s="273">
        <f>IF(A564="","",IF(A564+1&gt;MAX('Таблиця 1'!$B:$B),"",A564+1))</f>
        <v/>
      </c>
      <c r="B565">
        <f>IF($A565="","",COUNTIFS('Таблиця 1'!$B:$B,$A565,'Таблиця 1'!$I:$I,"Mi-8")+COUNTIFS('Таблиця 1'!$B:$B,$A565,'Таблиця 1'!$I:$I,"Mi-24"))</f>
        <v/>
      </c>
      <c r="C565">
        <f>IF($A565="","",COUNTIFS('Таблиця 1'!$B:$B,$A565,'Таблиця 1'!$I:$I,"Mi-8"))</f>
        <v/>
      </c>
      <c r="D565">
        <f>IF($A565="","",COUNTIFS('Таблиця 1'!$B:$B,$A565,'Таблиця 1'!$I:$I,"Mi-24"))</f>
        <v/>
      </c>
      <c r="E565">
        <f>IF($A565="","",SUMIFS('Таблиця 1'!$K:$K,'Таблиця 1'!$B:$B,$A565,'Таблиця 1'!$I:$I,"Mi-8",'Таблиця 1'!$J:$J,"ARS-8")+SUMIFS('Таблиця 1'!$K:$K,'Таблиця 1'!$B:$B,$A565,'Таблиця 1'!$I:$I,"Mi-24",'Таблиця 1'!$J:$J,"ARS-8"))</f>
        <v/>
      </c>
      <c r="F565">
        <f>IF($A565="","",SUMIFS('Таблиця 1'!$K:$K,'Таблиця 1'!$B:$B,$A565,'Таблиця 1'!$I:$I,"Mi-8",'Таблиця 1'!$J:$J,"С-8 ком")+SUMIFS('Таблиця 1'!$K:$K,'Таблиця 1'!$B:$B,$A565,'Таблиця 1'!$I:$I,"Mi-24",'Таблиця 1'!$J:$J,"С-8 ком"))</f>
        <v/>
      </c>
      <c r="G565">
        <f>IF($A565="","",SUMIFS('Таблиця 1'!$K:$K,'Таблиця 1'!$B:$B,$A565,'Таблиця 1'!$I:$I,"Mi-8",'Таблиця 1'!$J:$J,"PC-80")+SUMIFS('Таблиця 1'!$K:$K,'Таблиця 1'!$B:$B,$A565,'Таблиця 1'!$I:$I,"Mi-24",'Таблиця 1'!$J:$J,"PC-80"))</f>
        <v/>
      </c>
      <c r="H565">
        <f>IF($A565="","",SUMIFS('Таблиця 1'!$K:$K,'Таблиця 1'!$B:$B,$A565,'Таблиця 1'!$I:$I,"Mi-8",'Таблиця 1'!$J:$J,"UAR-80")+SUMIFS('Таблиця 1'!$K:$K,'Таблиця 1'!$B:$B,$A565,'Таблиця 1'!$I:$I,"Mi-24",'Таблиця 1'!$J:$J,"UAR-80"))</f>
        <v/>
      </c>
      <c r="I565">
        <f>IF($A565="","",SUMIFS('Таблиця 1'!$K:$K,'Таблиця 1'!$B:$B,$A565,'Таблиця 1'!$I:$I,"Mi-8",'Таблиця 1'!$J:$J,"C-13")+SUMIFS('Таблиця 1'!$K:$K,'Таблиця 1'!$B:$B,$A565,'Таблиця 1'!$I:$I,"Mi-24",'Таблиця 1'!$J:$J,"C-13"))</f>
        <v/>
      </c>
      <c r="J565">
        <f>IF($A565="","",SUMIFS('Таблиця 1'!$K:$K,'Таблиця 1'!$B:$B,$A565,'Таблиця 1'!$I:$I,"Mi-8",'Таблиця 1'!$J:$J,"Hydra-70")+SUMIFS('Таблиця 1'!$K:$K,'Таблиця 1'!$B:$B,$A565,'Таблиця 1'!$I:$I,"Mi-24",'Таблиця 1'!$J:$J,"Hydra-70"))</f>
        <v/>
      </c>
      <c r="K565">
        <f>IF($A565="","",SUMIFS('Таблиця 1'!$K:$K,'Таблиця 1'!$B:$B,$A565,'Таблиця 1'!$I:$I,"Mi-8",'Таблиця 1'!$J:$J,"Thales-70")+SUMIFS('Таблиця 1'!$K:$K,'Таблиця 1'!$B:$B,$A565,'Таблиця 1'!$I:$I,"Mi-24",'Таблиця 1'!$J:$J,"Thales-70"))</f>
        <v/>
      </c>
      <c r="L565">
        <f>IF($A565="","",SUMIFS('Таблиця 1'!$K:$K,'Таблиця 1'!$B:$B,$A565,'Таблиця 1'!$I:$I,"Mi-8",'Таблиця 1'!$J:$J,"Thales-FZ")+SUMIFS('Таблиця 1'!$K:$K,'Таблиця 1'!$B:$B,$A565,'Таблиця 1'!$I:$I,"Mi-24",'Таблиця 1'!$J:$J,"Thales-FZ"))</f>
        <v/>
      </c>
      <c r="M565">
        <f>IF($A565="","",SUMIFS('Таблиця 1'!$K:$K,'Таблиця 1'!$B:$B,$A565,'Таблиця 1'!$I:$I,"Mi-8",'Таблиця 1'!$J:$J,"МК-40")+SUMIFS('Таблиця 1'!$K:$K,'Таблиця 1'!$B:$B,$A565,'Таблиця 1'!$I:$I,"Mi-24",'Таблиця 1'!$J:$J,"МК-40"))</f>
        <v/>
      </c>
      <c r="N565">
        <f>IF($A565="","",SUMIFS('Таблиця 1'!$K:$K,'Таблиця 1'!$B:$B,$A565,'Таблиця 1'!$I:$I,"Mi-8",'Таблиця 1'!$J:$J,"Zuni")+SUMIFS('Таблиця 1'!$K:$K,'Таблиця 1'!$B:$B,$A565,'Таблиця 1'!$I:$I,"Mi-24",'Таблиця 1'!$J:$J,"Zuni"))</f>
        <v/>
      </c>
      <c r="O565">
        <f>IF($A565="","",COUNTIFS('Таблиця 1'!$B:$B,$A565,'Таблиця 1'!$I:$I,"Mi-8",'Таблиця 1'!$L:$L,"Уражено")+COUNTIFS('Таблиця 1'!$B:$B,$A565,'Таблиця 1'!$I:$I,"Mi-24",'Таблиця 1'!$L:$L,"Уражено"))</f>
        <v/>
      </c>
      <c r="P565">
        <f>IF($A565="","",COUNTIFS('Таблиця 1'!$B:$B,$A565,'Таблиця 1'!$I:$I,"Mi-8",'Таблиця 1'!$L:$L,"НЕ уражено")+COUNTIFS('Таблиця 1'!$B:$B,$A565,'Таблиця 1'!$I:$I,"Mi-24",'Таблиця 1'!$L:$L,"НЕ уражено"))</f>
        <v/>
      </c>
    </row>
    <row r="566">
      <c r="A566" s="273">
        <f>IF(A565="","",IF(A565+1&gt;MAX('Таблиця 1'!$B:$B),"",A565+1))</f>
        <v/>
      </c>
      <c r="B566">
        <f>IF($A566="","",COUNTIFS('Таблиця 1'!$B:$B,$A566,'Таблиця 1'!$I:$I,"Mi-8")+COUNTIFS('Таблиця 1'!$B:$B,$A566,'Таблиця 1'!$I:$I,"Mi-24"))</f>
        <v/>
      </c>
      <c r="C566">
        <f>IF($A566="","",COUNTIFS('Таблиця 1'!$B:$B,$A566,'Таблиця 1'!$I:$I,"Mi-8"))</f>
        <v/>
      </c>
      <c r="D566">
        <f>IF($A566="","",COUNTIFS('Таблиця 1'!$B:$B,$A566,'Таблиця 1'!$I:$I,"Mi-24"))</f>
        <v/>
      </c>
      <c r="E566">
        <f>IF($A566="","",SUMIFS('Таблиця 1'!$K:$K,'Таблиця 1'!$B:$B,$A566,'Таблиця 1'!$I:$I,"Mi-8",'Таблиця 1'!$J:$J,"ARS-8")+SUMIFS('Таблиця 1'!$K:$K,'Таблиця 1'!$B:$B,$A566,'Таблиця 1'!$I:$I,"Mi-24",'Таблиця 1'!$J:$J,"ARS-8"))</f>
        <v/>
      </c>
      <c r="F566">
        <f>IF($A566="","",SUMIFS('Таблиця 1'!$K:$K,'Таблиця 1'!$B:$B,$A566,'Таблиця 1'!$I:$I,"Mi-8",'Таблиця 1'!$J:$J,"С-8 ком")+SUMIFS('Таблиця 1'!$K:$K,'Таблиця 1'!$B:$B,$A566,'Таблиця 1'!$I:$I,"Mi-24",'Таблиця 1'!$J:$J,"С-8 ком"))</f>
        <v/>
      </c>
      <c r="G566">
        <f>IF($A566="","",SUMIFS('Таблиця 1'!$K:$K,'Таблиця 1'!$B:$B,$A566,'Таблиця 1'!$I:$I,"Mi-8",'Таблиця 1'!$J:$J,"PC-80")+SUMIFS('Таблиця 1'!$K:$K,'Таблиця 1'!$B:$B,$A566,'Таблиця 1'!$I:$I,"Mi-24",'Таблиця 1'!$J:$J,"PC-80"))</f>
        <v/>
      </c>
      <c r="H566">
        <f>IF($A566="","",SUMIFS('Таблиця 1'!$K:$K,'Таблиця 1'!$B:$B,$A566,'Таблиця 1'!$I:$I,"Mi-8",'Таблиця 1'!$J:$J,"UAR-80")+SUMIFS('Таблиця 1'!$K:$K,'Таблиця 1'!$B:$B,$A566,'Таблиця 1'!$I:$I,"Mi-24",'Таблиця 1'!$J:$J,"UAR-80"))</f>
        <v/>
      </c>
      <c r="I566">
        <f>IF($A566="","",SUMIFS('Таблиця 1'!$K:$K,'Таблиця 1'!$B:$B,$A566,'Таблиця 1'!$I:$I,"Mi-8",'Таблиця 1'!$J:$J,"C-13")+SUMIFS('Таблиця 1'!$K:$K,'Таблиця 1'!$B:$B,$A566,'Таблиця 1'!$I:$I,"Mi-24",'Таблиця 1'!$J:$J,"C-13"))</f>
        <v/>
      </c>
      <c r="J566">
        <f>IF($A566="","",SUMIFS('Таблиця 1'!$K:$K,'Таблиця 1'!$B:$B,$A566,'Таблиця 1'!$I:$I,"Mi-8",'Таблиця 1'!$J:$J,"Hydra-70")+SUMIFS('Таблиця 1'!$K:$K,'Таблиця 1'!$B:$B,$A566,'Таблиця 1'!$I:$I,"Mi-24",'Таблиця 1'!$J:$J,"Hydra-70"))</f>
        <v/>
      </c>
      <c r="K566">
        <f>IF($A566="","",SUMIFS('Таблиця 1'!$K:$K,'Таблиця 1'!$B:$B,$A566,'Таблиця 1'!$I:$I,"Mi-8",'Таблиця 1'!$J:$J,"Thales-70")+SUMIFS('Таблиця 1'!$K:$K,'Таблиця 1'!$B:$B,$A566,'Таблиця 1'!$I:$I,"Mi-24",'Таблиця 1'!$J:$J,"Thales-70"))</f>
        <v/>
      </c>
      <c r="L566">
        <f>IF($A566="","",SUMIFS('Таблиця 1'!$K:$K,'Таблиця 1'!$B:$B,$A566,'Таблиця 1'!$I:$I,"Mi-8",'Таблиця 1'!$J:$J,"Thales-FZ")+SUMIFS('Таблиця 1'!$K:$K,'Таблиця 1'!$B:$B,$A566,'Таблиця 1'!$I:$I,"Mi-24",'Таблиця 1'!$J:$J,"Thales-FZ"))</f>
        <v/>
      </c>
      <c r="M566">
        <f>IF($A566="","",SUMIFS('Таблиця 1'!$K:$K,'Таблиця 1'!$B:$B,$A566,'Таблиця 1'!$I:$I,"Mi-8",'Таблиця 1'!$J:$J,"МК-40")+SUMIFS('Таблиця 1'!$K:$K,'Таблиця 1'!$B:$B,$A566,'Таблиця 1'!$I:$I,"Mi-24",'Таблиця 1'!$J:$J,"МК-40"))</f>
        <v/>
      </c>
      <c r="N566">
        <f>IF($A566="","",SUMIFS('Таблиця 1'!$K:$K,'Таблиця 1'!$B:$B,$A566,'Таблиця 1'!$I:$I,"Mi-8",'Таблиця 1'!$J:$J,"Zuni")+SUMIFS('Таблиця 1'!$K:$K,'Таблиця 1'!$B:$B,$A566,'Таблиця 1'!$I:$I,"Mi-24",'Таблиця 1'!$J:$J,"Zuni"))</f>
        <v/>
      </c>
      <c r="O566">
        <f>IF($A566="","",COUNTIFS('Таблиця 1'!$B:$B,$A566,'Таблиця 1'!$I:$I,"Mi-8",'Таблиця 1'!$L:$L,"Уражено")+COUNTIFS('Таблиця 1'!$B:$B,$A566,'Таблиця 1'!$I:$I,"Mi-24",'Таблиця 1'!$L:$L,"Уражено"))</f>
        <v/>
      </c>
      <c r="P566">
        <f>IF($A566="","",COUNTIFS('Таблиця 1'!$B:$B,$A566,'Таблиця 1'!$I:$I,"Mi-8",'Таблиця 1'!$L:$L,"НЕ уражено")+COUNTIFS('Таблиця 1'!$B:$B,$A566,'Таблиця 1'!$I:$I,"Mi-24",'Таблиця 1'!$L:$L,"НЕ уражено"))</f>
        <v/>
      </c>
    </row>
    <row r="567">
      <c r="A567" s="273">
        <f>IF(A566="","",IF(A566+1&gt;MAX('Таблиця 1'!$B:$B),"",A566+1))</f>
        <v/>
      </c>
      <c r="B567">
        <f>IF($A567="","",COUNTIFS('Таблиця 1'!$B:$B,$A567,'Таблиця 1'!$I:$I,"Mi-8")+COUNTIFS('Таблиця 1'!$B:$B,$A567,'Таблиця 1'!$I:$I,"Mi-24"))</f>
        <v/>
      </c>
      <c r="C567">
        <f>IF($A567="","",COUNTIFS('Таблиця 1'!$B:$B,$A567,'Таблиця 1'!$I:$I,"Mi-8"))</f>
        <v/>
      </c>
      <c r="D567">
        <f>IF($A567="","",COUNTIFS('Таблиця 1'!$B:$B,$A567,'Таблиця 1'!$I:$I,"Mi-24"))</f>
        <v/>
      </c>
      <c r="E567">
        <f>IF($A567="","",SUMIFS('Таблиця 1'!$K:$K,'Таблиця 1'!$B:$B,$A567,'Таблиця 1'!$I:$I,"Mi-8",'Таблиця 1'!$J:$J,"ARS-8")+SUMIFS('Таблиця 1'!$K:$K,'Таблиця 1'!$B:$B,$A567,'Таблиця 1'!$I:$I,"Mi-24",'Таблиця 1'!$J:$J,"ARS-8"))</f>
        <v/>
      </c>
      <c r="F567">
        <f>IF($A567="","",SUMIFS('Таблиця 1'!$K:$K,'Таблиця 1'!$B:$B,$A567,'Таблиця 1'!$I:$I,"Mi-8",'Таблиця 1'!$J:$J,"С-8 ком")+SUMIFS('Таблиця 1'!$K:$K,'Таблиця 1'!$B:$B,$A567,'Таблиця 1'!$I:$I,"Mi-24",'Таблиця 1'!$J:$J,"С-8 ком"))</f>
        <v/>
      </c>
      <c r="G567">
        <f>IF($A567="","",SUMIFS('Таблиця 1'!$K:$K,'Таблиця 1'!$B:$B,$A567,'Таблиця 1'!$I:$I,"Mi-8",'Таблиця 1'!$J:$J,"PC-80")+SUMIFS('Таблиця 1'!$K:$K,'Таблиця 1'!$B:$B,$A567,'Таблиця 1'!$I:$I,"Mi-24",'Таблиця 1'!$J:$J,"PC-80"))</f>
        <v/>
      </c>
      <c r="H567">
        <f>IF($A567="","",SUMIFS('Таблиця 1'!$K:$K,'Таблиця 1'!$B:$B,$A567,'Таблиця 1'!$I:$I,"Mi-8",'Таблиця 1'!$J:$J,"UAR-80")+SUMIFS('Таблиця 1'!$K:$K,'Таблиця 1'!$B:$B,$A567,'Таблиця 1'!$I:$I,"Mi-24",'Таблиця 1'!$J:$J,"UAR-80"))</f>
        <v/>
      </c>
      <c r="I567">
        <f>IF($A567="","",SUMIFS('Таблиця 1'!$K:$K,'Таблиця 1'!$B:$B,$A567,'Таблиця 1'!$I:$I,"Mi-8",'Таблиця 1'!$J:$J,"C-13")+SUMIFS('Таблиця 1'!$K:$K,'Таблиця 1'!$B:$B,$A567,'Таблиця 1'!$I:$I,"Mi-24",'Таблиця 1'!$J:$J,"C-13"))</f>
        <v/>
      </c>
      <c r="J567">
        <f>IF($A567="","",SUMIFS('Таблиця 1'!$K:$K,'Таблиця 1'!$B:$B,$A567,'Таблиця 1'!$I:$I,"Mi-8",'Таблиця 1'!$J:$J,"Hydra-70")+SUMIFS('Таблиця 1'!$K:$K,'Таблиця 1'!$B:$B,$A567,'Таблиця 1'!$I:$I,"Mi-24",'Таблиця 1'!$J:$J,"Hydra-70"))</f>
        <v/>
      </c>
      <c r="K567">
        <f>IF($A567="","",SUMIFS('Таблиця 1'!$K:$K,'Таблиця 1'!$B:$B,$A567,'Таблиця 1'!$I:$I,"Mi-8",'Таблиця 1'!$J:$J,"Thales-70")+SUMIFS('Таблиця 1'!$K:$K,'Таблиця 1'!$B:$B,$A567,'Таблиця 1'!$I:$I,"Mi-24",'Таблиця 1'!$J:$J,"Thales-70"))</f>
        <v/>
      </c>
      <c r="L567">
        <f>IF($A567="","",SUMIFS('Таблиця 1'!$K:$K,'Таблиця 1'!$B:$B,$A567,'Таблиця 1'!$I:$I,"Mi-8",'Таблиця 1'!$J:$J,"Thales-FZ")+SUMIFS('Таблиця 1'!$K:$K,'Таблиця 1'!$B:$B,$A567,'Таблиця 1'!$I:$I,"Mi-24",'Таблиця 1'!$J:$J,"Thales-FZ"))</f>
        <v/>
      </c>
      <c r="M567">
        <f>IF($A567="","",SUMIFS('Таблиця 1'!$K:$K,'Таблиця 1'!$B:$B,$A567,'Таблиця 1'!$I:$I,"Mi-8",'Таблиця 1'!$J:$J,"МК-40")+SUMIFS('Таблиця 1'!$K:$K,'Таблиця 1'!$B:$B,$A567,'Таблиця 1'!$I:$I,"Mi-24",'Таблиця 1'!$J:$J,"МК-40"))</f>
        <v/>
      </c>
      <c r="N567">
        <f>IF($A567="","",SUMIFS('Таблиця 1'!$K:$K,'Таблиця 1'!$B:$B,$A567,'Таблиця 1'!$I:$I,"Mi-8",'Таблиця 1'!$J:$J,"Zuni")+SUMIFS('Таблиця 1'!$K:$K,'Таблиця 1'!$B:$B,$A567,'Таблиця 1'!$I:$I,"Mi-24",'Таблиця 1'!$J:$J,"Zuni"))</f>
        <v/>
      </c>
      <c r="O567">
        <f>IF($A567="","",COUNTIFS('Таблиця 1'!$B:$B,$A567,'Таблиця 1'!$I:$I,"Mi-8",'Таблиця 1'!$L:$L,"Уражено")+COUNTIFS('Таблиця 1'!$B:$B,$A567,'Таблиця 1'!$I:$I,"Mi-24",'Таблиця 1'!$L:$L,"Уражено"))</f>
        <v/>
      </c>
      <c r="P567">
        <f>IF($A567="","",COUNTIFS('Таблиця 1'!$B:$B,$A567,'Таблиця 1'!$I:$I,"Mi-8",'Таблиця 1'!$L:$L,"НЕ уражено")+COUNTIFS('Таблиця 1'!$B:$B,$A567,'Таблиця 1'!$I:$I,"Mi-24",'Таблиця 1'!$L:$L,"НЕ уражено"))</f>
        <v/>
      </c>
    </row>
    <row r="568">
      <c r="A568" s="273">
        <f>IF(A567="","",IF(A567+1&gt;MAX('Таблиця 1'!$B:$B),"",A567+1))</f>
        <v/>
      </c>
      <c r="B568">
        <f>IF($A568="","",COUNTIFS('Таблиця 1'!$B:$B,$A568,'Таблиця 1'!$I:$I,"Mi-8")+COUNTIFS('Таблиця 1'!$B:$B,$A568,'Таблиця 1'!$I:$I,"Mi-24"))</f>
        <v/>
      </c>
      <c r="C568">
        <f>IF($A568="","",COUNTIFS('Таблиця 1'!$B:$B,$A568,'Таблиця 1'!$I:$I,"Mi-8"))</f>
        <v/>
      </c>
      <c r="D568">
        <f>IF($A568="","",COUNTIFS('Таблиця 1'!$B:$B,$A568,'Таблиця 1'!$I:$I,"Mi-24"))</f>
        <v/>
      </c>
      <c r="E568">
        <f>IF($A568="","",SUMIFS('Таблиця 1'!$K:$K,'Таблиця 1'!$B:$B,$A568,'Таблиця 1'!$I:$I,"Mi-8",'Таблиця 1'!$J:$J,"ARS-8")+SUMIFS('Таблиця 1'!$K:$K,'Таблиця 1'!$B:$B,$A568,'Таблиця 1'!$I:$I,"Mi-24",'Таблиця 1'!$J:$J,"ARS-8"))</f>
        <v/>
      </c>
      <c r="F568">
        <f>IF($A568="","",SUMIFS('Таблиця 1'!$K:$K,'Таблиця 1'!$B:$B,$A568,'Таблиця 1'!$I:$I,"Mi-8",'Таблиця 1'!$J:$J,"С-8 ком")+SUMIFS('Таблиця 1'!$K:$K,'Таблиця 1'!$B:$B,$A568,'Таблиця 1'!$I:$I,"Mi-24",'Таблиця 1'!$J:$J,"С-8 ком"))</f>
        <v/>
      </c>
      <c r="G568">
        <f>IF($A568="","",SUMIFS('Таблиця 1'!$K:$K,'Таблиця 1'!$B:$B,$A568,'Таблиця 1'!$I:$I,"Mi-8",'Таблиця 1'!$J:$J,"PC-80")+SUMIFS('Таблиця 1'!$K:$K,'Таблиця 1'!$B:$B,$A568,'Таблиця 1'!$I:$I,"Mi-24",'Таблиця 1'!$J:$J,"PC-80"))</f>
        <v/>
      </c>
      <c r="H568">
        <f>IF($A568="","",SUMIFS('Таблиця 1'!$K:$K,'Таблиця 1'!$B:$B,$A568,'Таблиця 1'!$I:$I,"Mi-8",'Таблиця 1'!$J:$J,"UAR-80")+SUMIFS('Таблиця 1'!$K:$K,'Таблиця 1'!$B:$B,$A568,'Таблиця 1'!$I:$I,"Mi-24",'Таблиця 1'!$J:$J,"UAR-80"))</f>
        <v/>
      </c>
      <c r="I568">
        <f>IF($A568="","",SUMIFS('Таблиця 1'!$K:$K,'Таблиця 1'!$B:$B,$A568,'Таблиця 1'!$I:$I,"Mi-8",'Таблиця 1'!$J:$J,"C-13")+SUMIFS('Таблиця 1'!$K:$K,'Таблиця 1'!$B:$B,$A568,'Таблиця 1'!$I:$I,"Mi-24",'Таблиця 1'!$J:$J,"C-13"))</f>
        <v/>
      </c>
      <c r="J568">
        <f>IF($A568="","",SUMIFS('Таблиця 1'!$K:$K,'Таблиця 1'!$B:$B,$A568,'Таблиця 1'!$I:$I,"Mi-8",'Таблиця 1'!$J:$J,"Hydra-70")+SUMIFS('Таблиця 1'!$K:$K,'Таблиця 1'!$B:$B,$A568,'Таблиця 1'!$I:$I,"Mi-24",'Таблиця 1'!$J:$J,"Hydra-70"))</f>
        <v/>
      </c>
      <c r="K568">
        <f>IF($A568="","",SUMIFS('Таблиця 1'!$K:$K,'Таблиця 1'!$B:$B,$A568,'Таблиця 1'!$I:$I,"Mi-8",'Таблиця 1'!$J:$J,"Thales-70")+SUMIFS('Таблиця 1'!$K:$K,'Таблиця 1'!$B:$B,$A568,'Таблиця 1'!$I:$I,"Mi-24",'Таблиця 1'!$J:$J,"Thales-70"))</f>
        <v/>
      </c>
      <c r="L568">
        <f>IF($A568="","",SUMIFS('Таблиця 1'!$K:$K,'Таблиця 1'!$B:$B,$A568,'Таблиця 1'!$I:$I,"Mi-8",'Таблиця 1'!$J:$J,"Thales-FZ")+SUMIFS('Таблиця 1'!$K:$K,'Таблиця 1'!$B:$B,$A568,'Таблиця 1'!$I:$I,"Mi-24",'Таблиця 1'!$J:$J,"Thales-FZ"))</f>
        <v/>
      </c>
      <c r="M568">
        <f>IF($A568="","",SUMIFS('Таблиця 1'!$K:$K,'Таблиця 1'!$B:$B,$A568,'Таблиця 1'!$I:$I,"Mi-8",'Таблиця 1'!$J:$J,"МК-40")+SUMIFS('Таблиця 1'!$K:$K,'Таблиця 1'!$B:$B,$A568,'Таблиця 1'!$I:$I,"Mi-24",'Таблиця 1'!$J:$J,"МК-40"))</f>
        <v/>
      </c>
      <c r="N568">
        <f>IF($A568="","",SUMIFS('Таблиця 1'!$K:$K,'Таблиця 1'!$B:$B,$A568,'Таблиця 1'!$I:$I,"Mi-8",'Таблиця 1'!$J:$J,"Zuni")+SUMIFS('Таблиця 1'!$K:$K,'Таблиця 1'!$B:$B,$A568,'Таблиця 1'!$I:$I,"Mi-24",'Таблиця 1'!$J:$J,"Zuni"))</f>
        <v/>
      </c>
      <c r="O568">
        <f>IF($A568="","",COUNTIFS('Таблиця 1'!$B:$B,$A568,'Таблиця 1'!$I:$I,"Mi-8",'Таблиця 1'!$L:$L,"Уражено")+COUNTIFS('Таблиця 1'!$B:$B,$A568,'Таблиця 1'!$I:$I,"Mi-24",'Таблиця 1'!$L:$L,"Уражено"))</f>
        <v/>
      </c>
      <c r="P568">
        <f>IF($A568="","",COUNTIFS('Таблиця 1'!$B:$B,$A568,'Таблиця 1'!$I:$I,"Mi-8",'Таблиця 1'!$L:$L,"НЕ уражено")+COUNTIFS('Таблиця 1'!$B:$B,$A568,'Таблиця 1'!$I:$I,"Mi-24",'Таблиця 1'!$L:$L,"НЕ уражено"))</f>
        <v/>
      </c>
    </row>
    <row r="569">
      <c r="A569" s="273">
        <f>IF(A568="","",IF(A568+1&gt;MAX('Таблиця 1'!$B:$B),"",A568+1))</f>
        <v/>
      </c>
      <c r="B569">
        <f>IF($A569="","",COUNTIFS('Таблиця 1'!$B:$B,$A569,'Таблиця 1'!$I:$I,"Mi-8")+COUNTIFS('Таблиця 1'!$B:$B,$A569,'Таблиця 1'!$I:$I,"Mi-24"))</f>
        <v/>
      </c>
      <c r="C569">
        <f>IF($A569="","",COUNTIFS('Таблиця 1'!$B:$B,$A569,'Таблиця 1'!$I:$I,"Mi-8"))</f>
        <v/>
      </c>
      <c r="D569">
        <f>IF($A569="","",COUNTIFS('Таблиця 1'!$B:$B,$A569,'Таблиця 1'!$I:$I,"Mi-24"))</f>
        <v/>
      </c>
      <c r="E569">
        <f>IF($A569="","",SUMIFS('Таблиця 1'!$K:$K,'Таблиця 1'!$B:$B,$A569,'Таблиця 1'!$I:$I,"Mi-8",'Таблиця 1'!$J:$J,"ARS-8")+SUMIFS('Таблиця 1'!$K:$K,'Таблиця 1'!$B:$B,$A569,'Таблиця 1'!$I:$I,"Mi-24",'Таблиця 1'!$J:$J,"ARS-8"))</f>
        <v/>
      </c>
      <c r="F569">
        <f>IF($A569="","",SUMIFS('Таблиця 1'!$K:$K,'Таблиця 1'!$B:$B,$A569,'Таблиця 1'!$I:$I,"Mi-8",'Таблиця 1'!$J:$J,"С-8 ком")+SUMIFS('Таблиця 1'!$K:$K,'Таблиця 1'!$B:$B,$A569,'Таблиця 1'!$I:$I,"Mi-24",'Таблиця 1'!$J:$J,"С-8 ком"))</f>
        <v/>
      </c>
      <c r="G569">
        <f>IF($A569="","",SUMIFS('Таблиця 1'!$K:$K,'Таблиця 1'!$B:$B,$A569,'Таблиця 1'!$I:$I,"Mi-8",'Таблиця 1'!$J:$J,"PC-80")+SUMIFS('Таблиця 1'!$K:$K,'Таблиця 1'!$B:$B,$A569,'Таблиця 1'!$I:$I,"Mi-24",'Таблиця 1'!$J:$J,"PC-80"))</f>
        <v/>
      </c>
      <c r="H569">
        <f>IF($A569="","",SUMIFS('Таблиця 1'!$K:$K,'Таблиця 1'!$B:$B,$A569,'Таблиця 1'!$I:$I,"Mi-8",'Таблиця 1'!$J:$J,"UAR-80")+SUMIFS('Таблиця 1'!$K:$K,'Таблиця 1'!$B:$B,$A569,'Таблиця 1'!$I:$I,"Mi-24",'Таблиця 1'!$J:$J,"UAR-80"))</f>
        <v/>
      </c>
      <c r="I569">
        <f>IF($A569="","",SUMIFS('Таблиця 1'!$K:$K,'Таблиця 1'!$B:$B,$A569,'Таблиця 1'!$I:$I,"Mi-8",'Таблиця 1'!$J:$J,"C-13")+SUMIFS('Таблиця 1'!$K:$K,'Таблиця 1'!$B:$B,$A569,'Таблиця 1'!$I:$I,"Mi-24",'Таблиця 1'!$J:$J,"C-13"))</f>
        <v/>
      </c>
      <c r="J569">
        <f>IF($A569="","",SUMIFS('Таблиця 1'!$K:$K,'Таблиця 1'!$B:$B,$A569,'Таблиця 1'!$I:$I,"Mi-8",'Таблиця 1'!$J:$J,"Hydra-70")+SUMIFS('Таблиця 1'!$K:$K,'Таблиця 1'!$B:$B,$A569,'Таблиця 1'!$I:$I,"Mi-24",'Таблиця 1'!$J:$J,"Hydra-70"))</f>
        <v/>
      </c>
      <c r="K569">
        <f>IF($A569="","",SUMIFS('Таблиця 1'!$K:$K,'Таблиця 1'!$B:$B,$A569,'Таблиця 1'!$I:$I,"Mi-8",'Таблиця 1'!$J:$J,"Thales-70")+SUMIFS('Таблиця 1'!$K:$K,'Таблиця 1'!$B:$B,$A569,'Таблиця 1'!$I:$I,"Mi-24",'Таблиця 1'!$J:$J,"Thales-70"))</f>
        <v/>
      </c>
      <c r="L569">
        <f>IF($A569="","",SUMIFS('Таблиця 1'!$K:$K,'Таблиця 1'!$B:$B,$A569,'Таблиця 1'!$I:$I,"Mi-8",'Таблиця 1'!$J:$J,"Thales-FZ")+SUMIFS('Таблиця 1'!$K:$K,'Таблиця 1'!$B:$B,$A569,'Таблиця 1'!$I:$I,"Mi-24",'Таблиця 1'!$J:$J,"Thales-FZ"))</f>
        <v/>
      </c>
      <c r="M569">
        <f>IF($A569="","",SUMIFS('Таблиця 1'!$K:$K,'Таблиця 1'!$B:$B,$A569,'Таблиця 1'!$I:$I,"Mi-8",'Таблиця 1'!$J:$J,"МК-40")+SUMIFS('Таблиця 1'!$K:$K,'Таблиця 1'!$B:$B,$A569,'Таблиця 1'!$I:$I,"Mi-24",'Таблиця 1'!$J:$J,"МК-40"))</f>
        <v/>
      </c>
      <c r="N569">
        <f>IF($A569="","",SUMIFS('Таблиця 1'!$K:$K,'Таблиця 1'!$B:$B,$A569,'Таблиця 1'!$I:$I,"Mi-8",'Таблиця 1'!$J:$J,"Zuni")+SUMIFS('Таблиця 1'!$K:$K,'Таблиця 1'!$B:$B,$A569,'Таблиця 1'!$I:$I,"Mi-24",'Таблиця 1'!$J:$J,"Zuni"))</f>
        <v/>
      </c>
      <c r="O569">
        <f>IF($A569="","",COUNTIFS('Таблиця 1'!$B:$B,$A569,'Таблиця 1'!$I:$I,"Mi-8",'Таблиця 1'!$L:$L,"Уражено")+COUNTIFS('Таблиця 1'!$B:$B,$A569,'Таблиця 1'!$I:$I,"Mi-24",'Таблиця 1'!$L:$L,"Уражено"))</f>
        <v/>
      </c>
      <c r="P569">
        <f>IF($A569="","",COUNTIFS('Таблиця 1'!$B:$B,$A569,'Таблиця 1'!$I:$I,"Mi-8",'Таблиця 1'!$L:$L,"НЕ уражено")+COUNTIFS('Таблиця 1'!$B:$B,$A569,'Таблиця 1'!$I:$I,"Mi-24",'Таблиця 1'!$L:$L,"НЕ уражено"))</f>
        <v/>
      </c>
    </row>
    <row r="570">
      <c r="A570" s="273">
        <f>IF(A569="","",IF(A569+1&gt;MAX('Таблиця 1'!$B:$B),"",A569+1))</f>
        <v/>
      </c>
      <c r="B570">
        <f>IF($A570="","",COUNTIFS('Таблиця 1'!$B:$B,$A570,'Таблиця 1'!$I:$I,"Mi-8")+COUNTIFS('Таблиця 1'!$B:$B,$A570,'Таблиця 1'!$I:$I,"Mi-24"))</f>
        <v/>
      </c>
      <c r="C570">
        <f>IF($A570="","",COUNTIFS('Таблиця 1'!$B:$B,$A570,'Таблиця 1'!$I:$I,"Mi-8"))</f>
        <v/>
      </c>
      <c r="D570">
        <f>IF($A570="","",COUNTIFS('Таблиця 1'!$B:$B,$A570,'Таблиця 1'!$I:$I,"Mi-24"))</f>
        <v/>
      </c>
      <c r="E570">
        <f>IF($A570="","",SUMIFS('Таблиця 1'!$K:$K,'Таблиця 1'!$B:$B,$A570,'Таблиця 1'!$I:$I,"Mi-8",'Таблиця 1'!$J:$J,"ARS-8")+SUMIFS('Таблиця 1'!$K:$K,'Таблиця 1'!$B:$B,$A570,'Таблиця 1'!$I:$I,"Mi-24",'Таблиця 1'!$J:$J,"ARS-8"))</f>
        <v/>
      </c>
      <c r="F570">
        <f>IF($A570="","",SUMIFS('Таблиця 1'!$K:$K,'Таблиця 1'!$B:$B,$A570,'Таблиця 1'!$I:$I,"Mi-8",'Таблиця 1'!$J:$J,"С-8 ком")+SUMIFS('Таблиця 1'!$K:$K,'Таблиця 1'!$B:$B,$A570,'Таблиця 1'!$I:$I,"Mi-24",'Таблиця 1'!$J:$J,"С-8 ком"))</f>
        <v/>
      </c>
      <c r="G570">
        <f>IF($A570="","",SUMIFS('Таблиця 1'!$K:$K,'Таблиця 1'!$B:$B,$A570,'Таблиця 1'!$I:$I,"Mi-8",'Таблиця 1'!$J:$J,"PC-80")+SUMIFS('Таблиця 1'!$K:$K,'Таблиця 1'!$B:$B,$A570,'Таблиця 1'!$I:$I,"Mi-24",'Таблиця 1'!$J:$J,"PC-80"))</f>
        <v/>
      </c>
      <c r="H570">
        <f>IF($A570="","",SUMIFS('Таблиця 1'!$K:$K,'Таблиця 1'!$B:$B,$A570,'Таблиця 1'!$I:$I,"Mi-8",'Таблиця 1'!$J:$J,"UAR-80")+SUMIFS('Таблиця 1'!$K:$K,'Таблиця 1'!$B:$B,$A570,'Таблиця 1'!$I:$I,"Mi-24",'Таблиця 1'!$J:$J,"UAR-80"))</f>
        <v/>
      </c>
      <c r="I570">
        <f>IF($A570="","",SUMIFS('Таблиця 1'!$K:$K,'Таблиця 1'!$B:$B,$A570,'Таблиця 1'!$I:$I,"Mi-8",'Таблиця 1'!$J:$J,"C-13")+SUMIFS('Таблиця 1'!$K:$K,'Таблиця 1'!$B:$B,$A570,'Таблиця 1'!$I:$I,"Mi-24",'Таблиця 1'!$J:$J,"C-13"))</f>
        <v/>
      </c>
      <c r="J570">
        <f>IF($A570="","",SUMIFS('Таблиця 1'!$K:$K,'Таблиця 1'!$B:$B,$A570,'Таблиця 1'!$I:$I,"Mi-8",'Таблиця 1'!$J:$J,"Hydra-70")+SUMIFS('Таблиця 1'!$K:$K,'Таблиця 1'!$B:$B,$A570,'Таблиця 1'!$I:$I,"Mi-24",'Таблиця 1'!$J:$J,"Hydra-70"))</f>
        <v/>
      </c>
      <c r="K570">
        <f>IF($A570="","",SUMIFS('Таблиця 1'!$K:$K,'Таблиця 1'!$B:$B,$A570,'Таблиця 1'!$I:$I,"Mi-8",'Таблиця 1'!$J:$J,"Thales-70")+SUMIFS('Таблиця 1'!$K:$K,'Таблиця 1'!$B:$B,$A570,'Таблиця 1'!$I:$I,"Mi-24",'Таблиця 1'!$J:$J,"Thales-70"))</f>
        <v/>
      </c>
      <c r="L570">
        <f>IF($A570="","",SUMIFS('Таблиця 1'!$K:$K,'Таблиця 1'!$B:$B,$A570,'Таблиця 1'!$I:$I,"Mi-8",'Таблиця 1'!$J:$J,"Thales-FZ")+SUMIFS('Таблиця 1'!$K:$K,'Таблиця 1'!$B:$B,$A570,'Таблиця 1'!$I:$I,"Mi-24",'Таблиця 1'!$J:$J,"Thales-FZ"))</f>
        <v/>
      </c>
      <c r="M570">
        <f>IF($A570="","",SUMIFS('Таблиця 1'!$K:$K,'Таблиця 1'!$B:$B,$A570,'Таблиця 1'!$I:$I,"Mi-8",'Таблиця 1'!$J:$J,"МК-40")+SUMIFS('Таблиця 1'!$K:$K,'Таблиця 1'!$B:$B,$A570,'Таблиця 1'!$I:$I,"Mi-24",'Таблиця 1'!$J:$J,"МК-40"))</f>
        <v/>
      </c>
      <c r="N570">
        <f>IF($A570="","",SUMIFS('Таблиця 1'!$K:$K,'Таблиця 1'!$B:$B,$A570,'Таблиця 1'!$I:$I,"Mi-8",'Таблиця 1'!$J:$J,"Zuni")+SUMIFS('Таблиця 1'!$K:$K,'Таблиця 1'!$B:$B,$A570,'Таблиця 1'!$I:$I,"Mi-24",'Таблиця 1'!$J:$J,"Zuni"))</f>
        <v/>
      </c>
      <c r="O570">
        <f>IF($A570="","",COUNTIFS('Таблиця 1'!$B:$B,$A570,'Таблиця 1'!$I:$I,"Mi-8",'Таблиця 1'!$L:$L,"Уражено")+COUNTIFS('Таблиця 1'!$B:$B,$A570,'Таблиця 1'!$I:$I,"Mi-24",'Таблиця 1'!$L:$L,"Уражено"))</f>
        <v/>
      </c>
      <c r="P570">
        <f>IF($A570="","",COUNTIFS('Таблиця 1'!$B:$B,$A570,'Таблиця 1'!$I:$I,"Mi-8",'Таблиця 1'!$L:$L,"НЕ уражено")+COUNTIFS('Таблиця 1'!$B:$B,$A570,'Таблиця 1'!$I:$I,"Mi-24",'Таблиця 1'!$L:$L,"НЕ уражено"))</f>
        <v/>
      </c>
    </row>
    <row r="571">
      <c r="A571" s="273">
        <f>IF(A570="","",IF(A570+1&gt;MAX('Таблиця 1'!$B:$B),"",A570+1))</f>
        <v/>
      </c>
      <c r="B571">
        <f>IF($A571="","",COUNTIFS('Таблиця 1'!$B:$B,$A571,'Таблиця 1'!$I:$I,"Mi-8")+COUNTIFS('Таблиця 1'!$B:$B,$A571,'Таблиця 1'!$I:$I,"Mi-24"))</f>
        <v/>
      </c>
      <c r="C571">
        <f>IF($A571="","",COUNTIFS('Таблиця 1'!$B:$B,$A571,'Таблиця 1'!$I:$I,"Mi-8"))</f>
        <v/>
      </c>
      <c r="D571">
        <f>IF($A571="","",COUNTIFS('Таблиця 1'!$B:$B,$A571,'Таблиця 1'!$I:$I,"Mi-24"))</f>
        <v/>
      </c>
      <c r="E571">
        <f>IF($A571="","",SUMIFS('Таблиця 1'!$K:$K,'Таблиця 1'!$B:$B,$A571,'Таблиця 1'!$I:$I,"Mi-8",'Таблиця 1'!$J:$J,"ARS-8")+SUMIFS('Таблиця 1'!$K:$K,'Таблиця 1'!$B:$B,$A571,'Таблиця 1'!$I:$I,"Mi-24",'Таблиця 1'!$J:$J,"ARS-8"))</f>
        <v/>
      </c>
      <c r="F571">
        <f>IF($A571="","",SUMIFS('Таблиця 1'!$K:$K,'Таблиця 1'!$B:$B,$A571,'Таблиця 1'!$I:$I,"Mi-8",'Таблиця 1'!$J:$J,"С-8 ком")+SUMIFS('Таблиця 1'!$K:$K,'Таблиця 1'!$B:$B,$A571,'Таблиця 1'!$I:$I,"Mi-24",'Таблиця 1'!$J:$J,"С-8 ком"))</f>
        <v/>
      </c>
      <c r="G571">
        <f>IF($A571="","",SUMIFS('Таблиця 1'!$K:$K,'Таблиця 1'!$B:$B,$A571,'Таблиця 1'!$I:$I,"Mi-8",'Таблиця 1'!$J:$J,"PC-80")+SUMIFS('Таблиця 1'!$K:$K,'Таблиця 1'!$B:$B,$A571,'Таблиця 1'!$I:$I,"Mi-24",'Таблиця 1'!$J:$J,"PC-80"))</f>
        <v/>
      </c>
      <c r="H571">
        <f>IF($A571="","",SUMIFS('Таблиця 1'!$K:$K,'Таблиця 1'!$B:$B,$A571,'Таблиця 1'!$I:$I,"Mi-8",'Таблиця 1'!$J:$J,"UAR-80")+SUMIFS('Таблиця 1'!$K:$K,'Таблиця 1'!$B:$B,$A571,'Таблиця 1'!$I:$I,"Mi-24",'Таблиця 1'!$J:$J,"UAR-80"))</f>
        <v/>
      </c>
      <c r="I571">
        <f>IF($A571="","",SUMIFS('Таблиця 1'!$K:$K,'Таблиця 1'!$B:$B,$A571,'Таблиця 1'!$I:$I,"Mi-8",'Таблиця 1'!$J:$J,"C-13")+SUMIFS('Таблиця 1'!$K:$K,'Таблиця 1'!$B:$B,$A571,'Таблиця 1'!$I:$I,"Mi-24",'Таблиця 1'!$J:$J,"C-13"))</f>
        <v/>
      </c>
      <c r="J571">
        <f>IF($A571="","",SUMIFS('Таблиця 1'!$K:$K,'Таблиця 1'!$B:$B,$A571,'Таблиця 1'!$I:$I,"Mi-8",'Таблиця 1'!$J:$J,"Hydra-70")+SUMIFS('Таблиця 1'!$K:$K,'Таблиця 1'!$B:$B,$A571,'Таблиця 1'!$I:$I,"Mi-24",'Таблиця 1'!$J:$J,"Hydra-70"))</f>
        <v/>
      </c>
      <c r="K571">
        <f>IF($A571="","",SUMIFS('Таблиця 1'!$K:$K,'Таблиця 1'!$B:$B,$A571,'Таблиця 1'!$I:$I,"Mi-8",'Таблиця 1'!$J:$J,"Thales-70")+SUMIFS('Таблиця 1'!$K:$K,'Таблиця 1'!$B:$B,$A571,'Таблиця 1'!$I:$I,"Mi-24",'Таблиця 1'!$J:$J,"Thales-70"))</f>
        <v/>
      </c>
      <c r="L571">
        <f>IF($A571="","",SUMIFS('Таблиця 1'!$K:$K,'Таблиця 1'!$B:$B,$A571,'Таблиця 1'!$I:$I,"Mi-8",'Таблиця 1'!$J:$J,"Thales-FZ")+SUMIFS('Таблиця 1'!$K:$K,'Таблиця 1'!$B:$B,$A571,'Таблиця 1'!$I:$I,"Mi-24",'Таблиця 1'!$J:$J,"Thales-FZ"))</f>
        <v/>
      </c>
      <c r="M571">
        <f>IF($A571="","",SUMIFS('Таблиця 1'!$K:$K,'Таблиця 1'!$B:$B,$A571,'Таблиця 1'!$I:$I,"Mi-8",'Таблиця 1'!$J:$J,"МК-40")+SUMIFS('Таблиця 1'!$K:$K,'Таблиця 1'!$B:$B,$A571,'Таблиця 1'!$I:$I,"Mi-24",'Таблиця 1'!$J:$J,"МК-40"))</f>
        <v/>
      </c>
      <c r="N571">
        <f>IF($A571="","",SUMIFS('Таблиця 1'!$K:$K,'Таблиця 1'!$B:$B,$A571,'Таблиця 1'!$I:$I,"Mi-8",'Таблиця 1'!$J:$J,"Zuni")+SUMIFS('Таблиця 1'!$K:$K,'Таблиця 1'!$B:$B,$A571,'Таблиця 1'!$I:$I,"Mi-24",'Таблиця 1'!$J:$J,"Zuni"))</f>
        <v/>
      </c>
      <c r="O571">
        <f>IF($A571="","",COUNTIFS('Таблиця 1'!$B:$B,$A571,'Таблиця 1'!$I:$I,"Mi-8",'Таблиця 1'!$L:$L,"Уражено")+COUNTIFS('Таблиця 1'!$B:$B,$A571,'Таблиця 1'!$I:$I,"Mi-24",'Таблиця 1'!$L:$L,"Уражено"))</f>
        <v/>
      </c>
      <c r="P571">
        <f>IF($A571="","",COUNTIFS('Таблиця 1'!$B:$B,$A571,'Таблиця 1'!$I:$I,"Mi-8",'Таблиця 1'!$L:$L,"НЕ уражено")+COUNTIFS('Таблиця 1'!$B:$B,$A571,'Таблиця 1'!$I:$I,"Mi-24",'Таблиця 1'!$L:$L,"НЕ уражено"))</f>
        <v/>
      </c>
    </row>
    <row r="572">
      <c r="A572" s="273">
        <f>IF(A571="","",IF(A571+1&gt;MAX('Таблиця 1'!$B:$B),"",A571+1))</f>
        <v/>
      </c>
      <c r="B572">
        <f>IF($A572="","",COUNTIFS('Таблиця 1'!$B:$B,$A572,'Таблиця 1'!$I:$I,"Mi-8")+COUNTIFS('Таблиця 1'!$B:$B,$A572,'Таблиця 1'!$I:$I,"Mi-24"))</f>
        <v/>
      </c>
      <c r="C572">
        <f>IF($A572="","",COUNTIFS('Таблиця 1'!$B:$B,$A572,'Таблиця 1'!$I:$I,"Mi-8"))</f>
        <v/>
      </c>
      <c r="D572">
        <f>IF($A572="","",COUNTIFS('Таблиця 1'!$B:$B,$A572,'Таблиця 1'!$I:$I,"Mi-24"))</f>
        <v/>
      </c>
      <c r="E572">
        <f>IF($A572="","",SUMIFS('Таблиця 1'!$K:$K,'Таблиця 1'!$B:$B,$A572,'Таблиця 1'!$I:$I,"Mi-8",'Таблиця 1'!$J:$J,"ARS-8")+SUMIFS('Таблиця 1'!$K:$K,'Таблиця 1'!$B:$B,$A572,'Таблиця 1'!$I:$I,"Mi-24",'Таблиця 1'!$J:$J,"ARS-8"))</f>
        <v/>
      </c>
      <c r="F572">
        <f>IF($A572="","",SUMIFS('Таблиця 1'!$K:$K,'Таблиця 1'!$B:$B,$A572,'Таблиця 1'!$I:$I,"Mi-8",'Таблиця 1'!$J:$J,"С-8 ком")+SUMIFS('Таблиця 1'!$K:$K,'Таблиця 1'!$B:$B,$A572,'Таблиця 1'!$I:$I,"Mi-24",'Таблиця 1'!$J:$J,"С-8 ком"))</f>
        <v/>
      </c>
      <c r="G572">
        <f>IF($A572="","",SUMIFS('Таблиця 1'!$K:$K,'Таблиця 1'!$B:$B,$A572,'Таблиця 1'!$I:$I,"Mi-8",'Таблиця 1'!$J:$J,"PC-80")+SUMIFS('Таблиця 1'!$K:$K,'Таблиця 1'!$B:$B,$A572,'Таблиця 1'!$I:$I,"Mi-24",'Таблиця 1'!$J:$J,"PC-80"))</f>
        <v/>
      </c>
      <c r="H572">
        <f>IF($A572="","",SUMIFS('Таблиця 1'!$K:$K,'Таблиця 1'!$B:$B,$A572,'Таблиця 1'!$I:$I,"Mi-8",'Таблиця 1'!$J:$J,"UAR-80")+SUMIFS('Таблиця 1'!$K:$K,'Таблиця 1'!$B:$B,$A572,'Таблиця 1'!$I:$I,"Mi-24",'Таблиця 1'!$J:$J,"UAR-80"))</f>
        <v/>
      </c>
      <c r="I572">
        <f>IF($A572="","",SUMIFS('Таблиця 1'!$K:$K,'Таблиця 1'!$B:$B,$A572,'Таблиця 1'!$I:$I,"Mi-8",'Таблиця 1'!$J:$J,"C-13")+SUMIFS('Таблиця 1'!$K:$K,'Таблиця 1'!$B:$B,$A572,'Таблиця 1'!$I:$I,"Mi-24",'Таблиця 1'!$J:$J,"C-13"))</f>
        <v/>
      </c>
      <c r="J572">
        <f>IF($A572="","",SUMIFS('Таблиця 1'!$K:$K,'Таблиця 1'!$B:$B,$A572,'Таблиця 1'!$I:$I,"Mi-8",'Таблиця 1'!$J:$J,"Hydra-70")+SUMIFS('Таблиця 1'!$K:$K,'Таблиця 1'!$B:$B,$A572,'Таблиця 1'!$I:$I,"Mi-24",'Таблиця 1'!$J:$J,"Hydra-70"))</f>
        <v/>
      </c>
      <c r="K572">
        <f>IF($A572="","",SUMIFS('Таблиця 1'!$K:$K,'Таблиця 1'!$B:$B,$A572,'Таблиця 1'!$I:$I,"Mi-8",'Таблиця 1'!$J:$J,"Thales-70")+SUMIFS('Таблиця 1'!$K:$K,'Таблиця 1'!$B:$B,$A572,'Таблиця 1'!$I:$I,"Mi-24",'Таблиця 1'!$J:$J,"Thales-70"))</f>
        <v/>
      </c>
      <c r="L572">
        <f>IF($A572="","",SUMIFS('Таблиця 1'!$K:$K,'Таблиця 1'!$B:$B,$A572,'Таблиця 1'!$I:$I,"Mi-8",'Таблиця 1'!$J:$J,"Thales-FZ")+SUMIFS('Таблиця 1'!$K:$K,'Таблиця 1'!$B:$B,$A572,'Таблиця 1'!$I:$I,"Mi-24",'Таблиця 1'!$J:$J,"Thales-FZ"))</f>
        <v/>
      </c>
      <c r="M572">
        <f>IF($A572="","",SUMIFS('Таблиця 1'!$K:$K,'Таблиця 1'!$B:$B,$A572,'Таблиця 1'!$I:$I,"Mi-8",'Таблиця 1'!$J:$J,"МК-40")+SUMIFS('Таблиця 1'!$K:$K,'Таблиця 1'!$B:$B,$A572,'Таблиця 1'!$I:$I,"Mi-24",'Таблиця 1'!$J:$J,"МК-40"))</f>
        <v/>
      </c>
      <c r="N572">
        <f>IF($A572="","",SUMIFS('Таблиця 1'!$K:$K,'Таблиця 1'!$B:$B,$A572,'Таблиця 1'!$I:$I,"Mi-8",'Таблиця 1'!$J:$J,"Zuni")+SUMIFS('Таблиця 1'!$K:$K,'Таблиця 1'!$B:$B,$A572,'Таблиця 1'!$I:$I,"Mi-24",'Таблиця 1'!$J:$J,"Zuni"))</f>
        <v/>
      </c>
      <c r="O572">
        <f>IF($A572="","",COUNTIFS('Таблиця 1'!$B:$B,$A572,'Таблиця 1'!$I:$I,"Mi-8",'Таблиця 1'!$L:$L,"Уражено")+COUNTIFS('Таблиця 1'!$B:$B,$A572,'Таблиця 1'!$I:$I,"Mi-24",'Таблиця 1'!$L:$L,"Уражено"))</f>
        <v/>
      </c>
      <c r="P572">
        <f>IF($A572="","",COUNTIFS('Таблиця 1'!$B:$B,$A572,'Таблиця 1'!$I:$I,"Mi-8",'Таблиця 1'!$L:$L,"НЕ уражено")+COUNTIFS('Таблиця 1'!$B:$B,$A572,'Таблиця 1'!$I:$I,"Mi-24",'Таблиця 1'!$L:$L,"НЕ уражено"))</f>
        <v/>
      </c>
    </row>
    <row r="573">
      <c r="A573" s="273">
        <f>IF(A572="","",IF(A572+1&gt;MAX('Таблиця 1'!$B:$B),"",A572+1))</f>
        <v/>
      </c>
      <c r="B573">
        <f>IF($A573="","",COUNTIFS('Таблиця 1'!$B:$B,$A573,'Таблиця 1'!$I:$I,"Mi-8")+COUNTIFS('Таблиця 1'!$B:$B,$A573,'Таблиця 1'!$I:$I,"Mi-24"))</f>
        <v/>
      </c>
      <c r="C573">
        <f>IF($A573="","",COUNTIFS('Таблиця 1'!$B:$B,$A573,'Таблиця 1'!$I:$I,"Mi-8"))</f>
        <v/>
      </c>
      <c r="D573">
        <f>IF($A573="","",COUNTIFS('Таблиця 1'!$B:$B,$A573,'Таблиця 1'!$I:$I,"Mi-24"))</f>
        <v/>
      </c>
      <c r="E573">
        <f>IF($A573="","",SUMIFS('Таблиця 1'!$K:$K,'Таблиця 1'!$B:$B,$A573,'Таблиця 1'!$I:$I,"Mi-8",'Таблиця 1'!$J:$J,"ARS-8")+SUMIFS('Таблиця 1'!$K:$K,'Таблиця 1'!$B:$B,$A573,'Таблиця 1'!$I:$I,"Mi-24",'Таблиця 1'!$J:$J,"ARS-8"))</f>
        <v/>
      </c>
      <c r="F573">
        <f>IF($A573="","",SUMIFS('Таблиця 1'!$K:$K,'Таблиця 1'!$B:$B,$A573,'Таблиця 1'!$I:$I,"Mi-8",'Таблиця 1'!$J:$J,"С-8 ком")+SUMIFS('Таблиця 1'!$K:$K,'Таблиця 1'!$B:$B,$A573,'Таблиця 1'!$I:$I,"Mi-24",'Таблиця 1'!$J:$J,"С-8 ком"))</f>
        <v/>
      </c>
      <c r="G573">
        <f>IF($A573="","",SUMIFS('Таблиця 1'!$K:$K,'Таблиця 1'!$B:$B,$A573,'Таблиця 1'!$I:$I,"Mi-8",'Таблиця 1'!$J:$J,"PC-80")+SUMIFS('Таблиця 1'!$K:$K,'Таблиця 1'!$B:$B,$A573,'Таблиця 1'!$I:$I,"Mi-24",'Таблиця 1'!$J:$J,"PC-80"))</f>
        <v/>
      </c>
      <c r="H573">
        <f>IF($A573="","",SUMIFS('Таблиця 1'!$K:$K,'Таблиця 1'!$B:$B,$A573,'Таблиця 1'!$I:$I,"Mi-8",'Таблиця 1'!$J:$J,"UAR-80")+SUMIFS('Таблиця 1'!$K:$K,'Таблиця 1'!$B:$B,$A573,'Таблиця 1'!$I:$I,"Mi-24",'Таблиця 1'!$J:$J,"UAR-80"))</f>
        <v/>
      </c>
      <c r="I573">
        <f>IF($A573="","",SUMIFS('Таблиця 1'!$K:$K,'Таблиця 1'!$B:$B,$A573,'Таблиця 1'!$I:$I,"Mi-8",'Таблиця 1'!$J:$J,"C-13")+SUMIFS('Таблиця 1'!$K:$K,'Таблиця 1'!$B:$B,$A573,'Таблиця 1'!$I:$I,"Mi-24",'Таблиця 1'!$J:$J,"C-13"))</f>
        <v/>
      </c>
      <c r="J573">
        <f>IF($A573="","",SUMIFS('Таблиця 1'!$K:$K,'Таблиця 1'!$B:$B,$A573,'Таблиця 1'!$I:$I,"Mi-8",'Таблиця 1'!$J:$J,"Hydra-70")+SUMIFS('Таблиця 1'!$K:$K,'Таблиця 1'!$B:$B,$A573,'Таблиця 1'!$I:$I,"Mi-24",'Таблиця 1'!$J:$J,"Hydra-70"))</f>
        <v/>
      </c>
      <c r="K573">
        <f>IF($A573="","",SUMIFS('Таблиця 1'!$K:$K,'Таблиця 1'!$B:$B,$A573,'Таблиця 1'!$I:$I,"Mi-8",'Таблиця 1'!$J:$J,"Thales-70")+SUMIFS('Таблиця 1'!$K:$K,'Таблиця 1'!$B:$B,$A573,'Таблиця 1'!$I:$I,"Mi-24",'Таблиця 1'!$J:$J,"Thales-70"))</f>
        <v/>
      </c>
      <c r="L573">
        <f>IF($A573="","",SUMIFS('Таблиця 1'!$K:$K,'Таблиця 1'!$B:$B,$A573,'Таблиця 1'!$I:$I,"Mi-8",'Таблиця 1'!$J:$J,"Thales-FZ")+SUMIFS('Таблиця 1'!$K:$K,'Таблиця 1'!$B:$B,$A573,'Таблиця 1'!$I:$I,"Mi-24",'Таблиця 1'!$J:$J,"Thales-FZ"))</f>
        <v/>
      </c>
      <c r="M573">
        <f>IF($A573="","",SUMIFS('Таблиця 1'!$K:$K,'Таблиця 1'!$B:$B,$A573,'Таблиця 1'!$I:$I,"Mi-8",'Таблиця 1'!$J:$J,"МК-40")+SUMIFS('Таблиця 1'!$K:$K,'Таблиця 1'!$B:$B,$A573,'Таблиця 1'!$I:$I,"Mi-24",'Таблиця 1'!$J:$J,"МК-40"))</f>
        <v/>
      </c>
      <c r="N573">
        <f>IF($A573="","",SUMIFS('Таблиця 1'!$K:$K,'Таблиця 1'!$B:$B,$A573,'Таблиця 1'!$I:$I,"Mi-8",'Таблиця 1'!$J:$J,"Zuni")+SUMIFS('Таблиця 1'!$K:$K,'Таблиця 1'!$B:$B,$A573,'Таблиця 1'!$I:$I,"Mi-24",'Таблиця 1'!$J:$J,"Zuni"))</f>
        <v/>
      </c>
      <c r="O573">
        <f>IF($A573="","",COUNTIFS('Таблиця 1'!$B:$B,$A573,'Таблиця 1'!$I:$I,"Mi-8",'Таблиця 1'!$L:$L,"Уражено")+COUNTIFS('Таблиця 1'!$B:$B,$A573,'Таблиця 1'!$I:$I,"Mi-24",'Таблиця 1'!$L:$L,"Уражено"))</f>
        <v/>
      </c>
      <c r="P573">
        <f>IF($A573="","",COUNTIFS('Таблиця 1'!$B:$B,$A573,'Таблиця 1'!$I:$I,"Mi-8",'Таблиця 1'!$L:$L,"НЕ уражено")+COUNTIFS('Таблиця 1'!$B:$B,$A573,'Таблиця 1'!$I:$I,"Mi-24",'Таблиця 1'!$L:$L,"НЕ уражено"))</f>
        <v/>
      </c>
    </row>
    <row r="574">
      <c r="A574" s="273">
        <f>IF(A573="","",IF(A573+1&gt;MAX('Таблиця 1'!$B:$B),"",A573+1))</f>
        <v/>
      </c>
      <c r="B574">
        <f>IF($A574="","",COUNTIFS('Таблиця 1'!$B:$B,$A574,'Таблиця 1'!$I:$I,"Mi-8")+COUNTIFS('Таблиця 1'!$B:$B,$A574,'Таблиця 1'!$I:$I,"Mi-24"))</f>
        <v/>
      </c>
      <c r="C574">
        <f>IF($A574="","",COUNTIFS('Таблиця 1'!$B:$B,$A574,'Таблиця 1'!$I:$I,"Mi-8"))</f>
        <v/>
      </c>
      <c r="D574">
        <f>IF($A574="","",COUNTIFS('Таблиця 1'!$B:$B,$A574,'Таблиця 1'!$I:$I,"Mi-24"))</f>
        <v/>
      </c>
      <c r="E574">
        <f>IF($A574="","",SUMIFS('Таблиця 1'!$K:$K,'Таблиця 1'!$B:$B,$A574,'Таблиця 1'!$I:$I,"Mi-8",'Таблиця 1'!$J:$J,"ARS-8")+SUMIFS('Таблиця 1'!$K:$K,'Таблиця 1'!$B:$B,$A574,'Таблиця 1'!$I:$I,"Mi-24",'Таблиця 1'!$J:$J,"ARS-8"))</f>
        <v/>
      </c>
      <c r="F574">
        <f>IF($A574="","",SUMIFS('Таблиця 1'!$K:$K,'Таблиця 1'!$B:$B,$A574,'Таблиця 1'!$I:$I,"Mi-8",'Таблиця 1'!$J:$J,"С-8 ком")+SUMIFS('Таблиця 1'!$K:$K,'Таблиця 1'!$B:$B,$A574,'Таблиця 1'!$I:$I,"Mi-24",'Таблиця 1'!$J:$J,"С-8 ком"))</f>
        <v/>
      </c>
      <c r="G574">
        <f>IF($A574="","",SUMIFS('Таблиця 1'!$K:$K,'Таблиця 1'!$B:$B,$A574,'Таблиця 1'!$I:$I,"Mi-8",'Таблиця 1'!$J:$J,"PC-80")+SUMIFS('Таблиця 1'!$K:$K,'Таблиця 1'!$B:$B,$A574,'Таблиця 1'!$I:$I,"Mi-24",'Таблиця 1'!$J:$J,"PC-80"))</f>
        <v/>
      </c>
      <c r="H574">
        <f>IF($A574="","",SUMIFS('Таблиця 1'!$K:$K,'Таблиця 1'!$B:$B,$A574,'Таблиця 1'!$I:$I,"Mi-8",'Таблиця 1'!$J:$J,"UAR-80")+SUMIFS('Таблиця 1'!$K:$K,'Таблиця 1'!$B:$B,$A574,'Таблиця 1'!$I:$I,"Mi-24",'Таблиця 1'!$J:$J,"UAR-80"))</f>
        <v/>
      </c>
      <c r="I574">
        <f>IF($A574="","",SUMIFS('Таблиця 1'!$K:$K,'Таблиця 1'!$B:$B,$A574,'Таблиця 1'!$I:$I,"Mi-8",'Таблиця 1'!$J:$J,"C-13")+SUMIFS('Таблиця 1'!$K:$K,'Таблиця 1'!$B:$B,$A574,'Таблиця 1'!$I:$I,"Mi-24",'Таблиця 1'!$J:$J,"C-13"))</f>
        <v/>
      </c>
      <c r="J574">
        <f>IF($A574="","",SUMIFS('Таблиця 1'!$K:$K,'Таблиця 1'!$B:$B,$A574,'Таблиця 1'!$I:$I,"Mi-8",'Таблиця 1'!$J:$J,"Hydra-70")+SUMIFS('Таблиця 1'!$K:$K,'Таблиця 1'!$B:$B,$A574,'Таблиця 1'!$I:$I,"Mi-24",'Таблиця 1'!$J:$J,"Hydra-70"))</f>
        <v/>
      </c>
      <c r="K574">
        <f>IF($A574="","",SUMIFS('Таблиця 1'!$K:$K,'Таблиця 1'!$B:$B,$A574,'Таблиця 1'!$I:$I,"Mi-8",'Таблиця 1'!$J:$J,"Thales-70")+SUMIFS('Таблиця 1'!$K:$K,'Таблиця 1'!$B:$B,$A574,'Таблиця 1'!$I:$I,"Mi-24",'Таблиця 1'!$J:$J,"Thales-70"))</f>
        <v/>
      </c>
      <c r="L574">
        <f>IF($A574="","",SUMIFS('Таблиця 1'!$K:$K,'Таблиця 1'!$B:$B,$A574,'Таблиця 1'!$I:$I,"Mi-8",'Таблиця 1'!$J:$J,"Thales-FZ")+SUMIFS('Таблиця 1'!$K:$K,'Таблиця 1'!$B:$B,$A574,'Таблиця 1'!$I:$I,"Mi-24",'Таблиця 1'!$J:$J,"Thales-FZ"))</f>
        <v/>
      </c>
      <c r="M574">
        <f>IF($A574="","",SUMIFS('Таблиця 1'!$K:$K,'Таблиця 1'!$B:$B,$A574,'Таблиця 1'!$I:$I,"Mi-8",'Таблиця 1'!$J:$J,"МК-40")+SUMIFS('Таблиця 1'!$K:$K,'Таблиця 1'!$B:$B,$A574,'Таблиця 1'!$I:$I,"Mi-24",'Таблиця 1'!$J:$J,"МК-40"))</f>
        <v/>
      </c>
      <c r="N574">
        <f>IF($A574="","",SUMIFS('Таблиця 1'!$K:$K,'Таблиця 1'!$B:$B,$A574,'Таблиця 1'!$I:$I,"Mi-8",'Таблиця 1'!$J:$J,"Zuni")+SUMIFS('Таблиця 1'!$K:$K,'Таблиця 1'!$B:$B,$A574,'Таблиця 1'!$I:$I,"Mi-24",'Таблиця 1'!$J:$J,"Zuni"))</f>
        <v/>
      </c>
      <c r="O574">
        <f>IF($A574="","",COUNTIFS('Таблиця 1'!$B:$B,$A574,'Таблиця 1'!$I:$I,"Mi-8",'Таблиця 1'!$L:$L,"Уражено")+COUNTIFS('Таблиця 1'!$B:$B,$A574,'Таблиця 1'!$I:$I,"Mi-24",'Таблиця 1'!$L:$L,"Уражено"))</f>
        <v/>
      </c>
      <c r="P574">
        <f>IF($A574="","",COUNTIFS('Таблиця 1'!$B:$B,$A574,'Таблиця 1'!$I:$I,"Mi-8",'Таблиця 1'!$L:$L,"НЕ уражено")+COUNTIFS('Таблиця 1'!$B:$B,$A574,'Таблиця 1'!$I:$I,"Mi-24",'Таблиця 1'!$L:$L,"НЕ уражено"))</f>
        <v/>
      </c>
    </row>
    <row r="575">
      <c r="A575" s="273">
        <f>IF(A574="","",IF(A574+1&gt;MAX('Таблиця 1'!$B:$B),"",A574+1))</f>
        <v/>
      </c>
      <c r="B575">
        <f>IF($A575="","",COUNTIFS('Таблиця 1'!$B:$B,$A575,'Таблиця 1'!$I:$I,"Mi-8")+COUNTIFS('Таблиця 1'!$B:$B,$A575,'Таблиця 1'!$I:$I,"Mi-24"))</f>
        <v/>
      </c>
      <c r="C575">
        <f>IF($A575="","",COUNTIFS('Таблиця 1'!$B:$B,$A575,'Таблиця 1'!$I:$I,"Mi-8"))</f>
        <v/>
      </c>
      <c r="D575">
        <f>IF($A575="","",COUNTIFS('Таблиця 1'!$B:$B,$A575,'Таблиця 1'!$I:$I,"Mi-24"))</f>
        <v/>
      </c>
      <c r="E575">
        <f>IF($A575="","",SUMIFS('Таблиця 1'!$K:$K,'Таблиця 1'!$B:$B,$A575,'Таблиця 1'!$I:$I,"Mi-8",'Таблиця 1'!$J:$J,"ARS-8")+SUMIFS('Таблиця 1'!$K:$K,'Таблиця 1'!$B:$B,$A575,'Таблиця 1'!$I:$I,"Mi-24",'Таблиця 1'!$J:$J,"ARS-8"))</f>
        <v/>
      </c>
      <c r="F575">
        <f>IF($A575="","",SUMIFS('Таблиця 1'!$K:$K,'Таблиця 1'!$B:$B,$A575,'Таблиця 1'!$I:$I,"Mi-8",'Таблиця 1'!$J:$J,"С-8 ком")+SUMIFS('Таблиця 1'!$K:$K,'Таблиця 1'!$B:$B,$A575,'Таблиця 1'!$I:$I,"Mi-24",'Таблиця 1'!$J:$J,"С-8 ком"))</f>
        <v/>
      </c>
      <c r="G575">
        <f>IF($A575="","",SUMIFS('Таблиця 1'!$K:$K,'Таблиця 1'!$B:$B,$A575,'Таблиця 1'!$I:$I,"Mi-8",'Таблиця 1'!$J:$J,"PC-80")+SUMIFS('Таблиця 1'!$K:$K,'Таблиця 1'!$B:$B,$A575,'Таблиця 1'!$I:$I,"Mi-24",'Таблиця 1'!$J:$J,"PC-80"))</f>
        <v/>
      </c>
      <c r="H575">
        <f>IF($A575="","",SUMIFS('Таблиця 1'!$K:$K,'Таблиця 1'!$B:$B,$A575,'Таблиця 1'!$I:$I,"Mi-8",'Таблиця 1'!$J:$J,"UAR-80")+SUMIFS('Таблиця 1'!$K:$K,'Таблиця 1'!$B:$B,$A575,'Таблиця 1'!$I:$I,"Mi-24",'Таблиця 1'!$J:$J,"UAR-80"))</f>
        <v/>
      </c>
      <c r="I575">
        <f>IF($A575="","",SUMIFS('Таблиця 1'!$K:$K,'Таблиця 1'!$B:$B,$A575,'Таблиця 1'!$I:$I,"Mi-8",'Таблиця 1'!$J:$J,"C-13")+SUMIFS('Таблиця 1'!$K:$K,'Таблиця 1'!$B:$B,$A575,'Таблиця 1'!$I:$I,"Mi-24",'Таблиця 1'!$J:$J,"C-13"))</f>
        <v/>
      </c>
      <c r="J575">
        <f>IF($A575="","",SUMIFS('Таблиця 1'!$K:$K,'Таблиця 1'!$B:$B,$A575,'Таблиця 1'!$I:$I,"Mi-8",'Таблиця 1'!$J:$J,"Hydra-70")+SUMIFS('Таблиця 1'!$K:$K,'Таблиця 1'!$B:$B,$A575,'Таблиця 1'!$I:$I,"Mi-24",'Таблиця 1'!$J:$J,"Hydra-70"))</f>
        <v/>
      </c>
      <c r="K575">
        <f>IF($A575="","",SUMIFS('Таблиця 1'!$K:$K,'Таблиця 1'!$B:$B,$A575,'Таблиця 1'!$I:$I,"Mi-8",'Таблиця 1'!$J:$J,"Thales-70")+SUMIFS('Таблиця 1'!$K:$K,'Таблиця 1'!$B:$B,$A575,'Таблиця 1'!$I:$I,"Mi-24",'Таблиця 1'!$J:$J,"Thales-70"))</f>
        <v/>
      </c>
      <c r="L575">
        <f>IF($A575="","",SUMIFS('Таблиця 1'!$K:$K,'Таблиця 1'!$B:$B,$A575,'Таблиця 1'!$I:$I,"Mi-8",'Таблиця 1'!$J:$J,"Thales-FZ")+SUMIFS('Таблиця 1'!$K:$K,'Таблиця 1'!$B:$B,$A575,'Таблиця 1'!$I:$I,"Mi-24",'Таблиця 1'!$J:$J,"Thales-FZ"))</f>
        <v/>
      </c>
      <c r="M575">
        <f>IF($A575="","",SUMIFS('Таблиця 1'!$K:$K,'Таблиця 1'!$B:$B,$A575,'Таблиця 1'!$I:$I,"Mi-8",'Таблиця 1'!$J:$J,"МК-40")+SUMIFS('Таблиця 1'!$K:$K,'Таблиця 1'!$B:$B,$A575,'Таблиця 1'!$I:$I,"Mi-24",'Таблиця 1'!$J:$J,"МК-40"))</f>
        <v/>
      </c>
      <c r="N575">
        <f>IF($A575="","",SUMIFS('Таблиця 1'!$K:$K,'Таблиця 1'!$B:$B,$A575,'Таблиця 1'!$I:$I,"Mi-8",'Таблиця 1'!$J:$J,"Zuni")+SUMIFS('Таблиця 1'!$K:$K,'Таблиця 1'!$B:$B,$A575,'Таблиця 1'!$I:$I,"Mi-24",'Таблиця 1'!$J:$J,"Zuni"))</f>
        <v/>
      </c>
      <c r="O575">
        <f>IF($A575="","",COUNTIFS('Таблиця 1'!$B:$B,$A575,'Таблиця 1'!$I:$I,"Mi-8",'Таблиця 1'!$L:$L,"Уражено")+COUNTIFS('Таблиця 1'!$B:$B,$A575,'Таблиця 1'!$I:$I,"Mi-24",'Таблиця 1'!$L:$L,"Уражено"))</f>
        <v/>
      </c>
      <c r="P575">
        <f>IF($A575="","",COUNTIFS('Таблиця 1'!$B:$B,$A575,'Таблиця 1'!$I:$I,"Mi-8",'Таблиця 1'!$L:$L,"НЕ уражено")+COUNTIFS('Таблиця 1'!$B:$B,$A575,'Таблиця 1'!$I:$I,"Mi-24",'Таблиця 1'!$L:$L,"НЕ уражено"))</f>
        <v/>
      </c>
    </row>
    <row r="576">
      <c r="A576" s="273">
        <f>IF(A575="","",IF(A575+1&gt;MAX('Таблиця 1'!$B:$B),"",A575+1))</f>
        <v/>
      </c>
      <c r="B576">
        <f>IF($A576="","",COUNTIFS('Таблиця 1'!$B:$B,$A576,'Таблиця 1'!$I:$I,"Mi-8")+COUNTIFS('Таблиця 1'!$B:$B,$A576,'Таблиця 1'!$I:$I,"Mi-24"))</f>
        <v/>
      </c>
      <c r="C576">
        <f>IF($A576="","",COUNTIFS('Таблиця 1'!$B:$B,$A576,'Таблиця 1'!$I:$I,"Mi-8"))</f>
        <v/>
      </c>
      <c r="D576">
        <f>IF($A576="","",COUNTIFS('Таблиця 1'!$B:$B,$A576,'Таблиця 1'!$I:$I,"Mi-24"))</f>
        <v/>
      </c>
      <c r="E576">
        <f>IF($A576="","",SUMIFS('Таблиця 1'!$K:$K,'Таблиця 1'!$B:$B,$A576,'Таблиця 1'!$I:$I,"Mi-8",'Таблиця 1'!$J:$J,"ARS-8")+SUMIFS('Таблиця 1'!$K:$K,'Таблиця 1'!$B:$B,$A576,'Таблиця 1'!$I:$I,"Mi-24",'Таблиця 1'!$J:$J,"ARS-8"))</f>
        <v/>
      </c>
      <c r="F576">
        <f>IF($A576="","",SUMIFS('Таблиця 1'!$K:$K,'Таблиця 1'!$B:$B,$A576,'Таблиця 1'!$I:$I,"Mi-8",'Таблиця 1'!$J:$J,"С-8 ком")+SUMIFS('Таблиця 1'!$K:$K,'Таблиця 1'!$B:$B,$A576,'Таблиця 1'!$I:$I,"Mi-24",'Таблиця 1'!$J:$J,"С-8 ком"))</f>
        <v/>
      </c>
      <c r="G576">
        <f>IF($A576="","",SUMIFS('Таблиця 1'!$K:$K,'Таблиця 1'!$B:$B,$A576,'Таблиця 1'!$I:$I,"Mi-8",'Таблиця 1'!$J:$J,"PC-80")+SUMIFS('Таблиця 1'!$K:$K,'Таблиця 1'!$B:$B,$A576,'Таблиця 1'!$I:$I,"Mi-24",'Таблиця 1'!$J:$J,"PC-80"))</f>
        <v/>
      </c>
      <c r="H576">
        <f>IF($A576="","",SUMIFS('Таблиця 1'!$K:$K,'Таблиця 1'!$B:$B,$A576,'Таблиця 1'!$I:$I,"Mi-8",'Таблиця 1'!$J:$J,"UAR-80")+SUMIFS('Таблиця 1'!$K:$K,'Таблиця 1'!$B:$B,$A576,'Таблиця 1'!$I:$I,"Mi-24",'Таблиця 1'!$J:$J,"UAR-80"))</f>
        <v/>
      </c>
      <c r="I576">
        <f>IF($A576="","",SUMIFS('Таблиця 1'!$K:$K,'Таблиця 1'!$B:$B,$A576,'Таблиця 1'!$I:$I,"Mi-8",'Таблиця 1'!$J:$J,"C-13")+SUMIFS('Таблиця 1'!$K:$K,'Таблиця 1'!$B:$B,$A576,'Таблиця 1'!$I:$I,"Mi-24",'Таблиця 1'!$J:$J,"C-13"))</f>
        <v/>
      </c>
      <c r="J576">
        <f>IF($A576="","",SUMIFS('Таблиця 1'!$K:$K,'Таблиця 1'!$B:$B,$A576,'Таблиця 1'!$I:$I,"Mi-8",'Таблиця 1'!$J:$J,"Hydra-70")+SUMIFS('Таблиця 1'!$K:$K,'Таблиця 1'!$B:$B,$A576,'Таблиця 1'!$I:$I,"Mi-24",'Таблиця 1'!$J:$J,"Hydra-70"))</f>
        <v/>
      </c>
      <c r="K576">
        <f>IF($A576="","",SUMIFS('Таблиця 1'!$K:$K,'Таблиця 1'!$B:$B,$A576,'Таблиця 1'!$I:$I,"Mi-8",'Таблиця 1'!$J:$J,"Thales-70")+SUMIFS('Таблиця 1'!$K:$K,'Таблиця 1'!$B:$B,$A576,'Таблиця 1'!$I:$I,"Mi-24",'Таблиця 1'!$J:$J,"Thales-70"))</f>
        <v/>
      </c>
      <c r="L576">
        <f>IF($A576="","",SUMIFS('Таблиця 1'!$K:$K,'Таблиця 1'!$B:$B,$A576,'Таблиця 1'!$I:$I,"Mi-8",'Таблиця 1'!$J:$J,"Thales-FZ")+SUMIFS('Таблиця 1'!$K:$K,'Таблиця 1'!$B:$B,$A576,'Таблиця 1'!$I:$I,"Mi-24",'Таблиця 1'!$J:$J,"Thales-FZ"))</f>
        <v/>
      </c>
      <c r="M576">
        <f>IF($A576="","",SUMIFS('Таблиця 1'!$K:$K,'Таблиця 1'!$B:$B,$A576,'Таблиця 1'!$I:$I,"Mi-8",'Таблиця 1'!$J:$J,"МК-40")+SUMIFS('Таблиця 1'!$K:$K,'Таблиця 1'!$B:$B,$A576,'Таблиця 1'!$I:$I,"Mi-24",'Таблиця 1'!$J:$J,"МК-40"))</f>
        <v/>
      </c>
      <c r="N576">
        <f>IF($A576="","",SUMIFS('Таблиця 1'!$K:$K,'Таблиця 1'!$B:$B,$A576,'Таблиця 1'!$I:$I,"Mi-8",'Таблиця 1'!$J:$J,"Zuni")+SUMIFS('Таблиця 1'!$K:$K,'Таблиця 1'!$B:$B,$A576,'Таблиця 1'!$I:$I,"Mi-24",'Таблиця 1'!$J:$J,"Zuni"))</f>
        <v/>
      </c>
      <c r="O576">
        <f>IF($A576="","",COUNTIFS('Таблиця 1'!$B:$B,$A576,'Таблиця 1'!$I:$I,"Mi-8",'Таблиця 1'!$L:$L,"Уражено")+COUNTIFS('Таблиця 1'!$B:$B,$A576,'Таблиця 1'!$I:$I,"Mi-24",'Таблиця 1'!$L:$L,"Уражено"))</f>
        <v/>
      </c>
      <c r="P576">
        <f>IF($A576="","",COUNTIFS('Таблиця 1'!$B:$B,$A576,'Таблиця 1'!$I:$I,"Mi-8",'Таблиця 1'!$L:$L,"НЕ уражено")+COUNTIFS('Таблиця 1'!$B:$B,$A576,'Таблиця 1'!$I:$I,"Mi-24",'Таблиця 1'!$L:$L,"НЕ уражено"))</f>
        <v/>
      </c>
    </row>
    <row r="577">
      <c r="A577" s="273">
        <f>IF(A576="","",IF(A576+1&gt;MAX('Таблиця 1'!$B:$B),"",A576+1))</f>
        <v/>
      </c>
      <c r="B577">
        <f>IF($A577="","",COUNTIFS('Таблиця 1'!$B:$B,$A577,'Таблиця 1'!$I:$I,"Mi-8")+COUNTIFS('Таблиця 1'!$B:$B,$A577,'Таблиця 1'!$I:$I,"Mi-24"))</f>
        <v/>
      </c>
      <c r="C577">
        <f>IF($A577="","",COUNTIFS('Таблиця 1'!$B:$B,$A577,'Таблиця 1'!$I:$I,"Mi-8"))</f>
        <v/>
      </c>
      <c r="D577">
        <f>IF($A577="","",COUNTIFS('Таблиця 1'!$B:$B,$A577,'Таблиця 1'!$I:$I,"Mi-24"))</f>
        <v/>
      </c>
      <c r="E577">
        <f>IF($A577="","",SUMIFS('Таблиця 1'!$K:$K,'Таблиця 1'!$B:$B,$A577,'Таблиця 1'!$I:$I,"Mi-8",'Таблиця 1'!$J:$J,"ARS-8")+SUMIFS('Таблиця 1'!$K:$K,'Таблиця 1'!$B:$B,$A577,'Таблиця 1'!$I:$I,"Mi-24",'Таблиця 1'!$J:$J,"ARS-8"))</f>
        <v/>
      </c>
      <c r="F577">
        <f>IF($A577="","",SUMIFS('Таблиця 1'!$K:$K,'Таблиця 1'!$B:$B,$A577,'Таблиця 1'!$I:$I,"Mi-8",'Таблиця 1'!$J:$J,"С-8 ком")+SUMIFS('Таблиця 1'!$K:$K,'Таблиця 1'!$B:$B,$A577,'Таблиця 1'!$I:$I,"Mi-24",'Таблиця 1'!$J:$J,"С-8 ком"))</f>
        <v/>
      </c>
      <c r="G577">
        <f>IF($A577="","",SUMIFS('Таблиця 1'!$K:$K,'Таблиця 1'!$B:$B,$A577,'Таблиця 1'!$I:$I,"Mi-8",'Таблиця 1'!$J:$J,"PC-80")+SUMIFS('Таблиця 1'!$K:$K,'Таблиця 1'!$B:$B,$A577,'Таблиця 1'!$I:$I,"Mi-24",'Таблиця 1'!$J:$J,"PC-80"))</f>
        <v/>
      </c>
      <c r="H577">
        <f>IF($A577="","",SUMIFS('Таблиця 1'!$K:$K,'Таблиця 1'!$B:$B,$A577,'Таблиця 1'!$I:$I,"Mi-8",'Таблиця 1'!$J:$J,"UAR-80")+SUMIFS('Таблиця 1'!$K:$K,'Таблиця 1'!$B:$B,$A577,'Таблиця 1'!$I:$I,"Mi-24",'Таблиця 1'!$J:$J,"UAR-80"))</f>
        <v/>
      </c>
      <c r="I577">
        <f>IF($A577="","",SUMIFS('Таблиця 1'!$K:$K,'Таблиця 1'!$B:$B,$A577,'Таблиця 1'!$I:$I,"Mi-8",'Таблиця 1'!$J:$J,"C-13")+SUMIFS('Таблиця 1'!$K:$K,'Таблиця 1'!$B:$B,$A577,'Таблиця 1'!$I:$I,"Mi-24",'Таблиця 1'!$J:$J,"C-13"))</f>
        <v/>
      </c>
      <c r="J577">
        <f>IF($A577="","",SUMIFS('Таблиця 1'!$K:$K,'Таблиця 1'!$B:$B,$A577,'Таблиця 1'!$I:$I,"Mi-8",'Таблиця 1'!$J:$J,"Hydra-70")+SUMIFS('Таблиця 1'!$K:$K,'Таблиця 1'!$B:$B,$A577,'Таблиця 1'!$I:$I,"Mi-24",'Таблиця 1'!$J:$J,"Hydra-70"))</f>
        <v/>
      </c>
      <c r="K577">
        <f>IF($A577="","",SUMIFS('Таблиця 1'!$K:$K,'Таблиця 1'!$B:$B,$A577,'Таблиця 1'!$I:$I,"Mi-8",'Таблиця 1'!$J:$J,"Thales-70")+SUMIFS('Таблиця 1'!$K:$K,'Таблиця 1'!$B:$B,$A577,'Таблиця 1'!$I:$I,"Mi-24",'Таблиця 1'!$J:$J,"Thales-70"))</f>
        <v/>
      </c>
      <c r="L577">
        <f>IF($A577="","",SUMIFS('Таблиця 1'!$K:$K,'Таблиця 1'!$B:$B,$A577,'Таблиця 1'!$I:$I,"Mi-8",'Таблиця 1'!$J:$J,"Thales-FZ")+SUMIFS('Таблиця 1'!$K:$K,'Таблиця 1'!$B:$B,$A577,'Таблиця 1'!$I:$I,"Mi-24",'Таблиця 1'!$J:$J,"Thales-FZ"))</f>
        <v/>
      </c>
      <c r="M577">
        <f>IF($A577="","",SUMIFS('Таблиця 1'!$K:$K,'Таблиця 1'!$B:$B,$A577,'Таблиця 1'!$I:$I,"Mi-8",'Таблиця 1'!$J:$J,"МК-40")+SUMIFS('Таблиця 1'!$K:$K,'Таблиця 1'!$B:$B,$A577,'Таблиця 1'!$I:$I,"Mi-24",'Таблиця 1'!$J:$J,"МК-40"))</f>
        <v/>
      </c>
      <c r="N577">
        <f>IF($A577="","",SUMIFS('Таблиця 1'!$K:$K,'Таблиця 1'!$B:$B,$A577,'Таблиця 1'!$I:$I,"Mi-8",'Таблиця 1'!$J:$J,"Zuni")+SUMIFS('Таблиця 1'!$K:$K,'Таблиця 1'!$B:$B,$A577,'Таблиця 1'!$I:$I,"Mi-24",'Таблиця 1'!$J:$J,"Zuni"))</f>
        <v/>
      </c>
      <c r="O577">
        <f>IF($A577="","",COUNTIFS('Таблиця 1'!$B:$B,$A577,'Таблиця 1'!$I:$I,"Mi-8",'Таблиця 1'!$L:$L,"Уражено")+COUNTIFS('Таблиця 1'!$B:$B,$A577,'Таблиця 1'!$I:$I,"Mi-24",'Таблиця 1'!$L:$L,"Уражено"))</f>
        <v/>
      </c>
      <c r="P577">
        <f>IF($A577="","",COUNTIFS('Таблиця 1'!$B:$B,$A577,'Таблиця 1'!$I:$I,"Mi-8",'Таблиця 1'!$L:$L,"НЕ уражено")+COUNTIFS('Таблиця 1'!$B:$B,$A577,'Таблиця 1'!$I:$I,"Mi-24",'Таблиця 1'!$L:$L,"НЕ уражено"))</f>
        <v/>
      </c>
    </row>
    <row r="578">
      <c r="A578" s="273">
        <f>IF(A577="","",IF(A577+1&gt;MAX('Таблиця 1'!$B:$B),"",A577+1))</f>
        <v/>
      </c>
      <c r="B578">
        <f>IF($A578="","",COUNTIFS('Таблиця 1'!$B:$B,$A578,'Таблиця 1'!$I:$I,"Mi-8")+COUNTIFS('Таблиця 1'!$B:$B,$A578,'Таблиця 1'!$I:$I,"Mi-24"))</f>
        <v/>
      </c>
      <c r="C578">
        <f>IF($A578="","",COUNTIFS('Таблиця 1'!$B:$B,$A578,'Таблиця 1'!$I:$I,"Mi-8"))</f>
        <v/>
      </c>
      <c r="D578">
        <f>IF($A578="","",COUNTIFS('Таблиця 1'!$B:$B,$A578,'Таблиця 1'!$I:$I,"Mi-24"))</f>
        <v/>
      </c>
      <c r="E578">
        <f>IF($A578="","",SUMIFS('Таблиця 1'!$K:$K,'Таблиця 1'!$B:$B,$A578,'Таблиця 1'!$I:$I,"Mi-8",'Таблиця 1'!$J:$J,"ARS-8")+SUMIFS('Таблиця 1'!$K:$K,'Таблиця 1'!$B:$B,$A578,'Таблиця 1'!$I:$I,"Mi-24",'Таблиця 1'!$J:$J,"ARS-8"))</f>
        <v/>
      </c>
      <c r="F578">
        <f>IF($A578="","",SUMIFS('Таблиця 1'!$K:$K,'Таблиця 1'!$B:$B,$A578,'Таблиця 1'!$I:$I,"Mi-8",'Таблиця 1'!$J:$J,"С-8 ком")+SUMIFS('Таблиця 1'!$K:$K,'Таблиця 1'!$B:$B,$A578,'Таблиця 1'!$I:$I,"Mi-24",'Таблиця 1'!$J:$J,"С-8 ком"))</f>
        <v/>
      </c>
      <c r="G578">
        <f>IF($A578="","",SUMIFS('Таблиця 1'!$K:$K,'Таблиця 1'!$B:$B,$A578,'Таблиця 1'!$I:$I,"Mi-8",'Таблиця 1'!$J:$J,"PC-80")+SUMIFS('Таблиця 1'!$K:$K,'Таблиця 1'!$B:$B,$A578,'Таблиця 1'!$I:$I,"Mi-24",'Таблиця 1'!$J:$J,"PC-80"))</f>
        <v/>
      </c>
      <c r="H578">
        <f>IF($A578="","",SUMIFS('Таблиця 1'!$K:$K,'Таблиця 1'!$B:$B,$A578,'Таблиця 1'!$I:$I,"Mi-8",'Таблиця 1'!$J:$J,"UAR-80")+SUMIFS('Таблиця 1'!$K:$K,'Таблиця 1'!$B:$B,$A578,'Таблиця 1'!$I:$I,"Mi-24",'Таблиця 1'!$J:$J,"UAR-80"))</f>
        <v/>
      </c>
      <c r="I578">
        <f>IF($A578="","",SUMIFS('Таблиця 1'!$K:$K,'Таблиця 1'!$B:$B,$A578,'Таблиця 1'!$I:$I,"Mi-8",'Таблиця 1'!$J:$J,"C-13")+SUMIFS('Таблиця 1'!$K:$K,'Таблиця 1'!$B:$B,$A578,'Таблиця 1'!$I:$I,"Mi-24",'Таблиця 1'!$J:$J,"C-13"))</f>
        <v/>
      </c>
      <c r="J578">
        <f>IF($A578="","",SUMIFS('Таблиця 1'!$K:$K,'Таблиця 1'!$B:$B,$A578,'Таблиця 1'!$I:$I,"Mi-8",'Таблиця 1'!$J:$J,"Hydra-70")+SUMIFS('Таблиця 1'!$K:$K,'Таблиця 1'!$B:$B,$A578,'Таблиця 1'!$I:$I,"Mi-24",'Таблиця 1'!$J:$J,"Hydra-70"))</f>
        <v/>
      </c>
      <c r="K578">
        <f>IF($A578="","",SUMIFS('Таблиця 1'!$K:$K,'Таблиця 1'!$B:$B,$A578,'Таблиця 1'!$I:$I,"Mi-8",'Таблиця 1'!$J:$J,"Thales-70")+SUMIFS('Таблиця 1'!$K:$K,'Таблиця 1'!$B:$B,$A578,'Таблиця 1'!$I:$I,"Mi-24",'Таблиця 1'!$J:$J,"Thales-70"))</f>
        <v/>
      </c>
      <c r="L578">
        <f>IF($A578="","",SUMIFS('Таблиця 1'!$K:$K,'Таблиця 1'!$B:$B,$A578,'Таблиця 1'!$I:$I,"Mi-8",'Таблиця 1'!$J:$J,"Thales-FZ")+SUMIFS('Таблиця 1'!$K:$K,'Таблиця 1'!$B:$B,$A578,'Таблиця 1'!$I:$I,"Mi-24",'Таблиця 1'!$J:$J,"Thales-FZ"))</f>
        <v/>
      </c>
      <c r="M578">
        <f>IF($A578="","",SUMIFS('Таблиця 1'!$K:$K,'Таблиця 1'!$B:$B,$A578,'Таблиця 1'!$I:$I,"Mi-8",'Таблиця 1'!$J:$J,"МК-40")+SUMIFS('Таблиця 1'!$K:$K,'Таблиця 1'!$B:$B,$A578,'Таблиця 1'!$I:$I,"Mi-24",'Таблиця 1'!$J:$J,"МК-40"))</f>
        <v/>
      </c>
      <c r="N578">
        <f>IF($A578="","",SUMIFS('Таблиця 1'!$K:$K,'Таблиця 1'!$B:$B,$A578,'Таблиця 1'!$I:$I,"Mi-8",'Таблиця 1'!$J:$J,"Zuni")+SUMIFS('Таблиця 1'!$K:$K,'Таблиця 1'!$B:$B,$A578,'Таблиця 1'!$I:$I,"Mi-24",'Таблиця 1'!$J:$J,"Zuni"))</f>
        <v/>
      </c>
      <c r="O578">
        <f>IF($A578="","",COUNTIFS('Таблиця 1'!$B:$B,$A578,'Таблиця 1'!$I:$I,"Mi-8",'Таблиця 1'!$L:$L,"Уражено")+COUNTIFS('Таблиця 1'!$B:$B,$A578,'Таблиця 1'!$I:$I,"Mi-24",'Таблиця 1'!$L:$L,"Уражено"))</f>
        <v/>
      </c>
      <c r="P578">
        <f>IF($A578="","",COUNTIFS('Таблиця 1'!$B:$B,$A578,'Таблиця 1'!$I:$I,"Mi-8",'Таблиця 1'!$L:$L,"НЕ уражено")+COUNTIFS('Таблиця 1'!$B:$B,$A578,'Таблиця 1'!$I:$I,"Mi-24",'Таблиця 1'!$L:$L,"НЕ уражено"))</f>
        <v/>
      </c>
    </row>
    <row r="579">
      <c r="A579" s="273">
        <f>IF(A578="","",IF(A578+1&gt;MAX('Таблиця 1'!$B:$B),"",A578+1))</f>
        <v/>
      </c>
      <c r="B579">
        <f>IF($A579="","",COUNTIFS('Таблиця 1'!$B:$B,$A579,'Таблиця 1'!$I:$I,"Mi-8")+COUNTIFS('Таблиця 1'!$B:$B,$A579,'Таблиця 1'!$I:$I,"Mi-24"))</f>
        <v/>
      </c>
      <c r="C579">
        <f>IF($A579="","",COUNTIFS('Таблиця 1'!$B:$B,$A579,'Таблиця 1'!$I:$I,"Mi-8"))</f>
        <v/>
      </c>
      <c r="D579">
        <f>IF($A579="","",COUNTIFS('Таблиця 1'!$B:$B,$A579,'Таблиця 1'!$I:$I,"Mi-24"))</f>
        <v/>
      </c>
      <c r="E579">
        <f>IF($A579="","",SUMIFS('Таблиця 1'!$K:$K,'Таблиця 1'!$B:$B,$A579,'Таблиця 1'!$I:$I,"Mi-8",'Таблиця 1'!$J:$J,"ARS-8")+SUMIFS('Таблиця 1'!$K:$K,'Таблиця 1'!$B:$B,$A579,'Таблиця 1'!$I:$I,"Mi-24",'Таблиця 1'!$J:$J,"ARS-8"))</f>
        <v/>
      </c>
      <c r="F579">
        <f>IF($A579="","",SUMIFS('Таблиця 1'!$K:$K,'Таблиця 1'!$B:$B,$A579,'Таблиця 1'!$I:$I,"Mi-8",'Таблиця 1'!$J:$J,"С-8 ком")+SUMIFS('Таблиця 1'!$K:$K,'Таблиця 1'!$B:$B,$A579,'Таблиця 1'!$I:$I,"Mi-24",'Таблиця 1'!$J:$J,"С-8 ком"))</f>
        <v/>
      </c>
      <c r="G579">
        <f>IF($A579="","",SUMIFS('Таблиця 1'!$K:$K,'Таблиця 1'!$B:$B,$A579,'Таблиця 1'!$I:$I,"Mi-8",'Таблиця 1'!$J:$J,"PC-80")+SUMIFS('Таблиця 1'!$K:$K,'Таблиця 1'!$B:$B,$A579,'Таблиця 1'!$I:$I,"Mi-24",'Таблиця 1'!$J:$J,"PC-80"))</f>
        <v/>
      </c>
      <c r="H579">
        <f>IF($A579="","",SUMIFS('Таблиця 1'!$K:$K,'Таблиця 1'!$B:$B,$A579,'Таблиця 1'!$I:$I,"Mi-8",'Таблиця 1'!$J:$J,"UAR-80")+SUMIFS('Таблиця 1'!$K:$K,'Таблиця 1'!$B:$B,$A579,'Таблиця 1'!$I:$I,"Mi-24",'Таблиця 1'!$J:$J,"UAR-80"))</f>
        <v/>
      </c>
      <c r="I579">
        <f>IF($A579="","",SUMIFS('Таблиця 1'!$K:$K,'Таблиця 1'!$B:$B,$A579,'Таблиця 1'!$I:$I,"Mi-8",'Таблиця 1'!$J:$J,"C-13")+SUMIFS('Таблиця 1'!$K:$K,'Таблиця 1'!$B:$B,$A579,'Таблиця 1'!$I:$I,"Mi-24",'Таблиця 1'!$J:$J,"C-13"))</f>
        <v/>
      </c>
      <c r="J579">
        <f>IF($A579="","",SUMIFS('Таблиця 1'!$K:$K,'Таблиця 1'!$B:$B,$A579,'Таблиця 1'!$I:$I,"Mi-8",'Таблиця 1'!$J:$J,"Hydra-70")+SUMIFS('Таблиця 1'!$K:$K,'Таблиця 1'!$B:$B,$A579,'Таблиця 1'!$I:$I,"Mi-24",'Таблиця 1'!$J:$J,"Hydra-70"))</f>
        <v/>
      </c>
      <c r="K579">
        <f>IF($A579="","",SUMIFS('Таблиця 1'!$K:$K,'Таблиця 1'!$B:$B,$A579,'Таблиця 1'!$I:$I,"Mi-8",'Таблиця 1'!$J:$J,"Thales-70")+SUMIFS('Таблиця 1'!$K:$K,'Таблиця 1'!$B:$B,$A579,'Таблиця 1'!$I:$I,"Mi-24",'Таблиця 1'!$J:$J,"Thales-70"))</f>
        <v/>
      </c>
      <c r="L579">
        <f>IF($A579="","",SUMIFS('Таблиця 1'!$K:$K,'Таблиця 1'!$B:$B,$A579,'Таблиця 1'!$I:$I,"Mi-8",'Таблиця 1'!$J:$J,"Thales-FZ")+SUMIFS('Таблиця 1'!$K:$K,'Таблиця 1'!$B:$B,$A579,'Таблиця 1'!$I:$I,"Mi-24",'Таблиця 1'!$J:$J,"Thales-FZ"))</f>
        <v/>
      </c>
      <c r="M579">
        <f>IF($A579="","",SUMIFS('Таблиця 1'!$K:$K,'Таблиця 1'!$B:$B,$A579,'Таблиця 1'!$I:$I,"Mi-8",'Таблиця 1'!$J:$J,"МК-40")+SUMIFS('Таблиця 1'!$K:$K,'Таблиця 1'!$B:$B,$A579,'Таблиця 1'!$I:$I,"Mi-24",'Таблиця 1'!$J:$J,"МК-40"))</f>
        <v/>
      </c>
      <c r="N579">
        <f>IF($A579="","",SUMIFS('Таблиця 1'!$K:$K,'Таблиця 1'!$B:$B,$A579,'Таблиця 1'!$I:$I,"Mi-8",'Таблиця 1'!$J:$J,"Zuni")+SUMIFS('Таблиця 1'!$K:$K,'Таблиця 1'!$B:$B,$A579,'Таблиця 1'!$I:$I,"Mi-24",'Таблиця 1'!$J:$J,"Zuni"))</f>
        <v/>
      </c>
      <c r="O579">
        <f>IF($A579="","",COUNTIFS('Таблиця 1'!$B:$B,$A579,'Таблиця 1'!$I:$I,"Mi-8",'Таблиця 1'!$L:$L,"Уражено")+COUNTIFS('Таблиця 1'!$B:$B,$A579,'Таблиця 1'!$I:$I,"Mi-24",'Таблиця 1'!$L:$L,"Уражено"))</f>
        <v/>
      </c>
      <c r="P579">
        <f>IF($A579="","",COUNTIFS('Таблиця 1'!$B:$B,$A579,'Таблиця 1'!$I:$I,"Mi-8",'Таблиця 1'!$L:$L,"НЕ уражено")+COUNTIFS('Таблиця 1'!$B:$B,$A579,'Таблиця 1'!$I:$I,"Mi-24",'Таблиця 1'!$L:$L,"НЕ уражено"))</f>
        <v/>
      </c>
    </row>
    <row r="580">
      <c r="A580" s="273">
        <f>IF(A579="","",IF(A579+1&gt;MAX('Таблиця 1'!$B:$B),"",A579+1))</f>
        <v/>
      </c>
      <c r="B580">
        <f>IF($A580="","",COUNTIFS('Таблиця 1'!$B:$B,$A580,'Таблиця 1'!$I:$I,"Mi-8")+COUNTIFS('Таблиця 1'!$B:$B,$A580,'Таблиця 1'!$I:$I,"Mi-24"))</f>
        <v/>
      </c>
      <c r="C580">
        <f>IF($A580="","",COUNTIFS('Таблиця 1'!$B:$B,$A580,'Таблиця 1'!$I:$I,"Mi-8"))</f>
        <v/>
      </c>
      <c r="D580">
        <f>IF($A580="","",COUNTIFS('Таблиця 1'!$B:$B,$A580,'Таблиця 1'!$I:$I,"Mi-24"))</f>
        <v/>
      </c>
      <c r="E580">
        <f>IF($A580="","",SUMIFS('Таблиця 1'!$K:$K,'Таблиця 1'!$B:$B,$A580,'Таблиця 1'!$I:$I,"Mi-8",'Таблиця 1'!$J:$J,"ARS-8")+SUMIFS('Таблиця 1'!$K:$K,'Таблиця 1'!$B:$B,$A580,'Таблиця 1'!$I:$I,"Mi-24",'Таблиця 1'!$J:$J,"ARS-8"))</f>
        <v/>
      </c>
      <c r="F580">
        <f>IF($A580="","",SUMIFS('Таблиця 1'!$K:$K,'Таблиця 1'!$B:$B,$A580,'Таблиця 1'!$I:$I,"Mi-8",'Таблиця 1'!$J:$J,"С-8 ком")+SUMIFS('Таблиця 1'!$K:$K,'Таблиця 1'!$B:$B,$A580,'Таблиця 1'!$I:$I,"Mi-24",'Таблиця 1'!$J:$J,"С-8 ком"))</f>
        <v/>
      </c>
      <c r="G580">
        <f>IF($A580="","",SUMIFS('Таблиця 1'!$K:$K,'Таблиця 1'!$B:$B,$A580,'Таблиця 1'!$I:$I,"Mi-8",'Таблиця 1'!$J:$J,"PC-80")+SUMIFS('Таблиця 1'!$K:$K,'Таблиця 1'!$B:$B,$A580,'Таблиця 1'!$I:$I,"Mi-24",'Таблиця 1'!$J:$J,"PC-80"))</f>
        <v/>
      </c>
      <c r="H580">
        <f>IF($A580="","",SUMIFS('Таблиця 1'!$K:$K,'Таблиця 1'!$B:$B,$A580,'Таблиця 1'!$I:$I,"Mi-8",'Таблиця 1'!$J:$J,"UAR-80")+SUMIFS('Таблиця 1'!$K:$K,'Таблиця 1'!$B:$B,$A580,'Таблиця 1'!$I:$I,"Mi-24",'Таблиця 1'!$J:$J,"UAR-80"))</f>
        <v/>
      </c>
      <c r="I580">
        <f>IF($A580="","",SUMIFS('Таблиця 1'!$K:$K,'Таблиця 1'!$B:$B,$A580,'Таблиця 1'!$I:$I,"Mi-8",'Таблиця 1'!$J:$J,"C-13")+SUMIFS('Таблиця 1'!$K:$K,'Таблиця 1'!$B:$B,$A580,'Таблиця 1'!$I:$I,"Mi-24",'Таблиця 1'!$J:$J,"C-13"))</f>
        <v/>
      </c>
      <c r="J580">
        <f>IF($A580="","",SUMIFS('Таблиця 1'!$K:$K,'Таблиця 1'!$B:$B,$A580,'Таблиця 1'!$I:$I,"Mi-8",'Таблиця 1'!$J:$J,"Hydra-70")+SUMIFS('Таблиця 1'!$K:$K,'Таблиця 1'!$B:$B,$A580,'Таблиця 1'!$I:$I,"Mi-24",'Таблиця 1'!$J:$J,"Hydra-70"))</f>
        <v/>
      </c>
      <c r="K580">
        <f>IF($A580="","",SUMIFS('Таблиця 1'!$K:$K,'Таблиця 1'!$B:$B,$A580,'Таблиця 1'!$I:$I,"Mi-8",'Таблиця 1'!$J:$J,"Thales-70")+SUMIFS('Таблиця 1'!$K:$K,'Таблиця 1'!$B:$B,$A580,'Таблиця 1'!$I:$I,"Mi-24",'Таблиця 1'!$J:$J,"Thales-70"))</f>
        <v/>
      </c>
      <c r="L580">
        <f>IF($A580="","",SUMIFS('Таблиця 1'!$K:$K,'Таблиця 1'!$B:$B,$A580,'Таблиця 1'!$I:$I,"Mi-8",'Таблиця 1'!$J:$J,"Thales-FZ")+SUMIFS('Таблиця 1'!$K:$K,'Таблиця 1'!$B:$B,$A580,'Таблиця 1'!$I:$I,"Mi-24",'Таблиця 1'!$J:$J,"Thales-FZ"))</f>
        <v/>
      </c>
      <c r="M580">
        <f>IF($A580="","",SUMIFS('Таблиця 1'!$K:$K,'Таблиця 1'!$B:$B,$A580,'Таблиця 1'!$I:$I,"Mi-8",'Таблиця 1'!$J:$J,"МК-40")+SUMIFS('Таблиця 1'!$K:$K,'Таблиця 1'!$B:$B,$A580,'Таблиця 1'!$I:$I,"Mi-24",'Таблиця 1'!$J:$J,"МК-40"))</f>
        <v/>
      </c>
      <c r="N580">
        <f>IF($A580="","",SUMIFS('Таблиця 1'!$K:$K,'Таблиця 1'!$B:$B,$A580,'Таблиця 1'!$I:$I,"Mi-8",'Таблиця 1'!$J:$J,"Zuni")+SUMIFS('Таблиця 1'!$K:$K,'Таблиця 1'!$B:$B,$A580,'Таблиця 1'!$I:$I,"Mi-24",'Таблиця 1'!$J:$J,"Zuni"))</f>
        <v/>
      </c>
      <c r="O580">
        <f>IF($A580="","",COUNTIFS('Таблиця 1'!$B:$B,$A580,'Таблиця 1'!$I:$I,"Mi-8",'Таблиця 1'!$L:$L,"Уражено")+COUNTIFS('Таблиця 1'!$B:$B,$A580,'Таблиця 1'!$I:$I,"Mi-24",'Таблиця 1'!$L:$L,"Уражено"))</f>
        <v/>
      </c>
      <c r="P580">
        <f>IF($A580="","",COUNTIFS('Таблиця 1'!$B:$B,$A580,'Таблиця 1'!$I:$I,"Mi-8",'Таблиця 1'!$L:$L,"НЕ уражено")+COUNTIFS('Таблиця 1'!$B:$B,$A580,'Таблиця 1'!$I:$I,"Mi-24",'Таблиця 1'!$L:$L,"НЕ уражено"))</f>
        <v/>
      </c>
    </row>
    <row r="581">
      <c r="A581" s="273">
        <f>IF(A580="","",IF(A580+1&gt;MAX('Таблиця 1'!$B:$B),"",A580+1))</f>
        <v/>
      </c>
      <c r="B581">
        <f>IF($A581="","",COUNTIFS('Таблиця 1'!$B:$B,$A581,'Таблиця 1'!$I:$I,"Mi-8")+COUNTIFS('Таблиця 1'!$B:$B,$A581,'Таблиця 1'!$I:$I,"Mi-24"))</f>
        <v/>
      </c>
      <c r="C581">
        <f>IF($A581="","",COUNTIFS('Таблиця 1'!$B:$B,$A581,'Таблиця 1'!$I:$I,"Mi-8"))</f>
        <v/>
      </c>
      <c r="D581">
        <f>IF($A581="","",COUNTIFS('Таблиця 1'!$B:$B,$A581,'Таблиця 1'!$I:$I,"Mi-24"))</f>
        <v/>
      </c>
      <c r="E581">
        <f>IF($A581="","",SUMIFS('Таблиця 1'!$K:$K,'Таблиця 1'!$B:$B,$A581,'Таблиця 1'!$I:$I,"Mi-8",'Таблиця 1'!$J:$J,"ARS-8")+SUMIFS('Таблиця 1'!$K:$K,'Таблиця 1'!$B:$B,$A581,'Таблиця 1'!$I:$I,"Mi-24",'Таблиця 1'!$J:$J,"ARS-8"))</f>
        <v/>
      </c>
      <c r="F581">
        <f>IF($A581="","",SUMIFS('Таблиця 1'!$K:$K,'Таблиця 1'!$B:$B,$A581,'Таблиця 1'!$I:$I,"Mi-8",'Таблиця 1'!$J:$J,"С-8 ком")+SUMIFS('Таблиця 1'!$K:$K,'Таблиця 1'!$B:$B,$A581,'Таблиця 1'!$I:$I,"Mi-24",'Таблиця 1'!$J:$J,"С-8 ком"))</f>
        <v/>
      </c>
      <c r="G581">
        <f>IF($A581="","",SUMIFS('Таблиця 1'!$K:$K,'Таблиця 1'!$B:$B,$A581,'Таблиця 1'!$I:$I,"Mi-8",'Таблиця 1'!$J:$J,"PC-80")+SUMIFS('Таблиця 1'!$K:$K,'Таблиця 1'!$B:$B,$A581,'Таблиця 1'!$I:$I,"Mi-24",'Таблиця 1'!$J:$J,"PC-80"))</f>
        <v/>
      </c>
      <c r="H581">
        <f>IF($A581="","",SUMIFS('Таблиця 1'!$K:$K,'Таблиця 1'!$B:$B,$A581,'Таблиця 1'!$I:$I,"Mi-8",'Таблиця 1'!$J:$J,"UAR-80")+SUMIFS('Таблиця 1'!$K:$K,'Таблиця 1'!$B:$B,$A581,'Таблиця 1'!$I:$I,"Mi-24",'Таблиця 1'!$J:$J,"UAR-80"))</f>
        <v/>
      </c>
      <c r="I581">
        <f>IF($A581="","",SUMIFS('Таблиця 1'!$K:$K,'Таблиця 1'!$B:$B,$A581,'Таблиця 1'!$I:$I,"Mi-8",'Таблиця 1'!$J:$J,"C-13")+SUMIFS('Таблиця 1'!$K:$K,'Таблиця 1'!$B:$B,$A581,'Таблиця 1'!$I:$I,"Mi-24",'Таблиця 1'!$J:$J,"C-13"))</f>
        <v/>
      </c>
      <c r="J581">
        <f>IF($A581="","",SUMIFS('Таблиця 1'!$K:$K,'Таблиця 1'!$B:$B,$A581,'Таблиця 1'!$I:$I,"Mi-8",'Таблиця 1'!$J:$J,"Hydra-70")+SUMIFS('Таблиця 1'!$K:$K,'Таблиця 1'!$B:$B,$A581,'Таблиця 1'!$I:$I,"Mi-24",'Таблиця 1'!$J:$J,"Hydra-70"))</f>
        <v/>
      </c>
      <c r="K581">
        <f>IF($A581="","",SUMIFS('Таблиця 1'!$K:$K,'Таблиця 1'!$B:$B,$A581,'Таблиця 1'!$I:$I,"Mi-8",'Таблиця 1'!$J:$J,"Thales-70")+SUMIFS('Таблиця 1'!$K:$K,'Таблиця 1'!$B:$B,$A581,'Таблиця 1'!$I:$I,"Mi-24",'Таблиця 1'!$J:$J,"Thales-70"))</f>
        <v/>
      </c>
      <c r="L581">
        <f>IF($A581="","",SUMIFS('Таблиця 1'!$K:$K,'Таблиця 1'!$B:$B,$A581,'Таблиця 1'!$I:$I,"Mi-8",'Таблиця 1'!$J:$J,"Thales-FZ")+SUMIFS('Таблиця 1'!$K:$K,'Таблиця 1'!$B:$B,$A581,'Таблиця 1'!$I:$I,"Mi-24",'Таблиця 1'!$J:$J,"Thales-FZ"))</f>
        <v/>
      </c>
      <c r="M581">
        <f>IF($A581="","",SUMIFS('Таблиця 1'!$K:$K,'Таблиця 1'!$B:$B,$A581,'Таблиця 1'!$I:$I,"Mi-8",'Таблиця 1'!$J:$J,"МК-40")+SUMIFS('Таблиця 1'!$K:$K,'Таблиця 1'!$B:$B,$A581,'Таблиця 1'!$I:$I,"Mi-24",'Таблиця 1'!$J:$J,"МК-40"))</f>
        <v/>
      </c>
      <c r="N581">
        <f>IF($A581="","",SUMIFS('Таблиця 1'!$K:$K,'Таблиця 1'!$B:$B,$A581,'Таблиця 1'!$I:$I,"Mi-8",'Таблиця 1'!$J:$J,"Zuni")+SUMIFS('Таблиця 1'!$K:$K,'Таблиця 1'!$B:$B,$A581,'Таблиця 1'!$I:$I,"Mi-24",'Таблиця 1'!$J:$J,"Zuni"))</f>
        <v/>
      </c>
      <c r="O581">
        <f>IF($A581="","",COUNTIFS('Таблиця 1'!$B:$B,$A581,'Таблиця 1'!$I:$I,"Mi-8",'Таблиця 1'!$L:$L,"Уражено")+COUNTIFS('Таблиця 1'!$B:$B,$A581,'Таблиця 1'!$I:$I,"Mi-24",'Таблиця 1'!$L:$L,"Уражено"))</f>
        <v/>
      </c>
      <c r="P581">
        <f>IF($A581="","",COUNTIFS('Таблиця 1'!$B:$B,$A581,'Таблиця 1'!$I:$I,"Mi-8",'Таблиця 1'!$L:$L,"НЕ уражено")+COUNTIFS('Таблиця 1'!$B:$B,$A581,'Таблиця 1'!$I:$I,"Mi-24",'Таблиця 1'!$L:$L,"НЕ уражено"))</f>
        <v/>
      </c>
    </row>
    <row r="582">
      <c r="A582" s="273">
        <f>IF(A581="","",IF(A581+1&gt;MAX('Таблиця 1'!$B:$B),"",A581+1))</f>
        <v/>
      </c>
      <c r="B582">
        <f>IF($A582="","",COUNTIFS('Таблиця 1'!$B:$B,$A582,'Таблиця 1'!$I:$I,"Mi-8")+COUNTIFS('Таблиця 1'!$B:$B,$A582,'Таблиця 1'!$I:$I,"Mi-24"))</f>
        <v/>
      </c>
      <c r="C582">
        <f>IF($A582="","",COUNTIFS('Таблиця 1'!$B:$B,$A582,'Таблиця 1'!$I:$I,"Mi-8"))</f>
        <v/>
      </c>
      <c r="D582">
        <f>IF($A582="","",COUNTIFS('Таблиця 1'!$B:$B,$A582,'Таблиця 1'!$I:$I,"Mi-24"))</f>
        <v/>
      </c>
      <c r="E582">
        <f>IF($A582="","",SUMIFS('Таблиця 1'!$K:$K,'Таблиця 1'!$B:$B,$A582,'Таблиця 1'!$I:$I,"Mi-8",'Таблиця 1'!$J:$J,"ARS-8")+SUMIFS('Таблиця 1'!$K:$K,'Таблиця 1'!$B:$B,$A582,'Таблиця 1'!$I:$I,"Mi-24",'Таблиця 1'!$J:$J,"ARS-8"))</f>
        <v/>
      </c>
      <c r="F582">
        <f>IF($A582="","",SUMIFS('Таблиця 1'!$K:$K,'Таблиця 1'!$B:$B,$A582,'Таблиця 1'!$I:$I,"Mi-8",'Таблиця 1'!$J:$J,"С-8 ком")+SUMIFS('Таблиця 1'!$K:$K,'Таблиця 1'!$B:$B,$A582,'Таблиця 1'!$I:$I,"Mi-24",'Таблиця 1'!$J:$J,"С-8 ком"))</f>
        <v/>
      </c>
      <c r="G582">
        <f>IF($A582="","",SUMIFS('Таблиця 1'!$K:$K,'Таблиця 1'!$B:$B,$A582,'Таблиця 1'!$I:$I,"Mi-8",'Таблиця 1'!$J:$J,"PC-80")+SUMIFS('Таблиця 1'!$K:$K,'Таблиця 1'!$B:$B,$A582,'Таблиця 1'!$I:$I,"Mi-24",'Таблиця 1'!$J:$J,"PC-80"))</f>
        <v/>
      </c>
      <c r="H582">
        <f>IF($A582="","",SUMIFS('Таблиця 1'!$K:$K,'Таблиця 1'!$B:$B,$A582,'Таблиця 1'!$I:$I,"Mi-8",'Таблиця 1'!$J:$J,"UAR-80")+SUMIFS('Таблиця 1'!$K:$K,'Таблиця 1'!$B:$B,$A582,'Таблиця 1'!$I:$I,"Mi-24",'Таблиця 1'!$J:$J,"UAR-80"))</f>
        <v/>
      </c>
      <c r="I582">
        <f>IF($A582="","",SUMIFS('Таблиця 1'!$K:$K,'Таблиця 1'!$B:$B,$A582,'Таблиця 1'!$I:$I,"Mi-8",'Таблиця 1'!$J:$J,"C-13")+SUMIFS('Таблиця 1'!$K:$K,'Таблиця 1'!$B:$B,$A582,'Таблиця 1'!$I:$I,"Mi-24",'Таблиця 1'!$J:$J,"C-13"))</f>
        <v/>
      </c>
      <c r="J582">
        <f>IF($A582="","",SUMIFS('Таблиця 1'!$K:$K,'Таблиця 1'!$B:$B,$A582,'Таблиця 1'!$I:$I,"Mi-8",'Таблиця 1'!$J:$J,"Hydra-70")+SUMIFS('Таблиця 1'!$K:$K,'Таблиця 1'!$B:$B,$A582,'Таблиця 1'!$I:$I,"Mi-24",'Таблиця 1'!$J:$J,"Hydra-70"))</f>
        <v/>
      </c>
      <c r="K582">
        <f>IF($A582="","",SUMIFS('Таблиця 1'!$K:$K,'Таблиця 1'!$B:$B,$A582,'Таблиця 1'!$I:$I,"Mi-8",'Таблиця 1'!$J:$J,"Thales-70")+SUMIFS('Таблиця 1'!$K:$K,'Таблиця 1'!$B:$B,$A582,'Таблиця 1'!$I:$I,"Mi-24",'Таблиця 1'!$J:$J,"Thales-70"))</f>
        <v/>
      </c>
      <c r="L582">
        <f>IF($A582="","",SUMIFS('Таблиця 1'!$K:$K,'Таблиця 1'!$B:$B,$A582,'Таблиця 1'!$I:$I,"Mi-8",'Таблиця 1'!$J:$J,"Thales-FZ")+SUMIFS('Таблиця 1'!$K:$K,'Таблиця 1'!$B:$B,$A582,'Таблиця 1'!$I:$I,"Mi-24",'Таблиця 1'!$J:$J,"Thales-FZ"))</f>
        <v/>
      </c>
      <c r="M582">
        <f>IF($A582="","",SUMIFS('Таблиця 1'!$K:$K,'Таблиця 1'!$B:$B,$A582,'Таблиця 1'!$I:$I,"Mi-8",'Таблиця 1'!$J:$J,"МК-40")+SUMIFS('Таблиця 1'!$K:$K,'Таблиця 1'!$B:$B,$A582,'Таблиця 1'!$I:$I,"Mi-24",'Таблиця 1'!$J:$J,"МК-40"))</f>
        <v/>
      </c>
      <c r="N582">
        <f>IF($A582="","",SUMIFS('Таблиця 1'!$K:$K,'Таблиця 1'!$B:$B,$A582,'Таблиця 1'!$I:$I,"Mi-8",'Таблиця 1'!$J:$J,"Zuni")+SUMIFS('Таблиця 1'!$K:$K,'Таблиця 1'!$B:$B,$A582,'Таблиця 1'!$I:$I,"Mi-24",'Таблиця 1'!$J:$J,"Zuni"))</f>
        <v/>
      </c>
      <c r="O582">
        <f>IF($A582="","",COUNTIFS('Таблиця 1'!$B:$B,$A582,'Таблиця 1'!$I:$I,"Mi-8",'Таблиця 1'!$L:$L,"Уражено")+COUNTIFS('Таблиця 1'!$B:$B,$A582,'Таблиця 1'!$I:$I,"Mi-24",'Таблиця 1'!$L:$L,"Уражено"))</f>
        <v/>
      </c>
      <c r="P582">
        <f>IF($A582="","",COUNTIFS('Таблиця 1'!$B:$B,$A582,'Таблиця 1'!$I:$I,"Mi-8",'Таблиця 1'!$L:$L,"НЕ уражено")+COUNTIFS('Таблиця 1'!$B:$B,$A582,'Таблиця 1'!$I:$I,"Mi-24",'Таблиця 1'!$L:$L,"НЕ уражено"))</f>
        <v/>
      </c>
    </row>
    <row r="583">
      <c r="A583" s="273">
        <f>IF(A582="","",IF(A582+1&gt;MAX('Таблиця 1'!$B:$B),"",A582+1))</f>
        <v/>
      </c>
      <c r="B583">
        <f>IF($A583="","",COUNTIFS('Таблиця 1'!$B:$B,$A583,'Таблиця 1'!$I:$I,"Mi-8")+COUNTIFS('Таблиця 1'!$B:$B,$A583,'Таблиця 1'!$I:$I,"Mi-24"))</f>
        <v/>
      </c>
      <c r="C583">
        <f>IF($A583="","",COUNTIFS('Таблиця 1'!$B:$B,$A583,'Таблиця 1'!$I:$I,"Mi-8"))</f>
        <v/>
      </c>
      <c r="D583">
        <f>IF($A583="","",COUNTIFS('Таблиця 1'!$B:$B,$A583,'Таблиця 1'!$I:$I,"Mi-24"))</f>
        <v/>
      </c>
      <c r="E583">
        <f>IF($A583="","",SUMIFS('Таблиця 1'!$K:$K,'Таблиця 1'!$B:$B,$A583,'Таблиця 1'!$I:$I,"Mi-8",'Таблиця 1'!$J:$J,"ARS-8")+SUMIFS('Таблиця 1'!$K:$K,'Таблиця 1'!$B:$B,$A583,'Таблиця 1'!$I:$I,"Mi-24",'Таблиця 1'!$J:$J,"ARS-8"))</f>
        <v/>
      </c>
      <c r="F583">
        <f>IF($A583="","",SUMIFS('Таблиця 1'!$K:$K,'Таблиця 1'!$B:$B,$A583,'Таблиця 1'!$I:$I,"Mi-8",'Таблиця 1'!$J:$J,"С-8 ком")+SUMIFS('Таблиця 1'!$K:$K,'Таблиця 1'!$B:$B,$A583,'Таблиця 1'!$I:$I,"Mi-24",'Таблиця 1'!$J:$J,"С-8 ком"))</f>
        <v/>
      </c>
      <c r="G583">
        <f>IF($A583="","",SUMIFS('Таблиця 1'!$K:$K,'Таблиця 1'!$B:$B,$A583,'Таблиця 1'!$I:$I,"Mi-8",'Таблиця 1'!$J:$J,"PC-80")+SUMIFS('Таблиця 1'!$K:$K,'Таблиця 1'!$B:$B,$A583,'Таблиця 1'!$I:$I,"Mi-24",'Таблиця 1'!$J:$J,"PC-80"))</f>
        <v/>
      </c>
      <c r="H583">
        <f>IF($A583="","",SUMIFS('Таблиця 1'!$K:$K,'Таблиця 1'!$B:$B,$A583,'Таблиця 1'!$I:$I,"Mi-8",'Таблиця 1'!$J:$J,"UAR-80")+SUMIFS('Таблиця 1'!$K:$K,'Таблиця 1'!$B:$B,$A583,'Таблиця 1'!$I:$I,"Mi-24",'Таблиця 1'!$J:$J,"UAR-80"))</f>
        <v/>
      </c>
      <c r="I583">
        <f>IF($A583="","",SUMIFS('Таблиця 1'!$K:$K,'Таблиця 1'!$B:$B,$A583,'Таблиця 1'!$I:$I,"Mi-8",'Таблиця 1'!$J:$J,"C-13")+SUMIFS('Таблиця 1'!$K:$K,'Таблиця 1'!$B:$B,$A583,'Таблиця 1'!$I:$I,"Mi-24",'Таблиця 1'!$J:$J,"C-13"))</f>
        <v/>
      </c>
      <c r="J583">
        <f>IF($A583="","",SUMIFS('Таблиця 1'!$K:$K,'Таблиця 1'!$B:$B,$A583,'Таблиця 1'!$I:$I,"Mi-8",'Таблиця 1'!$J:$J,"Hydra-70")+SUMIFS('Таблиця 1'!$K:$K,'Таблиця 1'!$B:$B,$A583,'Таблиця 1'!$I:$I,"Mi-24",'Таблиця 1'!$J:$J,"Hydra-70"))</f>
        <v/>
      </c>
      <c r="K583">
        <f>IF($A583="","",SUMIFS('Таблиця 1'!$K:$K,'Таблиця 1'!$B:$B,$A583,'Таблиця 1'!$I:$I,"Mi-8",'Таблиця 1'!$J:$J,"Thales-70")+SUMIFS('Таблиця 1'!$K:$K,'Таблиця 1'!$B:$B,$A583,'Таблиця 1'!$I:$I,"Mi-24",'Таблиця 1'!$J:$J,"Thales-70"))</f>
        <v/>
      </c>
      <c r="L583">
        <f>IF($A583="","",SUMIFS('Таблиця 1'!$K:$K,'Таблиця 1'!$B:$B,$A583,'Таблиця 1'!$I:$I,"Mi-8",'Таблиця 1'!$J:$J,"Thales-FZ")+SUMIFS('Таблиця 1'!$K:$K,'Таблиця 1'!$B:$B,$A583,'Таблиця 1'!$I:$I,"Mi-24",'Таблиця 1'!$J:$J,"Thales-FZ"))</f>
        <v/>
      </c>
      <c r="M583">
        <f>IF($A583="","",SUMIFS('Таблиця 1'!$K:$K,'Таблиця 1'!$B:$B,$A583,'Таблиця 1'!$I:$I,"Mi-8",'Таблиця 1'!$J:$J,"МК-40")+SUMIFS('Таблиця 1'!$K:$K,'Таблиця 1'!$B:$B,$A583,'Таблиця 1'!$I:$I,"Mi-24",'Таблиця 1'!$J:$J,"МК-40"))</f>
        <v/>
      </c>
      <c r="N583">
        <f>IF($A583="","",SUMIFS('Таблиця 1'!$K:$K,'Таблиця 1'!$B:$B,$A583,'Таблиця 1'!$I:$I,"Mi-8",'Таблиця 1'!$J:$J,"Zuni")+SUMIFS('Таблиця 1'!$K:$K,'Таблиця 1'!$B:$B,$A583,'Таблиця 1'!$I:$I,"Mi-24",'Таблиця 1'!$J:$J,"Zuni"))</f>
        <v/>
      </c>
      <c r="O583">
        <f>IF($A583="","",COUNTIFS('Таблиця 1'!$B:$B,$A583,'Таблиця 1'!$I:$I,"Mi-8",'Таблиця 1'!$L:$L,"Уражено")+COUNTIFS('Таблиця 1'!$B:$B,$A583,'Таблиця 1'!$I:$I,"Mi-24",'Таблиця 1'!$L:$L,"Уражено"))</f>
        <v/>
      </c>
      <c r="P583">
        <f>IF($A583="","",COUNTIFS('Таблиця 1'!$B:$B,$A583,'Таблиця 1'!$I:$I,"Mi-8",'Таблиця 1'!$L:$L,"НЕ уражено")+COUNTIFS('Таблиця 1'!$B:$B,$A583,'Таблиця 1'!$I:$I,"Mi-24",'Таблиця 1'!$L:$L,"НЕ уражено"))</f>
        <v/>
      </c>
    </row>
    <row r="584">
      <c r="A584" s="273">
        <f>IF(A583="","",IF(A583+1&gt;MAX('Таблиця 1'!$B:$B),"",A583+1))</f>
        <v/>
      </c>
      <c r="B584">
        <f>IF($A584="","",COUNTIFS('Таблиця 1'!$B:$B,$A584,'Таблиця 1'!$I:$I,"Mi-8")+COUNTIFS('Таблиця 1'!$B:$B,$A584,'Таблиця 1'!$I:$I,"Mi-24"))</f>
        <v/>
      </c>
      <c r="C584">
        <f>IF($A584="","",COUNTIFS('Таблиця 1'!$B:$B,$A584,'Таблиця 1'!$I:$I,"Mi-8"))</f>
        <v/>
      </c>
      <c r="D584">
        <f>IF($A584="","",COUNTIFS('Таблиця 1'!$B:$B,$A584,'Таблиця 1'!$I:$I,"Mi-24"))</f>
        <v/>
      </c>
      <c r="E584">
        <f>IF($A584="","",SUMIFS('Таблиця 1'!$K:$K,'Таблиця 1'!$B:$B,$A584,'Таблиця 1'!$I:$I,"Mi-8",'Таблиця 1'!$J:$J,"ARS-8")+SUMIFS('Таблиця 1'!$K:$K,'Таблиця 1'!$B:$B,$A584,'Таблиця 1'!$I:$I,"Mi-24",'Таблиця 1'!$J:$J,"ARS-8"))</f>
        <v/>
      </c>
      <c r="F584">
        <f>IF($A584="","",SUMIFS('Таблиця 1'!$K:$K,'Таблиця 1'!$B:$B,$A584,'Таблиця 1'!$I:$I,"Mi-8",'Таблиця 1'!$J:$J,"С-8 ком")+SUMIFS('Таблиця 1'!$K:$K,'Таблиця 1'!$B:$B,$A584,'Таблиця 1'!$I:$I,"Mi-24",'Таблиця 1'!$J:$J,"С-8 ком"))</f>
        <v/>
      </c>
      <c r="G584">
        <f>IF($A584="","",SUMIFS('Таблиця 1'!$K:$K,'Таблиця 1'!$B:$B,$A584,'Таблиця 1'!$I:$I,"Mi-8",'Таблиця 1'!$J:$J,"PC-80")+SUMIFS('Таблиця 1'!$K:$K,'Таблиця 1'!$B:$B,$A584,'Таблиця 1'!$I:$I,"Mi-24",'Таблиця 1'!$J:$J,"PC-80"))</f>
        <v/>
      </c>
      <c r="H584">
        <f>IF($A584="","",SUMIFS('Таблиця 1'!$K:$K,'Таблиця 1'!$B:$B,$A584,'Таблиця 1'!$I:$I,"Mi-8",'Таблиця 1'!$J:$J,"UAR-80")+SUMIFS('Таблиця 1'!$K:$K,'Таблиця 1'!$B:$B,$A584,'Таблиця 1'!$I:$I,"Mi-24",'Таблиця 1'!$J:$J,"UAR-80"))</f>
        <v/>
      </c>
      <c r="I584">
        <f>IF($A584="","",SUMIFS('Таблиця 1'!$K:$K,'Таблиця 1'!$B:$B,$A584,'Таблиця 1'!$I:$I,"Mi-8",'Таблиця 1'!$J:$J,"C-13")+SUMIFS('Таблиця 1'!$K:$K,'Таблиця 1'!$B:$B,$A584,'Таблиця 1'!$I:$I,"Mi-24",'Таблиця 1'!$J:$J,"C-13"))</f>
        <v/>
      </c>
      <c r="J584">
        <f>IF($A584="","",SUMIFS('Таблиця 1'!$K:$K,'Таблиця 1'!$B:$B,$A584,'Таблиця 1'!$I:$I,"Mi-8",'Таблиця 1'!$J:$J,"Hydra-70")+SUMIFS('Таблиця 1'!$K:$K,'Таблиця 1'!$B:$B,$A584,'Таблиця 1'!$I:$I,"Mi-24",'Таблиця 1'!$J:$J,"Hydra-70"))</f>
        <v/>
      </c>
      <c r="K584">
        <f>IF($A584="","",SUMIFS('Таблиця 1'!$K:$K,'Таблиця 1'!$B:$B,$A584,'Таблиця 1'!$I:$I,"Mi-8",'Таблиця 1'!$J:$J,"Thales-70")+SUMIFS('Таблиця 1'!$K:$K,'Таблиця 1'!$B:$B,$A584,'Таблиця 1'!$I:$I,"Mi-24",'Таблиця 1'!$J:$J,"Thales-70"))</f>
        <v/>
      </c>
      <c r="L584">
        <f>IF($A584="","",SUMIFS('Таблиця 1'!$K:$K,'Таблиця 1'!$B:$B,$A584,'Таблиця 1'!$I:$I,"Mi-8",'Таблиця 1'!$J:$J,"Thales-FZ")+SUMIFS('Таблиця 1'!$K:$K,'Таблиця 1'!$B:$B,$A584,'Таблиця 1'!$I:$I,"Mi-24",'Таблиця 1'!$J:$J,"Thales-FZ"))</f>
        <v/>
      </c>
      <c r="M584">
        <f>IF($A584="","",SUMIFS('Таблиця 1'!$K:$K,'Таблиця 1'!$B:$B,$A584,'Таблиця 1'!$I:$I,"Mi-8",'Таблиця 1'!$J:$J,"МК-40")+SUMIFS('Таблиця 1'!$K:$K,'Таблиця 1'!$B:$B,$A584,'Таблиця 1'!$I:$I,"Mi-24",'Таблиця 1'!$J:$J,"МК-40"))</f>
        <v/>
      </c>
      <c r="N584">
        <f>IF($A584="","",SUMIFS('Таблиця 1'!$K:$K,'Таблиця 1'!$B:$B,$A584,'Таблиця 1'!$I:$I,"Mi-8",'Таблиця 1'!$J:$J,"Zuni")+SUMIFS('Таблиця 1'!$K:$K,'Таблиця 1'!$B:$B,$A584,'Таблиця 1'!$I:$I,"Mi-24",'Таблиця 1'!$J:$J,"Zuni"))</f>
        <v/>
      </c>
      <c r="O584">
        <f>IF($A584="","",COUNTIFS('Таблиця 1'!$B:$B,$A584,'Таблиця 1'!$I:$I,"Mi-8",'Таблиця 1'!$L:$L,"Уражено")+COUNTIFS('Таблиця 1'!$B:$B,$A584,'Таблиця 1'!$I:$I,"Mi-24",'Таблиця 1'!$L:$L,"Уражено"))</f>
        <v/>
      </c>
      <c r="P584">
        <f>IF($A584="","",COUNTIFS('Таблиця 1'!$B:$B,$A584,'Таблиця 1'!$I:$I,"Mi-8",'Таблиця 1'!$L:$L,"НЕ уражено")+COUNTIFS('Таблиця 1'!$B:$B,$A584,'Таблиця 1'!$I:$I,"Mi-24",'Таблиця 1'!$L:$L,"НЕ уражено"))</f>
        <v/>
      </c>
    </row>
    <row r="585">
      <c r="A585" s="273">
        <f>IF(A584="","",IF(A584+1&gt;MAX('Таблиця 1'!$B:$B),"",A584+1))</f>
        <v/>
      </c>
      <c r="B585">
        <f>IF($A585="","",COUNTIFS('Таблиця 1'!$B:$B,$A585,'Таблиця 1'!$I:$I,"Mi-8")+COUNTIFS('Таблиця 1'!$B:$B,$A585,'Таблиця 1'!$I:$I,"Mi-24"))</f>
        <v/>
      </c>
      <c r="C585">
        <f>IF($A585="","",COUNTIFS('Таблиця 1'!$B:$B,$A585,'Таблиця 1'!$I:$I,"Mi-8"))</f>
        <v/>
      </c>
      <c r="D585">
        <f>IF($A585="","",COUNTIFS('Таблиця 1'!$B:$B,$A585,'Таблиця 1'!$I:$I,"Mi-24"))</f>
        <v/>
      </c>
      <c r="E585">
        <f>IF($A585="","",SUMIFS('Таблиця 1'!$K:$K,'Таблиця 1'!$B:$B,$A585,'Таблиця 1'!$I:$I,"Mi-8",'Таблиця 1'!$J:$J,"ARS-8")+SUMIFS('Таблиця 1'!$K:$K,'Таблиця 1'!$B:$B,$A585,'Таблиця 1'!$I:$I,"Mi-24",'Таблиця 1'!$J:$J,"ARS-8"))</f>
        <v/>
      </c>
      <c r="F585">
        <f>IF($A585="","",SUMIFS('Таблиця 1'!$K:$K,'Таблиця 1'!$B:$B,$A585,'Таблиця 1'!$I:$I,"Mi-8",'Таблиця 1'!$J:$J,"С-8 ком")+SUMIFS('Таблиця 1'!$K:$K,'Таблиця 1'!$B:$B,$A585,'Таблиця 1'!$I:$I,"Mi-24",'Таблиця 1'!$J:$J,"С-8 ком"))</f>
        <v/>
      </c>
      <c r="G585">
        <f>IF($A585="","",SUMIFS('Таблиця 1'!$K:$K,'Таблиця 1'!$B:$B,$A585,'Таблиця 1'!$I:$I,"Mi-8",'Таблиця 1'!$J:$J,"PC-80")+SUMIFS('Таблиця 1'!$K:$K,'Таблиця 1'!$B:$B,$A585,'Таблиця 1'!$I:$I,"Mi-24",'Таблиця 1'!$J:$J,"PC-80"))</f>
        <v/>
      </c>
      <c r="H585">
        <f>IF($A585="","",SUMIFS('Таблиця 1'!$K:$K,'Таблиця 1'!$B:$B,$A585,'Таблиця 1'!$I:$I,"Mi-8",'Таблиця 1'!$J:$J,"UAR-80")+SUMIFS('Таблиця 1'!$K:$K,'Таблиця 1'!$B:$B,$A585,'Таблиця 1'!$I:$I,"Mi-24",'Таблиця 1'!$J:$J,"UAR-80"))</f>
        <v/>
      </c>
      <c r="I585">
        <f>IF($A585="","",SUMIFS('Таблиця 1'!$K:$K,'Таблиця 1'!$B:$B,$A585,'Таблиця 1'!$I:$I,"Mi-8",'Таблиця 1'!$J:$J,"C-13")+SUMIFS('Таблиця 1'!$K:$K,'Таблиця 1'!$B:$B,$A585,'Таблиця 1'!$I:$I,"Mi-24",'Таблиця 1'!$J:$J,"C-13"))</f>
        <v/>
      </c>
      <c r="J585">
        <f>IF($A585="","",SUMIFS('Таблиця 1'!$K:$K,'Таблиця 1'!$B:$B,$A585,'Таблиця 1'!$I:$I,"Mi-8",'Таблиця 1'!$J:$J,"Hydra-70")+SUMIFS('Таблиця 1'!$K:$K,'Таблиця 1'!$B:$B,$A585,'Таблиця 1'!$I:$I,"Mi-24",'Таблиця 1'!$J:$J,"Hydra-70"))</f>
        <v/>
      </c>
      <c r="K585">
        <f>IF($A585="","",SUMIFS('Таблиця 1'!$K:$K,'Таблиця 1'!$B:$B,$A585,'Таблиця 1'!$I:$I,"Mi-8",'Таблиця 1'!$J:$J,"Thales-70")+SUMIFS('Таблиця 1'!$K:$K,'Таблиця 1'!$B:$B,$A585,'Таблиця 1'!$I:$I,"Mi-24",'Таблиця 1'!$J:$J,"Thales-70"))</f>
        <v/>
      </c>
      <c r="L585">
        <f>IF($A585="","",SUMIFS('Таблиця 1'!$K:$K,'Таблиця 1'!$B:$B,$A585,'Таблиця 1'!$I:$I,"Mi-8",'Таблиця 1'!$J:$J,"Thales-FZ")+SUMIFS('Таблиця 1'!$K:$K,'Таблиця 1'!$B:$B,$A585,'Таблиця 1'!$I:$I,"Mi-24",'Таблиця 1'!$J:$J,"Thales-FZ"))</f>
        <v/>
      </c>
      <c r="M585">
        <f>IF($A585="","",SUMIFS('Таблиця 1'!$K:$K,'Таблиця 1'!$B:$B,$A585,'Таблиця 1'!$I:$I,"Mi-8",'Таблиця 1'!$J:$J,"МК-40")+SUMIFS('Таблиця 1'!$K:$K,'Таблиця 1'!$B:$B,$A585,'Таблиця 1'!$I:$I,"Mi-24",'Таблиця 1'!$J:$J,"МК-40"))</f>
        <v/>
      </c>
      <c r="N585">
        <f>IF($A585="","",SUMIFS('Таблиця 1'!$K:$K,'Таблиця 1'!$B:$B,$A585,'Таблиця 1'!$I:$I,"Mi-8",'Таблиця 1'!$J:$J,"Zuni")+SUMIFS('Таблиця 1'!$K:$K,'Таблиця 1'!$B:$B,$A585,'Таблиця 1'!$I:$I,"Mi-24",'Таблиця 1'!$J:$J,"Zuni"))</f>
        <v/>
      </c>
      <c r="O585">
        <f>IF($A585="","",COUNTIFS('Таблиця 1'!$B:$B,$A585,'Таблиця 1'!$I:$I,"Mi-8",'Таблиця 1'!$L:$L,"Уражено")+COUNTIFS('Таблиця 1'!$B:$B,$A585,'Таблиця 1'!$I:$I,"Mi-24",'Таблиця 1'!$L:$L,"Уражено"))</f>
        <v/>
      </c>
      <c r="P585">
        <f>IF($A585="","",COUNTIFS('Таблиця 1'!$B:$B,$A585,'Таблиця 1'!$I:$I,"Mi-8",'Таблиця 1'!$L:$L,"НЕ уражено")+COUNTIFS('Таблиця 1'!$B:$B,$A585,'Таблиця 1'!$I:$I,"Mi-24",'Таблиця 1'!$L:$L,"НЕ уражено"))</f>
        <v/>
      </c>
    </row>
    <row r="586">
      <c r="A586" s="273">
        <f>IF(A585="","",IF(A585+1&gt;MAX('Таблиця 1'!$B:$B),"",A585+1))</f>
        <v/>
      </c>
      <c r="B586">
        <f>IF($A586="","",COUNTIFS('Таблиця 1'!$B:$B,$A586,'Таблиця 1'!$I:$I,"Mi-8")+COUNTIFS('Таблиця 1'!$B:$B,$A586,'Таблиця 1'!$I:$I,"Mi-24"))</f>
        <v/>
      </c>
      <c r="C586">
        <f>IF($A586="","",COUNTIFS('Таблиця 1'!$B:$B,$A586,'Таблиця 1'!$I:$I,"Mi-8"))</f>
        <v/>
      </c>
      <c r="D586">
        <f>IF($A586="","",COUNTIFS('Таблиця 1'!$B:$B,$A586,'Таблиця 1'!$I:$I,"Mi-24"))</f>
        <v/>
      </c>
      <c r="E586">
        <f>IF($A586="","",SUMIFS('Таблиця 1'!$K:$K,'Таблиця 1'!$B:$B,$A586,'Таблиця 1'!$I:$I,"Mi-8",'Таблиця 1'!$J:$J,"ARS-8")+SUMIFS('Таблиця 1'!$K:$K,'Таблиця 1'!$B:$B,$A586,'Таблиця 1'!$I:$I,"Mi-24",'Таблиця 1'!$J:$J,"ARS-8"))</f>
        <v/>
      </c>
      <c r="F586">
        <f>IF($A586="","",SUMIFS('Таблиця 1'!$K:$K,'Таблиця 1'!$B:$B,$A586,'Таблиця 1'!$I:$I,"Mi-8",'Таблиця 1'!$J:$J,"С-8 ком")+SUMIFS('Таблиця 1'!$K:$K,'Таблиця 1'!$B:$B,$A586,'Таблиця 1'!$I:$I,"Mi-24",'Таблиця 1'!$J:$J,"С-8 ком"))</f>
        <v/>
      </c>
      <c r="G586">
        <f>IF($A586="","",SUMIFS('Таблиця 1'!$K:$K,'Таблиця 1'!$B:$B,$A586,'Таблиця 1'!$I:$I,"Mi-8",'Таблиця 1'!$J:$J,"PC-80")+SUMIFS('Таблиця 1'!$K:$K,'Таблиця 1'!$B:$B,$A586,'Таблиця 1'!$I:$I,"Mi-24",'Таблиця 1'!$J:$J,"PC-80"))</f>
        <v/>
      </c>
      <c r="H586">
        <f>IF($A586="","",SUMIFS('Таблиця 1'!$K:$K,'Таблиця 1'!$B:$B,$A586,'Таблиця 1'!$I:$I,"Mi-8",'Таблиця 1'!$J:$J,"UAR-80")+SUMIFS('Таблиця 1'!$K:$K,'Таблиця 1'!$B:$B,$A586,'Таблиця 1'!$I:$I,"Mi-24",'Таблиця 1'!$J:$J,"UAR-80"))</f>
        <v/>
      </c>
      <c r="I586">
        <f>IF($A586="","",SUMIFS('Таблиця 1'!$K:$K,'Таблиця 1'!$B:$B,$A586,'Таблиця 1'!$I:$I,"Mi-8",'Таблиця 1'!$J:$J,"C-13")+SUMIFS('Таблиця 1'!$K:$K,'Таблиця 1'!$B:$B,$A586,'Таблиця 1'!$I:$I,"Mi-24",'Таблиця 1'!$J:$J,"C-13"))</f>
        <v/>
      </c>
      <c r="J586">
        <f>IF($A586="","",SUMIFS('Таблиця 1'!$K:$K,'Таблиця 1'!$B:$B,$A586,'Таблиця 1'!$I:$I,"Mi-8",'Таблиця 1'!$J:$J,"Hydra-70")+SUMIFS('Таблиця 1'!$K:$K,'Таблиця 1'!$B:$B,$A586,'Таблиця 1'!$I:$I,"Mi-24",'Таблиця 1'!$J:$J,"Hydra-70"))</f>
        <v/>
      </c>
      <c r="K586">
        <f>IF($A586="","",SUMIFS('Таблиця 1'!$K:$K,'Таблиця 1'!$B:$B,$A586,'Таблиця 1'!$I:$I,"Mi-8",'Таблиця 1'!$J:$J,"Thales-70")+SUMIFS('Таблиця 1'!$K:$K,'Таблиця 1'!$B:$B,$A586,'Таблиця 1'!$I:$I,"Mi-24",'Таблиця 1'!$J:$J,"Thales-70"))</f>
        <v/>
      </c>
      <c r="L586">
        <f>IF($A586="","",SUMIFS('Таблиця 1'!$K:$K,'Таблиця 1'!$B:$B,$A586,'Таблиця 1'!$I:$I,"Mi-8",'Таблиця 1'!$J:$J,"Thales-FZ")+SUMIFS('Таблиця 1'!$K:$K,'Таблиця 1'!$B:$B,$A586,'Таблиця 1'!$I:$I,"Mi-24",'Таблиця 1'!$J:$J,"Thales-FZ"))</f>
        <v/>
      </c>
      <c r="M586">
        <f>IF($A586="","",SUMIFS('Таблиця 1'!$K:$K,'Таблиця 1'!$B:$B,$A586,'Таблиця 1'!$I:$I,"Mi-8",'Таблиця 1'!$J:$J,"МК-40")+SUMIFS('Таблиця 1'!$K:$K,'Таблиця 1'!$B:$B,$A586,'Таблиця 1'!$I:$I,"Mi-24",'Таблиця 1'!$J:$J,"МК-40"))</f>
        <v/>
      </c>
      <c r="N586">
        <f>IF($A586="","",SUMIFS('Таблиця 1'!$K:$K,'Таблиця 1'!$B:$B,$A586,'Таблиця 1'!$I:$I,"Mi-8",'Таблиця 1'!$J:$J,"Zuni")+SUMIFS('Таблиця 1'!$K:$K,'Таблиця 1'!$B:$B,$A586,'Таблиця 1'!$I:$I,"Mi-24",'Таблиця 1'!$J:$J,"Zuni"))</f>
        <v/>
      </c>
      <c r="O586">
        <f>IF($A586="","",COUNTIFS('Таблиця 1'!$B:$B,$A586,'Таблиця 1'!$I:$I,"Mi-8",'Таблиця 1'!$L:$L,"Уражено")+COUNTIFS('Таблиця 1'!$B:$B,$A586,'Таблиця 1'!$I:$I,"Mi-24",'Таблиця 1'!$L:$L,"Уражено"))</f>
        <v/>
      </c>
      <c r="P586">
        <f>IF($A586="","",COUNTIFS('Таблиця 1'!$B:$B,$A586,'Таблиця 1'!$I:$I,"Mi-8",'Таблиця 1'!$L:$L,"НЕ уражено")+COUNTIFS('Таблиця 1'!$B:$B,$A586,'Таблиця 1'!$I:$I,"Mi-24",'Таблиця 1'!$L:$L,"НЕ уражено"))</f>
        <v/>
      </c>
    </row>
    <row r="587">
      <c r="A587" s="273">
        <f>IF(A586="","",IF(A586+1&gt;MAX('Таблиця 1'!$B:$B),"",A586+1))</f>
        <v/>
      </c>
      <c r="B587">
        <f>IF($A587="","",COUNTIFS('Таблиця 1'!$B:$B,$A587,'Таблиця 1'!$I:$I,"Mi-8")+COUNTIFS('Таблиця 1'!$B:$B,$A587,'Таблиця 1'!$I:$I,"Mi-24"))</f>
        <v/>
      </c>
      <c r="C587">
        <f>IF($A587="","",COUNTIFS('Таблиця 1'!$B:$B,$A587,'Таблиця 1'!$I:$I,"Mi-8"))</f>
        <v/>
      </c>
      <c r="D587">
        <f>IF($A587="","",COUNTIFS('Таблиця 1'!$B:$B,$A587,'Таблиця 1'!$I:$I,"Mi-24"))</f>
        <v/>
      </c>
      <c r="E587">
        <f>IF($A587="","",SUMIFS('Таблиця 1'!$K:$K,'Таблиця 1'!$B:$B,$A587,'Таблиця 1'!$I:$I,"Mi-8",'Таблиця 1'!$J:$J,"ARS-8")+SUMIFS('Таблиця 1'!$K:$K,'Таблиця 1'!$B:$B,$A587,'Таблиця 1'!$I:$I,"Mi-24",'Таблиця 1'!$J:$J,"ARS-8"))</f>
        <v/>
      </c>
      <c r="F587">
        <f>IF($A587="","",SUMIFS('Таблиця 1'!$K:$K,'Таблиця 1'!$B:$B,$A587,'Таблиця 1'!$I:$I,"Mi-8",'Таблиця 1'!$J:$J,"С-8 ком")+SUMIFS('Таблиця 1'!$K:$K,'Таблиця 1'!$B:$B,$A587,'Таблиця 1'!$I:$I,"Mi-24",'Таблиця 1'!$J:$J,"С-8 ком"))</f>
        <v/>
      </c>
      <c r="G587">
        <f>IF($A587="","",SUMIFS('Таблиця 1'!$K:$K,'Таблиця 1'!$B:$B,$A587,'Таблиця 1'!$I:$I,"Mi-8",'Таблиця 1'!$J:$J,"PC-80")+SUMIFS('Таблиця 1'!$K:$K,'Таблиця 1'!$B:$B,$A587,'Таблиця 1'!$I:$I,"Mi-24",'Таблиця 1'!$J:$J,"PC-80"))</f>
        <v/>
      </c>
      <c r="H587">
        <f>IF($A587="","",SUMIFS('Таблиця 1'!$K:$K,'Таблиця 1'!$B:$B,$A587,'Таблиця 1'!$I:$I,"Mi-8",'Таблиця 1'!$J:$J,"UAR-80")+SUMIFS('Таблиця 1'!$K:$K,'Таблиця 1'!$B:$B,$A587,'Таблиця 1'!$I:$I,"Mi-24",'Таблиця 1'!$J:$J,"UAR-80"))</f>
        <v/>
      </c>
      <c r="I587">
        <f>IF($A587="","",SUMIFS('Таблиця 1'!$K:$K,'Таблиця 1'!$B:$B,$A587,'Таблиця 1'!$I:$I,"Mi-8",'Таблиця 1'!$J:$J,"C-13")+SUMIFS('Таблиця 1'!$K:$K,'Таблиця 1'!$B:$B,$A587,'Таблиця 1'!$I:$I,"Mi-24",'Таблиця 1'!$J:$J,"C-13"))</f>
        <v/>
      </c>
      <c r="J587">
        <f>IF($A587="","",SUMIFS('Таблиця 1'!$K:$K,'Таблиця 1'!$B:$B,$A587,'Таблиця 1'!$I:$I,"Mi-8",'Таблиця 1'!$J:$J,"Hydra-70")+SUMIFS('Таблиця 1'!$K:$K,'Таблиця 1'!$B:$B,$A587,'Таблиця 1'!$I:$I,"Mi-24",'Таблиця 1'!$J:$J,"Hydra-70"))</f>
        <v/>
      </c>
      <c r="K587">
        <f>IF($A587="","",SUMIFS('Таблиця 1'!$K:$K,'Таблиця 1'!$B:$B,$A587,'Таблиця 1'!$I:$I,"Mi-8",'Таблиця 1'!$J:$J,"Thales-70")+SUMIFS('Таблиця 1'!$K:$K,'Таблиця 1'!$B:$B,$A587,'Таблиця 1'!$I:$I,"Mi-24",'Таблиця 1'!$J:$J,"Thales-70"))</f>
        <v/>
      </c>
      <c r="L587">
        <f>IF($A587="","",SUMIFS('Таблиця 1'!$K:$K,'Таблиця 1'!$B:$B,$A587,'Таблиця 1'!$I:$I,"Mi-8",'Таблиця 1'!$J:$J,"Thales-FZ")+SUMIFS('Таблиця 1'!$K:$K,'Таблиця 1'!$B:$B,$A587,'Таблиця 1'!$I:$I,"Mi-24",'Таблиця 1'!$J:$J,"Thales-FZ"))</f>
        <v/>
      </c>
      <c r="M587">
        <f>IF($A587="","",SUMIFS('Таблиця 1'!$K:$K,'Таблиця 1'!$B:$B,$A587,'Таблиця 1'!$I:$I,"Mi-8",'Таблиця 1'!$J:$J,"МК-40")+SUMIFS('Таблиця 1'!$K:$K,'Таблиця 1'!$B:$B,$A587,'Таблиця 1'!$I:$I,"Mi-24",'Таблиця 1'!$J:$J,"МК-40"))</f>
        <v/>
      </c>
      <c r="N587">
        <f>IF($A587="","",SUMIFS('Таблиця 1'!$K:$K,'Таблиця 1'!$B:$B,$A587,'Таблиця 1'!$I:$I,"Mi-8",'Таблиця 1'!$J:$J,"Zuni")+SUMIFS('Таблиця 1'!$K:$K,'Таблиця 1'!$B:$B,$A587,'Таблиця 1'!$I:$I,"Mi-24",'Таблиця 1'!$J:$J,"Zuni"))</f>
        <v/>
      </c>
      <c r="O587">
        <f>IF($A587="","",COUNTIFS('Таблиця 1'!$B:$B,$A587,'Таблиця 1'!$I:$I,"Mi-8",'Таблиця 1'!$L:$L,"Уражено")+COUNTIFS('Таблиця 1'!$B:$B,$A587,'Таблиця 1'!$I:$I,"Mi-24",'Таблиця 1'!$L:$L,"Уражено"))</f>
        <v/>
      </c>
      <c r="P587">
        <f>IF($A587="","",COUNTIFS('Таблиця 1'!$B:$B,$A587,'Таблиця 1'!$I:$I,"Mi-8",'Таблиця 1'!$L:$L,"НЕ уражено")+COUNTIFS('Таблиця 1'!$B:$B,$A587,'Таблиця 1'!$I:$I,"Mi-24",'Таблиця 1'!$L:$L,"НЕ уражено"))</f>
        <v/>
      </c>
    </row>
    <row r="588">
      <c r="A588" s="273">
        <f>IF(A587="","",IF(A587+1&gt;MAX('Таблиця 1'!$B:$B),"",A587+1))</f>
        <v/>
      </c>
      <c r="B588">
        <f>IF($A588="","",COUNTIFS('Таблиця 1'!$B:$B,$A588,'Таблиця 1'!$I:$I,"Mi-8")+COUNTIFS('Таблиця 1'!$B:$B,$A588,'Таблиця 1'!$I:$I,"Mi-24"))</f>
        <v/>
      </c>
      <c r="C588">
        <f>IF($A588="","",COUNTIFS('Таблиця 1'!$B:$B,$A588,'Таблиця 1'!$I:$I,"Mi-8"))</f>
        <v/>
      </c>
      <c r="D588">
        <f>IF($A588="","",COUNTIFS('Таблиця 1'!$B:$B,$A588,'Таблиця 1'!$I:$I,"Mi-24"))</f>
        <v/>
      </c>
      <c r="E588">
        <f>IF($A588="","",SUMIFS('Таблиця 1'!$K:$K,'Таблиця 1'!$B:$B,$A588,'Таблиця 1'!$I:$I,"Mi-8",'Таблиця 1'!$J:$J,"ARS-8")+SUMIFS('Таблиця 1'!$K:$K,'Таблиця 1'!$B:$B,$A588,'Таблиця 1'!$I:$I,"Mi-24",'Таблиця 1'!$J:$J,"ARS-8"))</f>
        <v/>
      </c>
      <c r="F588">
        <f>IF($A588="","",SUMIFS('Таблиця 1'!$K:$K,'Таблиця 1'!$B:$B,$A588,'Таблиця 1'!$I:$I,"Mi-8",'Таблиця 1'!$J:$J,"С-8 ком")+SUMIFS('Таблиця 1'!$K:$K,'Таблиця 1'!$B:$B,$A588,'Таблиця 1'!$I:$I,"Mi-24",'Таблиця 1'!$J:$J,"С-8 ком"))</f>
        <v/>
      </c>
      <c r="G588">
        <f>IF($A588="","",SUMIFS('Таблиця 1'!$K:$K,'Таблиця 1'!$B:$B,$A588,'Таблиця 1'!$I:$I,"Mi-8",'Таблиця 1'!$J:$J,"PC-80")+SUMIFS('Таблиця 1'!$K:$K,'Таблиця 1'!$B:$B,$A588,'Таблиця 1'!$I:$I,"Mi-24",'Таблиця 1'!$J:$J,"PC-80"))</f>
        <v/>
      </c>
      <c r="H588">
        <f>IF($A588="","",SUMIFS('Таблиця 1'!$K:$K,'Таблиця 1'!$B:$B,$A588,'Таблиця 1'!$I:$I,"Mi-8",'Таблиця 1'!$J:$J,"UAR-80")+SUMIFS('Таблиця 1'!$K:$K,'Таблиця 1'!$B:$B,$A588,'Таблиця 1'!$I:$I,"Mi-24",'Таблиця 1'!$J:$J,"UAR-80"))</f>
        <v/>
      </c>
      <c r="I588">
        <f>IF($A588="","",SUMIFS('Таблиця 1'!$K:$K,'Таблиця 1'!$B:$B,$A588,'Таблиця 1'!$I:$I,"Mi-8",'Таблиця 1'!$J:$J,"C-13")+SUMIFS('Таблиця 1'!$K:$K,'Таблиця 1'!$B:$B,$A588,'Таблиця 1'!$I:$I,"Mi-24",'Таблиця 1'!$J:$J,"C-13"))</f>
        <v/>
      </c>
      <c r="J588">
        <f>IF($A588="","",SUMIFS('Таблиця 1'!$K:$K,'Таблиця 1'!$B:$B,$A588,'Таблиця 1'!$I:$I,"Mi-8",'Таблиця 1'!$J:$J,"Hydra-70")+SUMIFS('Таблиця 1'!$K:$K,'Таблиця 1'!$B:$B,$A588,'Таблиця 1'!$I:$I,"Mi-24",'Таблиця 1'!$J:$J,"Hydra-70"))</f>
        <v/>
      </c>
      <c r="K588">
        <f>IF($A588="","",SUMIFS('Таблиця 1'!$K:$K,'Таблиця 1'!$B:$B,$A588,'Таблиця 1'!$I:$I,"Mi-8",'Таблиця 1'!$J:$J,"Thales-70")+SUMIFS('Таблиця 1'!$K:$K,'Таблиця 1'!$B:$B,$A588,'Таблиця 1'!$I:$I,"Mi-24",'Таблиця 1'!$J:$J,"Thales-70"))</f>
        <v/>
      </c>
      <c r="L588">
        <f>IF($A588="","",SUMIFS('Таблиця 1'!$K:$K,'Таблиця 1'!$B:$B,$A588,'Таблиця 1'!$I:$I,"Mi-8",'Таблиця 1'!$J:$J,"Thales-FZ")+SUMIFS('Таблиця 1'!$K:$K,'Таблиця 1'!$B:$B,$A588,'Таблиця 1'!$I:$I,"Mi-24",'Таблиця 1'!$J:$J,"Thales-FZ"))</f>
        <v/>
      </c>
      <c r="M588">
        <f>IF($A588="","",SUMIFS('Таблиця 1'!$K:$K,'Таблиця 1'!$B:$B,$A588,'Таблиця 1'!$I:$I,"Mi-8",'Таблиця 1'!$J:$J,"МК-40")+SUMIFS('Таблиця 1'!$K:$K,'Таблиця 1'!$B:$B,$A588,'Таблиця 1'!$I:$I,"Mi-24",'Таблиця 1'!$J:$J,"МК-40"))</f>
        <v/>
      </c>
      <c r="N588">
        <f>IF($A588="","",SUMIFS('Таблиця 1'!$K:$K,'Таблиця 1'!$B:$B,$A588,'Таблиця 1'!$I:$I,"Mi-8",'Таблиця 1'!$J:$J,"Zuni")+SUMIFS('Таблиця 1'!$K:$K,'Таблиця 1'!$B:$B,$A588,'Таблиця 1'!$I:$I,"Mi-24",'Таблиця 1'!$J:$J,"Zuni"))</f>
        <v/>
      </c>
      <c r="O588">
        <f>IF($A588="","",COUNTIFS('Таблиця 1'!$B:$B,$A588,'Таблиця 1'!$I:$I,"Mi-8",'Таблиця 1'!$L:$L,"Уражено")+COUNTIFS('Таблиця 1'!$B:$B,$A588,'Таблиця 1'!$I:$I,"Mi-24",'Таблиця 1'!$L:$L,"Уражено"))</f>
        <v/>
      </c>
      <c r="P588">
        <f>IF($A588="","",COUNTIFS('Таблиця 1'!$B:$B,$A588,'Таблиця 1'!$I:$I,"Mi-8",'Таблиця 1'!$L:$L,"НЕ уражено")+COUNTIFS('Таблиця 1'!$B:$B,$A588,'Таблиця 1'!$I:$I,"Mi-24",'Таблиця 1'!$L:$L,"НЕ уражено"))</f>
        <v/>
      </c>
    </row>
    <row r="589">
      <c r="A589" s="273">
        <f>IF(A588="","",IF(A588+1&gt;MAX('Таблиця 1'!$B:$B),"",A588+1))</f>
        <v/>
      </c>
      <c r="B589">
        <f>IF($A589="","",COUNTIFS('Таблиця 1'!$B:$B,$A589,'Таблиця 1'!$I:$I,"Mi-8")+COUNTIFS('Таблиця 1'!$B:$B,$A589,'Таблиця 1'!$I:$I,"Mi-24"))</f>
        <v/>
      </c>
      <c r="C589">
        <f>IF($A589="","",COUNTIFS('Таблиця 1'!$B:$B,$A589,'Таблиця 1'!$I:$I,"Mi-8"))</f>
        <v/>
      </c>
      <c r="D589">
        <f>IF($A589="","",COUNTIFS('Таблиця 1'!$B:$B,$A589,'Таблиця 1'!$I:$I,"Mi-24"))</f>
        <v/>
      </c>
      <c r="E589">
        <f>IF($A589="","",SUMIFS('Таблиця 1'!$K:$K,'Таблиця 1'!$B:$B,$A589,'Таблиця 1'!$I:$I,"Mi-8",'Таблиця 1'!$J:$J,"ARS-8")+SUMIFS('Таблиця 1'!$K:$K,'Таблиця 1'!$B:$B,$A589,'Таблиця 1'!$I:$I,"Mi-24",'Таблиця 1'!$J:$J,"ARS-8"))</f>
        <v/>
      </c>
      <c r="F589">
        <f>IF($A589="","",SUMIFS('Таблиця 1'!$K:$K,'Таблиця 1'!$B:$B,$A589,'Таблиця 1'!$I:$I,"Mi-8",'Таблиця 1'!$J:$J,"С-8 ком")+SUMIFS('Таблиця 1'!$K:$K,'Таблиця 1'!$B:$B,$A589,'Таблиця 1'!$I:$I,"Mi-24",'Таблиця 1'!$J:$J,"С-8 ком"))</f>
        <v/>
      </c>
      <c r="G589">
        <f>IF($A589="","",SUMIFS('Таблиця 1'!$K:$K,'Таблиця 1'!$B:$B,$A589,'Таблиця 1'!$I:$I,"Mi-8",'Таблиця 1'!$J:$J,"PC-80")+SUMIFS('Таблиця 1'!$K:$K,'Таблиця 1'!$B:$B,$A589,'Таблиця 1'!$I:$I,"Mi-24",'Таблиця 1'!$J:$J,"PC-80"))</f>
        <v/>
      </c>
      <c r="H589">
        <f>IF($A589="","",SUMIFS('Таблиця 1'!$K:$K,'Таблиця 1'!$B:$B,$A589,'Таблиця 1'!$I:$I,"Mi-8",'Таблиця 1'!$J:$J,"UAR-80")+SUMIFS('Таблиця 1'!$K:$K,'Таблиця 1'!$B:$B,$A589,'Таблиця 1'!$I:$I,"Mi-24",'Таблиця 1'!$J:$J,"UAR-80"))</f>
        <v/>
      </c>
      <c r="I589">
        <f>IF($A589="","",SUMIFS('Таблиця 1'!$K:$K,'Таблиця 1'!$B:$B,$A589,'Таблиця 1'!$I:$I,"Mi-8",'Таблиця 1'!$J:$J,"C-13")+SUMIFS('Таблиця 1'!$K:$K,'Таблиця 1'!$B:$B,$A589,'Таблиця 1'!$I:$I,"Mi-24",'Таблиця 1'!$J:$J,"C-13"))</f>
        <v/>
      </c>
      <c r="J589">
        <f>IF($A589="","",SUMIFS('Таблиця 1'!$K:$K,'Таблиця 1'!$B:$B,$A589,'Таблиця 1'!$I:$I,"Mi-8",'Таблиця 1'!$J:$J,"Hydra-70")+SUMIFS('Таблиця 1'!$K:$K,'Таблиця 1'!$B:$B,$A589,'Таблиця 1'!$I:$I,"Mi-24",'Таблиця 1'!$J:$J,"Hydra-70"))</f>
        <v/>
      </c>
      <c r="K589">
        <f>IF($A589="","",SUMIFS('Таблиця 1'!$K:$K,'Таблиця 1'!$B:$B,$A589,'Таблиця 1'!$I:$I,"Mi-8",'Таблиця 1'!$J:$J,"Thales-70")+SUMIFS('Таблиця 1'!$K:$K,'Таблиця 1'!$B:$B,$A589,'Таблиця 1'!$I:$I,"Mi-24",'Таблиця 1'!$J:$J,"Thales-70"))</f>
        <v/>
      </c>
      <c r="L589">
        <f>IF($A589="","",SUMIFS('Таблиця 1'!$K:$K,'Таблиця 1'!$B:$B,$A589,'Таблиця 1'!$I:$I,"Mi-8",'Таблиця 1'!$J:$J,"Thales-FZ")+SUMIFS('Таблиця 1'!$K:$K,'Таблиця 1'!$B:$B,$A589,'Таблиця 1'!$I:$I,"Mi-24",'Таблиця 1'!$J:$J,"Thales-FZ"))</f>
        <v/>
      </c>
      <c r="M589">
        <f>IF($A589="","",SUMIFS('Таблиця 1'!$K:$K,'Таблиця 1'!$B:$B,$A589,'Таблиця 1'!$I:$I,"Mi-8",'Таблиця 1'!$J:$J,"МК-40")+SUMIFS('Таблиця 1'!$K:$K,'Таблиця 1'!$B:$B,$A589,'Таблиця 1'!$I:$I,"Mi-24",'Таблиця 1'!$J:$J,"МК-40"))</f>
        <v/>
      </c>
      <c r="N589">
        <f>IF($A589="","",SUMIFS('Таблиця 1'!$K:$K,'Таблиця 1'!$B:$B,$A589,'Таблиця 1'!$I:$I,"Mi-8",'Таблиця 1'!$J:$J,"Zuni")+SUMIFS('Таблиця 1'!$K:$K,'Таблиця 1'!$B:$B,$A589,'Таблиця 1'!$I:$I,"Mi-24",'Таблиця 1'!$J:$J,"Zuni"))</f>
        <v/>
      </c>
      <c r="O589">
        <f>IF($A589="","",COUNTIFS('Таблиця 1'!$B:$B,$A589,'Таблиця 1'!$I:$I,"Mi-8",'Таблиця 1'!$L:$L,"Уражено")+COUNTIFS('Таблиця 1'!$B:$B,$A589,'Таблиця 1'!$I:$I,"Mi-24",'Таблиця 1'!$L:$L,"Уражено"))</f>
        <v/>
      </c>
      <c r="P589">
        <f>IF($A589="","",COUNTIFS('Таблиця 1'!$B:$B,$A589,'Таблиця 1'!$I:$I,"Mi-8",'Таблиця 1'!$L:$L,"НЕ уражено")+COUNTIFS('Таблиця 1'!$B:$B,$A589,'Таблиця 1'!$I:$I,"Mi-24",'Таблиця 1'!$L:$L,"НЕ уражено"))</f>
        <v/>
      </c>
    </row>
    <row r="590">
      <c r="A590" s="273">
        <f>IF(A589="","",IF(A589+1&gt;MAX('Таблиця 1'!$B:$B),"",A589+1))</f>
        <v/>
      </c>
      <c r="B590">
        <f>IF($A590="","",COUNTIFS('Таблиця 1'!$B:$B,$A590,'Таблиця 1'!$I:$I,"Mi-8")+COUNTIFS('Таблиця 1'!$B:$B,$A590,'Таблиця 1'!$I:$I,"Mi-24"))</f>
        <v/>
      </c>
      <c r="C590">
        <f>IF($A590="","",COUNTIFS('Таблиця 1'!$B:$B,$A590,'Таблиця 1'!$I:$I,"Mi-8"))</f>
        <v/>
      </c>
      <c r="D590">
        <f>IF($A590="","",COUNTIFS('Таблиця 1'!$B:$B,$A590,'Таблиця 1'!$I:$I,"Mi-24"))</f>
        <v/>
      </c>
      <c r="E590">
        <f>IF($A590="","",SUMIFS('Таблиця 1'!$K:$K,'Таблиця 1'!$B:$B,$A590,'Таблиця 1'!$I:$I,"Mi-8",'Таблиця 1'!$J:$J,"ARS-8")+SUMIFS('Таблиця 1'!$K:$K,'Таблиця 1'!$B:$B,$A590,'Таблиця 1'!$I:$I,"Mi-24",'Таблиця 1'!$J:$J,"ARS-8"))</f>
        <v/>
      </c>
      <c r="F590">
        <f>IF($A590="","",SUMIFS('Таблиця 1'!$K:$K,'Таблиця 1'!$B:$B,$A590,'Таблиця 1'!$I:$I,"Mi-8",'Таблиця 1'!$J:$J,"С-8 ком")+SUMIFS('Таблиця 1'!$K:$K,'Таблиця 1'!$B:$B,$A590,'Таблиця 1'!$I:$I,"Mi-24",'Таблиця 1'!$J:$J,"С-8 ком"))</f>
        <v/>
      </c>
      <c r="G590">
        <f>IF($A590="","",SUMIFS('Таблиця 1'!$K:$K,'Таблиця 1'!$B:$B,$A590,'Таблиця 1'!$I:$I,"Mi-8",'Таблиця 1'!$J:$J,"PC-80")+SUMIFS('Таблиця 1'!$K:$K,'Таблиця 1'!$B:$B,$A590,'Таблиця 1'!$I:$I,"Mi-24",'Таблиця 1'!$J:$J,"PC-80"))</f>
        <v/>
      </c>
      <c r="H590">
        <f>IF($A590="","",SUMIFS('Таблиця 1'!$K:$K,'Таблиця 1'!$B:$B,$A590,'Таблиця 1'!$I:$I,"Mi-8",'Таблиця 1'!$J:$J,"UAR-80")+SUMIFS('Таблиця 1'!$K:$K,'Таблиця 1'!$B:$B,$A590,'Таблиця 1'!$I:$I,"Mi-24",'Таблиця 1'!$J:$J,"UAR-80"))</f>
        <v/>
      </c>
      <c r="I590">
        <f>IF($A590="","",SUMIFS('Таблиця 1'!$K:$K,'Таблиця 1'!$B:$B,$A590,'Таблиця 1'!$I:$I,"Mi-8",'Таблиця 1'!$J:$J,"C-13")+SUMIFS('Таблиця 1'!$K:$K,'Таблиця 1'!$B:$B,$A590,'Таблиця 1'!$I:$I,"Mi-24",'Таблиця 1'!$J:$J,"C-13"))</f>
        <v/>
      </c>
      <c r="J590">
        <f>IF($A590="","",SUMIFS('Таблиця 1'!$K:$K,'Таблиця 1'!$B:$B,$A590,'Таблиця 1'!$I:$I,"Mi-8",'Таблиця 1'!$J:$J,"Hydra-70")+SUMIFS('Таблиця 1'!$K:$K,'Таблиця 1'!$B:$B,$A590,'Таблиця 1'!$I:$I,"Mi-24",'Таблиця 1'!$J:$J,"Hydra-70"))</f>
        <v/>
      </c>
      <c r="K590">
        <f>IF($A590="","",SUMIFS('Таблиця 1'!$K:$K,'Таблиця 1'!$B:$B,$A590,'Таблиця 1'!$I:$I,"Mi-8",'Таблиця 1'!$J:$J,"Thales-70")+SUMIFS('Таблиця 1'!$K:$K,'Таблиця 1'!$B:$B,$A590,'Таблиця 1'!$I:$I,"Mi-24",'Таблиця 1'!$J:$J,"Thales-70"))</f>
        <v/>
      </c>
      <c r="L590">
        <f>IF($A590="","",SUMIFS('Таблиця 1'!$K:$K,'Таблиця 1'!$B:$B,$A590,'Таблиця 1'!$I:$I,"Mi-8",'Таблиця 1'!$J:$J,"Thales-FZ")+SUMIFS('Таблиця 1'!$K:$K,'Таблиця 1'!$B:$B,$A590,'Таблиця 1'!$I:$I,"Mi-24",'Таблиця 1'!$J:$J,"Thales-FZ"))</f>
        <v/>
      </c>
      <c r="M590">
        <f>IF($A590="","",SUMIFS('Таблиця 1'!$K:$K,'Таблиця 1'!$B:$B,$A590,'Таблиця 1'!$I:$I,"Mi-8",'Таблиця 1'!$J:$J,"МК-40")+SUMIFS('Таблиця 1'!$K:$K,'Таблиця 1'!$B:$B,$A590,'Таблиця 1'!$I:$I,"Mi-24",'Таблиця 1'!$J:$J,"МК-40"))</f>
        <v/>
      </c>
      <c r="N590">
        <f>IF($A590="","",SUMIFS('Таблиця 1'!$K:$K,'Таблиця 1'!$B:$B,$A590,'Таблиця 1'!$I:$I,"Mi-8",'Таблиця 1'!$J:$J,"Zuni")+SUMIFS('Таблиця 1'!$K:$K,'Таблиця 1'!$B:$B,$A590,'Таблиця 1'!$I:$I,"Mi-24",'Таблиця 1'!$J:$J,"Zuni"))</f>
        <v/>
      </c>
      <c r="O590">
        <f>IF($A590="","",COUNTIFS('Таблиця 1'!$B:$B,$A590,'Таблиця 1'!$I:$I,"Mi-8",'Таблиця 1'!$L:$L,"Уражено")+COUNTIFS('Таблиця 1'!$B:$B,$A590,'Таблиця 1'!$I:$I,"Mi-24",'Таблиця 1'!$L:$L,"Уражено"))</f>
        <v/>
      </c>
      <c r="P590">
        <f>IF($A590="","",COUNTIFS('Таблиця 1'!$B:$B,$A590,'Таблиця 1'!$I:$I,"Mi-8",'Таблиця 1'!$L:$L,"НЕ уражено")+COUNTIFS('Таблиця 1'!$B:$B,$A590,'Таблиця 1'!$I:$I,"Mi-24",'Таблиця 1'!$L:$L,"НЕ уражено"))</f>
        <v/>
      </c>
    </row>
    <row r="591">
      <c r="A591" s="273">
        <f>IF(A590="","",IF(A590+1&gt;MAX('Таблиця 1'!$B:$B),"",A590+1))</f>
        <v/>
      </c>
      <c r="B591">
        <f>IF($A591="","",COUNTIFS('Таблиця 1'!$B:$B,$A591,'Таблиця 1'!$I:$I,"Mi-8")+COUNTIFS('Таблиця 1'!$B:$B,$A591,'Таблиця 1'!$I:$I,"Mi-24"))</f>
        <v/>
      </c>
      <c r="C591">
        <f>IF($A591="","",COUNTIFS('Таблиця 1'!$B:$B,$A591,'Таблиця 1'!$I:$I,"Mi-8"))</f>
        <v/>
      </c>
      <c r="D591">
        <f>IF($A591="","",COUNTIFS('Таблиця 1'!$B:$B,$A591,'Таблиця 1'!$I:$I,"Mi-24"))</f>
        <v/>
      </c>
      <c r="E591">
        <f>IF($A591="","",SUMIFS('Таблиця 1'!$K:$K,'Таблиця 1'!$B:$B,$A591,'Таблиця 1'!$I:$I,"Mi-8",'Таблиця 1'!$J:$J,"ARS-8")+SUMIFS('Таблиця 1'!$K:$K,'Таблиця 1'!$B:$B,$A591,'Таблиця 1'!$I:$I,"Mi-24",'Таблиця 1'!$J:$J,"ARS-8"))</f>
        <v/>
      </c>
      <c r="F591">
        <f>IF($A591="","",SUMIFS('Таблиця 1'!$K:$K,'Таблиця 1'!$B:$B,$A591,'Таблиця 1'!$I:$I,"Mi-8",'Таблиця 1'!$J:$J,"С-8 ком")+SUMIFS('Таблиця 1'!$K:$K,'Таблиця 1'!$B:$B,$A591,'Таблиця 1'!$I:$I,"Mi-24",'Таблиця 1'!$J:$J,"С-8 ком"))</f>
        <v/>
      </c>
      <c r="G591">
        <f>IF($A591="","",SUMIFS('Таблиця 1'!$K:$K,'Таблиця 1'!$B:$B,$A591,'Таблиця 1'!$I:$I,"Mi-8",'Таблиця 1'!$J:$J,"PC-80")+SUMIFS('Таблиця 1'!$K:$K,'Таблиця 1'!$B:$B,$A591,'Таблиця 1'!$I:$I,"Mi-24",'Таблиця 1'!$J:$J,"PC-80"))</f>
        <v/>
      </c>
      <c r="H591">
        <f>IF($A591="","",SUMIFS('Таблиця 1'!$K:$K,'Таблиця 1'!$B:$B,$A591,'Таблиця 1'!$I:$I,"Mi-8",'Таблиця 1'!$J:$J,"UAR-80")+SUMIFS('Таблиця 1'!$K:$K,'Таблиця 1'!$B:$B,$A591,'Таблиця 1'!$I:$I,"Mi-24",'Таблиця 1'!$J:$J,"UAR-80"))</f>
        <v/>
      </c>
      <c r="I591">
        <f>IF($A591="","",SUMIFS('Таблиця 1'!$K:$K,'Таблиця 1'!$B:$B,$A591,'Таблиця 1'!$I:$I,"Mi-8",'Таблиця 1'!$J:$J,"C-13")+SUMIFS('Таблиця 1'!$K:$K,'Таблиця 1'!$B:$B,$A591,'Таблиця 1'!$I:$I,"Mi-24",'Таблиця 1'!$J:$J,"C-13"))</f>
        <v/>
      </c>
      <c r="J591">
        <f>IF($A591="","",SUMIFS('Таблиця 1'!$K:$K,'Таблиця 1'!$B:$B,$A591,'Таблиця 1'!$I:$I,"Mi-8",'Таблиця 1'!$J:$J,"Hydra-70")+SUMIFS('Таблиця 1'!$K:$K,'Таблиця 1'!$B:$B,$A591,'Таблиця 1'!$I:$I,"Mi-24",'Таблиця 1'!$J:$J,"Hydra-70"))</f>
        <v/>
      </c>
      <c r="K591">
        <f>IF($A591="","",SUMIFS('Таблиця 1'!$K:$K,'Таблиця 1'!$B:$B,$A591,'Таблиця 1'!$I:$I,"Mi-8",'Таблиця 1'!$J:$J,"Thales-70")+SUMIFS('Таблиця 1'!$K:$K,'Таблиця 1'!$B:$B,$A591,'Таблиця 1'!$I:$I,"Mi-24",'Таблиця 1'!$J:$J,"Thales-70"))</f>
        <v/>
      </c>
      <c r="L591">
        <f>IF($A591="","",SUMIFS('Таблиця 1'!$K:$K,'Таблиця 1'!$B:$B,$A591,'Таблиця 1'!$I:$I,"Mi-8",'Таблиця 1'!$J:$J,"Thales-FZ")+SUMIFS('Таблиця 1'!$K:$K,'Таблиця 1'!$B:$B,$A591,'Таблиця 1'!$I:$I,"Mi-24",'Таблиця 1'!$J:$J,"Thales-FZ"))</f>
        <v/>
      </c>
      <c r="M591">
        <f>IF($A591="","",SUMIFS('Таблиця 1'!$K:$K,'Таблиця 1'!$B:$B,$A591,'Таблиця 1'!$I:$I,"Mi-8",'Таблиця 1'!$J:$J,"МК-40")+SUMIFS('Таблиця 1'!$K:$K,'Таблиця 1'!$B:$B,$A591,'Таблиця 1'!$I:$I,"Mi-24",'Таблиця 1'!$J:$J,"МК-40"))</f>
        <v/>
      </c>
      <c r="N591">
        <f>IF($A591="","",SUMIFS('Таблиця 1'!$K:$K,'Таблиця 1'!$B:$B,$A591,'Таблиця 1'!$I:$I,"Mi-8",'Таблиця 1'!$J:$J,"Zuni")+SUMIFS('Таблиця 1'!$K:$K,'Таблиця 1'!$B:$B,$A591,'Таблиця 1'!$I:$I,"Mi-24",'Таблиця 1'!$J:$J,"Zuni"))</f>
        <v/>
      </c>
      <c r="O591">
        <f>IF($A591="","",COUNTIFS('Таблиця 1'!$B:$B,$A591,'Таблиця 1'!$I:$I,"Mi-8",'Таблиця 1'!$L:$L,"Уражено")+COUNTIFS('Таблиця 1'!$B:$B,$A591,'Таблиця 1'!$I:$I,"Mi-24",'Таблиця 1'!$L:$L,"Уражено"))</f>
        <v/>
      </c>
      <c r="P591">
        <f>IF($A591="","",COUNTIFS('Таблиця 1'!$B:$B,$A591,'Таблиця 1'!$I:$I,"Mi-8",'Таблиця 1'!$L:$L,"НЕ уражено")+COUNTIFS('Таблиця 1'!$B:$B,$A591,'Таблиця 1'!$I:$I,"Mi-24",'Таблиця 1'!$L:$L,"НЕ уражено"))</f>
        <v/>
      </c>
    </row>
    <row r="592">
      <c r="A592" s="273">
        <f>IF(A591="","",IF(A591+1&gt;MAX('Таблиця 1'!$B:$B),"",A591+1))</f>
        <v/>
      </c>
      <c r="B592">
        <f>IF($A592="","",COUNTIFS('Таблиця 1'!$B:$B,$A592,'Таблиця 1'!$I:$I,"Mi-8")+COUNTIFS('Таблиця 1'!$B:$B,$A592,'Таблиця 1'!$I:$I,"Mi-24"))</f>
        <v/>
      </c>
      <c r="C592">
        <f>IF($A592="","",COUNTIFS('Таблиця 1'!$B:$B,$A592,'Таблиця 1'!$I:$I,"Mi-8"))</f>
        <v/>
      </c>
      <c r="D592">
        <f>IF($A592="","",COUNTIFS('Таблиця 1'!$B:$B,$A592,'Таблиця 1'!$I:$I,"Mi-24"))</f>
        <v/>
      </c>
      <c r="E592">
        <f>IF($A592="","",SUMIFS('Таблиця 1'!$K:$K,'Таблиця 1'!$B:$B,$A592,'Таблиця 1'!$I:$I,"Mi-8",'Таблиця 1'!$J:$J,"ARS-8")+SUMIFS('Таблиця 1'!$K:$K,'Таблиця 1'!$B:$B,$A592,'Таблиця 1'!$I:$I,"Mi-24",'Таблиця 1'!$J:$J,"ARS-8"))</f>
        <v/>
      </c>
      <c r="F592">
        <f>IF($A592="","",SUMIFS('Таблиця 1'!$K:$K,'Таблиця 1'!$B:$B,$A592,'Таблиця 1'!$I:$I,"Mi-8",'Таблиця 1'!$J:$J,"С-8 ком")+SUMIFS('Таблиця 1'!$K:$K,'Таблиця 1'!$B:$B,$A592,'Таблиця 1'!$I:$I,"Mi-24",'Таблиця 1'!$J:$J,"С-8 ком"))</f>
        <v/>
      </c>
      <c r="G592">
        <f>IF($A592="","",SUMIFS('Таблиця 1'!$K:$K,'Таблиця 1'!$B:$B,$A592,'Таблиця 1'!$I:$I,"Mi-8",'Таблиця 1'!$J:$J,"PC-80")+SUMIFS('Таблиця 1'!$K:$K,'Таблиця 1'!$B:$B,$A592,'Таблиця 1'!$I:$I,"Mi-24",'Таблиця 1'!$J:$J,"PC-80"))</f>
        <v/>
      </c>
      <c r="H592">
        <f>IF($A592="","",SUMIFS('Таблиця 1'!$K:$K,'Таблиця 1'!$B:$B,$A592,'Таблиця 1'!$I:$I,"Mi-8",'Таблиця 1'!$J:$J,"UAR-80")+SUMIFS('Таблиця 1'!$K:$K,'Таблиця 1'!$B:$B,$A592,'Таблиця 1'!$I:$I,"Mi-24",'Таблиця 1'!$J:$J,"UAR-80"))</f>
        <v/>
      </c>
      <c r="I592">
        <f>IF($A592="","",SUMIFS('Таблиця 1'!$K:$K,'Таблиця 1'!$B:$B,$A592,'Таблиця 1'!$I:$I,"Mi-8",'Таблиця 1'!$J:$J,"C-13")+SUMIFS('Таблиця 1'!$K:$K,'Таблиця 1'!$B:$B,$A592,'Таблиця 1'!$I:$I,"Mi-24",'Таблиця 1'!$J:$J,"C-13"))</f>
        <v/>
      </c>
      <c r="J592">
        <f>IF($A592="","",SUMIFS('Таблиця 1'!$K:$K,'Таблиця 1'!$B:$B,$A592,'Таблиця 1'!$I:$I,"Mi-8",'Таблиця 1'!$J:$J,"Hydra-70")+SUMIFS('Таблиця 1'!$K:$K,'Таблиця 1'!$B:$B,$A592,'Таблиця 1'!$I:$I,"Mi-24",'Таблиця 1'!$J:$J,"Hydra-70"))</f>
        <v/>
      </c>
      <c r="K592">
        <f>IF($A592="","",SUMIFS('Таблиця 1'!$K:$K,'Таблиця 1'!$B:$B,$A592,'Таблиця 1'!$I:$I,"Mi-8",'Таблиця 1'!$J:$J,"Thales-70")+SUMIFS('Таблиця 1'!$K:$K,'Таблиця 1'!$B:$B,$A592,'Таблиця 1'!$I:$I,"Mi-24",'Таблиця 1'!$J:$J,"Thales-70"))</f>
        <v/>
      </c>
      <c r="L592">
        <f>IF($A592="","",SUMIFS('Таблиця 1'!$K:$K,'Таблиця 1'!$B:$B,$A592,'Таблиця 1'!$I:$I,"Mi-8",'Таблиця 1'!$J:$J,"Thales-FZ")+SUMIFS('Таблиця 1'!$K:$K,'Таблиця 1'!$B:$B,$A592,'Таблиця 1'!$I:$I,"Mi-24",'Таблиця 1'!$J:$J,"Thales-FZ"))</f>
        <v/>
      </c>
      <c r="M592">
        <f>IF($A592="","",SUMIFS('Таблиця 1'!$K:$K,'Таблиця 1'!$B:$B,$A592,'Таблиця 1'!$I:$I,"Mi-8",'Таблиця 1'!$J:$J,"МК-40")+SUMIFS('Таблиця 1'!$K:$K,'Таблиця 1'!$B:$B,$A592,'Таблиця 1'!$I:$I,"Mi-24",'Таблиця 1'!$J:$J,"МК-40"))</f>
        <v/>
      </c>
      <c r="N592">
        <f>IF($A592="","",SUMIFS('Таблиця 1'!$K:$K,'Таблиця 1'!$B:$B,$A592,'Таблиця 1'!$I:$I,"Mi-8",'Таблиця 1'!$J:$J,"Zuni")+SUMIFS('Таблиця 1'!$K:$K,'Таблиця 1'!$B:$B,$A592,'Таблиця 1'!$I:$I,"Mi-24",'Таблиця 1'!$J:$J,"Zuni"))</f>
        <v/>
      </c>
      <c r="O592">
        <f>IF($A592="","",COUNTIFS('Таблиця 1'!$B:$B,$A592,'Таблиця 1'!$I:$I,"Mi-8",'Таблиця 1'!$L:$L,"Уражено")+COUNTIFS('Таблиця 1'!$B:$B,$A592,'Таблиця 1'!$I:$I,"Mi-24",'Таблиця 1'!$L:$L,"Уражено"))</f>
        <v/>
      </c>
      <c r="P592">
        <f>IF($A592="","",COUNTIFS('Таблиця 1'!$B:$B,$A592,'Таблиця 1'!$I:$I,"Mi-8",'Таблиця 1'!$L:$L,"НЕ уражено")+COUNTIFS('Таблиця 1'!$B:$B,$A592,'Таблиця 1'!$I:$I,"Mi-24",'Таблиця 1'!$L:$L,"НЕ уражено"))</f>
        <v/>
      </c>
    </row>
    <row r="593">
      <c r="A593" s="273">
        <f>IF(A592="","",IF(A592+1&gt;MAX('Таблиця 1'!$B:$B),"",A592+1))</f>
        <v/>
      </c>
      <c r="B593">
        <f>IF($A593="","",COUNTIFS('Таблиця 1'!$B:$B,$A593,'Таблиця 1'!$I:$I,"Mi-8")+COUNTIFS('Таблиця 1'!$B:$B,$A593,'Таблиця 1'!$I:$I,"Mi-24"))</f>
        <v/>
      </c>
      <c r="C593">
        <f>IF($A593="","",COUNTIFS('Таблиця 1'!$B:$B,$A593,'Таблиця 1'!$I:$I,"Mi-8"))</f>
        <v/>
      </c>
      <c r="D593">
        <f>IF($A593="","",COUNTIFS('Таблиця 1'!$B:$B,$A593,'Таблиця 1'!$I:$I,"Mi-24"))</f>
        <v/>
      </c>
      <c r="E593">
        <f>IF($A593="","",SUMIFS('Таблиця 1'!$K:$K,'Таблиця 1'!$B:$B,$A593,'Таблиця 1'!$I:$I,"Mi-8",'Таблиця 1'!$J:$J,"ARS-8")+SUMIFS('Таблиця 1'!$K:$K,'Таблиця 1'!$B:$B,$A593,'Таблиця 1'!$I:$I,"Mi-24",'Таблиця 1'!$J:$J,"ARS-8"))</f>
        <v/>
      </c>
      <c r="F593">
        <f>IF($A593="","",SUMIFS('Таблиця 1'!$K:$K,'Таблиця 1'!$B:$B,$A593,'Таблиця 1'!$I:$I,"Mi-8",'Таблиця 1'!$J:$J,"С-8 ком")+SUMIFS('Таблиця 1'!$K:$K,'Таблиця 1'!$B:$B,$A593,'Таблиця 1'!$I:$I,"Mi-24",'Таблиця 1'!$J:$J,"С-8 ком"))</f>
        <v/>
      </c>
      <c r="G593">
        <f>IF($A593="","",SUMIFS('Таблиця 1'!$K:$K,'Таблиця 1'!$B:$B,$A593,'Таблиця 1'!$I:$I,"Mi-8",'Таблиця 1'!$J:$J,"PC-80")+SUMIFS('Таблиця 1'!$K:$K,'Таблиця 1'!$B:$B,$A593,'Таблиця 1'!$I:$I,"Mi-24",'Таблиця 1'!$J:$J,"PC-80"))</f>
        <v/>
      </c>
      <c r="H593">
        <f>IF($A593="","",SUMIFS('Таблиця 1'!$K:$K,'Таблиця 1'!$B:$B,$A593,'Таблиця 1'!$I:$I,"Mi-8",'Таблиця 1'!$J:$J,"UAR-80")+SUMIFS('Таблиця 1'!$K:$K,'Таблиця 1'!$B:$B,$A593,'Таблиця 1'!$I:$I,"Mi-24",'Таблиця 1'!$J:$J,"UAR-80"))</f>
        <v/>
      </c>
      <c r="I593">
        <f>IF($A593="","",SUMIFS('Таблиця 1'!$K:$K,'Таблиця 1'!$B:$B,$A593,'Таблиця 1'!$I:$I,"Mi-8",'Таблиця 1'!$J:$J,"C-13")+SUMIFS('Таблиця 1'!$K:$K,'Таблиця 1'!$B:$B,$A593,'Таблиця 1'!$I:$I,"Mi-24",'Таблиця 1'!$J:$J,"C-13"))</f>
        <v/>
      </c>
      <c r="J593">
        <f>IF($A593="","",SUMIFS('Таблиця 1'!$K:$K,'Таблиця 1'!$B:$B,$A593,'Таблиця 1'!$I:$I,"Mi-8",'Таблиця 1'!$J:$J,"Hydra-70")+SUMIFS('Таблиця 1'!$K:$K,'Таблиця 1'!$B:$B,$A593,'Таблиця 1'!$I:$I,"Mi-24",'Таблиця 1'!$J:$J,"Hydra-70"))</f>
        <v/>
      </c>
      <c r="K593">
        <f>IF($A593="","",SUMIFS('Таблиця 1'!$K:$K,'Таблиця 1'!$B:$B,$A593,'Таблиця 1'!$I:$I,"Mi-8",'Таблиця 1'!$J:$J,"Thales-70")+SUMIFS('Таблиця 1'!$K:$K,'Таблиця 1'!$B:$B,$A593,'Таблиця 1'!$I:$I,"Mi-24",'Таблиця 1'!$J:$J,"Thales-70"))</f>
        <v/>
      </c>
      <c r="L593">
        <f>IF($A593="","",SUMIFS('Таблиця 1'!$K:$K,'Таблиця 1'!$B:$B,$A593,'Таблиця 1'!$I:$I,"Mi-8",'Таблиця 1'!$J:$J,"Thales-FZ")+SUMIFS('Таблиця 1'!$K:$K,'Таблиця 1'!$B:$B,$A593,'Таблиця 1'!$I:$I,"Mi-24",'Таблиця 1'!$J:$J,"Thales-FZ"))</f>
        <v/>
      </c>
      <c r="M593">
        <f>IF($A593="","",SUMIFS('Таблиця 1'!$K:$K,'Таблиця 1'!$B:$B,$A593,'Таблиця 1'!$I:$I,"Mi-8",'Таблиця 1'!$J:$J,"МК-40")+SUMIFS('Таблиця 1'!$K:$K,'Таблиця 1'!$B:$B,$A593,'Таблиця 1'!$I:$I,"Mi-24",'Таблиця 1'!$J:$J,"МК-40"))</f>
        <v/>
      </c>
      <c r="N593">
        <f>IF($A593="","",SUMIFS('Таблиця 1'!$K:$K,'Таблиця 1'!$B:$B,$A593,'Таблиця 1'!$I:$I,"Mi-8",'Таблиця 1'!$J:$J,"Zuni")+SUMIFS('Таблиця 1'!$K:$K,'Таблиця 1'!$B:$B,$A593,'Таблиця 1'!$I:$I,"Mi-24",'Таблиця 1'!$J:$J,"Zuni"))</f>
        <v/>
      </c>
      <c r="O593">
        <f>IF($A593="","",COUNTIFS('Таблиця 1'!$B:$B,$A593,'Таблиця 1'!$I:$I,"Mi-8",'Таблиця 1'!$L:$L,"Уражено")+COUNTIFS('Таблиця 1'!$B:$B,$A593,'Таблиця 1'!$I:$I,"Mi-24",'Таблиця 1'!$L:$L,"Уражено"))</f>
        <v/>
      </c>
      <c r="P593">
        <f>IF($A593="","",COUNTIFS('Таблиця 1'!$B:$B,$A593,'Таблиця 1'!$I:$I,"Mi-8",'Таблиця 1'!$L:$L,"НЕ уражено")+COUNTIFS('Таблиця 1'!$B:$B,$A593,'Таблиця 1'!$I:$I,"Mi-24",'Таблиця 1'!$L:$L,"НЕ уражено"))</f>
        <v/>
      </c>
    </row>
    <row r="594">
      <c r="A594" s="273">
        <f>IF(A593="","",IF(A593+1&gt;MAX('Таблиця 1'!$B:$B),"",A593+1))</f>
        <v/>
      </c>
      <c r="B594">
        <f>IF($A594="","",COUNTIFS('Таблиця 1'!$B:$B,$A594,'Таблиця 1'!$I:$I,"Mi-8")+COUNTIFS('Таблиця 1'!$B:$B,$A594,'Таблиця 1'!$I:$I,"Mi-24"))</f>
        <v/>
      </c>
      <c r="C594">
        <f>IF($A594="","",COUNTIFS('Таблиця 1'!$B:$B,$A594,'Таблиця 1'!$I:$I,"Mi-8"))</f>
        <v/>
      </c>
      <c r="D594">
        <f>IF($A594="","",COUNTIFS('Таблиця 1'!$B:$B,$A594,'Таблиця 1'!$I:$I,"Mi-24"))</f>
        <v/>
      </c>
      <c r="E594">
        <f>IF($A594="","",SUMIFS('Таблиця 1'!$K:$K,'Таблиця 1'!$B:$B,$A594,'Таблиця 1'!$I:$I,"Mi-8",'Таблиця 1'!$J:$J,"ARS-8")+SUMIFS('Таблиця 1'!$K:$K,'Таблиця 1'!$B:$B,$A594,'Таблиця 1'!$I:$I,"Mi-24",'Таблиця 1'!$J:$J,"ARS-8"))</f>
        <v/>
      </c>
      <c r="F594">
        <f>IF($A594="","",SUMIFS('Таблиця 1'!$K:$K,'Таблиця 1'!$B:$B,$A594,'Таблиця 1'!$I:$I,"Mi-8",'Таблиця 1'!$J:$J,"С-8 ком")+SUMIFS('Таблиця 1'!$K:$K,'Таблиця 1'!$B:$B,$A594,'Таблиця 1'!$I:$I,"Mi-24",'Таблиця 1'!$J:$J,"С-8 ком"))</f>
        <v/>
      </c>
      <c r="G594">
        <f>IF($A594="","",SUMIFS('Таблиця 1'!$K:$K,'Таблиця 1'!$B:$B,$A594,'Таблиця 1'!$I:$I,"Mi-8",'Таблиця 1'!$J:$J,"PC-80")+SUMIFS('Таблиця 1'!$K:$K,'Таблиця 1'!$B:$B,$A594,'Таблиця 1'!$I:$I,"Mi-24",'Таблиця 1'!$J:$J,"PC-80"))</f>
        <v/>
      </c>
      <c r="H594">
        <f>IF($A594="","",SUMIFS('Таблиця 1'!$K:$K,'Таблиця 1'!$B:$B,$A594,'Таблиця 1'!$I:$I,"Mi-8",'Таблиця 1'!$J:$J,"UAR-80")+SUMIFS('Таблиця 1'!$K:$K,'Таблиця 1'!$B:$B,$A594,'Таблиця 1'!$I:$I,"Mi-24",'Таблиця 1'!$J:$J,"UAR-80"))</f>
        <v/>
      </c>
      <c r="I594">
        <f>IF($A594="","",SUMIFS('Таблиця 1'!$K:$K,'Таблиця 1'!$B:$B,$A594,'Таблиця 1'!$I:$I,"Mi-8",'Таблиця 1'!$J:$J,"C-13")+SUMIFS('Таблиця 1'!$K:$K,'Таблиця 1'!$B:$B,$A594,'Таблиця 1'!$I:$I,"Mi-24",'Таблиця 1'!$J:$J,"C-13"))</f>
        <v/>
      </c>
      <c r="J594">
        <f>IF($A594="","",SUMIFS('Таблиця 1'!$K:$K,'Таблиця 1'!$B:$B,$A594,'Таблиця 1'!$I:$I,"Mi-8",'Таблиця 1'!$J:$J,"Hydra-70")+SUMIFS('Таблиця 1'!$K:$K,'Таблиця 1'!$B:$B,$A594,'Таблиця 1'!$I:$I,"Mi-24",'Таблиця 1'!$J:$J,"Hydra-70"))</f>
        <v/>
      </c>
      <c r="K594">
        <f>IF($A594="","",SUMIFS('Таблиця 1'!$K:$K,'Таблиця 1'!$B:$B,$A594,'Таблиця 1'!$I:$I,"Mi-8",'Таблиця 1'!$J:$J,"Thales-70")+SUMIFS('Таблиця 1'!$K:$K,'Таблиця 1'!$B:$B,$A594,'Таблиця 1'!$I:$I,"Mi-24",'Таблиця 1'!$J:$J,"Thales-70"))</f>
        <v/>
      </c>
      <c r="L594">
        <f>IF($A594="","",SUMIFS('Таблиця 1'!$K:$K,'Таблиця 1'!$B:$B,$A594,'Таблиця 1'!$I:$I,"Mi-8",'Таблиця 1'!$J:$J,"Thales-FZ")+SUMIFS('Таблиця 1'!$K:$K,'Таблиця 1'!$B:$B,$A594,'Таблиця 1'!$I:$I,"Mi-24",'Таблиця 1'!$J:$J,"Thales-FZ"))</f>
        <v/>
      </c>
      <c r="M594">
        <f>IF($A594="","",SUMIFS('Таблиця 1'!$K:$K,'Таблиця 1'!$B:$B,$A594,'Таблиця 1'!$I:$I,"Mi-8",'Таблиця 1'!$J:$J,"МК-40")+SUMIFS('Таблиця 1'!$K:$K,'Таблиця 1'!$B:$B,$A594,'Таблиця 1'!$I:$I,"Mi-24",'Таблиця 1'!$J:$J,"МК-40"))</f>
        <v/>
      </c>
      <c r="N594">
        <f>IF($A594="","",SUMIFS('Таблиця 1'!$K:$K,'Таблиця 1'!$B:$B,$A594,'Таблиця 1'!$I:$I,"Mi-8",'Таблиця 1'!$J:$J,"Zuni")+SUMIFS('Таблиця 1'!$K:$K,'Таблиця 1'!$B:$B,$A594,'Таблиця 1'!$I:$I,"Mi-24",'Таблиця 1'!$J:$J,"Zuni"))</f>
        <v/>
      </c>
      <c r="O594">
        <f>IF($A594="","",COUNTIFS('Таблиця 1'!$B:$B,$A594,'Таблиця 1'!$I:$I,"Mi-8",'Таблиця 1'!$L:$L,"Уражено")+COUNTIFS('Таблиця 1'!$B:$B,$A594,'Таблиця 1'!$I:$I,"Mi-24",'Таблиця 1'!$L:$L,"Уражено"))</f>
        <v/>
      </c>
      <c r="P594">
        <f>IF($A594="","",COUNTIFS('Таблиця 1'!$B:$B,$A594,'Таблиця 1'!$I:$I,"Mi-8",'Таблиця 1'!$L:$L,"НЕ уражено")+COUNTIFS('Таблиця 1'!$B:$B,$A594,'Таблиця 1'!$I:$I,"Mi-24",'Таблиця 1'!$L:$L,"НЕ уражено"))</f>
        <v/>
      </c>
    </row>
    <row r="595">
      <c r="A595" s="273">
        <f>IF(A594="","",IF(A594+1&gt;MAX('Таблиця 1'!$B:$B),"",A594+1))</f>
        <v/>
      </c>
      <c r="B595">
        <f>IF($A595="","",COUNTIFS('Таблиця 1'!$B:$B,$A595,'Таблиця 1'!$I:$I,"Mi-8")+COUNTIFS('Таблиця 1'!$B:$B,$A595,'Таблиця 1'!$I:$I,"Mi-24"))</f>
        <v/>
      </c>
      <c r="C595">
        <f>IF($A595="","",COUNTIFS('Таблиця 1'!$B:$B,$A595,'Таблиця 1'!$I:$I,"Mi-8"))</f>
        <v/>
      </c>
      <c r="D595">
        <f>IF($A595="","",COUNTIFS('Таблиця 1'!$B:$B,$A595,'Таблиця 1'!$I:$I,"Mi-24"))</f>
        <v/>
      </c>
      <c r="E595">
        <f>IF($A595="","",SUMIFS('Таблиця 1'!$K:$K,'Таблиця 1'!$B:$B,$A595,'Таблиця 1'!$I:$I,"Mi-8",'Таблиця 1'!$J:$J,"ARS-8")+SUMIFS('Таблиця 1'!$K:$K,'Таблиця 1'!$B:$B,$A595,'Таблиця 1'!$I:$I,"Mi-24",'Таблиця 1'!$J:$J,"ARS-8"))</f>
        <v/>
      </c>
      <c r="F595">
        <f>IF($A595="","",SUMIFS('Таблиця 1'!$K:$K,'Таблиця 1'!$B:$B,$A595,'Таблиця 1'!$I:$I,"Mi-8",'Таблиця 1'!$J:$J,"С-8 ком")+SUMIFS('Таблиця 1'!$K:$K,'Таблиця 1'!$B:$B,$A595,'Таблиця 1'!$I:$I,"Mi-24",'Таблиця 1'!$J:$J,"С-8 ком"))</f>
        <v/>
      </c>
      <c r="G595">
        <f>IF($A595="","",SUMIFS('Таблиця 1'!$K:$K,'Таблиця 1'!$B:$B,$A595,'Таблиця 1'!$I:$I,"Mi-8",'Таблиця 1'!$J:$J,"PC-80")+SUMIFS('Таблиця 1'!$K:$K,'Таблиця 1'!$B:$B,$A595,'Таблиця 1'!$I:$I,"Mi-24",'Таблиця 1'!$J:$J,"PC-80"))</f>
        <v/>
      </c>
      <c r="H595">
        <f>IF($A595="","",SUMIFS('Таблиця 1'!$K:$K,'Таблиця 1'!$B:$B,$A595,'Таблиця 1'!$I:$I,"Mi-8",'Таблиця 1'!$J:$J,"UAR-80")+SUMIFS('Таблиця 1'!$K:$K,'Таблиця 1'!$B:$B,$A595,'Таблиця 1'!$I:$I,"Mi-24",'Таблиця 1'!$J:$J,"UAR-80"))</f>
        <v/>
      </c>
      <c r="I595">
        <f>IF($A595="","",SUMIFS('Таблиця 1'!$K:$K,'Таблиця 1'!$B:$B,$A595,'Таблиця 1'!$I:$I,"Mi-8",'Таблиця 1'!$J:$J,"C-13")+SUMIFS('Таблиця 1'!$K:$K,'Таблиця 1'!$B:$B,$A595,'Таблиця 1'!$I:$I,"Mi-24",'Таблиця 1'!$J:$J,"C-13"))</f>
        <v/>
      </c>
      <c r="J595">
        <f>IF($A595="","",SUMIFS('Таблиця 1'!$K:$K,'Таблиця 1'!$B:$B,$A595,'Таблиця 1'!$I:$I,"Mi-8",'Таблиця 1'!$J:$J,"Hydra-70")+SUMIFS('Таблиця 1'!$K:$K,'Таблиця 1'!$B:$B,$A595,'Таблиця 1'!$I:$I,"Mi-24",'Таблиця 1'!$J:$J,"Hydra-70"))</f>
        <v/>
      </c>
      <c r="K595">
        <f>IF($A595="","",SUMIFS('Таблиця 1'!$K:$K,'Таблиця 1'!$B:$B,$A595,'Таблиця 1'!$I:$I,"Mi-8",'Таблиця 1'!$J:$J,"Thales-70")+SUMIFS('Таблиця 1'!$K:$K,'Таблиця 1'!$B:$B,$A595,'Таблиця 1'!$I:$I,"Mi-24",'Таблиця 1'!$J:$J,"Thales-70"))</f>
        <v/>
      </c>
      <c r="L595">
        <f>IF($A595="","",SUMIFS('Таблиця 1'!$K:$K,'Таблиця 1'!$B:$B,$A595,'Таблиця 1'!$I:$I,"Mi-8",'Таблиця 1'!$J:$J,"Thales-FZ")+SUMIFS('Таблиця 1'!$K:$K,'Таблиця 1'!$B:$B,$A595,'Таблиця 1'!$I:$I,"Mi-24",'Таблиця 1'!$J:$J,"Thales-FZ"))</f>
        <v/>
      </c>
      <c r="M595">
        <f>IF($A595="","",SUMIFS('Таблиця 1'!$K:$K,'Таблиця 1'!$B:$B,$A595,'Таблиця 1'!$I:$I,"Mi-8",'Таблиця 1'!$J:$J,"МК-40")+SUMIFS('Таблиця 1'!$K:$K,'Таблиця 1'!$B:$B,$A595,'Таблиця 1'!$I:$I,"Mi-24",'Таблиця 1'!$J:$J,"МК-40"))</f>
        <v/>
      </c>
      <c r="N595">
        <f>IF($A595="","",SUMIFS('Таблиця 1'!$K:$K,'Таблиця 1'!$B:$B,$A595,'Таблиця 1'!$I:$I,"Mi-8",'Таблиця 1'!$J:$J,"Zuni")+SUMIFS('Таблиця 1'!$K:$K,'Таблиця 1'!$B:$B,$A595,'Таблиця 1'!$I:$I,"Mi-24",'Таблиця 1'!$J:$J,"Zuni"))</f>
        <v/>
      </c>
      <c r="O595">
        <f>IF($A595="","",COUNTIFS('Таблиця 1'!$B:$B,$A595,'Таблиця 1'!$I:$I,"Mi-8",'Таблиця 1'!$L:$L,"Уражено")+COUNTIFS('Таблиця 1'!$B:$B,$A595,'Таблиця 1'!$I:$I,"Mi-24",'Таблиця 1'!$L:$L,"Уражено"))</f>
        <v/>
      </c>
      <c r="P595">
        <f>IF($A595="","",COUNTIFS('Таблиця 1'!$B:$B,$A595,'Таблиця 1'!$I:$I,"Mi-8",'Таблиця 1'!$L:$L,"НЕ уражено")+COUNTIFS('Таблиця 1'!$B:$B,$A595,'Таблиця 1'!$I:$I,"Mi-24",'Таблиця 1'!$L:$L,"НЕ уражено"))</f>
        <v/>
      </c>
    </row>
    <row r="596">
      <c r="A596" s="273">
        <f>IF(A595="","",IF(A595+1&gt;MAX('Таблиця 1'!$B:$B),"",A595+1))</f>
        <v/>
      </c>
      <c r="B596">
        <f>IF($A596="","",COUNTIFS('Таблиця 1'!$B:$B,$A596,'Таблиця 1'!$I:$I,"Mi-8")+COUNTIFS('Таблиця 1'!$B:$B,$A596,'Таблиця 1'!$I:$I,"Mi-24"))</f>
        <v/>
      </c>
      <c r="C596">
        <f>IF($A596="","",COUNTIFS('Таблиця 1'!$B:$B,$A596,'Таблиця 1'!$I:$I,"Mi-8"))</f>
        <v/>
      </c>
      <c r="D596">
        <f>IF($A596="","",COUNTIFS('Таблиця 1'!$B:$B,$A596,'Таблиця 1'!$I:$I,"Mi-24"))</f>
        <v/>
      </c>
      <c r="E596">
        <f>IF($A596="","",SUMIFS('Таблиця 1'!$K:$K,'Таблиця 1'!$B:$B,$A596,'Таблиця 1'!$I:$I,"Mi-8",'Таблиця 1'!$J:$J,"ARS-8")+SUMIFS('Таблиця 1'!$K:$K,'Таблиця 1'!$B:$B,$A596,'Таблиця 1'!$I:$I,"Mi-24",'Таблиця 1'!$J:$J,"ARS-8"))</f>
        <v/>
      </c>
      <c r="F596">
        <f>IF($A596="","",SUMIFS('Таблиця 1'!$K:$K,'Таблиця 1'!$B:$B,$A596,'Таблиця 1'!$I:$I,"Mi-8",'Таблиця 1'!$J:$J,"С-8 ком")+SUMIFS('Таблиця 1'!$K:$K,'Таблиця 1'!$B:$B,$A596,'Таблиця 1'!$I:$I,"Mi-24",'Таблиця 1'!$J:$J,"С-8 ком"))</f>
        <v/>
      </c>
      <c r="G596">
        <f>IF($A596="","",SUMIFS('Таблиця 1'!$K:$K,'Таблиця 1'!$B:$B,$A596,'Таблиця 1'!$I:$I,"Mi-8",'Таблиця 1'!$J:$J,"PC-80")+SUMIFS('Таблиця 1'!$K:$K,'Таблиця 1'!$B:$B,$A596,'Таблиця 1'!$I:$I,"Mi-24",'Таблиця 1'!$J:$J,"PC-80"))</f>
        <v/>
      </c>
      <c r="H596">
        <f>IF($A596="","",SUMIFS('Таблиця 1'!$K:$K,'Таблиця 1'!$B:$B,$A596,'Таблиця 1'!$I:$I,"Mi-8",'Таблиця 1'!$J:$J,"UAR-80")+SUMIFS('Таблиця 1'!$K:$K,'Таблиця 1'!$B:$B,$A596,'Таблиця 1'!$I:$I,"Mi-24",'Таблиця 1'!$J:$J,"UAR-80"))</f>
        <v/>
      </c>
      <c r="I596">
        <f>IF($A596="","",SUMIFS('Таблиця 1'!$K:$K,'Таблиця 1'!$B:$B,$A596,'Таблиця 1'!$I:$I,"Mi-8",'Таблиця 1'!$J:$J,"C-13")+SUMIFS('Таблиця 1'!$K:$K,'Таблиця 1'!$B:$B,$A596,'Таблиця 1'!$I:$I,"Mi-24",'Таблиця 1'!$J:$J,"C-13"))</f>
        <v/>
      </c>
      <c r="J596">
        <f>IF($A596="","",SUMIFS('Таблиця 1'!$K:$K,'Таблиця 1'!$B:$B,$A596,'Таблиця 1'!$I:$I,"Mi-8",'Таблиця 1'!$J:$J,"Hydra-70")+SUMIFS('Таблиця 1'!$K:$K,'Таблиця 1'!$B:$B,$A596,'Таблиця 1'!$I:$I,"Mi-24",'Таблиця 1'!$J:$J,"Hydra-70"))</f>
        <v/>
      </c>
      <c r="K596">
        <f>IF($A596="","",SUMIFS('Таблиця 1'!$K:$K,'Таблиця 1'!$B:$B,$A596,'Таблиця 1'!$I:$I,"Mi-8",'Таблиця 1'!$J:$J,"Thales-70")+SUMIFS('Таблиця 1'!$K:$K,'Таблиця 1'!$B:$B,$A596,'Таблиця 1'!$I:$I,"Mi-24",'Таблиця 1'!$J:$J,"Thales-70"))</f>
        <v/>
      </c>
      <c r="L596">
        <f>IF($A596="","",SUMIFS('Таблиця 1'!$K:$K,'Таблиця 1'!$B:$B,$A596,'Таблиця 1'!$I:$I,"Mi-8",'Таблиця 1'!$J:$J,"Thales-FZ")+SUMIFS('Таблиця 1'!$K:$K,'Таблиця 1'!$B:$B,$A596,'Таблиця 1'!$I:$I,"Mi-24",'Таблиця 1'!$J:$J,"Thales-FZ"))</f>
        <v/>
      </c>
      <c r="M596">
        <f>IF($A596="","",SUMIFS('Таблиця 1'!$K:$K,'Таблиця 1'!$B:$B,$A596,'Таблиця 1'!$I:$I,"Mi-8",'Таблиця 1'!$J:$J,"МК-40")+SUMIFS('Таблиця 1'!$K:$K,'Таблиця 1'!$B:$B,$A596,'Таблиця 1'!$I:$I,"Mi-24",'Таблиця 1'!$J:$J,"МК-40"))</f>
        <v/>
      </c>
      <c r="N596">
        <f>IF($A596="","",SUMIFS('Таблиця 1'!$K:$K,'Таблиця 1'!$B:$B,$A596,'Таблиця 1'!$I:$I,"Mi-8",'Таблиця 1'!$J:$J,"Zuni")+SUMIFS('Таблиця 1'!$K:$K,'Таблиця 1'!$B:$B,$A596,'Таблиця 1'!$I:$I,"Mi-24",'Таблиця 1'!$J:$J,"Zuni"))</f>
        <v/>
      </c>
      <c r="O596">
        <f>IF($A596="","",COUNTIFS('Таблиця 1'!$B:$B,$A596,'Таблиця 1'!$I:$I,"Mi-8",'Таблиця 1'!$L:$L,"Уражено")+COUNTIFS('Таблиця 1'!$B:$B,$A596,'Таблиця 1'!$I:$I,"Mi-24",'Таблиця 1'!$L:$L,"Уражено"))</f>
        <v/>
      </c>
      <c r="P596">
        <f>IF($A596="","",COUNTIFS('Таблиця 1'!$B:$B,$A596,'Таблиця 1'!$I:$I,"Mi-8",'Таблиця 1'!$L:$L,"НЕ уражено")+COUNTIFS('Таблиця 1'!$B:$B,$A596,'Таблиця 1'!$I:$I,"Mi-24",'Таблиця 1'!$L:$L,"НЕ уражено"))</f>
        <v/>
      </c>
    </row>
    <row r="597">
      <c r="A597" s="273">
        <f>IF(A596="","",IF(A596+1&gt;MAX('Таблиця 1'!$B:$B),"",A596+1))</f>
        <v/>
      </c>
      <c r="B597">
        <f>IF($A597="","",COUNTIFS('Таблиця 1'!$B:$B,$A597,'Таблиця 1'!$I:$I,"Mi-8")+COUNTIFS('Таблиця 1'!$B:$B,$A597,'Таблиця 1'!$I:$I,"Mi-24"))</f>
        <v/>
      </c>
      <c r="C597">
        <f>IF($A597="","",COUNTIFS('Таблиця 1'!$B:$B,$A597,'Таблиця 1'!$I:$I,"Mi-8"))</f>
        <v/>
      </c>
      <c r="D597">
        <f>IF($A597="","",COUNTIFS('Таблиця 1'!$B:$B,$A597,'Таблиця 1'!$I:$I,"Mi-24"))</f>
        <v/>
      </c>
      <c r="E597">
        <f>IF($A597="","",SUMIFS('Таблиця 1'!$K:$K,'Таблиця 1'!$B:$B,$A597,'Таблиця 1'!$I:$I,"Mi-8",'Таблиця 1'!$J:$J,"ARS-8")+SUMIFS('Таблиця 1'!$K:$K,'Таблиця 1'!$B:$B,$A597,'Таблиця 1'!$I:$I,"Mi-24",'Таблиця 1'!$J:$J,"ARS-8"))</f>
        <v/>
      </c>
      <c r="F597">
        <f>IF($A597="","",SUMIFS('Таблиця 1'!$K:$K,'Таблиця 1'!$B:$B,$A597,'Таблиця 1'!$I:$I,"Mi-8",'Таблиця 1'!$J:$J,"С-8 ком")+SUMIFS('Таблиця 1'!$K:$K,'Таблиця 1'!$B:$B,$A597,'Таблиця 1'!$I:$I,"Mi-24",'Таблиця 1'!$J:$J,"С-8 ком"))</f>
        <v/>
      </c>
      <c r="G597">
        <f>IF($A597="","",SUMIFS('Таблиця 1'!$K:$K,'Таблиця 1'!$B:$B,$A597,'Таблиця 1'!$I:$I,"Mi-8",'Таблиця 1'!$J:$J,"PC-80")+SUMIFS('Таблиця 1'!$K:$K,'Таблиця 1'!$B:$B,$A597,'Таблиця 1'!$I:$I,"Mi-24",'Таблиця 1'!$J:$J,"PC-80"))</f>
        <v/>
      </c>
      <c r="H597">
        <f>IF($A597="","",SUMIFS('Таблиця 1'!$K:$K,'Таблиця 1'!$B:$B,$A597,'Таблиця 1'!$I:$I,"Mi-8",'Таблиця 1'!$J:$J,"UAR-80")+SUMIFS('Таблиця 1'!$K:$K,'Таблиця 1'!$B:$B,$A597,'Таблиця 1'!$I:$I,"Mi-24",'Таблиця 1'!$J:$J,"UAR-80"))</f>
        <v/>
      </c>
      <c r="I597">
        <f>IF($A597="","",SUMIFS('Таблиця 1'!$K:$K,'Таблиця 1'!$B:$B,$A597,'Таблиця 1'!$I:$I,"Mi-8",'Таблиця 1'!$J:$J,"C-13")+SUMIFS('Таблиця 1'!$K:$K,'Таблиця 1'!$B:$B,$A597,'Таблиця 1'!$I:$I,"Mi-24",'Таблиця 1'!$J:$J,"C-13"))</f>
        <v/>
      </c>
      <c r="J597">
        <f>IF($A597="","",SUMIFS('Таблиця 1'!$K:$K,'Таблиця 1'!$B:$B,$A597,'Таблиця 1'!$I:$I,"Mi-8",'Таблиця 1'!$J:$J,"Hydra-70")+SUMIFS('Таблиця 1'!$K:$K,'Таблиця 1'!$B:$B,$A597,'Таблиця 1'!$I:$I,"Mi-24",'Таблиця 1'!$J:$J,"Hydra-70"))</f>
        <v/>
      </c>
      <c r="K597">
        <f>IF($A597="","",SUMIFS('Таблиця 1'!$K:$K,'Таблиця 1'!$B:$B,$A597,'Таблиця 1'!$I:$I,"Mi-8",'Таблиця 1'!$J:$J,"Thales-70")+SUMIFS('Таблиця 1'!$K:$K,'Таблиця 1'!$B:$B,$A597,'Таблиця 1'!$I:$I,"Mi-24",'Таблиця 1'!$J:$J,"Thales-70"))</f>
        <v/>
      </c>
      <c r="L597">
        <f>IF($A597="","",SUMIFS('Таблиця 1'!$K:$K,'Таблиця 1'!$B:$B,$A597,'Таблиця 1'!$I:$I,"Mi-8",'Таблиця 1'!$J:$J,"Thales-FZ")+SUMIFS('Таблиця 1'!$K:$K,'Таблиця 1'!$B:$B,$A597,'Таблиця 1'!$I:$I,"Mi-24",'Таблиця 1'!$J:$J,"Thales-FZ"))</f>
        <v/>
      </c>
      <c r="M597">
        <f>IF($A597="","",SUMIFS('Таблиця 1'!$K:$K,'Таблиця 1'!$B:$B,$A597,'Таблиця 1'!$I:$I,"Mi-8",'Таблиця 1'!$J:$J,"МК-40")+SUMIFS('Таблиця 1'!$K:$K,'Таблиця 1'!$B:$B,$A597,'Таблиця 1'!$I:$I,"Mi-24",'Таблиця 1'!$J:$J,"МК-40"))</f>
        <v/>
      </c>
      <c r="N597">
        <f>IF($A597="","",SUMIFS('Таблиця 1'!$K:$K,'Таблиця 1'!$B:$B,$A597,'Таблиця 1'!$I:$I,"Mi-8",'Таблиця 1'!$J:$J,"Zuni")+SUMIFS('Таблиця 1'!$K:$K,'Таблиця 1'!$B:$B,$A597,'Таблиця 1'!$I:$I,"Mi-24",'Таблиця 1'!$J:$J,"Zuni"))</f>
        <v/>
      </c>
      <c r="O597">
        <f>IF($A597="","",COUNTIFS('Таблиця 1'!$B:$B,$A597,'Таблиця 1'!$I:$I,"Mi-8",'Таблиця 1'!$L:$L,"Уражено")+COUNTIFS('Таблиця 1'!$B:$B,$A597,'Таблиця 1'!$I:$I,"Mi-24",'Таблиця 1'!$L:$L,"Уражено"))</f>
        <v/>
      </c>
      <c r="P597">
        <f>IF($A597="","",COUNTIFS('Таблиця 1'!$B:$B,$A597,'Таблиця 1'!$I:$I,"Mi-8",'Таблиця 1'!$L:$L,"НЕ уражено")+COUNTIFS('Таблиця 1'!$B:$B,$A597,'Таблиця 1'!$I:$I,"Mi-24",'Таблиця 1'!$L:$L,"НЕ уражено"))</f>
        <v/>
      </c>
    </row>
    <row r="598">
      <c r="A598" s="273">
        <f>IF(A597="","",IF(A597+1&gt;MAX('Таблиця 1'!$B:$B),"",A597+1))</f>
        <v/>
      </c>
      <c r="B598">
        <f>IF($A598="","",COUNTIFS('Таблиця 1'!$B:$B,$A598,'Таблиця 1'!$I:$I,"Mi-8")+COUNTIFS('Таблиця 1'!$B:$B,$A598,'Таблиця 1'!$I:$I,"Mi-24"))</f>
        <v/>
      </c>
      <c r="C598">
        <f>IF($A598="","",COUNTIFS('Таблиця 1'!$B:$B,$A598,'Таблиця 1'!$I:$I,"Mi-8"))</f>
        <v/>
      </c>
      <c r="D598">
        <f>IF($A598="","",COUNTIFS('Таблиця 1'!$B:$B,$A598,'Таблиця 1'!$I:$I,"Mi-24"))</f>
        <v/>
      </c>
      <c r="E598">
        <f>IF($A598="","",SUMIFS('Таблиця 1'!$K:$K,'Таблиця 1'!$B:$B,$A598,'Таблиця 1'!$I:$I,"Mi-8",'Таблиця 1'!$J:$J,"ARS-8")+SUMIFS('Таблиця 1'!$K:$K,'Таблиця 1'!$B:$B,$A598,'Таблиця 1'!$I:$I,"Mi-24",'Таблиця 1'!$J:$J,"ARS-8"))</f>
        <v/>
      </c>
      <c r="F598">
        <f>IF($A598="","",SUMIFS('Таблиця 1'!$K:$K,'Таблиця 1'!$B:$B,$A598,'Таблиця 1'!$I:$I,"Mi-8",'Таблиця 1'!$J:$J,"С-8 ком")+SUMIFS('Таблиця 1'!$K:$K,'Таблиця 1'!$B:$B,$A598,'Таблиця 1'!$I:$I,"Mi-24",'Таблиця 1'!$J:$J,"С-8 ком"))</f>
        <v/>
      </c>
      <c r="G598">
        <f>IF($A598="","",SUMIFS('Таблиця 1'!$K:$K,'Таблиця 1'!$B:$B,$A598,'Таблиця 1'!$I:$I,"Mi-8",'Таблиця 1'!$J:$J,"PC-80")+SUMIFS('Таблиця 1'!$K:$K,'Таблиця 1'!$B:$B,$A598,'Таблиця 1'!$I:$I,"Mi-24",'Таблиця 1'!$J:$J,"PC-80"))</f>
        <v/>
      </c>
      <c r="H598">
        <f>IF($A598="","",SUMIFS('Таблиця 1'!$K:$K,'Таблиця 1'!$B:$B,$A598,'Таблиця 1'!$I:$I,"Mi-8",'Таблиця 1'!$J:$J,"UAR-80")+SUMIFS('Таблиця 1'!$K:$K,'Таблиця 1'!$B:$B,$A598,'Таблиця 1'!$I:$I,"Mi-24",'Таблиця 1'!$J:$J,"UAR-80"))</f>
        <v/>
      </c>
      <c r="I598">
        <f>IF($A598="","",SUMIFS('Таблиця 1'!$K:$K,'Таблиця 1'!$B:$B,$A598,'Таблиця 1'!$I:$I,"Mi-8",'Таблиця 1'!$J:$J,"C-13")+SUMIFS('Таблиця 1'!$K:$K,'Таблиця 1'!$B:$B,$A598,'Таблиця 1'!$I:$I,"Mi-24",'Таблиця 1'!$J:$J,"C-13"))</f>
        <v/>
      </c>
      <c r="J598">
        <f>IF($A598="","",SUMIFS('Таблиця 1'!$K:$K,'Таблиця 1'!$B:$B,$A598,'Таблиця 1'!$I:$I,"Mi-8",'Таблиця 1'!$J:$J,"Hydra-70")+SUMIFS('Таблиця 1'!$K:$K,'Таблиця 1'!$B:$B,$A598,'Таблиця 1'!$I:$I,"Mi-24",'Таблиця 1'!$J:$J,"Hydra-70"))</f>
        <v/>
      </c>
      <c r="K598">
        <f>IF($A598="","",SUMIFS('Таблиця 1'!$K:$K,'Таблиця 1'!$B:$B,$A598,'Таблиця 1'!$I:$I,"Mi-8",'Таблиця 1'!$J:$J,"Thales-70")+SUMIFS('Таблиця 1'!$K:$K,'Таблиця 1'!$B:$B,$A598,'Таблиця 1'!$I:$I,"Mi-24",'Таблиця 1'!$J:$J,"Thales-70"))</f>
        <v/>
      </c>
      <c r="L598">
        <f>IF($A598="","",SUMIFS('Таблиця 1'!$K:$K,'Таблиця 1'!$B:$B,$A598,'Таблиця 1'!$I:$I,"Mi-8",'Таблиця 1'!$J:$J,"Thales-FZ")+SUMIFS('Таблиця 1'!$K:$K,'Таблиця 1'!$B:$B,$A598,'Таблиця 1'!$I:$I,"Mi-24",'Таблиця 1'!$J:$J,"Thales-FZ"))</f>
        <v/>
      </c>
      <c r="M598">
        <f>IF($A598="","",SUMIFS('Таблиця 1'!$K:$K,'Таблиця 1'!$B:$B,$A598,'Таблиця 1'!$I:$I,"Mi-8",'Таблиця 1'!$J:$J,"МК-40")+SUMIFS('Таблиця 1'!$K:$K,'Таблиця 1'!$B:$B,$A598,'Таблиця 1'!$I:$I,"Mi-24",'Таблиця 1'!$J:$J,"МК-40"))</f>
        <v/>
      </c>
      <c r="N598">
        <f>IF($A598="","",SUMIFS('Таблиця 1'!$K:$K,'Таблиця 1'!$B:$B,$A598,'Таблиця 1'!$I:$I,"Mi-8",'Таблиця 1'!$J:$J,"Zuni")+SUMIFS('Таблиця 1'!$K:$K,'Таблиця 1'!$B:$B,$A598,'Таблиця 1'!$I:$I,"Mi-24",'Таблиця 1'!$J:$J,"Zuni"))</f>
        <v/>
      </c>
      <c r="O598">
        <f>IF($A598="","",COUNTIFS('Таблиця 1'!$B:$B,$A598,'Таблиця 1'!$I:$I,"Mi-8",'Таблиця 1'!$L:$L,"Уражено")+COUNTIFS('Таблиця 1'!$B:$B,$A598,'Таблиця 1'!$I:$I,"Mi-24",'Таблиця 1'!$L:$L,"Уражено"))</f>
        <v/>
      </c>
      <c r="P598">
        <f>IF($A598="","",COUNTIFS('Таблиця 1'!$B:$B,$A598,'Таблиця 1'!$I:$I,"Mi-8",'Таблиця 1'!$L:$L,"НЕ уражено")+COUNTIFS('Таблиця 1'!$B:$B,$A598,'Таблиця 1'!$I:$I,"Mi-24",'Таблиця 1'!$L:$L,"НЕ уражено"))</f>
        <v/>
      </c>
    </row>
    <row r="599">
      <c r="A599" s="273">
        <f>IF(A598="","",IF(A598+1&gt;MAX('Таблиця 1'!$B:$B),"",A598+1))</f>
        <v/>
      </c>
      <c r="B599">
        <f>IF($A599="","",COUNTIFS('Таблиця 1'!$B:$B,$A599,'Таблиця 1'!$I:$I,"Mi-8")+COUNTIFS('Таблиця 1'!$B:$B,$A599,'Таблиця 1'!$I:$I,"Mi-24"))</f>
        <v/>
      </c>
      <c r="C599">
        <f>IF($A599="","",COUNTIFS('Таблиця 1'!$B:$B,$A599,'Таблиця 1'!$I:$I,"Mi-8"))</f>
        <v/>
      </c>
      <c r="D599">
        <f>IF($A599="","",COUNTIFS('Таблиця 1'!$B:$B,$A599,'Таблиця 1'!$I:$I,"Mi-24"))</f>
        <v/>
      </c>
      <c r="E599">
        <f>IF($A599="","",SUMIFS('Таблиця 1'!$K:$K,'Таблиця 1'!$B:$B,$A599,'Таблиця 1'!$I:$I,"Mi-8",'Таблиця 1'!$J:$J,"ARS-8")+SUMIFS('Таблиця 1'!$K:$K,'Таблиця 1'!$B:$B,$A599,'Таблиця 1'!$I:$I,"Mi-24",'Таблиця 1'!$J:$J,"ARS-8"))</f>
        <v/>
      </c>
      <c r="F599">
        <f>IF($A599="","",SUMIFS('Таблиця 1'!$K:$K,'Таблиця 1'!$B:$B,$A599,'Таблиця 1'!$I:$I,"Mi-8",'Таблиця 1'!$J:$J,"С-8 ком")+SUMIFS('Таблиця 1'!$K:$K,'Таблиця 1'!$B:$B,$A599,'Таблиця 1'!$I:$I,"Mi-24",'Таблиця 1'!$J:$J,"С-8 ком"))</f>
        <v/>
      </c>
      <c r="G599">
        <f>IF($A599="","",SUMIFS('Таблиця 1'!$K:$K,'Таблиця 1'!$B:$B,$A599,'Таблиця 1'!$I:$I,"Mi-8",'Таблиця 1'!$J:$J,"PC-80")+SUMIFS('Таблиця 1'!$K:$K,'Таблиця 1'!$B:$B,$A599,'Таблиця 1'!$I:$I,"Mi-24",'Таблиця 1'!$J:$J,"PC-80"))</f>
        <v/>
      </c>
      <c r="H599">
        <f>IF($A599="","",SUMIFS('Таблиця 1'!$K:$K,'Таблиця 1'!$B:$B,$A599,'Таблиця 1'!$I:$I,"Mi-8",'Таблиця 1'!$J:$J,"UAR-80")+SUMIFS('Таблиця 1'!$K:$K,'Таблиця 1'!$B:$B,$A599,'Таблиця 1'!$I:$I,"Mi-24",'Таблиця 1'!$J:$J,"UAR-80"))</f>
        <v/>
      </c>
      <c r="I599">
        <f>IF($A599="","",SUMIFS('Таблиця 1'!$K:$K,'Таблиця 1'!$B:$B,$A599,'Таблиця 1'!$I:$I,"Mi-8",'Таблиця 1'!$J:$J,"C-13")+SUMIFS('Таблиця 1'!$K:$K,'Таблиця 1'!$B:$B,$A599,'Таблиця 1'!$I:$I,"Mi-24",'Таблиця 1'!$J:$J,"C-13"))</f>
        <v/>
      </c>
      <c r="J599">
        <f>IF($A599="","",SUMIFS('Таблиця 1'!$K:$K,'Таблиця 1'!$B:$B,$A599,'Таблиця 1'!$I:$I,"Mi-8",'Таблиця 1'!$J:$J,"Hydra-70")+SUMIFS('Таблиця 1'!$K:$K,'Таблиця 1'!$B:$B,$A599,'Таблиця 1'!$I:$I,"Mi-24",'Таблиця 1'!$J:$J,"Hydra-70"))</f>
        <v/>
      </c>
      <c r="K599">
        <f>IF($A599="","",SUMIFS('Таблиця 1'!$K:$K,'Таблиця 1'!$B:$B,$A599,'Таблиця 1'!$I:$I,"Mi-8",'Таблиця 1'!$J:$J,"Thales-70")+SUMIFS('Таблиця 1'!$K:$K,'Таблиця 1'!$B:$B,$A599,'Таблиця 1'!$I:$I,"Mi-24",'Таблиця 1'!$J:$J,"Thales-70"))</f>
        <v/>
      </c>
      <c r="L599">
        <f>IF($A599="","",SUMIFS('Таблиця 1'!$K:$K,'Таблиця 1'!$B:$B,$A599,'Таблиця 1'!$I:$I,"Mi-8",'Таблиця 1'!$J:$J,"Thales-FZ")+SUMIFS('Таблиця 1'!$K:$K,'Таблиця 1'!$B:$B,$A599,'Таблиця 1'!$I:$I,"Mi-24",'Таблиця 1'!$J:$J,"Thales-FZ"))</f>
        <v/>
      </c>
      <c r="M599">
        <f>IF($A599="","",SUMIFS('Таблиця 1'!$K:$K,'Таблиця 1'!$B:$B,$A599,'Таблиця 1'!$I:$I,"Mi-8",'Таблиця 1'!$J:$J,"МК-40")+SUMIFS('Таблиця 1'!$K:$K,'Таблиця 1'!$B:$B,$A599,'Таблиця 1'!$I:$I,"Mi-24",'Таблиця 1'!$J:$J,"МК-40"))</f>
        <v/>
      </c>
      <c r="N599">
        <f>IF($A599="","",SUMIFS('Таблиця 1'!$K:$K,'Таблиця 1'!$B:$B,$A599,'Таблиця 1'!$I:$I,"Mi-8",'Таблиця 1'!$J:$J,"Zuni")+SUMIFS('Таблиця 1'!$K:$K,'Таблиця 1'!$B:$B,$A599,'Таблиця 1'!$I:$I,"Mi-24",'Таблиця 1'!$J:$J,"Zuni"))</f>
        <v/>
      </c>
      <c r="O599">
        <f>IF($A599="","",COUNTIFS('Таблиця 1'!$B:$B,$A599,'Таблиця 1'!$I:$I,"Mi-8",'Таблиця 1'!$L:$L,"Уражено")+COUNTIFS('Таблиця 1'!$B:$B,$A599,'Таблиця 1'!$I:$I,"Mi-24",'Таблиця 1'!$L:$L,"Уражено"))</f>
        <v/>
      </c>
      <c r="P599">
        <f>IF($A599="","",COUNTIFS('Таблиця 1'!$B:$B,$A599,'Таблиця 1'!$I:$I,"Mi-8",'Таблиця 1'!$L:$L,"НЕ уражено")+COUNTIFS('Таблиця 1'!$B:$B,$A599,'Таблиця 1'!$I:$I,"Mi-24",'Таблиця 1'!$L:$L,"НЕ уражено"))</f>
        <v/>
      </c>
    </row>
    <row r="600">
      <c r="A600" s="273">
        <f>IF(A599="","",IF(A599+1&gt;MAX('Таблиця 1'!$B:$B),"",A599+1))</f>
        <v/>
      </c>
      <c r="B600">
        <f>IF($A600="","",COUNTIFS('Таблиця 1'!$B:$B,$A600,'Таблиця 1'!$I:$I,"Mi-8")+COUNTIFS('Таблиця 1'!$B:$B,$A600,'Таблиця 1'!$I:$I,"Mi-24"))</f>
        <v/>
      </c>
      <c r="C600">
        <f>IF($A600="","",COUNTIFS('Таблиця 1'!$B:$B,$A600,'Таблиця 1'!$I:$I,"Mi-8"))</f>
        <v/>
      </c>
      <c r="D600">
        <f>IF($A600="","",COUNTIFS('Таблиця 1'!$B:$B,$A600,'Таблиця 1'!$I:$I,"Mi-24"))</f>
        <v/>
      </c>
      <c r="E600">
        <f>IF($A600="","",SUMIFS('Таблиця 1'!$K:$K,'Таблиця 1'!$B:$B,$A600,'Таблиця 1'!$I:$I,"Mi-8",'Таблиця 1'!$J:$J,"ARS-8")+SUMIFS('Таблиця 1'!$K:$K,'Таблиця 1'!$B:$B,$A600,'Таблиця 1'!$I:$I,"Mi-24",'Таблиця 1'!$J:$J,"ARS-8"))</f>
        <v/>
      </c>
      <c r="F600">
        <f>IF($A600="","",SUMIFS('Таблиця 1'!$K:$K,'Таблиця 1'!$B:$B,$A600,'Таблиця 1'!$I:$I,"Mi-8",'Таблиця 1'!$J:$J,"С-8 ком")+SUMIFS('Таблиця 1'!$K:$K,'Таблиця 1'!$B:$B,$A600,'Таблиця 1'!$I:$I,"Mi-24",'Таблиця 1'!$J:$J,"С-8 ком"))</f>
        <v/>
      </c>
      <c r="G600">
        <f>IF($A600="","",SUMIFS('Таблиця 1'!$K:$K,'Таблиця 1'!$B:$B,$A600,'Таблиця 1'!$I:$I,"Mi-8",'Таблиця 1'!$J:$J,"PC-80")+SUMIFS('Таблиця 1'!$K:$K,'Таблиця 1'!$B:$B,$A600,'Таблиця 1'!$I:$I,"Mi-24",'Таблиця 1'!$J:$J,"PC-80"))</f>
        <v/>
      </c>
      <c r="H600">
        <f>IF($A600="","",SUMIFS('Таблиця 1'!$K:$K,'Таблиця 1'!$B:$B,$A600,'Таблиця 1'!$I:$I,"Mi-8",'Таблиця 1'!$J:$J,"UAR-80")+SUMIFS('Таблиця 1'!$K:$K,'Таблиця 1'!$B:$B,$A600,'Таблиця 1'!$I:$I,"Mi-24",'Таблиця 1'!$J:$J,"UAR-80"))</f>
        <v/>
      </c>
      <c r="I600">
        <f>IF($A600="","",SUMIFS('Таблиця 1'!$K:$K,'Таблиця 1'!$B:$B,$A600,'Таблиця 1'!$I:$I,"Mi-8",'Таблиця 1'!$J:$J,"C-13")+SUMIFS('Таблиця 1'!$K:$K,'Таблиця 1'!$B:$B,$A600,'Таблиця 1'!$I:$I,"Mi-24",'Таблиця 1'!$J:$J,"C-13"))</f>
        <v/>
      </c>
      <c r="J600">
        <f>IF($A600="","",SUMIFS('Таблиця 1'!$K:$K,'Таблиця 1'!$B:$B,$A600,'Таблиця 1'!$I:$I,"Mi-8",'Таблиця 1'!$J:$J,"Hydra-70")+SUMIFS('Таблиця 1'!$K:$K,'Таблиця 1'!$B:$B,$A600,'Таблиця 1'!$I:$I,"Mi-24",'Таблиця 1'!$J:$J,"Hydra-70"))</f>
        <v/>
      </c>
      <c r="K600">
        <f>IF($A600="","",SUMIFS('Таблиця 1'!$K:$K,'Таблиця 1'!$B:$B,$A600,'Таблиця 1'!$I:$I,"Mi-8",'Таблиця 1'!$J:$J,"Thales-70")+SUMIFS('Таблиця 1'!$K:$K,'Таблиця 1'!$B:$B,$A600,'Таблиця 1'!$I:$I,"Mi-24",'Таблиця 1'!$J:$J,"Thales-70"))</f>
        <v/>
      </c>
      <c r="L600">
        <f>IF($A600="","",SUMIFS('Таблиця 1'!$K:$K,'Таблиця 1'!$B:$B,$A600,'Таблиця 1'!$I:$I,"Mi-8",'Таблиця 1'!$J:$J,"Thales-FZ")+SUMIFS('Таблиця 1'!$K:$K,'Таблиця 1'!$B:$B,$A600,'Таблиця 1'!$I:$I,"Mi-24",'Таблиця 1'!$J:$J,"Thales-FZ"))</f>
        <v/>
      </c>
      <c r="M600">
        <f>IF($A600="","",SUMIFS('Таблиця 1'!$K:$K,'Таблиця 1'!$B:$B,$A600,'Таблиця 1'!$I:$I,"Mi-8",'Таблиця 1'!$J:$J,"МК-40")+SUMIFS('Таблиця 1'!$K:$K,'Таблиця 1'!$B:$B,$A600,'Таблиця 1'!$I:$I,"Mi-24",'Таблиця 1'!$J:$J,"МК-40"))</f>
        <v/>
      </c>
      <c r="N600">
        <f>IF($A600="","",SUMIFS('Таблиця 1'!$K:$K,'Таблиця 1'!$B:$B,$A600,'Таблиця 1'!$I:$I,"Mi-8",'Таблиця 1'!$J:$J,"Zuni")+SUMIFS('Таблиця 1'!$K:$K,'Таблиця 1'!$B:$B,$A600,'Таблиця 1'!$I:$I,"Mi-24",'Таблиця 1'!$J:$J,"Zuni"))</f>
        <v/>
      </c>
      <c r="O600">
        <f>IF($A600="","",COUNTIFS('Таблиця 1'!$B:$B,$A600,'Таблиця 1'!$I:$I,"Mi-8",'Таблиця 1'!$L:$L,"Уражено")+COUNTIFS('Таблиця 1'!$B:$B,$A600,'Таблиця 1'!$I:$I,"Mi-24",'Таблиця 1'!$L:$L,"Уражено"))</f>
        <v/>
      </c>
      <c r="P600">
        <f>IF($A600="","",COUNTIFS('Таблиця 1'!$B:$B,$A600,'Таблиця 1'!$I:$I,"Mi-8",'Таблиця 1'!$L:$L,"НЕ уражено")+COUNTIFS('Таблиця 1'!$B:$B,$A600,'Таблиця 1'!$I:$I,"Mi-24",'Таблиця 1'!$L:$L,"НЕ уражено"))</f>
        <v/>
      </c>
    </row>
    <row r="601">
      <c r="A601" s="273">
        <f>IF(A600="","",IF(A600+1&gt;MAX('Таблиця 1'!$B:$B),"",A600+1))</f>
        <v/>
      </c>
      <c r="B601">
        <f>IF($A601="","",COUNTIFS('Таблиця 1'!$B:$B,$A601,'Таблиця 1'!$I:$I,"Mi-8")+COUNTIFS('Таблиця 1'!$B:$B,$A601,'Таблиця 1'!$I:$I,"Mi-24"))</f>
        <v/>
      </c>
      <c r="C601">
        <f>IF($A601="","",COUNTIFS('Таблиця 1'!$B:$B,$A601,'Таблиця 1'!$I:$I,"Mi-8"))</f>
        <v/>
      </c>
      <c r="D601">
        <f>IF($A601="","",COUNTIFS('Таблиця 1'!$B:$B,$A601,'Таблиця 1'!$I:$I,"Mi-24"))</f>
        <v/>
      </c>
      <c r="E601">
        <f>IF($A601="","",SUMIFS('Таблиця 1'!$K:$K,'Таблиця 1'!$B:$B,$A601,'Таблиця 1'!$I:$I,"Mi-8",'Таблиця 1'!$J:$J,"ARS-8")+SUMIFS('Таблиця 1'!$K:$K,'Таблиця 1'!$B:$B,$A601,'Таблиця 1'!$I:$I,"Mi-24",'Таблиця 1'!$J:$J,"ARS-8"))</f>
        <v/>
      </c>
      <c r="F601">
        <f>IF($A601="","",SUMIFS('Таблиця 1'!$K:$K,'Таблиця 1'!$B:$B,$A601,'Таблиця 1'!$I:$I,"Mi-8",'Таблиця 1'!$J:$J,"С-8 ком")+SUMIFS('Таблиця 1'!$K:$K,'Таблиця 1'!$B:$B,$A601,'Таблиця 1'!$I:$I,"Mi-24",'Таблиця 1'!$J:$J,"С-8 ком"))</f>
        <v/>
      </c>
      <c r="G601">
        <f>IF($A601="","",SUMIFS('Таблиця 1'!$K:$K,'Таблиця 1'!$B:$B,$A601,'Таблиця 1'!$I:$I,"Mi-8",'Таблиця 1'!$J:$J,"PC-80")+SUMIFS('Таблиця 1'!$K:$K,'Таблиця 1'!$B:$B,$A601,'Таблиця 1'!$I:$I,"Mi-24",'Таблиця 1'!$J:$J,"PC-80"))</f>
        <v/>
      </c>
      <c r="H601">
        <f>IF($A601="","",SUMIFS('Таблиця 1'!$K:$K,'Таблиця 1'!$B:$B,$A601,'Таблиця 1'!$I:$I,"Mi-8",'Таблиця 1'!$J:$J,"UAR-80")+SUMIFS('Таблиця 1'!$K:$K,'Таблиця 1'!$B:$B,$A601,'Таблиця 1'!$I:$I,"Mi-24",'Таблиця 1'!$J:$J,"UAR-80"))</f>
        <v/>
      </c>
      <c r="I601">
        <f>IF($A601="","",SUMIFS('Таблиця 1'!$K:$K,'Таблиця 1'!$B:$B,$A601,'Таблиця 1'!$I:$I,"Mi-8",'Таблиця 1'!$J:$J,"C-13")+SUMIFS('Таблиця 1'!$K:$K,'Таблиця 1'!$B:$B,$A601,'Таблиця 1'!$I:$I,"Mi-24",'Таблиця 1'!$J:$J,"C-13"))</f>
        <v/>
      </c>
      <c r="J601">
        <f>IF($A601="","",SUMIFS('Таблиця 1'!$K:$K,'Таблиця 1'!$B:$B,$A601,'Таблиця 1'!$I:$I,"Mi-8",'Таблиця 1'!$J:$J,"Hydra-70")+SUMIFS('Таблиця 1'!$K:$K,'Таблиця 1'!$B:$B,$A601,'Таблиця 1'!$I:$I,"Mi-24",'Таблиця 1'!$J:$J,"Hydra-70"))</f>
        <v/>
      </c>
      <c r="K601">
        <f>IF($A601="","",SUMIFS('Таблиця 1'!$K:$K,'Таблиця 1'!$B:$B,$A601,'Таблиця 1'!$I:$I,"Mi-8",'Таблиця 1'!$J:$J,"Thales-70")+SUMIFS('Таблиця 1'!$K:$K,'Таблиця 1'!$B:$B,$A601,'Таблиця 1'!$I:$I,"Mi-24",'Таблиця 1'!$J:$J,"Thales-70"))</f>
        <v/>
      </c>
      <c r="L601">
        <f>IF($A601="","",SUMIFS('Таблиця 1'!$K:$K,'Таблиця 1'!$B:$B,$A601,'Таблиця 1'!$I:$I,"Mi-8",'Таблиця 1'!$J:$J,"Thales-FZ")+SUMIFS('Таблиця 1'!$K:$K,'Таблиця 1'!$B:$B,$A601,'Таблиця 1'!$I:$I,"Mi-24",'Таблиця 1'!$J:$J,"Thales-FZ"))</f>
        <v/>
      </c>
      <c r="M601">
        <f>IF($A601="","",SUMIFS('Таблиця 1'!$K:$K,'Таблиця 1'!$B:$B,$A601,'Таблиця 1'!$I:$I,"Mi-8",'Таблиця 1'!$J:$J,"МК-40")+SUMIFS('Таблиця 1'!$K:$K,'Таблиця 1'!$B:$B,$A601,'Таблиця 1'!$I:$I,"Mi-24",'Таблиця 1'!$J:$J,"МК-40"))</f>
        <v/>
      </c>
      <c r="N601">
        <f>IF($A601="","",SUMIFS('Таблиця 1'!$K:$K,'Таблиця 1'!$B:$B,$A601,'Таблиця 1'!$I:$I,"Mi-8",'Таблиця 1'!$J:$J,"Zuni")+SUMIFS('Таблиця 1'!$K:$K,'Таблиця 1'!$B:$B,$A601,'Таблиця 1'!$I:$I,"Mi-24",'Таблиця 1'!$J:$J,"Zuni"))</f>
        <v/>
      </c>
      <c r="O601">
        <f>IF($A601="","",COUNTIFS('Таблиця 1'!$B:$B,$A601,'Таблиця 1'!$I:$I,"Mi-8",'Таблиця 1'!$L:$L,"Уражено")+COUNTIFS('Таблиця 1'!$B:$B,$A601,'Таблиця 1'!$I:$I,"Mi-24",'Таблиця 1'!$L:$L,"Уражено"))</f>
        <v/>
      </c>
      <c r="P601">
        <f>IF($A601="","",COUNTIFS('Таблиця 1'!$B:$B,$A601,'Таблиця 1'!$I:$I,"Mi-8",'Таблиця 1'!$L:$L,"НЕ уражено")+COUNTIFS('Таблиця 1'!$B:$B,$A601,'Таблиця 1'!$I:$I,"Mi-24",'Таблиця 1'!$L:$L,"НЕ уражено"))</f>
        <v/>
      </c>
    </row>
    <row r="602">
      <c r="A602" s="273">
        <f>IF(A601="","",IF(A601+1&gt;MAX('Таблиця 1'!$B:$B),"",A601+1))</f>
        <v/>
      </c>
      <c r="B602">
        <f>IF($A602="","",COUNTIFS('Таблиця 1'!$B:$B,$A602,'Таблиця 1'!$I:$I,"Mi-8")+COUNTIFS('Таблиця 1'!$B:$B,$A602,'Таблиця 1'!$I:$I,"Mi-24"))</f>
        <v/>
      </c>
      <c r="C602">
        <f>IF($A602="","",COUNTIFS('Таблиця 1'!$B:$B,$A602,'Таблиця 1'!$I:$I,"Mi-8"))</f>
        <v/>
      </c>
      <c r="D602">
        <f>IF($A602="","",COUNTIFS('Таблиця 1'!$B:$B,$A602,'Таблиця 1'!$I:$I,"Mi-24"))</f>
        <v/>
      </c>
      <c r="E602">
        <f>IF($A602="","",SUMIFS('Таблиця 1'!$K:$K,'Таблиця 1'!$B:$B,$A602,'Таблиця 1'!$I:$I,"Mi-8",'Таблиця 1'!$J:$J,"ARS-8")+SUMIFS('Таблиця 1'!$K:$K,'Таблиця 1'!$B:$B,$A602,'Таблиця 1'!$I:$I,"Mi-24",'Таблиця 1'!$J:$J,"ARS-8"))</f>
        <v/>
      </c>
      <c r="F602">
        <f>IF($A602="","",SUMIFS('Таблиця 1'!$K:$K,'Таблиця 1'!$B:$B,$A602,'Таблиця 1'!$I:$I,"Mi-8",'Таблиця 1'!$J:$J,"С-8 ком")+SUMIFS('Таблиця 1'!$K:$K,'Таблиця 1'!$B:$B,$A602,'Таблиця 1'!$I:$I,"Mi-24",'Таблиця 1'!$J:$J,"С-8 ком"))</f>
        <v/>
      </c>
      <c r="G602">
        <f>IF($A602="","",SUMIFS('Таблиця 1'!$K:$K,'Таблиця 1'!$B:$B,$A602,'Таблиця 1'!$I:$I,"Mi-8",'Таблиця 1'!$J:$J,"PC-80")+SUMIFS('Таблиця 1'!$K:$K,'Таблиця 1'!$B:$B,$A602,'Таблиця 1'!$I:$I,"Mi-24",'Таблиця 1'!$J:$J,"PC-80"))</f>
        <v/>
      </c>
      <c r="H602">
        <f>IF($A602="","",SUMIFS('Таблиця 1'!$K:$K,'Таблиця 1'!$B:$B,$A602,'Таблиця 1'!$I:$I,"Mi-8",'Таблиця 1'!$J:$J,"UAR-80")+SUMIFS('Таблиця 1'!$K:$K,'Таблиця 1'!$B:$B,$A602,'Таблиця 1'!$I:$I,"Mi-24",'Таблиця 1'!$J:$J,"UAR-80"))</f>
        <v/>
      </c>
      <c r="I602">
        <f>IF($A602="","",SUMIFS('Таблиця 1'!$K:$K,'Таблиця 1'!$B:$B,$A602,'Таблиця 1'!$I:$I,"Mi-8",'Таблиця 1'!$J:$J,"C-13")+SUMIFS('Таблиця 1'!$K:$K,'Таблиця 1'!$B:$B,$A602,'Таблиця 1'!$I:$I,"Mi-24",'Таблиця 1'!$J:$J,"C-13"))</f>
        <v/>
      </c>
      <c r="J602">
        <f>IF($A602="","",SUMIFS('Таблиця 1'!$K:$K,'Таблиця 1'!$B:$B,$A602,'Таблиця 1'!$I:$I,"Mi-8",'Таблиця 1'!$J:$J,"Hydra-70")+SUMIFS('Таблиця 1'!$K:$K,'Таблиця 1'!$B:$B,$A602,'Таблиця 1'!$I:$I,"Mi-24",'Таблиця 1'!$J:$J,"Hydra-70"))</f>
        <v/>
      </c>
      <c r="K602">
        <f>IF($A602="","",SUMIFS('Таблиця 1'!$K:$K,'Таблиця 1'!$B:$B,$A602,'Таблиця 1'!$I:$I,"Mi-8",'Таблиця 1'!$J:$J,"Thales-70")+SUMIFS('Таблиця 1'!$K:$K,'Таблиця 1'!$B:$B,$A602,'Таблиця 1'!$I:$I,"Mi-24",'Таблиця 1'!$J:$J,"Thales-70"))</f>
        <v/>
      </c>
      <c r="L602">
        <f>IF($A602="","",SUMIFS('Таблиця 1'!$K:$K,'Таблиця 1'!$B:$B,$A602,'Таблиця 1'!$I:$I,"Mi-8",'Таблиця 1'!$J:$J,"Thales-FZ")+SUMIFS('Таблиця 1'!$K:$K,'Таблиця 1'!$B:$B,$A602,'Таблиця 1'!$I:$I,"Mi-24",'Таблиця 1'!$J:$J,"Thales-FZ"))</f>
        <v/>
      </c>
      <c r="M602">
        <f>IF($A602="","",SUMIFS('Таблиця 1'!$K:$K,'Таблиця 1'!$B:$B,$A602,'Таблиця 1'!$I:$I,"Mi-8",'Таблиця 1'!$J:$J,"МК-40")+SUMIFS('Таблиця 1'!$K:$K,'Таблиця 1'!$B:$B,$A602,'Таблиця 1'!$I:$I,"Mi-24",'Таблиця 1'!$J:$J,"МК-40"))</f>
        <v/>
      </c>
      <c r="N602">
        <f>IF($A602="","",SUMIFS('Таблиця 1'!$K:$K,'Таблиця 1'!$B:$B,$A602,'Таблиця 1'!$I:$I,"Mi-8",'Таблиця 1'!$J:$J,"Zuni")+SUMIFS('Таблиця 1'!$K:$K,'Таблиця 1'!$B:$B,$A602,'Таблиця 1'!$I:$I,"Mi-24",'Таблиця 1'!$J:$J,"Zuni"))</f>
        <v/>
      </c>
      <c r="O602">
        <f>IF($A602="","",COUNTIFS('Таблиця 1'!$B:$B,$A602,'Таблиця 1'!$I:$I,"Mi-8",'Таблиця 1'!$L:$L,"Уражено")+COUNTIFS('Таблиця 1'!$B:$B,$A602,'Таблиця 1'!$I:$I,"Mi-24",'Таблиця 1'!$L:$L,"Уражено"))</f>
        <v/>
      </c>
      <c r="P602">
        <f>IF($A602="","",COUNTIFS('Таблиця 1'!$B:$B,$A602,'Таблиця 1'!$I:$I,"Mi-8",'Таблиця 1'!$L:$L,"НЕ уражено")+COUNTIFS('Таблиця 1'!$B:$B,$A602,'Таблиця 1'!$I:$I,"Mi-24",'Таблиця 1'!$L:$L,"НЕ уражено"))</f>
        <v/>
      </c>
    </row>
    <row r="603">
      <c r="A603" s="273">
        <f>IF(A602="","",IF(A602+1&gt;MAX('Таблиця 1'!$B:$B),"",A602+1))</f>
        <v/>
      </c>
      <c r="B603">
        <f>IF($A603="","",COUNTIFS('Таблиця 1'!$B:$B,$A603,'Таблиця 1'!$I:$I,"Mi-8")+COUNTIFS('Таблиця 1'!$B:$B,$A603,'Таблиця 1'!$I:$I,"Mi-24"))</f>
        <v/>
      </c>
      <c r="C603">
        <f>IF($A603="","",COUNTIFS('Таблиця 1'!$B:$B,$A603,'Таблиця 1'!$I:$I,"Mi-8"))</f>
        <v/>
      </c>
      <c r="D603">
        <f>IF($A603="","",COUNTIFS('Таблиця 1'!$B:$B,$A603,'Таблиця 1'!$I:$I,"Mi-24"))</f>
        <v/>
      </c>
      <c r="E603">
        <f>IF($A603="","",SUMIFS('Таблиця 1'!$K:$K,'Таблиця 1'!$B:$B,$A603,'Таблиця 1'!$I:$I,"Mi-8",'Таблиця 1'!$J:$J,"ARS-8")+SUMIFS('Таблиця 1'!$K:$K,'Таблиця 1'!$B:$B,$A603,'Таблиця 1'!$I:$I,"Mi-24",'Таблиця 1'!$J:$J,"ARS-8"))</f>
        <v/>
      </c>
      <c r="F603">
        <f>IF($A603="","",SUMIFS('Таблиця 1'!$K:$K,'Таблиця 1'!$B:$B,$A603,'Таблиця 1'!$I:$I,"Mi-8",'Таблиця 1'!$J:$J,"С-8 ком")+SUMIFS('Таблиця 1'!$K:$K,'Таблиця 1'!$B:$B,$A603,'Таблиця 1'!$I:$I,"Mi-24",'Таблиця 1'!$J:$J,"С-8 ком"))</f>
        <v/>
      </c>
      <c r="G603">
        <f>IF($A603="","",SUMIFS('Таблиця 1'!$K:$K,'Таблиця 1'!$B:$B,$A603,'Таблиця 1'!$I:$I,"Mi-8",'Таблиця 1'!$J:$J,"PC-80")+SUMIFS('Таблиця 1'!$K:$K,'Таблиця 1'!$B:$B,$A603,'Таблиця 1'!$I:$I,"Mi-24",'Таблиця 1'!$J:$J,"PC-80"))</f>
        <v/>
      </c>
      <c r="H603">
        <f>IF($A603="","",SUMIFS('Таблиця 1'!$K:$K,'Таблиця 1'!$B:$B,$A603,'Таблиця 1'!$I:$I,"Mi-8",'Таблиця 1'!$J:$J,"UAR-80")+SUMIFS('Таблиця 1'!$K:$K,'Таблиця 1'!$B:$B,$A603,'Таблиця 1'!$I:$I,"Mi-24",'Таблиця 1'!$J:$J,"UAR-80"))</f>
        <v/>
      </c>
      <c r="I603">
        <f>IF($A603="","",SUMIFS('Таблиця 1'!$K:$K,'Таблиця 1'!$B:$B,$A603,'Таблиця 1'!$I:$I,"Mi-8",'Таблиця 1'!$J:$J,"C-13")+SUMIFS('Таблиця 1'!$K:$K,'Таблиця 1'!$B:$B,$A603,'Таблиця 1'!$I:$I,"Mi-24",'Таблиця 1'!$J:$J,"C-13"))</f>
        <v/>
      </c>
      <c r="J603">
        <f>IF($A603="","",SUMIFS('Таблиця 1'!$K:$K,'Таблиця 1'!$B:$B,$A603,'Таблиця 1'!$I:$I,"Mi-8",'Таблиця 1'!$J:$J,"Hydra-70")+SUMIFS('Таблиця 1'!$K:$K,'Таблиця 1'!$B:$B,$A603,'Таблиця 1'!$I:$I,"Mi-24",'Таблиця 1'!$J:$J,"Hydra-70"))</f>
        <v/>
      </c>
      <c r="K603">
        <f>IF($A603="","",SUMIFS('Таблиця 1'!$K:$K,'Таблиця 1'!$B:$B,$A603,'Таблиця 1'!$I:$I,"Mi-8",'Таблиця 1'!$J:$J,"Thales-70")+SUMIFS('Таблиця 1'!$K:$K,'Таблиця 1'!$B:$B,$A603,'Таблиця 1'!$I:$I,"Mi-24",'Таблиця 1'!$J:$J,"Thales-70"))</f>
        <v/>
      </c>
      <c r="L603">
        <f>IF($A603="","",SUMIFS('Таблиця 1'!$K:$K,'Таблиця 1'!$B:$B,$A603,'Таблиця 1'!$I:$I,"Mi-8",'Таблиця 1'!$J:$J,"Thales-FZ")+SUMIFS('Таблиця 1'!$K:$K,'Таблиця 1'!$B:$B,$A603,'Таблиця 1'!$I:$I,"Mi-24",'Таблиця 1'!$J:$J,"Thales-FZ"))</f>
        <v/>
      </c>
      <c r="M603">
        <f>IF($A603="","",SUMIFS('Таблиця 1'!$K:$K,'Таблиця 1'!$B:$B,$A603,'Таблиця 1'!$I:$I,"Mi-8",'Таблиця 1'!$J:$J,"МК-40")+SUMIFS('Таблиця 1'!$K:$K,'Таблиця 1'!$B:$B,$A603,'Таблиця 1'!$I:$I,"Mi-24",'Таблиця 1'!$J:$J,"МК-40"))</f>
        <v/>
      </c>
      <c r="N603">
        <f>IF($A603="","",SUMIFS('Таблиця 1'!$K:$K,'Таблиця 1'!$B:$B,$A603,'Таблиця 1'!$I:$I,"Mi-8",'Таблиця 1'!$J:$J,"Zuni")+SUMIFS('Таблиця 1'!$K:$K,'Таблиця 1'!$B:$B,$A603,'Таблиця 1'!$I:$I,"Mi-24",'Таблиця 1'!$J:$J,"Zuni"))</f>
        <v/>
      </c>
      <c r="O603">
        <f>IF($A603="","",COUNTIFS('Таблиця 1'!$B:$B,$A603,'Таблиця 1'!$I:$I,"Mi-8",'Таблиця 1'!$L:$L,"Уражено")+COUNTIFS('Таблиця 1'!$B:$B,$A603,'Таблиця 1'!$I:$I,"Mi-24",'Таблиця 1'!$L:$L,"Уражено"))</f>
        <v/>
      </c>
      <c r="P603">
        <f>IF($A603="","",COUNTIFS('Таблиця 1'!$B:$B,$A603,'Таблиця 1'!$I:$I,"Mi-8",'Таблиця 1'!$L:$L,"НЕ уражено")+COUNTIFS('Таблиця 1'!$B:$B,$A603,'Таблиця 1'!$I:$I,"Mi-24",'Таблиця 1'!$L:$L,"НЕ уражено"))</f>
        <v/>
      </c>
    </row>
    <row r="604">
      <c r="A604" s="273">
        <f>IF(A603="","",IF(A603+1&gt;MAX('Таблиця 1'!$B:$B),"",A603+1))</f>
        <v/>
      </c>
      <c r="B604">
        <f>IF($A604="","",COUNTIFS('Таблиця 1'!$B:$B,$A604,'Таблиця 1'!$I:$I,"Mi-8")+COUNTIFS('Таблиця 1'!$B:$B,$A604,'Таблиця 1'!$I:$I,"Mi-24"))</f>
        <v/>
      </c>
      <c r="C604">
        <f>IF($A604="","",COUNTIFS('Таблиця 1'!$B:$B,$A604,'Таблиця 1'!$I:$I,"Mi-8"))</f>
        <v/>
      </c>
      <c r="D604">
        <f>IF($A604="","",COUNTIFS('Таблиця 1'!$B:$B,$A604,'Таблиця 1'!$I:$I,"Mi-24"))</f>
        <v/>
      </c>
      <c r="E604">
        <f>IF($A604="","",SUMIFS('Таблиця 1'!$K:$K,'Таблиця 1'!$B:$B,$A604,'Таблиця 1'!$I:$I,"Mi-8",'Таблиця 1'!$J:$J,"ARS-8")+SUMIFS('Таблиця 1'!$K:$K,'Таблиця 1'!$B:$B,$A604,'Таблиця 1'!$I:$I,"Mi-24",'Таблиця 1'!$J:$J,"ARS-8"))</f>
        <v/>
      </c>
      <c r="F604">
        <f>IF($A604="","",SUMIFS('Таблиця 1'!$K:$K,'Таблиця 1'!$B:$B,$A604,'Таблиця 1'!$I:$I,"Mi-8",'Таблиця 1'!$J:$J,"С-8 ком")+SUMIFS('Таблиця 1'!$K:$K,'Таблиця 1'!$B:$B,$A604,'Таблиця 1'!$I:$I,"Mi-24",'Таблиця 1'!$J:$J,"С-8 ком"))</f>
        <v/>
      </c>
      <c r="G604">
        <f>IF($A604="","",SUMIFS('Таблиця 1'!$K:$K,'Таблиця 1'!$B:$B,$A604,'Таблиця 1'!$I:$I,"Mi-8",'Таблиця 1'!$J:$J,"PC-80")+SUMIFS('Таблиця 1'!$K:$K,'Таблиця 1'!$B:$B,$A604,'Таблиця 1'!$I:$I,"Mi-24",'Таблиця 1'!$J:$J,"PC-80"))</f>
        <v/>
      </c>
      <c r="H604">
        <f>IF($A604="","",SUMIFS('Таблиця 1'!$K:$K,'Таблиця 1'!$B:$B,$A604,'Таблиця 1'!$I:$I,"Mi-8",'Таблиця 1'!$J:$J,"UAR-80")+SUMIFS('Таблиця 1'!$K:$K,'Таблиця 1'!$B:$B,$A604,'Таблиця 1'!$I:$I,"Mi-24",'Таблиця 1'!$J:$J,"UAR-80"))</f>
        <v/>
      </c>
      <c r="I604">
        <f>IF($A604="","",SUMIFS('Таблиця 1'!$K:$K,'Таблиця 1'!$B:$B,$A604,'Таблиця 1'!$I:$I,"Mi-8",'Таблиця 1'!$J:$J,"C-13")+SUMIFS('Таблиця 1'!$K:$K,'Таблиця 1'!$B:$B,$A604,'Таблиця 1'!$I:$I,"Mi-24",'Таблиця 1'!$J:$J,"C-13"))</f>
        <v/>
      </c>
      <c r="J604">
        <f>IF($A604="","",SUMIFS('Таблиця 1'!$K:$K,'Таблиця 1'!$B:$B,$A604,'Таблиця 1'!$I:$I,"Mi-8",'Таблиця 1'!$J:$J,"Hydra-70")+SUMIFS('Таблиця 1'!$K:$K,'Таблиця 1'!$B:$B,$A604,'Таблиця 1'!$I:$I,"Mi-24",'Таблиця 1'!$J:$J,"Hydra-70"))</f>
        <v/>
      </c>
      <c r="K604">
        <f>IF($A604="","",SUMIFS('Таблиця 1'!$K:$K,'Таблиця 1'!$B:$B,$A604,'Таблиця 1'!$I:$I,"Mi-8",'Таблиця 1'!$J:$J,"Thales-70")+SUMIFS('Таблиця 1'!$K:$K,'Таблиця 1'!$B:$B,$A604,'Таблиця 1'!$I:$I,"Mi-24",'Таблиця 1'!$J:$J,"Thales-70"))</f>
        <v/>
      </c>
      <c r="L604">
        <f>IF($A604="","",SUMIFS('Таблиця 1'!$K:$K,'Таблиця 1'!$B:$B,$A604,'Таблиця 1'!$I:$I,"Mi-8",'Таблиця 1'!$J:$J,"Thales-FZ")+SUMIFS('Таблиця 1'!$K:$K,'Таблиця 1'!$B:$B,$A604,'Таблиця 1'!$I:$I,"Mi-24",'Таблиця 1'!$J:$J,"Thales-FZ"))</f>
        <v/>
      </c>
      <c r="M604">
        <f>IF($A604="","",SUMIFS('Таблиця 1'!$K:$K,'Таблиця 1'!$B:$B,$A604,'Таблиця 1'!$I:$I,"Mi-8",'Таблиця 1'!$J:$J,"МК-40")+SUMIFS('Таблиця 1'!$K:$K,'Таблиця 1'!$B:$B,$A604,'Таблиця 1'!$I:$I,"Mi-24",'Таблиця 1'!$J:$J,"МК-40"))</f>
        <v/>
      </c>
      <c r="N604">
        <f>IF($A604="","",SUMIFS('Таблиця 1'!$K:$K,'Таблиця 1'!$B:$B,$A604,'Таблиця 1'!$I:$I,"Mi-8",'Таблиця 1'!$J:$J,"Zuni")+SUMIFS('Таблиця 1'!$K:$K,'Таблиця 1'!$B:$B,$A604,'Таблиця 1'!$I:$I,"Mi-24",'Таблиця 1'!$J:$J,"Zuni"))</f>
        <v/>
      </c>
      <c r="O604">
        <f>IF($A604="","",COUNTIFS('Таблиця 1'!$B:$B,$A604,'Таблиця 1'!$I:$I,"Mi-8",'Таблиця 1'!$L:$L,"Уражено")+COUNTIFS('Таблиця 1'!$B:$B,$A604,'Таблиця 1'!$I:$I,"Mi-24",'Таблиця 1'!$L:$L,"Уражено"))</f>
        <v/>
      </c>
      <c r="P604">
        <f>IF($A604="","",COUNTIFS('Таблиця 1'!$B:$B,$A604,'Таблиця 1'!$I:$I,"Mi-8",'Таблиця 1'!$L:$L,"НЕ уражено")+COUNTIFS('Таблиця 1'!$B:$B,$A604,'Таблиця 1'!$I:$I,"Mi-24",'Таблиця 1'!$L:$L,"НЕ уражено"))</f>
        <v/>
      </c>
    </row>
    <row r="605">
      <c r="A605" s="273">
        <f>IF(A604="","",IF(A604+1&gt;MAX('Таблиця 1'!$B:$B),"",A604+1))</f>
        <v/>
      </c>
      <c r="B605">
        <f>IF($A605="","",COUNTIFS('Таблиця 1'!$B:$B,$A605,'Таблиця 1'!$I:$I,"Mi-8")+COUNTIFS('Таблиця 1'!$B:$B,$A605,'Таблиця 1'!$I:$I,"Mi-24"))</f>
        <v/>
      </c>
      <c r="C605">
        <f>IF($A605="","",COUNTIFS('Таблиця 1'!$B:$B,$A605,'Таблиця 1'!$I:$I,"Mi-8"))</f>
        <v/>
      </c>
      <c r="D605">
        <f>IF($A605="","",COUNTIFS('Таблиця 1'!$B:$B,$A605,'Таблиця 1'!$I:$I,"Mi-24"))</f>
        <v/>
      </c>
      <c r="E605">
        <f>IF($A605="","",SUMIFS('Таблиця 1'!$K:$K,'Таблиця 1'!$B:$B,$A605,'Таблиця 1'!$I:$I,"Mi-8",'Таблиця 1'!$J:$J,"ARS-8")+SUMIFS('Таблиця 1'!$K:$K,'Таблиця 1'!$B:$B,$A605,'Таблиця 1'!$I:$I,"Mi-24",'Таблиця 1'!$J:$J,"ARS-8"))</f>
        <v/>
      </c>
      <c r="F605">
        <f>IF($A605="","",SUMIFS('Таблиця 1'!$K:$K,'Таблиця 1'!$B:$B,$A605,'Таблиця 1'!$I:$I,"Mi-8",'Таблиця 1'!$J:$J,"С-8 ком")+SUMIFS('Таблиця 1'!$K:$K,'Таблиця 1'!$B:$B,$A605,'Таблиця 1'!$I:$I,"Mi-24",'Таблиця 1'!$J:$J,"С-8 ком"))</f>
        <v/>
      </c>
      <c r="G605">
        <f>IF($A605="","",SUMIFS('Таблиця 1'!$K:$K,'Таблиця 1'!$B:$B,$A605,'Таблиця 1'!$I:$I,"Mi-8",'Таблиця 1'!$J:$J,"PC-80")+SUMIFS('Таблиця 1'!$K:$K,'Таблиця 1'!$B:$B,$A605,'Таблиця 1'!$I:$I,"Mi-24",'Таблиця 1'!$J:$J,"PC-80"))</f>
        <v/>
      </c>
      <c r="H605">
        <f>IF($A605="","",SUMIFS('Таблиця 1'!$K:$K,'Таблиця 1'!$B:$B,$A605,'Таблиця 1'!$I:$I,"Mi-8",'Таблиця 1'!$J:$J,"UAR-80")+SUMIFS('Таблиця 1'!$K:$K,'Таблиця 1'!$B:$B,$A605,'Таблиця 1'!$I:$I,"Mi-24",'Таблиця 1'!$J:$J,"UAR-80"))</f>
        <v/>
      </c>
      <c r="I605">
        <f>IF($A605="","",SUMIFS('Таблиця 1'!$K:$K,'Таблиця 1'!$B:$B,$A605,'Таблиця 1'!$I:$I,"Mi-8",'Таблиця 1'!$J:$J,"C-13")+SUMIFS('Таблиця 1'!$K:$K,'Таблиця 1'!$B:$B,$A605,'Таблиця 1'!$I:$I,"Mi-24",'Таблиця 1'!$J:$J,"C-13"))</f>
        <v/>
      </c>
      <c r="J605">
        <f>IF($A605="","",SUMIFS('Таблиця 1'!$K:$K,'Таблиця 1'!$B:$B,$A605,'Таблиця 1'!$I:$I,"Mi-8",'Таблиця 1'!$J:$J,"Hydra-70")+SUMIFS('Таблиця 1'!$K:$K,'Таблиця 1'!$B:$B,$A605,'Таблиця 1'!$I:$I,"Mi-24",'Таблиця 1'!$J:$J,"Hydra-70"))</f>
        <v/>
      </c>
      <c r="K605">
        <f>IF($A605="","",SUMIFS('Таблиця 1'!$K:$K,'Таблиця 1'!$B:$B,$A605,'Таблиця 1'!$I:$I,"Mi-8",'Таблиця 1'!$J:$J,"Thales-70")+SUMIFS('Таблиця 1'!$K:$K,'Таблиця 1'!$B:$B,$A605,'Таблиця 1'!$I:$I,"Mi-24",'Таблиця 1'!$J:$J,"Thales-70"))</f>
        <v/>
      </c>
      <c r="L605">
        <f>IF($A605="","",SUMIFS('Таблиця 1'!$K:$K,'Таблиця 1'!$B:$B,$A605,'Таблиця 1'!$I:$I,"Mi-8",'Таблиця 1'!$J:$J,"Thales-FZ")+SUMIFS('Таблиця 1'!$K:$K,'Таблиця 1'!$B:$B,$A605,'Таблиця 1'!$I:$I,"Mi-24",'Таблиця 1'!$J:$J,"Thales-FZ"))</f>
        <v/>
      </c>
      <c r="M605">
        <f>IF($A605="","",SUMIFS('Таблиця 1'!$K:$K,'Таблиця 1'!$B:$B,$A605,'Таблиця 1'!$I:$I,"Mi-8",'Таблиця 1'!$J:$J,"МК-40")+SUMIFS('Таблиця 1'!$K:$K,'Таблиця 1'!$B:$B,$A605,'Таблиця 1'!$I:$I,"Mi-24",'Таблиця 1'!$J:$J,"МК-40"))</f>
        <v/>
      </c>
      <c r="N605">
        <f>IF($A605="","",SUMIFS('Таблиця 1'!$K:$K,'Таблиця 1'!$B:$B,$A605,'Таблиця 1'!$I:$I,"Mi-8",'Таблиця 1'!$J:$J,"Zuni")+SUMIFS('Таблиця 1'!$K:$K,'Таблиця 1'!$B:$B,$A605,'Таблиця 1'!$I:$I,"Mi-24",'Таблиця 1'!$J:$J,"Zuni"))</f>
        <v/>
      </c>
      <c r="O605">
        <f>IF($A605="","",COUNTIFS('Таблиця 1'!$B:$B,$A605,'Таблиця 1'!$I:$I,"Mi-8",'Таблиця 1'!$L:$L,"Уражено")+COUNTIFS('Таблиця 1'!$B:$B,$A605,'Таблиця 1'!$I:$I,"Mi-24",'Таблиця 1'!$L:$L,"Уражено"))</f>
        <v/>
      </c>
      <c r="P605">
        <f>IF($A605="","",COUNTIFS('Таблиця 1'!$B:$B,$A605,'Таблиця 1'!$I:$I,"Mi-8",'Таблиця 1'!$L:$L,"НЕ уражено")+COUNTIFS('Таблиця 1'!$B:$B,$A605,'Таблиця 1'!$I:$I,"Mi-24",'Таблиця 1'!$L:$L,"НЕ уражено"))</f>
        <v/>
      </c>
    </row>
    <row r="606">
      <c r="A606" s="273">
        <f>IF(A605="","",IF(A605+1&gt;MAX('Таблиця 1'!$B:$B),"",A605+1))</f>
        <v/>
      </c>
      <c r="B606">
        <f>IF($A606="","",COUNTIFS('Таблиця 1'!$B:$B,$A606,'Таблиця 1'!$I:$I,"Mi-8")+COUNTIFS('Таблиця 1'!$B:$B,$A606,'Таблиця 1'!$I:$I,"Mi-24"))</f>
        <v/>
      </c>
      <c r="C606">
        <f>IF($A606="","",COUNTIFS('Таблиця 1'!$B:$B,$A606,'Таблиця 1'!$I:$I,"Mi-8"))</f>
        <v/>
      </c>
      <c r="D606">
        <f>IF($A606="","",COUNTIFS('Таблиця 1'!$B:$B,$A606,'Таблиця 1'!$I:$I,"Mi-24"))</f>
        <v/>
      </c>
      <c r="E606">
        <f>IF($A606="","",SUMIFS('Таблиця 1'!$K:$K,'Таблиця 1'!$B:$B,$A606,'Таблиця 1'!$I:$I,"Mi-8",'Таблиця 1'!$J:$J,"ARS-8")+SUMIFS('Таблиця 1'!$K:$K,'Таблиця 1'!$B:$B,$A606,'Таблиця 1'!$I:$I,"Mi-24",'Таблиця 1'!$J:$J,"ARS-8"))</f>
        <v/>
      </c>
      <c r="F606">
        <f>IF($A606="","",SUMIFS('Таблиця 1'!$K:$K,'Таблиця 1'!$B:$B,$A606,'Таблиця 1'!$I:$I,"Mi-8",'Таблиця 1'!$J:$J,"С-8 ком")+SUMIFS('Таблиця 1'!$K:$K,'Таблиця 1'!$B:$B,$A606,'Таблиця 1'!$I:$I,"Mi-24",'Таблиця 1'!$J:$J,"С-8 ком"))</f>
        <v/>
      </c>
      <c r="G606">
        <f>IF($A606="","",SUMIFS('Таблиця 1'!$K:$K,'Таблиця 1'!$B:$B,$A606,'Таблиця 1'!$I:$I,"Mi-8",'Таблиця 1'!$J:$J,"PC-80")+SUMIFS('Таблиця 1'!$K:$K,'Таблиця 1'!$B:$B,$A606,'Таблиця 1'!$I:$I,"Mi-24",'Таблиця 1'!$J:$J,"PC-80"))</f>
        <v/>
      </c>
      <c r="H606">
        <f>IF($A606="","",SUMIFS('Таблиця 1'!$K:$K,'Таблиця 1'!$B:$B,$A606,'Таблиця 1'!$I:$I,"Mi-8",'Таблиця 1'!$J:$J,"UAR-80")+SUMIFS('Таблиця 1'!$K:$K,'Таблиця 1'!$B:$B,$A606,'Таблиця 1'!$I:$I,"Mi-24",'Таблиця 1'!$J:$J,"UAR-80"))</f>
        <v/>
      </c>
      <c r="I606">
        <f>IF($A606="","",SUMIFS('Таблиця 1'!$K:$K,'Таблиця 1'!$B:$B,$A606,'Таблиця 1'!$I:$I,"Mi-8",'Таблиця 1'!$J:$J,"C-13")+SUMIFS('Таблиця 1'!$K:$K,'Таблиця 1'!$B:$B,$A606,'Таблиця 1'!$I:$I,"Mi-24",'Таблиця 1'!$J:$J,"C-13"))</f>
        <v/>
      </c>
      <c r="J606">
        <f>IF($A606="","",SUMIFS('Таблиця 1'!$K:$K,'Таблиця 1'!$B:$B,$A606,'Таблиця 1'!$I:$I,"Mi-8",'Таблиця 1'!$J:$J,"Hydra-70")+SUMIFS('Таблиця 1'!$K:$K,'Таблиця 1'!$B:$B,$A606,'Таблиця 1'!$I:$I,"Mi-24",'Таблиця 1'!$J:$J,"Hydra-70"))</f>
        <v/>
      </c>
      <c r="K606">
        <f>IF($A606="","",SUMIFS('Таблиця 1'!$K:$K,'Таблиця 1'!$B:$B,$A606,'Таблиця 1'!$I:$I,"Mi-8",'Таблиця 1'!$J:$J,"Thales-70")+SUMIFS('Таблиця 1'!$K:$K,'Таблиця 1'!$B:$B,$A606,'Таблиця 1'!$I:$I,"Mi-24",'Таблиця 1'!$J:$J,"Thales-70"))</f>
        <v/>
      </c>
      <c r="L606">
        <f>IF($A606="","",SUMIFS('Таблиця 1'!$K:$K,'Таблиця 1'!$B:$B,$A606,'Таблиця 1'!$I:$I,"Mi-8",'Таблиця 1'!$J:$J,"Thales-FZ")+SUMIFS('Таблиця 1'!$K:$K,'Таблиця 1'!$B:$B,$A606,'Таблиця 1'!$I:$I,"Mi-24",'Таблиця 1'!$J:$J,"Thales-FZ"))</f>
        <v/>
      </c>
      <c r="M606">
        <f>IF($A606="","",SUMIFS('Таблиця 1'!$K:$K,'Таблиця 1'!$B:$B,$A606,'Таблиця 1'!$I:$I,"Mi-8",'Таблиця 1'!$J:$J,"МК-40")+SUMIFS('Таблиця 1'!$K:$K,'Таблиця 1'!$B:$B,$A606,'Таблиця 1'!$I:$I,"Mi-24",'Таблиця 1'!$J:$J,"МК-40"))</f>
        <v/>
      </c>
      <c r="N606">
        <f>IF($A606="","",SUMIFS('Таблиця 1'!$K:$K,'Таблиця 1'!$B:$B,$A606,'Таблиця 1'!$I:$I,"Mi-8",'Таблиця 1'!$J:$J,"Zuni")+SUMIFS('Таблиця 1'!$K:$K,'Таблиця 1'!$B:$B,$A606,'Таблиця 1'!$I:$I,"Mi-24",'Таблиця 1'!$J:$J,"Zuni"))</f>
        <v/>
      </c>
      <c r="O606">
        <f>IF($A606="","",COUNTIFS('Таблиця 1'!$B:$B,$A606,'Таблиця 1'!$I:$I,"Mi-8",'Таблиця 1'!$L:$L,"Уражено")+COUNTIFS('Таблиця 1'!$B:$B,$A606,'Таблиця 1'!$I:$I,"Mi-24",'Таблиця 1'!$L:$L,"Уражено"))</f>
        <v/>
      </c>
      <c r="P606">
        <f>IF($A606="","",COUNTIFS('Таблиця 1'!$B:$B,$A606,'Таблиця 1'!$I:$I,"Mi-8",'Таблиця 1'!$L:$L,"НЕ уражено")+COUNTIFS('Таблиця 1'!$B:$B,$A606,'Таблиця 1'!$I:$I,"Mi-24",'Таблиця 1'!$L:$L,"НЕ уражено"))</f>
        <v/>
      </c>
    </row>
    <row r="607">
      <c r="A607" s="273">
        <f>IF(A606="","",IF(A606+1&gt;MAX('Таблиця 1'!$B:$B),"",A606+1))</f>
        <v/>
      </c>
      <c r="B607">
        <f>IF($A607="","",COUNTIFS('Таблиця 1'!$B:$B,$A607,'Таблиця 1'!$I:$I,"Mi-8")+COUNTIFS('Таблиця 1'!$B:$B,$A607,'Таблиця 1'!$I:$I,"Mi-24"))</f>
        <v/>
      </c>
      <c r="C607">
        <f>IF($A607="","",COUNTIFS('Таблиця 1'!$B:$B,$A607,'Таблиця 1'!$I:$I,"Mi-8"))</f>
        <v/>
      </c>
      <c r="D607">
        <f>IF($A607="","",COUNTIFS('Таблиця 1'!$B:$B,$A607,'Таблиця 1'!$I:$I,"Mi-24"))</f>
        <v/>
      </c>
      <c r="E607">
        <f>IF($A607="","",SUMIFS('Таблиця 1'!$K:$K,'Таблиця 1'!$B:$B,$A607,'Таблиця 1'!$I:$I,"Mi-8",'Таблиця 1'!$J:$J,"ARS-8")+SUMIFS('Таблиця 1'!$K:$K,'Таблиця 1'!$B:$B,$A607,'Таблиця 1'!$I:$I,"Mi-24",'Таблиця 1'!$J:$J,"ARS-8"))</f>
        <v/>
      </c>
      <c r="F607">
        <f>IF($A607="","",SUMIFS('Таблиця 1'!$K:$K,'Таблиця 1'!$B:$B,$A607,'Таблиця 1'!$I:$I,"Mi-8",'Таблиця 1'!$J:$J,"С-8 ком")+SUMIFS('Таблиця 1'!$K:$K,'Таблиця 1'!$B:$B,$A607,'Таблиця 1'!$I:$I,"Mi-24",'Таблиця 1'!$J:$J,"С-8 ком"))</f>
        <v/>
      </c>
      <c r="G607">
        <f>IF($A607="","",SUMIFS('Таблиця 1'!$K:$K,'Таблиця 1'!$B:$B,$A607,'Таблиця 1'!$I:$I,"Mi-8",'Таблиця 1'!$J:$J,"PC-80")+SUMIFS('Таблиця 1'!$K:$K,'Таблиця 1'!$B:$B,$A607,'Таблиця 1'!$I:$I,"Mi-24",'Таблиця 1'!$J:$J,"PC-80"))</f>
        <v/>
      </c>
      <c r="H607">
        <f>IF($A607="","",SUMIFS('Таблиця 1'!$K:$K,'Таблиця 1'!$B:$B,$A607,'Таблиця 1'!$I:$I,"Mi-8",'Таблиця 1'!$J:$J,"UAR-80")+SUMIFS('Таблиця 1'!$K:$K,'Таблиця 1'!$B:$B,$A607,'Таблиця 1'!$I:$I,"Mi-24",'Таблиця 1'!$J:$J,"UAR-80"))</f>
        <v/>
      </c>
      <c r="I607">
        <f>IF($A607="","",SUMIFS('Таблиця 1'!$K:$K,'Таблиця 1'!$B:$B,$A607,'Таблиця 1'!$I:$I,"Mi-8",'Таблиця 1'!$J:$J,"C-13")+SUMIFS('Таблиця 1'!$K:$K,'Таблиця 1'!$B:$B,$A607,'Таблиця 1'!$I:$I,"Mi-24",'Таблиця 1'!$J:$J,"C-13"))</f>
        <v/>
      </c>
      <c r="J607">
        <f>IF($A607="","",SUMIFS('Таблиця 1'!$K:$K,'Таблиця 1'!$B:$B,$A607,'Таблиця 1'!$I:$I,"Mi-8",'Таблиця 1'!$J:$J,"Hydra-70")+SUMIFS('Таблиця 1'!$K:$K,'Таблиця 1'!$B:$B,$A607,'Таблиця 1'!$I:$I,"Mi-24",'Таблиця 1'!$J:$J,"Hydra-70"))</f>
        <v/>
      </c>
      <c r="K607">
        <f>IF($A607="","",SUMIFS('Таблиця 1'!$K:$K,'Таблиця 1'!$B:$B,$A607,'Таблиця 1'!$I:$I,"Mi-8",'Таблиця 1'!$J:$J,"Thales-70")+SUMIFS('Таблиця 1'!$K:$K,'Таблиця 1'!$B:$B,$A607,'Таблиця 1'!$I:$I,"Mi-24",'Таблиця 1'!$J:$J,"Thales-70"))</f>
        <v/>
      </c>
      <c r="L607">
        <f>IF($A607="","",SUMIFS('Таблиця 1'!$K:$K,'Таблиця 1'!$B:$B,$A607,'Таблиця 1'!$I:$I,"Mi-8",'Таблиця 1'!$J:$J,"Thales-FZ")+SUMIFS('Таблиця 1'!$K:$K,'Таблиця 1'!$B:$B,$A607,'Таблиця 1'!$I:$I,"Mi-24",'Таблиця 1'!$J:$J,"Thales-FZ"))</f>
        <v/>
      </c>
      <c r="M607">
        <f>IF($A607="","",SUMIFS('Таблиця 1'!$K:$K,'Таблиця 1'!$B:$B,$A607,'Таблиця 1'!$I:$I,"Mi-8",'Таблиця 1'!$J:$J,"МК-40")+SUMIFS('Таблиця 1'!$K:$K,'Таблиця 1'!$B:$B,$A607,'Таблиця 1'!$I:$I,"Mi-24",'Таблиця 1'!$J:$J,"МК-40"))</f>
        <v/>
      </c>
      <c r="N607">
        <f>IF($A607="","",SUMIFS('Таблиця 1'!$K:$K,'Таблиця 1'!$B:$B,$A607,'Таблиця 1'!$I:$I,"Mi-8",'Таблиця 1'!$J:$J,"Zuni")+SUMIFS('Таблиця 1'!$K:$K,'Таблиця 1'!$B:$B,$A607,'Таблиця 1'!$I:$I,"Mi-24",'Таблиця 1'!$J:$J,"Zuni"))</f>
        <v/>
      </c>
      <c r="O607">
        <f>IF($A607="","",COUNTIFS('Таблиця 1'!$B:$B,$A607,'Таблиця 1'!$I:$I,"Mi-8",'Таблиця 1'!$L:$L,"Уражено")+COUNTIFS('Таблиця 1'!$B:$B,$A607,'Таблиця 1'!$I:$I,"Mi-24",'Таблиця 1'!$L:$L,"Уражено"))</f>
        <v/>
      </c>
      <c r="P607">
        <f>IF($A607="","",COUNTIFS('Таблиця 1'!$B:$B,$A607,'Таблиця 1'!$I:$I,"Mi-8",'Таблиця 1'!$L:$L,"НЕ уражено")+COUNTIFS('Таблиця 1'!$B:$B,$A607,'Таблиця 1'!$I:$I,"Mi-24",'Таблиця 1'!$L:$L,"НЕ уражено"))</f>
        <v/>
      </c>
    </row>
    <row r="608">
      <c r="A608" s="273">
        <f>IF(A607="","",IF(A607+1&gt;MAX('Таблиця 1'!$B:$B),"",A607+1))</f>
        <v/>
      </c>
      <c r="B608">
        <f>IF($A608="","",COUNTIFS('Таблиця 1'!$B:$B,$A608,'Таблиця 1'!$I:$I,"Mi-8")+COUNTIFS('Таблиця 1'!$B:$B,$A608,'Таблиця 1'!$I:$I,"Mi-24"))</f>
        <v/>
      </c>
      <c r="C608">
        <f>IF($A608="","",COUNTIFS('Таблиця 1'!$B:$B,$A608,'Таблиця 1'!$I:$I,"Mi-8"))</f>
        <v/>
      </c>
      <c r="D608">
        <f>IF($A608="","",COUNTIFS('Таблиця 1'!$B:$B,$A608,'Таблиця 1'!$I:$I,"Mi-24"))</f>
        <v/>
      </c>
      <c r="E608">
        <f>IF($A608="","",SUMIFS('Таблиця 1'!$K:$K,'Таблиця 1'!$B:$B,$A608,'Таблиця 1'!$I:$I,"Mi-8",'Таблиця 1'!$J:$J,"ARS-8")+SUMIFS('Таблиця 1'!$K:$K,'Таблиця 1'!$B:$B,$A608,'Таблиця 1'!$I:$I,"Mi-24",'Таблиця 1'!$J:$J,"ARS-8"))</f>
        <v/>
      </c>
      <c r="F608">
        <f>IF($A608="","",SUMIFS('Таблиця 1'!$K:$K,'Таблиця 1'!$B:$B,$A608,'Таблиця 1'!$I:$I,"Mi-8",'Таблиця 1'!$J:$J,"С-8 ком")+SUMIFS('Таблиця 1'!$K:$K,'Таблиця 1'!$B:$B,$A608,'Таблиця 1'!$I:$I,"Mi-24",'Таблиця 1'!$J:$J,"С-8 ком"))</f>
        <v/>
      </c>
      <c r="G608">
        <f>IF($A608="","",SUMIFS('Таблиця 1'!$K:$K,'Таблиця 1'!$B:$B,$A608,'Таблиця 1'!$I:$I,"Mi-8",'Таблиця 1'!$J:$J,"PC-80")+SUMIFS('Таблиця 1'!$K:$K,'Таблиця 1'!$B:$B,$A608,'Таблиця 1'!$I:$I,"Mi-24",'Таблиця 1'!$J:$J,"PC-80"))</f>
        <v/>
      </c>
      <c r="H608">
        <f>IF($A608="","",SUMIFS('Таблиця 1'!$K:$K,'Таблиця 1'!$B:$B,$A608,'Таблиця 1'!$I:$I,"Mi-8",'Таблиця 1'!$J:$J,"UAR-80")+SUMIFS('Таблиця 1'!$K:$K,'Таблиця 1'!$B:$B,$A608,'Таблиця 1'!$I:$I,"Mi-24",'Таблиця 1'!$J:$J,"UAR-80"))</f>
        <v/>
      </c>
      <c r="I608">
        <f>IF($A608="","",SUMIFS('Таблиця 1'!$K:$K,'Таблиця 1'!$B:$B,$A608,'Таблиця 1'!$I:$I,"Mi-8",'Таблиця 1'!$J:$J,"C-13")+SUMIFS('Таблиця 1'!$K:$K,'Таблиця 1'!$B:$B,$A608,'Таблиця 1'!$I:$I,"Mi-24",'Таблиця 1'!$J:$J,"C-13"))</f>
        <v/>
      </c>
      <c r="J608">
        <f>IF($A608="","",SUMIFS('Таблиця 1'!$K:$K,'Таблиця 1'!$B:$B,$A608,'Таблиця 1'!$I:$I,"Mi-8",'Таблиця 1'!$J:$J,"Hydra-70")+SUMIFS('Таблиця 1'!$K:$K,'Таблиця 1'!$B:$B,$A608,'Таблиця 1'!$I:$I,"Mi-24",'Таблиця 1'!$J:$J,"Hydra-70"))</f>
        <v/>
      </c>
      <c r="K608">
        <f>IF($A608="","",SUMIFS('Таблиця 1'!$K:$K,'Таблиця 1'!$B:$B,$A608,'Таблиця 1'!$I:$I,"Mi-8",'Таблиця 1'!$J:$J,"Thales-70")+SUMIFS('Таблиця 1'!$K:$K,'Таблиця 1'!$B:$B,$A608,'Таблиця 1'!$I:$I,"Mi-24",'Таблиця 1'!$J:$J,"Thales-70"))</f>
        <v/>
      </c>
      <c r="L608">
        <f>IF($A608="","",SUMIFS('Таблиця 1'!$K:$K,'Таблиця 1'!$B:$B,$A608,'Таблиця 1'!$I:$I,"Mi-8",'Таблиця 1'!$J:$J,"Thales-FZ")+SUMIFS('Таблиця 1'!$K:$K,'Таблиця 1'!$B:$B,$A608,'Таблиця 1'!$I:$I,"Mi-24",'Таблиця 1'!$J:$J,"Thales-FZ"))</f>
        <v/>
      </c>
      <c r="M608">
        <f>IF($A608="","",SUMIFS('Таблиця 1'!$K:$K,'Таблиця 1'!$B:$B,$A608,'Таблиця 1'!$I:$I,"Mi-8",'Таблиця 1'!$J:$J,"МК-40")+SUMIFS('Таблиця 1'!$K:$K,'Таблиця 1'!$B:$B,$A608,'Таблиця 1'!$I:$I,"Mi-24",'Таблиця 1'!$J:$J,"МК-40"))</f>
        <v/>
      </c>
      <c r="N608">
        <f>IF($A608="","",SUMIFS('Таблиця 1'!$K:$K,'Таблиця 1'!$B:$B,$A608,'Таблиця 1'!$I:$I,"Mi-8",'Таблиця 1'!$J:$J,"Zuni")+SUMIFS('Таблиця 1'!$K:$K,'Таблиця 1'!$B:$B,$A608,'Таблиця 1'!$I:$I,"Mi-24",'Таблиця 1'!$J:$J,"Zuni"))</f>
        <v/>
      </c>
      <c r="O608">
        <f>IF($A608="","",COUNTIFS('Таблиця 1'!$B:$B,$A608,'Таблиця 1'!$I:$I,"Mi-8",'Таблиця 1'!$L:$L,"Уражено")+COUNTIFS('Таблиця 1'!$B:$B,$A608,'Таблиця 1'!$I:$I,"Mi-24",'Таблиця 1'!$L:$L,"Уражено"))</f>
        <v/>
      </c>
      <c r="P608">
        <f>IF($A608="","",COUNTIFS('Таблиця 1'!$B:$B,$A608,'Таблиця 1'!$I:$I,"Mi-8",'Таблиця 1'!$L:$L,"НЕ уражено")+COUNTIFS('Таблиця 1'!$B:$B,$A608,'Таблиця 1'!$I:$I,"Mi-24",'Таблиця 1'!$L:$L,"НЕ уражено"))</f>
        <v/>
      </c>
    </row>
    <row r="609">
      <c r="A609" s="273">
        <f>IF(A608="","",IF(A608+1&gt;MAX('Таблиця 1'!$B:$B),"",A608+1))</f>
        <v/>
      </c>
      <c r="B609">
        <f>IF($A609="","",COUNTIFS('Таблиця 1'!$B:$B,$A609,'Таблиця 1'!$I:$I,"Mi-8")+COUNTIFS('Таблиця 1'!$B:$B,$A609,'Таблиця 1'!$I:$I,"Mi-24"))</f>
        <v/>
      </c>
      <c r="C609">
        <f>IF($A609="","",COUNTIFS('Таблиця 1'!$B:$B,$A609,'Таблиця 1'!$I:$I,"Mi-8"))</f>
        <v/>
      </c>
      <c r="D609">
        <f>IF($A609="","",COUNTIFS('Таблиця 1'!$B:$B,$A609,'Таблиця 1'!$I:$I,"Mi-24"))</f>
        <v/>
      </c>
      <c r="E609">
        <f>IF($A609="","",SUMIFS('Таблиця 1'!$K:$K,'Таблиця 1'!$B:$B,$A609,'Таблиця 1'!$I:$I,"Mi-8",'Таблиця 1'!$J:$J,"ARS-8")+SUMIFS('Таблиця 1'!$K:$K,'Таблиця 1'!$B:$B,$A609,'Таблиця 1'!$I:$I,"Mi-24",'Таблиця 1'!$J:$J,"ARS-8"))</f>
        <v/>
      </c>
      <c r="F609">
        <f>IF($A609="","",SUMIFS('Таблиця 1'!$K:$K,'Таблиця 1'!$B:$B,$A609,'Таблиця 1'!$I:$I,"Mi-8",'Таблиця 1'!$J:$J,"С-8 ком")+SUMIFS('Таблиця 1'!$K:$K,'Таблиця 1'!$B:$B,$A609,'Таблиця 1'!$I:$I,"Mi-24",'Таблиця 1'!$J:$J,"С-8 ком"))</f>
        <v/>
      </c>
      <c r="G609">
        <f>IF($A609="","",SUMIFS('Таблиця 1'!$K:$K,'Таблиця 1'!$B:$B,$A609,'Таблиця 1'!$I:$I,"Mi-8",'Таблиця 1'!$J:$J,"PC-80")+SUMIFS('Таблиця 1'!$K:$K,'Таблиця 1'!$B:$B,$A609,'Таблиця 1'!$I:$I,"Mi-24",'Таблиця 1'!$J:$J,"PC-80"))</f>
        <v/>
      </c>
      <c r="H609">
        <f>IF($A609="","",SUMIFS('Таблиця 1'!$K:$K,'Таблиця 1'!$B:$B,$A609,'Таблиця 1'!$I:$I,"Mi-8",'Таблиця 1'!$J:$J,"UAR-80")+SUMIFS('Таблиця 1'!$K:$K,'Таблиця 1'!$B:$B,$A609,'Таблиця 1'!$I:$I,"Mi-24",'Таблиця 1'!$J:$J,"UAR-80"))</f>
        <v/>
      </c>
      <c r="I609">
        <f>IF($A609="","",SUMIFS('Таблиця 1'!$K:$K,'Таблиця 1'!$B:$B,$A609,'Таблиця 1'!$I:$I,"Mi-8",'Таблиця 1'!$J:$J,"C-13")+SUMIFS('Таблиця 1'!$K:$K,'Таблиця 1'!$B:$B,$A609,'Таблиця 1'!$I:$I,"Mi-24",'Таблиця 1'!$J:$J,"C-13"))</f>
        <v/>
      </c>
      <c r="J609">
        <f>IF($A609="","",SUMIFS('Таблиця 1'!$K:$K,'Таблиця 1'!$B:$B,$A609,'Таблиця 1'!$I:$I,"Mi-8",'Таблиця 1'!$J:$J,"Hydra-70")+SUMIFS('Таблиця 1'!$K:$K,'Таблиця 1'!$B:$B,$A609,'Таблиця 1'!$I:$I,"Mi-24",'Таблиця 1'!$J:$J,"Hydra-70"))</f>
        <v/>
      </c>
      <c r="K609">
        <f>IF($A609="","",SUMIFS('Таблиця 1'!$K:$K,'Таблиця 1'!$B:$B,$A609,'Таблиця 1'!$I:$I,"Mi-8",'Таблиця 1'!$J:$J,"Thales-70")+SUMIFS('Таблиця 1'!$K:$K,'Таблиця 1'!$B:$B,$A609,'Таблиця 1'!$I:$I,"Mi-24",'Таблиця 1'!$J:$J,"Thales-70"))</f>
        <v/>
      </c>
      <c r="L609">
        <f>IF($A609="","",SUMIFS('Таблиця 1'!$K:$K,'Таблиця 1'!$B:$B,$A609,'Таблиця 1'!$I:$I,"Mi-8",'Таблиця 1'!$J:$J,"Thales-FZ")+SUMIFS('Таблиця 1'!$K:$K,'Таблиця 1'!$B:$B,$A609,'Таблиця 1'!$I:$I,"Mi-24",'Таблиця 1'!$J:$J,"Thales-FZ"))</f>
        <v/>
      </c>
      <c r="M609">
        <f>IF($A609="","",SUMIFS('Таблиця 1'!$K:$K,'Таблиця 1'!$B:$B,$A609,'Таблиця 1'!$I:$I,"Mi-8",'Таблиця 1'!$J:$J,"МК-40")+SUMIFS('Таблиця 1'!$K:$K,'Таблиця 1'!$B:$B,$A609,'Таблиця 1'!$I:$I,"Mi-24",'Таблиця 1'!$J:$J,"МК-40"))</f>
        <v/>
      </c>
      <c r="N609">
        <f>IF($A609="","",SUMIFS('Таблиця 1'!$K:$K,'Таблиця 1'!$B:$B,$A609,'Таблиця 1'!$I:$I,"Mi-8",'Таблиця 1'!$J:$J,"Zuni")+SUMIFS('Таблиця 1'!$K:$K,'Таблиця 1'!$B:$B,$A609,'Таблиця 1'!$I:$I,"Mi-24",'Таблиця 1'!$J:$J,"Zuni"))</f>
        <v/>
      </c>
      <c r="O609">
        <f>IF($A609="","",COUNTIFS('Таблиця 1'!$B:$B,$A609,'Таблиця 1'!$I:$I,"Mi-8",'Таблиця 1'!$L:$L,"Уражено")+COUNTIFS('Таблиця 1'!$B:$B,$A609,'Таблиця 1'!$I:$I,"Mi-24",'Таблиця 1'!$L:$L,"Уражено"))</f>
        <v/>
      </c>
      <c r="P609">
        <f>IF($A609="","",COUNTIFS('Таблиця 1'!$B:$B,$A609,'Таблиця 1'!$I:$I,"Mi-8",'Таблиця 1'!$L:$L,"НЕ уражено")+COUNTIFS('Таблиця 1'!$B:$B,$A609,'Таблиця 1'!$I:$I,"Mi-24",'Таблиця 1'!$L:$L,"НЕ уражено"))</f>
        <v/>
      </c>
    </row>
    <row r="610">
      <c r="A610" s="273">
        <f>IF(A609="","",IF(A609+1&gt;MAX('Таблиця 1'!$B:$B),"",A609+1))</f>
        <v/>
      </c>
      <c r="B610">
        <f>IF($A610="","",COUNTIFS('Таблиця 1'!$B:$B,$A610,'Таблиця 1'!$I:$I,"Mi-8")+COUNTIFS('Таблиця 1'!$B:$B,$A610,'Таблиця 1'!$I:$I,"Mi-24"))</f>
        <v/>
      </c>
      <c r="C610">
        <f>IF($A610="","",COUNTIFS('Таблиця 1'!$B:$B,$A610,'Таблиця 1'!$I:$I,"Mi-8"))</f>
        <v/>
      </c>
      <c r="D610">
        <f>IF($A610="","",COUNTIFS('Таблиця 1'!$B:$B,$A610,'Таблиця 1'!$I:$I,"Mi-24"))</f>
        <v/>
      </c>
      <c r="E610">
        <f>IF($A610="","",SUMIFS('Таблиця 1'!$K:$K,'Таблиця 1'!$B:$B,$A610,'Таблиця 1'!$I:$I,"Mi-8",'Таблиця 1'!$J:$J,"ARS-8")+SUMIFS('Таблиця 1'!$K:$K,'Таблиця 1'!$B:$B,$A610,'Таблиця 1'!$I:$I,"Mi-24",'Таблиця 1'!$J:$J,"ARS-8"))</f>
        <v/>
      </c>
      <c r="F610">
        <f>IF($A610="","",SUMIFS('Таблиця 1'!$K:$K,'Таблиця 1'!$B:$B,$A610,'Таблиця 1'!$I:$I,"Mi-8",'Таблиця 1'!$J:$J,"С-8 ком")+SUMIFS('Таблиця 1'!$K:$K,'Таблиця 1'!$B:$B,$A610,'Таблиця 1'!$I:$I,"Mi-24",'Таблиця 1'!$J:$J,"С-8 ком"))</f>
        <v/>
      </c>
      <c r="G610">
        <f>IF($A610="","",SUMIFS('Таблиця 1'!$K:$K,'Таблиця 1'!$B:$B,$A610,'Таблиця 1'!$I:$I,"Mi-8",'Таблиця 1'!$J:$J,"PC-80")+SUMIFS('Таблиця 1'!$K:$K,'Таблиця 1'!$B:$B,$A610,'Таблиця 1'!$I:$I,"Mi-24",'Таблиця 1'!$J:$J,"PC-80"))</f>
        <v/>
      </c>
      <c r="H610">
        <f>IF($A610="","",SUMIFS('Таблиця 1'!$K:$K,'Таблиця 1'!$B:$B,$A610,'Таблиця 1'!$I:$I,"Mi-8",'Таблиця 1'!$J:$J,"UAR-80")+SUMIFS('Таблиця 1'!$K:$K,'Таблиця 1'!$B:$B,$A610,'Таблиця 1'!$I:$I,"Mi-24",'Таблиця 1'!$J:$J,"UAR-80"))</f>
        <v/>
      </c>
      <c r="I610">
        <f>IF($A610="","",SUMIFS('Таблиця 1'!$K:$K,'Таблиця 1'!$B:$B,$A610,'Таблиця 1'!$I:$I,"Mi-8",'Таблиця 1'!$J:$J,"C-13")+SUMIFS('Таблиця 1'!$K:$K,'Таблиця 1'!$B:$B,$A610,'Таблиця 1'!$I:$I,"Mi-24",'Таблиця 1'!$J:$J,"C-13"))</f>
        <v/>
      </c>
      <c r="J610">
        <f>IF($A610="","",SUMIFS('Таблиця 1'!$K:$K,'Таблиця 1'!$B:$B,$A610,'Таблиця 1'!$I:$I,"Mi-8",'Таблиця 1'!$J:$J,"Hydra-70")+SUMIFS('Таблиця 1'!$K:$K,'Таблиця 1'!$B:$B,$A610,'Таблиця 1'!$I:$I,"Mi-24",'Таблиця 1'!$J:$J,"Hydra-70"))</f>
        <v/>
      </c>
      <c r="K610">
        <f>IF($A610="","",SUMIFS('Таблиця 1'!$K:$K,'Таблиця 1'!$B:$B,$A610,'Таблиця 1'!$I:$I,"Mi-8",'Таблиця 1'!$J:$J,"Thales-70")+SUMIFS('Таблиця 1'!$K:$K,'Таблиця 1'!$B:$B,$A610,'Таблиця 1'!$I:$I,"Mi-24",'Таблиця 1'!$J:$J,"Thales-70"))</f>
        <v/>
      </c>
      <c r="L610">
        <f>IF($A610="","",SUMIFS('Таблиця 1'!$K:$K,'Таблиця 1'!$B:$B,$A610,'Таблиця 1'!$I:$I,"Mi-8",'Таблиця 1'!$J:$J,"Thales-FZ")+SUMIFS('Таблиця 1'!$K:$K,'Таблиця 1'!$B:$B,$A610,'Таблиця 1'!$I:$I,"Mi-24",'Таблиця 1'!$J:$J,"Thales-FZ"))</f>
        <v/>
      </c>
      <c r="M610">
        <f>IF($A610="","",SUMIFS('Таблиця 1'!$K:$K,'Таблиця 1'!$B:$B,$A610,'Таблиця 1'!$I:$I,"Mi-8",'Таблиця 1'!$J:$J,"МК-40")+SUMIFS('Таблиця 1'!$K:$K,'Таблиця 1'!$B:$B,$A610,'Таблиця 1'!$I:$I,"Mi-24",'Таблиця 1'!$J:$J,"МК-40"))</f>
        <v/>
      </c>
      <c r="N610">
        <f>IF($A610="","",SUMIFS('Таблиця 1'!$K:$K,'Таблиця 1'!$B:$B,$A610,'Таблиця 1'!$I:$I,"Mi-8",'Таблиця 1'!$J:$J,"Zuni")+SUMIFS('Таблиця 1'!$K:$K,'Таблиця 1'!$B:$B,$A610,'Таблиця 1'!$I:$I,"Mi-24",'Таблиця 1'!$J:$J,"Zuni"))</f>
        <v/>
      </c>
      <c r="O610">
        <f>IF($A610="","",COUNTIFS('Таблиця 1'!$B:$B,$A610,'Таблиця 1'!$I:$I,"Mi-8",'Таблиця 1'!$L:$L,"Уражено")+COUNTIFS('Таблиця 1'!$B:$B,$A610,'Таблиця 1'!$I:$I,"Mi-24",'Таблиця 1'!$L:$L,"Уражено"))</f>
        <v/>
      </c>
      <c r="P610">
        <f>IF($A610="","",COUNTIFS('Таблиця 1'!$B:$B,$A610,'Таблиця 1'!$I:$I,"Mi-8",'Таблиця 1'!$L:$L,"НЕ уражено")+COUNTIFS('Таблиця 1'!$B:$B,$A610,'Таблиця 1'!$I:$I,"Mi-24",'Таблиця 1'!$L:$L,"НЕ уражено"))</f>
        <v/>
      </c>
    </row>
    <row r="611">
      <c r="A611" s="273">
        <f>IF(A610="","",IF(A610+1&gt;MAX('Таблиця 1'!$B:$B),"",A610+1))</f>
        <v/>
      </c>
      <c r="B611">
        <f>IF($A611="","",COUNTIFS('Таблиця 1'!$B:$B,$A611,'Таблиця 1'!$I:$I,"Mi-8")+COUNTIFS('Таблиця 1'!$B:$B,$A611,'Таблиця 1'!$I:$I,"Mi-24"))</f>
        <v/>
      </c>
      <c r="C611">
        <f>IF($A611="","",COUNTIFS('Таблиця 1'!$B:$B,$A611,'Таблиця 1'!$I:$I,"Mi-8"))</f>
        <v/>
      </c>
      <c r="D611">
        <f>IF($A611="","",COUNTIFS('Таблиця 1'!$B:$B,$A611,'Таблиця 1'!$I:$I,"Mi-24"))</f>
        <v/>
      </c>
      <c r="E611">
        <f>IF($A611="","",SUMIFS('Таблиця 1'!$K:$K,'Таблиця 1'!$B:$B,$A611,'Таблиця 1'!$I:$I,"Mi-8",'Таблиця 1'!$J:$J,"ARS-8")+SUMIFS('Таблиця 1'!$K:$K,'Таблиця 1'!$B:$B,$A611,'Таблиця 1'!$I:$I,"Mi-24",'Таблиця 1'!$J:$J,"ARS-8"))</f>
        <v/>
      </c>
      <c r="F611">
        <f>IF($A611="","",SUMIFS('Таблиця 1'!$K:$K,'Таблиця 1'!$B:$B,$A611,'Таблиця 1'!$I:$I,"Mi-8",'Таблиця 1'!$J:$J,"С-8 ком")+SUMIFS('Таблиця 1'!$K:$K,'Таблиця 1'!$B:$B,$A611,'Таблиця 1'!$I:$I,"Mi-24",'Таблиця 1'!$J:$J,"С-8 ком"))</f>
        <v/>
      </c>
      <c r="G611">
        <f>IF($A611="","",SUMIFS('Таблиця 1'!$K:$K,'Таблиця 1'!$B:$B,$A611,'Таблиця 1'!$I:$I,"Mi-8",'Таблиця 1'!$J:$J,"PC-80")+SUMIFS('Таблиця 1'!$K:$K,'Таблиця 1'!$B:$B,$A611,'Таблиця 1'!$I:$I,"Mi-24",'Таблиця 1'!$J:$J,"PC-80"))</f>
        <v/>
      </c>
      <c r="H611">
        <f>IF($A611="","",SUMIFS('Таблиця 1'!$K:$K,'Таблиця 1'!$B:$B,$A611,'Таблиця 1'!$I:$I,"Mi-8",'Таблиця 1'!$J:$J,"UAR-80")+SUMIFS('Таблиця 1'!$K:$K,'Таблиця 1'!$B:$B,$A611,'Таблиця 1'!$I:$I,"Mi-24",'Таблиця 1'!$J:$J,"UAR-80"))</f>
        <v/>
      </c>
      <c r="I611">
        <f>IF($A611="","",SUMIFS('Таблиця 1'!$K:$K,'Таблиця 1'!$B:$B,$A611,'Таблиця 1'!$I:$I,"Mi-8",'Таблиця 1'!$J:$J,"C-13")+SUMIFS('Таблиця 1'!$K:$K,'Таблиця 1'!$B:$B,$A611,'Таблиця 1'!$I:$I,"Mi-24",'Таблиця 1'!$J:$J,"C-13"))</f>
        <v/>
      </c>
      <c r="J611">
        <f>IF($A611="","",SUMIFS('Таблиця 1'!$K:$K,'Таблиця 1'!$B:$B,$A611,'Таблиця 1'!$I:$I,"Mi-8",'Таблиця 1'!$J:$J,"Hydra-70")+SUMIFS('Таблиця 1'!$K:$K,'Таблиця 1'!$B:$B,$A611,'Таблиця 1'!$I:$I,"Mi-24",'Таблиця 1'!$J:$J,"Hydra-70"))</f>
        <v/>
      </c>
      <c r="K611">
        <f>IF($A611="","",SUMIFS('Таблиця 1'!$K:$K,'Таблиця 1'!$B:$B,$A611,'Таблиця 1'!$I:$I,"Mi-8",'Таблиця 1'!$J:$J,"Thales-70")+SUMIFS('Таблиця 1'!$K:$K,'Таблиця 1'!$B:$B,$A611,'Таблиця 1'!$I:$I,"Mi-24",'Таблиця 1'!$J:$J,"Thales-70"))</f>
        <v/>
      </c>
      <c r="L611">
        <f>IF($A611="","",SUMIFS('Таблиця 1'!$K:$K,'Таблиця 1'!$B:$B,$A611,'Таблиця 1'!$I:$I,"Mi-8",'Таблиця 1'!$J:$J,"Thales-FZ")+SUMIFS('Таблиця 1'!$K:$K,'Таблиця 1'!$B:$B,$A611,'Таблиця 1'!$I:$I,"Mi-24",'Таблиця 1'!$J:$J,"Thales-FZ"))</f>
        <v/>
      </c>
      <c r="M611">
        <f>IF($A611="","",SUMIFS('Таблиця 1'!$K:$K,'Таблиця 1'!$B:$B,$A611,'Таблиця 1'!$I:$I,"Mi-8",'Таблиця 1'!$J:$J,"МК-40")+SUMIFS('Таблиця 1'!$K:$K,'Таблиця 1'!$B:$B,$A611,'Таблиця 1'!$I:$I,"Mi-24",'Таблиця 1'!$J:$J,"МК-40"))</f>
        <v/>
      </c>
      <c r="N611">
        <f>IF($A611="","",SUMIFS('Таблиця 1'!$K:$K,'Таблиця 1'!$B:$B,$A611,'Таблиця 1'!$I:$I,"Mi-8",'Таблиця 1'!$J:$J,"Zuni")+SUMIFS('Таблиця 1'!$K:$K,'Таблиця 1'!$B:$B,$A611,'Таблиця 1'!$I:$I,"Mi-24",'Таблиця 1'!$J:$J,"Zuni"))</f>
        <v/>
      </c>
      <c r="O611">
        <f>IF($A611="","",COUNTIFS('Таблиця 1'!$B:$B,$A611,'Таблиця 1'!$I:$I,"Mi-8",'Таблиця 1'!$L:$L,"Уражено")+COUNTIFS('Таблиця 1'!$B:$B,$A611,'Таблиця 1'!$I:$I,"Mi-24",'Таблиця 1'!$L:$L,"Уражено"))</f>
        <v/>
      </c>
      <c r="P611">
        <f>IF($A611="","",COUNTIFS('Таблиця 1'!$B:$B,$A611,'Таблиця 1'!$I:$I,"Mi-8",'Таблиця 1'!$L:$L,"НЕ уражено")+COUNTIFS('Таблиця 1'!$B:$B,$A611,'Таблиця 1'!$I:$I,"Mi-24",'Таблиця 1'!$L:$L,"НЕ уражено"))</f>
        <v/>
      </c>
    </row>
    <row r="612">
      <c r="A612" s="273">
        <f>IF(A611="","",IF(A611+1&gt;MAX('Таблиця 1'!$B:$B),"",A611+1))</f>
        <v/>
      </c>
      <c r="B612">
        <f>IF($A612="","",COUNTIFS('Таблиця 1'!$B:$B,$A612,'Таблиця 1'!$I:$I,"Mi-8")+COUNTIFS('Таблиця 1'!$B:$B,$A612,'Таблиця 1'!$I:$I,"Mi-24"))</f>
        <v/>
      </c>
      <c r="C612">
        <f>IF($A612="","",COUNTIFS('Таблиця 1'!$B:$B,$A612,'Таблиця 1'!$I:$I,"Mi-8"))</f>
        <v/>
      </c>
      <c r="D612">
        <f>IF($A612="","",COUNTIFS('Таблиця 1'!$B:$B,$A612,'Таблиця 1'!$I:$I,"Mi-24"))</f>
        <v/>
      </c>
      <c r="E612">
        <f>IF($A612="","",SUMIFS('Таблиця 1'!$K:$K,'Таблиця 1'!$B:$B,$A612,'Таблиця 1'!$I:$I,"Mi-8",'Таблиця 1'!$J:$J,"ARS-8")+SUMIFS('Таблиця 1'!$K:$K,'Таблиця 1'!$B:$B,$A612,'Таблиця 1'!$I:$I,"Mi-24",'Таблиця 1'!$J:$J,"ARS-8"))</f>
        <v/>
      </c>
      <c r="F612">
        <f>IF($A612="","",SUMIFS('Таблиця 1'!$K:$K,'Таблиця 1'!$B:$B,$A612,'Таблиця 1'!$I:$I,"Mi-8",'Таблиця 1'!$J:$J,"С-8 ком")+SUMIFS('Таблиця 1'!$K:$K,'Таблиця 1'!$B:$B,$A612,'Таблиця 1'!$I:$I,"Mi-24",'Таблиця 1'!$J:$J,"С-8 ком"))</f>
        <v/>
      </c>
      <c r="G612">
        <f>IF($A612="","",SUMIFS('Таблиця 1'!$K:$K,'Таблиця 1'!$B:$B,$A612,'Таблиця 1'!$I:$I,"Mi-8",'Таблиця 1'!$J:$J,"PC-80")+SUMIFS('Таблиця 1'!$K:$K,'Таблиця 1'!$B:$B,$A612,'Таблиця 1'!$I:$I,"Mi-24",'Таблиця 1'!$J:$J,"PC-80"))</f>
        <v/>
      </c>
      <c r="H612">
        <f>IF($A612="","",SUMIFS('Таблиця 1'!$K:$K,'Таблиця 1'!$B:$B,$A612,'Таблиця 1'!$I:$I,"Mi-8",'Таблиця 1'!$J:$J,"UAR-80")+SUMIFS('Таблиця 1'!$K:$K,'Таблиця 1'!$B:$B,$A612,'Таблиця 1'!$I:$I,"Mi-24",'Таблиця 1'!$J:$J,"UAR-80"))</f>
        <v/>
      </c>
      <c r="I612">
        <f>IF($A612="","",SUMIFS('Таблиця 1'!$K:$K,'Таблиця 1'!$B:$B,$A612,'Таблиця 1'!$I:$I,"Mi-8",'Таблиця 1'!$J:$J,"C-13")+SUMIFS('Таблиця 1'!$K:$K,'Таблиця 1'!$B:$B,$A612,'Таблиця 1'!$I:$I,"Mi-24",'Таблиця 1'!$J:$J,"C-13"))</f>
        <v/>
      </c>
      <c r="J612">
        <f>IF($A612="","",SUMIFS('Таблиця 1'!$K:$K,'Таблиця 1'!$B:$B,$A612,'Таблиця 1'!$I:$I,"Mi-8",'Таблиця 1'!$J:$J,"Hydra-70")+SUMIFS('Таблиця 1'!$K:$K,'Таблиця 1'!$B:$B,$A612,'Таблиця 1'!$I:$I,"Mi-24",'Таблиця 1'!$J:$J,"Hydra-70"))</f>
        <v/>
      </c>
      <c r="K612">
        <f>IF($A612="","",SUMIFS('Таблиця 1'!$K:$K,'Таблиця 1'!$B:$B,$A612,'Таблиця 1'!$I:$I,"Mi-8",'Таблиця 1'!$J:$J,"Thales-70")+SUMIFS('Таблиця 1'!$K:$K,'Таблиця 1'!$B:$B,$A612,'Таблиця 1'!$I:$I,"Mi-24",'Таблиця 1'!$J:$J,"Thales-70"))</f>
        <v/>
      </c>
      <c r="L612">
        <f>IF($A612="","",SUMIFS('Таблиця 1'!$K:$K,'Таблиця 1'!$B:$B,$A612,'Таблиця 1'!$I:$I,"Mi-8",'Таблиця 1'!$J:$J,"Thales-FZ")+SUMIFS('Таблиця 1'!$K:$K,'Таблиця 1'!$B:$B,$A612,'Таблиця 1'!$I:$I,"Mi-24",'Таблиця 1'!$J:$J,"Thales-FZ"))</f>
        <v/>
      </c>
      <c r="M612">
        <f>IF($A612="","",SUMIFS('Таблиця 1'!$K:$K,'Таблиця 1'!$B:$B,$A612,'Таблиця 1'!$I:$I,"Mi-8",'Таблиця 1'!$J:$J,"МК-40")+SUMIFS('Таблиця 1'!$K:$K,'Таблиця 1'!$B:$B,$A612,'Таблиця 1'!$I:$I,"Mi-24",'Таблиця 1'!$J:$J,"МК-40"))</f>
        <v/>
      </c>
      <c r="N612">
        <f>IF($A612="","",SUMIFS('Таблиця 1'!$K:$K,'Таблиця 1'!$B:$B,$A612,'Таблиця 1'!$I:$I,"Mi-8",'Таблиця 1'!$J:$J,"Zuni")+SUMIFS('Таблиця 1'!$K:$K,'Таблиця 1'!$B:$B,$A612,'Таблиця 1'!$I:$I,"Mi-24",'Таблиця 1'!$J:$J,"Zuni"))</f>
        <v/>
      </c>
      <c r="O612">
        <f>IF($A612="","",COUNTIFS('Таблиця 1'!$B:$B,$A612,'Таблиця 1'!$I:$I,"Mi-8",'Таблиця 1'!$L:$L,"Уражено")+COUNTIFS('Таблиця 1'!$B:$B,$A612,'Таблиця 1'!$I:$I,"Mi-24",'Таблиця 1'!$L:$L,"Уражено"))</f>
        <v/>
      </c>
      <c r="P612">
        <f>IF($A612="","",COUNTIFS('Таблиця 1'!$B:$B,$A612,'Таблиця 1'!$I:$I,"Mi-8",'Таблиця 1'!$L:$L,"НЕ уражено")+COUNTIFS('Таблиця 1'!$B:$B,$A612,'Таблиця 1'!$I:$I,"Mi-24",'Таблиця 1'!$L:$L,"НЕ уражено"))</f>
        <v/>
      </c>
    </row>
    <row r="613">
      <c r="A613" s="273">
        <f>IF(A612="","",IF(A612+1&gt;MAX('Таблиця 1'!$B:$B),"",A612+1))</f>
        <v/>
      </c>
      <c r="B613">
        <f>IF($A613="","",COUNTIFS('Таблиця 1'!$B:$B,$A613,'Таблиця 1'!$I:$I,"Mi-8")+COUNTIFS('Таблиця 1'!$B:$B,$A613,'Таблиця 1'!$I:$I,"Mi-24"))</f>
        <v/>
      </c>
      <c r="C613">
        <f>IF($A613="","",COUNTIFS('Таблиця 1'!$B:$B,$A613,'Таблиця 1'!$I:$I,"Mi-8"))</f>
        <v/>
      </c>
      <c r="D613">
        <f>IF($A613="","",COUNTIFS('Таблиця 1'!$B:$B,$A613,'Таблиця 1'!$I:$I,"Mi-24"))</f>
        <v/>
      </c>
      <c r="E613">
        <f>IF($A613="","",SUMIFS('Таблиця 1'!$K:$K,'Таблиця 1'!$B:$B,$A613,'Таблиця 1'!$I:$I,"Mi-8",'Таблиця 1'!$J:$J,"ARS-8")+SUMIFS('Таблиця 1'!$K:$K,'Таблиця 1'!$B:$B,$A613,'Таблиця 1'!$I:$I,"Mi-24",'Таблиця 1'!$J:$J,"ARS-8"))</f>
        <v/>
      </c>
      <c r="F613">
        <f>IF($A613="","",SUMIFS('Таблиця 1'!$K:$K,'Таблиця 1'!$B:$B,$A613,'Таблиця 1'!$I:$I,"Mi-8",'Таблиця 1'!$J:$J,"С-8 ком")+SUMIFS('Таблиця 1'!$K:$K,'Таблиця 1'!$B:$B,$A613,'Таблиця 1'!$I:$I,"Mi-24",'Таблиця 1'!$J:$J,"С-8 ком"))</f>
        <v/>
      </c>
      <c r="G613">
        <f>IF($A613="","",SUMIFS('Таблиця 1'!$K:$K,'Таблиця 1'!$B:$B,$A613,'Таблиця 1'!$I:$I,"Mi-8",'Таблиця 1'!$J:$J,"PC-80")+SUMIFS('Таблиця 1'!$K:$K,'Таблиця 1'!$B:$B,$A613,'Таблиця 1'!$I:$I,"Mi-24",'Таблиця 1'!$J:$J,"PC-80"))</f>
        <v/>
      </c>
      <c r="H613">
        <f>IF($A613="","",SUMIFS('Таблиця 1'!$K:$K,'Таблиця 1'!$B:$B,$A613,'Таблиця 1'!$I:$I,"Mi-8",'Таблиця 1'!$J:$J,"UAR-80")+SUMIFS('Таблиця 1'!$K:$K,'Таблиця 1'!$B:$B,$A613,'Таблиця 1'!$I:$I,"Mi-24",'Таблиця 1'!$J:$J,"UAR-80"))</f>
        <v/>
      </c>
      <c r="I613">
        <f>IF($A613="","",SUMIFS('Таблиця 1'!$K:$K,'Таблиця 1'!$B:$B,$A613,'Таблиця 1'!$I:$I,"Mi-8",'Таблиця 1'!$J:$J,"C-13")+SUMIFS('Таблиця 1'!$K:$K,'Таблиця 1'!$B:$B,$A613,'Таблиця 1'!$I:$I,"Mi-24",'Таблиця 1'!$J:$J,"C-13"))</f>
        <v/>
      </c>
      <c r="J613">
        <f>IF($A613="","",SUMIFS('Таблиця 1'!$K:$K,'Таблиця 1'!$B:$B,$A613,'Таблиця 1'!$I:$I,"Mi-8",'Таблиця 1'!$J:$J,"Hydra-70")+SUMIFS('Таблиця 1'!$K:$K,'Таблиця 1'!$B:$B,$A613,'Таблиця 1'!$I:$I,"Mi-24",'Таблиця 1'!$J:$J,"Hydra-70"))</f>
        <v/>
      </c>
      <c r="K613">
        <f>IF($A613="","",SUMIFS('Таблиця 1'!$K:$K,'Таблиця 1'!$B:$B,$A613,'Таблиця 1'!$I:$I,"Mi-8",'Таблиця 1'!$J:$J,"Thales-70")+SUMIFS('Таблиця 1'!$K:$K,'Таблиця 1'!$B:$B,$A613,'Таблиця 1'!$I:$I,"Mi-24",'Таблиця 1'!$J:$J,"Thales-70"))</f>
        <v/>
      </c>
      <c r="L613">
        <f>IF($A613="","",SUMIFS('Таблиця 1'!$K:$K,'Таблиця 1'!$B:$B,$A613,'Таблиця 1'!$I:$I,"Mi-8",'Таблиця 1'!$J:$J,"Thales-FZ")+SUMIFS('Таблиця 1'!$K:$K,'Таблиця 1'!$B:$B,$A613,'Таблиця 1'!$I:$I,"Mi-24",'Таблиця 1'!$J:$J,"Thales-FZ"))</f>
        <v/>
      </c>
      <c r="M613">
        <f>IF($A613="","",SUMIFS('Таблиця 1'!$K:$K,'Таблиця 1'!$B:$B,$A613,'Таблиця 1'!$I:$I,"Mi-8",'Таблиця 1'!$J:$J,"МК-40")+SUMIFS('Таблиця 1'!$K:$K,'Таблиця 1'!$B:$B,$A613,'Таблиця 1'!$I:$I,"Mi-24",'Таблиця 1'!$J:$J,"МК-40"))</f>
        <v/>
      </c>
      <c r="N613">
        <f>IF($A613="","",SUMIFS('Таблиця 1'!$K:$K,'Таблиця 1'!$B:$B,$A613,'Таблиця 1'!$I:$I,"Mi-8",'Таблиця 1'!$J:$J,"Zuni")+SUMIFS('Таблиця 1'!$K:$K,'Таблиця 1'!$B:$B,$A613,'Таблиця 1'!$I:$I,"Mi-24",'Таблиця 1'!$J:$J,"Zuni"))</f>
        <v/>
      </c>
      <c r="O613">
        <f>IF($A613="","",COUNTIFS('Таблиця 1'!$B:$B,$A613,'Таблиця 1'!$I:$I,"Mi-8",'Таблиця 1'!$L:$L,"Уражено")+COUNTIFS('Таблиця 1'!$B:$B,$A613,'Таблиця 1'!$I:$I,"Mi-24",'Таблиця 1'!$L:$L,"Уражено"))</f>
        <v/>
      </c>
      <c r="P613">
        <f>IF($A613="","",COUNTIFS('Таблиця 1'!$B:$B,$A613,'Таблиця 1'!$I:$I,"Mi-8",'Таблиця 1'!$L:$L,"НЕ уражено")+COUNTIFS('Таблиця 1'!$B:$B,$A613,'Таблиця 1'!$I:$I,"Mi-24",'Таблиця 1'!$L:$L,"НЕ уражено"))</f>
        <v/>
      </c>
    </row>
    <row r="614">
      <c r="A614" s="273">
        <f>IF(A613="","",IF(A613+1&gt;MAX('Таблиця 1'!$B:$B),"",A613+1))</f>
        <v/>
      </c>
      <c r="B614">
        <f>IF($A614="","",COUNTIFS('Таблиця 1'!$B:$B,$A614,'Таблиця 1'!$I:$I,"Mi-8")+COUNTIFS('Таблиця 1'!$B:$B,$A614,'Таблиця 1'!$I:$I,"Mi-24"))</f>
        <v/>
      </c>
      <c r="C614">
        <f>IF($A614="","",COUNTIFS('Таблиця 1'!$B:$B,$A614,'Таблиця 1'!$I:$I,"Mi-8"))</f>
        <v/>
      </c>
      <c r="D614">
        <f>IF($A614="","",COUNTIFS('Таблиця 1'!$B:$B,$A614,'Таблиця 1'!$I:$I,"Mi-24"))</f>
        <v/>
      </c>
      <c r="E614">
        <f>IF($A614="","",SUMIFS('Таблиця 1'!$K:$K,'Таблиця 1'!$B:$B,$A614,'Таблиця 1'!$I:$I,"Mi-8",'Таблиця 1'!$J:$J,"ARS-8")+SUMIFS('Таблиця 1'!$K:$K,'Таблиця 1'!$B:$B,$A614,'Таблиця 1'!$I:$I,"Mi-24",'Таблиця 1'!$J:$J,"ARS-8"))</f>
        <v/>
      </c>
      <c r="F614">
        <f>IF($A614="","",SUMIFS('Таблиця 1'!$K:$K,'Таблиця 1'!$B:$B,$A614,'Таблиця 1'!$I:$I,"Mi-8",'Таблиця 1'!$J:$J,"С-8 ком")+SUMIFS('Таблиця 1'!$K:$K,'Таблиця 1'!$B:$B,$A614,'Таблиця 1'!$I:$I,"Mi-24",'Таблиця 1'!$J:$J,"С-8 ком"))</f>
        <v/>
      </c>
      <c r="G614">
        <f>IF($A614="","",SUMIFS('Таблиця 1'!$K:$K,'Таблиця 1'!$B:$B,$A614,'Таблиця 1'!$I:$I,"Mi-8",'Таблиця 1'!$J:$J,"PC-80")+SUMIFS('Таблиця 1'!$K:$K,'Таблиця 1'!$B:$B,$A614,'Таблиця 1'!$I:$I,"Mi-24",'Таблиця 1'!$J:$J,"PC-80"))</f>
        <v/>
      </c>
      <c r="H614">
        <f>IF($A614="","",SUMIFS('Таблиця 1'!$K:$K,'Таблиця 1'!$B:$B,$A614,'Таблиця 1'!$I:$I,"Mi-8",'Таблиця 1'!$J:$J,"UAR-80")+SUMIFS('Таблиця 1'!$K:$K,'Таблиця 1'!$B:$B,$A614,'Таблиця 1'!$I:$I,"Mi-24",'Таблиця 1'!$J:$J,"UAR-80"))</f>
        <v/>
      </c>
      <c r="I614">
        <f>IF($A614="","",SUMIFS('Таблиця 1'!$K:$K,'Таблиця 1'!$B:$B,$A614,'Таблиця 1'!$I:$I,"Mi-8",'Таблиця 1'!$J:$J,"C-13")+SUMIFS('Таблиця 1'!$K:$K,'Таблиця 1'!$B:$B,$A614,'Таблиця 1'!$I:$I,"Mi-24",'Таблиця 1'!$J:$J,"C-13"))</f>
        <v/>
      </c>
      <c r="J614">
        <f>IF($A614="","",SUMIFS('Таблиця 1'!$K:$K,'Таблиця 1'!$B:$B,$A614,'Таблиця 1'!$I:$I,"Mi-8",'Таблиця 1'!$J:$J,"Hydra-70")+SUMIFS('Таблиця 1'!$K:$K,'Таблиця 1'!$B:$B,$A614,'Таблиця 1'!$I:$I,"Mi-24",'Таблиця 1'!$J:$J,"Hydra-70"))</f>
        <v/>
      </c>
      <c r="K614">
        <f>IF($A614="","",SUMIFS('Таблиця 1'!$K:$K,'Таблиця 1'!$B:$B,$A614,'Таблиця 1'!$I:$I,"Mi-8",'Таблиця 1'!$J:$J,"Thales-70")+SUMIFS('Таблиця 1'!$K:$K,'Таблиця 1'!$B:$B,$A614,'Таблиця 1'!$I:$I,"Mi-24",'Таблиця 1'!$J:$J,"Thales-70"))</f>
        <v/>
      </c>
      <c r="L614">
        <f>IF($A614="","",SUMIFS('Таблиця 1'!$K:$K,'Таблиця 1'!$B:$B,$A614,'Таблиця 1'!$I:$I,"Mi-8",'Таблиця 1'!$J:$J,"Thales-FZ")+SUMIFS('Таблиця 1'!$K:$K,'Таблиця 1'!$B:$B,$A614,'Таблиця 1'!$I:$I,"Mi-24",'Таблиця 1'!$J:$J,"Thales-FZ"))</f>
        <v/>
      </c>
      <c r="M614">
        <f>IF($A614="","",SUMIFS('Таблиця 1'!$K:$K,'Таблиця 1'!$B:$B,$A614,'Таблиця 1'!$I:$I,"Mi-8",'Таблиця 1'!$J:$J,"МК-40")+SUMIFS('Таблиця 1'!$K:$K,'Таблиця 1'!$B:$B,$A614,'Таблиця 1'!$I:$I,"Mi-24",'Таблиця 1'!$J:$J,"МК-40"))</f>
        <v/>
      </c>
      <c r="N614">
        <f>IF($A614="","",SUMIFS('Таблиця 1'!$K:$K,'Таблиця 1'!$B:$B,$A614,'Таблиця 1'!$I:$I,"Mi-8",'Таблиця 1'!$J:$J,"Zuni")+SUMIFS('Таблиця 1'!$K:$K,'Таблиця 1'!$B:$B,$A614,'Таблиця 1'!$I:$I,"Mi-24",'Таблиця 1'!$J:$J,"Zuni"))</f>
        <v/>
      </c>
      <c r="O614">
        <f>IF($A614="","",COUNTIFS('Таблиця 1'!$B:$B,$A614,'Таблиця 1'!$I:$I,"Mi-8",'Таблиця 1'!$L:$L,"Уражено")+COUNTIFS('Таблиця 1'!$B:$B,$A614,'Таблиця 1'!$I:$I,"Mi-24",'Таблиця 1'!$L:$L,"Уражено"))</f>
        <v/>
      </c>
      <c r="P614">
        <f>IF($A614="","",COUNTIFS('Таблиця 1'!$B:$B,$A614,'Таблиця 1'!$I:$I,"Mi-8",'Таблиця 1'!$L:$L,"НЕ уражено")+COUNTIFS('Таблиця 1'!$B:$B,$A614,'Таблиця 1'!$I:$I,"Mi-24",'Таблиця 1'!$L:$L,"НЕ уражено"))</f>
        <v/>
      </c>
    </row>
    <row r="615">
      <c r="A615" s="273">
        <f>IF(A614="","",IF(A614+1&gt;MAX('Таблиця 1'!$B:$B),"",A614+1))</f>
        <v/>
      </c>
      <c r="B615">
        <f>IF($A615="","",COUNTIFS('Таблиця 1'!$B:$B,$A615,'Таблиця 1'!$I:$I,"Mi-8")+COUNTIFS('Таблиця 1'!$B:$B,$A615,'Таблиця 1'!$I:$I,"Mi-24"))</f>
        <v/>
      </c>
      <c r="C615">
        <f>IF($A615="","",COUNTIFS('Таблиця 1'!$B:$B,$A615,'Таблиця 1'!$I:$I,"Mi-8"))</f>
        <v/>
      </c>
      <c r="D615">
        <f>IF($A615="","",COUNTIFS('Таблиця 1'!$B:$B,$A615,'Таблиця 1'!$I:$I,"Mi-24"))</f>
        <v/>
      </c>
      <c r="E615">
        <f>IF($A615="","",SUMIFS('Таблиця 1'!$K:$K,'Таблиця 1'!$B:$B,$A615,'Таблиця 1'!$I:$I,"Mi-8",'Таблиця 1'!$J:$J,"ARS-8")+SUMIFS('Таблиця 1'!$K:$K,'Таблиця 1'!$B:$B,$A615,'Таблиця 1'!$I:$I,"Mi-24",'Таблиця 1'!$J:$J,"ARS-8"))</f>
        <v/>
      </c>
      <c r="F615">
        <f>IF($A615="","",SUMIFS('Таблиця 1'!$K:$K,'Таблиця 1'!$B:$B,$A615,'Таблиця 1'!$I:$I,"Mi-8",'Таблиця 1'!$J:$J,"С-8 ком")+SUMIFS('Таблиця 1'!$K:$K,'Таблиця 1'!$B:$B,$A615,'Таблиця 1'!$I:$I,"Mi-24",'Таблиця 1'!$J:$J,"С-8 ком"))</f>
        <v/>
      </c>
      <c r="G615">
        <f>IF($A615="","",SUMIFS('Таблиця 1'!$K:$K,'Таблиця 1'!$B:$B,$A615,'Таблиця 1'!$I:$I,"Mi-8",'Таблиця 1'!$J:$J,"PC-80")+SUMIFS('Таблиця 1'!$K:$K,'Таблиця 1'!$B:$B,$A615,'Таблиця 1'!$I:$I,"Mi-24",'Таблиця 1'!$J:$J,"PC-80"))</f>
        <v/>
      </c>
      <c r="H615">
        <f>IF($A615="","",SUMIFS('Таблиця 1'!$K:$K,'Таблиця 1'!$B:$B,$A615,'Таблиця 1'!$I:$I,"Mi-8",'Таблиця 1'!$J:$J,"UAR-80")+SUMIFS('Таблиця 1'!$K:$K,'Таблиця 1'!$B:$B,$A615,'Таблиця 1'!$I:$I,"Mi-24",'Таблиця 1'!$J:$J,"UAR-80"))</f>
        <v/>
      </c>
      <c r="I615">
        <f>IF($A615="","",SUMIFS('Таблиця 1'!$K:$K,'Таблиця 1'!$B:$B,$A615,'Таблиця 1'!$I:$I,"Mi-8",'Таблиця 1'!$J:$J,"C-13")+SUMIFS('Таблиця 1'!$K:$K,'Таблиця 1'!$B:$B,$A615,'Таблиця 1'!$I:$I,"Mi-24",'Таблиця 1'!$J:$J,"C-13"))</f>
        <v/>
      </c>
      <c r="J615">
        <f>IF($A615="","",SUMIFS('Таблиця 1'!$K:$K,'Таблиця 1'!$B:$B,$A615,'Таблиця 1'!$I:$I,"Mi-8",'Таблиця 1'!$J:$J,"Hydra-70")+SUMIFS('Таблиця 1'!$K:$K,'Таблиця 1'!$B:$B,$A615,'Таблиця 1'!$I:$I,"Mi-24",'Таблиця 1'!$J:$J,"Hydra-70"))</f>
        <v/>
      </c>
      <c r="K615">
        <f>IF($A615="","",SUMIFS('Таблиця 1'!$K:$K,'Таблиця 1'!$B:$B,$A615,'Таблиця 1'!$I:$I,"Mi-8",'Таблиця 1'!$J:$J,"Thales-70")+SUMIFS('Таблиця 1'!$K:$K,'Таблиця 1'!$B:$B,$A615,'Таблиця 1'!$I:$I,"Mi-24",'Таблиця 1'!$J:$J,"Thales-70"))</f>
        <v/>
      </c>
      <c r="L615">
        <f>IF($A615="","",SUMIFS('Таблиця 1'!$K:$K,'Таблиця 1'!$B:$B,$A615,'Таблиця 1'!$I:$I,"Mi-8",'Таблиця 1'!$J:$J,"Thales-FZ")+SUMIFS('Таблиця 1'!$K:$K,'Таблиця 1'!$B:$B,$A615,'Таблиця 1'!$I:$I,"Mi-24",'Таблиця 1'!$J:$J,"Thales-FZ"))</f>
        <v/>
      </c>
      <c r="M615">
        <f>IF($A615="","",SUMIFS('Таблиця 1'!$K:$K,'Таблиця 1'!$B:$B,$A615,'Таблиця 1'!$I:$I,"Mi-8",'Таблиця 1'!$J:$J,"МК-40")+SUMIFS('Таблиця 1'!$K:$K,'Таблиця 1'!$B:$B,$A615,'Таблиця 1'!$I:$I,"Mi-24",'Таблиця 1'!$J:$J,"МК-40"))</f>
        <v/>
      </c>
      <c r="N615">
        <f>IF($A615="","",SUMIFS('Таблиця 1'!$K:$K,'Таблиця 1'!$B:$B,$A615,'Таблиця 1'!$I:$I,"Mi-8",'Таблиця 1'!$J:$J,"Zuni")+SUMIFS('Таблиця 1'!$K:$K,'Таблиця 1'!$B:$B,$A615,'Таблиця 1'!$I:$I,"Mi-24",'Таблиця 1'!$J:$J,"Zuni"))</f>
        <v/>
      </c>
      <c r="O615">
        <f>IF($A615="","",COUNTIFS('Таблиця 1'!$B:$B,$A615,'Таблиця 1'!$I:$I,"Mi-8",'Таблиця 1'!$L:$L,"Уражено")+COUNTIFS('Таблиця 1'!$B:$B,$A615,'Таблиця 1'!$I:$I,"Mi-24",'Таблиця 1'!$L:$L,"Уражено"))</f>
        <v/>
      </c>
      <c r="P615">
        <f>IF($A615="","",COUNTIFS('Таблиця 1'!$B:$B,$A615,'Таблиця 1'!$I:$I,"Mi-8",'Таблиця 1'!$L:$L,"НЕ уражено")+COUNTIFS('Таблиця 1'!$B:$B,$A615,'Таблиця 1'!$I:$I,"Mi-24",'Таблиця 1'!$L:$L,"НЕ уражено"))</f>
        <v/>
      </c>
    </row>
    <row r="616">
      <c r="A616" s="273">
        <f>IF(A615="","",IF(A615+1&gt;MAX('Таблиця 1'!$B:$B),"",A615+1))</f>
        <v/>
      </c>
      <c r="B616">
        <f>IF($A616="","",COUNTIFS('Таблиця 1'!$B:$B,$A616,'Таблиця 1'!$I:$I,"Mi-8")+COUNTIFS('Таблиця 1'!$B:$B,$A616,'Таблиця 1'!$I:$I,"Mi-24"))</f>
        <v/>
      </c>
      <c r="C616">
        <f>IF($A616="","",COUNTIFS('Таблиця 1'!$B:$B,$A616,'Таблиця 1'!$I:$I,"Mi-8"))</f>
        <v/>
      </c>
      <c r="D616">
        <f>IF($A616="","",COUNTIFS('Таблиця 1'!$B:$B,$A616,'Таблиця 1'!$I:$I,"Mi-24"))</f>
        <v/>
      </c>
      <c r="E616">
        <f>IF($A616="","",SUMIFS('Таблиця 1'!$K:$K,'Таблиця 1'!$B:$B,$A616,'Таблиця 1'!$I:$I,"Mi-8",'Таблиця 1'!$J:$J,"ARS-8")+SUMIFS('Таблиця 1'!$K:$K,'Таблиця 1'!$B:$B,$A616,'Таблиця 1'!$I:$I,"Mi-24",'Таблиця 1'!$J:$J,"ARS-8"))</f>
        <v/>
      </c>
      <c r="F616">
        <f>IF($A616="","",SUMIFS('Таблиця 1'!$K:$K,'Таблиця 1'!$B:$B,$A616,'Таблиця 1'!$I:$I,"Mi-8",'Таблиця 1'!$J:$J,"С-8 ком")+SUMIFS('Таблиця 1'!$K:$K,'Таблиця 1'!$B:$B,$A616,'Таблиця 1'!$I:$I,"Mi-24",'Таблиця 1'!$J:$J,"С-8 ком"))</f>
        <v/>
      </c>
      <c r="G616">
        <f>IF($A616="","",SUMIFS('Таблиця 1'!$K:$K,'Таблиця 1'!$B:$B,$A616,'Таблиця 1'!$I:$I,"Mi-8",'Таблиця 1'!$J:$J,"PC-80")+SUMIFS('Таблиця 1'!$K:$K,'Таблиця 1'!$B:$B,$A616,'Таблиця 1'!$I:$I,"Mi-24",'Таблиця 1'!$J:$J,"PC-80"))</f>
        <v/>
      </c>
      <c r="H616">
        <f>IF($A616="","",SUMIFS('Таблиця 1'!$K:$K,'Таблиця 1'!$B:$B,$A616,'Таблиця 1'!$I:$I,"Mi-8",'Таблиця 1'!$J:$J,"UAR-80")+SUMIFS('Таблиця 1'!$K:$K,'Таблиця 1'!$B:$B,$A616,'Таблиця 1'!$I:$I,"Mi-24",'Таблиця 1'!$J:$J,"UAR-80"))</f>
        <v/>
      </c>
      <c r="I616">
        <f>IF($A616="","",SUMIFS('Таблиця 1'!$K:$K,'Таблиця 1'!$B:$B,$A616,'Таблиця 1'!$I:$I,"Mi-8",'Таблиця 1'!$J:$J,"C-13")+SUMIFS('Таблиця 1'!$K:$K,'Таблиця 1'!$B:$B,$A616,'Таблиця 1'!$I:$I,"Mi-24",'Таблиця 1'!$J:$J,"C-13"))</f>
        <v/>
      </c>
      <c r="J616">
        <f>IF($A616="","",SUMIFS('Таблиця 1'!$K:$K,'Таблиця 1'!$B:$B,$A616,'Таблиця 1'!$I:$I,"Mi-8",'Таблиця 1'!$J:$J,"Hydra-70")+SUMIFS('Таблиця 1'!$K:$K,'Таблиця 1'!$B:$B,$A616,'Таблиця 1'!$I:$I,"Mi-24",'Таблиця 1'!$J:$J,"Hydra-70"))</f>
        <v/>
      </c>
      <c r="K616">
        <f>IF($A616="","",SUMIFS('Таблиця 1'!$K:$K,'Таблиця 1'!$B:$B,$A616,'Таблиця 1'!$I:$I,"Mi-8",'Таблиця 1'!$J:$J,"Thales-70")+SUMIFS('Таблиця 1'!$K:$K,'Таблиця 1'!$B:$B,$A616,'Таблиця 1'!$I:$I,"Mi-24",'Таблиця 1'!$J:$J,"Thales-70"))</f>
        <v/>
      </c>
      <c r="L616">
        <f>IF($A616="","",SUMIFS('Таблиця 1'!$K:$K,'Таблиця 1'!$B:$B,$A616,'Таблиця 1'!$I:$I,"Mi-8",'Таблиця 1'!$J:$J,"Thales-FZ")+SUMIFS('Таблиця 1'!$K:$K,'Таблиця 1'!$B:$B,$A616,'Таблиця 1'!$I:$I,"Mi-24",'Таблиця 1'!$J:$J,"Thales-FZ"))</f>
        <v/>
      </c>
      <c r="M616">
        <f>IF($A616="","",SUMIFS('Таблиця 1'!$K:$K,'Таблиця 1'!$B:$B,$A616,'Таблиця 1'!$I:$I,"Mi-8",'Таблиця 1'!$J:$J,"МК-40")+SUMIFS('Таблиця 1'!$K:$K,'Таблиця 1'!$B:$B,$A616,'Таблиця 1'!$I:$I,"Mi-24",'Таблиця 1'!$J:$J,"МК-40"))</f>
        <v/>
      </c>
      <c r="N616">
        <f>IF($A616="","",SUMIFS('Таблиця 1'!$K:$K,'Таблиця 1'!$B:$B,$A616,'Таблиця 1'!$I:$I,"Mi-8",'Таблиця 1'!$J:$J,"Zuni")+SUMIFS('Таблиця 1'!$K:$K,'Таблиця 1'!$B:$B,$A616,'Таблиця 1'!$I:$I,"Mi-24",'Таблиця 1'!$J:$J,"Zuni"))</f>
        <v/>
      </c>
      <c r="O616">
        <f>IF($A616="","",COUNTIFS('Таблиця 1'!$B:$B,$A616,'Таблиця 1'!$I:$I,"Mi-8",'Таблиця 1'!$L:$L,"Уражено")+COUNTIFS('Таблиця 1'!$B:$B,$A616,'Таблиця 1'!$I:$I,"Mi-24",'Таблиця 1'!$L:$L,"Уражено"))</f>
        <v/>
      </c>
      <c r="P616">
        <f>IF($A616="","",COUNTIFS('Таблиця 1'!$B:$B,$A616,'Таблиця 1'!$I:$I,"Mi-8",'Таблиця 1'!$L:$L,"НЕ уражено")+COUNTIFS('Таблиця 1'!$B:$B,$A616,'Таблиця 1'!$I:$I,"Mi-24",'Таблиця 1'!$L:$L,"НЕ уражено"))</f>
        <v/>
      </c>
    </row>
    <row r="617">
      <c r="A617" s="273">
        <f>IF(A616="","",IF(A616+1&gt;MAX('Таблиця 1'!$B:$B),"",A616+1))</f>
        <v/>
      </c>
      <c r="B617">
        <f>IF($A617="","",COUNTIFS('Таблиця 1'!$B:$B,$A617,'Таблиця 1'!$I:$I,"Mi-8")+COUNTIFS('Таблиця 1'!$B:$B,$A617,'Таблиця 1'!$I:$I,"Mi-24"))</f>
        <v/>
      </c>
      <c r="C617">
        <f>IF($A617="","",COUNTIFS('Таблиця 1'!$B:$B,$A617,'Таблиця 1'!$I:$I,"Mi-8"))</f>
        <v/>
      </c>
      <c r="D617">
        <f>IF($A617="","",COUNTIFS('Таблиця 1'!$B:$B,$A617,'Таблиця 1'!$I:$I,"Mi-24"))</f>
        <v/>
      </c>
      <c r="E617">
        <f>IF($A617="","",SUMIFS('Таблиця 1'!$K:$K,'Таблиця 1'!$B:$B,$A617,'Таблиця 1'!$I:$I,"Mi-8",'Таблиця 1'!$J:$J,"ARS-8")+SUMIFS('Таблиця 1'!$K:$K,'Таблиця 1'!$B:$B,$A617,'Таблиця 1'!$I:$I,"Mi-24",'Таблиця 1'!$J:$J,"ARS-8"))</f>
        <v/>
      </c>
      <c r="F617">
        <f>IF($A617="","",SUMIFS('Таблиця 1'!$K:$K,'Таблиця 1'!$B:$B,$A617,'Таблиця 1'!$I:$I,"Mi-8",'Таблиця 1'!$J:$J,"С-8 ком")+SUMIFS('Таблиця 1'!$K:$K,'Таблиця 1'!$B:$B,$A617,'Таблиця 1'!$I:$I,"Mi-24",'Таблиця 1'!$J:$J,"С-8 ком"))</f>
        <v/>
      </c>
      <c r="G617">
        <f>IF($A617="","",SUMIFS('Таблиця 1'!$K:$K,'Таблиця 1'!$B:$B,$A617,'Таблиця 1'!$I:$I,"Mi-8",'Таблиця 1'!$J:$J,"PC-80")+SUMIFS('Таблиця 1'!$K:$K,'Таблиця 1'!$B:$B,$A617,'Таблиця 1'!$I:$I,"Mi-24",'Таблиця 1'!$J:$J,"PC-80"))</f>
        <v/>
      </c>
      <c r="H617">
        <f>IF($A617="","",SUMIFS('Таблиця 1'!$K:$K,'Таблиця 1'!$B:$B,$A617,'Таблиця 1'!$I:$I,"Mi-8",'Таблиця 1'!$J:$J,"UAR-80")+SUMIFS('Таблиця 1'!$K:$K,'Таблиця 1'!$B:$B,$A617,'Таблиця 1'!$I:$I,"Mi-24",'Таблиця 1'!$J:$J,"UAR-80"))</f>
        <v/>
      </c>
      <c r="I617">
        <f>IF($A617="","",SUMIFS('Таблиця 1'!$K:$K,'Таблиця 1'!$B:$B,$A617,'Таблиця 1'!$I:$I,"Mi-8",'Таблиця 1'!$J:$J,"C-13")+SUMIFS('Таблиця 1'!$K:$K,'Таблиця 1'!$B:$B,$A617,'Таблиця 1'!$I:$I,"Mi-24",'Таблиця 1'!$J:$J,"C-13"))</f>
        <v/>
      </c>
      <c r="J617">
        <f>IF($A617="","",SUMIFS('Таблиця 1'!$K:$K,'Таблиця 1'!$B:$B,$A617,'Таблиця 1'!$I:$I,"Mi-8",'Таблиця 1'!$J:$J,"Hydra-70")+SUMIFS('Таблиця 1'!$K:$K,'Таблиця 1'!$B:$B,$A617,'Таблиця 1'!$I:$I,"Mi-24",'Таблиця 1'!$J:$J,"Hydra-70"))</f>
        <v/>
      </c>
      <c r="K617">
        <f>IF($A617="","",SUMIFS('Таблиця 1'!$K:$K,'Таблиця 1'!$B:$B,$A617,'Таблиця 1'!$I:$I,"Mi-8",'Таблиця 1'!$J:$J,"Thales-70")+SUMIFS('Таблиця 1'!$K:$K,'Таблиця 1'!$B:$B,$A617,'Таблиця 1'!$I:$I,"Mi-24",'Таблиця 1'!$J:$J,"Thales-70"))</f>
        <v/>
      </c>
      <c r="L617">
        <f>IF($A617="","",SUMIFS('Таблиця 1'!$K:$K,'Таблиця 1'!$B:$B,$A617,'Таблиця 1'!$I:$I,"Mi-8",'Таблиця 1'!$J:$J,"Thales-FZ")+SUMIFS('Таблиця 1'!$K:$K,'Таблиця 1'!$B:$B,$A617,'Таблиця 1'!$I:$I,"Mi-24",'Таблиця 1'!$J:$J,"Thales-FZ"))</f>
        <v/>
      </c>
      <c r="M617">
        <f>IF($A617="","",SUMIFS('Таблиця 1'!$K:$K,'Таблиця 1'!$B:$B,$A617,'Таблиця 1'!$I:$I,"Mi-8",'Таблиця 1'!$J:$J,"МК-40")+SUMIFS('Таблиця 1'!$K:$K,'Таблиця 1'!$B:$B,$A617,'Таблиця 1'!$I:$I,"Mi-24",'Таблиця 1'!$J:$J,"МК-40"))</f>
        <v/>
      </c>
      <c r="N617">
        <f>IF($A617="","",SUMIFS('Таблиця 1'!$K:$K,'Таблиця 1'!$B:$B,$A617,'Таблиця 1'!$I:$I,"Mi-8",'Таблиця 1'!$J:$J,"Zuni")+SUMIFS('Таблиця 1'!$K:$K,'Таблиця 1'!$B:$B,$A617,'Таблиця 1'!$I:$I,"Mi-24",'Таблиця 1'!$J:$J,"Zuni"))</f>
        <v/>
      </c>
      <c r="O617">
        <f>IF($A617="","",COUNTIFS('Таблиця 1'!$B:$B,$A617,'Таблиця 1'!$I:$I,"Mi-8",'Таблиця 1'!$L:$L,"Уражено")+COUNTIFS('Таблиця 1'!$B:$B,$A617,'Таблиця 1'!$I:$I,"Mi-24",'Таблиця 1'!$L:$L,"Уражено"))</f>
        <v/>
      </c>
      <c r="P617">
        <f>IF($A617="","",COUNTIFS('Таблиця 1'!$B:$B,$A617,'Таблиця 1'!$I:$I,"Mi-8",'Таблиця 1'!$L:$L,"НЕ уражено")+COUNTIFS('Таблиця 1'!$B:$B,$A617,'Таблиця 1'!$I:$I,"Mi-24",'Таблиця 1'!$L:$L,"НЕ уражено"))</f>
        <v/>
      </c>
    </row>
    <row r="618">
      <c r="A618" s="273">
        <f>IF(A617="","",IF(A617+1&gt;MAX('Таблиця 1'!$B:$B),"",A617+1))</f>
        <v/>
      </c>
      <c r="B618">
        <f>IF($A618="","",COUNTIFS('Таблиця 1'!$B:$B,$A618,'Таблиця 1'!$I:$I,"Mi-8")+COUNTIFS('Таблиця 1'!$B:$B,$A618,'Таблиця 1'!$I:$I,"Mi-24"))</f>
        <v/>
      </c>
      <c r="C618">
        <f>IF($A618="","",COUNTIFS('Таблиця 1'!$B:$B,$A618,'Таблиця 1'!$I:$I,"Mi-8"))</f>
        <v/>
      </c>
      <c r="D618">
        <f>IF($A618="","",COUNTIFS('Таблиця 1'!$B:$B,$A618,'Таблиця 1'!$I:$I,"Mi-24"))</f>
        <v/>
      </c>
      <c r="E618">
        <f>IF($A618="","",SUMIFS('Таблиця 1'!$K:$K,'Таблиця 1'!$B:$B,$A618,'Таблиця 1'!$I:$I,"Mi-8",'Таблиця 1'!$J:$J,"ARS-8")+SUMIFS('Таблиця 1'!$K:$K,'Таблиця 1'!$B:$B,$A618,'Таблиця 1'!$I:$I,"Mi-24",'Таблиця 1'!$J:$J,"ARS-8"))</f>
        <v/>
      </c>
      <c r="F618">
        <f>IF($A618="","",SUMIFS('Таблиця 1'!$K:$K,'Таблиця 1'!$B:$B,$A618,'Таблиця 1'!$I:$I,"Mi-8",'Таблиця 1'!$J:$J,"С-8 ком")+SUMIFS('Таблиця 1'!$K:$K,'Таблиця 1'!$B:$B,$A618,'Таблиця 1'!$I:$I,"Mi-24",'Таблиця 1'!$J:$J,"С-8 ком"))</f>
        <v/>
      </c>
      <c r="G618">
        <f>IF($A618="","",SUMIFS('Таблиця 1'!$K:$K,'Таблиця 1'!$B:$B,$A618,'Таблиця 1'!$I:$I,"Mi-8",'Таблиця 1'!$J:$J,"PC-80")+SUMIFS('Таблиця 1'!$K:$K,'Таблиця 1'!$B:$B,$A618,'Таблиця 1'!$I:$I,"Mi-24",'Таблиця 1'!$J:$J,"PC-80"))</f>
        <v/>
      </c>
      <c r="H618">
        <f>IF($A618="","",SUMIFS('Таблиця 1'!$K:$K,'Таблиця 1'!$B:$B,$A618,'Таблиця 1'!$I:$I,"Mi-8",'Таблиця 1'!$J:$J,"UAR-80")+SUMIFS('Таблиця 1'!$K:$K,'Таблиця 1'!$B:$B,$A618,'Таблиця 1'!$I:$I,"Mi-24",'Таблиця 1'!$J:$J,"UAR-80"))</f>
        <v/>
      </c>
      <c r="I618">
        <f>IF($A618="","",SUMIFS('Таблиця 1'!$K:$K,'Таблиця 1'!$B:$B,$A618,'Таблиця 1'!$I:$I,"Mi-8",'Таблиця 1'!$J:$J,"C-13")+SUMIFS('Таблиця 1'!$K:$K,'Таблиця 1'!$B:$B,$A618,'Таблиця 1'!$I:$I,"Mi-24",'Таблиця 1'!$J:$J,"C-13"))</f>
        <v/>
      </c>
      <c r="J618">
        <f>IF($A618="","",SUMIFS('Таблиця 1'!$K:$K,'Таблиця 1'!$B:$B,$A618,'Таблиця 1'!$I:$I,"Mi-8",'Таблиця 1'!$J:$J,"Hydra-70")+SUMIFS('Таблиця 1'!$K:$K,'Таблиця 1'!$B:$B,$A618,'Таблиця 1'!$I:$I,"Mi-24",'Таблиця 1'!$J:$J,"Hydra-70"))</f>
        <v/>
      </c>
      <c r="K618">
        <f>IF($A618="","",SUMIFS('Таблиця 1'!$K:$K,'Таблиця 1'!$B:$B,$A618,'Таблиця 1'!$I:$I,"Mi-8",'Таблиця 1'!$J:$J,"Thales-70")+SUMIFS('Таблиця 1'!$K:$K,'Таблиця 1'!$B:$B,$A618,'Таблиця 1'!$I:$I,"Mi-24",'Таблиця 1'!$J:$J,"Thales-70"))</f>
        <v/>
      </c>
      <c r="L618">
        <f>IF($A618="","",SUMIFS('Таблиця 1'!$K:$K,'Таблиця 1'!$B:$B,$A618,'Таблиця 1'!$I:$I,"Mi-8",'Таблиця 1'!$J:$J,"Thales-FZ")+SUMIFS('Таблиця 1'!$K:$K,'Таблиця 1'!$B:$B,$A618,'Таблиця 1'!$I:$I,"Mi-24",'Таблиця 1'!$J:$J,"Thales-FZ"))</f>
        <v/>
      </c>
      <c r="M618">
        <f>IF($A618="","",SUMIFS('Таблиця 1'!$K:$K,'Таблиця 1'!$B:$B,$A618,'Таблиця 1'!$I:$I,"Mi-8",'Таблиця 1'!$J:$J,"МК-40")+SUMIFS('Таблиця 1'!$K:$K,'Таблиця 1'!$B:$B,$A618,'Таблиця 1'!$I:$I,"Mi-24",'Таблиця 1'!$J:$J,"МК-40"))</f>
        <v/>
      </c>
      <c r="N618">
        <f>IF($A618="","",SUMIFS('Таблиця 1'!$K:$K,'Таблиця 1'!$B:$B,$A618,'Таблиця 1'!$I:$I,"Mi-8",'Таблиця 1'!$J:$J,"Zuni")+SUMIFS('Таблиця 1'!$K:$K,'Таблиця 1'!$B:$B,$A618,'Таблиця 1'!$I:$I,"Mi-24",'Таблиця 1'!$J:$J,"Zuni"))</f>
        <v/>
      </c>
      <c r="O618">
        <f>IF($A618="","",COUNTIFS('Таблиця 1'!$B:$B,$A618,'Таблиця 1'!$I:$I,"Mi-8",'Таблиця 1'!$L:$L,"Уражено")+COUNTIFS('Таблиця 1'!$B:$B,$A618,'Таблиця 1'!$I:$I,"Mi-24",'Таблиця 1'!$L:$L,"Уражено"))</f>
        <v/>
      </c>
      <c r="P618">
        <f>IF($A618="","",COUNTIFS('Таблиця 1'!$B:$B,$A618,'Таблиця 1'!$I:$I,"Mi-8",'Таблиця 1'!$L:$L,"НЕ уражено")+COUNTIFS('Таблиця 1'!$B:$B,$A618,'Таблиця 1'!$I:$I,"Mi-24",'Таблиця 1'!$L:$L,"НЕ уражено"))</f>
        <v/>
      </c>
    </row>
    <row r="619">
      <c r="A619" s="273">
        <f>IF(A618="","",IF(A618+1&gt;MAX('Таблиця 1'!$B:$B),"",A618+1))</f>
        <v/>
      </c>
      <c r="B619">
        <f>IF($A619="","",COUNTIFS('Таблиця 1'!$B:$B,$A619,'Таблиця 1'!$I:$I,"Mi-8")+COUNTIFS('Таблиця 1'!$B:$B,$A619,'Таблиця 1'!$I:$I,"Mi-24"))</f>
        <v/>
      </c>
      <c r="C619">
        <f>IF($A619="","",COUNTIFS('Таблиця 1'!$B:$B,$A619,'Таблиця 1'!$I:$I,"Mi-8"))</f>
        <v/>
      </c>
      <c r="D619">
        <f>IF($A619="","",COUNTIFS('Таблиця 1'!$B:$B,$A619,'Таблиця 1'!$I:$I,"Mi-24"))</f>
        <v/>
      </c>
      <c r="E619">
        <f>IF($A619="","",SUMIFS('Таблиця 1'!$K:$K,'Таблиця 1'!$B:$B,$A619,'Таблиця 1'!$I:$I,"Mi-8",'Таблиця 1'!$J:$J,"ARS-8")+SUMIFS('Таблиця 1'!$K:$K,'Таблиця 1'!$B:$B,$A619,'Таблиця 1'!$I:$I,"Mi-24",'Таблиця 1'!$J:$J,"ARS-8"))</f>
        <v/>
      </c>
      <c r="F619">
        <f>IF($A619="","",SUMIFS('Таблиця 1'!$K:$K,'Таблиця 1'!$B:$B,$A619,'Таблиця 1'!$I:$I,"Mi-8",'Таблиця 1'!$J:$J,"С-8 ком")+SUMIFS('Таблиця 1'!$K:$K,'Таблиця 1'!$B:$B,$A619,'Таблиця 1'!$I:$I,"Mi-24",'Таблиця 1'!$J:$J,"С-8 ком"))</f>
        <v/>
      </c>
      <c r="G619">
        <f>IF($A619="","",SUMIFS('Таблиця 1'!$K:$K,'Таблиця 1'!$B:$B,$A619,'Таблиця 1'!$I:$I,"Mi-8",'Таблиця 1'!$J:$J,"PC-80")+SUMIFS('Таблиця 1'!$K:$K,'Таблиця 1'!$B:$B,$A619,'Таблиця 1'!$I:$I,"Mi-24",'Таблиця 1'!$J:$J,"PC-80"))</f>
        <v/>
      </c>
      <c r="H619">
        <f>IF($A619="","",SUMIFS('Таблиця 1'!$K:$K,'Таблиця 1'!$B:$B,$A619,'Таблиця 1'!$I:$I,"Mi-8",'Таблиця 1'!$J:$J,"UAR-80")+SUMIFS('Таблиця 1'!$K:$K,'Таблиця 1'!$B:$B,$A619,'Таблиця 1'!$I:$I,"Mi-24",'Таблиця 1'!$J:$J,"UAR-80"))</f>
        <v/>
      </c>
      <c r="I619">
        <f>IF($A619="","",SUMIFS('Таблиця 1'!$K:$K,'Таблиця 1'!$B:$B,$A619,'Таблиця 1'!$I:$I,"Mi-8",'Таблиця 1'!$J:$J,"C-13")+SUMIFS('Таблиця 1'!$K:$K,'Таблиця 1'!$B:$B,$A619,'Таблиця 1'!$I:$I,"Mi-24",'Таблиця 1'!$J:$J,"C-13"))</f>
        <v/>
      </c>
      <c r="J619">
        <f>IF($A619="","",SUMIFS('Таблиця 1'!$K:$K,'Таблиця 1'!$B:$B,$A619,'Таблиця 1'!$I:$I,"Mi-8",'Таблиця 1'!$J:$J,"Hydra-70")+SUMIFS('Таблиця 1'!$K:$K,'Таблиця 1'!$B:$B,$A619,'Таблиця 1'!$I:$I,"Mi-24",'Таблиця 1'!$J:$J,"Hydra-70"))</f>
        <v/>
      </c>
      <c r="K619">
        <f>IF($A619="","",SUMIFS('Таблиця 1'!$K:$K,'Таблиця 1'!$B:$B,$A619,'Таблиця 1'!$I:$I,"Mi-8",'Таблиця 1'!$J:$J,"Thales-70")+SUMIFS('Таблиця 1'!$K:$K,'Таблиця 1'!$B:$B,$A619,'Таблиця 1'!$I:$I,"Mi-24",'Таблиця 1'!$J:$J,"Thales-70"))</f>
        <v/>
      </c>
      <c r="L619">
        <f>IF($A619="","",SUMIFS('Таблиця 1'!$K:$K,'Таблиця 1'!$B:$B,$A619,'Таблиця 1'!$I:$I,"Mi-8",'Таблиця 1'!$J:$J,"Thales-FZ")+SUMIFS('Таблиця 1'!$K:$K,'Таблиця 1'!$B:$B,$A619,'Таблиця 1'!$I:$I,"Mi-24",'Таблиця 1'!$J:$J,"Thales-FZ"))</f>
        <v/>
      </c>
      <c r="M619">
        <f>IF($A619="","",SUMIFS('Таблиця 1'!$K:$K,'Таблиця 1'!$B:$B,$A619,'Таблиця 1'!$I:$I,"Mi-8",'Таблиця 1'!$J:$J,"МК-40")+SUMIFS('Таблиця 1'!$K:$K,'Таблиця 1'!$B:$B,$A619,'Таблиця 1'!$I:$I,"Mi-24",'Таблиця 1'!$J:$J,"МК-40"))</f>
        <v/>
      </c>
      <c r="N619">
        <f>IF($A619="","",SUMIFS('Таблиця 1'!$K:$K,'Таблиця 1'!$B:$B,$A619,'Таблиця 1'!$I:$I,"Mi-8",'Таблиця 1'!$J:$J,"Zuni")+SUMIFS('Таблиця 1'!$K:$K,'Таблиця 1'!$B:$B,$A619,'Таблиця 1'!$I:$I,"Mi-24",'Таблиця 1'!$J:$J,"Zuni"))</f>
        <v/>
      </c>
      <c r="O619">
        <f>IF($A619="","",COUNTIFS('Таблиця 1'!$B:$B,$A619,'Таблиця 1'!$I:$I,"Mi-8",'Таблиця 1'!$L:$L,"Уражено")+COUNTIFS('Таблиця 1'!$B:$B,$A619,'Таблиця 1'!$I:$I,"Mi-24",'Таблиця 1'!$L:$L,"Уражено"))</f>
        <v/>
      </c>
      <c r="P619">
        <f>IF($A619="","",COUNTIFS('Таблиця 1'!$B:$B,$A619,'Таблиця 1'!$I:$I,"Mi-8",'Таблиця 1'!$L:$L,"НЕ уражено")+COUNTIFS('Таблиця 1'!$B:$B,$A619,'Таблиця 1'!$I:$I,"Mi-24",'Таблиця 1'!$L:$L,"НЕ уражено"))</f>
        <v/>
      </c>
    </row>
    <row r="620">
      <c r="A620" s="273">
        <f>IF(A619="","",IF(A619+1&gt;MAX('Таблиця 1'!$B:$B),"",A619+1))</f>
        <v/>
      </c>
      <c r="B620">
        <f>IF($A620="","",COUNTIFS('Таблиця 1'!$B:$B,$A620,'Таблиця 1'!$I:$I,"Mi-8")+COUNTIFS('Таблиця 1'!$B:$B,$A620,'Таблиця 1'!$I:$I,"Mi-24"))</f>
        <v/>
      </c>
      <c r="C620">
        <f>IF($A620="","",COUNTIFS('Таблиця 1'!$B:$B,$A620,'Таблиця 1'!$I:$I,"Mi-8"))</f>
        <v/>
      </c>
      <c r="D620">
        <f>IF($A620="","",COUNTIFS('Таблиця 1'!$B:$B,$A620,'Таблиця 1'!$I:$I,"Mi-24"))</f>
        <v/>
      </c>
      <c r="E620">
        <f>IF($A620="","",SUMIFS('Таблиця 1'!$K:$K,'Таблиця 1'!$B:$B,$A620,'Таблиця 1'!$I:$I,"Mi-8",'Таблиця 1'!$J:$J,"ARS-8")+SUMIFS('Таблиця 1'!$K:$K,'Таблиця 1'!$B:$B,$A620,'Таблиця 1'!$I:$I,"Mi-24",'Таблиця 1'!$J:$J,"ARS-8"))</f>
        <v/>
      </c>
      <c r="F620">
        <f>IF($A620="","",SUMIFS('Таблиця 1'!$K:$K,'Таблиця 1'!$B:$B,$A620,'Таблиця 1'!$I:$I,"Mi-8",'Таблиця 1'!$J:$J,"С-8 ком")+SUMIFS('Таблиця 1'!$K:$K,'Таблиця 1'!$B:$B,$A620,'Таблиця 1'!$I:$I,"Mi-24",'Таблиця 1'!$J:$J,"С-8 ком"))</f>
        <v/>
      </c>
      <c r="G620">
        <f>IF($A620="","",SUMIFS('Таблиця 1'!$K:$K,'Таблиця 1'!$B:$B,$A620,'Таблиця 1'!$I:$I,"Mi-8",'Таблиця 1'!$J:$J,"PC-80")+SUMIFS('Таблиця 1'!$K:$K,'Таблиця 1'!$B:$B,$A620,'Таблиця 1'!$I:$I,"Mi-24",'Таблиця 1'!$J:$J,"PC-80"))</f>
        <v/>
      </c>
      <c r="H620">
        <f>IF($A620="","",SUMIFS('Таблиця 1'!$K:$K,'Таблиця 1'!$B:$B,$A620,'Таблиця 1'!$I:$I,"Mi-8",'Таблиця 1'!$J:$J,"UAR-80")+SUMIFS('Таблиця 1'!$K:$K,'Таблиця 1'!$B:$B,$A620,'Таблиця 1'!$I:$I,"Mi-24",'Таблиця 1'!$J:$J,"UAR-80"))</f>
        <v/>
      </c>
      <c r="I620">
        <f>IF($A620="","",SUMIFS('Таблиця 1'!$K:$K,'Таблиця 1'!$B:$B,$A620,'Таблиця 1'!$I:$I,"Mi-8",'Таблиця 1'!$J:$J,"C-13")+SUMIFS('Таблиця 1'!$K:$K,'Таблиця 1'!$B:$B,$A620,'Таблиця 1'!$I:$I,"Mi-24",'Таблиця 1'!$J:$J,"C-13"))</f>
        <v/>
      </c>
      <c r="J620">
        <f>IF($A620="","",SUMIFS('Таблиця 1'!$K:$K,'Таблиця 1'!$B:$B,$A620,'Таблиця 1'!$I:$I,"Mi-8",'Таблиця 1'!$J:$J,"Hydra-70")+SUMIFS('Таблиця 1'!$K:$K,'Таблиця 1'!$B:$B,$A620,'Таблиця 1'!$I:$I,"Mi-24",'Таблиця 1'!$J:$J,"Hydra-70"))</f>
        <v/>
      </c>
      <c r="K620">
        <f>IF($A620="","",SUMIFS('Таблиця 1'!$K:$K,'Таблиця 1'!$B:$B,$A620,'Таблиця 1'!$I:$I,"Mi-8",'Таблиця 1'!$J:$J,"Thales-70")+SUMIFS('Таблиця 1'!$K:$K,'Таблиця 1'!$B:$B,$A620,'Таблиця 1'!$I:$I,"Mi-24",'Таблиця 1'!$J:$J,"Thales-70"))</f>
        <v/>
      </c>
      <c r="L620">
        <f>IF($A620="","",SUMIFS('Таблиця 1'!$K:$K,'Таблиця 1'!$B:$B,$A620,'Таблиця 1'!$I:$I,"Mi-8",'Таблиця 1'!$J:$J,"Thales-FZ")+SUMIFS('Таблиця 1'!$K:$K,'Таблиця 1'!$B:$B,$A620,'Таблиця 1'!$I:$I,"Mi-24",'Таблиця 1'!$J:$J,"Thales-FZ"))</f>
        <v/>
      </c>
      <c r="M620">
        <f>IF($A620="","",SUMIFS('Таблиця 1'!$K:$K,'Таблиця 1'!$B:$B,$A620,'Таблиця 1'!$I:$I,"Mi-8",'Таблиця 1'!$J:$J,"МК-40")+SUMIFS('Таблиця 1'!$K:$K,'Таблиця 1'!$B:$B,$A620,'Таблиця 1'!$I:$I,"Mi-24",'Таблиця 1'!$J:$J,"МК-40"))</f>
        <v/>
      </c>
      <c r="N620">
        <f>IF($A620="","",SUMIFS('Таблиця 1'!$K:$K,'Таблиця 1'!$B:$B,$A620,'Таблиця 1'!$I:$I,"Mi-8",'Таблиця 1'!$J:$J,"Zuni")+SUMIFS('Таблиця 1'!$K:$K,'Таблиця 1'!$B:$B,$A620,'Таблиця 1'!$I:$I,"Mi-24",'Таблиця 1'!$J:$J,"Zuni"))</f>
        <v/>
      </c>
      <c r="O620">
        <f>IF($A620="","",COUNTIFS('Таблиця 1'!$B:$B,$A620,'Таблиця 1'!$I:$I,"Mi-8",'Таблиця 1'!$L:$L,"Уражено")+COUNTIFS('Таблиця 1'!$B:$B,$A620,'Таблиця 1'!$I:$I,"Mi-24",'Таблиця 1'!$L:$L,"Уражено"))</f>
        <v/>
      </c>
      <c r="P620">
        <f>IF($A620="","",COUNTIFS('Таблиця 1'!$B:$B,$A620,'Таблиця 1'!$I:$I,"Mi-8",'Таблиця 1'!$L:$L,"НЕ уражено")+COUNTIFS('Таблиця 1'!$B:$B,$A620,'Таблиця 1'!$I:$I,"Mi-24",'Таблиця 1'!$L:$L,"НЕ уражено"))</f>
        <v/>
      </c>
    </row>
    <row r="621">
      <c r="A621" s="273">
        <f>IF(A620="","",IF(A620+1&gt;MAX('Таблиця 1'!$B:$B),"",A620+1))</f>
        <v/>
      </c>
      <c r="B621">
        <f>IF($A621="","",COUNTIFS('Таблиця 1'!$B:$B,$A621,'Таблиця 1'!$I:$I,"Mi-8")+COUNTIFS('Таблиця 1'!$B:$B,$A621,'Таблиця 1'!$I:$I,"Mi-24"))</f>
        <v/>
      </c>
      <c r="C621">
        <f>IF($A621="","",COUNTIFS('Таблиця 1'!$B:$B,$A621,'Таблиця 1'!$I:$I,"Mi-8"))</f>
        <v/>
      </c>
      <c r="D621">
        <f>IF($A621="","",COUNTIFS('Таблиця 1'!$B:$B,$A621,'Таблиця 1'!$I:$I,"Mi-24"))</f>
        <v/>
      </c>
      <c r="E621">
        <f>IF($A621="","",SUMIFS('Таблиця 1'!$K:$K,'Таблиця 1'!$B:$B,$A621,'Таблиця 1'!$I:$I,"Mi-8",'Таблиця 1'!$J:$J,"ARS-8")+SUMIFS('Таблиця 1'!$K:$K,'Таблиця 1'!$B:$B,$A621,'Таблиця 1'!$I:$I,"Mi-24",'Таблиця 1'!$J:$J,"ARS-8"))</f>
        <v/>
      </c>
      <c r="F621">
        <f>IF($A621="","",SUMIFS('Таблиця 1'!$K:$K,'Таблиця 1'!$B:$B,$A621,'Таблиця 1'!$I:$I,"Mi-8",'Таблиця 1'!$J:$J,"С-8 ком")+SUMIFS('Таблиця 1'!$K:$K,'Таблиця 1'!$B:$B,$A621,'Таблиця 1'!$I:$I,"Mi-24",'Таблиця 1'!$J:$J,"С-8 ком"))</f>
        <v/>
      </c>
      <c r="G621">
        <f>IF($A621="","",SUMIFS('Таблиця 1'!$K:$K,'Таблиця 1'!$B:$B,$A621,'Таблиця 1'!$I:$I,"Mi-8",'Таблиця 1'!$J:$J,"PC-80")+SUMIFS('Таблиця 1'!$K:$K,'Таблиця 1'!$B:$B,$A621,'Таблиця 1'!$I:$I,"Mi-24",'Таблиця 1'!$J:$J,"PC-80"))</f>
        <v/>
      </c>
      <c r="H621">
        <f>IF($A621="","",SUMIFS('Таблиця 1'!$K:$K,'Таблиця 1'!$B:$B,$A621,'Таблиця 1'!$I:$I,"Mi-8",'Таблиця 1'!$J:$J,"UAR-80")+SUMIFS('Таблиця 1'!$K:$K,'Таблиця 1'!$B:$B,$A621,'Таблиця 1'!$I:$I,"Mi-24",'Таблиця 1'!$J:$J,"UAR-80"))</f>
        <v/>
      </c>
      <c r="I621">
        <f>IF($A621="","",SUMIFS('Таблиця 1'!$K:$K,'Таблиця 1'!$B:$B,$A621,'Таблиця 1'!$I:$I,"Mi-8",'Таблиця 1'!$J:$J,"C-13")+SUMIFS('Таблиця 1'!$K:$K,'Таблиця 1'!$B:$B,$A621,'Таблиця 1'!$I:$I,"Mi-24",'Таблиця 1'!$J:$J,"C-13"))</f>
        <v/>
      </c>
      <c r="J621">
        <f>IF($A621="","",SUMIFS('Таблиця 1'!$K:$K,'Таблиця 1'!$B:$B,$A621,'Таблиця 1'!$I:$I,"Mi-8",'Таблиця 1'!$J:$J,"Hydra-70")+SUMIFS('Таблиця 1'!$K:$K,'Таблиця 1'!$B:$B,$A621,'Таблиця 1'!$I:$I,"Mi-24",'Таблиця 1'!$J:$J,"Hydra-70"))</f>
        <v/>
      </c>
      <c r="K621">
        <f>IF($A621="","",SUMIFS('Таблиця 1'!$K:$K,'Таблиця 1'!$B:$B,$A621,'Таблиця 1'!$I:$I,"Mi-8",'Таблиця 1'!$J:$J,"Thales-70")+SUMIFS('Таблиця 1'!$K:$K,'Таблиця 1'!$B:$B,$A621,'Таблиця 1'!$I:$I,"Mi-24",'Таблиця 1'!$J:$J,"Thales-70"))</f>
        <v/>
      </c>
      <c r="L621">
        <f>IF($A621="","",SUMIFS('Таблиця 1'!$K:$K,'Таблиця 1'!$B:$B,$A621,'Таблиця 1'!$I:$I,"Mi-8",'Таблиця 1'!$J:$J,"Thales-FZ")+SUMIFS('Таблиця 1'!$K:$K,'Таблиця 1'!$B:$B,$A621,'Таблиця 1'!$I:$I,"Mi-24",'Таблиця 1'!$J:$J,"Thales-FZ"))</f>
        <v/>
      </c>
      <c r="M621">
        <f>IF($A621="","",SUMIFS('Таблиця 1'!$K:$K,'Таблиця 1'!$B:$B,$A621,'Таблиця 1'!$I:$I,"Mi-8",'Таблиця 1'!$J:$J,"МК-40")+SUMIFS('Таблиця 1'!$K:$K,'Таблиця 1'!$B:$B,$A621,'Таблиця 1'!$I:$I,"Mi-24",'Таблиця 1'!$J:$J,"МК-40"))</f>
        <v/>
      </c>
      <c r="N621">
        <f>IF($A621="","",SUMIFS('Таблиця 1'!$K:$K,'Таблиця 1'!$B:$B,$A621,'Таблиця 1'!$I:$I,"Mi-8",'Таблиця 1'!$J:$J,"Zuni")+SUMIFS('Таблиця 1'!$K:$K,'Таблиця 1'!$B:$B,$A621,'Таблиця 1'!$I:$I,"Mi-24",'Таблиця 1'!$J:$J,"Zuni"))</f>
        <v/>
      </c>
      <c r="O621">
        <f>IF($A621="","",COUNTIFS('Таблиця 1'!$B:$B,$A621,'Таблиця 1'!$I:$I,"Mi-8",'Таблиця 1'!$L:$L,"Уражено")+COUNTIFS('Таблиця 1'!$B:$B,$A621,'Таблиця 1'!$I:$I,"Mi-24",'Таблиця 1'!$L:$L,"Уражено"))</f>
        <v/>
      </c>
      <c r="P621">
        <f>IF($A621="","",COUNTIFS('Таблиця 1'!$B:$B,$A621,'Таблиця 1'!$I:$I,"Mi-8",'Таблиця 1'!$L:$L,"НЕ уражено")+COUNTIFS('Таблиця 1'!$B:$B,$A621,'Таблиця 1'!$I:$I,"Mi-24",'Таблиця 1'!$L:$L,"НЕ уражено"))</f>
        <v/>
      </c>
    </row>
    <row r="622">
      <c r="A622" s="273">
        <f>IF(A621="","",IF(A621+1&gt;MAX('Таблиця 1'!$B:$B),"",A621+1))</f>
        <v/>
      </c>
      <c r="B622">
        <f>IF($A622="","",COUNTIFS('Таблиця 1'!$B:$B,$A622,'Таблиця 1'!$I:$I,"Mi-8")+COUNTIFS('Таблиця 1'!$B:$B,$A622,'Таблиця 1'!$I:$I,"Mi-24"))</f>
        <v/>
      </c>
      <c r="C622">
        <f>IF($A622="","",COUNTIFS('Таблиця 1'!$B:$B,$A622,'Таблиця 1'!$I:$I,"Mi-8"))</f>
        <v/>
      </c>
      <c r="D622">
        <f>IF($A622="","",COUNTIFS('Таблиця 1'!$B:$B,$A622,'Таблиця 1'!$I:$I,"Mi-24"))</f>
        <v/>
      </c>
      <c r="E622">
        <f>IF($A622="","",SUMIFS('Таблиця 1'!$K:$K,'Таблиця 1'!$B:$B,$A622,'Таблиця 1'!$I:$I,"Mi-8",'Таблиця 1'!$J:$J,"ARS-8")+SUMIFS('Таблиця 1'!$K:$K,'Таблиця 1'!$B:$B,$A622,'Таблиця 1'!$I:$I,"Mi-24",'Таблиця 1'!$J:$J,"ARS-8"))</f>
        <v/>
      </c>
      <c r="F622">
        <f>IF($A622="","",SUMIFS('Таблиця 1'!$K:$K,'Таблиця 1'!$B:$B,$A622,'Таблиця 1'!$I:$I,"Mi-8",'Таблиця 1'!$J:$J,"С-8 ком")+SUMIFS('Таблиця 1'!$K:$K,'Таблиця 1'!$B:$B,$A622,'Таблиця 1'!$I:$I,"Mi-24",'Таблиця 1'!$J:$J,"С-8 ком"))</f>
        <v/>
      </c>
      <c r="G622">
        <f>IF($A622="","",SUMIFS('Таблиця 1'!$K:$K,'Таблиця 1'!$B:$B,$A622,'Таблиця 1'!$I:$I,"Mi-8",'Таблиця 1'!$J:$J,"PC-80")+SUMIFS('Таблиця 1'!$K:$K,'Таблиця 1'!$B:$B,$A622,'Таблиця 1'!$I:$I,"Mi-24",'Таблиця 1'!$J:$J,"PC-80"))</f>
        <v/>
      </c>
      <c r="H622">
        <f>IF($A622="","",SUMIFS('Таблиця 1'!$K:$K,'Таблиця 1'!$B:$B,$A622,'Таблиця 1'!$I:$I,"Mi-8",'Таблиця 1'!$J:$J,"UAR-80")+SUMIFS('Таблиця 1'!$K:$K,'Таблиця 1'!$B:$B,$A622,'Таблиця 1'!$I:$I,"Mi-24",'Таблиця 1'!$J:$J,"UAR-80"))</f>
        <v/>
      </c>
      <c r="I622">
        <f>IF($A622="","",SUMIFS('Таблиця 1'!$K:$K,'Таблиця 1'!$B:$B,$A622,'Таблиця 1'!$I:$I,"Mi-8",'Таблиця 1'!$J:$J,"C-13")+SUMIFS('Таблиця 1'!$K:$K,'Таблиця 1'!$B:$B,$A622,'Таблиця 1'!$I:$I,"Mi-24",'Таблиця 1'!$J:$J,"C-13"))</f>
        <v/>
      </c>
      <c r="J622">
        <f>IF($A622="","",SUMIFS('Таблиця 1'!$K:$K,'Таблиця 1'!$B:$B,$A622,'Таблиця 1'!$I:$I,"Mi-8",'Таблиця 1'!$J:$J,"Hydra-70")+SUMIFS('Таблиця 1'!$K:$K,'Таблиця 1'!$B:$B,$A622,'Таблиця 1'!$I:$I,"Mi-24",'Таблиця 1'!$J:$J,"Hydra-70"))</f>
        <v/>
      </c>
      <c r="K622">
        <f>IF($A622="","",SUMIFS('Таблиця 1'!$K:$K,'Таблиця 1'!$B:$B,$A622,'Таблиця 1'!$I:$I,"Mi-8",'Таблиця 1'!$J:$J,"Thales-70")+SUMIFS('Таблиця 1'!$K:$K,'Таблиця 1'!$B:$B,$A622,'Таблиця 1'!$I:$I,"Mi-24",'Таблиця 1'!$J:$J,"Thales-70"))</f>
        <v/>
      </c>
      <c r="L622">
        <f>IF($A622="","",SUMIFS('Таблиця 1'!$K:$K,'Таблиця 1'!$B:$B,$A622,'Таблиця 1'!$I:$I,"Mi-8",'Таблиця 1'!$J:$J,"Thales-FZ")+SUMIFS('Таблиця 1'!$K:$K,'Таблиця 1'!$B:$B,$A622,'Таблиця 1'!$I:$I,"Mi-24",'Таблиця 1'!$J:$J,"Thales-FZ"))</f>
        <v/>
      </c>
      <c r="M622">
        <f>IF($A622="","",SUMIFS('Таблиця 1'!$K:$K,'Таблиця 1'!$B:$B,$A622,'Таблиця 1'!$I:$I,"Mi-8",'Таблиця 1'!$J:$J,"МК-40")+SUMIFS('Таблиця 1'!$K:$K,'Таблиця 1'!$B:$B,$A622,'Таблиця 1'!$I:$I,"Mi-24",'Таблиця 1'!$J:$J,"МК-40"))</f>
        <v/>
      </c>
      <c r="N622">
        <f>IF($A622="","",SUMIFS('Таблиця 1'!$K:$K,'Таблиця 1'!$B:$B,$A622,'Таблиця 1'!$I:$I,"Mi-8",'Таблиця 1'!$J:$J,"Zuni")+SUMIFS('Таблиця 1'!$K:$K,'Таблиця 1'!$B:$B,$A622,'Таблиця 1'!$I:$I,"Mi-24",'Таблиця 1'!$J:$J,"Zuni"))</f>
        <v/>
      </c>
      <c r="O622">
        <f>IF($A622="","",COUNTIFS('Таблиця 1'!$B:$B,$A622,'Таблиця 1'!$I:$I,"Mi-8",'Таблиця 1'!$L:$L,"Уражено")+COUNTIFS('Таблиця 1'!$B:$B,$A622,'Таблиця 1'!$I:$I,"Mi-24",'Таблиця 1'!$L:$L,"Уражено"))</f>
        <v/>
      </c>
      <c r="P622">
        <f>IF($A622="","",COUNTIFS('Таблиця 1'!$B:$B,$A622,'Таблиця 1'!$I:$I,"Mi-8",'Таблиця 1'!$L:$L,"НЕ уражено")+COUNTIFS('Таблиця 1'!$B:$B,$A622,'Таблиця 1'!$I:$I,"Mi-24",'Таблиця 1'!$L:$L,"НЕ уражено"))</f>
        <v/>
      </c>
    </row>
    <row r="623">
      <c r="A623" s="273">
        <f>IF(A622="","",IF(A622+1&gt;MAX('Таблиця 1'!$B:$B),"",A622+1))</f>
        <v/>
      </c>
      <c r="B623">
        <f>IF($A623="","",COUNTIFS('Таблиця 1'!$B:$B,$A623,'Таблиця 1'!$I:$I,"Mi-8")+COUNTIFS('Таблиця 1'!$B:$B,$A623,'Таблиця 1'!$I:$I,"Mi-24"))</f>
        <v/>
      </c>
      <c r="C623">
        <f>IF($A623="","",COUNTIFS('Таблиця 1'!$B:$B,$A623,'Таблиця 1'!$I:$I,"Mi-8"))</f>
        <v/>
      </c>
      <c r="D623">
        <f>IF($A623="","",COUNTIFS('Таблиця 1'!$B:$B,$A623,'Таблиця 1'!$I:$I,"Mi-24"))</f>
        <v/>
      </c>
      <c r="E623">
        <f>IF($A623="","",SUMIFS('Таблиця 1'!$K:$K,'Таблиця 1'!$B:$B,$A623,'Таблиця 1'!$I:$I,"Mi-8",'Таблиця 1'!$J:$J,"ARS-8")+SUMIFS('Таблиця 1'!$K:$K,'Таблиця 1'!$B:$B,$A623,'Таблиця 1'!$I:$I,"Mi-24",'Таблиця 1'!$J:$J,"ARS-8"))</f>
        <v/>
      </c>
      <c r="F623">
        <f>IF($A623="","",SUMIFS('Таблиця 1'!$K:$K,'Таблиця 1'!$B:$B,$A623,'Таблиця 1'!$I:$I,"Mi-8",'Таблиця 1'!$J:$J,"С-8 ком")+SUMIFS('Таблиця 1'!$K:$K,'Таблиця 1'!$B:$B,$A623,'Таблиця 1'!$I:$I,"Mi-24",'Таблиця 1'!$J:$J,"С-8 ком"))</f>
        <v/>
      </c>
      <c r="G623">
        <f>IF($A623="","",SUMIFS('Таблиця 1'!$K:$K,'Таблиця 1'!$B:$B,$A623,'Таблиця 1'!$I:$I,"Mi-8",'Таблиця 1'!$J:$J,"PC-80")+SUMIFS('Таблиця 1'!$K:$K,'Таблиця 1'!$B:$B,$A623,'Таблиця 1'!$I:$I,"Mi-24",'Таблиця 1'!$J:$J,"PC-80"))</f>
        <v/>
      </c>
      <c r="H623">
        <f>IF($A623="","",SUMIFS('Таблиця 1'!$K:$K,'Таблиця 1'!$B:$B,$A623,'Таблиця 1'!$I:$I,"Mi-8",'Таблиця 1'!$J:$J,"UAR-80")+SUMIFS('Таблиця 1'!$K:$K,'Таблиця 1'!$B:$B,$A623,'Таблиця 1'!$I:$I,"Mi-24",'Таблиця 1'!$J:$J,"UAR-80"))</f>
        <v/>
      </c>
      <c r="I623">
        <f>IF($A623="","",SUMIFS('Таблиця 1'!$K:$K,'Таблиця 1'!$B:$B,$A623,'Таблиця 1'!$I:$I,"Mi-8",'Таблиця 1'!$J:$J,"C-13")+SUMIFS('Таблиця 1'!$K:$K,'Таблиця 1'!$B:$B,$A623,'Таблиця 1'!$I:$I,"Mi-24",'Таблиця 1'!$J:$J,"C-13"))</f>
        <v/>
      </c>
      <c r="J623">
        <f>IF($A623="","",SUMIFS('Таблиця 1'!$K:$K,'Таблиця 1'!$B:$B,$A623,'Таблиця 1'!$I:$I,"Mi-8",'Таблиця 1'!$J:$J,"Hydra-70")+SUMIFS('Таблиця 1'!$K:$K,'Таблиця 1'!$B:$B,$A623,'Таблиця 1'!$I:$I,"Mi-24",'Таблиця 1'!$J:$J,"Hydra-70"))</f>
        <v/>
      </c>
      <c r="K623">
        <f>IF($A623="","",SUMIFS('Таблиця 1'!$K:$K,'Таблиця 1'!$B:$B,$A623,'Таблиця 1'!$I:$I,"Mi-8",'Таблиця 1'!$J:$J,"Thales-70")+SUMIFS('Таблиця 1'!$K:$K,'Таблиця 1'!$B:$B,$A623,'Таблиця 1'!$I:$I,"Mi-24",'Таблиця 1'!$J:$J,"Thales-70"))</f>
        <v/>
      </c>
      <c r="L623">
        <f>IF($A623="","",SUMIFS('Таблиця 1'!$K:$K,'Таблиця 1'!$B:$B,$A623,'Таблиця 1'!$I:$I,"Mi-8",'Таблиця 1'!$J:$J,"Thales-FZ")+SUMIFS('Таблиця 1'!$K:$K,'Таблиця 1'!$B:$B,$A623,'Таблиця 1'!$I:$I,"Mi-24",'Таблиця 1'!$J:$J,"Thales-FZ"))</f>
        <v/>
      </c>
      <c r="M623">
        <f>IF($A623="","",SUMIFS('Таблиця 1'!$K:$K,'Таблиця 1'!$B:$B,$A623,'Таблиця 1'!$I:$I,"Mi-8",'Таблиця 1'!$J:$J,"МК-40")+SUMIFS('Таблиця 1'!$K:$K,'Таблиця 1'!$B:$B,$A623,'Таблиця 1'!$I:$I,"Mi-24",'Таблиця 1'!$J:$J,"МК-40"))</f>
        <v/>
      </c>
      <c r="N623">
        <f>IF($A623="","",SUMIFS('Таблиця 1'!$K:$K,'Таблиця 1'!$B:$B,$A623,'Таблиця 1'!$I:$I,"Mi-8",'Таблиця 1'!$J:$J,"Zuni")+SUMIFS('Таблиця 1'!$K:$K,'Таблиця 1'!$B:$B,$A623,'Таблиця 1'!$I:$I,"Mi-24",'Таблиця 1'!$J:$J,"Zuni"))</f>
        <v/>
      </c>
      <c r="O623">
        <f>IF($A623="","",COUNTIFS('Таблиця 1'!$B:$B,$A623,'Таблиця 1'!$I:$I,"Mi-8",'Таблиця 1'!$L:$L,"Уражено")+COUNTIFS('Таблиця 1'!$B:$B,$A623,'Таблиця 1'!$I:$I,"Mi-24",'Таблиця 1'!$L:$L,"Уражено"))</f>
        <v/>
      </c>
      <c r="P623">
        <f>IF($A623="","",COUNTIFS('Таблиця 1'!$B:$B,$A623,'Таблиця 1'!$I:$I,"Mi-8",'Таблиця 1'!$L:$L,"НЕ уражено")+COUNTIFS('Таблиця 1'!$B:$B,$A623,'Таблиця 1'!$I:$I,"Mi-24",'Таблиця 1'!$L:$L,"НЕ уражено"))</f>
        <v/>
      </c>
    </row>
    <row r="624">
      <c r="A624" s="273">
        <f>IF(A623="","",IF(A623+1&gt;MAX('Таблиця 1'!$B:$B),"",A623+1))</f>
        <v/>
      </c>
      <c r="B624">
        <f>IF($A624="","",COUNTIFS('Таблиця 1'!$B:$B,$A624,'Таблиця 1'!$I:$I,"Mi-8")+COUNTIFS('Таблиця 1'!$B:$B,$A624,'Таблиця 1'!$I:$I,"Mi-24"))</f>
        <v/>
      </c>
      <c r="C624">
        <f>IF($A624="","",COUNTIFS('Таблиця 1'!$B:$B,$A624,'Таблиця 1'!$I:$I,"Mi-8"))</f>
        <v/>
      </c>
      <c r="D624">
        <f>IF($A624="","",COUNTIFS('Таблиця 1'!$B:$B,$A624,'Таблиця 1'!$I:$I,"Mi-24"))</f>
        <v/>
      </c>
      <c r="E624">
        <f>IF($A624="","",SUMIFS('Таблиця 1'!$K:$K,'Таблиця 1'!$B:$B,$A624,'Таблиця 1'!$I:$I,"Mi-8",'Таблиця 1'!$J:$J,"ARS-8")+SUMIFS('Таблиця 1'!$K:$K,'Таблиця 1'!$B:$B,$A624,'Таблиця 1'!$I:$I,"Mi-24",'Таблиця 1'!$J:$J,"ARS-8"))</f>
        <v/>
      </c>
      <c r="F624">
        <f>IF($A624="","",SUMIFS('Таблиця 1'!$K:$K,'Таблиця 1'!$B:$B,$A624,'Таблиця 1'!$I:$I,"Mi-8",'Таблиця 1'!$J:$J,"С-8 ком")+SUMIFS('Таблиця 1'!$K:$K,'Таблиця 1'!$B:$B,$A624,'Таблиця 1'!$I:$I,"Mi-24",'Таблиця 1'!$J:$J,"С-8 ком"))</f>
        <v/>
      </c>
      <c r="G624">
        <f>IF($A624="","",SUMIFS('Таблиця 1'!$K:$K,'Таблиця 1'!$B:$B,$A624,'Таблиця 1'!$I:$I,"Mi-8",'Таблиця 1'!$J:$J,"PC-80")+SUMIFS('Таблиця 1'!$K:$K,'Таблиця 1'!$B:$B,$A624,'Таблиця 1'!$I:$I,"Mi-24",'Таблиця 1'!$J:$J,"PC-80"))</f>
        <v/>
      </c>
      <c r="H624">
        <f>IF($A624="","",SUMIFS('Таблиця 1'!$K:$K,'Таблиця 1'!$B:$B,$A624,'Таблиця 1'!$I:$I,"Mi-8",'Таблиця 1'!$J:$J,"UAR-80")+SUMIFS('Таблиця 1'!$K:$K,'Таблиця 1'!$B:$B,$A624,'Таблиця 1'!$I:$I,"Mi-24",'Таблиця 1'!$J:$J,"UAR-80"))</f>
        <v/>
      </c>
      <c r="I624">
        <f>IF($A624="","",SUMIFS('Таблиця 1'!$K:$K,'Таблиця 1'!$B:$B,$A624,'Таблиця 1'!$I:$I,"Mi-8",'Таблиця 1'!$J:$J,"C-13")+SUMIFS('Таблиця 1'!$K:$K,'Таблиця 1'!$B:$B,$A624,'Таблиця 1'!$I:$I,"Mi-24",'Таблиця 1'!$J:$J,"C-13"))</f>
        <v/>
      </c>
      <c r="J624">
        <f>IF($A624="","",SUMIFS('Таблиця 1'!$K:$K,'Таблиця 1'!$B:$B,$A624,'Таблиця 1'!$I:$I,"Mi-8",'Таблиця 1'!$J:$J,"Hydra-70")+SUMIFS('Таблиця 1'!$K:$K,'Таблиця 1'!$B:$B,$A624,'Таблиця 1'!$I:$I,"Mi-24",'Таблиця 1'!$J:$J,"Hydra-70"))</f>
        <v/>
      </c>
      <c r="K624">
        <f>IF($A624="","",SUMIFS('Таблиця 1'!$K:$K,'Таблиця 1'!$B:$B,$A624,'Таблиця 1'!$I:$I,"Mi-8",'Таблиця 1'!$J:$J,"Thales-70")+SUMIFS('Таблиця 1'!$K:$K,'Таблиця 1'!$B:$B,$A624,'Таблиця 1'!$I:$I,"Mi-24",'Таблиця 1'!$J:$J,"Thales-70"))</f>
        <v/>
      </c>
      <c r="L624">
        <f>IF($A624="","",SUMIFS('Таблиця 1'!$K:$K,'Таблиця 1'!$B:$B,$A624,'Таблиця 1'!$I:$I,"Mi-8",'Таблиця 1'!$J:$J,"Thales-FZ")+SUMIFS('Таблиця 1'!$K:$K,'Таблиця 1'!$B:$B,$A624,'Таблиця 1'!$I:$I,"Mi-24",'Таблиця 1'!$J:$J,"Thales-FZ"))</f>
        <v/>
      </c>
      <c r="M624">
        <f>IF($A624="","",SUMIFS('Таблиця 1'!$K:$K,'Таблиця 1'!$B:$B,$A624,'Таблиця 1'!$I:$I,"Mi-8",'Таблиця 1'!$J:$J,"МК-40")+SUMIFS('Таблиця 1'!$K:$K,'Таблиця 1'!$B:$B,$A624,'Таблиця 1'!$I:$I,"Mi-24",'Таблиця 1'!$J:$J,"МК-40"))</f>
        <v/>
      </c>
      <c r="N624">
        <f>IF($A624="","",SUMIFS('Таблиця 1'!$K:$K,'Таблиця 1'!$B:$B,$A624,'Таблиця 1'!$I:$I,"Mi-8",'Таблиця 1'!$J:$J,"Zuni")+SUMIFS('Таблиця 1'!$K:$K,'Таблиця 1'!$B:$B,$A624,'Таблиця 1'!$I:$I,"Mi-24",'Таблиця 1'!$J:$J,"Zuni"))</f>
        <v/>
      </c>
      <c r="O624">
        <f>IF($A624="","",COUNTIFS('Таблиця 1'!$B:$B,$A624,'Таблиця 1'!$I:$I,"Mi-8",'Таблиця 1'!$L:$L,"Уражено")+COUNTIFS('Таблиця 1'!$B:$B,$A624,'Таблиця 1'!$I:$I,"Mi-24",'Таблиця 1'!$L:$L,"Уражено"))</f>
        <v/>
      </c>
      <c r="P624">
        <f>IF($A624="","",COUNTIFS('Таблиця 1'!$B:$B,$A624,'Таблиця 1'!$I:$I,"Mi-8",'Таблиця 1'!$L:$L,"НЕ уражено")+COUNTIFS('Таблиця 1'!$B:$B,$A624,'Таблиця 1'!$I:$I,"Mi-24",'Таблиця 1'!$L:$L,"НЕ уражено"))</f>
        <v/>
      </c>
    </row>
    <row r="625">
      <c r="A625" s="273">
        <f>IF(A624="","",IF(A624+1&gt;MAX('Таблиця 1'!$B:$B),"",A624+1))</f>
        <v/>
      </c>
      <c r="B625">
        <f>IF($A625="","",COUNTIFS('Таблиця 1'!$B:$B,$A625,'Таблиця 1'!$I:$I,"Mi-8")+COUNTIFS('Таблиця 1'!$B:$B,$A625,'Таблиця 1'!$I:$I,"Mi-24"))</f>
        <v/>
      </c>
      <c r="C625">
        <f>IF($A625="","",COUNTIFS('Таблиця 1'!$B:$B,$A625,'Таблиця 1'!$I:$I,"Mi-8"))</f>
        <v/>
      </c>
      <c r="D625">
        <f>IF($A625="","",COUNTIFS('Таблиця 1'!$B:$B,$A625,'Таблиця 1'!$I:$I,"Mi-24"))</f>
        <v/>
      </c>
      <c r="E625">
        <f>IF($A625="","",SUMIFS('Таблиця 1'!$K:$K,'Таблиця 1'!$B:$B,$A625,'Таблиця 1'!$I:$I,"Mi-8",'Таблиця 1'!$J:$J,"ARS-8")+SUMIFS('Таблиця 1'!$K:$K,'Таблиця 1'!$B:$B,$A625,'Таблиця 1'!$I:$I,"Mi-24",'Таблиця 1'!$J:$J,"ARS-8"))</f>
        <v/>
      </c>
      <c r="F625">
        <f>IF($A625="","",SUMIFS('Таблиця 1'!$K:$K,'Таблиця 1'!$B:$B,$A625,'Таблиця 1'!$I:$I,"Mi-8",'Таблиця 1'!$J:$J,"С-8 ком")+SUMIFS('Таблиця 1'!$K:$K,'Таблиця 1'!$B:$B,$A625,'Таблиця 1'!$I:$I,"Mi-24",'Таблиця 1'!$J:$J,"С-8 ком"))</f>
        <v/>
      </c>
      <c r="G625">
        <f>IF($A625="","",SUMIFS('Таблиця 1'!$K:$K,'Таблиця 1'!$B:$B,$A625,'Таблиця 1'!$I:$I,"Mi-8",'Таблиця 1'!$J:$J,"PC-80")+SUMIFS('Таблиця 1'!$K:$K,'Таблиця 1'!$B:$B,$A625,'Таблиця 1'!$I:$I,"Mi-24",'Таблиця 1'!$J:$J,"PC-80"))</f>
        <v/>
      </c>
      <c r="H625">
        <f>IF($A625="","",SUMIFS('Таблиця 1'!$K:$K,'Таблиця 1'!$B:$B,$A625,'Таблиця 1'!$I:$I,"Mi-8",'Таблиця 1'!$J:$J,"UAR-80")+SUMIFS('Таблиця 1'!$K:$K,'Таблиця 1'!$B:$B,$A625,'Таблиця 1'!$I:$I,"Mi-24",'Таблиця 1'!$J:$J,"UAR-80"))</f>
        <v/>
      </c>
      <c r="I625">
        <f>IF($A625="","",SUMIFS('Таблиця 1'!$K:$K,'Таблиця 1'!$B:$B,$A625,'Таблиця 1'!$I:$I,"Mi-8",'Таблиця 1'!$J:$J,"C-13")+SUMIFS('Таблиця 1'!$K:$K,'Таблиця 1'!$B:$B,$A625,'Таблиця 1'!$I:$I,"Mi-24",'Таблиця 1'!$J:$J,"C-13"))</f>
        <v/>
      </c>
      <c r="J625">
        <f>IF($A625="","",SUMIFS('Таблиця 1'!$K:$K,'Таблиця 1'!$B:$B,$A625,'Таблиця 1'!$I:$I,"Mi-8",'Таблиця 1'!$J:$J,"Hydra-70")+SUMIFS('Таблиця 1'!$K:$K,'Таблиця 1'!$B:$B,$A625,'Таблиця 1'!$I:$I,"Mi-24",'Таблиця 1'!$J:$J,"Hydra-70"))</f>
        <v/>
      </c>
      <c r="K625">
        <f>IF($A625="","",SUMIFS('Таблиця 1'!$K:$K,'Таблиця 1'!$B:$B,$A625,'Таблиця 1'!$I:$I,"Mi-8",'Таблиця 1'!$J:$J,"Thales-70")+SUMIFS('Таблиця 1'!$K:$K,'Таблиця 1'!$B:$B,$A625,'Таблиця 1'!$I:$I,"Mi-24",'Таблиця 1'!$J:$J,"Thales-70"))</f>
        <v/>
      </c>
      <c r="L625">
        <f>IF($A625="","",SUMIFS('Таблиця 1'!$K:$K,'Таблиця 1'!$B:$B,$A625,'Таблиця 1'!$I:$I,"Mi-8",'Таблиця 1'!$J:$J,"Thales-FZ")+SUMIFS('Таблиця 1'!$K:$K,'Таблиця 1'!$B:$B,$A625,'Таблиця 1'!$I:$I,"Mi-24",'Таблиця 1'!$J:$J,"Thales-FZ"))</f>
        <v/>
      </c>
      <c r="M625">
        <f>IF($A625="","",SUMIFS('Таблиця 1'!$K:$K,'Таблиця 1'!$B:$B,$A625,'Таблиця 1'!$I:$I,"Mi-8",'Таблиця 1'!$J:$J,"МК-40")+SUMIFS('Таблиця 1'!$K:$K,'Таблиця 1'!$B:$B,$A625,'Таблиця 1'!$I:$I,"Mi-24",'Таблиця 1'!$J:$J,"МК-40"))</f>
        <v/>
      </c>
      <c r="N625">
        <f>IF($A625="","",SUMIFS('Таблиця 1'!$K:$K,'Таблиця 1'!$B:$B,$A625,'Таблиця 1'!$I:$I,"Mi-8",'Таблиця 1'!$J:$J,"Zuni")+SUMIFS('Таблиця 1'!$K:$K,'Таблиця 1'!$B:$B,$A625,'Таблиця 1'!$I:$I,"Mi-24",'Таблиця 1'!$J:$J,"Zuni"))</f>
        <v/>
      </c>
      <c r="O625">
        <f>IF($A625="","",COUNTIFS('Таблиця 1'!$B:$B,$A625,'Таблиця 1'!$I:$I,"Mi-8",'Таблиця 1'!$L:$L,"Уражено")+COUNTIFS('Таблиця 1'!$B:$B,$A625,'Таблиця 1'!$I:$I,"Mi-24",'Таблиця 1'!$L:$L,"Уражено"))</f>
        <v/>
      </c>
      <c r="P625">
        <f>IF($A625="","",COUNTIFS('Таблиця 1'!$B:$B,$A625,'Таблиця 1'!$I:$I,"Mi-8",'Таблиця 1'!$L:$L,"НЕ уражено")+COUNTIFS('Таблиця 1'!$B:$B,$A625,'Таблиця 1'!$I:$I,"Mi-24",'Таблиця 1'!$L:$L,"НЕ уражено"))</f>
        <v/>
      </c>
    </row>
    <row r="626">
      <c r="A626" s="273">
        <f>IF(A625="","",IF(A625+1&gt;MAX('Таблиця 1'!$B:$B),"",A625+1))</f>
        <v/>
      </c>
      <c r="B626">
        <f>IF($A626="","",COUNTIFS('Таблиця 1'!$B:$B,$A626,'Таблиця 1'!$I:$I,"Mi-8")+COUNTIFS('Таблиця 1'!$B:$B,$A626,'Таблиця 1'!$I:$I,"Mi-24"))</f>
        <v/>
      </c>
      <c r="C626">
        <f>IF($A626="","",COUNTIFS('Таблиця 1'!$B:$B,$A626,'Таблиця 1'!$I:$I,"Mi-8"))</f>
        <v/>
      </c>
      <c r="D626">
        <f>IF($A626="","",COUNTIFS('Таблиця 1'!$B:$B,$A626,'Таблиця 1'!$I:$I,"Mi-24"))</f>
        <v/>
      </c>
      <c r="E626">
        <f>IF($A626="","",SUMIFS('Таблиця 1'!$K:$K,'Таблиця 1'!$B:$B,$A626,'Таблиця 1'!$I:$I,"Mi-8",'Таблиця 1'!$J:$J,"ARS-8")+SUMIFS('Таблиця 1'!$K:$K,'Таблиця 1'!$B:$B,$A626,'Таблиця 1'!$I:$I,"Mi-24",'Таблиця 1'!$J:$J,"ARS-8"))</f>
        <v/>
      </c>
      <c r="F626">
        <f>IF($A626="","",SUMIFS('Таблиця 1'!$K:$K,'Таблиця 1'!$B:$B,$A626,'Таблиця 1'!$I:$I,"Mi-8",'Таблиця 1'!$J:$J,"С-8 ком")+SUMIFS('Таблиця 1'!$K:$K,'Таблиця 1'!$B:$B,$A626,'Таблиця 1'!$I:$I,"Mi-24",'Таблиця 1'!$J:$J,"С-8 ком"))</f>
        <v/>
      </c>
      <c r="G626">
        <f>IF($A626="","",SUMIFS('Таблиця 1'!$K:$K,'Таблиця 1'!$B:$B,$A626,'Таблиця 1'!$I:$I,"Mi-8",'Таблиця 1'!$J:$J,"PC-80")+SUMIFS('Таблиця 1'!$K:$K,'Таблиця 1'!$B:$B,$A626,'Таблиця 1'!$I:$I,"Mi-24",'Таблиця 1'!$J:$J,"PC-80"))</f>
        <v/>
      </c>
      <c r="H626">
        <f>IF($A626="","",SUMIFS('Таблиця 1'!$K:$K,'Таблиця 1'!$B:$B,$A626,'Таблиця 1'!$I:$I,"Mi-8",'Таблиця 1'!$J:$J,"UAR-80")+SUMIFS('Таблиця 1'!$K:$K,'Таблиця 1'!$B:$B,$A626,'Таблиця 1'!$I:$I,"Mi-24",'Таблиця 1'!$J:$J,"UAR-80"))</f>
        <v/>
      </c>
      <c r="I626">
        <f>IF($A626="","",SUMIFS('Таблиця 1'!$K:$K,'Таблиця 1'!$B:$B,$A626,'Таблиця 1'!$I:$I,"Mi-8",'Таблиця 1'!$J:$J,"C-13")+SUMIFS('Таблиця 1'!$K:$K,'Таблиця 1'!$B:$B,$A626,'Таблиця 1'!$I:$I,"Mi-24",'Таблиця 1'!$J:$J,"C-13"))</f>
        <v/>
      </c>
      <c r="J626">
        <f>IF($A626="","",SUMIFS('Таблиця 1'!$K:$K,'Таблиця 1'!$B:$B,$A626,'Таблиця 1'!$I:$I,"Mi-8",'Таблиця 1'!$J:$J,"Hydra-70")+SUMIFS('Таблиця 1'!$K:$K,'Таблиця 1'!$B:$B,$A626,'Таблиця 1'!$I:$I,"Mi-24",'Таблиця 1'!$J:$J,"Hydra-70"))</f>
        <v/>
      </c>
      <c r="K626">
        <f>IF($A626="","",SUMIFS('Таблиця 1'!$K:$K,'Таблиця 1'!$B:$B,$A626,'Таблиця 1'!$I:$I,"Mi-8",'Таблиця 1'!$J:$J,"Thales-70")+SUMIFS('Таблиця 1'!$K:$K,'Таблиця 1'!$B:$B,$A626,'Таблиця 1'!$I:$I,"Mi-24",'Таблиця 1'!$J:$J,"Thales-70"))</f>
        <v/>
      </c>
      <c r="L626">
        <f>IF($A626="","",SUMIFS('Таблиця 1'!$K:$K,'Таблиця 1'!$B:$B,$A626,'Таблиця 1'!$I:$I,"Mi-8",'Таблиця 1'!$J:$J,"Thales-FZ")+SUMIFS('Таблиця 1'!$K:$K,'Таблиця 1'!$B:$B,$A626,'Таблиця 1'!$I:$I,"Mi-24",'Таблиця 1'!$J:$J,"Thales-FZ"))</f>
        <v/>
      </c>
      <c r="M626">
        <f>IF($A626="","",SUMIFS('Таблиця 1'!$K:$K,'Таблиця 1'!$B:$B,$A626,'Таблиця 1'!$I:$I,"Mi-8",'Таблиця 1'!$J:$J,"МК-40")+SUMIFS('Таблиця 1'!$K:$K,'Таблиця 1'!$B:$B,$A626,'Таблиця 1'!$I:$I,"Mi-24",'Таблиця 1'!$J:$J,"МК-40"))</f>
        <v/>
      </c>
      <c r="N626">
        <f>IF($A626="","",SUMIFS('Таблиця 1'!$K:$K,'Таблиця 1'!$B:$B,$A626,'Таблиця 1'!$I:$I,"Mi-8",'Таблиця 1'!$J:$J,"Zuni")+SUMIFS('Таблиця 1'!$K:$K,'Таблиця 1'!$B:$B,$A626,'Таблиця 1'!$I:$I,"Mi-24",'Таблиця 1'!$J:$J,"Zuni"))</f>
        <v/>
      </c>
      <c r="O626">
        <f>IF($A626="","",COUNTIFS('Таблиця 1'!$B:$B,$A626,'Таблиця 1'!$I:$I,"Mi-8",'Таблиця 1'!$L:$L,"Уражено")+COUNTIFS('Таблиця 1'!$B:$B,$A626,'Таблиця 1'!$I:$I,"Mi-24",'Таблиця 1'!$L:$L,"Уражено"))</f>
        <v/>
      </c>
      <c r="P626">
        <f>IF($A626="","",COUNTIFS('Таблиця 1'!$B:$B,$A626,'Таблиця 1'!$I:$I,"Mi-8",'Таблиця 1'!$L:$L,"НЕ уражено")+COUNTIFS('Таблиця 1'!$B:$B,$A626,'Таблиця 1'!$I:$I,"Mi-24",'Таблиця 1'!$L:$L,"НЕ уражено"))</f>
        <v/>
      </c>
    </row>
    <row r="627">
      <c r="A627" s="273">
        <f>IF(A626="","",IF(A626+1&gt;MAX('Таблиця 1'!$B:$B),"",A626+1))</f>
        <v/>
      </c>
      <c r="B627">
        <f>IF($A627="","",COUNTIFS('Таблиця 1'!$B:$B,$A627,'Таблиця 1'!$I:$I,"Mi-8")+COUNTIFS('Таблиця 1'!$B:$B,$A627,'Таблиця 1'!$I:$I,"Mi-24"))</f>
        <v/>
      </c>
      <c r="C627">
        <f>IF($A627="","",COUNTIFS('Таблиця 1'!$B:$B,$A627,'Таблиця 1'!$I:$I,"Mi-8"))</f>
        <v/>
      </c>
      <c r="D627">
        <f>IF($A627="","",COUNTIFS('Таблиця 1'!$B:$B,$A627,'Таблиця 1'!$I:$I,"Mi-24"))</f>
        <v/>
      </c>
      <c r="E627">
        <f>IF($A627="","",SUMIFS('Таблиця 1'!$K:$K,'Таблиця 1'!$B:$B,$A627,'Таблиця 1'!$I:$I,"Mi-8",'Таблиця 1'!$J:$J,"ARS-8")+SUMIFS('Таблиця 1'!$K:$K,'Таблиця 1'!$B:$B,$A627,'Таблиця 1'!$I:$I,"Mi-24",'Таблиця 1'!$J:$J,"ARS-8"))</f>
        <v/>
      </c>
      <c r="F627">
        <f>IF($A627="","",SUMIFS('Таблиця 1'!$K:$K,'Таблиця 1'!$B:$B,$A627,'Таблиця 1'!$I:$I,"Mi-8",'Таблиця 1'!$J:$J,"С-8 ком")+SUMIFS('Таблиця 1'!$K:$K,'Таблиця 1'!$B:$B,$A627,'Таблиця 1'!$I:$I,"Mi-24",'Таблиця 1'!$J:$J,"С-8 ком"))</f>
        <v/>
      </c>
      <c r="G627">
        <f>IF($A627="","",SUMIFS('Таблиця 1'!$K:$K,'Таблиця 1'!$B:$B,$A627,'Таблиця 1'!$I:$I,"Mi-8",'Таблиця 1'!$J:$J,"PC-80")+SUMIFS('Таблиця 1'!$K:$K,'Таблиця 1'!$B:$B,$A627,'Таблиця 1'!$I:$I,"Mi-24",'Таблиця 1'!$J:$J,"PC-80"))</f>
        <v/>
      </c>
      <c r="H627">
        <f>IF($A627="","",SUMIFS('Таблиця 1'!$K:$K,'Таблиця 1'!$B:$B,$A627,'Таблиця 1'!$I:$I,"Mi-8",'Таблиця 1'!$J:$J,"UAR-80")+SUMIFS('Таблиця 1'!$K:$K,'Таблиця 1'!$B:$B,$A627,'Таблиця 1'!$I:$I,"Mi-24",'Таблиця 1'!$J:$J,"UAR-80"))</f>
        <v/>
      </c>
      <c r="I627">
        <f>IF($A627="","",SUMIFS('Таблиця 1'!$K:$K,'Таблиця 1'!$B:$B,$A627,'Таблиця 1'!$I:$I,"Mi-8",'Таблиця 1'!$J:$J,"C-13")+SUMIFS('Таблиця 1'!$K:$K,'Таблиця 1'!$B:$B,$A627,'Таблиця 1'!$I:$I,"Mi-24",'Таблиця 1'!$J:$J,"C-13"))</f>
        <v/>
      </c>
      <c r="J627">
        <f>IF($A627="","",SUMIFS('Таблиця 1'!$K:$K,'Таблиця 1'!$B:$B,$A627,'Таблиця 1'!$I:$I,"Mi-8",'Таблиця 1'!$J:$J,"Hydra-70")+SUMIFS('Таблиця 1'!$K:$K,'Таблиця 1'!$B:$B,$A627,'Таблиця 1'!$I:$I,"Mi-24",'Таблиця 1'!$J:$J,"Hydra-70"))</f>
        <v/>
      </c>
      <c r="K627">
        <f>IF($A627="","",SUMIFS('Таблиця 1'!$K:$K,'Таблиця 1'!$B:$B,$A627,'Таблиця 1'!$I:$I,"Mi-8",'Таблиця 1'!$J:$J,"Thales-70")+SUMIFS('Таблиця 1'!$K:$K,'Таблиця 1'!$B:$B,$A627,'Таблиця 1'!$I:$I,"Mi-24",'Таблиця 1'!$J:$J,"Thales-70"))</f>
        <v/>
      </c>
      <c r="L627">
        <f>IF($A627="","",SUMIFS('Таблиця 1'!$K:$K,'Таблиця 1'!$B:$B,$A627,'Таблиця 1'!$I:$I,"Mi-8",'Таблиця 1'!$J:$J,"Thales-FZ")+SUMIFS('Таблиця 1'!$K:$K,'Таблиця 1'!$B:$B,$A627,'Таблиця 1'!$I:$I,"Mi-24",'Таблиця 1'!$J:$J,"Thales-FZ"))</f>
        <v/>
      </c>
      <c r="M627">
        <f>IF($A627="","",SUMIFS('Таблиця 1'!$K:$K,'Таблиця 1'!$B:$B,$A627,'Таблиця 1'!$I:$I,"Mi-8",'Таблиця 1'!$J:$J,"МК-40")+SUMIFS('Таблиця 1'!$K:$K,'Таблиця 1'!$B:$B,$A627,'Таблиця 1'!$I:$I,"Mi-24",'Таблиця 1'!$J:$J,"МК-40"))</f>
        <v/>
      </c>
      <c r="N627">
        <f>IF($A627="","",SUMIFS('Таблиця 1'!$K:$K,'Таблиця 1'!$B:$B,$A627,'Таблиця 1'!$I:$I,"Mi-8",'Таблиця 1'!$J:$J,"Zuni")+SUMIFS('Таблиця 1'!$K:$K,'Таблиця 1'!$B:$B,$A627,'Таблиця 1'!$I:$I,"Mi-24",'Таблиця 1'!$J:$J,"Zuni"))</f>
        <v/>
      </c>
      <c r="O627">
        <f>IF($A627="","",COUNTIFS('Таблиця 1'!$B:$B,$A627,'Таблиця 1'!$I:$I,"Mi-8",'Таблиця 1'!$L:$L,"Уражено")+COUNTIFS('Таблиця 1'!$B:$B,$A627,'Таблиця 1'!$I:$I,"Mi-24",'Таблиця 1'!$L:$L,"Уражено"))</f>
        <v/>
      </c>
      <c r="P627">
        <f>IF($A627="","",COUNTIFS('Таблиця 1'!$B:$B,$A627,'Таблиця 1'!$I:$I,"Mi-8",'Таблиця 1'!$L:$L,"НЕ уражено")+COUNTIFS('Таблиця 1'!$B:$B,$A627,'Таблиця 1'!$I:$I,"Mi-24",'Таблиця 1'!$L:$L,"НЕ уражено"))</f>
        <v/>
      </c>
    </row>
    <row r="628">
      <c r="A628" s="273">
        <f>IF(A627="","",IF(A627+1&gt;MAX('Таблиця 1'!$B:$B),"",A627+1))</f>
        <v/>
      </c>
      <c r="B628">
        <f>IF($A628="","",COUNTIFS('Таблиця 1'!$B:$B,$A628,'Таблиця 1'!$I:$I,"Mi-8")+COUNTIFS('Таблиця 1'!$B:$B,$A628,'Таблиця 1'!$I:$I,"Mi-24"))</f>
        <v/>
      </c>
      <c r="C628">
        <f>IF($A628="","",COUNTIFS('Таблиця 1'!$B:$B,$A628,'Таблиця 1'!$I:$I,"Mi-8"))</f>
        <v/>
      </c>
      <c r="D628">
        <f>IF($A628="","",COUNTIFS('Таблиця 1'!$B:$B,$A628,'Таблиця 1'!$I:$I,"Mi-24"))</f>
        <v/>
      </c>
      <c r="E628">
        <f>IF($A628="","",SUMIFS('Таблиця 1'!$K:$K,'Таблиця 1'!$B:$B,$A628,'Таблиця 1'!$I:$I,"Mi-8",'Таблиця 1'!$J:$J,"ARS-8")+SUMIFS('Таблиця 1'!$K:$K,'Таблиця 1'!$B:$B,$A628,'Таблиця 1'!$I:$I,"Mi-24",'Таблиця 1'!$J:$J,"ARS-8"))</f>
        <v/>
      </c>
      <c r="F628">
        <f>IF($A628="","",SUMIFS('Таблиця 1'!$K:$K,'Таблиця 1'!$B:$B,$A628,'Таблиця 1'!$I:$I,"Mi-8",'Таблиця 1'!$J:$J,"С-8 ком")+SUMIFS('Таблиця 1'!$K:$K,'Таблиця 1'!$B:$B,$A628,'Таблиця 1'!$I:$I,"Mi-24",'Таблиця 1'!$J:$J,"С-8 ком"))</f>
        <v/>
      </c>
      <c r="G628">
        <f>IF($A628="","",SUMIFS('Таблиця 1'!$K:$K,'Таблиця 1'!$B:$B,$A628,'Таблиця 1'!$I:$I,"Mi-8",'Таблиця 1'!$J:$J,"PC-80")+SUMIFS('Таблиця 1'!$K:$K,'Таблиця 1'!$B:$B,$A628,'Таблиця 1'!$I:$I,"Mi-24",'Таблиця 1'!$J:$J,"PC-80"))</f>
        <v/>
      </c>
      <c r="H628">
        <f>IF($A628="","",SUMIFS('Таблиця 1'!$K:$K,'Таблиця 1'!$B:$B,$A628,'Таблиця 1'!$I:$I,"Mi-8",'Таблиця 1'!$J:$J,"UAR-80")+SUMIFS('Таблиця 1'!$K:$K,'Таблиця 1'!$B:$B,$A628,'Таблиця 1'!$I:$I,"Mi-24",'Таблиця 1'!$J:$J,"UAR-80"))</f>
        <v/>
      </c>
      <c r="I628">
        <f>IF($A628="","",SUMIFS('Таблиця 1'!$K:$K,'Таблиця 1'!$B:$B,$A628,'Таблиця 1'!$I:$I,"Mi-8",'Таблиця 1'!$J:$J,"C-13")+SUMIFS('Таблиця 1'!$K:$K,'Таблиця 1'!$B:$B,$A628,'Таблиця 1'!$I:$I,"Mi-24",'Таблиця 1'!$J:$J,"C-13"))</f>
        <v/>
      </c>
      <c r="J628">
        <f>IF($A628="","",SUMIFS('Таблиця 1'!$K:$K,'Таблиця 1'!$B:$B,$A628,'Таблиця 1'!$I:$I,"Mi-8",'Таблиця 1'!$J:$J,"Hydra-70")+SUMIFS('Таблиця 1'!$K:$K,'Таблиця 1'!$B:$B,$A628,'Таблиця 1'!$I:$I,"Mi-24",'Таблиця 1'!$J:$J,"Hydra-70"))</f>
        <v/>
      </c>
      <c r="K628">
        <f>IF($A628="","",SUMIFS('Таблиця 1'!$K:$K,'Таблиця 1'!$B:$B,$A628,'Таблиця 1'!$I:$I,"Mi-8",'Таблиця 1'!$J:$J,"Thales-70")+SUMIFS('Таблиця 1'!$K:$K,'Таблиця 1'!$B:$B,$A628,'Таблиця 1'!$I:$I,"Mi-24",'Таблиця 1'!$J:$J,"Thales-70"))</f>
        <v/>
      </c>
      <c r="L628">
        <f>IF($A628="","",SUMIFS('Таблиця 1'!$K:$K,'Таблиця 1'!$B:$B,$A628,'Таблиця 1'!$I:$I,"Mi-8",'Таблиця 1'!$J:$J,"Thales-FZ")+SUMIFS('Таблиця 1'!$K:$K,'Таблиця 1'!$B:$B,$A628,'Таблиця 1'!$I:$I,"Mi-24",'Таблиця 1'!$J:$J,"Thales-FZ"))</f>
        <v/>
      </c>
      <c r="M628">
        <f>IF($A628="","",SUMIFS('Таблиця 1'!$K:$K,'Таблиця 1'!$B:$B,$A628,'Таблиця 1'!$I:$I,"Mi-8",'Таблиця 1'!$J:$J,"МК-40")+SUMIFS('Таблиця 1'!$K:$K,'Таблиця 1'!$B:$B,$A628,'Таблиця 1'!$I:$I,"Mi-24",'Таблиця 1'!$J:$J,"МК-40"))</f>
        <v/>
      </c>
      <c r="N628">
        <f>IF($A628="","",SUMIFS('Таблиця 1'!$K:$K,'Таблиця 1'!$B:$B,$A628,'Таблиця 1'!$I:$I,"Mi-8",'Таблиця 1'!$J:$J,"Zuni")+SUMIFS('Таблиця 1'!$K:$K,'Таблиця 1'!$B:$B,$A628,'Таблиця 1'!$I:$I,"Mi-24",'Таблиця 1'!$J:$J,"Zuni"))</f>
        <v/>
      </c>
      <c r="O628">
        <f>IF($A628="","",COUNTIFS('Таблиця 1'!$B:$B,$A628,'Таблиця 1'!$I:$I,"Mi-8",'Таблиця 1'!$L:$L,"Уражено")+COUNTIFS('Таблиця 1'!$B:$B,$A628,'Таблиця 1'!$I:$I,"Mi-24",'Таблиця 1'!$L:$L,"Уражено"))</f>
        <v/>
      </c>
      <c r="P628">
        <f>IF($A628="","",COUNTIFS('Таблиця 1'!$B:$B,$A628,'Таблиця 1'!$I:$I,"Mi-8",'Таблиця 1'!$L:$L,"НЕ уражено")+COUNTIFS('Таблиця 1'!$B:$B,$A628,'Таблиця 1'!$I:$I,"Mi-24",'Таблиця 1'!$L:$L,"НЕ уражено"))</f>
        <v/>
      </c>
    </row>
    <row r="629">
      <c r="A629" s="273">
        <f>IF(A628="","",IF(A628+1&gt;MAX('Таблиця 1'!$B:$B),"",A628+1))</f>
        <v/>
      </c>
      <c r="B629">
        <f>IF($A629="","",COUNTIFS('Таблиця 1'!$B:$B,$A629,'Таблиця 1'!$I:$I,"Mi-8")+COUNTIFS('Таблиця 1'!$B:$B,$A629,'Таблиця 1'!$I:$I,"Mi-24"))</f>
        <v/>
      </c>
      <c r="C629">
        <f>IF($A629="","",COUNTIFS('Таблиця 1'!$B:$B,$A629,'Таблиця 1'!$I:$I,"Mi-8"))</f>
        <v/>
      </c>
      <c r="D629">
        <f>IF($A629="","",COUNTIFS('Таблиця 1'!$B:$B,$A629,'Таблиця 1'!$I:$I,"Mi-24"))</f>
        <v/>
      </c>
      <c r="E629">
        <f>IF($A629="","",SUMIFS('Таблиця 1'!$K:$K,'Таблиця 1'!$B:$B,$A629,'Таблиця 1'!$I:$I,"Mi-8",'Таблиця 1'!$J:$J,"ARS-8")+SUMIFS('Таблиця 1'!$K:$K,'Таблиця 1'!$B:$B,$A629,'Таблиця 1'!$I:$I,"Mi-24",'Таблиця 1'!$J:$J,"ARS-8"))</f>
        <v/>
      </c>
      <c r="F629">
        <f>IF($A629="","",SUMIFS('Таблиця 1'!$K:$K,'Таблиця 1'!$B:$B,$A629,'Таблиця 1'!$I:$I,"Mi-8",'Таблиця 1'!$J:$J,"С-8 ком")+SUMIFS('Таблиця 1'!$K:$K,'Таблиця 1'!$B:$B,$A629,'Таблиця 1'!$I:$I,"Mi-24",'Таблиця 1'!$J:$J,"С-8 ком"))</f>
        <v/>
      </c>
      <c r="G629">
        <f>IF($A629="","",SUMIFS('Таблиця 1'!$K:$K,'Таблиця 1'!$B:$B,$A629,'Таблиця 1'!$I:$I,"Mi-8",'Таблиця 1'!$J:$J,"PC-80")+SUMIFS('Таблиця 1'!$K:$K,'Таблиця 1'!$B:$B,$A629,'Таблиця 1'!$I:$I,"Mi-24",'Таблиця 1'!$J:$J,"PC-80"))</f>
        <v/>
      </c>
      <c r="H629">
        <f>IF($A629="","",SUMIFS('Таблиця 1'!$K:$K,'Таблиця 1'!$B:$B,$A629,'Таблиця 1'!$I:$I,"Mi-8",'Таблиця 1'!$J:$J,"UAR-80")+SUMIFS('Таблиця 1'!$K:$K,'Таблиця 1'!$B:$B,$A629,'Таблиця 1'!$I:$I,"Mi-24",'Таблиця 1'!$J:$J,"UAR-80"))</f>
        <v/>
      </c>
      <c r="I629">
        <f>IF($A629="","",SUMIFS('Таблиця 1'!$K:$K,'Таблиця 1'!$B:$B,$A629,'Таблиця 1'!$I:$I,"Mi-8",'Таблиця 1'!$J:$J,"C-13")+SUMIFS('Таблиця 1'!$K:$K,'Таблиця 1'!$B:$B,$A629,'Таблиця 1'!$I:$I,"Mi-24",'Таблиця 1'!$J:$J,"C-13"))</f>
        <v/>
      </c>
      <c r="J629">
        <f>IF($A629="","",SUMIFS('Таблиця 1'!$K:$K,'Таблиця 1'!$B:$B,$A629,'Таблиця 1'!$I:$I,"Mi-8",'Таблиця 1'!$J:$J,"Hydra-70")+SUMIFS('Таблиця 1'!$K:$K,'Таблиця 1'!$B:$B,$A629,'Таблиця 1'!$I:$I,"Mi-24",'Таблиця 1'!$J:$J,"Hydra-70"))</f>
        <v/>
      </c>
      <c r="K629">
        <f>IF($A629="","",SUMIFS('Таблиця 1'!$K:$K,'Таблиця 1'!$B:$B,$A629,'Таблиця 1'!$I:$I,"Mi-8",'Таблиця 1'!$J:$J,"Thales-70")+SUMIFS('Таблиця 1'!$K:$K,'Таблиця 1'!$B:$B,$A629,'Таблиця 1'!$I:$I,"Mi-24",'Таблиця 1'!$J:$J,"Thales-70"))</f>
        <v/>
      </c>
      <c r="L629">
        <f>IF($A629="","",SUMIFS('Таблиця 1'!$K:$K,'Таблиця 1'!$B:$B,$A629,'Таблиця 1'!$I:$I,"Mi-8",'Таблиця 1'!$J:$J,"Thales-FZ")+SUMIFS('Таблиця 1'!$K:$K,'Таблиця 1'!$B:$B,$A629,'Таблиця 1'!$I:$I,"Mi-24",'Таблиця 1'!$J:$J,"Thales-FZ"))</f>
        <v/>
      </c>
      <c r="M629">
        <f>IF($A629="","",SUMIFS('Таблиця 1'!$K:$K,'Таблиця 1'!$B:$B,$A629,'Таблиця 1'!$I:$I,"Mi-8",'Таблиця 1'!$J:$J,"МК-40")+SUMIFS('Таблиця 1'!$K:$K,'Таблиця 1'!$B:$B,$A629,'Таблиця 1'!$I:$I,"Mi-24",'Таблиця 1'!$J:$J,"МК-40"))</f>
        <v/>
      </c>
      <c r="N629">
        <f>IF($A629="","",SUMIFS('Таблиця 1'!$K:$K,'Таблиця 1'!$B:$B,$A629,'Таблиця 1'!$I:$I,"Mi-8",'Таблиця 1'!$J:$J,"Zuni")+SUMIFS('Таблиця 1'!$K:$K,'Таблиця 1'!$B:$B,$A629,'Таблиця 1'!$I:$I,"Mi-24",'Таблиця 1'!$J:$J,"Zuni"))</f>
        <v/>
      </c>
      <c r="O629">
        <f>IF($A629="","",COUNTIFS('Таблиця 1'!$B:$B,$A629,'Таблиця 1'!$I:$I,"Mi-8",'Таблиця 1'!$L:$L,"Уражено")+COUNTIFS('Таблиця 1'!$B:$B,$A629,'Таблиця 1'!$I:$I,"Mi-24",'Таблиця 1'!$L:$L,"Уражено"))</f>
        <v/>
      </c>
      <c r="P629">
        <f>IF($A629="","",COUNTIFS('Таблиця 1'!$B:$B,$A629,'Таблиця 1'!$I:$I,"Mi-8",'Таблиця 1'!$L:$L,"НЕ уражено")+COUNTIFS('Таблиця 1'!$B:$B,$A629,'Таблиця 1'!$I:$I,"Mi-24",'Таблиця 1'!$L:$L,"НЕ уражено"))</f>
        <v/>
      </c>
    </row>
    <row r="630">
      <c r="A630" s="273">
        <f>IF(A629="","",IF(A629+1&gt;MAX('Таблиця 1'!$B:$B),"",A629+1))</f>
        <v/>
      </c>
      <c r="B630">
        <f>IF($A630="","",COUNTIFS('Таблиця 1'!$B:$B,$A630,'Таблиця 1'!$I:$I,"Mi-8")+COUNTIFS('Таблиця 1'!$B:$B,$A630,'Таблиця 1'!$I:$I,"Mi-24"))</f>
        <v/>
      </c>
      <c r="C630">
        <f>IF($A630="","",COUNTIFS('Таблиця 1'!$B:$B,$A630,'Таблиця 1'!$I:$I,"Mi-8"))</f>
        <v/>
      </c>
      <c r="D630">
        <f>IF($A630="","",COUNTIFS('Таблиця 1'!$B:$B,$A630,'Таблиця 1'!$I:$I,"Mi-24"))</f>
        <v/>
      </c>
      <c r="E630">
        <f>IF($A630="","",SUMIFS('Таблиця 1'!$K:$K,'Таблиця 1'!$B:$B,$A630,'Таблиця 1'!$I:$I,"Mi-8",'Таблиця 1'!$J:$J,"ARS-8")+SUMIFS('Таблиця 1'!$K:$K,'Таблиця 1'!$B:$B,$A630,'Таблиця 1'!$I:$I,"Mi-24",'Таблиця 1'!$J:$J,"ARS-8"))</f>
        <v/>
      </c>
      <c r="F630">
        <f>IF($A630="","",SUMIFS('Таблиця 1'!$K:$K,'Таблиця 1'!$B:$B,$A630,'Таблиця 1'!$I:$I,"Mi-8",'Таблиця 1'!$J:$J,"С-8 ком")+SUMIFS('Таблиця 1'!$K:$K,'Таблиця 1'!$B:$B,$A630,'Таблиця 1'!$I:$I,"Mi-24",'Таблиця 1'!$J:$J,"С-8 ком"))</f>
        <v/>
      </c>
      <c r="G630">
        <f>IF($A630="","",SUMIFS('Таблиця 1'!$K:$K,'Таблиця 1'!$B:$B,$A630,'Таблиця 1'!$I:$I,"Mi-8",'Таблиця 1'!$J:$J,"PC-80")+SUMIFS('Таблиця 1'!$K:$K,'Таблиця 1'!$B:$B,$A630,'Таблиця 1'!$I:$I,"Mi-24",'Таблиця 1'!$J:$J,"PC-80"))</f>
        <v/>
      </c>
      <c r="H630">
        <f>IF($A630="","",SUMIFS('Таблиця 1'!$K:$K,'Таблиця 1'!$B:$B,$A630,'Таблиця 1'!$I:$I,"Mi-8",'Таблиця 1'!$J:$J,"UAR-80")+SUMIFS('Таблиця 1'!$K:$K,'Таблиця 1'!$B:$B,$A630,'Таблиця 1'!$I:$I,"Mi-24",'Таблиця 1'!$J:$J,"UAR-80"))</f>
        <v/>
      </c>
      <c r="I630">
        <f>IF($A630="","",SUMIFS('Таблиця 1'!$K:$K,'Таблиця 1'!$B:$B,$A630,'Таблиця 1'!$I:$I,"Mi-8",'Таблиця 1'!$J:$J,"C-13")+SUMIFS('Таблиця 1'!$K:$K,'Таблиця 1'!$B:$B,$A630,'Таблиця 1'!$I:$I,"Mi-24",'Таблиця 1'!$J:$J,"C-13"))</f>
        <v/>
      </c>
      <c r="J630">
        <f>IF($A630="","",SUMIFS('Таблиця 1'!$K:$K,'Таблиця 1'!$B:$B,$A630,'Таблиця 1'!$I:$I,"Mi-8",'Таблиця 1'!$J:$J,"Hydra-70")+SUMIFS('Таблиця 1'!$K:$K,'Таблиця 1'!$B:$B,$A630,'Таблиця 1'!$I:$I,"Mi-24",'Таблиця 1'!$J:$J,"Hydra-70"))</f>
        <v/>
      </c>
      <c r="K630">
        <f>IF($A630="","",SUMIFS('Таблиця 1'!$K:$K,'Таблиця 1'!$B:$B,$A630,'Таблиця 1'!$I:$I,"Mi-8",'Таблиця 1'!$J:$J,"Thales-70")+SUMIFS('Таблиця 1'!$K:$K,'Таблиця 1'!$B:$B,$A630,'Таблиця 1'!$I:$I,"Mi-24",'Таблиця 1'!$J:$J,"Thales-70"))</f>
        <v/>
      </c>
      <c r="L630">
        <f>IF($A630="","",SUMIFS('Таблиця 1'!$K:$K,'Таблиця 1'!$B:$B,$A630,'Таблиця 1'!$I:$I,"Mi-8",'Таблиця 1'!$J:$J,"Thales-FZ")+SUMIFS('Таблиця 1'!$K:$K,'Таблиця 1'!$B:$B,$A630,'Таблиця 1'!$I:$I,"Mi-24",'Таблиця 1'!$J:$J,"Thales-FZ"))</f>
        <v/>
      </c>
      <c r="M630">
        <f>IF($A630="","",SUMIFS('Таблиця 1'!$K:$K,'Таблиця 1'!$B:$B,$A630,'Таблиця 1'!$I:$I,"Mi-8",'Таблиця 1'!$J:$J,"МК-40")+SUMIFS('Таблиця 1'!$K:$K,'Таблиця 1'!$B:$B,$A630,'Таблиця 1'!$I:$I,"Mi-24",'Таблиця 1'!$J:$J,"МК-40"))</f>
        <v/>
      </c>
      <c r="N630">
        <f>IF($A630="","",SUMIFS('Таблиця 1'!$K:$K,'Таблиця 1'!$B:$B,$A630,'Таблиця 1'!$I:$I,"Mi-8",'Таблиця 1'!$J:$J,"Zuni")+SUMIFS('Таблиця 1'!$K:$K,'Таблиця 1'!$B:$B,$A630,'Таблиця 1'!$I:$I,"Mi-24",'Таблиця 1'!$J:$J,"Zuni"))</f>
        <v/>
      </c>
      <c r="O630">
        <f>IF($A630="","",COUNTIFS('Таблиця 1'!$B:$B,$A630,'Таблиця 1'!$I:$I,"Mi-8",'Таблиця 1'!$L:$L,"Уражено")+COUNTIFS('Таблиця 1'!$B:$B,$A630,'Таблиця 1'!$I:$I,"Mi-24",'Таблиця 1'!$L:$L,"Уражено"))</f>
        <v/>
      </c>
      <c r="P630">
        <f>IF($A630="","",COUNTIFS('Таблиця 1'!$B:$B,$A630,'Таблиця 1'!$I:$I,"Mi-8",'Таблиця 1'!$L:$L,"НЕ уражено")+COUNTIFS('Таблиця 1'!$B:$B,$A630,'Таблиця 1'!$I:$I,"Mi-24",'Таблиця 1'!$L:$L,"НЕ уражено"))</f>
        <v/>
      </c>
    </row>
    <row r="631">
      <c r="A631" s="273">
        <f>IF(A630="","",IF(A630+1&gt;MAX('Таблиця 1'!$B:$B),"",A630+1))</f>
        <v/>
      </c>
      <c r="B631">
        <f>IF($A631="","",COUNTIFS('Таблиця 1'!$B:$B,$A631,'Таблиця 1'!$I:$I,"Mi-8")+COUNTIFS('Таблиця 1'!$B:$B,$A631,'Таблиця 1'!$I:$I,"Mi-24"))</f>
        <v/>
      </c>
      <c r="C631">
        <f>IF($A631="","",COUNTIFS('Таблиця 1'!$B:$B,$A631,'Таблиця 1'!$I:$I,"Mi-8"))</f>
        <v/>
      </c>
      <c r="D631">
        <f>IF($A631="","",COUNTIFS('Таблиця 1'!$B:$B,$A631,'Таблиця 1'!$I:$I,"Mi-24"))</f>
        <v/>
      </c>
      <c r="E631">
        <f>IF($A631="","",SUMIFS('Таблиця 1'!$K:$K,'Таблиця 1'!$B:$B,$A631,'Таблиця 1'!$I:$I,"Mi-8",'Таблиця 1'!$J:$J,"ARS-8")+SUMIFS('Таблиця 1'!$K:$K,'Таблиця 1'!$B:$B,$A631,'Таблиця 1'!$I:$I,"Mi-24",'Таблиця 1'!$J:$J,"ARS-8"))</f>
        <v/>
      </c>
      <c r="F631">
        <f>IF($A631="","",SUMIFS('Таблиця 1'!$K:$K,'Таблиця 1'!$B:$B,$A631,'Таблиця 1'!$I:$I,"Mi-8",'Таблиця 1'!$J:$J,"С-8 ком")+SUMIFS('Таблиця 1'!$K:$K,'Таблиця 1'!$B:$B,$A631,'Таблиця 1'!$I:$I,"Mi-24",'Таблиця 1'!$J:$J,"С-8 ком"))</f>
        <v/>
      </c>
      <c r="G631">
        <f>IF($A631="","",SUMIFS('Таблиця 1'!$K:$K,'Таблиця 1'!$B:$B,$A631,'Таблиця 1'!$I:$I,"Mi-8",'Таблиця 1'!$J:$J,"PC-80")+SUMIFS('Таблиця 1'!$K:$K,'Таблиця 1'!$B:$B,$A631,'Таблиця 1'!$I:$I,"Mi-24",'Таблиця 1'!$J:$J,"PC-80"))</f>
        <v/>
      </c>
      <c r="H631">
        <f>IF($A631="","",SUMIFS('Таблиця 1'!$K:$K,'Таблиця 1'!$B:$B,$A631,'Таблиця 1'!$I:$I,"Mi-8",'Таблиця 1'!$J:$J,"UAR-80")+SUMIFS('Таблиця 1'!$K:$K,'Таблиця 1'!$B:$B,$A631,'Таблиця 1'!$I:$I,"Mi-24",'Таблиця 1'!$J:$J,"UAR-80"))</f>
        <v/>
      </c>
      <c r="I631">
        <f>IF($A631="","",SUMIFS('Таблиця 1'!$K:$K,'Таблиця 1'!$B:$B,$A631,'Таблиця 1'!$I:$I,"Mi-8",'Таблиця 1'!$J:$J,"C-13")+SUMIFS('Таблиця 1'!$K:$K,'Таблиця 1'!$B:$B,$A631,'Таблиця 1'!$I:$I,"Mi-24",'Таблиця 1'!$J:$J,"C-13"))</f>
        <v/>
      </c>
      <c r="J631">
        <f>IF($A631="","",SUMIFS('Таблиця 1'!$K:$K,'Таблиця 1'!$B:$B,$A631,'Таблиця 1'!$I:$I,"Mi-8",'Таблиця 1'!$J:$J,"Hydra-70")+SUMIFS('Таблиця 1'!$K:$K,'Таблиця 1'!$B:$B,$A631,'Таблиця 1'!$I:$I,"Mi-24",'Таблиця 1'!$J:$J,"Hydra-70"))</f>
        <v/>
      </c>
      <c r="K631">
        <f>IF($A631="","",SUMIFS('Таблиця 1'!$K:$K,'Таблиця 1'!$B:$B,$A631,'Таблиця 1'!$I:$I,"Mi-8",'Таблиця 1'!$J:$J,"Thales-70")+SUMIFS('Таблиця 1'!$K:$K,'Таблиця 1'!$B:$B,$A631,'Таблиця 1'!$I:$I,"Mi-24",'Таблиця 1'!$J:$J,"Thales-70"))</f>
        <v/>
      </c>
      <c r="L631">
        <f>IF($A631="","",SUMIFS('Таблиця 1'!$K:$K,'Таблиця 1'!$B:$B,$A631,'Таблиця 1'!$I:$I,"Mi-8",'Таблиця 1'!$J:$J,"Thales-FZ")+SUMIFS('Таблиця 1'!$K:$K,'Таблиця 1'!$B:$B,$A631,'Таблиця 1'!$I:$I,"Mi-24",'Таблиця 1'!$J:$J,"Thales-FZ"))</f>
        <v/>
      </c>
      <c r="M631">
        <f>IF($A631="","",SUMIFS('Таблиця 1'!$K:$K,'Таблиця 1'!$B:$B,$A631,'Таблиця 1'!$I:$I,"Mi-8",'Таблиця 1'!$J:$J,"МК-40")+SUMIFS('Таблиця 1'!$K:$K,'Таблиця 1'!$B:$B,$A631,'Таблиця 1'!$I:$I,"Mi-24",'Таблиця 1'!$J:$J,"МК-40"))</f>
        <v/>
      </c>
      <c r="N631">
        <f>IF($A631="","",SUMIFS('Таблиця 1'!$K:$K,'Таблиця 1'!$B:$B,$A631,'Таблиця 1'!$I:$I,"Mi-8",'Таблиця 1'!$J:$J,"Zuni")+SUMIFS('Таблиця 1'!$K:$K,'Таблиця 1'!$B:$B,$A631,'Таблиця 1'!$I:$I,"Mi-24",'Таблиця 1'!$J:$J,"Zuni"))</f>
        <v/>
      </c>
      <c r="O631">
        <f>IF($A631="","",COUNTIFS('Таблиця 1'!$B:$B,$A631,'Таблиця 1'!$I:$I,"Mi-8",'Таблиця 1'!$L:$L,"Уражено")+COUNTIFS('Таблиця 1'!$B:$B,$A631,'Таблиця 1'!$I:$I,"Mi-24",'Таблиця 1'!$L:$L,"Уражено"))</f>
        <v/>
      </c>
      <c r="P631">
        <f>IF($A631="","",COUNTIFS('Таблиця 1'!$B:$B,$A631,'Таблиця 1'!$I:$I,"Mi-8",'Таблиця 1'!$L:$L,"НЕ уражено")+COUNTIFS('Таблиця 1'!$B:$B,$A631,'Таблиця 1'!$I:$I,"Mi-24",'Таблиця 1'!$L:$L,"НЕ уражено"))</f>
        <v/>
      </c>
    </row>
    <row r="632">
      <c r="A632" s="273">
        <f>IF(A631="","",IF(A631+1&gt;MAX('Таблиця 1'!$B:$B),"",A631+1))</f>
        <v/>
      </c>
      <c r="B632">
        <f>IF($A632="","",COUNTIFS('Таблиця 1'!$B:$B,$A632,'Таблиця 1'!$I:$I,"Mi-8")+COUNTIFS('Таблиця 1'!$B:$B,$A632,'Таблиця 1'!$I:$I,"Mi-24"))</f>
        <v/>
      </c>
      <c r="C632">
        <f>IF($A632="","",COUNTIFS('Таблиця 1'!$B:$B,$A632,'Таблиця 1'!$I:$I,"Mi-8"))</f>
        <v/>
      </c>
      <c r="D632">
        <f>IF($A632="","",COUNTIFS('Таблиця 1'!$B:$B,$A632,'Таблиця 1'!$I:$I,"Mi-24"))</f>
        <v/>
      </c>
      <c r="E632">
        <f>IF($A632="","",SUMIFS('Таблиця 1'!$K:$K,'Таблиця 1'!$B:$B,$A632,'Таблиця 1'!$I:$I,"Mi-8",'Таблиця 1'!$J:$J,"ARS-8")+SUMIFS('Таблиця 1'!$K:$K,'Таблиця 1'!$B:$B,$A632,'Таблиця 1'!$I:$I,"Mi-24",'Таблиця 1'!$J:$J,"ARS-8"))</f>
        <v/>
      </c>
      <c r="F632">
        <f>IF($A632="","",SUMIFS('Таблиця 1'!$K:$K,'Таблиця 1'!$B:$B,$A632,'Таблиця 1'!$I:$I,"Mi-8",'Таблиця 1'!$J:$J,"С-8 ком")+SUMIFS('Таблиця 1'!$K:$K,'Таблиця 1'!$B:$B,$A632,'Таблиця 1'!$I:$I,"Mi-24",'Таблиця 1'!$J:$J,"С-8 ком"))</f>
        <v/>
      </c>
      <c r="G632">
        <f>IF($A632="","",SUMIFS('Таблиця 1'!$K:$K,'Таблиця 1'!$B:$B,$A632,'Таблиця 1'!$I:$I,"Mi-8",'Таблиця 1'!$J:$J,"PC-80")+SUMIFS('Таблиця 1'!$K:$K,'Таблиця 1'!$B:$B,$A632,'Таблиця 1'!$I:$I,"Mi-24",'Таблиця 1'!$J:$J,"PC-80"))</f>
        <v/>
      </c>
      <c r="H632">
        <f>IF($A632="","",SUMIFS('Таблиця 1'!$K:$K,'Таблиця 1'!$B:$B,$A632,'Таблиця 1'!$I:$I,"Mi-8",'Таблиця 1'!$J:$J,"UAR-80")+SUMIFS('Таблиця 1'!$K:$K,'Таблиця 1'!$B:$B,$A632,'Таблиця 1'!$I:$I,"Mi-24",'Таблиця 1'!$J:$J,"UAR-80"))</f>
        <v/>
      </c>
      <c r="I632">
        <f>IF($A632="","",SUMIFS('Таблиця 1'!$K:$K,'Таблиця 1'!$B:$B,$A632,'Таблиця 1'!$I:$I,"Mi-8",'Таблиця 1'!$J:$J,"C-13")+SUMIFS('Таблиця 1'!$K:$K,'Таблиця 1'!$B:$B,$A632,'Таблиця 1'!$I:$I,"Mi-24",'Таблиця 1'!$J:$J,"C-13"))</f>
        <v/>
      </c>
      <c r="J632">
        <f>IF($A632="","",SUMIFS('Таблиця 1'!$K:$K,'Таблиця 1'!$B:$B,$A632,'Таблиця 1'!$I:$I,"Mi-8",'Таблиця 1'!$J:$J,"Hydra-70")+SUMIFS('Таблиця 1'!$K:$K,'Таблиця 1'!$B:$B,$A632,'Таблиця 1'!$I:$I,"Mi-24",'Таблиця 1'!$J:$J,"Hydra-70"))</f>
        <v/>
      </c>
      <c r="K632">
        <f>IF($A632="","",SUMIFS('Таблиця 1'!$K:$K,'Таблиця 1'!$B:$B,$A632,'Таблиця 1'!$I:$I,"Mi-8",'Таблиця 1'!$J:$J,"Thales-70")+SUMIFS('Таблиця 1'!$K:$K,'Таблиця 1'!$B:$B,$A632,'Таблиця 1'!$I:$I,"Mi-24",'Таблиця 1'!$J:$J,"Thales-70"))</f>
        <v/>
      </c>
      <c r="L632">
        <f>IF($A632="","",SUMIFS('Таблиця 1'!$K:$K,'Таблиця 1'!$B:$B,$A632,'Таблиця 1'!$I:$I,"Mi-8",'Таблиця 1'!$J:$J,"Thales-FZ")+SUMIFS('Таблиця 1'!$K:$K,'Таблиця 1'!$B:$B,$A632,'Таблиця 1'!$I:$I,"Mi-24",'Таблиця 1'!$J:$J,"Thales-FZ"))</f>
        <v/>
      </c>
      <c r="M632">
        <f>IF($A632="","",SUMIFS('Таблиця 1'!$K:$K,'Таблиця 1'!$B:$B,$A632,'Таблиця 1'!$I:$I,"Mi-8",'Таблиця 1'!$J:$J,"МК-40")+SUMIFS('Таблиця 1'!$K:$K,'Таблиця 1'!$B:$B,$A632,'Таблиця 1'!$I:$I,"Mi-24",'Таблиця 1'!$J:$J,"МК-40"))</f>
        <v/>
      </c>
      <c r="N632">
        <f>IF($A632="","",SUMIFS('Таблиця 1'!$K:$K,'Таблиця 1'!$B:$B,$A632,'Таблиця 1'!$I:$I,"Mi-8",'Таблиця 1'!$J:$J,"Zuni")+SUMIFS('Таблиця 1'!$K:$K,'Таблиця 1'!$B:$B,$A632,'Таблиця 1'!$I:$I,"Mi-24",'Таблиця 1'!$J:$J,"Zuni"))</f>
        <v/>
      </c>
      <c r="O632">
        <f>IF($A632="","",COUNTIFS('Таблиця 1'!$B:$B,$A632,'Таблиця 1'!$I:$I,"Mi-8",'Таблиця 1'!$L:$L,"Уражено")+COUNTIFS('Таблиця 1'!$B:$B,$A632,'Таблиця 1'!$I:$I,"Mi-24",'Таблиця 1'!$L:$L,"Уражено"))</f>
        <v/>
      </c>
      <c r="P632">
        <f>IF($A632="","",COUNTIFS('Таблиця 1'!$B:$B,$A632,'Таблиця 1'!$I:$I,"Mi-8",'Таблиця 1'!$L:$L,"НЕ уражено")+COUNTIFS('Таблиця 1'!$B:$B,$A632,'Таблиця 1'!$I:$I,"Mi-24",'Таблиця 1'!$L:$L,"НЕ уражено"))</f>
        <v/>
      </c>
    </row>
    <row r="633">
      <c r="A633" s="273">
        <f>IF(A632="","",IF(A632+1&gt;MAX('Таблиця 1'!$B:$B),"",A632+1))</f>
        <v/>
      </c>
      <c r="B633">
        <f>IF($A633="","",COUNTIFS('Таблиця 1'!$B:$B,$A633,'Таблиця 1'!$I:$I,"Mi-8")+COUNTIFS('Таблиця 1'!$B:$B,$A633,'Таблиця 1'!$I:$I,"Mi-24"))</f>
        <v/>
      </c>
      <c r="C633">
        <f>IF($A633="","",COUNTIFS('Таблиця 1'!$B:$B,$A633,'Таблиця 1'!$I:$I,"Mi-8"))</f>
        <v/>
      </c>
      <c r="D633">
        <f>IF($A633="","",COUNTIFS('Таблиця 1'!$B:$B,$A633,'Таблиця 1'!$I:$I,"Mi-24"))</f>
        <v/>
      </c>
      <c r="E633">
        <f>IF($A633="","",SUMIFS('Таблиця 1'!$K:$K,'Таблиця 1'!$B:$B,$A633,'Таблиця 1'!$I:$I,"Mi-8",'Таблиця 1'!$J:$J,"ARS-8")+SUMIFS('Таблиця 1'!$K:$K,'Таблиця 1'!$B:$B,$A633,'Таблиця 1'!$I:$I,"Mi-24",'Таблиця 1'!$J:$J,"ARS-8"))</f>
        <v/>
      </c>
      <c r="F633">
        <f>IF($A633="","",SUMIFS('Таблиця 1'!$K:$K,'Таблиця 1'!$B:$B,$A633,'Таблиця 1'!$I:$I,"Mi-8",'Таблиця 1'!$J:$J,"С-8 ком")+SUMIFS('Таблиця 1'!$K:$K,'Таблиця 1'!$B:$B,$A633,'Таблиця 1'!$I:$I,"Mi-24",'Таблиця 1'!$J:$J,"С-8 ком"))</f>
        <v/>
      </c>
      <c r="G633">
        <f>IF($A633="","",SUMIFS('Таблиця 1'!$K:$K,'Таблиця 1'!$B:$B,$A633,'Таблиця 1'!$I:$I,"Mi-8",'Таблиця 1'!$J:$J,"PC-80")+SUMIFS('Таблиця 1'!$K:$K,'Таблиця 1'!$B:$B,$A633,'Таблиця 1'!$I:$I,"Mi-24",'Таблиця 1'!$J:$J,"PC-80"))</f>
        <v/>
      </c>
      <c r="H633">
        <f>IF($A633="","",SUMIFS('Таблиця 1'!$K:$K,'Таблиця 1'!$B:$B,$A633,'Таблиця 1'!$I:$I,"Mi-8",'Таблиця 1'!$J:$J,"UAR-80")+SUMIFS('Таблиця 1'!$K:$K,'Таблиця 1'!$B:$B,$A633,'Таблиця 1'!$I:$I,"Mi-24",'Таблиця 1'!$J:$J,"UAR-80"))</f>
        <v/>
      </c>
      <c r="I633">
        <f>IF($A633="","",SUMIFS('Таблиця 1'!$K:$K,'Таблиця 1'!$B:$B,$A633,'Таблиця 1'!$I:$I,"Mi-8",'Таблиця 1'!$J:$J,"C-13")+SUMIFS('Таблиця 1'!$K:$K,'Таблиця 1'!$B:$B,$A633,'Таблиця 1'!$I:$I,"Mi-24",'Таблиця 1'!$J:$J,"C-13"))</f>
        <v/>
      </c>
      <c r="J633">
        <f>IF($A633="","",SUMIFS('Таблиця 1'!$K:$K,'Таблиця 1'!$B:$B,$A633,'Таблиця 1'!$I:$I,"Mi-8",'Таблиця 1'!$J:$J,"Hydra-70")+SUMIFS('Таблиця 1'!$K:$K,'Таблиця 1'!$B:$B,$A633,'Таблиця 1'!$I:$I,"Mi-24",'Таблиця 1'!$J:$J,"Hydra-70"))</f>
        <v/>
      </c>
      <c r="K633">
        <f>IF($A633="","",SUMIFS('Таблиця 1'!$K:$K,'Таблиця 1'!$B:$B,$A633,'Таблиця 1'!$I:$I,"Mi-8",'Таблиця 1'!$J:$J,"Thales-70")+SUMIFS('Таблиця 1'!$K:$K,'Таблиця 1'!$B:$B,$A633,'Таблиця 1'!$I:$I,"Mi-24",'Таблиця 1'!$J:$J,"Thales-70"))</f>
        <v/>
      </c>
      <c r="L633">
        <f>IF($A633="","",SUMIFS('Таблиця 1'!$K:$K,'Таблиця 1'!$B:$B,$A633,'Таблиця 1'!$I:$I,"Mi-8",'Таблиця 1'!$J:$J,"Thales-FZ")+SUMIFS('Таблиця 1'!$K:$K,'Таблиця 1'!$B:$B,$A633,'Таблиця 1'!$I:$I,"Mi-24",'Таблиця 1'!$J:$J,"Thales-FZ"))</f>
        <v/>
      </c>
      <c r="M633">
        <f>IF($A633="","",SUMIFS('Таблиця 1'!$K:$K,'Таблиця 1'!$B:$B,$A633,'Таблиця 1'!$I:$I,"Mi-8",'Таблиця 1'!$J:$J,"МК-40")+SUMIFS('Таблиця 1'!$K:$K,'Таблиця 1'!$B:$B,$A633,'Таблиця 1'!$I:$I,"Mi-24",'Таблиця 1'!$J:$J,"МК-40"))</f>
        <v/>
      </c>
      <c r="N633">
        <f>IF($A633="","",SUMIFS('Таблиця 1'!$K:$K,'Таблиця 1'!$B:$B,$A633,'Таблиця 1'!$I:$I,"Mi-8",'Таблиця 1'!$J:$J,"Zuni")+SUMIFS('Таблиця 1'!$K:$K,'Таблиця 1'!$B:$B,$A633,'Таблиця 1'!$I:$I,"Mi-24",'Таблиця 1'!$J:$J,"Zuni"))</f>
        <v/>
      </c>
      <c r="O633">
        <f>IF($A633="","",COUNTIFS('Таблиця 1'!$B:$B,$A633,'Таблиця 1'!$I:$I,"Mi-8",'Таблиця 1'!$L:$L,"Уражено")+COUNTIFS('Таблиця 1'!$B:$B,$A633,'Таблиця 1'!$I:$I,"Mi-24",'Таблиця 1'!$L:$L,"Уражено"))</f>
        <v/>
      </c>
      <c r="P633">
        <f>IF($A633="","",COUNTIFS('Таблиця 1'!$B:$B,$A633,'Таблиця 1'!$I:$I,"Mi-8",'Таблиця 1'!$L:$L,"НЕ уражено")+COUNTIFS('Таблиця 1'!$B:$B,$A633,'Таблиця 1'!$I:$I,"Mi-24",'Таблиця 1'!$L:$L,"НЕ уражено"))</f>
        <v/>
      </c>
    </row>
    <row r="634">
      <c r="A634" s="273">
        <f>IF(A633="","",IF(A633+1&gt;MAX('Таблиця 1'!$B:$B),"",A633+1))</f>
        <v/>
      </c>
      <c r="B634">
        <f>IF($A634="","",COUNTIFS('Таблиця 1'!$B:$B,$A634,'Таблиця 1'!$I:$I,"Mi-8")+COUNTIFS('Таблиця 1'!$B:$B,$A634,'Таблиця 1'!$I:$I,"Mi-24"))</f>
        <v/>
      </c>
      <c r="C634">
        <f>IF($A634="","",COUNTIFS('Таблиця 1'!$B:$B,$A634,'Таблиця 1'!$I:$I,"Mi-8"))</f>
        <v/>
      </c>
      <c r="D634">
        <f>IF($A634="","",COUNTIFS('Таблиця 1'!$B:$B,$A634,'Таблиця 1'!$I:$I,"Mi-24"))</f>
        <v/>
      </c>
      <c r="E634">
        <f>IF($A634="","",SUMIFS('Таблиця 1'!$K:$K,'Таблиця 1'!$B:$B,$A634,'Таблиця 1'!$I:$I,"Mi-8",'Таблиця 1'!$J:$J,"ARS-8")+SUMIFS('Таблиця 1'!$K:$K,'Таблиця 1'!$B:$B,$A634,'Таблиця 1'!$I:$I,"Mi-24",'Таблиця 1'!$J:$J,"ARS-8"))</f>
        <v/>
      </c>
      <c r="F634">
        <f>IF($A634="","",SUMIFS('Таблиця 1'!$K:$K,'Таблиця 1'!$B:$B,$A634,'Таблиця 1'!$I:$I,"Mi-8",'Таблиця 1'!$J:$J,"С-8 ком")+SUMIFS('Таблиця 1'!$K:$K,'Таблиця 1'!$B:$B,$A634,'Таблиця 1'!$I:$I,"Mi-24",'Таблиця 1'!$J:$J,"С-8 ком"))</f>
        <v/>
      </c>
      <c r="G634">
        <f>IF($A634="","",SUMIFS('Таблиця 1'!$K:$K,'Таблиця 1'!$B:$B,$A634,'Таблиця 1'!$I:$I,"Mi-8",'Таблиця 1'!$J:$J,"PC-80")+SUMIFS('Таблиця 1'!$K:$K,'Таблиця 1'!$B:$B,$A634,'Таблиця 1'!$I:$I,"Mi-24",'Таблиця 1'!$J:$J,"PC-80"))</f>
        <v/>
      </c>
      <c r="H634">
        <f>IF($A634="","",SUMIFS('Таблиця 1'!$K:$K,'Таблиця 1'!$B:$B,$A634,'Таблиця 1'!$I:$I,"Mi-8",'Таблиця 1'!$J:$J,"UAR-80")+SUMIFS('Таблиця 1'!$K:$K,'Таблиця 1'!$B:$B,$A634,'Таблиця 1'!$I:$I,"Mi-24",'Таблиця 1'!$J:$J,"UAR-80"))</f>
        <v/>
      </c>
      <c r="I634">
        <f>IF($A634="","",SUMIFS('Таблиця 1'!$K:$K,'Таблиця 1'!$B:$B,$A634,'Таблиця 1'!$I:$I,"Mi-8",'Таблиця 1'!$J:$J,"C-13")+SUMIFS('Таблиця 1'!$K:$K,'Таблиця 1'!$B:$B,$A634,'Таблиця 1'!$I:$I,"Mi-24",'Таблиця 1'!$J:$J,"C-13"))</f>
        <v/>
      </c>
      <c r="J634">
        <f>IF($A634="","",SUMIFS('Таблиця 1'!$K:$K,'Таблиця 1'!$B:$B,$A634,'Таблиця 1'!$I:$I,"Mi-8",'Таблиця 1'!$J:$J,"Hydra-70")+SUMIFS('Таблиця 1'!$K:$K,'Таблиця 1'!$B:$B,$A634,'Таблиця 1'!$I:$I,"Mi-24",'Таблиця 1'!$J:$J,"Hydra-70"))</f>
        <v/>
      </c>
      <c r="K634">
        <f>IF($A634="","",SUMIFS('Таблиця 1'!$K:$K,'Таблиця 1'!$B:$B,$A634,'Таблиця 1'!$I:$I,"Mi-8",'Таблиця 1'!$J:$J,"Thales-70")+SUMIFS('Таблиця 1'!$K:$K,'Таблиця 1'!$B:$B,$A634,'Таблиця 1'!$I:$I,"Mi-24",'Таблиця 1'!$J:$J,"Thales-70"))</f>
        <v/>
      </c>
      <c r="L634">
        <f>IF($A634="","",SUMIFS('Таблиця 1'!$K:$K,'Таблиця 1'!$B:$B,$A634,'Таблиця 1'!$I:$I,"Mi-8",'Таблиця 1'!$J:$J,"Thales-FZ")+SUMIFS('Таблиця 1'!$K:$K,'Таблиця 1'!$B:$B,$A634,'Таблиця 1'!$I:$I,"Mi-24",'Таблиця 1'!$J:$J,"Thales-FZ"))</f>
        <v/>
      </c>
      <c r="M634">
        <f>IF($A634="","",SUMIFS('Таблиця 1'!$K:$K,'Таблиця 1'!$B:$B,$A634,'Таблиця 1'!$I:$I,"Mi-8",'Таблиця 1'!$J:$J,"МК-40")+SUMIFS('Таблиця 1'!$K:$K,'Таблиця 1'!$B:$B,$A634,'Таблиця 1'!$I:$I,"Mi-24",'Таблиця 1'!$J:$J,"МК-40"))</f>
        <v/>
      </c>
      <c r="N634">
        <f>IF($A634="","",SUMIFS('Таблиця 1'!$K:$K,'Таблиця 1'!$B:$B,$A634,'Таблиця 1'!$I:$I,"Mi-8",'Таблиця 1'!$J:$J,"Zuni")+SUMIFS('Таблиця 1'!$K:$K,'Таблиця 1'!$B:$B,$A634,'Таблиця 1'!$I:$I,"Mi-24",'Таблиця 1'!$J:$J,"Zuni"))</f>
        <v/>
      </c>
      <c r="O634">
        <f>IF($A634="","",COUNTIFS('Таблиця 1'!$B:$B,$A634,'Таблиця 1'!$I:$I,"Mi-8",'Таблиця 1'!$L:$L,"Уражено")+COUNTIFS('Таблиця 1'!$B:$B,$A634,'Таблиця 1'!$I:$I,"Mi-24",'Таблиця 1'!$L:$L,"Уражено"))</f>
        <v/>
      </c>
      <c r="P634">
        <f>IF($A634="","",COUNTIFS('Таблиця 1'!$B:$B,$A634,'Таблиця 1'!$I:$I,"Mi-8",'Таблиця 1'!$L:$L,"НЕ уражено")+COUNTIFS('Таблиця 1'!$B:$B,$A634,'Таблиця 1'!$I:$I,"Mi-24",'Таблиця 1'!$L:$L,"НЕ уражено"))</f>
        <v/>
      </c>
    </row>
    <row r="635">
      <c r="A635" s="273">
        <f>IF(A634="","",IF(A634+1&gt;MAX('Таблиця 1'!$B:$B),"",A634+1))</f>
        <v/>
      </c>
      <c r="B635">
        <f>IF($A635="","",COUNTIFS('Таблиця 1'!$B:$B,$A635,'Таблиця 1'!$I:$I,"Mi-8")+COUNTIFS('Таблиця 1'!$B:$B,$A635,'Таблиця 1'!$I:$I,"Mi-24"))</f>
        <v/>
      </c>
      <c r="C635">
        <f>IF($A635="","",COUNTIFS('Таблиця 1'!$B:$B,$A635,'Таблиця 1'!$I:$I,"Mi-8"))</f>
        <v/>
      </c>
      <c r="D635">
        <f>IF($A635="","",COUNTIFS('Таблиця 1'!$B:$B,$A635,'Таблиця 1'!$I:$I,"Mi-24"))</f>
        <v/>
      </c>
      <c r="E635">
        <f>IF($A635="","",SUMIFS('Таблиця 1'!$K:$K,'Таблиця 1'!$B:$B,$A635,'Таблиця 1'!$I:$I,"Mi-8",'Таблиця 1'!$J:$J,"ARS-8")+SUMIFS('Таблиця 1'!$K:$K,'Таблиця 1'!$B:$B,$A635,'Таблиця 1'!$I:$I,"Mi-24",'Таблиця 1'!$J:$J,"ARS-8"))</f>
        <v/>
      </c>
      <c r="F635">
        <f>IF($A635="","",SUMIFS('Таблиця 1'!$K:$K,'Таблиця 1'!$B:$B,$A635,'Таблиця 1'!$I:$I,"Mi-8",'Таблиця 1'!$J:$J,"С-8 ком")+SUMIFS('Таблиця 1'!$K:$K,'Таблиця 1'!$B:$B,$A635,'Таблиця 1'!$I:$I,"Mi-24",'Таблиця 1'!$J:$J,"С-8 ком"))</f>
        <v/>
      </c>
      <c r="G635">
        <f>IF($A635="","",SUMIFS('Таблиця 1'!$K:$K,'Таблиця 1'!$B:$B,$A635,'Таблиця 1'!$I:$I,"Mi-8",'Таблиця 1'!$J:$J,"PC-80")+SUMIFS('Таблиця 1'!$K:$K,'Таблиця 1'!$B:$B,$A635,'Таблиця 1'!$I:$I,"Mi-24",'Таблиця 1'!$J:$J,"PC-80"))</f>
        <v/>
      </c>
      <c r="H635">
        <f>IF($A635="","",SUMIFS('Таблиця 1'!$K:$K,'Таблиця 1'!$B:$B,$A635,'Таблиця 1'!$I:$I,"Mi-8",'Таблиця 1'!$J:$J,"UAR-80")+SUMIFS('Таблиця 1'!$K:$K,'Таблиця 1'!$B:$B,$A635,'Таблиця 1'!$I:$I,"Mi-24",'Таблиця 1'!$J:$J,"UAR-80"))</f>
        <v/>
      </c>
      <c r="I635">
        <f>IF($A635="","",SUMIFS('Таблиця 1'!$K:$K,'Таблиця 1'!$B:$B,$A635,'Таблиця 1'!$I:$I,"Mi-8",'Таблиця 1'!$J:$J,"C-13")+SUMIFS('Таблиця 1'!$K:$K,'Таблиця 1'!$B:$B,$A635,'Таблиця 1'!$I:$I,"Mi-24",'Таблиця 1'!$J:$J,"C-13"))</f>
        <v/>
      </c>
      <c r="J635">
        <f>IF($A635="","",SUMIFS('Таблиця 1'!$K:$K,'Таблиця 1'!$B:$B,$A635,'Таблиця 1'!$I:$I,"Mi-8",'Таблиця 1'!$J:$J,"Hydra-70")+SUMIFS('Таблиця 1'!$K:$K,'Таблиця 1'!$B:$B,$A635,'Таблиця 1'!$I:$I,"Mi-24",'Таблиця 1'!$J:$J,"Hydra-70"))</f>
        <v/>
      </c>
      <c r="K635">
        <f>IF($A635="","",SUMIFS('Таблиця 1'!$K:$K,'Таблиця 1'!$B:$B,$A635,'Таблиця 1'!$I:$I,"Mi-8",'Таблиця 1'!$J:$J,"Thales-70")+SUMIFS('Таблиця 1'!$K:$K,'Таблиця 1'!$B:$B,$A635,'Таблиця 1'!$I:$I,"Mi-24",'Таблиця 1'!$J:$J,"Thales-70"))</f>
        <v/>
      </c>
      <c r="L635">
        <f>IF($A635="","",SUMIFS('Таблиця 1'!$K:$K,'Таблиця 1'!$B:$B,$A635,'Таблиця 1'!$I:$I,"Mi-8",'Таблиця 1'!$J:$J,"Thales-FZ")+SUMIFS('Таблиця 1'!$K:$K,'Таблиця 1'!$B:$B,$A635,'Таблиця 1'!$I:$I,"Mi-24",'Таблиця 1'!$J:$J,"Thales-FZ"))</f>
        <v/>
      </c>
      <c r="M635">
        <f>IF($A635="","",SUMIFS('Таблиця 1'!$K:$K,'Таблиця 1'!$B:$B,$A635,'Таблиця 1'!$I:$I,"Mi-8",'Таблиця 1'!$J:$J,"МК-40")+SUMIFS('Таблиця 1'!$K:$K,'Таблиця 1'!$B:$B,$A635,'Таблиця 1'!$I:$I,"Mi-24",'Таблиця 1'!$J:$J,"МК-40"))</f>
        <v/>
      </c>
      <c r="N635">
        <f>IF($A635="","",SUMIFS('Таблиця 1'!$K:$K,'Таблиця 1'!$B:$B,$A635,'Таблиця 1'!$I:$I,"Mi-8",'Таблиця 1'!$J:$J,"Zuni")+SUMIFS('Таблиця 1'!$K:$K,'Таблиця 1'!$B:$B,$A635,'Таблиця 1'!$I:$I,"Mi-24",'Таблиця 1'!$J:$J,"Zuni"))</f>
        <v/>
      </c>
      <c r="O635">
        <f>IF($A635="","",COUNTIFS('Таблиця 1'!$B:$B,$A635,'Таблиця 1'!$I:$I,"Mi-8",'Таблиця 1'!$L:$L,"Уражено")+COUNTIFS('Таблиця 1'!$B:$B,$A635,'Таблиця 1'!$I:$I,"Mi-24",'Таблиця 1'!$L:$L,"Уражено"))</f>
        <v/>
      </c>
      <c r="P635">
        <f>IF($A635="","",COUNTIFS('Таблиця 1'!$B:$B,$A635,'Таблиця 1'!$I:$I,"Mi-8",'Таблиця 1'!$L:$L,"НЕ уражено")+COUNTIFS('Таблиця 1'!$B:$B,$A635,'Таблиця 1'!$I:$I,"Mi-24",'Таблиця 1'!$L:$L,"НЕ уражено"))</f>
        <v/>
      </c>
    </row>
    <row r="636">
      <c r="A636" s="273">
        <f>IF(A635="","",IF(A635+1&gt;MAX('Таблиця 1'!$B:$B),"",A635+1))</f>
        <v/>
      </c>
      <c r="B636">
        <f>IF($A636="","",COUNTIFS('Таблиця 1'!$B:$B,$A636,'Таблиця 1'!$I:$I,"Mi-8")+COUNTIFS('Таблиця 1'!$B:$B,$A636,'Таблиця 1'!$I:$I,"Mi-24"))</f>
        <v/>
      </c>
      <c r="C636">
        <f>IF($A636="","",COUNTIFS('Таблиця 1'!$B:$B,$A636,'Таблиця 1'!$I:$I,"Mi-8"))</f>
        <v/>
      </c>
      <c r="D636">
        <f>IF($A636="","",COUNTIFS('Таблиця 1'!$B:$B,$A636,'Таблиця 1'!$I:$I,"Mi-24"))</f>
        <v/>
      </c>
      <c r="E636">
        <f>IF($A636="","",SUMIFS('Таблиця 1'!$K:$K,'Таблиця 1'!$B:$B,$A636,'Таблиця 1'!$I:$I,"Mi-8",'Таблиця 1'!$J:$J,"ARS-8")+SUMIFS('Таблиця 1'!$K:$K,'Таблиця 1'!$B:$B,$A636,'Таблиця 1'!$I:$I,"Mi-24",'Таблиця 1'!$J:$J,"ARS-8"))</f>
        <v/>
      </c>
      <c r="F636">
        <f>IF($A636="","",SUMIFS('Таблиця 1'!$K:$K,'Таблиця 1'!$B:$B,$A636,'Таблиця 1'!$I:$I,"Mi-8",'Таблиця 1'!$J:$J,"С-8 ком")+SUMIFS('Таблиця 1'!$K:$K,'Таблиця 1'!$B:$B,$A636,'Таблиця 1'!$I:$I,"Mi-24",'Таблиця 1'!$J:$J,"С-8 ком"))</f>
        <v/>
      </c>
      <c r="G636">
        <f>IF($A636="","",SUMIFS('Таблиця 1'!$K:$K,'Таблиця 1'!$B:$B,$A636,'Таблиця 1'!$I:$I,"Mi-8",'Таблиця 1'!$J:$J,"PC-80")+SUMIFS('Таблиця 1'!$K:$K,'Таблиця 1'!$B:$B,$A636,'Таблиця 1'!$I:$I,"Mi-24",'Таблиця 1'!$J:$J,"PC-80"))</f>
        <v/>
      </c>
      <c r="H636">
        <f>IF($A636="","",SUMIFS('Таблиця 1'!$K:$K,'Таблиця 1'!$B:$B,$A636,'Таблиця 1'!$I:$I,"Mi-8",'Таблиця 1'!$J:$J,"UAR-80")+SUMIFS('Таблиця 1'!$K:$K,'Таблиця 1'!$B:$B,$A636,'Таблиця 1'!$I:$I,"Mi-24",'Таблиця 1'!$J:$J,"UAR-80"))</f>
        <v/>
      </c>
      <c r="I636">
        <f>IF($A636="","",SUMIFS('Таблиця 1'!$K:$K,'Таблиця 1'!$B:$B,$A636,'Таблиця 1'!$I:$I,"Mi-8",'Таблиця 1'!$J:$J,"C-13")+SUMIFS('Таблиця 1'!$K:$K,'Таблиця 1'!$B:$B,$A636,'Таблиця 1'!$I:$I,"Mi-24",'Таблиця 1'!$J:$J,"C-13"))</f>
        <v/>
      </c>
      <c r="J636">
        <f>IF($A636="","",SUMIFS('Таблиця 1'!$K:$K,'Таблиця 1'!$B:$B,$A636,'Таблиця 1'!$I:$I,"Mi-8",'Таблиця 1'!$J:$J,"Hydra-70")+SUMIFS('Таблиця 1'!$K:$K,'Таблиця 1'!$B:$B,$A636,'Таблиця 1'!$I:$I,"Mi-24",'Таблиця 1'!$J:$J,"Hydra-70"))</f>
        <v/>
      </c>
      <c r="K636">
        <f>IF($A636="","",SUMIFS('Таблиця 1'!$K:$K,'Таблиця 1'!$B:$B,$A636,'Таблиця 1'!$I:$I,"Mi-8",'Таблиця 1'!$J:$J,"Thales-70")+SUMIFS('Таблиця 1'!$K:$K,'Таблиця 1'!$B:$B,$A636,'Таблиця 1'!$I:$I,"Mi-24",'Таблиця 1'!$J:$J,"Thales-70"))</f>
        <v/>
      </c>
      <c r="L636">
        <f>IF($A636="","",SUMIFS('Таблиця 1'!$K:$K,'Таблиця 1'!$B:$B,$A636,'Таблиця 1'!$I:$I,"Mi-8",'Таблиця 1'!$J:$J,"Thales-FZ")+SUMIFS('Таблиця 1'!$K:$K,'Таблиця 1'!$B:$B,$A636,'Таблиця 1'!$I:$I,"Mi-24",'Таблиця 1'!$J:$J,"Thales-FZ"))</f>
        <v/>
      </c>
      <c r="M636">
        <f>IF($A636="","",SUMIFS('Таблиця 1'!$K:$K,'Таблиця 1'!$B:$B,$A636,'Таблиця 1'!$I:$I,"Mi-8",'Таблиця 1'!$J:$J,"МК-40")+SUMIFS('Таблиця 1'!$K:$K,'Таблиця 1'!$B:$B,$A636,'Таблиця 1'!$I:$I,"Mi-24",'Таблиця 1'!$J:$J,"МК-40"))</f>
        <v/>
      </c>
      <c r="N636">
        <f>IF($A636="","",SUMIFS('Таблиця 1'!$K:$K,'Таблиця 1'!$B:$B,$A636,'Таблиця 1'!$I:$I,"Mi-8",'Таблиця 1'!$J:$J,"Zuni")+SUMIFS('Таблиця 1'!$K:$K,'Таблиця 1'!$B:$B,$A636,'Таблиця 1'!$I:$I,"Mi-24",'Таблиця 1'!$J:$J,"Zuni"))</f>
        <v/>
      </c>
      <c r="O636">
        <f>IF($A636="","",COUNTIFS('Таблиця 1'!$B:$B,$A636,'Таблиця 1'!$I:$I,"Mi-8",'Таблиця 1'!$L:$L,"Уражено")+COUNTIFS('Таблиця 1'!$B:$B,$A636,'Таблиця 1'!$I:$I,"Mi-24",'Таблиця 1'!$L:$L,"Уражено"))</f>
        <v/>
      </c>
      <c r="P636">
        <f>IF($A636="","",COUNTIFS('Таблиця 1'!$B:$B,$A636,'Таблиця 1'!$I:$I,"Mi-8",'Таблиця 1'!$L:$L,"НЕ уражено")+COUNTIFS('Таблиця 1'!$B:$B,$A636,'Таблиця 1'!$I:$I,"Mi-24",'Таблиця 1'!$L:$L,"НЕ уражено"))</f>
        <v/>
      </c>
    </row>
    <row r="637">
      <c r="A637" s="273">
        <f>IF(A636="","",IF(A636+1&gt;MAX('Таблиця 1'!$B:$B),"",A636+1))</f>
        <v/>
      </c>
      <c r="B637">
        <f>IF($A637="","",COUNTIFS('Таблиця 1'!$B:$B,$A637,'Таблиця 1'!$I:$I,"Mi-8")+COUNTIFS('Таблиця 1'!$B:$B,$A637,'Таблиця 1'!$I:$I,"Mi-24"))</f>
        <v/>
      </c>
      <c r="C637">
        <f>IF($A637="","",COUNTIFS('Таблиця 1'!$B:$B,$A637,'Таблиця 1'!$I:$I,"Mi-8"))</f>
        <v/>
      </c>
      <c r="D637">
        <f>IF($A637="","",COUNTIFS('Таблиця 1'!$B:$B,$A637,'Таблиця 1'!$I:$I,"Mi-24"))</f>
        <v/>
      </c>
      <c r="E637">
        <f>IF($A637="","",SUMIFS('Таблиця 1'!$K:$K,'Таблиця 1'!$B:$B,$A637,'Таблиця 1'!$I:$I,"Mi-8",'Таблиця 1'!$J:$J,"ARS-8")+SUMIFS('Таблиця 1'!$K:$K,'Таблиця 1'!$B:$B,$A637,'Таблиця 1'!$I:$I,"Mi-24",'Таблиця 1'!$J:$J,"ARS-8"))</f>
        <v/>
      </c>
      <c r="F637">
        <f>IF($A637="","",SUMIFS('Таблиця 1'!$K:$K,'Таблиця 1'!$B:$B,$A637,'Таблиця 1'!$I:$I,"Mi-8",'Таблиця 1'!$J:$J,"С-8 ком")+SUMIFS('Таблиця 1'!$K:$K,'Таблиця 1'!$B:$B,$A637,'Таблиця 1'!$I:$I,"Mi-24",'Таблиця 1'!$J:$J,"С-8 ком"))</f>
        <v/>
      </c>
      <c r="G637">
        <f>IF($A637="","",SUMIFS('Таблиця 1'!$K:$K,'Таблиця 1'!$B:$B,$A637,'Таблиця 1'!$I:$I,"Mi-8",'Таблиця 1'!$J:$J,"PC-80")+SUMIFS('Таблиця 1'!$K:$K,'Таблиця 1'!$B:$B,$A637,'Таблиця 1'!$I:$I,"Mi-24",'Таблиця 1'!$J:$J,"PC-80"))</f>
        <v/>
      </c>
      <c r="H637">
        <f>IF($A637="","",SUMIFS('Таблиця 1'!$K:$K,'Таблиця 1'!$B:$B,$A637,'Таблиця 1'!$I:$I,"Mi-8",'Таблиця 1'!$J:$J,"UAR-80")+SUMIFS('Таблиця 1'!$K:$K,'Таблиця 1'!$B:$B,$A637,'Таблиця 1'!$I:$I,"Mi-24",'Таблиця 1'!$J:$J,"UAR-80"))</f>
        <v/>
      </c>
      <c r="I637">
        <f>IF($A637="","",SUMIFS('Таблиця 1'!$K:$K,'Таблиця 1'!$B:$B,$A637,'Таблиця 1'!$I:$I,"Mi-8",'Таблиця 1'!$J:$J,"C-13")+SUMIFS('Таблиця 1'!$K:$K,'Таблиця 1'!$B:$B,$A637,'Таблиця 1'!$I:$I,"Mi-24",'Таблиця 1'!$J:$J,"C-13"))</f>
        <v/>
      </c>
      <c r="J637">
        <f>IF($A637="","",SUMIFS('Таблиця 1'!$K:$K,'Таблиця 1'!$B:$B,$A637,'Таблиця 1'!$I:$I,"Mi-8",'Таблиця 1'!$J:$J,"Hydra-70")+SUMIFS('Таблиця 1'!$K:$K,'Таблиця 1'!$B:$B,$A637,'Таблиця 1'!$I:$I,"Mi-24",'Таблиця 1'!$J:$J,"Hydra-70"))</f>
        <v/>
      </c>
      <c r="K637">
        <f>IF($A637="","",SUMIFS('Таблиця 1'!$K:$K,'Таблиця 1'!$B:$B,$A637,'Таблиця 1'!$I:$I,"Mi-8",'Таблиця 1'!$J:$J,"Thales-70")+SUMIFS('Таблиця 1'!$K:$K,'Таблиця 1'!$B:$B,$A637,'Таблиця 1'!$I:$I,"Mi-24",'Таблиця 1'!$J:$J,"Thales-70"))</f>
        <v/>
      </c>
      <c r="L637">
        <f>IF($A637="","",SUMIFS('Таблиця 1'!$K:$K,'Таблиця 1'!$B:$B,$A637,'Таблиця 1'!$I:$I,"Mi-8",'Таблиця 1'!$J:$J,"Thales-FZ")+SUMIFS('Таблиця 1'!$K:$K,'Таблиця 1'!$B:$B,$A637,'Таблиця 1'!$I:$I,"Mi-24",'Таблиця 1'!$J:$J,"Thales-FZ"))</f>
        <v/>
      </c>
      <c r="M637">
        <f>IF($A637="","",SUMIFS('Таблиця 1'!$K:$K,'Таблиця 1'!$B:$B,$A637,'Таблиця 1'!$I:$I,"Mi-8",'Таблиця 1'!$J:$J,"МК-40")+SUMIFS('Таблиця 1'!$K:$K,'Таблиця 1'!$B:$B,$A637,'Таблиця 1'!$I:$I,"Mi-24",'Таблиця 1'!$J:$J,"МК-40"))</f>
        <v/>
      </c>
      <c r="N637">
        <f>IF($A637="","",SUMIFS('Таблиця 1'!$K:$K,'Таблиця 1'!$B:$B,$A637,'Таблиця 1'!$I:$I,"Mi-8",'Таблиця 1'!$J:$J,"Zuni")+SUMIFS('Таблиця 1'!$K:$K,'Таблиця 1'!$B:$B,$A637,'Таблиця 1'!$I:$I,"Mi-24",'Таблиця 1'!$J:$J,"Zuni"))</f>
        <v/>
      </c>
      <c r="O637">
        <f>IF($A637="","",COUNTIFS('Таблиця 1'!$B:$B,$A637,'Таблиця 1'!$I:$I,"Mi-8",'Таблиця 1'!$L:$L,"Уражено")+COUNTIFS('Таблиця 1'!$B:$B,$A637,'Таблиця 1'!$I:$I,"Mi-24",'Таблиця 1'!$L:$L,"Уражено"))</f>
        <v/>
      </c>
      <c r="P637">
        <f>IF($A637="","",COUNTIFS('Таблиця 1'!$B:$B,$A637,'Таблиця 1'!$I:$I,"Mi-8",'Таблиця 1'!$L:$L,"НЕ уражено")+COUNTIFS('Таблиця 1'!$B:$B,$A637,'Таблиця 1'!$I:$I,"Mi-24",'Таблиця 1'!$L:$L,"НЕ уражено"))</f>
        <v/>
      </c>
    </row>
    <row r="638">
      <c r="A638" s="273">
        <f>IF(A637="","",IF(A637+1&gt;MAX('Таблиця 1'!$B:$B),"",A637+1))</f>
        <v/>
      </c>
      <c r="B638">
        <f>IF($A638="","",COUNTIFS('Таблиця 1'!$B:$B,$A638,'Таблиця 1'!$I:$I,"Mi-8")+COUNTIFS('Таблиця 1'!$B:$B,$A638,'Таблиця 1'!$I:$I,"Mi-24"))</f>
        <v/>
      </c>
      <c r="C638">
        <f>IF($A638="","",COUNTIFS('Таблиця 1'!$B:$B,$A638,'Таблиця 1'!$I:$I,"Mi-8"))</f>
        <v/>
      </c>
      <c r="D638">
        <f>IF($A638="","",COUNTIFS('Таблиця 1'!$B:$B,$A638,'Таблиця 1'!$I:$I,"Mi-24"))</f>
        <v/>
      </c>
      <c r="E638">
        <f>IF($A638="","",SUMIFS('Таблиця 1'!$K:$K,'Таблиця 1'!$B:$B,$A638,'Таблиця 1'!$I:$I,"Mi-8",'Таблиця 1'!$J:$J,"ARS-8")+SUMIFS('Таблиця 1'!$K:$K,'Таблиця 1'!$B:$B,$A638,'Таблиця 1'!$I:$I,"Mi-24",'Таблиця 1'!$J:$J,"ARS-8"))</f>
        <v/>
      </c>
      <c r="F638">
        <f>IF($A638="","",SUMIFS('Таблиця 1'!$K:$K,'Таблиця 1'!$B:$B,$A638,'Таблиця 1'!$I:$I,"Mi-8",'Таблиця 1'!$J:$J,"С-8 ком")+SUMIFS('Таблиця 1'!$K:$K,'Таблиця 1'!$B:$B,$A638,'Таблиця 1'!$I:$I,"Mi-24",'Таблиця 1'!$J:$J,"С-8 ком"))</f>
        <v/>
      </c>
      <c r="G638">
        <f>IF($A638="","",SUMIFS('Таблиця 1'!$K:$K,'Таблиця 1'!$B:$B,$A638,'Таблиця 1'!$I:$I,"Mi-8",'Таблиця 1'!$J:$J,"PC-80")+SUMIFS('Таблиця 1'!$K:$K,'Таблиця 1'!$B:$B,$A638,'Таблиця 1'!$I:$I,"Mi-24",'Таблиця 1'!$J:$J,"PC-80"))</f>
        <v/>
      </c>
      <c r="H638">
        <f>IF($A638="","",SUMIFS('Таблиця 1'!$K:$K,'Таблиця 1'!$B:$B,$A638,'Таблиця 1'!$I:$I,"Mi-8",'Таблиця 1'!$J:$J,"UAR-80")+SUMIFS('Таблиця 1'!$K:$K,'Таблиця 1'!$B:$B,$A638,'Таблиця 1'!$I:$I,"Mi-24",'Таблиця 1'!$J:$J,"UAR-80"))</f>
        <v/>
      </c>
      <c r="I638">
        <f>IF($A638="","",SUMIFS('Таблиця 1'!$K:$K,'Таблиця 1'!$B:$B,$A638,'Таблиця 1'!$I:$I,"Mi-8",'Таблиця 1'!$J:$J,"C-13")+SUMIFS('Таблиця 1'!$K:$K,'Таблиця 1'!$B:$B,$A638,'Таблиця 1'!$I:$I,"Mi-24",'Таблиця 1'!$J:$J,"C-13"))</f>
        <v/>
      </c>
      <c r="J638">
        <f>IF($A638="","",SUMIFS('Таблиця 1'!$K:$K,'Таблиця 1'!$B:$B,$A638,'Таблиця 1'!$I:$I,"Mi-8",'Таблиця 1'!$J:$J,"Hydra-70")+SUMIFS('Таблиця 1'!$K:$K,'Таблиця 1'!$B:$B,$A638,'Таблиця 1'!$I:$I,"Mi-24",'Таблиця 1'!$J:$J,"Hydra-70"))</f>
        <v/>
      </c>
      <c r="K638">
        <f>IF($A638="","",SUMIFS('Таблиця 1'!$K:$K,'Таблиця 1'!$B:$B,$A638,'Таблиця 1'!$I:$I,"Mi-8",'Таблиця 1'!$J:$J,"Thales-70")+SUMIFS('Таблиця 1'!$K:$K,'Таблиця 1'!$B:$B,$A638,'Таблиця 1'!$I:$I,"Mi-24",'Таблиця 1'!$J:$J,"Thales-70"))</f>
        <v/>
      </c>
      <c r="L638">
        <f>IF($A638="","",SUMIFS('Таблиця 1'!$K:$K,'Таблиця 1'!$B:$B,$A638,'Таблиця 1'!$I:$I,"Mi-8",'Таблиця 1'!$J:$J,"Thales-FZ")+SUMIFS('Таблиця 1'!$K:$K,'Таблиця 1'!$B:$B,$A638,'Таблиця 1'!$I:$I,"Mi-24",'Таблиця 1'!$J:$J,"Thales-FZ"))</f>
        <v/>
      </c>
      <c r="M638">
        <f>IF($A638="","",SUMIFS('Таблиця 1'!$K:$K,'Таблиця 1'!$B:$B,$A638,'Таблиця 1'!$I:$I,"Mi-8",'Таблиця 1'!$J:$J,"МК-40")+SUMIFS('Таблиця 1'!$K:$K,'Таблиця 1'!$B:$B,$A638,'Таблиця 1'!$I:$I,"Mi-24",'Таблиця 1'!$J:$J,"МК-40"))</f>
        <v/>
      </c>
      <c r="N638">
        <f>IF($A638="","",SUMIFS('Таблиця 1'!$K:$K,'Таблиця 1'!$B:$B,$A638,'Таблиця 1'!$I:$I,"Mi-8",'Таблиця 1'!$J:$J,"Zuni")+SUMIFS('Таблиця 1'!$K:$K,'Таблиця 1'!$B:$B,$A638,'Таблиця 1'!$I:$I,"Mi-24",'Таблиця 1'!$J:$J,"Zuni"))</f>
        <v/>
      </c>
      <c r="O638">
        <f>IF($A638="","",COUNTIFS('Таблиця 1'!$B:$B,$A638,'Таблиця 1'!$I:$I,"Mi-8",'Таблиця 1'!$L:$L,"Уражено")+COUNTIFS('Таблиця 1'!$B:$B,$A638,'Таблиця 1'!$I:$I,"Mi-24",'Таблиця 1'!$L:$L,"Уражено"))</f>
        <v/>
      </c>
      <c r="P638">
        <f>IF($A638="","",COUNTIFS('Таблиця 1'!$B:$B,$A638,'Таблиця 1'!$I:$I,"Mi-8",'Таблиця 1'!$L:$L,"НЕ уражено")+COUNTIFS('Таблиця 1'!$B:$B,$A638,'Таблиця 1'!$I:$I,"Mi-24",'Таблиця 1'!$L:$L,"НЕ уражено"))</f>
        <v/>
      </c>
    </row>
    <row r="639">
      <c r="A639" s="273">
        <f>IF(A638="","",IF(A638+1&gt;MAX('Таблиця 1'!$B:$B),"",A638+1))</f>
        <v/>
      </c>
      <c r="B639">
        <f>IF($A639="","",COUNTIFS('Таблиця 1'!$B:$B,$A639,'Таблиця 1'!$I:$I,"Mi-8")+COUNTIFS('Таблиця 1'!$B:$B,$A639,'Таблиця 1'!$I:$I,"Mi-24"))</f>
        <v/>
      </c>
      <c r="C639">
        <f>IF($A639="","",COUNTIFS('Таблиця 1'!$B:$B,$A639,'Таблиця 1'!$I:$I,"Mi-8"))</f>
        <v/>
      </c>
      <c r="D639">
        <f>IF($A639="","",COUNTIFS('Таблиця 1'!$B:$B,$A639,'Таблиця 1'!$I:$I,"Mi-24"))</f>
        <v/>
      </c>
      <c r="E639">
        <f>IF($A639="","",SUMIFS('Таблиця 1'!$K:$K,'Таблиця 1'!$B:$B,$A639,'Таблиця 1'!$I:$I,"Mi-8",'Таблиця 1'!$J:$J,"ARS-8")+SUMIFS('Таблиця 1'!$K:$K,'Таблиця 1'!$B:$B,$A639,'Таблиця 1'!$I:$I,"Mi-24",'Таблиця 1'!$J:$J,"ARS-8"))</f>
        <v/>
      </c>
      <c r="F639">
        <f>IF($A639="","",SUMIFS('Таблиця 1'!$K:$K,'Таблиця 1'!$B:$B,$A639,'Таблиця 1'!$I:$I,"Mi-8",'Таблиця 1'!$J:$J,"С-8 ком")+SUMIFS('Таблиця 1'!$K:$K,'Таблиця 1'!$B:$B,$A639,'Таблиця 1'!$I:$I,"Mi-24",'Таблиця 1'!$J:$J,"С-8 ком"))</f>
        <v/>
      </c>
      <c r="G639">
        <f>IF($A639="","",SUMIFS('Таблиця 1'!$K:$K,'Таблиця 1'!$B:$B,$A639,'Таблиця 1'!$I:$I,"Mi-8",'Таблиця 1'!$J:$J,"PC-80")+SUMIFS('Таблиця 1'!$K:$K,'Таблиця 1'!$B:$B,$A639,'Таблиця 1'!$I:$I,"Mi-24",'Таблиця 1'!$J:$J,"PC-80"))</f>
        <v/>
      </c>
      <c r="H639">
        <f>IF($A639="","",SUMIFS('Таблиця 1'!$K:$K,'Таблиця 1'!$B:$B,$A639,'Таблиця 1'!$I:$I,"Mi-8",'Таблиця 1'!$J:$J,"UAR-80")+SUMIFS('Таблиця 1'!$K:$K,'Таблиця 1'!$B:$B,$A639,'Таблиця 1'!$I:$I,"Mi-24",'Таблиця 1'!$J:$J,"UAR-80"))</f>
        <v/>
      </c>
      <c r="I639">
        <f>IF($A639="","",SUMIFS('Таблиця 1'!$K:$K,'Таблиця 1'!$B:$B,$A639,'Таблиця 1'!$I:$I,"Mi-8",'Таблиця 1'!$J:$J,"C-13")+SUMIFS('Таблиця 1'!$K:$K,'Таблиця 1'!$B:$B,$A639,'Таблиця 1'!$I:$I,"Mi-24",'Таблиця 1'!$J:$J,"C-13"))</f>
        <v/>
      </c>
      <c r="J639">
        <f>IF($A639="","",SUMIFS('Таблиця 1'!$K:$K,'Таблиця 1'!$B:$B,$A639,'Таблиця 1'!$I:$I,"Mi-8",'Таблиця 1'!$J:$J,"Hydra-70")+SUMIFS('Таблиця 1'!$K:$K,'Таблиця 1'!$B:$B,$A639,'Таблиця 1'!$I:$I,"Mi-24",'Таблиця 1'!$J:$J,"Hydra-70"))</f>
        <v/>
      </c>
      <c r="K639">
        <f>IF($A639="","",SUMIFS('Таблиця 1'!$K:$K,'Таблиця 1'!$B:$B,$A639,'Таблиця 1'!$I:$I,"Mi-8",'Таблиця 1'!$J:$J,"Thales-70")+SUMIFS('Таблиця 1'!$K:$K,'Таблиця 1'!$B:$B,$A639,'Таблиця 1'!$I:$I,"Mi-24",'Таблиця 1'!$J:$J,"Thales-70"))</f>
        <v/>
      </c>
      <c r="L639">
        <f>IF($A639="","",SUMIFS('Таблиця 1'!$K:$K,'Таблиця 1'!$B:$B,$A639,'Таблиця 1'!$I:$I,"Mi-8",'Таблиця 1'!$J:$J,"Thales-FZ")+SUMIFS('Таблиця 1'!$K:$K,'Таблиця 1'!$B:$B,$A639,'Таблиця 1'!$I:$I,"Mi-24",'Таблиця 1'!$J:$J,"Thales-FZ"))</f>
        <v/>
      </c>
      <c r="M639">
        <f>IF($A639="","",SUMIFS('Таблиця 1'!$K:$K,'Таблиця 1'!$B:$B,$A639,'Таблиця 1'!$I:$I,"Mi-8",'Таблиця 1'!$J:$J,"МК-40")+SUMIFS('Таблиця 1'!$K:$K,'Таблиця 1'!$B:$B,$A639,'Таблиця 1'!$I:$I,"Mi-24",'Таблиця 1'!$J:$J,"МК-40"))</f>
        <v/>
      </c>
      <c r="N639">
        <f>IF($A639="","",SUMIFS('Таблиця 1'!$K:$K,'Таблиця 1'!$B:$B,$A639,'Таблиця 1'!$I:$I,"Mi-8",'Таблиця 1'!$J:$J,"Zuni")+SUMIFS('Таблиця 1'!$K:$K,'Таблиця 1'!$B:$B,$A639,'Таблиця 1'!$I:$I,"Mi-24",'Таблиця 1'!$J:$J,"Zuni"))</f>
        <v/>
      </c>
      <c r="O639">
        <f>IF($A639="","",COUNTIFS('Таблиця 1'!$B:$B,$A639,'Таблиця 1'!$I:$I,"Mi-8",'Таблиця 1'!$L:$L,"Уражено")+COUNTIFS('Таблиця 1'!$B:$B,$A639,'Таблиця 1'!$I:$I,"Mi-24",'Таблиця 1'!$L:$L,"Уражено"))</f>
        <v/>
      </c>
      <c r="P639">
        <f>IF($A639="","",COUNTIFS('Таблиця 1'!$B:$B,$A639,'Таблиця 1'!$I:$I,"Mi-8",'Таблиця 1'!$L:$L,"НЕ уражено")+COUNTIFS('Таблиця 1'!$B:$B,$A639,'Таблиця 1'!$I:$I,"Mi-24",'Таблиця 1'!$L:$L,"НЕ уражено"))</f>
        <v/>
      </c>
    </row>
    <row r="640">
      <c r="A640" s="273">
        <f>IF(A639="","",IF(A639+1&gt;MAX('Таблиця 1'!$B:$B),"",A639+1))</f>
        <v/>
      </c>
      <c r="B640">
        <f>IF($A640="","",COUNTIFS('Таблиця 1'!$B:$B,$A640,'Таблиця 1'!$I:$I,"Mi-8")+COUNTIFS('Таблиця 1'!$B:$B,$A640,'Таблиця 1'!$I:$I,"Mi-24"))</f>
        <v/>
      </c>
      <c r="C640">
        <f>IF($A640="","",COUNTIFS('Таблиця 1'!$B:$B,$A640,'Таблиця 1'!$I:$I,"Mi-8"))</f>
        <v/>
      </c>
      <c r="D640">
        <f>IF($A640="","",COUNTIFS('Таблиця 1'!$B:$B,$A640,'Таблиця 1'!$I:$I,"Mi-24"))</f>
        <v/>
      </c>
      <c r="E640">
        <f>IF($A640="","",SUMIFS('Таблиця 1'!$K:$K,'Таблиця 1'!$B:$B,$A640,'Таблиця 1'!$I:$I,"Mi-8",'Таблиця 1'!$J:$J,"ARS-8")+SUMIFS('Таблиця 1'!$K:$K,'Таблиця 1'!$B:$B,$A640,'Таблиця 1'!$I:$I,"Mi-24",'Таблиця 1'!$J:$J,"ARS-8"))</f>
        <v/>
      </c>
      <c r="F640">
        <f>IF($A640="","",SUMIFS('Таблиця 1'!$K:$K,'Таблиця 1'!$B:$B,$A640,'Таблиця 1'!$I:$I,"Mi-8",'Таблиця 1'!$J:$J,"С-8 ком")+SUMIFS('Таблиця 1'!$K:$K,'Таблиця 1'!$B:$B,$A640,'Таблиця 1'!$I:$I,"Mi-24",'Таблиця 1'!$J:$J,"С-8 ком"))</f>
        <v/>
      </c>
      <c r="G640">
        <f>IF($A640="","",SUMIFS('Таблиця 1'!$K:$K,'Таблиця 1'!$B:$B,$A640,'Таблиця 1'!$I:$I,"Mi-8",'Таблиця 1'!$J:$J,"PC-80")+SUMIFS('Таблиця 1'!$K:$K,'Таблиця 1'!$B:$B,$A640,'Таблиця 1'!$I:$I,"Mi-24",'Таблиця 1'!$J:$J,"PC-80"))</f>
        <v/>
      </c>
      <c r="H640">
        <f>IF($A640="","",SUMIFS('Таблиця 1'!$K:$K,'Таблиця 1'!$B:$B,$A640,'Таблиця 1'!$I:$I,"Mi-8",'Таблиця 1'!$J:$J,"UAR-80")+SUMIFS('Таблиця 1'!$K:$K,'Таблиця 1'!$B:$B,$A640,'Таблиця 1'!$I:$I,"Mi-24",'Таблиця 1'!$J:$J,"UAR-80"))</f>
        <v/>
      </c>
      <c r="I640">
        <f>IF($A640="","",SUMIFS('Таблиця 1'!$K:$K,'Таблиця 1'!$B:$B,$A640,'Таблиця 1'!$I:$I,"Mi-8",'Таблиця 1'!$J:$J,"C-13")+SUMIFS('Таблиця 1'!$K:$K,'Таблиця 1'!$B:$B,$A640,'Таблиця 1'!$I:$I,"Mi-24",'Таблиця 1'!$J:$J,"C-13"))</f>
        <v/>
      </c>
      <c r="J640">
        <f>IF($A640="","",SUMIFS('Таблиця 1'!$K:$K,'Таблиця 1'!$B:$B,$A640,'Таблиця 1'!$I:$I,"Mi-8",'Таблиця 1'!$J:$J,"Hydra-70")+SUMIFS('Таблиця 1'!$K:$K,'Таблиця 1'!$B:$B,$A640,'Таблиця 1'!$I:$I,"Mi-24",'Таблиця 1'!$J:$J,"Hydra-70"))</f>
        <v/>
      </c>
      <c r="K640">
        <f>IF($A640="","",SUMIFS('Таблиця 1'!$K:$K,'Таблиця 1'!$B:$B,$A640,'Таблиця 1'!$I:$I,"Mi-8",'Таблиця 1'!$J:$J,"Thales-70")+SUMIFS('Таблиця 1'!$K:$K,'Таблиця 1'!$B:$B,$A640,'Таблиця 1'!$I:$I,"Mi-24",'Таблиця 1'!$J:$J,"Thales-70"))</f>
        <v/>
      </c>
      <c r="L640">
        <f>IF($A640="","",SUMIFS('Таблиця 1'!$K:$K,'Таблиця 1'!$B:$B,$A640,'Таблиця 1'!$I:$I,"Mi-8",'Таблиця 1'!$J:$J,"Thales-FZ")+SUMIFS('Таблиця 1'!$K:$K,'Таблиця 1'!$B:$B,$A640,'Таблиця 1'!$I:$I,"Mi-24",'Таблиця 1'!$J:$J,"Thales-FZ"))</f>
        <v/>
      </c>
      <c r="M640">
        <f>IF($A640="","",SUMIFS('Таблиця 1'!$K:$K,'Таблиця 1'!$B:$B,$A640,'Таблиця 1'!$I:$I,"Mi-8",'Таблиця 1'!$J:$J,"МК-40")+SUMIFS('Таблиця 1'!$K:$K,'Таблиця 1'!$B:$B,$A640,'Таблиця 1'!$I:$I,"Mi-24",'Таблиця 1'!$J:$J,"МК-40"))</f>
        <v/>
      </c>
      <c r="N640">
        <f>IF($A640="","",SUMIFS('Таблиця 1'!$K:$K,'Таблиця 1'!$B:$B,$A640,'Таблиця 1'!$I:$I,"Mi-8",'Таблиця 1'!$J:$J,"Zuni")+SUMIFS('Таблиця 1'!$K:$K,'Таблиця 1'!$B:$B,$A640,'Таблиця 1'!$I:$I,"Mi-24",'Таблиця 1'!$J:$J,"Zuni"))</f>
        <v/>
      </c>
      <c r="O640">
        <f>IF($A640="","",COUNTIFS('Таблиця 1'!$B:$B,$A640,'Таблиця 1'!$I:$I,"Mi-8",'Таблиця 1'!$L:$L,"Уражено")+COUNTIFS('Таблиця 1'!$B:$B,$A640,'Таблиця 1'!$I:$I,"Mi-24",'Таблиця 1'!$L:$L,"Уражено"))</f>
        <v/>
      </c>
      <c r="P640">
        <f>IF($A640="","",COUNTIFS('Таблиця 1'!$B:$B,$A640,'Таблиця 1'!$I:$I,"Mi-8",'Таблиця 1'!$L:$L,"НЕ уражено")+COUNTIFS('Таблиця 1'!$B:$B,$A640,'Таблиця 1'!$I:$I,"Mi-24",'Таблиця 1'!$L:$L,"НЕ уражено"))</f>
        <v/>
      </c>
    </row>
    <row r="641">
      <c r="A641" s="273">
        <f>IF(A640="","",IF(A640+1&gt;MAX('Таблиця 1'!$B:$B),"",A640+1))</f>
        <v/>
      </c>
      <c r="B641">
        <f>IF($A641="","",COUNTIFS('Таблиця 1'!$B:$B,$A641,'Таблиця 1'!$I:$I,"Mi-8")+COUNTIFS('Таблиця 1'!$B:$B,$A641,'Таблиця 1'!$I:$I,"Mi-24"))</f>
        <v/>
      </c>
      <c r="C641">
        <f>IF($A641="","",COUNTIFS('Таблиця 1'!$B:$B,$A641,'Таблиця 1'!$I:$I,"Mi-8"))</f>
        <v/>
      </c>
      <c r="D641">
        <f>IF($A641="","",COUNTIFS('Таблиця 1'!$B:$B,$A641,'Таблиця 1'!$I:$I,"Mi-24"))</f>
        <v/>
      </c>
      <c r="E641">
        <f>IF($A641="","",SUMIFS('Таблиця 1'!$K:$K,'Таблиця 1'!$B:$B,$A641,'Таблиця 1'!$I:$I,"Mi-8",'Таблиця 1'!$J:$J,"ARS-8")+SUMIFS('Таблиця 1'!$K:$K,'Таблиця 1'!$B:$B,$A641,'Таблиця 1'!$I:$I,"Mi-24",'Таблиця 1'!$J:$J,"ARS-8"))</f>
        <v/>
      </c>
      <c r="F641">
        <f>IF($A641="","",SUMIFS('Таблиця 1'!$K:$K,'Таблиця 1'!$B:$B,$A641,'Таблиця 1'!$I:$I,"Mi-8",'Таблиця 1'!$J:$J,"С-8 ком")+SUMIFS('Таблиця 1'!$K:$K,'Таблиця 1'!$B:$B,$A641,'Таблиця 1'!$I:$I,"Mi-24",'Таблиця 1'!$J:$J,"С-8 ком"))</f>
        <v/>
      </c>
      <c r="G641">
        <f>IF($A641="","",SUMIFS('Таблиця 1'!$K:$K,'Таблиця 1'!$B:$B,$A641,'Таблиця 1'!$I:$I,"Mi-8",'Таблиця 1'!$J:$J,"PC-80")+SUMIFS('Таблиця 1'!$K:$K,'Таблиця 1'!$B:$B,$A641,'Таблиця 1'!$I:$I,"Mi-24",'Таблиця 1'!$J:$J,"PC-80"))</f>
        <v/>
      </c>
      <c r="H641">
        <f>IF($A641="","",SUMIFS('Таблиця 1'!$K:$K,'Таблиця 1'!$B:$B,$A641,'Таблиця 1'!$I:$I,"Mi-8",'Таблиця 1'!$J:$J,"UAR-80")+SUMIFS('Таблиця 1'!$K:$K,'Таблиця 1'!$B:$B,$A641,'Таблиця 1'!$I:$I,"Mi-24",'Таблиця 1'!$J:$J,"UAR-80"))</f>
        <v/>
      </c>
      <c r="I641">
        <f>IF($A641="","",SUMIFS('Таблиця 1'!$K:$K,'Таблиця 1'!$B:$B,$A641,'Таблиця 1'!$I:$I,"Mi-8",'Таблиця 1'!$J:$J,"C-13")+SUMIFS('Таблиця 1'!$K:$K,'Таблиця 1'!$B:$B,$A641,'Таблиця 1'!$I:$I,"Mi-24",'Таблиця 1'!$J:$J,"C-13"))</f>
        <v/>
      </c>
      <c r="J641">
        <f>IF($A641="","",SUMIFS('Таблиця 1'!$K:$K,'Таблиця 1'!$B:$B,$A641,'Таблиця 1'!$I:$I,"Mi-8",'Таблиця 1'!$J:$J,"Hydra-70")+SUMIFS('Таблиця 1'!$K:$K,'Таблиця 1'!$B:$B,$A641,'Таблиця 1'!$I:$I,"Mi-24",'Таблиця 1'!$J:$J,"Hydra-70"))</f>
        <v/>
      </c>
      <c r="K641">
        <f>IF($A641="","",SUMIFS('Таблиця 1'!$K:$K,'Таблиця 1'!$B:$B,$A641,'Таблиця 1'!$I:$I,"Mi-8",'Таблиця 1'!$J:$J,"Thales-70")+SUMIFS('Таблиця 1'!$K:$K,'Таблиця 1'!$B:$B,$A641,'Таблиця 1'!$I:$I,"Mi-24",'Таблиця 1'!$J:$J,"Thales-70"))</f>
        <v/>
      </c>
      <c r="L641">
        <f>IF($A641="","",SUMIFS('Таблиця 1'!$K:$K,'Таблиця 1'!$B:$B,$A641,'Таблиця 1'!$I:$I,"Mi-8",'Таблиця 1'!$J:$J,"Thales-FZ")+SUMIFS('Таблиця 1'!$K:$K,'Таблиця 1'!$B:$B,$A641,'Таблиця 1'!$I:$I,"Mi-24",'Таблиця 1'!$J:$J,"Thales-FZ"))</f>
        <v/>
      </c>
      <c r="M641">
        <f>IF($A641="","",SUMIFS('Таблиця 1'!$K:$K,'Таблиця 1'!$B:$B,$A641,'Таблиця 1'!$I:$I,"Mi-8",'Таблиця 1'!$J:$J,"МК-40")+SUMIFS('Таблиця 1'!$K:$K,'Таблиця 1'!$B:$B,$A641,'Таблиця 1'!$I:$I,"Mi-24",'Таблиця 1'!$J:$J,"МК-40"))</f>
        <v/>
      </c>
      <c r="N641">
        <f>IF($A641="","",SUMIFS('Таблиця 1'!$K:$K,'Таблиця 1'!$B:$B,$A641,'Таблиця 1'!$I:$I,"Mi-8",'Таблиця 1'!$J:$J,"Zuni")+SUMIFS('Таблиця 1'!$K:$K,'Таблиця 1'!$B:$B,$A641,'Таблиця 1'!$I:$I,"Mi-24",'Таблиця 1'!$J:$J,"Zuni"))</f>
        <v/>
      </c>
      <c r="O641">
        <f>IF($A641="","",COUNTIFS('Таблиця 1'!$B:$B,$A641,'Таблиця 1'!$I:$I,"Mi-8",'Таблиця 1'!$L:$L,"Уражено")+COUNTIFS('Таблиця 1'!$B:$B,$A641,'Таблиця 1'!$I:$I,"Mi-24",'Таблиця 1'!$L:$L,"Уражено"))</f>
        <v/>
      </c>
      <c r="P641">
        <f>IF($A641="","",COUNTIFS('Таблиця 1'!$B:$B,$A641,'Таблиця 1'!$I:$I,"Mi-8",'Таблиця 1'!$L:$L,"НЕ уражено")+COUNTIFS('Таблиця 1'!$B:$B,$A641,'Таблиця 1'!$I:$I,"Mi-24",'Таблиця 1'!$L:$L,"НЕ уражено"))</f>
        <v/>
      </c>
    </row>
    <row r="642">
      <c r="A642" s="273">
        <f>IF(A641="","",IF(A641+1&gt;MAX('Таблиця 1'!$B:$B),"",A641+1))</f>
        <v/>
      </c>
      <c r="B642">
        <f>IF($A642="","",COUNTIFS('Таблиця 1'!$B:$B,$A642,'Таблиця 1'!$I:$I,"Mi-8")+COUNTIFS('Таблиця 1'!$B:$B,$A642,'Таблиця 1'!$I:$I,"Mi-24"))</f>
        <v/>
      </c>
      <c r="C642">
        <f>IF($A642="","",COUNTIFS('Таблиця 1'!$B:$B,$A642,'Таблиця 1'!$I:$I,"Mi-8"))</f>
        <v/>
      </c>
      <c r="D642">
        <f>IF($A642="","",COUNTIFS('Таблиця 1'!$B:$B,$A642,'Таблиця 1'!$I:$I,"Mi-24"))</f>
        <v/>
      </c>
      <c r="E642">
        <f>IF($A642="","",SUMIFS('Таблиця 1'!$K:$K,'Таблиця 1'!$B:$B,$A642,'Таблиця 1'!$I:$I,"Mi-8",'Таблиця 1'!$J:$J,"ARS-8")+SUMIFS('Таблиця 1'!$K:$K,'Таблиця 1'!$B:$B,$A642,'Таблиця 1'!$I:$I,"Mi-24",'Таблиця 1'!$J:$J,"ARS-8"))</f>
        <v/>
      </c>
      <c r="F642">
        <f>IF($A642="","",SUMIFS('Таблиця 1'!$K:$K,'Таблиця 1'!$B:$B,$A642,'Таблиця 1'!$I:$I,"Mi-8",'Таблиця 1'!$J:$J,"С-8 ком")+SUMIFS('Таблиця 1'!$K:$K,'Таблиця 1'!$B:$B,$A642,'Таблиця 1'!$I:$I,"Mi-24",'Таблиця 1'!$J:$J,"С-8 ком"))</f>
        <v/>
      </c>
      <c r="G642">
        <f>IF($A642="","",SUMIFS('Таблиця 1'!$K:$K,'Таблиця 1'!$B:$B,$A642,'Таблиця 1'!$I:$I,"Mi-8",'Таблиця 1'!$J:$J,"PC-80")+SUMIFS('Таблиця 1'!$K:$K,'Таблиця 1'!$B:$B,$A642,'Таблиця 1'!$I:$I,"Mi-24",'Таблиця 1'!$J:$J,"PC-80"))</f>
        <v/>
      </c>
      <c r="H642">
        <f>IF($A642="","",SUMIFS('Таблиця 1'!$K:$K,'Таблиця 1'!$B:$B,$A642,'Таблиця 1'!$I:$I,"Mi-8",'Таблиця 1'!$J:$J,"UAR-80")+SUMIFS('Таблиця 1'!$K:$K,'Таблиця 1'!$B:$B,$A642,'Таблиця 1'!$I:$I,"Mi-24",'Таблиця 1'!$J:$J,"UAR-80"))</f>
        <v/>
      </c>
      <c r="I642">
        <f>IF($A642="","",SUMIFS('Таблиця 1'!$K:$K,'Таблиця 1'!$B:$B,$A642,'Таблиця 1'!$I:$I,"Mi-8",'Таблиця 1'!$J:$J,"C-13")+SUMIFS('Таблиця 1'!$K:$K,'Таблиця 1'!$B:$B,$A642,'Таблиця 1'!$I:$I,"Mi-24",'Таблиця 1'!$J:$J,"C-13"))</f>
        <v/>
      </c>
      <c r="J642">
        <f>IF($A642="","",SUMIFS('Таблиця 1'!$K:$K,'Таблиця 1'!$B:$B,$A642,'Таблиця 1'!$I:$I,"Mi-8",'Таблиця 1'!$J:$J,"Hydra-70")+SUMIFS('Таблиця 1'!$K:$K,'Таблиця 1'!$B:$B,$A642,'Таблиця 1'!$I:$I,"Mi-24",'Таблиця 1'!$J:$J,"Hydra-70"))</f>
        <v/>
      </c>
      <c r="K642">
        <f>IF($A642="","",SUMIFS('Таблиця 1'!$K:$K,'Таблиця 1'!$B:$B,$A642,'Таблиця 1'!$I:$I,"Mi-8",'Таблиця 1'!$J:$J,"Thales-70")+SUMIFS('Таблиця 1'!$K:$K,'Таблиця 1'!$B:$B,$A642,'Таблиця 1'!$I:$I,"Mi-24",'Таблиця 1'!$J:$J,"Thales-70"))</f>
        <v/>
      </c>
      <c r="L642">
        <f>IF($A642="","",SUMIFS('Таблиця 1'!$K:$K,'Таблиця 1'!$B:$B,$A642,'Таблиця 1'!$I:$I,"Mi-8",'Таблиця 1'!$J:$J,"Thales-FZ")+SUMIFS('Таблиця 1'!$K:$K,'Таблиця 1'!$B:$B,$A642,'Таблиця 1'!$I:$I,"Mi-24",'Таблиця 1'!$J:$J,"Thales-FZ"))</f>
        <v/>
      </c>
      <c r="M642">
        <f>IF($A642="","",SUMIFS('Таблиця 1'!$K:$K,'Таблиця 1'!$B:$B,$A642,'Таблиця 1'!$I:$I,"Mi-8",'Таблиця 1'!$J:$J,"МК-40")+SUMIFS('Таблиця 1'!$K:$K,'Таблиця 1'!$B:$B,$A642,'Таблиця 1'!$I:$I,"Mi-24",'Таблиця 1'!$J:$J,"МК-40"))</f>
        <v/>
      </c>
      <c r="N642">
        <f>IF($A642="","",SUMIFS('Таблиця 1'!$K:$K,'Таблиця 1'!$B:$B,$A642,'Таблиця 1'!$I:$I,"Mi-8",'Таблиця 1'!$J:$J,"Zuni")+SUMIFS('Таблиця 1'!$K:$K,'Таблиця 1'!$B:$B,$A642,'Таблиця 1'!$I:$I,"Mi-24",'Таблиця 1'!$J:$J,"Zuni"))</f>
        <v/>
      </c>
      <c r="O642">
        <f>IF($A642="","",COUNTIFS('Таблиця 1'!$B:$B,$A642,'Таблиця 1'!$I:$I,"Mi-8",'Таблиця 1'!$L:$L,"Уражено")+COUNTIFS('Таблиця 1'!$B:$B,$A642,'Таблиця 1'!$I:$I,"Mi-24",'Таблиця 1'!$L:$L,"Уражено"))</f>
        <v/>
      </c>
      <c r="P642">
        <f>IF($A642="","",COUNTIFS('Таблиця 1'!$B:$B,$A642,'Таблиця 1'!$I:$I,"Mi-8",'Таблиця 1'!$L:$L,"НЕ уражено")+COUNTIFS('Таблиця 1'!$B:$B,$A642,'Таблиця 1'!$I:$I,"Mi-24",'Таблиця 1'!$L:$L,"НЕ уражено"))</f>
        <v/>
      </c>
    </row>
    <row r="643">
      <c r="A643" s="273">
        <f>IF(A642="","",IF(A642+1&gt;MAX('Таблиця 1'!$B:$B),"",A642+1))</f>
        <v/>
      </c>
      <c r="B643">
        <f>IF($A643="","",COUNTIFS('Таблиця 1'!$B:$B,$A643,'Таблиця 1'!$I:$I,"Mi-8")+COUNTIFS('Таблиця 1'!$B:$B,$A643,'Таблиця 1'!$I:$I,"Mi-24"))</f>
        <v/>
      </c>
      <c r="C643">
        <f>IF($A643="","",COUNTIFS('Таблиця 1'!$B:$B,$A643,'Таблиця 1'!$I:$I,"Mi-8"))</f>
        <v/>
      </c>
      <c r="D643">
        <f>IF($A643="","",COUNTIFS('Таблиця 1'!$B:$B,$A643,'Таблиця 1'!$I:$I,"Mi-24"))</f>
        <v/>
      </c>
      <c r="E643">
        <f>IF($A643="","",SUMIFS('Таблиця 1'!$K:$K,'Таблиця 1'!$B:$B,$A643,'Таблиця 1'!$I:$I,"Mi-8",'Таблиця 1'!$J:$J,"ARS-8")+SUMIFS('Таблиця 1'!$K:$K,'Таблиця 1'!$B:$B,$A643,'Таблиця 1'!$I:$I,"Mi-24",'Таблиця 1'!$J:$J,"ARS-8"))</f>
        <v/>
      </c>
      <c r="F643">
        <f>IF($A643="","",SUMIFS('Таблиця 1'!$K:$K,'Таблиця 1'!$B:$B,$A643,'Таблиця 1'!$I:$I,"Mi-8",'Таблиця 1'!$J:$J,"С-8 ком")+SUMIFS('Таблиця 1'!$K:$K,'Таблиця 1'!$B:$B,$A643,'Таблиця 1'!$I:$I,"Mi-24",'Таблиця 1'!$J:$J,"С-8 ком"))</f>
        <v/>
      </c>
      <c r="G643">
        <f>IF($A643="","",SUMIFS('Таблиця 1'!$K:$K,'Таблиця 1'!$B:$B,$A643,'Таблиця 1'!$I:$I,"Mi-8",'Таблиця 1'!$J:$J,"PC-80")+SUMIFS('Таблиця 1'!$K:$K,'Таблиця 1'!$B:$B,$A643,'Таблиця 1'!$I:$I,"Mi-24",'Таблиця 1'!$J:$J,"PC-80"))</f>
        <v/>
      </c>
      <c r="H643">
        <f>IF($A643="","",SUMIFS('Таблиця 1'!$K:$K,'Таблиця 1'!$B:$B,$A643,'Таблиця 1'!$I:$I,"Mi-8",'Таблиця 1'!$J:$J,"UAR-80")+SUMIFS('Таблиця 1'!$K:$K,'Таблиця 1'!$B:$B,$A643,'Таблиця 1'!$I:$I,"Mi-24",'Таблиця 1'!$J:$J,"UAR-80"))</f>
        <v/>
      </c>
      <c r="I643">
        <f>IF($A643="","",SUMIFS('Таблиця 1'!$K:$K,'Таблиця 1'!$B:$B,$A643,'Таблиця 1'!$I:$I,"Mi-8",'Таблиця 1'!$J:$J,"C-13")+SUMIFS('Таблиця 1'!$K:$K,'Таблиця 1'!$B:$B,$A643,'Таблиця 1'!$I:$I,"Mi-24",'Таблиця 1'!$J:$J,"C-13"))</f>
        <v/>
      </c>
      <c r="J643">
        <f>IF($A643="","",SUMIFS('Таблиця 1'!$K:$K,'Таблиця 1'!$B:$B,$A643,'Таблиця 1'!$I:$I,"Mi-8",'Таблиця 1'!$J:$J,"Hydra-70")+SUMIFS('Таблиця 1'!$K:$K,'Таблиця 1'!$B:$B,$A643,'Таблиця 1'!$I:$I,"Mi-24",'Таблиця 1'!$J:$J,"Hydra-70"))</f>
        <v/>
      </c>
      <c r="K643">
        <f>IF($A643="","",SUMIFS('Таблиця 1'!$K:$K,'Таблиця 1'!$B:$B,$A643,'Таблиця 1'!$I:$I,"Mi-8",'Таблиця 1'!$J:$J,"Thales-70")+SUMIFS('Таблиця 1'!$K:$K,'Таблиця 1'!$B:$B,$A643,'Таблиця 1'!$I:$I,"Mi-24",'Таблиця 1'!$J:$J,"Thales-70"))</f>
        <v/>
      </c>
      <c r="L643">
        <f>IF($A643="","",SUMIFS('Таблиця 1'!$K:$K,'Таблиця 1'!$B:$B,$A643,'Таблиця 1'!$I:$I,"Mi-8",'Таблиця 1'!$J:$J,"Thales-FZ")+SUMIFS('Таблиця 1'!$K:$K,'Таблиця 1'!$B:$B,$A643,'Таблиця 1'!$I:$I,"Mi-24",'Таблиця 1'!$J:$J,"Thales-FZ"))</f>
        <v/>
      </c>
      <c r="M643">
        <f>IF($A643="","",SUMIFS('Таблиця 1'!$K:$K,'Таблиця 1'!$B:$B,$A643,'Таблиця 1'!$I:$I,"Mi-8",'Таблиця 1'!$J:$J,"МК-40")+SUMIFS('Таблиця 1'!$K:$K,'Таблиця 1'!$B:$B,$A643,'Таблиця 1'!$I:$I,"Mi-24",'Таблиця 1'!$J:$J,"МК-40"))</f>
        <v/>
      </c>
      <c r="N643">
        <f>IF($A643="","",SUMIFS('Таблиця 1'!$K:$K,'Таблиця 1'!$B:$B,$A643,'Таблиця 1'!$I:$I,"Mi-8",'Таблиця 1'!$J:$J,"Zuni")+SUMIFS('Таблиця 1'!$K:$K,'Таблиця 1'!$B:$B,$A643,'Таблиця 1'!$I:$I,"Mi-24",'Таблиця 1'!$J:$J,"Zuni"))</f>
        <v/>
      </c>
      <c r="O643">
        <f>IF($A643="","",COUNTIFS('Таблиця 1'!$B:$B,$A643,'Таблиця 1'!$I:$I,"Mi-8",'Таблиця 1'!$L:$L,"Уражено")+COUNTIFS('Таблиця 1'!$B:$B,$A643,'Таблиця 1'!$I:$I,"Mi-24",'Таблиця 1'!$L:$L,"Уражено"))</f>
        <v/>
      </c>
      <c r="P643">
        <f>IF($A643="","",COUNTIFS('Таблиця 1'!$B:$B,$A643,'Таблиця 1'!$I:$I,"Mi-8",'Таблиця 1'!$L:$L,"НЕ уражено")+COUNTIFS('Таблиця 1'!$B:$B,$A643,'Таблиця 1'!$I:$I,"Mi-24",'Таблиця 1'!$L:$L,"НЕ уражено"))</f>
        <v/>
      </c>
    </row>
    <row r="644">
      <c r="A644" s="273">
        <f>IF(A643="","",IF(A643+1&gt;MAX('Таблиця 1'!$B:$B),"",A643+1))</f>
        <v/>
      </c>
      <c r="B644">
        <f>IF($A644="","",COUNTIFS('Таблиця 1'!$B:$B,$A644,'Таблиця 1'!$I:$I,"Mi-8")+COUNTIFS('Таблиця 1'!$B:$B,$A644,'Таблиця 1'!$I:$I,"Mi-24"))</f>
        <v/>
      </c>
      <c r="C644">
        <f>IF($A644="","",COUNTIFS('Таблиця 1'!$B:$B,$A644,'Таблиця 1'!$I:$I,"Mi-8"))</f>
        <v/>
      </c>
      <c r="D644">
        <f>IF($A644="","",COUNTIFS('Таблиця 1'!$B:$B,$A644,'Таблиця 1'!$I:$I,"Mi-24"))</f>
        <v/>
      </c>
      <c r="E644">
        <f>IF($A644="","",SUMIFS('Таблиця 1'!$K:$K,'Таблиця 1'!$B:$B,$A644,'Таблиця 1'!$I:$I,"Mi-8",'Таблиця 1'!$J:$J,"ARS-8")+SUMIFS('Таблиця 1'!$K:$K,'Таблиця 1'!$B:$B,$A644,'Таблиця 1'!$I:$I,"Mi-24",'Таблиця 1'!$J:$J,"ARS-8"))</f>
        <v/>
      </c>
      <c r="F644">
        <f>IF($A644="","",SUMIFS('Таблиця 1'!$K:$K,'Таблиця 1'!$B:$B,$A644,'Таблиця 1'!$I:$I,"Mi-8",'Таблиця 1'!$J:$J,"С-8 ком")+SUMIFS('Таблиця 1'!$K:$K,'Таблиця 1'!$B:$B,$A644,'Таблиця 1'!$I:$I,"Mi-24",'Таблиця 1'!$J:$J,"С-8 ком"))</f>
        <v/>
      </c>
      <c r="G644">
        <f>IF($A644="","",SUMIFS('Таблиця 1'!$K:$K,'Таблиця 1'!$B:$B,$A644,'Таблиця 1'!$I:$I,"Mi-8",'Таблиця 1'!$J:$J,"PC-80")+SUMIFS('Таблиця 1'!$K:$K,'Таблиця 1'!$B:$B,$A644,'Таблиця 1'!$I:$I,"Mi-24",'Таблиця 1'!$J:$J,"PC-80"))</f>
        <v/>
      </c>
      <c r="H644">
        <f>IF($A644="","",SUMIFS('Таблиця 1'!$K:$K,'Таблиця 1'!$B:$B,$A644,'Таблиця 1'!$I:$I,"Mi-8",'Таблиця 1'!$J:$J,"UAR-80")+SUMIFS('Таблиця 1'!$K:$K,'Таблиця 1'!$B:$B,$A644,'Таблиця 1'!$I:$I,"Mi-24",'Таблиця 1'!$J:$J,"UAR-80"))</f>
        <v/>
      </c>
      <c r="I644">
        <f>IF($A644="","",SUMIFS('Таблиця 1'!$K:$K,'Таблиця 1'!$B:$B,$A644,'Таблиця 1'!$I:$I,"Mi-8",'Таблиця 1'!$J:$J,"C-13")+SUMIFS('Таблиця 1'!$K:$K,'Таблиця 1'!$B:$B,$A644,'Таблиця 1'!$I:$I,"Mi-24",'Таблиця 1'!$J:$J,"C-13"))</f>
        <v/>
      </c>
      <c r="J644">
        <f>IF($A644="","",SUMIFS('Таблиця 1'!$K:$K,'Таблиця 1'!$B:$B,$A644,'Таблиця 1'!$I:$I,"Mi-8",'Таблиця 1'!$J:$J,"Hydra-70")+SUMIFS('Таблиця 1'!$K:$K,'Таблиця 1'!$B:$B,$A644,'Таблиця 1'!$I:$I,"Mi-24",'Таблиця 1'!$J:$J,"Hydra-70"))</f>
        <v/>
      </c>
      <c r="K644">
        <f>IF($A644="","",SUMIFS('Таблиця 1'!$K:$K,'Таблиця 1'!$B:$B,$A644,'Таблиця 1'!$I:$I,"Mi-8",'Таблиця 1'!$J:$J,"Thales-70")+SUMIFS('Таблиця 1'!$K:$K,'Таблиця 1'!$B:$B,$A644,'Таблиця 1'!$I:$I,"Mi-24",'Таблиця 1'!$J:$J,"Thales-70"))</f>
        <v/>
      </c>
      <c r="L644">
        <f>IF($A644="","",SUMIFS('Таблиця 1'!$K:$K,'Таблиця 1'!$B:$B,$A644,'Таблиця 1'!$I:$I,"Mi-8",'Таблиця 1'!$J:$J,"Thales-FZ")+SUMIFS('Таблиця 1'!$K:$K,'Таблиця 1'!$B:$B,$A644,'Таблиця 1'!$I:$I,"Mi-24",'Таблиця 1'!$J:$J,"Thales-FZ"))</f>
        <v/>
      </c>
      <c r="M644">
        <f>IF($A644="","",SUMIFS('Таблиця 1'!$K:$K,'Таблиця 1'!$B:$B,$A644,'Таблиця 1'!$I:$I,"Mi-8",'Таблиця 1'!$J:$J,"МК-40")+SUMIFS('Таблиця 1'!$K:$K,'Таблиця 1'!$B:$B,$A644,'Таблиця 1'!$I:$I,"Mi-24",'Таблиця 1'!$J:$J,"МК-40"))</f>
        <v/>
      </c>
      <c r="N644">
        <f>IF($A644="","",SUMIFS('Таблиця 1'!$K:$K,'Таблиця 1'!$B:$B,$A644,'Таблиця 1'!$I:$I,"Mi-8",'Таблиця 1'!$J:$J,"Zuni")+SUMIFS('Таблиця 1'!$K:$K,'Таблиця 1'!$B:$B,$A644,'Таблиця 1'!$I:$I,"Mi-24",'Таблиця 1'!$J:$J,"Zuni"))</f>
        <v/>
      </c>
      <c r="O644">
        <f>IF($A644="","",COUNTIFS('Таблиця 1'!$B:$B,$A644,'Таблиця 1'!$I:$I,"Mi-8",'Таблиця 1'!$L:$L,"Уражено")+COUNTIFS('Таблиця 1'!$B:$B,$A644,'Таблиця 1'!$I:$I,"Mi-24",'Таблиця 1'!$L:$L,"Уражено"))</f>
        <v/>
      </c>
      <c r="P644">
        <f>IF($A644="","",COUNTIFS('Таблиця 1'!$B:$B,$A644,'Таблиця 1'!$I:$I,"Mi-8",'Таблиця 1'!$L:$L,"НЕ уражено")+COUNTIFS('Таблиця 1'!$B:$B,$A644,'Таблиця 1'!$I:$I,"Mi-24",'Таблиця 1'!$L:$L,"НЕ уражено"))</f>
        <v/>
      </c>
    </row>
    <row r="645">
      <c r="A645" s="273">
        <f>IF(A644="","",IF(A644+1&gt;MAX('Таблиця 1'!$B:$B),"",A644+1))</f>
        <v/>
      </c>
      <c r="B645">
        <f>IF($A645="","",COUNTIFS('Таблиця 1'!$B:$B,$A645,'Таблиця 1'!$I:$I,"Mi-8")+COUNTIFS('Таблиця 1'!$B:$B,$A645,'Таблиця 1'!$I:$I,"Mi-24"))</f>
        <v/>
      </c>
      <c r="C645">
        <f>IF($A645="","",COUNTIFS('Таблиця 1'!$B:$B,$A645,'Таблиця 1'!$I:$I,"Mi-8"))</f>
        <v/>
      </c>
      <c r="D645">
        <f>IF($A645="","",COUNTIFS('Таблиця 1'!$B:$B,$A645,'Таблиця 1'!$I:$I,"Mi-24"))</f>
        <v/>
      </c>
      <c r="E645">
        <f>IF($A645="","",SUMIFS('Таблиця 1'!$K:$K,'Таблиця 1'!$B:$B,$A645,'Таблиця 1'!$I:$I,"Mi-8",'Таблиця 1'!$J:$J,"ARS-8")+SUMIFS('Таблиця 1'!$K:$K,'Таблиця 1'!$B:$B,$A645,'Таблиця 1'!$I:$I,"Mi-24",'Таблиця 1'!$J:$J,"ARS-8"))</f>
        <v/>
      </c>
      <c r="F645">
        <f>IF($A645="","",SUMIFS('Таблиця 1'!$K:$K,'Таблиця 1'!$B:$B,$A645,'Таблиця 1'!$I:$I,"Mi-8",'Таблиця 1'!$J:$J,"С-8 ком")+SUMIFS('Таблиця 1'!$K:$K,'Таблиця 1'!$B:$B,$A645,'Таблиця 1'!$I:$I,"Mi-24",'Таблиця 1'!$J:$J,"С-8 ком"))</f>
        <v/>
      </c>
      <c r="G645">
        <f>IF($A645="","",SUMIFS('Таблиця 1'!$K:$K,'Таблиця 1'!$B:$B,$A645,'Таблиця 1'!$I:$I,"Mi-8",'Таблиця 1'!$J:$J,"PC-80")+SUMIFS('Таблиця 1'!$K:$K,'Таблиця 1'!$B:$B,$A645,'Таблиця 1'!$I:$I,"Mi-24",'Таблиця 1'!$J:$J,"PC-80"))</f>
        <v/>
      </c>
      <c r="H645">
        <f>IF($A645="","",SUMIFS('Таблиця 1'!$K:$K,'Таблиця 1'!$B:$B,$A645,'Таблиця 1'!$I:$I,"Mi-8",'Таблиця 1'!$J:$J,"UAR-80")+SUMIFS('Таблиця 1'!$K:$K,'Таблиця 1'!$B:$B,$A645,'Таблиця 1'!$I:$I,"Mi-24",'Таблиця 1'!$J:$J,"UAR-80"))</f>
        <v/>
      </c>
      <c r="I645">
        <f>IF($A645="","",SUMIFS('Таблиця 1'!$K:$K,'Таблиця 1'!$B:$B,$A645,'Таблиця 1'!$I:$I,"Mi-8",'Таблиця 1'!$J:$J,"C-13")+SUMIFS('Таблиця 1'!$K:$K,'Таблиця 1'!$B:$B,$A645,'Таблиця 1'!$I:$I,"Mi-24",'Таблиця 1'!$J:$J,"C-13"))</f>
        <v/>
      </c>
      <c r="J645">
        <f>IF($A645="","",SUMIFS('Таблиця 1'!$K:$K,'Таблиця 1'!$B:$B,$A645,'Таблиця 1'!$I:$I,"Mi-8",'Таблиця 1'!$J:$J,"Hydra-70")+SUMIFS('Таблиця 1'!$K:$K,'Таблиця 1'!$B:$B,$A645,'Таблиця 1'!$I:$I,"Mi-24",'Таблиця 1'!$J:$J,"Hydra-70"))</f>
        <v/>
      </c>
      <c r="K645">
        <f>IF($A645="","",SUMIFS('Таблиця 1'!$K:$K,'Таблиця 1'!$B:$B,$A645,'Таблиця 1'!$I:$I,"Mi-8",'Таблиця 1'!$J:$J,"Thales-70")+SUMIFS('Таблиця 1'!$K:$K,'Таблиця 1'!$B:$B,$A645,'Таблиця 1'!$I:$I,"Mi-24",'Таблиця 1'!$J:$J,"Thales-70"))</f>
        <v/>
      </c>
      <c r="L645">
        <f>IF($A645="","",SUMIFS('Таблиця 1'!$K:$K,'Таблиця 1'!$B:$B,$A645,'Таблиця 1'!$I:$I,"Mi-8",'Таблиця 1'!$J:$J,"Thales-FZ")+SUMIFS('Таблиця 1'!$K:$K,'Таблиця 1'!$B:$B,$A645,'Таблиця 1'!$I:$I,"Mi-24",'Таблиця 1'!$J:$J,"Thales-FZ"))</f>
        <v/>
      </c>
      <c r="M645">
        <f>IF($A645="","",SUMIFS('Таблиця 1'!$K:$K,'Таблиця 1'!$B:$B,$A645,'Таблиця 1'!$I:$I,"Mi-8",'Таблиця 1'!$J:$J,"МК-40")+SUMIFS('Таблиця 1'!$K:$K,'Таблиця 1'!$B:$B,$A645,'Таблиця 1'!$I:$I,"Mi-24",'Таблиця 1'!$J:$J,"МК-40"))</f>
        <v/>
      </c>
      <c r="N645">
        <f>IF($A645="","",SUMIFS('Таблиця 1'!$K:$K,'Таблиця 1'!$B:$B,$A645,'Таблиця 1'!$I:$I,"Mi-8",'Таблиця 1'!$J:$J,"Zuni")+SUMIFS('Таблиця 1'!$K:$K,'Таблиця 1'!$B:$B,$A645,'Таблиця 1'!$I:$I,"Mi-24",'Таблиця 1'!$J:$J,"Zuni"))</f>
        <v/>
      </c>
      <c r="O645">
        <f>IF($A645="","",COUNTIFS('Таблиця 1'!$B:$B,$A645,'Таблиця 1'!$I:$I,"Mi-8",'Таблиця 1'!$L:$L,"Уражено")+COUNTIFS('Таблиця 1'!$B:$B,$A645,'Таблиця 1'!$I:$I,"Mi-24",'Таблиця 1'!$L:$L,"Уражено"))</f>
        <v/>
      </c>
      <c r="P645">
        <f>IF($A645="","",COUNTIFS('Таблиця 1'!$B:$B,$A645,'Таблиця 1'!$I:$I,"Mi-8",'Таблиця 1'!$L:$L,"НЕ уражено")+COUNTIFS('Таблиця 1'!$B:$B,$A645,'Таблиця 1'!$I:$I,"Mi-24",'Таблиця 1'!$L:$L,"НЕ уражено"))</f>
        <v/>
      </c>
    </row>
    <row r="646">
      <c r="A646" s="273">
        <f>IF(A645="","",IF(A645+1&gt;MAX('Таблиця 1'!$B:$B),"",A645+1))</f>
        <v/>
      </c>
      <c r="B646">
        <f>IF($A646="","",COUNTIFS('Таблиця 1'!$B:$B,$A646,'Таблиця 1'!$I:$I,"Mi-8")+COUNTIFS('Таблиця 1'!$B:$B,$A646,'Таблиця 1'!$I:$I,"Mi-24"))</f>
        <v/>
      </c>
      <c r="C646">
        <f>IF($A646="","",COUNTIFS('Таблиця 1'!$B:$B,$A646,'Таблиця 1'!$I:$I,"Mi-8"))</f>
        <v/>
      </c>
      <c r="D646">
        <f>IF($A646="","",COUNTIFS('Таблиця 1'!$B:$B,$A646,'Таблиця 1'!$I:$I,"Mi-24"))</f>
        <v/>
      </c>
      <c r="E646">
        <f>IF($A646="","",SUMIFS('Таблиця 1'!$K:$K,'Таблиця 1'!$B:$B,$A646,'Таблиця 1'!$I:$I,"Mi-8",'Таблиця 1'!$J:$J,"ARS-8")+SUMIFS('Таблиця 1'!$K:$K,'Таблиця 1'!$B:$B,$A646,'Таблиця 1'!$I:$I,"Mi-24",'Таблиця 1'!$J:$J,"ARS-8"))</f>
        <v/>
      </c>
      <c r="F646">
        <f>IF($A646="","",SUMIFS('Таблиця 1'!$K:$K,'Таблиця 1'!$B:$B,$A646,'Таблиця 1'!$I:$I,"Mi-8",'Таблиця 1'!$J:$J,"С-8 ком")+SUMIFS('Таблиця 1'!$K:$K,'Таблиця 1'!$B:$B,$A646,'Таблиця 1'!$I:$I,"Mi-24",'Таблиця 1'!$J:$J,"С-8 ком"))</f>
        <v/>
      </c>
      <c r="G646">
        <f>IF($A646="","",SUMIFS('Таблиця 1'!$K:$K,'Таблиця 1'!$B:$B,$A646,'Таблиця 1'!$I:$I,"Mi-8",'Таблиця 1'!$J:$J,"PC-80")+SUMIFS('Таблиця 1'!$K:$K,'Таблиця 1'!$B:$B,$A646,'Таблиця 1'!$I:$I,"Mi-24",'Таблиця 1'!$J:$J,"PC-80"))</f>
        <v/>
      </c>
      <c r="H646">
        <f>IF($A646="","",SUMIFS('Таблиця 1'!$K:$K,'Таблиця 1'!$B:$B,$A646,'Таблиця 1'!$I:$I,"Mi-8",'Таблиця 1'!$J:$J,"UAR-80")+SUMIFS('Таблиця 1'!$K:$K,'Таблиця 1'!$B:$B,$A646,'Таблиця 1'!$I:$I,"Mi-24",'Таблиця 1'!$J:$J,"UAR-80"))</f>
        <v/>
      </c>
      <c r="I646">
        <f>IF($A646="","",SUMIFS('Таблиця 1'!$K:$K,'Таблиця 1'!$B:$B,$A646,'Таблиця 1'!$I:$I,"Mi-8",'Таблиця 1'!$J:$J,"C-13")+SUMIFS('Таблиця 1'!$K:$K,'Таблиця 1'!$B:$B,$A646,'Таблиця 1'!$I:$I,"Mi-24",'Таблиця 1'!$J:$J,"C-13"))</f>
        <v/>
      </c>
      <c r="J646">
        <f>IF($A646="","",SUMIFS('Таблиця 1'!$K:$K,'Таблиця 1'!$B:$B,$A646,'Таблиця 1'!$I:$I,"Mi-8",'Таблиця 1'!$J:$J,"Hydra-70")+SUMIFS('Таблиця 1'!$K:$K,'Таблиця 1'!$B:$B,$A646,'Таблиця 1'!$I:$I,"Mi-24",'Таблиця 1'!$J:$J,"Hydra-70"))</f>
        <v/>
      </c>
      <c r="K646">
        <f>IF($A646="","",SUMIFS('Таблиця 1'!$K:$K,'Таблиця 1'!$B:$B,$A646,'Таблиця 1'!$I:$I,"Mi-8",'Таблиця 1'!$J:$J,"Thales-70")+SUMIFS('Таблиця 1'!$K:$K,'Таблиця 1'!$B:$B,$A646,'Таблиця 1'!$I:$I,"Mi-24",'Таблиця 1'!$J:$J,"Thales-70"))</f>
        <v/>
      </c>
      <c r="L646">
        <f>IF($A646="","",SUMIFS('Таблиця 1'!$K:$K,'Таблиця 1'!$B:$B,$A646,'Таблиця 1'!$I:$I,"Mi-8",'Таблиця 1'!$J:$J,"Thales-FZ")+SUMIFS('Таблиця 1'!$K:$K,'Таблиця 1'!$B:$B,$A646,'Таблиця 1'!$I:$I,"Mi-24",'Таблиця 1'!$J:$J,"Thales-FZ"))</f>
        <v/>
      </c>
      <c r="M646">
        <f>IF($A646="","",SUMIFS('Таблиця 1'!$K:$K,'Таблиця 1'!$B:$B,$A646,'Таблиця 1'!$I:$I,"Mi-8",'Таблиця 1'!$J:$J,"МК-40")+SUMIFS('Таблиця 1'!$K:$K,'Таблиця 1'!$B:$B,$A646,'Таблиця 1'!$I:$I,"Mi-24",'Таблиця 1'!$J:$J,"МК-40"))</f>
        <v/>
      </c>
      <c r="N646">
        <f>IF($A646="","",SUMIFS('Таблиця 1'!$K:$K,'Таблиця 1'!$B:$B,$A646,'Таблиця 1'!$I:$I,"Mi-8",'Таблиця 1'!$J:$J,"Zuni")+SUMIFS('Таблиця 1'!$K:$K,'Таблиця 1'!$B:$B,$A646,'Таблиця 1'!$I:$I,"Mi-24",'Таблиця 1'!$J:$J,"Zuni"))</f>
        <v/>
      </c>
      <c r="O646">
        <f>IF($A646="","",COUNTIFS('Таблиця 1'!$B:$B,$A646,'Таблиця 1'!$I:$I,"Mi-8",'Таблиця 1'!$L:$L,"Уражено")+COUNTIFS('Таблиця 1'!$B:$B,$A646,'Таблиця 1'!$I:$I,"Mi-24",'Таблиця 1'!$L:$L,"Уражено"))</f>
        <v/>
      </c>
      <c r="P646">
        <f>IF($A646="","",COUNTIFS('Таблиця 1'!$B:$B,$A646,'Таблиця 1'!$I:$I,"Mi-8",'Таблиця 1'!$L:$L,"НЕ уражено")+COUNTIFS('Таблиця 1'!$B:$B,$A646,'Таблиця 1'!$I:$I,"Mi-24",'Таблиця 1'!$L:$L,"НЕ уражено"))</f>
        <v/>
      </c>
    </row>
    <row r="647">
      <c r="A647" s="273">
        <f>IF(A646="","",IF(A646+1&gt;MAX('Таблиця 1'!$B:$B),"",A646+1))</f>
        <v/>
      </c>
      <c r="B647">
        <f>IF($A647="","",COUNTIFS('Таблиця 1'!$B:$B,$A647,'Таблиця 1'!$I:$I,"Mi-8")+COUNTIFS('Таблиця 1'!$B:$B,$A647,'Таблиця 1'!$I:$I,"Mi-24"))</f>
        <v/>
      </c>
      <c r="C647">
        <f>IF($A647="","",COUNTIFS('Таблиця 1'!$B:$B,$A647,'Таблиця 1'!$I:$I,"Mi-8"))</f>
        <v/>
      </c>
      <c r="D647">
        <f>IF($A647="","",COUNTIFS('Таблиця 1'!$B:$B,$A647,'Таблиця 1'!$I:$I,"Mi-24"))</f>
        <v/>
      </c>
      <c r="E647">
        <f>IF($A647="","",SUMIFS('Таблиця 1'!$K:$K,'Таблиця 1'!$B:$B,$A647,'Таблиця 1'!$I:$I,"Mi-8",'Таблиця 1'!$J:$J,"ARS-8")+SUMIFS('Таблиця 1'!$K:$K,'Таблиця 1'!$B:$B,$A647,'Таблиця 1'!$I:$I,"Mi-24",'Таблиця 1'!$J:$J,"ARS-8"))</f>
        <v/>
      </c>
      <c r="F647">
        <f>IF($A647="","",SUMIFS('Таблиця 1'!$K:$K,'Таблиця 1'!$B:$B,$A647,'Таблиця 1'!$I:$I,"Mi-8",'Таблиця 1'!$J:$J,"С-8 ком")+SUMIFS('Таблиця 1'!$K:$K,'Таблиця 1'!$B:$B,$A647,'Таблиця 1'!$I:$I,"Mi-24",'Таблиця 1'!$J:$J,"С-8 ком"))</f>
        <v/>
      </c>
      <c r="G647">
        <f>IF($A647="","",SUMIFS('Таблиця 1'!$K:$K,'Таблиця 1'!$B:$B,$A647,'Таблиця 1'!$I:$I,"Mi-8",'Таблиця 1'!$J:$J,"PC-80")+SUMIFS('Таблиця 1'!$K:$K,'Таблиця 1'!$B:$B,$A647,'Таблиця 1'!$I:$I,"Mi-24",'Таблиця 1'!$J:$J,"PC-80"))</f>
        <v/>
      </c>
      <c r="H647">
        <f>IF($A647="","",SUMIFS('Таблиця 1'!$K:$K,'Таблиця 1'!$B:$B,$A647,'Таблиця 1'!$I:$I,"Mi-8",'Таблиця 1'!$J:$J,"UAR-80")+SUMIFS('Таблиця 1'!$K:$K,'Таблиця 1'!$B:$B,$A647,'Таблиця 1'!$I:$I,"Mi-24",'Таблиця 1'!$J:$J,"UAR-80"))</f>
        <v/>
      </c>
      <c r="I647">
        <f>IF($A647="","",SUMIFS('Таблиця 1'!$K:$K,'Таблиця 1'!$B:$B,$A647,'Таблиця 1'!$I:$I,"Mi-8",'Таблиця 1'!$J:$J,"C-13")+SUMIFS('Таблиця 1'!$K:$K,'Таблиця 1'!$B:$B,$A647,'Таблиця 1'!$I:$I,"Mi-24",'Таблиця 1'!$J:$J,"C-13"))</f>
        <v/>
      </c>
      <c r="J647">
        <f>IF($A647="","",SUMIFS('Таблиця 1'!$K:$K,'Таблиця 1'!$B:$B,$A647,'Таблиця 1'!$I:$I,"Mi-8",'Таблиця 1'!$J:$J,"Hydra-70")+SUMIFS('Таблиця 1'!$K:$K,'Таблиця 1'!$B:$B,$A647,'Таблиця 1'!$I:$I,"Mi-24",'Таблиця 1'!$J:$J,"Hydra-70"))</f>
        <v/>
      </c>
      <c r="K647">
        <f>IF($A647="","",SUMIFS('Таблиця 1'!$K:$K,'Таблиця 1'!$B:$B,$A647,'Таблиця 1'!$I:$I,"Mi-8",'Таблиця 1'!$J:$J,"Thales-70")+SUMIFS('Таблиця 1'!$K:$K,'Таблиця 1'!$B:$B,$A647,'Таблиця 1'!$I:$I,"Mi-24",'Таблиця 1'!$J:$J,"Thales-70"))</f>
        <v/>
      </c>
      <c r="L647">
        <f>IF($A647="","",SUMIFS('Таблиця 1'!$K:$K,'Таблиця 1'!$B:$B,$A647,'Таблиця 1'!$I:$I,"Mi-8",'Таблиця 1'!$J:$J,"Thales-FZ")+SUMIFS('Таблиця 1'!$K:$K,'Таблиця 1'!$B:$B,$A647,'Таблиця 1'!$I:$I,"Mi-24",'Таблиця 1'!$J:$J,"Thales-FZ"))</f>
        <v/>
      </c>
      <c r="M647">
        <f>IF($A647="","",SUMIFS('Таблиця 1'!$K:$K,'Таблиця 1'!$B:$B,$A647,'Таблиця 1'!$I:$I,"Mi-8",'Таблиця 1'!$J:$J,"МК-40")+SUMIFS('Таблиця 1'!$K:$K,'Таблиця 1'!$B:$B,$A647,'Таблиця 1'!$I:$I,"Mi-24",'Таблиця 1'!$J:$J,"МК-40"))</f>
        <v/>
      </c>
      <c r="N647">
        <f>IF($A647="","",SUMIFS('Таблиця 1'!$K:$K,'Таблиця 1'!$B:$B,$A647,'Таблиця 1'!$I:$I,"Mi-8",'Таблиця 1'!$J:$J,"Zuni")+SUMIFS('Таблиця 1'!$K:$K,'Таблиця 1'!$B:$B,$A647,'Таблиця 1'!$I:$I,"Mi-24",'Таблиця 1'!$J:$J,"Zuni"))</f>
        <v/>
      </c>
      <c r="O647">
        <f>IF($A647="","",COUNTIFS('Таблиця 1'!$B:$B,$A647,'Таблиця 1'!$I:$I,"Mi-8",'Таблиця 1'!$L:$L,"Уражено")+COUNTIFS('Таблиця 1'!$B:$B,$A647,'Таблиця 1'!$I:$I,"Mi-24",'Таблиця 1'!$L:$L,"Уражено"))</f>
        <v/>
      </c>
      <c r="P647">
        <f>IF($A647="","",COUNTIFS('Таблиця 1'!$B:$B,$A647,'Таблиця 1'!$I:$I,"Mi-8",'Таблиця 1'!$L:$L,"НЕ уражено")+COUNTIFS('Таблиця 1'!$B:$B,$A647,'Таблиця 1'!$I:$I,"Mi-24",'Таблиця 1'!$L:$L,"НЕ уражено"))</f>
        <v/>
      </c>
    </row>
    <row r="648">
      <c r="A648" s="273">
        <f>IF(A647="","",IF(A647+1&gt;MAX('Таблиця 1'!$B:$B),"",A647+1))</f>
        <v/>
      </c>
      <c r="B648">
        <f>IF($A648="","",COUNTIFS('Таблиця 1'!$B:$B,$A648,'Таблиця 1'!$I:$I,"Mi-8")+COUNTIFS('Таблиця 1'!$B:$B,$A648,'Таблиця 1'!$I:$I,"Mi-24"))</f>
        <v/>
      </c>
      <c r="C648">
        <f>IF($A648="","",COUNTIFS('Таблиця 1'!$B:$B,$A648,'Таблиця 1'!$I:$I,"Mi-8"))</f>
        <v/>
      </c>
      <c r="D648">
        <f>IF($A648="","",COUNTIFS('Таблиця 1'!$B:$B,$A648,'Таблиця 1'!$I:$I,"Mi-24"))</f>
        <v/>
      </c>
      <c r="E648">
        <f>IF($A648="","",SUMIFS('Таблиця 1'!$K:$K,'Таблиця 1'!$B:$B,$A648,'Таблиця 1'!$I:$I,"Mi-8",'Таблиця 1'!$J:$J,"ARS-8")+SUMIFS('Таблиця 1'!$K:$K,'Таблиця 1'!$B:$B,$A648,'Таблиця 1'!$I:$I,"Mi-24",'Таблиця 1'!$J:$J,"ARS-8"))</f>
        <v/>
      </c>
      <c r="F648">
        <f>IF($A648="","",SUMIFS('Таблиця 1'!$K:$K,'Таблиця 1'!$B:$B,$A648,'Таблиця 1'!$I:$I,"Mi-8",'Таблиця 1'!$J:$J,"С-8 ком")+SUMIFS('Таблиця 1'!$K:$K,'Таблиця 1'!$B:$B,$A648,'Таблиця 1'!$I:$I,"Mi-24",'Таблиця 1'!$J:$J,"С-8 ком"))</f>
        <v/>
      </c>
      <c r="G648">
        <f>IF($A648="","",SUMIFS('Таблиця 1'!$K:$K,'Таблиця 1'!$B:$B,$A648,'Таблиця 1'!$I:$I,"Mi-8",'Таблиця 1'!$J:$J,"PC-80")+SUMIFS('Таблиця 1'!$K:$K,'Таблиця 1'!$B:$B,$A648,'Таблиця 1'!$I:$I,"Mi-24",'Таблиця 1'!$J:$J,"PC-80"))</f>
        <v/>
      </c>
      <c r="H648">
        <f>IF($A648="","",SUMIFS('Таблиця 1'!$K:$K,'Таблиця 1'!$B:$B,$A648,'Таблиця 1'!$I:$I,"Mi-8",'Таблиця 1'!$J:$J,"UAR-80")+SUMIFS('Таблиця 1'!$K:$K,'Таблиця 1'!$B:$B,$A648,'Таблиця 1'!$I:$I,"Mi-24",'Таблиця 1'!$J:$J,"UAR-80"))</f>
        <v/>
      </c>
      <c r="I648">
        <f>IF($A648="","",SUMIFS('Таблиця 1'!$K:$K,'Таблиця 1'!$B:$B,$A648,'Таблиця 1'!$I:$I,"Mi-8",'Таблиця 1'!$J:$J,"C-13")+SUMIFS('Таблиця 1'!$K:$K,'Таблиця 1'!$B:$B,$A648,'Таблиця 1'!$I:$I,"Mi-24",'Таблиця 1'!$J:$J,"C-13"))</f>
        <v/>
      </c>
      <c r="J648">
        <f>IF($A648="","",SUMIFS('Таблиця 1'!$K:$K,'Таблиця 1'!$B:$B,$A648,'Таблиця 1'!$I:$I,"Mi-8",'Таблиця 1'!$J:$J,"Hydra-70")+SUMIFS('Таблиця 1'!$K:$K,'Таблиця 1'!$B:$B,$A648,'Таблиця 1'!$I:$I,"Mi-24",'Таблиця 1'!$J:$J,"Hydra-70"))</f>
        <v/>
      </c>
      <c r="K648">
        <f>IF($A648="","",SUMIFS('Таблиця 1'!$K:$K,'Таблиця 1'!$B:$B,$A648,'Таблиця 1'!$I:$I,"Mi-8",'Таблиця 1'!$J:$J,"Thales-70")+SUMIFS('Таблиця 1'!$K:$K,'Таблиця 1'!$B:$B,$A648,'Таблиця 1'!$I:$I,"Mi-24",'Таблиця 1'!$J:$J,"Thales-70"))</f>
        <v/>
      </c>
      <c r="L648">
        <f>IF($A648="","",SUMIFS('Таблиця 1'!$K:$K,'Таблиця 1'!$B:$B,$A648,'Таблиця 1'!$I:$I,"Mi-8",'Таблиця 1'!$J:$J,"Thales-FZ")+SUMIFS('Таблиця 1'!$K:$K,'Таблиця 1'!$B:$B,$A648,'Таблиця 1'!$I:$I,"Mi-24",'Таблиця 1'!$J:$J,"Thales-FZ"))</f>
        <v/>
      </c>
      <c r="M648">
        <f>IF($A648="","",SUMIFS('Таблиця 1'!$K:$K,'Таблиця 1'!$B:$B,$A648,'Таблиця 1'!$I:$I,"Mi-8",'Таблиця 1'!$J:$J,"МК-40")+SUMIFS('Таблиця 1'!$K:$K,'Таблиця 1'!$B:$B,$A648,'Таблиця 1'!$I:$I,"Mi-24",'Таблиця 1'!$J:$J,"МК-40"))</f>
        <v/>
      </c>
      <c r="N648">
        <f>IF($A648="","",SUMIFS('Таблиця 1'!$K:$K,'Таблиця 1'!$B:$B,$A648,'Таблиця 1'!$I:$I,"Mi-8",'Таблиця 1'!$J:$J,"Zuni")+SUMIFS('Таблиця 1'!$K:$K,'Таблиця 1'!$B:$B,$A648,'Таблиця 1'!$I:$I,"Mi-24",'Таблиця 1'!$J:$J,"Zuni"))</f>
        <v/>
      </c>
      <c r="O648">
        <f>IF($A648="","",COUNTIFS('Таблиця 1'!$B:$B,$A648,'Таблиця 1'!$I:$I,"Mi-8",'Таблиця 1'!$L:$L,"Уражено")+COUNTIFS('Таблиця 1'!$B:$B,$A648,'Таблиця 1'!$I:$I,"Mi-24",'Таблиця 1'!$L:$L,"Уражено"))</f>
        <v/>
      </c>
      <c r="P648">
        <f>IF($A648="","",COUNTIFS('Таблиця 1'!$B:$B,$A648,'Таблиця 1'!$I:$I,"Mi-8",'Таблиця 1'!$L:$L,"НЕ уражено")+COUNTIFS('Таблиця 1'!$B:$B,$A648,'Таблиця 1'!$I:$I,"Mi-24",'Таблиця 1'!$L:$L,"НЕ уражено"))</f>
        <v/>
      </c>
    </row>
    <row r="649">
      <c r="A649" s="273">
        <f>IF(A648="","",IF(A648+1&gt;MAX('Таблиця 1'!$B:$B),"",A648+1))</f>
        <v/>
      </c>
      <c r="B649">
        <f>IF($A649="","",COUNTIFS('Таблиця 1'!$B:$B,$A649,'Таблиця 1'!$I:$I,"Mi-8")+COUNTIFS('Таблиця 1'!$B:$B,$A649,'Таблиця 1'!$I:$I,"Mi-24"))</f>
        <v/>
      </c>
      <c r="C649">
        <f>IF($A649="","",COUNTIFS('Таблиця 1'!$B:$B,$A649,'Таблиця 1'!$I:$I,"Mi-8"))</f>
        <v/>
      </c>
      <c r="D649">
        <f>IF($A649="","",COUNTIFS('Таблиця 1'!$B:$B,$A649,'Таблиця 1'!$I:$I,"Mi-24"))</f>
        <v/>
      </c>
      <c r="E649">
        <f>IF($A649="","",SUMIFS('Таблиця 1'!$K:$K,'Таблиця 1'!$B:$B,$A649,'Таблиця 1'!$I:$I,"Mi-8",'Таблиця 1'!$J:$J,"ARS-8")+SUMIFS('Таблиця 1'!$K:$K,'Таблиця 1'!$B:$B,$A649,'Таблиця 1'!$I:$I,"Mi-24",'Таблиця 1'!$J:$J,"ARS-8"))</f>
        <v/>
      </c>
      <c r="F649">
        <f>IF($A649="","",SUMIFS('Таблиця 1'!$K:$K,'Таблиця 1'!$B:$B,$A649,'Таблиця 1'!$I:$I,"Mi-8",'Таблиця 1'!$J:$J,"С-8 ком")+SUMIFS('Таблиця 1'!$K:$K,'Таблиця 1'!$B:$B,$A649,'Таблиця 1'!$I:$I,"Mi-24",'Таблиця 1'!$J:$J,"С-8 ком"))</f>
        <v/>
      </c>
      <c r="G649">
        <f>IF($A649="","",SUMIFS('Таблиця 1'!$K:$K,'Таблиця 1'!$B:$B,$A649,'Таблиця 1'!$I:$I,"Mi-8",'Таблиця 1'!$J:$J,"PC-80")+SUMIFS('Таблиця 1'!$K:$K,'Таблиця 1'!$B:$B,$A649,'Таблиця 1'!$I:$I,"Mi-24",'Таблиця 1'!$J:$J,"PC-80"))</f>
        <v/>
      </c>
      <c r="H649">
        <f>IF($A649="","",SUMIFS('Таблиця 1'!$K:$K,'Таблиця 1'!$B:$B,$A649,'Таблиця 1'!$I:$I,"Mi-8",'Таблиця 1'!$J:$J,"UAR-80")+SUMIFS('Таблиця 1'!$K:$K,'Таблиця 1'!$B:$B,$A649,'Таблиця 1'!$I:$I,"Mi-24",'Таблиця 1'!$J:$J,"UAR-80"))</f>
        <v/>
      </c>
      <c r="I649">
        <f>IF($A649="","",SUMIFS('Таблиця 1'!$K:$K,'Таблиця 1'!$B:$B,$A649,'Таблиця 1'!$I:$I,"Mi-8",'Таблиця 1'!$J:$J,"C-13")+SUMIFS('Таблиця 1'!$K:$K,'Таблиця 1'!$B:$B,$A649,'Таблиця 1'!$I:$I,"Mi-24",'Таблиця 1'!$J:$J,"C-13"))</f>
        <v/>
      </c>
      <c r="J649">
        <f>IF($A649="","",SUMIFS('Таблиця 1'!$K:$K,'Таблиця 1'!$B:$B,$A649,'Таблиця 1'!$I:$I,"Mi-8",'Таблиця 1'!$J:$J,"Hydra-70")+SUMIFS('Таблиця 1'!$K:$K,'Таблиця 1'!$B:$B,$A649,'Таблиця 1'!$I:$I,"Mi-24",'Таблиця 1'!$J:$J,"Hydra-70"))</f>
        <v/>
      </c>
      <c r="K649">
        <f>IF($A649="","",SUMIFS('Таблиця 1'!$K:$K,'Таблиця 1'!$B:$B,$A649,'Таблиця 1'!$I:$I,"Mi-8",'Таблиця 1'!$J:$J,"Thales-70")+SUMIFS('Таблиця 1'!$K:$K,'Таблиця 1'!$B:$B,$A649,'Таблиця 1'!$I:$I,"Mi-24",'Таблиця 1'!$J:$J,"Thales-70"))</f>
        <v/>
      </c>
      <c r="L649">
        <f>IF($A649="","",SUMIFS('Таблиця 1'!$K:$K,'Таблиця 1'!$B:$B,$A649,'Таблиця 1'!$I:$I,"Mi-8",'Таблиця 1'!$J:$J,"Thales-FZ")+SUMIFS('Таблиця 1'!$K:$K,'Таблиця 1'!$B:$B,$A649,'Таблиця 1'!$I:$I,"Mi-24",'Таблиця 1'!$J:$J,"Thales-FZ"))</f>
        <v/>
      </c>
      <c r="M649">
        <f>IF($A649="","",SUMIFS('Таблиця 1'!$K:$K,'Таблиця 1'!$B:$B,$A649,'Таблиця 1'!$I:$I,"Mi-8",'Таблиця 1'!$J:$J,"МК-40")+SUMIFS('Таблиця 1'!$K:$K,'Таблиця 1'!$B:$B,$A649,'Таблиця 1'!$I:$I,"Mi-24",'Таблиця 1'!$J:$J,"МК-40"))</f>
        <v/>
      </c>
      <c r="N649">
        <f>IF($A649="","",SUMIFS('Таблиця 1'!$K:$K,'Таблиця 1'!$B:$B,$A649,'Таблиця 1'!$I:$I,"Mi-8",'Таблиця 1'!$J:$J,"Zuni")+SUMIFS('Таблиця 1'!$K:$K,'Таблиця 1'!$B:$B,$A649,'Таблиця 1'!$I:$I,"Mi-24",'Таблиця 1'!$J:$J,"Zuni"))</f>
        <v/>
      </c>
      <c r="O649">
        <f>IF($A649="","",COUNTIFS('Таблиця 1'!$B:$B,$A649,'Таблиця 1'!$I:$I,"Mi-8",'Таблиця 1'!$L:$L,"Уражено")+COUNTIFS('Таблиця 1'!$B:$B,$A649,'Таблиця 1'!$I:$I,"Mi-24",'Таблиця 1'!$L:$L,"Уражено"))</f>
        <v/>
      </c>
      <c r="P649">
        <f>IF($A649="","",COUNTIFS('Таблиця 1'!$B:$B,$A649,'Таблиця 1'!$I:$I,"Mi-8",'Таблиця 1'!$L:$L,"НЕ уражено")+COUNTIFS('Таблиця 1'!$B:$B,$A649,'Таблиця 1'!$I:$I,"Mi-24",'Таблиця 1'!$L:$L,"НЕ уражено"))</f>
        <v/>
      </c>
    </row>
    <row r="650">
      <c r="A650" s="273">
        <f>IF(A649="","",IF(A649+1&gt;MAX('Таблиця 1'!$B:$B),"",A649+1))</f>
        <v/>
      </c>
      <c r="B650">
        <f>IF($A650="","",COUNTIFS('Таблиця 1'!$B:$B,$A650,'Таблиця 1'!$I:$I,"Mi-8")+COUNTIFS('Таблиця 1'!$B:$B,$A650,'Таблиця 1'!$I:$I,"Mi-24"))</f>
        <v/>
      </c>
      <c r="C650">
        <f>IF($A650="","",COUNTIFS('Таблиця 1'!$B:$B,$A650,'Таблиця 1'!$I:$I,"Mi-8"))</f>
        <v/>
      </c>
      <c r="D650">
        <f>IF($A650="","",COUNTIFS('Таблиця 1'!$B:$B,$A650,'Таблиця 1'!$I:$I,"Mi-24"))</f>
        <v/>
      </c>
      <c r="E650">
        <f>IF($A650="","",SUMIFS('Таблиця 1'!$K:$K,'Таблиця 1'!$B:$B,$A650,'Таблиця 1'!$I:$I,"Mi-8",'Таблиця 1'!$J:$J,"ARS-8")+SUMIFS('Таблиця 1'!$K:$K,'Таблиця 1'!$B:$B,$A650,'Таблиця 1'!$I:$I,"Mi-24",'Таблиця 1'!$J:$J,"ARS-8"))</f>
        <v/>
      </c>
      <c r="F650">
        <f>IF($A650="","",SUMIFS('Таблиця 1'!$K:$K,'Таблиця 1'!$B:$B,$A650,'Таблиця 1'!$I:$I,"Mi-8",'Таблиця 1'!$J:$J,"С-8 ком")+SUMIFS('Таблиця 1'!$K:$K,'Таблиця 1'!$B:$B,$A650,'Таблиця 1'!$I:$I,"Mi-24",'Таблиця 1'!$J:$J,"С-8 ком"))</f>
        <v/>
      </c>
      <c r="G650">
        <f>IF($A650="","",SUMIFS('Таблиця 1'!$K:$K,'Таблиця 1'!$B:$B,$A650,'Таблиця 1'!$I:$I,"Mi-8",'Таблиця 1'!$J:$J,"PC-80")+SUMIFS('Таблиця 1'!$K:$K,'Таблиця 1'!$B:$B,$A650,'Таблиця 1'!$I:$I,"Mi-24",'Таблиця 1'!$J:$J,"PC-80"))</f>
        <v/>
      </c>
      <c r="H650">
        <f>IF($A650="","",SUMIFS('Таблиця 1'!$K:$K,'Таблиця 1'!$B:$B,$A650,'Таблиця 1'!$I:$I,"Mi-8",'Таблиця 1'!$J:$J,"UAR-80")+SUMIFS('Таблиця 1'!$K:$K,'Таблиця 1'!$B:$B,$A650,'Таблиця 1'!$I:$I,"Mi-24",'Таблиця 1'!$J:$J,"UAR-80"))</f>
        <v/>
      </c>
      <c r="I650">
        <f>IF($A650="","",SUMIFS('Таблиця 1'!$K:$K,'Таблиця 1'!$B:$B,$A650,'Таблиця 1'!$I:$I,"Mi-8",'Таблиця 1'!$J:$J,"C-13")+SUMIFS('Таблиця 1'!$K:$K,'Таблиця 1'!$B:$B,$A650,'Таблиця 1'!$I:$I,"Mi-24",'Таблиця 1'!$J:$J,"C-13"))</f>
        <v/>
      </c>
      <c r="J650">
        <f>IF($A650="","",SUMIFS('Таблиця 1'!$K:$K,'Таблиця 1'!$B:$B,$A650,'Таблиця 1'!$I:$I,"Mi-8",'Таблиця 1'!$J:$J,"Hydra-70")+SUMIFS('Таблиця 1'!$K:$K,'Таблиця 1'!$B:$B,$A650,'Таблиця 1'!$I:$I,"Mi-24",'Таблиця 1'!$J:$J,"Hydra-70"))</f>
        <v/>
      </c>
      <c r="K650">
        <f>IF($A650="","",SUMIFS('Таблиця 1'!$K:$K,'Таблиця 1'!$B:$B,$A650,'Таблиця 1'!$I:$I,"Mi-8",'Таблиця 1'!$J:$J,"Thales-70")+SUMIFS('Таблиця 1'!$K:$K,'Таблиця 1'!$B:$B,$A650,'Таблиця 1'!$I:$I,"Mi-24",'Таблиця 1'!$J:$J,"Thales-70"))</f>
        <v/>
      </c>
      <c r="L650">
        <f>IF($A650="","",SUMIFS('Таблиця 1'!$K:$K,'Таблиця 1'!$B:$B,$A650,'Таблиця 1'!$I:$I,"Mi-8",'Таблиця 1'!$J:$J,"Thales-FZ")+SUMIFS('Таблиця 1'!$K:$K,'Таблиця 1'!$B:$B,$A650,'Таблиця 1'!$I:$I,"Mi-24",'Таблиця 1'!$J:$J,"Thales-FZ"))</f>
        <v/>
      </c>
      <c r="M650">
        <f>IF($A650="","",SUMIFS('Таблиця 1'!$K:$K,'Таблиця 1'!$B:$B,$A650,'Таблиця 1'!$I:$I,"Mi-8",'Таблиця 1'!$J:$J,"МК-40")+SUMIFS('Таблиця 1'!$K:$K,'Таблиця 1'!$B:$B,$A650,'Таблиця 1'!$I:$I,"Mi-24",'Таблиця 1'!$J:$J,"МК-40"))</f>
        <v/>
      </c>
      <c r="N650">
        <f>IF($A650="","",SUMIFS('Таблиця 1'!$K:$K,'Таблиця 1'!$B:$B,$A650,'Таблиця 1'!$I:$I,"Mi-8",'Таблиця 1'!$J:$J,"Zuni")+SUMIFS('Таблиця 1'!$K:$K,'Таблиця 1'!$B:$B,$A650,'Таблиця 1'!$I:$I,"Mi-24",'Таблиця 1'!$J:$J,"Zuni"))</f>
        <v/>
      </c>
      <c r="O650">
        <f>IF($A650="","",COUNTIFS('Таблиця 1'!$B:$B,$A650,'Таблиця 1'!$I:$I,"Mi-8",'Таблиця 1'!$L:$L,"Уражено")+COUNTIFS('Таблиця 1'!$B:$B,$A650,'Таблиця 1'!$I:$I,"Mi-24",'Таблиця 1'!$L:$L,"Уражено"))</f>
        <v/>
      </c>
      <c r="P650">
        <f>IF($A650="","",COUNTIFS('Таблиця 1'!$B:$B,$A650,'Таблиця 1'!$I:$I,"Mi-8",'Таблиця 1'!$L:$L,"НЕ уражено")+COUNTIFS('Таблиця 1'!$B:$B,$A650,'Таблиця 1'!$I:$I,"Mi-24",'Таблиця 1'!$L:$L,"НЕ уражено"))</f>
        <v/>
      </c>
    </row>
    <row r="651">
      <c r="A651" s="273">
        <f>IF(A650="","",IF(A650+1&gt;MAX('Таблиця 1'!$B:$B),"",A650+1))</f>
        <v/>
      </c>
      <c r="B651">
        <f>IF($A651="","",COUNTIFS('Таблиця 1'!$B:$B,$A651,'Таблиця 1'!$I:$I,"Mi-8")+COUNTIFS('Таблиця 1'!$B:$B,$A651,'Таблиця 1'!$I:$I,"Mi-24"))</f>
        <v/>
      </c>
      <c r="C651">
        <f>IF($A651="","",COUNTIFS('Таблиця 1'!$B:$B,$A651,'Таблиця 1'!$I:$I,"Mi-8"))</f>
        <v/>
      </c>
      <c r="D651">
        <f>IF($A651="","",COUNTIFS('Таблиця 1'!$B:$B,$A651,'Таблиця 1'!$I:$I,"Mi-24"))</f>
        <v/>
      </c>
      <c r="E651">
        <f>IF($A651="","",SUMIFS('Таблиця 1'!$K:$K,'Таблиця 1'!$B:$B,$A651,'Таблиця 1'!$I:$I,"Mi-8",'Таблиця 1'!$J:$J,"ARS-8")+SUMIFS('Таблиця 1'!$K:$K,'Таблиця 1'!$B:$B,$A651,'Таблиця 1'!$I:$I,"Mi-24",'Таблиця 1'!$J:$J,"ARS-8"))</f>
        <v/>
      </c>
      <c r="F651">
        <f>IF($A651="","",SUMIFS('Таблиця 1'!$K:$K,'Таблиця 1'!$B:$B,$A651,'Таблиця 1'!$I:$I,"Mi-8",'Таблиця 1'!$J:$J,"С-8 ком")+SUMIFS('Таблиця 1'!$K:$K,'Таблиця 1'!$B:$B,$A651,'Таблиця 1'!$I:$I,"Mi-24",'Таблиця 1'!$J:$J,"С-8 ком"))</f>
        <v/>
      </c>
      <c r="G651">
        <f>IF($A651="","",SUMIFS('Таблиця 1'!$K:$K,'Таблиця 1'!$B:$B,$A651,'Таблиця 1'!$I:$I,"Mi-8",'Таблиця 1'!$J:$J,"PC-80")+SUMIFS('Таблиця 1'!$K:$K,'Таблиця 1'!$B:$B,$A651,'Таблиця 1'!$I:$I,"Mi-24",'Таблиця 1'!$J:$J,"PC-80"))</f>
        <v/>
      </c>
      <c r="H651">
        <f>IF($A651="","",SUMIFS('Таблиця 1'!$K:$K,'Таблиця 1'!$B:$B,$A651,'Таблиця 1'!$I:$I,"Mi-8",'Таблиця 1'!$J:$J,"UAR-80")+SUMIFS('Таблиця 1'!$K:$K,'Таблиця 1'!$B:$B,$A651,'Таблиця 1'!$I:$I,"Mi-24",'Таблиця 1'!$J:$J,"UAR-80"))</f>
        <v/>
      </c>
      <c r="I651">
        <f>IF($A651="","",SUMIFS('Таблиця 1'!$K:$K,'Таблиця 1'!$B:$B,$A651,'Таблиця 1'!$I:$I,"Mi-8",'Таблиця 1'!$J:$J,"C-13")+SUMIFS('Таблиця 1'!$K:$K,'Таблиця 1'!$B:$B,$A651,'Таблиця 1'!$I:$I,"Mi-24",'Таблиця 1'!$J:$J,"C-13"))</f>
        <v/>
      </c>
      <c r="J651">
        <f>IF($A651="","",SUMIFS('Таблиця 1'!$K:$K,'Таблиця 1'!$B:$B,$A651,'Таблиця 1'!$I:$I,"Mi-8",'Таблиця 1'!$J:$J,"Hydra-70")+SUMIFS('Таблиця 1'!$K:$K,'Таблиця 1'!$B:$B,$A651,'Таблиця 1'!$I:$I,"Mi-24",'Таблиця 1'!$J:$J,"Hydra-70"))</f>
        <v/>
      </c>
      <c r="K651">
        <f>IF($A651="","",SUMIFS('Таблиця 1'!$K:$K,'Таблиця 1'!$B:$B,$A651,'Таблиця 1'!$I:$I,"Mi-8",'Таблиця 1'!$J:$J,"Thales-70")+SUMIFS('Таблиця 1'!$K:$K,'Таблиця 1'!$B:$B,$A651,'Таблиця 1'!$I:$I,"Mi-24",'Таблиця 1'!$J:$J,"Thales-70"))</f>
        <v/>
      </c>
      <c r="L651">
        <f>IF($A651="","",SUMIFS('Таблиця 1'!$K:$K,'Таблиця 1'!$B:$B,$A651,'Таблиця 1'!$I:$I,"Mi-8",'Таблиця 1'!$J:$J,"Thales-FZ")+SUMIFS('Таблиця 1'!$K:$K,'Таблиця 1'!$B:$B,$A651,'Таблиця 1'!$I:$I,"Mi-24",'Таблиця 1'!$J:$J,"Thales-FZ"))</f>
        <v/>
      </c>
      <c r="M651">
        <f>IF($A651="","",SUMIFS('Таблиця 1'!$K:$K,'Таблиця 1'!$B:$B,$A651,'Таблиця 1'!$I:$I,"Mi-8",'Таблиця 1'!$J:$J,"МК-40")+SUMIFS('Таблиця 1'!$K:$K,'Таблиця 1'!$B:$B,$A651,'Таблиця 1'!$I:$I,"Mi-24",'Таблиця 1'!$J:$J,"МК-40"))</f>
        <v/>
      </c>
      <c r="N651">
        <f>IF($A651="","",SUMIFS('Таблиця 1'!$K:$K,'Таблиця 1'!$B:$B,$A651,'Таблиця 1'!$I:$I,"Mi-8",'Таблиця 1'!$J:$J,"Zuni")+SUMIFS('Таблиця 1'!$K:$K,'Таблиця 1'!$B:$B,$A651,'Таблиця 1'!$I:$I,"Mi-24",'Таблиця 1'!$J:$J,"Zuni"))</f>
        <v/>
      </c>
      <c r="O651">
        <f>IF($A651="","",COUNTIFS('Таблиця 1'!$B:$B,$A651,'Таблиця 1'!$I:$I,"Mi-8",'Таблиця 1'!$L:$L,"Уражено")+COUNTIFS('Таблиця 1'!$B:$B,$A651,'Таблиця 1'!$I:$I,"Mi-24",'Таблиця 1'!$L:$L,"Уражено"))</f>
        <v/>
      </c>
      <c r="P651">
        <f>IF($A651="","",COUNTIFS('Таблиця 1'!$B:$B,$A651,'Таблиця 1'!$I:$I,"Mi-8",'Таблиця 1'!$L:$L,"НЕ уражено")+COUNTIFS('Таблиця 1'!$B:$B,$A651,'Таблиця 1'!$I:$I,"Mi-24",'Таблиця 1'!$L:$L,"НЕ уражено"))</f>
        <v/>
      </c>
    </row>
    <row r="652">
      <c r="A652" s="273">
        <f>IF(A651="","",IF(A651+1&gt;MAX('Таблиця 1'!$B:$B),"",A651+1))</f>
        <v/>
      </c>
      <c r="B652">
        <f>IF($A652="","",COUNTIFS('Таблиця 1'!$B:$B,$A652,'Таблиця 1'!$I:$I,"Mi-8")+COUNTIFS('Таблиця 1'!$B:$B,$A652,'Таблиця 1'!$I:$I,"Mi-24"))</f>
        <v/>
      </c>
      <c r="C652">
        <f>IF($A652="","",COUNTIFS('Таблиця 1'!$B:$B,$A652,'Таблиця 1'!$I:$I,"Mi-8"))</f>
        <v/>
      </c>
      <c r="D652">
        <f>IF($A652="","",COUNTIFS('Таблиця 1'!$B:$B,$A652,'Таблиця 1'!$I:$I,"Mi-24"))</f>
        <v/>
      </c>
      <c r="E652">
        <f>IF($A652="","",SUMIFS('Таблиця 1'!$K:$K,'Таблиця 1'!$B:$B,$A652,'Таблиця 1'!$I:$I,"Mi-8",'Таблиця 1'!$J:$J,"ARS-8")+SUMIFS('Таблиця 1'!$K:$K,'Таблиця 1'!$B:$B,$A652,'Таблиця 1'!$I:$I,"Mi-24",'Таблиця 1'!$J:$J,"ARS-8"))</f>
        <v/>
      </c>
      <c r="F652">
        <f>IF($A652="","",SUMIFS('Таблиця 1'!$K:$K,'Таблиця 1'!$B:$B,$A652,'Таблиця 1'!$I:$I,"Mi-8",'Таблиця 1'!$J:$J,"С-8 ком")+SUMIFS('Таблиця 1'!$K:$K,'Таблиця 1'!$B:$B,$A652,'Таблиця 1'!$I:$I,"Mi-24",'Таблиця 1'!$J:$J,"С-8 ком"))</f>
        <v/>
      </c>
      <c r="G652">
        <f>IF($A652="","",SUMIFS('Таблиця 1'!$K:$K,'Таблиця 1'!$B:$B,$A652,'Таблиця 1'!$I:$I,"Mi-8",'Таблиця 1'!$J:$J,"PC-80")+SUMIFS('Таблиця 1'!$K:$K,'Таблиця 1'!$B:$B,$A652,'Таблиця 1'!$I:$I,"Mi-24",'Таблиця 1'!$J:$J,"PC-80"))</f>
        <v/>
      </c>
      <c r="H652">
        <f>IF($A652="","",SUMIFS('Таблиця 1'!$K:$K,'Таблиця 1'!$B:$B,$A652,'Таблиця 1'!$I:$I,"Mi-8",'Таблиця 1'!$J:$J,"UAR-80")+SUMIFS('Таблиця 1'!$K:$K,'Таблиця 1'!$B:$B,$A652,'Таблиця 1'!$I:$I,"Mi-24",'Таблиця 1'!$J:$J,"UAR-80"))</f>
        <v/>
      </c>
      <c r="I652">
        <f>IF($A652="","",SUMIFS('Таблиця 1'!$K:$K,'Таблиця 1'!$B:$B,$A652,'Таблиця 1'!$I:$I,"Mi-8",'Таблиця 1'!$J:$J,"C-13")+SUMIFS('Таблиця 1'!$K:$K,'Таблиця 1'!$B:$B,$A652,'Таблиця 1'!$I:$I,"Mi-24",'Таблиця 1'!$J:$J,"C-13"))</f>
        <v/>
      </c>
      <c r="J652">
        <f>IF($A652="","",SUMIFS('Таблиця 1'!$K:$K,'Таблиця 1'!$B:$B,$A652,'Таблиця 1'!$I:$I,"Mi-8",'Таблиця 1'!$J:$J,"Hydra-70")+SUMIFS('Таблиця 1'!$K:$K,'Таблиця 1'!$B:$B,$A652,'Таблиця 1'!$I:$I,"Mi-24",'Таблиця 1'!$J:$J,"Hydra-70"))</f>
        <v/>
      </c>
      <c r="K652">
        <f>IF($A652="","",SUMIFS('Таблиця 1'!$K:$K,'Таблиця 1'!$B:$B,$A652,'Таблиця 1'!$I:$I,"Mi-8",'Таблиця 1'!$J:$J,"Thales-70")+SUMIFS('Таблиця 1'!$K:$K,'Таблиця 1'!$B:$B,$A652,'Таблиця 1'!$I:$I,"Mi-24",'Таблиця 1'!$J:$J,"Thales-70"))</f>
        <v/>
      </c>
      <c r="L652">
        <f>IF($A652="","",SUMIFS('Таблиця 1'!$K:$K,'Таблиця 1'!$B:$B,$A652,'Таблиця 1'!$I:$I,"Mi-8",'Таблиця 1'!$J:$J,"Thales-FZ")+SUMIFS('Таблиця 1'!$K:$K,'Таблиця 1'!$B:$B,$A652,'Таблиця 1'!$I:$I,"Mi-24",'Таблиця 1'!$J:$J,"Thales-FZ"))</f>
        <v/>
      </c>
      <c r="M652">
        <f>IF($A652="","",SUMIFS('Таблиця 1'!$K:$K,'Таблиця 1'!$B:$B,$A652,'Таблиця 1'!$I:$I,"Mi-8",'Таблиця 1'!$J:$J,"МК-40")+SUMIFS('Таблиця 1'!$K:$K,'Таблиця 1'!$B:$B,$A652,'Таблиця 1'!$I:$I,"Mi-24",'Таблиця 1'!$J:$J,"МК-40"))</f>
        <v/>
      </c>
      <c r="N652">
        <f>IF($A652="","",SUMIFS('Таблиця 1'!$K:$K,'Таблиця 1'!$B:$B,$A652,'Таблиця 1'!$I:$I,"Mi-8",'Таблиця 1'!$J:$J,"Zuni")+SUMIFS('Таблиця 1'!$K:$K,'Таблиця 1'!$B:$B,$A652,'Таблиця 1'!$I:$I,"Mi-24",'Таблиця 1'!$J:$J,"Zuni"))</f>
        <v/>
      </c>
      <c r="O652">
        <f>IF($A652="","",COUNTIFS('Таблиця 1'!$B:$B,$A652,'Таблиця 1'!$I:$I,"Mi-8",'Таблиця 1'!$L:$L,"Уражено")+COUNTIFS('Таблиця 1'!$B:$B,$A652,'Таблиця 1'!$I:$I,"Mi-24",'Таблиця 1'!$L:$L,"Уражено"))</f>
        <v/>
      </c>
      <c r="P652">
        <f>IF($A652="","",COUNTIFS('Таблиця 1'!$B:$B,$A652,'Таблиця 1'!$I:$I,"Mi-8",'Таблиця 1'!$L:$L,"НЕ уражено")+COUNTIFS('Таблиця 1'!$B:$B,$A652,'Таблиця 1'!$I:$I,"Mi-24",'Таблиця 1'!$L:$L,"НЕ уражено"))</f>
        <v/>
      </c>
    </row>
    <row r="653">
      <c r="A653" s="273">
        <f>IF(A652="","",IF(A652+1&gt;MAX('Таблиця 1'!$B:$B),"",A652+1))</f>
        <v/>
      </c>
      <c r="B653">
        <f>IF($A653="","",COUNTIFS('Таблиця 1'!$B:$B,$A653,'Таблиця 1'!$I:$I,"Mi-8")+COUNTIFS('Таблиця 1'!$B:$B,$A653,'Таблиця 1'!$I:$I,"Mi-24"))</f>
        <v/>
      </c>
      <c r="C653">
        <f>IF($A653="","",COUNTIFS('Таблиця 1'!$B:$B,$A653,'Таблиця 1'!$I:$I,"Mi-8"))</f>
        <v/>
      </c>
      <c r="D653">
        <f>IF($A653="","",COUNTIFS('Таблиця 1'!$B:$B,$A653,'Таблиця 1'!$I:$I,"Mi-24"))</f>
        <v/>
      </c>
      <c r="E653">
        <f>IF($A653="","",SUMIFS('Таблиця 1'!$K:$K,'Таблиця 1'!$B:$B,$A653,'Таблиця 1'!$I:$I,"Mi-8",'Таблиця 1'!$J:$J,"ARS-8")+SUMIFS('Таблиця 1'!$K:$K,'Таблиця 1'!$B:$B,$A653,'Таблиця 1'!$I:$I,"Mi-24",'Таблиця 1'!$J:$J,"ARS-8"))</f>
        <v/>
      </c>
      <c r="F653">
        <f>IF($A653="","",SUMIFS('Таблиця 1'!$K:$K,'Таблиця 1'!$B:$B,$A653,'Таблиця 1'!$I:$I,"Mi-8",'Таблиця 1'!$J:$J,"С-8 ком")+SUMIFS('Таблиця 1'!$K:$K,'Таблиця 1'!$B:$B,$A653,'Таблиця 1'!$I:$I,"Mi-24",'Таблиця 1'!$J:$J,"С-8 ком"))</f>
        <v/>
      </c>
      <c r="G653">
        <f>IF($A653="","",SUMIFS('Таблиця 1'!$K:$K,'Таблиця 1'!$B:$B,$A653,'Таблиця 1'!$I:$I,"Mi-8",'Таблиця 1'!$J:$J,"PC-80")+SUMIFS('Таблиця 1'!$K:$K,'Таблиця 1'!$B:$B,$A653,'Таблиця 1'!$I:$I,"Mi-24",'Таблиця 1'!$J:$J,"PC-80"))</f>
        <v/>
      </c>
      <c r="H653">
        <f>IF($A653="","",SUMIFS('Таблиця 1'!$K:$K,'Таблиця 1'!$B:$B,$A653,'Таблиця 1'!$I:$I,"Mi-8",'Таблиця 1'!$J:$J,"UAR-80")+SUMIFS('Таблиця 1'!$K:$K,'Таблиця 1'!$B:$B,$A653,'Таблиця 1'!$I:$I,"Mi-24",'Таблиця 1'!$J:$J,"UAR-80"))</f>
        <v/>
      </c>
      <c r="I653">
        <f>IF($A653="","",SUMIFS('Таблиця 1'!$K:$K,'Таблиця 1'!$B:$B,$A653,'Таблиця 1'!$I:$I,"Mi-8",'Таблиця 1'!$J:$J,"C-13")+SUMIFS('Таблиця 1'!$K:$K,'Таблиця 1'!$B:$B,$A653,'Таблиця 1'!$I:$I,"Mi-24",'Таблиця 1'!$J:$J,"C-13"))</f>
        <v/>
      </c>
      <c r="J653">
        <f>IF($A653="","",SUMIFS('Таблиця 1'!$K:$K,'Таблиця 1'!$B:$B,$A653,'Таблиця 1'!$I:$I,"Mi-8",'Таблиця 1'!$J:$J,"Hydra-70")+SUMIFS('Таблиця 1'!$K:$K,'Таблиця 1'!$B:$B,$A653,'Таблиця 1'!$I:$I,"Mi-24",'Таблиця 1'!$J:$J,"Hydra-70"))</f>
        <v/>
      </c>
      <c r="K653">
        <f>IF($A653="","",SUMIFS('Таблиця 1'!$K:$K,'Таблиця 1'!$B:$B,$A653,'Таблиця 1'!$I:$I,"Mi-8",'Таблиця 1'!$J:$J,"Thales-70")+SUMIFS('Таблиця 1'!$K:$K,'Таблиця 1'!$B:$B,$A653,'Таблиця 1'!$I:$I,"Mi-24",'Таблиця 1'!$J:$J,"Thales-70"))</f>
        <v/>
      </c>
      <c r="L653">
        <f>IF($A653="","",SUMIFS('Таблиця 1'!$K:$K,'Таблиця 1'!$B:$B,$A653,'Таблиця 1'!$I:$I,"Mi-8",'Таблиця 1'!$J:$J,"Thales-FZ")+SUMIFS('Таблиця 1'!$K:$K,'Таблиця 1'!$B:$B,$A653,'Таблиця 1'!$I:$I,"Mi-24",'Таблиця 1'!$J:$J,"Thales-FZ"))</f>
        <v/>
      </c>
      <c r="M653">
        <f>IF($A653="","",SUMIFS('Таблиця 1'!$K:$K,'Таблиця 1'!$B:$B,$A653,'Таблиця 1'!$I:$I,"Mi-8",'Таблиця 1'!$J:$J,"МК-40")+SUMIFS('Таблиця 1'!$K:$K,'Таблиця 1'!$B:$B,$A653,'Таблиця 1'!$I:$I,"Mi-24",'Таблиця 1'!$J:$J,"МК-40"))</f>
        <v/>
      </c>
      <c r="N653">
        <f>IF($A653="","",SUMIFS('Таблиця 1'!$K:$K,'Таблиця 1'!$B:$B,$A653,'Таблиця 1'!$I:$I,"Mi-8",'Таблиця 1'!$J:$J,"Zuni")+SUMIFS('Таблиця 1'!$K:$K,'Таблиця 1'!$B:$B,$A653,'Таблиця 1'!$I:$I,"Mi-24",'Таблиця 1'!$J:$J,"Zuni"))</f>
        <v/>
      </c>
      <c r="O653">
        <f>IF($A653="","",COUNTIFS('Таблиця 1'!$B:$B,$A653,'Таблиця 1'!$I:$I,"Mi-8",'Таблиця 1'!$L:$L,"Уражено")+COUNTIFS('Таблиця 1'!$B:$B,$A653,'Таблиця 1'!$I:$I,"Mi-24",'Таблиця 1'!$L:$L,"Уражено"))</f>
        <v/>
      </c>
      <c r="P653">
        <f>IF($A653="","",COUNTIFS('Таблиця 1'!$B:$B,$A653,'Таблиця 1'!$I:$I,"Mi-8",'Таблиця 1'!$L:$L,"НЕ уражено")+COUNTIFS('Таблиця 1'!$B:$B,$A653,'Таблиця 1'!$I:$I,"Mi-24",'Таблиця 1'!$L:$L,"НЕ уражено"))</f>
        <v/>
      </c>
    </row>
    <row r="654">
      <c r="A654" s="273">
        <f>IF(A653="","",IF(A653+1&gt;MAX('Таблиця 1'!$B:$B),"",A653+1))</f>
        <v/>
      </c>
      <c r="B654">
        <f>IF($A654="","",COUNTIFS('Таблиця 1'!$B:$B,$A654,'Таблиця 1'!$I:$I,"Mi-8")+COUNTIFS('Таблиця 1'!$B:$B,$A654,'Таблиця 1'!$I:$I,"Mi-24"))</f>
        <v/>
      </c>
      <c r="C654">
        <f>IF($A654="","",COUNTIFS('Таблиця 1'!$B:$B,$A654,'Таблиця 1'!$I:$I,"Mi-8"))</f>
        <v/>
      </c>
      <c r="D654">
        <f>IF($A654="","",COUNTIFS('Таблиця 1'!$B:$B,$A654,'Таблиця 1'!$I:$I,"Mi-24"))</f>
        <v/>
      </c>
      <c r="E654">
        <f>IF($A654="","",SUMIFS('Таблиця 1'!$K:$K,'Таблиця 1'!$B:$B,$A654,'Таблиця 1'!$I:$I,"Mi-8",'Таблиця 1'!$J:$J,"ARS-8")+SUMIFS('Таблиця 1'!$K:$K,'Таблиця 1'!$B:$B,$A654,'Таблиця 1'!$I:$I,"Mi-24",'Таблиця 1'!$J:$J,"ARS-8"))</f>
        <v/>
      </c>
      <c r="F654">
        <f>IF($A654="","",SUMIFS('Таблиця 1'!$K:$K,'Таблиця 1'!$B:$B,$A654,'Таблиця 1'!$I:$I,"Mi-8",'Таблиця 1'!$J:$J,"С-8 ком")+SUMIFS('Таблиця 1'!$K:$K,'Таблиця 1'!$B:$B,$A654,'Таблиця 1'!$I:$I,"Mi-24",'Таблиця 1'!$J:$J,"С-8 ком"))</f>
        <v/>
      </c>
      <c r="G654">
        <f>IF($A654="","",SUMIFS('Таблиця 1'!$K:$K,'Таблиця 1'!$B:$B,$A654,'Таблиця 1'!$I:$I,"Mi-8",'Таблиця 1'!$J:$J,"PC-80")+SUMIFS('Таблиця 1'!$K:$K,'Таблиця 1'!$B:$B,$A654,'Таблиця 1'!$I:$I,"Mi-24",'Таблиця 1'!$J:$J,"PC-80"))</f>
        <v/>
      </c>
      <c r="H654">
        <f>IF($A654="","",SUMIFS('Таблиця 1'!$K:$K,'Таблиця 1'!$B:$B,$A654,'Таблиця 1'!$I:$I,"Mi-8",'Таблиця 1'!$J:$J,"UAR-80")+SUMIFS('Таблиця 1'!$K:$K,'Таблиця 1'!$B:$B,$A654,'Таблиця 1'!$I:$I,"Mi-24",'Таблиця 1'!$J:$J,"UAR-80"))</f>
        <v/>
      </c>
      <c r="I654">
        <f>IF($A654="","",SUMIFS('Таблиця 1'!$K:$K,'Таблиця 1'!$B:$B,$A654,'Таблиця 1'!$I:$I,"Mi-8",'Таблиця 1'!$J:$J,"C-13")+SUMIFS('Таблиця 1'!$K:$K,'Таблиця 1'!$B:$B,$A654,'Таблиця 1'!$I:$I,"Mi-24",'Таблиця 1'!$J:$J,"C-13"))</f>
        <v/>
      </c>
      <c r="J654">
        <f>IF($A654="","",SUMIFS('Таблиця 1'!$K:$K,'Таблиця 1'!$B:$B,$A654,'Таблиця 1'!$I:$I,"Mi-8",'Таблиця 1'!$J:$J,"Hydra-70")+SUMIFS('Таблиця 1'!$K:$K,'Таблиця 1'!$B:$B,$A654,'Таблиця 1'!$I:$I,"Mi-24",'Таблиця 1'!$J:$J,"Hydra-70"))</f>
        <v/>
      </c>
      <c r="K654">
        <f>IF($A654="","",SUMIFS('Таблиця 1'!$K:$K,'Таблиця 1'!$B:$B,$A654,'Таблиця 1'!$I:$I,"Mi-8",'Таблиця 1'!$J:$J,"Thales-70")+SUMIFS('Таблиця 1'!$K:$K,'Таблиця 1'!$B:$B,$A654,'Таблиця 1'!$I:$I,"Mi-24",'Таблиця 1'!$J:$J,"Thales-70"))</f>
        <v/>
      </c>
      <c r="L654">
        <f>IF($A654="","",SUMIFS('Таблиця 1'!$K:$K,'Таблиця 1'!$B:$B,$A654,'Таблиця 1'!$I:$I,"Mi-8",'Таблиця 1'!$J:$J,"Thales-FZ")+SUMIFS('Таблиця 1'!$K:$K,'Таблиця 1'!$B:$B,$A654,'Таблиця 1'!$I:$I,"Mi-24",'Таблиця 1'!$J:$J,"Thales-FZ"))</f>
        <v/>
      </c>
      <c r="M654">
        <f>IF($A654="","",SUMIFS('Таблиця 1'!$K:$K,'Таблиця 1'!$B:$B,$A654,'Таблиця 1'!$I:$I,"Mi-8",'Таблиця 1'!$J:$J,"МК-40")+SUMIFS('Таблиця 1'!$K:$K,'Таблиця 1'!$B:$B,$A654,'Таблиця 1'!$I:$I,"Mi-24",'Таблиця 1'!$J:$J,"МК-40"))</f>
        <v/>
      </c>
      <c r="N654">
        <f>IF($A654="","",SUMIFS('Таблиця 1'!$K:$K,'Таблиця 1'!$B:$B,$A654,'Таблиця 1'!$I:$I,"Mi-8",'Таблиця 1'!$J:$J,"Zuni")+SUMIFS('Таблиця 1'!$K:$K,'Таблиця 1'!$B:$B,$A654,'Таблиця 1'!$I:$I,"Mi-24",'Таблиця 1'!$J:$J,"Zuni"))</f>
        <v/>
      </c>
      <c r="O654">
        <f>IF($A654="","",COUNTIFS('Таблиця 1'!$B:$B,$A654,'Таблиця 1'!$I:$I,"Mi-8",'Таблиця 1'!$L:$L,"Уражено")+COUNTIFS('Таблиця 1'!$B:$B,$A654,'Таблиця 1'!$I:$I,"Mi-24",'Таблиця 1'!$L:$L,"Уражено"))</f>
        <v/>
      </c>
      <c r="P654">
        <f>IF($A654="","",COUNTIFS('Таблиця 1'!$B:$B,$A654,'Таблиця 1'!$I:$I,"Mi-8",'Таблиця 1'!$L:$L,"НЕ уражено")+COUNTIFS('Таблиця 1'!$B:$B,$A654,'Таблиця 1'!$I:$I,"Mi-24",'Таблиця 1'!$L:$L,"НЕ уражено"))</f>
        <v/>
      </c>
    </row>
    <row r="655">
      <c r="A655" s="273">
        <f>IF(A654="","",IF(A654+1&gt;MAX('Таблиця 1'!$B:$B),"",A654+1))</f>
        <v/>
      </c>
      <c r="B655">
        <f>IF($A655="","",COUNTIFS('Таблиця 1'!$B:$B,$A655,'Таблиця 1'!$I:$I,"Mi-8")+COUNTIFS('Таблиця 1'!$B:$B,$A655,'Таблиця 1'!$I:$I,"Mi-24"))</f>
        <v/>
      </c>
      <c r="C655">
        <f>IF($A655="","",COUNTIFS('Таблиця 1'!$B:$B,$A655,'Таблиця 1'!$I:$I,"Mi-8"))</f>
        <v/>
      </c>
      <c r="D655">
        <f>IF($A655="","",COUNTIFS('Таблиця 1'!$B:$B,$A655,'Таблиця 1'!$I:$I,"Mi-24"))</f>
        <v/>
      </c>
      <c r="E655">
        <f>IF($A655="","",SUMIFS('Таблиця 1'!$K:$K,'Таблиця 1'!$B:$B,$A655,'Таблиця 1'!$I:$I,"Mi-8",'Таблиця 1'!$J:$J,"ARS-8")+SUMIFS('Таблиця 1'!$K:$K,'Таблиця 1'!$B:$B,$A655,'Таблиця 1'!$I:$I,"Mi-24",'Таблиця 1'!$J:$J,"ARS-8"))</f>
        <v/>
      </c>
      <c r="F655">
        <f>IF($A655="","",SUMIFS('Таблиця 1'!$K:$K,'Таблиця 1'!$B:$B,$A655,'Таблиця 1'!$I:$I,"Mi-8",'Таблиця 1'!$J:$J,"С-8 ком")+SUMIFS('Таблиця 1'!$K:$K,'Таблиця 1'!$B:$B,$A655,'Таблиця 1'!$I:$I,"Mi-24",'Таблиця 1'!$J:$J,"С-8 ком"))</f>
        <v/>
      </c>
      <c r="G655">
        <f>IF($A655="","",SUMIFS('Таблиця 1'!$K:$K,'Таблиця 1'!$B:$B,$A655,'Таблиця 1'!$I:$I,"Mi-8",'Таблиця 1'!$J:$J,"PC-80")+SUMIFS('Таблиця 1'!$K:$K,'Таблиця 1'!$B:$B,$A655,'Таблиця 1'!$I:$I,"Mi-24",'Таблиця 1'!$J:$J,"PC-80"))</f>
        <v/>
      </c>
      <c r="H655">
        <f>IF($A655="","",SUMIFS('Таблиця 1'!$K:$K,'Таблиця 1'!$B:$B,$A655,'Таблиця 1'!$I:$I,"Mi-8",'Таблиця 1'!$J:$J,"UAR-80")+SUMIFS('Таблиця 1'!$K:$K,'Таблиця 1'!$B:$B,$A655,'Таблиця 1'!$I:$I,"Mi-24",'Таблиця 1'!$J:$J,"UAR-80"))</f>
        <v/>
      </c>
      <c r="I655">
        <f>IF($A655="","",SUMIFS('Таблиця 1'!$K:$K,'Таблиця 1'!$B:$B,$A655,'Таблиця 1'!$I:$I,"Mi-8",'Таблиця 1'!$J:$J,"C-13")+SUMIFS('Таблиця 1'!$K:$K,'Таблиця 1'!$B:$B,$A655,'Таблиця 1'!$I:$I,"Mi-24",'Таблиця 1'!$J:$J,"C-13"))</f>
        <v/>
      </c>
      <c r="J655">
        <f>IF($A655="","",SUMIFS('Таблиця 1'!$K:$K,'Таблиця 1'!$B:$B,$A655,'Таблиця 1'!$I:$I,"Mi-8",'Таблиця 1'!$J:$J,"Hydra-70")+SUMIFS('Таблиця 1'!$K:$K,'Таблиця 1'!$B:$B,$A655,'Таблиця 1'!$I:$I,"Mi-24",'Таблиця 1'!$J:$J,"Hydra-70"))</f>
        <v/>
      </c>
      <c r="K655">
        <f>IF($A655="","",SUMIFS('Таблиця 1'!$K:$K,'Таблиця 1'!$B:$B,$A655,'Таблиця 1'!$I:$I,"Mi-8",'Таблиця 1'!$J:$J,"Thales-70")+SUMIFS('Таблиця 1'!$K:$K,'Таблиця 1'!$B:$B,$A655,'Таблиця 1'!$I:$I,"Mi-24",'Таблиця 1'!$J:$J,"Thales-70"))</f>
        <v/>
      </c>
      <c r="L655">
        <f>IF($A655="","",SUMIFS('Таблиця 1'!$K:$K,'Таблиця 1'!$B:$B,$A655,'Таблиця 1'!$I:$I,"Mi-8",'Таблиця 1'!$J:$J,"Thales-FZ")+SUMIFS('Таблиця 1'!$K:$K,'Таблиця 1'!$B:$B,$A655,'Таблиця 1'!$I:$I,"Mi-24",'Таблиця 1'!$J:$J,"Thales-FZ"))</f>
        <v/>
      </c>
      <c r="M655">
        <f>IF($A655="","",SUMIFS('Таблиця 1'!$K:$K,'Таблиця 1'!$B:$B,$A655,'Таблиця 1'!$I:$I,"Mi-8",'Таблиця 1'!$J:$J,"МК-40")+SUMIFS('Таблиця 1'!$K:$K,'Таблиця 1'!$B:$B,$A655,'Таблиця 1'!$I:$I,"Mi-24",'Таблиця 1'!$J:$J,"МК-40"))</f>
        <v/>
      </c>
      <c r="N655">
        <f>IF($A655="","",SUMIFS('Таблиця 1'!$K:$K,'Таблиця 1'!$B:$B,$A655,'Таблиця 1'!$I:$I,"Mi-8",'Таблиця 1'!$J:$J,"Zuni")+SUMIFS('Таблиця 1'!$K:$K,'Таблиця 1'!$B:$B,$A655,'Таблиця 1'!$I:$I,"Mi-24",'Таблиця 1'!$J:$J,"Zuni"))</f>
        <v/>
      </c>
      <c r="O655">
        <f>IF($A655="","",COUNTIFS('Таблиця 1'!$B:$B,$A655,'Таблиця 1'!$I:$I,"Mi-8",'Таблиця 1'!$L:$L,"Уражено")+COUNTIFS('Таблиця 1'!$B:$B,$A655,'Таблиця 1'!$I:$I,"Mi-24",'Таблиця 1'!$L:$L,"Уражено"))</f>
        <v/>
      </c>
      <c r="P655">
        <f>IF($A655="","",COUNTIFS('Таблиця 1'!$B:$B,$A655,'Таблиця 1'!$I:$I,"Mi-8",'Таблиця 1'!$L:$L,"НЕ уражено")+COUNTIFS('Таблиця 1'!$B:$B,$A655,'Таблиця 1'!$I:$I,"Mi-24",'Таблиця 1'!$L:$L,"НЕ уражено"))</f>
        <v/>
      </c>
    </row>
    <row r="656">
      <c r="A656" s="273">
        <f>IF(A655="","",IF(A655+1&gt;MAX('Таблиця 1'!$B:$B),"",A655+1))</f>
        <v/>
      </c>
      <c r="B656">
        <f>IF($A656="","",COUNTIFS('Таблиця 1'!$B:$B,$A656,'Таблиця 1'!$I:$I,"Mi-8")+COUNTIFS('Таблиця 1'!$B:$B,$A656,'Таблиця 1'!$I:$I,"Mi-24"))</f>
        <v/>
      </c>
      <c r="C656">
        <f>IF($A656="","",COUNTIFS('Таблиця 1'!$B:$B,$A656,'Таблиця 1'!$I:$I,"Mi-8"))</f>
        <v/>
      </c>
      <c r="D656">
        <f>IF($A656="","",COUNTIFS('Таблиця 1'!$B:$B,$A656,'Таблиця 1'!$I:$I,"Mi-24"))</f>
        <v/>
      </c>
      <c r="E656">
        <f>IF($A656="","",SUMIFS('Таблиця 1'!$K:$K,'Таблиця 1'!$B:$B,$A656,'Таблиця 1'!$I:$I,"Mi-8",'Таблиця 1'!$J:$J,"ARS-8")+SUMIFS('Таблиця 1'!$K:$K,'Таблиця 1'!$B:$B,$A656,'Таблиця 1'!$I:$I,"Mi-24",'Таблиця 1'!$J:$J,"ARS-8"))</f>
        <v/>
      </c>
      <c r="F656">
        <f>IF($A656="","",SUMIFS('Таблиця 1'!$K:$K,'Таблиця 1'!$B:$B,$A656,'Таблиця 1'!$I:$I,"Mi-8",'Таблиця 1'!$J:$J,"С-8 ком")+SUMIFS('Таблиця 1'!$K:$K,'Таблиця 1'!$B:$B,$A656,'Таблиця 1'!$I:$I,"Mi-24",'Таблиця 1'!$J:$J,"С-8 ком"))</f>
        <v/>
      </c>
      <c r="G656">
        <f>IF($A656="","",SUMIFS('Таблиця 1'!$K:$K,'Таблиця 1'!$B:$B,$A656,'Таблиця 1'!$I:$I,"Mi-8",'Таблиця 1'!$J:$J,"PC-80")+SUMIFS('Таблиця 1'!$K:$K,'Таблиця 1'!$B:$B,$A656,'Таблиця 1'!$I:$I,"Mi-24",'Таблиця 1'!$J:$J,"PC-80"))</f>
        <v/>
      </c>
      <c r="H656">
        <f>IF($A656="","",SUMIFS('Таблиця 1'!$K:$K,'Таблиця 1'!$B:$B,$A656,'Таблиця 1'!$I:$I,"Mi-8",'Таблиця 1'!$J:$J,"UAR-80")+SUMIFS('Таблиця 1'!$K:$K,'Таблиця 1'!$B:$B,$A656,'Таблиця 1'!$I:$I,"Mi-24",'Таблиця 1'!$J:$J,"UAR-80"))</f>
        <v/>
      </c>
      <c r="I656">
        <f>IF($A656="","",SUMIFS('Таблиця 1'!$K:$K,'Таблиця 1'!$B:$B,$A656,'Таблиця 1'!$I:$I,"Mi-8",'Таблиця 1'!$J:$J,"C-13")+SUMIFS('Таблиця 1'!$K:$K,'Таблиця 1'!$B:$B,$A656,'Таблиця 1'!$I:$I,"Mi-24",'Таблиця 1'!$J:$J,"C-13"))</f>
        <v/>
      </c>
      <c r="J656">
        <f>IF($A656="","",SUMIFS('Таблиця 1'!$K:$K,'Таблиця 1'!$B:$B,$A656,'Таблиця 1'!$I:$I,"Mi-8",'Таблиця 1'!$J:$J,"Hydra-70")+SUMIFS('Таблиця 1'!$K:$K,'Таблиця 1'!$B:$B,$A656,'Таблиця 1'!$I:$I,"Mi-24",'Таблиця 1'!$J:$J,"Hydra-70"))</f>
        <v/>
      </c>
      <c r="K656">
        <f>IF($A656="","",SUMIFS('Таблиця 1'!$K:$K,'Таблиця 1'!$B:$B,$A656,'Таблиця 1'!$I:$I,"Mi-8",'Таблиця 1'!$J:$J,"Thales-70")+SUMIFS('Таблиця 1'!$K:$K,'Таблиця 1'!$B:$B,$A656,'Таблиця 1'!$I:$I,"Mi-24",'Таблиця 1'!$J:$J,"Thales-70"))</f>
        <v/>
      </c>
      <c r="L656">
        <f>IF($A656="","",SUMIFS('Таблиця 1'!$K:$K,'Таблиця 1'!$B:$B,$A656,'Таблиця 1'!$I:$I,"Mi-8",'Таблиця 1'!$J:$J,"Thales-FZ")+SUMIFS('Таблиця 1'!$K:$K,'Таблиця 1'!$B:$B,$A656,'Таблиця 1'!$I:$I,"Mi-24",'Таблиця 1'!$J:$J,"Thales-FZ"))</f>
        <v/>
      </c>
      <c r="M656">
        <f>IF($A656="","",SUMIFS('Таблиця 1'!$K:$K,'Таблиця 1'!$B:$B,$A656,'Таблиця 1'!$I:$I,"Mi-8",'Таблиця 1'!$J:$J,"МК-40")+SUMIFS('Таблиця 1'!$K:$K,'Таблиця 1'!$B:$B,$A656,'Таблиця 1'!$I:$I,"Mi-24",'Таблиця 1'!$J:$J,"МК-40"))</f>
        <v/>
      </c>
      <c r="N656">
        <f>IF($A656="","",SUMIFS('Таблиця 1'!$K:$K,'Таблиця 1'!$B:$B,$A656,'Таблиця 1'!$I:$I,"Mi-8",'Таблиця 1'!$J:$J,"Zuni")+SUMIFS('Таблиця 1'!$K:$K,'Таблиця 1'!$B:$B,$A656,'Таблиця 1'!$I:$I,"Mi-24",'Таблиця 1'!$J:$J,"Zuni"))</f>
        <v/>
      </c>
      <c r="O656">
        <f>IF($A656="","",COUNTIFS('Таблиця 1'!$B:$B,$A656,'Таблиця 1'!$I:$I,"Mi-8",'Таблиця 1'!$L:$L,"Уражено")+COUNTIFS('Таблиця 1'!$B:$B,$A656,'Таблиця 1'!$I:$I,"Mi-24",'Таблиця 1'!$L:$L,"Уражено"))</f>
        <v/>
      </c>
      <c r="P656">
        <f>IF($A656="","",COUNTIFS('Таблиця 1'!$B:$B,$A656,'Таблиця 1'!$I:$I,"Mi-8",'Таблиця 1'!$L:$L,"НЕ уражено")+COUNTIFS('Таблиця 1'!$B:$B,$A656,'Таблиця 1'!$I:$I,"Mi-24",'Таблиця 1'!$L:$L,"НЕ уражено"))</f>
        <v/>
      </c>
    </row>
    <row r="657">
      <c r="A657" s="273">
        <f>IF(A656="","",IF(A656+1&gt;MAX('Таблиця 1'!$B:$B),"",A656+1))</f>
        <v/>
      </c>
      <c r="B657">
        <f>IF($A657="","",COUNTIFS('Таблиця 1'!$B:$B,$A657,'Таблиця 1'!$I:$I,"Mi-8")+COUNTIFS('Таблиця 1'!$B:$B,$A657,'Таблиця 1'!$I:$I,"Mi-24"))</f>
        <v/>
      </c>
      <c r="C657">
        <f>IF($A657="","",COUNTIFS('Таблиця 1'!$B:$B,$A657,'Таблиця 1'!$I:$I,"Mi-8"))</f>
        <v/>
      </c>
      <c r="D657">
        <f>IF($A657="","",COUNTIFS('Таблиця 1'!$B:$B,$A657,'Таблиця 1'!$I:$I,"Mi-24"))</f>
        <v/>
      </c>
      <c r="E657">
        <f>IF($A657="","",SUMIFS('Таблиця 1'!$K:$K,'Таблиця 1'!$B:$B,$A657,'Таблиця 1'!$I:$I,"Mi-8",'Таблиця 1'!$J:$J,"ARS-8")+SUMIFS('Таблиця 1'!$K:$K,'Таблиця 1'!$B:$B,$A657,'Таблиця 1'!$I:$I,"Mi-24",'Таблиця 1'!$J:$J,"ARS-8"))</f>
        <v/>
      </c>
      <c r="F657">
        <f>IF($A657="","",SUMIFS('Таблиця 1'!$K:$K,'Таблиця 1'!$B:$B,$A657,'Таблиця 1'!$I:$I,"Mi-8",'Таблиця 1'!$J:$J,"С-8 ком")+SUMIFS('Таблиця 1'!$K:$K,'Таблиця 1'!$B:$B,$A657,'Таблиця 1'!$I:$I,"Mi-24",'Таблиця 1'!$J:$J,"С-8 ком"))</f>
        <v/>
      </c>
      <c r="G657">
        <f>IF($A657="","",SUMIFS('Таблиця 1'!$K:$K,'Таблиця 1'!$B:$B,$A657,'Таблиця 1'!$I:$I,"Mi-8",'Таблиця 1'!$J:$J,"PC-80")+SUMIFS('Таблиця 1'!$K:$K,'Таблиця 1'!$B:$B,$A657,'Таблиця 1'!$I:$I,"Mi-24",'Таблиця 1'!$J:$J,"PC-80"))</f>
        <v/>
      </c>
      <c r="H657">
        <f>IF($A657="","",SUMIFS('Таблиця 1'!$K:$K,'Таблиця 1'!$B:$B,$A657,'Таблиця 1'!$I:$I,"Mi-8",'Таблиця 1'!$J:$J,"UAR-80")+SUMIFS('Таблиця 1'!$K:$K,'Таблиця 1'!$B:$B,$A657,'Таблиця 1'!$I:$I,"Mi-24",'Таблиця 1'!$J:$J,"UAR-80"))</f>
        <v/>
      </c>
      <c r="I657">
        <f>IF($A657="","",SUMIFS('Таблиця 1'!$K:$K,'Таблиця 1'!$B:$B,$A657,'Таблиця 1'!$I:$I,"Mi-8",'Таблиця 1'!$J:$J,"C-13")+SUMIFS('Таблиця 1'!$K:$K,'Таблиця 1'!$B:$B,$A657,'Таблиця 1'!$I:$I,"Mi-24",'Таблиця 1'!$J:$J,"C-13"))</f>
        <v/>
      </c>
      <c r="J657">
        <f>IF($A657="","",SUMIFS('Таблиця 1'!$K:$K,'Таблиця 1'!$B:$B,$A657,'Таблиця 1'!$I:$I,"Mi-8",'Таблиця 1'!$J:$J,"Hydra-70")+SUMIFS('Таблиця 1'!$K:$K,'Таблиця 1'!$B:$B,$A657,'Таблиця 1'!$I:$I,"Mi-24",'Таблиця 1'!$J:$J,"Hydra-70"))</f>
        <v/>
      </c>
      <c r="K657">
        <f>IF($A657="","",SUMIFS('Таблиця 1'!$K:$K,'Таблиця 1'!$B:$B,$A657,'Таблиця 1'!$I:$I,"Mi-8",'Таблиця 1'!$J:$J,"Thales-70")+SUMIFS('Таблиця 1'!$K:$K,'Таблиця 1'!$B:$B,$A657,'Таблиця 1'!$I:$I,"Mi-24",'Таблиця 1'!$J:$J,"Thales-70"))</f>
        <v/>
      </c>
      <c r="L657">
        <f>IF($A657="","",SUMIFS('Таблиця 1'!$K:$K,'Таблиця 1'!$B:$B,$A657,'Таблиця 1'!$I:$I,"Mi-8",'Таблиця 1'!$J:$J,"Thales-FZ")+SUMIFS('Таблиця 1'!$K:$K,'Таблиця 1'!$B:$B,$A657,'Таблиця 1'!$I:$I,"Mi-24",'Таблиця 1'!$J:$J,"Thales-FZ"))</f>
        <v/>
      </c>
      <c r="M657">
        <f>IF($A657="","",SUMIFS('Таблиця 1'!$K:$K,'Таблиця 1'!$B:$B,$A657,'Таблиця 1'!$I:$I,"Mi-8",'Таблиця 1'!$J:$J,"МК-40")+SUMIFS('Таблиця 1'!$K:$K,'Таблиця 1'!$B:$B,$A657,'Таблиця 1'!$I:$I,"Mi-24",'Таблиця 1'!$J:$J,"МК-40"))</f>
        <v/>
      </c>
      <c r="N657">
        <f>IF($A657="","",SUMIFS('Таблиця 1'!$K:$K,'Таблиця 1'!$B:$B,$A657,'Таблиця 1'!$I:$I,"Mi-8",'Таблиця 1'!$J:$J,"Zuni")+SUMIFS('Таблиця 1'!$K:$K,'Таблиця 1'!$B:$B,$A657,'Таблиця 1'!$I:$I,"Mi-24",'Таблиця 1'!$J:$J,"Zuni"))</f>
        <v/>
      </c>
      <c r="O657">
        <f>IF($A657="","",COUNTIFS('Таблиця 1'!$B:$B,$A657,'Таблиця 1'!$I:$I,"Mi-8",'Таблиця 1'!$L:$L,"Уражено")+COUNTIFS('Таблиця 1'!$B:$B,$A657,'Таблиця 1'!$I:$I,"Mi-24",'Таблиця 1'!$L:$L,"Уражено"))</f>
        <v/>
      </c>
      <c r="P657">
        <f>IF($A657="","",COUNTIFS('Таблиця 1'!$B:$B,$A657,'Таблиця 1'!$I:$I,"Mi-8",'Таблиця 1'!$L:$L,"НЕ уражено")+COUNTIFS('Таблиця 1'!$B:$B,$A657,'Таблиця 1'!$I:$I,"Mi-24",'Таблиця 1'!$L:$L,"НЕ уражено"))</f>
        <v/>
      </c>
    </row>
    <row r="658">
      <c r="A658" s="273">
        <f>IF(A657="","",IF(A657+1&gt;MAX('Таблиця 1'!$B:$B),"",A657+1))</f>
        <v/>
      </c>
      <c r="B658">
        <f>IF($A658="","",COUNTIFS('Таблиця 1'!$B:$B,$A658,'Таблиця 1'!$I:$I,"Mi-8")+COUNTIFS('Таблиця 1'!$B:$B,$A658,'Таблиця 1'!$I:$I,"Mi-24"))</f>
        <v/>
      </c>
      <c r="C658">
        <f>IF($A658="","",COUNTIFS('Таблиця 1'!$B:$B,$A658,'Таблиця 1'!$I:$I,"Mi-8"))</f>
        <v/>
      </c>
      <c r="D658">
        <f>IF($A658="","",COUNTIFS('Таблиця 1'!$B:$B,$A658,'Таблиця 1'!$I:$I,"Mi-24"))</f>
        <v/>
      </c>
      <c r="E658">
        <f>IF($A658="","",SUMIFS('Таблиця 1'!$K:$K,'Таблиця 1'!$B:$B,$A658,'Таблиця 1'!$I:$I,"Mi-8",'Таблиця 1'!$J:$J,"ARS-8")+SUMIFS('Таблиця 1'!$K:$K,'Таблиця 1'!$B:$B,$A658,'Таблиця 1'!$I:$I,"Mi-24",'Таблиця 1'!$J:$J,"ARS-8"))</f>
        <v/>
      </c>
      <c r="F658">
        <f>IF($A658="","",SUMIFS('Таблиця 1'!$K:$K,'Таблиця 1'!$B:$B,$A658,'Таблиця 1'!$I:$I,"Mi-8",'Таблиця 1'!$J:$J,"С-8 ком")+SUMIFS('Таблиця 1'!$K:$K,'Таблиця 1'!$B:$B,$A658,'Таблиця 1'!$I:$I,"Mi-24",'Таблиця 1'!$J:$J,"С-8 ком"))</f>
        <v/>
      </c>
      <c r="G658">
        <f>IF($A658="","",SUMIFS('Таблиця 1'!$K:$K,'Таблиця 1'!$B:$B,$A658,'Таблиця 1'!$I:$I,"Mi-8",'Таблиця 1'!$J:$J,"PC-80")+SUMIFS('Таблиця 1'!$K:$K,'Таблиця 1'!$B:$B,$A658,'Таблиця 1'!$I:$I,"Mi-24",'Таблиця 1'!$J:$J,"PC-80"))</f>
        <v/>
      </c>
      <c r="H658">
        <f>IF($A658="","",SUMIFS('Таблиця 1'!$K:$K,'Таблиця 1'!$B:$B,$A658,'Таблиця 1'!$I:$I,"Mi-8",'Таблиця 1'!$J:$J,"UAR-80")+SUMIFS('Таблиця 1'!$K:$K,'Таблиця 1'!$B:$B,$A658,'Таблиця 1'!$I:$I,"Mi-24",'Таблиця 1'!$J:$J,"UAR-80"))</f>
        <v/>
      </c>
      <c r="I658">
        <f>IF($A658="","",SUMIFS('Таблиця 1'!$K:$K,'Таблиця 1'!$B:$B,$A658,'Таблиця 1'!$I:$I,"Mi-8",'Таблиця 1'!$J:$J,"C-13")+SUMIFS('Таблиця 1'!$K:$K,'Таблиця 1'!$B:$B,$A658,'Таблиця 1'!$I:$I,"Mi-24",'Таблиця 1'!$J:$J,"C-13"))</f>
        <v/>
      </c>
      <c r="J658">
        <f>IF($A658="","",SUMIFS('Таблиця 1'!$K:$K,'Таблиця 1'!$B:$B,$A658,'Таблиця 1'!$I:$I,"Mi-8",'Таблиця 1'!$J:$J,"Hydra-70")+SUMIFS('Таблиця 1'!$K:$K,'Таблиця 1'!$B:$B,$A658,'Таблиця 1'!$I:$I,"Mi-24",'Таблиця 1'!$J:$J,"Hydra-70"))</f>
        <v/>
      </c>
      <c r="K658">
        <f>IF($A658="","",SUMIFS('Таблиця 1'!$K:$K,'Таблиця 1'!$B:$B,$A658,'Таблиця 1'!$I:$I,"Mi-8",'Таблиця 1'!$J:$J,"Thales-70")+SUMIFS('Таблиця 1'!$K:$K,'Таблиця 1'!$B:$B,$A658,'Таблиця 1'!$I:$I,"Mi-24",'Таблиця 1'!$J:$J,"Thales-70"))</f>
        <v/>
      </c>
      <c r="L658">
        <f>IF($A658="","",SUMIFS('Таблиця 1'!$K:$K,'Таблиця 1'!$B:$B,$A658,'Таблиця 1'!$I:$I,"Mi-8",'Таблиця 1'!$J:$J,"Thales-FZ")+SUMIFS('Таблиця 1'!$K:$K,'Таблиця 1'!$B:$B,$A658,'Таблиця 1'!$I:$I,"Mi-24",'Таблиця 1'!$J:$J,"Thales-FZ"))</f>
        <v/>
      </c>
      <c r="M658">
        <f>IF($A658="","",SUMIFS('Таблиця 1'!$K:$K,'Таблиця 1'!$B:$B,$A658,'Таблиця 1'!$I:$I,"Mi-8",'Таблиця 1'!$J:$J,"МК-40")+SUMIFS('Таблиця 1'!$K:$K,'Таблиця 1'!$B:$B,$A658,'Таблиця 1'!$I:$I,"Mi-24",'Таблиця 1'!$J:$J,"МК-40"))</f>
        <v/>
      </c>
      <c r="N658">
        <f>IF($A658="","",SUMIFS('Таблиця 1'!$K:$K,'Таблиця 1'!$B:$B,$A658,'Таблиця 1'!$I:$I,"Mi-8",'Таблиця 1'!$J:$J,"Zuni")+SUMIFS('Таблиця 1'!$K:$K,'Таблиця 1'!$B:$B,$A658,'Таблиця 1'!$I:$I,"Mi-24",'Таблиця 1'!$J:$J,"Zuni"))</f>
        <v/>
      </c>
      <c r="O658">
        <f>IF($A658="","",COUNTIFS('Таблиця 1'!$B:$B,$A658,'Таблиця 1'!$I:$I,"Mi-8",'Таблиця 1'!$L:$L,"Уражено")+COUNTIFS('Таблиця 1'!$B:$B,$A658,'Таблиця 1'!$I:$I,"Mi-24",'Таблиця 1'!$L:$L,"Уражено"))</f>
        <v/>
      </c>
      <c r="P658">
        <f>IF($A658="","",COUNTIFS('Таблиця 1'!$B:$B,$A658,'Таблиця 1'!$I:$I,"Mi-8",'Таблиця 1'!$L:$L,"НЕ уражено")+COUNTIFS('Таблиця 1'!$B:$B,$A658,'Таблиця 1'!$I:$I,"Mi-24",'Таблиця 1'!$L:$L,"НЕ уражено"))</f>
        <v/>
      </c>
    </row>
    <row r="659">
      <c r="A659" s="273">
        <f>IF(A658="","",IF(A658+1&gt;MAX('Таблиця 1'!$B:$B),"",A658+1))</f>
        <v/>
      </c>
      <c r="B659">
        <f>IF($A659="","",COUNTIFS('Таблиця 1'!$B:$B,$A659,'Таблиця 1'!$I:$I,"Mi-8")+COUNTIFS('Таблиця 1'!$B:$B,$A659,'Таблиця 1'!$I:$I,"Mi-24"))</f>
        <v/>
      </c>
      <c r="C659">
        <f>IF($A659="","",COUNTIFS('Таблиця 1'!$B:$B,$A659,'Таблиця 1'!$I:$I,"Mi-8"))</f>
        <v/>
      </c>
      <c r="D659">
        <f>IF($A659="","",COUNTIFS('Таблиця 1'!$B:$B,$A659,'Таблиця 1'!$I:$I,"Mi-24"))</f>
        <v/>
      </c>
      <c r="E659">
        <f>IF($A659="","",SUMIFS('Таблиця 1'!$K:$K,'Таблиця 1'!$B:$B,$A659,'Таблиця 1'!$I:$I,"Mi-8",'Таблиця 1'!$J:$J,"ARS-8")+SUMIFS('Таблиця 1'!$K:$K,'Таблиця 1'!$B:$B,$A659,'Таблиця 1'!$I:$I,"Mi-24",'Таблиця 1'!$J:$J,"ARS-8"))</f>
        <v/>
      </c>
      <c r="F659">
        <f>IF($A659="","",SUMIFS('Таблиця 1'!$K:$K,'Таблиця 1'!$B:$B,$A659,'Таблиця 1'!$I:$I,"Mi-8",'Таблиця 1'!$J:$J,"С-8 ком")+SUMIFS('Таблиця 1'!$K:$K,'Таблиця 1'!$B:$B,$A659,'Таблиця 1'!$I:$I,"Mi-24",'Таблиця 1'!$J:$J,"С-8 ком"))</f>
        <v/>
      </c>
      <c r="G659">
        <f>IF($A659="","",SUMIFS('Таблиця 1'!$K:$K,'Таблиця 1'!$B:$B,$A659,'Таблиця 1'!$I:$I,"Mi-8",'Таблиця 1'!$J:$J,"PC-80")+SUMIFS('Таблиця 1'!$K:$K,'Таблиця 1'!$B:$B,$A659,'Таблиця 1'!$I:$I,"Mi-24",'Таблиця 1'!$J:$J,"PC-80"))</f>
        <v/>
      </c>
      <c r="H659">
        <f>IF($A659="","",SUMIFS('Таблиця 1'!$K:$K,'Таблиця 1'!$B:$B,$A659,'Таблиця 1'!$I:$I,"Mi-8",'Таблиця 1'!$J:$J,"UAR-80")+SUMIFS('Таблиця 1'!$K:$K,'Таблиця 1'!$B:$B,$A659,'Таблиця 1'!$I:$I,"Mi-24",'Таблиця 1'!$J:$J,"UAR-80"))</f>
        <v/>
      </c>
      <c r="I659">
        <f>IF($A659="","",SUMIFS('Таблиця 1'!$K:$K,'Таблиця 1'!$B:$B,$A659,'Таблиця 1'!$I:$I,"Mi-8",'Таблиця 1'!$J:$J,"C-13")+SUMIFS('Таблиця 1'!$K:$K,'Таблиця 1'!$B:$B,$A659,'Таблиця 1'!$I:$I,"Mi-24",'Таблиця 1'!$J:$J,"C-13"))</f>
        <v/>
      </c>
      <c r="J659">
        <f>IF($A659="","",SUMIFS('Таблиця 1'!$K:$K,'Таблиця 1'!$B:$B,$A659,'Таблиця 1'!$I:$I,"Mi-8",'Таблиця 1'!$J:$J,"Hydra-70")+SUMIFS('Таблиця 1'!$K:$K,'Таблиця 1'!$B:$B,$A659,'Таблиця 1'!$I:$I,"Mi-24",'Таблиця 1'!$J:$J,"Hydra-70"))</f>
        <v/>
      </c>
      <c r="K659">
        <f>IF($A659="","",SUMIFS('Таблиця 1'!$K:$K,'Таблиця 1'!$B:$B,$A659,'Таблиця 1'!$I:$I,"Mi-8",'Таблиця 1'!$J:$J,"Thales-70")+SUMIFS('Таблиця 1'!$K:$K,'Таблиця 1'!$B:$B,$A659,'Таблиця 1'!$I:$I,"Mi-24",'Таблиця 1'!$J:$J,"Thales-70"))</f>
        <v/>
      </c>
      <c r="L659">
        <f>IF($A659="","",SUMIFS('Таблиця 1'!$K:$K,'Таблиця 1'!$B:$B,$A659,'Таблиця 1'!$I:$I,"Mi-8",'Таблиця 1'!$J:$J,"Thales-FZ")+SUMIFS('Таблиця 1'!$K:$K,'Таблиця 1'!$B:$B,$A659,'Таблиця 1'!$I:$I,"Mi-24",'Таблиця 1'!$J:$J,"Thales-FZ"))</f>
        <v/>
      </c>
      <c r="M659">
        <f>IF($A659="","",SUMIFS('Таблиця 1'!$K:$K,'Таблиця 1'!$B:$B,$A659,'Таблиця 1'!$I:$I,"Mi-8",'Таблиця 1'!$J:$J,"МК-40")+SUMIFS('Таблиця 1'!$K:$K,'Таблиця 1'!$B:$B,$A659,'Таблиця 1'!$I:$I,"Mi-24",'Таблиця 1'!$J:$J,"МК-40"))</f>
        <v/>
      </c>
      <c r="N659">
        <f>IF($A659="","",SUMIFS('Таблиця 1'!$K:$K,'Таблиця 1'!$B:$B,$A659,'Таблиця 1'!$I:$I,"Mi-8",'Таблиця 1'!$J:$J,"Zuni")+SUMIFS('Таблиця 1'!$K:$K,'Таблиця 1'!$B:$B,$A659,'Таблиця 1'!$I:$I,"Mi-24",'Таблиця 1'!$J:$J,"Zuni"))</f>
        <v/>
      </c>
      <c r="O659">
        <f>IF($A659="","",COUNTIFS('Таблиця 1'!$B:$B,$A659,'Таблиця 1'!$I:$I,"Mi-8",'Таблиця 1'!$L:$L,"Уражено")+COUNTIFS('Таблиця 1'!$B:$B,$A659,'Таблиця 1'!$I:$I,"Mi-24",'Таблиця 1'!$L:$L,"Уражено"))</f>
        <v/>
      </c>
      <c r="P659">
        <f>IF($A659="","",COUNTIFS('Таблиця 1'!$B:$B,$A659,'Таблиця 1'!$I:$I,"Mi-8",'Таблиця 1'!$L:$L,"НЕ уражено")+COUNTIFS('Таблиця 1'!$B:$B,$A659,'Таблиця 1'!$I:$I,"Mi-24",'Таблиця 1'!$L:$L,"НЕ уражено"))</f>
        <v/>
      </c>
    </row>
    <row r="660">
      <c r="A660" s="273">
        <f>IF(A659="","",IF(A659+1&gt;MAX('Таблиця 1'!$B:$B),"",A659+1))</f>
        <v/>
      </c>
      <c r="B660">
        <f>IF($A660="","",COUNTIFS('Таблиця 1'!$B:$B,$A660,'Таблиця 1'!$I:$I,"Mi-8")+COUNTIFS('Таблиця 1'!$B:$B,$A660,'Таблиця 1'!$I:$I,"Mi-24"))</f>
        <v/>
      </c>
      <c r="C660">
        <f>IF($A660="","",COUNTIFS('Таблиця 1'!$B:$B,$A660,'Таблиця 1'!$I:$I,"Mi-8"))</f>
        <v/>
      </c>
      <c r="D660">
        <f>IF($A660="","",COUNTIFS('Таблиця 1'!$B:$B,$A660,'Таблиця 1'!$I:$I,"Mi-24"))</f>
        <v/>
      </c>
      <c r="E660">
        <f>IF($A660="","",SUMIFS('Таблиця 1'!$K:$K,'Таблиця 1'!$B:$B,$A660,'Таблиця 1'!$I:$I,"Mi-8",'Таблиця 1'!$J:$J,"ARS-8")+SUMIFS('Таблиця 1'!$K:$K,'Таблиця 1'!$B:$B,$A660,'Таблиця 1'!$I:$I,"Mi-24",'Таблиця 1'!$J:$J,"ARS-8"))</f>
        <v/>
      </c>
      <c r="F660">
        <f>IF($A660="","",SUMIFS('Таблиця 1'!$K:$K,'Таблиця 1'!$B:$B,$A660,'Таблиця 1'!$I:$I,"Mi-8",'Таблиця 1'!$J:$J,"С-8 ком")+SUMIFS('Таблиця 1'!$K:$K,'Таблиця 1'!$B:$B,$A660,'Таблиця 1'!$I:$I,"Mi-24",'Таблиця 1'!$J:$J,"С-8 ком"))</f>
        <v/>
      </c>
      <c r="G660">
        <f>IF($A660="","",SUMIFS('Таблиця 1'!$K:$K,'Таблиця 1'!$B:$B,$A660,'Таблиця 1'!$I:$I,"Mi-8",'Таблиця 1'!$J:$J,"PC-80")+SUMIFS('Таблиця 1'!$K:$K,'Таблиця 1'!$B:$B,$A660,'Таблиця 1'!$I:$I,"Mi-24",'Таблиця 1'!$J:$J,"PC-80"))</f>
        <v/>
      </c>
      <c r="H660">
        <f>IF($A660="","",SUMIFS('Таблиця 1'!$K:$K,'Таблиця 1'!$B:$B,$A660,'Таблиця 1'!$I:$I,"Mi-8",'Таблиця 1'!$J:$J,"UAR-80")+SUMIFS('Таблиця 1'!$K:$K,'Таблиця 1'!$B:$B,$A660,'Таблиця 1'!$I:$I,"Mi-24",'Таблиця 1'!$J:$J,"UAR-80"))</f>
        <v/>
      </c>
      <c r="I660">
        <f>IF($A660="","",SUMIFS('Таблиця 1'!$K:$K,'Таблиця 1'!$B:$B,$A660,'Таблиця 1'!$I:$I,"Mi-8",'Таблиця 1'!$J:$J,"C-13")+SUMIFS('Таблиця 1'!$K:$K,'Таблиця 1'!$B:$B,$A660,'Таблиця 1'!$I:$I,"Mi-24",'Таблиця 1'!$J:$J,"C-13"))</f>
        <v/>
      </c>
      <c r="J660">
        <f>IF($A660="","",SUMIFS('Таблиця 1'!$K:$K,'Таблиця 1'!$B:$B,$A660,'Таблиця 1'!$I:$I,"Mi-8",'Таблиця 1'!$J:$J,"Hydra-70")+SUMIFS('Таблиця 1'!$K:$K,'Таблиця 1'!$B:$B,$A660,'Таблиця 1'!$I:$I,"Mi-24",'Таблиця 1'!$J:$J,"Hydra-70"))</f>
        <v/>
      </c>
      <c r="K660">
        <f>IF($A660="","",SUMIFS('Таблиця 1'!$K:$K,'Таблиця 1'!$B:$B,$A660,'Таблиця 1'!$I:$I,"Mi-8",'Таблиця 1'!$J:$J,"Thales-70")+SUMIFS('Таблиця 1'!$K:$K,'Таблиця 1'!$B:$B,$A660,'Таблиця 1'!$I:$I,"Mi-24",'Таблиця 1'!$J:$J,"Thales-70"))</f>
        <v/>
      </c>
      <c r="L660">
        <f>IF($A660="","",SUMIFS('Таблиця 1'!$K:$K,'Таблиця 1'!$B:$B,$A660,'Таблиця 1'!$I:$I,"Mi-8",'Таблиця 1'!$J:$J,"Thales-FZ")+SUMIFS('Таблиця 1'!$K:$K,'Таблиця 1'!$B:$B,$A660,'Таблиця 1'!$I:$I,"Mi-24",'Таблиця 1'!$J:$J,"Thales-FZ"))</f>
        <v/>
      </c>
      <c r="M660">
        <f>IF($A660="","",SUMIFS('Таблиця 1'!$K:$K,'Таблиця 1'!$B:$B,$A660,'Таблиця 1'!$I:$I,"Mi-8",'Таблиця 1'!$J:$J,"МК-40")+SUMIFS('Таблиця 1'!$K:$K,'Таблиця 1'!$B:$B,$A660,'Таблиця 1'!$I:$I,"Mi-24",'Таблиця 1'!$J:$J,"МК-40"))</f>
        <v/>
      </c>
      <c r="N660">
        <f>IF($A660="","",SUMIFS('Таблиця 1'!$K:$K,'Таблиця 1'!$B:$B,$A660,'Таблиця 1'!$I:$I,"Mi-8",'Таблиця 1'!$J:$J,"Zuni")+SUMIFS('Таблиця 1'!$K:$K,'Таблиця 1'!$B:$B,$A660,'Таблиця 1'!$I:$I,"Mi-24",'Таблиця 1'!$J:$J,"Zuni"))</f>
        <v/>
      </c>
      <c r="O660">
        <f>IF($A660="","",COUNTIFS('Таблиця 1'!$B:$B,$A660,'Таблиця 1'!$I:$I,"Mi-8",'Таблиця 1'!$L:$L,"Уражено")+COUNTIFS('Таблиця 1'!$B:$B,$A660,'Таблиця 1'!$I:$I,"Mi-24",'Таблиця 1'!$L:$L,"Уражено"))</f>
        <v/>
      </c>
      <c r="P660">
        <f>IF($A660="","",COUNTIFS('Таблиця 1'!$B:$B,$A660,'Таблиця 1'!$I:$I,"Mi-8",'Таблиця 1'!$L:$L,"НЕ уражено")+COUNTIFS('Таблиця 1'!$B:$B,$A660,'Таблиця 1'!$I:$I,"Mi-24",'Таблиця 1'!$L:$L,"НЕ уражено"))</f>
        <v/>
      </c>
    </row>
    <row r="661">
      <c r="A661" s="273">
        <f>IF(A660="","",IF(A660+1&gt;MAX('Таблиця 1'!$B:$B),"",A660+1))</f>
        <v/>
      </c>
      <c r="B661">
        <f>IF($A661="","",COUNTIFS('Таблиця 1'!$B:$B,$A661,'Таблиця 1'!$I:$I,"Mi-8")+COUNTIFS('Таблиця 1'!$B:$B,$A661,'Таблиця 1'!$I:$I,"Mi-24"))</f>
        <v/>
      </c>
      <c r="C661">
        <f>IF($A661="","",COUNTIFS('Таблиця 1'!$B:$B,$A661,'Таблиця 1'!$I:$I,"Mi-8"))</f>
        <v/>
      </c>
      <c r="D661">
        <f>IF($A661="","",COUNTIFS('Таблиця 1'!$B:$B,$A661,'Таблиця 1'!$I:$I,"Mi-24"))</f>
        <v/>
      </c>
      <c r="E661">
        <f>IF($A661="","",SUMIFS('Таблиця 1'!$K:$K,'Таблиця 1'!$B:$B,$A661,'Таблиця 1'!$I:$I,"Mi-8",'Таблиця 1'!$J:$J,"ARS-8")+SUMIFS('Таблиця 1'!$K:$K,'Таблиця 1'!$B:$B,$A661,'Таблиця 1'!$I:$I,"Mi-24",'Таблиця 1'!$J:$J,"ARS-8"))</f>
        <v/>
      </c>
      <c r="F661">
        <f>IF($A661="","",SUMIFS('Таблиця 1'!$K:$K,'Таблиця 1'!$B:$B,$A661,'Таблиця 1'!$I:$I,"Mi-8",'Таблиця 1'!$J:$J,"С-8 ком")+SUMIFS('Таблиця 1'!$K:$K,'Таблиця 1'!$B:$B,$A661,'Таблиця 1'!$I:$I,"Mi-24",'Таблиця 1'!$J:$J,"С-8 ком"))</f>
        <v/>
      </c>
      <c r="G661">
        <f>IF($A661="","",SUMIFS('Таблиця 1'!$K:$K,'Таблиця 1'!$B:$B,$A661,'Таблиця 1'!$I:$I,"Mi-8",'Таблиця 1'!$J:$J,"PC-80")+SUMIFS('Таблиця 1'!$K:$K,'Таблиця 1'!$B:$B,$A661,'Таблиця 1'!$I:$I,"Mi-24",'Таблиця 1'!$J:$J,"PC-80"))</f>
        <v/>
      </c>
      <c r="H661">
        <f>IF($A661="","",SUMIFS('Таблиця 1'!$K:$K,'Таблиця 1'!$B:$B,$A661,'Таблиця 1'!$I:$I,"Mi-8",'Таблиця 1'!$J:$J,"UAR-80")+SUMIFS('Таблиця 1'!$K:$K,'Таблиця 1'!$B:$B,$A661,'Таблиця 1'!$I:$I,"Mi-24",'Таблиця 1'!$J:$J,"UAR-80"))</f>
        <v/>
      </c>
      <c r="I661">
        <f>IF($A661="","",SUMIFS('Таблиця 1'!$K:$K,'Таблиця 1'!$B:$B,$A661,'Таблиця 1'!$I:$I,"Mi-8",'Таблиця 1'!$J:$J,"C-13")+SUMIFS('Таблиця 1'!$K:$K,'Таблиця 1'!$B:$B,$A661,'Таблиця 1'!$I:$I,"Mi-24",'Таблиця 1'!$J:$J,"C-13"))</f>
        <v/>
      </c>
      <c r="J661">
        <f>IF($A661="","",SUMIFS('Таблиця 1'!$K:$K,'Таблиця 1'!$B:$B,$A661,'Таблиця 1'!$I:$I,"Mi-8",'Таблиця 1'!$J:$J,"Hydra-70")+SUMIFS('Таблиця 1'!$K:$K,'Таблиця 1'!$B:$B,$A661,'Таблиця 1'!$I:$I,"Mi-24",'Таблиця 1'!$J:$J,"Hydra-70"))</f>
        <v/>
      </c>
      <c r="K661">
        <f>IF($A661="","",SUMIFS('Таблиця 1'!$K:$K,'Таблиця 1'!$B:$B,$A661,'Таблиця 1'!$I:$I,"Mi-8",'Таблиця 1'!$J:$J,"Thales-70")+SUMIFS('Таблиця 1'!$K:$K,'Таблиця 1'!$B:$B,$A661,'Таблиця 1'!$I:$I,"Mi-24",'Таблиця 1'!$J:$J,"Thales-70"))</f>
        <v/>
      </c>
      <c r="L661">
        <f>IF($A661="","",SUMIFS('Таблиця 1'!$K:$K,'Таблиця 1'!$B:$B,$A661,'Таблиця 1'!$I:$I,"Mi-8",'Таблиця 1'!$J:$J,"Thales-FZ")+SUMIFS('Таблиця 1'!$K:$K,'Таблиця 1'!$B:$B,$A661,'Таблиця 1'!$I:$I,"Mi-24",'Таблиця 1'!$J:$J,"Thales-FZ"))</f>
        <v/>
      </c>
      <c r="M661">
        <f>IF($A661="","",SUMIFS('Таблиця 1'!$K:$K,'Таблиця 1'!$B:$B,$A661,'Таблиця 1'!$I:$I,"Mi-8",'Таблиця 1'!$J:$J,"МК-40")+SUMIFS('Таблиця 1'!$K:$K,'Таблиця 1'!$B:$B,$A661,'Таблиця 1'!$I:$I,"Mi-24",'Таблиця 1'!$J:$J,"МК-40"))</f>
        <v/>
      </c>
      <c r="N661">
        <f>IF($A661="","",SUMIFS('Таблиця 1'!$K:$K,'Таблиця 1'!$B:$B,$A661,'Таблиця 1'!$I:$I,"Mi-8",'Таблиця 1'!$J:$J,"Zuni")+SUMIFS('Таблиця 1'!$K:$K,'Таблиця 1'!$B:$B,$A661,'Таблиця 1'!$I:$I,"Mi-24",'Таблиця 1'!$J:$J,"Zuni"))</f>
        <v/>
      </c>
      <c r="O661">
        <f>IF($A661="","",COUNTIFS('Таблиця 1'!$B:$B,$A661,'Таблиця 1'!$I:$I,"Mi-8",'Таблиця 1'!$L:$L,"Уражено")+COUNTIFS('Таблиця 1'!$B:$B,$A661,'Таблиця 1'!$I:$I,"Mi-24",'Таблиця 1'!$L:$L,"Уражено"))</f>
        <v/>
      </c>
      <c r="P661">
        <f>IF($A661="","",COUNTIFS('Таблиця 1'!$B:$B,$A661,'Таблиця 1'!$I:$I,"Mi-8",'Таблиця 1'!$L:$L,"НЕ уражено")+COUNTIFS('Таблиця 1'!$B:$B,$A661,'Таблиця 1'!$I:$I,"Mi-24",'Таблиця 1'!$L:$L,"НЕ уражено"))</f>
        <v/>
      </c>
    </row>
    <row r="662">
      <c r="A662" s="273">
        <f>IF(A661="","",IF(A661+1&gt;MAX('Таблиця 1'!$B:$B),"",A661+1))</f>
        <v/>
      </c>
      <c r="B662">
        <f>IF($A662="","",COUNTIFS('Таблиця 1'!$B:$B,$A662,'Таблиця 1'!$I:$I,"Mi-8")+COUNTIFS('Таблиця 1'!$B:$B,$A662,'Таблиця 1'!$I:$I,"Mi-24"))</f>
        <v/>
      </c>
      <c r="C662">
        <f>IF($A662="","",COUNTIFS('Таблиця 1'!$B:$B,$A662,'Таблиця 1'!$I:$I,"Mi-8"))</f>
        <v/>
      </c>
      <c r="D662">
        <f>IF($A662="","",COUNTIFS('Таблиця 1'!$B:$B,$A662,'Таблиця 1'!$I:$I,"Mi-24"))</f>
        <v/>
      </c>
      <c r="E662">
        <f>IF($A662="","",SUMIFS('Таблиця 1'!$K:$K,'Таблиця 1'!$B:$B,$A662,'Таблиця 1'!$I:$I,"Mi-8",'Таблиця 1'!$J:$J,"ARS-8")+SUMIFS('Таблиця 1'!$K:$K,'Таблиця 1'!$B:$B,$A662,'Таблиця 1'!$I:$I,"Mi-24",'Таблиця 1'!$J:$J,"ARS-8"))</f>
        <v/>
      </c>
      <c r="F662">
        <f>IF($A662="","",SUMIFS('Таблиця 1'!$K:$K,'Таблиця 1'!$B:$B,$A662,'Таблиця 1'!$I:$I,"Mi-8",'Таблиця 1'!$J:$J,"С-8 ком")+SUMIFS('Таблиця 1'!$K:$K,'Таблиця 1'!$B:$B,$A662,'Таблиця 1'!$I:$I,"Mi-24",'Таблиця 1'!$J:$J,"С-8 ком"))</f>
        <v/>
      </c>
      <c r="G662">
        <f>IF($A662="","",SUMIFS('Таблиця 1'!$K:$K,'Таблиця 1'!$B:$B,$A662,'Таблиця 1'!$I:$I,"Mi-8",'Таблиця 1'!$J:$J,"PC-80")+SUMIFS('Таблиця 1'!$K:$K,'Таблиця 1'!$B:$B,$A662,'Таблиця 1'!$I:$I,"Mi-24",'Таблиця 1'!$J:$J,"PC-80"))</f>
        <v/>
      </c>
      <c r="H662">
        <f>IF($A662="","",SUMIFS('Таблиця 1'!$K:$K,'Таблиця 1'!$B:$B,$A662,'Таблиця 1'!$I:$I,"Mi-8",'Таблиця 1'!$J:$J,"UAR-80")+SUMIFS('Таблиця 1'!$K:$K,'Таблиця 1'!$B:$B,$A662,'Таблиця 1'!$I:$I,"Mi-24",'Таблиця 1'!$J:$J,"UAR-80"))</f>
        <v/>
      </c>
      <c r="I662">
        <f>IF($A662="","",SUMIFS('Таблиця 1'!$K:$K,'Таблиця 1'!$B:$B,$A662,'Таблиця 1'!$I:$I,"Mi-8",'Таблиця 1'!$J:$J,"C-13")+SUMIFS('Таблиця 1'!$K:$K,'Таблиця 1'!$B:$B,$A662,'Таблиця 1'!$I:$I,"Mi-24",'Таблиця 1'!$J:$J,"C-13"))</f>
        <v/>
      </c>
      <c r="J662">
        <f>IF($A662="","",SUMIFS('Таблиця 1'!$K:$K,'Таблиця 1'!$B:$B,$A662,'Таблиця 1'!$I:$I,"Mi-8",'Таблиця 1'!$J:$J,"Hydra-70")+SUMIFS('Таблиця 1'!$K:$K,'Таблиця 1'!$B:$B,$A662,'Таблиця 1'!$I:$I,"Mi-24",'Таблиця 1'!$J:$J,"Hydra-70"))</f>
        <v/>
      </c>
      <c r="K662">
        <f>IF($A662="","",SUMIFS('Таблиця 1'!$K:$K,'Таблиця 1'!$B:$B,$A662,'Таблиця 1'!$I:$I,"Mi-8",'Таблиця 1'!$J:$J,"Thales-70")+SUMIFS('Таблиця 1'!$K:$K,'Таблиця 1'!$B:$B,$A662,'Таблиця 1'!$I:$I,"Mi-24",'Таблиця 1'!$J:$J,"Thales-70"))</f>
        <v/>
      </c>
      <c r="L662">
        <f>IF($A662="","",SUMIFS('Таблиця 1'!$K:$K,'Таблиця 1'!$B:$B,$A662,'Таблиця 1'!$I:$I,"Mi-8",'Таблиця 1'!$J:$J,"Thales-FZ")+SUMIFS('Таблиця 1'!$K:$K,'Таблиця 1'!$B:$B,$A662,'Таблиця 1'!$I:$I,"Mi-24",'Таблиця 1'!$J:$J,"Thales-FZ"))</f>
        <v/>
      </c>
      <c r="M662">
        <f>IF($A662="","",SUMIFS('Таблиця 1'!$K:$K,'Таблиця 1'!$B:$B,$A662,'Таблиця 1'!$I:$I,"Mi-8",'Таблиця 1'!$J:$J,"МК-40")+SUMIFS('Таблиця 1'!$K:$K,'Таблиця 1'!$B:$B,$A662,'Таблиця 1'!$I:$I,"Mi-24",'Таблиця 1'!$J:$J,"МК-40"))</f>
        <v/>
      </c>
      <c r="N662">
        <f>IF($A662="","",SUMIFS('Таблиця 1'!$K:$K,'Таблиця 1'!$B:$B,$A662,'Таблиця 1'!$I:$I,"Mi-8",'Таблиця 1'!$J:$J,"Zuni")+SUMIFS('Таблиця 1'!$K:$K,'Таблиця 1'!$B:$B,$A662,'Таблиця 1'!$I:$I,"Mi-24",'Таблиця 1'!$J:$J,"Zuni"))</f>
        <v/>
      </c>
      <c r="O662">
        <f>IF($A662="","",COUNTIFS('Таблиця 1'!$B:$B,$A662,'Таблиця 1'!$I:$I,"Mi-8",'Таблиця 1'!$L:$L,"Уражено")+COUNTIFS('Таблиця 1'!$B:$B,$A662,'Таблиця 1'!$I:$I,"Mi-24",'Таблиця 1'!$L:$L,"Уражено"))</f>
        <v/>
      </c>
      <c r="P662">
        <f>IF($A662="","",COUNTIFS('Таблиця 1'!$B:$B,$A662,'Таблиця 1'!$I:$I,"Mi-8",'Таблиця 1'!$L:$L,"НЕ уражено")+COUNTIFS('Таблиця 1'!$B:$B,$A662,'Таблиця 1'!$I:$I,"Mi-24",'Таблиця 1'!$L:$L,"НЕ уражено"))</f>
        <v/>
      </c>
    </row>
    <row r="663">
      <c r="A663" s="273">
        <f>IF(A662="","",IF(A662+1&gt;MAX('Таблиця 1'!$B:$B),"",A662+1))</f>
        <v/>
      </c>
      <c r="B663">
        <f>IF($A663="","",COUNTIFS('Таблиця 1'!$B:$B,$A663,'Таблиця 1'!$I:$I,"Mi-8")+COUNTIFS('Таблиця 1'!$B:$B,$A663,'Таблиця 1'!$I:$I,"Mi-24"))</f>
        <v/>
      </c>
      <c r="C663">
        <f>IF($A663="","",COUNTIFS('Таблиця 1'!$B:$B,$A663,'Таблиця 1'!$I:$I,"Mi-8"))</f>
        <v/>
      </c>
      <c r="D663">
        <f>IF($A663="","",COUNTIFS('Таблиця 1'!$B:$B,$A663,'Таблиця 1'!$I:$I,"Mi-24"))</f>
        <v/>
      </c>
      <c r="E663">
        <f>IF($A663="","",SUMIFS('Таблиця 1'!$K:$K,'Таблиця 1'!$B:$B,$A663,'Таблиця 1'!$I:$I,"Mi-8",'Таблиця 1'!$J:$J,"ARS-8")+SUMIFS('Таблиця 1'!$K:$K,'Таблиця 1'!$B:$B,$A663,'Таблиця 1'!$I:$I,"Mi-24",'Таблиця 1'!$J:$J,"ARS-8"))</f>
        <v/>
      </c>
      <c r="F663">
        <f>IF($A663="","",SUMIFS('Таблиця 1'!$K:$K,'Таблиця 1'!$B:$B,$A663,'Таблиця 1'!$I:$I,"Mi-8",'Таблиця 1'!$J:$J,"С-8 ком")+SUMIFS('Таблиця 1'!$K:$K,'Таблиця 1'!$B:$B,$A663,'Таблиця 1'!$I:$I,"Mi-24",'Таблиця 1'!$J:$J,"С-8 ком"))</f>
        <v/>
      </c>
      <c r="G663">
        <f>IF($A663="","",SUMIFS('Таблиця 1'!$K:$K,'Таблиця 1'!$B:$B,$A663,'Таблиця 1'!$I:$I,"Mi-8",'Таблиця 1'!$J:$J,"PC-80")+SUMIFS('Таблиця 1'!$K:$K,'Таблиця 1'!$B:$B,$A663,'Таблиця 1'!$I:$I,"Mi-24",'Таблиця 1'!$J:$J,"PC-80"))</f>
        <v/>
      </c>
      <c r="H663">
        <f>IF($A663="","",SUMIFS('Таблиця 1'!$K:$K,'Таблиця 1'!$B:$B,$A663,'Таблиця 1'!$I:$I,"Mi-8",'Таблиця 1'!$J:$J,"UAR-80")+SUMIFS('Таблиця 1'!$K:$K,'Таблиця 1'!$B:$B,$A663,'Таблиця 1'!$I:$I,"Mi-24",'Таблиця 1'!$J:$J,"UAR-80"))</f>
        <v/>
      </c>
      <c r="I663">
        <f>IF($A663="","",SUMIFS('Таблиця 1'!$K:$K,'Таблиця 1'!$B:$B,$A663,'Таблиця 1'!$I:$I,"Mi-8",'Таблиця 1'!$J:$J,"C-13")+SUMIFS('Таблиця 1'!$K:$K,'Таблиця 1'!$B:$B,$A663,'Таблиця 1'!$I:$I,"Mi-24",'Таблиця 1'!$J:$J,"C-13"))</f>
        <v/>
      </c>
      <c r="J663">
        <f>IF($A663="","",SUMIFS('Таблиця 1'!$K:$K,'Таблиця 1'!$B:$B,$A663,'Таблиця 1'!$I:$I,"Mi-8",'Таблиця 1'!$J:$J,"Hydra-70")+SUMIFS('Таблиця 1'!$K:$K,'Таблиця 1'!$B:$B,$A663,'Таблиця 1'!$I:$I,"Mi-24",'Таблиця 1'!$J:$J,"Hydra-70"))</f>
        <v/>
      </c>
      <c r="K663">
        <f>IF($A663="","",SUMIFS('Таблиця 1'!$K:$K,'Таблиця 1'!$B:$B,$A663,'Таблиця 1'!$I:$I,"Mi-8",'Таблиця 1'!$J:$J,"Thales-70")+SUMIFS('Таблиця 1'!$K:$K,'Таблиця 1'!$B:$B,$A663,'Таблиця 1'!$I:$I,"Mi-24",'Таблиця 1'!$J:$J,"Thales-70"))</f>
        <v/>
      </c>
      <c r="L663">
        <f>IF($A663="","",SUMIFS('Таблиця 1'!$K:$K,'Таблиця 1'!$B:$B,$A663,'Таблиця 1'!$I:$I,"Mi-8",'Таблиця 1'!$J:$J,"Thales-FZ")+SUMIFS('Таблиця 1'!$K:$K,'Таблиця 1'!$B:$B,$A663,'Таблиця 1'!$I:$I,"Mi-24",'Таблиця 1'!$J:$J,"Thales-FZ"))</f>
        <v/>
      </c>
      <c r="M663">
        <f>IF($A663="","",SUMIFS('Таблиця 1'!$K:$K,'Таблиця 1'!$B:$B,$A663,'Таблиця 1'!$I:$I,"Mi-8",'Таблиця 1'!$J:$J,"МК-40")+SUMIFS('Таблиця 1'!$K:$K,'Таблиця 1'!$B:$B,$A663,'Таблиця 1'!$I:$I,"Mi-24",'Таблиця 1'!$J:$J,"МК-40"))</f>
        <v/>
      </c>
      <c r="N663">
        <f>IF($A663="","",SUMIFS('Таблиця 1'!$K:$K,'Таблиця 1'!$B:$B,$A663,'Таблиця 1'!$I:$I,"Mi-8",'Таблиця 1'!$J:$J,"Zuni")+SUMIFS('Таблиця 1'!$K:$K,'Таблиця 1'!$B:$B,$A663,'Таблиця 1'!$I:$I,"Mi-24",'Таблиця 1'!$J:$J,"Zuni"))</f>
        <v/>
      </c>
      <c r="O663">
        <f>IF($A663="","",COUNTIFS('Таблиця 1'!$B:$B,$A663,'Таблиця 1'!$I:$I,"Mi-8",'Таблиця 1'!$L:$L,"Уражено")+COUNTIFS('Таблиця 1'!$B:$B,$A663,'Таблиця 1'!$I:$I,"Mi-24",'Таблиця 1'!$L:$L,"Уражено"))</f>
        <v/>
      </c>
      <c r="P663">
        <f>IF($A663="","",COUNTIFS('Таблиця 1'!$B:$B,$A663,'Таблиця 1'!$I:$I,"Mi-8",'Таблиця 1'!$L:$L,"НЕ уражено")+COUNTIFS('Таблиця 1'!$B:$B,$A663,'Таблиця 1'!$I:$I,"Mi-24",'Таблиця 1'!$L:$L,"НЕ уражено"))</f>
        <v/>
      </c>
    </row>
    <row r="664">
      <c r="A664" s="273">
        <f>IF(A663="","",IF(A663+1&gt;MAX('Таблиця 1'!$B:$B),"",A663+1))</f>
        <v/>
      </c>
      <c r="B664">
        <f>IF($A664="","",COUNTIFS('Таблиця 1'!$B:$B,$A664,'Таблиця 1'!$I:$I,"Mi-8")+COUNTIFS('Таблиця 1'!$B:$B,$A664,'Таблиця 1'!$I:$I,"Mi-24"))</f>
        <v/>
      </c>
      <c r="C664">
        <f>IF($A664="","",COUNTIFS('Таблиця 1'!$B:$B,$A664,'Таблиця 1'!$I:$I,"Mi-8"))</f>
        <v/>
      </c>
      <c r="D664">
        <f>IF($A664="","",COUNTIFS('Таблиця 1'!$B:$B,$A664,'Таблиця 1'!$I:$I,"Mi-24"))</f>
        <v/>
      </c>
      <c r="E664">
        <f>IF($A664="","",SUMIFS('Таблиця 1'!$K:$K,'Таблиця 1'!$B:$B,$A664,'Таблиця 1'!$I:$I,"Mi-8",'Таблиця 1'!$J:$J,"ARS-8")+SUMIFS('Таблиця 1'!$K:$K,'Таблиця 1'!$B:$B,$A664,'Таблиця 1'!$I:$I,"Mi-24",'Таблиця 1'!$J:$J,"ARS-8"))</f>
        <v/>
      </c>
      <c r="F664">
        <f>IF($A664="","",SUMIFS('Таблиця 1'!$K:$K,'Таблиця 1'!$B:$B,$A664,'Таблиця 1'!$I:$I,"Mi-8",'Таблиця 1'!$J:$J,"С-8 ком")+SUMIFS('Таблиця 1'!$K:$K,'Таблиця 1'!$B:$B,$A664,'Таблиця 1'!$I:$I,"Mi-24",'Таблиця 1'!$J:$J,"С-8 ком"))</f>
        <v/>
      </c>
      <c r="G664">
        <f>IF($A664="","",SUMIFS('Таблиця 1'!$K:$K,'Таблиця 1'!$B:$B,$A664,'Таблиця 1'!$I:$I,"Mi-8",'Таблиця 1'!$J:$J,"PC-80")+SUMIFS('Таблиця 1'!$K:$K,'Таблиця 1'!$B:$B,$A664,'Таблиця 1'!$I:$I,"Mi-24",'Таблиця 1'!$J:$J,"PC-80"))</f>
        <v/>
      </c>
      <c r="H664">
        <f>IF($A664="","",SUMIFS('Таблиця 1'!$K:$K,'Таблиця 1'!$B:$B,$A664,'Таблиця 1'!$I:$I,"Mi-8",'Таблиця 1'!$J:$J,"UAR-80")+SUMIFS('Таблиця 1'!$K:$K,'Таблиця 1'!$B:$B,$A664,'Таблиця 1'!$I:$I,"Mi-24",'Таблиця 1'!$J:$J,"UAR-80"))</f>
        <v/>
      </c>
      <c r="I664">
        <f>IF($A664="","",SUMIFS('Таблиця 1'!$K:$K,'Таблиця 1'!$B:$B,$A664,'Таблиця 1'!$I:$I,"Mi-8",'Таблиця 1'!$J:$J,"C-13")+SUMIFS('Таблиця 1'!$K:$K,'Таблиця 1'!$B:$B,$A664,'Таблиця 1'!$I:$I,"Mi-24",'Таблиця 1'!$J:$J,"C-13"))</f>
        <v/>
      </c>
      <c r="J664">
        <f>IF($A664="","",SUMIFS('Таблиця 1'!$K:$K,'Таблиця 1'!$B:$B,$A664,'Таблиця 1'!$I:$I,"Mi-8",'Таблиця 1'!$J:$J,"Hydra-70")+SUMIFS('Таблиця 1'!$K:$K,'Таблиця 1'!$B:$B,$A664,'Таблиця 1'!$I:$I,"Mi-24",'Таблиця 1'!$J:$J,"Hydra-70"))</f>
        <v/>
      </c>
      <c r="K664">
        <f>IF($A664="","",SUMIFS('Таблиця 1'!$K:$K,'Таблиця 1'!$B:$B,$A664,'Таблиця 1'!$I:$I,"Mi-8",'Таблиця 1'!$J:$J,"Thales-70")+SUMIFS('Таблиця 1'!$K:$K,'Таблиця 1'!$B:$B,$A664,'Таблиця 1'!$I:$I,"Mi-24",'Таблиця 1'!$J:$J,"Thales-70"))</f>
        <v/>
      </c>
      <c r="L664">
        <f>IF($A664="","",SUMIFS('Таблиця 1'!$K:$K,'Таблиця 1'!$B:$B,$A664,'Таблиця 1'!$I:$I,"Mi-8",'Таблиця 1'!$J:$J,"Thales-FZ")+SUMIFS('Таблиця 1'!$K:$K,'Таблиця 1'!$B:$B,$A664,'Таблиця 1'!$I:$I,"Mi-24",'Таблиця 1'!$J:$J,"Thales-FZ"))</f>
        <v/>
      </c>
      <c r="M664">
        <f>IF($A664="","",SUMIFS('Таблиця 1'!$K:$K,'Таблиця 1'!$B:$B,$A664,'Таблиця 1'!$I:$I,"Mi-8",'Таблиця 1'!$J:$J,"МК-40")+SUMIFS('Таблиця 1'!$K:$K,'Таблиця 1'!$B:$B,$A664,'Таблиця 1'!$I:$I,"Mi-24",'Таблиця 1'!$J:$J,"МК-40"))</f>
        <v/>
      </c>
      <c r="N664">
        <f>IF($A664="","",SUMIFS('Таблиця 1'!$K:$K,'Таблиця 1'!$B:$B,$A664,'Таблиця 1'!$I:$I,"Mi-8",'Таблиця 1'!$J:$J,"Zuni")+SUMIFS('Таблиця 1'!$K:$K,'Таблиця 1'!$B:$B,$A664,'Таблиця 1'!$I:$I,"Mi-24",'Таблиця 1'!$J:$J,"Zuni"))</f>
        <v/>
      </c>
      <c r="O664">
        <f>IF($A664="","",COUNTIFS('Таблиця 1'!$B:$B,$A664,'Таблиця 1'!$I:$I,"Mi-8",'Таблиця 1'!$L:$L,"Уражено")+COUNTIFS('Таблиця 1'!$B:$B,$A664,'Таблиця 1'!$I:$I,"Mi-24",'Таблиця 1'!$L:$L,"Уражено"))</f>
        <v/>
      </c>
      <c r="P664">
        <f>IF($A664="","",COUNTIFS('Таблиця 1'!$B:$B,$A664,'Таблиця 1'!$I:$I,"Mi-8",'Таблиця 1'!$L:$L,"НЕ уражено")+COUNTIFS('Таблиця 1'!$B:$B,$A664,'Таблиця 1'!$I:$I,"Mi-24",'Таблиця 1'!$L:$L,"НЕ уражено"))</f>
        <v/>
      </c>
    </row>
    <row r="665">
      <c r="A665" s="273">
        <f>IF(A664="","",IF(A664+1&gt;MAX('Таблиця 1'!$B:$B),"",A664+1))</f>
        <v/>
      </c>
      <c r="B665">
        <f>IF($A665="","",COUNTIFS('Таблиця 1'!$B:$B,$A665,'Таблиця 1'!$I:$I,"Mi-8")+COUNTIFS('Таблиця 1'!$B:$B,$A665,'Таблиця 1'!$I:$I,"Mi-24"))</f>
        <v/>
      </c>
      <c r="C665">
        <f>IF($A665="","",COUNTIFS('Таблиця 1'!$B:$B,$A665,'Таблиця 1'!$I:$I,"Mi-8"))</f>
        <v/>
      </c>
      <c r="D665">
        <f>IF($A665="","",COUNTIFS('Таблиця 1'!$B:$B,$A665,'Таблиця 1'!$I:$I,"Mi-24"))</f>
        <v/>
      </c>
      <c r="E665">
        <f>IF($A665="","",SUMIFS('Таблиця 1'!$K:$K,'Таблиця 1'!$B:$B,$A665,'Таблиця 1'!$I:$I,"Mi-8",'Таблиця 1'!$J:$J,"ARS-8")+SUMIFS('Таблиця 1'!$K:$K,'Таблиця 1'!$B:$B,$A665,'Таблиця 1'!$I:$I,"Mi-24",'Таблиця 1'!$J:$J,"ARS-8"))</f>
        <v/>
      </c>
      <c r="F665">
        <f>IF($A665="","",SUMIFS('Таблиця 1'!$K:$K,'Таблиця 1'!$B:$B,$A665,'Таблиця 1'!$I:$I,"Mi-8",'Таблиця 1'!$J:$J,"С-8 ком")+SUMIFS('Таблиця 1'!$K:$K,'Таблиця 1'!$B:$B,$A665,'Таблиця 1'!$I:$I,"Mi-24",'Таблиця 1'!$J:$J,"С-8 ком"))</f>
        <v/>
      </c>
      <c r="G665">
        <f>IF($A665="","",SUMIFS('Таблиця 1'!$K:$K,'Таблиця 1'!$B:$B,$A665,'Таблиця 1'!$I:$I,"Mi-8",'Таблиця 1'!$J:$J,"PC-80")+SUMIFS('Таблиця 1'!$K:$K,'Таблиця 1'!$B:$B,$A665,'Таблиця 1'!$I:$I,"Mi-24",'Таблиця 1'!$J:$J,"PC-80"))</f>
        <v/>
      </c>
      <c r="H665">
        <f>IF($A665="","",SUMIFS('Таблиця 1'!$K:$K,'Таблиця 1'!$B:$B,$A665,'Таблиця 1'!$I:$I,"Mi-8",'Таблиця 1'!$J:$J,"UAR-80")+SUMIFS('Таблиця 1'!$K:$K,'Таблиця 1'!$B:$B,$A665,'Таблиця 1'!$I:$I,"Mi-24",'Таблиця 1'!$J:$J,"UAR-80"))</f>
        <v/>
      </c>
      <c r="I665">
        <f>IF($A665="","",SUMIFS('Таблиця 1'!$K:$K,'Таблиця 1'!$B:$B,$A665,'Таблиця 1'!$I:$I,"Mi-8",'Таблиця 1'!$J:$J,"C-13")+SUMIFS('Таблиця 1'!$K:$K,'Таблиця 1'!$B:$B,$A665,'Таблиця 1'!$I:$I,"Mi-24",'Таблиця 1'!$J:$J,"C-13"))</f>
        <v/>
      </c>
      <c r="J665">
        <f>IF($A665="","",SUMIFS('Таблиця 1'!$K:$K,'Таблиця 1'!$B:$B,$A665,'Таблиця 1'!$I:$I,"Mi-8",'Таблиця 1'!$J:$J,"Hydra-70")+SUMIFS('Таблиця 1'!$K:$K,'Таблиця 1'!$B:$B,$A665,'Таблиця 1'!$I:$I,"Mi-24",'Таблиця 1'!$J:$J,"Hydra-70"))</f>
        <v/>
      </c>
      <c r="K665">
        <f>IF($A665="","",SUMIFS('Таблиця 1'!$K:$K,'Таблиця 1'!$B:$B,$A665,'Таблиця 1'!$I:$I,"Mi-8",'Таблиця 1'!$J:$J,"Thales-70")+SUMIFS('Таблиця 1'!$K:$K,'Таблиця 1'!$B:$B,$A665,'Таблиця 1'!$I:$I,"Mi-24",'Таблиця 1'!$J:$J,"Thales-70"))</f>
        <v/>
      </c>
      <c r="L665">
        <f>IF($A665="","",SUMIFS('Таблиця 1'!$K:$K,'Таблиця 1'!$B:$B,$A665,'Таблиця 1'!$I:$I,"Mi-8",'Таблиця 1'!$J:$J,"Thales-FZ")+SUMIFS('Таблиця 1'!$K:$K,'Таблиця 1'!$B:$B,$A665,'Таблиця 1'!$I:$I,"Mi-24",'Таблиця 1'!$J:$J,"Thales-FZ"))</f>
        <v/>
      </c>
      <c r="M665">
        <f>IF($A665="","",SUMIFS('Таблиця 1'!$K:$K,'Таблиця 1'!$B:$B,$A665,'Таблиця 1'!$I:$I,"Mi-8",'Таблиця 1'!$J:$J,"МК-40")+SUMIFS('Таблиця 1'!$K:$K,'Таблиця 1'!$B:$B,$A665,'Таблиця 1'!$I:$I,"Mi-24",'Таблиця 1'!$J:$J,"МК-40"))</f>
        <v/>
      </c>
      <c r="N665">
        <f>IF($A665="","",SUMIFS('Таблиця 1'!$K:$K,'Таблиця 1'!$B:$B,$A665,'Таблиця 1'!$I:$I,"Mi-8",'Таблиця 1'!$J:$J,"Zuni")+SUMIFS('Таблиця 1'!$K:$K,'Таблиця 1'!$B:$B,$A665,'Таблиця 1'!$I:$I,"Mi-24",'Таблиця 1'!$J:$J,"Zuni"))</f>
        <v/>
      </c>
      <c r="O665">
        <f>IF($A665="","",COUNTIFS('Таблиця 1'!$B:$B,$A665,'Таблиця 1'!$I:$I,"Mi-8",'Таблиця 1'!$L:$L,"Уражено")+COUNTIFS('Таблиця 1'!$B:$B,$A665,'Таблиця 1'!$I:$I,"Mi-24",'Таблиця 1'!$L:$L,"Уражено"))</f>
        <v/>
      </c>
      <c r="P665">
        <f>IF($A665="","",COUNTIFS('Таблиця 1'!$B:$B,$A665,'Таблиця 1'!$I:$I,"Mi-8",'Таблиця 1'!$L:$L,"НЕ уражено")+COUNTIFS('Таблиця 1'!$B:$B,$A665,'Таблиця 1'!$I:$I,"Mi-24",'Таблиця 1'!$L:$L,"НЕ уражено"))</f>
        <v/>
      </c>
    </row>
    <row r="666">
      <c r="A666" s="273">
        <f>IF(A665="","",IF(A665+1&gt;MAX('Таблиця 1'!$B:$B),"",A665+1))</f>
        <v/>
      </c>
      <c r="B666">
        <f>IF($A666="","",COUNTIFS('Таблиця 1'!$B:$B,$A666,'Таблиця 1'!$I:$I,"Mi-8")+COUNTIFS('Таблиця 1'!$B:$B,$A666,'Таблиця 1'!$I:$I,"Mi-24"))</f>
        <v/>
      </c>
      <c r="C666">
        <f>IF($A666="","",COUNTIFS('Таблиця 1'!$B:$B,$A666,'Таблиця 1'!$I:$I,"Mi-8"))</f>
        <v/>
      </c>
      <c r="D666">
        <f>IF($A666="","",COUNTIFS('Таблиця 1'!$B:$B,$A666,'Таблиця 1'!$I:$I,"Mi-24"))</f>
        <v/>
      </c>
      <c r="E666">
        <f>IF($A666="","",SUMIFS('Таблиця 1'!$K:$K,'Таблиця 1'!$B:$B,$A666,'Таблиця 1'!$I:$I,"Mi-8",'Таблиця 1'!$J:$J,"ARS-8")+SUMIFS('Таблиця 1'!$K:$K,'Таблиця 1'!$B:$B,$A666,'Таблиця 1'!$I:$I,"Mi-24",'Таблиця 1'!$J:$J,"ARS-8"))</f>
        <v/>
      </c>
      <c r="F666">
        <f>IF($A666="","",SUMIFS('Таблиця 1'!$K:$K,'Таблиця 1'!$B:$B,$A666,'Таблиця 1'!$I:$I,"Mi-8",'Таблиця 1'!$J:$J,"С-8 ком")+SUMIFS('Таблиця 1'!$K:$K,'Таблиця 1'!$B:$B,$A666,'Таблиця 1'!$I:$I,"Mi-24",'Таблиця 1'!$J:$J,"С-8 ком"))</f>
        <v/>
      </c>
      <c r="G666">
        <f>IF($A666="","",SUMIFS('Таблиця 1'!$K:$K,'Таблиця 1'!$B:$B,$A666,'Таблиця 1'!$I:$I,"Mi-8",'Таблиця 1'!$J:$J,"PC-80")+SUMIFS('Таблиця 1'!$K:$K,'Таблиця 1'!$B:$B,$A666,'Таблиця 1'!$I:$I,"Mi-24",'Таблиця 1'!$J:$J,"PC-80"))</f>
        <v/>
      </c>
      <c r="H666">
        <f>IF($A666="","",SUMIFS('Таблиця 1'!$K:$K,'Таблиця 1'!$B:$B,$A666,'Таблиця 1'!$I:$I,"Mi-8",'Таблиця 1'!$J:$J,"UAR-80")+SUMIFS('Таблиця 1'!$K:$K,'Таблиця 1'!$B:$B,$A666,'Таблиця 1'!$I:$I,"Mi-24",'Таблиця 1'!$J:$J,"UAR-80"))</f>
        <v/>
      </c>
      <c r="I666">
        <f>IF($A666="","",SUMIFS('Таблиця 1'!$K:$K,'Таблиця 1'!$B:$B,$A666,'Таблиця 1'!$I:$I,"Mi-8",'Таблиця 1'!$J:$J,"C-13")+SUMIFS('Таблиця 1'!$K:$K,'Таблиця 1'!$B:$B,$A666,'Таблиця 1'!$I:$I,"Mi-24",'Таблиця 1'!$J:$J,"C-13"))</f>
        <v/>
      </c>
      <c r="J666">
        <f>IF($A666="","",SUMIFS('Таблиця 1'!$K:$K,'Таблиця 1'!$B:$B,$A666,'Таблиця 1'!$I:$I,"Mi-8",'Таблиця 1'!$J:$J,"Hydra-70")+SUMIFS('Таблиця 1'!$K:$K,'Таблиця 1'!$B:$B,$A666,'Таблиця 1'!$I:$I,"Mi-24",'Таблиця 1'!$J:$J,"Hydra-70"))</f>
        <v/>
      </c>
      <c r="K666">
        <f>IF($A666="","",SUMIFS('Таблиця 1'!$K:$K,'Таблиця 1'!$B:$B,$A666,'Таблиця 1'!$I:$I,"Mi-8",'Таблиця 1'!$J:$J,"Thales-70")+SUMIFS('Таблиця 1'!$K:$K,'Таблиця 1'!$B:$B,$A666,'Таблиця 1'!$I:$I,"Mi-24",'Таблиця 1'!$J:$J,"Thales-70"))</f>
        <v/>
      </c>
      <c r="L666">
        <f>IF($A666="","",SUMIFS('Таблиця 1'!$K:$K,'Таблиця 1'!$B:$B,$A666,'Таблиця 1'!$I:$I,"Mi-8",'Таблиця 1'!$J:$J,"Thales-FZ")+SUMIFS('Таблиця 1'!$K:$K,'Таблиця 1'!$B:$B,$A666,'Таблиця 1'!$I:$I,"Mi-24",'Таблиця 1'!$J:$J,"Thales-FZ"))</f>
        <v/>
      </c>
      <c r="M666">
        <f>IF($A666="","",SUMIFS('Таблиця 1'!$K:$K,'Таблиця 1'!$B:$B,$A666,'Таблиця 1'!$I:$I,"Mi-8",'Таблиця 1'!$J:$J,"МК-40")+SUMIFS('Таблиця 1'!$K:$K,'Таблиця 1'!$B:$B,$A666,'Таблиця 1'!$I:$I,"Mi-24",'Таблиця 1'!$J:$J,"МК-40"))</f>
        <v/>
      </c>
      <c r="N666">
        <f>IF($A666="","",SUMIFS('Таблиця 1'!$K:$K,'Таблиця 1'!$B:$B,$A666,'Таблиця 1'!$I:$I,"Mi-8",'Таблиця 1'!$J:$J,"Zuni")+SUMIFS('Таблиця 1'!$K:$K,'Таблиця 1'!$B:$B,$A666,'Таблиця 1'!$I:$I,"Mi-24",'Таблиця 1'!$J:$J,"Zuni"))</f>
        <v/>
      </c>
      <c r="O666">
        <f>IF($A666="","",COUNTIFS('Таблиця 1'!$B:$B,$A666,'Таблиця 1'!$I:$I,"Mi-8",'Таблиця 1'!$L:$L,"Уражено")+COUNTIFS('Таблиця 1'!$B:$B,$A666,'Таблиця 1'!$I:$I,"Mi-24",'Таблиця 1'!$L:$L,"Уражено"))</f>
        <v/>
      </c>
      <c r="P666">
        <f>IF($A666="","",COUNTIFS('Таблиця 1'!$B:$B,$A666,'Таблиця 1'!$I:$I,"Mi-8",'Таблиця 1'!$L:$L,"НЕ уражено")+COUNTIFS('Таблиця 1'!$B:$B,$A666,'Таблиця 1'!$I:$I,"Mi-24",'Таблиця 1'!$L:$L,"НЕ уражено"))</f>
        <v/>
      </c>
    </row>
    <row r="667">
      <c r="A667" s="273">
        <f>IF(A666="","",IF(A666+1&gt;MAX('Таблиця 1'!$B:$B),"",A666+1))</f>
        <v/>
      </c>
      <c r="B667">
        <f>IF($A667="","",COUNTIFS('Таблиця 1'!$B:$B,$A667,'Таблиця 1'!$I:$I,"Mi-8")+COUNTIFS('Таблиця 1'!$B:$B,$A667,'Таблиця 1'!$I:$I,"Mi-24"))</f>
        <v/>
      </c>
      <c r="C667">
        <f>IF($A667="","",COUNTIFS('Таблиця 1'!$B:$B,$A667,'Таблиця 1'!$I:$I,"Mi-8"))</f>
        <v/>
      </c>
      <c r="D667">
        <f>IF($A667="","",COUNTIFS('Таблиця 1'!$B:$B,$A667,'Таблиця 1'!$I:$I,"Mi-24"))</f>
        <v/>
      </c>
      <c r="E667">
        <f>IF($A667="","",SUMIFS('Таблиця 1'!$K:$K,'Таблиця 1'!$B:$B,$A667,'Таблиця 1'!$I:$I,"Mi-8",'Таблиця 1'!$J:$J,"ARS-8")+SUMIFS('Таблиця 1'!$K:$K,'Таблиця 1'!$B:$B,$A667,'Таблиця 1'!$I:$I,"Mi-24",'Таблиця 1'!$J:$J,"ARS-8"))</f>
        <v/>
      </c>
      <c r="F667">
        <f>IF($A667="","",SUMIFS('Таблиця 1'!$K:$K,'Таблиця 1'!$B:$B,$A667,'Таблиця 1'!$I:$I,"Mi-8",'Таблиця 1'!$J:$J,"С-8 ком")+SUMIFS('Таблиця 1'!$K:$K,'Таблиця 1'!$B:$B,$A667,'Таблиця 1'!$I:$I,"Mi-24",'Таблиця 1'!$J:$J,"С-8 ком"))</f>
        <v/>
      </c>
      <c r="G667">
        <f>IF($A667="","",SUMIFS('Таблиця 1'!$K:$K,'Таблиця 1'!$B:$B,$A667,'Таблиця 1'!$I:$I,"Mi-8",'Таблиця 1'!$J:$J,"PC-80")+SUMIFS('Таблиця 1'!$K:$K,'Таблиця 1'!$B:$B,$A667,'Таблиця 1'!$I:$I,"Mi-24",'Таблиця 1'!$J:$J,"PC-80"))</f>
        <v/>
      </c>
      <c r="H667">
        <f>IF($A667="","",SUMIFS('Таблиця 1'!$K:$K,'Таблиця 1'!$B:$B,$A667,'Таблиця 1'!$I:$I,"Mi-8",'Таблиця 1'!$J:$J,"UAR-80")+SUMIFS('Таблиця 1'!$K:$K,'Таблиця 1'!$B:$B,$A667,'Таблиця 1'!$I:$I,"Mi-24",'Таблиця 1'!$J:$J,"UAR-80"))</f>
        <v/>
      </c>
      <c r="I667">
        <f>IF($A667="","",SUMIFS('Таблиця 1'!$K:$K,'Таблиця 1'!$B:$B,$A667,'Таблиця 1'!$I:$I,"Mi-8",'Таблиця 1'!$J:$J,"C-13")+SUMIFS('Таблиця 1'!$K:$K,'Таблиця 1'!$B:$B,$A667,'Таблиця 1'!$I:$I,"Mi-24",'Таблиця 1'!$J:$J,"C-13"))</f>
        <v/>
      </c>
      <c r="J667">
        <f>IF($A667="","",SUMIFS('Таблиця 1'!$K:$K,'Таблиця 1'!$B:$B,$A667,'Таблиця 1'!$I:$I,"Mi-8",'Таблиця 1'!$J:$J,"Hydra-70")+SUMIFS('Таблиця 1'!$K:$K,'Таблиця 1'!$B:$B,$A667,'Таблиця 1'!$I:$I,"Mi-24",'Таблиця 1'!$J:$J,"Hydra-70"))</f>
        <v/>
      </c>
      <c r="K667">
        <f>IF($A667="","",SUMIFS('Таблиця 1'!$K:$K,'Таблиця 1'!$B:$B,$A667,'Таблиця 1'!$I:$I,"Mi-8",'Таблиця 1'!$J:$J,"Thales-70")+SUMIFS('Таблиця 1'!$K:$K,'Таблиця 1'!$B:$B,$A667,'Таблиця 1'!$I:$I,"Mi-24",'Таблиця 1'!$J:$J,"Thales-70"))</f>
        <v/>
      </c>
      <c r="L667">
        <f>IF($A667="","",SUMIFS('Таблиця 1'!$K:$K,'Таблиця 1'!$B:$B,$A667,'Таблиця 1'!$I:$I,"Mi-8",'Таблиця 1'!$J:$J,"Thales-FZ")+SUMIFS('Таблиця 1'!$K:$K,'Таблиця 1'!$B:$B,$A667,'Таблиця 1'!$I:$I,"Mi-24",'Таблиця 1'!$J:$J,"Thales-FZ"))</f>
        <v/>
      </c>
      <c r="M667">
        <f>IF($A667="","",SUMIFS('Таблиця 1'!$K:$K,'Таблиця 1'!$B:$B,$A667,'Таблиця 1'!$I:$I,"Mi-8",'Таблиця 1'!$J:$J,"МК-40")+SUMIFS('Таблиця 1'!$K:$K,'Таблиця 1'!$B:$B,$A667,'Таблиця 1'!$I:$I,"Mi-24",'Таблиця 1'!$J:$J,"МК-40"))</f>
        <v/>
      </c>
      <c r="N667">
        <f>IF($A667="","",SUMIFS('Таблиця 1'!$K:$K,'Таблиця 1'!$B:$B,$A667,'Таблиця 1'!$I:$I,"Mi-8",'Таблиця 1'!$J:$J,"Zuni")+SUMIFS('Таблиця 1'!$K:$K,'Таблиця 1'!$B:$B,$A667,'Таблиця 1'!$I:$I,"Mi-24",'Таблиця 1'!$J:$J,"Zuni"))</f>
        <v/>
      </c>
      <c r="O667">
        <f>IF($A667="","",COUNTIFS('Таблиця 1'!$B:$B,$A667,'Таблиця 1'!$I:$I,"Mi-8",'Таблиця 1'!$L:$L,"Уражено")+COUNTIFS('Таблиця 1'!$B:$B,$A667,'Таблиця 1'!$I:$I,"Mi-24",'Таблиця 1'!$L:$L,"Уражено"))</f>
        <v/>
      </c>
      <c r="P667">
        <f>IF($A667="","",COUNTIFS('Таблиця 1'!$B:$B,$A667,'Таблиця 1'!$I:$I,"Mi-8",'Таблиця 1'!$L:$L,"НЕ уражено")+COUNTIFS('Таблиця 1'!$B:$B,$A667,'Таблиця 1'!$I:$I,"Mi-24",'Таблиця 1'!$L:$L,"НЕ уражено"))</f>
        <v/>
      </c>
    </row>
    <row r="668">
      <c r="A668" s="273">
        <f>IF(A667="","",IF(A667+1&gt;MAX('Таблиця 1'!$B:$B),"",A667+1))</f>
        <v/>
      </c>
      <c r="B668">
        <f>IF($A668="","",COUNTIFS('Таблиця 1'!$B:$B,$A668,'Таблиця 1'!$I:$I,"Mi-8")+COUNTIFS('Таблиця 1'!$B:$B,$A668,'Таблиця 1'!$I:$I,"Mi-24"))</f>
        <v/>
      </c>
      <c r="C668">
        <f>IF($A668="","",COUNTIFS('Таблиця 1'!$B:$B,$A668,'Таблиця 1'!$I:$I,"Mi-8"))</f>
        <v/>
      </c>
      <c r="D668">
        <f>IF($A668="","",COUNTIFS('Таблиця 1'!$B:$B,$A668,'Таблиця 1'!$I:$I,"Mi-24"))</f>
        <v/>
      </c>
      <c r="E668">
        <f>IF($A668="","",SUMIFS('Таблиця 1'!$K:$K,'Таблиця 1'!$B:$B,$A668,'Таблиця 1'!$I:$I,"Mi-8",'Таблиця 1'!$J:$J,"ARS-8")+SUMIFS('Таблиця 1'!$K:$K,'Таблиця 1'!$B:$B,$A668,'Таблиця 1'!$I:$I,"Mi-24",'Таблиця 1'!$J:$J,"ARS-8"))</f>
        <v/>
      </c>
      <c r="F668">
        <f>IF($A668="","",SUMIFS('Таблиця 1'!$K:$K,'Таблиця 1'!$B:$B,$A668,'Таблиця 1'!$I:$I,"Mi-8",'Таблиця 1'!$J:$J,"С-8 ком")+SUMIFS('Таблиця 1'!$K:$K,'Таблиця 1'!$B:$B,$A668,'Таблиця 1'!$I:$I,"Mi-24",'Таблиця 1'!$J:$J,"С-8 ком"))</f>
        <v/>
      </c>
      <c r="G668">
        <f>IF($A668="","",SUMIFS('Таблиця 1'!$K:$K,'Таблиця 1'!$B:$B,$A668,'Таблиця 1'!$I:$I,"Mi-8",'Таблиця 1'!$J:$J,"PC-80")+SUMIFS('Таблиця 1'!$K:$K,'Таблиця 1'!$B:$B,$A668,'Таблиця 1'!$I:$I,"Mi-24",'Таблиця 1'!$J:$J,"PC-80"))</f>
        <v/>
      </c>
      <c r="H668">
        <f>IF($A668="","",SUMIFS('Таблиця 1'!$K:$K,'Таблиця 1'!$B:$B,$A668,'Таблиця 1'!$I:$I,"Mi-8",'Таблиця 1'!$J:$J,"UAR-80")+SUMIFS('Таблиця 1'!$K:$K,'Таблиця 1'!$B:$B,$A668,'Таблиця 1'!$I:$I,"Mi-24",'Таблиця 1'!$J:$J,"UAR-80"))</f>
        <v/>
      </c>
      <c r="I668">
        <f>IF($A668="","",SUMIFS('Таблиця 1'!$K:$K,'Таблиця 1'!$B:$B,$A668,'Таблиця 1'!$I:$I,"Mi-8",'Таблиця 1'!$J:$J,"C-13")+SUMIFS('Таблиця 1'!$K:$K,'Таблиця 1'!$B:$B,$A668,'Таблиця 1'!$I:$I,"Mi-24",'Таблиця 1'!$J:$J,"C-13"))</f>
        <v/>
      </c>
      <c r="J668">
        <f>IF($A668="","",SUMIFS('Таблиця 1'!$K:$K,'Таблиця 1'!$B:$B,$A668,'Таблиця 1'!$I:$I,"Mi-8",'Таблиця 1'!$J:$J,"Hydra-70")+SUMIFS('Таблиця 1'!$K:$K,'Таблиця 1'!$B:$B,$A668,'Таблиця 1'!$I:$I,"Mi-24",'Таблиця 1'!$J:$J,"Hydra-70"))</f>
        <v/>
      </c>
      <c r="K668">
        <f>IF($A668="","",SUMIFS('Таблиця 1'!$K:$K,'Таблиця 1'!$B:$B,$A668,'Таблиця 1'!$I:$I,"Mi-8",'Таблиця 1'!$J:$J,"Thales-70")+SUMIFS('Таблиця 1'!$K:$K,'Таблиця 1'!$B:$B,$A668,'Таблиця 1'!$I:$I,"Mi-24",'Таблиця 1'!$J:$J,"Thales-70"))</f>
        <v/>
      </c>
      <c r="L668">
        <f>IF($A668="","",SUMIFS('Таблиця 1'!$K:$K,'Таблиця 1'!$B:$B,$A668,'Таблиця 1'!$I:$I,"Mi-8",'Таблиця 1'!$J:$J,"Thales-FZ")+SUMIFS('Таблиця 1'!$K:$K,'Таблиця 1'!$B:$B,$A668,'Таблиця 1'!$I:$I,"Mi-24",'Таблиця 1'!$J:$J,"Thales-FZ"))</f>
        <v/>
      </c>
      <c r="M668">
        <f>IF($A668="","",SUMIFS('Таблиця 1'!$K:$K,'Таблиця 1'!$B:$B,$A668,'Таблиця 1'!$I:$I,"Mi-8",'Таблиця 1'!$J:$J,"МК-40")+SUMIFS('Таблиця 1'!$K:$K,'Таблиця 1'!$B:$B,$A668,'Таблиця 1'!$I:$I,"Mi-24",'Таблиця 1'!$J:$J,"МК-40"))</f>
        <v/>
      </c>
      <c r="N668">
        <f>IF($A668="","",SUMIFS('Таблиця 1'!$K:$K,'Таблиця 1'!$B:$B,$A668,'Таблиця 1'!$I:$I,"Mi-8",'Таблиця 1'!$J:$J,"Zuni")+SUMIFS('Таблиця 1'!$K:$K,'Таблиця 1'!$B:$B,$A668,'Таблиця 1'!$I:$I,"Mi-24",'Таблиця 1'!$J:$J,"Zuni"))</f>
        <v/>
      </c>
      <c r="O668">
        <f>IF($A668="","",COUNTIFS('Таблиця 1'!$B:$B,$A668,'Таблиця 1'!$I:$I,"Mi-8",'Таблиця 1'!$L:$L,"Уражено")+COUNTIFS('Таблиця 1'!$B:$B,$A668,'Таблиця 1'!$I:$I,"Mi-24",'Таблиця 1'!$L:$L,"Уражено"))</f>
        <v/>
      </c>
      <c r="P668">
        <f>IF($A668="","",COUNTIFS('Таблиця 1'!$B:$B,$A668,'Таблиця 1'!$I:$I,"Mi-8",'Таблиця 1'!$L:$L,"НЕ уражено")+COUNTIFS('Таблиця 1'!$B:$B,$A668,'Таблиця 1'!$I:$I,"Mi-24",'Таблиця 1'!$L:$L,"НЕ уражено"))</f>
        <v/>
      </c>
    </row>
    <row r="669">
      <c r="A669" s="273">
        <f>IF(A668="","",IF(A668+1&gt;MAX('Таблиця 1'!$B:$B),"",A668+1))</f>
        <v/>
      </c>
      <c r="B669">
        <f>IF($A669="","",COUNTIFS('Таблиця 1'!$B:$B,$A669,'Таблиця 1'!$I:$I,"Mi-8")+COUNTIFS('Таблиця 1'!$B:$B,$A669,'Таблиця 1'!$I:$I,"Mi-24"))</f>
        <v/>
      </c>
      <c r="C669">
        <f>IF($A669="","",COUNTIFS('Таблиця 1'!$B:$B,$A669,'Таблиця 1'!$I:$I,"Mi-8"))</f>
        <v/>
      </c>
      <c r="D669">
        <f>IF($A669="","",COUNTIFS('Таблиця 1'!$B:$B,$A669,'Таблиця 1'!$I:$I,"Mi-24"))</f>
        <v/>
      </c>
      <c r="E669">
        <f>IF($A669="","",SUMIFS('Таблиця 1'!$K:$K,'Таблиця 1'!$B:$B,$A669,'Таблиця 1'!$I:$I,"Mi-8",'Таблиця 1'!$J:$J,"ARS-8")+SUMIFS('Таблиця 1'!$K:$K,'Таблиця 1'!$B:$B,$A669,'Таблиця 1'!$I:$I,"Mi-24",'Таблиця 1'!$J:$J,"ARS-8"))</f>
        <v/>
      </c>
      <c r="F669">
        <f>IF($A669="","",SUMIFS('Таблиця 1'!$K:$K,'Таблиця 1'!$B:$B,$A669,'Таблиця 1'!$I:$I,"Mi-8",'Таблиця 1'!$J:$J,"С-8 ком")+SUMIFS('Таблиця 1'!$K:$K,'Таблиця 1'!$B:$B,$A669,'Таблиця 1'!$I:$I,"Mi-24",'Таблиця 1'!$J:$J,"С-8 ком"))</f>
        <v/>
      </c>
      <c r="G669">
        <f>IF($A669="","",SUMIFS('Таблиця 1'!$K:$K,'Таблиця 1'!$B:$B,$A669,'Таблиця 1'!$I:$I,"Mi-8",'Таблиця 1'!$J:$J,"PC-80")+SUMIFS('Таблиця 1'!$K:$K,'Таблиця 1'!$B:$B,$A669,'Таблиця 1'!$I:$I,"Mi-24",'Таблиця 1'!$J:$J,"PC-80"))</f>
        <v/>
      </c>
      <c r="H669">
        <f>IF($A669="","",SUMIFS('Таблиця 1'!$K:$K,'Таблиця 1'!$B:$B,$A669,'Таблиця 1'!$I:$I,"Mi-8",'Таблиця 1'!$J:$J,"UAR-80")+SUMIFS('Таблиця 1'!$K:$K,'Таблиця 1'!$B:$B,$A669,'Таблиця 1'!$I:$I,"Mi-24",'Таблиця 1'!$J:$J,"UAR-80"))</f>
        <v/>
      </c>
      <c r="I669">
        <f>IF($A669="","",SUMIFS('Таблиця 1'!$K:$K,'Таблиця 1'!$B:$B,$A669,'Таблиця 1'!$I:$I,"Mi-8",'Таблиця 1'!$J:$J,"C-13")+SUMIFS('Таблиця 1'!$K:$K,'Таблиця 1'!$B:$B,$A669,'Таблиця 1'!$I:$I,"Mi-24",'Таблиця 1'!$J:$J,"C-13"))</f>
        <v/>
      </c>
      <c r="J669">
        <f>IF($A669="","",SUMIFS('Таблиця 1'!$K:$K,'Таблиця 1'!$B:$B,$A669,'Таблиця 1'!$I:$I,"Mi-8",'Таблиця 1'!$J:$J,"Hydra-70")+SUMIFS('Таблиця 1'!$K:$K,'Таблиця 1'!$B:$B,$A669,'Таблиця 1'!$I:$I,"Mi-24",'Таблиця 1'!$J:$J,"Hydra-70"))</f>
        <v/>
      </c>
      <c r="K669">
        <f>IF($A669="","",SUMIFS('Таблиця 1'!$K:$K,'Таблиця 1'!$B:$B,$A669,'Таблиця 1'!$I:$I,"Mi-8",'Таблиця 1'!$J:$J,"Thales-70")+SUMIFS('Таблиця 1'!$K:$K,'Таблиця 1'!$B:$B,$A669,'Таблиця 1'!$I:$I,"Mi-24",'Таблиця 1'!$J:$J,"Thales-70"))</f>
        <v/>
      </c>
      <c r="L669">
        <f>IF($A669="","",SUMIFS('Таблиця 1'!$K:$K,'Таблиця 1'!$B:$B,$A669,'Таблиця 1'!$I:$I,"Mi-8",'Таблиця 1'!$J:$J,"Thales-FZ")+SUMIFS('Таблиця 1'!$K:$K,'Таблиця 1'!$B:$B,$A669,'Таблиця 1'!$I:$I,"Mi-24",'Таблиця 1'!$J:$J,"Thales-FZ"))</f>
        <v/>
      </c>
      <c r="M669">
        <f>IF($A669="","",SUMIFS('Таблиця 1'!$K:$K,'Таблиця 1'!$B:$B,$A669,'Таблиця 1'!$I:$I,"Mi-8",'Таблиця 1'!$J:$J,"МК-40")+SUMIFS('Таблиця 1'!$K:$K,'Таблиця 1'!$B:$B,$A669,'Таблиця 1'!$I:$I,"Mi-24",'Таблиця 1'!$J:$J,"МК-40"))</f>
        <v/>
      </c>
      <c r="N669">
        <f>IF($A669="","",SUMIFS('Таблиця 1'!$K:$K,'Таблиця 1'!$B:$B,$A669,'Таблиця 1'!$I:$I,"Mi-8",'Таблиця 1'!$J:$J,"Zuni")+SUMIFS('Таблиця 1'!$K:$K,'Таблиця 1'!$B:$B,$A669,'Таблиця 1'!$I:$I,"Mi-24",'Таблиця 1'!$J:$J,"Zuni"))</f>
        <v/>
      </c>
      <c r="O669">
        <f>IF($A669="","",COUNTIFS('Таблиця 1'!$B:$B,$A669,'Таблиця 1'!$I:$I,"Mi-8",'Таблиця 1'!$L:$L,"Уражено")+COUNTIFS('Таблиця 1'!$B:$B,$A669,'Таблиця 1'!$I:$I,"Mi-24",'Таблиця 1'!$L:$L,"Уражено"))</f>
        <v/>
      </c>
      <c r="P669">
        <f>IF($A669="","",COUNTIFS('Таблиця 1'!$B:$B,$A669,'Таблиця 1'!$I:$I,"Mi-8",'Таблиця 1'!$L:$L,"НЕ уражено")+COUNTIFS('Таблиця 1'!$B:$B,$A669,'Таблиця 1'!$I:$I,"Mi-24",'Таблиця 1'!$L:$L,"НЕ уражено"))</f>
        <v/>
      </c>
    </row>
    <row r="670">
      <c r="A670" s="273">
        <f>IF(A669="","",IF(A669+1&gt;MAX('Таблиця 1'!$B:$B),"",A669+1))</f>
        <v/>
      </c>
      <c r="B670">
        <f>IF($A670="","",COUNTIFS('Таблиця 1'!$B:$B,$A670,'Таблиця 1'!$I:$I,"Mi-8")+COUNTIFS('Таблиця 1'!$B:$B,$A670,'Таблиця 1'!$I:$I,"Mi-24"))</f>
        <v/>
      </c>
      <c r="C670">
        <f>IF($A670="","",COUNTIFS('Таблиця 1'!$B:$B,$A670,'Таблиця 1'!$I:$I,"Mi-8"))</f>
        <v/>
      </c>
      <c r="D670">
        <f>IF($A670="","",COUNTIFS('Таблиця 1'!$B:$B,$A670,'Таблиця 1'!$I:$I,"Mi-24"))</f>
        <v/>
      </c>
      <c r="E670">
        <f>IF($A670="","",SUMIFS('Таблиця 1'!$K:$K,'Таблиця 1'!$B:$B,$A670,'Таблиця 1'!$I:$I,"Mi-8",'Таблиця 1'!$J:$J,"ARS-8")+SUMIFS('Таблиця 1'!$K:$K,'Таблиця 1'!$B:$B,$A670,'Таблиця 1'!$I:$I,"Mi-24",'Таблиця 1'!$J:$J,"ARS-8"))</f>
        <v/>
      </c>
      <c r="F670">
        <f>IF($A670="","",SUMIFS('Таблиця 1'!$K:$K,'Таблиця 1'!$B:$B,$A670,'Таблиця 1'!$I:$I,"Mi-8",'Таблиця 1'!$J:$J,"С-8 ком")+SUMIFS('Таблиця 1'!$K:$K,'Таблиця 1'!$B:$B,$A670,'Таблиця 1'!$I:$I,"Mi-24",'Таблиця 1'!$J:$J,"С-8 ком"))</f>
        <v/>
      </c>
      <c r="G670">
        <f>IF($A670="","",SUMIFS('Таблиця 1'!$K:$K,'Таблиця 1'!$B:$B,$A670,'Таблиця 1'!$I:$I,"Mi-8",'Таблиця 1'!$J:$J,"PC-80")+SUMIFS('Таблиця 1'!$K:$K,'Таблиця 1'!$B:$B,$A670,'Таблиця 1'!$I:$I,"Mi-24",'Таблиця 1'!$J:$J,"PC-80"))</f>
        <v/>
      </c>
      <c r="H670">
        <f>IF($A670="","",SUMIFS('Таблиця 1'!$K:$K,'Таблиця 1'!$B:$B,$A670,'Таблиця 1'!$I:$I,"Mi-8",'Таблиця 1'!$J:$J,"UAR-80")+SUMIFS('Таблиця 1'!$K:$K,'Таблиця 1'!$B:$B,$A670,'Таблиця 1'!$I:$I,"Mi-24",'Таблиця 1'!$J:$J,"UAR-80"))</f>
        <v/>
      </c>
      <c r="I670">
        <f>IF($A670="","",SUMIFS('Таблиця 1'!$K:$K,'Таблиця 1'!$B:$B,$A670,'Таблиця 1'!$I:$I,"Mi-8",'Таблиця 1'!$J:$J,"C-13")+SUMIFS('Таблиця 1'!$K:$K,'Таблиця 1'!$B:$B,$A670,'Таблиця 1'!$I:$I,"Mi-24",'Таблиця 1'!$J:$J,"C-13"))</f>
        <v/>
      </c>
      <c r="J670">
        <f>IF($A670="","",SUMIFS('Таблиця 1'!$K:$K,'Таблиця 1'!$B:$B,$A670,'Таблиця 1'!$I:$I,"Mi-8",'Таблиця 1'!$J:$J,"Hydra-70")+SUMIFS('Таблиця 1'!$K:$K,'Таблиця 1'!$B:$B,$A670,'Таблиця 1'!$I:$I,"Mi-24",'Таблиця 1'!$J:$J,"Hydra-70"))</f>
        <v/>
      </c>
      <c r="K670">
        <f>IF($A670="","",SUMIFS('Таблиця 1'!$K:$K,'Таблиця 1'!$B:$B,$A670,'Таблиця 1'!$I:$I,"Mi-8",'Таблиця 1'!$J:$J,"Thales-70")+SUMIFS('Таблиця 1'!$K:$K,'Таблиця 1'!$B:$B,$A670,'Таблиця 1'!$I:$I,"Mi-24",'Таблиця 1'!$J:$J,"Thales-70"))</f>
        <v/>
      </c>
      <c r="L670">
        <f>IF($A670="","",SUMIFS('Таблиця 1'!$K:$K,'Таблиця 1'!$B:$B,$A670,'Таблиця 1'!$I:$I,"Mi-8",'Таблиця 1'!$J:$J,"Thales-FZ")+SUMIFS('Таблиця 1'!$K:$K,'Таблиця 1'!$B:$B,$A670,'Таблиця 1'!$I:$I,"Mi-24",'Таблиця 1'!$J:$J,"Thales-FZ"))</f>
        <v/>
      </c>
      <c r="M670">
        <f>IF($A670="","",SUMIFS('Таблиця 1'!$K:$K,'Таблиця 1'!$B:$B,$A670,'Таблиця 1'!$I:$I,"Mi-8",'Таблиця 1'!$J:$J,"МК-40")+SUMIFS('Таблиця 1'!$K:$K,'Таблиця 1'!$B:$B,$A670,'Таблиця 1'!$I:$I,"Mi-24",'Таблиця 1'!$J:$J,"МК-40"))</f>
        <v/>
      </c>
      <c r="N670">
        <f>IF($A670="","",SUMIFS('Таблиця 1'!$K:$K,'Таблиця 1'!$B:$B,$A670,'Таблиця 1'!$I:$I,"Mi-8",'Таблиця 1'!$J:$J,"Zuni")+SUMIFS('Таблиця 1'!$K:$K,'Таблиця 1'!$B:$B,$A670,'Таблиця 1'!$I:$I,"Mi-24",'Таблиця 1'!$J:$J,"Zuni"))</f>
        <v/>
      </c>
      <c r="O670">
        <f>IF($A670="","",COUNTIFS('Таблиця 1'!$B:$B,$A670,'Таблиця 1'!$I:$I,"Mi-8",'Таблиця 1'!$L:$L,"Уражено")+COUNTIFS('Таблиця 1'!$B:$B,$A670,'Таблиця 1'!$I:$I,"Mi-24",'Таблиця 1'!$L:$L,"Уражено"))</f>
        <v/>
      </c>
      <c r="P670">
        <f>IF($A670="","",COUNTIFS('Таблиця 1'!$B:$B,$A670,'Таблиця 1'!$I:$I,"Mi-8",'Таблиця 1'!$L:$L,"НЕ уражено")+COUNTIFS('Таблиця 1'!$B:$B,$A670,'Таблиця 1'!$I:$I,"Mi-24",'Таблиця 1'!$L:$L,"НЕ уражено"))</f>
        <v/>
      </c>
    </row>
    <row r="671">
      <c r="A671" s="273">
        <f>IF(A670="","",IF(A670+1&gt;MAX('Таблиця 1'!$B:$B),"",A670+1))</f>
        <v/>
      </c>
      <c r="B671">
        <f>IF($A671="","",COUNTIFS('Таблиця 1'!$B:$B,$A671,'Таблиця 1'!$I:$I,"Mi-8")+COUNTIFS('Таблиця 1'!$B:$B,$A671,'Таблиця 1'!$I:$I,"Mi-24"))</f>
        <v/>
      </c>
      <c r="C671">
        <f>IF($A671="","",COUNTIFS('Таблиця 1'!$B:$B,$A671,'Таблиця 1'!$I:$I,"Mi-8"))</f>
        <v/>
      </c>
      <c r="D671">
        <f>IF($A671="","",COUNTIFS('Таблиця 1'!$B:$B,$A671,'Таблиця 1'!$I:$I,"Mi-24"))</f>
        <v/>
      </c>
      <c r="E671">
        <f>IF($A671="","",SUMIFS('Таблиця 1'!$K:$K,'Таблиця 1'!$B:$B,$A671,'Таблиця 1'!$I:$I,"Mi-8",'Таблиця 1'!$J:$J,"ARS-8")+SUMIFS('Таблиця 1'!$K:$K,'Таблиця 1'!$B:$B,$A671,'Таблиця 1'!$I:$I,"Mi-24",'Таблиця 1'!$J:$J,"ARS-8"))</f>
        <v/>
      </c>
      <c r="F671">
        <f>IF($A671="","",SUMIFS('Таблиця 1'!$K:$K,'Таблиця 1'!$B:$B,$A671,'Таблиця 1'!$I:$I,"Mi-8",'Таблиця 1'!$J:$J,"С-8 ком")+SUMIFS('Таблиця 1'!$K:$K,'Таблиця 1'!$B:$B,$A671,'Таблиця 1'!$I:$I,"Mi-24",'Таблиця 1'!$J:$J,"С-8 ком"))</f>
        <v/>
      </c>
      <c r="G671">
        <f>IF($A671="","",SUMIFS('Таблиця 1'!$K:$K,'Таблиця 1'!$B:$B,$A671,'Таблиця 1'!$I:$I,"Mi-8",'Таблиця 1'!$J:$J,"PC-80")+SUMIFS('Таблиця 1'!$K:$K,'Таблиця 1'!$B:$B,$A671,'Таблиця 1'!$I:$I,"Mi-24",'Таблиця 1'!$J:$J,"PC-80"))</f>
        <v/>
      </c>
      <c r="H671">
        <f>IF($A671="","",SUMIFS('Таблиця 1'!$K:$K,'Таблиця 1'!$B:$B,$A671,'Таблиця 1'!$I:$I,"Mi-8",'Таблиця 1'!$J:$J,"UAR-80")+SUMIFS('Таблиця 1'!$K:$K,'Таблиця 1'!$B:$B,$A671,'Таблиця 1'!$I:$I,"Mi-24",'Таблиця 1'!$J:$J,"UAR-80"))</f>
        <v/>
      </c>
      <c r="I671">
        <f>IF($A671="","",SUMIFS('Таблиця 1'!$K:$K,'Таблиця 1'!$B:$B,$A671,'Таблиця 1'!$I:$I,"Mi-8",'Таблиця 1'!$J:$J,"C-13")+SUMIFS('Таблиця 1'!$K:$K,'Таблиця 1'!$B:$B,$A671,'Таблиця 1'!$I:$I,"Mi-24",'Таблиця 1'!$J:$J,"C-13"))</f>
        <v/>
      </c>
      <c r="J671">
        <f>IF($A671="","",SUMIFS('Таблиця 1'!$K:$K,'Таблиця 1'!$B:$B,$A671,'Таблиця 1'!$I:$I,"Mi-8",'Таблиця 1'!$J:$J,"Hydra-70")+SUMIFS('Таблиця 1'!$K:$K,'Таблиця 1'!$B:$B,$A671,'Таблиця 1'!$I:$I,"Mi-24",'Таблиця 1'!$J:$J,"Hydra-70"))</f>
        <v/>
      </c>
      <c r="K671">
        <f>IF($A671="","",SUMIFS('Таблиця 1'!$K:$K,'Таблиця 1'!$B:$B,$A671,'Таблиця 1'!$I:$I,"Mi-8",'Таблиця 1'!$J:$J,"Thales-70")+SUMIFS('Таблиця 1'!$K:$K,'Таблиця 1'!$B:$B,$A671,'Таблиця 1'!$I:$I,"Mi-24",'Таблиця 1'!$J:$J,"Thales-70"))</f>
        <v/>
      </c>
      <c r="L671">
        <f>IF($A671="","",SUMIFS('Таблиця 1'!$K:$K,'Таблиця 1'!$B:$B,$A671,'Таблиця 1'!$I:$I,"Mi-8",'Таблиця 1'!$J:$J,"Thales-FZ")+SUMIFS('Таблиця 1'!$K:$K,'Таблиця 1'!$B:$B,$A671,'Таблиця 1'!$I:$I,"Mi-24",'Таблиця 1'!$J:$J,"Thales-FZ"))</f>
        <v/>
      </c>
      <c r="M671">
        <f>IF($A671="","",SUMIFS('Таблиця 1'!$K:$K,'Таблиця 1'!$B:$B,$A671,'Таблиця 1'!$I:$I,"Mi-8",'Таблиця 1'!$J:$J,"МК-40")+SUMIFS('Таблиця 1'!$K:$K,'Таблиця 1'!$B:$B,$A671,'Таблиця 1'!$I:$I,"Mi-24",'Таблиця 1'!$J:$J,"МК-40"))</f>
        <v/>
      </c>
      <c r="N671">
        <f>IF($A671="","",SUMIFS('Таблиця 1'!$K:$K,'Таблиця 1'!$B:$B,$A671,'Таблиця 1'!$I:$I,"Mi-8",'Таблиця 1'!$J:$J,"Zuni")+SUMIFS('Таблиця 1'!$K:$K,'Таблиця 1'!$B:$B,$A671,'Таблиця 1'!$I:$I,"Mi-24",'Таблиця 1'!$J:$J,"Zuni"))</f>
        <v/>
      </c>
      <c r="O671">
        <f>IF($A671="","",COUNTIFS('Таблиця 1'!$B:$B,$A671,'Таблиця 1'!$I:$I,"Mi-8",'Таблиця 1'!$L:$L,"Уражено")+COUNTIFS('Таблиця 1'!$B:$B,$A671,'Таблиця 1'!$I:$I,"Mi-24",'Таблиця 1'!$L:$L,"Уражено"))</f>
        <v/>
      </c>
      <c r="P671">
        <f>IF($A671="","",COUNTIFS('Таблиця 1'!$B:$B,$A671,'Таблиця 1'!$I:$I,"Mi-8",'Таблиця 1'!$L:$L,"НЕ уражено")+COUNTIFS('Таблиця 1'!$B:$B,$A671,'Таблиця 1'!$I:$I,"Mi-24",'Таблиця 1'!$L:$L,"НЕ уражено"))</f>
        <v/>
      </c>
    </row>
    <row r="672">
      <c r="A672" s="273">
        <f>IF(A671="","",IF(A671+1&gt;MAX('Таблиця 1'!$B:$B),"",A671+1))</f>
        <v/>
      </c>
      <c r="B672">
        <f>IF($A672="","",COUNTIFS('Таблиця 1'!$B:$B,$A672,'Таблиця 1'!$I:$I,"Mi-8")+COUNTIFS('Таблиця 1'!$B:$B,$A672,'Таблиця 1'!$I:$I,"Mi-24"))</f>
        <v/>
      </c>
      <c r="C672">
        <f>IF($A672="","",COUNTIFS('Таблиця 1'!$B:$B,$A672,'Таблиця 1'!$I:$I,"Mi-8"))</f>
        <v/>
      </c>
      <c r="D672">
        <f>IF($A672="","",COUNTIFS('Таблиця 1'!$B:$B,$A672,'Таблиця 1'!$I:$I,"Mi-24"))</f>
        <v/>
      </c>
      <c r="E672">
        <f>IF($A672="","",SUMIFS('Таблиця 1'!$K:$K,'Таблиця 1'!$B:$B,$A672,'Таблиця 1'!$I:$I,"Mi-8",'Таблиця 1'!$J:$J,"ARS-8")+SUMIFS('Таблиця 1'!$K:$K,'Таблиця 1'!$B:$B,$A672,'Таблиця 1'!$I:$I,"Mi-24",'Таблиця 1'!$J:$J,"ARS-8"))</f>
        <v/>
      </c>
      <c r="F672">
        <f>IF($A672="","",SUMIFS('Таблиця 1'!$K:$K,'Таблиця 1'!$B:$B,$A672,'Таблиця 1'!$I:$I,"Mi-8",'Таблиця 1'!$J:$J,"С-8 ком")+SUMIFS('Таблиця 1'!$K:$K,'Таблиця 1'!$B:$B,$A672,'Таблиця 1'!$I:$I,"Mi-24",'Таблиця 1'!$J:$J,"С-8 ком"))</f>
        <v/>
      </c>
      <c r="G672">
        <f>IF($A672="","",SUMIFS('Таблиця 1'!$K:$K,'Таблиця 1'!$B:$B,$A672,'Таблиця 1'!$I:$I,"Mi-8",'Таблиця 1'!$J:$J,"PC-80")+SUMIFS('Таблиця 1'!$K:$K,'Таблиця 1'!$B:$B,$A672,'Таблиця 1'!$I:$I,"Mi-24",'Таблиця 1'!$J:$J,"PC-80"))</f>
        <v/>
      </c>
      <c r="H672">
        <f>IF($A672="","",SUMIFS('Таблиця 1'!$K:$K,'Таблиця 1'!$B:$B,$A672,'Таблиця 1'!$I:$I,"Mi-8",'Таблиця 1'!$J:$J,"UAR-80")+SUMIFS('Таблиця 1'!$K:$K,'Таблиця 1'!$B:$B,$A672,'Таблиця 1'!$I:$I,"Mi-24",'Таблиця 1'!$J:$J,"UAR-80"))</f>
        <v/>
      </c>
      <c r="I672">
        <f>IF($A672="","",SUMIFS('Таблиця 1'!$K:$K,'Таблиця 1'!$B:$B,$A672,'Таблиця 1'!$I:$I,"Mi-8",'Таблиця 1'!$J:$J,"C-13")+SUMIFS('Таблиця 1'!$K:$K,'Таблиця 1'!$B:$B,$A672,'Таблиця 1'!$I:$I,"Mi-24",'Таблиця 1'!$J:$J,"C-13"))</f>
        <v/>
      </c>
      <c r="J672">
        <f>IF($A672="","",SUMIFS('Таблиця 1'!$K:$K,'Таблиця 1'!$B:$B,$A672,'Таблиця 1'!$I:$I,"Mi-8",'Таблиця 1'!$J:$J,"Hydra-70")+SUMIFS('Таблиця 1'!$K:$K,'Таблиця 1'!$B:$B,$A672,'Таблиця 1'!$I:$I,"Mi-24",'Таблиця 1'!$J:$J,"Hydra-70"))</f>
        <v/>
      </c>
      <c r="K672">
        <f>IF($A672="","",SUMIFS('Таблиця 1'!$K:$K,'Таблиця 1'!$B:$B,$A672,'Таблиця 1'!$I:$I,"Mi-8",'Таблиця 1'!$J:$J,"Thales-70")+SUMIFS('Таблиця 1'!$K:$K,'Таблиця 1'!$B:$B,$A672,'Таблиця 1'!$I:$I,"Mi-24",'Таблиця 1'!$J:$J,"Thales-70"))</f>
        <v/>
      </c>
      <c r="L672">
        <f>IF($A672="","",SUMIFS('Таблиця 1'!$K:$K,'Таблиця 1'!$B:$B,$A672,'Таблиця 1'!$I:$I,"Mi-8",'Таблиця 1'!$J:$J,"Thales-FZ")+SUMIFS('Таблиця 1'!$K:$K,'Таблиця 1'!$B:$B,$A672,'Таблиця 1'!$I:$I,"Mi-24",'Таблиця 1'!$J:$J,"Thales-FZ"))</f>
        <v/>
      </c>
      <c r="M672">
        <f>IF($A672="","",SUMIFS('Таблиця 1'!$K:$K,'Таблиця 1'!$B:$B,$A672,'Таблиця 1'!$I:$I,"Mi-8",'Таблиця 1'!$J:$J,"МК-40")+SUMIFS('Таблиця 1'!$K:$K,'Таблиця 1'!$B:$B,$A672,'Таблиця 1'!$I:$I,"Mi-24",'Таблиця 1'!$J:$J,"МК-40"))</f>
        <v/>
      </c>
      <c r="N672">
        <f>IF($A672="","",SUMIFS('Таблиця 1'!$K:$K,'Таблиця 1'!$B:$B,$A672,'Таблиця 1'!$I:$I,"Mi-8",'Таблиця 1'!$J:$J,"Zuni")+SUMIFS('Таблиця 1'!$K:$K,'Таблиця 1'!$B:$B,$A672,'Таблиця 1'!$I:$I,"Mi-24",'Таблиця 1'!$J:$J,"Zuni"))</f>
        <v/>
      </c>
      <c r="O672">
        <f>IF($A672="","",COUNTIFS('Таблиця 1'!$B:$B,$A672,'Таблиця 1'!$I:$I,"Mi-8",'Таблиця 1'!$L:$L,"Уражено")+COUNTIFS('Таблиця 1'!$B:$B,$A672,'Таблиця 1'!$I:$I,"Mi-24",'Таблиця 1'!$L:$L,"Уражено"))</f>
        <v/>
      </c>
      <c r="P672">
        <f>IF($A672="","",COUNTIFS('Таблиця 1'!$B:$B,$A672,'Таблиця 1'!$I:$I,"Mi-8",'Таблиця 1'!$L:$L,"НЕ уражено")+COUNTIFS('Таблиця 1'!$B:$B,$A672,'Таблиця 1'!$I:$I,"Mi-24",'Таблиця 1'!$L:$L,"НЕ уражено"))</f>
        <v/>
      </c>
    </row>
    <row r="673">
      <c r="A673" s="273">
        <f>IF(A672="","",IF(A672+1&gt;MAX('Таблиця 1'!$B:$B),"",A672+1))</f>
        <v/>
      </c>
      <c r="B673">
        <f>IF($A673="","",COUNTIFS('Таблиця 1'!$B:$B,$A673,'Таблиця 1'!$I:$I,"Mi-8")+COUNTIFS('Таблиця 1'!$B:$B,$A673,'Таблиця 1'!$I:$I,"Mi-24"))</f>
        <v/>
      </c>
      <c r="C673">
        <f>IF($A673="","",COUNTIFS('Таблиця 1'!$B:$B,$A673,'Таблиця 1'!$I:$I,"Mi-8"))</f>
        <v/>
      </c>
      <c r="D673">
        <f>IF($A673="","",COUNTIFS('Таблиця 1'!$B:$B,$A673,'Таблиця 1'!$I:$I,"Mi-24"))</f>
        <v/>
      </c>
      <c r="E673">
        <f>IF($A673="","",SUMIFS('Таблиця 1'!$K:$K,'Таблиця 1'!$B:$B,$A673,'Таблиця 1'!$I:$I,"Mi-8",'Таблиця 1'!$J:$J,"ARS-8")+SUMIFS('Таблиця 1'!$K:$K,'Таблиця 1'!$B:$B,$A673,'Таблиця 1'!$I:$I,"Mi-24",'Таблиця 1'!$J:$J,"ARS-8"))</f>
        <v/>
      </c>
      <c r="F673">
        <f>IF($A673="","",SUMIFS('Таблиця 1'!$K:$K,'Таблиця 1'!$B:$B,$A673,'Таблиця 1'!$I:$I,"Mi-8",'Таблиця 1'!$J:$J,"С-8 ком")+SUMIFS('Таблиця 1'!$K:$K,'Таблиця 1'!$B:$B,$A673,'Таблиця 1'!$I:$I,"Mi-24",'Таблиця 1'!$J:$J,"С-8 ком"))</f>
        <v/>
      </c>
      <c r="G673">
        <f>IF($A673="","",SUMIFS('Таблиця 1'!$K:$K,'Таблиця 1'!$B:$B,$A673,'Таблиця 1'!$I:$I,"Mi-8",'Таблиця 1'!$J:$J,"PC-80")+SUMIFS('Таблиця 1'!$K:$K,'Таблиця 1'!$B:$B,$A673,'Таблиця 1'!$I:$I,"Mi-24",'Таблиця 1'!$J:$J,"PC-80"))</f>
        <v/>
      </c>
      <c r="H673">
        <f>IF($A673="","",SUMIFS('Таблиця 1'!$K:$K,'Таблиця 1'!$B:$B,$A673,'Таблиця 1'!$I:$I,"Mi-8",'Таблиця 1'!$J:$J,"UAR-80")+SUMIFS('Таблиця 1'!$K:$K,'Таблиця 1'!$B:$B,$A673,'Таблиця 1'!$I:$I,"Mi-24",'Таблиця 1'!$J:$J,"UAR-80"))</f>
        <v/>
      </c>
      <c r="I673">
        <f>IF($A673="","",SUMIFS('Таблиця 1'!$K:$K,'Таблиця 1'!$B:$B,$A673,'Таблиця 1'!$I:$I,"Mi-8",'Таблиця 1'!$J:$J,"C-13")+SUMIFS('Таблиця 1'!$K:$K,'Таблиця 1'!$B:$B,$A673,'Таблиця 1'!$I:$I,"Mi-24",'Таблиця 1'!$J:$J,"C-13"))</f>
        <v/>
      </c>
      <c r="J673">
        <f>IF($A673="","",SUMIFS('Таблиця 1'!$K:$K,'Таблиця 1'!$B:$B,$A673,'Таблиця 1'!$I:$I,"Mi-8",'Таблиця 1'!$J:$J,"Hydra-70")+SUMIFS('Таблиця 1'!$K:$K,'Таблиця 1'!$B:$B,$A673,'Таблиця 1'!$I:$I,"Mi-24",'Таблиця 1'!$J:$J,"Hydra-70"))</f>
        <v/>
      </c>
      <c r="K673">
        <f>IF($A673="","",SUMIFS('Таблиця 1'!$K:$K,'Таблиця 1'!$B:$B,$A673,'Таблиця 1'!$I:$I,"Mi-8",'Таблиця 1'!$J:$J,"Thales-70")+SUMIFS('Таблиця 1'!$K:$K,'Таблиця 1'!$B:$B,$A673,'Таблиця 1'!$I:$I,"Mi-24",'Таблиця 1'!$J:$J,"Thales-70"))</f>
        <v/>
      </c>
      <c r="L673">
        <f>IF($A673="","",SUMIFS('Таблиця 1'!$K:$K,'Таблиця 1'!$B:$B,$A673,'Таблиця 1'!$I:$I,"Mi-8",'Таблиця 1'!$J:$J,"Thales-FZ")+SUMIFS('Таблиця 1'!$K:$K,'Таблиця 1'!$B:$B,$A673,'Таблиця 1'!$I:$I,"Mi-24",'Таблиця 1'!$J:$J,"Thales-FZ"))</f>
        <v/>
      </c>
      <c r="M673">
        <f>IF($A673="","",SUMIFS('Таблиця 1'!$K:$K,'Таблиця 1'!$B:$B,$A673,'Таблиця 1'!$I:$I,"Mi-8",'Таблиця 1'!$J:$J,"МК-40")+SUMIFS('Таблиця 1'!$K:$K,'Таблиця 1'!$B:$B,$A673,'Таблиця 1'!$I:$I,"Mi-24",'Таблиця 1'!$J:$J,"МК-40"))</f>
        <v/>
      </c>
      <c r="N673">
        <f>IF($A673="","",SUMIFS('Таблиця 1'!$K:$K,'Таблиця 1'!$B:$B,$A673,'Таблиця 1'!$I:$I,"Mi-8",'Таблиця 1'!$J:$J,"Zuni")+SUMIFS('Таблиця 1'!$K:$K,'Таблиця 1'!$B:$B,$A673,'Таблиця 1'!$I:$I,"Mi-24",'Таблиця 1'!$J:$J,"Zuni"))</f>
        <v/>
      </c>
      <c r="O673">
        <f>IF($A673="","",COUNTIFS('Таблиця 1'!$B:$B,$A673,'Таблиця 1'!$I:$I,"Mi-8",'Таблиця 1'!$L:$L,"Уражено")+COUNTIFS('Таблиця 1'!$B:$B,$A673,'Таблиця 1'!$I:$I,"Mi-24",'Таблиця 1'!$L:$L,"Уражено"))</f>
        <v/>
      </c>
      <c r="P673">
        <f>IF($A673="","",COUNTIFS('Таблиця 1'!$B:$B,$A673,'Таблиця 1'!$I:$I,"Mi-8",'Таблиця 1'!$L:$L,"НЕ уражено")+COUNTIFS('Таблиця 1'!$B:$B,$A673,'Таблиця 1'!$I:$I,"Mi-24",'Таблиця 1'!$L:$L,"НЕ уражено"))</f>
        <v/>
      </c>
    </row>
    <row r="674">
      <c r="A674" s="273">
        <f>IF(A673="","",IF(A673+1&gt;MAX('Таблиця 1'!$B:$B),"",A673+1))</f>
        <v/>
      </c>
      <c r="B674">
        <f>IF($A674="","",COUNTIFS('Таблиця 1'!$B:$B,$A674,'Таблиця 1'!$I:$I,"Mi-8")+COUNTIFS('Таблиця 1'!$B:$B,$A674,'Таблиця 1'!$I:$I,"Mi-24"))</f>
        <v/>
      </c>
      <c r="C674">
        <f>IF($A674="","",COUNTIFS('Таблиця 1'!$B:$B,$A674,'Таблиця 1'!$I:$I,"Mi-8"))</f>
        <v/>
      </c>
      <c r="D674">
        <f>IF($A674="","",COUNTIFS('Таблиця 1'!$B:$B,$A674,'Таблиця 1'!$I:$I,"Mi-24"))</f>
        <v/>
      </c>
      <c r="E674">
        <f>IF($A674="","",SUMIFS('Таблиця 1'!$K:$K,'Таблиця 1'!$B:$B,$A674,'Таблиця 1'!$I:$I,"Mi-8",'Таблиця 1'!$J:$J,"ARS-8")+SUMIFS('Таблиця 1'!$K:$K,'Таблиця 1'!$B:$B,$A674,'Таблиця 1'!$I:$I,"Mi-24",'Таблиця 1'!$J:$J,"ARS-8"))</f>
        <v/>
      </c>
      <c r="F674">
        <f>IF($A674="","",SUMIFS('Таблиця 1'!$K:$K,'Таблиця 1'!$B:$B,$A674,'Таблиця 1'!$I:$I,"Mi-8",'Таблиця 1'!$J:$J,"С-8 ком")+SUMIFS('Таблиця 1'!$K:$K,'Таблиця 1'!$B:$B,$A674,'Таблиця 1'!$I:$I,"Mi-24",'Таблиця 1'!$J:$J,"С-8 ком"))</f>
        <v/>
      </c>
      <c r="G674">
        <f>IF($A674="","",SUMIFS('Таблиця 1'!$K:$K,'Таблиця 1'!$B:$B,$A674,'Таблиця 1'!$I:$I,"Mi-8",'Таблиця 1'!$J:$J,"PC-80")+SUMIFS('Таблиця 1'!$K:$K,'Таблиця 1'!$B:$B,$A674,'Таблиця 1'!$I:$I,"Mi-24",'Таблиця 1'!$J:$J,"PC-80"))</f>
        <v/>
      </c>
      <c r="H674">
        <f>IF($A674="","",SUMIFS('Таблиця 1'!$K:$K,'Таблиця 1'!$B:$B,$A674,'Таблиця 1'!$I:$I,"Mi-8",'Таблиця 1'!$J:$J,"UAR-80")+SUMIFS('Таблиця 1'!$K:$K,'Таблиця 1'!$B:$B,$A674,'Таблиця 1'!$I:$I,"Mi-24",'Таблиця 1'!$J:$J,"UAR-80"))</f>
        <v/>
      </c>
      <c r="I674">
        <f>IF($A674="","",SUMIFS('Таблиця 1'!$K:$K,'Таблиця 1'!$B:$B,$A674,'Таблиця 1'!$I:$I,"Mi-8",'Таблиця 1'!$J:$J,"C-13")+SUMIFS('Таблиця 1'!$K:$K,'Таблиця 1'!$B:$B,$A674,'Таблиця 1'!$I:$I,"Mi-24",'Таблиця 1'!$J:$J,"C-13"))</f>
        <v/>
      </c>
      <c r="J674">
        <f>IF($A674="","",SUMIFS('Таблиця 1'!$K:$K,'Таблиця 1'!$B:$B,$A674,'Таблиця 1'!$I:$I,"Mi-8",'Таблиця 1'!$J:$J,"Hydra-70")+SUMIFS('Таблиця 1'!$K:$K,'Таблиця 1'!$B:$B,$A674,'Таблиця 1'!$I:$I,"Mi-24",'Таблиця 1'!$J:$J,"Hydra-70"))</f>
        <v/>
      </c>
      <c r="K674">
        <f>IF($A674="","",SUMIFS('Таблиця 1'!$K:$K,'Таблиця 1'!$B:$B,$A674,'Таблиця 1'!$I:$I,"Mi-8",'Таблиця 1'!$J:$J,"Thales-70")+SUMIFS('Таблиця 1'!$K:$K,'Таблиця 1'!$B:$B,$A674,'Таблиця 1'!$I:$I,"Mi-24",'Таблиця 1'!$J:$J,"Thales-70"))</f>
        <v/>
      </c>
      <c r="L674">
        <f>IF($A674="","",SUMIFS('Таблиця 1'!$K:$K,'Таблиця 1'!$B:$B,$A674,'Таблиця 1'!$I:$I,"Mi-8",'Таблиця 1'!$J:$J,"Thales-FZ")+SUMIFS('Таблиця 1'!$K:$K,'Таблиця 1'!$B:$B,$A674,'Таблиця 1'!$I:$I,"Mi-24",'Таблиця 1'!$J:$J,"Thales-FZ"))</f>
        <v/>
      </c>
      <c r="M674">
        <f>IF($A674="","",SUMIFS('Таблиця 1'!$K:$K,'Таблиця 1'!$B:$B,$A674,'Таблиця 1'!$I:$I,"Mi-8",'Таблиця 1'!$J:$J,"МК-40")+SUMIFS('Таблиця 1'!$K:$K,'Таблиця 1'!$B:$B,$A674,'Таблиця 1'!$I:$I,"Mi-24",'Таблиця 1'!$J:$J,"МК-40"))</f>
        <v/>
      </c>
      <c r="N674">
        <f>IF($A674="","",SUMIFS('Таблиця 1'!$K:$K,'Таблиця 1'!$B:$B,$A674,'Таблиця 1'!$I:$I,"Mi-8",'Таблиця 1'!$J:$J,"Zuni")+SUMIFS('Таблиця 1'!$K:$K,'Таблиця 1'!$B:$B,$A674,'Таблиця 1'!$I:$I,"Mi-24",'Таблиця 1'!$J:$J,"Zuni"))</f>
        <v/>
      </c>
      <c r="O674">
        <f>IF($A674="","",COUNTIFS('Таблиця 1'!$B:$B,$A674,'Таблиця 1'!$I:$I,"Mi-8",'Таблиця 1'!$L:$L,"Уражено")+COUNTIFS('Таблиця 1'!$B:$B,$A674,'Таблиця 1'!$I:$I,"Mi-24",'Таблиця 1'!$L:$L,"Уражено"))</f>
        <v/>
      </c>
      <c r="P674">
        <f>IF($A674="","",COUNTIFS('Таблиця 1'!$B:$B,$A674,'Таблиця 1'!$I:$I,"Mi-8",'Таблиця 1'!$L:$L,"НЕ уражено")+COUNTIFS('Таблиця 1'!$B:$B,$A674,'Таблиця 1'!$I:$I,"Mi-24",'Таблиця 1'!$L:$L,"НЕ уражено"))</f>
        <v/>
      </c>
    </row>
    <row r="675">
      <c r="A675" s="273">
        <f>IF(A674="","",IF(A674+1&gt;MAX('Таблиця 1'!$B:$B),"",A674+1))</f>
        <v/>
      </c>
      <c r="B675">
        <f>IF($A675="","",COUNTIFS('Таблиця 1'!$B:$B,$A675,'Таблиця 1'!$I:$I,"Mi-8")+COUNTIFS('Таблиця 1'!$B:$B,$A675,'Таблиця 1'!$I:$I,"Mi-24"))</f>
        <v/>
      </c>
      <c r="C675">
        <f>IF($A675="","",COUNTIFS('Таблиця 1'!$B:$B,$A675,'Таблиця 1'!$I:$I,"Mi-8"))</f>
        <v/>
      </c>
      <c r="D675">
        <f>IF($A675="","",COUNTIFS('Таблиця 1'!$B:$B,$A675,'Таблиця 1'!$I:$I,"Mi-24"))</f>
        <v/>
      </c>
      <c r="E675">
        <f>IF($A675="","",SUMIFS('Таблиця 1'!$K:$K,'Таблиця 1'!$B:$B,$A675,'Таблиця 1'!$I:$I,"Mi-8",'Таблиця 1'!$J:$J,"ARS-8")+SUMIFS('Таблиця 1'!$K:$K,'Таблиця 1'!$B:$B,$A675,'Таблиця 1'!$I:$I,"Mi-24",'Таблиця 1'!$J:$J,"ARS-8"))</f>
        <v/>
      </c>
      <c r="F675">
        <f>IF($A675="","",SUMIFS('Таблиця 1'!$K:$K,'Таблиця 1'!$B:$B,$A675,'Таблиця 1'!$I:$I,"Mi-8",'Таблиця 1'!$J:$J,"С-8 ком")+SUMIFS('Таблиця 1'!$K:$K,'Таблиця 1'!$B:$B,$A675,'Таблиця 1'!$I:$I,"Mi-24",'Таблиця 1'!$J:$J,"С-8 ком"))</f>
        <v/>
      </c>
      <c r="G675">
        <f>IF($A675="","",SUMIFS('Таблиця 1'!$K:$K,'Таблиця 1'!$B:$B,$A675,'Таблиця 1'!$I:$I,"Mi-8",'Таблиця 1'!$J:$J,"PC-80")+SUMIFS('Таблиця 1'!$K:$K,'Таблиця 1'!$B:$B,$A675,'Таблиця 1'!$I:$I,"Mi-24",'Таблиця 1'!$J:$J,"PC-80"))</f>
        <v/>
      </c>
      <c r="H675">
        <f>IF($A675="","",SUMIFS('Таблиця 1'!$K:$K,'Таблиця 1'!$B:$B,$A675,'Таблиця 1'!$I:$I,"Mi-8",'Таблиця 1'!$J:$J,"UAR-80")+SUMIFS('Таблиця 1'!$K:$K,'Таблиця 1'!$B:$B,$A675,'Таблиця 1'!$I:$I,"Mi-24",'Таблиця 1'!$J:$J,"UAR-80"))</f>
        <v/>
      </c>
      <c r="I675">
        <f>IF($A675="","",SUMIFS('Таблиця 1'!$K:$K,'Таблиця 1'!$B:$B,$A675,'Таблиця 1'!$I:$I,"Mi-8",'Таблиця 1'!$J:$J,"C-13")+SUMIFS('Таблиця 1'!$K:$K,'Таблиця 1'!$B:$B,$A675,'Таблиця 1'!$I:$I,"Mi-24",'Таблиця 1'!$J:$J,"C-13"))</f>
        <v/>
      </c>
      <c r="J675">
        <f>IF($A675="","",SUMIFS('Таблиця 1'!$K:$K,'Таблиця 1'!$B:$B,$A675,'Таблиця 1'!$I:$I,"Mi-8",'Таблиця 1'!$J:$J,"Hydra-70")+SUMIFS('Таблиця 1'!$K:$K,'Таблиця 1'!$B:$B,$A675,'Таблиця 1'!$I:$I,"Mi-24",'Таблиця 1'!$J:$J,"Hydra-70"))</f>
        <v/>
      </c>
      <c r="K675">
        <f>IF($A675="","",SUMIFS('Таблиця 1'!$K:$K,'Таблиця 1'!$B:$B,$A675,'Таблиця 1'!$I:$I,"Mi-8",'Таблиця 1'!$J:$J,"Thales-70")+SUMIFS('Таблиця 1'!$K:$K,'Таблиця 1'!$B:$B,$A675,'Таблиця 1'!$I:$I,"Mi-24",'Таблиця 1'!$J:$J,"Thales-70"))</f>
        <v/>
      </c>
      <c r="L675">
        <f>IF($A675="","",SUMIFS('Таблиця 1'!$K:$K,'Таблиця 1'!$B:$B,$A675,'Таблиця 1'!$I:$I,"Mi-8",'Таблиця 1'!$J:$J,"Thales-FZ")+SUMIFS('Таблиця 1'!$K:$K,'Таблиця 1'!$B:$B,$A675,'Таблиця 1'!$I:$I,"Mi-24",'Таблиця 1'!$J:$J,"Thales-FZ"))</f>
        <v/>
      </c>
      <c r="M675">
        <f>IF($A675="","",SUMIFS('Таблиця 1'!$K:$K,'Таблиця 1'!$B:$B,$A675,'Таблиця 1'!$I:$I,"Mi-8",'Таблиця 1'!$J:$J,"МК-40")+SUMIFS('Таблиця 1'!$K:$K,'Таблиця 1'!$B:$B,$A675,'Таблиця 1'!$I:$I,"Mi-24",'Таблиця 1'!$J:$J,"МК-40"))</f>
        <v/>
      </c>
      <c r="N675">
        <f>IF($A675="","",SUMIFS('Таблиця 1'!$K:$K,'Таблиця 1'!$B:$B,$A675,'Таблиця 1'!$I:$I,"Mi-8",'Таблиця 1'!$J:$J,"Zuni")+SUMIFS('Таблиця 1'!$K:$K,'Таблиця 1'!$B:$B,$A675,'Таблиця 1'!$I:$I,"Mi-24",'Таблиця 1'!$J:$J,"Zuni"))</f>
        <v/>
      </c>
      <c r="O675">
        <f>IF($A675="","",COUNTIFS('Таблиця 1'!$B:$B,$A675,'Таблиця 1'!$I:$I,"Mi-8",'Таблиця 1'!$L:$L,"Уражено")+COUNTIFS('Таблиця 1'!$B:$B,$A675,'Таблиця 1'!$I:$I,"Mi-24",'Таблиця 1'!$L:$L,"Уражено"))</f>
        <v/>
      </c>
      <c r="P675">
        <f>IF($A675="","",COUNTIFS('Таблиця 1'!$B:$B,$A675,'Таблиця 1'!$I:$I,"Mi-8",'Таблиця 1'!$L:$L,"НЕ уражено")+COUNTIFS('Таблиця 1'!$B:$B,$A675,'Таблиця 1'!$I:$I,"Mi-24",'Таблиця 1'!$L:$L,"НЕ уражено"))</f>
        <v/>
      </c>
    </row>
    <row r="676">
      <c r="A676" s="273">
        <f>IF(A675="","",IF(A675+1&gt;MAX('Таблиця 1'!$B:$B),"",A675+1))</f>
        <v/>
      </c>
      <c r="B676">
        <f>IF($A676="","",COUNTIFS('Таблиця 1'!$B:$B,$A676,'Таблиця 1'!$I:$I,"Mi-8")+COUNTIFS('Таблиця 1'!$B:$B,$A676,'Таблиця 1'!$I:$I,"Mi-24"))</f>
        <v/>
      </c>
      <c r="C676">
        <f>IF($A676="","",COUNTIFS('Таблиця 1'!$B:$B,$A676,'Таблиця 1'!$I:$I,"Mi-8"))</f>
        <v/>
      </c>
      <c r="D676">
        <f>IF($A676="","",COUNTIFS('Таблиця 1'!$B:$B,$A676,'Таблиця 1'!$I:$I,"Mi-24"))</f>
        <v/>
      </c>
      <c r="E676">
        <f>IF($A676="","",SUMIFS('Таблиця 1'!$K:$K,'Таблиця 1'!$B:$B,$A676,'Таблиця 1'!$I:$I,"Mi-8",'Таблиця 1'!$J:$J,"ARS-8")+SUMIFS('Таблиця 1'!$K:$K,'Таблиця 1'!$B:$B,$A676,'Таблиця 1'!$I:$I,"Mi-24",'Таблиця 1'!$J:$J,"ARS-8"))</f>
        <v/>
      </c>
      <c r="F676">
        <f>IF($A676="","",SUMIFS('Таблиця 1'!$K:$K,'Таблиця 1'!$B:$B,$A676,'Таблиця 1'!$I:$I,"Mi-8",'Таблиця 1'!$J:$J,"С-8 ком")+SUMIFS('Таблиця 1'!$K:$K,'Таблиця 1'!$B:$B,$A676,'Таблиця 1'!$I:$I,"Mi-24",'Таблиця 1'!$J:$J,"С-8 ком"))</f>
        <v/>
      </c>
      <c r="G676">
        <f>IF($A676="","",SUMIFS('Таблиця 1'!$K:$K,'Таблиця 1'!$B:$B,$A676,'Таблиця 1'!$I:$I,"Mi-8",'Таблиця 1'!$J:$J,"PC-80")+SUMIFS('Таблиця 1'!$K:$K,'Таблиця 1'!$B:$B,$A676,'Таблиця 1'!$I:$I,"Mi-24",'Таблиця 1'!$J:$J,"PC-80"))</f>
        <v/>
      </c>
      <c r="H676">
        <f>IF($A676="","",SUMIFS('Таблиця 1'!$K:$K,'Таблиця 1'!$B:$B,$A676,'Таблиця 1'!$I:$I,"Mi-8",'Таблиця 1'!$J:$J,"UAR-80")+SUMIFS('Таблиця 1'!$K:$K,'Таблиця 1'!$B:$B,$A676,'Таблиця 1'!$I:$I,"Mi-24",'Таблиця 1'!$J:$J,"UAR-80"))</f>
        <v/>
      </c>
      <c r="I676">
        <f>IF($A676="","",SUMIFS('Таблиця 1'!$K:$K,'Таблиця 1'!$B:$B,$A676,'Таблиця 1'!$I:$I,"Mi-8",'Таблиця 1'!$J:$J,"C-13")+SUMIFS('Таблиця 1'!$K:$K,'Таблиця 1'!$B:$B,$A676,'Таблиця 1'!$I:$I,"Mi-24",'Таблиця 1'!$J:$J,"C-13"))</f>
        <v/>
      </c>
      <c r="J676">
        <f>IF($A676="","",SUMIFS('Таблиця 1'!$K:$K,'Таблиця 1'!$B:$B,$A676,'Таблиця 1'!$I:$I,"Mi-8",'Таблиця 1'!$J:$J,"Hydra-70")+SUMIFS('Таблиця 1'!$K:$K,'Таблиця 1'!$B:$B,$A676,'Таблиця 1'!$I:$I,"Mi-24",'Таблиця 1'!$J:$J,"Hydra-70"))</f>
        <v/>
      </c>
      <c r="K676">
        <f>IF($A676="","",SUMIFS('Таблиця 1'!$K:$K,'Таблиця 1'!$B:$B,$A676,'Таблиця 1'!$I:$I,"Mi-8",'Таблиця 1'!$J:$J,"Thales-70")+SUMIFS('Таблиця 1'!$K:$K,'Таблиця 1'!$B:$B,$A676,'Таблиця 1'!$I:$I,"Mi-24",'Таблиця 1'!$J:$J,"Thales-70"))</f>
        <v/>
      </c>
      <c r="L676">
        <f>IF($A676="","",SUMIFS('Таблиця 1'!$K:$K,'Таблиця 1'!$B:$B,$A676,'Таблиця 1'!$I:$I,"Mi-8",'Таблиця 1'!$J:$J,"Thales-FZ")+SUMIFS('Таблиця 1'!$K:$K,'Таблиця 1'!$B:$B,$A676,'Таблиця 1'!$I:$I,"Mi-24",'Таблиця 1'!$J:$J,"Thales-FZ"))</f>
        <v/>
      </c>
      <c r="M676">
        <f>IF($A676="","",SUMIFS('Таблиця 1'!$K:$K,'Таблиця 1'!$B:$B,$A676,'Таблиця 1'!$I:$I,"Mi-8",'Таблиця 1'!$J:$J,"МК-40")+SUMIFS('Таблиця 1'!$K:$K,'Таблиця 1'!$B:$B,$A676,'Таблиця 1'!$I:$I,"Mi-24",'Таблиця 1'!$J:$J,"МК-40"))</f>
        <v/>
      </c>
      <c r="N676">
        <f>IF($A676="","",SUMIFS('Таблиця 1'!$K:$K,'Таблиця 1'!$B:$B,$A676,'Таблиця 1'!$I:$I,"Mi-8",'Таблиця 1'!$J:$J,"Zuni")+SUMIFS('Таблиця 1'!$K:$K,'Таблиця 1'!$B:$B,$A676,'Таблиця 1'!$I:$I,"Mi-24",'Таблиця 1'!$J:$J,"Zuni"))</f>
        <v/>
      </c>
      <c r="O676">
        <f>IF($A676="","",COUNTIFS('Таблиця 1'!$B:$B,$A676,'Таблиця 1'!$I:$I,"Mi-8",'Таблиця 1'!$L:$L,"Уражено")+COUNTIFS('Таблиця 1'!$B:$B,$A676,'Таблиця 1'!$I:$I,"Mi-24",'Таблиця 1'!$L:$L,"Уражено"))</f>
        <v/>
      </c>
      <c r="P676">
        <f>IF($A676="","",COUNTIFS('Таблиця 1'!$B:$B,$A676,'Таблиця 1'!$I:$I,"Mi-8",'Таблиця 1'!$L:$L,"НЕ уражено")+COUNTIFS('Таблиця 1'!$B:$B,$A676,'Таблиця 1'!$I:$I,"Mi-24",'Таблиця 1'!$L:$L,"НЕ уражено"))</f>
        <v/>
      </c>
    </row>
    <row r="677">
      <c r="A677" s="273">
        <f>IF(A676="","",IF(A676+1&gt;MAX('Таблиця 1'!$B:$B),"",A676+1))</f>
        <v/>
      </c>
      <c r="B677">
        <f>IF($A677="","",COUNTIFS('Таблиця 1'!$B:$B,$A677,'Таблиця 1'!$I:$I,"Mi-8")+COUNTIFS('Таблиця 1'!$B:$B,$A677,'Таблиця 1'!$I:$I,"Mi-24"))</f>
        <v/>
      </c>
      <c r="C677">
        <f>IF($A677="","",COUNTIFS('Таблиця 1'!$B:$B,$A677,'Таблиця 1'!$I:$I,"Mi-8"))</f>
        <v/>
      </c>
      <c r="D677">
        <f>IF($A677="","",COUNTIFS('Таблиця 1'!$B:$B,$A677,'Таблиця 1'!$I:$I,"Mi-24"))</f>
        <v/>
      </c>
      <c r="E677">
        <f>IF($A677="","",SUMIFS('Таблиця 1'!$K:$K,'Таблиця 1'!$B:$B,$A677,'Таблиця 1'!$I:$I,"Mi-8",'Таблиця 1'!$J:$J,"ARS-8")+SUMIFS('Таблиця 1'!$K:$K,'Таблиця 1'!$B:$B,$A677,'Таблиця 1'!$I:$I,"Mi-24",'Таблиця 1'!$J:$J,"ARS-8"))</f>
        <v/>
      </c>
      <c r="F677">
        <f>IF($A677="","",SUMIFS('Таблиця 1'!$K:$K,'Таблиця 1'!$B:$B,$A677,'Таблиця 1'!$I:$I,"Mi-8",'Таблиця 1'!$J:$J,"С-8 ком")+SUMIFS('Таблиця 1'!$K:$K,'Таблиця 1'!$B:$B,$A677,'Таблиця 1'!$I:$I,"Mi-24",'Таблиця 1'!$J:$J,"С-8 ком"))</f>
        <v/>
      </c>
      <c r="G677">
        <f>IF($A677="","",SUMIFS('Таблиця 1'!$K:$K,'Таблиця 1'!$B:$B,$A677,'Таблиця 1'!$I:$I,"Mi-8",'Таблиця 1'!$J:$J,"PC-80")+SUMIFS('Таблиця 1'!$K:$K,'Таблиця 1'!$B:$B,$A677,'Таблиця 1'!$I:$I,"Mi-24",'Таблиця 1'!$J:$J,"PC-80"))</f>
        <v/>
      </c>
      <c r="H677">
        <f>IF($A677="","",SUMIFS('Таблиця 1'!$K:$K,'Таблиця 1'!$B:$B,$A677,'Таблиця 1'!$I:$I,"Mi-8",'Таблиця 1'!$J:$J,"UAR-80")+SUMIFS('Таблиця 1'!$K:$K,'Таблиця 1'!$B:$B,$A677,'Таблиця 1'!$I:$I,"Mi-24",'Таблиця 1'!$J:$J,"UAR-80"))</f>
        <v/>
      </c>
      <c r="I677">
        <f>IF($A677="","",SUMIFS('Таблиця 1'!$K:$K,'Таблиця 1'!$B:$B,$A677,'Таблиця 1'!$I:$I,"Mi-8",'Таблиця 1'!$J:$J,"C-13")+SUMIFS('Таблиця 1'!$K:$K,'Таблиця 1'!$B:$B,$A677,'Таблиця 1'!$I:$I,"Mi-24",'Таблиця 1'!$J:$J,"C-13"))</f>
        <v/>
      </c>
      <c r="J677">
        <f>IF($A677="","",SUMIFS('Таблиця 1'!$K:$K,'Таблиця 1'!$B:$B,$A677,'Таблиця 1'!$I:$I,"Mi-8",'Таблиця 1'!$J:$J,"Hydra-70")+SUMIFS('Таблиця 1'!$K:$K,'Таблиця 1'!$B:$B,$A677,'Таблиця 1'!$I:$I,"Mi-24",'Таблиця 1'!$J:$J,"Hydra-70"))</f>
        <v/>
      </c>
      <c r="K677">
        <f>IF($A677="","",SUMIFS('Таблиця 1'!$K:$K,'Таблиця 1'!$B:$B,$A677,'Таблиця 1'!$I:$I,"Mi-8",'Таблиця 1'!$J:$J,"Thales-70")+SUMIFS('Таблиця 1'!$K:$K,'Таблиця 1'!$B:$B,$A677,'Таблиця 1'!$I:$I,"Mi-24",'Таблиця 1'!$J:$J,"Thales-70"))</f>
        <v/>
      </c>
      <c r="L677">
        <f>IF($A677="","",SUMIFS('Таблиця 1'!$K:$K,'Таблиця 1'!$B:$B,$A677,'Таблиця 1'!$I:$I,"Mi-8",'Таблиця 1'!$J:$J,"Thales-FZ")+SUMIFS('Таблиця 1'!$K:$K,'Таблиця 1'!$B:$B,$A677,'Таблиця 1'!$I:$I,"Mi-24",'Таблиця 1'!$J:$J,"Thales-FZ"))</f>
        <v/>
      </c>
      <c r="M677">
        <f>IF($A677="","",SUMIFS('Таблиця 1'!$K:$K,'Таблиця 1'!$B:$B,$A677,'Таблиця 1'!$I:$I,"Mi-8",'Таблиця 1'!$J:$J,"МК-40")+SUMIFS('Таблиця 1'!$K:$K,'Таблиця 1'!$B:$B,$A677,'Таблиця 1'!$I:$I,"Mi-24",'Таблиця 1'!$J:$J,"МК-40"))</f>
        <v/>
      </c>
      <c r="N677">
        <f>IF($A677="","",SUMIFS('Таблиця 1'!$K:$K,'Таблиця 1'!$B:$B,$A677,'Таблиця 1'!$I:$I,"Mi-8",'Таблиця 1'!$J:$J,"Zuni")+SUMIFS('Таблиця 1'!$K:$K,'Таблиця 1'!$B:$B,$A677,'Таблиця 1'!$I:$I,"Mi-24",'Таблиця 1'!$J:$J,"Zuni"))</f>
        <v/>
      </c>
      <c r="O677">
        <f>IF($A677="","",COUNTIFS('Таблиця 1'!$B:$B,$A677,'Таблиця 1'!$I:$I,"Mi-8",'Таблиця 1'!$L:$L,"Уражено")+COUNTIFS('Таблиця 1'!$B:$B,$A677,'Таблиця 1'!$I:$I,"Mi-24",'Таблиця 1'!$L:$L,"Уражено"))</f>
        <v/>
      </c>
      <c r="P677">
        <f>IF($A677="","",COUNTIFS('Таблиця 1'!$B:$B,$A677,'Таблиця 1'!$I:$I,"Mi-8",'Таблиця 1'!$L:$L,"НЕ уражено")+COUNTIFS('Таблиця 1'!$B:$B,$A677,'Таблиця 1'!$I:$I,"Mi-24",'Таблиця 1'!$L:$L,"НЕ уражено"))</f>
        <v/>
      </c>
    </row>
    <row r="678">
      <c r="A678" s="273">
        <f>IF(A677="","",IF(A677+1&gt;MAX('Таблиця 1'!$B:$B),"",A677+1))</f>
        <v/>
      </c>
      <c r="B678">
        <f>IF($A678="","",COUNTIFS('Таблиця 1'!$B:$B,$A678,'Таблиця 1'!$I:$I,"Mi-8")+COUNTIFS('Таблиця 1'!$B:$B,$A678,'Таблиця 1'!$I:$I,"Mi-24"))</f>
        <v/>
      </c>
      <c r="C678">
        <f>IF($A678="","",COUNTIFS('Таблиця 1'!$B:$B,$A678,'Таблиця 1'!$I:$I,"Mi-8"))</f>
        <v/>
      </c>
      <c r="D678">
        <f>IF($A678="","",COUNTIFS('Таблиця 1'!$B:$B,$A678,'Таблиця 1'!$I:$I,"Mi-24"))</f>
        <v/>
      </c>
      <c r="E678">
        <f>IF($A678="","",SUMIFS('Таблиця 1'!$K:$K,'Таблиця 1'!$B:$B,$A678,'Таблиця 1'!$I:$I,"Mi-8",'Таблиця 1'!$J:$J,"ARS-8")+SUMIFS('Таблиця 1'!$K:$K,'Таблиця 1'!$B:$B,$A678,'Таблиця 1'!$I:$I,"Mi-24",'Таблиця 1'!$J:$J,"ARS-8"))</f>
        <v/>
      </c>
      <c r="F678">
        <f>IF($A678="","",SUMIFS('Таблиця 1'!$K:$K,'Таблиця 1'!$B:$B,$A678,'Таблиця 1'!$I:$I,"Mi-8",'Таблиця 1'!$J:$J,"С-8 ком")+SUMIFS('Таблиця 1'!$K:$K,'Таблиця 1'!$B:$B,$A678,'Таблиця 1'!$I:$I,"Mi-24",'Таблиця 1'!$J:$J,"С-8 ком"))</f>
        <v/>
      </c>
      <c r="G678">
        <f>IF($A678="","",SUMIFS('Таблиця 1'!$K:$K,'Таблиця 1'!$B:$B,$A678,'Таблиця 1'!$I:$I,"Mi-8",'Таблиця 1'!$J:$J,"PC-80")+SUMIFS('Таблиця 1'!$K:$K,'Таблиця 1'!$B:$B,$A678,'Таблиця 1'!$I:$I,"Mi-24",'Таблиця 1'!$J:$J,"PC-80"))</f>
        <v/>
      </c>
      <c r="H678">
        <f>IF($A678="","",SUMIFS('Таблиця 1'!$K:$K,'Таблиця 1'!$B:$B,$A678,'Таблиця 1'!$I:$I,"Mi-8",'Таблиця 1'!$J:$J,"UAR-80")+SUMIFS('Таблиця 1'!$K:$K,'Таблиця 1'!$B:$B,$A678,'Таблиця 1'!$I:$I,"Mi-24",'Таблиця 1'!$J:$J,"UAR-80"))</f>
        <v/>
      </c>
      <c r="I678">
        <f>IF($A678="","",SUMIFS('Таблиця 1'!$K:$K,'Таблиця 1'!$B:$B,$A678,'Таблиця 1'!$I:$I,"Mi-8",'Таблиця 1'!$J:$J,"C-13")+SUMIFS('Таблиця 1'!$K:$K,'Таблиця 1'!$B:$B,$A678,'Таблиця 1'!$I:$I,"Mi-24",'Таблиця 1'!$J:$J,"C-13"))</f>
        <v/>
      </c>
      <c r="J678">
        <f>IF($A678="","",SUMIFS('Таблиця 1'!$K:$K,'Таблиця 1'!$B:$B,$A678,'Таблиця 1'!$I:$I,"Mi-8",'Таблиця 1'!$J:$J,"Hydra-70")+SUMIFS('Таблиця 1'!$K:$K,'Таблиця 1'!$B:$B,$A678,'Таблиця 1'!$I:$I,"Mi-24",'Таблиця 1'!$J:$J,"Hydra-70"))</f>
        <v/>
      </c>
      <c r="K678">
        <f>IF($A678="","",SUMIFS('Таблиця 1'!$K:$K,'Таблиця 1'!$B:$B,$A678,'Таблиця 1'!$I:$I,"Mi-8",'Таблиця 1'!$J:$J,"Thales-70")+SUMIFS('Таблиця 1'!$K:$K,'Таблиця 1'!$B:$B,$A678,'Таблиця 1'!$I:$I,"Mi-24",'Таблиця 1'!$J:$J,"Thales-70"))</f>
        <v/>
      </c>
      <c r="L678">
        <f>IF($A678="","",SUMIFS('Таблиця 1'!$K:$K,'Таблиця 1'!$B:$B,$A678,'Таблиця 1'!$I:$I,"Mi-8",'Таблиця 1'!$J:$J,"Thales-FZ")+SUMIFS('Таблиця 1'!$K:$K,'Таблиця 1'!$B:$B,$A678,'Таблиця 1'!$I:$I,"Mi-24",'Таблиця 1'!$J:$J,"Thales-FZ"))</f>
        <v/>
      </c>
      <c r="M678">
        <f>IF($A678="","",SUMIFS('Таблиця 1'!$K:$K,'Таблиця 1'!$B:$B,$A678,'Таблиця 1'!$I:$I,"Mi-8",'Таблиця 1'!$J:$J,"МК-40")+SUMIFS('Таблиця 1'!$K:$K,'Таблиця 1'!$B:$B,$A678,'Таблиця 1'!$I:$I,"Mi-24",'Таблиця 1'!$J:$J,"МК-40"))</f>
        <v/>
      </c>
      <c r="N678">
        <f>IF($A678="","",SUMIFS('Таблиця 1'!$K:$K,'Таблиця 1'!$B:$B,$A678,'Таблиця 1'!$I:$I,"Mi-8",'Таблиця 1'!$J:$J,"Zuni")+SUMIFS('Таблиця 1'!$K:$K,'Таблиця 1'!$B:$B,$A678,'Таблиця 1'!$I:$I,"Mi-24",'Таблиця 1'!$J:$J,"Zuni"))</f>
        <v/>
      </c>
      <c r="O678">
        <f>IF($A678="","",COUNTIFS('Таблиця 1'!$B:$B,$A678,'Таблиця 1'!$I:$I,"Mi-8",'Таблиця 1'!$L:$L,"Уражено")+COUNTIFS('Таблиця 1'!$B:$B,$A678,'Таблиця 1'!$I:$I,"Mi-24",'Таблиця 1'!$L:$L,"Уражено"))</f>
        <v/>
      </c>
      <c r="P678">
        <f>IF($A678="","",COUNTIFS('Таблиця 1'!$B:$B,$A678,'Таблиця 1'!$I:$I,"Mi-8",'Таблиця 1'!$L:$L,"НЕ уражено")+COUNTIFS('Таблиця 1'!$B:$B,$A678,'Таблиця 1'!$I:$I,"Mi-24",'Таблиця 1'!$L:$L,"НЕ уражено"))</f>
        <v/>
      </c>
    </row>
    <row r="679">
      <c r="A679" s="273">
        <f>IF(A678="","",IF(A678+1&gt;MAX('Таблиця 1'!$B:$B),"",A678+1))</f>
        <v/>
      </c>
      <c r="B679">
        <f>IF($A679="","",COUNTIFS('Таблиця 1'!$B:$B,$A679,'Таблиця 1'!$I:$I,"Mi-8")+COUNTIFS('Таблиця 1'!$B:$B,$A679,'Таблиця 1'!$I:$I,"Mi-24"))</f>
        <v/>
      </c>
      <c r="C679">
        <f>IF($A679="","",COUNTIFS('Таблиця 1'!$B:$B,$A679,'Таблиця 1'!$I:$I,"Mi-8"))</f>
        <v/>
      </c>
      <c r="D679">
        <f>IF($A679="","",COUNTIFS('Таблиця 1'!$B:$B,$A679,'Таблиця 1'!$I:$I,"Mi-24"))</f>
        <v/>
      </c>
      <c r="E679">
        <f>IF($A679="","",SUMIFS('Таблиця 1'!$K:$K,'Таблиця 1'!$B:$B,$A679,'Таблиця 1'!$I:$I,"Mi-8",'Таблиця 1'!$J:$J,"ARS-8")+SUMIFS('Таблиця 1'!$K:$K,'Таблиця 1'!$B:$B,$A679,'Таблиця 1'!$I:$I,"Mi-24",'Таблиця 1'!$J:$J,"ARS-8"))</f>
        <v/>
      </c>
      <c r="F679">
        <f>IF($A679="","",SUMIFS('Таблиця 1'!$K:$K,'Таблиця 1'!$B:$B,$A679,'Таблиця 1'!$I:$I,"Mi-8",'Таблиця 1'!$J:$J,"С-8 ком")+SUMIFS('Таблиця 1'!$K:$K,'Таблиця 1'!$B:$B,$A679,'Таблиця 1'!$I:$I,"Mi-24",'Таблиця 1'!$J:$J,"С-8 ком"))</f>
        <v/>
      </c>
      <c r="G679">
        <f>IF($A679="","",SUMIFS('Таблиця 1'!$K:$K,'Таблиця 1'!$B:$B,$A679,'Таблиця 1'!$I:$I,"Mi-8",'Таблиця 1'!$J:$J,"PC-80")+SUMIFS('Таблиця 1'!$K:$K,'Таблиця 1'!$B:$B,$A679,'Таблиця 1'!$I:$I,"Mi-24",'Таблиця 1'!$J:$J,"PC-80"))</f>
        <v/>
      </c>
      <c r="H679">
        <f>IF($A679="","",SUMIFS('Таблиця 1'!$K:$K,'Таблиця 1'!$B:$B,$A679,'Таблиця 1'!$I:$I,"Mi-8",'Таблиця 1'!$J:$J,"UAR-80")+SUMIFS('Таблиця 1'!$K:$K,'Таблиця 1'!$B:$B,$A679,'Таблиця 1'!$I:$I,"Mi-24",'Таблиця 1'!$J:$J,"UAR-80"))</f>
        <v/>
      </c>
      <c r="I679">
        <f>IF($A679="","",SUMIFS('Таблиця 1'!$K:$K,'Таблиця 1'!$B:$B,$A679,'Таблиця 1'!$I:$I,"Mi-8",'Таблиця 1'!$J:$J,"C-13")+SUMIFS('Таблиця 1'!$K:$K,'Таблиця 1'!$B:$B,$A679,'Таблиця 1'!$I:$I,"Mi-24",'Таблиця 1'!$J:$J,"C-13"))</f>
        <v/>
      </c>
      <c r="J679">
        <f>IF($A679="","",SUMIFS('Таблиця 1'!$K:$K,'Таблиця 1'!$B:$B,$A679,'Таблиця 1'!$I:$I,"Mi-8",'Таблиця 1'!$J:$J,"Hydra-70")+SUMIFS('Таблиця 1'!$K:$K,'Таблиця 1'!$B:$B,$A679,'Таблиця 1'!$I:$I,"Mi-24",'Таблиця 1'!$J:$J,"Hydra-70"))</f>
        <v/>
      </c>
      <c r="K679">
        <f>IF($A679="","",SUMIFS('Таблиця 1'!$K:$K,'Таблиця 1'!$B:$B,$A679,'Таблиця 1'!$I:$I,"Mi-8",'Таблиця 1'!$J:$J,"Thales-70")+SUMIFS('Таблиця 1'!$K:$K,'Таблиця 1'!$B:$B,$A679,'Таблиця 1'!$I:$I,"Mi-24",'Таблиця 1'!$J:$J,"Thales-70"))</f>
        <v/>
      </c>
      <c r="L679">
        <f>IF($A679="","",SUMIFS('Таблиця 1'!$K:$K,'Таблиця 1'!$B:$B,$A679,'Таблиця 1'!$I:$I,"Mi-8",'Таблиця 1'!$J:$J,"Thales-FZ")+SUMIFS('Таблиця 1'!$K:$K,'Таблиця 1'!$B:$B,$A679,'Таблиця 1'!$I:$I,"Mi-24",'Таблиця 1'!$J:$J,"Thales-FZ"))</f>
        <v/>
      </c>
      <c r="M679">
        <f>IF($A679="","",SUMIFS('Таблиця 1'!$K:$K,'Таблиця 1'!$B:$B,$A679,'Таблиця 1'!$I:$I,"Mi-8",'Таблиця 1'!$J:$J,"МК-40")+SUMIFS('Таблиця 1'!$K:$K,'Таблиця 1'!$B:$B,$A679,'Таблиця 1'!$I:$I,"Mi-24",'Таблиця 1'!$J:$J,"МК-40"))</f>
        <v/>
      </c>
      <c r="N679">
        <f>IF($A679="","",SUMIFS('Таблиця 1'!$K:$K,'Таблиця 1'!$B:$B,$A679,'Таблиця 1'!$I:$I,"Mi-8",'Таблиця 1'!$J:$J,"Zuni")+SUMIFS('Таблиця 1'!$K:$K,'Таблиця 1'!$B:$B,$A679,'Таблиця 1'!$I:$I,"Mi-24",'Таблиця 1'!$J:$J,"Zuni"))</f>
        <v/>
      </c>
      <c r="O679">
        <f>IF($A679="","",COUNTIFS('Таблиця 1'!$B:$B,$A679,'Таблиця 1'!$I:$I,"Mi-8",'Таблиця 1'!$L:$L,"Уражено")+COUNTIFS('Таблиця 1'!$B:$B,$A679,'Таблиця 1'!$I:$I,"Mi-24",'Таблиця 1'!$L:$L,"Уражено"))</f>
        <v/>
      </c>
      <c r="P679">
        <f>IF($A679="","",COUNTIFS('Таблиця 1'!$B:$B,$A679,'Таблиця 1'!$I:$I,"Mi-8",'Таблиця 1'!$L:$L,"НЕ уражено")+COUNTIFS('Таблиця 1'!$B:$B,$A679,'Таблиця 1'!$I:$I,"Mi-24",'Таблиця 1'!$L:$L,"НЕ уражено"))</f>
        <v/>
      </c>
    </row>
    <row r="680">
      <c r="A680" s="273">
        <f>IF(A679="","",IF(A679+1&gt;MAX('Таблиця 1'!$B:$B),"",A679+1))</f>
        <v/>
      </c>
      <c r="B680">
        <f>IF($A680="","",COUNTIFS('Таблиця 1'!$B:$B,$A680,'Таблиця 1'!$I:$I,"Mi-8")+COUNTIFS('Таблиця 1'!$B:$B,$A680,'Таблиця 1'!$I:$I,"Mi-24"))</f>
        <v/>
      </c>
      <c r="C680">
        <f>IF($A680="","",COUNTIFS('Таблиця 1'!$B:$B,$A680,'Таблиця 1'!$I:$I,"Mi-8"))</f>
        <v/>
      </c>
      <c r="D680">
        <f>IF($A680="","",COUNTIFS('Таблиця 1'!$B:$B,$A680,'Таблиця 1'!$I:$I,"Mi-24"))</f>
        <v/>
      </c>
      <c r="E680">
        <f>IF($A680="","",SUMIFS('Таблиця 1'!$K:$K,'Таблиця 1'!$B:$B,$A680,'Таблиця 1'!$I:$I,"Mi-8",'Таблиця 1'!$J:$J,"ARS-8")+SUMIFS('Таблиця 1'!$K:$K,'Таблиця 1'!$B:$B,$A680,'Таблиця 1'!$I:$I,"Mi-24",'Таблиця 1'!$J:$J,"ARS-8"))</f>
        <v/>
      </c>
      <c r="F680">
        <f>IF($A680="","",SUMIFS('Таблиця 1'!$K:$K,'Таблиця 1'!$B:$B,$A680,'Таблиця 1'!$I:$I,"Mi-8",'Таблиця 1'!$J:$J,"С-8 ком")+SUMIFS('Таблиця 1'!$K:$K,'Таблиця 1'!$B:$B,$A680,'Таблиця 1'!$I:$I,"Mi-24",'Таблиця 1'!$J:$J,"С-8 ком"))</f>
        <v/>
      </c>
      <c r="G680">
        <f>IF($A680="","",SUMIFS('Таблиця 1'!$K:$K,'Таблиця 1'!$B:$B,$A680,'Таблиця 1'!$I:$I,"Mi-8",'Таблиця 1'!$J:$J,"PC-80")+SUMIFS('Таблиця 1'!$K:$K,'Таблиця 1'!$B:$B,$A680,'Таблиця 1'!$I:$I,"Mi-24",'Таблиця 1'!$J:$J,"PC-80"))</f>
        <v/>
      </c>
      <c r="H680">
        <f>IF($A680="","",SUMIFS('Таблиця 1'!$K:$K,'Таблиця 1'!$B:$B,$A680,'Таблиця 1'!$I:$I,"Mi-8",'Таблиця 1'!$J:$J,"UAR-80")+SUMIFS('Таблиця 1'!$K:$K,'Таблиця 1'!$B:$B,$A680,'Таблиця 1'!$I:$I,"Mi-24",'Таблиця 1'!$J:$J,"UAR-80"))</f>
        <v/>
      </c>
      <c r="I680">
        <f>IF($A680="","",SUMIFS('Таблиця 1'!$K:$K,'Таблиця 1'!$B:$B,$A680,'Таблиця 1'!$I:$I,"Mi-8",'Таблиця 1'!$J:$J,"C-13")+SUMIFS('Таблиця 1'!$K:$K,'Таблиця 1'!$B:$B,$A680,'Таблиця 1'!$I:$I,"Mi-24",'Таблиця 1'!$J:$J,"C-13"))</f>
        <v/>
      </c>
      <c r="J680">
        <f>IF($A680="","",SUMIFS('Таблиця 1'!$K:$K,'Таблиця 1'!$B:$B,$A680,'Таблиця 1'!$I:$I,"Mi-8",'Таблиця 1'!$J:$J,"Hydra-70")+SUMIFS('Таблиця 1'!$K:$K,'Таблиця 1'!$B:$B,$A680,'Таблиця 1'!$I:$I,"Mi-24",'Таблиця 1'!$J:$J,"Hydra-70"))</f>
        <v/>
      </c>
      <c r="K680">
        <f>IF($A680="","",SUMIFS('Таблиця 1'!$K:$K,'Таблиця 1'!$B:$B,$A680,'Таблиця 1'!$I:$I,"Mi-8",'Таблиця 1'!$J:$J,"Thales-70")+SUMIFS('Таблиця 1'!$K:$K,'Таблиця 1'!$B:$B,$A680,'Таблиця 1'!$I:$I,"Mi-24",'Таблиця 1'!$J:$J,"Thales-70"))</f>
        <v/>
      </c>
      <c r="L680">
        <f>IF($A680="","",SUMIFS('Таблиця 1'!$K:$K,'Таблиця 1'!$B:$B,$A680,'Таблиця 1'!$I:$I,"Mi-8",'Таблиця 1'!$J:$J,"Thales-FZ")+SUMIFS('Таблиця 1'!$K:$K,'Таблиця 1'!$B:$B,$A680,'Таблиця 1'!$I:$I,"Mi-24",'Таблиця 1'!$J:$J,"Thales-FZ"))</f>
        <v/>
      </c>
      <c r="M680">
        <f>IF($A680="","",SUMIFS('Таблиця 1'!$K:$K,'Таблиця 1'!$B:$B,$A680,'Таблиця 1'!$I:$I,"Mi-8",'Таблиця 1'!$J:$J,"МК-40")+SUMIFS('Таблиця 1'!$K:$K,'Таблиця 1'!$B:$B,$A680,'Таблиця 1'!$I:$I,"Mi-24",'Таблиця 1'!$J:$J,"МК-40"))</f>
        <v/>
      </c>
      <c r="N680">
        <f>IF($A680="","",SUMIFS('Таблиця 1'!$K:$K,'Таблиця 1'!$B:$B,$A680,'Таблиця 1'!$I:$I,"Mi-8",'Таблиця 1'!$J:$J,"Zuni")+SUMIFS('Таблиця 1'!$K:$K,'Таблиця 1'!$B:$B,$A680,'Таблиця 1'!$I:$I,"Mi-24",'Таблиця 1'!$J:$J,"Zuni"))</f>
        <v/>
      </c>
      <c r="O680">
        <f>IF($A680="","",COUNTIFS('Таблиця 1'!$B:$B,$A680,'Таблиця 1'!$I:$I,"Mi-8",'Таблиця 1'!$L:$L,"Уражено")+COUNTIFS('Таблиця 1'!$B:$B,$A680,'Таблиця 1'!$I:$I,"Mi-24",'Таблиця 1'!$L:$L,"Уражено"))</f>
        <v/>
      </c>
      <c r="P680">
        <f>IF($A680="","",COUNTIFS('Таблиця 1'!$B:$B,$A680,'Таблиця 1'!$I:$I,"Mi-8",'Таблиця 1'!$L:$L,"НЕ уражено")+COUNTIFS('Таблиця 1'!$B:$B,$A680,'Таблиця 1'!$I:$I,"Mi-24",'Таблиця 1'!$L:$L,"НЕ уражено"))</f>
        <v/>
      </c>
    </row>
    <row r="681">
      <c r="A681" s="273">
        <f>IF(A680="","",IF(A680+1&gt;MAX('Таблиця 1'!$B:$B),"",A680+1))</f>
        <v/>
      </c>
      <c r="B681">
        <f>IF($A681="","",COUNTIFS('Таблиця 1'!$B:$B,$A681,'Таблиця 1'!$I:$I,"Mi-8")+COUNTIFS('Таблиця 1'!$B:$B,$A681,'Таблиця 1'!$I:$I,"Mi-24"))</f>
        <v/>
      </c>
      <c r="C681">
        <f>IF($A681="","",COUNTIFS('Таблиця 1'!$B:$B,$A681,'Таблиця 1'!$I:$I,"Mi-8"))</f>
        <v/>
      </c>
      <c r="D681">
        <f>IF($A681="","",COUNTIFS('Таблиця 1'!$B:$B,$A681,'Таблиця 1'!$I:$I,"Mi-24"))</f>
        <v/>
      </c>
      <c r="E681">
        <f>IF($A681="","",SUMIFS('Таблиця 1'!$K:$K,'Таблиця 1'!$B:$B,$A681,'Таблиця 1'!$I:$I,"Mi-8",'Таблиця 1'!$J:$J,"ARS-8")+SUMIFS('Таблиця 1'!$K:$K,'Таблиця 1'!$B:$B,$A681,'Таблиця 1'!$I:$I,"Mi-24",'Таблиця 1'!$J:$J,"ARS-8"))</f>
        <v/>
      </c>
      <c r="F681">
        <f>IF($A681="","",SUMIFS('Таблиця 1'!$K:$K,'Таблиця 1'!$B:$B,$A681,'Таблиця 1'!$I:$I,"Mi-8",'Таблиця 1'!$J:$J,"С-8 ком")+SUMIFS('Таблиця 1'!$K:$K,'Таблиця 1'!$B:$B,$A681,'Таблиця 1'!$I:$I,"Mi-24",'Таблиця 1'!$J:$J,"С-8 ком"))</f>
        <v/>
      </c>
      <c r="G681">
        <f>IF($A681="","",SUMIFS('Таблиця 1'!$K:$K,'Таблиця 1'!$B:$B,$A681,'Таблиця 1'!$I:$I,"Mi-8",'Таблиця 1'!$J:$J,"PC-80")+SUMIFS('Таблиця 1'!$K:$K,'Таблиця 1'!$B:$B,$A681,'Таблиця 1'!$I:$I,"Mi-24",'Таблиця 1'!$J:$J,"PC-80"))</f>
        <v/>
      </c>
      <c r="H681">
        <f>IF($A681="","",SUMIFS('Таблиця 1'!$K:$K,'Таблиця 1'!$B:$B,$A681,'Таблиця 1'!$I:$I,"Mi-8",'Таблиця 1'!$J:$J,"UAR-80")+SUMIFS('Таблиця 1'!$K:$K,'Таблиця 1'!$B:$B,$A681,'Таблиця 1'!$I:$I,"Mi-24",'Таблиця 1'!$J:$J,"UAR-80"))</f>
        <v/>
      </c>
      <c r="I681">
        <f>IF($A681="","",SUMIFS('Таблиця 1'!$K:$K,'Таблиця 1'!$B:$B,$A681,'Таблиця 1'!$I:$I,"Mi-8",'Таблиця 1'!$J:$J,"C-13")+SUMIFS('Таблиця 1'!$K:$K,'Таблиця 1'!$B:$B,$A681,'Таблиця 1'!$I:$I,"Mi-24",'Таблиця 1'!$J:$J,"C-13"))</f>
        <v/>
      </c>
      <c r="J681">
        <f>IF($A681="","",SUMIFS('Таблиця 1'!$K:$K,'Таблиця 1'!$B:$B,$A681,'Таблиця 1'!$I:$I,"Mi-8",'Таблиця 1'!$J:$J,"Hydra-70")+SUMIFS('Таблиця 1'!$K:$K,'Таблиця 1'!$B:$B,$A681,'Таблиця 1'!$I:$I,"Mi-24",'Таблиця 1'!$J:$J,"Hydra-70"))</f>
        <v/>
      </c>
      <c r="K681">
        <f>IF($A681="","",SUMIFS('Таблиця 1'!$K:$K,'Таблиця 1'!$B:$B,$A681,'Таблиця 1'!$I:$I,"Mi-8",'Таблиця 1'!$J:$J,"Thales-70")+SUMIFS('Таблиця 1'!$K:$K,'Таблиця 1'!$B:$B,$A681,'Таблиця 1'!$I:$I,"Mi-24",'Таблиця 1'!$J:$J,"Thales-70"))</f>
        <v/>
      </c>
      <c r="L681">
        <f>IF($A681="","",SUMIFS('Таблиця 1'!$K:$K,'Таблиця 1'!$B:$B,$A681,'Таблиця 1'!$I:$I,"Mi-8",'Таблиця 1'!$J:$J,"Thales-FZ")+SUMIFS('Таблиця 1'!$K:$K,'Таблиця 1'!$B:$B,$A681,'Таблиця 1'!$I:$I,"Mi-24",'Таблиця 1'!$J:$J,"Thales-FZ"))</f>
        <v/>
      </c>
      <c r="M681">
        <f>IF($A681="","",SUMIFS('Таблиця 1'!$K:$K,'Таблиця 1'!$B:$B,$A681,'Таблиця 1'!$I:$I,"Mi-8",'Таблиця 1'!$J:$J,"МК-40")+SUMIFS('Таблиця 1'!$K:$K,'Таблиця 1'!$B:$B,$A681,'Таблиця 1'!$I:$I,"Mi-24",'Таблиця 1'!$J:$J,"МК-40"))</f>
        <v/>
      </c>
      <c r="N681">
        <f>IF($A681="","",SUMIFS('Таблиця 1'!$K:$K,'Таблиця 1'!$B:$B,$A681,'Таблиця 1'!$I:$I,"Mi-8",'Таблиця 1'!$J:$J,"Zuni")+SUMIFS('Таблиця 1'!$K:$K,'Таблиця 1'!$B:$B,$A681,'Таблиця 1'!$I:$I,"Mi-24",'Таблиця 1'!$J:$J,"Zuni"))</f>
        <v/>
      </c>
      <c r="O681">
        <f>IF($A681="","",COUNTIFS('Таблиця 1'!$B:$B,$A681,'Таблиця 1'!$I:$I,"Mi-8",'Таблиця 1'!$L:$L,"Уражено")+COUNTIFS('Таблиця 1'!$B:$B,$A681,'Таблиця 1'!$I:$I,"Mi-24",'Таблиця 1'!$L:$L,"Уражено"))</f>
        <v/>
      </c>
      <c r="P681">
        <f>IF($A681="","",COUNTIFS('Таблиця 1'!$B:$B,$A681,'Таблиця 1'!$I:$I,"Mi-8",'Таблиця 1'!$L:$L,"НЕ уражено")+COUNTIFS('Таблиця 1'!$B:$B,$A681,'Таблиця 1'!$I:$I,"Mi-24",'Таблиця 1'!$L:$L,"НЕ уражено"))</f>
        <v/>
      </c>
    </row>
    <row r="682">
      <c r="A682" s="273">
        <f>IF(A681="","",IF(A681+1&gt;MAX('Таблиця 1'!$B:$B),"",A681+1))</f>
        <v/>
      </c>
      <c r="B682">
        <f>IF($A682="","",COUNTIFS('Таблиця 1'!$B:$B,$A682,'Таблиця 1'!$I:$I,"Mi-8")+COUNTIFS('Таблиця 1'!$B:$B,$A682,'Таблиця 1'!$I:$I,"Mi-24"))</f>
        <v/>
      </c>
      <c r="C682">
        <f>IF($A682="","",COUNTIFS('Таблиця 1'!$B:$B,$A682,'Таблиця 1'!$I:$I,"Mi-8"))</f>
        <v/>
      </c>
      <c r="D682">
        <f>IF($A682="","",COUNTIFS('Таблиця 1'!$B:$B,$A682,'Таблиця 1'!$I:$I,"Mi-24"))</f>
        <v/>
      </c>
      <c r="E682">
        <f>IF($A682="","",SUMIFS('Таблиця 1'!$K:$K,'Таблиця 1'!$B:$B,$A682,'Таблиця 1'!$I:$I,"Mi-8",'Таблиця 1'!$J:$J,"ARS-8")+SUMIFS('Таблиця 1'!$K:$K,'Таблиця 1'!$B:$B,$A682,'Таблиця 1'!$I:$I,"Mi-24",'Таблиця 1'!$J:$J,"ARS-8"))</f>
        <v/>
      </c>
      <c r="F682">
        <f>IF($A682="","",SUMIFS('Таблиця 1'!$K:$K,'Таблиця 1'!$B:$B,$A682,'Таблиця 1'!$I:$I,"Mi-8",'Таблиця 1'!$J:$J,"С-8 ком")+SUMIFS('Таблиця 1'!$K:$K,'Таблиця 1'!$B:$B,$A682,'Таблиця 1'!$I:$I,"Mi-24",'Таблиця 1'!$J:$J,"С-8 ком"))</f>
        <v/>
      </c>
      <c r="G682">
        <f>IF($A682="","",SUMIFS('Таблиця 1'!$K:$K,'Таблиця 1'!$B:$B,$A682,'Таблиця 1'!$I:$I,"Mi-8",'Таблиця 1'!$J:$J,"PC-80")+SUMIFS('Таблиця 1'!$K:$K,'Таблиця 1'!$B:$B,$A682,'Таблиця 1'!$I:$I,"Mi-24",'Таблиця 1'!$J:$J,"PC-80"))</f>
        <v/>
      </c>
      <c r="H682">
        <f>IF($A682="","",SUMIFS('Таблиця 1'!$K:$K,'Таблиця 1'!$B:$B,$A682,'Таблиця 1'!$I:$I,"Mi-8",'Таблиця 1'!$J:$J,"UAR-80")+SUMIFS('Таблиця 1'!$K:$K,'Таблиця 1'!$B:$B,$A682,'Таблиця 1'!$I:$I,"Mi-24",'Таблиця 1'!$J:$J,"UAR-80"))</f>
        <v/>
      </c>
      <c r="I682">
        <f>IF($A682="","",SUMIFS('Таблиця 1'!$K:$K,'Таблиця 1'!$B:$B,$A682,'Таблиця 1'!$I:$I,"Mi-8",'Таблиця 1'!$J:$J,"C-13")+SUMIFS('Таблиця 1'!$K:$K,'Таблиця 1'!$B:$B,$A682,'Таблиця 1'!$I:$I,"Mi-24",'Таблиця 1'!$J:$J,"C-13"))</f>
        <v/>
      </c>
      <c r="J682">
        <f>IF($A682="","",SUMIFS('Таблиця 1'!$K:$K,'Таблиця 1'!$B:$B,$A682,'Таблиця 1'!$I:$I,"Mi-8",'Таблиця 1'!$J:$J,"Hydra-70")+SUMIFS('Таблиця 1'!$K:$K,'Таблиця 1'!$B:$B,$A682,'Таблиця 1'!$I:$I,"Mi-24",'Таблиця 1'!$J:$J,"Hydra-70"))</f>
        <v/>
      </c>
      <c r="K682">
        <f>IF($A682="","",SUMIFS('Таблиця 1'!$K:$K,'Таблиця 1'!$B:$B,$A682,'Таблиця 1'!$I:$I,"Mi-8",'Таблиця 1'!$J:$J,"Thales-70")+SUMIFS('Таблиця 1'!$K:$K,'Таблиця 1'!$B:$B,$A682,'Таблиця 1'!$I:$I,"Mi-24",'Таблиця 1'!$J:$J,"Thales-70"))</f>
        <v/>
      </c>
      <c r="L682">
        <f>IF($A682="","",SUMIFS('Таблиця 1'!$K:$K,'Таблиця 1'!$B:$B,$A682,'Таблиця 1'!$I:$I,"Mi-8",'Таблиця 1'!$J:$J,"Thales-FZ")+SUMIFS('Таблиця 1'!$K:$K,'Таблиця 1'!$B:$B,$A682,'Таблиця 1'!$I:$I,"Mi-24",'Таблиця 1'!$J:$J,"Thales-FZ"))</f>
        <v/>
      </c>
      <c r="M682">
        <f>IF($A682="","",SUMIFS('Таблиця 1'!$K:$K,'Таблиця 1'!$B:$B,$A682,'Таблиця 1'!$I:$I,"Mi-8",'Таблиця 1'!$J:$J,"МК-40")+SUMIFS('Таблиця 1'!$K:$K,'Таблиця 1'!$B:$B,$A682,'Таблиця 1'!$I:$I,"Mi-24",'Таблиця 1'!$J:$J,"МК-40"))</f>
        <v/>
      </c>
      <c r="N682">
        <f>IF($A682="","",SUMIFS('Таблиця 1'!$K:$K,'Таблиця 1'!$B:$B,$A682,'Таблиця 1'!$I:$I,"Mi-8",'Таблиця 1'!$J:$J,"Zuni")+SUMIFS('Таблиця 1'!$K:$K,'Таблиця 1'!$B:$B,$A682,'Таблиця 1'!$I:$I,"Mi-24",'Таблиця 1'!$J:$J,"Zuni"))</f>
        <v/>
      </c>
      <c r="O682">
        <f>IF($A682="","",COUNTIFS('Таблиця 1'!$B:$B,$A682,'Таблиця 1'!$I:$I,"Mi-8",'Таблиця 1'!$L:$L,"Уражено")+COUNTIFS('Таблиця 1'!$B:$B,$A682,'Таблиця 1'!$I:$I,"Mi-24",'Таблиця 1'!$L:$L,"Уражено"))</f>
        <v/>
      </c>
      <c r="P682">
        <f>IF($A682="","",COUNTIFS('Таблиця 1'!$B:$B,$A682,'Таблиця 1'!$I:$I,"Mi-8",'Таблиця 1'!$L:$L,"НЕ уражено")+COUNTIFS('Таблиця 1'!$B:$B,$A682,'Таблиця 1'!$I:$I,"Mi-24",'Таблиця 1'!$L:$L,"НЕ уражено"))</f>
        <v/>
      </c>
    </row>
    <row r="683">
      <c r="A683" s="273">
        <f>IF(A682="","",IF(A682+1&gt;MAX('Таблиця 1'!$B:$B),"",A682+1))</f>
        <v/>
      </c>
      <c r="B683">
        <f>IF($A683="","",COUNTIFS('Таблиця 1'!$B:$B,$A683,'Таблиця 1'!$I:$I,"Mi-8")+COUNTIFS('Таблиця 1'!$B:$B,$A683,'Таблиця 1'!$I:$I,"Mi-24"))</f>
        <v/>
      </c>
      <c r="C683">
        <f>IF($A683="","",COUNTIFS('Таблиця 1'!$B:$B,$A683,'Таблиця 1'!$I:$I,"Mi-8"))</f>
        <v/>
      </c>
      <c r="D683">
        <f>IF($A683="","",COUNTIFS('Таблиця 1'!$B:$B,$A683,'Таблиця 1'!$I:$I,"Mi-24"))</f>
        <v/>
      </c>
      <c r="E683">
        <f>IF($A683="","",SUMIFS('Таблиця 1'!$K:$K,'Таблиця 1'!$B:$B,$A683,'Таблиця 1'!$I:$I,"Mi-8",'Таблиця 1'!$J:$J,"ARS-8")+SUMIFS('Таблиця 1'!$K:$K,'Таблиця 1'!$B:$B,$A683,'Таблиця 1'!$I:$I,"Mi-24",'Таблиця 1'!$J:$J,"ARS-8"))</f>
        <v/>
      </c>
      <c r="F683">
        <f>IF($A683="","",SUMIFS('Таблиця 1'!$K:$K,'Таблиця 1'!$B:$B,$A683,'Таблиця 1'!$I:$I,"Mi-8",'Таблиця 1'!$J:$J,"С-8 ком")+SUMIFS('Таблиця 1'!$K:$K,'Таблиця 1'!$B:$B,$A683,'Таблиця 1'!$I:$I,"Mi-24",'Таблиця 1'!$J:$J,"С-8 ком"))</f>
        <v/>
      </c>
      <c r="G683">
        <f>IF($A683="","",SUMIFS('Таблиця 1'!$K:$K,'Таблиця 1'!$B:$B,$A683,'Таблиця 1'!$I:$I,"Mi-8",'Таблиця 1'!$J:$J,"PC-80")+SUMIFS('Таблиця 1'!$K:$K,'Таблиця 1'!$B:$B,$A683,'Таблиця 1'!$I:$I,"Mi-24",'Таблиця 1'!$J:$J,"PC-80"))</f>
        <v/>
      </c>
      <c r="H683">
        <f>IF($A683="","",SUMIFS('Таблиця 1'!$K:$K,'Таблиця 1'!$B:$B,$A683,'Таблиця 1'!$I:$I,"Mi-8",'Таблиця 1'!$J:$J,"UAR-80")+SUMIFS('Таблиця 1'!$K:$K,'Таблиця 1'!$B:$B,$A683,'Таблиця 1'!$I:$I,"Mi-24",'Таблиця 1'!$J:$J,"UAR-80"))</f>
        <v/>
      </c>
      <c r="I683">
        <f>IF($A683="","",SUMIFS('Таблиця 1'!$K:$K,'Таблиця 1'!$B:$B,$A683,'Таблиця 1'!$I:$I,"Mi-8",'Таблиця 1'!$J:$J,"C-13")+SUMIFS('Таблиця 1'!$K:$K,'Таблиця 1'!$B:$B,$A683,'Таблиця 1'!$I:$I,"Mi-24",'Таблиця 1'!$J:$J,"C-13"))</f>
        <v/>
      </c>
      <c r="J683">
        <f>IF($A683="","",SUMIFS('Таблиця 1'!$K:$K,'Таблиця 1'!$B:$B,$A683,'Таблиця 1'!$I:$I,"Mi-8",'Таблиця 1'!$J:$J,"Hydra-70")+SUMIFS('Таблиця 1'!$K:$K,'Таблиця 1'!$B:$B,$A683,'Таблиця 1'!$I:$I,"Mi-24",'Таблиця 1'!$J:$J,"Hydra-70"))</f>
        <v/>
      </c>
      <c r="K683">
        <f>IF($A683="","",SUMIFS('Таблиця 1'!$K:$K,'Таблиця 1'!$B:$B,$A683,'Таблиця 1'!$I:$I,"Mi-8",'Таблиця 1'!$J:$J,"Thales-70")+SUMIFS('Таблиця 1'!$K:$K,'Таблиця 1'!$B:$B,$A683,'Таблиця 1'!$I:$I,"Mi-24",'Таблиця 1'!$J:$J,"Thales-70"))</f>
        <v/>
      </c>
      <c r="L683">
        <f>IF($A683="","",SUMIFS('Таблиця 1'!$K:$K,'Таблиця 1'!$B:$B,$A683,'Таблиця 1'!$I:$I,"Mi-8",'Таблиця 1'!$J:$J,"Thales-FZ")+SUMIFS('Таблиця 1'!$K:$K,'Таблиця 1'!$B:$B,$A683,'Таблиця 1'!$I:$I,"Mi-24",'Таблиця 1'!$J:$J,"Thales-FZ"))</f>
        <v/>
      </c>
      <c r="M683">
        <f>IF($A683="","",SUMIFS('Таблиця 1'!$K:$K,'Таблиця 1'!$B:$B,$A683,'Таблиця 1'!$I:$I,"Mi-8",'Таблиця 1'!$J:$J,"МК-40")+SUMIFS('Таблиця 1'!$K:$K,'Таблиця 1'!$B:$B,$A683,'Таблиця 1'!$I:$I,"Mi-24",'Таблиця 1'!$J:$J,"МК-40"))</f>
        <v/>
      </c>
      <c r="N683">
        <f>IF($A683="","",SUMIFS('Таблиця 1'!$K:$K,'Таблиця 1'!$B:$B,$A683,'Таблиця 1'!$I:$I,"Mi-8",'Таблиця 1'!$J:$J,"Zuni")+SUMIFS('Таблиця 1'!$K:$K,'Таблиця 1'!$B:$B,$A683,'Таблиця 1'!$I:$I,"Mi-24",'Таблиця 1'!$J:$J,"Zuni"))</f>
        <v/>
      </c>
      <c r="O683">
        <f>IF($A683="","",COUNTIFS('Таблиця 1'!$B:$B,$A683,'Таблиця 1'!$I:$I,"Mi-8",'Таблиця 1'!$L:$L,"Уражено")+COUNTIFS('Таблиця 1'!$B:$B,$A683,'Таблиця 1'!$I:$I,"Mi-24",'Таблиця 1'!$L:$L,"Уражено"))</f>
        <v/>
      </c>
      <c r="P683">
        <f>IF($A683="","",COUNTIFS('Таблиця 1'!$B:$B,$A683,'Таблиця 1'!$I:$I,"Mi-8",'Таблиця 1'!$L:$L,"НЕ уражено")+COUNTIFS('Таблиця 1'!$B:$B,$A683,'Таблиця 1'!$I:$I,"Mi-24",'Таблиця 1'!$L:$L,"НЕ уражено"))</f>
        <v/>
      </c>
    </row>
    <row r="684">
      <c r="A684" s="273">
        <f>IF(A683="","",IF(A683+1&gt;MAX('Таблиця 1'!$B:$B),"",A683+1))</f>
        <v/>
      </c>
      <c r="B684">
        <f>IF($A684="","",COUNTIFS('Таблиця 1'!$B:$B,$A684,'Таблиця 1'!$I:$I,"Mi-8")+COUNTIFS('Таблиця 1'!$B:$B,$A684,'Таблиця 1'!$I:$I,"Mi-24"))</f>
        <v/>
      </c>
      <c r="C684">
        <f>IF($A684="","",COUNTIFS('Таблиця 1'!$B:$B,$A684,'Таблиця 1'!$I:$I,"Mi-8"))</f>
        <v/>
      </c>
      <c r="D684">
        <f>IF($A684="","",COUNTIFS('Таблиця 1'!$B:$B,$A684,'Таблиця 1'!$I:$I,"Mi-24"))</f>
        <v/>
      </c>
      <c r="E684">
        <f>IF($A684="","",SUMIFS('Таблиця 1'!$K:$K,'Таблиця 1'!$B:$B,$A684,'Таблиця 1'!$I:$I,"Mi-8",'Таблиця 1'!$J:$J,"ARS-8")+SUMIFS('Таблиця 1'!$K:$K,'Таблиця 1'!$B:$B,$A684,'Таблиця 1'!$I:$I,"Mi-24",'Таблиця 1'!$J:$J,"ARS-8"))</f>
        <v/>
      </c>
      <c r="F684">
        <f>IF($A684="","",SUMIFS('Таблиця 1'!$K:$K,'Таблиця 1'!$B:$B,$A684,'Таблиця 1'!$I:$I,"Mi-8",'Таблиця 1'!$J:$J,"С-8 ком")+SUMIFS('Таблиця 1'!$K:$K,'Таблиця 1'!$B:$B,$A684,'Таблиця 1'!$I:$I,"Mi-24",'Таблиця 1'!$J:$J,"С-8 ком"))</f>
        <v/>
      </c>
      <c r="G684">
        <f>IF($A684="","",SUMIFS('Таблиця 1'!$K:$K,'Таблиця 1'!$B:$B,$A684,'Таблиця 1'!$I:$I,"Mi-8",'Таблиця 1'!$J:$J,"PC-80")+SUMIFS('Таблиця 1'!$K:$K,'Таблиця 1'!$B:$B,$A684,'Таблиця 1'!$I:$I,"Mi-24",'Таблиця 1'!$J:$J,"PC-80"))</f>
        <v/>
      </c>
      <c r="H684">
        <f>IF($A684="","",SUMIFS('Таблиця 1'!$K:$K,'Таблиця 1'!$B:$B,$A684,'Таблиця 1'!$I:$I,"Mi-8",'Таблиця 1'!$J:$J,"UAR-80")+SUMIFS('Таблиця 1'!$K:$K,'Таблиця 1'!$B:$B,$A684,'Таблиця 1'!$I:$I,"Mi-24",'Таблиця 1'!$J:$J,"UAR-80"))</f>
        <v/>
      </c>
      <c r="I684">
        <f>IF($A684="","",SUMIFS('Таблиця 1'!$K:$K,'Таблиця 1'!$B:$B,$A684,'Таблиця 1'!$I:$I,"Mi-8",'Таблиця 1'!$J:$J,"C-13")+SUMIFS('Таблиця 1'!$K:$K,'Таблиця 1'!$B:$B,$A684,'Таблиця 1'!$I:$I,"Mi-24",'Таблиця 1'!$J:$J,"C-13"))</f>
        <v/>
      </c>
      <c r="J684">
        <f>IF($A684="","",SUMIFS('Таблиця 1'!$K:$K,'Таблиця 1'!$B:$B,$A684,'Таблиця 1'!$I:$I,"Mi-8",'Таблиця 1'!$J:$J,"Hydra-70")+SUMIFS('Таблиця 1'!$K:$K,'Таблиця 1'!$B:$B,$A684,'Таблиця 1'!$I:$I,"Mi-24",'Таблиця 1'!$J:$J,"Hydra-70"))</f>
        <v/>
      </c>
      <c r="K684">
        <f>IF($A684="","",SUMIFS('Таблиця 1'!$K:$K,'Таблиця 1'!$B:$B,$A684,'Таблиця 1'!$I:$I,"Mi-8",'Таблиця 1'!$J:$J,"Thales-70")+SUMIFS('Таблиця 1'!$K:$K,'Таблиця 1'!$B:$B,$A684,'Таблиця 1'!$I:$I,"Mi-24",'Таблиця 1'!$J:$J,"Thales-70"))</f>
        <v/>
      </c>
      <c r="L684">
        <f>IF($A684="","",SUMIFS('Таблиця 1'!$K:$K,'Таблиця 1'!$B:$B,$A684,'Таблиця 1'!$I:$I,"Mi-8",'Таблиця 1'!$J:$J,"Thales-FZ")+SUMIFS('Таблиця 1'!$K:$K,'Таблиця 1'!$B:$B,$A684,'Таблиця 1'!$I:$I,"Mi-24",'Таблиця 1'!$J:$J,"Thales-FZ"))</f>
        <v/>
      </c>
      <c r="M684">
        <f>IF($A684="","",SUMIFS('Таблиця 1'!$K:$K,'Таблиця 1'!$B:$B,$A684,'Таблиця 1'!$I:$I,"Mi-8",'Таблиця 1'!$J:$J,"МК-40")+SUMIFS('Таблиця 1'!$K:$K,'Таблиця 1'!$B:$B,$A684,'Таблиця 1'!$I:$I,"Mi-24",'Таблиця 1'!$J:$J,"МК-40"))</f>
        <v/>
      </c>
      <c r="N684">
        <f>IF($A684="","",SUMIFS('Таблиця 1'!$K:$K,'Таблиця 1'!$B:$B,$A684,'Таблиця 1'!$I:$I,"Mi-8",'Таблиця 1'!$J:$J,"Zuni")+SUMIFS('Таблиця 1'!$K:$K,'Таблиця 1'!$B:$B,$A684,'Таблиця 1'!$I:$I,"Mi-24",'Таблиця 1'!$J:$J,"Zuni"))</f>
        <v/>
      </c>
      <c r="O684">
        <f>IF($A684="","",COUNTIFS('Таблиця 1'!$B:$B,$A684,'Таблиця 1'!$I:$I,"Mi-8",'Таблиця 1'!$L:$L,"Уражено")+COUNTIFS('Таблиця 1'!$B:$B,$A684,'Таблиця 1'!$I:$I,"Mi-24",'Таблиця 1'!$L:$L,"Уражено"))</f>
        <v/>
      </c>
      <c r="P684">
        <f>IF($A684="","",COUNTIFS('Таблиця 1'!$B:$B,$A684,'Таблиця 1'!$I:$I,"Mi-8",'Таблиця 1'!$L:$L,"НЕ уражено")+COUNTIFS('Таблиця 1'!$B:$B,$A684,'Таблиця 1'!$I:$I,"Mi-24",'Таблиця 1'!$L:$L,"НЕ уражено"))</f>
        <v/>
      </c>
    </row>
    <row r="685">
      <c r="A685" s="273">
        <f>IF(A684="","",IF(A684+1&gt;MAX('Таблиця 1'!$B:$B),"",A684+1))</f>
        <v/>
      </c>
      <c r="B685">
        <f>IF($A685="","",COUNTIFS('Таблиця 1'!$B:$B,$A685,'Таблиця 1'!$I:$I,"Mi-8")+COUNTIFS('Таблиця 1'!$B:$B,$A685,'Таблиця 1'!$I:$I,"Mi-24"))</f>
        <v/>
      </c>
      <c r="C685">
        <f>IF($A685="","",COUNTIFS('Таблиця 1'!$B:$B,$A685,'Таблиця 1'!$I:$I,"Mi-8"))</f>
        <v/>
      </c>
      <c r="D685">
        <f>IF($A685="","",COUNTIFS('Таблиця 1'!$B:$B,$A685,'Таблиця 1'!$I:$I,"Mi-24"))</f>
        <v/>
      </c>
      <c r="E685">
        <f>IF($A685="","",SUMIFS('Таблиця 1'!$K:$K,'Таблиця 1'!$B:$B,$A685,'Таблиця 1'!$I:$I,"Mi-8",'Таблиця 1'!$J:$J,"ARS-8")+SUMIFS('Таблиця 1'!$K:$K,'Таблиця 1'!$B:$B,$A685,'Таблиця 1'!$I:$I,"Mi-24",'Таблиця 1'!$J:$J,"ARS-8"))</f>
        <v/>
      </c>
      <c r="F685">
        <f>IF($A685="","",SUMIFS('Таблиця 1'!$K:$K,'Таблиця 1'!$B:$B,$A685,'Таблиця 1'!$I:$I,"Mi-8",'Таблиця 1'!$J:$J,"С-8 ком")+SUMIFS('Таблиця 1'!$K:$K,'Таблиця 1'!$B:$B,$A685,'Таблиця 1'!$I:$I,"Mi-24",'Таблиця 1'!$J:$J,"С-8 ком"))</f>
        <v/>
      </c>
      <c r="G685">
        <f>IF($A685="","",SUMIFS('Таблиця 1'!$K:$K,'Таблиця 1'!$B:$B,$A685,'Таблиця 1'!$I:$I,"Mi-8",'Таблиця 1'!$J:$J,"PC-80")+SUMIFS('Таблиця 1'!$K:$K,'Таблиця 1'!$B:$B,$A685,'Таблиця 1'!$I:$I,"Mi-24",'Таблиця 1'!$J:$J,"PC-80"))</f>
        <v/>
      </c>
      <c r="H685">
        <f>IF($A685="","",SUMIFS('Таблиця 1'!$K:$K,'Таблиця 1'!$B:$B,$A685,'Таблиця 1'!$I:$I,"Mi-8",'Таблиця 1'!$J:$J,"UAR-80")+SUMIFS('Таблиця 1'!$K:$K,'Таблиця 1'!$B:$B,$A685,'Таблиця 1'!$I:$I,"Mi-24",'Таблиця 1'!$J:$J,"UAR-80"))</f>
        <v/>
      </c>
      <c r="I685">
        <f>IF($A685="","",SUMIFS('Таблиця 1'!$K:$K,'Таблиця 1'!$B:$B,$A685,'Таблиця 1'!$I:$I,"Mi-8",'Таблиця 1'!$J:$J,"C-13")+SUMIFS('Таблиця 1'!$K:$K,'Таблиця 1'!$B:$B,$A685,'Таблиця 1'!$I:$I,"Mi-24",'Таблиця 1'!$J:$J,"C-13"))</f>
        <v/>
      </c>
      <c r="J685">
        <f>IF($A685="","",SUMIFS('Таблиця 1'!$K:$K,'Таблиця 1'!$B:$B,$A685,'Таблиця 1'!$I:$I,"Mi-8",'Таблиця 1'!$J:$J,"Hydra-70")+SUMIFS('Таблиця 1'!$K:$K,'Таблиця 1'!$B:$B,$A685,'Таблиця 1'!$I:$I,"Mi-24",'Таблиця 1'!$J:$J,"Hydra-70"))</f>
        <v/>
      </c>
      <c r="K685">
        <f>IF($A685="","",SUMIFS('Таблиця 1'!$K:$K,'Таблиця 1'!$B:$B,$A685,'Таблиця 1'!$I:$I,"Mi-8",'Таблиця 1'!$J:$J,"Thales-70")+SUMIFS('Таблиця 1'!$K:$K,'Таблиця 1'!$B:$B,$A685,'Таблиця 1'!$I:$I,"Mi-24",'Таблиця 1'!$J:$J,"Thales-70"))</f>
        <v/>
      </c>
      <c r="L685">
        <f>IF($A685="","",SUMIFS('Таблиця 1'!$K:$K,'Таблиця 1'!$B:$B,$A685,'Таблиця 1'!$I:$I,"Mi-8",'Таблиця 1'!$J:$J,"Thales-FZ")+SUMIFS('Таблиця 1'!$K:$K,'Таблиця 1'!$B:$B,$A685,'Таблиця 1'!$I:$I,"Mi-24",'Таблиця 1'!$J:$J,"Thales-FZ"))</f>
        <v/>
      </c>
      <c r="M685">
        <f>IF($A685="","",SUMIFS('Таблиця 1'!$K:$K,'Таблиця 1'!$B:$B,$A685,'Таблиця 1'!$I:$I,"Mi-8",'Таблиця 1'!$J:$J,"МК-40")+SUMIFS('Таблиця 1'!$K:$K,'Таблиця 1'!$B:$B,$A685,'Таблиця 1'!$I:$I,"Mi-24",'Таблиця 1'!$J:$J,"МК-40"))</f>
        <v/>
      </c>
      <c r="N685">
        <f>IF($A685="","",SUMIFS('Таблиця 1'!$K:$K,'Таблиця 1'!$B:$B,$A685,'Таблиця 1'!$I:$I,"Mi-8",'Таблиця 1'!$J:$J,"Zuni")+SUMIFS('Таблиця 1'!$K:$K,'Таблиця 1'!$B:$B,$A685,'Таблиця 1'!$I:$I,"Mi-24",'Таблиця 1'!$J:$J,"Zuni"))</f>
        <v/>
      </c>
      <c r="O685">
        <f>IF($A685="","",COUNTIFS('Таблиця 1'!$B:$B,$A685,'Таблиця 1'!$I:$I,"Mi-8",'Таблиця 1'!$L:$L,"Уражено")+COUNTIFS('Таблиця 1'!$B:$B,$A685,'Таблиця 1'!$I:$I,"Mi-24",'Таблиця 1'!$L:$L,"Уражено"))</f>
        <v/>
      </c>
      <c r="P685">
        <f>IF($A685="","",COUNTIFS('Таблиця 1'!$B:$B,$A685,'Таблиця 1'!$I:$I,"Mi-8",'Таблиця 1'!$L:$L,"НЕ уражено")+COUNTIFS('Таблиця 1'!$B:$B,$A685,'Таблиця 1'!$I:$I,"Mi-24",'Таблиця 1'!$L:$L,"НЕ уражено"))</f>
        <v/>
      </c>
    </row>
    <row r="686">
      <c r="A686" s="273">
        <f>IF(A685="","",IF(A685+1&gt;MAX('Таблиця 1'!$B:$B),"",A685+1))</f>
        <v/>
      </c>
      <c r="B686">
        <f>IF($A686="","",COUNTIFS('Таблиця 1'!$B:$B,$A686,'Таблиця 1'!$I:$I,"Mi-8")+COUNTIFS('Таблиця 1'!$B:$B,$A686,'Таблиця 1'!$I:$I,"Mi-24"))</f>
        <v/>
      </c>
      <c r="C686">
        <f>IF($A686="","",COUNTIFS('Таблиця 1'!$B:$B,$A686,'Таблиця 1'!$I:$I,"Mi-8"))</f>
        <v/>
      </c>
      <c r="D686">
        <f>IF($A686="","",COUNTIFS('Таблиця 1'!$B:$B,$A686,'Таблиця 1'!$I:$I,"Mi-24"))</f>
        <v/>
      </c>
      <c r="E686">
        <f>IF($A686="","",SUMIFS('Таблиця 1'!$K:$K,'Таблиця 1'!$B:$B,$A686,'Таблиця 1'!$I:$I,"Mi-8",'Таблиця 1'!$J:$J,"ARS-8")+SUMIFS('Таблиця 1'!$K:$K,'Таблиця 1'!$B:$B,$A686,'Таблиця 1'!$I:$I,"Mi-24",'Таблиця 1'!$J:$J,"ARS-8"))</f>
        <v/>
      </c>
      <c r="F686">
        <f>IF($A686="","",SUMIFS('Таблиця 1'!$K:$K,'Таблиця 1'!$B:$B,$A686,'Таблиця 1'!$I:$I,"Mi-8",'Таблиця 1'!$J:$J,"С-8 ком")+SUMIFS('Таблиця 1'!$K:$K,'Таблиця 1'!$B:$B,$A686,'Таблиця 1'!$I:$I,"Mi-24",'Таблиця 1'!$J:$J,"С-8 ком"))</f>
        <v/>
      </c>
      <c r="G686">
        <f>IF($A686="","",SUMIFS('Таблиця 1'!$K:$K,'Таблиця 1'!$B:$B,$A686,'Таблиця 1'!$I:$I,"Mi-8",'Таблиця 1'!$J:$J,"PC-80")+SUMIFS('Таблиця 1'!$K:$K,'Таблиця 1'!$B:$B,$A686,'Таблиця 1'!$I:$I,"Mi-24",'Таблиця 1'!$J:$J,"PC-80"))</f>
        <v/>
      </c>
      <c r="H686">
        <f>IF($A686="","",SUMIFS('Таблиця 1'!$K:$K,'Таблиця 1'!$B:$B,$A686,'Таблиця 1'!$I:$I,"Mi-8",'Таблиця 1'!$J:$J,"UAR-80")+SUMIFS('Таблиця 1'!$K:$K,'Таблиця 1'!$B:$B,$A686,'Таблиця 1'!$I:$I,"Mi-24",'Таблиця 1'!$J:$J,"UAR-80"))</f>
        <v/>
      </c>
      <c r="I686">
        <f>IF($A686="","",SUMIFS('Таблиця 1'!$K:$K,'Таблиця 1'!$B:$B,$A686,'Таблиця 1'!$I:$I,"Mi-8",'Таблиця 1'!$J:$J,"C-13")+SUMIFS('Таблиця 1'!$K:$K,'Таблиця 1'!$B:$B,$A686,'Таблиця 1'!$I:$I,"Mi-24",'Таблиця 1'!$J:$J,"C-13"))</f>
        <v/>
      </c>
      <c r="J686">
        <f>IF($A686="","",SUMIFS('Таблиця 1'!$K:$K,'Таблиця 1'!$B:$B,$A686,'Таблиця 1'!$I:$I,"Mi-8",'Таблиця 1'!$J:$J,"Hydra-70")+SUMIFS('Таблиця 1'!$K:$K,'Таблиця 1'!$B:$B,$A686,'Таблиця 1'!$I:$I,"Mi-24",'Таблиця 1'!$J:$J,"Hydra-70"))</f>
        <v/>
      </c>
      <c r="K686">
        <f>IF($A686="","",SUMIFS('Таблиця 1'!$K:$K,'Таблиця 1'!$B:$B,$A686,'Таблиця 1'!$I:$I,"Mi-8",'Таблиця 1'!$J:$J,"Thales-70")+SUMIFS('Таблиця 1'!$K:$K,'Таблиця 1'!$B:$B,$A686,'Таблиця 1'!$I:$I,"Mi-24",'Таблиця 1'!$J:$J,"Thales-70"))</f>
        <v/>
      </c>
      <c r="L686">
        <f>IF($A686="","",SUMIFS('Таблиця 1'!$K:$K,'Таблиця 1'!$B:$B,$A686,'Таблиця 1'!$I:$I,"Mi-8",'Таблиця 1'!$J:$J,"Thales-FZ")+SUMIFS('Таблиця 1'!$K:$K,'Таблиця 1'!$B:$B,$A686,'Таблиця 1'!$I:$I,"Mi-24",'Таблиця 1'!$J:$J,"Thales-FZ"))</f>
        <v/>
      </c>
      <c r="M686">
        <f>IF($A686="","",SUMIFS('Таблиця 1'!$K:$K,'Таблиця 1'!$B:$B,$A686,'Таблиця 1'!$I:$I,"Mi-8",'Таблиця 1'!$J:$J,"МК-40")+SUMIFS('Таблиця 1'!$K:$K,'Таблиця 1'!$B:$B,$A686,'Таблиця 1'!$I:$I,"Mi-24",'Таблиця 1'!$J:$J,"МК-40"))</f>
        <v/>
      </c>
      <c r="N686">
        <f>IF($A686="","",SUMIFS('Таблиця 1'!$K:$K,'Таблиця 1'!$B:$B,$A686,'Таблиця 1'!$I:$I,"Mi-8",'Таблиця 1'!$J:$J,"Zuni")+SUMIFS('Таблиця 1'!$K:$K,'Таблиця 1'!$B:$B,$A686,'Таблиця 1'!$I:$I,"Mi-24",'Таблиця 1'!$J:$J,"Zuni"))</f>
        <v/>
      </c>
      <c r="O686">
        <f>IF($A686="","",COUNTIFS('Таблиця 1'!$B:$B,$A686,'Таблиця 1'!$I:$I,"Mi-8",'Таблиця 1'!$L:$L,"Уражено")+COUNTIFS('Таблиця 1'!$B:$B,$A686,'Таблиця 1'!$I:$I,"Mi-24",'Таблиця 1'!$L:$L,"Уражено"))</f>
        <v/>
      </c>
      <c r="P686">
        <f>IF($A686="","",COUNTIFS('Таблиця 1'!$B:$B,$A686,'Таблиця 1'!$I:$I,"Mi-8",'Таблиця 1'!$L:$L,"НЕ уражено")+COUNTIFS('Таблиця 1'!$B:$B,$A686,'Таблиця 1'!$I:$I,"Mi-24",'Таблиця 1'!$L:$L,"НЕ уражено"))</f>
        <v/>
      </c>
    </row>
    <row r="687">
      <c r="A687" s="273">
        <f>IF(A686="","",IF(A686+1&gt;MAX('Таблиця 1'!$B:$B),"",A686+1))</f>
        <v/>
      </c>
      <c r="B687">
        <f>IF($A687="","",COUNTIFS('Таблиця 1'!$B:$B,$A687,'Таблиця 1'!$I:$I,"Mi-8")+COUNTIFS('Таблиця 1'!$B:$B,$A687,'Таблиця 1'!$I:$I,"Mi-24"))</f>
        <v/>
      </c>
      <c r="C687">
        <f>IF($A687="","",COUNTIFS('Таблиця 1'!$B:$B,$A687,'Таблиця 1'!$I:$I,"Mi-8"))</f>
        <v/>
      </c>
      <c r="D687">
        <f>IF($A687="","",COUNTIFS('Таблиця 1'!$B:$B,$A687,'Таблиця 1'!$I:$I,"Mi-24"))</f>
        <v/>
      </c>
      <c r="E687">
        <f>IF($A687="","",SUMIFS('Таблиця 1'!$K:$K,'Таблиця 1'!$B:$B,$A687,'Таблиця 1'!$I:$I,"Mi-8",'Таблиця 1'!$J:$J,"ARS-8")+SUMIFS('Таблиця 1'!$K:$K,'Таблиця 1'!$B:$B,$A687,'Таблиця 1'!$I:$I,"Mi-24",'Таблиця 1'!$J:$J,"ARS-8"))</f>
        <v/>
      </c>
      <c r="F687">
        <f>IF($A687="","",SUMIFS('Таблиця 1'!$K:$K,'Таблиця 1'!$B:$B,$A687,'Таблиця 1'!$I:$I,"Mi-8",'Таблиця 1'!$J:$J,"С-8 ком")+SUMIFS('Таблиця 1'!$K:$K,'Таблиця 1'!$B:$B,$A687,'Таблиця 1'!$I:$I,"Mi-24",'Таблиця 1'!$J:$J,"С-8 ком"))</f>
        <v/>
      </c>
      <c r="G687">
        <f>IF($A687="","",SUMIFS('Таблиця 1'!$K:$K,'Таблиця 1'!$B:$B,$A687,'Таблиця 1'!$I:$I,"Mi-8",'Таблиця 1'!$J:$J,"PC-80")+SUMIFS('Таблиця 1'!$K:$K,'Таблиця 1'!$B:$B,$A687,'Таблиця 1'!$I:$I,"Mi-24",'Таблиця 1'!$J:$J,"PC-80"))</f>
        <v/>
      </c>
      <c r="H687">
        <f>IF($A687="","",SUMIFS('Таблиця 1'!$K:$K,'Таблиця 1'!$B:$B,$A687,'Таблиця 1'!$I:$I,"Mi-8",'Таблиця 1'!$J:$J,"UAR-80")+SUMIFS('Таблиця 1'!$K:$K,'Таблиця 1'!$B:$B,$A687,'Таблиця 1'!$I:$I,"Mi-24",'Таблиця 1'!$J:$J,"UAR-80"))</f>
        <v/>
      </c>
      <c r="I687">
        <f>IF($A687="","",SUMIFS('Таблиця 1'!$K:$K,'Таблиця 1'!$B:$B,$A687,'Таблиця 1'!$I:$I,"Mi-8",'Таблиця 1'!$J:$J,"C-13")+SUMIFS('Таблиця 1'!$K:$K,'Таблиця 1'!$B:$B,$A687,'Таблиця 1'!$I:$I,"Mi-24",'Таблиця 1'!$J:$J,"C-13"))</f>
        <v/>
      </c>
      <c r="J687">
        <f>IF($A687="","",SUMIFS('Таблиця 1'!$K:$K,'Таблиця 1'!$B:$B,$A687,'Таблиця 1'!$I:$I,"Mi-8",'Таблиця 1'!$J:$J,"Hydra-70")+SUMIFS('Таблиця 1'!$K:$K,'Таблиця 1'!$B:$B,$A687,'Таблиця 1'!$I:$I,"Mi-24",'Таблиця 1'!$J:$J,"Hydra-70"))</f>
        <v/>
      </c>
      <c r="K687">
        <f>IF($A687="","",SUMIFS('Таблиця 1'!$K:$K,'Таблиця 1'!$B:$B,$A687,'Таблиця 1'!$I:$I,"Mi-8",'Таблиця 1'!$J:$J,"Thales-70")+SUMIFS('Таблиця 1'!$K:$K,'Таблиця 1'!$B:$B,$A687,'Таблиця 1'!$I:$I,"Mi-24",'Таблиця 1'!$J:$J,"Thales-70"))</f>
        <v/>
      </c>
      <c r="L687">
        <f>IF($A687="","",SUMIFS('Таблиця 1'!$K:$K,'Таблиця 1'!$B:$B,$A687,'Таблиця 1'!$I:$I,"Mi-8",'Таблиця 1'!$J:$J,"Thales-FZ")+SUMIFS('Таблиця 1'!$K:$K,'Таблиця 1'!$B:$B,$A687,'Таблиця 1'!$I:$I,"Mi-24",'Таблиця 1'!$J:$J,"Thales-FZ"))</f>
        <v/>
      </c>
      <c r="M687">
        <f>IF($A687="","",SUMIFS('Таблиця 1'!$K:$K,'Таблиця 1'!$B:$B,$A687,'Таблиця 1'!$I:$I,"Mi-8",'Таблиця 1'!$J:$J,"МК-40")+SUMIFS('Таблиця 1'!$K:$K,'Таблиця 1'!$B:$B,$A687,'Таблиця 1'!$I:$I,"Mi-24",'Таблиця 1'!$J:$J,"МК-40"))</f>
        <v/>
      </c>
      <c r="N687">
        <f>IF($A687="","",SUMIFS('Таблиця 1'!$K:$K,'Таблиця 1'!$B:$B,$A687,'Таблиця 1'!$I:$I,"Mi-8",'Таблиця 1'!$J:$J,"Zuni")+SUMIFS('Таблиця 1'!$K:$K,'Таблиця 1'!$B:$B,$A687,'Таблиця 1'!$I:$I,"Mi-24",'Таблиця 1'!$J:$J,"Zuni"))</f>
        <v/>
      </c>
      <c r="O687">
        <f>IF($A687="","",COUNTIFS('Таблиця 1'!$B:$B,$A687,'Таблиця 1'!$I:$I,"Mi-8",'Таблиця 1'!$L:$L,"Уражено")+COUNTIFS('Таблиця 1'!$B:$B,$A687,'Таблиця 1'!$I:$I,"Mi-24",'Таблиця 1'!$L:$L,"Уражено"))</f>
        <v/>
      </c>
      <c r="P687">
        <f>IF($A687="","",COUNTIFS('Таблиця 1'!$B:$B,$A687,'Таблиця 1'!$I:$I,"Mi-8",'Таблиця 1'!$L:$L,"НЕ уражено")+COUNTIFS('Таблиця 1'!$B:$B,$A687,'Таблиця 1'!$I:$I,"Mi-24",'Таблиця 1'!$L:$L,"НЕ уражено"))</f>
        <v/>
      </c>
    </row>
    <row r="688">
      <c r="A688" s="273">
        <f>IF(A687="","",IF(A687+1&gt;MAX('Таблиця 1'!$B:$B),"",A687+1))</f>
        <v/>
      </c>
      <c r="B688">
        <f>IF($A688="","",COUNTIFS('Таблиця 1'!$B:$B,$A688,'Таблиця 1'!$I:$I,"Mi-8")+COUNTIFS('Таблиця 1'!$B:$B,$A688,'Таблиця 1'!$I:$I,"Mi-24"))</f>
        <v/>
      </c>
      <c r="C688">
        <f>IF($A688="","",COUNTIFS('Таблиця 1'!$B:$B,$A688,'Таблиця 1'!$I:$I,"Mi-8"))</f>
        <v/>
      </c>
      <c r="D688">
        <f>IF($A688="","",COUNTIFS('Таблиця 1'!$B:$B,$A688,'Таблиця 1'!$I:$I,"Mi-24"))</f>
        <v/>
      </c>
      <c r="E688">
        <f>IF($A688="","",SUMIFS('Таблиця 1'!$K:$K,'Таблиця 1'!$B:$B,$A688,'Таблиця 1'!$I:$I,"Mi-8",'Таблиця 1'!$J:$J,"ARS-8")+SUMIFS('Таблиця 1'!$K:$K,'Таблиця 1'!$B:$B,$A688,'Таблиця 1'!$I:$I,"Mi-24",'Таблиця 1'!$J:$J,"ARS-8"))</f>
        <v/>
      </c>
      <c r="F688">
        <f>IF($A688="","",SUMIFS('Таблиця 1'!$K:$K,'Таблиця 1'!$B:$B,$A688,'Таблиця 1'!$I:$I,"Mi-8",'Таблиця 1'!$J:$J,"С-8 ком")+SUMIFS('Таблиця 1'!$K:$K,'Таблиця 1'!$B:$B,$A688,'Таблиця 1'!$I:$I,"Mi-24",'Таблиця 1'!$J:$J,"С-8 ком"))</f>
        <v/>
      </c>
      <c r="G688">
        <f>IF($A688="","",SUMIFS('Таблиця 1'!$K:$K,'Таблиця 1'!$B:$B,$A688,'Таблиця 1'!$I:$I,"Mi-8",'Таблиця 1'!$J:$J,"PC-80")+SUMIFS('Таблиця 1'!$K:$K,'Таблиця 1'!$B:$B,$A688,'Таблиця 1'!$I:$I,"Mi-24",'Таблиця 1'!$J:$J,"PC-80"))</f>
        <v/>
      </c>
      <c r="H688">
        <f>IF($A688="","",SUMIFS('Таблиця 1'!$K:$K,'Таблиця 1'!$B:$B,$A688,'Таблиця 1'!$I:$I,"Mi-8",'Таблиця 1'!$J:$J,"UAR-80")+SUMIFS('Таблиця 1'!$K:$K,'Таблиця 1'!$B:$B,$A688,'Таблиця 1'!$I:$I,"Mi-24",'Таблиця 1'!$J:$J,"UAR-80"))</f>
        <v/>
      </c>
      <c r="I688">
        <f>IF($A688="","",SUMIFS('Таблиця 1'!$K:$K,'Таблиця 1'!$B:$B,$A688,'Таблиця 1'!$I:$I,"Mi-8",'Таблиця 1'!$J:$J,"C-13")+SUMIFS('Таблиця 1'!$K:$K,'Таблиця 1'!$B:$B,$A688,'Таблиця 1'!$I:$I,"Mi-24",'Таблиця 1'!$J:$J,"C-13"))</f>
        <v/>
      </c>
      <c r="J688">
        <f>IF($A688="","",SUMIFS('Таблиця 1'!$K:$K,'Таблиця 1'!$B:$B,$A688,'Таблиця 1'!$I:$I,"Mi-8",'Таблиця 1'!$J:$J,"Hydra-70")+SUMIFS('Таблиця 1'!$K:$K,'Таблиця 1'!$B:$B,$A688,'Таблиця 1'!$I:$I,"Mi-24",'Таблиця 1'!$J:$J,"Hydra-70"))</f>
        <v/>
      </c>
      <c r="K688">
        <f>IF($A688="","",SUMIFS('Таблиця 1'!$K:$K,'Таблиця 1'!$B:$B,$A688,'Таблиця 1'!$I:$I,"Mi-8",'Таблиця 1'!$J:$J,"Thales-70")+SUMIFS('Таблиця 1'!$K:$K,'Таблиця 1'!$B:$B,$A688,'Таблиця 1'!$I:$I,"Mi-24",'Таблиця 1'!$J:$J,"Thales-70"))</f>
        <v/>
      </c>
      <c r="L688">
        <f>IF($A688="","",SUMIFS('Таблиця 1'!$K:$K,'Таблиця 1'!$B:$B,$A688,'Таблиця 1'!$I:$I,"Mi-8",'Таблиця 1'!$J:$J,"Thales-FZ")+SUMIFS('Таблиця 1'!$K:$K,'Таблиця 1'!$B:$B,$A688,'Таблиця 1'!$I:$I,"Mi-24",'Таблиця 1'!$J:$J,"Thales-FZ"))</f>
        <v/>
      </c>
      <c r="M688">
        <f>IF($A688="","",SUMIFS('Таблиця 1'!$K:$K,'Таблиця 1'!$B:$B,$A688,'Таблиця 1'!$I:$I,"Mi-8",'Таблиця 1'!$J:$J,"МК-40")+SUMIFS('Таблиця 1'!$K:$K,'Таблиця 1'!$B:$B,$A688,'Таблиця 1'!$I:$I,"Mi-24",'Таблиця 1'!$J:$J,"МК-40"))</f>
        <v/>
      </c>
      <c r="N688">
        <f>IF($A688="","",SUMIFS('Таблиця 1'!$K:$K,'Таблиця 1'!$B:$B,$A688,'Таблиця 1'!$I:$I,"Mi-8",'Таблиця 1'!$J:$J,"Zuni")+SUMIFS('Таблиця 1'!$K:$K,'Таблиця 1'!$B:$B,$A688,'Таблиця 1'!$I:$I,"Mi-24",'Таблиця 1'!$J:$J,"Zuni"))</f>
        <v/>
      </c>
      <c r="O688">
        <f>IF($A688="","",COUNTIFS('Таблиця 1'!$B:$B,$A688,'Таблиця 1'!$I:$I,"Mi-8",'Таблиця 1'!$L:$L,"Уражено")+COUNTIFS('Таблиця 1'!$B:$B,$A688,'Таблиця 1'!$I:$I,"Mi-24",'Таблиця 1'!$L:$L,"Уражено"))</f>
        <v/>
      </c>
      <c r="P688">
        <f>IF($A688="","",COUNTIFS('Таблиця 1'!$B:$B,$A688,'Таблиця 1'!$I:$I,"Mi-8",'Таблиця 1'!$L:$L,"НЕ уражено")+COUNTIFS('Таблиця 1'!$B:$B,$A688,'Таблиця 1'!$I:$I,"Mi-24",'Таблиця 1'!$L:$L,"НЕ уражено"))</f>
        <v/>
      </c>
    </row>
    <row r="689">
      <c r="A689" s="273">
        <f>IF(A688="","",IF(A688+1&gt;MAX('Таблиця 1'!$B:$B),"",A688+1))</f>
        <v/>
      </c>
      <c r="B689">
        <f>IF($A689="","",COUNTIFS('Таблиця 1'!$B:$B,$A689,'Таблиця 1'!$I:$I,"Mi-8")+COUNTIFS('Таблиця 1'!$B:$B,$A689,'Таблиця 1'!$I:$I,"Mi-24"))</f>
        <v/>
      </c>
      <c r="C689">
        <f>IF($A689="","",COUNTIFS('Таблиця 1'!$B:$B,$A689,'Таблиця 1'!$I:$I,"Mi-8"))</f>
        <v/>
      </c>
      <c r="D689">
        <f>IF($A689="","",COUNTIFS('Таблиця 1'!$B:$B,$A689,'Таблиця 1'!$I:$I,"Mi-24"))</f>
        <v/>
      </c>
      <c r="E689">
        <f>IF($A689="","",SUMIFS('Таблиця 1'!$K:$K,'Таблиця 1'!$B:$B,$A689,'Таблиця 1'!$I:$I,"Mi-8",'Таблиця 1'!$J:$J,"ARS-8")+SUMIFS('Таблиця 1'!$K:$K,'Таблиця 1'!$B:$B,$A689,'Таблиця 1'!$I:$I,"Mi-24",'Таблиця 1'!$J:$J,"ARS-8"))</f>
        <v/>
      </c>
      <c r="F689">
        <f>IF($A689="","",SUMIFS('Таблиця 1'!$K:$K,'Таблиця 1'!$B:$B,$A689,'Таблиця 1'!$I:$I,"Mi-8",'Таблиця 1'!$J:$J,"С-8 ком")+SUMIFS('Таблиця 1'!$K:$K,'Таблиця 1'!$B:$B,$A689,'Таблиця 1'!$I:$I,"Mi-24",'Таблиця 1'!$J:$J,"С-8 ком"))</f>
        <v/>
      </c>
      <c r="G689">
        <f>IF($A689="","",SUMIFS('Таблиця 1'!$K:$K,'Таблиця 1'!$B:$B,$A689,'Таблиця 1'!$I:$I,"Mi-8",'Таблиця 1'!$J:$J,"PC-80")+SUMIFS('Таблиця 1'!$K:$K,'Таблиця 1'!$B:$B,$A689,'Таблиця 1'!$I:$I,"Mi-24",'Таблиця 1'!$J:$J,"PC-80"))</f>
        <v/>
      </c>
      <c r="H689">
        <f>IF($A689="","",SUMIFS('Таблиця 1'!$K:$K,'Таблиця 1'!$B:$B,$A689,'Таблиця 1'!$I:$I,"Mi-8",'Таблиця 1'!$J:$J,"UAR-80")+SUMIFS('Таблиця 1'!$K:$K,'Таблиця 1'!$B:$B,$A689,'Таблиця 1'!$I:$I,"Mi-24",'Таблиця 1'!$J:$J,"UAR-80"))</f>
        <v/>
      </c>
      <c r="I689">
        <f>IF($A689="","",SUMIFS('Таблиця 1'!$K:$K,'Таблиця 1'!$B:$B,$A689,'Таблиця 1'!$I:$I,"Mi-8",'Таблиця 1'!$J:$J,"C-13")+SUMIFS('Таблиця 1'!$K:$K,'Таблиця 1'!$B:$B,$A689,'Таблиця 1'!$I:$I,"Mi-24",'Таблиця 1'!$J:$J,"C-13"))</f>
        <v/>
      </c>
      <c r="J689">
        <f>IF($A689="","",SUMIFS('Таблиця 1'!$K:$K,'Таблиця 1'!$B:$B,$A689,'Таблиця 1'!$I:$I,"Mi-8",'Таблиця 1'!$J:$J,"Hydra-70")+SUMIFS('Таблиця 1'!$K:$K,'Таблиця 1'!$B:$B,$A689,'Таблиця 1'!$I:$I,"Mi-24",'Таблиця 1'!$J:$J,"Hydra-70"))</f>
        <v/>
      </c>
      <c r="K689">
        <f>IF($A689="","",SUMIFS('Таблиця 1'!$K:$K,'Таблиця 1'!$B:$B,$A689,'Таблиця 1'!$I:$I,"Mi-8",'Таблиця 1'!$J:$J,"Thales-70")+SUMIFS('Таблиця 1'!$K:$K,'Таблиця 1'!$B:$B,$A689,'Таблиця 1'!$I:$I,"Mi-24",'Таблиця 1'!$J:$J,"Thales-70"))</f>
        <v/>
      </c>
      <c r="L689">
        <f>IF($A689="","",SUMIFS('Таблиця 1'!$K:$K,'Таблиця 1'!$B:$B,$A689,'Таблиця 1'!$I:$I,"Mi-8",'Таблиця 1'!$J:$J,"Thales-FZ")+SUMIFS('Таблиця 1'!$K:$K,'Таблиця 1'!$B:$B,$A689,'Таблиця 1'!$I:$I,"Mi-24",'Таблиця 1'!$J:$J,"Thales-FZ"))</f>
        <v/>
      </c>
      <c r="M689">
        <f>IF($A689="","",SUMIFS('Таблиця 1'!$K:$K,'Таблиця 1'!$B:$B,$A689,'Таблиця 1'!$I:$I,"Mi-8",'Таблиця 1'!$J:$J,"МК-40")+SUMIFS('Таблиця 1'!$K:$K,'Таблиця 1'!$B:$B,$A689,'Таблиця 1'!$I:$I,"Mi-24",'Таблиця 1'!$J:$J,"МК-40"))</f>
        <v/>
      </c>
      <c r="N689">
        <f>IF($A689="","",SUMIFS('Таблиця 1'!$K:$K,'Таблиця 1'!$B:$B,$A689,'Таблиця 1'!$I:$I,"Mi-8",'Таблиця 1'!$J:$J,"Zuni")+SUMIFS('Таблиця 1'!$K:$K,'Таблиця 1'!$B:$B,$A689,'Таблиця 1'!$I:$I,"Mi-24",'Таблиця 1'!$J:$J,"Zuni"))</f>
        <v/>
      </c>
      <c r="O689">
        <f>IF($A689="","",COUNTIFS('Таблиця 1'!$B:$B,$A689,'Таблиця 1'!$I:$I,"Mi-8",'Таблиця 1'!$L:$L,"Уражено")+COUNTIFS('Таблиця 1'!$B:$B,$A689,'Таблиця 1'!$I:$I,"Mi-24",'Таблиця 1'!$L:$L,"Уражено"))</f>
        <v/>
      </c>
      <c r="P689">
        <f>IF($A689="","",COUNTIFS('Таблиця 1'!$B:$B,$A689,'Таблиця 1'!$I:$I,"Mi-8",'Таблиця 1'!$L:$L,"НЕ уражено")+COUNTIFS('Таблиця 1'!$B:$B,$A689,'Таблиця 1'!$I:$I,"Mi-24",'Таблиця 1'!$L:$L,"НЕ уражено"))</f>
        <v/>
      </c>
    </row>
    <row r="690">
      <c r="A690" s="273">
        <f>IF(A689="","",IF(A689+1&gt;MAX('Таблиця 1'!$B:$B),"",A689+1))</f>
        <v/>
      </c>
      <c r="B690">
        <f>IF($A690="","",COUNTIFS('Таблиця 1'!$B:$B,$A690,'Таблиця 1'!$I:$I,"Mi-8")+COUNTIFS('Таблиця 1'!$B:$B,$A690,'Таблиця 1'!$I:$I,"Mi-24"))</f>
        <v/>
      </c>
      <c r="C690">
        <f>IF($A690="","",COUNTIFS('Таблиця 1'!$B:$B,$A690,'Таблиця 1'!$I:$I,"Mi-8"))</f>
        <v/>
      </c>
      <c r="D690">
        <f>IF($A690="","",COUNTIFS('Таблиця 1'!$B:$B,$A690,'Таблиця 1'!$I:$I,"Mi-24"))</f>
        <v/>
      </c>
      <c r="E690">
        <f>IF($A690="","",SUMIFS('Таблиця 1'!$K:$K,'Таблиця 1'!$B:$B,$A690,'Таблиця 1'!$I:$I,"Mi-8",'Таблиця 1'!$J:$J,"ARS-8")+SUMIFS('Таблиця 1'!$K:$K,'Таблиця 1'!$B:$B,$A690,'Таблиця 1'!$I:$I,"Mi-24",'Таблиця 1'!$J:$J,"ARS-8"))</f>
        <v/>
      </c>
      <c r="F690">
        <f>IF($A690="","",SUMIFS('Таблиця 1'!$K:$K,'Таблиця 1'!$B:$B,$A690,'Таблиця 1'!$I:$I,"Mi-8",'Таблиця 1'!$J:$J,"С-8 ком")+SUMIFS('Таблиця 1'!$K:$K,'Таблиця 1'!$B:$B,$A690,'Таблиця 1'!$I:$I,"Mi-24",'Таблиця 1'!$J:$J,"С-8 ком"))</f>
        <v/>
      </c>
      <c r="G690">
        <f>IF($A690="","",SUMIFS('Таблиця 1'!$K:$K,'Таблиця 1'!$B:$B,$A690,'Таблиця 1'!$I:$I,"Mi-8",'Таблиця 1'!$J:$J,"PC-80")+SUMIFS('Таблиця 1'!$K:$K,'Таблиця 1'!$B:$B,$A690,'Таблиця 1'!$I:$I,"Mi-24",'Таблиця 1'!$J:$J,"PC-80"))</f>
        <v/>
      </c>
      <c r="H690">
        <f>IF($A690="","",SUMIFS('Таблиця 1'!$K:$K,'Таблиця 1'!$B:$B,$A690,'Таблиця 1'!$I:$I,"Mi-8",'Таблиця 1'!$J:$J,"UAR-80")+SUMIFS('Таблиця 1'!$K:$K,'Таблиця 1'!$B:$B,$A690,'Таблиця 1'!$I:$I,"Mi-24",'Таблиця 1'!$J:$J,"UAR-80"))</f>
        <v/>
      </c>
      <c r="I690">
        <f>IF($A690="","",SUMIFS('Таблиця 1'!$K:$K,'Таблиця 1'!$B:$B,$A690,'Таблиця 1'!$I:$I,"Mi-8",'Таблиця 1'!$J:$J,"C-13")+SUMIFS('Таблиця 1'!$K:$K,'Таблиця 1'!$B:$B,$A690,'Таблиця 1'!$I:$I,"Mi-24",'Таблиця 1'!$J:$J,"C-13"))</f>
        <v/>
      </c>
      <c r="J690">
        <f>IF($A690="","",SUMIFS('Таблиця 1'!$K:$K,'Таблиця 1'!$B:$B,$A690,'Таблиця 1'!$I:$I,"Mi-8",'Таблиця 1'!$J:$J,"Hydra-70")+SUMIFS('Таблиця 1'!$K:$K,'Таблиця 1'!$B:$B,$A690,'Таблиця 1'!$I:$I,"Mi-24",'Таблиця 1'!$J:$J,"Hydra-70"))</f>
        <v/>
      </c>
      <c r="K690">
        <f>IF($A690="","",SUMIFS('Таблиця 1'!$K:$K,'Таблиця 1'!$B:$B,$A690,'Таблиця 1'!$I:$I,"Mi-8",'Таблиця 1'!$J:$J,"Thales-70")+SUMIFS('Таблиця 1'!$K:$K,'Таблиця 1'!$B:$B,$A690,'Таблиця 1'!$I:$I,"Mi-24",'Таблиця 1'!$J:$J,"Thales-70"))</f>
        <v/>
      </c>
      <c r="L690">
        <f>IF($A690="","",SUMIFS('Таблиця 1'!$K:$K,'Таблиця 1'!$B:$B,$A690,'Таблиця 1'!$I:$I,"Mi-8",'Таблиця 1'!$J:$J,"Thales-FZ")+SUMIFS('Таблиця 1'!$K:$K,'Таблиця 1'!$B:$B,$A690,'Таблиця 1'!$I:$I,"Mi-24",'Таблиця 1'!$J:$J,"Thales-FZ"))</f>
        <v/>
      </c>
      <c r="M690">
        <f>IF($A690="","",SUMIFS('Таблиця 1'!$K:$K,'Таблиця 1'!$B:$B,$A690,'Таблиця 1'!$I:$I,"Mi-8",'Таблиця 1'!$J:$J,"МК-40")+SUMIFS('Таблиця 1'!$K:$K,'Таблиця 1'!$B:$B,$A690,'Таблиця 1'!$I:$I,"Mi-24",'Таблиця 1'!$J:$J,"МК-40"))</f>
        <v/>
      </c>
      <c r="N690">
        <f>IF($A690="","",SUMIFS('Таблиця 1'!$K:$K,'Таблиця 1'!$B:$B,$A690,'Таблиця 1'!$I:$I,"Mi-8",'Таблиця 1'!$J:$J,"Zuni")+SUMIFS('Таблиця 1'!$K:$K,'Таблиця 1'!$B:$B,$A690,'Таблиця 1'!$I:$I,"Mi-24",'Таблиця 1'!$J:$J,"Zuni"))</f>
        <v/>
      </c>
      <c r="O690">
        <f>IF($A690="","",COUNTIFS('Таблиця 1'!$B:$B,$A690,'Таблиця 1'!$I:$I,"Mi-8",'Таблиця 1'!$L:$L,"Уражено")+COUNTIFS('Таблиця 1'!$B:$B,$A690,'Таблиця 1'!$I:$I,"Mi-24",'Таблиця 1'!$L:$L,"Уражено"))</f>
        <v/>
      </c>
      <c r="P690">
        <f>IF($A690="","",COUNTIFS('Таблиця 1'!$B:$B,$A690,'Таблиця 1'!$I:$I,"Mi-8",'Таблиця 1'!$L:$L,"НЕ уражено")+COUNTIFS('Таблиця 1'!$B:$B,$A690,'Таблиця 1'!$I:$I,"Mi-24",'Таблиця 1'!$L:$L,"НЕ уражено"))</f>
        <v/>
      </c>
    </row>
    <row r="691">
      <c r="A691" s="273">
        <f>IF(A690="","",IF(A690+1&gt;MAX('Таблиця 1'!$B:$B),"",A690+1))</f>
        <v/>
      </c>
      <c r="B691">
        <f>IF($A691="","",COUNTIFS('Таблиця 1'!$B:$B,$A691,'Таблиця 1'!$I:$I,"Mi-8")+COUNTIFS('Таблиця 1'!$B:$B,$A691,'Таблиця 1'!$I:$I,"Mi-24"))</f>
        <v/>
      </c>
      <c r="C691">
        <f>IF($A691="","",COUNTIFS('Таблиця 1'!$B:$B,$A691,'Таблиця 1'!$I:$I,"Mi-8"))</f>
        <v/>
      </c>
      <c r="D691">
        <f>IF($A691="","",COUNTIFS('Таблиця 1'!$B:$B,$A691,'Таблиця 1'!$I:$I,"Mi-24"))</f>
        <v/>
      </c>
      <c r="E691">
        <f>IF($A691="","",SUMIFS('Таблиця 1'!$K:$K,'Таблиця 1'!$B:$B,$A691,'Таблиця 1'!$I:$I,"Mi-8",'Таблиця 1'!$J:$J,"ARS-8")+SUMIFS('Таблиця 1'!$K:$K,'Таблиця 1'!$B:$B,$A691,'Таблиця 1'!$I:$I,"Mi-24",'Таблиця 1'!$J:$J,"ARS-8"))</f>
        <v/>
      </c>
      <c r="F691">
        <f>IF($A691="","",SUMIFS('Таблиця 1'!$K:$K,'Таблиця 1'!$B:$B,$A691,'Таблиця 1'!$I:$I,"Mi-8",'Таблиця 1'!$J:$J,"С-8 ком")+SUMIFS('Таблиця 1'!$K:$K,'Таблиця 1'!$B:$B,$A691,'Таблиця 1'!$I:$I,"Mi-24",'Таблиця 1'!$J:$J,"С-8 ком"))</f>
        <v/>
      </c>
      <c r="G691">
        <f>IF($A691="","",SUMIFS('Таблиця 1'!$K:$K,'Таблиця 1'!$B:$B,$A691,'Таблиця 1'!$I:$I,"Mi-8",'Таблиця 1'!$J:$J,"PC-80")+SUMIFS('Таблиця 1'!$K:$K,'Таблиця 1'!$B:$B,$A691,'Таблиця 1'!$I:$I,"Mi-24",'Таблиця 1'!$J:$J,"PC-80"))</f>
        <v/>
      </c>
      <c r="H691">
        <f>IF($A691="","",SUMIFS('Таблиця 1'!$K:$K,'Таблиця 1'!$B:$B,$A691,'Таблиця 1'!$I:$I,"Mi-8",'Таблиця 1'!$J:$J,"UAR-80")+SUMIFS('Таблиця 1'!$K:$K,'Таблиця 1'!$B:$B,$A691,'Таблиця 1'!$I:$I,"Mi-24",'Таблиця 1'!$J:$J,"UAR-80"))</f>
        <v/>
      </c>
      <c r="I691">
        <f>IF($A691="","",SUMIFS('Таблиця 1'!$K:$K,'Таблиця 1'!$B:$B,$A691,'Таблиця 1'!$I:$I,"Mi-8",'Таблиця 1'!$J:$J,"C-13")+SUMIFS('Таблиця 1'!$K:$K,'Таблиця 1'!$B:$B,$A691,'Таблиця 1'!$I:$I,"Mi-24",'Таблиця 1'!$J:$J,"C-13"))</f>
        <v/>
      </c>
      <c r="J691">
        <f>IF($A691="","",SUMIFS('Таблиця 1'!$K:$K,'Таблиця 1'!$B:$B,$A691,'Таблиця 1'!$I:$I,"Mi-8",'Таблиця 1'!$J:$J,"Hydra-70")+SUMIFS('Таблиця 1'!$K:$K,'Таблиця 1'!$B:$B,$A691,'Таблиця 1'!$I:$I,"Mi-24",'Таблиця 1'!$J:$J,"Hydra-70"))</f>
        <v/>
      </c>
      <c r="K691">
        <f>IF($A691="","",SUMIFS('Таблиця 1'!$K:$K,'Таблиця 1'!$B:$B,$A691,'Таблиця 1'!$I:$I,"Mi-8",'Таблиця 1'!$J:$J,"Thales-70")+SUMIFS('Таблиця 1'!$K:$K,'Таблиця 1'!$B:$B,$A691,'Таблиця 1'!$I:$I,"Mi-24",'Таблиця 1'!$J:$J,"Thales-70"))</f>
        <v/>
      </c>
      <c r="L691">
        <f>IF($A691="","",SUMIFS('Таблиця 1'!$K:$K,'Таблиця 1'!$B:$B,$A691,'Таблиця 1'!$I:$I,"Mi-8",'Таблиця 1'!$J:$J,"Thales-FZ")+SUMIFS('Таблиця 1'!$K:$K,'Таблиця 1'!$B:$B,$A691,'Таблиця 1'!$I:$I,"Mi-24",'Таблиця 1'!$J:$J,"Thales-FZ"))</f>
        <v/>
      </c>
      <c r="M691">
        <f>IF($A691="","",SUMIFS('Таблиця 1'!$K:$K,'Таблиця 1'!$B:$B,$A691,'Таблиця 1'!$I:$I,"Mi-8",'Таблиця 1'!$J:$J,"МК-40")+SUMIFS('Таблиця 1'!$K:$K,'Таблиця 1'!$B:$B,$A691,'Таблиця 1'!$I:$I,"Mi-24",'Таблиця 1'!$J:$J,"МК-40"))</f>
        <v/>
      </c>
      <c r="N691">
        <f>IF($A691="","",SUMIFS('Таблиця 1'!$K:$K,'Таблиця 1'!$B:$B,$A691,'Таблиця 1'!$I:$I,"Mi-8",'Таблиця 1'!$J:$J,"Zuni")+SUMIFS('Таблиця 1'!$K:$K,'Таблиця 1'!$B:$B,$A691,'Таблиця 1'!$I:$I,"Mi-24",'Таблиця 1'!$J:$J,"Zuni"))</f>
        <v/>
      </c>
      <c r="O691">
        <f>IF($A691="","",COUNTIFS('Таблиця 1'!$B:$B,$A691,'Таблиця 1'!$I:$I,"Mi-8",'Таблиця 1'!$L:$L,"Уражено")+COUNTIFS('Таблиця 1'!$B:$B,$A691,'Таблиця 1'!$I:$I,"Mi-24",'Таблиця 1'!$L:$L,"Уражено"))</f>
        <v/>
      </c>
      <c r="P691">
        <f>IF($A691="","",COUNTIFS('Таблиця 1'!$B:$B,$A691,'Таблиця 1'!$I:$I,"Mi-8",'Таблиця 1'!$L:$L,"НЕ уражено")+COUNTIFS('Таблиця 1'!$B:$B,$A691,'Таблиця 1'!$I:$I,"Mi-24",'Таблиця 1'!$L:$L,"НЕ уражено"))</f>
        <v/>
      </c>
    </row>
    <row r="692">
      <c r="A692" s="273">
        <f>IF(A691="","",IF(A691+1&gt;MAX('Таблиця 1'!$B:$B),"",A691+1))</f>
        <v/>
      </c>
      <c r="B692">
        <f>IF($A692="","",COUNTIFS('Таблиця 1'!$B:$B,$A692,'Таблиця 1'!$I:$I,"Mi-8")+COUNTIFS('Таблиця 1'!$B:$B,$A692,'Таблиця 1'!$I:$I,"Mi-24"))</f>
        <v/>
      </c>
      <c r="C692">
        <f>IF($A692="","",COUNTIFS('Таблиця 1'!$B:$B,$A692,'Таблиця 1'!$I:$I,"Mi-8"))</f>
        <v/>
      </c>
      <c r="D692">
        <f>IF($A692="","",COUNTIFS('Таблиця 1'!$B:$B,$A692,'Таблиця 1'!$I:$I,"Mi-24"))</f>
        <v/>
      </c>
      <c r="E692">
        <f>IF($A692="","",SUMIFS('Таблиця 1'!$K:$K,'Таблиця 1'!$B:$B,$A692,'Таблиця 1'!$I:$I,"Mi-8",'Таблиця 1'!$J:$J,"ARS-8")+SUMIFS('Таблиця 1'!$K:$K,'Таблиця 1'!$B:$B,$A692,'Таблиця 1'!$I:$I,"Mi-24",'Таблиця 1'!$J:$J,"ARS-8"))</f>
        <v/>
      </c>
      <c r="F692">
        <f>IF($A692="","",SUMIFS('Таблиця 1'!$K:$K,'Таблиця 1'!$B:$B,$A692,'Таблиця 1'!$I:$I,"Mi-8",'Таблиця 1'!$J:$J,"С-8 ком")+SUMIFS('Таблиця 1'!$K:$K,'Таблиця 1'!$B:$B,$A692,'Таблиця 1'!$I:$I,"Mi-24",'Таблиця 1'!$J:$J,"С-8 ком"))</f>
        <v/>
      </c>
      <c r="G692">
        <f>IF($A692="","",SUMIFS('Таблиця 1'!$K:$K,'Таблиця 1'!$B:$B,$A692,'Таблиця 1'!$I:$I,"Mi-8",'Таблиця 1'!$J:$J,"PC-80")+SUMIFS('Таблиця 1'!$K:$K,'Таблиця 1'!$B:$B,$A692,'Таблиця 1'!$I:$I,"Mi-24",'Таблиця 1'!$J:$J,"PC-80"))</f>
        <v/>
      </c>
      <c r="H692">
        <f>IF($A692="","",SUMIFS('Таблиця 1'!$K:$K,'Таблиця 1'!$B:$B,$A692,'Таблиця 1'!$I:$I,"Mi-8",'Таблиця 1'!$J:$J,"UAR-80")+SUMIFS('Таблиця 1'!$K:$K,'Таблиця 1'!$B:$B,$A692,'Таблиця 1'!$I:$I,"Mi-24",'Таблиця 1'!$J:$J,"UAR-80"))</f>
        <v/>
      </c>
      <c r="I692">
        <f>IF($A692="","",SUMIFS('Таблиця 1'!$K:$K,'Таблиця 1'!$B:$B,$A692,'Таблиця 1'!$I:$I,"Mi-8",'Таблиця 1'!$J:$J,"C-13")+SUMIFS('Таблиця 1'!$K:$K,'Таблиця 1'!$B:$B,$A692,'Таблиця 1'!$I:$I,"Mi-24",'Таблиця 1'!$J:$J,"C-13"))</f>
        <v/>
      </c>
      <c r="J692">
        <f>IF($A692="","",SUMIFS('Таблиця 1'!$K:$K,'Таблиця 1'!$B:$B,$A692,'Таблиця 1'!$I:$I,"Mi-8",'Таблиця 1'!$J:$J,"Hydra-70")+SUMIFS('Таблиця 1'!$K:$K,'Таблиця 1'!$B:$B,$A692,'Таблиця 1'!$I:$I,"Mi-24",'Таблиця 1'!$J:$J,"Hydra-70"))</f>
        <v/>
      </c>
      <c r="K692">
        <f>IF($A692="","",SUMIFS('Таблиця 1'!$K:$K,'Таблиця 1'!$B:$B,$A692,'Таблиця 1'!$I:$I,"Mi-8",'Таблиця 1'!$J:$J,"Thales-70")+SUMIFS('Таблиця 1'!$K:$K,'Таблиця 1'!$B:$B,$A692,'Таблиця 1'!$I:$I,"Mi-24",'Таблиця 1'!$J:$J,"Thales-70"))</f>
        <v/>
      </c>
      <c r="L692">
        <f>IF($A692="","",SUMIFS('Таблиця 1'!$K:$K,'Таблиця 1'!$B:$B,$A692,'Таблиця 1'!$I:$I,"Mi-8",'Таблиця 1'!$J:$J,"Thales-FZ")+SUMIFS('Таблиця 1'!$K:$K,'Таблиця 1'!$B:$B,$A692,'Таблиця 1'!$I:$I,"Mi-24",'Таблиця 1'!$J:$J,"Thales-FZ"))</f>
        <v/>
      </c>
      <c r="M692">
        <f>IF($A692="","",SUMIFS('Таблиця 1'!$K:$K,'Таблиця 1'!$B:$B,$A692,'Таблиця 1'!$I:$I,"Mi-8",'Таблиця 1'!$J:$J,"МК-40")+SUMIFS('Таблиця 1'!$K:$K,'Таблиця 1'!$B:$B,$A692,'Таблиця 1'!$I:$I,"Mi-24",'Таблиця 1'!$J:$J,"МК-40"))</f>
        <v/>
      </c>
      <c r="N692">
        <f>IF($A692="","",SUMIFS('Таблиця 1'!$K:$K,'Таблиця 1'!$B:$B,$A692,'Таблиця 1'!$I:$I,"Mi-8",'Таблиця 1'!$J:$J,"Zuni")+SUMIFS('Таблиця 1'!$K:$K,'Таблиця 1'!$B:$B,$A692,'Таблиця 1'!$I:$I,"Mi-24",'Таблиця 1'!$J:$J,"Zuni"))</f>
        <v/>
      </c>
      <c r="O692">
        <f>IF($A692="","",COUNTIFS('Таблиця 1'!$B:$B,$A692,'Таблиця 1'!$I:$I,"Mi-8",'Таблиця 1'!$L:$L,"Уражено")+COUNTIFS('Таблиця 1'!$B:$B,$A692,'Таблиця 1'!$I:$I,"Mi-24",'Таблиця 1'!$L:$L,"Уражено"))</f>
        <v/>
      </c>
      <c r="P692">
        <f>IF($A692="","",COUNTIFS('Таблиця 1'!$B:$B,$A692,'Таблиця 1'!$I:$I,"Mi-8",'Таблиця 1'!$L:$L,"НЕ уражено")+COUNTIFS('Таблиця 1'!$B:$B,$A692,'Таблиця 1'!$I:$I,"Mi-24",'Таблиця 1'!$L:$L,"НЕ уражено"))</f>
        <v/>
      </c>
    </row>
    <row r="693">
      <c r="A693" s="273">
        <f>IF(A692="","",IF(A692+1&gt;MAX('Таблиця 1'!$B:$B),"",A692+1))</f>
        <v/>
      </c>
      <c r="B693">
        <f>IF($A693="","",COUNTIFS('Таблиця 1'!$B:$B,$A693,'Таблиця 1'!$I:$I,"Mi-8")+COUNTIFS('Таблиця 1'!$B:$B,$A693,'Таблиця 1'!$I:$I,"Mi-24"))</f>
        <v/>
      </c>
      <c r="C693">
        <f>IF($A693="","",COUNTIFS('Таблиця 1'!$B:$B,$A693,'Таблиця 1'!$I:$I,"Mi-8"))</f>
        <v/>
      </c>
      <c r="D693">
        <f>IF($A693="","",COUNTIFS('Таблиця 1'!$B:$B,$A693,'Таблиця 1'!$I:$I,"Mi-24"))</f>
        <v/>
      </c>
      <c r="E693">
        <f>IF($A693="","",SUMIFS('Таблиця 1'!$K:$K,'Таблиця 1'!$B:$B,$A693,'Таблиця 1'!$I:$I,"Mi-8",'Таблиця 1'!$J:$J,"ARS-8")+SUMIFS('Таблиця 1'!$K:$K,'Таблиця 1'!$B:$B,$A693,'Таблиця 1'!$I:$I,"Mi-24",'Таблиця 1'!$J:$J,"ARS-8"))</f>
        <v/>
      </c>
      <c r="F693">
        <f>IF($A693="","",SUMIFS('Таблиця 1'!$K:$K,'Таблиця 1'!$B:$B,$A693,'Таблиця 1'!$I:$I,"Mi-8",'Таблиця 1'!$J:$J,"С-8 ком")+SUMIFS('Таблиця 1'!$K:$K,'Таблиця 1'!$B:$B,$A693,'Таблиця 1'!$I:$I,"Mi-24",'Таблиця 1'!$J:$J,"С-8 ком"))</f>
        <v/>
      </c>
      <c r="G693">
        <f>IF($A693="","",SUMIFS('Таблиця 1'!$K:$K,'Таблиця 1'!$B:$B,$A693,'Таблиця 1'!$I:$I,"Mi-8",'Таблиця 1'!$J:$J,"PC-80")+SUMIFS('Таблиця 1'!$K:$K,'Таблиця 1'!$B:$B,$A693,'Таблиця 1'!$I:$I,"Mi-24",'Таблиця 1'!$J:$J,"PC-80"))</f>
        <v/>
      </c>
      <c r="H693">
        <f>IF($A693="","",SUMIFS('Таблиця 1'!$K:$K,'Таблиця 1'!$B:$B,$A693,'Таблиця 1'!$I:$I,"Mi-8",'Таблиця 1'!$J:$J,"UAR-80")+SUMIFS('Таблиця 1'!$K:$K,'Таблиця 1'!$B:$B,$A693,'Таблиця 1'!$I:$I,"Mi-24",'Таблиця 1'!$J:$J,"UAR-80"))</f>
        <v/>
      </c>
      <c r="I693">
        <f>IF($A693="","",SUMIFS('Таблиця 1'!$K:$K,'Таблиця 1'!$B:$B,$A693,'Таблиця 1'!$I:$I,"Mi-8",'Таблиця 1'!$J:$J,"C-13")+SUMIFS('Таблиця 1'!$K:$K,'Таблиця 1'!$B:$B,$A693,'Таблиця 1'!$I:$I,"Mi-24",'Таблиця 1'!$J:$J,"C-13"))</f>
        <v/>
      </c>
      <c r="J693">
        <f>IF($A693="","",SUMIFS('Таблиця 1'!$K:$K,'Таблиця 1'!$B:$B,$A693,'Таблиця 1'!$I:$I,"Mi-8",'Таблиця 1'!$J:$J,"Hydra-70")+SUMIFS('Таблиця 1'!$K:$K,'Таблиця 1'!$B:$B,$A693,'Таблиця 1'!$I:$I,"Mi-24",'Таблиця 1'!$J:$J,"Hydra-70"))</f>
        <v/>
      </c>
      <c r="K693">
        <f>IF($A693="","",SUMIFS('Таблиця 1'!$K:$K,'Таблиця 1'!$B:$B,$A693,'Таблиця 1'!$I:$I,"Mi-8",'Таблиця 1'!$J:$J,"Thales-70")+SUMIFS('Таблиця 1'!$K:$K,'Таблиця 1'!$B:$B,$A693,'Таблиця 1'!$I:$I,"Mi-24",'Таблиця 1'!$J:$J,"Thales-70"))</f>
        <v/>
      </c>
      <c r="L693">
        <f>IF($A693="","",SUMIFS('Таблиця 1'!$K:$K,'Таблиця 1'!$B:$B,$A693,'Таблиця 1'!$I:$I,"Mi-8",'Таблиця 1'!$J:$J,"Thales-FZ")+SUMIFS('Таблиця 1'!$K:$K,'Таблиця 1'!$B:$B,$A693,'Таблиця 1'!$I:$I,"Mi-24",'Таблиця 1'!$J:$J,"Thales-FZ"))</f>
        <v/>
      </c>
      <c r="M693">
        <f>IF($A693="","",SUMIFS('Таблиця 1'!$K:$K,'Таблиця 1'!$B:$B,$A693,'Таблиця 1'!$I:$I,"Mi-8",'Таблиця 1'!$J:$J,"МК-40")+SUMIFS('Таблиця 1'!$K:$K,'Таблиця 1'!$B:$B,$A693,'Таблиця 1'!$I:$I,"Mi-24",'Таблиця 1'!$J:$J,"МК-40"))</f>
        <v/>
      </c>
      <c r="N693">
        <f>IF($A693="","",SUMIFS('Таблиця 1'!$K:$K,'Таблиця 1'!$B:$B,$A693,'Таблиця 1'!$I:$I,"Mi-8",'Таблиця 1'!$J:$J,"Zuni")+SUMIFS('Таблиця 1'!$K:$K,'Таблиця 1'!$B:$B,$A693,'Таблиця 1'!$I:$I,"Mi-24",'Таблиця 1'!$J:$J,"Zuni"))</f>
        <v/>
      </c>
      <c r="O693">
        <f>IF($A693="","",COUNTIFS('Таблиця 1'!$B:$B,$A693,'Таблиця 1'!$I:$I,"Mi-8",'Таблиця 1'!$L:$L,"Уражено")+COUNTIFS('Таблиця 1'!$B:$B,$A693,'Таблиця 1'!$I:$I,"Mi-24",'Таблиця 1'!$L:$L,"Уражено"))</f>
        <v/>
      </c>
      <c r="P693">
        <f>IF($A693="","",COUNTIFS('Таблиця 1'!$B:$B,$A693,'Таблиця 1'!$I:$I,"Mi-8",'Таблиця 1'!$L:$L,"НЕ уражено")+COUNTIFS('Таблиця 1'!$B:$B,$A693,'Таблиця 1'!$I:$I,"Mi-24",'Таблиця 1'!$L:$L,"НЕ уражено"))</f>
        <v/>
      </c>
    </row>
    <row r="694">
      <c r="A694" s="273">
        <f>IF(A693="","",IF(A693+1&gt;MAX('Таблиця 1'!$B:$B),"",A693+1))</f>
        <v/>
      </c>
      <c r="B694">
        <f>IF($A694="","",COUNTIFS('Таблиця 1'!$B:$B,$A694,'Таблиця 1'!$I:$I,"Mi-8")+COUNTIFS('Таблиця 1'!$B:$B,$A694,'Таблиця 1'!$I:$I,"Mi-24"))</f>
        <v/>
      </c>
      <c r="C694">
        <f>IF($A694="","",COUNTIFS('Таблиця 1'!$B:$B,$A694,'Таблиця 1'!$I:$I,"Mi-8"))</f>
        <v/>
      </c>
      <c r="D694">
        <f>IF($A694="","",COUNTIFS('Таблиця 1'!$B:$B,$A694,'Таблиця 1'!$I:$I,"Mi-24"))</f>
        <v/>
      </c>
      <c r="E694">
        <f>IF($A694="","",SUMIFS('Таблиця 1'!$K:$K,'Таблиця 1'!$B:$B,$A694,'Таблиця 1'!$I:$I,"Mi-8",'Таблиця 1'!$J:$J,"ARS-8")+SUMIFS('Таблиця 1'!$K:$K,'Таблиця 1'!$B:$B,$A694,'Таблиця 1'!$I:$I,"Mi-24",'Таблиця 1'!$J:$J,"ARS-8"))</f>
        <v/>
      </c>
      <c r="F694">
        <f>IF($A694="","",SUMIFS('Таблиця 1'!$K:$K,'Таблиця 1'!$B:$B,$A694,'Таблиця 1'!$I:$I,"Mi-8",'Таблиця 1'!$J:$J,"С-8 ком")+SUMIFS('Таблиця 1'!$K:$K,'Таблиця 1'!$B:$B,$A694,'Таблиця 1'!$I:$I,"Mi-24",'Таблиця 1'!$J:$J,"С-8 ком"))</f>
        <v/>
      </c>
      <c r="G694">
        <f>IF($A694="","",SUMIFS('Таблиця 1'!$K:$K,'Таблиця 1'!$B:$B,$A694,'Таблиця 1'!$I:$I,"Mi-8",'Таблиця 1'!$J:$J,"PC-80")+SUMIFS('Таблиця 1'!$K:$K,'Таблиця 1'!$B:$B,$A694,'Таблиця 1'!$I:$I,"Mi-24",'Таблиця 1'!$J:$J,"PC-80"))</f>
        <v/>
      </c>
      <c r="H694">
        <f>IF($A694="","",SUMIFS('Таблиця 1'!$K:$K,'Таблиця 1'!$B:$B,$A694,'Таблиця 1'!$I:$I,"Mi-8",'Таблиця 1'!$J:$J,"UAR-80")+SUMIFS('Таблиця 1'!$K:$K,'Таблиця 1'!$B:$B,$A694,'Таблиця 1'!$I:$I,"Mi-24",'Таблиця 1'!$J:$J,"UAR-80"))</f>
        <v/>
      </c>
      <c r="I694">
        <f>IF($A694="","",SUMIFS('Таблиця 1'!$K:$K,'Таблиця 1'!$B:$B,$A694,'Таблиця 1'!$I:$I,"Mi-8",'Таблиця 1'!$J:$J,"C-13")+SUMIFS('Таблиця 1'!$K:$K,'Таблиця 1'!$B:$B,$A694,'Таблиця 1'!$I:$I,"Mi-24",'Таблиця 1'!$J:$J,"C-13"))</f>
        <v/>
      </c>
      <c r="J694">
        <f>IF($A694="","",SUMIFS('Таблиця 1'!$K:$K,'Таблиця 1'!$B:$B,$A694,'Таблиця 1'!$I:$I,"Mi-8",'Таблиця 1'!$J:$J,"Hydra-70")+SUMIFS('Таблиця 1'!$K:$K,'Таблиця 1'!$B:$B,$A694,'Таблиця 1'!$I:$I,"Mi-24",'Таблиця 1'!$J:$J,"Hydra-70"))</f>
        <v/>
      </c>
      <c r="K694">
        <f>IF($A694="","",SUMIFS('Таблиця 1'!$K:$K,'Таблиця 1'!$B:$B,$A694,'Таблиця 1'!$I:$I,"Mi-8",'Таблиця 1'!$J:$J,"Thales-70")+SUMIFS('Таблиця 1'!$K:$K,'Таблиця 1'!$B:$B,$A694,'Таблиця 1'!$I:$I,"Mi-24",'Таблиця 1'!$J:$J,"Thales-70"))</f>
        <v/>
      </c>
      <c r="L694">
        <f>IF($A694="","",SUMIFS('Таблиця 1'!$K:$K,'Таблиця 1'!$B:$B,$A694,'Таблиця 1'!$I:$I,"Mi-8",'Таблиця 1'!$J:$J,"Thales-FZ")+SUMIFS('Таблиця 1'!$K:$K,'Таблиця 1'!$B:$B,$A694,'Таблиця 1'!$I:$I,"Mi-24",'Таблиця 1'!$J:$J,"Thales-FZ"))</f>
        <v/>
      </c>
      <c r="M694">
        <f>IF($A694="","",SUMIFS('Таблиця 1'!$K:$K,'Таблиця 1'!$B:$B,$A694,'Таблиця 1'!$I:$I,"Mi-8",'Таблиця 1'!$J:$J,"МК-40")+SUMIFS('Таблиця 1'!$K:$K,'Таблиця 1'!$B:$B,$A694,'Таблиця 1'!$I:$I,"Mi-24",'Таблиця 1'!$J:$J,"МК-40"))</f>
        <v/>
      </c>
      <c r="N694">
        <f>IF($A694="","",SUMIFS('Таблиця 1'!$K:$K,'Таблиця 1'!$B:$B,$A694,'Таблиця 1'!$I:$I,"Mi-8",'Таблиця 1'!$J:$J,"Zuni")+SUMIFS('Таблиця 1'!$K:$K,'Таблиця 1'!$B:$B,$A694,'Таблиця 1'!$I:$I,"Mi-24",'Таблиця 1'!$J:$J,"Zuni"))</f>
        <v/>
      </c>
      <c r="O694">
        <f>IF($A694="","",COUNTIFS('Таблиця 1'!$B:$B,$A694,'Таблиця 1'!$I:$I,"Mi-8",'Таблиця 1'!$L:$L,"Уражено")+COUNTIFS('Таблиця 1'!$B:$B,$A694,'Таблиця 1'!$I:$I,"Mi-24",'Таблиця 1'!$L:$L,"Уражено"))</f>
        <v/>
      </c>
      <c r="P694">
        <f>IF($A694="","",COUNTIFS('Таблиця 1'!$B:$B,$A694,'Таблиця 1'!$I:$I,"Mi-8",'Таблиця 1'!$L:$L,"НЕ уражено")+COUNTIFS('Таблиця 1'!$B:$B,$A694,'Таблиця 1'!$I:$I,"Mi-24",'Таблиця 1'!$L:$L,"НЕ уражено"))</f>
        <v/>
      </c>
    </row>
    <row r="695">
      <c r="A695" s="273">
        <f>IF(A694="","",IF(A694+1&gt;MAX('Таблиця 1'!$B:$B),"",A694+1))</f>
        <v/>
      </c>
      <c r="B695">
        <f>IF($A695="","",COUNTIFS('Таблиця 1'!$B:$B,$A695,'Таблиця 1'!$I:$I,"Mi-8")+COUNTIFS('Таблиця 1'!$B:$B,$A695,'Таблиця 1'!$I:$I,"Mi-24"))</f>
        <v/>
      </c>
      <c r="C695">
        <f>IF($A695="","",COUNTIFS('Таблиця 1'!$B:$B,$A695,'Таблиця 1'!$I:$I,"Mi-8"))</f>
        <v/>
      </c>
      <c r="D695">
        <f>IF($A695="","",COUNTIFS('Таблиця 1'!$B:$B,$A695,'Таблиця 1'!$I:$I,"Mi-24"))</f>
        <v/>
      </c>
      <c r="E695">
        <f>IF($A695="","",SUMIFS('Таблиця 1'!$K:$K,'Таблиця 1'!$B:$B,$A695,'Таблиця 1'!$I:$I,"Mi-8",'Таблиця 1'!$J:$J,"ARS-8")+SUMIFS('Таблиця 1'!$K:$K,'Таблиця 1'!$B:$B,$A695,'Таблиця 1'!$I:$I,"Mi-24",'Таблиця 1'!$J:$J,"ARS-8"))</f>
        <v/>
      </c>
      <c r="F695">
        <f>IF($A695="","",SUMIFS('Таблиця 1'!$K:$K,'Таблиця 1'!$B:$B,$A695,'Таблиця 1'!$I:$I,"Mi-8",'Таблиця 1'!$J:$J,"С-8 ком")+SUMIFS('Таблиця 1'!$K:$K,'Таблиця 1'!$B:$B,$A695,'Таблиця 1'!$I:$I,"Mi-24",'Таблиця 1'!$J:$J,"С-8 ком"))</f>
        <v/>
      </c>
      <c r="G695">
        <f>IF($A695="","",SUMIFS('Таблиця 1'!$K:$K,'Таблиця 1'!$B:$B,$A695,'Таблиця 1'!$I:$I,"Mi-8",'Таблиця 1'!$J:$J,"PC-80")+SUMIFS('Таблиця 1'!$K:$K,'Таблиця 1'!$B:$B,$A695,'Таблиця 1'!$I:$I,"Mi-24",'Таблиця 1'!$J:$J,"PC-80"))</f>
        <v/>
      </c>
      <c r="H695">
        <f>IF($A695="","",SUMIFS('Таблиця 1'!$K:$K,'Таблиця 1'!$B:$B,$A695,'Таблиця 1'!$I:$I,"Mi-8",'Таблиця 1'!$J:$J,"UAR-80")+SUMIFS('Таблиця 1'!$K:$K,'Таблиця 1'!$B:$B,$A695,'Таблиця 1'!$I:$I,"Mi-24",'Таблиця 1'!$J:$J,"UAR-80"))</f>
        <v/>
      </c>
      <c r="I695">
        <f>IF($A695="","",SUMIFS('Таблиця 1'!$K:$K,'Таблиця 1'!$B:$B,$A695,'Таблиця 1'!$I:$I,"Mi-8",'Таблиця 1'!$J:$J,"C-13")+SUMIFS('Таблиця 1'!$K:$K,'Таблиця 1'!$B:$B,$A695,'Таблиця 1'!$I:$I,"Mi-24",'Таблиця 1'!$J:$J,"C-13"))</f>
        <v/>
      </c>
      <c r="J695">
        <f>IF($A695="","",SUMIFS('Таблиця 1'!$K:$K,'Таблиця 1'!$B:$B,$A695,'Таблиця 1'!$I:$I,"Mi-8",'Таблиця 1'!$J:$J,"Hydra-70")+SUMIFS('Таблиця 1'!$K:$K,'Таблиця 1'!$B:$B,$A695,'Таблиця 1'!$I:$I,"Mi-24",'Таблиця 1'!$J:$J,"Hydra-70"))</f>
        <v/>
      </c>
      <c r="K695">
        <f>IF($A695="","",SUMIFS('Таблиця 1'!$K:$K,'Таблиця 1'!$B:$B,$A695,'Таблиця 1'!$I:$I,"Mi-8",'Таблиця 1'!$J:$J,"Thales-70")+SUMIFS('Таблиця 1'!$K:$K,'Таблиця 1'!$B:$B,$A695,'Таблиця 1'!$I:$I,"Mi-24",'Таблиця 1'!$J:$J,"Thales-70"))</f>
        <v/>
      </c>
      <c r="L695">
        <f>IF($A695="","",SUMIFS('Таблиця 1'!$K:$K,'Таблиця 1'!$B:$B,$A695,'Таблиця 1'!$I:$I,"Mi-8",'Таблиця 1'!$J:$J,"Thales-FZ")+SUMIFS('Таблиця 1'!$K:$K,'Таблиця 1'!$B:$B,$A695,'Таблиця 1'!$I:$I,"Mi-24",'Таблиця 1'!$J:$J,"Thales-FZ"))</f>
        <v/>
      </c>
      <c r="M695">
        <f>IF($A695="","",SUMIFS('Таблиця 1'!$K:$K,'Таблиця 1'!$B:$B,$A695,'Таблиця 1'!$I:$I,"Mi-8",'Таблиця 1'!$J:$J,"МК-40")+SUMIFS('Таблиця 1'!$K:$K,'Таблиця 1'!$B:$B,$A695,'Таблиця 1'!$I:$I,"Mi-24",'Таблиця 1'!$J:$J,"МК-40"))</f>
        <v/>
      </c>
      <c r="N695">
        <f>IF($A695="","",SUMIFS('Таблиця 1'!$K:$K,'Таблиця 1'!$B:$B,$A695,'Таблиця 1'!$I:$I,"Mi-8",'Таблиця 1'!$J:$J,"Zuni")+SUMIFS('Таблиця 1'!$K:$K,'Таблиця 1'!$B:$B,$A695,'Таблиця 1'!$I:$I,"Mi-24",'Таблиця 1'!$J:$J,"Zuni"))</f>
        <v/>
      </c>
      <c r="O695">
        <f>IF($A695="","",COUNTIFS('Таблиця 1'!$B:$B,$A695,'Таблиця 1'!$I:$I,"Mi-8",'Таблиця 1'!$L:$L,"Уражено")+COUNTIFS('Таблиця 1'!$B:$B,$A695,'Таблиця 1'!$I:$I,"Mi-24",'Таблиця 1'!$L:$L,"Уражено"))</f>
        <v/>
      </c>
      <c r="P695">
        <f>IF($A695="","",COUNTIFS('Таблиця 1'!$B:$B,$A695,'Таблиця 1'!$I:$I,"Mi-8",'Таблиця 1'!$L:$L,"НЕ уражено")+COUNTIFS('Таблиця 1'!$B:$B,$A695,'Таблиця 1'!$I:$I,"Mi-24",'Таблиця 1'!$L:$L,"НЕ уражено"))</f>
        <v/>
      </c>
    </row>
    <row r="696">
      <c r="A696" s="273">
        <f>IF(A695="","",IF(A695+1&gt;MAX('Таблиця 1'!$B:$B),"",A695+1))</f>
        <v/>
      </c>
      <c r="B696">
        <f>IF($A696="","",COUNTIFS('Таблиця 1'!$B:$B,$A696,'Таблиця 1'!$I:$I,"Mi-8")+COUNTIFS('Таблиця 1'!$B:$B,$A696,'Таблиця 1'!$I:$I,"Mi-24"))</f>
        <v/>
      </c>
      <c r="C696">
        <f>IF($A696="","",COUNTIFS('Таблиця 1'!$B:$B,$A696,'Таблиця 1'!$I:$I,"Mi-8"))</f>
        <v/>
      </c>
      <c r="D696">
        <f>IF($A696="","",COUNTIFS('Таблиця 1'!$B:$B,$A696,'Таблиця 1'!$I:$I,"Mi-24"))</f>
        <v/>
      </c>
      <c r="E696">
        <f>IF($A696="","",SUMIFS('Таблиця 1'!$K:$K,'Таблиця 1'!$B:$B,$A696,'Таблиця 1'!$I:$I,"Mi-8",'Таблиця 1'!$J:$J,"ARS-8")+SUMIFS('Таблиця 1'!$K:$K,'Таблиця 1'!$B:$B,$A696,'Таблиця 1'!$I:$I,"Mi-24",'Таблиця 1'!$J:$J,"ARS-8"))</f>
        <v/>
      </c>
      <c r="F696">
        <f>IF($A696="","",SUMIFS('Таблиця 1'!$K:$K,'Таблиця 1'!$B:$B,$A696,'Таблиця 1'!$I:$I,"Mi-8",'Таблиця 1'!$J:$J,"С-8 ком")+SUMIFS('Таблиця 1'!$K:$K,'Таблиця 1'!$B:$B,$A696,'Таблиця 1'!$I:$I,"Mi-24",'Таблиця 1'!$J:$J,"С-8 ком"))</f>
        <v/>
      </c>
      <c r="G696">
        <f>IF($A696="","",SUMIFS('Таблиця 1'!$K:$K,'Таблиця 1'!$B:$B,$A696,'Таблиця 1'!$I:$I,"Mi-8",'Таблиця 1'!$J:$J,"PC-80")+SUMIFS('Таблиця 1'!$K:$K,'Таблиця 1'!$B:$B,$A696,'Таблиця 1'!$I:$I,"Mi-24",'Таблиця 1'!$J:$J,"PC-80"))</f>
        <v/>
      </c>
      <c r="H696">
        <f>IF($A696="","",SUMIFS('Таблиця 1'!$K:$K,'Таблиця 1'!$B:$B,$A696,'Таблиця 1'!$I:$I,"Mi-8",'Таблиця 1'!$J:$J,"UAR-80")+SUMIFS('Таблиця 1'!$K:$K,'Таблиця 1'!$B:$B,$A696,'Таблиця 1'!$I:$I,"Mi-24",'Таблиця 1'!$J:$J,"UAR-80"))</f>
        <v/>
      </c>
      <c r="I696">
        <f>IF($A696="","",SUMIFS('Таблиця 1'!$K:$K,'Таблиця 1'!$B:$B,$A696,'Таблиця 1'!$I:$I,"Mi-8",'Таблиця 1'!$J:$J,"C-13")+SUMIFS('Таблиця 1'!$K:$K,'Таблиця 1'!$B:$B,$A696,'Таблиця 1'!$I:$I,"Mi-24",'Таблиця 1'!$J:$J,"C-13"))</f>
        <v/>
      </c>
      <c r="J696">
        <f>IF($A696="","",SUMIFS('Таблиця 1'!$K:$K,'Таблиця 1'!$B:$B,$A696,'Таблиця 1'!$I:$I,"Mi-8",'Таблиця 1'!$J:$J,"Hydra-70")+SUMIFS('Таблиця 1'!$K:$K,'Таблиця 1'!$B:$B,$A696,'Таблиця 1'!$I:$I,"Mi-24",'Таблиця 1'!$J:$J,"Hydra-70"))</f>
        <v/>
      </c>
      <c r="K696">
        <f>IF($A696="","",SUMIFS('Таблиця 1'!$K:$K,'Таблиця 1'!$B:$B,$A696,'Таблиця 1'!$I:$I,"Mi-8",'Таблиця 1'!$J:$J,"Thales-70")+SUMIFS('Таблиця 1'!$K:$K,'Таблиця 1'!$B:$B,$A696,'Таблиця 1'!$I:$I,"Mi-24",'Таблиця 1'!$J:$J,"Thales-70"))</f>
        <v/>
      </c>
      <c r="L696">
        <f>IF($A696="","",SUMIFS('Таблиця 1'!$K:$K,'Таблиця 1'!$B:$B,$A696,'Таблиця 1'!$I:$I,"Mi-8",'Таблиця 1'!$J:$J,"Thales-FZ")+SUMIFS('Таблиця 1'!$K:$K,'Таблиця 1'!$B:$B,$A696,'Таблиця 1'!$I:$I,"Mi-24",'Таблиця 1'!$J:$J,"Thales-FZ"))</f>
        <v/>
      </c>
      <c r="M696">
        <f>IF($A696="","",SUMIFS('Таблиця 1'!$K:$K,'Таблиця 1'!$B:$B,$A696,'Таблиця 1'!$I:$I,"Mi-8",'Таблиця 1'!$J:$J,"МК-40")+SUMIFS('Таблиця 1'!$K:$K,'Таблиця 1'!$B:$B,$A696,'Таблиця 1'!$I:$I,"Mi-24",'Таблиця 1'!$J:$J,"МК-40"))</f>
        <v/>
      </c>
      <c r="N696">
        <f>IF($A696="","",SUMIFS('Таблиця 1'!$K:$K,'Таблиця 1'!$B:$B,$A696,'Таблиця 1'!$I:$I,"Mi-8",'Таблиця 1'!$J:$J,"Zuni")+SUMIFS('Таблиця 1'!$K:$K,'Таблиця 1'!$B:$B,$A696,'Таблиця 1'!$I:$I,"Mi-24",'Таблиця 1'!$J:$J,"Zuni"))</f>
        <v/>
      </c>
      <c r="O696">
        <f>IF($A696="","",COUNTIFS('Таблиця 1'!$B:$B,$A696,'Таблиця 1'!$I:$I,"Mi-8",'Таблиця 1'!$L:$L,"Уражено")+COUNTIFS('Таблиця 1'!$B:$B,$A696,'Таблиця 1'!$I:$I,"Mi-24",'Таблиця 1'!$L:$L,"Уражено"))</f>
        <v/>
      </c>
      <c r="P696">
        <f>IF($A696="","",COUNTIFS('Таблиця 1'!$B:$B,$A696,'Таблиця 1'!$I:$I,"Mi-8",'Таблиця 1'!$L:$L,"НЕ уражено")+COUNTIFS('Таблиця 1'!$B:$B,$A696,'Таблиця 1'!$I:$I,"Mi-24",'Таблиця 1'!$L:$L,"НЕ уражено"))</f>
        <v/>
      </c>
    </row>
    <row r="697">
      <c r="A697" s="273">
        <f>IF(A696="","",IF(A696+1&gt;MAX('Таблиця 1'!$B:$B),"",A696+1))</f>
        <v/>
      </c>
      <c r="B697">
        <f>IF($A697="","",COUNTIFS('Таблиця 1'!$B:$B,$A697,'Таблиця 1'!$I:$I,"Mi-8")+COUNTIFS('Таблиця 1'!$B:$B,$A697,'Таблиця 1'!$I:$I,"Mi-24"))</f>
        <v/>
      </c>
      <c r="C697">
        <f>IF($A697="","",COUNTIFS('Таблиця 1'!$B:$B,$A697,'Таблиця 1'!$I:$I,"Mi-8"))</f>
        <v/>
      </c>
      <c r="D697">
        <f>IF($A697="","",COUNTIFS('Таблиця 1'!$B:$B,$A697,'Таблиця 1'!$I:$I,"Mi-24"))</f>
        <v/>
      </c>
      <c r="E697">
        <f>IF($A697="","",SUMIFS('Таблиця 1'!$K:$K,'Таблиця 1'!$B:$B,$A697,'Таблиця 1'!$I:$I,"Mi-8",'Таблиця 1'!$J:$J,"ARS-8")+SUMIFS('Таблиця 1'!$K:$K,'Таблиця 1'!$B:$B,$A697,'Таблиця 1'!$I:$I,"Mi-24",'Таблиця 1'!$J:$J,"ARS-8"))</f>
        <v/>
      </c>
      <c r="F697">
        <f>IF($A697="","",SUMIFS('Таблиця 1'!$K:$K,'Таблиця 1'!$B:$B,$A697,'Таблиця 1'!$I:$I,"Mi-8",'Таблиця 1'!$J:$J,"С-8 ком")+SUMIFS('Таблиця 1'!$K:$K,'Таблиця 1'!$B:$B,$A697,'Таблиця 1'!$I:$I,"Mi-24",'Таблиця 1'!$J:$J,"С-8 ком"))</f>
        <v/>
      </c>
      <c r="G697">
        <f>IF($A697="","",SUMIFS('Таблиця 1'!$K:$K,'Таблиця 1'!$B:$B,$A697,'Таблиця 1'!$I:$I,"Mi-8",'Таблиця 1'!$J:$J,"PC-80")+SUMIFS('Таблиця 1'!$K:$K,'Таблиця 1'!$B:$B,$A697,'Таблиця 1'!$I:$I,"Mi-24",'Таблиця 1'!$J:$J,"PC-80"))</f>
        <v/>
      </c>
      <c r="H697">
        <f>IF($A697="","",SUMIFS('Таблиця 1'!$K:$K,'Таблиця 1'!$B:$B,$A697,'Таблиця 1'!$I:$I,"Mi-8",'Таблиця 1'!$J:$J,"UAR-80")+SUMIFS('Таблиця 1'!$K:$K,'Таблиця 1'!$B:$B,$A697,'Таблиця 1'!$I:$I,"Mi-24",'Таблиця 1'!$J:$J,"UAR-80"))</f>
        <v/>
      </c>
      <c r="I697">
        <f>IF($A697="","",SUMIFS('Таблиця 1'!$K:$K,'Таблиця 1'!$B:$B,$A697,'Таблиця 1'!$I:$I,"Mi-8",'Таблиця 1'!$J:$J,"C-13")+SUMIFS('Таблиця 1'!$K:$K,'Таблиця 1'!$B:$B,$A697,'Таблиця 1'!$I:$I,"Mi-24",'Таблиця 1'!$J:$J,"C-13"))</f>
        <v/>
      </c>
      <c r="J697">
        <f>IF($A697="","",SUMIFS('Таблиця 1'!$K:$K,'Таблиця 1'!$B:$B,$A697,'Таблиця 1'!$I:$I,"Mi-8",'Таблиця 1'!$J:$J,"Hydra-70")+SUMIFS('Таблиця 1'!$K:$K,'Таблиця 1'!$B:$B,$A697,'Таблиця 1'!$I:$I,"Mi-24",'Таблиця 1'!$J:$J,"Hydra-70"))</f>
        <v/>
      </c>
      <c r="K697">
        <f>IF($A697="","",SUMIFS('Таблиця 1'!$K:$K,'Таблиця 1'!$B:$B,$A697,'Таблиця 1'!$I:$I,"Mi-8",'Таблиця 1'!$J:$J,"Thales-70")+SUMIFS('Таблиця 1'!$K:$K,'Таблиця 1'!$B:$B,$A697,'Таблиця 1'!$I:$I,"Mi-24",'Таблиця 1'!$J:$J,"Thales-70"))</f>
        <v/>
      </c>
      <c r="L697">
        <f>IF($A697="","",SUMIFS('Таблиця 1'!$K:$K,'Таблиця 1'!$B:$B,$A697,'Таблиця 1'!$I:$I,"Mi-8",'Таблиця 1'!$J:$J,"Thales-FZ")+SUMIFS('Таблиця 1'!$K:$K,'Таблиця 1'!$B:$B,$A697,'Таблиця 1'!$I:$I,"Mi-24",'Таблиця 1'!$J:$J,"Thales-FZ"))</f>
        <v/>
      </c>
      <c r="M697">
        <f>IF($A697="","",SUMIFS('Таблиця 1'!$K:$K,'Таблиця 1'!$B:$B,$A697,'Таблиця 1'!$I:$I,"Mi-8",'Таблиця 1'!$J:$J,"МК-40")+SUMIFS('Таблиця 1'!$K:$K,'Таблиця 1'!$B:$B,$A697,'Таблиця 1'!$I:$I,"Mi-24",'Таблиця 1'!$J:$J,"МК-40"))</f>
        <v/>
      </c>
      <c r="N697">
        <f>IF($A697="","",SUMIFS('Таблиця 1'!$K:$K,'Таблиця 1'!$B:$B,$A697,'Таблиця 1'!$I:$I,"Mi-8",'Таблиця 1'!$J:$J,"Zuni")+SUMIFS('Таблиця 1'!$K:$K,'Таблиця 1'!$B:$B,$A697,'Таблиця 1'!$I:$I,"Mi-24",'Таблиця 1'!$J:$J,"Zuni"))</f>
        <v/>
      </c>
      <c r="O697">
        <f>IF($A697="","",COUNTIFS('Таблиця 1'!$B:$B,$A697,'Таблиця 1'!$I:$I,"Mi-8",'Таблиця 1'!$L:$L,"Уражено")+COUNTIFS('Таблиця 1'!$B:$B,$A697,'Таблиця 1'!$I:$I,"Mi-24",'Таблиця 1'!$L:$L,"Уражено"))</f>
        <v/>
      </c>
      <c r="P697">
        <f>IF($A697="","",COUNTIFS('Таблиця 1'!$B:$B,$A697,'Таблиця 1'!$I:$I,"Mi-8",'Таблиця 1'!$L:$L,"НЕ уражено")+COUNTIFS('Таблиця 1'!$B:$B,$A697,'Таблиця 1'!$I:$I,"Mi-24",'Таблиця 1'!$L:$L,"НЕ уражено"))</f>
        <v/>
      </c>
    </row>
    <row r="698">
      <c r="A698" s="273">
        <f>IF(A697="","",IF(A697+1&gt;MAX('Таблиця 1'!$B:$B),"",A697+1))</f>
        <v/>
      </c>
      <c r="B698">
        <f>IF($A698="","",COUNTIFS('Таблиця 1'!$B:$B,$A698,'Таблиця 1'!$I:$I,"Mi-8")+COUNTIFS('Таблиця 1'!$B:$B,$A698,'Таблиця 1'!$I:$I,"Mi-24"))</f>
        <v/>
      </c>
      <c r="C698">
        <f>IF($A698="","",COUNTIFS('Таблиця 1'!$B:$B,$A698,'Таблиця 1'!$I:$I,"Mi-8"))</f>
        <v/>
      </c>
      <c r="D698">
        <f>IF($A698="","",COUNTIFS('Таблиця 1'!$B:$B,$A698,'Таблиця 1'!$I:$I,"Mi-24"))</f>
        <v/>
      </c>
      <c r="E698">
        <f>IF($A698="","",SUMIFS('Таблиця 1'!$K:$K,'Таблиця 1'!$B:$B,$A698,'Таблиця 1'!$I:$I,"Mi-8",'Таблиця 1'!$J:$J,"ARS-8")+SUMIFS('Таблиця 1'!$K:$K,'Таблиця 1'!$B:$B,$A698,'Таблиця 1'!$I:$I,"Mi-24",'Таблиця 1'!$J:$J,"ARS-8"))</f>
        <v/>
      </c>
      <c r="F698">
        <f>IF($A698="","",SUMIFS('Таблиця 1'!$K:$K,'Таблиця 1'!$B:$B,$A698,'Таблиця 1'!$I:$I,"Mi-8",'Таблиця 1'!$J:$J,"С-8 ком")+SUMIFS('Таблиця 1'!$K:$K,'Таблиця 1'!$B:$B,$A698,'Таблиця 1'!$I:$I,"Mi-24",'Таблиця 1'!$J:$J,"С-8 ком"))</f>
        <v/>
      </c>
      <c r="G698">
        <f>IF($A698="","",SUMIFS('Таблиця 1'!$K:$K,'Таблиця 1'!$B:$B,$A698,'Таблиця 1'!$I:$I,"Mi-8",'Таблиця 1'!$J:$J,"PC-80")+SUMIFS('Таблиця 1'!$K:$K,'Таблиця 1'!$B:$B,$A698,'Таблиця 1'!$I:$I,"Mi-24",'Таблиця 1'!$J:$J,"PC-80"))</f>
        <v/>
      </c>
      <c r="H698">
        <f>IF($A698="","",SUMIFS('Таблиця 1'!$K:$K,'Таблиця 1'!$B:$B,$A698,'Таблиця 1'!$I:$I,"Mi-8",'Таблиця 1'!$J:$J,"UAR-80")+SUMIFS('Таблиця 1'!$K:$K,'Таблиця 1'!$B:$B,$A698,'Таблиця 1'!$I:$I,"Mi-24",'Таблиця 1'!$J:$J,"UAR-80"))</f>
        <v/>
      </c>
      <c r="I698">
        <f>IF($A698="","",SUMIFS('Таблиця 1'!$K:$K,'Таблиця 1'!$B:$B,$A698,'Таблиця 1'!$I:$I,"Mi-8",'Таблиця 1'!$J:$J,"C-13")+SUMIFS('Таблиця 1'!$K:$K,'Таблиця 1'!$B:$B,$A698,'Таблиця 1'!$I:$I,"Mi-24",'Таблиця 1'!$J:$J,"C-13"))</f>
        <v/>
      </c>
      <c r="J698">
        <f>IF($A698="","",SUMIFS('Таблиця 1'!$K:$K,'Таблиця 1'!$B:$B,$A698,'Таблиця 1'!$I:$I,"Mi-8",'Таблиця 1'!$J:$J,"Hydra-70")+SUMIFS('Таблиця 1'!$K:$K,'Таблиця 1'!$B:$B,$A698,'Таблиця 1'!$I:$I,"Mi-24",'Таблиця 1'!$J:$J,"Hydra-70"))</f>
        <v/>
      </c>
      <c r="K698">
        <f>IF($A698="","",SUMIFS('Таблиця 1'!$K:$K,'Таблиця 1'!$B:$B,$A698,'Таблиця 1'!$I:$I,"Mi-8",'Таблиця 1'!$J:$J,"Thales-70")+SUMIFS('Таблиця 1'!$K:$K,'Таблиця 1'!$B:$B,$A698,'Таблиця 1'!$I:$I,"Mi-24",'Таблиця 1'!$J:$J,"Thales-70"))</f>
        <v/>
      </c>
      <c r="L698">
        <f>IF($A698="","",SUMIFS('Таблиця 1'!$K:$K,'Таблиця 1'!$B:$B,$A698,'Таблиця 1'!$I:$I,"Mi-8",'Таблиця 1'!$J:$J,"Thales-FZ")+SUMIFS('Таблиця 1'!$K:$K,'Таблиця 1'!$B:$B,$A698,'Таблиця 1'!$I:$I,"Mi-24",'Таблиця 1'!$J:$J,"Thales-FZ"))</f>
        <v/>
      </c>
      <c r="M698">
        <f>IF($A698="","",SUMIFS('Таблиця 1'!$K:$K,'Таблиця 1'!$B:$B,$A698,'Таблиця 1'!$I:$I,"Mi-8",'Таблиця 1'!$J:$J,"МК-40")+SUMIFS('Таблиця 1'!$K:$K,'Таблиця 1'!$B:$B,$A698,'Таблиця 1'!$I:$I,"Mi-24",'Таблиця 1'!$J:$J,"МК-40"))</f>
        <v/>
      </c>
      <c r="N698">
        <f>IF($A698="","",SUMIFS('Таблиця 1'!$K:$K,'Таблиця 1'!$B:$B,$A698,'Таблиця 1'!$I:$I,"Mi-8",'Таблиця 1'!$J:$J,"Zuni")+SUMIFS('Таблиця 1'!$K:$K,'Таблиця 1'!$B:$B,$A698,'Таблиця 1'!$I:$I,"Mi-24",'Таблиця 1'!$J:$J,"Zuni"))</f>
        <v/>
      </c>
      <c r="O698">
        <f>IF($A698="","",COUNTIFS('Таблиця 1'!$B:$B,$A698,'Таблиця 1'!$I:$I,"Mi-8",'Таблиця 1'!$L:$L,"Уражено")+COUNTIFS('Таблиця 1'!$B:$B,$A698,'Таблиця 1'!$I:$I,"Mi-24",'Таблиця 1'!$L:$L,"Уражено"))</f>
        <v/>
      </c>
      <c r="P698">
        <f>IF($A698="","",COUNTIFS('Таблиця 1'!$B:$B,$A698,'Таблиця 1'!$I:$I,"Mi-8",'Таблиця 1'!$L:$L,"НЕ уражено")+COUNTIFS('Таблиця 1'!$B:$B,$A698,'Таблиця 1'!$I:$I,"Mi-24",'Таблиця 1'!$L:$L,"НЕ уражено"))</f>
        <v/>
      </c>
    </row>
    <row r="699">
      <c r="A699" s="273">
        <f>IF(A698="","",IF(A698+1&gt;MAX('Таблиця 1'!$B:$B),"",A698+1))</f>
        <v/>
      </c>
      <c r="B699">
        <f>IF($A699="","",COUNTIFS('Таблиця 1'!$B:$B,$A699,'Таблиця 1'!$I:$I,"Mi-8")+COUNTIFS('Таблиця 1'!$B:$B,$A699,'Таблиця 1'!$I:$I,"Mi-24"))</f>
        <v/>
      </c>
      <c r="C699">
        <f>IF($A699="","",COUNTIFS('Таблиця 1'!$B:$B,$A699,'Таблиця 1'!$I:$I,"Mi-8"))</f>
        <v/>
      </c>
      <c r="D699">
        <f>IF($A699="","",COUNTIFS('Таблиця 1'!$B:$B,$A699,'Таблиця 1'!$I:$I,"Mi-24"))</f>
        <v/>
      </c>
      <c r="E699">
        <f>IF($A699="","",SUMIFS('Таблиця 1'!$K:$K,'Таблиця 1'!$B:$B,$A699,'Таблиця 1'!$I:$I,"Mi-8",'Таблиця 1'!$J:$J,"ARS-8")+SUMIFS('Таблиця 1'!$K:$K,'Таблиця 1'!$B:$B,$A699,'Таблиця 1'!$I:$I,"Mi-24",'Таблиця 1'!$J:$J,"ARS-8"))</f>
        <v/>
      </c>
      <c r="F699">
        <f>IF($A699="","",SUMIFS('Таблиця 1'!$K:$K,'Таблиця 1'!$B:$B,$A699,'Таблиця 1'!$I:$I,"Mi-8",'Таблиця 1'!$J:$J,"С-8 ком")+SUMIFS('Таблиця 1'!$K:$K,'Таблиця 1'!$B:$B,$A699,'Таблиця 1'!$I:$I,"Mi-24",'Таблиця 1'!$J:$J,"С-8 ком"))</f>
        <v/>
      </c>
      <c r="G699">
        <f>IF($A699="","",SUMIFS('Таблиця 1'!$K:$K,'Таблиця 1'!$B:$B,$A699,'Таблиця 1'!$I:$I,"Mi-8",'Таблиця 1'!$J:$J,"PC-80")+SUMIFS('Таблиця 1'!$K:$K,'Таблиця 1'!$B:$B,$A699,'Таблиця 1'!$I:$I,"Mi-24",'Таблиця 1'!$J:$J,"PC-80"))</f>
        <v/>
      </c>
      <c r="H699">
        <f>IF($A699="","",SUMIFS('Таблиця 1'!$K:$K,'Таблиця 1'!$B:$B,$A699,'Таблиця 1'!$I:$I,"Mi-8",'Таблиця 1'!$J:$J,"UAR-80")+SUMIFS('Таблиця 1'!$K:$K,'Таблиця 1'!$B:$B,$A699,'Таблиця 1'!$I:$I,"Mi-24",'Таблиця 1'!$J:$J,"UAR-80"))</f>
        <v/>
      </c>
      <c r="I699">
        <f>IF($A699="","",SUMIFS('Таблиця 1'!$K:$K,'Таблиця 1'!$B:$B,$A699,'Таблиця 1'!$I:$I,"Mi-8",'Таблиця 1'!$J:$J,"C-13")+SUMIFS('Таблиця 1'!$K:$K,'Таблиця 1'!$B:$B,$A699,'Таблиця 1'!$I:$I,"Mi-24",'Таблиця 1'!$J:$J,"C-13"))</f>
        <v/>
      </c>
      <c r="J699">
        <f>IF($A699="","",SUMIFS('Таблиця 1'!$K:$K,'Таблиця 1'!$B:$B,$A699,'Таблиця 1'!$I:$I,"Mi-8",'Таблиця 1'!$J:$J,"Hydra-70")+SUMIFS('Таблиця 1'!$K:$K,'Таблиця 1'!$B:$B,$A699,'Таблиця 1'!$I:$I,"Mi-24",'Таблиця 1'!$J:$J,"Hydra-70"))</f>
        <v/>
      </c>
      <c r="K699">
        <f>IF($A699="","",SUMIFS('Таблиця 1'!$K:$K,'Таблиця 1'!$B:$B,$A699,'Таблиця 1'!$I:$I,"Mi-8",'Таблиця 1'!$J:$J,"Thales-70")+SUMIFS('Таблиця 1'!$K:$K,'Таблиця 1'!$B:$B,$A699,'Таблиця 1'!$I:$I,"Mi-24",'Таблиця 1'!$J:$J,"Thales-70"))</f>
        <v/>
      </c>
      <c r="L699">
        <f>IF($A699="","",SUMIFS('Таблиця 1'!$K:$K,'Таблиця 1'!$B:$B,$A699,'Таблиця 1'!$I:$I,"Mi-8",'Таблиця 1'!$J:$J,"Thales-FZ")+SUMIFS('Таблиця 1'!$K:$K,'Таблиця 1'!$B:$B,$A699,'Таблиця 1'!$I:$I,"Mi-24",'Таблиця 1'!$J:$J,"Thales-FZ"))</f>
        <v/>
      </c>
      <c r="M699">
        <f>IF($A699="","",SUMIFS('Таблиця 1'!$K:$K,'Таблиця 1'!$B:$B,$A699,'Таблиця 1'!$I:$I,"Mi-8",'Таблиця 1'!$J:$J,"МК-40")+SUMIFS('Таблиця 1'!$K:$K,'Таблиця 1'!$B:$B,$A699,'Таблиця 1'!$I:$I,"Mi-24",'Таблиця 1'!$J:$J,"МК-40"))</f>
        <v/>
      </c>
      <c r="N699">
        <f>IF($A699="","",SUMIFS('Таблиця 1'!$K:$K,'Таблиця 1'!$B:$B,$A699,'Таблиця 1'!$I:$I,"Mi-8",'Таблиця 1'!$J:$J,"Zuni")+SUMIFS('Таблиця 1'!$K:$K,'Таблиця 1'!$B:$B,$A699,'Таблиця 1'!$I:$I,"Mi-24",'Таблиця 1'!$J:$J,"Zuni"))</f>
        <v/>
      </c>
      <c r="O699">
        <f>IF($A699="","",COUNTIFS('Таблиця 1'!$B:$B,$A699,'Таблиця 1'!$I:$I,"Mi-8",'Таблиця 1'!$L:$L,"Уражено")+COUNTIFS('Таблиця 1'!$B:$B,$A699,'Таблиця 1'!$I:$I,"Mi-24",'Таблиця 1'!$L:$L,"Уражено"))</f>
        <v/>
      </c>
      <c r="P699">
        <f>IF($A699="","",COUNTIFS('Таблиця 1'!$B:$B,$A699,'Таблиця 1'!$I:$I,"Mi-8",'Таблиця 1'!$L:$L,"НЕ уражено")+COUNTIFS('Таблиця 1'!$B:$B,$A699,'Таблиця 1'!$I:$I,"Mi-24",'Таблиця 1'!$L:$L,"НЕ уражено"))</f>
        <v/>
      </c>
    </row>
    <row r="700">
      <c r="A700" s="273">
        <f>IF(A699="","",IF(A699+1&gt;MAX('Таблиця 1'!$B:$B),"",A699+1))</f>
        <v/>
      </c>
      <c r="B700">
        <f>IF($A700="","",COUNTIFS('Таблиця 1'!$B:$B,$A700,'Таблиця 1'!$I:$I,"Mi-8")+COUNTIFS('Таблиця 1'!$B:$B,$A700,'Таблиця 1'!$I:$I,"Mi-24"))</f>
        <v/>
      </c>
      <c r="C700">
        <f>IF($A700="","",COUNTIFS('Таблиця 1'!$B:$B,$A700,'Таблиця 1'!$I:$I,"Mi-8"))</f>
        <v/>
      </c>
      <c r="D700">
        <f>IF($A700="","",COUNTIFS('Таблиця 1'!$B:$B,$A700,'Таблиця 1'!$I:$I,"Mi-24"))</f>
        <v/>
      </c>
      <c r="E700">
        <f>IF($A700="","",SUMIFS('Таблиця 1'!$K:$K,'Таблиця 1'!$B:$B,$A700,'Таблиця 1'!$I:$I,"Mi-8",'Таблиця 1'!$J:$J,"ARS-8")+SUMIFS('Таблиця 1'!$K:$K,'Таблиця 1'!$B:$B,$A700,'Таблиця 1'!$I:$I,"Mi-24",'Таблиця 1'!$J:$J,"ARS-8"))</f>
        <v/>
      </c>
      <c r="F700">
        <f>IF($A700="","",SUMIFS('Таблиця 1'!$K:$K,'Таблиця 1'!$B:$B,$A700,'Таблиця 1'!$I:$I,"Mi-8",'Таблиця 1'!$J:$J,"С-8 ком")+SUMIFS('Таблиця 1'!$K:$K,'Таблиця 1'!$B:$B,$A700,'Таблиця 1'!$I:$I,"Mi-24",'Таблиця 1'!$J:$J,"С-8 ком"))</f>
        <v/>
      </c>
      <c r="G700">
        <f>IF($A700="","",SUMIFS('Таблиця 1'!$K:$K,'Таблиця 1'!$B:$B,$A700,'Таблиця 1'!$I:$I,"Mi-8",'Таблиця 1'!$J:$J,"PC-80")+SUMIFS('Таблиця 1'!$K:$K,'Таблиця 1'!$B:$B,$A700,'Таблиця 1'!$I:$I,"Mi-24",'Таблиця 1'!$J:$J,"PC-80"))</f>
        <v/>
      </c>
      <c r="H700">
        <f>IF($A700="","",SUMIFS('Таблиця 1'!$K:$K,'Таблиця 1'!$B:$B,$A700,'Таблиця 1'!$I:$I,"Mi-8",'Таблиця 1'!$J:$J,"UAR-80")+SUMIFS('Таблиця 1'!$K:$K,'Таблиця 1'!$B:$B,$A700,'Таблиця 1'!$I:$I,"Mi-24",'Таблиця 1'!$J:$J,"UAR-80"))</f>
        <v/>
      </c>
      <c r="I700">
        <f>IF($A700="","",SUMIFS('Таблиця 1'!$K:$K,'Таблиця 1'!$B:$B,$A700,'Таблиця 1'!$I:$I,"Mi-8",'Таблиця 1'!$J:$J,"C-13")+SUMIFS('Таблиця 1'!$K:$K,'Таблиця 1'!$B:$B,$A700,'Таблиця 1'!$I:$I,"Mi-24",'Таблиця 1'!$J:$J,"C-13"))</f>
        <v/>
      </c>
      <c r="J700">
        <f>IF($A700="","",SUMIFS('Таблиця 1'!$K:$K,'Таблиця 1'!$B:$B,$A700,'Таблиця 1'!$I:$I,"Mi-8",'Таблиця 1'!$J:$J,"Hydra-70")+SUMIFS('Таблиця 1'!$K:$K,'Таблиця 1'!$B:$B,$A700,'Таблиця 1'!$I:$I,"Mi-24",'Таблиця 1'!$J:$J,"Hydra-70"))</f>
        <v/>
      </c>
      <c r="K700">
        <f>IF($A700="","",SUMIFS('Таблиця 1'!$K:$K,'Таблиця 1'!$B:$B,$A700,'Таблиця 1'!$I:$I,"Mi-8",'Таблиця 1'!$J:$J,"Thales-70")+SUMIFS('Таблиця 1'!$K:$K,'Таблиця 1'!$B:$B,$A700,'Таблиця 1'!$I:$I,"Mi-24",'Таблиця 1'!$J:$J,"Thales-70"))</f>
        <v/>
      </c>
      <c r="L700">
        <f>IF($A700="","",SUMIFS('Таблиця 1'!$K:$K,'Таблиця 1'!$B:$B,$A700,'Таблиця 1'!$I:$I,"Mi-8",'Таблиця 1'!$J:$J,"Thales-FZ")+SUMIFS('Таблиця 1'!$K:$K,'Таблиця 1'!$B:$B,$A700,'Таблиця 1'!$I:$I,"Mi-24",'Таблиця 1'!$J:$J,"Thales-FZ"))</f>
        <v/>
      </c>
      <c r="M700">
        <f>IF($A700="","",SUMIFS('Таблиця 1'!$K:$K,'Таблиця 1'!$B:$B,$A700,'Таблиця 1'!$I:$I,"Mi-8",'Таблиця 1'!$J:$J,"МК-40")+SUMIFS('Таблиця 1'!$K:$K,'Таблиця 1'!$B:$B,$A700,'Таблиця 1'!$I:$I,"Mi-24",'Таблиця 1'!$J:$J,"МК-40"))</f>
        <v/>
      </c>
      <c r="N700">
        <f>IF($A700="","",SUMIFS('Таблиця 1'!$K:$K,'Таблиця 1'!$B:$B,$A700,'Таблиця 1'!$I:$I,"Mi-8",'Таблиця 1'!$J:$J,"Zuni")+SUMIFS('Таблиця 1'!$K:$K,'Таблиця 1'!$B:$B,$A700,'Таблиця 1'!$I:$I,"Mi-24",'Таблиця 1'!$J:$J,"Zuni"))</f>
        <v/>
      </c>
      <c r="O700">
        <f>IF($A700="","",COUNTIFS('Таблиця 1'!$B:$B,$A700,'Таблиця 1'!$I:$I,"Mi-8",'Таблиця 1'!$L:$L,"Уражено")+COUNTIFS('Таблиця 1'!$B:$B,$A700,'Таблиця 1'!$I:$I,"Mi-24",'Таблиця 1'!$L:$L,"Уражено"))</f>
        <v/>
      </c>
      <c r="P700">
        <f>IF($A700="","",COUNTIFS('Таблиця 1'!$B:$B,$A700,'Таблиця 1'!$I:$I,"Mi-8",'Таблиця 1'!$L:$L,"НЕ уражено")+COUNTIFS('Таблиця 1'!$B:$B,$A700,'Таблиця 1'!$I:$I,"Mi-24",'Таблиця 1'!$L:$L,"НЕ уражено"))</f>
        <v/>
      </c>
    </row>
    <row r="701">
      <c r="A701" s="273">
        <f>IF(A700="","",IF(A700+1&gt;MAX('Таблиця 1'!$B:$B),"",A700+1))</f>
        <v/>
      </c>
      <c r="B701">
        <f>IF($A701="","",COUNTIFS('Таблиця 1'!$B:$B,$A701,'Таблиця 1'!$I:$I,"Mi-8")+COUNTIFS('Таблиця 1'!$B:$B,$A701,'Таблиця 1'!$I:$I,"Mi-24"))</f>
        <v/>
      </c>
      <c r="C701">
        <f>IF($A701="","",COUNTIFS('Таблиця 1'!$B:$B,$A701,'Таблиця 1'!$I:$I,"Mi-8"))</f>
        <v/>
      </c>
      <c r="D701">
        <f>IF($A701="","",COUNTIFS('Таблиця 1'!$B:$B,$A701,'Таблиця 1'!$I:$I,"Mi-24"))</f>
        <v/>
      </c>
      <c r="E701">
        <f>IF($A701="","",SUMIFS('Таблиця 1'!$K:$K,'Таблиця 1'!$B:$B,$A701,'Таблиця 1'!$I:$I,"Mi-8",'Таблиця 1'!$J:$J,"ARS-8")+SUMIFS('Таблиця 1'!$K:$K,'Таблиця 1'!$B:$B,$A701,'Таблиця 1'!$I:$I,"Mi-24",'Таблиця 1'!$J:$J,"ARS-8"))</f>
        <v/>
      </c>
      <c r="F701">
        <f>IF($A701="","",SUMIFS('Таблиця 1'!$K:$K,'Таблиця 1'!$B:$B,$A701,'Таблиця 1'!$I:$I,"Mi-8",'Таблиця 1'!$J:$J,"С-8 ком")+SUMIFS('Таблиця 1'!$K:$K,'Таблиця 1'!$B:$B,$A701,'Таблиця 1'!$I:$I,"Mi-24",'Таблиця 1'!$J:$J,"С-8 ком"))</f>
        <v/>
      </c>
      <c r="G701">
        <f>IF($A701="","",SUMIFS('Таблиця 1'!$K:$K,'Таблиця 1'!$B:$B,$A701,'Таблиця 1'!$I:$I,"Mi-8",'Таблиця 1'!$J:$J,"PC-80")+SUMIFS('Таблиця 1'!$K:$K,'Таблиця 1'!$B:$B,$A701,'Таблиця 1'!$I:$I,"Mi-24",'Таблиця 1'!$J:$J,"PC-80"))</f>
        <v/>
      </c>
      <c r="H701">
        <f>IF($A701="","",SUMIFS('Таблиця 1'!$K:$K,'Таблиця 1'!$B:$B,$A701,'Таблиця 1'!$I:$I,"Mi-8",'Таблиця 1'!$J:$J,"UAR-80")+SUMIFS('Таблиця 1'!$K:$K,'Таблиця 1'!$B:$B,$A701,'Таблиця 1'!$I:$I,"Mi-24",'Таблиця 1'!$J:$J,"UAR-80"))</f>
        <v/>
      </c>
      <c r="I701">
        <f>IF($A701="","",SUMIFS('Таблиця 1'!$K:$K,'Таблиця 1'!$B:$B,$A701,'Таблиця 1'!$I:$I,"Mi-8",'Таблиця 1'!$J:$J,"C-13")+SUMIFS('Таблиця 1'!$K:$K,'Таблиця 1'!$B:$B,$A701,'Таблиця 1'!$I:$I,"Mi-24",'Таблиця 1'!$J:$J,"C-13"))</f>
        <v/>
      </c>
      <c r="J701">
        <f>IF($A701="","",SUMIFS('Таблиця 1'!$K:$K,'Таблиця 1'!$B:$B,$A701,'Таблиця 1'!$I:$I,"Mi-8",'Таблиця 1'!$J:$J,"Hydra-70")+SUMIFS('Таблиця 1'!$K:$K,'Таблиця 1'!$B:$B,$A701,'Таблиця 1'!$I:$I,"Mi-24",'Таблиця 1'!$J:$J,"Hydra-70"))</f>
        <v/>
      </c>
      <c r="K701">
        <f>IF($A701="","",SUMIFS('Таблиця 1'!$K:$K,'Таблиця 1'!$B:$B,$A701,'Таблиця 1'!$I:$I,"Mi-8",'Таблиця 1'!$J:$J,"Thales-70")+SUMIFS('Таблиця 1'!$K:$K,'Таблиця 1'!$B:$B,$A701,'Таблиця 1'!$I:$I,"Mi-24",'Таблиця 1'!$J:$J,"Thales-70"))</f>
        <v/>
      </c>
      <c r="L701">
        <f>IF($A701="","",SUMIFS('Таблиця 1'!$K:$K,'Таблиця 1'!$B:$B,$A701,'Таблиця 1'!$I:$I,"Mi-8",'Таблиця 1'!$J:$J,"Thales-FZ")+SUMIFS('Таблиця 1'!$K:$K,'Таблиця 1'!$B:$B,$A701,'Таблиця 1'!$I:$I,"Mi-24",'Таблиця 1'!$J:$J,"Thales-FZ"))</f>
        <v/>
      </c>
      <c r="M701">
        <f>IF($A701="","",SUMIFS('Таблиця 1'!$K:$K,'Таблиця 1'!$B:$B,$A701,'Таблиця 1'!$I:$I,"Mi-8",'Таблиця 1'!$J:$J,"МК-40")+SUMIFS('Таблиця 1'!$K:$K,'Таблиця 1'!$B:$B,$A701,'Таблиця 1'!$I:$I,"Mi-24",'Таблиця 1'!$J:$J,"МК-40"))</f>
        <v/>
      </c>
      <c r="N701">
        <f>IF($A701="","",SUMIFS('Таблиця 1'!$K:$K,'Таблиця 1'!$B:$B,$A701,'Таблиця 1'!$I:$I,"Mi-8",'Таблиця 1'!$J:$J,"Zuni")+SUMIFS('Таблиця 1'!$K:$K,'Таблиця 1'!$B:$B,$A701,'Таблиця 1'!$I:$I,"Mi-24",'Таблиця 1'!$J:$J,"Zuni"))</f>
        <v/>
      </c>
      <c r="O701">
        <f>IF($A701="","",COUNTIFS('Таблиця 1'!$B:$B,$A701,'Таблиця 1'!$I:$I,"Mi-8",'Таблиця 1'!$L:$L,"Уражено")+COUNTIFS('Таблиця 1'!$B:$B,$A701,'Таблиця 1'!$I:$I,"Mi-24",'Таблиця 1'!$L:$L,"Уражено"))</f>
        <v/>
      </c>
      <c r="P701">
        <f>IF($A701="","",COUNTIFS('Таблиця 1'!$B:$B,$A701,'Таблиця 1'!$I:$I,"Mi-8",'Таблиця 1'!$L:$L,"НЕ уражено")+COUNTIFS('Таблиця 1'!$B:$B,$A701,'Таблиця 1'!$I:$I,"Mi-24",'Таблиця 1'!$L:$L,"НЕ уражено"))</f>
        <v/>
      </c>
    </row>
    <row r="702">
      <c r="A702" s="273">
        <f>IF(A701="","",IF(A701+1&gt;MAX('Таблиця 1'!$B:$B),"",A701+1))</f>
        <v/>
      </c>
      <c r="B702">
        <f>IF($A702="","",COUNTIFS('Таблиця 1'!$B:$B,$A702,'Таблиця 1'!$I:$I,"Mi-8")+COUNTIFS('Таблиця 1'!$B:$B,$A702,'Таблиця 1'!$I:$I,"Mi-24"))</f>
        <v/>
      </c>
      <c r="C702">
        <f>IF($A702="","",COUNTIFS('Таблиця 1'!$B:$B,$A702,'Таблиця 1'!$I:$I,"Mi-8"))</f>
        <v/>
      </c>
      <c r="D702">
        <f>IF($A702="","",COUNTIFS('Таблиця 1'!$B:$B,$A702,'Таблиця 1'!$I:$I,"Mi-24"))</f>
        <v/>
      </c>
      <c r="E702">
        <f>IF($A702="","",SUMIFS('Таблиця 1'!$K:$K,'Таблиця 1'!$B:$B,$A702,'Таблиця 1'!$I:$I,"Mi-8",'Таблиця 1'!$J:$J,"ARS-8")+SUMIFS('Таблиця 1'!$K:$K,'Таблиця 1'!$B:$B,$A702,'Таблиця 1'!$I:$I,"Mi-24",'Таблиця 1'!$J:$J,"ARS-8"))</f>
        <v/>
      </c>
      <c r="F702">
        <f>IF($A702="","",SUMIFS('Таблиця 1'!$K:$K,'Таблиця 1'!$B:$B,$A702,'Таблиця 1'!$I:$I,"Mi-8",'Таблиця 1'!$J:$J,"С-8 ком")+SUMIFS('Таблиця 1'!$K:$K,'Таблиця 1'!$B:$B,$A702,'Таблиця 1'!$I:$I,"Mi-24",'Таблиця 1'!$J:$J,"С-8 ком"))</f>
        <v/>
      </c>
      <c r="G702">
        <f>IF($A702="","",SUMIFS('Таблиця 1'!$K:$K,'Таблиця 1'!$B:$B,$A702,'Таблиця 1'!$I:$I,"Mi-8",'Таблиця 1'!$J:$J,"PC-80")+SUMIFS('Таблиця 1'!$K:$K,'Таблиця 1'!$B:$B,$A702,'Таблиця 1'!$I:$I,"Mi-24",'Таблиця 1'!$J:$J,"PC-80"))</f>
        <v/>
      </c>
      <c r="H702">
        <f>IF($A702="","",SUMIFS('Таблиця 1'!$K:$K,'Таблиця 1'!$B:$B,$A702,'Таблиця 1'!$I:$I,"Mi-8",'Таблиця 1'!$J:$J,"UAR-80")+SUMIFS('Таблиця 1'!$K:$K,'Таблиця 1'!$B:$B,$A702,'Таблиця 1'!$I:$I,"Mi-24",'Таблиця 1'!$J:$J,"UAR-80"))</f>
        <v/>
      </c>
      <c r="I702">
        <f>IF($A702="","",SUMIFS('Таблиця 1'!$K:$K,'Таблиця 1'!$B:$B,$A702,'Таблиця 1'!$I:$I,"Mi-8",'Таблиця 1'!$J:$J,"C-13")+SUMIFS('Таблиця 1'!$K:$K,'Таблиця 1'!$B:$B,$A702,'Таблиця 1'!$I:$I,"Mi-24",'Таблиця 1'!$J:$J,"C-13"))</f>
        <v/>
      </c>
      <c r="J702">
        <f>IF($A702="","",SUMIFS('Таблиця 1'!$K:$K,'Таблиця 1'!$B:$B,$A702,'Таблиця 1'!$I:$I,"Mi-8",'Таблиця 1'!$J:$J,"Hydra-70")+SUMIFS('Таблиця 1'!$K:$K,'Таблиця 1'!$B:$B,$A702,'Таблиця 1'!$I:$I,"Mi-24",'Таблиця 1'!$J:$J,"Hydra-70"))</f>
        <v/>
      </c>
      <c r="K702">
        <f>IF($A702="","",SUMIFS('Таблиця 1'!$K:$K,'Таблиця 1'!$B:$B,$A702,'Таблиця 1'!$I:$I,"Mi-8",'Таблиця 1'!$J:$J,"Thales-70")+SUMIFS('Таблиця 1'!$K:$K,'Таблиця 1'!$B:$B,$A702,'Таблиця 1'!$I:$I,"Mi-24",'Таблиця 1'!$J:$J,"Thales-70"))</f>
        <v/>
      </c>
      <c r="L702">
        <f>IF($A702="","",SUMIFS('Таблиця 1'!$K:$K,'Таблиця 1'!$B:$B,$A702,'Таблиця 1'!$I:$I,"Mi-8",'Таблиця 1'!$J:$J,"Thales-FZ")+SUMIFS('Таблиця 1'!$K:$K,'Таблиця 1'!$B:$B,$A702,'Таблиця 1'!$I:$I,"Mi-24",'Таблиця 1'!$J:$J,"Thales-FZ"))</f>
        <v/>
      </c>
      <c r="M702">
        <f>IF($A702="","",SUMIFS('Таблиця 1'!$K:$K,'Таблиця 1'!$B:$B,$A702,'Таблиця 1'!$I:$I,"Mi-8",'Таблиця 1'!$J:$J,"МК-40")+SUMIFS('Таблиця 1'!$K:$K,'Таблиця 1'!$B:$B,$A702,'Таблиця 1'!$I:$I,"Mi-24",'Таблиця 1'!$J:$J,"МК-40"))</f>
        <v/>
      </c>
      <c r="N702">
        <f>IF($A702="","",SUMIFS('Таблиця 1'!$K:$K,'Таблиця 1'!$B:$B,$A702,'Таблиця 1'!$I:$I,"Mi-8",'Таблиця 1'!$J:$J,"Zuni")+SUMIFS('Таблиця 1'!$K:$K,'Таблиця 1'!$B:$B,$A702,'Таблиця 1'!$I:$I,"Mi-24",'Таблиця 1'!$J:$J,"Zuni"))</f>
        <v/>
      </c>
      <c r="O702">
        <f>IF($A702="","",COUNTIFS('Таблиця 1'!$B:$B,$A702,'Таблиця 1'!$I:$I,"Mi-8",'Таблиця 1'!$L:$L,"Уражено")+COUNTIFS('Таблиця 1'!$B:$B,$A702,'Таблиця 1'!$I:$I,"Mi-24",'Таблиця 1'!$L:$L,"Уражено"))</f>
        <v/>
      </c>
      <c r="P702">
        <f>IF($A702="","",COUNTIFS('Таблиця 1'!$B:$B,$A702,'Таблиця 1'!$I:$I,"Mi-8",'Таблиця 1'!$L:$L,"НЕ уражено")+COUNTIFS('Таблиця 1'!$B:$B,$A702,'Таблиця 1'!$I:$I,"Mi-24",'Таблиця 1'!$L:$L,"НЕ уражено"))</f>
        <v/>
      </c>
    </row>
    <row r="703">
      <c r="A703" s="273">
        <f>IF(A702="","",IF(A702+1&gt;MAX('Таблиця 1'!$B:$B),"",A702+1))</f>
        <v/>
      </c>
      <c r="B703">
        <f>IF($A703="","",COUNTIFS('Таблиця 1'!$B:$B,$A703,'Таблиця 1'!$I:$I,"Mi-8")+COUNTIFS('Таблиця 1'!$B:$B,$A703,'Таблиця 1'!$I:$I,"Mi-24"))</f>
        <v/>
      </c>
      <c r="C703">
        <f>IF($A703="","",COUNTIFS('Таблиця 1'!$B:$B,$A703,'Таблиця 1'!$I:$I,"Mi-8"))</f>
        <v/>
      </c>
      <c r="D703">
        <f>IF($A703="","",COUNTIFS('Таблиця 1'!$B:$B,$A703,'Таблиця 1'!$I:$I,"Mi-24"))</f>
        <v/>
      </c>
      <c r="E703">
        <f>IF($A703="","",SUMIFS('Таблиця 1'!$K:$K,'Таблиця 1'!$B:$B,$A703,'Таблиця 1'!$I:$I,"Mi-8",'Таблиця 1'!$J:$J,"ARS-8")+SUMIFS('Таблиця 1'!$K:$K,'Таблиця 1'!$B:$B,$A703,'Таблиця 1'!$I:$I,"Mi-24",'Таблиця 1'!$J:$J,"ARS-8"))</f>
        <v/>
      </c>
      <c r="F703">
        <f>IF($A703="","",SUMIFS('Таблиця 1'!$K:$K,'Таблиця 1'!$B:$B,$A703,'Таблиця 1'!$I:$I,"Mi-8",'Таблиця 1'!$J:$J,"С-8 ком")+SUMIFS('Таблиця 1'!$K:$K,'Таблиця 1'!$B:$B,$A703,'Таблиця 1'!$I:$I,"Mi-24",'Таблиця 1'!$J:$J,"С-8 ком"))</f>
        <v/>
      </c>
      <c r="G703">
        <f>IF($A703="","",SUMIFS('Таблиця 1'!$K:$K,'Таблиця 1'!$B:$B,$A703,'Таблиця 1'!$I:$I,"Mi-8",'Таблиця 1'!$J:$J,"PC-80")+SUMIFS('Таблиця 1'!$K:$K,'Таблиця 1'!$B:$B,$A703,'Таблиця 1'!$I:$I,"Mi-24",'Таблиця 1'!$J:$J,"PC-80"))</f>
        <v/>
      </c>
      <c r="H703">
        <f>IF($A703="","",SUMIFS('Таблиця 1'!$K:$K,'Таблиця 1'!$B:$B,$A703,'Таблиця 1'!$I:$I,"Mi-8",'Таблиця 1'!$J:$J,"UAR-80")+SUMIFS('Таблиця 1'!$K:$K,'Таблиця 1'!$B:$B,$A703,'Таблиця 1'!$I:$I,"Mi-24",'Таблиця 1'!$J:$J,"UAR-80"))</f>
        <v/>
      </c>
      <c r="I703">
        <f>IF($A703="","",SUMIFS('Таблиця 1'!$K:$K,'Таблиця 1'!$B:$B,$A703,'Таблиця 1'!$I:$I,"Mi-8",'Таблиця 1'!$J:$J,"C-13")+SUMIFS('Таблиця 1'!$K:$K,'Таблиця 1'!$B:$B,$A703,'Таблиця 1'!$I:$I,"Mi-24",'Таблиця 1'!$J:$J,"C-13"))</f>
        <v/>
      </c>
      <c r="J703">
        <f>IF($A703="","",SUMIFS('Таблиця 1'!$K:$K,'Таблиця 1'!$B:$B,$A703,'Таблиця 1'!$I:$I,"Mi-8",'Таблиця 1'!$J:$J,"Hydra-70")+SUMIFS('Таблиця 1'!$K:$K,'Таблиця 1'!$B:$B,$A703,'Таблиця 1'!$I:$I,"Mi-24",'Таблиця 1'!$J:$J,"Hydra-70"))</f>
        <v/>
      </c>
      <c r="K703">
        <f>IF($A703="","",SUMIFS('Таблиця 1'!$K:$K,'Таблиця 1'!$B:$B,$A703,'Таблиця 1'!$I:$I,"Mi-8",'Таблиця 1'!$J:$J,"Thales-70")+SUMIFS('Таблиця 1'!$K:$K,'Таблиця 1'!$B:$B,$A703,'Таблиця 1'!$I:$I,"Mi-24",'Таблиця 1'!$J:$J,"Thales-70"))</f>
        <v/>
      </c>
      <c r="L703">
        <f>IF($A703="","",SUMIFS('Таблиця 1'!$K:$K,'Таблиця 1'!$B:$B,$A703,'Таблиця 1'!$I:$I,"Mi-8",'Таблиця 1'!$J:$J,"Thales-FZ")+SUMIFS('Таблиця 1'!$K:$K,'Таблиця 1'!$B:$B,$A703,'Таблиця 1'!$I:$I,"Mi-24",'Таблиця 1'!$J:$J,"Thales-FZ"))</f>
        <v/>
      </c>
      <c r="M703">
        <f>IF($A703="","",SUMIFS('Таблиця 1'!$K:$K,'Таблиця 1'!$B:$B,$A703,'Таблиця 1'!$I:$I,"Mi-8",'Таблиця 1'!$J:$J,"МК-40")+SUMIFS('Таблиця 1'!$K:$K,'Таблиця 1'!$B:$B,$A703,'Таблиця 1'!$I:$I,"Mi-24",'Таблиця 1'!$J:$J,"МК-40"))</f>
        <v/>
      </c>
      <c r="N703">
        <f>IF($A703="","",SUMIFS('Таблиця 1'!$K:$K,'Таблиця 1'!$B:$B,$A703,'Таблиця 1'!$I:$I,"Mi-8",'Таблиця 1'!$J:$J,"Zuni")+SUMIFS('Таблиця 1'!$K:$K,'Таблиця 1'!$B:$B,$A703,'Таблиця 1'!$I:$I,"Mi-24",'Таблиця 1'!$J:$J,"Zuni"))</f>
        <v/>
      </c>
      <c r="O703">
        <f>IF($A703="","",COUNTIFS('Таблиця 1'!$B:$B,$A703,'Таблиця 1'!$I:$I,"Mi-8",'Таблиця 1'!$L:$L,"Уражено")+COUNTIFS('Таблиця 1'!$B:$B,$A703,'Таблиця 1'!$I:$I,"Mi-24",'Таблиця 1'!$L:$L,"Уражено"))</f>
        <v/>
      </c>
      <c r="P703">
        <f>IF($A703="","",COUNTIFS('Таблиця 1'!$B:$B,$A703,'Таблиця 1'!$I:$I,"Mi-8",'Таблиця 1'!$L:$L,"НЕ уражено")+COUNTIFS('Таблиця 1'!$B:$B,$A703,'Таблиця 1'!$I:$I,"Mi-24",'Таблиця 1'!$L:$L,"НЕ уражено"))</f>
        <v/>
      </c>
    </row>
    <row r="704">
      <c r="A704" s="273">
        <f>IF(A703="","",IF(A703+1&gt;MAX('Таблиця 1'!$B:$B),"",A703+1))</f>
        <v/>
      </c>
      <c r="B704">
        <f>IF($A704="","",COUNTIFS('Таблиця 1'!$B:$B,$A704,'Таблиця 1'!$I:$I,"Mi-8")+COUNTIFS('Таблиця 1'!$B:$B,$A704,'Таблиця 1'!$I:$I,"Mi-24"))</f>
        <v/>
      </c>
      <c r="C704">
        <f>IF($A704="","",COUNTIFS('Таблиця 1'!$B:$B,$A704,'Таблиця 1'!$I:$I,"Mi-8"))</f>
        <v/>
      </c>
      <c r="D704">
        <f>IF($A704="","",COUNTIFS('Таблиця 1'!$B:$B,$A704,'Таблиця 1'!$I:$I,"Mi-24"))</f>
        <v/>
      </c>
      <c r="E704">
        <f>IF($A704="","",SUMIFS('Таблиця 1'!$K:$K,'Таблиця 1'!$B:$B,$A704,'Таблиця 1'!$I:$I,"Mi-8",'Таблиця 1'!$J:$J,"ARS-8")+SUMIFS('Таблиця 1'!$K:$K,'Таблиця 1'!$B:$B,$A704,'Таблиця 1'!$I:$I,"Mi-24",'Таблиця 1'!$J:$J,"ARS-8"))</f>
        <v/>
      </c>
      <c r="F704">
        <f>IF($A704="","",SUMIFS('Таблиця 1'!$K:$K,'Таблиця 1'!$B:$B,$A704,'Таблиця 1'!$I:$I,"Mi-8",'Таблиця 1'!$J:$J,"С-8 ком")+SUMIFS('Таблиця 1'!$K:$K,'Таблиця 1'!$B:$B,$A704,'Таблиця 1'!$I:$I,"Mi-24",'Таблиця 1'!$J:$J,"С-8 ком"))</f>
        <v/>
      </c>
      <c r="G704">
        <f>IF($A704="","",SUMIFS('Таблиця 1'!$K:$K,'Таблиця 1'!$B:$B,$A704,'Таблиця 1'!$I:$I,"Mi-8",'Таблиця 1'!$J:$J,"PC-80")+SUMIFS('Таблиця 1'!$K:$K,'Таблиця 1'!$B:$B,$A704,'Таблиця 1'!$I:$I,"Mi-24",'Таблиця 1'!$J:$J,"PC-80"))</f>
        <v/>
      </c>
      <c r="H704">
        <f>IF($A704="","",SUMIFS('Таблиця 1'!$K:$K,'Таблиця 1'!$B:$B,$A704,'Таблиця 1'!$I:$I,"Mi-8",'Таблиця 1'!$J:$J,"UAR-80")+SUMIFS('Таблиця 1'!$K:$K,'Таблиця 1'!$B:$B,$A704,'Таблиця 1'!$I:$I,"Mi-24",'Таблиця 1'!$J:$J,"UAR-80"))</f>
        <v/>
      </c>
      <c r="I704">
        <f>IF($A704="","",SUMIFS('Таблиця 1'!$K:$K,'Таблиця 1'!$B:$B,$A704,'Таблиця 1'!$I:$I,"Mi-8",'Таблиця 1'!$J:$J,"C-13")+SUMIFS('Таблиця 1'!$K:$K,'Таблиця 1'!$B:$B,$A704,'Таблиця 1'!$I:$I,"Mi-24",'Таблиця 1'!$J:$J,"C-13"))</f>
        <v/>
      </c>
      <c r="J704">
        <f>IF($A704="","",SUMIFS('Таблиця 1'!$K:$K,'Таблиця 1'!$B:$B,$A704,'Таблиця 1'!$I:$I,"Mi-8",'Таблиця 1'!$J:$J,"Hydra-70")+SUMIFS('Таблиця 1'!$K:$K,'Таблиця 1'!$B:$B,$A704,'Таблиця 1'!$I:$I,"Mi-24",'Таблиця 1'!$J:$J,"Hydra-70"))</f>
        <v/>
      </c>
      <c r="K704">
        <f>IF($A704="","",SUMIFS('Таблиця 1'!$K:$K,'Таблиця 1'!$B:$B,$A704,'Таблиця 1'!$I:$I,"Mi-8",'Таблиця 1'!$J:$J,"Thales-70")+SUMIFS('Таблиця 1'!$K:$K,'Таблиця 1'!$B:$B,$A704,'Таблиця 1'!$I:$I,"Mi-24",'Таблиця 1'!$J:$J,"Thales-70"))</f>
        <v/>
      </c>
      <c r="L704">
        <f>IF($A704="","",SUMIFS('Таблиця 1'!$K:$K,'Таблиця 1'!$B:$B,$A704,'Таблиця 1'!$I:$I,"Mi-8",'Таблиця 1'!$J:$J,"Thales-FZ")+SUMIFS('Таблиця 1'!$K:$K,'Таблиця 1'!$B:$B,$A704,'Таблиця 1'!$I:$I,"Mi-24",'Таблиця 1'!$J:$J,"Thales-FZ"))</f>
        <v/>
      </c>
      <c r="M704">
        <f>IF($A704="","",SUMIFS('Таблиця 1'!$K:$K,'Таблиця 1'!$B:$B,$A704,'Таблиця 1'!$I:$I,"Mi-8",'Таблиця 1'!$J:$J,"МК-40")+SUMIFS('Таблиця 1'!$K:$K,'Таблиця 1'!$B:$B,$A704,'Таблиця 1'!$I:$I,"Mi-24",'Таблиця 1'!$J:$J,"МК-40"))</f>
        <v/>
      </c>
      <c r="N704">
        <f>IF($A704="","",SUMIFS('Таблиця 1'!$K:$K,'Таблиця 1'!$B:$B,$A704,'Таблиця 1'!$I:$I,"Mi-8",'Таблиця 1'!$J:$J,"Zuni")+SUMIFS('Таблиця 1'!$K:$K,'Таблиця 1'!$B:$B,$A704,'Таблиця 1'!$I:$I,"Mi-24",'Таблиця 1'!$J:$J,"Zuni"))</f>
        <v/>
      </c>
      <c r="O704">
        <f>IF($A704="","",COUNTIFS('Таблиця 1'!$B:$B,$A704,'Таблиця 1'!$I:$I,"Mi-8",'Таблиця 1'!$L:$L,"Уражено")+COUNTIFS('Таблиця 1'!$B:$B,$A704,'Таблиця 1'!$I:$I,"Mi-24",'Таблиця 1'!$L:$L,"Уражено"))</f>
        <v/>
      </c>
      <c r="P704">
        <f>IF($A704="","",COUNTIFS('Таблиця 1'!$B:$B,$A704,'Таблиця 1'!$I:$I,"Mi-8",'Таблиця 1'!$L:$L,"НЕ уражено")+COUNTIFS('Таблиця 1'!$B:$B,$A704,'Таблиця 1'!$I:$I,"Mi-24",'Таблиця 1'!$L:$L,"НЕ уражено"))</f>
        <v/>
      </c>
    </row>
    <row r="705">
      <c r="A705" s="273">
        <f>IF(A704="","",IF(A704+1&gt;MAX('Таблиця 1'!$B:$B),"",A704+1))</f>
        <v/>
      </c>
      <c r="B705">
        <f>IF($A705="","",COUNTIFS('Таблиця 1'!$B:$B,$A705,'Таблиця 1'!$I:$I,"Mi-8")+COUNTIFS('Таблиця 1'!$B:$B,$A705,'Таблиця 1'!$I:$I,"Mi-24"))</f>
        <v/>
      </c>
      <c r="C705">
        <f>IF($A705="","",COUNTIFS('Таблиця 1'!$B:$B,$A705,'Таблиця 1'!$I:$I,"Mi-8"))</f>
        <v/>
      </c>
      <c r="D705">
        <f>IF($A705="","",COUNTIFS('Таблиця 1'!$B:$B,$A705,'Таблиця 1'!$I:$I,"Mi-24"))</f>
        <v/>
      </c>
      <c r="E705">
        <f>IF($A705="","",SUMIFS('Таблиця 1'!$K:$K,'Таблиця 1'!$B:$B,$A705,'Таблиця 1'!$I:$I,"Mi-8",'Таблиця 1'!$J:$J,"ARS-8")+SUMIFS('Таблиця 1'!$K:$K,'Таблиця 1'!$B:$B,$A705,'Таблиця 1'!$I:$I,"Mi-24",'Таблиця 1'!$J:$J,"ARS-8"))</f>
        <v/>
      </c>
      <c r="F705">
        <f>IF($A705="","",SUMIFS('Таблиця 1'!$K:$K,'Таблиця 1'!$B:$B,$A705,'Таблиця 1'!$I:$I,"Mi-8",'Таблиця 1'!$J:$J,"С-8 ком")+SUMIFS('Таблиця 1'!$K:$K,'Таблиця 1'!$B:$B,$A705,'Таблиця 1'!$I:$I,"Mi-24",'Таблиця 1'!$J:$J,"С-8 ком"))</f>
        <v/>
      </c>
      <c r="G705">
        <f>IF($A705="","",SUMIFS('Таблиця 1'!$K:$K,'Таблиця 1'!$B:$B,$A705,'Таблиця 1'!$I:$I,"Mi-8",'Таблиця 1'!$J:$J,"PC-80")+SUMIFS('Таблиця 1'!$K:$K,'Таблиця 1'!$B:$B,$A705,'Таблиця 1'!$I:$I,"Mi-24",'Таблиця 1'!$J:$J,"PC-80"))</f>
        <v/>
      </c>
      <c r="H705">
        <f>IF($A705="","",SUMIFS('Таблиця 1'!$K:$K,'Таблиця 1'!$B:$B,$A705,'Таблиця 1'!$I:$I,"Mi-8",'Таблиця 1'!$J:$J,"UAR-80")+SUMIFS('Таблиця 1'!$K:$K,'Таблиця 1'!$B:$B,$A705,'Таблиця 1'!$I:$I,"Mi-24",'Таблиця 1'!$J:$J,"UAR-80"))</f>
        <v/>
      </c>
      <c r="I705">
        <f>IF($A705="","",SUMIFS('Таблиця 1'!$K:$K,'Таблиця 1'!$B:$B,$A705,'Таблиця 1'!$I:$I,"Mi-8",'Таблиця 1'!$J:$J,"C-13")+SUMIFS('Таблиця 1'!$K:$K,'Таблиця 1'!$B:$B,$A705,'Таблиця 1'!$I:$I,"Mi-24",'Таблиця 1'!$J:$J,"C-13"))</f>
        <v/>
      </c>
      <c r="J705">
        <f>IF($A705="","",SUMIFS('Таблиця 1'!$K:$K,'Таблиця 1'!$B:$B,$A705,'Таблиця 1'!$I:$I,"Mi-8",'Таблиця 1'!$J:$J,"Hydra-70")+SUMIFS('Таблиця 1'!$K:$K,'Таблиця 1'!$B:$B,$A705,'Таблиця 1'!$I:$I,"Mi-24",'Таблиця 1'!$J:$J,"Hydra-70"))</f>
        <v/>
      </c>
      <c r="K705">
        <f>IF($A705="","",SUMIFS('Таблиця 1'!$K:$K,'Таблиця 1'!$B:$B,$A705,'Таблиця 1'!$I:$I,"Mi-8",'Таблиця 1'!$J:$J,"Thales-70")+SUMIFS('Таблиця 1'!$K:$K,'Таблиця 1'!$B:$B,$A705,'Таблиця 1'!$I:$I,"Mi-24",'Таблиця 1'!$J:$J,"Thales-70"))</f>
        <v/>
      </c>
      <c r="L705">
        <f>IF($A705="","",SUMIFS('Таблиця 1'!$K:$K,'Таблиця 1'!$B:$B,$A705,'Таблиця 1'!$I:$I,"Mi-8",'Таблиця 1'!$J:$J,"Thales-FZ")+SUMIFS('Таблиця 1'!$K:$K,'Таблиця 1'!$B:$B,$A705,'Таблиця 1'!$I:$I,"Mi-24",'Таблиця 1'!$J:$J,"Thales-FZ"))</f>
        <v/>
      </c>
      <c r="M705">
        <f>IF($A705="","",SUMIFS('Таблиця 1'!$K:$K,'Таблиця 1'!$B:$B,$A705,'Таблиця 1'!$I:$I,"Mi-8",'Таблиця 1'!$J:$J,"МК-40")+SUMIFS('Таблиця 1'!$K:$K,'Таблиця 1'!$B:$B,$A705,'Таблиця 1'!$I:$I,"Mi-24",'Таблиця 1'!$J:$J,"МК-40"))</f>
        <v/>
      </c>
      <c r="N705">
        <f>IF($A705="","",SUMIFS('Таблиця 1'!$K:$K,'Таблиця 1'!$B:$B,$A705,'Таблиця 1'!$I:$I,"Mi-8",'Таблиця 1'!$J:$J,"Zuni")+SUMIFS('Таблиця 1'!$K:$K,'Таблиця 1'!$B:$B,$A705,'Таблиця 1'!$I:$I,"Mi-24",'Таблиця 1'!$J:$J,"Zuni"))</f>
        <v/>
      </c>
      <c r="O705">
        <f>IF($A705="","",COUNTIFS('Таблиця 1'!$B:$B,$A705,'Таблиця 1'!$I:$I,"Mi-8",'Таблиця 1'!$L:$L,"Уражено")+COUNTIFS('Таблиця 1'!$B:$B,$A705,'Таблиця 1'!$I:$I,"Mi-24",'Таблиця 1'!$L:$L,"Уражено"))</f>
        <v/>
      </c>
      <c r="P705">
        <f>IF($A705="","",COUNTIFS('Таблиця 1'!$B:$B,$A705,'Таблиця 1'!$I:$I,"Mi-8",'Таблиця 1'!$L:$L,"НЕ уражено")+COUNTIFS('Таблиця 1'!$B:$B,$A705,'Таблиця 1'!$I:$I,"Mi-24",'Таблиця 1'!$L:$L,"НЕ уражено"))</f>
        <v/>
      </c>
    </row>
    <row r="706">
      <c r="A706" s="273">
        <f>IF(A705="","",IF(A705+1&gt;MAX('Таблиця 1'!$B:$B),"",A705+1))</f>
        <v/>
      </c>
      <c r="B706">
        <f>IF($A706="","",COUNTIFS('Таблиця 1'!$B:$B,$A706,'Таблиця 1'!$I:$I,"Mi-8")+COUNTIFS('Таблиця 1'!$B:$B,$A706,'Таблиця 1'!$I:$I,"Mi-24"))</f>
        <v/>
      </c>
      <c r="C706">
        <f>IF($A706="","",COUNTIFS('Таблиця 1'!$B:$B,$A706,'Таблиця 1'!$I:$I,"Mi-8"))</f>
        <v/>
      </c>
      <c r="D706">
        <f>IF($A706="","",COUNTIFS('Таблиця 1'!$B:$B,$A706,'Таблиця 1'!$I:$I,"Mi-24"))</f>
        <v/>
      </c>
      <c r="E706">
        <f>IF($A706="","",SUMIFS('Таблиця 1'!$K:$K,'Таблиця 1'!$B:$B,$A706,'Таблиця 1'!$I:$I,"Mi-8",'Таблиця 1'!$J:$J,"ARS-8")+SUMIFS('Таблиця 1'!$K:$K,'Таблиця 1'!$B:$B,$A706,'Таблиця 1'!$I:$I,"Mi-24",'Таблиця 1'!$J:$J,"ARS-8"))</f>
        <v/>
      </c>
      <c r="F706">
        <f>IF($A706="","",SUMIFS('Таблиця 1'!$K:$K,'Таблиця 1'!$B:$B,$A706,'Таблиця 1'!$I:$I,"Mi-8",'Таблиця 1'!$J:$J,"С-8 ком")+SUMIFS('Таблиця 1'!$K:$K,'Таблиця 1'!$B:$B,$A706,'Таблиця 1'!$I:$I,"Mi-24",'Таблиця 1'!$J:$J,"С-8 ком"))</f>
        <v/>
      </c>
      <c r="G706">
        <f>IF($A706="","",SUMIFS('Таблиця 1'!$K:$K,'Таблиця 1'!$B:$B,$A706,'Таблиця 1'!$I:$I,"Mi-8",'Таблиця 1'!$J:$J,"PC-80")+SUMIFS('Таблиця 1'!$K:$K,'Таблиця 1'!$B:$B,$A706,'Таблиця 1'!$I:$I,"Mi-24",'Таблиця 1'!$J:$J,"PC-80"))</f>
        <v/>
      </c>
      <c r="H706">
        <f>IF($A706="","",SUMIFS('Таблиця 1'!$K:$K,'Таблиця 1'!$B:$B,$A706,'Таблиця 1'!$I:$I,"Mi-8",'Таблиця 1'!$J:$J,"UAR-80")+SUMIFS('Таблиця 1'!$K:$K,'Таблиця 1'!$B:$B,$A706,'Таблиця 1'!$I:$I,"Mi-24",'Таблиця 1'!$J:$J,"UAR-80"))</f>
        <v/>
      </c>
      <c r="I706">
        <f>IF($A706="","",SUMIFS('Таблиця 1'!$K:$K,'Таблиця 1'!$B:$B,$A706,'Таблиця 1'!$I:$I,"Mi-8",'Таблиця 1'!$J:$J,"C-13")+SUMIFS('Таблиця 1'!$K:$K,'Таблиця 1'!$B:$B,$A706,'Таблиця 1'!$I:$I,"Mi-24",'Таблиця 1'!$J:$J,"C-13"))</f>
        <v/>
      </c>
      <c r="J706">
        <f>IF($A706="","",SUMIFS('Таблиця 1'!$K:$K,'Таблиця 1'!$B:$B,$A706,'Таблиця 1'!$I:$I,"Mi-8",'Таблиця 1'!$J:$J,"Hydra-70")+SUMIFS('Таблиця 1'!$K:$K,'Таблиця 1'!$B:$B,$A706,'Таблиця 1'!$I:$I,"Mi-24",'Таблиця 1'!$J:$J,"Hydra-70"))</f>
        <v/>
      </c>
      <c r="K706">
        <f>IF($A706="","",SUMIFS('Таблиця 1'!$K:$K,'Таблиця 1'!$B:$B,$A706,'Таблиця 1'!$I:$I,"Mi-8",'Таблиця 1'!$J:$J,"Thales-70")+SUMIFS('Таблиця 1'!$K:$K,'Таблиця 1'!$B:$B,$A706,'Таблиця 1'!$I:$I,"Mi-24",'Таблиця 1'!$J:$J,"Thales-70"))</f>
        <v/>
      </c>
      <c r="L706">
        <f>IF($A706="","",SUMIFS('Таблиця 1'!$K:$K,'Таблиця 1'!$B:$B,$A706,'Таблиця 1'!$I:$I,"Mi-8",'Таблиця 1'!$J:$J,"Thales-FZ")+SUMIFS('Таблиця 1'!$K:$K,'Таблиця 1'!$B:$B,$A706,'Таблиця 1'!$I:$I,"Mi-24",'Таблиця 1'!$J:$J,"Thales-FZ"))</f>
        <v/>
      </c>
      <c r="M706">
        <f>IF($A706="","",SUMIFS('Таблиця 1'!$K:$K,'Таблиця 1'!$B:$B,$A706,'Таблиця 1'!$I:$I,"Mi-8",'Таблиця 1'!$J:$J,"МК-40")+SUMIFS('Таблиця 1'!$K:$K,'Таблиця 1'!$B:$B,$A706,'Таблиця 1'!$I:$I,"Mi-24",'Таблиця 1'!$J:$J,"МК-40"))</f>
        <v/>
      </c>
      <c r="N706">
        <f>IF($A706="","",SUMIFS('Таблиця 1'!$K:$K,'Таблиця 1'!$B:$B,$A706,'Таблиця 1'!$I:$I,"Mi-8",'Таблиця 1'!$J:$J,"Zuni")+SUMIFS('Таблиця 1'!$K:$K,'Таблиця 1'!$B:$B,$A706,'Таблиця 1'!$I:$I,"Mi-24",'Таблиця 1'!$J:$J,"Zuni"))</f>
        <v/>
      </c>
      <c r="O706">
        <f>IF($A706="","",COUNTIFS('Таблиця 1'!$B:$B,$A706,'Таблиця 1'!$I:$I,"Mi-8",'Таблиця 1'!$L:$L,"Уражено")+COUNTIFS('Таблиця 1'!$B:$B,$A706,'Таблиця 1'!$I:$I,"Mi-24",'Таблиця 1'!$L:$L,"Уражено"))</f>
        <v/>
      </c>
      <c r="P706">
        <f>IF($A706="","",COUNTIFS('Таблиця 1'!$B:$B,$A706,'Таблиця 1'!$I:$I,"Mi-8",'Таблиця 1'!$L:$L,"НЕ уражено")+COUNTIFS('Таблиця 1'!$B:$B,$A706,'Таблиця 1'!$I:$I,"Mi-24",'Таблиця 1'!$L:$L,"НЕ уражено"))</f>
        <v/>
      </c>
    </row>
    <row r="707">
      <c r="A707" s="273">
        <f>IF(A706="","",IF(A706+1&gt;MAX('Таблиця 1'!$B:$B),"",A706+1))</f>
        <v/>
      </c>
      <c r="B707">
        <f>IF($A707="","",COUNTIFS('Таблиця 1'!$B:$B,$A707,'Таблиця 1'!$I:$I,"Mi-8")+COUNTIFS('Таблиця 1'!$B:$B,$A707,'Таблиця 1'!$I:$I,"Mi-24"))</f>
        <v/>
      </c>
      <c r="C707">
        <f>IF($A707="","",COUNTIFS('Таблиця 1'!$B:$B,$A707,'Таблиця 1'!$I:$I,"Mi-8"))</f>
        <v/>
      </c>
      <c r="D707">
        <f>IF($A707="","",COUNTIFS('Таблиця 1'!$B:$B,$A707,'Таблиця 1'!$I:$I,"Mi-24"))</f>
        <v/>
      </c>
      <c r="E707">
        <f>IF($A707="","",SUMIFS('Таблиця 1'!$K:$K,'Таблиця 1'!$B:$B,$A707,'Таблиця 1'!$I:$I,"Mi-8",'Таблиця 1'!$J:$J,"ARS-8")+SUMIFS('Таблиця 1'!$K:$K,'Таблиця 1'!$B:$B,$A707,'Таблиця 1'!$I:$I,"Mi-24",'Таблиця 1'!$J:$J,"ARS-8"))</f>
        <v/>
      </c>
      <c r="F707">
        <f>IF($A707="","",SUMIFS('Таблиця 1'!$K:$K,'Таблиця 1'!$B:$B,$A707,'Таблиця 1'!$I:$I,"Mi-8",'Таблиця 1'!$J:$J,"С-8 ком")+SUMIFS('Таблиця 1'!$K:$K,'Таблиця 1'!$B:$B,$A707,'Таблиця 1'!$I:$I,"Mi-24",'Таблиця 1'!$J:$J,"С-8 ком"))</f>
        <v/>
      </c>
      <c r="G707">
        <f>IF($A707="","",SUMIFS('Таблиця 1'!$K:$K,'Таблиця 1'!$B:$B,$A707,'Таблиця 1'!$I:$I,"Mi-8",'Таблиця 1'!$J:$J,"PC-80")+SUMIFS('Таблиця 1'!$K:$K,'Таблиця 1'!$B:$B,$A707,'Таблиця 1'!$I:$I,"Mi-24",'Таблиця 1'!$J:$J,"PC-80"))</f>
        <v/>
      </c>
      <c r="H707">
        <f>IF($A707="","",SUMIFS('Таблиця 1'!$K:$K,'Таблиця 1'!$B:$B,$A707,'Таблиця 1'!$I:$I,"Mi-8",'Таблиця 1'!$J:$J,"UAR-80")+SUMIFS('Таблиця 1'!$K:$K,'Таблиця 1'!$B:$B,$A707,'Таблиця 1'!$I:$I,"Mi-24",'Таблиця 1'!$J:$J,"UAR-80"))</f>
        <v/>
      </c>
      <c r="I707">
        <f>IF($A707="","",SUMIFS('Таблиця 1'!$K:$K,'Таблиця 1'!$B:$B,$A707,'Таблиця 1'!$I:$I,"Mi-8",'Таблиця 1'!$J:$J,"C-13")+SUMIFS('Таблиця 1'!$K:$K,'Таблиця 1'!$B:$B,$A707,'Таблиця 1'!$I:$I,"Mi-24",'Таблиця 1'!$J:$J,"C-13"))</f>
        <v/>
      </c>
      <c r="J707">
        <f>IF($A707="","",SUMIFS('Таблиця 1'!$K:$K,'Таблиця 1'!$B:$B,$A707,'Таблиця 1'!$I:$I,"Mi-8",'Таблиця 1'!$J:$J,"Hydra-70")+SUMIFS('Таблиця 1'!$K:$K,'Таблиця 1'!$B:$B,$A707,'Таблиця 1'!$I:$I,"Mi-24",'Таблиця 1'!$J:$J,"Hydra-70"))</f>
        <v/>
      </c>
      <c r="K707">
        <f>IF($A707="","",SUMIFS('Таблиця 1'!$K:$K,'Таблиця 1'!$B:$B,$A707,'Таблиця 1'!$I:$I,"Mi-8",'Таблиця 1'!$J:$J,"Thales-70")+SUMIFS('Таблиця 1'!$K:$K,'Таблиця 1'!$B:$B,$A707,'Таблиця 1'!$I:$I,"Mi-24",'Таблиця 1'!$J:$J,"Thales-70"))</f>
        <v/>
      </c>
      <c r="L707">
        <f>IF($A707="","",SUMIFS('Таблиця 1'!$K:$K,'Таблиця 1'!$B:$B,$A707,'Таблиця 1'!$I:$I,"Mi-8",'Таблиця 1'!$J:$J,"Thales-FZ")+SUMIFS('Таблиця 1'!$K:$K,'Таблиця 1'!$B:$B,$A707,'Таблиця 1'!$I:$I,"Mi-24",'Таблиця 1'!$J:$J,"Thales-FZ"))</f>
        <v/>
      </c>
      <c r="M707">
        <f>IF($A707="","",SUMIFS('Таблиця 1'!$K:$K,'Таблиця 1'!$B:$B,$A707,'Таблиця 1'!$I:$I,"Mi-8",'Таблиця 1'!$J:$J,"МК-40")+SUMIFS('Таблиця 1'!$K:$K,'Таблиця 1'!$B:$B,$A707,'Таблиця 1'!$I:$I,"Mi-24",'Таблиця 1'!$J:$J,"МК-40"))</f>
        <v/>
      </c>
      <c r="N707">
        <f>IF($A707="","",SUMIFS('Таблиця 1'!$K:$K,'Таблиця 1'!$B:$B,$A707,'Таблиця 1'!$I:$I,"Mi-8",'Таблиця 1'!$J:$J,"Zuni")+SUMIFS('Таблиця 1'!$K:$K,'Таблиця 1'!$B:$B,$A707,'Таблиця 1'!$I:$I,"Mi-24",'Таблиця 1'!$J:$J,"Zuni"))</f>
        <v/>
      </c>
      <c r="O707">
        <f>IF($A707="","",COUNTIFS('Таблиця 1'!$B:$B,$A707,'Таблиця 1'!$I:$I,"Mi-8",'Таблиця 1'!$L:$L,"Уражено")+COUNTIFS('Таблиця 1'!$B:$B,$A707,'Таблиця 1'!$I:$I,"Mi-24",'Таблиця 1'!$L:$L,"Уражено"))</f>
        <v/>
      </c>
      <c r="P707">
        <f>IF($A707="","",COUNTIFS('Таблиця 1'!$B:$B,$A707,'Таблиця 1'!$I:$I,"Mi-8",'Таблиця 1'!$L:$L,"НЕ уражено")+COUNTIFS('Таблиця 1'!$B:$B,$A707,'Таблиця 1'!$I:$I,"Mi-24",'Таблиця 1'!$L:$L,"НЕ уражено"))</f>
        <v/>
      </c>
    </row>
    <row r="708">
      <c r="A708" s="273">
        <f>IF(A707="","",IF(A707+1&gt;MAX('Таблиця 1'!$B:$B),"",A707+1))</f>
        <v/>
      </c>
      <c r="B708">
        <f>IF($A708="","",COUNTIFS('Таблиця 1'!$B:$B,$A708,'Таблиця 1'!$I:$I,"Mi-8")+COUNTIFS('Таблиця 1'!$B:$B,$A708,'Таблиця 1'!$I:$I,"Mi-24"))</f>
        <v/>
      </c>
      <c r="C708">
        <f>IF($A708="","",COUNTIFS('Таблиця 1'!$B:$B,$A708,'Таблиця 1'!$I:$I,"Mi-8"))</f>
        <v/>
      </c>
      <c r="D708">
        <f>IF($A708="","",COUNTIFS('Таблиця 1'!$B:$B,$A708,'Таблиця 1'!$I:$I,"Mi-24"))</f>
        <v/>
      </c>
      <c r="E708">
        <f>IF($A708="","",SUMIFS('Таблиця 1'!$K:$K,'Таблиця 1'!$B:$B,$A708,'Таблиця 1'!$I:$I,"Mi-8",'Таблиця 1'!$J:$J,"ARS-8")+SUMIFS('Таблиця 1'!$K:$K,'Таблиця 1'!$B:$B,$A708,'Таблиця 1'!$I:$I,"Mi-24",'Таблиця 1'!$J:$J,"ARS-8"))</f>
        <v/>
      </c>
      <c r="F708">
        <f>IF($A708="","",SUMIFS('Таблиця 1'!$K:$K,'Таблиця 1'!$B:$B,$A708,'Таблиця 1'!$I:$I,"Mi-8",'Таблиця 1'!$J:$J,"С-8 ком")+SUMIFS('Таблиця 1'!$K:$K,'Таблиця 1'!$B:$B,$A708,'Таблиця 1'!$I:$I,"Mi-24",'Таблиця 1'!$J:$J,"С-8 ком"))</f>
        <v/>
      </c>
      <c r="G708">
        <f>IF($A708="","",SUMIFS('Таблиця 1'!$K:$K,'Таблиця 1'!$B:$B,$A708,'Таблиця 1'!$I:$I,"Mi-8",'Таблиця 1'!$J:$J,"PC-80")+SUMIFS('Таблиця 1'!$K:$K,'Таблиця 1'!$B:$B,$A708,'Таблиця 1'!$I:$I,"Mi-24",'Таблиця 1'!$J:$J,"PC-80"))</f>
        <v/>
      </c>
      <c r="H708">
        <f>IF($A708="","",SUMIFS('Таблиця 1'!$K:$K,'Таблиця 1'!$B:$B,$A708,'Таблиця 1'!$I:$I,"Mi-8",'Таблиця 1'!$J:$J,"UAR-80")+SUMIFS('Таблиця 1'!$K:$K,'Таблиця 1'!$B:$B,$A708,'Таблиця 1'!$I:$I,"Mi-24",'Таблиця 1'!$J:$J,"UAR-80"))</f>
        <v/>
      </c>
      <c r="I708">
        <f>IF($A708="","",SUMIFS('Таблиця 1'!$K:$K,'Таблиця 1'!$B:$B,$A708,'Таблиця 1'!$I:$I,"Mi-8",'Таблиця 1'!$J:$J,"C-13")+SUMIFS('Таблиця 1'!$K:$K,'Таблиця 1'!$B:$B,$A708,'Таблиця 1'!$I:$I,"Mi-24",'Таблиця 1'!$J:$J,"C-13"))</f>
        <v/>
      </c>
      <c r="J708">
        <f>IF($A708="","",SUMIFS('Таблиця 1'!$K:$K,'Таблиця 1'!$B:$B,$A708,'Таблиця 1'!$I:$I,"Mi-8",'Таблиця 1'!$J:$J,"Hydra-70")+SUMIFS('Таблиця 1'!$K:$K,'Таблиця 1'!$B:$B,$A708,'Таблиця 1'!$I:$I,"Mi-24",'Таблиця 1'!$J:$J,"Hydra-70"))</f>
        <v/>
      </c>
      <c r="K708">
        <f>IF($A708="","",SUMIFS('Таблиця 1'!$K:$K,'Таблиця 1'!$B:$B,$A708,'Таблиця 1'!$I:$I,"Mi-8",'Таблиця 1'!$J:$J,"Thales-70")+SUMIFS('Таблиця 1'!$K:$K,'Таблиця 1'!$B:$B,$A708,'Таблиця 1'!$I:$I,"Mi-24",'Таблиця 1'!$J:$J,"Thales-70"))</f>
        <v/>
      </c>
      <c r="L708">
        <f>IF($A708="","",SUMIFS('Таблиця 1'!$K:$K,'Таблиця 1'!$B:$B,$A708,'Таблиця 1'!$I:$I,"Mi-8",'Таблиця 1'!$J:$J,"Thales-FZ")+SUMIFS('Таблиця 1'!$K:$K,'Таблиця 1'!$B:$B,$A708,'Таблиця 1'!$I:$I,"Mi-24",'Таблиця 1'!$J:$J,"Thales-FZ"))</f>
        <v/>
      </c>
      <c r="M708">
        <f>IF($A708="","",SUMIFS('Таблиця 1'!$K:$K,'Таблиця 1'!$B:$B,$A708,'Таблиця 1'!$I:$I,"Mi-8",'Таблиця 1'!$J:$J,"МК-40")+SUMIFS('Таблиця 1'!$K:$K,'Таблиця 1'!$B:$B,$A708,'Таблиця 1'!$I:$I,"Mi-24",'Таблиця 1'!$J:$J,"МК-40"))</f>
        <v/>
      </c>
      <c r="N708">
        <f>IF($A708="","",SUMIFS('Таблиця 1'!$K:$K,'Таблиця 1'!$B:$B,$A708,'Таблиця 1'!$I:$I,"Mi-8",'Таблиця 1'!$J:$J,"Zuni")+SUMIFS('Таблиця 1'!$K:$K,'Таблиця 1'!$B:$B,$A708,'Таблиця 1'!$I:$I,"Mi-24",'Таблиця 1'!$J:$J,"Zuni"))</f>
        <v/>
      </c>
      <c r="O708">
        <f>IF($A708="","",COUNTIFS('Таблиця 1'!$B:$B,$A708,'Таблиця 1'!$I:$I,"Mi-8",'Таблиця 1'!$L:$L,"Уражено")+COUNTIFS('Таблиця 1'!$B:$B,$A708,'Таблиця 1'!$I:$I,"Mi-24",'Таблиця 1'!$L:$L,"Уражено"))</f>
        <v/>
      </c>
      <c r="P708">
        <f>IF($A708="","",COUNTIFS('Таблиця 1'!$B:$B,$A708,'Таблиця 1'!$I:$I,"Mi-8",'Таблиця 1'!$L:$L,"НЕ уражено")+COUNTIFS('Таблиця 1'!$B:$B,$A708,'Таблиця 1'!$I:$I,"Mi-24",'Таблиця 1'!$L:$L,"НЕ уражено"))</f>
        <v/>
      </c>
    </row>
    <row r="709">
      <c r="A709" s="273">
        <f>IF(A708="","",IF(A708+1&gt;MAX('Таблиця 1'!$B:$B),"",A708+1))</f>
        <v/>
      </c>
      <c r="B709">
        <f>IF($A709="","",COUNTIFS('Таблиця 1'!$B:$B,$A709,'Таблиця 1'!$I:$I,"Mi-8")+COUNTIFS('Таблиця 1'!$B:$B,$A709,'Таблиця 1'!$I:$I,"Mi-24"))</f>
        <v/>
      </c>
      <c r="C709">
        <f>IF($A709="","",COUNTIFS('Таблиця 1'!$B:$B,$A709,'Таблиця 1'!$I:$I,"Mi-8"))</f>
        <v/>
      </c>
      <c r="D709">
        <f>IF($A709="","",COUNTIFS('Таблиця 1'!$B:$B,$A709,'Таблиця 1'!$I:$I,"Mi-24"))</f>
        <v/>
      </c>
      <c r="E709">
        <f>IF($A709="","",SUMIFS('Таблиця 1'!$K:$K,'Таблиця 1'!$B:$B,$A709,'Таблиця 1'!$I:$I,"Mi-8",'Таблиця 1'!$J:$J,"ARS-8")+SUMIFS('Таблиця 1'!$K:$K,'Таблиця 1'!$B:$B,$A709,'Таблиця 1'!$I:$I,"Mi-24",'Таблиця 1'!$J:$J,"ARS-8"))</f>
        <v/>
      </c>
      <c r="F709">
        <f>IF($A709="","",SUMIFS('Таблиця 1'!$K:$K,'Таблиця 1'!$B:$B,$A709,'Таблиця 1'!$I:$I,"Mi-8",'Таблиця 1'!$J:$J,"С-8 ком")+SUMIFS('Таблиця 1'!$K:$K,'Таблиця 1'!$B:$B,$A709,'Таблиця 1'!$I:$I,"Mi-24",'Таблиця 1'!$J:$J,"С-8 ком"))</f>
        <v/>
      </c>
      <c r="G709">
        <f>IF($A709="","",SUMIFS('Таблиця 1'!$K:$K,'Таблиця 1'!$B:$B,$A709,'Таблиця 1'!$I:$I,"Mi-8",'Таблиця 1'!$J:$J,"PC-80")+SUMIFS('Таблиця 1'!$K:$K,'Таблиця 1'!$B:$B,$A709,'Таблиця 1'!$I:$I,"Mi-24",'Таблиця 1'!$J:$J,"PC-80"))</f>
        <v/>
      </c>
      <c r="H709">
        <f>IF($A709="","",SUMIFS('Таблиця 1'!$K:$K,'Таблиця 1'!$B:$B,$A709,'Таблиця 1'!$I:$I,"Mi-8",'Таблиця 1'!$J:$J,"UAR-80")+SUMIFS('Таблиця 1'!$K:$K,'Таблиця 1'!$B:$B,$A709,'Таблиця 1'!$I:$I,"Mi-24",'Таблиця 1'!$J:$J,"UAR-80"))</f>
        <v/>
      </c>
      <c r="I709">
        <f>IF($A709="","",SUMIFS('Таблиця 1'!$K:$K,'Таблиця 1'!$B:$B,$A709,'Таблиця 1'!$I:$I,"Mi-8",'Таблиця 1'!$J:$J,"C-13")+SUMIFS('Таблиця 1'!$K:$K,'Таблиця 1'!$B:$B,$A709,'Таблиця 1'!$I:$I,"Mi-24",'Таблиця 1'!$J:$J,"C-13"))</f>
        <v/>
      </c>
      <c r="J709">
        <f>IF($A709="","",SUMIFS('Таблиця 1'!$K:$K,'Таблиця 1'!$B:$B,$A709,'Таблиця 1'!$I:$I,"Mi-8",'Таблиця 1'!$J:$J,"Hydra-70")+SUMIFS('Таблиця 1'!$K:$K,'Таблиця 1'!$B:$B,$A709,'Таблиця 1'!$I:$I,"Mi-24",'Таблиця 1'!$J:$J,"Hydra-70"))</f>
        <v/>
      </c>
      <c r="K709">
        <f>IF($A709="","",SUMIFS('Таблиця 1'!$K:$K,'Таблиця 1'!$B:$B,$A709,'Таблиця 1'!$I:$I,"Mi-8",'Таблиця 1'!$J:$J,"Thales-70")+SUMIFS('Таблиця 1'!$K:$K,'Таблиця 1'!$B:$B,$A709,'Таблиця 1'!$I:$I,"Mi-24",'Таблиця 1'!$J:$J,"Thales-70"))</f>
        <v/>
      </c>
      <c r="L709">
        <f>IF($A709="","",SUMIFS('Таблиця 1'!$K:$K,'Таблиця 1'!$B:$B,$A709,'Таблиця 1'!$I:$I,"Mi-8",'Таблиця 1'!$J:$J,"Thales-FZ")+SUMIFS('Таблиця 1'!$K:$K,'Таблиця 1'!$B:$B,$A709,'Таблиця 1'!$I:$I,"Mi-24",'Таблиця 1'!$J:$J,"Thales-FZ"))</f>
        <v/>
      </c>
      <c r="M709">
        <f>IF($A709="","",SUMIFS('Таблиця 1'!$K:$K,'Таблиця 1'!$B:$B,$A709,'Таблиця 1'!$I:$I,"Mi-8",'Таблиця 1'!$J:$J,"МК-40")+SUMIFS('Таблиця 1'!$K:$K,'Таблиця 1'!$B:$B,$A709,'Таблиця 1'!$I:$I,"Mi-24",'Таблиця 1'!$J:$J,"МК-40"))</f>
        <v/>
      </c>
      <c r="N709">
        <f>IF($A709="","",SUMIFS('Таблиця 1'!$K:$K,'Таблиця 1'!$B:$B,$A709,'Таблиця 1'!$I:$I,"Mi-8",'Таблиця 1'!$J:$J,"Zuni")+SUMIFS('Таблиця 1'!$K:$K,'Таблиця 1'!$B:$B,$A709,'Таблиця 1'!$I:$I,"Mi-24",'Таблиця 1'!$J:$J,"Zuni"))</f>
        <v/>
      </c>
      <c r="O709">
        <f>IF($A709="","",COUNTIFS('Таблиця 1'!$B:$B,$A709,'Таблиця 1'!$I:$I,"Mi-8",'Таблиця 1'!$L:$L,"Уражено")+COUNTIFS('Таблиця 1'!$B:$B,$A709,'Таблиця 1'!$I:$I,"Mi-24",'Таблиця 1'!$L:$L,"Уражено"))</f>
        <v/>
      </c>
      <c r="P709">
        <f>IF($A709="","",COUNTIFS('Таблиця 1'!$B:$B,$A709,'Таблиця 1'!$I:$I,"Mi-8",'Таблиця 1'!$L:$L,"НЕ уражено")+COUNTIFS('Таблиця 1'!$B:$B,$A709,'Таблиця 1'!$I:$I,"Mi-24",'Таблиця 1'!$L:$L,"НЕ уражено"))</f>
        <v/>
      </c>
    </row>
    <row r="710">
      <c r="A710" s="273">
        <f>IF(A709="","",IF(A709+1&gt;MAX('Таблиця 1'!$B:$B),"",A709+1))</f>
        <v/>
      </c>
      <c r="B710">
        <f>IF($A710="","",COUNTIFS('Таблиця 1'!$B:$B,$A710,'Таблиця 1'!$I:$I,"Mi-8")+COUNTIFS('Таблиця 1'!$B:$B,$A710,'Таблиця 1'!$I:$I,"Mi-24"))</f>
        <v/>
      </c>
      <c r="C710">
        <f>IF($A710="","",COUNTIFS('Таблиця 1'!$B:$B,$A710,'Таблиця 1'!$I:$I,"Mi-8"))</f>
        <v/>
      </c>
      <c r="D710">
        <f>IF($A710="","",COUNTIFS('Таблиця 1'!$B:$B,$A710,'Таблиця 1'!$I:$I,"Mi-24"))</f>
        <v/>
      </c>
      <c r="E710">
        <f>IF($A710="","",SUMIFS('Таблиця 1'!$K:$K,'Таблиця 1'!$B:$B,$A710,'Таблиця 1'!$I:$I,"Mi-8",'Таблиця 1'!$J:$J,"ARS-8")+SUMIFS('Таблиця 1'!$K:$K,'Таблиця 1'!$B:$B,$A710,'Таблиця 1'!$I:$I,"Mi-24",'Таблиця 1'!$J:$J,"ARS-8"))</f>
        <v/>
      </c>
      <c r="F710">
        <f>IF($A710="","",SUMIFS('Таблиця 1'!$K:$K,'Таблиця 1'!$B:$B,$A710,'Таблиця 1'!$I:$I,"Mi-8",'Таблиця 1'!$J:$J,"С-8 ком")+SUMIFS('Таблиця 1'!$K:$K,'Таблиця 1'!$B:$B,$A710,'Таблиця 1'!$I:$I,"Mi-24",'Таблиця 1'!$J:$J,"С-8 ком"))</f>
        <v/>
      </c>
      <c r="G710">
        <f>IF($A710="","",SUMIFS('Таблиця 1'!$K:$K,'Таблиця 1'!$B:$B,$A710,'Таблиця 1'!$I:$I,"Mi-8",'Таблиця 1'!$J:$J,"PC-80")+SUMIFS('Таблиця 1'!$K:$K,'Таблиця 1'!$B:$B,$A710,'Таблиця 1'!$I:$I,"Mi-24",'Таблиця 1'!$J:$J,"PC-80"))</f>
        <v/>
      </c>
      <c r="H710">
        <f>IF($A710="","",SUMIFS('Таблиця 1'!$K:$K,'Таблиця 1'!$B:$B,$A710,'Таблиця 1'!$I:$I,"Mi-8",'Таблиця 1'!$J:$J,"UAR-80")+SUMIFS('Таблиця 1'!$K:$K,'Таблиця 1'!$B:$B,$A710,'Таблиця 1'!$I:$I,"Mi-24",'Таблиця 1'!$J:$J,"UAR-80"))</f>
        <v/>
      </c>
      <c r="I710">
        <f>IF($A710="","",SUMIFS('Таблиця 1'!$K:$K,'Таблиця 1'!$B:$B,$A710,'Таблиця 1'!$I:$I,"Mi-8",'Таблиця 1'!$J:$J,"C-13")+SUMIFS('Таблиця 1'!$K:$K,'Таблиця 1'!$B:$B,$A710,'Таблиця 1'!$I:$I,"Mi-24",'Таблиця 1'!$J:$J,"C-13"))</f>
        <v/>
      </c>
      <c r="J710">
        <f>IF($A710="","",SUMIFS('Таблиця 1'!$K:$K,'Таблиця 1'!$B:$B,$A710,'Таблиця 1'!$I:$I,"Mi-8",'Таблиця 1'!$J:$J,"Hydra-70")+SUMIFS('Таблиця 1'!$K:$K,'Таблиця 1'!$B:$B,$A710,'Таблиця 1'!$I:$I,"Mi-24",'Таблиця 1'!$J:$J,"Hydra-70"))</f>
        <v/>
      </c>
      <c r="K710">
        <f>IF($A710="","",SUMIFS('Таблиця 1'!$K:$K,'Таблиця 1'!$B:$B,$A710,'Таблиця 1'!$I:$I,"Mi-8",'Таблиця 1'!$J:$J,"Thales-70")+SUMIFS('Таблиця 1'!$K:$K,'Таблиця 1'!$B:$B,$A710,'Таблиця 1'!$I:$I,"Mi-24",'Таблиця 1'!$J:$J,"Thales-70"))</f>
        <v/>
      </c>
      <c r="L710">
        <f>IF($A710="","",SUMIFS('Таблиця 1'!$K:$K,'Таблиця 1'!$B:$B,$A710,'Таблиця 1'!$I:$I,"Mi-8",'Таблиця 1'!$J:$J,"Thales-FZ")+SUMIFS('Таблиця 1'!$K:$K,'Таблиця 1'!$B:$B,$A710,'Таблиця 1'!$I:$I,"Mi-24",'Таблиця 1'!$J:$J,"Thales-FZ"))</f>
        <v/>
      </c>
      <c r="M710">
        <f>IF($A710="","",SUMIFS('Таблиця 1'!$K:$K,'Таблиця 1'!$B:$B,$A710,'Таблиця 1'!$I:$I,"Mi-8",'Таблиця 1'!$J:$J,"МК-40")+SUMIFS('Таблиця 1'!$K:$K,'Таблиця 1'!$B:$B,$A710,'Таблиця 1'!$I:$I,"Mi-24",'Таблиця 1'!$J:$J,"МК-40"))</f>
        <v/>
      </c>
      <c r="N710">
        <f>IF($A710="","",SUMIFS('Таблиця 1'!$K:$K,'Таблиця 1'!$B:$B,$A710,'Таблиця 1'!$I:$I,"Mi-8",'Таблиця 1'!$J:$J,"Zuni")+SUMIFS('Таблиця 1'!$K:$K,'Таблиця 1'!$B:$B,$A710,'Таблиця 1'!$I:$I,"Mi-24",'Таблиця 1'!$J:$J,"Zuni"))</f>
        <v/>
      </c>
      <c r="O710">
        <f>IF($A710="","",COUNTIFS('Таблиця 1'!$B:$B,$A710,'Таблиця 1'!$I:$I,"Mi-8",'Таблиця 1'!$L:$L,"Уражено")+COUNTIFS('Таблиця 1'!$B:$B,$A710,'Таблиця 1'!$I:$I,"Mi-24",'Таблиця 1'!$L:$L,"Уражено"))</f>
        <v/>
      </c>
      <c r="P710">
        <f>IF($A710="","",COUNTIFS('Таблиця 1'!$B:$B,$A710,'Таблиця 1'!$I:$I,"Mi-8",'Таблиця 1'!$L:$L,"НЕ уражено")+COUNTIFS('Таблиця 1'!$B:$B,$A710,'Таблиця 1'!$I:$I,"Mi-24",'Таблиця 1'!$L:$L,"НЕ уражено"))</f>
        <v/>
      </c>
    </row>
    <row r="711">
      <c r="A711" s="273">
        <f>IF(A710="","",IF(A710+1&gt;MAX('Таблиця 1'!$B:$B),"",A710+1))</f>
        <v/>
      </c>
      <c r="B711">
        <f>IF($A711="","",COUNTIFS('Таблиця 1'!$B:$B,$A711,'Таблиця 1'!$I:$I,"Mi-8")+COUNTIFS('Таблиця 1'!$B:$B,$A711,'Таблиця 1'!$I:$I,"Mi-24"))</f>
        <v/>
      </c>
      <c r="C711">
        <f>IF($A711="","",COUNTIFS('Таблиця 1'!$B:$B,$A711,'Таблиця 1'!$I:$I,"Mi-8"))</f>
        <v/>
      </c>
      <c r="D711">
        <f>IF($A711="","",COUNTIFS('Таблиця 1'!$B:$B,$A711,'Таблиця 1'!$I:$I,"Mi-24"))</f>
        <v/>
      </c>
      <c r="E711">
        <f>IF($A711="","",SUMIFS('Таблиця 1'!$K:$K,'Таблиця 1'!$B:$B,$A711,'Таблиця 1'!$I:$I,"Mi-8",'Таблиця 1'!$J:$J,"ARS-8")+SUMIFS('Таблиця 1'!$K:$K,'Таблиця 1'!$B:$B,$A711,'Таблиця 1'!$I:$I,"Mi-24",'Таблиця 1'!$J:$J,"ARS-8"))</f>
        <v/>
      </c>
      <c r="F711">
        <f>IF($A711="","",SUMIFS('Таблиця 1'!$K:$K,'Таблиця 1'!$B:$B,$A711,'Таблиця 1'!$I:$I,"Mi-8",'Таблиця 1'!$J:$J,"С-8 ком")+SUMIFS('Таблиця 1'!$K:$K,'Таблиця 1'!$B:$B,$A711,'Таблиця 1'!$I:$I,"Mi-24",'Таблиця 1'!$J:$J,"С-8 ком"))</f>
        <v/>
      </c>
      <c r="G711">
        <f>IF($A711="","",SUMIFS('Таблиця 1'!$K:$K,'Таблиця 1'!$B:$B,$A711,'Таблиця 1'!$I:$I,"Mi-8",'Таблиця 1'!$J:$J,"PC-80")+SUMIFS('Таблиця 1'!$K:$K,'Таблиця 1'!$B:$B,$A711,'Таблиця 1'!$I:$I,"Mi-24",'Таблиця 1'!$J:$J,"PC-80"))</f>
        <v/>
      </c>
      <c r="H711">
        <f>IF($A711="","",SUMIFS('Таблиця 1'!$K:$K,'Таблиця 1'!$B:$B,$A711,'Таблиця 1'!$I:$I,"Mi-8",'Таблиця 1'!$J:$J,"UAR-80")+SUMIFS('Таблиця 1'!$K:$K,'Таблиця 1'!$B:$B,$A711,'Таблиця 1'!$I:$I,"Mi-24",'Таблиця 1'!$J:$J,"UAR-80"))</f>
        <v/>
      </c>
      <c r="I711">
        <f>IF($A711="","",SUMIFS('Таблиця 1'!$K:$K,'Таблиця 1'!$B:$B,$A711,'Таблиця 1'!$I:$I,"Mi-8",'Таблиця 1'!$J:$J,"C-13")+SUMIFS('Таблиця 1'!$K:$K,'Таблиця 1'!$B:$B,$A711,'Таблиця 1'!$I:$I,"Mi-24",'Таблиця 1'!$J:$J,"C-13"))</f>
        <v/>
      </c>
      <c r="J711">
        <f>IF($A711="","",SUMIFS('Таблиця 1'!$K:$K,'Таблиця 1'!$B:$B,$A711,'Таблиця 1'!$I:$I,"Mi-8",'Таблиця 1'!$J:$J,"Hydra-70")+SUMIFS('Таблиця 1'!$K:$K,'Таблиця 1'!$B:$B,$A711,'Таблиця 1'!$I:$I,"Mi-24",'Таблиця 1'!$J:$J,"Hydra-70"))</f>
        <v/>
      </c>
      <c r="K711">
        <f>IF($A711="","",SUMIFS('Таблиця 1'!$K:$K,'Таблиця 1'!$B:$B,$A711,'Таблиця 1'!$I:$I,"Mi-8",'Таблиця 1'!$J:$J,"Thales-70")+SUMIFS('Таблиця 1'!$K:$K,'Таблиця 1'!$B:$B,$A711,'Таблиця 1'!$I:$I,"Mi-24",'Таблиця 1'!$J:$J,"Thales-70"))</f>
        <v/>
      </c>
      <c r="L711">
        <f>IF($A711="","",SUMIFS('Таблиця 1'!$K:$K,'Таблиця 1'!$B:$B,$A711,'Таблиця 1'!$I:$I,"Mi-8",'Таблиця 1'!$J:$J,"Thales-FZ")+SUMIFS('Таблиця 1'!$K:$K,'Таблиця 1'!$B:$B,$A711,'Таблиця 1'!$I:$I,"Mi-24",'Таблиця 1'!$J:$J,"Thales-FZ"))</f>
        <v/>
      </c>
      <c r="M711">
        <f>IF($A711="","",SUMIFS('Таблиця 1'!$K:$K,'Таблиця 1'!$B:$B,$A711,'Таблиця 1'!$I:$I,"Mi-8",'Таблиця 1'!$J:$J,"МК-40")+SUMIFS('Таблиця 1'!$K:$K,'Таблиця 1'!$B:$B,$A711,'Таблиця 1'!$I:$I,"Mi-24",'Таблиця 1'!$J:$J,"МК-40"))</f>
        <v/>
      </c>
      <c r="N711">
        <f>IF($A711="","",SUMIFS('Таблиця 1'!$K:$K,'Таблиця 1'!$B:$B,$A711,'Таблиця 1'!$I:$I,"Mi-8",'Таблиця 1'!$J:$J,"Zuni")+SUMIFS('Таблиця 1'!$K:$K,'Таблиця 1'!$B:$B,$A711,'Таблиця 1'!$I:$I,"Mi-24",'Таблиця 1'!$J:$J,"Zuni"))</f>
        <v/>
      </c>
      <c r="O711">
        <f>IF($A711="","",COUNTIFS('Таблиця 1'!$B:$B,$A711,'Таблиця 1'!$I:$I,"Mi-8",'Таблиця 1'!$L:$L,"Уражено")+COUNTIFS('Таблиця 1'!$B:$B,$A711,'Таблиця 1'!$I:$I,"Mi-24",'Таблиця 1'!$L:$L,"Уражено"))</f>
        <v/>
      </c>
      <c r="P711">
        <f>IF($A711="","",COUNTIFS('Таблиця 1'!$B:$B,$A711,'Таблиця 1'!$I:$I,"Mi-8",'Таблиця 1'!$L:$L,"НЕ уражено")+COUNTIFS('Таблиця 1'!$B:$B,$A711,'Таблиця 1'!$I:$I,"Mi-24",'Таблиця 1'!$L:$L,"НЕ уражено"))</f>
        <v/>
      </c>
    </row>
    <row r="712">
      <c r="A712" s="273">
        <f>IF(A711="","",IF(A711+1&gt;MAX('Таблиця 1'!$B:$B),"",A711+1))</f>
        <v/>
      </c>
      <c r="B712">
        <f>IF($A712="","",COUNTIFS('Таблиця 1'!$B:$B,$A712,'Таблиця 1'!$I:$I,"Mi-8")+COUNTIFS('Таблиця 1'!$B:$B,$A712,'Таблиця 1'!$I:$I,"Mi-24"))</f>
        <v/>
      </c>
      <c r="C712">
        <f>IF($A712="","",COUNTIFS('Таблиця 1'!$B:$B,$A712,'Таблиця 1'!$I:$I,"Mi-8"))</f>
        <v/>
      </c>
      <c r="D712">
        <f>IF($A712="","",COUNTIFS('Таблиця 1'!$B:$B,$A712,'Таблиця 1'!$I:$I,"Mi-24"))</f>
        <v/>
      </c>
      <c r="E712">
        <f>IF($A712="","",SUMIFS('Таблиця 1'!$K:$K,'Таблиця 1'!$B:$B,$A712,'Таблиця 1'!$I:$I,"Mi-8",'Таблиця 1'!$J:$J,"ARS-8")+SUMIFS('Таблиця 1'!$K:$K,'Таблиця 1'!$B:$B,$A712,'Таблиця 1'!$I:$I,"Mi-24",'Таблиця 1'!$J:$J,"ARS-8"))</f>
        <v/>
      </c>
      <c r="F712">
        <f>IF($A712="","",SUMIFS('Таблиця 1'!$K:$K,'Таблиця 1'!$B:$B,$A712,'Таблиця 1'!$I:$I,"Mi-8",'Таблиця 1'!$J:$J,"С-8 ком")+SUMIFS('Таблиця 1'!$K:$K,'Таблиця 1'!$B:$B,$A712,'Таблиця 1'!$I:$I,"Mi-24",'Таблиця 1'!$J:$J,"С-8 ком"))</f>
        <v/>
      </c>
      <c r="G712">
        <f>IF($A712="","",SUMIFS('Таблиця 1'!$K:$K,'Таблиця 1'!$B:$B,$A712,'Таблиця 1'!$I:$I,"Mi-8",'Таблиця 1'!$J:$J,"PC-80")+SUMIFS('Таблиця 1'!$K:$K,'Таблиця 1'!$B:$B,$A712,'Таблиця 1'!$I:$I,"Mi-24",'Таблиця 1'!$J:$J,"PC-80"))</f>
        <v/>
      </c>
      <c r="H712">
        <f>IF($A712="","",SUMIFS('Таблиця 1'!$K:$K,'Таблиця 1'!$B:$B,$A712,'Таблиця 1'!$I:$I,"Mi-8",'Таблиця 1'!$J:$J,"UAR-80")+SUMIFS('Таблиця 1'!$K:$K,'Таблиця 1'!$B:$B,$A712,'Таблиця 1'!$I:$I,"Mi-24",'Таблиця 1'!$J:$J,"UAR-80"))</f>
        <v/>
      </c>
      <c r="I712">
        <f>IF($A712="","",SUMIFS('Таблиця 1'!$K:$K,'Таблиця 1'!$B:$B,$A712,'Таблиця 1'!$I:$I,"Mi-8",'Таблиця 1'!$J:$J,"C-13")+SUMIFS('Таблиця 1'!$K:$K,'Таблиця 1'!$B:$B,$A712,'Таблиця 1'!$I:$I,"Mi-24",'Таблиця 1'!$J:$J,"C-13"))</f>
        <v/>
      </c>
      <c r="J712">
        <f>IF($A712="","",SUMIFS('Таблиця 1'!$K:$K,'Таблиця 1'!$B:$B,$A712,'Таблиця 1'!$I:$I,"Mi-8",'Таблиця 1'!$J:$J,"Hydra-70")+SUMIFS('Таблиця 1'!$K:$K,'Таблиця 1'!$B:$B,$A712,'Таблиця 1'!$I:$I,"Mi-24",'Таблиця 1'!$J:$J,"Hydra-70"))</f>
        <v/>
      </c>
      <c r="K712">
        <f>IF($A712="","",SUMIFS('Таблиця 1'!$K:$K,'Таблиця 1'!$B:$B,$A712,'Таблиця 1'!$I:$I,"Mi-8",'Таблиця 1'!$J:$J,"Thales-70")+SUMIFS('Таблиця 1'!$K:$K,'Таблиця 1'!$B:$B,$A712,'Таблиця 1'!$I:$I,"Mi-24",'Таблиця 1'!$J:$J,"Thales-70"))</f>
        <v/>
      </c>
      <c r="L712">
        <f>IF($A712="","",SUMIFS('Таблиця 1'!$K:$K,'Таблиця 1'!$B:$B,$A712,'Таблиця 1'!$I:$I,"Mi-8",'Таблиця 1'!$J:$J,"Thales-FZ")+SUMIFS('Таблиця 1'!$K:$K,'Таблиця 1'!$B:$B,$A712,'Таблиця 1'!$I:$I,"Mi-24",'Таблиця 1'!$J:$J,"Thales-FZ"))</f>
        <v/>
      </c>
      <c r="M712">
        <f>IF($A712="","",SUMIFS('Таблиця 1'!$K:$K,'Таблиця 1'!$B:$B,$A712,'Таблиця 1'!$I:$I,"Mi-8",'Таблиця 1'!$J:$J,"МК-40")+SUMIFS('Таблиця 1'!$K:$K,'Таблиця 1'!$B:$B,$A712,'Таблиця 1'!$I:$I,"Mi-24",'Таблиця 1'!$J:$J,"МК-40"))</f>
        <v/>
      </c>
      <c r="N712">
        <f>IF($A712="","",SUMIFS('Таблиця 1'!$K:$K,'Таблиця 1'!$B:$B,$A712,'Таблиця 1'!$I:$I,"Mi-8",'Таблиця 1'!$J:$J,"Zuni")+SUMIFS('Таблиця 1'!$K:$K,'Таблиця 1'!$B:$B,$A712,'Таблиця 1'!$I:$I,"Mi-24",'Таблиця 1'!$J:$J,"Zuni"))</f>
        <v/>
      </c>
      <c r="O712">
        <f>IF($A712="","",COUNTIFS('Таблиця 1'!$B:$B,$A712,'Таблиця 1'!$I:$I,"Mi-8",'Таблиця 1'!$L:$L,"Уражено")+COUNTIFS('Таблиця 1'!$B:$B,$A712,'Таблиця 1'!$I:$I,"Mi-24",'Таблиця 1'!$L:$L,"Уражено"))</f>
        <v/>
      </c>
      <c r="P712">
        <f>IF($A712="","",COUNTIFS('Таблиця 1'!$B:$B,$A712,'Таблиця 1'!$I:$I,"Mi-8",'Таблиця 1'!$L:$L,"НЕ уражено")+COUNTIFS('Таблиця 1'!$B:$B,$A712,'Таблиця 1'!$I:$I,"Mi-24",'Таблиця 1'!$L:$L,"НЕ уражено"))</f>
        <v/>
      </c>
    </row>
    <row r="713">
      <c r="A713" s="273">
        <f>IF(A712="","",IF(A712+1&gt;MAX('Таблиця 1'!$B:$B),"",A712+1))</f>
        <v/>
      </c>
      <c r="B713">
        <f>IF($A713="","",COUNTIFS('Таблиця 1'!$B:$B,$A713,'Таблиця 1'!$I:$I,"Mi-8")+COUNTIFS('Таблиця 1'!$B:$B,$A713,'Таблиця 1'!$I:$I,"Mi-24"))</f>
        <v/>
      </c>
      <c r="C713">
        <f>IF($A713="","",COUNTIFS('Таблиця 1'!$B:$B,$A713,'Таблиця 1'!$I:$I,"Mi-8"))</f>
        <v/>
      </c>
      <c r="D713">
        <f>IF($A713="","",COUNTIFS('Таблиця 1'!$B:$B,$A713,'Таблиця 1'!$I:$I,"Mi-24"))</f>
        <v/>
      </c>
      <c r="E713">
        <f>IF($A713="","",SUMIFS('Таблиця 1'!$K:$K,'Таблиця 1'!$B:$B,$A713,'Таблиця 1'!$I:$I,"Mi-8",'Таблиця 1'!$J:$J,"ARS-8")+SUMIFS('Таблиця 1'!$K:$K,'Таблиця 1'!$B:$B,$A713,'Таблиця 1'!$I:$I,"Mi-24",'Таблиця 1'!$J:$J,"ARS-8"))</f>
        <v/>
      </c>
      <c r="F713">
        <f>IF($A713="","",SUMIFS('Таблиця 1'!$K:$K,'Таблиця 1'!$B:$B,$A713,'Таблиця 1'!$I:$I,"Mi-8",'Таблиця 1'!$J:$J,"С-8 ком")+SUMIFS('Таблиця 1'!$K:$K,'Таблиця 1'!$B:$B,$A713,'Таблиця 1'!$I:$I,"Mi-24",'Таблиця 1'!$J:$J,"С-8 ком"))</f>
        <v/>
      </c>
      <c r="G713">
        <f>IF($A713="","",SUMIFS('Таблиця 1'!$K:$K,'Таблиця 1'!$B:$B,$A713,'Таблиця 1'!$I:$I,"Mi-8",'Таблиця 1'!$J:$J,"PC-80")+SUMIFS('Таблиця 1'!$K:$K,'Таблиця 1'!$B:$B,$A713,'Таблиця 1'!$I:$I,"Mi-24",'Таблиця 1'!$J:$J,"PC-80"))</f>
        <v/>
      </c>
      <c r="H713">
        <f>IF($A713="","",SUMIFS('Таблиця 1'!$K:$K,'Таблиця 1'!$B:$B,$A713,'Таблиця 1'!$I:$I,"Mi-8",'Таблиця 1'!$J:$J,"UAR-80")+SUMIFS('Таблиця 1'!$K:$K,'Таблиця 1'!$B:$B,$A713,'Таблиця 1'!$I:$I,"Mi-24",'Таблиця 1'!$J:$J,"UAR-80"))</f>
        <v/>
      </c>
      <c r="I713">
        <f>IF($A713="","",SUMIFS('Таблиця 1'!$K:$K,'Таблиця 1'!$B:$B,$A713,'Таблиця 1'!$I:$I,"Mi-8",'Таблиця 1'!$J:$J,"C-13")+SUMIFS('Таблиця 1'!$K:$K,'Таблиця 1'!$B:$B,$A713,'Таблиця 1'!$I:$I,"Mi-24",'Таблиця 1'!$J:$J,"C-13"))</f>
        <v/>
      </c>
      <c r="J713">
        <f>IF($A713="","",SUMIFS('Таблиця 1'!$K:$K,'Таблиця 1'!$B:$B,$A713,'Таблиця 1'!$I:$I,"Mi-8",'Таблиця 1'!$J:$J,"Hydra-70")+SUMIFS('Таблиця 1'!$K:$K,'Таблиця 1'!$B:$B,$A713,'Таблиця 1'!$I:$I,"Mi-24",'Таблиця 1'!$J:$J,"Hydra-70"))</f>
        <v/>
      </c>
      <c r="K713">
        <f>IF($A713="","",SUMIFS('Таблиця 1'!$K:$K,'Таблиця 1'!$B:$B,$A713,'Таблиця 1'!$I:$I,"Mi-8",'Таблиця 1'!$J:$J,"Thales-70")+SUMIFS('Таблиця 1'!$K:$K,'Таблиця 1'!$B:$B,$A713,'Таблиця 1'!$I:$I,"Mi-24",'Таблиця 1'!$J:$J,"Thales-70"))</f>
        <v/>
      </c>
      <c r="L713">
        <f>IF($A713="","",SUMIFS('Таблиця 1'!$K:$K,'Таблиця 1'!$B:$B,$A713,'Таблиця 1'!$I:$I,"Mi-8",'Таблиця 1'!$J:$J,"Thales-FZ")+SUMIFS('Таблиця 1'!$K:$K,'Таблиця 1'!$B:$B,$A713,'Таблиця 1'!$I:$I,"Mi-24",'Таблиця 1'!$J:$J,"Thales-FZ"))</f>
        <v/>
      </c>
      <c r="M713">
        <f>IF($A713="","",SUMIFS('Таблиця 1'!$K:$K,'Таблиця 1'!$B:$B,$A713,'Таблиця 1'!$I:$I,"Mi-8",'Таблиця 1'!$J:$J,"МК-40")+SUMIFS('Таблиця 1'!$K:$K,'Таблиця 1'!$B:$B,$A713,'Таблиця 1'!$I:$I,"Mi-24",'Таблиця 1'!$J:$J,"МК-40"))</f>
        <v/>
      </c>
      <c r="N713">
        <f>IF($A713="","",SUMIFS('Таблиця 1'!$K:$K,'Таблиця 1'!$B:$B,$A713,'Таблиця 1'!$I:$I,"Mi-8",'Таблиця 1'!$J:$J,"Zuni")+SUMIFS('Таблиця 1'!$K:$K,'Таблиця 1'!$B:$B,$A713,'Таблиця 1'!$I:$I,"Mi-24",'Таблиця 1'!$J:$J,"Zuni"))</f>
        <v/>
      </c>
      <c r="O713">
        <f>IF($A713="","",COUNTIFS('Таблиця 1'!$B:$B,$A713,'Таблиця 1'!$I:$I,"Mi-8",'Таблиця 1'!$L:$L,"Уражено")+COUNTIFS('Таблиця 1'!$B:$B,$A713,'Таблиця 1'!$I:$I,"Mi-24",'Таблиця 1'!$L:$L,"Уражено"))</f>
        <v/>
      </c>
      <c r="P713">
        <f>IF($A713="","",COUNTIFS('Таблиця 1'!$B:$B,$A713,'Таблиця 1'!$I:$I,"Mi-8",'Таблиця 1'!$L:$L,"НЕ уражено")+COUNTIFS('Таблиця 1'!$B:$B,$A713,'Таблиця 1'!$I:$I,"Mi-24",'Таблиця 1'!$L:$L,"НЕ уражено"))</f>
        <v/>
      </c>
    </row>
    <row r="714">
      <c r="A714" s="273">
        <f>IF(A713="","",IF(A713+1&gt;MAX('Таблиця 1'!$B:$B),"",A713+1))</f>
        <v/>
      </c>
      <c r="B714">
        <f>IF($A714="","",COUNTIFS('Таблиця 1'!$B:$B,$A714,'Таблиця 1'!$I:$I,"Mi-8")+COUNTIFS('Таблиця 1'!$B:$B,$A714,'Таблиця 1'!$I:$I,"Mi-24"))</f>
        <v/>
      </c>
      <c r="C714">
        <f>IF($A714="","",COUNTIFS('Таблиця 1'!$B:$B,$A714,'Таблиця 1'!$I:$I,"Mi-8"))</f>
        <v/>
      </c>
      <c r="D714">
        <f>IF($A714="","",COUNTIFS('Таблиця 1'!$B:$B,$A714,'Таблиця 1'!$I:$I,"Mi-24"))</f>
        <v/>
      </c>
      <c r="E714">
        <f>IF($A714="","",SUMIFS('Таблиця 1'!$K:$K,'Таблиця 1'!$B:$B,$A714,'Таблиця 1'!$I:$I,"Mi-8",'Таблиця 1'!$J:$J,"ARS-8")+SUMIFS('Таблиця 1'!$K:$K,'Таблиця 1'!$B:$B,$A714,'Таблиця 1'!$I:$I,"Mi-24",'Таблиця 1'!$J:$J,"ARS-8"))</f>
        <v/>
      </c>
      <c r="F714">
        <f>IF($A714="","",SUMIFS('Таблиця 1'!$K:$K,'Таблиця 1'!$B:$B,$A714,'Таблиця 1'!$I:$I,"Mi-8",'Таблиця 1'!$J:$J,"С-8 ком")+SUMIFS('Таблиця 1'!$K:$K,'Таблиця 1'!$B:$B,$A714,'Таблиця 1'!$I:$I,"Mi-24",'Таблиця 1'!$J:$J,"С-8 ком"))</f>
        <v/>
      </c>
      <c r="G714">
        <f>IF($A714="","",SUMIFS('Таблиця 1'!$K:$K,'Таблиця 1'!$B:$B,$A714,'Таблиця 1'!$I:$I,"Mi-8",'Таблиця 1'!$J:$J,"PC-80")+SUMIFS('Таблиця 1'!$K:$K,'Таблиця 1'!$B:$B,$A714,'Таблиця 1'!$I:$I,"Mi-24",'Таблиця 1'!$J:$J,"PC-80"))</f>
        <v/>
      </c>
      <c r="H714">
        <f>IF($A714="","",SUMIFS('Таблиця 1'!$K:$K,'Таблиця 1'!$B:$B,$A714,'Таблиця 1'!$I:$I,"Mi-8",'Таблиця 1'!$J:$J,"UAR-80")+SUMIFS('Таблиця 1'!$K:$K,'Таблиця 1'!$B:$B,$A714,'Таблиця 1'!$I:$I,"Mi-24",'Таблиця 1'!$J:$J,"UAR-80"))</f>
        <v/>
      </c>
      <c r="I714">
        <f>IF($A714="","",SUMIFS('Таблиця 1'!$K:$K,'Таблиця 1'!$B:$B,$A714,'Таблиця 1'!$I:$I,"Mi-8",'Таблиця 1'!$J:$J,"C-13")+SUMIFS('Таблиця 1'!$K:$K,'Таблиця 1'!$B:$B,$A714,'Таблиця 1'!$I:$I,"Mi-24",'Таблиця 1'!$J:$J,"C-13"))</f>
        <v/>
      </c>
      <c r="J714">
        <f>IF($A714="","",SUMIFS('Таблиця 1'!$K:$K,'Таблиця 1'!$B:$B,$A714,'Таблиця 1'!$I:$I,"Mi-8",'Таблиця 1'!$J:$J,"Hydra-70")+SUMIFS('Таблиця 1'!$K:$K,'Таблиця 1'!$B:$B,$A714,'Таблиця 1'!$I:$I,"Mi-24",'Таблиця 1'!$J:$J,"Hydra-70"))</f>
        <v/>
      </c>
      <c r="K714">
        <f>IF($A714="","",SUMIFS('Таблиця 1'!$K:$K,'Таблиця 1'!$B:$B,$A714,'Таблиця 1'!$I:$I,"Mi-8",'Таблиця 1'!$J:$J,"Thales-70")+SUMIFS('Таблиця 1'!$K:$K,'Таблиця 1'!$B:$B,$A714,'Таблиця 1'!$I:$I,"Mi-24",'Таблиця 1'!$J:$J,"Thales-70"))</f>
        <v/>
      </c>
      <c r="L714">
        <f>IF($A714="","",SUMIFS('Таблиця 1'!$K:$K,'Таблиця 1'!$B:$B,$A714,'Таблиця 1'!$I:$I,"Mi-8",'Таблиця 1'!$J:$J,"Thales-FZ")+SUMIFS('Таблиця 1'!$K:$K,'Таблиця 1'!$B:$B,$A714,'Таблиця 1'!$I:$I,"Mi-24",'Таблиця 1'!$J:$J,"Thales-FZ"))</f>
        <v/>
      </c>
      <c r="M714">
        <f>IF($A714="","",SUMIFS('Таблиця 1'!$K:$K,'Таблиця 1'!$B:$B,$A714,'Таблиця 1'!$I:$I,"Mi-8",'Таблиця 1'!$J:$J,"МК-40")+SUMIFS('Таблиця 1'!$K:$K,'Таблиця 1'!$B:$B,$A714,'Таблиця 1'!$I:$I,"Mi-24",'Таблиця 1'!$J:$J,"МК-40"))</f>
        <v/>
      </c>
      <c r="N714">
        <f>IF($A714="","",SUMIFS('Таблиця 1'!$K:$K,'Таблиця 1'!$B:$B,$A714,'Таблиця 1'!$I:$I,"Mi-8",'Таблиця 1'!$J:$J,"Zuni")+SUMIFS('Таблиця 1'!$K:$K,'Таблиця 1'!$B:$B,$A714,'Таблиця 1'!$I:$I,"Mi-24",'Таблиця 1'!$J:$J,"Zuni"))</f>
        <v/>
      </c>
      <c r="O714">
        <f>IF($A714="","",COUNTIFS('Таблиця 1'!$B:$B,$A714,'Таблиця 1'!$I:$I,"Mi-8",'Таблиця 1'!$L:$L,"Уражено")+COUNTIFS('Таблиця 1'!$B:$B,$A714,'Таблиця 1'!$I:$I,"Mi-24",'Таблиця 1'!$L:$L,"Уражено"))</f>
        <v/>
      </c>
      <c r="P714">
        <f>IF($A714="","",COUNTIFS('Таблиця 1'!$B:$B,$A714,'Таблиця 1'!$I:$I,"Mi-8",'Таблиця 1'!$L:$L,"НЕ уражено")+COUNTIFS('Таблиця 1'!$B:$B,$A714,'Таблиця 1'!$I:$I,"Mi-24",'Таблиця 1'!$L:$L,"НЕ уражено"))</f>
        <v/>
      </c>
    </row>
    <row r="715">
      <c r="A715" s="273">
        <f>IF(A714="","",IF(A714+1&gt;MAX('Таблиця 1'!$B:$B),"",A714+1))</f>
        <v/>
      </c>
      <c r="B715">
        <f>IF($A715="","",COUNTIFS('Таблиця 1'!$B:$B,$A715,'Таблиця 1'!$I:$I,"Mi-8")+COUNTIFS('Таблиця 1'!$B:$B,$A715,'Таблиця 1'!$I:$I,"Mi-24"))</f>
        <v/>
      </c>
      <c r="C715">
        <f>IF($A715="","",COUNTIFS('Таблиця 1'!$B:$B,$A715,'Таблиця 1'!$I:$I,"Mi-8"))</f>
        <v/>
      </c>
      <c r="D715">
        <f>IF($A715="","",COUNTIFS('Таблиця 1'!$B:$B,$A715,'Таблиця 1'!$I:$I,"Mi-24"))</f>
        <v/>
      </c>
      <c r="E715">
        <f>IF($A715="","",SUMIFS('Таблиця 1'!$K:$K,'Таблиця 1'!$B:$B,$A715,'Таблиця 1'!$I:$I,"Mi-8",'Таблиця 1'!$J:$J,"ARS-8")+SUMIFS('Таблиця 1'!$K:$K,'Таблиця 1'!$B:$B,$A715,'Таблиця 1'!$I:$I,"Mi-24",'Таблиця 1'!$J:$J,"ARS-8"))</f>
        <v/>
      </c>
      <c r="F715">
        <f>IF($A715="","",SUMIFS('Таблиця 1'!$K:$K,'Таблиця 1'!$B:$B,$A715,'Таблиця 1'!$I:$I,"Mi-8",'Таблиця 1'!$J:$J,"С-8 ком")+SUMIFS('Таблиця 1'!$K:$K,'Таблиця 1'!$B:$B,$A715,'Таблиця 1'!$I:$I,"Mi-24",'Таблиця 1'!$J:$J,"С-8 ком"))</f>
        <v/>
      </c>
      <c r="G715">
        <f>IF($A715="","",SUMIFS('Таблиця 1'!$K:$K,'Таблиця 1'!$B:$B,$A715,'Таблиця 1'!$I:$I,"Mi-8",'Таблиця 1'!$J:$J,"PC-80")+SUMIFS('Таблиця 1'!$K:$K,'Таблиця 1'!$B:$B,$A715,'Таблиця 1'!$I:$I,"Mi-24",'Таблиця 1'!$J:$J,"PC-80"))</f>
        <v/>
      </c>
      <c r="H715">
        <f>IF($A715="","",SUMIFS('Таблиця 1'!$K:$K,'Таблиця 1'!$B:$B,$A715,'Таблиця 1'!$I:$I,"Mi-8",'Таблиця 1'!$J:$J,"UAR-80")+SUMIFS('Таблиця 1'!$K:$K,'Таблиця 1'!$B:$B,$A715,'Таблиця 1'!$I:$I,"Mi-24",'Таблиця 1'!$J:$J,"UAR-80"))</f>
        <v/>
      </c>
      <c r="I715">
        <f>IF($A715="","",SUMIFS('Таблиця 1'!$K:$K,'Таблиця 1'!$B:$B,$A715,'Таблиця 1'!$I:$I,"Mi-8",'Таблиця 1'!$J:$J,"C-13")+SUMIFS('Таблиця 1'!$K:$K,'Таблиця 1'!$B:$B,$A715,'Таблиця 1'!$I:$I,"Mi-24",'Таблиця 1'!$J:$J,"C-13"))</f>
        <v/>
      </c>
      <c r="J715">
        <f>IF($A715="","",SUMIFS('Таблиця 1'!$K:$K,'Таблиця 1'!$B:$B,$A715,'Таблиця 1'!$I:$I,"Mi-8",'Таблиця 1'!$J:$J,"Hydra-70")+SUMIFS('Таблиця 1'!$K:$K,'Таблиця 1'!$B:$B,$A715,'Таблиця 1'!$I:$I,"Mi-24",'Таблиця 1'!$J:$J,"Hydra-70"))</f>
        <v/>
      </c>
      <c r="K715">
        <f>IF($A715="","",SUMIFS('Таблиця 1'!$K:$K,'Таблиця 1'!$B:$B,$A715,'Таблиця 1'!$I:$I,"Mi-8",'Таблиця 1'!$J:$J,"Thales-70")+SUMIFS('Таблиця 1'!$K:$K,'Таблиця 1'!$B:$B,$A715,'Таблиця 1'!$I:$I,"Mi-24",'Таблиця 1'!$J:$J,"Thales-70"))</f>
        <v/>
      </c>
      <c r="L715">
        <f>IF($A715="","",SUMIFS('Таблиця 1'!$K:$K,'Таблиця 1'!$B:$B,$A715,'Таблиця 1'!$I:$I,"Mi-8",'Таблиця 1'!$J:$J,"Thales-FZ")+SUMIFS('Таблиця 1'!$K:$K,'Таблиця 1'!$B:$B,$A715,'Таблиця 1'!$I:$I,"Mi-24",'Таблиця 1'!$J:$J,"Thales-FZ"))</f>
        <v/>
      </c>
      <c r="M715">
        <f>IF($A715="","",SUMIFS('Таблиця 1'!$K:$K,'Таблиця 1'!$B:$B,$A715,'Таблиця 1'!$I:$I,"Mi-8",'Таблиця 1'!$J:$J,"МК-40")+SUMIFS('Таблиця 1'!$K:$K,'Таблиця 1'!$B:$B,$A715,'Таблиця 1'!$I:$I,"Mi-24",'Таблиця 1'!$J:$J,"МК-40"))</f>
        <v/>
      </c>
      <c r="N715">
        <f>IF($A715="","",SUMIFS('Таблиця 1'!$K:$K,'Таблиця 1'!$B:$B,$A715,'Таблиця 1'!$I:$I,"Mi-8",'Таблиця 1'!$J:$J,"Zuni")+SUMIFS('Таблиця 1'!$K:$K,'Таблиця 1'!$B:$B,$A715,'Таблиця 1'!$I:$I,"Mi-24",'Таблиця 1'!$J:$J,"Zuni"))</f>
        <v/>
      </c>
      <c r="O715">
        <f>IF($A715="","",COUNTIFS('Таблиця 1'!$B:$B,$A715,'Таблиця 1'!$I:$I,"Mi-8",'Таблиця 1'!$L:$L,"Уражено")+COUNTIFS('Таблиця 1'!$B:$B,$A715,'Таблиця 1'!$I:$I,"Mi-24",'Таблиця 1'!$L:$L,"Уражено"))</f>
        <v/>
      </c>
      <c r="P715">
        <f>IF($A715="","",COUNTIFS('Таблиця 1'!$B:$B,$A715,'Таблиця 1'!$I:$I,"Mi-8",'Таблиця 1'!$L:$L,"НЕ уражено")+COUNTIFS('Таблиця 1'!$B:$B,$A715,'Таблиця 1'!$I:$I,"Mi-24",'Таблиця 1'!$L:$L,"НЕ уражено"))</f>
        <v/>
      </c>
    </row>
    <row r="716">
      <c r="A716" s="273">
        <f>IF(A715="","",IF(A715+1&gt;MAX('Таблиця 1'!$B:$B),"",A715+1))</f>
        <v/>
      </c>
      <c r="B716">
        <f>IF($A716="","",COUNTIFS('Таблиця 1'!$B:$B,$A716,'Таблиця 1'!$I:$I,"Mi-8")+COUNTIFS('Таблиця 1'!$B:$B,$A716,'Таблиця 1'!$I:$I,"Mi-24"))</f>
        <v/>
      </c>
      <c r="C716">
        <f>IF($A716="","",COUNTIFS('Таблиця 1'!$B:$B,$A716,'Таблиця 1'!$I:$I,"Mi-8"))</f>
        <v/>
      </c>
      <c r="D716">
        <f>IF($A716="","",COUNTIFS('Таблиця 1'!$B:$B,$A716,'Таблиця 1'!$I:$I,"Mi-24"))</f>
        <v/>
      </c>
      <c r="E716">
        <f>IF($A716="","",SUMIFS('Таблиця 1'!$K:$K,'Таблиця 1'!$B:$B,$A716,'Таблиця 1'!$I:$I,"Mi-8",'Таблиця 1'!$J:$J,"ARS-8")+SUMIFS('Таблиця 1'!$K:$K,'Таблиця 1'!$B:$B,$A716,'Таблиця 1'!$I:$I,"Mi-24",'Таблиця 1'!$J:$J,"ARS-8"))</f>
        <v/>
      </c>
      <c r="F716">
        <f>IF($A716="","",SUMIFS('Таблиця 1'!$K:$K,'Таблиця 1'!$B:$B,$A716,'Таблиця 1'!$I:$I,"Mi-8",'Таблиця 1'!$J:$J,"С-8 ком")+SUMIFS('Таблиця 1'!$K:$K,'Таблиця 1'!$B:$B,$A716,'Таблиця 1'!$I:$I,"Mi-24",'Таблиця 1'!$J:$J,"С-8 ком"))</f>
        <v/>
      </c>
      <c r="G716">
        <f>IF($A716="","",SUMIFS('Таблиця 1'!$K:$K,'Таблиця 1'!$B:$B,$A716,'Таблиця 1'!$I:$I,"Mi-8",'Таблиця 1'!$J:$J,"PC-80")+SUMIFS('Таблиця 1'!$K:$K,'Таблиця 1'!$B:$B,$A716,'Таблиця 1'!$I:$I,"Mi-24",'Таблиця 1'!$J:$J,"PC-80"))</f>
        <v/>
      </c>
      <c r="H716">
        <f>IF($A716="","",SUMIFS('Таблиця 1'!$K:$K,'Таблиця 1'!$B:$B,$A716,'Таблиця 1'!$I:$I,"Mi-8",'Таблиця 1'!$J:$J,"UAR-80")+SUMIFS('Таблиця 1'!$K:$K,'Таблиця 1'!$B:$B,$A716,'Таблиця 1'!$I:$I,"Mi-24",'Таблиця 1'!$J:$J,"UAR-80"))</f>
        <v/>
      </c>
      <c r="I716">
        <f>IF($A716="","",SUMIFS('Таблиця 1'!$K:$K,'Таблиця 1'!$B:$B,$A716,'Таблиця 1'!$I:$I,"Mi-8",'Таблиця 1'!$J:$J,"C-13")+SUMIFS('Таблиця 1'!$K:$K,'Таблиця 1'!$B:$B,$A716,'Таблиця 1'!$I:$I,"Mi-24",'Таблиця 1'!$J:$J,"C-13"))</f>
        <v/>
      </c>
      <c r="J716">
        <f>IF($A716="","",SUMIFS('Таблиця 1'!$K:$K,'Таблиця 1'!$B:$B,$A716,'Таблиця 1'!$I:$I,"Mi-8",'Таблиця 1'!$J:$J,"Hydra-70")+SUMIFS('Таблиця 1'!$K:$K,'Таблиця 1'!$B:$B,$A716,'Таблиця 1'!$I:$I,"Mi-24",'Таблиця 1'!$J:$J,"Hydra-70"))</f>
        <v/>
      </c>
      <c r="K716">
        <f>IF($A716="","",SUMIFS('Таблиця 1'!$K:$K,'Таблиця 1'!$B:$B,$A716,'Таблиця 1'!$I:$I,"Mi-8",'Таблиця 1'!$J:$J,"Thales-70")+SUMIFS('Таблиця 1'!$K:$K,'Таблиця 1'!$B:$B,$A716,'Таблиця 1'!$I:$I,"Mi-24",'Таблиця 1'!$J:$J,"Thales-70"))</f>
        <v/>
      </c>
      <c r="L716">
        <f>IF($A716="","",SUMIFS('Таблиця 1'!$K:$K,'Таблиця 1'!$B:$B,$A716,'Таблиця 1'!$I:$I,"Mi-8",'Таблиця 1'!$J:$J,"Thales-FZ")+SUMIFS('Таблиця 1'!$K:$K,'Таблиця 1'!$B:$B,$A716,'Таблиця 1'!$I:$I,"Mi-24",'Таблиця 1'!$J:$J,"Thales-FZ"))</f>
        <v/>
      </c>
      <c r="M716">
        <f>IF($A716="","",SUMIFS('Таблиця 1'!$K:$K,'Таблиця 1'!$B:$B,$A716,'Таблиця 1'!$I:$I,"Mi-8",'Таблиця 1'!$J:$J,"МК-40")+SUMIFS('Таблиця 1'!$K:$K,'Таблиця 1'!$B:$B,$A716,'Таблиця 1'!$I:$I,"Mi-24",'Таблиця 1'!$J:$J,"МК-40"))</f>
        <v/>
      </c>
      <c r="N716">
        <f>IF($A716="","",SUMIFS('Таблиця 1'!$K:$K,'Таблиця 1'!$B:$B,$A716,'Таблиця 1'!$I:$I,"Mi-8",'Таблиця 1'!$J:$J,"Zuni")+SUMIFS('Таблиця 1'!$K:$K,'Таблиця 1'!$B:$B,$A716,'Таблиця 1'!$I:$I,"Mi-24",'Таблиця 1'!$J:$J,"Zuni"))</f>
        <v/>
      </c>
      <c r="O716">
        <f>IF($A716="","",COUNTIFS('Таблиця 1'!$B:$B,$A716,'Таблиця 1'!$I:$I,"Mi-8",'Таблиця 1'!$L:$L,"Уражено")+COUNTIFS('Таблиця 1'!$B:$B,$A716,'Таблиця 1'!$I:$I,"Mi-24",'Таблиця 1'!$L:$L,"Уражено"))</f>
        <v/>
      </c>
      <c r="P716">
        <f>IF($A716="","",COUNTIFS('Таблиця 1'!$B:$B,$A716,'Таблиця 1'!$I:$I,"Mi-8",'Таблиця 1'!$L:$L,"НЕ уражено")+COUNTIFS('Таблиця 1'!$B:$B,$A716,'Таблиця 1'!$I:$I,"Mi-24",'Таблиця 1'!$L:$L,"НЕ уражено"))</f>
        <v/>
      </c>
    </row>
    <row r="717">
      <c r="A717" s="273">
        <f>IF(A716="","",IF(A716+1&gt;MAX('Таблиця 1'!$B:$B),"",A716+1))</f>
        <v/>
      </c>
      <c r="B717">
        <f>IF($A717="","",COUNTIFS('Таблиця 1'!$B:$B,$A717,'Таблиця 1'!$I:$I,"Mi-8")+COUNTIFS('Таблиця 1'!$B:$B,$A717,'Таблиця 1'!$I:$I,"Mi-24"))</f>
        <v/>
      </c>
      <c r="C717">
        <f>IF($A717="","",COUNTIFS('Таблиця 1'!$B:$B,$A717,'Таблиця 1'!$I:$I,"Mi-8"))</f>
        <v/>
      </c>
      <c r="D717">
        <f>IF($A717="","",COUNTIFS('Таблиця 1'!$B:$B,$A717,'Таблиця 1'!$I:$I,"Mi-24"))</f>
        <v/>
      </c>
      <c r="E717">
        <f>IF($A717="","",SUMIFS('Таблиця 1'!$K:$K,'Таблиця 1'!$B:$B,$A717,'Таблиця 1'!$I:$I,"Mi-8",'Таблиця 1'!$J:$J,"ARS-8")+SUMIFS('Таблиця 1'!$K:$K,'Таблиця 1'!$B:$B,$A717,'Таблиця 1'!$I:$I,"Mi-24",'Таблиця 1'!$J:$J,"ARS-8"))</f>
        <v/>
      </c>
      <c r="F717">
        <f>IF($A717="","",SUMIFS('Таблиця 1'!$K:$K,'Таблиця 1'!$B:$B,$A717,'Таблиця 1'!$I:$I,"Mi-8",'Таблиця 1'!$J:$J,"С-8 ком")+SUMIFS('Таблиця 1'!$K:$K,'Таблиця 1'!$B:$B,$A717,'Таблиця 1'!$I:$I,"Mi-24",'Таблиця 1'!$J:$J,"С-8 ком"))</f>
        <v/>
      </c>
      <c r="G717">
        <f>IF($A717="","",SUMIFS('Таблиця 1'!$K:$K,'Таблиця 1'!$B:$B,$A717,'Таблиця 1'!$I:$I,"Mi-8",'Таблиця 1'!$J:$J,"PC-80")+SUMIFS('Таблиця 1'!$K:$K,'Таблиця 1'!$B:$B,$A717,'Таблиця 1'!$I:$I,"Mi-24",'Таблиця 1'!$J:$J,"PC-80"))</f>
        <v/>
      </c>
      <c r="H717">
        <f>IF($A717="","",SUMIFS('Таблиця 1'!$K:$K,'Таблиця 1'!$B:$B,$A717,'Таблиця 1'!$I:$I,"Mi-8",'Таблиця 1'!$J:$J,"UAR-80")+SUMIFS('Таблиця 1'!$K:$K,'Таблиця 1'!$B:$B,$A717,'Таблиця 1'!$I:$I,"Mi-24",'Таблиця 1'!$J:$J,"UAR-80"))</f>
        <v/>
      </c>
      <c r="I717">
        <f>IF($A717="","",SUMIFS('Таблиця 1'!$K:$K,'Таблиця 1'!$B:$B,$A717,'Таблиця 1'!$I:$I,"Mi-8",'Таблиця 1'!$J:$J,"C-13")+SUMIFS('Таблиця 1'!$K:$K,'Таблиця 1'!$B:$B,$A717,'Таблиця 1'!$I:$I,"Mi-24",'Таблиця 1'!$J:$J,"C-13"))</f>
        <v/>
      </c>
      <c r="J717">
        <f>IF($A717="","",SUMIFS('Таблиця 1'!$K:$K,'Таблиця 1'!$B:$B,$A717,'Таблиця 1'!$I:$I,"Mi-8",'Таблиця 1'!$J:$J,"Hydra-70")+SUMIFS('Таблиця 1'!$K:$K,'Таблиця 1'!$B:$B,$A717,'Таблиця 1'!$I:$I,"Mi-24",'Таблиця 1'!$J:$J,"Hydra-70"))</f>
        <v/>
      </c>
      <c r="K717">
        <f>IF($A717="","",SUMIFS('Таблиця 1'!$K:$K,'Таблиця 1'!$B:$B,$A717,'Таблиця 1'!$I:$I,"Mi-8",'Таблиця 1'!$J:$J,"Thales-70")+SUMIFS('Таблиця 1'!$K:$K,'Таблиця 1'!$B:$B,$A717,'Таблиця 1'!$I:$I,"Mi-24",'Таблиця 1'!$J:$J,"Thales-70"))</f>
        <v/>
      </c>
      <c r="L717">
        <f>IF($A717="","",SUMIFS('Таблиця 1'!$K:$K,'Таблиця 1'!$B:$B,$A717,'Таблиця 1'!$I:$I,"Mi-8",'Таблиця 1'!$J:$J,"Thales-FZ")+SUMIFS('Таблиця 1'!$K:$K,'Таблиця 1'!$B:$B,$A717,'Таблиця 1'!$I:$I,"Mi-24",'Таблиця 1'!$J:$J,"Thales-FZ"))</f>
        <v/>
      </c>
      <c r="M717">
        <f>IF($A717="","",SUMIFS('Таблиця 1'!$K:$K,'Таблиця 1'!$B:$B,$A717,'Таблиця 1'!$I:$I,"Mi-8",'Таблиця 1'!$J:$J,"МК-40")+SUMIFS('Таблиця 1'!$K:$K,'Таблиця 1'!$B:$B,$A717,'Таблиця 1'!$I:$I,"Mi-24",'Таблиця 1'!$J:$J,"МК-40"))</f>
        <v/>
      </c>
      <c r="N717">
        <f>IF($A717="","",SUMIFS('Таблиця 1'!$K:$K,'Таблиця 1'!$B:$B,$A717,'Таблиця 1'!$I:$I,"Mi-8",'Таблиця 1'!$J:$J,"Zuni")+SUMIFS('Таблиця 1'!$K:$K,'Таблиця 1'!$B:$B,$A717,'Таблиця 1'!$I:$I,"Mi-24",'Таблиця 1'!$J:$J,"Zuni"))</f>
        <v/>
      </c>
      <c r="O717">
        <f>IF($A717="","",COUNTIFS('Таблиця 1'!$B:$B,$A717,'Таблиця 1'!$I:$I,"Mi-8",'Таблиця 1'!$L:$L,"Уражено")+COUNTIFS('Таблиця 1'!$B:$B,$A717,'Таблиця 1'!$I:$I,"Mi-24",'Таблиця 1'!$L:$L,"Уражено"))</f>
        <v/>
      </c>
      <c r="P717">
        <f>IF($A717="","",COUNTIFS('Таблиця 1'!$B:$B,$A717,'Таблиця 1'!$I:$I,"Mi-8",'Таблиця 1'!$L:$L,"НЕ уражено")+COUNTIFS('Таблиця 1'!$B:$B,$A717,'Таблиця 1'!$I:$I,"Mi-24",'Таблиця 1'!$L:$L,"НЕ уражено"))</f>
        <v/>
      </c>
    </row>
    <row r="718">
      <c r="A718" s="273">
        <f>IF(A717="","",IF(A717+1&gt;MAX('Таблиця 1'!$B:$B),"",A717+1))</f>
        <v/>
      </c>
      <c r="B718">
        <f>IF($A718="","",COUNTIFS('Таблиця 1'!$B:$B,$A718,'Таблиця 1'!$I:$I,"Mi-8")+COUNTIFS('Таблиця 1'!$B:$B,$A718,'Таблиця 1'!$I:$I,"Mi-24"))</f>
        <v/>
      </c>
      <c r="C718">
        <f>IF($A718="","",COUNTIFS('Таблиця 1'!$B:$B,$A718,'Таблиця 1'!$I:$I,"Mi-8"))</f>
        <v/>
      </c>
      <c r="D718">
        <f>IF($A718="","",COUNTIFS('Таблиця 1'!$B:$B,$A718,'Таблиця 1'!$I:$I,"Mi-24"))</f>
        <v/>
      </c>
      <c r="E718">
        <f>IF($A718="","",SUMIFS('Таблиця 1'!$K:$K,'Таблиця 1'!$B:$B,$A718,'Таблиця 1'!$I:$I,"Mi-8",'Таблиця 1'!$J:$J,"ARS-8")+SUMIFS('Таблиця 1'!$K:$K,'Таблиця 1'!$B:$B,$A718,'Таблиця 1'!$I:$I,"Mi-24",'Таблиця 1'!$J:$J,"ARS-8"))</f>
        <v/>
      </c>
      <c r="F718">
        <f>IF($A718="","",SUMIFS('Таблиця 1'!$K:$K,'Таблиця 1'!$B:$B,$A718,'Таблиця 1'!$I:$I,"Mi-8",'Таблиця 1'!$J:$J,"С-8 ком")+SUMIFS('Таблиця 1'!$K:$K,'Таблиця 1'!$B:$B,$A718,'Таблиця 1'!$I:$I,"Mi-24",'Таблиця 1'!$J:$J,"С-8 ком"))</f>
        <v/>
      </c>
      <c r="G718">
        <f>IF($A718="","",SUMIFS('Таблиця 1'!$K:$K,'Таблиця 1'!$B:$B,$A718,'Таблиця 1'!$I:$I,"Mi-8",'Таблиця 1'!$J:$J,"PC-80")+SUMIFS('Таблиця 1'!$K:$K,'Таблиця 1'!$B:$B,$A718,'Таблиця 1'!$I:$I,"Mi-24",'Таблиця 1'!$J:$J,"PC-80"))</f>
        <v/>
      </c>
      <c r="H718">
        <f>IF($A718="","",SUMIFS('Таблиця 1'!$K:$K,'Таблиця 1'!$B:$B,$A718,'Таблиця 1'!$I:$I,"Mi-8",'Таблиця 1'!$J:$J,"UAR-80")+SUMIFS('Таблиця 1'!$K:$K,'Таблиця 1'!$B:$B,$A718,'Таблиця 1'!$I:$I,"Mi-24",'Таблиця 1'!$J:$J,"UAR-80"))</f>
        <v/>
      </c>
      <c r="I718">
        <f>IF($A718="","",SUMIFS('Таблиця 1'!$K:$K,'Таблиця 1'!$B:$B,$A718,'Таблиця 1'!$I:$I,"Mi-8",'Таблиця 1'!$J:$J,"C-13")+SUMIFS('Таблиця 1'!$K:$K,'Таблиця 1'!$B:$B,$A718,'Таблиця 1'!$I:$I,"Mi-24",'Таблиця 1'!$J:$J,"C-13"))</f>
        <v/>
      </c>
      <c r="J718">
        <f>IF($A718="","",SUMIFS('Таблиця 1'!$K:$K,'Таблиця 1'!$B:$B,$A718,'Таблиця 1'!$I:$I,"Mi-8",'Таблиця 1'!$J:$J,"Hydra-70")+SUMIFS('Таблиця 1'!$K:$K,'Таблиця 1'!$B:$B,$A718,'Таблиця 1'!$I:$I,"Mi-24",'Таблиця 1'!$J:$J,"Hydra-70"))</f>
        <v/>
      </c>
      <c r="K718">
        <f>IF($A718="","",SUMIFS('Таблиця 1'!$K:$K,'Таблиця 1'!$B:$B,$A718,'Таблиця 1'!$I:$I,"Mi-8",'Таблиця 1'!$J:$J,"Thales-70")+SUMIFS('Таблиця 1'!$K:$K,'Таблиця 1'!$B:$B,$A718,'Таблиця 1'!$I:$I,"Mi-24",'Таблиця 1'!$J:$J,"Thales-70"))</f>
        <v/>
      </c>
      <c r="L718">
        <f>IF($A718="","",SUMIFS('Таблиця 1'!$K:$K,'Таблиця 1'!$B:$B,$A718,'Таблиця 1'!$I:$I,"Mi-8",'Таблиця 1'!$J:$J,"Thales-FZ")+SUMIFS('Таблиця 1'!$K:$K,'Таблиця 1'!$B:$B,$A718,'Таблиця 1'!$I:$I,"Mi-24",'Таблиця 1'!$J:$J,"Thales-FZ"))</f>
        <v/>
      </c>
      <c r="M718">
        <f>IF($A718="","",SUMIFS('Таблиця 1'!$K:$K,'Таблиця 1'!$B:$B,$A718,'Таблиця 1'!$I:$I,"Mi-8",'Таблиця 1'!$J:$J,"МК-40")+SUMIFS('Таблиця 1'!$K:$K,'Таблиця 1'!$B:$B,$A718,'Таблиця 1'!$I:$I,"Mi-24",'Таблиця 1'!$J:$J,"МК-40"))</f>
        <v/>
      </c>
      <c r="N718">
        <f>IF($A718="","",SUMIFS('Таблиця 1'!$K:$K,'Таблиця 1'!$B:$B,$A718,'Таблиця 1'!$I:$I,"Mi-8",'Таблиця 1'!$J:$J,"Zuni")+SUMIFS('Таблиця 1'!$K:$K,'Таблиця 1'!$B:$B,$A718,'Таблиця 1'!$I:$I,"Mi-24",'Таблиця 1'!$J:$J,"Zuni"))</f>
        <v/>
      </c>
      <c r="O718">
        <f>IF($A718="","",COUNTIFS('Таблиця 1'!$B:$B,$A718,'Таблиця 1'!$I:$I,"Mi-8",'Таблиця 1'!$L:$L,"Уражено")+COUNTIFS('Таблиця 1'!$B:$B,$A718,'Таблиця 1'!$I:$I,"Mi-24",'Таблиця 1'!$L:$L,"Уражено"))</f>
        <v/>
      </c>
      <c r="P718">
        <f>IF($A718="","",COUNTIFS('Таблиця 1'!$B:$B,$A718,'Таблиця 1'!$I:$I,"Mi-8",'Таблиця 1'!$L:$L,"НЕ уражено")+COUNTIFS('Таблиця 1'!$B:$B,$A718,'Таблиця 1'!$I:$I,"Mi-24",'Таблиця 1'!$L:$L,"НЕ уражено"))</f>
        <v/>
      </c>
    </row>
    <row r="719">
      <c r="A719" s="273">
        <f>IF(A718="","",IF(A718+1&gt;MAX('Таблиця 1'!$B:$B),"",A718+1))</f>
        <v/>
      </c>
      <c r="B719">
        <f>IF($A719="","",COUNTIFS('Таблиця 1'!$B:$B,$A719,'Таблиця 1'!$I:$I,"Mi-8")+COUNTIFS('Таблиця 1'!$B:$B,$A719,'Таблиця 1'!$I:$I,"Mi-24"))</f>
        <v/>
      </c>
      <c r="C719">
        <f>IF($A719="","",COUNTIFS('Таблиця 1'!$B:$B,$A719,'Таблиця 1'!$I:$I,"Mi-8"))</f>
        <v/>
      </c>
      <c r="D719">
        <f>IF($A719="","",COUNTIFS('Таблиця 1'!$B:$B,$A719,'Таблиця 1'!$I:$I,"Mi-24"))</f>
        <v/>
      </c>
      <c r="E719">
        <f>IF($A719="","",SUMIFS('Таблиця 1'!$K:$K,'Таблиця 1'!$B:$B,$A719,'Таблиця 1'!$I:$I,"Mi-8",'Таблиця 1'!$J:$J,"ARS-8")+SUMIFS('Таблиця 1'!$K:$K,'Таблиця 1'!$B:$B,$A719,'Таблиця 1'!$I:$I,"Mi-24",'Таблиця 1'!$J:$J,"ARS-8"))</f>
        <v/>
      </c>
      <c r="F719">
        <f>IF($A719="","",SUMIFS('Таблиця 1'!$K:$K,'Таблиця 1'!$B:$B,$A719,'Таблиця 1'!$I:$I,"Mi-8",'Таблиця 1'!$J:$J,"С-8 ком")+SUMIFS('Таблиця 1'!$K:$K,'Таблиця 1'!$B:$B,$A719,'Таблиця 1'!$I:$I,"Mi-24",'Таблиця 1'!$J:$J,"С-8 ком"))</f>
        <v/>
      </c>
      <c r="G719">
        <f>IF($A719="","",SUMIFS('Таблиця 1'!$K:$K,'Таблиця 1'!$B:$B,$A719,'Таблиця 1'!$I:$I,"Mi-8",'Таблиця 1'!$J:$J,"PC-80")+SUMIFS('Таблиця 1'!$K:$K,'Таблиця 1'!$B:$B,$A719,'Таблиця 1'!$I:$I,"Mi-24",'Таблиця 1'!$J:$J,"PC-80"))</f>
        <v/>
      </c>
      <c r="H719">
        <f>IF($A719="","",SUMIFS('Таблиця 1'!$K:$K,'Таблиця 1'!$B:$B,$A719,'Таблиця 1'!$I:$I,"Mi-8",'Таблиця 1'!$J:$J,"UAR-80")+SUMIFS('Таблиця 1'!$K:$K,'Таблиця 1'!$B:$B,$A719,'Таблиця 1'!$I:$I,"Mi-24",'Таблиця 1'!$J:$J,"UAR-80"))</f>
        <v/>
      </c>
      <c r="I719">
        <f>IF($A719="","",SUMIFS('Таблиця 1'!$K:$K,'Таблиця 1'!$B:$B,$A719,'Таблиця 1'!$I:$I,"Mi-8",'Таблиця 1'!$J:$J,"C-13")+SUMIFS('Таблиця 1'!$K:$K,'Таблиця 1'!$B:$B,$A719,'Таблиця 1'!$I:$I,"Mi-24",'Таблиця 1'!$J:$J,"C-13"))</f>
        <v/>
      </c>
      <c r="J719">
        <f>IF($A719="","",SUMIFS('Таблиця 1'!$K:$K,'Таблиця 1'!$B:$B,$A719,'Таблиця 1'!$I:$I,"Mi-8",'Таблиця 1'!$J:$J,"Hydra-70")+SUMIFS('Таблиця 1'!$K:$K,'Таблиця 1'!$B:$B,$A719,'Таблиця 1'!$I:$I,"Mi-24",'Таблиця 1'!$J:$J,"Hydra-70"))</f>
        <v/>
      </c>
      <c r="K719">
        <f>IF($A719="","",SUMIFS('Таблиця 1'!$K:$K,'Таблиця 1'!$B:$B,$A719,'Таблиця 1'!$I:$I,"Mi-8",'Таблиця 1'!$J:$J,"Thales-70")+SUMIFS('Таблиця 1'!$K:$K,'Таблиця 1'!$B:$B,$A719,'Таблиця 1'!$I:$I,"Mi-24",'Таблиця 1'!$J:$J,"Thales-70"))</f>
        <v/>
      </c>
      <c r="L719">
        <f>IF($A719="","",SUMIFS('Таблиця 1'!$K:$K,'Таблиця 1'!$B:$B,$A719,'Таблиця 1'!$I:$I,"Mi-8",'Таблиця 1'!$J:$J,"Thales-FZ")+SUMIFS('Таблиця 1'!$K:$K,'Таблиця 1'!$B:$B,$A719,'Таблиця 1'!$I:$I,"Mi-24",'Таблиця 1'!$J:$J,"Thales-FZ"))</f>
        <v/>
      </c>
      <c r="M719">
        <f>IF($A719="","",SUMIFS('Таблиця 1'!$K:$K,'Таблиця 1'!$B:$B,$A719,'Таблиця 1'!$I:$I,"Mi-8",'Таблиця 1'!$J:$J,"МК-40")+SUMIFS('Таблиця 1'!$K:$K,'Таблиця 1'!$B:$B,$A719,'Таблиця 1'!$I:$I,"Mi-24",'Таблиця 1'!$J:$J,"МК-40"))</f>
        <v/>
      </c>
      <c r="N719">
        <f>IF($A719="","",SUMIFS('Таблиця 1'!$K:$K,'Таблиця 1'!$B:$B,$A719,'Таблиця 1'!$I:$I,"Mi-8",'Таблиця 1'!$J:$J,"Zuni")+SUMIFS('Таблиця 1'!$K:$K,'Таблиця 1'!$B:$B,$A719,'Таблиця 1'!$I:$I,"Mi-24",'Таблиця 1'!$J:$J,"Zuni"))</f>
        <v/>
      </c>
      <c r="O719">
        <f>IF($A719="","",COUNTIFS('Таблиця 1'!$B:$B,$A719,'Таблиця 1'!$I:$I,"Mi-8",'Таблиця 1'!$L:$L,"Уражено")+COUNTIFS('Таблиця 1'!$B:$B,$A719,'Таблиця 1'!$I:$I,"Mi-24",'Таблиця 1'!$L:$L,"Уражено"))</f>
        <v/>
      </c>
      <c r="P719">
        <f>IF($A719="","",COUNTIFS('Таблиця 1'!$B:$B,$A719,'Таблиця 1'!$I:$I,"Mi-8",'Таблиця 1'!$L:$L,"НЕ уражено")+COUNTIFS('Таблиця 1'!$B:$B,$A719,'Таблиця 1'!$I:$I,"Mi-24",'Таблиця 1'!$L:$L,"НЕ уражено"))</f>
        <v/>
      </c>
    </row>
    <row r="720">
      <c r="A720" s="273">
        <f>IF(A719="","",IF(A719+1&gt;MAX('Таблиця 1'!$B:$B),"",A719+1))</f>
        <v/>
      </c>
      <c r="B720">
        <f>IF($A720="","",COUNTIFS('Таблиця 1'!$B:$B,$A720,'Таблиця 1'!$I:$I,"Mi-8")+COUNTIFS('Таблиця 1'!$B:$B,$A720,'Таблиця 1'!$I:$I,"Mi-24"))</f>
        <v/>
      </c>
      <c r="C720">
        <f>IF($A720="","",COUNTIFS('Таблиця 1'!$B:$B,$A720,'Таблиця 1'!$I:$I,"Mi-8"))</f>
        <v/>
      </c>
      <c r="D720">
        <f>IF($A720="","",COUNTIFS('Таблиця 1'!$B:$B,$A720,'Таблиця 1'!$I:$I,"Mi-24"))</f>
        <v/>
      </c>
      <c r="E720">
        <f>IF($A720="","",SUMIFS('Таблиця 1'!$K:$K,'Таблиця 1'!$B:$B,$A720,'Таблиця 1'!$I:$I,"Mi-8",'Таблиця 1'!$J:$J,"ARS-8")+SUMIFS('Таблиця 1'!$K:$K,'Таблиця 1'!$B:$B,$A720,'Таблиця 1'!$I:$I,"Mi-24",'Таблиця 1'!$J:$J,"ARS-8"))</f>
        <v/>
      </c>
      <c r="F720">
        <f>IF($A720="","",SUMIFS('Таблиця 1'!$K:$K,'Таблиця 1'!$B:$B,$A720,'Таблиця 1'!$I:$I,"Mi-8",'Таблиця 1'!$J:$J,"С-8 ком")+SUMIFS('Таблиця 1'!$K:$K,'Таблиця 1'!$B:$B,$A720,'Таблиця 1'!$I:$I,"Mi-24",'Таблиця 1'!$J:$J,"С-8 ком"))</f>
        <v/>
      </c>
      <c r="G720">
        <f>IF($A720="","",SUMIFS('Таблиця 1'!$K:$K,'Таблиця 1'!$B:$B,$A720,'Таблиця 1'!$I:$I,"Mi-8",'Таблиця 1'!$J:$J,"PC-80")+SUMIFS('Таблиця 1'!$K:$K,'Таблиця 1'!$B:$B,$A720,'Таблиця 1'!$I:$I,"Mi-24",'Таблиця 1'!$J:$J,"PC-80"))</f>
        <v/>
      </c>
      <c r="H720">
        <f>IF($A720="","",SUMIFS('Таблиця 1'!$K:$K,'Таблиця 1'!$B:$B,$A720,'Таблиця 1'!$I:$I,"Mi-8",'Таблиця 1'!$J:$J,"UAR-80")+SUMIFS('Таблиця 1'!$K:$K,'Таблиця 1'!$B:$B,$A720,'Таблиця 1'!$I:$I,"Mi-24",'Таблиця 1'!$J:$J,"UAR-80"))</f>
        <v/>
      </c>
      <c r="I720">
        <f>IF($A720="","",SUMIFS('Таблиця 1'!$K:$K,'Таблиця 1'!$B:$B,$A720,'Таблиця 1'!$I:$I,"Mi-8",'Таблиця 1'!$J:$J,"C-13")+SUMIFS('Таблиця 1'!$K:$K,'Таблиця 1'!$B:$B,$A720,'Таблиця 1'!$I:$I,"Mi-24",'Таблиця 1'!$J:$J,"C-13"))</f>
        <v/>
      </c>
      <c r="J720">
        <f>IF($A720="","",SUMIFS('Таблиця 1'!$K:$K,'Таблиця 1'!$B:$B,$A720,'Таблиця 1'!$I:$I,"Mi-8",'Таблиця 1'!$J:$J,"Hydra-70")+SUMIFS('Таблиця 1'!$K:$K,'Таблиця 1'!$B:$B,$A720,'Таблиця 1'!$I:$I,"Mi-24",'Таблиця 1'!$J:$J,"Hydra-70"))</f>
        <v/>
      </c>
      <c r="K720">
        <f>IF($A720="","",SUMIFS('Таблиця 1'!$K:$K,'Таблиця 1'!$B:$B,$A720,'Таблиця 1'!$I:$I,"Mi-8",'Таблиця 1'!$J:$J,"Thales-70")+SUMIFS('Таблиця 1'!$K:$K,'Таблиця 1'!$B:$B,$A720,'Таблиця 1'!$I:$I,"Mi-24",'Таблиця 1'!$J:$J,"Thales-70"))</f>
        <v/>
      </c>
      <c r="L720">
        <f>IF($A720="","",SUMIFS('Таблиця 1'!$K:$K,'Таблиця 1'!$B:$B,$A720,'Таблиця 1'!$I:$I,"Mi-8",'Таблиця 1'!$J:$J,"Thales-FZ")+SUMIFS('Таблиця 1'!$K:$K,'Таблиця 1'!$B:$B,$A720,'Таблиця 1'!$I:$I,"Mi-24",'Таблиця 1'!$J:$J,"Thales-FZ"))</f>
        <v/>
      </c>
      <c r="M720">
        <f>IF($A720="","",SUMIFS('Таблиця 1'!$K:$K,'Таблиця 1'!$B:$B,$A720,'Таблиця 1'!$I:$I,"Mi-8",'Таблиця 1'!$J:$J,"МК-40")+SUMIFS('Таблиця 1'!$K:$K,'Таблиця 1'!$B:$B,$A720,'Таблиця 1'!$I:$I,"Mi-24",'Таблиця 1'!$J:$J,"МК-40"))</f>
        <v/>
      </c>
      <c r="N720">
        <f>IF($A720="","",SUMIFS('Таблиця 1'!$K:$K,'Таблиця 1'!$B:$B,$A720,'Таблиця 1'!$I:$I,"Mi-8",'Таблиця 1'!$J:$J,"Zuni")+SUMIFS('Таблиця 1'!$K:$K,'Таблиця 1'!$B:$B,$A720,'Таблиця 1'!$I:$I,"Mi-24",'Таблиця 1'!$J:$J,"Zuni"))</f>
        <v/>
      </c>
      <c r="O720">
        <f>IF($A720="","",COUNTIFS('Таблиця 1'!$B:$B,$A720,'Таблиця 1'!$I:$I,"Mi-8",'Таблиця 1'!$L:$L,"Уражено")+COUNTIFS('Таблиця 1'!$B:$B,$A720,'Таблиця 1'!$I:$I,"Mi-24",'Таблиця 1'!$L:$L,"Уражено"))</f>
        <v/>
      </c>
      <c r="P720">
        <f>IF($A720="","",COUNTIFS('Таблиця 1'!$B:$B,$A720,'Таблиця 1'!$I:$I,"Mi-8",'Таблиця 1'!$L:$L,"НЕ уражено")+COUNTIFS('Таблиця 1'!$B:$B,$A720,'Таблиця 1'!$I:$I,"Mi-24",'Таблиця 1'!$L:$L,"НЕ уражено"))</f>
        <v/>
      </c>
    </row>
    <row r="721">
      <c r="A721" s="273">
        <f>IF(A720="","",IF(A720+1&gt;MAX('Таблиця 1'!$B:$B),"",A720+1))</f>
        <v/>
      </c>
      <c r="B721">
        <f>IF($A721="","",COUNTIFS('Таблиця 1'!$B:$B,$A721,'Таблиця 1'!$I:$I,"Mi-8")+COUNTIFS('Таблиця 1'!$B:$B,$A721,'Таблиця 1'!$I:$I,"Mi-24"))</f>
        <v/>
      </c>
      <c r="C721">
        <f>IF($A721="","",COUNTIFS('Таблиця 1'!$B:$B,$A721,'Таблиця 1'!$I:$I,"Mi-8"))</f>
        <v/>
      </c>
      <c r="D721">
        <f>IF($A721="","",COUNTIFS('Таблиця 1'!$B:$B,$A721,'Таблиця 1'!$I:$I,"Mi-24"))</f>
        <v/>
      </c>
      <c r="E721">
        <f>IF($A721="","",SUMIFS('Таблиця 1'!$K:$K,'Таблиця 1'!$B:$B,$A721,'Таблиця 1'!$I:$I,"Mi-8",'Таблиця 1'!$J:$J,"ARS-8")+SUMIFS('Таблиця 1'!$K:$K,'Таблиця 1'!$B:$B,$A721,'Таблиця 1'!$I:$I,"Mi-24",'Таблиця 1'!$J:$J,"ARS-8"))</f>
        <v/>
      </c>
      <c r="F721">
        <f>IF($A721="","",SUMIFS('Таблиця 1'!$K:$K,'Таблиця 1'!$B:$B,$A721,'Таблиця 1'!$I:$I,"Mi-8",'Таблиця 1'!$J:$J,"С-8 ком")+SUMIFS('Таблиця 1'!$K:$K,'Таблиця 1'!$B:$B,$A721,'Таблиця 1'!$I:$I,"Mi-24",'Таблиця 1'!$J:$J,"С-8 ком"))</f>
        <v/>
      </c>
      <c r="G721">
        <f>IF($A721="","",SUMIFS('Таблиця 1'!$K:$K,'Таблиця 1'!$B:$B,$A721,'Таблиця 1'!$I:$I,"Mi-8",'Таблиця 1'!$J:$J,"PC-80")+SUMIFS('Таблиця 1'!$K:$K,'Таблиця 1'!$B:$B,$A721,'Таблиця 1'!$I:$I,"Mi-24",'Таблиця 1'!$J:$J,"PC-80"))</f>
        <v/>
      </c>
      <c r="H721">
        <f>IF($A721="","",SUMIFS('Таблиця 1'!$K:$K,'Таблиця 1'!$B:$B,$A721,'Таблиця 1'!$I:$I,"Mi-8",'Таблиця 1'!$J:$J,"UAR-80")+SUMIFS('Таблиця 1'!$K:$K,'Таблиця 1'!$B:$B,$A721,'Таблиця 1'!$I:$I,"Mi-24",'Таблиця 1'!$J:$J,"UAR-80"))</f>
        <v/>
      </c>
      <c r="I721">
        <f>IF($A721="","",SUMIFS('Таблиця 1'!$K:$K,'Таблиця 1'!$B:$B,$A721,'Таблиця 1'!$I:$I,"Mi-8",'Таблиця 1'!$J:$J,"C-13")+SUMIFS('Таблиця 1'!$K:$K,'Таблиця 1'!$B:$B,$A721,'Таблиця 1'!$I:$I,"Mi-24",'Таблиця 1'!$J:$J,"C-13"))</f>
        <v/>
      </c>
      <c r="J721">
        <f>IF($A721="","",SUMIFS('Таблиця 1'!$K:$K,'Таблиця 1'!$B:$B,$A721,'Таблиця 1'!$I:$I,"Mi-8",'Таблиця 1'!$J:$J,"Hydra-70")+SUMIFS('Таблиця 1'!$K:$K,'Таблиця 1'!$B:$B,$A721,'Таблиця 1'!$I:$I,"Mi-24",'Таблиця 1'!$J:$J,"Hydra-70"))</f>
        <v/>
      </c>
      <c r="K721">
        <f>IF($A721="","",SUMIFS('Таблиця 1'!$K:$K,'Таблиця 1'!$B:$B,$A721,'Таблиця 1'!$I:$I,"Mi-8",'Таблиця 1'!$J:$J,"Thales-70")+SUMIFS('Таблиця 1'!$K:$K,'Таблиця 1'!$B:$B,$A721,'Таблиця 1'!$I:$I,"Mi-24",'Таблиця 1'!$J:$J,"Thales-70"))</f>
        <v/>
      </c>
      <c r="L721">
        <f>IF($A721="","",SUMIFS('Таблиця 1'!$K:$K,'Таблиця 1'!$B:$B,$A721,'Таблиця 1'!$I:$I,"Mi-8",'Таблиця 1'!$J:$J,"Thales-FZ")+SUMIFS('Таблиця 1'!$K:$K,'Таблиця 1'!$B:$B,$A721,'Таблиця 1'!$I:$I,"Mi-24",'Таблиця 1'!$J:$J,"Thales-FZ"))</f>
        <v/>
      </c>
      <c r="M721">
        <f>IF($A721="","",SUMIFS('Таблиця 1'!$K:$K,'Таблиця 1'!$B:$B,$A721,'Таблиця 1'!$I:$I,"Mi-8",'Таблиця 1'!$J:$J,"МК-40")+SUMIFS('Таблиця 1'!$K:$K,'Таблиця 1'!$B:$B,$A721,'Таблиця 1'!$I:$I,"Mi-24",'Таблиця 1'!$J:$J,"МК-40"))</f>
        <v/>
      </c>
      <c r="N721">
        <f>IF($A721="","",SUMIFS('Таблиця 1'!$K:$K,'Таблиця 1'!$B:$B,$A721,'Таблиця 1'!$I:$I,"Mi-8",'Таблиця 1'!$J:$J,"Zuni")+SUMIFS('Таблиця 1'!$K:$K,'Таблиця 1'!$B:$B,$A721,'Таблиця 1'!$I:$I,"Mi-24",'Таблиця 1'!$J:$J,"Zuni"))</f>
        <v/>
      </c>
      <c r="O721">
        <f>IF($A721="","",COUNTIFS('Таблиця 1'!$B:$B,$A721,'Таблиця 1'!$I:$I,"Mi-8",'Таблиця 1'!$L:$L,"Уражено")+COUNTIFS('Таблиця 1'!$B:$B,$A721,'Таблиця 1'!$I:$I,"Mi-24",'Таблиця 1'!$L:$L,"Уражено"))</f>
        <v/>
      </c>
      <c r="P721">
        <f>IF($A721="","",COUNTIFS('Таблиця 1'!$B:$B,$A721,'Таблиця 1'!$I:$I,"Mi-8",'Таблиця 1'!$L:$L,"НЕ уражено")+COUNTIFS('Таблиця 1'!$B:$B,$A721,'Таблиця 1'!$I:$I,"Mi-24",'Таблиця 1'!$L:$L,"НЕ уражено"))</f>
        <v/>
      </c>
    </row>
    <row r="722">
      <c r="A722" s="273">
        <f>IF(A721="","",IF(A721+1&gt;MAX('Таблиця 1'!$B:$B),"",A721+1))</f>
        <v/>
      </c>
      <c r="B722">
        <f>IF($A722="","",COUNTIFS('Таблиця 1'!$B:$B,$A722,'Таблиця 1'!$I:$I,"Mi-8")+COUNTIFS('Таблиця 1'!$B:$B,$A722,'Таблиця 1'!$I:$I,"Mi-24"))</f>
        <v/>
      </c>
      <c r="C722">
        <f>IF($A722="","",COUNTIFS('Таблиця 1'!$B:$B,$A722,'Таблиця 1'!$I:$I,"Mi-8"))</f>
        <v/>
      </c>
      <c r="D722">
        <f>IF($A722="","",COUNTIFS('Таблиця 1'!$B:$B,$A722,'Таблиця 1'!$I:$I,"Mi-24"))</f>
        <v/>
      </c>
      <c r="E722">
        <f>IF($A722="","",SUMIFS('Таблиця 1'!$K:$K,'Таблиця 1'!$B:$B,$A722,'Таблиця 1'!$I:$I,"Mi-8",'Таблиця 1'!$J:$J,"ARS-8")+SUMIFS('Таблиця 1'!$K:$K,'Таблиця 1'!$B:$B,$A722,'Таблиця 1'!$I:$I,"Mi-24",'Таблиця 1'!$J:$J,"ARS-8"))</f>
        <v/>
      </c>
      <c r="F722">
        <f>IF($A722="","",SUMIFS('Таблиця 1'!$K:$K,'Таблиця 1'!$B:$B,$A722,'Таблиця 1'!$I:$I,"Mi-8",'Таблиця 1'!$J:$J,"С-8 ком")+SUMIFS('Таблиця 1'!$K:$K,'Таблиця 1'!$B:$B,$A722,'Таблиця 1'!$I:$I,"Mi-24",'Таблиця 1'!$J:$J,"С-8 ком"))</f>
        <v/>
      </c>
      <c r="G722">
        <f>IF($A722="","",SUMIFS('Таблиця 1'!$K:$K,'Таблиця 1'!$B:$B,$A722,'Таблиця 1'!$I:$I,"Mi-8",'Таблиця 1'!$J:$J,"PC-80")+SUMIFS('Таблиця 1'!$K:$K,'Таблиця 1'!$B:$B,$A722,'Таблиця 1'!$I:$I,"Mi-24",'Таблиця 1'!$J:$J,"PC-80"))</f>
        <v/>
      </c>
      <c r="H722">
        <f>IF($A722="","",SUMIFS('Таблиця 1'!$K:$K,'Таблиця 1'!$B:$B,$A722,'Таблиця 1'!$I:$I,"Mi-8",'Таблиця 1'!$J:$J,"UAR-80")+SUMIFS('Таблиця 1'!$K:$K,'Таблиця 1'!$B:$B,$A722,'Таблиця 1'!$I:$I,"Mi-24",'Таблиця 1'!$J:$J,"UAR-80"))</f>
        <v/>
      </c>
      <c r="I722">
        <f>IF($A722="","",SUMIFS('Таблиця 1'!$K:$K,'Таблиця 1'!$B:$B,$A722,'Таблиця 1'!$I:$I,"Mi-8",'Таблиця 1'!$J:$J,"C-13")+SUMIFS('Таблиця 1'!$K:$K,'Таблиця 1'!$B:$B,$A722,'Таблиця 1'!$I:$I,"Mi-24",'Таблиця 1'!$J:$J,"C-13"))</f>
        <v/>
      </c>
      <c r="J722">
        <f>IF($A722="","",SUMIFS('Таблиця 1'!$K:$K,'Таблиця 1'!$B:$B,$A722,'Таблиця 1'!$I:$I,"Mi-8",'Таблиця 1'!$J:$J,"Hydra-70")+SUMIFS('Таблиця 1'!$K:$K,'Таблиця 1'!$B:$B,$A722,'Таблиця 1'!$I:$I,"Mi-24",'Таблиця 1'!$J:$J,"Hydra-70"))</f>
        <v/>
      </c>
      <c r="K722">
        <f>IF($A722="","",SUMIFS('Таблиця 1'!$K:$K,'Таблиця 1'!$B:$B,$A722,'Таблиця 1'!$I:$I,"Mi-8",'Таблиця 1'!$J:$J,"Thales-70")+SUMIFS('Таблиця 1'!$K:$K,'Таблиця 1'!$B:$B,$A722,'Таблиця 1'!$I:$I,"Mi-24",'Таблиця 1'!$J:$J,"Thales-70"))</f>
        <v/>
      </c>
      <c r="L722">
        <f>IF($A722="","",SUMIFS('Таблиця 1'!$K:$K,'Таблиця 1'!$B:$B,$A722,'Таблиця 1'!$I:$I,"Mi-8",'Таблиця 1'!$J:$J,"Thales-FZ")+SUMIFS('Таблиця 1'!$K:$K,'Таблиця 1'!$B:$B,$A722,'Таблиця 1'!$I:$I,"Mi-24",'Таблиця 1'!$J:$J,"Thales-FZ"))</f>
        <v/>
      </c>
      <c r="M722">
        <f>IF($A722="","",SUMIFS('Таблиця 1'!$K:$K,'Таблиця 1'!$B:$B,$A722,'Таблиця 1'!$I:$I,"Mi-8",'Таблиця 1'!$J:$J,"МК-40")+SUMIFS('Таблиця 1'!$K:$K,'Таблиця 1'!$B:$B,$A722,'Таблиця 1'!$I:$I,"Mi-24",'Таблиця 1'!$J:$J,"МК-40"))</f>
        <v/>
      </c>
      <c r="N722">
        <f>IF($A722="","",SUMIFS('Таблиця 1'!$K:$K,'Таблиця 1'!$B:$B,$A722,'Таблиця 1'!$I:$I,"Mi-8",'Таблиця 1'!$J:$J,"Zuni")+SUMIFS('Таблиця 1'!$K:$K,'Таблиця 1'!$B:$B,$A722,'Таблиця 1'!$I:$I,"Mi-24",'Таблиця 1'!$J:$J,"Zuni"))</f>
        <v/>
      </c>
      <c r="O722">
        <f>IF($A722="","",COUNTIFS('Таблиця 1'!$B:$B,$A722,'Таблиця 1'!$I:$I,"Mi-8",'Таблиця 1'!$L:$L,"Уражено")+COUNTIFS('Таблиця 1'!$B:$B,$A722,'Таблиця 1'!$I:$I,"Mi-24",'Таблиця 1'!$L:$L,"Уражено"))</f>
        <v/>
      </c>
      <c r="P722">
        <f>IF($A722="","",COUNTIFS('Таблиця 1'!$B:$B,$A722,'Таблиця 1'!$I:$I,"Mi-8",'Таблиця 1'!$L:$L,"НЕ уражено")+COUNTIFS('Таблиця 1'!$B:$B,$A722,'Таблиця 1'!$I:$I,"Mi-24",'Таблиця 1'!$L:$L,"НЕ уражено"))</f>
        <v/>
      </c>
    </row>
    <row r="723">
      <c r="A723" s="273">
        <f>IF(A722="","",IF(A722+1&gt;MAX('Таблиця 1'!$B:$B),"",A722+1))</f>
        <v/>
      </c>
      <c r="B723">
        <f>IF($A723="","",COUNTIFS('Таблиця 1'!$B:$B,$A723,'Таблиця 1'!$I:$I,"Mi-8")+COUNTIFS('Таблиця 1'!$B:$B,$A723,'Таблиця 1'!$I:$I,"Mi-24"))</f>
        <v/>
      </c>
      <c r="C723">
        <f>IF($A723="","",COUNTIFS('Таблиця 1'!$B:$B,$A723,'Таблиця 1'!$I:$I,"Mi-8"))</f>
        <v/>
      </c>
      <c r="D723">
        <f>IF($A723="","",COUNTIFS('Таблиця 1'!$B:$B,$A723,'Таблиця 1'!$I:$I,"Mi-24"))</f>
        <v/>
      </c>
      <c r="E723">
        <f>IF($A723="","",SUMIFS('Таблиця 1'!$K:$K,'Таблиця 1'!$B:$B,$A723,'Таблиця 1'!$I:$I,"Mi-8",'Таблиця 1'!$J:$J,"ARS-8")+SUMIFS('Таблиця 1'!$K:$K,'Таблиця 1'!$B:$B,$A723,'Таблиця 1'!$I:$I,"Mi-24",'Таблиця 1'!$J:$J,"ARS-8"))</f>
        <v/>
      </c>
      <c r="F723">
        <f>IF($A723="","",SUMIFS('Таблиця 1'!$K:$K,'Таблиця 1'!$B:$B,$A723,'Таблиця 1'!$I:$I,"Mi-8",'Таблиця 1'!$J:$J,"С-8 ком")+SUMIFS('Таблиця 1'!$K:$K,'Таблиця 1'!$B:$B,$A723,'Таблиця 1'!$I:$I,"Mi-24",'Таблиця 1'!$J:$J,"С-8 ком"))</f>
        <v/>
      </c>
      <c r="G723">
        <f>IF($A723="","",SUMIFS('Таблиця 1'!$K:$K,'Таблиця 1'!$B:$B,$A723,'Таблиця 1'!$I:$I,"Mi-8",'Таблиця 1'!$J:$J,"PC-80")+SUMIFS('Таблиця 1'!$K:$K,'Таблиця 1'!$B:$B,$A723,'Таблиця 1'!$I:$I,"Mi-24",'Таблиця 1'!$J:$J,"PC-80"))</f>
        <v/>
      </c>
      <c r="H723">
        <f>IF($A723="","",SUMIFS('Таблиця 1'!$K:$K,'Таблиця 1'!$B:$B,$A723,'Таблиця 1'!$I:$I,"Mi-8",'Таблиця 1'!$J:$J,"UAR-80")+SUMIFS('Таблиця 1'!$K:$K,'Таблиця 1'!$B:$B,$A723,'Таблиця 1'!$I:$I,"Mi-24",'Таблиця 1'!$J:$J,"UAR-80"))</f>
        <v/>
      </c>
      <c r="I723">
        <f>IF($A723="","",SUMIFS('Таблиця 1'!$K:$K,'Таблиця 1'!$B:$B,$A723,'Таблиця 1'!$I:$I,"Mi-8",'Таблиця 1'!$J:$J,"C-13")+SUMIFS('Таблиця 1'!$K:$K,'Таблиця 1'!$B:$B,$A723,'Таблиця 1'!$I:$I,"Mi-24",'Таблиця 1'!$J:$J,"C-13"))</f>
        <v/>
      </c>
      <c r="J723">
        <f>IF($A723="","",SUMIFS('Таблиця 1'!$K:$K,'Таблиця 1'!$B:$B,$A723,'Таблиця 1'!$I:$I,"Mi-8",'Таблиця 1'!$J:$J,"Hydra-70")+SUMIFS('Таблиця 1'!$K:$K,'Таблиця 1'!$B:$B,$A723,'Таблиця 1'!$I:$I,"Mi-24",'Таблиця 1'!$J:$J,"Hydra-70"))</f>
        <v/>
      </c>
      <c r="K723">
        <f>IF($A723="","",SUMIFS('Таблиця 1'!$K:$K,'Таблиця 1'!$B:$B,$A723,'Таблиця 1'!$I:$I,"Mi-8",'Таблиця 1'!$J:$J,"Thales-70")+SUMIFS('Таблиця 1'!$K:$K,'Таблиця 1'!$B:$B,$A723,'Таблиця 1'!$I:$I,"Mi-24",'Таблиця 1'!$J:$J,"Thales-70"))</f>
        <v/>
      </c>
      <c r="L723">
        <f>IF($A723="","",SUMIFS('Таблиця 1'!$K:$K,'Таблиця 1'!$B:$B,$A723,'Таблиця 1'!$I:$I,"Mi-8",'Таблиця 1'!$J:$J,"Thales-FZ")+SUMIFS('Таблиця 1'!$K:$K,'Таблиця 1'!$B:$B,$A723,'Таблиця 1'!$I:$I,"Mi-24",'Таблиця 1'!$J:$J,"Thales-FZ"))</f>
        <v/>
      </c>
      <c r="M723">
        <f>IF($A723="","",SUMIFS('Таблиця 1'!$K:$K,'Таблиця 1'!$B:$B,$A723,'Таблиця 1'!$I:$I,"Mi-8",'Таблиця 1'!$J:$J,"МК-40")+SUMIFS('Таблиця 1'!$K:$K,'Таблиця 1'!$B:$B,$A723,'Таблиця 1'!$I:$I,"Mi-24",'Таблиця 1'!$J:$J,"МК-40"))</f>
        <v/>
      </c>
      <c r="N723">
        <f>IF($A723="","",SUMIFS('Таблиця 1'!$K:$K,'Таблиця 1'!$B:$B,$A723,'Таблиця 1'!$I:$I,"Mi-8",'Таблиця 1'!$J:$J,"Zuni")+SUMIFS('Таблиця 1'!$K:$K,'Таблиця 1'!$B:$B,$A723,'Таблиця 1'!$I:$I,"Mi-24",'Таблиця 1'!$J:$J,"Zuni"))</f>
        <v/>
      </c>
      <c r="O723">
        <f>IF($A723="","",COUNTIFS('Таблиця 1'!$B:$B,$A723,'Таблиця 1'!$I:$I,"Mi-8",'Таблиця 1'!$L:$L,"Уражено")+COUNTIFS('Таблиця 1'!$B:$B,$A723,'Таблиця 1'!$I:$I,"Mi-24",'Таблиця 1'!$L:$L,"Уражено"))</f>
        <v/>
      </c>
      <c r="P723">
        <f>IF($A723="","",COUNTIFS('Таблиця 1'!$B:$B,$A723,'Таблиця 1'!$I:$I,"Mi-8",'Таблиця 1'!$L:$L,"НЕ уражено")+COUNTIFS('Таблиця 1'!$B:$B,$A723,'Таблиця 1'!$I:$I,"Mi-24",'Таблиця 1'!$L:$L,"НЕ уражено"))</f>
        <v/>
      </c>
    </row>
    <row r="724">
      <c r="A724" s="273">
        <f>IF(A723="","",IF(A723+1&gt;MAX('Таблиця 1'!$B:$B),"",A723+1))</f>
        <v/>
      </c>
      <c r="B724">
        <f>IF($A724="","",COUNTIFS('Таблиця 1'!$B:$B,$A724,'Таблиця 1'!$I:$I,"Mi-8")+COUNTIFS('Таблиця 1'!$B:$B,$A724,'Таблиця 1'!$I:$I,"Mi-24"))</f>
        <v/>
      </c>
      <c r="C724">
        <f>IF($A724="","",COUNTIFS('Таблиця 1'!$B:$B,$A724,'Таблиця 1'!$I:$I,"Mi-8"))</f>
        <v/>
      </c>
      <c r="D724">
        <f>IF($A724="","",COUNTIFS('Таблиця 1'!$B:$B,$A724,'Таблиця 1'!$I:$I,"Mi-24"))</f>
        <v/>
      </c>
      <c r="E724">
        <f>IF($A724="","",SUMIFS('Таблиця 1'!$K:$K,'Таблиця 1'!$B:$B,$A724,'Таблиця 1'!$I:$I,"Mi-8",'Таблиця 1'!$J:$J,"ARS-8")+SUMIFS('Таблиця 1'!$K:$K,'Таблиця 1'!$B:$B,$A724,'Таблиця 1'!$I:$I,"Mi-24",'Таблиця 1'!$J:$J,"ARS-8"))</f>
        <v/>
      </c>
      <c r="F724">
        <f>IF($A724="","",SUMIFS('Таблиця 1'!$K:$K,'Таблиця 1'!$B:$B,$A724,'Таблиця 1'!$I:$I,"Mi-8",'Таблиця 1'!$J:$J,"С-8 ком")+SUMIFS('Таблиця 1'!$K:$K,'Таблиця 1'!$B:$B,$A724,'Таблиця 1'!$I:$I,"Mi-24",'Таблиця 1'!$J:$J,"С-8 ком"))</f>
        <v/>
      </c>
      <c r="G724">
        <f>IF($A724="","",SUMIFS('Таблиця 1'!$K:$K,'Таблиця 1'!$B:$B,$A724,'Таблиця 1'!$I:$I,"Mi-8",'Таблиця 1'!$J:$J,"PC-80")+SUMIFS('Таблиця 1'!$K:$K,'Таблиця 1'!$B:$B,$A724,'Таблиця 1'!$I:$I,"Mi-24",'Таблиця 1'!$J:$J,"PC-80"))</f>
        <v/>
      </c>
      <c r="H724">
        <f>IF($A724="","",SUMIFS('Таблиця 1'!$K:$K,'Таблиця 1'!$B:$B,$A724,'Таблиця 1'!$I:$I,"Mi-8",'Таблиця 1'!$J:$J,"UAR-80")+SUMIFS('Таблиця 1'!$K:$K,'Таблиця 1'!$B:$B,$A724,'Таблиця 1'!$I:$I,"Mi-24",'Таблиця 1'!$J:$J,"UAR-80"))</f>
        <v/>
      </c>
      <c r="I724">
        <f>IF($A724="","",SUMIFS('Таблиця 1'!$K:$K,'Таблиця 1'!$B:$B,$A724,'Таблиця 1'!$I:$I,"Mi-8",'Таблиця 1'!$J:$J,"C-13")+SUMIFS('Таблиця 1'!$K:$K,'Таблиця 1'!$B:$B,$A724,'Таблиця 1'!$I:$I,"Mi-24",'Таблиця 1'!$J:$J,"C-13"))</f>
        <v/>
      </c>
      <c r="J724">
        <f>IF($A724="","",SUMIFS('Таблиця 1'!$K:$K,'Таблиця 1'!$B:$B,$A724,'Таблиця 1'!$I:$I,"Mi-8",'Таблиця 1'!$J:$J,"Hydra-70")+SUMIFS('Таблиця 1'!$K:$K,'Таблиця 1'!$B:$B,$A724,'Таблиця 1'!$I:$I,"Mi-24",'Таблиця 1'!$J:$J,"Hydra-70"))</f>
        <v/>
      </c>
      <c r="K724">
        <f>IF($A724="","",SUMIFS('Таблиця 1'!$K:$K,'Таблиця 1'!$B:$B,$A724,'Таблиця 1'!$I:$I,"Mi-8",'Таблиця 1'!$J:$J,"Thales-70")+SUMIFS('Таблиця 1'!$K:$K,'Таблиця 1'!$B:$B,$A724,'Таблиця 1'!$I:$I,"Mi-24",'Таблиця 1'!$J:$J,"Thales-70"))</f>
        <v/>
      </c>
      <c r="L724">
        <f>IF($A724="","",SUMIFS('Таблиця 1'!$K:$K,'Таблиця 1'!$B:$B,$A724,'Таблиця 1'!$I:$I,"Mi-8",'Таблиця 1'!$J:$J,"Thales-FZ")+SUMIFS('Таблиця 1'!$K:$K,'Таблиця 1'!$B:$B,$A724,'Таблиця 1'!$I:$I,"Mi-24",'Таблиця 1'!$J:$J,"Thales-FZ"))</f>
        <v/>
      </c>
      <c r="M724">
        <f>IF($A724="","",SUMIFS('Таблиця 1'!$K:$K,'Таблиця 1'!$B:$B,$A724,'Таблиця 1'!$I:$I,"Mi-8",'Таблиця 1'!$J:$J,"МК-40")+SUMIFS('Таблиця 1'!$K:$K,'Таблиця 1'!$B:$B,$A724,'Таблиця 1'!$I:$I,"Mi-24",'Таблиця 1'!$J:$J,"МК-40"))</f>
        <v/>
      </c>
      <c r="N724">
        <f>IF($A724="","",SUMIFS('Таблиця 1'!$K:$K,'Таблиця 1'!$B:$B,$A724,'Таблиця 1'!$I:$I,"Mi-8",'Таблиця 1'!$J:$J,"Zuni")+SUMIFS('Таблиця 1'!$K:$K,'Таблиця 1'!$B:$B,$A724,'Таблиця 1'!$I:$I,"Mi-24",'Таблиця 1'!$J:$J,"Zuni"))</f>
        <v/>
      </c>
      <c r="O724">
        <f>IF($A724="","",COUNTIFS('Таблиця 1'!$B:$B,$A724,'Таблиця 1'!$I:$I,"Mi-8",'Таблиця 1'!$L:$L,"Уражено")+COUNTIFS('Таблиця 1'!$B:$B,$A724,'Таблиця 1'!$I:$I,"Mi-24",'Таблиця 1'!$L:$L,"Уражено"))</f>
        <v/>
      </c>
      <c r="P724">
        <f>IF($A724="","",COUNTIFS('Таблиця 1'!$B:$B,$A724,'Таблиця 1'!$I:$I,"Mi-8",'Таблиця 1'!$L:$L,"НЕ уражено")+COUNTIFS('Таблиця 1'!$B:$B,$A724,'Таблиця 1'!$I:$I,"Mi-24",'Таблиця 1'!$L:$L,"НЕ уражено"))</f>
        <v/>
      </c>
    </row>
    <row r="725">
      <c r="A725" s="273">
        <f>IF(A724="","",IF(A724+1&gt;MAX('Таблиця 1'!$B:$B),"",A724+1))</f>
        <v/>
      </c>
      <c r="B725">
        <f>IF($A725="","",COUNTIFS('Таблиця 1'!$B:$B,$A725,'Таблиця 1'!$I:$I,"Mi-8")+COUNTIFS('Таблиця 1'!$B:$B,$A725,'Таблиця 1'!$I:$I,"Mi-24"))</f>
        <v/>
      </c>
      <c r="C725">
        <f>IF($A725="","",COUNTIFS('Таблиця 1'!$B:$B,$A725,'Таблиця 1'!$I:$I,"Mi-8"))</f>
        <v/>
      </c>
      <c r="D725">
        <f>IF($A725="","",COUNTIFS('Таблиця 1'!$B:$B,$A725,'Таблиця 1'!$I:$I,"Mi-24"))</f>
        <v/>
      </c>
      <c r="E725">
        <f>IF($A725="","",SUMIFS('Таблиця 1'!$K:$K,'Таблиця 1'!$B:$B,$A725,'Таблиця 1'!$I:$I,"Mi-8",'Таблиця 1'!$J:$J,"ARS-8")+SUMIFS('Таблиця 1'!$K:$K,'Таблиця 1'!$B:$B,$A725,'Таблиця 1'!$I:$I,"Mi-24",'Таблиця 1'!$J:$J,"ARS-8"))</f>
        <v/>
      </c>
      <c r="F725">
        <f>IF($A725="","",SUMIFS('Таблиця 1'!$K:$K,'Таблиця 1'!$B:$B,$A725,'Таблиця 1'!$I:$I,"Mi-8",'Таблиця 1'!$J:$J,"С-8 ком")+SUMIFS('Таблиця 1'!$K:$K,'Таблиця 1'!$B:$B,$A725,'Таблиця 1'!$I:$I,"Mi-24",'Таблиця 1'!$J:$J,"С-8 ком"))</f>
        <v/>
      </c>
      <c r="G725">
        <f>IF($A725="","",SUMIFS('Таблиця 1'!$K:$K,'Таблиця 1'!$B:$B,$A725,'Таблиця 1'!$I:$I,"Mi-8",'Таблиця 1'!$J:$J,"PC-80")+SUMIFS('Таблиця 1'!$K:$K,'Таблиця 1'!$B:$B,$A725,'Таблиця 1'!$I:$I,"Mi-24",'Таблиця 1'!$J:$J,"PC-80"))</f>
        <v/>
      </c>
      <c r="H725">
        <f>IF($A725="","",SUMIFS('Таблиця 1'!$K:$K,'Таблиця 1'!$B:$B,$A725,'Таблиця 1'!$I:$I,"Mi-8",'Таблиця 1'!$J:$J,"UAR-80")+SUMIFS('Таблиця 1'!$K:$K,'Таблиця 1'!$B:$B,$A725,'Таблиця 1'!$I:$I,"Mi-24",'Таблиця 1'!$J:$J,"UAR-80"))</f>
        <v/>
      </c>
      <c r="I725">
        <f>IF($A725="","",SUMIFS('Таблиця 1'!$K:$K,'Таблиця 1'!$B:$B,$A725,'Таблиця 1'!$I:$I,"Mi-8",'Таблиця 1'!$J:$J,"C-13")+SUMIFS('Таблиця 1'!$K:$K,'Таблиця 1'!$B:$B,$A725,'Таблиця 1'!$I:$I,"Mi-24",'Таблиця 1'!$J:$J,"C-13"))</f>
        <v/>
      </c>
      <c r="J725">
        <f>IF($A725="","",SUMIFS('Таблиця 1'!$K:$K,'Таблиця 1'!$B:$B,$A725,'Таблиця 1'!$I:$I,"Mi-8",'Таблиця 1'!$J:$J,"Hydra-70")+SUMIFS('Таблиця 1'!$K:$K,'Таблиця 1'!$B:$B,$A725,'Таблиця 1'!$I:$I,"Mi-24",'Таблиця 1'!$J:$J,"Hydra-70"))</f>
        <v/>
      </c>
      <c r="K725">
        <f>IF($A725="","",SUMIFS('Таблиця 1'!$K:$K,'Таблиця 1'!$B:$B,$A725,'Таблиця 1'!$I:$I,"Mi-8",'Таблиця 1'!$J:$J,"Thales-70")+SUMIFS('Таблиця 1'!$K:$K,'Таблиця 1'!$B:$B,$A725,'Таблиця 1'!$I:$I,"Mi-24",'Таблиця 1'!$J:$J,"Thales-70"))</f>
        <v/>
      </c>
      <c r="L725">
        <f>IF($A725="","",SUMIFS('Таблиця 1'!$K:$K,'Таблиця 1'!$B:$B,$A725,'Таблиця 1'!$I:$I,"Mi-8",'Таблиця 1'!$J:$J,"Thales-FZ")+SUMIFS('Таблиця 1'!$K:$K,'Таблиця 1'!$B:$B,$A725,'Таблиця 1'!$I:$I,"Mi-24",'Таблиця 1'!$J:$J,"Thales-FZ"))</f>
        <v/>
      </c>
      <c r="M725">
        <f>IF($A725="","",SUMIFS('Таблиця 1'!$K:$K,'Таблиця 1'!$B:$B,$A725,'Таблиця 1'!$I:$I,"Mi-8",'Таблиця 1'!$J:$J,"МК-40")+SUMIFS('Таблиця 1'!$K:$K,'Таблиця 1'!$B:$B,$A725,'Таблиця 1'!$I:$I,"Mi-24",'Таблиця 1'!$J:$J,"МК-40"))</f>
        <v/>
      </c>
      <c r="N725">
        <f>IF($A725="","",SUMIFS('Таблиця 1'!$K:$K,'Таблиця 1'!$B:$B,$A725,'Таблиця 1'!$I:$I,"Mi-8",'Таблиця 1'!$J:$J,"Zuni")+SUMIFS('Таблиця 1'!$K:$K,'Таблиця 1'!$B:$B,$A725,'Таблиця 1'!$I:$I,"Mi-24",'Таблиця 1'!$J:$J,"Zuni"))</f>
        <v/>
      </c>
      <c r="O725">
        <f>IF($A725="","",COUNTIFS('Таблиця 1'!$B:$B,$A725,'Таблиця 1'!$I:$I,"Mi-8",'Таблиця 1'!$L:$L,"Уражено")+COUNTIFS('Таблиця 1'!$B:$B,$A725,'Таблиця 1'!$I:$I,"Mi-24",'Таблиця 1'!$L:$L,"Уражено"))</f>
        <v/>
      </c>
      <c r="P725">
        <f>IF($A725="","",COUNTIFS('Таблиця 1'!$B:$B,$A725,'Таблиця 1'!$I:$I,"Mi-8",'Таблиця 1'!$L:$L,"НЕ уражено")+COUNTIFS('Таблиця 1'!$B:$B,$A725,'Таблиця 1'!$I:$I,"Mi-24",'Таблиця 1'!$L:$L,"НЕ уражено"))</f>
        <v/>
      </c>
    </row>
    <row r="726">
      <c r="A726" s="273">
        <f>IF(A725="","",IF(A725+1&gt;MAX('Таблиця 1'!$B:$B),"",A725+1))</f>
        <v/>
      </c>
      <c r="B726">
        <f>IF($A726="","",COUNTIFS('Таблиця 1'!$B:$B,$A726,'Таблиця 1'!$I:$I,"Mi-8")+COUNTIFS('Таблиця 1'!$B:$B,$A726,'Таблиця 1'!$I:$I,"Mi-24"))</f>
        <v/>
      </c>
      <c r="C726">
        <f>IF($A726="","",COUNTIFS('Таблиця 1'!$B:$B,$A726,'Таблиця 1'!$I:$I,"Mi-8"))</f>
        <v/>
      </c>
      <c r="D726">
        <f>IF($A726="","",COUNTIFS('Таблиця 1'!$B:$B,$A726,'Таблиця 1'!$I:$I,"Mi-24"))</f>
        <v/>
      </c>
      <c r="E726">
        <f>IF($A726="","",SUMIFS('Таблиця 1'!$K:$K,'Таблиця 1'!$B:$B,$A726,'Таблиця 1'!$I:$I,"Mi-8",'Таблиця 1'!$J:$J,"ARS-8")+SUMIFS('Таблиця 1'!$K:$K,'Таблиця 1'!$B:$B,$A726,'Таблиця 1'!$I:$I,"Mi-24",'Таблиця 1'!$J:$J,"ARS-8"))</f>
        <v/>
      </c>
      <c r="F726">
        <f>IF($A726="","",SUMIFS('Таблиця 1'!$K:$K,'Таблиця 1'!$B:$B,$A726,'Таблиця 1'!$I:$I,"Mi-8",'Таблиця 1'!$J:$J,"С-8 ком")+SUMIFS('Таблиця 1'!$K:$K,'Таблиця 1'!$B:$B,$A726,'Таблиця 1'!$I:$I,"Mi-24",'Таблиця 1'!$J:$J,"С-8 ком"))</f>
        <v/>
      </c>
      <c r="G726">
        <f>IF($A726="","",SUMIFS('Таблиця 1'!$K:$K,'Таблиця 1'!$B:$B,$A726,'Таблиця 1'!$I:$I,"Mi-8",'Таблиця 1'!$J:$J,"PC-80")+SUMIFS('Таблиця 1'!$K:$K,'Таблиця 1'!$B:$B,$A726,'Таблиця 1'!$I:$I,"Mi-24",'Таблиця 1'!$J:$J,"PC-80"))</f>
        <v/>
      </c>
      <c r="H726">
        <f>IF($A726="","",SUMIFS('Таблиця 1'!$K:$K,'Таблиця 1'!$B:$B,$A726,'Таблиця 1'!$I:$I,"Mi-8",'Таблиця 1'!$J:$J,"UAR-80")+SUMIFS('Таблиця 1'!$K:$K,'Таблиця 1'!$B:$B,$A726,'Таблиця 1'!$I:$I,"Mi-24",'Таблиця 1'!$J:$J,"UAR-80"))</f>
        <v/>
      </c>
      <c r="I726">
        <f>IF($A726="","",SUMIFS('Таблиця 1'!$K:$K,'Таблиця 1'!$B:$B,$A726,'Таблиця 1'!$I:$I,"Mi-8",'Таблиця 1'!$J:$J,"C-13")+SUMIFS('Таблиця 1'!$K:$K,'Таблиця 1'!$B:$B,$A726,'Таблиця 1'!$I:$I,"Mi-24",'Таблиця 1'!$J:$J,"C-13"))</f>
        <v/>
      </c>
      <c r="J726">
        <f>IF($A726="","",SUMIFS('Таблиця 1'!$K:$K,'Таблиця 1'!$B:$B,$A726,'Таблиця 1'!$I:$I,"Mi-8",'Таблиця 1'!$J:$J,"Hydra-70")+SUMIFS('Таблиця 1'!$K:$K,'Таблиця 1'!$B:$B,$A726,'Таблиця 1'!$I:$I,"Mi-24",'Таблиця 1'!$J:$J,"Hydra-70"))</f>
        <v/>
      </c>
      <c r="K726">
        <f>IF($A726="","",SUMIFS('Таблиця 1'!$K:$K,'Таблиця 1'!$B:$B,$A726,'Таблиця 1'!$I:$I,"Mi-8",'Таблиця 1'!$J:$J,"Thales-70")+SUMIFS('Таблиця 1'!$K:$K,'Таблиця 1'!$B:$B,$A726,'Таблиця 1'!$I:$I,"Mi-24",'Таблиця 1'!$J:$J,"Thales-70"))</f>
        <v/>
      </c>
      <c r="L726">
        <f>IF($A726="","",SUMIFS('Таблиця 1'!$K:$K,'Таблиця 1'!$B:$B,$A726,'Таблиця 1'!$I:$I,"Mi-8",'Таблиця 1'!$J:$J,"Thales-FZ")+SUMIFS('Таблиця 1'!$K:$K,'Таблиця 1'!$B:$B,$A726,'Таблиця 1'!$I:$I,"Mi-24",'Таблиця 1'!$J:$J,"Thales-FZ"))</f>
        <v/>
      </c>
      <c r="M726">
        <f>IF($A726="","",SUMIFS('Таблиця 1'!$K:$K,'Таблиця 1'!$B:$B,$A726,'Таблиця 1'!$I:$I,"Mi-8",'Таблиця 1'!$J:$J,"МК-40")+SUMIFS('Таблиця 1'!$K:$K,'Таблиця 1'!$B:$B,$A726,'Таблиця 1'!$I:$I,"Mi-24",'Таблиця 1'!$J:$J,"МК-40"))</f>
        <v/>
      </c>
      <c r="N726">
        <f>IF($A726="","",SUMIFS('Таблиця 1'!$K:$K,'Таблиця 1'!$B:$B,$A726,'Таблиця 1'!$I:$I,"Mi-8",'Таблиця 1'!$J:$J,"Zuni")+SUMIFS('Таблиця 1'!$K:$K,'Таблиця 1'!$B:$B,$A726,'Таблиця 1'!$I:$I,"Mi-24",'Таблиця 1'!$J:$J,"Zuni"))</f>
        <v/>
      </c>
      <c r="O726">
        <f>IF($A726="","",COUNTIFS('Таблиця 1'!$B:$B,$A726,'Таблиця 1'!$I:$I,"Mi-8",'Таблиця 1'!$L:$L,"Уражено")+COUNTIFS('Таблиця 1'!$B:$B,$A726,'Таблиця 1'!$I:$I,"Mi-24",'Таблиця 1'!$L:$L,"Уражено"))</f>
        <v/>
      </c>
      <c r="P726">
        <f>IF($A726="","",COUNTIFS('Таблиця 1'!$B:$B,$A726,'Таблиця 1'!$I:$I,"Mi-8",'Таблиця 1'!$L:$L,"НЕ уражено")+COUNTIFS('Таблиця 1'!$B:$B,$A726,'Таблиця 1'!$I:$I,"Mi-24",'Таблиця 1'!$L:$L,"НЕ уражено"))</f>
        <v/>
      </c>
    </row>
    <row r="727">
      <c r="A727" s="273">
        <f>IF(A726="","",IF(A726+1&gt;MAX('Таблиця 1'!$B:$B),"",A726+1))</f>
        <v/>
      </c>
      <c r="B727">
        <f>IF($A727="","",COUNTIFS('Таблиця 1'!$B:$B,$A727,'Таблиця 1'!$I:$I,"Mi-8")+COUNTIFS('Таблиця 1'!$B:$B,$A727,'Таблиця 1'!$I:$I,"Mi-24"))</f>
        <v/>
      </c>
      <c r="C727">
        <f>IF($A727="","",COUNTIFS('Таблиця 1'!$B:$B,$A727,'Таблиця 1'!$I:$I,"Mi-8"))</f>
        <v/>
      </c>
      <c r="D727">
        <f>IF($A727="","",COUNTIFS('Таблиця 1'!$B:$B,$A727,'Таблиця 1'!$I:$I,"Mi-24"))</f>
        <v/>
      </c>
      <c r="E727">
        <f>IF($A727="","",SUMIFS('Таблиця 1'!$K:$K,'Таблиця 1'!$B:$B,$A727,'Таблиця 1'!$I:$I,"Mi-8",'Таблиця 1'!$J:$J,"ARS-8")+SUMIFS('Таблиця 1'!$K:$K,'Таблиця 1'!$B:$B,$A727,'Таблиця 1'!$I:$I,"Mi-24",'Таблиця 1'!$J:$J,"ARS-8"))</f>
        <v/>
      </c>
      <c r="F727">
        <f>IF($A727="","",SUMIFS('Таблиця 1'!$K:$K,'Таблиця 1'!$B:$B,$A727,'Таблиця 1'!$I:$I,"Mi-8",'Таблиця 1'!$J:$J,"С-8 ком")+SUMIFS('Таблиця 1'!$K:$K,'Таблиця 1'!$B:$B,$A727,'Таблиця 1'!$I:$I,"Mi-24",'Таблиця 1'!$J:$J,"С-8 ком"))</f>
        <v/>
      </c>
      <c r="G727">
        <f>IF($A727="","",SUMIFS('Таблиця 1'!$K:$K,'Таблиця 1'!$B:$B,$A727,'Таблиця 1'!$I:$I,"Mi-8",'Таблиця 1'!$J:$J,"PC-80")+SUMIFS('Таблиця 1'!$K:$K,'Таблиця 1'!$B:$B,$A727,'Таблиця 1'!$I:$I,"Mi-24",'Таблиця 1'!$J:$J,"PC-80"))</f>
        <v/>
      </c>
      <c r="H727">
        <f>IF($A727="","",SUMIFS('Таблиця 1'!$K:$K,'Таблиця 1'!$B:$B,$A727,'Таблиця 1'!$I:$I,"Mi-8",'Таблиця 1'!$J:$J,"UAR-80")+SUMIFS('Таблиця 1'!$K:$K,'Таблиця 1'!$B:$B,$A727,'Таблиця 1'!$I:$I,"Mi-24",'Таблиця 1'!$J:$J,"UAR-80"))</f>
        <v/>
      </c>
      <c r="I727">
        <f>IF($A727="","",SUMIFS('Таблиця 1'!$K:$K,'Таблиця 1'!$B:$B,$A727,'Таблиця 1'!$I:$I,"Mi-8",'Таблиця 1'!$J:$J,"C-13")+SUMIFS('Таблиця 1'!$K:$K,'Таблиця 1'!$B:$B,$A727,'Таблиця 1'!$I:$I,"Mi-24",'Таблиця 1'!$J:$J,"C-13"))</f>
        <v/>
      </c>
      <c r="J727">
        <f>IF($A727="","",SUMIFS('Таблиця 1'!$K:$K,'Таблиця 1'!$B:$B,$A727,'Таблиця 1'!$I:$I,"Mi-8",'Таблиця 1'!$J:$J,"Hydra-70")+SUMIFS('Таблиця 1'!$K:$K,'Таблиця 1'!$B:$B,$A727,'Таблиця 1'!$I:$I,"Mi-24",'Таблиця 1'!$J:$J,"Hydra-70"))</f>
        <v/>
      </c>
      <c r="K727">
        <f>IF($A727="","",SUMIFS('Таблиця 1'!$K:$K,'Таблиця 1'!$B:$B,$A727,'Таблиця 1'!$I:$I,"Mi-8",'Таблиця 1'!$J:$J,"Thales-70")+SUMIFS('Таблиця 1'!$K:$K,'Таблиця 1'!$B:$B,$A727,'Таблиця 1'!$I:$I,"Mi-24",'Таблиця 1'!$J:$J,"Thales-70"))</f>
        <v/>
      </c>
      <c r="L727">
        <f>IF($A727="","",SUMIFS('Таблиця 1'!$K:$K,'Таблиця 1'!$B:$B,$A727,'Таблиця 1'!$I:$I,"Mi-8",'Таблиця 1'!$J:$J,"Thales-FZ")+SUMIFS('Таблиця 1'!$K:$K,'Таблиця 1'!$B:$B,$A727,'Таблиця 1'!$I:$I,"Mi-24",'Таблиця 1'!$J:$J,"Thales-FZ"))</f>
        <v/>
      </c>
      <c r="M727">
        <f>IF($A727="","",SUMIFS('Таблиця 1'!$K:$K,'Таблиця 1'!$B:$B,$A727,'Таблиця 1'!$I:$I,"Mi-8",'Таблиця 1'!$J:$J,"МК-40")+SUMIFS('Таблиця 1'!$K:$K,'Таблиця 1'!$B:$B,$A727,'Таблиця 1'!$I:$I,"Mi-24",'Таблиця 1'!$J:$J,"МК-40"))</f>
        <v/>
      </c>
      <c r="N727">
        <f>IF($A727="","",SUMIFS('Таблиця 1'!$K:$K,'Таблиця 1'!$B:$B,$A727,'Таблиця 1'!$I:$I,"Mi-8",'Таблиця 1'!$J:$J,"Zuni")+SUMIFS('Таблиця 1'!$K:$K,'Таблиця 1'!$B:$B,$A727,'Таблиця 1'!$I:$I,"Mi-24",'Таблиця 1'!$J:$J,"Zuni"))</f>
        <v/>
      </c>
      <c r="O727">
        <f>IF($A727="","",COUNTIFS('Таблиця 1'!$B:$B,$A727,'Таблиця 1'!$I:$I,"Mi-8",'Таблиця 1'!$L:$L,"Уражено")+COUNTIFS('Таблиця 1'!$B:$B,$A727,'Таблиця 1'!$I:$I,"Mi-24",'Таблиця 1'!$L:$L,"Уражено"))</f>
        <v/>
      </c>
      <c r="P727">
        <f>IF($A727="","",COUNTIFS('Таблиця 1'!$B:$B,$A727,'Таблиця 1'!$I:$I,"Mi-8",'Таблиця 1'!$L:$L,"НЕ уражено")+COUNTIFS('Таблиця 1'!$B:$B,$A727,'Таблиця 1'!$I:$I,"Mi-24",'Таблиця 1'!$L:$L,"НЕ уражено"))</f>
        <v/>
      </c>
    </row>
    <row r="728">
      <c r="A728" s="273">
        <f>IF(A727="","",IF(A727+1&gt;MAX('Таблиця 1'!$B:$B),"",A727+1))</f>
        <v/>
      </c>
      <c r="B728">
        <f>IF($A728="","",COUNTIFS('Таблиця 1'!$B:$B,$A728,'Таблиця 1'!$I:$I,"Mi-8")+COUNTIFS('Таблиця 1'!$B:$B,$A728,'Таблиця 1'!$I:$I,"Mi-24"))</f>
        <v/>
      </c>
      <c r="C728">
        <f>IF($A728="","",COUNTIFS('Таблиця 1'!$B:$B,$A728,'Таблиця 1'!$I:$I,"Mi-8"))</f>
        <v/>
      </c>
      <c r="D728">
        <f>IF($A728="","",COUNTIFS('Таблиця 1'!$B:$B,$A728,'Таблиця 1'!$I:$I,"Mi-24"))</f>
        <v/>
      </c>
      <c r="E728">
        <f>IF($A728="","",SUMIFS('Таблиця 1'!$K:$K,'Таблиця 1'!$B:$B,$A728,'Таблиця 1'!$I:$I,"Mi-8",'Таблиця 1'!$J:$J,"ARS-8")+SUMIFS('Таблиця 1'!$K:$K,'Таблиця 1'!$B:$B,$A728,'Таблиця 1'!$I:$I,"Mi-24",'Таблиця 1'!$J:$J,"ARS-8"))</f>
        <v/>
      </c>
      <c r="F728">
        <f>IF($A728="","",SUMIFS('Таблиця 1'!$K:$K,'Таблиця 1'!$B:$B,$A728,'Таблиця 1'!$I:$I,"Mi-8",'Таблиця 1'!$J:$J,"С-8 ком")+SUMIFS('Таблиця 1'!$K:$K,'Таблиця 1'!$B:$B,$A728,'Таблиця 1'!$I:$I,"Mi-24",'Таблиця 1'!$J:$J,"С-8 ком"))</f>
        <v/>
      </c>
      <c r="G728">
        <f>IF($A728="","",SUMIFS('Таблиця 1'!$K:$K,'Таблиця 1'!$B:$B,$A728,'Таблиця 1'!$I:$I,"Mi-8",'Таблиця 1'!$J:$J,"PC-80")+SUMIFS('Таблиця 1'!$K:$K,'Таблиця 1'!$B:$B,$A728,'Таблиця 1'!$I:$I,"Mi-24",'Таблиця 1'!$J:$J,"PC-80"))</f>
        <v/>
      </c>
      <c r="H728">
        <f>IF($A728="","",SUMIFS('Таблиця 1'!$K:$K,'Таблиця 1'!$B:$B,$A728,'Таблиця 1'!$I:$I,"Mi-8",'Таблиця 1'!$J:$J,"UAR-80")+SUMIFS('Таблиця 1'!$K:$K,'Таблиця 1'!$B:$B,$A728,'Таблиця 1'!$I:$I,"Mi-24",'Таблиця 1'!$J:$J,"UAR-80"))</f>
        <v/>
      </c>
      <c r="I728">
        <f>IF($A728="","",SUMIFS('Таблиця 1'!$K:$K,'Таблиця 1'!$B:$B,$A728,'Таблиця 1'!$I:$I,"Mi-8",'Таблиця 1'!$J:$J,"C-13")+SUMIFS('Таблиця 1'!$K:$K,'Таблиця 1'!$B:$B,$A728,'Таблиця 1'!$I:$I,"Mi-24",'Таблиця 1'!$J:$J,"C-13"))</f>
        <v/>
      </c>
      <c r="J728">
        <f>IF($A728="","",SUMIFS('Таблиця 1'!$K:$K,'Таблиця 1'!$B:$B,$A728,'Таблиця 1'!$I:$I,"Mi-8",'Таблиця 1'!$J:$J,"Hydra-70")+SUMIFS('Таблиця 1'!$K:$K,'Таблиця 1'!$B:$B,$A728,'Таблиця 1'!$I:$I,"Mi-24",'Таблиця 1'!$J:$J,"Hydra-70"))</f>
        <v/>
      </c>
      <c r="K728">
        <f>IF($A728="","",SUMIFS('Таблиця 1'!$K:$K,'Таблиця 1'!$B:$B,$A728,'Таблиця 1'!$I:$I,"Mi-8",'Таблиця 1'!$J:$J,"Thales-70")+SUMIFS('Таблиця 1'!$K:$K,'Таблиця 1'!$B:$B,$A728,'Таблиця 1'!$I:$I,"Mi-24",'Таблиця 1'!$J:$J,"Thales-70"))</f>
        <v/>
      </c>
      <c r="L728">
        <f>IF($A728="","",SUMIFS('Таблиця 1'!$K:$K,'Таблиця 1'!$B:$B,$A728,'Таблиця 1'!$I:$I,"Mi-8",'Таблиця 1'!$J:$J,"Thales-FZ")+SUMIFS('Таблиця 1'!$K:$K,'Таблиця 1'!$B:$B,$A728,'Таблиця 1'!$I:$I,"Mi-24",'Таблиця 1'!$J:$J,"Thales-FZ"))</f>
        <v/>
      </c>
      <c r="M728">
        <f>IF($A728="","",SUMIFS('Таблиця 1'!$K:$K,'Таблиця 1'!$B:$B,$A728,'Таблиця 1'!$I:$I,"Mi-8",'Таблиця 1'!$J:$J,"МК-40")+SUMIFS('Таблиця 1'!$K:$K,'Таблиця 1'!$B:$B,$A728,'Таблиця 1'!$I:$I,"Mi-24",'Таблиця 1'!$J:$J,"МК-40"))</f>
        <v/>
      </c>
      <c r="N728">
        <f>IF($A728="","",SUMIFS('Таблиця 1'!$K:$K,'Таблиця 1'!$B:$B,$A728,'Таблиця 1'!$I:$I,"Mi-8",'Таблиця 1'!$J:$J,"Zuni")+SUMIFS('Таблиця 1'!$K:$K,'Таблиця 1'!$B:$B,$A728,'Таблиця 1'!$I:$I,"Mi-24",'Таблиця 1'!$J:$J,"Zuni"))</f>
        <v/>
      </c>
      <c r="O728">
        <f>IF($A728="","",COUNTIFS('Таблиця 1'!$B:$B,$A728,'Таблиця 1'!$I:$I,"Mi-8",'Таблиця 1'!$L:$L,"Уражено")+COUNTIFS('Таблиця 1'!$B:$B,$A728,'Таблиця 1'!$I:$I,"Mi-24",'Таблиця 1'!$L:$L,"Уражено"))</f>
        <v/>
      </c>
      <c r="P728">
        <f>IF($A728="","",COUNTIFS('Таблиця 1'!$B:$B,$A728,'Таблиця 1'!$I:$I,"Mi-8",'Таблиця 1'!$L:$L,"НЕ уражено")+COUNTIFS('Таблиця 1'!$B:$B,$A728,'Таблиця 1'!$I:$I,"Mi-24",'Таблиця 1'!$L:$L,"НЕ уражено"))</f>
        <v/>
      </c>
    </row>
    <row r="729">
      <c r="A729" s="273">
        <f>IF(A728="","",IF(A728+1&gt;MAX('Таблиця 1'!$B:$B),"",A728+1))</f>
        <v/>
      </c>
      <c r="B729">
        <f>IF($A729="","",COUNTIFS('Таблиця 1'!$B:$B,$A729,'Таблиця 1'!$I:$I,"Mi-8")+COUNTIFS('Таблиця 1'!$B:$B,$A729,'Таблиця 1'!$I:$I,"Mi-24"))</f>
        <v/>
      </c>
      <c r="C729">
        <f>IF($A729="","",COUNTIFS('Таблиця 1'!$B:$B,$A729,'Таблиця 1'!$I:$I,"Mi-8"))</f>
        <v/>
      </c>
      <c r="D729">
        <f>IF($A729="","",COUNTIFS('Таблиця 1'!$B:$B,$A729,'Таблиця 1'!$I:$I,"Mi-24"))</f>
        <v/>
      </c>
      <c r="E729">
        <f>IF($A729="","",SUMIFS('Таблиця 1'!$K:$K,'Таблиця 1'!$B:$B,$A729,'Таблиця 1'!$I:$I,"Mi-8",'Таблиця 1'!$J:$J,"ARS-8")+SUMIFS('Таблиця 1'!$K:$K,'Таблиця 1'!$B:$B,$A729,'Таблиця 1'!$I:$I,"Mi-24",'Таблиця 1'!$J:$J,"ARS-8"))</f>
        <v/>
      </c>
      <c r="F729">
        <f>IF($A729="","",SUMIFS('Таблиця 1'!$K:$K,'Таблиця 1'!$B:$B,$A729,'Таблиця 1'!$I:$I,"Mi-8",'Таблиця 1'!$J:$J,"С-8 ком")+SUMIFS('Таблиця 1'!$K:$K,'Таблиця 1'!$B:$B,$A729,'Таблиця 1'!$I:$I,"Mi-24",'Таблиця 1'!$J:$J,"С-8 ком"))</f>
        <v/>
      </c>
      <c r="G729">
        <f>IF($A729="","",SUMIFS('Таблиця 1'!$K:$K,'Таблиця 1'!$B:$B,$A729,'Таблиця 1'!$I:$I,"Mi-8",'Таблиця 1'!$J:$J,"PC-80")+SUMIFS('Таблиця 1'!$K:$K,'Таблиця 1'!$B:$B,$A729,'Таблиця 1'!$I:$I,"Mi-24",'Таблиця 1'!$J:$J,"PC-80"))</f>
        <v/>
      </c>
      <c r="H729">
        <f>IF($A729="","",SUMIFS('Таблиця 1'!$K:$K,'Таблиця 1'!$B:$B,$A729,'Таблиця 1'!$I:$I,"Mi-8",'Таблиця 1'!$J:$J,"UAR-80")+SUMIFS('Таблиця 1'!$K:$K,'Таблиця 1'!$B:$B,$A729,'Таблиця 1'!$I:$I,"Mi-24",'Таблиця 1'!$J:$J,"UAR-80"))</f>
        <v/>
      </c>
      <c r="I729">
        <f>IF($A729="","",SUMIFS('Таблиця 1'!$K:$K,'Таблиця 1'!$B:$B,$A729,'Таблиця 1'!$I:$I,"Mi-8",'Таблиця 1'!$J:$J,"C-13")+SUMIFS('Таблиця 1'!$K:$K,'Таблиця 1'!$B:$B,$A729,'Таблиця 1'!$I:$I,"Mi-24",'Таблиця 1'!$J:$J,"C-13"))</f>
        <v/>
      </c>
      <c r="J729">
        <f>IF($A729="","",SUMIFS('Таблиця 1'!$K:$K,'Таблиця 1'!$B:$B,$A729,'Таблиця 1'!$I:$I,"Mi-8",'Таблиця 1'!$J:$J,"Hydra-70")+SUMIFS('Таблиця 1'!$K:$K,'Таблиця 1'!$B:$B,$A729,'Таблиця 1'!$I:$I,"Mi-24",'Таблиця 1'!$J:$J,"Hydra-70"))</f>
        <v/>
      </c>
      <c r="K729">
        <f>IF($A729="","",SUMIFS('Таблиця 1'!$K:$K,'Таблиця 1'!$B:$B,$A729,'Таблиця 1'!$I:$I,"Mi-8",'Таблиця 1'!$J:$J,"Thales-70")+SUMIFS('Таблиця 1'!$K:$K,'Таблиця 1'!$B:$B,$A729,'Таблиця 1'!$I:$I,"Mi-24",'Таблиця 1'!$J:$J,"Thales-70"))</f>
        <v/>
      </c>
      <c r="L729">
        <f>IF($A729="","",SUMIFS('Таблиця 1'!$K:$K,'Таблиця 1'!$B:$B,$A729,'Таблиця 1'!$I:$I,"Mi-8",'Таблиця 1'!$J:$J,"Thales-FZ")+SUMIFS('Таблиця 1'!$K:$K,'Таблиця 1'!$B:$B,$A729,'Таблиця 1'!$I:$I,"Mi-24",'Таблиця 1'!$J:$J,"Thales-FZ"))</f>
        <v/>
      </c>
      <c r="M729">
        <f>IF($A729="","",SUMIFS('Таблиця 1'!$K:$K,'Таблиця 1'!$B:$B,$A729,'Таблиця 1'!$I:$I,"Mi-8",'Таблиця 1'!$J:$J,"МК-40")+SUMIFS('Таблиця 1'!$K:$K,'Таблиця 1'!$B:$B,$A729,'Таблиця 1'!$I:$I,"Mi-24",'Таблиця 1'!$J:$J,"МК-40"))</f>
        <v/>
      </c>
      <c r="N729">
        <f>IF($A729="","",SUMIFS('Таблиця 1'!$K:$K,'Таблиця 1'!$B:$B,$A729,'Таблиця 1'!$I:$I,"Mi-8",'Таблиця 1'!$J:$J,"Zuni")+SUMIFS('Таблиця 1'!$K:$K,'Таблиця 1'!$B:$B,$A729,'Таблиця 1'!$I:$I,"Mi-24",'Таблиця 1'!$J:$J,"Zuni"))</f>
        <v/>
      </c>
      <c r="O729">
        <f>IF($A729="","",COUNTIFS('Таблиця 1'!$B:$B,$A729,'Таблиця 1'!$I:$I,"Mi-8",'Таблиця 1'!$L:$L,"Уражено")+COUNTIFS('Таблиця 1'!$B:$B,$A729,'Таблиця 1'!$I:$I,"Mi-24",'Таблиця 1'!$L:$L,"Уражено"))</f>
        <v/>
      </c>
      <c r="P729">
        <f>IF($A729="","",COUNTIFS('Таблиця 1'!$B:$B,$A729,'Таблиця 1'!$I:$I,"Mi-8",'Таблиця 1'!$L:$L,"НЕ уражено")+COUNTIFS('Таблиця 1'!$B:$B,$A729,'Таблиця 1'!$I:$I,"Mi-24",'Таблиця 1'!$L:$L,"НЕ уражено"))</f>
        <v/>
      </c>
    </row>
    <row r="730">
      <c r="A730" s="273">
        <f>IF(A729="","",IF(A729+1&gt;MAX('Таблиця 1'!$B:$B),"",A729+1))</f>
        <v/>
      </c>
      <c r="B730">
        <f>IF($A730="","",COUNTIFS('Таблиця 1'!$B:$B,$A730,'Таблиця 1'!$I:$I,"Mi-8")+COUNTIFS('Таблиця 1'!$B:$B,$A730,'Таблиця 1'!$I:$I,"Mi-24"))</f>
        <v/>
      </c>
      <c r="C730">
        <f>IF($A730="","",COUNTIFS('Таблиця 1'!$B:$B,$A730,'Таблиця 1'!$I:$I,"Mi-8"))</f>
        <v/>
      </c>
      <c r="D730">
        <f>IF($A730="","",COUNTIFS('Таблиця 1'!$B:$B,$A730,'Таблиця 1'!$I:$I,"Mi-24"))</f>
        <v/>
      </c>
      <c r="E730">
        <f>IF($A730="","",SUMIFS('Таблиця 1'!$K:$K,'Таблиця 1'!$B:$B,$A730,'Таблиця 1'!$I:$I,"Mi-8",'Таблиця 1'!$J:$J,"ARS-8")+SUMIFS('Таблиця 1'!$K:$K,'Таблиця 1'!$B:$B,$A730,'Таблиця 1'!$I:$I,"Mi-24",'Таблиця 1'!$J:$J,"ARS-8"))</f>
        <v/>
      </c>
      <c r="F730">
        <f>IF($A730="","",SUMIFS('Таблиця 1'!$K:$K,'Таблиця 1'!$B:$B,$A730,'Таблиця 1'!$I:$I,"Mi-8",'Таблиця 1'!$J:$J,"С-8 ком")+SUMIFS('Таблиця 1'!$K:$K,'Таблиця 1'!$B:$B,$A730,'Таблиця 1'!$I:$I,"Mi-24",'Таблиця 1'!$J:$J,"С-8 ком"))</f>
        <v/>
      </c>
      <c r="G730">
        <f>IF($A730="","",SUMIFS('Таблиця 1'!$K:$K,'Таблиця 1'!$B:$B,$A730,'Таблиця 1'!$I:$I,"Mi-8",'Таблиця 1'!$J:$J,"PC-80")+SUMIFS('Таблиця 1'!$K:$K,'Таблиця 1'!$B:$B,$A730,'Таблиця 1'!$I:$I,"Mi-24",'Таблиця 1'!$J:$J,"PC-80"))</f>
        <v/>
      </c>
      <c r="H730">
        <f>IF($A730="","",SUMIFS('Таблиця 1'!$K:$K,'Таблиця 1'!$B:$B,$A730,'Таблиця 1'!$I:$I,"Mi-8",'Таблиця 1'!$J:$J,"UAR-80")+SUMIFS('Таблиця 1'!$K:$K,'Таблиця 1'!$B:$B,$A730,'Таблиця 1'!$I:$I,"Mi-24",'Таблиця 1'!$J:$J,"UAR-80"))</f>
        <v/>
      </c>
      <c r="I730">
        <f>IF($A730="","",SUMIFS('Таблиця 1'!$K:$K,'Таблиця 1'!$B:$B,$A730,'Таблиця 1'!$I:$I,"Mi-8",'Таблиця 1'!$J:$J,"C-13")+SUMIFS('Таблиця 1'!$K:$K,'Таблиця 1'!$B:$B,$A730,'Таблиця 1'!$I:$I,"Mi-24",'Таблиця 1'!$J:$J,"C-13"))</f>
        <v/>
      </c>
      <c r="J730">
        <f>IF($A730="","",SUMIFS('Таблиця 1'!$K:$K,'Таблиця 1'!$B:$B,$A730,'Таблиця 1'!$I:$I,"Mi-8",'Таблиця 1'!$J:$J,"Hydra-70")+SUMIFS('Таблиця 1'!$K:$K,'Таблиця 1'!$B:$B,$A730,'Таблиця 1'!$I:$I,"Mi-24",'Таблиця 1'!$J:$J,"Hydra-70"))</f>
        <v/>
      </c>
      <c r="K730">
        <f>IF($A730="","",SUMIFS('Таблиця 1'!$K:$K,'Таблиця 1'!$B:$B,$A730,'Таблиця 1'!$I:$I,"Mi-8",'Таблиця 1'!$J:$J,"Thales-70")+SUMIFS('Таблиця 1'!$K:$K,'Таблиця 1'!$B:$B,$A730,'Таблиця 1'!$I:$I,"Mi-24",'Таблиця 1'!$J:$J,"Thales-70"))</f>
        <v/>
      </c>
      <c r="L730">
        <f>IF($A730="","",SUMIFS('Таблиця 1'!$K:$K,'Таблиця 1'!$B:$B,$A730,'Таблиця 1'!$I:$I,"Mi-8",'Таблиця 1'!$J:$J,"Thales-FZ")+SUMIFS('Таблиця 1'!$K:$K,'Таблиця 1'!$B:$B,$A730,'Таблиця 1'!$I:$I,"Mi-24",'Таблиця 1'!$J:$J,"Thales-FZ"))</f>
        <v/>
      </c>
      <c r="M730">
        <f>IF($A730="","",SUMIFS('Таблиця 1'!$K:$K,'Таблиця 1'!$B:$B,$A730,'Таблиця 1'!$I:$I,"Mi-8",'Таблиця 1'!$J:$J,"МК-40")+SUMIFS('Таблиця 1'!$K:$K,'Таблиця 1'!$B:$B,$A730,'Таблиця 1'!$I:$I,"Mi-24",'Таблиця 1'!$J:$J,"МК-40"))</f>
        <v/>
      </c>
      <c r="N730">
        <f>IF($A730="","",SUMIFS('Таблиця 1'!$K:$K,'Таблиця 1'!$B:$B,$A730,'Таблиця 1'!$I:$I,"Mi-8",'Таблиця 1'!$J:$J,"Zuni")+SUMIFS('Таблиця 1'!$K:$K,'Таблиця 1'!$B:$B,$A730,'Таблиця 1'!$I:$I,"Mi-24",'Таблиця 1'!$J:$J,"Zuni"))</f>
        <v/>
      </c>
      <c r="O730">
        <f>IF($A730="","",COUNTIFS('Таблиця 1'!$B:$B,$A730,'Таблиця 1'!$I:$I,"Mi-8",'Таблиця 1'!$L:$L,"Уражено")+COUNTIFS('Таблиця 1'!$B:$B,$A730,'Таблиця 1'!$I:$I,"Mi-24",'Таблиця 1'!$L:$L,"Уражено"))</f>
        <v/>
      </c>
      <c r="P730">
        <f>IF($A730="","",COUNTIFS('Таблиця 1'!$B:$B,$A730,'Таблиця 1'!$I:$I,"Mi-8",'Таблиця 1'!$L:$L,"НЕ уражено")+COUNTIFS('Таблиця 1'!$B:$B,$A730,'Таблиця 1'!$I:$I,"Mi-24",'Таблиця 1'!$L:$L,"НЕ уражено"))</f>
        <v/>
      </c>
    </row>
    <row r="731">
      <c r="A731" s="273">
        <f>IF(A730="","",IF(A730+1&gt;MAX('Таблиця 1'!$B:$B),"",A730+1))</f>
        <v/>
      </c>
      <c r="B731">
        <f>IF($A731="","",COUNTIFS('Таблиця 1'!$B:$B,$A731,'Таблиця 1'!$I:$I,"Mi-8")+COUNTIFS('Таблиця 1'!$B:$B,$A731,'Таблиця 1'!$I:$I,"Mi-24"))</f>
        <v/>
      </c>
      <c r="C731">
        <f>IF($A731="","",COUNTIFS('Таблиця 1'!$B:$B,$A731,'Таблиця 1'!$I:$I,"Mi-8"))</f>
        <v/>
      </c>
      <c r="D731">
        <f>IF($A731="","",COUNTIFS('Таблиця 1'!$B:$B,$A731,'Таблиця 1'!$I:$I,"Mi-24"))</f>
        <v/>
      </c>
      <c r="E731">
        <f>IF($A731="","",SUMIFS('Таблиця 1'!$K:$K,'Таблиця 1'!$B:$B,$A731,'Таблиця 1'!$I:$I,"Mi-8",'Таблиця 1'!$J:$J,"ARS-8")+SUMIFS('Таблиця 1'!$K:$K,'Таблиця 1'!$B:$B,$A731,'Таблиця 1'!$I:$I,"Mi-24",'Таблиця 1'!$J:$J,"ARS-8"))</f>
        <v/>
      </c>
      <c r="F731">
        <f>IF($A731="","",SUMIFS('Таблиця 1'!$K:$K,'Таблиця 1'!$B:$B,$A731,'Таблиця 1'!$I:$I,"Mi-8",'Таблиця 1'!$J:$J,"С-8 ком")+SUMIFS('Таблиця 1'!$K:$K,'Таблиця 1'!$B:$B,$A731,'Таблиця 1'!$I:$I,"Mi-24",'Таблиця 1'!$J:$J,"С-8 ком"))</f>
        <v/>
      </c>
      <c r="G731">
        <f>IF($A731="","",SUMIFS('Таблиця 1'!$K:$K,'Таблиця 1'!$B:$B,$A731,'Таблиця 1'!$I:$I,"Mi-8",'Таблиця 1'!$J:$J,"PC-80")+SUMIFS('Таблиця 1'!$K:$K,'Таблиця 1'!$B:$B,$A731,'Таблиця 1'!$I:$I,"Mi-24",'Таблиця 1'!$J:$J,"PC-80"))</f>
        <v/>
      </c>
      <c r="H731">
        <f>IF($A731="","",SUMIFS('Таблиця 1'!$K:$K,'Таблиця 1'!$B:$B,$A731,'Таблиця 1'!$I:$I,"Mi-8",'Таблиця 1'!$J:$J,"UAR-80")+SUMIFS('Таблиця 1'!$K:$K,'Таблиця 1'!$B:$B,$A731,'Таблиця 1'!$I:$I,"Mi-24",'Таблиця 1'!$J:$J,"UAR-80"))</f>
        <v/>
      </c>
      <c r="I731">
        <f>IF($A731="","",SUMIFS('Таблиця 1'!$K:$K,'Таблиця 1'!$B:$B,$A731,'Таблиця 1'!$I:$I,"Mi-8",'Таблиця 1'!$J:$J,"C-13")+SUMIFS('Таблиця 1'!$K:$K,'Таблиця 1'!$B:$B,$A731,'Таблиця 1'!$I:$I,"Mi-24",'Таблиця 1'!$J:$J,"C-13"))</f>
        <v/>
      </c>
      <c r="J731">
        <f>IF($A731="","",SUMIFS('Таблиця 1'!$K:$K,'Таблиця 1'!$B:$B,$A731,'Таблиця 1'!$I:$I,"Mi-8",'Таблиця 1'!$J:$J,"Hydra-70")+SUMIFS('Таблиця 1'!$K:$K,'Таблиця 1'!$B:$B,$A731,'Таблиця 1'!$I:$I,"Mi-24",'Таблиця 1'!$J:$J,"Hydra-70"))</f>
        <v/>
      </c>
      <c r="K731">
        <f>IF($A731="","",SUMIFS('Таблиця 1'!$K:$K,'Таблиця 1'!$B:$B,$A731,'Таблиця 1'!$I:$I,"Mi-8",'Таблиця 1'!$J:$J,"Thales-70")+SUMIFS('Таблиця 1'!$K:$K,'Таблиця 1'!$B:$B,$A731,'Таблиця 1'!$I:$I,"Mi-24",'Таблиця 1'!$J:$J,"Thales-70"))</f>
        <v/>
      </c>
      <c r="L731">
        <f>IF($A731="","",SUMIFS('Таблиця 1'!$K:$K,'Таблиця 1'!$B:$B,$A731,'Таблиця 1'!$I:$I,"Mi-8",'Таблиця 1'!$J:$J,"Thales-FZ")+SUMIFS('Таблиця 1'!$K:$K,'Таблиця 1'!$B:$B,$A731,'Таблиця 1'!$I:$I,"Mi-24",'Таблиця 1'!$J:$J,"Thales-FZ"))</f>
        <v/>
      </c>
      <c r="M731">
        <f>IF($A731="","",SUMIFS('Таблиця 1'!$K:$K,'Таблиця 1'!$B:$B,$A731,'Таблиця 1'!$I:$I,"Mi-8",'Таблиця 1'!$J:$J,"МК-40")+SUMIFS('Таблиця 1'!$K:$K,'Таблиця 1'!$B:$B,$A731,'Таблиця 1'!$I:$I,"Mi-24",'Таблиця 1'!$J:$J,"МК-40"))</f>
        <v/>
      </c>
      <c r="N731">
        <f>IF($A731="","",SUMIFS('Таблиця 1'!$K:$K,'Таблиця 1'!$B:$B,$A731,'Таблиця 1'!$I:$I,"Mi-8",'Таблиця 1'!$J:$J,"Zuni")+SUMIFS('Таблиця 1'!$K:$K,'Таблиця 1'!$B:$B,$A731,'Таблиця 1'!$I:$I,"Mi-24",'Таблиця 1'!$J:$J,"Zuni"))</f>
        <v/>
      </c>
      <c r="O731">
        <f>IF($A731="","",COUNTIFS('Таблиця 1'!$B:$B,$A731,'Таблиця 1'!$I:$I,"Mi-8",'Таблиця 1'!$L:$L,"Уражено")+COUNTIFS('Таблиця 1'!$B:$B,$A731,'Таблиця 1'!$I:$I,"Mi-24",'Таблиця 1'!$L:$L,"Уражено"))</f>
        <v/>
      </c>
      <c r="P731">
        <f>IF($A731="","",COUNTIFS('Таблиця 1'!$B:$B,$A731,'Таблиця 1'!$I:$I,"Mi-8",'Таблиця 1'!$L:$L,"НЕ уражено")+COUNTIFS('Таблиця 1'!$B:$B,$A731,'Таблиця 1'!$I:$I,"Mi-24",'Таблиця 1'!$L:$L,"НЕ уражено"))</f>
        <v/>
      </c>
    </row>
    <row r="732">
      <c r="A732" s="273">
        <f>IF(A731="","",IF(A731+1&gt;MAX('Таблиця 1'!$B:$B),"",A731+1))</f>
        <v/>
      </c>
      <c r="B732">
        <f>IF($A732="","",COUNTIFS('Таблиця 1'!$B:$B,$A732,'Таблиця 1'!$I:$I,"Mi-8")+COUNTIFS('Таблиця 1'!$B:$B,$A732,'Таблиця 1'!$I:$I,"Mi-24"))</f>
        <v/>
      </c>
      <c r="C732">
        <f>IF($A732="","",COUNTIFS('Таблиця 1'!$B:$B,$A732,'Таблиця 1'!$I:$I,"Mi-8"))</f>
        <v/>
      </c>
      <c r="D732">
        <f>IF($A732="","",COUNTIFS('Таблиця 1'!$B:$B,$A732,'Таблиця 1'!$I:$I,"Mi-24"))</f>
        <v/>
      </c>
      <c r="E732">
        <f>IF($A732="","",SUMIFS('Таблиця 1'!$K:$K,'Таблиця 1'!$B:$B,$A732,'Таблиця 1'!$I:$I,"Mi-8",'Таблиця 1'!$J:$J,"ARS-8")+SUMIFS('Таблиця 1'!$K:$K,'Таблиця 1'!$B:$B,$A732,'Таблиця 1'!$I:$I,"Mi-24",'Таблиця 1'!$J:$J,"ARS-8"))</f>
        <v/>
      </c>
      <c r="F732">
        <f>IF($A732="","",SUMIFS('Таблиця 1'!$K:$K,'Таблиця 1'!$B:$B,$A732,'Таблиця 1'!$I:$I,"Mi-8",'Таблиця 1'!$J:$J,"С-8 ком")+SUMIFS('Таблиця 1'!$K:$K,'Таблиця 1'!$B:$B,$A732,'Таблиця 1'!$I:$I,"Mi-24",'Таблиця 1'!$J:$J,"С-8 ком"))</f>
        <v/>
      </c>
      <c r="G732">
        <f>IF($A732="","",SUMIFS('Таблиця 1'!$K:$K,'Таблиця 1'!$B:$B,$A732,'Таблиця 1'!$I:$I,"Mi-8",'Таблиця 1'!$J:$J,"PC-80")+SUMIFS('Таблиця 1'!$K:$K,'Таблиця 1'!$B:$B,$A732,'Таблиця 1'!$I:$I,"Mi-24",'Таблиця 1'!$J:$J,"PC-80"))</f>
        <v/>
      </c>
      <c r="H732">
        <f>IF($A732="","",SUMIFS('Таблиця 1'!$K:$K,'Таблиця 1'!$B:$B,$A732,'Таблиця 1'!$I:$I,"Mi-8",'Таблиця 1'!$J:$J,"UAR-80")+SUMIFS('Таблиця 1'!$K:$K,'Таблиця 1'!$B:$B,$A732,'Таблиця 1'!$I:$I,"Mi-24",'Таблиця 1'!$J:$J,"UAR-80"))</f>
        <v/>
      </c>
      <c r="I732">
        <f>IF($A732="","",SUMIFS('Таблиця 1'!$K:$K,'Таблиця 1'!$B:$B,$A732,'Таблиця 1'!$I:$I,"Mi-8",'Таблиця 1'!$J:$J,"C-13")+SUMIFS('Таблиця 1'!$K:$K,'Таблиця 1'!$B:$B,$A732,'Таблиця 1'!$I:$I,"Mi-24",'Таблиця 1'!$J:$J,"C-13"))</f>
        <v/>
      </c>
      <c r="J732">
        <f>IF($A732="","",SUMIFS('Таблиця 1'!$K:$K,'Таблиця 1'!$B:$B,$A732,'Таблиця 1'!$I:$I,"Mi-8",'Таблиця 1'!$J:$J,"Hydra-70")+SUMIFS('Таблиця 1'!$K:$K,'Таблиця 1'!$B:$B,$A732,'Таблиця 1'!$I:$I,"Mi-24",'Таблиця 1'!$J:$J,"Hydra-70"))</f>
        <v/>
      </c>
      <c r="K732">
        <f>IF($A732="","",SUMIFS('Таблиця 1'!$K:$K,'Таблиця 1'!$B:$B,$A732,'Таблиця 1'!$I:$I,"Mi-8",'Таблиця 1'!$J:$J,"Thales-70")+SUMIFS('Таблиця 1'!$K:$K,'Таблиця 1'!$B:$B,$A732,'Таблиця 1'!$I:$I,"Mi-24",'Таблиця 1'!$J:$J,"Thales-70"))</f>
        <v/>
      </c>
      <c r="L732">
        <f>IF($A732="","",SUMIFS('Таблиця 1'!$K:$K,'Таблиця 1'!$B:$B,$A732,'Таблиця 1'!$I:$I,"Mi-8",'Таблиця 1'!$J:$J,"Thales-FZ")+SUMIFS('Таблиця 1'!$K:$K,'Таблиця 1'!$B:$B,$A732,'Таблиця 1'!$I:$I,"Mi-24",'Таблиця 1'!$J:$J,"Thales-FZ"))</f>
        <v/>
      </c>
      <c r="M732">
        <f>IF($A732="","",SUMIFS('Таблиця 1'!$K:$K,'Таблиця 1'!$B:$B,$A732,'Таблиця 1'!$I:$I,"Mi-8",'Таблиця 1'!$J:$J,"МК-40")+SUMIFS('Таблиця 1'!$K:$K,'Таблиця 1'!$B:$B,$A732,'Таблиця 1'!$I:$I,"Mi-24",'Таблиця 1'!$J:$J,"МК-40"))</f>
        <v/>
      </c>
      <c r="N732">
        <f>IF($A732="","",SUMIFS('Таблиця 1'!$K:$K,'Таблиця 1'!$B:$B,$A732,'Таблиця 1'!$I:$I,"Mi-8",'Таблиця 1'!$J:$J,"Zuni")+SUMIFS('Таблиця 1'!$K:$K,'Таблиця 1'!$B:$B,$A732,'Таблиця 1'!$I:$I,"Mi-24",'Таблиця 1'!$J:$J,"Zuni"))</f>
        <v/>
      </c>
      <c r="O732">
        <f>IF($A732="","",COUNTIFS('Таблиця 1'!$B:$B,$A732,'Таблиця 1'!$I:$I,"Mi-8",'Таблиця 1'!$L:$L,"Уражено")+COUNTIFS('Таблиця 1'!$B:$B,$A732,'Таблиця 1'!$I:$I,"Mi-24",'Таблиця 1'!$L:$L,"Уражено"))</f>
        <v/>
      </c>
      <c r="P732">
        <f>IF($A732="","",COUNTIFS('Таблиця 1'!$B:$B,$A732,'Таблиця 1'!$I:$I,"Mi-8",'Таблиця 1'!$L:$L,"НЕ уражено")+COUNTIFS('Таблиця 1'!$B:$B,$A732,'Таблиця 1'!$I:$I,"Mi-24",'Таблиця 1'!$L:$L,"НЕ уражено"))</f>
        <v/>
      </c>
    </row>
    <row r="733">
      <c r="A733" s="55" t="inlineStr">
        <is>
          <t>Підсумок</t>
        </is>
      </c>
      <c r="B733" s="33">
        <f>SUBTOTAL(109,Таблиця1[[АУ ]])</f>
        <v/>
      </c>
      <c r="C733" s="33">
        <f>SUBTOTAL(109,Таблиця1[Mi-8])</f>
        <v/>
      </c>
      <c r="D733" s="33">
        <f>SUBTOTAL(109,Таблиця1[Mi-24])</f>
        <v/>
      </c>
      <c r="E733" s="33">
        <f>SUBTOTAL(109,Таблиця1[ARS-8])</f>
        <v/>
      </c>
      <c r="F733" s="33">
        <f>SUBTOTAL(109,Таблиця1[С-8 ком])</f>
        <v/>
      </c>
      <c r="G733" s="33">
        <f>SUBTOTAL(109,Таблиця1[PC-80])</f>
        <v/>
      </c>
      <c r="H733" s="33">
        <f>SUBTOTAL(109,Таблиця1[UAR-80])</f>
        <v/>
      </c>
      <c r="I733" s="33">
        <f>SUBTOTAL(109,Таблиця1[C-13])</f>
        <v/>
      </c>
      <c r="J733" s="33">
        <f>SUBTOTAL(109,Таблиця1[Hydra-70])</f>
        <v/>
      </c>
      <c r="K733" s="34">
        <f>SUBTOTAL(109,Таблиця1[Thales-70])</f>
        <v/>
      </c>
      <c r="L733" s="34">
        <f>SUBTOTAL(109,Таблиця1[Thales-FZ])</f>
        <v/>
      </c>
      <c r="M733" s="34">
        <f>SUBTOTAL(109,Таблиця1[МК-40])</f>
        <v/>
      </c>
      <c r="N733" s="172">
        <f>SUBTOTAL(109,Таблиця1[Zuni])</f>
        <v/>
      </c>
      <c r="O733" s="33">
        <f>SUBTOTAL(109,Таблиця1[Уражено])</f>
        <v/>
      </c>
      <c r="P733" s="33">
        <f>SUBTOTAL(109,Таблиця1[НЕ уражено])</f>
        <v/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733"/>
  <sheetViews>
    <sheetView tabSelected="0" topLeftCell="A4" zoomScale="81" zoomScaleNormal="81" workbookViewId="0">
      <selection activeCell="A2" sqref="A2"/>
    </sheetView>
  </sheetViews>
  <sheetFormatPr baseColWidth="8" defaultRowHeight="14.4"/>
  <cols>
    <col width="12.1015625" customWidth="1" min="1" max="1"/>
    <col width="7" customWidth="1" min="2" max="3"/>
    <col width="8.5234375" customWidth="1" min="4" max="4"/>
    <col width="7.7890625" customWidth="1" min="5" max="5"/>
    <col width="8.1015625" customWidth="1" min="6" max="6"/>
    <col width="10" customWidth="1" min="7" max="7"/>
    <col width="11.1015625" customWidth="1" min="8" max="8"/>
    <col width="8.89453125" customWidth="1" min="9" max="9"/>
    <col width="10.1015625" customWidth="1" min="10" max="10"/>
    <col width="9.89453125" customWidth="1" min="11" max="11"/>
    <col width="8.89453125" customWidth="1" min="12" max="12"/>
    <col width="9.1015625" customWidth="1" min="13" max="14"/>
    <col width="11.3125" customWidth="1" min="15" max="15"/>
    <col width="12.89453125" customWidth="1" min="16" max="16"/>
    <col width="12.5234375" customWidth="1" min="17" max="17"/>
  </cols>
  <sheetData>
    <row r="1">
      <c r="A1" s="27" t="inlineStr">
        <is>
          <t>Дата</t>
        </is>
      </c>
      <c r="B1" s="28" t="inlineStr">
        <is>
          <t xml:space="preserve">АУ </t>
        </is>
      </c>
      <c r="C1" s="28" t="inlineStr">
        <is>
          <t>Mirage</t>
        </is>
      </c>
      <c r="D1" s="28" t="inlineStr">
        <is>
          <t>F-16</t>
        </is>
      </c>
      <c r="E1" s="28" t="inlineStr">
        <is>
          <t>МіГ-29</t>
        </is>
      </c>
      <c r="F1" s="28" t="inlineStr">
        <is>
          <t>Су-25</t>
        </is>
      </c>
      <c r="G1" s="28" t="inlineStr">
        <is>
          <t>Су-27</t>
        </is>
      </c>
      <c r="H1" s="28" t="inlineStr">
        <is>
          <t>AGM-88</t>
        </is>
      </c>
      <c r="I1" s="28" t="inlineStr">
        <is>
          <t>AASM-250</t>
        </is>
      </c>
      <c r="J1" s="28" t="inlineStr">
        <is>
          <t>GBU-39</t>
        </is>
      </c>
      <c r="K1" s="28" t="inlineStr">
        <is>
          <t>BLU-140</t>
        </is>
      </c>
      <c r="L1" s="28" t="inlineStr">
        <is>
          <t>GBU-65</t>
        </is>
      </c>
      <c r="M1" s="28" t="inlineStr">
        <is>
          <t>GBU-62</t>
        </is>
      </c>
      <c r="N1" s="28" t="inlineStr">
        <is>
          <t>GBU-64</t>
        </is>
      </c>
      <c r="O1" s="28" t="inlineStr">
        <is>
          <t>C-13</t>
        </is>
      </c>
      <c r="P1" s="28" t="inlineStr">
        <is>
          <t>MK-32</t>
        </is>
      </c>
      <c r="Q1" s="28" t="inlineStr">
        <is>
          <t>MK-24</t>
        </is>
      </c>
      <c r="R1" s="40" t="inlineStr">
        <is>
          <t>Уражено</t>
        </is>
      </c>
      <c r="S1" s="40" t="inlineStr">
        <is>
          <t>НЕ уражено</t>
        </is>
      </c>
      <c r="T1" s="40" t="inlineStr">
        <is>
          <t>Дорозвідується</t>
        </is>
      </c>
    </row>
    <row r="2">
      <c r="A2" s="273">
        <f>IF(COUNT('Таблиця 1'!$B:$B)=0,"",MIN('Таблиця 1'!$B:$B))</f>
        <v/>
      </c>
      <c r="B2">
        <f>IF($A2="","",COUNTIFS('Таблиця 1'!$B:$B,$A2,'Таблиця 1'!$I:$I,"Mirage")+COUNTIFS('Таблиця 1'!$B:$B,$A2,'Таблиця 1'!$I:$I,"F-16")+COUNTIFS('Таблиця 1'!$B:$B,$A2,'Таблиця 1'!$I:$I,"МіГ-29")+COUNTIFS('Таблиця 1'!$B:$B,$A2,'Таблиця 1'!$I:$I,"Су-25")+COUNTIFS('Таблиця 1'!$B:$B,$A2,'Таблиця 1'!$I:$I,"Су-27"))</f>
        <v/>
      </c>
      <c r="C2">
        <f>IF($A2="","",COUNTIFS('Таблиця 1'!$B:$B,$A2,'Таблиця 1'!$I:$I,"Mirage"))</f>
        <v/>
      </c>
      <c r="D2">
        <f>IF($A2="","",COUNTIFS('Таблиця 1'!$B:$B,$A2,'Таблиця 1'!$I:$I,"F-16"))</f>
        <v/>
      </c>
      <c r="E2">
        <f>IF($A2="","",COUNTIFS('Таблиця 1'!$B:$B,$A2,'Таблиця 1'!$I:$I,"МіГ-29"))</f>
        <v/>
      </c>
      <c r="F2">
        <f>IF($A2="","",COUNTIFS('Таблиця 1'!$B:$B,$A2,'Таблиця 1'!$I:$I,"Су-25"))</f>
        <v/>
      </c>
      <c r="G2">
        <f>IF($A2="","",COUNTIFS('Таблиця 1'!$B:$B,$A2,'Таблиця 1'!$I:$I,"Су-27"))</f>
        <v/>
      </c>
      <c r="H2">
        <f>IF($A2="","",SUMIFS('Таблиця 1'!$K:$K,'Таблиця 1'!$B:$B,$A2,'Таблиця 1'!$I:$I,"Mirage",'Таблиця 1'!$J:$J,"AGM-88")+SUMIFS('Таблиця 1'!$K:$K,'Таблиця 1'!$B:$B,$A2,'Таблиця 1'!$I:$I,"F-16",'Таблиця 1'!$J:$J,"AGM-88")+SUMIFS('Таблиця 1'!$K:$K,'Таблиця 1'!$B:$B,$A2,'Таблиця 1'!$I:$I,"МіГ-29",'Таблиця 1'!$J:$J,"AGM-88")+SUMIFS('Таблиця 1'!$K:$K,'Таблиця 1'!$B:$B,$A2,'Таблиця 1'!$I:$I,"Су-25",'Таблиця 1'!$J:$J,"AGM-88")+SUMIFS('Таблиця 1'!$K:$K,'Таблиця 1'!$B:$B,$A2,'Таблиця 1'!$I:$I,"Су-27",'Таблиця 1'!$J:$J,"AGM-88"))</f>
        <v/>
      </c>
      <c r="I2">
        <f>IF($A2="","",SUMIFS('Таблиця 1'!$K:$K,'Таблиця 1'!$B:$B,$A2,'Таблиця 1'!$I:$I,"Mirage",'Таблиця 1'!$J:$J,"AASM-250")+SUMIFS('Таблиця 1'!$K:$K,'Таблиця 1'!$B:$B,$A2,'Таблиця 1'!$I:$I,"F-16",'Таблиця 1'!$J:$J,"AASM-250")+SUMIFS('Таблиця 1'!$K:$K,'Таблиця 1'!$B:$B,$A2,'Таблиця 1'!$I:$I,"МіГ-29",'Таблиця 1'!$J:$J,"AASM-250")+SUMIFS('Таблиця 1'!$K:$K,'Таблиця 1'!$B:$B,$A2,'Таблиця 1'!$I:$I,"Су-25",'Таблиця 1'!$J:$J,"AASM-250")+SUMIFS('Таблиця 1'!$K:$K,'Таблиця 1'!$B:$B,$A2,'Таблиця 1'!$I:$I,"Су-27",'Таблиця 1'!$J:$J,"AASM-250"))</f>
        <v/>
      </c>
      <c r="J2">
        <f>IF($A2="","",SUMIFS('Таблиця 1'!$K:$K,'Таблиця 1'!$B:$B,$A2,'Таблиця 1'!$I:$I,"Mirage",'Таблиця 1'!$J:$J,"GBU-39")+SUMIFS('Таблиця 1'!$K:$K,'Таблиця 1'!$B:$B,$A2,'Таблиця 1'!$I:$I,"F-16",'Таблиця 1'!$J:$J,"GBU-39")+SUMIFS('Таблиця 1'!$K:$K,'Таблиця 1'!$B:$B,$A2,'Таблиця 1'!$I:$I,"МіГ-29",'Таблиця 1'!$J:$J,"GBU-39")+SUMIFS('Таблиця 1'!$K:$K,'Таблиця 1'!$B:$B,$A2,'Таблиця 1'!$I:$I,"Су-25",'Таблиця 1'!$J:$J,"GBU-39")+SUMIFS('Таблиця 1'!$K:$K,'Таблиця 1'!$B:$B,$A2,'Таблиця 1'!$I:$I,"Су-27",'Таблиця 1'!$J:$J,"GBU-39"))</f>
        <v/>
      </c>
      <c r="K2">
        <f>IF($A2="","",SUMIFS('Таблиця 1'!$K:$K,'Таблиця 1'!$B:$B,$A2,'Таблиця 1'!$I:$I,"Mirage",'Таблиця 1'!$J:$J,"BLU-140")+SUMIFS('Таблиця 1'!$K:$K,'Таблиця 1'!$B:$B,$A2,'Таблиця 1'!$I:$I,"F-16",'Таблиця 1'!$J:$J,"BLU-140")+SUMIFS('Таблиця 1'!$K:$K,'Таблиця 1'!$B:$B,$A2,'Таблиця 1'!$I:$I,"МіГ-29",'Таблиця 1'!$J:$J,"BLU-140")+SUMIFS('Таблиця 1'!$K:$K,'Таблиця 1'!$B:$B,$A2,'Таблиця 1'!$I:$I,"Су-25",'Таблиця 1'!$J:$J,"BLU-140")+SUMIFS('Таблиця 1'!$K:$K,'Таблиця 1'!$B:$B,$A2,'Таблиця 1'!$I:$I,"Су-27",'Таблиця 1'!$J:$J,"BLU-140"))</f>
        <v/>
      </c>
      <c r="L2">
        <f>IF($A2="","",SUMIFS('Таблиця 1'!$K:$K,'Таблиця 1'!$B:$B,$A2,'Таблиця 1'!$I:$I,"Mirage",'Таблиця 1'!$J:$J,"GBU-65")+SUMIFS('Таблиця 1'!$K:$K,'Таблиця 1'!$B:$B,$A2,'Таблиця 1'!$I:$I,"F-16",'Таблиця 1'!$J:$J,"GBU-65")+SUMIFS('Таблиця 1'!$K:$K,'Таблиця 1'!$B:$B,$A2,'Таблиця 1'!$I:$I,"МіГ-29",'Таблиця 1'!$J:$J,"GBU-65")+SUMIFS('Таблиця 1'!$K:$K,'Таблиця 1'!$B:$B,$A2,'Таблиця 1'!$I:$I,"Су-25",'Таблиця 1'!$J:$J,"GBU-65")+SUMIFS('Таблиця 1'!$K:$K,'Таблиця 1'!$B:$B,$A2,'Таблиця 1'!$I:$I,"Су-27",'Таблиця 1'!$J:$J,"GBU-65"))</f>
        <v/>
      </c>
      <c r="M2">
        <f>IF($A2="","",SUMIFS('Таблиця 1'!$K:$K,'Таблиця 1'!$B:$B,$A2,'Таблиця 1'!$I:$I,"Mirage",'Таблиця 1'!$J:$J,"GBU-62")+SUMIFS('Таблиця 1'!$K:$K,'Таблиця 1'!$B:$B,$A2,'Таблиця 1'!$I:$I,"F-16",'Таблиця 1'!$J:$J,"GBU-62")+SUMIFS('Таблиця 1'!$K:$K,'Таблиця 1'!$B:$B,$A2,'Таблиця 1'!$I:$I,"МіГ-29",'Таблиця 1'!$J:$J,"GBU-62")+SUMIFS('Таблиця 1'!$K:$K,'Таблиця 1'!$B:$B,$A2,'Таблиця 1'!$I:$I,"Су-25",'Таблиця 1'!$J:$J,"GBU-62")+SUMIFS('Таблиця 1'!$K:$K,'Таблиця 1'!$B:$B,$A2,'Таблиця 1'!$I:$I,"Су-27",'Таблиця 1'!$J:$J,"GBU-62"))</f>
        <v/>
      </c>
      <c r="N2">
        <f>IF($A2="","",SUMIFS('Таблиця 1'!$K:$K,'Таблиця 1'!$B:$B,$A2,'Таблиця 1'!$I:$I,"Mirage",'Таблиця 1'!$J:$J,"GBU-64")+SUMIFS('Таблиця 1'!$K:$K,'Таблиця 1'!$B:$B,$A2,'Таблиця 1'!$I:$I,"F-16",'Таблиця 1'!$J:$J,"GBU-64")+SUMIFS('Таблиця 1'!$K:$K,'Таблиця 1'!$B:$B,$A2,'Таблиця 1'!$I:$I,"МіГ-29",'Таблиця 1'!$J:$J,"GBU-64")+SUMIFS('Таблиця 1'!$K:$K,'Таблиця 1'!$B:$B,$A2,'Таблиця 1'!$I:$I,"Су-25",'Таблиця 1'!$J:$J,"GBU-64")+SUMIFS('Таблиця 1'!$K:$K,'Таблиця 1'!$B:$B,$A2,'Таблиця 1'!$I:$I,"Су-27",'Таблиця 1'!$J:$J,"GBU-64"))</f>
        <v/>
      </c>
      <c r="O2">
        <f>IF($A2="","",SUMIFS('Таблиця 1'!$K:$K,'Таблиця 1'!$B:$B,$A2,'Таблиця 1'!$I:$I,"Mirage",'Таблиця 1'!$J:$J,"C-13")+SUMIFS('Таблиця 1'!$K:$K,'Таблиця 1'!$B:$B,$A2,'Таблиця 1'!$I:$I,"F-16",'Таблиця 1'!$J:$J,"C-13")+SUMIFS('Таблиця 1'!$K:$K,'Таблиця 1'!$B:$B,$A2,'Таблиця 1'!$I:$I,"МіГ-29",'Таблиця 1'!$J:$J,"C-13")+SUMIFS('Таблиця 1'!$K:$K,'Таблиця 1'!$B:$B,$A2,'Таблиця 1'!$I:$I,"Су-25",'Таблиця 1'!$J:$J,"C-13")+SUMIFS('Таблиця 1'!$K:$K,'Таблиця 1'!$B:$B,$A2,'Таблиця 1'!$I:$I,"Су-27",'Таблиця 1'!$J:$J,"C-13"))</f>
        <v/>
      </c>
      <c r="P2">
        <f>IF($A2="","",SUMIFS('Таблиця 1'!$K:$K,'Таблиця 1'!$B:$B,$A2,'Таблиця 1'!$I:$I,"Mirage",'Таблиця 1'!$J:$J,"MK-32")+SUMIFS('Таблиця 1'!$K:$K,'Таблиця 1'!$B:$B,$A2,'Таблиця 1'!$I:$I,"F-16",'Таблиця 1'!$J:$J,"MK-32")+SUMIFS('Таблиця 1'!$K:$K,'Таблиця 1'!$B:$B,$A2,'Таблиця 1'!$I:$I,"МіГ-29",'Таблиця 1'!$J:$J,"MK-32")+SUMIFS('Таблиця 1'!$K:$K,'Таблиця 1'!$B:$B,$A2,'Таблиця 1'!$I:$I,"Су-25",'Таблиця 1'!$J:$J,"MK-32")+SUMIFS('Таблиця 1'!$K:$K,'Таблиця 1'!$B:$B,$A2,'Таблиця 1'!$I:$I,"Су-27",'Таблиця 1'!$J:$J,"MK-32"))</f>
        <v/>
      </c>
      <c r="Q2">
        <f>IF($A2="","",SUMIFS('Таблиця 1'!$K:$K,'Таблиця 1'!$B:$B,$A2,'Таблиця 1'!$I:$I,"Mirage",'Таблиця 1'!$J:$J,"MK-24")+SUMIFS('Таблиця 1'!$K:$K,'Таблиця 1'!$B:$B,$A2,'Таблиця 1'!$I:$I,"F-16",'Таблиця 1'!$J:$J,"MK-24")+SUMIFS('Таблиця 1'!$K:$K,'Таблиця 1'!$B:$B,$A2,'Таблиця 1'!$I:$I,"МіГ-29",'Таблиця 1'!$J:$J,"MK-24")+SUMIFS('Таблиця 1'!$K:$K,'Таблиця 1'!$B:$B,$A2,'Таблиця 1'!$I:$I,"Су-25",'Таблиця 1'!$J:$J,"MK-24")+SUMIFS('Таблиця 1'!$K:$K,'Таблиця 1'!$B:$B,$A2,'Таблиця 1'!$I:$I,"Су-27",'Таблиця 1'!$J:$J,"MK-24"))</f>
        <v/>
      </c>
      <c r="R2">
        <f>IF($A2="","",COUNTIFS('Таблиця 1'!$B:$B,$A2,'Таблиця 1'!$I:$I,"Mirage",'Таблиця 1'!$L:$L,"Уражено")+COUNTIFS('Таблиця 1'!$B:$B,$A2,'Таблиця 1'!$I:$I,"F-16",'Таблиця 1'!$L:$L,"Уражено")+COUNTIFS('Таблиця 1'!$B:$B,$A2,'Таблиця 1'!$I:$I,"МіГ-29",'Таблиця 1'!$L:$L,"Уражено")+COUNTIFS('Таблиця 1'!$B:$B,$A2,'Таблиця 1'!$I:$I,"Су-25",'Таблиця 1'!$L:$L,"Уражено")+COUNTIFS('Таблиця 1'!$B:$B,$A2,'Таблиця 1'!$I:$I,"Су-27",'Таблиця 1'!$L:$L,"Уражено"))</f>
        <v/>
      </c>
      <c r="S2">
        <f>IF($A2="","",COUNTIFS('Таблиця 1'!$B:$B,$A2,'Таблиця 1'!$I:$I,"Mirage",'Таблиця 1'!$L:$L,"НЕ уражено")+COUNTIFS('Таблиця 1'!$B:$B,$A2,'Таблиця 1'!$I:$I,"F-16",'Таблиця 1'!$L:$L,"НЕ уражено")+COUNTIFS('Таблиця 1'!$B:$B,$A2,'Таблиця 1'!$I:$I,"МіГ-29",'Таблиця 1'!$L:$L,"НЕ уражено")+COUNTIFS('Таблиця 1'!$B:$B,$A2,'Таблиця 1'!$I:$I,"Су-25",'Таблиця 1'!$L:$L,"НЕ уражено")+COUNTIFS('Таблиця 1'!$B:$B,$A2,'Таблиця 1'!$I:$I,"Су-27",'Таблиця 1'!$L:$L,"НЕ уражено"))</f>
        <v/>
      </c>
      <c r="T2">
        <f>IF($A2="","",COUNTIFS('Таблиця 1'!$B:$B,$A2,'Таблиця 1'!$I:$I,"Mirage",'Таблиця 1'!$L:$L,"Дорозвідується")+COUNTIFS('Таблиця 1'!$B:$B,$A2,'Таблиця 1'!$I:$I,"F-16",'Таблиця 1'!$L:$L,"Дорозвідується")+COUNTIFS('Таблиця 1'!$B:$B,$A2,'Таблиця 1'!$I:$I,"МіГ-29",'Таблиця 1'!$L:$L,"Дорозвідується")+COUNTIFS('Таблиця 1'!$B:$B,$A2,'Таблиця 1'!$I:$I,"Су-25",'Таблиця 1'!$L:$L,"Дорозвідується")+COUNTIFS('Таблиця 1'!$B:$B,$A2,'Таблиця 1'!$I:$I,"Су-27",'Таблиця 1'!$L:$L,"Дорозвідується"))</f>
        <v/>
      </c>
    </row>
    <row r="3">
      <c r="A3" s="273">
        <f>IF(A2="","",IF(A2+1&gt;MAX('Таблиця 1'!$B:$B),"",A2+1))</f>
        <v/>
      </c>
      <c r="B3">
        <f>IF($A3="","",COUNTIFS('Таблиця 1'!$B:$B,$A3,'Таблиця 1'!$I:$I,"Mirage")+COUNTIFS('Таблиця 1'!$B:$B,$A3,'Таблиця 1'!$I:$I,"F-16")+COUNTIFS('Таблиця 1'!$B:$B,$A3,'Таблиця 1'!$I:$I,"МіГ-29")+COUNTIFS('Таблиця 1'!$B:$B,$A3,'Таблиця 1'!$I:$I,"Су-25")+COUNTIFS('Таблиця 1'!$B:$B,$A3,'Таблиця 1'!$I:$I,"Су-27"))</f>
        <v/>
      </c>
      <c r="C3">
        <f>IF($A3="","",COUNTIFS('Таблиця 1'!$B:$B,$A3,'Таблиця 1'!$I:$I,"Mirage"))</f>
        <v/>
      </c>
      <c r="D3">
        <f>IF($A3="","",COUNTIFS('Таблиця 1'!$B:$B,$A3,'Таблиця 1'!$I:$I,"F-16"))</f>
        <v/>
      </c>
      <c r="E3">
        <f>IF($A3="","",COUNTIFS('Таблиця 1'!$B:$B,$A3,'Таблиця 1'!$I:$I,"МіГ-29"))</f>
        <v/>
      </c>
      <c r="F3">
        <f>IF($A3="","",COUNTIFS('Таблиця 1'!$B:$B,$A3,'Таблиця 1'!$I:$I,"Су-25"))</f>
        <v/>
      </c>
      <c r="G3">
        <f>IF($A3="","",COUNTIFS('Таблиця 1'!$B:$B,$A3,'Таблиця 1'!$I:$I,"Су-27"))</f>
        <v/>
      </c>
      <c r="H3">
        <f>IF($A3="","",SUMIFS('Таблиця 1'!$K:$K,'Таблиця 1'!$B:$B,$A3,'Таблиця 1'!$I:$I,"Mirage",'Таблиця 1'!$J:$J,"AGM-88")+SUMIFS('Таблиця 1'!$K:$K,'Таблиця 1'!$B:$B,$A3,'Таблиця 1'!$I:$I,"F-16",'Таблиця 1'!$J:$J,"AGM-88")+SUMIFS('Таблиця 1'!$K:$K,'Таблиця 1'!$B:$B,$A3,'Таблиця 1'!$I:$I,"МіГ-29",'Таблиця 1'!$J:$J,"AGM-88")+SUMIFS('Таблиця 1'!$K:$K,'Таблиця 1'!$B:$B,$A3,'Таблиця 1'!$I:$I,"Су-25",'Таблиця 1'!$J:$J,"AGM-88")+SUMIFS('Таблиця 1'!$K:$K,'Таблиця 1'!$B:$B,$A3,'Таблиця 1'!$I:$I,"Су-27",'Таблиця 1'!$J:$J,"AGM-88"))</f>
        <v/>
      </c>
      <c r="I3">
        <f>IF($A3="","",SUMIFS('Таблиця 1'!$K:$K,'Таблиця 1'!$B:$B,$A3,'Таблиця 1'!$I:$I,"Mirage",'Таблиця 1'!$J:$J,"AASM-250")+SUMIFS('Таблиця 1'!$K:$K,'Таблиця 1'!$B:$B,$A3,'Таблиця 1'!$I:$I,"F-16",'Таблиця 1'!$J:$J,"AASM-250")+SUMIFS('Таблиця 1'!$K:$K,'Таблиця 1'!$B:$B,$A3,'Таблиця 1'!$I:$I,"МіГ-29",'Таблиця 1'!$J:$J,"AASM-250")+SUMIFS('Таблиця 1'!$K:$K,'Таблиця 1'!$B:$B,$A3,'Таблиця 1'!$I:$I,"Су-25",'Таблиця 1'!$J:$J,"AASM-250")+SUMIFS('Таблиця 1'!$K:$K,'Таблиця 1'!$B:$B,$A3,'Таблиця 1'!$I:$I,"Су-27",'Таблиця 1'!$J:$J,"AASM-250"))</f>
        <v/>
      </c>
      <c r="J3">
        <f>IF($A3="","",SUMIFS('Таблиця 1'!$K:$K,'Таблиця 1'!$B:$B,$A3,'Таблиця 1'!$I:$I,"Mirage",'Таблиця 1'!$J:$J,"GBU-39")+SUMIFS('Таблиця 1'!$K:$K,'Таблиця 1'!$B:$B,$A3,'Таблиця 1'!$I:$I,"F-16",'Таблиця 1'!$J:$J,"GBU-39")+SUMIFS('Таблиця 1'!$K:$K,'Таблиця 1'!$B:$B,$A3,'Таблиця 1'!$I:$I,"МіГ-29",'Таблиця 1'!$J:$J,"GBU-39")+SUMIFS('Таблиця 1'!$K:$K,'Таблиця 1'!$B:$B,$A3,'Таблиця 1'!$I:$I,"Су-25",'Таблиця 1'!$J:$J,"GBU-39")+SUMIFS('Таблиця 1'!$K:$K,'Таблиця 1'!$B:$B,$A3,'Таблиця 1'!$I:$I,"Су-27",'Таблиця 1'!$J:$J,"GBU-39"))</f>
        <v/>
      </c>
      <c r="K3">
        <f>IF($A3="","",SUMIFS('Таблиця 1'!$K:$K,'Таблиця 1'!$B:$B,$A3,'Таблиця 1'!$I:$I,"Mirage",'Таблиця 1'!$J:$J,"BLU-140")+SUMIFS('Таблиця 1'!$K:$K,'Таблиця 1'!$B:$B,$A3,'Таблиця 1'!$I:$I,"F-16",'Таблиця 1'!$J:$J,"BLU-140")+SUMIFS('Таблиця 1'!$K:$K,'Таблиця 1'!$B:$B,$A3,'Таблиця 1'!$I:$I,"МіГ-29",'Таблиця 1'!$J:$J,"BLU-140")+SUMIFS('Таблиця 1'!$K:$K,'Таблиця 1'!$B:$B,$A3,'Таблиця 1'!$I:$I,"Су-25",'Таблиця 1'!$J:$J,"BLU-140")+SUMIFS('Таблиця 1'!$K:$K,'Таблиця 1'!$B:$B,$A3,'Таблиця 1'!$I:$I,"Су-27",'Таблиця 1'!$J:$J,"BLU-140"))</f>
        <v/>
      </c>
      <c r="L3">
        <f>IF($A3="","",SUMIFS('Таблиця 1'!$K:$K,'Таблиця 1'!$B:$B,$A3,'Таблиця 1'!$I:$I,"Mirage",'Таблиця 1'!$J:$J,"GBU-65")+SUMIFS('Таблиця 1'!$K:$K,'Таблиця 1'!$B:$B,$A3,'Таблиця 1'!$I:$I,"F-16",'Таблиця 1'!$J:$J,"GBU-65")+SUMIFS('Таблиця 1'!$K:$K,'Таблиця 1'!$B:$B,$A3,'Таблиця 1'!$I:$I,"МіГ-29",'Таблиця 1'!$J:$J,"GBU-65")+SUMIFS('Таблиця 1'!$K:$K,'Таблиця 1'!$B:$B,$A3,'Таблиця 1'!$I:$I,"Су-25",'Таблиця 1'!$J:$J,"GBU-65")+SUMIFS('Таблиця 1'!$K:$K,'Таблиця 1'!$B:$B,$A3,'Таблиця 1'!$I:$I,"Су-27",'Таблиця 1'!$J:$J,"GBU-65"))</f>
        <v/>
      </c>
      <c r="M3">
        <f>IF($A3="","",SUMIFS('Таблиця 1'!$K:$K,'Таблиця 1'!$B:$B,$A3,'Таблиця 1'!$I:$I,"Mirage",'Таблиця 1'!$J:$J,"GBU-62")+SUMIFS('Таблиця 1'!$K:$K,'Таблиця 1'!$B:$B,$A3,'Таблиця 1'!$I:$I,"F-16",'Таблиця 1'!$J:$J,"GBU-62")+SUMIFS('Таблиця 1'!$K:$K,'Таблиця 1'!$B:$B,$A3,'Таблиця 1'!$I:$I,"МіГ-29",'Таблиця 1'!$J:$J,"GBU-62")+SUMIFS('Таблиця 1'!$K:$K,'Таблиця 1'!$B:$B,$A3,'Таблиця 1'!$I:$I,"Су-25",'Таблиця 1'!$J:$J,"GBU-62")+SUMIFS('Таблиця 1'!$K:$K,'Таблиця 1'!$B:$B,$A3,'Таблиця 1'!$I:$I,"Су-27",'Таблиця 1'!$J:$J,"GBU-62"))</f>
        <v/>
      </c>
      <c r="N3">
        <f>IF($A3="","",SUMIFS('Таблиця 1'!$K:$K,'Таблиця 1'!$B:$B,$A3,'Таблиця 1'!$I:$I,"Mirage",'Таблиця 1'!$J:$J,"GBU-64")+SUMIFS('Таблиця 1'!$K:$K,'Таблиця 1'!$B:$B,$A3,'Таблиця 1'!$I:$I,"F-16",'Таблиця 1'!$J:$J,"GBU-64")+SUMIFS('Таблиця 1'!$K:$K,'Таблиця 1'!$B:$B,$A3,'Таблиця 1'!$I:$I,"МіГ-29",'Таблиця 1'!$J:$J,"GBU-64")+SUMIFS('Таблиця 1'!$K:$K,'Таблиця 1'!$B:$B,$A3,'Таблиця 1'!$I:$I,"Су-25",'Таблиця 1'!$J:$J,"GBU-64")+SUMIFS('Таблиця 1'!$K:$K,'Таблиця 1'!$B:$B,$A3,'Таблиця 1'!$I:$I,"Су-27",'Таблиця 1'!$J:$J,"GBU-64"))</f>
        <v/>
      </c>
      <c r="O3">
        <f>IF($A3="","",SUMIFS('Таблиця 1'!$K:$K,'Таблиця 1'!$B:$B,$A3,'Таблиця 1'!$I:$I,"Mirage",'Таблиця 1'!$J:$J,"C-13")+SUMIFS('Таблиця 1'!$K:$K,'Таблиця 1'!$B:$B,$A3,'Таблиця 1'!$I:$I,"F-16",'Таблиця 1'!$J:$J,"C-13")+SUMIFS('Таблиця 1'!$K:$K,'Таблиця 1'!$B:$B,$A3,'Таблиця 1'!$I:$I,"МіГ-29",'Таблиця 1'!$J:$J,"C-13")+SUMIFS('Таблиця 1'!$K:$K,'Таблиця 1'!$B:$B,$A3,'Таблиця 1'!$I:$I,"Су-25",'Таблиця 1'!$J:$J,"C-13")+SUMIFS('Таблиця 1'!$K:$K,'Таблиця 1'!$B:$B,$A3,'Таблиця 1'!$I:$I,"Су-27",'Таблиця 1'!$J:$J,"C-13"))</f>
        <v/>
      </c>
      <c r="P3">
        <f>IF($A3="","",SUMIFS('Таблиця 1'!$K:$K,'Таблиця 1'!$B:$B,$A3,'Таблиця 1'!$I:$I,"Mirage",'Таблиця 1'!$J:$J,"MK-32")+SUMIFS('Таблиця 1'!$K:$K,'Таблиця 1'!$B:$B,$A3,'Таблиця 1'!$I:$I,"F-16",'Таблиця 1'!$J:$J,"MK-32")+SUMIFS('Таблиця 1'!$K:$K,'Таблиця 1'!$B:$B,$A3,'Таблиця 1'!$I:$I,"МіГ-29",'Таблиця 1'!$J:$J,"MK-32")+SUMIFS('Таблиця 1'!$K:$K,'Таблиця 1'!$B:$B,$A3,'Таблиця 1'!$I:$I,"Су-25",'Таблиця 1'!$J:$J,"MK-32")+SUMIFS('Таблиця 1'!$K:$K,'Таблиця 1'!$B:$B,$A3,'Таблиця 1'!$I:$I,"Су-27",'Таблиця 1'!$J:$J,"MK-32"))</f>
        <v/>
      </c>
      <c r="Q3">
        <f>IF($A3="","",SUMIFS('Таблиця 1'!$K:$K,'Таблиця 1'!$B:$B,$A3,'Таблиця 1'!$I:$I,"Mirage",'Таблиця 1'!$J:$J,"MK-24")+SUMIFS('Таблиця 1'!$K:$K,'Таблиця 1'!$B:$B,$A3,'Таблиця 1'!$I:$I,"F-16",'Таблиця 1'!$J:$J,"MK-24")+SUMIFS('Таблиця 1'!$K:$K,'Таблиця 1'!$B:$B,$A3,'Таблиця 1'!$I:$I,"МіГ-29",'Таблиця 1'!$J:$J,"MK-24")+SUMIFS('Таблиця 1'!$K:$K,'Таблиця 1'!$B:$B,$A3,'Таблиця 1'!$I:$I,"Су-25",'Таблиця 1'!$J:$J,"MK-24")+SUMIFS('Таблиця 1'!$K:$K,'Таблиця 1'!$B:$B,$A3,'Таблиця 1'!$I:$I,"Су-27",'Таблиця 1'!$J:$J,"MK-24"))</f>
        <v/>
      </c>
      <c r="R3">
        <f>IF($A3="","",COUNTIFS('Таблиця 1'!$B:$B,$A3,'Таблиця 1'!$I:$I,"Mirage",'Таблиця 1'!$L:$L,"Уражено")+COUNTIFS('Таблиця 1'!$B:$B,$A3,'Таблиця 1'!$I:$I,"F-16",'Таблиця 1'!$L:$L,"Уражено")+COUNTIFS('Таблиця 1'!$B:$B,$A3,'Таблиця 1'!$I:$I,"МіГ-29",'Таблиця 1'!$L:$L,"Уражено")+COUNTIFS('Таблиця 1'!$B:$B,$A3,'Таблиця 1'!$I:$I,"Су-25",'Таблиця 1'!$L:$L,"Уражено")+COUNTIFS('Таблиця 1'!$B:$B,$A3,'Таблиця 1'!$I:$I,"Су-27",'Таблиця 1'!$L:$L,"Уражено"))</f>
        <v/>
      </c>
      <c r="S3">
        <f>IF($A3="","",COUNTIFS('Таблиця 1'!$B:$B,$A3,'Таблиця 1'!$I:$I,"Mirage",'Таблиця 1'!$L:$L,"НЕ уражено")+COUNTIFS('Таблиця 1'!$B:$B,$A3,'Таблиця 1'!$I:$I,"F-16",'Таблиця 1'!$L:$L,"НЕ уражено")+COUNTIFS('Таблиця 1'!$B:$B,$A3,'Таблиця 1'!$I:$I,"МіГ-29",'Таблиця 1'!$L:$L,"НЕ уражено")+COUNTIFS('Таблиця 1'!$B:$B,$A3,'Таблиця 1'!$I:$I,"Су-25",'Таблиця 1'!$L:$L,"НЕ уражено")+COUNTIFS('Таблиця 1'!$B:$B,$A3,'Таблиця 1'!$I:$I,"Су-27",'Таблиця 1'!$L:$L,"НЕ уражено"))</f>
        <v/>
      </c>
      <c r="T3">
        <f>IF($A3="","",COUNTIFS('Таблиця 1'!$B:$B,$A3,'Таблиця 1'!$I:$I,"Mirage",'Таблиця 1'!$L:$L,"Дорозвідується")+COUNTIFS('Таблиця 1'!$B:$B,$A3,'Таблиця 1'!$I:$I,"F-16",'Таблиця 1'!$L:$L,"Дорозвідується")+COUNTIFS('Таблиця 1'!$B:$B,$A3,'Таблиця 1'!$I:$I,"МіГ-29",'Таблиця 1'!$L:$L,"Дорозвідується")+COUNTIFS('Таблиця 1'!$B:$B,$A3,'Таблиця 1'!$I:$I,"Су-25",'Таблиця 1'!$L:$L,"Дорозвідується")+COUNTIFS('Таблиця 1'!$B:$B,$A3,'Таблиця 1'!$I:$I,"Су-27",'Таблиця 1'!$L:$L,"Дорозвідується"))</f>
        <v/>
      </c>
    </row>
    <row r="4">
      <c r="A4" s="273">
        <f>IF(A3="","",IF(A3+1&gt;MAX('Таблиця 1'!$B:$B),"",A3+1))</f>
        <v/>
      </c>
      <c r="B4">
        <f>IF($A4="","",COUNTIFS('Таблиця 1'!$B:$B,$A4,'Таблиця 1'!$I:$I,"Mirage")+COUNTIFS('Таблиця 1'!$B:$B,$A4,'Таблиця 1'!$I:$I,"F-16")+COUNTIFS('Таблиця 1'!$B:$B,$A4,'Таблиця 1'!$I:$I,"МіГ-29")+COUNTIFS('Таблиця 1'!$B:$B,$A4,'Таблиця 1'!$I:$I,"Су-25")+COUNTIFS('Таблиця 1'!$B:$B,$A4,'Таблиця 1'!$I:$I,"Су-27"))</f>
        <v/>
      </c>
      <c r="C4">
        <f>IF($A4="","",COUNTIFS('Таблиця 1'!$B:$B,$A4,'Таблиця 1'!$I:$I,"Mirage"))</f>
        <v/>
      </c>
      <c r="D4">
        <f>IF($A4="","",COUNTIFS('Таблиця 1'!$B:$B,$A4,'Таблиця 1'!$I:$I,"F-16"))</f>
        <v/>
      </c>
      <c r="E4">
        <f>IF($A4="","",COUNTIFS('Таблиця 1'!$B:$B,$A4,'Таблиця 1'!$I:$I,"МіГ-29"))</f>
        <v/>
      </c>
      <c r="F4">
        <f>IF($A4="","",COUNTIFS('Таблиця 1'!$B:$B,$A4,'Таблиця 1'!$I:$I,"Су-25"))</f>
        <v/>
      </c>
      <c r="G4">
        <f>IF($A4="","",COUNTIFS('Таблиця 1'!$B:$B,$A4,'Таблиця 1'!$I:$I,"Су-27"))</f>
        <v/>
      </c>
      <c r="H4">
        <f>IF($A4="","",SUMIFS('Таблиця 1'!$K:$K,'Таблиця 1'!$B:$B,$A4,'Таблиця 1'!$I:$I,"Mirage",'Таблиця 1'!$J:$J,"AGM-88")+SUMIFS('Таблиця 1'!$K:$K,'Таблиця 1'!$B:$B,$A4,'Таблиця 1'!$I:$I,"F-16",'Таблиця 1'!$J:$J,"AGM-88")+SUMIFS('Таблиця 1'!$K:$K,'Таблиця 1'!$B:$B,$A4,'Таблиця 1'!$I:$I,"МіГ-29",'Таблиця 1'!$J:$J,"AGM-88")+SUMIFS('Таблиця 1'!$K:$K,'Таблиця 1'!$B:$B,$A4,'Таблиця 1'!$I:$I,"Су-25",'Таблиця 1'!$J:$J,"AGM-88")+SUMIFS('Таблиця 1'!$K:$K,'Таблиця 1'!$B:$B,$A4,'Таблиця 1'!$I:$I,"Су-27",'Таблиця 1'!$J:$J,"AGM-88"))</f>
        <v/>
      </c>
      <c r="I4">
        <f>IF($A4="","",SUMIFS('Таблиця 1'!$K:$K,'Таблиця 1'!$B:$B,$A4,'Таблиця 1'!$I:$I,"Mirage",'Таблиця 1'!$J:$J,"AASM-250")+SUMIFS('Таблиця 1'!$K:$K,'Таблиця 1'!$B:$B,$A4,'Таблиця 1'!$I:$I,"F-16",'Таблиця 1'!$J:$J,"AASM-250")+SUMIFS('Таблиця 1'!$K:$K,'Таблиця 1'!$B:$B,$A4,'Таблиця 1'!$I:$I,"МіГ-29",'Таблиця 1'!$J:$J,"AASM-250")+SUMIFS('Таблиця 1'!$K:$K,'Таблиця 1'!$B:$B,$A4,'Таблиця 1'!$I:$I,"Су-25",'Таблиця 1'!$J:$J,"AASM-250")+SUMIFS('Таблиця 1'!$K:$K,'Таблиця 1'!$B:$B,$A4,'Таблиця 1'!$I:$I,"Су-27",'Таблиця 1'!$J:$J,"AASM-250"))</f>
        <v/>
      </c>
      <c r="J4">
        <f>IF($A4="","",SUMIFS('Таблиця 1'!$K:$K,'Таблиця 1'!$B:$B,$A4,'Таблиця 1'!$I:$I,"Mirage",'Таблиця 1'!$J:$J,"GBU-39")+SUMIFS('Таблиця 1'!$K:$K,'Таблиця 1'!$B:$B,$A4,'Таблиця 1'!$I:$I,"F-16",'Таблиця 1'!$J:$J,"GBU-39")+SUMIFS('Таблиця 1'!$K:$K,'Таблиця 1'!$B:$B,$A4,'Таблиця 1'!$I:$I,"МіГ-29",'Таблиця 1'!$J:$J,"GBU-39")+SUMIFS('Таблиця 1'!$K:$K,'Таблиця 1'!$B:$B,$A4,'Таблиця 1'!$I:$I,"Су-25",'Таблиця 1'!$J:$J,"GBU-39")+SUMIFS('Таблиця 1'!$K:$K,'Таблиця 1'!$B:$B,$A4,'Таблиця 1'!$I:$I,"Су-27",'Таблиця 1'!$J:$J,"GBU-39"))</f>
        <v/>
      </c>
      <c r="K4">
        <f>IF($A4="","",SUMIFS('Таблиця 1'!$K:$K,'Таблиця 1'!$B:$B,$A4,'Таблиця 1'!$I:$I,"Mirage",'Таблиця 1'!$J:$J,"BLU-140")+SUMIFS('Таблиця 1'!$K:$K,'Таблиця 1'!$B:$B,$A4,'Таблиця 1'!$I:$I,"F-16",'Таблиця 1'!$J:$J,"BLU-140")+SUMIFS('Таблиця 1'!$K:$K,'Таблиця 1'!$B:$B,$A4,'Таблиця 1'!$I:$I,"МіГ-29",'Таблиця 1'!$J:$J,"BLU-140")+SUMIFS('Таблиця 1'!$K:$K,'Таблиця 1'!$B:$B,$A4,'Таблиця 1'!$I:$I,"Су-25",'Таблиця 1'!$J:$J,"BLU-140")+SUMIFS('Таблиця 1'!$K:$K,'Таблиця 1'!$B:$B,$A4,'Таблиця 1'!$I:$I,"Су-27",'Таблиця 1'!$J:$J,"BLU-140"))</f>
        <v/>
      </c>
      <c r="L4">
        <f>IF($A4="","",SUMIFS('Таблиця 1'!$K:$K,'Таблиця 1'!$B:$B,$A4,'Таблиця 1'!$I:$I,"Mirage",'Таблиця 1'!$J:$J,"GBU-65")+SUMIFS('Таблиця 1'!$K:$K,'Таблиця 1'!$B:$B,$A4,'Таблиця 1'!$I:$I,"F-16",'Таблиця 1'!$J:$J,"GBU-65")+SUMIFS('Таблиця 1'!$K:$K,'Таблиця 1'!$B:$B,$A4,'Таблиця 1'!$I:$I,"МіГ-29",'Таблиця 1'!$J:$J,"GBU-65")+SUMIFS('Таблиця 1'!$K:$K,'Таблиця 1'!$B:$B,$A4,'Таблиця 1'!$I:$I,"Су-25",'Таблиця 1'!$J:$J,"GBU-65")+SUMIFS('Таблиця 1'!$K:$K,'Таблиця 1'!$B:$B,$A4,'Таблиця 1'!$I:$I,"Су-27",'Таблиця 1'!$J:$J,"GBU-65"))</f>
        <v/>
      </c>
      <c r="M4">
        <f>IF($A4="","",SUMIFS('Таблиця 1'!$K:$K,'Таблиця 1'!$B:$B,$A4,'Таблиця 1'!$I:$I,"Mirage",'Таблиця 1'!$J:$J,"GBU-62")+SUMIFS('Таблиця 1'!$K:$K,'Таблиця 1'!$B:$B,$A4,'Таблиця 1'!$I:$I,"F-16",'Таблиця 1'!$J:$J,"GBU-62")+SUMIFS('Таблиця 1'!$K:$K,'Таблиця 1'!$B:$B,$A4,'Таблиця 1'!$I:$I,"МіГ-29",'Таблиця 1'!$J:$J,"GBU-62")+SUMIFS('Таблиця 1'!$K:$K,'Таблиця 1'!$B:$B,$A4,'Таблиця 1'!$I:$I,"Су-25",'Таблиця 1'!$J:$J,"GBU-62")+SUMIFS('Таблиця 1'!$K:$K,'Таблиця 1'!$B:$B,$A4,'Таблиця 1'!$I:$I,"Су-27",'Таблиця 1'!$J:$J,"GBU-62"))</f>
        <v/>
      </c>
      <c r="N4">
        <f>IF($A4="","",SUMIFS('Таблиця 1'!$K:$K,'Таблиця 1'!$B:$B,$A4,'Таблиця 1'!$I:$I,"Mirage",'Таблиця 1'!$J:$J,"GBU-64")+SUMIFS('Таблиця 1'!$K:$K,'Таблиця 1'!$B:$B,$A4,'Таблиця 1'!$I:$I,"F-16",'Таблиця 1'!$J:$J,"GBU-64")+SUMIFS('Таблиця 1'!$K:$K,'Таблиця 1'!$B:$B,$A4,'Таблиця 1'!$I:$I,"МіГ-29",'Таблиця 1'!$J:$J,"GBU-64")+SUMIFS('Таблиця 1'!$K:$K,'Таблиця 1'!$B:$B,$A4,'Таблиця 1'!$I:$I,"Су-25",'Таблиця 1'!$J:$J,"GBU-64")+SUMIFS('Таблиця 1'!$K:$K,'Таблиця 1'!$B:$B,$A4,'Таблиця 1'!$I:$I,"Су-27",'Таблиця 1'!$J:$J,"GBU-64"))</f>
        <v/>
      </c>
      <c r="O4">
        <f>IF($A4="","",SUMIFS('Таблиця 1'!$K:$K,'Таблиця 1'!$B:$B,$A4,'Таблиця 1'!$I:$I,"Mirage",'Таблиця 1'!$J:$J,"C-13")+SUMIFS('Таблиця 1'!$K:$K,'Таблиця 1'!$B:$B,$A4,'Таблиця 1'!$I:$I,"F-16",'Таблиця 1'!$J:$J,"C-13")+SUMIFS('Таблиця 1'!$K:$K,'Таблиця 1'!$B:$B,$A4,'Таблиця 1'!$I:$I,"МіГ-29",'Таблиця 1'!$J:$J,"C-13")+SUMIFS('Таблиця 1'!$K:$K,'Таблиця 1'!$B:$B,$A4,'Таблиця 1'!$I:$I,"Су-25",'Таблиця 1'!$J:$J,"C-13")+SUMIFS('Таблиця 1'!$K:$K,'Таблиця 1'!$B:$B,$A4,'Таблиця 1'!$I:$I,"Су-27",'Таблиця 1'!$J:$J,"C-13"))</f>
        <v/>
      </c>
      <c r="P4">
        <f>IF($A4="","",SUMIFS('Таблиця 1'!$K:$K,'Таблиця 1'!$B:$B,$A4,'Таблиця 1'!$I:$I,"Mirage",'Таблиця 1'!$J:$J,"MK-32")+SUMIFS('Таблиця 1'!$K:$K,'Таблиця 1'!$B:$B,$A4,'Таблиця 1'!$I:$I,"F-16",'Таблиця 1'!$J:$J,"MK-32")+SUMIFS('Таблиця 1'!$K:$K,'Таблиця 1'!$B:$B,$A4,'Таблиця 1'!$I:$I,"МіГ-29",'Таблиця 1'!$J:$J,"MK-32")+SUMIFS('Таблиця 1'!$K:$K,'Таблиця 1'!$B:$B,$A4,'Таблиця 1'!$I:$I,"Су-25",'Таблиця 1'!$J:$J,"MK-32")+SUMIFS('Таблиця 1'!$K:$K,'Таблиця 1'!$B:$B,$A4,'Таблиця 1'!$I:$I,"Су-27",'Таблиця 1'!$J:$J,"MK-32"))</f>
        <v/>
      </c>
      <c r="Q4">
        <f>IF($A4="","",SUMIFS('Таблиця 1'!$K:$K,'Таблиця 1'!$B:$B,$A4,'Таблиця 1'!$I:$I,"Mirage",'Таблиця 1'!$J:$J,"MK-24")+SUMIFS('Таблиця 1'!$K:$K,'Таблиця 1'!$B:$B,$A4,'Таблиця 1'!$I:$I,"F-16",'Таблиця 1'!$J:$J,"MK-24")+SUMIFS('Таблиця 1'!$K:$K,'Таблиця 1'!$B:$B,$A4,'Таблиця 1'!$I:$I,"МіГ-29",'Таблиця 1'!$J:$J,"MK-24")+SUMIFS('Таблиця 1'!$K:$K,'Таблиця 1'!$B:$B,$A4,'Таблиця 1'!$I:$I,"Су-25",'Таблиця 1'!$J:$J,"MK-24")+SUMIFS('Таблиця 1'!$K:$K,'Таблиця 1'!$B:$B,$A4,'Таблиця 1'!$I:$I,"Су-27",'Таблиця 1'!$J:$J,"MK-24"))</f>
        <v/>
      </c>
      <c r="R4">
        <f>IF($A4="","",COUNTIFS('Таблиця 1'!$B:$B,$A4,'Таблиця 1'!$I:$I,"Mirage",'Таблиця 1'!$L:$L,"Уражено")+COUNTIFS('Таблиця 1'!$B:$B,$A4,'Таблиця 1'!$I:$I,"F-16",'Таблиця 1'!$L:$L,"Уражено")+COUNTIFS('Таблиця 1'!$B:$B,$A4,'Таблиця 1'!$I:$I,"МіГ-29",'Таблиця 1'!$L:$L,"Уражено")+COUNTIFS('Таблиця 1'!$B:$B,$A4,'Таблиця 1'!$I:$I,"Су-25",'Таблиця 1'!$L:$L,"Уражено")+COUNTIFS('Таблиця 1'!$B:$B,$A4,'Таблиця 1'!$I:$I,"Су-27",'Таблиця 1'!$L:$L,"Уражено"))</f>
        <v/>
      </c>
      <c r="S4">
        <f>IF($A4="","",COUNTIFS('Таблиця 1'!$B:$B,$A4,'Таблиця 1'!$I:$I,"Mirage",'Таблиця 1'!$L:$L,"НЕ уражено")+COUNTIFS('Таблиця 1'!$B:$B,$A4,'Таблиця 1'!$I:$I,"F-16",'Таблиця 1'!$L:$L,"НЕ уражено")+COUNTIFS('Таблиця 1'!$B:$B,$A4,'Таблиця 1'!$I:$I,"МіГ-29",'Таблиця 1'!$L:$L,"НЕ уражено")+COUNTIFS('Таблиця 1'!$B:$B,$A4,'Таблиця 1'!$I:$I,"Су-25",'Таблиця 1'!$L:$L,"НЕ уражено")+COUNTIFS('Таблиця 1'!$B:$B,$A4,'Таблиця 1'!$I:$I,"Су-27",'Таблиця 1'!$L:$L,"НЕ уражено"))</f>
        <v/>
      </c>
      <c r="T4">
        <f>IF($A4="","",COUNTIFS('Таблиця 1'!$B:$B,$A4,'Таблиця 1'!$I:$I,"Mirage",'Таблиця 1'!$L:$L,"Дорозвідується")+COUNTIFS('Таблиця 1'!$B:$B,$A4,'Таблиця 1'!$I:$I,"F-16",'Таблиця 1'!$L:$L,"Дорозвідується")+COUNTIFS('Таблиця 1'!$B:$B,$A4,'Таблиця 1'!$I:$I,"МіГ-29",'Таблиця 1'!$L:$L,"Дорозвідується")+COUNTIFS('Таблиця 1'!$B:$B,$A4,'Таблиця 1'!$I:$I,"Су-25",'Таблиця 1'!$L:$L,"Дорозвідується")+COUNTIFS('Таблиця 1'!$B:$B,$A4,'Таблиця 1'!$I:$I,"Су-27",'Таблиця 1'!$L:$L,"Дорозвідується"))</f>
        <v/>
      </c>
    </row>
    <row r="5">
      <c r="A5" s="273">
        <f>IF(A4="","",IF(A4+1&gt;MAX('Таблиця 1'!$B:$B),"",A4+1))</f>
        <v/>
      </c>
      <c r="B5">
        <f>IF($A5="","",COUNTIFS('Таблиця 1'!$B:$B,$A5,'Таблиця 1'!$I:$I,"Mirage")+COUNTIFS('Таблиця 1'!$B:$B,$A5,'Таблиця 1'!$I:$I,"F-16")+COUNTIFS('Таблиця 1'!$B:$B,$A5,'Таблиця 1'!$I:$I,"МіГ-29")+COUNTIFS('Таблиця 1'!$B:$B,$A5,'Таблиця 1'!$I:$I,"Су-25")+COUNTIFS('Таблиця 1'!$B:$B,$A5,'Таблиця 1'!$I:$I,"Су-27"))</f>
        <v/>
      </c>
      <c r="C5">
        <f>IF($A5="","",COUNTIFS('Таблиця 1'!$B:$B,$A5,'Таблиця 1'!$I:$I,"Mirage"))</f>
        <v/>
      </c>
      <c r="D5">
        <f>IF($A5="","",COUNTIFS('Таблиця 1'!$B:$B,$A5,'Таблиця 1'!$I:$I,"F-16"))</f>
        <v/>
      </c>
      <c r="E5">
        <f>IF($A5="","",COUNTIFS('Таблиця 1'!$B:$B,$A5,'Таблиця 1'!$I:$I,"МіГ-29"))</f>
        <v/>
      </c>
      <c r="F5">
        <f>IF($A5="","",COUNTIFS('Таблиця 1'!$B:$B,$A5,'Таблиця 1'!$I:$I,"Су-25"))</f>
        <v/>
      </c>
      <c r="G5">
        <f>IF($A5="","",COUNTIFS('Таблиця 1'!$B:$B,$A5,'Таблиця 1'!$I:$I,"Су-27"))</f>
        <v/>
      </c>
      <c r="H5">
        <f>IF($A5="","",SUMIFS('Таблиця 1'!$K:$K,'Таблиця 1'!$B:$B,$A5,'Таблиця 1'!$I:$I,"Mirage",'Таблиця 1'!$J:$J,"AGM-88")+SUMIFS('Таблиця 1'!$K:$K,'Таблиця 1'!$B:$B,$A5,'Таблиця 1'!$I:$I,"F-16",'Таблиця 1'!$J:$J,"AGM-88")+SUMIFS('Таблиця 1'!$K:$K,'Таблиця 1'!$B:$B,$A5,'Таблиця 1'!$I:$I,"МіГ-29",'Таблиця 1'!$J:$J,"AGM-88")+SUMIFS('Таблиця 1'!$K:$K,'Таблиця 1'!$B:$B,$A5,'Таблиця 1'!$I:$I,"Су-25",'Таблиця 1'!$J:$J,"AGM-88")+SUMIFS('Таблиця 1'!$K:$K,'Таблиця 1'!$B:$B,$A5,'Таблиця 1'!$I:$I,"Су-27",'Таблиця 1'!$J:$J,"AGM-88"))</f>
        <v/>
      </c>
      <c r="I5">
        <f>IF($A5="","",SUMIFS('Таблиця 1'!$K:$K,'Таблиця 1'!$B:$B,$A5,'Таблиця 1'!$I:$I,"Mirage",'Таблиця 1'!$J:$J,"AASM-250")+SUMIFS('Таблиця 1'!$K:$K,'Таблиця 1'!$B:$B,$A5,'Таблиця 1'!$I:$I,"F-16",'Таблиця 1'!$J:$J,"AASM-250")+SUMIFS('Таблиця 1'!$K:$K,'Таблиця 1'!$B:$B,$A5,'Таблиця 1'!$I:$I,"МіГ-29",'Таблиця 1'!$J:$J,"AASM-250")+SUMIFS('Таблиця 1'!$K:$K,'Таблиця 1'!$B:$B,$A5,'Таблиця 1'!$I:$I,"Су-25",'Таблиця 1'!$J:$J,"AASM-250")+SUMIFS('Таблиця 1'!$K:$K,'Таблиця 1'!$B:$B,$A5,'Таблиця 1'!$I:$I,"Су-27",'Таблиця 1'!$J:$J,"AASM-250"))</f>
        <v/>
      </c>
      <c r="J5">
        <f>IF($A5="","",SUMIFS('Таблиця 1'!$K:$K,'Таблиця 1'!$B:$B,$A5,'Таблиця 1'!$I:$I,"Mirage",'Таблиця 1'!$J:$J,"GBU-39")+SUMIFS('Таблиця 1'!$K:$K,'Таблиця 1'!$B:$B,$A5,'Таблиця 1'!$I:$I,"F-16",'Таблиця 1'!$J:$J,"GBU-39")+SUMIFS('Таблиця 1'!$K:$K,'Таблиця 1'!$B:$B,$A5,'Таблиця 1'!$I:$I,"МіГ-29",'Таблиця 1'!$J:$J,"GBU-39")+SUMIFS('Таблиця 1'!$K:$K,'Таблиця 1'!$B:$B,$A5,'Таблиця 1'!$I:$I,"Су-25",'Таблиця 1'!$J:$J,"GBU-39")+SUMIFS('Таблиця 1'!$K:$K,'Таблиця 1'!$B:$B,$A5,'Таблиця 1'!$I:$I,"Су-27",'Таблиця 1'!$J:$J,"GBU-39"))</f>
        <v/>
      </c>
      <c r="K5">
        <f>IF($A5="","",SUMIFS('Таблиця 1'!$K:$K,'Таблиця 1'!$B:$B,$A5,'Таблиця 1'!$I:$I,"Mirage",'Таблиця 1'!$J:$J,"BLU-140")+SUMIFS('Таблиця 1'!$K:$K,'Таблиця 1'!$B:$B,$A5,'Таблиця 1'!$I:$I,"F-16",'Таблиця 1'!$J:$J,"BLU-140")+SUMIFS('Таблиця 1'!$K:$K,'Таблиця 1'!$B:$B,$A5,'Таблиця 1'!$I:$I,"МіГ-29",'Таблиця 1'!$J:$J,"BLU-140")+SUMIFS('Таблиця 1'!$K:$K,'Таблиця 1'!$B:$B,$A5,'Таблиця 1'!$I:$I,"Су-25",'Таблиця 1'!$J:$J,"BLU-140")+SUMIFS('Таблиця 1'!$K:$K,'Таблиця 1'!$B:$B,$A5,'Таблиця 1'!$I:$I,"Су-27",'Таблиця 1'!$J:$J,"BLU-140"))</f>
        <v/>
      </c>
      <c r="L5">
        <f>IF($A5="","",SUMIFS('Таблиця 1'!$K:$K,'Таблиця 1'!$B:$B,$A5,'Таблиця 1'!$I:$I,"Mirage",'Таблиця 1'!$J:$J,"GBU-65")+SUMIFS('Таблиця 1'!$K:$K,'Таблиця 1'!$B:$B,$A5,'Таблиця 1'!$I:$I,"F-16",'Таблиця 1'!$J:$J,"GBU-65")+SUMIFS('Таблиця 1'!$K:$K,'Таблиця 1'!$B:$B,$A5,'Таблиця 1'!$I:$I,"МіГ-29",'Таблиця 1'!$J:$J,"GBU-65")+SUMIFS('Таблиця 1'!$K:$K,'Таблиця 1'!$B:$B,$A5,'Таблиця 1'!$I:$I,"Су-25",'Таблиця 1'!$J:$J,"GBU-65")+SUMIFS('Таблиця 1'!$K:$K,'Таблиця 1'!$B:$B,$A5,'Таблиця 1'!$I:$I,"Су-27",'Таблиця 1'!$J:$J,"GBU-65"))</f>
        <v/>
      </c>
      <c r="M5">
        <f>IF($A5="","",SUMIFS('Таблиця 1'!$K:$K,'Таблиця 1'!$B:$B,$A5,'Таблиця 1'!$I:$I,"Mirage",'Таблиця 1'!$J:$J,"GBU-62")+SUMIFS('Таблиця 1'!$K:$K,'Таблиця 1'!$B:$B,$A5,'Таблиця 1'!$I:$I,"F-16",'Таблиця 1'!$J:$J,"GBU-62")+SUMIFS('Таблиця 1'!$K:$K,'Таблиця 1'!$B:$B,$A5,'Таблиця 1'!$I:$I,"МіГ-29",'Таблиця 1'!$J:$J,"GBU-62")+SUMIFS('Таблиця 1'!$K:$K,'Таблиця 1'!$B:$B,$A5,'Таблиця 1'!$I:$I,"Су-25",'Таблиця 1'!$J:$J,"GBU-62")+SUMIFS('Таблиця 1'!$K:$K,'Таблиця 1'!$B:$B,$A5,'Таблиця 1'!$I:$I,"Су-27",'Таблиця 1'!$J:$J,"GBU-62"))</f>
        <v/>
      </c>
      <c r="N5">
        <f>IF($A5="","",SUMIFS('Таблиця 1'!$K:$K,'Таблиця 1'!$B:$B,$A5,'Таблиця 1'!$I:$I,"Mirage",'Таблиця 1'!$J:$J,"GBU-64")+SUMIFS('Таблиця 1'!$K:$K,'Таблиця 1'!$B:$B,$A5,'Таблиця 1'!$I:$I,"F-16",'Таблиця 1'!$J:$J,"GBU-64")+SUMIFS('Таблиця 1'!$K:$K,'Таблиця 1'!$B:$B,$A5,'Таблиця 1'!$I:$I,"МіГ-29",'Таблиця 1'!$J:$J,"GBU-64")+SUMIFS('Таблиця 1'!$K:$K,'Таблиця 1'!$B:$B,$A5,'Таблиця 1'!$I:$I,"Су-25",'Таблиця 1'!$J:$J,"GBU-64")+SUMIFS('Таблиця 1'!$K:$K,'Таблиця 1'!$B:$B,$A5,'Таблиця 1'!$I:$I,"Су-27",'Таблиця 1'!$J:$J,"GBU-64"))</f>
        <v/>
      </c>
      <c r="O5">
        <f>IF($A5="","",SUMIFS('Таблиця 1'!$K:$K,'Таблиця 1'!$B:$B,$A5,'Таблиця 1'!$I:$I,"Mirage",'Таблиця 1'!$J:$J,"C-13")+SUMIFS('Таблиця 1'!$K:$K,'Таблиця 1'!$B:$B,$A5,'Таблиця 1'!$I:$I,"F-16",'Таблиця 1'!$J:$J,"C-13")+SUMIFS('Таблиця 1'!$K:$K,'Таблиця 1'!$B:$B,$A5,'Таблиця 1'!$I:$I,"МіГ-29",'Таблиця 1'!$J:$J,"C-13")+SUMIFS('Таблиця 1'!$K:$K,'Таблиця 1'!$B:$B,$A5,'Таблиця 1'!$I:$I,"Су-25",'Таблиця 1'!$J:$J,"C-13")+SUMIFS('Таблиця 1'!$K:$K,'Таблиця 1'!$B:$B,$A5,'Таблиця 1'!$I:$I,"Су-27",'Таблиця 1'!$J:$J,"C-13"))</f>
        <v/>
      </c>
      <c r="P5">
        <f>IF($A5="","",SUMIFS('Таблиця 1'!$K:$K,'Таблиця 1'!$B:$B,$A5,'Таблиця 1'!$I:$I,"Mirage",'Таблиця 1'!$J:$J,"MK-32")+SUMIFS('Таблиця 1'!$K:$K,'Таблиця 1'!$B:$B,$A5,'Таблиця 1'!$I:$I,"F-16",'Таблиця 1'!$J:$J,"MK-32")+SUMIFS('Таблиця 1'!$K:$K,'Таблиця 1'!$B:$B,$A5,'Таблиця 1'!$I:$I,"МіГ-29",'Таблиця 1'!$J:$J,"MK-32")+SUMIFS('Таблиця 1'!$K:$K,'Таблиця 1'!$B:$B,$A5,'Таблиця 1'!$I:$I,"Су-25",'Таблиця 1'!$J:$J,"MK-32")+SUMIFS('Таблиця 1'!$K:$K,'Таблиця 1'!$B:$B,$A5,'Таблиця 1'!$I:$I,"Су-27",'Таблиця 1'!$J:$J,"MK-32"))</f>
        <v/>
      </c>
      <c r="Q5">
        <f>IF($A5="","",SUMIFS('Таблиця 1'!$K:$K,'Таблиця 1'!$B:$B,$A5,'Таблиця 1'!$I:$I,"Mirage",'Таблиця 1'!$J:$J,"MK-24")+SUMIFS('Таблиця 1'!$K:$K,'Таблиця 1'!$B:$B,$A5,'Таблиця 1'!$I:$I,"F-16",'Таблиця 1'!$J:$J,"MK-24")+SUMIFS('Таблиця 1'!$K:$K,'Таблиця 1'!$B:$B,$A5,'Таблиця 1'!$I:$I,"МіГ-29",'Таблиця 1'!$J:$J,"MK-24")+SUMIFS('Таблиця 1'!$K:$K,'Таблиця 1'!$B:$B,$A5,'Таблиця 1'!$I:$I,"Су-25",'Таблиця 1'!$J:$J,"MK-24")+SUMIFS('Таблиця 1'!$K:$K,'Таблиця 1'!$B:$B,$A5,'Таблиця 1'!$I:$I,"Су-27",'Таблиця 1'!$J:$J,"MK-24"))</f>
        <v/>
      </c>
      <c r="R5">
        <f>IF($A5="","",COUNTIFS('Таблиця 1'!$B:$B,$A5,'Таблиця 1'!$I:$I,"Mirage",'Таблиця 1'!$L:$L,"Уражено")+COUNTIFS('Таблиця 1'!$B:$B,$A5,'Таблиця 1'!$I:$I,"F-16",'Таблиця 1'!$L:$L,"Уражено")+COUNTIFS('Таблиця 1'!$B:$B,$A5,'Таблиця 1'!$I:$I,"МіГ-29",'Таблиця 1'!$L:$L,"Уражено")+COUNTIFS('Таблиця 1'!$B:$B,$A5,'Таблиця 1'!$I:$I,"Су-25",'Таблиця 1'!$L:$L,"Уражено")+COUNTIFS('Таблиця 1'!$B:$B,$A5,'Таблиця 1'!$I:$I,"Су-27",'Таблиця 1'!$L:$L,"Уражено"))</f>
        <v/>
      </c>
      <c r="S5">
        <f>IF($A5="","",COUNTIFS('Таблиця 1'!$B:$B,$A5,'Таблиця 1'!$I:$I,"Mirage",'Таблиця 1'!$L:$L,"НЕ уражено")+COUNTIFS('Таблиця 1'!$B:$B,$A5,'Таблиця 1'!$I:$I,"F-16",'Таблиця 1'!$L:$L,"НЕ уражено")+COUNTIFS('Таблиця 1'!$B:$B,$A5,'Таблиця 1'!$I:$I,"МіГ-29",'Таблиця 1'!$L:$L,"НЕ уражено")+COUNTIFS('Таблиця 1'!$B:$B,$A5,'Таблиця 1'!$I:$I,"Су-25",'Таблиця 1'!$L:$L,"НЕ уражено")+COUNTIFS('Таблиця 1'!$B:$B,$A5,'Таблиця 1'!$I:$I,"Су-27",'Таблиця 1'!$L:$L,"НЕ уражено"))</f>
        <v/>
      </c>
      <c r="T5">
        <f>IF($A5="","",COUNTIFS('Таблиця 1'!$B:$B,$A5,'Таблиця 1'!$I:$I,"Mirage",'Таблиця 1'!$L:$L,"Дорозвідується")+COUNTIFS('Таблиця 1'!$B:$B,$A5,'Таблиця 1'!$I:$I,"F-16",'Таблиця 1'!$L:$L,"Дорозвідується")+COUNTIFS('Таблиця 1'!$B:$B,$A5,'Таблиця 1'!$I:$I,"МіГ-29",'Таблиця 1'!$L:$L,"Дорозвідується")+COUNTIFS('Таблиця 1'!$B:$B,$A5,'Таблиця 1'!$I:$I,"Су-25",'Таблиця 1'!$L:$L,"Дорозвідується")+COUNTIFS('Таблиця 1'!$B:$B,$A5,'Таблиця 1'!$I:$I,"Су-27",'Таблиця 1'!$L:$L,"Дорозвідується"))</f>
        <v/>
      </c>
    </row>
    <row r="6">
      <c r="A6" s="273">
        <f>IF(A5="","",IF(A5+1&gt;MAX('Таблиця 1'!$B:$B),"",A5+1))</f>
        <v/>
      </c>
      <c r="B6">
        <f>IF($A6="","",COUNTIFS('Таблиця 1'!$B:$B,$A6,'Таблиця 1'!$I:$I,"Mirage")+COUNTIFS('Таблиця 1'!$B:$B,$A6,'Таблиця 1'!$I:$I,"F-16")+COUNTIFS('Таблиця 1'!$B:$B,$A6,'Таблиця 1'!$I:$I,"МіГ-29")+COUNTIFS('Таблиця 1'!$B:$B,$A6,'Таблиця 1'!$I:$I,"Су-25")+COUNTIFS('Таблиця 1'!$B:$B,$A6,'Таблиця 1'!$I:$I,"Су-27"))</f>
        <v/>
      </c>
      <c r="C6">
        <f>IF($A6="","",COUNTIFS('Таблиця 1'!$B:$B,$A6,'Таблиця 1'!$I:$I,"Mirage"))</f>
        <v/>
      </c>
      <c r="D6">
        <f>IF($A6="","",COUNTIFS('Таблиця 1'!$B:$B,$A6,'Таблиця 1'!$I:$I,"F-16"))</f>
        <v/>
      </c>
      <c r="E6">
        <f>IF($A6="","",COUNTIFS('Таблиця 1'!$B:$B,$A6,'Таблиця 1'!$I:$I,"МіГ-29"))</f>
        <v/>
      </c>
      <c r="F6">
        <f>IF($A6="","",COUNTIFS('Таблиця 1'!$B:$B,$A6,'Таблиця 1'!$I:$I,"Су-25"))</f>
        <v/>
      </c>
      <c r="G6">
        <f>IF($A6="","",COUNTIFS('Таблиця 1'!$B:$B,$A6,'Таблиця 1'!$I:$I,"Су-27"))</f>
        <v/>
      </c>
      <c r="H6">
        <f>IF($A6="","",SUMIFS('Таблиця 1'!$K:$K,'Таблиця 1'!$B:$B,$A6,'Таблиця 1'!$I:$I,"Mirage",'Таблиця 1'!$J:$J,"AGM-88")+SUMIFS('Таблиця 1'!$K:$K,'Таблиця 1'!$B:$B,$A6,'Таблиця 1'!$I:$I,"F-16",'Таблиця 1'!$J:$J,"AGM-88")+SUMIFS('Таблиця 1'!$K:$K,'Таблиця 1'!$B:$B,$A6,'Таблиця 1'!$I:$I,"МіГ-29",'Таблиця 1'!$J:$J,"AGM-88")+SUMIFS('Таблиця 1'!$K:$K,'Таблиця 1'!$B:$B,$A6,'Таблиця 1'!$I:$I,"Су-25",'Таблиця 1'!$J:$J,"AGM-88")+SUMIFS('Таблиця 1'!$K:$K,'Таблиця 1'!$B:$B,$A6,'Таблиця 1'!$I:$I,"Су-27",'Таблиця 1'!$J:$J,"AGM-88"))</f>
        <v/>
      </c>
      <c r="I6">
        <f>IF($A6="","",SUMIFS('Таблиця 1'!$K:$K,'Таблиця 1'!$B:$B,$A6,'Таблиця 1'!$I:$I,"Mirage",'Таблиця 1'!$J:$J,"AASM-250")+SUMIFS('Таблиця 1'!$K:$K,'Таблиця 1'!$B:$B,$A6,'Таблиця 1'!$I:$I,"F-16",'Таблиця 1'!$J:$J,"AASM-250")+SUMIFS('Таблиця 1'!$K:$K,'Таблиця 1'!$B:$B,$A6,'Таблиця 1'!$I:$I,"МіГ-29",'Таблиця 1'!$J:$J,"AASM-250")+SUMIFS('Таблиця 1'!$K:$K,'Таблиця 1'!$B:$B,$A6,'Таблиця 1'!$I:$I,"Су-25",'Таблиця 1'!$J:$J,"AASM-250")+SUMIFS('Таблиця 1'!$K:$K,'Таблиця 1'!$B:$B,$A6,'Таблиця 1'!$I:$I,"Су-27",'Таблиця 1'!$J:$J,"AASM-250"))</f>
        <v/>
      </c>
      <c r="J6">
        <f>IF($A6="","",SUMIFS('Таблиця 1'!$K:$K,'Таблиця 1'!$B:$B,$A6,'Таблиця 1'!$I:$I,"Mirage",'Таблиця 1'!$J:$J,"GBU-39")+SUMIFS('Таблиця 1'!$K:$K,'Таблиця 1'!$B:$B,$A6,'Таблиця 1'!$I:$I,"F-16",'Таблиця 1'!$J:$J,"GBU-39")+SUMIFS('Таблиця 1'!$K:$K,'Таблиця 1'!$B:$B,$A6,'Таблиця 1'!$I:$I,"МіГ-29",'Таблиця 1'!$J:$J,"GBU-39")+SUMIFS('Таблиця 1'!$K:$K,'Таблиця 1'!$B:$B,$A6,'Таблиця 1'!$I:$I,"Су-25",'Таблиця 1'!$J:$J,"GBU-39")+SUMIFS('Таблиця 1'!$K:$K,'Таблиця 1'!$B:$B,$A6,'Таблиця 1'!$I:$I,"Су-27",'Таблиця 1'!$J:$J,"GBU-39"))</f>
        <v/>
      </c>
      <c r="K6">
        <f>IF($A6="","",SUMIFS('Таблиця 1'!$K:$K,'Таблиця 1'!$B:$B,$A6,'Таблиця 1'!$I:$I,"Mirage",'Таблиця 1'!$J:$J,"BLU-140")+SUMIFS('Таблиця 1'!$K:$K,'Таблиця 1'!$B:$B,$A6,'Таблиця 1'!$I:$I,"F-16",'Таблиця 1'!$J:$J,"BLU-140")+SUMIFS('Таблиця 1'!$K:$K,'Таблиця 1'!$B:$B,$A6,'Таблиця 1'!$I:$I,"МіГ-29",'Таблиця 1'!$J:$J,"BLU-140")+SUMIFS('Таблиця 1'!$K:$K,'Таблиця 1'!$B:$B,$A6,'Таблиця 1'!$I:$I,"Су-25",'Таблиця 1'!$J:$J,"BLU-140")+SUMIFS('Таблиця 1'!$K:$K,'Таблиця 1'!$B:$B,$A6,'Таблиця 1'!$I:$I,"Су-27",'Таблиця 1'!$J:$J,"BLU-140"))</f>
        <v/>
      </c>
      <c r="L6">
        <f>IF($A6="","",SUMIFS('Таблиця 1'!$K:$K,'Таблиця 1'!$B:$B,$A6,'Таблиця 1'!$I:$I,"Mirage",'Таблиця 1'!$J:$J,"GBU-65")+SUMIFS('Таблиця 1'!$K:$K,'Таблиця 1'!$B:$B,$A6,'Таблиця 1'!$I:$I,"F-16",'Таблиця 1'!$J:$J,"GBU-65")+SUMIFS('Таблиця 1'!$K:$K,'Таблиця 1'!$B:$B,$A6,'Таблиця 1'!$I:$I,"МіГ-29",'Таблиця 1'!$J:$J,"GBU-65")+SUMIFS('Таблиця 1'!$K:$K,'Таблиця 1'!$B:$B,$A6,'Таблиця 1'!$I:$I,"Су-25",'Таблиця 1'!$J:$J,"GBU-65")+SUMIFS('Таблиця 1'!$K:$K,'Таблиця 1'!$B:$B,$A6,'Таблиця 1'!$I:$I,"Су-27",'Таблиця 1'!$J:$J,"GBU-65"))</f>
        <v/>
      </c>
      <c r="M6">
        <f>IF($A6="","",SUMIFS('Таблиця 1'!$K:$K,'Таблиця 1'!$B:$B,$A6,'Таблиця 1'!$I:$I,"Mirage",'Таблиця 1'!$J:$J,"GBU-62")+SUMIFS('Таблиця 1'!$K:$K,'Таблиця 1'!$B:$B,$A6,'Таблиця 1'!$I:$I,"F-16",'Таблиця 1'!$J:$J,"GBU-62")+SUMIFS('Таблиця 1'!$K:$K,'Таблиця 1'!$B:$B,$A6,'Таблиця 1'!$I:$I,"МіГ-29",'Таблиця 1'!$J:$J,"GBU-62")+SUMIFS('Таблиця 1'!$K:$K,'Таблиця 1'!$B:$B,$A6,'Таблиця 1'!$I:$I,"Су-25",'Таблиця 1'!$J:$J,"GBU-62")+SUMIFS('Таблиця 1'!$K:$K,'Таблиця 1'!$B:$B,$A6,'Таблиця 1'!$I:$I,"Су-27",'Таблиця 1'!$J:$J,"GBU-62"))</f>
        <v/>
      </c>
      <c r="N6">
        <f>IF($A6="","",SUMIFS('Таблиця 1'!$K:$K,'Таблиця 1'!$B:$B,$A6,'Таблиця 1'!$I:$I,"Mirage",'Таблиця 1'!$J:$J,"GBU-64")+SUMIFS('Таблиця 1'!$K:$K,'Таблиця 1'!$B:$B,$A6,'Таблиця 1'!$I:$I,"F-16",'Таблиця 1'!$J:$J,"GBU-64")+SUMIFS('Таблиця 1'!$K:$K,'Таблиця 1'!$B:$B,$A6,'Таблиця 1'!$I:$I,"МіГ-29",'Таблиця 1'!$J:$J,"GBU-64")+SUMIFS('Таблиця 1'!$K:$K,'Таблиця 1'!$B:$B,$A6,'Таблиця 1'!$I:$I,"Су-25",'Таблиця 1'!$J:$J,"GBU-64")+SUMIFS('Таблиця 1'!$K:$K,'Таблиця 1'!$B:$B,$A6,'Таблиця 1'!$I:$I,"Су-27",'Таблиця 1'!$J:$J,"GBU-64"))</f>
        <v/>
      </c>
      <c r="O6">
        <f>IF($A6="","",SUMIFS('Таблиця 1'!$K:$K,'Таблиця 1'!$B:$B,$A6,'Таблиця 1'!$I:$I,"Mirage",'Таблиця 1'!$J:$J,"C-13")+SUMIFS('Таблиця 1'!$K:$K,'Таблиця 1'!$B:$B,$A6,'Таблиця 1'!$I:$I,"F-16",'Таблиця 1'!$J:$J,"C-13")+SUMIFS('Таблиця 1'!$K:$K,'Таблиця 1'!$B:$B,$A6,'Таблиця 1'!$I:$I,"МіГ-29",'Таблиця 1'!$J:$J,"C-13")+SUMIFS('Таблиця 1'!$K:$K,'Таблиця 1'!$B:$B,$A6,'Таблиця 1'!$I:$I,"Су-25",'Таблиця 1'!$J:$J,"C-13")+SUMIFS('Таблиця 1'!$K:$K,'Таблиця 1'!$B:$B,$A6,'Таблиця 1'!$I:$I,"Су-27",'Таблиця 1'!$J:$J,"C-13"))</f>
        <v/>
      </c>
      <c r="P6">
        <f>IF($A6="","",SUMIFS('Таблиця 1'!$K:$K,'Таблиця 1'!$B:$B,$A6,'Таблиця 1'!$I:$I,"Mirage",'Таблиця 1'!$J:$J,"MK-32")+SUMIFS('Таблиця 1'!$K:$K,'Таблиця 1'!$B:$B,$A6,'Таблиця 1'!$I:$I,"F-16",'Таблиця 1'!$J:$J,"MK-32")+SUMIFS('Таблиця 1'!$K:$K,'Таблиця 1'!$B:$B,$A6,'Таблиця 1'!$I:$I,"МіГ-29",'Таблиця 1'!$J:$J,"MK-32")+SUMIFS('Таблиця 1'!$K:$K,'Таблиця 1'!$B:$B,$A6,'Таблиця 1'!$I:$I,"Су-25",'Таблиця 1'!$J:$J,"MK-32")+SUMIFS('Таблиця 1'!$K:$K,'Таблиця 1'!$B:$B,$A6,'Таблиця 1'!$I:$I,"Су-27",'Таблиця 1'!$J:$J,"MK-32"))</f>
        <v/>
      </c>
      <c r="Q6">
        <f>IF($A6="","",SUMIFS('Таблиця 1'!$K:$K,'Таблиця 1'!$B:$B,$A6,'Таблиця 1'!$I:$I,"Mirage",'Таблиця 1'!$J:$J,"MK-24")+SUMIFS('Таблиця 1'!$K:$K,'Таблиця 1'!$B:$B,$A6,'Таблиця 1'!$I:$I,"F-16",'Таблиця 1'!$J:$J,"MK-24")+SUMIFS('Таблиця 1'!$K:$K,'Таблиця 1'!$B:$B,$A6,'Таблиця 1'!$I:$I,"МіГ-29",'Таблиця 1'!$J:$J,"MK-24")+SUMIFS('Таблиця 1'!$K:$K,'Таблиця 1'!$B:$B,$A6,'Таблиця 1'!$I:$I,"Су-25",'Таблиця 1'!$J:$J,"MK-24")+SUMIFS('Таблиця 1'!$K:$K,'Таблиця 1'!$B:$B,$A6,'Таблиця 1'!$I:$I,"Су-27",'Таблиця 1'!$J:$J,"MK-24"))</f>
        <v/>
      </c>
      <c r="R6">
        <f>IF($A6="","",COUNTIFS('Таблиця 1'!$B:$B,$A6,'Таблиця 1'!$I:$I,"Mirage",'Таблиця 1'!$L:$L,"Уражено")+COUNTIFS('Таблиця 1'!$B:$B,$A6,'Таблиця 1'!$I:$I,"F-16",'Таблиця 1'!$L:$L,"Уражено")+COUNTIFS('Таблиця 1'!$B:$B,$A6,'Таблиця 1'!$I:$I,"МіГ-29",'Таблиця 1'!$L:$L,"Уражено")+COUNTIFS('Таблиця 1'!$B:$B,$A6,'Таблиця 1'!$I:$I,"Су-25",'Таблиця 1'!$L:$L,"Уражено")+COUNTIFS('Таблиця 1'!$B:$B,$A6,'Таблиця 1'!$I:$I,"Су-27",'Таблиця 1'!$L:$L,"Уражено"))</f>
        <v/>
      </c>
      <c r="S6">
        <f>IF($A6="","",COUNTIFS('Таблиця 1'!$B:$B,$A6,'Таблиця 1'!$I:$I,"Mirage",'Таблиця 1'!$L:$L,"НЕ уражено")+COUNTIFS('Таблиця 1'!$B:$B,$A6,'Таблиця 1'!$I:$I,"F-16",'Таблиця 1'!$L:$L,"НЕ уражено")+COUNTIFS('Таблиця 1'!$B:$B,$A6,'Таблиця 1'!$I:$I,"МіГ-29",'Таблиця 1'!$L:$L,"НЕ уражено")+COUNTIFS('Таблиця 1'!$B:$B,$A6,'Таблиця 1'!$I:$I,"Су-25",'Таблиця 1'!$L:$L,"НЕ уражено")+COUNTIFS('Таблиця 1'!$B:$B,$A6,'Таблиця 1'!$I:$I,"Су-27",'Таблиця 1'!$L:$L,"НЕ уражено"))</f>
        <v/>
      </c>
      <c r="T6">
        <f>IF($A6="","",COUNTIFS('Таблиця 1'!$B:$B,$A6,'Таблиця 1'!$I:$I,"Mirage",'Таблиця 1'!$L:$L,"Дорозвідується")+COUNTIFS('Таблиця 1'!$B:$B,$A6,'Таблиця 1'!$I:$I,"F-16",'Таблиця 1'!$L:$L,"Дорозвідується")+COUNTIFS('Таблиця 1'!$B:$B,$A6,'Таблиця 1'!$I:$I,"МіГ-29",'Таблиця 1'!$L:$L,"Дорозвідується")+COUNTIFS('Таблиця 1'!$B:$B,$A6,'Таблиця 1'!$I:$I,"Су-25",'Таблиця 1'!$L:$L,"Дорозвідується")+COUNTIFS('Таблиця 1'!$B:$B,$A6,'Таблиця 1'!$I:$I,"Су-27",'Таблиця 1'!$L:$L,"Дорозвідується"))</f>
        <v/>
      </c>
    </row>
    <row r="7">
      <c r="A7" s="273">
        <f>IF(A6="","",IF(A6+1&gt;MAX('Таблиця 1'!$B:$B),"",A6+1))</f>
        <v/>
      </c>
      <c r="B7">
        <f>IF($A7="","",COUNTIFS('Таблиця 1'!$B:$B,$A7,'Таблиця 1'!$I:$I,"Mirage")+COUNTIFS('Таблиця 1'!$B:$B,$A7,'Таблиця 1'!$I:$I,"F-16")+COUNTIFS('Таблиця 1'!$B:$B,$A7,'Таблиця 1'!$I:$I,"МіГ-29")+COUNTIFS('Таблиця 1'!$B:$B,$A7,'Таблиця 1'!$I:$I,"Су-25")+COUNTIFS('Таблиця 1'!$B:$B,$A7,'Таблиця 1'!$I:$I,"Су-27"))</f>
        <v/>
      </c>
      <c r="C7">
        <f>IF($A7="","",COUNTIFS('Таблиця 1'!$B:$B,$A7,'Таблиця 1'!$I:$I,"Mirage"))</f>
        <v/>
      </c>
      <c r="D7">
        <f>IF($A7="","",COUNTIFS('Таблиця 1'!$B:$B,$A7,'Таблиця 1'!$I:$I,"F-16"))</f>
        <v/>
      </c>
      <c r="E7">
        <f>IF($A7="","",COUNTIFS('Таблиця 1'!$B:$B,$A7,'Таблиця 1'!$I:$I,"МіГ-29"))</f>
        <v/>
      </c>
      <c r="F7">
        <f>IF($A7="","",COUNTIFS('Таблиця 1'!$B:$B,$A7,'Таблиця 1'!$I:$I,"Су-25"))</f>
        <v/>
      </c>
      <c r="G7">
        <f>IF($A7="","",COUNTIFS('Таблиця 1'!$B:$B,$A7,'Таблиця 1'!$I:$I,"Су-27"))</f>
        <v/>
      </c>
      <c r="H7">
        <f>IF($A7="","",SUMIFS('Таблиця 1'!$K:$K,'Таблиця 1'!$B:$B,$A7,'Таблиця 1'!$I:$I,"Mirage",'Таблиця 1'!$J:$J,"AGM-88")+SUMIFS('Таблиця 1'!$K:$K,'Таблиця 1'!$B:$B,$A7,'Таблиця 1'!$I:$I,"F-16",'Таблиця 1'!$J:$J,"AGM-88")+SUMIFS('Таблиця 1'!$K:$K,'Таблиця 1'!$B:$B,$A7,'Таблиця 1'!$I:$I,"МіГ-29",'Таблиця 1'!$J:$J,"AGM-88")+SUMIFS('Таблиця 1'!$K:$K,'Таблиця 1'!$B:$B,$A7,'Таблиця 1'!$I:$I,"Су-25",'Таблиця 1'!$J:$J,"AGM-88")+SUMIFS('Таблиця 1'!$K:$K,'Таблиця 1'!$B:$B,$A7,'Таблиця 1'!$I:$I,"Су-27",'Таблиця 1'!$J:$J,"AGM-88"))</f>
        <v/>
      </c>
      <c r="I7">
        <f>IF($A7="","",SUMIFS('Таблиця 1'!$K:$K,'Таблиця 1'!$B:$B,$A7,'Таблиця 1'!$I:$I,"Mirage",'Таблиця 1'!$J:$J,"AASM-250")+SUMIFS('Таблиця 1'!$K:$K,'Таблиця 1'!$B:$B,$A7,'Таблиця 1'!$I:$I,"F-16",'Таблиця 1'!$J:$J,"AASM-250")+SUMIFS('Таблиця 1'!$K:$K,'Таблиця 1'!$B:$B,$A7,'Таблиця 1'!$I:$I,"МіГ-29",'Таблиця 1'!$J:$J,"AASM-250")+SUMIFS('Таблиця 1'!$K:$K,'Таблиця 1'!$B:$B,$A7,'Таблиця 1'!$I:$I,"Су-25",'Таблиця 1'!$J:$J,"AASM-250")+SUMIFS('Таблиця 1'!$K:$K,'Таблиця 1'!$B:$B,$A7,'Таблиця 1'!$I:$I,"Су-27",'Таблиця 1'!$J:$J,"AASM-250"))</f>
        <v/>
      </c>
      <c r="J7">
        <f>IF($A7="","",SUMIFS('Таблиця 1'!$K:$K,'Таблиця 1'!$B:$B,$A7,'Таблиця 1'!$I:$I,"Mirage",'Таблиця 1'!$J:$J,"GBU-39")+SUMIFS('Таблиця 1'!$K:$K,'Таблиця 1'!$B:$B,$A7,'Таблиця 1'!$I:$I,"F-16",'Таблиця 1'!$J:$J,"GBU-39")+SUMIFS('Таблиця 1'!$K:$K,'Таблиця 1'!$B:$B,$A7,'Таблиця 1'!$I:$I,"МіГ-29",'Таблиця 1'!$J:$J,"GBU-39")+SUMIFS('Таблиця 1'!$K:$K,'Таблиця 1'!$B:$B,$A7,'Таблиця 1'!$I:$I,"Су-25",'Таблиця 1'!$J:$J,"GBU-39")+SUMIFS('Таблиця 1'!$K:$K,'Таблиця 1'!$B:$B,$A7,'Таблиця 1'!$I:$I,"Су-27",'Таблиця 1'!$J:$J,"GBU-39"))</f>
        <v/>
      </c>
      <c r="K7">
        <f>IF($A7="","",SUMIFS('Таблиця 1'!$K:$K,'Таблиця 1'!$B:$B,$A7,'Таблиця 1'!$I:$I,"Mirage",'Таблиця 1'!$J:$J,"BLU-140")+SUMIFS('Таблиця 1'!$K:$K,'Таблиця 1'!$B:$B,$A7,'Таблиця 1'!$I:$I,"F-16",'Таблиця 1'!$J:$J,"BLU-140")+SUMIFS('Таблиця 1'!$K:$K,'Таблиця 1'!$B:$B,$A7,'Таблиця 1'!$I:$I,"МіГ-29",'Таблиця 1'!$J:$J,"BLU-140")+SUMIFS('Таблиця 1'!$K:$K,'Таблиця 1'!$B:$B,$A7,'Таблиця 1'!$I:$I,"Су-25",'Таблиця 1'!$J:$J,"BLU-140")+SUMIFS('Таблиця 1'!$K:$K,'Таблиця 1'!$B:$B,$A7,'Таблиця 1'!$I:$I,"Су-27",'Таблиця 1'!$J:$J,"BLU-140"))</f>
        <v/>
      </c>
      <c r="L7">
        <f>IF($A7="","",SUMIFS('Таблиця 1'!$K:$K,'Таблиця 1'!$B:$B,$A7,'Таблиця 1'!$I:$I,"Mirage",'Таблиця 1'!$J:$J,"GBU-65")+SUMIFS('Таблиця 1'!$K:$K,'Таблиця 1'!$B:$B,$A7,'Таблиця 1'!$I:$I,"F-16",'Таблиця 1'!$J:$J,"GBU-65")+SUMIFS('Таблиця 1'!$K:$K,'Таблиця 1'!$B:$B,$A7,'Таблиця 1'!$I:$I,"МіГ-29",'Таблиця 1'!$J:$J,"GBU-65")+SUMIFS('Таблиця 1'!$K:$K,'Таблиця 1'!$B:$B,$A7,'Таблиця 1'!$I:$I,"Су-25",'Таблиця 1'!$J:$J,"GBU-65")+SUMIFS('Таблиця 1'!$K:$K,'Таблиця 1'!$B:$B,$A7,'Таблиця 1'!$I:$I,"Су-27",'Таблиця 1'!$J:$J,"GBU-65"))</f>
        <v/>
      </c>
      <c r="M7">
        <f>IF($A7="","",SUMIFS('Таблиця 1'!$K:$K,'Таблиця 1'!$B:$B,$A7,'Таблиця 1'!$I:$I,"Mirage",'Таблиця 1'!$J:$J,"GBU-62")+SUMIFS('Таблиця 1'!$K:$K,'Таблиця 1'!$B:$B,$A7,'Таблиця 1'!$I:$I,"F-16",'Таблиця 1'!$J:$J,"GBU-62")+SUMIFS('Таблиця 1'!$K:$K,'Таблиця 1'!$B:$B,$A7,'Таблиця 1'!$I:$I,"МіГ-29",'Таблиця 1'!$J:$J,"GBU-62")+SUMIFS('Таблиця 1'!$K:$K,'Таблиця 1'!$B:$B,$A7,'Таблиця 1'!$I:$I,"Су-25",'Таблиця 1'!$J:$J,"GBU-62")+SUMIFS('Таблиця 1'!$K:$K,'Таблиця 1'!$B:$B,$A7,'Таблиця 1'!$I:$I,"Су-27",'Таблиця 1'!$J:$J,"GBU-62"))</f>
        <v/>
      </c>
      <c r="N7">
        <f>IF($A7="","",SUMIFS('Таблиця 1'!$K:$K,'Таблиця 1'!$B:$B,$A7,'Таблиця 1'!$I:$I,"Mirage",'Таблиця 1'!$J:$J,"GBU-64")+SUMIFS('Таблиця 1'!$K:$K,'Таблиця 1'!$B:$B,$A7,'Таблиця 1'!$I:$I,"F-16",'Таблиця 1'!$J:$J,"GBU-64")+SUMIFS('Таблиця 1'!$K:$K,'Таблиця 1'!$B:$B,$A7,'Таблиця 1'!$I:$I,"МіГ-29",'Таблиця 1'!$J:$J,"GBU-64")+SUMIFS('Таблиця 1'!$K:$K,'Таблиця 1'!$B:$B,$A7,'Таблиця 1'!$I:$I,"Су-25",'Таблиця 1'!$J:$J,"GBU-64")+SUMIFS('Таблиця 1'!$K:$K,'Таблиця 1'!$B:$B,$A7,'Таблиця 1'!$I:$I,"Су-27",'Таблиця 1'!$J:$J,"GBU-64"))</f>
        <v/>
      </c>
      <c r="O7">
        <f>IF($A7="","",SUMIFS('Таблиця 1'!$K:$K,'Таблиця 1'!$B:$B,$A7,'Таблиця 1'!$I:$I,"Mirage",'Таблиця 1'!$J:$J,"C-13")+SUMIFS('Таблиця 1'!$K:$K,'Таблиця 1'!$B:$B,$A7,'Таблиця 1'!$I:$I,"F-16",'Таблиця 1'!$J:$J,"C-13")+SUMIFS('Таблиця 1'!$K:$K,'Таблиця 1'!$B:$B,$A7,'Таблиця 1'!$I:$I,"МіГ-29",'Таблиця 1'!$J:$J,"C-13")+SUMIFS('Таблиця 1'!$K:$K,'Таблиця 1'!$B:$B,$A7,'Таблиця 1'!$I:$I,"Су-25",'Таблиця 1'!$J:$J,"C-13")+SUMIFS('Таблиця 1'!$K:$K,'Таблиця 1'!$B:$B,$A7,'Таблиця 1'!$I:$I,"Су-27",'Таблиця 1'!$J:$J,"C-13"))</f>
        <v/>
      </c>
      <c r="P7">
        <f>IF($A7="","",SUMIFS('Таблиця 1'!$K:$K,'Таблиця 1'!$B:$B,$A7,'Таблиця 1'!$I:$I,"Mirage",'Таблиця 1'!$J:$J,"MK-32")+SUMIFS('Таблиця 1'!$K:$K,'Таблиця 1'!$B:$B,$A7,'Таблиця 1'!$I:$I,"F-16",'Таблиця 1'!$J:$J,"MK-32")+SUMIFS('Таблиця 1'!$K:$K,'Таблиця 1'!$B:$B,$A7,'Таблиця 1'!$I:$I,"МіГ-29",'Таблиця 1'!$J:$J,"MK-32")+SUMIFS('Таблиця 1'!$K:$K,'Таблиця 1'!$B:$B,$A7,'Таблиця 1'!$I:$I,"Су-25",'Таблиця 1'!$J:$J,"MK-32")+SUMIFS('Таблиця 1'!$K:$K,'Таблиця 1'!$B:$B,$A7,'Таблиця 1'!$I:$I,"Су-27",'Таблиця 1'!$J:$J,"MK-32"))</f>
        <v/>
      </c>
      <c r="Q7">
        <f>IF($A7="","",SUMIFS('Таблиця 1'!$K:$K,'Таблиця 1'!$B:$B,$A7,'Таблиця 1'!$I:$I,"Mirage",'Таблиця 1'!$J:$J,"MK-24")+SUMIFS('Таблиця 1'!$K:$K,'Таблиця 1'!$B:$B,$A7,'Таблиця 1'!$I:$I,"F-16",'Таблиця 1'!$J:$J,"MK-24")+SUMIFS('Таблиця 1'!$K:$K,'Таблиця 1'!$B:$B,$A7,'Таблиця 1'!$I:$I,"МіГ-29",'Таблиця 1'!$J:$J,"MK-24")+SUMIFS('Таблиця 1'!$K:$K,'Таблиця 1'!$B:$B,$A7,'Таблиця 1'!$I:$I,"Су-25",'Таблиця 1'!$J:$J,"MK-24")+SUMIFS('Таблиця 1'!$K:$K,'Таблиця 1'!$B:$B,$A7,'Таблиця 1'!$I:$I,"Су-27",'Таблиця 1'!$J:$J,"MK-24"))</f>
        <v/>
      </c>
      <c r="R7">
        <f>IF($A7="","",COUNTIFS('Таблиця 1'!$B:$B,$A7,'Таблиця 1'!$I:$I,"Mirage",'Таблиця 1'!$L:$L,"Уражено")+COUNTIFS('Таблиця 1'!$B:$B,$A7,'Таблиця 1'!$I:$I,"F-16",'Таблиця 1'!$L:$L,"Уражено")+COUNTIFS('Таблиця 1'!$B:$B,$A7,'Таблиця 1'!$I:$I,"МіГ-29",'Таблиця 1'!$L:$L,"Уражено")+COUNTIFS('Таблиця 1'!$B:$B,$A7,'Таблиця 1'!$I:$I,"Су-25",'Таблиця 1'!$L:$L,"Уражено")+COUNTIFS('Таблиця 1'!$B:$B,$A7,'Таблиця 1'!$I:$I,"Су-27",'Таблиця 1'!$L:$L,"Уражено"))</f>
        <v/>
      </c>
      <c r="S7">
        <f>IF($A7="","",COUNTIFS('Таблиця 1'!$B:$B,$A7,'Таблиця 1'!$I:$I,"Mirage",'Таблиця 1'!$L:$L,"НЕ уражено")+COUNTIFS('Таблиця 1'!$B:$B,$A7,'Таблиця 1'!$I:$I,"F-16",'Таблиця 1'!$L:$L,"НЕ уражено")+COUNTIFS('Таблиця 1'!$B:$B,$A7,'Таблиця 1'!$I:$I,"МіГ-29",'Таблиця 1'!$L:$L,"НЕ уражено")+COUNTIFS('Таблиця 1'!$B:$B,$A7,'Таблиця 1'!$I:$I,"Су-25",'Таблиця 1'!$L:$L,"НЕ уражено")+COUNTIFS('Таблиця 1'!$B:$B,$A7,'Таблиця 1'!$I:$I,"Су-27",'Таблиця 1'!$L:$L,"НЕ уражено"))</f>
        <v/>
      </c>
      <c r="T7">
        <f>IF($A7="","",COUNTIFS('Таблиця 1'!$B:$B,$A7,'Таблиця 1'!$I:$I,"Mirage",'Таблиця 1'!$L:$L,"Дорозвідується")+COUNTIFS('Таблиця 1'!$B:$B,$A7,'Таблиця 1'!$I:$I,"F-16",'Таблиця 1'!$L:$L,"Дорозвідується")+COUNTIFS('Таблиця 1'!$B:$B,$A7,'Таблиця 1'!$I:$I,"МіГ-29",'Таблиця 1'!$L:$L,"Дорозвідується")+COUNTIFS('Таблиця 1'!$B:$B,$A7,'Таблиця 1'!$I:$I,"Су-25",'Таблиця 1'!$L:$L,"Дорозвідується")+COUNTIFS('Таблиця 1'!$B:$B,$A7,'Таблиця 1'!$I:$I,"Су-27",'Таблиця 1'!$L:$L,"Дорозвідується"))</f>
        <v/>
      </c>
    </row>
    <row r="8">
      <c r="A8" s="273">
        <f>IF(A7="","",IF(A7+1&gt;MAX('Таблиця 1'!$B:$B),"",A7+1))</f>
        <v/>
      </c>
      <c r="B8">
        <f>IF($A8="","",COUNTIFS('Таблиця 1'!$B:$B,$A8,'Таблиця 1'!$I:$I,"Mirage")+COUNTIFS('Таблиця 1'!$B:$B,$A8,'Таблиця 1'!$I:$I,"F-16")+COUNTIFS('Таблиця 1'!$B:$B,$A8,'Таблиця 1'!$I:$I,"МіГ-29")+COUNTIFS('Таблиця 1'!$B:$B,$A8,'Таблиця 1'!$I:$I,"Су-25")+COUNTIFS('Таблиця 1'!$B:$B,$A8,'Таблиця 1'!$I:$I,"Су-27"))</f>
        <v/>
      </c>
      <c r="C8">
        <f>IF($A8="","",COUNTIFS('Таблиця 1'!$B:$B,$A8,'Таблиця 1'!$I:$I,"Mirage"))</f>
        <v/>
      </c>
      <c r="D8">
        <f>IF($A8="","",COUNTIFS('Таблиця 1'!$B:$B,$A8,'Таблиця 1'!$I:$I,"F-16"))</f>
        <v/>
      </c>
      <c r="E8">
        <f>IF($A8="","",COUNTIFS('Таблиця 1'!$B:$B,$A8,'Таблиця 1'!$I:$I,"МіГ-29"))</f>
        <v/>
      </c>
      <c r="F8">
        <f>IF($A8="","",COUNTIFS('Таблиця 1'!$B:$B,$A8,'Таблиця 1'!$I:$I,"Су-25"))</f>
        <v/>
      </c>
      <c r="G8">
        <f>IF($A8="","",COUNTIFS('Таблиця 1'!$B:$B,$A8,'Таблиця 1'!$I:$I,"Су-27"))</f>
        <v/>
      </c>
      <c r="H8">
        <f>IF($A8="","",SUMIFS('Таблиця 1'!$K:$K,'Таблиця 1'!$B:$B,$A8,'Таблиця 1'!$I:$I,"Mirage",'Таблиця 1'!$J:$J,"AGM-88")+SUMIFS('Таблиця 1'!$K:$K,'Таблиця 1'!$B:$B,$A8,'Таблиця 1'!$I:$I,"F-16",'Таблиця 1'!$J:$J,"AGM-88")+SUMIFS('Таблиця 1'!$K:$K,'Таблиця 1'!$B:$B,$A8,'Таблиця 1'!$I:$I,"МіГ-29",'Таблиця 1'!$J:$J,"AGM-88")+SUMIFS('Таблиця 1'!$K:$K,'Таблиця 1'!$B:$B,$A8,'Таблиця 1'!$I:$I,"Су-25",'Таблиця 1'!$J:$J,"AGM-88")+SUMIFS('Таблиця 1'!$K:$K,'Таблиця 1'!$B:$B,$A8,'Таблиця 1'!$I:$I,"Су-27",'Таблиця 1'!$J:$J,"AGM-88"))</f>
        <v/>
      </c>
      <c r="I8">
        <f>IF($A8="","",SUMIFS('Таблиця 1'!$K:$K,'Таблиця 1'!$B:$B,$A8,'Таблиця 1'!$I:$I,"Mirage",'Таблиця 1'!$J:$J,"AASM-250")+SUMIFS('Таблиця 1'!$K:$K,'Таблиця 1'!$B:$B,$A8,'Таблиця 1'!$I:$I,"F-16",'Таблиця 1'!$J:$J,"AASM-250")+SUMIFS('Таблиця 1'!$K:$K,'Таблиця 1'!$B:$B,$A8,'Таблиця 1'!$I:$I,"МіГ-29",'Таблиця 1'!$J:$J,"AASM-250")+SUMIFS('Таблиця 1'!$K:$K,'Таблиця 1'!$B:$B,$A8,'Таблиця 1'!$I:$I,"Су-25",'Таблиця 1'!$J:$J,"AASM-250")+SUMIFS('Таблиця 1'!$K:$K,'Таблиця 1'!$B:$B,$A8,'Таблиця 1'!$I:$I,"Су-27",'Таблиця 1'!$J:$J,"AASM-250"))</f>
        <v/>
      </c>
      <c r="J8">
        <f>IF($A8="","",SUMIFS('Таблиця 1'!$K:$K,'Таблиця 1'!$B:$B,$A8,'Таблиця 1'!$I:$I,"Mirage",'Таблиця 1'!$J:$J,"GBU-39")+SUMIFS('Таблиця 1'!$K:$K,'Таблиця 1'!$B:$B,$A8,'Таблиця 1'!$I:$I,"F-16",'Таблиця 1'!$J:$J,"GBU-39")+SUMIFS('Таблиця 1'!$K:$K,'Таблиця 1'!$B:$B,$A8,'Таблиця 1'!$I:$I,"МіГ-29",'Таблиця 1'!$J:$J,"GBU-39")+SUMIFS('Таблиця 1'!$K:$K,'Таблиця 1'!$B:$B,$A8,'Таблиця 1'!$I:$I,"Су-25",'Таблиця 1'!$J:$J,"GBU-39")+SUMIFS('Таблиця 1'!$K:$K,'Таблиця 1'!$B:$B,$A8,'Таблиця 1'!$I:$I,"Су-27",'Таблиця 1'!$J:$J,"GBU-39"))</f>
        <v/>
      </c>
      <c r="K8">
        <f>IF($A8="","",SUMIFS('Таблиця 1'!$K:$K,'Таблиця 1'!$B:$B,$A8,'Таблиця 1'!$I:$I,"Mirage",'Таблиця 1'!$J:$J,"BLU-140")+SUMIFS('Таблиця 1'!$K:$K,'Таблиця 1'!$B:$B,$A8,'Таблиця 1'!$I:$I,"F-16",'Таблиця 1'!$J:$J,"BLU-140")+SUMIFS('Таблиця 1'!$K:$K,'Таблиця 1'!$B:$B,$A8,'Таблиця 1'!$I:$I,"МіГ-29",'Таблиця 1'!$J:$J,"BLU-140")+SUMIFS('Таблиця 1'!$K:$K,'Таблиця 1'!$B:$B,$A8,'Таблиця 1'!$I:$I,"Су-25",'Таблиця 1'!$J:$J,"BLU-140")+SUMIFS('Таблиця 1'!$K:$K,'Таблиця 1'!$B:$B,$A8,'Таблиця 1'!$I:$I,"Су-27",'Таблиця 1'!$J:$J,"BLU-140"))</f>
        <v/>
      </c>
      <c r="L8">
        <f>IF($A8="","",SUMIFS('Таблиця 1'!$K:$K,'Таблиця 1'!$B:$B,$A8,'Таблиця 1'!$I:$I,"Mirage",'Таблиця 1'!$J:$J,"GBU-65")+SUMIFS('Таблиця 1'!$K:$K,'Таблиця 1'!$B:$B,$A8,'Таблиця 1'!$I:$I,"F-16",'Таблиця 1'!$J:$J,"GBU-65")+SUMIFS('Таблиця 1'!$K:$K,'Таблиця 1'!$B:$B,$A8,'Таблиця 1'!$I:$I,"МіГ-29",'Таблиця 1'!$J:$J,"GBU-65")+SUMIFS('Таблиця 1'!$K:$K,'Таблиця 1'!$B:$B,$A8,'Таблиця 1'!$I:$I,"Су-25",'Таблиця 1'!$J:$J,"GBU-65")+SUMIFS('Таблиця 1'!$K:$K,'Таблиця 1'!$B:$B,$A8,'Таблиця 1'!$I:$I,"Су-27",'Таблиця 1'!$J:$J,"GBU-65"))</f>
        <v/>
      </c>
      <c r="M8">
        <f>IF($A8="","",SUMIFS('Таблиця 1'!$K:$K,'Таблиця 1'!$B:$B,$A8,'Таблиця 1'!$I:$I,"Mirage",'Таблиця 1'!$J:$J,"GBU-62")+SUMIFS('Таблиця 1'!$K:$K,'Таблиця 1'!$B:$B,$A8,'Таблиця 1'!$I:$I,"F-16",'Таблиця 1'!$J:$J,"GBU-62")+SUMIFS('Таблиця 1'!$K:$K,'Таблиця 1'!$B:$B,$A8,'Таблиця 1'!$I:$I,"МіГ-29",'Таблиця 1'!$J:$J,"GBU-62")+SUMIFS('Таблиця 1'!$K:$K,'Таблиця 1'!$B:$B,$A8,'Таблиця 1'!$I:$I,"Су-25",'Таблиця 1'!$J:$J,"GBU-62")+SUMIFS('Таблиця 1'!$K:$K,'Таблиця 1'!$B:$B,$A8,'Таблиця 1'!$I:$I,"Су-27",'Таблиця 1'!$J:$J,"GBU-62"))</f>
        <v/>
      </c>
      <c r="N8">
        <f>IF($A8="","",SUMIFS('Таблиця 1'!$K:$K,'Таблиця 1'!$B:$B,$A8,'Таблиця 1'!$I:$I,"Mirage",'Таблиця 1'!$J:$J,"GBU-64")+SUMIFS('Таблиця 1'!$K:$K,'Таблиця 1'!$B:$B,$A8,'Таблиця 1'!$I:$I,"F-16",'Таблиця 1'!$J:$J,"GBU-64")+SUMIFS('Таблиця 1'!$K:$K,'Таблиця 1'!$B:$B,$A8,'Таблиця 1'!$I:$I,"МіГ-29",'Таблиця 1'!$J:$J,"GBU-64")+SUMIFS('Таблиця 1'!$K:$K,'Таблиця 1'!$B:$B,$A8,'Таблиця 1'!$I:$I,"Су-25",'Таблиця 1'!$J:$J,"GBU-64")+SUMIFS('Таблиця 1'!$K:$K,'Таблиця 1'!$B:$B,$A8,'Таблиця 1'!$I:$I,"Су-27",'Таблиця 1'!$J:$J,"GBU-64"))</f>
        <v/>
      </c>
      <c r="O8">
        <f>IF($A8="","",SUMIFS('Таблиця 1'!$K:$K,'Таблиця 1'!$B:$B,$A8,'Таблиця 1'!$I:$I,"Mirage",'Таблиця 1'!$J:$J,"C-13")+SUMIFS('Таблиця 1'!$K:$K,'Таблиця 1'!$B:$B,$A8,'Таблиця 1'!$I:$I,"F-16",'Таблиця 1'!$J:$J,"C-13")+SUMIFS('Таблиця 1'!$K:$K,'Таблиця 1'!$B:$B,$A8,'Таблиця 1'!$I:$I,"МіГ-29",'Таблиця 1'!$J:$J,"C-13")+SUMIFS('Таблиця 1'!$K:$K,'Таблиця 1'!$B:$B,$A8,'Таблиця 1'!$I:$I,"Су-25",'Таблиця 1'!$J:$J,"C-13")+SUMIFS('Таблиця 1'!$K:$K,'Таблиця 1'!$B:$B,$A8,'Таблиця 1'!$I:$I,"Су-27",'Таблиця 1'!$J:$J,"C-13"))</f>
        <v/>
      </c>
      <c r="P8">
        <f>IF($A8="","",SUMIFS('Таблиця 1'!$K:$K,'Таблиця 1'!$B:$B,$A8,'Таблиця 1'!$I:$I,"Mirage",'Таблиця 1'!$J:$J,"MK-32")+SUMIFS('Таблиця 1'!$K:$K,'Таблиця 1'!$B:$B,$A8,'Таблиця 1'!$I:$I,"F-16",'Таблиця 1'!$J:$J,"MK-32")+SUMIFS('Таблиця 1'!$K:$K,'Таблиця 1'!$B:$B,$A8,'Таблиця 1'!$I:$I,"МіГ-29",'Таблиця 1'!$J:$J,"MK-32")+SUMIFS('Таблиця 1'!$K:$K,'Таблиця 1'!$B:$B,$A8,'Таблиця 1'!$I:$I,"Су-25",'Таблиця 1'!$J:$J,"MK-32")+SUMIFS('Таблиця 1'!$K:$K,'Таблиця 1'!$B:$B,$A8,'Таблиця 1'!$I:$I,"Су-27",'Таблиця 1'!$J:$J,"MK-32"))</f>
        <v/>
      </c>
      <c r="Q8">
        <f>IF($A8="","",SUMIFS('Таблиця 1'!$K:$K,'Таблиця 1'!$B:$B,$A8,'Таблиця 1'!$I:$I,"Mirage",'Таблиця 1'!$J:$J,"MK-24")+SUMIFS('Таблиця 1'!$K:$K,'Таблиця 1'!$B:$B,$A8,'Таблиця 1'!$I:$I,"F-16",'Таблиця 1'!$J:$J,"MK-24")+SUMIFS('Таблиця 1'!$K:$K,'Таблиця 1'!$B:$B,$A8,'Таблиця 1'!$I:$I,"МіГ-29",'Таблиця 1'!$J:$J,"MK-24")+SUMIFS('Таблиця 1'!$K:$K,'Таблиця 1'!$B:$B,$A8,'Таблиця 1'!$I:$I,"Су-25",'Таблиця 1'!$J:$J,"MK-24")+SUMIFS('Таблиця 1'!$K:$K,'Таблиця 1'!$B:$B,$A8,'Таблиця 1'!$I:$I,"Су-27",'Таблиця 1'!$J:$J,"MK-24"))</f>
        <v/>
      </c>
      <c r="R8">
        <f>IF($A8="","",COUNTIFS('Таблиця 1'!$B:$B,$A8,'Таблиця 1'!$I:$I,"Mirage",'Таблиця 1'!$L:$L,"Уражено")+COUNTIFS('Таблиця 1'!$B:$B,$A8,'Таблиця 1'!$I:$I,"F-16",'Таблиця 1'!$L:$L,"Уражено")+COUNTIFS('Таблиця 1'!$B:$B,$A8,'Таблиця 1'!$I:$I,"МіГ-29",'Таблиця 1'!$L:$L,"Уражено")+COUNTIFS('Таблиця 1'!$B:$B,$A8,'Таблиця 1'!$I:$I,"Су-25",'Таблиця 1'!$L:$L,"Уражено")+COUNTIFS('Таблиця 1'!$B:$B,$A8,'Таблиця 1'!$I:$I,"Су-27",'Таблиця 1'!$L:$L,"Уражено"))</f>
        <v/>
      </c>
      <c r="S8">
        <f>IF($A8="","",COUNTIFS('Таблиця 1'!$B:$B,$A8,'Таблиця 1'!$I:$I,"Mirage",'Таблиця 1'!$L:$L,"НЕ уражено")+COUNTIFS('Таблиця 1'!$B:$B,$A8,'Таблиця 1'!$I:$I,"F-16",'Таблиця 1'!$L:$L,"НЕ уражено")+COUNTIFS('Таблиця 1'!$B:$B,$A8,'Таблиця 1'!$I:$I,"МіГ-29",'Таблиця 1'!$L:$L,"НЕ уражено")+COUNTIFS('Таблиця 1'!$B:$B,$A8,'Таблиця 1'!$I:$I,"Су-25",'Таблиця 1'!$L:$L,"НЕ уражено")+COUNTIFS('Таблиця 1'!$B:$B,$A8,'Таблиця 1'!$I:$I,"Су-27",'Таблиця 1'!$L:$L,"НЕ уражено"))</f>
        <v/>
      </c>
      <c r="T8">
        <f>IF($A8="","",COUNTIFS('Таблиця 1'!$B:$B,$A8,'Таблиця 1'!$I:$I,"Mirage",'Таблиця 1'!$L:$L,"Дорозвідується")+COUNTIFS('Таблиця 1'!$B:$B,$A8,'Таблиця 1'!$I:$I,"F-16",'Таблиця 1'!$L:$L,"Дорозвідується")+COUNTIFS('Таблиця 1'!$B:$B,$A8,'Таблиця 1'!$I:$I,"МіГ-29",'Таблиця 1'!$L:$L,"Дорозвідується")+COUNTIFS('Таблиця 1'!$B:$B,$A8,'Таблиця 1'!$I:$I,"Су-25",'Таблиця 1'!$L:$L,"Дорозвідується")+COUNTIFS('Таблиця 1'!$B:$B,$A8,'Таблиця 1'!$I:$I,"Су-27",'Таблиця 1'!$L:$L,"Дорозвідується"))</f>
        <v/>
      </c>
    </row>
    <row r="9">
      <c r="A9" s="273">
        <f>IF(A8="","",IF(A8+1&gt;MAX('Таблиця 1'!$B:$B),"",A8+1))</f>
        <v/>
      </c>
      <c r="B9">
        <f>IF($A9="","",COUNTIFS('Таблиця 1'!$B:$B,$A9,'Таблиця 1'!$I:$I,"Mirage")+COUNTIFS('Таблиця 1'!$B:$B,$A9,'Таблиця 1'!$I:$I,"F-16")+COUNTIFS('Таблиця 1'!$B:$B,$A9,'Таблиця 1'!$I:$I,"МіГ-29")+COUNTIFS('Таблиця 1'!$B:$B,$A9,'Таблиця 1'!$I:$I,"Су-25")+COUNTIFS('Таблиця 1'!$B:$B,$A9,'Таблиця 1'!$I:$I,"Су-27"))</f>
        <v/>
      </c>
      <c r="C9">
        <f>IF($A9="","",COUNTIFS('Таблиця 1'!$B:$B,$A9,'Таблиця 1'!$I:$I,"Mirage"))</f>
        <v/>
      </c>
      <c r="D9">
        <f>IF($A9="","",COUNTIFS('Таблиця 1'!$B:$B,$A9,'Таблиця 1'!$I:$I,"F-16"))</f>
        <v/>
      </c>
      <c r="E9">
        <f>IF($A9="","",COUNTIFS('Таблиця 1'!$B:$B,$A9,'Таблиця 1'!$I:$I,"МіГ-29"))</f>
        <v/>
      </c>
      <c r="F9">
        <f>IF($A9="","",COUNTIFS('Таблиця 1'!$B:$B,$A9,'Таблиця 1'!$I:$I,"Су-25"))</f>
        <v/>
      </c>
      <c r="G9">
        <f>IF($A9="","",COUNTIFS('Таблиця 1'!$B:$B,$A9,'Таблиця 1'!$I:$I,"Су-27"))</f>
        <v/>
      </c>
      <c r="H9">
        <f>IF($A9="","",SUMIFS('Таблиця 1'!$K:$K,'Таблиця 1'!$B:$B,$A9,'Таблиця 1'!$I:$I,"Mirage",'Таблиця 1'!$J:$J,"AGM-88")+SUMIFS('Таблиця 1'!$K:$K,'Таблиця 1'!$B:$B,$A9,'Таблиця 1'!$I:$I,"F-16",'Таблиця 1'!$J:$J,"AGM-88")+SUMIFS('Таблиця 1'!$K:$K,'Таблиця 1'!$B:$B,$A9,'Таблиця 1'!$I:$I,"МіГ-29",'Таблиця 1'!$J:$J,"AGM-88")+SUMIFS('Таблиця 1'!$K:$K,'Таблиця 1'!$B:$B,$A9,'Таблиця 1'!$I:$I,"Су-25",'Таблиця 1'!$J:$J,"AGM-88")+SUMIFS('Таблиця 1'!$K:$K,'Таблиця 1'!$B:$B,$A9,'Таблиця 1'!$I:$I,"Су-27",'Таблиця 1'!$J:$J,"AGM-88"))</f>
        <v/>
      </c>
      <c r="I9">
        <f>IF($A9="","",SUMIFS('Таблиця 1'!$K:$K,'Таблиця 1'!$B:$B,$A9,'Таблиця 1'!$I:$I,"Mirage",'Таблиця 1'!$J:$J,"AASM-250")+SUMIFS('Таблиця 1'!$K:$K,'Таблиця 1'!$B:$B,$A9,'Таблиця 1'!$I:$I,"F-16",'Таблиця 1'!$J:$J,"AASM-250")+SUMIFS('Таблиця 1'!$K:$K,'Таблиця 1'!$B:$B,$A9,'Таблиця 1'!$I:$I,"МіГ-29",'Таблиця 1'!$J:$J,"AASM-250")+SUMIFS('Таблиця 1'!$K:$K,'Таблиця 1'!$B:$B,$A9,'Таблиця 1'!$I:$I,"Су-25",'Таблиця 1'!$J:$J,"AASM-250")+SUMIFS('Таблиця 1'!$K:$K,'Таблиця 1'!$B:$B,$A9,'Таблиця 1'!$I:$I,"Су-27",'Таблиця 1'!$J:$J,"AASM-250"))</f>
        <v/>
      </c>
      <c r="J9">
        <f>IF($A9="","",SUMIFS('Таблиця 1'!$K:$K,'Таблиця 1'!$B:$B,$A9,'Таблиця 1'!$I:$I,"Mirage",'Таблиця 1'!$J:$J,"GBU-39")+SUMIFS('Таблиця 1'!$K:$K,'Таблиця 1'!$B:$B,$A9,'Таблиця 1'!$I:$I,"F-16",'Таблиця 1'!$J:$J,"GBU-39")+SUMIFS('Таблиця 1'!$K:$K,'Таблиця 1'!$B:$B,$A9,'Таблиця 1'!$I:$I,"МіГ-29",'Таблиця 1'!$J:$J,"GBU-39")+SUMIFS('Таблиця 1'!$K:$K,'Таблиця 1'!$B:$B,$A9,'Таблиця 1'!$I:$I,"Су-25",'Таблиця 1'!$J:$J,"GBU-39")+SUMIFS('Таблиця 1'!$K:$K,'Таблиця 1'!$B:$B,$A9,'Таблиця 1'!$I:$I,"Су-27",'Таблиця 1'!$J:$J,"GBU-39"))</f>
        <v/>
      </c>
      <c r="K9">
        <f>IF($A9="","",SUMIFS('Таблиця 1'!$K:$K,'Таблиця 1'!$B:$B,$A9,'Таблиця 1'!$I:$I,"Mirage",'Таблиця 1'!$J:$J,"BLU-140")+SUMIFS('Таблиця 1'!$K:$K,'Таблиця 1'!$B:$B,$A9,'Таблиця 1'!$I:$I,"F-16",'Таблиця 1'!$J:$J,"BLU-140")+SUMIFS('Таблиця 1'!$K:$K,'Таблиця 1'!$B:$B,$A9,'Таблиця 1'!$I:$I,"МіГ-29",'Таблиця 1'!$J:$J,"BLU-140")+SUMIFS('Таблиця 1'!$K:$K,'Таблиця 1'!$B:$B,$A9,'Таблиця 1'!$I:$I,"Су-25",'Таблиця 1'!$J:$J,"BLU-140")+SUMIFS('Таблиця 1'!$K:$K,'Таблиця 1'!$B:$B,$A9,'Таблиця 1'!$I:$I,"Су-27",'Таблиця 1'!$J:$J,"BLU-140"))</f>
        <v/>
      </c>
      <c r="L9">
        <f>IF($A9="","",SUMIFS('Таблиця 1'!$K:$K,'Таблиця 1'!$B:$B,$A9,'Таблиця 1'!$I:$I,"Mirage",'Таблиця 1'!$J:$J,"GBU-65")+SUMIFS('Таблиця 1'!$K:$K,'Таблиця 1'!$B:$B,$A9,'Таблиця 1'!$I:$I,"F-16",'Таблиця 1'!$J:$J,"GBU-65")+SUMIFS('Таблиця 1'!$K:$K,'Таблиця 1'!$B:$B,$A9,'Таблиця 1'!$I:$I,"МіГ-29",'Таблиця 1'!$J:$J,"GBU-65")+SUMIFS('Таблиця 1'!$K:$K,'Таблиця 1'!$B:$B,$A9,'Таблиця 1'!$I:$I,"Су-25",'Таблиця 1'!$J:$J,"GBU-65")+SUMIFS('Таблиця 1'!$K:$K,'Таблиця 1'!$B:$B,$A9,'Таблиця 1'!$I:$I,"Су-27",'Таблиця 1'!$J:$J,"GBU-65"))</f>
        <v/>
      </c>
      <c r="M9">
        <f>IF($A9="","",SUMIFS('Таблиця 1'!$K:$K,'Таблиця 1'!$B:$B,$A9,'Таблиця 1'!$I:$I,"Mirage",'Таблиця 1'!$J:$J,"GBU-62")+SUMIFS('Таблиця 1'!$K:$K,'Таблиця 1'!$B:$B,$A9,'Таблиця 1'!$I:$I,"F-16",'Таблиця 1'!$J:$J,"GBU-62")+SUMIFS('Таблиця 1'!$K:$K,'Таблиця 1'!$B:$B,$A9,'Таблиця 1'!$I:$I,"МіГ-29",'Таблиця 1'!$J:$J,"GBU-62")+SUMIFS('Таблиця 1'!$K:$K,'Таблиця 1'!$B:$B,$A9,'Таблиця 1'!$I:$I,"Су-25",'Таблиця 1'!$J:$J,"GBU-62")+SUMIFS('Таблиця 1'!$K:$K,'Таблиця 1'!$B:$B,$A9,'Таблиця 1'!$I:$I,"Су-27",'Таблиця 1'!$J:$J,"GBU-62"))</f>
        <v/>
      </c>
      <c r="N9">
        <f>IF($A9="","",SUMIFS('Таблиця 1'!$K:$K,'Таблиця 1'!$B:$B,$A9,'Таблиця 1'!$I:$I,"Mirage",'Таблиця 1'!$J:$J,"GBU-64")+SUMIFS('Таблиця 1'!$K:$K,'Таблиця 1'!$B:$B,$A9,'Таблиця 1'!$I:$I,"F-16",'Таблиця 1'!$J:$J,"GBU-64")+SUMIFS('Таблиця 1'!$K:$K,'Таблиця 1'!$B:$B,$A9,'Таблиця 1'!$I:$I,"МіГ-29",'Таблиця 1'!$J:$J,"GBU-64")+SUMIFS('Таблиця 1'!$K:$K,'Таблиця 1'!$B:$B,$A9,'Таблиця 1'!$I:$I,"Су-25",'Таблиця 1'!$J:$J,"GBU-64")+SUMIFS('Таблиця 1'!$K:$K,'Таблиця 1'!$B:$B,$A9,'Таблиця 1'!$I:$I,"Су-27",'Таблиця 1'!$J:$J,"GBU-64"))</f>
        <v/>
      </c>
      <c r="O9">
        <f>IF($A9="","",SUMIFS('Таблиця 1'!$K:$K,'Таблиця 1'!$B:$B,$A9,'Таблиця 1'!$I:$I,"Mirage",'Таблиця 1'!$J:$J,"C-13")+SUMIFS('Таблиця 1'!$K:$K,'Таблиця 1'!$B:$B,$A9,'Таблиця 1'!$I:$I,"F-16",'Таблиця 1'!$J:$J,"C-13")+SUMIFS('Таблиця 1'!$K:$K,'Таблиця 1'!$B:$B,$A9,'Таблиця 1'!$I:$I,"МіГ-29",'Таблиця 1'!$J:$J,"C-13")+SUMIFS('Таблиця 1'!$K:$K,'Таблиця 1'!$B:$B,$A9,'Таблиця 1'!$I:$I,"Су-25",'Таблиця 1'!$J:$J,"C-13")+SUMIFS('Таблиця 1'!$K:$K,'Таблиця 1'!$B:$B,$A9,'Таблиця 1'!$I:$I,"Су-27",'Таблиця 1'!$J:$J,"C-13"))</f>
        <v/>
      </c>
      <c r="P9">
        <f>IF($A9="","",SUMIFS('Таблиця 1'!$K:$K,'Таблиця 1'!$B:$B,$A9,'Таблиця 1'!$I:$I,"Mirage",'Таблиця 1'!$J:$J,"MK-32")+SUMIFS('Таблиця 1'!$K:$K,'Таблиця 1'!$B:$B,$A9,'Таблиця 1'!$I:$I,"F-16",'Таблиця 1'!$J:$J,"MK-32")+SUMIFS('Таблиця 1'!$K:$K,'Таблиця 1'!$B:$B,$A9,'Таблиця 1'!$I:$I,"МіГ-29",'Таблиця 1'!$J:$J,"MK-32")+SUMIFS('Таблиця 1'!$K:$K,'Таблиця 1'!$B:$B,$A9,'Таблиця 1'!$I:$I,"Су-25",'Таблиця 1'!$J:$J,"MK-32")+SUMIFS('Таблиця 1'!$K:$K,'Таблиця 1'!$B:$B,$A9,'Таблиця 1'!$I:$I,"Су-27",'Таблиця 1'!$J:$J,"MK-32"))</f>
        <v/>
      </c>
      <c r="Q9">
        <f>IF($A9="","",SUMIFS('Таблиця 1'!$K:$K,'Таблиця 1'!$B:$B,$A9,'Таблиця 1'!$I:$I,"Mirage",'Таблиця 1'!$J:$J,"MK-24")+SUMIFS('Таблиця 1'!$K:$K,'Таблиця 1'!$B:$B,$A9,'Таблиця 1'!$I:$I,"F-16",'Таблиця 1'!$J:$J,"MK-24")+SUMIFS('Таблиця 1'!$K:$K,'Таблиця 1'!$B:$B,$A9,'Таблиця 1'!$I:$I,"МіГ-29",'Таблиця 1'!$J:$J,"MK-24")+SUMIFS('Таблиця 1'!$K:$K,'Таблиця 1'!$B:$B,$A9,'Таблиця 1'!$I:$I,"Су-25",'Таблиця 1'!$J:$J,"MK-24")+SUMIFS('Таблиця 1'!$K:$K,'Таблиця 1'!$B:$B,$A9,'Таблиця 1'!$I:$I,"Су-27",'Таблиця 1'!$J:$J,"MK-24"))</f>
        <v/>
      </c>
      <c r="R9">
        <f>IF($A9="","",COUNTIFS('Таблиця 1'!$B:$B,$A9,'Таблиця 1'!$I:$I,"Mirage",'Таблиця 1'!$L:$L,"Уражено")+COUNTIFS('Таблиця 1'!$B:$B,$A9,'Таблиця 1'!$I:$I,"F-16",'Таблиця 1'!$L:$L,"Уражено")+COUNTIFS('Таблиця 1'!$B:$B,$A9,'Таблиця 1'!$I:$I,"МіГ-29",'Таблиця 1'!$L:$L,"Уражено")+COUNTIFS('Таблиця 1'!$B:$B,$A9,'Таблиця 1'!$I:$I,"Су-25",'Таблиця 1'!$L:$L,"Уражено")+COUNTIFS('Таблиця 1'!$B:$B,$A9,'Таблиця 1'!$I:$I,"Су-27",'Таблиця 1'!$L:$L,"Уражено"))</f>
        <v/>
      </c>
      <c r="S9">
        <f>IF($A9="","",COUNTIFS('Таблиця 1'!$B:$B,$A9,'Таблиця 1'!$I:$I,"Mirage",'Таблиця 1'!$L:$L,"НЕ уражено")+COUNTIFS('Таблиця 1'!$B:$B,$A9,'Таблиця 1'!$I:$I,"F-16",'Таблиця 1'!$L:$L,"НЕ уражено")+COUNTIFS('Таблиця 1'!$B:$B,$A9,'Таблиця 1'!$I:$I,"МіГ-29",'Таблиця 1'!$L:$L,"НЕ уражено")+COUNTIFS('Таблиця 1'!$B:$B,$A9,'Таблиця 1'!$I:$I,"Су-25",'Таблиця 1'!$L:$L,"НЕ уражено")+COUNTIFS('Таблиця 1'!$B:$B,$A9,'Таблиця 1'!$I:$I,"Су-27",'Таблиця 1'!$L:$L,"НЕ уражено"))</f>
        <v/>
      </c>
      <c r="T9">
        <f>IF($A9="","",COUNTIFS('Таблиця 1'!$B:$B,$A9,'Таблиця 1'!$I:$I,"Mirage",'Таблиця 1'!$L:$L,"Дорозвідується")+COUNTIFS('Таблиця 1'!$B:$B,$A9,'Таблиця 1'!$I:$I,"F-16",'Таблиця 1'!$L:$L,"Дорозвідується")+COUNTIFS('Таблиця 1'!$B:$B,$A9,'Таблиця 1'!$I:$I,"МіГ-29",'Таблиця 1'!$L:$L,"Дорозвідується")+COUNTIFS('Таблиця 1'!$B:$B,$A9,'Таблиця 1'!$I:$I,"Су-25",'Таблиця 1'!$L:$L,"Дорозвідується")+COUNTIFS('Таблиця 1'!$B:$B,$A9,'Таблиця 1'!$I:$I,"Су-27",'Таблиця 1'!$L:$L,"Дорозвідується"))</f>
        <v/>
      </c>
    </row>
    <row r="10">
      <c r="A10" s="273">
        <f>IF(A9="","",IF(A9+1&gt;MAX('Таблиця 1'!$B:$B),"",A9+1))</f>
        <v/>
      </c>
      <c r="B10">
        <f>IF($A10="","",COUNTIFS('Таблиця 1'!$B:$B,$A10,'Таблиця 1'!$I:$I,"Mirage")+COUNTIFS('Таблиця 1'!$B:$B,$A10,'Таблиця 1'!$I:$I,"F-16")+COUNTIFS('Таблиця 1'!$B:$B,$A10,'Таблиця 1'!$I:$I,"МіГ-29")+COUNTIFS('Таблиця 1'!$B:$B,$A10,'Таблиця 1'!$I:$I,"Су-25")+COUNTIFS('Таблиця 1'!$B:$B,$A10,'Таблиця 1'!$I:$I,"Су-27"))</f>
        <v/>
      </c>
      <c r="C10">
        <f>IF($A10="","",COUNTIFS('Таблиця 1'!$B:$B,$A10,'Таблиця 1'!$I:$I,"Mirage"))</f>
        <v/>
      </c>
      <c r="D10">
        <f>IF($A10="","",COUNTIFS('Таблиця 1'!$B:$B,$A10,'Таблиця 1'!$I:$I,"F-16"))</f>
        <v/>
      </c>
      <c r="E10">
        <f>IF($A10="","",COUNTIFS('Таблиця 1'!$B:$B,$A10,'Таблиця 1'!$I:$I,"МіГ-29"))</f>
        <v/>
      </c>
      <c r="F10">
        <f>IF($A10="","",COUNTIFS('Таблиця 1'!$B:$B,$A10,'Таблиця 1'!$I:$I,"Су-25"))</f>
        <v/>
      </c>
      <c r="G10">
        <f>IF($A10="","",COUNTIFS('Таблиця 1'!$B:$B,$A10,'Таблиця 1'!$I:$I,"Су-27"))</f>
        <v/>
      </c>
      <c r="H10">
        <f>IF($A10="","",SUMIFS('Таблиця 1'!$K:$K,'Таблиця 1'!$B:$B,$A10,'Таблиця 1'!$I:$I,"Mirage",'Таблиця 1'!$J:$J,"AGM-88")+SUMIFS('Таблиця 1'!$K:$K,'Таблиця 1'!$B:$B,$A10,'Таблиця 1'!$I:$I,"F-16",'Таблиця 1'!$J:$J,"AGM-88")+SUMIFS('Таблиця 1'!$K:$K,'Таблиця 1'!$B:$B,$A10,'Таблиця 1'!$I:$I,"МіГ-29",'Таблиця 1'!$J:$J,"AGM-88")+SUMIFS('Таблиця 1'!$K:$K,'Таблиця 1'!$B:$B,$A10,'Таблиця 1'!$I:$I,"Су-25",'Таблиця 1'!$J:$J,"AGM-88")+SUMIFS('Таблиця 1'!$K:$K,'Таблиця 1'!$B:$B,$A10,'Таблиця 1'!$I:$I,"Су-27",'Таблиця 1'!$J:$J,"AGM-88"))</f>
        <v/>
      </c>
      <c r="I10">
        <f>IF($A10="","",SUMIFS('Таблиця 1'!$K:$K,'Таблиця 1'!$B:$B,$A10,'Таблиця 1'!$I:$I,"Mirage",'Таблиця 1'!$J:$J,"AASM-250")+SUMIFS('Таблиця 1'!$K:$K,'Таблиця 1'!$B:$B,$A10,'Таблиця 1'!$I:$I,"F-16",'Таблиця 1'!$J:$J,"AASM-250")+SUMIFS('Таблиця 1'!$K:$K,'Таблиця 1'!$B:$B,$A10,'Таблиця 1'!$I:$I,"МіГ-29",'Таблиця 1'!$J:$J,"AASM-250")+SUMIFS('Таблиця 1'!$K:$K,'Таблиця 1'!$B:$B,$A10,'Таблиця 1'!$I:$I,"Су-25",'Таблиця 1'!$J:$J,"AASM-250")+SUMIFS('Таблиця 1'!$K:$K,'Таблиця 1'!$B:$B,$A10,'Таблиця 1'!$I:$I,"Су-27",'Таблиця 1'!$J:$J,"AASM-250"))</f>
        <v/>
      </c>
      <c r="J10">
        <f>IF($A10="","",SUMIFS('Таблиця 1'!$K:$K,'Таблиця 1'!$B:$B,$A10,'Таблиця 1'!$I:$I,"Mirage",'Таблиця 1'!$J:$J,"GBU-39")+SUMIFS('Таблиця 1'!$K:$K,'Таблиця 1'!$B:$B,$A10,'Таблиця 1'!$I:$I,"F-16",'Таблиця 1'!$J:$J,"GBU-39")+SUMIFS('Таблиця 1'!$K:$K,'Таблиця 1'!$B:$B,$A10,'Таблиця 1'!$I:$I,"МіГ-29",'Таблиця 1'!$J:$J,"GBU-39")+SUMIFS('Таблиця 1'!$K:$K,'Таблиця 1'!$B:$B,$A10,'Таблиця 1'!$I:$I,"Су-25",'Таблиця 1'!$J:$J,"GBU-39")+SUMIFS('Таблиця 1'!$K:$K,'Таблиця 1'!$B:$B,$A10,'Таблиця 1'!$I:$I,"Су-27",'Таблиця 1'!$J:$J,"GBU-39"))</f>
        <v/>
      </c>
      <c r="K10">
        <f>IF($A10="","",SUMIFS('Таблиця 1'!$K:$K,'Таблиця 1'!$B:$B,$A10,'Таблиця 1'!$I:$I,"Mirage",'Таблиця 1'!$J:$J,"BLU-140")+SUMIFS('Таблиця 1'!$K:$K,'Таблиця 1'!$B:$B,$A10,'Таблиця 1'!$I:$I,"F-16",'Таблиця 1'!$J:$J,"BLU-140")+SUMIFS('Таблиця 1'!$K:$K,'Таблиця 1'!$B:$B,$A10,'Таблиця 1'!$I:$I,"МіГ-29",'Таблиця 1'!$J:$J,"BLU-140")+SUMIFS('Таблиця 1'!$K:$K,'Таблиця 1'!$B:$B,$A10,'Таблиця 1'!$I:$I,"Су-25",'Таблиця 1'!$J:$J,"BLU-140")+SUMIFS('Таблиця 1'!$K:$K,'Таблиця 1'!$B:$B,$A10,'Таблиця 1'!$I:$I,"Су-27",'Таблиця 1'!$J:$J,"BLU-140"))</f>
        <v/>
      </c>
      <c r="L10">
        <f>IF($A10="","",SUMIFS('Таблиця 1'!$K:$K,'Таблиця 1'!$B:$B,$A10,'Таблиця 1'!$I:$I,"Mirage",'Таблиця 1'!$J:$J,"GBU-65")+SUMIFS('Таблиця 1'!$K:$K,'Таблиця 1'!$B:$B,$A10,'Таблиця 1'!$I:$I,"F-16",'Таблиця 1'!$J:$J,"GBU-65")+SUMIFS('Таблиця 1'!$K:$K,'Таблиця 1'!$B:$B,$A10,'Таблиця 1'!$I:$I,"МіГ-29",'Таблиця 1'!$J:$J,"GBU-65")+SUMIFS('Таблиця 1'!$K:$K,'Таблиця 1'!$B:$B,$A10,'Таблиця 1'!$I:$I,"Су-25",'Таблиця 1'!$J:$J,"GBU-65")+SUMIFS('Таблиця 1'!$K:$K,'Таблиця 1'!$B:$B,$A10,'Таблиця 1'!$I:$I,"Су-27",'Таблиця 1'!$J:$J,"GBU-65"))</f>
        <v/>
      </c>
      <c r="M10">
        <f>IF($A10="","",SUMIFS('Таблиця 1'!$K:$K,'Таблиця 1'!$B:$B,$A10,'Таблиця 1'!$I:$I,"Mirage",'Таблиця 1'!$J:$J,"GBU-62")+SUMIFS('Таблиця 1'!$K:$K,'Таблиця 1'!$B:$B,$A10,'Таблиця 1'!$I:$I,"F-16",'Таблиця 1'!$J:$J,"GBU-62")+SUMIFS('Таблиця 1'!$K:$K,'Таблиця 1'!$B:$B,$A10,'Таблиця 1'!$I:$I,"МіГ-29",'Таблиця 1'!$J:$J,"GBU-62")+SUMIFS('Таблиця 1'!$K:$K,'Таблиця 1'!$B:$B,$A10,'Таблиця 1'!$I:$I,"Су-25",'Таблиця 1'!$J:$J,"GBU-62")+SUMIFS('Таблиця 1'!$K:$K,'Таблиця 1'!$B:$B,$A10,'Таблиця 1'!$I:$I,"Су-27",'Таблиця 1'!$J:$J,"GBU-62"))</f>
        <v/>
      </c>
      <c r="N10">
        <f>IF($A10="","",SUMIFS('Таблиця 1'!$K:$K,'Таблиця 1'!$B:$B,$A10,'Таблиця 1'!$I:$I,"Mirage",'Таблиця 1'!$J:$J,"GBU-64")+SUMIFS('Таблиця 1'!$K:$K,'Таблиця 1'!$B:$B,$A10,'Таблиця 1'!$I:$I,"F-16",'Таблиця 1'!$J:$J,"GBU-64")+SUMIFS('Таблиця 1'!$K:$K,'Таблиця 1'!$B:$B,$A10,'Таблиця 1'!$I:$I,"МіГ-29",'Таблиця 1'!$J:$J,"GBU-64")+SUMIFS('Таблиця 1'!$K:$K,'Таблиця 1'!$B:$B,$A10,'Таблиця 1'!$I:$I,"Су-25",'Таблиця 1'!$J:$J,"GBU-64")+SUMIFS('Таблиця 1'!$K:$K,'Таблиця 1'!$B:$B,$A10,'Таблиця 1'!$I:$I,"Су-27",'Таблиця 1'!$J:$J,"GBU-64"))</f>
        <v/>
      </c>
      <c r="O10">
        <f>IF($A10="","",SUMIFS('Таблиця 1'!$K:$K,'Таблиця 1'!$B:$B,$A10,'Таблиця 1'!$I:$I,"Mirage",'Таблиця 1'!$J:$J,"C-13")+SUMIFS('Таблиця 1'!$K:$K,'Таблиця 1'!$B:$B,$A10,'Таблиця 1'!$I:$I,"F-16",'Таблиця 1'!$J:$J,"C-13")+SUMIFS('Таблиця 1'!$K:$K,'Таблиця 1'!$B:$B,$A10,'Таблиця 1'!$I:$I,"МіГ-29",'Таблиця 1'!$J:$J,"C-13")+SUMIFS('Таблиця 1'!$K:$K,'Таблиця 1'!$B:$B,$A10,'Таблиця 1'!$I:$I,"Су-25",'Таблиця 1'!$J:$J,"C-13")+SUMIFS('Таблиця 1'!$K:$K,'Таблиця 1'!$B:$B,$A10,'Таблиця 1'!$I:$I,"Су-27",'Таблиця 1'!$J:$J,"C-13"))</f>
        <v/>
      </c>
      <c r="P10">
        <f>IF($A10="","",SUMIFS('Таблиця 1'!$K:$K,'Таблиця 1'!$B:$B,$A10,'Таблиця 1'!$I:$I,"Mirage",'Таблиця 1'!$J:$J,"MK-32")+SUMIFS('Таблиця 1'!$K:$K,'Таблиця 1'!$B:$B,$A10,'Таблиця 1'!$I:$I,"F-16",'Таблиця 1'!$J:$J,"MK-32")+SUMIFS('Таблиця 1'!$K:$K,'Таблиця 1'!$B:$B,$A10,'Таблиця 1'!$I:$I,"МіГ-29",'Таблиця 1'!$J:$J,"MK-32")+SUMIFS('Таблиця 1'!$K:$K,'Таблиця 1'!$B:$B,$A10,'Таблиця 1'!$I:$I,"Су-25",'Таблиця 1'!$J:$J,"MK-32")+SUMIFS('Таблиця 1'!$K:$K,'Таблиця 1'!$B:$B,$A10,'Таблиця 1'!$I:$I,"Су-27",'Таблиця 1'!$J:$J,"MK-32"))</f>
        <v/>
      </c>
      <c r="Q10">
        <f>IF($A10="","",SUMIFS('Таблиця 1'!$K:$K,'Таблиця 1'!$B:$B,$A10,'Таблиця 1'!$I:$I,"Mirage",'Таблиця 1'!$J:$J,"MK-24")+SUMIFS('Таблиця 1'!$K:$K,'Таблиця 1'!$B:$B,$A10,'Таблиця 1'!$I:$I,"F-16",'Таблиця 1'!$J:$J,"MK-24")+SUMIFS('Таблиця 1'!$K:$K,'Таблиця 1'!$B:$B,$A10,'Таблиця 1'!$I:$I,"МіГ-29",'Таблиця 1'!$J:$J,"MK-24")+SUMIFS('Таблиця 1'!$K:$K,'Таблиця 1'!$B:$B,$A10,'Таблиця 1'!$I:$I,"Су-25",'Таблиця 1'!$J:$J,"MK-24")+SUMIFS('Таблиця 1'!$K:$K,'Таблиця 1'!$B:$B,$A10,'Таблиця 1'!$I:$I,"Су-27",'Таблиця 1'!$J:$J,"MK-24"))</f>
        <v/>
      </c>
      <c r="R10">
        <f>IF($A10="","",COUNTIFS('Таблиця 1'!$B:$B,$A10,'Таблиця 1'!$I:$I,"Mirage",'Таблиця 1'!$L:$L,"Уражено")+COUNTIFS('Таблиця 1'!$B:$B,$A10,'Таблиця 1'!$I:$I,"F-16",'Таблиця 1'!$L:$L,"Уражено")+COUNTIFS('Таблиця 1'!$B:$B,$A10,'Таблиця 1'!$I:$I,"МіГ-29",'Таблиця 1'!$L:$L,"Уражено")+COUNTIFS('Таблиця 1'!$B:$B,$A10,'Таблиця 1'!$I:$I,"Су-25",'Таблиця 1'!$L:$L,"Уражено")+COUNTIFS('Таблиця 1'!$B:$B,$A10,'Таблиця 1'!$I:$I,"Су-27",'Таблиця 1'!$L:$L,"Уражено"))</f>
        <v/>
      </c>
      <c r="S10">
        <f>IF($A10="","",COUNTIFS('Таблиця 1'!$B:$B,$A10,'Таблиця 1'!$I:$I,"Mirage",'Таблиця 1'!$L:$L,"НЕ уражено")+COUNTIFS('Таблиця 1'!$B:$B,$A10,'Таблиця 1'!$I:$I,"F-16",'Таблиця 1'!$L:$L,"НЕ уражено")+COUNTIFS('Таблиця 1'!$B:$B,$A10,'Таблиця 1'!$I:$I,"МіГ-29",'Таблиця 1'!$L:$L,"НЕ уражено")+COUNTIFS('Таблиця 1'!$B:$B,$A10,'Таблиця 1'!$I:$I,"Су-25",'Таблиця 1'!$L:$L,"НЕ уражено")+COUNTIFS('Таблиця 1'!$B:$B,$A10,'Таблиця 1'!$I:$I,"Су-27",'Таблиця 1'!$L:$L,"НЕ уражено"))</f>
        <v/>
      </c>
      <c r="T10">
        <f>IF($A10="","",COUNTIFS('Таблиця 1'!$B:$B,$A10,'Таблиця 1'!$I:$I,"Mirage",'Таблиця 1'!$L:$L,"Дорозвідується")+COUNTIFS('Таблиця 1'!$B:$B,$A10,'Таблиця 1'!$I:$I,"F-16",'Таблиця 1'!$L:$L,"Дорозвідується")+COUNTIFS('Таблиця 1'!$B:$B,$A10,'Таблиця 1'!$I:$I,"МіГ-29",'Таблиця 1'!$L:$L,"Дорозвідується")+COUNTIFS('Таблиця 1'!$B:$B,$A10,'Таблиця 1'!$I:$I,"Су-25",'Таблиця 1'!$L:$L,"Дорозвідується")+COUNTIFS('Таблиця 1'!$B:$B,$A10,'Таблиця 1'!$I:$I,"Су-27",'Таблиця 1'!$L:$L,"Дорозвідується"))</f>
        <v/>
      </c>
    </row>
    <row r="11">
      <c r="A11" s="273">
        <f>IF(A10="","",IF(A10+1&gt;MAX('Таблиця 1'!$B:$B),"",A10+1))</f>
        <v/>
      </c>
      <c r="B11">
        <f>IF($A11="","",COUNTIFS('Таблиця 1'!$B:$B,$A11,'Таблиця 1'!$I:$I,"Mirage")+COUNTIFS('Таблиця 1'!$B:$B,$A11,'Таблиця 1'!$I:$I,"F-16")+COUNTIFS('Таблиця 1'!$B:$B,$A11,'Таблиця 1'!$I:$I,"МіГ-29")+COUNTIFS('Таблиця 1'!$B:$B,$A11,'Таблиця 1'!$I:$I,"Су-25")+COUNTIFS('Таблиця 1'!$B:$B,$A11,'Таблиця 1'!$I:$I,"Су-27"))</f>
        <v/>
      </c>
      <c r="C11">
        <f>IF($A11="","",COUNTIFS('Таблиця 1'!$B:$B,$A11,'Таблиця 1'!$I:$I,"Mirage"))</f>
        <v/>
      </c>
      <c r="D11">
        <f>IF($A11="","",COUNTIFS('Таблиця 1'!$B:$B,$A11,'Таблиця 1'!$I:$I,"F-16"))</f>
        <v/>
      </c>
      <c r="E11">
        <f>IF($A11="","",COUNTIFS('Таблиця 1'!$B:$B,$A11,'Таблиця 1'!$I:$I,"МіГ-29"))</f>
        <v/>
      </c>
      <c r="F11">
        <f>IF($A11="","",COUNTIFS('Таблиця 1'!$B:$B,$A11,'Таблиця 1'!$I:$I,"Су-25"))</f>
        <v/>
      </c>
      <c r="G11">
        <f>IF($A11="","",COUNTIFS('Таблиця 1'!$B:$B,$A11,'Таблиця 1'!$I:$I,"Су-27"))</f>
        <v/>
      </c>
      <c r="H11">
        <f>IF($A11="","",SUMIFS('Таблиця 1'!$K:$K,'Таблиця 1'!$B:$B,$A11,'Таблиця 1'!$I:$I,"Mirage",'Таблиця 1'!$J:$J,"AGM-88")+SUMIFS('Таблиця 1'!$K:$K,'Таблиця 1'!$B:$B,$A11,'Таблиця 1'!$I:$I,"F-16",'Таблиця 1'!$J:$J,"AGM-88")+SUMIFS('Таблиця 1'!$K:$K,'Таблиця 1'!$B:$B,$A11,'Таблиця 1'!$I:$I,"МіГ-29",'Таблиця 1'!$J:$J,"AGM-88")+SUMIFS('Таблиця 1'!$K:$K,'Таблиця 1'!$B:$B,$A11,'Таблиця 1'!$I:$I,"Су-25",'Таблиця 1'!$J:$J,"AGM-88")+SUMIFS('Таблиця 1'!$K:$K,'Таблиця 1'!$B:$B,$A11,'Таблиця 1'!$I:$I,"Су-27",'Таблиця 1'!$J:$J,"AGM-88"))</f>
        <v/>
      </c>
      <c r="I11">
        <f>IF($A11="","",SUMIFS('Таблиця 1'!$K:$K,'Таблиця 1'!$B:$B,$A11,'Таблиця 1'!$I:$I,"Mirage",'Таблиця 1'!$J:$J,"AASM-250")+SUMIFS('Таблиця 1'!$K:$K,'Таблиця 1'!$B:$B,$A11,'Таблиця 1'!$I:$I,"F-16",'Таблиця 1'!$J:$J,"AASM-250")+SUMIFS('Таблиця 1'!$K:$K,'Таблиця 1'!$B:$B,$A11,'Таблиця 1'!$I:$I,"МіГ-29",'Таблиця 1'!$J:$J,"AASM-250")+SUMIFS('Таблиця 1'!$K:$K,'Таблиця 1'!$B:$B,$A11,'Таблиця 1'!$I:$I,"Су-25",'Таблиця 1'!$J:$J,"AASM-250")+SUMIFS('Таблиця 1'!$K:$K,'Таблиця 1'!$B:$B,$A11,'Таблиця 1'!$I:$I,"Су-27",'Таблиця 1'!$J:$J,"AASM-250"))</f>
        <v/>
      </c>
      <c r="J11">
        <f>IF($A11="","",SUMIFS('Таблиця 1'!$K:$K,'Таблиця 1'!$B:$B,$A11,'Таблиця 1'!$I:$I,"Mirage",'Таблиця 1'!$J:$J,"GBU-39")+SUMIFS('Таблиця 1'!$K:$K,'Таблиця 1'!$B:$B,$A11,'Таблиця 1'!$I:$I,"F-16",'Таблиця 1'!$J:$J,"GBU-39")+SUMIFS('Таблиця 1'!$K:$K,'Таблиця 1'!$B:$B,$A11,'Таблиця 1'!$I:$I,"МіГ-29",'Таблиця 1'!$J:$J,"GBU-39")+SUMIFS('Таблиця 1'!$K:$K,'Таблиця 1'!$B:$B,$A11,'Таблиця 1'!$I:$I,"Су-25",'Таблиця 1'!$J:$J,"GBU-39")+SUMIFS('Таблиця 1'!$K:$K,'Таблиця 1'!$B:$B,$A11,'Таблиця 1'!$I:$I,"Су-27",'Таблиця 1'!$J:$J,"GBU-39"))</f>
        <v/>
      </c>
      <c r="K11">
        <f>IF($A11="","",SUMIFS('Таблиця 1'!$K:$K,'Таблиця 1'!$B:$B,$A11,'Таблиця 1'!$I:$I,"Mirage",'Таблиця 1'!$J:$J,"BLU-140")+SUMIFS('Таблиця 1'!$K:$K,'Таблиця 1'!$B:$B,$A11,'Таблиця 1'!$I:$I,"F-16",'Таблиця 1'!$J:$J,"BLU-140")+SUMIFS('Таблиця 1'!$K:$K,'Таблиця 1'!$B:$B,$A11,'Таблиця 1'!$I:$I,"МіГ-29",'Таблиця 1'!$J:$J,"BLU-140")+SUMIFS('Таблиця 1'!$K:$K,'Таблиця 1'!$B:$B,$A11,'Таблиця 1'!$I:$I,"Су-25",'Таблиця 1'!$J:$J,"BLU-140")+SUMIFS('Таблиця 1'!$K:$K,'Таблиця 1'!$B:$B,$A11,'Таблиця 1'!$I:$I,"Су-27",'Таблиця 1'!$J:$J,"BLU-140"))</f>
        <v/>
      </c>
      <c r="L11">
        <f>IF($A11="","",SUMIFS('Таблиця 1'!$K:$K,'Таблиця 1'!$B:$B,$A11,'Таблиця 1'!$I:$I,"Mirage",'Таблиця 1'!$J:$J,"GBU-65")+SUMIFS('Таблиця 1'!$K:$K,'Таблиця 1'!$B:$B,$A11,'Таблиця 1'!$I:$I,"F-16",'Таблиця 1'!$J:$J,"GBU-65")+SUMIFS('Таблиця 1'!$K:$K,'Таблиця 1'!$B:$B,$A11,'Таблиця 1'!$I:$I,"МіГ-29",'Таблиця 1'!$J:$J,"GBU-65")+SUMIFS('Таблиця 1'!$K:$K,'Таблиця 1'!$B:$B,$A11,'Таблиця 1'!$I:$I,"Су-25",'Таблиця 1'!$J:$J,"GBU-65")+SUMIFS('Таблиця 1'!$K:$K,'Таблиця 1'!$B:$B,$A11,'Таблиця 1'!$I:$I,"Су-27",'Таблиця 1'!$J:$J,"GBU-65"))</f>
        <v/>
      </c>
      <c r="M11">
        <f>IF($A11="","",SUMIFS('Таблиця 1'!$K:$K,'Таблиця 1'!$B:$B,$A11,'Таблиця 1'!$I:$I,"Mirage",'Таблиця 1'!$J:$J,"GBU-62")+SUMIFS('Таблиця 1'!$K:$K,'Таблиця 1'!$B:$B,$A11,'Таблиця 1'!$I:$I,"F-16",'Таблиця 1'!$J:$J,"GBU-62")+SUMIFS('Таблиця 1'!$K:$K,'Таблиця 1'!$B:$B,$A11,'Таблиця 1'!$I:$I,"МіГ-29",'Таблиця 1'!$J:$J,"GBU-62")+SUMIFS('Таблиця 1'!$K:$K,'Таблиця 1'!$B:$B,$A11,'Таблиця 1'!$I:$I,"Су-25",'Таблиця 1'!$J:$J,"GBU-62")+SUMIFS('Таблиця 1'!$K:$K,'Таблиця 1'!$B:$B,$A11,'Таблиця 1'!$I:$I,"Су-27",'Таблиця 1'!$J:$J,"GBU-62"))</f>
        <v/>
      </c>
      <c r="N11">
        <f>IF($A11="","",SUMIFS('Таблиця 1'!$K:$K,'Таблиця 1'!$B:$B,$A11,'Таблиця 1'!$I:$I,"Mirage",'Таблиця 1'!$J:$J,"GBU-64")+SUMIFS('Таблиця 1'!$K:$K,'Таблиця 1'!$B:$B,$A11,'Таблиця 1'!$I:$I,"F-16",'Таблиця 1'!$J:$J,"GBU-64")+SUMIFS('Таблиця 1'!$K:$K,'Таблиця 1'!$B:$B,$A11,'Таблиця 1'!$I:$I,"МіГ-29",'Таблиця 1'!$J:$J,"GBU-64")+SUMIFS('Таблиця 1'!$K:$K,'Таблиця 1'!$B:$B,$A11,'Таблиця 1'!$I:$I,"Су-25",'Таблиця 1'!$J:$J,"GBU-64")+SUMIFS('Таблиця 1'!$K:$K,'Таблиця 1'!$B:$B,$A11,'Таблиця 1'!$I:$I,"Су-27",'Таблиця 1'!$J:$J,"GBU-64"))</f>
        <v/>
      </c>
      <c r="O11">
        <f>IF($A11="","",SUMIFS('Таблиця 1'!$K:$K,'Таблиця 1'!$B:$B,$A11,'Таблиця 1'!$I:$I,"Mirage",'Таблиця 1'!$J:$J,"C-13")+SUMIFS('Таблиця 1'!$K:$K,'Таблиця 1'!$B:$B,$A11,'Таблиця 1'!$I:$I,"F-16",'Таблиця 1'!$J:$J,"C-13")+SUMIFS('Таблиця 1'!$K:$K,'Таблиця 1'!$B:$B,$A11,'Таблиця 1'!$I:$I,"МіГ-29",'Таблиця 1'!$J:$J,"C-13")+SUMIFS('Таблиця 1'!$K:$K,'Таблиця 1'!$B:$B,$A11,'Таблиця 1'!$I:$I,"Су-25",'Таблиця 1'!$J:$J,"C-13")+SUMIFS('Таблиця 1'!$K:$K,'Таблиця 1'!$B:$B,$A11,'Таблиця 1'!$I:$I,"Су-27",'Таблиця 1'!$J:$J,"C-13"))</f>
        <v/>
      </c>
      <c r="P11">
        <f>IF($A11="","",SUMIFS('Таблиця 1'!$K:$K,'Таблиця 1'!$B:$B,$A11,'Таблиця 1'!$I:$I,"Mirage",'Таблиця 1'!$J:$J,"MK-32")+SUMIFS('Таблиця 1'!$K:$K,'Таблиця 1'!$B:$B,$A11,'Таблиця 1'!$I:$I,"F-16",'Таблиця 1'!$J:$J,"MK-32")+SUMIFS('Таблиця 1'!$K:$K,'Таблиця 1'!$B:$B,$A11,'Таблиця 1'!$I:$I,"МіГ-29",'Таблиця 1'!$J:$J,"MK-32")+SUMIFS('Таблиця 1'!$K:$K,'Таблиця 1'!$B:$B,$A11,'Таблиця 1'!$I:$I,"Су-25",'Таблиця 1'!$J:$J,"MK-32")+SUMIFS('Таблиця 1'!$K:$K,'Таблиця 1'!$B:$B,$A11,'Таблиця 1'!$I:$I,"Су-27",'Таблиця 1'!$J:$J,"MK-32"))</f>
        <v/>
      </c>
      <c r="Q11">
        <f>IF($A11="","",SUMIFS('Таблиця 1'!$K:$K,'Таблиця 1'!$B:$B,$A11,'Таблиця 1'!$I:$I,"Mirage",'Таблиця 1'!$J:$J,"MK-24")+SUMIFS('Таблиця 1'!$K:$K,'Таблиця 1'!$B:$B,$A11,'Таблиця 1'!$I:$I,"F-16",'Таблиця 1'!$J:$J,"MK-24")+SUMIFS('Таблиця 1'!$K:$K,'Таблиця 1'!$B:$B,$A11,'Таблиця 1'!$I:$I,"МіГ-29",'Таблиця 1'!$J:$J,"MK-24")+SUMIFS('Таблиця 1'!$K:$K,'Таблиця 1'!$B:$B,$A11,'Таблиця 1'!$I:$I,"Су-25",'Таблиця 1'!$J:$J,"MK-24")+SUMIFS('Таблиця 1'!$K:$K,'Таблиця 1'!$B:$B,$A11,'Таблиця 1'!$I:$I,"Су-27",'Таблиця 1'!$J:$J,"MK-24"))</f>
        <v/>
      </c>
      <c r="R11">
        <f>IF($A11="","",COUNTIFS('Таблиця 1'!$B:$B,$A11,'Таблиця 1'!$I:$I,"Mirage",'Таблиця 1'!$L:$L,"Уражено")+COUNTIFS('Таблиця 1'!$B:$B,$A11,'Таблиця 1'!$I:$I,"F-16",'Таблиця 1'!$L:$L,"Уражено")+COUNTIFS('Таблиця 1'!$B:$B,$A11,'Таблиця 1'!$I:$I,"МіГ-29",'Таблиця 1'!$L:$L,"Уражено")+COUNTIFS('Таблиця 1'!$B:$B,$A11,'Таблиця 1'!$I:$I,"Су-25",'Таблиця 1'!$L:$L,"Уражено")+COUNTIFS('Таблиця 1'!$B:$B,$A11,'Таблиця 1'!$I:$I,"Су-27",'Таблиця 1'!$L:$L,"Уражено"))</f>
        <v/>
      </c>
      <c r="S11">
        <f>IF($A11="","",COUNTIFS('Таблиця 1'!$B:$B,$A11,'Таблиця 1'!$I:$I,"Mirage",'Таблиця 1'!$L:$L,"НЕ уражено")+COUNTIFS('Таблиця 1'!$B:$B,$A11,'Таблиця 1'!$I:$I,"F-16",'Таблиця 1'!$L:$L,"НЕ уражено")+COUNTIFS('Таблиця 1'!$B:$B,$A11,'Таблиця 1'!$I:$I,"МіГ-29",'Таблиця 1'!$L:$L,"НЕ уражено")+COUNTIFS('Таблиця 1'!$B:$B,$A11,'Таблиця 1'!$I:$I,"Су-25",'Таблиця 1'!$L:$L,"НЕ уражено")+COUNTIFS('Таблиця 1'!$B:$B,$A11,'Таблиця 1'!$I:$I,"Су-27",'Таблиця 1'!$L:$L,"НЕ уражено"))</f>
        <v/>
      </c>
      <c r="T11">
        <f>IF($A11="","",COUNTIFS('Таблиця 1'!$B:$B,$A11,'Таблиця 1'!$I:$I,"Mirage",'Таблиця 1'!$L:$L,"Дорозвідується")+COUNTIFS('Таблиця 1'!$B:$B,$A11,'Таблиця 1'!$I:$I,"F-16",'Таблиця 1'!$L:$L,"Дорозвідується")+COUNTIFS('Таблиця 1'!$B:$B,$A11,'Таблиця 1'!$I:$I,"МіГ-29",'Таблиця 1'!$L:$L,"Дорозвідується")+COUNTIFS('Таблиця 1'!$B:$B,$A11,'Таблиця 1'!$I:$I,"Су-25",'Таблиця 1'!$L:$L,"Дорозвідується")+COUNTIFS('Таблиця 1'!$B:$B,$A11,'Таблиця 1'!$I:$I,"Су-27",'Таблиця 1'!$L:$L,"Дорозвідується"))</f>
        <v/>
      </c>
    </row>
    <row r="12">
      <c r="A12" s="273">
        <f>IF(A11="","",IF(A11+1&gt;MAX('Таблиця 1'!$B:$B),"",A11+1))</f>
        <v/>
      </c>
      <c r="B12">
        <f>IF($A12="","",COUNTIFS('Таблиця 1'!$B:$B,$A12,'Таблиця 1'!$I:$I,"Mirage")+COUNTIFS('Таблиця 1'!$B:$B,$A12,'Таблиця 1'!$I:$I,"F-16")+COUNTIFS('Таблиця 1'!$B:$B,$A12,'Таблиця 1'!$I:$I,"МіГ-29")+COUNTIFS('Таблиця 1'!$B:$B,$A12,'Таблиця 1'!$I:$I,"Су-25")+COUNTIFS('Таблиця 1'!$B:$B,$A12,'Таблиця 1'!$I:$I,"Су-27"))</f>
        <v/>
      </c>
      <c r="C12">
        <f>IF($A12="","",COUNTIFS('Таблиця 1'!$B:$B,$A12,'Таблиця 1'!$I:$I,"Mirage"))</f>
        <v/>
      </c>
      <c r="D12">
        <f>IF($A12="","",COUNTIFS('Таблиця 1'!$B:$B,$A12,'Таблиця 1'!$I:$I,"F-16"))</f>
        <v/>
      </c>
      <c r="E12">
        <f>IF($A12="","",COUNTIFS('Таблиця 1'!$B:$B,$A12,'Таблиця 1'!$I:$I,"МіГ-29"))</f>
        <v/>
      </c>
      <c r="F12">
        <f>IF($A12="","",COUNTIFS('Таблиця 1'!$B:$B,$A12,'Таблиця 1'!$I:$I,"Су-25"))</f>
        <v/>
      </c>
      <c r="G12">
        <f>IF($A12="","",COUNTIFS('Таблиця 1'!$B:$B,$A12,'Таблиця 1'!$I:$I,"Су-27"))</f>
        <v/>
      </c>
      <c r="H12">
        <f>IF($A12="","",SUMIFS('Таблиця 1'!$K:$K,'Таблиця 1'!$B:$B,$A12,'Таблиця 1'!$I:$I,"Mirage",'Таблиця 1'!$J:$J,"AGM-88")+SUMIFS('Таблиця 1'!$K:$K,'Таблиця 1'!$B:$B,$A12,'Таблиця 1'!$I:$I,"F-16",'Таблиця 1'!$J:$J,"AGM-88")+SUMIFS('Таблиця 1'!$K:$K,'Таблиця 1'!$B:$B,$A12,'Таблиця 1'!$I:$I,"МіГ-29",'Таблиця 1'!$J:$J,"AGM-88")+SUMIFS('Таблиця 1'!$K:$K,'Таблиця 1'!$B:$B,$A12,'Таблиця 1'!$I:$I,"Су-25",'Таблиця 1'!$J:$J,"AGM-88")+SUMIFS('Таблиця 1'!$K:$K,'Таблиця 1'!$B:$B,$A12,'Таблиця 1'!$I:$I,"Су-27",'Таблиця 1'!$J:$J,"AGM-88"))</f>
        <v/>
      </c>
      <c r="I12">
        <f>IF($A12="","",SUMIFS('Таблиця 1'!$K:$K,'Таблиця 1'!$B:$B,$A12,'Таблиця 1'!$I:$I,"Mirage",'Таблиця 1'!$J:$J,"AASM-250")+SUMIFS('Таблиця 1'!$K:$K,'Таблиця 1'!$B:$B,$A12,'Таблиця 1'!$I:$I,"F-16",'Таблиця 1'!$J:$J,"AASM-250")+SUMIFS('Таблиця 1'!$K:$K,'Таблиця 1'!$B:$B,$A12,'Таблиця 1'!$I:$I,"МіГ-29",'Таблиця 1'!$J:$J,"AASM-250")+SUMIFS('Таблиця 1'!$K:$K,'Таблиця 1'!$B:$B,$A12,'Таблиця 1'!$I:$I,"Су-25",'Таблиця 1'!$J:$J,"AASM-250")+SUMIFS('Таблиця 1'!$K:$K,'Таблиця 1'!$B:$B,$A12,'Таблиця 1'!$I:$I,"Су-27",'Таблиця 1'!$J:$J,"AASM-250"))</f>
        <v/>
      </c>
      <c r="J12">
        <f>IF($A12="","",SUMIFS('Таблиця 1'!$K:$K,'Таблиця 1'!$B:$B,$A12,'Таблиця 1'!$I:$I,"Mirage",'Таблиця 1'!$J:$J,"GBU-39")+SUMIFS('Таблиця 1'!$K:$K,'Таблиця 1'!$B:$B,$A12,'Таблиця 1'!$I:$I,"F-16",'Таблиця 1'!$J:$J,"GBU-39")+SUMIFS('Таблиця 1'!$K:$K,'Таблиця 1'!$B:$B,$A12,'Таблиця 1'!$I:$I,"МіГ-29",'Таблиця 1'!$J:$J,"GBU-39")+SUMIFS('Таблиця 1'!$K:$K,'Таблиця 1'!$B:$B,$A12,'Таблиця 1'!$I:$I,"Су-25",'Таблиця 1'!$J:$J,"GBU-39")+SUMIFS('Таблиця 1'!$K:$K,'Таблиця 1'!$B:$B,$A12,'Таблиця 1'!$I:$I,"Су-27",'Таблиця 1'!$J:$J,"GBU-39"))</f>
        <v/>
      </c>
      <c r="K12">
        <f>IF($A12="","",SUMIFS('Таблиця 1'!$K:$K,'Таблиця 1'!$B:$B,$A12,'Таблиця 1'!$I:$I,"Mirage",'Таблиця 1'!$J:$J,"BLU-140")+SUMIFS('Таблиця 1'!$K:$K,'Таблиця 1'!$B:$B,$A12,'Таблиця 1'!$I:$I,"F-16",'Таблиця 1'!$J:$J,"BLU-140")+SUMIFS('Таблиця 1'!$K:$K,'Таблиця 1'!$B:$B,$A12,'Таблиця 1'!$I:$I,"МіГ-29",'Таблиця 1'!$J:$J,"BLU-140")+SUMIFS('Таблиця 1'!$K:$K,'Таблиця 1'!$B:$B,$A12,'Таблиця 1'!$I:$I,"Су-25",'Таблиця 1'!$J:$J,"BLU-140")+SUMIFS('Таблиця 1'!$K:$K,'Таблиця 1'!$B:$B,$A12,'Таблиця 1'!$I:$I,"Су-27",'Таблиця 1'!$J:$J,"BLU-140"))</f>
        <v/>
      </c>
      <c r="L12">
        <f>IF($A12="","",SUMIFS('Таблиця 1'!$K:$K,'Таблиця 1'!$B:$B,$A12,'Таблиця 1'!$I:$I,"Mirage",'Таблиця 1'!$J:$J,"GBU-65")+SUMIFS('Таблиця 1'!$K:$K,'Таблиця 1'!$B:$B,$A12,'Таблиця 1'!$I:$I,"F-16",'Таблиця 1'!$J:$J,"GBU-65")+SUMIFS('Таблиця 1'!$K:$K,'Таблиця 1'!$B:$B,$A12,'Таблиця 1'!$I:$I,"МіГ-29",'Таблиця 1'!$J:$J,"GBU-65")+SUMIFS('Таблиця 1'!$K:$K,'Таблиця 1'!$B:$B,$A12,'Таблиця 1'!$I:$I,"Су-25",'Таблиця 1'!$J:$J,"GBU-65")+SUMIFS('Таблиця 1'!$K:$K,'Таблиця 1'!$B:$B,$A12,'Таблиця 1'!$I:$I,"Су-27",'Таблиця 1'!$J:$J,"GBU-65"))</f>
        <v/>
      </c>
      <c r="M12">
        <f>IF($A12="","",SUMIFS('Таблиця 1'!$K:$K,'Таблиця 1'!$B:$B,$A12,'Таблиця 1'!$I:$I,"Mirage",'Таблиця 1'!$J:$J,"GBU-62")+SUMIFS('Таблиця 1'!$K:$K,'Таблиця 1'!$B:$B,$A12,'Таблиця 1'!$I:$I,"F-16",'Таблиця 1'!$J:$J,"GBU-62")+SUMIFS('Таблиця 1'!$K:$K,'Таблиця 1'!$B:$B,$A12,'Таблиця 1'!$I:$I,"МіГ-29",'Таблиця 1'!$J:$J,"GBU-62")+SUMIFS('Таблиця 1'!$K:$K,'Таблиця 1'!$B:$B,$A12,'Таблиця 1'!$I:$I,"Су-25",'Таблиця 1'!$J:$J,"GBU-62")+SUMIFS('Таблиця 1'!$K:$K,'Таблиця 1'!$B:$B,$A12,'Таблиця 1'!$I:$I,"Су-27",'Таблиця 1'!$J:$J,"GBU-62"))</f>
        <v/>
      </c>
      <c r="N12">
        <f>IF($A12="","",SUMIFS('Таблиця 1'!$K:$K,'Таблиця 1'!$B:$B,$A12,'Таблиця 1'!$I:$I,"Mirage",'Таблиця 1'!$J:$J,"GBU-64")+SUMIFS('Таблиця 1'!$K:$K,'Таблиця 1'!$B:$B,$A12,'Таблиця 1'!$I:$I,"F-16",'Таблиця 1'!$J:$J,"GBU-64")+SUMIFS('Таблиця 1'!$K:$K,'Таблиця 1'!$B:$B,$A12,'Таблиця 1'!$I:$I,"МіГ-29",'Таблиця 1'!$J:$J,"GBU-64")+SUMIFS('Таблиця 1'!$K:$K,'Таблиця 1'!$B:$B,$A12,'Таблиця 1'!$I:$I,"Су-25",'Таблиця 1'!$J:$J,"GBU-64")+SUMIFS('Таблиця 1'!$K:$K,'Таблиця 1'!$B:$B,$A12,'Таблиця 1'!$I:$I,"Су-27",'Таблиця 1'!$J:$J,"GBU-64"))</f>
        <v/>
      </c>
      <c r="O12">
        <f>IF($A12="","",SUMIFS('Таблиця 1'!$K:$K,'Таблиця 1'!$B:$B,$A12,'Таблиця 1'!$I:$I,"Mirage",'Таблиця 1'!$J:$J,"C-13")+SUMIFS('Таблиця 1'!$K:$K,'Таблиця 1'!$B:$B,$A12,'Таблиця 1'!$I:$I,"F-16",'Таблиця 1'!$J:$J,"C-13")+SUMIFS('Таблиця 1'!$K:$K,'Таблиця 1'!$B:$B,$A12,'Таблиця 1'!$I:$I,"МіГ-29",'Таблиця 1'!$J:$J,"C-13")+SUMIFS('Таблиця 1'!$K:$K,'Таблиця 1'!$B:$B,$A12,'Таблиця 1'!$I:$I,"Су-25",'Таблиця 1'!$J:$J,"C-13")+SUMIFS('Таблиця 1'!$K:$K,'Таблиця 1'!$B:$B,$A12,'Таблиця 1'!$I:$I,"Су-27",'Таблиця 1'!$J:$J,"C-13"))</f>
        <v/>
      </c>
      <c r="P12">
        <f>IF($A12="","",SUMIFS('Таблиця 1'!$K:$K,'Таблиця 1'!$B:$B,$A12,'Таблиця 1'!$I:$I,"Mirage",'Таблиця 1'!$J:$J,"MK-32")+SUMIFS('Таблиця 1'!$K:$K,'Таблиця 1'!$B:$B,$A12,'Таблиця 1'!$I:$I,"F-16",'Таблиця 1'!$J:$J,"MK-32")+SUMIFS('Таблиця 1'!$K:$K,'Таблиця 1'!$B:$B,$A12,'Таблиця 1'!$I:$I,"МіГ-29",'Таблиця 1'!$J:$J,"MK-32")+SUMIFS('Таблиця 1'!$K:$K,'Таблиця 1'!$B:$B,$A12,'Таблиця 1'!$I:$I,"Су-25",'Таблиця 1'!$J:$J,"MK-32")+SUMIFS('Таблиця 1'!$K:$K,'Таблиця 1'!$B:$B,$A12,'Таблиця 1'!$I:$I,"Су-27",'Таблиця 1'!$J:$J,"MK-32"))</f>
        <v/>
      </c>
      <c r="Q12">
        <f>IF($A12="","",SUMIFS('Таблиця 1'!$K:$K,'Таблиця 1'!$B:$B,$A12,'Таблиця 1'!$I:$I,"Mirage",'Таблиця 1'!$J:$J,"MK-24")+SUMIFS('Таблиця 1'!$K:$K,'Таблиця 1'!$B:$B,$A12,'Таблиця 1'!$I:$I,"F-16",'Таблиця 1'!$J:$J,"MK-24")+SUMIFS('Таблиця 1'!$K:$K,'Таблиця 1'!$B:$B,$A12,'Таблиця 1'!$I:$I,"МіГ-29",'Таблиця 1'!$J:$J,"MK-24")+SUMIFS('Таблиця 1'!$K:$K,'Таблиця 1'!$B:$B,$A12,'Таблиця 1'!$I:$I,"Су-25",'Таблиця 1'!$J:$J,"MK-24")+SUMIFS('Таблиця 1'!$K:$K,'Таблиця 1'!$B:$B,$A12,'Таблиця 1'!$I:$I,"Су-27",'Таблиця 1'!$J:$J,"MK-24"))</f>
        <v/>
      </c>
      <c r="R12">
        <f>IF($A12="","",COUNTIFS('Таблиця 1'!$B:$B,$A12,'Таблиця 1'!$I:$I,"Mirage",'Таблиця 1'!$L:$L,"Уражено")+COUNTIFS('Таблиця 1'!$B:$B,$A12,'Таблиця 1'!$I:$I,"F-16",'Таблиця 1'!$L:$L,"Уражено")+COUNTIFS('Таблиця 1'!$B:$B,$A12,'Таблиця 1'!$I:$I,"МіГ-29",'Таблиця 1'!$L:$L,"Уражено")+COUNTIFS('Таблиця 1'!$B:$B,$A12,'Таблиця 1'!$I:$I,"Су-25",'Таблиця 1'!$L:$L,"Уражено")+COUNTIFS('Таблиця 1'!$B:$B,$A12,'Таблиця 1'!$I:$I,"Су-27",'Таблиця 1'!$L:$L,"Уражено"))</f>
        <v/>
      </c>
      <c r="S12">
        <f>IF($A12="","",COUNTIFS('Таблиця 1'!$B:$B,$A12,'Таблиця 1'!$I:$I,"Mirage",'Таблиця 1'!$L:$L,"НЕ уражено")+COUNTIFS('Таблиця 1'!$B:$B,$A12,'Таблиця 1'!$I:$I,"F-16",'Таблиця 1'!$L:$L,"НЕ уражено")+COUNTIFS('Таблиця 1'!$B:$B,$A12,'Таблиця 1'!$I:$I,"МіГ-29",'Таблиця 1'!$L:$L,"НЕ уражено")+COUNTIFS('Таблиця 1'!$B:$B,$A12,'Таблиця 1'!$I:$I,"Су-25",'Таблиця 1'!$L:$L,"НЕ уражено")+COUNTIFS('Таблиця 1'!$B:$B,$A12,'Таблиця 1'!$I:$I,"Су-27",'Таблиця 1'!$L:$L,"НЕ уражено"))</f>
        <v/>
      </c>
      <c r="T12">
        <f>IF($A12="","",COUNTIFS('Таблиця 1'!$B:$B,$A12,'Таблиця 1'!$I:$I,"Mirage",'Таблиця 1'!$L:$L,"Дорозвідується")+COUNTIFS('Таблиця 1'!$B:$B,$A12,'Таблиця 1'!$I:$I,"F-16",'Таблиця 1'!$L:$L,"Дорозвідується")+COUNTIFS('Таблиця 1'!$B:$B,$A12,'Таблиця 1'!$I:$I,"МіГ-29",'Таблиця 1'!$L:$L,"Дорозвідується")+COUNTIFS('Таблиця 1'!$B:$B,$A12,'Таблиця 1'!$I:$I,"Су-25",'Таблиця 1'!$L:$L,"Дорозвідується")+COUNTIFS('Таблиця 1'!$B:$B,$A12,'Таблиця 1'!$I:$I,"Су-27",'Таблиця 1'!$L:$L,"Дорозвідується"))</f>
        <v/>
      </c>
    </row>
    <row r="13">
      <c r="A13" s="273">
        <f>IF(A12="","",IF(A12+1&gt;MAX('Таблиця 1'!$B:$B),"",A12+1))</f>
        <v/>
      </c>
      <c r="B13">
        <f>IF($A13="","",COUNTIFS('Таблиця 1'!$B:$B,$A13,'Таблиця 1'!$I:$I,"Mirage")+COUNTIFS('Таблиця 1'!$B:$B,$A13,'Таблиця 1'!$I:$I,"F-16")+COUNTIFS('Таблиця 1'!$B:$B,$A13,'Таблиця 1'!$I:$I,"МіГ-29")+COUNTIFS('Таблиця 1'!$B:$B,$A13,'Таблиця 1'!$I:$I,"Су-25")+COUNTIFS('Таблиця 1'!$B:$B,$A13,'Таблиця 1'!$I:$I,"Су-27"))</f>
        <v/>
      </c>
      <c r="C13">
        <f>IF($A13="","",COUNTIFS('Таблиця 1'!$B:$B,$A13,'Таблиця 1'!$I:$I,"Mirage"))</f>
        <v/>
      </c>
      <c r="D13">
        <f>IF($A13="","",COUNTIFS('Таблиця 1'!$B:$B,$A13,'Таблиця 1'!$I:$I,"F-16"))</f>
        <v/>
      </c>
      <c r="E13">
        <f>IF($A13="","",COUNTIFS('Таблиця 1'!$B:$B,$A13,'Таблиця 1'!$I:$I,"МіГ-29"))</f>
        <v/>
      </c>
      <c r="F13">
        <f>IF($A13="","",COUNTIFS('Таблиця 1'!$B:$B,$A13,'Таблиця 1'!$I:$I,"Су-25"))</f>
        <v/>
      </c>
      <c r="G13">
        <f>IF($A13="","",COUNTIFS('Таблиця 1'!$B:$B,$A13,'Таблиця 1'!$I:$I,"Су-27"))</f>
        <v/>
      </c>
      <c r="H13">
        <f>IF($A13="","",SUMIFS('Таблиця 1'!$K:$K,'Таблиця 1'!$B:$B,$A13,'Таблиця 1'!$I:$I,"Mirage",'Таблиця 1'!$J:$J,"AGM-88")+SUMIFS('Таблиця 1'!$K:$K,'Таблиця 1'!$B:$B,$A13,'Таблиця 1'!$I:$I,"F-16",'Таблиця 1'!$J:$J,"AGM-88")+SUMIFS('Таблиця 1'!$K:$K,'Таблиця 1'!$B:$B,$A13,'Таблиця 1'!$I:$I,"МіГ-29",'Таблиця 1'!$J:$J,"AGM-88")+SUMIFS('Таблиця 1'!$K:$K,'Таблиця 1'!$B:$B,$A13,'Таблиця 1'!$I:$I,"Су-25",'Таблиця 1'!$J:$J,"AGM-88")+SUMIFS('Таблиця 1'!$K:$K,'Таблиця 1'!$B:$B,$A13,'Таблиця 1'!$I:$I,"Су-27",'Таблиця 1'!$J:$J,"AGM-88"))</f>
        <v/>
      </c>
      <c r="I13">
        <f>IF($A13="","",SUMIFS('Таблиця 1'!$K:$K,'Таблиця 1'!$B:$B,$A13,'Таблиця 1'!$I:$I,"Mirage",'Таблиця 1'!$J:$J,"AASM-250")+SUMIFS('Таблиця 1'!$K:$K,'Таблиця 1'!$B:$B,$A13,'Таблиця 1'!$I:$I,"F-16",'Таблиця 1'!$J:$J,"AASM-250")+SUMIFS('Таблиця 1'!$K:$K,'Таблиця 1'!$B:$B,$A13,'Таблиця 1'!$I:$I,"МіГ-29",'Таблиця 1'!$J:$J,"AASM-250")+SUMIFS('Таблиця 1'!$K:$K,'Таблиця 1'!$B:$B,$A13,'Таблиця 1'!$I:$I,"Су-25",'Таблиця 1'!$J:$J,"AASM-250")+SUMIFS('Таблиця 1'!$K:$K,'Таблиця 1'!$B:$B,$A13,'Таблиця 1'!$I:$I,"Су-27",'Таблиця 1'!$J:$J,"AASM-250"))</f>
        <v/>
      </c>
      <c r="J13">
        <f>IF($A13="","",SUMIFS('Таблиця 1'!$K:$K,'Таблиця 1'!$B:$B,$A13,'Таблиця 1'!$I:$I,"Mirage",'Таблиця 1'!$J:$J,"GBU-39")+SUMIFS('Таблиця 1'!$K:$K,'Таблиця 1'!$B:$B,$A13,'Таблиця 1'!$I:$I,"F-16",'Таблиця 1'!$J:$J,"GBU-39")+SUMIFS('Таблиця 1'!$K:$K,'Таблиця 1'!$B:$B,$A13,'Таблиця 1'!$I:$I,"МіГ-29",'Таблиця 1'!$J:$J,"GBU-39")+SUMIFS('Таблиця 1'!$K:$K,'Таблиця 1'!$B:$B,$A13,'Таблиця 1'!$I:$I,"Су-25",'Таблиця 1'!$J:$J,"GBU-39")+SUMIFS('Таблиця 1'!$K:$K,'Таблиця 1'!$B:$B,$A13,'Таблиця 1'!$I:$I,"Су-27",'Таблиця 1'!$J:$J,"GBU-39"))</f>
        <v/>
      </c>
      <c r="K13">
        <f>IF($A13="","",SUMIFS('Таблиця 1'!$K:$K,'Таблиця 1'!$B:$B,$A13,'Таблиця 1'!$I:$I,"Mirage",'Таблиця 1'!$J:$J,"BLU-140")+SUMIFS('Таблиця 1'!$K:$K,'Таблиця 1'!$B:$B,$A13,'Таблиця 1'!$I:$I,"F-16",'Таблиця 1'!$J:$J,"BLU-140")+SUMIFS('Таблиця 1'!$K:$K,'Таблиця 1'!$B:$B,$A13,'Таблиця 1'!$I:$I,"МіГ-29",'Таблиця 1'!$J:$J,"BLU-140")+SUMIFS('Таблиця 1'!$K:$K,'Таблиця 1'!$B:$B,$A13,'Таблиця 1'!$I:$I,"Су-25",'Таблиця 1'!$J:$J,"BLU-140")+SUMIFS('Таблиця 1'!$K:$K,'Таблиця 1'!$B:$B,$A13,'Таблиця 1'!$I:$I,"Су-27",'Таблиця 1'!$J:$J,"BLU-140"))</f>
        <v/>
      </c>
      <c r="L13">
        <f>IF($A13="","",SUMIFS('Таблиця 1'!$K:$K,'Таблиця 1'!$B:$B,$A13,'Таблиця 1'!$I:$I,"Mirage",'Таблиця 1'!$J:$J,"GBU-65")+SUMIFS('Таблиця 1'!$K:$K,'Таблиця 1'!$B:$B,$A13,'Таблиця 1'!$I:$I,"F-16",'Таблиця 1'!$J:$J,"GBU-65")+SUMIFS('Таблиця 1'!$K:$K,'Таблиця 1'!$B:$B,$A13,'Таблиця 1'!$I:$I,"МіГ-29",'Таблиця 1'!$J:$J,"GBU-65")+SUMIFS('Таблиця 1'!$K:$K,'Таблиця 1'!$B:$B,$A13,'Таблиця 1'!$I:$I,"Су-25",'Таблиця 1'!$J:$J,"GBU-65")+SUMIFS('Таблиця 1'!$K:$K,'Таблиця 1'!$B:$B,$A13,'Таблиця 1'!$I:$I,"Су-27",'Таблиця 1'!$J:$J,"GBU-65"))</f>
        <v/>
      </c>
      <c r="M13">
        <f>IF($A13="","",SUMIFS('Таблиця 1'!$K:$K,'Таблиця 1'!$B:$B,$A13,'Таблиця 1'!$I:$I,"Mirage",'Таблиця 1'!$J:$J,"GBU-62")+SUMIFS('Таблиця 1'!$K:$K,'Таблиця 1'!$B:$B,$A13,'Таблиця 1'!$I:$I,"F-16",'Таблиця 1'!$J:$J,"GBU-62")+SUMIFS('Таблиця 1'!$K:$K,'Таблиця 1'!$B:$B,$A13,'Таблиця 1'!$I:$I,"МіГ-29",'Таблиця 1'!$J:$J,"GBU-62")+SUMIFS('Таблиця 1'!$K:$K,'Таблиця 1'!$B:$B,$A13,'Таблиця 1'!$I:$I,"Су-25",'Таблиця 1'!$J:$J,"GBU-62")+SUMIFS('Таблиця 1'!$K:$K,'Таблиця 1'!$B:$B,$A13,'Таблиця 1'!$I:$I,"Су-27",'Таблиця 1'!$J:$J,"GBU-62"))</f>
        <v/>
      </c>
      <c r="N13">
        <f>IF($A13="","",SUMIFS('Таблиця 1'!$K:$K,'Таблиця 1'!$B:$B,$A13,'Таблиця 1'!$I:$I,"Mirage",'Таблиця 1'!$J:$J,"GBU-64")+SUMIFS('Таблиця 1'!$K:$K,'Таблиця 1'!$B:$B,$A13,'Таблиця 1'!$I:$I,"F-16",'Таблиця 1'!$J:$J,"GBU-64")+SUMIFS('Таблиця 1'!$K:$K,'Таблиця 1'!$B:$B,$A13,'Таблиця 1'!$I:$I,"МіГ-29",'Таблиця 1'!$J:$J,"GBU-64")+SUMIFS('Таблиця 1'!$K:$K,'Таблиця 1'!$B:$B,$A13,'Таблиця 1'!$I:$I,"Су-25",'Таблиця 1'!$J:$J,"GBU-64")+SUMIFS('Таблиця 1'!$K:$K,'Таблиця 1'!$B:$B,$A13,'Таблиця 1'!$I:$I,"Су-27",'Таблиця 1'!$J:$J,"GBU-64"))</f>
        <v/>
      </c>
      <c r="O13">
        <f>IF($A13="","",SUMIFS('Таблиця 1'!$K:$K,'Таблиця 1'!$B:$B,$A13,'Таблиця 1'!$I:$I,"Mirage",'Таблиця 1'!$J:$J,"C-13")+SUMIFS('Таблиця 1'!$K:$K,'Таблиця 1'!$B:$B,$A13,'Таблиця 1'!$I:$I,"F-16",'Таблиця 1'!$J:$J,"C-13")+SUMIFS('Таблиця 1'!$K:$K,'Таблиця 1'!$B:$B,$A13,'Таблиця 1'!$I:$I,"МіГ-29",'Таблиця 1'!$J:$J,"C-13")+SUMIFS('Таблиця 1'!$K:$K,'Таблиця 1'!$B:$B,$A13,'Таблиця 1'!$I:$I,"Су-25",'Таблиця 1'!$J:$J,"C-13")+SUMIFS('Таблиця 1'!$K:$K,'Таблиця 1'!$B:$B,$A13,'Таблиця 1'!$I:$I,"Су-27",'Таблиця 1'!$J:$J,"C-13"))</f>
        <v/>
      </c>
      <c r="P13">
        <f>IF($A13="","",SUMIFS('Таблиця 1'!$K:$K,'Таблиця 1'!$B:$B,$A13,'Таблиця 1'!$I:$I,"Mirage",'Таблиця 1'!$J:$J,"MK-32")+SUMIFS('Таблиця 1'!$K:$K,'Таблиця 1'!$B:$B,$A13,'Таблиця 1'!$I:$I,"F-16",'Таблиця 1'!$J:$J,"MK-32")+SUMIFS('Таблиця 1'!$K:$K,'Таблиця 1'!$B:$B,$A13,'Таблиця 1'!$I:$I,"МіГ-29",'Таблиця 1'!$J:$J,"MK-32")+SUMIFS('Таблиця 1'!$K:$K,'Таблиця 1'!$B:$B,$A13,'Таблиця 1'!$I:$I,"Су-25",'Таблиця 1'!$J:$J,"MK-32")+SUMIFS('Таблиця 1'!$K:$K,'Таблиця 1'!$B:$B,$A13,'Таблиця 1'!$I:$I,"Су-27",'Таблиця 1'!$J:$J,"MK-32"))</f>
        <v/>
      </c>
      <c r="Q13">
        <f>IF($A13="","",SUMIFS('Таблиця 1'!$K:$K,'Таблиця 1'!$B:$B,$A13,'Таблиця 1'!$I:$I,"Mirage",'Таблиця 1'!$J:$J,"MK-24")+SUMIFS('Таблиця 1'!$K:$K,'Таблиця 1'!$B:$B,$A13,'Таблиця 1'!$I:$I,"F-16",'Таблиця 1'!$J:$J,"MK-24")+SUMIFS('Таблиця 1'!$K:$K,'Таблиця 1'!$B:$B,$A13,'Таблиця 1'!$I:$I,"МіГ-29",'Таблиця 1'!$J:$J,"MK-24")+SUMIFS('Таблиця 1'!$K:$K,'Таблиця 1'!$B:$B,$A13,'Таблиця 1'!$I:$I,"Су-25",'Таблиця 1'!$J:$J,"MK-24")+SUMIFS('Таблиця 1'!$K:$K,'Таблиця 1'!$B:$B,$A13,'Таблиця 1'!$I:$I,"Су-27",'Таблиця 1'!$J:$J,"MK-24"))</f>
        <v/>
      </c>
      <c r="R13">
        <f>IF($A13="","",COUNTIFS('Таблиця 1'!$B:$B,$A13,'Таблиця 1'!$I:$I,"Mirage",'Таблиця 1'!$L:$L,"Уражено")+COUNTIFS('Таблиця 1'!$B:$B,$A13,'Таблиця 1'!$I:$I,"F-16",'Таблиця 1'!$L:$L,"Уражено")+COUNTIFS('Таблиця 1'!$B:$B,$A13,'Таблиця 1'!$I:$I,"МіГ-29",'Таблиця 1'!$L:$L,"Уражено")+COUNTIFS('Таблиця 1'!$B:$B,$A13,'Таблиця 1'!$I:$I,"Су-25",'Таблиця 1'!$L:$L,"Уражено")+COUNTIFS('Таблиця 1'!$B:$B,$A13,'Таблиця 1'!$I:$I,"Су-27",'Таблиця 1'!$L:$L,"Уражено"))</f>
        <v/>
      </c>
      <c r="S13">
        <f>IF($A13="","",COUNTIFS('Таблиця 1'!$B:$B,$A13,'Таблиця 1'!$I:$I,"Mirage",'Таблиця 1'!$L:$L,"НЕ уражено")+COUNTIFS('Таблиця 1'!$B:$B,$A13,'Таблиця 1'!$I:$I,"F-16",'Таблиця 1'!$L:$L,"НЕ уражено")+COUNTIFS('Таблиця 1'!$B:$B,$A13,'Таблиця 1'!$I:$I,"МіГ-29",'Таблиця 1'!$L:$L,"НЕ уражено")+COUNTIFS('Таблиця 1'!$B:$B,$A13,'Таблиця 1'!$I:$I,"Су-25",'Таблиця 1'!$L:$L,"НЕ уражено")+COUNTIFS('Таблиця 1'!$B:$B,$A13,'Таблиця 1'!$I:$I,"Су-27",'Таблиця 1'!$L:$L,"НЕ уражено"))</f>
        <v/>
      </c>
      <c r="T13">
        <f>IF($A13="","",COUNTIFS('Таблиця 1'!$B:$B,$A13,'Таблиця 1'!$I:$I,"Mirage",'Таблиця 1'!$L:$L,"Дорозвідується")+COUNTIFS('Таблиця 1'!$B:$B,$A13,'Таблиця 1'!$I:$I,"F-16",'Таблиця 1'!$L:$L,"Дорозвідується")+COUNTIFS('Таблиця 1'!$B:$B,$A13,'Таблиця 1'!$I:$I,"МіГ-29",'Таблиця 1'!$L:$L,"Дорозвідується")+COUNTIFS('Таблиця 1'!$B:$B,$A13,'Таблиця 1'!$I:$I,"Су-25",'Таблиця 1'!$L:$L,"Дорозвідується")+COUNTIFS('Таблиця 1'!$B:$B,$A13,'Таблиця 1'!$I:$I,"Су-27",'Таблиця 1'!$L:$L,"Дорозвідується"))</f>
        <v/>
      </c>
    </row>
    <row r="14">
      <c r="A14" s="273">
        <f>IF(A13="","",IF(A13+1&gt;MAX('Таблиця 1'!$B:$B),"",A13+1))</f>
        <v/>
      </c>
      <c r="B14">
        <f>IF($A14="","",COUNTIFS('Таблиця 1'!$B:$B,$A14,'Таблиця 1'!$I:$I,"Mirage")+COUNTIFS('Таблиця 1'!$B:$B,$A14,'Таблиця 1'!$I:$I,"F-16")+COUNTIFS('Таблиця 1'!$B:$B,$A14,'Таблиця 1'!$I:$I,"МіГ-29")+COUNTIFS('Таблиця 1'!$B:$B,$A14,'Таблиця 1'!$I:$I,"Су-25")+COUNTIFS('Таблиця 1'!$B:$B,$A14,'Таблиця 1'!$I:$I,"Су-27"))</f>
        <v/>
      </c>
      <c r="C14">
        <f>IF($A14="","",COUNTIFS('Таблиця 1'!$B:$B,$A14,'Таблиця 1'!$I:$I,"Mirage"))</f>
        <v/>
      </c>
      <c r="D14">
        <f>IF($A14="","",COUNTIFS('Таблиця 1'!$B:$B,$A14,'Таблиця 1'!$I:$I,"F-16"))</f>
        <v/>
      </c>
      <c r="E14">
        <f>IF($A14="","",COUNTIFS('Таблиця 1'!$B:$B,$A14,'Таблиця 1'!$I:$I,"МіГ-29"))</f>
        <v/>
      </c>
      <c r="F14">
        <f>IF($A14="","",COUNTIFS('Таблиця 1'!$B:$B,$A14,'Таблиця 1'!$I:$I,"Су-25"))</f>
        <v/>
      </c>
      <c r="G14">
        <f>IF($A14="","",COUNTIFS('Таблиця 1'!$B:$B,$A14,'Таблиця 1'!$I:$I,"Су-27"))</f>
        <v/>
      </c>
      <c r="H14">
        <f>IF($A14="","",SUMIFS('Таблиця 1'!$K:$K,'Таблиця 1'!$B:$B,$A14,'Таблиця 1'!$I:$I,"Mirage",'Таблиця 1'!$J:$J,"AGM-88")+SUMIFS('Таблиця 1'!$K:$K,'Таблиця 1'!$B:$B,$A14,'Таблиця 1'!$I:$I,"F-16",'Таблиця 1'!$J:$J,"AGM-88")+SUMIFS('Таблиця 1'!$K:$K,'Таблиця 1'!$B:$B,$A14,'Таблиця 1'!$I:$I,"МіГ-29",'Таблиця 1'!$J:$J,"AGM-88")+SUMIFS('Таблиця 1'!$K:$K,'Таблиця 1'!$B:$B,$A14,'Таблиця 1'!$I:$I,"Су-25",'Таблиця 1'!$J:$J,"AGM-88")+SUMIFS('Таблиця 1'!$K:$K,'Таблиця 1'!$B:$B,$A14,'Таблиця 1'!$I:$I,"Су-27",'Таблиця 1'!$J:$J,"AGM-88"))</f>
        <v/>
      </c>
      <c r="I14">
        <f>IF($A14="","",SUMIFS('Таблиця 1'!$K:$K,'Таблиця 1'!$B:$B,$A14,'Таблиця 1'!$I:$I,"Mirage",'Таблиця 1'!$J:$J,"AASM-250")+SUMIFS('Таблиця 1'!$K:$K,'Таблиця 1'!$B:$B,$A14,'Таблиця 1'!$I:$I,"F-16",'Таблиця 1'!$J:$J,"AASM-250")+SUMIFS('Таблиця 1'!$K:$K,'Таблиця 1'!$B:$B,$A14,'Таблиця 1'!$I:$I,"МіГ-29",'Таблиця 1'!$J:$J,"AASM-250")+SUMIFS('Таблиця 1'!$K:$K,'Таблиця 1'!$B:$B,$A14,'Таблиця 1'!$I:$I,"Су-25",'Таблиця 1'!$J:$J,"AASM-250")+SUMIFS('Таблиця 1'!$K:$K,'Таблиця 1'!$B:$B,$A14,'Таблиця 1'!$I:$I,"Су-27",'Таблиця 1'!$J:$J,"AASM-250"))</f>
        <v/>
      </c>
      <c r="J14">
        <f>IF($A14="","",SUMIFS('Таблиця 1'!$K:$K,'Таблиця 1'!$B:$B,$A14,'Таблиця 1'!$I:$I,"Mirage",'Таблиця 1'!$J:$J,"GBU-39")+SUMIFS('Таблиця 1'!$K:$K,'Таблиця 1'!$B:$B,$A14,'Таблиця 1'!$I:$I,"F-16",'Таблиця 1'!$J:$J,"GBU-39")+SUMIFS('Таблиця 1'!$K:$K,'Таблиця 1'!$B:$B,$A14,'Таблиця 1'!$I:$I,"МіГ-29",'Таблиця 1'!$J:$J,"GBU-39")+SUMIFS('Таблиця 1'!$K:$K,'Таблиця 1'!$B:$B,$A14,'Таблиця 1'!$I:$I,"Су-25",'Таблиця 1'!$J:$J,"GBU-39")+SUMIFS('Таблиця 1'!$K:$K,'Таблиця 1'!$B:$B,$A14,'Таблиця 1'!$I:$I,"Су-27",'Таблиця 1'!$J:$J,"GBU-39"))</f>
        <v/>
      </c>
      <c r="K14">
        <f>IF($A14="","",SUMIFS('Таблиця 1'!$K:$K,'Таблиця 1'!$B:$B,$A14,'Таблиця 1'!$I:$I,"Mirage",'Таблиця 1'!$J:$J,"BLU-140")+SUMIFS('Таблиця 1'!$K:$K,'Таблиця 1'!$B:$B,$A14,'Таблиця 1'!$I:$I,"F-16",'Таблиця 1'!$J:$J,"BLU-140")+SUMIFS('Таблиця 1'!$K:$K,'Таблиця 1'!$B:$B,$A14,'Таблиця 1'!$I:$I,"МіГ-29",'Таблиця 1'!$J:$J,"BLU-140")+SUMIFS('Таблиця 1'!$K:$K,'Таблиця 1'!$B:$B,$A14,'Таблиця 1'!$I:$I,"Су-25",'Таблиця 1'!$J:$J,"BLU-140")+SUMIFS('Таблиця 1'!$K:$K,'Таблиця 1'!$B:$B,$A14,'Таблиця 1'!$I:$I,"Су-27",'Таблиця 1'!$J:$J,"BLU-140"))</f>
        <v/>
      </c>
      <c r="L14">
        <f>IF($A14="","",SUMIFS('Таблиця 1'!$K:$K,'Таблиця 1'!$B:$B,$A14,'Таблиця 1'!$I:$I,"Mirage",'Таблиця 1'!$J:$J,"GBU-65")+SUMIFS('Таблиця 1'!$K:$K,'Таблиця 1'!$B:$B,$A14,'Таблиця 1'!$I:$I,"F-16",'Таблиця 1'!$J:$J,"GBU-65")+SUMIFS('Таблиця 1'!$K:$K,'Таблиця 1'!$B:$B,$A14,'Таблиця 1'!$I:$I,"МіГ-29",'Таблиця 1'!$J:$J,"GBU-65")+SUMIFS('Таблиця 1'!$K:$K,'Таблиця 1'!$B:$B,$A14,'Таблиця 1'!$I:$I,"Су-25",'Таблиця 1'!$J:$J,"GBU-65")+SUMIFS('Таблиця 1'!$K:$K,'Таблиця 1'!$B:$B,$A14,'Таблиця 1'!$I:$I,"Су-27",'Таблиця 1'!$J:$J,"GBU-65"))</f>
        <v/>
      </c>
      <c r="M14">
        <f>IF($A14="","",SUMIFS('Таблиця 1'!$K:$K,'Таблиця 1'!$B:$B,$A14,'Таблиця 1'!$I:$I,"Mirage",'Таблиця 1'!$J:$J,"GBU-62")+SUMIFS('Таблиця 1'!$K:$K,'Таблиця 1'!$B:$B,$A14,'Таблиця 1'!$I:$I,"F-16",'Таблиця 1'!$J:$J,"GBU-62")+SUMIFS('Таблиця 1'!$K:$K,'Таблиця 1'!$B:$B,$A14,'Таблиця 1'!$I:$I,"МіГ-29",'Таблиця 1'!$J:$J,"GBU-62")+SUMIFS('Таблиця 1'!$K:$K,'Таблиця 1'!$B:$B,$A14,'Таблиця 1'!$I:$I,"Су-25",'Таблиця 1'!$J:$J,"GBU-62")+SUMIFS('Таблиця 1'!$K:$K,'Таблиця 1'!$B:$B,$A14,'Таблиця 1'!$I:$I,"Су-27",'Таблиця 1'!$J:$J,"GBU-62"))</f>
        <v/>
      </c>
      <c r="N14">
        <f>IF($A14="","",SUMIFS('Таблиця 1'!$K:$K,'Таблиця 1'!$B:$B,$A14,'Таблиця 1'!$I:$I,"Mirage",'Таблиця 1'!$J:$J,"GBU-64")+SUMIFS('Таблиця 1'!$K:$K,'Таблиця 1'!$B:$B,$A14,'Таблиця 1'!$I:$I,"F-16",'Таблиця 1'!$J:$J,"GBU-64")+SUMIFS('Таблиця 1'!$K:$K,'Таблиця 1'!$B:$B,$A14,'Таблиця 1'!$I:$I,"МіГ-29",'Таблиця 1'!$J:$J,"GBU-64")+SUMIFS('Таблиця 1'!$K:$K,'Таблиця 1'!$B:$B,$A14,'Таблиця 1'!$I:$I,"Су-25",'Таблиця 1'!$J:$J,"GBU-64")+SUMIFS('Таблиця 1'!$K:$K,'Таблиця 1'!$B:$B,$A14,'Таблиця 1'!$I:$I,"Су-27",'Таблиця 1'!$J:$J,"GBU-64"))</f>
        <v/>
      </c>
      <c r="O14">
        <f>IF($A14="","",SUMIFS('Таблиця 1'!$K:$K,'Таблиця 1'!$B:$B,$A14,'Таблиця 1'!$I:$I,"Mirage",'Таблиця 1'!$J:$J,"C-13")+SUMIFS('Таблиця 1'!$K:$K,'Таблиця 1'!$B:$B,$A14,'Таблиця 1'!$I:$I,"F-16",'Таблиця 1'!$J:$J,"C-13")+SUMIFS('Таблиця 1'!$K:$K,'Таблиця 1'!$B:$B,$A14,'Таблиця 1'!$I:$I,"МіГ-29",'Таблиця 1'!$J:$J,"C-13")+SUMIFS('Таблиця 1'!$K:$K,'Таблиця 1'!$B:$B,$A14,'Таблиця 1'!$I:$I,"Су-25",'Таблиця 1'!$J:$J,"C-13")+SUMIFS('Таблиця 1'!$K:$K,'Таблиця 1'!$B:$B,$A14,'Таблиця 1'!$I:$I,"Су-27",'Таблиця 1'!$J:$J,"C-13"))</f>
        <v/>
      </c>
      <c r="P14">
        <f>IF($A14="","",SUMIFS('Таблиця 1'!$K:$K,'Таблиця 1'!$B:$B,$A14,'Таблиця 1'!$I:$I,"Mirage",'Таблиця 1'!$J:$J,"MK-32")+SUMIFS('Таблиця 1'!$K:$K,'Таблиця 1'!$B:$B,$A14,'Таблиця 1'!$I:$I,"F-16",'Таблиця 1'!$J:$J,"MK-32")+SUMIFS('Таблиця 1'!$K:$K,'Таблиця 1'!$B:$B,$A14,'Таблиця 1'!$I:$I,"МіГ-29",'Таблиця 1'!$J:$J,"MK-32")+SUMIFS('Таблиця 1'!$K:$K,'Таблиця 1'!$B:$B,$A14,'Таблиця 1'!$I:$I,"Су-25",'Таблиця 1'!$J:$J,"MK-32")+SUMIFS('Таблиця 1'!$K:$K,'Таблиця 1'!$B:$B,$A14,'Таблиця 1'!$I:$I,"Су-27",'Таблиця 1'!$J:$J,"MK-32"))</f>
        <v/>
      </c>
      <c r="Q14">
        <f>IF($A14="","",SUMIFS('Таблиця 1'!$K:$K,'Таблиця 1'!$B:$B,$A14,'Таблиця 1'!$I:$I,"Mirage",'Таблиця 1'!$J:$J,"MK-24")+SUMIFS('Таблиця 1'!$K:$K,'Таблиця 1'!$B:$B,$A14,'Таблиця 1'!$I:$I,"F-16",'Таблиця 1'!$J:$J,"MK-24")+SUMIFS('Таблиця 1'!$K:$K,'Таблиця 1'!$B:$B,$A14,'Таблиця 1'!$I:$I,"МіГ-29",'Таблиця 1'!$J:$J,"MK-24")+SUMIFS('Таблиця 1'!$K:$K,'Таблиця 1'!$B:$B,$A14,'Таблиця 1'!$I:$I,"Су-25",'Таблиця 1'!$J:$J,"MK-24")+SUMIFS('Таблиця 1'!$K:$K,'Таблиця 1'!$B:$B,$A14,'Таблиця 1'!$I:$I,"Су-27",'Таблиця 1'!$J:$J,"MK-24"))</f>
        <v/>
      </c>
      <c r="R14">
        <f>IF($A14="","",COUNTIFS('Таблиця 1'!$B:$B,$A14,'Таблиця 1'!$I:$I,"Mirage",'Таблиця 1'!$L:$L,"Уражено")+COUNTIFS('Таблиця 1'!$B:$B,$A14,'Таблиця 1'!$I:$I,"F-16",'Таблиця 1'!$L:$L,"Уражено")+COUNTIFS('Таблиця 1'!$B:$B,$A14,'Таблиця 1'!$I:$I,"МіГ-29",'Таблиця 1'!$L:$L,"Уражено")+COUNTIFS('Таблиця 1'!$B:$B,$A14,'Таблиця 1'!$I:$I,"Су-25",'Таблиця 1'!$L:$L,"Уражено")+COUNTIFS('Таблиця 1'!$B:$B,$A14,'Таблиця 1'!$I:$I,"Су-27",'Таблиця 1'!$L:$L,"Уражено"))</f>
        <v/>
      </c>
      <c r="S14">
        <f>IF($A14="","",COUNTIFS('Таблиця 1'!$B:$B,$A14,'Таблиця 1'!$I:$I,"Mirage",'Таблиця 1'!$L:$L,"НЕ уражено")+COUNTIFS('Таблиця 1'!$B:$B,$A14,'Таблиця 1'!$I:$I,"F-16",'Таблиця 1'!$L:$L,"НЕ уражено")+COUNTIFS('Таблиця 1'!$B:$B,$A14,'Таблиця 1'!$I:$I,"МіГ-29",'Таблиця 1'!$L:$L,"НЕ уражено")+COUNTIFS('Таблиця 1'!$B:$B,$A14,'Таблиця 1'!$I:$I,"Су-25",'Таблиця 1'!$L:$L,"НЕ уражено")+COUNTIFS('Таблиця 1'!$B:$B,$A14,'Таблиця 1'!$I:$I,"Су-27",'Таблиця 1'!$L:$L,"НЕ уражено"))</f>
        <v/>
      </c>
      <c r="T14">
        <f>IF($A14="","",COUNTIFS('Таблиця 1'!$B:$B,$A14,'Таблиця 1'!$I:$I,"Mirage",'Таблиця 1'!$L:$L,"Дорозвідується")+COUNTIFS('Таблиця 1'!$B:$B,$A14,'Таблиця 1'!$I:$I,"F-16",'Таблиця 1'!$L:$L,"Дорозвідується")+COUNTIFS('Таблиця 1'!$B:$B,$A14,'Таблиця 1'!$I:$I,"МіГ-29",'Таблиця 1'!$L:$L,"Дорозвідується")+COUNTIFS('Таблиця 1'!$B:$B,$A14,'Таблиця 1'!$I:$I,"Су-25",'Таблиця 1'!$L:$L,"Дорозвідується")+COUNTIFS('Таблиця 1'!$B:$B,$A14,'Таблиця 1'!$I:$I,"Су-27",'Таблиця 1'!$L:$L,"Дорозвідується"))</f>
        <v/>
      </c>
    </row>
    <row r="15">
      <c r="A15" s="273">
        <f>IF(A14="","",IF(A14+1&gt;MAX('Таблиця 1'!$B:$B),"",A14+1))</f>
        <v/>
      </c>
      <c r="B15">
        <f>IF($A15="","",COUNTIFS('Таблиця 1'!$B:$B,$A15,'Таблиця 1'!$I:$I,"Mirage")+COUNTIFS('Таблиця 1'!$B:$B,$A15,'Таблиця 1'!$I:$I,"F-16")+COUNTIFS('Таблиця 1'!$B:$B,$A15,'Таблиця 1'!$I:$I,"МіГ-29")+COUNTIFS('Таблиця 1'!$B:$B,$A15,'Таблиця 1'!$I:$I,"Су-25")+COUNTIFS('Таблиця 1'!$B:$B,$A15,'Таблиця 1'!$I:$I,"Су-27"))</f>
        <v/>
      </c>
      <c r="C15">
        <f>IF($A15="","",COUNTIFS('Таблиця 1'!$B:$B,$A15,'Таблиця 1'!$I:$I,"Mirage"))</f>
        <v/>
      </c>
      <c r="D15">
        <f>IF($A15="","",COUNTIFS('Таблиця 1'!$B:$B,$A15,'Таблиця 1'!$I:$I,"F-16"))</f>
        <v/>
      </c>
      <c r="E15">
        <f>IF($A15="","",COUNTIFS('Таблиця 1'!$B:$B,$A15,'Таблиця 1'!$I:$I,"МіГ-29"))</f>
        <v/>
      </c>
      <c r="F15">
        <f>IF($A15="","",COUNTIFS('Таблиця 1'!$B:$B,$A15,'Таблиця 1'!$I:$I,"Су-25"))</f>
        <v/>
      </c>
      <c r="G15">
        <f>IF($A15="","",COUNTIFS('Таблиця 1'!$B:$B,$A15,'Таблиця 1'!$I:$I,"Су-27"))</f>
        <v/>
      </c>
      <c r="H15">
        <f>IF($A15="","",SUMIFS('Таблиця 1'!$K:$K,'Таблиця 1'!$B:$B,$A15,'Таблиця 1'!$I:$I,"Mirage",'Таблиця 1'!$J:$J,"AGM-88")+SUMIFS('Таблиця 1'!$K:$K,'Таблиця 1'!$B:$B,$A15,'Таблиця 1'!$I:$I,"F-16",'Таблиця 1'!$J:$J,"AGM-88")+SUMIFS('Таблиця 1'!$K:$K,'Таблиця 1'!$B:$B,$A15,'Таблиця 1'!$I:$I,"МіГ-29",'Таблиця 1'!$J:$J,"AGM-88")+SUMIFS('Таблиця 1'!$K:$K,'Таблиця 1'!$B:$B,$A15,'Таблиця 1'!$I:$I,"Су-25",'Таблиця 1'!$J:$J,"AGM-88")+SUMIFS('Таблиця 1'!$K:$K,'Таблиця 1'!$B:$B,$A15,'Таблиця 1'!$I:$I,"Су-27",'Таблиця 1'!$J:$J,"AGM-88"))</f>
        <v/>
      </c>
      <c r="I15">
        <f>IF($A15="","",SUMIFS('Таблиця 1'!$K:$K,'Таблиця 1'!$B:$B,$A15,'Таблиця 1'!$I:$I,"Mirage",'Таблиця 1'!$J:$J,"AASM-250")+SUMIFS('Таблиця 1'!$K:$K,'Таблиця 1'!$B:$B,$A15,'Таблиця 1'!$I:$I,"F-16",'Таблиця 1'!$J:$J,"AASM-250")+SUMIFS('Таблиця 1'!$K:$K,'Таблиця 1'!$B:$B,$A15,'Таблиця 1'!$I:$I,"МіГ-29",'Таблиця 1'!$J:$J,"AASM-250")+SUMIFS('Таблиця 1'!$K:$K,'Таблиця 1'!$B:$B,$A15,'Таблиця 1'!$I:$I,"Су-25",'Таблиця 1'!$J:$J,"AASM-250")+SUMIFS('Таблиця 1'!$K:$K,'Таблиця 1'!$B:$B,$A15,'Таблиця 1'!$I:$I,"Су-27",'Таблиця 1'!$J:$J,"AASM-250"))</f>
        <v/>
      </c>
      <c r="J15">
        <f>IF($A15="","",SUMIFS('Таблиця 1'!$K:$K,'Таблиця 1'!$B:$B,$A15,'Таблиця 1'!$I:$I,"Mirage",'Таблиця 1'!$J:$J,"GBU-39")+SUMIFS('Таблиця 1'!$K:$K,'Таблиця 1'!$B:$B,$A15,'Таблиця 1'!$I:$I,"F-16",'Таблиця 1'!$J:$J,"GBU-39")+SUMIFS('Таблиця 1'!$K:$K,'Таблиця 1'!$B:$B,$A15,'Таблиця 1'!$I:$I,"МіГ-29",'Таблиця 1'!$J:$J,"GBU-39")+SUMIFS('Таблиця 1'!$K:$K,'Таблиця 1'!$B:$B,$A15,'Таблиця 1'!$I:$I,"Су-25",'Таблиця 1'!$J:$J,"GBU-39")+SUMIFS('Таблиця 1'!$K:$K,'Таблиця 1'!$B:$B,$A15,'Таблиця 1'!$I:$I,"Су-27",'Таблиця 1'!$J:$J,"GBU-39"))</f>
        <v/>
      </c>
      <c r="K15">
        <f>IF($A15="","",SUMIFS('Таблиця 1'!$K:$K,'Таблиця 1'!$B:$B,$A15,'Таблиця 1'!$I:$I,"Mirage",'Таблиця 1'!$J:$J,"BLU-140")+SUMIFS('Таблиця 1'!$K:$K,'Таблиця 1'!$B:$B,$A15,'Таблиця 1'!$I:$I,"F-16",'Таблиця 1'!$J:$J,"BLU-140")+SUMIFS('Таблиця 1'!$K:$K,'Таблиця 1'!$B:$B,$A15,'Таблиця 1'!$I:$I,"МіГ-29",'Таблиця 1'!$J:$J,"BLU-140")+SUMIFS('Таблиця 1'!$K:$K,'Таблиця 1'!$B:$B,$A15,'Таблиця 1'!$I:$I,"Су-25",'Таблиця 1'!$J:$J,"BLU-140")+SUMIFS('Таблиця 1'!$K:$K,'Таблиця 1'!$B:$B,$A15,'Таблиця 1'!$I:$I,"Су-27",'Таблиця 1'!$J:$J,"BLU-140"))</f>
        <v/>
      </c>
      <c r="L15">
        <f>IF($A15="","",SUMIFS('Таблиця 1'!$K:$K,'Таблиця 1'!$B:$B,$A15,'Таблиця 1'!$I:$I,"Mirage",'Таблиця 1'!$J:$J,"GBU-65")+SUMIFS('Таблиця 1'!$K:$K,'Таблиця 1'!$B:$B,$A15,'Таблиця 1'!$I:$I,"F-16",'Таблиця 1'!$J:$J,"GBU-65")+SUMIFS('Таблиця 1'!$K:$K,'Таблиця 1'!$B:$B,$A15,'Таблиця 1'!$I:$I,"МіГ-29",'Таблиця 1'!$J:$J,"GBU-65")+SUMIFS('Таблиця 1'!$K:$K,'Таблиця 1'!$B:$B,$A15,'Таблиця 1'!$I:$I,"Су-25",'Таблиця 1'!$J:$J,"GBU-65")+SUMIFS('Таблиця 1'!$K:$K,'Таблиця 1'!$B:$B,$A15,'Таблиця 1'!$I:$I,"Су-27",'Таблиця 1'!$J:$J,"GBU-65"))</f>
        <v/>
      </c>
      <c r="M15">
        <f>IF($A15="","",SUMIFS('Таблиця 1'!$K:$K,'Таблиця 1'!$B:$B,$A15,'Таблиця 1'!$I:$I,"Mirage",'Таблиця 1'!$J:$J,"GBU-62")+SUMIFS('Таблиця 1'!$K:$K,'Таблиця 1'!$B:$B,$A15,'Таблиця 1'!$I:$I,"F-16",'Таблиця 1'!$J:$J,"GBU-62")+SUMIFS('Таблиця 1'!$K:$K,'Таблиця 1'!$B:$B,$A15,'Таблиця 1'!$I:$I,"МіГ-29",'Таблиця 1'!$J:$J,"GBU-62")+SUMIFS('Таблиця 1'!$K:$K,'Таблиця 1'!$B:$B,$A15,'Таблиця 1'!$I:$I,"Су-25",'Таблиця 1'!$J:$J,"GBU-62")+SUMIFS('Таблиця 1'!$K:$K,'Таблиця 1'!$B:$B,$A15,'Таблиця 1'!$I:$I,"Су-27",'Таблиця 1'!$J:$J,"GBU-62"))</f>
        <v/>
      </c>
      <c r="N15">
        <f>IF($A15="","",SUMIFS('Таблиця 1'!$K:$K,'Таблиця 1'!$B:$B,$A15,'Таблиця 1'!$I:$I,"Mirage",'Таблиця 1'!$J:$J,"GBU-64")+SUMIFS('Таблиця 1'!$K:$K,'Таблиця 1'!$B:$B,$A15,'Таблиця 1'!$I:$I,"F-16",'Таблиця 1'!$J:$J,"GBU-64")+SUMIFS('Таблиця 1'!$K:$K,'Таблиця 1'!$B:$B,$A15,'Таблиця 1'!$I:$I,"МіГ-29",'Таблиця 1'!$J:$J,"GBU-64")+SUMIFS('Таблиця 1'!$K:$K,'Таблиця 1'!$B:$B,$A15,'Таблиця 1'!$I:$I,"Су-25",'Таблиця 1'!$J:$J,"GBU-64")+SUMIFS('Таблиця 1'!$K:$K,'Таблиця 1'!$B:$B,$A15,'Таблиця 1'!$I:$I,"Су-27",'Таблиця 1'!$J:$J,"GBU-64"))</f>
        <v/>
      </c>
      <c r="O15">
        <f>IF($A15="","",SUMIFS('Таблиця 1'!$K:$K,'Таблиця 1'!$B:$B,$A15,'Таблиця 1'!$I:$I,"Mirage",'Таблиця 1'!$J:$J,"C-13")+SUMIFS('Таблиця 1'!$K:$K,'Таблиця 1'!$B:$B,$A15,'Таблиця 1'!$I:$I,"F-16",'Таблиця 1'!$J:$J,"C-13")+SUMIFS('Таблиця 1'!$K:$K,'Таблиця 1'!$B:$B,$A15,'Таблиця 1'!$I:$I,"МіГ-29",'Таблиця 1'!$J:$J,"C-13")+SUMIFS('Таблиця 1'!$K:$K,'Таблиця 1'!$B:$B,$A15,'Таблиця 1'!$I:$I,"Су-25",'Таблиця 1'!$J:$J,"C-13")+SUMIFS('Таблиця 1'!$K:$K,'Таблиця 1'!$B:$B,$A15,'Таблиця 1'!$I:$I,"Су-27",'Таблиця 1'!$J:$J,"C-13"))</f>
        <v/>
      </c>
      <c r="P15">
        <f>IF($A15="","",SUMIFS('Таблиця 1'!$K:$K,'Таблиця 1'!$B:$B,$A15,'Таблиця 1'!$I:$I,"Mirage",'Таблиця 1'!$J:$J,"MK-32")+SUMIFS('Таблиця 1'!$K:$K,'Таблиця 1'!$B:$B,$A15,'Таблиця 1'!$I:$I,"F-16",'Таблиця 1'!$J:$J,"MK-32")+SUMIFS('Таблиця 1'!$K:$K,'Таблиця 1'!$B:$B,$A15,'Таблиця 1'!$I:$I,"МіГ-29",'Таблиця 1'!$J:$J,"MK-32")+SUMIFS('Таблиця 1'!$K:$K,'Таблиця 1'!$B:$B,$A15,'Таблиця 1'!$I:$I,"Су-25",'Таблиця 1'!$J:$J,"MK-32")+SUMIFS('Таблиця 1'!$K:$K,'Таблиця 1'!$B:$B,$A15,'Таблиця 1'!$I:$I,"Су-27",'Таблиця 1'!$J:$J,"MK-32"))</f>
        <v/>
      </c>
      <c r="Q15">
        <f>IF($A15="","",SUMIFS('Таблиця 1'!$K:$K,'Таблиця 1'!$B:$B,$A15,'Таблиця 1'!$I:$I,"Mirage",'Таблиця 1'!$J:$J,"MK-24")+SUMIFS('Таблиця 1'!$K:$K,'Таблиця 1'!$B:$B,$A15,'Таблиця 1'!$I:$I,"F-16",'Таблиця 1'!$J:$J,"MK-24")+SUMIFS('Таблиця 1'!$K:$K,'Таблиця 1'!$B:$B,$A15,'Таблиця 1'!$I:$I,"МіГ-29",'Таблиця 1'!$J:$J,"MK-24")+SUMIFS('Таблиця 1'!$K:$K,'Таблиця 1'!$B:$B,$A15,'Таблиця 1'!$I:$I,"Су-25",'Таблиця 1'!$J:$J,"MK-24")+SUMIFS('Таблиця 1'!$K:$K,'Таблиця 1'!$B:$B,$A15,'Таблиця 1'!$I:$I,"Су-27",'Таблиця 1'!$J:$J,"MK-24"))</f>
        <v/>
      </c>
      <c r="R15">
        <f>IF($A15="","",COUNTIFS('Таблиця 1'!$B:$B,$A15,'Таблиця 1'!$I:$I,"Mirage",'Таблиця 1'!$L:$L,"Уражено")+COUNTIFS('Таблиця 1'!$B:$B,$A15,'Таблиця 1'!$I:$I,"F-16",'Таблиця 1'!$L:$L,"Уражено")+COUNTIFS('Таблиця 1'!$B:$B,$A15,'Таблиця 1'!$I:$I,"МіГ-29",'Таблиця 1'!$L:$L,"Уражено")+COUNTIFS('Таблиця 1'!$B:$B,$A15,'Таблиця 1'!$I:$I,"Су-25",'Таблиця 1'!$L:$L,"Уражено")+COUNTIFS('Таблиця 1'!$B:$B,$A15,'Таблиця 1'!$I:$I,"Су-27",'Таблиця 1'!$L:$L,"Уражено"))</f>
        <v/>
      </c>
      <c r="S15">
        <f>IF($A15="","",COUNTIFS('Таблиця 1'!$B:$B,$A15,'Таблиця 1'!$I:$I,"Mirage",'Таблиця 1'!$L:$L,"НЕ уражено")+COUNTIFS('Таблиця 1'!$B:$B,$A15,'Таблиця 1'!$I:$I,"F-16",'Таблиця 1'!$L:$L,"НЕ уражено")+COUNTIFS('Таблиця 1'!$B:$B,$A15,'Таблиця 1'!$I:$I,"МіГ-29",'Таблиця 1'!$L:$L,"НЕ уражено")+COUNTIFS('Таблиця 1'!$B:$B,$A15,'Таблиця 1'!$I:$I,"Су-25",'Таблиця 1'!$L:$L,"НЕ уражено")+COUNTIFS('Таблиця 1'!$B:$B,$A15,'Таблиця 1'!$I:$I,"Су-27",'Таблиця 1'!$L:$L,"НЕ уражено"))</f>
        <v/>
      </c>
      <c r="T15">
        <f>IF($A15="","",COUNTIFS('Таблиця 1'!$B:$B,$A15,'Таблиця 1'!$I:$I,"Mirage",'Таблиця 1'!$L:$L,"Дорозвідується")+COUNTIFS('Таблиця 1'!$B:$B,$A15,'Таблиця 1'!$I:$I,"F-16",'Таблиця 1'!$L:$L,"Дорозвідується")+COUNTIFS('Таблиця 1'!$B:$B,$A15,'Таблиця 1'!$I:$I,"МіГ-29",'Таблиця 1'!$L:$L,"Дорозвідується")+COUNTIFS('Таблиця 1'!$B:$B,$A15,'Таблиця 1'!$I:$I,"Су-25",'Таблиця 1'!$L:$L,"Дорозвідується")+COUNTIFS('Таблиця 1'!$B:$B,$A15,'Таблиця 1'!$I:$I,"Су-27",'Таблиця 1'!$L:$L,"Дорозвідується"))</f>
        <v/>
      </c>
    </row>
    <row r="16">
      <c r="A16" s="273">
        <f>IF(A15="","",IF(A15+1&gt;MAX('Таблиця 1'!$B:$B),"",A15+1))</f>
        <v/>
      </c>
      <c r="B16">
        <f>IF($A16="","",COUNTIFS('Таблиця 1'!$B:$B,$A16,'Таблиця 1'!$I:$I,"Mirage")+COUNTIFS('Таблиця 1'!$B:$B,$A16,'Таблиця 1'!$I:$I,"F-16")+COUNTIFS('Таблиця 1'!$B:$B,$A16,'Таблиця 1'!$I:$I,"МіГ-29")+COUNTIFS('Таблиця 1'!$B:$B,$A16,'Таблиця 1'!$I:$I,"Су-25")+COUNTIFS('Таблиця 1'!$B:$B,$A16,'Таблиця 1'!$I:$I,"Су-27"))</f>
        <v/>
      </c>
      <c r="C16">
        <f>IF($A16="","",COUNTIFS('Таблиця 1'!$B:$B,$A16,'Таблиця 1'!$I:$I,"Mirage"))</f>
        <v/>
      </c>
      <c r="D16">
        <f>IF($A16="","",COUNTIFS('Таблиця 1'!$B:$B,$A16,'Таблиця 1'!$I:$I,"F-16"))</f>
        <v/>
      </c>
      <c r="E16">
        <f>IF($A16="","",COUNTIFS('Таблиця 1'!$B:$B,$A16,'Таблиця 1'!$I:$I,"МіГ-29"))</f>
        <v/>
      </c>
      <c r="F16">
        <f>IF($A16="","",COUNTIFS('Таблиця 1'!$B:$B,$A16,'Таблиця 1'!$I:$I,"Су-25"))</f>
        <v/>
      </c>
      <c r="G16">
        <f>IF($A16="","",COUNTIFS('Таблиця 1'!$B:$B,$A16,'Таблиця 1'!$I:$I,"Су-27"))</f>
        <v/>
      </c>
      <c r="H16">
        <f>IF($A16="","",SUMIFS('Таблиця 1'!$K:$K,'Таблиця 1'!$B:$B,$A16,'Таблиця 1'!$I:$I,"Mirage",'Таблиця 1'!$J:$J,"AGM-88")+SUMIFS('Таблиця 1'!$K:$K,'Таблиця 1'!$B:$B,$A16,'Таблиця 1'!$I:$I,"F-16",'Таблиця 1'!$J:$J,"AGM-88")+SUMIFS('Таблиця 1'!$K:$K,'Таблиця 1'!$B:$B,$A16,'Таблиця 1'!$I:$I,"МіГ-29",'Таблиця 1'!$J:$J,"AGM-88")+SUMIFS('Таблиця 1'!$K:$K,'Таблиця 1'!$B:$B,$A16,'Таблиця 1'!$I:$I,"Су-25",'Таблиця 1'!$J:$J,"AGM-88")+SUMIFS('Таблиця 1'!$K:$K,'Таблиця 1'!$B:$B,$A16,'Таблиця 1'!$I:$I,"Су-27",'Таблиця 1'!$J:$J,"AGM-88"))</f>
        <v/>
      </c>
      <c r="I16">
        <f>IF($A16="","",SUMIFS('Таблиця 1'!$K:$K,'Таблиця 1'!$B:$B,$A16,'Таблиця 1'!$I:$I,"Mirage",'Таблиця 1'!$J:$J,"AASM-250")+SUMIFS('Таблиця 1'!$K:$K,'Таблиця 1'!$B:$B,$A16,'Таблиця 1'!$I:$I,"F-16",'Таблиця 1'!$J:$J,"AASM-250")+SUMIFS('Таблиця 1'!$K:$K,'Таблиця 1'!$B:$B,$A16,'Таблиця 1'!$I:$I,"МіГ-29",'Таблиця 1'!$J:$J,"AASM-250")+SUMIFS('Таблиця 1'!$K:$K,'Таблиця 1'!$B:$B,$A16,'Таблиця 1'!$I:$I,"Су-25",'Таблиця 1'!$J:$J,"AASM-250")+SUMIFS('Таблиця 1'!$K:$K,'Таблиця 1'!$B:$B,$A16,'Таблиця 1'!$I:$I,"Су-27",'Таблиця 1'!$J:$J,"AASM-250"))</f>
        <v/>
      </c>
      <c r="J16">
        <f>IF($A16="","",SUMIFS('Таблиця 1'!$K:$K,'Таблиця 1'!$B:$B,$A16,'Таблиця 1'!$I:$I,"Mirage",'Таблиця 1'!$J:$J,"GBU-39")+SUMIFS('Таблиця 1'!$K:$K,'Таблиця 1'!$B:$B,$A16,'Таблиця 1'!$I:$I,"F-16",'Таблиця 1'!$J:$J,"GBU-39")+SUMIFS('Таблиця 1'!$K:$K,'Таблиця 1'!$B:$B,$A16,'Таблиця 1'!$I:$I,"МіГ-29",'Таблиця 1'!$J:$J,"GBU-39")+SUMIFS('Таблиця 1'!$K:$K,'Таблиця 1'!$B:$B,$A16,'Таблиця 1'!$I:$I,"Су-25",'Таблиця 1'!$J:$J,"GBU-39")+SUMIFS('Таблиця 1'!$K:$K,'Таблиця 1'!$B:$B,$A16,'Таблиця 1'!$I:$I,"Су-27",'Таблиця 1'!$J:$J,"GBU-39"))</f>
        <v/>
      </c>
      <c r="K16">
        <f>IF($A16="","",SUMIFS('Таблиця 1'!$K:$K,'Таблиця 1'!$B:$B,$A16,'Таблиця 1'!$I:$I,"Mirage",'Таблиця 1'!$J:$J,"BLU-140")+SUMIFS('Таблиця 1'!$K:$K,'Таблиця 1'!$B:$B,$A16,'Таблиця 1'!$I:$I,"F-16",'Таблиця 1'!$J:$J,"BLU-140")+SUMIFS('Таблиця 1'!$K:$K,'Таблиця 1'!$B:$B,$A16,'Таблиця 1'!$I:$I,"МіГ-29",'Таблиця 1'!$J:$J,"BLU-140")+SUMIFS('Таблиця 1'!$K:$K,'Таблиця 1'!$B:$B,$A16,'Таблиця 1'!$I:$I,"Су-25",'Таблиця 1'!$J:$J,"BLU-140")+SUMIFS('Таблиця 1'!$K:$K,'Таблиця 1'!$B:$B,$A16,'Таблиця 1'!$I:$I,"Су-27",'Таблиця 1'!$J:$J,"BLU-140"))</f>
        <v/>
      </c>
      <c r="L16">
        <f>IF($A16="","",SUMIFS('Таблиця 1'!$K:$K,'Таблиця 1'!$B:$B,$A16,'Таблиця 1'!$I:$I,"Mirage",'Таблиця 1'!$J:$J,"GBU-65")+SUMIFS('Таблиця 1'!$K:$K,'Таблиця 1'!$B:$B,$A16,'Таблиця 1'!$I:$I,"F-16",'Таблиця 1'!$J:$J,"GBU-65")+SUMIFS('Таблиця 1'!$K:$K,'Таблиця 1'!$B:$B,$A16,'Таблиця 1'!$I:$I,"МіГ-29",'Таблиця 1'!$J:$J,"GBU-65")+SUMIFS('Таблиця 1'!$K:$K,'Таблиця 1'!$B:$B,$A16,'Таблиця 1'!$I:$I,"Су-25",'Таблиця 1'!$J:$J,"GBU-65")+SUMIFS('Таблиця 1'!$K:$K,'Таблиця 1'!$B:$B,$A16,'Таблиця 1'!$I:$I,"Су-27",'Таблиця 1'!$J:$J,"GBU-65"))</f>
        <v/>
      </c>
      <c r="M16">
        <f>IF($A16="","",SUMIFS('Таблиця 1'!$K:$K,'Таблиця 1'!$B:$B,$A16,'Таблиця 1'!$I:$I,"Mirage",'Таблиця 1'!$J:$J,"GBU-62")+SUMIFS('Таблиця 1'!$K:$K,'Таблиця 1'!$B:$B,$A16,'Таблиця 1'!$I:$I,"F-16",'Таблиця 1'!$J:$J,"GBU-62")+SUMIFS('Таблиця 1'!$K:$K,'Таблиця 1'!$B:$B,$A16,'Таблиця 1'!$I:$I,"МіГ-29",'Таблиця 1'!$J:$J,"GBU-62")+SUMIFS('Таблиця 1'!$K:$K,'Таблиця 1'!$B:$B,$A16,'Таблиця 1'!$I:$I,"Су-25",'Таблиця 1'!$J:$J,"GBU-62")+SUMIFS('Таблиця 1'!$K:$K,'Таблиця 1'!$B:$B,$A16,'Таблиця 1'!$I:$I,"Су-27",'Таблиця 1'!$J:$J,"GBU-62"))</f>
        <v/>
      </c>
      <c r="N16">
        <f>IF($A16="","",SUMIFS('Таблиця 1'!$K:$K,'Таблиця 1'!$B:$B,$A16,'Таблиця 1'!$I:$I,"Mirage",'Таблиця 1'!$J:$J,"GBU-64")+SUMIFS('Таблиця 1'!$K:$K,'Таблиця 1'!$B:$B,$A16,'Таблиця 1'!$I:$I,"F-16",'Таблиця 1'!$J:$J,"GBU-64")+SUMIFS('Таблиця 1'!$K:$K,'Таблиця 1'!$B:$B,$A16,'Таблиця 1'!$I:$I,"МіГ-29",'Таблиця 1'!$J:$J,"GBU-64")+SUMIFS('Таблиця 1'!$K:$K,'Таблиця 1'!$B:$B,$A16,'Таблиця 1'!$I:$I,"Су-25",'Таблиця 1'!$J:$J,"GBU-64")+SUMIFS('Таблиця 1'!$K:$K,'Таблиця 1'!$B:$B,$A16,'Таблиця 1'!$I:$I,"Су-27",'Таблиця 1'!$J:$J,"GBU-64"))</f>
        <v/>
      </c>
      <c r="O16">
        <f>IF($A16="","",SUMIFS('Таблиця 1'!$K:$K,'Таблиця 1'!$B:$B,$A16,'Таблиця 1'!$I:$I,"Mirage",'Таблиця 1'!$J:$J,"C-13")+SUMIFS('Таблиця 1'!$K:$K,'Таблиця 1'!$B:$B,$A16,'Таблиця 1'!$I:$I,"F-16",'Таблиця 1'!$J:$J,"C-13")+SUMIFS('Таблиця 1'!$K:$K,'Таблиця 1'!$B:$B,$A16,'Таблиця 1'!$I:$I,"МіГ-29",'Таблиця 1'!$J:$J,"C-13")+SUMIFS('Таблиця 1'!$K:$K,'Таблиця 1'!$B:$B,$A16,'Таблиця 1'!$I:$I,"Су-25",'Таблиця 1'!$J:$J,"C-13")+SUMIFS('Таблиця 1'!$K:$K,'Таблиця 1'!$B:$B,$A16,'Таблиця 1'!$I:$I,"Су-27",'Таблиця 1'!$J:$J,"C-13"))</f>
        <v/>
      </c>
      <c r="P16">
        <f>IF($A16="","",SUMIFS('Таблиця 1'!$K:$K,'Таблиця 1'!$B:$B,$A16,'Таблиця 1'!$I:$I,"Mirage",'Таблиця 1'!$J:$J,"MK-32")+SUMIFS('Таблиця 1'!$K:$K,'Таблиця 1'!$B:$B,$A16,'Таблиця 1'!$I:$I,"F-16",'Таблиця 1'!$J:$J,"MK-32")+SUMIFS('Таблиця 1'!$K:$K,'Таблиця 1'!$B:$B,$A16,'Таблиця 1'!$I:$I,"МіГ-29",'Таблиця 1'!$J:$J,"MK-32")+SUMIFS('Таблиця 1'!$K:$K,'Таблиця 1'!$B:$B,$A16,'Таблиця 1'!$I:$I,"Су-25",'Таблиця 1'!$J:$J,"MK-32")+SUMIFS('Таблиця 1'!$K:$K,'Таблиця 1'!$B:$B,$A16,'Таблиця 1'!$I:$I,"Су-27",'Таблиця 1'!$J:$J,"MK-32"))</f>
        <v/>
      </c>
      <c r="Q16">
        <f>IF($A16="","",SUMIFS('Таблиця 1'!$K:$K,'Таблиця 1'!$B:$B,$A16,'Таблиця 1'!$I:$I,"Mirage",'Таблиця 1'!$J:$J,"MK-24")+SUMIFS('Таблиця 1'!$K:$K,'Таблиця 1'!$B:$B,$A16,'Таблиця 1'!$I:$I,"F-16",'Таблиця 1'!$J:$J,"MK-24")+SUMIFS('Таблиця 1'!$K:$K,'Таблиця 1'!$B:$B,$A16,'Таблиця 1'!$I:$I,"МіГ-29",'Таблиця 1'!$J:$J,"MK-24")+SUMIFS('Таблиця 1'!$K:$K,'Таблиця 1'!$B:$B,$A16,'Таблиця 1'!$I:$I,"Су-25",'Таблиця 1'!$J:$J,"MK-24")+SUMIFS('Таблиця 1'!$K:$K,'Таблиця 1'!$B:$B,$A16,'Таблиця 1'!$I:$I,"Су-27",'Таблиця 1'!$J:$J,"MK-24"))</f>
        <v/>
      </c>
      <c r="R16">
        <f>IF($A16="","",COUNTIFS('Таблиця 1'!$B:$B,$A16,'Таблиця 1'!$I:$I,"Mirage",'Таблиця 1'!$L:$L,"Уражено")+COUNTIFS('Таблиця 1'!$B:$B,$A16,'Таблиця 1'!$I:$I,"F-16",'Таблиця 1'!$L:$L,"Уражено")+COUNTIFS('Таблиця 1'!$B:$B,$A16,'Таблиця 1'!$I:$I,"МіГ-29",'Таблиця 1'!$L:$L,"Уражено")+COUNTIFS('Таблиця 1'!$B:$B,$A16,'Таблиця 1'!$I:$I,"Су-25",'Таблиця 1'!$L:$L,"Уражено")+COUNTIFS('Таблиця 1'!$B:$B,$A16,'Таблиця 1'!$I:$I,"Су-27",'Таблиця 1'!$L:$L,"Уражено"))</f>
        <v/>
      </c>
      <c r="S16">
        <f>IF($A16="","",COUNTIFS('Таблиця 1'!$B:$B,$A16,'Таблиця 1'!$I:$I,"Mirage",'Таблиця 1'!$L:$L,"НЕ уражено")+COUNTIFS('Таблиця 1'!$B:$B,$A16,'Таблиця 1'!$I:$I,"F-16",'Таблиця 1'!$L:$L,"НЕ уражено")+COUNTIFS('Таблиця 1'!$B:$B,$A16,'Таблиця 1'!$I:$I,"МіГ-29",'Таблиця 1'!$L:$L,"НЕ уражено")+COUNTIFS('Таблиця 1'!$B:$B,$A16,'Таблиця 1'!$I:$I,"Су-25",'Таблиця 1'!$L:$L,"НЕ уражено")+COUNTIFS('Таблиця 1'!$B:$B,$A16,'Таблиця 1'!$I:$I,"Су-27",'Таблиця 1'!$L:$L,"НЕ уражено"))</f>
        <v/>
      </c>
      <c r="T16">
        <f>IF($A16="","",COUNTIFS('Таблиця 1'!$B:$B,$A16,'Таблиця 1'!$I:$I,"Mirage",'Таблиця 1'!$L:$L,"Дорозвідується")+COUNTIFS('Таблиця 1'!$B:$B,$A16,'Таблиця 1'!$I:$I,"F-16",'Таблиця 1'!$L:$L,"Дорозвідується")+COUNTIFS('Таблиця 1'!$B:$B,$A16,'Таблиця 1'!$I:$I,"МіГ-29",'Таблиця 1'!$L:$L,"Дорозвідується")+COUNTIFS('Таблиця 1'!$B:$B,$A16,'Таблиця 1'!$I:$I,"Су-25",'Таблиця 1'!$L:$L,"Дорозвідується")+COUNTIFS('Таблиця 1'!$B:$B,$A16,'Таблиця 1'!$I:$I,"Су-27",'Таблиця 1'!$L:$L,"Дорозвідується"))</f>
        <v/>
      </c>
    </row>
    <row r="17">
      <c r="A17" s="273">
        <f>IF(A16="","",IF(A16+1&gt;MAX('Таблиця 1'!$B:$B),"",A16+1))</f>
        <v/>
      </c>
      <c r="B17">
        <f>IF($A17="","",COUNTIFS('Таблиця 1'!$B:$B,$A17,'Таблиця 1'!$I:$I,"Mirage")+COUNTIFS('Таблиця 1'!$B:$B,$A17,'Таблиця 1'!$I:$I,"F-16")+COUNTIFS('Таблиця 1'!$B:$B,$A17,'Таблиця 1'!$I:$I,"МіГ-29")+COUNTIFS('Таблиця 1'!$B:$B,$A17,'Таблиця 1'!$I:$I,"Су-25")+COUNTIFS('Таблиця 1'!$B:$B,$A17,'Таблиця 1'!$I:$I,"Су-27"))</f>
        <v/>
      </c>
      <c r="C17">
        <f>IF($A17="","",COUNTIFS('Таблиця 1'!$B:$B,$A17,'Таблиця 1'!$I:$I,"Mirage"))</f>
        <v/>
      </c>
      <c r="D17">
        <f>IF($A17="","",COUNTIFS('Таблиця 1'!$B:$B,$A17,'Таблиця 1'!$I:$I,"F-16"))</f>
        <v/>
      </c>
      <c r="E17">
        <f>IF($A17="","",COUNTIFS('Таблиця 1'!$B:$B,$A17,'Таблиця 1'!$I:$I,"МіГ-29"))</f>
        <v/>
      </c>
      <c r="F17">
        <f>IF($A17="","",COUNTIFS('Таблиця 1'!$B:$B,$A17,'Таблиця 1'!$I:$I,"Су-25"))</f>
        <v/>
      </c>
      <c r="G17">
        <f>IF($A17="","",COUNTIFS('Таблиця 1'!$B:$B,$A17,'Таблиця 1'!$I:$I,"Су-27"))</f>
        <v/>
      </c>
      <c r="H17">
        <f>IF($A17="","",SUMIFS('Таблиця 1'!$K:$K,'Таблиця 1'!$B:$B,$A17,'Таблиця 1'!$I:$I,"Mirage",'Таблиця 1'!$J:$J,"AGM-88")+SUMIFS('Таблиця 1'!$K:$K,'Таблиця 1'!$B:$B,$A17,'Таблиця 1'!$I:$I,"F-16",'Таблиця 1'!$J:$J,"AGM-88")+SUMIFS('Таблиця 1'!$K:$K,'Таблиця 1'!$B:$B,$A17,'Таблиця 1'!$I:$I,"МіГ-29",'Таблиця 1'!$J:$J,"AGM-88")+SUMIFS('Таблиця 1'!$K:$K,'Таблиця 1'!$B:$B,$A17,'Таблиця 1'!$I:$I,"Су-25",'Таблиця 1'!$J:$J,"AGM-88")+SUMIFS('Таблиця 1'!$K:$K,'Таблиця 1'!$B:$B,$A17,'Таблиця 1'!$I:$I,"Су-27",'Таблиця 1'!$J:$J,"AGM-88"))</f>
        <v/>
      </c>
      <c r="I17">
        <f>IF($A17="","",SUMIFS('Таблиця 1'!$K:$K,'Таблиця 1'!$B:$B,$A17,'Таблиця 1'!$I:$I,"Mirage",'Таблиця 1'!$J:$J,"AASM-250")+SUMIFS('Таблиця 1'!$K:$K,'Таблиця 1'!$B:$B,$A17,'Таблиця 1'!$I:$I,"F-16",'Таблиця 1'!$J:$J,"AASM-250")+SUMIFS('Таблиця 1'!$K:$K,'Таблиця 1'!$B:$B,$A17,'Таблиця 1'!$I:$I,"МіГ-29",'Таблиця 1'!$J:$J,"AASM-250")+SUMIFS('Таблиця 1'!$K:$K,'Таблиця 1'!$B:$B,$A17,'Таблиця 1'!$I:$I,"Су-25",'Таблиця 1'!$J:$J,"AASM-250")+SUMIFS('Таблиця 1'!$K:$K,'Таблиця 1'!$B:$B,$A17,'Таблиця 1'!$I:$I,"Су-27",'Таблиця 1'!$J:$J,"AASM-250"))</f>
        <v/>
      </c>
      <c r="J17">
        <f>IF($A17="","",SUMIFS('Таблиця 1'!$K:$K,'Таблиця 1'!$B:$B,$A17,'Таблиця 1'!$I:$I,"Mirage",'Таблиця 1'!$J:$J,"GBU-39")+SUMIFS('Таблиця 1'!$K:$K,'Таблиця 1'!$B:$B,$A17,'Таблиця 1'!$I:$I,"F-16",'Таблиця 1'!$J:$J,"GBU-39")+SUMIFS('Таблиця 1'!$K:$K,'Таблиця 1'!$B:$B,$A17,'Таблиця 1'!$I:$I,"МіГ-29",'Таблиця 1'!$J:$J,"GBU-39")+SUMIFS('Таблиця 1'!$K:$K,'Таблиця 1'!$B:$B,$A17,'Таблиця 1'!$I:$I,"Су-25",'Таблиця 1'!$J:$J,"GBU-39")+SUMIFS('Таблиця 1'!$K:$K,'Таблиця 1'!$B:$B,$A17,'Таблиця 1'!$I:$I,"Су-27",'Таблиця 1'!$J:$J,"GBU-39"))</f>
        <v/>
      </c>
      <c r="K17">
        <f>IF($A17="","",SUMIFS('Таблиця 1'!$K:$K,'Таблиця 1'!$B:$B,$A17,'Таблиця 1'!$I:$I,"Mirage",'Таблиця 1'!$J:$J,"BLU-140")+SUMIFS('Таблиця 1'!$K:$K,'Таблиця 1'!$B:$B,$A17,'Таблиця 1'!$I:$I,"F-16",'Таблиця 1'!$J:$J,"BLU-140")+SUMIFS('Таблиця 1'!$K:$K,'Таблиця 1'!$B:$B,$A17,'Таблиця 1'!$I:$I,"МіГ-29",'Таблиця 1'!$J:$J,"BLU-140")+SUMIFS('Таблиця 1'!$K:$K,'Таблиця 1'!$B:$B,$A17,'Таблиця 1'!$I:$I,"Су-25",'Таблиця 1'!$J:$J,"BLU-140")+SUMIFS('Таблиця 1'!$K:$K,'Таблиця 1'!$B:$B,$A17,'Таблиця 1'!$I:$I,"Су-27",'Таблиця 1'!$J:$J,"BLU-140"))</f>
        <v/>
      </c>
      <c r="L17">
        <f>IF($A17="","",SUMIFS('Таблиця 1'!$K:$K,'Таблиця 1'!$B:$B,$A17,'Таблиця 1'!$I:$I,"Mirage",'Таблиця 1'!$J:$J,"GBU-65")+SUMIFS('Таблиця 1'!$K:$K,'Таблиця 1'!$B:$B,$A17,'Таблиця 1'!$I:$I,"F-16",'Таблиця 1'!$J:$J,"GBU-65")+SUMIFS('Таблиця 1'!$K:$K,'Таблиця 1'!$B:$B,$A17,'Таблиця 1'!$I:$I,"МіГ-29",'Таблиця 1'!$J:$J,"GBU-65")+SUMIFS('Таблиця 1'!$K:$K,'Таблиця 1'!$B:$B,$A17,'Таблиця 1'!$I:$I,"Су-25",'Таблиця 1'!$J:$J,"GBU-65")+SUMIFS('Таблиця 1'!$K:$K,'Таблиця 1'!$B:$B,$A17,'Таблиця 1'!$I:$I,"Су-27",'Таблиця 1'!$J:$J,"GBU-65"))</f>
        <v/>
      </c>
      <c r="M17">
        <f>IF($A17="","",SUMIFS('Таблиця 1'!$K:$K,'Таблиця 1'!$B:$B,$A17,'Таблиця 1'!$I:$I,"Mirage",'Таблиця 1'!$J:$J,"GBU-62")+SUMIFS('Таблиця 1'!$K:$K,'Таблиця 1'!$B:$B,$A17,'Таблиця 1'!$I:$I,"F-16",'Таблиця 1'!$J:$J,"GBU-62")+SUMIFS('Таблиця 1'!$K:$K,'Таблиця 1'!$B:$B,$A17,'Таблиця 1'!$I:$I,"МіГ-29",'Таблиця 1'!$J:$J,"GBU-62")+SUMIFS('Таблиця 1'!$K:$K,'Таблиця 1'!$B:$B,$A17,'Таблиця 1'!$I:$I,"Су-25",'Таблиця 1'!$J:$J,"GBU-62")+SUMIFS('Таблиця 1'!$K:$K,'Таблиця 1'!$B:$B,$A17,'Таблиця 1'!$I:$I,"Су-27",'Таблиця 1'!$J:$J,"GBU-62"))</f>
        <v/>
      </c>
      <c r="N17">
        <f>IF($A17="","",SUMIFS('Таблиця 1'!$K:$K,'Таблиця 1'!$B:$B,$A17,'Таблиця 1'!$I:$I,"Mirage",'Таблиця 1'!$J:$J,"GBU-64")+SUMIFS('Таблиця 1'!$K:$K,'Таблиця 1'!$B:$B,$A17,'Таблиця 1'!$I:$I,"F-16",'Таблиця 1'!$J:$J,"GBU-64")+SUMIFS('Таблиця 1'!$K:$K,'Таблиця 1'!$B:$B,$A17,'Таблиця 1'!$I:$I,"МіГ-29",'Таблиця 1'!$J:$J,"GBU-64")+SUMIFS('Таблиця 1'!$K:$K,'Таблиця 1'!$B:$B,$A17,'Таблиця 1'!$I:$I,"Су-25",'Таблиця 1'!$J:$J,"GBU-64")+SUMIFS('Таблиця 1'!$K:$K,'Таблиця 1'!$B:$B,$A17,'Таблиця 1'!$I:$I,"Су-27",'Таблиця 1'!$J:$J,"GBU-64"))</f>
        <v/>
      </c>
      <c r="O17">
        <f>IF($A17="","",SUMIFS('Таблиця 1'!$K:$K,'Таблиця 1'!$B:$B,$A17,'Таблиця 1'!$I:$I,"Mirage",'Таблиця 1'!$J:$J,"C-13")+SUMIFS('Таблиця 1'!$K:$K,'Таблиця 1'!$B:$B,$A17,'Таблиця 1'!$I:$I,"F-16",'Таблиця 1'!$J:$J,"C-13")+SUMIFS('Таблиця 1'!$K:$K,'Таблиця 1'!$B:$B,$A17,'Таблиця 1'!$I:$I,"МіГ-29",'Таблиця 1'!$J:$J,"C-13")+SUMIFS('Таблиця 1'!$K:$K,'Таблиця 1'!$B:$B,$A17,'Таблиця 1'!$I:$I,"Су-25",'Таблиця 1'!$J:$J,"C-13")+SUMIFS('Таблиця 1'!$K:$K,'Таблиця 1'!$B:$B,$A17,'Таблиця 1'!$I:$I,"Су-27",'Таблиця 1'!$J:$J,"C-13"))</f>
        <v/>
      </c>
      <c r="P17">
        <f>IF($A17="","",SUMIFS('Таблиця 1'!$K:$K,'Таблиця 1'!$B:$B,$A17,'Таблиця 1'!$I:$I,"Mirage",'Таблиця 1'!$J:$J,"MK-32")+SUMIFS('Таблиця 1'!$K:$K,'Таблиця 1'!$B:$B,$A17,'Таблиця 1'!$I:$I,"F-16",'Таблиця 1'!$J:$J,"MK-32")+SUMIFS('Таблиця 1'!$K:$K,'Таблиця 1'!$B:$B,$A17,'Таблиця 1'!$I:$I,"МіГ-29",'Таблиця 1'!$J:$J,"MK-32")+SUMIFS('Таблиця 1'!$K:$K,'Таблиця 1'!$B:$B,$A17,'Таблиця 1'!$I:$I,"Су-25",'Таблиця 1'!$J:$J,"MK-32")+SUMIFS('Таблиця 1'!$K:$K,'Таблиця 1'!$B:$B,$A17,'Таблиця 1'!$I:$I,"Су-27",'Таблиця 1'!$J:$J,"MK-32"))</f>
        <v/>
      </c>
      <c r="Q17">
        <f>IF($A17="","",SUMIFS('Таблиця 1'!$K:$K,'Таблиця 1'!$B:$B,$A17,'Таблиця 1'!$I:$I,"Mirage",'Таблиця 1'!$J:$J,"MK-24")+SUMIFS('Таблиця 1'!$K:$K,'Таблиця 1'!$B:$B,$A17,'Таблиця 1'!$I:$I,"F-16",'Таблиця 1'!$J:$J,"MK-24")+SUMIFS('Таблиця 1'!$K:$K,'Таблиця 1'!$B:$B,$A17,'Таблиця 1'!$I:$I,"МіГ-29",'Таблиця 1'!$J:$J,"MK-24")+SUMIFS('Таблиця 1'!$K:$K,'Таблиця 1'!$B:$B,$A17,'Таблиця 1'!$I:$I,"Су-25",'Таблиця 1'!$J:$J,"MK-24")+SUMIFS('Таблиця 1'!$K:$K,'Таблиця 1'!$B:$B,$A17,'Таблиця 1'!$I:$I,"Су-27",'Таблиця 1'!$J:$J,"MK-24"))</f>
        <v/>
      </c>
      <c r="R17">
        <f>IF($A17="","",COUNTIFS('Таблиця 1'!$B:$B,$A17,'Таблиця 1'!$I:$I,"Mirage",'Таблиця 1'!$L:$L,"Уражено")+COUNTIFS('Таблиця 1'!$B:$B,$A17,'Таблиця 1'!$I:$I,"F-16",'Таблиця 1'!$L:$L,"Уражено")+COUNTIFS('Таблиця 1'!$B:$B,$A17,'Таблиця 1'!$I:$I,"МіГ-29",'Таблиця 1'!$L:$L,"Уражено")+COUNTIFS('Таблиця 1'!$B:$B,$A17,'Таблиця 1'!$I:$I,"Су-25",'Таблиця 1'!$L:$L,"Уражено")+COUNTIFS('Таблиця 1'!$B:$B,$A17,'Таблиця 1'!$I:$I,"Су-27",'Таблиця 1'!$L:$L,"Уражено"))</f>
        <v/>
      </c>
      <c r="S17">
        <f>IF($A17="","",COUNTIFS('Таблиця 1'!$B:$B,$A17,'Таблиця 1'!$I:$I,"Mirage",'Таблиця 1'!$L:$L,"НЕ уражено")+COUNTIFS('Таблиця 1'!$B:$B,$A17,'Таблиця 1'!$I:$I,"F-16",'Таблиця 1'!$L:$L,"НЕ уражено")+COUNTIFS('Таблиця 1'!$B:$B,$A17,'Таблиця 1'!$I:$I,"МіГ-29",'Таблиця 1'!$L:$L,"НЕ уражено")+COUNTIFS('Таблиця 1'!$B:$B,$A17,'Таблиця 1'!$I:$I,"Су-25",'Таблиця 1'!$L:$L,"НЕ уражено")+COUNTIFS('Таблиця 1'!$B:$B,$A17,'Таблиця 1'!$I:$I,"Су-27",'Таблиця 1'!$L:$L,"НЕ уражено"))</f>
        <v/>
      </c>
      <c r="T17">
        <f>IF($A17="","",COUNTIFS('Таблиця 1'!$B:$B,$A17,'Таблиця 1'!$I:$I,"Mirage",'Таблиця 1'!$L:$L,"Дорозвідується")+COUNTIFS('Таблиця 1'!$B:$B,$A17,'Таблиця 1'!$I:$I,"F-16",'Таблиця 1'!$L:$L,"Дорозвідується")+COUNTIFS('Таблиця 1'!$B:$B,$A17,'Таблиця 1'!$I:$I,"МіГ-29",'Таблиця 1'!$L:$L,"Дорозвідується")+COUNTIFS('Таблиця 1'!$B:$B,$A17,'Таблиця 1'!$I:$I,"Су-25",'Таблиця 1'!$L:$L,"Дорозвідується")+COUNTIFS('Таблиця 1'!$B:$B,$A17,'Таблиця 1'!$I:$I,"Су-27",'Таблиця 1'!$L:$L,"Дорозвідується"))</f>
        <v/>
      </c>
    </row>
    <row r="18">
      <c r="A18" s="273">
        <f>IF(A17="","",IF(A17+1&gt;MAX('Таблиця 1'!$B:$B),"",A17+1))</f>
        <v/>
      </c>
      <c r="B18">
        <f>IF($A18="","",COUNTIFS('Таблиця 1'!$B:$B,$A18,'Таблиця 1'!$I:$I,"Mirage")+COUNTIFS('Таблиця 1'!$B:$B,$A18,'Таблиця 1'!$I:$I,"F-16")+COUNTIFS('Таблиця 1'!$B:$B,$A18,'Таблиця 1'!$I:$I,"МіГ-29")+COUNTIFS('Таблиця 1'!$B:$B,$A18,'Таблиця 1'!$I:$I,"Су-25")+COUNTIFS('Таблиця 1'!$B:$B,$A18,'Таблиця 1'!$I:$I,"Су-27"))</f>
        <v/>
      </c>
      <c r="C18">
        <f>IF($A18="","",COUNTIFS('Таблиця 1'!$B:$B,$A18,'Таблиця 1'!$I:$I,"Mirage"))</f>
        <v/>
      </c>
      <c r="D18">
        <f>IF($A18="","",COUNTIFS('Таблиця 1'!$B:$B,$A18,'Таблиця 1'!$I:$I,"F-16"))</f>
        <v/>
      </c>
      <c r="E18">
        <f>IF($A18="","",COUNTIFS('Таблиця 1'!$B:$B,$A18,'Таблиця 1'!$I:$I,"МіГ-29"))</f>
        <v/>
      </c>
      <c r="F18">
        <f>IF($A18="","",COUNTIFS('Таблиця 1'!$B:$B,$A18,'Таблиця 1'!$I:$I,"Су-25"))</f>
        <v/>
      </c>
      <c r="G18">
        <f>IF($A18="","",COUNTIFS('Таблиця 1'!$B:$B,$A18,'Таблиця 1'!$I:$I,"Су-27"))</f>
        <v/>
      </c>
      <c r="H18">
        <f>IF($A18="","",SUMIFS('Таблиця 1'!$K:$K,'Таблиця 1'!$B:$B,$A18,'Таблиця 1'!$I:$I,"Mirage",'Таблиця 1'!$J:$J,"AGM-88")+SUMIFS('Таблиця 1'!$K:$K,'Таблиця 1'!$B:$B,$A18,'Таблиця 1'!$I:$I,"F-16",'Таблиця 1'!$J:$J,"AGM-88")+SUMIFS('Таблиця 1'!$K:$K,'Таблиця 1'!$B:$B,$A18,'Таблиця 1'!$I:$I,"МіГ-29",'Таблиця 1'!$J:$J,"AGM-88")+SUMIFS('Таблиця 1'!$K:$K,'Таблиця 1'!$B:$B,$A18,'Таблиця 1'!$I:$I,"Су-25",'Таблиця 1'!$J:$J,"AGM-88")+SUMIFS('Таблиця 1'!$K:$K,'Таблиця 1'!$B:$B,$A18,'Таблиця 1'!$I:$I,"Су-27",'Таблиця 1'!$J:$J,"AGM-88"))</f>
        <v/>
      </c>
      <c r="I18">
        <f>IF($A18="","",SUMIFS('Таблиця 1'!$K:$K,'Таблиця 1'!$B:$B,$A18,'Таблиця 1'!$I:$I,"Mirage",'Таблиця 1'!$J:$J,"AASM-250")+SUMIFS('Таблиця 1'!$K:$K,'Таблиця 1'!$B:$B,$A18,'Таблиця 1'!$I:$I,"F-16",'Таблиця 1'!$J:$J,"AASM-250")+SUMIFS('Таблиця 1'!$K:$K,'Таблиця 1'!$B:$B,$A18,'Таблиця 1'!$I:$I,"МіГ-29",'Таблиця 1'!$J:$J,"AASM-250")+SUMIFS('Таблиця 1'!$K:$K,'Таблиця 1'!$B:$B,$A18,'Таблиця 1'!$I:$I,"Су-25",'Таблиця 1'!$J:$J,"AASM-250")+SUMIFS('Таблиця 1'!$K:$K,'Таблиця 1'!$B:$B,$A18,'Таблиця 1'!$I:$I,"Су-27",'Таблиця 1'!$J:$J,"AASM-250"))</f>
        <v/>
      </c>
      <c r="J18">
        <f>IF($A18="","",SUMIFS('Таблиця 1'!$K:$K,'Таблиця 1'!$B:$B,$A18,'Таблиця 1'!$I:$I,"Mirage",'Таблиця 1'!$J:$J,"GBU-39")+SUMIFS('Таблиця 1'!$K:$K,'Таблиця 1'!$B:$B,$A18,'Таблиця 1'!$I:$I,"F-16",'Таблиця 1'!$J:$J,"GBU-39")+SUMIFS('Таблиця 1'!$K:$K,'Таблиця 1'!$B:$B,$A18,'Таблиця 1'!$I:$I,"МіГ-29",'Таблиця 1'!$J:$J,"GBU-39")+SUMIFS('Таблиця 1'!$K:$K,'Таблиця 1'!$B:$B,$A18,'Таблиця 1'!$I:$I,"Су-25",'Таблиця 1'!$J:$J,"GBU-39")+SUMIFS('Таблиця 1'!$K:$K,'Таблиця 1'!$B:$B,$A18,'Таблиця 1'!$I:$I,"Су-27",'Таблиця 1'!$J:$J,"GBU-39"))</f>
        <v/>
      </c>
      <c r="K18">
        <f>IF($A18="","",SUMIFS('Таблиця 1'!$K:$K,'Таблиця 1'!$B:$B,$A18,'Таблиця 1'!$I:$I,"Mirage",'Таблиця 1'!$J:$J,"BLU-140")+SUMIFS('Таблиця 1'!$K:$K,'Таблиця 1'!$B:$B,$A18,'Таблиця 1'!$I:$I,"F-16",'Таблиця 1'!$J:$J,"BLU-140")+SUMIFS('Таблиця 1'!$K:$K,'Таблиця 1'!$B:$B,$A18,'Таблиця 1'!$I:$I,"МіГ-29",'Таблиця 1'!$J:$J,"BLU-140")+SUMIFS('Таблиця 1'!$K:$K,'Таблиця 1'!$B:$B,$A18,'Таблиця 1'!$I:$I,"Су-25",'Таблиця 1'!$J:$J,"BLU-140")+SUMIFS('Таблиця 1'!$K:$K,'Таблиця 1'!$B:$B,$A18,'Таблиця 1'!$I:$I,"Су-27",'Таблиця 1'!$J:$J,"BLU-140"))</f>
        <v/>
      </c>
      <c r="L18">
        <f>IF($A18="","",SUMIFS('Таблиця 1'!$K:$K,'Таблиця 1'!$B:$B,$A18,'Таблиця 1'!$I:$I,"Mirage",'Таблиця 1'!$J:$J,"GBU-65")+SUMIFS('Таблиця 1'!$K:$K,'Таблиця 1'!$B:$B,$A18,'Таблиця 1'!$I:$I,"F-16",'Таблиця 1'!$J:$J,"GBU-65")+SUMIFS('Таблиця 1'!$K:$K,'Таблиця 1'!$B:$B,$A18,'Таблиця 1'!$I:$I,"МіГ-29",'Таблиця 1'!$J:$J,"GBU-65")+SUMIFS('Таблиця 1'!$K:$K,'Таблиця 1'!$B:$B,$A18,'Таблиця 1'!$I:$I,"Су-25",'Таблиця 1'!$J:$J,"GBU-65")+SUMIFS('Таблиця 1'!$K:$K,'Таблиця 1'!$B:$B,$A18,'Таблиця 1'!$I:$I,"Су-27",'Таблиця 1'!$J:$J,"GBU-65"))</f>
        <v/>
      </c>
      <c r="M18">
        <f>IF($A18="","",SUMIFS('Таблиця 1'!$K:$K,'Таблиця 1'!$B:$B,$A18,'Таблиця 1'!$I:$I,"Mirage",'Таблиця 1'!$J:$J,"GBU-62")+SUMIFS('Таблиця 1'!$K:$K,'Таблиця 1'!$B:$B,$A18,'Таблиця 1'!$I:$I,"F-16",'Таблиця 1'!$J:$J,"GBU-62")+SUMIFS('Таблиця 1'!$K:$K,'Таблиця 1'!$B:$B,$A18,'Таблиця 1'!$I:$I,"МіГ-29",'Таблиця 1'!$J:$J,"GBU-62")+SUMIFS('Таблиця 1'!$K:$K,'Таблиця 1'!$B:$B,$A18,'Таблиця 1'!$I:$I,"Су-25",'Таблиця 1'!$J:$J,"GBU-62")+SUMIFS('Таблиця 1'!$K:$K,'Таблиця 1'!$B:$B,$A18,'Таблиця 1'!$I:$I,"Су-27",'Таблиця 1'!$J:$J,"GBU-62"))</f>
        <v/>
      </c>
      <c r="N18">
        <f>IF($A18="","",SUMIFS('Таблиця 1'!$K:$K,'Таблиця 1'!$B:$B,$A18,'Таблиця 1'!$I:$I,"Mirage",'Таблиця 1'!$J:$J,"GBU-64")+SUMIFS('Таблиця 1'!$K:$K,'Таблиця 1'!$B:$B,$A18,'Таблиця 1'!$I:$I,"F-16",'Таблиця 1'!$J:$J,"GBU-64")+SUMIFS('Таблиця 1'!$K:$K,'Таблиця 1'!$B:$B,$A18,'Таблиця 1'!$I:$I,"МіГ-29",'Таблиця 1'!$J:$J,"GBU-64")+SUMIFS('Таблиця 1'!$K:$K,'Таблиця 1'!$B:$B,$A18,'Таблиця 1'!$I:$I,"Су-25",'Таблиця 1'!$J:$J,"GBU-64")+SUMIFS('Таблиця 1'!$K:$K,'Таблиця 1'!$B:$B,$A18,'Таблиця 1'!$I:$I,"Су-27",'Таблиця 1'!$J:$J,"GBU-64"))</f>
        <v/>
      </c>
      <c r="O18">
        <f>IF($A18="","",SUMIFS('Таблиця 1'!$K:$K,'Таблиця 1'!$B:$B,$A18,'Таблиця 1'!$I:$I,"Mirage",'Таблиця 1'!$J:$J,"C-13")+SUMIFS('Таблиця 1'!$K:$K,'Таблиця 1'!$B:$B,$A18,'Таблиця 1'!$I:$I,"F-16",'Таблиця 1'!$J:$J,"C-13")+SUMIFS('Таблиця 1'!$K:$K,'Таблиця 1'!$B:$B,$A18,'Таблиця 1'!$I:$I,"МіГ-29",'Таблиця 1'!$J:$J,"C-13")+SUMIFS('Таблиця 1'!$K:$K,'Таблиця 1'!$B:$B,$A18,'Таблиця 1'!$I:$I,"Су-25",'Таблиця 1'!$J:$J,"C-13")+SUMIFS('Таблиця 1'!$K:$K,'Таблиця 1'!$B:$B,$A18,'Таблиця 1'!$I:$I,"Су-27",'Таблиця 1'!$J:$J,"C-13"))</f>
        <v/>
      </c>
      <c r="P18">
        <f>IF($A18="","",SUMIFS('Таблиця 1'!$K:$K,'Таблиця 1'!$B:$B,$A18,'Таблиця 1'!$I:$I,"Mirage",'Таблиця 1'!$J:$J,"MK-32")+SUMIFS('Таблиця 1'!$K:$K,'Таблиця 1'!$B:$B,$A18,'Таблиця 1'!$I:$I,"F-16",'Таблиця 1'!$J:$J,"MK-32")+SUMIFS('Таблиця 1'!$K:$K,'Таблиця 1'!$B:$B,$A18,'Таблиця 1'!$I:$I,"МіГ-29",'Таблиця 1'!$J:$J,"MK-32")+SUMIFS('Таблиця 1'!$K:$K,'Таблиця 1'!$B:$B,$A18,'Таблиця 1'!$I:$I,"Су-25",'Таблиця 1'!$J:$J,"MK-32")+SUMIFS('Таблиця 1'!$K:$K,'Таблиця 1'!$B:$B,$A18,'Таблиця 1'!$I:$I,"Су-27",'Таблиця 1'!$J:$J,"MK-32"))</f>
        <v/>
      </c>
      <c r="Q18">
        <f>IF($A18="","",SUMIFS('Таблиця 1'!$K:$K,'Таблиця 1'!$B:$B,$A18,'Таблиця 1'!$I:$I,"Mirage",'Таблиця 1'!$J:$J,"MK-24")+SUMIFS('Таблиця 1'!$K:$K,'Таблиця 1'!$B:$B,$A18,'Таблиця 1'!$I:$I,"F-16",'Таблиця 1'!$J:$J,"MK-24")+SUMIFS('Таблиця 1'!$K:$K,'Таблиця 1'!$B:$B,$A18,'Таблиця 1'!$I:$I,"МіГ-29",'Таблиця 1'!$J:$J,"MK-24")+SUMIFS('Таблиця 1'!$K:$K,'Таблиця 1'!$B:$B,$A18,'Таблиця 1'!$I:$I,"Су-25",'Таблиця 1'!$J:$J,"MK-24")+SUMIFS('Таблиця 1'!$K:$K,'Таблиця 1'!$B:$B,$A18,'Таблиця 1'!$I:$I,"Су-27",'Таблиця 1'!$J:$J,"MK-24"))</f>
        <v/>
      </c>
      <c r="R18">
        <f>IF($A18="","",COUNTIFS('Таблиця 1'!$B:$B,$A18,'Таблиця 1'!$I:$I,"Mirage",'Таблиця 1'!$L:$L,"Уражено")+COUNTIFS('Таблиця 1'!$B:$B,$A18,'Таблиця 1'!$I:$I,"F-16",'Таблиця 1'!$L:$L,"Уражено")+COUNTIFS('Таблиця 1'!$B:$B,$A18,'Таблиця 1'!$I:$I,"МіГ-29",'Таблиця 1'!$L:$L,"Уражено")+COUNTIFS('Таблиця 1'!$B:$B,$A18,'Таблиця 1'!$I:$I,"Су-25",'Таблиця 1'!$L:$L,"Уражено")+COUNTIFS('Таблиця 1'!$B:$B,$A18,'Таблиця 1'!$I:$I,"Су-27",'Таблиця 1'!$L:$L,"Уражено"))</f>
        <v/>
      </c>
      <c r="S18">
        <f>IF($A18="","",COUNTIFS('Таблиця 1'!$B:$B,$A18,'Таблиця 1'!$I:$I,"Mirage",'Таблиця 1'!$L:$L,"НЕ уражено")+COUNTIFS('Таблиця 1'!$B:$B,$A18,'Таблиця 1'!$I:$I,"F-16",'Таблиця 1'!$L:$L,"НЕ уражено")+COUNTIFS('Таблиця 1'!$B:$B,$A18,'Таблиця 1'!$I:$I,"МіГ-29",'Таблиця 1'!$L:$L,"НЕ уражено")+COUNTIFS('Таблиця 1'!$B:$B,$A18,'Таблиця 1'!$I:$I,"Су-25",'Таблиця 1'!$L:$L,"НЕ уражено")+COUNTIFS('Таблиця 1'!$B:$B,$A18,'Таблиця 1'!$I:$I,"Су-27",'Таблиця 1'!$L:$L,"НЕ уражено"))</f>
        <v/>
      </c>
      <c r="T18">
        <f>IF($A18="","",COUNTIFS('Таблиця 1'!$B:$B,$A18,'Таблиця 1'!$I:$I,"Mirage",'Таблиця 1'!$L:$L,"Дорозвідується")+COUNTIFS('Таблиця 1'!$B:$B,$A18,'Таблиця 1'!$I:$I,"F-16",'Таблиця 1'!$L:$L,"Дорозвідується")+COUNTIFS('Таблиця 1'!$B:$B,$A18,'Таблиця 1'!$I:$I,"МіГ-29",'Таблиця 1'!$L:$L,"Дорозвідується")+COUNTIFS('Таблиця 1'!$B:$B,$A18,'Таблиця 1'!$I:$I,"Су-25",'Таблиця 1'!$L:$L,"Дорозвідується")+COUNTIFS('Таблиця 1'!$B:$B,$A18,'Таблиця 1'!$I:$I,"Су-27",'Таблиця 1'!$L:$L,"Дорозвідується"))</f>
        <v/>
      </c>
    </row>
    <row r="19">
      <c r="A19" s="273">
        <f>IF(A18="","",IF(A18+1&gt;MAX('Таблиця 1'!$B:$B),"",A18+1))</f>
        <v/>
      </c>
      <c r="B19">
        <f>IF($A19="","",COUNTIFS('Таблиця 1'!$B:$B,$A19,'Таблиця 1'!$I:$I,"Mirage")+COUNTIFS('Таблиця 1'!$B:$B,$A19,'Таблиця 1'!$I:$I,"F-16")+COUNTIFS('Таблиця 1'!$B:$B,$A19,'Таблиця 1'!$I:$I,"МіГ-29")+COUNTIFS('Таблиця 1'!$B:$B,$A19,'Таблиця 1'!$I:$I,"Су-25")+COUNTIFS('Таблиця 1'!$B:$B,$A19,'Таблиця 1'!$I:$I,"Су-27"))</f>
        <v/>
      </c>
      <c r="C19">
        <f>IF($A19="","",COUNTIFS('Таблиця 1'!$B:$B,$A19,'Таблиця 1'!$I:$I,"Mirage"))</f>
        <v/>
      </c>
      <c r="D19">
        <f>IF($A19="","",COUNTIFS('Таблиця 1'!$B:$B,$A19,'Таблиця 1'!$I:$I,"F-16"))</f>
        <v/>
      </c>
      <c r="E19">
        <f>IF($A19="","",COUNTIFS('Таблиця 1'!$B:$B,$A19,'Таблиця 1'!$I:$I,"МіГ-29"))</f>
        <v/>
      </c>
      <c r="F19">
        <f>IF($A19="","",COUNTIFS('Таблиця 1'!$B:$B,$A19,'Таблиця 1'!$I:$I,"Су-25"))</f>
        <v/>
      </c>
      <c r="G19">
        <f>IF($A19="","",COUNTIFS('Таблиця 1'!$B:$B,$A19,'Таблиця 1'!$I:$I,"Су-27"))</f>
        <v/>
      </c>
      <c r="H19">
        <f>IF($A19="","",SUMIFS('Таблиця 1'!$K:$K,'Таблиця 1'!$B:$B,$A19,'Таблиця 1'!$I:$I,"Mirage",'Таблиця 1'!$J:$J,"AGM-88")+SUMIFS('Таблиця 1'!$K:$K,'Таблиця 1'!$B:$B,$A19,'Таблиця 1'!$I:$I,"F-16",'Таблиця 1'!$J:$J,"AGM-88")+SUMIFS('Таблиця 1'!$K:$K,'Таблиця 1'!$B:$B,$A19,'Таблиця 1'!$I:$I,"МіГ-29",'Таблиця 1'!$J:$J,"AGM-88")+SUMIFS('Таблиця 1'!$K:$K,'Таблиця 1'!$B:$B,$A19,'Таблиця 1'!$I:$I,"Су-25",'Таблиця 1'!$J:$J,"AGM-88")+SUMIFS('Таблиця 1'!$K:$K,'Таблиця 1'!$B:$B,$A19,'Таблиця 1'!$I:$I,"Су-27",'Таблиця 1'!$J:$J,"AGM-88"))</f>
        <v/>
      </c>
      <c r="I19">
        <f>IF($A19="","",SUMIFS('Таблиця 1'!$K:$K,'Таблиця 1'!$B:$B,$A19,'Таблиця 1'!$I:$I,"Mirage",'Таблиця 1'!$J:$J,"AASM-250")+SUMIFS('Таблиця 1'!$K:$K,'Таблиця 1'!$B:$B,$A19,'Таблиця 1'!$I:$I,"F-16",'Таблиця 1'!$J:$J,"AASM-250")+SUMIFS('Таблиця 1'!$K:$K,'Таблиця 1'!$B:$B,$A19,'Таблиця 1'!$I:$I,"МіГ-29",'Таблиця 1'!$J:$J,"AASM-250")+SUMIFS('Таблиця 1'!$K:$K,'Таблиця 1'!$B:$B,$A19,'Таблиця 1'!$I:$I,"Су-25",'Таблиця 1'!$J:$J,"AASM-250")+SUMIFS('Таблиця 1'!$K:$K,'Таблиця 1'!$B:$B,$A19,'Таблиця 1'!$I:$I,"Су-27",'Таблиця 1'!$J:$J,"AASM-250"))</f>
        <v/>
      </c>
      <c r="J19">
        <f>IF($A19="","",SUMIFS('Таблиця 1'!$K:$K,'Таблиця 1'!$B:$B,$A19,'Таблиця 1'!$I:$I,"Mirage",'Таблиця 1'!$J:$J,"GBU-39")+SUMIFS('Таблиця 1'!$K:$K,'Таблиця 1'!$B:$B,$A19,'Таблиця 1'!$I:$I,"F-16",'Таблиця 1'!$J:$J,"GBU-39")+SUMIFS('Таблиця 1'!$K:$K,'Таблиця 1'!$B:$B,$A19,'Таблиця 1'!$I:$I,"МіГ-29",'Таблиця 1'!$J:$J,"GBU-39")+SUMIFS('Таблиця 1'!$K:$K,'Таблиця 1'!$B:$B,$A19,'Таблиця 1'!$I:$I,"Су-25",'Таблиця 1'!$J:$J,"GBU-39")+SUMIFS('Таблиця 1'!$K:$K,'Таблиця 1'!$B:$B,$A19,'Таблиця 1'!$I:$I,"Су-27",'Таблиця 1'!$J:$J,"GBU-39"))</f>
        <v/>
      </c>
      <c r="K19">
        <f>IF($A19="","",SUMIFS('Таблиця 1'!$K:$K,'Таблиця 1'!$B:$B,$A19,'Таблиця 1'!$I:$I,"Mirage",'Таблиця 1'!$J:$J,"BLU-140")+SUMIFS('Таблиця 1'!$K:$K,'Таблиця 1'!$B:$B,$A19,'Таблиця 1'!$I:$I,"F-16",'Таблиця 1'!$J:$J,"BLU-140")+SUMIFS('Таблиця 1'!$K:$K,'Таблиця 1'!$B:$B,$A19,'Таблиця 1'!$I:$I,"МіГ-29",'Таблиця 1'!$J:$J,"BLU-140")+SUMIFS('Таблиця 1'!$K:$K,'Таблиця 1'!$B:$B,$A19,'Таблиця 1'!$I:$I,"Су-25",'Таблиця 1'!$J:$J,"BLU-140")+SUMIFS('Таблиця 1'!$K:$K,'Таблиця 1'!$B:$B,$A19,'Таблиця 1'!$I:$I,"Су-27",'Таблиця 1'!$J:$J,"BLU-140"))</f>
        <v/>
      </c>
      <c r="L19">
        <f>IF($A19="","",SUMIFS('Таблиця 1'!$K:$K,'Таблиця 1'!$B:$B,$A19,'Таблиця 1'!$I:$I,"Mirage",'Таблиця 1'!$J:$J,"GBU-65")+SUMIFS('Таблиця 1'!$K:$K,'Таблиця 1'!$B:$B,$A19,'Таблиця 1'!$I:$I,"F-16",'Таблиця 1'!$J:$J,"GBU-65")+SUMIFS('Таблиця 1'!$K:$K,'Таблиця 1'!$B:$B,$A19,'Таблиця 1'!$I:$I,"МіГ-29",'Таблиця 1'!$J:$J,"GBU-65")+SUMIFS('Таблиця 1'!$K:$K,'Таблиця 1'!$B:$B,$A19,'Таблиця 1'!$I:$I,"Су-25",'Таблиця 1'!$J:$J,"GBU-65")+SUMIFS('Таблиця 1'!$K:$K,'Таблиця 1'!$B:$B,$A19,'Таблиця 1'!$I:$I,"Су-27",'Таблиця 1'!$J:$J,"GBU-65"))</f>
        <v/>
      </c>
      <c r="M19">
        <f>IF($A19="","",SUMIFS('Таблиця 1'!$K:$K,'Таблиця 1'!$B:$B,$A19,'Таблиця 1'!$I:$I,"Mirage",'Таблиця 1'!$J:$J,"GBU-62")+SUMIFS('Таблиця 1'!$K:$K,'Таблиця 1'!$B:$B,$A19,'Таблиця 1'!$I:$I,"F-16",'Таблиця 1'!$J:$J,"GBU-62")+SUMIFS('Таблиця 1'!$K:$K,'Таблиця 1'!$B:$B,$A19,'Таблиця 1'!$I:$I,"МіГ-29",'Таблиця 1'!$J:$J,"GBU-62")+SUMIFS('Таблиця 1'!$K:$K,'Таблиця 1'!$B:$B,$A19,'Таблиця 1'!$I:$I,"Су-25",'Таблиця 1'!$J:$J,"GBU-62")+SUMIFS('Таблиця 1'!$K:$K,'Таблиця 1'!$B:$B,$A19,'Таблиця 1'!$I:$I,"Су-27",'Таблиця 1'!$J:$J,"GBU-62"))</f>
        <v/>
      </c>
      <c r="N19">
        <f>IF($A19="","",SUMIFS('Таблиця 1'!$K:$K,'Таблиця 1'!$B:$B,$A19,'Таблиця 1'!$I:$I,"Mirage",'Таблиця 1'!$J:$J,"GBU-64")+SUMIFS('Таблиця 1'!$K:$K,'Таблиця 1'!$B:$B,$A19,'Таблиця 1'!$I:$I,"F-16",'Таблиця 1'!$J:$J,"GBU-64")+SUMIFS('Таблиця 1'!$K:$K,'Таблиця 1'!$B:$B,$A19,'Таблиця 1'!$I:$I,"МіГ-29",'Таблиця 1'!$J:$J,"GBU-64")+SUMIFS('Таблиця 1'!$K:$K,'Таблиця 1'!$B:$B,$A19,'Таблиця 1'!$I:$I,"Су-25",'Таблиця 1'!$J:$J,"GBU-64")+SUMIFS('Таблиця 1'!$K:$K,'Таблиця 1'!$B:$B,$A19,'Таблиця 1'!$I:$I,"Су-27",'Таблиця 1'!$J:$J,"GBU-64"))</f>
        <v/>
      </c>
      <c r="O19">
        <f>IF($A19="","",SUMIFS('Таблиця 1'!$K:$K,'Таблиця 1'!$B:$B,$A19,'Таблиця 1'!$I:$I,"Mirage",'Таблиця 1'!$J:$J,"C-13")+SUMIFS('Таблиця 1'!$K:$K,'Таблиця 1'!$B:$B,$A19,'Таблиця 1'!$I:$I,"F-16",'Таблиця 1'!$J:$J,"C-13")+SUMIFS('Таблиця 1'!$K:$K,'Таблиця 1'!$B:$B,$A19,'Таблиця 1'!$I:$I,"МіГ-29",'Таблиця 1'!$J:$J,"C-13")+SUMIFS('Таблиця 1'!$K:$K,'Таблиця 1'!$B:$B,$A19,'Таблиця 1'!$I:$I,"Су-25",'Таблиця 1'!$J:$J,"C-13")+SUMIFS('Таблиця 1'!$K:$K,'Таблиця 1'!$B:$B,$A19,'Таблиця 1'!$I:$I,"Су-27",'Таблиця 1'!$J:$J,"C-13"))</f>
        <v/>
      </c>
      <c r="P19">
        <f>IF($A19="","",SUMIFS('Таблиця 1'!$K:$K,'Таблиця 1'!$B:$B,$A19,'Таблиця 1'!$I:$I,"Mirage",'Таблиця 1'!$J:$J,"MK-32")+SUMIFS('Таблиця 1'!$K:$K,'Таблиця 1'!$B:$B,$A19,'Таблиця 1'!$I:$I,"F-16",'Таблиця 1'!$J:$J,"MK-32")+SUMIFS('Таблиця 1'!$K:$K,'Таблиця 1'!$B:$B,$A19,'Таблиця 1'!$I:$I,"МіГ-29",'Таблиця 1'!$J:$J,"MK-32")+SUMIFS('Таблиця 1'!$K:$K,'Таблиця 1'!$B:$B,$A19,'Таблиця 1'!$I:$I,"Су-25",'Таблиця 1'!$J:$J,"MK-32")+SUMIFS('Таблиця 1'!$K:$K,'Таблиця 1'!$B:$B,$A19,'Таблиця 1'!$I:$I,"Су-27",'Таблиця 1'!$J:$J,"MK-32"))</f>
        <v/>
      </c>
      <c r="Q19">
        <f>IF($A19="","",SUMIFS('Таблиця 1'!$K:$K,'Таблиця 1'!$B:$B,$A19,'Таблиця 1'!$I:$I,"Mirage",'Таблиця 1'!$J:$J,"MK-24")+SUMIFS('Таблиця 1'!$K:$K,'Таблиця 1'!$B:$B,$A19,'Таблиця 1'!$I:$I,"F-16",'Таблиця 1'!$J:$J,"MK-24")+SUMIFS('Таблиця 1'!$K:$K,'Таблиця 1'!$B:$B,$A19,'Таблиця 1'!$I:$I,"МіГ-29",'Таблиця 1'!$J:$J,"MK-24")+SUMIFS('Таблиця 1'!$K:$K,'Таблиця 1'!$B:$B,$A19,'Таблиця 1'!$I:$I,"Су-25",'Таблиця 1'!$J:$J,"MK-24")+SUMIFS('Таблиця 1'!$K:$K,'Таблиця 1'!$B:$B,$A19,'Таблиця 1'!$I:$I,"Су-27",'Таблиця 1'!$J:$J,"MK-24"))</f>
        <v/>
      </c>
      <c r="R19">
        <f>IF($A19="","",COUNTIFS('Таблиця 1'!$B:$B,$A19,'Таблиця 1'!$I:$I,"Mirage",'Таблиця 1'!$L:$L,"Уражено")+COUNTIFS('Таблиця 1'!$B:$B,$A19,'Таблиця 1'!$I:$I,"F-16",'Таблиця 1'!$L:$L,"Уражено")+COUNTIFS('Таблиця 1'!$B:$B,$A19,'Таблиця 1'!$I:$I,"МіГ-29",'Таблиця 1'!$L:$L,"Уражено")+COUNTIFS('Таблиця 1'!$B:$B,$A19,'Таблиця 1'!$I:$I,"Су-25",'Таблиця 1'!$L:$L,"Уражено")+COUNTIFS('Таблиця 1'!$B:$B,$A19,'Таблиця 1'!$I:$I,"Су-27",'Таблиця 1'!$L:$L,"Уражено"))</f>
        <v/>
      </c>
      <c r="S19">
        <f>IF($A19="","",COUNTIFS('Таблиця 1'!$B:$B,$A19,'Таблиця 1'!$I:$I,"Mirage",'Таблиця 1'!$L:$L,"НЕ уражено")+COUNTIFS('Таблиця 1'!$B:$B,$A19,'Таблиця 1'!$I:$I,"F-16",'Таблиця 1'!$L:$L,"НЕ уражено")+COUNTIFS('Таблиця 1'!$B:$B,$A19,'Таблиця 1'!$I:$I,"МіГ-29",'Таблиця 1'!$L:$L,"НЕ уражено")+COUNTIFS('Таблиця 1'!$B:$B,$A19,'Таблиця 1'!$I:$I,"Су-25",'Таблиця 1'!$L:$L,"НЕ уражено")+COUNTIFS('Таблиця 1'!$B:$B,$A19,'Таблиця 1'!$I:$I,"Су-27",'Таблиця 1'!$L:$L,"НЕ уражено"))</f>
        <v/>
      </c>
      <c r="T19">
        <f>IF($A19="","",COUNTIFS('Таблиця 1'!$B:$B,$A19,'Таблиця 1'!$I:$I,"Mirage",'Таблиця 1'!$L:$L,"Дорозвідується")+COUNTIFS('Таблиця 1'!$B:$B,$A19,'Таблиця 1'!$I:$I,"F-16",'Таблиця 1'!$L:$L,"Дорозвідується")+COUNTIFS('Таблиця 1'!$B:$B,$A19,'Таблиця 1'!$I:$I,"МіГ-29",'Таблиця 1'!$L:$L,"Дорозвідується")+COUNTIFS('Таблиця 1'!$B:$B,$A19,'Таблиця 1'!$I:$I,"Су-25",'Таблиця 1'!$L:$L,"Дорозвідується")+COUNTIFS('Таблиця 1'!$B:$B,$A19,'Таблиця 1'!$I:$I,"Су-27",'Таблиця 1'!$L:$L,"Дорозвідується"))</f>
        <v/>
      </c>
    </row>
    <row r="20">
      <c r="A20" s="273">
        <f>IF(A19="","",IF(A19+1&gt;MAX('Таблиця 1'!$B:$B),"",A19+1))</f>
        <v/>
      </c>
      <c r="B20">
        <f>IF($A20="","",COUNTIFS('Таблиця 1'!$B:$B,$A20,'Таблиця 1'!$I:$I,"Mirage")+COUNTIFS('Таблиця 1'!$B:$B,$A20,'Таблиця 1'!$I:$I,"F-16")+COUNTIFS('Таблиця 1'!$B:$B,$A20,'Таблиця 1'!$I:$I,"МіГ-29")+COUNTIFS('Таблиця 1'!$B:$B,$A20,'Таблиця 1'!$I:$I,"Су-25")+COUNTIFS('Таблиця 1'!$B:$B,$A20,'Таблиця 1'!$I:$I,"Су-27"))</f>
        <v/>
      </c>
      <c r="C20">
        <f>IF($A20="","",COUNTIFS('Таблиця 1'!$B:$B,$A20,'Таблиця 1'!$I:$I,"Mirage"))</f>
        <v/>
      </c>
      <c r="D20">
        <f>IF($A20="","",COUNTIFS('Таблиця 1'!$B:$B,$A20,'Таблиця 1'!$I:$I,"F-16"))</f>
        <v/>
      </c>
      <c r="E20">
        <f>IF($A20="","",COUNTIFS('Таблиця 1'!$B:$B,$A20,'Таблиця 1'!$I:$I,"МіГ-29"))</f>
        <v/>
      </c>
      <c r="F20">
        <f>IF($A20="","",COUNTIFS('Таблиця 1'!$B:$B,$A20,'Таблиця 1'!$I:$I,"Су-25"))</f>
        <v/>
      </c>
      <c r="G20">
        <f>IF($A20="","",COUNTIFS('Таблиця 1'!$B:$B,$A20,'Таблиця 1'!$I:$I,"Су-27"))</f>
        <v/>
      </c>
      <c r="H20">
        <f>IF($A20="","",SUMIFS('Таблиця 1'!$K:$K,'Таблиця 1'!$B:$B,$A20,'Таблиця 1'!$I:$I,"Mirage",'Таблиця 1'!$J:$J,"AGM-88")+SUMIFS('Таблиця 1'!$K:$K,'Таблиця 1'!$B:$B,$A20,'Таблиця 1'!$I:$I,"F-16",'Таблиця 1'!$J:$J,"AGM-88")+SUMIFS('Таблиця 1'!$K:$K,'Таблиця 1'!$B:$B,$A20,'Таблиця 1'!$I:$I,"МіГ-29",'Таблиця 1'!$J:$J,"AGM-88")+SUMIFS('Таблиця 1'!$K:$K,'Таблиця 1'!$B:$B,$A20,'Таблиця 1'!$I:$I,"Су-25",'Таблиця 1'!$J:$J,"AGM-88")+SUMIFS('Таблиця 1'!$K:$K,'Таблиця 1'!$B:$B,$A20,'Таблиця 1'!$I:$I,"Су-27",'Таблиця 1'!$J:$J,"AGM-88"))</f>
        <v/>
      </c>
      <c r="I20">
        <f>IF($A20="","",SUMIFS('Таблиця 1'!$K:$K,'Таблиця 1'!$B:$B,$A20,'Таблиця 1'!$I:$I,"Mirage",'Таблиця 1'!$J:$J,"AASM-250")+SUMIFS('Таблиця 1'!$K:$K,'Таблиця 1'!$B:$B,$A20,'Таблиця 1'!$I:$I,"F-16",'Таблиця 1'!$J:$J,"AASM-250")+SUMIFS('Таблиця 1'!$K:$K,'Таблиця 1'!$B:$B,$A20,'Таблиця 1'!$I:$I,"МіГ-29",'Таблиця 1'!$J:$J,"AASM-250")+SUMIFS('Таблиця 1'!$K:$K,'Таблиця 1'!$B:$B,$A20,'Таблиця 1'!$I:$I,"Су-25",'Таблиця 1'!$J:$J,"AASM-250")+SUMIFS('Таблиця 1'!$K:$K,'Таблиця 1'!$B:$B,$A20,'Таблиця 1'!$I:$I,"Су-27",'Таблиця 1'!$J:$J,"AASM-250"))</f>
        <v/>
      </c>
      <c r="J20">
        <f>IF($A20="","",SUMIFS('Таблиця 1'!$K:$K,'Таблиця 1'!$B:$B,$A20,'Таблиця 1'!$I:$I,"Mirage",'Таблиця 1'!$J:$J,"GBU-39")+SUMIFS('Таблиця 1'!$K:$K,'Таблиця 1'!$B:$B,$A20,'Таблиця 1'!$I:$I,"F-16",'Таблиця 1'!$J:$J,"GBU-39")+SUMIFS('Таблиця 1'!$K:$K,'Таблиця 1'!$B:$B,$A20,'Таблиця 1'!$I:$I,"МіГ-29",'Таблиця 1'!$J:$J,"GBU-39")+SUMIFS('Таблиця 1'!$K:$K,'Таблиця 1'!$B:$B,$A20,'Таблиця 1'!$I:$I,"Су-25",'Таблиця 1'!$J:$J,"GBU-39")+SUMIFS('Таблиця 1'!$K:$K,'Таблиця 1'!$B:$B,$A20,'Таблиця 1'!$I:$I,"Су-27",'Таблиця 1'!$J:$J,"GBU-39"))</f>
        <v/>
      </c>
      <c r="K20">
        <f>IF($A20="","",SUMIFS('Таблиця 1'!$K:$K,'Таблиця 1'!$B:$B,$A20,'Таблиця 1'!$I:$I,"Mirage",'Таблиця 1'!$J:$J,"BLU-140")+SUMIFS('Таблиця 1'!$K:$K,'Таблиця 1'!$B:$B,$A20,'Таблиця 1'!$I:$I,"F-16",'Таблиця 1'!$J:$J,"BLU-140")+SUMIFS('Таблиця 1'!$K:$K,'Таблиця 1'!$B:$B,$A20,'Таблиця 1'!$I:$I,"МіГ-29",'Таблиця 1'!$J:$J,"BLU-140")+SUMIFS('Таблиця 1'!$K:$K,'Таблиця 1'!$B:$B,$A20,'Таблиця 1'!$I:$I,"Су-25",'Таблиця 1'!$J:$J,"BLU-140")+SUMIFS('Таблиця 1'!$K:$K,'Таблиця 1'!$B:$B,$A20,'Таблиця 1'!$I:$I,"Су-27",'Таблиця 1'!$J:$J,"BLU-140"))</f>
        <v/>
      </c>
      <c r="L20">
        <f>IF($A20="","",SUMIFS('Таблиця 1'!$K:$K,'Таблиця 1'!$B:$B,$A20,'Таблиця 1'!$I:$I,"Mirage",'Таблиця 1'!$J:$J,"GBU-65")+SUMIFS('Таблиця 1'!$K:$K,'Таблиця 1'!$B:$B,$A20,'Таблиця 1'!$I:$I,"F-16",'Таблиця 1'!$J:$J,"GBU-65")+SUMIFS('Таблиця 1'!$K:$K,'Таблиця 1'!$B:$B,$A20,'Таблиця 1'!$I:$I,"МіГ-29",'Таблиця 1'!$J:$J,"GBU-65")+SUMIFS('Таблиця 1'!$K:$K,'Таблиця 1'!$B:$B,$A20,'Таблиця 1'!$I:$I,"Су-25",'Таблиця 1'!$J:$J,"GBU-65")+SUMIFS('Таблиця 1'!$K:$K,'Таблиця 1'!$B:$B,$A20,'Таблиця 1'!$I:$I,"Су-27",'Таблиця 1'!$J:$J,"GBU-65"))</f>
        <v/>
      </c>
      <c r="M20">
        <f>IF($A20="","",SUMIFS('Таблиця 1'!$K:$K,'Таблиця 1'!$B:$B,$A20,'Таблиця 1'!$I:$I,"Mirage",'Таблиця 1'!$J:$J,"GBU-62")+SUMIFS('Таблиця 1'!$K:$K,'Таблиця 1'!$B:$B,$A20,'Таблиця 1'!$I:$I,"F-16",'Таблиця 1'!$J:$J,"GBU-62")+SUMIFS('Таблиця 1'!$K:$K,'Таблиця 1'!$B:$B,$A20,'Таблиця 1'!$I:$I,"МіГ-29",'Таблиця 1'!$J:$J,"GBU-62")+SUMIFS('Таблиця 1'!$K:$K,'Таблиця 1'!$B:$B,$A20,'Таблиця 1'!$I:$I,"Су-25",'Таблиця 1'!$J:$J,"GBU-62")+SUMIFS('Таблиця 1'!$K:$K,'Таблиця 1'!$B:$B,$A20,'Таблиця 1'!$I:$I,"Су-27",'Таблиця 1'!$J:$J,"GBU-62"))</f>
        <v/>
      </c>
      <c r="N20">
        <f>IF($A20="","",SUMIFS('Таблиця 1'!$K:$K,'Таблиця 1'!$B:$B,$A20,'Таблиця 1'!$I:$I,"Mirage",'Таблиця 1'!$J:$J,"GBU-64")+SUMIFS('Таблиця 1'!$K:$K,'Таблиця 1'!$B:$B,$A20,'Таблиця 1'!$I:$I,"F-16",'Таблиця 1'!$J:$J,"GBU-64")+SUMIFS('Таблиця 1'!$K:$K,'Таблиця 1'!$B:$B,$A20,'Таблиця 1'!$I:$I,"МіГ-29",'Таблиця 1'!$J:$J,"GBU-64")+SUMIFS('Таблиця 1'!$K:$K,'Таблиця 1'!$B:$B,$A20,'Таблиця 1'!$I:$I,"Су-25",'Таблиця 1'!$J:$J,"GBU-64")+SUMIFS('Таблиця 1'!$K:$K,'Таблиця 1'!$B:$B,$A20,'Таблиця 1'!$I:$I,"Су-27",'Таблиця 1'!$J:$J,"GBU-64"))</f>
        <v/>
      </c>
      <c r="O20">
        <f>IF($A20="","",SUMIFS('Таблиця 1'!$K:$K,'Таблиця 1'!$B:$B,$A20,'Таблиця 1'!$I:$I,"Mirage",'Таблиця 1'!$J:$J,"C-13")+SUMIFS('Таблиця 1'!$K:$K,'Таблиця 1'!$B:$B,$A20,'Таблиця 1'!$I:$I,"F-16",'Таблиця 1'!$J:$J,"C-13")+SUMIFS('Таблиця 1'!$K:$K,'Таблиця 1'!$B:$B,$A20,'Таблиця 1'!$I:$I,"МіГ-29",'Таблиця 1'!$J:$J,"C-13")+SUMIFS('Таблиця 1'!$K:$K,'Таблиця 1'!$B:$B,$A20,'Таблиця 1'!$I:$I,"Су-25",'Таблиця 1'!$J:$J,"C-13")+SUMIFS('Таблиця 1'!$K:$K,'Таблиця 1'!$B:$B,$A20,'Таблиця 1'!$I:$I,"Су-27",'Таблиця 1'!$J:$J,"C-13"))</f>
        <v/>
      </c>
      <c r="P20">
        <f>IF($A20="","",SUMIFS('Таблиця 1'!$K:$K,'Таблиця 1'!$B:$B,$A20,'Таблиця 1'!$I:$I,"Mirage",'Таблиця 1'!$J:$J,"MK-32")+SUMIFS('Таблиця 1'!$K:$K,'Таблиця 1'!$B:$B,$A20,'Таблиця 1'!$I:$I,"F-16",'Таблиця 1'!$J:$J,"MK-32")+SUMIFS('Таблиця 1'!$K:$K,'Таблиця 1'!$B:$B,$A20,'Таблиця 1'!$I:$I,"МіГ-29",'Таблиця 1'!$J:$J,"MK-32")+SUMIFS('Таблиця 1'!$K:$K,'Таблиця 1'!$B:$B,$A20,'Таблиця 1'!$I:$I,"Су-25",'Таблиця 1'!$J:$J,"MK-32")+SUMIFS('Таблиця 1'!$K:$K,'Таблиця 1'!$B:$B,$A20,'Таблиця 1'!$I:$I,"Су-27",'Таблиця 1'!$J:$J,"MK-32"))</f>
        <v/>
      </c>
      <c r="Q20">
        <f>IF($A20="","",SUMIFS('Таблиця 1'!$K:$K,'Таблиця 1'!$B:$B,$A20,'Таблиця 1'!$I:$I,"Mirage",'Таблиця 1'!$J:$J,"MK-24")+SUMIFS('Таблиця 1'!$K:$K,'Таблиця 1'!$B:$B,$A20,'Таблиця 1'!$I:$I,"F-16",'Таблиця 1'!$J:$J,"MK-24")+SUMIFS('Таблиця 1'!$K:$K,'Таблиця 1'!$B:$B,$A20,'Таблиця 1'!$I:$I,"МіГ-29",'Таблиця 1'!$J:$J,"MK-24")+SUMIFS('Таблиця 1'!$K:$K,'Таблиця 1'!$B:$B,$A20,'Таблиця 1'!$I:$I,"Су-25",'Таблиця 1'!$J:$J,"MK-24")+SUMIFS('Таблиця 1'!$K:$K,'Таблиця 1'!$B:$B,$A20,'Таблиця 1'!$I:$I,"Су-27",'Таблиця 1'!$J:$J,"MK-24"))</f>
        <v/>
      </c>
      <c r="R20">
        <f>IF($A20="","",COUNTIFS('Таблиця 1'!$B:$B,$A20,'Таблиця 1'!$I:$I,"Mirage",'Таблиця 1'!$L:$L,"Уражено")+COUNTIFS('Таблиця 1'!$B:$B,$A20,'Таблиця 1'!$I:$I,"F-16",'Таблиця 1'!$L:$L,"Уражено")+COUNTIFS('Таблиця 1'!$B:$B,$A20,'Таблиця 1'!$I:$I,"МіГ-29",'Таблиця 1'!$L:$L,"Уражено")+COUNTIFS('Таблиця 1'!$B:$B,$A20,'Таблиця 1'!$I:$I,"Су-25",'Таблиця 1'!$L:$L,"Уражено")+COUNTIFS('Таблиця 1'!$B:$B,$A20,'Таблиця 1'!$I:$I,"Су-27",'Таблиця 1'!$L:$L,"Уражено"))</f>
        <v/>
      </c>
      <c r="S20">
        <f>IF($A20="","",COUNTIFS('Таблиця 1'!$B:$B,$A20,'Таблиця 1'!$I:$I,"Mirage",'Таблиця 1'!$L:$L,"НЕ уражено")+COUNTIFS('Таблиця 1'!$B:$B,$A20,'Таблиця 1'!$I:$I,"F-16",'Таблиця 1'!$L:$L,"НЕ уражено")+COUNTIFS('Таблиця 1'!$B:$B,$A20,'Таблиця 1'!$I:$I,"МіГ-29",'Таблиця 1'!$L:$L,"НЕ уражено")+COUNTIFS('Таблиця 1'!$B:$B,$A20,'Таблиця 1'!$I:$I,"Су-25",'Таблиця 1'!$L:$L,"НЕ уражено")+COUNTIFS('Таблиця 1'!$B:$B,$A20,'Таблиця 1'!$I:$I,"Су-27",'Таблиця 1'!$L:$L,"НЕ уражено"))</f>
        <v/>
      </c>
      <c r="T20">
        <f>IF($A20="","",COUNTIFS('Таблиця 1'!$B:$B,$A20,'Таблиця 1'!$I:$I,"Mirage",'Таблиця 1'!$L:$L,"Дорозвідується")+COUNTIFS('Таблиця 1'!$B:$B,$A20,'Таблиця 1'!$I:$I,"F-16",'Таблиця 1'!$L:$L,"Дорозвідується")+COUNTIFS('Таблиця 1'!$B:$B,$A20,'Таблиця 1'!$I:$I,"МіГ-29",'Таблиця 1'!$L:$L,"Дорозвідується")+COUNTIFS('Таблиця 1'!$B:$B,$A20,'Таблиця 1'!$I:$I,"Су-25",'Таблиця 1'!$L:$L,"Дорозвідується")+COUNTIFS('Таблиця 1'!$B:$B,$A20,'Таблиця 1'!$I:$I,"Су-27",'Таблиця 1'!$L:$L,"Дорозвідується"))</f>
        <v/>
      </c>
    </row>
    <row r="21">
      <c r="A21" s="273">
        <f>IF(A20="","",IF(A20+1&gt;MAX('Таблиця 1'!$B:$B),"",A20+1))</f>
        <v/>
      </c>
      <c r="B21">
        <f>IF($A21="","",COUNTIFS('Таблиця 1'!$B:$B,$A21,'Таблиця 1'!$I:$I,"Mirage")+COUNTIFS('Таблиця 1'!$B:$B,$A21,'Таблиця 1'!$I:$I,"F-16")+COUNTIFS('Таблиця 1'!$B:$B,$A21,'Таблиця 1'!$I:$I,"МіГ-29")+COUNTIFS('Таблиця 1'!$B:$B,$A21,'Таблиця 1'!$I:$I,"Су-25")+COUNTIFS('Таблиця 1'!$B:$B,$A21,'Таблиця 1'!$I:$I,"Су-27"))</f>
        <v/>
      </c>
      <c r="C21">
        <f>IF($A21="","",COUNTIFS('Таблиця 1'!$B:$B,$A21,'Таблиця 1'!$I:$I,"Mirage"))</f>
        <v/>
      </c>
      <c r="D21">
        <f>IF($A21="","",COUNTIFS('Таблиця 1'!$B:$B,$A21,'Таблиця 1'!$I:$I,"F-16"))</f>
        <v/>
      </c>
      <c r="E21">
        <f>IF($A21="","",COUNTIFS('Таблиця 1'!$B:$B,$A21,'Таблиця 1'!$I:$I,"МіГ-29"))</f>
        <v/>
      </c>
      <c r="F21">
        <f>IF($A21="","",COUNTIFS('Таблиця 1'!$B:$B,$A21,'Таблиця 1'!$I:$I,"Су-25"))</f>
        <v/>
      </c>
      <c r="G21">
        <f>IF($A21="","",COUNTIFS('Таблиця 1'!$B:$B,$A21,'Таблиця 1'!$I:$I,"Су-27"))</f>
        <v/>
      </c>
      <c r="H21">
        <f>IF($A21="","",SUMIFS('Таблиця 1'!$K:$K,'Таблиця 1'!$B:$B,$A21,'Таблиця 1'!$I:$I,"Mirage",'Таблиця 1'!$J:$J,"AGM-88")+SUMIFS('Таблиця 1'!$K:$K,'Таблиця 1'!$B:$B,$A21,'Таблиця 1'!$I:$I,"F-16",'Таблиця 1'!$J:$J,"AGM-88")+SUMIFS('Таблиця 1'!$K:$K,'Таблиця 1'!$B:$B,$A21,'Таблиця 1'!$I:$I,"МіГ-29",'Таблиця 1'!$J:$J,"AGM-88")+SUMIFS('Таблиця 1'!$K:$K,'Таблиця 1'!$B:$B,$A21,'Таблиця 1'!$I:$I,"Су-25",'Таблиця 1'!$J:$J,"AGM-88")+SUMIFS('Таблиця 1'!$K:$K,'Таблиця 1'!$B:$B,$A21,'Таблиця 1'!$I:$I,"Су-27",'Таблиця 1'!$J:$J,"AGM-88"))</f>
        <v/>
      </c>
      <c r="I21">
        <f>IF($A21="","",SUMIFS('Таблиця 1'!$K:$K,'Таблиця 1'!$B:$B,$A21,'Таблиця 1'!$I:$I,"Mirage",'Таблиця 1'!$J:$J,"AASM-250")+SUMIFS('Таблиця 1'!$K:$K,'Таблиця 1'!$B:$B,$A21,'Таблиця 1'!$I:$I,"F-16",'Таблиця 1'!$J:$J,"AASM-250")+SUMIFS('Таблиця 1'!$K:$K,'Таблиця 1'!$B:$B,$A21,'Таблиця 1'!$I:$I,"МіГ-29",'Таблиця 1'!$J:$J,"AASM-250")+SUMIFS('Таблиця 1'!$K:$K,'Таблиця 1'!$B:$B,$A21,'Таблиця 1'!$I:$I,"Су-25",'Таблиця 1'!$J:$J,"AASM-250")+SUMIFS('Таблиця 1'!$K:$K,'Таблиця 1'!$B:$B,$A21,'Таблиця 1'!$I:$I,"Су-27",'Таблиця 1'!$J:$J,"AASM-250"))</f>
        <v/>
      </c>
      <c r="J21">
        <f>IF($A21="","",SUMIFS('Таблиця 1'!$K:$K,'Таблиця 1'!$B:$B,$A21,'Таблиця 1'!$I:$I,"Mirage",'Таблиця 1'!$J:$J,"GBU-39")+SUMIFS('Таблиця 1'!$K:$K,'Таблиця 1'!$B:$B,$A21,'Таблиця 1'!$I:$I,"F-16",'Таблиця 1'!$J:$J,"GBU-39")+SUMIFS('Таблиця 1'!$K:$K,'Таблиця 1'!$B:$B,$A21,'Таблиця 1'!$I:$I,"МіГ-29",'Таблиця 1'!$J:$J,"GBU-39")+SUMIFS('Таблиця 1'!$K:$K,'Таблиця 1'!$B:$B,$A21,'Таблиця 1'!$I:$I,"Су-25",'Таблиця 1'!$J:$J,"GBU-39")+SUMIFS('Таблиця 1'!$K:$K,'Таблиця 1'!$B:$B,$A21,'Таблиця 1'!$I:$I,"Су-27",'Таблиця 1'!$J:$J,"GBU-39"))</f>
        <v/>
      </c>
      <c r="K21">
        <f>IF($A21="","",SUMIFS('Таблиця 1'!$K:$K,'Таблиця 1'!$B:$B,$A21,'Таблиця 1'!$I:$I,"Mirage",'Таблиця 1'!$J:$J,"BLU-140")+SUMIFS('Таблиця 1'!$K:$K,'Таблиця 1'!$B:$B,$A21,'Таблиця 1'!$I:$I,"F-16",'Таблиця 1'!$J:$J,"BLU-140")+SUMIFS('Таблиця 1'!$K:$K,'Таблиця 1'!$B:$B,$A21,'Таблиця 1'!$I:$I,"МіГ-29",'Таблиця 1'!$J:$J,"BLU-140")+SUMIFS('Таблиця 1'!$K:$K,'Таблиця 1'!$B:$B,$A21,'Таблиця 1'!$I:$I,"Су-25",'Таблиця 1'!$J:$J,"BLU-140")+SUMIFS('Таблиця 1'!$K:$K,'Таблиця 1'!$B:$B,$A21,'Таблиця 1'!$I:$I,"Су-27",'Таблиця 1'!$J:$J,"BLU-140"))</f>
        <v/>
      </c>
      <c r="L21">
        <f>IF($A21="","",SUMIFS('Таблиця 1'!$K:$K,'Таблиця 1'!$B:$B,$A21,'Таблиця 1'!$I:$I,"Mirage",'Таблиця 1'!$J:$J,"GBU-65")+SUMIFS('Таблиця 1'!$K:$K,'Таблиця 1'!$B:$B,$A21,'Таблиця 1'!$I:$I,"F-16",'Таблиця 1'!$J:$J,"GBU-65")+SUMIFS('Таблиця 1'!$K:$K,'Таблиця 1'!$B:$B,$A21,'Таблиця 1'!$I:$I,"МіГ-29",'Таблиця 1'!$J:$J,"GBU-65")+SUMIFS('Таблиця 1'!$K:$K,'Таблиця 1'!$B:$B,$A21,'Таблиця 1'!$I:$I,"Су-25",'Таблиця 1'!$J:$J,"GBU-65")+SUMIFS('Таблиця 1'!$K:$K,'Таблиця 1'!$B:$B,$A21,'Таблиця 1'!$I:$I,"Су-27",'Таблиця 1'!$J:$J,"GBU-65"))</f>
        <v/>
      </c>
      <c r="M21">
        <f>IF($A21="","",SUMIFS('Таблиця 1'!$K:$K,'Таблиця 1'!$B:$B,$A21,'Таблиця 1'!$I:$I,"Mirage",'Таблиця 1'!$J:$J,"GBU-62")+SUMIFS('Таблиця 1'!$K:$K,'Таблиця 1'!$B:$B,$A21,'Таблиця 1'!$I:$I,"F-16",'Таблиця 1'!$J:$J,"GBU-62")+SUMIFS('Таблиця 1'!$K:$K,'Таблиця 1'!$B:$B,$A21,'Таблиця 1'!$I:$I,"МіГ-29",'Таблиця 1'!$J:$J,"GBU-62")+SUMIFS('Таблиця 1'!$K:$K,'Таблиця 1'!$B:$B,$A21,'Таблиця 1'!$I:$I,"Су-25",'Таблиця 1'!$J:$J,"GBU-62")+SUMIFS('Таблиця 1'!$K:$K,'Таблиця 1'!$B:$B,$A21,'Таблиця 1'!$I:$I,"Су-27",'Таблиця 1'!$J:$J,"GBU-62"))</f>
        <v/>
      </c>
      <c r="N21">
        <f>IF($A21="","",SUMIFS('Таблиця 1'!$K:$K,'Таблиця 1'!$B:$B,$A21,'Таблиця 1'!$I:$I,"Mirage",'Таблиця 1'!$J:$J,"GBU-64")+SUMIFS('Таблиця 1'!$K:$K,'Таблиця 1'!$B:$B,$A21,'Таблиця 1'!$I:$I,"F-16",'Таблиця 1'!$J:$J,"GBU-64")+SUMIFS('Таблиця 1'!$K:$K,'Таблиця 1'!$B:$B,$A21,'Таблиця 1'!$I:$I,"МіГ-29",'Таблиця 1'!$J:$J,"GBU-64")+SUMIFS('Таблиця 1'!$K:$K,'Таблиця 1'!$B:$B,$A21,'Таблиця 1'!$I:$I,"Су-25",'Таблиця 1'!$J:$J,"GBU-64")+SUMIFS('Таблиця 1'!$K:$K,'Таблиця 1'!$B:$B,$A21,'Таблиця 1'!$I:$I,"Су-27",'Таблиця 1'!$J:$J,"GBU-64"))</f>
        <v/>
      </c>
      <c r="O21">
        <f>IF($A21="","",SUMIFS('Таблиця 1'!$K:$K,'Таблиця 1'!$B:$B,$A21,'Таблиця 1'!$I:$I,"Mirage",'Таблиця 1'!$J:$J,"C-13")+SUMIFS('Таблиця 1'!$K:$K,'Таблиця 1'!$B:$B,$A21,'Таблиця 1'!$I:$I,"F-16",'Таблиця 1'!$J:$J,"C-13")+SUMIFS('Таблиця 1'!$K:$K,'Таблиця 1'!$B:$B,$A21,'Таблиця 1'!$I:$I,"МіГ-29",'Таблиця 1'!$J:$J,"C-13")+SUMIFS('Таблиця 1'!$K:$K,'Таблиця 1'!$B:$B,$A21,'Таблиця 1'!$I:$I,"Су-25",'Таблиця 1'!$J:$J,"C-13")+SUMIFS('Таблиця 1'!$K:$K,'Таблиця 1'!$B:$B,$A21,'Таблиця 1'!$I:$I,"Су-27",'Таблиця 1'!$J:$J,"C-13"))</f>
        <v/>
      </c>
      <c r="P21">
        <f>IF($A21="","",SUMIFS('Таблиця 1'!$K:$K,'Таблиця 1'!$B:$B,$A21,'Таблиця 1'!$I:$I,"Mirage",'Таблиця 1'!$J:$J,"MK-32")+SUMIFS('Таблиця 1'!$K:$K,'Таблиця 1'!$B:$B,$A21,'Таблиця 1'!$I:$I,"F-16",'Таблиця 1'!$J:$J,"MK-32")+SUMIFS('Таблиця 1'!$K:$K,'Таблиця 1'!$B:$B,$A21,'Таблиця 1'!$I:$I,"МіГ-29",'Таблиця 1'!$J:$J,"MK-32")+SUMIFS('Таблиця 1'!$K:$K,'Таблиця 1'!$B:$B,$A21,'Таблиця 1'!$I:$I,"Су-25",'Таблиця 1'!$J:$J,"MK-32")+SUMIFS('Таблиця 1'!$K:$K,'Таблиця 1'!$B:$B,$A21,'Таблиця 1'!$I:$I,"Су-27",'Таблиця 1'!$J:$J,"MK-32"))</f>
        <v/>
      </c>
      <c r="Q21">
        <f>IF($A21="","",SUMIFS('Таблиця 1'!$K:$K,'Таблиця 1'!$B:$B,$A21,'Таблиця 1'!$I:$I,"Mirage",'Таблиця 1'!$J:$J,"MK-24")+SUMIFS('Таблиця 1'!$K:$K,'Таблиця 1'!$B:$B,$A21,'Таблиця 1'!$I:$I,"F-16",'Таблиця 1'!$J:$J,"MK-24")+SUMIFS('Таблиця 1'!$K:$K,'Таблиця 1'!$B:$B,$A21,'Таблиця 1'!$I:$I,"МіГ-29",'Таблиця 1'!$J:$J,"MK-24")+SUMIFS('Таблиця 1'!$K:$K,'Таблиця 1'!$B:$B,$A21,'Таблиця 1'!$I:$I,"Су-25",'Таблиця 1'!$J:$J,"MK-24")+SUMIFS('Таблиця 1'!$K:$K,'Таблиця 1'!$B:$B,$A21,'Таблиця 1'!$I:$I,"Су-27",'Таблиця 1'!$J:$J,"MK-24"))</f>
        <v/>
      </c>
      <c r="R21">
        <f>IF($A21="","",COUNTIFS('Таблиця 1'!$B:$B,$A21,'Таблиця 1'!$I:$I,"Mirage",'Таблиця 1'!$L:$L,"Уражено")+COUNTIFS('Таблиця 1'!$B:$B,$A21,'Таблиця 1'!$I:$I,"F-16",'Таблиця 1'!$L:$L,"Уражено")+COUNTIFS('Таблиця 1'!$B:$B,$A21,'Таблиця 1'!$I:$I,"МіГ-29",'Таблиця 1'!$L:$L,"Уражено")+COUNTIFS('Таблиця 1'!$B:$B,$A21,'Таблиця 1'!$I:$I,"Су-25",'Таблиця 1'!$L:$L,"Уражено")+COUNTIFS('Таблиця 1'!$B:$B,$A21,'Таблиця 1'!$I:$I,"Су-27",'Таблиця 1'!$L:$L,"Уражено"))</f>
        <v/>
      </c>
      <c r="S21">
        <f>IF($A21="","",COUNTIFS('Таблиця 1'!$B:$B,$A21,'Таблиця 1'!$I:$I,"Mirage",'Таблиця 1'!$L:$L,"НЕ уражено")+COUNTIFS('Таблиця 1'!$B:$B,$A21,'Таблиця 1'!$I:$I,"F-16",'Таблиця 1'!$L:$L,"НЕ уражено")+COUNTIFS('Таблиця 1'!$B:$B,$A21,'Таблиця 1'!$I:$I,"МіГ-29",'Таблиця 1'!$L:$L,"НЕ уражено")+COUNTIFS('Таблиця 1'!$B:$B,$A21,'Таблиця 1'!$I:$I,"Су-25",'Таблиця 1'!$L:$L,"НЕ уражено")+COUNTIFS('Таблиця 1'!$B:$B,$A21,'Таблиця 1'!$I:$I,"Су-27",'Таблиця 1'!$L:$L,"НЕ уражено"))</f>
        <v/>
      </c>
      <c r="T21">
        <f>IF($A21="","",COUNTIFS('Таблиця 1'!$B:$B,$A21,'Таблиця 1'!$I:$I,"Mirage",'Таблиця 1'!$L:$L,"Дорозвідується")+COUNTIFS('Таблиця 1'!$B:$B,$A21,'Таблиця 1'!$I:$I,"F-16",'Таблиця 1'!$L:$L,"Дорозвідується")+COUNTIFS('Таблиця 1'!$B:$B,$A21,'Таблиця 1'!$I:$I,"МіГ-29",'Таблиця 1'!$L:$L,"Дорозвідується")+COUNTIFS('Таблиця 1'!$B:$B,$A21,'Таблиця 1'!$I:$I,"Су-25",'Таблиця 1'!$L:$L,"Дорозвідується")+COUNTIFS('Таблиця 1'!$B:$B,$A21,'Таблиця 1'!$I:$I,"Су-27",'Таблиця 1'!$L:$L,"Дорозвідується"))</f>
        <v/>
      </c>
    </row>
    <row r="22">
      <c r="A22" s="273">
        <f>IF(A21="","",IF(A21+1&gt;MAX('Таблиця 1'!$B:$B),"",A21+1))</f>
        <v/>
      </c>
      <c r="B22">
        <f>IF($A22="","",COUNTIFS('Таблиця 1'!$B:$B,$A22,'Таблиця 1'!$I:$I,"Mirage")+COUNTIFS('Таблиця 1'!$B:$B,$A22,'Таблиця 1'!$I:$I,"F-16")+COUNTIFS('Таблиця 1'!$B:$B,$A22,'Таблиця 1'!$I:$I,"МіГ-29")+COUNTIFS('Таблиця 1'!$B:$B,$A22,'Таблиця 1'!$I:$I,"Су-25")+COUNTIFS('Таблиця 1'!$B:$B,$A22,'Таблиця 1'!$I:$I,"Су-27"))</f>
        <v/>
      </c>
      <c r="C22">
        <f>IF($A22="","",COUNTIFS('Таблиця 1'!$B:$B,$A22,'Таблиця 1'!$I:$I,"Mirage"))</f>
        <v/>
      </c>
      <c r="D22">
        <f>IF($A22="","",COUNTIFS('Таблиця 1'!$B:$B,$A22,'Таблиця 1'!$I:$I,"F-16"))</f>
        <v/>
      </c>
      <c r="E22">
        <f>IF($A22="","",COUNTIFS('Таблиця 1'!$B:$B,$A22,'Таблиця 1'!$I:$I,"МіГ-29"))</f>
        <v/>
      </c>
      <c r="F22">
        <f>IF($A22="","",COUNTIFS('Таблиця 1'!$B:$B,$A22,'Таблиця 1'!$I:$I,"Су-25"))</f>
        <v/>
      </c>
      <c r="G22">
        <f>IF($A22="","",COUNTIFS('Таблиця 1'!$B:$B,$A22,'Таблиця 1'!$I:$I,"Су-27"))</f>
        <v/>
      </c>
      <c r="H22">
        <f>IF($A22="","",SUMIFS('Таблиця 1'!$K:$K,'Таблиця 1'!$B:$B,$A22,'Таблиця 1'!$I:$I,"Mirage",'Таблиця 1'!$J:$J,"AGM-88")+SUMIFS('Таблиця 1'!$K:$K,'Таблиця 1'!$B:$B,$A22,'Таблиця 1'!$I:$I,"F-16",'Таблиця 1'!$J:$J,"AGM-88")+SUMIFS('Таблиця 1'!$K:$K,'Таблиця 1'!$B:$B,$A22,'Таблиця 1'!$I:$I,"МіГ-29",'Таблиця 1'!$J:$J,"AGM-88")+SUMIFS('Таблиця 1'!$K:$K,'Таблиця 1'!$B:$B,$A22,'Таблиця 1'!$I:$I,"Су-25",'Таблиця 1'!$J:$J,"AGM-88")+SUMIFS('Таблиця 1'!$K:$K,'Таблиця 1'!$B:$B,$A22,'Таблиця 1'!$I:$I,"Су-27",'Таблиця 1'!$J:$J,"AGM-88"))</f>
        <v/>
      </c>
      <c r="I22">
        <f>IF($A22="","",SUMIFS('Таблиця 1'!$K:$K,'Таблиця 1'!$B:$B,$A22,'Таблиця 1'!$I:$I,"Mirage",'Таблиця 1'!$J:$J,"AASM-250")+SUMIFS('Таблиця 1'!$K:$K,'Таблиця 1'!$B:$B,$A22,'Таблиця 1'!$I:$I,"F-16",'Таблиця 1'!$J:$J,"AASM-250")+SUMIFS('Таблиця 1'!$K:$K,'Таблиця 1'!$B:$B,$A22,'Таблиця 1'!$I:$I,"МіГ-29",'Таблиця 1'!$J:$J,"AASM-250")+SUMIFS('Таблиця 1'!$K:$K,'Таблиця 1'!$B:$B,$A22,'Таблиця 1'!$I:$I,"Су-25",'Таблиця 1'!$J:$J,"AASM-250")+SUMIFS('Таблиця 1'!$K:$K,'Таблиця 1'!$B:$B,$A22,'Таблиця 1'!$I:$I,"Су-27",'Таблиця 1'!$J:$J,"AASM-250"))</f>
        <v/>
      </c>
      <c r="J22">
        <f>IF($A22="","",SUMIFS('Таблиця 1'!$K:$K,'Таблиця 1'!$B:$B,$A22,'Таблиця 1'!$I:$I,"Mirage",'Таблиця 1'!$J:$J,"GBU-39")+SUMIFS('Таблиця 1'!$K:$K,'Таблиця 1'!$B:$B,$A22,'Таблиця 1'!$I:$I,"F-16",'Таблиця 1'!$J:$J,"GBU-39")+SUMIFS('Таблиця 1'!$K:$K,'Таблиця 1'!$B:$B,$A22,'Таблиця 1'!$I:$I,"МіГ-29",'Таблиця 1'!$J:$J,"GBU-39")+SUMIFS('Таблиця 1'!$K:$K,'Таблиця 1'!$B:$B,$A22,'Таблиця 1'!$I:$I,"Су-25",'Таблиця 1'!$J:$J,"GBU-39")+SUMIFS('Таблиця 1'!$K:$K,'Таблиця 1'!$B:$B,$A22,'Таблиця 1'!$I:$I,"Су-27",'Таблиця 1'!$J:$J,"GBU-39"))</f>
        <v/>
      </c>
      <c r="K22">
        <f>IF($A22="","",SUMIFS('Таблиця 1'!$K:$K,'Таблиця 1'!$B:$B,$A22,'Таблиця 1'!$I:$I,"Mirage",'Таблиця 1'!$J:$J,"BLU-140")+SUMIFS('Таблиця 1'!$K:$K,'Таблиця 1'!$B:$B,$A22,'Таблиця 1'!$I:$I,"F-16",'Таблиця 1'!$J:$J,"BLU-140")+SUMIFS('Таблиця 1'!$K:$K,'Таблиця 1'!$B:$B,$A22,'Таблиця 1'!$I:$I,"МіГ-29",'Таблиця 1'!$J:$J,"BLU-140")+SUMIFS('Таблиця 1'!$K:$K,'Таблиця 1'!$B:$B,$A22,'Таблиця 1'!$I:$I,"Су-25",'Таблиця 1'!$J:$J,"BLU-140")+SUMIFS('Таблиця 1'!$K:$K,'Таблиця 1'!$B:$B,$A22,'Таблиця 1'!$I:$I,"Су-27",'Таблиця 1'!$J:$J,"BLU-140"))</f>
        <v/>
      </c>
      <c r="L22">
        <f>IF($A22="","",SUMIFS('Таблиця 1'!$K:$K,'Таблиця 1'!$B:$B,$A22,'Таблиця 1'!$I:$I,"Mirage",'Таблиця 1'!$J:$J,"GBU-65")+SUMIFS('Таблиця 1'!$K:$K,'Таблиця 1'!$B:$B,$A22,'Таблиця 1'!$I:$I,"F-16",'Таблиця 1'!$J:$J,"GBU-65")+SUMIFS('Таблиця 1'!$K:$K,'Таблиця 1'!$B:$B,$A22,'Таблиця 1'!$I:$I,"МіГ-29",'Таблиця 1'!$J:$J,"GBU-65")+SUMIFS('Таблиця 1'!$K:$K,'Таблиця 1'!$B:$B,$A22,'Таблиця 1'!$I:$I,"Су-25",'Таблиця 1'!$J:$J,"GBU-65")+SUMIFS('Таблиця 1'!$K:$K,'Таблиця 1'!$B:$B,$A22,'Таблиця 1'!$I:$I,"Су-27",'Таблиця 1'!$J:$J,"GBU-65"))</f>
        <v/>
      </c>
      <c r="M22">
        <f>IF($A22="","",SUMIFS('Таблиця 1'!$K:$K,'Таблиця 1'!$B:$B,$A22,'Таблиця 1'!$I:$I,"Mirage",'Таблиця 1'!$J:$J,"GBU-62")+SUMIFS('Таблиця 1'!$K:$K,'Таблиця 1'!$B:$B,$A22,'Таблиця 1'!$I:$I,"F-16",'Таблиця 1'!$J:$J,"GBU-62")+SUMIFS('Таблиця 1'!$K:$K,'Таблиця 1'!$B:$B,$A22,'Таблиця 1'!$I:$I,"МіГ-29",'Таблиця 1'!$J:$J,"GBU-62")+SUMIFS('Таблиця 1'!$K:$K,'Таблиця 1'!$B:$B,$A22,'Таблиця 1'!$I:$I,"Су-25",'Таблиця 1'!$J:$J,"GBU-62")+SUMIFS('Таблиця 1'!$K:$K,'Таблиця 1'!$B:$B,$A22,'Таблиця 1'!$I:$I,"Су-27",'Таблиця 1'!$J:$J,"GBU-62"))</f>
        <v/>
      </c>
      <c r="N22">
        <f>IF($A22="","",SUMIFS('Таблиця 1'!$K:$K,'Таблиця 1'!$B:$B,$A22,'Таблиця 1'!$I:$I,"Mirage",'Таблиця 1'!$J:$J,"GBU-64")+SUMIFS('Таблиця 1'!$K:$K,'Таблиця 1'!$B:$B,$A22,'Таблиця 1'!$I:$I,"F-16",'Таблиця 1'!$J:$J,"GBU-64")+SUMIFS('Таблиця 1'!$K:$K,'Таблиця 1'!$B:$B,$A22,'Таблиця 1'!$I:$I,"МіГ-29",'Таблиця 1'!$J:$J,"GBU-64")+SUMIFS('Таблиця 1'!$K:$K,'Таблиця 1'!$B:$B,$A22,'Таблиця 1'!$I:$I,"Су-25",'Таблиця 1'!$J:$J,"GBU-64")+SUMIFS('Таблиця 1'!$K:$K,'Таблиця 1'!$B:$B,$A22,'Таблиця 1'!$I:$I,"Су-27",'Таблиця 1'!$J:$J,"GBU-64"))</f>
        <v/>
      </c>
      <c r="O22">
        <f>IF($A22="","",SUMIFS('Таблиця 1'!$K:$K,'Таблиця 1'!$B:$B,$A22,'Таблиця 1'!$I:$I,"Mirage",'Таблиця 1'!$J:$J,"C-13")+SUMIFS('Таблиця 1'!$K:$K,'Таблиця 1'!$B:$B,$A22,'Таблиця 1'!$I:$I,"F-16",'Таблиця 1'!$J:$J,"C-13")+SUMIFS('Таблиця 1'!$K:$K,'Таблиця 1'!$B:$B,$A22,'Таблиця 1'!$I:$I,"МіГ-29",'Таблиця 1'!$J:$J,"C-13")+SUMIFS('Таблиця 1'!$K:$K,'Таблиця 1'!$B:$B,$A22,'Таблиця 1'!$I:$I,"Су-25",'Таблиця 1'!$J:$J,"C-13")+SUMIFS('Таблиця 1'!$K:$K,'Таблиця 1'!$B:$B,$A22,'Таблиця 1'!$I:$I,"Су-27",'Таблиця 1'!$J:$J,"C-13"))</f>
        <v/>
      </c>
      <c r="P22">
        <f>IF($A22="","",SUMIFS('Таблиця 1'!$K:$K,'Таблиця 1'!$B:$B,$A22,'Таблиця 1'!$I:$I,"Mirage",'Таблиця 1'!$J:$J,"MK-32")+SUMIFS('Таблиця 1'!$K:$K,'Таблиця 1'!$B:$B,$A22,'Таблиця 1'!$I:$I,"F-16",'Таблиця 1'!$J:$J,"MK-32")+SUMIFS('Таблиця 1'!$K:$K,'Таблиця 1'!$B:$B,$A22,'Таблиця 1'!$I:$I,"МіГ-29",'Таблиця 1'!$J:$J,"MK-32")+SUMIFS('Таблиця 1'!$K:$K,'Таблиця 1'!$B:$B,$A22,'Таблиця 1'!$I:$I,"Су-25",'Таблиця 1'!$J:$J,"MK-32")+SUMIFS('Таблиця 1'!$K:$K,'Таблиця 1'!$B:$B,$A22,'Таблиця 1'!$I:$I,"Су-27",'Таблиця 1'!$J:$J,"MK-32"))</f>
        <v/>
      </c>
      <c r="Q22">
        <f>IF($A22="","",SUMIFS('Таблиця 1'!$K:$K,'Таблиця 1'!$B:$B,$A22,'Таблиця 1'!$I:$I,"Mirage",'Таблиця 1'!$J:$J,"MK-24")+SUMIFS('Таблиця 1'!$K:$K,'Таблиця 1'!$B:$B,$A22,'Таблиця 1'!$I:$I,"F-16",'Таблиця 1'!$J:$J,"MK-24")+SUMIFS('Таблиця 1'!$K:$K,'Таблиця 1'!$B:$B,$A22,'Таблиця 1'!$I:$I,"МіГ-29",'Таблиця 1'!$J:$J,"MK-24")+SUMIFS('Таблиця 1'!$K:$K,'Таблиця 1'!$B:$B,$A22,'Таблиця 1'!$I:$I,"Су-25",'Таблиця 1'!$J:$J,"MK-24")+SUMIFS('Таблиця 1'!$K:$K,'Таблиця 1'!$B:$B,$A22,'Таблиця 1'!$I:$I,"Су-27",'Таблиця 1'!$J:$J,"MK-24"))</f>
        <v/>
      </c>
      <c r="R22">
        <f>IF($A22="","",COUNTIFS('Таблиця 1'!$B:$B,$A22,'Таблиця 1'!$I:$I,"Mirage",'Таблиця 1'!$L:$L,"Уражено")+COUNTIFS('Таблиця 1'!$B:$B,$A22,'Таблиця 1'!$I:$I,"F-16",'Таблиця 1'!$L:$L,"Уражено")+COUNTIFS('Таблиця 1'!$B:$B,$A22,'Таблиця 1'!$I:$I,"МіГ-29",'Таблиця 1'!$L:$L,"Уражено")+COUNTIFS('Таблиця 1'!$B:$B,$A22,'Таблиця 1'!$I:$I,"Су-25",'Таблиця 1'!$L:$L,"Уражено")+COUNTIFS('Таблиця 1'!$B:$B,$A22,'Таблиця 1'!$I:$I,"Су-27",'Таблиця 1'!$L:$L,"Уражено"))</f>
        <v/>
      </c>
      <c r="S22">
        <f>IF($A22="","",COUNTIFS('Таблиця 1'!$B:$B,$A22,'Таблиця 1'!$I:$I,"Mirage",'Таблиця 1'!$L:$L,"НЕ уражено")+COUNTIFS('Таблиця 1'!$B:$B,$A22,'Таблиця 1'!$I:$I,"F-16",'Таблиця 1'!$L:$L,"НЕ уражено")+COUNTIFS('Таблиця 1'!$B:$B,$A22,'Таблиця 1'!$I:$I,"МіГ-29",'Таблиця 1'!$L:$L,"НЕ уражено")+COUNTIFS('Таблиця 1'!$B:$B,$A22,'Таблиця 1'!$I:$I,"Су-25",'Таблиця 1'!$L:$L,"НЕ уражено")+COUNTIFS('Таблиця 1'!$B:$B,$A22,'Таблиця 1'!$I:$I,"Су-27",'Таблиця 1'!$L:$L,"НЕ уражено"))</f>
        <v/>
      </c>
      <c r="T22">
        <f>IF($A22="","",COUNTIFS('Таблиця 1'!$B:$B,$A22,'Таблиця 1'!$I:$I,"Mirage",'Таблиця 1'!$L:$L,"Дорозвідується")+COUNTIFS('Таблиця 1'!$B:$B,$A22,'Таблиця 1'!$I:$I,"F-16",'Таблиця 1'!$L:$L,"Дорозвідується")+COUNTIFS('Таблиця 1'!$B:$B,$A22,'Таблиця 1'!$I:$I,"МіГ-29",'Таблиця 1'!$L:$L,"Дорозвідується")+COUNTIFS('Таблиця 1'!$B:$B,$A22,'Таблиця 1'!$I:$I,"Су-25",'Таблиця 1'!$L:$L,"Дорозвідується")+COUNTIFS('Таблиця 1'!$B:$B,$A22,'Таблиця 1'!$I:$I,"Су-27",'Таблиця 1'!$L:$L,"Дорозвідується"))</f>
        <v/>
      </c>
    </row>
    <row r="23">
      <c r="A23" s="273">
        <f>IF(A22="","",IF(A22+1&gt;MAX('Таблиця 1'!$B:$B),"",A22+1))</f>
        <v/>
      </c>
      <c r="B23">
        <f>IF($A23="","",COUNTIFS('Таблиця 1'!$B:$B,$A23,'Таблиця 1'!$I:$I,"Mirage")+COUNTIFS('Таблиця 1'!$B:$B,$A23,'Таблиця 1'!$I:$I,"F-16")+COUNTIFS('Таблиця 1'!$B:$B,$A23,'Таблиця 1'!$I:$I,"МіГ-29")+COUNTIFS('Таблиця 1'!$B:$B,$A23,'Таблиця 1'!$I:$I,"Су-25")+COUNTIFS('Таблиця 1'!$B:$B,$A23,'Таблиця 1'!$I:$I,"Су-27"))</f>
        <v/>
      </c>
      <c r="C23">
        <f>IF($A23="","",COUNTIFS('Таблиця 1'!$B:$B,$A23,'Таблиця 1'!$I:$I,"Mirage"))</f>
        <v/>
      </c>
      <c r="D23">
        <f>IF($A23="","",COUNTIFS('Таблиця 1'!$B:$B,$A23,'Таблиця 1'!$I:$I,"F-16"))</f>
        <v/>
      </c>
      <c r="E23">
        <f>IF($A23="","",COUNTIFS('Таблиця 1'!$B:$B,$A23,'Таблиця 1'!$I:$I,"МіГ-29"))</f>
        <v/>
      </c>
      <c r="F23">
        <f>IF($A23="","",COUNTIFS('Таблиця 1'!$B:$B,$A23,'Таблиця 1'!$I:$I,"Су-25"))</f>
        <v/>
      </c>
      <c r="G23">
        <f>IF($A23="","",COUNTIFS('Таблиця 1'!$B:$B,$A23,'Таблиця 1'!$I:$I,"Су-27"))</f>
        <v/>
      </c>
      <c r="H23">
        <f>IF($A23="","",SUMIFS('Таблиця 1'!$K:$K,'Таблиця 1'!$B:$B,$A23,'Таблиця 1'!$I:$I,"Mirage",'Таблиця 1'!$J:$J,"AGM-88")+SUMIFS('Таблиця 1'!$K:$K,'Таблиця 1'!$B:$B,$A23,'Таблиця 1'!$I:$I,"F-16",'Таблиця 1'!$J:$J,"AGM-88")+SUMIFS('Таблиця 1'!$K:$K,'Таблиця 1'!$B:$B,$A23,'Таблиця 1'!$I:$I,"МіГ-29",'Таблиця 1'!$J:$J,"AGM-88")+SUMIFS('Таблиця 1'!$K:$K,'Таблиця 1'!$B:$B,$A23,'Таблиця 1'!$I:$I,"Су-25",'Таблиця 1'!$J:$J,"AGM-88")+SUMIFS('Таблиця 1'!$K:$K,'Таблиця 1'!$B:$B,$A23,'Таблиця 1'!$I:$I,"Су-27",'Таблиця 1'!$J:$J,"AGM-88"))</f>
        <v/>
      </c>
      <c r="I23">
        <f>IF($A23="","",SUMIFS('Таблиця 1'!$K:$K,'Таблиця 1'!$B:$B,$A23,'Таблиця 1'!$I:$I,"Mirage",'Таблиця 1'!$J:$J,"AASM-250")+SUMIFS('Таблиця 1'!$K:$K,'Таблиця 1'!$B:$B,$A23,'Таблиця 1'!$I:$I,"F-16",'Таблиця 1'!$J:$J,"AASM-250")+SUMIFS('Таблиця 1'!$K:$K,'Таблиця 1'!$B:$B,$A23,'Таблиця 1'!$I:$I,"МіГ-29",'Таблиця 1'!$J:$J,"AASM-250")+SUMIFS('Таблиця 1'!$K:$K,'Таблиця 1'!$B:$B,$A23,'Таблиця 1'!$I:$I,"Су-25",'Таблиця 1'!$J:$J,"AASM-250")+SUMIFS('Таблиця 1'!$K:$K,'Таблиця 1'!$B:$B,$A23,'Таблиця 1'!$I:$I,"Су-27",'Таблиця 1'!$J:$J,"AASM-250"))</f>
        <v/>
      </c>
      <c r="J23">
        <f>IF($A23="","",SUMIFS('Таблиця 1'!$K:$K,'Таблиця 1'!$B:$B,$A23,'Таблиця 1'!$I:$I,"Mirage",'Таблиця 1'!$J:$J,"GBU-39")+SUMIFS('Таблиця 1'!$K:$K,'Таблиця 1'!$B:$B,$A23,'Таблиця 1'!$I:$I,"F-16",'Таблиця 1'!$J:$J,"GBU-39")+SUMIFS('Таблиця 1'!$K:$K,'Таблиця 1'!$B:$B,$A23,'Таблиця 1'!$I:$I,"МіГ-29",'Таблиця 1'!$J:$J,"GBU-39")+SUMIFS('Таблиця 1'!$K:$K,'Таблиця 1'!$B:$B,$A23,'Таблиця 1'!$I:$I,"Су-25",'Таблиця 1'!$J:$J,"GBU-39")+SUMIFS('Таблиця 1'!$K:$K,'Таблиця 1'!$B:$B,$A23,'Таблиця 1'!$I:$I,"Су-27",'Таблиця 1'!$J:$J,"GBU-39"))</f>
        <v/>
      </c>
      <c r="K23">
        <f>IF($A23="","",SUMIFS('Таблиця 1'!$K:$K,'Таблиця 1'!$B:$B,$A23,'Таблиця 1'!$I:$I,"Mirage",'Таблиця 1'!$J:$J,"BLU-140")+SUMIFS('Таблиця 1'!$K:$K,'Таблиця 1'!$B:$B,$A23,'Таблиця 1'!$I:$I,"F-16",'Таблиця 1'!$J:$J,"BLU-140")+SUMIFS('Таблиця 1'!$K:$K,'Таблиця 1'!$B:$B,$A23,'Таблиця 1'!$I:$I,"МіГ-29",'Таблиця 1'!$J:$J,"BLU-140")+SUMIFS('Таблиця 1'!$K:$K,'Таблиця 1'!$B:$B,$A23,'Таблиця 1'!$I:$I,"Су-25",'Таблиця 1'!$J:$J,"BLU-140")+SUMIFS('Таблиця 1'!$K:$K,'Таблиця 1'!$B:$B,$A23,'Таблиця 1'!$I:$I,"Су-27",'Таблиця 1'!$J:$J,"BLU-140"))</f>
        <v/>
      </c>
      <c r="L23">
        <f>IF($A23="","",SUMIFS('Таблиця 1'!$K:$K,'Таблиця 1'!$B:$B,$A23,'Таблиця 1'!$I:$I,"Mirage",'Таблиця 1'!$J:$J,"GBU-65")+SUMIFS('Таблиця 1'!$K:$K,'Таблиця 1'!$B:$B,$A23,'Таблиця 1'!$I:$I,"F-16",'Таблиця 1'!$J:$J,"GBU-65")+SUMIFS('Таблиця 1'!$K:$K,'Таблиця 1'!$B:$B,$A23,'Таблиця 1'!$I:$I,"МіГ-29",'Таблиця 1'!$J:$J,"GBU-65")+SUMIFS('Таблиця 1'!$K:$K,'Таблиця 1'!$B:$B,$A23,'Таблиця 1'!$I:$I,"Су-25",'Таблиця 1'!$J:$J,"GBU-65")+SUMIFS('Таблиця 1'!$K:$K,'Таблиця 1'!$B:$B,$A23,'Таблиця 1'!$I:$I,"Су-27",'Таблиця 1'!$J:$J,"GBU-65"))</f>
        <v/>
      </c>
      <c r="M23">
        <f>IF($A23="","",SUMIFS('Таблиця 1'!$K:$K,'Таблиця 1'!$B:$B,$A23,'Таблиця 1'!$I:$I,"Mirage",'Таблиця 1'!$J:$J,"GBU-62")+SUMIFS('Таблиця 1'!$K:$K,'Таблиця 1'!$B:$B,$A23,'Таблиця 1'!$I:$I,"F-16",'Таблиця 1'!$J:$J,"GBU-62")+SUMIFS('Таблиця 1'!$K:$K,'Таблиця 1'!$B:$B,$A23,'Таблиця 1'!$I:$I,"МіГ-29",'Таблиця 1'!$J:$J,"GBU-62")+SUMIFS('Таблиця 1'!$K:$K,'Таблиця 1'!$B:$B,$A23,'Таблиця 1'!$I:$I,"Су-25",'Таблиця 1'!$J:$J,"GBU-62")+SUMIFS('Таблиця 1'!$K:$K,'Таблиця 1'!$B:$B,$A23,'Таблиця 1'!$I:$I,"Су-27",'Таблиця 1'!$J:$J,"GBU-62"))</f>
        <v/>
      </c>
      <c r="N23">
        <f>IF($A23="","",SUMIFS('Таблиця 1'!$K:$K,'Таблиця 1'!$B:$B,$A23,'Таблиця 1'!$I:$I,"Mirage",'Таблиця 1'!$J:$J,"GBU-64")+SUMIFS('Таблиця 1'!$K:$K,'Таблиця 1'!$B:$B,$A23,'Таблиця 1'!$I:$I,"F-16",'Таблиця 1'!$J:$J,"GBU-64")+SUMIFS('Таблиця 1'!$K:$K,'Таблиця 1'!$B:$B,$A23,'Таблиця 1'!$I:$I,"МіГ-29",'Таблиця 1'!$J:$J,"GBU-64")+SUMIFS('Таблиця 1'!$K:$K,'Таблиця 1'!$B:$B,$A23,'Таблиця 1'!$I:$I,"Су-25",'Таблиця 1'!$J:$J,"GBU-64")+SUMIFS('Таблиця 1'!$K:$K,'Таблиця 1'!$B:$B,$A23,'Таблиця 1'!$I:$I,"Су-27",'Таблиця 1'!$J:$J,"GBU-64"))</f>
        <v/>
      </c>
      <c r="O23">
        <f>IF($A23="","",SUMIFS('Таблиця 1'!$K:$K,'Таблиця 1'!$B:$B,$A23,'Таблиця 1'!$I:$I,"Mirage",'Таблиця 1'!$J:$J,"C-13")+SUMIFS('Таблиця 1'!$K:$K,'Таблиця 1'!$B:$B,$A23,'Таблиця 1'!$I:$I,"F-16",'Таблиця 1'!$J:$J,"C-13")+SUMIFS('Таблиця 1'!$K:$K,'Таблиця 1'!$B:$B,$A23,'Таблиця 1'!$I:$I,"МіГ-29",'Таблиця 1'!$J:$J,"C-13")+SUMIFS('Таблиця 1'!$K:$K,'Таблиця 1'!$B:$B,$A23,'Таблиця 1'!$I:$I,"Су-25",'Таблиця 1'!$J:$J,"C-13")+SUMIFS('Таблиця 1'!$K:$K,'Таблиця 1'!$B:$B,$A23,'Таблиця 1'!$I:$I,"Су-27",'Таблиця 1'!$J:$J,"C-13"))</f>
        <v/>
      </c>
      <c r="P23">
        <f>IF($A23="","",SUMIFS('Таблиця 1'!$K:$K,'Таблиця 1'!$B:$B,$A23,'Таблиця 1'!$I:$I,"Mirage",'Таблиця 1'!$J:$J,"MK-32")+SUMIFS('Таблиця 1'!$K:$K,'Таблиця 1'!$B:$B,$A23,'Таблиця 1'!$I:$I,"F-16",'Таблиця 1'!$J:$J,"MK-32")+SUMIFS('Таблиця 1'!$K:$K,'Таблиця 1'!$B:$B,$A23,'Таблиця 1'!$I:$I,"МіГ-29",'Таблиця 1'!$J:$J,"MK-32")+SUMIFS('Таблиця 1'!$K:$K,'Таблиця 1'!$B:$B,$A23,'Таблиця 1'!$I:$I,"Су-25",'Таблиця 1'!$J:$J,"MK-32")+SUMIFS('Таблиця 1'!$K:$K,'Таблиця 1'!$B:$B,$A23,'Таблиця 1'!$I:$I,"Су-27",'Таблиця 1'!$J:$J,"MK-32"))</f>
        <v/>
      </c>
      <c r="Q23">
        <f>IF($A23="","",SUMIFS('Таблиця 1'!$K:$K,'Таблиця 1'!$B:$B,$A23,'Таблиця 1'!$I:$I,"Mirage",'Таблиця 1'!$J:$J,"MK-24")+SUMIFS('Таблиця 1'!$K:$K,'Таблиця 1'!$B:$B,$A23,'Таблиця 1'!$I:$I,"F-16",'Таблиця 1'!$J:$J,"MK-24")+SUMIFS('Таблиця 1'!$K:$K,'Таблиця 1'!$B:$B,$A23,'Таблиця 1'!$I:$I,"МіГ-29",'Таблиця 1'!$J:$J,"MK-24")+SUMIFS('Таблиця 1'!$K:$K,'Таблиця 1'!$B:$B,$A23,'Таблиця 1'!$I:$I,"Су-25",'Таблиця 1'!$J:$J,"MK-24")+SUMIFS('Таблиця 1'!$K:$K,'Таблиця 1'!$B:$B,$A23,'Таблиця 1'!$I:$I,"Су-27",'Таблиця 1'!$J:$J,"MK-24"))</f>
        <v/>
      </c>
      <c r="R23">
        <f>IF($A23="","",COUNTIFS('Таблиця 1'!$B:$B,$A23,'Таблиця 1'!$I:$I,"Mirage",'Таблиця 1'!$L:$L,"Уражено")+COUNTIFS('Таблиця 1'!$B:$B,$A23,'Таблиця 1'!$I:$I,"F-16",'Таблиця 1'!$L:$L,"Уражено")+COUNTIFS('Таблиця 1'!$B:$B,$A23,'Таблиця 1'!$I:$I,"МіГ-29",'Таблиця 1'!$L:$L,"Уражено")+COUNTIFS('Таблиця 1'!$B:$B,$A23,'Таблиця 1'!$I:$I,"Су-25",'Таблиця 1'!$L:$L,"Уражено")+COUNTIFS('Таблиця 1'!$B:$B,$A23,'Таблиця 1'!$I:$I,"Су-27",'Таблиця 1'!$L:$L,"Уражено"))</f>
        <v/>
      </c>
      <c r="S23">
        <f>IF($A23="","",COUNTIFS('Таблиця 1'!$B:$B,$A23,'Таблиця 1'!$I:$I,"Mirage",'Таблиця 1'!$L:$L,"НЕ уражено")+COUNTIFS('Таблиця 1'!$B:$B,$A23,'Таблиця 1'!$I:$I,"F-16",'Таблиця 1'!$L:$L,"НЕ уражено")+COUNTIFS('Таблиця 1'!$B:$B,$A23,'Таблиця 1'!$I:$I,"МіГ-29",'Таблиця 1'!$L:$L,"НЕ уражено")+COUNTIFS('Таблиця 1'!$B:$B,$A23,'Таблиця 1'!$I:$I,"Су-25",'Таблиця 1'!$L:$L,"НЕ уражено")+COUNTIFS('Таблиця 1'!$B:$B,$A23,'Таблиця 1'!$I:$I,"Су-27",'Таблиця 1'!$L:$L,"НЕ уражено"))</f>
        <v/>
      </c>
      <c r="T23">
        <f>IF($A23="","",COUNTIFS('Таблиця 1'!$B:$B,$A23,'Таблиця 1'!$I:$I,"Mirage",'Таблиця 1'!$L:$L,"Дорозвідується")+COUNTIFS('Таблиця 1'!$B:$B,$A23,'Таблиця 1'!$I:$I,"F-16",'Таблиця 1'!$L:$L,"Дорозвідується")+COUNTIFS('Таблиця 1'!$B:$B,$A23,'Таблиця 1'!$I:$I,"МіГ-29",'Таблиця 1'!$L:$L,"Дорозвідується")+COUNTIFS('Таблиця 1'!$B:$B,$A23,'Таблиця 1'!$I:$I,"Су-25",'Таблиця 1'!$L:$L,"Дорозвідується")+COUNTIFS('Таблиця 1'!$B:$B,$A23,'Таблиця 1'!$I:$I,"Су-27",'Таблиця 1'!$L:$L,"Дорозвідується"))</f>
        <v/>
      </c>
    </row>
    <row r="24">
      <c r="A24" s="273">
        <f>IF(A23="","",IF(A23+1&gt;MAX('Таблиця 1'!$B:$B),"",A23+1))</f>
        <v/>
      </c>
      <c r="B24">
        <f>IF($A24="","",COUNTIFS('Таблиця 1'!$B:$B,$A24,'Таблиця 1'!$I:$I,"Mirage")+COUNTIFS('Таблиця 1'!$B:$B,$A24,'Таблиця 1'!$I:$I,"F-16")+COUNTIFS('Таблиця 1'!$B:$B,$A24,'Таблиця 1'!$I:$I,"МіГ-29")+COUNTIFS('Таблиця 1'!$B:$B,$A24,'Таблиця 1'!$I:$I,"Су-25")+COUNTIFS('Таблиця 1'!$B:$B,$A24,'Таблиця 1'!$I:$I,"Су-27"))</f>
        <v/>
      </c>
      <c r="C24">
        <f>IF($A24="","",COUNTIFS('Таблиця 1'!$B:$B,$A24,'Таблиця 1'!$I:$I,"Mirage"))</f>
        <v/>
      </c>
      <c r="D24">
        <f>IF($A24="","",COUNTIFS('Таблиця 1'!$B:$B,$A24,'Таблиця 1'!$I:$I,"F-16"))</f>
        <v/>
      </c>
      <c r="E24">
        <f>IF($A24="","",COUNTIFS('Таблиця 1'!$B:$B,$A24,'Таблиця 1'!$I:$I,"МіГ-29"))</f>
        <v/>
      </c>
      <c r="F24">
        <f>IF($A24="","",COUNTIFS('Таблиця 1'!$B:$B,$A24,'Таблиця 1'!$I:$I,"Су-25"))</f>
        <v/>
      </c>
      <c r="G24">
        <f>IF($A24="","",COUNTIFS('Таблиця 1'!$B:$B,$A24,'Таблиця 1'!$I:$I,"Су-27"))</f>
        <v/>
      </c>
      <c r="H24">
        <f>IF($A24="","",SUMIFS('Таблиця 1'!$K:$K,'Таблиця 1'!$B:$B,$A24,'Таблиця 1'!$I:$I,"Mirage",'Таблиця 1'!$J:$J,"AGM-88")+SUMIFS('Таблиця 1'!$K:$K,'Таблиця 1'!$B:$B,$A24,'Таблиця 1'!$I:$I,"F-16",'Таблиця 1'!$J:$J,"AGM-88")+SUMIFS('Таблиця 1'!$K:$K,'Таблиця 1'!$B:$B,$A24,'Таблиця 1'!$I:$I,"МіГ-29",'Таблиця 1'!$J:$J,"AGM-88")+SUMIFS('Таблиця 1'!$K:$K,'Таблиця 1'!$B:$B,$A24,'Таблиця 1'!$I:$I,"Су-25",'Таблиця 1'!$J:$J,"AGM-88")+SUMIFS('Таблиця 1'!$K:$K,'Таблиця 1'!$B:$B,$A24,'Таблиця 1'!$I:$I,"Су-27",'Таблиця 1'!$J:$J,"AGM-88"))</f>
        <v/>
      </c>
      <c r="I24">
        <f>IF($A24="","",SUMIFS('Таблиця 1'!$K:$K,'Таблиця 1'!$B:$B,$A24,'Таблиця 1'!$I:$I,"Mirage",'Таблиця 1'!$J:$J,"AASM-250")+SUMIFS('Таблиця 1'!$K:$K,'Таблиця 1'!$B:$B,$A24,'Таблиця 1'!$I:$I,"F-16",'Таблиця 1'!$J:$J,"AASM-250")+SUMIFS('Таблиця 1'!$K:$K,'Таблиця 1'!$B:$B,$A24,'Таблиця 1'!$I:$I,"МіГ-29",'Таблиця 1'!$J:$J,"AASM-250")+SUMIFS('Таблиця 1'!$K:$K,'Таблиця 1'!$B:$B,$A24,'Таблиця 1'!$I:$I,"Су-25",'Таблиця 1'!$J:$J,"AASM-250")+SUMIFS('Таблиця 1'!$K:$K,'Таблиця 1'!$B:$B,$A24,'Таблиця 1'!$I:$I,"Су-27",'Таблиця 1'!$J:$J,"AASM-250"))</f>
        <v/>
      </c>
      <c r="J24">
        <f>IF($A24="","",SUMIFS('Таблиця 1'!$K:$K,'Таблиця 1'!$B:$B,$A24,'Таблиця 1'!$I:$I,"Mirage",'Таблиця 1'!$J:$J,"GBU-39")+SUMIFS('Таблиця 1'!$K:$K,'Таблиця 1'!$B:$B,$A24,'Таблиця 1'!$I:$I,"F-16",'Таблиця 1'!$J:$J,"GBU-39")+SUMIFS('Таблиця 1'!$K:$K,'Таблиця 1'!$B:$B,$A24,'Таблиця 1'!$I:$I,"МіГ-29",'Таблиця 1'!$J:$J,"GBU-39")+SUMIFS('Таблиця 1'!$K:$K,'Таблиця 1'!$B:$B,$A24,'Таблиця 1'!$I:$I,"Су-25",'Таблиця 1'!$J:$J,"GBU-39")+SUMIFS('Таблиця 1'!$K:$K,'Таблиця 1'!$B:$B,$A24,'Таблиця 1'!$I:$I,"Су-27",'Таблиця 1'!$J:$J,"GBU-39"))</f>
        <v/>
      </c>
      <c r="K24">
        <f>IF($A24="","",SUMIFS('Таблиця 1'!$K:$K,'Таблиця 1'!$B:$B,$A24,'Таблиця 1'!$I:$I,"Mirage",'Таблиця 1'!$J:$J,"BLU-140")+SUMIFS('Таблиця 1'!$K:$K,'Таблиця 1'!$B:$B,$A24,'Таблиця 1'!$I:$I,"F-16",'Таблиця 1'!$J:$J,"BLU-140")+SUMIFS('Таблиця 1'!$K:$K,'Таблиця 1'!$B:$B,$A24,'Таблиця 1'!$I:$I,"МіГ-29",'Таблиця 1'!$J:$J,"BLU-140")+SUMIFS('Таблиця 1'!$K:$K,'Таблиця 1'!$B:$B,$A24,'Таблиця 1'!$I:$I,"Су-25",'Таблиця 1'!$J:$J,"BLU-140")+SUMIFS('Таблиця 1'!$K:$K,'Таблиця 1'!$B:$B,$A24,'Таблиця 1'!$I:$I,"Су-27",'Таблиця 1'!$J:$J,"BLU-140"))</f>
        <v/>
      </c>
      <c r="L24">
        <f>IF($A24="","",SUMIFS('Таблиця 1'!$K:$K,'Таблиця 1'!$B:$B,$A24,'Таблиця 1'!$I:$I,"Mirage",'Таблиця 1'!$J:$J,"GBU-65")+SUMIFS('Таблиця 1'!$K:$K,'Таблиця 1'!$B:$B,$A24,'Таблиця 1'!$I:$I,"F-16",'Таблиця 1'!$J:$J,"GBU-65")+SUMIFS('Таблиця 1'!$K:$K,'Таблиця 1'!$B:$B,$A24,'Таблиця 1'!$I:$I,"МіГ-29",'Таблиця 1'!$J:$J,"GBU-65")+SUMIFS('Таблиця 1'!$K:$K,'Таблиця 1'!$B:$B,$A24,'Таблиця 1'!$I:$I,"Су-25",'Таблиця 1'!$J:$J,"GBU-65")+SUMIFS('Таблиця 1'!$K:$K,'Таблиця 1'!$B:$B,$A24,'Таблиця 1'!$I:$I,"Су-27",'Таблиця 1'!$J:$J,"GBU-65"))</f>
        <v/>
      </c>
      <c r="M24">
        <f>IF($A24="","",SUMIFS('Таблиця 1'!$K:$K,'Таблиця 1'!$B:$B,$A24,'Таблиця 1'!$I:$I,"Mirage",'Таблиця 1'!$J:$J,"GBU-62")+SUMIFS('Таблиця 1'!$K:$K,'Таблиця 1'!$B:$B,$A24,'Таблиця 1'!$I:$I,"F-16",'Таблиця 1'!$J:$J,"GBU-62")+SUMIFS('Таблиця 1'!$K:$K,'Таблиця 1'!$B:$B,$A24,'Таблиця 1'!$I:$I,"МіГ-29",'Таблиця 1'!$J:$J,"GBU-62")+SUMIFS('Таблиця 1'!$K:$K,'Таблиця 1'!$B:$B,$A24,'Таблиця 1'!$I:$I,"Су-25",'Таблиця 1'!$J:$J,"GBU-62")+SUMIFS('Таблиця 1'!$K:$K,'Таблиця 1'!$B:$B,$A24,'Таблиця 1'!$I:$I,"Су-27",'Таблиця 1'!$J:$J,"GBU-62"))</f>
        <v/>
      </c>
      <c r="N24">
        <f>IF($A24="","",SUMIFS('Таблиця 1'!$K:$K,'Таблиця 1'!$B:$B,$A24,'Таблиця 1'!$I:$I,"Mirage",'Таблиця 1'!$J:$J,"GBU-64")+SUMIFS('Таблиця 1'!$K:$K,'Таблиця 1'!$B:$B,$A24,'Таблиця 1'!$I:$I,"F-16",'Таблиця 1'!$J:$J,"GBU-64")+SUMIFS('Таблиця 1'!$K:$K,'Таблиця 1'!$B:$B,$A24,'Таблиця 1'!$I:$I,"МіГ-29",'Таблиця 1'!$J:$J,"GBU-64")+SUMIFS('Таблиця 1'!$K:$K,'Таблиця 1'!$B:$B,$A24,'Таблиця 1'!$I:$I,"Су-25",'Таблиця 1'!$J:$J,"GBU-64")+SUMIFS('Таблиця 1'!$K:$K,'Таблиця 1'!$B:$B,$A24,'Таблиця 1'!$I:$I,"Су-27",'Таблиця 1'!$J:$J,"GBU-64"))</f>
        <v/>
      </c>
      <c r="O24">
        <f>IF($A24="","",SUMIFS('Таблиця 1'!$K:$K,'Таблиця 1'!$B:$B,$A24,'Таблиця 1'!$I:$I,"Mirage",'Таблиця 1'!$J:$J,"C-13")+SUMIFS('Таблиця 1'!$K:$K,'Таблиця 1'!$B:$B,$A24,'Таблиця 1'!$I:$I,"F-16",'Таблиця 1'!$J:$J,"C-13")+SUMIFS('Таблиця 1'!$K:$K,'Таблиця 1'!$B:$B,$A24,'Таблиця 1'!$I:$I,"МіГ-29",'Таблиця 1'!$J:$J,"C-13")+SUMIFS('Таблиця 1'!$K:$K,'Таблиця 1'!$B:$B,$A24,'Таблиця 1'!$I:$I,"Су-25",'Таблиця 1'!$J:$J,"C-13")+SUMIFS('Таблиця 1'!$K:$K,'Таблиця 1'!$B:$B,$A24,'Таблиця 1'!$I:$I,"Су-27",'Таблиця 1'!$J:$J,"C-13"))</f>
        <v/>
      </c>
      <c r="P24">
        <f>IF($A24="","",SUMIFS('Таблиця 1'!$K:$K,'Таблиця 1'!$B:$B,$A24,'Таблиця 1'!$I:$I,"Mirage",'Таблиця 1'!$J:$J,"MK-32")+SUMIFS('Таблиця 1'!$K:$K,'Таблиця 1'!$B:$B,$A24,'Таблиця 1'!$I:$I,"F-16",'Таблиця 1'!$J:$J,"MK-32")+SUMIFS('Таблиця 1'!$K:$K,'Таблиця 1'!$B:$B,$A24,'Таблиця 1'!$I:$I,"МіГ-29",'Таблиця 1'!$J:$J,"MK-32")+SUMIFS('Таблиця 1'!$K:$K,'Таблиця 1'!$B:$B,$A24,'Таблиця 1'!$I:$I,"Су-25",'Таблиця 1'!$J:$J,"MK-32")+SUMIFS('Таблиця 1'!$K:$K,'Таблиця 1'!$B:$B,$A24,'Таблиця 1'!$I:$I,"Су-27",'Таблиця 1'!$J:$J,"MK-32"))</f>
        <v/>
      </c>
      <c r="Q24">
        <f>IF($A24="","",SUMIFS('Таблиця 1'!$K:$K,'Таблиця 1'!$B:$B,$A24,'Таблиця 1'!$I:$I,"Mirage",'Таблиця 1'!$J:$J,"MK-24")+SUMIFS('Таблиця 1'!$K:$K,'Таблиця 1'!$B:$B,$A24,'Таблиця 1'!$I:$I,"F-16",'Таблиця 1'!$J:$J,"MK-24")+SUMIFS('Таблиця 1'!$K:$K,'Таблиця 1'!$B:$B,$A24,'Таблиця 1'!$I:$I,"МіГ-29",'Таблиця 1'!$J:$J,"MK-24")+SUMIFS('Таблиця 1'!$K:$K,'Таблиця 1'!$B:$B,$A24,'Таблиця 1'!$I:$I,"Су-25",'Таблиця 1'!$J:$J,"MK-24")+SUMIFS('Таблиця 1'!$K:$K,'Таблиця 1'!$B:$B,$A24,'Таблиця 1'!$I:$I,"Су-27",'Таблиця 1'!$J:$J,"MK-24"))</f>
        <v/>
      </c>
      <c r="R24">
        <f>IF($A24="","",COUNTIFS('Таблиця 1'!$B:$B,$A24,'Таблиця 1'!$I:$I,"Mirage",'Таблиця 1'!$L:$L,"Уражено")+COUNTIFS('Таблиця 1'!$B:$B,$A24,'Таблиця 1'!$I:$I,"F-16",'Таблиця 1'!$L:$L,"Уражено")+COUNTIFS('Таблиця 1'!$B:$B,$A24,'Таблиця 1'!$I:$I,"МіГ-29",'Таблиця 1'!$L:$L,"Уражено")+COUNTIFS('Таблиця 1'!$B:$B,$A24,'Таблиця 1'!$I:$I,"Су-25",'Таблиця 1'!$L:$L,"Уражено")+COUNTIFS('Таблиця 1'!$B:$B,$A24,'Таблиця 1'!$I:$I,"Су-27",'Таблиця 1'!$L:$L,"Уражено"))</f>
        <v/>
      </c>
      <c r="S24">
        <f>IF($A24="","",COUNTIFS('Таблиця 1'!$B:$B,$A24,'Таблиця 1'!$I:$I,"Mirage",'Таблиця 1'!$L:$L,"НЕ уражено")+COUNTIFS('Таблиця 1'!$B:$B,$A24,'Таблиця 1'!$I:$I,"F-16",'Таблиця 1'!$L:$L,"НЕ уражено")+COUNTIFS('Таблиця 1'!$B:$B,$A24,'Таблиця 1'!$I:$I,"МіГ-29",'Таблиця 1'!$L:$L,"НЕ уражено")+COUNTIFS('Таблиця 1'!$B:$B,$A24,'Таблиця 1'!$I:$I,"Су-25",'Таблиця 1'!$L:$L,"НЕ уражено")+COUNTIFS('Таблиця 1'!$B:$B,$A24,'Таблиця 1'!$I:$I,"Су-27",'Таблиця 1'!$L:$L,"НЕ уражено"))</f>
        <v/>
      </c>
      <c r="T24">
        <f>IF($A24="","",COUNTIFS('Таблиця 1'!$B:$B,$A24,'Таблиця 1'!$I:$I,"Mirage",'Таблиця 1'!$L:$L,"Дорозвідується")+COUNTIFS('Таблиця 1'!$B:$B,$A24,'Таблиця 1'!$I:$I,"F-16",'Таблиця 1'!$L:$L,"Дорозвідується")+COUNTIFS('Таблиця 1'!$B:$B,$A24,'Таблиця 1'!$I:$I,"МіГ-29",'Таблиця 1'!$L:$L,"Дорозвідується")+COUNTIFS('Таблиця 1'!$B:$B,$A24,'Таблиця 1'!$I:$I,"Су-25",'Таблиця 1'!$L:$L,"Дорозвідується")+COUNTIFS('Таблиця 1'!$B:$B,$A24,'Таблиця 1'!$I:$I,"Су-27",'Таблиця 1'!$L:$L,"Дорозвідується"))</f>
        <v/>
      </c>
    </row>
    <row r="25">
      <c r="A25" s="273">
        <f>IF(A24="","",IF(A24+1&gt;MAX('Таблиця 1'!$B:$B),"",A24+1))</f>
        <v/>
      </c>
      <c r="B25">
        <f>IF($A25="","",COUNTIFS('Таблиця 1'!$B:$B,$A25,'Таблиця 1'!$I:$I,"Mirage")+COUNTIFS('Таблиця 1'!$B:$B,$A25,'Таблиця 1'!$I:$I,"F-16")+COUNTIFS('Таблиця 1'!$B:$B,$A25,'Таблиця 1'!$I:$I,"МіГ-29")+COUNTIFS('Таблиця 1'!$B:$B,$A25,'Таблиця 1'!$I:$I,"Су-25")+COUNTIFS('Таблиця 1'!$B:$B,$A25,'Таблиця 1'!$I:$I,"Су-27"))</f>
        <v/>
      </c>
      <c r="C25">
        <f>IF($A25="","",COUNTIFS('Таблиця 1'!$B:$B,$A25,'Таблиця 1'!$I:$I,"Mirage"))</f>
        <v/>
      </c>
      <c r="D25">
        <f>IF($A25="","",COUNTIFS('Таблиця 1'!$B:$B,$A25,'Таблиця 1'!$I:$I,"F-16"))</f>
        <v/>
      </c>
      <c r="E25">
        <f>IF($A25="","",COUNTIFS('Таблиця 1'!$B:$B,$A25,'Таблиця 1'!$I:$I,"МіГ-29"))</f>
        <v/>
      </c>
      <c r="F25">
        <f>IF($A25="","",COUNTIFS('Таблиця 1'!$B:$B,$A25,'Таблиця 1'!$I:$I,"Су-25"))</f>
        <v/>
      </c>
      <c r="G25">
        <f>IF($A25="","",COUNTIFS('Таблиця 1'!$B:$B,$A25,'Таблиця 1'!$I:$I,"Су-27"))</f>
        <v/>
      </c>
      <c r="H25">
        <f>IF($A25="","",SUMIFS('Таблиця 1'!$K:$K,'Таблиця 1'!$B:$B,$A25,'Таблиця 1'!$I:$I,"Mirage",'Таблиця 1'!$J:$J,"AGM-88")+SUMIFS('Таблиця 1'!$K:$K,'Таблиця 1'!$B:$B,$A25,'Таблиця 1'!$I:$I,"F-16",'Таблиця 1'!$J:$J,"AGM-88")+SUMIFS('Таблиця 1'!$K:$K,'Таблиця 1'!$B:$B,$A25,'Таблиця 1'!$I:$I,"МіГ-29",'Таблиця 1'!$J:$J,"AGM-88")+SUMIFS('Таблиця 1'!$K:$K,'Таблиця 1'!$B:$B,$A25,'Таблиця 1'!$I:$I,"Су-25",'Таблиця 1'!$J:$J,"AGM-88")+SUMIFS('Таблиця 1'!$K:$K,'Таблиця 1'!$B:$B,$A25,'Таблиця 1'!$I:$I,"Су-27",'Таблиця 1'!$J:$J,"AGM-88"))</f>
        <v/>
      </c>
      <c r="I25">
        <f>IF($A25="","",SUMIFS('Таблиця 1'!$K:$K,'Таблиця 1'!$B:$B,$A25,'Таблиця 1'!$I:$I,"Mirage",'Таблиця 1'!$J:$J,"AASM-250")+SUMIFS('Таблиця 1'!$K:$K,'Таблиця 1'!$B:$B,$A25,'Таблиця 1'!$I:$I,"F-16",'Таблиця 1'!$J:$J,"AASM-250")+SUMIFS('Таблиця 1'!$K:$K,'Таблиця 1'!$B:$B,$A25,'Таблиця 1'!$I:$I,"МіГ-29",'Таблиця 1'!$J:$J,"AASM-250")+SUMIFS('Таблиця 1'!$K:$K,'Таблиця 1'!$B:$B,$A25,'Таблиця 1'!$I:$I,"Су-25",'Таблиця 1'!$J:$J,"AASM-250")+SUMIFS('Таблиця 1'!$K:$K,'Таблиця 1'!$B:$B,$A25,'Таблиця 1'!$I:$I,"Су-27",'Таблиця 1'!$J:$J,"AASM-250"))</f>
        <v/>
      </c>
      <c r="J25">
        <f>IF($A25="","",SUMIFS('Таблиця 1'!$K:$K,'Таблиця 1'!$B:$B,$A25,'Таблиця 1'!$I:$I,"Mirage",'Таблиця 1'!$J:$J,"GBU-39")+SUMIFS('Таблиця 1'!$K:$K,'Таблиця 1'!$B:$B,$A25,'Таблиця 1'!$I:$I,"F-16",'Таблиця 1'!$J:$J,"GBU-39")+SUMIFS('Таблиця 1'!$K:$K,'Таблиця 1'!$B:$B,$A25,'Таблиця 1'!$I:$I,"МіГ-29",'Таблиця 1'!$J:$J,"GBU-39")+SUMIFS('Таблиця 1'!$K:$K,'Таблиця 1'!$B:$B,$A25,'Таблиця 1'!$I:$I,"Су-25",'Таблиця 1'!$J:$J,"GBU-39")+SUMIFS('Таблиця 1'!$K:$K,'Таблиця 1'!$B:$B,$A25,'Таблиця 1'!$I:$I,"Су-27",'Таблиця 1'!$J:$J,"GBU-39"))</f>
        <v/>
      </c>
      <c r="K25">
        <f>IF($A25="","",SUMIFS('Таблиця 1'!$K:$K,'Таблиця 1'!$B:$B,$A25,'Таблиця 1'!$I:$I,"Mirage",'Таблиця 1'!$J:$J,"BLU-140")+SUMIFS('Таблиця 1'!$K:$K,'Таблиця 1'!$B:$B,$A25,'Таблиця 1'!$I:$I,"F-16",'Таблиця 1'!$J:$J,"BLU-140")+SUMIFS('Таблиця 1'!$K:$K,'Таблиця 1'!$B:$B,$A25,'Таблиця 1'!$I:$I,"МіГ-29",'Таблиця 1'!$J:$J,"BLU-140")+SUMIFS('Таблиця 1'!$K:$K,'Таблиця 1'!$B:$B,$A25,'Таблиця 1'!$I:$I,"Су-25",'Таблиця 1'!$J:$J,"BLU-140")+SUMIFS('Таблиця 1'!$K:$K,'Таблиця 1'!$B:$B,$A25,'Таблиця 1'!$I:$I,"Су-27",'Таблиця 1'!$J:$J,"BLU-140"))</f>
        <v/>
      </c>
      <c r="L25">
        <f>IF($A25="","",SUMIFS('Таблиця 1'!$K:$K,'Таблиця 1'!$B:$B,$A25,'Таблиця 1'!$I:$I,"Mirage",'Таблиця 1'!$J:$J,"GBU-65")+SUMIFS('Таблиця 1'!$K:$K,'Таблиця 1'!$B:$B,$A25,'Таблиця 1'!$I:$I,"F-16",'Таблиця 1'!$J:$J,"GBU-65")+SUMIFS('Таблиця 1'!$K:$K,'Таблиця 1'!$B:$B,$A25,'Таблиця 1'!$I:$I,"МіГ-29",'Таблиця 1'!$J:$J,"GBU-65")+SUMIFS('Таблиця 1'!$K:$K,'Таблиця 1'!$B:$B,$A25,'Таблиця 1'!$I:$I,"Су-25",'Таблиця 1'!$J:$J,"GBU-65")+SUMIFS('Таблиця 1'!$K:$K,'Таблиця 1'!$B:$B,$A25,'Таблиця 1'!$I:$I,"Су-27",'Таблиця 1'!$J:$J,"GBU-65"))</f>
        <v/>
      </c>
      <c r="M25">
        <f>IF($A25="","",SUMIFS('Таблиця 1'!$K:$K,'Таблиця 1'!$B:$B,$A25,'Таблиця 1'!$I:$I,"Mirage",'Таблиця 1'!$J:$J,"GBU-62")+SUMIFS('Таблиця 1'!$K:$K,'Таблиця 1'!$B:$B,$A25,'Таблиця 1'!$I:$I,"F-16",'Таблиця 1'!$J:$J,"GBU-62")+SUMIFS('Таблиця 1'!$K:$K,'Таблиця 1'!$B:$B,$A25,'Таблиця 1'!$I:$I,"МіГ-29",'Таблиця 1'!$J:$J,"GBU-62")+SUMIFS('Таблиця 1'!$K:$K,'Таблиця 1'!$B:$B,$A25,'Таблиця 1'!$I:$I,"Су-25",'Таблиця 1'!$J:$J,"GBU-62")+SUMIFS('Таблиця 1'!$K:$K,'Таблиця 1'!$B:$B,$A25,'Таблиця 1'!$I:$I,"Су-27",'Таблиця 1'!$J:$J,"GBU-62"))</f>
        <v/>
      </c>
      <c r="N25">
        <f>IF($A25="","",SUMIFS('Таблиця 1'!$K:$K,'Таблиця 1'!$B:$B,$A25,'Таблиця 1'!$I:$I,"Mirage",'Таблиця 1'!$J:$J,"GBU-64")+SUMIFS('Таблиця 1'!$K:$K,'Таблиця 1'!$B:$B,$A25,'Таблиця 1'!$I:$I,"F-16",'Таблиця 1'!$J:$J,"GBU-64")+SUMIFS('Таблиця 1'!$K:$K,'Таблиця 1'!$B:$B,$A25,'Таблиця 1'!$I:$I,"МіГ-29",'Таблиця 1'!$J:$J,"GBU-64")+SUMIFS('Таблиця 1'!$K:$K,'Таблиця 1'!$B:$B,$A25,'Таблиця 1'!$I:$I,"Су-25",'Таблиця 1'!$J:$J,"GBU-64")+SUMIFS('Таблиця 1'!$K:$K,'Таблиця 1'!$B:$B,$A25,'Таблиця 1'!$I:$I,"Су-27",'Таблиця 1'!$J:$J,"GBU-64"))</f>
        <v/>
      </c>
      <c r="O25">
        <f>IF($A25="","",SUMIFS('Таблиця 1'!$K:$K,'Таблиця 1'!$B:$B,$A25,'Таблиця 1'!$I:$I,"Mirage",'Таблиця 1'!$J:$J,"C-13")+SUMIFS('Таблиця 1'!$K:$K,'Таблиця 1'!$B:$B,$A25,'Таблиця 1'!$I:$I,"F-16",'Таблиця 1'!$J:$J,"C-13")+SUMIFS('Таблиця 1'!$K:$K,'Таблиця 1'!$B:$B,$A25,'Таблиця 1'!$I:$I,"МіГ-29",'Таблиця 1'!$J:$J,"C-13")+SUMIFS('Таблиця 1'!$K:$K,'Таблиця 1'!$B:$B,$A25,'Таблиця 1'!$I:$I,"Су-25",'Таблиця 1'!$J:$J,"C-13")+SUMIFS('Таблиця 1'!$K:$K,'Таблиця 1'!$B:$B,$A25,'Таблиця 1'!$I:$I,"Су-27",'Таблиця 1'!$J:$J,"C-13"))</f>
        <v/>
      </c>
      <c r="P25">
        <f>IF($A25="","",SUMIFS('Таблиця 1'!$K:$K,'Таблиця 1'!$B:$B,$A25,'Таблиця 1'!$I:$I,"Mirage",'Таблиця 1'!$J:$J,"MK-32")+SUMIFS('Таблиця 1'!$K:$K,'Таблиця 1'!$B:$B,$A25,'Таблиця 1'!$I:$I,"F-16",'Таблиця 1'!$J:$J,"MK-32")+SUMIFS('Таблиця 1'!$K:$K,'Таблиця 1'!$B:$B,$A25,'Таблиця 1'!$I:$I,"МіГ-29",'Таблиця 1'!$J:$J,"MK-32")+SUMIFS('Таблиця 1'!$K:$K,'Таблиця 1'!$B:$B,$A25,'Таблиця 1'!$I:$I,"Су-25",'Таблиця 1'!$J:$J,"MK-32")+SUMIFS('Таблиця 1'!$K:$K,'Таблиця 1'!$B:$B,$A25,'Таблиця 1'!$I:$I,"Су-27",'Таблиця 1'!$J:$J,"MK-32"))</f>
        <v/>
      </c>
      <c r="Q25">
        <f>IF($A25="","",SUMIFS('Таблиця 1'!$K:$K,'Таблиця 1'!$B:$B,$A25,'Таблиця 1'!$I:$I,"Mirage",'Таблиця 1'!$J:$J,"MK-24")+SUMIFS('Таблиця 1'!$K:$K,'Таблиця 1'!$B:$B,$A25,'Таблиця 1'!$I:$I,"F-16",'Таблиця 1'!$J:$J,"MK-24")+SUMIFS('Таблиця 1'!$K:$K,'Таблиця 1'!$B:$B,$A25,'Таблиця 1'!$I:$I,"МіГ-29",'Таблиця 1'!$J:$J,"MK-24")+SUMIFS('Таблиця 1'!$K:$K,'Таблиця 1'!$B:$B,$A25,'Таблиця 1'!$I:$I,"Су-25",'Таблиця 1'!$J:$J,"MK-24")+SUMIFS('Таблиця 1'!$K:$K,'Таблиця 1'!$B:$B,$A25,'Таблиця 1'!$I:$I,"Су-27",'Таблиця 1'!$J:$J,"MK-24"))</f>
        <v/>
      </c>
      <c r="R25">
        <f>IF($A25="","",COUNTIFS('Таблиця 1'!$B:$B,$A25,'Таблиця 1'!$I:$I,"Mirage",'Таблиця 1'!$L:$L,"Уражено")+COUNTIFS('Таблиця 1'!$B:$B,$A25,'Таблиця 1'!$I:$I,"F-16",'Таблиця 1'!$L:$L,"Уражено")+COUNTIFS('Таблиця 1'!$B:$B,$A25,'Таблиця 1'!$I:$I,"МіГ-29",'Таблиця 1'!$L:$L,"Уражено")+COUNTIFS('Таблиця 1'!$B:$B,$A25,'Таблиця 1'!$I:$I,"Су-25",'Таблиця 1'!$L:$L,"Уражено")+COUNTIFS('Таблиця 1'!$B:$B,$A25,'Таблиця 1'!$I:$I,"Су-27",'Таблиця 1'!$L:$L,"Уражено"))</f>
        <v/>
      </c>
      <c r="S25">
        <f>IF($A25="","",COUNTIFS('Таблиця 1'!$B:$B,$A25,'Таблиця 1'!$I:$I,"Mirage",'Таблиця 1'!$L:$L,"НЕ уражено")+COUNTIFS('Таблиця 1'!$B:$B,$A25,'Таблиця 1'!$I:$I,"F-16",'Таблиця 1'!$L:$L,"НЕ уражено")+COUNTIFS('Таблиця 1'!$B:$B,$A25,'Таблиця 1'!$I:$I,"МіГ-29",'Таблиця 1'!$L:$L,"НЕ уражено")+COUNTIFS('Таблиця 1'!$B:$B,$A25,'Таблиця 1'!$I:$I,"Су-25",'Таблиця 1'!$L:$L,"НЕ уражено")+COUNTIFS('Таблиця 1'!$B:$B,$A25,'Таблиця 1'!$I:$I,"Су-27",'Таблиця 1'!$L:$L,"НЕ уражено"))</f>
        <v/>
      </c>
      <c r="T25">
        <f>IF($A25="","",COUNTIFS('Таблиця 1'!$B:$B,$A25,'Таблиця 1'!$I:$I,"Mirage",'Таблиця 1'!$L:$L,"Дорозвідується")+COUNTIFS('Таблиця 1'!$B:$B,$A25,'Таблиця 1'!$I:$I,"F-16",'Таблиця 1'!$L:$L,"Дорозвідується")+COUNTIFS('Таблиця 1'!$B:$B,$A25,'Таблиця 1'!$I:$I,"МіГ-29",'Таблиця 1'!$L:$L,"Дорозвідується")+COUNTIFS('Таблиця 1'!$B:$B,$A25,'Таблиця 1'!$I:$I,"Су-25",'Таблиця 1'!$L:$L,"Дорозвідується")+COUNTIFS('Таблиця 1'!$B:$B,$A25,'Таблиця 1'!$I:$I,"Су-27",'Таблиця 1'!$L:$L,"Дорозвідується"))</f>
        <v/>
      </c>
    </row>
    <row r="26">
      <c r="A26" s="273">
        <f>IF(A25="","",IF(A25+1&gt;MAX('Таблиця 1'!$B:$B),"",A25+1))</f>
        <v/>
      </c>
      <c r="B26">
        <f>IF($A26="","",COUNTIFS('Таблиця 1'!$B:$B,$A26,'Таблиця 1'!$I:$I,"Mirage")+COUNTIFS('Таблиця 1'!$B:$B,$A26,'Таблиця 1'!$I:$I,"F-16")+COUNTIFS('Таблиця 1'!$B:$B,$A26,'Таблиця 1'!$I:$I,"МіГ-29")+COUNTIFS('Таблиця 1'!$B:$B,$A26,'Таблиця 1'!$I:$I,"Су-25")+COUNTIFS('Таблиця 1'!$B:$B,$A26,'Таблиця 1'!$I:$I,"Су-27"))</f>
        <v/>
      </c>
      <c r="C26">
        <f>IF($A26="","",COUNTIFS('Таблиця 1'!$B:$B,$A26,'Таблиця 1'!$I:$I,"Mirage"))</f>
        <v/>
      </c>
      <c r="D26">
        <f>IF($A26="","",COUNTIFS('Таблиця 1'!$B:$B,$A26,'Таблиця 1'!$I:$I,"F-16"))</f>
        <v/>
      </c>
      <c r="E26">
        <f>IF($A26="","",COUNTIFS('Таблиця 1'!$B:$B,$A26,'Таблиця 1'!$I:$I,"МіГ-29"))</f>
        <v/>
      </c>
      <c r="F26">
        <f>IF($A26="","",COUNTIFS('Таблиця 1'!$B:$B,$A26,'Таблиця 1'!$I:$I,"Су-25"))</f>
        <v/>
      </c>
      <c r="G26">
        <f>IF($A26="","",COUNTIFS('Таблиця 1'!$B:$B,$A26,'Таблиця 1'!$I:$I,"Су-27"))</f>
        <v/>
      </c>
      <c r="H26">
        <f>IF($A26="","",SUMIFS('Таблиця 1'!$K:$K,'Таблиця 1'!$B:$B,$A26,'Таблиця 1'!$I:$I,"Mirage",'Таблиця 1'!$J:$J,"AGM-88")+SUMIFS('Таблиця 1'!$K:$K,'Таблиця 1'!$B:$B,$A26,'Таблиця 1'!$I:$I,"F-16",'Таблиця 1'!$J:$J,"AGM-88")+SUMIFS('Таблиця 1'!$K:$K,'Таблиця 1'!$B:$B,$A26,'Таблиця 1'!$I:$I,"МіГ-29",'Таблиця 1'!$J:$J,"AGM-88")+SUMIFS('Таблиця 1'!$K:$K,'Таблиця 1'!$B:$B,$A26,'Таблиця 1'!$I:$I,"Су-25",'Таблиця 1'!$J:$J,"AGM-88")+SUMIFS('Таблиця 1'!$K:$K,'Таблиця 1'!$B:$B,$A26,'Таблиця 1'!$I:$I,"Су-27",'Таблиця 1'!$J:$J,"AGM-88"))</f>
        <v/>
      </c>
      <c r="I26">
        <f>IF($A26="","",SUMIFS('Таблиця 1'!$K:$K,'Таблиця 1'!$B:$B,$A26,'Таблиця 1'!$I:$I,"Mirage",'Таблиця 1'!$J:$J,"AASM-250")+SUMIFS('Таблиця 1'!$K:$K,'Таблиця 1'!$B:$B,$A26,'Таблиця 1'!$I:$I,"F-16",'Таблиця 1'!$J:$J,"AASM-250")+SUMIFS('Таблиця 1'!$K:$K,'Таблиця 1'!$B:$B,$A26,'Таблиця 1'!$I:$I,"МіГ-29",'Таблиця 1'!$J:$J,"AASM-250")+SUMIFS('Таблиця 1'!$K:$K,'Таблиця 1'!$B:$B,$A26,'Таблиця 1'!$I:$I,"Су-25",'Таблиця 1'!$J:$J,"AASM-250")+SUMIFS('Таблиця 1'!$K:$K,'Таблиця 1'!$B:$B,$A26,'Таблиця 1'!$I:$I,"Су-27",'Таблиця 1'!$J:$J,"AASM-250"))</f>
        <v/>
      </c>
      <c r="J26">
        <f>IF($A26="","",SUMIFS('Таблиця 1'!$K:$K,'Таблиця 1'!$B:$B,$A26,'Таблиця 1'!$I:$I,"Mirage",'Таблиця 1'!$J:$J,"GBU-39")+SUMIFS('Таблиця 1'!$K:$K,'Таблиця 1'!$B:$B,$A26,'Таблиця 1'!$I:$I,"F-16",'Таблиця 1'!$J:$J,"GBU-39")+SUMIFS('Таблиця 1'!$K:$K,'Таблиця 1'!$B:$B,$A26,'Таблиця 1'!$I:$I,"МіГ-29",'Таблиця 1'!$J:$J,"GBU-39")+SUMIFS('Таблиця 1'!$K:$K,'Таблиця 1'!$B:$B,$A26,'Таблиця 1'!$I:$I,"Су-25",'Таблиця 1'!$J:$J,"GBU-39")+SUMIFS('Таблиця 1'!$K:$K,'Таблиця 1'!$B:$B,$A26,'Таблиця 1'!$I:$I,"Су-27",'Таблиця 1'!$J:$J,"GBU-39"))</f>
        <v/>
      </c>
      <c r="K26">
        <f>IF($A26="","",SUMIFS('Таблиця 1'!$K:$K,'Таблиця 1'!$B:$B,$A26,'Таблиця 1'!$I:$I,"Mirage",'Таблиця 1'!$J:$J,"BLU-140")+SUMIFS('Таблиця 1'!$K:$K,'Таблиця 1'!$B:$B,$A26,'Таблиця 1'!$I:$I,"F-16",'Таблиця 1'!$J:$J,"BLU-140")+SUMIFS('Таблиця 1'!$K:$K,'Таблиця 1'!$B:$B,$A26,'Таблиця 1'!$I:$I,"МіГ-29",'Таблиця 1'!$J:$J,"BLU-140")+SUMIFS('Таблиця 1'!$K:$K,'Таблиця 1'!$B:$B,$A26,'Таблиця 1'!$I:$I,"Су-25",'Таблиця 1'!$J:$J,"BLU-140")+SUMIFS('Таблиця 1'!$K:$K,'Таблиця 1'!$B:$B,$A26,'Таблиця 1'!$I:$I,"Су-27",'Таблиця 1'!$J:$J,"BLU-140"))</f>
        <v/>
      </c>
      <c r="L26">
        <f>IF($A26="","",SUMIFS('Таблиця 1'!$K:$K,'Таблиця 1'!$B:$B,$A26,'Таблиця 1'!$I:$I,"Mirage",'Таблиця 1'!$J:$J,"GBU-65")+SUMIFS('Таблиця 1'!$K:$K,'Таблиця 1'!$B:$B,$A26,'Таблиця 1'!$I:$I,"F-16",'Таблиця 1'!$J:$J,"GBU-65")+SUMIFS('Таблиця 1'!$K:$K,'Таблиця 1'!$B:$B,$A26,'Таблиця 1'!$I:$I,"МіГ-29",'Таблиця 1'!$J:$J,"GBU-65")+SUMIFS('Таблиця 1'!$K:$K,'Таблиця 1'!$B:$B,$A26,'Таблиця 1'!$I:$I,"Су-25",'Таблиця 1'!$J:$J,"GBU-65")+SUMIFS('Таблиця 1'!$K:$K,'Таблиця 1'!$B:$B,$A26,'Таблиця 1'!$I:$I,"Су-27",'Таблиця 1'!$J:$J,"GBU-65"))</f>
        <v/>
      </c>
      <c r="M26">
        <f>IF($A26="","",SUMIFS('Таблиця 1'!$K:$K,'Таблиця 1'!$B:$B,$A26,'Таблиця 1'!$I:$I,"Mirage",'Таблиця 1'!$J:$J,"GBU-62")+SUMIFS('Таблиця 1'!$K:$K,'Таблиця 1'!$B:$B,$A26,'Таблиця 1'!$I:$I,"F-16",'Таблиця 1'!$J:$J,"GBU-62")+SUMIFS('Таблиця 1'!$K:$K,'Таблиця 1'!$B:$B,$A26,'Таблиця 1'!$I:$I,"МіГ-29",'Таблиця 1'!$J:$J,"GBU-62")+SUMIFS('Таблиця 1'!$K:$K,'Таблиця 1'!$B:$B,$A26,'Таблиця 1'!$I:$I,"Су-25",'Таблиця 1'!$J:$J,"GBU-62")+SUMIFS('Таблиця 1'!$K:$K,'Таблиця 1'!$B:$B,$A26,'Таблиця 1'!$I:$I,"Су-27",'Таблиця 1'!$J:$J,"GBU-62"))</f>
        <v/>
      </c>
      <c r="N26">
        <f>IF($A26="","",SUMIFS('Таблиця 1'!$K:$K,'Таблиця 1'!$B:$B,$A26,'Таблиця 1'!$I:$I,"Mirage",'Таблиця 1'!$J:$J,"GBU-64")+SUMIFS('Таблиця 1'!$K:$K,'Таблиця 1'!$B:$B,$A26,'Таблиця 1'!$I:$I,"F-16",'Таблиця 1'!$J:$J,"GBU-64")+SUMIFS('Таблиця 1'!$K:$K,'Таблиця 1'!$B:$B,$A26,'Таблиця 1'!$I:$I,"МіГ-29",'Таблиця 1'!$J:$J,"GBU-64")+SUMIFS('Таблиця 1'!$K:$K,'Таблиця 1'!$B:$B,$A26,'Таблиця 1'!$I:$I,"Су-25",'Таблиця 1'!$J:$J,"GBU-64")+SUMIFS('Таблиця 1'!$K:$K,'Таблиця 1'!$B:$B,$A26,'Таблиця 1'!$I:$I,"Су-27",'Таблиця 1'!$J:$J,"GBU-64"))</f>
        <v/>
      </c>
      <c r="O26">
        <f>IF($A26="","",SUMIFS('Таблиця 1'!$K:$K,'Таблиця 1'!$B:$B,$A26,'Таблиця 1'!$I:$I,"Mirage",'Таблиця 1'!$J:$J,"C-13")+SUMIFS('Таблиця 1'!$K:$K,'Таблиця 1'!$B:$B,$A26,'Таблиця 1'!$I:$I,"F-16",'Таблиця 1'!$J:$J,"C-13")+SUMIFS('Таблиця 1'!$K:$K,'Таблиця 1'!$B:$B,$A26,'Таблиця 1'!$I:$I,"МіГ-29",'Таблиця 1'!$J:$J,"C-13")+SUMIFS('Таблиця 1'!$K:$K,'Таблиця 1'!$B:$B,$A26,'Таблиця 1'!$I:$I,"Су-25",'Таблиця 1'!$J:$J,"C-13")+SUMIFS('Таблиця 1'!$K:$K,'Таблиця 1'!$B:$B,$A26,'Таблиця 1'!$I:$I,"Су-27",'Таблиця 1'!$J:$J,"C-13"))</f>
        <v/>
      </c>
      <c r="P26">
        <f>IF($A26="","",SUMIFS('Таблиця 1'!$K:$K,'Таблиця 1'!$B:$B,$A26,'Таблиця 1'!$I:$I,"Mirage",'Таблиця 1'!$J:$J,"MK-32")+SUMIFS('Таблиця 1'!$K:$K,'Таблиця 1'!$B:$B,$A26,'Таблиця 1'!$I:$I,"F-16",'Таблиця 1'!$J:$J,"MK-32")+SUMIFS('Таблиця 1'!$K:$K,'Таблиця 1'!$B:$B,$A26,'Таблиця 1'!$I:$I,"МіГ-29",'Таблиця 1'!$J:$J,"MK-32")+SUMIFS('Таблиця 1'!$K:$K,'Таблиця 1'!$B:$B,$A26,'Таблиця 1'!$I:$I,"Су-25",'Таблиця 1'!$J:$J,"MK-32")+SUMIFS('Таблиця 1'!$K:$K,'Таблиця 1'!$B:$B,$A26,'Таблиця 1'!$I:$I,"Су-27",'Таблиця 1'!$J:$J,"MK-32"))</f>
        <v/>
      </c>
      <c r="Q26">
        <f>IF($A26="","",SUMIFS('Таблиця 1'!$K:$K,'Таблиця 1'!$B:$B,$A26,'Таблиця 1'!$I:$I,"Mirage",'Таблиця 1'!$J:$J,"MK-24")+SUMIFS('Таблиця 1'!$K:$K,'Таблиця 1'!$B:$B,$A26,'Таблиця 1'!$I:$I,"F-16",'Таблиця 1'!$J:$J,"MK-24")+SUMIFS('Таблиця 1'!$K:$K,'Таблиця 1'!$B:$B,$A26,'Таблиця 1'!$I:$I,"МіГ-29",'Таблиця 1'!$J:$J,"MK-24")+SUMIFS('Таблиця 1'!$K:$K,'Таблиця 1'!$B:$B,$A26,'Таблиця 1'!$I:$I,"Су-25",'Таблиця 1'!$J:$J,"MK-24")+SUMIFS('Таблиця 1'!$K:$K,'Таблиця 1'!$B:$B,$A26,'Таблиця 1'!$I:$I,"Су-27",'Таблиця 1'!$J:$J,"MK-24"))</f>
        <v/>
      </c>
      <c r="R26">
        <f>IF($A26="","",COUNTIFS('Таблиця 1'!$B:$B,$A26,'Таблиця 1'!$I:$I,"Mirage",'Таблиця 1'!$L:$L,"Уражено")+COUNTIFS('Таблиця 1'!$B:$B,$A26,'Таблиця 1'!$I:$I,"F-16",'Таблиця 1'!$L:$L,"Уражено")+COUNTIFS('Таблиця 1'!$B:$B,$A26,'Таблиця 1'!$I:$I,"МіГ-29",'Таблиця 1'!$L:$L,"Уражено")+COUNTIFS('Таблиця 1'!$B:$B,$A26,'Таблиця 1'!$I:$I,"Су-25",'Таблиця 1'!$L:$L,"Уражено")+COUNTIFS('Таблиця 1'!$B:$B,$A26,'Таблиця 1'!$I:$I,"Су-27",'Таблиця 1'!$L:$L,"Уражено"))</f>
        <v/>
      </c>
      <c r="S26">
        <f>IF($A26="","",COUNTIFS('Таблиця 1'!$B:$B,$A26,'Таблиця 1'!$I:$I,"Mirage",'Таблиця 1'!$L:$L,"НЕ уражено")+COUNTIFS('Таблиця 1'!$B:$B,$A26,'Таблиця 1'!$I:$I,"F-16",'Таблиця 1'!$L:$L,"НЕ уражено")+COUNTIFS('Таблиця 1'!$B:$B,$A26,'Таблиця 1'!$I:$I,"МіГ-29",'Таблиця 1'!$L:$L,"НЕ уражено")+COUNTIFS('Таблиця 1'!$B:$B,$A26,'Таблиця 1'!$I:$I,"Су-25",'Таблиця 1'!$L:$L,"НЕ уражено")+COUNTIFS('Таблиця 1'!$B:$B,$A26,'Таблиця 1'!$I:$I,"Су-27",'Таблиця 1'!$L:$L,"НЕ уражено"))</f>
        <v/>
      </c>
      <c r="T26">
        <f>IF($A26="","",COUNTIFS('Таблиця 1'!$B:$B,$A26,'Таблиця 1'!$I:$I,"Mirage",'Таблиця 1'!$L:$L,"Дорозвідується")+COUNTIFS('Таблиця 1'!$B:$B,$A26,'Таблиця 1'!$I:$I,"F-16",'Таблиця 1'!$L:$L,"Дорозвідується")+COUNTIFS('Таблиця 1'!$B:$B,$A26,'Таблиця 1'!$I:$I,"МіГ-29",'Таблиця 1'!$L:$L,"Дорозвідується")+COUNTIFS('Таблиця 1'!$B:$B,$A26,'Таблиця 1'!$I:$I,"Су-25",'Таблиця 1'!$L:$L,"Дорозвідується")+COUNTIFS('Таблиця 1'!$B:$B,$A26,'Таблиця 1'!$I:$I,"Су-27",'Таблиця 1'!$L:$L,"Дорозвідується"))</f>
        <v/>
      </c>
    </row>
    <row r="27">
      <c r="A27" s="273">
        <f>IF(A26="","",IF(A26+1&gt;MAX('Таблиця 1'!$B:$B),"",A26+1))</f>
        <v/>
      </c>
      <c r="B27">
        <f>IF($A27="","",COUNTIFS('Таблиця 1'!$B:$B,$A27,'Таблиця 1'!$I:$I,"Mirage")+COUNTIFS('Таблиця 1'!$B:$B,$A27,'Таблиця 1'!$I:$I,"F-16")+COUNTIFS('Таблиця 1'!$B:$B,$A27,'Таблиця 1'!$I:$I,"МіГ-29")+COUNTIFS('Таблиця 1'!$B:$B,$A27,'Таблиця 1'!$I:$I,"Су-25")+COUNTIFS('Таблиця 1'!$B:$B,$A27,'Таблиця 1'!$I:$I,"Су-27"))</f>
        <v/>
      </c>
      <c r="C27">
        <f>IF($A27="","",COUNTIFS('Таблиця 1'!$B:$B,$A27,'Таблиця 1'!$I:$I,"Mirage"))</f>
        <v/>
      </c>
      <c r="D27">
        <f>IF($A27="","",COUNTIFS('Таблиця 1'!$B:$B,$A27,'Таблиця 1'!$I:$I,"F-16"))</f>
        <v/>
      </c>
      <c r="E27">
        <f>IF($A27="","",COUNTIFS('Таблиця 1'!$B:$B,$A27,'Таблиця 1'!$I:$I,"МіГ-29"))</f>
        <v/>
      </c>
      <c r="F27">
        <f>IF($A27="","",COUNTIFS('Таблиця 1'!$B:$B,$A27,'Таблиця 1'!$I:$I,"Су-25"))</f>
        <v/>
      </c>
      <c r="G27">
        <f>IF($A27="","",COUNTIFS('Таблиця 1'!$B:$B,$A27,'Таблиця 1'!$I:$I,"Су-27"))</f>
        <v/>
      </c>
      <c r="H27">
        <f>IF($A27="","",SUMIFS('Таблиця 1'!$K:$K,'Таблиця 1'!$B:$B,$A27,'Таблиця 1'!$I:$I,"Mirage",'Таблиця 1'!$J:$J,"AGM-88")+SUMIFS('Таблиця 1'!$K:$K,'Таблиця 1'!$B:$B,$A27,'Таблиця 1'!$I:$I,"F-16",'Таблиця 1'!$J:$J,"AGM-88")+SUMIFS('Таблиця 1'!$K:$K,'Таблиця 1'!$B:$B,$A27,'Таблиця 1'!$I:$I,"МіГ-29",'Таблиця 1'!$J:$J,"AGM-88")+SUMIFS('Таблиця 1'!$K:$K,'Таблиця 1'!$B:$B,$A27,'Таблиця 1'!$I:$I,"Су-25",'Таблиця 1'!$J:$J,"AGM-88")+SUMIFS('Таблиця 1'!$K:$K,'Таблиця 1'!$B:$B,$A27,'Таблиця 1'!$I:$I,"Су-27",'Таблиця 1'!$J:$J,"AGM-88"))</f>
        <v/>
      </c>
      <c r="I27">
        <f>IF($A27="","",SUMIFS('Таблиця 1'!$K:$K,'Таблиця 1'!$B:$B,$A27,'Таблиця 1'!$I:$I,"Mirage",'Таблиця 1'!$J:$J,"AASM-250")+SUMIFS('Таблиця 1'!$K:$K,'Таблиця 1'!$B:$B,$A27,'Таблиця 1'!$I:$I,"F-16",'Таблиця 1'!$J:$J,"AASM-250")+SUMIFS('Таблиця 1'!$K:$K,'Таблиця 1'!$B:$B,$A27,'Таблиця 1'!$I:$I,"МіГ-29",'Таблиця 1'!$J:$J,"AASM-250")+SUMIFS('Таблиця 1'!$K:$K,'Таблиця 1'!$B:$B,$A27,'Таблиця 1'!$I:$I,"Су-25",'Таблиця 1'!$J:$J,"AASM-250")+SUMIFS('Таблиця 1'!$K:$K,'Таблиця 1'!$B:$B,$A27,'Таблиця 1'!$I:$I,"Су-27",'Таблиця 1'!$J:$J,"AASM-250"))</f>
        <v/>
      </c>
      <c r="J27">
        <f>IF($A27="","",SUMIFS('Таблиця 1'!$K:$K,'Таблиця 1'!$B:$B,$A27,'Таблиця 1'!$I:$I,"Mirage",'Таблиця 1'!$J:$J,"GBU-39")+SUMIFS('Таблиця 1'!$K:$K,'Таблиця 1'!$B:$B,$A27,'Таблиця 1'!$I:$I,"F-16",'Таблиця 1'!$J:$J,"GBU-39")+SUMIFS('Таблиця 1'!$K:$K,'Таблиця 1'!$B:$B,$A27,'Таблиця 1'!$I:$I,"МіГ-29",'Таблиця 1'!$J:$J,"GBU-39")+SUMIFS('Таблиця 1'!$K:$K,'Таблиця 1'!$B:$B,$A27,'Таблиця 1'!$I:$I,"Су-25",'Таблиця 1'!$J:$J,"GBU-39")+SUMIFS('Таблиця 1'!$K:$K,'Таблиця 1'!$B:$B,$A27,'Таблиця 1'!$I:$I,"Су-27",'Таблиця 1'!$J:$J,"GBU-39"))</f>
        <v/>
      </c>
      <c r="K27">
        <f>IF($A27="","",SUMIFS('Таблиця 1'!$K:$K,'Таблиця 1'!$B:$B,$A27,'Таблиця 1'!$I:$I,"Mirage",'Таблиця 1'!$J:$J,"BLU-140")+SUMIFS('Таблиця 1'!$K:$K,'Таблиця 1'!$B:$B,$A27,'Таблиця 1'!$I:$I,"F-16",'Таблиця 1'!$J:$J,"BLU-140")+SUMIFS('Таблиця 1'!$K:$K,'Таблиця 1'!$B:$B,$A27,'Таблиця 1'!$I:$I,"МіГ-29",'Таблиця 1'!$J:$J,"BLU-140")+SUMIFS('Таблиця 1'!$K:$K,'Таблиця 1'!$B:$B,$A27,'Таблиця 1'!$I:$I,"Су-25",'Таблиця 1'!$J:$J,"BLU-140")+SUMIFS('Таблиця 1'!$K:$K,'Таблиця 1'!$B:$B,$A27,'Таблиця 1'!$I:$I,"Су-27",'Таблиця 1'!$J:$J,"BLU-140"))</f>
        <v/>
      </c>
      <c r="L27">
        <f>IF($A27="","",SUMIFS('Таблиця 1'!$K:$K,'Таблиця 1'!$B:$B,$A27,'Таблиця 1'!$I:$I,"Mirage",'Таблиця 1'!$J:$J,"GBU-65")+SUMIFS('Таблиця 1'!$K:$K,'Таблиця 1'!$B:$B,$A27,'Таблиця 1'!$I:$I,"F-16",'Таблиця 1'!$J:$J,"GBU-65")+SUMIFS('Таблиця 1'!$K:$K,'Таблиця 1'!$B:$B,$A27,'Таблиця 1'!$I:$I,"МіГ-29",'Таблиця 1'!$J:$J,"GBU-65")+SUMIFS('Таблиця 1'!$K:$K,'Таблиця 1'!$B:$B,$A27,'Таблиця 1'!$I:$I,"Су-25",'Таблиця 1'!$J:$J,"GBU-65")+SUMIFS('Таблиця 1'!$K:$K,'Таблиця 1'!$B:$B,$A27,'Таблиця 1'!$I:$I,"Су-27",'Таблиця 1'!$J:$J,"GBU-65"))</f>
        <v/>
      </c>
      <c r="M27">
        <f>IF($A27="","",SUMIFS('Таблиця 1'!$K:$K,'Таблиця 1'!$B:$B,$A27,'Таблиця 1'!$I:$I,"Mirage",'Таблиця 1'!$J:$J,"GBU-62")+SUMIFS('Таблиця 1'!$K:$K,'Таблиця 1'!$B:$B,$A27,'Таблиця 1'!$I:$I,"F-16",'Таблиця 1'!$J:$J,"GBU-62")+SUMIFS('Таблиця 1'!$K:$K,'Таблиця 1'!$B:$B,$A27,'Таблиця 1'!$I:$I,"МіГ-29",'Таблиця 1'!$J:$J,"GBU-62")+SUMIFS('Таблиця 1'!$K:$K,'Таблиця 1'!$B:$B,$A27,'Таблиця 1'!$I:$I,"Су-25",'Таблиця 1'!$J:$J,"GBU-62")+SUMIFS('Таблиця 1'!$K:$K,'Таблиця 1'!$B:$B,$A27,'Таблиця 1'!$I:$I,"Су-27",'Таблиця 1'!$J:$J,"GBU-62"))</f>
        <v/>
      </c>
      <c r="N27">
        <f>IF($A27="","",SUMIFS('Таблиця 1'!$K:$K,'Таблиця 1'!$B:$B,$A27,'Таблиця 1'!$I:$I,"Mirage",'Таблиця 1'!$J:$J,"GBU-64")+SUMIFS('Таблиця 1'!$K:$K,'Таблиця 1'!$B:$B,$A27,'Таблиця 1'!$I:$I,"F-16",'Таблиця 1'!$J:$J,"GBU-64")+SUMIFS('Таблиця 1'!$K:$K,'Таблиця 1'!$B:$B,$A27,'Таблиця 1'!$I:$I,"МіГ-29",'Таблиця 1'!$J:$J,"GBU-64")+SUMIFS('Таблиця 1'!$K:$K,'Таблиця 1'!$B:$B,$A27,'Таблиця 1'!$I:$I,"Су-25",'Таблиця 1'!$J:$J,"GBU-64")+SUMIFS('Таблиця 1'!$K:$K,'Таблиця 1'!$B:$B,$A27,'Таблиця 1'!$I:$I,"Су-27",'Таблиця 1'!$J:$J,"GBU-64"))</f>
        <v/>
      </c>
      <c r="O27">
        <f>IF($A27="","",SUMIFS('Таблиця 1'!$K:$K,'Таблиця 1'!$B:$B,$A27,'Таблиця 1'!$I:$I,"Mirage",'Таблиця 1'!$J:$J,"C-13")+SUMIFS('Таблиця 1'!$K:$K,'Таблиця 1'!$B:$B,$A27,'Таблиця 1'!$I:$I,"F-16",'Таблиця 1'!$J:$J,"C-13")+SUMIFS('Таблиця 1'!$K:$K,'Таблиця 1'!$B:$B,$A27,'Таблиця 1'!$I:$I,"МіГ-29",'Таблиця 1'!$J:$J,"C-13")+SUMIFS('Таблиця 1'!$K:$K,'Таблиця 1'!$B:$B,$A27,'Таблиця 1'!$I:$I,"Су-25",'Таблиця 1'!$J:$J,"C-13")+SUMIFS('Таблиця 1'!$K:$K,'Таблиця 1'!$B:$B,$A27,'Таблиця 1'!$I:$I,"Су-27",'Таблиця 1'!$J:$J,"C-13"))</f>
        <v/>
      </c>
      <c r="P27">
        <f>IF($A27="","",SUMIFS('Таблиця 1'!$K:$K,'Таблиця 1'!$B:$B,$A27,'Таблиця 1'!$I:$I,"Mirage",'Таблиця 1'!$J:$J,"MK-32")+SUMIFS('Таблиця 1'!$K:$K,'Таблиця 1'!$B:$B,$A27,'Таблиця 1'!$I:$I,"F-16",'Таблиця 1'!$J:$J,"MK-32")+SUMIFS('Таблиця 1'!$K:$K,'Таблиця 1'!$B:$B,$A27,'Таблиця 1'!$I:$I,"МіГ-29",'Таблиця 1'!$J:$J,"MK-32")+SUMIFS('Таблиця 1'!$K:$K,'Таблиця 1'!$B:$B,$A27,'Таблиця 1'!$I:$I,"Су-25",'Таблиця 1'!$J:$J,"MK-32")+SUMIFS('Таблиця 1'!$K:$K,'Таблиця 1'!$B:$B,$A27,'Таблиця 1'!$I:$I,"Су-27",'Таблиця 1'!$J:$J,"MK-32"))</f>
        <v/>
      </c>
      <c r="Q27">
        <f>IF($A27="","",SUMIFS('Таблиця 1'!$K:$K,'Таблиця 1'!$B:$B,$A27,'Таблиця 1'!$I:$I,"Mirage",'Таблиця 1'!$J:$J,"MK-24")+SUMIFS('Таблиця 1'!$K:$K,'Таблиця 1'!$B:$B,$A27,'Таблиця 1'!$I:$I,"F-16",'Таблиця 1'!$J:$J,"MK-24")+SUMIFS('Таблиця 1'!$K:$K,'Таблиця 1'!$B:$B,$A27,'Таблиця 1'!$I:$I,"МіГ-29",'Таблиця 1'!$J:$J,"MK-24")+SUMIFS('Таблиця 1'!$K:$K,'Таблиця 1'!$B:$B,$A27,'Таблиця 1'!$I:$I,"Су-25",'Таблиця 1'!$J:$J,"MK-24")+SUMIFS('Таблиця 1'!$K:$K,'Таблиця 1'!$B:$B,$A27,'Таблиця 1'!$I:$I,"Су-27",'Таблиця 1'!$J:$J,"MK-24"))</f>
        <v/>
      </c>
      <c r="R27">
        <f>IF($A27="","",COUNTIFS('Таблиця 1'!$B:$B,$A27,'Таблиця 1'!$I:$I,"Mirage",'Таблиця 1'!$L:$L,"Уражено")+COUNTIFS('Таблиця 1'!$B:$B,$A27,'Таблиця 1'!$I:$I,"F-16",'Таблиця 1'!$L:$L,"Уражено")+COUNTIFS('Таблиця 1'!$B:$B,$A27,'Таблиця 1'!$I:$I,"МіГ-29",'Таблиця 1'!$L:$L,"Уражено")+COUNTIFS('Таблиця 1'!$B:$B,$A27,'Таблиця 1'!$I:$I,"Су-25",'Таблиця 1'!$L:$L,"Уражено")+COUNTIFS('Таблиця 1'!$B:$B,$A27,'Таблиця 1'!$I:$I,"Су-27",'Таблиця 1'!$L:$L,"Уражено"))</f>
        <v/>
      </c>
      <c r="S27">
        <f>IF($A27="","",COUNTIFS('Таблиця 1'!$B:$B,$A27,'Таблиця 1'!$I:$I,"Mirage",'Таблиця 1'!$L:$L,"НЕ уражено")+COUNTIFS('Таблиця 1'!$B:$B,$A27,'Таблиця 1'!$I:$I,"F-16",'Таблиця 1'!$L:$L,"НЕ уражено")+COUNTIFS('Таблиця 1'!$B:$B,$A27,'Таблиця 1'!$I:$I,"МіГ-29",'Таблиця 1'!$L:$L,"НЕ уражено")+COUNTIFS('Таблиця 1'!$B:$B,$A27,'Таблиця 1'!$I:$I,"Су-25",'Таблиця 1'!$L:$L,"НЕ уражено")+COUNTIFS('Таблиця 1'!$B:$B,$A27,'Таблиця 1'!$I:$I,"Су-27",'Таблиця 1'!$L:$L,"НЕ уражено"))</f>
        <v/>
      </c>
      <c r="T27">
        <f>IF($A27="","",COUNTIFS('Таблиця 1'!$B:$B,$A27,'Таблиця 1'!$I:$I,"Mirage",'Таблиця 1'!$L:$L,"Дорозвідується")+COUNTIFS('Таблиця 1'!$B:$B,$A27,'Таблиця 1'!$I:$I,"F-16",'Таблиця 1'!$L:$L,"Дорозвідується")+COUNTIFS('Таблиця 1'!$B:$B,$A27,'Таблиця 1'!$I:$I,"МіГ-29",'Таблиця 1'!$L:$L,"Дорозвідується")+COUNTIFS('Таблиця 1'!$B:$B,$A27,'Таблиця 1'!$I:$I,"Су-25",'Таблиця 1'!$L:$L,"Дорозвідується")+COUNTIFS('Таблиця 1'!$B:$B,$A27,'Таблиця 1'!$I:$I,"Су-27",'Таблиця 1'!$L:$L,"Дорозвідується"))</f>
        <v/>
      </c>
    </row>
    <row r="28">
      <c r="A28" s="273">
        <f>IF(A27="","",IF(A27+1&gt;MAX('Таблиця 1'!$B:$B),"",A27+1))</f>
        <v/>
      </c>
      <c r="B28">
        <f>IF($A28="","",COUNTIFS('Таблиця 1'!$B:$B,$A28,'Таблиця 1'!$I:$I,"Mirage")+COUNTIFS('Таблиця 1'!$B:$B,$A28,'Таблиця 1'!$I:$I,"F-16")+COUNTIFS('Таблиця 1'!$B:$B,$A28,'Таблиця 1'!$I:$I,"МіГ-29")+COUNTIFS('Таблиця 1'!$B:$B,$A28,'Таблиця 1'!$I:$I,"Су-25")+COUNTIFS('Таблиця 1'!$B:$B,$A28,'Таблиця 1'!$I:$I,"Су-27"))</f>
        <v/>
      </c>
      <c r="C28">
        <f>IF($A28="","",COUNTIFS('Таблиця 1'!$B:$B,$A28,'Таблиця 1'!$I:$I,"Mirage"))</f>
        <v/>
      </c>
      <c r="D28">
        <f>IF($A28="","",COUNTIFS('Таблиця 1'!$B:$B,$A28,'Таблиця 1'!$I:$I,"F-16"))</f>
        <v/>
      </c>
      <c r="E28">
        <f>IF($A28="","",COUNTIFS('Таблиця 1'!$B:$B,$A28,'Таблиця 1'!$I:$I,"МіГ-29"))</f>
        <v/>
      </c>
      <c r="F28">
        <f>IF($A28="","",COUNTIFS('Таблиця 1'!$B:$B,$A28,'Таблиця 1'!$I:$I,"Су-25"))</f>
        <v/>
      </c>
      <c r="G28">
        <f>IF($A28="","",COUNTIFS('Таблиця 1'!$B:$B,$A28,'Таблиця 1'!$I:$I,"Су-27"))</f>
        <v/>
      </c>
      <c r="H28">
        <f>IF($A28="","",SUMIFS('Таблиця 1'!$K:$K,'Таблиця 1'!$B:$B,$A28,'Таблиця 1'!$I:$I,"Mirage",'Таблиця 1'!$J:$J,"AGM-88")+SUMIFS('Таблиця 1'!$K:$K,'Таблиця 1'!$B:$B,$A28,'Таблиця 1'!$I:$I,"F-16",'Таблиця 1'!$J:$J,"AGM-88")+SUMIFS('Таблиця 1'!$K:$K,'Таблиця 1'!$B:$B,$A28,'Таблиця 1'!$I:$I,"МіГ-29",'Таблиця 1'!$J:$J,"AGM-88")+SUMIFS('Таблиця 1'!$K:$K,'Таблиця 1'!$B:$B,$A28,'Таблиця 1'!$I:$I,"Су-25",'Таблиця 1'!$J:$J,"AGM-88")+SUMIFS('Таблиця 1'!$K:$K,'Таблиця 1'!$B:$B,$A28,'Таблиця 1'!$I:$I,"Су-27",'Таблиця 1'!$J:$J,"AGM-88"))</f>
        <v/>
      </c>
      <c r="I28">
        <f>IF($A28="","",SUMIFS('Таблиця 1'!$K:$K,'Таблиця 1'!$B:$B,$A28,'Таблиця 1'!$I:$I,"Mirage",'Таблиця 1'!$J:$J,"AASM-250")+SUMIFS('Таблиця 1'!$K:$K,'Таблиця 1'!$B:$B,$A28,'Таблиця 1'!$I:$I,"F-16",'Таблиця 1'!$J:$J,"AASM-250")+SUMIFS('Таблиця 1'!$K:$K,'Таблиця 1'!$B:$B,$A28,'Таблиця 1'!$I:$I,"МіГ-29",'Таблиця 1'!$J:$J,"AASM-250")+SUMIFS('Таблиця 1'!$K:$K,'Таблиця 1'!$B:$B,$A28,'Таблиця 1'!$I:$I,"Су-25",'Таблиця 1'!$J:$J,"AASM-250")+SUMIFS('Таблиця 1'!$K:$K,'Таблиця 1'!$B:$B,$A28,'Таблиця 1'!$I:$I,"Су-27",'Таблиця 1'!$J:$J,"AASM-250"))</f>
        <v/>
      </c>
      <c r="J28">
        <f>IF($A28="","",SUMIFS('Таблиця 1'!$K:$K,'Таблиця 1'!$B:$B,$A28,'Таблиця 1'!$I:$I,"Mirage",'Таблиця 1'!$J:$J,"GBU-39")+SUMIFS('Таблиця 1'!$K:$K,'Таблиця 1'!$B:$B,$A28,'Таблиця 1'!$I:$I,"F-16",'Таблиця 1'!$J:$J,"GBU-39")+SUMIFS('Таблиця 1'!$K:$K,'Таблиця 1'!$B:$B,$A28,'Таблиця 1'!$I:$I,"МіГ-29",'Таблиця 1'!$J:$J,"GBU-39")+SUMIFS('Таблиця 1'!$K:$K,'Таблиця 1'!$B:$B,$A28,'Таблиця 1'!$I:$I,"Су-25",'Таблиця 1'!$J:$J,"GBU-39")+SUMIFS('Таблиця 1'!$K:$K,'Таблиця 1'!$B:$B,$A28,'Таблиця 1'!$I:$I,"Су-27",'Таблиця 1'!$J:$J,"GBU-39"))</f>
        <v/>
      </c>
      <c r="K28">
        <f>IF($A28="","",SUMIFS('Таблиця 1'!$K:$K,'Таблиця 1'!$B:$B,$A28,'Таблиця 1'!$I:$I,"Mirage",'Таблиця 1'!$J:$J,"BLU-140")+SUMIFS('Таблиця 1'!$K:$K,'Таблиця 1'!$B:$B,$A28,'Таблиця 1'!$I:$I,"F-16",'Таблиця 1'!$J:$J,"BLU-140")+SUMIFS('Таблиця 1'!$K:$K,'Таблиця 1'!$B:$B,$A28,'Таблиця 1'!$I:$I,"МіГ-29",'Таблиця 1'!$J:$J,"BLU-140")+SUMIFS('Таблиця 1'!$K:$K,'Таблиця 1'!$B:$B,$A28,'Таблиця 1'!$I:$I,"Су-25",'Таблиця 1'!$J:$J,"BLU-140")+SUMIFS('Таблиця 1'!$K:$K,'Таблиця 1'!$B:$B,$A28,'Таблиця 1'!$I:$I,"Су-27",'Таблиця 1'!$J:$J,"BLU-140"))</f>
        <v/>
      </c>
      <c r="L28">
        <f>IF($A28="","",SUMIFS('Таблиця 1'!$K:$K,'Таблиця 1'!$B:$B,$A28,'Таблиця 1'!$I:$I,"Mirage",'Таблиця 1'!$J:$J,"GBU-65")+SUMIFS('Таблиця 1'!$K:$K,'Таблиця 1'!$B:$B,$A28,'Таблиця 1'!$I:$I,"F-16",'Таблиця 1'!$J:$J,"GBU-65")+SUMIFS('Таблиця 1'!$K:$K,'Таблиця 1'!$B:$B,$A28,'Таблиця 1'!$I:$I,"МіГ-29",'Таблиця 1'!$J:$J,"GBU-65")+SUMIFS('Таблиця 1'!$K:$K,'Таблиця 1'!$B:$B,$A28,'Таблиця 1'!$I:$I,"Су-25",'Таблиця 1'!$J:$J,"GBU-65")+SUMIFS('Таблиця 1'!$K:$K,'Таблиця 1'!$B:$B,$A28,'Таблиця 1'!$I:$I,"Су-27",'Таблиця 1'!$J:$J,"GBU-65"))</f>
        <v/>
      </c>
      <c r="M28">
        <f>IF($A28="","",SUMIFS('Таблиця 1'!$K:$K,'Таблиця 1'!$B:$B,$A28,'Таблиця 1'!$I:$I,"Mirage",'Таблиця 1'!$J:$J,"GBU-62")+SUMIFS('Таблиця 1'!$K:$K,'Таблиця 1'!$B:$B,$A28,'Таблиця 1'!$I:$I,"F-16",'Таблиця 1'!$J:$J,"GBU-62")+SUMIFS('Таблиця 1'!$K:$K,'Таблиця 1'!$B:$B,$A28,'Таблиця 1'!$I:$I,"МіГ-29",'Таблиця 1'!$J:$J,"GBU-62")+SUMIFS('Таблиця 1'!$K:$K,'Таблиця 1'!$B:$B,$A28,'Таблиця 1'!$I:$I,"Су-25",'Таблиця 1'!$J:$J,"GBU-62")+SUMIFS('Таблиця 1'!$K:$K,'Таблиця 1'!$B:$B,$A28,'Таблиця 1'!$I:$I,"Су-27",'Таблиця 1'!$J:$J,"GBU-62"))</f>
        <v/>
      </c>
      <c r="N28">
        <f>IF($A28="","",SUMIFS('Таблиця 1'!$K:$K,'Таблиця 1'!$B:$B,$A28,'Таблиця 1'!$I:$I,"Mirage",'Таблиця 1'!$J:$J,"GBU-64")+SUMIFS('Таблиця 1'!$K:$K,'Таблиця 1'!$B:$B,$A28,'Таблиця 1'!$I:$I,"F-16",'Таблиця 1'!$J:$J,"GBU-64")+SUMIFS('Таблиця 1'!$K:$K,'Таблиця 1'!$B:$B,$A28,'Таблиця 1'!$I:$I,"МіГ-29",'Таблиця 1'!$J:$J,"GBU-64")+SUMIFS('Таблиця 1'!$K:$K,'Таблиця 1'!$B:$B,$A28,'Таблиця 1'!$I:$I,"Су-25",'Таблиця 1'!$J:$J,"GBU-64")+SUMIFS('Таблиця 1'!$K:$K,'Таблиця 1'!$B:$B,$A28,'Таблиця 1'!$I:$I,"Су-27",'Таблиця 1'!$J:$J,"GBU-64"))</f>
        <v/>
      </c>
      <c r="O28">
        <f>IF($A28="","",SUMIFS('Таблиця 1'!$K:$K,'Таблиця 1'!$B:$B,$A28,'Таблиця 1'!$I:$I,"Mirage",'Таблиця 1'!$J:$J,"C-13")+SUMIFS('Таблиця 1'!$K:$K,'Таблиця 1'!$B:$B,$A28,'Таблиця 1'!$I:$I,"F-16",'Таблиця 1'!$J:$J,"C-13")+SUMIFS('Таблиця 1'!$K:$K,'Таблиця 1'!$B:$B,$A28,'Таблиця 1'!$I:$I,"МіГ-29",'Таблиця 1'!$J:$J,"C-13")+SUMIFS('Таблиця 1'!$K:$K,'Таблиця 1'!$B:$B,$A28,'Таблиця 1'!$I:$I,"Су-25",'Таблиця 1'!$J:$J,"C-13")+SUMIFS('Таблиця 1'!$K:$K,'Таблиця 1'!$B:$B,$A28,'Таблиця 1'!$I:$I,"Су-27",'Таблиця 1'!$J:$J,"C-13"))</f>
        <v/>
      </c>
      <c r="P28">
        <f>IF($A28="","",SUMIFS('Таблиця 1'!$K:$K,'Таблиця 1'!$B:$B,$A28,'Таблиця 1'!$I:$I,"Mirage",'Таблиця 1'!$J:$J,"MK-32")+SUMIFS('Таблиця 1'!$K:$K,'Таблиця 1'!$B:$B,$A28,'Таблиця 1'!$I:$I,"F-16",'Таблиця 1'!$J:$J,"MK-32")+SUMIFS('Таблиця 1'!$K:$K,'Таблиця 1'!$B:$B,$A28,'Таблиця 1'!$I:$I,"МіГ-29",'Таблиця 1'!$J:$J,"MK-32")+SUMIFS('Таблиця 1'!$K:$K,'Таблиця 1'!$B:$B,$A28,'Таблиця 1'!$I:$I,"Су-25",'Таблиця 1'!$J:$J,"MK-32")+SUMIFS('Таблиця 1'!$K:$K,'Таблиця 1'!$B:$B,$A28,'Таблиця 1'!$I:$I,"Су-27",'Таблиця 1'!$J:$J,"MK-32"))</f>
        <v/>
      </c>
      <c r="Q28">
        <f>IF($A28="","",SUMIFS('Таблиця 1'!$K:$K,'Таблиця 1'!$B:$B,$A28,'Таблиця 1'!$I:$I,"Mirage",'Таблиця 1'!$J:$J,"MK-24")+SUMIFS('Таблиця 1'!$K:$K,'Таблиця 1'!$B:$B,$A28,'Таблиця 1'!$I:$I,"F-16",'Таблиця 1'!$J:$J,"MK-24")+SUMIFS('Таблиця 1'!$K:$K,'Таблиця 1'!$B:$B,$A28,'Таблиця 1'!$I:$I,"МіГ-29",'Таблиця 1'!$J:$J,"MK-24")+SUMIFS('Таблиця 1'!$K:$K,'Таблиця 1'!$B:$B,$A28,'Таблиця 1'!$I:$I,"Су-25",'Таблиця 1'!$J:$J,"MK-24")+SUMIFS('Таблиця 1'!$K:$K,'Таблиця 1'!$B:$B,$A28,'Таблиця 1'!$I:$I,"Су-27",'Таблиця 1'!$J:$J,"MK-24"))</f>
        <v/>
      </c>
      <c r="R28">
        <f>IF($A28="","",COUNTIFS('Таблиця 1'!$B:$B,$A28,'Таблиця 1'!$I:$I,"Mirage",'Таблиця 1'!$L:$L,"Уражено")+COUNTIFS('Таблиця 1'!$B:$B,$A28,'Таблиця 1'!$I:$I,"F-16",'Таблиця 1'!$L:$L,"Уражено")+COUNTIFS('Таблиця 1'!$B:$B,$A28,'Таблиця 1'!$I:$I,"МіГ-29",'Таблиця 1'!$L:$L,"Уражено")+COUNTIFS('Таблиця 1'!$B:$B,$A28,'Таблиця 1'!$I:$I,"Су-25",'Таблиця 1'!$L:$L,"Уражено")+COUNTIFS('Таблиця 1'!$B:$B,$A28,'Таблиця 1'!$I:$I,"Су-27",'Таблиця 1'!$L:$L,"Уражено"))</f>
        <v/>
      </c>
      <c r="S28">
        <f>IF($A28="","",COUNTIFS('Таблиця 1'!$B:$B,$A28,'Таблиця 1'!$I:$I,"Mirage",'Таблиця 1'!$L:$L,"НЕ уражено")+COUNTIFS('Таблиця 1'!$B:$B,$A28,'Таблиця 1'!$I:$I,"F-16",'Таблиця 1'!$L:$L,"НЕ уражено")+COUNTIFS('Таблиця 1'!$B:$B,$A28,'Таблиця 1'!$I:$I,"МіГ-29",'Таблиця 1'!$L:$L,"НЕ уражено")+COUNTIFS('Таблиця 1'!$B:$B,$A28,'Таблиця 1'!$I:$I,"Су-25",'Таблиця 1'!$L:$L,"НЕ уражено")+COUNTIFS('Таблиця 1'!$B:$B,$A28,'Таблиця 1'!$I:$I,"Су-27",'Таблиця 1'!$L:$L,"НЕ уражено"))</f>
        <v/>
      </c>
      <c r="T28">
        <f>IF($A28="","",COUNTIFS('Таблиця 1'!$B:$B,$A28,'Таблиця 1'!$I:$I,"Mirage",'Таблиця 1'!$L:$L,"Дорозвідується")+COUNTIFS('Таблиця 1'!$B:$B,$A28,'Таблиця 1'!$I:$I,"F-16",'Таблиця 1'!$L:$L,"Дорозвідується")+COUNTIFS('Таблиця 1'!$B:$B,$A28,'Таблиця 1'!$I:$I,"МіГ-29",'Таблиця 1'!$L:$L,"Дорозвідується")+COUNTIFS('Таблиця 1'!$B:$B,$A28,'Таблиця 1'!$I:$I,"Су-25",'Таблиця 1'!$L:$L,"Дорозвідується")+COUNTIFS('Таблиця 1'!$B:$B,$A28,'Таблиця 1'!$I:$I,"Су-27",'Таблиця 1'!$L:$L,"Дорозвідується"))</f>
        <v/>
      </c>
    </row>
    <row r="29">
      <c r="A29" s="273">
        <f>IF(A28="","",IF(A28+1&gt;MAX('Таблиця 1'!$B:$B),"",A28+1))</f>
        <v/>
      </c>
      <c r="B29">
        <f>IF($A29="","",COUNTIFS('Таблиця 1'!$B:$B,$A29,'Таблиця 1'!$I:$I,"Mirage")+COUNTIFS('Таблиця 1'!$B:$B,$A29,'Таблиця 1'!$I:$I,"F-16")+COUNTIFS('Таблиця 1'!$B:$B,$A29,'Таблиця 1'!$I:$I,"МіГ-29")+COUNTIFS('Таблиця 1'!$B:$B,$A29,'Таблиця 1'!$I:$I,"Су-25")+COUNTIFS('Таблиця 1'!$B:$B,$A29,'Таблиця 1'!$I:$I,"Су-27"))</f>
        <v/>
      </c>
      <c r="C29">
        <f>IF($A29="","",COUNTIFS('Таблиця 1'!$B:$B,$A29,'Таблиця 1'!$I:$I,"Mirage"))</f>
        <v/>
      </c>
      <c r="D29">
        <f>IF($A29="","",COUNTIFS('Таблиця 1'!$B:$B,$A29,'Таблиця 1'!$I:$I,"F-16"))</f>
        <v/>
      </c>
      <c r="E29">
        <f>IF($A29="","",COUNTIFS('Таблиця 1'!$B:$B,$A29,'Таблиця 1'!$I:$I,"МіГ-29"))</f>
        <v/>
      </c>
      <c r="F29">
        <f>IF($A29="","",COUNTIFS('Таблиця 1'!$B:$B,$A29,'Таблиця 1'!$I:$I,"Су-25"))</f>
        <v/>
      </c>
      <c r="G29">
        <f>IF($A29="","",COUNTIFS('Таблиця 1'!$B:$B,$A29,'Таблиця 1'!$I:$I,"Су-27"))</f>
        <v/>
      </c>
      <c r="H29">
        <f>IF($A29="","",SUMIFS('Таблиця 1'!$K:$K,'Таблиця 1'!$B:$B,$A29,'Таблиця 1'!$I:$I,"Mirage",'Таблиця 1'!$J:$J,"AGM-88")+SUMIFS('Таблиця 1'!$K:$K,'Таблиця 1'!$B:$B,$A29,'Таблиця 1'!$I:$I,"F-16",'Таблиця 1'!$J:$J,"AGM-88")+SUMIFS('Таблиця 1'!$K:$K,'Таблиця 1'!$B:$B,$A29,'Таблиця 1'!$I:$I,"МіГ-29",'Таблиця 1'!$J:$J,"AGM-88")+SUMIFS('Таблиця 1'!$K:$K,'Таблиця 1'!$B:$B,$A29,'Таблиця 1'!$I:$I,"Су-25",'Таблиця 1'!$J:$J,"AGM-88")+SUMIFS('Таблиця 1'!$K:$K,'Таблиця 1'!$B:$B,$A29,'Таблиця 1'!$I:$I,"Су-27",'Таблиця 1'!$J:$J,"AGM-88"))</f>
        <v/>
      </c>
      <c r="I29">
        <f>IF($A29="","",SUMIFS('Таблиця 1'!$K:$K,'Таблиця 1'!$B:$B,$A29,'Таблиця 1'!$I:$I,"Mirage",'Таблиця 1'!$J:$J,"AASM-250")+SUMIFS('Таблиця 1'!$K:$K,'Таблиця 1'!$B:$B,$A29,'Таблиця 1'!$I:$I,"F-16",'Таблиця 1'!$J:$J,"AASM-250")+SUMIFS('Таблиця 1'!$K:$K,'Таблиця 1'!$B:$B,$A29,'Таблиця 1'!$I:$I,"МіГ-29",'Таблиця 1'!$J:$J,"AASM-250")+SUMIFS('Таблиця 1'!$K:$K,'Таблиця 1'!$B:$B,$A29,'Таблиця 1'!$I:$I,"Су-25",'Таблиця 1'!$J:$J,"AASM-250")+SUMIFS('Таблиця 1'!$K:$K,'Таблиця 1'!$B:$B,$A29,'Таблиця 1'!$I:$I,"Су-27",'Таблиця 1'!$J:$J,"AASM-250"))</f>
        <v/>
      </c>
      <c r="J29">
        <f>IF($A29="","",SUMIFS('Таблиця 1'!$K:$K,'Таблиця 1'!$B:$B,$A29,'Таблиця 1'!$I:$I,"Mirage",'Таблиця 1'!$J:$J,"GBU-39")+SUMIFS('Таблиця 1'!$K:$K,'Таблиця 1'!$B:$B,$A29,'Таблиця 1'!$I:$I,"F-16",'Таблиця 1'!$J:$J,"GBU-39")+SUMIFS('Таблиця 1'!$K:$K,'Таблиця 1'!$B:$B,$A29,'Таблиця 1'!$I:$I,"МіГ-29",'Таблиця 1'!$J:$J,"GBU-39")+SUMIFS('Таблиця 1'!$K:$K,'Таблиця 1'!$B:$B,$A29,'Таблиця 1'!$I:$I,"Су-25",'Таблиця 1'!$J:$J,"GBU-39")+SUMIFS('Таблиця 1'!$K:$K,'Таблиця 1'!$B:$B,$A29,'Таблиця 1'!$I:$I,"Су-27",'Таблиця 1'!$J:$J,"GBU-39"))</f>
        <v/>
      </c>
      <c r="K29">
        <f>IF($A29="","",SUMIFS('Таблиця 1'!$K:$K,'Таблиця 1'!$B:$B,$A29,'Таблиця 1'!$I:$I,"Mirage",'Таблиця 1'!$J:$J,"BLU-140")+SUMIFS('Таблиця 1'!$K:$K,'Таблиця 1'!$B:$B,$A29,'Таблиця 1'!$I:$I,"F-16",'Таблиця 1'!$J:$J,"BLU-140")+SUMIFS('Таблиця 1'!$K:$K,'Таблиця 1'!$B:$B,$A29,'Таблиця 1'!$I:$I,"МіГ-29",'Таблиця 1'!$J:$J,"BLU-140")+SUMIFS('Таблиця 1'!$K:$K,'Таблиця 1'!$B:$B,$A29,'Таблиця 1'!$I:$I,"Су-25",'Таблиця 1'!$J:$J,"BLU-140")+SUMIFS('Таблиця 1'!$K:$K,'Таблиця 1'!$B:$B,$A29,'Таблиця 1'!$I:$I,"Су-27",'Таблиця 1'!$J:$J,"BLU-140"))</f>
        <v/>
      </c>
      <c r="L29">
        <f>IF($A29="","",SUMIFS('Таблиця 1'!$K:$K,'Таблиця 1'!$B:$B,$A29,'Таблиця 1'!$I:$I,"Mirage",'Таблиця 1'!$J:$J,"GBU-65")+SUMIFS('Таблиця 1'!$K:$K,'Таблиця 1'!$B:$B,$A29,'Таблиця 1'!$I:$I,"F-16",'Таблиця 1'!$J:$J,"GBU-65")+SUMIFS('Таблиця 1'!$K:$K,'Таблиця 1'!$B:$B,$A29,'Таблиця 1'!$I:$I,"МіГ-29",'Таблиця 1'!$J:$J,"GBU-65")+SUMIFS('Таблиця 1'!$K:$K,'Таблиця 1'!$B:$B,$A29,'Таблиця 1'!$I:$I,"Су-25",'Таблиця 1'!$J:$J,"GBU-65")+SUMIFS('Таблиця 1'!$K:$K,'Таблиця 1'!$B:$B,$A29,'Таблиця 1'!$I:$I,"Су-27",'Таблиця 1'!$J:$J,"GBU-65"))</f>
        <v/>
      </c>
      <c r="M29">
        <f>IF($A29="","",SUMIFS('Таблиця 1'!$K:$K,'Таблиця 1'!$B:$B,$A29,'Таблиця 1'!$I:$I,"Mirage",'Таблиця 1'!$J:$J,"GBU-62")+SUMIFS('Таблиця 1'!$K:$K,'Таблиця 1'!$B:$B,$A29,'Таблиця 1'!$I:$I,"F-16",'Таблиця 1'!$J:$J,"GBU-62")+SUMIFS('Таблиця 1'!$K:$K,'Таблиця 1'!$B:$B,$A29,'Таблиця 1'!$I:$I,"МіГ-29",'Таблиця 1'!$J:$J,"GBU-62")+SUMIFS('Таблиця 1'!$K:$K,'Таблиця 1'!$B:$B,$A29,'Таблиця 1'!$I:$I,"Су-25",'Таблиця 1'!$J:$J,"GBU-62")+SUMIFS('Таблиця 1'!$K:$K,'Таблиця 1'!$B:$B,$A29,'Таблиця 1'!$I:$I,"Су-27",'Таблиця 1'!$J:$J,"GBU-62"))</f>
        <v/>
      </c>
      <c r="N29">
        <f>IF($A29="","",SUMIFS('Таблиця 1'!$K:$K,'Таблиця 1'!$B:$B,$A29,'Таблиця 1'!$I:$I,"Mirage",'Таблиця 1'!$J:$J,"GBU-64")+SUMIFS('Таблиця 1'!$K:$K,'Таблиця 1'!$B:$B,$A29,'Таблиця 1'!$I:$I,"F-16",'Таблиця 1'!$J:$J,"GBU-64")+SUMIFS('Таблиця 1'!$K:$K,'Таблиця 1'!$B:$B,$A29,'Таблиця 1'!$I:$I,"МіГ-29",'Таблиця 1'!$J:$J,"GBU-64")+SUMIFS('Таблиця 1'!$K:$K,'Таблиця 1'!$B:$B,$A29,'Таблиця 1'!$I:$I,"Су-25",'Таблиця 1'!$J:$J,"GBU-64")+SUMIFS('Таблиця 1'!$K:$K,'Таблиця 1'!$B:$B,$A29,'Таблиця 1'!$I:$I,"Су-27",'Таблиця 1'!$J:$J,"GBU-64"))</f>
        <v/>
      </c>
      <c r="O29">
        <f>IF($A29="","",SUMIFS('Таблиця 1'!$K:$K,'Таблиця 1'!$B:$B,$A29,'Таблиця 1'!$I:$I,"Mirage",'Таблиця 1'!$J:$J,"C-13")+SUMIFS('Таблиця 1'!$K:$K,'Таблиця 1'!$B:$B,$A29,'Таблиця 1'!$I:$I,"F-16",'Таблиця 1'!$J:$J,"C-13")+SUMIFS('Таблиця 1'!$K:$K,'Таблиця 1'!$B:$B,$A29,'Таблиця 1'!$I:$I,"МіГ-29",'Таблиця 1'!$J:$J,"C-13")+SUMIFS('Таблиця 1'!$K:$K,'Таблиця 1'!$B:$B,$A29,'Таблиця 1'!$I:$I,"Су-25",'Таблиця 1'!$J:$J,"C-13")+SUMIFS('Таблиця 1'!$K:$K,'Таблиця 1'!$B:$B,$A29,'Таблиця 1'!$I:$I,"Су-27",'Таблиця 1'!$J:$J,"C-13"))</f>
        <v/>
      </c>
      <c r="P29">
        <f>IF($A29="","",SUMIFS('Таблиця 1'!$K:$K,'Таблиця 1'!$B:$B,$A29,'Таблиця 1'!$I:$I,"Mirage",'Таблиця 1'!$J:$J,"MK-32")+SUMIFS('Таблиця 1'!$K:$K,'Таблиця 1'!$B:$B,$A29,'Таблиця 1'!$I:$I,"F-16",'Таблиця 1'!$J:$J,"MK-32")+SUMIFS('Таблиця 1'!$K:$K,'Таблиця 1'!$B:$B,$A29,'Таблиця 1'!$I:$I,"МіГ-29",'Таблиця 1'!$J:$J,"MK-32")+SUMIFS('Таблиця 1'!$K:$K,'Таблиця 1'!$B:$B,$A29,'Таблиця 1'!$I:$I,"Су-25",'Таблиця 1'!$J:$J,"MK-32")+SUMIFS('Таблиця 1'!$K:$K,'Таблиця 1'!$B:$B,$A29,'Таблиця 1'!$I:$I,"Су-27",'Таблиця 1'!$J:$J,"MK-32"))</f>
        <v/>
      </c>
      <c r="Q29">
        <f>IF($A29="","",SUMIFS('Таблиця 1'!$K:$K,'Таблиця 1'!$B:$B,$A29,'Таблиця 1'!$I:$I,"Mirage",'Таблиця 1'!$J:$J,"MK-24")+SUMIFS('Таблиця 1'!$K:$K,'Таблиця 1'!$B:$B,$A29,'Таблиця 1'!$I:$I,"F-16",'Таблиця 1'!$J:$J,"MK-24")+SUMIFS('Таблиця 1'!$K:$K,'Таблиця 1'!$B:$B,$A29,'Таблиця 1'!$I:$I,"МіГ-29",'Таблиця 1'!$J:$J,"MK-24")+SUMIFS('Таблиця 1'!$K:$K,'Таблиця 1'!$B:$B,$A29,'Таблиця 1'!$I:$I,"Су-25",'Таблиця 1'!$J:$J,"MK-24")+SUMIFS('Таблиця 1'!$K:$K,'Таблиця 1'!$B:$B,$A29,'Таблиця 1'!$I:$I,"Су-27",'Таблиця 1'!$J:$J,"MK-24"))</f>
        <v/>
      </c>
      <c r="R29">
        <f>IF($A29="","",COUNTIFS('Таблиця 1'!$B:$B,$A29,'Таблиця 1'!$I:$I,"Mirage",'Таблиця 1'!$L:$L,"Уражено")+COUNTIFS('Таблиця 1'!$B:$B,$A29,'Таблиця 1'!$I:$I,"F-16",'Таблиця 1'!$L:$L,"Уражено")+COUNTIFS('Таблиця 1'!$B:$B,$A29,'Таблиця 1'!$I:$I,"МіГ-29",'Таблиця 1'!$L:$L,"Уражено")+COUNTIFS('Таблиця 1'!$B:$B,$A29,'Таблиця 1'!$I:$I,"Су-25",'Таблиця 1'!$L:$L,"Уражено")+COUNTIFS('Таблиця 1'!$B:$B,$A29,'Таблиця 1'!$I:$I,"Су-27",'Таблиця 1'!$L:$L,"Уражено"))</f>
        <v/>
      </c>
      <c r="S29">
        <f>IF($A29="","",COUNTIFS('Таблиця 1'!$B:$B,$A29,'Таблиця 1'!$I:$I,"Mirage",'Таблиця 1'!$L:$L,"НЕ уражено")+COUNTIFS('Таблиця 1'!$B:$B,$A29,'Таблиця 1'!$I:$I,"F-16",'Таблиця 1'!$L:$L,"НЕ уражено")+COUNTIFS('Таблиця 1'!$B:$B,$A29,'Таблиця 1'!$I:$I,"МіГ-29",'Таблиця 1'!$L:$L,"НЕ уражено")+COUNTIFS('Таблиця 1'!$B:$B,$A29,'Таблиця 1'!$I:$I,"Су-25",'Таблиця 1'!$L:$L,"НЕ уражено")+COUNTIFS('Таблиця 1'!$B:$B,$A29,'Таблиця 1'!$I:$I,"Су-27",'Таблиця 1'!$L:$L,"НЕ уражено"))</f>
        <v/>
      </c>
      <c r="T29">
        <f>IF($A29="","",COUNTIFS('Таблиця 1'!$B:$B,$A29,'Таблиця 1'!$I:$I,"Mirage",'Таблиця 1'!$L:$L,"Дорозвідується")+COUNTIFS('Таблиця 1'!$B:$B,$A29,'Таблиця 1'!$I:$I,"F-16",'Таблиця 1'!$L:$L,"Дорозвідується")+COUNTIFS('Таблиця 1'!$B:$B,$A29,'Таблиця 1'!$I:$I,"МіГ-29",'Таблиця 1'!$L:$L,"Дорозвідується")+COUNTIFS('Таблиця 1'!$B:$B,$A29,'Таблиця 1'!$I:$I,"Су-25",'Таблиця 1'!$L:$L,"Дорозвідується")+COUNTIFS('Таблиця 1'!$B:$B,$A29,'Таблиця 1'!$I:$I,"Су-27",'Таблиця 1'!$L:$L,"Дорозвідується"))</f>
        <v/>
      </c>
    </row>
    <row r="30">
      <c r="A30" s="273">
        <f>IF(A29="","",IF(A29+1&gt;MAX('Таблиця 1'!$B:$B),"",A29+1))</f>
        <v/>
      </c>
      <c r="B30">
        <f>IF($A30="","",COUNTIFS('Таблиця 1'!$B:$B,$A30,'Таблиця 1'!$I:$I,"Mirage")+COUNTIFS('Таблиця 1'!$B:$B,$A30,'Таблиця 1'!$I:$I,"F-16")+COUNTIFS('Таблиця 1'!$B:$B,$A30,'Таблиця 1'!$I:$I,"МіГ-29")+COUNTIFS('Таблиця 1'!$B:$B,$A30,'Таблиця 1'!$I:$I,"Су-25")+COUNTIFS('Таблиця 1'!$B:$B,$A30,'Таблиця 1'!$I:$I,"Су-27"))</f>
        <v/>
      </c>
      <c r="C30">
        <f>IF($A30="","",COUNTIFS('Таблиця 1'!$B:$B,$A30,'Таблиця 1'!$I:$I,"Mirage"))</f>
        <v/>
      </c>
      <c r="D30">
        <f>IF($A30="","",COUNTIFS('Таблиця 1'!$B:$B,$A30,'Таблиця 1'!$I:$I,"F-16"))</f>
        <v/>
      </c>
      <c r="E30">
        <f>IF($A30="","",COUNTIFS('Таблиця 1'!$B:$B,$A30,'Таблиця 1'!$I:$I,"МіГ-29"))</f>
        <v/>
      </c>
      <c r="F30">
        <f>IF($A30="","",COUNTIFS('Таблиця 1'!$B:$B,$A30,'Таблиця 1'!$I:$I,"Су-25"))</f>
        <v/>
      </c>
      <c r="G30">
        <f>IF($A30="","",COUNTIFS('Таблиця 1'!$B:$B,$A30,'Таблиця 1'!$I:$I,"Су-27"))</f>
        <v/>
      </c>
      <c r="H30">
        <f>IF($A30="","",SUMIFS('Таблиця 1'!$K:$K,'Таблиця 1'!$B:$B,$A30,'Таблиця 1'!$I:$I,"Mirage",'Таблиця 1'!$J:$J,"AGM-88")+SUMIFS('Таблиця 1'!$K:$K,'Таблиця 1'!$B:$B,$A30,'Таблиця 1'!$I:$I,"F-16",'Таблиця 1'!$J:$J,"AGM-88")+SUMIFS('Таблиця 1'!$K:$K,'Таблиця 1'!$B:$B,$A30,'Таблиця 1'!$I:$I,"МіГ-29",'Таблиця 1'!$J:$J,"AGM-88")+SUMIFS('Таблиця 1'!$K:$K,'Таблиця 1'!$B:$B,$A30,'Таблиця 1'!$I:$I,"Су-25",'Таблиця 1'!$J:$J,"AGM-88")+SUMIFS('Таблиця 1'!$K:$K,'Таблиця 1'!$B:$B,$A30,'Таблиця 1'!$I:$I,"Су-27",'Таблиця 1'!$J:$J,"AGM-88"))</f>
        <v/>
      </c>
      <c r="I30">
        <f>IF($A30="","",SUMIFS('Таблиця 1'!$K:$K,'Таблиця 1'!$B:$B,$A30,'Таблиця 1'!$I:$I,"Mirage",'Таблиця 1'!$J:$J,"AASM-250")+SUMIFS('Таблиця 1'!$K:$K,'Таблиця 1'!$B:$B,$A30,'Таблиця 1'!$I:$I,"F-16",'Таблиця 1'!$J:$J,"AASM-250")+SUMIFS('Таблиця 1'!$K:$K,'Таблиця 1'!$B:$B,$A30,'Таблиця 1'!$I:$I,"МіГ-29",'Таблиця 1'!$J:$J,"AASM-250")+SUMIFS('Таблиця 1'!$K:$K,'Таблиця 1'!$B:$B,$A30,'Таблиця 1'!$I:$I,"Су-25",'Таблиця 1'!$J:$J,"AASM-250")+SUMIFS('Таблиця 1'!$K:$K,'Таблиця 1'!$B:$B,$A30,'Таблиця 1'!$I:$I,"Су-27",'Таблиця 1'!$J:$J,"AASM-250"))</f>
        <v/>
      </c>
      <c r="J30">
        <f>IF($A30="","",SUMIFS('Таблиця 1'!$K:$K,'Таблиця 1'!$B:$B,$A30,'Таблиця 1'!$I:$I,"Mirage",'Таблиця 1'!$J:$J,"GBU-39")+SUMIFS('Таблиця 1'!$K:$K,'Таблиця 1'!$B:$B,$A30,'Таблиця 1'!$I:$I,"F-16",'Таблиця 1'!$J:$J,"GBU-39")+SUMIFS('Таблиця 1'!$K:$K,'Таблиця 1'!$B:$B,$A30,'Таблиця 1'!$I:$I,"МіГ-29",'Таблиця 1'!$J:$J,"GBU-39")+SUMIFS('Таблиця 1'!$K:$K,'Таблиця 1'!$B:$B,$A30,'Таблиця 1'!$I:$I,"Су-25",'Таблиця 1'!$J:$J,"GBU-39")+SUMIFS('Таблиця 1'!$K:$K,'Таблиця 1'!$B:$B,$A30,'Таблиця 1'!$I:$I,"Су-27",'Таблиця 1'!$J:$J,"GBU-39"))</f>
        <v/>
      </c>
      <c r="K30">
        <f>IF($A30="","",SUMIFS('Таблиця 1'!$K:$K,'Таблиця 1'!$B:$B,$A30,'Таблиця 1'!$I:$I,"Mirage",'Таблиця 1'!$J:$J,"BLU-140")+SUMIFS('Таблиця 1'!$K:$K,'Таблиця 1'!$B:$B,$A30,'Таблиця 1'!$I:$I,"F-16",'Таблиця 1'!$J:$J,"BLU-140")+SUMIFS('Таблиця 1'!$K:$K,'Таблиця 1'!$B:$B,$A30,'Таблиця 1'!$I:$I,"МіГ-29",'Таблиця 1'!$J:$J,"BLU-140")+SUMIFS('Таблиця 1'!$K:$K,'Таблиця 1'!$B:$B,$A30,'Таблиця 1'!$I:$I,"Су-25",'Таблиця 1'!$J:$J,"BLU-140")+SUMIFS('Таблиця 1'!$K:$K,'Таблиця 1'!$B:$B,$A30,'Таблиця 1'!$I:$I,"Су-27",'Таблиця 1'!$J:$J,"BLU-140"))</f>
        <v/>
      </c>
      <c r="L30">
        <f>IF($A30="","",SUMIFS('Таблиця 1'!$K:$K,'Таблиця 1'!$B:$B,$A30,'Таблиця 1'!$I:$I,"Mirage",'Таблиця 1'!$J:$J,"GBU-65")+SUMIFS('Таблиця 1'!$K:$K,'Таблиця 1'!$B:$B,$A30,'Таблиця 1'!$I:$I,"F-16",'Таблиця 1'!$J:$J,"GBU-65")+SUMIFS('Таблиця 1'!$K:$K,'Таблиця 1'!$B:$B,$A30,'Таблиця 1'!$I:$I,"МіГ-29",'Таблиця 1'!$J:$J,"GBU-65")+SUMIFS('Таблиця 1'!$K:$K,'Таблиця 1'!$B:$B,$A30,'Таблиця 1'!$I:$I,"Су-25",'Таблиця 1'!$J:$J,"GBU-65")+SUMIFS('Таблиця 1'!$K:$K,'Таблиця 1'!$B:$B,$A30,'Таблиця 1'!$I:$I,"Су-27",'Таблиця 1'!$J:$J,"GBU-65"))</f>
        <v/>
      </c>
      <c r="M30">
        <f>IF($A30="","",SUMIFS('Таблиця 1'!$K:$K,'Таблиця 1'!$B:$B,$A30,'Таблиця 1'!$I:$I,"Mirage",'Таблиця 1'!$J:$J,"GBU-62")+SUMIFS('Таблиця 1'!$K:$K,'Таблиця 1'!$B:$B,$A30,'Таблиця 1'!$I:$I,"F-16",'Таблиця 1'!$J:$J,"GBU-62")+SUMIFS('Таблиця 1'!$K:$K,'Таблиця 1'!$B:$B,$A30,'Таблиця 1'!$I:$I,"МіГ-29",'Таблиця 1'!$J:$J,"GBU-62")+SUMIFS('Таблиця 1'!$K:$K,'Таблиця 1'!$B:$B,$A30,'Таблиця 1'!$I:$I,"Су-25",'Таблиця 1'!$J:$J,"GBU-62")+SUMIFS('Таблиця 1'!$K:$K,'Таблиця 1'!$B:$B,$A30,'Таблиця 1'!$I:$I,"Су-27",'Таблиця 1'!$J:$J,"GBU-62"))</f>
        <v/>
      </c>
      <c r="N30">
        <f>IF($A30="","",SUMIFS('Таблиця 1'!$K:$K,'Таблиця 1'!$B:$B,$A30,'Таблиця 1'!$I:$I,"Mirage",'Таблиця 1'!$J:$J,"GBU-64")+SUMIFS('Таблиця 1'!$K:$K,'Таблиця 1'!$B:$B,$A30,'Таблиця 1'!$I:$I,"F-16",'Таблиця 1'!$J:$J,"GBU-64")+SUMIFS('Таблиця 1'!$K:$K,'Таблиця 1'!$B:$B,$A30,'Таблиця 1'!$I:$I,"МіГ-29",'Таблиця 1'!$J:$J,"GBU-64")+SUMIFS('Таблиця 1'!$K:$K,'Таблиця 1'!$B:$B,$A30,'Таблиця 1'!$I:$I,"Су-25",'Таблиця 1'!$J:$J,"GBU-64")+SUMIFS('Таблиця 1'!$K:$K,'Таблиця 1'!$B:$B,$A30,'Таблиця 1'!$I:$I,"Су-27",'Таблиця 1'!$J:$J,"GBU-64"))</f>
        <v/>
      </c>
      <c r="O30">
        <f>IF($A30="","",SUMIFS('Таблиця 1'!$K:$K,'Таблиця 1'!$B:$B,$A30,'Таблиця 1'!$I:$I,"Mirage",'Таблиця 1'!$J:$J,"C-13")+SUMIFS('Таблиця 1'!$K:$K,'Таблиця 1'!$B:$B,$A30,'Таблиця 1'!$I:$I,"F-16",'Таблиця 1'!$J:$J,"C-13")+SUMIFS('Таблиця 1'!$K:$K,'Таблиця 1'!$B:$B,$A30,'Таблиця 1'!$I:$I,"МіГ-29",'Таблиця 1'!$J:$J,"C-13")+SUMIFS('Таблиця 1'!$K:$K,'Таблиця 1'!$B:$B,$A30,'Таблиця 1'!$I:$I,"Су-25",'Таблиця 1'!$J:$J,"C-13")+SUMIFS('Таблиця 1'!$K:$K,'Таблиця 1'!$B:$B,$A30,'Таблиця 1'!$I:$I,"Су-27",'Таблиця 1'!$J:$J,"C-13"))</f>
        <v/>
      </c>
      <c r="P30">
        <f>IF($A30="","",SUMIFS('Таблиця 1'!$K:$K,'Таблиця 1'!$B:$B,$A30,'Таблиця 1'!$I:$I,"Mirage",'Таблиця 1'!$J:$J,"MK-32")+SUMIFS('Таблиця 1'!$K:$K,'Таблиця 1'!$B:$B,$A30,'Таблиця 1'!$I:$I,"F-16",'Таблиця 1'!$J:$J,"MK-32")+SUMIFS('Таблиця 1'!$K:$K,'Таблиця 1'!$B:$B,$A30,'Таблиця 1'!$I:$I,"МіГ-29",'Таблиця 1'!$J:$J,"MK-32")+SUMIFS('Таблиця 1'!$K:$K,'Таблиця 1'!$B:$B,$A30,'Таблиця 1'!$I:$I,"Су-25",'Таблиця 1'!$J:$J,"MK-32")+SUMIFS('Таблиця 1'!$K:$K,'Таблиця 1'!$B:$B,$A30,'Таблиця 1'!$I:$I,"Су-27",'Таблиця 1'!$J:$J,"MK-32"))</f>
        <v/>
      </c>
      <c r="Q30">
        <f>IF($A30="","",SUMIFS('Таблиця 1'!$K:$K,'Таблиця 1'!$B:$B,$A30,'Таблиця 1'!$I:$I,"Mirage",'Таблиця 1'!$J:$J,"MK-24")+SUMIFS('Таблиця 1'!$K:$K,'Таблиця 1'!$B:$B,$A30,'Таблиця 1'!$I:$I,"F-16",'Таблиця 1'!$J:$J,"MK-24")+SUMIFS('Таблиця 1'!$K:$K,'Таблиця 1'!$B:$B,$A30,'Таблиця 1'!$I:$I,"МіГ-29",'Таблиця 1'!$J:$J,"MK-24")+SUMIFS('Таблиця 1'!$K:$K,'Таблиця 1'!$B:$B,$A30,'Таблиця 1'!$I:$I,"Су-25",'Таблиця 1'!$J:$J,"MK-24")+SUMIFS('Таблиця 1'!$K:$K,'Таблиця 1'!$B:$B,$A30,'Таблиця 1'!$I:$I,"Су-27",'Таблиця 1'!$J:$J,"MK-24"))</f>
        <v/>
      </c>
      <c r="R30">
        <f>IF($A30="","",COUNTIFS('Таблиця 1'!$B:$B,$A30,'Таблиця 1'!$I:$I,"Mirage",'Таблиця 1'!$L:$L,"Уражено")+COUNTIFS('Таблиця 1'!$B:$B,$A30,'Таблиця 1'!$I:$I,"F-16",'Таблиця 1'!$L:$L,"Уражено")+COUNTIFS('Таблиця 1'!$B:$B,$A30,'Таблиця 1'!$I:$I,"МіГ-29",'Таблиця 1'!$L:$L,"Уражено")+COUNTIFS('Таблиця 1'!$B:$B,$A30,'Таблиця 1'!$I:$I,"Су-25",'Таблиця 1'!$L:$L,"Уражено")+COUNTIFS('Таблиця 1'!$B:$B,$A30,'Таблиця 1'!$I:$I,"Су-27",'Таблиця 1'!$L:$L,"Уражено"))</f>
        <v/>
      </c>
      <c r="S30">
        <f>IF($A30="","",COUNTIFS('Таблиця 1'!$B:$B,$A30,'Таблиця 1'!$I:$I,"Mirage",'Таблиця 1'!$L:$L,"НЕ уражено")+COUNTIFS('Таблиця 1'!$B:$B,$A30,'Таблиця 1'!$I:$I,"F-16",'Таблиця 1'!$L:$L,"НЕ уражено")+COUNTIFS('Таблиця 1'!$B:$B,$A30,'Таблиця 1'!$I:$I,"МіГ-29",'Таблиця 1'!$L:$L,"НЕ уражено")+COUNTIFS('Таблиця 1'!$B:$B,$A30,'Таблиця 1'!$I:$I,"Су-25",'Таблиця 1'!$L:$L,"НЕ уражено")+COUNTIFS('Таблиця 1'!$B:$B,$A30,'Таблиця 1'!$I:$I,"Су-27",'Таблиця 1'!$L:$L,"НЕ уражено"))</f>
        <v/>
      </c>
      <c r="T30">
        <f>IF($A30="","",COUNTIFS('Таблиця 1'!$B:$B,$A30,'Таблиця 1'!$I:$I,"Mirage",'Таблиця 1'!$L:$L,"Дорозвідується")+COUNTIFS('Таблиця 1'!$B:$B,$A30,'Таблиця 1'!$I:$I,"F-16",'Таблиця 1'!$L:$L,"Дорозвідується")+COUNTIFS('Таблиця 1'!$B:$B,$A30,'Таблиця 1'!$I:$I,"МіГ-29",'Таблиця 1'!$L:$L,"Дорозвідується")+COUNTIFS('Таблиця 1'!$B:$B,$A30,'Таблиця 1'!$I:$I,"Су-25",'Таблиця 1'!$L:$L,"Дорозвідується")+COUNTIFS('Таблиця 1'!$B:$B,$A30,'Таблиця 1'!$I:$I,"Су-27",'Таблиця 1'!$L:$L,"Дорозвідується"))</f>
        <v/>
      </c>
    </row>
    <row r="31">
      <c r="A31" s="273">
        <f>IF(A30="","",IF(A30+1&gt;MAX('Таблиця 1'!$B:$B),"",A30+1))</f>
        <v/>
      </c>
      <c r="B31">
        <f>IF($A31="","",COUNTIFS('Таблиця 1'!$B:$B,$A31,'Таблиця 1'!$I:$I,"Mirage")+COUNTIFS('Таблиця 1'!$B:$B,$A31,'Таблиця 1'!$I:$I,"F-16")+COUNTIFS('Таблиця 1'!$B:$B,$A31,'Таблиця 1'!$I:$I,"МіГ-29")+COUNTIFS('Таблиця 1'!$B:$B,$A31,'Таблиця 1'!$I:$I,"Су-25")+COUNTIFS('Таблиця 1'!$B:$B,$A31,'Таблиця 1'!$I:$I,"Су-27"))</f>
        <v/>
      </c>
      <c r="C31">
        <f>IF($A31="","",COUNTIFS('Таблиця 1'!$B:$B,$A31,'Таблиця 1'!$I:$I,"Mirage"))</f>
        <v/>
      </c>
      <c r="D31">
        <f>IF($A31="","",COUNTIFS('Таблиця 1'!$B:$B,$A31,'Таблиця 1'!$I:$I,"F-16"))</f>
        <v/>
      </c>
      <c r="E31">
        <f>IF($A31="","",COUNTIFS('Таблиця 1'!$B:$B,$A31,'Таблиця 1'!$I:$I,"МіГ-29"))</f>
        <v/>
      </c>
      <c r="F31">
        <f>IF($A31="","",COUNTIFS('Таблиця 1'!$B:$B,$A31,'Таблиця 1'!$I:$I,"Су-25"))</f>
        <v/>
      </c>
      <c r="G31">
        <f>IF($A31="","",COUNTIFS('Таблиця 1'!$B:$B,$A31,'Таблиця 1'!$I:$I,"Су-27"))</f>
        <v/>
      </c>
      <c r="H31">
        <f>IF($A31="","",SUMIFS('Таблиця 1'!$K:$K,'Таблиця 1'!$B:$B,$A31,'Таблиця 1'!$I:$I,"Mirage",'Таблиця 1'!$J:$J,"AGM-88")+SUMIFS('Таблиця 1'!$K:$K,'Таблиця 1'!$B:$B,$A31,'Таблиця 1'!$I:$I,"F-16",'Таблиця 1'!$J:$J,"AGM-88")+SUMIFS('Таблиця 1'!$K:$K,'Таблиця 1'!$B:$B,$A31,'Таблиця 1'!$I:$I,"МіГ-29",'Таблиця 1'!$J:$J,"AGM-88")+SUMIFS('Таблиця 1'!$K:$K,'Таблиця 1'!$B:$B,$A31,'Таблиця 1'!$I:$I,"Су-25",'Таблиця 1'!$J:$J,"AGM-88")+SUMIFS('Таблиця 1'!$K:$K,'Таблиця 1'!$B:$B,$A31,'Таблиця 1'!$I:$I,"Су-27",'Таблиця 1'!$J:$J,"AGM-88"))</f>
        <v/>
      </c>
      <c r="I31">
        <f>IF($A31="","",SUMIFS('Таблиця 1'!$K:$K,'Таблиця 1'!$B:$B,$A31,'Таблиця 1'!$I:$I,"Mirage",'Таблиця 1'!$J:$J,"AASM-250")+SUMIFS('Таблиця 1'!$K:$K,'Таблиця 1'!$B:$B,$A31,'Таблиця 1'!$I:$I,"F-16",'Таблиця 1'!$J:$J,"AASM-250")+SUMIFS('Таблиця 1'!$K:$K,'Таблиця 1'!$B:$B,$A31,'Таблиця 1'!$I:$I,"МіГ-29",'Таблиця 1'!$J:$J,"AASM-250")+SUMIFS('Таблиця 1'!$K:$K,'Таблиця 1'!$B:$B,$A31,'Таблиця 1'!$I:$I,"Су-25",'Таблиця 1'!$J:$J,"AASM-250")+SUMIFS('Таблиця 1'!$K:$K,'Таблиця 1'!$B:$B,$A31,'Таблиця 1'!$I:$I,"Су-27",'Таблиця 1'!$J:$J,"AASM-250"))</f>
        <v/>
      </c>
      <c r="J31">
        <f>IF($A31="","",SUMIFS('Таблиця 1'!$K:$K,'Таблиця 1'!$B:$B,$A31,'Таблиця 1'!$I:$I,"Mirage",'Таблиця 1'!$J:$J,"GBU-39")+SUMIFS('Таблиця 1'!$K:$K,'Таблиця 1'!$B:$B,$A31,'Таблиця 1'!$I:$I,"F-16",'Таблиця 1'!$J:$J,"GBU-39")+SUMIFS('Таблиця 1'!$K:$K,'Таблиця 1'!$B:$B,$A31,'Таблиця 1'!$I:$I,"МіГ-29",'Таблиця 1'!$J:$J,"GBU-39")+SUMIFS('Таблиця 1'!$K:$K,'Таблиця 1'!$B:$B,$A31,'Таблиця 1'!$I:$I,"Су-25",'Таблиця 1'!$J:$J,"GBU-39")+SUMIFS('Таблиця 1'!$K:$K,'Таблиця 1'!$B:$B,$A31,'Таблиця 1'!$I:$I,"Су-27",'Таблиця 1'!$J:$J,"GBU-39"))</f>
        <v/>
      </c>
      <c r="K31">
        <f>IF($A31="","",SUMIFS('Таблиця 1'!$K:$K,'Таблиця 1'!$B:$B,$A31,'Таблиця 1'!$I:$I,"Mirage",'Таблиця 1'!$J:$J,"BLU-140")+SUMIFS('Таблиця 1'!$K:$K,'Таблиця 1'!$B:$B,$A31,'Таблиця 1'!$I:$I,"F-16",'Таблиця 1'!$J:$J,"BLU-140")+SUMIFS('Таблиця 1'!$K:$K,'Таблиця 1'!$B:$B,$A31,'Таблиця 1'!$I:$I,"МіГ-29",'Таблиця 1'!$J:$J,"BLU-140")+SUMIFS('Таблиця 1'!$K:$K,'Таблиця 1'!$B:$B,$A31,'Таблиця 1'!$I:$I,"Су-25",'Таблиця 1'!$J:$J,"BLU-140")+SUMIFS('Таблиця 1'!$K:$K,'Таблиця 1'!$B:$B,$A31,'Таблиця 1'!$I:$I,"Су-27",'Таблиця 1'!$J:$J,"BLU-140"))</f>
        <v/>
      </c>
      <c r="L31">
        <f>IF($A31="","",SUMIFS('Таблиця 1'!$K:$K,'Таблиця 1'!$B:$B,$A31,'Таблиця 1'!$I:$I,"Mirage",'Таблиця 1'!$J:$J,"GBU-65")+SUMIFS('Таблиця 1'!$K:$K,'Таблиця 1'!$B:$B,$A31,'Таблиця 1'!$I:$I,"F-16",'Таблиця 1'!$J:$J,"GBU-65")+SUMIFS('Таблиця 1'!$K:$K,'Таблиця 1'!$B:$B,$A31,'Таблиця 1'!$I:$I,"МіГ-29",'Таблиця 1'!$J:$J,"GBU-65")+SUMIFS('Таблиця 1'!$K:$K,'Таблиця 1'!$B:$B,$A31,'Таблиця 1'!$I:$I,"Су-25",'Таблиця 1'!$J:$J,"GBU-65")+SUMIFS('Таблиця 1'!$K:$K,'Таблиця 1'!$B:$B,$A31,'Таблиця 1'!$I:$I,"Су-27",'Таблиця 1'!$J:$J,"GBU-65"))</f>
        <v/>
      </c>
      <c r="M31">
        <f>IF($A31="","",SUMIFS('Таблиця 1'!$K:$K,'Таблиця 1'!$B:$B,$A31,'Таблиця 1'!$I:$I,"Mirage",'Таблиця 1'!$J:$J,"GBU-62")+SUMIFS('Таблиця 1'!$K:$K,'Таблиця 1'!$B:$B,$A31,'Таблиця 1'!$I:$I,"F-16",'Таблиця 1'!$J:$J,"GBU-62")+SUMIFS('Таблиця 1'!$K:$K,'Таблиця 1'!$B:$B,$A31,'Таблиця 1'!$I:$I,"МіГ-29",'Таблиця 1'!$J:$J,"GBU-62")+SUMIFS('Таблиця 1'!$K:$K,'Таблиця 1'!$B:$B,$A31,'Таблиця 1'!$I:$I,"Су-25",'Таблиця 1'!$J:$J,"GBU-62")+SUMIFS('Таблиця 1'!$K:$K,'Таблиця 1'!$B:$B,$A31,'Таблиця 1'!$I:$I,"Су-27",'Таблиця 1'!$J:$J,"GBU-62"))</f>
        <v/>
      </c>
      <c r="N31">
        <f>IF($A31="","",SUMIFS('Таблиця 1'!$K:$K,'Таблиця 1'!$B:$B,$A31,'Таблиця 1'!$I:$I,"Mirage",'Таблиця 1'!$J:$J,"GBU-64")+SUMIFS('Таблиця 1'!$K:$K,'Таблиця 1'!$B:$B,$A31,'Таблиця 1'!$I:$I,"F-16",'Таблиця 1'!$J:$J,"GBU-64")+SUMIFS('Таблиця 1'!$K:$K,'Таблиця 1'!$B:$B,$A31,'Таблиця 1'!$I:$I,"МіГ-29",'Таблиця 1'!$J:$J,"GBU-64")+SUMIFS('Таблиця 1'!$K:$K,'Таблиця 1'!$B:$B,$A31,'Таблиця 1'!$I:$I,"Су-25",'Таблиця 1'!$J:$J,"GBU-64")+SUMIFS('Таблиця 1'!$K:$K,'Таблиця 1'!$B:$B,$A31,'Таблиця 1'!$I:$I,"Су-27",'Таблиця 1'!$J:$J,"GBU-64"))</f>
        <v/>
      </c>
      <c r="O31">
        <f>IF($A31="","",SUMIFS('Таблиця 1'!$K:$K,'Таблиця 1'!$B:$B,$A31,'Таблиця 1'!$I:$I,"Mirage",'Таблиця 1'!$J:$J,"C-13")+SUMIFS('Таблиця 1'!$K:$K,'Таблиця 1'!$B:$B,$A31,'Таблиця 1'!$I:$I,"F-16",'Таблиця 1'!$J:$J,"C-13")+SUMIFS('Таблиця 1'!$K:$K,'Таблиця 1'!$B:$B,$A31,'Таблиця 1'!$I:$I,"МіГ-29",'Таблиця 1'!$J:$J,"C-13")+SUMIFS('Таблиця 1'!$K:$K,'Таблиця 1'!$B:$B,$A31,'Таблиця 1'!$I:$I,"Су-25",'Таблиця 1'!$J:$J,"C-13")+SUMIFS('Таблиця 1'!$K:$K,'Таблиця 1'!$B:$B,$A31,'Таблиця 1'!$I:$I,"Су-27",'Таблиця 1'!$J:$J,"C-13"))</f>
        <v/>
      </c>
      <c r="P31">
        <f>IF($A31="","",SUMIFS('Таблиця 1'!$K:$K,'Таблиця 1'!$B:$B,$A31,'Таблиця 1'!$I:$I,"Mirage",'Таблиця 1'!$J:$J,"MK-32")+SUMIFS('Таблиця 1'!$K:$K,'Таблиця 1'!$B:$B,$A31,'Таблиця 1'!$I:$I,"F-16",'Таблиця 1'!$J:$J,"MK-32")+SUMIFS('Таблиця 1'!$K:$K,'Таблиця 1'!$B:$B,$A31,'Таблиця 1'!$I:$I,"МіГ-29",'Таблиця 1'!$J:$J,"MK-32")+SUMIFS('Таблиця 1'!$K:$K,'Таблиця 1'!$B:$B,$A31,'Таблиця 1'!$I:$I,"Су-25",'Таблиця 1'!$J:$J,"MK-32")+SUMIFS('Таблиця 1'!$K:$K,'Таблиця 1'!$B:$B,$A31,'Таблиця 1'!$I:$I,"Су-27",'Таблиця 1'!$J:$J,"MK-32"))</f>
        <v/>
      </c>
      <c r="Q31">
        <f>IF($A31="","",SUMIFS('Таблиця 1'!$K:$K,'Таблиця 1'!$B:$B,$A31,'Таблиця 1'!$I:$I,"Mirage",'Таблиця 1'!$J:$J,"MK-24")+SUMIFS('Таблиця 1'!$K:$K,'Таблиця 1'!$B:$B,$A31,'Таблиця 1'!$I:$I,"F-16",'Таблиця 1'!$J:$J,"MK-24")+SUMIFS('Таблиця 1'!$K:$K,'Таблиця 1'!$B:$B,$A31,'Таблиця 1'!$I:$I,"МіГ-29",'Таблиця 1'!$J:$J,"MK-24")+SUMIFS('Таблиця 1'!$K:$K,'Таблиця 1'!$B:$B,$A31,'Таблиця 1'!$I:$I,"Су-25",'Таблиця 1'!$J:$J,"MK-24")+SUMIFS('Таблиця 1'!$K:$K,'Таблиця 1'!$B:$B,$A31,'Таблиця 1'!$I:$I,"Су-27",'Таблиця 1'!$J:$J,"MK-24"))</f>
        <v/>
      </c>
      <c r="R31">
        <f>IF($A31="","",COUNTIFS('Таблиця 1'!$B:$B,$A31,'Таблиця 1'!$I:$I,"Mirage",'Таблиця 1'!$L:$L,"Уражено")+COUNTIFS('Таблиця 1'!$B:$B,$A31,'Таблиця 1'!$I:$I,"F-16",'Таблиця 1'!$L:$L,"Уражено")+COUNTIFS('Таблиця 1'!$B:$B,$A31,'Таблиця 1'!$I:$I,"МіГ-29",'Таблиця 1'!$L:$L,"Уражено")+COUNTIFS('Таблиця 1'!$B:$B,$A31,'Таблиця 1'!$I:$I,"Су-25",'Таблиця 1'!$L:$L,"Уражено")+COUNTIFS('Таблиця 1'!$B:$B,$A31,'Таблиця 1'!$I:$I,"Су-27",'Таблиця 1'!$L:$L,"Уражено"))</f>
        <v/>
      </c>
      <c r="S31">
        <f>IF($A31="","",COUNTIFS('Таблиця 1'!$B:$B,$A31,'Таблиця 1'!$I:$I,"Mirage",'Таблиця 1'!$L:$L,"НЕ уражено")+COUNTIFS('Таблиця 1'!$B:$B,$A31,'Таблиця 1'!$I:$I,"F-16",'Таблиця 1'!$L:$L,"НЕ уражено")+COUNTIFS('Таблиця 1'!$B:$B,$A31,'Таблиця 1'!$I:$I,"МіГ-29",'Таблиця 1'!$L:$L,"НЕ уражено")+COUNTIFS('Таблиця 1'!$B:$B,$A31,'Таблиця 1'!$I:$I,"Су-25",'Таблиця 1'!$L:$L,"НЕ уражено")+COUNTIFS('Таблиця 1'!$B:$B,$A31,'Таблиця 1'!$I:$I,"Су-27",'Таблиця 1'!$L:$L,"НЕ уражено"))</f>
        <v/>
      </c>
      <c r="T31">
        <f>IF($A31="","",COUNTIFS('Таблиця 1'!$B:$B,$A31,'Таблиця 1'!$I:$I,"Mirage",'Таблиця 1'!$L:$L,"Дорозвідується")+COUNTIFS('Таблиця 1'!$B:$B,$A31,'Таблиця 1'!$I:$I,"F-16",'Таблиця 1'!$L:$L,"Дорозвідується")+COUNTIFS('Таблиця 1'!$B:$B,$A31,'Таблиця 1'!$I:$I,"МіГ-29",'Таблиця 1'!$L:$L,"Дорозвідується")+COUNTIFS('Таблиця 1'!$B:$B,$A31,'Таблиця 1'!$I:$I,"Су-25",'Таблиця 1'!$L:$L,"Дорозвідується")+COUNTIFS('Таблиця 1'!$B:$B,$A31,'Таблиця 1'!$I:$I,"Су-27",'Таблиця 1'!$L:$L,"Дорозвідується"))</f>
        <v/>
      </c>
    </row>
    <row r="32">
      <c r="A32" s="273">
        <f>IF(A31="","",IF(A31+1&gt;MAX('Таблиця 1'!$B:$B),"",A31+1))</f>
        <v/>
      </c>
      <c r="B32">
        <f>IF($A32="","",COUNTIFS('Таблиця 1'!$B:$B,$A32,'Таблиця 1'!$I:$I,"Mirage")+COUNTIFS('Таблиця 1'!$B:$B,$A32,'Таблиця 1'!$I:$I,"F-16")+COUNTIFS('Таблиця 1'!$B:$B,$A32,'Таблиця 1'!$I:$I,"МіГ-29")+COUNTIFS('Таблиця 1'!$B:$B,$A32,'Таблиця 1'!$I:$I,"Су-25")+COUNTIFS('Таблиця 1'!$B:$B,$A32,'Таблиця 1'!$I:$I,"Су-27"))</f>
        <v/>
      </c>
      <c r="C32">
        <f>IF($A32="","",COUNTIFS('Таблиця 1'!$B:$B,$A32,'Таблиця 1'!$I:$I,"Mirage"))</f>
        <v/>
      </c>
      <c r="D32">
        <f>IF($A32="","",COUNTIFS('Таблиця 1'!$B:$B,$A32,'Таблиця 1'!$I:$I,"F-16"))</f>
        <v/>
      </c>
      <c r="E32">
        <f>IF($A32="","",COUNTIFS('Таблиця 1'!$B:$B,$A32,'Таблиця 1'!$I:$I,"МіГ-29"))</f>
        <v/>
      </c>
      <c r="F32">
        <f>IF($A32="","",COUNTIFS('Таблиця 1'!$B:$B,$A32,'Таблиця 1'!$I:$I,"Су-25"))</f>
        <v/>
      </c>
      <c r="G32">
        <f>IF($A32="","",COUNTIFS('Таблиця 1'!$B:$B,$A32,'Таблиця 1'!$I:$I,"Су-27"))</f>
        <v/>
      </c>
      <c r="H32">
        <f>IF($A32="","",SUMIFS('Таблиця 1'!$K:$K,'Таблиця 1'!$B:$B,$A32,'Таблиця 1'!$I:$I,"Mirage",'Таблиця 1'!$J:$J,"AGM-88")+SUMIFS('Таблиця 1'!$K:$K,'Таблиця 1'!$B:$B,$A32,'Таблиця 1'!$I:$I,"F-16",'Таблиця 1'!$J:$J,"AGM-88")+SUMIFS('Таблиця 1'!$K:$K,'Таблиця 1'!$B:$B,$A32,'Таблиця 1'!$I:$I,"МіГ-29",'Таблиця 1'!$J:$J,"AGM-88")+SUMIFS('Таблиця 1'!$K:$K,'Таблиця 1'!$B:$B,$A32,'Таблиця 1'!$I:$I,"Су-25",'Таблиця 1'!$J:$J,"AGM-88")+SUMIFS('Таблиця 1'!$K:$K,'Таблиця 1'!$B:$B,$A32,'Таблиця 1'!$I:$I,"Су-27",'Таблиця 1'!$J:$J,"AGM-88"))</f>
        <v/>
      </c>
      <c r="I32">
        <f>IF($A32="","",SUMIFS('Таблиця 1'!$K:$K,'Таблиця 1'!$B:$B,$A32,'Таблиця 1'!$I:$I,"Mirage",'Таблиця 1'!$J:$J,"AASM-250")+SUMIFS('Таблиця 1'!$K:$K,'Таблиця 1'!$B:$B,$A32,'Таблиця 1'!$I:$I,"F-16",'Таблиця 1'!$J:$J,"AASM-250")+SUMIFS('Таблиця 1'!$K:$K,'Таблиця 1'!$B:$B,$A32,'Таблиця 1'!$I:$I,"МіГ-29",'Таблиця 1'!$J:$J,"AASM-250")+SUMIFS('Таблиця 1'!$K:$K,'Таблиця 1'!$B:$B,$A32,'Таблиця 1'!$I:$I,"Су-25",'Таблиця 1'!$J:$J,"AASM-250")+SUMIFS('Таблиця 1'!$K:$K,'Таблиця 1'!$B:$B,$A32,'Таблиця 1'!$I:$I,"Су-27",'Таблиця 1'!$J:$J,"AASM-250"))</f>
        <v/>
      </c>
      <c r="J32">
        <f>IF($A32="","",SUMIFS('Таблиця 1'!$K:$K,'Таблиця 1'!$B:$B,$A32,'Таблиця 1'!$I:$I,"Mirage",'Таблиця 1'!$J:$J,"GBU-39")+SUMIFS('Таблиця 1'!$K:$K,'Таблиця 1'!$B:$B,$A32,'Таблиця 1'!$I:$I,"F-16",'Таблиця 1'!$J:$J,"GBU-39")+SUMIFS('Таблиця 1'!$K:$K,'Таблиця 1'!$B:$B,$A32,'Таблиця 1'!$I:$I,"МіГ-29",'Таблиця 1'!$J:$J,"GBU-39")+SUMIFS('Таблиця 1'!$K:$K,'Таблиця 1'!$B:$B,$A32,'Таблиця 1'!$I:$I,"Су-25",'Таблиця 1'!$J:$J,"GBU-39")+SUMIFS('Таблиця 1'!$K:$K,'Таблиця 1'!$B:$B,$A32,'Таблиця 1'!$I:$I,"Су-27",'Таблиця 1'!$J:$J,"GBU-39"))</f>
        <v/>
      </c>
      <c r="K32">
        <f>IF($A32="","",SUMIFS('Таблиця 1'!$K:$K,'Таблиця 1'!$B:$B,$A32,'Таблиця 1'!$I:$I,"Mirage",'Таблиця 1'!$J:$J,"BLU-140")+SUMIFS('Таблиця 1'!$K:$K,'Таблиця 1'!$B:$B,$A32,'Таблиця 1'!$I:$I,"F-16",'Таблиця 1'!$J:$J,"BLU-140")+SUMIFS('Таблиця 1'!$K:$K,'Таблиця 1'!$B:$B,$A32,'Таблиця 1'!$I:$I,"МіГ-29",'Таблиця 1'!$J:$J,"BLU-140")+SUMIFS('Таблиця 1'!$K:$K,'Таблиця 1'!$B:$B,$A32,'Таблиця 1'!$I:$I,"Су-25",'Таблиця 1'!$J:$J,"BLU-140")+SUMIFS('Таблиця 1'!$K:$K,'Таблиця 1'!$B:$B,$A32,'Таблиця 1'!$I:$I,"Су-27",'Таблиця 1'!$J:$J,"BLU-140"))</f>
        <v/>
      </c>
      <c r="L32">
        <f>IF($A32="","",SUMIFS('Таблиця 1'!$K:$K,'Таблиця 1'!$B:$B,$A32,'Таблиця 1'!$I:$I,"Mirage",'Таблиця 1'!$J:$J,"GBU-65")+SUMIFS('Таблиця 1'!$K:$K,'Таблиця 1'!$B:$B,$A32,'Таблиця 1'!$I:$I,"F-16",'Таблиця 1'!$J:$J,"GBU-65")+SUMIFS('Таблиця 1'!$K:$K,'Таблиця 1'!$B:$B,$A32,'Таблиця 1'!$I:$I,"МіГ-29",'Таблиця 1'!$J:$J,"GBU-65")+SUMIFS('Таблиця 1'!$K:$K,'Таблиця 1'!$B:$B,$A32,'Таблиця 1'!$I:$I,"Су-25",'Таблиця 1'!$J:$J,"GBU-65")+SUMIFS('Таблиця 1'!$K:$K,'Таблиця 1'!$B:$B,$A32,'Таблиця 1'!$I:$I,"Су-27",'Таблиця 1'!$J:$J,"GBU-65"))</f>
        <v/>
      </c>
      <c r="M32">
        <f>IF($A32="","",SUMIFS('Таблиця 1'!$K:$K,'Таблиця 1'!$B:$B,$A32,'Таблиця 1'!$I:$I,"Mirage",'Таблиця 1'!$J:$J,"GBU-62")+SUMIFS('Таблиця 1'!$K:$K,'Таблиця 1'!$B:$B,$A32,'Таблиця 1'!$I:$I,"F-16",'Таблиця 1'!$J:$J,"GBU-62")+SUMIFS('Таблиця 1'!$K:$K,'Таблиця 1'!$B:$B,$A32,'Таблиця 1'!$I:$I,"МіГ-29",'Таблиця 1'!$J:$J,"GBU-62")+SUMIFS('Таблиця 1'!$K:$K,'Таблиця 1'!$B:$B,$A32,'Таблиця 1'!$I:$I,"Су-25",'Таблиця 1'!$J:$J,"GBU-62")+SUMIFS('Таблиця 1'!$K:$K,'Таблиця 1'!$B:$B,$A32,'Таблиця 1'!$I:$I,"Су-27",'Таблиця 1'!$J:$J,"GBU-62"))</f>
        <v/>
      </c>
      <c r="N32">
        <f>IF($A32="","",SUMIFS('Таблиця 1'!$K:$K,'Таблиця 1'!$B:$B,$A32,'Таблиця 1'!$I:$I,"Mirage",'Таблиця 1'!$J:$J,"GBU-64")+SUMIFS('Таблиця 1'!$K:$K,'Таблиця 1'!$B:$B,$A32,'Таблиця 1'!$I:$I,"F-16",'Таблиця 1'!$J:$J,"GBU-64")+SUMIFS('Таблиця 1'!$K:$K,'Таблиця 1'!$B:$B,$A32,'Таблиця 1'!$I:$I,"МіГ-29",'Таблиця 1'!$J:$J,"GBU-64")+SUMIFS('Таблиця 1'!$K:$K,'Таблиця 1'!$B:$B,$A32,'Таблиця 1'!$I:$I,"Су-25",'Таблиця 1'!$J:$J,"GBU-64")+SUMIFS('Таблиця 1'!$K:$K,'Таблиця 1'!$B:$B,$A32,'Таблиця 1'!$I:$I,"Су-27",'Таблиця 1'!$J:$J,"GBU-64"))</f>
        <v/>
      </c>
      <c r="O32">
        <f>IF($A32="","",SUMIFS('Таблиця 1'!$K:$K,'Таблиця 1'!$B:$B,$A32,'Таблиця 1'!$I:$I,"Mirage",'Таблиця 1'!$J:$J,"C-13")+SUMIFS('Таблиця 1'!$K:$K,'Таблиця 1'!$B:$B,$A32,'Таблиця 1'!$I:$I,"F-16",'Таблиця 1'!$J:$J,"C-13")+SUMIFS('Таблиця 1'!$K:$K,'Таблиця 1'!$B:$B,$A32,'Таблиця 1'!$I:$I,"МіГ-29",'Таблиця 1'!$J:$J,"C-13")+SUMIFS('Таблиця 1'!$K:$K,'Таблиця 1'!$B:$B,$A32,'Таблиця 1'!$I:$I,"Су-25",'Таблиця 1'!$J:$J,"C-13")+SUMIFS('Таблиця 1'!$K:$K,'Таблиця 1'!$B:$B,$A32,'Таблиця 1'!$I:$I,"Су-27",'Таблиця 1'!$J:$J,"C-13"))</f>
        <v/>
      </c>
      <c r="P32">
        <f>IF($A32="","",SUMIFS('Таблиця 1'!$K:$K,'Таблиця 1'!$B:$B,$A32,'Таблиця 1'!$I:$I,"Mirage",'Таблиця 1'!$J:$J,"MK-32")+SUMIFS('Таблиця 1'!$K:$K,'Таблиця 1'!$B:$B,$A32,'Таблиця 1'!$I:$I,"F-16",'Таблиця 1'!$J:$J,"MK-32")+SUMIFS('Таблиця 1'!$K:$K,'Таблиця 1'!$B:$B,$A32,'Таблиця 1'!$I:$I,"МіГ-29",'Таблиця 1'!$J:$J,"MK-32")+SUMIFS('Таблиця 1'!$K:$K,'Таблиця 1'!$B:$B,$A32,'Таблиця 1'!$I:$I,"Су-25",'Таблиця 1'!$J:$J,"MK-32")+SUMIFS('Таблиця 1'!$K:$K,'Таблиця 1'!$B:$B,$A32,'Таблиця 1'!$I:$I,"Су-27",'Таблиця 1'!$J:$J,"MK-32"))</f>
        <v/>
      </c>
      <c r="Q32">
        <f>IF($A32="","",SUMIFS('Таблиця 1'!$K:$K,'Таблиця 1'!$B:$B,$A32,'Таблиця 1'!$I:$I,"Mirage",'Таблиця 1'!$J:$J,"MK-24")+SUMIFS('Таблиця 1'!$K:$K,'Таблиця 1'!$B:$B,$A32,'Таблиця 1'!$I:$I,"F-16",'Таблиця 1'!$J:$J,"MK-24")+SUMIFS('Таблиця 1'!$K:$K,'Таблиця 1'!$B:$B,$A32,'Таблиця 1'!$I:$I,"МіГ-29",'Таблиця 1'!$J:$J,"MK-24")+SUMIFS('Таблиця 1'!$K:$K,'Таблиця 1'!$B:$B,$A32,'Таблиця 1'!$I:$I,"Су-25",'Таблиця 1'!$J:$J,"MK-24")+SUMIFS('Таблиця 1'!$K:$K,'Таблиця 1'!$B:$B,$A32,'Таблиця 1'!$I:$I,"Су-27",'Таблиця 1'!$J:$J,"MK-24"))</f>
        <v/>
      </c>
      <c r="R32">
        <f>IF($A32="","",COUNTIFS('Таблиця 1'!$B:$B,$A32,'Таблиця 1'!$I:$I,"Mirage",'Таблиця 1'!$L:$L,"Уражено")+COUNTIFS('Таблиця 1'!$B:$B,$A32,'Таблиця 1'!$I:$I,"F-16",'Таблиця 1'!$L:$L,"Уражено")+COUNTIFS('Таблиця 1'!$B:$B,$A32,'Таблиця 1'!$I:$I,"МіГ-29",'Таблиця 1'!$L:$L,"Уражено")+COUNTIFS('Таблиця 1'!$B:$B,$A32,'Таблиця 1'!$I:$I,"Су-25",'Таблиця 1'!$L:$L,"Уражено")+COUNTIFS('Таблиця 1'!$B:$B,$A32,'Таблиця 1'!$I:$I,"Су-27",'Таблиця 1'!$L:$L,"Уражено"))</f>
        <v/>
      </c>
      <c r="S32">
        <f>IF($A32="","",COUNTIFS('Таблиця 1'!$B:$B,$A32,'Таблиця 1'!$I:$I,"Mirage",'Таблиця 1'!$L:$L,"НЕ уражено")+COUNTIFS('Таблиця 1'!$B:$B,$A32,'Таблиця 1'!$I:$I,"F-16",'Таблиця 1'!$L:$L,"НЕ уражено")+COUNTIFS('Таблиця 1'!$B:$B,$A32,'Таблиця 1'!$I:$I,"МіГ-29",'Таблиця 1'!$L:$L,"НЕ уражено")+COUNTIFS('Таблиця 1'!$B:$B,$A32,'Таблиця 1'!$I:$I,"Су-25",'Таблиця 1'!$L:$L,"НЕ уражено")+COUNTIFS('Таблиця 1'!$B:$B,$A32,'Таблиця 1'!$I:$I,"Су-27",'Таблиця 1'!$L:$L,"НЕ уражено"))</f>
        <v/>
      </c>
      <c r="T32">
        <f>IF($A32="","",COUNTIFS('Таблиця 1'!$B:$B,$A32,'Таблиця 1'!$I:$I,"Mirage",'Таблиця 1'!$L:$L,"Дорозвідується")+COUNTIFS('Таблиця 1'!$B:$B,$A32,'Таблиця 1'!$I:$I,"F-16",'Таблиця 1'!$L:$L,"Дорозвідується")+COUNTIFS('Таблиця 1'!$B:$B,$A32,'Таблиця 1'!$I:$I,"МіГ-29",'Таблиця 1'!$L:$L,"Дорозвідується")+COUNTIFS('Таблиця 1'!$B:$B,$A32,'Таблиця 1'!$I:$I,"Су-25",'Таблиця 1'!$L:$L,"Дорозвідується")+COUNTIFS('Таблиця 1'!$B:$B,$A32,'Таблиця 1'!$I:$I,"Су-27",'Таблиця 1'!$L:$L,"Дорозвідується"))</f>
        <v/>
      </c>
    </row>
    <row r="33">
      <c r="A33" s="273">
        <f>IF(A32="","",IF(A32+1&gt;MAX('Таблиця 1'!$B:$B),"",A32+1))</f>
        <v/>
      </c>
      <c r="B33">
        <f>IF($A33="","",COUNTIFS('Таблиця 1'!$B:$B,$A33,'Таблиця 1'!$I:$I,"Mirage")+COUNTIFS('Таблиця 1'!$B:$B,$A33,'Таблиця 1'!$I:$I,"F-16")+COUNTIFS('Таблиця 1'!$B:$B,$A33,'Таблиця 1'!$I:$I,"МіГ-29")+COUNTIFS('Таблиця 1'!$B:$B,$A33,'Таблиця 1'!$I:$I,"Су-25")+COUNTIFS('Таблиця 1'!$B:$B,$A33,'Таблиця 1'!$I:$I,"Су-27"))</f>
        <v/>
      </c>
      <c r="C33">
        <f>IF($A33="","",COUNTIFS('Таблиця 1'!$B:$B,$A33,'Таблиця 1'!$I:$I,"Mirage"))</f>
        <v/>
      </c>
      <c r="D33">
        <f>IF($A33="","",COUNTIFS('Таблиця 1'!$B:$B,$A33,'Таблиця 1'!$I:$I,"F-16"))</f>
        <v/>
      </c>
      <c r="E33">
        <f>IF($A33="","",COUNTIFS('Таблиця 1'!$B:$B,$A33,'Таблиця 1'!$I:$I,"МіГ-29"))</f>
        <v/>
      </c>
      <c r="F33">
        <f>IF($A33="","",COUNTIFS('Таблиця 1'!$B:$B,$A33,'Таблиця 1'!$I:$I,"Су-25"))</f>
        <v/>
      </c>
      <c r="G33">
        <f>IF($A33="","",COUNTIFS('Таблиця 1'!$B:$B,$A33,'Таблиця 1'!$I:$I,"Су-27"))</f>
        <v/>
      </c>
      <c r="H33">
        <f>IF($A33="","",SUMIFS('Таблиця 1'!$K:$K,'Таблиця 1'!$B:$B,$A33,'Таблиця 1'!$I:$I,"Mirage",'Таблиця 1'!$J:$J,"AGM-88")+SUMIFS('Таблиця 1'!$K:$K,'Таблиця 1'!$B:$B,$A33,'Таблиця 1'!$I:$I,"F-16",'Таблиця 1'!$J:$J,"AGM-88")+SUMIFS('Таблиця 1'!$K:$K,'Таблиця 1'!$B:$B,$A33,'Таблиця 1'!$I:$I,"МіГ-29",'Таблиця 1'!$J:$J,"AGM-88")+SUMIFS('Таблиця 1'!$K:$K,'Таблиця 1'!$B:$B,$A33,'Таблиця 1'!$I:$I,"Су-25",'Таблиця 1'!$J:$J,"AGM-88")+SUMIFS('Таблиця 1'!$K:$K,'Таблиця 1'!$B:$B,$A33,'Таблиця 1'!$I:$I,"Су-27",'Таблиця 1'!$J:$J,"AGM-88"))</f>
        <v/>
      </c>
      <c r="I33">
        <f>IF($A33="","",SUMIFS('Таблиця 1'!$K:$K,'Таблиця 1'!$B:$B,$A33,'Таблиця 1'!$I:$I,"Mirage",'Таблиця 1'!$J:$J,"AASM-250")+SUMIFS('Таблиця 1'!$K:$K,'Таблиця 1'!$B:$B,$A33,'Таблиця 1'!$I:$I,"F-16",'Таблиця 1'!$J:$J,"AASM-250")+SUMIFS('Таблиця 1'!$K:$K,'Таблиця 1'!$B:$B,$A33,'Таблиця 1'!$I:$I,"МіГ-29",'Таблиця 1'!$J:$J,"AASM-250")+SUMIFS('Таблиця 1'!$K:$K,'Таблиця 1'!$B:$B,$A33,'Таблиця 1'!$I:$I,"Су-25",'Таблиця 1'!$J:$J,"AASM-250")+SUMIFS('Таблиця 1'!$K:$K,'Таблиця 1'!$B:$B,$A33,'Таблиця 1'!$I:$I,"Су-27",'Таблиця 1'!$J:$J,"AASM-250"))</f>
        <v/>
      </c>
      <c r="J33">
        <f>IF($A33="","",SUMIFS('Таблиця 1'!$K:$K,'Таблиця 1'!$B:$B,$A33,'Таблиця 1'!$I:$I,"Mirage",'Таблиця 1'!$J:$J,"GBU-39")+SUMIFS('Таблиця 1'!$K:$K,'Таблиця 1'!$B:$B,$A33,'Таблиця 1'!$I:$I,"F-16",'Таблиця 1'!$J:$J,"GBU-39")+SUMIFS('Таблиця 1'!$K:$K,'Таблиця 1'!$B:$B,$A33,'Таблиця 1'!$I:$I,"МіГ-29",'Таблиця 1'!$J:$J,"GBU-39")+SUMIFS('Таблиця 1'!$K:$K,'Таблиця 1'!$B:$B,$A33,'Таблиця 1'!$I:$I,"Су-25",'Таблиця 1'!$J:$J,"GBU-39")+SUMIFS('Таблиця 1'!$K:$K,'Таблиця 1'!$B:$B,$A33,'Таблиця 1'!$I:$I,"Су-27",'Таблиця 1'!$J:$J,"GBU-39"))</f>
        <v/>
      </c>
      <c r="K33">
        <f>IF($A33="","",SUMIFS('Таблиця 1'!$K:$K,'Таблиця 1'!$B:$B,$A33,'Таблиця 1'!$I:$I,"Mirage",'Таблиця 1'!$J:$J,"BLU-140")+SUMIFS('Таблиця 1'!$K:$K,'Таблиця 1'!$B:$B,$A33,'Таблиця 1'!$I:$I,"F-16",'Таблиця 1'!$J:$J,"BLU-140")+SUMIFS('Таблиця 1'!$K:$K,'Таблиця 1'!$B:$B,$A33,'Таблиця 1'!$I:$I,"МіГ-29",'Таблиця 1'!$J:$J,"BLU-140")+SUMIFS('Таблиця 1'!$K:$K,'Таблиця 1'!$B:$B,$A33,'Таблиця 1'!$I:$I,"Су-25",'Таблиця 1'!$J:$J,"BLU-140")+SUMIFS('Таблиця 1'!$K:$K,'Таблиця 1'!$B:$B,$A33,'Таблиця 1'!$I:$I,"Су-27",'Таблиця 1'!$J:$J,"BLU-140"))</f>
        <v/>
      </c>
      <c r="L33">
        <f>IF($A33="","",SUMIFS('Таблиця 1'!$K:$K,'Таблиця 1'!$B:$B,$A33,'Таблиця 1'!$I:$I,"Mirage",'Таблиця 1'!$J:$J,"GBU-65")+SUMIFS('Таблиця 1'!$K:$K,'Таблиця 1'!$B:$B,$A33,'Таблиця 1'!$I:$I,"F-16",'Таблиця 1'!$J:$J,"GBU-65")+SUMIFS('Таблиця 1'!$K:$K,'Таблиця 1'!$B:$B,$A33,'Таблиця 1'!$I:$I,"МіГ-29",'Таблиця 1'!$J:$J,"GBU-65")+SUMIFS('Таблиця 1'!$K:$K,'Таблиця 1'!$B:$B,$A33,'Таблиця 1'!$I:$I,"Су-25",'Таблиця 1'!$J:$J,"GBU-65")+SUMIFS('Таблиця 1'!$K:$K,'Таблиця 1'!$B:$B,$A33,'Таблиця 1'!$I:$I,"Су-27",'Таблиця 1'!$J:$J,"GBU-65"))</f>
        <v/>
      </c>
      <c r="M33">
        <f>IF($A33="","",SUMIFS('Таблиця 1'!$K:$K,'Таблиця 1'!$B:$B,$A33,'Таблиця 1'!$I:$I,"Mirage",'Таблиця 1'!$J:$J,"GBU-62")+SUMIFS('Таблиця 1'!$K:$K,'Таблиця 1'!$B:$B,$A33,'Таблиця 1'!$I:$I,"F-16",'Таблиця 1'!$J:$J,"GBU-62")+SUMIFS('Таблиця 1'!$K:$K,'Таблиця 1'!$B:$B,$A33,'Таблиця 1'!$I:$I,"МіГ-29",'Таблиця 1'!$J:$J,"GBU-62")+SUMIFS('Таблиця 1'!$K:$K,'Таблиця 1'!$B:$B,$A33,'Таблиця 1'!$I:$I,"Су-25",'Таблиця 1'!$J:$J,"GBU-62")+SUMIFS('Таблиця 1'!$K:$K,'Таблиця 1'!$B:$B,$A33,'Таблиця 1'!$I:$I,"Су-27",'Таблиця 1'!$J:$J,"GBU-62"))</f>
        <v/>
      </c>
      <c r="N33">
        <f>IF($A33="","",SUMIFS('Таблиця 1'!$K:$K,'Таблиця 1'!$B:$B,$A33,'Таблиця 1'!$I:$I,"Mirage",'Таблиця 1'!$J:$J,"GBU-64")+SUMIFS('Таблиця 1'!$K:$K,'Таблиця 1'!$B:$B,$A33,'Таблиця 1'!$I:$I,"F-16",'Таблиця 1'!$J:$J,"GBU-64")+SUMIFS('Таблиця 1'!$K:$K,'Таблиця 1'!$B:$B,$A33,'Таблиця 1'!$I:$I,"МіГ-29",'Таблиця 1'!$J:$J,"GBU-64")+SUMIFS('Таблиця 1'!$K:$K,'Таблиця 1'!$B:$B,$A33,'Таблиця 1'!$I:$I,"Су-25",'Таблиця 1'!$J:$J,"GBU-64")+SUMIFS('Таблиця 1'!$K:$K,'Таблиця 1'!$B:$B,$A33,'Таблиця 1'!$I:$I,"Су-27",'Таблиця 1'!$J:$J,"GBU-64"))</f>
        <v/>
      </c>
      <c r="O33">
        <f>IF($A33="","",SUMIFS('Таблиця 1'!$K:$K,'Таблиця 1'!$B:$B,$A33,'Таблиця 1'!$I:$I,"Mirage",'Таблиця 1'!$J:$J,"C-13")+SUMIFS('Таблиця 1'!$K:$K,'Таблиця 1'!$B:$B,$A33,'Таблиця 1'!$I:$I,"F-16",'Таблиця 1'!$J:$J,"C-13")+SUMIFS('Таблиця 1'!$K:$K,'Таблиця 1'!$B:$B,$A33,'Таблиця 1'!$I:$I,"МіГ-29",'Таблиця 1'!$J:$J,"C-13")+SUMIFS('Таблиця 1'!$K:$K,'Таблиця 1'!$B:$B,$A33,'Таблиця 1'!$I:$I,"Су-25",'Таблиця 1'!$J:$J,"C-13")+SUMIFS('Таблиця 1'!$K:$K,'Таблиця 1'!$B:$B,$A33,'Таблиця 1'!$I:$I,"Су-27",'Таблиця 1'!$J:$J,"C-13"))</f>
        <v/>
      </c>
      <c r="P33">
        <f>IF($A33="","",SUMIFS('Таблиця 1'!$K:$K,'Таблиця 1'!$B:$B,$A33,'Таблиця 1'!$I:$I,"Mirage",'Таблиця 1'!$J:$J,"MK-32")+SUMIFS('Таблиця 1'!$K:$K,'Таблиця 1'!$B:$B,$A33,'Таблиця 1'!$I:$I,"F-16",'Таблиця 1'!$J:$J,"MK-32")+SUMIFS('Таблиця 1'!$K:$K,'Таблиця 1'!$B:$B,$A33,'Таблиця 1'!$I:$I,"МіГ-29",'Таблиця 1'!$J:$J,"MK-32")+SUMIFS('Таблиця 1'!$K:$K,'Таблиця 1'!$B:$B,$A33,'Таблиця 1'!$I:$I,"Су-25",'Таблиця 1'!$J:$J,"MK-32")+SUMIFS('Таблиця 1'!$K:$K,'Таблиця 1'!$B:$B,$A33,'Таблиця 1'!$I:$I,"Су-27",'Таблиця 1'!$J:$J,"MK-32"))</f>
        <v/>
      </c>
      <c r="Q33">
        <f>IF($A33="","",SUMIFS('Таблиця 1'!$K:$K,'Таблиця 1'!$B:$B,$A33,'Таблиця 1'!$I:$I,"Mirage",'Таблиця 1'!$J:$J,"MK-24")+SUMIFS('Таблиця 1'!$K:$K,'Таблиця 1'!$B:$B,$A33,'Таблиця 1'!$I:$I,"F-16",'Таблиця 1'!$J:$J,"MK-24")+SUMIFS('Таблиця 1'!$K:$K,'Таблиця 1'!$B:$B,$A33,'Таблиця 1'!$I:$I,"МіГ-29",'Таблиця 1'!$J:$J,"MK-24")+SUMIFS('Таблиця 1'!$K:$K,'Таблиця 1'!$B:$B,$A33,'Таблиця 1'!$I:$I,"Су-25",'Таблиця 1'!$J:$J,"MK-24")+SUMIFS('Таблиця 1'!$K:$K,'Таблиця 1'!$B:$B,$A33,'Таблиця 1'!$I:$I,"Су-27",'Таблиця 1'!$J:$J,"MK-24"))</f>
        <v/>
      </c>
      <c r="R33">
        <f>IF($A33="","",COUNTIFS('Таблиця 1'!$B:$B,$A33,'Таблиця 1'!$I:$I,"Mirage",'Таблиця 1'!$L:$L,"Уражено")+COUNTIFS('Таблиця 1'!$B:$B,$A33,'Таблиця 1'!$I:$I,"F-16",'Таблиця 1'!$L:$L,"Уражено")+COUNTIFS('Таблиця 1'!$B:$B,$A33,'Таблиця 1'!$I:$I,"МіГ-29",'Таблиця 1'!$L:$L,"Уражено")+COUNTIFS('Таблиця 1'!$B:$B,$A33,'Таблиця 1'!$I:$I,"Су-25",'Таблиця 1'!$L:$L,"Уражено")+COUNTIFS('Таблиця 1'!$B:$B,$A33,'Таблиця 1'!$I:$I,"Су-27",'Таблиця 1'!$L:$L,"Уражено"))</f>
        <v/>
      </c>
      <c r="S33">
        <f>IF($A33="","",COUNTIFS('Таблиця 1'!$B:$B,$A33,'Таблиця 1'!$I:$I,"Mirage",'Таблиця 1'!$L:$L,"НЕ уражено")+COUNTIFS('Таблиця 1'!$B:$B,$A33,'Таблиця 1'!$I:$I,"F-16",'Таблиця 1'!$L:$L,"НЕ уражено")+COUNTIFS('Таблиця 1'!$B:$B,$A33,'Таблиця 1'!$I:$I,"МіГ-29",'Таблиця 1'!$L:$L,"НЕ уражено")+COUNTIFS('Таблиця 1'!$B:$B,$A33,'Таблиця 1'!$I:$I,"Су-25",'Таблиця 1'!$L:$L,"НЕ уражено")+COUNTIFS('Таблиця 1'!$B:$B,$A33,'Таблиця 1'!$I:$I,"Су-27",'Таблиця 1'!$L:$L,"НЕ уражено"))</f>
        <v/>
      </c>
      <c r="T33">
        <f>IF($A33="","",COUNTIFS('Таблиця 1'!$B:$B,$A33,'Таблиця 1'!$I:$I,"Mirage",'Таблиця 1'!$L:$L,"Дорозвідується")+COUNTIFS('Таблиця 1'!$B:$B,$A33,'Таблиця 1'!$I:$I,"F-16",'Таблиця 1'!$L:$L,"Дорозвідується")+COUNTIFS('Таблиця 1'!$B:$B,$A33,'Таблиця 1'!$I:$I,"МіГ-29",'Таблиця 1'!$L:$L,"Дорозвідується")+COUNTIFS('Таблиця 1'!$B:$B,$A33,'Таблиця 1'!$I:$I,"Су-25",'Таблиця 1'!$L:$L,"Дорозвідується")+COUNTIFS('Таблиця 1'!$B:$B,$A33,'Таблиця 1'!$I:$I,"Су-27",'Таблиця 1'!$L:$L,"Дорозвідується"))</f>
        <v/>
      </c>
    </row>
    <row r="34">
      <c r="A34" s="273">
        <f>IF(A33="","",IF(A33+1&gt;MAX('Таблиця 1'!$B:$B),"",A33+1))</f>
        <v/>
      </c>
      <c r="B34">
        <f>IF($A34="","",COUNTIFS('Таблиця 1'!$B:$B,$A34,'Таблиця 1'!$I:$I,"Mirage")+COUNTIFS('Таблиця 1'!$B:$B,$A34,'Таблиця 1'!$I:$I,"F-16")+COUNTIFS('Таблиця 1'!$B:$B,$A34,'Таблиця 1'!$I:$I,"МіГ-29")+COUNTIFS('Таблиця 1'!$B:$B,$A34,'Таблиця 1'!$I:$I,"Су-25")+COUNTIFS('Таблиця 1'!$B:$B,$A34,'Таблиця 1'!$I:$I,"Су-27"))</f>
        <v/>
      </c>
      <c r="C34">
        <f>IF($A34="","",COUNTIFS('Таблиця 1'!$B:$B,$A34,'Таблиця 1'!$I:$I,"Mirage"))</f>
        <v/>
      </c>
      <c r="D34">
        <f>IF($A34="","",COUNTIFS('Таблиця 1'!$B:$B,$A34,'Таблиця 1'!$I:$I,"F-16"))</f>
        <v/>
      </c>
      <c r="E34">
        <f>IF($A34="","",COUNTIFS('Таблиця 1'!$B:$B,$A34,'Таблиця 1'!$I:$I,"МіГ-29"))</f>
        <v/>
      </c>
      <c r="F34">
        <f>IF($A34="","",COUNTIFS('Таблиця 1'!$B:$B,$A34,'Таблиця 1'!$I:$I,"Су-25"))</f>
        <v/>
      </c>
      <c r="G34">
        <f>IF($A34="","",COUNTIFS('Таблиця 1'!$B:$B,$A34,'Таблиця 1'!$I:$I,"Су-27"))</f>
        <v/>
      </c>
      <c r="H34">
        <f>IF($A34="","",SUMIFS('Таблиця 1'!$K:$K,'Таблиця 1'!$B:$B,$A34,'Таблиця 1'!$I:$I,"Mirage",'Таблиця 1'!$J:$J,"AGM-88")+SUMIFS('Таблиця 1'!$K:$K,'Таблиця 1'!$B:$B,$A34,'Таблиця 1'!$I:$I,"F-16",'Таблиця 1'!$J:$J,"AGM-88")+SUMIFS('Таблиця 1'!$K:$K,'Таблиця 1'!$B:$B,$A34,'Таблиця 1'!$I:$I,"МіГ-29",'Таблиця 1'!$J:$J,"AGM-88")+SUMIFS('Таблиця 1'!$K:$K,'Таблиця 1'!$B:$B,$A34,'Таблиця 1'!$I:$I,"Су-25",'Таблиця 1'!$J:$J,"AGM-88")+SUMIFS('Таблиця 1'!$K:$K,'Таблиця 1'!$B:$B,$A34,'Таблиця 1'!$I:$I,"Су-27",'Таблиця 1'!$J:$J,"AGM-88"))</f>
        <v/>
      </c>
      <c r="I34">
        <f>IF($A34="","",SUMIFS('Таблиця 1'!$K:$K,'Таблиця 1'!$B:$B,$A34,'Таблиця 1'!$I:$I,"Mirage",'Таблиця 1'!$J:$J,"AASM-250")+SUMIFS('Таблиця 1'!$K:$K,'Таблиця 1'!$B:$B,$A34,'Таблиця 1'!$I:$I,"F-16",'Таблиця 1'!$J:$J,"AASM-250")+SUMIFS('Таблиця 1'!$K:$K,'Таблиця 1'!$B:$B,$A34,'Таблиця 1'!$I:$I,"МіГ-29",'Таблиця 1'!$J:$J,"AASM-250")+SUMIFS('Таблиця 1'!$K:$K,'Таблиця 1'!$B:$B,$A34,'Таблиця 1'!$I:$I,"Су-25",'Таблиця 1'!$J:$J,"AASM-250")+SUMIFS('Таблиця 1'!$K:$K,'Таблиця 1'!$B:$B,$A34,'Таблиця 1'!$I:$I,"Су-27",'Таблиця 1'!$J:$J,"AASM-250"))</f>
        <v/>
      </c>
      <c r="J34">
        <f>IF($A34="","",SUMIFS('Таблиця 1'!$K:$K,'Таблиця 1'!$B:$B,$A34,'Таблиця 1'!$I:$I,"Mirage",'Таблиця 1'!$J:$J,"GBU-39")+SUMIFS('Таблиця 1'!$K:$K,'Таблиця 1'!$B:$B,$A34,'Таблиця 1'!$I:$I,"F-16",'Таблиця 1'!$J:$J,"GBU-39")+SUMIFS('Таблиця 1'!$K:$K,'Таблиця 1'!$B:$B,$A34,'Таблиця 1'!$I:$I,"МіГ-29",'Таблиця 1'!$J:$J,"GBU-39")+SUMIFS('Таблиця 1'!$K:$K,'Таблиця 1'!$B:$B,$A34,'Таблиця 1'!$I:$I,"Су-25",'Таблиця 1'!$J:$J,"GBU-39")+SUMIFS('Таблиця 1'!$K:$K,'Таблиця 1'!$B:$B,$A34,'Таблиця 1'!$I:$I,"Су-27",'Таблиця 1'!$J:$J,"GBU-39"))</f>
        <v/>
      </c>
      <c r="K34">
        <f>IF($A34="","",SUMIFS('Таблиця 1'!$K:$K,'Таблиця 1'!$B:$B,$A34,'Таблиця 1'!$I:$I,"Mirage",'Таблиця 1'!$J:$J,"BLU-140")+SUMIFS('Таблиця 1'!$K:$K,'Таблиця 1'!$B:$B,$A34,'Таблиця 1'!$I:$I,"F-16",'Таблиця 1'!$J:$J,"BLU-140")+SUMIFS('Таблиця 1'!$K:$K,'Таблиця 1'!$B:$B,$A34,'Таблиця 1'!$I:$I,"МіГ-29",'Таблиця 1'!$J:$J,"BLU-140")+SUMIFS('Таблиця 1'!$K:$K,'Таблиця 1'!$B:$B,$A34,'Таблиця 1'!$I:$I,"Су-25",'Таблиця 1'!$J:$J,"BLU-140")+SUMIFS('Таблиця 1'!$K:$K,'Таблиця 1'!$B:$B,$A34,'Таблиця 1'!$I:$I,"Су-27",'Таблиця 1'!$J:$J,"BLU-140"))</f>
        <v/>
      </c>
      <c r="L34">
        <f>IF($A34="","",SUMIFS('Таблиця 1'!$K:$K,'Таблиця 1'!$B:$B,$A34,'Таблиця 1'!$I:$I,"Mirage",'Таблиця 1'!$J:$J,"GBU-65")+SUMIFS('Таблиця 1'!$K:$K,'Таблиця 1'!$B:$B,$A34,'Таблиця 1'!$I:$I,"F-16",'Таблиця 1'!$J:$J,"GBU-65")+SUMIFS('Таблиця 1'!$K:$K,'Таблиця 1'!$B:$B,$A34,'Таблиця 1'!$I:$I,"МіГ-29",'Таблиця 1'!$J:$J,"GBU-65")+SUMIFS('Таблиця 1'!$K:$K,'Таблиця 1'!$B:$B,$A34,'Таблиця 1'!$I:$I,"Су-25",'Таблиця 1'!$J:$J,"GBU-65")+SUMIFS('Таблиця 1'!$K:$K,'Таблиця 1'!$B:$B,$A34,'Таблиця 1'!$I:$I,"Су-27",'Таблиця 1'!$J:$J,"GBU-65"))</f>
        <v/>
      </c>
      <c r="M34">
        <f>IF($A34="","",SUMIFS('Таблиця 1'!$K:$K,'Таблиця 1'!$B:$B,$A34,'Таблиця 1'!$I:$I,"Mirage",'Таблиця 1'!$J:$J,"GBU-62")+SUMIFS('Таблиця 1'!$K:$K,'Таблиця 1'!$B:$B,$A34,'Таблиця 1'!$I:$I,"F-16",'Таблиця 1'!$J:$J,"GBU-62")+SUMIFS('Таблиця 1'!$K:$K,'Таблиця 1'!$B:$B,$A34,'Таблиця 1'!$I:$I,"МіГ-29",'Таблиця 1'!$J:$J,"GBU-62")+SUMIFS('Таблиця 1'!$K:$K,'Таблиця 1'!$B:$B,$A34,'Таблиця 1'!$I:$I,"Су-25",'Таблиця 1'!$J:$J,"GBU-62")+SUMIFS('Таблиця 1'!$K:$K,'Таблиця 1'!$B:$B,$A34,'Таблиця 1'!$I:$I,"Су-27",'Таблиця 1'!$J:$J,"GBU-62"))</f>
        <v/>
      </c>
      <c r="N34">
        <f>IF($A34="","",SUMIFS('Таблиця 1'!$K:$K,'Таблиця 1'!$B:$B,$A34,'Таблиця 1'!$I:$I,"Mirage",'Таблиця 1'!$J:$J,"GBU-64")+SUMIFS('Таблиця 1'!$K:$K,'Таблиця 1'!$B:$B,$A34,'Таблиця 1'!$I:$I,"F-16",'Таблиця 1'!$J:$J,"GBU-64")+SUMIFS('Таблиця 1'!$K:$K,'Таблиця 1'!$B:$B,$A34,'Таблиця 1'!$I:$I,"МіГ-29",'Таблиця 1'!$J:$J,"GBU-64")+SUMIFS('Таблиця 1'!$K:$K,'Таблиця 1'!$B:$B,$A34,'Таблиця 1'!$I:$I,"Су-25",'Таблиця 1'!$J:$J,"GBU-64")+SUMIFS('Таблиця 1'!$K:$K,'Таблиця 1'!$B:$B,$A34,'Таблиця 1'!$I:$I,"Су-27",'Таблиця 1'!$J:$J,"GBU-64"))</f>
        <v/>
      </c>
      <c r="O34">
        <f>IF($A34="","",SUMIFS('Таблиця 1'!$K:$K,'Таблиця 1'!$B:$B,$A34,'Таблиця 1'!$I:$I,"Mirage",'Таблиця 1'!$J:$J,"C-13")+SUMIFS('Таблиця 1'!$K:$K,'Таблиця 1'!$B:$B,$A34,'Таблиця 1'!$I:$I,"F-16",'Таблиця 1'!$J:$J,"C-13")+SUMIFS('Таблиця 1'!$K:$K,'Таблиця 1'!$B:$B,$A34,'Таблиця 1'!$I:$I,"МіГ-29",'Таблиця 1'!$J:$J,"C-13")+SUMIFS('Таблиця 1'!$K:$K,'Таблиця 1'!$B:$B,$A34,'Таблиця 1'!$I:$I,"Су-25",'Таблиця 1'!$J:$J,"C-13")+SUMIFS('Таблиця 1'!$K:$K,'Таблиця 1'!$B:$B,$A34,'Таблиця 1'!$I:$I,"Су-27",'Таблиця 1'!$J:$J,"C-13"))</f>
        <v/>
      </c>
      <c r="P34">
        <f>IF($A34="","",SUMIFS('Таблиця 1'!$K:$K,'Таблиця 1'!$B:$B,$A34,'Таблиця 1'!$I:$I,"Mirage",'Таблиця 1'!$J:$J,"MK-32")+SUMIFS('Таблиця 1'!$K:$K,'Таблиця 1'!$B:$B,$A34,'Таблиця 1'!$I:$I,"F-16",'Таблиця 1'!$J:$J,"MK-32")+SUMIFS('Таблиця 1'!$K:$K,'Таблиця 1'!$B:$B,$A34,'Таблиця 1'!$I:$I,"МіГ-29",'Таблиця 1'!$J:$J,"MK-32")+SUMIFS('Таблиця 1'!$K:$K,'Таблиця 1'!$B:$B,$A34,'Таблиця 1'!$I:$I,"Су-25",'Таблиця 1'!$J:$J,"MK-32")+SUMIFS('Таблиця 1'!$K:$K,'Таблиця 1'!$B:$B,$A34,'Таблиця 1'!$I:$I,"Су-27",'Таблиця 1'!$J:$J,"MK-32"))</f>
        <v/>
      </c>
      <c r="Q34">
        <f>IF($A34="","",SUMIFS('Таблиця 1'!$K:$K,'Таблиця 1'!$B:$B,$A34,'Таблиця 1'!$I:$I,"Mirage",'Таблиця 1'!$J:$J,"MK-24")+SUMIFS('Таблиця 1'!$K:$K,'Таблиця 1'!$B:$B,$A34,'Таблиця 1'!$I:$I,"F-16",'Таблиця 1'!$J:$J,"MK-24")+SUMIFS('Таблиця 1'!$K:$K,'Таблиця 1'!$B:$B,$A34,'Таблиця 1'!$I:$I,"МіГ-29",'Таблиця 1'!$J:$J,"MK-24")+SUMIFS('Таблиця 1'!$K:$K,'Таблиця 1'!$B:$B,$A34,'Таблиця 1'!$I:$I,"Су-25",'Таблиця 1'!$J:$J,"MK-24")+SUMIFS('Таблиця 1'!$K:$K,'Таблиця 1'!$B:$B,$A34,'Таблиця 1'!$I:$I,"Су-27",'Таблиця 1'!$J:$J,"MK-24"))</f>
        <v/>
      </c>
      <c r="R34">
        <f>IF($A34="","",COUNTIFS('Таблиця 1'!$B:$B,$A34,'Таблиця 1'!$I:$I,"Mirage",'Таблиця 1'!$L:$L,"Уражено")+COUNTIFS('Таблиця 1'!$B:$B,$A34,'Таблиця 1'!$I:$I,"F-16",'Таблиця 1'!$L:$L,"Уражено")+COUNTIFS('Таблиця 1'!$B:$B,$A34,'Таблиця 1'!$I:$I,"МіГ-29",'Таблиця 1'!$L:$L,"Уражено")+COUNTIFS('Таблиця 1'!$B:$B,$A34,'Таблиця 1'!$I:$I,"Су-25",'Таблиця 1'!$L:$L,"Уражено")+COUNTIFS('Таблиця 1'!$B:$B,$A34,'Таблиця 1'!$I:$I,"Су-27",'Таблиця 1'!$L:$L,"Уражено"))</f>
        <v/>
      </c>
      <c r="S34">
        <f>IF($A34="","",COUNTIFS('Таблиця 1'!$B:$B,$A34,'Таблиця 1'!$I:$I,"Mirage",'Таблиця 1'!$L:$L,"НЕ уражено")+COUNTIFS('Таблиця 1'!$B:$B,$A34,'Таблиця 1'!$I:$I,"F-16",'Таблиця 1'!$L:$L,"НЕ уражено")+COUNTIFS('Таблиця 1'!$B:$B,$A34,'Таблиця 1'!$I:$I,"МіГ-29",'Таблиця 1'!$L:$L,"НЕ уражено")+COUNTIFS('Таблиця 1'!$B:$B,$A34,'Таблиця 1'!$I:$I,"Су-25",'Таблиця 1'!$L:$L,"НЕ уражено")+COUNTIFS('Таблиця 1'!$B:$B,$A34,'Таблиця 1'!$I:$I,"Су-27",'Таблиця 1'!$L:$L,"НЕ уражено"))</f>
        <v/>
      </c>
      <c r="T34">
        <f>IF($A34="","",COUNTIFS('Таблиця 1'!$B:$B,$A34,'Таблиця 1'!$I:$I,"Mirage",'Таблиця 1'!$L:$L,"Дорозвідується")+COUNTIFS('Таблиця 1'!$B:$B,$A34,'Таблиця 1'!$I:$I,"F-16",'Таблиця 1'!$L:$L,"Дорозвідується")+COUNTIFS('Таблиця 1'!$B:$B,$A34,'Таблиця 1'!$I:$I,"МіГ-29",'Таблиця 1'!$L:$L,"Дорозвідується")+COUNTIFS('Таблиця 1'!$B:$B,$A34,'Таблиця 1'!$I:$I,"Су-25",'Таблиця 1'!$L:$L,"Дорозвідується")+COUNTIFS('Таблиця 1'!$B:$B,$A34,'Таблиця 1'!$I:$I,"Су-27",'Таблиця 1'!$L:$L,"Дорозвідується"))</f>
        <v/>
      </c>
    </row>
    <row r="35">
      <c r="A35" s="273">
        <f>IF(A34="","",IF(A34+1&gt;MAX('Таблиця 1'!$B:$B),"",A34+1))</f>
        <v/>
      </c>
      <c r="B35">
        <f>IF($A35="","",COUNTIFS('Таблиця 1'!$B:$B,$A35,'Таблиця 1'!$I:$I,"Mirage")+COUNTIFS('Таблиця 1'!$B:$B,$A35,'Таблиця 1'!$I:$I,"F-16")+COUNTIFS('Таблиця 1'!$B:$B,$A35,'Таблиця 1'!$I:$I,"МіГ-29")+COUNTIFS('Таблиця 1'!$B:$B,$A35,'Таблиця 1'!$I:$I,"Су-25")+COUNTIFS('Таблиця 1'!$B:$B,$A35,'Таблиця 1'!$I:$I,"Су-27"))</f>
        <v/>
      </c>
      <c r="C35">
        <f>IF($A35="","",COUNTIFS('Таблиця 1'!$B:$B,$A35,'Таблиця 1'!$I:$I,"Mirage"))</f>
        <v/>
      </c>
      <c r="D35">
        <f>IF($A35="","",COUNTIFS('Таблиця 1'!$B:$B,$A35,'Таблиця 1'!$I:$I,"F-16"))</f>
        <v/>
      </c>
      <c r="E35">
        <f>IF($A35="","",COUNTIFS('Таблиця 1'!$B:$B,$A35,'Таблиця 1'!$I:$I,"МіГ-29"))</f>
        <v/>
      </c>
      <c r="F35">
        <f>IF($A35="","",COUNTIFS('Таблиця 1'!$B:$B,$A35,'Таблиця 1'!$I:$I,"Су-25"))</f>
        <v/>
      </c>
      <c r="G35">
        <f>IF($A35="","",COUNTIFS('Таблиця 1'!$B:$B,$A35,'Таблиця 1'!$I:$I,"Су-27"))</f>
        <v/>
      </c>
      <c r="H35">
        <f>IF($A35="","",SUMIFS('Таблиця 1'!$K:$K,'Таблиця 1'!$B:$B,$A35,'Таблиця 1'!$I:$I,"Mirage",'Таблиця 1'!$J:$J,"AGM-88")+SUMIFS('Таблиця 1'!$K:$K,'Таблиця 1'!$B:$B,$A35,'Таблиця 1'!$I:$I,"F-16",'Таблиця 1'!$J:$J,"AGM-88")+SUMIFS('Таблиця 1'!$K:$K,'Таблиця 1'!$B:$B,$A35,'Таблиця 1'!$I:$I,"МіГ-29",'Таблиця 1'!$J:$J,"AGM-88")+SUMIFS('Таблиця 1'!$K:$K,'Таблиця 1'!$B:$B,$A35,'Таблиця 1'!$I:$I,"Су-25",'Таблиця 1'!$J:$J,"AGM-88")+SUMIFS('Таблиця 1'!$K:$K,'Таблиця 1'!$B:$B,$A35,'Таблиця 1'!$I:$I,"Су-27",'Таблиця 1'!$J:$J,"AGM-88"))</f>
        <v/>
      </c>
      <c r="I35">
        <f>IF($A35="","",SUMIFS('Таблиця 1'!$K:$K,'Таблиця 1'!$B:$B,$A35,'Таблиця 1'!$I:$I,"Mirage",'Таблиця 1'!$J:$J,"AASM-250")+SUMIFS('Таблиця 1'!$K:$K,'Таблиця 1'!$B:$B,$A35,'Таблиця 1'!$I:$I,"F-16",'Таблиця 1'!$J:$J,"AASM-250")+SUMIFS('Таблиця 1'!$K:$K,'Таблиця 1'!$B:$B,$A35,'Таблиця 1'!$I:$I,"МіГ-29",'Таблиця 1'!$J:$J,"AASM-250")+SUMIFS('Таблиця 1'!$K:$K,'Таблиця 1'!$B:$B,$A35,'Таблиця 1'!$I:$I,"Су-25",'Таблиця 1'!$J:$J,"AASM-250")+SUMIFS('Таблиця 1'!$K:$K,'Таблиця 1'!$B:$B,$A35,'Таблиця 1'!$I:$I,"Су-27",'Таблиця 1'!$J:$J,"AASM-250"))</f>
        <v/>
      </c>
      <c r="J35">
        <f>IF($A35="","",SUMIFS('Таблиця 1'!$K:$K,'Таблиця 1'!$B:$B,$A35,'Таблиця 1'!$I:$I,"Mirage",'Таблиця 1'!$J:$J,"GBU-39")+SUMIFS('Таблиця 1'!$K:$K,'Таблиця 1'!$B:$B,$A35,'Таблиця 1'!$I:$I,"F-16",'Таблиця 1'!$J:$J,"GBU-39")+SUMIFS('Таблиця 1'!$K:$K,'Таблиця 1'!$B:$B,$A35,'Таблиця 1'!$I:$I,"МіГ-29",'Таблиця 1'!$J:$J,"GBU-39")+SUMIFS('Таблиця 1'!$K:$K,'Таблиця 1'!$B:$B,$A35,'Таблиця 1'!$I:$I,"Су-25",'Таблиця 1'!$J:$J,"GBU-39")+SUMIFS('Таблиця 1'!$K:$K,'Таблиця 1'!$B:$B,$A35,'Таблиця 1'!$I:$I,"Су-27",'Таблиця 1'!$J:$J,"GBU-39"))</f>
        <v/>
      </c>
      <c r="K35">
        <f>IF($A35="","",SUMIFS('Таблиця 1'!$K:$K,'Таблиця 1'!$B:$B,$A35,'Таблиця 1'!$I:$I,"Mirage",'Таблиця 1'!$J:$J,"BLU-140")+SUMIFS('Таблиця 1'!$K:$K,'Таблиця 1'!$B:$B,$A35,'Таблиця 1'!$I:$I,"F-16",'Таблиця 1'!$J:$J,"BLU-140")+SUMIFS('Таблиця 1'!$K:$K,'Таблиця 1'!$B:$B,$A35,'Таблиця 1'!$I:$I,"МіГ-29",'Таблиця 1'!$J:$J,"BLU-140")+SUMIFS('Таблиця 1'!$K:$K,'Таблиця 1'!$B:$B,$A35,'Таблиця 1'!$I:$I,"Су-25",'Таблиця 1'!$J:$J,"BLU-140")+SUMIFS('Таблиця 1'!$K:$K,'Таблиця 1'!$B:$B,$A35,'Таблиця 1'!$I:$I,"Су-27",'Таблиця 1'!$J:$J,"BLU-140"))</f>
        <v/>
      </c>
      <c r="L35">
        <f>IF($A35="","",SUMIFS('Таблиця 1'!$K:$K,'Таблиця 1'!$B:$B,$A35,'Таблиця 1'!$I:$I,"Mirage",'Таблиця 1'!$J:$J,"GBU-65")+SUMIFS('Таблиця 1'!$K:$K,'Таблиця 1'!$B:$B,$A35,'Таблиця 1'!$I:$I,"F-16",'Таблиця 1'!$J:$J,"GBU-65")+SUMIFS('Таблиця 1'!$K:$K,'Таблиця 1'!$B:$B,$A35,'Таблиця 1'!$I:$I,"МіГ-29",'Таблиця 1'!$J:$J,"GBU-65")+SUMIFS('Таблиця 1'!$K:$K,'Таблиця 1'!$B:$B,$A35,'Таблиця 1'!$I:$I,"Су-25",'Таблиця 1'!$J:$J,"GBU-65")+SUMIFS('Таблиця 1'!$K:$K,'Таблиця 1'!$B:$B,$A35,'Таблиця 1'!$I:$I,"Су-27",'Таблиця 1'!$J:$J,"GBU-65"))</f>
        <v/>
      </c>
      <c r="M35">
        <f>IF($A35="","",SUMIFS('Таблиця 1'!$K:$K,'Таблиця 1'!$B:$B,$A35,'Таблиця 1'!$I:$I,"Mirage",'Таблиця 1'!$J:$J,"GBU-62")+SUMIFS('Таблиця 1'!$K:$K,'Таблиця 1'!$B:$B,$A35,'Таблиця 1'!$I:$I,"F-16",'Таблиця 1'!$J:$J,"GBU-62")+SUMIFS('Таблиця 1'!$K:$K,'Таблиця 1'!$B:$B,$A35,'Таблиця 1'!$I:$I,"МіГ-29",'Таблиця 1'!$J:$J,"GBU-62")+SUMIFS('Таблиця 1'!$K:$K,'Таблиця 1'!$B:$B,$A35,'Таблиця 1'!$I:$I,"Су-25",'Таблиця 1'!$J:$J,"GBU-62")+SUMIFS('Таблиця 1'!$K:$K,'Таблиця 1'!$B:$B,$A35,'Таблиця 1'!$I:$I,"Су-27",'Таблиця 1'!$J:$J,"GBU-62"))</f>
        <v/>
      </c>
      <c r="N35">
        <f>IF($A35="","",SUMIFS('Таблиця 1'!$K:$K,'Таблиця 1'!$B:$B,$A35,'Таблиця 1'!$I:$I,"Mirage",'Таблиця 1'!$J:$J,"GBU-64")+SUMIFS('Таблиця 1'!$K:$K,'Таблиця 1'!$B:$B,$A35,'Таблиця 1'!$I:$I,"F-16",'Таблиця 1'!$J:$J,"GBU-64")+SUMIFS('Таблиця 1'!$K:$K,'Таблиця 1'!$B:$B,$A35,'Таблиця 1'!$I:$I,"МіГ-29",'Таблиця 1'!$J:$J,"GBU-64")+SUMIFS('Таблиця 1'!$K:$K,'Таблиця 1'!$B:$B,$A35,'Таблиця 1'!$I:$I,"Су-25",'Таблиця 1'!$J:$J,"GBU-64")+SUMIFS('Таблиця 1'!$K:$K,'Таблиця 1'!$B:$B,$A35,'Таблиця 1'!$I:$I,"Су-27",'Таблиця 1'!$J:$J,"GBU-64"))</f>
        <v/>
      </c>
      <c r="O35">
        <f>IF($A35="","",SUMIFS('Таблиця 1'!$K:$K,'Таблиця 1'!$B:$B,$A35,'Таблиця 1'!$I:$I,"Mirage",'Таблиця 1'!$J:$J,"C-13")+SUMIFS('Таблиця 1'!$K:$K,'Таблиця 1'!$B:$B,$A35,'Таблиця 1'!$I:$I,"F-16",'Таблиця 1'!$J:$J,"C-13")+SUMIFS('Таблиця 1'!$K:$K,'Таблиця 1'!$B:$B,$A35,'Таблиця 1'!$I:$I,"МіГ-29",'Таблиця 1'!$J:$J,"C-13")+SUMIFS('Таблиця 1'!$K:$K,'Таблиця 1'!$B:$B,$A35,'Таблиця 1'!$I:$I,"Су-25",'Таблиця 1'!$J:$J,"C-13")+SUMIFS('Таблиця 1'!$K:$K,'Таблиця 1'!$B:$B,$A35,'Таблиця 1'!$I:$I,"Су-27",'Таблиця 1'!$J:$J,"C-13"))</f>
        <v/>
      </c>
      <c r="P35">
        <f>IF($A35="","",SUMIFS('Таблиця 1'!$K:$K,'Таблиця 1'!$B:$B,$A35,'Таблиця 1'!$I:$I,"Mirage",'Таблиця 1'!$J:$J,"MK-32")+SUMIFS('Таблиця 1'!$K:$K,'Таблиця 1'!$B:$B,$A35,'Таблиця 1'!$I:$I,"F-16",'Таблиця 1'!$J:$J,"MK-32")+SUMIFS('Таблиця 1'!$K:$K,'Таблиця 1'!$B:$B,$A35,'Таблиця 1'!$I:$I,"МіГ-29",'Таблиця 1'!$J:$J,"MK-32")+SUMIFS('Таблиця 1'!$K:$K,'Таблиця 1'!$B:$B,$A35,'Таблиця 1'!$I:$I,"Су-25",'Таблиця 1'!$J:$J,"MK-32")+SUMIFS('Таблиця 1'!$K:$K,'Таблиця 1'!$B:$B,$A35,'Таблиця 1'!$I:$I,"Су-27",'Таблиця 1'!$J:$J,"MK-32"))</f>
        <v/>
      </c>
      <c r="Q35">
        <f>IF($A35="","",SUMIFS('Таблиця 1'!$K:$K,'Таблиця 1'!$B:$B,$A35,'Таблиця 1'!$I:$I,"Mirage",'Таблиця 1'!$J:$J,"MK-24")+SUMIFS('Таблиця 1'!$K:$K,'Таблиця 1'!$B:$B,$A35,'Таблиця 1'!$I:$I,"F-16",'Таблиця 1'!$J:$J,"MK-24")+SUMIFS('Таблиця 1'!$K:$K,'Таблиця 1'!$B:$B,$A35,'Таблиця 1'!$I:$I,"МіГ-29",'Таблиця 1'!$J:$J,"MK-24")+SUMIFS('Таблиця 1'!$K:$K,'Таблиця 1'!$B:$B,$A35,'Таблиця 1'!$I:$I,"Су-25",'Таблиця 1'!$J:$J,"MK-24")+SUMIFS('Таблиця 1'!$K:$K,'Таблиця 1'!$B:$B,$A35,'Таблиця 1'!$I:$I,"Су-27",'Таблиця 1'!$J:$J,"MK-24"))</f>
        <v/>
      </c>
      <c r="R35">
        <f>IF($A35="","",COUNTIFS('Таблиця 1'!$B:$B,$A35,'Таблиця 1'!$I:$I,"Mirage",'Таблиця 1'!$L:$L,"Уражено")+COUNTIFS('Таблиця 1'!$B:$B,$A35,'Таблиця 1'!$I:$I,"F-16",'Таблиця 1'!$L:$L,"Уражено")+COUNTIFS('Таблиця 1'!$B:$B,$A35,'Таблиця 1'!$I:$I,"МіГ-29",'Таблиця 1'!$L:$L,"Уражено")+COUNTIFS('Таблиця 1'!$B:$B,$A35,'Таблиця 1'!$I:$I,"Су-25",'Таблиця 1'!$L:$L,"Уражено")+COUNTIFS('Таблиця 1'!$B:$B,$A35,'Таблиця 1'!$I:$I,"Су-27",'Таблиця 1'!$L:$L,"Уражено"))</f>
        <v/>
      </c>
      <c r="S35">
        <f>IF($A35="","",COUNTIFS('Таблиця 1'!$B:$B,$A35,'Таблиця 1'!$I:$I,"Mirage",'Таблиця 1'!$L:$L,"НЕ уражено")+COUNTIFS('Таблиця 1'!$B:$B,$A35,'Таблиця 1'!$I:$I,"F-16",'Таблиця 1'!$L:$L,"НЕ уражено")+COUNTIFS('Таблиця 1'!$B:$B,$A35,'Таблиця 1'!$I:$I,"МіГ-29",'Таблиця 1'!$L:$L,"НЕ уражено")+COUNTIFS('Таблиця 1'!$B:$B,$A35,'Таблиця 1'!$I:$I,"Су-25",'Таблиця 1'!$L:$L,"НЕ уражено")+COUNTIFS('Таблиця 1'!$B:$B,$A35,'Таблиця 1'!$I:$I,"Су-27",'Таблиця 1'!$L:$L,"НЕ уражено"))</f>
        <v/>
      </c>
      <c r="T35">
        <f>IF($A35="","",COUNTIFS('Таблиця 1'!$B:$B,$A35,'Таблиця 1'!$I:$I,"Mirage",'Таблиця 1'!$L:$L,"Дорозвідується")+COUNTIFS('Таблиця 1'!$B:$B,$A35,'Таблиця 1'!$I:$I,"F-16",'Таблиця 1'!$L:$L,"Дорозвідується")+COUNTIFS('Таблиця 1'!$B:$B,$A35,'Таблиця 1'!$I:$I,"МіГ-29",'Таблиця 1'!$L:$L,"Дорозвідується")+COUNTIFS('Таблиця 1'!$B:$B,$A35,'Таблиця 1'!$I:$I,"Су-25",'Таблиця 1'!$L:$L,"Дорозвідується")+COUNTIFS('Таблиця 1'!$B:$B,$A35,'Таблиця 1'!$I:$I,"Су-27",'Таблиця 1'!$L:$L,"Дорозвідується"))</f>
        <v/>
      </c>
    </row>
    <row r="36">
      <c r="A36" s="273">
        <f>IF(A35="","",IF(A35+1&gt;MAX('Таблиця 1'!$B:$B),"",A35+1))</f>
        <v/>
      </c>
      <c r="B36">
        <f>IF($A36="","",COUNTIFS('Таблиця 1'!$B:$B,$A36,'Таблиця 1'!$I:$I,"Mirage")+COUNTIFS('Таблиця 1'!$B:$B,$A36,'Таблиця 1'!$I:$I,"F-16")+COUNTIFS('Таблиця 1'!$B:$B,$A36,'Таблиця 1'!$I:$I,"МіГ-29")+COUNTIFS('Таблиця 1'!$B:$B,$A36,'Таблиця 1'!$I:$I,"Су-25")+COUNTIFS('Таблиця 1'!$B:$B,$A36,'Таблиця 1'!$I:$I,"Су-27"))</f>
        <v/>
      </c>
      <c r="C36">
        <f>IF($A36="","",COUNTIFS('Таблиця 1'!$B:$B,$A36,'Таблиця 1'!$I:$I,"Mirage"))</f>
        <v/>
      </c>
      <c r="D36">
        <f>IF($A36="","",COUNTIFS('Таблиця 1'!$B:$B,$A36,'Таблиця 1'!$I:$I,"F-16"))</f>
        <v/>
      </c>
      <c r="E36">
        <f>IF($A36="","",COUNTIFS('Таблиця 1'!$B:$B,$A36,'Таблиця 1'!$I:$I,"МіГ-29"))</f>
        <v/>
      </c>
      <c r="F36">
        <f>IF($A36="","",COUNTIFS('Таблиця 1'!$B:$B,$A36,'Таблиця 1'!$I:$I,"Су-25"))</f>
        <v/>
      </c>
      <c r="G36">
        <f>IF($A36="","",COUNTIFS('Таблиця 1'!$B:$B,$A36,'Таблиця 1'!$I:$I,"Су-27"))</f>
        <v/>
      </c>
      <c r="H36">
        <f>IF($A36="","",SUMIFS('Таблиця 1'!$K:$K,'Таблиця 1'!$B:$B,$A36,'Таблиця 1'!$I:$I,"Mirage",'Таблиця 1'!$J:$J,"AGM-88")+SUMIFS('Таблиця 1'!$K:$K,'Таблиця 1'!$B:$B,$A36,'Таблиця 1'!$I:$I,"F-16",'Таблиця 1'!$J:$J,"AGM-88")+SUMIFS('Таблиця 1'!$K:$K,'Таблиця 1'!$B:$B,$A36,'Таблиця 1'!$I:$I,"МіГ-29",'Таблиця 1'!$J:$J,"AGM-88")+SUMIFS('Таблиця 1'!$K:$K,'Таблиця 1'!$B:$B,$A36,'Таблиця 1'!$I:$I,"Су-25",'Таблиця 1'!$J:$J,"AGM-88")+SUMIFS('Таблиця 1'!$K:$K,'Таблиця 1'!$B:$B,$A36,'Таблиця 1'!$I:$I,"Су-27",'Таблиця 1'!$J:$J,"AGM-88"))</f>
        <v/>
      </c>
      <c r="I36">
        <f>IF($A36="","",SUMIFS('Таблиця 1'!$K:$K,'Таблиця 1'!$B:$B,$A36,'Таблиця 1'!$I:$I,"Mirage",'Таблиця 1'!$J:$J,"AASM-250")+SUMIFS('Таблиця 1'!$K:$K,'Таблиця 1'!$B:$B,$A36,'Таблиця 1'!$I:$I,"F-16",'Таблиця 1'!$J:$J,"AASM-250")+SUMIFS('Таблиця 1'!$K:$K,'Таблиця 1'!$B:$B,$A36,'Таблиця 1'!$I:$I,"МіГ-29",'Таблиця 1'!$J:$J,"AASM-250")+SUMIFS('Таблиця 1'!$K:$K,'Таблиця 1'!$B:$B,$A36,'Таблиця 1'!$I:$I,"Су-25",'Таблиця 1'!$J:$J,"AASM-250")+SUMIFS('Таблиця 1'!$K:$K,'Таблиця 1'!$B:$B,$A36,'Таблиця 1'!$I:$I,"Су-27",'Таблиця 1'!$J:$J,"AASM-250"))</f>
        <v/>
      </c>
      <c r="J36">
        <f>IF($A36="","",SUMIFS('Таблиця 1'!$K:$K,'Таблиця 1'!$B:$B,$A36,'Таблиця 1'!$I:$I,"Mirage",'Таблиця 1'!$J:$J,"GBU-39")+SUMIFS('Таблиця 1'!$K:$K,'Таблиця 1'!$B:$B,$A36,'Таблиця 1'!$I:$I,"F-16",'Таблиця 1'!$J:$J,"GBU-39")+SUMIFS('Таблиця 1'!$K:$K,'Таблиця 1'!$B:$B,$A36,'Таблиця 1'!$I:$I,"МіГ-29",'Таблиця 1'!$J:$J,"GBU-39")+SUMIFS('Таблиця 1'!$K:$K,'Таблиця 1'!$B:$B,$A36,'Таблиця 1'!$I:$I,"Су-25",'Таблиця 1'!$J:$J,"GBU-39")+SUMIFS('Таблиця 1'!$K:$K,'Таблиця 1'!$B:$B,$A36,'Таблиця 1'!$I:$I,"Су-27",'Таблиця 1'!$J:$J,"GBU-39"))</f>
        <v/>
      </c>
      <c r="K36">
        <f>IF($A36="","",SUMIFS('Таблиця 1'!$K:$K,'Таблиця 1'!$B:$B,$A36,'Таблиця 1'!$I:$I,"Mirage",'Таблиця 1'!$J:$J,"BLU-140")+SUMIFS('Таблиця 1'!$K:$K,'Таблиця 1'!$B:$B,$A36,'Таблиця 1'!$I:$I,"F-16",'Таблиця 1'!$J:$J,"BLU-140")+SUMIFS('Таблиця 1'!$K:$K,'Таблиця 1'!$B:$B,$A36,'Таблиця 1'!$I:$I,"МіГ-29",'Таблиця 1'!$J:$J,"BLU-140")+SUMIFS('Таблиця 1'!$K:$K,'Таблиця 1'!$B:$B,$A36,'Таблиця 1'!$I:$I,"Су-25",'Таблиця 1'!$J:$J,"BLU-140")+SUMIFS('Таблиця 1'!$K:$K,'Таблиця 1'!$B:$B,$A36,'Таблиця 1'!$I:$I,"Су-27",'Таблиця 1'!$J:$J,"BLU-140"))</f>
        <v/>
      </c>
      <c r="L36">
        <f>IF($A36="","",SUMIFS('Таблиця 1'!$K:$K,'Таблиця 1'!$B:$B,$A36,'Таблиця 1'!$I:$I,"Mirage",'Таблиця 1'!$J:$J,"GBU-65")+SUMIFS('Таблиця 1'!$K:$K,'Таблиця 1'!$B:$B,$A36,'Таблиця 1'!$I:$I,"F-16",'Таблиця 1'!$J:$J,"GBU-65")+SUMIFS('Таблиця 1'!$K:$K,'Таблиця 1'!$B:$B,$A36,'Таблиця 1'!$I:$I,"МіГ-29",'Таблиця 1'!$J:$J,"GBU-65")+SUMIFS('Таблиця 1'!$K:$K,'Таблиця 1'!$B:$B,$A36,'Таблиця 1'!$I:$I,"Су-25",'Таблиця 1'!$J:$J,"GBU-65")+SUMIFS('Таблиця 1'!$K:$K,'Таблиця 1'!$B:$B,$A36,'Таблиця 1'!$I:$I,"Су-27",'Таблиця 1'!$J:$J,"GBU-65"))</f>
        <v/>
      </c>
      <c r="M36">
        <f>IF($A36="","",SUMIFS('Таблиця 1'!$K:$K,'Таблиця 1'!$B:$B,$A36,'Таблиця 1'!$I:$I,"Mirage",'Таблиця 1'!$J:$J,"GBU-62")+SUMIFS('Таблиця 1'!$K:$K,'Таблиця 1'!$B:$B,$A36,'Таблиця 1'!$I:$I,"F-16",'Таблиця 1'!$J:$J,"GBU-62")+SUMIFS('Таблиця 1'!$K:$K,'Таблиця 1'!$B:$B,$A36,'Таблиця 1'!$I:$I,"МіГ-29",'Таблиця 1'!$J:$J,"GBU-62")+SUMIFS('Таблиця 1'!$K:$K,'Таблиця 1'!$B:$B,$A36,'Таблиця 1'!$I:$I,"Су-25",'Таблиця 1'!$J:$J,"GBU-62")+SUMIFS('Таблиця 1'!$K:$K,'Таблиця 1'!$B:$B,$A36,'Таблиця 1'!$I:$I,"Су-27",'Таблиця 1'!$J:$J,"GBU-62"))</f>
        <v/>
      </c>
      <c r="N36">
        <f>IF($A36="","",SUMIFS('Таблиця 1'!$K:$K,'Таблиця 1'!$B:$B,$A36,'Таблиця 1'!$I:$I,"Mirage",'Таблиця 1'!$J:$J,"GBU-64")+SUMIFS('Таблиця 1'!$K:$K,'Таблиця 1'!$B:$B,$A36,'Таблиця 1'!$I:$I,"F-16",'Таблиця 1'!$J:$J,"GBU-64")+SUMIFS('Таблиця 1'!$K:$K,'Таблиця 1'!$B:$B,$A36,'Таблиця 1'!$I:$I,"МіГ-29",'Таблиця 1'!$J:$J,"GBU-64")+SUMIFS('Таблиця 1'!$K:$K,'Таблиця 1'!$B:$B,$A36,'Таблиця 1'!$I:$I,"Су-25",'Таблиця 1'!$J:$J,"GBU-64")+SUMIFS('Таблиця 1'!$K:$K,'Таблиця 1'!$B:$B,$A36,'Таблиця 1'!$I:$I,"Су-27",'Таблиця 1'!$J:$J,"GBU-64"))</f>
        <v/>
      </c>
      <c r="O36">
        <f>IF($A36="","",SUMIFS('Таблиця 1'!$K:$K,'Таблиця 1'!$B:$B,$A36,'Таблиця 1'!$I:$I,"Mirage",'Таблиця 1'!$J:$J,"C-13")+SUMIFS('Таблиця 1'!$K:$K,'Таблиця 1'!$B:$B,$A36,'Таблиця 1'!$I:$I,"F-16",'Таблиця 1'!$J:$J,"C-13")+SUMIFS('Таблиця 1'!$K:$K,'Таблиця 1'!$B:$B,$A36,'Таблиця 1'!$I:$I,"МіГ-29",'Таблиця 1'!$J:$J,"C-13")+SUMIFS('Таблиця 1'!$K:$K,'Таблиця 1'!$B:$B,$A36,'Таблиця 1'!$I:$I,"Су-25",'Таблиця 1'!$J:$J,"C-13")+SUMIFS('Таблиця 1'!$K:$K,'Таблиця 1'!$B:$B,$A36,'Таблиця 1'!$I:$I,"Су-27",'Таблиця 1'!$J:$J,"C-13"))</f>
        <v/>
      </c>
      <c r="P36">
        <f>IF($A36="","",SUMIFS('Таблиця 1'!$K:$K,'Таблиця 1'!$B:$B,$A36,'Таблиця 1'!$I:$I,"Mirage",'Таблиця 1'!$J:$J,"MK-32")+SUMIFS('Таблиця 1'!$K:$K,'Таблиця 1'!$B:$B,$A36,'Таблиця 1'!$I:$I,"F-16",'Таблиця 1'!$J:$J,"MK-32")+SUMIFS('Таблиця 1'!$K:$K,'Таблиця 1'!$B:$B,$A36,'Таблиця 1'!$I:$I,"МіГ-29",'Таблиця 1'!$J:$J,"MK-32")+SUMIFS('Таблиця 1'!$K:$K,'Таблиця 1'!$B:$B,$A36,'Таблиця 1'!$I:$I,"Су-25",'Таблиця 1'!$J:$J,"MK-32")+SUMIFS('Таблиця 1'!$K:$K,'Таблиця 1'!$B:$B,$A36,'Таблиця 1'!$I:$I,"Су-27",'Таблиця 1'!$J:$J,"MK-32"))</f>
        <v/>
      </c>
      <c r="Q36">
        <f>IF($A36="","",SUMIFS('Таблиця 1'!$K:$K,'Таблиця 1'!$B:$B,$A36,'Таблиця 1'!$I:$I,"Mirage",'Таблиця 1'!$J:$J,"MK-24")+SUMIFS('Таблиця 1'!$K:$K,'Таблиця 1'!$B:$B,$A36,'Таблиця 1'!$I:$I,"F-16",'Таблиця 1'!$J:$J,"MK-24")+SUMIFS('Таблиця 1'!$K:$K,'Таблиця 1'!$B:$B,$A36,'Таблиця 1'!$I:$I,"МіГ-29",'Таблиця 1'!$J:$J,"MK-24")+SUMIFS('Таблиця 1'!$K:$K,'Таблиця 1'!$B:$B,$A36,'Таблиця 1'!$I:$I,"Су-25",'Таблиця 1'!$J:$J,"MK-24")+SUMIFS('Таблиця 1'!$K:$K,'Таблиця 1'!$B:$B,$A36,'Таблиця 1'!$I:$I,"Су-27",'Таблиця 1'!$J:$J,"MK-24"))</f>
        <v/>
      </c>
      <c r="R36">
        <f>IF($A36="","",COUNTIFS('Таблиця 1'!$B:$B,$A36,'Таблиця 1'!$I:$I,"Mirage",'Таблиця 1'!$L:$L,"Уражено")+COUNTIFS('Таблиця 1'!$B:$B,$A36,'Таблиця 1'!$I:$I,"F-16",'Таблиця 1'!$L:$L,"Уражено")+COUNTIFS('Таблиця 1'!$B:$B,$A36,'Таблиця 1'!$I:$I,"МіГ-29",'Таблиця 1'!$L:$L,"Уражено")+COUNTIFS('Таблиця 1'!$B:$B,$A36,'Таблиця 1'!$I:$I,"Су-25",'Таблиця 1'!$L:$L,"Уражено")+COUNTIFS('Таблиця 1'!$B:$B,$A36,'Таблиця 1'!$I:$I,"Су-27",'Таблиця 1'!$L:$L,"Уражено"))</f>
        <v/>
      </c>
      <c r="S36">
        <f>IF($A36="","",COUNTIFS('Таблиця 1'!$B:$B,$A36,'Таблиця 1'!$I:$I,"Mirage",'Таблиця 1'!$L:$L,"НЕ уражено")+COUNTIFS('Таблиця 1'!$B:$B,$A36,'Таблиця 1'!$I:$I,"F-16",'Таблиця 1'!$L:$L,"НЕ уражено")+COUNTIFS('Таблиця 1'!$B:$B,$A36,'Таблиця 1'!$I:$I,"МіГ-29",'Таблиця 1'!$L:$L,"НЕ уражено")+COUNTIFS('Таблиця 1'!$B:$B,$A36,'Таблиця 1'!$I:$I,"Су-25",'Таблиця 1'!$L:$L,"НЕ уражено")+COUNTIFS('Таблиця 1'!$B:$B,$A36,'Таблиця 1'!$I:$I,"Су-27",'Таблиця 1'!$L:$L,"НЕ уражено"))</f>
        <v/>
      </c>
      <c r="T36">
        <f>IF($A36="","",COUNTIFS('Таблиця 1'!$B:$B,$A36,'Таблиця 1'!$I:$I,"Mirage",'Таблиця 1'!$L:$L,"Дорозвідується")+COUNTIFS('Таблиця 1'!$B:$B,$A36,'Таблиця 1'!$I:$I,"F-16",'Таблиця 1'!$L:$L,"Дорозвідується")+COUNTIFS('Таблиця 1'!$B:$B,$A36,'Таблиця 1'!$I:$I,"МіГ-29",'Таблиця 1'!$L:$L,"Дорозвідується")+COUNTIFS('Таблиця 1'!$B:$B,$A36,'Таблиця 1'!$I:$I,"Су-25",'Таблиця 1'!$L:$L,"Дорозвідується")+COUNTIFS('Таблиця 1'!$B:$B,$A36,'Таблиця 1'!$I:$I,"Су-27",'Таблиця 1'!$L:$L,"Дорозвідується"))</f>
        <v/>
      </c>
    </row>
    <row r="37">
      <c r="A37" s="273">
        <f>IF(A36="","",IF(A36+1&gt;MAX('Таблиця 1'!$B:$B),"",A36+1))</f>
        <v/>
      </c>
      <c r="B37">
        <f>IF($A37="","",COUNTIFS('Таблиця 1'!$B:$B,$A37,'Таблиця 1'!$I:$I,"Mirage")+COUNTIFS('Таблиця 1'!$B:$B,$A37,'Таблиця 1'!$I:$I,"F-16")+COUNTIFS('Таблиця 1'!$B:$B,$A37,'Таблиця 1'!$I:$I,"МіГ-29")+COUNTIFS('Таблиця 1'!$B:$B,$A37,'Таблиця 1'!$I:$I,"Су-25")+COUNTIFS('Таблиця 1'!$B:$B,$A37,'Таблиця 1'!$I:$I,"Су-27"))</f>
        <v/>
      </c>
      <c r="C37">
        <f>IF($A37="","",COUNTIFS('Таблиця 1'!$B:$B,$A37,'Таблиця 1'!$I:$I,"Mirage"))</f>
        <v/>
      </c>
      <c r="D37">
        <f>IF($A37="","",COUNTIFS('Таблиця 1'!$B:$B,$A37,'Таблиця 1'!$I:$I,"F-16"))</f>
        <v/>
      </c>
      <c r="E37">
        <f>IF($A37="","",COUNTIFS('Таблиця 1'!$B:$B,$A37,'Таблиця 1'!$I:$I,"МіГ-29"))</f>
        <v/>
      </c>
      <c r="F37">
        <f>IF($A37="","",COUNTIFS('Таблиця 1'!$B:$B,$A37,'Таблиця 1'!$I:$I,"Су-25"))</f>
        <v/>
      </c>
      <c r="G37">
        <f>IF($A37="","",COUNTIFS('Таблиця 1'!$B:$B,$A37,'Таблиця 1'!$I:$I,"Су-27"))</f>
        <v/>
      </c>
      <c r="H37">
        <f>IF($A37="","",SUMIFS('Таблиця 1'!$K:$K,'Таблиця 1'!$B:$B,$A37,'Таблиця 1'!$I:$I,"Mirage",'Таблиця 1'!$J:$J,"AGM-88")+SUMIFS('Таблиця 1'!$K:$K,'Таблиця 1'!$B:$B,$A37,'Таблиця 1'!$I:$I,"F-16",'Таблиця 1'!$J:$J,"AGM-88")+SUMIFS('Таблиця 1'!$K:$K,'Таблиця 1'!$B:$B,$A37,'Таблиця 1'!$I:$I,"МіГ-29",'Таблиця 1'!$J:$J,"AGM-88")+SUMIFS('Таблиця 1'!$K:$K,'Таблиця 1'!$B:$B,$A37,'Таблиця 1'!$I:$I,"Су-25",'Таблиця 1'!$J:$J,"AGM-88")+SUMIFS('Таблиця 1'!$K:$K,'Таблиця 1'!$B:$B,$A37,'Таблиця 1'!$I:$I,"Су-27",'Таблиця 1'!$J:$J,"AGM-88"))</f>
        <v/>
      </c>
      <c r="I37">
        <f>IF($A37="","",SUMIFS('Таблиця 1'!$K:$K,'Таблиця 1'!$B:$B,$A37,'Таблиця 1'!$I:$I,"Mirage",'Таблиця 1'!$J:$J,"AASM-250")+SUMIFS('Таблиця 1'!$K:$K,'Таблиця 1'!$B:$B,$A37,'Таблиця 1'!$I:$I,"F-16",'Таблиця 1'!$J:$J,"AASM-250")+SUMIFS('Таблиця 1'!$K:$K,'Таблиця 1'!$B:$B,$A37,'Таблиця 1'!$I:$I,"МіГ-29",'Таблиця 1'!$J:$J,"AASM-250")+SUMIFS('Таблиця 1'!$K:$K,'Таблиця 1'!$B:$B,$A37,'Таблиця 1'!$I:$I,"Су-25",'Таблиця 1'!$J:$J,"AASM-250")+SUMIFS('Таблиця 1'!$K:$K,'Таблиця 1'!$B:$B,$A37,'Таблиця 1'!$I:$I,"Су-27",'Таблиця 1'!$J:$J,"AASM-250"))</f>
        <v/>
      </c>
      <c r="J37">
        <f>IF($A37="","",SUMIFS('Таблиця 1'!$K:$K,'Таблиця 1'!$B:$B,$A37,'Таблиця 1'!$I:$I,"Mirage",'Таблиця 1'!$J:$J,"GBU-39")+SUMIFS('Таблиця 1'!$K:$K,'Таблиця 1'!$B:$B,$A37,'Таблиця 1'!$I:$I,"F-16",'Таблиця 1'!$J:$J,"GBU-39")+SUMIFS('Таблиця 1'!$K:$K,'Таблиця 1'!$B:$B,$A37,'Таблиця 1'!$I:$I,"МіГ-29",'Таблиця 1'!$J:$J,"GBU-39")+SUMIFS('Таблиця 1'!$K:$K,'Таблиця 1'!$B:$B,$A37,'Таблиця 1'!$I:$I,"Су-25",'Таблиця 1'!$J:$J,"GBU-39")+SUMIFS('Таблиця 1'!$K:$K,'Таблиця 1'!$B:$B,$A37,'Таблиця 1'!$I:$I,"Су-27",'Таблиця 1'!$J:$J,"GBU-39"))</f>
        <v/>
      </c>
      <c r="K37">
        <f>IF($A37="","",SUMIFS('Таблиця 1'!$K:$K,'Таблиця 1'!$B:$B,$A37,'Таблиця 1'!$I:$I,"Mirage",'Таблиця 1'!$J:$J,"BLU-140")+SUMIFS('Таблиця 1'!$K:$K,'Таблиця 1'!$B:$B,$A37,'Таблиця 1'!$I:$I,"F-16",'Таблиця 1'!$J:$J,"BLU-140")+SUMIFS('Таблиця 1'!$K:$K,'Таблиця 1'!$B:$B,$A37,'Таблиця 1'!$I:$I,"МіГ-29",'Таблиця 1'!$J:$J,"BLU-140")+SUMIFS('Таблиця 1'!$K:$K,'Таблиця 1'!$B:$B,$A37,'Таблиця 1'!$I:$I,"Су-25",'Таблиця 1'!$J:$J,"BLU-140")+SUMIFS('Таблиця 1'!$K:$K,'Таблиця 1'!$B:$B,$A37,'Таблиця 1'!$I:$I,"Су-27",'Таблиця 1'!$J:$J,"BLU-140"))</f>
        <v/>
      </c>
      <c r="L37">
        <f>IF($A37="","",SUMIFS('Таблиця 1'!$K:$K,'Таблиця 1'!$B:$B,$A37,'Таблиця 1'!$I:$I,"Mirage",'Таблиця 1'!$J:$J,"GBU-65")+SUMIFS('Таблиця 1'!$K:$K,'Таблиця 1'!$B:$B,$A37,'Таблиця 1'!$I:$I,"F-16",'Таблиця 1'!$J:$J,"GBU-65")+SUMIFS('Таблиця 1'!$K:$K,'Таблиця 1'!$B:$B,$A37,'Таблиця 1'!$I:$I,"МіГ-29",'Таблиця 1'!$J:$J,"GBU-65")+SUMIFS('Таблиця 1'!$K:$K,'Таблиця 1'!$B:$B,$A37,'Таблиця 1'!$I:$I,"Су-25",'Таблиця 1'!$J:$J,"GBU-65")+SUMIFS('Таблиця 1'!$K:$K,'Таблиця 1'!$B:$B,$A37,'Таблиця 1'!$I:$I,"Су-27",'Таблиця 1'!$J:$J,"GBU-65"))</f>
        <v/>
      </c>
      <c r="M37">
        <f>IF($A37="","",SUMIFS('Таблиця 1'!$K:$K,'Таблиця 1'!$B:$B,$A37,'Таблиця 1'!$I:$I,"Mirage",'Таблиця 1'!$J:$J,"GBU-62")+SUMIFS('Таблиця 1'!$K:$K,'Таблиця 1'!$B:$B,$A37,'Таблиця 1'!$I:$I,"F-16",'Таблиця 1'!$J:$J,"GBU-62")+SUMIFS('Таблиця 1'!$K:$K,'Таблиця 1'!$B:$B,$A37,'Таблиця 1'!$I:$I,"МіГ-29",'Таблиця 1'!$J:$J,"GBU-62")+SUMIFS('Таблиця 1'!$K:$K,'Таблиця 1'!$B:$B,$A37,'Таблиця 1'!$I:$I,"Су-25",'Таблиця 1'!$J:$J,"GBU-62")+SUMIFS('Таблиця 1'!$K:$K,'Таблиця 1'!$B:$B,$A37,'Таблиця 1'!$I:$I,"Су-27",'Таблиця 1'!$J:$J,"GBU-62"))</f>
        <v/>
      </c>
      <c r="N37">
        <f>IF($A37="","",SUMIFS('Таблиця 1'!$K:$K,'Таблиця 1'!$B:$B,$A37,'Таблиця 1'!$I:$I,"Mirage",'Таблиця 1'!$J:$J,"GBU-64")+SUMIFS('Таблиця 1'!$K:$K,'Таблиця 1'!$B:$B,$A37,'Таблиця 1'!$I:$I,"F-16",'Таблиця 1'!$J:$J,"GBU-64")+SUMIFS('Таблиця 1'!$K:$K,'Таблиця 1'!$B:$B,$A37,'Таблиця 1'!$I:$I,"МіГ-29",'Таблиця 1'!$J:$J,"GBU-64")+SUMIFS('Таблиця 1'!$K:$K,'Таблиця 1'!$B:$B,$A37,'Таблиця 1'!$I:$I,"Су-25",'Таблиця 1'!$J:$J,"GBU-64")+SUMIFS('Таблиця 1'!$K:$K,'Таблиця 1'!$B:$B,$A37,'Таблиця 1'!$I:$I,"Су-27",'Таблиця 1'!$J:$J,"GBU-64"))</f>
        <v/>
      </c>
      <c r="O37">
        <f>IF($A37="","",SUMIFS('Таблиця 1'!$K:$K,'Таблиця 1'!$B:$B,$A37,'Таблиця 1'!$I:$I,"Mirage",'Таблиця 1'!$J:$J,"C-13")+SUMIFS('Таблиця 1'!$K:$K,'Таблиця 1'!$B:$B,$A37,'Таблиця 1'!$I:$I,"F-16",'Таблиця 1'!$J:$J,"C-13")+SUMIFS('Таблиця 1'!$K:$K,'Таблиця 1'!$B:$B,$A37,'Таблиця 1'!$I:$I,"МіГ-29",'Таблиця 1'!$J:$J,"C-13")+SUMIFS('Таблиця 1'!$K:$K,'Таблиця 1'!$B:$B,$A37,'Таблиця 1'!$I:$I,"Су-25",'Таблиця 1'!$J:$J,"C-13")+SUMIFS('Таблиця 1'!$K:$K,'Таблиця 1'!$B:$B,$A37,'Таблиця 1'!$I:$I,"Су-27",'Таблиця 1'!$J:$J,"C-13"))</f>
        <v/>
      </c>
      <c r="P37">
        <f>IF($A37="","",SUMIFS('Таблиця 1'!$K:$K,'Таблиця 1'!$B:$B,$A37,'Таблиця 1'!$I:$I,"Mirage",'Таблиця 1'!$J:$J,"MK-32")+SUMIFS('Таблиця 1'!$K:$K,'Таблиця 1'!$B:$B,$A37,'Таблиця 1'!$I:$I,"F-16",'Таблиця 1'!$J:$J,"MK-32")+SUMIFS('Таблиця 1'!$K:$K,'Таблиця 1'!$B:$B,$A37,'Таблиця 1'!$I:$I,"МіГ-29",'Таблиця 1'!$J:$J,"MK-32")+SUMIFS('Таблиця 1'!$K:$K,'Таблиця 1'!$B:$B,$A37,'Таблиця 1'!$I:$I,"Су-25",'Таблиця 1'!$J:$J,"MK-32")+SUMIFS('Таблиця 1'!$K:$K,'Таблиця 1'!$B:$B,$A37,'Таблиця 1'!$I:$I,"Су-27",'Таблиця 1'!$J:$J,"MK-32"))</f>
        <v/>
      </c>
      <c r="Q37">
        <f>IF($A37="","",SUMIFS('Таблиця 1'!$K:$K,'Таблиця 1'!$B:$B,$A37,'Таблиця 1'!$I:$I,"Mirage",'Таблиця 1'!$J:$J,"MK-24")+SUMIFS('Таблиця 1'!$K:$K,'Таблиця 1'!$B:$B,$A37,'Таблиця 1'!$I:$I,"F-16",'Таблиця 1'!$J:$J,"MK-24")+SUMIFS('Таблиця 1'!$K:$K,'Таблиця 1'!$B:$B,$A37,'Таблиця 1'!$I:$I,"МіГ-29",'Таблиця 1'!$J:$J,"MK-24")+SUMIFS('Таблиця 1'!$K:$K,'Таблиця 1'!$B:$B,$A37,'Таблиця 1'!$I:$I,"Су-25",'Таблиця 1'!$J:$J,"MK-24")+SUMIFS('Таблиця 1'!$K:$K,'Таблиця 1'!$B:$B,$A37,'Таблиця 1'!$I:$I,"Су-27",'Таблиця 1'!$J:$J,"MK-24"))</f>
        <v/>
      </c>
      <c r="R37">
        <f>IF($A37="","",COUNTIFS('Таблиця 1'!$B:$B,$A37,'Таблиця 1'!$I:$I,"Mirage",'Таблиця 1'!$L:$L,"Уражено")+COUNTIFS('Таблиця 1'!$B:$B,$A37,'Таблиця 1'!$I:$I,"F-16",'Таблиця 1'!$L:$L,"Уражено")+COUNTIFS('Таблиця 1'!$B:$B,$A37,'Таблиця 1'!$I:$I,"МіГ-29",'Таблиця 1'!$L:$L,"Уражено")+COUNTIFS('Таблиця 1'!$B:$B,$A37,'Таблиця 1'!$I:$I,"Су-25",'Таблиця 1'!$L:$L,"Уражено")+COUNTIFS('Таблиця 1'!$B:$B,$A37,'Таблиця 1'!$I:$I,"Су-27",'Таблиця 1'!$L:$L,"Уражено"))</f>
        <v/>
      </c>
      <c r="S37">
        <f>IF($A37="","",COUNTIFS('Таблиця 1'!$B:$B,$A37,'Таблиця 1'!$I:$I,"Mirage",'Таблиця 1'!$L:$L,"НЕ уражено")+COUNTIFS('Таблиця 1'!$B:$B,$A37,'Таблиця 1'!$I:$I,"F-16",'Таблиця 1'!$L:$L,"НЕ уражено")+COUNTIFS('Таблиця 1'!$B:$B,$A37,'Таблиця 1'!$I:$I,"МіГ-29",'Таблиця 1'!$L:$L,"НЕ уражено")+COUNTIFS('Таблиця 1'!$B:$B,$A37,'Таблиця 1'!$I:$I,"Су-25",'Таблиця 1'!$L:$L,"НЕ уражено")+COUNTIFS('Таблиця 1'!$B:$B,$A37,'Таблиця 1'!$I:$I,"Су-27",'Таблиця 1'!$L:$L,"НЕ уражено"))</f>
        <v/>
      </c>
      <c r="T37">
        <f>IF($A37="","",COUNTIFS('Таблиця 1'!$B:$B,$A37,'Таблиця 1'!$I:$I,"Mirage",'Таблиця 1'!$L:$L,"Дорозвідується")+COUNTIFS('Таблиця 1'!$B:$B,$A37,'Таблиця 1'!$I:$I,"F-16",'Таблиця 1'!$L:$L,"Дорозвідується")+COUNTIFS('Таблиця 1'!$B:$B,$A37,'Таблиця 1'!$I:$I,"МіГ-29",'Таблиця 1'!$L:$L,"Дорозвідується")+COUNTIFS('Таблиця 1'!$B:$B,$A37,'Таблиця 1'!$I:$I,"Су-25",'Таблиця 1'!$L:$L,"Дорозвідується")+COUNTIFS('Таблиця 1'!$B:$B,$A37,'Таблиця 1'!$I:$I,"Су-27",'Таблиця 1'!$L:$L,"Дорозвідується"))</f>
        <v/>
      </c>
    </row>
    <row r="38">
      <c r="A38" s="273">
        <f>IF(A37="","",IF(A37+1&gt;MAX('Таблиця 1'!$B:$B),"",A37+1))</f>
        <v/>
      </c>
      <c r="B38">
        <f>IF($A38="","",COUNTIFS('Таблиця 1'!$B:$B,$A38,'Таблиця 1'!$I:$I,"Mirage")+COUNTIFS('Таблиця 1'!$B:$B,$A38,'Таблиця 1'!$I:$I,"F-16")+COUNTIFS('Таблиця 1'!$B:$B,$A38,'Таблиця 1'!$I:$I,"МіГ-29")+COUNTIFS('Таблиця 1'!$B:$B,$A38,'Таблиця 1'!$I:$I,"Су-25")+COUNTIFS('Таблиця 1'!$B:$B,$A38,'Таблиця 1'!$I:$I,"Су-27"))</f>
        <v/>
      </c>
      <c r="C38">
        <f>IF($A38="","",COUNTIFS('Таблиця 1'!$B:$B,$A38,'Таблиця 1'!$I:$I,"Mirage"))</f>
        <v/>
      </c>
      <c r="D38">
        <f>IF($A38="","",COUNTIFS('Таблиця 1'!$B:$B,$A38,'Таблиця 1'!$I:$I,"F-16"))</f>
        <v/>
      </c>
      <c r="E38">
        <f>IF($A38="","",COUNTIFS('Таблиця 1'!$B:$B,$A38,'Таблиця 1'!$I:$I,"МіГ-29"))</f>
        <v/>
      </c>
      <c r="F38">
        <f>IF($A38="","",COUNTIFS('Таблиця 1'!$B:$B,$A38,'Таблиця 1'!$I:$I,"Су-25"))</f>
        <v/>
      </c>
      <c r="G38">
        <f>IF($A38="","",COUNTIFS('Таблиця 1'!$B:$B,$A38,'Таблиця 1'!$I:$I,"Су-27"))</f>
        <v/>
      </c>
      <c r="H38">
        <f>IF($A38="","",SUMIFS('Таблиця 1'!$K:$K,'Таблиця 1'!$B:$B,$A38,'Таблиця 1'!$I:$I,"Mirage",'Таблиця 1'!$J:$J,"AGM-88")+SUMIFS('Таблиця 1'!$K:$K,'Таблиця 1'!$B:$B,$A38,'Таблиця 1'!$I:$I,"F-16",'Таблиця 1'!$J:$J,"AGM-88")+SUMIFS('Таблиця 1'!$K:$K,'Таблиця 1'!$B:$B,$A38,'Таблиця 1'!$I:$I,"МіГ-29",'Таблиця 1'!$J:$J,"AGM-88")+SUMIFS('Таблиця 1'!$K:$K,'Таблиця 1'!$B:$B,$A38,'Таблиця 1'!$I:$I,"Су-25",'Таблиця 1'!$J:$J,"AGM-88")+SUMIFS('Таблиця 1'!$K:$K,'Таблиця 1'!$B:$B,$A38,'Таблиця 1'!$I:$I,"Су-27",'Таблиця 1'!$J:$J,"AGM-88"))</f>
        <v/>
      </c>
      <c r="I38">
        <f>IF($A38="","",SUMIFS('Таблиця 1'!$K:$K,'Таблиця 1'!$B:$B,$A38,'Таблиця 1'!$I:$I,"Mirage",'Таблиця 1'!$J:$J,"AASM-250")+SUMIFS('Таблиця 1'!$K:$K,'Таблиця 1'!$B:$B,$A38,'Таблиця 1'!$I:$I,"F-16",'Таблиця 1'!$J:$J,"AASM-250")+SUMIFS('Таблиця 1'!$K:$K,'Таблиця 1'!$B:$B,$A38,'Таблиця 1'!$I:$I,"МіГ-29",'Таблиця 1'!$J:$J,"AASM-250")+SUMIFS('Таблиця 1'!$K:$K,'Таблиця 1'!$B:$B,$A38,'Таблиця 1'!$I:$I,"Су-25",'Таблиця 1'!$J:$J,"AASM-250")+SUMIFS('Таблиця 1'!$K:$K,'Таблиця 1'!$B:$B,$A38,'Таблиця 1'!$I:$I,"Су-27",'Таблиця 1'!$J:$J,"AASM-250"))</f>
        <v/>
      </c>
      <c r="J38">
        <f>IF($A38="","",SUMIFS('Таблиця 1'!$K:$K,'Таблиця 1'!$B:$B,$A38,'Таблиця 1'!$I:$I,"Mirage",'Таблиця 1'!$J:$J,"GBU-39")+SUMIFS('Таблиця 1'!$K:$K,'Таблиця 1'!$B:$B,$A38,'Таблиця 1'!$I:$I,"F-16",'Таблиця 1'!$J:$J,"GBU-39")+SUMIFS('Таблиця 1'!$K:$K,'Таблиця 1'!$B:$B,$A38,'Таблиця 1'!$I:$I,"МіГ-29",'Таблиця 1'!$J:$J,"GBU-39")+SUMIFS('Таблиця 1'!$K:$K,'Таблиця 1'!$B:$B,$A38,'Таблиця 1'!$I:$I,"Су-25",'Таблиця 1'!$J:$J,"GBU-39")+SUMIFS('Таблиця 1'!$K:$K,'Таблиця 1'!$B:$B,$A38,'Таблиця 1'!$I:$I,"Су-27",'Таблиця 1'!$J:$J,"GBU-39"))</f>
        <v/>
      </c>
      <c r="K38">
        <f>IF($A38="","",SUMIFS('Таблиця 1'!$K:$K,'Таблиця 1'!$B:$B,$A38,'Таблиця 1'!$I:$I,"Mirage",'Таблиця 1'!$J:$J,"BLU-140")+SUMIFS('Таблиця 1'!$K:$K,'Таблиця 1'!$B:$B,$A38,'Таблиця 1'!$I:$I,"F-16",'Таблиця 1'!$J:$J,"BLU-140")+SUMIFS('Таблиця 1'!$K:$K,'Таблиця 1'!$B:$B,$A38,'Таблиця 1'!$I:$I,"МіГ-29",'Таблиця 1'!$J:$J,"BLU-140")+SUMIFS('Таблиця 1'!$K:$K,'Таблиця 1'!$B:$B,$A38,'Таблиця 1'!$I:$I,"Су-25",'Таблиця 1'!$J:$J,"BLU-140")+SUMIFS('Таблиця 1'!$K:$K,'Таблиця 1'!$B:$B,$A38,'Таблиця 1'!$I:$I,"Су-27",'Таблиця 1'!$J:$J,"BLU-140"))</f>
        <v/>
      </c>
      <c r="L38">
        <f>IF($A38="","",SUMIFS('Таблиця 1'!$K:$K,'Таблиця 1'!$B:$B,$A38,'Таблиця 1'!$I:$I,"Mirage",'Таблиця 1'!$J:$J,"GBU-65")+SUMIFS('Таблиця 1'!$K:$K,'Таблиця 1'!$B:$B,$A38,'Таблиця 1'!$I:$I,"F-16",'Таблиця 1'!$J:$J,"GBU-65")+SUMIFS('Таблиця 1'!$K:$K,'Таблиця 1'!$B:$B,$A38,'Таблиця 1'!$I:$I,"МіГ-29",'Таблиця 1'!$J:$J,"GBU-65")+SUMIFS('Таблиця 1'!$K:$K,'Таблиця 1'!$B:$B,$A38,'Таблиця 1'!$I:$I,"Су-25",'Таблиця 1'!$J:$J,"GBU-65")+SUMIFS('Таблиця 1'!$K:$K,'Таблиця 1'!$B:$B,$A38,'Таблиця 1'!$I:$I,"Су-27",'Таблиця 1'!$J:$J,"GBU-65"))</f>
        <v/>
      </c>
      <c r="M38">
        <f>IF($A38="","",SUMIFS('Таблиця 1'!$K:$K,'Таблиця 1'!$B:$B,$A38,'Таблиця 1'!$I:$I,"Mirage",'Таблиця 1'!$J:$J,"GBU-62")+SUMIFS('Таблиця 1'!$K:$K,'Таблиця 1'!$B:$B,$A38,'Таблиця 1'!$I:$I,"F-16",'Таблиця 1'!$J:$J,"GBU-62")+SUMIFS('Таблиця 1'!$K:$K,'Таблиця 1'!$B:$B,$A38,'Таблиця 1'!$I:$I,"МіГ-29",'Таблиця 1'!$J:$J,"GBU-62")+SUMIFS('Таблиця 1'!$K:$K,'Таблиця 1'!$B:$B,$A38,'Таблиця 1'!$I:$I,"Су-25",'Таблиця 1'!$J:$J,"GBU-62")+SUMIFS('Таблиця 1'!$K:$K,'Таблиця 1'!$B:$B,$A38,'Таблиця 1'!$I:$I,"Су-27",'Таблиця 1'!$J:$J,"GBU-62"))</f>
        <v/>
      </c>
      <c r="N38">
        <f>IF($A38="","",SUMIFS('Таблиця 1'!$K:$K,'Таблиця 1'!$B:$B,$A38,'Таблиця 1'!$I:$I,"Mirage",'Таблиця 1'!$J:$J,"GBU-64")+SUMIFS('Таблиця 1'!$K:$K,'Таблиця 1'!$B:$B,$A38,'Таблиця 1'!$I:$I,"F-16",'Таблиця 1'!$J:$J,"GBU-64")+SUMIFS('Таблиця 1'!$K:$K,'Таблиця 1'!$B:$B,$A38,'Таблиця 1'!$I:$I,"МіГ-29",'Таблиця 1'!$J:$J,"GBU-64")+SUMIFS('Таблиця 1'!$K:$K,'Таблиця 1'!$B:$B,$A38,'Таблиця 1'!$I:$I,"Су-25",'Таблиця 1'!$J:$J,"GBU-64")+SUMIFS('Таблиця 1'!$K:$K,'Таблиця 1'!$B:$B,$A38,'Таблиця 1'!$I:$I,"Су-27",'Таблиця 1'!$J:$J,"GBU-64"))</f>
        <v/>
      </c>
      <c r="O38">
        <f>IF($A38="","",SUMIFS('Таблиця 1'!$K:$K,'Таблиця 1'!$B:$B,$A38,'Таблиця 1'!$I:$I,"Mirage",'Таблиця 1'!$J:$J,"C-13")+SUMIFS('Таблиця 1'!$K:$K,'Таблиця 1'!$B:$B,$A38,'Таблиця 1'!$I:$I,"F-16",'Таблиця 1'!$J:$J,"C-13")+SUMIFS('Таблиця 1'!$K:$K,'Таблиця 1'!$B:$B,$A38,'Таблиця 1'!$I:$I,"МіГ-29",'Таблиця 1'!$J:$J,"C-13")+SUMIFS('Таблиця 1'!$K:$K,'Таблиця 1'!$B:$B,$A38,'Таблиця 1'!$I:$I,"Су-25",'Таблиця 1'!$J:$J,"C-13")+SUMIFS('Таблиця 1'!$K:$K,'Таблиця 1'!$B:$B,$A38,'Таблиця 1'!$I:$I,"Су-27",'Таблиця 1'!$J:$J,"C-13"))</f>
        <v/>
      </c>
      <c r="P38">
        <f>IF($A38="","",SUMIFS('Таблиця 1'!$K:$K,'Таблиця 1'!$B:$B,$A38,'Таблиця 1'!$I:$I,"Mirage",'Таблиця 1'!$J:$J,"MK-32")+SUMIFS('Таблиця 1'!$K:$K,'Таблиця 1'!$B:$B,$A38,'Таблиця 1'!$I:$I,"F-16",'Таблиця 1'!$J:$J,"MK-32")+SUMIFS('Таблиця 1'!$K:$K,'Таблиця 1'!$B:$B,$A38,'Таблиця 1'!$I:$I,"МіГ-29",'Таблиця 1'!$J:$J,"MK-32")+SUMIFS('Таблиця 1'!$K:$K,'Таблиця 1'!$B:$B,$A38,'Таблиця 1'!$I:$I,"Су-25",'Таблиця 1'!$J:$J,"MK-32")+SUMIFS('Таблиця 1'!$K:$K,'Таблиця 1'!$B:$B,$A38,'Таблиця 1'!$I:$I,"Су-27",'Таблиця 1'!$J:$J,"MK-32"))</f>
        <v/>
      </c>
      <c r="Q38">
        <f>IF($A38="","",SUMIFS('Таблиця 1'!$K:$K,'Таблиця 1'!$B:$B,$A38,'Таблиця 1'!$I:$I,"Mirage",'Таблиця 1'!$J:$J,"MK-24")+SUMIFS('Таблиця 1'!$K:$K,'Таблиця 1'!$B:$B,$A38,'Таблиця 1'!$I:$I,"F-16",'Таблиця 1'!$J:$J,"MK-24")+SUMIFS('Таблиця 1'!$K:$K,'Таблиця 1'!$B:$B,$A38,'Таблиця 1'!$I:$I,"МіГ-29",'Таблиця 1'!$J:$J,"MK-24")+SUMIFS('Таблиця 1'!$K:$K,'Таблиця 1'!$B:$B,$A38,'Таблиця 1'!$I:$I,"Су-25",'Таблиця 1'!$J:$J,"MK-24")+SUMIFS('Таблиця 1'!$K:$K,'Таблиця 1'!$B:$B,$A38,'Таблиця 1'!$I:$I,"Су-27",'Таблиця 1'!$J:$J,"MK-24"))</f>
        <v/>
      </c>
      <c r="R38">
        <f>IF($A38="","",COUNTIFS('Таблиця 1'!$B:$B,$A38,'Таблиця 1'!$I:$I,"Mirage",'Таблиця 1'!$L:$L,"Уражено")+COUNTIFS('Таблиця 1'!$B:$B,$A38,'Таблиця 1'!$I:$I,"F-16",'Таблиця 1'!$L:$L,"Уражено")+COUNTIFS('Таблиця 1'!$B:$B,$A38,'Таблиця 1'!$I:$I,"МіГ-29",'Таблиця 1'!$L:$L,"Уражено")+COUNTIFS('Таблиця 1'!$B:$B,$A38,'Таблиця 1'!$I:$I,"Су-25",'Таблиця 1'!$L:$L,"Уражено")+COUNTIFS('Таблиця 1'!$B:$B,$A38,'Таблиця 1'!$I:$I,"Су-27",'Таблиця 1'!$L:$L,"Уражено"))</f>
        <v/>
      </c>
      <c r="S38">
        <f>IF($A38="","",COUNTIFS('Таблиця 1'!$B:$B,$A38,'Таблиця 1'!$I:$I,"Mirage",'Таблиця 1'!$L:$L,"НЕ уражено")+COUNTIFS('Таблиця 1'!$B:$B,$A38,'Таблиця 1'!$I:$I,"F-16",'Таблиця 1'!$L:$L,"НЕ уражено")+COUNTIFS('Таблиця 1'!$B:$B,$A38,'Таблиця 1'!$I:$I,"МіГ-29",'Таблиця 1'!$L:$L,"НЕ уражено")+COUNTIFS('Таблиця 1'!$B:$B,$A38,'Таблиця 1'!$I:$I,"Су-25",'Таблиця 1'!$L:$L,"НЕ уражено")+COUNTIFS('Таблиця 1'!$B:$B,$A38,'Таблиця 1'!$I:$I,"Су-27",'Таблиця 1'!$L:$L,"НЕ уражено"))</f>
        <v/>
      </c>
      <c r="T38">
        <f>IF($A38="","",COUNTIFS('Таблиця 1'!$B:$B,$A38,'Таблиця 1'!$I:$I,"Mirage",'Таблиця 1'!$L:$L,"Дорозвідується")+COUNTIFS('Таблиця 1'!$B:$B,$A38,'Таблиця 1'!$I:$I,"F-16",'Таблиця 1'!$L:$L,"Дорозвідується")+COUNTIFS('Таблиця 1'!$B:$B,$A38,'Таблиця 1'!$I:$I,"МіГ-29",'Таблиця 1'!$L:$L,"Дорозвідується")+COUNTIFS('Таблиця 1'!$B:$B,$A38,'Таблиця 1'!$I:$I,"Су-25",'Таблиця 1'!$L:$L,"Дорозвідується")+COUNTIFS('Таблиця 1'!$B:$B,$A38,'Таблиця 1'!$I:$I,"Су-27",'Таблиця 1'!$L:$L,"Дорозвідується"))</f>
        <v/>
      </c>
    </row>
    <row r="39">
      <c r="A39" s="273">
        <f>IF(A38="","",IF(A38+1&gt;MAX('Таблиця 1'!$B:$B),"",A38+1))</f>
        <v/>
      </c>
      <c r="B39">
        <f>IF($A39="","",COUNTIFS('Таблиця 1'!$B:$B,$A39,'Таблиця 1'!$I:$I,"Mirage")+COUNTIFS('Таблиця 1'!$B:$B,$A39,'Таблиця 1'!$I:$I,"F-16")+COUNTIFS('Таблиця 1'!$B:$B,$A39,'Таблиця 1'!$I:$I,"МіГ-29")+COUNTIFS('Таблиця 1'!$B:$B,$A39,'Таблиця 1'!$I:$I,"Су-25")+COUNTIFS('Таблиця 1'!$B:$B,$A39,'Таблиця 1'!$I:$I,"Су-27"))</f>
        <v/>
      </c>
      <c r="C39">
        <f>IF($A39="","",COUNTIFS('Таблиця 1'!$B:$B,$A39,'Таблиця 1'!$I:$I,"Mirage"))</f>
        <v/>
      </c>
      <c r="D39">
        <f>IF($A39="","",COUNTIFS('Таблиця 1'!$B:$B,$A39,'Таблиця 1'!$I:$I,"F-16"))</f>
        <v/>
      </c>
      <c r="E39">
        <f>IF($A39="","",COUNTIFS('Таблиця 1'!$B:$B,$A39,'Таблиця 1'!$I:$I,"МіГ-29"))</f>
        <v/>
      </c>
      <c r="F39">
        <f>IF($A39="","",COUNTIFS('Таблиця 1'!$B:$B,$A39,'Таблиця 1'!$I:$I,"Су-25"))</f>
        <v/>
      </c>
      <c r="G39">
        <f>IF($A39="","",COUNTIFS('Таблиця 1'!$B:$B,$A39,'Таблиця 1'!$I:$I,"Су-27"))</f>
        <v/>
      </c>
      <c r="H39">
        <f>IF($A39="","",SUMIFS('Таблиця 1'!$K:$K,'Таблиця 1'!$B:$B,$A39,'Таблиця 1'!$I:$I,"Mirage",'Таблиця 1'!$J:$J,"AGM-88")+SUMIFS('Таблиця 1'!$K:$K,'Таблиця 1'!$B:$B,$A39,'Таблиця 1'!$I:$I,"F-16",'Таблиця 1'!$J:$J,"AGM-88")+SUMIFS('Таблиця 1'!$K:$K,'Таблиця 1'!$B:$B,$A39,'Таблиця 1'!$I:$I,"МіГ-29",'Таблиця 1'!$J:$J,"AGM-88")+SUMIFS('Таблиця 1'!$K:$K,'Таблиця 1'!$B:$B,$A39,'Таблиця 1'!$I:$I,"Су-25",'Таблиця 1'!$J:$J,"AGM-88")+SUMIFS('Таблиця 1'!$K:$K,'Таблиця 1'!$B:$B,$A39,'Таблиця 1'!$I:$I,"Су-27",'Таблиця 1'!$J:$J,"AGM-88"))</f>
        <v/>
      </c>
      <c r="I39">
        <f>IF($A39="","",SUMIFS('Таблиця 1'!$K:$K,'Таблиця 1'!$B:$B,$A39,'Таблиця 1'!$I:$I,"Mirage",'Таблиця 1'!$J:$J,"AASM-250")+SUMIFS('Таблиця 1'!$K:$K,'Таблиця 1'!$B:$B,$A39,'Таблиця 1'!$I:$I,"F-16",'Таблиця 1'!$J:$J,"AASM-250")+SUMIFS('Таблиця 1'!$K:$K,'Таблиця 1'!$B:$B,$A39,'Таблиця 1'!$I:$I,"МіГ-29",'Таблиця 1'!$J:$J,"AASM-250")+SUMIFS('Таблиця 1'!$K:$K,'Таблиця 1'!$B:$B,$A39,'Таблиця 1'!$I:$I,"Су-25",'Таблиця 1'!$J:$J,"AASM-250")+SUMIFS('Таблиця 1'!$K:$K,'Таблиця 1'!$B:$B,$A39,'Таблиця 1'!$I:$I,"Су-27",'Таблиця 1'!$J:$J,"AASM-250"))</f>
        <v/>
      </c>
      <c r="J39">
        <f>IF($A39="","",SUMIFS('Таблиця 1'!$K:$K,'Таблиця 1'!$B:$B,$A39,'Таблиця 1'!$I:$I,"Mirage",'Таблиця 1'!$J:$J,"GBU-39")+SUMIFS('Таблиця 1'!$K:$K,'Таблиця 1'!$B:$B,$A39,'Таблиця 1'!$I:$I,"F-16",'Таблиця 1'!$J:$J,"GBU-39")+SUMIFS('Таблиця 1'!$K:$K,'Таблиця 1'!$B:$B,$A39,'Таблиця 1'!$I:$I,"МіГ-29",'Таблиця 1'!$J:$J,"GBU-39")+SUMIFS('Таблиця 1'!$K:$K,'Таблиця 1'!$B:$B,$A39,'Таблиця 1'!$I:$I,"Су-25",'Таблиця 1'!$J:$J,"GBU-39")+SUMIFS('Таблиця 1'!$K:$K,'Таблиця 1'!$B:$B,$A39,'Таблиця 1'!$I:$I,"Су-27",'Таблиця 1'!$J:$J,"GBU-39"))</f>
        <v/>
      </c>
      <c r="K39">
        <f>IF($A39="","",SUMIFS('Таблиця 1'!$K:$K,'Таблиця 1'!$B:$B,$A39,'Таблиця 1'!$I:$I,"Mirage",'Таблиця 1'!$J:$J,"BLU-140")+SUMIFS('Таблиця 1'!$K:$K,'Таблиця 1'!$B:$B,$A39,'Таблиця 1'!$I:$I,"F-16",'Таблиця 1'!$J:$J,"BLU-140")+SUMIFS('Таблиця 1'!$K:$K,'Таблиця 1'!$B:$B,$A39,'Таблиця 1'!$I:$I,"МіГ-29",'Таблиця 1'!$J:$J,"BLU-140")+SUMIFS('Таблиця 1'!$K:$K,'Таблиця 1'!$B:$B,$A39,'Таблиця 1'!$I:$I,"Су-25",'Таблиця 1'!$J:$J,"BLU-140")+SUMIFS('Таблиця 1'!$K:$K,'Таблиця 1'!$B:$B,$A39,'Таблиця 1'!$I:$I,"Су-27",'Таблиця 1'!$J:$J,"BLU-140"))</f>
        <v/>
      </c>
      <c r="L39">
        <f>IF($A39="","",SUMIFS('Таблиця 1'!$K:$K,'Таблиця 1'!$B:$B,$A39,'Таблиця 1'!$I:$I,"Mirage",'Таблиця 1'!$J:$J,"GBU-65")+SUMIFS('Таблиця 1'!$K:$K,'Таблиця 1'!$B:$B,$A39,'Таблиця 1'!$I:$I,"F-16",'Таблиця 1'!$J:$J,"GBU-65")+SUMIFS('Таблиця 1'!$K:$K,'Таблиця 1'!$B:$B,$A39,'Таблиця 1'!$I:$I,"МіГ-29",'Таблиця 1'!$J:$J,"GBU-65")+SUMIFS('Таблиця 1'!$K:$K,'Таблиця 1'!$B:$B,$A39,'Таблиця 1'!$I:$I,"Су-25",'Таблиця 1'!$J:$J,"GBU-65")+SUMIFS('Таблиця 1'!$K:$K,'Таблиця 1'!$B:$B,$A39,'Таблиця 1'!$I:$I,"Су-27",'Таблиця 1'!$J:$J,"GBU-65"))</f>
        <v/>
      </c>
      <c r="M39">
        <f>IF($A39="","",SUMIFS('Таблиця 1'!$K:$K,'Таблиця 1'!$B:$B,$A39,'Таблиця 1'!$I:$I,"Mirage",'Таблиця 1'!$J:$J,"GBU-62")+SUMIFS('Таблиця 1'!$K:$K,'Таблиця 1'!$B:$B,$A39,'Таблиця 1'!$I:$I,"F-16",'Таблиця 1'!$J:$J,"GBU-62")+SUMIFS('Таблиця 1'!$K:$K,'Таблиця 1'!$B:$B,$A39,'Таблиця 1'!$I:$I,"МіГ-29",'Таблиця 1'!$J:$J,"GBU-62")+SUMIFS('Таблиця 1'!$K:$K,'Таблиця 1'!$B:$B,$A39,'Таблиця 1'!$I:$I,"Су-25",'Таблиця 1'!$J:$J,"GBU-62")+SUMIFS('Таблиця 1'!$K:$K,'Таблиця 1'!$B:$B,$A39,'Таблиця 1'!$I:$I,"Су-27",'Таблиця 1'!$J:$J,"GBU-62"))</f>
        <v/>
      </c>
      <c r="N39">
        <f>IF($A39="","",SUMIFS('Таблиця 1'!$K:$K,'Таблиця 1'!$B:$B,$A39,'Таблиця 1'!$I:$I,"Mirage",'Таблиця 1'!$J:$J,"GBU-64")+SUMIFS('Таблиця 1'!$K:$K,'Таблиця 1'!$B:$B,$A39,'Таблиця 1'!$I:$I,"F-16",'Таблиця 1'!$J:$J,"GBU-64")+SUMIFS('Таблиця 1'!$K:$K,'Таблиця 1'!$B:$B,$A39,'Таблиця 1'!$I:$I,"МіГ-29",'Таблиця 1'!$J:$J,"GBU-64")+SUMIFS('Таблиця 1'!$K:$K,'Таблиця 1'!$B:$B,$A39,'Таблиця 1'!$I:$I,"Су-25",'Таблиця 1'!$J:$J,"GBU-64")+SUMIFS('Таблиця 1'!$K:$K,'Таблиця 1'!$B:$B,$A39,'Таблиця 1'!$I:$I,"Су-27",'Таблиця 1'!$J:$J,"GBU-64"))</f>
        <v/>
      </c>
      <c r="O39">
        <f>IF($A39="","",SUMIFS('Таблиця 1'!$K:$K,'Таблиця 1'!$B:$B,$A39,'Таблиця 1'!$I:$I,"Mirage",'Таблиця 1'!$J:$J,"C-13")+SUMIFS('Таблиця 1'!$K:$K,'Таблиця 1'!$B:$B,$A39,'Таблиця 1'!$I:$I,"F-16",'Таблиця 1'!$J:$J,"C-13")+SUMIFS('Таблиця 1'!$K:$K,'Таблиця 1'!$B:$B,$A39,'Таблиця 1'!$I:$I,"МіГ-29",'Таблиця 1'!$J:$J,"C-13")+SUMIFS('Таблиця 1'!$K:$K,'Таблиця 1'!$B:$B,$A39,'Таблиця 1'!$I:$I,"Су-25",'Таблиця 1'!$J:$J,"C-13")+SUMIFS('Таблиця 1'!$K:$K,'Таблиця 1'!$B:$B,$A39,'Таблиця 1'!$I:$I,"Су-27",'Таблиця 1'!$J:$J,"C-13"))</f>
        <v/>
      </c>
      <c r="P39">
        <f>IF($A39="","",SUMIFS('Таблиця 1'!$K:$K,'Таблиця 1'!$B:$B,$A39,'Таблиця 1'!$I:$I,"Mirage",'Таблиця 1'!$J:$J,"MK-32")+SUMIFS('Таблиця 1'!$K:$K,'Таблиця 1'!$B:$B,$A39,'Таблиця 1'!$I:$I,"F-16",'Таблиця 1'!$J:$J,"MK-32")+SUMIFS('Таблиця 1'!$K:$K,'Таблиця 1'!$B:$B,$A39,'Таблиця 1'!$I:$I,"МіГ-29",'Таблиця 1'!$J:$J,"MK-32")+SUMIFS('Таблиця 1'!$K:$K,'Таблиця 1'!$B:$B,$A39,'Таблиця 1'!$I:$I,"Су-25",'Таблиця 1'!$J:$J,"MK-32")+SUMIFS('Таблиця 1'!$K:$K,'Таблиця 1'!$B:$B,$A39,'Таблиця 1'!$I:$I,"Су-27",'Таблиця 1'!$J:$J,"MK-32"))</f>
        <v/>
      </c>
      <c r="Q39">
        <f>IF($A39="","",SUMIFS('Таблиця 1'!$K:$K,'Таблиця 1'!$B:$B,$A39,'Таблиця 1'!$I:$I,"Mirage",'Таблиця 1'!$J:$J,"MK-24")+SUMIFS('Таблиця 1'!$K:$K,'Таблиця 1'!$B:$B,$A39,'Таблиця 1'!$I:$I,"F-16",'Таблиця 1'!$J:$J,"MK-24")+SUMIFS('Таблиця 1'!$K:$K,'Таблиця 1'!$B:$B,$A39,'Таблиця 1'!$I:$I,"МіГ-29",'Таблиця 1'!$J:$J,"MK-24")+SUMIFS('Таблиця 1'!$K:$K,'Таблиця 1'!$B:$B,$A39,'Таблиця 1'!$I:$I,"Су-25",'Таблиця 1'!$J:$J,"MK-24")+SUMIFS('Таблиця 1'!$K:$K,'Таблиця 1'!$B:$B,$A39,'Таблиця 1'!$I:$I,"Су-27",'Таблиця 1'!$J:$J,"MK-24"))</f>
        <v/>
      </c>
      <c r="R39">
        <f>IF($A39="","",COUNTIFS('Таблиця 1'!$B:$B,$A39,'Таблиця 1'!$I:$I,"Mirage",'Таблиця 1'!$L:$L,"Уражено")+COUNTIFS('Таблиця 1'!$B:$B,$A39,'Таблиця 1'!$I:$I,"F-16",'Таблиця 1'!$L:$L,"Уражено")+COUNTIFS('Таблиця 1'!$B:$B,$A39,'Таблиця 1'!$I:$I,"МіГ-29",'Таблиця 1'!$L:$L,"Уражено")+COUNTIFS('Таблиця 1'!$B:$B,$A39,'Таблиця 1'!$I:$I,"Су-25",'Таблиця 1'!$L:$L,"Уражено")+COUNTIFS('Таблиця 1'!$B:$B,$A39,'Таблиця 1'!$I:$I,"Су-27",'Таблиця 1'!$L:$L,"Уражено"))</f>
        <v/>
      </c>
      <c r="S39">
        <f>IF($A39="","",COUNTIFS('Таблиця 1'!$B:$B,$A39,'Таблиця 1'!$I:$I,"Mirage",'Таблиця 1'!$L:$L,"НЕ уражено")+COUNTIFS('Таблиця 1'!$B:$B,$A39,'Таблиця 1'!$I:$I,"F-16",'Таблиця 1'!$L:$L,"НЕ уражено")+COUNTIFS('Таблиця 1'!$B:$B,$A39,'Таблиця 1'!$I:$I,"МіГ-29",'Таблиця 1'!$L:$L,"НЕ уражено")+COUNTIFS('Таблиця 1'!$B:$B,$A39,'Таблиця 1'!$I:$I,"Су-25",'Таблиця 1'!$L:$L,"НЕ уражено")+COUNTIFS('Таблиця 1'!$B:$B,$A39,'Таблиця 1'!$I:$I,"Су-27",'Таблиця 1'!$L:$L,"НЕ уражено"))</f>
        <v/>
      </c>
      <c r="T39">
        <f>IF($A39="","",COUNTIFS('Таблиця 1'!$B:$B,$A39,'Таблиця 1'!$I:$I,"Mirage",'Таблиця 1'!$L:$L,"Дорозвідується")+COUNTIFS('Таблиця 1'!$B:$B,$A39,'Таблиця 1'!$I:$I,"F-16",'Таблиця 1'!$L:$L,"Дорозвідується")+COUNTIFS('Таблиця 1'!$B:$B,$A39,'Таблиця 1'!$I:$I,"МіГ-29",'Таблиця 1'!$L:$L,"Дорозвідується")+COUNTIFS('Таблиця 1'!$B:$B,$A39,'Таблиця 1'!$I:$I,"Су-25",'Таблиця 1'!$L:$L,"Дорозвідується")+COUNTIFS('Таблиця 1'!$B:$B,$A39,'Таблиця 1'!$I:$I,"Су-27",'Таблиця 1'!$L:$L,"Дорозвідується"))</f>
        <v/>
      </c>
    </row>
    <row r="40">
      <c r="A40" s="273">
        <f>IF(A39="","",IF(A39+1&gt;MAX('Таблиця 1'!$B:$B),"",A39+1))</f>
        <v/>
      </c>
      <c r="B40">
        <f>IF($A40="","",COUNTIFS('Таблиця 1'!$B:$B,$A40,'Таблиця 1'!$I:$I,"Mirage")+COUNTIFS('Таблиця 1'!$B:$B,$A40,'Таблиця 1'!$I:$I,"F-16")+COUNTIFS('Таблиця 1'!$B:$B,$A40,'Таблиця 1'!$I:$I,"МіГ-29")+COUNTIFS('Таблиця 1'!$B:$B,$A40,'Таблиця 1'!$I:$I,"Су-25")+COUNTIFS('Таблиця 1'!$B:$B,$A40,'Таблиця 1'!$I:$I,"Су-27"))</f>
        <v/>
      </c>
      <c r="C40">
        <f>IF($A40="","",COUNTIFS('Таблиця 1'!$B:$B,$A40,'Таблиця 1'!$I:$I,"Mirage"))</f>
        <v/>
      </c>
      <c r="D40">
        <f>IF($A40="","",COUNTIFS('Таблиця 1'!$B:$B,$A40,'Таблиця 1'!$I:$I,"F-16"))</f>
        <v/>
      </c>
      <c r="E40">
        <f>IF($A40="","",COUNTIFS('Таблиця 1'!$B:$B,$A40,'Таблиця 1'!$I:$I,"МіГ-29"))</f>
        <v/>
      </c>
      <c r="F40">
        <f>IF($A40="","",COUNTIFS('Таблиця 1'!$B:$B,$A40,'Таблиця 1'!$I:$I,"Су-25"))</f>
        <v/>
      </c>
      <c r="G40">
        <f>IF($A40="","",COUNTIFS('Таблиця 1'!$B:$B,$A40,'Таблиця 1'!$I:$I,"Су-27"))</f>
        <v/>
      </c>
      <c r="H40">
        <f>IF($A40="","",SUMIFS('Таблиця 1'!$K:$K,'Таблиця 1'!$B:$B,$A40,'Таблиця 1'!$I:$I,"Mirage",'Таблиця 1'!$J:$J,"AGM-88")+SUMIFS('Таблиця 1'!$K:$K,'Таблиця 1'!$B:$B,$A40,'Таблиця 1'!$I:$I,"F-16",'Таблиця 1'!$J:$J,"AGM-88")+SUMIFS('Таблиця 1'!$K:$K,'Таблиця 1'!$B:$B,$A40,'Таблиця 1'!$I:$I,"МіГ-29",'Таблиця 1'!$J:$J,"AGM-88")+SUMIFS('Таблиця 1'!$K:$K,'Таблиця 1'!$B:$B,$A40,'Таблиця 1'!$I:$I,"Су-25",'Таблиця 1'!$J:$J,"AGM-88")+SUMIFS('Таблиця 1'!$K:$K,'Таблиця 1'!$B:$B,$A40,'Таблиця 1'!$I:$I,"Су-27",'Таблиця 1'!$J:$J,"AGM-88"))</f>
        <v/>
      </c>
      <c r="I40">
        <f>IF($A40="","",SUMIFS('Таблиця 1'!$K:$K,'Таблиця 1'!$B:$B,$A40,'Таблиця 1'!$I:$I,"Mirage",'Таблиця 1'!$J:$J,"AASM-250")+SUMIFS('Таблиця 1'!$K:$K,'Таблиця 1'!$B:$B,$A40,'Таблиця 1'!$I:$I,"F-16",'Таблиця 1'!$J:$J,"AASM-250")+SUMIFS('Таблиця 1'!$K:$K,'Таблиця 1'!$B:$B,$A40,'Таблиця 1'!$I:$I,"МіГ-29",'Таблиця 1'!$J:$J,"AASM-250")+SUMIFS('Таблиця 1'!$K:$K,'Таблиця 1'!$B:$B,$A40,'Таблиця 1'!$I:$I,"Су-25",'Таблиця 1'!$J:$J,"AASM-250")+SUMIFS('Таблиця 1'!$K:$K,'Таблиця 1'!$B:$B,$A40,'Таблиця 1'!$I:$I,"Су-27",'Таблиця 1'!$J:$J,"AASM-250"))</f>
        <v/>
      </c>
      <c r="J40">
        <f>IF($A40="","",SUMIFS('Таблиця 1'!$K:$K,'Таблиця 1'!$B:$B,$A40,'Таблиця 1'!$I:$I,"Mirage",'Таблиця 1'!$J:$J,"GBU-39")+SUMIFS('Таблиця 1'!$K:$K,'Таблиця 1'!$B:$B,$A40,'Таблиця 1'!$I:$I,"F-16",'Таблиця 1'!$J:$J,"GBU-39")+SUMIFS('Таблиця 1'!$K:$K,'Таблиця 1'!$B:$B,$A40,'Таблиця 1'!$I:$I,"МіГ-29",'Таблиця 1'!$J:$J,"GBU-39")+SUMIFS('Таблиця 1'!$K:$K,'Таблиця 1'!$B:$B,$A40,'Таблиця 1'!$I:$I,"Су-25",'Таблиця 1'!$J:$J,"GBU-39")+SUMIFS('Таблиця 1'!$K:$K,'Таблиця 1'!$B:$B,$A40,'Таблиця 1'!$I:$I,"Су-27",'Таблиця 1'!$J:$J,"GBU-39"))</f>
        <v/>
      </c>
      <c r="K40">
        <f>IF($A40="","",SUMIFS('Таблиця 1'!$K:$K,'Таблиця 1'!$B:$B,$A40,'Таблиця 1'!$I:$I,"Mirage",'Таблиця 1'!$J:$J,"BLU-140")+SUMIFS('Таблиця 1'!$K:$K,'Таблиця 1'!$B:$B,$A40,'Таблиця 1'!$I:$I,"F-16",'Таблиця 1'!$J:$J,"BLU-140")+SUMIFS('Таблиця 1'!$K:$K,'Таблиця 1'!$B:$B,$A40,'Таблиця 1'!$I:$I,"МіГ-29",'Таблиця 1'!$J:$J,"BLU-140")+SUMIFS('Таблиця 1'!$K:$K,'Таблиця 1'!$B:$B,$A40,'Таблиця 1'!$I:$I,"Су-25",'Таблиця 1'!$J:$J,"BLU-140")+SUMIFS('Таблиця 1'!$K:$K,'Таблиця 1'!$B:$B,$A40,'Таблиця 1'!$I:$I,"Су-27",'Таблиця 1'!$J:$J,"BLU-140"))</f>
        <v/>
      </c>
      <c r="L40">
        <f>IF($A40="","",SUMIFS('Таблиця 1'!$K:$K,'Таблиця 1'!$B:$B,$A40,'Таблиця 1'!$I:$I,"Mirage",'Таблиця 1'!$J:$J,"GBU-65")+SUMIFS('Таблиця 1'!$K:$K,'Таблиця 1'!$B:$B,$A40,'Таблиця 1'!$I:$I,"F-16",'Таблиця 1'!$J:$J,"GBU-65")+SUMIFS('Таблиця 1'!$K:$K,'Таблиця 1'!$B:$B,$A40,'Таблиця 1'!$I:$I,"МіГ-29",'Таблиця 1'!$J:$J,"GBU-65")+SUMIFS('Таблиця 1'!$K:$K,'Таблиця 1'!$B:$B,$A40,'Таблиця 1'!$I:$I,"Су-25",'Таблиця 1'!$J:$J,"GBU-65")+SUMIFS('Таблиця 1'!$K:$K,'Таблиця 1'!$B:$B,$A40,'Таблиця 1'!$I:$I,"Су-27",'Таблиця 1'!$J:$J,"GBU-65"))</f>
        <v/>
      </c>
      <c r="M40">
        <f>IF($A40="","",SUMIFS('Таблиця 1'!$K:$K,'Таблиця 1'!$B:$B,$A40,'Таблиця 1'!$I:$I,"Mirage",'Таблиця 1'!$J:$J,"GBU-62")+SUMIFS('Таблиця 1'!$K:$K,'Таблиця 1'!$B:$B,$A40,'Таблиця 1'!$I:$I,"F-16",'Таблиця 1'!$J:$J,"GBU-62")+SUMIFS('Таблиця 1'!$K:$K,'Таблиця 1'!$B:$B,$A40,'Таблиця 1'!$I:$I,"МіГ-29",'Таблиця 1'!$J:$J,"GBU-62")+SUMIFS('Таблиця 1'!$K:$K,'Таблиця 1'!$B:$B,$A40,'Таблиця 1'!$I:$I,"Су-25",'Таблиця 1'!$J:$J,"GBU-62")+SUMIFS('Таблиця 1'!$K:$K,'Таблиця 1'!$B:$B,$A40,'Таблиця 1'!$I:$I,"Су-27",'Таблиця 1'!$J:$J,"GBU-62"))</f>
        <v/>
      </c>
      <c r="N40">
        <f>IF($A40="","",SUMIFS('Таблиця 1'!$K:$K,'Таблиця 1'!$B:$B,$A40,'Таблиця 1'!$I:$I,"Mirage",'Таблиця 1'!$J:$J,"GBU-64")+SUMIFS('Таблиця 1'!$K:$K,'Таблиця 1'!$B:$B,$A40,'Таблиця 1'!$I:$I,"F-16",'Таблиця 1'!$J:$J,"GBU-64")+SUMIFS('Таблиця 1'!$K:$K,'Таблиця 1'!$B:$B,$A40,'Таблиця 1'!$I:$I,"МіГ-29",'Таблиця 1'!$J:$J,"GBU-64")+SUMIFS('Таблиця 1'!$K:$K,'Таблиця 1'!$B:$B,$A40,'Таблиця 1'!$I:$I,"Су-25",'Таблиця 1'!$J:$J,"GBU-64")+SUMIFS('Таблиця 1'!$K:$K,'Таблиця 1'!$B:$B,$A40,'Таблиця 1'!$I:$I,"Су-27",'Таблиця 1'!$J:$J,"GBU-64"))</f>
        <v/>
      </c>
      <c r="O40">
        <f>IF($A40="","",SUMIFS('Таблиця 1'!$K:$K,'Таблиця 1'!$B:$B,$A40,'Таблиця 1'!$I:$I,"Mirage",'Таблиця 1'!$J:$J,"C-13")+SUMIFS('Таблиця 1'!$K:$K,'Таблиця 1'!$B:$B,$A40,'Таблиця 1'!$I:$I,"F-16",'Таблиця 1'!$J:$J,"C-13")+SUMIFS('Таблиця 1'!$K:$K,'Таблиця 1'!$B:$B,$A40,'Таблиця 1'!$I:$I,"МіГ-29",'Таблиця 1'!$J:$J,"C-13")+SUMIFS('Таблиця 1'!$K:$K,'Таблиця 1'!$B:$B,$A40,'Таблиця 1'!$I:$I,"Су-25",'Таблиця 1'!$J:$J,"C-13")+SUMIFS('Таблиця 1'!$K:$K,'Таблиця 1'!$B:$B,$A40,'Таблиця 1'!$I:$I,"Су-27",'Таблиця 1'!$J:$J,"C-13"))</f>
        <v/>
      </c>
      <c r="P40">
        <f>IF($A40="","",SUMIFS('Таблиця 1'!$K:$K,'Таблиця 1'!$B:$B,$A40,'Таблиця 1'!$I:$I,"Mirage",'Таблиця 1'!$J:$J,"MK-32")+SUMIFS('Таблиця 1'!$K:$K,'Таблиця 1'!$B:$B,$A40,'Таблиця 1'!$I:$I,"F-16",'Таблиця 1'!$J:$J,"MK-32")+SUMIFS('Таблиця 1'!$K:$K,'Таблиця 1'!$B:$B,$A40,'Таблиця 1'!$I:$I,"МіГ-29",'Таблиця 1'!$J:$J,"MK-32")+SUMIFS('Таблиця 1'!$K:$K,'Таблиця 1'!$B:$B,$A40,'Таблиця 1'!$I:$I,"Су-25",'Таблиця 1'!$J:$J,"MK-32")+SUMIFS('Таблиця 1'!$K:$K,'Таблиця 1'!$B:$B,$A40,'Таблиця 1'!$I:$I,"Су-27",'Таблиця 1'!$J:$J,"MK-32"))</f>
        <v/>
      </c>
      <c r="Q40">
        <f>IF($A40="","",SUMIFS('Таблиця 1'!$K:$K,'Таблиця 1'!$B:$B,$A40,'Таблиця 1'!$I:$I,"Mirage",'Таблиця 1'!$J:$J,"MK-24")+SUMIFS('Таблиця 1'!$K:$K,'Таблиця 1'!$B:$B,$A40,'Таблиця 1'!$I:$I,"F-16",'Таблиця 1'!$J:$J,"MK-24")+SUMIFS('Таблиця 1'!$K:$K,'Таблиця 1'!$B:$B,$A40,'Таблиця 1'!$I:$I,"МіГ-29",'Таблиця 1'!$J:$J,"MK-24")+SUMIFS('Таблиця 1'!$K:$K,'Таблиця 1'!$B:$B,$A40,'Таблиця 1'!$I:$I,"Су-25",'Таблиця 1'!$J:$J,"MK-24")+SUMIFS('Таблиця 1'!$K:$K,'Таблиця 1'!$B:$B,$A40,'Таблиця 1'!$I:$I,"Су-27",'Таблиця 1'!$J:$J,"MK-24"))</f>
        <v/>
      </c>
      <c r="R40">
        <f>IF($A40="","",COUNTIFS('Таблиця 1'!$B:$B,$A40,'Таблиця 1'!$I:$I,"Mirage",'Таблиця 1'!$L:$L,"Уражено")+COUNTIFS('Таблиця 1'!$B:$B,$A40,'Таблиця 1'!$I:$I,"F-16",'Таблиця 1'!$L:$L,"Уражено")+COUNTIFS('Таблиця 1'!$B:$B,$A40,'Таблиця 1'!$I:$I,"МіГ-29",'Таблиця 1'!$L:$L,"Уражено")+COUNTIFS('Таблиця 1'!$B:$B,$A40,'Таблиця 1'!$I:$I,"Су-25",'Таблиця 1'!$L:$L,"Уражено")+COUNTIFS('Таблиця 1'!$B:$B,$A40,'Таблиця 1'!$I:$I,"Су-27",'Таблиця 1'!$L:$L,"Уражено"))</f>
        <v/>
      </c>
      <c r="S40">
        <f>IF($A40="","",COUNTIFS('Таблиця 1'!$B:$B,$A40,'Таблиця 1'!$I:$I,"Mirage",'Таблиця 1'!$L:$L,"НЕ уражено")+COUNTIFS('Таблиця 1'!$B:$B,$A40,'Таблиця 1'!$I:$I,"F-16",'Таблиця 1'!$L:$L,"НЕ уражено")+COUNTIFS('Таблиця 1'!$B:$B,$A40,'Таблиця 1'!$I:$I,"МіГ-29",'Таблиця 1'!$L:$L,"НЕ уражено")+COUNTIFS('Таблиця 1'!$B:$B,$A40,'Таблиця 1'!$I:$I,"Су-25",'Таблиця 1'!$L:$L,"НЕ уражено")+COUNTIFS('Таблиця 1'!$B:$B,$A40,'Таблиця 1'!$I:$I,"Су-27",'Таблиця 1'!$L:$L,"НЕ уражено"))</f>
        <v/>
      </c>
      <c r="T40">
        <f>IF($A40="","",COUNTIFS('Таблиця 1'!$B:$B,$A40,'Таблиця 1'!$I:$I,"Mirage",'Таблиця 1'!$L:$L,"Дорозвідується")+COUNTIFS('Таблиця 1'!$B:$B,$A40,'Таблиця 1'!$I:$I,"F-16",'Таблиця 1'!$L:$L,"Дорозвідується")+COUNTIFS('Таблиця 1'!$B:$B,$A40,'Таблиця 1'!$I:$I,"МіГ-29",'Таблиця 1'!$L:$L,"Дорозвідується")+COUNTIFS('Таблиця 1'!$B:$B,$A40,'Таблиця 1'!$I:$I,"Су-25",'Таблиця 1'!$L:$L,"Дорозвідується")+COUNTIFS('Таблиця 1'!$B:$B,$A40,'Таблиця 1'!$I:$I,"Су-27",'Таблиця 1'!$L:$L,"Дорозвідується"))</f>
        <v/>
      </c>
    </row>
    <row r="41">
      <c r="A41" s="273">
        <f>IF(A40="","",IF(A40+1&gt;MAX('Таблиця 1'!$B:$B),"",A40+1))</f>
        <v/>
      </c>
      <c r="B41">
        <f>IF($A41="","",COUNTIFS('Таблиця 1'!$B:$B,$A41,'Таблиця 1'!$I:$I,"Mirage")+COUNTIFS('Таблиця 1'!$B:$B,$A41,'Таблиця 1'!$I:$I,"F-16")+COUNTIFS('Таблиця 1'!$B:$B,$A41,'Таблиця 1'!$I:$I,"МіГ-29")+COUNTIFS('Таблиця 1'!$B:$B,$A41,'Таблиця 1'!$I:$I,"Су-25")+COUNTIFS('Таблиця 1'!$B:$B,$A41,'Таблиця 1'!$I:$I,"Су-27"))</f>
        <v/>
      </c>
      <c r="C41">
        <f>IF($A41="","",COUNTIFS('Таблиця 1'!$B:$B,$A41,'Таблиця 1'!$I:$I,"Mirage"))</f>
        <v/>
      </c>
      <c r="D41">
        <f>IF($A41="","",COUNTIFS('Таблиця 1'!$B:$B,$A41,'Таблиця 1'!$I:$I,"F-16"))</f>
        <v/>
      </c>
      <c r="E41">
        <f>IF($A41="","",COUNTIFS('Таблиця 1'!$B:$B,$A41,'Таблиця 1'!$I:$I,"МіГ-29"))</f>
        <v/>
      </c>
      <c r="F41">
        <f>IF($A41="","",COUNTIFS('Таблиця 1'!$B:$B,$A41,'Таблиця 1'!$I:$I,"Су-25"))</f>
        <v/>
      </c>
      <c r="G41">
        <f>IF($A41="","",COUNTIFS('Таблиця 1'!$B:$B,$A41,'Таблиця 1'!$I:$I,"Су-27"))</f>
        <v/>
      </c>
      <c r="H41">
        <f>IF($A41="","",SUMIFS('Таблиця 1'!$K:$K,'Таблиця 1'!$B:$B,$A41,'Таблиця 1'!$I:$I,"Mirage",'Таблиця 1'!$J:$J,"AGM-88")+SUMIFS('Таблиця 1'!$K:$K,'Таблиця 1'!$B:$B,$A41,'Таблиця 1'!$I:$I,"F-16",'Таблиця 1'!$J:$J,"AGM-88")+SUMIFS('Таблиця 1'!$K:$K,'Таблиця 1'!$B:$B,$A41,'Таблиця 1'!$I:$I,"МіГ-29",'Таблиця 1'!$J:$J,"AGM-88")+SUMIFS('Таблиця 1'!$K:$K,'Таблиця 1'!$B:$B,$A41,'Таблиця 1'!$I:$I,"Су-25",'Таблиця 1'!$J:$J,"AGM-88")+SUMIFS('Таблиця 1'!$K:$K,'Таблиця 1'!$B:$B,$A41,'Таблиця 1'!$I:$I,"Су-27",'Таблиця 1'!$J:$J,"AGM-88"))</f>
        <v/>
      </c>
      <c r="I41">
        <f>IF($A41="","",SUMIFS('Таблиця 1'!$K:$K,'Таблиця 1'!$B:$B,$A41,'Таблиця 1'!$I:$I,"Mirage",'Таблиця 1'!$J:$J,"AASM-250")+SUMIFS('Таблиця 1'!$K:$K,'Таблиця 1'!$B:$B,$A41,'Таблиця 1'!$I:$I,"F-16",'Таблиця 1'!$J:$J,"AASM-250")+SUMIFS('Таблиця 1'!$K:$K,'Таблиця 1'!$B:$B,$A41,'Таблиця 1'!$I:$I,"МіГ-29",'Таблиця 1'!$J:$J,"AASM-250")+SUMIFS('Таблиця 1'!$K:$K,'Таблиця 1'!$B:$B,$A41,'Таблиця 1'!$I:$I,"Су-25",'Таблиця 1'!$J:$J,"AASM-250")+SUMIFS('Таблиця 1'!$K:$K,'Таблиця 1'!$B:$B,$A41,'Таблиця 1'!$I:$I,"Су-27",'Таблиця 1'!$J:$J,"AASM-250"))</f>
        <v/>
      </c>
      <c r="J41">
        <f>IF($A41="","",SUMIFS('Таблиця 1'!$K:$K,'Таблиця 1'!$B:$B,$A41,'Таблиця 1'!$I:$I,"Mirage",'Таблиця 1'!$J:$J,"GBU-39")+SUMIFS('Таблиця 1'!$K:$K,'Таблиця 1'!$B:$B,$A41,'Таблиця 1'!$I:$I,"F-16",'Таблиця 1'!$J:$J,"GBU-39")+SUMIFS('Таблиця 1'!$K:$K,'Таблиця 1'!$B:$B,$A41,'Таблиця 1'!$I:$I,"МіГ-29",'Таблиця 1'!$J:$J,"GBU-39")+SUMIFS('Таблиця 1'!$K:$K,'Таблиця 1'!$B:$B,$A41,'Таблиця 1'!$I:$I,"Су-25",'Таблиця 1'!$J:$J,"GBU-39")+SUMIFS('Таблиця 1'!$K:$K,'Таблиця 1'!$B:$B,$A41,'Таблиця 1'!$I:$I,"Су-27",'Таблиця 1'!$J:$J,"GBU-39"))</f>
        <v/>
      </c>
      <c r="K41">
        <f>IF($A41="","",SUMIFS('Таблиця 1'!$K:$K,'Таблиця 1'!$B:$B,$A41,'Таблиця 1'!$I:$I,"Mirage",'Таблиця 1'!$J:$J,"BLU-140")+SUMIFS('Таблиця 1'!$K:$K,'Таблиця 1'!$B:$B,$A41,'Таблиця 1'!$I:$I,"F-16",'Таблиця 1'!$J:$J,"BLU-140")+SUMIFS('Таблиця 1'!$K:$K,'Таблиця 1'!$B:$B,$A41,'Таблиця 1'!$I:$I,"МіГ-29",'Таблиця 1'!$J:$J,"BLU-140")+SUMIFS('Таблиця 1'!$K:$K,'Таблиця 1'!$B:$B,$A41,'Таблиця 1'!$I:$I,"Су-25",'Таблиця 1'!$J:$J,"BLU-140")+SUMIFS('Таблиця 1'!$K:$K,'Таблиця 1'!$B:$B,$A41,'Таблиця 1'!$I:$I,"Су-27",'Таблиця 1'!$J:$J,"BLU-140"))</f>
        <v/>
      </c>
      <c r="L41">
        <f>IF($A41="","",SUMIFS('Таблиця 1'!$K:$K,'Таблиця 1'!$B:$B,$A41,'Таблиця 1'!$I:$I,"Mirage",'Таблиця 1'!$J:$J,"GBU-65")+SUMIFS('Таблиця 1'!$K:$K,'Таблиця 1'!$B:$B,$A41,'Таблиця 1'!$I:$I,"F-16",'Таблиця 1'!$J:$J,"GBU-65")+SUMIFS('Таблиця 1'!$K:$K,'Таблиця 1'!$B:$B,$A41,'Таблиця 1'!$I:$I,"МіГ-29",'Таблиця 1'!$J:$J,"GBU-65")+SUMIFS('Таблиця 1'!$K:$K,'Таблиця 1'!$B:$B,$A41,'Таблиця 1'!$I:$I,"Су-25",'Таблиця 1'!$J:$J,"GBU-65")+SUMIFS('Таблиця 1'!$K:$K,'Таблиця 1'!$B:$B,$A41,'Таблиця 1'!$I:$I,"Су-27",'Таблиця 1'!$J:$J,"GBU-65"))</f>
        <v/>
      </c>
      <c r="M41">
        <f>IF($A41="","",SUMIFS('Таблиця 1'!$K:$K,'Таблиця 1'!$B:$B,$A41,'Таблиця 1'!$I:$I,"Mirage",'Таблиця 1'!$J:$J,"GBU-62")+SUMIFS('Таблиця 1'!$K:$K,'Таблиця 1'!$B:$B,$A41,'Таблиця 1'!$I:$I,"F-16",'Таблиця 1'!$J:$J,"GBU-62")+SUMIFS('Таблиця 1'!$K:$K,'Таблиця 1'!$B:$B,$A41,'Таблиця 1'!$I:$I,"МіГ-29",'Таблиця 1'!$J:$J,"GBU-62")+SUMIFS('Таблиця 1'!$K:$K,'Таблиця 1'!$B:$B,$A41,'Таблиця 1'!$I:$I,"Су-25",'Таблиця 1'!$J:$J,"GBU-62")+SUMIFS('Таблиця 1'!$K:$K,'Таблиця 1'!$B:$B,$A41,'Таблиця 1'!$I:$I,"Су-27",'Таблиця 1'!$J:$J,"GBU-62"))</f>
        <v/>
      </c>
      <c r="N41">
        <f>IF($A41="","",SUMIFS('Таблиця 1'!$K:$K,'Таблиця 1'!$B:$B,$A41,'Таблиця 1'!$I:$I,"Mirage",'Таблиця 1'!$J:$J,"GBU-64")+SUMIFS('Таблиця 1'!$K:$K,'Таблиця 1'!$B:$B,$A41,'Таблиця 1'!$I:$I,"F-16",'Таблиця 1'!$J:$J,"GBU-64")+SUMIFS('Таблиця 1'!$K:$K,'Таблиця 1'!$B:$B,$A41,'Таблиця 1'!$I:$I,"МіГ-29",'Таблиця 1'!$J:$J,"GBU-64")+SUMIFS('Таблиця 1'!$K:$K,'Таблиця 1'!$B:$B,$A41,'Таблиця 1'!$I:$I,"Су-25",'Таблиця 1'!$J:$J,"GBU-64")+SUMIFS('Таблиця 1'!$K:$K,'Таблиця 1'!$B:$B,$A41,'Таблиця 1'!$I:$I,"Су-27",'Таблиця 1'!$J:$J,"GBU-64"))</f>
        <v/>
      </c>
      <c r="O41">
        <f>IF($A41="","",SUMIFS('Таблиця 1'!$K:$K,'Таблиця 1'!$B:$B,$A41,'Таблиця 1'!$I:$I,"Mirage",'Таблиця 1'!$J:$J,"C-13")+SUMIFS('Таблиця 1'!$K:$K,'Таблиця 1'!$B:$B,$A41,'Таблиця 1'!$I:$I,"F-16",'Таблиця 1'!$J:$J,"C-13")+SUMIFS('Таблиця 1'!$K:$K,'Таблиця 1'!$B:$B,$A41,'Таблиця 1'!$I:$I,"МіГ-29",'Таблиця 1'!$J:$J,"C-13")+SUMIFS('Таблиця 1'!$K:$K,'Таблиця 1'!$B:$B,$A41,'Таблиця 1'!$I:$I,"Су-25",'Таблиця 1'!$J:$J,"C-13")+SUMIFS('Таблиця 1'!$K:$K,'Таблиця 1'!$B:$B,$A41,'Таблиця 1'!$I:$I,"Су-27",'Таблиця 1'!$J:$J,"C-13"))</f>
        <v/>
      </c>
      <c r="P41">
        <f>IF($A41="","",SUMIFS('Таблиця 1'!$K:$K,'Таблиця 1'!$B:$B,$A41,'Таблиця 1'!$I:$I,"Mirage",'Таблиця 1'!$J:$J,"MK-32")+SUMIFS('Таблиця 1'!$K:$K,'Таблиця 1'!$B:$B,$A41,'Таблиця 1'!$I:$I,"F-16",'Таблиця 1'!$J:$J,"MK-32")+SUMIFS('Таблиця 1'!$K:$K,'Таблиця 1'!$B:$B,$A41,'Таблиця 1'!$I:$I,"МіГ-29",'Таблиця 1'!$J:$J,"MK-32")+SUMIFS('Таблиця 1'!$K:$K,'Таблиця 1'!$B:$B,$A41,'Таблиця 1'!$I:$I,"Су-25",'Таблиця 1'!$J:$J,"MK-32")+SUMIFS('Таблиця 1'!$K:$K,'Таблиця 1'!$B:$B,$A41,'Таблиця 1'!$I:$I,"Су-27",'Таблиця 1'!$J:$J,"MK-32"))</f>
        <v/>
      </c>
      <c r="Q41">
        <f>IF($A41="","",SUMIFS('Таблиця 1'!$K:$K,'Таблиця 1'!$B:$B,$A41,'Таблиця 1'!$I:$I,"Mirage",'Таблиця 1'!$J:$J,"MK-24")+SUMIFS('Таблиця 1'!$K:$K,'Таблиця 1'!$B:$B,$A41,'Таблиця 1'!$I:$I,"F-16",'Таблиця 1'!$J:$J,"MK-24")+SUMIFS('Таблиця 1'!$K:$K,'Таблиця 1'!$B:$B,$A41,'Таблиця 1'!$I:$I,"МіГ-29",'Таблиця 1'!$J:$J,"MK-24")+SUMIFS('Таблиця 1'!$K:$K,'Таблиця 1'!$B:$B,$A41,'Таблиця 1'!$I:$I,"Су-25",'Таблиця 1'!$J:$J,"MK-24")+SUMIFS('Таблиця 1'!$K:$K,'Таблиця 1'!$B:$B,$A41,'Таблиця 1'!$I:$I,"Су-27",'Таблиця 1'!$J:$J,"MK-24"))</f>
        <v/>
      </c>
      <c r="R41">
        <f>IF($A41="","",COUNTIFS('Таблиця 1'!$B:$B,$A41,'Таблиця 1'!$I:$I,"Mirage",'Таблиця 1'!$L:$L,"Уражено")+COUNTIFS('Таблиця 1'!$B:$B,$A41,'Таблиця 1'!$I:$I,"F-16",'Таблиця 1'!$L:$L,"Уражено")+COUNTIFS('Таблиця 1'!$B:$B,$A41,'Таблиця 1'!$I:$I,"МіГ-29",'Таблиця 1'!$L:$L,"Уражено")+COUNTIFS('Таблиця 1'!$B:$B,$A41,'Таблиця 1'!$I:$I,"Су-25",'Таблиця 1'!$L:$L,"Уражено")+COUNTIFS('Таблиця 1'!$B:$B,$A41,'Таблиця 1'!$I:$I,"Су-27",'Таблиця 1'!$L:$L,"Уражено"))</f>
        <v/>
      </c>
      <c r="S41">
        <f>IF($A41="","",COUNTIFS('Таблиця 1'!$B:$B,$A41,'Таблиця 1'!$I:$I,"Mirage",'Таблиця 1'!$L:$L,"НЕ уражено")+COUNTIFS('Таблиця 1'!$B:$B,$A41,'Таблиця 1'!$I:$I,"F-16",'Таблиця 1'!$L:$L,"НЕ уражено")+COUNTIFS('Таблиця 1'!$B:$B,$A41,'Таблиця 1'!$I:$I,"МіГ-29",'Таблиця 1'!$L:$L,"НЕ уражено")+COUNTIFS('Таблиця 1'!$B:$B,$A41,'Таблиця 1'!$I:$I,"Су-25",'Таблиця 1'!$L:$L,"НЕ уражено")+COUNTIFS('Таблиця 1'!$B:$B,$A41,'Таблиця 1'!$I:$I,"Су-27",'Таблиця 1'!$L:$L,"НЕ уражено"))</f>
        <v/>
      </c>
      <c r="T41">
        <f>IF($A41="","",COUNTIFS('Таблиця 1'!$B:$B,$A41,'Таблиця 1'!$I:$I,"Mirage",'Таблиця 1'!$L:$L,"Дорозвідується")+COUNTIFS('Таблиця 1'!$B:$B,$A41,'Таблиця 1'!$I:$I,"F-16",'Таблиця 1'!$L:$L,"Дорозвідується")+COUNTIFS('Таблиця 1'!$B:$B,$A41,'Таблиця 1'!$I:$I,"МіГ-29",'Таблиця 1'!$L:$L,"Дорозвідується")+COUNTIFS('Таблиця 1'!$B:$B,$A41,'Таблиця 1'!$I:$I,"Су-25",'Таблиця 1'!$L:$L,"Дорозвідується")+COUNTIFS('Таблиця 1'!$B:$B,$A41,'Таблиця 1'!$I:$I,"Су-27",'Таблиця 1'!$L:$L,"Дорозвідується"))</f>
        <v/>
      </c>
    </row>
    <row r="42">
      <c r="A42" s="273">
        <f>IF(A41="","",IF(A41+1&gt;MAX('Таблиця 1'!$B:$B),"",A41+1))</f>
        <v/>
      </c>
      <c r="B42">
        <f>IF($A42="","",COUNTIFS('Таблиця 1'!$B:$B,$A42,'Таблиця 1'!$I:$I,"Mirage")+COUNTIFS('Таблиця 1'!$B:$B,$A42,'Таблиця 1'!$I:$I,"F-16")+COUNTIFS('Таблиця 1'!$B:$B,$A42,'Таблиця 1'!$I:$I,"МіГ-29")+COUNTIFS('Таблиця 1'!$B:$B,$A42,'Таблиця 1'!$I:$I,"Су-25")+COUNTIFS('Таблиця 1'!$B:$B,$A42,'Таблиця 1'!$I:$I,"Су-27"))</f>
        <v/>
      </c>
      <c r="C42">
        <f>IF($A42="","",COUNTIFS('Таблиця 1'!$B:$B,$A42,'Таблиця 1'!$I:$I,"Mirage"))</f>
        <v/>
      </c>
      <c r="D42">
        <f>IF($A42="","",COUNTIFS('Таблиця 1'!$B:$B,$A42,'Таблиця 1'!$I:$I,"F-16"))</f>
        <v/>
      </c>
      <c r="E42">
        <f>IF($A42="","",COUNTIFS('Таблиця 1'!$B:$B,$A42,'Таблиця 1'!$I:$I,"МіГ-29"))</f>
        <v/>
      </c>
      <c r="F42">
        <f>IF($A42="","",COUNTIFS('Таблиця 1'!$B:$B,$A42,'Таблиця 1'!$I:$I,"Су-25"))</f>
        <v/>
      </c>
      <c r="G42">
        <f>IF($A42="","",COUNTIFS('Таблиця 1'!$B:$B,$A42,'Таблиця 1'!$I:$I,"Су-27"))</f>
        <v/>
      </c>
      <c r="H42">
        <f>IF($A42="","",SUMIFS('Таблиця 1'!$K:$K,'Таблиця 1'!$B:$B,$A42,'Таблиця 1'!$I:$I,"Mirage",'Таблиця 1'!$J:$J,"AGM-88")+SUMIFS('Таблиця 1'!$K:$K,'Таблиця 1'!$B:$B,$A42,'Таблиця 1'!$I:$I,"F-16",'Таблиця 1'!$J:$J,"AGM-88")+SUMIFS('Таблиця 1'!$K:$K,'Таблиця 1'!$B:$B,$A42,'Таблиця 1'!$I:$I,"МіГ-29",'Таблиця 1'!$J:$J,"AGM-88")+SUMIFS('Таблиця 1'!$K:$K,'Таблиця 1'!$B:$B,$A42,'Таблиця 1'!$I:$I,"Су-25",'Таблиця 1'!$J:$J,"AGM-88")+SUMIFS('Таблиця 1'!$K:$K,'Таблиця 1'!$B:$B,$A42,'Таблиця 1'!$I:$I,"Су-27",'Таблиця 1'!$J:$J,"AGM-88"))</f>
        <v/>
      </c>
      <c r="I42">
        <f>IF($A42="","",SUMIFS('Таблиця 1'!$K:$K,'Таблиця 1'!$B:$B,$A42,'Таблиця 1'!$I:$I,"Mirage",'Таблиця 1'!$J:$J,"AASM-250")+SUMIFS('Таблиця 1'!$K:$K,'Таблиця 1'!$B:$B,$A42,'Таблиця 1'!$I:$I,"F-16",'Таблиця 1'!$J:$J,"AASM-250")+SUMIFS('Таблиця 1'!$K:$K,'Таблиця 1'!$B:$B,$A42,'Таблиця 1'!$I:$I,"МіГ-29",'Таблиця 1'!$J:$J,"AASM-250")+SUMIFS('Таблиця 1'!$K:$K,'Таблиця 1'!$B:$B,$A42,'Таблиця 1'!$I:$I,"Су-25",'Таблиця 1'!$J:$J,"AASM-250")+SUMIFS('Таблиця 1'!$K:$K,'Таблиця 1'!$B:$B,$A42,'Таблиця 1'!$I:$I,"Су-27",'Таблиця 1'!$J:$J,"AASM-250"))</f>
        <v/>
      </c>
      <c r="J42">
        <f>IF($A42="","",SUMIFS('Таблиця 1'!$K:$K,'Таблиця 1'!$B:$B,$A42,'Таблиця 1'!$I:$I,"Mirage",'Таблиця 1'!$J:$J,"GBU-39")+SUMIFS('Таблиця 1'!$K:$K,'Таблиця 1'!$B:$B,$A42,'Таблиця 1'!$I:$I,"F-16",'Таблиця 1'!$J:$J,"GBU-39")+SUMIFS('Таблиця 1'!$K:$K,'Таблиця 1'!$B:$B,$A42,'Таблиця 1'!$I:$I,"МіГ-29",'Таблиця 1'!$J:$J,"GBU-39")+SUMIFS('Таблиця 1'!$K:$K,'Таблиця 1'!$B:$B,$A42,'Таблиця 1'!$I:$I,"Су-25",'Таблиця 1'!$J:$J,"GBU-39")+SUMIFS('Таблиця 1'!$K:$K,'Таблиця 1'!$B:$B,$A42,'Таблиця 1'!$I:$I,"Су-27",'Таблиця 1'!$J:$J,"GBU-39"))</f>
        <v/>
      </c>
      <c r="K42">
        <f>IF($A42="","",SUMIFS('Таблиця 1'!$K:$K,'Таблиця 1'!$B:$B,$A42,'Таблиця 1'!$I:$I,"Mirage",'Таблиця 1'!$J:$J,"BLU-140")+SUMIFS('Таблиця 1'!$K:$K,'Таблиця 1'!$B:$B,$A42,'Таблиця 1'!$I:$I,"F-16",'Таблиця 1'!$J:$J,"BLU-140")+SUMIFS('Таблиця 1'!$K:$K,'Таблиця 1'!$B:$B,$A42,'Таблиця 1'!$I:$I,"МіГ-29",'Таблиця 1'!$J:$J,"BLU-140")+SUMIFS('Таблиця 1'!$K:$K,'Таблиця 1'!$B:$B,$A42,'Таблиця 1'!$I:$I,"Су-25",'Таблиця 1'!$J:$J,"BLU-140")+SUMIFS('Таблиця 1'!$K:$K,'Таблиця 1'!$B:$B,$A42,'Таблиця 1'!$I:$I,"Су-27",'Таблиця 1'!$J:$J,"BLU-140"))</f>
        <v/>
      </c>
      <c r="L42">
        <f>IF($A42="","",SUMIFS('Таблиця 1'!$K:$K,'Таблиця 1'!$B:$B,$A42,'Таблиця 1'!$I:$I,"Mirage",'Таблиця 1'!$J:$J,"GBU-65")+SUMIFS('Таблиця 1'!$K:$K,'Таблиця 1'!$B:$B,$A42,'Таблиця 1'!$I:$I,"F-16",'Таблиця 1'!$J:$J,"GBU-65")+SUMIFS('Таблиця 1'!$K:$K,'Таблиця 1'!$B:$B,$A42,'Таблиця 1'!$I:$I,"МіГ-29",'Таблиця 1'!$J:$J,"GBU-65")+SUMIFS('Таблиця 1'!$K:$K,'Таблиця 1'!$B:$B,$A42,'Таблиця 1'!$I:$I,"Су-25",'Таблиця 1'!$J:$J,"GBU-65")+SUMIFS('Таблиця 1'!$K:$K,'Таблиця 1'!$B:$B,$A42,'Таблиця 1'!$I:$I,"Су-27",'Таблиця 1'!$J:$J,"GBU-65"))</f>
        <v/>
      </c>
      <c r="M42">
        <f>IF($A42="","",SUMIFS('Таблиця 1'!$K:$K,'Таблиця 1'!$B:$B,$A42,'Таблиця 1'!$I:$I,"Mirage",'Таблиця 1'!$J:$J,"GBU-62")+SUMIFS('Таблиця 1'!$K:$K,'Таблиця 1'!$B:$B,$A42,'Таблиця 1'!$I:$I,"F-16",'Таблиця 1'!$J:$J,"GBU-62")+SUMIFS('Таблиця 1'!$K:$K,'Таблиця 1'!$B:$B,$A42,'Таблиця 1'!$I:$I,"МіГ-29",'Таблиця 1'!$J:$J,"GBU-62")+SUMIFS('Таблиця 1'!$K:$K,'Таблиця 1'!$B:$B,$A42,'Таблиця 1'!$I:$I,"Су-25",'Таблиця 1'!$J:$J,"GBU-62")+SUMIFS('Таблиця 1'!$K:$K,'Таблиця 1'!$B:$B,$A42,'Таблиця 1'!$I:$I,"Су-27",'Таблиця 1'!$J:$J,"GBU-62"))</f>
        <v/>
      </c>
      <c r="N42">
        <f>IF($A42="","",SUMIFS('Таблиця 1'!$K:$K,'Таблиця 1'!$B:$B,$A42,'Таблиця 1'!$I:$I,"Mirage",'Таблиця 1'!$J:$J,"GBU-64")+SUMIFS('Таблиця 1'!$K:$K,'Таблиця 1'!$B:$B,$A42,'Таблиця 1'!$I:$I,"F-16",'Таблиця 1'!$J:$J,"GBU-64")+SUMIFS('Таблиця 1'!$K:$K,'Таблиця 1'!$B:$B,$A42,'Таблиця 1'!$I:$I,"МіГ-29",'Таблиця 1'!$J:$J,"GBU-64")+SUMIFS('Таблиця 1'!$K:$K,'Таблиця 1'!$B:$B,$A42,'Таблиця 1'!$I:$I,"Су-25",'Таблиця 1'!$J:$J,"GBU-64")+SUMIFS('Таблиця 1'!$K:$K,'Таблиця 1'!$B:$B,$A42,'Таблиця 1'!$I:$I,"Су-27",'Таблиця 1'!$J:$J,"GBU-64"))</f>
        <v/>
      </c>
      <c r="O42">
        <f>IF($A42="","",SUMIFS('Таблиця 1'!$K:$K,'Таблиця 1'!$B:$B,$A42,'Таблиця 1'!$I:$I,"Mirage",'Таблиця 1'!$J:$J,"C-13")+SUMIFS('Таблиця 1'!$K:$K,'Таблиця 1'!$B:$B,$A42,'Таблиця 1'!$I:$I,"F-16",'Таблиця 1'!$J:$J,"C-13")+SUMIFS('Таблиця 1'!$K:$K,'Таблиця 1'!$B:$B,$A42,'Таблиця 1'!$I:$I,"МіГ-29",'Таблиця 1'!$J:$J,"C-13")+SUMIFS('Таблиця 1'!$K:$K,'Таблиця 1'!$B:$B,$A42,'Таблиця 1'!$I:$I,"Су-25",'Таблиця 1'!$J:$J,"C-13")+SUMIFS('Таблиця 1'!$K:$K,'Таблиця 1'!$B:$B,$A42,'Таблиця 1'!$I:$I,"Су-27",'Таблиця 1'!$J:$J,"C-13"))</f>
        <v/>
      </c>
      <c r="P42">
        <f>IF($A42="","",SUMIFS('Таблиця 1'!$K:$K,'Таблиця 1'!$B:$B,$A42,'Таблиця 1'!$I:$I,"Mirage",'Таблиця 1'!$J:$J,"MK-32")+SUMIFS('Таблиця 1'!$K:$K,'Таблиця 1'!$B:$B,$A42,'Таблиця 1'!$I:$I,"F-16",'Таблиця 1'!$J:$J,"MK-32")+SUMIFS('Таблиця 1'!$K:$K,'Таблиця 1'!$B:$B,$A42,'Таблиця 1'!$I:$I,"МіГ-29",'Таблиця 1'!$J:$J,"MK-32")+SUMIFS('Таблиця 1'!$K:$K,'Таблиця 1'!$B:$B,$A42,'Таблиця 1'!$I:$I,"Су-25",'Таблиця 1'!$J:$J,"MK-32")+SUMIFS('Таблиця 1'!$K:$K,'Таблиця 1'!$B:$B,$A42,'Таблиця 1'!$I:$I,"Су-27",'Таблиця 1'!$J:$J,"MK-32"))</f>
        <v/>
      </c>
      <c r="Q42">
        <f>IF($A42="","",SUMIFS('Таблиця 1'!$K:$K,'Таблиця 1'!$B:$B,$A42,'Таблиця 1'!$I:$I,"Mirage",'Таблиця 1'!$J:$J,"MK-24")+SUMIFS('Таблиця 1'!$K:$K,'Таблиця 1'!$B:$B,$A42,'Таблиця 1'!$I:$I,"F-16",'Таблиця 1'!$J:$J,"MK-24")+SUMIFS('Таблиця 1'!$K:$K,'Таблиця 1'!$B:$B,$A42,'Таблиця 1'!$I:$I,"МіГ-29",'Таблиця 1'!$J:$J,"MK-24")+SUMIFS('Таблиця 1'!$K:$K,'Таблиця 1'!$B:$B,$A42,'Таблиця 1'!$I:$I,"Су-25",'Таблиця 1'!$J:$J,"MK-24")+SUMIFS('Таблиця 1'!$K:$K,'Таблиця 1'!$B:$B,$A42,'Таблиця 1'!$I:$I,"Су-27",'Таблиця 1'!$J:$J,"MK-24"))</f>
        <v/>
      </c>
      <c r="R42">
        <f>IF($A42="","",COUNTIFS('Таблиця 1'!$B:$B,$A42,'Таблиця 1'!$I:$I,"Mirage",'Таблиця 1'!$L:$L,"Уражено")+COUNTIFS('Таблиця 1'!$B:$B,$A42,'Таблиця 1'!$I:$I,"F-16",'Таблиця 1'!$L:$L,"Уражено")+COUNTIFS('Таблиця 1'!$B:$B,$A42,'Таблиця 1'!$I:$I,"МіГ-29",'Таблиця 1'!$L:$L,"Уражено")+COUNTIFS('Таблиця 1'!$B:$B,$A42,'Таблиця 1'!$I:$I,"Су-25",'Таблиця 1'!$L:$L,"Уражено")+COUNTIFS('Таблиця 1'!$B:$B,$A42,'Таблиця 1'!$I:$I,"Су-27",'Таблиця 1'!$L:$L,"Уражено"))</f>
        <v/>
      </c>
      <c r="S42">
        <f>IF($A42="","",COUNTIFS('Таблиця 1'!$B:$B,$A42,'Таблиця 1'!$I:$I,"Mirage",'Таблиця 1'!$L:$L,"НЕ уражено")+COUNTIFS('Таблиця 1'!$B:$B,$A42,'Таблиця 1'!$I:$I,"F-16",'Таблиця 1'!$L:$L,"НЕ уражено")+COUNTIFS('Таблиця 1'!$B:$B,$A42,'Таблиця 1'!$I:$I,"МіГ-29",'Таблиця 1'!$L:$L,"НЕ уражено")+COUNTIFS('Таблиця 1'!$B:$B,$A42,'Таблиця 1'!$I:$I,"Су-25",'Таблиця 1'!$L:$L,"НЕ уражено")+COUNTIFS('Таблиця 1'!$B:$B,$A42,'Таблиця 1'!$I:$I,"Су-27",'Таблиця 1'!$L:$L,"НЕ уражено"))</f>
        <v/>
      </c>
      <c r="T42">
        <f>IF($A42="","",COUNTIFS('Таблиця 1'!$B:$B,$A42,'Таблиця 1'!$I:$I,"Mirage",'Таблиця 1'!$L:$L,"Дорозвідується")+COUNTIFS('Таблиця 1'!$B:$B,$A42,'Таблиця 1'!$I:$I,"F-16",'Таблиця 1'!$L:$L,"Дорозвідується")+COUNTIFS('Таблиця 1'!$B:$B,$A42,'Таблиця 1'!$I:$I,"МіГ-29",'Таблиця 1'!$L:$L,"Дорозвідується")+COUNTIFS('Таблиця 1'!$B:$B,$A42,'Таблиця 1'!$I:$I,"Су-25",'Таблиця 1'!$L:$L,"Дорозвідується")+COUNTIFS('Таблиця 1'!$B:$B,$A42,'Таблиця 1'!$I:$I,"Су-27",'Таблиця 1'!$L:$L,"Дорозвідується"))</f>
        <v/>
      </c>
    </row>
    <row r="43">
      <c r="A43" s="273">
        <f>IF(A42="","",IF(A42+1&gt;MAX('Таблиця 1'!$B:$B),"",A42+1))</f>
        <v/>
      </c>
      <c r="B43">
        <f>IF($A43="","",COUNTIFS('Таблиця 1'!$B:$B,$A43,'Таблиця 1'!$I:$I,"Mirage")+COUNTIFS('Таблиця 1'!$B:$B,$A43,'Таблиця 1'!$I:$I,"F-16")+COUNTIFS('Таблиця 1'!$B:$B,$A43,'Таблиця 1'!$I:$I,"МіГ-29")+COUNTIFS('Таблиця 1'!$B:$B,$A43,'Таблиця 1'!$I:$I,"Су-25")+COUNTIFS('Таблиця 1'!$B:$B,$A43,'Таблиця 1'!$I:$I,"Су-27"))</f>
        <v/>
      </c>
      <c r="C43">
        <f>IF($A43="","",COUNTIFS('Таблиця 1'!$B:$B,$A43,'Таблиця 1'!$I:$I,"Mirage"))</f>
        <v/>
      </c>
      <c r="D43">
        <f>IF($A43="","",COUNTIFS('Таблиця 1'!$B:$B,$A43,'Таблиця 1'!$I:$I,"F-16"))</f>
        <v/>
      </c>
      <c r="E43">
        <f>IF($A43="","",COUNTIFS('Таблиця 1'!$B:$B,$A43,'Таблиця 1'!$I:$I,"МіГ-29"))</f>
        <v/>
      </c>
      <c r="F43">
        <f>IF($A43="","",COUNTIFS('Таблиця 1'!$B:$B,$A43,'Таблиця 1'!$I:$I,"Су-25"))</f>
        <v/>
      </c>
      <c r="G43">
        <f>IF($A43="","",COUNTIFS('Таблиця 1'!$B:$B,$A43,'Таблиця 1'!$I:$I,"Су-27"))</f>
        <v/>
      </c>
      <c r="H43">
        <f>IF($A43="","",SUMIFS('Таблиця 1'!$K:$K,'Таблиця 1'!$B:$B,$A43,'Таблиця 1'!$I:$I,"Mirage",'Таблиця 1'!$J:$J,"AGM-88")+SUMIFS('Таблиця 1'!$K:$K,'Таблиця 1'!$B:$B,$A43,'Таблиця 1'!$I:$I,"F-16",'Таблиця 1'!$J:$J,"AGM-88")+SUMIFS('Таблиця 1'!$K:$K,'Таблиця 1'!$B:$B,$A43,'Таблиця 1'!$I:$I,"МіГ-29",'Таблиця 1'!$J:$J,"AGM-88")+SUMIFS('Таблиця 1'!$K:$K,'Таблиця 1'!$B:$B,$A43,'Таблиця 1'!$I:$I,"Су-25",'Таблиця 1'!$J:$J,"AGM-88")+SUMIFS('Таблиця 1'!$K:$K,'Таблиця 1'!$B:$B,$A43,'Таблиця 1'!$I:$I,"Су-27",'Таблиця 1'!$J:$J,"AGM-88"))</f>
        <v/>
      </c>
      <c r="I43">
        <f>IF($A43="","",SUMIFS('Таблиця 1'!$K:$K,'Таблиця 1'!$B:$B,$A43,'Таблиця 1'!$I:$I,"Mirage",'Таблиця 1'!$J:$J,"AASM-250")+SUMIFS('Таблиця 1'!$K:$K,'Таблиця 1'!$B:$B,$A43,'Таблиця 1'!$I:$I,"F-16",'Таблиця 1'!$J:$J,"AASM-250")+SUMIFS('Таблиця 1'!$K:$K,'Таблиця 1'!$B:$B,$A43,'Таблиця 1'!$I:$I,"МіГ-29",'Таблиця 1'!$J:$J,"AASM-250")+SUMIFS('Таблиця 1'!$K:$K,'Таблиця 1'!$B:$B,$A43,'Таблиця 1'!$I:$I,"Су-25",'Таблиця 1'!$J:$J,"AASM-250")+SUMIFS('Таблиця 1'!$K:$K,'Таблиця 1'!$B:$B,$A43,'Таблиця 1'!$I:$I,"Су-27",'Таблиця 1'!$J:$J,"AASM-250"))</f>
        <v/>
      </c>
      <c r="J43">
        <f>IF($A43="","",SUMIFS('Таблиця 1'!$K:$K,'Таблиця 1'!$B:$B,$A43,'Таблиця 1'!$I:$I,"Mirage",'Таблиця 1'!$J:$J,"GBU-39")+SUMIFS('Таблиця 1'!$K:$K,'Таблиця 1'!$B:$B,$A43,'Таблиця 1'!$I:$I,"F-16",'Таблиця 1'!$J:$J,"GBU-39")+SUMIFS('Таблиця 1'!$K:$K,'Таблиця 1'!$B:$B,$A43,'Таблиця 1'!$I:$I,"МіГ-29",'Таблиця 1'!$J:$J,"GBU-39")+SUMIFS('Таблиця 1'!$K:$K,'Таблиця 1'!$B:$B,$A43,'Таблиця 1'!$I:$I,"Су-25",'Таблиця 1'!$J:$J,"GBU-39")+SUMIFS('Таблиця 1'!$K:$K,'Таблиця 1'!$B:$B,$A43,'Таблиця 1'!$I:$I,"Су-27",'Таблиця 1'!$J:$J,"GBU-39"))</f>
        <v/>
      </c>
      <c r="K43">
        <f>IF($A43="","",SUMIFS('Таблиця 1'!$K:$K,'Таблиця 1'!$B:$B,$A43,'Таблиця 1'!$I:$I,"Mirage",'Таблиця 1'!$J:$J,"BLU-140")+SUMIFS('Таблиця 1'!$K:$K,'Таблиця 1'!$B:$B,$A43,'Таблиця 1'!$I:$I,"F-16",'Таблиця 1'!$J:$J,"BLU-140")+SUMIFS('Таблиця 1'!$K:$K,'Таблиця 1'!$B:$B,$A43,'Таблиця 1'!$I:$I,"МіГ-29",'Таблиця 1'!$J:$J,"BLU-140")+SUMIFS('Таблиця 1'!$K:$K,'Таблиця 1'!$B:$B,$A43,'Таблиця 1'!$I:$I,"Су-25",'Таблиця 1'!$J:$J,"BLU-140")+SUMIFS('Таблиця 1'!$K:$K,'Таблиця 1'!$B:$B,$A43,'Таблиця 1'!$I:$I,"Су-27",'Таблиця 1'!$J:$J,"BLU-140"))</f>
        <v/>
      </c>
      <c r="L43">
        <f>IF($A43="","",SUMIFS('Таблиця 1'!$K:$K,'Таблиця 1'!$B:$B,$A43,'Таблиця 1'!$I:$I,"Mirage",'Таблиця 1'!$J:$J,"GBU-65")+SUMIFS('Таблиця 1'!$K:$K,'Таблиця 1'!$B:$B,$A43,'Таблиця 1'!$I:$I,"F-16",'Таблиця 1'!$J:$J,"GBU-65")+SUMIFS('Таблиця 1'!$K:$K,'Таблиця 1'!$B:$B,$A43,'Таблиця 1'!$I:$I,"МіГ-29",'Таблиця 1'!$J:$J,"GBU-65")+SUMIFS('Таблиця 1'!$K:$K,'Таблиця 1'!$B:$B,$A43,'Таблиця 1'!$I:$I,"Су-25",'Таблиця 1'!$J:$J,"GBU-65")+SUMIFS('Таблиця 1'!$K:$K,'Таблиця 1'!$B:$B,$A43,'Таблиця 1'!$I:$I,"Су-27",'Таблиця 1'!$J:$J,"GBU-65"))</f>
        <v/>
      </c>
      <c r="M43">
        <f>IF($A43="","",SUMIFS('Таблиця 1'!$K:$K,'Таблиця 1'!$B:$B,$A43,'Таблиця 1'!$I:$I,"Mirage",'Таблиця 1'!$J:$J,"GBU-62")+SUMIFS('Таблиця 1'!$K:$K,'Таблиця 1'!$B:$B,$A43,'Таблиця 1'!$I:$I,"F-16",'Таблиця 1'!$J:$J,"GBU-62")+SUMIFS('Таблиця 1'!$K:$K,'Таблиця 1'!$B:$B,$A43,'Таблиця 1'!$I:$I,"МіГ-29",'Таблиця 1'!$J:$J,"GBU-62")+SUMIFS('Таблиця 1'!$K:$K,'Таблиця 1'!$B:$B,$A43,'Таблиця 1'!$I:$I,"Су-25",'Таблиця 1'!$J:$J,"GBU-62")+SUMIFS('Таблиця 1'!$K:$K,'Таблиця 1'!$B:$B,$A43,'Таблиця 1'!$I:$I,"Су-27",'Таблиця 1'!$J:$J,"GBU-62"))</f>
        <v/>
      </c>
      <c r="N43">
        <f>IF($A43="","",SUMIFS('Таблиця 1'!$K:$K,'Таблиця 1'!$B:$B,$A43,'Таблиця 1'!$I:$I,"Mirage",'Таблиця 1'!$J:$J,"GBU-64")+SUMIFS('Таблиця 1'!$K:$K,'Таблиця 1'!$B:$B,$A43,'Таблиця 1'!$I:$I,"F-16",'Таблиця 1'!$J:$J,"GBU-64")+SUMIFS('Таблиця 1'!$K:$K,'Таблиця 1'!$B:$B,$A43,'Таблиця 1'!$I:$I,"МіГ-29",'Таблиця 1'!$J:$J,"GBU-64")+SUMIFS('Таблиця 1'!$K:$K,'Таблиця 1'!$B:$B,$A43,'Таблиця 1'!$I:$I,"Су-25",'Таблиця 1'!$J:$J,"GBU-64")+SUMIFS('Таблиця 1'!$K:$K,'Таблиця 1'!$B:$B,$A43,'Таблиця 1'!$I:$I,"Су-27",'Таблиця 1'!$J:$J,"GBU-64"))</f>
        <v/>
      </c>
      <c r="O43">
        <f>IF($A43="","",SUMIFS('Таблиця 1'!$K:$K,'Таблиця 1'!$B:$B,$A43,'Таблиця 1'!$I:$I,"Mirage",'Таблиця 1'!$J:$J,"C-13")+SUMIFS('Таблиця 1'!$K:$K,'Таблиця 1'!$B:$B,$A43,'Таблиця 1'!$I:$I,"F-16",'Таблиця 1'!$J:$J,"C-13")+SUMIFS('Таблиця 1'!$K:$K,'Таблиця 1'!$B:$B,$A43,'Таблиця 1'!$I:$I,"МіГ-29",'Таблиця 1'!$J:$J,"C-13")+SUMIFS('Таблиця 1'!$K:$K,'Таблиця 1'!$B:$B,$A43,'Таблиця 1'!$I:$I,"Су-25",'Таблиця 1'!$J:$J,"C-13")+SUMIFS('Таблиця 1'!$K:$K,'Таблиця 1'!$B:$B,$A43,'Таблиця 1'!$I:$I,"Су-27",'Таблиця 1'!$J:$J,"C-13"))</f>
        <v/>
      </c>
      <c r="P43">
        <f>IF($A43="","",SUMIFS('Таблиця 1'!$K:$K,'Таблиця 1'!$B:$B,$A43,'Таблиця 1'!$I:$I,"Mirage",'Таблиця 1'!$J:$J,"MK-32")+SUMIFS('Таблиця 1'!$K:$K,'Таблиця 1'!$B:$B,$A43,'Таблиця 1'!$I:$I,"F-16",'Таблиця 1'!$J:$J,"MK-32")+SUMIFS('Таблиця 1'!$K:$K,'Таблиця 1'!$B:$B,$A43,'Таблиця 1'!$I:$I,"МіГ-29",'Таблиця 1'!$J:$J,"MK-32")+SUMIFS('Таблиця 1'!$K:$K,'Таблиця 1'!$B:$B,$A43,'Таблиця 1'!$I:$I,"Су-25",'Таблиця 1'!$J:$J,"MK-32")+SUMIFS('Таблиця 1'!$K:$K,'Таблиця 1'!$B:$B,$A43,'Таблиця 1'!$I:$I,"Су-27",'Таблиця 1'!$J:$J,"MK-32"))</f>
        <v/>
      </c>
      <c r="Q43">
        <f>IF($A43="","",SUMIFS('Таблиця 1'!$K:$K,'Таблиця 1'!$B:$B,$A43,'Таблиця 1'!$I:$I,"Mirage",'Таблиця 1'!$J:$J,"MK-24")+SUMIFS('Таблиця 1'!$K:$K,'Таблиця 1'!$B:$B,$A43,'Таблиця 1'!$I:$I,"F-16",'Таблиця 1'!$J:$J,"MK-24")+SUMIFS('Таблиця 1'!$K:$K,'Таблиця 1'!$B:$B,$A43,'Таблиця 1'!$I:$I,"МіГ-29",'Таблиця 1'!$J:$J,"MK-24")+SUMIFS('Таблиця 1'!$K:$K,'Таблиця 1'!$B:$B,$A43,'Таблиця 1'!$I:$I,"Су-25",'Таблиця 1'!$J:$J,"MK-24")+SUMIFS('Таблиця 1'!$K:$K,'Таблиця 1'!$B:$B,$A43,'Таблиця 1'!$I:$I,"Су-27",'Таблиця 1'!$J:$J,"MK-24"))</f>
        <v/>
      </c>
      <c r="R43">
        <f>IF($A43="","",COUNTIFS('Таблиця 1'!$B:$B,$A43,'Таблиця 1'!$I:$I,"Mirage",'Таблиця 1'!$L:$L,"Уражено")+COUNTIFS('Таблиця 1'!$B:$B,$A43,'Таблиця 1'!$I:$I,"F-16",'Таблиця 1'!$L:$L,"Уражено")+COUNTIFS('Таблиця 1'!$B:$B,$A43,'Таблиця 1'!$I:$I,"МіГ-29",'Таблиця 1'!$L:$L,"Уражено")+COUNTIFS('Таблиця 1'!$B:$B,$A43,'Таблиця 1'!$I:$I,"Су-25",'Таблиця 1'!$L:$L,"Уражено")+COUNTIFS('Таблиця 1'!$B:$B,$A43,'Таблиця 1'!$I:$I,"Су-27",'Таблиця 1'!$L:$L,"Уражено"))</f>
        <v/>
      </c>
      <c r="S43">
        <f>IF($A43="","",COUNTIFS('Таблиця 1'!$B:$B,$A43,'Таблиця 1'!$I:$I,"Mirage",'Таблиця 1'!$L:$L,"НЕ уражено")+COUNTIFS('Таблиця 1'!$B:$B,$A43,'Таблиця 1'!$I:$I,"F-16",'Таблиця 1'!$L:$L,"НЕ уражено")+COUNTIFS('Таблиця 1'!$B:$B,$A43,'Таблиця 1'!$I:$I,"МіГ-29",'Таблиця 1'!$L:$L,"НЕ уражено")+COUNTIFS('Таблиця 1'!$B:$B,$A43,'Таблиця 1'!$I:$I,"Су-25",'Таблиця 1'!$L:$L,"НЕ уражено")+COUNTIFS('Таблиця 1'!$B:$B,$A43,'Таблиця 1'!$I:$I,"Су-27",'Таблиця 1'!$L:$L,"НЕ уражено"))</f>
        <v/>
      </c>
      <c r="T43">
        <f>IF($A43="","",COUNTIFS('Таблиця 1'!$B:$B,$A43,'Таблиця 1'!$I:$I,"Mirage",'Таблиця 1'!$L:$L,"Дорозвідується")+COUNTIFS('Таблиця 1'!$B:$B,$A43,'Таблиця 1'!$I:$I,"F-16",'Таблиця 1'!$L:$L,"Дорозвідується")+COUNTIFS('Таблиця 1'!$B:$B,$A43,'Таблиця 1'!$I:$I,"МіГ-29",'Таблиця 1'!$L:$L,"Дорозвідується")+COUNTIFS('Таблиця 1'!$B:$B,$A43,'Таблиця 1'!$I:$I,"Су-25",'Таблиця 1'!$L:$L,"Дорозвідується")+COUNTIFS('Таблиця 1'!$B:$B,$A43,'Таблиця 1'!$I:$I,"Су-27",'Таблиця 1'!$L:$L,"Дорозвідується"))</f>
        <v/>
      </c>
    </row>
    <row r="44">
      <c r="A44" s="273">
        <f>IF(A43="","",IF(A43+1&gt;MAX('Таблиця 1'!$B:$B),"",A43+1))</f>
        <v/>
      </c>
      <c r="B44">
        <f>IF($A44="","",COUNTIFS('Таблиця 1'!$B:$B,$A44,'Таблиця 1'!$I:$I,"Mirage")+COUNTIFS('Таблиця 1'!$B:$B,$A44,'Таблиця 1'!$I:$I,"F-16")+COUNTIFS('Таблиця 1'!$B:$B,$A44,'Таблиця 1'!$I:$I,"МіГ-29")+COUNTIFS('Таблиця 1'!$B:$B,$A44,'Таблиця 1'!$I:$I,"Су-25")+COUNTIFS('Таблиця 1'!$B:$B,$A44,'Таблиця 1'!$I:$I,"Су-27"))</f>
        <v/>
      </c>
      <c r="C44">
        <f>IF($A44="","",COUNTIFS('Таблиця 1'!$B:$B,$A44,'Таблиця 1'!$I:$I,"Mirage"))</f>
        <v/>
      </c>
      <c r="D44">
        <f>IF($A44="","",COUNTIFS('Таблиця 1'!$B:$B,$A44,'Таблиця 1'!$I:$I,"F-16"))</f>
        <v/>
      </c>
      <c r="E44">
        <f>IF($A44="","",COUNTIFS('Таблиця 1'!$B:$B,$A44,'Таблиця 1'!$I:$I,"МіГ-29"))</f>
        <v/>
      </c>
      <c r="F44">
        <f>IF($A44="","",COUNTIFS('Таблиця 1'!$B:$B,$A44,'Таблиця 1'!$I:$I,"Су-25"))</f>
        <v/>
      </c>
      <c r="G44">
        <f>IF($A44="","",COUNTIFS('Таблиця 1'!$B:$B,$A44,'Таблиця 1'!$I:$I,"Су-27"))</f>
        <v/>
      </c>
      <c r="H44">
        <f>IF($A44="","",SUMIFS('Таблиця 1'!$K:$K,'Таблиця 1'!$B:$B,$A44,'Таблиця 1'!$I:$I,"Mirage",'Таблиця 1'!$J:$J,"AGM-88")+SUMIFS('Таблиця 1'!$K:$K,'Таблиця 1'!$B:$B,$A44,'Таблиця 1'!$I:$I,"F-16",'Таблиця 1'!$J:$J,"AGM-88")+SUMIFS('Таблиця 1'!$K:$K,'Таблиця 1'!$B:$B,$A44,'Таблиця 1'!$I:$I,"МіГ-29",'Таблиця 1'!$J:$J,"AGM-88")+SUMIFS('Таблиця 1'!$K:$K,'Таблиця 1'!$B:$B,$A44,'Таблиця 1'!$I:$I,"Су-25",'Таблиця 1'!$J:$J,"AGM-88")+SUMIFS('Таблиця 1'!$K:$K,'Таблиця 1'!$B:$B,$A44,'Таблиця 1'!$I:$I,"Су-27",'Таблиця 1'!$J:$J,"AGM-88"))</f>
        <v/>
      </c>
      <c r="I44">
        <f>IF($A44="","",SUMIFS('Таблиця 1'!$K:$K,'Таблиця 1'!$B:$B,$A44,'Таблиця 1'!$I:$I,"Mirage",'Таблиця 1'!$J:$J,"AASM-250")+SUMIFS('Таблиця 1'!$K:$K,'Таблиця 1'!$B:$B,$A44,'Таблиця 1'!$I:$I,"F-16",'Таблиця 1'!$J:$J,"AASM-250")+SUMIFS('Таблиця 1'!$K:$K,'Таблиця 1'!$B:$B,$A44,'Таблиця 1'!$I:$I,"МіГ-29",'Таблиця 1'!$J:$J,"AASM-250")+SUMIFS('Таблиця 1'!$K:$K,'Таблиця 1'!$B:$B,$A44,'Таблиця 1'!$I:$I,"Су-25",'Таблиця 1'!$J:$J,"AASM-250")+SUMIFS('Таблиця 1'!$K:$K,'Таблиця 1'!$B:$B,$A44,'Таблиця 1'!$I:$I,"Су-27",'Таблиця 1'!$J:$J,"AASM-250"))</f>
        <v/>
      </c>
      <c r="J44">
        <f>IF($A44="","",SUMIFS('Таблиця 1'!$K:$K,'Таблиця 1'!$B:$B,$A44,'Таблиця 1'!$I:$I,"Mirage",'Таблиця 1'!$J:$J,"GBU-39")+SUMIFS('Таблиця 1'!$K:$K,'Таблиця 1'!$B:$B,$A44,'Таблиця 1'!$I:$I,"F-16",'Таблиця 1'!$J:$J,"GBU-39")+SUMIFS('Таблиця 1'!$K:$K,'Таблиця 1'!$B:$B,$A44,'Таблиця 1'!$I:$I,"МіГ-29",'Таблиця 1'!$J:$J,"GBU-39")+SUMIFS('Таблиця 1'!$K:$K,'Таблиця 1'!$B:$B,$A44,'Таблиця 1'!$I:$I,"Су-25",'Таблиця 1'!$J:$J,"GBU-39")+SUMIFS('Таблиця 1'!$K:$K,'Таблиця 1'!$B:$B,$A44,'Таблиця 1'!$I:$I,"Су-27",'Таблиця 1'!$J:$J,"GBU-39"))</f>
        <v/>
      </c>
      <c r="K44">
        <f>IF($A44="","",SUMIFS('Таблиця 1'!$K:$K,'Таблиця 1'!$B:$B,$A44,'Таблиця 1'!$I:$I,"Mirage",'Таблиця 1'!$J:$J,"BLU-140")+SUMIFS('Таблиця 1'!$K:$K,'Таблиця 1'!$B:$B,$A44,'Таблиця 1'!$I:$I,"F-16",'Таблиця 1'!$J:$J,"BLU-140")+SUMIFS('Таблиця 1'!$K:$K,'Таблиця 1'!$B:$B,$A44,'Таблиця 1'!$I:$I,"МіГ-29",'Таблиця 1'!$J:$J,"BLU-140")+SUMIFS('Таблиця 1'!$K:$K,'Таблиця 1'!$B:$B,$A44,'Таблиця 1'!$I:$I,"Су-25",'Таблиця 1'!$J:$J,"BLU-140")+SUMIFS('Таблиця 1'!$K:$K,'Таблиця 1'!$B:$B,$A44,'Таблиця 1'!$I:$I,"Су-27",'Таблиця 1'!$J:$J,"BLU-140"))</f>
        <v/>
      </c>
      <c r="L44">
        <f>IF($A44="","",SUMIFS('Таблиця 1'!$K:$K,'Таблиця 1'!$B:$B,$A44,'Таблиця 1'!$I:$I,"Mirage",'Таблиця 1'!$J:$J,"GBU-65")+SUMIFS('Таблиця 1'!$K:$K,'Таблиця 1'!$B:$B,$A44,'Таблиця 1'!$I:$I,"F-16",'Таблиця 1'!$J:$J,"GBU-65")+SUMIFS('Таблиця 1'!$K:$K,'Таблиця 1'!$B:$B,$A44,'Таблиця 1'!$I:$I,"МіГ-29",'Таблиця 1'!$J:$J,"GBU-65")+SUMIFS('Таблиця 1'!$K:$K,'Таблиця 1'!$B:$B,$A44,'Таблиця 1'!$I:$I,"Су-25",'Таблиця 1'!$J:$J,"GBU-65")+SUMIFS('Таблиця 1'!$K:$K,'Таблиця 1'!$B:$B,$A44,'Таблиця 1'!$I:$I,"Су-27",'Таблиця 1'!$J:$J,"GBU-65"))</f>
        <v/>
      </c>
      <c r="M44">
        <f>IF($A44="","",SUMIFS('Таблиця 1'!$K:$K,'Таблиця 1'!$B:$B,$A44,'Таблиця 1'!$I:$I,"Mirage",'Таблиця 1'!$J:$J,"GBU-62")+SUMIFS('Таблиця 1'!$K:$K,'Таблиця 1'!$B:$B,$A44,'Таблиця 1'!$I:$I,"F-16",'Таблиця 1'!$J:$J,"GBU-62")+SUMIFS('Таблиця 1'!$K:$K,'Таблиця 1'!$B:$B,$A44,'Таблиця 1'!$I:$I,"МіГ-29",'Таблиця 1'!$J:$J,"GBU-62")+SUMIFS('Таблиця 1'!$K:$K,'Таблиця 1'!$B:$B,$A44,'Таблиця 1'!$I:$I,"Су-25",'Таблиця 1'!$J:$J,"GBU-62")+SUMIFS('Таблиця 1'!$K:$K,'Таблиця 1'!$B:$B,$A44,'Таблиця 1'!$I:$I,"Су-27",'Таблиця 1'!$J:$J,"GBU-62"))</f>
        <v/>
      </c>
      <c r="N44">
        <f>IF($A44="","",SUMIFS('Таблиця 1'!$K:$K,'Таблиця 1'!$B:$B,$A44,'Таблиця 1'!$I:$I,"Mirage",'Таблиця 1'!$J:$J,"GBU-64")+SUMIFS('Таблиця 1'!$K:$K,'Таблиця 1'!$B:$B,$A44,'Таблиця 1'!$I:$I,"F-16",'Таблиця 1'!$J:$J,"GBU-64")+SUMIFS('Таблиця 1'!$K:$K,'Таблиця 1'!$B:$B,$A44,'Таблиця 1'!$I:$I,"МіГ-29",'Таблиця 1'!$J:$J,"GBU-64")+SUMIFS('Таблиця 1'!$K:$K,'Таблиця 1'!$B:$B,$A44,'Таблиця 1'!$I:$I,"Су-25",'Таблиця 1'!$J:$J,"GBU-64")+SUMIFS('Таблиця 1'!$K:$K,'Таблиця 1'!$B:$B,$A44,'Таблиця 1'!$I:$I,"Су-27",'Таблиця 1'!$J:$J,"GBU-64"))</f>
        <v/>
      </c>
      <c r="O44">
        <f>IF($A44="","",SUMIFS('Таблиця 1'!$K:$K,'Таблиця 1'!$B:$B,$A44,'Таблиця 1'!$I:$I,"Mirage",'Таблиця 1'!$J:$J,"C-13")+SUMIFS('Таблиця 1'!$K:$K,'Таблиця 1'!$B:$B,$A44,'Таблиця 1'!$I:$I,"F-16",'Таблиця 1'!$J:$J,"C-13")+SUMIFS('Таблиця 1'!$K:$K,'Таблиця 1'!$B:$B,$A44,'Таблиця 1'!$I:$I,"МіГ-29",'Таблиця 1'!$J:$J,"C-13")+SUMIFS('Таблиця 1'!$K:$K,'Таблиця 1'!$B:$B,$A44,'Таблиця 1'!$I:$I,"Су-25",'Таблиця 1'!$J:$J,"C-13")+SUMIFS('Таблиця 1'!$K:$K,'Таблиця 1'!$B:$B,$A44,'Таблиця 1'!$I:$I,"Су-27",'Таблиця 1'!$J:$J,"C-13"))</f>
        <v/>
      </c>
      <c r="P44">
        <f>IF($A44="","",SUMIFS('Таблиця 1'!$K:$K,'Таблиця 1'!$B:$B,$A44,'Таблиця 1'!$I:$I,"Mirage",'Таблиця 1'!$J:$J,"MK-32")+SUMIFS('Таблиця 1'!$K:$K,'Таблиця 1'!$B:$B,$A44,'Таблиця 1'!$I:$I,"F-16",'Таблиця 1'!$J:$J,"MK-32")+SUMIFS('Таблиця 1'!$K:$K,'Таблиця 1'!$B:$B,$A44,'Таблиця 1'!$I:$I,"МіГ-29",'Таблиця 1'!$J:$J,"MK-32")+SUMIFS('Таблиця 1'!$K:$K,'Таблиця 1'!$B:$B,$A44,'Таблиця 1'!$I:$I,"Су-25",'Таблиця 1'!$J:$J,"MK-32")+SUMIFS('Таблиця 1'!$K:$K,'Таблиця 1'!$B:$B,$A44,'Таблиця 1'!$I:$I,"Су-27",'Таблиця 1'!$J:$J,"MK-32"))</f>
        <v/>
      </c>
      <c r="Q44">
        <f>IF($A44="","",SUMIFS('Таблиця 1'!$K:$K,'Таблиця 1'!$B:$B,$A44,'Таблиця 1'!$I:$I,"Mirage",'Таблиця 1'!$J:$J,"MK-24")+SUMIFS('Таблиця 1'!$K:$K,'Таблиця 1'!$B:$B,$A44,'Таблиця 1'!$I:$I,"F-16",'Таблиця 1'!$J:$J,"MK-24")+SUMIFS('Таблиця 1'!$K:$K,'Таблиця 1'!$B:$B,$A44,'Таблиця 1'!$I:$I,"МіГ-29",'Таблиця 1'!$J:$J,"MK-24")+SUMIFS('Таблиця 1'!$K:$K,'Таблиця 1'!$B:$B,$A44,'Таблиця 1'!$I:$I,"Су-25",'Таблиця 1'!$J:$J,"MK-24")+SUMIFS('Таблиця 1'!$K:$K,'Таблиця 1'!$B:$B,$A44,'Таблиця 1'!$I:$I,"Су-27",'Таблиця 1'!$J:$J,"MK-24"))</f>
        <v/>
      </c>
      <c r="R44">
        <f>IF($A44="","",COUNTIFS('Таблиця 1'!$B:$B,$A44,'Таблиця 1'!$I:$I,"Mirage",'Таблиця 1'!$L:$L,"Уражено")+COUNTIFS('Таблиця 1'!$B:$B,$A44,'Таблиця 1'!$I:$I,"F-16",'Таблиця 1'!$L:$L,"Уражено")+COUNTIFS('Таблиця 1'!$B:$B,$A44,'Таблиця 1'!$I:$I,"МіГ-29",'Таблиця 1'!$L:$L,"Уражено")+COUNTIFS('Таблиця 1'!$B:$B,$A44,'Таблиця 1'!$I:$I,"Су-25",'Таблиця 1'!$L:$L,"Уражено")+COUNTIFS('Таблиця 1'!$B:$B,$A44,'Таблиця 1'!$I:$I,"Су-27",'Таблиця 1'!$L:$L,"Уражено"))</f>
        <v/>
      </c>
      <c r="S44">
        <f>IF($A44="","",COUNTIFS('Таблиця 1'!$B:$B,$A44,'Таблиця 1'!$I:$I,"Mirage",'Таблиця 1'!$L:$L,"НЕ уражено")+COUNTIFS('Таблиця 1'!$B:$B,$A44,'Таблиця 1'!$I:$I,"F-16",'Таблиця 1'!$L:$L,"НЕ уражено")+COUNTIFS('Таблиця 1'!$B:$B,$A44,'Таблиця 1'!$I:$I,"МіГ-29",'Таблиця 1'!$L:$L,"НЕ уражено")+COUNTIFS('Таблиця 1'!$B:$B,$A44,'Таблиця 1'!$I:$I,"Су-25",'Таблиця 1'!$L:$L,"НЕ уражено")+COUNTIFS('Таблиця 1'!$B:$B,$A44,'Таблиця 1'!$I:$I,"Су-27",'Таблиця 1'!$L:$L,"НЕ уражено"))</f>
        <v/>
      </c>
      <c r="T44">
        <f>IF($A44="","",COUNTIFS('Таблиця 1'!$B:$B,$A44,'Таблиця 1'!$I:$I,"Mirage",'Таблиця 1'!$L:$L,"Дорозвідується")+COUNTIFS('Таблиця 1'!$B:$B,$A44,'Таблиця 1'!$I:$I,"F-16",'Таблиця 1'!$L:$L,"Дорозвідується")+COUNTIFS('Таблиця 1'!$B:$B,$A44,'Таблиця 1'!$I:$I,"МіГ-29",'Таблиця 1'!$L:$L,"Дорозвідується")+COUNTIFS('Таблиця 1'!$B:$B,$A44,'Таблиця 1'!$I:$I,"Су-25",'Таблиця 1'!$L:$L,"Дорозвідується")+COUNTIFS('Таблиця 1'!$B:$B,$A44,'Таблиця 1'!$I:$I,"Су-27",'Таблиця 1'!$L:$L,"Дорозвідується"))</f>
        <v/>
      </c>
    </row>
    <row r="45">
      <c r="A45" s="273">
        <f>IF(A44="","",IF(A44+1&gt;MAX('Таблиця 1'!$B:$B),"",A44+1))</f>
        <v/>
      </c>
      <c r="B45">
        <f>IF($A45="","",COUNTIFS('Таблиця 1'!$B:$B,$A45,'Таблиця 1'!$I:$I,"Mirage")+COUNTIFS('Таблиця 1'!$B:$B,$A45,'Таблиця 1'!$I:$I,"F-16")+COUNTIFS('Таблиця 1'!$B:$B,$A45,'Таблиця 1'!$I:$I,"МіГ-29")+COUNTIFS('Таблиця 1'!$B:$B,$A45,'Таблиця 1'!$I:$I,"Су-25")+COUNTIFS('Таблиця 1'!$B:$B,$A45,'Таблиця 1'!$I:$I,"Су-27"))</f>
        <v/>
      </c>
      <c r="C45">
        <f>IF($A45="","",COUNTIFS('Таблиця 1'!$B:$B,$A45,'Таблиця 1'!$I:$I,"Mirage"))</f>
        <v/>
      </c>
      <c r="D45">
        <f>IF($A45="","",COUNTIFS('Таблиця 1'!$B:$B,$A45,'Таблиця 1'!$I:$I,"F-16"))</f>
        <v/>
      </c>
      <c r="E45">
        <f>IF($A45="","",COUNTIFS('Таблиця 1'!$B:$B,$A45,'Таблиця 1'!$I:$I,"МіГ-29"))</f>
        <v/>
      </c>
      <c r="F45">
        <f>IF($A45="","",COUNTIFS('Таблиця 1'!$B:$B,$A45,'Таблиця 1'!$I:$I,"Су-25"))</f>
        <v/>
      </c>
      <c r="G45">
        <f>IF($A45="","",COUNTIFS('Таблиця 1'!$B:$B,$A45,'Таблиця 1'!$I:$I,"Су-27"))</f>
        <v/>
      </c>
      <c r="H45">
        <f>IF($A45="","",SUMIFS('Таблиця 1'!$K:$K,'Таблиця 1'!$B:$B,$A45,'Таблиця 1'!$I:$I,"Mirage",'Таблиця 1'!$J:$J,"AGM-88")+SUMIFS('Таблиця 1'!$K:$K,'Таблиця 1'!$B:$B,$A45,'Таблиця 1'!$I:$I,"F-16",'Таблиця 1'!$J:$J,"AGM-88")+SUMIFS('Таблиця 1'!$K:$K,'Таблиця 1'!$B:$B,$A45,'Таблиця 1'!$I:$I,"МіГ-29",'Таблиця 1'!$J:$J,"AGM-88")+SUMIFS('Таблиця 1'!$K:$K,'Таблиця 1'!$B:$B,$A45,'Таблиця 1'!$I:$I,"Су-25",'Таблиця 1'!$J:$J,"AGM-88")+SUMIFS('Таблиця 1'!$K:$K,'Таблиця 1'!$B:$B,$A45,'Таблиця 1'!$I:$I,"Су-27",'Таблиця 1'!$J:$J,"AGM-88"))</f>
        <v/>
      </c>
      <c r="I45">
        <f>IF($A45="","",SUMIFS('Таблиця 1'!$K:$K,'Таблиця 1'!$B:$B,$A45,'Таблиця 1'!$I:$I,"Mirage",'Таблиця 1'!$J:$J,"AASM-250")+SUMIFS('Таблиця 1'!$K:$K,'Таблиця 1'!$B:$B,$A45,'Таблиця 1'!$I:$I,"F-16",'Таблиця 1'!$J:$J,"AASM-250")+SUMIFS('Таблиця 1'!$K:$K,'Таблиця 1'!$B:$B,$A45,'Таблиця 1'!$I:$I,"МіГ-29",'Таблиця 1'!$J:$J,"AASM-250")+SUMIFS('Таблиця 1'!$K:$K,'Таблиця 1'!$B:$B,$A45,'Таблиця 1'!$I:$I,"Су-25",'Таблиця 1'!$J:$J,"AASM-250")+SUMIFS('Таблиця 1'!$K:$K,'Таблиця 1'!$B:$B,$A45,'Таблиця 1'!$I:$I,"Су-27",'Таблиця 1'!$J:$J,"AASM-250"))</f>
        <v/>
      </c>
      <c r="J45">
        <f>IF($A45="","",SUMIFS('Таблиця 1'!$K:$K,'Таблиця 1'!$B:$B,$A45,'Таблиця 1'!$I:$I,"Mirage",'Таблиця 1'!$J:$J,"GBU-39")+SUMIFS('Таблиця 1'!$K:$K,'Таблиця 1'!$B:$B,$A45,'Таблиця 1'!$I:$I,"F-16",'Таблиця 1'!$J:$J,"GBU-39")+SUMIFS('Таблиця 1'!$K:$K,'Таблиця 1'!$B:$B,$A45,'Таблиця 1'!$I:$I,"МіГ-29",'Таблиця 1'!$J:$J,"GBU-39")+SUMIFS('Таблиця 1'!$K:$K,'Таблиця 1'!$B:$B,$A45,'Таблиця 1'!$I:$I,"Су-25",'Таблиця 1'!$J:$J,"GBU-39")+SUMIFS('Таблиця 1'!$K:$K,'Таблиця 1'!$B:$B,$A45,'Таблиця 1'!$I:$I,"Су-27",'Таблиця 1'!$J:$J,"GBU-39"))</f>
        <v/>
      </c>
      <c r="K45">
        <f>IF($A45="","",SUMIFS('Таблиця 1'!$K:$K,'Таблиця 1'!$B:$B,$A45,'Таблиця 1'!$I:$I,"Mirage",'Таблиця 1'!$J:$J,"BLU-140")+SUMIFS('Таблиця 1'!$K:$K,'Таблиця 1'!$B:$B,$A45,'Таблиця 1'!$I:$I,"F-16",'Таблиця 1'!$J:$J,"BLU-140")+SUMIFS('Таблиця 1'!$K:$K,'Таблиця 1'!$B:$B,$A45,'Таблиця 1'!$I:$I,"МіГ-29",'Таблиця 1'!$J:$J,"BLU-140")+SUMIFS('Таблиця 1'!$K:$K,'Таблиця 1'!$B:$B,$A45,'Таблиця 1'!$I:$I,"Су-25",'Таблиця 1'!$J:$J,"BLU-140")+SUMIFS('Таблиця 1'!$K:$K,'Таблиця 1'!$B:$B,$A45,'Таблиця 1'!$I:$I,"Су-27",'Таблиця 1'!$J:$J,"BLU-140"))</f>
        <v/>
      </c>
      <c r="L45">
        <f>IF($A45="","",SUMIFS('Таблиця 1'!$K:$K,'Таблиця 1'!$B:$B,$A45,'Таблиця 1'!$I:$I,"Mirage",'Таблиця 1'!$J:$J,"GBU-65")+SUMIFS('Таблиця 1'!$K:$K,'Таблиця 1'!$B:$B,$A45,'Таблиця 1'!$I:$I,"F-16",'Таблиця 1'!$J:$J,"GBU-65")+SUMIFS('Таблиця 1'!$K:$K,'Таблиця 1'!$B:$B,$A45,'Таблиця 1'!$I:$I,"МіГ-29",'Таблиця 1'!$J:$J,"GBU-65")+SUMIFS('Таблиця 1'!$K:$K,'Таблиця 1'!$B:$B,$A45,'Таблиця 1'!$I:$I,"Су-25",'Таблиця 1'!$J:$J,"GBU-65")+SUMIFS('Таблиця 1'!$K:$K,'Таблиця 1'!$B:$B,$A45,'Таблиця 1'!$I:$I,"Су-27",'Таблиця 1'!$J:$J,"GBU-65"))</f>
        <v/>
      </c>
      <c r="M45">
        <f>IF($A45="","",SUMIFS('Таблиця 1'!$K:$K,'Таблиця 1'!$B:$B,$A45,'Таблиця 1'!$I:$I,"Mirage",'Таблиця 1'!$J:$J,"GBU-62")+SUMIFS('Таблиця 1'!$K:$K,'Таблиця 1'!$B:$B,$A45,'Таблиця 1'!$I:$I,"F-16",'Таблиця 1'!$J:$J,"GBU-62")+SUMIFS('Таблиця 1'!$K:$K,'Таблиця 1'!$B:$B,$A45,'Таблиця 1'!$I:$I,"МіГ-29",'Таблиця 1'!$J:$J,"GBU-62")+SUMIFS('Таблиця 1'!$K:$K,'Таблиця 1'!$B:$B,$A45,'Таблиця 1'!$I:$I,"Су-25",'Таблиця 1'!$J:$J,"GBU-62")+SUMIFS('Таблиця 1'!$K:$K,'Таблиця 1'!$B:$B,$A45,'Таблиця 1'!$I:$I,"Су-27",'Таблиця 1'!$J:$J,"GBU-62"))</f>
        <v/>
      </c>
      <c r="N45">
        <f>IF($A45="","",SUMIFS('Таблиця 1'!$K:$K,'Таблиця 1'!$B:$B,$A45,'Таблиця 1'!$I:$I,"Mirage",'Таблиця 1'!$J:$J,"GBU-64")+SUMIFS('Таблиця 1'!$K:$K,'Таблиця 1'!$B:$B,$A45,'Таблиця 1'!$I:$I,"F-16",'Таблиця 1'!$J:$J,"GBU-64")+SUMIFS('Таблиця 1'!$K:$K,'Таблиця 1'!$B:$B,$A45,'Таблиця 1'!$I:$I,"МіГ-29",'Таблиця 1'!$J:$J,"GBU-64")+SUMIFS('Таблиця 1'!$K:$K,'Таблиця 1'!$B:$B,$A45,'Таблиця 1'!$I:$I,"Су-25",'Таблиця 1'!$J:$J,"GBU-64")+SUMIFS('Таблиця 1'!$K:$K,'Таблиця 1'!$B:$B,$A45,'Таблиця 1'!$I:$I,"Су-27",'Таблиця 1'!$J:$J,"GBU-64"))</f>
        <v/>
      </c>
      <c r="O45">
        <f>IF($A45="","",SUMIFS('Таблиця 1'!$K:$K,'Таблиця 1'!$B:$B,$A45,'Таблиця 1'!$I:$I,"Mirage",'Таблиця 1'!$J:$J,"C-13")+SUMIFS('Таблиця 1'!$K:$K,'Таблиця 1'!$B:$B,$A45,'Таблиця 1'!$I:$I,"F-16",'Таблиця 1'!$J:$J,"C-13")+SUMIFS('Таблиця 1'!$K:$K,'Таблиця 1'!$B:$B,$A45,'Таблиця 1'!$I:$I,"МіГ-29",'Таблиця 1'!$J:$J,"C-13")+SUMIFS('Таблиця 1'!$K:$K,'Таблиця 1'!$B:$B,$A45,'Таблиця 1'!$I:$I,"Су-25",'Таблиця 1'!$J:$J,"C-13")+SUMIFS('Таблиця 1'!$K:$K,'Таблиця 1'!$B:$B,$A45,'Таблиця 1'!$I:$I,"Су-27",'Таблиця 1'!$J:$J,"C-13"))</f>
        <v/>
      </c>
      <c r="P45">
        <f>IF($A45="","",SUMIFS('Таблиця 1'!$K:$K,'Таблиця 1'!$B:$B,$A45,'Таблиця 1'!$I:$I,"Mirage",'Таблиця 1'!$J:$J,"MK-32")+SUMIFS('Таблиця 1'!$K:$K,'Таблиця 1'!$B:$B,$A45,'Таблиця 1'!$I:$I,"F-16",'Таблиця 1'!$J:$J,"MK-32")+SUMIFS('Таблиця 1'!$K:$K,'Таблиця 1'!$B:$B,$A45,'Таблиця 1'!$I:$I,"МіГ-29",'Таблиця 1'!$J:$J,"MK-32")+SUMIFS('Таблиця 1'!$K:$K,'Таблиця 1'!$B:$B,$A45,'Таблиця 1'!$I:$I,"Су-25",'Таблиця 1'!$J:$J,"MK-32")+SUMIFS('Таблиця 1'!$K:$K,'Таблиця 1'!$B:$B,$A45,'Таблиця 1'!$I:$I,"Су-27",'Таблиця 1'!$J:$J,"MK-32"))</f>
        <v/>
      </c>
      <c r="Q45">
        <f>IF($A45="","",SUMIFS('Таблиця 1'!$K:$K,'Таблиця 1'!$B:$B,$A45,'Таблиця 1'!$I:$I,"Mirage",'Таблиця 1'!$J:$J,"MK-24")+SUMIFS('Таблиця 1'!$K:$K,'Таблиця 1'!$B:$B,$A45,'Таблиця 1'!$I:$I,"F-16",'Таблиця 1'!$J:$J,"MK-24")+SUMIFS('Таблиця 1'!$K:$K,'Таблиця 1'!$B:$B,$A45,'Таблиця 1'!$I:$I,"МіГ-29",'Таблиця 1'!$J:$J,"MK-24")+SUMIFS('Таблиця 1'!$K:$K,'Таблиця 1'!$B:$B,$A45,'Таблиця 1'!$I:$I,"Су-25",'Таблиця 1'!$J:$J,"MK-24")+SUMIFS('Таблиця 1'!$K:$K,'Таблиця 1'!$B:$B,$A45,'Таблиця 1'!$I:$I,"Су-27",'Таблиця 1'!$J:$J,"MK-24"))</f>
        <v/>
      </c>
      <c r="R45">
        <f>IF($A45="","",COUNTIFS('Таблиця 1'!$B:$B,$A45,'Таблиця 1'!$I:$I,"Mirage",'Таблиця 1'!$L:$L,"Уражено")+COUNTIFS('Таблиця 1'!$B:$B,$A45,'Таблиця 1'!$I:$I,"F-16",'Таблиця 1'!$L:$L,"Уражено")+COUNTIFS('Таблиця 1'!$B:$B,$A45,'Таблиця 1'!$I:$I,"МіГ-29",'Таблиця 1'!$L:$L,"Уражено")+COUNTIFS('Таблиця 1'!$B:$B,$A45,'Таблиця 1'!$I:$I,"Су-25",'Таблиця 1'!$L:$L,"Уражено")+COUNTIFS('Таблиця 1'!$B:$B,$A45,'Таблиця 1'!$I:$I,"Су-27",'Таблиця 1'!$L:$L,"Уражено"))</f>
        <v/>
      </c>
      <c r="S45">
        <f>IF($A45="","",COUNTIFS('Таблиця 1'!$B:$B,$A45,'Таблиця 1'!$I:$I,"Mirage",'Таблиця 1'!$L:$L,"НЕ уражено")+COUNTIFS('Таблиця 1'!$B:$B,$A45,'Таблиця 1'!$I:$I,"F-16",'Таблиця 1'!$L:$L,"НЕ уражено")+COUNTIFS('Таблиця 1'!$B:$B,$A45,'Таблиця 1'!$I:$I,"МіГ-29",'Таблиця 1'!$L:$L,"НЕ уражено")+COUNTIFS('Таблиця 1'!$B:$B,$A45,'Таблиця 1'!$I:$I,"Су-25",'Таблиця 1'!$L:$L,"НЕ уражено")+COUNTIFS('Таблиця 1'!$B:$B,$A45,'Таблиця 1'!$I:$I,"Су-27",'Таблиця 1'!$L:$L,"НЕ уражено"))</f>
        <v/>
      </c>
      <c r="T45">
        <f>IF($A45="","",COUNTIFS('Таблиця 1'!$B:$B,$A45,'Таблиця 1'!$I:$I,"Mirage",'Таблиця 1'!$L:$L,"Дорозвідується")+COUNTIFS('Таблиця 1'!$B:$B,$A45,'Таблиця 1'!$I:$I,"F-16",'Таблиця 1'!$L:$L,"Дорозвідується")+COUNTIFS('Таблиця 1'!$B:$B,$A45,'Таблиця 1'!$I:$I,"МіГ-29",'Таблиця 1'!$L:$L,"Дорозвідується")+COUNTIFS('Таблиця 1'!$B:$B,$A45,'Таблиця 1'!$I:$I,"Су-25",'Таблиця 1'!$L:$L,"Дорозвідується")+COUNTIFS('Таблиця 1'!$B:$B,$A45,'Таблиця 1'!$I:$I,"Су-27",'Таблиця 1'!$L:$L,"Дорозвідується"))</f>
        <v/>
      </c>
    </row>
    <row r="46">
      <c r="A46" s="273">
        <f>IF(A45="","",IF(A45+1&gt;MAX('Таблиця 1'!$B:$B),"",A45+1))</f>
        <v/>
      </c>
      <c r="B46">
        <f>IF($A46="","",COUNTIFS('Таблиця 1'!$B:$B,$A46,'Таблиця 1'!$I:$I,"Mirage")+COUNTIFS('Таблиця 1'!$B:$B,$A46,'Таблиця 1'!$I:$I,"F-16")+COUNTIFS('Таблиця 1'!$B:$B,$A46,'Таблиця 1'!$I:$I,"МіГ-29")+COUNTIFS('Таблиця 1'!$B:$B,$A46,'Таблиця 1'!$I:$I,"Су-25")+COUNTIFS('Таблиця 1'!$B:$B,$A46,'Таблиця 1'!$I:$I,"Су-27"))</f>
        <v/>
      </c>
      <c r="C46">
        <f>IF($A46="","",COUNTIFS('Таблиця 1'!$B:$B,$A46,'Таблиця 1'!$I:$I,"Mirage"))</f>
        <v/>
      </c>
      <c r="D46">
        <f>IF($A46="","",COUNTIFS('Таблиця 1'!$B:$B,$A46,'Таблиця 1'!$I:$I,"F-16"))</f>
        <v/>
      </c>
      <c r="E46">
        <f>IF($A46="","",COUNTIFS('Таблиця 1'!$B:$B,$A46,'Таблиця 1'!$I:$I,"МіГ-29"))</f>
        <v/>
      </c>
      <c r="F46">
        <f>IF($A46="","",COUNTIFS('Таблиця 1'!$B:$B,$A46,'Таблиця 1'!$I:$I,"Су-25"))</f>
        <v/>
      </c>
      <c r="G46">
        <f>IF($A46="","",COUNTIFS('Таблиця 1'!$B:$B,$A46,'Таблиця 1'!$I:$I,"Су-27"))</f>
        <v/>
      </c>
      <c r="H46">
        <f>IF($A46="","",SUMIFS('Таблиця 1'!$K:$K,'Таблиця 1'!$B:$B,$A46,'Таблиця 1'!$I:$I,"Mirage",'Таблиця 1'!$J:$J,"AGM-88")+SUMIFS('Таблиця 1'!$K:$K,'Таблиця 1'!$B:$B,$A46,'Таблиця 1'!$I:$I,"F-16",'Таблиця 1'!$J:$J,"AGM-88")+SUMIFS('Таблиця 1'!$K:$K,'Таблиця 1'!$B:$B,$A46,'Таблиця 1'!$I:$I,"МіГ-29",'Таблиця 1'!$J:$J,"AGM-88")+SUMIFS('Таблиця 1'!$K:$K,'Таблиця 1'!$B:$B,$A46,'Таблиця 1'!$I:$I,"Су-25",'Таблиця 1'!$J:$J,"AGM-88")+SUMIFS('Таблиця 1'!$K:$K,'Таблиця 1'!$B:$B,$A46,'Таблиця 1'!$I:$I,"Су-27",'Таблиця 1'!$J:$J,"AGM-88"))</f>
        <v/>
      </c>
      <c r="I46">
        <f>IF($A46="","",SUMIFS('Таблиця 1'!$K:$K,'Таблиця 1'!$B:$B,$A46,'Таблиця 1'!$I:$I,"Mirage",'Таблиця 1'!$J:$J,"AASM-250")+SUMIFS('Таблиця 1'!$K:$K,'Таблиця 1'!$B:$B,$A46,'Таблиця 1'!$I:$I,"F-16",'Таблиця 1'!$J:$J,"AASM-250")+SUMIFS('Таблиця 1'!$K:$K,'Таблиця 1'!$B:$B,$A46,'Таблиця 1'!$I:$I,"МіГ-29",'Таблиця 1'!$J:$J,"AASM-250")+SUMIFS('Таблиця 1'!$K:$K,'Таблиця 1'!$B:$B,$A46,'Таблиця 1'!$I:$I,"Су-25",'Таблиця 1'!$J:$J,"AASM-250")+SUMIFS('Таблиця 1'!$K:$K,'Таблиця 1'!$B:$B,$A46,'Таблиця 1'!$I:$I,"Су-27",'Таблиця 1'!$J:$J,"AASM-250"))</f>
        <v/>
      </c>
      <c r="J46">
        <f>IF($A46="","",SUMIFS('Таблиця 1'!$K:$K,'Таблиця 1'!$B:$B,$A46,'Таблиця 1'!$I:$I,"Mirage",'Таблиця 1'!$J:$J,"GBU-39")+SUMIFS('Таблиця 1'!$K:$K,'Таблиця 1'!$B:$B,$A46,'Таблиця 1'!$I:$I,"F-16",'Таблиця 1'!$J:$J,"GBU-39")+SUMIFS('Таблиця 1'!$K:$K,'Таблиця 1'!$B:$B,$A46,'Таблиця 1'!$I:$I,"МіГ-29",'Таблиця 1'!$J:$J,"GBU-39")+SUMIFS('Таблиця 1'!$K:$K,'Таблиця 1'!$B:$B,$A46,'Таблиця 1'!$I:$I,"Су-25",'Таблиця 1'!$J:$J,"GBU-39")+SUMIFS('Таблиця 1'!$K:$K,'Таблиця 1'!$B:$B,$A46,'Таблиця 1'!$I:$I,"Су-27",'Таблиця 1'!$J:$J,"GBU-39"))</f>
        <v/>
      </c>
      <c r="K46">
        <f>IF($A46="","",SUMIFS('Таблиця 1'!$K:$K,'Таблиця 1'!$B:$B,$A46,'Таблиця 1'!$I:$I,"Mirage",'Таблиця 1'!$J:$J,"BLU-140")+SUMIFS('Таблиця 1'!$K:$K,'Таблиця 1'!$B:$B,$A46,'Таблиця 1'!$I:$I,"F-16",'Таблиця 1'!$J:$J,"BLU-140")+SUMIFS('Таблиця 1'!$K:$K,'Таблиця 1'!$B:$B,$A46,'Таблиця 1'!$I:$I,"МіГ-29",'Таблиця 1'!$J:$J,"BLU-140")+SUMIFS('Таблиця 1'!$K:$K,'Таблиця 1'!$B:$B,$A46,'Таблиця 1'!$I:$I,"Су-25",'Таблиця 1'!$J:$J,"BLU-140")+SUMIFS('Таблиця 1'!$K:$K,'Таблиця 1'!$B:$B,$A46,'Таблиця 1'!$I:$I,"Су-27",'Таблиця 1'!$J:$J,"BLU-140"))</f>
        <v/>
      </c>
      <c r="L46">
        <f>IF($A46="","",SUMIFS('Таблиця 1'!$K:$K,'Таблиця 1'!$B:$B,$A46,'Таблиця 1'!$I:$I,"Mirage",'Таблиця 1'!$J:$J,"GBU-65")+SUMIFS('Таблиця 1'!$K:$K,'Таблиця 1'!$B:$B,$A46,'Таблиця 1'!$I:$I,"F-16",'Таблиця 1'!$J:$J,"GBU-65")+SUMIFS('Таблиця 1'!$K:$K,'Таблиця 1'!$B:$B,$A46,'Таблиця 1'!$I:$I,"МіГ-29",'Таблиця 1'!$J:$J,"GBU-65")+SUMIFS('Таблиця 1'!$K:$K,'Таблиця 1'!$B:$B,$A46,'Таблиця 1'!$I:$I,"Су-25",'Таблиця 1'!$J:$J,"GBU-65")+SUMIFS('Таблиця 1'!$K:$K,'Таблиця 1'!$B:$B,$A46,'Таблиця 1'!$I:$I,"Су-27",'Таблиця 1'!$J:$J,"GBU-65"))</f>
        <v/>
      </c>
      <c r="M46">
        <f>IF($A46="","",SUMIFS('Таблиця 1'!$K:$K,'Таблиця 1'!$B:$B,$A46,'Таблиця 1'!$I:$I,"Mirage",'Таблиця 1'!$J:$J,"GBU-62")+SUMIFS('Таблиця 1'!$K:$K,'Таблиця 1'!$B:$B,$A46,'Таблиця 1'!$I:$I,"F-16",'Таблиця 1'!$J:$J,"GBU-62")+SUMIFS('Таблиця 1'!$K:$K,'Таблиця 1'!$B:$B,$A46,'Таблиця 1'!$I:$I,"МіГ-29",'Таблиця 1'!$J:$J,"GBU-62")+SUMIFS('Таблиця 1'!$K:$K,'Таблиця 1'!$B:$B,$A46,'Таблиця 1'!$I:$I,"Су-25",'Таблиця 1'!$J:$J,"GBU-62")+SUMIFS('Таблиця 1'!$K:$K,'Таблиця 1'!$B:$B,$A46,'Таблиця 1'!$I:$I,"Су-27",'Таблиця 1'!$J:$J,"GBU-62"))</f>
        <v/>
      </c>
      <c r="N46">
        <f>IF($A46="","",SUMIFS('Таблиця 1'!$K:$K,'Таблиця 1'!$B:$B,$A46,'Таблиця 1'!$I:$I,"Mirage",'Таблиця 1'!$J:$J,"GBU-64")+SUMIFS('Таблиця 1'!$K:$K,'Таблиця 1'!$B:$B,$A46,'Таблиця 1'!$I:$I,"F-16",'Таблиця 1'!$J:$J,"GBU-64")+SUMIFS('Таблиця 1'!$K:$K,'Таблиця 1'!$B:$B,$A46,'Таблиця 1'!$I:$I,"МіГ-29",'Таблиця 1'!$J:$J,"GBU-64")+SUMIFS('Таблиця 1'!$K:$K,'Таблиця 1'!$B:$B,$A46,'Таблиця 1'!$I:$I,"Су-25",'Таблиця 1'!$J:$J,"GBU-64")+SUMIFS('Таблиця 1'!$K:$K,'Таблиця 1'!$B:$B,$A46,'Таблиця 1'!$I:$I,"Су-27",'Таблиця 1'!$J:$J,"GBU-64"))</f>
        <v/>
      </c>
      <c r="O46">
        <f>IF($A46="","",SUMIFS('Таблиця 1'!$K:$K,'Таблиця 1'!$B:$B,$A46,'Таблиця 1'!$I:$I,"Mirage",'Таблиця 1'!$J:$J,"C-13")+SUMIFS('Таблиця 1'!$K:$K,'Таблиця 1'!$B:$B,$A46,'Таблиця 1'!$I:$I,"F-16",'Таблиця 1'!$J:$J,"C-13")+SUMIFS('Таблиця 1'!$K:$K,'Таблиця 1'!$B:$B,$A46,'Таблиця 1'!$I:$I,"МіГ-29",'Таблиця 1'!$J:$J,"C-13")+SUMIFS('Таблиця 1'!$K:$K,'Таблиця 1'!$B:$B,$A46,'Таблиця 1'!$I:$I,"Су-25",'Таблиця 1'!$J:$J,"C-13")+SUMIFS('Таблиця 1'!$K:$K,'Таблиця 1'!$B:$B,$A46,'Таблиця 1'!$I:$I,"Су-27",'Таблиця 1'!$J:$J,"C-13"))</f>
        <v/>
      </c>
      <c r="P46">
        <f>IF($A46="","",SUMIFS('Таблиця 1'!$K:$K,'Таблиця 1'!$B:$B,$A46,'Таблиця 1'!$I:$I,"Mirage",'Таблиця 1'!$J:$J,"MK-32")+SUMIFS('Таблиця 1'!$K:$K,'Таблиця 1'!$B:$B,$A46,'Таблиця 1'!$I:$I,"F-16",'Таблиця 1'!$J:$J,"MK-32")+SUMIFS('Таблиця 1'!$K:$K,'Таблиця 1'!$B:$B,$A46,'Таблиця 1'!$I:$I,"МіГ-29",'Таблиця 1'!$J:$J,"MK-32")+SUMIFS('Таблиця 1'!$K:$K,'Таблиця 1'!$B:$B,$A46,'Таблиця 1'!$I:$I,"Су-25",'Таблиця 1'!$J:$J,"MK-32")+SUMIFS('Таблиця 1'!$K:$K,'Таблиця 1'!$B:$B,$A46,'Таблиця 1'!$I:$I,"Су-27",'Таблиця 1'!$J:$J,"MK-32"))</f>
        <v/>
      </c>
      <c r="Q46">
        <f>IF($A46="","",SUMIFS('Таблиця 1'!$K:$K,'Таблиця 1'!$B:$B,$A46,'Таблиця 1'!$I:$I,"Mirage",'Таблиця 1'!$J:$J,"MK-24")+SUMIFS('Таблиця 1'!$K:$K,'Таблиця 1'!$B:$B,$A46,'Таблиця 1'!$I:$I,"F-16",'Таблиця 1'!$J:$J,"MK-24")+SUMIFS('Таблиця 1'!$K:$K,'Таблиця 1'!$B:$B,$A46,'Таблиця 1'!$I:$I,"МіГ-29",'Таблиця 1'!$J:$J,"MK-24")+SUMIFS('Таблиця 1'!$K:$K,'Таблиця 1'!$B:$B,$A46,'Таблиця 1'!$I:$I,"Су-25",'Таблиця 1'!$J:$J,"MK-24")+SUMIFS('Таблиця 1'!$K:$K,'Таблиця 1'!$B:$B,$A46,'Таблиця 1'!$I:$I,"Су-27",'Таблиця 1'!$J:$J,"MK-24"))</f>
        <v/>
      </c>
      <c r="R46">
        <f>IF($A46="","",COUNTIFS('Таблиця 1'!$B:$B,$A46,'Таблиця 1'!$I:$I,"Mirage",'Таблиця 1'!$L:$L,"Уражено")+COUNTIFS('Таблиця 1'!$B:$B,$A46,'Таблиця 1'!$I:$I,"F-16",'Таблиця 1'!$L:$L,"Уражено")+COUNTIFS('Таблиця 1'!$B:$B,$A46,'Таблиця 1'!$I:$I,"МіГ-29",'Таблиця 1'!$L:$L,"Уражено")+COUNTIFS('Таблиця 1'!$B:$B,$A46,'Таблиця 1'!$I:$I,"Су-25",'Таблиця 1'!$L:$L,"Уражено")+COUNTIFS('Таблиця 1'!$B:$B,$A46,'Таблиця 1'!$I:$I,"Су-27",'Таблиця 1'!$L:$L,"Уражено"))</f>
        <v/>
      </c>
      <c r="S46">
        <f>IF($A46="","",COUNTIFS('Таблиця 1'!$B:$B,$A46,'Таблиця 1'!$I:$I,"Mirage",'Таблиця 1'!$L:$L,"НЕ уражено")+COUNTIFS('Таблиця 1'!$B:$B,$A46,'Таблиця 1'!$I:$I,"F-16",'Таблиця 1'!$L:$L,"НЕ уражено")+COUNTIFS('Таблиця 1'!$B:$B,$A46,'Таблиця 1'!$I:$I,"МіГ-29",'Таблиця 1'!$L:$L,"НЕ уражено")+COUNTIFS('Таблиця 1'!$B:$B,$A46,'Таблиця 1'!$I:$I,"Су-25",'Таблиця 1'!$L:$L,"НЕ уражено")+COUNTIFS('Таблиця 1'!$B:$B,$A46,'Таблиця 1'!$I:$I,"Су-27",'Таблиця 1'!$L:$L,"НЕ уражено"))</f>
        <v/>
      </c>
      <c r="T46">
        <f>IF($A46="","",COUNTIFS('Таблиця 1'!$B:$B,$A46,'Таблиця 1'!$I:$I,"Mirage",'Таблиця 1'!$L:$L,"Дорозвідується")+COUNTIFS('Таблиця 1'!$B:$B,$A46,'Таблиця 1'!$I:$I,"F-16",'Таблиця 1'!$L:$L,"Дорозвідується")+COUNTIFS('Таблиця 1'!$B:$B,$A46,'Таблиця 1'!$I:$I,"МіГ-29",'Таблиця 1'!$L:$L,"Дорозвідується")+COUNTIFS('Таблиця 1'!$B:$B,$A46,'Таблиця 1'!$I:$I,"Су-25",'Таблиця 1'!$L:$L,"Дорозвідується")+COUNTIFS('Таблиця 1'!$B:$B,$A46,'Таблиця 1'!$I:$I,"Су-27",'Таблиця 1'!$L:$L,"Дорозвідується"))</f>
        <v/>
      </c>
    </row>
    <row r="47">
      <c r="A47" s="273">
        <f>IF(A46="","",IF(A46+1&gt;MAX('Таблиця 1'!$B:$B),"",A46+1))</f>
        <v/>
      </c>
      <c r="B47">
        <f>IF($A47="","",COUNTIFS('Таблиця 1'!$B:$B,$A47,'Таблиця 1'!$I:$I,"Mirage")+COUNTIFS('Таблиця 1'!$B:$B,$A47,'Таблиця 1'!$I:$I,"F-16")+COUNTIFS('Таблиця 1'!$B:$B,$A47,'Таблиця 1'!$I:$I,"МіГ-29")+COUNTIFS('Таблиця 1'!$B:$B,$A47,'Таблиця 1'!$I:$I,"Су-25")+COUNTIFS('Таблиця 1'!$B:$B,$A47,'Таблиця 1'!$I:$I,"Су-27"))</f>
        <v/>
      </c>
      <c r="C47">
        <f>IF($A47="","",COUNTIFS('Таблиця 1'!$B:$B,$A47,'Таблиця 1'!$I:$I,"Mirage"))</f>
        <v/>
      </c>
      <c r="D47">
        <f>IF($A47="","",COUNTIFS('Таблиця 1'!$B:$B,$A47,'Таблиця 1'!$I:$I,"F-16"))</f>
        <v/>
      </c>
      <c r="E47">
        <f>IF($A47="","",COUNTIFS('Таблиця 1'!$B:$B,$A47,'Таблиця 1'!$I:$I,"МіГ-29"))</f>
        <v/>
      </c>
      <c r="F47">
        <f>IF($A47="","",COUNTIFS('Таблиця 1'!$B:$B,$A47,'Таблиця 1'!$I:$I,"Су-25"))</f>
        <v/>
      </c>
      <c r="G47">
        <f>IF($A47="","",COUNTIFS('Таблиця 1'!$B:$B,$A47,'Таблиця 1'!$I:$I,"Су-27"))</f>
        <v/>
      </c>
      <c r="H47">
        <f>IF($A47="","",SUMIFS('Таблиця 1'!$K:$K,'Таблиця 1'!$B:$B,$A47,'Таблиця 1'!$I:$I,"Mirage",'Таблиця 1'!$J:$J,"AGM-88")+SUMIFS('Таблиця 1'!$K:$K,'Таблиця 1'!$B:$B,$A47,'Таблиця 1'!$I:$I,"F-16",'Таблиця 1'!$J:$J,"AGM-88")+SUMIFS('Таблиця 1'!$K:$K,'Таблиця 1'!$B:$B,$A47,'Таблиця 1'!$I:$I,"МіГ-29",'Таблиця 1'!$J:$J,"AGM-88")+SUMIFS('Таблиця 1'!$K:$K,'Таблиця 1'!$B:$B,$A47,'Таблиця 1'!$I:$I,"Су-25",'Таблиця 1'!$J:$J,"AGM-88")+SUMIFS('Таблиця 1'!$K:$K,'Таблиця 1'!$B:$B,$A47,'Таблиця 1'!$I:$I,"Су-27",'Таблиця 1'!$J:$J,"AGM-88"))</f>
        <v/>
      </c>
      <c r="I47">
        <f>IF($A47="","",SUMIFS('Таблиця 1'!$K:$K,'Таблиця 1'!$B:$B,$A47,'Таблиця 1'!$I:$I,"Mirage",'Таблиця 1'!$J:$J,"AASM-250")+SUMIFS('Таблиця 1'!$K:$K,'Таблиця 1'!$B:$B,$A47,'Таблиця 1'!$I:$I,"F-16",'Таблиця 1'!$J:$J,"AASM-250")+SUMIFS('Таблиця 1'!$K:$K,'Таблиця 1'!$B:$B,$A47,'Таблиця 1'!$I:$I,"МіГ-29",'Таблиця 1'!$J:$J,"AASM-250")+SUMIFS('Таблиця 1'!$K:$K,'Таблиця 1'!$B:$B,$A47,'Таблиця 1'!$I:$I,"Су-25",'Таблиця 1'!$J:$J,"AASM-250")+SUMIFS('Таблиця 1'!$K:$K,'Таблиця 1'!$B:$B,$A47,'Таблиця 1'!$I:$I,"Су-27",'Таблиця 1'!$J:$J,"AASM-250"))</f>
        <v/>
      </c>
      <c r="J47">
        <f>IF($A47="","",SUMIFS('Таблиця 1'!$K:$K,'Таблиця 1'!$B:$B,$A47,'Таблиця 1'!$I:$I,"Mirage",'Таблиця 1'!$J:$J,"GBU-39")+SUMIFS('Таблиця 1'!$K:$K,'Таблиця 1'!$B:$B,$A47,'Таблиця 1'!$I:$I,"F-16",'Таблиця 1'!$J:$J,"GBU-39")+SUMIFS('Таблиця 1'!$K:$K,'Таблиця 1'!$B:$B,$A47,'Таблиця 1'!$I:$I,"МіГ-29",'Таблиця 1'!$J:$J,"GBU-39")+SUMIFS('Таблиця 1'!$K:$K,'Таблиця 1'!$B:$B,$A47,'Таблиця 1'!$I:$I,"Су-25",'Таблиця 1'!$J:$J,"GBU-39")+SUMIFS('Таблиця 1'!$K:$K,'Таблиця 1'!$B:$B,$A47,'Таблиця 1'!$I:$I,"Су-27",'Таблиця 1'!$J:$J,"GBU-39"))</f>
        <v/>
      </c>
      <c r="K47">
        <f>IF($A47="","",SUMIFS('Таблиця 1'!$K:$K,'Таблиця 1'!$B:$B,$A47,'Таблиця 1'!$I:$I,"Mirage",'Таблиця 1'!$J:$J,"BLU-140")+SUMIFS('Таблиця 1'!$K:$K,'Таблиця 1'!$B:$B,$A47,'Таблиця 1'!$I:$I,"F-16",'Таблиця 1'!$J:$J,"BLU-140")+SUMIFS('Таблиця 1'!$K:$K,'Таблиця 1'!$B:$B,$A47,'Таблиця 1'!$I:$I,"МіГ-29",'Таблиця 1'!$J:$J,"BLU-140")+SUMIFS('Таблиця 1'!$K:$K,'Таблиця 1'!$B:$B,$A47,'Таблиця 1'!$I:$I,"Су-25",'Таблиця 1'!$J:$J,"BLU-140")+SUMIFS('Таблиця 1'!$K:$K,'Таблиця 1'!$B:$B,$A47,'Таблиця 1'!$I:$I,"Су-27",'Таблиця 1'!$J:$J,"BLU-140"))</f>
        <v/>
      </c>
      <c r="L47">
        <f>IF($A47="","",SUMIFS('Таблиця 1'!$K:$K,'Таблиця 1'!$B:$B,$A47,'Таблиця 1'!$I:$I,"Mirage",'Таблиця 1'!$J:$J,"GBU-65")+SUMIFS('Таблиця 1'!$K:$K,'Таблиця 1'!$B:$B,$A47,'Таблиця 1'!$I:$I,"F-16",'Таблиця 1'!$J:$J,"GBU-65")+SUMIFS('Таблиця 1'!$K:$K,'Таблиця 1'!$B:$B,$A47,'Таблиця 1'!$I:$I,"МіГ-29",'Таблиця 1'!$J:$J,"GBU-65")+SUMIFS('Таблиця 1'!$K:$K,'Таблиця 1'!$B:$B,$A47,'Таблиця 1'!$I:$I,"Су-25",'Таблиця 1'!$J:$J,"GBU-65")+SUMIFS('Таблиця 1'!$K:$K,'Таблиця 1'!$B:$B,$A47,'Таблиця 1'!$I:$I,"Су-27",'Таблиця 1'!$J:$J,"GBU-65"))</f>
        <v/>
      </c>
      <c r="M47">
        <f>IF($A47="","",SUMIFS('Таблиця 1'!$K:$K,'Таблиця 1'!$B:$B,$A47,'Таблиця 1'!$I:$I,"Mirage",'Таблиця 1'!$J:$J,"GBU-62")+SUMIFS('Таблиця 1'!$K:$K,'Таблиця 1'!$B:$B,$A47,'Таблиця 1'!$I:$I,"F-16",'Таблиця 1'!$J:$J,"GBU-62")+SUMIFS('Таблиця 1'!$K:$K,'Таблиця 1'!$B:$B,$A47,'Таблиця 1'!$I:$I,"МіГ-29",'Таблиця 1'!$J:$J,"GBU-62")+SUMIFS('Таблиця 1'!$K:$K,'Таблиця 1'!$B:$B,$A47,'Таблиця 1'!$I:$I,"Су-25",'Таблиця 1'!$J:$J,"GBU-62")+SUMIFS('Таблиця 1'!$K:$K,'Таблиця 1'!$B:$B,$A47,'Таблиця 1'!$I:$I,"Су-27",'Таблиця 1'!$J:$J,"GBU-62"))</f>
        <v/>
      </c>
      <c r="N47">
        <f>IF($A47="","",SUMIFS('Таблиця 1'!$K:$K,'Таблиця 1'!$B:$B,$A47,'Таблиця 1'!$I:$I,"Mirage",'Таблиця 1'!$J:$J,"GBU-64")+SUMIFS('Таблиця 1'!$K:$K,'Таблиця 1'!$B:$B,$A47,'Таблиця 1'!$I:$I,"F-16",'Таблиця 1'!$J:$J,"GBU-64")+SUMIFS('Таблиця 1'!$K:$K,'Таблиця 1'!$B:$B,$A47,'Таблиця 1'!$I:$I,"МіГ-29",'Таблиця 1'!$J:$J,"GBU-64")+SUMIFS('Таблиця 1'!$K:$K,'Таблиця 1'!$B:$B,$A47,'Таблиця 1'!$I:$I,"Су-25",'Таблиця 1'!$J:$J,"GBU-64")+SUMIFS('Таблиця 1'!$K:$K,'Таблиця 1'!$B:$B,$A47,'Таблиця 1'!$I:$I,"Су-27",'Таблиця 1'!$J:$J,"GBU-64"))</f>
        <v/>
      </c>
      <c r="O47">
        <f>IF($A47="","",SUMIFS('Таблиця 1'!$K:$K,'Таблиця 1'!$B:$B,$A47,'Таблиця 1'!$I:$I,"Mirage",'Таблиця 1'!$J:$J,"C-13")+SUMIFS('Таблиця 1'!$K:$K,'Таблиця 1'!$B:$B,$A47,'Таблиця 1'!$I:$I,"F-16",'Таблиця 1'!$J:$J,"C-13")+SUMIFS('Таблиця 1'!$K:$K,'Таблиця 1'!$B:$B,$A47,'Таблиця 1'!$I:$I,"МіГ-29",'Таблиця 1'!$J:$J,"C-13")+SUMIFS('Таблиця 1'!$K:$K,'Таблиця 1'!$B:$B,$A47,'Таблиця 1'!$I:$I,"Су-25",'Таблиця 1'!$J:$J,"C-13")+SUMIFS('Таблиця 1'!$K:$K,'Таблиця 1'!$B:$B,$A47,'Таблиця 1'!$I:$I,"Су-27",'Таблиця 1'!$J:$J,"C-13"))</f>
        <v/>
      </c>
      <c r="P47">
        <f>IF($A47="","",SUMIFS('Таблиця 1'!$K:$K,'Таблиця 1'!$B:$B,$A47,'Таблиця 1'!$I:$I,"Mirage",'Таблиця 1'!$J:$J,"MK-32")+SUMIFS('Таблиця 1'!$K:$K,'Таблиця 1'!$B:$B,$A47,'Таблиця 1'!$I:$I,"F-16",'Таблиця 1'!$J:$J,"MK-32")+SUMIFS('Таблиця 1'!$K:$K,'Таблиця 1'!$B:$B,$A47,'Таблиця 1'!$I:$I,"МіГ-29",'Таблиця 1'!$J:$J,"MK-32")+SUMIFS('Таблиця 1'!$K:$K,'Таблиця 1'!$B:$B,$A47,'Таблиця 1'!$I:$I,"Су-25",'Таблиця 1'!$J:$J,"MK-32")+SUMIFS('Таблиця 1'!$K:$K,'Таблиця 1'!$B:$B,$A47,'Таблиця 1'!$I:$I,"Су-27",'Таблиця 1'!$J:$J,"MK-32"))</f>
        <v/>
      </c>
      <c r="Q47">
        <f>IF($A47="","",SUMIFS('Таблиця 1'!$K:$K,'Таблиця 1'!$B:$B,$A47,'Таблиця 1'!$I:$I,"Mirage",'Таблиця 1'!$J:$J,"MK-24")+SUMIFS('Таблиця 1'!$K:$K,'Таблиця 1'!$B:$B,$A47,'Таблиця 1'!$I:$I,"F-16",'Таблиця 1'!$J:$J,"MK-24")+SUMIFS('Таблиця 1'!$K:$K,'Таблиця 1'!$B:$B,$A47,'Таблиця 1'!$I:$I,"МіГ-29",'Таблиця 1'!$J:$J,"MK-24")+SUMIFS('Таблиця 1'!$K:$K,'Таблиця 1'!$B:$B,$A47,'Таблиця 1'!$I:$I,"Су-25",'Таблиця 1'!$J:$J,"MK-24")+SUMIFS('Таблиця 1'!$K:$K,'Таблиця 1'!$B:$B,$A47,'Таблиця 1'!$I:$I,"Су-27",'Таблиця 1'!$J:$J,"MK-24"))</f>
        <v/>
      </c>
      <c r="R47">
        <f>IF($A47="","",COUNTIFS('Таблиця 1'!$B:$B,$A47,'Таблиця 1'!$I:$I,"Mirage",'Таблиця 1'!$L:$L,"Уражено")+COUNTIFS('Таблиця 1'!$B:$B,$A47,'Таблиця 1'!$I:$I,"F-16",'Таблиця 1'!$L:$L,"Уражено")+COUNTIFS('Таблиця 1'!$B:$B,$A47,'Таблиця 1'!$I:$I,"МіГ-29",'Таблиця 1'!$L:$L,"Уражено")+COUNTIFS('Таблиця 1'!$B:$B,$A47,'Таблиця 1'!$I:$I,"Су-25",'Таблиця 1'!$L:$L,"Уражено")+COUNTIFS('Таблиця 1'!$B:$B,$A47,'Таблиця 1'!$I:$I,"Су-27",'Таблиця 1'!$L:$L,"Уражено"))</f>
        <v/>
      </c>
      <c r="S47">
        <f>IF($A47="","",COUNTIFS('Таблиця 1'!$B:$B,$A47,'Таблиця 1'!$I:$I,"Mirage",'Таблиця 1'!$L:$L,"НЕ уражено")+COUNTIFS('Таблиця 1'!$B:$B,$A47,'Таблиця 1'!$I:$I,"F-16",'Таблиця 1'!$L:$L,"НЕ уражено")+COUNTIFS('Таблиця 1'!$B:$B,$A47,'Таблиця 1'!$I:$I,"МіГ-29",'Таблиця 1'!$L:$L,"НЕ уражено")+COUNTIFS('Таблиця 1'!$B:$B,$A47,'Таблиця 1'!$I:$I,"Су-25",'Таблиця 1'!$L:$L,"НЕ уражено")+COUNTIFS('Таблиця 1'!$B:$B,$A47,'Таблиця 1'!$I:$I,"Су-27",'Таблиця 1'!$L:$L,"НЕ уражено"))</f>
        <v/>
      </c>
      <c r="T47">
        <f>IF($A47="","",COUNTIFS('Таблиця 1'!$B:$B,$A47,'Таблиця 1'!$I:$I,"Mirage",'Таблиця 1'!$L:$L,"Дорозвідується")+COUNTIFS('Таблиця 1'!$B:$B,$A47,'Таблиця 1'!$I:$I,"F-16",'Таблиця 1'!$L:$L,"Дорозвідується")+COUNTIFS('Таблиця 1'!$B:$B,$A47,'Таблиця 1'!$I:$I,"МіГ-29",'Таблиця 1'!$L:$L,"Дорозвідується")+COUNTIFS('Таблиця 1'!$B:$B,$A47,'Таблиця 1'!$I:$I,"Су-25",'Таблиця 1'!$L:$L,"Дорозвідується")+COUNTIFS('Таблиця 1'!$B:$B,$A47,'Таблиця 1'!$I:$I,"Су-27",'Таблиця 1'!$L:$L,"Дорозвідується"))</f>
        <v/>
      </c>
    </row>
    <row r="48">
      <c r="A48" s="273">
        <f>IF(A47="","",IF(A47+1&gt;MAX('Таблиця 1'!$B:$B),"",A47+1))</f>
        <v/>
      </c>
      <c r="B48">
        <f>IF($A48="","",COUNTIFS('Таблиця 1'!$B:$B,$A48,'Таблиця 1'!$I:$I,"Mirage")+COUNTIFS('Таблиця 1'!$B:$B,$A48,'Таблиця 1'!$I:$I,"F-16")+COUNTIFS('Таблиця 1'!$B:$B,$A48,'Таблиця 1'!$I:$I,"МіГ-29")+COUNTIFS('Таблиця 1'!$B:$B,$A48,'Таблиця 1'!$I:$I,"Су-25")+COUNTIFS('Таблиця 1'!$B:$B,$A48,'Таблиця 1'!$I:$I,"Су-27"))</f>
        <v/>
      </c>
      <c r="C48">
        <f>IF($A48="","",COUNTIFS('Таблиця 1'!$B:$B,$A48,'Таблиця 1'!$I:$I,"Mirage"))</f>
        <v/>
      </c>
      <c r="D48">
        <f>IF($A48="","",COUNTIFS('Таблиця 1'!$B:$B,$A48,'Таблиця 1'!$I:$I,"F-16"))</f>
        <v/>
      </c>
      <c r="E48">
        <f>IF($A48="","",COUNTIFS('Таблиця 1'!$B:$B,$A48,'Таблиця 1'!$I:$I,"МіГ-29"))</f>
        <v/>
      </c>
      <c r="F48">
        <f>IF($A48="","",COUNTIFS('Таблиця 1'!$B:$B,$A48,'Таблиця 1'!$I:$I,"Су-25"))</f>
        <v/>
      </c>
      <c r="G48">
        <f>IF($A48="","",COUNTIFS('Таблиця 1'!$B:$B,$A48,'Таблиця 1'!$I:$I,"Су-27"))</f>
        <v/>
      </c>
      <c r="H48">
        <f>IF($A48="","",SUMIFS('Таблиця 1'!$K:$K,'Таблиця 1'!$B:$B,$A48,'Таблиця 1'!$I:$I,"Mirage",'Таблиця 1'!$J:$J,"AGM-88")+SUMIFS('Таблиця 1'!$K:$K,'Таблиця 1'!$B:$B,$A48,'Таблиця 1'!$I:$I,"F-16",'Таблиця 1'!$J:$J,"AGM-88")+SUMIFS('Таблиця 1'!$K:$K,'Таблиця 1'!$B:$B,$A48,'Таблиця 1'!$I:$I,"МіГ-29",'Таблиця 1'!$J:$J,"AGM-88")+SUMIFS('Таблиця 1'!$K:$K,'Таблиця 1'!$B:$B,$A48,'Таблиця 1'!$I:$I,"Су-25",'Таблиця 1'!$J:$J,"AGM-88")+SUMIFS('Таблиця 1'!$K:$K,'Таблиця 1'!$B:$B,$A48,'Таблиця 1'!$I:$I,"Су-27",'Таблиця 1'!$J:$J,"AGM-88"))</f>
        <v/>
      </c>
      <c r="I48">
        <f>IF($A48="","",SUMIFS('Таблиця 1'!$K:$K,'Таблиця 1'!$B:$B,$A48,'Таблиця 1'!$I:$I,"Mirage",'Таблиця 1'!$J:$J,"AASM-250")+SUMIFS('Таблиця 1'!$K:$K,'Таблиця 1'!$B:$B,$A48,'Таблиця 1'!$I:$I,"F-16",'Таблиця 1'!$J:$J,"AASM-250")+SUMIFS('Таблиця 1'!$K:$K,'Таблиця 1'!$B:$B,$A48,'Таблиця 1'!$I:$I,"МіГ-29",'Таблиця 1'!$J:$J,"AASM-250")+SUMIFS('Таблиця 1'!$K:$K,'Таблиця 1'!$B:$B,$A48,'Таблиця 1'!$I:$I,"Су-25",'Таблиця 1'!$J:$J,"AASM-250")+SUMIFS('Таблиця 1'!$K:$K,'Таблиця 1'!$B:$B,$A48,'Таблиця 1'!$I:$I,"Су-27",'Таблиця 1'!$J:$J,"AASM-250"))</f>
        <v/>
      </c>
      <c r="J48">
        <f>IF($A48="","",SUMIFS('Таблиця 1'!$K:$K,'Таблиця 1'!$B:$B,$A48,'Таблиця 1'!$I:$I,"Mirage",'Таблиця 1'!$J:$J,"GBU-39")+SUMIFS('Таблиця 1'!$K:$K,'Таблиця 1'!$B:$B,$A48,'Таблиця 1'!$I:$I,"F-16",'Таблиця 1'!$J:$J,"GBU-39")+SUMIFS('Таблиця 1'!$K:$K,'Таблиця 1'!$B:$B,$A48,'Таблиця 1'!$I:$I,"МіГ-29",'Таблиця 1'!$J:$J,"GBU-39")+SUMIFS('Таблиця 1'!$K:$K,'Таблиця 1'!$B:$B,$A48,'Таблиця 1'!$I:$I,"Су-25",'Таблиця 1'!$J:$J,"GBU-39")+SUMIFS('Таблиця 1'!$K:$K,'Таблиця 1'!$B:$B,$A48,'Таблиця 1'!$I:$I,"Су-27",'Таблиця 1'!$J:$J,"GBU-39"))</f>
        <v/>
      </c>
      <c r="K48">
        <f>IF($A48="","",SUMIFS('Таблиця 1'!$K:$K,'Таблиця 1'!$B:$B,$A48,'Таблиця 1'!$I:$I,"Mirage",'Таблиця 1'!$J:$J,"BLU-140")+SUMIFS('Таблиця 1'!$K:$K,'Таблиця 1'!$B:$B,$A48,'Таблиця 1'!$I:$I,"F-16",'Таблиця 1'!$J:$J,"BLU-140")+SUMIFS('Таблиця 1'!$K:$K,'Таблиця 1'!$B:$B,$A48,'Таблиця 1'!$I:$I,"МіГ-29",'Таблиця 1'!$J:$J,"BLU-140")+SUMIFS('Таблиця 1'!$K:$K,'Таблиця 1'!$B:$B,$A48,'Таблиця 1'!$I:$I,"Су-25",'Таблиця 1'!$J:$J,"BLU-140")+SUMIFS('Таблиця 1'!$K:$K,'Таблиця 1'!$B:$B,$A48,'Таблиця 1'!$I:$I,"Су-27",'Таблиця 1'!$J:$J,"BLU-140"))</f>
        <v/>
      </c>
      <c r="L48">
        <f>IF($A48="","",SUMIFS('Таблиця 1'!$K:$K,'Таблиця 1'!$B:$B,$A48,'Таблиця 1'!$I:$I,"Mirage",'Таблиця 1'!$J:$J,"GBU-65")+SUMIFS('Таблиця 1'!$K:$K,'Таблиця 1'!$B:$B,$A48,'Таблиця 1'!$I:$I,"F-16",'Таблиця 1'!$J:$J,"GBU-65")+SUMIFS('Таблиця 1'!$K:$K,'Таблиця 1'!$B:$B,$A48,'Таблиця 1'!$I:$I,"МіГ-29",'Таблиця 1'!$J:$J,"GBU-65")+SUMIFS('Таблиця 1'!$K:$K,'Таблиця 1'!$B:$B,$A48,'Таблиця 1'!$I:$I,"Су-25",'Таблиця 1'!$J:$J,"GBU-65")+SUMIFS('Таблиця 1'!$K:$K,'Таблиця 1'!$B:$B,$A48,'Таблиця 1'!$I:$I,"Су-27",'Таблиця 1'!$J:$J,"GBU-65"))</f>
        <v/>
      </c>
      <c r="M48">
        <f>IF($A48="","",SUMIFS('Таблиця 1'!$K:$K,'Таблиця 1'!$B:$B,$A48,'Таблиця 1'!$I:$I,"Mirage",'Таблиця 1'!$J:$J,"GBU-62")+SUMIFS('Таблиця 1'!$K:$K,'Таблиця 1'!$B:$B,$A48,'Таблиця 1'!$I:$I,"F-16",'Таблиця 1'!$J:$J,"GBU-62")+SUMIFS('Таблиця 1'!$K:$K,'Таблиця 1'!$B:$B,$A48,'Таблиця 1'!$I:$I,"МіГ-29",'Таблиця 1'!$J:$J,"GBU-62")+SUMIFS('Таблиця 1'!$K:$K,'Таблиця 1'!$B:$B,$A48,'Таблиця 1'!$I:$I,"Су-25",'Таблиця 1'!$J:$J,"GBU-62")+SUMIFS('Таблиця 1'!$K:$K,'Таблиця 1'!$B:$B,$A48,'Таблиця 1'!$I:$I,"Су-27",'Таблиця 1'!$J:$J,"GBU-62"))</f>
        <v/>
      </c>
      <c r="N48">
        <f>IF($A48="","",SUMIFS('Таблиця 1'!$K:$K,'Таблиця 1'!$B:$B,$A48,'Таблиця 1'!$I:$I,"Mirage",'Таблиця 1'!$J:$J,"GBU-64")+SUMIFS('Таблиця 1'!$K:$K,'Таблиця 1'!$B:$B,$A48,'Таблиця 1'!$I:$I,"F-16",'Таблиця 1'!$J:$J,"GBU-64")+SUMIFS('Таблиця 1'!$K:$K,'Таблиця 1'!$B:$B,$A48,'Таблиця 1'!$I:$I,"МіГ-29",'Таблиця 1'!$J:$J,"GBU-64")+SUMIFS('Таблиця 1'!$K:$K,'Таблиця 1'!$B:$B,$A48,'Таблиця 1'!$I:$I,"Су-25",'Таблиця 1'!$J:$J,"GBU-64")+SUMIFS('Таблиця 1'!$K:$K,'Таблиця 1'!$B:$B,$A48,'Таблиця 1'!$I:$I,"Су-27",'Таблиця 1'!$J:$J,"GBU-64"))</f>
        <v/>
      </c>
      <c r="O48">
        <f>IF($A48="","",SUMIFS('Таблиця 1'!$K:$K,'Таблиця 1'!$B:$B,$A48,'Таблиця 1'!$I:$I,"Mirage",'Таблиця 1'!$J:$J,"C-13")+SUMIFS('Таблиця 1'!$K:$K,'Таблиця 1'!$B:$B,$A48,'Таблиця 1'!$I:$I,"F-16",'Таблиця 1'!$J:$J,"C-13")+SUMIFS('Таблиця 1'!$K:$K,'Таблиця 1'!$B:$B,$A48,'Таблиця 1'!$I:$I,"МіГ-29",'Таблиця 1'!$J:$J,"C-13")+SUMIFS('Таблиця 1'!$K:$K,'Таблиця 1'!$B:$B,$A48,'Таблиця 1'!$I:$I,"Су-25",'Таблиця 1'!$J:$J,"C-13")+SUMIFS('Таблиця 1'!$K:$K,'Таблиця 1'!$B:$B,$A48,'Таблиця 1'!$I:$I,"Су-27",'Таблиця 1'!$J:$J,"C-13"))</f>
        <v/>
      </c>
      <c r="P48">
        <f>IF($A48="","",SUMIFS('Таблиця 1'!$K:$K,'Таблиця 1'!$B:$B,$A48,'Таблиця 1'!$I:$I,"Mirage",'Таблиця 1'!$J:$J,"MK-32")+SUMIFS('Таблиця 1'!$K:$K,'Таблиця 1'!$B:$B,$A48,'Таблиця 1'!$I:$I,"F-16",'Таблиця 1'!$J:$J,"MK-32")+SUMIFS('Таблиця 1'!$K:$K,'Таблиця 1'!$B:$B,$A48,'Таблиця 1'!$I:$I,"МіГ-29",'Таблиця 1'!$J:$J,"MK-32")+SUMIFS('Таблиця 1'!$K:$K,'Таблиця 1'!$B:$B,$A48,'Таблиця 1'!$I:$I,"Су-25",'Таблиця 1'!$J:$J,"MK-32")+SUMIFS('Таблиця 1'!$K:$K,'Таблиця 1'!$B:$B,$A48,'Таблиця 1'!$I:$I,"Су-27",'Таблиця 1'!$J:$J,"MK-32"))</f>
        <v/>
      </c>
      <c r="Q48">
        <f>IF($A48="","",SUMIFS('Таблиця 1'!$K:$K,'Таблиця 1'!$B:$B,$A48,'Таблиця 1'!$I:$I,"Mirage",'Таблиця 1'!$J:$J,"MK-24")+SUMIFS('Таблиця 1'!$K:$K,'Таблиця 1'!$B:$B,$A48,'Таблиця 1'!$I:$I,"F-16",'Таблиця 1'!$J:$J,"MK-24")+SUMIFS('Таблиця 1'!$K:$K,'Таблиця 1'!$B:$B,$A48,'Таблиця 1'!$I:$I,"МіГ-29",'Таблиця 1'!$J:$J,"MK-24")+SUMIFS('Таблиця 1'!$K:$K,'Таблиця 1'!$B:$B,$A48,'Таблиця 1'!$I:$I,"Су-25",'Таблиця 1'!$J:$J,"MK-24")+SUMIFS('Таблиця 1'!$K:$K,'Таблиця 1'!$B:$B,$A48,'Таблиця 1'!$I:$I,"Су-27",'Таблиця 1'!$J:$J,"MK-24"))</f>
        <v/>
      </c>
      <c r="R48">
        <f>IF($A48="","",COUNTIFS('Таблиця 1'!$B:$B,$A48,'Таблиця 1'!$I:$I,"Mirage",'Таблиця 1'!$L:$L,"Уражено")+COUNTIFS('Таблиця 1'!$B:$B,$A48,'Таблиця 1'!$I:$I,"F-16",'Таблиця 1'!$L:$L,"Уражено")+COUNTIFS('Таблиця 1'!$B:$B,$A48,'Таблиця 1'!$I:$I,"МіГ-29",'Таблиця 1'!$L:$L,"Уражено")+COUNTIFS('Таблиця 1'!$B:$B,$A48,'Таблиця 1'!$I:$I,"Су-25",'Таблиця 1'!$L:$L,"Уражено")+COUNTIFS('Таблиця 1'!$B:$B,$A48,'Таблиця 1'!$I:$I,"Су-27",'Таблиця 1'!$L:$L,"Уражено"))</f>
        <v/>
      </c>
      <c r="S48">
        <f>IF($A48="","",COUNTIFS('Таблиця 1'!$B:$B,$A48,'Таблиця 1'!$I:$I,"Mirage",'Таблиця 1'!$L:$L,"НЕ уражено")+COUNTIFS('Таблиця 1'!$B:$B,$A48,'Таблиця 1'!$I:$I,"F-16",'Таблиця 1'!$L:$L,"НЕ уражено")+COUNTIFS('Таблиця 1'!$B:$B,$A48,'Таблиця 1'!$I:$I,"МіГ-29",'Таблиця 1'!$L:$L,"НЕ уражено")+COUNTIFS('Таблиця 1'!$B:$B,$A48,'Таблиця 1'!$I:$I,"Су-25",'Таблиця 1'!$L:$L,"НЕ уражено")+COUNTIFS('Таблиця 1'!$B:$B,$A48,'Таблиця 1'!$I:$I,"Су-27",'Таблиця 1'!$L:$L,"НЕ уражено"))</f>
        <v/>
      </c>
      <c r="T48">
        <f>IF($A48="","",COUNTIFS('Таблиця 1'!$B:$B,$A48,'Таблиця 1'!$I:$I,"Mirage",'Таблиця 1'!$L:$L,"Дорозвідується")+COUNTIFS('Таблиця 1'!$B:$B,$A48,'Таблиця 1'!$I:$I,"F-16",'Таблиця 1'!$L:$L,"Дорозвідується")+COUNTIFS('Таблиця 1'!$B:$B,$A48,'Таблиця 1'!$I:$I,"МіГ-29",'Таблиця 1'!$L:$L,"Дорозвідується")+COUNTIFS('Таблиця 1'!$B:$B,$A48,'Таблиця 1'!$I:$I,"Су-25",'Таблиця 1'!$L:$L,"Дорозвідується")+COUNTIFS('Таблиця 1'!$B:$B,$A48,'Таблиця 1'!$I:$I,"Су-27",'Таблиця 1'!$L:$L,"Дорозвідується"))</f>
        <v/>
      </c>
    </row>
    <row r="49">
      <c r="A49" s="273">
        <f>IF(A48="","",IF(A48+1&gt;MAX('Таблиця 1'!$B:$B),"",A48+1))</f>
        <v/>
      </c>
      <c r="B49">
        <f>IF($A49="","",COUNTIFS('Таблиця 1'!$B:$B,$A49,'Таблиця 1'!$I:$I,"Mirage")+COUNTIFS('Таблиця 1'!$B:$B,$A49,'Таблиця 1'!$I:$I,"F-16")+COUNTIFS('Таблиця 1'!$B:$B,$A49,'Таблиця 1'!$I:$I,"МіГ-29")+COUNTIFS('Таблиця 1'!$B:$B,$A49,'Таблиця 1'!$I:$I,"Су-25")+COUNTIFS('Таблиця 1'!$B:$B,$A49,'Таблиця 1'!$I:$I,"Су-27"))</f>
        <v/>
      </c>
      <c r="C49">
        <f>IF($A49="","",COUNTIFS('Таблиця 1'!$B:$B,$A49,'Таблиця 1'!$I:$I,"Mirage"))</f>
        <v/>
      </c>
      <c r="D49">
        <f>IF($A49="","",COUNTIFS('Таблиця 1'!$B:$B,$A49,'Таблиця 1'!$I:$I,"F-16"))</f>
        <v/>
      </c>
      <c r="E49">
        <f>IF($A49="","",COUNTIFS('Таблиця 1'!$B:$B,$A49,'Таблиця 1'!$I:$I,"МіГ-29"))</f>
        <v/>
      </c>
      <c r="F49">
        <f>IF($A49="","",COUNTIFS('Таблиця 1'!$B:$B,$A49,'Таблиця 1'!$I:$I,"Су-25"))</f>
        <v/>
      </c>
      <c r="G49">
        <f>IF($A49="","",COUNTIFS('Таблиця 1'!$B:$B,$A49,'Таблиця 1'!$I:$I,"Су-27"))</f>
        <v/>
      </c>
      <c r="H49">
        <f>IF($A49="","",SUMIFS('Таблиця 1'!$K:$K,'Таблиця 1'!$B:$B,$A49,'Таблиця 1'!$I:$I,"Mirage",'Таблиця 1'!$J:$J,"AGM-88")+SUMIFS('Таблиця 1'!$K:$K,'Таблиця 1'!$B:$B,$A49,'Таблиця 1'!$I:$I,"F-16",'Таблиця 1'!$J:$J,"AGM-88")+SUMIFS('Таблиця 1'!$K:$K,'Таблиця 1'!$B:$B,$A49,'Таблиця 1'!$I:$I,"МіГ-29",'Таблиця 1'!$J:$J,"AGM-88")+SUMIFS('Таблиця 1'!$K:$K,'Таблиця 1'!$B:$B,$A49,'Таблиця 1'!$I:$I,"Су-25",'Таблиця 1'!$J:$J,"AGM-88")+SUMIFS('Таблиця 1'!$K:$K,'Таблиця 1'!$B:$B,$A49,'Таблиця 1'!$I:$I,"Су-27",'Таблиця 1'!$J:$J,"AGM-88"))</f>
        <v/>
      </c>
      <c r="I49">
        <f>IF($A49="","",SUMIFS('Таблиця 1'!$K:$K,'Таблиця 1'!$B:$B,$A49,'Таблиця 1'!$I:$I,"Mirage",'Таблиця 1'!$J:$J,"AASM-250")+SUMIFS('Таблиця 1'!$K:$K,'Таблиця 1'!$B:$B,$A49,'Таблиця 1'!$I:$I,"F-16",'Таблиця 1'!$J:$J,"AASM-250")+SUMIFS('Таблиця 1'!$K:$K,'Таблиця 1'!$B:$B,$A49,'Таблиця 1'!$I:$I,"МіГ-29",'Таблиця 1'!$J:$J,"AASM-250")+SUMIFS('Таблиця 1'!$K:$K,'Таблиця 1'!$B:$B,$A49,'Таблиця 1'!$I:$I,"Су-25",'Таблиця 1'!$J:$J,"AASM-250")+SUMIFS('Таблиця 1'!$K:$K,'Таблиця 1'!$B:$B,$A49,'Таблиця 1'!$I:$I,"Су-27",'Таблиця 1'!$J:$J,"AASM-250"))</f>
        <v/>
      </c>
      <c r="J49">
        <f>IF($A49="","",SUMIFS('Таблиця 1'!$K:$K,'Таблиця 1'!$B:$B,$A49,'Таблиця 1'!$I:$I,"Mirage",'Таблиця 1'!$J:$J,"GBU-39")+SUMIFS('Таблиця 1'!$K:$K,'Таблиця 1'!$B:$B,$A49,'Таблиця 1'!$I:$I,"F-16",'Таблиця 1'!$J:$J,"GBU-39")+SUMIFS('Таблиця 1'!$K:$K,'Таблиця 1'!$B:$B,$A49,'Таблиця 1'!$I:$I,"МіГ-29",'Таблиця 1'!$J:$J,"GBU-39")+SUMIFS('Таблиця 1'!$K:$K,'Таблиця 1'!$B:$B,$A49,'Таблиця 1'!$I:$I,"Су-25",'Таблиця 1'!$J:$J,"GBU-39")+SUMIFS('Таблиця 1'!$K:$K,'Таблиця 1'!$B:$B,$A49,'Таблиця 1'!$I:$I,"Су-27",'Таблиця 1'!$J:$J,"GBU-39"))</f>
        <v/>
      </c>
      <c r="K49">
        <f>IF($A49="","",SUMIFS('Таблиця 1'!$K:$K,'Таблиця 1'!$B:$B,$A49,'Таблиця 1'!$I:$I,"Mirage",'Таблиця 1'!$J:$J,"BLU-140")+SUMIFS('Таблиця 1'!$K:$K,'Таблиця 1'!$B:$B,$A49,'Таблиця 1'!$I:$I,"F-16",'Таблиця 1'!$J:$J,"BLU-140")+SUMIFS('Таблиця 1'!$K:$K,'Таблиця 1'!$B:$B,$A49,'Таблиця 1'!$I:$I,"МіГ-29",'Таблиця 1'!$J:$J,"BLU-140")+SUMIFS('Таблиця 1'!$K:$K,'Таблиця 1'!$B:$B,$A49,'Таблиця 1'!$I:$I,"Су-25",'Таблиця 1'!$J:$J,"BLU-140")+SUMIFS('Таблиця 1'!$K:$K,'Таблиця 1'!$B:$B,$A49,'Таблиця 1'!$I:$I,"Су-27",'Таблиця 1'!$J:$J,"BLU-140"))</f>
        <v/>
      </c>
      <c r="L49">
        <f>IF($A49="","",SUMIFS('Таблиця 1'!$K:$K,'Таблиця 1'!$B:$B,$A49,'Таблиця 1'!$I:$I,"Mirage",'Таблиця 1'!$J:$J,"GBU-65")+SUMIFS('Таблиця 1'!$K:$K,'Таблиця 1'!$B:$B,$A49,'Таблиця 1'!$I:$I,"F-16",'Таблиця 1'!$J:$J,"GBU-65")+SUMIFS('Таблиця 1'!$K:$K,'Таблиця 1'!$B:$B,$A49,'Таблиця 1'!$I:$I,"МіГ-29",'Таблиця 1'!$J:$J,"GBU-65")+SUMIFS('Таблиця 1'!$K:$K,'Таблиця 1'!$B:$B,$A49,'Таблиця 1'!$I:$I,"Су-25",'Таблиця 1'!$J:$J,"GBU-65")+SUMIFS('Таблиця 1'!$K:$K,'Таблиця 1'!$B:$B,$A49,'Таблиця 1'!$I:$I,"Су-27",'Таблиця 1'!$J:$J,"GBU-65"))</f>
        <v/>
      </c>
      <c r="M49">
        <f>IF($A49="","",SUMIFS('Таблиця 1'!$K:$K,'Таблиця 1'!$B:$B,$A49,'Таблиця 1'!$I:$I,"Mirage",'Таблиця 1'!$J:$J,"GBU-62")+SUMIFS('Таблиця 1'!$K:$K,'Таблиця 1'!$B:$B,$A49,'Таблиця 1'!$I:$I,"F-16",'Таблиця 1'!$J:$J,"GBU-62")+SUMIFS('Таблиця 1'!$K:$K,'Таблиця 1'!$B:$B,$A49,'Таблиця 1'!$I:$I,"МіГ-29",'Таблиця 1'!$J:$J,"GBU-62")+SUMIFS('Таблиця 1'!$K:$K,'Таблиця 1'!$B:$B,$A49,'Таблиця 1'!$I:$I,"Су-25",'Таблиця 1'!$J:$J,"GBU-62")+SUMIFS('Таблиця 1'!$K:$K,'Таблиця 1'!$B:$B,$A49,'Таблиця 1'!$I:$I,"Су-27",'Таблиця 1'!$J:$J,"GBU-62"))</f>
        <v/>
      </c>
      <c r="N49">
        <f>IF($A49="","",SUMIFS('Таблиця 1'!$K:$K,'Таблиця 1'!$B:$B,$A49,'Таблиця 1'!$I:$I,"Mirage",'Таблиця 1'!$J:$J,"GBU-64")+SUMIFS('Таблиця 1'!$K:$K,'Таблиця 1'!$B:$B,$A49,'Таблиця 1'!$I:$I,"F-16",'Таблиця 1'!$J:$J,"GBU-64")+SUMIFS('Таблиця 1'!$K:$K,'Таблиця 1'!$B:$B,$A49,'Таблиця 1'!$I:$I,"МіГ-29",'Таблиця 1'!$J:$J,"GBU-64")+SUMIFS('Таблиця 1'!$K:$K,'Таблиця 1'!$B:$B,$A49,'Таблиця 1'!$I:$I,"Су-25",'Таблиця 1'!$J:$J,"GBU-64")+SUMIFS('Таблиця 1'!$K:$K,'Таблиця 1'!$B:$B,$A49,'Таблиця 1'!$I:$I,"Су-27",'Таблиця 1'!$J:$J,"GBU-64"))</f>
        <v/>
      </c>
      <c r="O49">
        <f>IF($A49="","",SUMIFS('Таблиця 1'!$K:$K,'Таблиця 1'!$B:$B,$A49,'Таблиця 1'!$I:$I,"Mirage",'Таблиця 1'!$J:$J,"C-13")+SUMIFS('Таблиця 1'!$K:$K,'Таблиця 1'!$B:$B,$A49,'Таблиця 1'!$I:$I,"F-16",'Таблиця 1'!$J:$J,"C-13")+SUMIFS('Таблиця 1'!$K:$K,'Таблиця 1'!$B:$B,$A49,'Таблиця 1'!$I:$I,"МіГ-29",'Таблиця 1'!$J:$J,"C-13")+SUMIFS('Таблиця 1'!$K:$K,'Таблиця 1'!$B:$B,$A49,'Таблиця 1'!$I:$I,"Су-25",'Таблиця 1'!$J:$J,"C-13")+SUMIFS('Таблиця 1'!$K:$K,'Таблиця 1'!$B:$B,$A49,'Таблиця 1'!$I:$I,"Су-27",'Таблиця 1'!$J:$J,"C-13"))</f>
        <v/>
      </c>
      <c r="P49">
        <f>IF($A49="","",SUMIFS('Таблиця 1'!$K:$K,'Таблиця 1'!$B:$B,$A49,'Таблиця 1'!$I:$I,"Mirage",'Таблиця 1'!$J:$J,"MK-32")+SUMIFS('Таблиця 1'!$K:$K,'Таблиця 1'!$B:$B,$A49,'Таблиця 1'!$I:$I,"F-16",'Таблиця 1'!$J:$J,"MK-32")+SUMIFS('Таблиця 1'!$K:$K,'Таблиця 1'!$B:$B,$A49,'Таблиця 1'!$I:$I,"МіГ-29",'Таблиця 1'!$J:$J,"MK-32")+SUMIFS('Таблиця 1'!$K:$K,'Таблиця 1'!$B:$B,$A49,'Таблиця 1'!$I:$I,"Су-25",'Таблиця 1'!$J:$J,"MK-32")+SUMIFS('Таблиця 1'!$K:$K,'Таблиця 1'!$B:$B,$A49,'Таблиця 1'!$I:$I,"Су-27",'Таблиця 1'!$J:$J,"MK-32"))</f>
        <v/>
      </c>
      <c r="Q49">
        <f>IF($A49="","",SUMIFS('Таблиця 1'!$K:$K,'Таблиця 1'!$B:$B,$A49,'Таблиця 1'!$I:$I,"Mirage",'Таблиця 1'!$J:$J,"MK-24")+SUMIFS('Таблиця 1'!$K:$K,'Таблиця 1'!$B:$B,$A49,'Таблиця 1'!$I:$I,"F-16",'Таблиця 1'!$J:$J,"MK-24")+SUMIFS('Таблиця 1'!$K:$K,'Таблиця 1'!$B:$B,$A49,'Таблиця 1'!$I:$I,"МіГ-29",'Таблиця 1'!$J:$J,"MK-24")+SUMIFS('Таблиця 1'!$K:$K,'Таблиця 1'!$B:$B,$A49,'Таблиця 1'!$I:$I,"Су-25",'Таблиця 1'!$J:$J,"MK-24")+SUMIFS('Таблиця 1'!$K:$K,'Таблиця 1'!$B:$B,$A49,'Таблиця 1'!$I:$I,"Су-27",'Таблиця 1'!$J:$J,"MK-24"))</f>
        <v/>
      </c>
      <c r="R49">
        <f>IF($A49="","",COUNTIFS('Таблиця 1'!$B:$B,$A49,'Таблиця 1'!$I:$I,"Mirage",'Таблиця 1'!$L:$L,"Уражено")+COUNTIFS('Таблиця 1'!$B:$B,$A49,'Таблиця 1'!$I:$I,"F-16",'Таблиця 1'!$L:$L,"Уражено")+COUNTIFS('Таблиця 1'!$B:$B,$A49,'Таблиця 1'!$I:$I,"МіГ-29",'Таблиця 1'!$L:$L,"Уражено")+COUNTIFS('Таблиця 1'!$B:$B,$A49,'Таблиця 1'!$I:$I,"Су-25",'Таблиця 1'!$L:$L,"Уражено")+COUNTIFS('Таблиця 1'!$B:$B,$A49,'Таблиця 1'!$I:$I,"Су-27",'Таблиця 1'!$L:$L,"Уражено"))</f>
        <v/>
      </c>
      <c r="S49">
        <f>IF($A49="","",COUNTIFS('Таблиця 1'!$B:$B,$A49,'Таблиця 1'!$I:$I,"Mirage",'Таблиця 1'!$L:$L,"НЕ уражено")+COUNTIFS('Таблиця 1'!$B:$B,$A49,'Таблиця 1'!$I:$I,"F-16",'Таблиця 1'!$L:$L,"НЕ уражено")+COUNTIFS('Таблиця 1'!$B:$B,$A49,'Таблиця 1'!$I:$I,"МіГ-29",'Таблиця 1'!$L:$L,"НЕ уражено")+COUNTIFS('Таблиця 1'!$B:$B,$A49,'Таблиця 1'!$I:$I,"Су-25",'Таблиця 1'!$L:$L,"НЕ уражено")+COUNTIFS('Таблиця 1'!$B:$B,$A49,'Таблиця 1'!$I:$I,"Су-27",'Таблиця 1'!$L:$L,"НЕ уражено"))</f>
        <v/>
      </c>
      <c r="T49">
        <f>IF($A49="","",COUNTIFS('Таблиця 1'!$B:$B,$A49,'Таблиця 1'!$I:$I,"Mirage",'Таблиця 1'!$L:$L,"Дорозвідується")+COUNTIFS('Таблиця 1'!$B:$B,$A49,'Таблиця 1'!$I:$I,"F-16",'Таблиця 1'!$L:$L,"Дорозвідується")+COUNTIFS('Таблиця 1'!$B:$B,$A49,'Таблиця 1'!$I:$I,"МіГ-29",'Таблиця 1'!$L:$L,"Дорозвідується")+COUNTIFS('Таблиця 1'!$B:$B,$A49,'Таблиця 1'!$I:$I,"Су-25",'Таблиця 1'!$L:$L,"Дорозвідується")+COUNTIFS('Таблиця 1'!$B:$B,$A49,'Таблиця 1'!$I:$I,"Су-27",'Таблиця 1'!$L:$L,"Дорозвідується"))</f>
        <v/>
      </c>
    </row>
    <row r="50">
      <c r="A50" s="273">
        <f>IF(A49="","",IF(A49+1&gt;MAX('Таблиця 1'!$B:$B),"",A49+1))</f>
        <v/>
      </c>
      <c r="B50">
        <f>IF($A50="","",COUNTIFS('Таблиця 1'!$B:$B,$A50,'Таблиця 1'!$I:$I,"Mirage")+COUNTIFS('Таблиця 1'!$B:$B,$A50,'Таблиця 1'!$I:$I,"F-16")+COUNTIFS('Таблиця 1'!$B:$B,$A50,'Таблиця 1'!$I:$I,"МіГ-29")+COUNTIFS('Таблиця 1'!$B:$B,$A50,'Таблиця 1'!$I:$I,"Су-25")+COUNTIFS('Таблиця 1'!$B:$B,$A50,'Таблиця 1'!$I:$I,"Су-27"))</f>
        <v/>
      </c>
      <c r="C50">
        <f>IF($A50="","",COUNTIFS('Таблиця 1'!$B:$B,$A50,'Таблиця 1'!$I:$I,"Mirage"))</f>
        <v/>
      </c>
      <c r="D50">
        <f>IF($A50="","",COUNTIFS('Таблиця 1'!$B:$B,$A50,'Таблиця 1'!$I:$I,"F-16"))</f>
        <v/>
      </c>
      <c r="E50">
        <f>IF($A50="","",COUNTIFS('Таблиця 1'!$B:$B,$A50,'Таблиця 1'!$I:$I,"МіГ-29"))</f>
        <v/>
      </c>
      <c r="F50">
        <f>IF($A50="","",COUNTIFS('Таблиця 1'!$B:$B,$A50,'Таблиця 1'!$I:$I,"Су-25"))</f>
        <v/>
      </c>
      <c r="G50">
        <f>IF($A50="","",COUNTIFS('Таблиця 1'!$B:$B,$A50,'Таблиця 1'!$I:$I,"Су-27"))</f>
        <v/>
      </c>
      <c r="H50">
        <f>IF($A50="","",SUMIFS('Таблиця 1'!$K:$K,'Таблиця 1'!$B:$B,$A50,'Таблиця 1'!$I:$I,"Mirage",'Таблиця 1'!$J:$J,"AGM-88")+SUMIFS('Таблиця 1'!$K:$K,'Таблиця 1'!$B:$B,$A50,'Таблиця 1'!$I:$I,"F-16",'Таблиця 1'!$J:$J,"AGM-88")+SUMIFS('Таблиця 1'!$K:$K,'Таблиця 1'!$B:$B,$A50,'Таблиця 1'!$I:$I,"МіГ-29",'Таблиця 1'!$J:$J,"AGM-88")+SUMIFS('Таблиця 1'!$K:$K,'Таблиця 1'!$B:$B,$A50,'Таблиця 1'!$I:$I,"Су-25",'Таблиця 1'!$J:$J,"AGM-88")+SUMIFS('Таблиця 1'!$K:$K,'Таблиця 1'!$B:$B,$A50,'Таблиця 1'!$I:$I,"Су-27",'Таблиця 1'!$J:$J,"AGM-88"))</f>
        <v/>
      </c>
      <c r="I50">
        <f>IF($A50="","",SUMIFS('Таблиця 1'!$K:$K,'Таблиця 1'!$B:$B,$A50,'Таблиця 1'!$I:$I,"Mirage",'Таблиця 1'!$J:$J,"AASM-250")+SUMIFS('Таблиця 1'!$K:$K,'Таблиця 1'!$B:$B,$A50,'Таблиця 1'!$I:$I,"F-16",'Таблиця 1'!$J:$J,"AASM-250")+SUMIFS('Таблиця 1'!$K:$K,'Таблиця 1'!$B:$B,$A50,'Таблиця 1'!$I:$I,"МіГ-29",'Таблиця 1'!$J:$J,"AASM-250")+SUMIFS('Таблиця 1'!$K:$K,'Таблиця 1'!$B:$B,$A50,'Таблиця 1'!$I:$I,"Су-25",'Таблиця 1'!$J:$J,"AASM-250")+SUMIFS('Таблиця 1'!$K:$K,'Таблиця 1'!$B:$B,$A50,'Таблиця 1'!$I:$I,"Су-27",'Таблиця 1'!$J:$J,"AASM-250"))</f>
        <v/>
      </c>
      <c r="J50">
        <f>IF($A50="","",SUMIFS('Таблиця 1'!$K:$K,'Таблиця 1'!$B:$B,$A50,'Таблиця 1'!$I:$I,"Mirage",'Таблиця 1'!$J:$J,"GBU-39")+SUMIFS('Таблиця 1'!$K:$K,'Таблиця 1'!$B:$B,$A50,'Таблиця 1'!$I:$I,"F-16",'Таблиця 1'!$J:$J,"GBU-39")+SUMIFS('Таблиця 1'!$K:$K,'Таблиця 1'!$B:$B,$A50,'Таблиця 1'!$I:$I,"МіГ-29",'Таблиця 1'!$J:$J,"GBU-39")+SUMIFS('Таблиця 1'!$K:$K,'Таблиця 1'!$B:$B,$A50,'Таблиця 1'!$I:$I,"Су-25",'Таблиця 1'!$J:$J,"GBU-39")+SUMIFS('Таблиця 1'!$K:$K,'Таблиця 1'!$B:$B,$A50,'Таблиця 1'!$I:$I,"Су-27",'Таблиця 1'!$J:$J,"GBU-39"))</f>
        <v/>
      </c>
      <c r="K50">
        <f>IF($A50="","",SUMIFS('Таблиця 1'!$K:$K,'Таблиця 1'!$B:$B,$A50,'Таблиця 1'!$I:$I,"Mirage",'Таблиця 1'!$J:$J,"BLU-140")+SUMIFS('Таблиця 1'!$K:$K,'Таблиця 1'!$B:$B,$A50,'Таблиця 1'!$I:$I,"F-16",'Таблиця 1'!$J:$J,"BLU-140")+SUMIFS('Таблиця 1'!$K:$K,'Таблиця 1'!$B:$B,$A50,'Таблиця 1'!$I:$I,"МіГ-29",'Таблиця 1'!$J:$J,"BLU-140")+SUMIFS('Таблиця 1'!$K:$K,'Таблиця 1'!$B:$B,$A50,'Таблиця 1'!$I:$I,"Су-25",'Таблиця 1'!$J:$J,"BLU-140")+SUMIFS('Таблиця 1'!$K:$K,'Таблиця 1'!$B:$B,$A50,'Таблиця 1'!$I:$I,"Су-27",'Таблиця 1'!$J:$J,"BLU-140"))</f>
        <v/>
      </c>
      <c r="L50">
        <f>IF($A50="","",SUMIFS('Таблиця 1'!$K:$K,'Таблиця 1'!$B:$B,$A50,'Таблиця 1'!$I:$I,"Mirage",'Таблиця 1'!$J:$J,"GBU-65")+SUMIFS('Таблиця 1'!$K:$K,'Таблиця 1'!$B:$B,$A50,'Таблиця 1'!$I:$I,"F-16",'Таблиця 1'!$J:$J,"GBU-65")+SUMIFS('Таблиця 1'!$K:$K,'Таблиця 1'!$B:$B,$A50,'Таблиця 1'!$I:$I,"МіГ-29",'Таблиця 1'!$J:$J,"GBU-65")+SUMIFS('Таблиця 1'!$K:$K,'Таблиця 1'!$B:$B,$A50,'Таблиця 1'!$I:$I,"Су-25",'Таблиця 1'!$J:$J,"GBU-65")+SUMIFS('Таблиця 1'!$K:$K,'Таблиця 1'!$B:$B,$A50,'Таблиця 1'!$I:$I,"Су-27",'Таблиця 1'!$J:$J,"GBU-65"))</f>
        <v/>
      </c>
      <c r="M50">
        <f>IF($A50="","",SUMIFS('Таблиця 1'!$K:$K,'Таблиця 1'!$B:$B,$A50,'Таблиця 1'!$I:$I,"Mirage",'Таблиця 1'!$J:$J,"GBU-62")+SUMIFS('Таблиця 1'!$K:$K,'Таблиця 1'!$B:$B,$A50,'Таблиця 1'!$I:$I,"F-16",'Таблиця 1'!$J:$J,"GBU-62")+SUMIFS('Таблиця 1'!$K:$K,'Таблиця 1'!$B:$B,$A50,'Таблиця 1'!$I:$I,"МіГ-29",'Таблиця 1'!$J:$J,"GBU-62")+SUMIFS('Таблиця 1'!$K:$K,'Таблиця 1'!$B:$B,$A50,'Таблиця 1'!$I:$I,"Су-25",'Таблиця 1'!$J:$J,"GBU-62")+SUMIFS('Таблиця 1'!$K:$K,'Таблиця 1'!$B:$B,$A50,'Таблиця 1'!$I:$I,"Су-27",'Таблиця 1'!$J:$J,"GBU-62"))</f>
        <v/>
      </c>
      <c r="N50">
        <f>IF($A50="","",SUMIFS('Таблиця 1'!$K:$K,'Таблиця 1'!$B:$B,$A50,'Таблиця 1'!$I:$I,"Mirage",'Таблиця 1'!$J:$J,"GBU-64")+SUMIFS('Таблиця 1'!$K:$K,'Таблиця 1'!$B:$B,$A50,'Таблиця 1'!$I:$I,"F-16",'Таблиця 1'!$J:$J,"GBU-64")+SUMIFS('Таблиця 1'!$K:$K,'Таблиця 1'!$B:$B,$A50,'Таблиця 1'!$I:$I,"МіГ-29",'Таблиця 1'!$J:$J,"GBU-64")+SUMIFS('Таблиця 1'!$K:$K,'Таблиця 1'!$B:$B,$A50,'Таблиця 1'!$I:$I,"Су-25",'Таблиця 1'!$J:$J,"GBU-64")+SUMIFS('Таблиця 1'!$K:$K,'Таблиця 1'!$B:$B,$A50,'Таблиця 1'!$I:$I,"Су-27",'Таблиця 1'!$J:$J,"GBU-64"))</f>
        <v/>
      </c>
      <c r="O50">
        <f>IF($A50="","",SUMIFS('Таблиця 1'!$K:$K,'Таблиця 1'!$B:$B,$A50,'Таблиця 1'!$I:$I,"Mirage",'Таблиця 1'!$J:$J,"C-13")+SUMIFS('Таблиця 1'!$K:$K,'Таблиця 1'!$B:$B,$A50,'Таблиця 1'!$I:$I,"F-16",'Таблиця 1'!$J:$J,"C-13")+SUMIFS('Таблиця 1'!$K:$K,'Таблиця 1'!$B:$B,$A50,'Таблиця 1'!$I:$I,"МіГ-29",'Таблиця 1'!$J:$J,"C-13")+SUMIFS('Таблиця 1'!$K:$K,'Таблиця 1'!$B:$B,$A50,'Таблиця 1'!$I:$I,"Су-25",'Таблиця 1'!$J:$J,"C-13")+SUMIFS('Таблиця 1'!$K:$K,'Таблиця 1'!$B:$B,$A50,'Таблиця 1'!$I:$I,"Су-27",'Таблиця 1'!$J:$J,"C-13"))</f>
        <v/>
      </c>
      <c r="P50">
        <f>IF($A50="","",SUMIFS('Таблиця 1'!$K:$K,'Таблиця 1'!$B:$B,$A50,'Таблиця 1'!$I:$I,"Mirage",'Таблиця 1'!$J:$J,"MK-32")+SUMIFS('Таблиця 1'!$K:$K,'Таблиця 1'!$B:$B,$A50,'Таблиця 1'!$I:$I,"F-16",'Таблиця 1'!$J:$J,"MK-32")+SUMIFS('Таблиця 1'!$K:$K,'Таблиця 1'!$B:$B,$A50,'Таблиця 1'!$I:$I,"МіГ-29",'Таблиця 1'!$J:$J,"MK-32")+SUMIFS('Таблиця 1'!$K:$K,'Таблиця 1'!$B:$B,$A50,'Таблиця 1'!$I:$I,"Су-25",'Таблиця 1'!$J:$J,"MK-32")+SUMIFS('Таблиця 1'!$K:$K,'Таблиця 1'!$B:$B,$A50,'Таблиця 1'!$I:$I,"Су-27",'Таблиця 1'!$J:$J,"MK-32"))</f>
        <v/>
      </c>
      <c r="Q50">
        <f>IF($A50="","",SUMIFS('Таблиця 1'!$K:$K,'Таблиця 1'!$B:$B,$A50,'Таблиця 1'!$I:$I,"Mirage",'Таблиця 1'!$J:$J,"MK-24")+SUMIFS('Таблиця 1'!$K:$K,'Таблиця 1'!$B:$B,$A50,'Таблиця 1'!$I:$I,"F-16",'Таблиця 1'!$J:$J,"MK-24")+SUMIFS('Таблиця 1'!$K:$K,'Таблиця 1'!$B:$B,$A50,'Таблиця 1'!$I:$I,"МіГ-29",'Таблиця 1'!$J:$J,"MK-24")+SUMIFS('Таблиця 1'!$K:$K,'Таблиця 1'!$B:$B,$A50,'Таблиця 1'!$I:$I,"Су-25",'Таблиця 1'!$J:$J,"MK-24")+SUMIFS('Таблиця 1'!$K:$K,'Таблиця 1'!$B:$B,$A50,'Таблиця 1'!$I:$I,"Су-27",'Таблиця 1'!$J:$J,"MK-24"))</f>
        <v/>
      </c>
      <c r="R50">
        <f>IF($A50="","",COUNTIFS('Таблиця 1'!$B:$B,$A50,'Таблиця 1'!$I:$I,"Mirage",'Таблиця 1'!$L:$L,"Уражено")+COUNTIFS('Таблиця 1'!$B:$B,$A50,'Таблиця 1'!$I:$I,"F-16",'Таблиця 1'!$L:$L,"Уражено")+COUNTIFS('Таблиця 1'!$B:$B,$A50,'Таблиця 1'!$I:$I,"МіГ-29",'Таблиця 1'!$L:$L,"Уражено")+COUNTIFS('Таблиця 1'!$B:$B,$A50,'Таблиця 1'!$I:$I,"Су-25",'Таблиця 1'!$L:$L,"Уражено")+COUNTIFS('Таблиця 1'!$B:$B,$A50,'Таблиця 1'!$I:$I,"Су-27",'Таблиця 1'!$L:$L,"Уражено"))</f>
        <v/>
      </c>
      <c r="S50">
        <f>IF($A50="","",COUNTIFS('Таблиця 1'!$B:$B,$A50,'Таблиця 1'!$I:$I,"Mirage",'Таблиця 1'!$L:$L,"НЕ уражено")+COUNTIFS('Таблиця 1'!$B:$B,$A50,'Таблиця 1'!$I:$I,"F-16",'Таблиця 1'!$L:$L,"НЕ уражено")+COUNTIFS('Таблиця 1'!$B:$B,$A50,'Таблиця 1'!$I:$I,"МіГ-29",'Таблиця 1'!$L:$L,"НЕ уражено")+COUNTIFS('Таблиця 1'!$B:$B,$A50,'Таблиця 1'!$I:$I,"Су-25",'Таблиця 1'!$L:$L,"НЕ уражено")+COUNTIFS('Таблиця 1'!$B:$B,$A50,'Таблиця 1'!$I:$I,"Су-27",'Таблиця 1'!$L:$L,"НЕ уражено"))</f>
        <v/>
      </c>
      <c r="T50">
        <f>IF($A50="","",COUNTIFS('Таблиця 1'!$B:$B,$A50,'Таблиця 1'!$I:$I,"Mirage",'Таблиця 1'!$L:$L,"Дорозвідується")+COUNTIFS('Таблиця 1'!$B:$B,$A50,'Таблиця 1'!$I:$I,"F-16",'Таблиця 1'!$L:$L,"Дорозвідується")+COUNTIFS('Таблиця 1'!$B:$B,$A50,'Таблиця 1'!$I:$I,"МіГ-29",'Таблиця 1'!$L:$L,"Дорозвідується")+COUNTIFS('Таблиця 1'!$B:$B,$A50,'Таблиця 1'!$I:$I,"Су-25",'Таблиця 1'!$L:$L,"Дорозвідується")+COUNTIFS('Таблиця 1'!$B:$B,$A50,'Таблиця 1'!$I:$I,"Су-27",'Таблиця 1'!$L:$L,"Дорозвідується"))</f>
        <v/>
      </c>
    </row>
    <row r="51">
      <c r="A51" s="273">
        <f>IF(A50="","",IF(A50+1&gt;MAX('Таблиця 1'!$B:$B),"",A50+1))</f>
        <v/>
      </c>
      <c r="B51">
        <f>IF($A51="","",COUNTIFS('Таблиця 1'!$B:$B,$A51,'Таблиця 1'!$I:$I,"Mirage")+COUNTIFS('Таблиця 1'!$B:$B,$A51,'Таблиця 1'!$I:$I,"F-16")+COUNTIFS('Таблиця 1'!$B:$B,$A51,'Таблиця 1'!$I:$I,"МіГ-29")+COUNTIFS('Таблиця 1'!$B:$B,$A51,'Таблиця 1'!$I:$I,"Су-25")+COUNTIFS('Таблиця 1'!$B:$B,$A51,'Таблиця 1'!$I:$I,"Су-27"))</f>
        <v/>
      </c>
      <c r="C51">
        <f>IF($A51="","",COUNTIFS('Таблиця 1'!$B:$B,$A51,'Таблиця 1'!$I:$I,"Mirage"))</f>
        <v/>
      </c>
      <c r="D51">
        <f>IF($A51="","",COUNTIFS('Таблиця 1'!$B:$B,$A51,'Таблиця 1'!$I:$I,"F-16"))</f>
        <v/>
      </c>
      <c r="E51">
        <f>IF($A51="","",COUNTIFS('Таблиця 1'!$B:$B,$A51,'Таблиця 1'!$I:$I,"МіГ-29"))</f>
        <v/>
      </c>
      <c r="F51">
        <f>IF($A51="","",COUNTIFS('Таблиця 1'!$B:$B,$A51,'Таблиця 1'!$I:$I,"Су-25"))</f>
        <v/>
      </c>
      <c r="G51">
        <f>IF($A51="","",COUNTIFS('Таблиця 1'!$B:$B,$A51,'Таблиця 1'!$I:$I,"Су-27"))</f>
        <v/>
      </c>
      <c r="H51">
        <f>IF($A51="","",SUMIFS('Таблиця 1'!$K:$K,'Таблиця 1'!$B:$B,$A51,'Таблиця 1'!$I:$I,"Mirage",'Таблиця 1'!$J:$J,"AGM-88")+SUMIFS('Таблиця 1'!$K:$K,'Таблиця 1'!$B:$B,$A51,'Таблиця 1'!$I:$I,"F-16",'Таблиця 1'!$J:$J,"AGM-88")+SUMIFS('Таблиця 1'!$K:$K,'Таблиця 1'!$B:$B,$A51,'Таблиця 1'!$I:$I,"МіГ-29",'Таблиця 1'!$J:$J,"AGM-88")+SUMIFS('Таблиця 1'!$K:$K,'Таблиця 1'!$B:$B,$A51,'Таблиця 1'!$I:$I,"Су-25",'Таблиця 1'!$J:$J,"AGM-88")+SUMIFS('Таблиця 1'!$K:$K,'Таблиця 1'!$B:$B,$A51,'Таблиця 1'!$I:$I,"Су-27",'Таблиця 1'!$J:$J,"AGM-88"))</f>
        <v/>
      </c>
      <c r="I51">
        <f>IF($A51="","",SUMIFS('Таблиця 1'!$K:$K,'Таблиця 1'!$B:$B,$A51,'Таблиця 1'!$I:$I,"Mirage",'Таблиця 1'!$J:$J,"AASM-250")+SUMIFS('Таблиця 1'!$K:$K,'Таблиця 1'!$B:$B,$A51,'Таблиця 1'!$I:$I,"F-16",'Таблиця 1'!$J:$J,"AASM-250")+SUMIFS('Таблиця 1'!$K:$K,'Таблиця 1'!$B:$B,$A51,'Таблиця 1'!$I:$I,"МіГ-29",'Таблиця 1'!$J:$J,"AASM-250")+SUMIFS('Таблиця 1'!$K:$K,'Таблиця 1'!$B:$B,$A51,'Таблиця 1'!$I:$I,"Су-25",'Таблиця 1'!$J:$J,"AASM-250")+SUMIFS('Таблиця 1'!$K:$K,'Таблиця 1'!$B:$B,$A51,'Таблиця 1'!$I:$I,"Су-27",'Таблиця 1'!$J:$J,"AASM-250"))</f>
        <v/>
      </c>
      <c r="J51">
        <f>IF($A51="","",SUMIFS('Таблиця 1'!$K:$K,'Таблиця 1'!$B:$B,$A51,'Таблиця 1'!$I:$I,"Mirage",'Таблиця 1'!$J:$J,"GBU-39")+SUMIFS('Таблиця 1'!$K:$K,'Таблиця 1'!$B:$B,$A51,'Таблиця 1'!$I:$I,"F-16",'Таблиця 1'!$J:$J,"GBU-39")+SUMIFS('Таблиця 1'!$K:$K,'Таблиця 1'!$B:$B,$A51,'Таблиця 1'!$I:$I,"МіГ-29",'Таблиця 1'!$J:$J,"GBU-39")+SUMIFS('Таблиця 1'!$K:$K,'Таблиця 1'!$B:$B,$A51,'Таблиця 1'!$I:$I,"Су-25",'Таблиця 1'!$J:$J,"GBU-39")+SUMIFS('Таблиця 1'!$K:$K,'Таблиця 1'!$B:$B,$A51,'Таблиця 1'!$I:$I,"Су-27",'Таблиця 1'!$J:$J,"GBU-39"))</f>
        <v/>
      </c>
      <c r="K51">
        <f>IF($A51="","",SUMIFS('Таблиця 1'!$K:$K,'Таблиця 1'!$B:$B,$A51,'Таблиця 1'!$I:$I,"Mirage",'Таблиця 1'!$J:$J,"BLU-140")+SUMIFS('Таблиця 1'!$K:$K,'Таблиця 1'!$B:$B,$A51,'Таблиця 1'!$I:$I,"F-16",'Таблиця 1'!$J:$J,"BLU-140")+SUMIFS('Таблиця 1'!$K:$K,'Таблиця 1'!$B:$B,$A51,'Таблиця 1'!$I:$I,"МіГ-29",'Таблиця 1'!$J:$J,"BLU-140")+SUMIFS('Таблиця 1'!$K:$K,'Таблиця 1'!$B:$B,$A51,'Таблиця 1'!$I:$I,"Су-25",'Таблиця 1'!$J:$J,"BLU-140")+SUMIFS('Таблиця 1'!$K:$K,'Таблиця 1'!$B:$B,$A51,'Таблиця 1'!$I:$I,"Су-27",'Таблиця 1'!$J:$J,"BLU-140"))</f>
        <v/>
      </c>
      <c r="L51">
        <f>IF($A51="","",SUMIFS('Таблиця 1'!$K:$K,'Таблиця 1'!$B:$B,$A51,'Таблиця 1'!$I:$I,"Mirage",'Таблиця 1'!$J:$J,"GBU-65")+SUMIFS('Таблиця 1'!$K:$K,'Таблиця 1'!$B:$B,$A51,'Таблиця 1'!$I:$I,"F-16",'Таблиця 1'!$J:$J,"GBU-65")+SUMIFS('Таблиця 1'!$K:$K,'Таблиця 1'!$B:$B,$A51,'Таблиця 1'!$I:$I,"МіГ-29",'Таблиця 1'!$J:$J,"GBU-65")+SUMIFS('Таблиця 1'!$K:$K,'Таблиця 1'!$B:$B,$A51,'Таблиця 1'!$I:$I,"Су-25",'Таблиця 1'!$J:$J,"GBU-65")+SUMIFS('Таблиця 1'!$K:$K,'Таблиця 1'!$B:$B,$A51,'Таблиця 1'!$I:$I,"Су-27",'Таблиця 1'!$J:$J,"GBU-65"))</f>
        <v/>
      </c>
      <c r="M51">
        <f>IF($A51="","",SUMIFS('Таблиця 1'!$K:$K,'Таблиця 1'!$B:$B,$A51,'Таблиця 1'!$I:$I,"Mirage",'Таблиця 1'!$J:$J,"GBU-62")+SUMIFS('Таблиця 1'!$K:$K,'Таблиця 1'!$B:$B,$A51,'Таблиця 1'!$I:$I,"F-16",'Таблиця 1'!$J:$J,"GBU-62")+SUMIFS('Таблиця 1'!$K:$K,'Таблиця 1'!$B:$B,$A51,'Таблиця 1'!$I:$I,"МіГ-29",'Таблиця 1'!$J:$J,"GBU-62")+SUMIFS('Таблиця 1'!$K:$K,'Таблиця 1'!$B:$B,$A51,'Таблиця 1'!$I:$I,"Су-25",'Таблиця 1'!$J:$J,"GBU-62")+SUMIFS('Таблиця 1'!$K:$K,'Таблиця 1'!$B:$B,$A51,'Таблиця 1'!$I:$I,"Су-27",'Таблиця 1'!$J:$J,"GBU-62"))</f>
        <v/>
      </c>
      <c r="N51">
        <f>IF($A51="","",SUMIFS('Таблиця 1'!$K:$K,'Таблиця 1'!$B:$B,$A51,'Таблиця 1'!$I:$I,"Mirage",'Таблиця 1'!$J:$J,"GBU-64")+SUMIFS('Таблиця 1'!$K:$K,'Таблиця 1'!$B:$B,$A51,'Таблиця 1'!$I:$I,"F-16",'Таблиця 1'!$J:$J,"GBU-64")+SUMIFS('Таблиця 1'!$K:$K,'Таблиця 1'!$B:$B,$A51,'Таблиця 1'!$I:$I,"МіГ-29",'Таблиця 1'!$J:$J,"GBU-64")+SUMIFS('Таблиця 1'!$K:$K,'Таблиця 1'!$B:$B,$A51,'Таблиця 1'!$I:$I,"Су-25",'Таблиця 1'!$J:$J,"GBU-64")+SUMIFS('Таблиця 1'!$K:$K,'Таблиця 1'!$B:$B,$A51,'Таблиця 1'!$I:$I,"Су-27",'Таблиця 1'!$J:$J,"GBU-64"))</f>
        <v/>
      </c>
      <c r="O51">
        <f>IF($A51="","",SUMIFS('Таблиця 1'!$K:$K,'Таблиця 1'!$B:$B,$A51,'Таблиця 1'!$I:$I,"Mirage",'Таблиця 1'!$J:$J,"C-13")+SUMIFS('Таблиця 1'!$K:$K,'Таблиця 1'!$B:$B,$A51,'Таблиця 1'!$I:$I,"F-16",'Таблиця 1'!$J:$J,"C-13")+SUMIFS('Таблиця 1'!$K:$K,'Таблиця 1'!$B:$B,$A51,'Таблиця 1'!$I:$I,"МіГ-29",'Таблиця 1'!$J:$J,"C-13")+SUMIFS('Таблиця 1'!$K:$K,'Таблиця 1'!$B:$B,$A51,'Таблиця 1'!$I:$I,"Су-25",'Таблиця 1'!$J:$J,"C-13")+SUMIFS('Таблиця 1'!$K:$K,'Таблиця 1'!$B:$B,$A51,'Таблиця 1'!$I:$I,"Су-27",'Таблиця 1'!$J:$J,"C-13"))</f>
        <v/>
      </c>
      <c r="P51">
        <f>IF($A51="","",SUMIFS('Таблиця 1'!$K:$K,'Таблиця 1'!$B:$B,$A51,'Таблиця 1'!$I:$I,"Mirage",'Таблиця 1'!$J:$J,"MK-32")+SUMIFS('Таблиця 1'!$K:$K,'Таблиця 1'!$B:$B,$A51,'Таблиця 1'!$I:$I,"F-16",'Таблиця 1'!$J:$J,"MK-32")+SUMIFS('Таблиця 1'!$K:$K,'Таблиця 1'!$B:$B,$A51,'Таблиця 1'!$I:$I,"МіГ-29",'Таблиця 1'!$J:$J,"MK-32")+SUMIFS('Таблиця 1'!$K:$K,'Таблиця 1'!$B:$B,$A51,'Таблиця 1'!$I:$I,"Су-25",'Таблиця 1'!$J:$J,"MK-32")+SUMIFS('Таблиця 1'!$K:$K,'Таблиця 1'!$B:$B,$A51,'Таблиця 1'!$I:$I,"Су-27",'Таблиця 1'!$J:$J,"MK-32"))</f>
        <v/>
      </c>
      <c r="Q51">
        <f>IF($A51="","",SUMIFS('Таблиця 1'!$K:$K,'Таблиця 1'!$B:$B,$A51,'Таблиця 1'!$I:$I,"Mirage",'Таблиця 1'!$J:$J,"MK-24")+SUMIFS('Таблиця 1'!$K:$K,'Таблиця 1'!$B:$B,$A51,'Таблиця 1'!$I:$I,"F-16",'Таблиця 1'!$J:$J,"MK-24")+SUMIFS('Таблиця 1'!$K:$K,'Таблиця 1'!$B:$B,$A51,'Таблиця 1'!$I:$I,"МіГ-29",'Таблиця 1'!$J:$J,"MK-24")+SUMIFS('Таблиця 1'!$K:$K,'Таблиця 1'!$B:$B,$A51,'Таблиця 1'!$I:$I,"Су-25",'Таблиця 1'!$J:$J,"MK-24")+SUMIFS('Таблиця 1'!$K:$K,'Таблиця 1'!$B:$B,$A51,'Таблиця 1'!$I:$I,"Су-27",'Таблиця 1'!$J:$J,"MK-24"))</f>
        <v/>
      </c>
      <c r="R51">
        <f>IF($A51="","",COUNTIFS('Таблиця 1'!$B:$B,$A51,'Таблиця 1'!$I:$I,"Mirage",'Таблиця 1'!$L:$L,"Уражено")+COUNTIFS('Таблиця 1'!$B:$B,$A51,'Таблиця 1'!$I:$I,"F-16",'Таблиця 1'!$L:$L,"Уражено")+COUNTIFS('Таблиця 1'!$B:$B,$A51,'Таблиця 1'!$I:$I,"МіГ-29",'Таблиця 1'!$L:$L,"Уражено")+COUNTIFS('Таблиця 1'!$B:$B,$A51,'Таблиця 1'!$I:$I,"Су-25",'Таблиця 1'!$L:$L,"Уражено")+COUNTIFS('Таблиця 1'!$B:$B,$A51,'Таблиця 1'!$I:$I,"Су-27",'Таблиця 1'!$L:$L,"Уражено"))</f>
        <v/>
      </c>
      <c r="S51">
        <f>IF($A51="","",COUNTIFS('Таблиця 1'!$B:$B,$A51,'Таблиця 1'!$I:$I,"Mirage",'Таблиця 1'!$L:$L,"НЕ уражено")+COUNTIFS('Таблиця 1'!$B:$B,$A51,'Таблиця 1'!$I:$I,"F-16",'Таблиця 1'!$L:$L,"НЕ уражено")+COUNTIFS('Таблиця 1'!$B:$B,$A51,'Таблиця 1'!$I:$I,"МіГ-29",'Таблиця 1'!$L:$L,"НЕ уражено")+COUNTIFS('Таблиця 1'!$B:$B,$A51,'Таблиця 1'!$I:$I,"Су-25",'Таблиця 1'!$L:$L,"НЕ уражено")+COUNTIFS('Таблиця 1'!$B:$B,$A51,'Таблиця 1'!$I:$I,"Су-27",'Таблиця 1'!$L:$L,"НЕ уражено"))</f>
        <v/>
      </c>
      <c r="T51">
        <f>IF($A51="","",COUNTIFS('Таблиця 1'!$B:$B,$A51,'Таблиця 1'!$I:$I,"Mirage",'Таблиця 1'!$L:$L,"Дорозвідується")+COUNTIFS('Таблиця 1'!$B:$B,$A51,'Таблиця 1'!$I:$I,"F-16",'Таблиця 1'!$L:$L,"Дорозвідується")+COUNTIFS('Таблиця 1'!$B:$B,$A51,'Таблиця 1'!$I:$I,"МіГ-29",'Таблиця 1'!$L:$L,"Дорозвідується")+COUNTIFS('Таблиця 1'!$B:$B,$A51,'Таблиця 1'!$I:$I,"Су-25",'Таблиця 1'!$L:$L,"Дорозвідується")+COUNTIFS('Таблиця 1'!$B:$B,$A51,'Таблиця 1'!$I:$I,"Су-27",'Таблиця 1'!$L:$L,"Дорозвідується"))</f>
        <v/>
      </c>
    </row>
    <row r="52">
      <c r="A52" s="273">
        <f>IF(A51="","",IF(A51+1&gt;MAX('Таблиця 1'!$B:$B),"",A51+1))</f>
        <v/>
      </c>
      <c r="B52">
        <f>IF($A52="","",COUNTIFS('Таблиця 1'!$B:$B,$A52,'Таблиця 1'!$I:$I,"Mirage")+COUNTIFS('Таблиця 1'!$B:$B,$A52,'Таблиця 1'!$I:$I,"F-16")+COUNTIFS('Таблиця 1'!$B:$B,$A52,'Таблиця 1'!$I:$I,"МіГ-29")+COUNTIFS('Таблиця 1'!$B:$B,$A52,'Таблиця 1'!$I:$I,"Су-25")+COUNTIFS('Таблиця 1'!$B:$B,$A52,'Таблиця 1'!$I:$I,"Су-27"))</f>
        <v/>
      </c>
      <c r="C52">
        <f>IF($A52="","",COUNTIFS('Таблиця 1'!$B:$B,$A52,'Таблиця 1'!$I:$I,"Mirage"))</f>
        <v/>
      </c>
      <c r="D52">
        <f>IF($A52="","",COUNTIFS('Таблиця 1'!$B:$B,$A52,'Таблиця 1'!$I:$I,"F-16"))</f>
        <v/>
      </c>
      <c r="E52">
        <f>IF($A52="","",COUNTIFS('Таблиця 1'!$B:$B,$A52,'Таблиця 1'!$I:$I,"МіГ-29"))</f>
        <v/>
      </c>
      <c r="F52">
        <f>IF($A52="","",COUNTIFS('Таблиця 1'!$B:$B,$A52,'Таблиця 1'!$I:$I,"Су-25"))</f>
        <v/>
      </c>
      <c r="G52">
        <f>IF($A52="","",COUNTIFS('Таблиця 1'!$B:$B,$A52,'Таблиця 1'!$I:$I,"Су-27"))</f>
        <v/>
      </c>
      <c r="H52">
        <f>IF($A52="","",SUMIFS('Таблиця 1'!$K:$K,'Таблиця 1'!$B:$B,$A52,'Таблиця 1'!$I:$I,"Mirage",'Таблиця 1'!$J:$J,"AGM-88")+SUMIFS('Таблиця 1'!$K:$K,'Таблиця 1'!$B:$B,$A52,'Таблиця 1'!$I:$I,"F-16",'Таблиця 1'!$J:$J,"AGM-88")+SUMIFS('Таблиця 1'!$K:$K,'Таблиця 1'!$B:$B,$A52,'Таблиця 1'!$I:$I,"МіГ-29",'Таблиця 1'!$J:$J,"AGM-88")+SUMIFS('Таблиця 1'!$K:$K,'Таблиця 1'!$B:$B,$A52,'Таблиця 1'!$I:$I,"Су-25",'Таблиця 1'!$J:$J,"AGM-88")+SUMIFS('Таблиця 1'!$K:$K,'Таблиця 1'!$B:$B,$A52,'Таблиця 1'!$I:$I,"Су-27",'Таблиця 1'!$J:$J,"AGM-88"))</f>
        <v/>
      </c>
      <c r="I52">
        <f>IF($A52="","",SUMIFS('Таблиця 1'!$K:$K,'Таблиця 1'!$B:$B,$A52,'Таблиця 1'!$I:$I,"Mirage",'Таблиця 1'!$J:$J,"AASM-250")+SUMIFS('Таблиця 1'!$K:$K,'Таблиця 1'!$B:$B,$A52,'Таблиця 1'!$I:$I,"F-16",'Таблиця 1'!$J:$J,"AASM-250")+SUMIFS('Таблиця 1'!$K:$K,'Таблиця 1'!$B:$B,$A52,'Таблиця 1'!$I:$I,"МіГ-29",'Таблиця 1'!$J:$J,"AASM-250")+SUMIFS('Таблиця 1'!$K:$K,'Таблиця 1'!$B:$B,$A52,'Таблиця 1'!$I:$I,"Су-25",'Таблиця 1'!$J:$J,"AASM-250")+SUMIFS('Таблиця 1'!$K:$K,'Таблиця 1'!$B:$B,$A52,'Таблиця 1'!$I:$I,"Су-27",'Таблиця 1'!$J:$J,"AASM-250"))</f>
        <v/>
      </c>
      <c r="J52">
        <f>IF($A52="","",SUMIFS('Таблиця 1'!$K:$K,'Таблиця 1'!$B:$B,$A52,'Таблиця 1'!$I:$I,"Mirage",'Таблиця 1'!$J:$J,"GBU-39")+SUMIFS('Таблиця 1'!$K:$K,'Таблиця 1'!$B:$B,$A52,'Таблиця 1'!$I:$I,"F-16",'Таблиця 1'!$J:$J,"GBU-39")+SUMIFS('Таблиця 1'!$K:$K,'Таблиця 1'!$B:$B,$A52,'Таблиця 1'!$I:$I,"МіГ-29",'Таблиця 1'!$J:$J,"GBU-39")+SUMIFS('Таблиця 1'!$K:$K,'Таблиця 1'!$B:$B,$A52,'Таблиця 1'!$I:$I,"Су-25",'Таблиця 1'!$J:$J,"GBU-39")+SUMIFS('Таблиця 1'!$K:$K,'Таблиця 1'!$B:$B,$A52,'Таблиця 1'!$I:$I,"Су-27",'Таблиця 1'!$J:$J,"GBU-39"))</f>
        <v/>
      </c>
      <c r="K52">
        <f>IF($A52="","",SUMIFS('Таблиця 1'!$K:$K,'Таблиця 1'!$B:$B,$A52,'Таблиця 1'!$I:$I,"Mirage",'Таблиця 1'!$J:$J,"BLU-140")+SUMIFS('Таблиця 1'!$K:$K,'Таблиця 1'!$B:$B,$A52,'Таблиця 1'!$I:$I,"F-16",'Таблиця 1'!$J:$J,"BLU-140")+SUMIFS('Таблиця 1'!$K:$K,'Таблиця 1'!$B:$B,$A52,'Таблиця 1'!$I:$I,"МіГ-29",'Таблиця 1'!$J:$J,"BLU-140")+SUMIFS('Таблиця 1'!$K:$K,'Таблиця 1'!$B:$B,$A52,'Таблиця 1'!$I:$I,"Су-25",'Таблиця 1'!$J:$J,"BLU-140")+SUMIFS('Таблиця 1'!$K:$K,'Таблиця 1'!$B:$B,$A52,'Таблиця 1'!$I:$I,"Су-27",'Таблиця 1'!$J:$J,"BLU-140"))</f>
        <v/>
      </c>
      <c r="L52">
        <f>IF($A52="","",SUMIFS('Таблиця 1'!$K:$K,'Таблиця 1'!$B:$B,$A52,'Таблиця 1'!$I:$I,"Mirage",'Таблиця 1'!$J:$J,"GBU-65")+SUMIFS('Таблиця 1'!$K:$K,'Таблиця 1'!$B:$B,$A52,'Таблиця 1'!$I:$I,"F-16",'Таблиця 1'!$J:$J,"GBU-65")+SUMIFS('Таблиця 1'!$K:$K,'Таблиця 1'!$B:$B,$A52,'Таблиця 1'!$I:$I,"МіГ-29",'Таблиця 1'!$J:$J,"GBU-65")+SUMIFS('Таблиця 1'!$K:$K,'Таблиця 1'!$B:$B,$A52,'Таблиця 1'!$I:$I,"Су-25",'Таблиця 1'!$J:$J,"GBU-65")+SUMIFS('Таблиця 1'!$K:$K,'Таблиця 1'!$B:$B,$A52,'Таблиця 1'!$I:$I,"Су-27",'Таблиця 1'!$J:$J,"GBU-65"))</f>
        <v/>
      </c>
      <c r="M52">
        <f>IF($A52="","",SUMIFS('Таблиця 1'!$K:$K,'Таблиця 1'!$B:$B,$A52,'Таблиця 1'!$I:$I,"Mirage",'Таблиця 1'!$J:$J,"GBU-62")+SUMIFS('Таблиця 1'!$K:$K,'Таблиця 1'!$B:$B,$A52,'Таблиця 1'!$I:$I,"F-16",'Таблиця 1'!$J:$J,"GBU-62")+SUMIFS('Таблиця 1'!$K:$K,'Таблиця 1'!$B:$B,$A52,'Таблиця 1'!$I:$I,"МіГ-29",'Таблиця 1'!$J:$J,"GBU-62")+SUMIFS('Таблиця 1'!$K:$K,'Таблиця 1'!$B:$B,$A52,'Таблиця 1'!$I:$I,"Су-25",'Таблиця 1'!$J:$J,"GBU-62")+SUMIFS('Таблиця 1'!$K:$K,'Таблиця 1'!$B:$B,$A52,'Таблиця 1'!$I:$I,"Су-27",'Таблиця 1'!$J:$J,"GBU-62"))</f>
        <v/>
      </c>
      <c r="N52">
        <f>IF($A52="","",SUMIFS('Таблиця 1'!$K:$K,'Таблиця 1'!$B:$B,$A52,'Таблиця 1'!$I:$I,"Mirage",'Таблиця 1'!$J:$J,"GBU-64")+SUMIFS('Таблиця 1'!$K:$K,'Таблиця 1'!$B:$B,$A52,'Таблиця 1'!$I:$I,"F-16",'Таблиця 1'!$J:$J,"GBU-64")+SUMIFS('Таблиця 1'!$K:$K,'Таблиця 1'!$B:$B,$A52,'Таблиця 1'!$I:$I,"МіГ-29",'Таблиця 1'!$J:$J,"GBU-64")+SUMIFS('Таблиця 1'!$K:$K,'Таблиця 1'!$B:$B,$A52,'Таблиця 1'!$I:$I,"Су-25",'Таблиця 1'!$J:$J,"GBU-64")+SUMIFS('Таблиця 1'!$K:$K,'Таблиця 1'!$B:$B,$A52,'Таблиця 1'!$I:$I,"Су-27",'Таблиця 1'!$J:$J,"GBU-64"))</f>
        <v/>
      </c>
      <c r="O52">
        <f>IF($A52="","",SUMIFS('Таблиця 1'!$K:$K,'Таблиця 1'!$B:$B,$A52,'Таблиця 1'!$I:$I,"Mirage",'Таблиця 1'!$J:$J,"C-13")+SUMIFS('Таблиця 1'!$K:$K,'Таблиця 1'!$B:$B,$A52,'Таблиця 1'!$I:$I,"F-16",'Таблиця 1'!$J:$J,"C-13")+SUMIFS('Таблиця 1'!$K:$K,'Таблиця 1'!$B:$B,$A52,'Таблиця 1'!$I:$I,"МіГ-29",'Таблиця 1'!$J:$J,"C-13")+SUMIFS('Таблиця 1'!$K:$K,'Таблиця 1'!$B:$B,$A52,'Таблиця 1'!$I:$I,"Су-25",'Таблиця 1'!$J:$J,"C-13")+SUMIFS('Таблиця 1'!$K:$K,'Таблиця 1'!$B:$B,$A52,'Таблиця 1'!$I:$I,"Су-27",'Таблиця 1'!$J:$J,"C-13"))</f>
        <v/>
      </c>
      <c r="P52">
        <f>IF($A52="","",SUMIFS('Таблиця 1'!$K:$K,'Таблиця 1'!$B:$B,$A52,'Таблиця 1'!$I:$I,"Mirage",'Таблиця 1'!$J:$J,"MK-32")+SUMIFS('Таблиця 1'!$K:$K,'Таблиця 1'!$B:$B,$A52,'Таблиця 1'!$I:$I,"F-16",'Таблиця 1'!$J:$J,"MK-32")+SUMIFS('Таблиця 1'!$K:$K,'Таблиця 1'!$B:$B,$A52,'Таблиця 1'!$I:$I,"МіГ-29",'Таблиця 1'!$J:$J,"MK-32")+SUMIFS('Таблиця 1'!$K:$K,'Таблиця 1'!$B:$B,$A52,'Таблиця 1'!$I:$I,"Су-25",'Таблиця 1'!$J:$J,"MK-32")+SUMIFS('Таблиця 1'!$K:$K,'Таблиця 1'!$B:$B,$A52,'Таблиця 1'!$I:$I,"Су-27",'Таблиця 1'!$J:$J,"MK-32"))</f>
        <v/>
      </c>
      <c r="Q52">
        <f>IF($A52="","",SUMIFS('Таблиця 1'!$K:$K,'Таблиця 1'!$B:$B,$A52,'Таблиця 1'!$I:$I,"Mirage",'Таблиця 1'!$J:$J,"MK-24")+SUMIFS('Таблиця 1'!$K:$K,'Таблиця 1'!$B:$B,$A52,'Таблиця 1'!$I:$I,"F-16",'Таблиця 1'!$J:$J,"MK-24")+SUMIFS('Таблиця 1'!$K:$K,'Таблиця 1'!$B:$B,$A52,'Таблиця 1'!$I:$I,"МіГ-29",'Таблиця 1'!$J:$J,"MK-24")+SUMIFS('Таблиця 1'!$K:$K,'Таблиця 1'!$B:$B,$A52,'Таблиця 1'!$I:$I,"Су-25",'Таблиця 1'!$J:$J,"MK-24")+SUMIFS('Таблиця 1'!$K:$K,'Таблиця 1'!$B:$B,$A52,'Таблиця 1'!$I:$I,"Су-27",'Таблиця 1'!$J:$J,"MK-24"))</f>
        <v/>
      </c>
      <c r="R52">
        <f>IF($A52="","",COUNTIFS('Таблиця 1'!$B:$B,$A52,'Таблиця 1'!$I:$I,"Mirage",'Таблиця 1'!$L:$L,"Уражено")+COUNTIFS('Таблиця 1'!$B:$B,$A52,'Таблиця 1'!$I:$I,"F-16",'Таблиця 1'!$L:$L,"Уражено")+COUNTIFS('Таблиця 1'!$B:$B,$A52,'Таблиця 1'!$I:$I,"МіГ-29",'Таблиця 1'!$L:$L,"Уражено")+COUNTIFS('Таблиця 1'!$B:$B,$A52,'Таблиця 1'!$I:$I,"Су-25",'Таблиця 1'!$L:$L,"Уражено")+COUNTIFS('Таблиця 1'!$B:$B,$A52,'Таблиця 1'!$I:$I,"Су-27",'Таблиця 1'!$L:$L,"Уражено"))</f>
        <v/>
      </c>
      <c r="S52">
        <f>IF($A52="","",COUNTIFS('Таблиця 1'!$B:$B,$A52,'Таблиця 1'!$I:$I,"Mirage",'Таблиця 1'!$L:$L,"НЕ уражено")+COUNTIFS('Таблиця 1'!$B:$B,$A52,'Таблиця 1'!$I:$I,"F-16",'Таблиця 1'!$L:$L,"НЕ уражено")+COUNTIFS('Таблиця 1'!$B:$B,$A52,'Таблиця 1'!$I:$I,"МіГ-29",'Таблиця 1'!$L:$L,"НЕ уражено")+COUNTIFS('Таблиця 1'!$B:$B,$A52,'Таблиця 1'!$I:$I,"Су-25",'Таблиця 1'!$L:$L,"НЕ уражено")+COUNTIFS('Таблиця 1'!$B:$B,$A52,'Таблиця 1'!$I:$I,"Су-27",'Таблиця 1'!$L:$L,"НЕ уражено"))</f>
        <v/>
      </c>
      <c r="T52">
        <f>IF($A52="","",COUNTIFS('Таблиця 1'!$B:$B,$A52,'Таблиця 1'!$I:$I,"Mirage",'Таблиця 1'!$L:$L,"Дорозвідується")+COUNTIFS('Таблиця 1'!$B:$B,$A52,'Таблиця 1'!$I:$I,"F-16",'Таблиця 1'!$L:$L,"Дорозвідується")+COUNTIFS('Таблиця 1'!$B:$B,$A52,'Таблиця 1'!$I:$I,"МіГ-29",'Таблиця 1'!$L:$L,"Дорозвідується")+COUNTIFS('Таблиця 1'!$B:$B,$A52,'Таблиця 1'!$I:$I,"Су-25",'Таблиця 1'!$L:$L,"Дорозвідується")+COUNTIFS('Таблиця 1'!$B:$B,$A52,'Таблиця 1'!$I:$I,"Су-27",'Таблиця 1'!$L:$L,"Дорозвідується"))</f>
        <v/>
      </c>
    </row>
    <row r="53">
      <c r="A53" s="273">
        <f>IF(A52="","",IF(A52+1&gt;MAX('Таблиця 1'!$B:$B),"",A52+1))</f>
        <v/>
      </c>
      <c r="B53">
        <f>IF($A53="","",COUNTIFS('Таблиця 1'!$B:$B,$A53,'Таблиця 1'!$I:$I,"Mirage")+COUNTIFS('Таблиця 1'!$B:$B,$A53,'Таблиця 1'!$I:$I,"F-16")+COUNTIFS('Таблиця 1'!$B:$B,$A53,'Таблиця 1'!$I:$I,"МіГ-29")+COUNTIFS('Таблиця 1'!$B:$B,$A53,'Таблиця 1'!$I:$I,"Су-25")+COUNTIFS('Таблиця 1'!$B:$B,$A53,'Таблиця 1'!$I:$I,"Су-27"))</f>
        <v/>
      </c>
      <c r="C53">
        <f>IF($A53="","",COUNTIFS('Таблиця 1'!$B:$B,$A53,'Таблиця 1'!$I:$I,"Mirage"))</f>
        <v/>
      </c>
      <c r="D53">
        <f>IF($A53="","",COUNTIFS('Таблиця 1'!$B:$B,$A53,'Таблиця 1'!$I:$I,"F-16"))</f>
        <v/>
      </c>
      <c r="E53">
        <f>IF($A53="","",COUNTIFS('Таблиця 1'!$B:$B,$A53,'Таблиця 1'!$I:$I,"МіГ-29"))</f>
        <v/>
      </c>
      <c r="F53">
        <f>IF($A53="","",COUNTIFS('Таблиця 1'!$B:$B,$A53,'Таблиця 1'!$I:$I,"Су-25"))</f>
        <v/>
      </c>
      <c r="G53">
        <f>IF($A53="","",COUNTIFS('Таблиця 1'!$B:$B,$A53,'Таблиця 1'!$I:$I,"Су-27"))</f>
        <v/>
      </c>
      <c r="H53">
        <f>IF($A53="","",SUMIFS('Таблиця 1'!$K:$K,'Таблиця 1'!$B:$B,$A53,'Таблиця 1'!$I:$I,"Mirage",'Таблиця 1'!$J:$J,"AGM-88")+SUMIFS('Таблиця 1'!$K:$K,'Таблиця 1'!$B:$B,$A53,'Таблиця 1'!$I:$I,"F-16",'Таблиця 1'!$J:$J,"AGM-88")+SUMIFS('Таблиця 1'!$K:$K,'Таблиця 1'!$B:$B,$A53,'Таблиця 1'!$I:$I,"МіГ-29",'Таблиця 1'!$J:$J,"AGM-88")+SUMIFS('Таблиця 1'!$K:$K,'Таблиця 1'!$B:$B,$A53,'Таблиця 1'!$I:$I,"Су-25",'Таблиця 1'!$J:$J,"AGM-88")+SUMIFS('Таблиця 1'!$K:$K,'Таблиця 1'!$B:$B,$A53,'Таблиця 1'!$I:$I,"Су-27",'Таблиця 1'!$J:$J,"AGM-88"))</f>
        <v/>
      </c>
      <c r="I53">
        <f>IF($A53="","",SUMIFS('Таблиця 1'!$K:$K,'Таблиця 1'!$B:$B,$A53,'Таблиця 1'!$I:$I,"Mirage",'Таблиця 1'!$J:$J,"AASM-250")+SUMIFS('Таблиця 1'!$K:$K,'Таблиця 1'!$B:$B,$A53,'Таблиця 1'!$I:$I,"F-16",'Таблиця 1'!$J:$J,"AASM-250")+SUMIFS('Таблиця 1'!$K:$K,'Таблиця 1'!$B:$B,$A53,'Таблиця 1'!$I:$I,"МіГ-29",'Таблиця 1'!$J:$J,"AASM-250")+SUMIFS('Таблиця 1'!$K:$K,'Таблиця 1'!$B:$B,$A53,'Таблиця 1'!$I:$I,"Су-25",'Таблиця 1'!$J:$J,"AASM-250")+SUMIFS('Таблиця 1'!$K:$K,'Таблиця 1'!$B:$B,$A53,'Таблиця 1'!$I:$I,"Су-27",'Таблиця 1'!$J:$J,"AASM-250"))</f>
        <v/>
      </c>
      <c r="J53">
        <f>IF($A53="","",SUMIFS('Таблиця 1'!$K:$K,'Таблиця 1'!$B:$B,$A53,'Таблиця 1'!$I:$I,"Mirage",'Таблиця 1'!$J:$J,"GBU-39")+SUMIFS('Таблиця 1'!$K:$K,'Таблиця 1'!$B:$B,$A53,'Таблиця 1'!$I:$I,"F-16",'Таблиця 1'!$J:$J,"GBU-39")+SUMIFS('Таблиця 1'!$K:$K,'Таблиця 1'!$B:$B,$A53,'Таблиця 1'!$I:$I,"МіГ-29",'Таблиця 1'!$J:$J,"GBU-39")+SUMIFS('Таблиця 1'!$K:$K,'Таблиця 1'!$B:$B,$A53,'Таблиця 1'!$I:$I,"Су-25",'Таблиця 1'!$J:$J,"GBU-39")+SUMIFS('Таблиця 1'!$K:$K,'Таблиця 1'!$B:$B,$A53,'Таблиця 1'!$I:$I,"Су-27",'Таблиця 1'!$J:$J,"GBU-39"))</f>
        <v/>
      </c>
      <c r="K53">
        <f>IF($A53="","",SUMIFS('Таблиця 1'!$K:$K,'Таблиця 1'!$B:$B,$A53,'Таблиця 1'!$I:$I,"Mirage",'Таблиця 1'!$J:$J,"BLU-140")+SUMIFS('Таблиця 1'!$K:$K,'Таблиця 1'!$B:$B,$A53,'Таблиця 1'!$I:$I,"F-16",'Таблиця 1'!$J:$J,"BLU-140")+SUMIFS('Таблиця 1'!$K:$K,'Таблиця 1'!$B:$B,$A53,'Таблиця 1'!$I:$I,"МіГ-29",'Таблиця 1'!$J:$J,"BLU-140")+SUMIFS('Таблиця 1'!$K:$K,'Таблиця 1'!$B:$B,$A53,'Таблиця 1'!$I:$I,"Су-25",'Таблиця 1'!$J:$J,"BLU-140")+SUMIFS('Таблиця 1'!$K:$K,'Таблиця 1'!$B:$B,$A53,'Таблиця 1'!$I:$I,"Су-27",'Таблиця 1'!$J:$J,"BLU-140"))</f>
        <v/>
      </c>
      <c r="L53">
        <f>IF($A53="","",SUMIFS('Таблиця 1'!$K:$K,'Таблиця 1'!$B:$B,$A53,'Таблиця 1'!$I:$I,"Mirage",'Таблиця 1'!$J:$J,"GBU-65")+SUMIFS('Таблиця 1'!$K:$K,'Таблиця 1'!$B:$B,$A53,'Таблиця 1'!$I:$I,"F-16",'Таблиця 1'!$J:$J,"GBU-65")+SUMIFS('Таблиця 1'!$K:$K,'Таблиця 1'!$B:$B,$A53,'Таблиця 1'!$I:$I,"МіГ-29",'Таблиця 1'!$J:$J,"GBU-65")+SUMIFS('Таблиця 1'!$K:$K,'Таблиця 1'!$B:$B,$A53,'Таблиця 1'!$I:$I,"Су-25",'Таблиця 1'!$J:$J,"GBU-65")+SUMIFS('Таблиця 1'!$K:$K,'Таблиця 1'!$B:$B,$A53,'Таблиця 1'!$I:$I,"Су-27",'Таблиця 1'!$J:$J,"GBU-65"))</f>
        <v/>
      </c>
      <c r="M53">
        <f>IF($A53="","",SUMIFS('Таблиця 1'!$K:$K,'Таблиця 1'!$B:$B,$A53,'Таблиця 1'!$I:$I,"Mirage",'Таблиця 1'!$J:$J,"GBU-62")+SUMIFS('Таблиця 1'!$K:$K,'Таблиця 1'!$B:$B,$A53,'Таблиця 1'!$I:$I,"F-16",'Таблиця 1'!$J:$J,"GBU-62")+SUMIFS('Таблиця 1'!$K:$K,'Таблиця 1'!$B:$B,$A53,'Таблиця 1'!$I:$I,"МіГ-29",'Таблиця 1'!$J:$J,"GBU-62")+SUMIFS('Таблиця 1'!$K:$K,'Таблиця 1'!$B:$B,$A53,'Таблиця 1'!$I:$I,"Су-25",'Таблиця 1'!$J:$J,"GBU-62")+SUMIFS('Таблиця 1'!$K:$K,'Таблиця 1'!$B:$B,$A53,'Таблиця 1'!$I:$I,"Су-27",'Таблиця 1'!$J:$J,"GBU-62"))</f>
        <v/>
      </c>
      <c r="N53">
        <f>IF($A53="","",SUMIFS('Таблиця 1'!$K:$K,'Таблиця 1'!$B:$B,$A53,'Таблиця 1'!$I:$I,"Mirage",'Таблиця 1'!$J:$J,"GBU-64")+SUMIFS('Таблиця 1'!$K:$K,'Таблиця 1'!$B:$B,$A53,'Таблиця 1'!$I:$I,"F-16",'Таблиця 1'!$J:$J,"GBU-64")+SUMIFS('Таблиця 1'!$K:$K,'Таблиця 1'!$B:$B,$A53,'Таблиця 1'!$I:$I,"МіГ-29",'Таблиця 1'!$J:$J,"GBU-64")+SUMIFS('Таблиця 1'!$K:$K,'Таблиця 1'!$B:$B,$A53,'Таблиця 1'!$I:$I,"Су-25",'Таблиця 1'!$J:$J,"GBU-64")+SUMIFS('Таблиця 1'!$K:$K,'Таблиця 1'!$B:$B,$A53,'Таблиця 1'!$I:$I,"Су-27",'Таблиця 1'!$J:$J,"GBU-64"))</f>
        <v/>
      </c>
      <c r="O53">
        <f>IF($A53="","",SUMIFS('Таблиця 1'!$K:$K,'Таблиця 1'!$B:$B,$A53,'Таблиця 1'!$I:$I,"Mirage",'Таблиця 1'!$J:$J,"C-13")+SUMIFS('Таблиця 1'!$K:$K,'Таблиця 1'!$B:$B,$A53,'Таблиця 1'!$I:$I,"F-16",'Таблиця 1'!$J:$J,"C-13")+SUMIFS('Таблиця 1'!$K:$K,'Таблиця 1'!$B:$B,$A53,'Таблиця 1'!$I:$I,"МіГ-29",'Таблиця 1'!$J:$J,"C-13")+SUMIFS('Таблиця 1'!$K:$K,'Таблиця 1'!$B:$B,$A53,'Таблиця 1'!$I:$I,"Су-25",'Таблиця 1'!$J:$J,"C-13")+SUMIFS('Таблиця 1'!$K:$K,'Таблиця 1'!$B:$B,$A53,'Таблиця 1'!$I:$I,"Су-27",'Таблиця 1'!$J:$J,"C-13"))</f>
        <v/>
      </c>
      <c r="P53">
        <f>IF($A53="","",SUMIFS('Таблиця 1'!$K:$K,'Таблиця 1'!$B:$B,$A53,'Таблиця 1'!$I:$I,"Mirage",'Таблиця 1'!$J:$J,"MK-32")+SUMIFS('Таблиця 1'!$K:$K,'Таблиця 1'!$B:$B,$A53,'Таблиця 1'!$I:$I,"F-16",'Таблиця 1'!$J:$J,"MK-32")+SUMIFS('Таблиця 1'!$K:$K,'Таблиця 1'!$B:$B,$A53,'Таблиця 1'!$I:$I,"МіГ-29",'Таблиця 1'!$J:$J,"MK-32")+SUMIFS('Таблиця 1'!$K:$K,'Таблиця 1'!$B:$B,$A53,'Таблиця 1'!$I:$I,"Су-25",'Таблиця 1'!$J:$J,"MK-32")+SUMIFS('Таблиця 1'!$K:$K,'Таблиця 1'!$B:$B,$A53,'Таблиця 1'!$I:$I,"Су-27",'Таблиця 1'!$J:$J,"MK-32"))</f>
        <v/>
      </c>
      <c r="Q53">
        <f>IF($A53="","",SUMIFS('Таблиця 1'!$K:$K,'Таблиця 1'!$B:$B,$A53,'Таблиця 1'!$I:$I,"Mirage",'Таблиця 1'!$J:$J,"MK-24")+SUMIFS('Таблиця 1'!$K:$K,'Таблиця 1'!$B:$B,$A53,'Таблиця 1'!$I:$I,"F-16",'Таблиця 1'!$J:$J,"MK-24")+SUMIFS('Таблиця 1'!$K:$K,'Таблиця 1'!$B:$B,$A53,'Таблиця 1'!$I:$I,"МіГ-29",'Таблиця 1'!$J:$J,"MK-24")+SUMIFS('Таблиця 1'!$K:$K,'Таблиця 1'!$B:$B,$A53,'Таблиця 1'!$I:$I,"Су-25",'Таблиця 1'!$J:$J,"MK-24")+SUMIFS('Таблиця 1'!$K:$K,'Таблиця 1'!$B:$B,$A53,'Таблиця 1'!$I:$I,"Су-27",'Таблиця 1'!$J:$J,"MK-24"))</f>
        <v/>
      </c>
      <c r="R53">
        <f>IF($A53="","",COUNTIFS('Таблиця 1'!$B:$B,$A53,'Таблиця 1'!$I:$I,"Mirage",'Таблиця 1'!$L:$L,"Уражено")+COUNTIFS('Таблиця 1'!$B:$B,$A53,'Таблиця 1'!$I:$I,"F-16",'Таблиця 1'!$L:$L,"Уражено")+COUNTIFS('Таблиця 1'!$B:$B,$A53,'Таблиця 1'!$I:$I,"МіГ-29",'Таблиця 1'!$L:$L,"Уражено")+COUNTIFS('Таблиця 1'!$B:$B,$A53,'Таблиця 1'!$I:$I,"Су-25",'Таблиця 1'!$L:$L,"Уражено")+COUNTIFS('Таблиця 1'!$B:$B,$A53,'Таблиця 1'!$I:$I,"Су-27",'Таблиця 1'!$L:$L,"Уражено"))</f>
        <v/>
      </c>
      <c r="S53">
        <f>IF($A53="","",COUNTIFS('Таблиця 1'!$B:$B,$A53,'Таблиця 1'!$I:$I,"Mirage",'Таблиця 1'!$L:$L,"НЕ уражено")+COUNTIFS('Таблиця 1'!$B:$B,$A53,'Таблиця 1'!$I:$I,"F-16",'Таблиця 1'!$L:$L,"НЕ уражено")+COUNTIFS('Таблиця 1'!$B:$B,$A53,'Таблиця 1'!$I:$I,"МіГ-29",'Таблиця 1'!$L:$L,"НЕ уражено")+COUNTIFS('Таблиця 1'!$B:$B,$A53,'Таблиця 1'!$I:$I,"Су-25",'Таблиця 1'!$L:$L,"НЕ уражено")+COUNTIFS('Таблиця 1'!$B:$B,$A53,'Таблиця 1'!$I:$I,"Су-27",'Таблиця 1'!$L:$L,"НЕ уражено"))</f>
        <v/>
      </c>
      <c r="T53">
        <f>IF($A53="","",COUNTIFS('Таблиця 1'!$B:$B,$A53,'Таблиця 1'!$I:$I,"Mirage",'Таблиця 1'!$L:$L,"Дорозвідується")+COUNTIFS('Таблиця 1'!$B:$B,$A53,'Таблиця 1'!$I:$I,"F-16",'Таблиця 1'!$L:$L,"Дорозвідується")+COUNTIFS('Таблиця 1'!$B:$B,$A53,'Таблиця 1'!$I:$I,"МіГ-29",'Таблиця 1'!$L:$L,"Дорозвідується")+COUNTIFS('Таблиця 1'!$B:$B,$A53,'Таблиця 1'!$I:$I,"Су-25",'Таблиця 1'!$L:$L,"Дорозвідується")+COUNTIFS('Таблиця 1'!$B:$B,$A53,'Таблиця 1'!$I:$I,"Су-27",'Таблиця 1'!$L:$L,"Дорозвідується"))</f>
        <v/>
      </c>
    </row>
    <row r="54">
      <c r="A54" s="273">
        <f>IF(A53="","",IF(A53+1&gt;MAX('Таблиця 1'!$B:$B),"",A53+1))</f>
        <v/>
      </c>
      <c r="B54">
        <f>IF($A54="","",COUNTIFS('Таблиця 1'!$B:$B,$A54,'Таблиця 1'!$I:$I,"Mirage")+COUNTIFS('Таблиця 1'!$B:$B,$A54,'Таблиця 1'!$I:$I,"F-16")+COUNTIFS('Таблиця 1'!$B:$B,$A54,'Таблиця 1'!$I:$I,"МіГ-29")+COUNTIFS('Таблиця 1'!$B:$B,$A54,'Таблиця 1'!$I:$I,"Су-25")+COUNTIFS('Таблиця 1'!$B:$B,$A54,'Таблиця 1'!$I:$I,"Су-27"))</f>
        <v/>
      </c>
      <c r="C54">
        <f>IF($A54="","",COUNTIFS('Таблиця 1'!$B:$B,$A54,'Таблиця 1'!$I:$I,"Mirage"))</f>
        <v/>
      </c>
      <c r="D54">
        <f>IF($A54="","",COUNTIFS('Таблиця 1'!$B:$B,$A54,'Таблиця 1'!$I:$I,"F-16"))</f>
        <v/>
      </c>
      <c r="E54">
        <f>IF($A54="","",COUNTIFS('Таблиця 1'!$B:$B,$A54,'Таблиця 1'!$I:$I,"МіГ-29"))</f>
        <v/>
      </c>
      <c r="F54">
        <f>IF($A54="","",COUNTIFS('Таблиця 1'!$B:$B,$A54,'Таблиця 1'!$I:$I,"Су-25"))</f>
        <v/>
      </c>
      <c r="G54">
        <f>IF($A54="","",COUNTIFS('Таблиця 1'!$B:$B,$A54,'Таблиця 1'!$I:$I,"Су-27"))</f>
        <v/>
      </c>
      <c r="H54">
        <f>IF($A54="","",SUMIFS('Таблиця 1'!$K:$K,'Таблиця 1'!$B:$B,$A54,'Таблиця 1'!$I:$I,"Mirage",'Таблиця 1'!$J:$J,"AGM-88")+SUMIFS('Таблиця 1'!$K:$K,'Таблиця 1'!$B:$B,$A54,'Таблиця 1'!$I:$I,"F-16",'Таблиця 1'!$J:$J,"AGM-88")+SUMIFS('Таблиця 1'!$K:$K,'Таблиця 1'!$B:$B,$A54,'Таблиця 1'!$I:$I,"МіГ-29",'Таблиця 1'!$J:$J,"AGM-88")+SUMIFS('Таблиця 1'!$K:$K,'Таблиця 1'!$B:$B,$A54,'Таблиця 1'!$I:$I,"Су-25",'Таблиця 1'!$J:$J,"AGM-88")+SUMIFS('Таблиця 1'!$K:$K,'Таблиця 1'!$B:$B,$A54,'Таблиця 1'!$I:$I,"Су-27",'Таблиця 1'!$J:$J,"AGM-88"))</f>
        <v/>
      </c>
      <c r="I54">
        <f>IF($A54="","",SUMIFS('Таблиця 1'!$K:$K,'Таблиця 1'!$B:$B,$A54,'Таблиця 1'!$I:$I,"Mirage",'Таблиця 1'!$J:$J,"AASM-250")+SUMIFS('Таблиця 1'!$K:$K,'Таблиця 1'!$B:$B,$A54,'Таблиця 1'!$I:$I,"F-16",'Таблиця 1'!$J:$J,"AASM-250")+SUMIFS('Таблиця 1'!$K:$K,'Таблиця 1'!$B:$B,$A54,'Таблиця 1'!$I:$I,"МіГ-29",'Таблиця 1'!$J:$J,"AASM-250")+SUMIFS('Таблиця 1'!$K:$K,'Таблиця 1'!$B:$B,$A54,'Таблиця 1'!$I:$I,"Су-25",'Таблиця 1'!$J:$J,"AASM-250")+SUMIFS('Таблиця 1'!$K:$K,'Таблиця 1'!$B:$B,$A54,'Таблиця 1'!$I:$I,"Су-27",'Таблиця 1'!$J:$J,"AASM-250"))</f>
        <v/>
      </c>
      <c r="J54">
        <f>IF($A54="","",SUMIFS('Таблиця 1'!$K:$K,'Таблиця 1'!$B:$B,$A54,'Таблиця 1'!$I:$I,"Mirage",'Таблиця 1'!$J:$J,"GBU-39")+SUMIFS('Таблиця 1'!$K:$K,'Таблиця 1'!$B:$B,$A54,'Таблиця 1'!$I:$I,"F-16",'Таблиця 1'!$J:$J,"GBU-39")+SUMIFS('Таблиця 1'!$K:$K,'Таблиця 1'!$B:$B,$A54,'Таблиця 1'!$I:$I,"МіГ-29",'Таблиця 1'!$J:$J,"GBU-39")+SUMIFS('Таблиця 1'!$K:$K,'Таблиця 1'!$B:$B,$A54,'Таблиця 1'!$I:$I,"Су-25",'Таблиця 1'!$J:$J,"GBU-39")+SUMIFS('Таблиця 1'!$K:$K,'Таблиця 1'!$B:$B,$A54,'Таблиця 1'!$I:$I,"Су-27",'Таблиця 1'!$J:$J,"GBU-39"))</f>
        <v/>
      </c>
      <c r="K54">
        <f>IF($A54="","",SUMIFS('Таблиця 1'!$K:$K,'Таблиця 1'!$B:$B,$A54,'Таблиця 1'!$I:$I,"Mirage",'Таблиця 1'!$J:$J,"BLU-140")+SUMIFS('Таблиця 1'!$K:$K,'Таблиця 1'!$B:$B,$A54,'Таблиця 1'!$I:$I,"F-16",'Таблиця 1'!$J:$J,"BLU-140")+SUMIFS('Таблиця 1'!$K:$K,'Таблиця 1'!$B:$B,$A54,'Таблиця 1'!$I:$I,"МіГ-29",'Таблиця 1'!$J:$J,"BLU-140")+SUMIFS('Таблиця 1'!$K:$K,'Таблиця 1'!$B:$B,$A54,'Таблиця 1'!$I:$I,"Су-25",'Таблиця 1'!$J:$J,"BLU-140")+SUMIFS('Таблиця 1'!$K:$K,'Таблиця 1'!$B:$B,$A54,'Таблиця 1'!$I:$I,"Су-27",'Таблиця 1'!$J:$J,"BLU-140"))</f>
        <v/>
      </c>
      <c r="L54">
        <f>IF($A54="","",SUMIFS('Таблиця 1'!$K:$K,'Таблиця 1'!$B:$B,$A54,'Таблиця 1'!$I:$I,"Mirage",'Таблиця 1'!$J:$J,"GBU-65")+SUMIFS('Таблиця 1'!$K:$K,'Таблиця 1'!$B:$B,$A54,'Таблиця 1'!$I:$I,"F-16",'Таблиця 1'!$J:$J,"GBU-65")+SUMIFS('Таблиця 1'!$K:$K,'Таблиця 1'!$B:$B,$A54,'Таблиця 1'!$I:$I,"МіГ-29",'Таблиця 1'!$J:$J,"GBU-65")+SUMIFS('Таблиця 1'!$K:$K,'Таблиця 1'!$B:$B,$A54,'Таблиця 1'!$I:$I,"Су-25",'Таблиця 1'!$J:$J,"GBU-65")+SUMIFS('Таблиця 1'!$K:$K,'Таблиця 1'!$B:$B,$A54,'Таблиця 1'!$I:$I,"Су-27",'Таблиця 1'!$J:$J,"GBU-65"))</f>
        <v/>
      </c>
      <c r="M54">
        <f>IF($A54="","",SUMIFS('Таблиця 1'!$K:$K,'Таблиця 1'!$B:$B,$A54,'Таблиця 1'!$I:$I,"Mirage",'Таблиця 1'!$J:$J,"GBU-62")+SUMIFS('Таблиця 1'!$K:$K,'Таблиця 1'!$B:$B,$A54,'Таблиця 1'!$I:$I,"F-16",'Таблиця 1'!$J:$J,"GBU-62")+SUMIFS('Таблиця 1'!$K:$K,'Таблиця 1'!$B:$B,$A54,'Таблиця 1'!$I:$I,"МіГ-29",'Таблиця 1'!$J:$J,"GBU-62")+SUMIFS('Таблиця 1'!$K:$K,'Таблиця 1'!$B:$B,$A54,'Таблиця 1'!$I:$I,"Су-25",'Таблиця 1'!$J:$J,"GBU-62")+SUMIFS('Таблиця 1'!$K:$K,'Таблиця 1'!$B:$B,$A54,'Таблиця 1'!$I:$I,"Су-27",'Таблиця 1'!$J:$J,"GBU-62"))</f>
        <v/>
      </c>
      <c r="N54">
        <f>IF($A54="","",SUMIFS('Таблиця 1'!$K:$K,'Таблиця 1'!$B:$B,$A54,'Таблиця 1'!$I:$I,"Mirage",'Таблиця 1'!$J:$J,"GBU-64")+SUMIFS('Таблиця 1'!$K:$K,'Таблиця 1'!$B:$B,$A54,'Таблиця 1'!$I:$I,"F-16",'Таблиця 1'!$J:$J,"GBU-64")+SUMIFS('Таблиця 1'!$K:$K,'Таблиця 1'!$B:$B,$A54,'Таблиця 1'!$I:$I,"МіГ-29",'Таблиця 1'!$J:$J,"GBU-64")+SUMIFS('Таблиця 1'!$K:$K,'Таблиця 1'!$B:$B,$A54,'Таблиця 1'!$I:$I,"Су-25",'Таблиця 1'!$J:$J,"GBU-64")+SUMIFS('Таблиця 1'!$K:$K,'Таблиця 1'!$B:$B,$A54,'Таблиця 1'!$I:$I,"Су-27",'Таблиця 1'!$J:$J,"GBU-64"))</f>
        <v/>
      </c>
      <c r="O54">
        <f>IF($A54="","",SUMIFS('Таблиця 1'!$K:$K,'Таблиця 1'!$B:$B,$A54,'Таблиця 1'!$I:$I,"Mirage",'Таблиця 1'!$J:$J,"C-13")+SUMIFS('Таблиця 1'!$K:$K,'Таблиця 1'!$B:$B,$A54,'Таблиця 1'!$I:$I,"F-16",'Таблиця 1'!$J:$J,"C-13")+SUMIFS('Таблиця 1'!$K:$K,'Таблиця 1'!$B:$B,$A54,'Таблиця 1'!$I:$I,"МіГ-29",'Таблиця 1'!$J:$J,"C-13")+SUMIFS('Таблиця 1'!$K:$K,'Таблиця 1'!$B:$B,$A54,'Таблиця 1'!$I:$I,"Су-25",'Таблиця 1'!$J:$J,"C-13")+SUMIFS('Таблиця 1'!$K:$K,'Таблиця 1'!$B:$B,$A54,'Таблиця 1'!$I:$I,"Су-27",'Таблиця 1'!$J:$J,"C-13"))</f>
        <v/>
      </c>
      <c r="P54">
        <f>IF($A54="","",SUMIFS('Таблиця 1'!$K:$K,'Таблиця 1'!$B:$B,$A54,'Таблиця 1'!$I:$I,"Mirage",'Таблиця 1'!$J:$J,"MK-32")+SUMIFS('Таблиця 1'!$K:$K,'Таблиця 1'!$B:$B,$A54,'Таблиця 1'!$I:$I,"F-16",'Таблиця 1'!$J:$J,"MK-32")+SUMIFS('Таблиця 1'!$K:$K,'Таблиця 1'!$B:$B,$A54,'Таблиця 1'!$I:$I,"МіГ-29",'Таблиця 1'!$J:$J,"MK-32")+SUMIFS('Таблиця 1'!$K:$K,'Таблиця 1'!$B:$B,$A54,'Таблиця 1'!$I:$I,"Су-25",'Таблиця 1'!$J:$J,"MK-32")+SUMIFS('Таблиця 1'!$K:$K,'Таблиця 1'!$B:$B,$A54,'Таблиця 1'!$I:$I,"Су-27",'Таблиця 1'!$J:$J,"MK-32"))</f>
        <v/>
      </c>
      <c r="Q54">
        <f>IF($A54="","",SUMIFS('Таблиця 1'!$K:$K,'Таблиця 1'!$B:$B,$A54,'Таблиця 1'!$I:$I,"Mirage",'Таблиця 1'!$J:$J,"MK-24")+SUMIFS('Таблиця 1'!$K:$K,'Таблиця 1'!$B:$B,$A54,'Таблиця 1'!$I:$I,"F-16",'Таблиця 1'!$J:$J,"MK-24")+SUMIFS('Таблиця 1'!$K:$K,'Таблиця 1'!$B:$B,$A54,'Таблиця 1'!$I:$I,"МіГ-29",'Таблиця 1'!$J:$J,"MK-24")+SUMIFS('Таблиця 1'!$K:$K,'Таблиця 1'!$B:$B,$A54,'Таблиця 1'!$I:$I,"Су-25",'Таблиця 1'!$J:$J,"MK-24")+SUMIFS('Таблиця 1'!$K:$K,'Таблиця 1'!$B:$B,$A54,'Таблиця 1'!$I:$I,"Су-27",'Таблиця 1'!$J:$J,"MK-24"))</f>
        <v/>
      </c>
      <c r="R54">
        <f>IF($A54="","",COUNTIFS('Таблиця 1'!$B:$B,$A54,'Таблиця 1'!$I:$I,"Mirage",'Таблиця 1'!$L:$L,"Уражено")+COUNTIFS('Таблиця 1'!$B:$B,$A54,'Таблиця 1'!$I:$I,"F-16",'Таблиця 1'!$L:$L,"Уражено")+COUNTIFS('Таблиця 1'!$B:$B,$A54,'Таблиця 1'!$I:$I,"МіГ-29",'Таблиця 1'!$L:$L,"Уражено")+COUNTIFS('Таблиця 1'!$B:$B,$A54,'Таблиця 1'!$I:$I,"Су-25",'Таблиця 1'!$L:$L,"Уражено")+COUNTIFS('Таблиця 1'!$B:$B,$A54,'Таблиця 1'!$I:$I,"Су-27",'Таблиця 1'!$L:$L,"Уражено"))</f>
        <v/>
      </c>
      <c r="S54">
        <f>IF($A54="","",COUNTIFS('Таблиця 1'!$B:$B,$A54,'Таблиця 1'!$I:$I,"Mirage",'Таблиця 1'!$L:$L,"НЕ уражено")+COUNTIFS('Таблиця 1'!$B:$B,$A54,'Таблиця 1'!$I:$I,"F-16",'Таблиця 1'!$L:$L,"НЕ уражено")+COUNTIFS('Таблиця 1'!$B:$B,$A54,'Таблиця 1'!$I:$I,"МіГ-29",'Таблиця 1'!$L:$L,"НЕ уражено")+COUNTIFS('Таблиця 1'!$B:$B,$A54,'Таблиця 1'!$I:$I,"Су-25",'Таблиця 1'!$L:$L,"НЕ уражено")+COUNTIFS('Таблиця 1'!$B:$B,$A54,'Таблиця 1'!$I:$I,"Су-27",'Таблиця 1'!$L:$L,"НЕ уражено"))</f>
        <v/>
      </c>
      <c r="T54">
        <f>IF($A54="","",COUNTIFS('Таблиця 1'!$B:$B,$A54,'Таблиця 1'!$I:$I,"Mirage",'Таблиця 1'!$L:$L,"Дорозвідується")+COUNTIFS('Таблиця 1'!$B:$B,$A54,'Таблиця 1'!$I:$I,"F-16",'Таблиця 1'!$L:$L,"Дорозвідується")+COUNTIFS('Таблиця 1'!$B:$B,$A54,'Таблиця 1'!$I:$I,"МіГ-29",'Таблиця 1'!$L:$L,"Дорозвідується")+COUNTIFS('Таблиця 1'!$B:$B,$A54,'Таблиця 1'!$I:$I,"Су-25",'Таблиця 1'!$L:$L,"Дорозвідується")+COUNTIFS('Таблиця 1'!$B:$B,$A54,'Таблиця 1'!$I:$I,"Су-27",'Таблиця 1'!$L:$L,"Дорозвідується"))</f>
        <v/>
      </c>
    </row>
    <row r="55">
      <c r="A55" s="273">
        <f>IF(A54="","",IF(A54+1&gt;MAX('Таблиця 1'!$B:$B),"",A54+1))</f>
        <v/>
      </c>
      <c r="B55">
        <f>IF($A55="","",COUNTIFS('Таблиця 1'!$B:$B,$A55,'Таблиця 1'!$I:$I,"Mirage")+COUNTIFS('Таблиця 1'!$B:$B,$A55,'Таблиця 1'!$I:$I,"F-16")+COUNTIFS('Таблиця 1'!$B:$B,$A55,'Таблиця 1'!$I:$I,"МіГ-29")+COUNTIFS('Таблиця 1'!$B:$B,$A55,'Таблиця 1'!$I:$I,"Су-25")+COUNTIFS('Таблиця 1'!$B:$B,$A55,'Таблиця 1'!$I:$I,"Су-27"))</f>
        <v/>
      </c>
      <c r="C55">
        <f>IF($A55="","",COUNTIFS('Таблиця 1'!$B:$B,$A55,'Таблиця 1'!$I:$I,"Mirage"))</f>
        <v/>
      </c>
      <c r="D55">
        <f>IF($A55="","",COUNTIFS('Таблиця 1'!$B:$B,$A55,'Таблиця 1'!$I:$I,"F-16"))</f>
        <v/>
      </c>
      <c r="E55">
        <f>IF($A55="","",COUNTIFS('Таблиця 1'!$B:$B,$A55,'Таблиця 1'!$I:$I,"МіГ-29"))</f>
        <v/>
      </c>
      <c r="F55">
        <f>IF($A55="","",COUNTIFS('Таблиця 1'!$B:$B,$A55,'Таблиця 1'!$I:$I,"Су-25"))</f>
        <v/>
      </c>
      <c r="G55">
        <f>IF($A55="","",COUNTIFS('Таблиця 1'!$B:$B,$A55,'Таблиця 1'!$I:$I,"Су-27"))</f>
        <v/>
      </c>
      <c r="H55">
        <f>IF($A55="","",SUMIFS('Таблиця 1'!$K:$K,'Таблиця 1'!$B:$B,$A55,'Таблиця 1'!$I:$I,"Mirage",'Таблиця 1'!$J:$J,"AGM-88")+SUMIFS('Таблиця 1'!$K:$K,'Таблиця 1'!$B:$B,$A55,'Таблиця 1'!$I:$I,"F-16",'Таблиця 1'!$J:$J,"AGM-88")+SUMIFS('Таблиця 1'!$K:$K,'Таблиця 1'!$B:$B,$A55,'Таблиця 1'!$I:$I,"МіГ-29",'Таблиця 1'!$J:$J,"AGM-88")+SUMIFS('Таблиця 1'!$K:$K,'Таблиця 1'!$B:$B,$A55,'Таблиця 1'!$I:$I,"Су-25",'Таблиця 1'!$J:$J,"AGM-88")+SUMIFS('Таблиця 1'!$K:$K,'Таблиця 1'!$B:$B,$A55,'Таблиця 1'!$I:$I,"Су-27",'Таблиця 1'!$J:$J,"AGM-88"))</f>
        <v/>
      </c>
      <c r="I55">
        <f>IF($A55="","",SUMIFS('Таблиця 1'!$K:$K,'Таблиця 1'!$B:$B,$A55,'Таблиця 1'!$I:$I,"Mirage",'Таблиця 1'!$J:$J,"AASM-250")+SUMIFS('Таблиця 1'!$K:$K,'Таблиця 1'!$B:$B,$A55,'Таблиця 1'!$I:$I,"F-16",'Таблиця 1'!$J:$J,"AASM-250")+SUMIFS('Таблиця 1'!$K:$K,'Таблиця 1'!$B:$B,$A55,'Таблиця 1'!$I:$I,"МіГ-29",'Таблиця 1'!$J:$J,"AASM-250")+SUMIFS('Таблиця 1'!$K:$K,'Таблиця 1'!$B:$B,$A55,'Таблиця 1'!$I:$I,"Су-25",'Таблиця 1'!$J:$J,"AASM-250")+SUMIFS('Таблиця 1'!$K:$K,'Таблиця 1'!$B:$B,$A55,'Таблиця 1'!$I:$I,"Су-27",'Таблиця 1'!$J:$J,"AASM-250"))</f>
        <v/>
      </c>
      <c r="J55">
        <f>IF($A55="","",SUMIFS('Таблиця 1'!$K:$K,'Таблиця 1'!$B:$B,$A55,'Таблиця 1'!$I:$I,"Mirage",'Таблиця 1'!$J:$J,"GBU-39")+SUMIFS('Таблиця 1'!$K:$K,'Таблиця 1'!$B:$B,$A55,'Таблиця 1'!$I:$I,"F-16",'Таблиця 1'!$J:$J,"GBU-39")+SUMIFS('Таблиця 1'!$K:$K,'Таблиця 1'!$B:$B,$A55,'Таблиця 1'!$I:$I,"МіГ-29",'Таблиця 1'!$J:$J,"GBU-39")+SUMIFS('Таблиця 1'!$K:$K,'Таблиця 1'!$B:$B,$A55,'Таблиця 1'!$I:$I,"Су-25",'Таблиця 1'!$J:$J,"GBU-39")+SUMIFS('Таблиця 1'!$K:$K,'Таблиця 1'!$B:$B,$A55,'Таблиця 1'!$I:$I,"Су-27",'Таблиця 1'!$J:$J,"GBU-39"))</f>
        <v/>
      </c>
      <c r="K55">
        <f>IF($A55="","",SUMIFS('Таблиця 1'!$K:$K,'Таблиця 1'!$B:$B,$A55,'Таблиця 1'!$I:$I,"Mirage",'Таблиця 1'!$J:$J,"BLU-140")+SUMIFS('Таблиця 1'!$K:$K,'Таблиця 1'!$B:$B,$A55,'Таблиця 1'!$I:$I,"F-16",'Таблиця 1'!$J:$J,"BLU-140")+SUMIFS('Таблиця 1'!$K:$K,'Таблиця 1'!$B:$B,$A55,'Таблиця 1'!$I:$I,"МіГ-29",'Таблиця 1'!$J:$J,"BLU-140")+SUMIFS('Таблиця 1'!$K:$K,'Таблиця 1'!$B:$B,$A55,'Таблиця 1'!$I:$I,"Су-25",'Таблиця 1'!$J:$J,"BLU-140")+SUMIFS('Таблиця 1'!$K:$K,'Таблиця 1'!$B:$B,$A55,'Таблиця 1'!$I:$I,"Су-27",'Таблиця 1'!$J:$J,"BLU-140"))</f>
        <v/>
      </c>
      <c r="L55">
        <f>IF($A55="","",SUMIFS('Таблиця 1'!$K:$K,'Таблиця 1'!$B:$B,$A55,'Таблиця 1'!$I:$I,"Mirage",'Таблиця 1'!$J:$J,"GBU-65")+SUMIFS('Таблиця 1'!$K:$K,'Таблиця 1'!$B:$B,$A55,'Таблиця 1'!$I:$I,"F-16",'Таблиця 1'!$J:$J,"GBU-65")+SUMIFS('Таблиця 1'!$K:$K,'Таблиця 1'!$B:$B,$A55,'Таблиця 1'!$I:$I,"МіГ-29",'Таблиця 1'!$J:$J,"GBU-65")+SUMIFS('Таблиця 1'!$K:$K,'Таблиця 1'!$B:$B,$A55,'Таблиця 1'!$I:$I,"Су-25",'Таблиця 1'!$J:$J,"GBU-65")+SUMIFS('Таблиця 1'!$K:$K,'Таблиця 1'!$B:$B,$A55,'Таблиця 1'!$I:$I,"Су-27",'Таблиця 1'!$J:$J,"GBU-65"))</f>
        <v/>
      </c>
      <c r="M55">
        <f>IF($A55="","",SUMIFS('Таблиця 1'!$K:$K,'Таблиця 1'!$B:$B,$A55,'Таблиця 1'!$I:$I,"Mirage",'Таблиця 1'!$J:$J,"GBU-62")+SUMIFS('Таблиця 1'!$K:$K,'Таблиця 1'!$B:$B,$A55,'Таблиця 1'!$I:$I,"F-16",'Таблиця 1'!$J:$J,"GBU-62")+SUMIFS('Таблиця 1'!$K:$K,'Таблиця 1'!$B:$B,$A55,'Таблиця 1'!$I:$I,"МіГ-29",'Таблиця 1'!$J:$J,"GBU-62")+SUMIFS('Таблиця 1'!$K:$K,'Таблиця 1'!$B:$B,$A55,'Таблиця 1'!$I:$I,"Су-25",'Таблиця 1'!$J:$J,"GBU-62")+SUMIFS('Таблиця 1'!$K:$K,'Таблиця 1'!$B:$B,$A55,'Таблиця 1'!$I:$I,"Су-27",'Таблиця 1'!$J:$J,"GBU-62"))</f>
        <v/>
      </c>
      <c r="N55">
        <f>IF($A55="","",SUMIFS('Таблиця 1'!$K:$K,'Таблиця 1'!$B:$B,$A55,'Таблиця 1'!$I:$I,"Mirage",'Таблиця 1'!$J:$J,"GBU-64")+SUMIFS('Таблиця 1'!$K:$K,'Таблиця 1'!$B:$B,$A55,'Таблиця 1'!$I:$I,"F-16",'Таблиця 1'!$J:$J,"GBU-64")+SUMIFS('Таблиця 1'!$K:$K,'Таблиця 1'!$B:$B,$A55,'Таблиця 1'!$I:$I,"МіГ-29",'Таблиця 1'!$J:$J,"GBU-64")+SUMIFS('Таблиця 1'!$K:$K,'Таблиця 1'!$B:$B,$A55,'Таблиця 1'!$I:$I,"Су-25",'Таблиця 1'!$J:$J,"GBU-64")+SUMIFS('Таблиця 1'!$K:$K,'Таблиця 1'!$B:$B,$A55,'Таблиця 1'!$I:$I,"Су-27",'Таблиця 1'!$J:$J,"GBU-64"))</f>
        <v/>
      </c>
      <c r="O55">
        <f>IF($A55="","",SUMIFS('Таблиця 1'!$K:$K,'Таблиця 1'!$B:$B,$A55,'Таблиця 1'!$I:$I,"Mirage",'Таблиця 1'!$J:$J,"C-13")+SUMIFS('Таблиця 1'!$K:$K,'Таблиця 1'!$B:$B,$A55,'Таблиця 1'!$I:$I,"F-16",'Таблиця 1'!$J:$J,"C-13")+SUMIFS('Таблиця 1'!$K:$K,'Таблиця 1'!$B:$B,$A55,'Таблиця 1'!$I:$I,"МіГ-29",'Таблиця 1'!$J:$J,"C-13")+SUMIFS('Таблиця 1'!$K:$K,'Таблиця 1'!$B:$B,$A55,'Таблиця 1'!$I:$I,"Су-25",'Таблиця 1'!$J:$J,"C-13")+SUMIFS('Таблиця 1'!$K:$K,'Таблиця 1'!$B:$B,$A55,'Таблиця 1'!$I:$I,"Су-27",'Таблиця 1'!$J:$J,"C-13"))</f>
        <v/>
      </c>
      <c r="P55">
        <f>IF($A55="","",SUMIFS('Таблиця 1'!$K:$K,'Таблиця 1'!$B:$B,$A55,'Таблиця 1'!$I:$I,"Mirage",'Таблиця 1'!$J:$J,"MK-32")+SUMIFS('Таблиця 1'!$K:$K,'Таблиця 1'!$B:$B,$A55,'Таблиця 1'!$I:$I,"F-16",'Таблиця 1'!$J:$J,"MK-32")+SUMIFS('Таблиця 1'!$K:$K,'Таблиця 1'!$B:$B,$A55,'Таблиця 1'!$I:$I,"МіГ-29",'Таблиця 1'!$J:$J,"MK-32")+SUMIFS('Таблиця 1'!$K:$K,'Таблиця 1'!$B:$B,$A55,'Таблиця 1'!$I:$I,"Су-25",'Таблиця 1'!$J:$J,"MK-32")+SUMIFS('Таблиця 1'!$K:$K,'Таблиця 1'!$B:$B,$A55,'Таблиця 1'!$I:$I,"Су-27",'Таблиця 1'!$J:$J,"MK-32"))</f>
        <v/>
      </c>
      <c r="Q55">
        <f>IF($A55="","",SUMIFS('Таблиця 1'!$K:$K,'Таблиця 1'!$B:$B,$A55,'Таблиця 1'!$I:$I,"Mirage",'Таблиця 1'!$J:$J,"MK-24")+SUMIFS('Таблиця 1'!$K:$K,'Таблиця 1'!$B:$B,$A55,'Таблиця 1'!$I:$I,"F-16",'Таблиця 1'!$J:$J,"MK-24")+SUMIFS('Таблиця 1'!$K:$K,'Таблиця 1'!$B:$B,$A55,'Таблиця 1'!$I:$I,"МіГ-29",'Таблиця 1'!$J:$J,"MK-24")+SUMIFS('Таблиця 1'!$K:$K,'Таблиця 1'!$B:$B,$A55,'Таблиця 1'!$I:$I,"Су-25",'Таблиця 1'!$J:$J,"MK-24")+SUMIFS('Таблиця 1'!$K:$K,'Таблиця 1'!$B:$B,$A55,'Таблиця 1'!$I:$I,"Су-27",'Таблиця 1'!$J:$J,"MK-24"))</f>
        <v/>
      </c>
      <c r="R55">
        <f>IF($A55="","",COUNTIFS('Таблиця 1'!$B:$B,$A55,'Таблиця 1'!$I:$I,"Mirage",'Таблиця 1'!$L:$L,"Уражено")+COUNTIFS('Таблиця 1'!$B:$B,$A55,'Таблиця 1'!$I:$I,"F-16",'Таблиця 1'!$L:$L,"Уражено")+COUNTIFS('Таблиця 1'!$B:$B,$A55,'Таблиця 1'!$I:$I,"МіГ-29",'Таблиця 1'!$L:$L,"Уражено")+COUNTIFS('Таблиця 1'!$B:$B,$A55,'Таблиця 1'!$I:$I,"Су-25",'Таблиця 1'!$L:$L,"Уражено")+COUNTIFS('Таблиця 1'!$B:$B,$A55,'Таблиця 1'!$I:$I,"Су-27",'Таблиця 1'!$L:$L,"Уражено"))</f>
        <v/>
      </c>
      <c r="S55">
        <f>IF($A55="","",COUNTIFS('Таблиця 1'!$B:$B,$A55,'Таблиця 1'!$I:$I,"Mirage",'Таблиця 1'!$L:$L,"НЕ уражено")+COUNTIFS('Таблиця 1'!$B:$B,$A55,'Таблиця 1'!$I:$I,"F-16",'Таблиця 1'!$L:$L,"НЕ уражено")+COUNTIFS('Таблиця 1'!$B:$B,$A55,'Таблиця 1'!$I:$I,"МіГ-29",'Таблиця 1'!$L:$L,"НЕ уражено")+COUNTIFS('Таблиця 1'!$B:$B,$A55,'Таблиця 1'!$I:$I,"Су-25",'Таблиця 1'!$L:$L,"НЕ уражено")+COUNTIFS('Таблиця 1'!$B:$B,$A55,'Таблиця 1'!$I:$I,"Су-27",'Таблиця 1'!$L:$L,"НЕ уражено"))</f>
        <v/>
      </c>
      <c r="T55">
        <f>IF($A55="","",COUNTIFS('Таблиця 1'!$B:$B,$A55,'Таблиця 1'!$I:$I,"Mirage",'Таблиця 1'!$L:$L,"Дорозвідується")+COUNTIFS('Таблиця 1'!$B:$B,$A55,'Таблиця 1'!$I:$I,"F-16",'Таблиця 1'!$L:$L,"Дорозвідується")+COUNTIFS('Таблиця 1'!$B:$B,$A55,'Таблиця 1'!$I:$I,"МіГ-29",'Таблиця 1'!$L:$L,"Дорозвідується")+COUNTIFS('Таблиця 1'!$B:$B,$A55,'Таблиця 1'!$I:$I,"Су-25",'Таблиця 1'!$L:$L,"Дорозвідується")+COUNTIFS('Таблиця 1'!$B:$B,$A55,'Таблиця 1'!$I:$I,"Су-27",'Таблиця 1'!$L:$L,"Дорозвідується"))</f>
        <v/>
      </c>
    </row>
    <row r="56">
      <c r="A56" s="273">
        <f>IF(A55="","",IF(A55+1&gt;MAX('Таблиця 1'!$B:$B),"",A55+1))</f>
        <v/>
      </c>
      <c r="B56">
        <f>IF($A56="","",COUNTIFS('Таблиця 1'!$B:$B,$A56,'Таблиця 1'!$I:$I,"Mirage")+COUNTIFS('Таблиця 1'!$B:$B,$A56,'Таблиця 1'!$I:$I,"F-16")+COUNTIFS('Таблиця 1'!$B:$B,$A56,'Таблиця 1'!$I:$I,"МіГ-29")+COUNTIFS('Таблиця 1'!$B:$B,$A56,'Таблиця 1'!$I:$I,"Су-25")+COUNTIFS('Таблиця 1'!$B:$B,$A56,'Таблиця 1'!$I:$I,"Су-27"))</f>
        <v/>
      </c>
      <c r="C56">
        <f>IF($A56="","",COUNTIFS('Таблиця 1'!$B:$B,$A56,'Таблиця 1'!$I:$I,"Mirage"))</f>
        <v/>
      </c>
      <c r="D56">
        <f>IF($A56="","",COUNTIFS('Таблиця 1'!$B:$B,$A56,'Таблиця 1'!$I:$I,"F-16"))</f>
        <v/>
      </c>
      <c r="E56">
        <f>IF($A56="","",COUNTIFS('Таблиця 1'!$B:$B,$A56,'Таблиця 1'!$I:$I,"МіГ-29"))</f>
        <v/>
      </c>
      <c r="F56">
        <f>IF($A56="","",COUNTIFS('Таблиця 1'!$B:$B,$A56,'Таблиця 1'!$I:$I,"Су-25"))</f>
        <v/>
      </c>
      <c r="G56">
        <f>IF($A56="","",COUNTIFS('Таблиця 1'!$B:$B,$A56,'Таблиця 1'!$I:$I,"Су-27"))</f>
        <v/>
      </c>
      <c r="H56">
        <f>IF($A56="","",SUMIFS('Таблиця 1'!$K:$K,'Таблиця 1'!$B:$B,$A56,'Таблиця 1'!$I:$I,"Mirage",'Таблиця 1'!$J:$J,"AGM-88")+SUMIFS('Таблиця 1'!$K:$K,'Таблиця 1'!$B:$B,$A56,'Таблиця 1'!$I:$I,"F-16",'Таблиця 1'!$J:$J,"AGM-88")+SUMIFS('Таблиця 1'!$K:$K,'Таблиця 1'!$B:$B,$A56,'Таблиця 1'!$I:$I,"МіГ-29",'Таблиця 1'!$J:$J,"AGM-88")+SUMIFS('Таблиця 1'!$K:$K,'Таблиця 1'!$B:$B,$A56,'Таблиця 1'!$I:$I,"Су-25",'Таблиця 1'!$J:$J,"AGM-88")+SUMIFS('Таблиця 1'!$K:$K,'Таблиця 1'!$B:$B,$A56,'Таблиця 1'!$I:$I,"Су-27",'Таблиця 1'!$J:$J,"AGM-88"))</f>
        <v/>
      </c>
      <c r="I56">
        <f>IF($A56="","",SUMIFS('Таблиця 1'!$K:$K,'Таблиця 1'!$B:$B,$A56,'Таблиця 1'!$I:$I,"Mirage",'Таблиця 1'!$J:$J,"AASM-250")+SUMIFS('Таблиця 1'!$K:$K,'Таблиця 1'!$B:$B,$A56,'Таблиця 1'!$I:$I,"F-16",'Таблиця 1'!$J:$J,"AASM-250")+SUMIFS('Таблиця 1'!$K:$K,'Таблиця 1'!$B:$B,$A56,'Таблиця 1'!$I:$I,"МіГ-29",'Таблиця 1'!$J:$J,"AASM-250")+SUMIFS('Таблиця 1'!$K:$K,'Таблиця 1'!$B:$B,$A56,'Таблиця 1'!$I:$I,"Су-25",'Таблиця 1'!$J:$J,"AASM-250")+SUMIFS('Таблиця 1'!$K:$K,'Таблиця 1'!$B:$B,$A56,'Таблиця 1'!$I:$I,"Су-27",'Таблиця 1'!$J:$J,"AASM-250"))</f>
        <v/>
      </c>
      <c r="J56">
        <f>IF($A56="","",SUMIFS('Таблиця 1'!$K:$K,'Таблиця 1'!$B:$B,$A56,'Таблиця 1'!$I:$I,"Mirage",'Таблиця 1'!$J:$J,"GBU-39")+SUMIFS('Таблиця 1'!$K:$K,'Таблиця 1'!$B:$B,$A56,'Таблиця 1'!$I:$I,"F-16",'Таблиця 1'!$J:$J,"GBU-39")+SUMIFS('Таблиця 1'!$K:$K,'Таблиця 1'!$B:$B,$A56,'Таблиця 1'!$I:$I,"МіГ-29",'Таблиця 1'!$J:$J,"GBU-39")+SUMIFS('Таблиця 1'!$K:$K,'Таблиця 1'!$B:$B,$A56,'Таблиця 1'!$I:$I,"Су-25",'Таблиця 1'!$J:$J,"GBU-39")+SUMIFS('Таблиця 1'!$K:$K,'Таблиця 1'!$B:$B,$A56,'Таблиця 1'!$I:$I,"Су-27",'Таблиця 1'!$J:$J,"GBU-39"))</f>
        <v/>
      </c>
      <c r="K56">
        <f>IF($A56="","",SUMIFS('Таблиця 1'!$K:$K,'Таблиця 1'!$B:$B,$A56,'Таблиця 1'!$I:$I,"Mirage",'Таблиця 1'!$J:$J,"BLU-140")+SUMIFS('Таблиця 1'!$K:$K,'Таблиця 1'!$B:$B,$A56,'Таблиця 1'!$I:$I,"F-16",'Таблиця 1'!$J:$J,"BLU-140")+SUMIFS('Таблиця 1'!$K:$K,'Таблиця 1'!$B:$B,$A56,'Таблиця 1'!$I:$I,"МіГ-29",'Таблиця 1'!$J:$J,"BLU-140")+SUMIFS('Таблиця 1'!$K:$K,'Таблиця 1'!$B:$B,$A56,'Таблиця 1'!$I:$I,"Су-25",'Таблиця 1'!$J:$J,"BLU-140")+SUMIFS('Таблиця 1'!$K:$K,'Таблиця 1'!$B:$B,$A56,'Таблиця 1'!$I:$I,"Су-27",'Таблиця 1'!$J:$J,"BLU-140"))</f>
        <v/>
      </c>
      <c r="L56">
        <f>IF($A56="","",SUMIFS('Таблиця 1'!$K:$K,'Таблиця 1'!$B:$B,$A56,'Таблиця 1'!$I:$I,"Mirage",'Таблиця 1'!$J:$J,"GBU-65")+SUMIFS('Таблиця 1'!$K:$K,'Таблиця 1'!$B:$B,$A56,'Таблиця 1'!$I:$I,"F-16",'Таблиця 1'!$J:$J,"GBU-65")+SUMIFS('Таблиця 1'!$K:$K,'Таблиця 1'!$B:$B,$A56,'Таблиця 1'!$I:$I,"МіГ-29",'Таблиця 1'!$J:$J,"GBU-65")+SUMIFS('Таблиця 1'!$K:$K,'Таблиця 1'!$B:$B,$A56,'Таблиця 1'!$I:$I,"Су-25",'Таблиця 1'!$J:$J,"GBU-65")+SUMIFS('Таблиця 1'!$K:$K,'Таблиця 1'!$B:$B,$A56,'Таблиця 1'!$I:$I,"Су-27",'Таблиця 1'!$J:$J,"GBU-65"))</f>
        <v/>
      </c>
      <c r="M56">
        <f>IF($A56="","",SUMIFS('Таблиця 1'!$K:$K,'Таблиця 1'!$B:$B,$A56,'Таблиця 1'!$I:$I,"Mirage",'Таблиця 1'!$J:$J,"GBU-62")+SUMIFS('Таблиця 1'!$K:$K,'Таблиця 1'!$B:$B,$A56,'Таблиця 1'!$I:$I,"F-16",'Таблиця 1'!$J:$J,"GBU-62")+SUMIFS('Таблиця 1'!$K:$K,'Таблиця 1'!$B:$B,$A56,'Таблиця 1'!$I:$I,"МіГ-29",'Таблиця 1'!$J:$J,"GBU-62")+SUMIFS('Таблиця 1'!$K:$K,'Таблиця 1'!$B:$B,$A56,'Таблиця 1'!$I:$I,"Су-25",'Таблиця 1'!$J:$J,"GBU-62")+SUMIFS('Таблиця 1'!$K:$K,'Таблиця 1'!$B:$B,$A56,'Таблиця 1'!$I:$I,"Су-27",'Таблиця 1'!$J:$J,"GBU-62"))</f>
        <v/>
      </c>
      <c r="N56">
        <f>IF($A56="","",SUMIFS('Таблиця 1'!$K:$K,'Таблиця 1'!$B:$B,$A56,'Таблиця 1'!$I:$I,"Mirage",'Таблиця 1'!$J:$J,"GBU-64")+SUMIFS('Таблиця 1'!$K:$K,'Таблиця 1'!$B:$B,$A56,'Таблиця 1'!$I:$I,"F-16",'Таблиця 1'!$J:$J,"GBU-64")+SUMIFS('Таблиця 1'!$K:$K,'Таблиця 1'!$B:$B,$A56,'Таблиця 1'!$I:$I,"МіГ-29",'Таблиця 1'!$J:$J,"GBU-64")+SUMIFS('Таблиця 1'!$K:$K,'Таблиця 1'!$B:$B,$A56,'Таблиця 1'!$I:$I,"Су-25",'Таблиця 1'!$J:$J,"GBU-64")+SUMIFS('Таблиця 1'!$K:$K,'Таблиця 1'!$B:$B,$A56,'Таблиця 1'!$I:$I,"Су-27",'Таблиця 1'!$J:$J,"GBU-64"))</f>
        <v/>
      </c>
      <c r="O56">
        <f>IF($A56="","",SUMIFS('Таблиця 1'!$K:$K,'Таблиця 1'!$B:$B,$A56,'Таблиця 1'!$I:$I,"Mirage",'Таблиця 1'!$J:$J,"C-13")+SUMIFS('Таблиця 1'!$K:$K,'Таблиця 1'!$B:$B,$A56,'Таблиця 1'!$I:$I,"F-16",'Таблиця 1'!$J:$J,"C-13")+SUMIFS('Таблиця 1'!$K:$K,'Таблиця 1'!$B:$B,$A56,'Таблиця 1'!$I:$I,"МіГ-29",'Таблиця 1'!$J:$J,"C-13")+SUMIFS('Таблиця 1'!$K:$K,'Таблиця 1'!$B:$B,$A56,'Таблиця 1'!$I:$I,"Су-25",'Таблиця 1'!$J:$J,"C-13")+SUMIFS('Таблиця 1'!$K:$K,'Таблиця 1'!$B:$B,$A56,'Таблиця 1'!$I:$I,"Су-27",'Таблиця 1'!$J:$J,"C-13"))</f>
        <v/>
      </c>
      <c r="P56">
        <f>IF($A56="","",SUMIFS('Таблиця 1'!$K:$K,'Таблиця 1'!$B:$B,$A56,'Таблиця 1'!$I:$I,"Mirage",'Таблиця 1'!$J:$J,"MK-32")+SUMIFS('Таблиця 1'!$K:$K,'Таблиця 1'!$B:$B,$A56,'Таблиця 1'!$I:$I,"F-16",'Таблиця 1'!$J:$J,"MK-32")+SUMIFS('Таблиця 1'!$K:$K,'Таблиця 1'!$B:$B,$A56,'Таблиця 1'!$I:$I,"МіГ-29",'Таблиця 1'!$J:$J,"MK-32")+SUMIFS('Таблиця 1'!$K:$K,'Таблиця 1'!$B:$B,$A56,'Таблиця 1'!$I:$I,"Су-25",'Таблиця 1'!$J:$J,"MK-32")+SUMIFS('Таблиця 1'!$K:$K,'Таблиця 1'!$B:$B,$A56,'Таблиця 1'!$I:$I,"Су-27",'Таблиця 1'!$J:$J,"MK-32"))</f>
        <v/>
      </c>
      <c r="Q56">
        <f>IF($A56="","",SUMIFS('Таблиця 1'!$K:$K,'Таблиця 1'!$B:$B,$A56,'Таблиця 1'!$I:$I,"Mirage",'Таблиця 1'!$J:$J,"MK-24")+SUMIFS('Таблиця 1'!$K:$K,'Таблиця 1'!$B:$B,$A56,'Таблиця 1'!$I:$I,"F-16",'Таблиця 1'!$J:$J,"MK-24")+SUMIFS('Таблиця 1'!$K:$K,'Таблиця 1'!$B:$B,$A56,'Таблиця 1'!$I:$I,"МіГ-29",'Таблиця 1'!$J:$J,"MK-24")+SUMIFS('Таблиця 1'!$K:$K,'Таблиця 1'!$B:$B,$A56,'Таблиця 1'!$I:$I,"Су-25",'Таблиця 1'!$J:$J,"MK-24")+SUMIFS('Таблиця 1'!$K:$K,'Таблиця 1'!$B:$B,$A56,'Таблиця 1'!$I:$I,"Су-27",'Таблиця 1'!$J:$J,"MK-24"))</f>
        <v/>
      </c>
      <c r="R56">
        <f>IF($A56="","",COUNTIFS('Таблиця 1'!$B:$B,$A56,'Таблиця 1'!$I:$I,"Mirage",'Таблиця 1'!$L:$L,"Уражено")+COUNTIFS('Таблиця 1'!$B:$B,$A56,'Таблиця 1'!$I:$I,"F-16",'Таблиця 1'!$L:$L,"Уражено")+COUNTIFS('Таблиця 1'!$B:$B,$A56,'Таблиця 1'!$I:$I,"МіГ-29",'Таблиця 1'!$L:$L,"Уражено")+COUNTIFS('Таблиця 1'!$B:$B,$A56,'Таблиця 1'!$I:$I,"Су-25",'Таблиця 1'!$L:$L,"Уражено")+COUNTIFS('Таблиця 1'!$B:$B,$A56,'Таблиця 1'!$I:$I,"Су-27",'Таблиця 1'!$L:$L,"Уражено"))</f>
        <v/>
      </c>
      <c r="S56">
        <f>IF($A56="","",COUNTIFS('Таблиця 1'!$B:$B,$A56,'Таблиця 1'!$I:$I,"Mirage",'Таблиця 1'!$L:$L,"НЕ уражено")+COUNTIFS('Таблиця 1'!$B:$B,$A56,'Таблиця 1'!$I:$I,"F-16",'Таблиця 1'!$L:$L,"НЕ уражено")+COUNTIFS('Таблиця 1'!$B:$B,$A56,'Таблиця 1'!$I:$I,"МіГ-29",'Таблиця 1'!$L:$L,"НЕ уражено")+COUNTIFS('Таблиця 1'!$B:$B,$A56,'Таблиця 1'!$I:$I,"Су-25",'Таблиця 1'!$L:$L,"НЕ уражено")+COUNTIFS('Таблиця 1'!$B:$B,$A56,'Таблиця 1'!$I:$I,"Су-27",'Таблиця 1'!$L:$L,"НЕ уражено"))</f>
        <v/>
      </c>
      <c r="T56">
        <f>IF($A56="","",COUNTIFS('Таблиця 1'!$B:$B,$A56,'Таблиця 1'!$I:$I,"Mirage",'Таблиця 1'!$L:$L,"Дорозвідується")+COUNTIFS('Таблиця 1'!$B:$B,$A56,'Таблиця 1'!$I:$I,"F-16",'Таблиця 1'!$L:$L,"Дорозвідується")+COUNTIFS('Таблиця 1'!$B:$B,$A56,'Таблиця 1'!$I:$I,"МіГ-29",'Таблиця 1'!$L:$L,"Дорозвідується")+COUNTIFS('Таблиця 1'!$B:$B,$A56,'Таблиця 1'!$I:$I,"Су-25",'Таблиця 1'!$L:$L,"Дорозвідується")+COUNTIFS('Таблиця 1'!$B:$B,$A56,'Таблиця 1'!$I:$I,"Су-27",'Таблиця 1'!$L:$L,"Дорозвідується"))</f>
        <v/>
      </c>
    </row>
    <row r="57">
      <c r="A57" s="273">
        <f>IF(A56="","",IF(A56+1&gt;MAX('Таблиця 1'!$B:$B),"",A56+1))</f>
        <v/>
      </c>
      <c r="B57">
        <f>IF($A57="","",COUNTIFS('Таблиця 1'!$B:$B,$A57,'Таблиця 1'!$I:$I,"Mirage")+COUNTIFS('Таблиця 1'!$B:$B,$A57,'Таблиця 1'!$I:$I,"F-16")+COUNTIFS('Таблиця 1'!$B:$B,$A57,'Таблиця 1'!$I:$I,"МіГ-29")+COUNTIFS('Таблиця 1'!$B:$B,$A57,'Таблиця 1'!$I:$I,"Су-25")+COUNTIFS('Таблиця 1'!$B:$B,$A57,'Таблиця 1'!$I:$I,"Су-27"))</f>
        <v/>
      </c>
      <c r="C57">
        <f>IF($A57="","",COUNTIFS('Таблиця 1'!$B:$B,$A57,'Таблиця 1'!$I:$I,"Mirage"))</f>
        <v/>
      </c>
      <c r="D57">
        <f>IF($A57="","",COUNTIFS('Таблиця 1'!$B:$B,$A57,'Таблиця 1'!$I:$I,"F-16"))</f>
        <v/>
      </c>
      <c r="E57">
        <f>IF($A57="","",COUNTIFS('Таблиця 1'!$B:$B,$A57,'Таблиця 1'!$I:$I,"МіГ-29"))</f>
        <v/>
      </c>
      <c r="F57">
        <f>IF($A57="","",COUNTIFS('Таблиця 1'!$B:$B,$A57,'Таблиця 1'!$I:$I,"Су-25"))</f>
        <v/>
      </c>
      <c r="G57">
        <f>IF($A57="","",COUNTIFS('Таблиця 1'!$B:$B,$A57,'Таблиця 1'!$I:$I,"Су-27"))</f>
        <v/>
      </c>
      <c r="H57">
        <f>IF($A57="","",SUMIFS('Таблиця 1'!$K:$K,'Таблиця 1'!$B:$B,$A57,'Таблиця 1'!$I:$I,"Mirage",'Таблиця 1'!$J:$J,"AGM-88")+SUMIFS('Таблиця 1'!$K:$K,'Таблиця 1'!$B:$B,$A57,'Таблиця 1'!$I:$I,"F-16",'Таблиця 1'!$J:$J,"AGM-88")+SUMIFS('Таблиця 1'!$K:$K,'Таблиця 1'!$B:$B,$A57,'Таблиця 1'!$I:$I,"МіГ-29",'Таблиця 1'!$J:$J,"AGM-88")+SUMIFS('Таблиця 1'!$K:$K,'Таблиця 1'!$B:$B,$A57,'Таблиця 1'!$I:$I,"Су-25",'Таблиця 1'!$J:$J,"AGM-88")+SUMIFS('Таблиця 1'!$K:$K,'Таблиця 1'!$B:$B,$A57,'Таблиця 1'!$I:$I,"Су-27",'Таблиця 1'!$J:$J,"AGM-88"))</f>
        <v/>
      </c>
      <c r="I57">
        <f>IF($A57="","",SUMIFS('Таблиця 1'!$K:$K,'Таблиця 1'!$B:$B,$A57,'Таблиця 1'!$I:$I,"Mirage",'Таблиця 1'!$J:$J,"AASM-250")+SUMIFS('Таблиця 1'!$K:$K,'Таблиця 1'!$B:$B,$A57,'Таблиця 1'!$I:$I,"F-16",'Таблиця 1'!$J:$J,"AASM-250")+SUMIFS('Таблиця 1'!$K:$K,'Таблиця 1'!$B:$B,$A57,'Таблиця 1'!$I:$I,"МіГ-29",'Таблиця 1'!$J:$J,"AASM-250")+SUMIFS('Таблиця 1'!$K:$K,'Таблиця 1'!$B:$B,$A57,'Таблиця 1'!$I:$I,"Су-25",'Таблиця 1'!$J:$J,"AASM-250")+SUMIFS('Таблиця 1'!$K:$K,'Таблиця 1'!$B:$B,$A57,'Таблиця 1'!$I:$I,"Су-27",'Таблиця 1'!$J:$J,"AASM-250"))</f>
        <v/>
      </c>
      <c r="J57">
        <f>IF($A57="","",SUMIFS('Таблиця 1'!$K:$K,'Таблиця 1'!$B:$B,$A57,'Таблиця 1'!$I:$I,"Mirage",'Таблиця 1'!$J:$J,"GBU-39")+SUMIFS('Таблиця 1'!$K:$K,'Таблиця 1'!$B:$B,$A57,'Таблиця 1'!$I:$I,"F-16",'Таблиця 1'!$J:$J,"GBU-39")+SUMIFS('Таблиця 1'!$K:$K,'Таблиця 1'!$B:$B,$A57,'Таблиця 1'!$I:$I,"МіГ-29",'Таблиця 1'!$J:$J,"GBU-39")+SUMIFS('Таблиця 1'!$K:$K,'Таблиця 1'!$B:$B,$A57,'Таблиця 1'!$I:$I,"Су-25",'Таблиця 1'!$J:$J,"GBU-39")+SUMIFS('Таблиця 1'!$K:$K,'Таблиця 1'!$B:$B,$A57,'Таблиця 1'!$I:$I,"Су-27",'Таблиця 1'!$J:$J,"GBU-39"))</f>
        <v/>
      </c>
      <c r="K57">
        <f>IF($A57="","",SUMIFS('Таблиця 1'!$K:$K,'Таблиця 1'!$B:$B,$A57,'Таблиця 1'!$I:$I,"Mirage",'Таблиця 1'!$J:$J,"BLU-140")+SUMIFS('Таблиця 1'!$K:$K,'Таблиця 1'!$B:$B,$A57,'Таблиця 1'!$I:$I,"F-16",'Таблиця 1'!$J:$J,"BLU-140")+SUMIFS('Таблиця 1'!$K:$K,'Таблиця 1'!$B:$B,$A57,'Таблиця 1'!$I:$I,"МіГ-29",'Таблиця 1'!$J:$J,"BLU-140")+SUMIFS('Таблиця 1'!$K:$K,'Таблиця 1'!$B:$B,$A57,'Таблиця 1'!$I:$I,"Су-25",'Таблиця 1'!$J:$J,"BLU-140")+SUMIFS('Таблиця 1'!$K:$K,'Таблиця 1'!$B:$B,$A57,'Таблиця 1'!$I:$I,"Су-27",'Таблиця 1'!$J:$J,"BLU-140"))</f>
        <v/>
      </c>
      <c r="L57">
        <f>IF($A57="","",SUMIFS('Таблиця 1'!$K:$K,'Таблиця 1'!$B:$B,$A57,'Таблиця 1'!$I:$I,"Mirage",'Таблиця 1'!$J:$J,"GBU-65")+SUMIFS('Таблиця 1'!$K:$K,'Таблиця 1'!$B:$B,$A57,'Таблиця 1'!$I:$I,"F-16",'Таблиця 1'!$J:$J,"GBU-65")+SUMIFS('Таблиця 1'!$K:$K,'Таблиця 1'!$B:$B,$A57,'Таблиця 1'!$I:$I,"МіГ-29",'Таблиця 1'!$J:$J,"GBU-65")+SUMIFS('Таблиця 1'!$K:$K,'Таблиця 1'!$B:$B,$A57,'Таблиця 1'!$I:$I,"Су-25",'Таблиця 1'!$J:$J,"GBU-65")+SUMIFS('Таблиця 1'!$K:$K,'Таблиця 1'!$B:$B,$A57,'Таблиця 1'!$I:$I,"Су-27",'Таблиця 1'!$J:$J,"GBU-65"))</f>
        <v/>
      </c>
      <c r="M57">
        <f>IF($A57="","",SUMIFS('Таблиця 1'!$K:$K,'Таблиця 1'!$B:$B,$A57,'Таблиця 1'!$I:$I,"Mirage",'Таблиця 1'!$J:$J,"GBU-62")+SUMIFS('Таблиця 1'!$K:$K,'Таблиця 1'!$B:$B,$A57,'Таблиця 1'!$I:$I,"F-16",'Таблиця 1'!$J:$J,"GBU-62")+SUMIFS('Таблиця 1'!$K:$K,'Таблиця 1'!$B:$B,$A57,'Таблиця 1'!$I:$I,"МіГ-29",'Таблиця 1'!$J:$J,"GBU-62")+SUMIFS('Таблиця 1'!$K:$K,'Таблиця 1'!$B:$B,$A57,'Таблиця 1'!$I:$I,"Су-25",'Таблиця 1'!$J:$J,"GBU-62")+SUMIFS('Таблиця 1'!$K:$K,'Таблиця 1'!$B:$B,$A57,'Таблиця 1'!$I:$I,"Су-27",'Таблиця 1'!$J:$J,"GBU-62"))</f>
        <v/>
      </c>
      <c r="N57">
        <f>IF($A57="","",SUMIFS('Таблиця 1'!$K:$K,'Таблиця 1'!$B:$B,$A57,'Таблиця 1'!$I:$I,"Mirage",'Таблиця 1'!$J:$J,"GBU-64")+SUMIFS('Таблиця 1'!$K:$K,'Таблиця 1'!$B:$B,$A57,'Таблиця 1'!$I:$I,"F-16",'Таблиця 1'!$J:$J,"GBU-64")+SUMIFS('Таблиця 1'!$K:$K,'Таблиця 1'!$B:$B,$A57,'Таблиця 1'!$I:$I,"МіГ-29",'Таблиця 1'!$J:$J,"GBU-64")+SUMIFS('Таблиця 1'!$K:$K,'Таблиця 1'!$B:$B,$A57,'Таблиця 1'!$I:$I,"Су-25",'Таблиця 1'!$J:$J,"GBU-64")+SUMIFS('Таблиця 1'!$K:$K,'Таблиця 1'!$B:$B,$A57,'Таблиця 1'!$I:$I,"Су-27",'Таблиця 1'!$J:$J,"GBU-64"))</f>
        <v/>
      </c>
      <c r="O57">
        <f>IF($A57="","",SUMIFS('Таблиця 1'!$K:$K,'Таблиця 1'!$B:$B,$A57,'Таблиця 1'!$I:$I,"Mirage",'Таблиця 1'!$J:$J,"C-13")+SUMIFS('Таблиця 1'!$K:$K,'Таблиця 1'!$B:$B,$A57,'Таблиця 1'!$I:$I,"F-16",'Таблиця 1'!$J:$J,"C-13")+SUMIFS('Таблиця 1'!$K:$K,'Таблиця 1'!$B:$B,$A57,'Таблиця 1'!$I:$I,"МіГ-29",'Таблиця 1'!$J:$J,"C-13")+SUMIFS('Таблиця 1'!$K:$K,'Таблиця 1'!$B:$B,$A57,'Таблиця 1'!$I:$I,"Су-25",'Таблиця 1'!$J:$J,"C-13")+SUMIFS('Таблиця 1'!$K:$K,'Таблиця 1'!$B:$B,$A57,'Таблиця 1'!$I:$I,"Су-27",'Таблиця 1'!$J:$J,"C-13"))</f>
        <v/>
      </c>
      <c r="P57">
        <f>IF($A57="","",SUMIFS('Таблиця 1'!$K:$K,'Таблиця 1'!$B:$B,$A57,'Таблиця 1'!$I:$I,"Mirage",'Таблиця 1'!$J:$J,"MK-32")+SUMIFS('Таблиця 1'!$K:$K,'Таблиця 1'!$B:$B,$A57,'Таблиця 1'!$I:$I,"F-16",'Таблиця 1'!$J:$J,"MK-32")+SUMIFS('Таблиця 1'!$K:$K,'Таблиця 1'!$B:$B,$A57,'Таблиця 1'!$I:$I,"МіГ-29",'Таблиця 1'!$J:$J,"MK-32")+SUMIFS('Таблиця 1'!$K:$K,'Таблиця 1'!$B:$B,$A57,'Таблиця 1'!$I:$I,"Су-25",'Таблиця 1'!$J:$J,"MK-32")+SUMIFS('Таблиця 1'!$K:$K,'Таблиця 1'!$B:$B,$A57,'Таблиця 1'!$I:$I,"Су-27",'Таблиця 1'!$J:$J,"MK-32"))</f>
        <v/>
      </c>
      <c r="Q57">
        <f>IF($A57="","",SUMIFS('Таблиця 1'!$K:$K,'Таблиця 1'!$B:$B,$A57,'Таблиця 1'!$I:$I,"Mirage",'Таблиця 1'!$J:$J,"MK-24")+SUMIFS('Таблиця 1'!$K:$K,'Таблиця 1'!$B:$B,$A57,'Таблиця 1'!$I:$I,"F-16",'Таблиця 1'!$J:$J,"MK-24")+SUMIFS('Таблиця 1'!$K:$K,'Таблиця 1'!$B:$B,$A57,'Таблиця 1'!$I:$I,"МіГ-29",'Таблиця 1'!$J:$J,"MK-24")+SUMIFS('Таблиця 1'!$K:$K,'Таблиця 1'!$B:$B,$A57,'Таблиця 1'!$I:$I,"Су-25",'Таблиця 1'!$J:$J,"MK-24")+SUMIFS('Таблиця 1'!$K:$K,'Таблиця 1'!$B:$B,$A57,'Таблиця 1'!$I:$I,"Су-27",'Таблиця 1'!$J:$J,"MK-24"))</f>
        <v/>
      </c>
      <c r="R57">
        <f>IF($A57="","",COUNTIFS('Таблиця 1'!$B:$B,$A57,'Таблиця 1'!$I:$I,"Mirage",'Таблиця 1'!$L:$L,"Уражено")+COUNTIFS('Таблиця 1'!$B:$B,$A57,'Таблиця 1'!$I:$I,"F-16",'Таблиця 1'!$L:$L,"Уражено")+COUNTIFS('Таблиця 1'!$B:$B,$A57,'Таблиця 1'!$I:$I,"МіГ-29",'Таблиця 1'!$L:$L,"Уражено")+COUNTIFS('Таблиця 1'!$B:$B,$A57,'Таблиця 1'!$I:$I,"Су-25",'Таблиця 1'!$L:$L,"Уражено")+COUNTIFS('Таблиця 1'!$B:$B,$A57,'Таблиця 1'!$I:$I,"Су-27",'Таблиця 1'!$L:$L,"Уражено"))</f>
        <v/>
      </c>
      <c r="S57">
        <f>IF($A57="","",COUNTIFS('Таблиця 1'!$B:$B,$A57,'Таблиця 1'!$I:$I,"Mirage",'Таблиця 1'!$L:$L,"НЕ уражено")+COUNTIFS('Таблиця 1'!$B:$B,$A57,'Таблиця 1'!$I:$I,"F-16",'Таблиця 1'!$L:$L,"НЕ уражено")+COUNTIFS('Таблиця 1'!$B:$B,$A57,'Таблиця 1'!$I:$I,"МіГ-29",'Таблиця 1'!$L:$L,"НЕ уражено")+COUNTIFS('Таблиця 1'!$B:$B,$A57,'Таблиця 1'!$I:$I,"Су-25",'Таблиця 1'!$L:$L,"НЕ уражено")+COUNTIFS('Таблиця 1'!$B:$B,$A57,'Таблиця 1'!$I:$I,"Су-27",'Таблиця 1'!$L:$L,"НЕ уражено"))</f>
        <v/>
      </c>
      <c r="T57">
        <f>IF($A57="","",COUNTIFS('Таблиця 1'!$B:$B,$A57,'Таблиця 1'!$I:$I,"Mirage",'Таблиця 1'!$L:$L,"Дорозвідується")+COUNTIFS('Таблиця 1'!$B:$B,$A57,'Таблиця 1'!$I:$I,"F-16",'Таблиця 1'!$L:$L,"Дорозвідується")+COUNTIFS('Таблиця 1'!$B:$B,$A57,'Таблиця 1'!$I:$I,"МіГ-29",'Таблиця 1'!$L:$L,"Дорозвідується")+COUNTIFS('Таблиця 1'!$B:$B,$A57,'Таблиця 1'!$I:$I,"Су-25",'Таблиця 1'!$L:$L,"Дорозвідується")+COUNTIFS('Таблиця 1'!$B:$B,$A57,'Таблиця 1'!$I:$I,"Су-27",'Таблиця 1'!$L:$L,"Дорозвідується"))</f>
        <v/>
      </c>
    </row>
    <row r="58">
      <c r="A58" s="273">
        <f>IF(A57="","",IF(A57+1&gt;MAX('Таблиця 1'!$B:$B),"",A57+1))</f>
        <v/>
      </c>
      <c r="B58">
        <f>IF($A58="","",COUNTIFS('Таблиця 1'!$B:$B,$A58,'Таблиця 1'!$I:$I,"Mirage")+COUNTIFS('Таблиця 1'!$B:$B,$A58,'Таблиця 1'!$I:$I,"F-16")+COUNTIFS('Таблиця 1'!$B:$B,$A58,'Таблиця 1'!$I:$I,"МіГ-29")+COUNTIFS('Таблиця 1'!$B:$B,$A58,'Таблиця 1'!$I:$I,"Су-25")+COUNTIFS('Таблиця 1'!$B:$B,$A58,'Таблиця 1'!$I:$I,"Су-27"))</f>
        <v/>
      </c>
      <c r="C58">
        <f>IF($A58="","",COUNTIFS('Таблиця 1'!$B:$B,$A58,'Таблиця 1'!$I:$I,"Mirage"))</f>
        <v/>
      </c>
      <c r="D58">
        <f>IF($A58="","",COUNTIFS('Таблиця 1'!$B:$B,$A58,'Таблиця 1'!$I:$I,"F-16"))</f>
        <v/>
      </c>
      <c r="E58">
        <f>IF($A58="","",COUNTIFS('Таблиця 1'!$B:$B,$A58,'Таблиця 1'!$I:$I,"МіГ-29"))</f>
        <v/>
      </c>
      <c r="F58">
        <f>IF($A58="","",COUNTIFS('Таблиця 1'!$B:$B,$A58,'Таблиця 1'!$I:$I,"Су-25"))</f>
        <v/>
      </c>
      <c r="G58">
        <f>IF($A58="","",COUNTIFS('Таблиця 1'!$B:$B,$A58,'Таблиця 1'!$I:$I,"Су-27"))</f>
        <v/>
      </c>
      <c r="H58">
        <f>IF($A58="","",SUMIFS('Таблиця 1'!$K:$K,'Таблиця 1'!$B:$B,$A58,'Таблиця 1'!$I:$I,"Mirage",'Таблиця 1'!$J:$J,"AGM-88")+SUMIFS('Таблиця 1'!$K:$K,'Таблиця 1'!$B:$B,$A58,'Таблиця 1'!$I:$I,"F-16",'Таблиця 1'!$J:$J,"AGM-88")+SUMIFS('Таблиця 1'!$K:$K,'Таблиця 1'!$B:$B,$A58,'Таблиця 1'!$I:$I,"МіГ-29",'Таблиця 1'!$J:$J,"AGM-88")+SUMIFS('Таблиця 1'!$K:$K,'Таблиця 1'!$B:$B,$A58,'Таблиця 1'!$I:$I,"Су-25",'Таблиця 1'!$J:$J,"AGM-88")+SUMIFS('Таблиця 1'!$K:$K,'Таблиця 1'!$B:$B,$A58,'Таблиця 1'!$I:$I,"Су-27",'Таблиця 1'!$J:$J,"AGM-88"))</f>
        <v/>
      </c>
      <c r="I58">
        <f>IF($A58="","",SUMIFS('Таблиця 1'!$K:$K,'Таблиця 1'!$B:$B,$A58,'Таблиця 1'!$I:$I,"Mirage",'Таблиця 1'!$J:$J,"AASM-250")+SUMIFS('Таблиця 1'!$K:$K,'Таблиця 1'!$B:$B,$A58,'Таблиця 1'!$I:$I,"F-16",'Таблиця 1'!$J:$J,"AASM-250")+SUMIFS('Таблиця 1'!$K:$K,'Таблиця 1'!$B:$B,$A58,'Таблиця 1'!$I:$I,"МіГ-29",'Таблиця 1'!$J:$J,"AASM-250")+SUMIFS('Таблиця 1'!$K:$K,'Таблиця 1'!$B:$B,$A58,'Таблиця 1'!$I:$I,"Су-25",'Таблиця 1'!$J:$J,"AASM-250")+SUMIFS('Таблиця 1'!$K:$K,'Таблиця 1'!$B:$B,$A58,'Таблиця 1'!$I:$I,"Су-27",'Таблиця 1'!$J:$J,"AASM-250"))</f>
        <v/>
      </c>
      <c r="J58">
        <f>IF($A58="","",SUMIFS('Таблиця 1'!$K:$K,'Таблиця 1'!$B:$B,$A58,'Таблиця 1'!$I:$I,"Mirage",'Таблиця 1'!$J:$J,"GBU-39")+SUMIFS('Таблиця 1'!$K:$K,'Таблиця 1'!$B:$B,$A58,'Таблиця 1'!$I:$I,"F-16",'Таблиця 1'!$J:$J,"GBU-39")+SUMIFS('Таблиця 1'!$K:$K,'Таблиця 1'!$B:$B,$A58,'Таблиця 1'!$I:$I,"МіГ-29",'Таблиця 1'!$J:$J,"GBU-39")+SUMIFS('Таблиця 1'!$K:$K,'Таблиця 1'!$B:$B,$A58,'Таблиця 1'!$I:$I,"Су-25",'Таблиця 1'!$J:$J,"GBU-39")+SUMIFS('Таблиця 1'!$K:$K,'Таблиця 1'!$B:$B,$A58,'Таблиця 1'!$I:$I,"Су-27",'Таблиця 1'!$J:$J,"GBU-39"))</f>
        <v/>
      </c>
      <c r="K58">
        <f>IF($A58="","",SUMIFS('Таблиця 1'!$K:$K,'Таблиця 1'!$B:$B,$A58,'Таблиця 1'!$I:$I,"Mirage",'Таблиця 1'!$J:$J,"BLU-140")+SUMIFS('Таблиця 1'!$K:$K,'Таблиця 1'!$B:$B,$A58,'Таблиця 1'!$I:$I,"F-16",'Таблиця 1'!$J:$J,"BLU-140")+SUMIFS('Таблиця 1'!$K:$K,'Таблиця 1'!$B:$B,$A58,'Таблиця 1'!$I:$I,"МіГ-29",'Таблиця 1'!$J:$J,"BLU-140")+SUMIFS('Таблиця 1'!$K:$K,'Таблиця 1'!$B:$B,$A58,'Таблиця 1'!$I:$I,"Су-25",'Таблиця 1'!$J:$J,"BLU-140")+SUMIFS('Таблиця 1'!$K:$K,'Таблиця 1'!$B:$B,$A58,'Таблиця 1'!$I:$I,"Су-27",'Таблиця 1'!$J:$J,"BLU-140"))</f>
        <v/>
      </c>
      <c r="L58">
        <f>IF($A58="","",SUMIFS('Таблиця 1'!$K:$K,'Таблиця 1'!$B:$B,$A58,'Таблиця 1'!$I:$I,"Mirage",'Таблиця 1'!$J:$J,"GBU-65")+SUMIFS('Таблиця 1'!$K:$K,'Таблиця 1'!$B:$B,$A58,'Таблиця 1'!$I:$I,"F-16",'Таблиця 1'!$J:$J,"GBU-65")+SUMIFS('Таблиця 1'!$K:$K,'Таблиця 1'!$B:$B,$A58,'Таблиця 1'!$I:$I,"МіГ-29",'Таблиця 1'!$J:$J,"GBU-65")+SUMIFS('Таблиця 1'!$K:$K,'Таблиця 1'!$B:$B,$A58,'Таблиця 1'!$I:$I,"Су-25",'Таблиця 1'!$J:$J,"GBU-65")+SUMIFS('Таблиця 1'!$K:$K,'Таблиця 1'!$B:$B,$A58,'Таблиця 1'!$I:$I,"Су-27",'Таблиця 1'!$J:$J,"GBU-65"))</f>
        <v/>
      </c>
      <c r="M58">
        <f>IF($A58="","",SUMIFS('Таблиця 1'!$K:$K,'Таблиця 1'!$B:$B,$A58,'Таблиця 1'!$I:$I,"Mirage",'Таблиця 1'!$J:$J,"GBU-62")+SUMIFS('Таблиця 1'!$K:$K,'Таблиця 1'!$B:$B,$A58,'Таблиця 1'!$I:$I,"F-16",'Таблиця 1'!$J:$J,"GBU-62")+SUMIFS('Таблиця 1'!$K:$K,'Таблиця 1'!$B:$B,$A58,'Таблиця 1'!$I:$I,"МіГ-29",'Таблиця 1'!$J:$J,"GBU-62")+SUMIFS('Таблиця 1'!$K:$K,'Таблиця 1'!$B:$B,$A58,'Таблиця 1'!$I:$I,"Су-25",'Таблиця 1'!$J:$J,"GBU-62")+SUMIFS('Таблиця 1'!$K:$K,'Таблиця 1'!$B:$B,$A58,'Таблиця 1'!$I:$I,"Су-27",'Таблиця 1'!$J:$J,"GBU-62"))</f>
        <v/>
      </c>
      <c r="N58">
        <f>IF($A58="","",SUMIFS('Таблиця 1'!$K:$K,'Таблиця 1'!$B:$B,$A58,'Таблиця 1'!$I:$I,"Mirage",'Таблиця 1'!$J:$J,"GBU-64")+SUMIFS('Таблиця 1'!$K:$K,'Таблиця 1'!$B:$B,$A58,'Таблиця 1'!$I:$I,"F-16",'Таблиця 1'!$J:$J,"GBU-64")+SUMIFS('Таблиця 1'!$K:$K,'Таблиця 1'!$B:$B,$A58,'Таблиця 1'!$I:$I,"МіГ-29",'Таблиця 1'!$J:$J,"GBU-64")+SUMIFS('Таблиця 1'!$K:$K,'Таблиця 1'!$B:$B,$A58,'Таблиця 1'!$I:$I,"Су-25",'Таблиця 1'!$J:$J,"GBU-64")+SUMIFS('Таблиця 1'!$K:$K,'Таблиця 1'!$B:$B,$A58,'Таблиця 1'!$I:$I,"Су-27",'Таблиця 1'!$J:$J,"GBU-64"))</f>
        <v/>
      </c>
      <c r="O58">
        <f>IF($A58="","",SUMIFS('Таблиця 1'!$K:$K,'Таблиця 1'!$B:$B,$A58,'Таблиця 1'!$I:$I,"Mirage",'Таблиця 1'!$J:$J,"C-13")+SUMIFS('Таблиця 1'!$K:$K,'Таблиця 1'!$B:$B,$A58,'Таблиця 1'!$I:$I,"F-16",'Таблиця 1'!$J:$J,"C-13")+SUMIFS('Таблиця 1'!$K:$K,'Таблиця 1'!$B:$B,$A58,'Таблиця 1'!$I:$I,"МіГ-29",'Таблиця 1'!$J:$J,"C-13")+SUMIFS('Таблиця 1'!$K:$K,'Таблиця 1'!$B:$B,$A58,'Таблиця 1'!$I:$I,"Су-25",'Таблиця 1'!$J:$J,"C-13")+SUMIFS('Таблиця 1'!$K:$K,'Таблиця 1'!$B:$B,$A58,'Таблиця 1'!$I:$I,"Су-27",'Таблиця 1'!$J:$J,"C-13"))</f>
        <v/>
      </c>
      <c r="P58">
        <f>IF($A58="","",SUMIFS('Таблиця 1'!$K:$K,'Таблиця 1'!$B:$B,$A58,'Таблиця 1'!$I:$I,"Mirage",'Таблиця 1'!$J:$J,"MK-32")+SUMIFS('Таблиця 1'!$K:$K,'Таблиця 1'!$B:$B,$A58,'Таблиця 1'!$I:$I,"F-16",'Таблиця 1'!$J:$J,"MK-32")+SUMIFS('Таблиця 1'!$K:$K,'Таблиця 1'!$B:$B,$A58,'Таблиця 1'!$I:$I,"МіГ-29",'Таблиця 1'!$J:$J,"MK-32")+SUMIFS('Таблиця 1'!$K:$K,'Таблиця 1'!$B:$B,$A58,'Таблиця 1'!$I:$I,"Су-25",'Таблиця 1'!$J:$J,"MK-32")+SUMIFS('Таблиця 1'!$K:$K,'Таблиця 1'!$B:$B,$A58,'Таблиця 1'!$I:$I,"Су-27",'Таблиця 1'!$J:$J,"MK-32"))</f>
        <v/>
      </c>
      <c r="Q58">
        <f>IF($A58="","",SUMIFS('Таблиця 1'!$K:$K,'Таблиця 1'!$B:$B,$A58,'Таблиця 1'!$I:$I,"Mirage",'Таблиця 1'!$J:$J,"MK-24")+SUMIFS('Таблиця 1'!$K:$K,'Таблиця 1'!$B:$B,$A58,'Таблиця 1'!$I:$I,"F-16",'Таблиця 1'!$J:$J,"MK-24")+SUMIFS('Таблиця 1'!$K:$K,'Таблиця 1'!$B:$B,$A58,'Таблиця 1'!$I:$I,"МіГ-29",'Таблиця 1'!$J:$J,"MK-24")+SUMIFS('Таблиця 1'!$K:$K,'Таблиця 1'!$B:$B,$A58,'Таблиця 1'!$I:$I,"Су-25",'Таблиця 1'!$J:$J,"MK-24")+SUMIFS('Таблиця 1'!$K:$K,'Таблиця 1'!$B:$B,$A58,'Таблиця 1'!$I:$I,"Су-27",'Таблиця 1'!$J:$J,"MK-24"))</f>
        <v/>
      </c>
      <c r="R58">
        <f>IF($A58="","",COUNTIFS('Таблиця 1'!$B:$B,$A58,'Таблиця 1'!$I:$I,"Mirage",'Таблиця 1'!$L:$L,"Уражено")+COUNTIFS('Таблиця 1'!$B:$B,$A58,'Таблиця 1'!$I:$I,"F-16",'Таблиця 1'!$L:$L,"Уражено")+COUNTIFS('Таблиця 1'!$B:$B,$A58,'Таблиця 1'!$I:$I,"МіГ-29",'Таблиця 1'!$L:$L,"Уражено")+COUNTIFS('Таблиця 1'!$B:$B,$A58,'Таблиця 1'!$I:$I,"Су-25",'Таблиця 1'!$L:$L,"Уражено")+COUNTIFS('Таблиця 1'!$B:$B,$A58,'Таблиця 1'!$I:$I,"Су-27",'Таблиця 1'!$L:$L,"Уражено"))</f>
        <v/>
      </c>
      <c r="S58">
        <f>IF($A58="","",COUNTIFS('Таблиця 1'!$B:$B,$A58,'Таблиця 1'!$I:$I,"Mirage",'Таблиця 1'!$L:$L,"НЕ уражено")+COUNTIFS('Таблиця 1'!$B:$B,$A58,'Таблиця 1'!$I:$I,"F-16",'Таблиця 1'!$L:$L,"НЕ уражено")+COUNTIFS('Таблиця 1'!$B:$B,$A58,'Таблиця 1'!$I:$I,"МіГ-29",'Таблиця 1'!$L:$L,"НЕ уражено")+COUNTIFS('Таблиця 1'!$B:$B,$A58,'Таблиця 1'!$I:$I,"Су-25",'Таблиця 1'!$L:$L,"НЕ уражено")+COUNTIFS('Таблиця 1'!$B:$B,$A58,'Таблиця 1'!$I:$I,"Су-27",'Таблиця 1'!$L:$L,"НЕ уражено"))</f>
        <v/>
      </c>
      <c r="T58">
        <f>IF($A58="","",COUNTIFS('Таблиця 1'!$B:$B,$A58,'Таблиця 1'!$I:$I,"Mirage",'Таблиця 1'!$L:$L,"Дорозвідується")+COUNTIFS('Таблиця 1'!$B:$B,$A58,'Таблиця 1'!$I:$I,"F-16",'Таблиця 1'!$L:$L,"Дорозвідується")+COUNTIFS('Таблиця 1'!$B:$B,$A58,'Таблиця 1'!$I:$I,"МіГ-29",'Таблиця 1'!$L:$L,"Дорозвідується")+COUNTIFS('Таблиця 1'!$B:$B,$A58,'Таблиця 1'!$I:$I,"Су-25",'Таблиця 1'!$L:$L,"Дорозвідується")+COUNTIFS('Таблиця 1'!$B:$B,$A58,'Таблиця 1'!$I:$I,"Су-27",'Таблиця 1'!$L:$L,"Дорозвідується"))</f>
        <v/>
      </c>
    </row>
    <row r="59">
      <c r="A59" s="273">
        <f>IF(A58="","",IF(A58+1&gt;MAX('Таблиця 1'!$B:$B),"",A58+1))</f>
        <v/>
      </c>
      <c r="B59">
        <f>IF($A59="","",COUNTIFS('Таблиця 1'!$B:$B,$A59,'Таблиця 1'!$I:$I,"Mirage")+COUNTIFS('Таблиця 1'!$B:$B,$A59,'Таблиця 1'!$I:$I,"F-16")+COUNTIFS('Таблиця 1'!$B:$B,$A59,'Таблиця 1'!$I:$I,"МіГ-29")+COUNTIFS('Таблиця 1'!$B:$B,$A59,'Таблиця 1'!$I:$I,"Су-25")+COUNTIFS('Таблиця 1'!$B:$B,$A59,'Таблиця 1'!$I:$I,"Су-27"))</f>
        <v/>
      </c>
      <c r="C59">
        <f>IF($A59="","",COUNTIFS('Таблиця 1'!$B:$B,$A59,'Таблиця 1'!$I:$I,"Mirage"))</f>
        <v/>
      </c>
      <c r="D59">
        <f>IF($A59="","",COUNTIFS('Таблиця 1'!$B:$B,$A59,'Таблиця 1'!$I:$I,"F-16"))</f>
        <v/>
      </c>
      <c r="E59">
        <f>IF($A59="","",COUNTIFS('Таблиця 1'!$B:$B,$A59,'Таблиця 1'!$I:$I,"МіГ-29"))</f>
        <v/>
      </c>
      <c r="F59">
        <f>IF($A59="","",COUNTIFS('Таблиця 1'!$B:$B,$A59,'Таблиця 1'!$I:$I,"Су-25"))</f>
        <v/>
      </c>
      <c r="G59">
        <f>IF($A59="","",COUNTIFS('Таблиця 1'!$B:$B,$A59,'Таблиця 1'!$I:$I,"Су-27"))</f>
        <v/>
      </c>
      <c r="H59">
        <f>IF($A59="","",SUMIFS('Таблиця 1'!$K:$K,'Таблиця 1'!$B:$B,$A59,'Таблиця 1'!$I:$I,"Mirage",'Таблиця 1'!$J:$J,"AGM-88")+SUMIFS('Таблиця 1'!$K:$K,'Таблиця 1'!$B:$B,$A59,'Таблиця 1'!$I:$I,"F-16",'Таблиця 1'!$J:$J,"AGM-88")+SUMIFS('Таблиця 1'!$K:$K,'Таблиця 1'!$B:$B,$A59,'Таблиця 1'!$I:$I,"МіГ-29",'Таблиця 1'!$J:$J,"AGM-88")+SUMIFS('Таблиця 1'!$K:$K,'Таблиця 1'!$B:$B,$A59,'Таблиця 1'!$I:$I,"Су-25",'Таблиця 1'!$J:$J,"AGM-88")+SUMIFS('Таблиця 1'!$K:$K,'Таблиця 1'!$B:$B,$A59,'Таблиця 1'!$I:$I,"Су-27",'Таблиця 1'!$J:$J,"AGM-88"))</f>
        <v/>
      </c>
      <c r="I59">
        <f>IF($A59="","",SUMIFS('Таблиця 1'!$K:$K,'Таблиця 1'!$B:$B,$A59,'Таблиця 1'!$I:$I,"Mirage",'Таблиця 1'!$J:$J,"AASM-250")+SUMIFS('Таблиця 1'!$K:$K,'Таблиця 1'!$B:$B,$A59,'Таблиця 1'!$I:$I,"F-16",'Таблиця 1'!$J:$J,"AASM-250")+SUMIFS('Таблиця 1'!$K:$K,'Таблиця 1'!$B:$B,$A59,'Таблиця 1'!$I:$I,"МіГ-29",'Таблиця 1'!$J:$J,"AASM-250")+SUMIFS('Таблиця 1'!$K:$K,'Таблиця 1'!$B:$B,$A59,'Таблиця 1'!$I:$I,"Су-25",'Таблиця 1'!$J:$J,"AASM-250")+SUMIFS('Таблиця 1'!$K:$K,'Таблиця 1'!$B:$B,$A59,'Таблиця 1'!$I:$I,"Су-27",'Таблиця 1'!$J:$J,"AASM-250"))</f>
        <v/>
      </c>
      <c r="J59">
        <f>IF($A59="","",SUMIFS('Таблиця 1'!$K:$K,'Таблиця 1'!$B:$B,$A59,'Таблиця 1'!$I:$I,"Mirage",'Таблиця 1'!$J:$J,"GBU-39")+SUMIFS('Таблиця 1'!$K:$K,'Таблиця 1'!$B:$B,$A59,'Таблиця 1'!$I:$I,"F-16",'Таблиця 1'!$J:$J,"GBU-39")+SUMIFS('Таблиця 1'!$K:$K,'Таблиця 1'!$B:$B,$A59,'Таблиця 1'!$I:$I,"МіГ-29",'Таблиця 1'!$J:$J,"GBU-39")+SUMIFS('Таблиця 1'!$K:$K,'Таблиця 1'!$B:$B,$A59,'Таблиця 1'!$I:$I,"Су-25",'Таблиця 1'!$J:$J,"GBU-39")+SUMIFS('Таблиця 1'!$K:$K,'Таблиця 1'!$B:$B,$A59,'Таблиця 1'!$I:$I,"Су-27",'Таблиця 1'!$J:$J,"GBU-39"))</f>
        <v/>
      </c>
      <c r="K59">
        <f>IF($A59="","",SUMIFS('Таблиця 1'!$K:$K,'Таблиця 1'!$B:$B,$A59,'Таблиця 1'!$I:$I,"Mirage",'Таблиця 1'!$J:$J,"BLU-140")+SUMIFS('Таблиця 1'!$K:$K,'Таблиця 1'!$B:$B,$A59,'Таблиця 1'!$I:$I,"F-16",'Таблиця 1'!$J:$J,"BLU-140")+SUMIFS('Таблиця 1'!$K:$K,'Таблиця 1'!$B:$B,$A59,'Таблиця 1'!$I:$I,"МіГ-29",'Таблиця 1'!$J:$J,"BLU-140")+SUMIFS('Таблиця 1'!$K:$K,'Таблиця 1'!$B:$B,$A59,'Таблиця 1'!$I:$I,"Су-25",'Таблиця 1'!$J:$J,"BLU-140")+SUMIFS('Таблиця 1'!$K:$K,'Таблиця 1'!$B:$B,$A59,'Таблиця 1'!$I:$I,"Су-27",'Таблиця 1'!$J:$J,"BLU-140"))</f>
        <v/>
      </c>
      <c r="L59">
        <f>IF($A59="","",SUMIFS('Таблиця 1'!$K:$K,'Таблиця 1'!$B:$B,$A59,'Таблиця 1'!$I:$I,"Mirage",'Таблиця 1'!$J:$J,"GBU-65")+SUMIFS('Таблиця 1'!$K:$K,'Таблиця 1'!$B:$B,$A59,'Таблиця 1'!$I:$I,"F-16",'Таблиця 1'!$J:$J,"GBU-65")+SUMIFS('Таблиця 1'!$K:$K,'Таблиця 1'!$B:$B,$A59,'Таблиця 1'!$I:$I,"МіГ-29",'Таблиця 1'!$J:$J,"GBU-65")+SUMIFS('Таблиця 1'!$K:$K,'Таблиця 1'!$B:$B,$A59,'Таблиця 1'!$I:$I,"Су-25",'Таблиця 1'!$J:$J,"GBU-65")+SUMIFS('Таблиця 1'!$K:$K,'Таблиця 1'!$B:$B,$A59,'Таблиця 1'!$I:$I,"Су-27",'Таблиця 1'!$J:$J,"GBU-65"))</f>
        <v/>
      </c>
      <c r="M59">
        <f>IF($A59="","",SUMIFS('Таблиця 1'!$K:$K,'Таблиця 1'!$B:$B,$A59,'Таблиця 1'!$I:$I,"Mirage",'Таблиця 1'!$J:$J,"GBU-62")+SUMIFS('Таблиця 1'!$K:$K,'Таблиця 1'!$B:$B,$A59,'Таблиця 1'!$I:$I,"F-16",'Таблиця 1'!$J:$J,"GBU-62")+SUMIFS('Таблиця 1'!$K:$K,'Таблиця 1'!$B:$B,$A59,'Таблиця 1'!$I:$I,"МіГ-29",'Таблиця 1'!$J:$J,"GBU-62")+SUMIFS('Таблиця 1'!$K:$K,'Таблиця 1'!$B:$B,$A59,'Таблиця 1'!$I:$I,"Су-25",'Таблиця 1'!$J:$J,"GBU-62")+SUMIFS('Таблиця 1'!$K:$K,'Таблиця 1'!$B:$B,$A59,'Таблиця 1'!$I:$I,"Су-27",'Таблиця 1'!$J:$J,"GBU-62"))</f>
        <v/>
      </c>
      <c r="N59">
        <f>IF($A59="","",SUMIFS('Таблиця 1'!$K:$K,'Таблиця 1'!$B:$B,$A59,'Таблиця 1'!$I:$I,"Mirage",'Таблиця 1'!$J:$J,"GBU-64")+SUMIFS('Таблиця 1'!$K:$K,'Таблиця 1'!$B:$B,$A59,'Таблиця 1'!$I:$I,"F-16",'Таблиця 1'!$J:$J,"GBU-64")+SUMIFS('Таблиця 1'!$K:$K,'Таблиця 1'!$B:$B,$A59,'Таблиця 1'!$I:$I,"МіГ-29",'Таблиця 1'!$J:$J,"GBU-64")+SUMIFS('Таблиця 1'!$K:$K,'Таблиця 1'!$B:$B,$A59,'Таблиця 1'!$I:$I,"Су-25",'Таблиця 1'!$J:$J,"GBU-64")+SUMIFS('Таблиця 1'!$K:$K,'Таблиця 1'!$B:$B,$A59,'Таблиця 1'!$I:$I,"Су-27",'Таблиця 1'!$J:$J,"GBU-64"))</f>
        <v/>
      </c>
      <c r="O59">
        <f>IF($A59="","",SUMIFS('Таблиця 1'!$K:$K,'Таблиця 1'!$B:$B,$A59,'Таблиця 1'!$I:$I,"Mirage",'Таблиця 1'!$J:$J,"C-13")+SUMIFS('Таблиця 1'!$K:$K,'Таблиця 1'!$B:$B,$A59,'Таблиця 1'!$I:$I,"F-16",'Таблиця 1'!$J:$J,"C-13")+SUMIFS('Таблиця 1'!$K:$K,'Таблиця 1'!$B:$B,$A59,'Таблиця 1'!$I:$I,"МіГ-29",'Таблиця 1'!$J:$J,"C-13")+SUMIFS('Таблиця 1'!$K:$K,'Таблиця 1'!$B:$B,$A59,'Таблиця 1'!$I:$I,"Су-25",'Таблиця 1'!$J:$J,"C-13")+SUMIFS('Таблиця 1'!$K:$K,'Таблиця 1'!$B:$B,$A59,'Таблиця 1'!$I:$I,"Су-27",'Таблиця 1'!$J:$J,"C-13"))</f>
        <v/>
      </c>
      <c r="P59">
        <f>IF($A59="","",SUMIFS('Таблиця 1'!$K:$K,'Таблиця 1'!$B:$B,$A59,'Таблиця 1'!$I:$I,"Mirage",'Таблиця 1'!$J:$J,"MK-32")+SUMIFS('Таблиця 1'!$K:$K,'Таблиця 1'!$B:$B,$A59,'Таблиця 1'!$I:$I,"F-16",'Таблиця 1'!$J:$J,"MK-32")+SUMIFS('Таблиця 1'!$K:$K,'Таблиця 1'!$B:$B,$A59,'Таблиця 1'!$I:$I,"МіГ-29",'Таблиця 1'!$J:$J,"MK-32")+SUMIFS('Таблиця 1'!$K:$K,'Таблиця 1'!$B:$B,$A59,'Таблиця 1'!$I:$I,"Су-25",'Таблиця 1'!$J:$J,"MK-32")+SUMIFS('Таблиця 1'!$K:$K,'Таблиця 1'!$B:$B,$A59,'Таблиця 1'!$I:$I,"Су-27",'Таблиця 1'!$J:$J,"MK-32"))</f>
        <v/>
      </c>
      <c r="Q59">
        <f>IF($A59="","",SUMIFS('Таблиця 1'!$K:$K,'Таблиця 1'!$B:$B,$A59,'Таблиця 1'!$I:$I,"Mirage",'Таблиця 1'!$J:$J,"MK-24")+SUMIFS('Таблиця 1'!$K:$K,'Таблиця 1'!$B:$B,$A59,'Таблиця 1'!$I:$I,"F-16",'Таблиця 1'!$J:$J,"MK-24")+SUMIFS('Таблиця 1'!$K:$K,'Таблиця 1'!$B:$B,$A59,'Таблиця 1'!$I:$I,"МіГ-29",'Таблиця 1'!$J:$J,"MK-24")+SUMIFS('Таблиця 1'!$K:$K,'Таблиця 1'!$B:$B,$A59,'Таблиця 1'!$I:$I,"Су-25",'Таблиця 1'!$J:$J,"MK-24")+SUMIFS('Таблиця 1'!$K:$K,'Таблиця 1'!$B:$B,$A59,'Таблиця 1'!$I:$I,"Су-27",'Таблиця 1'!$J:$J,"MK-24"))</f>
        <v/>
      </c>
      <c r="R59">
        <f>IF($A59="","",COUNTIFS('Таблиця 1'!$B:$B,$A59,'Таблиця 1'!$I:$I,"Mirage",'Таблиця 1'!$L:$L,"Уражено")+COUNTIFS('Таблиця 1'!$B:$B,$A59,'Таблиця 1'!$I:$I,"F-16",'Таблиця 1'!$L:$L,"Уражено")+COUNTIFS('Таблиця 1'!$B:$B,$A59,'Таблиця 1'!$I:$I,"МіГ-29",'Таблиця 1'!$L:$L,"Уражено")+COUNTIFS('Таблиця 1'!$B:$B,$A59,'Таблиця 1'!$I:$I,"Су-25",'Таблиця 1'!$L:$L,"Уражено")+COUNTIFS('Таблиця 1'!$B:$B,$A59,'Таблиця 1'!$I:$I,"Су-27",'Таблиця 1'!$L:$L,"Уражено"))</f>
        <v/>
      </c>
      <c r="S59">
        <f>IF($A59="","",COUNTIFS('Таблиця 1'!$B:$B,$A59,'Таблиця 1'!$I:$I,"Mirage",'Таблиця 1'!$L:$L,"НЕ уражено")+COUNTIFS('Таблиця 1'!$B:$B,$A59,'Таблиця 1'!$I:$I,"F-16",'Таблиця 1'!$L:$L,"НЕ уражено")+COUNTIFS('Таблиця 1'!$B:$B,$A59,'Таблиця 1'!$I:$I,"МіГ-29",'Таблиця 1'!$L:$L,"НЕ уражено")+COUNTIFS('Таблиця 1'!$B:$B,$A59,'Таблиця 1'!$I:$I,"Су-25",'Таблиця 1'!$L:$L,"НЕ уражено")+COUNTIFS('Таблиця 1'!$B:$B,$A59,'Таблиця 1'!$I:$I,"Су-27",'Таблиця 1'!$L:$L,"НЕ уражено"))</f>
        <v/>
      </c>
      <c r="T59">
        <f>IF($A59="","",COUNTIFS('Таблиця 1'!$B:$B,$A59,'Таблиця 1'!$I:$I,"Mirage",'Таблиця 1'!$L:$L,"Дорозвідується")+COUNTIFS('Таблиця 1'!$B:$B,$A59,'Таблиця 1'!$I:$I,"F-16",'Таблиця 1'!$L:$L,"Дорозвідується")+COUNTIFS('Таблиця 1'!$B:$B,$A59,'Таблиця 1'!$I:$I,"МіГ-29",'Таблиця 1'!$L:$L,"Дорозвідується")+COUNTIFS('Таблиця 1'!$B:$B,$A59,'Таблиця 1'!$I:$I,"Су-25",'Таблиця 1'!$L:$L,"Дорозвідується")+COUNTIFS('Таблиця 1'!$B:$B,$A59,'Таблиця 1'!$I:$I,"Су-27",'Таблиця 1'!$L:$L,"Дорозвідується"))</f>
        <v/>
      </c>
    </row>
    <row r="60">
      <c r="A60" s="273">
        <f>IF(A59="","",IF(A59+1&gt;MAX('Таблиця 1'!$B:$B),"",A59+1))</f>
        <v/>
      </c>
      <c r="B60">
        <f>IF($A60="","",COUNTIFS('Таблиця 1'!$B:$B,$A60,'Таблиця 1'!$I:$I,"Mirage")+COUNTIFS('Таблиця 1'!$B:$B,$A60,'Таблиця 1'!$I:$I,"F-16")+COUNTIFS('Таблиця 1'!$B:$B,$A60,'Таблиця 1'!$I:$I,"МіГ-29")+COUNTIFS('Таблиця 1'!$B:$B,$A60,'Таблиця 1'!$I:$I,"Су-25")+COUNTIFS('Таблиця 1'!$B:$B,$A60,'Таблиця 1'!$I:$I,"Су-27"))</f>
        <v/>
      </c>
      <c r="C60">
        <f>IF($A60="","",COUNTIFS('Таблиця 1'!$B:$B,$A60,'Таблиця 1'!$I:$I,"Mirage"))</f>
        <v/>
      </c>
      <c r="D60">
        <f>IF($A60="","",COUNTIFS('Таблиця 1'!$B:$B,$A60,'Таблиця 1'!$I:$I,"F-16"))</f>
        <v/>
      </c>
      <c r="E60">
        <f>IF($A60="","",COUNTIFS('Таблиця 1'!$B:$B,$A60,'Таблиця 1'!$I:$I,"МіГ-29"))</f>
        <v/>
      </c>
      <c r="F60">
        <f>IF($A60="","",COUNTIFS('Таблиця 1'!$B:$B,$A60,'Таблиця 1'!$I:$I,"Су-25"))</f>
        <v/>
      </c>
      <c r="G60">
        <f>IF($A60="","",COUNTIFS('Таблиця 1'!$B:$B,$A60,'Таблиця 1'!$I:$I,"Су-27"))</f>
        <v/>
      </c>
      <c r="H60">
        <f>IF($A60="","",SUMIFS('Таблиця 1'!$K:$K,'Таблиця 1'!$B:$B,$A60,'Таблиця 1'!$I:$I,"Mirage",'Таблиця 1'!$J:$J,"AGM-88")+SUMIFS('Таблиця 1'!$K:$K,'Таблиця 1'!$B:$B,$A60,'Таблиця 1'!$I:$I,"F-16",'Таблиця 1'!$J:$J,"AGM-88")+SUMIFS('Таблиця 1'!$K:$K,'Таблиця 1'!$B:$B,$A60,'Таблиця 1'!$I:$I,"МіГ-29",'Таблиця 1'!$J:$J,"AGM-88")+SUMIFS('Таблиця 1'!$K:$K,'Таблиця 1'!$B:$B,$A60,'Таблиця 1'!$I:$I,"Су-25",'Таблиця 1'!$J:$J,"AGM-88")+SUMIFS('Таблиця 1'!$K:$K,'Таблиця 1'!$B:$B,$A60,'Таблиця 1'!$I:$I,"Су-27",'Таблиця 1'!$J:$J,"AGM-88"))</f>
        <v/>
      </c>
      <c r="I60">
        <f>IF($A60="","",SUMIFS('Таблиця 1'!$K:$K,'Таблиця 1'!$B:$B,$A60,'Таблиця 1'!$I:$I,"Mirage",'Таблиця 1'!$J:$J,"AASM-250")+SUMIFS('Таблиця 1'!$K:$K,'Таблиця 1'!$B:$B,$A60,'Таблиця 1'!$I:$I,"F-16",'Таблиця 1'!$J:$J,"AASM-250")+SUMIFS('Таблиця 1'!$K:$K,'Таблиця 1'!$B:$B,$A60,'Таблиця 1'!$I:$I,"МіГ-29",'Таблиця 1'!$J:$J,"AASM-250")+SUMIFS('Таблиця 1'!$K:$K,'Таблиця 1'!$B:$B,$A60,'Таблиця 1'!$I:$I,"Су-25",'Таблиця 1'!$J:$J,"AASM-250")+SUMIFS('Таблиця 1'!$K:$K,'Таблиця 1'!$B:$B,$A60,'Таблиця 1'!$I:$I,"Су-27",'Таблиця 1'!$J:$J,"AASM-250"))</f>
        <v/>
      </c>
      <c r="J60">
        <f>IF($A60="","",SUMIFS('Таблиця 1'!$K:$K,'Таблиця 1'!$B:$B,$A60,'Таблиця 1'!$I:$I,"Mirage",'Таблиця 1'!$J:$J,"GBU-39")+SUMIFS('Таблиця 1'!$K:$K,'Таблиця 1'!$B:$B,$A60,'Таблиця 1'!$I:$I,"F-16",'Таблиця 1'!$J:$J,"GBU-39")+SUMIFS('Таблиця 1'!$K:$K,'Таблиця 1'!$B:$B,$A60,'Таблиця 1'!$I:$I,"МіГ-29",'Таблиця 1'!$J:$J,"GBU-39")+SUMIFS('Таблиця 1'!$K:$K,'Таблиця 1'!$B:$B,$A60,'Таблиця 1'!$I:$I,"Су-25",'Таблиця 1'!$J:$J,"GBU-39")+SUMIFS('Таблиця 1'!$K:$K,'Таблиця 1'!$B:$B,$A60,'Таблиця 1'!$I:$I,"Су-27",'Таблиця 1'!$J:$J,"GBU-39"))</f>
        <v/>
      </c>
      <c r="K60">
        <f>IF($A60="","",SUMIFS('Таблиця 1'!$K:$K,'Таблиця 1'!$B:$B,$A60,'Таблиця 1'!$I:$I,"Mirage",'Таблиця 1'!$J:$J,"BLU-140")+SUMIFS('Таблиця 1'!$K:$K,'Таблиця 1'!$B:$B,$A60,'Таблиця 1'!$I:$I,"F-16",'Таблиця 1'!$J:$J,"BLU-140")+SUMIFS('Таблиця 1'!$K:$K,'Таблиця 1'!$B:$B,$A60,'Таблиця 1'!$I:$I,"МіГ-29",'Таблиця 1'!$J:$J,"BLU-140")+SUMIFS('Таблиця 1'!$K:$K,'Таблиця 1'!$B:$B,$A60,'Таблиця 1'!$I:$I,"Су-25",'Таблиця 1'!$J:$J,"BLU-140")+SUMIFS('Таблиця 1'!$K:$K,'Таблиця 1'!$B:$B,$A60,'Таблиця 1'!$I:$I,"Су-27",'Таблиця 1'!$J:$J,"BLU-140"))</f>
        <v/>
      </c>
      <c r="L60">
        <f>IF($A60="","",SUMIFS('Таблиця 1'!$K:$K,'Таблиця 1'!$B:$B,$A60,'Таблиця 1'!$I:$I,"Mirage",'Таблиця 1'!$J:$J,"GBU-65")+SUMIFS('Таблиця 1'!$K:$K,'Таблиця 1'!$B:$B,$A60,'Таблиця 1'!$I:$I,"F-16",'Таблиця 1'!$J:$J,"GBU-65")+SUMIFS('Таблиця 1'!$K:$K,'Таблиця 1'!$B:$B,$A60,'Таблиця 1'!$I:$I,"МіГ-29",'Таблиця 1'!$J:$J,"GBU-65")+SUMIFS('Таблиця 1'!$K:$K,'Таблиця 1'!$B:$B,$A60,'Таблиця 1'!$I:$I,"Су-25",'Таблиця 1'!$J:$J,"GBU-65")+SUMIFS('Таблиця 1'!$K:$K,'Таблиця 1'!$B:$B,$A60,'Таблиця 1'!$I:$I,"Су-27",'Таблиця 1'!$J:$J,"GBU-65"))</f>
        <v/>
      </c>
      <c r="M60">
        <f>IF($A60="","",SUMIFS('Таблиця 1'!$K:$K,'Таблиця 1'!$B:$B,$A60,'Таблиця 1'!$I:$I,"Mirage",'Таблиця 1'!$J:$J,"GBU-62")+SUMIFS('Таблиця 1'!$K:$K,'Таблиця 1'!$B:$B,$A60,'Таблиця 1'!$I:$I,"F-16",'Таблиця 1'!$J:$J,"GBU-62")+SUMIFS('Таблиця 1'!$K:$K,'Таблиця 1'!$B:$B,$A60,'Таблиця 1'!$I:$I,"МіГ-29",'Таблиця 1'!$J:$J,"GBU-62")+SUMIFS('Таблиця 1'!$K:$K,'Таблиця 1'!$B:$B,$A60,'Таблиця 1'!$I:$I,"Су-25",'Таблиця 1'!$J:$J,"GBU-62")+SUMIFS('Таблиця 1'!$K:$K,'Таблиця 1'!$B:$B,$A60,'Таблиця 1'!$I:$I,"Су-27",'Таблиця 1'!$J:$J,"GBU-62"))</f>
        <v/>
      </c>
      <c r="N60">
        <f>IF($A60="","",SUMIFS('Таблиця 1'!$K:$K,'Таблиця 1'!$B:$B,$A60,'Таблиця 1'!$I:$I,"Mirage",'Таблиця 1'!$J:$J,"GBU-64")+SUMIFS('Таблиця 1'!$K:$K,'Таблиця 1'!$B:$B,$A60,'Таблиця 1'!$I:$I,"F-16",'Таблиця 1'!$J:$J,"GBU-64")+SUMIFS('Таблиця 1'!$K:$K,'Таблиця 1'!$B:$B,$A60,'Таблиця 1'!$I:$I,"МіГ-29",'Таблиця 1'!$J:$J,"GBU-64")+SUMIFS('Таблиця 1'!$K:$K,'Таблиця 1'!$B:$B,$A60,'Таблиця 1'!$I:$I,"Су-25",'Таблиця 1'!$J:$J,"GBU-64")+SUMIFS('Таблиця 1'!$K:$K,'Таблиця 1'!$B:$B,$A60,'Таблиця 1'!$I:$I,"Су-27",'Таблиця 1'!$J:$J,"GBU-64"))</f>
        <v/>
      </c>
      <c r="O60">
        <f>IF($A60="","",SUMIFS('Таблиця 1'!$K:$K,'Таблиця 1'!$B:$B,$A60,'Таблиця 1'!$I:$I,"Mirage",'Таблиця 1'!$J:$J,"C-13")+SUMIFS('Таблиця 1'!$K:$K,'Таблиця 1'!$B:$B,$A60,'Таблиця 1'!$I:$I,"F-16",'Таблиця 1'!$J:$J,"C-13")+SUMIFS('Таблиця 1'!$K:$K,'Таблиця 1'!$B:$B,$A60,'Таблиця 1'!$I:$I,"МіГ-29",'Таблиця 1'!$J:$J,"C-13")+SUMIFS('Таблиця 1'!$K:$K,'Таблиця 1'!$B:$B,$A60,'Таблиця 1'!$I:$I,"Су-25",'Таблиця 1'!$J:$J,"C-13")+SUMIFS('Таблиця 1'!$K:$K,'Таблиця 1'!$B:$B,$A60,'Таблиця 1'!$I:$I,"Су-27",'Таблиця 1'!$J:$J,"C-13"))</f>
        <v/>
      </c>
      <c r="P60">
        <f>IF($A60="","",SUMIFS('Таблиця 1'!$K:$K,'Таблиця 1'!$B:$B,$A60,'Таблиця 1'!$I:$I,"Mirage",'Таблиця 1'!$J:$J,"MK-32")+SUMIFS('Таблиця 1'!$K:$K,'Таблиця 1'!$B:$B,$A60,'Таблиця 1'!$I:$I,"F-16",'Таблиця 1'!$J:$J,"MK-32")+SUMIFS('Таблиця 1'!$K:$K,'Таблиця 1'!$B:$B,$A60,'Таблиця 1'!$I:$I,"МіГ-29",'Таблиця 1'!$J:$J,"MK-32")+SUMIFS('Таблиця 1'!$K:$K,'Таблиця 1'!$B:$B,$A60,'Таблиця 1'!$I:$I,"Су-25",'Таблиця 1'!$J:$J,"MK-32")+SUMIFS('Таблиця 1'!$K:$K,'Таблиця 1'!$B:$B,$A60,'Таблиця 1'!$I:$I,"Су-27",'Таблиця 1'!$J:$J,"MK-32"))</f>
        <v/>
      </c>
      <c r="Q60">
        <f>IF($A60="","",SUMIFS('Таблиця 1'!$K:$K,'Таблиця 1'!$B:$B,$A60,'Таблиця 1'!$I:$I,"Mirage",'Таблиця 1'!$J:$J,"MK-24")+SUMIFS('Таблиця 1'!$K:$K,'Таблиця 1'!$B:$B,$A60,'Таблиця 1'!$I:$I,"F-16",'Таблиця 1'!$J:$J,"MK-24")+SUMIFS('Таблиця 1'!$K:$K,'Таблиця 1'!$B:$B,$A60,'Таблиця 1'!$I:$I,"МіГ-29",'Таблиця 1'!$J:$J,"MK-24")+SUMIFS('Таблиця 1'!$K:$K,'Таблиця 1'!$B:$B,$A60,'Таблиця 1'!$I:$I,"Су-25",'Таблиця 1'!$J:$J,"MK-24")+SUMIFS('Таблиця 1'!$K:$K,'Таблиця 1'!$B:$B,$A60,'Таблиця 1'!$I:$I,"Су-27",'Таблиця 1'!$J:$J,"MK-24"))</f>
        <v/>
      </c>
      <c r="R60">
        <f>IF($A60="","",COUNTIFS('Таблиця 1'!$B:$B,$A60,'Таблиця 1'!$I:$I,"Mirage",'Таблиця 1'!$L:$L,"Уражено")+COUNTIFS('Таблиця 1'!$B:$B,$A60,'Таблиця 1'!$I:$I,"F-16",'Таблиця 1'!$L:$L,"Уражено")+COUNTIFS('Таблиця 1'!$B:$B,$A60,'Таблиця 1'!$I:$I,"МіГ-29",'Таблиця 1'!$L:$L,"Уражено")+COUNTIFS('Таблиця 1'!$B:$B,$A60,'Таблиця 1'!$I:$I,"Су-25",'Таблиця 1'!$L:$L,"Уражено")+COUNTIFS('Таблиця 1'!$B:$B,$A60,'Таблиця 1'!$I:$I,"Су-27",'Таблиця 1'!$L:$L,"Уражено"))</f>
        <v/>
      </c>
      <c r="S60">
        <f>IF($A60="","",COUNTIFS('Таблиця 1'!$B:$B,$A60,'Таблиця 1'!$I:$I,"Mirage",'Таблиця 1'!$L:$L,"НЕ уражено")+COUNTIFS('Таблиця 1'!$B:$B,$A60,'Таблиця 1'!$I:$I,"F-16",'Таблиця 1'!$L:$L,"НЕ уражено")+COUNTIFS('Таблиця 1'!$B:$B,$A60,'Таблиця 1'!$I:$I,"МіГ-29",'Таблиця 1'!$L:$L,"НЕ уражено")+COUNTIFS('Таблиця 1'!$B:$B,$A60,'Таблиця 1'!$I:$I,"Су-25",'Таблиця 1'!$L:$L,"НЕ уражено")+COUNTIFS('Таблиця 1'!$B:$B,$A60,'Таблиця 1'!$I:$I,"Су-27",'Таблиця 1'!$L:$L,"НЕ уражено"))</f>
        <v/>
      </c>
      <c r="T60">
        <f>IF($A60="","",COUNTIFS('Таблиця 1'!$B:$B,$A60,'Таблиця 1'!$I:$I,"Mirage",'Таблиця 1'!$L:$L,"Дорозвідується")+COUNTIFS('Таблиця 1'!$B:$B,$A60,'Таблиця 1'!$I:$I,"F-16",'Таблиця 1'!$L:$L,"Дорозвідується")+COUNTIFS('Таблиця 1'!$B:$B,$A60,'Таблиця 1'!$I:$I,"МіГ-29",'Таблиця 1'!$L:$L,"Дорозвідується")+COUNTIFS('Таблиця 1'!$B:$B,$A60,'Таблиця 1'!$I:$I,"Су-25",'Таблиця 1'!$L:$L,"Дорозвідується")+COUNTIFS('Таблиця 1'!$B:$B,$A60,'Таблиця 1'!$I:$I,"Су-27",'Таблиця 1'!$L:$L,"Дорозвідується"))</f>
        <v/>
      </c>
    </row>
    <row r="61">
      <c r="A61" s="273">
        <f>IF(A60="","",IF(A60+1&gt;MAX('Таблиця 1'!$B:$B),"",A60+1))</f>
        <v/>
      </c>
      <c r="B61">
        <f>IF($A61="","",COUNTIFS('Таблиця 1'!$B:$B,$A61,'Таблиця 1'!$I:$I,"Mirage")+COUNTIFS('Таблиця 1'!$B:$B,$A61,'Таблиця 1'!$I:$I,"F-16")+COUNTIFS('Таблиця 1'!$B:$B,$A61,'Таблиця 1'!$I:$I,"МіГ-29")+COUNTIFS('Таблиця 1'!$B:$B,$A61,'Таблиця 1'!$I:$I,"Су-25")+COUNTIFS('Таблиця 1'!$B:$B,$A61,'Таблиця 1'!$I:$I,"Су-27"))</f>
        <v/>
      </c>
      <c r="C61">
        <f>IF($A61="","",COUNTIFS('Таблиця 1'!$B:$B,$A61,'Таблиця 1'!$I:$I,"Mirage"))</f>
        <v/>
      </c>
      <c r="D61">
        <f>IF($A61="","",COUNTIFS('Таблиця 1'!$B:$B,$A61,'Таблиця 1'!$I:$I,"F-16"))</f>
        <v/>
      </c>
      <c r="E61">
        <f>IF($A61="","",COUNTIFS('Таблиця 1'!$B:$B,$A61,'Таблиця 1'!$I:$I,"МіГ-29"))</f>
        <v/>
      </c>
      <c r="F61">
        <f>IF($A61="","",COUNTIFS('Таблиця 1'!$B:$B,$A61,'Таблиця 1'!$I:$I,"Су-25"))</f>
        <v/>
      </c>
      <c r="G61">
        <f>IF($A61="","",COUNTIFS('Таблиця 1'!$B:$B,$A61,'Таблиця 1'!$I:$I,"Су-27"))</f>
        <v/>
      </c>
      <c r="H61">
        <f>IF($A61="","",SUMIFS('Таблиця 1'!$K:$K,'Таблиця 1'!$B:$B,$A61,'Таблиця 1'!$I:$I,"Mirage",'Таблиця 1'!$J:$J,"AGM-88")+SUMIFS('Таблиця 1'!$K:$K,'Таблиця 1'!$B:$B,$A61,'Таблиця 1'!$I:$I,"F-16",'Таблиця 1'!$J:$J,"AGM-88")+SUMIFS('Таблиця 1'!$K:$K,'Таблиця 1'!$B:$B,$A61,'Таблиця 1'!$I:$I,"МіГ-29",'Таблиця 1'!$J:$J,"AGM-88")+SUMIFS('Таблиця 1'!$K:$K,'Таблиця 1'!$B:$B,$A61,'Таблиця 1'!$I:$I,"Су-25",'Таблиця 1'!$J:$J,"AGM-88")+SUMIFS('Таблиця 1'!$K:$K,'Таблиця 1'!$B:$B,$A61,'Таблиця 1'!$I:$I,"Су-27",'Таблиця 1'!$J:$J,"AGM-88"))</f>
        <v/>
      </c>
      <c r="I61">
        <f>IF($A61="","",SUMIFS('Таблиця 1'!$K:$K,'Таблиця 1'!$B:$B,$A61,'Таблиця 1'!$I:$I,"Mirage",'Таблиця 1'!$J:$J,"AASM-250")+SUMIFS('Таблиця 1'!$K:$K,'Таблиця 1'!$B:$B,$A61,'Таблиця 1'!$I:$I,"F-16",'Таблиця 1'!$J:$J,"AASM-250")+SUMIFS('Таблиця 1'!$K:$K,'Таблиця 1'!$B:$B,$A61,'Таблиця 1'!$I:$I,"МіГ-29",'Таблиця 1'!$J:$J,"AASM-250")+SUMIFS('Таблиця 1'!$K:$K,'Таблиця 1'!$B:$B,$A61,'Таблиця 1'!$I:$I,"Су-25",'Таблиця 1'!$J:$J,"AASM-250")+SUMIFS('Таблиця 1'!$K:$K,'Таблиця 1'!$B:$B,$A61,'Таблиця 1'!$I:$I,"Су-27",'Таблиця 1'!$J:$J,"AASM-250"))</f>
        <v/>
      </c>
      <c r="J61">
        <f>IF($A61="","",SUMIFS('Таблиця 1'!$K:$K,'Таблиця 1'!$B:$B,$A61,'Таблиця 1'!$I:$I,"Mirage",'Таблиця 1'!$J:$J,"GBU-39")+SUMIFS('Таблиця 1'!$K:$K,'Таблиця 1'!$B:$B,$A61,'Таблиця 1'!$I:$I,"F-16",'Таблиця 1'!$J:$J,"GBU-39")+SUMIFS('Таблиця 1'!$K:$K,'Таблиця 1'!$B:$B,$A61,'Таблиця 1'!$I:$I,"МіГ-29",'Таблиця 1'!$J:$J,"GBU-39")+SUMIFS('Таблиця 1'!$K:$K,'Таблиця 1'!$B:$B,$A61,'Таблиця 1'!$I:$I,"Су-25",'Таблиця 1'!$J:$J,"GBU-39")+SUMIFS('Таблиця 1'!$K:$K,'Таблиця 1'!$B:$B,$A61,'Таблиця 1'!$I:$I,"Су-27",'Таблиця 1'!$J:$J,"GBU-39"))</f>
        <v/>
      </c>
      <c r="K61">
        <f>IF($A61="","",SUMIFS('Таблиця 1'!$K:$K,'Таблиця 1'!$B:$B,$A61,'Таблиця 1'!$I:$I,"Mirage",'Таблиця 1'!$J:$J,"BLU-140")+SUMIFS('Таблиця 1'!$K:$K,'Таблиця 1'!$B:$B,$A61,'Таблиця 1'!$I:$I,"F-16",'Таблиця 1'!$J:$J,"BLU-140")+SUMIFS('Таблиця 1'!$K:$K,'Таблиця 1'!$B:$B,$A61,'Таблиця 1'!$I:$I,"МіГ-29",'Таблиця 1'!$J:$J,"BLU-140")+SUMIFS('Таблиця 1'!$K:$K,'Таблиця 1'!$B:$B,$A61,'Таблиця 1'!$I:$I,"Су-25",'Таблиця 1'!$J:$J,"BLU-140")+SUMIFS('Таблиця 1'!$K:$K,'Таблиця 1'!$B:$B,$A61,'Таблиця 1'!$I:$I,"Су-27",'Таблиця 1'!$J:$J,"BLU-140"))</f>
        <v/>
      </c>
      <c r="L61">
        <f>IF($A61="","",SUMIFS('Таблиця 1'!$K:$K,'Таблиця 1'!$B:$B,$A61,'Таблиця 1'!$I:$I,"Mirage",'Таблиця 1'!$J:$J,"GBU-65")+SUMIFS('Таблиця 1'!$K:$K,'Таблиця 1'!$B:$B,$A61,'Таблиця 1'!$I:$I,"F-16",'Таблиця 1'!$J:$J,"GBU-65")+SUMIFS('Таблиця 1'!$K:$K,'Таблиця 1'!$B:$B,$A61,'Таблиця 1'!$I:$I,"МіГ-29",'Таблиця 1'!$J:$J,"GBU-65")+SUMIFS('Таблиця 1'!$K:$K,'Таблиця 1'!$B:$B,$A61,'Таблиця 1'!$I:$I,"Су-25",'Таблиця 1'!$J:$J,"GBU-65")+SUMIFS('Таблиця 1'!$K:$K,'Таблиця 1'!$B:$B,$A61,'Таблиця 1'!$I:$I,"Су-27",'Таблиця 1'!$J:$J,"GBU-65"))</f>
        <v/>
      </c>
      <c r="M61">
        <f>IF($A61="","",SUMIFS('Таблиця 1'!$K:$K,'Таблиця 1'!$B:$B,$A61,'Таблиця 1'!$I:$I,"Mirage",'Таблиця 1'!$J:$J,"GBU-62")+SUMIFS('Таблиця 1'!$K:$K,'Таблиця 1'!$B:$B,$A61,'Таблиця 1'!$I:$I,"F-16",'Таблиця 1'!$J:$J,"GBU-62")+SUMIFS('Таблиця 1'!$K:$K,'Таблиця 1'!$B:$B,$A61,'Таблиця 1'!$I:$I,"МіГ-29",'Таблиця 1'!$J:$J,"GBU-62")+SUMIFS('Таблиця 1'!$K:$K,'Таблиця 1'!$B:$B,$A61,'Таблиця 1'!$I:$I,"Су-25",'Таблиця 1'!$J:$J,"GBU-62")+SUMIFS('Таблиця 1'!$K:$K,'Таблиця 1'!$B:$B,$A61,'Таблиця 1'!$I:$I,"Су-27",'Таблиця 1'!$J:$J,"GBU-62"))</f>
        <v/>
      </c>
      <c r="N61">
        <f>IF($A61="","",SUMIFS('Таблиця 1'!$K:$K,'Таблиця 1'!$B:$B,$A61,'Таблиця 1'!$I:$I,"Mirage",'Таблиця 1'!$J:$J,"GBU-64")+SUMIFS('Таблиця 1'!$K:$K,'Таблиця 1'!$B:$B,$A61,'Таблиця 1'!$I:$I,"F-16",'Таблиця 1'!$J:$J,"GBU-64")+SUMIFS('Таблиця 1'!$K:$K,'Таблиця 1'!$B:$B,$A61,'Таблиця 1'!$I:$I,"МіГ-29",'Таблиця 1'!$J:$J,"GBU-64")+SUMIFS('Таблиця 1'!$K:$K,'Таблиця 1'!$B:$B,$A61,'Таблиця 1'!$I:$I,"Су-25",'Таблиця 1'!$J:$J,"GBU-64")+SUMIFS('Таблиця 1'!$K:$K,'Таблиця 1'!$B:$B,$A61,'Таблиця 1'!$I:$I,"Су-27",'Таблиця 1'!$J:$J,"GBU-64"))</f>
        <v/>
      </c>
      <c r="O61">
        <f>IF($A61="","",SUMIFS('Таблиця 1'!$K:$K,'Таблиця 1'!$B:$B,$A61,'Таблиця 1'!$I:$I,"Mirage",'Таблиця 1'!$J:$J,"C-13")+SUMIFS('Таблиця 1'!$K:$K,'Таблиця 1'!$B:$B,$A61,'Таблиця 1'!$I:$I,"F-16",'Таблиця 1'!$J:$J,"C-13")+SUMIFS('Таблиця 1'!$K:$K,'Таблиця 1'!$B:$B,$A61,'Таблиця 1'!$I:$I,"МіГ-29",'Таблиця 1'!$J:$J,"C-13")+SUMIFS('Таблиця 1'!$K:$K,'Таблиця 1'!$B:$B,$A61,'Таблиця 1'!$I:$I,"Су-25",'Таблиця 1'!$J:$J,"C-13")+SUMIFS('Таблиця 1'!$K:$K,'Таблиця 1'!$B:$B,$A61,'Таблиця 1'!$I:$I,"Су-27",'Таблиця 1'!$J:$J,"C-13"))</f>
        <v/>
      </c>
      <c r="P61">
        <f>IF($A61="","",SUMIFS('Таблиця 1'!$K:$K,'Таблиця 1'!$B:$B,$A61,'Таблиця 1'!$I:$I,"Mirage",'Таблиця 1'!$J:$J,"MK-32")+SUMIFS('Таблиця 1'!$K:$K,'Таблиця 1'!$B:$B,$A61,'Таблиця 1'!$I:$I,"F-16",'Таблиця 1'!$J:$J,"MK-32")+SUMIFS('Таблиця 1'!$K:$K,'Таблиця 1'!$B:$B,$A61,'Таблиця 1'!$I:$I,"МіГ-29",'Таблиця 1'!$J:$J,"MK-32")+SUMIFS('Таблиця 1'!$K:$K,'Таблиця 1'!$B:$B,$A61,'Таблиця 1'!$I:$I,"Су-25",'Таблиця 1'!$J:$J,"MK-32")+SUMIFS('Таблиця 1'!$K:$K,'Таблиця 1'!$B:$B,$A61,'Таблиця 1'!$I:$I,"Су-27",'Таблиця 1'!$J:$J,"MK-32"))</f>
        <v/>
      </c>
      <c r="Q61">
        <f>IF($A61="","",SUMIFS('Таблиця 1'!$K:$K,'Таблиця 1'!$B:$B,$A61,'Таблиця 1'!$I:$I,"Mirage",'Таблиця 1'!$J:$J,"MK-24")+SUMIFS('Таблиця 1'!$K:$K,'Таблиця 1'!$B:$B,$A61,'Таблиця 1'!$I:$I,"F-16",'Таблиця 1'!$J:$J,"MK-24")+SUMIFS('Таблиця 1'!$K:$K,'Таблиця 1'!$B:$B,$A61,'Таблиця 1'!$I:$I,"МіГ-29",'Таблиця 1'!$J:$J,"MK-24")+SUMIFS('Таблиця 1'!$K:$K,'Таблиця 1'!$B:$B,$A61,'Таблиця 1'!$I:$I,"Су-25",'Таблиця 1'!$J:$J,"MK-24")+SUMIFS('Таблиця 1'!$K:$K,'Таблиця 1'!$B:$B,$A61,'Таблиця 1'!$I:$I,"Су-27",'Таблиця 1'!$J:$J,"MK-24"))</f>
        <v/>
      </c>
      <c r="R61">
        <f>IF($A61="","",COUNTIFS('Таблиця 1'!$B:$B,$A61,'Таблиця 1'!$I:$I,"Mirage",'Таблиця 1'!$L:$L,"Уражено")+COUNTIFS('Таблиця 1'!$B:$B,$A61,'Таблиця 1'!$I:$I,"F-16",'Таблиця 1'!$L:$L,"Уражено")+COUNTIFS('Таблиця 1'!$B:$B,$A61,'Таблиця 1'!$I:$I,"МіГ-29",'Таблиця 1'!$L:$L,"Уражено")+COUNTIFS('Таблиця 1'!$B:$B,$A61,'Таблиця 1'!$I:$I,"Су-25",'Таблиця 1'!$L:$L,"Уражено")+COUNTIFS('Таблиця 1'!$B:$B,$A61,'Таблиця 1'!$I:$I,"Су-27",'Таблиця 1'!$L:$L,"Уражено"))</f>
        <v/>
      </c>
      <c r="S61">
        <f>IF($A61="","",COUNTIFS('Таблиця 1'!$B:$B,$A61,'Таблиця 1'!$I:$I,"Mirage",'Таблиця 1'!$L:$L,"НЕ уражено")+COUNTIFS('Таблиця 1'!$B:$B,$A61,'Таблиця 1'!$I:$I,"F-16",'Таблиця 1'!$L:$L,"НЕ уражено")+COUNTIFS('Таблиця 1'!$B:$B,$A61,'Таблиця 1'!$I:$I,"МіГ-29",'Таблиця 1'!$L:$L,"НЕ уражено")+COUNTIFS('Таблиця 1'!$B:$B,$A61,'Таблиця 1'!$I:$I,"Су-25",'Таблиця 1'!$L:$L,"НЕ уражено")+COUNTIFS('Таблиця 1'!$B:$B,$A61,'Таблиця 1'!$I:$I,"Су-27",'Таблиця 1'!$L:$L,"НЕ уражено"))</f>
        <v/>
      </c>
      <c r="T61">
        <f>IF($A61="","",COUNTIFS('Таблиця 1'!$B:$B,$A61,'Таблиця 1'!$I:$I,"Mirage",'Таблиця 1'!$L:$L,"Дорозвідується")+COUNTIFS('Таблиця 1'!$B:$B,$A61,'Таблиця 1'!$I:$I,"F-16",'Таблиця 1'!$L:$L,"Дорозвідується")+COUNTIFS('Таблиця 1'!$B:$B,$A61,'Таблиця 1'!$I:$I,"МіГ-29",'Таблиця 1'!$L:$L,"Дорозвідується")+COUNTIFS('Таблиця 1'!$B:$B,$A61,'Таблиця 1'!$I:$I,"Су-25",'Таблиця 1'!$L:$L,"Дорозвідується")+COUNTIFS('Таблиця 1'!$B:$B,$A61,'Таблиця 1'!$I:$I,"Су-27",'Таблиця 1'!$L:$L,"Дорозвідується"))</f>
        <v/>
      </c>
    </row>
    <row r="62">
      <c r="A62" s="273">
        <f>IF(A61="","",IF(A61+1&gt;MAX('Таблиця 1'!$B:$B),"",A61+1))</f>
        <v/>
      </c>
      <c r="B62">
        <f>IF($A62="","",COUNTIFS('Таблиця 1'!$B:$B,$A62,'Таблиця 1'!$I:$I,"Mirage")+COUNTIFS('Таблиця 1'!$B:$B,$A62,'Таблиця 1'!$I:$I,"F-16")+COUNTIFS('Таблиця 1'!$B:$B,$A62,'Таблиця 1'!$I:$I,"МіГ-29")+COUNTIFS('Таблиця 1'!$B:$B,$A62,'Таблиця 1'!$I:$I,"Су-25")+COUNTIFS('Таблиця 1'!$B:$B,$A62,'Таблиця 1'!$I:$I,"Су-27"))</f>
        <v/>
      </c>
      <c r="C62">
        <f>IF($A62="","",COUNTIFS('Таблиця 1'!$B:$B,$A62,'Таблиця 1'!$I:$I,"Mirage"))</f>
        <v/>
      </c>
      <c r="D62">
        <f>IF($A62="","",COUNTIFS('Таблиця 1'!$B:$B,$A62,'Таблиця 1'!$I:$I,"F-16"))</f>
        <v/>
      </c>
      <c r="E62">
        <f>IF($A62="","",COUNTIFS('Таблиця 1'!$B:$B,$A62,'Таблиця 1'!$I:$I,"МіГ-29"))</f>
        <v/>
      </c>
      <c r="F62">
        <f>IF($A62="","",COUNTIFS('Таблиця 1'!$B:$B,$A62,'Таблиця 1'!$I:$I,"Су-25"))</f>
        <v/>
      </c>
      <c r="G62">
        <f>IF($A62="","",COUNTIFS('Таблиця 1'!$B:$B,$A62,'Таблиця 1'!$I:$I,"Су-27"))</f>
        <v/>
      </c>
      <c r="H62">
        <f>IF($A62="","",SUMIFS('Таблиця 1'!$K:$K,'Таблиця 1'!$B:$B,$A62,'Таблиця 1'!$I:$I,"Mirage",'Таблиця 1'!$J:$J,"AGM-88")+SUMIFS('Таблиця 1'!$K:$K,'Таблиця 1'!$B:$B,$A62,'Таблиця 1'!$I:$I,"F-16",'Таблиця 1'!$J:$J,"AGM-88")+SUMIFS('Таблиця 1'!$K:$K,'Таблиця 1'!$B:$B,$A62,'Таблиця 1'!$I:$I,"МіГ-29",'Таблиця 1'!$J:$J,"AGM-88")+SUMIFS('Таблиця 1'!$K:$K,'Таблиця 1'!$B:$B,$A62,'Таблиця 1'!$I:$I,"Су-25",'Таблиця 1'!$J:$J,"AGM-88")+SUMIFS('Таблиця 1'!$K:$K,'Таблиця 1'!$B:$B,$A62,'Таблиця 1'!$I:$I,"Су-27",'Таблиця 1'!$J:$J,"AGM-88"))</f>
        <v/>
      </c>
      <c r="I62">
        <f>IF($A62="","",SUMIFS('Таблиця 1'!$K:$K,'Таблиця 1'!$B:$B,$A62,'Таблиця 1'!$I:$I,"Mirage",'Таблиця 1'!$J:$J,"AASM-250")+SUMIFS('Таблиця 1'!$K:$K,'Таблиця 1'!$B:$B,$A62,'Таблиця 1'!$I:$I,"F-16",'Таблиця 1'!$J:$J,"AASM-250")+SUMIFS('Таблиця 1'!$K:$K,'Таблиця 1'!$B:$B,$A62,'Таблиця 1'!$I:$I,"МіГ-29",'Таблиця 1'!$J:$J,"AASM-250")+SUMIFS('Таблиця 1'!$K:$K,'Таблиця 1'!$B:$B,$A62,'Таблиця 1'!$I:$I,"Су-25",'Таблиця 1'!$J:$J,"AASM-250")+SUMIFS('Таблиця 1'!$K:$K,'Таблиця 1'!$B:$B,$A62,'Таблиця 1'!$I:$I,"Су-27",'Таблиця 1'!$J:$J,"AASM-250"))</f>
        <v/>
      </c>
      <c r="J62">
        <f>IF($A62="","",SUMIFS('Таблиця 1'!$K:$K,'Таблиця 1'!$B:$B,$A62,'Таблиця 1'!$I:$I,"Mirage",'Таблиця 1'!$J:$J,"GBU-39")+SUMIFS('Таблиця 1'!$K:$K,'Таблиця 1'!$B:$B,$A62,'Таблиця 1'!$I:$I,"F-16",'Таблиця 1'!$J:$J,"GBU-39")+SUMIFS('Таблиця 1'!$K:$K,'Таблиця 1'!$B:$B,$A62,'Таблиця 1'!$I:$I,"МіГ-29",'Таблиця 1'!$J:$J,"GBU-39")+SUMIFS('Таблиця 1'!$K:$K,'Таблиця 1'!$B:$B,$A62,'Таблиця 1'!$I:$I,"Су-25",'Таблиця 1'!$J:$J,"GBU-39")+SUMIFS('Таблиця 1'!$K:$K,'Таблиця 1'!$B:$B,$A62,'Таблиця 1'!$I:$I,"Су-27",'Таблиця 1'!$J:$J,"GBU-39"))</f>
        <v/>
      </c>
      <c r="K62">
        <f>IF($A62="","",SUMIFS('Таблиця 1'!$K:$K,'Таблиця 1'!$B:$B,$A62,'Таблиця 1'!$I:$I,"Mirage",'Таблиця 1'!$J:$J,"BLU-140")+SUMIFS('Таблиця 1'!$K:$K,'Таблиця 1'!$B:$B,$A62,'Таблиця 1'!$I:$I,"F-16",'Таблиця 1'!$J:$J,"BLU-140")+SUMIFS('Таблиця 1'!$K:$K,'Таблиця 1'!$B:$B,$A62,'Таблиця 1'!$I:$I,"МіГ-29",'Таблиця 1'!$J:$J,"BLU-140")+SUMIFS('Таблиця 1'!$K:$K,'Таблиця 1'!$B:$B,$A62,'Таблиця 1'!$I:$I,"Су-25",'Таблиця 1'!$J:$J,"BLU-140")+SUMIFS('Таблиця 1'!$K:$K,'Таблиця 1'!$B:$B,$A62,'Таблиця 1'!$I:$I,"Су-27",'Таблиця 1'!$J:$J,"BLU-140"))</f>
        <v/>
      </c>
      <c r="L62">
        <f>IF($A62="","",SUMIFS('Таблиця 1'!$K:$K,'Таблиця 1'!$B:$B,$A62,'Таблиця 1'!$I:$I,"Mirage",'Таблиця 1'!$J:$J,"GBU-65")+SUMIFS('Таблиця 1'!$K:$K,'Таблиця 1'!$B:$B,$A62,'Таблиця 1'!$I:$I,"F-16",'Таблиця 1'!$J:$J,"GBU-65")+SUMIFS('Таблиця 1'!$K:$K,'Таблиця 1'!$B:$B,$A62,'Таблиця 1'!$I:$I,"МіГ-29",'Таблиця 1'!$J:$J,"GBU-65")+SUMIFS('Таблиця 1'!$K:$K,'Таблиця 1'!$B:$B,$A62,'Таблиця 1'!$I:$I,"Су-25",'Таблиця 1'!$J:$J,"GBU-65")+SUMIFS('Таблиця 1'!$K:$K,'Таблиця 1'!$B:$B,$A62,'Таблиця 1'!$I:$I,"Су-27",'Таблиця 1'!$J:$J,"GBU-65"))</f>
        <v/>
      </c>
      <c r="M62">
        <f>IF($A62="","",SUMIFS('Таблиця 1'!$K:$K,'Таблиця 1'!$B:$B,$A62,'Таблиця 1'!$I:$I,"Mirage",'Таблиця 1'!$J:$J,"GBU-62")+SUMIFS('Таблиця 1'!$K:$K,'Таблиця 1'!$B:$B,$A62,'Таблиця 1'!$I:$I,"F-16",'Таблиця 1'!$J:$J,"GBU-62")+SUMIFS('Таблиця 1'!$K:$K,'Таблиця 1'!$B:$B,$A62,'Таблиця 1'!$I:$I,"МіГ-29",'Таблиця 1'!$J:$J,"GBU-62")+SUMIFS('Таблиця 1'!$K:$K,'Таблиця 1'!$B:$B,$A62,'Таблиця 1'!$I:$I,"Су-25",'Таблиця 1'!$J:$J,"GBU-62")+SUMIFS('Таблиця 1'!$K:$K,'Таблиця 1'!$B:$B,$A62,'Таблиця 1'!$I:$I,"Су-27",'Таблиця 1'!$J:$J,"GBU-62"))</f>
        <v/>
      </c>
      <c r="N62">
        <f>IF($A62="","",SUMIFS('Таблиця 1'!$K:$K,'Таблиця 1'!$B:$B,$A62,'Таблиця 1'!$I:$I,"Mirage",'Таблиця 1'!$J:$J,"GBU-64")+SUMIFS('Таблиця 1'!$K:$K,'Таблиця 1'!$B:$B,$A62,'Таблиця 1'!$I:$I,"F-16",'Таблиця 1'!$J:$J,"GBU-64")+SUMIFS('Таблиця 1'!$K:$K,'Таблиця 1'!$B:$B,$A62,'Таблиця 1'!$I:$I,"МіГ-29",'Таблиця 1'!$J:$J,"GBU-64")+SUMIFS('Таблиця 1'!$K:$K,'Таблиця 1'!$B:$B,$A62,'Таблиця 1'!$I:$I,"Су-25",'Таблиця 1'!$J:$J,"GBU-64")+SUMIFS('Таблиця 1'!$K:$K,'Таблиця 1'!$B:$B,$A62,'Таблиця 1'!$I:$I,"Су-27",'Таблиця 1'!$J:$J,"GBU-64"))</f>
        <v/>
      </c>
      <c r="O62">
        <f>IF($A62="","",SUMIFS('Таблиця 1'!$K:$K,'Таблиця 1'!$B:$B,$A62,'Таблиця 1'!$I:$I,"Mirage",'Таблиця 1'!$J:$J,"C-13")+SUMIFS('Таблиця 1'!$K:$K,'Таблиця 1'!$B:$B,$A62,'Таблиця 1'!$I:$I,"F-16",'Таблиця 1'!$J:$J,"C-13")+SUMIFS('Таблиця 1'!$K:$K,'Таблиця 1'!$B:$B,$A62,'Таблиця 1'!$I:$I,"МіГ-29",'Таблиця 1'!$J:$J,"C-13")+SUMIFS('Таблиця 1'!$K:$K,'Таблиця 1'!$B:$B,$A62,'Таблиця 1'!$I:$I,"Су-25",'Таблиця 1'!$J:$J,"C-13")+SUMIFS('Таблиця 1'!$K:$K,'Таблиця 1'!$B:$B,$A62,'Таблиця 1'!$I:$I,"Су-27",'Таблиця 1'!$J:$J,"C-13"))</f>
        <v/>
      </c>
      <c r="P62">
        <f>IF($A62="","",SUMIFS('Таблиця 1'!$K:$K,'Таблиця 1'!$B:$B,$A62,'Таблиця 1'!$I:$I,"Mirage",'Таблиця 1'!$J:$J,"MK-32")+SUMIFS('Таблиця 1'!$K:$K,'Таблиця 1'!$B:$B,$A62,'Таблиця 1'!$I:$I,"F-16",'Таблиця 1'!$J:$J,"MK-32")+SUMIFS('Таблиця 1'!$K:$K,'Таблиця 1'!$B:$B,$A62,'Таблиця 1'!$I:$I,"МіГ-29",'Таблиця 1'!$J:$J,"MK-32")+SUMIFS('Таблиця 1'!$K:$K,'Таблиця 1'!$B:$B,$A62,'Таблиця 1'!$I:$I,"Су-25",'Таблиця 1'!$J:$J,"MK-32")+SUMIFS('Таблиця 1'!$K:$K,'Таблиця 1'!$B:$B,$A62,'Таблиця 1'!$I:$I,"Су-27",'Таблиця 1'!$J:$J,"MK-32"))</f>
        <v/>
      </c>
      <c r="Q62">
        <f>IF($A62="","",SUMIFS('Таблиця 1'!$K:$K,'Таблиця 1'!$B:$B,$A62,'Таблиця 1'!$I:$I,"Mirage",'Таблиця 1'!$J:$J,"MK-24")+SUMIFS('Таблиця 1'!$K:$K,'Таблиця 1'!$B:$B,$A62,'Таблиця 1'!$I:$I,"F-16",'Таблиця 1'!$J:$J,"MK-24")+SUMIFS('Таблиця 1'!$K:$K,'Таблиця 1'!$B:$B,$A62,'Таблиця 1'!$I:$I,"МіГ-29",'Таблиця 1'!$J:$J,"MK-24")+SUMIFS('Таблиця 1'!$K:$K,'Таблиця 1'!$B:$B,$A62,'Таблиця 1'!$I:$I,"Су-25",'Таблиця 1'!$J:$J,"MK-24")+SUMIFS('Таблиця 1'!$K:$K,'Таблиця 1'!$B:$B,$A62,'Таблиця 1'!$I:$I,"Су-27",'Таблиця 1'!$J:$J,"MK-24"))</f>
        <v/>
      </c>
      <c r="R62">
        <f>IF($A62="","",COUNTIFS('Таблиця 1'!$B:$B,$A62,'Таблиця 1'!$I:$I,"Mirage",'Таблиця 1'!$L:$L,"Уражено")+COUNTIFS('Таблиця 1'!$B:$B,$A62,'Таблиця 1'!$I:$I,"F-16",'Таблиця 1'!$L:$L,"Уражено")+COUNTIFS('Таблиця 1'!$B:$B,$A62,'Таблиця 1'!$I:$I,"МіГ-29",'Таблиця 1'!$L:$L,"Уражено")+COUNTIFS('Таблиця 1'!$B:$B,$A62,'Таблиця 1'!$I:$I,"Су-25",'Таблиця 1'!$L:$L,"Уражено")+COUNTIFS('Таблиця 1'!$B:$B,$A62,'Таблиця 1'!$I:$I,"Су-27",'Таблиця 1'!$L:$L,"Уражено"))</f>
        <v/>
      </c>
      <c r="S62">
        <f>IF($A62="","",COUNTIFS('Таблиця 1'!$B:$B,$A62,'Таблиця 1'!$I:$I,"Mirage",'Таблиця 1'!$L:$L,"НЕ уражено")+COUNTIFS('Таблиця 1'!$B:$B,$A62,'Таблиця 1'!$I:$I,"F-16",'Таблиця 1'!$L:$L,"НЕ уражено")+COUNTIFS('Таблиця 1'!$B:$B,$A62,'Таблиця 1'!$I:$I,"МіГ-29",'Таблиця 1'!$L:$L,"НЕ уражено")+COUNTIFS('Таблиця 1'!$B:$B,$A62,'Таблиця 1'!$I:$I,"Су-25",'Таблиця 1'!$L:$L,"НЕ уражено")+COUNTIFS('Таблиця 1'!$B:$B,$A62,'Таблиця 1'!$I:$I,"Су-27",'Таблиця 1'!$L:$L,"НЕ уражено"))</f>
        <v/>
      </c>
      <c r="T62">
        <f>IF($A62="","",COUNTIFS('Таблиця 1'!$B:$B,$A62,'Таблиця 1'!$I:$I,"Mirage",'Таблиця 1'!$L:$L,"Дорозвідується")+COUNTIFS('Таблиця 1'!$B:$B,$A62,'Таблиця 1'!$I:$I,"F-16",'Таблиця 1'!$L:$L,"Дорозвідується")+COUNTIFS('Таблиця 1'!$B:$B,$A62,'Таблиця 1'!$I:$I,"МіГ-29",'Таблиця 1'!$L:$L,"Дорозвідується")+COUNTIFS('Таблиця 1'!$B:$B,$A62,'Таблиця 1'!$I:$I,"Су-25",'Таблиця 1'!$L:$L,"Дорозвідується")+COUNTIFS('Таблиця 1'!$B:$B,$A62,'Таблиця 1'!$I:$I,"Су-27",'Таблиця 1'!$L:$L,"Дорозвідується"))</f>
        <v/>
      </c>
    </row>
    <row r="63">
      <c r="A63" s="273">
        <f>IF(A62="","",IF(A62+1&gt;MAX('Таблиця 1'!$B:$B),"",A62+1))</f>
        <v/>
      </c>
      <c r="B63">
        <f>IF($A63="","",COUNTIFS('Таблиця 1'!$B:$B,$A63,'Таблиця 1'!$I:$I,"Mirage")+COUNTIFS('Таблиця 1'!$B:$B,$A63,'Таблиця 1'!$I:$I,"F-16")+COUNTIFS('Таблиця 1'!$B:$B,$A63,'Таблиця 1'!$I:$I,"МіГ-29")+COUNTIFS('Таблиця 1'!$B:$B,$A63,'Таблиця 1'!$I:$I,"Су-25")+COUNTIFS('Таблиця 1'!$B:$B,$A63,'Таблиця 1'!$I:$I,"Су-27"))</f>
        <v/>
      </c>
      <c r="C63">
        <f>IF($A63="","",COUNTIFS('Таблиця 1'!$B:$B,$A63,'Таблиця 1'!$I:$I,"Mirage"))</f>
        <v/>
      </c>
      <c r="D63">
        <f>IF($A63="","",COUNTIFS('Таблиця 1'!$B:$B,$A63,'Таблиця 1'!$I:$I,"F-16"))</f>
        <v/>
      </c>
      <c r="E63">
        <f>IF($A63="","",COUNTIFS('Таблиця 1'!$B:$B,$A63,'Таблиця 1'!$I:$I,"МіГ-29"))</f>
        <v/>
      </c>
      <c r="F63">
        <f>IF($A63="","",COUNTIFS('Таблиця 1'!$B:$B,$A63,'Таблиця 1'!$I:$I,"Су-25"))</f>
        <v/>
      </c>
      <c r="G63">
        <f>IF($A63="","",COUNTIFS('Таблиця 1'!$B:$B,$A63,'Таблиця 1'!$I:$I,"Су-27"))</f>
        <v/>
      </c>
      <c r="H63">
        <f>IF($A63="","",SUMIFS('Таблиця 1'!$K:$K,'Таблиця 1'!$B:$B,$A63,'Таблиця 1'!$I:$I,"Mirage",'Таблиця 1'!$J:$J,"AGM-88")+SUMIFS('Таблиця 1'!$K:$K,'Таблиця 1'!$B:$B,$A63,'Таблиця 1'!$I:$I,"F-16",'Таблиця 1'!$J:$J,"AGM-88")+SUMIFS('Таблиця 1'!$K:$K,'Таблиця 1'!$B:$B,$A63,'Таблиця 1'!$I:$I,"МіГ-29",'Таблиця 1'!$J:$J,"AGM-88")+SUMIFS('Таблиця 1'!$K:$K,'Таблиця 1'!$B:$B,$A63,'Таблиця 1'!$I:$I,"Су-25",'Таблиця 1'!$J:$J,"AGM-88")+SUMIFS('Таблиця 1'!$K:$K,'Таблиця 1'!$B:$B,$A63,'Таблиця 1'!$I:$I,"Су-27",'Таблиця 1'!$J:$J,"AGM-88"))</f>
        <v/>
      </c>
      <c r="I63">
        <f>IF($A63="","",SUMIFS('Таблиця 1'!$K:$K,'Таблиця 1'!$B:$B,$A63,'Таблиця 1'!$I:$I,"Mirage",'Таблиця 1'!$J:$J,"AASM-250")+SUMIFS('Таблиця 1'!$K:$K,'Таблиця 1'!$B:$B,$A63,'Таблиця 1'!$I:$I,"F-16",'Таблиця 1'!$J:$J,"AASM-250")+SUMIFS('Таблиця 1'!$K:$K,'Таблиця 1'!$B:$B,$A63,'Таблиця 1'!$I:$I,"МіГ-29",'Таблиця 1'!$J:$J,"AASM-250")+SUMIFS('Таблиця 1'!$K:$K,'Таблиця 1'!$B:$B,$A63,'Таблиця 1'!$I:$I,"Су-25",'Таблиця 1'!$J:$J,"AASM-250")+SUMIFS('Таблиця 1'!$K:$K,'Таблиця 1'!$B:$B,$A63,'Таблиця 1'!$I:$I,"Су-27",'Таблиця 1'!$J:$J,"AASM-250"))</f>
        <v/>
      </c>
      <c r="J63">
        <f>IF($A63="","",SUMIFS('Таблиця 1'!$K:$K,'Таблиця 1'!$B:$B,$A63,'Таблиця 1'!$I:$I,"Mirage",'Таблиця 1'!$J:$J,"GBU-39")+SUMIFS('Таблиця 1'!$K:$K,'Таблиця 1'!$B:$B,$A63,'Таблиця 1'!$I:$I,"F-16",'Таблиця 1'!$J:$J,"GBU-39")+SUMIFS('Таблиця 1'!$K:$K,'Таблиця 1'!$B:$B,$A63,'Таблиця 1'!$I:$I,"МіГ-29",'Таблиця 1'!$J:$J,"GBU-39")+SUMIFS('Таблиця 1'!$K:$K,'Таблиця 1'!$B:$B,$A63,'Таблиця 1'!$I:$I,"Су-25",'Таблиця 1'!$J:$J,"GBU-39")+SUMIFS('Таблиця 1'!$K:$K,'Таблиця 1'!$B:$B,$A63,'Таблиця 1'!$I:$I,"Су-27",'Таблиця 1'!$J:$J,"GBU-39"))</f>
        <v/>
      </c>
      <c r="K63">
        <f>IF($A63="","",SUMIFS('Таблиця 1'!$K:$K,'Таблиця 1'!$B:$B,$A63,'Таблиця 1'!$I:$I,"Mirage",'Таблиця 1'!$J:$J,"BLU-140")+SUMIFS('Таблиця 1'!$K:$K,'Таблиця 1'!$B:$B,$A63,'Таблиця 1'!$I:$I,"F-16",'Таблиця 1'!$J:$J,"BLU-140")+SUMIFS('Таблиця 1'!$K:$K,'Таблиця 1'!$B:$B,$A63,'Таблиця 1'!$I:$I,"МіГ-29",'Таблиця 1'!$J:$J,"BLU-140")+SUMIFS('Таблиця 1'!$K:$K,'Таблиця 1'!$B:$B,$A63,'Таблиця 1'!$I:$I,"Су-25",'Таблиця 1'!$J:$J,"BLU-140")+SUMIFS('Таблиця 1'!$K:$K,'Таблиця 1'!$B:$B,$A63,'Таблиця 1'!$I:$I,"Су-27",'Таблиця 1'!$J:$J,"BLU-140"))</f>
        <v/>
      </c>
      <c r="L63">
        <f>IF($A63="","",SUMIFS('Таблиця 1'!$K:$K,'Таблиця 1'!$B:$B,$A63,'Таблиця 1'!$I:$I,"Mirage",'Таблиця 1'!$J:$J,"GBU-65")+SUMIFS('Таблиця 1'!$K:$K,'Таблиця 1'!$B:$B,$A63,'Таблиця 1'!$I:$I,"F-16",'Таблиця 1'!$J:$J,"GBU-65")+SUMIFS('Таблиця 1'!$K:$K,'Таблиця 1'!$B:$B,$A63,'Таблиця 1'!$I:$I,"МіГ-29",'Таблиця 1'!$J:$J,"GBU-65")+SUMIFS('Таблиця 1'!$K:$K,'Таблиця 1'!$B:$B,$A63,'Таблиця 1'!$I:$I,"Су-25",'Таблиця 1'!$J:$J,"GBU-65")+SUMIFS('Таблиця 1'!$K:$K,'Таблиця 1'!$B:$B,$A63,'Таблиця 1'!$I:$I,"Су-27",'Таблиця 1'!$J:$J,"GBU-65"))</f>
        <v/>
      </c>
      <c r="M63">
        <f>IF($A63="","",SUMIFS('Таблиця 1'!$K:$K,'Таблиця 1'!$B:$B,$A63,'Таблиця 1'!$I:$I,"Mirage",'Таблиця 1'!$J:$J,"GBU-62")+SUMIFS('Таблиця 1'!$K:$K,'Таблиця 1'!$B:$B,$A63,'Таблиця 1'!$I:$I,"F-16",'Таблиця 1'!$J:$J,"GBU-62")+SUMIFS('Таблиця 1'!$K:$K,'Таблиця 1'!$B:$B,$A63,'Таблиця 1'!$I:$I,"МіГ-29",'Таблиця 1'!$J:$J,"GBU-62")+SUMIFS('Таблиця 1'!$K:$K,'Таблиця 1'!$B:$B,$A63,'Таблиця 1'!$I:$I,"Су-25",'Таблиця 1'!$J:$J,"GBU-62")+SUMIFS('Таблиця 1'!$K:$K,'Таблиця 1'!$B:$B,$A63,'Таблиця 1'!$I:$I,"Су-27",'Таблиця 1'!$J:$J,"GBU-62"))</f>
        <v/>
      </c>
      <c r="N63">
        <f>IF($A63="","",SUMIFS('Таблиця 1'!$K:$K,'Таблиця 1'!$B:$B,$A63,'Таблиця 1'!$I:$I,"Mirage",'Таблиця 1'!$J:$J,"GBU-64")+SUMIFS('Таблиця 1'!$K:$K,'Таблиця 1'!$B:$B,$A63,'Таблиця 1'!$I:$I,"F-16",'Таблиця 1'!$J:$J,"GBU-64")+SUMIFS('Таблиця 1'!$K:$K,'Таблиця 1'!$B:$B,$A63,'Таблиця 1'!$I:$I,"МіГ-29",'Таблиця 1'!$J:$J,"GBU-64")+SUMIFS('Таблиця 1'!$K:$K,'Таблиця 1'!$B:$B,$A63,'Таблиця 1'!$I:$I,"Су-25",'Таблиця 1'!$J:$J,"GBU-64")+SUMIFS('Таблиця 1'!$K:$K,'Таблиця 1'!$B:$B,$A63,'Таблиця 1'!$I:$I,"Су-27",'Таблиця 1'!$J:$J,"GBU-64"))</f>
        <v/>
      </c>
      <c r="O63">
        <f>IF($A63="","",SUMIFS('Таблиця 1'!$K:$K,'Таблиця 1'!$B:$B,$A63,'Таблиця 1'!$I:$I,"Mirage",'Таблиця 1'!$J:$J,"C-13")+SUMIFS('Таблиця 1'!$K:$K,'Таблиця 1'!$B:$B,$A63,'Таблиця 1'!$I:$I,"F-16",'Таблиця 1'!$J:$J,"C-13")+SUMIFS('Таблиця 1'!$K:$K,'Таблиця 1'!$B:$B,$A63,'Таблиця 1'!$I:$I,"МіГ-29",'Таблиця 1'!$J:$J,"C-13")+SUMIFS('Таблиця 1'!$K:$K,'Таблиця 1'!$B:$B,$A63,'Таблиця 1'!$I:$I,"Су-25",'Таблиця 1'!$J:$J,"C-13")+SUMIFS('Таблиця 1'!$K:$K,'Таблиця 1'!$B:$B,$A63,'Таблиця 1'!$I:$I,"Су-27",'Таблиця 1'!$J:$J,"C-13"))</f>
        <v/>
      </c>
      <c r="P63">
        <f>IF($A63="","",SUMIFS('Таблиця 1'!$K:$K,'Таблиця 1'!$B:$B,$A63,'Таблиця 1'!$I:$I,"Mirage",'Таблиця 1'!$J:$J,"MK-32")+SUMIFS('Таблиця 1'!$K:$K,'Таблиця 1'!$B:$B,$A63,'Таблиця 1'!$I:$I,"F-16",'Таблиця 1'!$J:$J,"MK-32")+SUMIFS('Таблиця 1'!$K:$K,'Таблиця 1'!$B:$B,$A63,'Таблиця 1'!$I:$I,"МіГ-29",'Таблиця 1'!$J:$J,"MK-32")+SUMIFS('Таблиця 1'!$K:$K,'Таблиця 1'!$B:$B,$A63,'Таблиця 1'!$I:$I,"Су-25",'Таблиця 1'!$J:$J,"MK-32")+SUMIFS('Таблиця 1'!$K:$K,'Таблиця 1'!$B:$B,$A63,'Таблиця 1'!$I:$I,"Су-27",'Таблиця 1'!$J:$J,"MK-32"))</f>
        <v/>
      </c>
      <c r="Q63">
        <f>IF($A63="","",SUMIFS('Таблиця 1'!$K:$K,'Таблиця 1'!$B:$B,$A63,'Таблиця 1'!$I:$I,"Mirage",'Таблиця 1'!$J:$J,"MK-24")+SUMIFS('Таблиця 1'!$K:$K,'Таблиця 1'!$B:$B,$A63,'Таблиця 1'!$I:$I,"F-16",'Таблиця 1'!$J:$J,"MK-24")+SUMIFS('Таблиця 1'!$K:$K,'Таблиця 1'!$B:$B,$A63,'Таблиця 1'!$I:$I,"МіГ-29",'Таблиця 1'!$J:$J,"MK-24")+SUMIFS('Таблиця 1'!$K:$K,'Таблиця 1'!$B:$B,$A63,'Таблиця 1'!$I:$I,"Су-25",'Таблиця 1'!$J:$J,"MK-24")+SUMIFS('Таблиця 1'!$K:$K,'Таблиця 1'!$B:$B,$A63,'Таблиця 1'!$I:$I,"Су-27",'Таблиця 1'!$J:$J,"MK-24"))</f>
        <v/>
      </c>
      <c r="R63">
        <f>IF($A63="","",COUNTIFS('Таблиця 1'!$B:$B,$A63,'Таблиця 1'!$I:$I,"Mirage",'Таблиця 1'!$L:$L,"Уражено")+COUNTIFS('Таблиця 1'!$B:$B,$A63,'Таблиця 1'!$I:$I,"F-16",'Таблиця 1'!$L:$L,"Уражено")+COUNTIFS('Таблиця 1'!$B:$B,$A63,'Таблиця 1'!$I:$I,"МіГ-29",'Таблиця 1'!$L:$L,"Уражено")+COUNTIFS('Таблиця 1'!$B:$B,$A63,'Таблиця 1'!$I:$I,"Су-25",'Таблиця 1'!$L:$L,"Уражено")+COUNTIFS('Таблиця 1'!$B:$B,$A63,'Таблиця 1'!$I:$I,"Су-27",'Таблиця 1'!$L:$L,"Уражено"))</f>
        <v/>
      </c>
      <c r="S63">
        <f>IF($A63="","",COUNTIFS('Таблиця 1'!$B:$B,$A63,'Таблиця 1'!$I:$I,"Mirage",'Таблиця 1'!$L:$L,"НЕ уражено")+COUNTIFS('Таблиця 1'!$B:$B,$A63,'Таблиця 1'!$I:$I,"F-16",'Таблиця 1'!$L:$L,"НЕ уражено")+COUNTIFS('Таблиця 1'!$B:$B,$A63,'Таблиця 1'!$I:$I,"МіГ-29",'Таблиця 1'!$L:$L,"НЕ уражено")+COUNTIFS('Таблиця 1'!$B:$B,$A63,'Таблиця 1'!$I:$I,"Су-25",'Таблиця 1'!$L:$L,"НЕ уражено")+COUNTIFS('Таблиця 1'!$B:$B,$A63,'Таблиця 1'!$I:$I,"Су-27",'Таблиця 1'!$L:$L,"НЕ уражено"))</f>
        <v/>
      </c>
      <c r="T63">
        <f>IF($A63="","",COUNTIFS('Таблиця 1'!$B:$B,$A63,'Таблиця 1'!$I:$I,"Mirage",'Таблиця 1'!$L:$L,"Дорозвідується")+COUNTIFS('Таблиця 1'!$B:$B,$A63,'Таблиця 1'!$I:$I,"F-16",'Таблиця 1'!$L:$L,"Дорозвідується")+COUNTIFS('Таблиця 1'!$B:$B,$A63,'Таблиця 1'!$I:$I,"МіГ-29",'Таблиця 1'!$L:$L,"Дорозвідується")+COUNTIFS('Таблиця 1'!$B:$B,$A63,'Таблиця 1'!$I:$I,"Су-25",'Таблиця 1'!$L:$L,"Дорозвідується")+COUNTIFS('Таблиця 1'!$B:$B,$A63,'Таблиця 1'!$I:$I,"Су-27",'Таблиця 1'!$L:$L,"Дорозвідується"))</f>
        <v/>
      </c>
    </row>
    <row r="64">
      <c r="A64" s="273">
        <f>IF(A63="","",IF(A63+1&gt;MAX('Таблиця 1'!$B:$B),"",A63+1))</f>
        <v/>
      </c>
      <c r="B64">
        <f>IF($A64="","",COUNTIFS('Таблиця 1'!$B:$B,$A64,'Таблиця 1'!$I:$I,"Mirage")+COUNTIFS('Таблиця 1'!$B:$B,$A64,'Таблиця 1'!$I:$I,"F-16")+COUNTIFS('Таблиця 1'!$B:$B,$A64,'Таблиця 1'!$I:$I,"МіГ-29")+COUNTIFS('Таблиця 1'!$B:$B,$A64,'Таблиця 1'!$I:$I,"Су-25")+COUNTIFS('Таблиця 1'!$B:$B,$A64,'Таблиця 1'!$I:$I,"Су-27"))</f>
        <v/>
      </c>
      <c r="C64">
        <f>IF($A64="","",COUNTIFS('Таблиця 1'!$B:$B,$A64,'Таблиця 1'!$I:$I,"Mirage"))</f>
        <v/>
      </c>
      <c r="D64">
        <f>IF($A64="","",COUNTIFS('Таблиця 1'!$B:$B,$A64,'Таблиця 1'!$I:$I,"F-16"))</f>
        <v/>
      </c>
      <c r="E64">
        <f>IF($A64="","",COUNTIFS('Таблиця 1'!$B:$B,$A64,'Таблиця 1'!$I:$I,"МіГ-29"))</f>
        <v/>
      </c>
      <c r="F64">
        <f>IF($A64="","",COUNTIFS('Таблиця 1'!$B:$B,$A64,'Таблиця 1'!$I:$I,"Су-25"))</f>
        <v/>
      </c>
      <c r="G64">
        <f>IF($A64="","",COUNTIFS('Таблиця 1'!$B:$B,$A64,'Таблиця 1'!$I:$I,"Су-27"))</f>
        <v/>
      </c>
      <c r="H64">
        <f>IF($A64="","",SUMIFS('Таблиця 1'!$K:$K,'Таблиця 1'!$B:$B,$A64,'Таблиця 1'!$I:$I,"Mirage",'Таблиця 1'!$J:$J,"AGM-88")+SUMIFS('Таблиця 1'!$K:$K,'Таблиця 1'!$B:$B,$A64,'Таблиця 1'!$I:$I,"F-16",'Таблиця 1'!$J:$J,"AGM-88")+SUMIFS('Таблиця 1'!$K:$K,'Таблиця 1'!$B:$B,$A64,'Таблиця 1'!$I:$I,"МіГ-29",'Таблиця 1'!$J:$J,"AGM-88")+SUMIFS('Таблиця 1'!$K:$K,'Таблиця 1'!$B:$B,$A64,'Таблиця 1'!$I:$I,"Су-25",'Таблиця 1'!$J:$J,"AGM-88")+SUMIFS('Таблиця 1'!$K:$K,'Таблиця 1'!$B:$B,$A64,'Таблиця 1'!$I:$I,"Су-27",'Таблиця 1'!$J:$J,"AGM-88"))</f>
        <v/>
      </c>
      <c r="I64">
        <f>IF($A64="","",SUMIFS('Таблиця 1'!$K:$K,'Таблиця 1'!$B:$B,$A64,'Таблиця 1'!$I:$I,"Mirage",'Таблиця 1'!$J:$J,"AASM-250")+SUMIFS('Таблиця 1'!$K:$K,'Таблиця 1'!$B:$B,$A64,'Таблиця 1'!$I:$I,"F-16",'Таблиця 1'!$J:$J,"AASM-250")+SUMIFS('Таблиця 1'!$K:$K,'Таблиця 1'!$B:$B,$A64,'Таблиця 1'!$I:$I,"МіГ-29",'Таблиця 1'!$J:$J,"AASM-250")+SUMIFS('Таблиця 1'!$K:$K,'Таблиця 1'!$B:$B,$A64,'Таблиця 1'!$I:$I,"Су-25",'Таблиця 1'!$J:$J,"AASM-250")+SUMIFS('Таблиця 1'!$K:$K,'Таблиця 1'!$B:$B,$A64,'Таблиця 1'!$I:$I,"Су-27",'Таблиця 1'!$J:$J,"AASM-250"))</f>
        <v/>
      </c>
      <c r="J64">
        <f>IF($A64="","",SUMIFS('Таблиця 1'!$K:$K,'Таблиця 1'!$B:$B,$A64,'Таблиця 1'!$I:$I,"Mirage",'Таблиця 1'!$J:$J,"GBU-39")+SUMIFS('Таблиця 1'!$K:$K,'Таблиця 1'!$B:$B,$A64,'Таблиця 1'!$I:$I,"F-16",'Таблиця 1'!$J:$J,"GBU-39")+SUMIFS('Таблиця 1'!$K:$K,'Таблиця 1'!$B:$B,$A64,'Таблиця 1'!$I:$I,"МіГ-29",'Таблиця 1'!$J:$J,"GBU-39")+SUMIFS('Таблиця 1'!$K:$K,'Таблиця 1'!$B:$B,$A64,'Таблиця 1'!$I:$I,"Су-25",'Таблиця 1'!$J:$J,"GBU-39")+SUMIFS('Таблиця 1'!$K:$K,'Таблиця 1'!$B:$B,$A64,'Таблиця 1'!$I:$I,"Су-27",'Таблиця 1'!$J:$J,"GBU-39"))</f>
        <v/>
      </c>
      <c r="K64">
        <f>IF($A64="","",SUMIFS('Таблиця 1'!$K:$K,'Таблиця 1'!$B:$B,$A64,'Таблиця 1'!$I:$I,"Mirage",'Таблиця 1'!$J:$J,"BLU-140")+SUMIFS('Таблиця 1'!$K:$K,'Таблиця 1'!$B:$B,$A64,'Таблиця 1'!$I:$I,"F-16",'Таблиця 1'!$J:$J,"BLU-140")+SUMIFS('Таблиця 1'!$K:$K,'Таблиця 1'!$B:$B,$A64,'Таблиця 1'!$I:$I,"МіГ-29",'Таблиця 1'!$J:$J,"BLU-140")+SUMIFS('Таблиця 1'!$K:$K,'Таблиця 1'!$B:$B,$A64,'Таблиця 1'!$I:$I,"Су-25",'Таблиця 1'!$J:$J,"BLU-140")+SUMIFS('Таблиця 1'!$K:$K,'Таблиця 1'!$B:$B,$A64,'Таблиця 1'!$I:$I,"Су-27",'Таблиця 1'!$J:$J,"BLU-140"))</f>
        <v/>
      </c>
      <c r="L64">
        <f>IF($A64="","",SUMIFS('Таблиця 1'!$K:$K,'Таблиця 1'!$B:$B,$A64,'Таблиця 1'!$I:$I,"Mirage",'Таблиця 1'!$J:$J,"GBU-65")+SUMIFS('Таблиця 1'!$K:$K,'Таблиця 1'!$B:$B,$A64,'Таблиця 1'!$I:$I,"F-16",'Таблиця 1'!$J:$J,"GBU-65")+SUMIFS('Таблиця 1'!$K:$K,'Таблиця 1'!$B:$B,$A64,'Таблиця 1'!$I:$I,"МіГ-29",'Таблиця 1'!$J:$J,"GBU-65")+SUMIFS('Таблиця 1'!$K:$K,'Таблиця 1'!$B:$B,$A64,'Таблиця 1'!$I:$I,"Су-25",'Таблиця 1'!$J:$J,"GBU-65")+SUMIFS('Таблиця 1'!$K:$K,'Таблиця 1'!$B:$B,$A64,'Таблиця 1'!$I:$I,"Су-27",'Таблиця 1'!$J:$J,"GBU-65"))</f>
        <v/>
      </c>
      <c r="M64">
        <f>IF($A64="","",SUMIFS('Таблиця 1'!$K:$K,'Таблиця 1'!$B:$B,$A64,'Таблиця 1'!$I:$I,"Mirage",'Таблиця 1'!$J:$J,"GBU-62")+SUMIFS('Таблиця 1'!$K:$K,'Таблиця 1'!$B:$B,$A64,'Таблиця 1'!$I:$I,"F-16",'Таблиця 1'!$J:$J,"GBU-62")+SUMIFS('Таблиця 1'!$K:$K,'Таблиця 1'!$B:$B,$A64,'Таблиця 1'!$I:$I,"МіГ-29",'Таблиця 1'!$J:$J,"GBU-62")+SUMIFS('Таблиця 1'!$K:$K,'Таблиця 1'!$B:$B,$A64,'Таблиця 1'!$I:$I,"Су-25",'Таблиця 1'!$J:$J,"GBU-62")+SUMIFS('Таблиця 1'!$K:$K,'Таблиця 1'!$B:$B,$A64,'Таблиця 1'!$I:$I,"Су-27",'Таблиця 1'!$J:$J,"GBU-62"))</f>
        <v/>
      </c>
      <c r="N64">
        <f>IF($A64="","",SUMIFS('Таблиця 1'!$K:$K,'Таблиця 1'!$B:$B,$A64,'Таблиця 1'!$I:$I,"Mirage",'Таблиця 1'!$J:$J,"GBU-64")+SUMIFS('Таблиця 1'!$K:$K,'Таблиця 1'!$B:$B,$A64,'Таблиця 1'!$I:$I,"F-16",'Таблиця 1'!$J:$J,"GBU-64")+SUMIFS('Таблиця 1'!$K:$K,'Таблиця 1'!$B:$B,$A64,'Таблиця 1'!$I:$I,"МіГ-29",'Таблиця 1'!$J:$J,"GBU-64")+SUMIFS('Таблиця 1'!$K:$K,'Таблиця 1'!$B:$B,$A64,'Таблиця 1'!$I:$I,"Су-25",'Таблиця 1'!$J:$J,"GBU-64")+SUMIFS('Таблиця 1'!$K:$K,'Таблиця 1'!$B:$B,$A64,'Таблиця 1'!$I:$I,"Су-27",'Таблиця 1'!$J:$J,"GBU-64"))</f>
        <v/>
      </c>
      <c r="O64">
        <f>IF($A64="","",SUMIFS('Таблиця 1'!$K:$K,'Таблиця 1'!$B:$B,$A64,'Таблиця 1'!$I:$I,"Mirage",'Таблиця 1'!$J:$J,"C-13")+SUMIFS('Таблиця 1'!$K:$K,'Таблиця 1'!$B:$B,$A64,'Таблиця 1'!$I:$I,"F-16",'Таблиця 1'!$J:$J,"C-13")+SUMIFS('Таблиця 1'!$K:$K,'Таблиця 1'!$B:$B,$A64,'Таблиця 1'!$I:$I,"МіГ-29",'Таблиця 1'!$J:$J,"C-13")+SUMIFS('Таблиця 1'!$K:$K,'Таблиця 1'!$B:$B,$A64,'Таблиця 1'!$I:$I,"Су-25",'Таблиця 1'!$J:$J,"C-13")+SUMIFS('Таблиця 1'!$K:$K,'Таблиця 1'!$B:$B,$A64,'Таблиця 1'!$I:$I,"Су-27",'Таблиця 1'!$J:$J,"C-13"))</f>
        <v/>
      </c>
      <c r="P64">
        <f>IF($A64="","",SUMIFS('Таблиця 1'!$K:$K,'Таблиця 1'!$B:$B,$A64,'Таблиця 1'!$I:$I,"Mirage",'Таблиця 1'!$J:$J,"MK-32")+SUMIFS('Таблиця 1'!$K:$K,'Таблиця 1'!$B:$B,$A64,'Таблиця 1'!$I:$I,"F-16",'Таблиця 1'!$J:$J,"MK-32")+SUMIFS('Таблиця 1'!$K:$K,'Таблиця 1'!$B:$B,$A64,'Таблиця 1'!$I:$I,"МіГ-29",'Таблиця 1'!$J:$J,"MK-32")+SUMIFS('Таблиця 1'!$K:$K,'Таблиця 1'!$B:$B,$A64,'Таблиця 1'!$I:$I,"Су-25",'Таблиця 1'!$J:$J,"MK-32")+SUMIFS('Таблиця 1'!$K:$K,'Таблиця 1'!$B:$B,$A64,'Таблиця 1'!$I:$I,"Су-27",'Таблиця 1'!$J:$J,"MK-32"))</f>
        <v/>
      </c>
      <c r="Q64">
        <f>IF($A64="","",SUMIFS('Таблиця 1'!$K:$K,'Таблиця 1'!$B:$B,$A64,'Таблиця 1'!$I:$I,"Mirage",'Таблиця 1'!$J:$J,"MK-24")+SUMIFS('Таблиця 1'!$K:$K,'Таблиця 1'!$B:$B,$A64,'Таблиця 1'!$I:$I,"F-16",'Таблиця 1'!$J:$J,"MK-24")+SUMIFS('Таблиця 1'!$K:$K,'Таблиця 1'!$B:$B,$A64,'Таблиця 1'!$I:$I,"МіГ-29",'Таблиця 1'!$J:$J,"MK-24")+SUMIFS('Таблиця 1'!$K:$K,'Таблиця 1'!$B:$B,$A64,'Таблиця 1'!$I:$I,"Су-25",'Таблиця 1'!$J:$J,"MK-24")+SUMIFS('Таблиця 1'!$K:$K,'Таблиця 1'!$B:$B,$A64,'Таблиця 1'!$I:$I,"Су-27",'Таблиця 1'!$J:$J,"MK-24"))</f>
        <v/>
      </c>
      <c r="R64">
        <f>IF($A64="","",COUNTIFS('Таблиця 1'!$B:$B,$A64,'Таблиця 1'!$I:$I,"Mirage",'Таблиця 1'!$L:$L,"Уражено")+COUNTIFS('Таблиця 1'!$B:$B,$A64,'Таблиця 1'!$I:$I,"F-16",'Таблиця 1'!$L:$L,"Уражено")+COUNTIFS('Таблиця 1'!$B:$B,$A64,'Таблиця 1'!$I:$I,"МіГ-29",'Таблиця 1'!$L:$L,"Уражено")+COUNTIFS('Таблиця 1'!$B:$B,$A64,'Таблиця 1'!$I:$I,"Су-25",'Таблиця 1'!$L:$L,"Уражено")+COUNTIFS('Таблиця 1'!$B:$B,$A64,'Таблиця 1'!$I:$I,"Су-27",'Таблиця 1'!$L:$L,"Уражено"))</f>
        <v/>
      </c>
      <c r="S64">
        <f>IF($A64="","",COUNTIFS('Таблиця 1'!$B:$B,$A64,'Таблиця 1'!$I:$I,"Mirage",'Таблиця 1'!$L:$L,"НЕ уражено")+COUNTIFS('Таблиця 1'!$B:$B,$A64,'Таблиця 1'!$I:$I,"F-16",'Таблиця 1'!$L:$L,"НЕ уражено")+COUNTIFS('Таблиця 1'!$B:$B,$A64,'Таблиця 1'!$I:$I,"МіГ-29",'Таблиця 1'!$L:$L,"НЕ уражено")+COUNTIFS('Таблиця 1'!$B:$B,$A64,'Таблиця 1'!$I:$I,"Су-25",'Таблиця 1'!$L:$L,"НЕ уражено")+COUNTIFS('Таблиця 1'!$B:$B,$A64,'Таблиця 1'!$I:$I,"Су-27",'Таблиця 1'!$L:$L,"НЕ уражено"))</f>
        <v/>
      </c>
      <c r="T64">
        <f>IF($A64="","",COUNTIFS('Таблиця 1'!$B:$B,$A64,'Таблиця 1'!$I:$I,"Mirage",'Таблиця 1'!$L:$L,"Дорозвідується")+COUNTIFS('Таблиця 1'!$B:$B,$A64,'Таблиця 1'!$I:$I,"F-16",'Таблиця 1'!$L:$L,"Дорозвідується")+COUNTIFS('Таблиця 1'!$B:$B,$A64,'Таблиця 1'!$I:$I,"МіГ-29",'Таблиця 1'!$L:$L,"Дорозвідується")+COUNTIFS('Таблиця 1'!$B:$B,$A64,'Таблиця 1'!$I:$I,"Су-25",'Таблиця 1'!$L:$L,"Дорозвідується")+COUNTIFS('Таблиця 1'!$B:$B,$A64,'Таблиця 1'!$I:$I,"Су-27",'Таблиця 1'!$L:$L,"Дорозвідується"))</f>
        <v/>
      </c>
    </row>
    <row r="65">
      <c r="A65" s="273">
        <f>IF(A64="","",IF(A64+1&gt;MAX('Таблиця 1'!$B:$B),"",A64+1))</f>
        <v/>
      </c>
      <c r="B65">
        <f>IF($A65="","",COUNTIFS('Таблиця 1'!$B:$B,$A65,'Таблиця 1'!$I:$I,"Mirage")+COUNTIFS('Таблиця 1'!$B:$B,$A65,'Таблиця 1'!$I:$I,"F-16")+COUNTIFS('Таблиця 1'!$B:$B,$A65,'Таблиця 1'!$I:$I,"МіГ-29")+COUNTIFS('Таблиця 1'!$B:$B,$A65,'Таблиця 1'!$I:$I,"Су-25")+COUNTIFS('Таблиця 1'!$B:$B,$A65,'Таблиця 1'!$I:$I,"Су-27"))</f>
        <v/>
      </c>
      <c r="C65">
        <f>IF($A65="","",COUNTIFS('Таблиця 1'!$B:$B,$A65,'Таблиця 1'!$I:$I,"Mirage"))</f>
        <v/>
      </c>
      <c r="D65">
        <f>IF($A65="","",COUNTIFS('Таблиця 1'!$B:$B,$A65,'Таблиця 1'!$I:$I,"F-16"))</f>
        <v/>
      </c>
      <c r="E65">
        <f>IF($A65="","",COUNTIFS('Таблиця 1'!$B:$B,$A65,'Таблиця 1'!$I:$I,"МіГ-29"))</f>
        <v/>
      </c>
      <c r="F65">
        <f>IF($A65="","",COUNTIFS('Таблиця 1'!$B:$B,$A65,'Таблиця 1'!$I:$I,"Су-25"))</f>
        <v/>
      </c>
      <c r="G65">
        <f>IF($A65="","",COUNTIFS('Таблиця 1'!$B:$B,$A65,'Таблиця 1'!$I:$I,"Су-27"))</f>
        <v/>
      </c>
      <c r="H65">
        <f>IF($A65="","",SUMIFS('Таблиця 1'!$K:$K,'Таблиця 1'!$B:$B,$A65,'Таблиця 1'!$I:$I,"Mirage",'Таблиця 1'!$J:$J,"AGM-88")+SUMIFS('Таблиця 1'!$K:$K,'Таблиця 1'!$B:$B,$A65,'Таблиця 1'!$I:$I,"F-16",'Таблиця 1'!$J:$J,"AGM-88")+SUMIFS('Таблиця 1'!$K:$K,'Таблиця 1'!$B:$B,$A65,'Таблиця 1'!$I:$I,"МіГ-29",'Таблиця 1'!$J:$J,"AGM-88")+SUMIFS('Таблиця 1'!$K:$K,'Таблиця 1'!$B:$B,$A65,'Таблиця 1'!$I:$I,"Су-25",'Таблиця 1'!$J:$J,"AGM-88")+SUMIFS('Таблиця 1'!$K:$K,'Таблиця 1'!$B:$B,$A65,'Таблиця 1'!$I:$I,"Су-27",'Таблиця 1'!$J:$J,"AGM-88"))</f>
        <v/>
      </c>
      <c r="I65">
        <f>IF($A65="","",SUMIFS('Таблиця 1'!$K:$K,'Таблиця 1'!$B:$B,$A65,'Таблиця 1'!$I:$I,"Mirage",'Таблиця 1'!$J:$J,"AASM-250")+SUMIFS('Таблиця 1'!$K:$K,'Таблиця 1'!$B:$B,$A65,'Таблиця 1'!$I:$I,"F-16",'Таблиця 1'!$J:$J,"AASM-250")+SUMIFS('Таблиця 1'!$K:$K,'Таблиця 1'!$B:$B,$A65,'Таблиця 1'!$I:$I,"МіГ-29",'Таблиця 1'!$J:$J,"AASM-250")+SUMIFS('Таблиця 1'!$K:$K,'Таблиця 1'!$B:$B,$A65,'Таблиця 1'!$I:$I,"Су-25",'Таблиця 1'!$J:$J,"AASM-250")+SUMIFS('Таблиця 1'!$K:$K,'Таблиця 1'!$B:$B,$A65,'Таблиця 1'!$I:$I,"Су-27",'Таблиця 1'!$J:$J,"AASM-250"))</f>
        <v/>
      </c>
      <c r="J65">
        <f>IF($A65="","",SUMIFS('Таблиця 1'!$K:$K,'Таблиця 1'!$B:$B,$A65,'Таблиця 1'!$I:$I,"Mirage",'Таблиця 1'!$J:$J,"GBU-39")+SUMIFS('Таблиця 1'!$K:$K,'Таблиця 1'!$B:$B,$A65,'Таблиця 1'!$I:$I,"F-16",'Таблиця 1'!$J:$J,"GBU-39")+SUMIFS('Таблиця 1'!$K:$K,'Таблиця 1'!$B:$B,$A65,'Таблиця 1'!$I:$I,"МіГ-29",'Таблиця 1'!$J:$J,"GBU-39")+SUMIFS('Таблиця 1'!$K:$K,'Таблиця 1'!$B:$B,$A65,'Таблиця 1'!$I:$I,"Су-25",'Таблиця 1'!$J:$J,"GBU-39")+SUMIFS('Таблиця 1'!$K:$K,'Таблиця 1'!$B:$B,$A65,'Таблиця 1'!$I:$I,"Су-27",'Таблиця 1'!$J:$J,"GBU-39"))</f>
        <v/>
      </c>
      <c r="K65">
        <f>IF($A65="","",SUMIFS('Таблиця 1'!$K:$K,'Таблиця 1'!$B:$B,$A65,'Таблиця 1'!$I:$I,"Mirage",'Таблиця 1'!$J:$J,"BLU-140")+SUMIFS('Таблиця 1'!$K:$K,'Таблиця 1'!$B:$B,$A65,'Таблиця 1'!$I:$I,"F-16",'Таблиця 1'!$J:$J,"BLU-140")+SUMIFS('Таблиця 1'!$K:$K,'Таблиця 1'!$B:$B,$A65,'Таблиця 1'!$I:$I,"МіГ-29",'Таблиця 1'!$J:$J,"BLU-140")+SUMIFS('Таблиця 1'!$K:$K,'Таблиця 1'!$B:$B,$A65,'Таблиця 1'!$I:$I,"Су-25",'Таблиця 1'!$J:$J,"BLU-140")+SUMIFS('Таблиця 1'!$K:$K,'Таблиця 1'!$B:$B,$A65,'Таблиця 1'!$I:$I,"Су-27",'Таблиця 1'!$J:$J,"BLU-140"))</f>
        <v/>
      </c>
      <c r="L65">
        <f>IF($A65="","",SUMIFS('Таблиця 1'!$K:$K,'Таблиця 1'!$B:$B,$A65,'Таблиця 1'!$I:$I,"Mirage",'Таблиця 1'!$J:$J,"GBU-65")+SUMIFS('Таблиця 1'!$K:$K,'Таблиця 1'!$B:$B,$A65,'Таблиця 1'!$I:$I,"F-16",'Таблиця 1'!$J:$J,"GBU-65")+SUMIFS('Таблиця 1'!$K:$K,'Таблиця 1'!$B:$B,$A65,'Таблиця 1'!$I:$I,"МіГ-29",'Таблиця 1'!$J:$J,"GBU-65")+SUMIFS('Таблиця 1'!$K:$K,'Таблиця 1'!$B:$B,$A65,'Таблиця 1'!$I:$I,"Су-25",'Таблиця 1'!$J:$J,"GBU-65")+SUMIFS('Таблиця 1'!$K:$K,'Таблиця 1'!$B:$B,$A65,'Таблиця 1'!$I:$I,"Су-27",'Таблиця 1'!$J:$J,"GBU-65"))</f>
        <v/>
      </c>
      <c r="M65">
        <f>IF($A65="","",SUMIFS('Таблиця 1'!$K:$K,'Таблиця 1'!$B:$B,$A65,'Таблиця 1'!$I:$I,"Mirage",'Таблиця 1'!$J:$J,"GBU-62")+SUMIFS('Таблиця 1'!$K:$K,'Таблиця 1'!$B:$B,$A65,'Таблиця 1'!$I:$I,"F-16",'Таблиця 1'!$J:$J,"GBU-62")+SUMIFS('Таблиця 1'!$K:$K,'Таблиця 1'!$B:$B,$A65,'Таблиця 1'!$I:$I,"МіГ-29",'Таблиця 1'!$J:$J,"GBU-62")+SUMIFS('Таблиця 1'!$K:$K,'Таблиця 1'!$B:$B,$A65,'Таблиця 1'!$I:$I,"Су-25",'Таблиця 1'!$J:$J,"GBU-62")+SUMIFS('Таблиця 1'!$K:$K,'Таблиця 1'!$B:$B,$A65,'Таблиця 1'!$I:$I,"Су-27",'Таблиця 1'!$J:$J,"GBU-62"))</f>
        <v/>
      </c>
      <c r="N65">
        <f>IF($A65="","",SUMIFS('Таблиця 1'!$K:$K,'Таблиця 1'!$B:$B,$A65,'Таблиця 1'!$I:$I,"Mirage",'Таблиця 1'!$J:$J,"GBU-64")+SUMIFS('Таблиця 1'!$K:$K,'Таблиця 1'!$B:$B,$A65,'Таблиця 1'!$I:$I,"F-16",'Таблиця 1'!$J:$J,"GBU-64")+SUMIFS('Таблиця 1'!$K:$K,'Таблиця 1'!$B:$B,$A65,'Таблиця 1'!$I:$I,"МіГ-29",'Таблиця 1'!$J:$J,"GBU-64")+SUMIFS('Таблиця 1'!$K:$K,'Таблиця 1'!$B:$B,$A65,'Таблиця 1'!$I:$I,"Су-25",'Таблиця 1'!$J:$J,"GBU-64")+SUMIFS('Таблиця 1'!$K:$K,'Таблиця 1'!$B:$B,$A65,'Таблиця 1'!$I:$I,"Су-27",'Таблиця 1'!$J:$J,"GBU-64"))</f>
        <v/>
      </c>
      <c r="O65">
        <f>IF($A65="","",SUMIFS('Таблиця 1'!$K:$K,'Таблиця 1'!$B:$B,$A65,'Таблиця 1'!$I:$I,"Mirage",'Таблиця 1'!$J:$J,"C-13")+SUMIFS('Таблиця 1'!$K:$K,'Таблиця 1'!$B:$B,$A65,'Таблиця 1'!$I:$I,"F-16",'Таблиця 1'!$J:$J,"C-13")+SUMIFS('Таблиця 1'!$K:$K,'Таблиця 1'!$B:$B,$A65,'Таблиця 1'!$I:$I,"МіГ-29",'Таблиця 1'!$J:$J,"C-13")+SUMIFS('Таблиця 1'!$K:$K,'Таблиця 1'!$B:$B,$A65,'Таблиця 1'!$I:$I,"Су-25",'Таблиця 1'!$J:$J,"C-13")+SUMIFS('Таблиця 1'!$K:$K,'Таблиця 1'!$B:$B,$A65,'Таблиця 1'!$I:$I,"Су-27",'Таблиця 1'!$J:$J,"C-13"))</f>
        <v/>
      </c>
      <c r="P65">
        <f>IF($A65="","",SUMIFS('Таблиця 1'!$K:$K,'Таблиця 1'!$B:$B,$A65,'Таблиця 1'!$I:$I,"Mirage",'Таблиця 1'!$J:$J,"MK-32")+SUMIFS('Таблиця 1'!$K:$K,'Таблиця 1'!$B:$B,$A65,'Таблиця 1'!$I:$I,"F-16",'Таблиця 1'!$J:$J,"MK-32")+SUMIFS('Таблиця 1'!$K:$K,'Таблиця 1'!$B:$B,$A65,'Таблиця 1'!$I:$I,"МіГ-29",'Таблиця 1'!$J:$J,"MK-32")+SUMIFS('Таблиця 1'!$K:$K,'Таблиця 1'!$B:$B,$A65,'Таблиця 1'!$I:$I,"Су-25",'Таблиця 1'!$J:$J,"MK-32")+SUMIFS('Таблиця 1'!$K:$K,'Таблиця 1'!$B:$B,$A65,'Таблиця 1'!$I:$I,"Су-27",'Таблиця 1'!$J:$J,"MK-32"))</f>
        <v/>
      </c>
      <c r="Q65">
        <f>IF($A65="","",SUMIFS('Таблиця 1'!$K:$K,'Таблиця 1'!$B:$B,$A65,'Таблиця 1'!$I:$I,"Mirage",'Таблиця 1'!$J:$J,"MK-24")+SUMIFS('Таблиця 1'!$K:$K,'Таблиця 1'!$B:$B,$A65,'Таблиця 1'!$I:$I,"F-16",'Таблиця 1'!$J:$J,"MK-24")+SUMIFS('Таблиця 1'!$K:$K,'Таблиця 1'!$B:$B,$A65,'Таблиця 1'!$I:$I,"МіГ-29",'Таблиця 1'!$J:$J,"MK-24")+SUMIFS('Таблиця 1'!$K:$K,'Таблиця 1'!$B:$B,$A65,'Таблиця 1'!$I:$I,"Су-25",'Таблиця 1'!$J:$J,"MK-24")+SUMIFS('Таблиця 1'!$K:$K,'Таблиця 1'!$B:$B,$A65,'Таблиця 1'!$I:$I,"Су-27",'Таблиця 1'!$J:$J,"MK-24"))</f>
        <v/>
      </c>
      <c r="R65">
        <f>IF($A65="","",COUNTIFS('Таблиця 1'!$B:$B,$A65,'Таблиця 1'!$I:$I,"Mirage",'Таблиця 1'!$L:$L,"Уражено")+COUNTIFS('Таблиця 1'!$B:$B,$A65,'Таблиця 1'!$I:$I,"F-16",'Таблиця 1'!$L:$L,"Уражено")+COUNTIFS('Таблиця 1'!$B:$B,$A65,'Таблиця 1'!$I:$I,"МіГ-29",'Таблиця 1'!$L:$L,"Уражено")+COUNTIFS('Таблиця 1'!$B:$B,$A65,'Таблиця 1'!$I:$I,"Су-25",'Таблиця 1'!$L:$L,"Уражено")+COUNTIFS('Таблиця 1'!$B:$B,$A65,'Таблиця 1'!$I:$I,"Су-27",'Таблиця 1'!$L:$L,"Уражено"))</f>
        <v/>
      </c>
      <c r="S65">
        <f>IF($A65="","",COUNTIFS('Таблиця 1'!$B:$B,$A65,'Таблиця 1'!$I:$I,"Mirage",'Таблиця 1'!$L:$L,"НЕ уражено")+COUNTIFS('Таблиця 1'!$B:$B,$A65,'Таблиця 1'!$I:$I,"F-16",'Таблиця 1'!$L:$L,"НЕ уражено")+COUNTIFS('Таблиця 1'!$B:$B,$A65,'Таблиця 1'!$I:$I,"МіГ-29",'Таблиця 1'!$L:$L,"НЕ уражено")+COUNTIFS('Таблиця 1'!$B:$B,$A65,'Таблиця 1'!$I:$I,"Су-25",'Таблиця 1'!$L:$L,"НЕ уражено")+COUNTIFS('Таблиця 1'!$B:$B,$A65,'Таблиця 1'!$I:$I,"Су-27",'Таблиця 1'!$L:$L,"НЕ уражено"))</f>
        <v/>
      </c>
      <c r="T65">
        <f>IF($A65="","",COUNTIFS('Таблиця 1'!$B:$B,$A65,'Таблиця 1'!$I:$I,"Mirage",'Таблиця 1'!$L:$L,"Дорозвідується")+COUNTIFS('Таблиця 1'!$B:$B,$A65,'Таблиця 1'!$I:$I,"F-16",'Таблиця 1'!$L:$L,"Дорозвідується")+COUNTIFS('Таблиця 1'!$B:$B,$A65,'Таблиця 1'!$I:$I,"МіГ-29",'Таблиця 1'!$L:$L,"Дорозвідується")+COUNTIFS('Таблиця 1'!$B:$B,$A65,'Таблиця 1'!$I:$I,"Су-25",'Таблиця 1'!$L:$L,"Дорозвідується")+COUNTIFS('Таблиця 1'!$B:$B,$A65,'Таблиця 1'!$I:$I,"Су-27",'Таблиця 1'!$L:$L,"Дорозвідується"))</f>
        <v/>
      </c>
    </row>
    <row r="66">
      <c r="A66" s="273">
        <f>IF(A65="","",IF(A65+1&gt;MAX('Таблиця 1'!$B:$B),"",A65+1))</f>
        <v/>
      </c>
      <c r="B66">
        <f>IF($A66="","",COUNTIFS('Таблиця 1'!$B:$B,$A66,'Таблиця 1'!$I:$I,"Mirage")+COUNTIFS('Таблиця 1'!$B:$B,$A66,'Таблиця 1'!$I:$I,"F-16")+COUNTIFS('Таблиця 1'!$B:$B,$A66,'Таблиця 1'!$I:$I,"МіГ-29")+COUNTIFS('Таблиця 1'!$B:$B,$A66,'Таблиця 1'!$I:$I,"Су-25")+COUNTIFS('Таблиця 1'!$B:$B,$A66,'Таблиця 1'!$I:$I,"Су-27"))</f>
        <v/>
      </c>
      <c r="C66">
        <f>IF($A66="","",COUNTIFS('Таблиця 1'!$B:$B,$A66,'Таблиця 1'!$I:$I,"Mirage"))</f>
        <v/>
      </c>
      <c r="D66">
        <f>IF($A66="","",COUNTIFS('Таблиця 1'!$B:$B,$A66,'Таблиця 1'!$I:$I,"F-16"))</f>
        <v/>
      </c>
      <c r="E66">
        <f>IF($A66="","",COUNTIFS('Таблиця 1'!$B:$B,$A66,'Таблиця 1'!$I:$I,"МіГ-29"))</f>
        <v/>
      </c>
      <c r="F66">
        <f>IF($A66="","",COUNTIFS('Таблиця 1'!$B:$B,$A66,'Таблиця 1'!$I:$I,"Су-25"))</f>
        <v/>
      </c>
      <c r="G66">
        <f>IF($A66="","",COUNTIFS('Таблиця 1'!$B:$B,$A66,'Таблиця 1'!$I:$I,"Су-27"))</f>
        <v/>
      </c>
      <c r="H66">
        <f>IF($A66="","",SUMIFS('Таблиця 1'!$K:$K,'Таблиця 1'!$B:$B,$A66,'Таблиця 1'!$I:$I,"Mirage",'Таблиця 1'!$J:$J,"AGM-88")+SUMIFS('Таблиця 1'!$K:$K,'Таблиця 1'!$B:$B,$A66,'Таблиця 1'!$I:$I,"F-16",'Таблиця 1'!$J:$J,"AGM-88")+SUMIFS('Таблиця 1'!$K:$K,'Таблиця 1'!$B:$B,$A66,'Таблиця 1'!$I:$I,"МіГ-29",'Таблиця 1'!$J:$J,"AGM-88")+SUMIFS('Таблиця 1'!$K:$K,'Таблиця 1'!$B:$B,$A66,'Таблиця 1'!$I:$I,"Су-25",'Таблиця 1'!$J:$J,"AGM-88")+SUMIFS('Таблиця 1'!$K:$K,'Таблиця 1'!$B:$B,$A66,'Таблиця 1'!$I:$I,"Су-27",'Таблиця 1'!$J:$J,"AGM-88"))</f>
        <v/>
      </c>
      <c r="I66">
        <f>IF($A66="","",SUMIFS('Таблиця 1'!$K:$K,'Таблиця 1'!$B:$B,$A66,'Таблиця 1'!$I:$I,"Mirage",'Таблиця 1'!$J:$J,"AASM-250")+SUMIFS('Таблиця 1'!$K:$K,'Таблиця 1'!$B:$B,$A66,'Таблиця 1'!$I:$I,"F-16",'Таблиця 1'!$J:$J,"AASM-250")+SUMIFS('Таблиця 1'!$K:$K,'Таблиця 1'!$B:$B,$A66,'Таблиця 1'!$I:$I,"МіГ-29",'Таблиця 1'!$J:$J,"AASM-250")+SUMIFS('Таблиця 1'!$K:$K,'Таблиця 1'!$B:$B,$A66,'Таблиця 1'!$I:$I,"Су-25",'Таблиця 1'!$J:$J,"AASM-250")+SUMIFS('Таблиця 1'!$K:$K,'Таблиця 1'!$B:$B,$A66,'Таблиця 1'!$I:$I,"Су-27",'Таблиця 1'!$J:$J,"AASM-250"))</f>
        <v/>
      </c>
      <c r="J66">
        <f>IF($A66="","",SUMIFS('Таблиця 1'!$K:$K,'Таблиця 1'!$B:$B,$A66,'Таблиця 1'!$I:$I,"Mirage",'Таблиця 1'!$J:$J,"GBU-39")+SUMIFS('Таблиця 1'!$K:$K,'Таблиця 1'!$B:$B,$A66,'Таблиця 1'!$I:$I,"F-16",'Таблиця 1'!$J:$J,"GBU-39")+SUMIFS('Таблиця 1'!$K:$K,'Таблиця 1'!$B:$B,$A66,'Таблиця 1'!$I:$I,"МіГ-29",'Таблиця 1'!$J:$J,"GBU-39")+SUMIFS('Таблиця 1'!$K:$K,'Таблиця 1'!$B:$B,$A66,'Таблиця 1'!$I:$I,"Су-25",'Таблиця 1'!$J:$J,"GBU-39")+SUMIFS('Таблиця 1'!$K:$K,'Таблиця 1'!$B:$B,$A66,'Таблиця 1'!$I:$I,"Су-27",'Таблиця 1'!$J:$J,"GBU-39"))</f>
        <v/>
      </c>
      <c r="K66">
        <f>IF($A66="","",SUMIFS('Таблиця 1'!$K:$K,'Таблиця 1'!$B:$B,$A66,'Таблиця 1'!$I:$I,"Mirage",'Таблиця 1'!$J:$J,"BLU-140")+SUMIFS('Таблиця 1'!$K:$K,'Таблиця 1'!$B:$B,$A66,'Таблиця 1'!$I:$I,"F-16",'Таблиця 1'!$J:$J,"BLU-140")+SUMIFS('Таблиця 1'!$K:$K,'Таблиця 1'!$B:$B,$A66,'Таблиця 1'!$I:$I,"МіГ-29",'Таблиця 1'!$J:$J,"BLU-140")+SUMIFS('Таблиця 1'!$K:$K,'Таблиця 1'!$B:$B,$A66,'Таблиця 1'!$I:$I,"Су-25",'Таблиця 1'!$J:$J,"BLU-140")+SUMIFS('Таблиця 1'!$K:$K,'Таблиця 1'!$B:$B,$A66,'Таблиця 1'!$I:$I,"Су-27",'Таблиця 1'!$J:$J,"BLU-140"))</f>
        <v/>
      </c>
      <c r="L66">
        <f>IF($A66="","",SUMIFS('Таблиця 1'!$K:$K,'Таблиця 1'!$B:$B,$A66,'Таблиця 1'!$I:$I,"Mirage",'Таблиця 1'!$J:$J,"GBU-65")+SUMIFS('Таблиця 1'!$K:$K,'Таблиця 1'!$B:$B,$A66,'Таблиця 1'!$I:$I,"F-16",'Таблиця 1'!$J:$J,"GBU-65")+SUMIFS('Таблиця 1'!$K:$K,'Таблиця 1'!$B:$B,$A66,'Таблиця 1'!$I:$I,"МіГ-29",'Таблиця 1'!$J:$J,"GBU-65")+SUMIFS('Таблиця 1'!$K:$K,'Таблиця 1'!$B:$B,$A66,'Таблиця 1'!$I:$I,"Су-25",'Таблиця 1'!$J:$J,"GBU-65")+SUMIFS('Таблиця 1'!$K:$K,'Таблиця 1'!$B:$B,$A66,'Таблиця 1'!$I:$I,"Су-27",'Таблиця 1'!$J:$J,"GBU-65"))</f>
        <v/>
      </c>
      <c r="M66">
        <f>IF($A66="","",SUMIFS('Таблиця 1'!$K:$K,'Таблиця 1'!$B:$B,$A66,'Таблиця 1'!$I:$I,"Mirage",'Таблиця 1'!$J:$J,"GBU-62")+SUMIFS('Таблиця 1'!$K:$K,'Таблиця 1'!$B:$B,$A66,'Таблиця 1'!$I:$I,"F-16",'Таблиця 1'!$J:$J,"GBU-62")+SUMIFS('Таблиця 1'!$K:$K,'Таблиця 1'!$B:$B,$A66,'Таблиця 1'!$I:$I,"МіГ-29",'Таблиця 1'!$J:$J,"GBU-62")+SUMIFS('Таблиця 1'!$K:$K,'Таблиця 1'!$B:$B,$A66,'Таблиця 1'!$I:$I,"Су-25",'Таблиця 1'!$J:$J,"GBU-62")+SUMIFS('Таблиця 1'!$K:$K,'Таблиця 1'!$B:$B,$A66,'Таблиця 1'!$I:$I,"Су-27",'Таблиця 1'!$J:$J,"GBU-62"))</f>
        <v/>
      </c>
      <c r="N66">
        <f>IF($A66="","",SUMIFS('Таблиця 1'!$K:$K,'Таблиця 1'!$B:$B,$A66,'Таблиця 1'!$I:$I,"Mirage",'Таблиця 1'!$J:$J,"GBU-64")+SUMIFS('Таблиця 1'!$K:$K,'Таблиця 1'!$B:$B,$A66,'Таблиця 1'!$I:$I,"F-16",'Таблиця 1'!$J:$J,"GBU-64")+SUMIFS('Таблиця 1'!$K:$K,'Таблиця 1'!$B:$B,$A66,'Таблиця 1'!$I:$I,"МіГ-29",'Таблиця 1'!$J:$J,"GBU-64")+SUMIFS('Таблиця 1'!$K:$K,'Таблиця 1'!$B:$B,$A66,'Таблиця 1'!$I:$I,"Су-25",'Таблиця 1'!$J:$J,"GBU-64")+SUMIFS('Таблиця 1'!$K:$K,'Таблиця 1'!$B:$B,$A66,'Таблиця 1'!$I:$I,"Су-27",'Таблиця 1'!$J:$J,"GBU-64"))</f>
        <v/>
      </c>
      <c r="O66">
        <f>IF($A66="","",SUMIFS('Таблиця 1'!$K:$K,'Таблиця 1'!$B:$B,$A66,'Таблиця 1'!$I:$I,"Mirage",'Таблиця 1'!$J:$J,"C-13")+SUMIFS('Таблиця 1'!$K:$K,'Таблиця 1'!$B:$B,$A66,'Таблиця 1'!$I:$I,"F-16",'Таблиця 1'!$J:$J,"C-13")+SUMIFS('Таблиця 1'!$K:$K,'Таблиця 1'!$B:$B,$A66,'Таблиця 1'!$I:$I,"МіГ-29",'Таблиця 1'!$J:$J,"C-13")+SUMIFS('Таблиця 1'!$K:$K,'Таблиця 1'!$B:$B,$A66,'Таблиця 1'!$I:$I,"Су-25",'Таблиця 1'!$J:$J,"C-13")+SUMIFS('Таблиця 1'!$K:$K,'Таблиця 1'!$B:$B,$A66,'Таблиця 1'!$I:$I,"Су-27",'Таблиця 1'!$J:$J,"C-13"))</f>
        <v/>
      </c>
      <c r="P66">
        <f>IF($A66="","",SUMIFS('Таблиця 1'!$K:$K,'Таблиця 1'!$B:$B,$A66,'Таблиця 1'!$I:$I,"Mirage",'Таблиця 1'!$J:$J,"MK-32")+SUMIFS('Таблиця 1'!$K:$K,'Таблиця 1'!$B:$B,$A66,'Таблиця 1'!$I:$I,"F-16",'Таблиця 1'!$J:$J,"MK-32")+SUMIFS('Таблиця 1'!$K:$K,'Таблиця 1'!$B:$B,$A66,'Таблиця 1'!$I:$I,"МіГ-29",'Таблиця 1'!$J:$J,"MK-32")+SUMIFS('Таблиця 1'!$K:$K,'Таблиця 1'!$B:$B,$A66,'Таблиця 1'!$I:$I,"Су-25",'Таблиця 1'!$J:$J,"MK-32")+SUMIFS('Таблиця 1'!$K:$K,'Таблиця 1'!$B:$B,$A66,'Таблиця 1'!$I:$I,"Су-27",'Таблиця 1'!$J:$J,"MK-32"))</f>
        <v/>
      </c>
      <c r="Q66">
        <f>IF($A66="","",SUMIFS('Таблиця 1'!$K:$K,'Таблиця 1'!$B:$B,$A66,'Таблиця 1'!$I:$I,"Mirage",'Таблиця 1'!$J:$J,"MK-24")+SUMIFS('Таблиця 1'!$K:$K,'Таблиця 1'!$B:$B,$A66,'Таблиця 1'!$I:$I,"F-16",'Таблиця 1'!$J:$J,"MK-24")+SUMIFS('Таблиця 1'!$K:$K,'Таблиця 1'!$B:$B,$A66,'Таблиця 1'!$I:$I,"МіГ-29",'Таблиця 1'!$J:$J,"MK-24")+SUMIFS('Таблиця 1'!$K:$K,'Таблиця 1'!$B:$B,$A66,'Таблиця 1'!$I:$I,"Су-25",'Таблиця 1'!$J:$J,"MK-24")+SUMIFS('Таблиця 1'!$K:$K,'Таблиця 1'!$B:$B,$A66,'Таблиця 1'!$I:$I,"Су-27",'Таблиця 1'!$J:$J,"MK-24"))</f>
        <v/>
      </c>
      <c r="R66">
        <f>IF($A66="","",COUNTIFS('Таблиця 1'!$B:$B,$A66,'Таблиця 1'!$I:$I,"Mirage",'Таблиця 1'!$L:$L,"Уражено")+COUNTIFS('Таблиця 1'!$B:$B,$A66,'Таблиця 1'!$I:$I,"F-16",'Таблиця 1'!$L:$L,"Уражено")+COUNTIFS('Таблиця 1'!$B:$B,$A66,'Таблиця 1'!$I:$I,"МіГ-29",'Таблиця 1'!$L:$L,"Уражено")+COUNTIFS('Таблиця 1'!$B:$B,$A66,'Таблиця 1'!$I:$I,"Су-25",'Таблиця 1'!$L:$L,"Уражено")+COUNTIFS('Таблиця 1'!$B:$B,$A66,'Таблиця 1'!$I:$I,"Су-27",'Таблиця 1'!$L:$L,"Уражено"))</f>
        <v/>
      </c>
      <c r="S66">
        <f>IF($A66="","",COUNTIFS('Таблиця 1'!$B:$B,$A66,'Таблиця 1'!$I:$I,"Mirage",'Таблиця 1'!$L:$L,"НЕ уражено")+COUNTIFS('Таблиця 1'!$B:$B,$A66,'Таблиця 1'!$I:$I,"F-16",'Таблиця 1'!$L:$L,"НЕ уражено")+COUNTIFS('Таблиця 1'!$B:$B,$A66,'Таблиця 1'!$I:$I,"МіГ-29",'Таблиця 1'!$L:$L,"НЕ уражено")+COUNTIFS('Таблиця 1'!$B:$B,$A66,'Таблиця 1'!$I:$I,"Су-25",'Таблиця 1'!$L:$L,"НЕ уражено")+COUNTIFS('Таблиця 1'!$B:$B,$A66,'Таблиця 1'!$I:$I,"Су-27",'Таблиця 1'!$L:$L,"НЕ уражено"))</f>
        <v/>
      </c>
      <c r="T66">
        <f>IF($A66="","",COUNTIFS('Таблиця 1'!$B:$B,$A66,'Таблиця 1'!$I:$I,"Mirage",'Таблиця 1'!$L:$L,"Дорозвідується")+COUNTIFS('Таблиця 1'!$B:$B,$A66,'Таблиця 1'!$I:$I,"F-16",'Таблиця 1'!$L:$L,"Дорозвідується")+COUNTIFS('Таблиця 1'!$B:$B,$A66,'Таблиця 1'!$I:$I,"МіГ-29",'Таблиця 1'!$L:$L,"Дорозвідується")+COUNTIFS('Таблиця 1'!$B:$B,$A66,'Таблиця 1'!$I:$I,"Су-25",'Таблиця 1'!$L:$L,"Дорозвідується")+COUNTIFS('Таблиця 1'!$B:$B,$A66,'Таблиця 1'!$I:$I,"Су-27",'Таблиця 1'!$L:$L,"Дорозвідується"))</f>
        <v/>
      </c>
    </row>
    <row r="67">
      <c r="A67" s="273">
        <f>IF(A66="","",IF(A66+1&gt;MAX('Таблиця 1'!$B:$B),"",A66+1))</f>
        <v/>
      </c>
      <c r="B67">
        <f>IF($A67="","",COUNTIFS('Таблиця 1'!$B:$B,$A67,'Таблиця 1'!$I:$I,"Mirage")+COUNTIFS('Таблиця 1'!$B:$B,$A67,'Таблиця 1'!$I:$I,"F-16")+COUNTIFS('Таблиця 1'!$B:$B,$A67,'Таблиця 1'!$I:$I,"МіГ-29")+COUNTIFS('Таблиця 1'!$B:$B,$A67,'Таблиця 1'!$I:$I,"Су-25")+COUNTIFS('Таблиця 1'!$B:$B,$A67,'Таблиця 1'!$I:$I,"Су-27"))</f>
        <v/>
      </c>
      <c r="C67">
        <f>IF($A67="","",COUNTIFS('Таблиця 1'!$B:$B,$A67,'Таблиця 1'!$I:$I,"Mirage"))</f>
        <v/>
      </c>
      <c r="D67">
        <f>IF($A67="","",COUNTIFS('Таблиця 1'!$B:$B,$A67,'Таблиця 1'!$I:$I,"F-16"))</f>
        <v/>
      </c>
      <c r="E67">
        <f>IF($A67="","",COUNTIFS('Таблиця 1'!$B:$B,$A67,'Таблиця 1'!$I:$I,"МіГ-29"))</f>
        <v/>
      </c>
      <c r="F67">
        <f>IF($A67="","",COUNTIFS('Таблиця 1'!$B:$B,$A67,'Таблиця 1'!$I:$I,"Су-25"))</f>
        <v/>
      </c>
      <c r="G67">
        <f>IF($A67="","",COUNTIFS('Таблиця 1'!$B:$B,$A67,'Таблиця 1'!$I:$I,"Су-27"))</f>
        <v/>
      </c>
      <c r="H67">
        <f>IF($A67="","",SUMIFS('Таблиця 1'!$K:$K,'Таблиця 1'!$B:$B,$A67,'Таблиця 1'!$I:$I,"Mirage",'Таблиця 1'!$J:$J,"AGM-88")+SUMIFS('Таблиця 1'!$K:$K,'Таблиця 1'!$B:$B,$A67,'Таблиця 1'!$I:$I,"F-16",'Таблиця 1'!$J:$J,"AGM-88")+SUMIFS('Таблиця 1'!$K:$K,'Таблиця 1'!$B:$B,$A67,'Таблиця 1'!$I:$I,"МіГ-29",'Таблиця 1'!$J:$J,"AGM-88")+SUMIFS('Таблиця 1'!$K:$K,'Таблиця 1'!$B:$B,$A67,'Таблиця 1'!$I:$I,"Су-25",'Таблиця 1'!$J:$J,"AGM-88")+SUMIFS('Таблиця 1'!$K:$K,'Таблиця 1'!$B:$B,$A67,'Таблиця 1'!$I:$I,"Су-27",'Таблиця 1'!$J:$J,"AGM-88"))</f>
        <v/>
      </c>
      <c r="I67">
        <f>IF($A67="","",SUMIFS('Таблиця 1'!$K:$K,'Таблиця 1'!$B:$B,$A67,'Таблиця 1'!$I:$I,"Mirage",'Таблиця 1'!$J:$J,"AASM-250")+SUMIFS('Таблиця 1'!$K:$K,'Таблиця 1'!$B:$B,$A67,'Таблиця 1'!$I:$I,"F-16",'Таблиця 1'!$J:$J,"AASM-250")+SUMIFS('Таблиця 1'!$K:$K,'Таблиця 1'!$B:$B,$A67,'Таблиця 1'!$I:$I,"МіГ-29",'Таблиця 1'!$J:$J,"AASM-250")+SUMIFS('Таблиця 1'!$K:$K,'Таблиця 1'!$B:$B,$A67,'Таблиця 1'!$I:$I,"Су-25",'Таблиця 1'!$J:$J,"AASM-250")+SUMIFS('Таблиця 1'!$K:$K,'Таблиця 1'!$B:$B,$A67,'Таблиця 1'!$I:$I,"Су-27",'Таблиця 1'!$J:$J,"AASM-250"))</f>
        <v/>
      </c>
      <c r="J67">
        <f>IF($A67="","",SUMIFS('Таблиця 1'!$K:$K,'Таблиця 1'!$B:$B,$A67,'Таблиця 1'!$I:$I,"Mirage",'Таблиця 1'!$J:$J,"GBU-39")+SUMIFS('Таблиця 1'!$K:$K,'Таблиця 1'!$B:$B,$A67,'Таблиця 1'!$I:$I,"F-16",'Таблиця 1'!$J:$J,"GBU-39")+SUMIFS('Таблиця 1'!$K:$K,'Таблиця 1'!$B:$B,$A67,'Таблиця 1'!$I:$I,"МіГ-29",'Таблиця 1'!$J:$J,"GBU-39")+SUMIFS('Таблиця 1'!$K:$K,'Таблиця 1'!$B:$B,$A67,'Таблиця 1'!$I:$I,"Су-25",'Таблиця 1'!$J:$J,"GBU-39")+SUMIFS('Таблиця 1'!$K:$K,'Таблиця 1'!$B:$B,$A67,'Таблиця 1'!$I:$I,"Су-27",'Таблиця 1'!$J:$J,"GBU-39"))</f>
        <v/>
      </c>
      <c r="K67">
        <f>IF($A67="","",SUMIFS('Таблиця 1'!$K:$K,'Таблиця 1'!$B:$B,$A67,'Таблиця 1'!$I:$I,"Mirage",'Таблиця 1'!$J:$J,"BLU-140")+SUMIFS('Таблиця 1'!$K:$K,'Таблиця 1'!$B:$B,$A67,'Таблиця 1'!$I:$I,"F-16",'Таблиця 1'!$J:$J,"BLU-140")+SUMIFS('Таблиця 1'!$K:$K,'Таблиця 1'!$B:$B,$A67,'Таблиця 1'!$I:$I,"МіГ-29",'Таблиця 1'!$J:$J,"BLU-140")+SUMIFS('Таблиця 1'!$K:$K,'Таблиця 1'!$B:$B,$A67,'Таблиця 1'!$I:$I,"Су-25",'Таблиця 1'!$J:$J,"BLU-140")+SUMIFS('Таблиця 1'!$K:$K,'Таблиця 1'!$B:$B,$A67,'Таблиця 1'!$I:$I,"Су-27",'Таблиця 1'!$J:$J,"BLU-140"))</f>
        <v/>
      </c>
      <c r="L67">
        <f>IF($A67="","",SUMIFS('Таблиця 1'!$K:$K,'Таблиця 1'!$B:$B,$A67,'Таблиця 1'!$I:$I,"Mirage",'Таблиця 1'!$J:$J,"GBU-65")+SUMIFS('Таблиця 1'!$K:$K,'Таблиця 1'!$B:$B,$A67,'Таблиця 1'!$I:$I,"F-16",'Таблиця 1'!$J:$J,"GBU-65")+SUMIFS('Таблиця 1'!$K:$K,'Таблиця 1'!$B:$B,$A67,'Таблиця 1'!$I:$I,"МіГ-29",'Таблиця 1'!$J:$J,"GBU-65")+SUMIFS('Таблиця 1'!$K:$K,'Таблиця 1'!$B:$B,$A67,'Таблиця 1'!$I:$I,"Су-25",'Таблиця 1'!$J:$J,"GBU-65")+SUMIFS('Таблиця 1'!$K:$K,'Таблиця 1'!$B:$B,$A67,'Таблиця 1'!$I:$I,"Су-27",'Таблиця 1'!$J:$J,"GBU-65"))</f>
        <v/>
      </c>
      <c r="M67">
        <f>IF($A67="","",SUMIFS('Таблиця 1'!$K:$K,'Таблиця 1'!$B:$B,$A67,'Таблиця 1'!$I:$I,"Mirage",'Таблиця 1'!$J:$J,"GBU-62")+SUMIFS('Таблиця 1'!$K:$K,'Таблиця 1'!$B:$B,$A67,'Таблиця 1'!$I:$I,"F-16",'Таблиця 1'!$J:$J,"GBU-62")+SUMIFS('Таблиця 1'!$K:$K,'Таблиця 1'!$B:$B,$A67,'Таблиця 1'!$I:$I,"МіГ-29",'Таблиця 1'!$J:$J,"GBU-62")+SUMIFS('Таблиця 1'!$K:$K,'Таблиця 1'!$B:$B,$A67,'Таблиця 1'!$I:$I,"Су-25",'Таблиця 1'!$J:$J,"GBU-62")+SUMIFS('Таблиця 1'!$K:$K,'Таблиця 1'!$B:$B,$A67,'Таблиця 1'!$I:$I,"Су-27",'Таблиця 1'!$J:$J,"GBU-62"))</f>
        <v/>
      </c>
      <c r="N67">
        <f>IF($A67="","",SUMIFS('Таблиця 1'!$K:$K,'Таблиця 1'!$B:$B,$A67,'Таблиця 1'!$I:$I,"Mirage",'Таблиця 1'!$J:$J,"GBU-64")+SUMIFS('Таблиця 1'!$K:$K,'Таблиця 1'!$B:$B,$A67,'Таблиця 1'!$I:$I,"F-16",'Таблиця 1'!$J:$J,"GBU-64")+SUMIFS('Таблиця 1'!$K:$K,'Таблиця 1'!$B:$B,$A67,'Таблиця 1'!$I:$I,"МіГ-29",'Таблиця 1'!$J:$J,"GBU-64")+SUMIFS('Таблиця 1'!$K:$K,'Таблиця 1'!$B:$B,$A67,'Таблиця 1'!$I:$I,"Су-25",'Таблиця 1'!$J:$J,"GBU-64")+SUMIFS('Таблиця 1'!$K:$K,'Таблиця 1'!$B:$B,$A67,'Таблиця 1'!$I:$I,"Су-27",'Таблиця 1'!$J:$J,"GBU-64"))</f>
        <v/>
      </c>
      <c r="O67">
        <f>IF($A67="","",SUMIFS('Таблиця 1'!$K:$K,'Таблиця 1'!$B:$B,$A67,'Таблиця 1'!$I:$I,"Mirage",'Таблиця 1'!$J:$J,"C-13")+SUMIFS('Таблиця 1'!$K:$K,'Таблиця 1'!$B:$B,$A67,'Таблиця 1'!$I:$I,"F-16",'Таблиця 1'!$J:$J,"C-13")+SUMIFS('Таблиця 1'!$K:$K,'Таблиця 1'!$B:$B,$A67,'Таблиця 1'!$I:$I,"МіГ-29",'Таблиця 1'!$J:$J,"C-13")+SUMIFS('Таблиця 1'!$K:$K,'Таблиця 1'!$B:$B,$A67,'Таблиця 1'!$I:$I,"Су-25",'Таблиця 1'!$J:$J,"C-13")+SUMIFS('Таблиця 1'!$K:$K,'Таблиця 1'!$B:$B,$A67,'Таблиця 1'!$I:$I,"Су-27",'Таблиця 1'!$J:$J,"C-13"))</f>
        <v/>
      </c>
      <c r="P67">
        <f>IF($A67="","",SUMIFS('Таблиця 1'!$K:$K,'Таблиця 1'!$B:$B,$A67,'Таблиця 1'!$I:$I,"Mirage",'Таблиця 1'!$J:$J,"MK-32")+SUMIFS('Таблиця 1'!$K:$K,'Таблиця 1'!$B:$B,$A67,'Таблиця 1'!$I:$I,"F-16",'Таблиця 1'!$J:$J,"MK-32")+SUMIFS('Таблиця 1'!$K:$K,'Таблиця 1'!$B:$B,$A67,'Таблиця 1'!$I:$I,"МіГ-29",'Таблиця 1'!$J:$J,"MK-32")+SUMIFS('Таблиця 1'!$K:$K,'Таблиця 1'!$B:$B,$A67,'Таблиця 1'!$I:$I,"Су-25",'Таблиця 1'!$J:$J,"MK-32")+SUMIFS('Таблиця 1'!$K:$K,'Таблиця 1'!$B:$B,$A67,'Таблиця 1'!$I:$I,"Су-27",'Таблиця 1'!$J:$J,"MK-32"))</f>
        <v/>
      </c>
      <c r="Q67">
        <f>IF($A67="","",SUMIFS('Таблиця 1'!$K:$K,'Таблиця 1'!$B:$B,$A67,'Таблиця 1'!$I:$I,"Mirage",'Таблиця 1'!$J:$J,"MK-24")+SUMIFS('Таблиця 1'!$K:$K,'Таблиця 1'!$B:$B,$A67,'Таблиця 1'!$I:$I,"F-16",'Таблиця 1'!$J:$J,"MK-24")+SUMIFS('Таблиця 1'!$K:$K,'Таблиця 1'!$B:$B,$A67,'Таблиця 1'!$I:$I,"МіГ-29",'Таблиця 1'!$J:$J,"MK-24")+SUMIFS('Таблиця 1'!$K:$K,'Таблиця 1'!$B:$B,$A67,'Таблиця 1'!$I:$I,"Су-25",'Таблиця 1'!$J:$J,"MK-24")+SUMIFS('Таблиця 1'!$K:$K,'Таблиця 1'!$B:$B,$A67,'Таблиця 1'!$I:$I,"Су-27",'Таблиця 1'!$J:$J,"MK-24"))</f>
        <v/>
      </c>
      <c r="R67">
        <f>IF($A67="","",COUNTIFS('Таблиця 1'!$B:$B,$A67,'Таблиця 1'!$I:$I,"Mirage",'Таблиця 1'!$L:$L,"Уражено")+COUNTIFS('Таблиця 1'!$B:$B,$A67,'Таблиця 1'!$I:$I,"F-16",'Таблиця 1'!$L:$L,"Уражено")+COUNTIFS('Таблиця 1'!$B:$B,$A67,'Таблиця 1'!$I:$I,"МіГ-29",'Таблиця 1'!$L:$L,"Уражено")+COUNTIFS('Таблиця 1'!$B:$B,$A67,'Таблиця 1'!$I:$I,"Су-25",'Таблиця 1'!$L:$L,"Уражено")+COUNTIFS('Таблиця 1'!$B:$B,$A67,'Таблиця 1'!$I:$I,"Су-27",'Таблиця 1'!$L:$L,"Уражено"))</f>
        <v/>
      </c>
      <c r="S67">
        <f>IF($A67="","",COUNTIFS('Таблиця 1'!$B:$B,$A67,'Таблиця 1'!$I:$I,"Mirage",'Таблиця 1'!$L:$L,"НЕ уражено")+COUNTIFS('Таблиця 1'!$B:$B,$A67,'Таблиця 1'!$I:$I,"F-16",'Таблиця 1'!$L:$L,"НЕ уражено")+COUNTIFS('Таблиця 1'!$B:$B,$A67,'Таблиця 1'!$I:$I,"МіГ-29",'Таблиця 1'!$L:$L,"НЕ уражено")+COUNTIFS('Таблиця 1'!$B:$B,$A67,'Таблиця 1'!$I:$I,"Су-25",'Таблиця 1'!$L:$L,"НЕ уражено")+COUNTIFS('Таблиця 1'!$B:$B,$A67,'Таблиця 1'!$I:$I,"Су-27",'Таблиця 1'!$L:$L,"НЕ уражено"))</f>
        <v/>
      </c>
      <c r="T67">
        <f>IF($A67="","",COUNTIFS('Таблиця 1'!$B:$B,$A67,'Таблиця 1'!$I:$I,"Mirage",'Таблиця 1'!$L:$L,"Дорозвідується")+COUNTIFS('Таблиця 1'!$B:$B,$A67,'Таблиця 1'!$I:$I,"F-16",'Таблиця 1'!$L:$L,"Дорозвідується")+COUNTIFS('Таблиця 1'!$B:$B,$A67,'Таблиця 1'!$I:$I,"МіГ-29",'Таблиця 1'!$L:$L,"Дорозвідується")+COUNTIFS('Таблиця 1'!$B:$B,$A67,'Таблиця 1'!$I:$I,"Су-25",'Таблиця 1'!$L:$L,"Дорозвідується")+COUNTIFS('Таблиця 1'!$B:$B,$A67,'Таблиця 1'!$I:$I,"Су-27",'Таблиця 1'!$L:$L,"Дорозвідується"))</f>
        <v/>
      </c>
    </row>
    <row r="68">
      <c r="A68" s="273">
        <f>IF(A67="","",IF(A67+1&gt;MAX('Таблиця 1'!$B:$B),"",A67+1))</f>
        <v/>
      </c>
      <c r="B68">
        <f>IF($A68="","",COUNTIFS('Таблиця 1'!$B:$B,$A68,'Таблиця 1'!$I:$I,"Mirage")+COUNTIFS('Таблиця 1'!$B:$B,$A68,'Таблиця 1'!$I:$I,"F-16")+COUNTIFS('Таблиця 1'!$B:$B,$A68,'Таблиця 1'!$I:$I,"МіГ-29")+COUNTIFS('Таблиця 1'!$B:$B,$A68,'Таблиця 1'!$I:$I,"Су-25")+COUNTIFS('Таблиця 1'!$B:$B,$A68,'Таблиця 1'!$I:$I,"Су-27"))</f>
        <v/>
      </c>
      <c r="C68">
        <f>IF($A68="","",COUNTIFS('Таблиця 1'!$B:$B,$A68,'Таблиця 1'!$I:$I,"Mirage"))</f>
        <v/>
      </c>
      <c r="D68">
        <f>IF($A68="","",COUNTIFS('Таблиця 1'!$B:$B,$A68,'Таблиця 1'!$I:$I,"F-16"))</f>
        <v/>
      </c>
      <c r="E68">
        <f>IF($A68="","",COUNTIFS('Таблиця 1'!$B:$B,$A68,'Таблиця 1'!$I:$I,"МіГ-29"))</f>
        <v/>
      </c>
      <c r="F68">
        <f>IF($A68="","",COUNTIFS('Таблиця 1'!$B:$B,$A68,'Таблиця 1'!$I:$I,"Су-25"))</f>
        <v/>
      </c>
      <c r="G68">
        <f>IF($A68="","",COUNTIFS('Таблиця 1'!$B:$B,$A68,'Таблиця 1'!$I:$I,"Су-27"))</f>
        <v/>
      </c>
      <c r="H68">
        <f>IF($A68="","",SUMIFS('Таблиця 1'!$K:$K,'Таблиця 1'!$B:$B,$A68,'Таблиця 1'!$I:$I,"Mirage",'Таблиця 1'!$J:$J,"AGM-88")+SUMIFS('Таблиця 1'!$K:$K,'Таблиця 1'!$B:$B,$A68,'Таблиця 1'!$I:$I,"F-16",'Таблиця 1'!$J:$J,"AGM-88")+SUMIFS('Таблиця 1'!$K:$K,'Таблиця 1'!$B:$B,$A68,'Таблиця 1'!$I:$I,"МіГ-29",'Таблиця 1'!$J:$J,"AGM-88")+SUMIFS('Таблиця 1'!$K:$K,'Таблиця 1'!$B:$B,$A68,'Таблиця 1'!$I:$I,"Су-25",'Таблиця 1'!$J:$J,"AGM-88")+SUMIFS('Таблиця 1'!$K:$K,'Таблиця 1'!$B:$B,$A68,'Таблиця 1'!$I:$I,"Су-27",'Таблиця 1'!$J:$J,"AGM-88"))</f>
        <v/>
      </c>
      <c r="I68">
        <f>IF($A68="","",SUMIFS('Таблиця 1'!$K:$K,'Таблиця 1'!$B:$B,$A68,'Таблиця 1'!$I:$I,"Mirage",'Таблиця 1'!$J:$J,"AASM-250")+SUMIFS('Таблиця 1'!$K:$K,'Таблиця 1'!$B:$B,$A68,'Таблиця 1'!$I:$I,"F-16",'Таблиця 1'!$J:$J,"AASM-250")+SUMIFS('Таблиця 1'!$K:$K,'Таблиця 1'!$B:$B,$A68,'Таблиця 1'!$I:$I,"МіГ-29",'Таблиця 1'!$J:$J,"AASM-250")+SUMIFS('Таблиця 1'!$K:$K,'Таблиця 1'!$B:$B,$A68,'Таблиця 1'!$I:$I,"Су-25",'Таблиця 1'!$J:$J,"AASM-250")+SUMIFS('Таблиця 1'!$K:$K,'Таблиця 1'!$B:$B,$A68,'Таблиця 1'!$I:$I,"Су-27",'Таблиця 1'!$J:$J,"AASM-250"))</f>
        <v/>
      </c>
      <c r="J68">
        <f>IF($A68="","",SUMIFS('Таблиця 1'!$K:$K,'Таблиця 1'!$B:$B,$A68,'Таблиця 1'!$I:$I,"Mirage",'Таблиця 1'!$J:$J,"GBU-39")+SUMIFS('Таблиця 1'!$K:$K,'Таблиця 1'!$B:$B,$A68,'Таблиця 1'!$I:$I,"F-16",'Таблиця 1'!$J:$J,"GBU-39")+SUMIFS('Таблиця 1'!$K:$K,'Таблиця 1'!$B:$B,$A68,'Таблиця 1'!$I:$I,"МіГ-29",'Таблиця 1'!$J:$J,"GBU-39")+SUMIFS('Таблиця 1'!$K:$K,'Таблиця 1'!$B:$B,$A68,'Таблиця 1'!$I:$I,"Су-25",'Таблиця 1'!$J:$J,"GBU-39")+SUMIFS('Таблиця 1'!$K:$K,'Таблиця 1'!$B:$B,$A68,'Таблиця 1'!$I:$I,"Су-27",'Таблиця 1'!$J:$J,"GBU-39"))</f>
        <v/>
      </c>
      <c r="K68">
        <f>IF($A68="","",SUMIFS('Таблиця 1'!$K:$K,'Таблиця 1'!$B:$B,$A68,'Таблиця 1'!$I:$I,"Mirage",'Таблиця 1'!$J:$J,"BLU-140")+SUMIFS('Таблиця 1'!$K:$K,'Таблиця 1'!$B:$B,$A68,'Таблиця 1'!$I:$I,"F-16",'Таблиця 1'!$J:$J,"BLU-140")+SUMIFS('Таблиця 1'!$K:$K,'Таблиця 1'!$B:$B,$A68,'Таблиця 1'!$I:$I,"МіГ-29",'Таблиця 1'!$J:$J,"BLU-140")+SUMIFS('Таблиця 1'!$K:$K,'Таблиця 1'!$B:$B,$A68,'Таблиця 1'!$I:$I,"Су-25",'Таблиця 1'!$J:$J,"BLU-140")+SUMIFS('Таблиця 1'!$K:$K,'Таблиця 1'!$B:$B,$A68,'Таблиця 1'!$I:$I,"Су-27",'Таблиця 1'!$J:$J,"BLU-140"))</f>
        <v/>
      </c>
      <c r="L68">
        <f>IF($A68="","",SUMIFS('Таблиця 1'!$K:$K,'Таблиця 1'!$B:$B,$A68,'Таблиця 1'!$I:$I,"Mirage",'Таблиця 1'!$J:$J,"GBU-65")+SUMIFS('Таблиця 1'!$K:$K,'Таблиця 1'!$B:$B,$A68,'Таблиця 1'!$I:$I,"F-16",'Таблиця 1'!$J:$J,"GBU-65")+SUMIFS('Таблиця 1'!$K:$K,'Таблиця 1'!$B:$B,$A68,'Таблиця 1'!$I:$I,"МіГ-29",'Таблиця 1'!$J:$J,"GBU-65")+SUMIFS('Таблиця 1'!$K:$K,'Таблиця 1'!$B:$B,$A68,'Таблиця 1'!$I:$I,"Су-25",'Таблиця 1'!$J:$J,"GBU-65")+SUMIFS('Таблиця 1'!$K:$K,'Таблиця 1'!$B:$B,$A68,'Таблиця 1'!$I:$I,"Су-27",'Таблиця 1'!$J:$J,"GBU-65"))</f>
        <v/>
      </c>
      <c r="M68">
        <f>IF($A68="","",SUMIFS('Таблиця 1'!$K:$K,'Таблиця 1'!$B:$B,$A68,'Таблиця 1'!$I:$I,"Mirage",'Таблиця 1'!$J:$J,"GBU-62")+SUMIFS('Таблиця 1'!$K:$K,'Таблиця 1'!$B:$B,$A68,'Таблиця 1'!$I:$I,"F-16",'Таблиця 1'!$J:$J,"GBU-62")+SUMIFS('Таблиця 1'!$K:$K,'Таблиця 1'!$B:$B,$A68,'Таблиця 1'!$I:$I,"МіГ-29",'Таблиця 1'!$J:$J,"GBU-62")+SUMIFS('Таблиця 1'!$K:$K,'Таблиця 1'!$B:$B,$A68,'Таблиця 1'!$I:$I,"Су-25",'Таблиця 1'!$J:$J,"GBU-62")+SUMIFS('Таблиця 1'!$K:$K,'Таблиця 1'!$B:$B,$A68,'Таблиця 1'!$I:$I,"Су-27",'Таблиця 1'!$J:$J,"GBU-62"))</f>
        <v/>
      </c>
      <c r="N68">
        <f>IF($A68="","",SUMIFS('Таблиця 1'!$K:$K,'Таблиця 1'!$B:$B,$A68,'Таблиця 1'!$I:$I,"Mirage",'Таблиця 1'!$J:$J,"GBU-64")+SUMIFS('Таблиця 1'!$K:$K,'Таблиця 1'!$B:$B,$A68,'Таблиця 1'!$I:$I,"F-16",'Таблиця 1'!$J:$J,"GBU-64")+SUMIFS('Таблиця 1'!$K:$K,'Таблиця 1'!$B:$B,$A68,'Таблиця 1'!$I:$I,"МіГ-29",'Таблиця 1'!$J:$J,"GBU-64")+SUMIFS('Таблиця 1'!$K:$K,'Таблиця 1'!$B:$B,$A68,'Таблиця 1'!$I:$I,"Су-25",'Таблиця 1'!$J:$J,"GBU-64")+SUMIFS('Таблиця 1'!$K:$K,'Таблиця 1'!$B:$B,$A68,'Таблиця 1'!$I:$I,"Су-27",'Таблиця 1'!$J:$J,"GBU-64"))</f>
        <v/>
      </c>
      <c r="O68">
        <f>IF($A68="","",SUMIFS('Таблиця 1'!$K:$K,'Таблиця 1'!$B:$B,$A68,'Таблиця 1'!$I:$I,"Mirage",'Таблиця 1'!$J:$J,"C-13")+SUMIFS('Таблиця 1'!$K:$K,'Таблиця 1'!$B:$B,$A68,'Таблиця 1'!$I:$I,"F-16",'Таблиця 1'!$J:$J,"C-13")+SUMIFS('Таблиця 1'!$K:$K,'Таблиця 1'!$B:$B,$A68,'Таблиця 1'!$I:$I,"МіГ-29",'Таблиця 1'!$J:$J,"C-13")+SUMIFS('Таблиця 1'!$K:$K,'Таблиця 1'!$B:$B,$A68,'Таблиця 1'!$I:$I,"Су-25",'Таблиця 1'!$J:$J,"C-13")+SUMIFS('Таблиця 1'!$K:$K,'Таблиця 1'!$B:$B,$A68,'Таблиця 1'!$I:$I,"Су-27",'Таблиця 1'!$J:$J,"C-13"))</f>
        <v/>
      </c>
      <c r="P68">
        <f>IF($A68="","",SUMIFS('Таблиця 1'!$K:$K,'Таблиця 1'!$B:$B,$A68,'Таблиця 1'!$I:$I,"Mirage",'Таблиця 1'!$J:$J,"MK-32")+SUMIFS('Таблиця 1'!$K:$K,'Таблиця 1'!$B:$B,$A68,'Таблиця 1'!$I:$I,"F-16",'Таблиця 1'!$J:$J,"MK-32")+SUMIFS('Таблиця 1'!$K:$K,'Таблиця 1'!$B:$B,$A68,'Таблиця 1'!$I:$I,"МіГ-29",'Таблиця 1'!$J:$J,"MK-32")+SUMIFS('Таблиця 1'!$K:$K,'Таблиця 1'!$B:$B,$A68,'Таблиця 1'!$I:$I,"Су-25",'Таблиця 1'!$J:$J,"MK-32")+SUMIFS('Таблиця 1'!$K:$K,'Таблиця 1'!$B:$B,$A68,'Таблиця 1'!$I:$I,"Су-27",'Таблиця 1'!$J:$J,"MK-32"))</f>
        <v/>
      </c>
      <c r="Q68">
        <f>IF($A68="","",SUMIFS('Таблиця 1'!$K:$K,'Таблиця 1'!$B:$B,$A68,'Таблиця 1'!$I:$I,"Mirage",'Таблиця 1'!$J:$J,"MK-24")+SUMIFS('Таблиця 1'!$K:$K,'Таблиця 1'!$B:$B,$A68,'Таблиця 1'!$I:$I,"F-16",'Таблиця 1'!$J:$J,"MK-24")+SUMIFS('Таблиця 1'!$K:$K,'Таблиця 1'!$B:$B,$A68,'Таблиця 1'!$I:$I,"МіГ-29",'Таблиця 1'!$J:$J,"MK-24")+SUMIFS('Таблиця 1'!$K:$K,'Таблиця 1'!$B:$B,$A68,'Таблиця 1'!$I:$I,"Су-25",'Таблиця 1'!$J:$J,"MK-24")+SUMIFS('Таблиця 1'!$K:$K,'Таблиця 1'!$B:$B,$A68,'Таблиця 1'!$I:$I,"Су-27",'Таблиця 1'!$J:$J,"MK-24"))</f>
        <v/>
      </c>
      <c r="R68">
        <f>IF($A68="","",COUNTIFS('Таблиця 1'!$B:$B,$A68,'Таблиця 1'!$I:$I,"Mirage",'Таблиця 1'!$L:$L,"Уражено")+COUNTIFS('Таблиця 1'!$B:$B,$A68,'Таблиця 1'!$I:$I,"F-16",'Таблиця 1'!$L:$L,"Уражено")+COUNTIFS('Таблиця 1'!$B:$B,$A68,'Таблиця 1'!$I:$I,"МіГ-29",'Таблиця 1'!$L:$L,"Уражено")+COUNTIFS('Таблиця 1'!$B:$B,$A68,'Таблиця 1'!$I:$I,"Су-25",'Таблиця 1'!$L:$L,"Уражено")+COUNTIFS('Таблиця 1'!$B:$B,$A68,'Таблиця 1'!$I:$I,"Су-27",'Таблиця 1'!$L:$L,"Уражено"))</f>
        <v/>
      </c>
      <c r="S68">
        <f>IF($A68="","",COUNTIFS('Таблиця 1'!$B:$B,$A68,'Таблиця 1'!$I:$I,"Mirage",'Таблиця 1'!$L:$L,"НЕ уражено")+COUNTIFS('Таблиця 1'!$B:$B,$A68,'Таблиця 1'!$I:$I,"F-16",'Таблиця 1'!$L:$L,"НЕ уражено")+COUNTIFS('Таблиця 1'!$B:$B,$A68,'Таблиця 1'!$I:$I,"МіГ-29",'Таблиця 1'!$L:$L,"НЕ уражено")+COUNTIFS('Таблиця 1'!$B:$B,$A68,'Таблиця 1'!$I:$I,"Су-25",'Таблиця 1'!$L:$L,"НЕ уражено")+COUNTIFS('Таблиця 1'!$B:$B,$A68,'Таблиця 1'!$I:$I,"Су-27",'Таблиця 1'!$L:$L,"НЕ уражено"))</f>
        <v/>
      </c>
      <c r="T68">
        <f>IF($A68="","",COUNTIFS('Таблиця 1'!$B:$B,$A68,'Таблиця 1'!$I:$I,"Mirage",'Таблиця 1'!$L:$L,"Дорозвідується")+COUNTIFS('Таблиця 1'!$B:$B,$A68,'Таблиця 1'!$I:$I,"F-16",'Таблиця 1'!$L:$L,"Дорозвідується")+COUNTIFS('Таблиця 1'!$B:$B,$A68,'Таблиця 1'!$I:$I,"МіГ-29",'Таблиця 1'!$L:$L,"Дорозвідується")+COUNTIFS('Таблиця 1'!$B:$B,$A68,'Таблиця 1'!$I:$I,"Су-25",'Таблиця 1'!$L:$L,"Дорозвідується")+COUNTIFS('Таблиця 1'!$B:$B,$A68,'Таблиця 1'!$I:$I,"Су-27",'Таблиця 1'!$L:$L,"Дорозвідується"))</f>
        <v/>
      </c>
    </row>
    <row r="69">
      <c r="A69" s="273">
        <f>IF(A68="","",IF(A68+1&gt;MAX('Таблиця 1'!$B:$B),"",A68+1))</f>
        <v/>
      </c>
      <c r="B69">
        <f>IF($A69="","",COUNTIFS('Таблиця 1'!$B:$B,$A69,'Таблиця 1'!$I:$I,"Mirage")+COUNTIFS('Таблиця 1'!$B:$B,$A69,'Таблиця 1'!$I:$I,"F-16")+COUNTIFS('Таблиця 1'!$B:$B,$A69,'Таблиця 1'!$I:$I,"МіГ-29")+COUNTIFS('Таблиця 1'!$B:$B,$A69,'Таблиця 1'!$I:$I,"Су-25")+COUNTIFS('Таблиця 1'!$B:$B,$A69,'Таблиця 1'!$I:$I,"Су-27"))</f>
        <v/>
      </c>
      <c r="C69">
        <f>IF($A69="","",COUNTIFS('Таблиця 1'!$B:$B,$A69,'Таблиця 1'!$I:$I,"Mirage"))</f>
        <v/>
      </c>
      <c r="D69">
        <f>IF($A69="","",COUNTIFS('Таблиця 1'!$B:$B,$A69,'Таблиця 1'!$I:$I,"F-16"))</f>
        <v/>
      </c>
      <c r="E69">
        <f>IF($A69="","",COUNTIFS('Таблиця 1'!$B:$B,$A69,'Таблиця 1'!$I:$I,"МіГ-29"))</f>
        <v/>
      </c>
      <c r="F69">
        <f>IF($A69="","",COUNTIFS('Таблиця 1'!$B:$B,$A69,'Таблиця 1'!$I:$I,"Су-25"))</f>
        <v/>
      </c>
      <c r="G69">
        <f>IF($A69="","",COUNTIFS('Таблиця 1'!$B:$B,$A69,'Таблиця 1'!$I:$I,"Су-27"))</f>
        <v/>
      </c>
      <c r="H69">
        <f>IF($A69="","",SUMIFS('Таблиця 1'!$K:$K,'Таблиця 1'!$B:$B,$A69,'Таблиця 1'!$I:$I,"Mirage",'Таблиця 1'!$J:$J,"AGM-88")+SUMIFS('Таблиця 1'!$K:$K,'Таблиця 1'!$B:$B,$A69,'Таблиця 1'!$I:$I,"F-16",'Таблиця 1'!$J:$J,"AGM-88")+SUMIFS('Таблиця 1'!$K:$K,'Таблиця 1'!$B:$B,$A69,'Таблиця 1'!$I:$I,"МіГ-29",'Таблиця 1'!$J:$J,"AGM-88")+SUMIFS('Таблиця 1'!$K:$K,'Таблиця 1'!$B:$B,$A69,'Таблиця 1'!$I:$I,"Су-25",'Таблиця 1'!$J:$J,"AGM-88")+SUMIFS('Таблиця 1'!$K:$K,'Таблиця 1'!$B:$B,$A69,'Таблиця 1'!$I:$I,"Су-27",'Таблиця 1'!$J:$J,"AGM-88"))</f>
        <v/>
      </c>
      <c r="I69">
        <f>IF($A69="","",SUMIFS('Таблиця 1'!$K:$K,'Таблиця 1'!$B:$B,$A69,'Таблиця 1'!$I:$I,"Mirage",'Таблиця 1'!$J:$J,"AASM-250")+SUMIFS('Таблиця 1'!$K:$K,'Таблиця 1'!$B:$B,$A69,'Таблиця 1'!$I:$I,"F-16",'Таблиця 1'!$J:$J,"AASM-250")+SUMIFS('Таблиця 1'!$K:$K,'Таблиця 1'!$B:$B,$A69,'Таблиця 1'!$I:$I,"МіГ-29",'Таблиця 1'!$J:$J,"AASM-250")+SUMIFS('Таблиця 1'!$K:$K,'Таблиця 1'!$B:$B,$A69,'Таблиця 1'!$I:$I,"Су-25",'Таблиця 1'!$J:$J,"AASM-250")+SUMIFS('Таблиця 1'!$K:$K,'Таблиця 1'!$B:$B,$A69,'Таблиця 1'!$I:$I,"Су-27",'Таблиця 1'!$J:$J,"AASM-250"))</f>
        <v/>
      </c>
      <c r="J69">
        <f>IF($A69="","",SUMIFS('Таблиця 1'!$K:$K,'Таблиця 1'!$B:$B,$A69,'Таблиця 1'!$I:$I,"Mirage",'Таблиця 1'!$J:$J,"GBU-39")+SUMIFS('Таблиця 1'!$K:$K,'Таблиця 1'!$B:$B,$A69,'Таблиця 1'!$I:$I,"F-16",'Таблиця 1'!$J:$J,"GBU-39")+SUMIFS('Таблиця 1'!$K:$K,'Таблиця 1'!$B:$B,$A69,'Таблиця 1'!$I:$I,"МіГ-29",'Таблиця 1'!$J:$J,"GBU-39")+SUMIFS('Таблиця 1'!$K:$K,'Таблиця 1'!$B:$B,$A69,'Таблиця 1'!$I:$I,"Су-25",'Таблиця 1'!$J:$J,"GBU-39")+SUMIFS('Таблиця 1'!$K:$K,'Таблиця 1'!$B:$B,$A69,'Таблиця 1'!$I:$I,"Су-27",'Таблиця 1'!$J:$J,"GBU-39"))</f>
        <v/>
      </c>
      <c r="K69">
        <f>IF($A69="","",SUMIFS('Таблиця 1'!$K:$K,'Таблиця 1'!$B:$B,$A69,'Таблиця 1'!$I:$I,"Mirage",'Таблиця 1'!$J:$J,"BLU-140")+SUMIFS('Таблиця 1'!$K:$K,'Таблиця 1'!$B:$B,$A69,'Таблиця 1'!$I:$I,"F-16",'Таблиця 1'!$J:$J,"BLU-140")+SUMIFS('Таблиця 1'!$K:$K,'Таблиця 1'!$B:$B,$A69,'Таблиця 1'!$I:$I,"МіГ-29",'Таблиця 1'!$J:$J,"BLU-140")+SUMIFS('Таблиця 1'!$K:$K,'Таблиця 1'!$B:$B,$A69,'Таблиця 1'!$I:$I,"Су-25",'Таблиця 1'!$J:$J,"BLU-140")+SUMIFS('Таблиця 1'!$K:$K,'Таблиця 1'!$B:$B,$A69,'Таблиця 1'!$I:$I,"Су-27",'Таблиця 1'!$J:$J,"BLU-140"))</f>
        <v/>
      </c>
      <c r="L69">
        <f>IF($A69="","",SUMIFS('Таблиця 1'!$K:$K,'Таблиця 1'!$B:$B,$A69,'Таблиця 1'!$I:$I,"Mirage",'Таблиця 1'!$J:$J,"GBU-65")+SUMIFS('Таблиця 1'!$K:$K,'Таблиця 1'!$B:$B,$A69,'Таблиця 1'!$I:$I,"F-16",'Таблиця 1'!$J:$J,"GBU-65")+SUMIFS('Таблиця 1'!$K:$K,'Таблиця 1'!$B:$B,$A69,'Таблиця 1'!$I:$I,"МіГ-29",'Таблиця 1'!$J:$J,"GBU-65")+SUMIFS('Таблиця 1'!$K:$K,'Таблиця 1'!$B:$B,$A69,'Таблиця 1'!$I:$I,"Су-25",'Таблиця 1'!$J:$J,"GBU-65")+SUMIFS('Таблиця 1'!$K:$K,'Таблиця 1'!$B:$B,$A69,'Таблиця 1'!$I:$I,"Су-27",'Таблиця 1'!$J:$J,"GBU-65"))</f>
        <v/>
      </c>
      <c r="M69">
        <f>IF($A69="","",SUMIFS('Таблиця 1'!$K:$K,'Таблиця 1'!$B:$B,$A69,'Таблиця 1'!$I:$I,"Mirage",'Таблиця 1'!$J:$J,"GBU-62")+SUMIFS('Таблиця 1'!$K:$K,'Таблиця 1'!$B:$B,$A69,'Таблиця 1'!$I:$I,"F-16",'Таблиця 1'!$J:$J,"GBU-62")+SUMIFS('Таблиця 1'!$K:$K,'Таблиця 1'!$B:$B,$A69,'Таблиця 1'!$I:$I,"МіГ-29",'Таблиця 1'!$J:$J,"GBU-62")+SUMIFS('Таблиця 1'!$K:$K,'Таблиця 1'!$B:$B,$A69,'Таблиця 1'!$I:$I,"Су-25",'Таблиця 1'!$J:$J,"GBU-62")+SUMIFS('Таблиця 1'!$K:$K,'Таблиця 1'!$B:$B,$A69,'Таблиця 1'!$I:$I,"Су-27",'Таблиця 1'!$J:$J,"GBU-62"))</f>
        <v/>
      </c>
      <c r="N69">
        <f>IF($A69="","",SUMIFS('Таблиця 1'!$K:$K,'Таблиця 1'!$B:$B,$A69,'Таблиця 1'!$I:$I,"Mirage",'Таблиця 1'!$J:$J,"GBU-64")+SUMIFS('Таблиця 1'!$K:$K,'Таблиця 1'!$B:$B,$A69,'Таблиця 1'!$I:$I,"F-16",'Таблиця 1'!$J:$J,"GBU-64")+SUMIFS('Таблиця 1'!$K:$K,'Таблиця 1'!$B:$B,$A69,'Таблиця 1'!$I:$I,"МіГ-29",'Таблиця 1'!$J:$J,"GBU-64")+SUMIFS('Таблиця 1'!$K:$K,'Таблиця 1'!$B:$B,$A69,'Таблиця 1'!$I:$I,"Су-25",'Таблиця 1'!$J:$J,"GBU-64")+SUMIFS('Таблиця 1'!$K:$K,'Таблиця 1'!$B:$B,$A69,'Таблиця 1'!$I:$I,"Су-27",'Таблиця 1'!$J:$J,"GBU-64"))</f>
        <v/>
      </c>
      <c r="O69">
        <f>IF($A69="","",SUMIFS('Таблиця 1'!$K:$K,'Таблиця 1'!$B:$B,$A69,'Таблиця 1'!$I:$I,"Mirage",'Таблиця 1'!$J:$J,"C-13")+SUMIFS('Таблиця 1'!$K:$K,'Таблиця 1'!$B:$B,$A69,'Таблиця 1'!$I:$I,"F-16",'Таблиця 1'!$J:$J,"C-13")+SUMIFS('Таблиця 1'!$K:$K,'Таблиця 1'!$B:$B,$A69,'Таблиця 1'!$I:$I,"МіГ-29",'Таблиця 1'!$J:$J,"C-13")+SUMIFS('Таблиця 1'!$K:$K,'Таблиця 1'!$B:$B,$A69,'Таблиця 1'!$I:$I,"Су-25",'Таблиця 1'!$J:$J,"C-13")+SUMIFS('Таблиця 1'!$K:$K,'Таблиця 1'!$B:$B,$A69,'Таблиця 1'!$I:$I,"Су-27",'Таблиця 1'!$J:$J,"C-13"))</f>
        <v/>
      </c>
      <c r="P69">
        <f>IF($A69="","",SUMIFS('Таблиця 1'!$K:$K,'Таблиця 1'!$B:$B,$A69,'Таблиця 1'!$I:$I,"Mirage",'Таблиця 1'!$J:$J,"MK-32")+SUMIFS('Таблиця 1'!$K:$K,'Таблиця 1'!$B:$B,$A69,'Таблиця 1'!$I:$I,"F-16",'Таблиця 1'!$J:$J,"MK-32")+SUMIFS('Таблиця 1'!$K:$K,'Таблиця 1'!$B:$B,$A69,'Таблиця 1'!$I:$I,"МіГ-29",'Таблиця 1'!$J:$J,"MK-32")+SUMIFS('Таблиця 1'!$K:$K,'Таблиця 1'!$B:$B,$A69,'Таблиця 1'!$I:$I,"Су-25",'Таблиця 1'!$J:$J,"MK-32")+SUMIFS('Таблиця 1'!$K:$K,'Таблиця 1'!$B:$B,$A69,'Таблиця 1'!$I:$I,"Су-27",'Таблиця 1'!$J:$J,"MK-32"))</f>
        <v/>
      </c>
      <c r="Q69">
        <f>IF($A69="","",SUMIFS('Таблиця 1'!$K:$K,'Таблиця 1'!$B:$B,$A69,'Таблиця 1'!$I:$I,"Mirage",'Таблиця 1'!$J:$J,"MK-24")+SUMIFS('Таблиця 1'!$K:$K,'Таблиця 1'!$B:$B,$A69,'Таблиця 1'!$I:$I,"F-16",'Таблиця 1'!$J:$J,"MK-24")+SUMIFS('Таблиця 1'!$K:$K,'Таблиця 1'!$B:$B,$A69,'Таблиця 1'!$I:$I,"МіГ-29",'Таблиця 1'!$J:$J,"MK-24")+SUMIFS('Таблиця 1'!$K:$K,'Таблиця 1'!$B:$B,$A69,'Таблиця 1'!$I:$I,"Су-25",'Таблиця 1'!$J:$J,"MK-24")+SUMIFS('Таблиця 1'!$K:$K,'Таблиця 1'!$B:$B,$A69,'Таблиця 1'!$I:$I,"Су-27",'Таблиця 1'!$J:$J,"MK-24"))</f>
        <v/>
      </c>
      <c r="R69">
        <f>IF($A69="","",COUNTIFS('Таблиця 1'!$B:$B,$A69,'Таблиця 1'!$I:$I,"Mirage",'Таблиця 1'!$L:$L,"Уражено")+COUNTIFS('Таблиця 1'!$B:$B,$A69,'Таблиця 1'!$I:$I,"F-16",'Таблиця 1'!$L:$L,"Уражено")+COUNTIFS('Таблиця 1'!$B:$B,$A69,'Таблиця 1'!$I:$I,"МіГ-29",'Таблиця 1'!$L:$L,"Уражено")+COUNTIFS('Таблиця 1'!$B:$B,$A69,'Таблиця 1'!$I:$I,"Су-25",'Таблиця 1'!$L:$L,"Уражено")+COUNTIFS('Таблиця 1'!$B:$B,$A69,'Таблиця 1'!$I:$I,"Су-27",'Таблиця 1'!$L:$L,"Уражено"))</f>
        <v/>
      </c>
      <c r="S69">
        <f>IF($A69="","",COUNTIFS('Таблиця 1'!$B:$B,$A69,'Таблиця 1'!$I:$I,"Mirage",'Таблиця 1'!$L:$L,"НЕ уражено")+COUNTIFS('Таблиця 1'!$B:$B,$A69,'Таблиця 1'!$I:$I,"F-16",'Таблиця 1'!$L:$L,"НЕ уражено")+COUNTIFS('Таблиця 1'!$B:$B,$A69,'Таблиця 1'!$I:$I,"МіГ-29",'Таблиця 1'!$L:$L,"НЕ уражено")+COUNTIFS('Таблиця 1'!$B:$B,$A69,'Таблиця 1'!$I:$I,"Су-25",'Таблиця 1'!$L:$L,"НЕ уражено")+COUNTIFS('Таблиця 1'!$B:$B,$A69,'Таблиця 1'!$I:$I,"Су-27",'Таблиця 1'!$L:$L,"НЕ уражено"))</f>
        <v/>
      </c>
      <c r="T69">
        <f>IF($A69="","",COUNTIFS('Таблиця 1'!$B:$B,$A69,'Таблиця 1'!$I:$I,"Mirage",'Таблиця 1'!$L:$L,"Дорозвідується")+COUNTIFS('Таблиця 1'!$B:$B,$A69,'Таблиця 1'!$I:$I,"F-16",'Таблиця 1'!$L:$L,"Дорозвідується")+COUNTIFS('Таблиця 1'!$B:$B,$A69,'Таблиця 1'!$I:$I,"МіГ-29",'Таблиця 1'!$L:$L,"Дорозвідується")+COUNTIFS('Таблиця 1'!$B:$B,$A69,'Таблиця 1'!$I:$I,"Су-25",'Таблиця 1'!$L:$L,"Дорозвідується")+COUNTIFS('Таблиця 1'!$B:$B,$A69,'Таблиця 1'!$I:$I,"Су-27",'Таблиця 1'!$L:$L,"Дорозвідується"))</f>
        <v/>
      </c>
    </row>
    <row r="70">
      <c r="A70" s="273">
        <f>IF(A69="","",IF(A69+1&gt;MAX('Таблиця 1'!$B:$B),"",A69+1))</f>
        <v/>
      </c>
      <c r="B70">
        <f>IF($A70="","",COUNTIFS('Таблиця 1'!$B:$B,$A70,'Таблиця 1'!$I:$I,"Mirage")+COUNTIFS('Таблиця 1'!$B:$B,$A70,'Таблиця 1'!$I:$I,"F-16")+COUNTIFS('Таблиця 1'!$B:$B,$A70,'Таблиця 1'!$I:$I,"МіГ-29")+COUNTIFS('Таблиця 1'!$B:$B,$A70,'Таблиця 1'!$I:$I,"Су-25")+COUNTIFS('Таблиця 1'!$B:$B,$A70,'Таблиця 1'!$I:$I,"Су-27"))</f>
        <v/>
      </c>
      <c r="C70">
        <f>IF($A70="","",COUNTIFS('Таблиця 1'!$B:$B,$A70,'Таблиця 1'!$I:$I,"Mirage"))</f>
        <v/>
      </c>
      <c r="D70">
        <f>IF($A70="","",COUNTIFS('Таблиця 1'!$B:$B,$A70,'Таблиця 1'!$I:$I,"F-16"))</f>
        <v/>
      </c>
      <c r="E70">
        <f>IF($A70="","",COUNTIFS('Таблиця 1'!$B:$B,$A70,'Таблиця 1'!$I:$I,"МіГ-29"))</f>
        <v/>
      </c>
      <c r="F70">
        <f>IF($A70="","",COUNTIFS('Таблиця 1'!$B:$B,$A70,'Таблиця 1'!$I:$I,"Су-25"))</f>
        <v/>
      </c>
      <c r="G70">
        <f>IF($A70="","",COUNTIFS('Таблиця 1'!$B:$B,$A70,'Таблиця 1'!$I:$I,"Су-27"))</f>
        <v/>
      </c>
      <c r="H70">
        <f>IF($A70="","",SUMIFS('Таблиця 1'!$K:$K,'Таблиця 1'!$B:$B,$A70,'Таблиця 1'!$I:$I,"Mirage",'Таблиця 1'!$J:$J,"AGM-88")+SUMIFS('Таблиця 1'!$K:$K,'Таблиця 1'!$B:$B,$A70,'Таблиця 1'!$I:$I,"F-16",'Таблиця 1'!$J:$J,"AGM-88")+SUMIFS('Таблиця 1'!$K:$K,'Таблиця 1'!$B:$B,$A70,'Таблиця 1'!$I:$I,"МіГ-29",'Таблиця 1'!$J:$J,"AGM-88")+SUMIFS('Таблиця 1'!$K:$K,'Таблиця 1'!$B:$B,$A70,'Таблиця 1'!$I:$I,"Су-25",'Таблиця 1'!$J:$J,"AGM-88")+SUMIFS('Таблиця 1'!$K:$K,'Таблиця 1'!$B:$B,$A70,'Таблиця 1'!$I:$I,"Су-27",'Таблиця 1'!$J:$J,"AGM-88"))</f>
        <v/>
      </c>
      <c r="I70">
        <f>IF($A70="","",SUMIFS('Таблиця 1'!$K:$K,'Таблиця 1'!$B:$B,$A70,'Таблиця 1'!$I:$I,"Mirage",'Таблиця 1'!$J:$J,"AASM-250")+SUMIFS('Таблиця 1'!$K:$K,'Таблиця 1'!$B:$B,$A70,'Таблиця 1'!$I:$I,"F-16",'Таблиця 1'!$J:$J,"AASM-250")+SUMIFS('Таблиця 1'!$K:$K,'Таблиця 1'!$B:$B,$A70,'Таблиця 1'!$I:$I,"МіГ-29",'Таблиця 1'!$J:$J,"AASM-250")+SUMIFS('Таблиця 1'!$K:$K,'Таблиця 1'!$B:$B,$A70,'Таблиця 1'!$I:$I,"Су-25",'Таблиця 1'!$J:$J,"AASM-250")+SUMIFS('Таблиця 1'!$K:$K,'Таблиця 1'!$B:$B,$A70,'Таблиця 1'!$I:$I,"Су-27",'Таблиця 1'!$J:$J,"AASM-250"))</f>
        <v/>
      </c>
      <c r="J70">
        <f>IF($A70="","",SUMIFS('Таблиця 1'!$K:$K,'Таблиця 1'!$B:$B,$A70,'Таблиця 1'!$I:$I,"Mirage",'Таблиця 1'!$J:$J,"GBU-39")+SUMIFS('Таблиця 1'!$K:$K,'Таблиця 1'!$B:$B,$A70,'Таблиця 1'!$I:$I,"F-16",'Таблиця 1'!$J:$J,"GBU-39")+SUMIFS('Таблиця 1'!$K:$K,'Таблиця 1'!$B:$B,$A70,'Таблиця 1'!$I:$I,"МіГ-29",'Таблиця 1'!$J:$J,"GBU-39")+SUMIFS('Таблиця 1'!$K:$K,'Таблиця 1'!$B:$B,$A70,'Таблиця 1'!$I:$I,"Су-25",'Таблиця 1'!$J:$J,"GBU-39")+SUMIFS('Таблиця 1'!$K:$K,'Таблиця 1'!$B:$B,$A70,'Таблиця 1'!$I:$I,"Су-27",'Таблиця 1'!$J:$J,"GBU-39"))</f>
        <v/>
      </c>
      <c r="K70">
        <f>IF($A70="","",SUMIFS('Таблиця 1'!$K:$K,'Таблиця 1'!$B:$B,$A70,'Таблиця 1'!$I:$I,"Mirage",'Таблиця 1'!$J:$J,"BLU-140")+SUMIFS('Таблиця 1'!$K:$K,'Таблиця 1'!$B:$B,$A70,'Таблиця 1'!$I:$I,"F-16",'Таблиця 1'!$J:$J,"BLU-140")+SUMIFS('Таблиця 1'!$K:$K,'Таблиця 1'!$B:$B,$A70,'Таблиця 1'!$I:$I,"МіГ-29",'Таблиця 1'!$J:$J,"BLU-140")+SUMIFS('Таблиця 1'!$K:$K,'Таблиця 1'!$B:$B,$A70,'Таблиця 1'!$I:$I,"Су-25",'Таблиця 1'!$J:$J,"BLU-140")+SUMIFS('Таблиця 1'!$K:$K,'Таблиця 1'!$B:$B,$A70,'Таблиця 1'!$I:$I,"Су-27",'Таблиця 1'!$J:$J,"BLU-140"))</f>
        <v/>
      </c>
      <c r="L70">
        <f>IF($A70="","",SUMIFS('Таблиця 1'!$K:$K,'Таблиця 1'!$B:$B,$A70,'Таблиця 1'!$I:$I,"Mirage",'Таблиця 1'!$J:$J,"GBU-65")+SUMIFS('Таблиця 1'!$K:$K,'Таблиця 1'!$B:$B,$A70,'Таблиця 1'!$I:$I,"F-16",'Таблиця 1'!$J:$J,"GBU-65")+SUMIFS('Таблиця 1'!$K:$K,'Таблиця 1'!$B:$B,$A70,'Таблиця 1'!$I:$I,"МіГ-29",'Таблиця 1'!$J:$J,"GBU-65")+SUMIFS('Таблиця 1'!$K:$K,'Таблиця 1'!$B:$B,$A70,'Таблиця 1'!$I:$I,"Су-25",'Таблиця 1'!$J:$J,"GBU-65")+SUMIFS('Таблиця 1'!$K:$K,'Таблиця 1'!$B:$B,$A70,'Таблиця 1'!$I:$I,"Су-27",'Таблиця 1'!$J:$J,"GBU-65"))</f>
        <v/>
      </c>
      <c r="M70">
        <f>IF($A70="","",SUMIFS('Таблиця 1'!$K:$K,'Таблиця 1'!$B:$B,$A70,'Таблиця 1'!$I:$I,"Mirage",'Таблиця 1'!$J:$J,"GBU-62")+SUMIFS('Таблиця 1'!$K:$K,'Таблиця 1'!$B:$B,$A70,'Таблиця 1'!$I:$I,"F-16",'Таблиця 1'!$J:$J,"GBU-62")+SUMIFS('Таблиця 1'!$K:$K,'Таблиця 1'!$B:$B,$A70,'Таблиця 1'!$I:$I,"МіГ-29",'Таблиця 1'!$J:$J,"GBU-62")+SUMIFS('Таблиця 1'!$K:$K,'Таблиця 1'!$B:$B,$A70,'Таблиця 1'!$I:$I,"Су-25",'Таблиця 1'!$J:$J,"GBU-62")+SUMIFS('Таблиця 1'!$K:$K,'Таблиця 1'!$B:$B,$A70,'Таблиця 1'!$I:$I,"Су-27",'Таблиця 1'!$J:$J,"GBU-62"))</f>
        <v/>
      </c>
      <c r="N70">
        <f>IF($A70="","",SUMIFS('Таблиця 1'!$K:$K,'Таблиця 1'!$B:$B,$A70,'Таблиця 1'!$I:$I,"Mirage",'Таблиця 1'!$J:$J,"GBU-64")+SUMIFS('Таблиця 1'!$K:$K,'Таблиця 1'!$B:$B,$A70,'Таблиця 1'!$I:$I,"F-16",'Таблиця 1'!$J:$J,"GBU-64")+SUMIFS('Таблиця 1'!$K:$K,'Таблиця 1'!$B:$B,$A70,'Таблиця 1'!$I:$I,"МіГ-29",'Таблиця 1'!$J:$J,"GBU-64")+SUMIFS('Таблиця 1'!$K:$K,'Таблиця 1'!$B:$B,$A70,'Таблиця 1'!$I:$I,"Су-25",'Таблиця 1'!$J:$J,"GBU-64")+SUMIFS('Таблиця 1'!$K:$K,'Таблиця 1'!$B:$B,$A70,'Таблиця 1'!$I:$I,"Су-27",'Таблиця 1'!$J:$J,"GBU-64"))</f>
        <v/>
      </c>
      <c r="O70">
        <f>IF($A70="","",SUMIFS('Таблиця 1'!$K:$K,'Таблиця 1'!$B:$B,$A70,'Таблиця 1'!$I:$I,"Mirage",'Таблиця 1'!$J:$J,"C-13")+SUMIFS('Таблиця 1'!$K:$K,'Таблиця 1'!$B:$B,$A70,'Таблиця 1'!$I:$I,"F-16",'Таблиця 1'!$J:$J,"C-13")+SUMIFS('Таблиця 1'!$K:$K,'Таблиця 1'!$B:$B,$A70,'Таблиця 1'!$I:$I,"МіГ-29",'Таблиця 1'!$J:$J,"C-13")+SUMIFS('Таблиця 1'!$K:$K,'Таблиця 1'!$B:$B,$A70,'Таблиця 1'!$I:$I,"Су-25",'Таблиця 1'!$J:$J,"C-13")+SUMIFS('Таблиця 1'!$K:$K,'Таблиця 1'!$B:$B,$A70,'Таблиця 1'!$I:$I,"Су-27",'Таблиця 1'!$J:$J,"C-13"))</f>
        <v/>
      </c>
      <c r="P70">
        <f>IF($A70="","",SUMIFS('Таблиця 1'!$K:$K,'Таблиця 1'!$B:$B,$A70,'Таблиця 1'!$I:$I,"Mirage",'Таблиця 1'!$J:$J,"MK-32")+SUMIFS('Таблиця 1'!$K:$K,'Таблиця 1'!$B:$B,$A70,'Таблиця 1'!$I:$I,"F-16",'Таблиця 1'!$J:$J,"MK-32")+SUMIFS('Таблиця 1'!$K:$K,'Таблиця 1'!$B:$B,$A70,'Таблиця 1'!$I:$I,"МіГ-29",'Таблиця 1'!$J:$J,"MK-32")+SUMIFS('Таблиця 1'!$K:$K,'Таблиця 1'!$B:$B,$A70,'Таблиця 1'!$I:$I,"Су-25",'Таблиця 1'!$J:$J,"MK-32")+SUMIFS('Таблиця 1'!$K:$K,'Таблиця 1'!$B:$B,$A70,'Таблиця 1'!$I:$I,"Су-27",'Таблиця 1'!$J:$J,"MK-32"))</f>
        <v/>
      </c>
      <c r="Q70">
        <f>IF($A70="","",SUMIFS('Таблиця 1'!$K:$K,'Таблиця 1'!$B:$B,$A70,'Таблиця 1'!$I:$I,"Mirage",'Таблиця 1'!$J:$J,"MK-24")+SUMIFS('Таблиця 1'!$K:$K,'Таблиця 1'!$B:$B,$A70,'Таблиця 1'!$I:$I,"F-16",'Таблиця 1'!$J:$J,"MK-24")+SUMIFS('Таблиця 1'!$K:$K,'Таблиця 1'!$B:$B,$A70,'Таблиця 1'!$I:$I,"МіГ-29",'Таблиця 1'!$J:$J,"MK-24")+SUMIFS('Таблиця 1'!$K:$K,'Таблиця 1'!$B:$B,$A70,'Таблиця 1'!$I:$I,"Су-25",'Таблиця 1'!$J:$J,"MK-24")+SUMIFS('Таблиця 1'!$K:$K,'Таблиця 1'!$B:$B,$A70,'Таблиця 1'!$I:$I,"Су-27",'Таблиця 1'!$J:$J,"MK-24"))</f>
        <v/>
      </c>
      <c r="R70">
        <f>IF($A70="","",COUNTIFS('Таблиця 1'!$B:$B,$A70,'Таблиця 1'!$I:$I,"Mirage",'Таблиця 1'!$L:$L,"Уражено")+COUNTIFS('Таблиця 1'!$B:$B,$A70,'Таблиця 1'!$I:$I,"F-16",'Таблиця 1'!$L:$L,"Уражено")+COUNTIFS('Таблиця 1'!$B:$B,$A70,'Таблиця 1'!$I:$I,"МіГ-29",'Таблиця 1'!$L:$L,"Уражено")+COUNTIFS('Таблиця 1'!$B:$B,$A70,'Таблиця 1'!$I:$I,"Су-25",'Таблиця 1'!$L:$L,"Уражено")+COUNTIFS('Таблиця 1'!$B:$B,$A70,'Таблиця 1'!$I:$I,"Су-27",'Таблиця 1'!$L:$L,"Уражено"))</f>
        <v/>
      </c>
      <c r="S70">
        <f>IF($A70="","",COUNTIFS('Таблиця 1'!$B:$B,$A70,'Таблиця 1'!$I:$I,"Mirage",'Таблиця 1'!$L:$L,"НЕ уражено")+COUNTIFS('Таблиця 1'!$B:$B,$A70,'Таблиця 1'!$I:$I,"F-16",'Таблиця 1'!$L:$L,"НЕ уражено")+COUNTIFS('Таблиця 1'!$B:$B,$A70,'Таблиця 1'!$I:$I,"МіГ-29",'Таблиця 1'!$L:$L,"НЕ уражено")+COUNTIFS('Таблиця 1'!$B:$B,$A70,'Таблиця 1'!$I:$I,"Су-25",'Таблиця 1'!$L:$L,"НЕ уражено")+COUNTIFS('Таблиця 1'!$B:$B,$A70,'Таблиця 1'!$I:$I,"Су-27",'Таблиця 1'!$L:$L,"НЕ уражено"))</f>
        <v/>
      </c>
      <c r="T70">
        <f>IF($A70="","",COUNTIFS('Таблиця 1'!$B:$B,$A70,'Таблиця 1'!$I:$I,"Mirage",'Таблиця 1'!$L:$L,"Дорозвідується")+COUNTIFS('Таблиця 1'!$B:$B,$A70,'Таблиця 1'!$I:$I,"F-16",'Таблиця 1'!$L:$L,"Дорозвідується")+COUNTIFS('Таблиця 1'!$B:$B,$A70,'Таблиця 1'!$I:$I,"МіГ-29",'Таблиця 1'!$L:$L,"Дорозвідується")+COUNTIFS('Таблиця 1'!$B:$B,$A70,'Таблиця 1'!$I:$I,"Су-25",'Таблиця 1'!$L:$L,"Дорозвідується")+COUNTIFS('Таблиця 1'!$B:$B,$A70,'Таблиця 1'!$I:$I,"Су-27",'Таблиця 1'!$L:$L,"Дорозвідується"))</f>
        <v/>
      </c>
    </row>
    <row r="71">
      <c r="A71" s="273">
        <f>IF(A70="","",IF(A70+1&gt;MAX('Таблиця 1'!$B:$B),"",A70+1))</f>
        <v/>
      </c>
      <c r="B71">
        <f>IF($A71="","",COUNTIFS('Таблиця 1'!$B:$B,$A71,'Таблиця 1'!$I:$I,"Mirage")+COUNTIFS('Таблиця 1'!$B:$B,$A71,'Таблиця 1'!$I:$I,"F-16")+COUNTIFS('Таблиця 1'!$B:$B,$A71,'Таблиця 1'!$I:$I,"МіГ-29")+COUNTIFS('Таблиця 1'!$B:$B,$A71,'Таблиця 1'!$I:$I,"Су-25")+COUNTIFS('Таблиця 1'!$B:$B,$A71,'Таблиця 1'!$I:$I,"Су-27"))</f>
        <v/>
      </c>
      <c r="C71">
        <f>IF($A71="","",COUNTIFS('Таблиця 1'!$B:$B,$A71,'Таблиця 1'!$I:$I,"Mirage"))</f>
        <v/>
      </c>
      <c r="D71">
        <f>IF($A71="","",COUNTIFS('Таблиця 1'!$B:$B,$A71,'Таблиця 1'!$I:$I,"F-16"))</f>
        <v/>
      </c>
      <c r="E71">
        <f>IF($A71="","",COUNTIFS('Таблиця 1'!$B:$B,$A71,'Таблиця 1'!$I:$I,"МіГ-29"))</f>
        <v/>
      </c>
      <c r="F71">
        <f>IF($A71="","",COUNTIFS('Таблиця 1'!$B:$B,$A71,'Таблиця 1'!$I:$I,"Су-25"))</f>
        <v/>
      </c>
      <c r="G71">
        <f>IF($A71="","",COUNTIFS('Таблиця 1'!$B:$B,$A71,'Таблиця 1'!$I:$I,"Су-27"))</f>
        <v/>
      </c>
      <c r="H71">
        <f>IF($A71="","",SUMIFS('Таблиця 1'!$K:$K,'Таблиця 1'!$B:$B,$A71,'Таблиця 1'!$I:$I,"Mirage",'Таблиця 1'!$J:$J,"AGM-88")+SUMIFS('Таблиця 1'!$K:$K,'Таблиця 1'!$B:$B,$A71,'Таблиця 1'!$I:$I,"F-16",'Таблиця 1'!$J:$J,"AGM-88")+SUMIFS('Таблиця 1'!$K:$K,'Таблиця 1'!$B:$B,$A71,'Таблиця 1'!$I:$I,"МіГ-29",'Таблиця 1'!$J:$J,"AGM-88")+SUMIFS('Таблиця 1'!$K:$K,'Таблиця 1'!$B:$B,$A71,'Таблиця 1'!$I:$I,"Су-25",'Таблиця 1'!$J:$J,"AGM-88")+SUMIFS('Таблиця 1'!$K:$K,'Таблиця 1'!$B:$B,$A71,'Таблиця 1'!$I:$I,"Су-27",'Таблиця 1'!$J:$J,"AGM-88"))</f>
        <v/>
      </c>
      <c r="I71">
        <f>IF($A71="","",SUMIFS('Таблиця 1'!$K:$K,'Таблиця 1'!$B:$B,$A71,'Таблиця 1'!$I:$I,"Mirage",'Таблиця 1'!$J:$J,"AASM-250")+SUMIFS('Таблиця 1'!$K:$K,'Таблиця 1'!$B:$B,$A71,'Таблиця 1'!$I:$I,"F-16",'Таблиця 1'!$J:$J,"AASM-250")+SUMIFS('Таблиця 1'!$K:$K,'Таблиця 1'!$B:$B,$A71,'Таблиця 1'!$I:$I,"МіГ-29",'Таблиця 1'!$J:$J,"AASM-250")+SUMIFS('Таблиця 1'!$K:$K,'Таблиця 1'!$B:$B,$A71,'Таблиця 1'!$I:$I,"Су-25",'Таблиця 1'!$J:$J,"AASM-250")+SUMIFS('Таблиця 1'!$K:$K,'Таблиця 1'!$B:$B,$A71,'Таблиця 1'!$I:$I,"Су-27",'Таблиця 1'!$J:$J,"AASM-250"))</f>
        <v/>
      </c>
      <c r="J71">
        <f>IF($A71="","",SUMIFS('Таблиця 1'!$K:$K,'Таблиця 1'!$B:$B,$A71,'Таблиця 1'!$I:$I,"Mirage",'Таблиця 1'!$J:$J,"GBU-39")+SUMIFS('Таблиця 1'!$K:$K,'Таблиця 1'!$B:$B,$A71,'Таблиця 1'!$I:$I,"F-16",'Таблиця 1'!$J:$J,"GBU-39")+SUMIFS('Таблиця 1'!$K:$K,'Таблиця 1'!$B:$B,$A71,'Таблиця 1'!$I:$I,"МіГ-29",'Таблиця 1'!$J:$J,"GBU-39")+SUMIFS('Таблиця 1'!$K:$K,'Таблиця 1'!$B:$B,$A71,'Таблиця 1'!$I:$I,"Су-25",'Таблиця 1'!$J:$J,"GBU-39")+SUMIFS('Таблиця 1'!$K:$K,'Таблиця 1'!$B:$B,$A71,'Таблиця 1'!$I:$I,"Су-27",'Таблиця 1'!$J:$J,"GBU-39"))</f>
        <v/>
      </c>
      <c r="K71">
        <f>IF($A71="","",SUMIFS('Таблиця 1'!$K:$K,'Таблиця 1'!$B:$B,$A71,'Таблиця 1'!$I:$I,"Mirage",'Таблиця 1'!$J:$J,"BLU-140")+SUMIFS('Таблиця 1'!$K:$K,'Таблиця 1'!$B:$B,$A71,'Таблиця 1'!$I:$I,"F-16",'Таблиця 1'!$J:$J,"BLU-140")+SUMIFS('Таблиця 1'!$K:$K,'Таблиця 1'!$B:$B,$A71,'Таблиця 1'!$I:$I,"МіГ-29",'Таблиця 1'!$J:$J,"BLU-140")+SUMIFS('Таблиця 1'!$K:$K,'Таблиця 1'!$B:$B,$A71,'Таблиця 1'!$I:$I,"Су-25",'Таблиця 1'!$J:$J,"BLU-140")+SUMIFS('Таблиця 1'!$K:$K,'Таблиця 1'!$B:$B,$A71,'Таблиця 1'!$I:$I,"Су-27",'Таблиця 1'!$J:$J,"BLU-140"))</f>
        <v/>
      </c>
      <c r="L71">
        <f>IF($A71="","",SUMIFS('Таблиця 1'!$K:$K,'Таблиця 1'!$B:$B,$A71,'Таблиця 1'!$I:$I,"Mirage",'Таблиця 1'!$J:$J,"GBU-65")+SUMIFS('Таблиця 1'!$K:$K,'Таблиця 1'!$B:$B,$A71,'Таблиця 1'!$I:$I,"F-16",'Таблиця 1'!$J:$J,"GBU-65")+SUMIFS('Таблиця 1'!$K:$K,'Таблиця 1'!$B:$B,$A71,'Таблиця 1'!$I:$I,"МіГ-29",'Таблиця 1'!$J:$J,"GBU-65")+SUMIFS('Таблиця 1'!$K:$K,'Таблиця 1'!$B:$B,$A71,'Таблиця 1'!$I:$I,"Су-25",'Таблиця 1'!$J:$J,"GBU-65")+SUMIFS('Таблиця 1'!$K:$K,'Таблиця 1'!$B:$B,$A71,'Таблиця 1'!$I:$I,"Су-27",'Таблиця 1'!$J:$J,"GBU-65"))</f>
        <v/>
      </c>
      <c r="M71">
        <f>IF($A71="","",SUMIFS('Таблиця 1'!$K:$K,'Таблиця 1'!$B:$B,$A71,'Таблиця 1'!$I:$I,"Mirage",'Таблиця 1'!$J:$J,"GBU-62")+SUMIFS('Таблиця 1'!$K:$K,'Таблиця 1'!$B:$B,$A71,'Таблиця 1'!$I:$I,"F-16",'Таблиця 1'!$J:$J,"GBU-62")+SUMIFS('Таблиця 1'!$K:$K,'Таблиця 1'!$B:$B,$A71,'Таблиця 1'!$I:$I,"МіГ-29",'Таблиця 1'!$J:$J,"GBU-62")+SUMIFS('Таблиця 1'!$K:$K,'Таблиця 1'!$B:$B,$A71,'Таблиця 1'!$I:$I,"Су-25",'Таблиця 1'!$J:$J,"GBU-62")+SUMIFS('Таблиця 1'!$K:$K,'Таблиця 1'!$B:$B,$A71,'Таблиця 1'!$I:$I,"Су-27",'Таблиця 1'!$J:$J,"GBU-62"))</f>
        <v/>
      </c>
      <c r="N71">
        <f>IF($A71="","",SUMIFS('Таблиця 1'!$K:$K,'Таблиця 1'!$B:$B,$A71,'Таблиця 1'!$I:$I,"Mirage",'Таблиця 1'!$J:$J,"GBU-64")+SUMIFS('Таблиця 1'!$K:$K,'Таблиця 1'!$B:$B,$A71,'Таблиця 1'!$I:$I,"F-16",'Таблиця 1'!$J:$J,"GBU-64")+SUMIFS('Таблиця 1'!$K:$K,'Таблиця 1'!$B:$B,$A71,'Таблиця 1'!$I:$I,"МіГ-29",'Таблиця 1'!$J:$J,"GBU-64")+SUMIFS('Таблиця 1'!$K:$K,'Таблиця 1'!$B:$B,$A71,'Таблиця 1'!$I:$I,"Су-25",'Таблиця 1'!$J:$J,"GBU-64")+SUMIFS('Таблиця 1'!$K:$K,'Таблиця 1'!$B:$B,$A71,'Таблиця 1'!$I:$I,"Су-27",'Таблиця 1'!$J:$J,"GBU-64"))</f>
        <v/>
      </c>
      <c r="O71">
        <f>IF($A71="","",SUMIFS('Таблиця 1'!$K:$K,'Таблиця 1'!$B:$B,$A71,'Таблиця 1'!$I:$I,"Mirage",'Таблиця 1'!$J:$J,"C-13")+SUMIFS('Таблиця 1'!$K:$K,'Таблиця 1'!$B:$B,$A71,'Таблиця 1'!$I:$I,"F-16",'Таблиця 1'!$J:$J,"C-13")+SUMIFS('Таблиця 1'!$K:$K,'Таблиця 1'!$B:$B,$A71,'Таблиця 1'!$I:$I,"МіГ-29",'Таблиця 1'!$J:$J,"C-13")+SUMIFS('Таблиця 1'!$K:$K,'Таблиця 1'!$B:$B,$A71,'Таблиця 1'!$I:$I,"Су-25",'Таблиця 1'!$J:$J,"C-13")+SUMIFS('Таблиця 1'!$K:$K,'Таблиця 1'!$B:$B,$A71,'Таблиця 1'!$I:$I,"Су-27",'Таблиця 1'!$J:$J,"C-13"))</f>
        <v/>
      </c>
      <c r="P71">
        <f>IF($A71="","",SUMIFS('Таблиця 1'!$K:$K,'Таблиця 1'!$B:$B,$A71,'Таблиця 1'!$I:$I,"Mirage",'Таблиця 1'!$J:$J,"MK-32")+SUMIFS('Таблиця 1'!$K:$K,'Таблиця 1'!$B:$B,$A71,'Таблиця 1'!$I:$I,"F-16",'Таблиця 1'!$J:$J,"MK-32")+SUMIFS('Таблиця 1'!$K:$K,'Таблиця 1'!$B:$B,$A71,'Таблиця 1'!$I:$I,"МіГ-29",'Таблиця 1'!$J:$J,"MK-32")+SUMIFS('Таблиця 1'!$K:$K,'Таблиця 1'!$B:$B,$A71,'Таблиця 1'!$I:$I,"Су-25",'Таблиця 1'!$J:$J,"MK-32")+SUMIFS('Таблиця 1'!$K:$K,'Таблиця 1'!$B:$B,$A71,'Таблиця 1'!$I:$I,"Су-27",'Таблиця 1'!$J:$J,"MK-32"))</f>
        <v/>
      </c>
      <c r="Q71">
        <f>IF($A71="","",SUMIFS('Таблиця 1'!$K:$K,'Таблиця 1'!$B:$B,$A71,'Таблиця 1'!$I:$I,"Mirage",'Таблиця 1'!$J:$J,"MK-24")+SUMIFS('Таблиця 1'!$K:$K,'Таблиця 1'!$B:$B,$A71,'Таблиця 1'!$I:$I,"F-16",'Таблиця 1'!$J:$J,"MK-24")+SUMIFS('Таблиця 1'!$K:$K,'Таблиця 1'!$B:$B,$A71,'Таблиця 1'!$I:$I,"МіГ-29",'Таблиця 1'!$J:$J,"MK-24")+SUMIFS('Таблиця 1'!$K:$K,'Таблиця 1'!$B:$B,$A71,'Таблиця 1'!$I:$I,"Су-25",'Таблиця 1'!$J:$J,"MK-24")+SUMIFS('Таблиця 1'!$K:$K,'Таблиця 1'!$B:$B,$A71,'Таблиця 1'!$I:$I,"Су-27",'Таблиця 1'!$J:$J,"MK-24"))</f>
        <v/>
      </c>
      <c r="R71">
        <f>IF($A71="","",COUNTIFS('Таблиця 1'!$B:$B,$A71,'Таблиця 1'!$I:$I,"Mirage",'Таблиця 1'!$L:$L,"Уражено")+COUNTIFS('Таблиця 1'!$B:$B,$A71,'Таблиця 1'!$I:$I,"F-16",'Таблиця 1'!$L:$L,"Уражено")+COUNTIFS('Таблиця 1'!$B:$B,$A71,'Таблиця 1'!$I:$I,"МіГ-29",'Таблиця 1'!$L:$L,"Уражено")+COUNTIFS('Таблиця 1'!$B:$B,$A71,'Таблиця 1'!$I:$I,"Су-25",'Таблиця 1'!$L:$L,"Уражено")+COUNTIFS('Таблиця 1'!$B:$B,$A71,'Таблиця 1'!$I:$I,"Су-27",'Таблиця 1'!$L:$L,"Уражено"))</f>
        <v/>
      </c>
      <c r="S71">
        <f>IF($A71="","",COUNTIFS('Таблиця 1'!$B:$B,$A71,'Таблиця 1'!$I:$I,"Mirage",'Таблиця 1'!$L:$L,"НЕ уражено")+COUNTIFS('Таблиця 1'!$B:$B,$A71,'Таблиця 1'!$I:$I,"F-16",'Таблиця 1'!$L:$L,"НЕ уражено")+COUNTIFS('Таблиця 1'!$B:$B,$A71,'Таблиця 1'!$I:$I,"МіГ-29",'Таблиця 1'!$L:$L,"НЕ уражено")+COUNTIFS('Таблиця 1'!$B:$B,$A71,'Таблиця 1'!$I:$I,"Су-25",'Таблиця 1'!$L:$L,"НЕ уражено")+COUNTIFS('Таблиця 1'!$B:$B,$A71,'Таблиця 1'!$I:$I,"Су-27",'Таблиця 1'!$L:$L,"НЕ уражено"))</f>
        <v/>
      </c>
      <c r="T71">
        <f>IF($A71="","",COUNTIFS('Таблиця 1'!$B:$B,$A71,'Таблиця 1'!$I:$I,"Mirage",'Таблиця 1'!$L:$L,"Дорозвідується")+COUNTIFS('Таблиця 1'!$B:$B,$A71,'Таблиця 1'!$I:$I,"F-16",'Таблиця 1'!$L:$L,"Дорозвідується")+COUNTIFS('Таблиця 1'!$B:$B,$A71,'Таблиця 1'!$I:$I,"МіГ-29",'Таблиця 1'!$L:$L,"Дорозвідується")+COUNTIFS('Таблиця 1'!$B:$B,$A71,'Таблиця 1'!$I:$I,"Су-25",'Таблиця 1'!$L:$L,"Дорозвідується")+COUNTIFS('Таблиця 1'!$B:$B,$A71,'Таблиця 1'!$I:$I,"Су-27",'Таблиця 1'!$L:$L,"Дорозвідується"))</f>
        <v/>
      </c>
    </row>
    <row r="72">
      <c r="A72" s="273">
        <f>IF(A71="","",IF(A71+1&gt;MAX('Таблиця 1'!$B:$B),"",A71+1))</f>
        <v/>
      </c>
      <c r="B72">
        <f>IF($A72="","",COUNTIFS('Таблиця 1'!$B:$B,$A72,'Таблиця 1'!$I:$I,"Mirage")+COUNTIFS('Таблиця 1'!$B:$B,$A72,'Таблиця 1'!$I:$I,"F-16")+COUNTIFS('Таблиця 1'!$B:$B,$A72,'Таблиця 1'!$I:$I,"МіГ-29")+COUNTIFS('Таблиця 1'!$B:$B,$A72,'Таблиця 1'!$I:$I,"Су-25")+COUNTIFS('Таблиця 1'!$B:$B,$A72,'Таблиця 1'!$I:$I,"Су-27"))</f>
        <v/>
      </c>
      <c r="C72">
        <f>IF($A72="","",COUNTIFS('Таблиця 1'!$B:$B,$A72,'Таблиця 1'!$I:$I,"Mirage"))</f>
        <v/>
      </c>
      <c r="D72">
        <f>IF($A72="","",COUNTIFS('Таблиця 1'!$B:$B,$A72,'Таблиця 1'!$I:$I,"F-16"))</f>
        <v/>
      </c>
      <c r="E72">
        <f>IF($A72="","",COUNTIFS('Таблиця 1'!$B:$B,$A72,'Таблиця 1'!$I:$I,"МіГ-29"))</f>
        <v/>
      </c>
      <c r="F72">
        <f>IF($A72="","",COUNTIFS('Таблиця 1'!$B:$B,$A72,'Таблиця 1'!$I:$I,"Су-25"))</f>
        <v/>
      </c>
      <c r="G72">
        <f>IF($A72="","",COUNTIFS('Таблиця 1'!$B:$B,$A72,'Таблиця 1'!$I:$I,"Су-27"))</f>
        <v/>
      </c>
      <c r="H72">
        <f>IF($A72="","",SUMIFS('Таблиця 1'!$K:$K,'Таблиця 1'!$B:$B,$A72,'Таблиця 1'!$I:$I,"Mirage",'Таблиця 1'!$J:$J,"AGM-88")+SUMIFS('Таблиця 1'!$K:$K,'Таблиця 1'!$B:$B,$A72,'Таблиця 1'!$I:$I,"F-16",'Таблиця 1'!$J:$J,"AGM-88")+SUMIFS('Таблиця 1'!$K:$K,'Таблиця 1'!$B:$B,$A72,'Таблиця 1'!$I:$I,"МіГ-29",'Таблиця 1'!$J:$J,"AGM-88")+SUMIFS('Таблиця 1'!$K:$K,'Таблиця 1'!$B:$B,$A72,'Таблиця 1'!$I:$I,"Су-25",'Таблиця 1'!$J:$J,"AGM-88")+SUMIFS('Таблиця 1'!$K:$K,'Таблиця 1'!$B:$B,$A72,'Таблиця 1'!$I:$I,"Су-27",'Таблиця 1'!$J:$J,"AGM-88"))</f>
        <v/>
      </c>
      <c r="I72">
        <f>IF($A72="","",SUMIFS('Таблиця 1'!$K:$K,'Таблиця 1'!$B:$B,$A72,'Таблиця 1'!$I:$I,"Mirage",'Таблиця 1'!$J:$J,"AASM-250")+SUMIFS('Таблиця 1'!$K:$K,'Таблиця 1'!$B:$B,$A72,'Таблиця 1'!$I:$I,"F-16",'Таблиця 1'!$J:$J,"AASM-250")+SUMIFS('Таблиця 1'!$K:$K,'Таблиця 1'!$B:$B,$A72,'Таблиця 1'!$I:$I,"МіГ-29",'Таблиця 1'!$J:$J,"AASM-250")+SUMIFS('Таблиця 1'!$K:$K,'Таблиця 1'!$B:$B,$A72,'Таблиця 1'!$I:$I,"Су-25",'Таблиця 1'!$J:$J,"AASM-250")+SUMIFS('Таблиця 1'!$K:$K,'Таблиця 1'!$B:$B,$A72,'Таблиця 1'!$I:$I,"Су-27",'Таблиця 1'!$J:$J,"AASM-250"))</f>
        <v/>
      </c>
      <c r="J72">
        <f>IF($A72="","",SUMIFS('Таблиця 1'!$K:$K,'Таблиця 1'!$B:$B,$A72,'Таблиця 1'!$I:$I,"Mirage",'Таблиця 1'!$J:$J,"GBU-39")+SUMIFS('Таблиця 1'!$K:$K,'Таблиця 1'!$B:$B,$A72,'Таблиця 1'!$I:$I,"F-16",'Таблиця 1'!$J:$J,"GBU-39")+SUMIFS('Таблиця 1'!$K:$K,'Таблиця 1'!$B:$B,$A72,'Таблиця 1'!$I:$I,"МіГ-29",'Таблиця 1'!$J:$J,"GBU-39")+SUMIFS('Таблиця 1'!$K:$K,'Таблиця 1'!$B:$B,$A72,'Таблиця 1'!$I:$I,"Су-25",'Таблиця 1'!$J:$J,"GBU-39")+SUMIFS('Таблиця 1'!$K:$K,'Таблиця 1'!$B:$B,$A72,'Таблиця 1'!$I:$I,"Су-27",'Таблиця 1'!$J:$J,"GBU-39"))</f>
        <v/>
      </c>
      <c r="K72">
        <f>IF($A72="","",SUMIFS('Таблиця 1'!$K:$K,'Таблиця 1'!$B:$B,$A72,'Таблиця 1'!$I:$I,"Mirage",'Таблиця 1'!$J:$J,"BLU-140")+SUMIFS('Таблиця 1'!$K:$K,'Таблиця 1'!$B:$B,$A72,'Таблиця 1'!$I:$I,"F-16",'Таблиця 1'!$J:$J,"BLU-140")+SUMIFS('Таблиця 1'!$K:$K,'Таблиця 1'!$B:$B,$A72,'Таблиця 1'!$I:$I,"МіГ-29",'Таблиця 1'!$J:$J,"BLU-140")+SUMIFS('Таблиця 1'!$K:$K,'Таблиця 1'!$B:$B,$A72,'Таблиця 1'!$I:$I,"Су-25",'Таблиця 1'!$J:$J,"BLU-140")+SUMIFS('Таблиця 1'!$K:$K,'Таблиця 1'!$B:$B,$A72,'Таблиця 1'!$I:$I,"Су-27",'Таблиця 1'!$J:$J,"BLU-140"))</f>
        <v/>
      </c>
      <c r="L72">
        <f>IF($A72="","",SUMIFS('Таблиця 1'!$K:$K,'Таблиця 1'!$B:$B,$A72,'Таблиця 1'!$I:$I,"Mirage",'Таблиця 1'!$J:$J,"GBU-65")+SUMIFS('Таблиця 1'!$K:$K,'Таблиця 1'!$B:$B,$A72,'Таблиця 1'!$I:$I,"F-16",'Таблиця 1'!$J:$J,"GBU-65")+SUMIFS('Таблиця 1'!$K:$K,'Таблиця 1'!$B:$B,$A72,'Таблиця 1'!$I:$I,"МіГ-29",'Таблиця 1'!$J:$J,"GBU-65")+SUMIFS('Таблиця 1'!$K:$K,'Таблиця 1'!$B:$B,$A72,'Таблиця 1'!$I:$I,"Су-25",'Таблиця 1'!$J:$J,"GBU-65")+SUMIFS('Таблиця 1'!$K:$K,'Таблиця 1'!$B:$B,$A72,'Таблиця 1'!$I:$I,"Су-27",'Таблиця 1'!$J:$J,"GBU-65"))</f>
        <v/>
      </c>
      <c r="M72">
        <f>IF($A72="","",SUMIFS('Таблиця 1'!$K:$K,'Таблиця 1'!$B:$B,$A72,'Таблиця 1'!$I:$I,"Mirage",'Таблиця 1'!$J:$J,"GBU-62")+SUMIFS('Таблиця 1'!$K:$K,'Таблиця 1'!$B:$B,$A72,'Таблиця 1'!$I:$I,"F-16",'Таблиця 1'!$J:$J,"GBU-62")+SUMIFS('Таблиця 1'!$K:$K,'Таблиця 1'!$B:$B,$A72,'Таблиця 1'!$I:$I,"МіГ-29",'Таблиця 1'!$J:$J,"GBU-62")+SUMIFS('Таблиця 1'!$K:$K,'Таблиця 1'!$B:$B,$A72,'Таблиця 1'!$I:$I,"Су-25",'Таблиця 1'!$J:$J,"GBU-62")+SUMIFS('Таблиця 1'!$K:$K,'Таблиця 1'!$B:$B,$A72,'Таблиця 1'!$I:$I,"Су-27",'Таблиця 1'!$J:$J,"GBU-62"))</f>
        <v/>
      </c>
      <c r="N72">
        <f>IF($A72="","",SUMIFS('Таблиця 1'!$K:$K,'Таблиця 1'!$B:$B,$A72,'Таблиця 1'!$I:$I,"Mirage",'Таблиця 1'!$J:$J,"GBU-64")+SUMIFS('Таблиця 1'!$K:$K,'Таблиця 1'!$B:$B,$A72,'Таблиця 1'!$I:$I,"F-16",'Таблиця 1'!$J:$J,"GBU-64")+SUMIFS('Таблиця 1'!$K:$K,'Таблиця 1'!$B:$B,$A72,'Таблиця 1'!$I:$I,"МіГ-29",'Таблиця 1'!$J:$J,"GBU-64")+SUMIFS('Таблиця 1'!$K:$K,'Таблиця 1'!$B:$B,$A72,'Таблиця 1'!$I:$I,"Су-25",'Таблиця 1'!$J:$J,"GBU-64")+SUMIFS('Таблиця 1'!$K:$K,'Таблиця 1'!$B:$B,$A72,'Таблиця 1'!$I:$I,"Су-27",'Таблиця 1'!$J:$J,"GBU-64"))</f>
        <v/>
      </c>
      <c r="O72">
        <f>IF($A72="","",SUMIFS('Таблиця 1'!$K:$K,'Таблиця 1'!$B:$B,$A72,'Таблиця 1'!$I:$I,"Mirage",'Таблиця 1'!$J:$J,"C-13")+SUMIFS('Таблиця 1'!$K:$K,'Таблиця 1'!$B:$B,$A72,'Таблиця 1'!$I:$I,"F-16",'Таблиця 1'!$J:$J,"C-13")+SUMIFS('Таблиця 1'!$K:$K,'Таблиця 1'!$B:$B,$A72,'Таблиця 1'!$I:$I,"МіГ-29",'Таблиця 1'!$J:$J,"C-13")+SUMIFS('Таблиця 1'!$K:$K,'Таблиця 1'!$B:$B,$A72,'Таблиця 1'!$I:$I,"Су-25",'Таблиця 1'!$J:$J,"C-13")+SUMIFS('Таблиця 1'!$K:$K,'Таблиця 1'!$B:$B,$A72,'Таблиця 1'!$I:$I,"Су-27",'Таблиця 1'!$J:$J,"C-13"))</f>
        <v/>
      </c>
      <c r="P72">
        <f>IF($A72="","",SUMIFS('Таблиця 1'!$K:$K,'Таблиця 1'!$B:$B,$A72,'Таблиця 1'!$I:$I,"Mirage",'Таблиця 1'!$J:$J,"MK-32")+SUMIFS('Таблиця 1'!$K:$K,'Таблиця 1'!$B:$B,$A72,'Таблиця 1'!$I:$I,"F-16",'Таблиця 1'!$J:$J,"MK-32")+SUMIFS('Таблиця 1'!$K:$K,'Таблиця 1'!$B:$B,$A72,'Таблиця 1'!$I:$I,"МіГ-29",'Таблиця 1'!$J:$J,"MK-32")+SUMIFS('Таблиця 1'!$K:$K,'Таблиця 1'!$B:$B,$A72,'Таблиця 1'!$I:$I,"Су-25",'Таблиця 1'!$J:$J,"MK-32")+SUMIFS('Таблиця 1'!$K:$K,'Таблиця 1'!$B:$B,$A72,'Таблиця 1'!$I:$I,"Су-27",'Таблиця 1'!$J:$J,"MK-32"))</f>
        <v/>
      </c>
      <c r="Q72">
        <f>IF($A72="","",SUMIFS('Таблиця 1'!$K:$K,'Таблиця 1'!$B:$B,$A72,'Таблиця 1'!$I:$I,"Mirage",'Таблиця 1'!$J:$J,"MK-24")+SUMIFS('Таблиця 1'!$K:$K,'Таблиця 1'!$B:$B,$A72,'Таблиця 1'!$I:$I,"F-16",'Таблиця 1'!$J:$J,"MK-24")+SUMIFS('Таблиця 1'!$K:$K,'Таблиця 1'!$B:$B,$A72,'Таблиця 1'!$I:$I,"МіГ-29",'Таблиця 1'!$J:$J,"MK-24")+SUMIFS('Таблиця 1'!$K:$K,'Таблиця 1'!$B:$B,$A72,'Таблиця 1'!$I:$I,"Су-25",'Таблиця 1'!$J:$J,"MK-24")+SUMIFS('Таблиця 1'!$K:$K,'Таблиця 1'!$B:$B,$A72,'Таблиця 1'!$I:$I,"Су-27",'Таблиця 1'!$J:$J,"MK-24"))</f>
        <v/>
      </c>
      <c r="R72">
        <f>IF($A72="","",COUNTIFS('Таблиця 1'!$B:$B,$A72,'Таблиця 1'!$I:$I,"Mirage",'Таблиця 1'!$L:$L,"Уражено")+COUNTIFS('Таблиця 1'!$B:$B,$A72,'Таблиця 1'!$I:$I,"F-16",'Таблиця 1'!$L:$L,"Уражено")+COUNTIFS('Таблиця 1'!$B:$B,$A72,'Таблиця 1'!$I:$I,"МіГ-29",'Таблиця 1'!$L:$L,"Уражено")+COUNTIFS('Таблиця 1'!$B:$B,$A72,'Таблиця 1'!$I:$I,"Су-25",'Таблиця 1'!$L:$L,"Уражено")+COUNTIFS('Таблиця 1'!$B:$B,$A72,'Таблиця 1'!$I:$I,"Су-27",'Таблиця 1'!$L:$L,"Уражено"))</f>
        <v/>
      </c>
      <c r="S72">
        <f>IF($A72="","",COUNTIFS('Таблиця 1'!$B:$B,$A72,'Таблиця 1'!$I:$I,"Mirage",'Таблиця 1'!$L:$L,"НЕ уражено")+COUNTIFS('Таблиця 1'!$B:$B,$A72,'Таблиця 1'!$I:$I,"F-16",'Таблиця 1'!$L:$L,"НЕ уражено")+COUNTIFS('Таблиця 1'!$B:$B,$A72,'Таблиця 1'!$I:$I,"МіГ-29",'Таблиця 1'!$L:$L,"НЕ уражено")+COUNTIFS('Таблиця 1'!$B:$B,$A72,'Таблиця 1'!$I:$I,"Су-25",'Таблиця 1'!$L:$L,"НЕ уражено")+COUNTIFS('Таблиця 1'!$B:$B,$A72,'Таблиця 1'!$I:$I,"Су-27",'Таблиця 1'!$L:$L,"НЕ уражено"))</f>
        <v/>
      </c>
      <c r="T72">
        <f>IF($A72="","",COUNTIFS('Таблиця 1'!$B:$B,$A72,'Таблиця 1'!$I:$I,"Mirage",'Таблиця 1'!$L:$L,"Дорозвідується")+COUNTIFS('Таблиця 1'!$B:$B,$A72,'Таблиця 1'!$I:$I,"F-16",'Таблиця 1'!$L:$L,"Дорозвідується")+COUNTIFS('Таблиця 1'!$B:$B,$A72,'Таблиця 1'!$I:$I,"МіГ-29",'Таблиця 1'!$L:$L,"Дорозвідується")+COUNTIFS('Таблиця 1'!$B:$B,$A72,'Таблиця 1'!$I:$I,"Су-25",'Таблиця 1'!$L:$L,"Дорозвідується")+COUNTIFS('Таблиця 1'!$B:$B,$A72,'Таблиця 1'!$I:$I,"Су-27",'Таблиця 1'!$L:$L,"Дорозвідується"))</f>
        <v/>
      </c>
    </row>
    <row r="73">
      <c r="A73" s="273">
        <f>IF(A72="","",IF(A72+1&gt;MAX('Таблиця 1'!$B:$B),"",A72+1))</f>
        <v/>
      </c>
      <c r="B73">
        <f>IF($A73="","",COUNTIFS('Таблиця 1'!$B:$B,$A73,'Таблиця 1'!$I:$I,"Mirage")+COUNTIFS('Таблиця 1'!$B:$B,$A73,'Таблиця 1'!$I:$I,"F-16")+COUNTIFS('Таблиця 1'!$B:$B,$A73,'Таблиця 1'!$I:$I,"МіГ-29")+COUNTIFS('Таблиця 1'!$B:$B,$A73,'Таблиця 1'!$I:$I,"Су-25")+COUNTIFS('Таблиця 1'!$B:$B,$A73,'Таблиця 1'!$I:$I,"Су-27"))</f>
        <v/>
      </c>
      <c r="C73">
        <f>IF($A73="","",COUNTIFS('Таблиця 1'!$B:$B,$A73,'Таблиця 1'!$I:$I,"Mirage"))</f>
        <v/>
      </c>
      <c r="D73">
        <f>IF($A73="","",COUNTIFS('Таблиця 1'!$B:$B,$A73,'Таблиця 1'!$I:$I,"F-16"))</f>
        <v/>
      </c>
      <c r="E73">
        <f>IF($A73="","",COUNTIFS('Таблиця 1'!$B:$B,$A73,'Таблиця 1'!$I:$I,"МіГ-29"))</f>
        <v/>
      </c>
      <c r="F73">
        <f>IF($A73="","",COUNTIFS('Таблиця 1'!$B:$B,$A73,'Таблиця 1'!$I:$I,"Су-25"))</f>
        <v/>
      </c>
      <c r="G73">
        <f>IF($A73="","",COUNTIFS('Таблиця 1'!$B:$B,$A73,'Таблиця 1'!$I:$I,"Су-27"))</f>
        <v/>
      </c>
      <c r="H73">
        <f>IF($A73="","",SUMIFS('Таблиця 1'!$K:$K,'Таблиця 1'!$B:$B,$A73,'Таблиця 1'!$I:$I,"Mirage",'Таблиця 1'!$J:$J,"AGM-88")+SUMIFS('Таблиця 1'!$K:$K,'Таблиця 1'!$B:$B,$A73,'Таблиця 1'!$I:$I,"F-16",'Таблиця 1'!$J:$J,"AGM-88")+SUMIFS('Таблиця 1'!$K:$K,'Таблиця 1'!$B:$B,$A73,'Таблиця 1'!$I:$I,"МіГ-29",'Таблиця 1'!$J:$J,"AGM-88")+SUMIFS('Таблиця 1'!$K:$K,'Таблиця 1'!$B:$B,$A73,'Таблиця 1'!$I:$I,"Су-25",'Таблиця 1'!$J:$J,"AGM-88")+SUMIFS('Таблиця 1'!$K:$K,'Таблиця 1'!$B:$B,$A73,'Таблиця 1'!$I:$I,"Су-27",'Таблиця 1'!$J:$J,"AGM-88"))</f>
        <v/>
      </c>
      <c r="I73">
        <f>IF($A73="","",SUMIFS('Таблиця 1'!$K:$K,'Таблиця 1'!$B:$B,$A73,'Таблиця 1'!$I:$I,"Mirage",'Таблиця 1'!$J:$J,"AASM-250")+SUMIFS('Таблиця 1'!$K:$K,'Таблиця 1'!$B:$B,$A73,'Таблиця 1'!$I:$I,"F-16",'Таблиця 1'!$J:$J,"AASM-250")+SUMIFS('Таблиця 1'!$K:$K,'Таблиця 1'!$B:$B,$A73,'Таблиця 1'!$I:$I,"МіГ-29",'Таблиця 1'!$J:$J,"AASM-250")+SUMIFS('Таблиця 1'!$K:$K,'Таблиця 1'!$B:$B,$A73,'Таблиця 1'!$I:$I,"Су-25",'Таблиця 1'!$J:$J,"AASM-250")+SUMIFS('Таблиця 1'!$K:$K,'Таблиця 1'!$B:$B,$A73,'Таблиця 1'!$I:$I,"Су-27",'Таблиця 1'!$J:$J,"AASM-250"))</f>
        <v/>
      </c>
      <c r="J73">
        <f>IF($A73="","",SUMIFS('Таблиця 1'!$K:$K,'Таблиця 1'!$B:$B,$A73,'Таблиця 1'!$I:$I,"Mirage",'Таблиця 1'!$J:$J,"GBU-39")+SUMIFS('Таблиця 1'!$K:$K,'Таблиця 1'!$B:$B,$A73,'Таблиця 1'!$I:$I,"F-16",'Таблиця 1'!$J:$J,"GBU-39")+SUMIFS('Таблиця 1'!$K:$K,'Таблиця 1'!$B:$B,$A73,'Таблиця 1'!$I:$I,"МіГ-29",'Таблиця 1'!$J:$J,"GBU-39")+SUMIFS('Таблиця 1'!$K:$K,'Таблиця 1'!$B:$B,$A73,'Таблиця 1'!$I:$I,"Су-25",'Таблиця 1'!$J:$J,"GBU-39")+SUMIFS('Таблиця 1'!$K:$K,'Таблиця 1'!$B:$B,$A73,'Таблиця 1'!$I:$I,"Су-27",'Таблиця 1'!$J:$J,"GBU-39"))</f>
        <v/>
      </c>
      <c r="K73">
        <f>IF($A73="","",SUMIFS('Таблиця 1'!$K:$K,'Таблиця 1'!$B:$B,$A73,'Таблиця 1'!$I:$I,"Mirage",'Таблиця 1'!$J:$J,"BLU-140")+SUMIFS('Таблиця 1'!$K:$K,'Таблиця 1'!$B:$B,$A73,'Таблиця 1'!$I:$I,"F-16",'Таблиця 1'!$J:$J,"BLU-140")+SUMIFS('Таблиця 1'!$K:$K,'Таблиця 1'!$B:$B,$A73,'Таблиця 1'!$I:$I,"МіГ-29",'Таблиця 1'!$J:$J,"BLU-140")+SUMIFS('Таблиця 1'!$K:$K,'Таблиця 1'!$B:$B,$A73,'Таблиця 1'!$I:$I,"Су-25",'Таблиця 1'!$J:$J,"BLU-140")+SUMIFS('Таблиця 1'!$K:$K,'Таблиця 1'!$B:$B,$A73,'Таблиця 1'!$I:$I,"Су-27",'Таблиця 1'!$J:$J,"BLU-140"))</f>
        <v/>
      </c>
      <c r="L73">
        <f>IF($A73="","",SUMIFS('Таблиця 1'!$K:$K,'Таблиця 1'!$B:$B,$A73,'Таблиця 1'!$I:$I,"Mirage",'Таблиця 1'!$J:$J,"GBU-65")+SUMIFS('Таблиця 1'!$K:$K,'Таблиця 1'!$B:$B,$A73,'Таблиця 1'!$I:$I,"F-16",'Таблиця 1'!$J:$J,"GBU-65")+SUMIFS('Таблиця 1'!$K:$K,'Таблиця 1'!$B:$B,$A73,'Таблиця 1'!$I:$I,"МіГ-29",'Таблиця 1'!$J:$J,"GBU-65")+SUMIFS('Таблиця 1'!$K:$K,'Таблиця 1'!$B:$B,$A73,'Таблиця 1'!$I:$I,"Су-25",'Таблиця 1'!$J:$J,"GBU-65")+SUMIFS('Таблиця 1'!$K:$K,'Таблиця 1'!$B:$B,$A73,'Таблиця 1'!$I:$I,"Су-27",'Таблиця 1'!$J:$J,"GBU-65"))</f>
        <v/>
      </c>
      <c r="M73">
        <f>IF($A73="","",SUMIFS('Таблиця 1'!$K:$K,'Таблиця 1'!$B:$B,$A73,'Таблиця 1'!$I:$I,"Mirage",'Таблиця 1'!$J:$J,"GBU-62")+SUMIFS('Таблиця 1'!$K:$K,'Таблиця 1'!$B:$B,$A73,'Таблиця 1'!$I:$I,"F-16",'Таблиця 1'!$J:$J,"GBU-62")+SUMIFS('Таблиця 1'!$K:$K,'Таблиця 1'!$B:$B,$A73,'Таблиця 1'!$I:$I,"МіГ-29",'Таблиця 1'!$J:$J,"GBU-62")+SUMIFS('Таблиця 1'!$K:$K,'Таблиця 1'!$B:$B,$A73,'Таблиця 1'!$I:$I,"Су-25",'Таблиця 1'!$J:$J,"GBU-62")+SUMIFS('Таблиця 1'!$K:$K,'Таблиця 1'!$B:$B,$A73,'Таблиця 1'!$I:$I,"Су-27",'Таблиця 1'!$J:$J,"GBU-62"))</f>
        <v/>
      </c>
      <c r="N73">
        <f>IF($A73="","",SUMIFS('Таблиця 1'!$K:$K,'Таблиця 1'!$B:$B,$A73,'Таблиця 1'!$I:$I,"Mirage",'Таблиця 1'!$J:$J,"GBU-64")+SUMIFS('Таблиця 1'!$K:$K,'Таблиця 1'!$B:$B,$A73,'Таблиця 1'!$I:$I,"F-16",'Таблиця 1'!$J:$J,"GBU-64")+SUMIFS('Таблиця 1'!$K:$K,'Таблиця 1'!$B:$B,$A73,'Таблиця 1'!$I:$I,"МіГ-29",'Таблиця 1'!$J:$J,"GBU-64")+SUMIFS('Таблиця 1'!$K:$K,'Таблиця 1'!$B:$B,$A73,'Таблиця 1'!$I:$I,"Су-25",'Таблиця 1'!$J:$J,"GBU-64")+SUMIFS('Таблиця 1'!$K:$K,'Таблиця 1'!$B:$B,$A73,'Таблиця 1'!$I:$I,"Су-27",'Таблиця 1'!$J:$J,"GBU-64"))</f>
        <v/>
      </c>
      <c r="O73">
        <f>IF($A73="","",SUMIFS('Таблиця 1'!$K:$K,'Таблиця 1'!$B:$B,$A73,'Таблиця 1'!$I:$I,"Mirage",'Таблиця 1'!$J:$J,"C-13")+SUMIFS('Таблиця 1'!$K:$K,'Таблиця 1'!$B:$B,$A73,'Таблиця 1'!$I:$I,"F-16",'Таблиця 1'!$J:$J,"C-13")+SUMIFS('Таблиця 1'!$K:$K,'Таблиця 1'!$B:$B,$A73,'Таблиця 1'!$I:$I,"МіГ-29",'Таблиця 1'!$J:$J,"C-13")+SUMIFS('Таблиця 1'!$K:$K,'Таблиця 1'!$B:$B,$A73,'Таблиця 1'!$I:$I,"Су-25",'Таблиця 1'!$J:$J,"C-13")+SUMIFS('Таблиця 1'!$K:$K,'Таблиця 1'!$B:$B,$A73,'Таблиця 1'!$I:$I,"Су-27",'Таблиця 1'!$J:$J,"C-13"))</f>
        <v/>
      </c>
      <c r="P73">
        <f>IF($A73="","",SUMIFS('Таблиця 1'!$K:$K,'Таблиця 1'!$B:$B,$A73,'Таблиця 1'!$I:$I,"Mirage",'Таблиця 1'!$J:$J,"MK-32")+SUMIFS('Таблиця 1'!$K:$K,'Таблиця 1'!$B:$B,$A73,'Таблиця 1'!$I:$I,"F-16",'Таблиця 1'!$J:$J,"MK-32")+SUMIFS('Таблиця 1'!$K:$K,'Таблиця 1'!$B:$B,$A73,'Таблиця 1'!$I:$I,"МіГ-29",'Таблиця 1'!$J:$J,"MK-32")+SUMIFS('Таблиця 1'!$K:$K,'Таблиця 1'!$B:$B,$A73,'Таблиця 1'!$I:$I,"Су-25",'Таблиця 1'!$J:$J,"MK-32")+SUMIFS('Таблиця 1'!$K:$K,'Таблиця 1'!$B:$B,$A73,'Таблиця 1'!$I:$I,"Су-27",'Таблиця 1'!$J:$J,"MK-32"))</f>
        <v/>
      </c>
      <c r="Q73">
        <f>IF($A73="","",SUMIFS('Таблиця 1'!$K:$K,'Таблиця 1'!$B:$B,$A73,'Таблиця 1'!$I:$I,"Mirage",'Таблиця 1'!$J:$J,"MK-24")+SUMIFS('Таблиця 1'!$K:$K,'Таблиця 1'!$B:$B,$A73,'Таблиця 1'!$I:$I,"F-16",'Таблиця 1'!$J:$J,"MK-24")+SUMIFS('Таблиця 1'!$K:$K,'Таблиця 1'!$B:$B,$A73,'Таблиця 1'!$I:$I,"МіГ-29",'Таблиця 1'!$J:$J,"MK-24")+SUMIFS('Таблиця 1'!$K:$K,'Таблиця 1'!$B:$B,$A73,'Таблиця 1'!$I:$I,"Су-25",'Таблиця 1'!$J:$J,"MK-24")+SUMIFS('Таблиця 1'!$K:$K,'Таблиця 1'!$B:$B,$A73,'Таблиця 1'!$I:$I,"Су-27",'Таблиця 1'!$J:$J,"MK-24"))</f>
        <v/>
      </c>
      <c r="R73">
        <f>IF($A73="","",COUNTIFS('Таблиця 1'!$B:$B,$A73,'Таблиця 1'!$I:$I,"Mirage",'Таблиця 1'!$L:$L,"Уражено")+COUNTIFS('Таблиця 1'!$B:$B,$A73,'Таблиця 1'!$I:$I,"F-16",'Таблиця 1'!$L:$L,"Уражено")+COUNTIFS('Таблиця 1'!$B:$B,$A73,'Таблиця 1'!$I:$I,"МіГ-29",'Таблиця 1'!$L:$L,"Уражено")+COUNTIFS('Таблиця 1'!$B:$B,$A73,'Таблиця 1'!$I:$I,"Су-25",'Таблиця 1'!$L:$L,"Уражено")+COUNTIFS('Таблиця 1'!$B:$B,$A73,'Таблиця 1'!$I:$I,"Су-27",'Таблиця 1'!$L:$L,"Уражено"))</f>
        <v/>
      </c>
      <c r="S73">
        <f>IF($A73="","",COUNTIFS('Таблиця 1'!$B:$B,$A73,'Таблиця 1'!$I:$I,"Mirage",'Таблиця 1'!$L:$L,"НЕ уражено")+COUNTIFS('Таблиця 1'!$B:$B,$A73,'Таблиця 1'!$I:$I,"F-16",'Таблиця 1'!$L:$L,"НЕ уражено")+COUNTIFS('Таблиця 1'!$B:$B,$A73,'Таблиця 1'!$I:$I,"МіГ-29",'Таблиця 1'!$L:$L,"НЕ уражено")+COUNTIFS('Таблиця 1'!$B:$B,$A73,'Таблиця 1'!$I:$I,"Су-25",'Таблиця 1'!$L:$L,"НЕ уражено")+COUNTIFS('Таблиця 1'!$B:$B,$A73,'Таблиця 1'!$I:$I,"Су-27",'Таблиця 1'!$L:$L,"НЕ уражено"))</f>
        <v/>
      </c>
      <c r="T73">
        <f>IF($A73="","",COUNTIFS('Таблиця 1'!$B:$B,$A73,'Таблиця 1'!$I:$I,"Mirage",'Таблиця 1'!$L:$L,"Дорозвідується")+COUNTIFS('Таблиця 1'!$B:$B,$A73,'Таблиця 1'!$I:$I,"F-16",'Таблиця 1'!$L:$L,"Дорозвідується")+COUNTIFS('Таблиця 1'!$B:$B,$A73,'Таблиця 1'!$I:$I,"МіГ-29",'Таблиця 1'!$L:$L,"Дорозвідується")+COUNTIFS('Таблиця 1'!$B:$B,$A73,'Таблиця 1'!$I:$I,"Су-25",'Таблиця 1'!$L:$L,"Дорозвідується")+COUNTIFS('Таблиця 1'!$B:$B,$A73,'Таблиця 1'!$I:$I,"Су-27",'Таблиця 1'!$L:$L,"Дорозвідується"))</f>
        <v/>
      </c>
    </row>
    <row r="74">
      <c r="A74" s="273">
        <f>IF(A73="","",IF(A73+1&gt;MAX('Таблиця 1'!$B:$B),"",A73+1))</f>
        <v/>
      </c>
      <c r="B74">
        <f>IF($A74="","",COUNTIFS('Таблиця 1'!$B:$B,$A74,'Таблиця 1'!$I:$I,"Mirage")+COUNTIFS('Таблиця 1'!$B:$B,$A74,'Таблиця 1'!$I:$I,"F-16")+COUNTIFS('Таблиця 1'!$B:$B,$A74,'Таблиця 1'!$I:$I,"МіГ-29")+COUNTIFS('Таблиця 1'!$B:$B,$A74,'Таблиця 1'!$I:$I,"Су-25")+COUNTIFS('Таблиця 1'!$B:$B,$A74,'Таблиця 1'!$I:$I,"Су-27"))</f>
        <v/>
      </c>
      <c r="C74">
        <f>IF($A74="","",COUNTIFS('Таблиця 1'!$B:$B,$A74,'Таблиця 1'!$I:$I,"Mirage"))</f>
        <v/>
      </c>
      <c r="D74">
        <f>IF($A74="","",COUNTIFS('Таблиця 1'!$B:$B,$A74,'Таблиця 1'!$I:$I,"F-16"))</f>
        <v/>
      </c>
      <c r="E74">
        <f>IF($A74="","",COUNTIFS('Таблиця 1'!$B:$B,$A74,'Таблиця 1'!$I:$I,"МіГ-29"))</f>
        <v/>
      </c>
      <c r="F74">
        <f>IF($A74="","",COUNTIFS('Таблиця 1'!$B:$B,$A74,'Таблиця 1'!$I:$I,"Су-25"))</f>
        <v/>
      </c>
      <c r="G74">
        <f>IF($A74="","",COUNTIFS('Таблиця 1'!$B:$B,$A74,'Таблиця 1'!$I:$I,"Су-27"))</f>
        <v/>
      </c>
      <c r="H74">
        <f>IF($A74="","",SUMIFS('Таблиця 1'!$K:$K,'Таблиця 1'!$B:$B,$A74,'Таблиця 1'!$I:$I,"Mirage",'Таблиця 1'!$J:$J,"AGM-88")+SUMIFS('Таблиця 1'!$K:$K,'Таблиця 1'!$B:$B,$A74,'Таблиця 1'!$I:$I,"F-16",'Таблиця 1'!$J:$J,"AGM-88")+SUMIFS('Таблиця 1'!$K:$K,'Таблиця 1'!$B:$B,$A74,'Таблиця 1'!$I:$I,"МіГ-29",'Таблиця 1'!$J:$J,"AGM-88")+SUMIFS('Таблиця 1'!$K:$K,'Таблиця 1'!$B:$B,$A74,'Таблиця 1'!$I:$I,"Су-25",'Таблиця 1'!$J:$J,"AGM-88")+SUMIFS('Таблиця 1'!$K:$K,'Таблиця 1'!$B:$B,$A74,'Таблиця 1'!$I:$I,"Су-27",'Таблиця 1'!$J:$J,"AGM-88"))</f>
        <v/>
      </c>
      <c r="I74">
        <f>IF($A74="","",SUMIFS('Таблиця 1'!$K:$K,'Таблиця 1'!$B:$B,$A74,'Таблиця 1'!$I:$I,"Mirage",'Таблиця 1'!$J:$J,"AASM-250")+SUMIFS('Таблиця 1'!$K:$K,'Таблиця 1'!$B:$B,$A74,'Таблиця 1'!$I:$I,"F-16",'Таблиця 1'!$J:$J,"AASM-250")+SUMIFS('Таблиця 1'!$K:$K,'Таблиця 1'!$B:$B,$A74,'Таблиця 1'!$I:$I,"МіГ-29",'Таблиця 1'!$J:$J,"AASM-250")+SUMIFS('Таблиця 1'!$K:$K,'Таблиця 1'!$B:$B,$A74,'Таблиця 1'!$I:$I,"Су-25",'Таблиця 1'!$J:$J,"AASM-250")+SUMIFS('Таблиця 1'!$K:$K,'Таблиця 1'!$B:$B,$A74,'Таблиця 1'!$I:$I,"Су-27",'Таблиця 1'!$J:$J,"AASM-250"))</f>
        <v/>
      </c>
      <c r="J74">
        <f>IF($A74="","",SUMIFS('Таблиця 1'!$K:$K,'Таблиця 1'!$B:$B,$A74,'Таблиця 1'!$I:$I,"Mirage",'Таблиця 1'!$J:$J,"GBU-39")+SUMIFS('Таблиця 1'!$K:$K,'Таблиця 1'!$B:$B,$A74,'Таблиця 1'!$I:$I,"F-16",'Таблиця 1'!$J:$J,"GBU-39")+SUMIFS('Таблиця 1'!$K:$K,'Таблиця 1'!$B:$B,$A74,'Таблиця 1'!$I:$I,"МіГ-29",'Таблиця 1'!$J:$J,"GBU-39")+SUMIFS('Таблиця 1'!$K:$K,'Таблиця 1'!$B:$B,$A74,'Таблиця 1'!$I:$I,"Су-25",'Таблиця 1'!$J:$J,"GBU-39")+SUMIFS('Таблиця 1'!$K:$K,'Таблиця 1'!$B:$B,$A74,'Таблиця 1'!$I:$I,"Су-27",'Таблиця 1'!$J:$J,"GBU-39"))</f>
        <v/>
      </c>
      <c r="K74">
        <f>IF($A74="","",SUMIFS('Таблиця 1'!$K:$K,'Таблиця 1'!$B:$B,$A74,'Таблиця 1'!$I:$I,"Mirage",'Таблиця 1'!$J:$J,"BLU-140")+SUMIFS('Таблиця 1'!$K:$K,'Таблиця 1'!$B:$B,$A74,'Таблиця 1'!$I:$I,"F-16",'Таблиця 1'!$J:$J,"BLU-140")+SUMIFS('Таблиця 1'!$K:$K,'Таблиця 1'!$B:$B,$A74,'Таблиця 1'!$I:$I,"МіГ-29",'Таблиця 1'!$J:$J,"BLU-140")+SUMIFS('Таблиця 1'!$K:$K,'Таблиця 1'!$B:$B,$A74,'Таблиця 1'!$I:$I,"Су-25",'Таблиця 1'!$J:$J,"BLU-140")+SUMIFS('Таблиця 1'!$K:$K,'Таблиця 1'!$B:$B,$A74,'Таблиця 1'!$I:$I,"Су-27",'Таблиця 1'!$J:$J,"BLU-140"))</f>
        <v/>
      </c>
      <c r="L74">
        <f>IF($A74="","",SUMIFS('Таблиця 1'!$K:$K,'Таблиця 1'!$B:$B,$A74,'Таблиця 1'!$I:$I,"Mirage",'Таблиця 1'!$J:$J,"GBU-65")+SUMIFS('Таблиця 1'!$K:$K,'Таблиця 1'!$B:$B,$A74,'Таблиця 1'!$I:$I,"F-16",'Таблиця 1'!$J:$J,"GBU-65")+SUMIFS('Таблиця 1'!$K:$K,'Таблиця 1'!$B:$B,$A74,'Таблиця 1'!$I:$I,"МіГ-29",'Таблиця 1'!$J:$J,"GBU-65")+SUMIFS('Таблиця 1'!$K:$K,'Таблиця 1'!$B:$B,$A74,'Таблиця 1'!$I:$I,"Су-25",'Таблиця 1'!$J:$J,"GBU-65")+SUMIFS('Таблиця 1'!$K:$K,'Таблиця 1'!$B:$B,$A74,'Таблиця 1'!$I:$I,"Су-27",'Таблиця 1'!$J:$J,"GBU-65"))</f>
        <v/>
      </c>
      <c r="M74">
        <f>IF($A74="","",SUMIFS('Таблиця 1'!$K:$K,'Таблиця 1'!$B:$B,$A74,'Таблиця 1'!$I:$I,"Mirage",'Таблиця 1'!$J:$J,"GBU-62")+SUMIFS('Таблиця 1'!$K:$K,'Таблиця 1'!$B:$B,$A74,'Таблиця 1'!$I:$I,"F-16",'Таблиця 1'!$J:$J,"GBU-62")+SUMIFS('Таблиця 1'!$K:$K,'Таблиця 1'!$B:$B,$A74,'Таблиця 1'!$I:$I,"МіГ-29",'Таблиця 1'!$J:$J,"GBU-62")+SUMIFS('Таблиця 1'!$K:$K,'Таблиця 1'!$B:$B,$A74,'Таблиця 1'!$I:$I,"Су-25",'Таблиця 1'!$J:$J,"GBU-62")+SUMIFS('Таблиця 1'!$K:$K,'Таблиця 1'!$B:$B,$A74,'Таблиця 1'!$I:$I,"Су-27",'Таблиця 1'!$J:$J,"GBU-62"))</f>
        <v/>
      </c>
      <c r="N74">
        <f>IF($A74="","",SUMIFS('Таблиця 1'!$K:$K,'Таблиця 1'!$B:$B,$A74,'Таблиця 1'!$I:$I,"Mirage",'Таблиця 1'!$J:$J,"GBU-64")+SUMIFS('Таблиця 1'!$K:$K,'Таблиця 1'!$B:$B,$A74,'Таблиця 1'!$I:$I,"F-16",'Таблиця 1'!$J:$J,"GBU-64")+SUMIFS('Таблиця 1'!$K:$K,'Таблиця 1'!$B:$B,$A74,'Таблиця 1'!$I:$I,"МіГ-29",'Таблиця 1'!$J:$J,"GBU-64")+SUMIFS('Таблиця 1'!$K:$K,'Таблиця 1'!$B:$B,$A74,'Таблиця 1'!$I:$I,"Су-25",'Таблиця 1'!$J:$J,"GBU-64")+SUMIFS('Таблиця 1'!$K:$K,'Таблиця 1'!$B:$B,$A74,'Таблиця 1'!$I:$I,"Су-27",'Таблиця 1'!$J:$J,"GBU-64"))</f>
        <v/>
      </c>
      <c r="O74">
        <f>IF($A74="","",SUMIFS('Таблиця 1'!$K:$K,'Таблиця 1'!$B:$B,$A74,'Таблиця 1'!$I:$I,"Mirage",'Таблиця 1'!$J:$J,"C-13")+SUMIFS('Таблиця 1'!$K:$K,'Таблиця 1'!$B:$B,$A74,'Таблиця 1'!$I:$I,"F-16",'Таблиця 1'!$J:$J,"C-13")+SUMIFS('Таблиця 1'!$K:$K,'Таблиця 1'!$B:$B,$A74,'Таблиця 1'!$I:$I,"МіГ-29",'Таблиця 1'!$J:$J,"C-13")+SUMIFS('Таблиця 1'!$K:$K,'Таблиця 1'!$B:$B,$A74,'Таблиця 1'!$I:$I,"Су-25",'Таблиця 1'!$J:$J,"C-13")+SUMIFS('Таблиця 1'!$K:$K,'Таблиця 1'!$B:$B,$A74,'Таблиця 1'!$I:$I,"Су-27",'Таблиця 1'!$J:$J,"C-13"))</f>
        <v/>
      </c>
      <c r="P74">
        <f>IF($A74="","",SUMIFS('Таблиця 1'!$K:$K,'Таблиця 1'!$B:$B,$A74,'Таблиця 1'!$I:$I,"Mirage",'Таблиця 1'!$J:$J,"MK-32")+SUMIFS('Таблиця 1'!$K:$K,'Таблиця 1'!$B:$B,$A74,'Таблиця 1'!$I:$I,"F-16",'Таблиця 1'!$J:$J,"MK-32")+SUMIFS('Таблиця 1'!$K:$K,'Таблиця 1'!$B:$B,$A74,'Таблиця 1'!$I:$I,"МіГ-29",'Таблиця 1'!$J:$J,"MK-32")+SUMIFS('Таблиця 1'!$K:$K,'Таблиця 1'!$B:$B,$A74,'Таблиця 1'!$I:$I,"Су-25",'Таблиця 1'!$J:$J,"MK-32")+SUMIFS('Таблиця 1'!$K:$K,'Таблиця 1'!$B:$B,$A74,'Таблиця 1'!$I:$I,"Су-27",'Таблиця 1'!$J:$J,"MK-32"))</f>
        <v/>
      </c>
      <c r="Q74">
        <f>IF($A74="","",SUMIFS('Таблиця 1'!$K:$K,'Таблиця 1'!$B:$B,$A74,'Таблиця 1'!$I:$I,"Mirage",'Таблиця 1'!$J:$J,"MK-24")+SUMIFS('Таблиця 1'!$K:$K,'Таблиця 1'!$B:$B,$A74,'Таблиця 1'!$I:$I,"F-16",'Таблиця 1'!$J:$J,"MK-24")+SUMIFS('Таблиця 1'!$K:$K,'Таблиця 1'!$B:$B,$A74,'Таблиця 1'!$I:$I,"МіГ-29",'Таблиця 1'!$J:$J,"MK-24")+SUMIFS('Таблиця 1'!$K:$K,'Таблиця 1'!$B:$B,$A74,'Таблиця 1'!$I:$I,"Су-25",'Таблиця 1'!$J:$J,"MK-24")+SUMIFS('Таблиця 1'!$K:$K,'Таблиця 1'!$B:$B,$A74,'Таблиця 1'!$I:$I,"Су-27",'Таблиця 1'!$J:$J,"MK-24"))</f>
        <v/>
      </c>
      <c r="R74">
        <f>IF($A74="","",COUNTIFS('Таблиця 1'!$B:$B,$A74,'Таблиця 1'!$I:$I,"Mirage",'Таблиця 1'!$L:$L,"Уражено")+COUNTIFS('Таблиця 1'!$B:$B,$A74,'Таблиця 1'!$I:$I,"F-16",'Таблиця 1'!$L:$L,"Уражено")+COUNTIFS('Таблиця 1'!$B:$B,$A74,'Таблиця 1'!$I:$I,"МіГ-29",'Таблиця 1'!$L:$L,"Уражено")+COUNTIFS('Таблиця 1'!$B:$B,$A74,'Таблиця 1'!$I:$I,"Су-25",'Таблиця 1'!$L:$L,"Уражено")+COUNTIFS('Таблиця 1'!$B:$B,$A74,'Таблиця 1'!$I:$I,"Су-27",'Таблиця 1'!$L:$L,"Уражено"))</f>
        <v/>
      </c>
      <c r="S74">
        <f>IF($A74="","",COUNTIFS('Таблиця 1'!$B:$B,$A74,'Таблиця 1'!$I:$I,"Mirage",'Таблиця 1'!$L:$L,"НЕ уражено")+COUNTIFS('Таблиця 1'!$B:$B,$A74,'Таблиця 1'!$I:$I,"F-16",'Таблиця 1'!$L:$L,"НЕ уражено")+COUNTIFS('Таблиця 1'!$B:$B,$A74,'Таблиця 1'!$I:$I,"МіГ-29",'Таблиця 1'!$L:$L,"НЕ уражено")+COUNTIFS('Таблиця 1'!$B:$B,$A74,'Таблиця 1'!$I:$I,"Су-25",'Таблиця 1'!$L:$L,"НЕ уражено")+COUNTIFS('Таблиця 1'!$B:$B,$A74,'Таблиця 1'!$I:$I,"Су-27",'Таблиця 1'!$L:$L,"НЕ уражено"))</f>
        <v/>
      </c>
      <c r="T74">
        <f>IF($A74="","",COUNTIFS('Таблиця 1'!$B:$B,$A74,'Таблиця 1'!$I:$I,"Mirage",'Таблиця 1'!$L:$L,"Дорозвідується")+COUNTIFS('Таблиця 1'!$B:$B,$A74,'Таблиця 1'!$I:$I,"F-16",'Таблиця 1'!$L:$L,"Дорозвідується")+COUNTIFS('Таблиця 1'!$B:$B,$A74,'Таблиця 1'!$I:$I,"МіГ-29",'Таблиця 1'!$L:$L,"Дорозвідується")+COUNTIFS('Таблиця 1'!$B:$B,$A74,'Таблиця 1'!$I:$I,"Су-25",'Таблиця 1'!$L:$L,"Дорозвідується")+COUNTIFS('Таблиця 1'!$B:$B,$A74,'Таблиця 1'!$I:$I,"Су-27",'Таблиця 1'!$L:$L,"Дорозвідується"))</f>
        <v/>
      </c>
    </row>
    <row r="75">
      <c r="A75" s="273">
        <f>IF(A74="","",IF(A74+1&gt;MAX('Таблиця 1'!$B:$B),"",A74+1))</f>
        <v/>
      </c>
      <c r="B75">
        <f>IF($A75="","",COUNTIFS('Таблиця 1'!$B:$B,$A75,'Таблиця 1'!$I:$I,"Mirage")+COUNTIFS('Таблиця 1'!$B:$B,$A75,'Таблиця 1'!$I:$I,"F-16")+COUNTIFS('Таблиця 1'!$B:$B,$A75,'Таблиця 1'!$I:$I,"МіГ-29")+COUNTIFS('Таблиця 1'!$B:$B,$A75,'Таблиця 1'!$I:$I,"Су-25")+COUNTIFS('Таблиця 1'!$B:$B,$A75,'Таблиця 1'!$I:$I,"Су-27"))</f>
        <v/>
      </c>
      <c r="C75">
        <f>IF($A75="","",COUNTIFS('Таблиця 1'!$B:$B,$A75,'Таблиця 1'!$I:$I,"Mirage"))</f>
        <v/>
      </c>
      <c r="D75">
        <f>IF($A75="","",COUNTIFS('Таблиця 1'!$B:$B,$A75,'Таблиця 1'!$I:$I,"F-16"))</f>
        <v/>
      </c>
      <c r="E75">
        <f>IF($A75="","",COUNTIFS('Таблиця 1'!$B:$B,$A75,'Таблиця 1'!$I:$I,"МіГ-29"))</f>
        <v/>
      </c>
      <c r="F75">
        <f>IF($A75="","",COUNTIFS('Таблиця 1'!$B:$B,$A75,'Таблиця 1'!$I:$I,"Су-25"))</f>
        <v/>
      </c>
      <c r="G75">
        <f>IF($A75="","",COUNTIFS('Таблиця 1'!$B:$B,$A75,'Таблиця 1'!$I:$I,"Су-27"))</f>
        <v/>
      </c>
      <c r="H75">
        <f>IF($A75="","",SUMIFS('Таблиця 1'!$K:$K,'Таблиця 1'!$B:$B,$A75,'Таблиця 1'!$I:$I,"Mirage",'Таблиця 1'!$J:$J,"AGM-88")+SUMIFS('Таблиця 1'!$K:$K,'Таблиця 1'!$B:$B,$A75,'Таблиця 1'!$I:$I,"F-16",'Таблиця 1'!$J:$J,"AGM-88")+SUMIFS('Таблиця 1'!$K:$K,'Таблиця 1'!$B:$B,$A75,'Таблиця 1'!$I:$I,"МіГ-29",'Таблиця 1'!$J:$J,"AGM-88")+SUMIFS('Таблиця 1'!$K:$K,'Таблиця 1'!$B:$B,$A75,'Таблиця 1'!$I:$I,"Су-25",'Таблиця 1'!$J:$J,"AGM-88")+SUMIFS('Таблиця 1'!$K:$K,'Таблиця 1'!$B:$B,$A75,'Таблиця 1'!$I:$I,"Су-27",'Таблиця 1'!$J:$J,"AGM-88"))</f>
        <v/>
      </c>
      <c r="I75">
        <f>IF($A75="","",SUMIFS('Таблиця 1'!$K:$K,'Таблиця 1'!$B:$B,$A75,'Таблиця 1'!$I:$I,"Mirage",'Таблиця 1'!$J:$J,"AASM-250")+SUMIFS('Таблиця 1'!$K:$K,'Таблиця 1'!$B:$B,$A75,'Таблиця 1'!$I:$I,"F-16",'Таблиця 1'!$J:$J,"AASM-250")+SUMIFS('Таблиця 1'!$K:$K,'Таблиця 1'!$B:$B,$A75,'Таблиця 1'!$I:$I,"МіГ-29",'Таблиця 1'!$J:$J,"AASM-250")+SUMIFS('Таблиця 1'!$K:$K,'Таблиця 1'!$B:$B,$A75,'Таблиця 1'!$I:$I,"Су-25",'Таблиця 1'!$J:$J,"AASM-250")+SUMIFS('Таблиця 1'!$K:$K,'Таблиця 1'!$B:$B,$A75,'Таблиця 1'!$I:$I,"Су-27",'Таблиця 1'!$J:$J,"AASM-250"))</f>
        <v/>
      </c>
      <c r="J75">
        <f>IF($A75="","",SUMIFS('Таблиця 1'!$K:$K,'Таблиця 1'!$B:$B,$A75,'Таблиця 1'!$I:$I,"Mirage",'Таблиця 1'!$J:$J,"GBU-39")+SUMIFS('Таблиця 1'!$K:$K,'Таблиця 1'!$B:$B,$A75,'Таблиця 1'!$I:$I,"F-16",'Таблиця 1'!$J:$J,"GBU-39")+SUMIFS('Таблиця 1'!$K:$K,'Таблиця 1'!$B:$B,$A75,'Таблиця 1'!$I:$I,"МіГ-29",'Таблиця 1'!$J:$J,"GBU-39")+SUMIFS('Таблиця 1'!$K:$K,'Таблиця 1'!$B:$B,$A75,'Таблиця 1'!$I:$I,"Су-25",'Таблиця 1'!$J:$J,"GBU-39")+SUMIFS('Таблиця 1'!$K:$K,'Таблиця 1'!$B:$B,$A75,'Таблиця 1'!$I:$I,"Су-27",'Таблиця 1'!$J:$J,"GBU-39"))</f>
        <v/>
      </c>
      <c r="K75">
        <f>IF($A75="","",SUMIFS('Таблиця 1'!$K:$K,'Таблиця 1'!$B:$B,$A75,'Таблиця 1'!$I:$I,"Mirage",'Таблиця 1'!$J:$J,"BLU-140")+SUMIFS('Таблиця 1'!$K:$K,'Таблиця 1'!$B:$B,$A75,'Таблиця 1'!$I:$I,"F-16",'Таблиця 1'!$J:$J,"BLU-140")+SUMIFS('Таблиця 1'!$K:$K,'Таблиця 1'!$B:$B,$A75,'Таблиця 1'!$I:$I,"МіГ-29",'Таблиця 1'!$J:$J,"BLU-140")+SUMIFS('Таблиця 1'!$K:$K,'Таблиця 1'!$B:$B,$A75,'Таблиця 1'!$I:$I,"Су-25",'Таблиця 1'!$J:$J,"BLU-140")+SUMIFS('Таблиця 1'!$K:$K,'Таблиця 1'!$B:$B,$A75,'Таблиця 1'!$I:$I,"Су-27",'Таблиця 1'!$J:$J,"BLU-140"))</f>
        <v/>
      </c>
      <c r="L75">
        <f>IF($A75="","",SUMIFS('Таблиця 1'!$K:$K,'Таблиця 1'!$B:$B,$A75,'Таблиця 1'!$I:$I,"Mirage",'Таблиця 1'!$J:$J,"GBU-65")+SUMIFS('Таблиця 1'!$K:$K,'Таблиця 1'!$B:$B,$A75,'Таблиця 1'!$I:$I,"F-16",'Таблиця 1'!$J:$J,"GBU-65")+SUMIFS('Таблиця 1'!$K:$K,'Таблиця 1'!$B:$B,$A75,'Таблиця 1'!$I:$I,"МіГ-29",'Таблиця 1'!$J:$J,"GBU-65")+SUMIFS('Таблиця 1'!$K:$K,'Таблиця 1'!$B:$B,$A75,'Таблиця 1'!$I:$I,"Су-25",'Таблиця 1'!$J:$J,"GBU-65")+SUMIFS('Таблиця 1'!$K:$K,'Таблиця 1'!$B:$B,$A75,'Таблиця 1'!$I:$I,"Су-27",'Таблиця 1'!$J:$J,"GBU-65"))</f>
        <v/>
      </c>
      <c r="M75">
        <f>IF($A75="","",SUMIFS('Таблиця 1'!$K:$K,'Таблиця 1'!$B:$B,$A75,'Таблиця 1'!$I:$I,"Mirage",'Таблиця 1'!$J:$J,"GBU-62")+SUMIFS('Таблиця 1'!$K:$K,'Таблиця 1'!$B:$B,$A75,'Таблиця 1'!$I:$I,"F-16",'Таблиця 1'!$J:$J,"GBU-62")+SUMIFS('Таблиця 1'!$K:$K,'Таблиця 1'!$B:$B,$A75,'Таблиця 1'!$I:$I,"МіГ-29",'Таблиця 1'!$J:$J,"GBU-62")+SUMIFS('Таблиця 1'!$K:$K,'Таблиця 1'!$B:$B,$A75,'Таблиця 1'!$I:$I,"Су-25",'Таблиця 1'!$J:$J,"GBU-62")+SUMIFS('Таблиця 1'!$K:$K,'Таблиця 1'!$B:$B,$A75,'Таблиця 1'!$I:$I,"Су-27",'Таблиця 1'!$J:$J,"GBU-62"))</f>
        <v/>
      </c>
      <c r="N75">
        <f>IF($A75="","",SUMIFS('Таблиця 1'!$K:$K,'Таблиця 1'!$B:$B,$A75,'Таблиця 1'!$I:$I,"Mirage",'Таблиця 1'!$J:$J,"GBU-64")+SUMIFS('Таблиця 1'!$K:$K,'Таблиця 1'!$B:$B,$A75,'Таблиця 1'!$I:$I,"F-16",'Таблиця 1'!$J:$J,"GBU-64")+SUMIFS('Таблиця 1'!$K:$K,'Таблиця 1'!$B:$B,$A75,'Таблиця 1'!$I:$I,"МіГ-29",'Таблиця 1'!$J:$J,"GBU-64")+SUMIFS('Таблиця 1'!$K:$K,'Таблиця 1'!$B:$B,$A75,'Таблиця 1'!$I:$I,"Су-25",'Таблиця 1'!$J:$J,"GBU-64")+SUMIFS('Таблиця 1'!$K:$K,'Таблиця 1'!$B:$B,$A75,'Таблиця 1'!$I:$I,"Су-27",'Таблиця 1'!$J:$J,"GBU-64"))</f>
        <v/>
      </c>
      <c r="O75">
        <f>IF($A75="","",SUMIFS('Таблиця 1'!$K:$K,'Таблиця 1'!$B:$B,$A75,'Таблиця 1'!$I:$I,"Mirage",'Таблиця 1'!$J:$J,"C-13")+SUMIFS('Таблиця 1'!$K:$K,'Таблиця 1'!$B:$B,$A75,'Таблиця 1'!$I:$I,"F-16",'Таблиця 1'!$J:$J,"C-13")+SUMIFS('Таблиця 1'!$K:$K,'Таблиця 1'!$B:$B,$A75,'Таблиця 1'!$I:$I,"МіГ-29",'Таблиця 1'!$J:$J,"C-13")+SUMIFS('Таблиця 1'!$K:$K,'Таблиця 1'!$B:$B,$A75,'Таблиця 1'!$I:$I,"Су-25",'Таблиця 1'!$J:$J,"C-13")+SUMIFS('Таблиця 1'!$K:$K,'Таблиця 1'!$B:$B,$A75,'Таблиця 1'!$I:$I,"Су-27",'Таблиця 1'!$J:$J,"C-13"))</f>
        <v/>
      </c>
      <c r="P75">
        <f>IF($A75="","",SUMIFS('Таблиця 1'!$K:$K,'Таблиця 1'!$B:$B,$A75,'Таблиця 1'!$I:$I,"Mirage",'Таблиця 1'!$J:$J,"MK-32")+SUMIFS('Таблиця 1'!$K:$K,'Таблиця 1'!$B:$B,$A75,'Таблиця 1'!$I:$I,"F-16",'Таблиця 1'!$J:$J,"MK-32")+SUMIFS('Таблиця 1'!$K:$K,'Таблиця 1'!$B:$B,$A75,'Таблиця 1'!$I:$I,"МіГ-29",'Таблиця 1'!$J:$J,"MK-32")+SUMIFS('Таблиця 1'!$K:$K,'Таблиця 1'!$B:$B,$A75,'Таблиця 1'!$I:$I,"Су-25",'Таблиця 1'!$J:$J,"MK-32")+SUMIFS('Таблиця 1'!$K:$K,'Таблиця 1'!$B:$B,$A75,'Таблиця 1'!$I:$I,"Су-27",'Таблиця 1'!$J:$J,"MK-32"))</f>
        <v/>
      </c>
      <c r="Q75">
        <f>IF($A75="","",SUMIFS('Таблиця 1'!$K:$K,'Таблиця 1'!$B:$B,$A75,'Таблиця 1'!$I:$I,"Mirage",'Таблиця 1'!$J:$J,"MK-24")+SUMIFS('Таблиця 1'!$K:$K,'Таблиця 1'!$B:$B,$A75,'Таблиця 1'!$I:$I,"F-16",'Таблиця 1'!$J:$J,"MK-24")+SUMIFS('Таблиця 1'!$K:$K,'Таблиця 1'!$B:$B,$A75,'Таблиця 1'!$I:$I,"МіГ-29",'Таблиця 1'!$J:$J,"MK-24")+SUMIFS('Таблиця 1'!$K:$K,'Таблиця 1'!$B:$B,$A75,'Таблиця 1'!$I:$I,"Су-25",'Таблиця 1'!$J:$J,"MK-24")+SUMIFS('Таблиця 1'!$K:$K,'Таблиця 1'!$B:$B,$A75,'Таблиця 1'!$I:$I,"Су-27",'Таблиця 1'!$J:$J,"MK-24"))</f>
        <v/>
      </c>
      <c r="R75">
        <f>IF($A75="","",COUNTIFS('Таблиця 1'!$B:$B,$A75,'Таблиця 1'!$I:$I,"Mirage",'Таблиця 1'!$L:$L,"Уражено")+COUNTIFS('Таблиця 1'!$B:$B,$A75,'Таблиця 1'!$I:$I,"F-16",'Таблиця 1'!$L:$L,"Уражено")+COUNTIFS('Таблиця 1'!$B:$B,$A75,'Таблиця 1'!$I:$I,"МіГ-29",'Таблиця 1'!$L:$L,"Уражено")+COUNTIFS('Таблиця 1'!$B:$B,$A75,'Таблиця 1'!$I:$I,"Су-25",'Таблиця 1'!$L:$L,"Уражено")+COUNTIFS('Таблиця 1'!$B:$B,$A75,'Таблиця 1'!$I:$I,"Су-27",'Таблиця 1'!$L:$L,"Уражено"))</f>
        <v/>
      </c>
      <c r="S75">
        <f>IF($A75="","",COUNTIFS('Таблиця 1'!$B:$B,$A75,'Таблиця 1'!$I:$I,"Mirage",'Таблиця 1'!$L:$L,"НЕ уражено")+COUNTIFS('Таблиця 1'!$B:$B,$A75,'Таблиця 1'!$I:$I,"F-16",'Таблиця 1'!$L:$L,"НЕ уражено")+COUNTIFS('Таблиця 1'!$B:$B,$A75,'Таблиця 1'!$I:$I,"МіГ-29",'Таблиця 1'!$L:$L,"НЕ уражено")+COUNTIFS('Таблиця 1'!$B:$B,$A75,'Таблиця 1'!$I:$I,"Су-25",'Таблиця 1'!$L:$L,"НЕ уражено")+COUNTIFS('Таблиця 1'!$B:$B,$A75,'Таблиця 1'!$I:$I,"Су-27",'Таблиця 1'!$L:$L,"НЕ уражено"))</f>
        <v/>
      </c>
      <c r="T75">
        <f>IF($A75="","",COUNTIFS('Таблиця 1'!$B:$B,$A75,'Таблиця 1'!$I:$I,"Mirage",'Таблиця 1'!$L:$L,"Дорозвідується")+COUNTIFS('Таблиця 1'!$B:$B,$A75,'Таблиця 1'!$I:$I,"F-16",'Таблиця 1'!$L:$L,"Дорозвідується")+COUNTIFS('Таблиця 1'!$B:$B,$A75,'Таблиця 1'!$I:$I,"МіГ-29",'Таблиця 1'!$L:$L,"Дорозвідується")+COUNTIFS('Таблиця 1'!$B:$B,$A75,'Таблиця 1'!$I:$I,"Су-25",'Таблиця 1'!$L:$L,"Дорозвідується")+COUNTIFS('Таблиця 1'!$B:$B,$A75,'Таблиця 1'!$I:$I,"Су-27",'Таблиця 1'!$L:$L,"Дорозвідується"))</f>
        <v/>
      </c>
    </row>
    <row r="76">
      <c r="A76" s="273">
        <f>IF(A75="","",IF(A75+1&gt;MAX('Таблиця 1'!$B:$B),"",A75+1))</f>
        <v/>
      </c>
      <c r="B76">
        <f>IF($A76="","",COUNTIFS('Таблиця 1'!$B:$B,$A76,'Таблиця 1'!$I:$I,"Mirage")+COUNTIFS('Таблиця 1'!$B:$B,$A76,'Таблиця 1'!$I:$I,"F-16")+COUNTIFS('Таблиця 1'!$B:$B,$A76,'Таблиця 1'!$I:$I,"МіГ-29")+COUNTIFS('Таблиця 1'!$B:$B,$A76,'Таблиця 1'!$I:$I,"Су-25")+COUNTIFS('Таблиця 1'!$B:$B,$A76,'Таблиця 1'!$I:$I,"Су-27"))</f>
        <v/>
      </c>
      <c r="C76">
        <f>IF($A76="","",COUNTIFS('Таблиця 1'!$B:$B,$A76,'Таблиця 1'!$I:$I,"Mirage"))</f>
        <v/>
      </c>
      <c r="D76">
        <f>IF($A76="","",COUNTIFS('Таблиця 1'!$B:$B,$A76,'Таблиця 1'!$I:$I,"F-16"))</f>
        <v/>
      </c>
      <c r="E76">
        <f>IF($A76="","",COUNTIFS('Таблиця 1'!$B:$B,$A76,'Таблиця 1'!$I:$I,"МіГ-29"))</f>
        <v/>
      </c>
      <c r="F76">
        <f>IF($A76="","",COUNTIFS('Таблиця 1'!$B:$B,$A76,'Таблиця 1'!$I:$I,"Су-25"))</f>
        <v/>
      </c>
      <c r="G76">
        <f>IF($A76="","",COUNTIFS('Таблиця 1'!$B:$B,$A76,'Таблиця 1'!$I:$I,"Су-27"))</f>
        <v/>
      </c>
      <c r="H76">
        <f>IF($A76="","",SUMIFS('Таблиця 1'!$K:$K,'Таблиця 1'!$B:$B,$A76,'Таблиця 1'!$I:$I,"Mirage",'Таблиця 1'!$J:$J,"AGM-88")+SUMIFS('Таблиця 1'!$K:$K,'Таблиця 1'!$B:$B,$A76,'Таблиця 1'!$I:$I,"F-16",'Таблиця 1'!$J:$J,"AGM-88")+SUMIFS('Таблиця 1'!$K:$K,'Таблиця 1'!$B:$B,$A76,'Таблиця 1'!$I:$I,"МіГ-29",'Таблиця 1'!$J:$J,"AGM-88")+SUMIFS('Таблиця 1'!$K:$K,'Таблиця 1'!$B:$B,$A76,'Таблиця 1'!$I:$I,"Су-25",'Таблиця 1'!$J:$J,"AGM-88")+SUMIFS('Таблиця 1'!$K:$K,'Таблиця 1'!$B:$B,$A76,'Таблиця 1'!$I:$I,"Су-27",'Таблиця 1'!$J:$J,"AGM-88"))</f>
        <v/>
      </c>
      <c r="I76">
        <f>IF($A76="","",SUMIFS('Таблиця 1'!$K:$K,'Таблиця 1'!$B:$B,$A76,'Таблиця 1'!$I:$I,"Mirage",'Таблиця 1'!$J:$J,"AASM-250")+SUMIFS('Таблиця 1'!$K:$K,'Таблиця 1'!$B:$B,$A76,'Таблиця 1'!$I:$I,"F-16",'Таблиця 1'!$J:$J,"AASM-250")+SUMIFS('Таблиця 1'!$K:$K,'Таблиця 1'!$B:$B,$A76,'Таблиця 1'!$I:$I,"МіГ-29",'Таблиця 1'!$J:$J,"AASM-250")+SUMIFS('Таблиця 1'!$K:$K,'Таблиця 1'!$B:$B,$A76,'Таблиця 1'!$I:$I,"Су-25",'Таблиця 1'!$J:$J,"AASM-250")+SUMIFS('Таблиця 1'!$K:$K,'Таблиця 1'!$B:$B,$A76,'Таблиця 1'!$I:$I,"Су-27",'Таблиця 1'!$J:$J,"AASM-250"))</f>
        <v/>
      </c>
      <c r="J76">
        <f>IF($A76="","",SUMIFS('Таблиця 1'!$K:$K,'Таблиця 1'!$B:$B,$A76,'Таблиця 1'!$I:$I,"Mirage",'Таблиця 1'!$J:$J,"GBU-39")+SUMIFS('Таблиця 1'!$K:$K,'Таблиця 1'!$B:$B,$A76,'Таблиця 1'!$I:$I,"F-16",'Таблиця 1'!$J:$J,"GBU-39")+SUMIFS('Таблиця 1'!$K:$K,'Таблиця 1'!$B:$B,$A76,'Таблиця 1'!$I:$I,"МіГ-29",'Таблиця 1'!$J:$J,"GBU-39")+SUMIFS('Таблиця 1'!$K:$K,'Таблиця 1'!$B:$B,$A76,'Таблиця 1'!$I:$I,"Су-25",'Таблиця 1'!$J:$J,"GBU-39")+SUMIFS('Таблиця 1'!$K:$K,'Таблиця 1'!$B:$B,$A76,'Таблиця 1'!$I:$I,"Су-27",'Таблиця 1'!$J:$J,"GBU-39"))</f>
        <v/>
      </c>
      <c r="K76">
        <f>IF($A76="","",SUMIFS('Таблиця 1'!$K:$K,'Таблиця 1'!$B:$B,$A76,'Таблиця 1'!$I:$I,"Mirage",'Таблиця 1'!$J:$J,"BLU-140")+SUMIFS('Таблиця 1'!$K:$K,'Таблиця 1'!$B:$B,$A76,'Таблиця 1'!$I:$I,"F-16",'Таблиця 1'!$J:$J,"BLU-140")+SUMIFS('Таблиця 1'!$K:$K,'Таблиця 1'!$B:$B,$A76,'Таблиця 1'!$I:$I,"МіГ-29",'Таблиця 1'!$J:$J,"BLU-140")+SUMIFS('Таблиця 1'!$K:$K,'Таблиця 1'!$B:$B,$A76,'Таблиця 1'!$I:$I,"Су-25",'Таблиця 1'!$J:$J,"BLU-140")+SUMIFS('Таблиця 1'!$K:$K,'Таблиця 1'!$B:$B,$A76,'Таблиця 1'!$I:$I,"Су-27",'Таблиця 1'!$J:$J,"BLU-140"))</f>
        <v/>
      </c>
      <c r="L76">
        <f>IF($A76="","",SUMIFS('Таблиця 1'!$K:$K,'Таблиця 1'!$B:$B,$A76,'Таблиця 1'!$I:$I,"Mirage",'Таблиця 1'!$J:$J,"GBU-65")+SUMIFS('Таблиця 1'!$K:$K,'Таблиця 1'!$B:$B,$A76,'Таблиця 1'!$I:$I,"F-16",'Таблиця 1'!$J:$J,"GBU-65")+SUMIFS('Таблиця 1'!$K:$K,'Таблиця 1'!$B:$B,$A76,'Таблиця 1'!$I:$I,"МіГ-29",'Таблиця 1'!$J:$J,"GBU-65")+SUMIFS('Таблиця 1'!$K:$K,'Таблиця 1'!$B:$B,$A76,'Таблиця 1'!$I:$I,"Су-25",'Таблиця 1'!$J:$J,"GBU-65")+SUMIFS('Таблиця 1'!$K:$K,'Таблиця 1'!$B:$B,$A76,'Таблиця 1'!$I:$I,"Су-27",'Таблиця 1'!$J:$J,"GBU-65"))</f>
        <v/>
      </c>
      <c r="M76">
        <f>IF($A76="","",SUMIFS('Таблиця 1'!$K:$K,'Таблиця 1'!$B:$B,$A76,'Таблиця 1'!$I:$I,"Mirage",'Таблиця 1'!$J:$J,"GBU-62")+SUMIFS('Таблиця 1'!$K:$K,'Таблиця 1'!$B:$B,$A76,'Таблиця 1'!$I:$I,"F-16",'Таблиця 1'!$J:$J,"GBU-62")+SUMIFS('Таблиця 1'!$K:$K,'Таблиця 1'!$B:$B,$A76,'Таблиця 1'!$I:$I,"МіГ-29",'Таблиця 1'!$J:$J,"GBU-62")+SUMIFS('Таблиця 1'!$K:$K,'Таблиця 1'!$B:$B,$A76,'Таблиця 1'!$I:$I,"Су-25",'Таблиця 1'!$J:$J,"GBU-62")+SUMIFS('Таблиця 1'!$K:$K,'Таблиця 1'!$B:$B,$A76,'Таблиця 1'!$I:$I,"Су-27",'Таблиця 1'!$J:$J,"GBU-62"))</f>
        <v/>
      </c>
      <c r="N76">
        <f>IF($A76="","",SUMIFS('Таблиця 1'!$K:$K,'Таблиця 1'!$B:$B,$A76,'Таблиця 1'!$I:$I,"Mirage",'Таблиця 1'!$J:$J,"GBU-64")+SUMIFS('Таблиця 1'!$K:$K,'Таблиця 1'!$B:$B,$A76,'Таблиця 1'!$I:$I,"F-16",'Таблиця 1'!$J:$J,"GBU-64")+SUMIFS('Таблиця 1'!$K:$K,'Таблиця 1'!$B:$B,$A76,'Таблиця 1'!$I:$I,"МіГ-29",'Таблиця 1'!$J:$J,"GBU-64")+SUMIFS('Таблиця 1'!$K:$K,'Таблиця 1'!$B:$B,$A76,'Таблиця 1'!$I:$I,"Су-25",'Таблиця 1'!$J:$J,"GBU-64")+SUMIFS('Таблиця 1'!$K:$K,'Таблиця 1'!$B:$B,$A76,'Таблиця 1'!$I:$I,"Су-27",'Таблиця 1'!$J:$J,"GBU-64"))</f>
        <v/>
      </c>
      <c r="O76">
        <f>IF($A76="","",SUMIFS('Таблиця 1'!$K:$K,'Таблиця 1'!$B:$B,$A76,'Таблиця 1'!$I:$I,"Mirage",'Таблиця 1'!$J:$J,"C-13")+SUMIFS('Таблиця 1'!$K:$K,'Таблиця 1'!$B:$B,$A76,'Таблиця 1'!$I:$I,"F-16",'Таблиця 1'!$J:$J,"C-13")+SUMIFS('Таблиця 1'!$K:$K,'Таблиця 1'!$B:$B,$A76,'Таблиця 1'!$I:$I,"МіГ-29",'Таблиця 1'!$J:$J,"C-13")+SUMIFS('Таблиця 1'!$K:$K,'Таблиця 1'!$B:$B,$A76,'Таблиця 1'!$I:$I,"Су-25",'Таблиця 1'!$J:$J,"C-13")+SUMIFS('Таблиця 1'!$K:$K,'Таблиця 1'!$B:$B,$A76,'Таблиця 1'!$I:$I,"Су-27",'Таблиця 1'!$J:$J,"C-13"))</f>
        <v/>
      </c>
      <c r="P76">
        <f>IF($A76="","",SUMIFS('Таблиця 1'!$K:$K,'Таблиця 1'!$B:$B,$A76,'Таблиця 1'!$I:$I,"Mirage",'Таблиця 1'!$J:$J,"MK-32")+SUMIFS('Таблиця 1'!$K:$K,'Таблиця 1'!$B:$B,$A76,'Таблиця 1'!$I:$I,"F-16",'Таблиця 1'!$J:$J,"MK-32")+SUMIFS('Таблиця 1'!$K:$K,'Таблиця 1'!$B:$B,$A76,'Таблиця 1'!$I:$I,"МіГ-29",'Таблиця 1'!$J:$J,"MK-32")+SUMIFS('Таблиця 1'!$K:$K,'Таблиця 1'!$B:$B,$A76,'Таблиця 1'!$I:$I,"Су-25",'Таблиця 1'!$J:$J,"MK-32")+SUMIFS('Таблиця 1'!$K:$K,'Таблиця 1'!$B:$B,$A76,'Таблиця 1'!$I:$I,"Су-27",'Таблиця 1'!$J:$J,"MK-32"))</f>
        <v/>
      </c>
      <c r="Q76">
        <f>IF($A76="","",SUMIFS('Таблиця 1'!$K:$K,'Таблиця 1'!$B:$B,$A76,'Таблиця 1'!$I:$I,"Mirage",'Таблиця 1'!$J:$J,"MK-24")+SUMIFS('Таблиця 1'!$K:$K,'Таблиця 1'!$B:$B,$A76,'Таблиця 1'!$I:$I,"F-16",'Таблиця 1'!$J:$J,"MK-24")+SUMIFS('Таблиця 1'!$K:$K,'Таблиця 1'!$B:$B,$A76,'Таблиця 1'!$I:$I,"МіГ-29",'Таблиця 1'!$J:$J,"MK-24")+SUMIFS('Таблиця 1'!$K:$K,'Таблиця 1'!$B:$B,$A76,'Таблиця 1'!$I:$I,"Су-25",'Таблиця 1'!$J:$J,"MK-24")+SUMIFS('Таблиця 1'!$K:$K,'Таблиця 1'!$B:$B,$A76,'Таблиця 1'!$I:$I,"Су-27",'Таблиця 1'!$J:$J,"MK-24"))</f>
        <v/>
      </c>
      <c r="R76">
        <f>IF($A76="","",COUNTIFS('Таблиця 1'!$B:$B,$A76,'Таблиця 1'!$I:$I,"Mirage",'Таблиця 1'!$L:$L,"Уражено")+COUNTIFS('Таблиця 1'!$B:$B,$A76,'Таблиця 1'!$I:$I,"F-16",'Таблиця 1'!$L:$L,"Уражено")+COUNTIFS('Таблиця 1'!$B:$B,$A76,'Таблиця 1'!$I:$I,"МіГ-29",'Таблиця 1'!$L:$L,"Уражено")+COUNTIFS('Таблиця 1'!$B:$B,$A76,'Таблиця 1'!$I:$I,"Су-25",'Таблиця 1'!$L:$L,"Уражено")+COUNTIFS('Таблиця 1'!$B:$B,$A76,'Таблиця 1'!$I:$I,"Су-27",'Таблиця 1'!$L:$L,"Уражено"))</f>
        <v/>
      </c>
      <c r="S76">
        <f>IF($A76="","",COUNTIFS('Таблиця 1'!$B:$B,$A76,'Таблиця 1'!$I:$I,"Mirage",'Таблиця 1'!$L:$L,"НЕ уражено")+COUNTIFS('Таблиця 1'!$B:$B,$A76,'Таблиця 1'!$I:$I,"F-16",'Таблиця 1'!$L:$L,"НЕ уражено")+COUNTIFS('Таблиця 1'!$B:$B,$A76,'Таблиця 1'!$I:$I,"МіГ-29",'Таблиця 1'!$L:$L,"НЕ уражено")+COUNTIFS('Таблиця 1'!$B:$B,$A76,'Таблиця 1'!$I:$I,"Су-25",'Таблиця 1'!$L:$L,"НЕ уражено")+COUNTIFS('Таблиця 1'!$B:$B,$A76,'Таблиця 1'!$I:$I,"Су-27",'Таблиця 1'!$L:$L,"НЕ уражено"))</f>
        <v/>
      </c>
      <c r="T76">
        <f>IF($A76="","",COUNTIFS('Таблиця 1'!$B:$B,$A76,'Таблиця 1'!$I:$I,"Mirage",'Таблиця 1'!$L:$L,"Дорозвідується")+COUNTIFS('Таблиця 1'!$B:$B,$A76,'Таблиця 1'!$I:$I,"F-16",'Таблиця 1'!$L:$L,"Дорозвідується")+COUNTIFS('Таблиця 1'!$B:$B,$A76,'Таблиця 1'!$I:$I,"МіГ-29",'Таблиця 1'!$L:$L,"Дорозвідується")+COUNTIFS('Таблиця 1'!$B:$B,$A76,'Таблиця 1'!$I:$I,"Су-25",'Таблиця 1'!$L:$L,"Дорозвідується")+COUNTIFS('Таблиця 1'!$B:$B,$A76,'Таблиця 1'!$I:$I,"Су-27",'Таблиця 1'!$L:$L,"Дорозвідується"))</f>
        <v/>
      </c>
    </row>
    <row r="77">
      <c r="A77" s="273">
        <f>IF(A76="","",IF(A76+1&gt;MAX('Таблиця 1'!$B:$B),"",A76+1))</f>
        <v/>
      </c>
      <c r="B77">
        <f>IF($A77="","",COUNTIFS('Таблиця 1'!$B:$B,$A77,'Таблиця 1'!$I:$I,"Mirage")+COUNTIFS('Таблиця 1'!$B:$B,$A77,'Таблиця 1'!$I:$I,"F-16")+COUNTIFS('Таблиця 1'!$B:$B,$A77,'Таблиця 1'!$I:$I,"МіГ-29")+COUNTIFS('Таблиця 1'!$B:$B,$A77,'Таблиця 1'!$I:$I,"Су-25")+COUNTIFS('Таблиця 1'!$B:$B,$A77,'Таблиця 1'!$I:$I,"Су-27"))</f>
        <v/>
      </c>
      <c r="C77">
        <f>IF($A77="","",COUNTIFS('Таблиця 1'!$B:$B,$A77,'Таблиця 1'!$I:$I,"Mirage"))</f>
        <v/>
      </c>
      <c r="D77">
        <f>IF($A77="","",COUNTIFS('Таблиця 1'!$B:$B,$A77,'Таблиця 1'!$I:$I,"F-16"))</f>
        <v/>
      </c>
      <c r="E77">
        <f>IF($A77="","",COUNTIFS('Таблиця 1'!$B:$B,$A77,'Таблиця 1'!$I:$I,"МіГ-29"))</f>
        <v/>
      </c>
      <c r="F77">
        <f>IF($A77="","",COUNTIFS('Таблиця 1'!$B:$B,$A77,'Таблиця 1'!$I:$I,"Су-25"))</f>
        <v/>
      </c>
      <c r="G77">
        <f>IF($A77="","",COUNTIFS('Таблиця 1'!$B:$B,$A77,'Таблиця 1'!$I:$I,"Су-27"))</f>
        <v/>
      </c>
      <c r="H77">
        <f>IF($A77="","",SUMIFS('Таблиця 1'!$K:$K,'Таблиця 1'!$B:$B,$A77,'Таблиця 1'!$I:$I,"Mirage",'Таблиця 1'!$J:$J,"AGM-88")+SUMIFS('Таблиця 1'!$K:$K,'Таблиця 1'!$B:$B,$A77,'Таблиця 1'!$I:$I,"F-16",'Таблиця 1'!$J:$J,"AGM-88")+SUMIFS('Таблиця 1'!$K:$K,'Таблиця 1'!$B:$B,$A77,'Таблиця 1'!$I:$I,"МіГ-29",'Таблиця 1'!$J:$J,"AGM-88")+SUMIFS('Таблиця 1'!$K:$K,'Таблиця 1'!$B:$B,$A77,'Таблиця 1'!$I:$I,"Су-25",'Таблиця 1'!$J:$J,"AGM-88")+SUMIFS('Таблиця 1'!$K:$K,'Таблиця 1'!$B:$B,$A77,'Таблиця 1'!$I:$I,"Су-27",'Таблиця 1'!$J:$J,"AGM-88"))</f>
        <v/>
      </c>
      <c r="I77">
        <f>IF($A77="","",SUMIFS('Таблиця 1'!$K:$K,'Таблиця 1'!$B:$B,$A77,'Таблиця 1'!$I:$I,"Mirage",'Таблиця 1'!$J:$J,"AASM-250")+SUMIFS('Таблиця 1'!$K:$K,'Таблиця 1'!$B:$B,$A77,'Таблиця 1'!$I:$I,"F-16",'Таблиця 1'!$J:$J,"AASM-250")+SUMIFS('Таблиця 1'!$K:$K,'Таблиця 1'!$B:$B,$A77,'Таблиця 1'!$I:$I,"МіГ-29",'Таблиця 1'!$J:$J,"AASM-250")+SUMIFS('Таблиця 1'!$K:$K,'Таблиця 1'!$B:$B,$A77,'Таблиця 1'!$I:$I,"Су-25",'Таблиця 1'!$J:$J,"AASM-250")+SUMIFS('Таблиця 1'!$K:$K,'Таблиця 1'!$B:$B,$A77,'Таблиця 1'!$I:$I,"Су-27",'Таблиця 1'!$J:$J,"AASM-250"))</f>
        <v/>
      </c>
      <c r="J77">
        <f>IF($A77="","",SUMIFS('Таблиця 1'!$K:$K,'Таблиця 1'!$B:$B,$A77,'Таблиця 1'!$I:$I,"Mirage",'Таблиця 1'!$J:$J,"GBU-39")+SUMIFS('Таблиця 1'!$K:$K,'Таблиця 1'!$B:$B,$A77,'Таблиця 1'!$I:$I,"F-16",'Таблиця 1'!$J:$J,"GBU-39")+SUMIFS('Таблиця 1'!$K:$K,'Таблиця 1'!$B:$B,$A77,'Таблиця 1'!$I:$I,"МіГ-29",'Таблиця 1'!$J:$J,"GBU-39")+SUMIFS('Таблиця 1'!$K:$K,'Таблиця 1'!$B:$B,$A77,'Таблиця 1'!$I:$I,"Су-25",'Таблиця 1'!$J:$J,"GBU-39")+SUMIFS('Таблиця 1'!$K:$K,'Таблиця 1'!$B:$B,$A77,'Таблиця 1'!$I:$I,"Су-27",'Таблиця 1'!$J:$J,"GBU-39"))</f>
        <v/>
      </c>
      <c r="K77">
        <f>IF($A77="","",SUMIFS('Таблиця 1'!$K:$K,'Таблиця 1'!$B:$B,$A77,'Таблиця 1'!$I:$I,"Mirage",'Таблиця 1'!$J:$J,"BLU-140")+SUMIFS('Таблиця 1'!$K:$K,'Таблиця 1'!$B:$B,$A77,'Таблиця 1'!$I:$I,"F-16",'Таблиця 1'!$J:$J,"BLU-140")+SUMIFS('Таблиця 1'!$K:$K,'Таблиця 1'!$B:$B,$A77,'Таблиця 1'!$I:$I,"МіГ-29",'Таблиця 1'!$J:$J,"BLU-140")+SUMIFS('Таблиця 1'!$K:$K,'Таблиця 1'!$B:$B,$A77,'Таблиця 1'!$I:$I,"Су-25",'Таблиця 1'!$J:$J,"BLU-140")+SUMIFS('Таблиця 1'!$K:$K,'Таблиця 1'!$B:$B,$A77,'Таблиця 1'!$I:$I,"Су-27",'Таблиця 1'!$J:$J,"BLU-140"))</f>
        <v/>
      </c>
      <c r="L77">
        <f>IF($A77="","",SUMIFS('Таблиця 1'!$K:$K,'Таблиця 1'!$B:$B,$A77,'Таблиця 1'!$I:$I,"Mirage",'Таблиця 1'!$J:$J,"GBU-65")+SUMIFS('Таблиця 1'!$K:$K,'Таблиця 1'!$B:$B,$A77,'Таблиця 1'!$I:$I,"F-16",'Таблиця 1'!$J:$J,"GBU-65")+SUMIFS('Таблиця 1'!$K:$K,'Таблиця 1'!$B:$B,$A77,'Таблиця 1'!$I:$I,"МіГ-29",'Таблиця 1'!$J:$J,"GBU-65")+SUMIFS('Таблиця 1'!$K:$K,'Таблиця 1'!$B:$B,$A77,'Таблиця 1'!$I:$I,"Су-25",'Таблиця 1'!$J:$J,"GBU-65")+SUMIFS('Таблиця 1'!$K:$K,'Таблиця 1'!$B:$B,$A77,'Таблиця 1'!$I:$I,"Су-27",'Таблиця 1'!$J:$J,"GBU-65"))</f>
        <v/>
      </c>
      <c r="M77">
        <f>IF($A77="","",SUMIFS('Таблиця 1'!$K:$K,'Таблиця 1'!$B:$B,$A77,'Таблиця 1'!$I:$I,"Mirage",'Таблиця 1'!$J:$J,"GBU-62")+SUMIFS('Таблиця 1'!$K:$K,'Таблиця 1'!$B:$B,$A77,'Таблиця 1'!$I:$I,"F-16",'Таблиця 1'!$J:$J,"GBU-62")+SUMIFS('Таблиця 1'!$K:$K,'Таблиця 1'!$B:$B,$A77,'Таблиця 1'!$I:$I,"МіГ-29",'Таблиця 1'!$J:$J,"GBU-62")+SUMIFS('Таблиця 1'!$K:$K,'Таблиця 1'!$B:$B,$A77,'Таблиця 1'!$I:$I,"Су-25",'Таблиця 1'!$J:$J,"GBU-62")+SUMIFS('Таблиця 1'!$K:$K,'Таблиця 1'!$B:$B,$A77,'Таблиця 1'!$I:$I,"Су-27",'Таблиця 1'!$J:$J,"GBU-62"))</f>
        <v/>
      </c>
      <c r="N77">
        <f>IF($A77="","",SUMIFS('Таблиця 1'!$K:$K,'Таблиця 1'!$B:$B,$A77,'Таблиця 1'!$I:$I,"Mirage",'Таблиця 1'!$J:$J,"GBU-64")+SUMIFS('Таблиця 1'!$K:$K,'Таблиця 1'!$B:$B,$A77,'Таблиця 1'!$I:$I,"F-16",'Таблиця 1'!$J:$J,"GBU-64")+SUMIFS('Таблиця 1'!$K:$K,'Таблиця 1'!$B:$B,$A77,'Таблиця 1'!$I:$I,"МіГ-29",'Таблиця 1'!$J:$J,"GBU-64")+SUMIFS('Таблиця 1'!$K:$K,'Таблиця 1'!$B:$B,$A77,'Таблиця 1'!$I:$I,"Су-25",'Таблиця 1'!$J:$J,"GBU-64")+SUMIFS('Таблиця 1'!$K:$K,'Таблиця 1'!$B:$B,$A77,'Таблиця 1'!$I:$I,"Су-27",'Таблиця 1'!$J:$J,"GBU-64"))</f>
        <v/>
      </c>
      <c r="O77">
        <f>IF($A77="","",SUMIFS('Таблиця 1'!$K:$K,'Таблиця 1'!$B:$B,$A77,'Таблиця 1'!$I:$I,"Mirage",'Таблиця 1'!$J:$J,"C-13")+SUMIFS('Таблиця 1'!$K:$K,'Таблиця 1'!$B:$B,$A77,'Таблиця 1'!$I:$I,"F-16",'Таблиця 1'!$J:$J,"C-13")+SUMIFS('Таблиця 1'!$K:$K,'Таблиця 1'!$B:$B,$A77,'Таблиця 1'!$I:$I,"МіГ-29",'Таблиця 1'!$J:$J,"C-13")+SUMIFS('Таблиця 1'!$K:$K,'Таблиця 1'!$B:$B,$A77,'Таблиця 1'!$I:$I,"Су-25",'Таблиця 1'!$J:$J,"C-13")+SUMIFS('Таблиця 1'!$K:$K,'Таблиця 1'!$B:$B,$A77,'Таблиця 1'!$I:$I,"Су-27",'Таблиця 1'!$J:$J,"C-13"))</f>
        <v/>
      </c>
      <c r="P77">
        <f>IF($A77="","",SUMIFS('Таблиця 1'!$K:$K,'Таблиця 1'!$B:$B,$A77,'Таблиця 1'!$I:$I,"Mirage",'Таблиця 1'!$J:$J,"MK-32")+SUMIFS('Таблиця 1'!$K:$K,'Таблиця 1'!$B:$B,$A77,'Таблиця 1'!$I:$I,"F-16",'Таблиця 1'!$J:$J,"MK-32")+SUMIFS('Таблиця 1'!$K:$K,'Таблиця 1'!$B:$B,$A77,'Таблиця 1'!$I:$I,"МіГ-29",'Таблиця 1'!$J:$J,"MK-32")+SUMIFS('Таблиця 1'!$K:$K,'Таблиця 1'!$B:$B,$A77,'Таблиця 1'!$I:$I,"Су-25",'Таблиця 1'!$J:$J,"MK-32")+SUMIFS('Таблиця 1'!$K:$K,'Таблиця 1'!$B:$B,$A77,'Таблиця 1'!$I:$I,"Су-27",'Таблиця 1'!$J:$J,"MK-32"))</f>
        <v/>
      </c>
      <c r="Q77">
        <f>IF($A77="","",SUMIFS('Таблиця 1'!$K:$K,'Таблиця 1'!$B:$B,$A77,'Таблиця 1'!$I:$I,"Mirage",'Таблиця 1'!$J:$J,"MK-24")+SUMIFS('Таблиця 1'!$K:$K,'Таблиця 1'!$B:$B,$A77,'Таблиця 1'!$I:$I,"F-16",'Таблиця 1'!$J:$J,"MK-24")+SUMIFS('Таблиця 1'!$K:$K,'Таблиця 1'!$B:$B,$A77,'Таблиця 1'!$I:$I,"МіГ-29",'Таблиця 1'!$J:$J,"MK-24")+SUMIFS('Таблиця 1'!$K:$K,'Таблиця 1'!$B:$B,$A77,'Таблиця 1'!$I:$I,"Су-25",'Таблиця 1'!$J:$J,"MK-24")+SUMIFS('Таблиця 1'!$K:$K,'Таблиця 1'!$B:$B,$A77,'Таблиця 1'!$I:$I,"Су-27",'Таблиця 1'!$J:$J,"MK-24"))</f>
        <v/>
      </c>
      <c r="R77">
        <f>IF($A77="","",COUNTIFS('Таблиця 1'!$B:$B,$A77,'Таблиця 1'!$I:$I,"Mirage",'Таблиця 1'!$L:$L,"Уражено")+COUNTIFS('Таблиця 1'!$B:$B,$A77,'Таблиця 1'!$I:$I,"F-16",'Таблиця 1'!$L:$L,"Уражено")+COUNTIFS('Таблиця 1'!$B:$B,$A77,'Таблиця 1'!$I:$I,"МіГ-29",'Таблиця 1'!$L:$L,"Уражено")+COUNTIFS('Таблиця 1'!$B:$B,$A77,'Таблиця 1'!$I:$I,"Су-25",'Таблиця 1'!$L:$L,"Уражено")+COUNTIFS('Таблиця 1'!$B:$B,$A77,'Таблиця 1'!$I:$I,"Су-27",'Таблиця 1'!$L:$L,"Уражено"))</f>
        <v/>
      </c>
      <c r="S77">
        <f>IF($A77="","",COUNTIFS('Таблиця 1'!$B:$B,$A77,'Таблиця 1'!$I:$I,"Mirage",'Таблиця 1'!$L:$L,"НЕ уражено")+COUNTIFS('Таблиця 1'!$B:$B,$A77,'Таблиця 1'!$I:$I,"F-16",'Таблиця 1'!$L:$L,"НЕ уражено")+COUNTIFS('Таблиця 1'!$B:$B,$A77,'Таблиця 1'!$I:$I,"МіГ-29",'Таблиця 1'!$L:$L,"НЕ уражено")+COUNTIFS('Таблиця 1'!$B:$B,$A77,'Таблиця 1'!$I:$I,"Су-25",'Таблиця 1'!$L:$L,"НЕ уражено")+COUNTIFS('Таблиця 1'!$B:$B,$A77,'Таблиця 1'!$I:$I,"Су-27",'Таблиця 1'!$L:$L,"НЕ уражено"))</f>
        <v/>
      </c>
      <c r="T77">
        <f>IF($A77="","",COUNTIFS('Таблиця 1'!$B:$B,$A77,'Таблиця 1'!$I:$I,"Mirage",'Таблиця 1'!$L:$L,"Дорозвідується")+COUNTIFS('Таблиця 1'!$B:$B,$A77,'Таблиця 1'!$I:$I,"F-16",'Таблиця 1'!$L:$L,"Дорозвідується")+COUNTIFS('Таблиця 1'!$B:$B,$A77,'Таблиця 1'!$I:$I,"МіГ-29",'Таблиця 1'!$L:$L,"Дорозвідується")+COUNTIFS('Таблиця 1'!$B:$B,$A77,'Таблиця 1'!$I:$I,"Су-25",'Таблиця 1'!$L:$L,"Дорозвідується")+COUNTIFS('Таблиця 1'!$B:$B,$A77,'Таблиця 1'!$I:$I,"Су-27",'Таблиця 1'!$L:$L,"Дорозвідується"))</f>
        <v/>
      </c>
    </row>
    <row r="78">
      <c r="A78" s="273">
        <f>IF(A77="","",IF(A77+1&gt;MAX('Таблиця 1'!$B:$B),"",A77+1))</f>
        <v/>
      </c>
      <c r="B78">
        <f>IF($A78="","",COUNTIFS('Таблиця 1'!$B:$B,$A78,'Таблиця 1'!$I:$I,"Mirage")+COUNTIFS('Таблиця 1'!$B:$B,$A78,'Таблиця 1'!$I:$I,"F-16")+COUNTIFS('Таблиця 1'!$B:$B,$A78,'Таблиця 1'!$I:$I,"МіГ-29")+COUNTIFS('Таблиця 1'!$B:$B,$A78,'Таблиця 1'!$I:$I,"Су-25")+COUNTIFS('Таблиця 1'!$B:$B,$A78,'Таблиця 1'!$I:$I,"Су-27"))</f>
        <v/>
      </c>
      <c r="C78">
        <f>IF($A78="","",COUNTIFS('Таблиця 1'!$B:$B,$A78,'Таблиця 1'!$I:$I,"Mirage"))</f>
        <v/>
      </c>
      <c r="D78">
        <f>IF($A78="","",COUNTIFS('Таблиця 1'!$B:$B,$A78,'Таблиця 1'!$I:$I,"F-16"))</f>
        <v/>
      </c>
      <c r="E78">
        <f>IF($A78="","",COUNTIFS('Таблиця 1'!$B:$B,$A78,'Таблиця 1'!$I:$I,"МіГ-29"))</f>
        <v/>
      </c>
      <c r="F78">
        <f>IF($A78="","",COUNTIFS('Таблиця 1'!$B:$B,$A78,'Таблиця 1'!$I:$I,"Су-25"))</f>
        <v/>
      </c>
      <c r="G78">
        <f>IF($A78="","",COUNTIFS('Таблиця 1'!$B:$B,$A78,'Таблиця 1'!$I:$I,"Су-27"))</f>
        <v/>
      </c>
      <c r="H78">
        <f>IF($A78="","",SUMIFS('Таблиця 1'!$K:$K,'Таблиця 1'!$B:$B,$A78,'Таблиця 1'!$I:$I,"Mirage",'Таблиця 1'!$J:$J,"AGM-88")+SUMIFS('Таблиця 1'!$K:$K,'Таблиця 1'!$B:$B,$A78,'Таблиця 1'!$I:$I,"F-16",'Таблиця 1'!$J:$J,"AGM-88")+SUMIFS('Таблиця 1'!$K:$K,'Таблиця 1'!$B:$B,$A78,'Таблиця 1'!$I:$I,"МіГ-29",'Таблиця 1'!$J:$J,"AGM-88")+SUMIFS('Таблиця 1'!$K:$K,'Таблиця 1'!$B:$B,$A78,'Таблиця 1'!$I:$I,"Су-25",'Таблиця 1'!$J:$J,"AGM-88")+SUMIFS('Таблиця 1'!$K:$K,'Таблиця 1'!$B:$B,$A78,'Таблиця 1'!$I:$I,"Су-27",'Таблиця 1'!$J:$J,"AGM-88"))</f>
        <v/>
      </c>
      <c r="I78">
        <f>IF($A78="","",SUMIFS('Таблиця 1'!$K:$K,'Таблиця 1'!$B:$B,$A78,'Таблиця 1'!$I:$I,"Mirage",'Таблиця 1'!$J:$J,"AASM-250")+SUMIFS('Таблиця 1'!$K:$K,'Таблиця 1'!$B:$B,$A78,'Таблиця 1'!$I:$I,"F-16",'Таблиця 1'!$J:$J,"AASM-250")+SUMIFS('Таблиця 1'!$K:$K,'Таблиця 1'!$B:$B,$A78,'Таблиця 1'!$I:$I,"МіГ-29",'Таблиця 1'!$J:$J,"AASM-250")+SUMIFS('Таблиця 1'!$K:$K,'Таблиця 1'!$B:$B,$A78,'Таблиця 1'!$I:$I,"Су-25",'Таблиця 1'!$J:$J,"AASM-250")+SUMIFS('Таблиця 1'!$K:$K,'Таблиця 1'!$B:$B,$A78,'Таблиця 1'!$I:$I,"Су-27",'Таблиця 1'!$J:$J,"AASM-250"))</f>
        <v/>
      </c>
      <c r="J78">
        <f>IF($A78="","",SUMIFS('Таблиця 1'!$K:$K,'Таблиця 1'!$B:$B,$A78,'Таблиця 1'!$I:$I,"Mirage",'Таблиця 1'!$J:$J,"GBU-39")+SUMIFS('Таблиця 1'!$K:$K,'Таблиця 1'!$B:$B,$A78,'Таблиця 1'!$I:$I,"F-16",'Таблиця 1'!$J:$J,"GBU-39")+SUMIFS('Таблиця 1'!$K:$K,'Таблиця 1'!$B:$B,$A78,'Таблиця 1'!$I:$I,"МіГ-29",'Таблиця 1'!$J:$J,"GBU-39")+SUMIFS('Таблиця 1'!$K:$K,'Таблиця 1'!$B:$B,$A78,'Таблиця 1'!$I:$I,"Су-25",'Таблиця 1'!$J:$J,"GBU-39")+SUMIFS('Таблиця 1'!$K:$K,'Таблиця 1'!$B:$B,$A78,'Таблиця 1'!$I:$I,"Су-27",'Таблиця 1'!$J:$J,"GBU-39"))</f>
        <v/>
      </c>
      <c r="K78">
        <f>IF($A78="","",SUMIFS('Таблиця 1'!$K:$K,'Таблиця 1'!$B:$B,$A78,'Таблиця 1'!$I:$I,"Mirage",'Таблиця 1'!$J:$J,"BLU-140")+SUMIFS('Таблиця 1'!$K:$K,'Таблиця 1'!$B:$B,$A78,'Таблиця 1'!$I:$I,"F-16",'Таблиця 1'!$J:$J,"BLU-140")+SUMIFS('Таблиця 1'!$K:$K,'Таблиця 1'!$B:$B,$A78,'Таблиця 1'!$I:$I,"МіГ-29",'Таблиця 1'!$J:$J,"BLU-140")+SUMIFS('Таблиця 1'!$K:$K,'Таблиця 1'!$B:$B,$A78,'Таблиця 1'!$I:$I,"Су-25",'Таблиця 1'!$J:$J,"BLU-140")+SUMIFS('Таблиця 1'!$K:$K,'Таблиця 1'!$B:$B,$A78,'Таблиця 1'!$I:$I,"Су-27",'Таблиця 1'!$J:$J,"BLU-140"))</f>
        <v/>
      </c>
      <c r="L78">
        <f>IF($A78="","",SUMIFS('Таблиця 1'!$K:$K,'Таблиця 1'!$B:$B,$A78,'Таблиця 1'!$I:$I,"Mirage",'Таблиця 1'!$J:$J,"GBU-65")+SUMIFS('Таблиця 1'!$K:$K,'Таблиця 1'!$B:$B,$A78,'Таблиця 1'!$I:$I,"F-16",'Таблиця 1'!$J:$J,"GBU-65")+SUMIFS('Таблиця 1'!$K:$K,'Таблиця 1'!$B:$B,$A78,'Таблиця 1'!$I:$I,"МіГ-29",'Таблиця 1'!$J:$J,"GBU-65")+SUMIFS('Таблиця 1'!$K:$K,'Таблиця 1'!$B:$B,$A78,'Таблиця 1'!$I:$I,"Су-25",'Таблиця 1'!$J:$J,"GBU-65")+SUMIFS('Таблиця 1'!$K:$K,'Таблиця 1'!$B:$B,$A78,'Таблиця 1'!$I:$I,"Су-27",'Таблиця 1'!$J:$J,"GBU-65"))</f>
        <v/>
      </c>
      <c r="M78">
        <f>IF($A78="","",SUMIFS('Таблиця 1'!$K:$K,'Таблиця 1'!$B:$B,$A78,'Таблиця 1'!$I:$I,"Mirage",'Таблиця 1'!$J:$J,"GBU-62")+SUMIFS('Таблиця 1'!$K:$K,'Таблиця 1'!$B:$B,$A78,'Таблиця 1'!$I:$I,"F-16",'Таблиця 1'!$J:$J,"GBU-62")+SUMIFS('Таблиця 1'!$K:$K,'Таблиця 1'!$B:$B,$A78,'Таблиця 1'!$I:$I,"МіГ-29",'Таблиця 1'!$J:$J,"GBU-62")+SUMIFS('Таблиця 1'!$K:$K,'Таблиця 1'!$B:$B,$A78,'Таблиця 1'!$I:$I,"Су-25",'Таблиця 1'!$J:$J,"GBU-62")+SUMIFS('Таблиця 1'!$K:$K,'Таблиця 1'!$B:$B,$A78,'Таблиця 1'!$I:$I,"Су-27",'Таблиця 1'!$J:$J,"GBU-62"))</f>
        <v/>
      </c>
      <c r="N78">
        <f>IF($A78="","",SUMIFS('Таблиця 1'!$K:$K,'Таблиця 1'!$B:$B,$A78,'Таблиця 1'!$I:$I,"Mirage",'Таблиця 1'!$J:$J,"GBU-64")+SUMIFS('Таблиця 1'!$K:$K,'Таблиця 1'!$B:$B,$A78,'Таблиця 1'!$I:$I,"F-16",'Таблиця 1'!$J:$J,"GBU-64")+SUMIFS('Таблиця 1'!$K:$K,'Таблиця 1'!$B:$B,$A78,'Таблиця 1'!$I:$I,"МіГ-29",'Таблиця 1'!$J:$J,"GBU-64")+SUMIFS('Таблиця 1'!$K:$K,'Таблиця 1'!$B:$B,$A78,'Таблиця 1'!$I:$I,"Су-25",'Таблиця 1'!$J:$J,"GBU-64")+SUMIFS('Таблиця 1'!$K:$K,'Таблиця 1'!$B:$B,$A78,'Таблиця 1'!$I:$I,"Су-27",'Таблиця 1'!$J:$J,"GBU-64"))</f>
        <v/>
      </c>
      <c r="O78">
        <f>IF($A78="","",SUMIFS('Таблиця 1'!$K:$K,'Таблиця 1'!$B:$B,$A78,'Таблиця 1'!$I:$I,"Mirage",'Таблиця 1'!$J:$J,"C-13")+SUMIFS('Таблиця 1'!$K:$K,'Таблиця 1'!$B:$B,$A78,'Таблиця 1'!$I:$I,"F-16",'Таблиця 1'!$J:$J,"C-13")+SUMIFS('Таблиця 1'!$K:$K,'Таблиця 1'!$B:$B,$A78,'Таблиця 1'!$I:$I,"МіГ-29",'Таблиця 1'!$J:$J,"C-13")+SUMIFS('Таблиця 1'!$K:$K,'Таблиця 1'!$B:$B,$A78,'Таблиця 1'!$I:$I,"Су-25",'Таблиця 1'!$J:$J,"C-13")+SUMIFS('Таблиця 1'!$K:$K,'Таблиця 1'!$B:$B,$A78,'Таблиця 1'!$I:$I,"Су-27",'Таблиця 1'!$J:$J,"C-13"))</f>
        <v/>
      </c>
      <c r="P78">
        <f>IF($A78="","",SUMIFS('Таблиця 1'!$K:$K,'Таблиця 1'!$B:$B,$A78,'Таблиця 1'!$I:$I,"Mirage",'Таблиця 1'!$J:$J,"MK-32")+SUMIFS('Таблиця 1'!$K:$K,'Таблиця 1'!$B:$B,$A78,'Таблиця 1'!$I:$I,"F-16",'Таблиця 1'!$J:$J,"MK-32")+SUMIFS('Таблиця 1'!$K:$K,'Таблиця 1'!$B:$B,$A78,'Таблиця 1'!$I:$I,"МіГ-29",'Таблиця 1'!$J:$J,"MK-32")+SUMIFS('Таблиця 1'!$K:$K,'Таблиця 1'!$B:$B,$A78,'Таблиця 1'!$I:$I,"Су-25",'Таблиця 1'!$J:$J,"MK-32")+SUMIFS('Таблиця 1'!$K:$K,'Таблиця 1'!$B:$B,$A78,'Таблиця 1'!$I:$I,"Су-27",'Таблиця 1'!$J:$J,"MK-32"))</f>
        <v/>
      </c>
      <c r="Q78">
        <f>IF($A78="","",SUMIFS('Таблиця 1'!$K:$K,'Таблиця 1'!$B:$B,$A78,'Таблиця 1'!$I:$I,"Mirage",'Таблиця 1'!$J:$J,"MK-24")+SUMIFS('Таблиця 1'!$K:$K,'Таблиця 1'!$B:$B,$A78,'Таблиця 1'!$I:$I,"F-16",'Таблиця 1'!$J:$J,"MK-24")+SUMIFS('Таблиця 1'!$K:$K,'Таблиця 1'!$B:$B,$A78,'Таблиця 1'!$I:$I,"МіГ-29",'Таблиця 1'!$J:$J,"MK-24")+SUMIFS('Таблиця 1'!$K:$K,'Таблиця 1'!$B:$B,$A78,'Таблиця 1'!$I:$I,"Су-25",'Таблиця 1'!$J:$J,"MK-24")+SUMIFS('Таблиця 1'!$K:$K,'Таблиця 1'!$B:$B,$A78,'Таблиця 1'!$I:$I,"Су-27",'Таблиця 1'!$J:$J,"MK-24"))</f>
        <v/>
      </c>
      <c r="R78">
        <f>IF($A78="","",COUNTIFS('Таблиця 1'!$B:$B,$A78,'Таблиця 1'!$I:$I,"Mirage",'Таблиця 1'!$L:$L,"Уражено")+COUNTIFS('Таблиця 1'!$B:$B,$A78,'Таблиця 1'!$I:$I,"F-16",'Таблиця 1'!$L:$L,"Уражено")+COUNTIFS('Таблиця 1'!$B:$B,$A78,'Таблиця 1'!$I:$I,"МіГ-29",'Таблиця 1'!$L:$L,"Уражено")+COUNTIFS('Таблиця 1'!$B:$B,$A78,'Таблиця 1'!$I:$I,"Су-25",'Таблиця 1'!$L:$L,"Уражено")+COUNTIFS('Таблиця 1'!$B:$B,$A78,'Таблиця 1'!$I:$I,"Су-27",'Таблиця 1'!$L:$L,"Уражено"))</f>
        <v/>
      </c>
      <c r="S78">
        <f>IF($A78="","",COUNTIFS('Таблиця 1'!$B:$B,$A78,'Таблиця 1'!$I:$I,"Mirage",'Таблиця 1'!$L:$L,"НЕ уражено")+COUNTIFS('Таблиця 1'!$B:$B,$A78,'Таблиця 1'!$I:$I,"F-16",'Таблиця 1'!$L:$L,"НЕ уражено")+COUNTIFS('Таблиця 1'!$B:$B,$A78,'Таблиця 1'!$I:$I,"МіГ-29",'Таблиця 1'!$L:$L,"НЕ уражено")+COUNTIFS('Таблиця 1'!$B:$B,$A78,'Таблиця 1'!$I:$I,"Су-25",'Таблиця 1'!$L:$L,"НЕ уражено")+COUNTIFS('Таблиця 1'!$B:$B,$A78,'Таблиця 1'!$I:$I,"Су-27",'Таблиця 1'!$L:$L,"НЕ уражено"))</f>
        <v/>
      </c>
      <c r="T78">
        <f>IF($A78="","",COUNTIFS('Таблиця 1'!$B:$B,$A78,'Таблиця 1'!$I:$I,"Mirage",'Таблиця 1'!$L:$L,"Дорозвідується")+COUNTIFS('Таблиця 1'!$B:$B,$A78,'Таблиця 1'!$I:$I,"F-16",'Таблиця 1'!$L:$L,"Дорозвідується")+COUNTIFS('Таблиця 1'!$B:$B,$A78,'Таблиця 1'!$I:$I,"МіГ-29",'Таблиця 1'!$L:$L,"Дорозвідується")+COUNTIFS('Таблиця 1'!$B:$B,$A78,'Таблиця 1'!$I:$I,"Су-25",'Таблиця 1'!$L:$L,"Дорозвідується")+COUNTIFS('Таблиця 1'!$B:$B,$A78,'Таблиця 1'!$I:$I,"Су-27",'Таблиця 1'!$L:$L,"Дорозвідується"))</f>
        <v/>
      </c>
    </row>
    <row r="79">
      <c r="A79" s="273">
        <f>IF(A78="","",IF(A78+1&gt;MAX('Таблиця 1'!$B:$B),"",A78+1))</f>
        <v/>
      </c>
      <c r="B79">
        <f>IF($A79="","",COUNTIFS('Таблиця 1'!$B:$B,$A79,'Таблиця 1'!$I:$I,"Mirage")+COUNTIFS('Таблиця 1'!$B:$B,$A79,'Таблиця 1'!$I:$I,"F-16")+COUNTIFS('Таблиця 1'!$B:$B,$A79,'Таблиця 1'!$I:$I,"МіГ-29")+COUNTIFS('Таблиця 1'!$B:$B,$A79,'Таблиця 1'!$I:$I,"Су-25")+COUNTIFS('Таблиця 1'!$B:$B,$A79,'Таблиця 1'!$I:$I,"Су-27"))</f>
        <v/>
      </c>
      <c r="C79">
        <f>IF($A79="","",COUNTIFS('Таблиця 1'!$B:$B,$A79,'Таблиця 1'!$I:$I,"Mirage"))</f>
        <v/>
      </c>
      <c r="D79">
        <f>IF($A79="","",COUNTIFS('Таблиця 1'!$B:$B,$A79,'Таблиця 1'!$I:$I,"F-16"))</f>
        <v/>
      </c>
      <c r="E79">
        <f>IF($A79="","",COUNTIFS('Таблиця 1'!$B:$B,$A79,'Таблиця 1'!$I:$I,"МіГ-29"))</f>
        <v/>
      </c>
      <c r="F79">
        <f>IF($A79="","",COUNTIFS('Таблиця 1'!$B:$B,$A79,'Таблиця 1'!$I:$I,"Су-25"))</f>
        <v/>
      </c>
      <c r="G79">
        <f>IF($A79="","",COUNTIFS('Таблиця 1'!$B:$B,$A79,'Таблиця 1'!$I:$I,"Су-27"))</f>
        <v/>
      </c>
      <c r="H79">
        <f>IF($A79="","",SUMIFS('Таблиця 1'!$K:$K,'Таблиця 1'!$B:$B,$A79,'Таблиця 1'!$I:$I,"Mirage",'Таблиця 1'!$J:$J,"AGM-88")+SUMIFS('Таблиця 1'!$K:$K,'Таблиця 1'!$B:$B,$A79,'Таблиця 1'!$I:$I,"F-16",'Таблиця 1'!$J:$J,"AGM-88")+SUMIFS('Таблиця 1'!$K:$K,'Таблиця 1'!$B:$B,$A79,'Таблиця 1'!$I:$I,"МіГ-29",'Таблиця 1'!$J:$J,"AGM-88")+SUMIFS('Таблиця 1'!$K:$K,'Таблиця 1'!$B:$B,$A79,'Таблиця 1'!$I:$I,"Су-25",'Таблиця 1'!$J:$J,"AGM-88")+SUMIFS('Таблиця 1'!$K:$K,'Таблиця 1'!$B:$B,$A79,'Таблиця 1'!$I:$I,"Су-27",'Таблиця 1'!$J:$J,"AGM-88"))</f>
        <v/>
      </c>
      <c r="I79">
        <f>IF($A79="","",SUMIFS('Таблиця 1'!$K:$K,'Таблиця 1'!$B:$B,$A79,'Таблиця 1'!$I:$I,"Mirage",'Таблиця 1'!$J:$J,"AASM-250")+SUMIFS('Таблиця 1'!$K:$K,'Таблиця 1'!$B:$B,$A79,'Таблиця 1'!$I:$I,"F-16",'Таблиця 1'!$J:$J,"AASM-250")+SUMIFS('Таблиця 1'!$K:$K,'Таблиця 1'!$B:$B,$A79,'Таблиця 1'!$I:$I,"МіГ-29",'Таблиця 1'!$J:$J,"AASM-250")+SUMIFS('Таблиця 1'!$K:$K,'Таблиця 1'!$B:$B,$A79,'Таблиця 1'!$I:$I,"Су-25",'Таблиця 1'!$J:$J,"AASM-250")+SUMIFS('Таблиця 1'!$K:$K,'Таблиця 1'!$B:$B,$A79,'Таблиця 1'!$I:$I,"Су-27",'Таблиця 1'!$J:$J,"AASM-250"))</f>
        <v/>
      </c>
      <c r="J79">
        <f>IF($A79="","",SUMIFS('Таблиця 1'!$K:$K,'Таблиця 1'!$B:$B,$A79,'Таблиця 1'!$I:$I,"Mirage",'Таблиця 1'!$J:$J,"GBU-39")+SUMIFS('Таблиця 1'!$K:$K,'Таблиця 1'!$B:$B,$A79,'Таблиця 1'!$I:$I,"F-16",'Таблиця 1'!$J:$J,"GBU-39")+SUMIFS('Таблиця 1'!$K:$K,'Таблиця 1'!$B:$B,$A79,'Таблиця 1'!$I:$I,"МіГ-29",'Таблиця 1'!$J:$J,"GBU-39")+SUMIFS('Таблиця 1'!$K:$K,'Таблиця 1'!$B:$B,$A79,'Таблиця 1'!$I:$I,"Су-25",'Таблиця 1'!$J:$J,"GBU-39")+SUMIFS('Таблиця 1'!$K:$K,'Таблиця 1'!$B:$B,$A79,'Таблиця 1'!$I:$I,"Су-27",'Таблиця 1'!$J:$J,"GBU-39"))</f>
        <v/>
      </c>
      <c r="K79">
        <f>IF($A79="","",SUMIFS('Таблиця 1'!$K:$K,'Таблиця 1'!$B:$B,$A79,'Таблиця 1'!$I:$I,"Mirage",'Таблиця 1'!$J:$J,"BLU-140")+SUMIFS('Таблиця 1'!$K:$K,'Таблиця 1'!$B:$B,$A79,'Таблиця 1'!$I:$I,"F-16",'Таблиця 1'!$J:$J,"BLU-140")+SUMIFS('Таблиця 1'!$K:$K,'Таблиця 1'!$B:$B,$A79,'Таблиця 1'!$I:$I,"МіГ-29",'Таблиця 1'!$J:$J,"BLU-140")+SUMIFS('Таблиця 1'!$K:$K,'Таблиця 1'!$B:$B,$A79,'Таблиця 1'!$I:$I,"Су-25",'Таблиця 1'!$J:$J,"BLU-140")+SUMIFS('Таблиця 1'!$K:$K,'Таблиця 1'!$B:$B,$A79,'Таблиця 1'!$I:$I,"Су-27",'Таблиця 1'!$J:$J,"BLU-140"))</f>
        <v/>
      </c>
      <c r="L79">
        <f>IF($A79="","",SUMIFS('Таблиця 1'!$K:$K,'Таблиця 1'!$B:$B,$A79,'Таблиця 1'!$I:$I,"Mirage",'Таблиця 1'!$J:$J,"GBU-65")+SUMIFS('Таблиця 1'!$K:$K,'Таблиця 1'!$B:$B,$A79,'Таблиця 1'!$I:$I,"F-16",'Таблиця 1'!$J:$J,"GBU-65")+SUMIFS('Таблиця 1'!$K:$K,'Таблиця 1'!$B:$B,$A79,'Таблиця 1'!$I:$I,"МіГ-29",'Таблиця 1'!$J:$J,"GBU-65")+SUMIFS('Таблиця 1'!$K:$K,'Таблиця 1'!$B:$B,$A79,'Таблиця 1'!$I:$I,"Су-25",'Таблиця 1'!$J:$J,"GBU-65")+SUMIFS('Таблиця 1'!$K:$K,'Таблиця 1'!$B:$B,$A79,'Таблиця 1'!$I:$I,"Су-27",'Таблиця 1'!$J:$J,"GBU-65"))</f>
        <v/>
      </c>
      <c r="M79">
        <f>IF($A79="","",SUMIFS('Таблиця 1'!$K:$K,'Таблиця 1'!$B:$B,$A79,'Таблиця 1'!$I:$I,"Mirage",'Таблиця 1'!$J:$J,"GBU-62")+SUMIFS('Таблиця 1'!$K:$K,'Таблиця 1'!$B:$B,$A79,'Таблиця 1'!$I:$I,"F-16",'Таблиця 1'!$J:$J,"GBU-62")+SUMIFS('Таблиця 1'!$K:$K,'Таблиця 1'!$B:$B,$A79,'Таблиця 1'!$I:$I,"МіГ-29",'Таблиця 1'!$J:$J,"GBU-62")+SUMIFS('Таблиця 1'!$K:$K,'Таблиця 1'!$B:$B,$A79,'Таблиця 1'!$I:$I,"Су-25",'Таблиця 1'!$J:$J,"GBU-62")+SUMIFS('Таблиця 1'!$K:$K,'Таблиця 1'!$B:$B,$A79,'Таблиця 1'!$I:$I,"Су-27",'Таблиця 1'!$J:$J,"GBU-62"))</f>
        <v/>
      </c>
      <c r="N79">
        <f>IF($A79="","",SUMIFS('Таблиця 1'!$K:$K,'Таблиця 1'!$B:$B,$A79,'Таблиця 1'!$I:$I,"Mirage",'Таблиця 1'!$J:$J,"GBU-64")+SUMIFS('Таблиця 1'!$K:$K,'Таблиця 1'!$B:$B,$A79,'Таблиця 1'!$I:$I,"F-16",'Таблиця 1'!$J:$J,"GBU-64")+SUMIFS('Таблиця 1'!$K:$K,'Таблиця 1'!$B:$B,$A79,'Таблиця 1'!$I:$I,"МіГ-29",'Таблиця 1'!$J:$J,"GBU-64")+SUMIFS('Таблиця 1'!$K:$K,'Таблиця 1'!$B:$B,$A79,'Таблиця 1'!$I:$I,"Су-25",'Таблиця 1'!$J:$J,"GBU-64")+SUMIFS('Таблиця 1'!$K:$K,'Таблиця 1'!$B:$B,$A79,'Таблиця 1'!$I:$I,"Су-27",'Таблиця 1'!$J:$J,"GBU-64"))</f>
        <v/>
      </c>
      <c r="O79">
        <f>IF($A79="","",SUMIFS('Таблиця 1'!$K:$K,'Таблиця 1'!$B:$B,$A79,'Таблиця 1'!$I:$I,"Mirage",'Таблиця 1'!$J:$J,"C-13")+SUMIFS('Таблиця 1'!$K:$K,'Таблиця 1'!$B:$B,$A79,'Таблиця 1'!$I:$I,"F-16",'Таблиця 1'!$J:$J,"C-13")+SUMIFS('Таблиця 1'!$K:$K,'Таблиця 1'!$B:$B,$A79,'Таблиця 1'!$I:$I,"МіГ-29",'Таблиця 1'!$J:$J,"C-13")+SUMIFS('Таблиця 1'!$K:$K,'Таблиця 1'!$B:$B,$A79,'Таблиця 1'!$I:$I,"Су-25",'Таблиця 1'!$J:$J,"C-13")+SUMIFS('Таблиця 1'!$K:$K,'Таблиця 1'!$B:$B,$A79,'Таблиця 1'!$I:$I,"Су-27",'Таблиця 1'!$J:$J,"C-13"))</f>
        <v/>
      </c>
      <c r="P79">
        <f>IF($A79="","",SUMIFS('Таблиця 1'!$K:$K,'Таблиця 1'!$B:$B,$A79,'Таблиця 1'!$I:$I,"Mirage",'Таблиця 1'!$J:$J,"MK-32")+SUMIFS('Таблиця 1'!$K:$K,'Таблиця 1'!$B:$B,$A79,'Таблиця 1'!$I:$I,"F-16",'Таблиця 1'!$J:$J,"MK-32")+SUMIFS('Таблиця 1'!$K:$K,'Таблиця 1'!$B:$B,$A79,'Таблиця 1'!$I:$I,"МіГ-29",'Таблиця 1'!$J:$J,"MK-32")+SUMIFS('Таблиця 1'!$K:$K,'Таблиця 1'!$B:$B,$A79,'Таблиця 1'!$I:$I,"Су-25",'Таблиця 1'!$J:$J,"MK-32")+SUMIFS('Таблиця 1'!$K:$K,'Таблиця 1'!$B:$B,$A79,'Таблиця 1'!$I:$I,"Су-27",'Таблиця 1'!$J:$J,"MK-32"))</f>
        <v/>
      </c>
      <c r="Q79">
        <f>IF($A79="","",SUMIFS('Таблиця 1'!$K:$K,'Таблиця 1'!$B:$B,$A79,'Таблиця 1'!$I:$I,"Mirage",'Таблиця 1'!$J:$J,"MK-24")+SUMIFS('Таблиця 1'!$K:$K,'Таблиця 1'!$B:$B,$A79,'Таблиця 1'!$I:$I,"F-16",'Таблиця 1'!$J:$J,"MK-24")+SUMIFS('Таблиця 1'!$K:$K,'Таблиця 1'!$B:$B,$A79,'Таблиця 1'!$I:$I,"МіГ-29",'Таблиця 1'!$J:$J,"MK-24")+SUMIFS('Таблиця 1'!$K:$K,'Таблиця 1'!$B:$B,$A79,'Таблиця 1'!$I:$I,"Су-25",'Таблиця 1'!$J:$J,"MK-24")+SUMIFS('Таблиця 1'!$K:$K,'Таблиця 1'!$B:$B,$A79,'Таблиця 1'!$I:$I,"Су-27",'Таблиця 1'!$J:$J,"MK-24"))</f>
        <v/>
      </c>
      <c r="R79">
        <f>IF($A79="","",COUNTIFS('Таблиця 1'!$B:$B,$A79,'Таблиця 1'!$I:$I,"Mirage",'Таблиця 1'!$L:$L,"Уражено")+COUNTIFS('Таблиця 1'!$B:$B,$A79,'Таблиця 1'!$I:$I,"F-16",'Таблиця 1'!$L:$L,"Уражено")+COUNTIFS('Таблиця 1'!$B:$B,$A79,'Таблиця 1'!$I:$I,"МіГ-29",'Таблиця 1'!$L:$L,"Уражено")+COUNTIFS('Таблиця 1'!$B:$B,$A79,'Таблиця 1'!$I:$I,"Су-25",'Таблиця 1'!$L:$L,"Уражено")+COUNTIFS('Таблиця 1'!$B:$B,$A79,'Таблиця 1'!$I:$I,"Су-27",'Таблиця 1'!$L:$L,"Уражено"))</f>
        <v/>
      </c>
      <c r="S79">
        <f>IF($A79="","",COUNTIFS('Таблиця 1'!$B:$B,$A79,'Таблиця 1'!$I:$I,"Mirage",'Таблиця 1'!$L:$L,"НЕ уражено")+COUNTIFS('Таблиця 1'!$B:$B,$A79,'Таблиця 1'!$I:$I,"F-16",'Таблиця 1'!$L:$L,"НЕ уражено")+COUNTIFS('Таблиця 1'!$B:$B,$A79,'Таблиця 1'!$I:$I,"МіГ-29",'Таблиця 1'!$L:$L,"НЕ уражено")+COUNTIFS('Таблиця 1'!$B:$B,$A79,'Таблиця 1'!$I:$I,"Су-25",'Таблиця 1'!$L:$L,"НЕ уражено")+COUNTIFS('Таблиця 1'!$B:$B,$A79,'Таблиця 1'!$I:$I,"Су-27",'Таблиця 1'!$L:$L,"НЕ уражено"))</f>
        <v/>
      </c>
      <c r="T79">
        <f>IF($A79="","",COUNTIFS('Таблиця 1'!$B:$B,$A79,'Таблиця 1'!$I:$I,"Mirage",'Таблиця 1'!$L:$L,"Дорозвідується")+COUNTIFS('Таблиця 1'!$B:$B,$A79,'Таблиця 1'!$I:$I,"F-16",'Таблиця 1'!$L:$L,"Дорозвідується")+COUNTIFS('Таблиця 1'!$B:$B,$A79,'Таблиця 1'!$I:$I,"МіГ-29",'Таблиця 1'!$L:$L,"Дорозвідується")+COUNTIFS('Таблиця 1'!$B:$B,$A79,'Таблиця 1'!$I:$I,"Су-25",'Таблиця 1'!$L:$L,"Дорозвідується")+COUNTIFS('Таблиця 1'!$B:$B,$A79,'Таблиця 1'!$I:$I,"Су-27",'Таблиця 1'!$L:$L,"Дорозвідується"))</f>
        <v/>
      </c>
    </row>
    <row r="80">
      <c r="A80" s="273">
        <f>IF(A79="","",IF(A79+1&gt;MAX('Таблиця 1'!$B:$B),"",A79+1))</f>
        <v/>
      </c>
      <c r="B80">
        <f>IF($A80="","",COUNTIFS('Таблиця 1'!$B:$B,$A80,'Таблиця 1'!$I:$I,"Mirage")+COUNTIFS('Таблиця 1'!$B:$B,$A80,'Таблиця 1'!$I:$I,"F-16")+COUNTIFS('Таблиця 1'!$B:$B,$A80,'Таблиця 1'!$I:$I,"МіГ-29")+COUNTIFS('Таблиця 1'!$B:$B,$A80,'Таблиця 1'!$I:$I,"Су-25")+COUNTIFS('Таблиця 1'!$B:$B,$A80,'Таблиця 1'!$I:$I,"Су-27"))</f>
        <v/>
      </c>
      <c r="C80">
        <f>IF($A80="","",COUNTIFS('Таблиця 1'!$B:$B,$A80,'Таблиця 1'!$I:$I,"Mirage"))</f>
        <v/>
      </c>
      <c r="D80">
        <f>IF($A80="","",COUNTIFS('Таблиця 1'!$B:$B,$A80,'Таблиця 1'!$I:$I,"F-16"))</f>
        <v/>
      </c>
      <c r="E80">
        <f>IF($A80="","",COUNTIFS('Таблиця 1'!$B:$B,$A80,'Таблиця 1'!$I:$I,"МіГ-29"))</f>
        <v/>
      </c>
      <c r="F80">
        <f>IF($A80="","",COUNTIFS('Таблиця 1'!$B:$B,$A80,'Таблиця 1'!$I:$I,"Су-25"))</f>
        <v/>
      </c>
      <c r="G80">
        <f>IF($A80="","",COUNTIFS('Таблиця 1'!$B:$B,$A80,'Таблиця 1'!$I:$I,"Су-27"))</f>
        <v/>
      </c>
      <c r="H80">
        <f>IF($A80="","",SUMIFS('Таблиця 1'!$K:$K,'Таблиця 1'!$B:$B,$A80,'Таблиця 1'!$I:$I,"Mirage",'Таблиця 1'!$J:$J,"AGM-88")+SUMIFS('Таблиця 1'!$K:$K,'Таблиця 1'!$B:$B,$A80,'Таблиця 1'!$I:$I,"F-16",'Таблиця 1'!$J:$J,"AGM-88")+SUMIFS('Таблиця 1'!$K:$K,'Таблиця 1'!$B:$B,$A80,'Таблиця 1'!$I:$I,"МіГ-29",'Таблиця 1'!$J:$J,"AGM-88")+SUMIFS('Таблиця 1'!$K:$K,'Таблиця 1'!$B:$B,$A80,'Таблиця 1'!$I:$I,"Су-25",'Таблиця 1'!$J:$J,"AGM-88")+SUMIFS('Таблиця 1'!$K:$K,'Таблиця 1'!$B:$B,$A80,'Таблиця 1'!$I:$I,"Су-27",'Таблиця 1'!$J:$J,"AGM-88"))</f>
        <v/>
      </c>
      <c r="I80">
        <f>IF($A80="","",SUMIFS('Таблиця 1'!$K:$K,'Таблиця 1'!$B:$B,$A80,'Таблиця 1'!$I:$I,"Mirage",'Таблиця 1'!$J:$J,"AASM-250")+SUMIFS('Таблиця 1'!$K:$K,'Таблиця 1'!$B:$B,$A80,'Таблиця 1'!$I:$I,"F-16",'Таблиця 1'!$J:$J,"AASM-250")+SUMIFS('Таблиця 1'!$K:$K,'Таблиця 1'!$B:$B,$A80,'Таблиця 1'!$I:$I,"МіГ-29",'Таблиця 1'!$J:$J,"AASM-250")+SUMIFS('Таблиця 1'!$K:$K,'Таблиця 1'!$B:$B,$A80,'Таблиця 1'!$I:$I,"Су-25",'Таблиця 1'!$J:$J,"AASM-250")+SUMIFS('Таблиця 1'!$K:$K,'Таблиця 1'!$B:$B,$A80,'Таблиця 1'!$I:$I,"Су-27",'Таблиця 1'!$J:$J,"AASM-250"))</f>
        <v/>
      </c>
      <c r="J80">
        <f>IF($A80="","",SUMIFS('Таблиця 1'!$K:$K,'Таблиця 1'!$B:$B,$A80,'Таблиця 1'!$I:$I,"Mirage",'Таблиця 1'!$J:$J,"GBU-39")+SUMIFS('Таблиця 1'!$K:$K,'Таблиця 1'!$B:$B,$A80,'Таблиця 1'!$I:$I,"F-16",'Таблиця 1'!$J:$J,"GBU-39")+SUMIFS('Таблиця 1'!$K:$K,'Таблиця 1'!$B:$B,$A80,'Таблиця 1'!$I:$I,"МіГ-29",'Таблиця 1'!$J:$J,"GBU-39")+SUMIFS('Таблиця 1'!$K:$K,'Таблиця 1'!$B:$B,$A80,'Таблиця 1'!$I:$I,"Су-25",'Таблиця 1'!$J:$J,"GBU-39")+SUMIFS('Таблиця 1'!$K:$K,'Таблиця 1'!$B:$B,$A80,'Таблиця 1'!$I:$I,"Су-27",'Таблиця 1'!$J:$J,"GBU-39"))</f>
        <v/>
      </c>
      <c r="K80">
        <f>IF($A80="","",SUMIFS('Таблиця 1'!$K:$K,'Таблиця 1'!$B:$B,$A80,'Таблиця 1'!$I:$I,"Mirage",'Таблиця 1'!$J:$J,"BLU-140")+SUMIFS('Таблиця 1'!$K:$K,'Таблиця 1'!$B:$B,$A80,'Таблиця 1'!$I:$I,"F-16",'Таблиця 1'!$J:$J,"BLU-140")+SUMIFS('Таблиця 1'!$K:$K,'Таблиця 1'!$B:$B,$A80,'Таблиця 1'!$I:$I,"МіГ-29",'Таблиця 1'!$J:$J,"BLU-140")+SUMIFS('Таблиця 1'!$K:$K,'Таблиця 1'!$B:$B,$A80,'Таблиця 1'!$I:$I,"Су-25",'Таблиця 1'!$J:$J,"BLU-140")+SUMIFS('Таблиця 1'!$K:$K,'Таблиця 1'!$B:$B,$A80,'Таблиця 1'!$I:$I,"Су-27",'Таблиця 1'!$J:$J,"BLU-140"))</f>
        <v/>
      </c>
      <c r="L80">
        <f>IF($A80="","",SUMIFS('Таблиця 1'!$K:$K,'Таблиця 1'!$B:$B,$A80,'Таблиця 1'!$I:$I,"Mirage",'Таблиця 1'!$J:$J,"GBU-65")+SUMIFS('Таблиця 1'!$K:$K,'Таблиця 1'!$B:$B,$A80,'Таблиця 1'!$I:$I,"F-16",'Таблиця 1'!$J:$J,"GBU-65")+SUMIFS('Таблиця 1'!$K:$K,'Таблиця 1'!$B:$B,$A80,'Таблиця 1'!$I:$I,"МіГ-29",'Таблиця 1'!$J:$J,"GBU-65")+SUMIFS('Таблиця 1'!$K:$K,'Таблиця 1'!$B:$B,$A80,'Таблиця 1'!$I:$I,"Су-25",'Таблиця 1'!$J:$J,"GBU-65")+SUMIFS('Таблиця 1'!$K:$K,'Таблиця 1'!$B:$B,$A80,'Таблиця 1'!$I:$I,"Су-27",'Таблиця 1'!$J:$J,"GBU-65"))</f>
        <v/>
      </c>
      <c r="M80">
        <f>IF($A80="","",SUMIFS('Таблиця 1'!$K:$K,'Таблиця 1'!$B:$B,$A80,'Таблиця 1'!$I:$I,"Mirage",'Таблиця 1'!$J:$J,"GBU-62")+SUMIFS('Таблиця 1'!$K:$K,'Таблиця 1'!$B:$B,$A80,'Таблиця 1'!$I:$I,"F-16",'Таблиця 1'!$J:$J,"GBU-62")+SUMIFS('Таблиця 1'!$K:$K,'Таблиця 1'!$B:$B,$A80,'Таблиця 1'!$I:$I,"МіГ-29",'Таблиця 1'!$J:$J,"GBU-62")+SUMIFS('Таблиця 1'!$K:$K,'Таблиця 1'!$B:$B,$A80,'Таблиця 1'!$I:$I,"Су-25",'Таблиця 1'!$J:$J,"GBU-62")+SUMIFS('Таблиця 1'!$K:$K,'Таблиця 1'!$B:$B,$A80,'Таблиця 1'!$I:$I,"Су-27",'Таблиця 1'!$J:$J,"GBU-62"))</f>
        <v/>
      </c>
      <c r="N80">
        <f>IF($A80="","",SUMIFS('Таблиця 1'!$K:$K,'Таблиця 1'!$B:$B,$A80,'Таблиця 1'!$I:$I,"Mirage",'Таблиця 1'!$J:$J,"GBU-64")+SUMIFS('Таблиця 1'!$K:$K,'Таблиця 1'!$B:$B,$A80,'Таблиця 1'!$I:$I,"F-16",'Таблиця 1'!$J:$J,"GBU-64")+SUMIFS('Таблиця 1'!$K:$K,'Таблиця 1'!$B:$B,$A80,'Таблиця 1'!$I:$I,"МіГ-29",'Таблиця 1'!$J:$J,"GBU-64")+SUMIFS('Таблиця 1'!$K:$K,'Таблиця 1'!$B:$B,$A80,'Таблиця 1'!$I:$I,"Су-25",'Таблиця 1'!$J:$J,"GBU-64")+SUMIFS('Таблиця 1'!$K:$K,'Таблиця 1'!$B:$B,$A80,'Таблиця 1'!$I:$I,"Су-27",'Таблиця 1'!$J:$J,"GBU-64"))</f>
        <v/>
      </c>
      <c r="O80">
        <f>IF($A80="","",SUMIFS('Таблиця 1'!$K:$K,'Таблиця 1'!$B:$B,$A80,'Таблиця 1'!$I:$I,"Mirage",'Таблиця 1'!$J:$J,"C-13")+SUMIFS('Таблиця 1'!$K:$K,'Таблиця 1'!$B:$B,$A80,'Таблиця 1'!$I:$I,"F-16",'Таблиця 1'!$J:$J,"C-13")+SUMIFS('Таблиця 1'!$K:$K,'Таблиця 1'!$B:$B,$A80,'Таблиця 1'!$I:$I,"МіГ-29",'Таблиця 1'!$J:$J,"C-13")+SUMIFS('Таблиця 1'!$K:$K,'Таблиця 1'!$B:$B,$A80,'Таблиця 1'!$I:$I,"Су-25",'Таблиця 1'!$J:$J,"C-13")+SUMIFS('Таблиця 1'!$K:$K,'Таблиця 1'!$B:$B,$A80,'Таблиця 1'!$I:$I,"Су-27",'Таблиця 1'!$J:$J,"C-13"))</f>
        <v/>
      </c>
      <c r="P80">
        <f>IF($A80="","",SUMIFS('Таблиця 1'!$K:$K,'Таблиця 1'!$B:$B,$A80,'Таблиця 1'!$I:$I,"Mirage",'Таблиця 1'!$J:$J,"MK-32")+SUMIFS('Таблиця 1'!$K:$K,'Таблиця 1'!$B:$B,$A80,'Таблиця 1'!$I:$I,"F-16",'Таблиця 1'!$J:$J,"MK-32")+SUMIFS('Таблиця 1'!$K:$K,'Таблиця 1'!$B:$B,$A80,'Таблиця 1'!$I:$I,"МіГ-29",'Таблиця 1'!$J:$J,"MK-32")+SUMIFS('Таблиця 1'!$K:$K,'Таблиця 1'!$B:$B,$A80,'Таблиця 1'!$I:$I,"Су-25",'Таблиця 1'!$J:$J,"MK-32")+SUMIFS('Таблиця 1'!$K:$K,'Таблиця 1'!$B:$B,$A80,'Таблиця 1'!$I:$I,"Су-27",'Таблиця 1'!$J:$J,"MK-32"))</f>
        <v/>
      </c>
      <c r="Q80">
        <f>IF($A80="","",SUMIFS('Таблиця 1'!$K:$K,'Таблиця 1'!$B:$B,$A80,'Таблиця 1'!$I:$I,"Mirage",'Таблиця 1'!$J:$J,"MK-24")+SUMIFS('Таблиця 1'!$K:$K,'Таблиця 1'!$B:$B,$A80,'Таблиця 1'!$I:$I,"F-16",'Таблиця 1'!$J:$J,"MK-24")+SUMIFS('Таблиця 1'!$K:$K,'Таблиця 1'!$B:$B,$A80,'Таблиця 1'!$I:$I,"МіГ-29",'Таблиця 1'!$J:$J,"MK-24")+SUMIFS('Таблиця 1'!$K:$K,'Таблиця 1'!$B:$B,$A80,'Таблиця 1'!$I:$I,"Су-25",'Таблиця 1'!$J:$J,"MK-24")+SUMIFS('Таблиця 1'!$K:$K,'Таблиця 1'!$B:$B,$A80,'Таблиця 1'!$I:$I,"Су-27",'Таблиця 1'!$J:$J,"MK-24"))</f>
        <v/>
      </c>
      <c r="R80">
        <f>IF($A80="","",COUNTIFS('Таблиця 1'!$B:$B,$A80,'Таблиця 1'!$I:$I,"Mirage",'Таблиця 1'!$L:$L,"Уражено")+COUNTIFS('Таблиця 1'!$B:$B,$A80,'Таблиця 1'!$I:$I,"F-16",'Таблиця 1'!$L:$L,"Уражено")+COUNTIFS('Таблиця 1'!$B:$B,$A80,'Таблиця 1'!$I:$I,"МіГ-29",'Таблиця 1'!$L:$L,"Уражено")+COUNTIFS('Таблиця 1'!$B:$B,$A80,'Таблиця 1'!$I:$I,"Су-25",'Таблиця 1'!$L:$L,"Уражено")+COUNTIFS('Таблиця 1'!$B:$B,$A80,'Таблиця 1'!$I:$I,"Су-27",'Таблиця 1'!$L:$L,"Уражено"))</f>
        <v/>
      </c>
      <c r="S80">
        <f>IF($A80="","",COUNTIFS('Таблиця 1'!$B:$B,$A80,'Таблиця 1'!$I:$I,"Mirage",'Таблиця 1'!$L:$L,"НЕ уражено")+COUNTIFS('Таблиця 1'!$B:$B,$A80,'Таблиця 1'!$I:$I,"F-16",'Таблиця 1'!$L:$L,"НЕ уражено")+COUNTIFS('Таблиця 1'!$B:$B,$A80,'Таблиця 1'!$I:$I,"МіГ-29",'Таблиця 1'!$L:$L,"НЕ уражено")+COUNTIFS('Таблиця 1'!$B:$B,$A80,'Таблиця 1'!$I:$I,"Су-25",'Таблиця 1'!$L:$L,"НЕ уражено")+COUNTIFS('Таблиця 1'!$B:$B,$A80,'Таблиця 1'!$I:$I,"Су-27",'Таблиця 1'!$L:$L,"НЕ уражено"))</f>
        <v/>
      </c>
      <c r="T80">
        <f>IF($A80="","",COUNTIFS('Таблиця 1'!$B:$B,$A80,'Таблиця 1'!$I:$I,"Mirage",'Таблиця 1'!$L:$L,"Дорозвідується")+COUNTIFS('Таблиця 1'!$B:$B,$A80,'Таблиця 1'!$I:$I,"F-16",'Таблиця 1'!$L:$L,"Дорозвідується")+COUNTIFS('Таблиця 1'!$B:$B,$A80,'Таблиця 1'!$I:$I,"МіГ-29",'Таблиця 1'!$L:$L,"Дорозвідується")+COUNTIFS('Таблиця 1'!$B:$B,$A80,'Таблиця 1'!$I:$I,"Су-25",'Таблиця 1'!$L:$L,"Дорозвідується")+COUNTIFS('Таблиця 1'!$B:$B,$A80,'Таблиця 1'!$I:$I,"Су-27",'Таблиця 1'!$L:$L,"Дорозвідується"))</f>
        <v/>
      </c>
    </row>
    <row r="81">
      <c r="A81" s="273">
        <f>IF(A80="","",IF(A80+1&gt;MAX('Таблиця 1'!$B:$B),"",A80+1))</f>
        <v/>
      </c>
      <c r="B81">
        <f>IF($A81="","",COUNTIFS('Таблиця 1'!$B:$B,$A81,'Таблиця 1'!$I:$I,"Mirage")+COUNTIFS('Таблиця 1'!$B:$B,$A81,'Таблиця 1'!$I:$I,"F-16")+COUNTIFS('Таблиця 1'!$B:$B,$A81,'Таблиця 1'!$I:$I,"МіГ-29")+COUNTIFS('Таблиця 1'!$B:$B,$A81,'Таблиця 1'!$I:$I,"Су-25")+COUNTIFS('Таблиця 1'!$B:$B,$A81,'Таблиця 1'!$I:$I,"Су-27"))</f>
        <v/>
      </c>
      <c r="C81">
        <f>IF($A81="","",COUNTIFS('Таблиця 1'!$B:$B,$A81,'Таблиця 1'!$I:$I,"Mirage"))</f>
        <v/>
      </c>
      <c r="D81">
        <f>IF($A81="","",COUNTIFS('Таблиця 1'!$B:$B,$A81,'Таблиця 1'!$I:$I,"F-16"))</f>
        <v/>
      </c>
      <c r="E81">
        <f>IF($A81="","",COUNTIFS('Таблиця 1'!$B:$B,$A81,'Таблиця 1'!$I:$I,"МіГ-29"))</f>
        <v/>
      </c>
      <c r="F81">
        <f>IF($A81="","",COUNTIFS('Таблиця 1'!$B:$B,$A81,'Таблиця 1'!$I:$I,"Су-25"))</f>
        <v/>
      </c>
      <c r="G81">
        <f>IF($A81="","",COUNTIFS('Таблиця 1'!$B:$B,$A81,'Таблиця 1'!$I:$I,"Су-27"))</f>
        <v/>
      </c>
      <c r="H81">
        <f>IF($A81="","",SUMIFS('Таблиця 1'!$K:$K,'Таблиця 1'!$B:$B,$A81,'Таблиця 1'!$I:$I,"Mirage",'Таблиця 1'!$J:$J,"AGM-88")+SUMIFS('Таблиця 1'!$K:$K,'Таблиця 1'!$B:$B,$A81,'Таблиця 1'!$I:$I,"F-16",'Таблиця 1'!$J:$J,"AGM-88")+SUMIFS('Таблиця 1'!$K:$K,'Таблиця 1'!$B:$B,$A81,'Таблиця 1'!$I:$I,"МіГ-29",'Таблиця 1'!$J:$J,"AGM-88")+SUMIFS('Таблиця 1'!$K:$K,'Таблиця 1'!$B:$B,$A81,'Таблиця 1'!$I:$I,"Су-25",'Таблиця 1'!$J:$J,"AGM-88")+SUMIFS('Таблиця 1'!$K:$K,'Таблиця 1'!$B:$B,$A81,'Таблиця 1'!$I:$I,"Су-27",'Таблиця 1'!$J:$J,"AGM-88"))</f>
        <v/>
      </c>
      <c r="I81">
        <f>IF($A81="","",SUMIFS('Таблиця 1'!$K:$K,'Таблиця 1'!$B:$B,$A81,'Таблиця 1'!$I:$I,"Mirage",'Таблиця 1'!$J:$J,"AASM-250")+SUMIFS('Таблиця 1'!$K:$K,'Таблиця 1'!$B:$B,$A81,'Таблиця 1'!$I:$I,"F-16",'Таблиця 1'!$J:$J,"AASM-250")+SUMIFS('Таблиця 1'!$K:$K,'Таблиця 1'!$B:$B,$A81,'Таблиця 1'!$I:$I,"МіГ-29",'Таблиця 1'!$J:$J,"AASM-250")+SUMIFS('Таблиця 1'!$K:$K,'Таблиця 1'!$B:$B,$A81,'Таблиця 1'!$I:$I,"Су-25",'Таблиця 1'!$J:$J,"AASM-250")+SUMIFS('Таблиця 1'!$K:$K,'Таблиця 1'!$B:$B,$A81,'Таблиця 1'!$I:$I,"Су-27",'Таблиця 1'!$J:$J,"AASM-250"))</f>
        <v/>
      </c>
      <c r="J81">
        <f>IF($A81="","",SUMIFS('Таблиця 1'!$K:$K,'Таблиця 1'!$B:$B,$A81,'Таблиця 1'!$I:$I,"Mirage",'Таблиця 1'!$J:$J,"GBU-39")+SUMIFS('Таблиця 1'!$K:$K,'Таблиця 1'!$B:$B,$A81,'Таблиця 1'!$I:$I,"F-16",'Таблиця 1'!$J:$J,"GBU-39")+SUMIFS('Таблиця 1'!$K:$K,'Таблиця 1'!$B:$B,$A81,'Таблиця 1'!$I:$I,"МіГ-29",'Таблиця 1'!$J:$J,"GBU-39")+SUMIFS('Таблиця 1'!$K:$K,'Таблиця 1'!$B:$B,$A81,'Таблиця 1'!$I:$I,"Су-25",'Таблиця 1'!$J:$J,"GBU-39")+SUMIFS('Таблиця 1'!$K:$K,'Таблиця 1'!$B:$B,$A81,'Таблиця 1'!$I:$I,"Су-27",'Таблиця 1'!$J:$J,"GBU-39"))</f>
        <v/>
      </c>
      <c r="K81">
        <f>IF($A81="","",SUMIFS('Таблиця 1'!$K:$K,'Таблиця 1'!$B:$B,$A81,'Таблиця 1'!$I:$I,"Mirage",'Таблиця 1'!$J:$J,"BLU-140")+SUMIFS('Таблиця 1'!$K:$K,'Таблиця 1'!$B:$B,$A81,'Таблиця 1'!$I:$I,"F-16",'Таблиця 1'!$J:$J,"BLU-140")+SUMIFS('Таблиця 1'!$K:$K,'Таблиця 1'!$B:$B,$A81,'Таблиця 1'!$I:$I,"МіГ-29",'Таблиця 1'!$J:$J,"BLU-140")+SUMIFS('Таблиця 1'!$K:$K,'Таблиця 1'!$B:$B,$A81,'Таблиця 1'!$I:$I,"Су-25",'Таблиця 1'!$J:$J,"BLU-140")+SUMIFS('Таблиця 1'!$K:$K,'Таблиця 1'!$B:$B,$A81,'Таблиця 1'!$I:$I,"Су-27",'Таблиця 1'!$J:$J,"BLU-140"))</f>
        <v/>
      </c>
      <c r="L81">
        <f>IF($A81="","",SUMIFS('Таблиця 1'!$K:$K,'Таблиця 1'!$B:$B,$A81,'Таблиця 1'!$I:$I,"Mirage",'Таблиця 1'!$J:$J,"GBU-65")+SUMIFS('Таблиця 1'!$K:$K,'Таблиця 1'!$B:$B,$A81,'Таблиця 1'!$I:$I,"F-16",'Таблиця 1'!$J:$J,"GBU-65")+SUMIFS('Таблиця 1'!$K:$K,'Таблиця 1'!$B:$B,$A81,'Таблиця 1'!$I:$I,"МіГ-29",'Таблиця 1'!$J:$J,"GBU-65")+SUMIFS('Таблиця 1'!$K:$K,'Таблиця 1'!$B:$B,$A81,'Таблиця 1'!$I:$I,"Су-25",'Таблиця 1'!$J:$J,"GBU-65")+SUMIFS('Таблиця 1'!$K:$K,'Таблиця 1'!$B:$B,$A81,'Таблиця 1'!$I:$I,"Су-27",'Таблиця 1'!$J:$J,"GBU-65"))</f>
        <v/>
      </c>
      <c r="M81">
        <f>IF($A81="","",SUMIFS('Таблиця 1'!$K:$K,'Таблиця 1'!$B:$B,$A81,'Таблиця 1'!$I:$I,"Mirage",'Таблиця 1'!$J:$J,"GBU-62")+SUMIFS('Таблиця 1'!$K:$K,'Таблиця 1'!$B:$B,$A81,'Таблиця 1'!$I:$I,"F-16",'Таблиця 1'!$J:$J,"GBU-62")+SUMIFS('Таблиця 1'!$K:$K,'Таблиця 1'!$B:$B,$A81,'Таблиця 1'!$I:$I,"МіГ-29",'Таблиця 1'!$J:$J,"GBU-62")+SUMIFS('Таблиця 1'!$K:$K,'Таблиця 1'!$B:$B,$A81,'Таблиця 1'!$I:$I,"Су-25",'Таблиця 1'!$J:$J,"GBU-62")+SUMIFS('Таблиця 1'!$K:$K,'Таблиця 1'!$B:$B,$A81,'Таблиця 1'!$I:$I,"Су-27",'Таблиця 1'!$J:$J,"GBU-62"))</f>
        <v/>
      </c>
      <c r="N81">
        <f>IF($A81="","",SUMIFS('Таблиця 1'!$K:$K,'Таблиця 1'!$B:$B,$A81,'Таблиця 1'!$I:$I,"Mirage",'Таблиця 1'!$J:$J,"GBU-64")+SUMIFS('Таблиця 1'!$K:$K,'Таблиця 1'!$B:$B,$A81,'Таблиця 1'!$I:$I,"F-16",'Таблиця 1'!$J:$J,"GBU-64")+SUMIFS('Таблиця 1'!$K:$K,'Таблиця 1'!$B:$B,$A81,'Таблиця 1'!$I:$I,"МіГ-29",'Таблиця 1'!$J:$J,"GBU-64")+SUMIFS('Таблиця 1'!$K:$K,'Таблиця 1'!$B:$B,$A81,'Таблиця 1'!$I:$I,"Су-25",'Таблиця 1'!$J:$J,"GBU-64")+SUMIFS('Таблиця 1'!$K:$K,'Таблиця 1'!$B:$B,$A81,'Таблиця 1'!$I:$I,"Су-27",'Таблиця 1'!$J:$J,"GBU-64"))</f>
        <v/>
      </c>
      <c r="O81">
        <f>IF($A81="","",SUMIFS('Таблиця 1'!$K:$K,'Таблиця 1'!$B:$B,$A81,'Таблиця 1'!$I:$I,"Mirage",'Таблиця 1'!$J:$J,"C-13")+SUMIFS('Таблиця 1'!$K:$K,'Таблиця 1'!$B:$B,$A81,'Таблиця 1'!$I:$I,"F-16",'Таблиця 1'!$J:$J,"C-13")+SUMIFS('Таблиця 1'!$K:$K,'Таблиця 1'!$B:$B,$A81,'Таблиця 1'!$I:$I,"МіГ-29",'Таблиця 1'!$J:$J,"C-13")+SUMIFS('Таблиця 1'!$K:$K,'Таблиця 1'!$B:$B,$A81,'Таблиця 1'!$I:$I,"Су-25",'Таблиця 1'!$J:$J,"C-13")+SUMIFS('Таблиця 1'!$K:$K,'Таблиця 1'!$B:$B,$A81,'Таблиця 1'!$I:$I,"Су-27",'Таблиця 1'!$J:$J,"C-13"))</f>
        <v/>
      </c>
      <c r="P81">
        <f>IF($A81="","",SUMIFS('Таблиця 1'!$K:$K,'Таблиця 1'!$B:$B,$A81,'Таблиця 1'!$I:$I,"Mirage",'Таблиця 1'!$J:$J,"MK-32")+SUMIFS('Таблиця 1'!$K:$K,'Таблиця 1'!$B:$B,$A81,'Таблиця 1'!$I:$I,"F-16",'Таблиця 1'!$J:$J,"MK-32")+SUMIFS('Таблиця 1'!$K:$K,'Таблиця 1'!$B:$B,$A81,'Таблиця 1'!$I:$I,"МіГ-29",'Таблиця 1'!$J:$J,"MK-32")+SUMIFS('Таблиця 1'!$K:$K,'Таблиця 1'!$B:$B,$A81,'Таблиця 1'!$I:$I,"Су-25",'Таблиця 1'!$J:$J,"MK-32")+SUMIFS('Таблиця 1'!$K:$K,'Таблиця 1'!$B:$B,$A81,'Таблиця 1'!$I:$I,"Су-27",'Таблиця 1'!$J:$J,"MK-32"))</f>
        <v/>
      </c>
      <c r="Q81">
        <f>IF($A81="","",SUMIFS('Таблиця 1'!$K:$K,'Таблиця 1'!$B:$B,$A81,'Таблиця 1'!$I:$I,"Mirage",'Таблиця 1'!$J:$J,"MK-24")+SUMIFS('Таблиця 1'!$K:$K,'Таблиця 1'!$B:$B,$A81,'Таблиця 1'!$I:$I,"F-16",'Таблиця 1'!$J:$J,"MK-24")+SUMIFS('Таблиця 1'!$K:$K,'Таблиця 1'!$B:$B,$A81,'Таблиця 1'!$I:$I,"МіГ-29",'Таблиця 1'!$J:$J,"MK-24")+SUMIFS('Таблиця 1'!$K:$K,'Таблиця 1'!$B:$B,$A81,'Таблиця 1'!$I:$I,"Су-25",'Таблиця 1'!$J:$J,"MK-24")+SUMIFS('Таблиця 1'!$K:$K,'Таблиця 1'!$B:$B,$A81,'Таблиця 1'!$I:$I,"Су-27",'Таблиця 1'!$J:$J,"MK-24"))</f>
        <v/>
      </c>
      <c r="R81">
        <f>IF($A81="","",COUNTIFS('Таблиця 1'!$B:$B,$A81,'Таблиця 1'!$I:$I,"Mirage",'Таблиця 1'!$L:$L,"Уражено")+COUNTIFS('Таблиця 1'!$B:$B,$A81,'Таблиця 1'!$I:$I,"F-16",'Таблиця 1'!$L:$L,"Уражено")+COUNTIFS('Таблиця 1'!$B:$B,$A81,'Таблиця 1'!$I:$I,"МіГ-29",'Таблиця 1'!$L:$L,"Уражено")+COUNTIFS('Таблиця 1'!$B:$B,$A81,'Таблиця 1'!$I:$I,"Су-25",'Таблиця 1'!$L:$L,"Уражено")+COUNTIFS('Таблиця 1'!$B:$B,$A81,'Таблиця 1'!$I:$I,"Су-27",'Таблиця 1'!$L:$L,"Уражено"))</f>
        <v/>
      </c>
      <c r="S81">
        <f>IF($A81="","",COUNTIFS('Таблиця 1'!$B:$B,$A81,'Таблиця 1'!$I:$I,"Mirage",'Таблиця 1'!$L:$L,"НЕ уражено")+COUNTIFS('Таблиця 1'!$B:$B,$A81,'Таблиця 1'!$I:$I,"F-16",'Таблиця 1'!$L:$L,"НЕ уражено")+COUNTIFS('Таблиця 1'!$B:$B,$A81,'Таблиця 1'!$I:$I,"МіГ-29",'Таблиця 1'!$L:$L,"НЕ уражено")+COUNTIFS('Таблиця 1'!$B:$B,$A81,'Таблиця 1'!$I:$I,"Су-25",'Таблиця 1'!$L:$L,"НЕ уражено")+COUNTIFS('Таблиця 1'!$B:$B,$A81,'Таблиця 1'!$I:$I,"Су-27",'Таблиця 1'!$L:$L,"НЕ уражено"))</f>
        <v/>
      </c>
      <c r="T81">
        <f>IF($A81="","",COUNTIFS('Таблиця 1'!$B:$B,$A81,'Таблиця 1'!$I:$I,"Mirage",'Таблиця 1'!$L:$L,"Дорозвідується")+COUNTIFS('Таблиця 1'!$B:$B,$A81,'Таблиця 1'!$I:$I,"F-16",'Таблиця 1'!$L:$L,"Дорозвідується")+COUNTIFS('Таблиця 1'!$B:$B,$A81,'Таблиця 1'!$I:$I,"МіГ-29",'Таблиця 1'!$L:$L,"Дорозвідується")+COUNTIFS('Таблиця 1'!$B:$B,$A81,'Таблиця 1'!$I:$I,"Су-25",'Таблиця 1'!$L:$L,"Дорозвідується")+COUNTIFS('Таблиця 1'!$B:$B,$A81,'Таблиця 1'!$I:$I,"Су-27",'Таблиця 1'!$L:$L,"Дорозвідується"))</f>
        <v/>
      </c>
    </row>
    <row r="82">
      <c r="A82" s="273">
        <f>IF(A81="","",IF(A81+1&gt;MAX('Таблиця 1'!$B:$B),"",A81+1))</f>
        <v/>
      </c>
      <c r="B82">
        <f>IF($A82="","",COUNTIFS('Таблиця 1'!$B:$B,$A82,'Таблиця 1'!$I:$I,"Mirage")+COUNTIFS('Таблиця 1'!$B:$B,$A82,'Таблиця 1'!$I:$I,"F-16")+COUNTIFS('Таблиця 1'!$B:$B,$A82,'Таблиця 1'!$I:$I,"МіГ-29")+COUNTIFS('Таблиця 1'!$B:$B,$A82,'Таблиця 1'!$I:$I,"Су-25")+COUNTIFS('Таблиця 1'!$B:$B,$A82,'Таблиця 1'!$I:$I,"Су-27"))</f>
        <v/>
      </c>
      <c r="C82">
        <f>IF($A82="","",COUNTIFS('Таблиця 1'!$B:$B,$A82,'Таблиця 1'!$I:$I,"Mirage"))</f>
        <v/>
      </c>
      <c r="D82">
        <f>IF($A82="","",COUNTIFS('Таблиця 1'!$B:$B,$A82,'Таблиця 1'!$I:$I,"F-16"))</f>
        <v/>
      </c>
      <c r="E82">
        <f>IF($A82="","",COUNTIFS('Таблиця 1'!$B:$B,$A82,'Таблиця 1'!$I:$I,"МіГ-29"))</f>
        <v/>
      </c>
      <c r="F82">
        <f>IF($A82="","",COUNTIFS('Таблиця 1'!$B:$B,$A82,'Таблиця 1'!$I:$I,"Су-25"))</f>
        <v/>
      </c>
      <c r="G82">
        <f>IF($A82="","",COUNTIFS('Таблиця 1'!$B:$B,$A82,'Таблиця 1'!$I:$I,"Су-27"))</f>
        <v/>
      </c>
      <c r="H82">
        <f>IF($A82="","",SUMIFS('Таблиця 1'!$K:$K,'Таблиця 1'!$B:$B,$A82,'Таблиця 1'!$I:$I,"Mirage",'Таблиця 1'!$J:$J,"AGM-88")+SUMIFS('Таблиця 1'!$K:$K,'Таблиця 1'!$B:$B,$A82,'Таблиця 1'!$I:$I,"F-16",'Таблиця 1'!$J:$J,"AGM-88")+SUMIFS('Таблиця 1'!$K:$K,'Таблиця 1'!$B:$B,$A82,'Таблиця 1'!$I:$I,"МіГ-29",'Таблиця 1'!$J:$J,"AGM-88")+SUMIFS('Таблиця 1'!$K:$K,'Таблиця 1'!$B:$B,$A82,'Таблиця 1'!$I:$I,"Су-25",'Таблиця 1'!$J:$J,"AGM-88")+SUMIFS('Таблиця 1'!$K:$K,'Таблиця 1'!$B:$B,$A82,'Таблиця 1'!$I:$I,"Су-27",'Таблиця 1'!$J:$J,"AGM-88"))</f>
        <v/>
      </c>
      <c r="I82">
        <f>IF($A82="","",SUMIFS('Таблиця 1'!$K:$K,'Таблиця 1'!$B:$B,$A82,'Таблиця 1'!$I:$I,"Mirage",'Таблиця 1'!$J:$J,"AASM-250")+SUMIFS('Таблиця 1'!$K:$K,'Таблиця 1'!$B:$B,$A82,'Таблиця 1'!$I:$I,"F-16",'Таблиця 1'!$J:$J,"AASM-250")+SUMIFS('Таблиця 1'!$K:$K,'Таблиця 1'!$B:$B,$A82,'Таблиця 1'!$I:$I,"МіГ-29",'Таблиця 1'!$J:$J,"AASM-250")+SUMIFS('Таблиця 1'!$K:$K,'Таблиця 1'!$B:$B,$A82,'Таблиця 1'!$I:$I,"Су-25",'Таблиця 1'!$J:$J,"AASM-250")+SUMIFS('Таблиця 1'!$K:$K,'Таблиця 1'!$B:$B,$A82,'Таблиця 1'!$I:$I,"Су-27",'Таблиця 1'!$J:$J,"AASM-250"))</f>
        <v/>
      </c>
      <c r="J82">
        <f>IF($A82="","",SUMIFS('Таблиця 1'!$K:$K,'Таблиця 1'!$B:$B,$A82,'Таблиця 1'!$I:$I,"Mirage",'Таблиця 1'!$J:$J,"GBU-39")+SUMIFS('Таблиця 1'!$K:$K,'Таблиця 1'!$B:$B,$A82,'Таблиця 1'!$I:$I,"F-16",'Таблиця 1'!$J:$J,"GBU-39")+SUMIFS('Таблиця 1'!$K:$K,'Таблиця 1'!$B:$B,$A82,'Таблиця 1'!$I:$I,"МіГ-29",'Таблиця 1'!$J:$J,"GBU-39")+SUMIFS('Таблиця 1'!$K:$K,'Таблиця 1'!$B:$B,$A82,'Таблиця 1'!$I:$I,"Су-25",'Таблиця 1'!$J:$J,"GBU-39")+SUMIFS('Таблиця 1'!$K:$K,'Таблиця 1'!$B:$B,$A82,'Таблиця 1'!$I:$I,"Су-27",'Таблиця 1'!$J:$J,"GBU-39"))</f>
        <v/>
      </c>
      <c r="K82">
        <f>IF($A82="","",SUMIFS('Таблиця 1'!$K:$K,'Таблиця 1'!$B:$B,$A82,'Таблиця 1'!$I:$I,"Mirage",'Таблиця 1'!$J:$J,"BLU-140")+SUMIFS('Таблиця 1'!$K:$K,'Таблиця 1'!$B:$B,$A82,'Таблиця 1'!$I:$I,"F-16",'Таблиця 1'!$J:$J,"BLU-140")+SUMIFS('Таблиця 1'!$K:$K,'Таблиця 1'!$B:$B,$A82,'Таблиця 1'!$I:$I,"МіГ-29",'Таблиця 1'!$J:$J,"BLU-140")+SUMIFS('Таблиця 1'!$K:$K,'Таблиця 1'!$B:$B,$A82,'Таблиця 1'!$I:$I,"Су-25",'Таблиця 1'!$J:$J,"BLU-140")+SUMIFS('Таблиця 1'!$K:$K,'Таблиця 1'!$B:$B,$A82,'Таблиця 1'!$I:$I,"Су-27",'Таблиця 1'!$J:$J,"BLU-140"))</f>
        <v/>
      </c>
      <c r="L82">
        <f>IF($A82="","",SUMIFS('Таблиця 1'!$K:$K,'Таблиця 1'!$B:$B,$A82,'Таблиця 1'!$I:$I,"Mirage",'Таблиця 1'!$J:$J,"GBU-65")+SUMIFS('Таблиця 1'!$K:$K,'Таблиця 1'!$B:$B,$A82,'Таблиця 1'!$I:$I,"F-16",'Таблиця 1'!$J:$J,"GBU-65")+SUMIFS('Таблиця 1'!$K:$K,'Таблиця 1'!$B:$B,$A82,'Таблиця 1'!$I:$I,"МіГ-29",'Таблиця 1'!$J:$J,"GBU-65")+SUMIFS('Таблиця 1'!$K:$K,'Таблиця 1'!$B:$B,$A82,'Таблиця 1'!$I:$I,"Су-25",'Таблиця 1'!$J:$J,"GBU-65")+SUMIFS('Таблиця 1'!$K:$K,'Таблиця 1'!$B:$B,$A82,'Таблиця 1'!$I:$I,"Су-27",'Таблиця 1'!$J:$J,"GBU-65"))</f>
        <v/>
      </c>
      <c r="M82">
        <f>IF($A82="","",SUMIFS('Таблиця 1'!$K:$K,'Таблиця 1'!$B:$B,$A82,'Таблиця 1'!$I:$I,"Mirage",'Таблиця 1'!$J:$J,"GBU-62")+SUMIFS('Таблиця 1'!$K:$K,'Таблиця 1'!$B:$B,$A82,'Таблиця 1'!$I:$I,"F-16",'Таблиця 1'!$J:$J,"GBU-62")+SUMIFS('Таблиця 1'!$K:$K,'Таблиця 1'!$B:$B,$A82,'Таблиця 1'!$I:$I,"МіГ-29",'Таблиця 1'!$J:$J,"GBU-62")+SUMIFS('Таблиця 1'!$K:$K,'Таблиця 1'!$B:$B,$A82,'Таблиця 1'!$I:$I,"Су-25",'Таблиця 1'!$J:$J,"GBU-62")+SUMIFS('Таблиця 1'!$K:$K,'Таблиця 1'!$B:$B,$A82,'Таблиця 1'!$I:$I,"Су-27",'Таблиця 1'!$J:$J,"GBU-62"))</f>
        <v/>
      </c>
      <c r="N82">
        <f>IF($A82="","",SUMIFS('Таблиця 1'!$K:$K,'Таблиця 1'!$B:$B,$A82,'Таблиця 1'!$I:$I,"Mirage",'Таблиця 1'!$J:$J,"GBU-64")+SUMIFS('Таблиця 1'!$K:$K,'Таблиця 1'!$B:$B,$A82,'Таблиця 1'!$I:$I,"F-16",'Таблиця 1'!$J:$J,"GBU-64")+SUMIFS('Таблиця 1'!$K:$K,'Таблиця 1'!$B:$B,$A82,'Таблиця 1'!$I:$I,"МіГ-29",'Таблиця 1'!$J:$J,"GBU-64")+SUMIFS('Таблиця 1'!$K:$K,'Таблиця 1'!$B:$B,$A82,'Таблиця 1'!$I:$I,"Су-25",'Таблиця 1'!$J:$J,"GBU-64")+SUMIFS('Таблиця 1'!$K:$K,'Таблиця 1'!$B:$B,$A82,'Таблиця 1'!$I:$I,"Су-27",'Таблиця 1'!$J:$J,"GBU-64"))</f>
        <v/>
      </c>
      <c r="O82">
        <f>IF($A82="","",SUMIFS('Таблиця 1'!$K:$K,'Таблиця 1'!$B:$B,$A82,'Таблиця 1'!$I:$I,"Mirage",'Таблиця 1'!$J:$J,"C-13")+SUMIFS('Таблиця 1'!$K:$K,'Таблиця 1'!$B:$B,$A82,'Таблиця 1'!$I:$I,"F-16",'Таблиця 1'!$J:$J,"C-13")+SUMIFS('Таблиця 1'!$K:$K,'Таблиця 1'!$B:$B,$A82,'Таблиця 1'!$I:$I,"МіГ-29",'Таблиця 1'!$J:$J,"C-13")+SUMIFS('Таблиця 1'!$K:$K,'Таблиця 1'!$B:$B,$A82,'Таблиця 1'!$I:$I,"Су-25",'Таблиця 1'!$J:$J,"C-13")+SUMIFS('Таблиця 1'!$K:$K,'Таблиця 1'!$B:$B,$A82,'Таблиця 1'!$I:$I,"Су-27",'Таблиця 1'!$J:$J,"C-13"))</f>
        <v/>
      </c>
      <c r="P82">
        <f>IF($A82="","",SUMIFS('Таблиця 1'!$K:$K,'Таблиця 1'!$B:$B,$A82,'Таблиця 1'!$I:$I,"Mirage",'Таблиця 1'!$J:$J,"MK-32")+SUMIFS('Таблиця 1'!$K:$K,'Таблиця 1'!$B:$B,$A82,'Таблиця 1'!$I:$I,"F-16",'Таблиця 1'!$J:$J,"MK-32")+SUMIFS('Таблиця 1'!$K:$K,'Таблиця 1'!$B:$B,$A82,'Таблиця 1'!$I:$I,"МіГ-29",'Таблиця 1'!$J:$J,"MK-32")+SUMIFS('Таблиця 1'!$K:$K,'Таблиця 1'!$B:$B,$A82,'Таблиця 1'!$I:$I,"Су-25",'Таблиця 1'!$J:$J,"MK-32")+SUMIFS('Таблиця 1'!$K:$K,'Таблиця 1'!$B:$B,$A82,'Таблиця 1'!$I:$I,"Су-27",'Таблиця 1'!$J:$J,"MK-32"))</f>
        <v/>
      </c>
      <c r="Q82">
        <f>IF($A82="","",SUMIFS('Таблиця 1'!$K:$K,'Таблиця 1'!$B:$B,$A82,'Таблиця 1'!$I:$I,"Mirage",'Таблиця 1'!$J:$J,"MK-24")+SUMIFS('Таблиця 1'!$K:$K,'Таблиця 1'!$B:$B,$A82,'Таблиця 1'!$I:$I,"F-16",'Таблиця 1'!$J:$J,"MK-24")+SUMIFS('Таблиця 1'!$K:$K,'Таблиця 1'!$B:$B,$A82,'Таблиця 1'!$I:$I,"МіГ-29",'Таблиця 1'!$J:$J,"MK-24")+SUMIFS('Таблиця 1'!$K:$K,'Таблиця 1'!$B:$B,$A82,'Таблиця 1'!$I:$I,"Су-25",'Таблиця 1'!$J:$J,"MK-24")+SUMIFS('Таблиця 1'!$K:$K,'Таблиця 1'!$B:$B,$A82,'Таблиця 1'!$I:$I,"Су-27",'Таблиця 1'!$J:$J,"MK-24"))</f>
        <v/>
      </c>
      <c r="R82">
        <f>IF($A82="","",COUNTIFS('Таблиця 1'!$B:$B,$A82,'Таблиця 1'!$I:$I,"Mirage",'Таблиця 1'!$L:$L,"Уражено")+COUNTIFS('Таблиця 1'!$B:$B,$A82,'Таблиця 1'!$I:$I,"F-16",'Таблиця 1'!$L:$L,"Уражено")+COUNTIFS('Таблиця 1'!$B:$B,$A82,'Таблиця 1'!$I:$I,"МіГ-29",'Таблиця 1'!$L:$L,"Уражено")+COUNTIFS('Таблиця 1'!$B:$B,$A82,'Таблиця 1'!$I:$I,"Су-25",'Таблиця 1'!$L:$L,"Уражено")+COUNTIFS('Таблиця 1'!$B:$B,$A82,'Таблиця 1'!$I:$I,"Су-27",'Таблиця 1'!$L:$L,"Уражено"))</f>
        <v/>
      </c>
      <c r="S82">
        <f>IF($A82="","",COUNTIFS('Таблиця 1'!$B:$B,$A82,'Таблиця 1'!$I:$I,"Mirage",'Таблиця 1'!$L:$L,"НЕ уражено")+COUNTIFS('Таблиця 1'!$B:$B,$A82,'Таблиця 1'!$I:$I,"F-16",'Таблиця 1'!$L:$L,"НЕ уражено")+COUNTIFS('Таблиця 1'!$B:$B,$A82,'Таблиця 1'!$I:$I,"МіГ-29",'Таблиця 1'!$L:$L,"НЕ уражено")+COUNTIFS('Таблиця 1'!$B:$B,$A82,'Таблиця 1'!$I:$I,"Су-25",'Таблиця 1'!$L:$L,"НЕ уражено")+COUNTIFS('Таблиця 1'!$B:$B,$A82,'Таблиця 1'!$I:$I,"Су-27",'Таблиця 1'!$L:$L,"НЕ уражено"))</f>
        <v/>
      </c>
      <c r="T82">
        <f>IF($A82="","",COUNTIFS('Таблиця 1'!$B:$B,$A82,'Таблиця 1'!$I:$I,"Mirage",'Таблиця 1'!$L:$L,"Дорозвідується")+COUNTIFS('Таблиця 1'!$B:$B,$A82,'Таблиця 1'!$I:$I,"F-16",'Таблиця 1'!$L:$L,"Дорозвідується")+COUNTIFS('Таблиця 1'!$B:$B,$A82,'Таблиця 1'!$I:$I,"МіГ-29",'Таблиця 1'!$L:$L,"Дорозвідується")+COUNTIFS('Таблиця 1'!$B:$B,$A82,'Таблиця 1'!$I:$I,"Су-25",'Таблиця 1'!$L:$L,"Дорозвідується")+COUNTIFS('Таблиця 1'!$B:$B,$A82,'Таблиця 1'!$I:$I,"Су-27",'Таблиця 1'!$L:$L,"Дорозвідується"))</f>
        <v/>
      </c>
    </row>
    <row r="83">
      <c r="A83" s="273">
        <f>IF(A82="","",IF(A82+1&gt;MAX('Таблиця 1'!$B:$B),"",A82+1))</f>
        <v/>
      </c>
      <c r="B83">
        <f>IF($A83="","",COUNTIFS('Таблиця 1'!$B:$B,$A83,'Таблиця 1'!$I:$I,"Mirage")+COUNTIFS('Таблиця 1'!$B:$B,$A83,'Таблиця 1'!$I:$I,"F-16")+COUNTIFS('Таблиця 1'!$B:$B,$A83,'Таблиця 1'!$I:$I,"МіГ-29")+COUNTIFS('Таблиця 1'!$B:$B,$A83,'Таблиця 1'!$I:$I,"Су-25")+COUNTIFS('Таблиця 1'!$B:$B,$A83,'Таблиця 1'!$I:$I,"Су-27"))</f>
        <v/>
      </c>
      <c r="C83">
        <f>IF($A83="","",COUNTIFS('Таблиця 1'!$B:$B,$A83,'Таблиця 1'!$I:$I,"Mirage"))</f>
        <v/>
      </c>
      <c r="D83">
        <f>IF($A83="","",COUNTIFS('Таблиця 1'!$B:$B,$A83,'Таблиця 1'!$I:$I,"F-16"))</f>
        <v/>
      </c>
      <c r="E83">
        <f>IF($A83="","",COUNTIFS('Таблиця 1'!$B:$B,$A83,'Таблиця 1'!$I:$I,"МіГ-29"))</f>
        <v/>
      </c>
      <c r="F83">
        <f>IF($A83="","",COUNTIFS('Таблиця 1'!$B:$B,$A83,'Таблиця 1'!$I:$I,"Су-25"))</f>
        <v/>
      </c>
      <c r="G83">
        <f>IF($A83="","",COUNTIFS('Таблиця 1'!$B:$B,$A83,'Таблиця 1'!$I:$I,"Су-27"))</f>
        <v/>
      </c>
      <c r="H83">
        <f>IF($A83="","",SUMIFS('Таблиця 1'!$K:$K,'Таблиця 1'!$B:$B,$A83,'Таблиця 1'!$I:$I,"Mirage",'Таблиця 1'!$J:$J,"AGM-88")+SUMIFS('Таблиця 1'!$K:$K,'Таблиця 1'!$B:$B,$A83,'Таблиця 1'!$I:$I,"F-16",'Таблиця 1'!$J:$J,"AGM-88")+SUMIFS('Таблиця 1'!$K:$K,'Таблиця 1'!$B:$B,$A83,'Таблиця 1'!$I:$I,"МіГ-29",'Таблиця 1'!$J:$J,"AGM-88")+SUMIFS('Таблиця 1'!$K:$K,'Таблиця 1'!$B:$B,$A83,'Таблиця 1'!$I:$I,"Су-25",'Таблиця 1'!$J:$J,"AGM-88")+SUMIFS('Таблиця 1'!$K:$K,'Таблиця 1'!$B:$B,$A83,'Таблиця 1'!$I:$I,"Су-27",'Таблиця 1'!$J:$J,"AGM-88"))</f>
        <v/>
      </c>
      <c r="I83">
        <f>IF($A83="","",SUMIFS('Таблиця 1'!$K:$K,'Таблиця 1'!$B:$B,$A83,'Таблиця 1'!$I:$I,"Mirage",'Таблиця 1'!$J:$J,"AASM-250")+SUMIFS('Таблиця 1'!$K:$K,'Таблиця 1'!$B:$B,$A83,'Таблиця 1'!$I:$I,"F-16",'Таблиця 1'!$J:$J,"AASM-250")+SUMIFS('Таблиця 1'!$K:$K,'Таблиця 1'!$B:$B,$A83,'Таблиця 1'!$I:$I,"МіГ-29",'Таблиця 1'!$J:$J,"AASM-250")+SUMIFS('Таблиця 1'!$K:$K,'Таблиця 1'!$B:$B,$A83,'Таблиця 1'!$I:$I,"Су-25",'Таблиця 1'!$J:$J,"AASM-250")+SUMIFS('Таблиця 1'!$K:$K,'Таблиця 1'!$B:$B,$A83,'Таблиця 1'!$I:$I,"Су-27",'Таблиця 1'!$J:$J,"AASM-250"))</f>
        <v/>
      </c>
      <c r="J83">
        <f>IF($A83="","",SUMIFS('Таблиця 1'!$K:$K,'Таблиця 1'!$B:$B,$A83,'Таблиця 1'!$I:$I,"Mirage",'Таблиця 1'!$J:$J,"GBU-39")+SUMIFS('Таблиця 1'!$K:$K,'Таблиця 1'!$B:$B,$A83,'Таблиця 1'!$I:$I,"F-16",'Таблиця 1'!$J:$J,"GBU-39")+SUMIFS('Таблиця 1'!$K:$K,'Таблиця 1'!$B:$B,$A83,'Таблиця 1'!$I:$I,"МіГ-29",'Таблиця 1'!$J:$J,"GBU-39")+SUMIFS('Таблиця 1'!$K:$K,'Таблиця 1'!$B:$B,$A83,'Таблиця 1'!$I:$I,"Су-25",'Таблиця 1'!$J:$J,"GBU-39")+SUMIFS('Таблиця 1'!$K:$K,'Таблиця 1'!$B:$B,$A83,'Таблиця 1'!$I:$I,"Су-27",'Таблиця 1'!$J:$J,"GBU-39"))</f>
        <v/>
      </c>
      <c r="K83">
        <f>IF($A83="","",SUMIFS('Таблиця 1'!$K:$K,'Таблиця 1'!$B:$B,$A83,'Таблиця 1'!$I:$I,"Mirage",'Таблиця 1'!$J:$J,"BLU-140")+SUMIFS('Таблиця 1'!$K:$K,'Таблиця 1'!$B:$B,$A83,'Таблиця 1'!$I:$I,"F-16",'Таблиця 1'!$J:$J,"BLU-140")+SUMIFS('Таблиця 1'!$K:$K,'Таблиця 1'!$B:$B,$A83,'Таблиця 1'!$I:$I,"МіГ-29",'Таблиця 1'!$J:$J,"BLU-140")+SUMIFS('Таблиця 1'!$K:$K,'Таблиця 1'!$B:$B,$A83,'Таблиця 1'!$I:$I,"Су-25",'Таблиця 1'!$J:$J,"BLU-140")+SUMIFS('Таблиця 1'!$K:$K,'Таблиця 1'!$B:$B,$A83,'Таблиця 1'!$I:$I,"Су-27",'Таблиця 1'!$J:$J,"BLU-140"))</f>
        <v/>
      </c>
      <c r="L83">
        <f>IF($A83="","",SUMIFS('Таблиця 1'!$K:$K,'Таблиця 1'!$B:$B,$A83,'Таблиця 1'!$I:$I,"Mirage",'Таблиця 1'!$J:$J,"GBU-65")+SUMIFS('Таблиця 1'!$K:$K,'Таблиця 1'!$B:$B,$A83,'Таблиця 1'!$I:$I,"F-16",'Таблиця 1'!$J:$J,"GBU-65")+SUMIFS('Таблиця 1'!$K:$K,'Таблиця 1'!$B:$B,$A83,'Таблиця 1'!$I:$I,"МіГ-29",'Таблиця 1'!$J:$J,"GBU-65")+SUMIFS('Таблиця 1'!$K:$K,'Таблиця 1'!$B:$B,$A83,'Таблиця 1'!$I:$I,"Су-25",'Таблиця 1'!$J:$J,"GBU-65")+SUMIFS('Таблиця 1'!$K:$K,'Таблиця 1'!$B:$B,$A83,'Таблиця 1'!$I:$I,"Су-27",'Таблиця 1'!$J:$J,"GBU-65"))</f>
        <v/>
      </c>
      <c r="M83">
        <f>IF($A83="","",SUMIFS('Таблиця 1'!$K:$K,'Таблиця 1'!$B:$B,$A83,'Таблиця 1'!$I:$I,"Mirage",'Таблиця 1'!$J:$J,"GBU-62")+SUMIFS('Таблиця 1'!$K:$K,'Таблиця 1'!$B:$B,$A83,'Таблиця 1'!$I:$I,"F-16",'Таблиця 1'!$J:$J,"GBU-62")+SUMIFS('Таблиця 1'!$K:$K,'Таблиця 1'!$B:$B,$A83,'Таблиця 1'!$I:$I,"МіГ-29",'Таблиця 1'!$J:$J,"GBU-62")+SUMIFS('Таблиця 1'!$K:$K,'Таблиця 1'!$B:$B,$A83,'Таблиця 1'!$I:$I,"Су-25",'Таблиця 1'!$J:$J,"GBU-62")+SUMIFS('Таблиця 1'!$K:$K,'Таблиця 1'!$B:$B,$A83,'Таблиця 1'!$I:$I,"Су-27",'Таблиця 1'!$J:$J,"GBU-62"))</f>
        <v/>
      </c>
      <c r="N83">
        <f>IF($A83="","",SUMIFS('Таблиця 1'!$K:$K,'Таблиця 1'!$B:$B,$A83,'Таблиця 1'!$I:$I,"Mirage",'Таблиця 1'!$J:$J,"GBU-64")+SUMIFS('Таблиця 1'!$K:$K,'Таблиця 1'!$B:$B,$A83,'Таблиця 1'!$I:$I,"F-16",'Таблиця 1'!$J:$J,"GBU-64")+SUMIFS('Таблиця 1'!$K:$K,'Таблиця 1'!$B:$B,$A83,'Таблиця 1'!$I:$I,"МіГ-29",'Таблиця 1'!$J:$J,"GBU-64")+SUMIFS('Таблиця 1'!$K:$K,'Таблиця 1'!$B:$B,$A83,'Таблиця 1'!$I:$I,"Су-25",'Таблиця 1'!$J:$J,"GBU-64")+SUMIFS('Таблиця 1'!$K:$K,'Таблиця 1'!$B:$B,$A83,'Таблиця 1'!$I:$I,"Су-27",'Таблиця 1'!$J:$J,"GBU-64"))</f>
        <v/>
      </c>
      <c r="O83">
        <f>IF($A83="","",SUMIFS('Таблиця 1'!$K:$K,'Таблиця 1'!$B:$B,$A83,'Таблиця 1'!$I:$I,"Mirage",'Таблиця 1'!$J:$J,"C-13")+SUMIFS('Таблиця 1'!$K:$K,'Таблиця 1'!$B:$B,$A83,'Таблиця 1'!$I:$I,"F-16",'Таблиця 1'!$J:$J,"C-13")+SUMIFS('Таблиця 1'!$K:$K,'Таблиця 1'!$B:$B,$A83,'Таблиця 1'!$I:$I,"МіГ-29",'Таблиця 1'!$J:$J,"C-13")+SUMIFS('Таблиця 1'!$K:$K,'Таблиця 1'!$B:$B,$A83,'Таблиця 1'!$I:$I,"Су-25",'Таблиця 1'!$J:$J,"C-13")+SUMIFS('Таблиця 1'!$K:$K,'Таблиця 1'!$B:$B,$A83,'Таблиця 1'!$I:$I,"Су-27",'Таблиця 1'!$J:$J,"C-13"))</f>
        <v/>
      </c>
      <c r="P83">
        <f>IF($A83="","",SUMIFS('Таблиця 1'!$K:$K,'Таблиця 1'!$B:$B,$A83,'Таблиця 1'!$I:$I,"Mirage",'Таблиця 1'!$J:$J,"MK-32")+SUMIFS('Таблиця 1'!$K:$K,'Таблиця 1'!$B:$B,$A83,'Таблиця 1'!$I:$I,"F-16",'Таблиця 1'!$J:$J,"MK-32")+SUMIFS('Таблиця 1'!$K:$K,'Таблиця 1'!$B:$B,$A83,'Таблиця 1'!$I:$I,"МіГ-29",'Таблиця 1'!$J:$J,"MK-32")+SUMIFS('Таблиця 1'!$K:$K,'Таблиця 1'!$B:$B,$A83,'Таблиця 1'!$I:$I,"Су-25",'Таблиця 1'!$J:$J,"MK-32")+SUMIFS('Таблиця 1'!$K:$K,'Таблиця 1'!$B:$B,$A83,'Таблиця 1'!$I:$I,"Су-27",'Таблиця 1'!$J:$J,"MK-32"))</f>
        <v/>
      </c>
      <c r="Q83">
        <f>IF($A83="","",SUMIFS('Таблиця 1'!$K:$K,'Таблиця 1'!$B:$B,$A83,'Таблиця 1'!$I:$I,"Mirage",'Таблиця 1'!$J:$J,"MK-24")+SUMIFS('Таблиця 1'!$K:$K,'Таблиця 1'!$B:$B,$A83,'Таблиця 1'!$I:$I,"F-16",'Таблиця 1'!$J:$J,"MK-24")+SUMIFS('Таблиця 1'!$K:$K,'Таблиця 1'!$B:$B,$A83,'Таблиця 1'!$I:$I,"МіГ-29",'Таблиця 1'!$J:$J,"MK-24")+SUMIFS('Таблиця 1'!$K:$K,'Таблиця 1'!$B:$B,$A83,'Таблиця 1'!$I:$I,"Су-25",'Таблиця 1'!$J:$J,"MK-24")+SUMIFS('Таблиця 1'!$K:$K,'Таблиця 1'!$B:$B,$A83,'Таблиця 1'!$I:$I,"Су-27",'Таблиця 1'!$J:$J,"MK-24"))</f>
        <v/>
      </c>
      <c r="R83">
        <f>IF($A83="","",COUNTIFS('Таблиця 1'!$B:$B,$A83,'Таблиця 1'!$I:$I,"Mirage",'Таблиця 1'!$L:$L,"Уражено")+COUNTIFS('Таблиця 1'!$B:$B,$A83,'Таблиця 1'!$I:$I,"F-16",'Таблиця 1'!$L:$L,"Уражено")+COUNTIFS('Таблиця 1'!$B:$B,$A83,'Таблиця 1'!$I:$I,"МіГ-29",'Таблиця 1'!$L:$L,"Уражено")+COUNTIFS('Таблиця 1'!$B:$B,$A83,'Таблиця 1'!$I:$I,"Су-25",'Таблиця 1'!$L:$L,"Уражено")+COUNTIFS('Таблиця 1'!$B:$B,$A83,'Таблиця 1'!$I:$I,"Су-27",'Таблиця 1'!$L:$L,"Уражено"))</f>
        <v/>
      </c>
      <c r="S83">
        <f>IF($A83="","",COUNTIFS('Таблиця 1'!$B:$B,$A83,'Таблиця 1'!$I:$I,"Mirage",'Таблиця 1'!$L:$L,"НЕ уражено")+COUNTIFS('Таблиця 1'!$B:$B,$A83,'Таблиця 1'!$I:$I,"F-16",'Таблиця 1'!$L:$L,"НЕ уражено")+COUNTIFS('Таблиця 1'!$B:$B,$A83,'Таблиця 1'!$I:$I,"МіГ-29",'Таблиця 1'!$L:$L,"НЕ уражено")+COUNTIFS('Таблиця 1'!$B:$B,$A83,'Таблиця 1'!$I:$I,"Су-25",'Таблиця 1'!$L:$L,"НЕ уражено")+COUNTIFS('Таблиця 1'!$B:$B,$A83,'Таблиця 1'!$I:$I,"Су-27",'Таблиця 1'!$L:$L,"НЕ уражено"))</f>
        <v/>
      </c>
      <c r="T83">
        <f>IF($A83="","",COUNTIFS('Таблиця 1'!$B:$B,$A83,'Таблиця 1'!$I:$I,"Mirage",'Таблиця 1'!$L:$L,"Дорозвідується")+COUNTIFS('Таблиця 1'!$B:$B,$A83,'Таблиця 1'!$I:$I,"F-16",'Таблиця 1'!$L:$L,"Дорозвідується")+COUNTIFS('Таблиця 1'!$B:$B,$A83,'Таблиця 1'!$I:$I,"МіГ-29",'Таблиця 1'!$L:$L,"Дорозвідується")+COUNTIFS('Таблиця 1'!$B:$B,$A83,'Таблиця 1'!$I:$I,"Су-25",'Таблиця 1'!$L:$L,"Дорозвідується")+COUNTIFS('Таблиця 1'!$B:$B,$A83,'Таблиця 1'!$I:$I,"Су-27",'Таблиця 1'!$L:$L,"Дорозвідується"))</f>
        <v/>
      </c>
    </row>
    <row r="84">
      <c r="A84" s="273">
        <f>IF(A83="","",IF(A83+1&gt;MAX('Таблиця 1'!$B:$B),"",A83+1))</f>
        <v/>
      </c>
      <c r="B84">
        <f>IF($A84="","",COUNTIFS('Таблиця 1'!$B:$B,$A84,'Таблиця 1'!$I:$I,"Mirage")+COUNTIFS('Таблиця 1'!$B:$B,$A84,'Таблиця 1'!$I:$I,"F-16")+COUNTIFS('Таблиця 1'!$B:$B,$A84,'Таблиця 1'!$I:$I,"МіГ-29")+COUNTIFS('Таблиця 1'!$B:$B,$A84,'Таблиця 1'!$I:$I,"Су-25")+COUNTIFS('Таблиця 1'!$B:$B,$A84,'Таблиця 1'!$I:$I,"Су-27"))</f>
        <v/>
      </c>
      <c r="C84">
        <f>IF($A84="","",COUNTIFS('Таблиця 1'!$B:$B,$A84,'Таблиця 1'!$I:$I,"Mirage"))</f>
        <v/>
      </c>
      <c r="D84">
        <f>IF($A84="","",COUNTIFS('Таблиця 1'!$B:$B,$A84,'Таблиця 1'!$I:$I,"F-16"))</f>
        <v/>
      </c>
      <c r="E84">
        <f>IF($A84="","",COUNTIFS('Таблиця 1'!$B:$B,$A84,'Таблиця 1'!$I:$I,"МіГ-29"))</f>
        <v/>
      </c>
      <c r="F84">
        <f>IF($A84="","",COUNTIFS('Таблиця 1'!$B:$B,$A84,'Таблиця 1'!$I:$I,"Су-25"))</f>
        <v/>
      </c>
      <c r="G84">
        <f>IF($A84="","",COUNTIFS('Таблиця 1'!$B:$B,$A84,'Таблиця 1'!$I:$I,"Су-27"))</f>
        <v/>
      </c>
      <c r="H84">
        <f>IF($A84="","",SUMIFS('Таблиця 1'!$K:$K,'Таблиця 1'!$B:$B,$A84,'Таблиця 1'!$I:$I,"Mirage",'Таблиця 1'!$J:$J,"AGM-88")+SUMIFS('Таблиця 1'!$K:$K,'Таблиця 1'!$B:$B,$A84,'Таблиця 1'!$I:$I,"F-16",'Таблиця 1'!$J:$J,"AGM-88")+SUMIFS('Таблиця 1'!$K:$K,'Таблиця 1'!$B:$B,$A84,'Таблиця 1'!$I:$I,"МіГ-29",'Таблиця 1'!$J:$J,"AGM-88")+SUMIFS('Таблиця 1'!$K:$K,'Таблиця 1'!$B:$B,$A84,'Таблиця 1'!$I:$I,"Су-25",'Таблиця 1'!$J:$J,"AGM-88")+SUMIFS('Таблиця 1'!$K:$K,'Таблиця 1'!$B:$B,$A84,'Таблиця 1'!$I:$I,"Су-27",'Таблиця 1'!$J:$J,"AGM-88"))</f>
        <v/>
      </c>
      <c r="I84">
        <f>IF($A84="","",SUMIFS('Таблиця 1'!$K:$K,'Таблиця 1'!$B:$B,$A84,'Таблиця 1'!$I:$I,"Mirage",'Таблиця 1'!$J:$J,"AASM-250")+SUMIFS('Таблиця 1'!$K:$K,'Таблиця 1'!$B:$B,$A84,'Таблиця 1'!$I:$I,"F-16",'Таблиця 1'!$J:$J,"AASM-250")+SUMIFS('Таблиця 1'!$K:$K,'Таблиця 1'!$B:$B,$A84,'Таблиця 1'!$I:$I,"МіГ-29",'Таблиця 1'!$J:$J,"AASM-250")+SUMIFS('Таблиця 1'!$K:$K,'Таблиця 1'!$B:$B,$A84,'Таблиця 1'!$I:$I,"Су-25",'Таблиця 1'!$J:$J,"AASM-250")+SUMIFS('Таблиця 1'!$K:$K,'Таблиця 1'!$B:$B,$A84,'Таблиця 1'!$I:$I,"Су-27",'Таблиця 1'!$J:$J,"AASM-250"))</f>
        <v/>
      </c>
      <c r="J84">
        <f>IF($A84="","",SUMIFS('Таблиця 1'!$K:$K,'Таблиця 1'!$B:$B,$A84,'Таблиця 1'!$I:$I,"Mirage",'Таблиця 1'!$J:$J,"GBU-39")+SUMIFS('Таблиця 1'!$K:$K,'Таблиця 1'!$B:$B,$A84,'Таблиця 1'!$I:$I,"F-16",'Таблиця 1'!$J:$J,"GBU-39")+SUMIFS('Таблиця 1'!$K:$K,'Таблиця 1'!$B:$B,$A84,'Таблиця 1'!$I:$I,"МіГ-29",'Таблиця 1'!$J:$J,"GBU-39")+SUMIFS('Таблиця 1'!$K:$K,'Таблиця 1'!$B:$B,$A84,'Таблиця 1'!$I:$I,"Су-25",'Таблиця 1'!$J:$J,"GBU-39")+SUMIFS('Таблиця 1'!$K:$K,'Таблиця 1'!$B:$B,$A84,'Таблиця 1'!$I:$I,"Су-27",'Таблиця 1'!$J:$J,"GBU-39"))</f>
        <v/>
      </c>
      <c r="K84">
        <f>IF($A84="","",SUMIFS('Таблиця 1'!$K:$K,'Таблиця 1'!$B:$B,$A84,'Таблиця 1'!$I:$I,"Mirage",'Таблиця 1'!$J:$J,"BLU-140")+SUMIFS('Таблиця 1'!$K:$K,'Таблиця 1'!$B:$B,$A84,'Таблиця 1'!$I:$I,"F-16",'Таблиця 1'!$J:$J,"BLU-140")+SUMIFS('Таблиця 1'!$K:$K,'Таблиця 1'!$B:$B,$A84,'Таблиця 1'!$I:$I,"МіГ-29",'Таблиця 1'!$J:$J,"BLU-140")+SUMIFS('Таблиця 1'!$K:$K,'Таблиця 1'!$B:$B,$A84,'Таблиця 1'!$I:$I,"Су-25",'Таблиця 1'!$J:$J,"BLU-140")+SUMIFS('Таблиця 1'!$K:$K,'Таблиця 1'!$B:$B,$A84,'Таблиця 1'!$I:$I,"Су-27",'Таблиця 1'!$J:$J,"BLU-140"))</f>
        <v/>
      </c>
      <c r="L84">
        <f>IF($A84="","",SUMIFS('Таблиця 1'!$K:$K,'Таблиця 1'!$B:$B,$A84,'Таблиця 1'!$I:$I,"Mirage",'Таблиця 1'!$J:$J,"GBU-65")+SUMIFS('Таблиця 1'!$K:$K,'Таблиця 1'!$B:$B,$A84,'Таблиця 1'!$I:$I,"F-16",'Таблиця 1'!$J:$J,"GBU-65")+SUMIFS('Таблиця 1'!$K:$K,'Таблиця 1'!$B:$B,$A84,'Таблиця 1'!$I:$I,"МіГ-29",'Таблиця 1'!$J:$J,"GBU-65")+SUMIFS('Таблиця 1'!$K:$K,'Таблиця 1'!$B:$B,$A84,'Таблиця 1'!$I:$I,"Су-25",'Таблиця 1'!$J:$J,"GBU-65")+SUMIFS('Таблиця 1'!$K:$K,'Таблиця 1'!$B:$B,$A84,'Таблиця 1'!$I:$I,"Су-27",'Таблиця 1'!$J:$J,"GBU-65"))</f>
        <v/>
      </c>
      <c r="M84">
        <f>IF($A84="","",SUMIFS('Таблиця 1'!$K:$K,'Таблиця 1'!$B:$B,$A84,'Таблиця 1'!$I:$I,"Mirage",'Таблиця 1'!$J:$J,"GBU-62")+SUMIFS('Таблиця 1'!$K:$K,'Таблиця 1'!$B:$B,$A84,'Таблиця 1'!$I:$I,"F-16",'Таблиця 1'!$J:$J,"GBU-62")+SUMIFS('Таблиця 1'!$K:$K,'Таблиця 1'!$B:$B,$A84,'Таблиця 1'!$I:$I,"МіГ-29",'Таблиця 1'!$J:$J,"GBU-62")+SUMIFS('Таблиця 1'!$K:$K,'Таблиця 1'!$B:$B,$A84,'Таблиця 1'!$I:$I,"Су-25",'Таблиця 1'!$J:$J,"GBU-62")+SUMIFS('Таблиця 1'!$K:$K,'Таблиця 1'!$B:$B,$A84,'Таблиця 1'!$I:$I,"Су-27",'Таблиця 1'!$J:$J,"GBU-62"))</f>
        <v/>
      </c>
      <c r="N84">
        <f>IF($A84="","",SUMIFS('Таблиця 1'!$K:$K,'Таблиця 1'!$B:$B,$A84,'Таблиця 1'!$I:$I,"Mirage",'Таблиця 1'!$J:$J,"GBU-64")+SUMIFS('Таблиця 1'!$K:$K,'Таблиця 1'!$B:$B,$A84,'Таблиця 1'!$I:$I,"F-16",'Таблиця 1'!$J:$J,"GBU-64")+SUMIFS('Таблиця 1'!$K:$K,'Таблиця 1'!$B:$B,$A84,'Таблиця 1'!$I:$I,"МіГ-29",'Таблиця 1'!$J:$J,"GBU-64")+SUMIFS('Таблиця 1'!$K:$K,'Таблиця 1'!$B:$B,$A84,'Таблиця 1'!$I:$I,"Су-25",'Таблиця 1'!$J:$J,"GBU-64")+SUMIFS('Таблиця 1'!$K:$K,'Таблиця 1'!$B:$B,$A84,'Таблиця 1'!$I:$I,"Су-27",'Таблиця 1'!$J:$J,"GBU-64"))</f>
        <v/>
      </c>
      <c r="O84">
        <f>IF($A84="","",SUMIFS('Таблиця 1'!$K:$K,'Таблиця 1'!$B:$B,$A84,'Таблиця 1'!$I:$I,"Mirage",'Таблиця 1'!$J:$J,"C-13")+SUMIFS('Таблиця 1'!$K:$K,'Таблиця 1'!$B:$B,$A84,'Таблиця 1'!$I:$I,"F-16",'Таблиця 1'!$J:$J,"C-13")+SUMIFS('Таблиця 1'!$K:$K,'Таблиця 1'!$B:$B,$A84,'Таблиця 1'!$I:$I,"МіГ-29",'Таблиця 1'!$J:$J,"C-13")+SUMIFS('Таблиця 1'!$K:$K,'Таблиця 1'!$B:$B,$A84,'Таблиця 1'!$I:$I,"Су-25",'Таблиця 1'!$J:$J,"C-13")+SUMIFS('Таблиця 1'!$K:$K,'Таблиця 1'!$B:$B,$A84,'Таблиця 1'!$I:$I,"Су-27",'Таблиця 1'!$J:$J,"C-13"))</f>
        <v/>
      </c>
      <c r="P84">
        <f>IF($A84="","",SUMIFS('Таблиця 1'!$K:$K,'Таблиця 1'!$B:$B,$A84,'Таблиця 1'!$I:$I,"Mirage",'Таблиця 1'!$J:$J,"MK-32")+SUMIFS('Таблиця 1'!$K:$K,'Таблиця 1'!$B:$B,$A84,'Таблиця 1'!$I:$I,"F-16",'Таблиця 1'!$J:$J,"MK-32")+SUMIFS('Таблиця 1'!$K:$K,'Таблиця 1'!$B:$B,$A84,'Таблиця 1'!$I:$I,"МіГ-29",'Таблиця 1'!$J:$J,"MK-32")+SUMIFS('Таблиця 1'!$K:$K,'Таблиця 1'!$B:$B,$A84,'Таблиця 1'!$I:$I,"Су-25",'Таблиця 1'!$J:$J,"MK-32")+SUMIFS('Таблиця 1'!$K:$K,'Таблиця 1'!$B:$B,$A84,'Таблиця 1'!$I:$I,"Су-27",'Таблиця 1'!$J:$J,"MK-32"))</f>
        <v/>
      </c>
      <c r="Q84">
        <f>IF($A84="","",SUMIFS('Таблиця 1'!$K:$K,'Таблиця 1'!$B:$B,$A84,'Таблиця 1'!$I:$I,"Mirage",'Таблиця 1'!$J:$J,"MK-24")+SUMIFS('Таблиця 1'!$K:$K,'Таблиця 1'!$B:$B,$A84,'Таблиця 1'!$I:$I,"F-16",'Таблиця 1'!$J:$J,"MK-24")+SUMIFS('Таблиця 1'!$K:$K,'Таблиця 1'!$B:$B,$A84,'Таблиця 1'!$I:$I,"МіГ-29",'Таблиця 1'!$J:$J,"MK-24")+SUMIFS('Таблиця 1'!$K:$K,'Таблиця 1'!$B:$B,$A84,'Таблиця 1'!$I:$I,"Су-25",'Таблиця 1'!$J:$J,"MK-24")+SUMIFS('Таблиця 1'!$K:$K,'Таблиця 1'!$B:$B,$A84,'Таблиця 1'!$I:$I,"Су-27",'Таблиця 1'!$J:$J,"MK-24"))</f>
        <v/>
      </c>
      <c r="R84">
        <f>IF($A84="","",COUNTIFS('Таблиця 1'!$B:$B,$A84,'Таблиця 1'!$I:$I,"Mirage",'Таблиця 1'!$L:$L,"Уражено")+COUNTIFS('Таблиця 1'!$B:$B,$A84,'Таблиця 1'!$I:$I,"F-16",'Таблиця 1'!$L:$L,"Уражено")+COUNTIFS('Таблиця 1'!$B:$B,$A84,'Таблиця 1'!$I:$I,"МіГ-29",'Таблиця 1'!$L:$L,"Уражено")+COUNTIFS('Таблиця 1'!$B:$B,$A84,'Таблиця 1'!$I:$I,"Су-25",'Таблиця 1'!$L:$L,"Уражено")+COUNTIFS('Таблиця 1'!$B:$B,$A84,'Таблиця 1'!$I:$I,"Су-27",'Таблиця 1'!$L:$L,"Уражено"))</f>
        <v/>
      </c>
      <c r="S84">
        <f>IF($A84="","",COUNTIFS('Таблиця 1'!$B:$B,$A84,'Таблиця 1'!$I:$I,"Mirage",'Таблиця 1'!$L:$L,"НЕ уражено")+COUNTIFS('Таблиця 1'!$B:$B,$A84,'Таблиця 1'!$I:$I,"F-16",'Таблиця 1'!$L:$L,"НЕ уражено")+COUNTIFS('Таблиця 1'!$B:$B,$A84,'Таблиця 1'!$I:$I,"МіГ-29",'Таблиця 1'!$L:$L,"НЕ уражено")+COUNTIFS('Таблиця 1'!$B:$B,$A84,'Таблиця 1'!$I:$I,"Су-25",'Таблиця 1'!$L:$L,"НЕ уражено")+COUNTIFS('Таблиця 1'!$B:$B,$A84,'Таблиця 1'!$I:$I,"Су-27",'Таблиця 1'!$L:$L,"НЕ уражено"))</f>
        <v/>
      </c>
      <c r="T84">
        <f>IF($A84="","",COUNTIFS('Таблиця 1'!$B:$B,$A84,'Таблиця 1'!$I:$I,"Mirage",'Таблиця 1'!$L:$L,"Дорозвідується")+COUNTIFS('Таблиця 1'!$B:$B,$A84,'Таблиця 1'!$I:$I,"F-16",'Таблиця 1'!$L:$L,"Дорозвідується")+COUNTIFS('Таблиця 1'!$B:$B,$A84,'Таблиця 1'!$I:$I,"МіГ-29",'Таблиця 1'!$L:$L,"Дорозвідується")+COUNTIFS('Таблиця 1'!$B:$B,$A84,'Таблиця 1'!$I:$I,"Су-25",'Таблиця 1'!$L:$L,"Дорозвідується")+COUNTIFS('Таблиця 1'!$B:$B,$A84,'Таблиця 1'!$I:$I,"Су-27",'Таблиця 1'!$L:$L,"Дорозвідується"))</f>
        <v/>
      </c>
    </row>
    <row r="85">
      <c r="A85" s="273">
        <f>IF(A84="","",IF(A84+1&gt;MAX('Таблиця 1'!$B:$B),"",A84+1))</f>
        <v/>
      </c>
      <c r="B85">
        <f>IF($A85="","",COUNTIFS('Таблиця 1'!$B:$B,$A85,'Таблиця 1'!$I:$I,"Mirage")+COUNTIFS('Таблиця 1'!$B:$B,$A85,'Таблиця 1'!$I:$I,"F-16")+COUNTIFS('Таблиця 1'!$B:$B,$A85,'Таблиця 1'!$I:$I,"МіГ-29")+COUNTIFS('Таблиця 1'!$B:$B,$A85,'Таблиця 1'!$I:$I,"Су-25")+COUNTIFS('Таблиця 1'!$B:$B,$A85,'Таблиця 1'!$I:$I,"Су-27"))</f>
        <v/>
      </c>
      <c r="C85">
        <f>IF($A85="","",COUNTIFS('Таблиця 1'!$B:$B,$A85,'Таблиця 1'!$I:$I,"Mirage"))</f>
        <v/>
      </c>
      <c r="D85">
        <f>IF($A85="","",COUNTIFS('Таблиця 1'!$B:$B,$A85,'Таблиця 1'!$I:$I,"F-16"))</f>
        <v/>
      </c>
      <c r="E85">
        <f>IF($A85="","",COUNTIFS('Таблиця 1'!$B:$B,$A85,'Таблиця 1'!$I:$I,"МіГ-29"))</f>
        <v/>
      </c>
      <c r="F85">
        <f>IF($A85="","",COUNTIFS('Таблиця 1'!$B:$B,$A85,'Таблиця 1'!$I:$I,"Су-25"))</f>
        <v/>
      </c>
      <c r="G85">
        <f>IF($A85="","",COUNTIFS('Таблиця 1'!$B:$B,$A85,'Таблиця 1'!$I:$I,"Су-27"))</f>
        <v/>
      </c>
      <c r="H85">
        <f>IF($A85="","",SUMIFS('Таблиця 1'!$K:$K,'Таблиця 1'!$B:$B,$A85,'Таблиця 1'!$I:$I,"Mirage",'Таблиця 1'!$J:$J,"AGM-88")+SUMIFS('Таблиця 1'!$K:$K,'Таблиця 1'!$B:$B,$A85,'Таблиця 1'!$I:$I,"F-16",'Таблиця 1'!$J:$J,"AGM-88")+SUMIFS('Таблиця 1'!$K:$K,'Таблиця 1'!$B:$B,$A85,'Таблиця 1'!$I:$I,"МіГ-29",'Таблиця 1'!$J:$J,"AGM-88")+SUMIFS('Таблиця 1'!$K:$K,'Таблиця 1'!$B:$B,$A85,'Таблиця 1'!$I:$I,"Су-25",'Таблиця 1'!$J:$J,"AGM-88")+SUMIFS('Таблиця 1'!$K:$K,'Таблиця 1'!$B:$B,$A85,'Таблиця 1'!$I:$I,"Су-27",'Таблиця 1'!$J:$J,"AGM-88"))</f>
        <v/>
      </c>
      <c r="I85">
        <f>IF($A85="","",SUMIFS('Таблиця 1'!$K:$K,'Таблиця 1'!$B:$B,$A85,'Таблиця 1'!$I:$I,"Mirage",'Таблиця 1'!$J:$J,"AASM-250")+SUMIFS('Таблиця 1'!$K:$K,'Таблиця 1'!$B:$B,$A85,'Таблиця 1'!$I:$I,"F-16",'Таблиця 1'!$J:$J,"AASM-250")+SUMIFS('Таблиця 1'!$K:$K,'Таблиця 1'!$B:$B,$A85,'Таблиця 1'!$I:$I,"МіГ-29",'Таблиця 1'!$J:$J,"AASM-250")+SUMIFS('Таблиця 1'!$K:$K,'Таблиця 1'!$B:$B,$A85,'Таблиця 1'!$I:$I,"Су-25",'Таблиця 1'!$J:$J,"AASM-250")+SUMIFS('Таблиця 1'!$K:$K,'Таблиця 1'!$B:$B,$A85,'Таблиця 1'!$I:$I,"Су-27",'Таблиця 1'!$J:$J,"AASM-250"))</f>
        <v/>
      </c>
      <c r="J85">
        <f>IF($A85="","",SUMIFS('Таблиця 1'!$K:$K,'Таблиця 1'!$B:$B,$A85,'Таблиця 1'!$I:$I,"Mirage",'Таблиця 1'!$J:$J,"GBU-39")+SUMIFS('Таблиця 1'!$K:$K,'Таблиця 1'!$B:$B,$A85,'Таблиця 1'!$I:$I,"F-16",'Таблиця 1'!$J:$J,"GBU-39")+SUMIFS('Таблиця 1'!$K:$K,'Таблиця 1'!$B:$B,$A85,'Таблиця 1'!$I:$I,"МіГ-29",'Таблиця 1'!$J:$J,"GBU-39")+SUMIFS('Таблиця 1'!$K:$K,'Таблиця 1'!$B:$B,$A85,'Таблиця 1'!$I:$I,"Су-25",'Таблиця 1'!$J:$J,"GBU-39")+SUMIFS('Таблиця 1'!$K:$K,'Таблиця 1'!$B:$B,$A85,'Таблиця 1'!$I:$I,"Су-27",'Таблиця 1'!$J:$J,"GBU-39"))</f>
        <v/>
      </c>
      <c r="K85">
        <f>IF($A85="","",SUMIFS('Таблиця 1'!$K:$K,'Таблиця 1'!$B:$B,$A85,'Таблиця 1'!$I:$I,"Mirage",'Таблиця 1'!$J:$J,"BLU-140")+SUMIFS('Таблиця 1'!$K:$K,'Таблиця 1'!$B:$B,$A85,'Таблиця 1'!$I:$I,"F-16",'Таблиця 1'!$J:$J,"BLU-140")+SUMIFS('Таблиця 1'!$K:$K,'Таблиця 1'!$B:$B,$A85,'Таблиця 1'!$I:$I,"МіГ-29",'Таблиця 1'!$J:$J,"BLU-140")+SUMIFS('Таблиця 1'!$K:$K,'Таблиця 1'!$B:$B,$A85,'Таблиця 1'!$I:$I,"Су-25",'Таблиця 1'!$J:$J,"BLU-140")+SUMIFS('Таблиця 1'!$K:$K,'Таблиця 1'!$B:$B,$A85,'Таблиця 1'!$I:$I,"Су-27",'Таблиця 1'!$J:$J,"BLU-140"))</f>
        <v/>
      </c>
      <c r="L85">
        <f>IF($A85="","",SUMIFS('Таблиця 1'!$K:$K,'Таблиця 1'!$B:$B,$A85,'Таблиця 1'!$I:$I,"Mirage",'Таблиця 1'!$J:$J,"GBU-65")+SUMIFS('Таблиця 1'!$K:$K,'Таблиця 1'!$B:$B,$A85,'Таблиця 1'!$I:$I,"F-16",'Таблиця 1'!$J:$J,"GBU-65")+SUMIFS('Таблиця 1'!$K:$K,'Таблиця 1'!$B:$B,$A85,'Таблиця 1'!$I:$I,"МіГ-29",'Таблиця 1'!$J:$J,"GBU-65")+SUMIFS('Таблиця 1'!$K:$K,'Таблиця 1'!$B:$B,$A85,'Таблиця 1'!$I:$I,"Су-25",'Таблиця 1'!$J:$J,"GBU-65")+SUMIFS('Таблиця 1'!$K:$K,'Таблиця 1'!$B:$B,$A85,'Таблиця 1'!$I:$I,"Су-27",'Таблиця 1'!$J:$J,"GBU-65"))</f>
        <v/>
      </c>
      <c r="M85">
        <f>IF($A85="","",SUMIFS('Таблиця 1'!$K:$K,'Таблиця 1'!$B:$B,$A85,'Таблиця 1'!$I:$I,"Mirage",'Таблиця 1'!$J:$J,"GBU-62")+SUMIFS('Таблиця 1'!$K:$K,'Таблиця 1'!$B:$B,$A85,'Таблиця 1'!$I:$I,"F-16",'Таблиця 1'!$J:$J,"GBU-62")+SUMIFS('Таблиця 1'!$K:$K,'Таблиця 1'!$B:$B,$A85,'Таблиця 1'!$I:$I,"МіГ-29",'Таблиця 1'!$J:$J,"GBU-62")+SUMIFS('Таблиця 1'!$K:$K,'Таблиця 1'!$B:$B,$A85,'Таблиця 1'!$I:$I,"Су-25",'Таблиця 1'!$J:$J,"GBU-62")+SUMIFS('Таблиця 1'!$K:$K,'Таблиця 1'!$B:$B,$A85,'Таблиця 1'!$I:$I,"Су-27",'Таблиця 1'!$J:$J,"GBU-62"))</f>
        <v/>
      </c>
      <c r="N85">
        <f>IF($A85="","",SUMIFS('Таблиця 1'!$K:$K,'Таблиця 1'!$B:$B,$A85,'Таблиця 1'!$I:$I,"Mirage",'Таблиця 1'!$J:$J,"GBU-64")+SUMIFS('Таблиця 1'!$K:$K,'Таблиця 1'!$B:$B,$A85,'Таблиця 1'!$I:$I,"F-16",'Таблиця 1'!$J:$J,"GBU-64")+SUMIFS('Таблиця 1'!$K:$K,'Таблиця 1'!$B:$B,$A85,'Таблиця 1'!$I:$I,"МіГ-29",'Таблиця 1'!$J:$J,"GBU-64")+SUMIFS('Таблиця 1'!$K:$K,'Таблиця 1'!$B:$B,$A85,'Таблиця 1'!$I:$I,"Су-25",'Таблиця 1'!$J:$J,"GBU-64")+SUMIFS('Таблиця 1'!$K:$K,'Таблиця 1'!$B:$B,$A85,'Таблиця 1'!$I:$I,"Су-27",'Таблиця 1'!$J:$J,"GBU-64"))</f>
        <v/>
      </c>
      <c r="O85">
        <f>IF($A85="","",SUMIFS('Таблиця 1'!$K:$K,'Таблиця 1'!$B:$B,$A85,'Таблиця 1'!$I:$I,"Mirage",'Таблиця 1'!$J:$J,"C-13")+SUMIFS('Таблиця 1'!$K:$K,'Таблиця 1'!$B:$B,$A85,'Таблиця 1'!$I:$I,"F-16",'Таблиця 1'!$J:$J,"C-13")+SUMIFS('Таблиця 1'!$K:$K,'Таблиця 1'!$B:$B,$A85,'Таблиця 1'!$I:$I,"МіГ-29",'Таблиця 1'!$J:$J,"C-13")+SUMIFS('Таблиця 1'!$K:$K,'Таблиця 1'!$B:$B,$A85,'Таблиця 1'!$I:$I,"Су-25",'Таблиця 1'!$J:$J,"C-13")+SUMIFS('Таблиця 1'!$K:$K,'Таблиця 1'!$B:$B,$A85,'Таблиця 1'!$I:$I,"Су-27",'Таблиця 1'!$J:$J,"C-13"))</f>
        <v/>
      </c>
      <c r="P85">
        <f>IF($A85="","",SUMIFS('Таблиця 1'!$K:$K,'Таблиця 1'!$B:$B,$A85,'Таблиця 1'!$I:$I,"Mirage",'Таблиця 1'!$J:$J,"MK-32")+SUMIFS('Таблиця 1'!$K:$K,'Таблиця 1'!$B:$B,$A85,'Таблиця 1'!$I:$I,"F-16",'Таблиця 1'!$J:$J,"MK-32")+SUMIFS('Таблиця 1'!$K:$K,'Таблиця 1'!$B:$B,$A85,'Таблиця 1'!$I:$I,"МіГ-29",'Таблиця 1'!$J:$J,"MK-32")+SUMIFS('Таблиця 1'!$K:$K,'Таблиця 1'!$B:$B,$A85,'Таблиця 1'!$I:$I,"Су-25",'Таблиця 1'!$J:$J,"MK-32")+SUMIFS('Таблиця 1'!$K:$K,'Таблиця 1'!$B:$B,$A85,'Таблиця 1'!$I:$I,"Су-27",'Таблиця 1'!$J:$J,"MK-32"))</f>
        <v/>
      </c>
      <c r="Q85">
        <f>IF($A85="","",SUMIFS('Таблиця 1'!$K:$K,'Таблиця 1'!$B:$B,$A85,'Таблиця 1'!$I:$I,"Mirage",'Таблиця 1'!$J:$J,"MK-24")+SUMIFS('Таблиця 1'!$K:$K,'Таблиця 1'!$B:$B,$A85,'Таблиця 1'!$I:$I,"F-16",'Таблиця 1'!$J:$J,"MK-24")+SUMIFS('Таблиця 1'!$K:$K,'Таблиця 1'!$B:$B,$A85,'Таблиця 1'!$I:$I,"МіГ-29",'Таблиця 1'!$J:$J,"MK-24")+SUMIFS('Таблиця 1'!$K:$K,'Таблиця 1'!$B:$B,$A85,'Таблиця 1'!$I:$I,"Су-25",'Таблиця 1'!$J:$J,"MK-24")+SUMIFS('Таблиця 1'!$K:$K,'Таблиця 1'!$B:$B,$A85,'Таблиця 1'!$I:$I,"Су-27",'Таблиця 1'!$J:$J,"MK-24"))</f>
        <v/>
      </c>
      <c r="R85">
        <f>IF($A85="","",COUNTIFS('Таблиця 1'!$B:$B,$A85,'Таблиця 1'!$I:$I,"Mirage",'Таблиця 1'!$L:$L,"Уражено")+COUNTIFS('Таблиця 1'!$B:$B,$A85,'Таблиця 1'!$I:$I,"F-16",'Таблиця 1'!$L:$L,"Уражено")+COUNTIFS('Таблиця 1'!$B:$B,$A85,'Таблиця 1'!$I:$I,"МіГ-29",'Таблиця 1'!$L:$L,"Уражено")+COUNTIFS('Таблиця 1'!$B:$B,$A85,'Таблиця 1'!$I:$I,"Су-25",'Таблиця 1'!$L:$L,"Уражено")+COUNTIFS('Таблиця 1'!$B:$B,$A85,'Таблиця 1'!$I:$I,"Су-27",'Таблиця 1'!$L:$L,"Уражено"))</f>
        <v/>
      </c>
      <c r="S85">
        <f>IF($A85="","",COUNTIFS('Таблиця 1'!$B:$B,$A85,'Таблиця 1'!$I:$I,"Mirage",'Таблиця 1'!$L:$L,"НЕ уражено")+COUNTIFS('Таблиця 1'!$B:$B,$A85,'Таблиця 1'!$I:$I,"F-16",'Таблиця 1'!$L:$L,"НЕ уражено")+COUNTIFS('Таблиця 1'!$B:$B,$A85,'Таблиця 1'!$I:$I,"МіГ-29",'Таблиця 1'!$L:$L,"НЕ уражено")+COUNTIFS('Таблиця 1'!$B:$B,$A85,'Таблиця 1'!$I:$I,"Су-25",'Таблиця 1'!$L:$L,"НЕ уражено")+COUNTIFS('Таблиця 1'!$B:$B,$A85,'Таблиця 1'!$I:$I,"Су-27",'Таблиця 1'!$L:$L,"НЕ уражено"))</f>
        <v/>
      </c>
      <c r="T85">
        <f>IF($A85="","",COUNTIFS('Таблиця 1'!$B:$B,$A85,'Таблиця 1'!$I:$I,"Mirage",'Таблиця 1'!$L:$L,"Дорозвідується")+COUNTIFS('Таблиця 1'!$B:$B,$A85,'Таблиця 1'!$I:$I,"F-16",'Таблиця 1'!$L:$L,"Дорозвідується")+COUNTIFS('Таблиця 1'!$B:$B,$A85,'Таблиця 1'!$I:$I,"МіГ-29",'Таблиця 1'!$L:$L,"Дорозвідується")+COUNTIFS('Таблиця 1'!$B:$B,$A85,'Таблиця 1'!$I:$I,"Су-25",'Таблиця 1'!$L:$L,"Дорозвідується")+COUNTIFS('Таблиця 1'!$B:$B,$A85,'Таблиця 1'!$I:$I,"Су-27",'Таблиця 1'!$L:$L,"Дорозвідується"))</f>
        <v/>
      </c>
    </row>
    <row r="86">
      <c r="A86" s="273">
        <f>IF(A85="","",IF(A85+1&gt;MAX('Таблиця 1'!$B:$B),"",A85+1))</f>
        <v/>
      </c>
      <c r="B86">
        <f>IF($A86="","",COUNTIFS('Таблиця 1'!$B:$B,$A86,'Таблиця 1'!$I:$I,"Mirage")+COUNTIFS('Таблиця 1'!$B:$B,$A86,'Таблиця 1'!$I:$I,"F-16")+COUNTIFS('Таблиця 1'!$B:$B,$A86,'Таблиця 1'!$I:$I,"МіГ-29")+COUNTIFS('Таблиця 1'!$B:$B,$A86,'Таблиця 1'!$I:$I,"Су-25")+COUNTIFS('Таблиця 1'!$B:$B,$A86,'Таблиця 1'!$I:$I,"Су-27"))</f>
        <v/>
      </c>
      <c r="C86">
        <f>IF($A86="","",COUNTIFS('Таблиця 1'!$B:$B,$A86,'Таблиця 1'!$I:$I,"Mirage"))</f>
        <v/>
      </c>
      <c r="D86">
        <f>IF($A86="","",COUNTIFS('Таблиця 1'!$B:$B,$A86,'Таблиця 1'!$I:$I,"F-16"))</f>
        <v/>
      </c>
      <c r="E86">
        <f>IF($A86="","",COUNTIFS('Таблиця 1'!$B:$B,$A86,'Таблиця 1'!$I:$I,"МіГ-29"))</f>
        <v/>
      </c>
      <c r="F86">
        <f>IF($A86="","",COUNTIFS('Таблиця 1'!$B:$B,$A86,'Таблиця 1'!$I:$I,"Су-25"))</f>
        <v/>
      </c>
      <c r="G86">
        <f>IF($A86="","",COUNTIFS('Таблиця 1'!$B:$B,$A86,'Таблиця 1'!$I:$I,"Су-27"))</f>
        <v/>
      </c>
      <c r="H86">
        <f>IF($A86="","",SUMIFS('Таблиця 1'!$K:$K,'Таблиця 1'!$B:$B,$A86,'Таблиця 1'!$I:$I,"Mirage",'Таблиця 1'!$J:$J,"AGM-88")+SUMIFS('Таблиця 1'!$K:$K,'Таблиця 1'!$B:$B,$A86,'Таблиця 1'!$I:$I,"F-16",'Таблиця 1'!$J:$J,"AGM-88")+SUMIFS('Таблиця 1'!$K:$K,'Таблиця 1'!$B:$B,$A86,'Таблиця 1'!$I:$I,"МіГ-29",'Таблиця 1'!$J:$J,"AGM-88")+SUMIFS('Таблиця 1'!$K:$K,'Таблиця 1'!$B:$B,$A86,'Таблиця 1'!$I:$I,"Су-25",'Таблиця 1'!$J:$J,"AGM-88")+SUMIFS('Таблиця 1'!$K:$K,'Таблиця 1'!$B:$B,$A86,'Таблиця 1'!$I:$I,"Су-27",'Таблиця 1'!$J:$J,"AGM-88"))</f>
        <v/>
      </c>
      <c r="I86">
        <f>IF($A86="","",SUMIFS('Таблиця 1'!$K:$K,'Таблиця 1'!$B:$B,$A86,'Таблиця 1'!$I:$I,"Mirage",'Таблиця 1'!$J:$J,"AASM-250")+SUMIFS('Таблиця 1'!$K:$K,'Таблиця 1'!$B:$B,$A86,'Таблиця 1'!$I:$I,"F-16",'Таблиця 1'!$J:$J,"AASM-250")+SUMIFS('Таблиця 1'!$K:$K,'Таблиця 1'!$B:$B,$A86,'Таблиця 1'!$I:$I,"МіГ-29",'Таблиця 1'!$J:$J,"AASM-250")+SUMIFS('Таблиця 1'!$K:$K,'Таблиця 1'!$B:$B,$A86,'Таблиця 1'!$I:$I,"Су-25",'Таблиця 1'!$J:$J,"AASM-250")+SUMIFS('Таблиця 1'!$K:$K,'Таблиця 1'!$B:$B,$A86,'Таблиця 1'!$I:$I,"Су-27",'Таблиця 1'!$J:$J,"AASM-250"))</f>
        <v/>
      </c>
      <c r="J86">
        <f>IF($A86="","",SUMIFS('Таблиця 1'!$K:$K,'Таблиця 1'!$B:$B,$A86,'Таблиця 1'!$I:$I,"Mirage",'Таблиця 1'!$J:$J,"GBU-39")+SUMIFS('Таблиця 1'!$K:$K,'Таблиця 1'!$B:$B,$A86,'Таблиця 1'!$I:$I,"F-16",'Таблиця 1'!$J:$J,"GBU-39")+SUMIFS('Таблиця 1'!$K:$K,'Таблиця 1'!$B:$B,$A86,'Таблиця 1'!$I:$I,"МіГ-29",'Таблиця 1'!$J:$J,"GBU-39")+SUMIFS('Таблиця 1'!$K:$K,'Таблиця 1'!$B:$B,$A86,'Таблиця 1'!$I:$I,"Су-25",'Таблиця 1'!$J:$J,"GBU-39")+SUMIFS('Таблиця 1'!$K:$K,'Таблиця 1'!$B:$B,$A86,'Таблиця 1'!$I:$I,"Су-27",'Таблиця 1'!$J:$J,"GBU-39"))</f>
        <v/>
      </c>
      <c r="K86">
        <f>IF($A86="","",SUMIFS('Таблиця 1'!$K:$K,'Таблиця 1'!$B:$B,$A86,'Таблиця 1'!$I:$I,"Mirage",'Таблиця 1'!$J:$J,"BLU-140")+SUMIFS('Таблиця 1'!$K:$K,'Таблиця 1'!$B:$B,$A86,'Таблиця 1'!$I:$I,"F-16",'Таблиця 1'!$J:$J,"BLU-140")+SUMIFS('Таблиця 1'!$K:$K,'Таблиця 1'!$B:$B,$A86,'Таблиця 1'!$I:$I,"МіГ-29",'Таблиця 1'!$J:$J,"BLU-140")+SUMIFS('Таблиця 1'!$K:$K,'Таблиця 1'!$B:$B,$A86,'Таблиця 1'!$I:$I,"Су-25",'Таблиця 1'!$J:$J,"BLU-140")+SUMIFS('Таблиця 1'!$K:$K,'Таблиця 1'!$B:$B,$A86,'Таблиця 1'!$I:$I,"Су-27",'Таблиця 1'!$J:$J,"BLU-140"))</f>
        <v/>
      </c>
      <c r="L86">
        <f>IF($A86="","",SUMIFS('Таблиця 1'!$K:$K,'Таблиця 1'!$B:$B,$A86,'Таблиця 1'!$I:$I,"Mirage",'Таблиця 1'!$J:$J,"GBU-65")+SUMIFS('Таблиця 1'!$K:$K,'Таблиця 1'!$B:$B,$A86,'Таблиця 1'!$I:$I,"F-16",'Таблиця 1'!$J:$J,"GBU-65")+SUMIFS('Таблиця 1'!$K:$K,'Таблиця 1'!$B:$B,$A86,'Таблиця 1'!$I:$I,"МіГ-29",'Таблиця 1'!$J:$J,"GBU-65")+SUMIFS('Таблиця 1'!$K:$K,'Таблиця 1'!$B:$B,$A86,'Таблиця 1'!$I:$I,"Су-25",'Таблиця 1'!$J:$J,"GBU-65")+SUMIFS('Таблиця 1'!$K:$K,'Таблиця 1'!$B:$B,$A86,'Таблиця 1'!$I:$I,"Су-27",'Таблиця 1'!$J:$J,"GBU-65"))</f>
        <v/>
      </c>
      <c r="M86">
        <f>IF($A86="","",SUMIFS('Таблиця 1'!$K:$K,'Таблиця 1'!$B:$B,$A86,'Таблиця 1'!$I:$I,"Mirage",'Таблиця 1'!$J:$J,"GBU-62")+SUMIFS('Таблиця 1'!$K:$K,'Таблиця 1'!$B:$B,$A86,'Таблиця 1'!$I:$I,"F-16",'Таблиця 1'!$J:$J,"GBU-62")+SUMIFS('Таблиця 1'!$K:$K,'Таблиця 1'!$B:$B,$A86,'Таблиця 1'!$I:$I,"МіГ-29",'Таблиця 1'!$J:$J,"GBU-62")+SUMIFS('Таблиця 1'!$K:$K,'Таблиця 1'!$B:$B,$A86,'Таблиця 1'!$I:$I,"Су-25",'Таблиця 1'!$J:$J,"GBU-62")+SUMIFS('Таблиця 1'!$K:$K,'Таблиця 1'!$B:$B,$A86,'Таблиця 1'!$I:$I,"Су-27",'Таблиця 1'!$J:$J,"GBU-62"))</f>
        <v/>
      </c>
      <c r="N86">
        <f>IF($A86="","",SUMIFS('Таблиця 1'!$K:$K,'Таблиця 1'!$B:$B,$A86,'Таблиця 1'!$I:$I,"Mirage",'Таблиця 1'!$J:$J,"GBU-64")+SUMIFS('Таблиця 1'!$K:$K,'Таблиця 1'!$B:$B,$A86,'Таблиця 1'!$I:$I,"F-16",'Таблиця 1'!$J:$J,"GBU-64")+SUMIFS('Таблиця 1'!$K:$K,'Таблиця 1'!$B:$B,$A86,'Таблиця 1'!$I:$I,"МіГ-29",'Таблиця 1'!$J:$J,"GBU-64")+SUMIFS('Таблиця 1'!$K:$K,'Таблиця 1'!$B:$B,$A86,'Таблиця 1'!$I:$I,"Су-25",'Таблиця 1'!$J:$J,"GBU-64")+SUMIFS('Таблиця 1'!$K:$K,'Таблиця 1'!$B:$B,$A86,'Таблиця 1'!$I:$I,"Су-27",'Таблиця 1'!$J:$J,"GBU-64"))</f>
        <v/>
      </c>
      <c r="O86">
        <f>IF($A86="","",SUMIFS('Таблиця 1'!$K:$K,'Таблиця 1'!$B:$B,$A86,'Таблиця 1'!$I:$I,"Mirage",'Таблиця 1'!$J:$J,"C-13")+SUMIFS('Таблиця 1'!$K:$K,'Таблиця 1'!$B:$B,$A86,'Таблиця 1'!$I:$I,"F-16",'Таблиця 1'!$J:$J,"C-13")+SUMIFS('Таблиця 1'!$K:$K,'Таблиця 1'!$B:$B,$A86,'Таблиця 1'!$I:$I,"МіГ-29",'Таблиця 1'!$J:$J,"C-13")+SUMIFS('Таблиця 1'!$K:$K,'Таблиця 1'!$B:$B,$A86,'Таблиця 1'!$I:$I,"Су-25",'Таблиця 1'!$J:$J,"C-13")+SUMIFS('Таблиця 1'!$K:$K,'Таблиця 1'!$B:$B,$A86,'Таблиця 1'!$I:$I,"Су-27",'Таблиця 1'!$J:$J,"C-13"))</f>
        <v/>
      </c>
      <c r="P86">
        <f>IF($A86="","",SUMIFS('Таблиця 1'!$K:$K,'Таблиця 1'!$B:$B,$A86,'Таблиця 1'!$I:$I,"Mirage",'Таблиця 1'!$J:$J,"MK-32")+SUMIFS('Таблиця 1'!$K:$K,'Таблиця 1'!$B:$B,$A86,'Таблиця 1'!$I:$I,"F-16",'Таблиця 1'!$J:$J,"MK-32")+SUMIFS('Таблиця 1'!$K:$K,'Таблиця 1'!$B:$B,$A86,'Таблиця 1'!$I:$I,"МіГ-29",'Таблиця 1'!$J:$J,"MK-32")+SUMIFS('Таблиця 1'!$K:$K,'Таблиця 1'!$B:$B,$A86,'Таблиця 1'!$I:$I,"Су-25",'Таблиця 1'!$J:$J,"MK-32")+SUMIFS('Таблиця 1'!$K:$K,'Таблиця 1'!$B:$B,$A86,'Таблиця 1'!$I:$I,"Су-27",'Таблиця 1'!$J:$J,"MK-32"))</f>
        <v/>
      </c>
      <c r="Q86">
        <f>IF($A86="","",SUMIFS('Таблиця 1'!$K:$K,'Таблиця 1'!$B:$B,$A86,'Таблиця 1'!$I:$I,"Mirage",'Таблиця 1'!$J:$J,"MK-24")+SUMIFS('Таблиця 1'!$K:$K,'Таблиця 1'!$B:$B,$A86,'Таблиця 1'!$I:$I,"F-16",'Таблиця 1'!$J:$J,"MK-24")+SUMIFS('Таблиця 1'!$K:$K,'Таблиця 1'!$B:$B,$A86,'Таблиця 1'!$I:$I,"МіГ-29",'Таблиця 1'!$J:$J,"MK-24")+SUMIFS('Таблиця 1'!$K:$K,'Таблиця 1'!$B:$B,$A86,'Таблиця 1'!$I:$I,"Су-25",'Таблиця 1'!$J:$J,"MK-24")+SUMIFS('Таблиця 1'!$K:$K,'Таблиця 1'!$B:$B,$A86,'Таблиця 1'!$I:$I,"Су-27",'Таблиця 1'!$J:$J,"MK-24"))</f>
        <v/>
      </c>
      <c r="R86">
        <f>IF($A86="","",COUNTIFS('Таблиця 1'!$B:$B,$A86,'Таблиця 1'!$I:$I,"Mirage",'Таблиця 1'!$L:$L,"Уражено")+COUNTIFS('Таблиця 1'!$B:$B,$A86,'Таблиця 1'!$I:$I,"F-16",'Таблиця 1'!$L:$L,"Уражено")+COUNTIFS('Таблиця 1'!$B:$B,$A86,'Таблиця 1'!$I:$I,"МіГ-29",'Таблиця 1'!$L:$L,"Уражено")+COUNTIFS('Таблиця 1'!$B:$B,$A86,'Таблиця 1'!$I:$I,"Су-25",'Таблиця 1'!$L:$L,"Уражено")+COUNTIFS('Таблиця 1'!$B:$B,$A86,'Таблиця 1'!$I:$I,"Су-27",'Таблиця 1'!$L:$L,"Уражено"))</f>
        <v/>
      </c>
      <c r="S86">
        <f>IF($A86="","",COUNTIFS('Таблиця 1'!$B:$B,$A86,'Таблиця 1'!$I:$I,"Mirage",'Таблиця 1'!$L:$L,"НЕ уражено")+COUNTIFS('Таблиця 1'!$B:$B,$A86,'Таблиця 1'!$I:$I,"F-16",'Таблиця 1'!$L:$L,"НЕ уражено")+COUNTIFS('Таблиця 1'!$B:$B,$A86,'Таблиця 1'!$I:$I,"МіГ-29",'Таблиця 1'!$L:$L,"НЕ уражено")+COUNTIFS('Таблиця 1'!$B:$B,$A86,'Таблиця 1'!$I:$I,"Су-25",'Таблиця 1'!$L:$L,"НЕ уражено")+COUNTIFS('Таблиця 1'!$B:$B,$A86,'Таблиця 1'!$I:$I,"Су-27",'Таблиця 1'!$L:$L,"НЕ уражено"))</f>
        <v/>
      </c>
      <c r="T86">
        <f>IF($A86="","",COUNTIFS('Таблиця 1'!$B:$B,$A86,'Таблиця 1'!$I:$I,"Mirage",'Таблиця 1'!$L:$L,"Дорозвідується")+COUNTIFS('Таблиця 1'!$B:$B,$A86,'Таблиця 1'!$I:$I,"F-16",'Таблиця 1'!$L:$L,"Дорозвідується")+COUNTIFS('Таблиця 1'!$B:$B,$A86,'Таблиця 1'!$I:$I,"МіГ-29",'Таблиця 1'!$L:$L,"Дорозвідується")+COUNTIFS('Таблиця 1'!$B:$B,$A86,'Таблиця 1'!$I:$I,"Су-25",'Таблиця 1'!$L:$L,"Дорозвідується")+COUNTIFS('Таблиця 1'!$B:$B,$A86,'Таблиця 1'!$I:$I,"Су-27",'Таблиця 1'!$L:$L,"Дорозвідується"))</f>
        <v/>
      </c>
    </row>
    <row r="87">
      <c r="A87" s="273">
        <f>IF(A86="","",IF(A86+1&gt;MAX('Таблиця 1'!$B:$B),"",A86+1))</f>
        <v/>
      </c>
      <c r="B87">
        <f>IF($A87="","",COUNTIFS('Таблиця 1'!$B:$B,$A87,'Таблиця 1'!$I:$I,"Mirage")+COUNTIFS('Таблиця 1'!$B:$B,$A87,'Таблиця 1'!$I:$I,"F-16")+COUNTIFS('Таблиця 1'!$B:$B,$A87,'Таблиця 1'!$I:$I,"МіГ-29")+COUNTIFS('Таблиця 1'!$B:$B,$A87,'Таблиця 1'!$I:$I,"Су-25")+COUNTIFS('Таблиця 1'!$B:$B,$A87,'Таблиця 1'!$I:$I,"Су-27"))</f>
        <v/>
      </c>
      <c r="C87">
        <f>IF($A87="","",COUNTIFS('Таблиця 1'!$B:$B,$A87,'Таблиця 1'!$I:$I,"Mirage"))</f>
        <v/>
      </c>
      <c r="D87">
        <f>IF($A87="","",COUNTIFS('Таблиця 1'!$B:$B,$A87,'Таблиця 1'!$I:$I,"F-16"))</f>
        <v/>
      </c>
      <c r="E87">
        <f>IF($A87="","",COUNTIFS('Таблиця 1'!$B:$B,$A87,'Таблиця 1'!$I:$I,"МіГ-29"))</f>
        <v/>
      </c>
      <c r="F87">
        <f>IF($A87="","",COUNTIFS('Таблиця 1'!$B:$B,$A87,'Таблиця 1'!$I:$I,"Су-25"))</f>
        <v/>
      </c>
      <c r="G87">
        <f>IF($A87="","",COUNTIFS('Таблиця 1'!$B:$B,$A87,'Таблиця 1'!$I:$I,"Су-27"))</f>
        <v/>
      </c>
      <c r="H87">
        <f>IF($A87="","",SUMIFS('Таблиця 1'!$K:$K,'Таблиця 1'!$B:$B,$A87,'Таблиця 1'!$I:$I,"Mirage",'Таблиця 1'!$J:$J,"AGM-88")+SUMIFS('Таблиця 1'!$K:$K,'Таблиця 1'!$B:$B,$A87,'Таблиця 1'!$I:$I,"F-16",'Таблиця 1'!$J:$J,"AGM-88")+SUMIFS('Таблиця 1'!$K:$K,'Таблиця 1'!$B:$B,$A87,'Таблиця 1'!$I:$I,"МіГ-29",'Таблиця 1'!$J:$J,"AGM-88")+SUMIFS('Таблиця 1'!$K:$K,'Таблиця 1'!$B:$B,$A87,'Таблиця 1'!$I:$I,"Су-25",'Таблиця 1'!$J:$J,"AGM-88")+SUMIFS('Таблиця 1'!$K:$K,'Таблиця 1'!$B:$B,$A87,'Таблиця 1'!$I:$I,"Су-27",'Таблиця 1'!$J:$J,"AGM-88"))</f>
        <v/>
      </c>
      <c r="I87">
        <f>IF($A87="","",SUMIFS('Таблиця 1'!$K:$K,'Таблиця 1'!$B:$B,$A87,'Таблиця 1'!$I:$I,"Mirage",'Таблиця 1'!$J:$J,"AASM-250")+SUMIFS('Таблиця 1'!$K:$K,'Таблиця 1'!$B:$B,$A87,'Таблиця 1'!$I:$I,"F-16",'Таблиця 1'!$J:$J,"AASM-250")+SUMIFS('Таблиця 1'!$K:$K,'Таблиця 1'!$B:$B,$A87,'Таблиця 1'!$I:$I,"МіГ-29",'Таблиця 1'!$J:$J,"AASM-250")+SUMIFS('Таблиця 1'!$K:$K,'Таблиця 1'!$B:$B,$A87,'Таблиця 1'!$I:$I,"Су-25",'Таблиця 1'!$J:$J,"AASM-250")+SUMIFS('Таблиця 1'!$K:$K,'Таблиця 1'!$B:$B,$A87,'Таблиця 1'!$I:$I,"Су-27",'Таблиця 1'!$J:$J,"AASM-250"))</f>
        <v/>
      </c>
      <c r="J87">
        <f>IF($A87="","",SUMIFS('Таблиця 1'!$K:$K,'Таблиця 1'!$B:$B,$A87,'Таблиця 1'!$I:$I,"Mirage",'Таблиця 1'!$J:$J,"GBU-39")+SUMIFS('Таблиця 1'!$K:$K,'Таблиця 1'!$B:$B,$A87,'Таблиця 1'!$I:$I,"F-16",'Таблиця 1'!$J:$J,"GBU-39")+SUMIFS('Таблиця 1'!$K:$K,'Таблиця 1'!$B:$B,$A87,'Таблиця 1'!$I:$I,"МіГ-29",'Таблиця 1'!$J:$J,"GBU-39")+SUMIFS('Таблиця 1'!$K:$K,'Таблиця 1'!$B:$B,$A87,'Таблиця 1'!$I:$I,"Су-25",'Таблиця 1'!$J:$J,"GBU-39")+SUMIFS('Таблиця 1'!$K:$K,'Таблиця 1'!$B:$B,$A87,'Таблиця 1'!$I:$I,"Су-27",'Таблиця 1'!$J:$J,"GBU-39"))</f>
        <v/>
      </c>
      <c r="K87">
        <f>IF($A87="","",SUMIFS('Таблиця 1'!$K:$K,'Таблиця 1'!$B:$B,$A87,'Таблиця 1'!$I:$I,"Mirage",'Таблиця 1'!$J:$J,"BLU-140")+SUMIFS('Таблиця 1'!$K:$K,'Таблиця 1'!$B:$B,$A87,'Таблиця 1'!$I:$I,"F-16",'Таблиця 1'!$J:$J,"BLU-140")+SUMIFS('Таблиця 1'!$K:$K,'Таблиця 1'!$B:$B,$A87,'Таблиця 1'!$I:$I,"МіГ-29",'Таблиця 1'!$J:$J,"BLU-140")+SUMIFS('Таблиця 1'!$K:$K,'Таблиця 1'!$B:$B,$A87,'Таблиця 1'!$I:$I,"Су-25",'Таблиця 1'!$J:$J,"BLU-140")+SUMIFS('Таблиця 1'!$K:$K,'Таблиця 1'!$B:$B,$A87,'Таблиця 1'!$I:$I,"Су-27",'Таблиця 1'!$J:$J,"BLU-140"))</f>
        <v/>
      </c>
      <c r="L87">
        <f>IF($A87="","",SUMIFS('Таблиця 1'!$K:$K,'Таблиця 1'!$B:$B,$A87,'Таблиця 1'!$I:$I,"Mirage",'Таблиця 1'!$J:$J,"GBU-65")+SUMIFS('Таблиця 1'!$K:$K,'Таблиця 1'!$B:$B,$A87,'Таблиця 1'!$I:$I,"F-16",'Таблиця 1'!$J:$J,"GBU-65")+SUMIFS('Таблиця 1'!$K:$K,'Таблиця 1'!$B:$B,$A87,'Таблиця 1'!$I:$I,"МіГ-29",'Таблиця 1'!$J:$J,"GBU-65")+SUMIFS('Таблиця 1'!$K:$K,'Таблиця 1'!$B:$B,$A87,'Таблиця 1'!$I:$I,"Су-25",'Таблиця 1'!$J:$J,"GBU-65")+SUMIFS('Таблиця 1'!$K:$K,'Таблиця 1'!$B:$B,$A87,'Таблиця 1'!$I:$I,"Су-27",'Таблиця 1'!$J:$J,"GBU-65"))</f>
        <v/>
      </c>
      <c r="M87">
        <f>IF($A87="","",SUMIFS('Таблиця 1'!$K:$K,'Таблиця 1'!$B:$B,$A87,'Таблиця 1'!$I:$I,"Mirage",'Таблиця 1'!$J:$J,"GBU-62")+SUMIFS('Таблиця 1'!$K:$K,'Таблиця 1'!$B:$B,$A87,'Таблиця 1'!$I:$I,"F-16",'Таблиця 1'!$J:$J,"GBU-62")+SUMIFS('Таблиця 1'!$K:$K,'Таблиця 1'!$B:$B,$A87,'Таблиця 1'!$I:$I,"МіГ-29",'Таблиця 1'!$J:$J,"GBU-62")+SUMIFS('Таблиця 1'!$K:$K,'Таблиця 1'!$B:$B,$A87,'Таблиця 1'!$I:$I,"Су-25",'Таблиця 1'!$J:$J,"GBU-62")+SUMIFS('Таблиця 1'!$K:$K,'Таблиця 1'!$B:$B,$A87,'Таблиця 1'!$I:$I,"Су-27",'Таблиця 1'!$J:$J,"GBU-62"))</f>
        <v/>
      </c>
      <c r="N87">
        <f>IF($A87="","",SUMIFS('Таблиця 1'!$K:$K,'Таблиця 1'!$B:$B,$A87,'Таблиця 1'!$I:$I,"Mirage",'Таблиця 1'!$J:$J,"GBU-64")+SUMIFS('Таблиця 1'!$K:$K,'Таблиця 1'!$B:$B,$A87,'Таблиця 1'!$I:$I,"F-16",'Таблиця 1'!$J:$J,"GBU-64")+SUMIFS('Таблиця 1'!$K:$K,'Таблиця 1'!$B:$B,$A87,'Таблиця 1'!$I:$I,"МіГ-29",'Таблиця 1'!$J:$J,"GBU-64")+SUMIFS('Таблиця 1'!$K:$K,'Таблиця 1'!$B:$B,$A87,'Таблиця 1'!$I:$I,"Су-25",'Таблиця 1'!$J:$J,"GBU-64")+SUMIFS('Таблиця 1'!$K:$K,'Таблиця 1'!$B:$B,$A87,'Таблиця 1'!$I:$I,"Су-27",'Таблиця 1'!$J:$J,"GBU-64"))</f>
        <v/>
      </c>
      <c r="O87">
        <f>IF($A87="","",SUMIFS('Таблиця 1'!$K:$K,'Таблиця 1'!$B:$B,$A87,'Таблиця 1'!$I:$I,"Mirage",'Таблиця 1'!$J:$J,"C-13")+SUMIFS('Таблиця 1'!$K:$K,'Таблиця 1'!$B:$B,$A87,'Таблиця 1'!$I:$I,"F-16",'Таблиця 1'!$J:$J,"C-13")+SUMIFS('Таблиця 1'!$K:$K,'Таблиця 1'!$B:$B,$A87,'Таблиця 1'!$I:$I,"МіГ-29",'Таблиця 1'!$J:$J,"C-13")+SUMIFS('Таблиця 1'!$K:$K,'Таблиця 1'!$B:$B,$A87,'Таблиця 1'!$I:$I,"Су-25",'Таблиця 1'!$J:$J,"C-13")+SUMIFS('Таблиця 1'!$K:$K,'Таблиця 1'!$B:$B,$A87,'Таблиця 1'!$I:$I,"Су-27",'Таблиця 1'!$J:$J,"C-13"))</f>
        <v/>
      </c>
      <c r="P87">
        <f>IF($A87="","",SUMIFS('Таблиця 1'!$K:$K,'Таблиця 1'!$B:$B,$A87,'Таблиця 1'!$I:$I,"Mirage",'Таблиця 1'!$J:$J,"MK-32")+SUMIFS('Таблиця 1'!$K:$K,'Таблиця 1'!$B:$B,$A87,'Таблиця 1'!$I:$I,"F-16",'Таблиця 1'!$J:$J,"MK-32")+SUMIFS('Таблиця 1'!$K:$K,'Таблиця 1'!$B:$B,$A87,'Таблиця 1'!$I:$I,"МіГ-29",'Таблиця 1'!$J:$J,"MK-32")+SUMIFS('Таблиця 1'!$K:$K,'Таблиця 1'!$B:$B,$A87,'Таблиця 1'!$I:$I,"Су-25",'Таблиця 1'!$J:$J,"MK-32")+SUMIFS('Таблиця 1'!$K:$K,'Таблиця 1'!$B:$B,$A87,'Таблиця 1'!$I:$I,"Су-27",'Таблиця 1'!$J:$J,"MK-32"))</f>
        <v/>
      </c>
      <c r="Q87">
        <f>IF($A87="","",SUMIFS('Таблиця 1'!$K:$K,'Таблиця 1'!$B:$B,$A87,'Таблиця 1'!$I:$I,"Mirage",'Таблиця 1'!$J:$J,"MK-24")+SUMIFS('Таблиця 1'!$K:$K,'Таблиця 1'!$B:$B,$A87,'Таблиця 1'!$I:$I,"F-16",'Таблиця 1'!$J:$J,"MK-24")+SUMIFS('Таблиця 1'!$K:$K,'Таблиця 1'!$B:$B,$A87,'Таблиця 1'!$I:$I,"МіГ-29",'Таблиця 1'!$J:$J,"MK-24")+SUMIFS('Таблиця 1'!$K:$K,'Таблиця 1'!$B:$B,$A87,'Таблиця 1'!$I:$I,"Су-25",'Таблиця 1'!$J:$J,"MK-24")+SUMIFS('Таблиця 1'!$K:$K,'Таблиця 1'!$B:$B,$A87,'Таблиця 1'!$I:$I,"Су-27",'Таблиця 1'!$J:$J,"MK-24"))</f>
        <v/>
      </c>
      <c r="R87">
        <f>IF($A87="","",COUNTIFS('Таблиця 1'!$B:$B,$A87,'Таблиця 1'!$I:$I,"Mirage",'Таблиця 1'!$L:$L,"Уражено")+COUNTIFS('Таблиця 1'!$B:$B,$A87,'Таблиця 1'!$I:$I,"F-16",'Таблиця 1'!$L:$L,"Уражено")+COUNTIFS('Таблиця 1'!$B:$B,$A87,'Таблиця 1'!$I:$I,"МіГ-29",'Таблиця 1'!$L:$L,"Уражено")+COUNTIFS('Таблиця 1'!$B:$B,$A87,'Таблиця 1'!$I:$I,"Су-25",'Таблиця 1'!$L:$L,"Уражено")+COUNTIFS('Таблиця 1'!$B:$B,$A87,'Таблиця 1'!$I:$I,"Су-27",'Таблиця 1'!$L:$L,"Уражено"))</f>
        <v/>
      </c>
      <c r="S87">
        <f>IF($A87="","",COUNTIFS('Таблиця 1'!$B:$B,$A87,'Таблиця 1'!$I:$I,"Mirage",'Таблиця 1'!$L:$L,"НЕ уражено")+COUNTIFS('Таблиця 1'!$B:$B,$A87,'Таблиця 1'!$I:$I,"F-16",'Таблиця 1'!$L:$L,"НЕ уражено")+COUNTIFS('Таблиця 1'!$B:$B,$A87,'Таблиця 1'!$I:$I,"МіГ-29",'Таблиця 1'!$L:$L,"НЕ уражено")+COUNTIFS('Таблиця 1'!$B:$B,$A87,'Таблиця 1'!$I:$I,"Су-25",'Таблиця 1'!$L:$L,"НЕ уражено")+COUNTIFS('Таблиця 1'!$B:$B,$A87,'Таблиця 1'!$I:$I,"Су-27",'Таблиця 1'!$L:$L,"НЕ уражено"))</f>
        <v/>
      </c>
      <c r="T87">
        <f>IF($A87="","",COUNTIFS('Таблиця 1'!$B:$B,$A87,'Таблиця 1'!$I:$I,"Mirage",'Таблиця 1'!$L:$L,"Дорозвідується")+COUNTIFS('Таблиця 1'!$B:$B,$A87,'Таблиця 1'!$I:$I,"F-16",'Таблиця 1'!$L:$L,"Дорозвідується")+COUNTIFS('Таблиця 1'!$B:$B,$A87,'Таблиця 1'!$I:$I,"МіГ-29",'Таблиця 1'!$L:$L,"Дорозвідується")+COUNTIFS('Таблиця 1'!$B:$B,$A87,'Таблиця 1'!$I:$I,"Су-25",'Таблиця 1'!$L:$L,"Дорозвідується")+COUNTIFS('Таблиця 1'!$B:$B,$A87,'Таблиця 1'!$I:$I,"Су-27",'Таблиця 1'!$L:$L,"Дорозвідується"))</f>
        <v/>
      </c>
    </row>
    <row r="88">
      <c r="A88" s="273">
        <f>IF(A87="","",IF(A87+1&gt;MAX('Таблиця 1'!$B:$B),"",A87+1))</f>
        <v/>
      </c>
      <c r="B88">
        <f>IF($A88="","",COUNTIFS('Таблиця 1'!$B:$B,$A88,'Таблиця 1'!$I:$I,"Mirage")+COUNTIFS('Таблиця 1'!$B:$B,$A88,'Таблиця 1'!$I:$I,"F-16")+COUNTIFS('Таблиця 1'!$B:$B,$A88,'Таблиця 1'!$I:$I,"МіГ-29")+COUNTIFS('Таблиця 1'!$B:$B,$A88,'Таблиця 1'!$I:$I,"Су-25")+COUNTIFS('Таблиця 1'!$B:$B,$A88,'Таблиця 1'!$I:$I,"Су-27"))</f>
        <v/>
      </c>
      <c r="C88">
        <f>IF($A88="","",COUNTIFS('Таблиця 1'!$B:$B,$A88,'Таблиця 1'!$I:$I,"Mirage"))</f>
        <v/>
      </c>
      <c r="D88">
        <f>IF($A88="","",COUNTIFS('Таблиця 1'!$B:$B,$A88,'Таблиця 1'!$I:$I,"F-16"))</f>
        <v/>
      </c>
      <c r="E88">
        <f>IF($A88="","",COUNTIFS('Таблиця 1'!$B:$B,$A88,'Таблиця 1'!$I:$I,"МіГ-29"))</f>
        <v/>
      </c>
      <c r="F88">
        <f>IF($A88="","",COUNTIFS('Таблиця 1'!$B:$B,$A88,'Таблиця 1'!$I:$I,"Су-25"))</f>
        <v/>
      </c>
      <c r="G88">
        <f>IF($A88="","",COUNTIFS('Таблиця 1'!$B:$B,$A88,'Таблиця 1'!$I:$I,"Су-27"))</f>
        <v/>
      </c>
      <c r="H88">
        <f>IF($A88="","",SUMIFS('Таблиця 1'!$K:$K,'Таблиця 1'!$B:$B,$A88,'Таблиця 1'!$I:$I,"Mirage",'Таблиця 1'!$J:$J,"AGM-88")+SUMIFS('Таблиця 1'!$K:$K,'Таблиця 1'!$B:$B,$A88,'Таблиця 1'!$I:$I,"F-16",'Таблиця 1'!$J:$J,"AGM-88")+SUMIFS('Таблиця 1'!$K:$K,'Таблиця 1'!$B:$B,$A88,'Таблиця 1'!$I:$I,"МіГ-29",'Таблиця 1'!$J:$J,"AGM-88")+SUMIFS('Таблиця 1'!$K:$K,'Таблиця 1'!$B:$B,$A88,'Таблиця 1'!$I:$I,"Су-25",'Таблиця 1'!$J:$J,"AGM-88")+SUMIFS('Таблиця 1'!$K:$K,'Таблиця 1'!$B:$B,$A88,'Таблиця 1'!$I:$I,"Су-27",'Таблиця 1'!$J:$J,"AGM-88"))</f>
        <v/>
      </c>
      <c r="I88">
        <f>IF($A88="","",SUMIFS('Таблиця 1'!$K:$K,'Таблиця 1'!$B:$B,$A88,'Таблиця 1'!$I:$I,"Mirage",'Таблиця 1'!$J:$J,"AASM-250")+SUMIFS('Таблиця 1'!$K:$K,'Таблиця 1'!$B:$B,$A88,'Таблиця 1'!$I:$I,"F-16",'Таблиця 1'!$J:$J,"AASM-250")+SUMIFS('Таблиця 1'!$K:$K,'Таблиця 1'!$B:$B,$A88,'Таблиця 1'!$I:$I,"МіГ-29",'Таблиця 1'!$J:$J,"AASM-250")+SUMIFS('Таблиця 1'!$K:$K,'Таблиця 1'!$B:$B,$A88,'Таблиця 1'!$I:$I,"Су-25",'Таблиця 1'!$J:$J,"AASM-250")+SUMIFS('Таблиця 1'!$K:$K,'Таблиця 1'!$B:$B,$A88,'Таблиця 1'!$I:$I,"Су-27",'Таблиця 1'!$J:$J,"AASM-250"))</f>
        <v/>
      </c>
      <c r="J88">
        <f>IF($A88="","",SUMIFS('Таблиця 1'!$K:$K,'Таблиця 1'!$B:$B,$A88,'Таблиця 1'!$I:$I,"Mirage",'Таблиця 1'!$J:$J,"GBU-39")+SUMIFS('Таблиця 1'!$K:$K,'Таблиця 1'!$B:$B,$A88,'Таблиця 1'!$I:$I,"F-16",'Таблиця 1'!$J:$J,"GBU-39")+SUMIFS('Таблиця 1'!$K:$K,'Таблиця 1'!$B:$B,$A88,'Таблиця 1'!$I:$I,"МіГ-29",'Таблиця 1'!$J:$J,"GBU-39")+SUMIFS('Таблиця 1'!$K:$K,'Таблиця 1'!$B:$B,$A88,'Таблиця 1'!$I:$I,"Су-25",'Таблиця 1'!$J:$J,"GBU-39")+SUMIFS('Таблиця 1'!$K:$K,'Таблиця 1'!$B:$B,$A88,'Таблиця 1'!$I:$I,"Су-27",'Таблиця 1'!$J:$J,"GBU-39"))</f>
        <v/>
      </c>
      <c r="K88">
        <f>IF($A88="","",SUMIFS('Таблиця 1'!$K:$K,'Таблиця 1'!$B:$B,$A88,'Таблиця 1'!$I:$I,"Mirage",'Таблиця 1'!$J:$J,"BLU-140")+SUMIFS('Таблиця 1'!$K:$K,'Таблиця 1'!$B:$B,$A88,'Таблиця 1'!$I:$I,"F-16",'Таблиця 1'!$J:$J,"BLU-140")+SUMIFS('Таблиця 1'!$K:$K,'Таблиця 1'!$B:$B,$A88,'Таблиця 1'!$I:$I,"МіГ-29",'Таблиця 1'!$J:$J,"BLU-140")+SUMIFS('Таблиця 1'!$K:$K,'Таблиця 1'!$B:$B,$A88,'Таблиця 1'!$I:$I,"Су-25",'Таблиця 1'!$J:$J,"BLU-140")+SUMIFS('Таблиця 1'!$K:$K,'Таблиця 1'!$B:$B,$A88,'Таблиця 1'!$I:$I,"Су-27",'Таблиця 1'!$J:$J,"BLU-140"))</f>
        <v/>
      </c>
      <c r="L88">
        <f>IF($A88="","",SUMIFS('Таблиця 1'!$K:$K,'Таблиця 1'!$B:$B,$A88,'Таблиця 1'!$I:$I,"Mirage",'Таблиця 1'!$J:$J,"GBU-65")+SUMIFS('Таблиця 1'!$K:$K,'Таблиця 1'!$B:$B,$A88,'Таблиця 1'!$I:$I,"F-16",'Таблиця 1'!$J:$J,"GBU-65")+SUMIFS('Таблиця 1'!$K:$K,'Таблиця 1'!$B:$B,$A88,'Таблиця 1'!$I:$I,"МіГ-29",'Таблиця 1'!$J:$J,"GBU-65")+SUMIFS('Таблиця 1'!$K:$K,'Таблиця 1'!$B:$B,$A88,'Таблиця 1'!$I:$I,"Су-25",'Таблиця 1'!$J:$J,"GBU-65")+SUMIFS('Таблиця 1'!$K:$K,'Таблиця 1'!$B:$B,$A88,'Таблиця 1'!$I:$I,"Су-27",'Таблиця 1'!$J:$J,"GBU-65"))</f>
        <v/>
      </c>
      <c r="M88">
        <f>IF($A88="","",SUMIFS('Таблиця 1'!$K:$K,'Таблиця 1'!$B:$B,$A88,'Таблиця 1'!$I:$I,"Mirage",'Таблиця 1'!$J:$J,"GBU-62")+SUMIFS('Таблиця 1'!$K:$K,'Таблиця 1'!$B:$B,$A88,'Таблиця 1'!$I:$I,"F-16",'Таблиця 1'!$J:$J,"GBU-62")+SUMIFS('Таблиця 1'!$K:$K,'Таблиця 1'!$B:$B,$A88,'Таблиця 1'!$I:$I,"МіГ-29",'Таблиця 1'!$J:$J,"GBU-62")+SUMIFS('Таблиця 1'!$K:$K,'Таблиця 1'!$B:$B,$A88,'Таблиця 1'!$I:$I,"Су-25",'Таблиця 1'!$J:$J,"GBU-62")+SUMIFS('Таблиця 1'!$K:$K,'Таблиця 1'!$B:$B,$A88,'Таблиця 1'!$I:$I,"Су-27",'Таблиця 1'!$J:$J,"GBU-62"))</f>
        <v/>
      </c>
      <c r="N88">
        <f>IF($A88="","",SUMIFS('Таблиця 1'!$K:$K,'Таблиця 1'!$B:$B,$A88,'Таблиця 1'!$I:$I,"Mirage",'Таблиця 1'!$J:$J,"GBU-64")+SUMIFS('Таблиця 1'!$K:$K,'Таблиця 1'!$B:$B,$A88,'Таблиця 1'!$I:$I,"F-16",'Таблиця 1'!$J:$J,"GBU-64")+SUMIFS('Таблиця 1'!$K:$K,'Таблиця 1'!$B:$B,$A88,'Таблиця 1'!$I:$I,"МіГ-29",'Таблиця 1'!$J:$J,"GBU-64")+SUMIFS('Таблиця 1'!$K:$K,'Таблиця 1'!$B:$B,$A88,'Таблиця 1'!$I:$I,"Су-25",'Таблиця 1'!$J:$J,"GBU-64")+SUMIFS('Таблиця 1'!$K:$K,'Таблиця 1'!$B:$B,$A88,'Таблиця 1'!$I:$I,"Су-27",'Таблиця 1'!$J:$J,"GBU-64"))</f>
        <v/>
      </c>
      <c r="O88">
        <f>IF($A88="","",SUMIFS('Таблиця 1'!$K:$K,'Таблиця 1'!$B:$B,$A88,'Таблиця 1'!$I:$I,"Mirage",'Таблиця 1'!$J:$J,"C-13")+SUMIFS('Таблиця 1'!$K:$K,'Таблиця 1'!$B:$B,$A88,'Таблиця 1'!$I:$I,"F-16",'Таблиця 1'!$J:$J,"C-13")+SUMIFS('Таблиця 1'!$K:$K,'Таблиця 1'!$B:$B,$A88,'Таблиця 1'!$I:$I,"МіГ-29",'Таблиця 1'!$J:$J,"C-13")+SUMIFS('Таблиця 1'!$K:$K,'Таблиця 1'!$B:$B,$A88,'Таблиця 1'!$I:$I,"Су-25",'Таблиця 1'!$J:$J,"C-13")+SUMIFS('Таблиця 1'!$K:$K,'Таблиця 1'!$B:$B,$A88,'Таблиця 1'!$I:$I,"Су-27",'Таблиця 1'!$J:$J,"C-13"))</f>
        <v/>
      </c>
      <c r="P88">
        <f>IF($A88="","",SUMIFS('Таблиця 1'!$K:$K,'Таблиця 1'!$B:$B,$A88,'Таблиця 1'!$I:$I,"Mirage",'Таблиця 1'!$J:$J,"MK-32")+SUMIFS('Таблиця 1'!$K:$K,'Таблиця 1'!$B:$B,$A88,'Таблиця 1'!$I:$I,"F-16",'Таблиця 1'!$J:$J,"MK-32")+SUMIFS('Таблиця 1'!$K:$K,'Таблиця 1'!$B:$B,$A88,'Таблиця 1'!$I:$I,"МіГ-29",'Таблиця 1'!$J:$J,"MK-32")+SUMIFS('Таблиця 1'!$K:$K,'Таблиця 1'!$B:$B,$A88,'Таблиця 1'!$I:$I,"Су-25",'Таблиця 1'!$J:$J,"MK-32")+SUMIFS('Таблиця 1'!$K:$K,'Таблиця 1'!$B:$B,$A88,'Таблиця 1'!$I:$I,"Су-27",'Таблиця 1'!$J:$J,"MK-32"))</f>
        <v/>
      </c>
      <c r="Q88">
        <f>IF($A88="","",SUMIFS('Таблиця 1'!$K:$K,'Таблиця 1'!$B:$B,$A88,'Таблиця 1'!$I:$I,"Mirage",'Таблиця 1'!$J:$J,"MK-24")+SUMIFS('Таблиця 1'!$K:$K,'Таблиця 1'!$B:$B,$A88,'Таблиця 1'!$I:$I,"F-16",'Таблиця 1'!$J:$J,"MK-24")+SUMIFS('Таблиця 1'!$K:$K,'Таблиця 1'!$B:$B,$A88,'Таблиця 1'!$I:$I,"МіГ-29",'Таблиця 1'!$J:$J,"MK-24")+SUMIFS('Таблиця 1'!$K:$K,'Таблиця 1'!$B:$B,$A88,'Таблиця 1'!$I:$I,"Су-25",'Таблиця 1'!$J:$J,"MK-24")+SUMIFS('Таблиця 1'!$K:$K,'Таблиця 1'!$B:$B,$A88,'Таблиця 1'!$I:$I,"Су-27",'Таблиця 1'!$J:$J,"MK-24"))</f>
        <v/>
      </c>
      <c r="R88">
        <f>IF($A88="","",COUNTIFS('Таблиця 1'!$B:$B,$A88,'Таблиця 1'!$I:$I,"Mirage",'Таблиця 1'!$L:$L,"Уражено")+COUNTIFS('Таблиця 1'!$B:$B,$A88,'Таблиця 1'!$I:$I,"F-16",'Таблиця 1'!$L:$L,"Уражено")+COUNTIFS('Таблиця 1'!$B:$B,$A88,'Таблиця 1'!$I:$I,"МіГ-29",'Таблиця 1'!$L:$L,"Уражено")+COUNTIFS('Таблиця 1'!$B:$B,$A88,'Таблиця 1'!$I:$I,"Су-25",'Таблиця 1'!$L:$L,"Уражено")+COUNTIFS('Таблиця 1'!$B:$B,$A88,'Таблиця 1'!$I:$I,"Су-27",'Таблиця 1'!$L:$L,"Уражено"))</f>
        <v/>
      </c>
      <c r="S88">
        <f>IF($A88="","",COUNTIFS('Таблиця 1'!$B:$B,$A88,'Таблиця 1'!$I:$I,"Mirage",'Таблиця 1'!$L:$L,"НЕ уражено")+COUNTIFS('Таблиця 1'!$B:$B,$A88,'Таблиця 1'!$I:$I,"F-16",'Таблиця 1'!$L:$L,"НЕ уражено")+COUNTIFS('Таблиця 1'!$B:$B,$A88,'Таблиця 1'!$I:$I,"МіГ-29",'Таблиця 1'!$L:$L,"НЕ уражено")+COUNTIFS('Таблиця 1'!$B:$B,$A88,'Таблиця 1'!$I:$I,"Су-25",'Таблиця 1'!$L:$L,"НЕ уражено")+COUNTIFS('Таблиця 1'!$B:$B,$A88,'Таблиця 1'!$I:$I,"Су-27",'Таблиця 1'!$L:$L,"НЕ уражено"))</f>
        <v/>
      </c>
      <c r="T88">
        <f>IF($A88="","",COUNTIFS('Таблиця 1'!$B:$B,$A88,'Таблиця 1'!$I:$I,"Mirage",'Таблиця 1'!$L:$L,"Дорозвідується")+COUNTIFS('Таблиця 1'!$B:$B,$A88,'Таблиця 1'!$I:$I,"F-16",'Таблиця 1'!$L:$L,"Дорозвідується")+COUNTIFS('Таблиця 1'!$B:$B,$A88,'Таблиця 1'!$I:$I,"МіГ-29",'Таблиця 1'!$L:$L,"Дорозвідується")+COUNTIFS('Таблиця 1'!$B:$B,$A88,'Таблиця 1'!$I:$I,"Су-25",'Таблиця 1'!$L:$L,"Дорозвідується")+COUNTIFS('Таблиця 1'!$B:$B,$A88,'Таблиця 1'!$I:$I,"Су-27",'Таблиця 1'!$L:$L,"Дорозвідується"))</f>
        <v/>
      </c>
    </row>
    <row r="89">
      <c r="A89" s="273">
        <f>IF(A88="","",IF(A88+1&gt;MAX('Таблиця 1'!$B:$B),"",A88+1))</f>
        <v/>
      </c>
      <c r="B89">
        <f>IF($A89="","",COUNTIFS('Таблиця 1'!$B:$B,$A89,'Таблиця 1'!$I:$I,"Mirage")+COUNTIFS('Таблиця 1'!$B:$B,$A89,'Таблиця 1'!$I:$I,"F-16")+COUNTIFS('Таблиця 1'!$B:$B,$A89,'Таблиця 1'!$I:$I,"МіГ-29")+COUNTIFS('Таблиця 1'!$B:$B,$A89,'Таблиця 1'!$I:$I,"Су-25")+COUNTIFS('Таблиця 1'!$B:$B,$A89,'Таблиця 1'!$I:$I,"Су-27"))</f>
        <v/>
      </c>
      <c r="C89">
        <f>IF($A89="","",COUNTIFS('Таблиця 1'!$B:$B,$A89,'Таблиця 1'!$I:$I,"Mirage"))</f>
        <v/>
      </c>
      <c r="D89">
        <f>IF($A89="","",COUNTIFS('Таблиця 1'!$B:$B,$A89,'Таблиця 1'!$I:$I,"F-16"))</f>
        <v/>
      </c>
      <c r="E89">
        <f>IF($A89="","",COUNTIFS('Таблиця 1'!$B:$B,$A89,'Таблиця 1'!$I:$I,"МіГ-29"))</f>
        <v/>
      </c>
      <c r="F89">
        <f>IF($A89="","",COUNTIFS('Таблиця 1'!$B:$B,$A89,'Таблиця 1'!$I:$I,"Су-25"))</f>
        <v/>
      </c>
      <c r="G89">
        <f>IF($A89="","",COUNTIFS('Таблиця 1'!$B:$B,$A89,'Таблиця 1'!$I:$I,"Су-27"))</f>
        <v/>
      </c>
      <c r="H89">
        <f>IF($A89="","",SUMIFS('Таблиця 1'!$K:$K,'Таблиця 1'!$B:$B,$A89,'Таблиця 1'!$I:$I,"Mirage",'Таблиця 1'!$J:$J,"AGM-88")+SUMIFS('Таблиця 1'!$K:$K,'Таблиця 1'!$B:$B,$A89,'Таблиця 1'!$I:$I,"F-16",'Таблиця 1'!$J:$J,"AGM-88")+SUMIFS('Таблиця 1'!$K:$K,'Таблиця 1'!$B:$B,$A89,'Таблиця 1'!$I:$I,"МіГ-29",'Таблиця 1'!$J:$J,"AGM-88")+SUMIFS('Таблиця 1'!$K:$K,'Таблиця 1'!$B:$B,$A89,'Таблиця 1'!$I:$I,"Су-25",'Таблиця 1'!$J:$J,"AGM-88")+SUMIFS('Таблиця 1'!$K:$K,'Таблиця 1'!$B:$B,$A89,'Таблиця 1'!$I:$I,"Су-27",'Таблиця 1'!$J:$J,"AGM-88"))</f>
        <v/>
      </c>
      <c r="I89">
        <f>IF($A89="","",SUMIFS('Таблиця 1'!$K:$K,'Таблиця 1'!$B:$B,$A89,'Таблиця 1'!$I:$I,"Mirage",'Таблиця 1'!$J:$J,"AASM-250")+SUMIFS('Таблиця 1'!$K:$K,'Таблиця 1'!$B:$B,$A89,'Таблиця 1'!$I:$I,"F-16",'Таблиця 1'!$J:$J,"AASM-250")+SUMIFS('Таблиця 1'!$K:$K,'Таблиця 1'!$B:$B,$A89,'Таблиця 1'!$I:$I,"МіГ-29",'Таблиця 1'!$J:$J,"AASM-250")+SUMIFS('Таблиця 1'!$K:$K,'Таблиця 1'!$B:$B,$A89,'Таблиця 1'!$I:$I,"Су-25",'Таблиця 1'!$J:$J,"AASM-250")+SUMIFS('Таблиця 1'!$K:$K,'Таблиця 1'!$B:$B,$A89,'Таблиця 1'!$I:$I,"Су-27",'Таблиця 1'!$J:$J,"AASM-250"))</f>
        <v/>
      </c>
      <c r="J89">
        <f>IF($A89="","",SUMIFS('Таблиця 1'!$K:$K,'Таблиця 1'!$B:$B,$A89,'Таблиця 1'!$I:$I,"Mirage",'Таблиця 1'!$J:$J,"GBU-39")+SUMIFS('Таблиця 1'!$K:$K,'Таблиця 1'!$B:$B,$A89,'Таблиця 1'!$I:$I,"F-16",'Таблиця 1'!$J:$J,"GBU-39")+SUMIFS('Таблиця 1'!$K:$K,'Таблиця 1'!$B:$B,$A89,'Таблиця 1'!$I:$I,"МіГ-29",'Таблиця 1'!$J:$J,"GBU-39")+SUMIFS('Таблиця 1'!$K:$K,'Таблиця 1'!$B:$B,$A89,'Таблиця 1'!$I:$I,"Су-25",'Таблиця 1'!$J:$J,"GBU-39")+SUMIFS('Таблиця 1'!$K:$K,'Таблиця 1'!$B:$B,$A89,'Таблиця 1'!$I:$I,"Су-27",'Таблиця 1'!$J:$J,"GBU-39"))</f>
        <v/>
      </c>
      <c r="K89">
        <f>IF($A89="","",SUMIFS('Таблиця 1'!$K:$K,'Таблиця 1'!$B:$B,$A89,'Таблиця 1'!$I:$I,"Mirage",'Таблиця 1'!$J:$J,"BLU-140")+SUMIFS('Таблиця 1'!$K:$K,'Таблиця 1'!$B:$B,$A89,'Таблиця 1'!$I:$I,"F-16",'Таблиця 1'!$J:$J,"BLU-140")+SUMIFS('Таблиця 1'!$K:$K,'Таблиця 1'!$B:$B,$A89,'Таблиця 1'!$I:$I,"МіГ-29",'Таблиця 1'!$J:$J,"BLU-140")+SUMIFS('Таблиця 1'!$K:$K,'Таблиця 1'!$B:$B,$A89,'Таблиця 1'!$I:$I,"Су-25",'Таблиця 1'!$J:$J,"BLU-140")+SUMIFS('Таблиця 1'!$K:$K,'Таблиця 1'!$B:$B,$A89,'Таблиця 1'!$I:$I,"Су-27",'Таблиця 1'!$J:$J,"BLU-140"))</f>
        <v/>
      </c>
      <c r="L89">
        <f>IF($A89="","",SUMIFS('Таблиця 1'!$K:$K,'Таблиця 1'!$B:$B,$A89,'Таблиця 1'!$I:$I,"Mirage",'Таблиця 1'!$J:$J,"GBU-65")+SUMIFS('Таблиця 1'!$K:$K,'Таблиця 1'!$B:$B,$A89,'Таблиця 1'!$I:$I,"F-16",'Таблиця 1'!$J:$J,"GBU-65")+SUMIFS('Таблиця 1'!$K:$K,'Таблиця 1'!$B:$B,$A89,'Таблиця 1'!$I:$I,"МіГ-29",'Таблиця 1'!$J:$J,"GBU-65")+SUMIFS('Таблиця 1'!$K:$K,'Таблиця 1'!$B:$B,$A89,'Таблиця 1'!$I:$I,"Су-25",'Таблиця 1'!$J:$J,"GBU-65")+SUMIFS('Таблиця 1'!$K:$K,'Таблиця 1'!$B:$B,$A89,'Таблиця 1'!$I:$I,"Су-27",'Таблиця 1'!$J:$J,"GBU-65"))</f>
        <v/>
      </c>
      <c r="M89">
        <f>IF($A89="","",SUMIFS('Таблиця 1'!$K:$K,'Таблиця 1'!$B:$B,$A89,'Таблиця 1'!$I:$I,"Mirage",'Таблиця 1'!$J:$J,"GBU-62")+SUMIFS('Таблиця 1'!$K:$K,'Таблиця 1'!$B:$B,$A89,'Таблиця 1'!$I:$I,"F-16",'Таблиця 1'!$J:$J,"GBU-62")+SUMIFS('Таблиця 1'!$K:$K,'Таблиця 1'!$B:$B,$A89,'Таблиця 1'!$I:$I,"МіГ-29",'Таблиця 1'!$J:$J,"GBU-62")+SUMIFS('Таблиця 1'!$K:$K,'Таблиця 1'!$B:$B,$A89,'Таблиця 1'!$I:$I,"Су-25",'Таблиця 1'!$J:$J,"GBU-62")+SUMIFS('Таблиця 1'!$K:$K,'Таблиця 1'!$B:$B,$A89,'Таблиця 1'!$I:$I,"Су-27",'Таблиця 1'!$J:$J,"GBU-62"))</f>
        <v/>
      </c>
      <c r="N89">
        <f>IF($A89="","",SUMIFS('Таблиця 1'!$K:$K,'Таблиця 1'!$B:$B,$A89,'Таблиця 1'!$I:$I,"Mirage",'Таблиця 1'!$J:$J,"GBU-64")+SUMIFS('Таблиця 1'!$K:$K,'Таблиця 1'!$B:$B,$A89,'Таблиця 1'!$I:$I,"F-16",'Таблиця 1'!$J:$J,"GBU-64")+SUMIFS('Таблиця 1'!$K:$K,'Таблиця 1'!$B:$B,$A89,'Таблиця 1'!$I:$I,"МіГ-29",'Таблиця 1'!$J:$J,"GBU-64")+SUMIFS('Таблиця 1'!$K:$K,'Таблиця 1'!$B:$B,$A89,'Таблиця 1'!$I:$I,"Су-25",'Таблиця 1'!$J:$J,"GBU-64")+SUMIFS('Таблиця 1'!$K:$K,'Таблиця 1'!$B:$B,$A89,'Таблиця 1'!$I:$I,"Су-27",'Таблиця 1'!$J:$J,"GBU-64"))</f>
        <v/>
      </c>
      <c r="O89">
        <f>IF($A89="","",SUMIFS('Таблиця 1'!$K:$K,'Таблиця 1'!$B:$B,$A89,'Таблиця 1'!$I:$I,"Mirage",'Таблиця 1'!$J:$J,"C-13")+SUMIFS('Таблиця 1'!$K:$K,'Таблиця 1'!$B:$B,$A89,'Таблиця 1'!$I:$I,"F-16",'Таблиця 1'!$J:$J,"C-13")+SUMIFS('Таблиця 1'!$K:$K,'Таблиця 1'!$B:$B,$A89,'Таблиця 1'!$I:$I,"МіГ-29",'Таблиця 1'!$J:$J,"C-13")+SUMIFS('Таблиця 1'!$K:$K,'Таблиця 1'!$B:$B,$A89,'Таблиця 1'!$I:$I,"Су-25",'Таблиця 1'!$J:$J,"C-13")+SUMIFS('Таблиця 1'!$K:$K,'Таблиця 1'!$B:$B,$A89,'Таблиця 1'!$I:$I,"Су-27",'Таблиця 1'!$J:$J,"C-13"))</f>
        <v/>
      </c>
      <c r="P89">
        <f>IF($A89="","",SUMIFS('Таблиця 1'!$K:$K,'Таблиця 1'!$B:$B,$A89,'Таблиця 1'!$I:$I,"Mirage",'Таблиця 1'!$J:$J,"MK-32")+SUMIFS('Таблиця 1'!$K:$K,'Таблиця 1'!$B:$B,$A89,'Таблиця 1'!$I:$I,"F-16",'Таблиця 1'!$J:$J,"MK-32")+SUMIFS('Таблиця 1'!$K:$K,'Таблиця 1'!$B:$B,$A89,'Таблиця 1'!$I:$I,"МіГ-29",'Таблиця 1'!$J:$J,"MK-32")+SUMIFS('Таблиця 1'!$K:$K,'Таблиця 1'!$B:$B,$A89,'Таблиця 1'!$I:$I,"Су-25",'Таблиця 1'!$J:$J,"MK-32")+SUMIFS('Таблиця 1'!$K:$K,'Таблиця 1'!$B:$B,$A89,'Таблиця 1'!$I:$I,"Су-27",'Таблиця 1'!$J:$J,"MK-32"))</f>
        <v/>
      </c>
      <c r="Q89">
        <f>IF($A89="","",SUMIFS('Таблиця 1'!$K:$K,'Таблиця 1'!$B:$B,$A89,'Таблиця 1'!$I:$I,"Mirage",'Таблиця 1'!$J:$J,"MK-24")+SUMIFS('Таблиця 1'!$K:$K,'Таблиця 1'!$B:$B,$A89,'Таблиця 1'!$I:$I,"F-16",'Таблиця 1'!$J:$J,"MK-24")+SUMIFS('Таблиця 1'!$K:$K,'Таблиця 1'!$B:$B,$A89,'Таблиця 1'!$I:$I,"МіГ-29",'Таблиця 1'!$J:$J,"MK-24")+SUMIFS('Таблиця 1'!$K:$K,'Таблиця 1'!$B:$B,$A89,'Таблиця 1'!$I:$I,"Су-25",'Таблиця 1'!$J:$J,"MK-24")+SUMIFS('Таблиця 1'!$K:$K,'Таблиця 1'!$B:$B,$A89,'Таблиця 1'!$I:$I,"Су-27",'Таблиця 1'!$J:$J,"MK-24"))</f>
        <v/>
      </c>
      <c r="R89">
        <f>IF($A89="","",COUNTIFS('Таблиця 1'!$B:$B,$A89,'Таблиця 1'!$I:$I,"Mirage",'Таблиця 1'!$L:$L,"Уражено")+COUNTIFS('Таблиця 1'!$B:$B,$A89,'Таблиця 1'!$I:$I,"F-16",'Таблиця 1'!$L:$L,"Уражено")+COUNTIFS('Таблиця 1'!$B:$B,$A89,'Таблиця 1'!$I:$I,"МіГ-29",'Таблиця 1'!$L:$L,"Уражено")+COUNTIFS('Таблиця 1'!$B:$B,$A89,'Таблиця 1'!$I:$I,"Су-25",'Таблиця 1'!$L:$L,"Уражено")+COUNTIFS('Таблиця 1'!$B:$B,$A89,'Таблиця 1'!$I:$I,"Су-27",'Таблиця 1'!$L:$L,"Уражено"))</f>
        <v/>
      </c>
      <c r="S89">
        <f>IF($A89="","",COUNTIFS('Таблиця 1'!$B:$B,$A89,'Таблиця 1'!$I:$I,"Mirage",'Таблиця 1'!$L:$L,"НЕ уражено")+COUNTIFS('Таблиця 1'!$B:$B,$A89,'Таблиця 1'!$I:$I,"F-16",'Таблиця 1'!$L:$L,"НЕ уражено")+COUNTIFS('Таблиця 1'!$B:$B,$A89,'Таблиця 1'!$I:$I,"МіГ-29",'Таблиця 1'!$L:$L,"НЕ уражено")+COUNTIFS('Таблиця 1'!$B:$B,$A89,'Таблиця 1'!$I:$I,"Су-25",'Таблиця 1'!$L:$L,"НЕ уражено")+COUNTIFS('Таблиця 1'!$B:$B,$A89,'Таблиця 1'!$I:$I,"Су-27",'Таблиця 1'!$L:$L,"НЕ уражено"))</f>
        <v/>
      </c>
      <c r="T89">
        <f>IF($A89="","",COUNTIFS('Таблиця 1'!$B:$B,$A89,'Таблиця 1'!$I:$I,"Mirage",'Таблиця 1'!$L:$L,"Дорозвідується")+COUNTIFS('Таблиця 1'!$B:$B,$A89,'Таблиця 1'!$I:$I,"F-16",'Таблиця 1'!$L:$L,"Дорозвідується")+COUNTIFS('Таблиця 1'!$B:$B,$A89,'Таблиця 1'!$I:$I,"МіГ-29",'Таблиця 1'!$L:$L,"Дорозвідується")+COUNTIFS('Таблиця 1'!$B:$B,$A89,'Таблиця 1'!$I:$I,"Су-25",'Таблиця 1'!$L:$L,"Дорозвідується")+COUNTIFS('Таблиця 1'!$B:$B,$A89,'Таблиця 1'!$I:$I,"Су-27",'Таблиця 1'!$L:$L,"Дорозвідується"))</f>
        <v/>
      </c>
    </row>
    <row r="90">
      <c r="A90" s="273">
        <f>IF(A89="","",IF(A89+1&gt;MAX('Таблиця 1'!$B:$B),"",A89+1))</f>
        <v/>
      </c>
      <c r="B90">
        <f>IF($A90="","",COUNTIFS('Таблиця 1'!$B:$B,$A90,'Таблиця 1'!$I:$I,"Mirage")+COUNTIFS('Таблиця 1'!$B:$B,$A90,'Таблиця 1'!$I:$I,"F-16")+COUNTIFS('Таблиця 1'!$B:$B,$A90,'Таблиця 1'!$I:$I,"МіГ-29")+COUNTIFS('Таблиця 1'!$B:$B,$A90,'Таблиця 1'!$I:$I,"Су-25")+COUNTIFS('Таблиця 1'!$B:$B,$A90,'Таблиця 1'!$I:$I,"Су-27"))</f>
        <v/>
      </c>
      <c r="C90">
        <f>IF($A90="","",COUNTIFS('Таблиця 1'!$B:$B,$A90,'Таблиця 1'!$I:$I,"Mirage"))</f>
        <v/>
      </c>
      <c r="D90">
        <f>IF($A90="","",COUNTIFS('Таблиця 1'!$B:$B,$A90,'Таблиця 1'!$I:$I,"F-16"))</f>
        <v/>
      </c>
      <c r="E90">
        <f>IF($A90="","",COUNTIFS('Таблиця 1'!$B:$B,$A90,'Таблиця 1'!$I:$I,"МіГ-29"))</f>
        <v/>
      </c>
      <c r="F90">
        <f>IF($A90="","",COUNTIFS('Таблиця 1'!$B:$B,$A90,'Таблиця 1'!$I:$I,"Су-25"))</f>
        <v/>
      </c>
      <c r="G90">
        <f>IF($A90="","",COUNTIFS('Таблиця 1'!$B:$B,$A90,'Таблиця 1'!$I:$I,"Су-27"))</f>
        <v/>
      </c>
      <c r="H90">
        <f>IF($A90="","",SUMIFS('Таблиця 1'!$K:$K,'Таблиця 1'!$B:$B,$A90,'Таблиця 1'!$I:$I,"Mirage",'Таблиця 1'!$J:$J,"AGM-88")+SUMIFS('Таблиця 1'!$K:$K,'Таблиця 1'!$B:$B,$A90,'Таблиця 1'!$I:$I,"F-16",'Таблиця 1'!$J:$J,"AGM-88")+SUMIFS('Таблиця 1'!$K:$K,'Таблиця 1'!$B:$B,$A90,'Таблиця 1'!$I:$I,"МіГ-29",'Таблиця 1'!$J:$J,"AGM-88")+SUMIFS('Таблиця 1'!$K:$K,'Таблиця 1'!$B:$B,$A90,'Таблиця 1'!$I:$I,"Су-25",'Таблиця 1'!$J:$J,"AGM-88")+SUMIFS('Таблиця 1'!$K:$K,'Таблиця 1'!$B:$B,$A90,'Таблиця 1'!$I:$I,"Су-27",'Таблиця 1'!$J:$J,"AGM-88"))</f>
        <v/>
      </c>
      <c r="I90">
        <f>IF($A90="","",SUMIFS('Таблиця 1'!$K:$K,'Таблиця 1'!$B:$B,$A90,'Таблиця 1'!$I:$I,"Mirage",'Таблиця 1'!$J:$J,"AASM-250")+SUMIFS('Таблиця 1'!$K:$K,'Таблиця 1'!$B:$B,$A90,'Таблиця 1'!$I:$I,"F-16",'Таблиця 1'!$J:$J,"AASM-250")+SUMIFS('Таблиця 1'!$K:$K,'Таблиця 1'!$B:$B,$A90,'Таблиця 1'!$I:$I,"МіГ-29",'Таблиця 1'!$J:$J,"AASM-250")+SUMIFS('Таблиця 1'!$K:$K,'Таблиця 1'!$B:$B,$A90,'Таблиця 1'!$I:$I,"Су-25",'Таблиця 1'!$J:$J,"AASM-250")+SUMIFS('Таблиця 1'!$K:$K,'Таблиця 1'!$B:$B,$A90,'Таблиця 1'!$I:$I,"Су-27",'Таблиця 1'!$J:$J,"AASM-250"))</f>
        <v/>
      </c>
      <c r="J90">
        <f>IF($A90="","",SUMIFS('Таблиця 1'!$K:$K,'Таблиця 1'!$B:$B,$A90,'Таблиця 1'!$I:$I,"Mirage",'Таблиця 1'!$J:$J,"GBU-39")+SUMIFS('Таблиця 1'!$K:$K,'Таблиця 1'!$B:$B,$A90,'Таблиця 1'!$I:$I,"F-16",'Таблиця 1'!$J:$J,"GBU-39")+SUMIFS('Таблиця 1'!$K:$K,'Таблиця 1'!$B:$B,$A90,'Таблиця 1'!$I:$I,"МіГ-29",'Таблиця 1'!$J:$J,"GBU-39")+SUMIFS('Таблиця 1'!$K:$K,'Таблиця 1'!$B:$B,$A90,'Таблиця 1'!$I:$I,"Су-25",'Таблиця 1'!$J:$J,"GBU-39")+SUMIFS('Таблиця 1'!$K:$K,'Таблиця 1'!$B:$B,$A90,'Таблиця 1'!$I:$I,"Су-27",'Таблиця 1'!$J:$J,"GBU-39"))</f>
        <v/>
      </c>
      <c r="K90">
        <f>IF($A90="","",SUMIFS('Таблиця 1'!$K:$K,'Таблиця 1'!$B:$B,$A90,'Таблиця 1'!$I:$I,"Mirage",'Таблиця 1'!$J:$J,"BLU-140")+SUMIFS('Таблиця 1'!$K:$K,'Таблиця 1'!$B:$B,$A90,'Таблиця 1'!$I:$I,"F-16",'Таблиця 1'!$J:$J,"BLU-140")+SUMIFS('Таблиця 1'!$K:$K,'Таблиця 1'!$B:$B,$A90,'Таблиця 1'!$I:$I,"МіГ-29",'Таблиця 1'!$J:$J,"BLU-140")+SUMIFS('Таблиця 1'!$K:$K,'Таблиця 1'!$B:$B,$A90,'Таблиця 1'!$I:$I,"Су-25",'Таблиця 1'!$J:$J,"BLU-140")+SUMIFS('Таблиця 1'!$K:$K,'Таблиця 1'!$B:$B,$A90,'Таблиця 1'!$I:$I,"Су-27",'Таблиця 1'!$J:$J,"BLU-140"))</f>
        <v/>
      </c>
      <c r="L90">
        <f>IF($A90="","",SUMIFS('Таблиця 1'!$K:$K,'Таблиця 1'!$B:$B,$A90,'Таблиця 1'!$I:$I,"Mirage",'Таблиця 1'!$J:$J,"GBU-65")+SUMIFS('Таблиця 1'!$K:$K,'Таблиця 1'!$B:$B,$A90,'Таблиця 1'!$I:$I,"F-16",'Таблиця 1'!$J:$J,"GBU-65")+SUMIFS('Таблиця 1'!$K:$K,'Таблиця 1'!$B:$B,$A90,'Таблиця 1'!$I:$I,"МіГ-29",'Таблиця 1'!$J:$J,"GBU-65")+SUMIFS('Таблиця 1'!$K:$K,'Таблиця 1'!$B:$B,$A90,'Таблиця 1'!$I:$I,"Су-25",'Таблиця 1'!$J:$J,"GBU-65")+SUMIFS('Таблиця 1'!$K:$K,'Таблиця 1'!$B:$B,$A90,'Таблиця 1'!$I:$I,"Су-27",'Таблиця 1'!$J:$J,"GBU-65"))</f>
        <v/>
      </c>
      <c r="M90">
        <f>IF($A90="","",SUMIFS('Таблиця 1'!$K:$K,'Таблиця 1'!$B:$B,$A90,'Таблиця 1'!$I:$I,"Mirage",'Таблиця 1'!$J:$J,"GBU-62")+SUMIFS('Таблиця 1'!$K:$K,'Таблиця 1'!$B:$B,$A90,'Таблиця 1'!$I:$I,"F-16",'Таблиця 1'!$J:$J,"GBU-62")+SUMIFS('Таблиця 1'!$K:$K,'Таблиця 1'!$B:$B,$A90,'Таблиця 1'!$I:$I,"МіГ-29",'Таблиця 1'!$J:$J,"GBU-62")+SUMIFS('Таблиця 1'!$K:$K,'Таблиця 1'!$B:$B,$A90,'Таблиця 1'!$I:$I,"Су-25",'Таблиця 1'!$J:$J,"GBU-62")+SUMIFS('Таблиця 1'!$K:$K,'Таблиця 1'!$B:$B,$A90,'Таблиця 1'!$I:$I,"Су-27",'Таблиця 1'!$J:$J,"GBU-62"))</f>
        <v/>
      </c>
      <c r="N90">
        <f>IF($A90="","",SUMIFS('Таблиця 1'!$K:$K,'Таблиця 1'!$B:$B,$A90,'Таблиця 1'!$I:$I,"Mirage",'Таблиця 1'!$J:$J,"GBU-64")+SUMIFS('Таблиця 1'!$K:$K,'Таблиця 1'!$B:$B,$A90,'Таблиця 1'!$I:$I,"F-16",'Таблиця 1'!$J:$J,"GBU-64")+SUMIFS('Таблиця 1'!$K:$K,'Таблиця 1'!$B:$B,$A90,'Таблиця 1'!$I:$I,"МіГ-29",'Таблиця 1'!$J:$J,"GBU-64")+SUMIFS('Таблиця 1'!$K:$K,'Таблиця 1'!$B:$B,$A90,'Таблиця 1'!$I:$I,"Су-25",'Таблиця 1'!$J:$J,"GBU-64")+SUMIFS('Таблиця 1'!$K:$K,'Таблиця 1'!$B:$B,$A90,'Таблиця 1'!$I:$I,"Су-27",'Таблиця 1'!$J:$J,"GBU-64"))</f>
        <v/>
      </c>
      <c r="O90">
        <f>IF($A90="","",SUMIFS('Таблиця 1'!$K:$K,'Таблиця 1'!$B:$B,$A90,'Таблиця 1'!$I:$I,"Mirage",'Таблиця 1'!$J:$J,"C-13")+SUMIFS('Таблиця 1'!$K:$K,'Таблиця 1'!$B:$B,$A90,'Таблиця 1'!$I:$I,"F-16",'Таблиця 1'!$J:$J,"C-13")+SUMIFS('Таблиця 1'!$K:$K,'Таблиця 1'!$B:$B,$A90,'Таблиця 1'!$I:$I,"МіГ-29",'Таблиця 1'!$J:$J,"C-13")+SUMIFS('Таблиця 1'!$K:$K,'Таблиця 1'!$B:$B,$A90,'Таблиця 1'!$I:$I,"Су-25",'Таблиця 1'!$J:$J,"C-13")+SUMIFS('Таблиця 1'!$K:$K,'Таблиця 1'!$B:$B,$A90,'Таблиця 1'!$I:$I,"Су-27",'Таблиця 1'!$J:$J,"C-13"))</f>
        <v/>
      </c>
      <c r="P90">
        <f>IF($A90="","",SUMIFS('Таблиця 1'!$K:$K,'Таблиця 1'!$B:$B,$A90,'Таблиця 1'!$I:$I,"Mirage",'Таблиця 1'!$J:$J,"MK-32")+SUMIFS('Таблиця 1'!$K:$K,'Таблиця 1'!$B:$B,$A90,'Таблиця 1'!$I:$I,"F-16",'Таблиця 1'!$J:$J,"MK-32")+SUMIFS('Таблиця 1'!$K:$K,'Таблиця 1'!$B:$B,$A90,'Таблиця 1'!$I:$I,"МіГ-29",'Таблиця 1'!$J:$J,"MK-32")+SUMIFS('Таблиця 1'!$K:$K,'Таблиця 1'!$B:$B,$A90,'Таблиця 1'!$I:$I,"Су-25",'Таблиця 1'!$J:$J,"MK-32")+SUMIFS('Таблиця 1'!$K:$K,'Таблиця 1'!$B:$B,$A90,'Таблиця 1'!$I:$I,"Су-27",'Таблиця 1'!$J:$J,"MK-32"))</f>
        <v/>
      </c>
      <c r="Q90">
        <f>IF($A90="","",SUMIFS('Таблиця 1'!$K:$K,'Таблиця 1'!$B:$B,$A90,'Таблиця 1'!$I:$I,"Mirage",'Таблиця 1'!$J:$J,"MK-24")+SUMIFS('Таблиця 1'!$K:$K,'Таблиця 1'!$B:$B,$A90,'Таблиця 1'!$I:$I,"F-16",'Таблиця 1'!$J:$J,"MK-24")+SUMIFS('Таблиця 1'!$K:$K,'Таблиця 1'!$B:$B,$A90,'Таблиця 1'!$I:$I,"МіГ-29",'Таблиця 1'!$J:$J,"MK-24")+SUMIFS('Таблиця 1'!$K:$K,'Таблиця 1'!$B:$B,$A90,'Таблиця 1'!$I:$I,"Су-25",'Таблиця 1'!$J:$J,"MK-24")+SUMIFS('Таблиця 1'!$K:$K,'Таблиця 1'!$B:$B,$A90,'Таблиця 1'!$I:$I,"Су-27",'Таблиця 1'!$J:$J,"MK-24"))</f>
        <v/>
      </c>
      <c r="R90">
        <f>IF($A90="","",COUNTIFS('Таблиця 1'!$B:$B,$A90,'Таблиця 1'!$I:$I,"Mirage",'Таблиця 1'!$L:$L,"Уражено")+COUNTIFS('Таблиця 1'!$B:$B,$A90,'Таблиця 1'!$I:$I,"F-16",'Таблиця 1'!$L:$L,"Уражено")+COUNTIFS('Таблиця 1'!$B:$B,$A90,'Таблиця 1'!$I:$I,"МіГ-29",'Таблиця 1'!$L:$L,"Уражено")+COUNTIFS('Таблиця 1'!$B:$B,$A90,'Таблиця 1'!$I:$I,"Су-25",'Таблиця 1'!$L:$L,"Уражено")+COUNTIFS('Таблиця 1'!$B:$B,$A90,'Таблиця 1'!$I:$I,"Су-27",'Таблиця 1'!$L:$L,"Уражено"))</f>
        <v/>
      </c>
      <c r="S90">
        <f>IF($A90="","",COUNTIFS('Таблиця 1'!$B:$B,$A90,'Таблиця 1'!$I:$I,"Mirage",'Таблиця 1'!$L:$L,"НЕ уражено")+COUNTIFS('Таблиця 1'!$B:$B,$A90,'Таблиця 1'!$I:$I,"F-16",'Таблиця 1'!$L:$L,"НЕ уражено")+COUNTIFS('Таблиця 1'!$B:$B,$A90,'Таблиця 1'!$I:$I,"МіГ-29",'Таблиця 1'!$L:$L,"НЕ уражено")+COUNTIFS('Таблиця 1'!$B:$B,$A90,'Таблиця 1'!$I:$I,"Су-25",'Таблиця 1'!$L:$L,"НЕ уражено")+COUNTIFS('Таблиця 1'!$B:$B,$A90,'Таблиця 1'!$I:$I,"Су-27",'Таблиця 1'!$L:$L,"НЕ уражено"))</f>
        <v/>
      </c>
      <c r="T90">
        <f>IF($A90="","",COUNTIFS('Таблиця 1'!$B:$B,$A90,'Таблиця 1'!$I:$I,"Mirage",'Таблиця 1'!$L:$L,"Дорозвідується")+COUNTIFS('Таблиця 1'!$B:$B,$A90,'Таблиця 1'!$I:$I,"F-16",'Таблиця 1'!$L:$L,"Дорозвідується")+COUNTIFS('Таблиця 1'!$B:$B,$A90,'Таблиця 1'!$I:$I,"МіГ-29",'Таблиця 1'!$L:$L,"Дорозвідується")+COUNTIFS('Таблиця 1'!$B:$B,$A90,'Таблиця 1'!$I:$I,"Су-25",'Таблиця 1'!$L:$L,"Дорозвідується")+COUNTIFS('Таблиця 1'!$B:$B,$A90,'Таблиця 1'!$I:$I,"Су-27",'Таблиця 1'!$L:$L,"Дорозвідується"))</f>
        <v/>
      </c>
    </row>
    <row r="91">
      <c r="A91" s="273">
        <f>IF(A90="","",IF(A90+1&gt;MAX('Таблиця 1'!$B:$B),"",A90+1))</f>
        <v/>
      </c>
      <c r="B91">
        <f>IF($A91="","",COUNTIFS('Таблиця 1'!$B:$B,$A91,'Таблиця 1'!$I:$I,"Mirage")+COUNTIFS('Таблиця 1'!$B:$B,$A91,'Таблиця 1'!$I:$I,"F-16")+COUNTIFS('Таблиця 1'!$B:$B,$A91,'Таблиця 1'!$I:$I,"МіГ-29")+COUNTIFS('Таблиця 1'!$B:$B,$A91,'Таблиця 1'!$I:$I,"Су-25")+COUNTIFS('Таблиця 1'!$B:$B,$A91,'Таблиця 1'!$I:$I,"Су-27"))</f>
        <v/>
      </c>
      <c r="C91">
        <f>IF($A91="","",COUNTIFS('Таблиця 1'!$B:$B,$A91,'Таблиця 1'!$I:$I,"Mirage"))</f>
        <v/>
      </c>
      <c r="D91">
        <f>IF($A91="","",COUNTIFS('Таблиця 1'!$B:$B,$A91,'Таблиця 1'!$I:$I,"F-16"))</f>
        <v/>
      </c>
      <c r="E91">
        <f>IF($A91="","",COUNTIFS('Таблиця 1'!$B:$B,$A91,'Таблиця 1'!$I:$I,"МіГ-29"))</f>
        <v/>
      </c>
      <c r="F91">
        <f>IF($A91="","",COUNTIFS('Таблиця 1'!$B:$B,$A91,'Таблиця 1'!$I:$I,"Су-25"))</f>
        <v/>
      </c>
      <c r="G91">
        <f>IF($A91="","",COUNTIFS('Таблиця 1'!$B:$B,$A91,'Таблиця 1'!$I:$I,"Су-27"))</f>
        <v/>
      </c>
      <c r="H91">
        <f>IF($A91="","",SUMIFS('Таблиця 1'!$K:$K,'Таблиця 1'!$B:$B,$A91,'Таблиця 1'!$I:$I,"Mirage",'Таблиця 1'!$J:$J,"AGM-88")+SUMIFS('Таблиця 1'!$K:$K,'Таблиця 1'!$B:$B,$A91,'Таблиця 1'!$I:$I,"F-16",'Таблиця 1'!$J:$J,"AGM-88")+SUMIFS('Таблиця 1'!$K:$K,'Таблиця 1'!$B:$B,$A91,'Таблиця 1'!$I:$I,"МіГ-29",'Таблиця 1'!$J:$J,"AGM-88")+SUMIFS('Таблиця 1'!$K:$K,'Таблиця 1'!$B:$B,$A91,'Таблиця 1'!$I:$I,"Су-25",'Таблиця 1'!$J:$J,"AGM-88")+SUMIFS('Таблиця 1'!$K:$K,'Таблиця 1'!$B:$B,$A91,'Таблиця 1'!$I:$I,"Су-27",'Таблиця 1'!$J:$J,"AGM-88"))</f>
        <v/>
      </c>
      <c r="I91">
        <f>IF($A91="","",SUMIFS('Таблиця 1'!$K:$K,'Таблиця 1'!$B:$B,$A91,'Таблиця 1'!$I:$I,"Mirage",'Таблиця 1'!$J:$J,"AASM-250")+SUMIFS('Таблиця 1'!$K:$K,'Таблиця 1'!$B:$B,$A91,'Таблиця 1'!$I:$I,"F-16",'Таблиця 1'!$J:$J,"AASM-250")+SUMIFS('Таблиця 1'!$K:$K,'Таблиця 1'!$B:$B,$A91,'Таблиця 1'!$I:$I,"МіГ-29",'Таблиця 1'!$J:$J,"AASM-250")+SUMIFS('Таблиця 1'!$K:$K,'Таблиця 1'!$B:$B,$A91,'Таблиця 1'!$I:$I,"Су-25",'Таблиця 1'!$J:$J,"AASM-250")+SUMIFS('Таблиця 1'!$K:$K,'Таблиця 1'!$B:$B,$A91,'Таблиця 1'!$I:$I,"Су-27",'Таблиця 1'!$J:$J,"AASM-250"))</f>
        <v/>
      </c>
      <c r="J91">
        <f>IF($A91="","",SUMIFS('Таблиця 1'!$K:$K,'Таблиця 1'!$B:$B,$A91,'Таблиця 1'!$I:$I,"Mirage",'Таблиця 1'!$J:$J,"GBU-39")+SUMIFS('Таблиця 1'!$K:$K,'Таблиця 1'!$B:$B,$A91,'Таблиця 1'!$I:$I,"F-16",'Таблиця 1'!$J:$J,"GBU-39")+SUMIFS('Таблиця 1'!$K:$K,'Таблиця 1'!$B:$B,$A91,'Таблиця 1'!$I:$I,"МіГ-29",'Таблиця 1'!$J:$J,"GBU-39")+SUMIFS('Таблиця 1'!$K:$K,'Таблиця 1'!$B:$B,$A91,'Таблиця 1'!$I:$I,"Су-25",'Таблиця 1'!$J:$J,"GBU-39")+SUMIFS('Таблиця 1'!$K:$K,'Таблиця 1'!$B:$B,$A91,'Таблиця 1'!$I:$I,"Су-27",'Таблиця 1'!$J:$J,"GBU-39"))</f>
        <v/>
      </c>
      <c r="K91">
        <f>IF($A91="","",SUMIFS('Таблиця 1'!$K:$K,'Таблиця 1'!$B:$B,$A91,'Таблиця 1'!$I:$I,"Mirage",'Таблиця 1'!$J:$J,"BLU-140")+SUMIFS('Таблиця 1'!$K:$K,'Таблиця 1'!$B:$B,$A91,'Таблиця 1'!$I:$I,"F-16",'Таблиця 1'!$J:$J,"BLU-140")+SUMIFS('Таблиця 1'!$K:$K,'Таблиця 1'!$B:$B,$A91,'Таблиця 1'!$I:$I,"МіГ-29",'Таблиця 1'!$J:$J,"BLU-140")+SUMIFS('Таблиця 1'!$K:$K,'Таблиця 1'!$B:$B,$A91,'Таблиця 1'!$I:$I,"Су-25",'Таблиця 1'!$J:$J,"BLU-140")+SUMIFS('Таблиця 1'!$K:$K,'Таблиця 1'!$B:$B,$A91,'Таблиця 1'!$I:$I,"Су-27",'Таблиця 1'!$J:$J,"BLU-140"))</f>
        <v/>
      </c>
      <c r="L91">
        <f>IF($A91="","",SUMIFS('Таблиця 1'!$K:$K,'Таблиця 1'!$B:$B,$A91,'Таблиця 1'!$I:$I,"Mirage",'Таблиця 1'!$J:$J,"GBU-65")+SUMIFS('Таблиця 1'!$K:$K,'Таблиця 1'!$B:$B,$A91,'Таблиця 1'!$I:$I,"F-16",'Таблиця 1'!$J:$J,"GBU-65")+SUMIFS('Таблиця 1'!$K:$K,'Таблиця 1'!$B:$B,$A91,'Таблиця 1'!$I:$I,"МіГ-29",'Таблиця 1'!$J:$J,"GBU-65")+SUMIFS('Таблиця 1'!$K:$K,'Таблиця 1'!$B:$B,$A91,'Таблиця 1'!$I:$I,"Су-25",'Таблиця 1'!$J:$J,"GBU-65")+SUMIFS('Таблиця 1'!$K:$K,'Таблиця 1'!$B:$B,$A91,'Таблиця 1'!$I:$I,"Су-27",'Таблиця 1'!$J:$J,"GBU-65"))</f>
        <v/>
      </c>
      <c r="M91">
        <f>IF($A91="","",SUMIFS('Таблиця 1'!$K:$K,'Таблиця 1'!$B:$B,$A91,'Таблиця 1'!$I:$I,"Mirage",'Таблиця 1'!$J:$J,"GBU-62")+SUMIFS('Таблиця 1'!$K:$K,'Таблиця 1'!$B:$B,$A91,'Таблиця 1'!$I:$I,"F-16",'Таблиця 1'!$J:$J,"GBU-62")+SUMIFS('Таблиця 1'!$K:$K,'Таблиця 1'!$B:$B,$A91,'Таблиця 1'!$I:$I,"МіГ-29",'Таблиця 1'!$J:$J,"GBU-62")+SUMIFS('Таблиця 1'!$K:$K,'Таблиця 1'!$B:$B,$A91,'Таблиця 1'!$I:$I,"Су-25",'Таблиця 1'!$J:$J,"GBU-62")+SUMIFS('Таблиця 1'!$K:$K,'Таблиця 1'!$B:$B,$A91,'Таблиця 1'!$I:$I,"Су-27",'Таблиця 1'!$J:$J,"GBU-62"))</f>
        <v/>
      </c>
      <c r="N91">
        <f>IF($A91="","",SUMIFS('Таблиця 1'!$K:$K,'Таблиця 1'!$B:$B,$A91,'Таблиця 1'!$I:$I,"Mirage",'Таблиця 1'!$J:$J,"GBU-64")+SUMIFS('Таблиця 1'!$K:$K,'Таблиця 1'!$B:$B,$A91,'Таблиця 1'!$I:$I,"F-16",'Таблиця 1'!$J:$J,"GBU-64")+SUMIFS('Таблиця 1'!$K:$K,'Таблиця 1'!$B:$B,$A91,'Таблиця 1'!$I:$I,"МіГ-29",'Таблиця 1'!$J:$J,"GBU-64")+SUMIFS('Таблиця 1'!$K:$K,'Таблиця 1'!$B:$B,$A91,'Таблиця 1'!$I:$I,"Су-25",'Таблиця 1'!$J:$J,"GBU-64")+SUMIFS('Таблиця 1'!$K:$K,'Таблиця 1'!$B:$B,$A91,'Таблиця 1'!$I:$I,"Су-27",'Таблиця 1'!$J:$J,"GBU-64"))</f>
        <v/>
      </c>
      <c r="O91">
        <f>IF($A91="","",SUMIFS('Таблиця 1'!$K:$K,'Таблиця 1'!$B:$B,$A91,'Таблиця 1'!$I:$I,"Mirage",'Таблиця 1'!$J:$J,"C-13")+SUMIFS('Таблиця 1'!$K:$K,'Таблиця 1'!$B:$B,$A91,'Таблиця 1'!$I:$I,"F-16",'Таблиця 1'!$J:$J,"C-13")+SUMIFS('Таблиця 1'!$K:$K,'Таблиця 1'!$B:$B,$A91,'Таблиця 1'!$I:$I,"МіГ-29",'Таблиця 1'!$J:$J,"C-13")+SUMIFS('Таблиця 1'!$K:$K,'Таблиця 1'!$B:$B,$A91,'Таблиця 1'!$I:$I,"Су-25",'Таблиця 1'!$J:$J,"C-13")+SUMIFS('Таблиця 1'!$K:$K,'Таблиця 1'!$B:$B,$A91,'Таблиця 1'!$I:$I,"Су-27",'Таблиця 1'!$J:$J,"C-13"))</f>
        <v/>
      </c>
      <c r="P91">
        <f>IF($A91="","",SUMIFS('Таблиця 1'!$K:$K,'Таблиця 1'!$B:$B,$A91,'Таблиця 1'!$I:$I,"Mirage",'Таблиця 1'!$J:$J,"MK-32")+SUMIFS('Таблиця 1'!$K:$K,'Таблиця 1'!$B:$B,$A91,'Таблиця 1'!$I:$I,"F-16",'Таблиця 1'!$J:$J,"MK-32")+SUMIFS('Таблиця 1'!$K:$K,'Таблиця 1'!$B:$B,$A91,'Таблиця 1'!$I:$I,"МіГ-29",'Таблиця 1'!$J:$J,"MK-32")+SUMIFS('Таблиця 1'!$K:$K,'Таблиця 1'!$B:$B,$A91,'Таблиця 1'!$I:$I,"Су-25",'Таблиця 1'!$J:$J,"MK-32")+SUMIFS('Таблиця 1'!$K:$K,'Таблиця 1'!$B:$B,$A91,'Таблиця 1'!$I:$I,"Су-27",'Таблиця 1'!$J:$J,"MK-32"))</f>
        <v/>
      </c>
      <c r="Q91">
        <f>IF($A91="","",SUMIFS('Таблиця 1'!$K:$K,'Таблиця 1'!$B:$B,$A91,'Таблиця 1'!$I:$I,"Mirage",'Таблиця 1'!$J:$J,"MK-24")+SUMIFS('Таблиця 1'!$K:$K,'Таблиця 1'!$B:$B,$A91,'Таблиця 1'!$I:$I,"F-16",'Таблиця 1'!$J:$J,"MK-24")+SUMIFS('Таблиця 1'!$K:$K,'Таблиця 1'!$B:$B,$A91,'Таблиця 1'!$I:$I,"МіГ-29",'Таблиця 1'!$J:$J,"MK-24")+SUMIFS('Таблиця 1'!$K:$K,'Таблиця 1'!$B:$B,$A91,'Таблиця 1'!$I:$I,"Су-25",'Таблиця 1'!$J:$J,"MK-24")+SUMIFS('Таблиця 1'!$K:$K,'Таблиця 1'!$B:$B,$A91,'Таблиця 1'!$I:$I,"Су-27",'Таблиця 1'!$J:$J,"MK-24"))</f>
        <v/>
      </c>
      <c r="R91">
        <f>IF($A91="","",COUNTIFS('Таблиця 1'!$B:$B,$A91,'Таблиця 1'!$I:$I,"Mirage",'Таблиця 1'!$L:$L,"Уражено")+COUNTIFS('Таблиця 1'!$B:$B,$A91,'Таблиця 1'!$I:$I,"F-16",'Таблиця 1'!$L:$L,"Уражено")+COUNTIFS('Таблиця 1'!$B:$B,$A91,'Таблиця 1'!$I:$I,"МіГ-29",'Таблиця 1'!$L:$L,"Уражено")+COUNTIFS('Таблиця 1'!$B:$B,$A91,'Таблиця 1'!$I:$I,"Су-25",'Таблиця 1'!$L:$L,"Уражено")+COUNTIFS('Таблиця 1'!$B:$B,$A91,'Таблиця 1'!$I:$I,"Су-27",'Таблиця 1'!$L:$L,"Уражено"))</f>
        <v/>
      </c>
      <c r="S91">
        <f>IF($A91="","",COUNTIFS('Таблиця 1'!$B:$B,$A91,'Таблиця 1'!$I:$I,"Mirage",'Таблиця 1'!$L:$L,"НЕ уражено")+COUNTIFS('Таблиця 1'!$B:$B,$A91,'Таблиця 1'!$I:$I,"F-16",'Таблиця 1'!$L:$L,"НЕ уражено")+COUNTIFS('Таблиця 1'!$B:$B,$A91,'Таблиця 1'!$I:$I,"МіГ-29",'Таблиця 1'!$L:$L,"НЕ уражено")+COUNTIFS('Таблиця 1'!$B:$B,$A91,'Таблиця 1'!$I:$I,"Су-25",'Таблиця 1'!$L:$L,"НЕ уражено")+COUNTIFS('Таблиця 1'!$B:$B,$A91,'Таблиця 1'!$I:$I,"Су-27",'Таблиця 1'!$L:$L,"НЕ уражено"))</f>
        <v/>
      </c>
      <c r="T91">
        <f>IF($A91="","",COUNTIFS('Таблиця 1'!$B:$B,$A91,'Таблиця 1'!$I:$I,"Mirage",'Таблиця 1'!$L:$L,"Дорозвідується")+COUNTIFS('Таблиця 1'!$B:$B,$A91,'Таблиця 1'!$I:$I,"F-16",'Таблиця 1'!$L:$L,"Дорозвідується")+COUNTIFS('Таблиця 1'!$B:$B,$A91,'Таблиця 1'!$I:$I,"МіГ-29",'Таблиця 1'!$L:$L,"Дорозвідується")+COUNTIFS('Таблиця 1'!$B:$B,$A91,'Таблиця 1'!$I:$I,"Су-25",'Таблиця 1'!$L:$L,"Дорозвідується")+COUNTIFS('Таблиця 1'!$B:$B,$A91,'Таблиця 1'!$I:$I,"Су-27",'Таблиця 1'!$L:$L,"Дорозвідується"))</f>
        <v/>
      </c>
    </row>
    <row r="92">
      <c r="A92" s="273">
        <f>IF(A91="","",IF(A91+1&gt;MAX('Таблиця 1'!$B:$B),"",A91+1))</f>
        <v/>
      </c>
      <c r="B92">
        <f>IF($A92="","",COUNTIFS('Таблиця 1'!$B:$B,$A92,'Таблиця 1'!$I:$I,"Mirage")+COUNTIFS('Таблиця 1'!$B:$B,$A92,'Таблиця 1'!$I:$I,"F-16")+COUNTIFS('Таблиця 1'!$B:$B,$A92,'Таблиця 1'!$I:$I,"МіГ-29")+COUNTIFS('Таблиця 1'!$B:$B,$A92,'Таблиця 1'!$I:$I,"Су-25")+COUNTIFS('Таблиця 1'!$B:$B,$A92,'Таблиця 1'!$I:$I,"Су-27"))</f>
        <v/>
      </c>
      <c r="C92">
        <f>IF($A92="","",COUNTIFS('Таблиця 1'!$B:$B,$A92,'Таблиця 1'!$I:$I,"Mirage"))</f>
        <v/>
      </c>
      <c r="D92">
        <f>IF($A92="","",COUNTIFS('Таблиця 1'!$B:$B,$A92,'Таблиця 1'!$I:$I,"F-16"))</f>
        <v/>
      </c>
      <c r="E92">
        <f>IF($A92="","",COUNTIFS('Таблиця 1'!$B:$B,$A92,'Таблиця 1'!$I:$I,"МіГ-29"))</f>
        <v/>
      </c>
      <c r="F92">
        <f>IF($A92="","",COUNTIFS('Таблиця 1'!$B:$B,$A92,'Таблиця 1'!$I:$I,"Су-25"))</f>
        <v/>
      </c>
      <c r="G92">
        <f>IF($A92="","",COUNTIFS('Таблиця 1'!$B:$B,$A92,'Таблиця 1'!$I:$I,"Су-27"))</f>
        <v/>
      </c>
      <c r="H92">
        <f>IF($A92="","",SUMIFS('Таблиця 1'!$K:$K,'Таблиця 1'!$B:$B,$A92,'Таблиця 1'!$I:$I,"Mirage",'Таблиця 1'!$J:$J,"AGM-88")+SUMIFS('Таблиця 1'!$K:$K,'Таблиця 1'!$B:$B,$A92,'Таблиця 1'!$I:$I,"F-16",'Таблиця 1'!$J:$J,"AGM-88")+SUMIFS('Таблиця 1'!$K:$K,'Таблиця 1'!$B:$B,$A92,'Таблиця 1'!$I:$I,"МіГ-29",'Таблиця 1'!$J:$J,"AGM-88")+SUMIFS('Таблиця 1'!$K:$K,'Таблиця 1'!$B:$B,$A92,'Таблиця 1'!$I:$I,"Су-25",'Таблиця 1'!$J:$J,"AGM-88")+SUMIFS('Таблиця 1'!$K:$K,'Таблиця 1'!$B:$B,$A92,'Таблиця 1'!$I:$I,"Су-27",'Таблиця 1'!$J:$J,"AGM-88"))</f>
        <v/>
      </c>
      <c r="I92">
        <f>IF($A92="","",SUMIFS('Таблиця 1'!$K:$K,'Таблиця 1'!$B:$B,$A92,'Таблиця 1'!$I:$I,"Mirage",'Таблиця 1'!$J:$J,"AASM-250")+SUMIFS('Таблиця 1'!$K:$K,'Таблиця 1'!$B:$B,$A92,'Таблиця 1'!$I:$I,"F-16",'Таблиця 1'!$J:$J,"AASM-250")+SUMIFS('Таблиця 1'!$K:$K,'Таблиця 1'!$B:$B,$A92,'Таблиця 1'!$I:$I,"МіГ-29",'Таблиця 1'!$J:$J,"AASM-250")+SUMIFS('Таблиця 1'!$K:$K,'Таблиця 1'!$B:$B,$A92,'Таблиця 1'!$I:$I,"Су-25",'Таблиця 1'!$J:$J,"AASM-250")+SUMIFS('Таблиця 1'!$K:$K,'Таблиця 1'!$B:$B,$A92,'Таблиця 1'!$I:$I,"Су-27",'Таблиця 1'!$J:$J,"AASM-250"))</f>
        <v/>
      </c>
      <c r="J92">
        <f>IF($A92="","",SUMIFS('Таблиця 1'!$K:$K,'Таблиця 1'!$B:$B,$A92,'Таблиця 1'!$I:$I,"Mirage",'Таблиця 1'!$J:$J,"GBU-39")+SUMIFS('Таблиця 1'!$K:$K,'Таблиця 1'!$B:$B,$A92,'Таблиця 1'!$I:$I,"F-16",'Таблиця 1'!$J:$J,"GBU-39")+SUMIFS('Таблиця 1'!$K:$K,'Таблиця 1'!$B:$B,$A92,'Таблиця 1'!$I:$I,"МіГ-29",'Таблиця 1'!$J:$J,"GBU-39")+SUMIFS('Таблиця 1'!$K:$K,'Таблиця 1'!$B:$B,$A92,'Таблиця 1'!$I:$I,"Су-25",'Таблиця 1'!$J:$J,"GBU-39")+SUMIFS('Таблиця 1'!$K:$K,'Таблиця 1'!$B:$B,$A92,'Таблиця 1'!$I:$I,"Су-27",'Таблиця 1'!$J:$J,"GBU-39"))</f>
        <v/>
      </c>
      <c r="K92">
        <f>IF($A92="","",SUMIFS('Таблиця 1'!$K:$K,'Таблиця 1'!$B:$B,$A92,'Таблиця 1'!$I:$I,"Mirage",'Таблиця 1'!$J:$J,"BLU-140")+SUMIFS('Таблиця 1'!$K:$K,'Таблиця 1'!$B:$B,$A92,'Таблиця 1'!$I:$I,"F-16",'Таблиця 1'!$J:$J,"BLU-140")+SUMIFS('Таблиця 1'!$K:$K,'Таблиця 1'!$B:$B,$A92,'Таблиця 1'!$I:$I,"МіГ-29",'Таблиця 1'!$J:$J,"BLU-140")+SUMIFS('Таблиця 1'!$K:$K,'Таблиця 1'!$B:$B,$A92,'Таблиця 1'!$I:$I,"Су-25",'Таблиця 1'!$J:$J,"BLU-140")+SUMIFS('Таблиця 1'!$K:$K,'Таблиця 1'!$B:$B,$A92,'Таблиця 1'!$I:$I,"Су-27",'Таблиця 1'!$J:$J,"BLU-140"))</f>
        <v/>
      </c>
      <c r="L92">
        <f>IF($A92="","",SUMIFS('Таблиця 1'!$K:$K,'Таблиця 1'!$B:$B,$A92,'Таблиця 1'!$I:$I,"Mirage",'Таблиця 1'!$J:$J,"GBU-65")+SUMIFS('Таблиця 1'!$K:$K,'Таблиця 1'!$B:$B,$A92,'Таблиця 1'!$I:$I,"F-16",'Таблиця 1'!$J:$J,"GBU-65")+SUMIFS('Таблиця 1'!$K:$K,'Таблиця 1'!$B:$B,$A92,'Таблиця 1'!$I:$I,"МіГ-29",'Таблиця 1'!$J:$J,"GBU-65")+SUMIFS('Таблиця 1'!$K:$K,'Таблиця 1'!$B:$B,$A92,'Таблиця 1'!$I:$I,"Су-25",'Таблиця 1'!$J:$J,"GBU-65")+SUMIFS('Таблиця 1'!$K:$K,'Таблиця 1'!$B:$B,$A92,'Таблиця 1'!$I:$I,"Су-27",'Таблиця 1'!$J:$J,"GBU-65"))</f>
        <v/>
      </c>
      <c r="M92">
        <f>IF($A92="","",SUMIFS('Таблиця 1'!$K:$K,'Таблиця 1'!$B:$B,$A92,'Таблиця 1'!$I:$I,"Mirage",'Таблиця 1'!$J:$J,"GBU-62")+SUMIFS('Таблиця 1'!$K:$K,'Таблиця 1'!$B:$B,$A92,'Таблиця 1'!$I:$I,"F-16",'Таблиця 1'!$J:$J,"GBU-62")+SUMIFS('Таблиця 1'!$K:$K,'Таблиця 1'!$B:$B,$A92,'Таблиця 1'!$I:$I,"МіГ-29",'Таблиця 1'!$J:$J,"GBU-62")+SUMIFS('Таблиця 1'!$K:$K,'Таблиця 1'!$B:$B,$A92,'Таблиця 1'!$I:$I,"Су-25",'Таблиця 1'!$J:$J,"GBU-62")+SUMIFS('Таблиця 1'!$K:$K,'Таблиця 1'!$B:$B,$A92,'Таблиця 1'!$I:$I,"Су-27",'Таблиця 1'!$J:$J,"GBU-62"))</f>
        <v/>
      </c>
      <c r="N92">
        <f>IF($A92="","",SUMIFS('Таблиця 1'!$K:$K,'Таблиця 1'!$B:$B,$A92,'Таблиця 1'!$I:$I,"Mirage",'Таблиця 1'!$J:$J,"GBU-64")+SUMIFS('Таблиця 1'!$K:$K,'Таблиця 1'!$B:$B,$A92,'Таблиця 1'!$I:$I,"F-16",'Таблиця 1'!$J:$J,"GBU-64")+SUMIFS('Таблиця 1'!$K:$K,'Таблиця 1'!$B:$B,$A92,'Таблиця 1'!$I:$I,"МіГ-29",'Таблиця 1'!$J:$J,"GBU-64")+SUMIFS('Таблиця 1'!$K:$K,'Таблиця 1'!$B:$B,$A92,'Таблиця 1'!$I:$I,"Су-25",'Таблиця 1'!$J:$J,"GBU-64")+SUMIFS('Таблиця 1'!$K:$K,'Таблиця 1'!$B:$B,$A92,'Таблиця 1'!$I:$I,"Су-27",'Таблиця 1'!$J:$J,"GBU-64"))</f>
        <v/>
      </c>
      <c r="O92">
        <f>IF($A92="","",SUMIFS('Таблиця 1'!$K:$K,'Таблиця 1'!$B:$B,$A92,'Таблиця 1'!$I:$I,"Mirage",'Таблиця 1'!$J:$J,"C-13")+SUMIFS('Таблиця 1'!$K:$K,'Таблиця 1'!$B:$B,$A92,'Таблиця 1'!$I:$I,"F-16",'Таблиця 1'!$J:$J,"C-13")+SUMIFS('Таблиця 1'!$K:$K,'Таблиця 1'!$B:$B,$A92,'Таблиця 1'!$I:$I,"МіГ-29",'Таблиця 1'!$J:$J,"C-13")+SUMIFS('Таблиця 1'!$K:$K,'Таблиця 1'!$B:$B,$A92,'Таблиця 1'!$I:$I,"Су-25",'Таблиця 1'!$J:$J,"C-13")+SUMIFS('Таблиця 1'!$K:$K,'Таблиця 1'!$B:$B,$A92,'Таблиця 1'!$I:$I,"Су-27",'Таблиця 1'!$J:$J,"C-13"))</f>
        <v/>
      </c>
      <c r="P92">
        <f>IF($A92="","",SUMIFS('Таблиця 1'!$K:$K,'Таблиця 1'!$B:$B,$A92,'Таблиця 1'!$I:$I,"Mirage",'Таблиця 1'!$J:$J,"MK-32")+SUMIFS('Таблиця 1'!$K:$K,'Таблиця 1'!$B:$B,$A92,'Таблиця 1'!$I:$I,"F-16",'Таблиця 1'!$J:$J,"MK-32")+SUMIFS('Таблиця 1'!$K:$K,'Таблиця 1'!$B:$B,$A92,'Таблиця 1'!$I:$I,"МіГ-29",'Таблиця 1'!$J:$J,"MK-32")+SUMIFS('Таблиця 1'!$K:$K,'Таблиця 1'!$B:$B,$A92,'Таблиця 1'!$I:$I,"Су-25",'Таблиця 1'!$J:$J,"MK-32")+SUMIFS('Таблиця 1'!$K:$K,'Таблиця 1'!$B:$B,$A92,'Таблиця 1'!$I:$I,"Су-27",'Таблиця 1'!$J:$J,"MK-32"))</f>
        <v/>
      </c>
      <c r="Q92">
        <f>IF($A92="","",SUMIFS('Таблиця 1'!$K:$K,'Таблиця 1'!$B:$B,$A92,'Таблиця 1'!$I:$I,"Mirage",'Таблиця 1'!$J:$J,"MK-24")+SUMIFS('Таблиця 1'!$K:$K,'Таблиця 1'!$B:$B,$A92,'Таблиця 1'!$I:$I,"F-16",'Таблиця 1'!$J:$J,"MK-24")+SUMIFS('Таблиця 1'!$K:$K,'Таблиця 1'!$B:$B,$A92,'Таблиця 1'!$I:$I,"МіГ-29",'Таблиця 1'!$J:$J,"MK-24")+SUMIFS('Таблиця 1'!$K:$K,'Таблиця 1'!$B:$B,$A92,'Таблиця 1'!$I:$I,"Су-25",'Таблиця 1'!$J:$J,"MK-24")+SUMIFS('Таблиця 1'!$K:$K,'Таблиця 1'!$B:$B,$A92,'Таблиця 1'!$I:$I,"Су-27",'Таблиця 1'!$J:$J,"MK-24"))</f>
        <v/>
      </c>
      <c r="R92">
        <f>IF($A92="","",COUNTIFS('Таблиця 1'!$B:$B,$A92,'Таблиця 1'!$I:$I,"Mirage",'Таблиця 1'!$L:$L,"Уражено")+COUNTIFS('Таблиця 1'!$B:$B,$A92,'Таблиця 1'!$I:$I,"F-16",'Таблиця 1'!$L:$L,"Уражено")+COUNTIFS('Таблиця 1'!$B:$B,$A92,'Таблиця 1'!$I:$I,"МіГ-29",'Таблиця 1'!$L:$L,"Уражено")+COUNTIFS('Таблиця 1'!$B:$B,$A92,'Таблиця 1'!$I:$I,"Су-25",'Таблиця 1'!$L:$L,"Уражено")+COUNTIFS('Таблиця 1'!$B:$B,$A92,'Таблиця 1'!$I:$I,"Су-27",'Таблиця 1'!$L:$L,"Уражено"))</f>
        <v/>
      </c>
      <c r="S92">
        <f>IF($A92="","",COUNTIFS('Таблиця 1'!$B:$B,$A92,'Таблиця 1'!$I:$I,"Mirage",'Таблиця 1'!$L:$L,"НЕ уражено")+COUNTIFS('Таблиця 1'!$B:$B,$A92,'Таблиця 1'!$I:$I,"F-16",'Таблиця 1'!$L:$L,"НЕ уражено")+COUNTIFS('Таблиця 1'!$B:$B,$A92,'Таблиця 1'!$I:$I,"МіГ-29",'Таблиця 1'!$L:$L,"НЕ уражено")+COUNTIFS('Таблиця 1'!$B:$B,$A92,'Таблиця 1'!$I:$I,"Су-25",'Таблиця 1'!$L:$L,"НЕ уражено")+COUNTIFS('Таблиця 1'!$B:$B,$A92,'Таблиця 1'!$I:$I,"Су-27",'Таблиця 1'!$L:$L,"НЕ уражено"))</f>
        <v/>
      </c>
      <c r="T92">
        <f>IF($A92="","",COUNTIFS('Таблиця 1'!$B:$B,$A92,'Таблиця 1'!$I:$I,"Mirage",'Таблиця 1'!$L:$L,"Дорозвідується")+COUNTIFS('Таблиця 1'!$B:$B,$A92,'Таблиця 1'!$I:$I,"F-16",'Таблиця 1'!$L:$L,"Дорозвідується")+COUNTIFS('Таблиця 1'!$B:$B,$A92,'Таблиця 1'!$I:$I,"МіГ-29",'Таблиця 1'!$L:$L,"Дорозвідується")+COUNTIFS('Таблиця 1'!$B:$B,$A92,'Таблиця 1'!$I:$I,"Су-25",'Таблиця 1'!$L:$L,"Дорозвідується")+COUNTIFS('Таблиця 1'!$B:$B,$A92,'Таблиця 1'!$I:$I,"Су-27",'Таблиця 1'!$L:$L,"Дорозвідується"))</f>
        <v/>
      </c>
    </row>
    <row r="93">
      <c r="A93" s="273">
        <f>IF(A92="","",IF(A92+1&gt;MAX('Таблиця 1'!$B:$B),"",A92+1))</f>
        <v/>
      </c>
      <c r="B93">
        <f>IF($A93="","",COUNTIFS('Таблиця 1'!$B:$B,$A93,'Таблиця 1'!$I:$I,"Mirage")+COUNTIFS('Таблиця 1'!$B:$B,$A93,'Таблиця 1'!$I:$I,"F-16")+COUNTIFS('Таблиця 1'!$B:$B,$A93,'Таблиця 1'!$I:$I,"МіГ-29")+COUNTIFS('Таблиця 1'!$B:$B,$A93,'Таблиця 1'!$I:$I,"Су-25")+COUNTIFS('Таблиця 1'!$B:$B,$A93,'Таблиця 1'!$I:$I,"Су-27"))</f>
        <v/>
      </c>
      <c r="C93">
        <f>IF($A93="","",COUNTIFS('Таблиця 1'!$B:$B,$A93,'Таблиця 1'!$I:$I,"Mirage"))</f>
        <v/>
      </c>
      <c r="D93">
        <f>IF($A93="","",COUNTIFS('Таблиця 1'!$B:$B,$A93,'Таблиця 1'!$I:$I,"F-16"))</f>
        <v/>
      </c>
      <c r="E93">
        <f>IF($A93="","",COUNTIFS('Таблиця 1'!$B:$B,$A93,'Таблиця 1'!$I:$I,"МіГ-29"))</f>
        <v/>
      </c>
      <c r="F93">
        <f>IF($A93="","",COUNTIFS('Таблиця 1'!$B:$B,$A93,'Таблиця 1'!$I:$I,"Су-25"))</f>
        <v/>
      </c>
      <c r="G93">
        <f>IF($A93="","",COUNTIFS('Таблиця 1'!$B:$B,$A93,'Таблиця 1'!$I:$I,"Су-27"))</f>
        <v/>
      </c>
      <c r="H93">
        <f>IF($A93="","",SUMIFS('Таблиця 1'!$K:$K,'Таблиця 1'!$B:$B,$A93,'Таблиця 1'!$I:$I,"Mirage",'Таблиця 1'!$J:$J,"AGM-88")+SUMIFS('Таблиця 1'!$K:$K,'Таблиця 1'!$B:$B,$A93,'Таблиця 1'!$I:$I,"F-16",'Таблиця 1'!$J:$J,"AGM-88")+SUMIFS('Таблиця 1'!$K:$K,'Таблиця 1'!$B:$B,$A93,'Таблиця 1'!$I:$I,"МіГ-29",'Таблиця 1'!$J:$J,"AGM-88")+SUMIFS('Таблиця 1'!$K:$K,'Таблиця 1'!$B:$B,$A93,'Таблиця 1'!$I:$I,"Су-25",'Таблиця 1'!$J:$J,"AGM-88")+SUMIFS('Таблиця 1'!$K:$K,'Таблиця 1'!$B:$B,$A93,'Таблиця 1'!$I:$I,"Су-27",'Таблиця 1'!$J:$J,"AGM-88"))</f>
        <v/>
      </c>
      <c r="I93">
        <f>IF($A93="","",SUMIFS('Таблиця 1'!$K:$K,'Таблиця 1'!$B:$B,$A93,'Таблиця 1'!$I:$I,"Mirage",'Таблиця 1'!$J:$J,"AASM-250")+SUMIFS('Таблиця 1'!$K:$K,'Таблиця 1'!$B:$B,$A93,'Таблиця 1'!$I:$I,"F-16",'Таблиця 1'!$J:$J,"AASM-250")+SUMIFS('Таблиця 1'!$K:$K,'Таблиця 1'!$B:$B,$A93,'Таблиця 1'!$I:$I,"МіГ-29",'Таблиця 1'!$J:$J,"AASM-250")+SUMIFS('Таблиця 1'!$K:$K,'Таблиця 1'!$B:$B,$A93,'Таблиця 1'!$I:$I,"Су-25",'Таблиця 1'!$J:$J,"AASM-250")+SUMIFS('Таблиця 1'!$K:$K,'Таблиця 1'!$B:$B,$A93,'Таблиця 1'!$I:$I,"Су-27",'Таблиця 1'!$J:$J,"AASM-250"))</f>
        <v/>
      </c>
      <c r="J93">
        <f>IF($A93="","",SUMIFS('Таблиця 1'!$K:$K,'Таблиця 1'!$B:$B,$A93,'Таблиця 1'!$I:$I,"Mirage",'Таблиця 1'!$J:$J,"GBU-39")+SUMIFS('Таблиця 1'!$K:$K,'Таблиця 1'!$B:$B,$A93,'Таблиця 1'!$I:$I,"F-16",'Таблиця 1'!$J:$J,"GBU-39")+SUMIFS('Таблиця 1'!$K:$K,'Таблиця 1'!$B:$B,$A93,'Таблиця 1'!$I:$I,"МіГ-29",'Таблиця 1'!$J:$J,"GBU-39")+SUMIFS('Таблиця 1'!$K:$K,'Таблиця 1'!$B:$B,$A93,'Таблиця 1'!$I:$I,"Су-25",'Таблиця 1'!$J:$J,"GBU-39")+SUMIFS('Таблиця 1'!$K:$K,'Таблиця 1'!$B:$B,$A93,'Таблиця 1'!$I:$I,"Су-27",'Таблиця 1'!$J:$J,"GBU-39"))</f>
        <v/>
      </c>
      <c r="K93">
        <f>IF($A93="","",SUMIFS('Таблиця 1'!$K:$K,'Таблиця 1'!$B:$B,$A93,'Таблиця 1'!$I:$I,"Mirage",'Таблиця 1'!$J:$J,"BLU-140")+SUMIFS('Таблиця 1'!$K:$K,'Таблиця 1'!$B:$B,$A93,'Таблиця 1'!$I:$I,"F-16",'Таблиця 1'!$J:$J,"BLU-140")+SUMIFS('Таблиця 1'!$K:$K,'Таблиця 1'!$B:$B,$A93,'Таблиця 1'!$I:$I,"МіГ-29",'Таблиця 1'!$J:$J,"BLU-140")+SUMIFS('Таблиця 1'!$K:$K,'Таблиця 1'!$B:$B,$A93,'Таблиця 1'!$I:$I,"Су-25",'Таблиця 1'!$J:$J,"BLU-140")+SUMIFS('Таблиця 1'!$K:$K,'Таблиця 1'!$B:$B,$A93,'Таблиця 1'!$I:$I,"Су-27",'Таблиця 1'!$J:$J,"BLU-140"))</f>
        <v/>
      </c>
      <c r="L93">
        <f>IF($A93="","",SUMIFS('Таблиця 1'!$K:$K,'Таблиця 1'!$B:$B,$A93,'Таблиця 1'!$I:$I,"Mirage",'Таблиця 1'!$J:$J,"GBU-65")+SUMIFS('Таблиця 1'!$K:$K,'Таблиця 1'!$B:$B,$A93,'Таблиця 1'!$I:$I,"F-16",'Таблиця 1'!$J:$J,"GBU-65")+SUMIFS('Таблиця 1'!$K:$K,'Таблиця 1'!$B:$B,$A93,'Таблиця 1'!$I:$I,"МіГ-29",'Таблиця 1'!$J:$J,"GBU-65")+SUMIFS('Таблиця 1'!$K:$K,'Таблиця 1'!$B:$B,$A93,'Таблиця 1'!$I:$I,"Су-25",'Таблиця 1'!$J:$J,"GBU-65")+SUMIFS('Таблиця 1'!$K:$K,'Таблиця 1'!$B:$B,$A93,'Таблиця 1'!$I:$I,"Су-27",'Таблиця 1'!$J:$J,"GBU-65"))</f>
        <v/>
      </c>
      <c r="M93">
        <f>IF($A93="","",SUMIFS('Таблиця 1'!$K:$K,'Таблиця 1'!$B:$B,$A93,'Таблиця 1'!$I:$I,"Mirage",'Таблиця 1'!$J:$J,"GBU-62")+SUMIFS('Таблиця 1'!$K:$K,'Таблиця 1'!$B:$B,$A93,'Таблиця 1'!$I:$I,"F-16",'Таблиця 1'!$J:$J,"GBU-62")+SUMIFS('Таблиця 1'!$K:$K,'Таблиця 1'!$B:$B,$A93,'Таблиця 1'!$I:$I,"МіГ-29",'Таблиця 1'!$J:$J,"GBU-62")+SUMIFS('Таблиця 1'!$K:$K,'Таблиця 1'!$B:$B,$A93,'Таблиця 1'!$I:$I,"Су-25",'Таблиця 1'!$J:$J,"GBU-62")+SUMIFS('Таблиця 1'!$K:$K,'Таблиця 1'!$B:$B,$A93,'Таблиця 1'!$I:$I,"Су-27",'Таблиця 1'!$J:$J,"GBU-62"))</f>
        <v/>
      </c>
      <c r="N93">
        <f>IF($A93="","",SUMIFS('Таблиця 1'!$K:$K,'Таблиця 1'!$B:$B,$A93,'Таблиця 1'!$I:$I,"Mirage",'Таблиця 1'!$J:$J,"GBU-64")+SUMIFS('Таблиця 1'!$K:$K,'Таблиця 1'!$B:$B,$A93,'Таблиця 1'!$I:$I,"F-16",'Таблиця 1'!$J:$J,"GBU-64")+SUMIFS('Таблиця 1'!$K:$K,'Таблиця 1'!$B:$B,$A93,'Таблиця 1'!$I:$I,"МіГ-29",'Таблиця 1'!$J:$J,"GBU-64")+SUMIFS('Таблиця 1'!$K:$K,'Таблиця 1'!$B:$B,$A93,'Таблиця 1'!$I:$I,"Су-25",'Таблиця 1'!$J:$J,"GBU-64")+SUMIFS('Таблиця 1'!$K:$K,'Таблиця 1'!$B:$B,$A93,'Таблиця 1'!$I:$I,"Су-27",'Таблиця 1'!$J:$J,"GBU-64"))</f>
        <v/>
      </c>
      <c r="O93">
        <f>IF($A93="","",SUMIFS('Таблиця 1'!$K:$K,'Таблиця 1'!$B:$B,$A93,'Таблиця 1'!$I:$I,"Mirage",'Таблиця 1'!$J:$J,"C-13")+SUMIFS('Таблиця 1'!$K:$K,'Таблиця 1'!$B:$B,$A93,'Таблиця 1'!$I:$I,"F-16",'Таблиця 1'!$J:$J,"C-13")+SUMIFS('Таблиця 1'!$K:$K,'Таблиця 1'!$B:$B,$A93,'Таблиця 1'!$I:$I,"МіГ-29",'Таблиця 1'!$J:$J,"C-13")+SUMIFS('Таблиця 1'!$K:$K,'Таблиця 1'!$B:$B,$A93,'Таблиця 1'!$I:$I,"Су-25",'Таблиця 1'!$J:$J,"C-13")+SUMIFS('Таблиця 1'!$K:$K,'Таблиця 1'!$B:$B,$A93,'Таблиця 1'!$I:$I,"Су-27",'Таблиця 1'!$J:$J,"C-13"))</f>
        <v/>
      </c>
      <c r="P93">
        <f>IF($A93="","",SUMIFS('Таблиця 1'!$K:$K,'Таблиця 1'!$B:$B,$A93,'Таблиця 1'!$I:$I,"Mirage",'Таблиця 1'!$J:$J,"MK-32")+SUMIFS('Таблиця 1'!$K:$K,'Таблиця 1'!$B:$B,$A93,'Таблиця 1'!$I:$I,"F-16",'Таблиця 1'!$J:$J,"MK-32")+SUMIFS('Таблиця 1'!$K:$K,'Таблиця 1'!$B:$B,$A93,'Таблиця 1'!$I:$I,"МіГ-29",'Таблиця 1'!$J:$J,"MK-32")+SUMIFS('Таблиця 1'!$K:$K,'Таблиця 1'!$B:$B,$A93,'Таблиця 1'!$I:$I,"Су-25",'Таблиця 1'!$J:$J,"MK-32")+SUMIFS('Таблиця 1'!$K:$K,'Таблиця 1'!$B:$B,$A93,'Таблиця 1'!$I:$I,"Су-27",'Таблиця 1'!$J:$J,"MK-32"))</f>
        <v/>
      </c>
      <c r="Q93">
        <f>IF($A93="","",SUMIFS('Таблиця 1'!$K:$K,'Таблиця 1'!$B:$B,$A93,'Таблиця 1'!$I:$I,"Mirage",'Таблиця 1'!$J:$J,"MK-24")+SUMIFS('Таблиця 1'!$K:$K,'Таблиця 1'!$B:$B,$A93,'Таблиця 1'!$I:$I,"F-16",'Таблиця 1'!$J:$J,"MK-24")+SUMIFS('Таблиця 1'!$K:$K,'Таблиця 1'!$B:$B,$A93,'Таблиця 1'!$I:$I,"МіГ-29",'Таблиця 1'!$J:$J,"MK-24")+SUMIFS('Таблиця 1'!$K:$K,'Таблиця 1'!$B:$B,$A93,'Таблиця 1'!$I:$I,"Су-25",'Таблиця 1'!$J:$J,"MK-24")+SUMIFS('Таблиця 1'!$K:$K,'Таблиця 1'!$B:$B,$A93,'Таблиця 1'!$I:$I,"Су-27",'Таблиця 1'!$J:$J,"MK-24"))</f>
        <v/>
      </c>
      <c r="R93">
        <f>IF($A93="","",COUNTIFS('Таблиця 1'!$B:$B,$A93,'Таблиця 1'!$I:$I,"Mirage",'Таблиця 1'!$L:$L,"Уражено")+COUNTIFS('Таблиця 1'!$B:$B,$A93,'Таблиця 1'!$I:$I,"F-16",'Таблиця 1'!$L:$L,"Уражено")+COUNTIFS('Таблиця 1'!$B:$B,$A93,'Таблиця 1'!$I:$I,"МіГ-29",'Таблиця 1'!$L:$L,"Уражено")+COUNTIFS('Таблиця 1'!$B:$B,$A93,'Таблиця 1'!$I:$I,"Су-25",'Таблиця 1'!$L:$L,"Уражено")+COUNTIFS('Таблиця 1'!$B:$B,$A93,'Таблиця 1'!$I:$I,"Су-27",'Таблиця 1'!$L:$L,"Уражено"))</f>
        <v/>
      </c>
      <c r="S93">
        <f>IF($A93="","",COUNTIFS('Таблиця 1'!$B:$B,$A93,'Таблиця 1'!$I:$I,"Mirage",'Таблиця 1'!$L:$L,"НЕ уражено")+COUNTIFS('Таблиця 1'!$B:$B,$A93,'Таблиця 1'!$I:$I,"F-16",'Таблиця 1'!$L:$L,"НЕ уражено")+COUNTIFS('Таблиця 1'!$B:$B,$A93,'Таблиця 1'!$I:$I,"МіГ-29",'Таблиця 1'!$L:$L,"НЕ уражено")+COUNTIFS('Таблиця 1'!$B:$B,$A93,'Таблиця 1'!$I:$I,"Су-25",'Таблиця 1'!$L:$L,"НЕ уражено")+COUNTIFS('Таблиця 1'!$B:$B,$A93,'Таблиця 1'!$I:$I,"Су-27",'Таблиця 1'!$L:$L,"НЕ уражено"))</f>
        <v/>
      </c>
      <c r="T93">
        <f>IF($A93="","",COUNTIFS('Таблиця 1'!$B:$B,$A93,'Таблиця 1'!$I:$I,"Mirage",'Таблиця 1'!$L:$L,"Дорозвідується")+COUNTIFS('Таблиця 1'!$B:$B,$A93,'Таблиця 1'!$I:$I,"F-16",'Таблиця 1'!$L:$L,"Дорозвідується")+COUNTIFS('Таблиця 1'!$B:$B,$A93,'Таблиця 1'!$I:$I,"МіГ-29",'Таблиця 1'!$L:$L,"Дорозвідується")+COUNTIFS('Таблиця 1'!$B:$B,$A93,'Таблиця 1'!$I:$I,"Су-25",'Таблиця 1'!$L:$L,"Дорозвідується")+COUNTIFS('Таблиця 1'!$B:$B,$A93,'Таблиця 1'!$I:$I,"Су-27",'Таблиця 1'!$L:$L,"Дорозвідується"))</f>
        <v/>
      </c>
    </row>
    <row r="94">
      <c r="A94" s="273">
        <f>IF(A93="","",IF(A93+1&gt;MAX('Таблиця 1'!$B:$B),"",A93+1))</f>
        <v/>
      </c>
      <c r="B94">
        <f>IF($A94="","",COUNTIFS('Таблиця 1'!$B:$B,$A94,'Таблиця 1'!$I:$I,"Mirage")+COUNTIFS('Таблиця 1'!$B:$B,$A94,'Таблиця 1'!$I:$I,"F-16")+COUNTIFS('Таблиця 1'!$B:$B,$A94,'Таблиця 1'!$I:$I,"МіГ-29")+COUNTIFS('Таблиця 1'!$B:$B,$A94,'Таблиця 1'!$I:$I,"Су-25")+COUNTIFS('Таблиця 1'!$B:$B,$A94,'Таблиця 1'!$I:$I,"Су-27"))</f>
        <v/>
      </c>
      <c r="C94">
        <f>IF($A94="","",COUNTIFS('Таблиця 1'!$B:$B,$A94,'Таблиця 1'!$I:$I,"Mirage"))</f>
        <v/>
      </c>
      <c r="D94">
        <f>IF($A94="","",COUNTIFS('Таблиця 1'!$B:$B,$A94,'Таблиця 1'!$I:$I,"F-16"))</f>
        <v/>
      </c>
      <c r="E94">
        <f>IF($A94="","",COUNTIFS('Таблиця 1'!$B:$B,$A94,'Таблиця 1'!$I:$I,"МіГ-29"))</f>
        <v/>
      </c>
      <c r="F94">
        <f>IF($A94="","",COUNTIFS('Таблиця 1'!$B:$B,$A94,'Таблиця 1'!$I:$I,"Су-25"))</f>
        <v/>
      </c>
      <c r="G94">
        <f>IF($A94="","",COUNTIFS('Таблиця 1'!$B:$B,$A94,'Таблиця 1'!$I:$I,"Су-27"))</f>
        <v/>
      </c>
      <c r="H94">
        <f>IF($A94="","",SUMIFS('Таблиця 1'!$K:$K,'Таблиця 1'!$B:$B,$A94,'Таблиця 1'!$I:$I,"Mirage",'Таблиця 1'!$J:$J,"AGM-88")+SUMIFS('Таблиця 1'!$K:$K,'Таблиця 1'!$B:$B,$A94,'Таблиця 1'!$I:$I,"F-16",'Таблиця 1'!$J:$J,"AGM-88")+SUMIFS('Таблиця 1'!$K:$K,'Таблиця 1'!$B:$B,$A94,'Таблиця 1'!$I:$I,"МіГ-29",'Таблиця 1'!$J:$J,"AGM-88")+SUMIFS('Таблиця 1'!$K:$K,'Таблиця 1'!$B:$B,$A94,'Таблиця 1'!$I:$I,"Су-25",'Таблиця 1'!$J:$J,"AGM-88")+SUMIFS('Таблиця 1'!$K:$K,'Таблиця 1'!$B:$B,$A94,'Таблиця 1'!$I:$I,"Су-27",'Таблиця 1'!$J:$J,"AGM-88"))</f>
        <v/>
      </c>
      <c r="I94">
        <f>IF($A94="","",SUMIFS('Таблиця 1'!$K:$K,'Таблиця 1'!$B:$B,$A94,'Таблиця 1'!$I:$I,"Mirage",'Таблиця 1'!$J:$J,"AASM-250")+SUMIFS('Таблиця 1'!$K:$K,'Таблиця 1'!$B:$B,$A94,'Таблиця 1'!$I:$I,"F-16",'Таблиця 1'!$J:$J,"AASM-250")+SUMIFS('Таблиця 1'!$K:$K,'Таблиця 1'!$B:$B,$A94,'Таблиця 1'!$I:$I,"МіГ-29",'Таблиця 1'!$J:$J,"AASM-250")+SUMIFS('Таблиця 1'!$K:$K,'Таблиця 1'!$B:$B,$A94,'Таблиця 1'!$I:$I,"Су-25",'Таблиця 1'!$J:$J,"AASM-250")+SUMIFS('Таблиця 1'!$K:$K,'Таблиця 1'!$B:$B,$A94,'Таблиця 1'!$I:$I,"Су-27",'Таблиця 1'!$J:$J,"AASM-250"))</f>
        <v/>
      </c>
      <c r="J94">
        <f>IF($A94="","",SUMIFS('Таблиця 1'!$K:$K,'Таблиця 1'!$B:$B,$A94,'Таблиця 1'!$I:$I,"Mirage",'Таблиця 1'!$J:$J,"GBU-39")+SUMIFS('Таблиця 1'!$K:$K,'Таблиця 1'!$B:$B,$A94,'Таблиця 1'!$I:$I,"F-16",'Таблиця 1'!$J:$J,"GBU-39")+SUMIFS('Таблиця 1'!$K:$K,'Таблиця 1'!$B:$B,$A94,'Таблиця 1'!$I:$I,"МіГ-29",'Таблиця 1'!$J:$J,"GBU-39")+SUMIFS('Таблиця 1'!$K:$K,'Таблиця 1'!$B:$B,$A94,'Таблиця 1'!$I:$I,"Су-25",'Таблиця 1'!$J:$J,"GBU-39")+SUMIFS('Таблиця 1'!$K:$K,'Таблиця 1'!$B:$B,$A94,'Таблиця 1'!$I:$I,"Су-27",'Таблиця 1'!$J:$J,"GBU-39"))</f>
        <v/>
      </c>
      <c r="K94">
        <f>IF($A94="","",SUMIFS('Таблиця 1'!$K:$K,'Таблиця 1'!$B:$B,$A94,'Таблиця 1'!$I:$I,"Mirage",'Таблиця 1'!$J:$J,"BLU-140")+SUMIFS('Таблиця 1'!$K:$K,'Таблиця 1'!$B:$B,$A94,'Таблиця 1'!$I:$I,"F-16",'Таблиця 1'!$J:$J,"BLU-140")+SUMIFS('Таблиця 1'!$K:$K,'Таблиця 1'!$B:$B,$A94,'Таблиця 1'!$I:$I,"МіГ-29",'Таблиця 1'!$J:$J,"BLU-140")+SUMIFS('Таблиця 1'!$K:$K,'Таблиця 1'!$B:$B,$A94,'Таблиця 1'!$I:$I,"Су-25",'Таблиця 1'!$J:$J,"BLU-140")+SUMIFS('Таблиця 1'!$K:$K,'Таблиця 1'!$B:$B,$A94,'Таблиця 1'!$I:$I,"Су-27",'Таблиця 1'!$J:$J,"BLU-140"))</f>
        <v/>
      </c>
      <c r="L94">
        <f>IF($A94="","",SUMIFS('Таблиця 1'!$K:$K,'Таблиця 1'!$B:$B,$A94,'Таблиця 1'!$I:$I,"Mirage",'Таблиця 1'!$J:$J,"GBU-65")+SUMIFS('Таблиця 1'!$K:$K,'Таблиця 1'!$B:$B,$A94,'Таблиця 1'!$I:$I,"F-16",'Таблиця 1'!$J:$J,"GBU-65")+SUMIFS('Таблиця 1'!$K:$K,'Таблиця 1'!$B:$B,$A94,'Таблиця 1'!$I:$I,"МіГ-29",'Таблиця 1'!$J:$J,"GBU-65")+SUMIFS('Таблиця 1'!$K:$K,'Таблиця 1'!$B:$B,$A94,'Таблиця 1'!$I:$I,"Су-25",'Таблиця 1'!$J:$J,"GBU-65")+SUMIFS('Таблиця 1'!$K:$K,'Таблиця 1'!$B:$B,$A94,'Таблиця 1'!$I:$I,"Су-27",'Таблиця 1'!$J:$J,"GBU-65"))</f>
        <v/>
      </c>
      <c r="M94">
        <f>IF($A94="","",SUMIFS('Таблиця 1'!$K:$K,'Таблиця 1'!$B:$B,$A94,'Таблиця 1'!$I:$I,"Mirage",'Таблиця 1'!$J:$J,"GBU-62")+SUMIFS('Таблиця 1'!$K:$K,'Таблиця 1'!$B:$B,$A94,'Таблиця 1'!$I:$I,"F-16",'Таблиця 1'!$J:$J,"GBU-62")+SUMIFS('Таблиця 1'!$K:$K,'Таблиця 1'!$B:$B,$A94,'Таблиця 1'!$I:$I,"МіГ-29",'Таблиця 1'!$J:$J,"GBU-62")+SUMIFS('Таблиця 1'!$K:$K,'Таблиця 1'!$B:$B,$A94,'Таблиця 1'!$I:$I,"Су-25",'Таблиця 1'!$J:$J,"GBU-62")+SUMIFS('Таблиця 1'!$K:$K,'Таблиця 1'!$B:$B,$A94,'Таблиця 1'!$I:$I,"Су-27",'Таблиця 1'!$J:$J,"GBU-62"))</f>
        <v/>
      </c>
      <c r="N94">
        <f>IF($A94="","",SUMIFS('Таблиця 1'!$K:$K,'Таблиця 1'!$B:$B,$A94,'Таблиця 1'!$I:$I,"Mirage",'Таблиця 1'!$J:$J,"GBU-64")+SUMIFS('Таблиця 1'!$K:$K,'Таблиця 1'!$B:$B,$A94,'Таблиця 1'!$I:$I,"F-16",'Таблиця 1'!$J:$J,"GBU-64")+SUMIFS('Таблиця 1'!$K:$K,'Таблиця 1'!$B:$B,$A94,'Таблиця 1'!$I:$I,"МіГ-29",'Таблиця 1'!$J:$J,"GBU-64")+SUMIFS('Таблиця 1'!$K:$K,'Таблиця 1'!$B:$B,$A94,'Таблиця 1'!$I:$I,"Су-25",'Таблиця 1'!$J:$J,"GBU-64")+SUMIFS('Таблиця 1'!$K:$K,'Таблиця 1'!$B:$B,$A94,'Таблиця 1'!$I:$I,"Су-27",'Таблиця 1'!$J:$J,"GBU-64"))</f>
        <v/>
      </c>
      <c r="O94">
        <f>IF($A94="","",SUMIFS('Таблиця 1'!$K:$K,'Таблиця 1'!$B:$B,$A94,'Таблиця 1'!$I:$I,"Mirage",'Таблиця 1'!$J:$J,"C-13")+SUMIFS('Таблиця 1'!$K:$K,'Таблиця 1'!$B:$B,$A94,'Таблиця 1'!$I:$I,"F-16",'Таблиця 1'!$J:$J,"C-13")+SUMIFS('Таблиця 1'!$K:$K,'Таблиця 1'!$B:$B,$A94,'Таблиця 1'!$I:$I,"МіГ-29",'Таблиця 1'!$J:$J,"C-13")+SUMIFS('Таблиця 1'!$K:$K,'Таблиця 1'!$B:$B,$A94,'Таблиця 1'!$I:$I,"Су-25",'Таблиця 1'!$J:$J,"C-13")+SUMIFS('Таблиця 1'!$K:$K,'Таблиця 1'!$B:$B,$A94,'Таблиця 1'!$I:$I,"Су-27",'Таблиця 1'!$J:$J,"C-13"))</f>
        <v/>
      </c>
      <c r="P94">
        <f>IF($A94="","",SUMIFS('Таблиця 1'!$K:$K,'Таблиця 1'!$B:$B,$A94,'Таблиця 1'!$I:$I,"Mirage",'Таблиця 1'!$J:$J,"MK-32")+SUMIFS('Таблиця 1'!$K:$K,'Таблиця 1'!$B:$B,$A94,'Таблиця 1'!$I:$I,"F-16",'Таблиця 1'!$J:$J,"MK-32")+SUMIFS('Таблиця 1'!$K:$K,'Таблиця 1'!$B:$B,$A94,'Таблиця 1'!$I:$I,"МіГ-29",'Таблиця 1'!$J:$J,"MK-32")+SUMIFS('Таблиця 1'!$K:$K,'Таблиця 1'!$B:$B,$A94,'Таблиця 1'!$I:$I,"Су-25",'Таблиця 1'!$J:$J,"MK-32")+SUMIFS('Таблиця 1'!$K:$K,'Таблиця 1'!$B:$B,$A94,'Таблиця 1'!$I:$I,"Су-27",'Таблиця 1'!$J:$J,"MK-32"))</f>
        <v/>
      </c>
      <c r="Q94">
        <f>IF($A94="","",SUMIFS('Таблиця 1'!$K:$K,'Таблиця 1'!$B:$B,$A94,'Таблиця 1'!$I:$I,"Mirage",'Таблиця 1'!$J:$J,"MK-24")+SUMIFS('Таблиця 1'!$K:$K,'Таблиця 1'!$B:$B,$A94,'Таблиця 1'!$I:$I,"F-16",'Таблиця 1'!$J:$J,"MK-24")+SUMIFS('Таблиця 1'!$K:$K,'Таблиця 1'!$B:$B,$A94,'Таблиця 1'!$I:$I,"МіГ-29",'Таблиця 1'!$J:$J,"MK-24")+SUMIFS('Таблиця 1'!$K:$K,'Таблиця 1'!$B:$B,$A94,'Таблиця 1'!$I:$I,"Су-25",'Таблиця 1'!$J:$J,"MK-24")+SUMIFS('Таблиця 1'!$K:$K,'Таблиця 1'!$B:$B,$A94,'Таблиця 1'!$I:$I,"Су-27",'Таблиця 1'!$J:$J,"MK-24"))</f>
        <v/>
      </c>
      <c r="R94">
        <f>IF($A94="","",COUNTIFS('Таблиця 1'!$B:$B,$A94,'Таблиця 1'!$I:$I,"Mirage",'Таблиця 1'!$L:$L,"Уражено")+COUNTIFS('Таблиця 1'!$B:$B,$A94,'Таблиця 1'!$I:$I,"F-16",'Таблиця 1'!$L:$L,"Уражено")+COUNTIFS('Таблиця 1'!$B:$B,$A94,'Таблиця 1'!$I:$I,"МіГ-29",'Таблиця 1'!$L:$L,"Уражено")+COUNTIFS('Таблиця 1'!$B:$B,$A94,'Таблиця 1'!$I:$I,"Су-25",'Таблиця 1'!$L:$L,"Уражено")+COUNTIFS('Таблиця 1'!$B:$B,$A94,'Таблиця 1'!$I:$I,"Су-27",'Таблиця 1'!$L:$L,"Уражено"))</f>
        <v/>
      </c>
      <c r="S94">
        <f>IF($A94="","",COUNTIFS('Таблиця 1'!$B:$B,$A94,'Таблиця 1'!$I:$I,"Mirage",'Таблиця 1'!$L:$L,"НЕ уражено")+COUNTIFS('Таблиця 1'!$B:$B,$A94,'Таблиця 1'!$I:$I,"F-16",'Таблиця 1'!$L:$L,"НЕ уражено")+COUNTIFS('Таблиця 1'!$B:$B,$A94,'Таблиця 1'!$I:$I,"МіГ-29",'Таблиця 1'!$L:$L,"НЕ уражено")+COUNTIFS('Таблиця 1'!$B:$B,$A94,'Таблиця 1'!$I:$I,"Су-25",'Таблиця 1'!$L:$L,"НЕ уражено")+COUNTIFS('Таблиця 1'!$B:$B,$A94,'Таблиця 1'!$I:$I,"Су-27",'Таблиця 1'!$L:$L,"НЕ уражено"))</f>
        <v/>
      </c>
      <c r="T94">
        <f>IF($A94="","",COUNTIFS('Таблиця 1'!$B:$B,$A94,'Таблиця 1'!$I:$I,"Mirage",'Таблиця 1'!$L:$L,"Дорозвідується")+COUNTIFS('Таблиця 1'!$B:$B,$A94,'Таблиця 1'!$I:$I,"F-16",'Таблиця 1'!$L:$L,"Дорозвідується")+COUNTIFS('Таблиця 1'!$B:$B,$A94,'Таблиця 1'!$I:$I,"МіГ-29",'Таблиця 1'!$L:$L,"Дорозвідується")+COUNTIFS('Таблиця 1'!$B:$B,$A94,'Таблиця 1'!$I:$I,"Су-25",'Таблиця 1'!$L:$L,"Дорозвідується")+COUNTIFS('Таблиця 1'!$B:$B,$A94,'Таблиця 1'!$I:$I,"Су-27",'Таблиця 1'!$L:$L,"Дорозвідується"))</f>
        <v/>
      </c>
    </row>
    <row r="95">
      <c r="A95" s="273">
        <f>IF(A94="","",IF(A94+1&gt;MAX('Таблиця 1'!$B:$B),"",A94+1))</f>
        <v/>
      </c>
      <c r="B95">
        <f>IF($A95="","",COUNTIFS('Таблиця 1'!$B:$B,$A95,'Таблиця 1'!$I:$I,"Mirage")+COUNTIFS('Таблиця 1'!$B:$B,$A95,'Таблиця 1'!$I:$I,"F-16")+COUNTIFS('Таблиця 1'!$B:$B,$A95,'Таблиця 1'!$I:$I,"МіГ-29")+COUNTIFS('Таблиця 1'!$B:$B,$A95,'Таблиця 1'!$I:$I,"Су-25")+COUNTIFS('Таблиця 1'!$B:$B,$A95,'Таблиця 1'!$I:$I,"Су-27"))</f>
        <v/>
      </c>
      <c r="C95">
        <f>IF($A95="","",COUNTIFS('Таблиця 1'!$B:$B,$A95,'Таблиця 1'!$I:$I,"Mirage"))</f>
        <v/>
      </c>
      <c r="D95">
        <f>IF($A95="","",COUNTIFS('Таблиця 1'!$B:$B,$A95,'Таблиця 1'!$I:$I,"F-16"))</f>
        <v/>
      </c>
      <c r="E95">
        <f>IF($A95="","",COUNTIFS('Таблиця 1'!$B:$B,$A95,'Таблиця 1'!$I:$I,"МіГ-29"))</f>
        <v/>
      </c>
      <c r="F95">
        <f>IF($A95="","",COUNTIFS('Таблиця 1'!$B:$B,$A95,'Таблиця 1'!$I:$I,"Су-25"))</f>
        <v/>
      </c>
      <c r="G95">
        <f>IF($A95="","",COUNTIFS('Таблиця 1'!$B:$B,$A95,'Таблиця 1'!$I:$I,"Су-27"))</f>
        <v/>
      </c>
      <c r="H95">
        <f>IF($A95="","",SUMIFS('Таблиця 1'!$K:$K,'Таблиця 1'!$B:$B,$A95,'Таблиця 1'!$I:$I,"Mirage",'Таблиця 1'!$J:$J,"AGM-88")+SUMIFS('Таблиця 1'!$K:$K,'Таблиця 1'!$B:$B,$A95,'Таблиця 1'!$I:$I,"F-16",'Таблиця 1'!$J:$J,"AGM-88")+SUMIFS('Таблиця 1'!$K:$K,'Таблиця 1'!$B:$B,$A95,'Таблиця 1'!$I:$I,"МіГ-29",'Таблиця 1'!$J:$J,"AGM-88")+SUMIFS('Таблиця 1'!$K:$K,'Таблиця 1'!$B:$B,$A95,'Таблиця 1'!$I:$I,"Су-25",'Таблиця 1'!$J:$J,"AGM-88")+SUMIFS('Таблиця 1'!$K:$K,'Таблиця 1'!$B:$B,$A95,'Таблиця 1'!$I:$I,"Су-27",'Таблиця 1'!$J:$J,"AGM-88"))</f>
        <v/>
      </c>
      <c r="I95">
        <f>IF($A95="","",SUMIFS('Таблиця 1'!$K:$K,'Таблиця 1'!$B:$B,$A95,'Таблиця 1'!$I:$I,"Mirage",'Таблиця 1'!$J:$J,"AASM-250")+SUMIFS('Таблиця 1'!$K:$K,'Таблиця 1'!$B:$B,$A95,'Таблиця 1'!$I:$I,"F-16",'Таблиця 1'!$J:$J,"AASM-250")+SUMIFS('Таблиця 1'!$K:$K,'Таблиця 1'!$B:$B,$A95,'Таблиця 1'!$I:$I,"МіГ-29",'Таблиця 1'!$J:$J,"AASM-250")+SUMIFS('Таблиця 1'!$K:$K,'Таблиця 1'!$B:$B,$A95,'Таблиця 1'!$I:$I,"Су-25",'Таблиця 1'!$J:$J,"AASM-250")+SUMIFS('Таблиця 1'!$K:$K,'Таблиця 1'!$B:$B,$A95,'Таблиця 1'!$I:$I,"Су-27",'Таблиця 1'!$J:$J,"AASM-250"))</f>
        <v/>
      </c>
      <c r="J95">
        <f>IF($A95="","",SUMIFS('Таблиця 1'!$K:$K,'Таблиця 1'!$B:$B,$A95,'Таблиця 1'!$I:$I,"Mirage",'Таблиця 1'!$J:$J,"GBU-39")+SUMIFS('Таблиця 1'!$K:$K,'Таблиця 1'!$B:$B,$A95,'Таблиця 1'!$I:$I,"F-16",'Таблиця 1'!$J:$J,"GBU-39")+SUMIFS('Таблиця 1'!$K:$K,'Таблиця 1'!$B:$B,$A95,'Таблиця 1'!$I:$I,"МіГ-29",'Таблиця 1'!$J:$J,"GBU-39")+SUMIFS('Таблиця 1'!$K:$K,'Таблиця 1'!$B:$B,$A95,'Таблиця 1'!$I:$I,"Су-25",'Таблиця 1'!$J:$J,"GBU-39")+SUMIFS('Таблиця 1'!$K:$K,'Таблиця 1'!$B:$B,$A95,'Таблиця 1'!$I:$I,"Су-27",'Таблиця 1'!$J:$J,"GBU-39"))</f>
        <v/>
      </c>
      <c r="K95">
        <f>IF($A95="","",SUMIFS('Таблиця 1'!$K:$K,'Таблиця 1'!$B:$B,$A95,'Таблиця 1'!$I:$I,"Mirage",'Таблиця 1'!$J:$J,"BLU-140")+SUMIFS('Таблиця 1'!$K:$K,'Таблиця 1'!$B:$B,$A95,'Таблиця 1'!$I:$I,"F-16",'Таблиця 1'!$J:$J,"BLU-140")+SUMIFS('Таблиця 1'!$K:$K,'Таблиця 1'!$B:$B,$A95,'Таблиця 1'!$I:$I,"МіГ-29",'Таблиця 1'!$J:$J,"BLU-140")+SUMIFS('Таблиця 1'!$K:$K,'Таблиця 1'!$B:$B,$A95,'Таблиця 1'!$I:$I,"Су-25",'Таблиця 1'!$J:$J,"BLU-140")+SUMIFS('Таблиця 1'!$K:$K,'Таблиця 1'!$B:$B,$A95,'Таблиця 1'!$I:$I,"Су-27",'Таблиця 1'!$J:$J,"BLU-140"))</f>
        <v/>
      </c>
      <c r="L95">
        <f>IF($A95="","",SUMIFS('Таблиця 1'!$K:$K,'Таблиця 1'!$B:$B,$A95,'Таблиця 1'!$I:$I,"Mirage",'Таблиця 1'!$J:$J,"GBU-65")+SUMIFS('Таблиця 1'!$K:$K,'Таблиця 1'!$B:$B,$A95,'Таблиця 1'!$I:$I,"F-16",'Таблиця 1'!$J:$J,"GBU-65")+SUMIFS('Таблиця 1'!$K:$K,'Таблиця 1'!$B:$B,$A95,'Таблиця 1'!$I:$I,"МіГ-29",'Таблиця 1'!$J:$J,"GBU-65")+SUMIFS('Таблиця 1'!$K:$K,'Таблиця 1'!$B:$B,$A95,'Таблиця 1'!$I:$I,"Су-25",'Таблиця 1'!$J:$J,"GBU-65")+SUMIFS('Таблиця 1'!$K:$K,'Таблиця 1'!$B:$B,$A95,'Таблиця 1'!$I:$I,"Су-27",'Таблиця 1'!$J:$J,"GBU-65"))</f>
        <v/>
      </c>
      <c r="M95">
        <f>IF($A95="","",SUMIFS('Таблиця 1'!$K:$K,'Таблиця 1'!$B:$B,$A95,'Таблиця 1'!$I:$I,"Mirage",'Таблиця 1'!$J:$J,"GBU-62")+SUMIFS('Таблиця 1'!$K:$K,'Таблиця 1'!$B:$B,$A95,'Таблиця 1'!$I:$I,"F-16",'Таблиця 1'!$J:$J,"GBU-62")+SUMIFS('Таблиця 1'!$K:$K,'Таблиця 1'!$B:$B,$A95,'Таблиця 1'!$I:$I,"МіГ-29",'Таблиця 1'!$J:$J,"GBU-62")+SUMIFS('Таблиця 1'!$K:$K,'Таблиця 1'!$B:$B,$A95,'Таблиця 1'!$I:$I,"Су-25",'Таблиця 1'!$J:$J,"GBU-62")+SUMIFS('Таблиця 1'!$K:$K,'Таблиця 1'!$B:$B,$A95,'Таблиця 1'!$I:$I,"Су-27",'Таблиця 1'!$J:$J,"GBU-62"))</f>
        <v/>
      </c>
      <c r="N95">
        <f>IF($A95="","",SUMIFS('Таблиця 1'!$K:$K,'Таблиця 1'!$B:$B,$A95,'Таблиця 1'!$I:$I,"Mirage",'Таблиця 1'!$J:$J,"GBU-64")+SUMIFS('Таблиця 1'!$K:$K,'Таблиця 1'!$B:$B,$A95,'Таблиця 1'!$I:$I,"F-16",'Таблиця 1'!$J:$J,"GBU-64")+SUMIFS('Таблиця 1'!$K:$K,'Таблиця 1'!$B:$B,$A95,'Таблиця 1'!$I:$I,"МіГ-29",'Таблиця 1'!$J:$J,"GBU-64")+SUMIFS('Таблиця 1'!$K:$K,'Таблиця 1'!$B:$B,$A95,'Таблиця 1'!$I:$I,"Су-25",'Таблиця 1'!$J:$J,"GBU-64")+SUMIFS('Таблиця 1'!$K:$K,'Таблиця 1'!$B:$B,$A95,'Таблиця 1'!$I:$I,"Су-27",'Таблиця 1'!$J:$J,"GBU-64"))</f>
        <v/>
      </c>
      <c r="O95">
        <f>IF($A95="","",SUMIFS('Таблиця 1'!$K:$K,'Таблиця 1'!$B:$B,$A95,'Таблиця 1'!$I:$I,"Mirage",'Таблиця 1'!$J:$J,"C-13")+SUMIFS('Таблиця 1'!$K:$K,'Таблиця 1'!$B:$B,$A95,'Таблиця 1'!$I:$I,"F-16",'Таблиця 1'!$J:$J,"C-13")+SUMIFS('Таблиця 1'!$K:$K,'Таблиця 1'!$B:$B,$A95,'Таблиця 1'!$I:$I,"МіГ-29",'Таблиця 1'!$J:$J,"C-13")+SUMIFS('Таблиця 1'!$K:$K,'Таблиця 1'!$B:$B,$A95,'Таблиця 1'!$I:$I,"Су-25",'Таблиця 1'!$J:$J,"C-13")+SUMIFS('Таблиця 1'!$K:$K,'Таблиця 1'!$B:$B,$A95,'Таблиця 1'!$I:$I,"Су-27",'Таблиця 1'!$J:$J,"C-13"))</f>
        <v/>
      </c>
      <c r="P95">
        <f>IF($A95="","",SUMIFS('Таблиця 1'!$K:$K,'Таблиця 1'!$B:$B,$A95,'Таблиця 1'!$I:$I,"Mirage",'Таблиця 1'!$J:$J,"MK-32")+SUMIFS('Таблиця 1'!$K:$K,'Таблиця 1'!$B:$B,$A95,'Таблиця 1'!$I:$I,"F-16",'Таблиця 1'!$J:$J,"MK-32")+SUMIFS('Таблиця 1'!$K:$K,'Таблиця 1'!$B:$B,$A95,'Таблиця 1'!$I:$I,"МіГ-29",'Таблиця 1'!$J:$J,"MK-32")+SUMIFS('Таблиця 1'!$K:$K,'Таблиця 1'!$B:$B,$A95,'Таблиця 1'!$I:$I,"Су-25",'Таблиця 1'!$J:$J,"MK-32")+SUMIFS('Таблиця 1'!$K:$K,'Таблиця 1'!$B:$B,$A95,'Таблиця 1'!$I:$I,"Су-27",'Таблиця 1'!$J:$J,"MK-32"))</f>
        <v/>
      </c>
      <c r="Q95">
        <f>IF($A95="","",SUMIFS('Таблиця 1'!$K:$K,'Таблиця 1'!$B:$B,$A95,'Таблиця 1'!$I:$I,"Mirage",'Таблиця 1'!$J:$J,"MK-24")+SUMIFS('Таблиця 1'!$K:$K,'Таблиця 1'!$B:$B,$A95,'Таблиця 1'!$I:$I,"F-16",'Таблиця 1'!$J:$J,"MK-24")+SUMIFS('Таблиця 1'!$K:$K,'Таблиця 1'!$B:$B,$A95,'Таблиця 1'!$I:$I,"МіГ-29",'Таблиця 1'!$J:$J,"MK-24")+SUMIFS('Таблиця 1'!$K:$K,'Таблиця 1'!$B:$B,$A95,'Таблиця 1'!$I:$I,"Су-25",'Таблиця 1'!$J:$J,"MK-24")+SUMIFS('Таблиця 1'!$K:$K,'Таблиця 1'!$B:$B,$A95,'Таблиця 1'!$I:$I,"Су-27",'Таблиця 1'!$J:$J,"MK-24"))</f>
        <v/>
      </c>
      <c r="R95">
        <f>IF($A95="","",COUNTIFS('Таблиця 1'!$B:$B,$A95,'Таблиця 1'!$I:$I,"Mirage",'Таблиця 1'!$L:$L,"Уражено")+COUNTIFS('Таблиця 1'!$B:$B,$A95,'Таблиця 1'!$I:$I,"F-16",'Таблиця 1'!$L:$L,"Уражено")+COUNTIFS('Таблиця 1'!$B:$B,$A95,'Таблиця 1'!$I:$I,"МіГ-29",'Таблиця 1'!$L:$L,"Уражено")+COUNTIFS('Таблиця 1'!$B:$B,$A95,'Таблиця 1'!$I:$I,"Су-25",'Таблиця 1'!$L:$L,"Уражено")+COUNTIFS('Таблиця 1'!$B:$B,$A95,'Таблиця 1'!$I:$I,"Су-27",'Таблиця 1'!$L:$L,"Уражено"))</f>
        <v/>
      </c>
      <c r="S95">
        <f>IF($A95="","",COUNTIFS('Таблиця 1'!$B:$B,$A95,'Таблиця 1'!$I:$I,"Mirage",'Таблиця 1'!$L:$L,"НЕ уражено")+COUNTIFS('Таблиця 1'!$B:$B,$A95,'Таблиця 1'!$I:$I,"F-16",'Таблиця 1'!$L:$L,"НЕ уражено")+COUNTIFS('Таблиця 1'!$B:$B,$A95,'Таблиця 1'!$I:$I,"МіГ-29",'Таблиця 1'!$L:$L,"НЕ уражено")+COUNTIFS('Таблиця 1'!$B:$B,$A95,'Таблиця 1'!$I:$I,"Су-25",'Таблиця 1'!$L:$L,"НЕ уражено")+COUNTIFS('Таблиця 1'!$B:$B,$A95,'Таблиця 1'!$I:$I,"Су-27",'Таблиця 1'!$L:$L,"НЕ уражено"))</f>
        <v/>
      </c>
      <c r="T95">
        <f>IF($A95="","",COUNTIFS('Таблиця 1'!$B:$B,$A95,'Таблиця 1'!$I:$I,"Mirage",'Таблиця 1'!$L:$L,"Дорозвідується")+COUNTIFS('Таблиця 1'!$B:$B,$A95,'Таблиця 1'!$I:$I,"F-16",'Таблиця 1'!$L:$L,"Дорозвідується")+COUNTIFS('Таблиця 1'!$B:$B,$A95,'Таблиця 1'!$I:$I,"МіГ-29",'Таблиця 1'!$L:$L,"Дорозвідується")+COUNTIFS('Таблиця 1'!$B:$B,$A95,'Таблиця 1'!$I:$I,"Су-25",'Таблиця 1'!$L:$L,"Дорозвідується")+COUNTIFS('Таблиця 1'!$B:$B,$A95,'Таблиця 1'!$I:$I,"Су-27",'Таблиця 1'!$L:$L,"Дорозвідується"))</f>
        <v/>
      </c>
    </row>
    <row r="96">
      <c r="A96" s="273">
        <f>IF(A95="","",IF(A95+1&gt;MAX('Таблиця 1'!$B:$B),"",A95+1))</f>
        <v/>
      </c>
      <c r="B96">
        <f>IF($A96="","",COUNTIFS('Таблиця 1'!$B:$B,$A96,'Таблиця 1'!$I:$I,"Mirage")+COUNTIFS('Таблиця 1'!$B:$B,$A96,'Таблиця 1'!$I:$I,"F-16")+COUNTIFS('Таблиця 1'!$B:$B,$A96,'Таблиця 1'!$I:$I,"МіГ-29")+COUNTIFS('Таблиця 1'!$B:$B,$A96,'Таблиця 1'!$I:$I,"Су-25")+COUNTIFS('Таблиця 1'!$B:$B,$A96,'Таблиця 1'!$I:$I,"Су-27"))</f>
        <v/>
      </c>
      <c r="C96">
        <f>IF($A96="","",COUNTIFS('Таблиця 1'!$B:$B,$A96,'Таблиця 1'!$I:$I,"Mirage"))</f>
        <v/>
      </c>
      <c r="D96">
        <f>IF($A96="","",COUNTIFS('Таблиця 1'!$B:$B,$A96,'Таблиця 1'!$I:$I,"F-16"))</f>
        <v/>
      </c>
      <c r="E96">
        <f>IF($A96="","",COUNTIFS('Таблиця 1'!$B:$B,$A96,'Таблиця 1'!$I:$I,"МіГ-29"))</f>
        <v/>
      </c>
      <c r="F96">
        <f>IF($A96="","",COUNTIFS('Таблиця 1'!$B:$B,$A96,'Таблиця 1'!$I:$I,"Су-25"))</f>
        <v/>
      </c>
      <c r="G96">
        <f>IF($A96="","",COUNTIFS('Таблиця 1'!$B:$B,$A96,'Таблиця 1'!$I:$I,"Су-27"))</f>
        <v/>
      </c>
      <c r="H96">
        <f>IF($A96="","",SUMIFS('Таблиця 1'!$K:$K,'Таблиця 1'!$B:$B,$A96,'Таблиця 1'!$I:$I,"Mirage",'Таблиця 1'!$J:$J,"AGM-88")+SUMIFS('Таблиця 1'!$K:$K,'Таблиця 1'!$B:$B,$A96,'Таблиця 1'!$I:$I,"F-16",'Таблиця 1'!$J:$J,"AGM-88")+SUMIFS('Таблиця 1'!$K:$K,'Таблиця 1'!$B:$B,$A96,'Таблиця 1'!$I:$I,"МіГ-29",'Таблиця 1'!$J:$J,"AGM-88")+SUMIFS('Таблиця 1'!$K:$K,'Таблиця 1'!$B:$B,$A96,'Таблиця 1'!$I:$I,"Су-25",'Таблиця 1'!$J:$J,"AGM-88")+SUMIFS('Таблиця 1'!$K:$K,'Таблиця 1'!$B:$B,$A96,'Таблиця 1'!$I:$I,"Су-27",'Таблиця 1'!$J:$J,"AGM-88"))</f>
        <v/>
      </c>
      <c r="I96">
        <f>IF($A96="","",SUMIFS('Таблиця 1'!$K:$K,'Таблиця 1'!$B:$B,$A96,'Таблиця 1'!$I:$I,"Mirage",'Таблиця 1'!$J:$J,"AASM-250")+SUMIFS('Таблиця 1'!$K:$K,'Таблиця 1'!$B:$B,$A96,'Таблиця 1'!$I:$I,"F-16",'Таблиця 1'!$J:$J,"AASM-250")+SUMIFS('Таблиця 1'!$K:$K,'Таблиця 1'!$B:$B,$A96,'Таблиця 1'!$I:$I,"МіГ-29",'Таблиця 1'!$J:$J,"AASM-250")+SUMIFS('Таблиця 1'!$K:$K,'Таблиця 1'!$B:$B,$A96,'Таблиця 1'!$I:$I,"Су-25",'Таблиця 1'!$J:$J,"AASM-250")+SUMIFS('Таблиця 1'!$K:$K,'Таблиця 1'!$B:$B,$A96,'Таблиця 1'!$I:$I,"Су-27",'Таблиця 1'!$J:$J,"AASM-250"))</f>
        <v/>
      </c>
      <c r="J96">
        <f>IF($A96="","",SUMIFS('Таблиця 1'!$K:$K,'Таблиця 1'!$B:$B,$A96,'Таблиця 1'!$I:$I,"Mirage",'Таблиця 1'!$J:$J,"GBU-39")+SUMIFS('Таблиця 1'!$K:$K,'Таблиця 1'!$B:$B,$A96,'Таблиця 1'!$I:$I,"F-16",'Таблиця 1'!$J:$J,"GBU-39")+SUMIFS('Таблиця 1'!$K:$K,'Таблиця 1'!$B:$B,$A96,'Таблиця 1'!$I:$I,"МіГ-29",'Таблиця 1'!$J:$J,"GBU-39")+SUMIFS('Таблиця 1'!$K:$K,'Таблиця 1'!$B:$B,$A96,'Таблиця 1'!$I:$I,"Су-25",'Таблиця 1'!$J:$J,"GBU-39")+SUMIFS('Таблиця 1'!$K:$K,'Таблиця 1'!$B:$B,$A96,'Таблиця 1'!$I:$I,"Су-27",'Таблиця 1'!$J:$J,"GBU-39"))</f>
        <v/>
      </c>
      <c r="K96">
        <f>IF($A96="","",SUMIFS('Таблиця 1'!$K:$K,'Таблиця 1'!$B:$B,$A96,'Таблиця 1'!$I:$I,"Mirage",'Таблиця 1'!$J:$J,"BLU-140")+SUMIFS('Таблиця 1'!$K:$K,'Таблиця 1'!$B:$B,$A96,'Таблиця 1'!$I:$I,"F-16",'Таблиця 1'!$J:$J,"BLU-140")+SUMIFS('Таблиця 1'!$K:$K,'Таблиця 1'!$B:$B,$A96,'Таблиця 1'!$I:$I,"МіГ-29",'Таблиця 1'!$J:$J,"BLU-140")+SUMIFS('Таблиця 1'!$K:$K,'Таблиця 1'!$B:$B,$A96,'Таблиця 1'!$I:$I,"Су-25",'Таблиця 1'!$J:$J,"BLU-140")+SUMIFS('Таблиця 1'!$K:$K,'Таблиця 1'!$B:$B,$A96,'Таблиця 1'!$I:$I,"Су-27",'Таблиця 1'!$J:$J,"BLU-140"))</f>
        <v/>
      </c>
      <c r="L96">
        <f>IF($A96="","",SUMIFS('Таблиця 1'!$K:$K,'Таблиця 1'!$B:$B,$A96,'Таблиця 1'!$I:$I,"Mirage",'Таблиця 1'!$J:$J,"GBU-65")+SUMIFS('Таблиця 1'!$K:$K,'Таблиця 1'!$B:$B,$A96,'Таблиця 1'!$I:$I,"F-16",'Таблиця 1'!$J:$J,"GBU-65")+SUMIFS('Таблиця 1'!$K:$K,'Таблиця 1'!$B:$B,$A96,'Таблиця 1'!$I:$I,"МіГ-29",'Таблиця 1'!$J:$J,"GBU-65")+SUMIFS('Таблиця 1'!$K:$K,'Таблиця 1'!$B:$B,$A96,'Таблиця 1'!$I:$I,"Су-25",'Таблиця 1'!$J:$J,"GBU-65")+SUMIFS('Таблиця 1'!$K:$K,'Таблиця 1'!$B:$B,$A96,'Таблиця 1'!$I:$I,"Су-27",'Таблиця 1'!$J:$J,"GBU-65"))</f>
        <v/>
      </c>
      <c r="M96">
        <f>IF($A96="","",SUMIFS('Таблиця 1'!$K:$K,'Таблиця 1'!$B:$B,$A96,'Таблиця 1'!$I:$I,"Mirage",'Таблиця 1'!$J:$J,"GBU-62")+SUMIFS('Таблиця 1'!$K:$K,'Таблиця 1'!$B:$B,$A96,'Таблиця 1'!$I:$I,"F-16",'Таблиця 1'!$J:$J,"GBU-62")+SUMIFS('Таблиця 1'!$K:$K,'Таблиця 1'!$B:$B,$A96,'Таблиця 1'!$I:$I,"МіГ-29",'Таблиця 1'!$J:$J,"GBU-62")+SUMIFS('Таблиця 1'!$K:$K,'Таблиця 1'!$B:$B,$A96,'Таблиця 1'!$I:$I,"Су-25",'Таблиця 1'!$J:$J,"GBU-62")+SUMIFS('Таблиця 1'!$K:$K,'Таблиця 1'!$B:$B,$A96,'Таблиця 1'!$I:$I,"Су-27",'Таблиця 1'!$J:$J,"GBU-62"))</f>
        <v/>
      </c>
      <c r="N96">
        <f>IF($A96="","",SUMIFS('Таблиця 1'!$K:$K,'Таблиця 1'!$B:$B,$A96,'Таблиця 1'!$I:$I,"Mirage",'Таблиця 1'!$J:$J,"GBU-64")+SUMIFS('Таблиця 1'!$K:$K,'Таблиця 1'!$B:$B,$A96,'Таблиця 1'!$I:$I,"F-16",'Таблиця 1'!$J:$J,"GBU-64")+SUMIFS('Таблиця 1'!$K:$K,'Таблиця 1'!$B:$B,$A96,'Таблиця 1'!$I:$I,"МіГ-29",'Таблиця 1'!$J:$J,"GBU-64")+SUMIFS('Таблиця 1'!$K:$K,'Таблиця 1'!$B:$B,$A96,'Таблиця 1'!$I:$I,"Су-25",'Таблиця 1'!$J:$J,"GBU-64")+SUMIFS('Таблиця 1'!$K:$K,'Таблиця 1'!$B:$B,$A96,'Таблиця 1'!$I:$I,"Су-27",'Таблиця 1'!$J:$J,"GBU-64"))</f>
        <v/>
      </c>
      <c r="O96">
        <f>IF($A96="","",SUMIFS('Таблиця 1'!$K:$K,'Таблиця 1'!$B:$B,$A96,'Таблиця 1'!$I:$I,"Mirage",'Таблиця 1'!$J:$J,"C-13")+SUMIFS('Таблиця 1'!$K:$K,'Таблиця 1'!$B:$B,$A96,'Таблиця 1'!$I:$I,"F-16",'Таблиця 1'!$J:$J,"C-13")+SUMIFS('Таблиця 1'!$K:$K,'Таблиця 1'!$B:$B,$A96,'Таблиця 1'!$I:$I,"МіГ-29",'Таблиця 1'!$J:$J,"C-13")+SUMIFS('Таблиця 1'!$K:$K,'Таблиця 1'!$B:$B,$A96,'Таблиця 1'!$I:$I,"Су-25",'Таблиця 1'!$J:$J,"C-13")+SUMIFS('Таблиця 1'!$K:$K,'Таблиця 1'!$B:$B,$A96,'Таблиця 1'!$I:$I,"Су-27",'Таблиця 1'!$J:$J,"C-13"))</f>
        <v/>
      </c>
      <c r="P96">
        <f>IF($A96="","",SUMIFS('Таблиця 1'!$K:$K,'Таблиця 1'!$B:$B,$A96,'Таблиця 1'!$I:$I,"Mirage",'Таблиця 1'!$J:$J,"MK-32")+SUMIFS('Таблиця 1'!$K:$K,'Таблиця 1'!$B:$B,$A96,'Таблиця 1'!$I:$I,"F-16",'Таблиця 1'!$J:$J,"MK-32")+SUMIFS('Таблиця 1'!$K:$K,'Таблиця 1'!$B:$B,$A96,'Таблиця 1'!$I:$I,"МіГ-29",'Таблиця 1'!$J:$J,"MK-32")+SUMIFS('Таблиця 1'!$K:$K,'Таблиця 1'!$B:$B,$A96,'Таблиця 1'!$I:$I,"Су-25",'Таблиця 1'!$J:$J,"MK-32")+SUMIFS('Таблиця 1'!$K:$K,'Таблиця 1'!$B:$B,$A96,'Таблиця 1'!$I:$I,"Су-27",'Таблиця 1'!$J:$J,"MK-32"))</f>
        <v/>
      </c>
      <c r="Q96">
        <f>IF($A96="","",SUMIFS('Таблиця 1'!$K:$K,'Таблиця 1'!$B:$B,$A96,'Таблиця 1'!$I:$I,"Mirage",'Таблиця 1'!$J:$J,"MK-24")+SUMIFS('Таблиця 1'!$K:$K,'Таблиця 1'!$B:$B,$A96,'Таблиця 1'!$I:$I,"F-16",'Таблиця 1'!$J:$J,"MK-24")+SUMIFS('Таблиця 1'!$K:$K,'Таблиця 1'!$B:$B,$A96,'Таблиця 1'!$I:$I,"МіГ-29",'Таблиця 1'!$J:$J,"MK-24")+SUMIFS('Таблиця 1'!$K:$K,'Таблиця 1'!$B:$B,$A96,'Таблиця 1'!$I:$I,"Су-25",'Таблиця 1'!$J:$J,"MK-24")+SUMIFS('Таблиця 1'!$K:$K,'Таблиця 1'!$B:$B,$A96,'Таблиця 1'!$I:$I,"Су-27",'Таблиця 1'!$J:$J,"MK-24"))</f>
        <v/>
      </c>
      <c r="R96">
        <f>IF($A96="","",COUNTIFS('Таблиця 1'!$B:$B,$A96,'Таблиця 1'!$I:$I,"Mirage",'Таблиця 1'!$L:$L,"Уражено")+COUNTIFS('Таблиця 1'!$B:$B,$A96,'Таблиця 1'!$I:$I,"F-16",'Таблиця 1'!$L:$L,"Уражено")+COUNTIFS('Таблиця 1'!$B:$B,$A96,'Таблиця 1'!$I:$I,"МіГ-29",'Таблиця 1'!$L:$L,"Уражено")+COUNTIFS('Таблиця 1'!$B:$B,$A96,'Таблиця 1'!$I:$I,"Су-25",'Таблиця 1'!$L:$L,"Уражено")+COUNTIFS('Таблиця 1'!$B:$B,$A96,'Таблиця 1'!$I:$I,"Су-27",'Таблиця 1'!$L:$L,"Уражено"))</f>
        <v/>
      </c>
      <c r="S96">
        <f>IF($A96="","",COUNTIFS('Таблиця 1'!$B:$B,$A96,'Таблиця 1'!$I:$I,"Mirage",'Таблиця 1'!$L:$L,"НЕ уражено")+COUNTIFS('Таблиця 1'!$B:$B,$A96,'Таблиця 1'!$I:$I,"F-16",'Таблиця 1'!$L:$L,"НЕ уражено")+COUNTIFS('Таблиця 1'!$B:$B,$A96,'Таблиця 1'!$I:$I,"МіГ-29",'Таблиця 1'!$L:$L,"НЕ уражено")+COUNTIFS('Таблиця 1'!$B:$B,$A96,'Таблиця 1'!$I:$I,"Су-25",'Таблиця 1'!$L:$L,"НЕ уражено")+COUNTIFS('Таблиця 1'!$B:$B,$A96,'Таблиця 1'!$I:$I,"Су-27",'Таблиця 1'!$L:$L,"НЕ уражено"))</f>
        <v/>
      </c>
      <c r="T96">
        <f>IF($A96="","",COUNTIFS('Таблиця 1'!$B:$B,$A96,'Таблиця 1'!$I:$I,"Mirage",'Таблиця 1'!$L:$L,"Дорозвідується")+COUNTIFS('Таблиця 1'!$B:$B,$A96,'Таблиця 1'!$I:$I,"F-16",'Таблиця 1'!$L:$L,"Дорозвідується")+COUNTIFS('Таблиця 1'!$B:$B,$A96,'Таблиця 1'!$I:$I,"МіГ-29",'Таблиця 1'!$L:$L,"Дорозвідується")+COUNTIFS('Таблиця 1'!$B:$B,$A96,'Таблиця 1'!$I:$I,"Су-25",'Таблиця 1'!$L:$L,"Дорозвідується")+COUNTIFS('Таблиця 1'!$B:$B,$A96,'Таблиця 1'!$I:$I,"Су-27",'Таблиця 1'!$L:$L,"Дорозвідується"))</f>
        <v/>
      </c>
    </row>
    <row r="97">
      <c r="A97" s="273">
        <f>IF(A96="","",IF(A96+1&gt;MAX('Таблиця 1'!$B:$B),"",A96+1))</f>
        <v/>
      </c>
      <c r="B97">
        <f>IF($A97="","",COUNTIFS('Таблиця 1'!$B:$B,$A97,'Таблиця 1'!$I:$I,"Mirage")+COUNTIFS('Таблиця 1'!$B:$B,$A97,'Таблиця 1'!$I:$I,"F-16")+COUNTIFS('Таблиця 1'!$B:$B,$A97,'Таблиця 1'!$I:$I,"МіГ-29")+COUNTIFS('Таблиця 1'!$B:$B,$A97,'Таблиця 1'!$I:$I,"Су-25")+COUNTIFS('Таблиця 1'!$B:$B,$A97,'Таблиця 1'!$I:$I,"Су-27"))</f>
        <v/>
      </c>
      <c r="C97">
        <f>IF($A97="","",COUNTIFS('Таблиця 1'!$B:$B,$A97,'Таблиця 1'!$I:$I,"Mirage"))</f>
        <v/>
      </c>
      <c r="D97">
        <f>IF($A97="","",COUNTIFS('Таблиця 1'!$B:$B,$A97,'Таблиця 1'!$I:$I,"F-16"))</f>
        <v/>
      </c>
      <c r="E97">
        <f>IF($A97="","",COUNTIFS('Таблиця 1'!$B:$B,$A97,'Таблиця 1'!$I:$I,"МіГ-29"))</f>
        <v/>
      </c>
      <c r="F97">
        <f>IF($A97="","",COUNTIFS('Таблиця 1'!$B:$B,$A97,'Таблиця 1'!$I:$I,"Су-25"))</f>
        <v/>
      </c>
      <c r="G97">
        <f>IF($A97="","",COUNTIFS('Таблиця 1'!$B:$B,$A97,'Таблиця 1'!$I:$I,"Су-27"))</f>
        <v/>
      </c>
      <c r="H97">
        <f>IF($A97="","",SUMIFS('Таблиця 1'!$K:$K,'Таблиця 1'!$B:$B,$A97,'Таблиця 1'!$I:$I,"Mirage",'Таблиця 1'!$J:$J,"AGM-88")+SUMIFS('Таблиця 1'!$K:$K,'Таблиця 1'!$B:$B,$A97,'Таблиця 1'!$I:$I,"F-16",'Таблиця 1'!$J:$J,"AGM-88")+SUMIFS('Таблиця 1'!$K:$K,'Таблиця 1'!$B:$B,$A97,'Таблиця 1'!$I:$I,"МіГ-29",'Таблиця 1'!$J:$J,"AGM-88")+SUMIFS('Таблиця 1'!$K:$K,'Таблиця 1'!$B:$B,$A97,'Таблиця 1'!$I:$I,"Су-25",'Таблиця 1'!$J:$J,"AGM-88")+SUMIFS('Таблиця 1'!$K:$K,'Таблиця 1'!$B:$B,$A97,'Таблиця 1'!$I:$I,"Су-27",'Таблиця 1'!$J:$J,"AGM-88"))</f>
        <v/>
      </c>
      <c r="I97">
        <f>IF($A97="","",SUMIFS('Таблиця 1'!$K:$K,'Таблиця 1'!$B:$B,$A97,'Таблиця 1'!$I:$I,"Mirage",'Таблиця 1'!$J:$J,"AASM-250")+SUMIFS('Таблиця 1'!$K:$K,'Таблиця 1'!$B:$B,$A97,'Таблиця 1'!$I:$I,"F-16",'Таблиця 1'!$J:$J,"AASM-250")+SUMIFS('Таблиця 1'!$K:$K,'Таблиця 1'!$B:$B,$A97,'Таблиця 1'!$I:$I,"МіГ-29",'Таблиця 1'!$J:$J,"AASM-250")+SUMIFS('Таблиця 1'!$K:$K,'Таблиця 1'!$B:$B,$A97,'Таблиця 1'!$I:$I,"Су-25",'Таблиця 1'!$J:$J,"AASM-250")+SUMIFS('Таблиця 1'!$K:$K,'Таблиця 1'!$B:$B,$A97,'Таблиця 1'!$I:$I,"Су-27",'Таблиця 1'!$J:$J,"AASM-250"))</f>
        <v/>
      </c>
      <c r="J97">
        <f>IF($A97="","",SUMIFS('Таблиця 1'!$K:$K,'Таблиця 1'!$B:$B,$A97,'Таблиця 1'!$I:$I,"Mirage",'Таблиця 1'!$J:$J,"GBU-39")+SUMIFS('Таблиця 1'!$K:$K,'Таблиця 1'!$B:$B,$A97,'Таблиця 1'!$I:$I,"F-16",'Таблиця 1'!$J:$J,"GBU-39")+SUMIFS('Таблиця 1'!$K:$K,'Таблиця 1'!$B:$B,$A97,'Таблиця 1'!$I:$I,"МіГ-29",'Таблиця 1'!$J:$J,"GBU-39")+SUMIFS('Таблиця 1'!$K:$K,'Таблиця 1'!$B:$B,$A97,'Таблиця 1'!$I:$I,"Су-25",'Таблиця 1'!$J:$J,"GBU-39")+SUMIFS('Таблиця 1'!$K:$K,'Таблиця 1'!$B:$B,$A97,'Таблиця 1'!$I:$I,"Су-27",'Таблиця 1'!$J:$J,"GBU-39"))</f>
        <v/>
      </c>
      <c r="K97">
        <f>IF($A97="","",SUMIFS('Таблиця 1'!$K:$K,'Таблиця 1'!$B:$B,$A97,'Таблиця 1'!$I:$I,"Mirage",'Таблиця 1'!$J:$J,"BLU-140")+SUMIFS('Таблиця 1'!$K:$K,'Таблиця 1'!$B:$B,$A97,'Таблиця 1'!$I:$I,"F-16",'Таблиця 1'!$J:$J,"BLU-140")+SUMIFS('Таблиця 1'!$K:$K,'Таблиця 1'!$B:$B,$A97,'Таблиця 1'!$I:$I,"МіГ-29",'Таблиця 1'!$J:$J,"BLU-140")+SUMIFS('Таблиця 1'!$K:$K,'Таблиця 1'!$B:$B,$A97,'Таблиця 1'!$I:$I,"Су-25",'Таблиця 1'!$J:$J,"BLU-140")+SUMIFS('Таблиця 1'!$K:$K,'Таблиця 1'!$B:$B,$A97,'Таблиця 1'!$I:$I,"Су-27",'Таблиця 1'!$J:$J,"BLU-140"))</f>
        <v/>
      </c>
      <c r="L97">
        <f>IF($A97="","",SUMIFS('Таблиця 1'!$K:$K,'Таблиця 1'!$B:$B,$A97,'Таблиця 1'!$I:$I,"Mirage",'Таблиця 1'!$J:$J,"GBU-65")+SUMIFS('Таблиця 1'!$K:$K,'Таблиця 1'!$B:$B,$A97,'Таблиця 1'!$I:$I,"F-16",'Таблиця 1'!$J:$J,"GBU-65")+SUMIFS('Таблиця 1'!$K:$K,'Таблиця 1'!$B:$B,$A97,'Таблиця 1'!$I:$I,"МіГ-29",'Таблиця 1'!$J:$J,"GBU-65")+SUMIFS('Таблиця 1'!$K:$K,'Таблиця 1'!$B:$B,$A97,'Таблиця 1'!$I:$I,"Су-25",'Таблиця 1'!$J:$J,"GBU-65")+SUMIFS('Таблиця 1'!$K:$K,'Таблиця 1'!$B:$B,$A97,'Таблиця 1'!$I:$I,"Су-27",'Таблиця 1'!$J:$J,"GBU-65"))</f>
        <v/>
      </c>
      <c r="M97">
        <f>IF($A97="","",SUMIFS('Таблиця 1'!$K:$K,'Таблиця 1'!$B:$B,$A97,'Таблиця 1'!$I:$I,"Mirage",'Таблиця 1'!$J:$J,"GBU-62")+SUMIFS('Таблиця 1'!$K:$K,'Таблиця 1'!$B:$B,$A97,'Таблиця 1'!$I:$I,"F-16",'Таблиця 1'!$J:$J,"GBU-62")+SUMIFS('Таблиця 1'!$K:$K,'Таблиця 1'!$B:$B,$A97,'Таблиця 1'!$I:$I,"МіГ-29",'Таблиця 1'!$J:$J,"GBU-62")+SUMIFS('Таблиця 1'!$K:$K,'Таблиця 1'!$B:$B,$A97,'Таблиця 1'!$I:$I,"Су-25",'Таблиця 1'!$J:$J,"GBU-62")+SUMIFS('Таблиця 1'!$K:$K,'Таблиця 1'!$B:$B,$A97,'Таблиця 1'!$I:$I,"Су-27",'Таблиця 1'!$J:$J,"GBU-62"))</f>
        <v/>
      </c>
      <c r="N97">
        <f>IF($A97="","",SUMIFS('Таблиця 1'!$K:$K,'Таблиця 1'!$B:$B,$A97,'Таблиця 1'!$I:$I,"Mirage",'Таблиця 1'!$J:$J,"GBU-64")+SUMIFS('Таблиця 1'!$K:$K,'Таблиця 1'!$B:$B,$A97,'Таблиця 1'!$I:$I,"F-16",'Таблиця 1'!$J:$J,"GBU-64")+SUMIFS('Таблиця 1'!$K:$K,'Таблиця 1'!$B:$B,$A97,'Таблиця 1'!$I:$I,"МіГ-29",'Таблиця 1'!$J:$J,"GBU-64")+SUMIFS('Таблиця 1'!$K:$K,'Таблиця 1'!$B:$B,$A97,'Таблиця 1'!$I:$I,"Су-25",'Таблиця 1'!$J:$J,"GBU-64")+SUMIFS('Таблиця 1'!$K:$K,'Таблиця 1'!$B:$B,$A97,'Таблиця 1'!$I:$I,"Су-27",'Таблиця 1'!$J:$J,"GBU-64"))</f>
        <v/>
      </c>
      <c r="O97">
        <f>IF($A97="","",SUMIFS('Таблиця 1'!$K:$K,'Таблиця 1'!$B:$B,$A97,'Таблиця 1'!$I:$I,"Mirage",'Таблиця 1'!$J:$J,"C-13")+SUMIFS('Таблиця 1'!$K:$K,'Таблиця 1'!$B:$B,$A97,'Таблиця 1'!$I:$I,"F-16",'Таблиця 1'!$J:$J,"C-13")+SUMIFS('Таблиця 1'!$K:$K,'Таблиця 1'!$B:$B,$A97,'Таблиця 1'!$I:$I,"МіГ-29",'Таблиця 1'!$J:$J,"C-13")+SUMIFS('Таблиця 1'!$K:$K,'Таблиця 1'!$B:$B,$A97,'Таблиця 1'!$I:$I,"Су-25",'Таблиця 1'!$J:$J,"C-13")+SUMIFS('Таблиця 1'!$K:$K,'Таблиця 1'!$B:$B,$A97,'Таблиця 1'!$I:$I,"Су-27",'Таблиця 1'!$J:$J,"C-13"))</f>
        <v/>
      </c>
      <c r="P97">
        <f>IF($A97="","",SUMIFS('Таблиця 1'!$K:$K,'Таблиця 1'!$B:$B,$A97,'Таблиця 1'!$I:$I,"Mirage",'Таблиця 1'!$J:$J,"MK-32")+SUMIFS('Таблиця 1'!$K:$K,'Таблиця 1'!$B:$B,$A97,'Таблиця 1'!$I:$I,"F-16",'Таблиця 1'!$J:$J,"MK-32")+SUMIFS('Таблиця 1'!$K:$K,'Таблиця 1'!$B:$B,$A97,'Таблиця 1'!$I:$I,"МіГ-29",'Таблиця 1'!$J:$J,"MK-32")+SUMIFS('Таблиця 1'!$K:$K,'Таблиця 1'!$B:$B,$A97,'Таблиця 1'!$I:$I,"Су-25",'Таблиця 1'!$J:$J,"MK-32")+SUMIFS('Таблиця 1'!$K:$K,'Таблиця 1'!$B:$B,$A97,'Таблиця 1'!$I:$I,"Су-27",'Таблиця 1'!$J:$J,"MK-32"))</f>
        <v/>
      </c>
      <c r="Q97">
        <f>IF($A97="","",SUMIFS('Таблиця 1'!$K:$K,'Таблиця 1'!$B:$B,$A97,'Таблиця 1'!$I:$I,"Mirage",'Таблиця 1'!$J:$J,"MK-24")+SUMIFS('Таблиця 1'!$K:$K,'Таблиця 1'!$B:$B,$A97,'Таблиця 1'!$I:$I,"F-16",'Таблиця 1'!$J:$J,"MK-24")+SUMIFS('Таблиця 1'!$K:$K,'Таблиця 1'!$B:$B,$A97,'Таблиця 1'!$I:$I,"МіГ-29",'Таблиця 1'!$J:$J,"MK-24")+SUMIFS('Таблиця 1'!$K:$K,'Таблиця 1'!$B:$B,$A97,'Таблиця 1'!$I:$I,"Су-25",'Таблиця 1'!$J:$J,"MK-24")+SUMIFS('Таблиця 1'!$K:$K,'Таблиця 1'!$B:$B,$A97,'Таблиця 1'!$I:$I,"Су-27",'Таблиця 1'!$J:$J,"MK-24"))</f>
        <v/>
      </c>
      <c r="R97">
        <f>IF($A97="","",COUNTIFS('Таблиця 1'!$B:$B,$A97,'Таблиця 1'!$I:$I,"Mirage",'Таблиця 1'!$L:$L,"Уражено")+COUNTIFS('Таблиця 1'!$B:$B,$A97,'Таблиця 1'!$I:$I,"F-16",'Таблиця 1'!$L:$L,"Уражено")+COUNTIFS('Таблиця 1'!$B:$B,$A97,'Таблиця 1'!$I:$I,"МіГ-29",'Таблиця 1'!$L:$L,"Уражено")+COUNTIFS('Таблиця 1'!$B:$B,$A97,'Таблиця 1'!$I:$I,"Су-25",'Таблиця 1'!$L:$L,"Уражено")+COUNTIFS('Таблиця 1'!$B:$B,$A97,'Таблиця 1'!$I:$I,"Су-27",'Таблиця 1'!$L:$L,"Уражено"))</f>
        <v/>
      </c>
      <c r="S97">
        <f>IF($A97="","",COUNTIFS('Таблиця 1'!$B:$B,$A97,'Таблиця 1'!$I:$I,"Mirage",'Таблиця 1'!$L:$L,"НЕ уражено")+COUNTIFS('Таблиця 1'!$B:$B,$A97,'Таблиця 1'!$I:$I,"F-16",'Таблиця 1'!$L:$L,"НЕ уражено")+COUNTIFS('Таблиця 1'!$B:$B,$A97,'Таблиця 1'!$I:$I,"МіГ-29",'Таблиця 1'!$L:$L,"НЕ уражено")+COUNTIFS('Таблиця 1'!$B:$B,$A97,'Таблиця 1'!$I:$I,"Су-25",'Таблиця 1'!$L:$L,"НЕ уражено")+COUNTIFS('Таблиця 1'!$B:$B,$A97,'Таблиця 1'!$I:$I,"Су-27",'Таблиця 1'!$L:$L,"НЕ уражено"))</f>
        <v/>
      </c>
      <c r="T97">
        <f>IF($A97="","",COUNTIFS('Таблиця 1'!$B:$B,$A97,'Таблиця 1'!$I:$I,"Mirage",'Таблиця 1'!$L:$L,"Дорозвідується")+COUNTIFS('Таблиця 1'!$B:$B,$A97,'Таблиця 1'!$I:$I,"F-16",'Таблиця 1'!$L:$L,"Дорозвідується")+COUNTIFS('Таблиця 1'!$B:$B,$A97,'Таблиця 1'!$I:$I,"МіГ-29",'Таблиця 1'!$L:$L,"Дорозвідується")+COUNTIFS('Таблиця 1'!$B:$B,$A97,'Таблиця 1'!$I:$I,"Су-25",'Таблиця 1'!$L:$L,"Дорозвідується")+COUNTIFS('Таблиця 1'!$B:$B,$A97,'Таблиця 1'!$I:$I,"Су-27",'Таблиця 1'!$L:$L,"Дорозвідується"))</f>
        <v/>
      </c>
    </row>
    <row r="98">
      <c r="A98" s="273">
        <f>IF(A97="","",IF(A97+1&gt;MAX('Таблиця 1'!$B:$B),"",A97+1))</f>
        <v/>
      </c>
      <c r="B98">
        <f>IF($A98="","",COUNTIFS('Таблиця 1'!$B:$B,$A98,'Таблиця 1'!$I:$I,"Mirage")+COUNTIFS('Таблиця 1'!$B:$B,$A98,'Таблиця 1'!$I:$I,"F-16")+COUNTIFS('Таблиця 1'!$B:$B,$A98,'Таблиця 1'!$I:$I,"МіГ-29")+COUNTIFS('Таблиця 1'!$B:$B,$A98,'Таблиця 1'!$I:$I,"Су-25")+COUNTIFS('Таблиця 1'!$B:$B,$A98,'Таблиця 1'!$I:$I,"Су-27"))</f>
        <v/>
      </c>
      <c r="C98">
        <f>IF($A98="","",COUNTIFS('Таблиця 1'!$B:$B,$A98,'Таблиця 1'!$I:$I,"Mirage"))</f>
        <v/>
      </c>
      <c r="D98">
        <f>IF($A98="","",COUNTIFS('Таблиця 1'!$B:$B,$A98,'Таблиця 1'!$I:$I,"F-16"))</f>
        <v/>
      </c>
      <c r="E98">
        <f>IF($A98="","",COUNTIFS('Таблиця 1'!$B:$B,$A98,'Таблиця 1'!$I:$I,"МіГ-29"))</f>
        <v/>
      </c>
      <c r="F98">
        <f>IF($A98="","",COUNTIFS('Таблиця 1'!$B:$B,$A98,'Таблиця 1'!$I:$I,"Су-25"))</f>
        <v/>
      </c>
      <c r="G98">
        <f>IF($A98="","",COUNTIFS('Таблиця 1'!$B:$B,$A98,'Таблиця 1'!$I:$I,"Су-27"))</f>
        <v/>
      </c>
      <c r="H98">
        <f>IF($A98="","",SUMIFS('Таблиця 1'!$K:$K,'Таблиця 1'!$B:$B,$A98,'Таблиця 1'!$I:$I,"Mirage",'Таблиця 1'!$J:$J,"AGM-88")+SUMIFS('Таблиця 1'!$K:$K,'Таблиця 1'!$B:$B,$A98,'Таблиця 1'!$I:$I,"F-16",'Таблиця 1'!$J:$J,"AGM-88")+SUMIFS('Таблиця 1'!$K:$K,'Таблиця 1'!$B:$B,$A98,'Таблиця 1'!$I:$I,"МіГ-29",'Таблиця 1'!$J:$J,"AGM-88")+SUMIFS('Таблиця 1'!$K:$K,'Таблиця 1'!$B:$B,$A98,'Таблиця 1'!$I:$I,"Су-25",'Таблиця 1'!$J:$J,"AGM-88")+SUMIFS('Таблиця 1'!$K:$K,'Таблиця 1'!$B:$B,$A98,'Таблиця 1'!$I:$I,"Су-27",'Таблиця 1'!$J:$J,"AGM-88"))</f>
        <v/>
      </c>
      <c r="I98">
        <f>IF($A98="","",SUMIFS('Таблиця 1'!$K:$K,'Таблиця 1'!$B:$B,$A98,'Таблиця 1'!$I:$I,"Mirage",'Таблиця 1'!$J:$J,"AASM-250")+SUMIFS('Таблиця 1'!$K:$K,'Таблиця 1'!$B:$B,$A98,'Таблиця 1'!$I:$I,"F-16",'Таблиця 1'!$J:$J,"AASM-250")+SUMIFS('Таблиця 1'!$K:$K,'Таблиця 1'!$B:$B,$A98,'Таблиця 1'!$I:$I,"МіГ-29",'Таблиця 1'!$J:$J,"AASM-250")+SUMIFS('Таблиця 1'!$K:$K,'Таблиця 1'!$B:$B,$A98,'Таблиця 1'!$I:$I,"Су-25",'Таблиця 1'!$J:$J,"AASM-250")+SUMIFS('Таблиця 1'!$K:$K,'Таблиця 1'!$B:$B,$A98,'Таблиця 1'!$I:$I,"Су-27",'Таблиця 1'!$J:$J,"AASM-250"))</f>
        <v/>
      </c>
      <c r="J98">
        <f>IF($A98="","",SUMIFS('Таблиця 1'!$K:$K,'Таблиця 1'!$B:$B,$A98,'Таблиця 1'!$I:$I,"Mirage",'Таблиця 1'!$J:$J,"GBU-39")+SUMIFS('Таблиця 1'!$K:$K,'Таблиця 1'!$B:$B,$A98,'Таблиця 1'!$I:$I,"F-16",'Таблиця 1'!$J:$J,"GBU-39")+SUMIFS('Таблиця 1'!$K:$K,'Таблиця 1'!$B:$B,$A98,'Таблиця 1'!$I:$I,"МіГ-29",'Таблиця 1'!$J:$J,"GBU-39")+SUMIFS('Таблиця 1'!$K:$K,'Таблиця 1'!$B:$B,$A98,'Таблиця 1'!$I:$I,"Су-25",'Таблиця 1'!$J:$J,"GBU-39")+SUMIFS('Таблиця 1'!$K:$K,'Таблиця 1'!$B:$B,$A98,'Таблиця 1'!$I:$I,"Су-27",'Таблиця 1'!$J:$J,"GBU-39"))</f>
        <v/>
      </c>
      <c r="K98">
        <f>IF($A98="","",SUMIFS('Таблиця 1'!$K:$K,'Таблиця 1'!$B:$B,$A98,'Таблиця 1'!$I:$I,"Mirage",'Таблиця 1'!$J:$J,"BLU-140")+SUMIFS('Таблиця 1'!$K:$K,'Таблиця 1'!$B:$B,$A98,'Таблиця 1'!$I:$I,"F-16",'Таблиця 1'!$J:$J,"BLU-140")+SUMIFS('Таблиця 1'!$K:$K,'Таблиця 1'!$B:$B,$A98,'Таблиця 1'!$I:$I,"МіГ-29",'Таблиця 1'!$J:$J,"BLU-140")+SUMIFS('Таблиця 1'!$K:$K,'Таблиця 1'!$B:$B,$A98,'Таблиця 1'!$I:$I,"Су-25",'Таблиця 1'!$J:$J,"BLU-140")+SUMIFS('Таблиця 1'!$K:$K,'Таблиця 1'!$B:$B,$A98,'Таблиця 1'!$I:$I,"Су-27",'Таблиця 1'!$J:$J,"BLU-140"))</f>
        <v/>
      </c>
      <c r="L98">
        <f>IF($A98="","",SUMIFS('Таблиця 1'!$K:$K,'Таблиця 1'!$B:$B,$A98,'Таблиця 1'!$I:$I,"Mirage",'Таблиця 1'!$J:$J,"GBU-65")+SUMIFS('Таблиця 1'!$K:$K,'Таблиця 1'!$B:$B,$A98,'Таблиця 1'!$I:$I,"F-16",'Таблиця 1'!$J:$J,"GBU-65")+SUMIFS('Таблиця 1'!$K:$K,'Таблиця 1'!$B:$B,$A98,'Таблиця 1'!$I:$I,"МіГ-29",'Таблиця 1'!$J:$J,"GBU-65")+SUMIFS('Таблиця 1'!$K:$K,'Таблиця 1'!$B:$B,$A98,'Таблиця 1'!$I:$I,"Су-25",'Таблиця 1'!$J:$J,"GBU-65")+SUMIFS('Таблиця 1'!$K:$K,'Таблиця 1'!$B:$B,$A98,'Таблиця 1'!$I:$I,"Су-27",'Таблиця 1'!$J:$J,"GBU-65"))</f>
        <v/>
      </c>
      <c r="M98">
        <f>IF($A98="","",SUMIFS('Таблиця 1'!$K:$K,'Таблиця 1'!$B:$B,$A98,'Таблиця 1'!$I:$I,"Mirage",'Таблиця 1'!$J:$J,"GBU-62")+SUMIFS('Таблиця 1'!$K:$K,'Таблиця 1'!$B:$B,$A98,'Таблиця 1'!$I:$I,"F-16",'Таблиця 1'!$J:$J,"GBU-62")+SUMIFS('Таблиця 1'!$K:$K,'Таблиця 1'!$B:$B,$A98,'Таблиця 1'!$I:$I,"МіГ-29",'Таблиця 1'!$J:$J,"GBU-62")+SUMIFS('Таблиця 1'!$K:$K,'Таблиця 1'!$B:$B,$A98,'Таблиця 1'!$I:$I,"Су-25",'Таблиця 1'!$J:$J,"GBU-62")+SUMIFS('Таблиця 1'!$K:$K,'Таблиця 1'!$B:$B,$A98,'Таблиця 1'!$I:$I,"Су-27",'Таблиця 1'!$J:$J,"GBU-62"))</f>
        <v/>
      </c>
      <c r="N98">
        <f>IF($A98="","",SUMIFS('Таблиця 1'!$K:$K,'Таблиця 1'!$B:$B,$A98,'Таблиця 1'!$I:$I,"Mirage",'Таблиця 1'!$J:$J,"GBU-64")+SUMIFS('Таблиця 1'!$K:$K,'Таблиця 1'!$B:$B,$A98,'Таблиця 1'!$I:$I,"F-16",'Таблиця 1'!$J:$J,"GBU-64")+SUMIFS('Таблиця 1'!$K:$K,'Таблиця 1'!$B:$B,$A98,'Таблиця 1'!$I:$I,"МіГ-29",'Таблиця 1'!$J:$J,"GBU-64")+SUMIFS('Таблиця 1'!$K:$K,'Таблиця 1'!$B:$B,$A98,'Таблиця 1'!$I:$I,"Су-25",'Таблиця 1'!$J:$J,"GBU-64")+SUMIFS('Таблиця 1'!$K:$K,'Таблиця 1'!$B:$B,$A98,'Таблиця 1'!$I:$I,"Су-27",'Таблиця 1'!$J:$J,"GBU-64"))</f>
        <v/>
      </c>
      <c r="O98">
        <f>IF($A98="","",SUMIFS('Таблиця 1'!$K:$K,'Таблиця 1'!$B:$B,$A98,'Таблиця 1'!$I:$I,"Mirage",'Таблиця 1'!$J:$J,"C-13")+SUMIFS('Таблиця 1'!$K:$K,'Таблиця 1'!$B:$B,$A98,'Таблиця 1'!$I:$I,"F-16",'Таблиця 1'!$J:$J,"C-13")+SUMIFS('Таблиця 1'!$K:$K,'Таблиця 1'!$B:$B,$A98,'Таблиця 1'!$I:$I,"МіГ-29",'Таблиця 1'!$J:$J,"C-13")+SUMIFS('Таблиця 1'!$K:$K,'Таблиця 1'!$B:$B,$A98,'Таблиця 1'!$I:$I,"Су-25",'Таблиця 1'!$J:$J,"C-13")+SUMIFS('Таблиця 1'!$K:$K,'Таблиця 1'!$B:$B,$A98,'Таблиця 1'!$I:$I,"Су-27",'Таблиця 1'!$J:$J,"C-13"))</f>
        <v/>
      </c>
      <c r="P98">
        <f>IF($A98="","",SUMIFS('Таблиця 1'!$K:$K,'Таблиця 1'!$B:$B,$A98,'Таблиця 1'!$I:$I,"Mirage",'Таблиця 1'!$J:$J,"MK-32")+SUMIFS('Таблиця 1'!$K:$K,'Таблиця 1'!$B:$B,$A98,'Таблиця 1'!$I:$I,"F-16",'Таблиця 1'!$J:$J,"MK-32")+SUMIFS('Таблиця 1'!$K:$K,'Таблиця 1'!$B:$B,$A98,'Таблиця 1'!$I:$I,"МіГ-29",'Таблиця 1'!$J:$J,"MK-32")+SUMIFS('Таблиця 1'!$K:$K,'Таблиця 1'!$B:$B,$A98,'Таблиця 1'!$I:$I,"Су-25",'Таблиця 1'!$J:$J,"MK-32")+SUMIFS('Таблиця 1'!$K:$K,'Таблиця 1'!$B:$B,$A98,'Таблиця 1'!$I:$I,"Су-27",'Таблиця 1'!$J:$J,"MK-32"))</f>
        <v/>
      </c>
      <c r="Q98">
        <f>IF($A98="","",SUMIFS('Таблиця 1'!$K:$K,'Таблиця 1'!$B:$B,$A98,'Таблиця 1'!$I:$I,"Mirage",'Таблиця 1'!$J:$J,"MK-24")+SUMIFS('Таблиця 1'!$K:$K,'Таблиця 1'!$B:$B,$A98,'Таблиця 1'!$I:$I,"F-16",'Таблиця 1'!$J:$J,"MK-24")+SUMIFS('Таблиця 1'!$K:$K,'Таблиця 1'!$B:$B,$A98,'Таблиця 1'!$I:$I,"МіГ-29",'Таблиця 1'!$J:$J,"MK-24")+SUMIFS('Таблиця 1'!$K:$K,'Таблиця 1'!$B:$B,$A98,'Таблиця 1'!$I:$I,"Су-25",'Таблиця 1'!$J:$J,"MK-24")+SUMIFS('Таблиця 1'!$K:$K,'Таблиця 1'!$B:$B,$A98,'Таблиця 1'!$I:$I,"Су-27",'Таблиця 1'!$J:$J,"MK-24"))</f>
        <v/>
      </c>
      <c r="R98">
        <f>IF($A98="","",COUNTIFS('Таблиця 1'!$B:$B,$A98,'Таблиця 1'!$I:$I,"Mirage",'Таблиця 1'!$L:$L,"Уражено")+COUNTIFS('Таблиця 1'!$B:$B,$A98,'Таблиця 1'!$I:$I,"F-16",'Таблиця 1'!$L:$L,"Уражено")+COUNTIFS('Таблиця 1'!$B:$B,$A98,'Таблиця 1'!$I:$I,"МіГ-29",'Таблиця 1'!$L:$L,"Уражено")+COUNTIFS('Таблиця 1'!$B:$B,$A98,'Таблиця 1'!$I:$I,"Су-25",'Таблиця 1'!$L:$L,"Уражено")+COUNTIFS('Таблиця 1'!$B:$B,$A98,'Таблиця 1'!$I:$I,"Су-27",'Таблиця 1'!$L:$L,"Уражено"))</f>
        <v/>
      </c>
      <c r="S98">
        <f>IF($A98="","",COUNTIFS('Таблиця 1'!$B:$B,$A98,'Таблиця 1'!$I:$I,"Mirage",'Таблиця 1'!$L:$L,"НЕ уражено")+COUNTIFS('Таблиця 1'!$B:$B,$A98,'Таблиця 1'!$I:$I,"F-16",'Таблиця 1'!$L:$L,"НЕ уражено")+COUNTIFS('Таблиця 1'!$B:$B,$A98,'Таблиця 1'!$I:$I,"МіГ-29",'Таблиця 1'!$L:$L,"НЕ уражено")+COUNTIFS('Таблиця 1'!$B:$B,$A98,'Таблиця 1'!$I:$I,"Су-25",'Таблиця 1'!$L:$L,"НЕ уражено")+COUNTIFS('Таблиця 1'!$B:$B,$A98,'Таблиця 1'!$I:$I,"Су-27",'Таблиця 1'!$L:$L,"НЕ уражено"))</f>
        <v/>
      </c>
      <c r="T98">
        <f>IF($A98="","",COUNTIFS('Таблиця 1'!$B:$B,$A98,'Таблиця 1'!$I:$I,"Mirage",'Таблиця 1'!$L:$L,"Дорозвідується")+COUNTIFS('Таблиця 1'!$B:$B,$A98,'Таблиця 1'!$I:$I,"F-16",'Таблиця 1'!$L:$L,"Дорозвідується")+COUNTIFS('Таблиця 1'!$B:$B,$A98,'Таблиця 1'!$I:$I,"МіГ-29",'Таблиця 1'!$L:$L,"Дорозвідується")+COUNTIFS('Таблиця 1'!$B:$B,$A98,'Таблиця 1'!$I:$I,"Су-25",'Таблиця 1'!$L:$L,"Дорозвідується")+COUNTIFS('Таблиця 1'!$B:$B,$A98,'Таблиця 1'!$I:$I,"Су-27",'Таблиця 1'!$L:$L,"Дорозвідується"))</f>
        <v/>
      </c>
    </row>
    <row r="99">
      <c r="A99" s="273">
        <f>IF(A98="","",IF(A98+1&gt;MAX('Таблиця 1'!$B:$B),"",A98+1))</f>
        <v/>
      </c>
      <c r="B99">
        <f>IF($A99="","",COUNTIFS('Таблиця 1'!$B:$B,$A99,'Таблиця 1'!$I:$I,"Mirage")+COUNTIFS('Таблиця 1'!$B:$B,$A99,'Таблиця 1'!$I:$I,"F-16")+COUNTIFS('Таблиця 1'!$B:$B,$A99,'Таблиця 1'!$I:$I,"МіГ-29")+COUNTIFS('Таблиця 1'!$B:$B,$A99,'Таблиця 1'!$I:$I,"Су-25")+COUNTIFS('Таблиця 1'!$B:$B,$A99,'Таблиця 1'!$I:$I,"Су-27"))</f>
        <v/>
      </c>
      <c r="C99">
        <f>IF($A99="","",COUNTIFS('Таблиця 1'!$B:$B,$A99,'Таблиця 1'!$I:$I,"Mirage"))</f>
        <v/>
      </c>
      <c r="D99">
        <f>IF($A99="","",COUNTIFS('Таблиця 1'!$B:$B,$A99,'Таблиця 1'!$I:$I,"F-16"))</f>
        <v/>
      </c>
      <c r="E99">
        <f>IF($A99="","",COUNTIFS('Таблиця 1'!$B:$B,$A99,'Таблиця 1'!$I:$I,"МіГ-29"))</f>
        <v/>
      </c>
      <c r="F99">
        <f>IF($A99="","",COUNTIFS('Таблиця 1'!$B:$B,$A99,'Таблиця 1'!$I:$I,"Су-25"))</f>
        <v/>
      </c>
      <c r="G99">
        <f>IF($A99="","",COUNTIFS('Таблиця 1'!$B:$B,$A99,'Таблиця 1'!$I:$I,"Су-27"))</f>
        <v/>
      </c>
      <c r="H99">
        <f>IF($A99="","",SUMIFS('Таблиця 1'!$K:$K,'Таблиця 1'!$B:$B,$A99,'Таблиця 1'!$I:$I,"Mirage",'Таблиця 1'!$J:$J,"AGM-88")+SUMIFS('Таблиця 1'!$K:$K,'Таблиця 1'!$B:$B,$A99,'Таблиця 1'!$I:$I,"F-16",'Таблиця 1'!$J:$J,"AGM-88")+SUMIFS('Таблиця 1'!$K:$K,'Таблиця 1'!$B:$B,$A99,'Таблиця 1'!$I:$I,"МіГ-29",'Таблиця 1'!$J:$J,"AGM-88")+SUMIFS('Таблиця 1'!$K:$K,'Таблиця 1'!$B:$B,$A99,'Таблиця 1'!$I:$I,"Су-25",'Таблиця 1'!$J:$J,"AGM-88")+SUMIFS('Таблиця 1'!$K:$K,'Таблиця 1'!$B:$B,$A99,'Таблиця 1'!$I:$I,"Су-27",'Таблиця 1'!$J:$J,"AGM-88"))</f>
        <v/>
      </c>
      <c r="I99">
        <f>IF($A99="","",SUMIFS('Таблиця 1'!$K:$K,'Таблиця 1'!$B:$B,$A99,'Таблиця 1'!$I:$I,"Mirage",'Таблиця 1'!$J:$J,"AASM-250")+SUMIFS('Таблиця 1'!$K:$K,'Таблиця 1'!$B:$B,$A99,'Таблиця 1'!$I:$I,"F-16",'Таблиця 1'!$J:$J,"AASM-250")+SUMIFS('Таблиця 1'!$K:$K,'Таблиця 1'!$B:$B,$A99,'Таблиця 1'!$I:$I,"МіГ-29",'Таблиця 1'!$J:$J,"AASM-250")+SUMIFS('Таблиця 1'!$K:$K,'Таблиця 1'!$B:$B,$A99,'Таблиця 1'!$I:$I,"Су-25",'Таблиця 1'!$J:$J,"AASM-250")+SUMIFS('Таблиця 1'!$K:$K,'Таблиця 1'!$B:$B,$A99,'Таблиця 1'!$I:$I,"Су-27",'Таблиця 1'!$J:$J,"AASM-250"))</f>
        <v/>
      </c>
      <c r="J99">
        <f>IF($A99="","",SUMIFS('Таблиця 1'!$K:$K,'Таблиця 1'!$B:$B,$A99,'Таблиця 1'!$I:$I,"Mirage",'Таблиця 1'!$J:$J,"GBU-39")+SUMIFS('Таблиця 1'!$K:$K,'Таблиця 1'!$B:$B,$A99,'Таблиця 1'!$I:$I,"F-16",'Таблиця 1'!$J:$J,"GBU-39")+SUMIFS('Таблиця 1'!$K:$K,'Таблиця 1'!$B:$B,$A99,'Таблиця 1'!$I:$I,"МіГ-29",'Таблиця 1'!$J:$J,"GBU-39")+SUMIFS('Таблиця 1'!$K:$K,'Таблиця 1'!$B:$B,$A99,'Таблиця 1'!$I:$I,"Су-25",'Таблиця 1'!$J:$J,"GBU-39")+SUMIFS('Таблиця 1'!$K:$K,'Таблиця 1'!$B:$B,$A99,'Таблиця 1'!$I:$I,"Су-27",'Таблиця 1'!$J:$J,"GBU-39"))</f>
        <v/>
      </c>
      <c r="K99">
        <f>IF($A99="","",SUMIFS('Таблиця 1'!$K:$K,'Таблиця 1'!$B:$B,$A99,'Таблиця 1'!$I:$I,"Mirage",'Таблиця 1'!$J:$J,"BLU-140")+SUMIFS('Таблиця 1'!$K:$K,'Таблиця 1'!$B:$B,$A99,'Таблиця 1'!$I:$I,"F-16",'Таблиця 1'!$J:$J,"BLU-140")+SUMIFS('Таблиця 1'!$K:$K,'Таблиця 1'!$B:$B,$A99,'Таблиця 1'!$I:$I,"МіГ-29",'Таблиця 1'!$J:$J,"BLU-140")+SUMIFS('Таблиця 1'!$K:$K,'Таблиця 1'!$B:$B,$A99,'Таблиця 1'!$I:$I,"Су-25",'Таблиця 1'!$J:$J,"BLU-140")+SUMIFS('Таблиця 1'!$K:$K,'Таблиця 1'!$B:$B,$A99,'Таблиця 1'!$I:$I,"Су-27",'Таблиця 1'!$J:$J,"BLU-140"))</f>
        <v/>
      </c>
      <c r="L99">
        <f>IF($A99="","",SUMIFS('Таблиця 1'!$K:$K,'Таблиця 1'!$B:$B,$A99,'Таблиця 1'!$I:$I,"Mirage",'Таблиця 1'!$J:$J,"GBU-65")+SUMIFS('Таблиця 1'!$K:$K,'Таблиця 1'!$B:$B,$A99,'Таблиця 1'!$I:$I,"F-16",'Таблиця 1'!$J:$J,"GBU-65")+SUMIFS('Таблиця 1'!$K:$K,'Таблиця 1'!$B:$B,$A99,'Таблиця 1'!$I:$I,"МіГ-29",'Таблиця 1'!$J:$J,"GBU-65")+SUMIFS('Таблиця 1'!$K:$K,'Таблиця 1'!$B:$B,$A99,'Таблиця 1'!$I:$I,"Су-25",'Таблиця 1'!$J:$J,"GBU-65")+SUMIFS('Таблиця 1'!$K:$K,'Таблиця 1'!$B:$B,$A99,'Таблиця 1'!$I:$I,"Су-27",'Таблиця 1'!$J:$J,"GBU-65"))</f>
        <v/>
      </c>
      <c r="M99">
        <f>IF($A99="","",SUMIFS('Таблиця 1'!$K:$K,'Таблиця 1'!$B:$B,$A99,'Таблиця 1'!$I:$I,"Mirage",'Таблиця 1'!$J:$J,"GBU-62")+SUMIFS('Таблиця 1'!$K:$K,'Таблиця 1'!$B:$B,$A99,'Таблиця 1'!$I:$I,"F-16",'Таблиця 1'!$J:$J,"GBU-62")+SUMIFS('Таблиця 1'!$K:$K,'Таблиця 1'!$B:$B,$A99,'Таблиця 1'!$I:$I,"МіГ-29",'Таблиця 1'!$J:$J,"GBU-62")+SUMIFS('Таблиця 1'!$K:$K,'Таблиця 1'!$B:$B,$A99,'Таблиця 1'!$I:$I,"Су-25",'Таблиця 1'!$J:$J,"GBU-62")+SUMIFS('Таблиця 1'!$K:$K,'Таблиця 1'!$B:$B,$A99,'Таблиця 1'!$I:$I,"Су-27",'Таблиця 1'!$J:$J,"GBU-62"))</f>
        <v/>
      </c>
      <c r="N99">
        <f>IF($A99="","",SUMIFS('Таблиця 1'!$K:$K,'Таблиця 1'!$B:$B,$A99,'Таблиця 1'!$I:$I,"Mirage",'Таблиця 1'!$J:$J,"GBU-64")+SUMIFS('Таблиця 1'!$K:$K,'Таблиця 1'!$B:$B,$A99,'Таблиця 1'!$I:$I,"F-16",'Таблиця 1'!$J:$J,"GBU-64")+SUMIFS('Таблиця 1'!$K:$K,'Таблиця 1'!$B:$B,$A99,'Таблиця 1'!$I:$I,"МіГ-29",'Таблиця 1'!$J:$J,"GBU-64")+SUMIFS('Таблиця 1'!$K:$K,'Таблиця 1'!$B:$B,$A99,'Таблиця 1'!$I:$I,"Су-25",'Таблиця 1'!$J:$J,"GBU-64")+SUMIFS('Таблиця 1'!$K:$K,'Таблиця 1'!$B:$B,$A99,'Таблиця 1'!$I:$I,"Су-27",'Таблиця 1'!$J:$J,"GBU-64"))</f>
        <v/>
      </c>
      <c r="O99">
        <f>IF($A99="","",SUMIFS('Таблиця 1'!$K:$K,'Таблиця 1'!$B:$B,$A99,'Таблиця 1'!$I:$I,"Mirage",'Таблиця 1'!$J:$J,"C-13")+SUMIFS('Таблиця 1'!$K:$K,'Таблиця 1'!$B:$B,$A99,'Таблиця 1'!$I:$I,"F-16",'Таблиця 1'!$J:$J,"C-13")+SUMIFS('Таблиця 1'!$K:$K,'Таблиця 1'!$B:$B,$A99,'Таблиця 1'!$I:$I,"МіГ-29",'Таблиця 1'!$J:$J,"C-13")+SUMIFS('Таблиця 1'!$K:$K,'Таблиця 1'!$B:$B,$A99,'Таблиця 1'!$I:$I,"Су-25",'Таблиця 1'!$J:$J,"C-13")+SUMIFS('Таблиця 1'!$K:$K,'Таблиця 1'!$B:$B,$A99,'Таблиця 1'!$I:$I,"Су-27",'Таблиця 1'!$J:$J,"C-13"))</f>
        <v/>
      </c>
      <c r="P99">
        <f>IF($A99="","",SUMIFS('Таблиця 1'!$K:$K,'Таблиця 1'!$B:$B,$A99,'Таблиця 1'!$I:$I,"Mirage",'Таблиця 1'!$J:$J,"MK-32")+SUMIFS('Таблиця 1'!$K:$K,'Таблиця 1'!$B:$B,$A99,'Таблиця 1'!$I:$I,"F-16",'Таблиця 1'!$J:$J,"MK-32")+SUMIFS('Таблиця 1'!$K:$K,'Таблиця 1'!$B:$B,$A99,'Таблиця 1'!$I:$I,"МіГ-29",'Таблиця 1'!$J:$J,"MK-32")+SUMIFS('Таблиця 1'!$K:$K,'Таблиця 1'!$B:$B,$A99,'Таблиця 1'!$I:$I,"Су-25",'Таблиця 1'!$J:$J,"MK-32")+SUMIFS('Таблиця 1'!$K:$K,'Таблиця 1'!$B:$B,$A99,'Таблиця 1'!$I:$I,"Су-27",'Таблиця 1'!$J:$J,"MK-32"))</f>
        <v/>
      </c>
      <c r="Q99">
        <f>IF($A99="","",SUMIFS('Таблиця 1'!$K:$K,'Таблиця 1'!$B:$B,$A99,'Таблиця 1'!$I:$I,"Mirage",'Таблиця 1'!$J:$J,"MK-24")+SUMIFS('Таблиця 1'!$K:$K,'Таблиця 1'!$B:$B,$A99,'Таблиця 1'!$I:$I,"F-16",'Таблиця 1'!$J:$J,"MK-24")+SUMIFS('Таблиця 1'!$K:$K,'Таблиця 1'!$B:$B,$A99,'Таблиця 1'!$I:$I,"МіГ-29",'Таблиця 1'!$J:$J,"MK-24")+SUMIFS('Таблиця 1'!$K:$K,'Таблиця 1'!$B:$B,$A99,'Таблиця 1'!$I:$I,"Су-25",'Таблиця 1'!$J:$J,"MK-24")+SUMIFS('Таблиця 1'!$K:$K,'Таблиця 1'!$B:$B,$A99,'Таблиця 1'!$I:$I,"Су-27",'Таблиця 1'!$J:$J,"MK-24"))</f>
        <v/>
      </c>
      <c r="R99">
        <f>IF($A99="","",COUNTIFS('Таблиця 1'!$B:$B,$A99,'Таблиця 1'!$I:$I,"Mirage",'Таблиця 1'!$L:$L,"Уражено")+COUNTIFS('Таблиця 1'!$B:$B,$A99,'Таблиця 1'!$I:$I,"F-16",'Таблиця 1'!$L:$L,"Уражено")+COUNTIFS('Таблиця 1'!$B:$B,$A99,'Таблиця 1'!$I:$I,"МіГ-29",'Таблиця 1'!$L:$L,"Уражено")+COUNTIFS('Таблиця 1'!$B:$B,$A99,'Таблиця 1'!$I:$I,"Су-25",'Таблиця 1'!$L:$L,"Уражено")+COUNTIFS('Таблиця 1'!$B:$B,$A99,'Таблиця 1'!$I:$I,"Су-27",'Таблиця 1'!$L:$L,"Уражено"))</f>
        <v/>
      </c>
      <c r="S99">
        <f>IF($A99="","",COUNTIFS('Таблиця 1'!$B:$B,$A99,'Таблиця 1'!$I:$I,"Mirage",'Таблиця 1'!$L:$L,"НЕ уражено")+COUNTIFS('Таблиця 1'!$B:$B,$A99,'Таблиця 1'!$I:$I,"F-16",'Таблиця 1'!$L:$L,"НЕ уражено")+COUNTIFS('Таблиця 1'!$B:$B,$A99,'Таблиця 1'!$I:$I,"МіГ-29",'Таблиця 1'!$L:$L,"НЕ уражено")+COUNTIFS('Таблиця 1'!$B:$B,$A99,'Таблиця 1'!$I:$I,"Су-25",'Таблиця 1'!$L:$L,"НЕ уражено")+COUNTIFS('Таблиця 1'!$B:$B,$A99,'Таблиця 1'!$I:$I,"Су-27",'Таблиця 1'!$L:$L,"НЕ уражено"))</f>
        <v/>
      </c>
      <c r="T99">
        <f>IF($A99="","",COUNTIFS('Таблиця 1'!$B:$B,$A99,'Таблиця 1'!$I:$I,"Mirage",'Таблиця 1'!$L:$L,"Дорозвідується")+COUNTIFS('Таблиця 1'!$B:$B,$A99,'Таблиця 1'!$I:$I,"F-16",'Таблиця 1'!$L:$L,"Дорозвідується")+COUNTIFS('Таблиця 1'!$B:$B,$A99,'Таблиця 1'!$I:$I,"МіГ-29",'Таблиця 1'!$L:$L,"Дорозвідується")+COUNTIFS('Таблиця 1'!$B:$B,$A99,'Таблиця 1'!$I:$I,"Су-25",'Таблиця 1'!$L:$L,"Дорозвідується")+COUNTIFS('Таблиця 1'!$B:$B,$A99,'Таблиця 1'!$I:$I,"Су-27",'Таблиця 1'!$L:$L,"Дорозвідується"))</f>
        <v/>
      </c>
    </row>
    <row r="100">
      <c r="A100" s="273">
        <f>IF(A99="","",IF(A99+1&gt;MAX('Таблиця 1'!$B:$B),"",A99+1))</f>
        <v/>
      </c>
      <c r="B100">
        <f>IF($A100="","",COUNTIFS('Таблиця 1'!$B:$B,$A100,'Таблиця 1'!$I:$I,"Mirage")+COUNTIFS('Таблиця 1'!$B:$B,$A100,'Таблиця 1'!$I:$I,"F-16")+COUNTIFS('Таблиця 1'!$B:$B,$A100,'Таблиця 1'!$I:$I,"МіГ-29")+COUNTIFS('Таблиця 1'!$B:$B,$A100,'Таблиця 1'!$I:$I,"Су-25")+COUNTIFS('Таблиця 1'!$B:$B,$A100,'Таблиця 1'!$I:$I,"Су-27"))</f>
        <v/>
      </c>
      <c r="C100">
        <f>IF($A100="","",COUNTIFS('Таблиця 1'!$B:$B,$A100,'Таблиця 1'!$I:$I,"Mirage"))</f>
        <v/>
      </c>
      <c r="D100">
        <f>IF($A100="","",COUNTIFS('Таблиця 1'!$B:$B,$A100,'Таблиця 1'!$I:$I,"F-16"))</f>
        <v/>
      </c>
      <c r="E100">
        <f>IF($A100="","",COUNTIFS('Таблиця 1'!$B:$B,$A100,'Таблиця 1'!$I:$I,"МіГ-29"))</f>
        <v/>
      </c>
      <c r="F100">
        <f>IF($A100="","",COUNTIFS('Таблиця 1'!$B:$B,$A100,'Таблиця 1'!$I:$I,"Су-25"))</f>
        <v/>
      </c>
      <c r="G100">
        <f>IF($A100="","",COUNTIFS('Таблиця 1'!$B:$B,$A100,'Таблиця 1'!$I:$I,"Су-27"))</f>
        <v/>
      </c>
      <c r="H100">
        <f>IF($A100="","",SUMIFS('Таблиця 1'!$K:$K,'Таблиця 1'!$B:$B,$A100,'Таблиця 1'!$I:$I,"Mirage",'Таблиця 1'!$J:$J,"AGM-88")+SUMIFS('Таблиця 1'!$K:$K,'Таблиця 1'!$B:$B,$A100,'Таблиця 1'!$I:$I,"F-16",'Таблиця 1'!$J:$J,"AGM-88")+SUMIFS('Таблиця 1'!$K:$K,'Таблиця 1'!$B:$B,$A100,'Таблиця 1'!$I:$I,"МіГ-29",'Таблиця 1'!$J:$J,"AGM-88")+SUMIFS('Таблиця 1'!$K:$K,'Таблиця 1'!$B:$B,$A100,'Таблиця 1'!$I:$I,"Су-25",'Таблиця 1'!$J:$J,"AGM-88")+SUMIFS('Таблиця 1'!$K:$K,'Таблиця 1'!$B:$B,$A100,'Таблиця 1'!$I:$I,"Су-27",'Таблиця 1'!$J:$J,"AGM-88"))</f>
        <v/>
      </c>
      <c r="I100">
        <f>IF($A100="","",SUMIFS('Таблиця 1'!$K:$K,'Таблиця 1'!$B:$B,$A100,'Таблиця 1'!$I:$I,"Mirage",'Таблиця 1'!$J:$J,"AASM-250")+SUMIFS('Таблиця 1'!$K:$K,'Таблиця 1'!$B:$B,$A100,'Таблиця 1'!$I:$I,"F-16",'Таблиця 1'!$J:$J,"AASM-250")+SUMIFS('Таблиця 1'!$K:$K,'Таблиця 1'!$B:$B,$A100,'Таблиця 1'!$I:$I,"МіГ-29",'Таблиця 1'!$J:$J,"AASM-250")+SUMIFS('Таблиця 1'!$K:$K,'Таблиця 1'!$B:$B,$A100,'Таблиця 1'!$I:$I,"Су-25",'Таблиця 1'!$J:$J,"AASM-250")+SUMIFS('Таблиця 1'!$K:$K,'Таблиця 1'!$B:$B,$A100,'Таблиця 1'!$I:$I,"Су-27",'Таблиця 1'!$J:$J,"AASM-250"))</f>
        <v/>
      </c>
      <c r="J100">
        <f>IF($A100="","",SUMIFS('Таблиця 1'!$K:$K,'Таблиця 1'!$B:$B,$A100,'Таблиця 1'!$I:$I,"Mirage",'Таблиця 1'!$J:$J,"GBU-39")+SUMIFS('Таблиця 1'!$K:$K,'Таблиця 1'!$B:$B,$A100,'Таблиця 1'!$I:$I,"F-16",'Таблиця 1'!$J:$J,"GBU-39")+SUMIFS('Таблиця 1'!$K:$K,'Таблиця 1'!$B:$B,$A100,'Таблиця 1'!$I:$I,"МіГ-29",'Таблиця 1'!$J:$J,"GBU-39")+SUMIFS('Таблиця 1'!$K:$K,'Таблиця 1'!$B:$B,$A100,'Таблиця 1'!$I:$I,"Су-25",'Таблиця 1'!$J:$J,"GBU-39")+SUMIFS('Таблиця 1'!$K:$K,'Таблиця 1'!$B:$B,$A100,'Таблиця 1'!$I:$I,"Су-27",'Таблиця 1'!$J:$J,"GBU-39"))</f>
        <v/>
      </c>
      <c r="K100">
        <f>IF($A100="","",SUMIFS('Таблиця 1'!$K:$K,'Таблиця 1'!$B:$B,$A100,'Таблиця 1'!$I:$I,"Mirage",'Таблиця 1'!$J:$J,"BLU-140")+SUMIFS('Таблиця 1'!$K:$K,'Таблиця 1'!$B:$B,$A100,'Таблиця 1'!$I:$I,"F-16",'Таблиця 1'!$J:$J,"BLU-140")+SUMIFS('Таблиця 1'!$K:$K,'Таблиця 1'!$B:$B,$A100,'Таблиця 1'!$I:$I,"МіГ-29",'Таблиця 1'!$J:$J,"BLU-140")+SUMIFS('Таблиця 1'!$K:$K,'Таблиця 1'!$B:$B,$A100,'Таблиця 1'!$I:$I,"Су-25",'Таблиця 1'!$J:$J,"BLU-140")+SUMIFS('Таблиця 1'!$K:$K,'Таблиця 1'!$B:$B,$A100,'Таблиця 1'!$I:$I,"Су-27",'Таблиця 1'!$J:$J,"BLU-140"))</f>
        <v/>
      </c>
      <c r="L100">
        <f>IF($A100="","",SUMIFS('Таблиця 1'!$K:$K,'Таблиця 1'!$B:$B,$A100,'Таблиця 1'!$I:$I,"Mirage",'Таблиця 1'!$J:$J,"GBU-65")+SUMIFS('Таблиця 1'!$K:$K,'Таблиця 1'!$B:$B,$A100,'Таблиця 1'!$I:$I,"F-16",'Таблиця 1'!$J:$J,"GBU-65")+SUMIFS('Таблиця 1'!$K:$K,'Таблиця 1'!$B:$B,$A100,'Таблиця 1'!$I:$I,"МіГ-29",'Таблиця 1'!$J:$J,"GBU-65")+SUMIFS('Таблиця 1'!$K:$K,'Таблиця 1'!$B:$B,$A100,'Таблиця 1'!$I:$I,"Су-25",'Таблиця 1'!$J:$J,"GBU-65")+SUMIFS('Таблиця 1'!$K:$K,'Таблиця 1'!$B:$B,$A100,'Таблиця 1'!$I:$I,"Су-27",'Таблиця 1'!$J:$J,"GBU-65"))</f>
        <v/>
      </c>
      <c r="M100">
        <f>IF($A100="","",SUMIFS('Таблиця 1'!$K:$K,'Таблиця 1'!$B:$B,$A100,'Таблиця 1'!$I:$I,"Mirage",'Таблиця 1'!$J:$J,"GBU-62")+SUMIFS('Таблиця 1'!$K:$K,'Таблиця 1'!$B:$B,$A100,'Таблиця 1'!$I:$I,"F-16",'Таблиця 1'!$J:$J,"GBU-62")+SUMIFS('Таблиця 1'!$K:$K,'Таблиця 1'!$B:$B,$A100,'Таблиця 1'!$I:$I,"МіГ-29",'Таблиця 1'!$J:$J,"GBU-62")+SUMIFS('Таблиця 1'!$K:$K,'Таблиця 1'!$B:$B,$A100,'Таблиця 1'!$I:$I,"Су-25",'Таблиця 1'!$J:$J,"GBU-62")+SUMIFS('Таблиця 1'!$K:$K,'Таблиця 1'!$B:$B,$A100,'Таблиця 1'!$I:$I,"Су-27",'Таблиця 1'!$J:$J,"GBU-62"))</f>
        <v/>
      </c>
      <c r="N100">
        <f>IF($A100="","",SUMIFS('Таблиця 1'!$K:$K,'Таблиця 1'!$B:$B,$A100,'Таблиця 1'!$I:$I,"Mirage",'Таблиця 1'!$J:$J,"GBU-64")+SUMIFS('Таблиця 1'!$K:$K,'Таблиця 1'!$B:$B,$A100,'Таблиця 1'!$I:$I,"F-16",'Таблиця 1'!$J:$J,"GBU-64")+SUMIFS('Таблиця 1'!$K:$K,'Таблиця 1'!$B:$B,$A100,'Таблиця 1'!$I:$I,"МіГ-29",'Таблиця 1'!$J:$J,"GBU-64")+SUMIFS('Таблиця 1'!$K:$K,'Таблиця 1'!$B:$B,$A100,'Таблиця 1'!$I:$I,"Су-25",'Таблиця 1'!$J:$J,"GBU-64")+SUMIFS('Таблиця 1'!$K:$K,'Таблиця 1'!$B:$B,$A100,'Таблиця 1'!$I:$I,"Су-27",'Таблиця 1'!$J:$J,"GBU-64"))</f>
        <v/>
      </c>
      <c r="O100">
        <f>IF($A100="","",SUMIFS('Таблиця 1'!$K:$K,'Таблиця 1'!$B:$B,$A100,'Таблиця 1'!$I:$I,"Mirage",'Таблиця 1'!$J:$J,"C-13")+SUMIFS('Таблиця 1'!$K:$K,'Таблиця 1'!$B:$B,$A100,'Таблиця 1'!$I:$I,"F-16",'Таблиця 1'!$J:$J,"C-13")+SUMIFS('Таблиця 1'!$K:$K,'Таблиця 1'!$B:$B,$A100,'Таблиця 1'!$I:$I,"МіГ-29",'Таблиця 1'!$J:$J,"C-13")+SUMIFS('Таблиця 1'!$K:$K,'Таблиця 1'!$B:$B,$A100,'Таблиця 1'!$I:$I,"Су-25",'Таблиця 1'!$J:$J,"C-13")+SUMIFS('Таблиця 1'!$K:$K,'Таблиця 1'!$B:$B,$A100,'Таблиця 1'!$I:$I,"Су-27",'Таблиця 1'!$J:$J,"C-13"))</f>
        <v/>
      </c>
      <c r="P100">
        <f>IF($A100="","",SUMIFS('Таблиця 1'!$K:$K,'Таблиця 1'!$B:$B,$A100,'Таблиця 1'!$I:$I,"Mirage",'Таблиця 1'!$J:$J,"MK-32")+SUMIFS('Таблиця 1'!$K:$K,'Таблиця 1'!$B:$B,$A100,'Таблиця 1'!$I:$I,"F-16",'Таблиця 1'!$J:$J,"MK-32")+SUMIFS('Таблиця 1'!$K:$K,'Таблиця 1'!$B:$B,$A100,'Таблиця 1'!$I:$I,"МіГ-29",'Таблиця 1'!$J:$J,"MK-32")+SUMIFS('Таблиця 1'!$K:$K,'Таблиця 1'!$B:$B,$A100,'Таблиця 1'!$I:$I,"Су-25",'Таблиця 1'!$J:$J,"MK-32")+SUMIFS('Таблиця 1'!$K:$K,'Таблиця 1'!$B:$B,$A100,'Таблиця 1'!$I:$I,"Су-27",'Таблиця 1'!$J:$J,"MK-32"))</f>
        <v/>
      </c>
      <c r="Q100">
        <f>IF($A100="","",SUMIFS('Таблиця 1'!$K:$K,'Таблиця 1'!$B:$B,$A100,'Таблиця 1'!$I:$I,"Mirage",'Таблиця 1'!$J:$J,"MK-24")+SUMIFS('Таблиця 1'!$K:$K,'Таблиця 1'!$B:$B,$A100,'Таблиця 1'!$I:$I,"F-16",'Таблиця 1'!$J:$J,"MK-24")+SUMIFS('Таблиця 1'!$K:$K,'Таблиця 1'!$B:$B,$A100,'Таблиця 1'!$I:$I,"МіГ-29",'Таблиця 1'!$J:$J,"MK-24")+SUMIFS('Таблиця 1'!$K:$K,'Таблиця 1'!$B:$B,$A100,'Таблиця 1'!$I:$I,"Су-25",'Таблиця 1'!$J:$J,"MK-24")+SUMIFS('Таблиця 1'!$K:$K,'Таблиця 1'!$B:$B,$A100,'Таблиця 1'!$I:$I,"Су-27",'Таблиця 1'!$J:$J,"MK-24"))</f>
        <v/>
      </c>
      <c r="R100">
        <f>IF($A100="","",COUNTIFS('Таблиця 1'!$B:$B,$A100,'Таблиця 1'!$I:$I,"Mirage",'Таблиця 1'!$L:$L,"Уражено")+COUNTIFS('Таблиця 1'!$B:$B,$A100,'Таблиця 1'!$I:$I,"F-16",'Таблиця 1'!$L:$L,"Уражено")+COUNTIFS('Таблиця 1'!$B:$B,$A100,'Таблиця 1'!$I:$I,"МіГ-29",'Таблиця 1'!$L:$L,"Уражено")+COUNTIFS('Таблиця 1'!$B:$B,$A100,'Таблиця 1'!$I:$I,"Су-25",'Таблиця 1'!$L:$L,"Уражено")+COUNTIFS('Таблиця 1'!$B:$B,$A100,'Таблиця 1'!$I:$I,"Су-27",'Таблиця 1'!$L:$L,"Уражено"))</f>
        <v/>
      </c>
      <c r="S100">
        <f>IF($A100="","",COUNTIFS('Таблиця 1'!$B:$B,$A100,'Таблиця 1'!$I:$I,"Mirage",'Таблиця 1'!$L:$L,"НЕ уражено")+COUNTIFS('Таблиця 1'!$B:$B,$A100,'Таблиця 1'!$I:$I,"F-16",'Таблиця 1'!$L:$L,"НЕ уражено")+COUNTIFS('Таблиця 1'!$B:$B,$A100,'Таблиця 1'!$I:$I,"МіГ-29",'Таблиця 1'!$L:$L,"НЕ уражено")+COUNTIFS('Таблиця 1'!$B:$B,$A100,'Таблиця 1'!$I:$I,"Су-25",'Таблиця 1'!$L:$L,"НЕ уражено")+COUNTIFS('Таблиця 1'!$B:$B,$A100,'Таблиця 1'!$I:$I,"Су-27",'Таблиця 1'!$L:$L,"НЕ уражено"))</f>
        <v/>
      </c>
      <c r="T100">
        <f>IF($A100="","",COUNTIFS('Таблиця 1'!$B:$B,$A100,'Таблиця 1'!$I:$I,"Mirage",'Таблиця 1'!$L:$L,"Дорозвідується")+COUNTIFS('Таблиця 1'!$B:$B,$A100,'Таблиця 1'!$I:$I,"F-16",'Таблиця 1'!$L:$L,"Дорозвідується")+COUNTIFS('Таблиця 1'!$B:$B,$A100,'Таблиця 1'!$I:$I,"МіГ-29",'Таблиця 1'!$L:$L,"Дорозвідується")+COUNTIFS('Таблиця 1'!$B:$B,$A100,'Таблиця 1'!$I:$I,"Су-25",'Таблиця 1'!$L:$L,"Дорозвідується")+COUNTIFS('Таблиця 1'!$B:$B,$A100,'Таблиця 1'!$I:$I,"Су-27",'Таблиця 1'!$L:$L,"Дорозвідується"))</f>
        <v/>
      </c>
    </row>
    <row r="101">
      <c r="A101" s="273">
        <f>IF(A100="","",IF(A100+1&gt;MAX('Таблиця 1'!$B:$B),"",A100+1))</f>
        <v/>
      </c>
      <c r="B101">
        <f>IF($A101="","",COUNTIFS('Таблиця 1'!$B:$B,$A101,'Таблиця 1'!$I:$I,"Mirage")+COUNTIFS('Таблиця 1'!$B:$B,$A101,'Таблиця 1'!$I:$I,"F-16")+COUNTIFS('Таблиця 1'!$B:$B,$A101,'Таблиця 1'!$I:$I,"МіГ-29")+COUNTIFS('Таблиця 1'!$B:$B,$A101,'Таблиця 1'!$I:$I,"Су-25")+COUNTIFS('Таблиця 1'!$B:$B,$A101,'Таблиця 1'!$I:$I,"Су-27"))</f>
        <v/>
      </c>
      <c r="C101">
        <f>IF($A101="","",COUNTIFS('Таблиця 1'!$B:$B,$A101,'Таблиця 1'!$I:$I,"Mirage"))</f>
        <v/>
      </c>
      <c r="D101">
        <f>IF($A101="","",COUNTIFS('Таблиця 1'!$B:$B,$A101,'Таблиця 1'!$I:$I,"F-16"))</f>
        <v/>
      </c>
      <c r="E101">
        <f>IF($A101="","",COUNTIFS('Таблиця 1'!$B:$B,$A101,'Таблиця 1'!$I:$I,"МіГ-29"))</f>
        <v/>
      </c>
      <c r="F101">
        <f>IF($A101="","",COUNTIFS('Таблиця 1'!$B:$B,$A101,'Таблиця 1'!$I:$I,"Су-25"))</f>
        <v/>
      </c>
      <c r="G101">
        <f>IF($A101="","",COUNTIFS('Таблиця 1'!$B:$B,$A101,'Таблиця 1'!$I:$I,"Су-27"))</f>
        <v/>
      </c>
      <c r="H101">
        <f>IF($A101="","",SUMIFS('Таблиця 1'!$K:$K,'Таблиця 1'!$B:$B,$A101,'Таблиця 1'!$I:$I,"Mirage",'Таблиця 1'!$J:$J,"AGM-88")+SUMIFS('Таблиця 1'!$K:$K,'Таблиця 1'!$B:$B,$A101,'Таблиця 1'!$I:$I,"F-16",'Таблиця 1'!$J:$J,"AGM-88")+SUMIFS('Таблиця 1'!$K:$K,'Таблиця 1'!$B:$B,$A101,'Таблиця 1'!$I:$I,"МіГ-29",'Таблиця 1'!$J:$J,"AGM-88")+SUMIFS('Таблиця 1'!$K:$K,'Таблиця 1'!$B:$B,$A101,'Таблиця 1'!$I:$I,"Су-25",'Таблиця 1'!$J:$J,"AGM-88")+SUMIFS('Таблиця 1'!$K:$K,'Таблиця 1'!$B:$B,$A101,'Таблиця 1'!$I:$I,"Су-27",'Таблиця 1'!$J:$J,"AGM-88"))</f>
        <v/>
      </c>
      <c r="I101">
        <f>IF($A101="","",SUMIFS('Таблиця 1'!$K:$K,'Таблиця 1'!$B:$B,$A101,'Таблиця 1'!$I:$I,"Mirage",'Таблиця 1'!$J:$J,"AASM-250")+SUMIFS('Таблиця 1'!$K:$K,'Таблиця 1'!$B:$B,$A101,'Таблиця 1'!$I:$I,"F-16",'Таблиця 1'!$J:$J,"AASM-250")+SUMIFS('Таблиця 1'!$K:$K,'Таблиця 1'!$B:$B,$A101,'Таблиця 1'!$I:$I,"МіГ-29",'Таблиця 1'!$J:$J,"AASM-250")+SUMIFS('Таблиця 1'!$K:$K,'Таблиця 1'!$B:$B,$A101,'Таблиця 1'!$I:$I,"Су-25",'Таблиця 1'!$J:$J,"AASM-250")+SUMIFS('Таблиця 1'!$K:$K,'Таблиця 1'!$B:$B,$A101,'Таблиця 1'!$I:$I,"Су-27",'Таблиця 1'!$J:$J,"AASM-250"))</f>
        <v/>
      </c>
      <c r="J101">
        <f>IF($A101="","",SUMIFS('Таблиця 1'!$K:$K,'Таблиця 1'!$B:$B,$A101,'Таблиця 1'!$I:$I,"Mirage",'Таблиця 1'!$J:$J,"GBU-39")+SUMIFS('Таблиця 1'!$K:$K,'Таблиця 1'!$B:$B,$A101,'Таблиця 1'!$I:$I,"F-16",'Таблиця 1'!$J:$J,"GBU-39")+SUMIFS('Таблиця 1'!$K:$K,'Таблиця 1'!$B:$B,$A101,'Таблиця 1'!$I:$I,"МіГ-29",'Таблиця 1'!$J:$J,"GBU-39")+SUMIFS('Таблиця 1'!$K:$K,'Таблиця 1'!$B:$B,$A101,'Таблиця 1'!$I:$I,"Су-25",'Таблиця 1'!$J:$J,"GBU-39")+SUMIFS('Таблиця 1'!$K:$K,'Таблиця 1'!$B:$B,$A101,'Таблиця 1'!$I:$I,"Су-27",'Таблиця 1'!$J:$J,"GBU-39"))</f>
        <v/>
      </c>
      <c r="K101">
        <f>IF($A101="","",SUMIFS('Таблиця 1'!$K:$K,'Таблиця 1'!$B:$B,$A101,'Таблиця 1'!$I:$I,"Mirage",'Таблиця 1'!$J:$J,"BLU-140")+SUMIFS('Таблиця 1'!$K:$K,'Таблиця 1'!$B:$B,$A101,'Таблиця 1'!$I:$I,"F-16",'Таблиця 1'!$J:$J,"BLU-140")+SUMIFS('Таблиця 1'!$K:$K,'Таблиця 1'!$B:$B,$A101,'Таблиця 1'!$I:$I,"МіГ-29",'Таблиця 1'!$J:$J,"BLU-140")+SUMIFS('Таблиця 1'!$K:$K,'Таблиця 1'!$B:$B,$A101,'Таблиця 1'!$I:$I,"Су-25",'Таблиця 1'!$J:$J,"BLU-140")+SUMIFS('Таблиця 1'!$K:$K,'Таблиця 1'!$B:$B,$A101,'Таблиця 1'!$I:$I,"Су-27",'Таблиця 1'!$J:$J,"BLU-140"))</f>
        <v/>
      </c>
      <c r="L101">
        <f>IF($A101="","",SUMIFS('Таблиця 1'!$K:$K,'Таблиця 1'!$B:$B,$A101,'Таблиця 1'!$I:$I,"Mirage",'Таблиця 1'!$J:$J,"GBU-65")+SUMIFS('Таблиця 1'!$K:$K,'Таблиця 1'!$B:$B,$A101,'Таблиця 1'!$I:$I,"F-16",'Таблиця 1'!$J:$J,"GBU-65")+SUMIFS('Таблиця 1'!$K:$K,'Таблиця 1'!$B:$B,$A101,'Таблиця 1'!$I:$I,"МіГ-29",'Таблиця 1'!$J:$J,"GBU-65")+SUMIFS('Таблиця 1'!$K:$K,'Таблиця 1'!$B:$B,$A101,'Таблиця 1'!$I:$I,"Су-25",'Таблиця 1'!$J:$J,"GBU-65")+SUMIFS('Таблиця 1'!$K:$K,'Таблиця 1'!$B:$B,$A101,'Таблиця 1'!$I:$I,"Су-27",'Таблиця 1'!$J:$J,"GBU-65"))</f>
        <v/>
      </c>
      <c r="M101">
        <f>IF($A101="","",SUMIFS('Таблиця 1'!$K:$K,'Таблиця 1'!$B:$B,$A101,'Таблиця 1'!$I:$I,"Mirage",'Таблиця 1'!$J:$J,"GBU-62")+SUMIFS('Таблиця 1'!$K:$K,'Таблиця 1'!$B:$B,$A101,'Таблиця 1'!$I:$I,"F-16",'Таблиця 1'!$J:$J,"GBU-62")+SUMIFS('Таблиця 1'!$K:$K,'Таблиця 1'!$B:$B,$A101,'Таблиця 1'!$I:$I,"МіГ-29",'Таблиця 1'!$J:$J,"GBU-62")+SUMIFS('Таблиця 1'!$K:$K,'Таблиця 1'!$B:$B,$A101,'Таблиця 1'!$I:$I,"Су-25",'Таблиця 1'!$J:$J,"GBU-62")+SUMIFS('Таблиця 1'!$K:$K,'Таблиця 1'!$B:$B,$A101,'Таблиця 1'!$I:$I,"Су-27",'Таблиця 1'!$J:$J,"GBU-62"))</f>
        <v/>
      </c>
      <c r="N101">
        <f>IF($A101="","",SUMIFS('Таблиця 1'!$K:$K,'Таблиця 1'!$B:$B,$A101,'Таблиця 1'!$I:$I,"Mirage",'Таблиця 1'!$J:$J,"GBU-64")+SUMIFS('Таблиця 1'!$K:$K,'Таблиця 1'!$B:$B,$A101,'Таблиця 1'!$I:$I,"F-16",'Таблиця 1'!$J:$J,"GBU-64")+SUMIFS('Таблиця 1'!$K:$K,'Таблиця 1'!$B:$B,$A101,'Таблиця 1'!$I:$I,"МіГ-29",'Таблиця 1'!$J:$J,"GBU-64")+SUMIFS('Таблиця 1'!$K:$K,'Таблиця 1'!$B:$B,$A101,'Таблиця 1'!$I:$I,"Су-25",'Таблиця 1'!$J:$J,"GBU-64")+SUMIFS('Таблиця 1'!$K:$K,'Таблиця 1'!$B:$B,$A101,'Таблиця 1'!$I:$I,"Су-27",'Таблиця 1'!$J:$J,"GBU-64"))</f>
        <v/>
      </c>
      <c r="O101">
        <f>IF($A101="","",SUMIFS('Таблиця 1'!$K:$K,'Таблиця 1'!$B:$B,$A101,'Таблиця 1'!$I:$I,"Mirage",'Таблиця 1'!$J:$J,"C-13")+SUMIFS('Таблиця 1'!$K:$K,'Таблиця 1'!$B:$B,$A101,'Таблиця 1'!$I:$I,"F-16",'Таблиця 1'!$J:$J,"C-13")+SUMIFS('Таблиця 1'!$K:$K,'Таблиця 1'!$B:$B,$A101,'Таблиця 1'!$I:$I,"МіГ-29",'Таблиця 1'!$J:$J,"C-13")+SUMIFS('Таблиця 1'!$K:$K,'Таблиця 1'!$B:$B,$A101,'Таблиця 1'!$I:$I,"Су-25",'Таблиця 1'!$J:$J,"C-13")+SUMIFS('Таблиця 1'!$K:$K,'Таблиця 1'!$B:$B,$A101,'Таблиця 1'!$I:$I,"Су-27",'Таблиця 1'!$J:$J,"C-13"))</f>
        <v/>
      </c>
      <c r="P101">
        <f>IF($A101="","",SUMIFS('Таблиця 1'!$K:$K,'Таблиця 1'!$B:$B,$A101,'Таблиця 1'!$I:$I,"Mirage",'Таблиця 1'!$J:$J,"MK-32")+SUMIFS('Таблиця 1'!$K:$K,'Таблиця 1'!$B:$B,$A101,'Таблиця 1'!$I:$I,"F-16",'Таблиця 1'!$J:$J,"MK-32")+SUMIFS('Таблиця 1'!$K:$K,'Таблиця 1'!$B:$B,$A101,'Таблиця 1'!$I:$I,"МіГ-29",'Таблиця 1'!$J:$J,"MK-32")+SUMIFS('Таблиця 1'!$K:$K,'Таблиця 1'!$B:$B,$A101,'Таблиця 1'!$I:$I,"Су-25",'Таблиця 1'!$J:$J,"MK-32")+SUMIFS('Таблиця 1'!$K:$K,'Таблиця 1'!$B:$B,$A101,'Таблиця 1'!$I:$I,"Су-27",'Таблиця 1'!$J:$J,"MK-32"))</f>
        <v/>
      </c>
      <c r="Q101">
        <f>IF($A101="","",SUMIFS('Таблиця 1'!$K:$K,'Таблиця 1'!$B:$B,$A101,'Таблиця 1'!$I:$I,"Mirage",'Таблиця 1'!$J:$J,"MK-24")+SUMIFS('Таблиця 1'!$K:$K,'Таблиця 1'!$B:$B,$A101,'Таблиця 1'!$I:$I,"F-16",'Таблиця 1'!$J:$J,"MK-24")+SUMIFS('Таблиця 1'!$K:$K,'Таблиця 1'!$B:$B,$A101,'Таблиця 1'!$I:$I,"МіГ-29",'Таблиця 1'!$J:$J,"MK-24")+SUMIFS('Таблиця 1'!$K:$K,'Таблиця 1'!$B:$B,$A101,'Таблиця 1'!$I:$I,"Су-25",'Таблиця 1'!$J:$J,"MK-24")+SUMIFS('Таблиця 1'!$K:$K,'Таблиця 1'!$B:$B,$A101,'Таблиця 1'!$I:$I,"Су-27",'Таблиця 1'!$J:$J,"MK-24"))</f>
        <v/>
      </c>
      <c r="R101">
        <f>IF($A101="","",COUNTIFS('Таблиця 1'!$B:$B,$A101,'Таблиця 1'!$I:$I,"Mirage",'Таблиця 1'!$L:$L,"Уражено")+COUNTIFS('Таблиця 1'!$B:$B,$A101,'Таблиця 1'!$I:$I,"F-16",'Таблиця 1'!$L:$L,"Уражено")+COUNTIFS('Таблиця 1'!$B:$B,$A101,'Таблиця 1'!$I:$I,"МіГ-29",'Таблиця 1'!$L:$L,"Уражено")+COUNTIFS('Таблиця 1'!$B:$B,$A101,'Таблиця 1'!$I:$I,"Су-25",'Таблиця 1'!$L:$L,"Уражено")+COUNTIFS('Таблиця 1'!$B:$B,$A101,'Таблиця 1'!$I:$I,"Су-27",'Таблиця 1'!$L:$L,"Уражено"))</f>
        <v/>
      </c>
      <c r="S101">
        <f>IF($A101="","",COUNTIFS('Таблиця 1'!$B:$B,$A101,'Таблиця 1'!$I:$I,"Mirage",'Таблиця 1'!$L:$L,"НЕ уражено")+COUNTIFS('Таблиця 1'!$B:$B,$A101,'Таблиця 1'!$I:$I,"F-16",'Таблиця 1'!$L:$L,"НЕ уражено")+COUNTIFS('Таблиця 1'!$B:$B,$A101,'Таблиця 1'!$I:$I,"МіГ-29",'Таблиця 1'!$L:$L,"НЕ уражено")+COUNTIFS('Таблиця 1'!$B:$B,$A101,'Таблиця 1'!$I:$I,"Су-25",'Таблиця 1'!$L:$L,"НЕ уражено")+COUNTIFS('Таблиця 1'!$B:$B,$A101,'Таблиця 1'!$I:$I,"Су-27",'Таблиця 1'!$L:$L,"НЕ уражено"))</f>
        <v/>
      </c>
      <c r="T101">
        <f>IF($A101="","",COUNTIFS('Таблиця 1'!$B:$B,$A101,'Таблиця 1'!$I:$I,"Mirage",'Таблиця 1'!$L:$L,"Дорозвідується")+COUNTIFS('Таблиця 1'!$B:$B,$A101,'Таблиця 1'!$I:$I,"F-16",'Таблиця 1'!$L:$L,"Дорозвідується")+COUNTIFS('Таблиця 1'!$B:$B,$A101,'Таблиця 1'!$I:$I,"МіГ-29",'Таблиця 1'!$L:$L,"Дорозвідується")+COUNTIFS('Таблиця 1'!$B:$B,$A101,'Таблиця 1'!$I:$I,"Су-25",'Таблиця 1'!$L:$L,"Дорозвідується")+COUNTIFS('Таблиця 1'!$B:$B,$A101,'Таблиця 1'!$I:$I,"Су-27",'Таблиця 1'!$L:$L,"Дорозвідується"))</f>
        <v/>
      </c>
    </row>
    <row r="102">
      <c r="A102" s="273">
        <f>IF(A101="","",IF(A101+1&gt;MAX('Таблиця 1'!$B:$B),"",A101+1))</f>
        <v/>
      </c>
      <c r="B102">
        <f>IF($A102="","",COUNTIFS('Таблиця 1'!$B:$B,$A102,'Таблиця 1'!$I:$I,"Mirage")+COUNTIFS('Таблиця 1'!$B:$B,$A102,'Таблиця 1'!$I:$I,"F-16")+COUNTIFS('Таблиця 1'!$B:$B,$A102,'Таблиця 1'!$I:$I,"МіГ-29")+COUNTIFS('Таблиця 1'!$B:$B,$A102,'Таблиця 1'!$I:$I,"Су-25")+COUNTIFS('Таблиця 1'!$B:$B,$A102,'Таблиця 1'!$I:$I,"Су-27"))</f>
        <v/>
      </c>
      <c r="C102">
        <f>IF($A102="","",COUNTIFS('Таблиця 1'!$B:$B,$A102,'Таблиця 1'!$I:$I,"Mirage"))</f>
        <v/>
      </c>
      <c r="D102">
        <f>IF($A102="","",COUNTIFS('Таблиця 1'!$B:$B,$A102,'Таблиця 1'!$I:$I,"F-16"))</f>
        <v/>
      </c>
      <c r="E102">
        <f>IF($A102="","",COUNTIFS('Таблиця 1'!$B:$B,$A102,'Таблиця 1'!$I:$I,"МіГ-29"))</f>
        <v/>
      </c>
      <c r="F102">
        <f>IF($A102="","",COUNTIFS('Таблиця 1'!$B:$B,$A102,'Таблиця 1'!$I:$I,"Су-25"))</f>
        <v/>
      </c>
      <c r="G102">
        <f>IF($A102="","",COUNTIFS('Таблиця 1'!$B:$B,$A102,'Таблиця 1'!$I:$I,"Су-27"))</f>
        <v/>
      </c>
      <c r="H102">
        <f>IF($A102="","",SUMIFS('Таблиця 1'!$K:$K,'Таблиця 1'!$B:$B,$A102,'Таблиця 1'!$I:$I,"Mirage",'Таблиця 1'!$J:$J,"AGM-88")+SUMIFS('Таблиця 1'!$K:$K,'Таблиця 1'!$B:$B,$A102,'Таблиця 1'!$I:$I,"F-16",'Таблиця 1'!$J:$J,"AGM-88")+SUMIFS('Таблиця 1'!$K:$K,'Таблиця 1'!$B:$B,$A102,'Таблиця 1'!$I:$I,"МіГ-29",'Таблиця 1'!$J:$J,"AGM-88")+SUMIFS('Таблиця 1'!$K:$K,'Таблиця 1'!$B:$B,$A102,'Таблиця 1'!$I:$I,"Су-25",'Таблиця 1'!$J:$J,"AGM-88")+SUMIFS('Таблиця 1'!$K:$K,'Таблиця 1'!$B:$B,$A102,'Таблиця 1'!$I:$I,"Су-27",'Таблиця 1'!$J:$J,"AGM-88"))</f>
        <v/>
      </c>
      <c r="I102">
        <f>IF($A102="","",SUMIFS('Таблиця 1'!$K:$K,'Таблиця 1'!$B:$B,$A102,'Таблиця 1'!$I:$I,"Mirage",'Таблиця 1'!$J:$J,"AASM-250")+SUMIFS('Таблиця 1'!$K:$K,'Таблиця 1'!$B:$B,$A102,'Таблиця 1'!$I:$I,"F-16",'Таблиця 1'!$J:$J,"AASM-250")+SUMIFS('Таблиця 1'!$K:$K,'Таблиця 1'!$B:$B,$A102,'Таблиця 1'!$I:$I,"МіГ-29",'Таблиця 1'!$J:$J,"AASM-250")+SUMIFS('Таблиця 1'!$K:$K,'Таблиця 1'!$B:$B,$A102,'Таблиця 1'!$I:$I,"Су-25",'Таблиця 1'!$J:$J,"AASM-250")+SUMIFS('Таблиця 1'!$K:$K,'Таблиця 1'!$B:$B,$A102,'Таблиця 1'!$I:$I,"Су-27",'Таблиця 1'!$J:$J,"AASM-250"))</f>
        <v/>
      </c>
      <c r="J102">
        <f>IF($A102="","",SUMIFS('Таблиця 1'!$K:$K,'Таблиця 1'!$B:$B,$A102,'Таблиця 1'!$I:$I,"Mirage",'Таблиця 1'!$J:$J,"GBU-39")+SUMIFS('Таблиця 1'!$K:$K,'Таблиця 1'!$B:$B,$A102,'Таблиця 1'!$I:$I,"F-16",'Таблиця 1'!$J:$J,"GBU-39")+SUMIFS('Таблиця 1'!$K:$K,'Таблиця 1'!$B:$B,$A102,'Таблиця 1'!$I:$I,"МіГ-29",'Таблиця 1'!$J:$J,"GBU-39")+SUMIFS('Таблиця 1'!$K:$K,'Таблиця 1'!$B:$B,$A102,'Таблиця 1'!$I:$I,"Су-25",'Таблиця 1'!$J:$J,"GBU-39")+SUMIFS('Таблиця 1'!$K:$K,'Таблиця 1'!$B:$B,$A102,'Таблиця 1'!$I:$I,"Су-27",'Таблиця 1'!$J:$J,"GBU-39"))</f>
        <v/>
      </c>
      <c r="K102">
        <f>IF($A102="","",SUMIFS('Таблиця 1'!$K:$K,'Таблиця 1'!$B:$B,$A102,'Таблиця 1'!$I:$I,"Mirage",'Таблиця 1'!$J:$J,"BLU-140")+SUMIFS('Таблиця 1'!$K:$K,'Таблиця 1'!$B:$B,$A102,'Таблиця 1'!$I:$I,"F-16",'Таблиця 1'!$J:$J,"BLU-140")+SUMIFS('Таблиця 1'!$K:$K,'Таблиця 1'!$B:$B,$A102,'Таблиця 1'!$I:$I,"МіГ-29",'Таблиця 1'!$J:$J,"BLU-140")+SUMIFS('Таблиця 1'!$K:$K,'Таблиця 1'!$B:$B,$A102,'Таблиця 1'!$I:$I,"Су-25",'Таблиця 1'!$J:$J,"BLU-140")+SUMIFS('Таблиця 1'!$K:$K,'Таблиця 1'!$B:$B,$A102,'Таблиця 1'!$I:$I,"Су-27",'Таблиця 1'!$J:$J,"BLU-140"))</f>
        <v/>
      </c>
      <c r="L102">
        <f>IF($A102="","",SUMIFS('Таблиця 1'!$K:$K,'Таблиця 1'!$B:$B,$A102,'Таблиця 1'!$I:$I,"Mirage",'Таблиця 1'!$J:$J,"GBU-65")+SUMIFS('Таблиця 1'!$K:$K,'Таблиця 1'!$B:$B,$A102,'Таблиця 1'!$I:$I,"F-16",'Таблиця 1'!$J:$J,"GBU-65")+SUMIFS('Таблиця 1'!$K:$K,'Таблиця 1'!$B:$B,$A102,'Таблиця 1'!$I:$I,"МіГ-29",'Таблиця 1'!$J:$J,"GBU-65")+SUMIFS('Таблиця 1'!$K:$K,'Таблиця 1'!$B:$B,$A102,'Таблиця 1'!$I:$I,"Су-25",'Таблиця 1'!$J:$J,"GBU-65")+SUMIFS('Таблиця 1'!$K:$K,'Таблиця 1'!$B:$B,$A102,'Таблиця 1'!$I:$I,"Су-27",'Таблиця 1'!$J:$J,"GBU-65"))</f>
        <v/>
      </c>
      <c r="M102">
        <f>IF($A102="","",SUMIFS('Таблиця 1'!$K:$K,'Таблиця 1'!$B:$B,$A102,'Таблиця 1'!$I:$I,"Mirage",'Таблиця 1'!$J:$J,"GBU-62")+SUMIFS('Таблиця 1'!$K:$K,'Таблиця 1'!$B:$B,$A102,'Таблиця 1'!$I:$I,"F-16",'Таблиця 1'!$J:$J,"GBU-62")+SUMIFS('Таблиця 1'!$K:$K,'Таблиця 1'!$B:$B,$A102,'Таблиця 1'!$I:$I,"МіГ-29",'Таблиця 1'!$J:$J,"GBU-62")+SUMIFS('Таблиця 1'!$K:$K,'Таблиця 1'!$B:$B,$A102,'Таблиця 1'!$I:$I,"Су-25",'Таблиця 1'!$J:$J,"GBU-62")+SUMIFS('Таблиця 1'!$K:$K,'Таблиця 1'!$B:$B,$A102,'Таблиця 1'!$I:$I,"Су-27",'Таблиця 1'!$J:$J,"GBU-62"))</f>
        <v/>
      </c>
      <c r="N102">
        <f>IF($A102="","",SUMIFS('Таблиця 1'!$K:$K,'Таблиця 1'!$B:$B,$A102,'Таблиця 1'!$I:$I,"Mirage",'Таблиця 1'!$J:$J,"GBU-64")+SUMIFS('Таблиця 1'!$K:$K,'Таблиця 1'!$B:$B,$A102,'Таблиця 1'!$I:$I,"F-16",'Таблиця 1'!$J:$J,"GBU-64")+SUMIFS('Таблиця 1'!$K:$K,'Таблиця 1'!$B:$B,$A102,'Таблиця 1'!$I:$I,"МіГ-29",'Таблиця 1'!$J:$J,"GBU-64")+SUMIFS('Таблиця 1'!$K:$K,'Таблиця 1'!$B:$B,$A102,'Таблиця 1'!$I:$I,"Су-25",'Таблиця 1'!$J:$J,"GBU-64")+SUMIFS('Таблиця 1'!$K:$K,'Таблиця 1'!$B:$B,$A102,'Таблиця 1'!$I:$I,"Су-27",'Таблиця 1'!$J:$J,"GBU-64"))</f>
        <v/>
      </c>
      <c r="O102">
        <f>IF($A102="","",SUMIFS('Таблиця 1'!$K:$K,'Таблиця 1'!$B:$B,$A102,'Таблиця 1'!$I:$I,"Mirage",'Таблиця 1'!$J:$J,"C-13")+SUMIFS('Таблиця 1'!$K:$K,'Таблиця 1'!$B:$B,$A102,'Таблиця 1'!$I:$I,"F-16",'Таблиця 1'!$J:$J,"C-13")+SUMIFS('Таблиця 1'!$K:$K,'Таблиця 1'!$B:$B,$A102,'Таблиця 1'!$I:$I,"МіГ-29",'Таблиця 1'!$J:$J,"C-13")+SUMIFS('Таблиця 1'!$K:$K,'Таблиця 1'!$B:$B,$A102,'Таблиця 1'!$I:$I,"Су-25",'Таблиця 1'!$J:$J,"C-13")+SUMIFS('Таблиця 1'!$K:$K,'Таблиця 1'!$B:$B,$A102,'Таблиця 1'!$I:$I,"Су-27",'Таблиця 1'!$J:$J,"C-13"))</f>
        <v/>
      </c>
      <c r="P102">
        <f>IF($A102="","",SUMIFS('Таблиця 1'!$K:$K,'Таблиця 1'!$B:$B,$A102,'Таблиця 1'!$I:$I,"Mirage",'Таблиця 1'!$J:$J,"MK-32")+SUMIFS('Таблиця 1'!$K:$K,'Таблиця 1'!$B:$B,$A102,'Таблиця 1'!$I:$I,"F-16",'Таблиця 1'!$J:$J,"MK-32")+SUMIFS('Таблиця 1'!$K:$K,'Таблиця 1'!$B:$B,$A102,'Таблиця 1'!$I:$I,"МіГ-29",'Таблиця 1'!$J:$J,"MK-32")+SUMIFS('Таблиця 1'!$K:$K,'Таблиця 1'!$B:$B,$A102,'Таблиця 1'!$I:$I,"Су-25",'Таблиця 1'!$J:$J,"MK-32")+SUMIFS('Таблиця 1'!$K:$K,'Таблиця 1'!$B:$B,$A102,'Таблиця 1'!$I:$I,"Су-27",'Таблиця 1'!$J:$J,"MK-32"))</f>
        <v/>
      </c>
      <c r="Q102">
        <f>IF($A102="","",SUMIFS('Таблиця 1'!$K:$K,'Таблиця 1'!$B:$B,$A102,'Таблиця 1'!$I:$I,"Mirage",'Таблиця 1'!$J:$J,"MK-24")+SUMIFS('Таблиця 1'!$K:$K,'Таблиця 1'!$B:$B,$A102,'Таблиця 1'!$I:$I,"F-16",'Таблиця 1'!$J:$J,"MK-24")+SUMIFS('Таблиця 1'!$K:$K,'Таблиця 1'!$B:$B,$A102,'Таблиця 1'!$I:$I,"МіГ-29",'Таблиця 1'!$J:$J,"MK-24")+SUMIFS('Таблиця 1'!$K:$K,'Таблиця 1'!$B:$B,$A102,'Таблиця 1'!$I:$I,"Су-25",'Таблиця 1'!$J:$J,"MK-24")+SUMIFS('Таблиця 1'!$K:$K,'Таблиця 1'!$B:$B,$A102,'Таблиця 1'!$I:$I,"Су-27",'Таблиця 1'!$J:$J,"MK-24"))</f>
        <v/>
      </c>
      <c r="R102">
        <f>IF($A102="","",COUNTIFS('Таблиця 1'!$B:$B,$A102,'Таблиця 1'!$I:$I,"Mirage",'Таблиця 1'!$L:$L,"Уражено")+COUNTIFS('Таблиця 1'!$B:$B,$A102,'Таблиця 1'!$I:$I,"F-16",'Таблиця 1'!$L:$L,"Уражено")+COUNTIFS('Таблиця 1'!$B:$B,$A102,'Таблиця 1'!$I:$I,"МіГ-29",'Таблиця 1'!$L:$L,"Уражено")+COUNTIFS('Таблиця 1'!$B:$B,$A102,'Таблиця 1'!$I:$I,"Су-25",'Таблиця 1'!$L:$L,"Уражено")+COUNTIFS('Таблиця 1'!$B:$B,$A102,'Таблиця 1'!$I:$I,"Су-27",'Таблиця 1'!$L:$L,"Уражено"))</f>
        <v/>
      </c>
      <c r="S102">
        <f>IF($A102="","",COUNTIFS('Таблиця 1'!$B:$B,$A102,'Таблиця 1'!$I:$I,"Mirage",'Таблиця 1'!$L:$L,"НЕ уражено")+COUNTIFS('Таблиця 1'!$B:$B,$A102,'Таблиця 1'!$I:$I,"F-16",'Таблиця 1'!$L:$L,"НЕ уражено")+COUNTIFS('Таблиця 1'!$B:$B,$A102,'Таблиця 1'!$I:$I,"МіГ-29",'Таблиця 1'!$L:$L,"НЕ уражено")+COUNTIFS('Таблиця 1'!$B:$B,$A102,'Таблиця 1'!$I:$I,"Су-25",'Таблиця 1'!$L:$L,"НЕ уражено")+COUNTIFS('Таблиця 1'!$B:$B,$A102,'Таблиця 1'!$I:$I,"Су-27",'Таблиця 1'!$L:$L,"НЕ уражено"))</f>
        <v/>
      </c>
      <c r="T102">
        <f>IF($A102="","",COUNTIFS('Таблиця 1'!$B:$B,$A102,'Таблиця 1'!$I:$I,"Mirage",'Таблиця 1'!$L:$L,"Дорозвідується")+COUNTIFS('Таблиця 1'!$B:$B,$A102,'Таблиця 1'!$I:$I,"F-16",'Таблиця 1'!$L:$L,"Дорозвідується")+COUNTIFS('Таблиця 1'!$B:$B,$A102,'Таблиця 1'!$I:$I,"МіГ-29",'Таблиця 1'!$L:$L,"Дорозвідується")+COUNTIFS('Таблиця 1'!$B:$B,$A102,'Таблиця 1'!$I:$I,"Су-25",'Таблиця 1'!$L:$L,"Дорозвідується")+COUNTIFS('Таблиця 1'!$B:$B,$A102,'Таблиця 1'!$I:$I,"Су-27",'Таблиця 1'!$L:$L,"Дорозвідується"))</f>
        <v/>
      </c>
    </row>
    <row r="103">
      <c r="A103" s="273">
        <f>IF(A102="","",IF(A102+1&gt;MAX('Таблиця 1'!$B:$B),"",A102+1))</f>
        <v/>
      </c>
      <c r="B103">
        <f>IF($A103="","",COUNTIFS('Таблиця 1'!$B:$B,$A103,'Таблиця 1'!$I:$I,"Mirage")+COUNTIFS('Таблиця 1'!$B:$B,$A103,'Таблиця 1'!$I:$I,"F-16")+COUNTIFS('Таблиця 1'!$B:$B,$A103,'Таблиця 1'!$I:$I,"МіГ-29")+COUNTIFS('Таблиця 1'!$B:$B,$A103,'Таблиця 1'!$I:$I,"Су-25")+COUNTIFS('Таблиця 1'!$B:$B,$A103,'Таблиця 1'!$I:$I,"Су-27"))</f>
        <v/>
      </c>
      <c r="C103">
        <f>IF($A103="","",COUNTIFS('Таблиця 1'!$B:$B,$A103,'Таблиця 1'!$I:$I,"Mirage"))</f>
        <v/>
      </c>
      <c r="D103">
        <f>IF($A103="","",COUNTIFS('Таблиця 1'!$B:$B,$A103,'Таблиця 1'!$I:$I,"F-16"))</f>
        <v/>
      </c>
      <c r="E103">
        <f>IF($A103="","",COUNTIFS('Таблиця 1'!$B:$B,$A103,'Таблиця 1'!$I:$I,"МіГ-29"))</f>
        <v/>
      </c>
      <c r="F103">
        <f>IF($A103="","",COUNTIFS('Таблиця 1'!$B:$B,$A103,'Таблиця 1'!$I:$I,"Су-25"))</f>
        <v/>
      </c>
      <c r="G103">
        <f>IF($A103="","",COUNTIFS('Таблиця 1'!$B:$B,$A103,'Таблиця 1'!$I:$I,"Су-27"))</f>
        <v/>
      </c>
      <c r="H103">
        <f>IF($A103="","",SUMIFS('Таблиця 1'!$K:$K,'Таблиця 1'!$B:$B,$A103,'Таблиця 1'!$I:$I,"Mirage",'Таблиця 1'!$J:$J,"AGM-88")+SUMIFS('Таблиця 1'!$K:$K,'Таблиця 1'!$B:$B,$A103,'Таблиця 1'!$I:$I,"F-16",'Таблиця 1'!$J:$J,"AGM-88")+SUMIFS('Таблиця 1'!$K:$K,'Таблиця 1'!$B:$B,$A103,'Таблиця 1'!$I:$I,"МіГ-29",'Таблиця 1'!$J:$J,"AGM-88")+SUMIFS('Таблиця 1'!$K:$K,'Таблиця 1'!$B:$B,$A103,'Таблиця 1'!$I:$I,"Су-25",'Таблиця 1'!$J:$J,"AGM-88")+SUMIFS('Таблиця 1'!$K:$K,'Таблиця 1'!$B:$B,$A103,'Таблиця 1'!$I:$I,"Су-27",'Таблиця 1'!$J:$J,"AGM-88"))</f>
        <v/>
      </c>
      <c r="I103">
        <f>IF($A103="","",SUMIFS('Таблиця 1'!$K:$K,'Таблиця 1'!$B:$B,$A103,'Таблиця 1'!$I:$I,"Mirage",'Таблиця 1'!$J:$J,"AASM-250")+SUMIFS('Таблиця 1'!$K:$K,'Таблиця 1'!$B:$B,$A103,'Таблиця 1'!$I:$I,"F-16",'Таблиця 1'!$J:$J,"AASM-250")+SUMIFS('Таблиця 1'!$K:$K,'Таблиця 1'!$B:$B,$A103,'Таблиця 1'!$I:$I,"МіГ-29",'Таблиця 1'!$J:$J,"AASM-250")+SUMIFS('Таблиця 1'!$K:$K,'Таблиця 1'!$B:$B,$A103,'Таблиця 1'!$I:$I,"Су-25",'Таблиця 1'!$J:$J,"AASM-250")+SUMIFS('Таблиця 1'!$K:$K,'Таблиця 1'!$B:$B,$A103,'Таблиця 1'!$I:$I,"Су-27",'Таблиця 1'!$J:$J,"AASM-250"))</f>
        <v/>
      </c>
      <c r="J103">
        <f>IF($A103="","",SUMIFS('Таблиця 1'!$K:$K,'Таблиця 1'!$B:$B,$A103,'Таблиця 1'!$I:$I,"Mirage",'Таблиця 1'!$J:$J,"GBU-39")+SUMIFS('Таблиця 1'!$K:$K,'Таблиця 1'!$B:$B,$A103,'Таблиця 1'!$I:$I,"F-16",'Таблиця 1'!$J:$J,"GBU-39")+SUMIFS('Таблиця 1'!$K:$K,'Таблиця 1'!$B:$B,$A103,'Таблиця 1'!$I:$I,"МіГ-29",'Таблиця 1'!$J:$J,"GBU-39")+SUMIFS('Таблиця 1'!$K:$K,'Таблиця 1'!$B:$B,$A103,'Таблиця 1'!$I:$I,"Су-25",'Таблиця 1'!$J:$J,"GBU-39")+SUMIFS('Таблиця 1'!$K:$K,'Таблиця 1'!$B:$B,$A103,'Таблиця 1'!$I:$I,"Су-27",'Таблиця 1'!$J:$J,"GBU-39"))</f>
        <v/>
      </c>
      <c r="K103">
        <f>IF($A103="","",SUMIFS('Таблиця 1'!$K:$K,'Таблиця 1'!$B:$B,$A103,'Таблиця 1'!$I:$I,"Mirage",'Таблиця 1'!$J:$J,"BLU-140")+SUMIFS('Таблиця 1'!$K:$K,'Таблиця 1'!$B:$B,$A103,'Таблиця 1'!$I:$I,"F-16",'Таблиця 1'!$J:$J,"BLU-140")+SUMIFS('Таблиця 1'!$K:$K,'Таблиця 1'!$B:$B,$A103,'Таблиця 1'!$I:$I,"МіГ-29",'Таблиця 1'!$J:$J,"BLU-140")+SUMIFS('Таблиця 1'!$K:$K,'Таблиця 1'!$B:$B,$A103,'Таблиця 1'!$I:$I,"Су-25",'Таблиця 1'!$J:$J,"BLU-140")+SUMIFS('Таблиця 1'!$K:$K,'Таблиця 1'!$B:$B,$A103,'Таблиця 1'!$I:$I,"Су-27",'Таблиця 1'!$J:$J,"BLU-140"))</f>
        <v/>
      </c>
      <c r="L103">
        <f>IF($A103="","",SUMIFS('Таблиця 1'!$K:$K,'Таблиця 1'!$B:$B,$A103,'Таблиця 1'!$I:$I,"Mirage",'Таблиця 1'!$J:$J,"GBU-65")+SUMIFS('Таблиця 1'!$K:$K,'Таблиця 1'!$B:$B,$A103,'Таблиця 1'!$I:$I,"F-16",'Таблиця 1'!$J:$J,"GBU-65")+SUMIFS('Таблиця 1'!$K:$K,'Таблиця 1'!$B:$B,$A103,'Таблиця 1'!$I:$I,"МіГ-29",'Таблиця 1'!$J:$J,"GBU-65")+SUMIFS('Таблиця 1'!$K:$K,'Таблиця 1'!$B:$B,$A103,'Таблиця 1'!$I:$I,"Су-25",'Таблиця 1'!$J:$J,"GBU-65")+SUMIFS('Таблиця 1'!$K:$K,'Таблиця 1'!$B:$B,$A103,'Таблиця 1'!$I:$I,"Су-27",'Таблиця 1'!$J:$J,"GBU-65"))</f>
        <v/>
      </c>
      <c r="M103">
        <f>IF($A103="","",SUMIFS('Таблиця 1'!$K:$K,'Таблиця 1'!$B:$B,$A103,'Таблиця 1'!$I:$I,"Mirage",'Таблиця 1'!$J:$J,"GBU-62")+SUMIFS('Таблиця 1'!$K:$K,'Таблиця 1'!$B:$B,$A103,'Таблиця 1'!$I:$I,"F-16",'Таблиця 1'!$J:$J,"GBU-62")+SUMIFS('Таблиця 1'!$K:$K,'Таблиця 1'!$B:$B,$A103,'Таблиця 1'!$I:$I,"МіГ-29",'Таблиця 1'!$J:$J,"GBU-62")+SUMIFS('Таблиця 1'!$K:$K,'Таблиця 1'!$B:$B,$A103,'Таблиця 1'!$I:$I,"Су-25",'Таблиця 1'!$J:$J,"GBU-62")+SUMIFS('Таблиця 1'!$K:$K,'Таблиця 1'!$B:$B,$A103,'Таблиця 1'!$I:$I,"Су-27",'Таблиця 1'!$J:$J,"GBU-62"))</f>
        <v/>
      </c>
      <c r="N103">
        <f>IF($A103="","",SUMIFS('Таблиця 1'!$K:$K,'Таблиця 1'!$B:$B,$A103,'Таблиця 1'!$I:$I,"Mirage",'Таблиця 1'!$J:$J,"GBU-64")+SUMIFS('Таблиця 1'!$K:$K,'Таблиця 1'!$B:$B,$A103,'Таблиця 1'!$I:$I,"F-16",'Таблиця 1'!$J:$J,"GBU-64")+SUMIFS('Таблиця 1'!$K:$K,'Таблиця 1'!$B:$B,$A103,'Таблиця 1'!$I:$I,"МіГ-29",'Таблиця 1'!$J:$J,"GBU-64")+SUMIFS('Таблиця 1'!$K:$K,'Таблиця 1'!$B:$B,$A103,'Таблиця 1'!$I:$I,"Су-25",'Таблиця 1'!$J:$J,"GBU-64")+SUMIFS('Таблиця 1'!$K:$K,'Таблиця 1'!$B:$B,$A103,'Таблиця 1'!$I:$I,"Су-27",'Таблиця 1'!$J:$J,"GBU-64"))</f>
        <v/>
      </c>
      <c r="O103">
        <f>IF($A103="","",SUMIFS('Таблиця 1'!$K:$K,'Таблиця 1'!$B:$B,$A103,'Таблиця 1'!$I:$I,"Mirage",'Таблиця 1'!$J:$J,"C-13")+SUMIFS('Таблиця 1'!$K:$K,'Таблиця 1'!$B:$B,$A103,'Таблиця 1'!$I:$I,"F-16",'Таблиця 1'!$J:$J,"C-13")+SUMIFS('Таблиця 1'!$K:$K,'Таблиця 1'!$B:$B,$A103,'Таблиця 1'!$I:$I,"МіГ-29",'Таблиця 1'!$J:$J,"C-13")+SUMIFS('Таблиця 1'!$K:$K,'Таблиця 1'!$B:$B,$A103,'Таблиця 1'!$I:$I,"Су-25",'Таблиця 1'!$J:$J,"C-13")+SUMIFS('Таблиця 1'!$K:$K,'Таблиця 1'!$B:$B,$A103,'Таблиця 1'!$I:$I,"Су-27",'Таблиця 1'!$J:$J,"C-13"))</f>
        <v/>
      </c>
      <c r="P103">
        <f>IF($A103="","",SUMIFS('Таблиця 1'!$K:$K,'Таблиця 1'!$B:$B,$A103,'Таблиця 1'!$I:$I,"Mirage",'Таблиця 1'!$J:$J,"MK-32")+SUMIFS('Таблиця 1'!$K:$K,'Таблиця 1'!$B:$B,$A103,'Таблиця 1'!$I:$I,"F-16",'Таблиця 1'!$J:$J,"MK-32")+SUMIFS('Таблиця 1'!$K:$K,'Таблиця 1'!$B:$B,$A103,'Таблиця 1'!$I:$I,"МіГ-29",'Таблиця 1'!$J:$J,"MK-32")+SUMIFS('Таблиця 1'!$K:$K,'Таблиця 1'!$B:$B,$A103,'Таблиця 1'!$I:$I,"Су-25",'Таблиця 1'!$J:$J,"MK-32")+SUMIFS('Таблиця 1'!$K:$K,'Таблиця 1'!$B:$B,$A103,'Таблиця 1'!$I:$I,"Су-27",'Таблиця 1'!$J:$J,"MK-32"))</f>
        <v/>
      </c>
      <c r="Q103">
        <f>IF($A103="","",SUMIFS('Таблиця 1'!$K:$K,'Таблиця 1'!$B:$B,$A103,'Таблиця 1'!$I:$I,"Mirage",'Таблиця 1'!$J:$J,"MK-24")+SUMIFS('Таблиця 1'!$K:$K,'Таблиця 1'!$B:$B,$A103,'Таблиця 1'!$I:$I,"F-16",'Таблиця 1'!$J:$J,"MK-24")+SUMIFS('Таблиця 1'!$K:$K,'Таблиця 1'!$B:$B,$A103,'Таблиця 1'!$I:$I,"МіГ-29",'Таблиця 1'!$J:$J,"MK-24")+SUMIFS('Таблиця 1'!$K:$K,'Таблиця 1'!$B:$B,$A103,'Таблиця 1'!$I:$I,"Су-25",'Таблиця 1'!$J:$J,"MK-24")+SUMIFS('Таблиця 1'!$K:$K,'Таблиця 1'!$B:$B,$A103,'Таблиця 1'!$I:$I,"Су-27",'Таблиця 1'!$J:$J,"MK-24"))</f>
        <v/>
      </c>
      <c r="R103">
        <f>IF($A103="","",COUNTIFS('Таблиця 1'!$B:$B,$A103,'Таблиця 1'!$I:$I,"Mirage",'Таблиця 1'!$L:$L,"Уражено")+COUNTIFS('Таблиця 1'!$B:$B,$A103,'Таблиця 1'!$I:$I,"F-16",'Таблиця 1'!$L:$L,"Уражено")+COUNTIFS('Таблиця 1'!$B:$B,$A103,'Таблиця 1'!$I:$I,"МіГ-29",'Таблиця 1'!$L:$L,"Уражено")+COUNTIFS('Таблиця 1'!$B:$B,$A103,'Таблиця 1'!$I:$I,"Су-25",'Таблиця 1'!$L:$L,"Уражено")+COUNTIFS('Таблиця 1'!$B:$B,$A103,'Таблиця 1'!$I:$I,"Су-27",'Таблиця 1'!$L:$L,"Уражено"))</f>
        <v/>
      </c>
      <c r="S103">
        <f>IF($A103="","",COUNTIFS('Таблиця 1'!$B:$B,$A103,'Таблиця 1'!$I:$I,"Mirage",'Таблиця 1'!$L:$L,"НЕ уражено")+COUNTIFS('Таблиця 1'!$B:$B,$A103,'Таблиця 1'!$I:$I,"F-16",'Таблиця 1'!$L:$L,"НЕ уражено")+COUNTIFS('Таблиця 1'!$B:$B,$A103,'Таблиця 1'!$I:$I,"МіГ-29",'Таблиця 1'!$L:$L,"НЕ уражено")+COUNTIFS('Таблиця 1'!$B:$B,$A103,'Таблиця 1'!$I:$I,"Су-25",'Таблиця 1'!$L:$L,"НЕ уражено")+COUNTIFS('Таблиця 1'!$B:$B,$A103,'Таблиця 1'!$I:$I,"Су-27",'Таблиця 1'!$L:$L,"НЕ уражено"))</f>
        <v/>
      </c>
      <c r="T103">
        <f>IF($A103="","",COUNTIFS('Таблиця 1'!$B:$B,$A103,'Таблиця 1'!$I:$I,"Mirage",'Таблиця 1'!$L:$L,"Дорозвідується")+COUNTIFS('Таблиця 1'!$B:$B,$A103,'Таблиця 1'!$I:$I,"F-16",'Таблиця 1'!$L:$L,"Дорозвідується")+COUNTIFS('Таблиця 1'!$B:$B,$A103,'Таблиця 1'!$I:$I,"МіГ-29",'Таблиця 1'!$L:$L,"Дорозвідується")+COUNTIFS('Таблиця 1'!$B:$B,$A103,'Таблиця 1'!$I:$I,"Су-25",'Таблиця 1'!$L:$L,"Дорозвідується")+COUNTIFS('Таблиця 1'!$B:$B,$A103,'Таблиця 1'!$I:$I,"Су-27",'Таблиця 1'!$L:$L,"Дорозвідується"))</f>
        <v/>
      </c>
    </row>
    <row r="104">
      <c r="A104" s="273">
        <f>IF(A103="","",IF(A103+1&gt;MAX('Таблиця 1'!$B:$B),"",A103+1))</f>
        <v/>
      </c>
      <c r="B104">
        <f>IF($A104="","",COUNTIFS('Таблиця 1'!$B:$B,$A104,'Таблиця 1'!$I:$I,"Mirage")+COUNTIFS('Таблиця 1'!$B:$B,$A104,'Таблиця 1'!$I:$I,"F-16")+COUNTIFS('Таблиця 1'!$B:$B,$A104,'Таблиця 1'!$I:$I,"МіГ-29")+COUNTIFS('Таблиця 1'!$B:$B,$A104,'Таблиця 1'!$I:$I,"Су-25")+COUNTIFS('Таблиця 1'!$B:$B,$A104,'Таблиця 1'!$I:$I,"Су-27"))</f>
        <v/>
      </c>
      <c r="C104">
        <f>IF($A104="","",COUNTIFS('Таблиця 1'!$B:$B,$A104,'Таблиця 1'!$I:$I,"Mirage"))</f>
        <v/>
      </c>
      <c r="D104">
        <f>IF($A104="","",COUNTIFS('Таблиця 1'!$B:$B,$A104,'Таблиця 1'!$I:$I,"F-16"))</f>
        <v/>
      </c>
      <c r="E104">
        <f>IF($A104="","",COUNTIFS('Таблиця 1'!$B:$B,$A104,'Таблиця 1'!$I:$I,"МіГ-29"))</f>
        <v/>
      </c>
      <c r="F104">
        <f>IF($A104="","",COUNTIFS('Таблиця 1'!$B:$B,$A104,'Таблиця 1'!$I:$I,"Су-25"))</f>
        <v/>
      </c>
      <c r="G104">
        <f>IF($A104="","",COUNTIFS('Таблиця 1'!$B:$B,$A104,'Таблиця 1'!$I:$I,"Су-27"))</f>
        <v/>
      </c>
      <c r="H104">
        <f>IF($A104="","",SUMIFS('Таблиця 1'!$K:$K,'Таблиця 1'!$B:$B,$A104,'Таблиця 1'!$I:$I,"Mirage",'Таблиця 1'!$J:$J,"AGM-88")+SUMIFS('Таблиця 1'!$K:$K,'Таблиця 1'!$B:$B,$A104,'Таблиця 1'!$I:$I,"F-16",'Таблиця 1'!$J:$J,"AGM-88")+SUMIFS('Таблиця 1'!$K:$K,'Таблиця 1'!$B:$B,$A104,'Таблиця 1'!$I:$I,"МіГ-29",'Таблиця 1'!$J:$J,"AGM-88")+SUMIFS('Таблиця 1'!$K:$K,'Таблиця 1'!$B:$B,$A104,'Таблиця 1'!$I:$I,"Су-25",'Таблиця 1'!$J:$J,"AGM-88")+SUMIFS('Таблиця 1'!$K:$K,'Таблиця 1'!$B:$B,$A104,'Таблиця 1'!$I:$I,"Су-27",'Таблиця 1'!$J:$J,"AGM-88"))</f>
        <v/>
      </c>
      <c r="I104">
        <f>IF($A104="","",SUMIFS('Таблиця 1'!$K:$K,'Таблиця 1'!$B:$B,$A104,'Таблиця 1'!$I:$I,"Mirage",'Таблиця 1'!$J:$J,"AASM-250")+SUMIFS('Таблиця 1'!$K:$K,'Таблиця 1'!$B:$B,$A104,'Таблиця 1'!$I:$I,"F-16",'Таблиця 1'!$J:$J,"AASM-250")+SUMIFS('Таблиця 1'!$K:$K,'Таблиця 1'!$B:$B,$A104,'Таблиця 1'!$I:$I,"МіГ-29",'Таблиця 1'!$J:$J,"AASM-250")+SUMIFS('Таблиця 1'!$K:$K,'Таблиця 1'!$B:$B,$A104,'Таблиця 1'!$I:$I,"Су-25",'Таблиця 1'!$J:$J,"AASM-250")+SUMIFS('Таблиця 1'!$K:$K,'Таблиця 1'!$B:$B,$A104,'Таблиця 1'!$I:$I,"Су-27",'Таблиця 1'!$J:$J,"AASM-250"))</f>
        <v/>
      </c>
      <c r="J104">
        <f>IF($A104="","",SUMIFS('Таблиця 1'!$K:$K,'Таблиця 1'!$B:$B,$A104,'Таблиця 1'!$I:$I,"Mirage",'Таблиця 1'!$J:$J,"GBU-39")+SUMIFS('Таблиця 1'!$K:$K,'Таблиця 1'!$B:$B,$A104,'Таблиця 1'!$I:$I,"F-16",'Таблиця 1'!$J:$J,"GBU-39")+SUMIFS('Таблиця 1'!$K:$K,'Таблиця 1'!$B:$B,$A104,'Таблиця 1'!$I:$I,"МіГ-29",'Таблиця 1'!$J:$J,"GBU-39")+SUMIFS('Таблиця 1'!$K:$K,'Таблиця 1'!$B:$B,$A104,'Таблиця 1'!$I:$I,"Су-25",'Таблиця 1'!$J:$J,"GBU-39")+SUMIFS('Таблиця 1'!$K:$K,'Таблиця 1'!$B:$B,$A104,'Таблиця 1'!$I:$I,"Су-27",'Таблиця 1'!$J:$J,"GBU-39"))</f>
        <v/>
      </c>
      <c r="K104">
        <f>IF($A104="","",SUMIFS('Таблиця 1'!$K:$K,'Таблиця 1'!$B:$B,$A104,'Таблиця 1'!$I:$I,"Mirage",'Таблиця 1'!$J:$J,"BLU-140")+SUMIFS('Таблиця 1'!$K:$K,'Таблиця 1'!$B:$B,$A104,'Таблиця 1'!$I:$I,"F-16",'Таблиця 1'!$J:$J,"BLU-140")+SUMIFS('Таблиця 1'!$K:$K,'Таблиця 1'!$B:$B,$A104,'Таблиця 1'!$I:$I,"МіГ-29",'Таблиця 1'!$J:$J,"BLU-140")+SUMIFS('Таблиця 1'!$K:$K,'Таблиця 1'!$B:$B,$A104,'Таблиця 1'!$I:$I,"Су-25",'Таблиця 1'!$J:$J,"BLU-140")+SUMIFS('Таблиця 1'!$K:$K,'Таблиця 1'!$B:$B,$A104,'Таблиця 1'!$I:$I,"Су-27",'Таблиця 1'!$J:$J,"BLU-140"))</f>
        <v/>
      </c>
      <c r="L104">
        <f>IF($A104="","",SUMIFS('Таблиця 1'!$K:$K,'Таблиця 1'!$B:$B,$A104,'Таблиця 1'!$I:$I,"Mirage",'Таблиця 1'!$J:$J,"GBU-65")+SUMIFS('Таблиця 1'!$K:$K,'Таблиця 1'!$B:$B,$A104,'Таблиця 1'!$I:$I,"F-16",'Таблиця 1'!$J:$J,"GBU-65")+SUMIFS('Таблиця 1'!$K:$K,'Таблиця 1'!$B:$B,$A104,'Таблиця 1'!$I:$I,"МіГ-29",'Таблиця 1'!$J:$J,"GBU-65")+SUMIFS('Таблиця 1'!$K:$K,'Таблиця 1'!$B:$B,$A104,'Таблиця 1'!$I:$I,"Су-25",'Таблиця 1'!$J:$J,"GBU-65")+SUMIFS('Таблиця 1'!$K:$K,'Таблиця 1'!$B:$B,$A104,'Таблиця 1'!$I:$I,"Су-27",'Таблиця 1'!$J:$J,"GBU-65"))</f>
        <v/>
      </c>
      <c r="M104">
        <f>IF($A104="","",SUMIFS('Таблиця 1'!$K:$K,'Таблиця 1'!$B:$B,$A104,'Таблиця 1'!$I:$I,"Mirage",'Таблиця 1'!$J:$J,"GBU-62")+SUMIFS('Таблиця 1'!$K:$K,'Таблиця 1'!$B:$B,$A104,'Таблиця 1'!$I:$I,"F-16",'Таблиця 1'!$J:$J,"GBU-62")+SUMIFS('Таблиця 1'!$K:$K,'Таблиця 1'!$B:$B,$A104,'Таблиця 1'!$I:$I,"МіГ-29",'Таблиця 1'!$J:$J,"GBU-62")+SUMIFS('Таблиця 1'!$K:$K,'Таблиця 1'!$B:$B,$A104,'Таблиця 1'!$I:$I,"Су-25",'Таблиця 1'!$J:$J,"GBU-62")+SUMIFS('Таблиця 1'!$K:$K,'Таблиця 1'!$B:$B,$A104,'Таблиця 1'!$I:$I,"Су-27",'Таблиця 1'!$J:$J,"GBU-62"))</f>
        <v/>
      </c>
      <c r="N104">
        <f>IF($A104="","",SUMIFS('Таблиця 1'!$K:$K,'Таблиця 1'!$B:$B,$A104,'Таблиця 1'!$I:$I,"Mirage",'Таблиця 1'!$J:$J,"GBU-64")+SUMIFS('Таблиця 1'!$K:$K,'Таблиця 1'!$B:$B,$A104,'Таблиця 1'!$I:$I,"F-16",'Таблиця 1'!$J:$J,"GBU-64")+SUMIFS('Таблиця 1'!$K:$K,'Таблиця 1'!$B:$B,$A104,'Таблиця 1'!$I:$I,"МіГ-29",'Таблиця 1'!$J:$J,"GBU-64")+SUMIFS('Таблиця 1'!$K:$K,'Таблиця 1'!$B:$B,$A104,'Таблиця 1'!$I:$I,"Су-25",'Таблиця 1'!$J:$J,"GBU-64")+SUMIFS('Таблиця 1'!$K:$K,'Таблиця 1'!$B:$B,$A104,'Таблиця 1'!$I:$I,"Су-27",'Таблиця 1'!$J:$J,"GBU-64"))</f>
        <v/>
      </c>
      <c r="O104">
        <f>IF($A104="","",SUMIFS('Таблиця 1'!$K:$K,'Таблиця 1'!$B:$B,$A104,'Таблиця 1'!$I:$I,"Mirage",'Таблиця 1'!$J:$J,"C-13")+SUMIFS('Таблиця 1'!$K:$K,'Таблиця 1'!$B:$B,$A104,'Таблиця 1'!$I:$I,"F-16",'Таблиця 1'!$J:$J,"C-13")+SUMIFS('Таблиця 1'!$K:$K,'Таблиця 1'!$B:$B,$A104,'Таблиця 1'!$I:$I,"МіГ-29",'Таблиця 1'!$J:$J,"C-13")+SUMIFS('Таблиця 1'!$K:$K,'Таблиця 1'!$B:$B,$A104,'Таблиця 1'!$I:$I,"Су-25",'Таблиця 1'!$J:$J,"C-13")+SUMIFS('Таблиця 1'!$K:$K,'Таблиця 1'!$B:$B,$A104,'Таблиця 1'!$I:$I,"Су-27",'Таблиця 1'!$J:$J,"C-13"))</f>
        <v/>
      </c>
      <c r="P104">
        <f>IF($A104="","",SUMIFS('Таблиця 1'!$K:$K,'Таблиця 1'!$B:$B,$A104,'Таблиця 1'!$I:$I,"Mirage",'Таблиця 1'!$J:$J,"MK-32")+SUMIFS('Таблиця 1'!$K:$K,'Таблиця 1'!$B:$B,$A104,'Таблиця 1'!$I:$I,"F-16",'Таблиця 1'!$J:$J,"MK-32")+SUMIFS('Таблиця 1'!$K:$K,'Таблиця 1'!$B:$B,$A104,'Таблиця 1'!$I:$I,"МіГ-29",'Таблиця 1'!$J:$J,"MK-32")+SUMIFS('Таблиця 1'!$K:$K,'Таблиця 1'!$B:$B,$A104,'Таблиця 1'!$I:$I,"Су-25",'Таблиця 1'!$J:$J,"MK-32")+SUMIFS('Таблиця 1'!$K:$K,'Таблиця 1'!$B:$B,$A104,'Таблиця 1'!$I:$I,"Су-27",'Таблиця 1'!$J:$J,"MK-32"))</f>
        <v/>
      </c>
      <c r="Q104">
        <f>IF($A104="","",SUMIFS('Таблиця 1'!$K:$K,'Таблиця 1'!$B:$B,$A104,'Таблиця 1'!$I:$I,"Mirage",'Таблиця 1'!$J:$J,"MK-24")+SUMIFS('Таблиця 1'!$K:$K,'Таблиця 1'!$B:$B,$A104,'Таблиця 1'!$I:$I,"F-16",'Таблиця 1'!$J:$J,"MK-24")+SUMIFS('Таблиця 1'!$K:$K,'Таблиця 1'!$B:$B,$A104,'Таблиця 1'!$I:$I,"МіГ-29",'Таблиця 1'!$J:$J,"MK-24")+SUMIFS('Таблиця 1'!$K:$K,'Таблиця 1'!$B:$B,$A104,'Таблиця 1'!$I:$I,"Су-25",'Таблиця 1'!$J:$J,"MK-24")+SUMIFS('Таблиця 1'!$K:$K,'Таблиця 1'!$B:$B,$A104,'Таблиця 1'!$I:$I,"Су-27",'Таблиця 1'!$J:$J,"MK-24"))</f>
        <v/>
      </c>
      <c r="R104">
        <f>IF($A104="","",COUNTIFS('Таблиця 1'!$B:$B,$A104,'Таблиця 1'!$I:$I,"Mirage",'Таблиця 1'!$L:$L,"Уражено")+COUNTIFS('Таблиця 1'!$B:$B,$A104,'Таблиця 1'!$I:$I,"F-16",'Таблиця 1'!$L:$L,"Уражено")+COUNTIFS('Таблиця 1'!$B:$B,$A104,'Таблиця 1'!$I:$I,"МіГ-29",'Таблиця 1'!$L:$L,"Уражено")+COUNTIFS('Таблиця 1'!$B:$B,$A104,'Таблиця 1'!$I:$I,"Су-25",'Таблиця 1'!$L:$L,"Уражено")+COUNTIFS('Таблиця 1'!$B:$B,$A104,'Таблиця 1'!$I:$I,"Су-27",'Таблиця 1'!$L:$L,"Уражено"))</f>
        <v/>
      </c>
      <c r="S104">
        <f>IF($A104="","",COUNTIFS('Таблиця 1'!$B:$B,$A104,'Таблиця 1'!$I:$I,"Mirage",'Таблиця 1'!$L:$L,"НЕ уражено")+COUNTIFS('Таблиця 1'!$B:$B,$A104,'Таблиця 1'!$I:$I,"F-16",'Таблиця 1'!$L:$L,"НЕ уражено")+COUNTIFS('Таблиця 1'!$B:$B,$A104,'Таблиця 1'!$I:$I,"МіГ-29",'Таблиця 1'!$L:$L,"НЕ уражено")+COUNTIFS('Таблиця 1'!$B:$B,$A104,'Таблиця 1'!$I:$I,"Су-25",'Таблиця 1'!$L:$L,"НЕ уражено")+COUNTIFS('Таблиця 1'!$B:$B,$A104,'Таблиця 1'!$I:$I,"Су-27",'Таблиця 1'!$L:$L,"НЕ уражено"))</f>
        <v/>
      </c>
      <c r="T104">
        <f>IF($A104="","",COUNTIFS('Таблиця 1'!$B:$B,$A104,'Таблиця 1'!$I:$I,"Mirage",'Таблиця 1'!$L:$L,"Дорозвідується")+COUNTIFS('Таблиця 1'!$B:$B,$A104,'Таблиця 1'!$I:$I,"F-16",'Таблиця 1'!$L:$L,"Дорозвідується")+COUNTIFS('Таблиця 1'!$B:$B,$A104,'Таблиця 1'!$I:$I,"МіГ-29",'Таблиця 1'!$L:$L,"Дорозвідується")+COUNTIFS('Таблиця 1'!$B:$B,$A104,'Таблиця 1'!$I:$I,"Су-25",'Таблиця 1'!$L:$L,"Дорозвідується")+COUNTIFS('Таблиця 1'!$B:$B,$A104,'Таблиця 1'!$I:$I,"Су-27",'Таблиця 1'!$L:$L,"Дорозвідується"))</f>
        <v/>
      </c>
    </row>
    <row r="105">
      <c r="A105" s="273">
        <f>IF(A104="","",IF(A104+1&gt;MAX('Таблиця 1'!$B:$B),"",A104+1))</f>
        <v/>
      </c>
      <c r="B105">
        <f>IF($A105="","",COUNTIFS('Таблиця 1'!$B:$B,$A105,'Таблиця 1'!$I:$I,"Mirage")+COUNTIFS('Таблиця 1'!$B:$B,$A105,'Таблиця 1'!$I:$I,"F-16")+COUNTIFS('Таблиця 1'!$B:$B,$A105,'Таблиця 1'!$I:$I,"МіГ-29")+COUNTIFS('Таблиця 1'!$B:$B,$A105,'Таблиця 1'!$I:$I,"Су-25")+COUNTIFS('Таблиця 1'!$B:$B,$A105,'Таблиця 1'!$I:$I,"Су-27"))</f>
        <v/>
      </c>
      <c r="C105">
        <f>IF($A105="","",COUNTIFS('Таблиця 1'!$B:$B,$A105,'Таблиця 1'!$I:$I,"Mirage"))</f>
        <v/>
      </c>
      <c r="D105">
        <f>IF($A105="","",COUNTIFS('Таблиця 1'!$B:$B,$A105,'Таблиця 1'!$I:$I,"F-16"))</f>
        <v/>
      </c>
      <c r="E105">
        <f>IF($A105="","",COUNTIFS('Таблиця 1'!$B:$B,$A105,'Таблиця 1'!$I:$I,"МіГ-29"))</f>
        <v/>
      </c>
      <c r="F105">
        <f>IF($A105="","",COUNTIFS('Таблиця 1'!$B:$B,$A105,'Таблиця 1'!$I:$I,"Су-25"))</f>
        <v/>
      </c>
      <c r="G105">
        <f>IF($A105="","",COUNTIFS('Таблиця 1'!$B:$B,$A105,'Таблиця 1'!$I:$I,"Су-27"))</f>
        <v/>
      </c>
      <c r="H105">
        <f>IF($A105="","",SUMIFS('Таблиця 1'!$K:$K,'Таблиця 1'!$B:$B,$A105,'Таблиця 1'!$I:$I,"Mirage",'Таблиця 1'!$J:$J,"AGM-88")+SUMIFS('Таблиця 1'!$K:$K,'Таблиця 1'!$B:$B,$A105,'Таблиця 1'!$I:$I,"F-16",'Таблиця 1'!$J:$J,"AGM-88")+SUMIFS('Таблиця 1'!$K:$K,'Таблиця 1'!$B:$B,$A105,'Таблиця 1'!$I:$I,"МіГ-29",'Таблиця 1'!$J:$J,"AGM-88")+SUMIFS('Таблиця 1'!$K:$K,'Таблиця 1'!$B:$B,$A105,'Таблиця 1'!$I:$I,"Су-25",'Таблиця 1'!$J:$J,"AGM-88")+SUMIFS('Таблиця 1'!$K:$K,'Таблиця 1'!$B:$B,$A105,'Таблиця 1'!$I:$I,"Су-27",'Таблиця 1'!$J:$J,"AGM-88"))</f>
        <v/>
      </c>
      <c r="I105">
        <f>IF($A105="","",SUMIFS('Таблиця 1'!$K:$K,'Таблиця 1'!$B:$B,$A105,'Таблиця 1'!$I:$I,"Mirage",'Таблиця 1'!$J:$J,"AASM-250")+SUMIFS('Таблиця 1'!$K:$K,'Таблиця 1'!$B:$B,$A105,'Таблиця 1'!$I:$I,"F-16",'Таблиця 1'!$J:$J,"AASM-250")+SUMIFS('Таблиця 1'!$K:$K,'Таблиця 1'!$B:$B,$A105,'Таблиця 1'!$I:$I,"МіГ-29",'Таблиця 1'!$J:$J,"AASM-250")+SUMIFS('Таблиця 1'!$K:$K,'Таблиця 1'!$B:$B,$A105,'Таблиця 1'!$I:$I,"Су-25",'Таблиця 1'!$J:$J,"AASM-250")+SUMIFS('Таблиця 1'!$K:$K,'Таблиця 1'!$B:$B,$A105,'Таблиця 1'!$I:$I,"Су-27",'Таблиця 1'!$J:$J,"AASM-250"))</f>
        <v/>
      </c>
      <c r="J105">
        <f>IF($A105="","",SUMIFS('Таблиця 1'!$K:$K,'Таблиця 1'!$B:$B,$A105,'Таблиця 1'!$I:$I,"Mirage",'Таблиця 1'!$J:$J,"GBU-39")+SUMIFS('Таблиця 1'!$K:$K,'Таблиця 1'!$B:$B,$A105,'Таблиця 1'!$I:$I,"F-16",'Таблиця 1'!$J:$J,"GBU-39")+SUMIFS('Таблиця 1'!$K:$K,'Таблиця 1'!$B:$B,$A105,'Таблиця 1'!$I:$I,"МіГ-29",'Таблиця 1'!$J:$J,"GBU-39")+SUMIFS('Таблиця 1'!$K:$K,'Таблиця 1'!$B:$B,$A105,'Таблиця 1'!$I:$I,"Су-25",'Таблиця 1'!$J:$J,"GBU-39")+SUMIFS('Таблиця 1'!$K:$K,'Таблиця 1'!$B:$B,$A105,'Таблиця 1'!$I:$I,"Су-27",'Таблиця 1'!$J:$J,"GBU-39"))</f>
        <v/>
      </c>
      <c r="K105">
        <f>IF($A105="","",SUMIFS('Таблиця 1'!$K:$K,'Таблиця 1'!$B:$B,$A105,'Таблиця 1'!$I:$I,"Mirage",'Таблиця 1'!$J:$J,"BLU-140")+SUMIFS('Таблиця 1'!$K:$K,'Таблиця 1'!$B:$B,$A105,'Таблиця 1'!$I:$I,"F-16",'Таблиця 1'!$J:$J,"BLU-140")+SUMIFS('Таблиця 1'!$K:$K,'Таблиця 1'!$B:$B,$A105,'Таблиця 1'!$I:$I,"МіГ-29",'Таблиця 1'!$J:$J,"BLU-140")+SUMIFS('Таблиця 1'!$K:$K,'Таблиця 1'!$B:$B,$A105,'Таблиця 1'!$I:$I,"Су-25",'Таблиця 1'!$J:$J,"BLU-140")+SUMIFS('Таблиця 1'!$K:$K,'Таблиця 1'!$B:$B,$A105,'Таблиця 1'!$I:$I,"Су-27",'Таблиця 1'!$J:$J,"BLU-140"))</f>
        <v/>
      </c>
      <c r="L105">
        <f>IF($A105="","",SUMIFS('Таблиця 1'!$K:$K,'Таблиця 1'!$B:$B,$A105,'Таблиця 1'!$I:$I,"Mirage",'Таблиця 1'!$J:$J,"GBU-65")+SUMIFS('Таблиця 1'!$K:$K,'Таблиця 1'!$B:$B,$A105,'Таблиця 1'!$I:$I,"F-16",'Таблиця 1'!$J:$J,"GBU-65")+SUMIFS('Таблиця 1'!$K:$K,'Таблиця 1'!$B:$B,$A105,'Таблиця 1'!$I:$I,"МіГ-29",'Таблиця 1'!$J:$J,"GBU-65")+SUMIFS('Таблиця 1'!$K:$K,'Таблиця 1'!$B:$B,$A105,'Таблиця 1'!$I:$I,"Су-25",'Таблиця 1'!$J:$J,"GBU-65")+SUMIFS('Таблиця 1'!$K:$K,'Таблиця 1'!$B:$B,$A105,'Таблиця 1'!$I:$I,"Су-27",'Таблиця 1'!$J:$J,"GBU-65"))</f>
        <v/>
      </c>
      <c r="M105">
        <f>IF($A105="","",SUMIFS('Таблиця 1'!$K:$K,'Таблиця 1'!$B:$B,$A105,'Таблиця 1'!$I:$I,"Mirage",'Таблиця 1'!$J:$J,"GBU-62")+SUMIFS('Таблиця 1'!$K:$K,'Таблиця 1'!$B:$B,$A105,'Таблиця 1'!$I:$I,"F-16",'Таблиця 1'!$J:$J,"GBU-62")+SUMIFS('Таблиця 1'!$K:$K,'Таблиця 1'!$B:$B,$A105,'Таблиця 1'!$I:$I,"МіГ-29",'Таблиця 1'!$J:$J,"GBU-62")+SUMIFS('Таблиця 1'!$K:$K,'Таблиця 1'!$B:$B,$A105,'Таблиця 1'!$I:$I,"Су-25",'Таблиця 1'!$J:$J,"GBU-62")+SUMIFS('Таблиця 1'!$K:$K,'Таблиця 1'!$B:$B,$A105,'Таблиця 1'!$I:$I,"Су-27",'Таблиця 1'!$J:$J,"GBU-62"))</f>
        <v/>
      </c>
      <c r="N105">
        <f>IF($A105="","",SUMIFS('Таблиця 1'!$K:$K,'Таблиця 1'!$B:$B,$A105,'Таблиця 1'!$I:$I,"Mirage",'Таблиця 1'!$J:$J,"GBU-64")+SUMIFS('Таблиця 1'!$K:$K,'Таблиця 1'!$B:$B,$A105,'Таблиця 1'!$I:$I,"F-16",'Таблиця 1'!$J:$J,"GBU-64")+SUMIFS('Таблиця 1'!$K:$K,'Таблиця 1'!$B:$B,$A105,'Таблиця 1'!$I:$I,"МіГ-29",'Таблиця 1'!$J:$J,"GBU-64")+SUMIFS('Таблиця 1'!$K:$K,'Таблиця 1'!$B:$B,$A105,'Таблиця 1'!$I:$I,"Су-25",'Таблиця 1'!$J:$J,"GBU-64")+SUMIFS('Таблиця 1'!$K:$K,'Таблиця 1'!$B:$B,$A105,'Таблиця 1'!$I:$I,"Су-27",'Таблиця 1'!$J:$J,"GBU-64"))</f>
        <v/>
      </c>
      <c r="O105">
        <f>IF($A105="","",SUMIFS('Таблиця 1'!$K:$K,'Таблиця 1'!$B:$B,$A105,'Таблиця 1'!$I:$I,"Mirage",'Таблиця 1'!$J:$J,"C-13")+SUMIFS('Таблиця 1'!$K:$K,'Таблиця 1'!$B:$B,$A105,'Таблиця 1'!$I:$I,"F-16",'Таблиця 1'!$J:$J,"C-13")+SUMIFS('Таблиця 1'!$K:$K,'Таблиця 1'!$B:$B,$A105,'Таблиця 1'!$I:$I,"МіГ-29",'Таблиця 1'!$J:$J,"C-13")+SUMIFS('Таблиця 1'!$K:$K,'Таблиця 1'!$B:$B,$A105,'Таблиця 1'!$I:$I,"Су-25",'Таблиця 1'!$J:$J,"C-13")+SUMIFS('Таблиця 1'!$K:$K,'Таблиця 1'!$B:$B,$A105,'Таблиця 1'!$I:$I,"Су-27",'Таблиця 1'!$J:$J,"C-13"))</f>
        <v/>
      </c>
      <c r="P105">
        <f>IF($A105="","",SUMIFS('Таблиця 1'!$K:$K,'Таблиця 1'!$B:$B,$A105,'Таблиця 1'!$I:$I,"Mirage",'Таблиця 1'!$J:$J,"MK-32")+SUMIFS('Таблиця 1'!$K:$K,'Таблиця 1'!$B:$B,$A105,'Таблиця 1'!$I:$I,"F-16",'Таблиця 1'!$J:$J,"MK-32")+SUMIFS('Таблиця 1'!$K:$K,'Таблиця 1'!$B:$B,$A105,'Таблиця 1'!$I:$I,"МіГ-29",'Таблиця 1'!$J:$J,"MK-32")+SUMIFS('Таблиця 1'!$K:$K,'Таблиця 1'!$B:$B,$A105,'Таблиця 1'!$I:$I,"Су-25",'Таблиця 1'!$J:$J,"MK-32")+SUMIFS('Таблиця 1'!$K:$K,'Таблиця 1'!$B:$B,$A105,'Таблиця 1'!$I:$I,"Су-27",'Таблиця 1'!$J:$J,"MK-32"))</f>
        <v/>
      </c>
      <c r="Q105">
        <f>IF($A105="","",SUMIFS('Таблиця 1'!$K:$K,'Таблиця 1'!$B:$B,$A105,'Таблиця 1'!$I:$I,"Mirage",'Таблиця 1'!$J:$J,"MK-24")+SUMIFS('Таблиця 1'!$K:$K,'Таблиця 1'!$B:$B,$A105,'Таблиця 1'!$I:$I,"F-16",'Таблиця 1'!$J:$J,"MK-24")+SUMIFS('Таблиця 1'!$K:$K,'Таблиця 1'!$B:$B,$A105,'Таблиця 1'!$I:$I,"МіГ-29",'Таблиця 1'!$J:$J,"MK-24")+SUMIFS('Таблиця 1'!$K:$K,'Таблиця 1'!$B:$B,$A105,'Таблиця 1'!$I:$I,"Су-25",'Таблиця 1'!$J:$J,"MK-24")+SUMIFS('Таблиця 1'!$K:$K,'Таблиця 1'!$B:$B,$A105,'Таблиця 1'!$I:$I,"Су-27",'Таблиця 1'!$J:$J,"MK-24"))</f>
        <v/>
      </c>
      <c r="R105">
        <f>IF($A105="","",COUNTIFS('Таблиця 1'!$B:$B,$A105,'Таблиця 1'!$I:$I,"Mirage",'Таблиця 1'!$L:$L,"Уражено")+COUNTIFS('Таблиця 1'!$B:$B,$A105,'Таблиця 1'!$I:$I,"F-16",'Таблиця 1'!$L:$L,"Уражено")+COUNTIFS('Таблиця 1'!$B:$B,$A105,'Таблиця 1'!$I:$I,"МіГ-29",'Таблиця 1'!$L:$L,"Уражено")+COUNTIFS('Таблиця 1'!$B:$B,$A105,'Таблиця 1'!$I:$I,"Су-25",'Таблиця 1'!$L:$L,"Уражено")+COUNTIFS('Таблиця 1'!$B:$B,$A105,'Таблиця 1'!$I:$I,"Су-27",'Таблиця 1'!$L:$L,"Уражено"))</f>
        <v/>
      </c>
      <c r="S105">
        <f>IF($A105="","",COUNTIFS('Таблиця 1'!$B:$B,$A105,'Таблиця 1'!$I:$I,"Mirage",'Таблиця 1'!$L:$L,"НЕ уражено")+COUNTIFS('Таблиця 1'!$B:$B,$A105,'Таблиця 1'!$I:$I,"F-16",'Таблиця 1'!$L:$L,"НЕ уражено")+COUNTIFS('Таблиця 1'!$B:$B,$A105,'Таблиця 1'!$I:$I,"МіГ-29",'Таблиця 1'!$L:$L,"НЕ уражено")+COUNTIFS('Таблиця 1'!$B:$B,$A105,'Таблиця 1'!$I:$I,"Су-25",'Таблиця 1'!$L:$L,"НЕ уражено")+COUNTIFS('Таблиця 1'!$B:$B,$A105,'Таблиця 1'!$I:$I,"Су-27",'Таблиця 1'!$L:$L,"НЕ уражено"))</f>
        <v/>
      </c>
      <c r="T105">
        <f>IF($A105="","",COUNTIFS('Таблиця 1'!$B:$B,$A105,'Таблиця 1'!$I:$I,"Mirage",'Таблиця 1'!$L:$L,"Дорозвідується")+COUNTIFS('Таблиця 1'!$B:$B,$A105,'Таблиця 1'!$I:$I,"F-16",'Таблиця 1'!$L:$L,"Дорозвідується")+COUNTIFS('Таблиця 1'!$B:$B,$A105,'Таблиця 1'!$I:$I,"МіГ-29",'Таблиця 1'!$L:$L,"Дорозвідується")+COUNTIFS('Таблиця 1'!$B:$B,$A105,'Таблиця 1'!$I:$I,"Су-25",'Таблиця 1'!$L:$L,"Дорозвідується")+COUNTIFS('Таблиця 1'!$B:$B,$A105,'Таблиця 1'!$I:$I,"Су-27",'Таблиця 1'!$L:$L,"Дорозвідується"))</f>
        <v/>
      </c>
    </row>
    <row r="106">
      <c r="A106" s="273">
        <f>IF(A105="","",IF(A105+1&gt;MAX('Таблиця 1'!$B:$B),"",A105+1))</f>
        <v/>
      </c>
      <c r="B106">
        <f>IF($A106="","",COUNTIFS('Таблиця 1'!$B:$B,$A106,'Таблиця 1'!$I:$I,"Mirage")+COUNTIFS('Таблиця 1'!$B:$B,$A106,'Таблиця 1'!$I:$I,"F-16")+COUNTIFS('Таблиця 1'!$B:$B,$A106,'Таблиця 1'!$I:$I,"МіГ-29")+COUNTIFS('Таблиця 1'!$B:$B,$A106,'Таблиця 1'!$I:$I,"Су-25")+COUNTIFS('Таблиця 1'!$B:$B,$A106,'Таблиця 1'!$I:$I,"Су-27"))</f>
        <v/>
      </c>
      <c r="C106">
        <f>IF($A106="","",COUNTIFS('Таблиця 1'!$B:$B,$A106,'Таблиця 1'!$I:$I,"Mirage"))</f>
        <v/>
      </c>
      <c r="D106">
        <f>IF($A106="","",COUNTIFS('Таблиця 1'!$B:$B,$A106,'Таблиця 1'!$I:$I,"F-16"))</f>
        <v/>
      </c>
      <c r="E106">
        <f>IF($A106="","",COUNTIFS('Таблиця 1'!$B:$B,$A106,'Таблиця 1'!$I:$I,"МіГ-29"))</f>
        <v/>
      </c>
      <c r="F106">
        <f>IF($A106="","",COUNTIFS('Таблиця 1'!$B:$B,$A106,'Таблиця 1'!$I:$I,"Су-25"))</f>
        <v/>
      </c>
      <c r="G106">
        <f>IF($A106="","",COUNTIFS('Таблиця 1'!$B:$B,$A106,'Таблиця 1'!$I:$I,"Су-27"))</f>
        <v/>
      </c>
      <c r="H106">
        <f>IF($A106="","",SUMIFS('Таблиця 1'!$K:$K,'Таблиця 1'!$B:$B,$A106,'Таблиця 1'!$I:$I,"Mirage",'Таблиця 1'!$J:$J,"AGM-88")+SUMIFS('Таблиця 1'!$K:$K,'Таблиця 1'!$B:$B,$A106,'Таблиця 1'!$I:$I,"F-16",'Таблиця 1'!$J:$J,"AGM-88")+SUMIFS('Таблиця 1'!$K:$K,'Таблиця 1'!$B:$B,$A106,'Таблиця 1'!$I:$I,"МіГ-29",'Таблиця 1'!$J:$J,"AGM-88")+SUMIFS('Таблиця 1'!$K:$K,'Таблиця 1'!$B:$B,$A106,'Таблиця 1'!$I:$I,"Су-25",'Таблиця 1'!$J:$J,"AGM-88")+SUMIFS('Таблиця 1'!$K:$K,'Таблиця 1'!$B:$B,$A106,'Таблиця 1'!$I:$I,"Су-27",'Таблиця 1'!$J:$J,"AGM-88"))</f>
        <v/>
      </c>
      <c r="I106">
        <f>IF($A106="","",SUMIFS('Таблиця 1'!$K:$K,'Таблиця 1'!$B:$B,$A106,'Таблиця 1'!$I:$I,"Mirage",'Таблиця 1'!$J:$J,"AASM-250")+SUMIFS('Таблиця 1'!$K:$K,'Таблиця 1'!$B:$B,$A106,'Таблиця 1'!$I:$I,"F-16",'Таблиця 1'!$J:$J,"AASM-250")+SUMIFS('Таблиця 1'!$K:$K,'Таблиця 1'!$B:$B,$A106,'Таблиця 1'!$I:$I,"МіГ-29",'Таблиця 1'!$J:$J,"AASM-250")+SUMIFS('Таблиця 1'!$K:$K,'Таблиця 1'!$B:$B,$A106,'Таблиця 1'!$I:$I,"Су-25",'Таблиця 1'!$J:$J,"AASM-250")+SUMIFS('Таблиця 1'!$K:$K,'Таблиця 1'!$B:$B,$A106,'Таблиця 1'!$I:$I,"Су-27",'Таблиця 1'!$J:$J,"AASM-250"))</f>
        <v/>
      </c>
      <c r="J106">
        <f>IF($A106="","",SUMIFS('Таблиця 1'!$K:$K,'Таблиця 1'!$B:$B,$A106,'Таблиця 1'!$I:$I,"Mirage",'Таблиця 1'!$J:$J,"GBU-39")+SUMIFS('Таблиця 1'!$K:$K,'Таблиця 1'!$B:$B,$A106,'Таблиця 1'!$I:$I,"F-16",'Таблиця 1'!$J:$J,"GBU-39")+SUMIFS('Таблиця 1'!$K:$K,'Таблиця 1'!$B:$B,$A106,'Таблиця 1'!$I:$I,"МіГ-29",'Таблиця 1'!$J:$J,"GBU-39")+SUMIFS('Таблиця 1'!$K:$K,'Таблиця 1'!$B:$B,$A106,'Таблиця 1'!$I:$I,"Су-25",'Таблиця 1'!$J:$J,"GBU-39")+SUMIFS('Таблиця 1'!$K:$K,'Таблиця 1'!$B:$B,$A106,'Таблиця 1'!$I:$I,"Су-27",'Таблиця 1'!$J:$J,"GBU-39"))</f>
        <v/>
      </c>
      <c r="K106">
        <f>IF($A106="","",SUMIFS('Таблиця 1'!$K:$K,'Таблиця 1'!$B:$B,$A106,'Таблиця 1'!$I:$I,"Mirage",'Таблиця 1'!$J:$J,"BLU-140")+SUMIFS('Таблиця 1'!$K:$K,'Таблиця 1'!$B:$B,$A106,'Таблиця 1'!$I:$I,"F-16",'Таблиця 1'!$J:$J,"BLU-140")+SUMIFS('Таблиця 1'!$K:$K,'Таблиця 1'!$B:$B,$A106,'Таблиця 1'!$I:$I,"МіГ-29",'Таблиця 1'!$J:$J,"BLU-140")+SUMIFS('Таблиця 1'!$K:$K,'Таблиця 1'!$B:$B,$A106,'Таблиця 1'!$I:$I,"Су-25",'Таблиця 1'!$J:$J,"BLU-140")+SUMIFS('Таблиця 1'!$K:$K,'Таблиця 1'!$B:$B,$A106,'Таблиця 1'!$I:$I,"Су-27",'Таблиця 1'!$J:$J,"BLU-140"))</f>
        <v/>
      </c>
      <c r="L106">
        <f>IF($A106="","",SUMIFS('Таблиця 1'!$K:$K,'Таблиця 1'!$B:$B,$A106,'Таблиця 1'!$I:$I,"Mirage",'Таблиця 1'!$J:$J,"GBU-65")+SUMIFS('Таблиця 1'!$K:$K,'Таблиця 1'!$B:$B,$A106,'Таблиця 1'!$I:$I,"F-16",'Таблиця 1'!$J:$J,"GBU-65")+SUMIFS('Таблиця 1'!$K:$K,'Таблиця 1'!$B:$B,$A106,'Таблиця 1'!$I:$I,"МіГ-29",'Таблиця 1'!$J:$J,"GBU-65")+SUMIFS('Таблиця 1'!$K:$K,'Таблиця 1'!$B:$B,$A106,'Таблиця 1'!$I:$I,"Су-25",'Таблиця 1'!$J:$J,"GBU-65")+SUMIFS('Таблиця 1'!$K:$K,'Таблиця 1'!$B:$B,$A106,'Таблиця 1'!$I:$I,"Су-27",'Таблиця 1'!$J:$J,"GBU-65"))</f>
        <v/>
      </c>
      <c r="M106">
        <f>IF($A106="","",SUMIFS('Таблиця 1'!$K:$K,'Таблиця 1'!$B:$B,$A106,'Таблиця 1'!$I:$I,"Mirage",'Таблиця 1'!$J:$J,"GBU-62")+SUMIFS('Таблиця 1'!$K:$K,'Таблиця 1'!$B:$B,$A106,'Таблиця 1'!$I:$I,"F-16",'Таблиця 1'!$J:$J,"GBU-62")+SUMIFS('Таблиця 1'!$K:$K,'Таблиця 1'!$B:$B,$A106,'Таблиця 1'!$I:$I,"МіГ-29",'Таблиця 1'!$J:$J,"GBU-62")+SUMIFS('Таблиця 1'!$K:$K,'Таблиця 1'!$B:$B,$A106,'Таблиця 1'!$I:$I,"Су-25",'Таблиця 1'!$J:$J,"GBU-62")+SUMIFS('Таблиця 1'!$K:$K,'Таблиця 1'!$B:$B,$A106,'Таблиця 1'!$I:$I,"Су-27",'Таблиця 1'!$J:$J,"GBU-62"))</f>
        <v/>
      </c>
      <c r="N106">
        <f>IF($A106="","",SUMIFS('Таблиця 1'!$K:$K,'Таблиця 1'!$B:$B,$A106,'Таблиця 1'!$I:$I,"Mirage",'Таблиця 1'!$J:$J,"GBU-64")+SUMIFS('Таблиця 1'!$K:$K,'Таблиця 1'!$B:$B,$A106,'Таблиця 1'!$I:$I,"F-16",'Таблиця 1'!$J:$J,"GBU-64")+SUMIFS('Таблиця 1'!$K:$K,'Таблиця 1'!$B:$B,$A106,'Таблиця 1'!$I:$I,"МіГ-29",'Таблиця 1'!$J:$J,"GBU-64")+SUMIFS('Таблиця 1'!$K:$K,'Таблиця 1'!$B:$B,$A106,'Таблиця 1'!$I:$I,"Су-25",'Таблиця 1'!$J:$J,"GBU-64")+SUMIFS('Таблиця 1'!$K:$K,'Таблиця 1'!$B:$B,$A106,'Таблиця 1'!$I:$I,"Су-27",'Таблиця 1'!$J:$J,"GBU-64"))</f>
        <v/>
      </c>
      <c r="O106">
        <f>IF($A106="","",SUMIFS('Таблиця 1'!$K:$K,'Таблиця 1'!$B:$B,$A106,'Таблиця 1'!$I:$I,"Mirage",'Таблиця 1'!$J:$J,"C-13")+SUMIFS('Таблиця 1'!$K:$K,'Таблиця 1'!$B:$B,$A106,'Таблиця 1'!$I:$I,"F-16",'Таблиця 1'!$J:$J,"C-13")+SUMIFS('Таблиця 1'!$K:$K,'Таблиця 1'!$B:$B,$A106,'Таблиця 1'!$I:$I,"МіГ-29",'Таблиця 1'!$J:$J,"C-13")+SUMIFS('Таблиця 1'!$K:$K,'Таблиця 1'!$B:$B,$A106,'Таблиця 1'!$I:$I,"Су-25",'Таблиця 1'!$J:$J,"C-13")+SUMIFS('Таблиця 1'!$K:$K,'Таблиця 1'!$B:$B,$A106,'Таблиця 1'!$I:$I,"Су-27",'Таблиця 1'!$J:$J,"C-13"))</f>
        <v/>
      </c>
      <c r="P106">
        <f>IF($A106="","",SUMIFS('Таблиця 1'!$K:$K,'Таблиця 1'!$B:$B,$A106,'Таблиця 1'!$I:$I,"Mirage",'Таблиця 1'!$J:$J,"MK-32")+SUMIFS('Таблиця 1'!$K:$K,'Таблиця 1'!$B:$B,$A106,'Таблиця 1'!$I:$I,"F-16",'Таблиця 1'!$J:$J,"MK-32")+SUMIFS('Таблиця 1'!$K:$K,'Таблиця 1'!$B:$B,$A106,'Таблиця 1'!$I:$I,"МіГ-29",'Таблиця 1'!$J:$J,"MK-32")+SUMIFS('Таблиця 1'!$K:$K,'Таблиця 1'!$B:$B,$A106,'Таблиця 1'!$I:$I,"Су-25",'Таблиця 1'!$J:$J,"MK-32")+SUMIFS('Таблиця 1'!$K:$K,'Таблиця 1'!$B:$B,$A106,'Таблиця 1'!$I:$I,"Су-27",'Таблиця 1'!$J:$J,"MK-32"))</f>
        <v/>
      </c>
      <c r="Q106">
        <f>IF($A106="","",SUMIFS('Таблиця 1'!$K:$K,'Таблиця 1'!$B:$B,$A106,'Таблиця 1'!$I:$I,"Mirage",'Таблиця 1'!$J:$J,"MK-24")+SUMIFS('Таблиця 1'!$K:$K,'Таблиця 1'!$B:$B,$A106,'Таблиця 1'!$I:$I,"F-16",'Таблиця 1'!$J:$J,"MK-24")+SUMIFS('Таблиця 1'!$K:$K,'Таблиця 1'!$B:$B,$A106,'Таблиця 1'!$I:$I,"МіГ-29",'Таблиця 1'!$J:$J,"MK-24")+SUMIFS('Таблиця 1'!$K:$K,'Таблиця 1'!$B:$B,$A106,'Таблиця 1'!$I:$I,"Су-25",'Таблиця 1'!$J:$J,"MK-24")+SUMIFS('Таблиця 1'!$K:$K,'Таблиця 1'!$B:$B,$A106,'Таблиця 1'!$I:$I,"Су-27",'Таблиця 1'!$J:$J,"MK-24"))</f>
        <v/>
      </c>
      <c r="R106">
        <f>IF($A106="","",COUNTIFS('Таблиця 1'!$B:$B,$A106,'Таблиця 1'!$I:$I,"Mirage",'Таблиця 1'!$L:$L,"Уражено")+COUNTIFS('Таблиця 1'!$B:$B,$A106,'Таблиця 1'!$I:$I,"F-16",'Таблиця 1'!$L:$L,"Уражено")+COUNTIFS('Таблиця 1'!$B:$B,$A106,'Таблиця 1'!$I:$I,"МіГ-29",'Таблиця 1'!$L:$L,"Уражено")+COUNTIFS('Таблиця 1'!$B:$B,$A106,'Таблиця 1'!$I:$I,"Су-25",'Таблиця 1'!$L:$L,"Уражено")+COUNTIFS('Таблиця 1'!$B:$B,$A106,'Таблиця 1'!$I:$I,"Су-27",'Таблиця 1'!$L:$L,"Уражено"))</f>
        <v/>
      </c>
      <c r="S106">
        <f>IF($A106="","",COUNTIFS('Таблиця 1'!$B:$B,$A106,'Таблиця 1'!$I:$I,"Mirage",'Таблиця 1'!$L:$L,"НЕ уражено")+COUNTIFS('Таблиця 1'!$B:$B,$A106,'Таблиця 1'!$I:$I,"F-16",'Таблиця 1'!$L:$L,"НЕ уражено")+COUNTIFS('Таблиця 1'!$B:$B,$A106,'Таблиця 1'!$I:$I,"МіГ-29",'Таблиця 1'!$L:$L,"НЕ уражено")+COUNTIFS('Таблиця 1'!$B:$B,$A106,'Таблиця 1'!$I:$I,"Су-25",'Таблиця 1'!$L:$L,"НЕ уражено")+COUNTIFS('Таблиця 1'!$B:$B,$A106,'Таблиця 1'!$I:$I,"Су-27",'Таблиця 1'!$L:$L,"НЕ уражено"))</f>
        <v/>
      </c>
      <c r="T106">
        <f>IF($A106="","",COUNTIFS('Таблиця 1'!$B:$B,$A106,'Таблиця 1'!$I:$I,"Mirage",'Таблиця 1'!$L:$L,"Дорозвідується")+COUNTIFS('Таблиця 1'!$B:$B,$A106,'Таблиця 1'!$I:$I,"F-16",'Таблиця 1'!$L:$L,"Дорозвідується")+COUNTIFS('Таблиця 1'!$B:$B,$A106,'Таблиця 1'!$I:$I,"МіГ-29",'Таблиця 1'!$L:$L,"Дорозвідується")+COUNTIFS('Таблиця 1'!$B:$B,$A106,'Таблиця 1'!$I:$I,"Су-25",'Таблиця 1'!$L:$L,"Дорозвідується")+COUNTIFS('Таблиця 1'!$B:$B,$A106,'Таблиця 1'!$I:$I,"Су-27",'Таблиця 1'!$L:$L,"Дорозвідується"))</f>
        <v/>
      </c>
    </row>
    <row r="107">
      <c r="A107" s="273">
        <f>IF(A106="","",IF(A106+1&gt;MAX('Таблиця 1'!$B:$B),"",A106+1))</f>
        <v/>
      </c>
      <c r="B107">
        <f>IF($A107="","",COUNTIFS('Таблиця 1'!$B:$B,$A107,'Таблиця 1'!$I:$I,"Mirage")+COUNTIFS('Таблиця 1'!$B:$B,$A107,'Таблиця 1'!$I:$I,"F-16")+COUNTIFS('Таблиця 1'!$B:$B,$A107,'Таблиця 1'!$I:$I,"МіГ-29")+COUNTIFS('Таблиця 1'!$B:$B,$A107,'Таблиця 1'!$I:$I,"Су-25")+COUNTIFS('Таблиця 1'!$B:$B,$A107,'Таблиця 1'!$I:$I,"Су-27"))</f>
        <v/>
      </c>
      <c r="C107">
        <f>IF($A107="","",COUNTIFS('Таблиця 1'!$B:$B,$A107,'Таблиця 1'!$I:$I,"Mirage"))</f>
        <v/>
      </c>
      <c r="D107">
        <f>IF($A107="","",COUNTIFS('Таблиця 1'!$B:$B,$A107,'Таблиця 1'!$I:$I,"F-16"))</f>
        <v/>
      </c>
      <c r="E107">
        <f>IF($A107="","",COUNTIFS('Таблиця 1'!$B:$B,$A107,'Таблиця 1'!$I:$I,"МіГ-29"))</f>
        <v/>
      </c>
      <c r="F107">
        <f>IF($A107="","",COUNTIFS('Таблиця 1'!$B:$B,$A107,'Таблиця 1'!$I:$I,"Су-25"))</f>
        <v/>
      </c>
      <c r="G107">
        <f>IF($A107="","",COUNTIFS('Таблиця 1'!$B:$B,$A107,'Таблиця 1'!$I:$I,"Су-27"))</f>
        <v/>
      </c>
      <c r="H107">
        <f>IF($A107="","",SUMIFS('Таблиця 1'!$K:$K,'Таблиця 1'!$B:$B,$A107,'Таблиця 1'!$I:$I,"Mirage",'Таблиця 1'!$J:$J,"AGM-88")+SUMIFS('Таблиця 1'!$K:$K,'Таблиця 1'!$B:$B,$A107,'Таблиця 1'!$I:$I,"F-16",'Таблиця 1'!$J:$J,"AGM-88")+SUMIFS('Таблиця 1'!$K:$K,'Таблиця 1'!$B:$B,$A107,'Таблиця 1'!$I:$I,"МіГ-29",'Таблиця 1'!$J:$J,"AGM-88")+SUMIFS('Таблиця 1'!$K:$K,'Таблиця 1'!$B:$B,$A107,'Таблиця 1'!$I:$I,"Су-25",'Таблиця 1'!$J:$J,"AGM-88")+SUMIFS('Таблиця 1'!$K:$K,'Таблиця 1'!$B:$B,$A107,'Таблиця 1'!$I:$I,"Су-27",'Таблиця 1'!$J:$J,"AGM-88"))</f>
        <v/>
      </c>
      <c r="I107">
        <f>IF($A107="","",SUMIFS('Таблиця 1'!$K:$K,'Таблиця 1'!$B:$B,$A107,'Таблиця 1'!$I:$I,"Mirage",'Таблиця 1'!$J:$J,"AASM-250")+SUMIFS('Таблиця 1'!$K:$K,'Таблиця 1'!$B:$B,$A107,'Таблиця 1'!$I:$I,"F-16",'Таблиця 1'!$J:$J,"AASM-250")+SUMIFS('Таблиця 1'!$K:$K,'Таблиця 1'!$B:$B,$A107,'Таблиця 1'!$I:$I,"МіГ-29",'Таблиця 1'!$J:$J,"AASM-250")+SUMIFS('Таблиця 1'!$K:$K,'Таблиця 1'!$B:$B,$A107,'Таблиця 1'!$I:$I,"Су-25",'Таблиця 1'!$J:$J,"AASM-250")+SUMIFS('Таблиця 1'!$K:$K,'Таблиця 1'!$B:$B,$A107,'Таблиця 1'!$I:$I,"Су-27",'Таблиця 1'!$J:$J,"AASM-250"))</f>
        <v/>
      </c>
      <c r="J107">
        <f>IF($A107="","",SUMIFS('Таблиця 1'!$K:$K,'Таблиця 1'!$B:$B,$A107,'Таблиця 1'!$I:$I,"Mirage",'Таблиця 1'!$J:$J,"GBU-39")+SUMIFS('Таблиця 1'!$K:$K,'Таблиця 1'!$B:$B,$A107,'Таблиця 1'!$I:$I,"F-16",'Таблиця 1'!$J:$J,"GBU-39")+SUMIFS('Таблиця 1'!$K:$K,'Таблиця 1'!$B:$B,$A107,'Таблиця 1'!$I:$I,"МіГ-29",'Таблиця 1'!$J:$J,"GBU-39")+SUMIFS('Таблиця 1'!$K:$K,'Таблиця 1'!$B:$B,$A107,'Таблиця 1'!$I:$I,"Су-25",'Таблиця 1'!$J:$J,"GBU-39")+SUMIFS('Таблиця 1'!$K:$K,'Таблиця 1'!$B:$B,$A107,'Таблиця 1'!$I:$I,"Су-27",'Таблиця 1'!$J:$J,"GBU-39"))</f>
        <v/>
      </c>
      <c r="K107">
        <f>IF($A107="","",SUMIFS('Таблиця 1'!$K:$K,'Таблиця 1'!$B:$B,$A107,'Таблиця 1'!$I:$I,"Mirage",'Таблиця 1'!$J:$J,"BLU-140")+SUMIFS('Таблиця 1'!$K:$K,'Таблиця 1'!$B:$B,$A107,'Таблиця 1'!$I:$I,"F-16",'Таблиця 1'!$J:$J,"BLU-140")+SUMIFS('Таблиця 1'!$K:$K,'Таблиця 1'!$B:$B,$A107,'Таблиця 1'!$I:$I,"МіГ-29",'Таблиця 1'!$J:$J,"BLU-140")+SUMIFS('Таблиця 1'!$K:$K,'Таблиця 1'!$B:$B,$A107,'Таблиця 1'!$I:$I,"Су-25",'Таблиця 1'!$J:$J,"BLU-140")+SUMIFS('Таблиця 1'!$K:$K,'Таблиця 1'!$B:$B,$A107,'Таблиця 1'!$I:$I,"Су-27",'Таблиця 1'!$J:$J,"BLU-140"))</f>
        <v/>
      </c>
      <c r="L107">
        <f>IF($A107="","",SUMIFS('Таблиця 1'!$K:$K,'Таблиця 1'!$B:$B,$A107,'Таблиця 1'!$I:$I,"Mirage",'Таблиця 1'!$J:$J,"GBU-65")+SUMIFS('Таблиця 1'!$K:$K,'Таблиця 1'!$B:$B,$A107,'Таблиця 1'!$I:$I,"F-16",'Таблиця 1'!$J:$J,"GBU-65")+SUMIFS('Таблиця 1'!$K:$K,'Таблиця 1'!$B:$B,$A107,'Таблиця 1'!$I:$I,"МіГ-29",'Таблиця 1'!$J:$J,"GBU-65")+SUMIFS('Таблиця 1'!$K:$K,'Таблиця 1'!$B:$B,$A107,'Таблиця 1'!$I:$I,"Су-25",'Таблиця 1'!$J:$J,"GBU-65")+SUMIFS('Таблиця 1'!$K:$K,'Таблиця 1'!$B:$B,$A107,'Таблиця 1'!$I:$I,"Су-27",'Таблиця 1'!$J:$J,"GBU-65"))</f>
        <v/>
      </c>
      <c r="M107">
        <f>IF($A107="","",SUMIFS('Таблиця 1'!$K:$K,'Таблиця 1'!$B:$B,$A107,'Таблиця 1'!$I:$I,"Mirage",'Таблиця 1'!$J:$J,"GBU-62")+SUMIFS('Таблиця 1'!$K:$K,'Таблиця 1'!$B:$B,$A107,'Таблиця 1'!$I:$I,"F-16",'Таблиця 1'!$J:$J,"GBU-62")+SUMIFS('Таблиця 1'!$K:$K,'Таблиця 1'!$B:$B,$A107,'Таблиця 1'!$I:$I,"МіГ-29",'Таблиця 1'!$J:$J,"GBU-62")+SUMIFS('Таблиця 1'!$K:$K,'Таблиця 1'!$B:$B,$A107,'Таблиця 1'!$I:$I,"Су-25",'Таблиця 1'!$J:$J,"GBU-62")+SUMIFS('Таблиця 1'!$K:$K,'Таблиця 1'!$B:$B,$A107,'Таблиця 1'!$I:$I,"Су-27",'Таблиця 1'!$J:$J,"GBU-62"))</f>
        <v/>
      </c>
      <c r="N107">
        <f>IF($A107="","",SUMIFS('Таблиця 1'!$K:$K,'Таблиця 1'!$B:$B,$A107,'Таблиця 1'!$I:$I,"Mirage",'Таблиця 1'!$J:$J,"GBU-64")+SUMIFS('Таблиця 1'!$K:$K,'Таблиця 1'!$B:$B,$A107,'Таблиця 1'!$I:$I,"F-16",'Таблиця 1'!$J:$J,"GBU-64")+SUMIFS('Таблиця 1'!$K:$K,'Таблиця 1'!$B:$B,$A107,'Таблиця 1'!$I:$I,"МіГ-29",'Таблиця 1'!$J:$J,"GBU-64")+SUMIFS('Таблиця 1'!$K:$K,'Таблиця 1'!$B:$B,$A107,'Таблиця 1'!$I:$I,"Су-25",'Таблиця 1'!$J:$J,"GBU-64")+SUMIFS('Таблиця 1'!$K:$K,'Таблиця 1'!$B:$B,$A107,'Таблиця 1'!$I:$I,"Су-27",'Таблиця 1'!$J:$J,"GBU-64"))</f>
        <v/>
      </c>
      <c r="O107">
        <f>IF($A107="","",SUMIFS('Таблиця 1'!$K:$K,'Таблиця 1'!$B:$B,$A107,'Таблиця 1'!$I:$I,"Mirage",'Таблиця 1'!$J:$J,"C-13")+SUMIFS('Таблиця 1'!$K:$K,'Таблиця 1'!$B:$B,$A107,'Таблиця 1'!$I:$I,"F-16",'Таблиця 1'!$J:$J,"C-13")+SUMIFS('Таблиця 1'!$K:$K,'Таблиця 1'!$B:$B,$A107,'Таблиця 1'!$I:$I,"МіГ-29",'Таблиця 1'!$J:$J,"C-13")+SUMIFS('Таблиця 1'!$K:$K,'Таблиця 1'!$B:$B,$A107,'Таблиця 1'!$I:$I,"Су-25",'Таблиця 1'!$J:$J,"C-13")+SUMIFS('Таблиця 1'!$K:$K,'Таблиця 1'!$B:$B,$A107,'Таблиця 1'!$I:$I,"Су-27",'Таблиця 1'!$J:$J,"C-13"))</f>
        <v/>
      </c>
      <c r="P107">
        <f>IF($A107="","",SUMIFS('Таблиця 1'!$K:$K,'Таблиця 1'!$B:$B,$A107,'Таблиця 1'!$I:$I,"Mirage",'Таблиця 1'!$J:$J,"MK-32")+SUMIFS('Таблиця 1'!$K:$K,'Таблиця 1'!$B:$B,$A107,'Таблиця 1'!$I:$I,"F-16",'Таблиця 1'!$J:$J,"MK-32")+SUMIFS('Таблиця 1'!$K:$K,'Таблиця 1'!$B:$B,$A107,'Таблиця 1'!$I:$I,"МіГ-29",'Таблиця 1'!$J:$J,"MK-32")+SUMIFS('Таблиця 1'!$K:$K,'Таблиця 1'!$B:$B,$A107,'Таблиця 1'!$I:$I,"Су-25",'Таблиця 1'!$J:$J,"MK-32")+SUMIFS('Таблиця 1'!$K:$K,'Таблиця 1'!$B:$B,$A107,'Таблиця 1'!$I:$I,"Су-27",'Таблиця 1'!$J:$J,"MK-32"))</f>
        <v/>
      </c>
      <c r="Q107">
        <f>IF($A107="","",SUMIFS('Таблиця 1'!$K:$K,'Таблиця 1'!$B:$B,$A107,'Таблиця 1'!$I:$I,"Mirage",'Таблиця 1'!$J:$J,"MK-24")+SUMIFS('Таблиця 1'!$K:$K,'Таблиця 1'!$B:$B,$A107,'Таблиця 1'!$I:$I,"F-16",'Таблиця 1'!$J:$J,"MK-24")+SUMIFS('Таблиця 1'!$K:$K,'Таблиця 1'!$B:$B,$A107,'Таблиця 1'!$I:$I,"МіГ-29",'Таблиця 1'!$J:$J,"MK-24")+SUMIFS('Таблиця 1'!$K:$K,'Таблиця 1'!$B:$B,$A107,'Таблиця 1'!$I:$I,"Су-25",'Таблиця 1'!$J:$J,"MK-24")+SUMIFS('Таблиця 1'!$K:$K,'Таблиця 1'!$B:$B,$A107,'Таблиця 1'!$I:$I,"Су-27",'Таблиця 1'!$J:$J,"MK-24"))</f>
        <v/>
      </c>
      <c r="R107">
        <f>IF($A107="","",COUNTIFS('Таблиця 1'!$B:$B,$A107,'Таблиця 1'!$I:$I,"Mirage",'Таблиця 1'!$L:$L,"Уражено")+COUNTIFS('Таблиця 1'!$B:$B,$A107,'Таблиця 1'!$I:$I,"F-16",'Таблиця 1'!$L:$L,"Уражено")+COUNTIFS('Таблиця 1'!$B:$B,$A107,'Таблиця 1'!$I:$I,"МіГ-29",'Таблиця 1'!$L:$L,"Уражено")+COUNTIFS('Таблиця 1'!$B:$B,$A107,'Таблиця 1'!$I:$I,"Су-25",'Таблиця 1'!$L:$L,"Уражено")+COUNTIFS('Таблиця 1'!$B:$B,$A107,'Таблиця 1'!$I:$I,"Су-27",'Таблиця 1'!$L:$L,"Уражено"))</f>
        <v/>
      </c>
      <c r="S107">
        <f>IF($A107="","",COUNTIFS('Таблиця 1'!$B:$B,$A107,'Таблиця 1'!$I:$I,"Mirage",'Таблиця 1'!$L:$L,"НЕ уражено")+COUNTIFS('Таблиця 1'!$B:$B,$A107,'Таблиця 1'!$I:$I,"F-16",'Таблиця 1'!$L:$L,"НЕ уражено")+COUNTIFS('Таблиця 1'!$B:$B,$A107,'Таблиця 1'!$I:$I,"МіГ-29",'Таблиця 1'!$L:$L,"НЕ уражено")+COUNTIFS('Таблиця 1'!$B:$B,$A107,'Таблиця 1'!$I:$I,"Су-25",'Таблиця 1'!$L:$L,"НЕ уражено")+COUNTIFS('Таблиця 1'!$B:$B,$A107,'Таблиця 1'!$I:$I,"Су-27",'Таблиця 1'!$L:$L,"НЕ уражено"))</f>
        <v/>
      </c>
      <c r="T107">
        <f>IF($A107="","",COUNTIFS('Таблиця 1'!$B:$B,$A107,'Таблиця 1'!$I:$I,"Mirage",'Таблиця 1'!$L:$L,"Дорозвідується")+COUNTIFS('Таблиця 1'!$B:$B,$A107,'Таблиця 1'!$I:$I,"F-16",'Таблиця 1'!$L:$L,"Дорозвідується")+COUNTIFS('Таблиця 1'!$B:$B,$A107,'Таблиця 1'!$I:$I,"МіГ-29",'Таблиця 1'!$L:$L,"Дорозвідується")+COUNTIFS('Таблиця 1'!$B:$B,$A107,'Таблиця 1'!$I:$I,"Су-25",'Таблиця 1'!$L:$L,"Дорозвідується")+COUNTIFS('Таблиця 1'!$B:$B,$A107,'Таблиця 1'!$I:$I,"Су-27",'Таблиця 1'!$L:$L,"Дорозвідується"))</f>
        <v/>
      </c>
    </row>
    <row r="108">
      <c r="A108" s="273">
        <f>IF(A107="","",IF(A107+1&gt;MAX('Таблиця 1'!$B:$B),"",A107+1))</f>
        <v/>
      </c>
      <c r="B108">
        <f>IF($A108="","",COUNTIFS('Таблиця 1'!$B:$B,$A108,'Таблиця 1'!$I:$I,"Mirage")+COUNTIFS('Таблиця 1'!$B:$B,$A108,'Таблиця 1'!$I:$I,"F-16")+COUNTIFS('Таблиця 1'!$B:$B,$A108,'Таблиця 1'!$I:$I,"МіГ-29")+COUNTIFS('Таблиця 1'!$B:$B,$A108,'Таблиця 1'!$I:$I,"Су-25")+COUNTIFS('Таблиця 1'!$B:$B,$A108,'Таблиця 1'!$I:$I,"Су-27"))</f>
        <v/>
      </c>
      <c r="C108">
        <f>IF($A108="","",COUNTIFS('Таблиця 1'!$B:$B,$A108,'Таблиця 1'!$I:$I,"Mirage"))</f>
        <v/>
      </c>
      <c r="D108">
        <f>IF($A108="","",COUNTIFS('Таблиця 1'!$B:$B,$A108,'Таблиця 1'!$I:$I,"F-16"))</f>
        <v/>
      </c>
      <c r="E108">
        <f>IF($A108="","",COUNTIFS('Таблиця 1'!$B:$B,$A108,'Таблиця 1'!$I:$I,"МіГ-29"))</f>
        <v/>
      </c>
      <c r="F108">
        <f>IF($A108="","",COUNTIFS('Таблиця 1'!$B:$B,$A108,'Таблиця 1'!$I:$I,"Су-25"))</f>
        <v/>
      </c>
      <c r="G108">
        <f>IF($A108="","",COUNTIFS('Таблиця 1'!$B:$B,$A108,'Таблиця 1'!$I:$I,"Су-27"))</f>
        <v/>
      </c>
      <c r="H108">
        <f>IF($A108="","",SUMIFS('Таблиця 1'!$K:$K,'Таблиця 1'!$B:$B,$A108,'Таблиця 1'!$I:$I,"Mirage",'Таблиця 1'!$J:$J,"AGM-88")+SUMIFS('Таблиця 1'!$K:$K,'Таблиця 1'!$B:$B,$A108,'Таблиця 1'!$I:$I,"F-16",'Таблиця 1'!$J:$J,"AGM-88")+SUMIFS('Таблиця 1'!$K:$K,'Таблиця 1'!$B:$B,$A108,'Таблиця 1'!$I:$I,"МіГ-29",'Таблиця 1'!$J:$J,"AGM-88")+SUMIFS('Таблиця 1'!$K:$K,'Таблиця 1'!$B:$B,$A108,'Таблиця 1'!$I:$I,"Су-25",'Таблиця 1'!$J:$J,"AGM-88")+SUMIFS('Таблиця 1'!$K:$K,'Таблиця 1'!$B:$B,$A108,'Таблиця 1'!$I:$I,"Су-27",'Таблиця 1'!$J:$J,"AGM-88"))</f>
        <v/>
      </c>
      <c r="I108">
        <f>IF($A108="","",SUMIFS('Таблиця 1'!$K:$K,'Таблиця 1'!$B:$B,$A108,'Таблиця 1'!$I:$I,"Mirage",'Таблиця 1'!$J:$J,"AASM-250")+SUMIFS('Таблиця 1'!$K:$K,'Таблиця 1'!$B:$B,$A108,'Таблиця 1'!$I:$I,"F-16",'Таблиця 1'!$J:$J,"AASM-250")+SUMIFS('Таблиця 1'!$K:$K,'Таблиця 1'!$B:$B,$A108,'Таблиця 1'!$I:$I,"МіГ-29",'Таблиця 1'!$J:$J,"AASM-250")+SUMIFS('Таблиця 1'!$K:$K,'Таблиця 1'!$B:$B,$A108,'Таблиця 1'!$I:$I,"Су-25",'Таблиця 1'!$J:$J,"AASM-250")+SUMIFS('Таблиця 1'!$K:$K,'Таблиця 1'!$B:$B,$A108,'Таблиця 1'!$I:$I,"Су-27",'Таблиця 1'!$J:$J,"AASM-250"))</f>
        <v/>
      </c>
      <c r="J108">
        <f>IF($A108="","",SUMIFS('Таблиця 1'!$K:$K,'Таблиця 1'!$B:$B,$A108,'Таблиця 1'!$I:$I,"Mirage",'Таблиця 1'!$J:$J,"GBU-39")+SUMIFS('Таблиця 1'!$K:$K,'Таблиця 1'!$B:$B,$A108,'Таблиця 1'!$I:$I,"F-16",'Таблиця 1'!$J:$J,"GBU-39")+SUMIFS('Таблиця 1'!$K:$K,'Таблиця 1'!$B:$B,$A108,'Таблиця 1'!$I:$I,"МіГ-29",'Таблиця 1'!$J:$J,"GBU-39")+SUMIFS('Таблиця 1'!$K:$K,'Таблиця 1'!$B:$B,$A108,'Таблиця 1'!$I:$I,"Су-25",'Таблиця 1'!$J:$J,"GBU-39")+SUMIFS('Таблиця 1'!$K:$K,'Таблиця 1'!$B:$B,$A108,'Таблиця 1'!$I:$I,"Су-27",'Таблиця 1'!$J:$J,"GBU-39"))</f>
        <v/>
      </c>
      <c r="K108">
        <f>IF($A108="","",SUMIFS('Таблиця 1'!$K:$K,'Таблиця 1'!$B:$B,$A108,'Таблиця 1'!$I:$I,"Mirage",'Таблиця 1'!$J:$J,"BLU-140")+SUMIFS('Таблиця 1'!$K:$K,'Таблиця 1'!$B:$B,$A108,'Таблиця 1'!$I:$I,"F-16",'Таблиця 1'!$J:$J,"BLU-140")+SUMIFS('Таблиця 1'!$K:$K,'Таблиця 1'!$B:$B,$A108,'Таблиця 1'!$I:$I,"МіГ-29",'Таблиця 1'!$J:$J,"BLU-140")+SUMIFS('Таблиця 1'!$K:$K,'Таблиця 1'!$B:$B,$A108,'Таблиця 1'!$I:$I,"Су-25",'Таблиця 1'!$J:$J,"BLU-140")+SUMIFS('Таблиця 1'!$K:$K,'Таблиця 1'!$B:$B,$A108,'Таблиця 1'!$I:$I,"Су-27",'Таблиця 1'!$J:$J,"BLU-140"))</f>
        <v/>
      </c>
      <c r="L108">
        <f>IF($A108="","",SUMIFS('Таблиця 1'!$K:$K,'Таблиця 1'!$B:$B,$A108,'Таблиця 1'!$I:$I,"Mirage",'Таблиця 1'!$J:$J,"GBU-65")+SUMIFS('Таблиця 1'!$K:$K,'Таблиця 1'!$B:$B,$A108,'Таблиця 1'!$I:$I,"F-16",'Таблиця 1'!$J:$J,"GBU-65")+SUMIFS('Таблиця 1'!$K:$K,'Таблиця 1'!$B:$B,$A108,'Таблиця 1'!$I:$I,"МіГ-29",'Таблиця 1'!$J:$J,"GBU-65")+SUMIFS('Таблиця 1'!$K:$K,'Таблиця 1'!$B:$B,$A108,'Таблиця 1'!$I:$I,"Су-25",'Таблиця 1'!$J:$J,"GBU-65")+SUMIFS('Таблиця 1'!$K:$K,'Таблиця 1'!$B:$B,$A108,'Таблиця 1'!$I:$I,"Су-27",'Таблиця 1'!$J:$J,"GBU-65"))</f>
        <v/>
      </c>
      <c r="M108">
        <f>IF($A108="","",SUMIFS('Таблиця 1'!$K:$K,'Таблиця 1'!$B:$B,$A108,'Таблиця 1'!$I:$I,"Mirage",'Таблиця 1'!$J:$J,"GBU-62")+SUMIFS('Таблиця 1'!$K:$K,'Таблиця 1'!$B:$B,$A108,'Таблиця 1'!$I:$I,"F-16",'Таблиця 1'!$J:$J,"GBU-62")+SUMIFS('Таблиця 1'!$K:$K,'Таблиця 1'!$B:$B,$A108,'Таблиця 1'!$I:$I,"МіГ-29",'Таблиця 1'!$J:$J,"GBU-62")+SUMIFS('Таблиця 1'!$K:$K,'Таблиця 1'!$B:$B,$A108,'Таблиця 1'!$I:$I,"Су-25",'Таблиця 1'!$J:$J,"GBU-62")+SUMIFS('Таблиця 1'!$K:$K,'Таблиця 1'!$B:$B,$A108,'Таблиця 1'!$I:$I,"Су-27",'Таблиця 1'!$J:$J,"GBU-62"))</f>
        <v/>
      </c>
      <c r="N108">
        <f>IF($A108="","",SUMIFS('Таблиця 1'!$K:$K,'Таблиця 1'!$B:$B,$A108,'Таблиця 1'!$I:$I,"Mirage",'Таблиця 1'!$J:$J,"GBU-64")+SUMIFS('Таблиця 1'!$K:$K,'Таблиця 1'!$B:$B,$A108,'Таблиця 1'!$I:$I,"F-16",'Таблиця 1'!$J:$J,"GBU-64")+SUMIFS('Таблиця 1'!$K:$K,'Таблиця 1'!$B:$B,$A108,'Таблиця 1'!$I:$I,"МіГ-29",'Таблиця 1'!$J:$J,"GBU-64")+SUMIFS('Таблиця 1'!$K:$K,'Таблиця 1'!$B:$B,$A108,'Таблиця 1'!$I:$I,"Су-25",'Таблиця 1'!$J:$J,"GBU-64")+SUMIFS('Таблиця 1'!$K:$K,'Таблиця 1'!$B:$B,$A108,'Таблиця 1'!$I:$I,"Су-27",'Таблиця 1'!$J:$J,"GBU-64"))</f>
        <v/>
      </c>
      <c r="O108">
        <f>IF($A108="","",SUMIFS('Таблиця 1'!$K:$K,'Таблиця 1'!$B:$B,$A108,'Таблиця 1'!$I:$I,"Mirage",'Таблиця 1'!$J:$J,"C-13")+SUMIFS('Таблиця 1'!$K:$K,'Таблиця 1'!$B:$B,$A108,'Таблиця 1'!$I:$I,"F-16",'Таблиця 1'!$J:$J,"C-13")+SUMIFS('Таблиця 1'!$K:$K,'Таблиця 1'!$B:$B,$A108,'Таблиця 1'!$I:$I,"МіГ-29",'Таблиця 1'!$J:$J,"C-13")+SUMIFS('Таблиця 1'!$K:$K,'Таблиця 1'!$B:$B,$A108,'Таблиця 1'!$I:$I,"Су-25",'Таблиця 1'!$J:$J,"C-13")+SUMIFS('Таблиця 1'!$K:$K,'Таблиця 1'!$B:$B,$A108,'Таблиця 1'!$I:$I,"Су-27",'Таблиця 1'!$J:$J,"C-13"))</f>
        <v/>
      </c>
      <c r="P108">
        <f>IF($A108="","",SUMIFS('Таблиця 1'!$K:$K,'Таблиця 1'!$B:$B,$A108,'Таблиця 1'!$I:$I,"Mirage",'Таблиця 1'!$J:$J,"MK-32")+SUMIFS('Таблиця 1'!$K:$K,'Таблиця 1'!$B:$B,$A108,'Таблиця 1'!$I:$I,"F-16",'Таблиця 1'!$J:$J,"MK-32")+SUMIFS('Таблиця 1'!$K:$K,'Таблиця 1'!$B:$B,$A108,'Таблиця 1'!$I:$I,"МіГ-29",'Таблиця 1'!$J:$J,"MK-32")+SUMIFS('Таблиця 1'!$K:$K,'Таблиця 1'!$B:$B,$A108,'Таблиця 1'!$I:$I,"Су-25",'Таблиця 1'!$J:$J,"MK-32")+SUMIFS('Таблиця 1'!$K:$K,'Таблиця 1'!$B:$B,$A108,'Таблиця 1'!$I:$I,"Су-27",'Таблиця 1'!$J:$J,"MK-32"))</f>
        <v/>
      </c>
      <c r="Q108">
        <f>IF($A108="","",SUMIFS('Таблиця 1'!$K:$K,'Таблиця 1'!$B:$B,$A108,'Таблиця 1'!$I:$I,"Mirage",'Таблиця 1'!$J:$J,"MK-24")+SUMIFS('Таблиця 1'!$K:$K,'Таблиця 1'!$B:$B,$A108,'Таблиця 1'!$I:$I,"F-16",'Таблиця 1'!$J:$J,"MK-24")+SUMIFS('Таблиця 1'!$K:$K,'Таблиця 1'!$B:$B,$A108,'Таблиця 1'!$I:$I,"МіГ-29",'Таблиця 1'!$J:$J,"MK-24")+SUMIFS('Таблиця 1'!$K:$K,'Таблиця 1'!$B:$B,$A108,'Таблиця 1'!$I:$I,"Су-25",'Таблиця 1'!$J:$J,"MK-24")+SUMIFS('Таблиця 1'!$K:$K,'Таблиця 1'!$B:$B,$A108,'Таблиця 1'!$I:$I,"Су-27",'Таблиця 1'!$J:$J,"MK-24"))</f>
        <v/>
      </c>
      <c r="R108">
        <f>IF($A108="","",COUNTIFS('Таблиця 1'!$B:$B,$A108,'Таблиця 1'!$I:$I,"Mirage",'Таблиця 1'!$L:$L,"Уражено")+COUNTIFS('Таблиця 1'!$B:$B,$A108,'Таблиця 1'!$I:$I,"F-16",'Таблиця 1'!$L:$L,"Уражено")+COUNTIFS('Таблиця 1'!$B:$B,$A108,'Таблиця 1'!$I:$I,"МіГ-29",'Таблиця 1'!$L:$L,"Уражено")+COUNTIFS('Таблиця 1'!$B:$B,$A108,'Таблиця 1'!$I:$I,"Су-25",'Таблиця 1'!$L:$L,"Уражено")+COUNTIFS('Таблиця 1'!$B:$B,$A108,'Таблиця 1'!$I:$I,"Су-27",'Таблиця 1'!$L:$L,"Уражено"))</f>
        <v/>
      </c>
      <c r="S108">
        <f>IF($A108="","",COUNTIFS('Таблиця 1'!$B:$B,$A108,'Таблиця 1'!$I:$I,"Mirage",'Таблиця 1'!$L:$L,"НЕ уражено")+COUNTIFS('Таблиця 1'!$B:$B,$A108,'Таблиця 1'!$I:$I,"F-16",'Таблиця 1'!$L:$L,"НЕ уражено")+COUNTIFS('Таблиця 1'!$B:$B,$A108,'Таблиця 1'!$I:$I,"МіГ-29",'Таблиця 1'!$L:$L,"НЕ уражено")+COUNTIFS('Таблиця 1'!$B:$B,$A108,'Таблиця 1'!$I:$I,"Су-25",'Таблиця 1'!$L:$L,"НЕ уражено")+COUNTIFS('Таблиця 1'!$B:$B,$A108,'Таблиця 1'!$I:$I,"Су-27",'Таблиця 1'!$L:$L,"НЕ уражено"))</f>
        <v/>
      </c>
      <c r="T108">
        <f>IF($A108="","",COUNTIFS('Таблиця 1'!$B:$B,$A108,'Таблиця 1'!$I:$I,"Mirage",'Таблиця 1'!$L:$L,"Дорозвідується")+COUNTIFS('Таблиця 1'!$B:$B,$A108,'Таблиця 1'!$I:$I,"F-16",'Таблиця 1'!$L:$L,"Дорозвідується")+COUNTIFS('Таблиця 1'!$B:$B,$A108,'Таблиця 1'!$I:$I,"МіГ-29",'Таблиця 1'!$L:$L,"Дорозвідується")+COUNTIFS('Таблиця 1'!$B:$B,$A108,'Таблиця 1'!$I:$I,"Су-25",'Таблиця 1'!$L:$L,"Дорозвідується")+COUNTIFS('Таблиця 1'!$B:$B,$A108,'Таблиця 1'!$I:$I,"Су-27",'Таблиця 1'!$L:$L,"Дорозвідується"))</f>
        <v/>
      </c>
    </row>
    <row r="109">
      <c r="A109" s="273">
        <f>IF(A108="","",IF(A108+1&gt;MAX('Таблиця 1'!$B:$B),"",A108+1))</f>
        <v/>
      </c>
      <c r="B109">
        <f>IF($A109="","",COUNTIFS('Таблиця 1'!$B:$B,$A109,'Таблиця 1'!$I:$I,"Mirage")+COUNTIFS('Таблиця 1'!$B:$B,$A109,'Таблиця 1'!$I:$I,"F-16")+COUNTIFS('Таблиця 1'!$B:$B,$A109,'Таблиця 1'!$I:$I,"МіГ-29")+COUNTIFS('Таблиця 1'!$B:$B,$A109,'Таблиця 1'!$I:$I,"Су-25")+COUNTIFS('Таблиця 1'!$B:$B,$A109,'Таблиця 1'!$I:$I,"Су-27"))</f>
        <v/>
      </c>
      <c r="C109">
        <f>IF($A109="","",COUNTIFS('Таблиця 1'!$B:$B,$A109,'Таблиця 1'!$I:$I,"Mirage"))</f>
        <v/>
      </c>
      <c r="D109">
        <f>IF($A109="","",COUNTIFS('Таблиця 1'!$B:$B,$A109,'Таблиця 1'!$I:$I,"F-16"))</f>
        <v/>
      </c>
      <c r="E109">
        <f>IF($A109="","",COUNTIFS('Таблиця 1'!$B:$B,$A109,'Таблиця 1'!$I:$I,"МіГ-29"))</f>
        <v/>
      </c>
      <c r="F109">
        <f>IF($A109="","",COUNTIFS('Таблиця 1'!$B:$B,$A109,'Таблиця 1'!$I:$I,"Су-25"))</f>
        <v/>
      </c>
      <c r="G109">
        <f>IF($A109="","",COUNTIFS('Таблиця 1'!$B:$B,$A109,'Таблиця 1'!$I:$I,"Су-27"))</f>
        <v/>
      </c>
      <c r="H109">
        <f>IF($A109="","",SUMIFS('Таблиця 1'!$K:$K,'Таблиця 1'!$B:$B,$A109,'Таблиця 1'!$I:$I,"Mirage",'Таблиця 1'!$J:$J,"AGM-88")+SUMIFS('Таблиця 1'!$K:$K,'Таблиця 1'!$B:$B,$A109,'Таблиця 1'!$I:$I,"F-16",'Таблиця 1'!$J:$J,"AGM-88")+SUMIFS('Таблиця 1'!$K:$K,'Таблиця 1'!$B:$B,$A109,'Таблиця 1'!$I:$I,"МіГ-29",'Таблиця 1'!$J:$J,"AGM-88")+SUMIFS('Таблиця 1'!$K:$K,'Таблиця 1'!$B:$B,$A109,'Таблиця 1'!$I:$I,"Су-25",'Таблиця 1'!$J:$J,"AGM-88")+SUMIFS('Таблиця 1'!$K:$K,'Таблиця 1'!$B:$B,$A109,'Таблиця 1'!$I:$I,"Су-27",'Таблиця 1'!$J:$J,"AGM-88"))</f>
        <v/>
      </c>
      <c r="I109">
        <f>IF($A109="","",SUMIFS('Таблиця 1'!$K:$K,'Таблиця 1'!$B:$B,$A109,'Таблиця 1'!$I:$I,"Mirage",'Таблиця 1'!$J:$J,"AASM-250")+SUMIFS('Таблиця 1'!$K:$K,'Таблиця 1'!$B:$B,$A109,'Таблиця 1'!$I:$I,"F-16",'Таблиця 1'!$J:$J,"AASM-250")+SUMIFS('Таблиця 1'!$K:$K,'Таблиця 1'!$B:$B,$A109,'Таблиця 1'!$I:$I,"МіГ-29",'Таблиця 1'!$J:$J,"AASM-250")+SUMIFS('Таблиця 1'!$K:$K,'Таблиця 1'!$B:$B,$A109,'Таблиця 1'!$I:$I,"Су-25",'Таблиця 1'!$J:$J,"AASM-250")+SUMIFS('Таблиця 1'!$K:$K,'Таблиця 1'!$B:$B,$A109,'Таблиця 1'!$I:$I,"Су-27",'Таблиця 1'!$J:$J,"AASM-250"))</f>
        <v/>
      </c>
      <c r="J109">
        <f>IF($A109="","",SUMIFS('Таблиця 1'!$K:$K,'Таблиця 1'!$B:$B,$A109,'Таблиця 1'!$I:$I,"Mirage",'Таблиця 1'!$J:$J,"GBU-39")+SUMIFS('Таблиця 1'!$K:$K,'Таблиця 1'!$B:$B,$A109,'Таблиця 1'!$I:$I,"F-16",'Таблиця 1'!$J:$J,"GBU-39")+SUMIFS('Таблиця 1'!$K:$K,'Таблиця 1'!$B:$B,$A109,'Таблиця 1'!$I:$I,"МіГ-29",'Таблиця 1'!$J:$J,"GBU-39")+SUMIFS('Таблиця 1'!$K:$K,'Таблиця 1'!$B:$B,$A109,'Таблиця 1'!$I:$I,"Су-25",'Таблиця 1'!$J:$J,"GBU-39")+SUMIFS('Таблиця 1'!$K:$K,'Таблиця 1'!$B:$B,$A109,'Таблиця 1'!$I:$I,"Су-27",'Таблиця 1'!$J:$J,"GBU-39"))</f>
        <v/>
      </c>
      <c r="K109">
        <f>IF($A109="","",SUMIFS('Таблиця 1'!$K:$K,'Таблиця 1'!$B:$B,$A109,'Таблиця 1'!$I:$I,"Mirage",'Таблиця 1'!$J:$J,"BLU-140")+SUMIFS('Таблиця 1'!$K:$K,'Таблиця 1'!$B:$B,$A109,'Таблиця 1'!$I:$I,"F-16",'Таблиця 1'!$J:$J,"BLU-140")+SUMIFS('Таблиця 1'!$K:$K,'Таблиця 1'!$B:$B,$A109,'Таблиця 1'!$I:$I,"МіГ-29",'Таблиця 1'!$J:$J,"BLU-140")+SUMIFS('Таблиця 1'!$K:$K,'Таблиця 1'!$B:$B,$A109,'Таблиця 1'!$I:$I,"Су-25",'Таблиця 1'!$J:$J,"BLU-140")+SUMIFS('Таблиця 1'!$K:$K,'Таблиця 1'!$B:$B,$A109,'Таблиця 1'!$I:$I,"Су-27",'Таблиця 1'!$J:$J,"BLU-140"))</f>
        <v/>
      </c>
      <c r="L109">
        <f>IF($A109="","",SUMIFS('Таблиця 1'!$K:$K,'Таблиця 1'!$B:$B,$A109,'Таблиця 1'!$I:$I,"Mirage",'Таблиця 1'!$J:$J,"GBU-65")+SUMIFS('Таблиця 1'!$K:$K,'Таблиця 1'!$B:$B,$A109,'Таблиця 1'!$I:$I,"F-16",'Таблиця 1'!$J:$J,"GBU-65")+SUMIFS('Таблиця 1'!$K:$K,'Таблиця 1'!$B:$B,$A109,'Таблиця 1'!$I:$I,"МіГ-29",'Таблиця 1'!$J:$J,"GBU-65")+SUMIFS('Таблиця 1'!$K:$K,'Таблиця 1'!$B:$B,$A109,'Таблиця 1'!$I:$I,"Су-25",'Таблиця 1'!$J:$J,"GBU-65")+SUMIFS('Таблиця 1'!$K:$K,'Таблиця 1'!$B:$B,$A109,'Таблиця 1'!$I:$I,"Су-27",'Таблиця 1'!$J:$J,"GBU-65"))</f>
        <v/>
      </c>
      <c r="M109">
        <f>IF($A109="","",SUMIFS('Таблиця 1'!$K:$K,'Таблиця 1'!$B:$B,$A109,'Таблиця 1'!$I:$I,"Mirage",'Таблиця 1'!$J:$J,"GBU-62")+SUMIFS('Таблиця 1'!$K:$K,'Таблиця 1'!$B:$B,$A109,'Таблиця 1'!$I:$I,"F-16",'Таблиця 1'!$J:$J,"GBU-62")+SUMIFS('Таблиця 1'!$K:$K,'Таблиця 1'!$B:$B,$A109,'Таблиця 1'!$I:$I,"МіГ-29",'Таблиця 1'!$J:$J,"GBU-62")+SUMIFS('Таблиця 1'!$K:$K,'Таблиця 1'!$B:$B,$A109,'Таблиця 1'!$I:$I,"Су-25",'Таблиця 1'!$J:$J,"GBU-62")+SUMIFS('Таблиця 1'!$K:$K,'Таблиця 1'!$B:$B,$A109,'Таблиця 1'!$I:$I,"Су-27",'Таблиця 1'!$J:$J,"GBU-62"))</f>
        <v/>
      </c>
      <c r="N109">
        <f>IF($A109="","",SUMIFS('Таблиця 1'!$K:$K,'Таблиця 1'!$B:$B,$A109,'Таблиця 1'!$I:$I,"Mirage",'Таблиця 1'!$J:$J,"GBU-64")+SUMIFS('Таблиця 1'!$K:$K,'Таблиця 1'!$B:$B,$A109,'Таблиця 1'!$I:$I,"F-16",'Таблиця 1'!$J:$J,"GBU-64")+SUMIFS('Таблиця 1'!$K:$K,'Таблиця 1'!$B:$B,$A109,'Таблиця 1'!$I:$I,"МіГ-29",'Таблиця 1'!$J:$J,"GBU-64")+SUMIFS('Таблиця 1'!$K:$K,'Таблиця 1'!$B:$B,$A109,'Таблиця 1'!$I:$I,"Су-25",'Таблиця 1'!$J:$J,"GBU-64")+SUMIFS('Таблиця 1'!$K:$K,'Таблиця 1'!$B:$B,$A109,'Таблиця 1'!$I:$I,"Су-27",'Таблиця 1'!$J:$J,"GBU-64"))</f>
        <v/>
      </c>
      <c r="O109">
        <f>IF($A109="","",SUMIFS('Таблиця 1'!$K:$K,'Таблиця 1'!$B:$B,$A109,'Таблиця 1'!$I:$I,"Mirage",'Таблиця 1'!$J:$J,"C-13")+SUMIFS('Таблиця 1'!$K:$K,'Таблиця 1'!$B:$B,$A109,'Таблиця 1'!$I:$I,"F-16",'Таблиця 1'!$J:$J,"C-13")+SUMIFS('Таблиця 1'!$K:$K,'Таблиця 1'!$B:$B,$A109,'Таблиця 1'!$I:$I,"МіГ-29",'Таблиця 1'!$J:$J,"C-13")+SUMIFS('Таблиця 1'!$K:$K,'Таблиця 1'!$B:$B,$A109,'Таблиця 1'!$I:$I,"Су-25",'Таблиця 1'!$J:$J,"C-13")+SUMIFS('Таблиця 1'!$K:$K,'Таблиця 1'!$B:$B,$A109,'Таблиця 1'!$I:$I,"Су-27",'Таблиця 1'!$J:$J,"C-13"))</f>
        <v/>
      </c>
      <c r="P109">
        <f>IF($A109="","",SUMIFS('Таблиця 1'!$K:$K,'Таблиця 1'!$B:$B,$A109,'Таблиця 1'!$I:$I,"Mirage",'Таблиця 1'!$J:$J,"MK-32")+SUMIFS('Таблиця 1'!$K:$K,'Таблиця 1'!$B:$B,$A109,'Таблиця 1'!$I:$I,"F-16",'Таблиця 1'!$J:$J,"MK-32")+SUMIFS('Таблиця 1'!$K:$K,'Таблиця 1'!$B:$B,$A109,'Таблиця 1'!$I:$I,"МіГ-29",'Таблиця 1'!$J:$J,"MK-32")+SUMIFS('Таблиця 1'!$K:$K,'Таблиця 1'!$B:$B,$A109,'Таблиця 1'!$I:$I,"Су-25",'Таблиця 1'!$J:$J,"MK-32")+SUMIFS('Таблиця 1'!$K:$K,'Таблиця 1'!$B:$B,$A109,'Таблиця 1'!$I:$I,"Су-27",'Таблиця 1'!$J:$J,"MK-32"))</f>
        <v/>
      </c>
      <c r="Q109">
        <f>IF($A109="","",SUMIFS('Таблиця 1'!$K:$K,'Таблиця 1'!$B:$B,$A109,'Таблиця 1'!$I:$I,"Mirage",'Таблиця 1'!$J:$J,"MK-24")+SUMIFS('Таблиця 1'!$K:$K,'Таблиця 1'!$B:$B,$A109,'Таблиця 1'!$I:$I,"F-16",'Таблиця 1'!$J:$J,"MK-24")+SUMIFS('Таблиця 1'!$K:$K,'Таблиця 1'!$B:$B,$A109,'Таблиця 1'!$I:$I,"МіГ-29",'Таблиця 1'!$J:$J,"MK-24")+SUMIFS('Таблиця 1'!$K:$K,'Таблиця 1'!$B:$B,$A109,'Таблиця 1'!$I:$I,"Су-25",'Таблиця 1'!$J:$J,"MK-24")+SUMIFS('Таблиця 1'!$K:$K,'Таблиця 1'!$B:$B,$A109,'Таблиця 1'!$I:$I,"Су-27",'Таблиця 1'!$J:$J,"MK-24"))</f>
        <v/>
      </c>
      <c r="R109">
        <f>IF($A109="","",COUNTIFS('Таблиця 1'!$B:$B,$A109,'Таблиця 1'!$I:$I,"Mirage",'Таблиця 1'!$L:$L,"Уражено")+COUNTIFS('Таблиця 1'!$B:$B,$A109,'Таблиця 1'!$I:$I,"F-16",'Таблиця 1'!$L:$L,"Уражено")+COUNTIFS('Таблиця 1'!$B:$B,$A109,'Таблиця 1'!$I:$I,"МіГ-29",'Таблиця 1'!$L:$L,"Уражено")+COUNTIFS('Таблиця 1'!$B:$B,$A109,'Таблиця 1'!$I:$I,"Су-25",'Таблиця 1'!$L:$L,"Уражено")+COUNTIFS('Таблиця 1'!$B:$B,$A109,'Таблиця 1'!$I:$I,"Су-27",'Таблиця 1'!$L:$L,"Уражено"))</f>
        <v/>
      </c>
      <c r="S109">
        <f>IF($A109="","",COUNTIFS('Таблиця 1'!$B:$B,$A109,'Таблиця 1'!$I:$I,"Mirage",'Таблиця 1'!$L:$L,"НЕ уражено")+COUNTIFS('Таблиця 1'!$B:$B,$A109,'Таблиця 1'!$I:$I,"F-16",'Таблиця 1'!$L:$L,"НЕ уражено")+COUNTIFS('Таблиця 1'!$B:$B,$A109,'Таблиця 1'!$I:$I,"МіГ-29",'Таблиця 1'!$L:$L,"НЕ уражено")+COUNTIFS('Таблиця 1'!$B:$B,$A109,'Таблиця 1'!$I:$I,"Су-25",'Таблиця 1'!$L:$L,"НЕ уражено")+COUNTIFS('Таблиця 1'!$B:$B,$A109,'Таблиця 1'!$I:$I,"Су-27",'Таблиця 1'!$L:$L,"НЕ уражено"))</f>
        <v/>
      </c>
      <c r="T109">
        <f>IF($A109="","",COUNTIFS('Таблиця 1'!$B:$B,$A109,'Таблиця 1'!$I:$I,"Mirage",'Таблиця 1'!$L:$L,"Дорозвідується")+COUNTIFS('Таблиця 1'!$B:$B,$A109,'Таблиця 1'!$I:$I,"F-16",'Таблиця 1'!$L:$L,"Дорозвідується")+COUNTIFS('Таблиця 1'!$B:$B,$A109,'Таблиця 1'!$I:$I,"МіГ-29",'Таблиця 1'!$L:$L,"Дорозвідується")+COUNTIFS('Таблиця 1'!$B:$B,$A109,'Таблиця 1'!$I:$I,"Су-25",'Таблиця 1'!$L:$L,"Дорозвідується")+COUNTIFS('Таблиця 1'!$B:$B,$A109,'Таблиця 1'!$I:$I,"Су-27",'Таблиця 1'!$L:$L,"Дорозвідується"))</f>
        <v/>
      </c>
    </row>
    <row r="110">
      <c r="A110" s="273">
        <f>IF(A109="","",IF(A109+1&gt;MAX('Таблиця 1'!$B:$B),"",A109+1))</f>
        <v/>
      </c>
      <c r="B110">
        <f>IF($A110="","",COUNTIFS('Таблиця 1'!$B:$B,$A110,'Таблиця 1'!$I:$I,"Mirage")+COUNTIFS('Таблиця 1'!$B:$B,$A110,'Таблиця 1'!$I:$I,"F-16")+COUNTIFS('Таблиця 1'!$B:$B,$A110,'Таблиця 1'!$I:$I,"МіГ-29")+COUNTIFS('Таблиця 1'!$B:$B,$A110,'Таблиця 1'!$I:$I,"Су-25")+COUNTIFS('Таблиця 1'!$B:$B,$A110,'Таблиця 1'!$I:$I,"Су-27"))</f>
        <v/>
      </c>
      <c r="C110">
        <f>IF($A110="","",COUNTIFS('Таблиця 1'!$B:$B,$A110,'Таблиця 1'!$I:$I,"Mirage"))</f>
        <v/>
      </c>
      <c r="D110">
        <f>IF($A110="","",COUNTIFS('Таблиця 1'!$B:$B,$A110,'Таблиця 1'!$I:$I,"F-16"))</f>
        <v/>
      </c>
      <c r="E110">
        <f>IF($A110="","",COUNTIFS('Таблиця 1'!$B:$B,$A110,'Таблиця 1'!$I:$I,"МіГ-29"))</f>
        <v/>
      </c>
      <c r="F110">
        <f>IF($A110="","",COUNTIFS('Таблиця 1'!$B:$B,$A110,'Таблиця 1'!$I:$I,"Су-25"))</f>
        <v/>
      </c>
      <c r="G110">
        <f>IF($A110="","",COUNTIFS('Таблиця 1'!$B:$B,$A110,'Таблиця 1'!$I:$I,"Су-27"))</f>
        <v/>
      </c>
      <c r="H110">
        <f>IF($A110="","",SUMIFS('Таблиця 1'!$K:$K,'Таблиця 1'!$B:$B,$A110,'Таблиця 1'!$I:$I,"Mirage",'Таблиця 1'!$J:$J,"AGM-88")+SUMIFS('Таблиця 1'!$K:$K,'Таблиця 1'!$B:$B,$A110,'Таблиця 1'!$I:$I,"F-16",'Таблиця 1'!$J:$J,"AGM-88")+SUMIFS('Таблиця 1'!$K:$K,'Таблиця 1'!$B:$B,$A110,'Таблиця 1'!$I:$I,"МіГ-29",'Таблиця 1'!$J:$J,"AGM-88")+SUMIFS('Таблиця 1'!$K:$K,'Таблиця 1'!$B:$B,$A110,'Таблиця 1'!$I:$I,"Су-25",'Таблиця 1'!$J:$J,"AGM-88")+SUMIFS('Таблиця 1'!$K:$K,'Таблиця 1'!$B:$B,$A110,'Таблиця 1'!$I:$I,"Су-27",'Таблиця 1'!$J:$J,"AGM-88"))</f>
        <v/>
      </c>
      <c r="I110">
        <f>IF($A110="","",SUMIFS('Таблиця 1'!$K:$K,'Таблиця 1'!$B:$B,$A110,'Таблиця 1'!$I:$I,"Mirage",'Таблиця 1'!$J:$J,"AASM-250")+SUMIFS('Таблиця 1'!$K:$K,'Таблиця 1'!$B:$B,$A110,'Таблиця 1'!$I:$I,"F-16",'Таблиця 1'!$J:$J,"AASM-250")+SUMIFS('Таблиця 1'!$K:$K,'Таблиця 1'!$B:$B,$A110,'Таблиця 1'!$I:$I,"МіГ-29",'Таблиця 1'!$J:$J,"AASM-250")+SUMIFS('Таблиця 1'!$K:$K,'Таблиця 1'!$B:$B,$A110,'Таблиця 1'!$I:$I,"Су-25",'Таблиця 1'!$J:$J,"AASM-250")+SUMIFS('Таблиця 1'!$K:$K,'Таблиця 1'!$B:$B,$A110,'Таблиця 1'!$I:$I,"Су-27",'Таблиця 1'!$J:$J,"AASM-250"))</f>
        <v/>
      </c>
      <c r="J110">
        <f>IF($A110="","",SUMIFS('Таблиця 1'!$K:$K,'Таблиця 1'!$B:$B,$A110,'Таблиця 1'!$I:$I,"Mirage",'Таблиця 1'!$J:$J,"GBU-39")+SUMIFS('Таблиця 1'!$K:$K,'Таблиця 1'!$B:$B,$A110,'Таблиця 1'!$I:$I,"F-16",'Таблиця 1'!$J:$J,"GBU-39")+SUMIFS('Таблиця 1'!$K:$K,'Таблиця 1'!$B:$B,$A110,'Таблиця 1'!$I:$I,"МіГ-29",'Таблиця 1'!$J:$J,"GBU-39")+SUMIFS('Таблиця 1'!$K:$K,'Таблиця 1'!$B:$B,$A110,'Таблиця 1'!$I:$I,"Су-25",'Таблиця 1'!$J:$J,"GBU-39")+SUMIFS('Таблиця 1'!$K:$K,'Таблиця 1'!$B:$B,$A110,'Таблиця 1'!$I:$I,"Су-27",'Таблиця 1'!$J:$J,"GBU-39"))</f>
        <v/>
      </c>
      <c r="K110">
        <f>IF($A110="","",SUMIFS('Таблиця 1'!$K:$K,'Таблиця 1'!$B:$B,$A110,'Таблиця 1'!$I:$I,"Mirage",'Таблиця 1'!$J:$J,"BLU-140")+SUMIFS('Таблиця 1'!$K:$K,'Таблиця 1'!$B:$B,$A110,'Таблиця 1'!$I:$I,"F-16",'Таблиця 1'!$J:$J,"BLU-140")+SUMIFS('Таблиця 1'!$K:$K,'Таблиця 1'!$B:$B,$A110,'Таблиця 1'!$I:$I,"МіГ-29",'Таблиця 1'!$J:$J,"BLU-140")+SUMIFS('Таблиця 1'!$K:$K,'Таблиця 1'!$B:$B,$A110,'Таблиця 1'!$I:$I,"Су-25",'Таблиця 1'!$J:$J,"BLU-140")+SUMIFS('Таблиця 1'!$K:$K,'Таблиця 1'!$B:$B,$A110,'Таблиця 1'!$I:$I,"Су-27",'Таблиця 1'!$J:$J,"BLU-140"))</f>
        <v/>
      </c>
      <c r="L110">
        <f>IF($A110="","",SUMIFS('Таблиця 1'!$K:$K,'Таблиця 1'!$B:$B,$A110,'Таблиця 1'!$I:$I,"Mirage",'Таблиця 1'!$J:$J,"GBU-65")+SUMIFS('Таблиця 1'!$K:$K,'Таблиця 1'!$B:$B,$A110,'Таблиця 1'!$I:$I,"F-16",'Таблиця 1'!$J:$J,"GBU-65")+SUMIFS('Таблиця 1'!$K:$K,'Таблиця 1'!$B:$B,$A110,'Таблиця 1'!$I:$I,"МіГ-29",'Таблиця 1'!$J:$J,"GBU-65")+SUMIFS('Таблиця 1'!$K:$K,'Таблиця 1'!$B:$B,$A110,'Таблиця 1'!$I:$I,"Су-25",'Таблиця 1'!$J:$J,"GBU-65")+SUMIFS('Таблиця 1'!$K:$K,'Таблиця 1'!$B:$B,$A110,'Таблиця 1'!$I:$I,"Су-27",'Таблиця 1'!$J:$J,"GBU-65"))</f>
        <v/>
      </c>
      <c r="M110">
        <f>IF($A110="","",SUMIFS('Таблиця 1'!$K:$K,'Таблиця 1'!$B:$B,$A110,'Таблиця 1'!$I:$I,"Mirage",'Таблиця 1'!$J:$J,"GBU-62")+SUMIFS('Таблиця 1'!$K:$K,'Таблиця 1'!$B:$B,$A110,'Таблиця 1'!$I:$I,"F-16",'Таблиця 1'!$J:$J,"GBU-62")+SUMIFS('Таблиця 1'!$K:$K,'Таблиця 1'!$B:$B,$A110,'Таблиця 1'!$I:$I,"МіГ-29",'Таблиця 1'!$J:$J,"GBU-62")+SUMIFS('Таблиця 1'!$K:$K,'Таблиця 1'!$B:$B,$A110,'Таблиця 1'!$I:$I,"Су-25",'Таблиця 1'!$J:$J,"GBU-62")+SUMIFS('Таблиця 1'!$K:$K,'Таблиця 1'!$B:$B,$A110,'Таблиця 1'!$I:$I,"Су-27",'Таблиця 1'!$J:$J,"GBU-62"))</f>
        <v/>
      </c>
      <c r="N110">
        <f>IF($A110="","",SUMIFS('Таблиця 1'!$K:$K,'Таблиця 1'!$B:$B,$A110,'Таблиця 1'!$I:$I,"Mirage",'Таблиця 1'!$J:$J,"GBU-64")+SUMIFS('Таблиця 1'!$K:$K,'Таблиця 1'!$B:$B,$A110,'Таблиця 1'!$I:$I,"F-16",'Таблиця 1'!$J:$J,"GBU-64")+SUMIFS('Таблиця 1'!$K:$K,'Таблиця 1'!$B:$B,$A110,'Таблиця 1'!$I:$I,"МіГ-29",'Таблиця 1'!$J:$J,"GBU-64")+SUMIFS('Таблиця 1'!$K:$K,'Таблиця 1'!$B:$B,$A110,'Таблиця 1'!$I:$I,"Су-25",'Таблиця 1'!$J:$J,"GBU-64")+SUMIFS('Таблиця 1'!$K:$K,'Таблиця 1'!$B:$B,$A110,'Таблиця 1'!$I:$I,"Су-27",'Таблиця 1'!$J:$J,"GBU-64"))</f>
        <v/>
      </c>
      <c r="O110">
        <f>IF($A110="","",SUMIFS('Таблиця 1'!$K:$K,'Таблиця 1'!$B:$B,$A110,'Таблиця 1'!$I:$I,"Mirage",'Таблиця 1'!$J:$J,"C-13")+SUMIFS('Таблиця 1'!$K:$K,'Таблиця 1'!$B:$B,$A110,'Таблиця 1'!$I:$I,"F-16",'Таблиця 1'!$J:$J,"C-13")+SUMIFS('Таблиця 1'!$K:$K,'Таблиця 1'!$B:$B,$A110,'Таблиця 1'!$I:$I,"МіГ-29",'Таблиця 1'!$J:$J,"C-13")+SUMIFS('Таблиця 1'!$K:$K,'Таблиця 1'!$B:$B,$A110,'Таблиця 1'!$I:$I,"Су-25",'Таблиця 1'!$J:$J,"C-13")+SUMIFS('Таблиця 1'!$K:$K,'Таблиця 1'!$B:$B,$A110,'Таблиця 1'!$I:$I,"Су-27",'Таблиця 1'!$J:$J,"C-13"))</f>
        <v/>
      </c>
      <c r="P110">
        <f>IF($A110="","",SUMIFS('Таблиця 1'!$K:$K,'Таблиця 1'!$B:$B,$A110,'Таблиця 1'!$I:$I,"Mirage",'Таблиця 1'!$J:$J,"MK-32")+SUMIFS('Таблиця 1'!$K:$K,'Таблиця 1'!$B:$B,$A110,'Таблиця 1'!$I:$I,"F-16",'Таблиця 1'!$J:$J,"MK-32")+SUMIFS('Таблиця 1'!$K:$K,'Таблиця 1'!$B:$B,$A110,'Таблиця 1'!$I:$I,"МіГ-29",'Таблиця 1'!$J:$J,"MK-32")+SUMIFS('Таблиця 1'!$K:$K,'Таблиця 1'!$B:$B,$A110,'Таблиця 1'!$I:$I,"Су-25",'Таблиця 1'!$J:$J,"MK-32")+SUMIFS('Таблиця 1'!$K:$K,'Таблиця 1'!$B:$B,$A110,'Таблиця 1'!$I:$I,"Су-27",'Таблиця 1'!$J:$J,"MK-32"))</f>
        <v/>
      </c>
      <c r="Q110">
        <f>IF($A110="","",SUMIFS('Таблиця 1'!$K:$K,'Таблиця 1'!$B:$B,$A110,'Таблиця 1'!$I:$I,"Mirage",'Таблиця 1'!$J:$J,"MK-24")+SUMIFS('Таблиця 1'!$K:$K,'Таблиця 1'!$B:$B,$A110,'Таблиця 1'!$I:$I,"F-16",'Таблиця 1'!$J:$J,"MK-24")+SUMIFS('Таблиця 1'!$K:$K,'Таблиця 1'!$B:$B,$A110,'Таблиця 1'!$I:$I,"МіГ-29",'Таблиця 1'!$J:$J,"MK-24")+SUMIFS('Таблиця 1'!$K:$K,'Таблиця 1'!$B:$B,$A110,'Таблиця 1'!$I:$I,"Су-25",'Таблиця 1'!$J:$J,"MK-24")+SUMIFS('Таблиця 1'!$K:$K,'Таблиця 1'!$B:$B,$A110,'Таблиця 1'!$I:$I,"Су-27",'Таблиця 1'!$J:$J,"MK-24"))</f>
        <v/>
      </c>
      <c r="R110">
        <f>IF($A110="","",COUNTIFS('Таблиця 1'!$B:$B,$A110,'Таблиця 1'!$I:$I,"Mirage",'Таблиця 1'!$L:$L,"Уражено")+COUNTIFS('Таблиця 1'!$B:$B,$A110,'Таблиця 1'!$I:$I,"F-16",'Таблиця 1'!$L:$L,"Уражено")+COUNTIFS('Таблиця 1'!$B:$B,$A110,'Таблиця 1'!$I:$I,"МіГ-29",'Таблиця 1'!$L:$L,"Уражено")+COUNTIFS('Таблиця 1'!$B:$B,$A110,'Таблиця 1'!$I:$I,"Су-25",'Таблиця 1'!$L:$L,"Уражено")+COUNTIFS('Таблиця 1'!$B:$B,$A110,'Таблиця 1'!$I:$I,"Су-27",'Таблиця 1'!$L:$L,"Уражено"))</f>
        <v/>
      </c>
      <c r="S110">
        <f>IF($A110="","",COUNTIFS('Таблиця 1'!$B:$B,$A110,'Таблиця 1'!$I:$I,"Mirage",'Таблиця 1'!$L:$L,"НЕ уражено")+COUNTIFS('Таблиця 1'!$B:$B,$A110,'Таблиця 1'!$I:$I,"F-16",'Таблиця 1'!$L:$L,"НЕ уражено")+COUNTIFS('Таблиця 1'!$B:$B,$A110,'Таблиця 1'!$I:$I,"МіГ-29",'Таблиця 1'!$L:$L,"НЕ уражено")+COUNTIFS('Таблиця 1'!$B:$B,$A110,'Таблиця 1'!$I:$I,"Су-25",'Таблиця 1'!$L:$L,"НЕ уражено")+COUNTIFS('Таблиця 1'!$B:$B,$A110,'Таблиця 1'!$I:$I,"Су-27",'Таблиця 1'!$L:$L,"НЕ уражено"))</f>
        <v/>
      </c>
      <c r="T110">
        <f>IF($A110="","",COUNTIFS('Таблиця 1'!$B:$B,$A110,'Таблиця 1'!$I:$I,"Mirage",'Таблиця 1'!$L:$L,"Дорозвідується")+COUNTIFS('Таблиця 1'!$B:$B,$A110,'Таблиця 1'!$I:$I,"F-16",'Таблиця 1'!$L:$L,"Дорозвідується")+COUNTIFS('Таблиця 1'!$B:$B,$A110,'Таблиця 1'!$I:$I,"МіГ-29",'Таблиця 1'!$L:$L,"Дорозвідується")+COUNTIFS('Таблиця 1'!$B:$B,$A110,'Таблиця 1'!$I:$I,"Су-25",'Таблиця 1'!$L:$L,"Дорозвідується")+COUNTIFS('Таблиця 1'!$B:$B,$A110,'Таблиця 1'!$I:$I,"Су-27",'Таблиця 1'!$L:$L,"Дорозвідується"))</f>
        <v/>
      </c>
    </row>
    <row r="111">
      <c r="A111" s="273">
        <f>IF(A110="","",IF(A110+1&gt;MAX('Таблиця 1'!$B:$B),"",A110+1))</f>
        <v/>
      </c>
      <c r="B111">
        <f>IF($A111="","",COUNTIFS('Таблиця 1'!$B:$B,$A111,'Таблиця 1'!$I:$I,"Mirage")+COUNTIFS('Таблиця 1'!$B:$B,$A111,'Таблиця 1'!$I:$I,"F-16")+COUNTIFS('Таблиця 1'!$B:$B,$A111,'Таблиця 1'!$I:$I,"МіГ-29")+COUNTIFS('Таблиця 1'!$B:$B,$A111,'Таблиця 1'!$I:$I,"Су-25")+COUNTIFS('Таблиця 1'!$B:$B,$A111,'Таблиця 1'!$I:$I,"Су-27"))</f>
        <v/>
      </c>
      <c r="C111">
        <f>IF($A111="","",COUNTIFS('Таблиця 1'!$B:$B,$A111,'Таблиця 1'!$I:$I,"Mirage"))</f>
        <v/>
      </c>
      <c r="D111">
        <f>IF($A111="","",COUNTIFS('Таблиця 1'!$B:$B,$A111,'Таблиця 1'!$I:$I,"F-16"))</f>
        <v/>
      </c>
      <c r="E111">
        <f>IF($A111="","",COUNTIFS('Таблиця 1'!$B:$B,$A111,'Таблиця 1'!$I:$I,"МіГ-29"))</f>
        <v/>
      </c>
      <c r="F111">
        <f>IF($A111="","",COUNTIFS('Таблиця 1'!$B:$B,$A111,'Таблиця 1'!$I:$I,"Су-25"))</f>
        <v/>
      </c>
      <c r="G111">
        <f>IF($A111="","",COUNTIFS('Таблиця 1'!$B:$B,$A111,'Таблиця 1'!$I:$I,"Су-27"))</f>
        <v/>
      </c>
      <c r="H111">
        <f>IF($A111="","",SUMIFS('Таблиця 1'!$K:$K,'Таблиця 1'!$B:$B,$A111,'Таблиця 1'!$I:$I,"Mirage",'Таблиця 1'!$J:$J,"AGM-88")+SUMIFS('Таблиця 1'!$K:$K,'Таблиця 1'!$B:$B,$A111,'Таблиця 1'!$I:$I,"F-16",'Таблиця 1'!$J:$J,"AGM-88")+SUMIFS('Таблиця 1'!$K:$K,'Таблиця 1'!$B:$B,$A111,'Таблиця 1'!$I:$I,"МіГ-29",'Таблиця 1'!$J:$J,"AGM-88")+SUMIFS('Таблиця 1'!$K:$K,'Таблиця 1'!$B:$B,$A111,'Таблиця 1'!$I:$I,"Су-25",'Таблиця 1'!$J:$J,"AGM-88")+SUMIFS('Таблиця 1'!$K:$K,'Таблиця 1'!$B:$B,$A111,'Таблиця 1'!$I:$I,"Су-27",'Таблиця 1'!$J:$J,"AGM-88"))</f>
        <v/>
      </c>
      <c r="I111">
        <f>IF($A111="","",SUMIFS('Таблиця 1'!$K:$K,'Таблиця 1'!$B:$B,$A111,'Таблиця 1'!$I:$I,"Mirage",'Таблиця 1'!$J:$J,"AASM-250")+SUMIFS('Таблиця 1'!$K:$K,'Таблиця 1'!$B:$B,$A111,'Таблиця 1'!$I:$I,"F-16",'Таблиця 1'!$J:$J,"AASM-250")+SUMIFS('Таблиця 1'!$K:$K,'Таблиця 1'!$B:$B,$A111,'Таблиця 1'!$I:$I,"МіГ-29",'Таблиця 1'!$J:$J,"AASM-250")+SUMIFS('Таблиця 1'!$K:$K,'Таблиця 1'!$B:$B,$A111,'Таблиця 1'!$I:$I,"Су-25",'Таблиця 1'!$J:$J,"AASM-250")+SUMIFS('Таблиця 1'!$K:$K,'Таблиця 1'!$B:$B,$A111,'Таблиця 1'!$I:$I,"Су-27",'Таблиця 1'!$J:$J,"AASM-250"))</f>
        <v/>
      </c>
      <c r="J111">
        <f>IF($A111="","",SUMIFS('Таблиця 1'!$K:$K,'Таблиця 1'!$B:$B,$A111,'Таблиця 1'!$I:$I,"Mirage",'Таблиця 1'!$J:$J,"GBU-39")+SUMIFS('Таблиця 1'!$K:$K,'Таблиця 1'!$B:$B,$A111,'Таблиця 1'!$I:$I,"F-16",'Таблиця 1'!$J:$J,"GBU-39")+SUMIFS('Таблиця 1'!$K:$K,'Таблиця 1'!$B:$B,$A111,'Таблиця 1'!$I:$I,"МіГ-29",'Таблиця 1'!$J:$J,"GBU-39")+SUMIFS('Таблиця 1'!$K:$K,'Таблиця 1'!$B:$B,$A111,'Таблиця 1'!$I:$I,"Су-25",'Таблиця 1'!$J:$J,"GBU-39")+SUMIFS('Таблиця 1'!$K:$K,'Таблиця 1'!$B:$B,$A111,'Таблиця 1'!$I:$I,"Су-27",'Таблиця 1'!$J:$J,"GBU-39"))</f>
        <v/>
      </c>
      <c r="K111">
        <f>IF($A111="","",SUMIFS('Таблиця 1'!$K:$K,'Таблиця 1'!$B:$B,$A111,'Таблиця 1'!$I:$I,"Mirage",'Таблиця 1'!$J:$J,"BLU-140")+SUMIFS('Таблиця 1'!$K:$K,'Таблиця 1'!$B:$B,$A111,'Таблиця 1'!$I:$I,"F-16",'Таблиця 1'!$J:$J,"BLU-140")+SUMIFS('Таблиця 1'!$K:$K,'Таблиця 1'!$B:$B,$A111,'Таблиця 1'!$I:$I,"МіГ-29",'Таблиця 1'!$J:$J,"BLU-140")+SUMIFS('Таблиця 1'!$K:$K,'Таблиця 1'!$B:$B,$A111,'Таблиця 1'!$I:$I,"Су-25",'Таблиця 1'!$J:$J,"BLU-140")+SUMIFS('Таблиця 1'!$K:$K,'Таблиця 1'!$B:$B,$A111,'Таблиця 1'!$I:$I,"Су-27",'Таблиця 1'!$J:$J,"BLU-140"))</f>
        <v/>
      </c>
      <c r="L111">
        <f>IF($A111="","",SUMIFS('Таблиця 1'!$K:$K,'Таблиця 1'!$B:$B,$A111,'Таблиця 1'!$I:$I,"Mirage",'Таблиця 1'!$J:$J,"GBU-65")+SUMIFS('Таблиця 1'!$K:$K,'Таблиця 1'!$B:$B,$A111,'Таблиця 1'!$I:$I,"F-16",'Таблиця 1'!$J:$J,"GBU-65")+SUMIFS('Таблиця 1'!$K:$K,'Таблиця 1'!$B:$B,$A111,'Таблиця 1'!$I:$I,"МіГ-29",'Таблиця 1'!$J:$J,"GBU-65")+SUMIFS('Таблиця 1'!$K:$K,'Таблиця 1'!$B:$B,$A111,'Таблиця 1'!$I:$I,"Су-25",'Таблиця 1'!$J:$J,"GBU-65")+SUMIFS('Таблиця 1'!$K:$K,'Таблиця 1'!$B:$B,$A111,'Таблиця 1'!$I:$I,"Су-27",'Таблиця 1'!$J:$J,"GBU-65"))</f>
        <v/>
      </c>
      <c r="M111">
        <f>IF($A111="","",SUMIFS('Таблиця 1'!$K:$K,'Таблиця 1'!$B:$B,$A111,'Таблиця 1'!$I:$I,"Mirage",'Таблиця 1'!$J:$J,"GBU-62")+SUMIFS('Таблиця 1'!$K:$K,'Таблиця 1'!$B:$B,$A111,'Таблиця 1'!$I:$I,"F-16",'Таблиця 1'!$J:$J,"GBU-62")+SUMIFS('Таблиця 1'!$K:$K,'Таблиця 1'!$B:$B,$A111,'Таблиця 1'!$I:$I,"МіГ-29",'Таблиця 1'!$J:$J,"GBU-62")+SUMIFS('Таблиця 1'!$K:$K,'Таблиця 1'!$B:$B,$A111,'Таблиця 1'!$I:$I,"Су-25",'Таблиця 1'!$J:$J,"GBU-62")+SUMIFS('Таблиця 1'!$K:$K,'Таблиця 1'!$B:$B,$A111,'Таблиця 1'!$I:$I,"Су-27",'Таблиця 1'!$J:$J,"GBU-62"))</f>
        <v/>
      </c>
      <c r="N111">
        <f>IF($A111="","",SUMIFS('Таблиця 1'!$K:$K,'Таблиця 1'!$B:$B,$A111,'Таблиця 1'!$I:$I,"Mirage",'Таблиця 1'!$J:$J,"GBU-64")+SUMIFS('Таблиця 1'!$K:$K,'Таблиця 1'!$B:$B,$A111,'Таблиця 1'!$I:$I,"F-16",'Таблиця 1'!$J:$J,"GBU-64")+SUMIFS('Таблиця 1'!$K:$K,'Таблиця 1'!$B:$B,$A111,'Таблиця 1'!$I:$I,"МіГ-29",'Таблиця 1'!$J:$J,"GBU-64")+SUMIFS('Таблиця 1'!$K:$K,'Таблиця 1'!$B:$B,$A111,'Таблиця 1'!$I:$I,"Су-25",'Таблиця 1'!$J:$J,"GBU-64")+SUMIFS('Таблиця 1'!$K:$K,'Таблиця 1'!$B:$B,$A111,'Таблиця 1'!$I:$I,"Су-27",'Таблиця 1'!$J:$J,"GBU-64"))</f>
        <v/>
      </c>
      <c r="O111">
        <f>IF($A111="","",SUMIFS('Таблиця 1'!$K:$K,'Таблиця 1'!$B:$B,$A111,'Таблиця 1'!$I:$I,"Mirage",'Таблиця 1'!$J:$J,"C-13")+SUMIFS('Таблиця 1'!$K:$K,'Таблиця 1'!$B:$B,$A111,'Таблиця 1'!$I:$I,"F-16",'Таблиця 1'!$J:$J,"C-13")+SUMIFS('Таблиця 1'!$K:$K,'Таблиця 1'!$B:$B,$A111,'Таблиця 1'!$I:$I,"МіГ-29",'Таблиця 1'!$J:$J,"C-13")+SUMIFS('Таблиця 1'!$K:$K,'Таблиця 1'!$B:$B,$A111,'Таблиця 1'!$I:$I,"Су-25",'Таблиця 1'!$J:$J,"C-13")+SUMIFS('Таблиця 1'!$K:$K,'Таблиця 1'!$B:$B,$A111,'Таблиця 1'!$I:$I,"Су-27",'Таблиця 1'!$J:$J,"C-13"))</f>
        <v/>
      </c>
      <c r="P111">
        <f>IF($A111="","",SUMIFS('Таблиця 1'!$K:$K,'Таблиця 1'!$B:$B,$A111,'Таблиця 1'!$I:$I,"Mirage",'Таблиця 1'!$J:$J,"MK-32")+SUMIFS('Таблиця 1'!$K:$K,'Таблиця 1'!$B:$B,$A111,'Таблиця 1'!$I:$I,"F-16",'Таблиця 1'!$J:$J,"MK-32")+SUMIFS('Таблиця 1'!$K:$K,'Таблиця 1'!$B:$B,$A111,'Таблиця 1'!$I:$I,"МіГ-29",'Таблиця 1'!$J:$J,"MK-32")+SUMIFS('Таблиця 1'!$K:$K,'Таблиця 1'!$B:$B,$A111,'Таблиця 1'!$I:$I,"Су-25",'Таблиця 1'!$J:$J,"MK-32")+SUMIFS('Таблиця 1'!$K:$K,'Таблиця 1'!$B:$B,$A111,'Таблиця 1'!$I:$I,"Су-27",'Таблиця 1'!$J:$J,"MK-32"))</f>
        <v/>
      </c>
      <c r="Q111">
        <f>IF($A111="","",SUMIFS('Таблиця 1'!$K:$K,'Таблиця 1'!$B:$B,$A111,'Таблиця 1'!$I:$I,"Mirage",'Таблиця 1'!$J:$J,"MK-24")+SUMIFS('Таблиця 1'!$K:$K,'Таблиця 1'!$B:$B,$A111,'Таблиця 1'!$I:$I,"F-16",'Таблиця 1'!$J:$J,"MK-24")+SUMIFS('Таблиця 1'!$K:$K,'Таблиця 1'!$B:$B,$A111,'Таблиця 1'!$I:$I,"МіГ-29",'Таблиця 1'!$J:$J,"MK-24")+SUMIFS('Таблиця 1'!$K:$K,'Таблиця 1'!$B:$B,$A111,'Таблиця 1'!$I:$I,"Су-25",'Таблиця 1'!$J:$J,"MK-24")+SUMIFS('Таблиця 1'!$K:$K,'Таблиця 1'!$B:$B,$A111,'Таблиця 1'!$I:$I,"Су-27",'Таблиця 1'!$J:$J,"MK-24"))</f>
        <v/>
      </c>
      <c r="R111">
        <f>IF($A111="","",COUNTIFS('Таблиця 1'!$B:$B,$A111,'Таблиця 1'!$I:$I,"Mirage",'Таблиця 1'!$L:$L,"Уражено")+COUNTIFS('Таблиця 1'!$B:$B,$A111,'Таблиця 1'!$I:$I,"F-16",'Таблиця 1'!$L:$L,"Уражено")+COUNTIFS('Таблиця 1'!$B:$B,$A111,'Таблиця 1'!$I:$I,"МіГ-29",'Таблиця 1'!$L:$L,"Уражено")+COUNTIFS('Таблиця 1'!$B:$B,$A111,'Таблиця 1'!$I:$I,"Су-25",'Таблиця 1'!$L:$L,"Уражено")+COUNTIFS('Таблиця 1'!$B:$B,$A111,'Таблиця 1'!$I:$I,"Су-27",'Таблиця 1'!$L:$L,"Уражено"))</f>
        <v/>
      </c>
      <c r="S111">
        <f>IF($A111="","",COUNTIFS('Таблиця 1'!$B:$B,$A111,'Таблиця 1'!$I:$I,"Mirage",'Таблиця 1'!$L:$L,"НЕ уражено")+COUNTIFS('Таблиця 1'!$B:$B,$A111,'Таблиця 1'!$I:$I,"F-16",'Таблиця 1'!$L:$L,"НЕ уражено")+COUNTIFS('Таблиця 1'!$B:$B,$A111,'Таблиця 1'!$I:$I,"МіГ-29",'Таблиця 1'!$L:$L,"НЕ уражено")+COUNTIFS('Таблиця 1'!$B:$B,$A111,'Таблиця 1'!$I:$I,"Су-25",'Таблиця 1'!$L:$L,"НЕ уражено")+COUNTIFS('Таблиця 1'!$B:$B,$A111,'Таблиця 1'!$I:$I,"Су-27",'Таблиця 1'!$L:$L,"НЕ уражено"))</f>
        <v/>
      </c>
      <c r="T111">
        <f>IF($A111="","",COUNTIFS('Таблиця 1'!$B:$B,$A111,'Таблиця 1'!$I:$I,"Mirage",'Таблиця 1'!$L:$L,"Дорозвідується")+COUNTIFS('Таблиця 1'!$B:$B,$A111,'Таблиця 1'!$I:$I,"F-16",'Таблиця 1'!$L:$L,"Дорозвідується")+COUNTIFS('Таблиця 1'!$B:$B,$A111,'Таблиця 1'!$I:$I,"МіГ-29",'Таблиця 1'!$L:$L,"Дорозвідується")+COUNTIFS('Таблиця 1'!$B:$B,$A111,'Таблиця 1'!$I:$I,"Су-25",'Таблиця 1'!$L:$L,"Дорозвідується")+COUNTIFS('Таблиця 1'!$B:$B,$A111,'Таблиця 1'!$I:$I,"Су-27",'Таблиця 1'!$L:$L,"Дорозвідується"))</f>
        <v/>
      </c>
    </row>
    <row r="112">
      <c r="A112" s="273">
        <f>IF(A111="","",IF(A111+1&gt;MAX('Таблиця 1'!$B:$B),"",A111+1))</f>
        <v/>
      </c>
      <c r="B112">
        <f>IF($A112="","",COUNTIFS('Таблиця 1'!$B:$B,$A112,'Таблиця 1'!$I:$I,"Mirage")+COUNTIFS('Таблиця 1'!$B:$B,$A112,'Таблиця 1'!$I:$I,"F-16")+COUNTIFS('Таблиця 1'!$B:$B,$A112,'Таблиця 1'!$I:$I,"МіГ-29")+COUNTIFS('Таблиця 1'!$B:$B,$A112,'Таблиця 1'!$I:$I,"Су-25")+COUNTIFS('Таблиця 1'!$B:$B,$A112,'Таблиця 1'!$I:$I,"Су-27"))</f>
        <v/>
      </c>
      <c r="C112">
        <f>IF($A112="","",COUNTIFS('Таблиця 1'!$B:$B,$A112,'Таблиця 1'!$I:$I,"Mirage"))</f>
        <v/>
      </c>
      <c r="D112">
        <f>IF($A112="","",COUNTIFS('Таблиця 1'!$B:$B,$A112,'Таблиця 1'!$I:$I,"F-16"))</f>
        <v/>
      </c>
      <c r="E112">
        <f>IF($A112="","",COUNTIFS('Таблиця 1'!$B:$B,$A112,'Таблиця 1'!$I:$I,"МіГ-29"))</f>
        <v/>
      </c>
      <c r="F112">
        <f>IF($A112="","",COUNTIFS('Таблиця 1'!$B:$B,$A112,'Таблиця 1'!$I:$I,"Су-25"))</f>
        <v/>
      </c>
      <c r="G112">
        <f>IF($A112="","",COUNTIFS('Таблиця 1'!$B:$B,$A112,'Таблиця 1'!$I:$I,"Су-27"))</f>
        <v/>
      </c>
      <c r="H112">
        <f>IF($A112="","",SUMIFS('Таблиця 1'!$K:$K,'Таблиця 1'!$B:$B,$A112,'Таблиця 1'!$I:$I,"Mirage",'Таблиця 1'!$J:$J,"AGM-88")+SUMIFS('Таблиця 1'!$K:$K,'Таблиця 1'!$B:$B,$A112,'Таблиця 1'!$I:$I,"F-16",'Таблиця 1'!$J:$J,"AGM-88")+SUMIFS('Таблиця 1'!$K:$K,'Таблиця 1'!$B:$B,$A112,'Таблиця 1'!$I:$I,"МіГ-29",'Таблиця 1'!$J:$J,"AGM-88")+SUMIFS('Таблиця 1'!$K:$K,'Таблиця 1'!$B:$B,$A112,'Таблиця 1'!$I:$I,"Су-25",'Таблиця 1'!$J:$J,"AGM-88")+SUMIFS('Таблиця 1'!$K:$K,'Таблиця 1'!$B:$B,$A112,'Таблиця 1'!$I:$I,"Су-27",'Таблиця 1'!$J:$J,"AGM-88"))</f>
        <v/>
      </c>
      <c r="I112">
        <f>IF($A112="","",SUMIFS('Таблиця 1'!$K:$K,'Таблиця 1'!$B:$B,$A112,'Таблиця 1'!$I:$I,"Mirage",'Таблиця 1'!$J:$J,"AASM-250")+SUMIFS('Таблиця 1'!$K:$K,'Таблиця 1'!$B:$B,$A112,'Таблиця 1'!$I:$I,"F-16",'Таблиця 1'!$J:$J,"AASM-250")+SUMIFS('Таблиця 1'!$K:$K,'Таблиця 1'!$B:$B,$A112,'Таблиця 1'!$I:$I,"МіГ-29",'Таблиця 1'!$J:$J,"AASM-250")+SUMIFS('Таблиця 1'!$K:$K,'Таблиця 1'!$B:$B,$A112,'Таблиця 1'!$I:$I,"Су-25",'Таблиця 1'!$J:$J,"AASM-250")+SUMIFS('Таблиця 1'!$K:$K,'Таблиця 1'!$B:$B,$A112,'Таблиця 1'!$I:$I,"Су-27",'Таблиця 1'!$J:$J,"AASM-250"))</f>
        <v/>
      </c>
      <c r="J112">
        <f>IF($A112="","",SUMIFS('Таблиця 1'!$K:$K,'Таблиця 1'!$B:$B,$A112,'Таблиця 1'!$I:$I,"Mirage",'Таблиця 1'!$J:$J,"GBU-39")+SUMIFS('Таблиця 1'!$K:$K,'Таблиця 1'!$B:$B,$A112,'Таблиця 1'!$I:$I,"F-16",'Таблиця 1'!$J:$J,"GBU-39")+SUMIFS('Таблиця 1'!$K:$K,'Таблиця 1'!$B:$B,$A112,'Таблиця 1'!$I:$I,"МіГ-29",'Таблиця 1'!$J:$J,"GBU-39")+SUMIFS('Таблиця 1'!$K:$K,'Таблиця 1'!$B:$B,$A112,'Таблиця 1'!$I:$I,"Су-25",'Таблиця 1'!$J:$J,"GBU-39")+SUMIFS('Таблиця 1'!$K:$K,'Таблиця 1'!$B:$B,$A112,'Таблиця 1'!$I:$I,"Су-27",'Таблиця 1'!$J:$J,"GBU-39"))</f>
        <v/>
      </c>
      <c r="K112">
        <f>IF($A112="","",SUMIFS('Таблиця 1'!$K:$K,'Таблиця 1'!$B:$B,$A112,'Таблиця 1'!$I:$I,"Mirage",'Таблиця 1'!$J:$J,"BLU-140")+SUMIFS('Таблиця 1'!$K:$K,'Таблиця 1'!$B:$B,$A112,'Таблиця 1'!$I:$I,"F-16",'Таблиця 1'!$J:$J,"BLU-140")+SUMIFS('Таблиця 1'!$K:$K,'Таблиця 1'!$B:$B,$A112,'Таблиця 1'!$I:$I,"МіГ-29",'Таблиця 1'!$J:$J,"BLU-140")+SUMIFS('Таблиця 1'!$K:$K,'Таблиця 1'!$B:$B,$A112,'Таблиця 1'!$I:$I,"Су-25",'Таблиця 1'!$J:$J,"BLU-140")+SUMIFS('Таблиця 1'!$K:$K,'Таблиця 1'!$B:$B,$A112,'Таблиця 1'!$I:$I,"Су-27",'Таблиця 1'!$J:$J,"BLU-140"))</f>
        <v/>
      </c>
      <c r="L112">
        <f>IF($A112="","",SUMIFS('Таблиця 1'!$K:$K,'Таблиця 1'!$B:$B,$A112,'Таблиця 1'!$I:$I,"Mirage",'Таблиця 1'!$J:$J,"GBU-65")+SUMIFS('Таблиця 1'!$K:$K,'Таблиця 1'!$B:$B,$A112,'Таблиця 1'!$I:$I,"F-16",'Таблиця 1'!$J:$J,"GBU-65")+SUMIFS('Таблиця 1'!$K:$K,'Таблиця 1'!$B:$B,$A112,'Таблиця 1'!$I:$I,"МіГ-29",'Таблиця 1'!$J:$J,"GBU-65")+SUMIFS('Таблиця 1'!$K:$K,'Таблиця 1'!$B:$B,$A112,'Таблиця 1'!$I:$I,"Су-25",'Таблиця 1'!$J:$J,"GBU-65")+SUMIFS('Таблиця 1'!$K:$K,'Таблиця 1'!$B:$B,$A112,'Таблиця 1'!$I:$I,"Су-27",'Таблиця 1'!$J:$J,"GBU-65"))</f>
        <v/>
      </c>
      <c r="M112">
        <f>IF($A112="","",SUMIFS('Таблиця 1'!$K:$K,'Таблиця 1'!$B:$B,$A112,'Таблиця 1'!$I:$I,"Mirage",'Таблиця 1'!$J:$J,"GBU-62")+SUMIFS('Таблиця 1'!$K:$K,'Таблиця 1'!$B:$B,$A112,'Таблиця 1'!$I:$I,"F-16",'Таблиця 1'!$J:$J,"GBU-62")+SUMIFS('Таблиця 1'!$K:$K,'Таблиця 1'!$B:$B,$A112,'Таблиця 1'!$I:$I,"МіГ-29",'Таблиця 1'!$J:$J,"GBU-62")+SUMIFS('Таблиця 1'!$K:$K,'Таблиця 1'!$B:$B,$A112,'Таблиця 1'!$I:$I,"Су-25",'Таблиця 1'!$J:$J,"GBU-62")+SUMIFS('Таблиця 1'!$K:$K,'Таблиця 1'!$B:$B,$A112,'Таблиця 1'!$I:$I,"Су-27",'Таблиця 1'!$J:$J,"GBU-62"))</f>
        <v/>
      </c>
      <c r="N112">
        <f>IF($A112="","",SUMIFS('Таблиця 1'!$K:$K,'Таблиця 1'!$B:$B,$A112,'Таблиця 1'!$I:$I,"Mirage",'Таблиця 1'!$J:$J,"GBU-64")+SUMIFS('Таблиця 1'!$K:$K,'Таблиця 1'!$B:$B,$A112,'Таблиця 1'!$I:$I,"F-16",'Таблиця 1'!$J:$J,"GBU-64")+SUMIFS('Таблиця 1'!$K:$K,'Таблиця 1'!$B:$B,$A112,'Таблиця 1'!$I:$I,"МіГ-29",'Таблиця 1'!$J:$J,"GBU-64")+SUMIFS('Таблиця 1'!$K:$K,'Таблиця 1'!$B:$B,$A112,'Таблиця 1'!$I:$I,"Су-25",'Таблиця 1'!$J:$J,"GBU-64")+SUMIFS('Таблиця 1'!$K:$K,'Таблиця 1'!$B:$B,$A112,'Таблиця 1'!$I:$I,"Су-27",'Таблиця 1'!$J:$J,"GBU-64"))</f>
        <v/>
      </c>
      <c r="O112">
        <f>IF($A112="","",SUMIFS('Таблиця 1'!$K:$K,'Таблиця 1'!$B:$B,$A112,'Таблиця 1'!$I:$I,"Mirage",'Таблиця 1'!$J:$J,"C-13")+SUMIFS('Таблиця 1'!$K:$K,'Таблиця 1'!$B:$B,$A112,'Таблиця 1'!$I:$I,"F-16",'Таблиця 1'!$J:$J,"C-13")+SUMIFS('Таблиця 1'!$K:$K,'Таблиця 1'!$B:$B,$A112,'Таблиця 1'!$I:$I,"МіГ-29",'Таблиця 1'!$J:$J,"C-13")+SUMIFS('Таблиця 1'!$K:$K,'Таблиця 1'!$B:$B,$A112,'Таблиця 1'!$I:$I,"Су-25",'Таблиця 1'!$J:$J,"C-13")+SUMIFS('Таблиця 1'!$K:$K,'Таблиця 1'!$B:$B,$A112,'Таблиця 1'!$I:$I,"Су-27",'Таблиця 1'!$J:$J,"C-13"))</f>
        <v/>
      </c>
      <c r="P112">
        <f>IF($A112="","",SUMIFS('Таблиця 1'!$K:$K,'Таблиця 1'!$B:$B,$A112,'Таблиця 1'!$I:$I,"Mirage",'Таблиця 1'!$J:$J,"MK-32")+SUMIFS('Таблиця 1'!$K:$K,'Таблиця 1'!$B:$B,$A112,'Таблиця 1'!$I:$I,"F-16",'Таблиця 1'!$J:$J,"MK-32")+SUMIFS('Таблиця 1'!$K:$K,'Таблиця 1'!$B:$B,$A112,'Таблиця 1'!$I:$I,"МіГ-29",'Таблиця 1'!$J:$J,"MK-32")+SUMIFS('Таблиця 1'!$K:$K,'Таблиця 1'!$B:$B,$A112,'Таблиця 1'!$I:$I,"Су-25",'Таблиця 1'!$J:$J,"MK-32")+SUMIFS('Таблиця 1'!$K:$K,'Таблиця 1'!$B:$B,$A112,'Таблиця 1'!$I:$I,"Су-27",'Таблиця 1'!$J:$J,"MK-32"))</f>
        <v/>
      </c>
      <c r="Q112">
        <f>IF($A112="","",SUMIFS('Таблиця 1'!$K:$K,'Таблиця 1'!$B:$B,$A112,'Таблиця 1'!$I:$I,"Mirage",'Таблиця 1'!$J:$J,"MK-24")+SUMIFS('Таблиця 1'!$K:$K,'Таблиця 1'!$B:$B,$A112,'Таблиця 1'!$I:$I,"F-16",'Таблиця 1'!$J:$J,"MK-24")+SUMIFS('Таблиця 1'!$K:$K,'Таблиця 1'!$B:$B,$A112,'Таблиця 1'!$I:$I,"МіГ-29",'Таблиця 1'!$J:$J,"MK-24")+SUMIFS('Таблиця 1'!$K:$K,'Таблиця 1'!$B:$B,$A112,'Таблиця 1'!$I:$I,"Су-25",'Таблиця 1'!$J:$J,"MK-24")+SUMIFS('Таблиця 1'!$K:$K,'Таблиця 1'!$B:$B,$A112,'Таблиця 1'!$I:$I,"Су-27",'Таблиця 1'!$J:$J,"MK-24"))</f>
        <v/>
      </c>
      <c r="R112">
        <f>IF($A112="","",COUNTIFS('Таблиця 1'!$B:$B,$A112,'Таблиця 1'!$I:$I,"Mirage",'Таблиця 1'!$L:$L,"Уражено")+COUNTIFS('Таблиця 1'!$B:$B,$A112,'Таблиця 1'!$I:$I,"F-16",'Таблиця 1'!$L:$L,"Уражено")+COUNTIFS('Таблиця 1'!$B:$B,$A112,'Таблиця 1'!$I:$I,"МіГ-29",'Таблиця 1'!$L:$L,"Уражено")+COUNTIFS('Таблиця 1'!$B:$B,$A112,'Таблиця 1'!$I:$I,"Су-25",'Таблиця 1'!$L:$L,"Уражено")+COUNTIFS('Таблиця 1'!$B:$B,$A112,'Таблиця 1'!$I:$I,"Су-27",'Таблиця 1'!$L:$L,"Уражено"))</f>
        <v/>
      </c>
      <c r="S112">
        <f>IF($A112="","",COUNTIFS('Таблиця 1'!$B:$B,$A112,'Таблиця 1'!$I:$I,"Mirage",'Таблиця 1'!$L:$L,"НЕ уражено")+COUNTIFS('Таблиця 1'!$B:$B,$A112,'Таблиця 1'!$I:$I,"F-16",'Таблиця 1'!$L:$L,"НЕ уражено")+COUNTIFS('Таблиця 1'!$B:$B,$A112,'Таблиця 1'!$I:$I,"МіГ-29",'Таблиця 1'!$L:$L,"НЕ уражено")+COUNTIFS('Таблиця 1'!$B:$B,$A112,'Таблиця 1'!$I:$I,"Су-25",'Таблиця 1'!$L:$L,"НЕ уражено")+COUNTIFS('Таблиця 1'!$B:$B,$A112,'Таблиця 1'!$I:$I,"Су-27",'Таблиця 1'!$L:$L,"НЕ уражено"))</f>
        <v/>
      </c>
      <c r="T112">
        <f>IF($A112="","",COUNTIFS('Таблиця 1'!$B:$B,$A112,'Таблиця 1'!$I:$I,"Mirage",'Таблиця 1'!$L:$L,"Дорозвідується")+COUNTIFS('Таблиця 1'!$B:$B,$A112,'Таблиця 1'!$I:$I,"F-16",'Таблиця 1'!$L:$L,"Дорозвідується")+COUNTIFS('Таблиця 1'!$B:$B,$A112,'Таблиця 1'!$I:$I,"МіГ-29",'Таблиця 1'!$L:$L,"Дорозвідується")+COUNTIFS('Таблиця 1'!$B:$B,$A112,'Таблиця 1'!$I:$I,"Су-25",'Таблиця 1'!$L:$L,"Дорозвідується")+COUNTIFS('Таблиця 1'!$B:$B,$A112,'Таблиця 1'!$I:$I,"Су-27",'Таблиця 1'!$L:$L,"Дорозвідується"))</f>
        <v/>
      </c>
    </row>
    <row r="113">
      <c r="A113" s="273">
        <f>IF(A112="","",IF(A112+1&gt;MAX('Таблиця 1'!$B:$B),"",A112+1))</f>
        <v/>
      </c>
      <c r="B113">
        <f>IF($A113="","",COUNTIFS('Таблиця 1'!$B:$B,$A113,'Таблиця 1'!$I:$I,"Mirage")+COUNTIFS('Таблиця 1'!$B:$B,$A113,'Таблиця 1'!$I:$I,"F-16")+COUNTIFS('Таблиця 1'!$B:$B,$A113,'Таблиця 1'!$I:$I,"МіГ-29")+COUNTIFS('Таблиця 1'!$B:$B,$A113,'Таблиця 1'!$I:$I,"Су-25")+COUNTIFS('Таблиця 1'!$B:$B,$A113,'Таблиця 1'!$I:$I,"Су-27"))</f>
        <v/>
      </c>
      <c r="C113">
        <f>IF($A113="","",COUNTIFS('Таблиця 1'!$B:$B,$A113,'Таблиця 1'!$I:$I,"Mirage"))</f>
        <v/>
      </c>
      <c r="D113">
        <f>IF($A113="","",COUNTIFS('Таблиця 1'!$B:$B,$A113,'Таблиця 1'!$I:$I,"F-16"))</f>
        <v/>
      </c>
      <c r="E113">
        <f>IF($A113="","",COUNTIFS('Таблиця 1'!$B:$B,$A113,'Таблиця 1'!$I:$I,"МіГ-29"))</f>
        <v/>
      </c>
      <c r="F113">
        <f>IF($A113="","",COUNTIFS('Таблиця 1'!$B:$B,$A113,'Таблиця 1'!$I:$I,"Су-25"))</f>
        <v/>
      </c>
      <c r="G113">
        <f>IF($A113="","",COUNTIFS('Таблиця 1'!$B:$B,$A113,'Таблиця 1'!$I:$I,"Су-27"))</f>
        <v/>
      </c>
      <c r="H113">
        <f>IF($A113="","",SUMIFS('Таблиця 1'!$K:$K,'Таблиця 1'!$B:$B,$A113,'Таблиця 1'!$I:$I,"Mirage",'Таблиця 1'!$J:$J,"AGM-88")+SUMIFS('Таблиця 1'!$K:$K,'Таблиця 1'!$B:$B,$A113,'Таблиця 1'!$I:$I,"F-16",'Таблиця 1'!$J:$J,"AGM-88")+SUMIFS('Таблиця 1'!$K:$K,'Таблиця 1'!$B:$B,$A113,'Таблиця 1'!$I:$I,"МіГ-29",'Таблиця 1'!$J:$J,"AGM-88")+SUMIFS('Таблиця 1'!$K:$K,'Таблиця 1'!$B:$B,$A113,'Таблиця 1'!$I:$I,"Су-25",'Таблиця 1'!$J:$J,"AGM-88")+SUMIFS('Таблиця 1'!$K:$K,'Таблиця 1'!$B:$B,$A113,'Таблиця 1'!$I:$I,"Су-27",'Таблиця 1'!$J:$J,"AGM-88"))</f>
        <v/>
      </c>
      <c r="I113">
        <f>IF($A113="","",SUMIFS('Таблиця 1'!$K:$K,'Таблиця 1'!$B:$B,$A113,'Таблиця 1'!$I:$I,"Mirage",'Таблиця 1'!$J:$J,"AASM-250")+SUMIFS('Таблиця 1'!$K:$K,'Таблиця 1'!$B:$B,$A113,'Таблиця 1'!$I:$I,"F-16",'Таблиця 1'!$J:$J,"AASM-250")+SUMIFS('Таблиця 1'!$K:$K,'Таблиця 1'!$B:$B,$A113,'Таблиця 1'!$I:$I,"МіГ-29",'Таблиця 1'!$J:$J,"AASM-250")+SUMIFS('Таблиця 1'!$K:$K,'Таблиця 1'!$B:$B,$A113,'Таблиця 1'!$I:$I,"Су-25",'Таблиця 1'!$J:$J,"AASM-250")+SUMIFS('Таблиця 1'!$K:$K,'Таблиця 1'!$B:$B,$A113,'Таблиця 1'!$I:$I,"Су-27",'Таблиця 1'!$J:$J,"AASM-250"))</f>
        <v/>
      </c>
      <c r="J113">
        <f>IF($A113="","",SUMIFS('Таблиця 1'!$K:$K,'Таблиця 1'!$B:$B,$A113,'Таблиця 1'!$I:$I,"Mirage",'Таблиця 1'!$J:$J,"GBU-39")+SUMIFS('Таблиця 1'!$K:$K,'Таблиця 1'!$B:$B,$A113,'Таблиця 1'!$I:$I,"F-16",'Таблиця 1'!$J:$J,"GBU-39")+SUMIFS('Таблиця 1'!$K:$K,'Таблиця 1'!$B:$B,$A113,'Таблиця 1'!$I:$I,"МіГ-29",'Таблиця 1'!$J:$J,"GBU-39")+SUMIFS('Таблиця 1'!$K:$K,'Таблиця 1'!$B:$B,$A113,'Таблиця 1'!$I:$I,"Су-25",'Таблиця 1'!$J:$J,"GBU-39")+SUMIFS('Таблиця 1'!$K:$K,'Таблиця 1'!$B:$B,$A113,'Таблиця 1'!$I:$I,"Су-27",'Таблиця 1'!$J:$J,"GBU-39"))</f>
        <v/>
      </c>
      <c r="K113">
        <f>IF($A113="","",SUMIFS('Таблиця 1'!$K:$K,'Таблиця 1'!$B:$B,$A113,'Таблиця 1'!$I:$I,"Mirage",'Таблиця 1'!$J:$J,"BLU-140")+SUMIFS('Таблиця 1'!$K:$K,'Таблиця 1'!$B:$B,$A113,'Таблиця 1'!$I:$I,"F-16",'Таблиця 1'!$J:$J,"BLU-140")+SUMIFS('Таблиця 1'!$K:$K,'Таблиця 1'!$B:$B,$A113,'Таблиця 1'!$I:$I,"МіГ-29",'Таблиця 1'!$J:$J,"BLU-140")+SUMIFS('Таблиця 1'!$K:$K,'Таблиця 1'!$B:$B,$A113,'Таблиця 1'!$I:$I,"Су-25",'Таблиця 1'!$J:$J,"BLU-140")+SUMIFS('Таблиця 1'!$K:$K,'Таблиця 1'!$B:$B,$A113,'Таблиця 1'!$I:$I,"Су-27",'Таблиця 1'!$J:$J,"BLU-140"))</f>
        <v/>
      </c>
      <c r="L113">
        <f>IF($A113="","",SUMIFS('Таблиця 1'!$K:$K,'Таблиця 1'!$B:$B,$A113,'Таблиця 1'!$I:$I,"Mirage",'Таблиця 1'!$J:$J,"GBU-65")+SUMIFS('Таблиця 1'!$K:$K,'Таблиця 1'!$B:$B,$A113,'Таблиця 1'!$I:$I,"F-16",'Таблиця 1'!$J:$J,"GBU-65")+SUMIFS('Таблиця 1'!$K:$K,'Таблиця 1'!$B:$B,$A113,'Таблиця 1'!$I:$I,"МіГ-29",'Таблиця 1'!$J:$J,"GBU-65")+SUMIFS('Таблиця 1'!$K:$K,'Таблиця 1'!$B:$B,$A113,'Таблиця 1'!$I:$I,"Су-25",'Таблиця 1'!$J:$J,"GBU-65")+SUMIFS('Таблиця 1'!$K:$K,'Таблиця 1'!$B:$B,$A113,'Таблиця 1'!$I:$I,"Су-27",'Таблиця 1'!$J:$J,"GBU-65"))</f>
        <v/>
      </c>
      <c r="M113">
        <f>IF($A113="","",SUMIFS('Таблиця 1'!$K:$K,'Таблиця 1'!$B:$B,$A113,'Таблиця 1'!$I:$I,"Mirage",'Таблиця 1'!$J:$J,"GBU-62")+SUMIFS('Таблиця 1'!$K:$K,'Таблиця 1'!$B:$B,$A113,'Таблиця 1'!$I:$I,"F-16",'Таблиця 1'!$J:$J,"GBU-62")+SUMIFS('Таблиця 1'!$K:$K,'Таблиця 1'!$B:$B,$A113,'Таблиця 1'!$I:$I,"МіГ-29",'Таблиця 1'!$J:$J,"GBU-62")+SUMIFS('Таблиця 1'!$K:$K,'Таблиця 1'!$B:$B,$A113,'Таблиця 1'!$I:$I,"Су-25",'Таблиця 1'!$J:$J,"GBU-62")+SUMIFS('Таблиця 1'!$K:$K,'Таблиця 1'!$B:$B,$A113,'Таблиця 1'!$I:$I,"Су-27",'Таблиця 1'!$J:$J,"GBU-62"))</f>
        <v/>
      </c>
      <c r="N113">
        <f>IF($A113="","",SUMIFS('Таблиця 1'!$K:$K,'Таблиця 1'!$B:$B,$A113,'Таблиця 1'!$I:$I,"Mirage",'Таблиця 1'!$J:$J,"GBU-64")+SUMIFS('Таблиця 1'!$K:$K,'Таблиця 1'!$B:$B,$A113,'Таблиця 1'!$I:$I,"F-16",'Таблиця 1'!$J:$J,"GBU-64")+SUMIFS('Таблиця 1'!$K:$K,'Таблиця 1'!$B:$B,$A113,'Таблиця 1'!$I:$I,"МіГ-29",'Таблиця 1'!$J:$J,"GBU-64")+SUMIFS('Таблиця 1'!$K:$K,'Таблиця 1'!$B:$B,$A113,'Таблиця 1'!$I:$I,"Су-25",'Таблиця 1'!$J:$J,"GBU-64")+SUMIFS('Таблиця 1'!$K:$K,'Таблиця 1'!$B:$B,$A113,'Таблиця 1'!$I:$I,"Су-27",'Таблиця 1'!$J:$J,"GBU-64"))</f>
        <v/>
      </c>
      <c r="O113">
        <f>IF($A113="","",SUMIFS('Таблиця 1'!$K:$K,'Таблиця 1'!$B:$B,$A113,'Таблиця 1'!$I:$I,"Mirage",'Таблиця 1'!$J:$J,"C-13")+SUMIFS('Таблиця 1'!$K:$K,'Таблиця 1'!$B:$B,$A113,'Таблиця 1'!$I:$I,"F-16",'Таблиця 1'!$J:$J,"C-13")+SUMIFS('Таблиця 1'!$K:$K,'Таблиця 1'!$B:$B,$A113,'Таблиця 1'!$I:$I,"МіГ-29",'Таблиця 1'!$J:$J,"C-13")+SUMIFS('Таблиця 1'!$K:$K,'Таблиця 1'!$B:$B,$A113,'Таблиця 1'!$I:$I,"Су-25",'Таблиця 1'!$J:$J,"C-13")+SUMIFS('Таблиця 1'!$K:$K,'Таблиця 1'!$B:$B,$A113,'Таблиця 1'!$I:$I,"Су-27",'Таблиця 1'!$J:$J,"C-13"))</f>
        <v/>
      </c>
      <c r="P113">
        <f>IF($A113="","",SUMIFS('Таблиця 1'!$K:$K,'Таблиця 1'!$B:$B,$A113,'Таблиця 1'!$I:$I,"Mirage",'Таблиця 1'!$J:$J,"MK-32")+SUMIFS('Таблиця 1'!$K:$K,'Таблиця 1'!$B:$B,$A113,'Таблиця 1'!$I:$I,"F-16",'Таблиця 1'!$J:$J,"MK-32")+SUMIFS('Таблиця 1'!$K:$K,'Таблиця 1'!$B:$B,$A113,'Таблиця 1'!$I:$I,"МіГ-29",'Таблиця 1'!$J:$J,"MK-32")+SUMIFS('Таблиця 1'!$K:$K,'Таблиця 1'!$B:$B,$A113,'Таблиця 1'!$I:$I,"Су-25",'Таблиця 1'!$J:$J,"MK-32")+SUMIFS('Таблиця 1'!$K:$K,'Таблиця 1'!$B:$B,$A113,'Таблиця 1'!$I:$I,"Су-27",'Таблиця 1'!$J:$J,"MK-32"))</f>
        <v/>
      </c>
      <c r="Q113">
        <f>IF($A113="","",SUMIFS('Таблиця 1'!$K:$K,'Таблиця 1'!$B:$B,$A113,'Таблиця 1'!$I:$I,"Mirage",'Таблиця 1'!$J:$J,"MK-24")+SUMIFS('Таблиця 1'!$K:$K,'Таблиця 1'!$B:$B,$A113,'Таблиця 1'!$I:$I,"F-16",'Таблиця 1'!$J:$J,"MK-24")+SUMIFS('Таблиця 1'!$K:$K,'Таблиця 1'!$B:$B,$A113,'Таблиця 1'!$I:$I,"МіГ-29",'Таблиця 1'!$J:$J,"MK-24")+SUMIFS('Таблиця 1'!$K:$K,'Таблиця 1'!$B:$B,$A113,'Таблиця 1'!$I:$I,"Су-25",'Таблиця 1'!$J:$J,"MK-24")+SUMIFS('Таблиця 1'!$K:$K,'Таблиця 1'!$B:$B,$A113,'Таблиця 1'!$I:$I,"Су-27",'Таблиця 1'!$J:$J,"MK-24"))</f>
        <v/>
      </c>
      <c r="R113">
        <f>IF($A113="","",COUNTIFS('Таблиця 1'!$B:$B,$A113,'Таблиця 1'!$I:$I,"Mirage",'Таблиця 1'!$L:$L,"Уражено")+COUNTIFS('Таблиця 1'!$B:$B,$A113,'Таблиця 1'!$I:$I,"F-16",'Таблиця 1'!$L:$L,"Уражено")+COUNTIFS('Таблиця 1'!$B:$B,$A113,'Таблиця 1'!$I:$I,"МіГ-29",'Таблиця 1'!$L:$L,"Уражено")+COUNTIFS('Таблиця 1'!$B:$B,$A113,'Таблиця 1'!$I:$I,"Су-25",'Таблиця 1'!$L:$L,"Уражено")+COUNTIFS('Таблиця 1'!$B:$B,$A113,'Таблиця 1'!$I:$I,"Су-27",'Таблиця 1'!$L:$L,"Уражено"))</f>
        <v/>
      </c>
      <c r="S113">
        <f>IF($A113="","",COUNTIFS('Таблиця 1'!$B:$B,$A113,'Таблиця 1'!$I:$I,"Mirage",'Таблиця 1'!$L:$L,"НЕ уражено")+COUNTIFS('Таблиця 1'!$B:$B,$A113,'Таблиця 1'!$I:$I,"F-16",'Таблиця 1'!$L:$L,"НЕ уражено")+COUNTIFS('Таблиця 1'!$B:$B,$A113,'Таблиця 1'!$I:$I,"МіГ-29",'Таблиця 1'!$L:$L,"НЕ уражено")+COUNTIFS('Таблиця 1'!$B:$B,$A113,'Таблиця 1'!$I:$I,"Су-25",'Таблиця 1'!$L:$L,"НЕ уражено")+COUNTIFS('Таблиця 1'!$B:$B,$A113,'Таблиця 1'!$I:$I,"Су-27",'Таблиця 1'!$L:$L,"НЕ уражено"))</f>
        <v/>
      </c>
      <c r="T113">
        <f>IF($A113="","",COUNTIFS('Таблиця 1'!$B:$B,$A113,'Таблиця 1'!$I:$I,"Mirage",'Таблиця 1'!$L:$L,"Дорозвідується")+COUNTIFS('Таблиця 1'!$B:$B,$A113,'Таблиця 1'!$I:$I,"F-16",'Таблиця 1'!$L:$L,"Дорозвідується")+COUNTIFS('Таблиця 1'!$B:$B,$A113,'Таблиця 1'!$I:$I,"МіГ-29",'Таблиця 1'!$L:$L,"Дорозвідується")+COUNTIFS('Таблиця 1'!$B:$B,$A113,'Таблиця 1'!$I:$I,"Су-25",'Таблиця 1'!$L:$L,"Дорозвідується")+COUNTIFS('Таблиця 1'!$B:$B,$A113,'Таблиця 1'!$I:$I,"Су-27",'Таблиця 1'!$L:$L,"Дорозвідується"))</f>
        <v/>
      </c>
    </row>
    <row r="114">
      <c r="A114" s="273">
        <f>IF(A113="","",IF(A113+1&gt;MAX('Таблиця 1'!$B:$B),"",A113+1))</f>
        <v/>
      </c>
      <c r="B114">
        <f>IF($A114="","",COUNTIFS('Таблиця 1'!$B:$B,$A114,'Таблиця 1'!$I:$I,"Mirage")+COUNTIFS('Таблиця 1'!$B:$B,$A114,'Таблиця 1'!$I:$I,"F-16")+COUNTIFS('Таблиця 1'!$B:$B,$A114,'Таблиця 1'!$I:$I,"МіГ-29")+COUNTIFS('Таблиця 1'!$B:$B,$A114,'Таблиця 1'!$I:$I,"Су-25")+COUNTIFS('Таблиця 1'!$B:$B,$A114,'Таблиця 1'!$I:$I,"Су-27"))</f>
        <v/>
      </c>
      <c r="C114">
        <f>IF($A114="","",COUNTIFS('Таблиця 1'!$B:$B,$A114,'Таблиця 1'!$I:$I,"Mirage"))</f>
        <v/>
      </c>
      <c r="D114">
        <f>IF($A114="","",COUNTIFS('Таблиця 1'!$B:$B,$A114,'Таблиця 1'!$I:$I,"F-16"))</f>
        <v/>
      </c>
      <c r="E114">
        <f>IF($A114="","",COUNTIFS('Таблиця 1'!$B:$B,$A114,'Таблиця 1'!$I:$I,"МіГ-29"))</f>
        <v/>
      </c>
      <c r="F114">
        <f>IF($A114="","",COUNTIFS('Таблиця 1'!$B:$B,$A114,'Таблиця 1'!$I:$I,"Су-25"))</f>
        <v/>
      </c>
      <c r="G114">
        <f>IF($A114="","",COUNTIFS('Таблиця 1'!$B:$B,$A114,'Таблиця 1'!$I:$I,"Су-27"))</f>
        <v/>
      </c>
      <c r="H114">
        <f>IF($A114="","",SUMIFS('Таблиця 1'!$K:$K,'Таблиця 1'!$B:$B,$A114,'Таблиця 1'!$I:$I,"Mirage",'Таблиця 1'!$J:$J,"AGM-88")+SUMIFS('Таблиця 1'!$K:$K,'Таблиця 1'!$B:$B,$A114,'Таблиця 1'!$I:$I,"F-16",'Таблиця 1'!$J:$J,"AGM-88")+SUMIFS('Таблиця 1'!$K:$K,'Таблиця 1'!$B:$B,$A114,'Таблиця 1'!$I:$I,"МіГ-29",'Таблиця 1'!$J:$J,"AGM-88")+SUMIFS('Таблиця 1'!$K:$K,'Таблиця 1'!$B:$B,$A114,'Таблиця 1'!$I:$I,"Су-25",'Таблиця 1'!$J:$J,"AGM-88")+SUMIFS('Таблиця 1'!$K:$K,'Таблиця 1'!$B:$B,$A114,'Таблиця 1'!$I:$I,"Су-27",'Таблиця 1'!$J:$J,"AGM-88"))</f>
        <v/>
      </c>
      <c r="I114">
        <f>IF($A114="","",SUMIFS('Таблиця 1'!$K:$K,'Таблиця 1'!$B:$B,$A114,'Таблиця 1'!$I:$I,"Mirage",'Таблиця 1'!$J:$J,"AASM-250")+SUMIFS('Таблиця 1'!$K:$K,'Таблиця 1'!$B:$B,$A114,'Таблиця 1'!$I:$I,"F-16",'Таблиця 1'!$J:$J,"AASM-250")+SUMIFS('Таблиця 1'!$K:$K,'Таблиця 1'!$B:$B,$A114,'Таблиця 1'!$I:$I,"МіГ-29",'Таблиця 1'!$J:$J,"AASM-250")+SUMIFS('Таблиця 1'!$K:$K,'Таблиця 1'!$B:$B,$A114,'Таблиця 1'!$I:$I,"Су-25",'Таблиця 1'!$J:$J,"AASM-250")+SUMIFS('Таблиця 1'!$K:$K,'Таблиця 1'!$B:$B,$A114,'Таблиця 1'!$I:$I,"Су-27",'Таблиця 1'!$J:$J,"AASM-250"))</f>
        <v/>
      </c>
      <c r="J114">
        <f>IF($A114="","",SUMIFS('Таблиця 1'!$K:$K,'Таблиця 1'!$B:$B,$A114,'Таблиця 1'!$I:$I,"Mirage",'Таблиця 1'!$J:$J,"GBU-39")+SUMIFS('Таблиця 1'!$K:$K,'Таблиця 1'!$B:$B,$A114,'Таблиця 1'!$I:$I,"F-16",'Таблиця 1'!$J:$J,"GBU-39")+SUMIFS('Таблиця 1'!$K:$K,'Таблиця 1'!$B:$B,$A114,'Таблиця 1'!$I:$I,"МіГ-29",'Таблиця 1'!$J:$J,"GBU-39")+SUMIFS('Таблиця 1'!$K:$K,'Таблиця 1'!$B:$B,$A114,'Таблиця 1'!$I:$I,"Су-25",'Таблиця 1'!$J:$J,"GBU-39")+SUMIFS('Таблиця 1'!$K:$K,'Таблиця 1'!$B:$B,$A114,'Таблиця 1'!$I:$I,"Су-27",'Таблиця 1'!$J:$J,"GBU-39"))</f>
        <v/>
      </c>
      <c r="K114">
        <f>IF($A114="","",SUMIFS('Таблиця 1'!$K:$K,'Таблиця 1'!$B:$B,$A114,'Таблиця 1'!$I:$I,"Mirage",'Таблиця 1'!$J:$J,"BLU-140")+SUMIFS('Таблиця 1'!$K:$K,'Таблиця 1'!$B:$B,$A114,'Таблиця 1'!$I:$I,"F-16",'Таблиця 1'!$J:$J,"BLU-140")+SUMIFS('Таблиця 1'!$K:$K,'Таблиця 1'!$B:$B,$A114,'Таблиця 1'!$I:$I,"МіГ-29",'Таблиця 1'!$J:$J,"BLU-140")+SUMIFS('Таблиця 1'!$K:$K,'Таблиця 1'!$B:$B,$A114,'Таблиця 1'!$I:$I,"Су-25",'Таблиця 1'!$J:$J,"BLU-140")+SUMIFS('Таблиця 1'!$K:$K,'Таблиця 1'!$B:$B,$A114,'Таблиця 1'!$I:$I,"Су-27",'Таблиця 1'!$J:$J,"BLU-140"))</f>
        <v/>
      </c>
      <c r="L114">
        <f>IF($A114="","",SUMIFS('Таблиця 1'!$K:$K,'Таблиця 1'!$B:$B,$A114,'Таблиця 1'!$I:$I,"Mirage",'Таблиця 1'!$J:$J,"GBU-65")+SUMIFS('Таблиця 1'!$K:$K,'Таблиця 1'!$B:$B,$A114,'Таблиця 1'!$I:$I,"F-16",'Таблиця 1'!$J:$J,"GBU-65")+SUMIFS('Таблиця 1'!$K:$K,'Таблиця 1'!$B:$B,$A114,'Таблиця 1'!$I:$I,"МіГ-29",'Таблиця 1'!$J:$J,"GBU-65")+SUMIFS('Таблиця 1'!$K:$K,'Таблиця 1'!$B:$B,$A114,'Таблиця 1'!$I:$I,"Су-25",'Таблиця 1'!$J:$J,"GBU-65")+SUMIFS('Таблиця 1'!$K:$K,'Таблиця 1'!$B:$B,$A114,'Таблиця 1'!$I:$I,"Су-27",'Таблиця 1'!$J:$J,"GBU-65"))</f>
        <v/>
      </c>
      <c r="M114">
        <f>IF($A114="","",SUMIFS('Таблиця 1'!$K:$K,'Таблиця 1'!$B:$B,$A114,'Таблиця 1'!$I:$I,"Mirage",'Таблиця 1'!$J:$J,"GBU-62")+SUMIFS('Таблиця 1'!$K:$K,'Таблиця 1'!$B:$B,$A114,'Таблиця 1'!$I:$I,"F-16",'Таблиця 1'!$J:$J,"GBU-62")+SUMIFS('Таблиця 1'!$K:$K,'Таблиця 1'!$B:$B,$A114,'Таблиця 1'!$I:$I,"МіГ-29",'Таблиця 1'!$J:$J,"GBU-62")+SUMIFS('Таблиця 1'!$K:$K,'Таблиця 1'!$B:$B,$A114,'Таблиця 1'!$I:$I,"Су-25",'Таблиця 1'!$J:$J,"GBU-62")+SUMIFS('Таблиця 1'!$K:$K,'Таблиця 1'!$B:$B,$A114,'Таблиця 1'!$I:$I,"Су-27",'Таблиця 1'!$J:$J,"GBU-62"))</f>
        <v/>
      </c>
      <c r="N114">
        <f>IF($A114="","",SUMIFS('Таблиця 1'!$K:$K,'Таблиця 1'!$B:$B,$A114,'Таблиця 1'!$I:$I,"Mirage",'Таблиця 1'!$J:$J,"GBU-64")+SUMIFS('Таблиця 1'!$K:$K,'Таблиця 1'!$B:$B,$A114,'Таблиця 1'!$I:$I,"F-16",'Таблиця 1'!$J:$J,"GBU-64")+SUMIFS('Таблиця 1'!$K:$K,'Таблиця 1'!$B:$B,$A114,'Таблиця 1'!$I:$I,"МіГ-29",'Таблиця 1'!$J:$J,"GBU-64")+SUMIFS('Таблиця 1'!$K:$K,'Таблиця 1'!$B:$B,$A114,'Таблиця 1'!$I:$I,"Су-25",'Таблиця 1'!$J:$J,"GBU-64")+SUMIFS('Таблиця 1'!$K:$K,'Таблиця 1'!$B:$B,$A114,'Таблиця 1'!$I:$I,"Су-27",'Таблиця 1'!$J:$J,"GBU-64"))</f>
        <v/>
      </c>
      <c r="O114">
        <f>IF($A114="","",SUMIFS('Таблиця 1'!$K:$K,'Таблиця 1'!$B:$B,$A114,'Таблиця 1'!$I:$I,"Mirage",'Таблиця 1'!$J:$J,"C-13")+SUMIFS('Таблиця 1'!$K:$K,'Таблиця 1'!$B:$B,$A114,'Таблиця 1'!$I:$I,"F-16",'Таблиця 1'!$J:$J,"C-13")+SUMIFS('Таблиця 1'!$K:$K,'Таблиця 1'!$B:$B,$A114,'Таблиця 1'!$I:$I,"МіГ-29",'Таблиця 1'!$J:$J,"C-13")+SUMIFS('Таблиця 1'!$K:$K,'Таблиця 1'!$B:$B,$A114,'Таблиця 1'!$I:$I,"Су-25",'Таблиця 1'!$J:$J,"C-13")+SUMIFS('Таблиця 1'!$K:$K,'Таблиця 1'!$B:$B,$A114,'Таблиця 1'!$I:$I,"Су-27",'Таблиця 1'!$J:$J,"C-13"))</f>
        <v/>
      </c>
      <c r="P114">
        <f>IF($A114="","",SUMIFS('Таблиця 1'!$K:$K,'Таблиця 1'!$B:$B,$A114,'Таблиця 1'!$I:$I,"Mirage",'Таблиця 1'!$J:$J,"MK-32")+SUMIFS('Таблиця 1'!$K:$K,'Таблиця 1'!$B:$B,$A114,'Таблиця 1'!$I:$I,"F-16",'Таблиця 1'!$J:$J,"MK-32")+SUMIFS('Таблиця 1'!$K:$K,'Таблиця 1'!$B:$B,$A114,'Таблиця 1'!$I:$I,"МіГ-29",'Таблиця 1'!$J:$J,"MK-32")+SUMIFS('Таблиця 1'!$K:$K,'Таблиця 1'!$B:$B,$A114,'Таблиця 1'!$I:$I,"Су-25",'Таблиця 1'!$J:$J,"MK-32")+SUMIFS('Таблиця 1'!$K:$K,'Таблиця 1'!$B:$B,$A114,'Таблиця 1'!$I:$I,"Су-27",'Таблиця 1'!$J:$J,"MK-32"))</f>
        <v/>
      </c>
      <c r="Q114">
        <f>IF($A114="","",SUMIFS('Таблиця 1'!$K:$K,'Таблиця 1'!$B:$B,$A114,'Таблиця 1'!$I:$I,"Mirage",'Таблиця 1'!$J:$J,"MK-24")+SUMIFS('Таблиця 1'!$K:$K,'Таблиця 1'!$B:$B,$A114,'Таблиця 1'!$I:$I,"F-16",'Таблиця 1'!$J:$J,"MK-24")+SUMIFS('Таблиця 1'!$K:$K,'Таблиця 1'!$B:$B,$A114,'Таблиця 1'!$I:$I,"МіГ-29",'Таблиця 1'!$J:$J,"MK-24")+SUMIFS('Таблиця 1'!$K:$K,'Таблиця 1'!$B:$B,$A114,'Таблиця 1'!$I:$I,"Су-25",'Таблиця 1'!$J:$J,"MK-24")+SUMIFS('Таблиця 1'!$K:$K,'Таблиця 1'!$B:$B,$A114,'Таблиця 1'!$I:$I,"Су-27",'Таблиця 1'!$J:$J,"MK-24"))</f>
        <v/>
      </c>
      <c r="R114">
        <f>IF($A114="","",COUNTIFS('Таблиця 1'!$B:$B,$A114,'Таблиця 1'!$I:$I,"Mirage",'Таблиця 1'!$L:$L,"Уражено")+COUNTIFS('Таблиця 1'!$B:$B,$A114,'Таблиця 1'!$I:$I,"F-16",'Таблиця 1'!$L:$L,"Уражено")+COUNTIFS('Таблиця 1'!$B:$B,$A114,'Таблиця 1'!$I:$I,"МіГ-29",'Таблиця 1'!$L:$L,"Уражено")+COUNTIFS('Таблиця 1'!$B:$B,$A114,'Таблиця 1'!$I:$I,"Су-25",'Таблиця 1'!$L:$L,"Уражено")+COUNTIFS('Таблиця 1'!$B:$B,$A114,'Таблиця 1'!$I:$I,"Су-27",'Таблиця 1'!$L:$L,"Уражено"))</f>
        <v/>
      </c>
      <c r="S114">
        <f>IF($A114="","",COUNTIFS('Таблиця 1'!$B:$B,$A114,'Таблиця 1'!$I:$I,"Mirage",'Таблиця 1'!$L:$L,"НЕ уражено")+COUNTIFS('Таблиця 1'!$B:$B,$A114,'Таблиця 1'!$I:$I,"F-16",'Таблиця 1'!$L:$L,"НЕ уражено")+COUNTIFS('Таблиця 1'!$B:$B,$A114,'Таблиця 1'!$I:$I,"МіГ-29",'Таблиця 1'!$L:$L,"НЕ уражено")+COUNTIFS('Таблиця 1'!$B:$B,$A114,'Таблиця 1'!$I:$I,"Су-25",'Таблиця 1'!$L:$L,"НЕ уражено")+COUNTIFS('Таблиця 1'!$B:$B,$A114,'Таблиця 1'!$I:$I,"Су-27",'Таблиця 1'!$L:$L,"НЕ уражено"))</f>
        <v/>
      </c>
      <c r="T114">
        <f>IF($A114="","",COUNTIFS('Таблиця 1'!$B:$B,$A114,'Таблиця 1'!$I:$I,"Mirage",'Таблиця 1'!$L:$L,"Дорозвідується")+COUNTIFS('Таблиця 1'!$B:$B,$A114,'Таблиця 1'!$I:$I,"F-16",'Таблиця 1'!$L:$L,"Дорозвідується")+COUNTIFS('Таблиця 1'!$B:$B,$A114,'Таблиця 1'!$I:$I,"МіГ-29",'Таблиця 1'!$L:$L,"Дорозвідується")+COUNTIFS('Таблиця 1'!$B:$B,$A114,'Таблиця 1'!$I:$I,"Су-25",'Таблиця 1'!$L:$L,"Дорозвідується")+COUNTIFS('Таблиця 1'!$B:$B,$A114,'Таблиця 1'!$I:$I,"Су-27",'Таблиця 1'!$L:$L,"Дорозвідується"))</f>
        <v/>
      </c>
    </row>
    <row r="115">
      <c r="A115" s="273">
        <f>IF(A114="","",IF(A114+1&gt;MAX('Таблиця 1'!$B:$B),"",A114+1))</f>
        <v/>
      </c>
      <c r="B115">
        <f>IF($A115="","",COUNTIFS('Таблиця 1'!$B:$B,$A115,'Таблиця 1'!$I:$I,"Mirage")+COUNTIFS('Таблиця 1'!$B:$B,$A115,'Таблиця 1'!$I:$I,"F-16")+COUNTIFS('Таблиця 1'!$B:$B,$A115,'Таблиця 1'!$I:$I,"МіГ-29")+COUNTIFS('Таблиця 1'!$B:$B,$A115,'Таблиця 1'!$I:$I,"Су-25")+COUNTIFS('Таблиця 1'!$B:$B,$A115,'Таблиця 1'!$I:$I,"Су-27"))</f>
        <v/>
      </c>
      <c r="C115">
        <f>IF($A115="","",COUNTIFS('Таблиця 1'!$B:$B,$A115,'Таблиця 1'!$I:$I,"Mirage"))</f>
        <v/>
      </c>
      <c r="D115">
        <f>IF($A115="","",COUNTIFS('Таблиця 1'!$B:$B,$A115,'Таблиця 1'!$I:$I,"F-16"))</f>
        <v/>
      </c>
      <c r="E115">
        <f>IF($A115="","",COUNTIFS('Таблиця 1'!$B:$B,$A115,'Таблиця 1'!$I:$I,"МіГ-29"))</f>
        <v/>
      </c>
      <c r="F115">
        <f>IF($A115="","",COUNTIFS('Таблиця 1'!$B:$B,$A115,'Таблиця 1'!$I:$I,"Су-25"))</f>
        <v/>
      </c>
      <c r="G115">
        <f>IF($A115="","",COUNTIFS('Таблиця 1'!$B:$B,$A115,'Таблиця 1'!$I:$I,"Су-27"))</f>
        <v/>
      </c>
      <c r="H115">
        <f>IF($A115="","",SUMIFS('Таблиця 1'!$K:$K,'Таблиця 1'!$B:$B,$A115,'Таблиця 1'!$I:$I,"Mirage",'Таблиця 1'!$J:$J,"AGM-88")+SUMIFS('Таблиця 1'!$K:$K,'Таблиця 1'!$B:$B,$A115,'Таблиця 1'!$I:$I,"F-16",'Таблиця 1'!$J:$J,"AGM-88")+SUMIFS('Таблиця 1'!$K:$K,'Таблиця 1'!$B:$B,$A115,'Таблиця 1'!$I:$I,"МіГ-29",'Таблиця 1'!$J:$J,"AGM-88")+SUMIFS('Таблиця 1'!$K:$K,'Таблиця 1'!$B:$B,$A115,'Таблиця 1'!$I:$I,"Су-25",'Таблиця 1'!$J:$J,"AGM-88")+SUMIFS('Таблиця 1'!$K:$K,'Таблиця 1'!$B:$B,$A115,'Таблиця 1'!$I:$I,"Су-27",'Таблиця 1'!$J:$J,"AGM-88"))</f>
        <v/>
      </c>
      <c r="I115">
        <f>IF($A115="","",SUMIFS('Таблиця 1'!$K:$K,'Таблиця 1'!$B:$B,$A115,'Таблиця 1'!$I:$I,"Mirage",'Таблиця 1'!$J:$J,"AASM-250")+SUMIFS('Таблиця 1'!$K:$K,'Таблиця 1'!$B:$B,$A115,'Таблиця 1'!$I:$I,"F-16",'Таблиця 1'!$J:$J,"AASM-250")+SUMIFS('Таблиця 1'!$K:$K,'Таблиця 1'!$B:$B,$A115,'Таблиця 1'!$I:$I,"МіГ-29",'Таблиця 1'!$J:$J,"AASM-250")+SUMIFS('Таблиця 1'!$K:$K,'Таблиця 1'!$B:$B,$A115,'Таблиця 1'!$I:$I,"Су-25",'Таблиця 1'!$J:$J,"AASM-250")+SUMIFS('Таблиця 1'!$K:$K,'Таблиця 1'!$B:$B,$A115,'Таблиця 1'!$I:$I,"Су-27",'Таблиця 1'!$J:$J,"AASM-250"))</f>
        <v/>
      </c>
      <c r="J115">
        <f>IF($A115="","",SUMIFS('Таблиця 1'!$K:$K,'Таблиця 1'!$B:$B,$A115,'Таблиця 1'!$I:$I,"Mirage",'Таблиця 1'!$J:$J,"GBU-39")+SUMIFS('Таблиця 1'!$K:$K,'Таблиця 1'!$B:$B,$A115,'Таблиця 1'!$I:$I,"F-16",'Таблиця 1'!$J:$J,"GBU-39")+SUMIFS('Таблиця 1'!$K:$K,'Таблиця 1'!$B:$B,$A115,'Таблиця 1'!$I:$I,"МіГ-29",'Таблиця 1'!$J:$J,"GBU-39")+SUMIFS('Таблиця 1'!$K:$K,'Таблиця 1'!$B:$B,$A115,'Таблиця 1'!$I:$I,"Су-25",'Таблиця 1'!$J:$J,"GBU-39")+SUMIFS('Таблиця 1'!$K:$K,'Таблиця 1'!$B:$B,$A115,'Таблиця 1'!$I:$I,"Су-27",'Таблиця 1'!$J:$J,"GBU-39"))</f>
        <v/>
      </c>
      <c r="K115">
        <f>IF($A115="","",SUMIFS('Таблиця 1'!$K:$K,'Таблиця 1'!$B:$B,$A115,'Таблиця 1'!$I:$I,"Mirage",'Таблиця 1'!$J:$J,"BLU-140")+SUMIFS('Таблиця 1'!$K:$K,'Таблиця 1'!$B:$B,$A115,'Таблиця 1'!$I:$I,"F-16",'Таблиця 1'!$J:$J,"BLU-140")+SUMIFS('Таблиця 1'!$K:$K,'Таблиця 1'!$B:$B,$A115,'Таблиця 1'!$I:$I,"МіГ-29",'Таблиця 1'!$J:$J,"BLU-140")+SUMIFS('Таблиця 1'!$K:$K,'Таблиця 1'!$B:$B,$A115,'Таблиця 1'!$I:$I,"Су-25",'Таблиця 1'!$J:$J,"BLU-140")+SUMIFS('Таблиця 1'!$K:$K,'Таблиця 1'!$B:$B,$A115,'Таблиця 1'!$I:$I,"Су-27",'Таблиця 1'!$J:$J,"BLU-140"))</f>
        <v/>
      </c>
      <c r="L115">
        <f>IF($A115="","",SUMIFS('Таблиця 1'!$K:$K,'Таблиця 1'!$B:$B,$A115,'Таблиця 1'!$I:$I,"Mirage",'Таблиця 1'!$J:$J,"GBU-65")+SUMIFS('Таблиця 1'!$K:$K,'Таблиця 1'!$B:$B,$A115,'Таблиця 1'!$I:$I,"F-16",'Таблиця 1'!$J:$J,"GBU-65")+SUMIFS('Таблиця 1'!$K:$K,'Таблиця 1'!$B:$B,$A115,'Таблиця 1'!$I:$I,"МіГ-29",'Таблиця 1'!$J:$J,"GBU-65")+SUMIFS('Таблиця 1'!$K:$K,'Таблиця 1'!$B:$B,$A115,'Таблиця 1'!$I:$I,"Су-25",'Таблиця 1'!$J:$J,"GBU-65")+SUMIFS('Таблиця 1'!$K:$K,'Таблиця 1'!$B:$B,$A115,'Таблиця 1'!$I:$I,"Су-27",'Таблиця 1'!$J:$J,"GBU-65"))</f>
        <v/>
      </c>
      <c r="M115">
        <f>IF($A115="","",SUMIFS('Таблиця 1'!$K:$K,'Таблиця 1'!$B:$B,$A115,'Таблиця 1'!$I:$I,"Mirage",'Таблиця 1'!$J:$J,"GBU-62")+SUMIFS('Таблиця 1'!$K:$K,'Таблиця 1'!$B:$B,$A115,'Таблиця 1'!$I:$I,"F-16",'Таблиця 1'!$J:$J,"GBU-62")+SUMIFS('Таблиця 1'!$K:$K,'Таблиця 1'!$B:$B,$A115,'Таблиця 1'!$I:$I,"МіГ-29",'Таблиця 1'!$J:$J,"GBU-62")+SUMIFS('Таблиця 1'!$K:$K,'Таблиця 1'!$B:$B,$A115,'Таблиця 1'!$I:$I,"Су-25",'Таблиця 1'!$J:$J,"GBU-62")+SUMIFS('Таблиця 1'!$K:$K,'Таблиця 1'!$B:$B,$A115,'Таблиця 1'!$I:$I,"Су-27",'Таблиця 1'!$J:$J,"GBU-62"))</f>
        <v/>
      </c>
      <c r="N115">
        <f>IF($A115="","",SUMIFS('Таблиця 1'!$K:$K,'Таблиця 1'!$B:$B,$A115,'Таблиця 1'!$I:$I,"Mirage",'Таблиця 1'!$J:$J,"GBU-64")+SUMIFS('Таблиця 1'!$K:$K,'Таблиця 1'!$B:$B,$A115,'Таблиця 1'!$I:$I,"F-16",'Таблиця 1'!$J:$J,"GBU-64")+SUMIFS('Таблиця 1'!$K:$K,'Таблиця 1'!$B:$B,$A115,'Таблиця 1'!$I:$I,"МіГ-29",'Таблиця 1'!$J:$J,"GBU-64")+SUMIFS('Таблиця 1'!$K:$K,'Таблиця 1'!$B:$B,$A115,'Таблиця 1'!$I:$I,"Су-25",'Таблиця 1'!$J:$J,"GBU-64")+SUMIFS('Таблиця 1'!$K:$K,'Таблиця 1'!$B:$B,$A115,'Таблиця 1'!$I:$I,"Су-27",'Таблиця 1'!$J:$J,"GBU-64"))</f>
        <v/>
      </c>
      <c r="O115">
        <f>IF($A115="","",SUMIFS('Таблиця 1'!$K:$K,'Таблиця 1'!$B:$B,$A115,'Таблиця 1'!$I:$I,"Mirage",'Таблиця 1'!$J:$J,"C-13")+SUMIFS('Таблиця 1'!$K:$K,'Таблиця 1'!$B:$B,$A115,'Таблиця 1'!$I:$I,"F-16",'Таблиця 1'!$J:$J,"C-13")+SUMIFS('Таблиця 1'!$K:$K,'Таблиця 1'!$B:$B,$A115,'Таблиця 1'!$I:$I,"МіГ-29",'Таблиця 1'!$J:$J,"C-13")+SUMIFS('Таблиця 1'!$K:$K,'Таблиця 1'!$B:$B,$A115,'Таблиця 1'!$I:$I,"Су-25",'Таблиця 1'!$J:$J,"C-13")+SUMIFS('Таблиця 1'!$K:$K,'Таблиця 1'!$B:$B,$A115,'Таблиця 1'!$I:$I,"Су-27",'Таблиця 1'!$J:$J,"C-13"))</f>
        <v/>
      </c>
      <c r="P115">
        <f>IF($A115="","",SUMIFS('Таблиця 1'!$K:$K,'Таблиця 1'!$B:$B,$A115,'Таблиця 1'!$I:$I,"Mirage",'Таблиця 1'!$J:$J,"MK-32")+SUMIFS('Таблиця 1'!$K:$K,'Таблиця 1'!$B:$B,$A115,'Таблиця 1'!$I:$I,"F-16",'Таблиця 1'!$J:$J,"MK-32")+SUMIFS('Таблиця 1'!$K:$K,'Таблиця 1'!$B:$B,$A115,'Таблиця 1'!$I:$I,"МіГ-29",'Таблиця 1'!$J:$J,"MK-32")+SUMIFS('Таблиця 1'!$K:$K,'Таблиця 1'!$B:$B,$A115,'Таблиця 1'!$I:$I,"Су-25",'Таблиця 1'!$J:$J,"MK-32")+SUMIFS('Таблиця 1'!$K:$K,'Таблиця 1'!$B:$B,$A115,'Таблиця 1'!$I:$I,"Су-27",'Таблиця 1'!$J:$J,"MK-32"))</f>
        <v/>
      </c>
      <c r="Q115">
        <f>IF($A115="","",SUMIFS('Таблиця 1'!$K:$K,'Таблиця 1'!$B:$B,$A115,'Таблиця 1'!$I:$I,"Mirage",'Таблиця 1'!$J:$J,"MK-24")+SUMIFS('Таблиця 1'!$K:$K,'Таблиця 1'!$B:$B,$A115,'Таблиця 1'!$I:$I,"F-16",'Таблиця 1'!$J:$J,"MK-24")+SUMIFS('Таблиця 1'!$K:$K,'Таблиця 1'!$B:$B,$A115,'Таблиця 1'!$I:$I,"МіГ-29",'Таблиця 1'!$J:$J,"MK-24")+SUMIFS('Таблиця 1'!$K:$K,'Таблиця 1'!$B:$B,$A115,'Таблиця 1'!$I:$I,"Су-25",'Таблиця 1'!$J:$J,"MK-24")+SUMIFS('Таблиця 1'!$K:$K,'Таблиця 1'!$B:$B,$A115,'Таблиця 1'!$I:$I,"Су-27",'Таблиця 1'!$J:$J,"MK-24"))</f>
        <v/>
      </c>
      <c r="R115">
        <f>IF($A115="","",COUNTIFS('Таблиця 1'!$B:$B,$A115,'Таблиця 1'!$I:$I,"Mirage",'Таблиця 1'!$L:$L,"Уражено")+COUNTIFS('Таблиця 1'!$B:$B,$A115,'Таблиця 1'!$I:$I,"F-16",'Таблиця 1'!$L:$L,"Уражено")+COUNTIFS('Таблиця 1'!$B:$B,$A115,'Таблиця 1'!$I:$I,"МіГ-29",'Таблиця 1'!$L:$L,"Уражено")+COUNTIFS('Таблиця 1'!$B:$B,$A115,'Таблиця 1'!$I:$I,"Су-25",'Таблиця 1'!$L:$L,"Уражено")+COUNTIFS('Таблиця 1'!$B:$B,$A115,'Таблиця 1'!$I:$I,"Су-27",'Таблиця 1'!$L:$L,"Уражено"))</f>
        <v/>
      </c>
      <c r="S115">
        <f>IF($A115="","",COUNTIFS('Таблиця 1'!$B:$B,$A115,'Таблиця 1'!$I:$I,"Mirage",'Таблиця 1'!$L:$L,"НЕ уражено")+COUNTIFS('Таблиця 1'!$B:$B,$A115,'Таблиця 1'!$I:$I,"F-16",'Таблиця 1'!$L:$L,"НЕ уражено")+COUNTIFS('Таблиця 1'!$B:$B,$A115,'Таблиця 1'!$I:$I,"МіГ-29",'Таблиця 1'!$L:$L,"НЕ уражено")+COUNTIFS('Таблиця 1'!$B:$B,$A115,'Таблиця 1'!$I:$I,"Су-25",'Таблиця 1'!$L:$L,"НЕ уражено")+COUNTIFS('Таблиця 1'!$B:$B,$A115,'Таблиця 1'!$I:$I,"Су-27",'Таблиця 1'!$L:$L,"НЕ уражено"))</f>
        <v/>
      </c>
      <c r="T115">
        <f>IF($A115="","",COUNTIFS('Таблиця 1'!$B:$B,$A115,'Таблиця 1'!$I:$I,"Mirage",'Таблиця 1'!$L:$L,"Дорозвідується")+COUNTIFS('Таблиця 1'!$B:$B,$A115,'Таблиця 1'!$I:$I,"F-16",'Таблиця 1'!$L:$L,"Дорозвідується")+COUNTIFS('Таблиця 1'!$B:$B,$A115,'Таблиця 1'!$I:$I,"МіГ-29",'Таблиця 1'!$L:$L,"Дорозвідується")+COUNTIFS('Таблиця 1'!$B:$B,$A115,'Таблиця 1'!$I:$I,"Су-25",'Таблиця 1'!$L:$L,"Дорозвідується")+COUNTIFS('Таблиця 1'!$B:$B,$A115,'Таблиця 1'!$I:$I,"Су-27",'Таблиця 1'!$L:$L,"Дорозвідується"))</f>
        <v/>
      </c>
    </row>
    <row r="116">
      <c r="A116" s="273">
        <f>IF(A115="","",IF(A115+1&gt;MAX('Таблиця 1'!$B:$B),"",A115+1))</f>
        <v/>
      </c>
      <c r="B116">
        <f>IF($A116="","",COUNTIFS('Таблиця 1'!$B:$B,$A116,'Таблиця 1'!$I:$I,"Mirage")+COUNTIFS('Таблиця 1'!$B:$B,$A116,'Таблиця 1'!$I:$I,"F-16")+COUNTIFS('Таблиця 1'!$B:$B,$A116,'Таблиця 1'!$I:$I,"МіГ-29")+COUNTIFS('Таблиця 1'!$B:$B,$A116,'Таблиця 1'!$I:$I,"Су-25")+COUNTIFS('Таблиця 1'!$B:$B,$A116,'Таблиця 1'!$I:$I,"Су-27"))</f>
        <v/>
      </c>
      <c r="C116">
        <f>IF($A116="","",COUNTIFS('Таблиця 1'!$B:$B,$A116,'Таблиця 1'!$I:$I,"Mirage"))</f>
        <v/>
      </c>
      <c r="D116">
        <f>IF($A116="","",COUNTIFS('Таблиця 1'!$B:$B,$A116,'Таблиця 1'!$I:$I,"F-16"))</f>
        <v/>
      </c>
      <c r="E116">
        <f>IF($A116="","",COUNTIFS('Таблиця 1'!$B:$B,$A116,'Таблиця 1'!$I:$I,"МіГ-29"))</f>
        <v/>
      </c>
      <c r="F116">
        <f>IF($A116="","",COUNTIFS('Таблиця 1'!$B:$B,$A116,'Таблиця 1'!$I:$I,"Су-25"))</f>
        <v/>
      </c>
      <c r="G116">
        <f>IF($A116="","",COUNTIFS('Таблиця 1'!$B:$B,$A116,'Таблиця 1'!$I:$I,"Су-27"))</f>
        <v/>
      </c>
      <c r="H116">
        <f>IF($A116="","",SUMIFS('Таблиця 1'!$K:$K,'Таблиця 1'!$B:$B,$A116,'Таблиця 1'!$I:$I,"Mirage",'Таблиця 1'!$J:$J,"AGM-88")+SUMIFS('Таблиця 1'!$K:$K,'Таблиця 1'!$B:$B,$A116,'Таблиця 1'!$I:$I,"F-16",'Таблиця 1'!$J:$J,"AGM-88")+SUMIFS('Таблиця 1'!$K:$K,'Таблиця 1'!$B:$B,$A116,'Таблиця 1'!$I:$I,"МіГ-29",'Таблиця 1'!$J:$J,"AGM-88")+SUMIFS('Таблиця 1'!$K:$K,'Таблиця 1'!$B:$B,$A116,'Таблиця 1'!$I:$I,"Су-25",'Таблиця 1'!$J:$J,"AGM-88")+SUMIFS('Таблиця 1'!$K:$K,'Таблиця 1'!$B:$B,$A116,'Таблиця 1'!$I:$I,"Су-27",'Таблиця 1'!$J:$J,"AGM-88"))</f>
        <v/>
      </c>
      <c r="I116">
        <f>IF($A116="","",SUMIFS('Таблиця 1'!$K:$K,'Таблиця 1'!$B:$B,$A116,'Таблиця 1'!$I:$I,"Mirage",'Таблиця 1'!$J:$J,"AASM-250")+SUMIFS('Таблиця 1'!$K:$K,'Таблиця 1'!$B:$B,$A116,'Таблиця 1'!$I:$I,"F-16",'Таблиця 1'!$J:$J,"AASM-250")+SUMIFS('Таблиця 1'!$K:$K,'Таблиця 1'!$B:$B,$A116,'Таблиця 1'!$I:$I,"МіГ-29",'Таблиця 1'!$J:$J,"AASM-250")+SUMIFS('Таблиця 1'!$K:$K,'Таблиця 1'!$B:$B,$A116,'Таблиця 1'!$I:$I,"Су-25",'Таблиця 1'!$J:$J,"AASM-250")+SUMIFS('Таблиця 1'!$K:$K,'Таблиця 1'!$B:$B,$A116,'Таблиця 1'!$I:$I,"Су-27",'Таблиця 1'!$J:$J,"AASM-250"))</f>
        <v/>
      </c>
      <c r="J116">
        <f>IF($A116="","",SUMIFS('Таблиця 1'!$K:$K,'Таблиця 1'!$B:$B,$A116,'Таблиця 1'!$I:$I,"Mirage",'Таблиця 1'!$J:$J,"GBU-39")+SUMIFS('Таблиця 1'!$K:$K,'Таблиця 1'!$B:$B,$A116,'Таблиця 1'!$I:$I,"F-16",'Таблиця 1'!$J:$J,"GBU-39")+SUMIFS('Таблиця 1'!$K:$K,'Таблиця 1'!$B:$B,$A116,'Таблиця 1'!$I:$I,"МіГ-29",'Таблиця 1'!$J:$J,"GBU-39")+SUMIFS('Таблиця 1'!$K:$K,'Таблиця 1'!$B:$B,$A116,'Таблиця 1'!$I:$I,"Су-25",'Таблиця 1'!$J:$J,"GBU-39")+SUMIFS('Таблиця 1'!$K:$K,'Таблиця 1'!$B:$B,$A116,'Таблиця 1'!$I:$I,"Су-27",'Таблиця 1'!$J:$J,"GBU-39"))</f>
        <v/>
      </c>
      <c r="K116">
        <f>IF($A116="","",SUMIFS('Таблиця 1'!$K:$K,'Таблиця 1'!$B:$B,$A116,'Таблиця 1'!$I:$I,"Mirage",'Таблиця 1'!$J:$J,"BLU-140")+SUMIFS('Таблиця 1'!$K:$K,'Таблиця 1'!$B:$B,$A116,'Таблиця 1'!$I:$I,"F-16",'Таблиця 1'!$J:$J,"BLU-140")+SUMIFS('Таблиця 1'!$K:$K,'Таблиця 1'!$B:$B,$A116,'Таблиця 1'!$I:$I,"МіГ-29",'Таблиця 1'!$J:$J,"BLU-140")+SUMIFS('Таблиця 1'!$K:$K,'Таблиця 1'!$B:$B,$A116,'Таблиця 1'!$I:$I,"Су-25",'Таблиця 1'!$J:$J,"BLU-140")+SUMIFS('Таблиця 1'!$K:$K,'Таблиця 1'!$B:$B,$A116,'Таблиця 1'!$I:$I,"Су-27",'Таблиця 1'!$J:$J,"BLU-140"))</f>
        <v/>
      </c>
      <c r="L116">
        <f>IF($A116="","",SUMIFS('Таблиця 1'!$K:$K,'Таблиця 1'!$B:$B,$A116,'Таблиця 1'!$I:$I,"Mirage",'Таблиця 1'!$J:$J,"GBU-65")+SUMIFS('Таблиця 1'!$K:$K,'Таблиця 1'!$B:$B,$A116,'Таблиця 1'!$I:$I,"F-16",'Таблиця 1'!$J:$J,"GBU-65")+SUMIFS('Таблиця 1'!$K:$K,'Таблиця 1'!$B:$B,$A116,'Таблиця 1'!$I:$I,"МіГ-29",'Таблиця 1'!$J:$J,"GBU-65")+SUMIFS('Таблиця 1'!$K:$K,'Таблиця 1'!$B:$B,$A116,'Таблиця 1'!$I:$I,"Су-25",'Таблиця 1'!$J:$J,"GBU-65")+SUMIFS('Таблиця 1'!$K:$K,'Таблиця 1'!$B:$B,$A116,'Таблиця 1'!$I:$I,"Су-27",'Таблиця 1'!$J:$J,"GBU-65"))</f>
        <v/>
      </c>
      <c r="M116">
        <f>IF($A116="","",SUMIFS('Таблиця 1'!$K:$K,'Таблиця 1'!$B:$B,$A116,'Таблиця 1'!$I:$I,"Mirage",'Таблиця 1'!$J:$J,"GBU-62")+SUMIFS('Таблиця 1'!$K:$K,'Таблиця 1'!$B:$B,$A116,'Таблиця 1'!$I:$I,"F-16",'Таблиця 1'!$J:$J,"GBU-62")+SUMIFS('Таблиця 1'!$K:$K,'Таблиця 1'!$B:$B,$A116,'Таблиця 1'!$I:$I,"МіГ-29",'Таблиця 1'!$J:$J,"GBU-62")+SUMIFS('Таблиця 1'!$K:$K,'Таблиця 1'!$B:$B,$A116,'Таблиця 1'!$I:$I,"Су-25",'Таблиця 1'!$J:$J,"GBU-62")+SUMIFS('Таблиця 1'!$K:$K,'Таблиця 1'!$B:$B,$A116,'Таблиця 1'!$I:$I,"Су-27",'Таблиця 1'!$J:$J,"GBU-62"))</f>
        <v/>
      </c>
      <c r="N116">
        <f>IF($A116="","",SUMIFS('Таблиця 1'!$K:$K,'Таблиця 1'!$B:$B,$A116,'Таблиця 1'!$I:$I,"Mirage",'Таблиця 1'!$J:$J,"GBU-64")+SUMIFS('Таблиця 1'!$K:$K,'Таблиця 1'!$B:$B,$A116,'Таблиця 1'!$I:$I,"F-16",'Таблиця 1'!$J:$J,"GBU-64")+SUMIFS('Таблиця 1'!$K:$K,'Таблиця 1'!$B:$B,$A116,'Таблиця 1'!$I:$I,"МіГ-29",'Таблиця 1'!$J:$J,"GBU-64")+SUMIFS('Таблиця 1'!$K:$K,'Таблиця 1'!$B:$B,$A116,'Таблиця 1'!$I:$I,"Су-25",'Таблиця 1'!$J:$J,"GBU-64")+SUMIFS('Таблиця 1'!$K:$K,'Таблиця 1'!$B:$B,$A116,'Таблиця 1'!$I:$I,"Су-27",'Таблиця 1'!$J:$J,"GBU-64"))</f>
        <v/>
      </c>
      <c r="O116">
        <f>IF($A116="","",SUMIFS('Таблиця 1'!$K:$K,'Таблиця 1'!$B:$B,$A116,'Таблиця 1'!$I:$I,"Mirage",'Таблиця 1'!$J:$J,"C-13")+SUMIFS('Таблиця 1'!$K:$K,'Таблиця 1'!$B:$B,$A116,'Таблиця 1'!$I:$I,"F-16",'Таблиця 1'!$J:$J,"C-13")+SUMIFS('Таблиця 1'!$K:$K,'Таблиця 1'!$B:$B,$A116,'Таблиця 1'!$I:$I,"МіГ-29",'Таблиця 1'!$J:$J,"C-13")+SUMIFS('Таблиця 1'!$K:$K,'Таблиця 1'!$B:$B,$A116,'Таблиця 1'!$I:$I,"Су-25",'Таблиця 1'!$J:$J,"C-13")+SUMIFS('Таблиця 1'!$K:$K,'Таблиця 1'!$B:$B,$A116,'Таблиця 1'!$I:$I,"Су-27",'Таблиця 1'!$J:$J,"C-13"))</f>
        <v/>
      </c>
      <c r="P116">
        <f>IF($A116="","",SUMIFS('Таблиця 1'!$K:$K,'Таблиця 1'!$B:$B,$A116,'Таблиця 1'!$I:$I,"Mirage",'Таблиця 1'!$J:$J,"MK-32")+SUMIFS('Таблиця 1'!$K:$K,'Таблиця 1'!$B:$B,$A116,'Таблиця 1'!$I:$I,"F-16",'Таблиця 1'!$J:$J,"MK-32")+SUMIFS('Таблиця 1'!$K:$K,'Таблиця 1'!$B:$B,$A116,'Таблиця 1'!$I:$I,"МіГ-29",'Таблиця 1'!$J:$J,"MK-32")+SUMIFS('Таблиця 1'!$K:$K,'Таблиця 1'!$B:$B,$A116,'Таблиця 1'!$I:$I,"Су-25",'Таблиця 1'!$J:$J,"MK-32")+SUMIFS('Таблиця 1'!$K:$K,'Таблиця 1'!$B:$B,$A116,'Таблиця 1'!$I:$I,"Су-27",'Таблиця 1'!$J:$J,"MK-32"))</f>
        <v/>
      </c>
      <c r="Q116">
        <f>IF($A116="","",SUMIFS('Таблиця 1'!$K:$K,'Таблиця 1'!$B:$B,$A116,'Таблиця 1'!$I:$I,"Mirage",'Таблиця 1'!$J:$J,"MK-24")+SUMIFS('Таблиця 1'!$K:$K,'Таблиця 1'!$B:$B,$A116,'Таблиця 1'!$I:$I,"F-16",'Таблиця 1'!$J:$J,"MK-24")+SUMIFS('Таблиця 1'!$K:$K,'Таблиця 1'!$B:$B,$A116,'Таблиця 1'!$I:$I,"МіГ-29",'Таблиця 1'!$J:$J,"MK-24")+SUMIFS('Таблиця 1'!$K:$K,'Таблиця 1'!$B:$B,$A116,'Таблиця 1'!$I:$I,"Су-25",'Таблиця 1'!$J:$J,"MK-24")+SUMIFS('Таблиця 1'!$K:$K,'Таблиця 1'!$B:$B,$A116,'Таблиця 1'!$I:$I,"Су-27",'Таблиця 1'!$J:$J,"MK-24"))</f>
        <v/>
      </c>
      <c r="R116">
        <f>IF($A116="","",COUNTIFS('Таблиця 1'!$B:$B,$A116,'Таблиця 1'!$I:$I,"Mirage",'Таблиця 1'!$L:$L,"Уражено")+COUNTIFS('Таблиця 1'!$B:$B,$A116,'Таблиця 1'!$I:$I,"F-16",'Таблиця 1'!$L:$L,"Уражено")+COUNTIFS('Таблиця 1'!$B:$B,$A116,'Таблиця 1'!$I:$I,"МіГ-29",'Таблиця 1'!$L:$L,"Уражено")+COUNTIFS('Таблиця 1'!$B:$B,$A116,'Таблиця 1'!$I:$I,"Су-25",'Таблиця 1'!$L:$L,"Уражено")+COUNTIFS('Таблиця 1'!$B:$B,$A116,'Таблиця 1'!$I:$I,"Су-27",'Таблиця 1'!$L:$L,"Уражено"))</f>
        <v/>
      </c>
      <c r="S116">
        <f>IF($A116="","",COUNTIFS('Таблиця 1'!$B:$B,$A116,'Таблиця 1'!$I:$I,"Mirage",'Таблиця 1'!$L:$L,"НЕ уражено")+COUNTIFS('Таблиця 1'!$B:$B,$A116,'Таблиця 1'!$I:$I,"F-16",'Таблиця 1'!$L:$L,"НЕ уражено")+COUNTIFS('Таблиця 1'!$B:$B,$A116,'Таблиця 1'!$I:$I,"МіГ-29",'Таблиця 1'!$L:$L,"НЕ уражено")+COUNTIFS('Таблиця 1'!$B:$B,$A116,'Таблиця 1'!$I:$I,"Су-25",'Таблиця 1'!$L:$L,"НЕ уражено")+COUNTIFS('Таблиця 1'!$B:$B,$A116,'Таблиця 1'!$I:$I,"Су-27",'Таблиця 1'!$L:$L,"НЕ уражено"))</f>
        <v/>
      </c>
      <c r="T116">
        <f>IF($A116="","",COUNTIFS('Таблиця 1'!$B:$B,$A116,'Таблиця 1'!$I:$I,"Mirage",'Таблиця 1'!$L:$L,"Дорозвідується")+COUNTIFS('Таблиця 1'!$B:$B,$A116,'Таблиця 1'!$I:$I,"F-16",'Таблиця 1'!$L:$L,"Дорозвідується")+COUNTIFS('Таблиця 1'!$B:$B,$A116,'Таблиця 1'!$I:$I,"МіГ-29",'Таблиця 1'!$L:$L,"Дорозвідується")+COUNTIFS('Таблиця 1'!$B:$B,$A116,'Таблиця 1'!$I:$I,"Су-25",'Таблиця 1'!$L:$L,"Дорозвідується")+COUNTIFS('Таблиця 1'!$B:$B,$A116,'Таблиця 1'!$I:$I,"Су-27",'Таблиця 1'!$L:$L,"Дорозвідується"))</f>
        <v/>
      </c>
    </row>
    <row r="117">
      <c r="A117" s="273">
        <f>IF(A116="","",IF(A116+1&gt;MAX('Таблиця 1'!$B:$B),"",A116+1))</f>
        <v/>
      </c>
      <c r="B117">
        <f>IF($A117="","",COUNTIFS('Таблиця 1'!$B:$B,$A117,'Таблиця 1'!$I:$I,"Mirage")+COUNTIFS('Таблиця 1'!$B:$B,$A117,'Таблиця 1'!$I:$I,"F-16")+COUNTIFS('Таблиця 1'!$B:$B,$A117,'Таблиця 1'!$I:$I,"МіГ-29")+COUNTIFS('Таблиця 1'!$B:$B,$A117,'Таблиця 1'!$I:$I,"Су-25")+COUNTIFS('Таблиця 1'!$B:$B,$A117,'Таблиця 1'!$I:$I,"Су-27"))</f>
        <v/>
      </c>
      <c r="C117">
        <f>IF($A117="","",COUNTIFS('Таблиця 1'!$B:$B,$A117,'Таблиця 1'!$I:$I,"Mirage"))</f>
        <v/>
      </c>
      <c r="D117">
        <f>IF($A117="","",COUNTIFS('Таблиця 1'!$B:$B,$A117,'Таблиця 1'!$I:$I,"F-16"))</f>
        <v/>
      </c>
      <c r="E117">
        <f>IF($A117="","",COUNTIFS('Таблиця 1'!$B:$B,$A117,'Таблиця 1'!$I:$I,"МіГ-29"))</f>
        <v/>
      </c>
      <c r="F117">
        <f>IF($A117="","",COUNTIFS('Таблиця 1'!$B:$B,$A117,'Таблиця 1'!$I:$I,"Су-25"))</f>
        <v/>
      </c>
      <c r="G117">
        <f>IF($A117="","",COUNTIFS('Таблиця 1'!$B:$B,$A117,'Таблиця 1'!$I:$I,"Су-27"))</f>
        <v/>
      </c>
      <c r="H117">
        <f>IF($A117="","",SUMIFS('Таблиця 1'!$K:$K,'Таблиця 1'!$B:$B,$A117,'Таблиця 1'!$I:$I,"Mirage",'Таблиця 1'!$J:$J,"AGM-88")+SUMIFS('Таблиця 1'!$K:$K,'Таблиця 1'!$B:$B,$A117,'Таблиця 1'!$I:$I,"F-16",'Таблиця 1'!$J:$J,"AGM-88")+SUMIFS('Таблиця 1'!$K:$K,'Таблиця 1'!$B:$B,$A117,'Таблиця 1'!$I:$I,"МіГ-29",'Таблиця 1'!$J:$J,"AGM-88")+SUMIFS('Таблиця 1'!$K:$K,'Таблиця 1'!$B:$B,$A117,'Таблиця 1'!$I:$I,"Су-25",'Таблиця 1'!$J:$J,"AGM-88")+SUMIFS('Таблиця 1'!$K:$K,'Таблиця 1'!$B:$B,$A117,'Таблиця 1'!$I:$I,"Су-27",'Таблиця 1'!$J:$J,"AGM-88"))</f>
        <v/>
      </c>
      <c r="I117">
        <f>IF($A117="","",SUMIFS('Таблиця 1'!$K:$K,'Таблиця 1'!$B:$B,$A117,'Таблиця 1'!$I:$I,"Mirage",'Таблиця 1'!$J:$J,"AASM-250")+SUMIFS('Таблиця 1'!$K:$K,'Таблиця 1'!$B:$B,$A117,'Таблиця 1'!$I:$I,"F-16",'Таблиця 1'!$J:$J,"AASM-250")+SUMIFS('Таблиця 1'!$K:$K,'Таблиця 1'!$B:$B,$A117,'Таблиця 1'!$I:$I,"МіГ-29",'Таблиця 1'!$J:$J,"AASM-250")+SUMIFS('Таблиця 1'!$K:$K,'Таблиця 1'!$B:$B,$A117,'Таблиця 1'!$I:$I,"Су-25",'Таблиця 1'!$J:$J,"AASM-250")+SUMIFS('Таблиця 1'!$K:$K,'Таблиця 1'!$B:$B,$A117,'Таблиця 1'!$I:$I,"Су-27",'Таблиця 1'!$J:$J,"AASM-250"))</f>
        <v/>
      </c>
      <c r="J117">
        <f>IF($A117="","",SUMIFS('Таблиця 1'!$K:$K,'Таблиця 1'!$B:$B,$A117,'Таблиця 1'!$I:$I,"Mirage",'Таблиця 1'!$J:$J,"GBU-39")+SUMIFS('Таблиця 1'!$K:$K,'Таблиця 1'!$B:$B,$A117,'Таблиця 1'!$I:$I,"F-16",'Таблиця 1'!$J:$J,"GBU-39")+SUMIFS('Таблиця 1'!$K:$K,'Таблиця 1'!$B:$B,$A117,'Таблиця 1'!$I:$I,"МіГ-29",'Таблиця 1'!$J:$J,"GBU-39")+SUMIFS('Таблиця 1'!$K:$K,'Таблиця 1'!$B:$B,$A117,'Таблиця 1'!$I:$I,"Су-25",'Таблиця 1'!$J:$J,"GBU-39")+SUMIFS('Таблиця 1'!$K:$K,'Таблиця 1'!$B:$B,$A117,'Таблиця 1'!$I:$I,"Су-27",'Таблиця 1'!$J:$J,"GBU-39"))</f>
        <v/>
      </c>
      <c r="K117">
        <f>IF($A117="","",SUMIFS('Таблиця 1'!$K:$K,'Таблиця 1'!$B:$B,$A117,'Таблиця 1'!$I:$I,"Mirage",'Таблиця 1'!$J:$J,"BLU-140")+SUMIFS('Таблиця 1'!$K:$K,'Таблиця 1'!$B:$B,$A117,'Таблиця 1'!$I:$I,"F-16",'Таблиця 1'!$J:$J,"BLU-140")+SUMIFS('Таблиця 1'!$K:$K,'Таблиця 1'!$B:$B,$A117,'Таблиця 1'!$I:$I,"МіГ-29",'Таблиця 1'!$J:$J,"BLU-140")+SUMIFS('Таблиця 1'!$K:$K,'Таблиця 1'!$B:$B,$A117,'Таблиця 1'!$I:$I,"Су-25",'Таблиця 1'!$J:$J,"BLU-140")+SUMIFS('Таблиця 1'!$K:$K,'Таблиця 1'!$B:$B,$A117,'Таблиця 1'!$I:$I,"Су-27",'Таблиця 1'!$J:$J,"BLU-140"))</f>
        <v/>
      </c>
      <c r="L117">
        <f>IF($A117="","",SUMIFS('Таблиця 1'!$K:$K,'Таблиця 1'!$B:$B,$A117,'Таблиця 1'!$I:$I,"Mirage",'Таблиця 1'!$J:$J,"GBU-65")+SUMIFS('Таблиця 1'!$K:$K,'Таблиця 1'!$B:$B,$A117,'Таблиця 1'!$I:$I,"F-16",'Таблиця 1'!$J:$J,"GBU-65")+SUMIFS('Таблиця 1'!$K:$K,'Таблиця 1'!$B:$B,$A117,'Таблиця 1'!$I:$I,"МіГ-29",'Таблиця 1'!$J:$J,"GBU-65")+SUMIFS('Таблиця 1'!$K:$K,'Таблиця 1'!$B:$B,$A117,'Таблиця 1'!$I:$I,"Су-25",'Таблиця 1'!$J:$J,"GBU-65")+SUMIFS('Таблиця 1'!$K:$K,'Таблиця 1'!$B:$B,$A117,'Таблиця 1'!$I:$I,"Су-27",'Таблиця 1'!$J:$J,"GBU-65"))</f>
        <v/>
      </c>
      <c r="M117">
        <f>IF($A117="","",SUMIFS('Таблиця 1'!$K:$K,'Таблиця 1'!$B:$B,$A117,'Таблиця 1'!$I:$I,"Mirage",'Таблиця 1'!$J:$J,"GBU-62")+SUMIFS('Таблиця 1'!$K:$K,'Таблиця 1'!$B:$B,$A117,'Таблиця 1'!$I:$I,"F-16",'Таблиця 1'!$J:$J,"GBU-62")+SUMIFS('Таблиця 1'!$K:$K,'Таблиця 1'!$B:$B,$A117,'Таблиця 1'!$I:$I,"МіГ-29",'Таблиця 1'!$J:$J,"GBU-62")+SUMIFS('Таблиця 1'!$K:$K,'Таблиця 1'!$B:$B,$A117,'Таблиця 1'!$I:$I,"Су-25",'Таблиця 1'!$J:$J,"GBU-62")+SUMIFS('Таблиця 1'!$K:$K,'Таблиця 1'!$B:$B,$A117,'Таблиця 1'!$I:$I,"Су-27",'Таблиця 1'!$J:$J,"GBU-62"))</f>
        <v/>
      </c>
      <c r="N117">
        <f>IF($A117="","",SUMIFS('Таблиця 1'!$K:$K,'Таблиця 1'!$B:$B,$A117,'Таблиця 1'!$I:$I,"Mirage",'Таблиця 1'!$J:$J,"GBU-64")+SUMIFS('Таблиця 1'!$K:$K,'Таблиця 1'!$B:$B,$A117,'Таблиця 1'!$I:$I,"F-16",'Таблиця 1'!$J:$J,"GBU-64")+SUMIFS('Таблиця 1'!$K:$K,'Таблиця 1'!$B:$B,$A117,'Таблиця 1'!$I:$I,"МіГ-29",'Таблиця 1'!$J:$J,"GBU-64")+SUMIFS('Таблиця 1'!$K:$K,'Таблиця 1'!$B:$B,$A117,'Таблиця 1'!$I:$I,"Су-25",'Таблиця 1'!$J:$J,"GBU-64")+SUMIFS('Таблиця 1'!$K:$K,'Таблиця 1'!$B:$B,$A117,'Таблиця 1'!$I:$I,"Су-27",'Таблиця 1'!$J:$J,"GBU-64"))</f>
        <v/>
      </c>
      <c r="O117">
        <f>IF($A117="","",SUMIFS('Таблиця 1'!$K:$K,'Таблиця 1'!$B:$B,$A117,'Таблиця 1'!$I:$I,"Mirage",'Таблиця 1'!$J:$J,"C-13")+SUMIFS('Таблиця 1'!$K:$K,'Таблиця 1'!$B:$B,$A117,'Таблиця 1'!$I:$I,"F-16",'Таблиця 1'!$J:$J,"C-13")+SUMIFS('Таблиця 1'!$K:$K,'Таблиця 1'!$B:$B,$A117,'Таблиця 1'!$I:$I,"МіГ-29",'Таблиця 1'!$J:$J,"C-13")+SUMIFS('Таблиця 1'!$K:$K,'Таблиця 1'!$B:$B,$A117,'Таблиця 1'!$I:$I,"Су-25",'Таблиця 1'!$J:$J,"C-13")+SUMIFS('Таблиця 1'!$K:$K,'Таблиця 1'!$B:$B,$A117,'Таблиця 1'!$I:$I,"Су-27",'Таблиця 1'!$J:$J,"C-13"))</f>
        <v/>
      </c>
      <c r="P117">
        <f>IF($A117="","",SUMIFS('Таблиця 1'!$K:$K,'Таблиця 1'!$B:$B,$A117,'Таблиця 1'!$I:$I,"Mirage",'Таблиця 1'!$J:$J,"MK-32")+SUMIFS('Таблиця 1'!$K:$K,'Таблиця 1'!$B:$B,$A117,'Таблиця 1'!$I:$I,"F-16",'Таблиця 1'!$J:$J,"MK-32")+SUMIFS('Таблиця 1'!$K:$K,'Таблиця 1'!$B:$B,$A117,'Таблиця 1'!$I:$I,"МіГ-29",'Таблиця 1'!$J:$J,"MK-32")+SUMIFS('Таблиця 1'!$K:$K,'Таблиця 1'!$B:$B,$A117,'Таблиця 1'!$I:$I,"Су-25",'Таблиця 1'!$J:$J,"MK-32")+SUMIFS('Таблиця 1'!$K:$K,'Таблиця 1'!$B:$B,$A117,'Таблиця 1'!$I:$I,"Су-27",'Таблиця 1'!$J:$J,"MK-32"))</f>
        <v/>
      </c>
      <c r="Q117">
        <f>IF($A117="","",SUMIFS('Таблиця 1'!$K:$K,'Таблиця 1'!$B:$B,$A117,'Таблиця 1'!$I:$I,"Mirage",'Таблиця 1'!$J:$J,"MK-24")+SUMIFS('Таблиця 1'!$K:$K,'Таблиця 1'!$B:$B,$A117,'Таблиця 1'!$I:$I,"F-16",'Таблиця 1'!$J:$J,"MK-24")+SUMIFS('Таблиця 1'!$K:$K,'Таблиця 1'!$B:$B,$A117,'Таблиця 1'!$I:$I,"МіГ-29",'Таблиця 1'!$J:$J,"MK-24")+SUMIFS('Таблиця 1'!$K:$K,'Таблиця 1'!$B:$B,$A117,'Таблиця 1'!$I:$I,"Су-25",'Таблиця 1'!$J:$J,"MK-24")+SUMIFS('Таблиця 1'!$K:$K,'Таблиця 1'!$B:$B,$A117,'Таблиця 1'!$I:$I,"Су-27",'Таблиця 1'!$J:$J,"MK-24"))</f>
        <v/>
      </c>
      <c r="R117">
        <f>IF($A117="","",COUNTIFS('Таблиця 1'!$B:$B,$A117,'Таблиця 1'!$I:$I,"Mirage",'Таблиця 1'!$L:$L,"Уражено")+COUNTIFS('Таблиця 1'!$B:$B,$A117,'Таблиця 1'!$I:$I,"F-16",'Таблиця 1'!$L:$L,"Уражено")+COUNTIFS('Таблиця 1'!$B:$B,$A117,'Таблиця 1'!$I:$I,"МіГ-29",'Таблиця 1'!$L:$L,"Уражено")+COUNTIFS('Таблиця 1'!$B:$B,$A117,'Таблиця 1'!$I:$I,"Су-25",'Таблиця 1'!$L:$L,"Уражено")+COUNTIFS('Таблиця 1'!$B:$B,$A117,'Таблиця 1'!$I:$I,"Су-27",'Таблиця 1'!$L:$L,"Уражено"))</f>
        <v/>
      </c>
      <c r="S117">
        <f>IF($A117="","",COUNTIFS('Таблиця 1'!$B:$B,$A117,'Таблиця 1'!$I:$I,"Mirage",'Таблиця 1'!$L:$L,"НЕ уражено")+COUNTIFS('Таблиця 1'!$B:$B,$A117,'Таблиця 1'!$I:$I,"F-16",'Таблиця 1'!$L:$L,"НЕ уражено")+COUNTIFS('Таблиця 1'!$B:$B,$A117,'Таблиця 1'!$I:$I,"МіГ-29",'Таблиця 1'!$L:$L,"НЕ уражено")+COUNTIFS('Таблиця 1'!$B:$B,$A117,'Таблиця 1'!$I:$I,"Су-25",'Таблиця 1'!$L:$L,"НЕ уражено")+COUNTIFS('Таблиця 1'!$B:$B,$A117,'Таблиця 1'!$I:$I,"Су-27",'Таблиця 1'!$L:$L,"НЕ уражено"))</f>
        <v/>
      </c>
      <c r="T117">
        <f>IF($A117="","",COUNTIFS('Таблиця 1'!$B:$B,$A117,'Таблиця 1'!$I:$I,"Mirage",'Таблиця 1'!$L:$L,"Дорозвідується")+COUNTIFS('Таблиця 1'!$B:$B,$A117,'Таблиця 1'!$I:$I,"F-16",'Таблиця 1'!$L:$L,"Дорозвідується")+COUNTIFS('Таблиця 1'!$B:$B,$A117,'Таблиця 1'!$I:$I,"МіГ-29",'Таблиця 1'!$L:$L,"Дорозвідується")+COUNTIFS('Таблиця 1'!$B:$B,$A117,'Таблиця 1'!$I:$I,"Су-25",'Таблиця 1'!$L:$L,"Дорозвідується")+COUNTIFS('Таблиця 1'!$B:$B,$A117,'Таблиця 1'!$I:$I,"Су-27",'Таблиця 1'!$L:$L,"Дорозвідується"))</f>
        <v/>
      </c>
    </row>
    <row r="118">
      <c r="A118" s="273">
        <f>IF(A117="","",IF(A117+1&gt;MAX('Таблиця 1'!$B:$B),"",A117+1))</f>
        <v/>
      </c>
      <c r="B118">
        <f>IF($A118="","",COUNTIFS('Таблиця 1'!$B:$B,$A118,'Таблиця 1'!$I:$I,"Mirage")+COUNTIFS('Таблиця 1'!$B:$B,$A118,'Таблиця 1'!$I:$I,"F-16")+COUNTIFS('Таблиця 1'!$B:$B,$A118,'Таблиця 1'!$I:$I,"МіГ-29")+COUNTIFS('Таблиця 1'!$B:$B,$A118,'Таблиця 1'!$I:$I,"Су-25")+COUNTIFS('Таблиця 1'!$B:$B,$A118,'Таблиця 1'!$I:$I,"Су-27"))</f>
        <v/>
      </c>
      <c r="C118">
        <f>IF($A118="","",COUNTIFS('Таблиця 1'!$B:$B,$A118,'Таблиця 1'!$I:$I,"Mirage"))</f>
        <v/>
      </c>
      <c r="D118">
        <f>IF($A118="","",COUNTIFS('Таблиця 1'!$B:$B,$A118,'Таблиця 1'!$I:$I,"F-16"))</f>
        <v/>
      </c>
      <c r="E118">
        <f>IF($A118="","",COUNTIFS('Таблиця 1'!$B:$B,$A118,'Таблиця 1'!$I:$I,"МіГ-29"))</f>
        <v/>
      </c>
      <c r="F118">
        <f>IF($A118="","",COUNTIFS('Таблиця 1'!$B:$B,$A118,'Таблиця 1'!$I:$I,"Су-25"))</f>
        <v/>
      </c>
      <c r="G118">
        <f>IF($A118="","",COUNTIFS('Таблиця 1'!$B:$B,$A118,'Таблиця 1'!$I:$I,"Су-27"))</f>
        <v/>
      </c>
      <c r="H118">
        <f>IF($A118="","",SUMIFS('Таблиця 1'!$K:$K,'Таблиця 1'!$B:$B,$A118,'Таблиця 1'!$I:$I,"Mirage",'Таблиця 1'!$J:$J,"AGM-88")+SUMIFS('Таблиця 1'!$K:$K,'Таблиця 1'!$B:$B,$A118,'Таблиця 1'!$I:$I,"F-16",'Таблиця 1'!$J:$J,"AGM-88")+SUMIFS('Таблиця 1'!$K:$K,'Таблиця 1'!$B:$B,$A118,'Таблиця 1'!$I:$I,"МіГ-29",'Таблиця 1'!$J:$J,"AGM-88")+SUMIFS('Таблиця 1'!$K:$K,'Таблиця 1'!$B:$B,$A118,'Таблиця 1'!$I:$I,"Су-25",'Таблиця 1'!$J:$J,"AGM-88")+SUMIFS('Таблиця 1'!$K:$K,'Таблиця 1'!$B:$B,$A118,'Таблиця 1'!$I:$I,"Су-27",'Таблиця 1'!$J:$J,"AGM-88"))</f>
        <v/>
      </c>
      <c r="I118">
        <f>IF($A118="","",SUMIFS('Таблиця 1'!$K:$K,'Таблиця 1'!$B:$B,$A118,'Таблиця 1'!$I:$I,"Mirage",'Таблиця 1'!$J:$J,"AASM-250")+SUMIFS('Таблиця 1'!$K:$K,'Таблиця 1'!$B:$B,$A118,'Таблиця 1'!$I:$I,"F-16",'Таблиця 1'!$J:$J,"AASM-250")+SUMIFS('Таблиця 1'!$K:$K,'Таблиця 1'!$B:$B,$A118,'Таблиця 1'!$I:$I,"МіГ-29",'Таблиця 1'!$J:$J,"AASM-250")+SUMIFS('Таблиця 1'!$K:$K,'Таблиця 1'!$B:$B,$A118,'Таблиця 1'!$I:$I,"Су-25",'Таблиця 1'!$J:$J,"AASM-250")+SUMIFS('Таблиця 1'!$K:$K,'Таблиця 1'!$B:$B,$A118,'Таблиця 1'!$I:$I,"Су-27",'Таблиця 1'!$J:$J,"AASM-250"))</f>
        <v/>
      </c>
      <c r="J118">
        <f>IF($A118="","",SUMIFS('Таблиця 1'!$K:$K,'Таблиця 1'!$B:$B,$A118,'Таблиця 1'!$I:$I,"Mirage",'Таблиця 1'!$J:$J,"GBU-39")+SUMIFS('Таблиця 1'!$K:$K,'Таблиця 1'!$B:$B,$A118,'Таблиця 1'!$I:$I,"F-16",'Таблиця 1'!$J:$J,"GBU-39")+SUMIFS('Таблиця 1'!$K:$K,'Таблиця 1'!$B:$B,$A118,'Таблиця 1'!$I:$I,"МіГ-29",'Таблиця 1'!$J:$J,"GBU-39")+SUMIFS('Таблиця 1'!$K:$K,'Таблиця 1'!$B:$B,$A118,'Таблиця 1'!$I:$I,"Су-25",'Таблиця 1'!$J:$J,"GBU-39")+SUMIFS('Таблиця 1'!$K:$K,'Таблиця 1'!$B:$B,$A118,'Таблиця 1'!$I:$I,"Су-27",'Таблиця 1'!$J:$J,"GBU-39"))</f>
        <v/>
      </c>
      <c r="K118">
        <f>IF($A118="","",SUMIFS('Таблиця 1'!$K:$K,'Таблиця 1'!$B:$B,$A118,'Таблиця 1'!$I:$I,"Mirage",'Таблиця 1'!$J:$J,"BLU-140")+SUMIFS('Таблиця 1'!$K:$K,'Таблиця 1'!$B:$B,$A118,'Таблиця 1'!$I:$I,"F-16",'Таблиця 1'!$J:$J,"BLU-140")+SUMIFS('Таблиця 1'!$K:$K,'Таблиця 1'!$B:$B,$A118,'Таблиця 1'!$I:$I,"МіГ-29",'Таблиця 1'!$J:$J,"BLU-140")+SUMIFS('Таблиця 1'!$K:$K,'Таблиця 1'!$B:$B,$A118,'Таблиця 1'!$I:$I,"Су-25",'Таблиця 1'!$J:$J,"BLU-140")+SUMIFS('Таблиця 1'!$K:$K,'Таблиця 1'!$B:$B,$A118,'Таблиця 1'!$I:$I,"Су-27",'Таблиця 1'!$J:$J,"BLU-140"))</f>
        <v/>
      </c>
      <c r="L118">
        <f>IF($A118="","",SUMIFS('Таблиця 1'!$K:$K,'Таблиця 1'!$B:$B,$A118,'Таблиця 1'!$I:$I,"Mirage",'Таблиця 1'!$J:$J,"GBU-65")+SUMIFS('Таблиця 1'!$K:$K,'Таблиця 1'!$B:$B,$A118,'Таблиця 1'!$I:$I,"F-16",'Таблиця 1'!$J:$J,"GBU-65")+SUMIFS('Таблиця 1'!$K:$K,'Таблиця 1'!$B:$B,$A118,'Таблиця 1'!$I:$I,"МіГ-29",'Таблиця 1'!$J:$J,"GBU-65")+SUMIFS('Таблиця 1'!$K:$K,'Таблиця 1'!$B:$B,$A118,'Таблиця 1'!$I:$I,"Су-25",'Таблиця 1'!$J:$J,"GBU-65")+SUMIFS('Таблиця 1'!$K:$K,'Таблиця 1'!$B:$B,$A118,'Таблиця 1'!$I:$I,"Су-27",'Таблиця 1'!$J:$J,"GBU-65"))</f>
        <v/>
      </c>
      <c r="M118">
        <f>IF($A118="","",SUMIFS('Таблиця 1'!$K:$K,'Таблиця 1'!$B:$B,$A118,'Таблиця 1'!$I:$I,"Mirage",'Таблиця 1'!$J:$J,"GBU-62")+SUMIFS('Таблиця 1'!$K:$K,'Таблиця 1'!$B:$B,$A118,'Таблиця 1'!$I:$I,"F-16",'Таблиця 1'!$J:$J,"GBU-62")+SUMIFS('Таблиця 1'!$K:$K,'Таблиця 1'!$B:$B,$A118,'Таблиця 1'!$I:$I,"МіГ-29",'Таблиця 1'!$J:$J,"GBU-62")+SUMIFS('Таблиця 1'!$K:$K,'Таблиця 1'!$B:$B,$A118,'Таблиця 1'!$I:$I,"Су-25",'Таблиця 1'!$J:$J,"GBU-62")+SUMIFS('Таблиця 1'!$K:$K,'Таблиця 1'!$B:$B,$A118,'Таблиця 1'!$I:$I,"Су-27",'Таблиця 1'!$J:$J,"GBU-62"))</f>
        <v/>
      </c>
      <c r="N118">
        <f>IF($A118="","",SUMIFS('Таблиця 1'!$K:$K,'Таблиця 1'!$B:$B,$A118,'Таблиця 1'!$I:$I,"Mirage",'Таблиця 1'!$J:$J,"GBU-64")+SUMIFS('Таблиця 1'!$K:$K,'Таблиця 1'!$B:$B,$A118,'Таблиця 1'!$I:$I,"F-16",'Таблиця 1'!$J:$J,"GBU-64")+SUMIFS('Таблиця 1'!$K:$K,'Таблиця 1'!$B:$B,$A118,'Таблиця 1'!$I:$I,"МіГ-29",'Таблиця 1'!$J:$J,"GBU-64")+SUMIFS('Таблиця 1'!$K:$K,'Таблиця 1'!$B:$B,$A118,'Таблиця 1'!$I:$I,"Су-25",'Таблиця 1'!$J:$J,"GBU-64")+SUMIFS('Таблиця 1'!$K:$K,'Таблиця 1'!$B:$B,$A118,'Таблиця 1'!$I:$I,"Су-27",'Таблиця 1'!$J:$J,"GBU-64"))</f>
        <v/>
      </c>
      <c r="O118">
        <f>IF($A118="","",SUMIFS('Таблиця 1'!$K:$K,'Таблиця 1'!$B:$B,$A118,'Таблиця 1'!$I:$I,"Mirage",'Таблиця 1'!$J:$J,"C-13")+SUMIFS('Таблиця 1'!$K:$K,'Таблиця 1'!$B:$B,$A118,'Таблиця 1'!$I:$I,"F-16",'Таблиця 1'!$J:$J,"C-13")+SUMIFS('Таблиця 1'!$K:$K,'Таблиця 1'!$B:$B,$A118,'Таблиця 1'!$I:$I,"МіГ-29",'Таблиця 1'!$J:$J,"C-13")+SUMIFS('Таблиця 1'!$K:$K,'Таблиця 1'!$B:$B,$A118,'Таблиця 1'!$I:$I,"Су-25",'Таблиця 1'!$J:$J,"C-13")+SUMIFS('Таблиця 1'!$K:$K,'Таблиця 1'!$B:$B,$A118,'Таблиця 1'!$I:$I,"Су-27",'Таблиця 1'!$J:$J,"C-13"))</f>
        <v/>
      </c>
      <c r="P118">
        <f>IF($A118="","",SUMIFS('Таблиця 1'!$K:$K,'Таблиця 1'!$B:$B,$A118,'Таблиця 1'!$I:$I,"Mirage",'Таблиця 1'!$J:$J,"MK-32")+SUMIFS('Таблиця 1'!$K:$K,'Таблиця 1'!$B:$B,$A118,'Таблиця 1'!$I:$I,"F-16",'Таблиця 1'!$J:$J,"MK-32")+SUMIFS('Таблиця 1'!$K:$K,'Таблиця 1'!$B:$B,$A118,'Таблиця 1'!$I:$I,"МіГ-29",'Таблиця 1'!$J:$J,"MK-32")+SUMIFS('Таблиця 1'!$K:$K,'Таблиця 1'!$B:$B,$A118,'Таблиця 1'!$I:$I,"Су-25",'Таблиця 1'!$J:$J,"MK-32")+SUMIFS('Таблиця 1'!$K:$K,'Таблиця 1'!$B:$B,$A118,'Таблиця 1'!$I:$I,"Су-27",'Таблиця 1'!$J:$J,"MK-32"))</f>
        <v/>
      </c>
      <c r="Q118">
        <f>IF($A118="","",SUMIFS('Таблиця 1'!$K:$K,'Таблиця 1'!$B:$B,$A118,'Таблиця 1'!$I:$I,"Mirage",'Таблиця 1'!$J:$J,"MK-24")+SUMIFS('Таблиця 1'!$K:$K,'Таблиця 1'!$B:$B,$A118,'Таблиця 1'!$I:$I,"F-16",'Таблиця 1'!$J:$J,"MK-24")+SUMIFS('Таблиця 1'!$K:$K,'Таблиця 1'!$B:$B,$A118,'Таблиця 1'!$I:$I,"МіГ-29",'Таблиця 1'!$J:$J,"MK-24")+SUMIFS('Таблиця 1'!$K:$K,'Таблиця 1'!$B:$B,$A118,'Таблиця 1'!$I:$I,"Су-25",'Таблиця 1'!$J:$J,"MK-24")+SUMIFS('Таблиця 1'!$K:$K,'Таблиця 1'!$B:$B,$A118,'Таблиця 1'!$I:$I,"Су-27",'Таблиця 1'!$J:$J,"MK-24"))</f>
        <v/>
      </c>
      <c r="R118">
        <f>IF($A118="","",COUNTIFS('Таблиця 1'!$B:$B,$A118,'Таблиця 1'!$I:$I,"Mirage",'Таблиця 1'!$L:$L,"Уражено")+COUNTIFS('Таблиця 1'!$B:$B,$A118,'Таблиця 1'!$I:$I,"F-16",'Таблиця 1'!$L:$L,"Уражено")+COUNTIFS('Таблиця 1'!$B:$B,$A118,'Таблиця 1'!$I:$I,"МіГ-29",'Таблиця 1'!$L:$L,"Уражено")+COUNTIFS('Таблиця 1'!$B:$B,$A118,'Таблиця 1'!$I:$I,"Су-25",'Таблиця 1'!$L:$L,"Уражено")+COUNTIFS('Таблиця 1'!$B:$B,$A118,'Таблиця 1'!$I:$I,"Су-27",'Таблиця 1'!$L:$L,"Уражено"))</f>
        <v/>
      </c>
      <c r="S118">
        <f>IF($A118="","",COUNTIFS('Таблиця 1'!$B:$B,$A118,'Таблиця 1'!$I:$I,"Mirage",'Таблиця 1'!$L:$L,"НЕ уражено")+COUNTIFS('Таблиця 1'!$B:$B,$A118,'Таблиця 1'!$I:$I,"F-16",'Таблиця 1'!$L:$L,"НЕ уражено")+COUNTIFS('Таблиця 1'!$B:$B,$A118,'Таблиця 1'!$I:$I,"МіГ-29",'Таблиця 1'!$L:$L,"НЕ уражено")+COUNTIFS('Таблиця 1'!$B:$B,$A118,'Таблиця 1'!$I:$I,"Су-25",'Таблиця 1'!$L:$L,"НЕ уражено")+COUNTIFS('Таблиця 1'!$B:$B,$A118,'Таблиця 1'!$I:$I,"Су-27",'Таблиця 1'!$L:$L,"НЕ уражено"))</f>
        <v/>
      </c>
      <c r="T118">
        <f>IF($A118="","",COUNTIFS('Таблиця 1'!$B:$B,$A118,'Таблиця 1'!$I:$I,"Mirage",'Таблиця 1'!$L:$L,"Дорозвідується")+COUNTIFS('Таблиця 1'!$B:$B,$A118,'Таблиця 1'!$I:$I,"F-16",'Таблиця 1'!$L:$L,"Дорозвідується")+COUNTIFS('Таблиця 1'!$B:$B,$A118,'Таблиця 1'!$I:$I,"МіГ-29",'Таблиця 1'!$L:$L,"Дорозвідується")+COUNTIFS('Таблиця 1'!$B:$B,$A118,'Таблиця 1'!$I:$I,"Су-25",'Таблиця 1'!$L:$L,"Дорозвідується")+COUNTIFS('Таблиця 1'!$B:$B,$A118,'Таблиця 1'!$I:$I,"Су-27",'Таблиця 1'!$L:$L,"Дорозвідується"))</f>
        <v/>
      </c>
    </row>
    <row r="119">
      <c r="A119" s="273">
        <f>IF(A118="","",IF(A118+1&gt;MAX('Таблиця 1'!$B:$B),"",A118+1))</f>
        <v/>
      </c>
      <c r="B119">
        <f>IF($A119="","",COUNTIFS('Таблиця 1'!$B:$B,$A119,'Таблиця 1'!$I:$I,"Mirage")+COUNTIFS('Таблиця 1'!$B:$B,$A119,'Таблиця 1'!$I:$I,"F-16")+COUNTIFS('Таблиця 1'!$B:$B,$A119,'Таблиця 1'!$I:$I,"МіГ-29")+COUNTIFS('Таблиця 1'!$B:$B,$A119,'Таблиця 1'!$I:$I,"Су-25")+COUNTIFS('Таблиця 1'!$B:$B,$A119,'Таблиця 1'!$I:$I,"Су-27"))</f>
        <v/>
      </c>
      <c r="C119">
        <f>IF($A119="","",COUNTIFS('Таблиця 1'!$B:$B,$A119,'Таблиця 1'!$I:$I,"Mirage"))</f>
        <v/>
      </c>
      <c r="D119">
        <f>IF($A119="","",COUNTIFS('Таблиця 1'!$B:$B,$A119,'Таблиця 1'!$I:$I,"F-16"))</f>
        <v/>
      </c>
      <c r="E119">
        <f>IF($A119="","",COUNTIFS('Таблиця 1'!$B:$B,$A119,'Таблиця 1'!$I:$I,"МіГ-29"))</f>
        <v/>
      </c>
      <c r="F119">
        <f>IF($A119="","",COUNTIFS('Таблиця 1'!$B:$B,$A119,'Таблиця 1'!$I:$I,"Су-25"))</f>
        <v/>
      </c>
      <c r="G119">
        <f>IF($A119="","",COUNTIFS('Таблиця 1'!$B:$B,$A119,'Таблиця 1'!$I:$I,"Су-27"))</f>
        <v/>
      </c>
      <c r="H119">
        <f>IF($A119="","",SUMIFS('Таблиця 1'!$K:$K,'Таблиця 1'!$B:$B,$A119,'Таблиця 1'!$I:$I,"Mirage",'Таблиця 1'!$J:$J,"AGM-88")+SUMIFS('Таблиця 1'!$K:$K,'Таблиця 1'!$B:$B,$A119,'Таблиця 1'!$I:$I,"F-16",'Таблиця 1'!$J:$J,"AGM-88")+SUMIFS('Таблиця 1'!$K:$K,'Таблиця 1'!$B:$B,$A119,'Таблиця 1'!$I:$I,"МіГ-29",'Таблиця 1'!$J:$J,"AGM-88")+SUMIFS('Таблиця 1'!$K:$K,'Таблиця 1'!$B:$B,$A119,'Таблиця 1'!$I:$I,"Су-25",'Таблиця 1'!$J:$J,"AGM-88")+SUMIFS('Таблиця 1'!$K:$K,'Таблиця 1'!$B:$B,$A119,'Таблиця 1'!$I:$I,"Су-27",'Таблиця 1'!$J:$J,"AGM-88"))</f>
        <v/>
      </c>
      <c r="I119">
        <f>IF($A119="","",SUMIFS('Таблиця 1'!$K:$K,'Таблиця 1'!$B:$B,$A119,'Таблиця 1'!$I:$I,"Mirage",'Таблиця 1'!$J:$J,"AASM-250")+SUMIFS('Таблиця 1'!$K:$K,'Таблиця 1'!$B:$B,$A119,'Таблиця 1'!$I:$I,"F-16",'Таблиця 1'!$J:$J,"AASM-250")+SUMIFS('Таблиця 1'!$K:$K,'Таблиця 1'!$B:$B,$A119,'Таблиця 1'!$I:$I,"МіГ-29",'Таблиця 1'!$J:$J,"AASM-250")+SUMIFS('Таблиця 1'!$K:$K,'Таблиця 1'!$B:$B,$A119,'Таблиця 1'!$I:$I,"Су-25",'Таблиця 1'!$J:$J,"AASM-250")+SUMIFS('Таблиця 1'!$K:$K,'Таблиця 1'!$B:$B,$A119,'Таблиця 1'!$I:$I,"Су-27",'Таблиця 1'!$J:$J,"AASM-250"))</f>
        <v/>
      </c>
      <c r="J119">
        <f>IF($A119="","",SUMIFS('Таблиця 1'!$K:$K,'Таблиця 1'!$B:$B,$A119,'Таблиця 1'!$I:$I,"Mirage",'Таблиця 1'!$J:$J,"GBU-39")+SUMIFS('Таблиця 1'!$K:$K,'Таблиця 1'!$B:$B,$A119,'Таблиця 1'!$I:$I,"F-16",'Таблиця 1'!$J:$J,"GBU-39")+SUMIFS('Таблиця 1'!$K:$K,'Таблиця 1'!$B:$B,$A119,'Таблиця 1'!$I:$I,"МіГ-29",'Таблиця 1'!$J:$J,"GBU-39")+SUMIFS('Таблиця 1'!$K:$K,'Таблиця 1'!$B:$B,$A119,'Таблиця 1'!$I:$I,"Су-25",'Таблиця 1'!$J:$J,"GBU-39")+SUMIFS('Таблиця 1'!$K:$K,'Таблиця 1'!$B:$B,$A119,'Таблиця 1'!$I:$I,"Су-27",'Таблиця 1'!$J:$J,"GBU-39"))</f>
        <v/>
      </c>
      <c r="K119">
        <f>IF($A119="","",SUMIFS('Таблиця 1'!$K:$K,'Таблиця 1'!$B:$B,$A119,'Таблиця 1'!$I:$I,"Mirage",'Таблиця 1'!$J:$J,"BLU-140")+SUMIFS('Таблиця 1'!$K:$K,'Таблиця 1'!$B:$B,$A119,'Таблиця 1'!$I:$I,"F-16",'Таблиця 1'!$J:$J,"BLU-140")+SUMIFS('Таблиця 1'!$K:$K,'Таблиця 1'!$B:$B,$A119,'Таблиця 1'!$I:$I,"МіГ-29",'Таблиця 1'!$J:$J,"BLU-140")+SUMIFS('Таблиця 1'!$K:$K,'Таблиця 1'!$B:$B,$A119,'Таблиця 1'!$I:$I,"Су-25",'Таблиця 1'!$J:$J,"BLU-140")+SUMIFS('Таблиця 1'!$K:$K,'Таблиця 1'!$B:$B,$A119,'Таблиця 1'!$I:$I,"Су-27",'Таблиця 1'!$J:$J,"BLU-140"))</f>
        <v/>
      </c>
      <c r="L119">
        <f>IF($A119="","",SUMIFS('Таблиця 1'!$K:$K,'Таблиця 1'!$B:$B,$A119,'Таблиця 1'!$I:$I,"Mirage",'Таблиця 1'!$J:$J,"GBU-65")+SUMIFS('Таблиця 1'!$K:$K,'Таблиця 1'!$B:$B,$A119,'Таблиця 1'!$I:$I,"F-16",'Таблиця 1'!$J:$J,"GBU-65")+SUMIFS('Таблиця 1'!$K:$K,'Таблиця 1'!$B:$B,$A119,'Таблиця 1'!$I:$I,"МіГ-29",'Таблиця 1'!$J:$J,"GBU-65")+SUMIFS('Таблиця 1'!$K:$K,'Таблиця 1'!$B:$B,$A119,'Таблиця 1'!$I:$I,"Су-25",'Таблиця 1'!$J:$J,"GBU-65")+SUMIFS('Таблиця 1'!$K:$K,'Таблиця 1'!$B:$B,$A119,'Таблиця 1'!$I:$I,"Су-27",'Таблиця 1'!$J:$J,"GBU-65"))</f>
        <v/>
      </c>
      <c r="M119">
        <f>IF($A119="","",SUMIFS('Таблиця 1'!$K:$K,'Таблиця 1'!$B:$B,$A119,'Таблиця 1'!$I:$I,"Mirage",'Таблиця 1'!$J:$J,"GBU-62")+SUMIFS('Таблиця 1'!$K:$K,'Таблиця 1'!$B:$B,$A119,'Таблиця 1'!$I:$I,"F-16",'Таблиця 1'!$J:$J,"GBU-62")+SUMIFS('Таблиця 1'!$K:$K,'Таблиця 1'!$B:$B,$A119,'Таблиця 1'!$I:$I,"МіГ-29",'Таблиця 1'!$J:$J,"GBU-62")+SUMIFS('Таблиця 1'!$K:$K,'Таблиця 1'!$B:$B,$A119,'Таблиця 1'!$I:$I,"Су-25",'Таблиця 1'!$J:$J,"GBU-62")+SUMIFS('Таблиця 1'!$K:$K,'Таблиця 1'!$B:$B,$A119,'Таблиця 1'!$I:$I,"Су-27",'Таблиця 1'!$J:$J,"GBU-62"))</f>
        <v/>
      </c>
      <c r="N119">
        <f>IF($A119="","",SUMIFS('Таблиця 1'!$K:$K,'Таблиця 1'!$B:$B,$A119,'Таблиця 1'!$I:$I,"Mirage",'Таблиця 1'!$J:$J,"GBU-64")+SUMIFS('Таблиця 1'!$K:$K,'Таблиця 1'!$B:$B,$A119,'Таблиця 1'!$I:$I,"F-16",'Таблиця 1'!$J:$J,"GBU-64")+SUMIFS('Таблиця 1'!$K:$K,'Таблиця 1'!$B:$B,$A119,'Таблиця 1'!$I:$I,"МіГ-29",'Таблиця 1'!$J:$J,"GBU-64")+SUMIFS('Таблиця 1'!$K:$K,'Таблиця 1'!$B:$B,$A119,'Таблиця 1'!$I:$I,"Су-25",'Таблиця 1'!$J:$J,"GBU-64")+SUMIFS('Таблиця 1'!$K:$K,'Таблиця 1'!$B:$B,$A119,'Таблиця 1'!$I:$I,"Су-27",'Таблиця 1'!$J:$J,"GBU-64"))</f>
        <v/>
      </c>
      <c r="O119">
        <f>IF($A119="","",SUMIFS('Таблиця 1'!$K:$K,'Таблиця 1'!$B:$B,$A119,'Таблиця 1'!$I:$I,"Mirage",'Таблиця 1'!$J:$J,"C-13")+SUMIFS('Таблиця 1'!$K:$K,'Таблиця 1'!$B:$B,$A119,'Таблиця 1'!$I:$I,"F-16",'Таблиця 1'!$J:$J,"C-13")+SUMIFS('Таблиця 1'!$K:$K,'Таблиця 1'!$B:$B,$A119,'Таблиця 1'!$I:$I,"МіГ-29",'Таблиця 1'!$J:$J,"C-13")+SUMIFS('Таблиця 1'!$K:$K,'Таблиця 1'!$B:$B,$A119,'Таблиця 1'!$I:$I,"Су-25",'Таблиця 1'!$J:$J,"C-13")+SUMIFS('Таблиця 1'!$K:$K,'Таблиця 1'!$B:$B,$A119,'Таблиця 1'!$I:$I,"Су-27",'Таблиця 1'!$J:$J,"C-13"))</f>
        <v/>
      </c>
      <c r="P119">
        <f>IF($A119="","",SUMIFS('Таблиця 1'!$K:$K,'Таблиця 1'!$B:$B,$A119,'Таблиця 1'!$I:$I,"Mirage",'Таблиця 1'!$J:$J,"MK-32")+SUMIFS('Таблиця 1'!$K:$K,'Таблиця 1'!$B:$B,$A119,'Таблиця 1'!$I:$I,"F-16",'Таблиця 1'!$J:$J,"MK-32")+SUMIFS('Таблиця 1'!$K:$K,'Таблиця 1'!$B:$B,$A119,'Таблиця 1'!$I:$I,"МіГ-29",'Таблиця 1'!$J:$J,"MK-32")+SUMIFS('Таблиця 1'!$K:$K,'Таблиця 1'!$B:$B,$A119,'Таблиця 1'!$I:$I,"Су-25",'Таблиця 1'!$J:$J,"MK-32")+SUMIFS('Таблиця 1'!$K:$K,'Таблиця 1'!$B:$B,$A119,'Таблиця 1'!$I:$I,"Су-27",'Таблиця 1'!$J:$J,"MK-32"))</f>
        <v/>
      </c>
      <c r="Q119">
        <f>IF($A119="","",SUMIFS('Таблиця 1'!$K:$K,'Таблиця 1'!$B:$B,$A119,'Таблиця 1'!$I:$I,"Mirage",'Таблиця 1'!$J:$J,"MK-24")+SUMIFS('Таблиця 1'!$K:$K,'Таблиця 1'!$B:$B,$A119,'Таблиця 1'!$I:$I,"F-16",'Таблиця 1'!$J:$J,"MK-24")+SUMIFS('Таблиця 1'!$K:$K,'Таблиця 1'!$B:$B,$A119,'Таблиця 1'!$I:$I,"МіГ-29",'Таблиця 1'!$J:$J,"MK-24")+SUMIFS('Таблиця 1'!$K:$K,'Таблиця 1'!$B:$B,$A119,'Таблиця 1'!$I:$I,"Су-25",'Таблиця 1'!$J:$J,"MK-24")+SUMIFS('Таблиця 1'!$K:$K,'Таблиця 1'!$B:$B,$A119,'Таблиця 1'!$I:$I,"Су-27",'Таблиця 1'!$J:$J,"MK-24"))</f>
        <v/>
      </c>
      <c r="R119">
        <f>IF($A119="","",COUNTIFS('Таблиця 1'!$B:$B,$A119,'Таблиця 1'!$I:$I,"Mirage",'Таблиця 1'!$L:$L,"Уражено")+COUNTIFS('Таблиця 1'!$B:$B,$A119,'Таблиця 1'!$I:$I,"F-16",'Таблиця 1'!$L:$L,"Уражено")+COUNTIFS('Таблиця 1'!$B:$B,$A119,'Таблиця 1'!$I:$I,"МіГ-29",'Таблиця 1'!$L:$L,"Уражено")+COUNTIFS('Таблиця 1'!$B:$B,$A119,'Таблиця 1'!$I:$I,"Су-25",'Таблиця 1'!$L:$L,"Уражено")+COUNTIFS('Таблиця 1'!$B:$B,$A119,'Таблиця 1'!$I:$I,"Су-27",'Таблиця 1'!$L:$L,"Уражено"))</f>
        <v/>
      </c>
      <c r="S119">
        <f>IF($A119="","",COUNTIFS('Таблиця 1'!$B:$B,$A119,'Таблиця 1'!$I:$I,"Mirage",'Таблиця 1'!$L:$L,"НЕ уражено")+COUNTIFS('Таблиця 1'!$B:$B,$A119,'Таблиця 1'!$I:$I,"F-16",'Таблиця 1'!$L:$L,"НЕ уражено")+COUNTIFS('Таблиця 1'!$B:$B,$A119,'Таблиця 1'!$I:$I,"МіГ-29",'Таблиця 1'!$L:$L,"НЕ уражено")+COUNTIFS('Таблиця 1'!$B:$B,$A119,'Таблиця 1'!$I:$I,"Су-25",'Таблиця 1'!$L:$L,"НЕ уражено")+COUNTIFS('Таблиця 1'!$B:$B,$A119,'Таблиця 1'!$I:$I,"Су-27",'Таблиця 1'!$L:$L,"НЕ уражено"))</f>
        <v/>
      </c>
      <c r="T119">
        <f>IF($A119="","",COUNTIFS('Таблиця 1'!$B:$B,$A119,'Таблиця 1'!$I:$I,"Mirage",'Таблиця 1'!$L:$L,"Дорозвідується")+COUNTIFS('Таблиця 1'!$B:$B,$A119,'Таблиця 1'!$I:$I,"F-16",'Таблиця 1'!$L:$L,"Дорозвідується")+COUNTIFS('Таблиця 1'!$B:$B,$A119,'Таблиця 1'!$I:$I,"МіГ-29",'Таблиця 1'!$L:$L,"Дорозвідується")+COUNTIFS('Таблиця 1'!$B:$B,$A119,'Таблиця 1'!$I:$I,"Су-25",'Таблиця 1'!$L:$L,"Дорозвідується")+COUNTIFS('Таблиця 1'!$B:$B,$A119,'Таблиця 1'!$I:$I,"Су-27",'Таблиця 1'!$L:$L,"Дорозвідується"))</f>
        <v/>
      </c>
    </row>
    <row r="120">
      <c r="A120" s="273">
        <f>IF(A119="","",IF(A119+1&gt;MAX('Таблиця 1'!$B:$B),"",A119+1))</f>
        <v/>
      </c>
      <c r="B120">
        <f>IF($A120="","",COUNTIFS('Таблиця 1'!$B:$B,$A120,'Таблиця 1'!$I:$I,"Mirage")+COUNTIFS('Таблиця 1'!$B:$B,$A120,'Таблиця 1'!$I:$I,"F-16")+COUNTIFS('Таблиця 1'!$B:$B,$A120,'Таблиця 1'!$I:$I,"МіГ-29")+COUNTIFS('Таблиця 1'!$B:$B,$A120,'Таблиця 1'!$I:$I,"Су-25")+COUNTIFS('Таблиця 1'!$B:$B,$A120,'Таблиця 1'!$I:$I,"Су-27"))</f>
        <v/>
      </c>
      <c r="C120">
        <f>IF($A120="","",COUNTIFS('Таблиця 1'!$B:$B,$A120,'Таблиця 1'!$I:$I,"Mirage"))</f>
        <v/>
      </c>
      <c r="D120">
        <f>IF($A120="","",COUNTIFS('Таблиця 1'!$B:$B,$A120,'Таблиця 1'!$I:$I,"F-16"))</f>
        <v/>
      </c>
      <c r="E120">
        <f>IF($A120="","",COUNTIFS('Таблиця 1'!$B:$B,$A120,'Таблиця 1'!$I:$I,"МіГ-29"))</f>
        <v/>
      </c>
      <c r="F120">
        <f>IF($A120="","",COUNTIFS('Таблиця 1'!$B:$B,$A120,'Таблиця 1'!$I:$I,"Су-25"))</f>
        <v/>
      </c>
      <c r="G120">
        <f>IF($A120="","",COUNTIFS('Таблиця 1'!$B:$B,$A120,'Таблиця 1'!$I:$I,"Су-27"))</f>
        <v/>
      </c>
      <c r="H120">
        <f>IF($A120="","",SUMIFS('Таблиця 1'!$K:$K,'Таблиця 1'!$B:$B,$A120,'Таблиця 1'!$I:$I,"Mirage",'Таблиця 1'!$J:$J,"AGM-88")+SUMIFS('Таблиця 1'!$K:$K,'Таблиця 1'!$B:$B,$A120,'Таблиця 1'!$I:$I,"F-16",'Таблиця 1'!$J:$J,"AGM-88")+SUMIFS('Таблиця 1'!$K:$K,'Таблиця 1'!$B:$B,$A120,'Таблиця 1'!$I:$I,"МіГ-29",'Таблиця 1'!$J:$J,"AGM-88")+SUMIFS('Таблиця 1'!$K:$K,'Таблиця 1'!$B:$B,$A120,'Таблиця 1'!$I:$I,"Су-25",'Таблиця 1'!$J:$J,"AGM-88")+SUMIFS('Таблиця 1'!$K:$K,'Таблиця 1'!$B:$B,$A120,'Таблиця 1'!$I:$I,"Су-27",'Таблиця 1'!$J:$J,"AGM-88"))</f>
        <v/>
      </c>
      <c r="I120">
        <f>IF($A120="","",SUMIFS('Таблиця 1'!$K:$K,'Таблиця 1'!$B:$B,$A120,'Таблиця 1'!$I:$I,"Mirage",'Таблиця 1'!$J:$J,"AASM-250")+SUMIFS('Таблиця 1'!$K:$K,'Таблиця 1'!$B:$B,$A120,'Таблиця 1'!$I:$I,"F-16",'Таблиця 1'!$J:$J,"AASM-250")+SUMIFS('Таблиця 1'!$K:$K,'Таблиця 1'!$B:$B,$A120,'Таблиця 1'!$I:$I,"МіГ-29",'Таблиця 1'!$J:$J,"AASM-250")+SUMIFS('Таблиця 1'!$K:$K,'Таблиця 1'!$B:$B,$A120,'Таблиця 1'!$I:$I,"Су-25",'Таблиця 1'!$J:$J,"AASM-250")+SUMIFS('Таблиця 1'!$K:$K,'Таблиця 1'!$B:$B,$A120,'Таблиця 1'!$I:$I,"Су-27",'Таблиця 1'!$J:$J,"AASM-250"))</f>
        <v/>
      </c>
      <c r="J120">
        <f>IF($A120="","",SUMIFS('Таблиця 1'!$K:$K,'Таблиця 1'!$B:$B,$A120,'Таблиця 1'!$I:$I,"Mirage",'Таблиця 1'!$J:$J,"GBU-39")+SUMIFS('Таблиця 1'!$K:$K,'Таблиця 1'!$B:$B,$A120,'Таблиця 1'!$I:$I,"F-16",'Таблиця 1'!$J:$J,"GBU-39")+SUMIFS('Таблиця 1'!$K:$K,'Таблиця 1'!$B:$B,$A120,'Таблиця 1'!$I:$I,"МіГ-29",'Таблиця 1'!$J:$J,"GBU-39")+SUMIFS('Таблиця 1'!$K:$K,'Таблиця 1'!$B:$B,$A120,'Таблиця 1'!$I:$I,"Су-25",'Таблиця 1'!$J:$J,"GBU-39")+SUMIFS('Таблиця 1'!$K:$K,'Таблиця 1'!$B:$B,$A120,'Таблиця 1'!$I:$I,"Су-27",'Таблиця 1'!$J:$J,"GBU-39"))</f>
        <v/>
      </c>
      <c r="K120">
        <f>IF($A120="","",SUMIFS('Таблиця 1'!$K:$K,'Таблиця 1'!$B:$B,$A120,'Таблиця 1'!$I:$I,"Mirage",'Таблиця 1'!$J:$J,"BLU-140")+SUMIFS('Таблиця 1'!$K:$K,'Таблиця 1'!$B:$B,$A120,'Таблиця 1'!$I:$I,"F-16",'Таблиця 1'!$J:$J,"BLU-140")+SUMIFS('Таблиця 1'!$K:$K,'Таблиця 1'!$B:$B,$A120,'Таблиця 1'!$I:$I,"МіГ-29",'Таблиця 1'!$J:$J,"BLU-140")+SUMIFS('Таблиця 1'!$K:$K,'Таблиця 1'!$B:$B,$A120,'Таблиця 1'!$I:$I,"Су-25",'Таблиця 1'!$J:$J,"BLU-140")+SUMIFS('Таблиця 1'!$K:$K,'Таблиця 1'!$B:$B,$A120,'Таблиця 1'!$I:$I,"Су-27",'Таблиця 1'!$J:$J,"BLU-140"))</f>
        <v/>
      </c>
      <c r="L120">
        <f>IF($A120="","",SUMIFS('Таблиця 1'!$K:$K,'Таблиця 1'!$B:$B,$A120,'Таблиця 1'!$I:$I,"Mirage",'Таблиця 1'!$J:$J,"GBU-65")+SUMIFS('Таблиця 1'!$K:$K,'Таблиця 1'!$B:$B,$A120,'Таблиця 1'!$I:$I,"F-16",'Таблиця 1'!$J:$J,"GBU-65")+SUMIFS('Таблиця 1'!$K:$K,'Таблиця 1'!$B:$B,$A120,'Таблиця 1'!$I:$I,"МіГ-29",'Таблиця 1'!$J:$J,"GBU-65")+SUMIFS('Таблиця 1'!$K:$K,'Таблиця 1'!$B:$B,$A120,'Таблиця 1'!$I:$I,"Су-25",'Таблиця 1'!$J:$J,"GBU-65")+SUMIFS('Таблиця 1'!$K:$K,'Таблиця 1'!$B:$B,$A120,'Таблиця 1'!$I:$I,"Су-27",'Таблиця 1'!$J:$J,"GBU-65"))</f>
        <v/>
      </c>
      <c r="M120">
        <f>IF($A120="","",SUMIFS('Таблиця 1'!$K:$K,'Таблиця 1'!$B:$B,$A120,'Таблиця 1'!$I:$I,"Mirage",'Таблиця 1'!$J:$J,"GBU-62")+SUMIFS('Таблиця 1'!$K:$K,'Таблиця 1'!$B:$B,$A120,'Таблиця 1'!$I:$I,"F-16",'Таблиця 1'!$J:$J,"GBU-62")+SUMIFS('Таблиця 1'!$K:$K,'Таблиця 1'!$B:$B,$A120,'Таблиця 1'!$I:$I,"МіГ-29",'Таблиця 1'!$J:$J,"GBU-62")+SUMIFS('Таблиця 1'!$K:$K,'Таблиця 1'!$B:$B,$A120,'Таблиця 1'!$I:$I,"Су-25",'Таблиця 1'!$J:$J,"GBU-62")+SUMIFS('Таблиця 1'!$K:$K,'Таблиця 1'!$B:$B,$A120,'Таблиця 1'!$I:$I,"Су-27",'Таблиця 1'!$J:$J,"GBU-62"))</f>
        <v/>
      </c>
      <c r="N120">
        <f>IF($A120="","",SUMIFS('Таблиця 1'!$K:$K,'Таблиця 1'!$B:$B,$A120,'Таблиця 1'!$I:$I,"Mirage",'Таблиця 1'!$J:$J,"GBU-64")+SUMIFS('Таблиця 1'!$K:$K,'Таблиця 1'!$B:$B,$A120,'Таблиця 1'!$I:$I,"F-16",'Таблиця 1'!$J:$J,"GBU-64")+SUMIFS('Таблиця 1'!$K:$K,'Таблиця 1'!$B:$B,$A120,'Таблиця 1'!$I:$I,"МіГ-29",'Таблиця 1'!$J:$J,"GBU-64")+SUMIFS('Таблиця 1'!$K:$K,'Таблиця 1'!$B:$B,$A120,'Таблиця 1'!$I:$I,"Су-25",'Таблиця 1'!$J:$J,"GBU-64")+SUMIFS('Таблиця 1'!$K:$K,'Таблиця 1'!$B:$B,$A120,'Таблиця 1'!$I:$I,"Су-27",'Таблиця 1'!$J:$J,"GBU-64"))</f>
        <v/>
      </c>
      <c r="O120">
        <f>IF($A120="","",SUMIFS('Таблиця 1'!$K:$K,'Таблиця 1'!$B:$B,$A120,'Таблиця 1'!$I:$I,"Mirage",'Таблиця 1'!$J:$J,"C-13")+SUMIFS('Таблиця 1'!$K:$K,'Таблиця 1'!$B:$B,$A120,'Таблиця 1'!$I:$I,"F-16",'Таблиця 1'!$J:$J,"C-13")+SUMIFS('Таблиця 1'!$K:$K,'Таблиця 1'!$B:$B,$A120,'Таблиця 1'!$I:$I,"МіГ-29",'Таблиця 1'!$J:$J,"C-13")+SUMIFS('Таблиця 1'!$K:$K,'Таблиця 1'!$B:$B,$A120,'Таблиця 1'!$I:$I,"Су-25",'Таблиця 1'!$J:$J,"C-13")+SUMIFS('Таблиця 1'!$K:$K,'Таблиця 1'!$B:$B,$A120,'Таблиця 1'!$I:$I,"Су-27",'Таблиця 1'!$J:$J,"C-13"))</f>
        <v/>
      </c>
      <c r="P120">
        <f>IF($A120="","",SUMIFS('Таблиця 1'!$K:$K,'Таблиця 1'!$B:$B,$A120,'Таблиця 1'!$I:$I,"Mirage",'Таблиця 1'!$J:$J,"MK-32")+SUMIFS('Таблиця 1'!$K:$K,'Таблиця 1'!$B:$B,$A120,'Таблиця 1'!$I:$I,"F-16",'Таблиця 1'!$J:$J,"MK-32")+SUMIFS('Таблиця 1'!$K:$K,'Таблиця 1'!$B:$B,$A120,'Таблиця 1'!$I:$I,"МіГ-29",'Таблиця 1'!$J:$J,"MK-32")+SUMIFS('Таблиця 1'!$K:$K,'Таблиця 1'!$B:$B,$A120,'Таблиця 1'!$I:$I,"Су-25",'Таблиця 1'!$J:$J,"MK-32")+SUMIFS('Таблиця 1'!$K:$K,'Таблиця 1'!$B:$B,$A120,'Таблиця 1'!$I:$I,"Су-27",'Таблиця 1'!$J:$J,"MK-32"))</f>
        <v/>
      </c>
      <c r="Q120">
        <f>IF($A120="","",SUMIFS('Таблиця 1'!$K:$K,'Таблиця 1'!$B:$B,$A120,'Таблиця 1'!$I:$I,"Mirage",'Таблиця 1'!$J:$J,"MK-24")+SUMIFS('Таблиця 1'!$K:$K,'Таблиця 1'!$B:$B,$A120,'Таблиця 1'!$I:$I,"F-16",'Таблиця 1'!$J:$J,"MK-24")+SUMIFS('Таблиця 1'!$K:$K,'Таблиця 1'!$B:$B,$A120,'Таблиця 1'!$I:$I,"МіГ-29",'Таблиця 1'!$J:$J,"MK-24")+SUMIFS('Таблиця 1'!$K:$K,'Таблиця 1'!$B:$B,$A120,'Таблиця 1'!$I:$I,"Су-25",'Таблиця 1'!$J:$J,"MK-24")+SUMIFS('Таблиця 1'!$K:$K,'Таблиця 1'!$B:$B,$A120,'Таблиця 1'!$I:$I,"Су-27",'Таблиця 1'!$J:$J,"MK-24"))</f>
        <v/>
      </c>
      <c r="R120">
        <f>IF($A120="","",COUNTIFS('Таблиця 1'!$B:$B,$A120,'Таблиця 1'!$I:$I,"Mirage",'Таблиця 1'!$L:$L,"Уражено")+COUNTIFS('Таблиця 1'!$B:$B,$A120,'Таблиця 1'!$I:$I,"F-16",'Таблиця 1'!$L:$L,"Уражено")+COUNTIFS('Таблиця 1'!$B:$B,$A120,'Таблиця 1'!$I:$I,"МіГ-29",'Таблиця 1'!$L:$L,"Уражено")+COUNTIFS('Таблиця 1'!$B:$B,$A120,'Таблиця 1'!$I:$I,"Су-25",'Таблиця 1'!$L:$L,"Уражено")+COUNTIFS('Таблиця 1'!$B:$B,$A120,'Таблиця 1'!$I:$I,"Су-27",'Таблиця 1'!$L:$L,"Уражено"))</f>
        <v/>
      </c>
      <c r="S120">
        <f>IF($A120="","",COUNTIFS('Таблиця 1'!$B:$B,$A120,'Таблиця 1'!$I:$I,"Mirage",'Таблиця 1'!$L:$L,"НЕ уражено")+COUNTIFS('Таблиця 1'!$B:$B,$A120,'Таблиця 1'!$I:$I,"F-16",'Таблиця 1'!$L:$L,"НЕ уражено")+COUNTIFS('Таблиця 1'!$B:$B,$A120,'Таблиця 1'!$I:$I,"МіГ-29",'Таблиця 1'!$L:$L,"НЕ уражено")+COUNTIFS('Таблиця 1'!$B:$B,$A120,'Таблиця 1'!$I:$I,"Су-25",'Таблиця 1'!$L:$L,"НЕ уражено")+COUNTIFS('Таблиця 1'!$B:$B,$A120,'Таблиця 1'!$I:$I,"Су-27",'Таблиця 1'!$L:$L,"НЕ уражено"))</f>
        <v/>
      </c>
      <c r="T120">
        <f>IF($A120="","",COUNTIFS('Таблиця 1'!$B:$B,$A120,'Таблиця 1'!$I:$I,"Mirage",'Таблиця 1'!$L:$L,"Дорозвідується")+COUNTIFS('Таблиця 1'!$B:$B,$A120,'Таблиця 1'!$I:$I,"F-16",'Таблиця 1'!$L:$L,"Дорозвідується")+COUNTIFS('Таблиця 1'!$B:$B,$A120,'Таблиця 1'!$I:$I,"МіГ-29",'Таблиця 1'!$L:$L,"Дорозвідується")+COUNTIFS('Таблиця 1'!$B:$B,$A120,'Таблиця 1'!$I:$I,"Су-25",'Таблиця 1'!$L:$L,"Дорозвідується")+COUNTIFS('Таблиця 1'!$B:$B,$A120,'Таблиця 1'!$I:$I,"Су-27",'Таблиця 1'!$L:$L,"Дорозвідується"))</f>
        <v/>
      </c>
    </row>
    <row r="121">
      <c r="A121" s="273">
        <f>IF(A120="","",IF(A120+1&gt;MAX('Таблиця 1'!$B:$B),"",A120+1))</f>
        <v/>
      </c>
      <c r="B121">
        <f>IF($A121="","",COUNTIFS('Таблиця 1'!$B:$B,$A121,'Таблиця 1'!$I:$I,"Mirage")+COUNTIFS('Таблиця 1'!$B:$B,$A121,'Таблиця 1'!$I:$I,"F-16")+COUNTIFS('Таблиця 1'!$B:$B,$A121,'Таблиця 1'!$I:$I,"МіГ-29")+COUNTIFS('Таблиця 1'!$B:$B,$A121,'Таблиця 1'!$I:$I,"Су-25")+COUNTIFS('Таблиця 1'!$B:$B,$A121,'Таблиця 1'!$I:$I,"Су-27"))</f>
        <v/>
      </c>
      <c r="C121">
        <f>IF($A121="","",COUNTIFS('Таблиця 1'!$B:$B,$A121,'Таблиця 1'!$I:$I,"Mirage"))</f>
        <v/>
      </c>
      <c r="D121">
        <f>IF($A121="","",COUNTIFS('Таблиця 1'!$B:$B,$A121,'Таблиця 1'!$I:$I,"F-16"))</f>
        <v/>
      </c>
      <c r="E121">
        <f>IF($A121="","",COUNTIFS('Таблиця 1'!$B:$B,$A121,'Таблиця 1'!$I:$I,"МіГ-29"))</f>
        <v/>
      </c>
      <c r="F121">
        <f>IF($A121="","",COUNTIFS('Таблиця 1'!$B:$B,$A121,'Таблиця 1'!$I:$I,"Су-25"))</f>
        <v/>
      </c>
      <c r="G121">
        <f>IF($A121="","",COUNTIFS('Таблиця 1'!$B:$B,$A121,'Таблиця 1'!$I:$I,"Су-27"))</f>
        <v/>
      </c>
      <c r="H121">
        <f>IF($A121="","",SUMIFS('Таблиця 1'!$K:$K,'Таблиця 1'!$B:$B,$A121,'Таблиця 1'!$I:$I,"Mirage",'Таблиця 1'!$J:$J,"AGM-88")+SUMIFS('Таблиця 1'!$K:$K,'Таблиця 1'!$B:$B,$A121,'Таблиця 1'!$I:$I,"F-16",'Таблиця 1'!$J:$J,"AGM-88")+SUMIFS('Таблиця 1'!$K:$K,'Таблиця 1'!$B:$B,$A121,'Таблиця 1'!$I:$I,"МіГ-29",'Таблиця 1'!$J:$J,"AGM-88")+SUMIFS('Таблиця 1'!$K:$K,'Таблиця 1'!$B:$B,$A121,'Таблиця 1'!$I:$I,"Су-25",'Таблиця 1'!$J:$J,"AGM-88")+SUMIFS('Таблиця 1'!$K:$K,'Таблиця 1'!$B:$B,$A121,'Таблиця 1'!$I:$I,"Су-27",'Таблиця 1'!$J:$J,"AGM-88"))</f>
        <v/>
      </c>
      <c r="I121">
        <f>IF($A121="","",SUMIFS('Таблиця 1'!$K:$K,'Таблиця 1'!$B:$B,$A121,'Таблиця 1'!$I:$I,"Mirage",'Таблиця 1'!$J:$J,"AASM-250")+SUMIFS('Таблиця 1'!$K:$K,'Таблиця 1'!$B:$B,$A121,'Таблиця 1'!$I:$I,"F-16",'Таблиця 1'!$J:$J,"AASM-250")+SUMIFS('Таблиця 1'!$K:$K,'Таблиця 1'!$B:$B,$A121,'Таблиця 1'!$I:$I,"МіГ-29",'Таблиця 1'!$J:$J,"AASM-250")+SUMIFS('Таблиця 1'!$K:$K,'Таблиця 1'!$B:$B,$A121,'Таблиця 1'!$I:$I,"Су-25",'Таблиця 1'!$J:$J,"AASM-250")+SUMIFS('Таблиця 1'!$K:$K,'Таблиця 1'!$B:$B,$A121,'Таблиця 1'!$I:$I,"Су-27",'Таблиця 1'!$J:$J,"AASM-250"))</f>
        <v/>
      </c>
      <c r="J121">
        <f>IF($A121="","",SUMIFS('Таблиця 1'!$K:$K,'Таблиця 1'!$B:$B,$A121,'Таблиця 1'!$I:$I,"Mirage",'Таблиця 1'!$J:$J,"GBU-39")+SUMIFS('Таблиця 1'!$K:$K,'Таблиця 1'!$B:$B,$A121,'Таблиця 1'!$I:$I,"F-16",'Таблиця 1'!$J:$J,"GBU-39")+SUMIFS('Таблиця 1'!$K:$K,'Таблиця 1'!$B:$B,$A121,'Таблиця 1'!$I:$I,"МіГ-29",'Таблиця 1'!$J:$J,"GBU-39")+SUMIFS('Таблиця 1'!$K:$K,'Таблиця 1'!$B:$B,$A121,'Таблиця 1'!$I:$I,"Су-25",'Таблиця 1'!$J:$J,"GBU-39")+SUMIFS('Таблиця 1'!$K:$K,'Таблиця 1'!$B:$B,$A121,'Таблиця 1'!$I:$I,"Су-27",'Таблиця 1'!$J:$J,"GBU-39"))</f>
        <v/>
      </c>
      <c r="K121">
        <f>IF($A121="","",SUMIFS('Таблиця 1'!$K:$K,'Таблиця 1'!$B:$B,$A121,'Таблиця 1'!$I:$I,"Mirage",'Таблиця 1'!$J:$J,"BLU-140")+SUMIFS('Таблиця 1'!$K:$K,'Таблиця 1'!$B:$B,$A121,'Таблиця 1'!$I:$I,"F-16",'Таблиця 1'!$J:$J,"BLU-140")+SUMIFS('Таблиця 1'!$K:$K,'Таблиця 1'!$B:$B,$A121,'Таблиця 1'!$I:$I,"МіГ-29",'Таблиця 1'!$J:$J,"BLU-140")+SUMIFS('Таблиця 1'!$K:$K,'Таблиця 1'!$B:$B,$A121,'Таблиця 1'!$I:$I,"Су-25",'Таблиця 1'!$J:$J,"BLU-140")+SUMIFS('Таблиця 1'!$K:$K,'Таблиця 1'!$B:$B,$A121,'Таблиця 1'!$I:$I,"Су-27",'Таблиця 1'!$J:$J,"BLU-140"))</f>
        <v/>
      </c>
      <c r="L121">
        <f>IF($A121="","",SUMIFS('Таблиця 1'!$K:$K,'Таблиця 1'!$B:$B,$A121,'Таблиця 1'!$I:$I,"Mirage",'Таблиця 1'!$J:$J,"GBU-65")+SUMIFS('Таблиця 1'!$K:$K,'Таблиця 1'!$B:$B,$A121,'Таблиця 1'!$I:$I,"F-16",'Таблиця 1'!$J:$J,"GBU-65")+SUMIFS('Таблиця 1'!$K:$K,'Таблиця 1'!$B:$B,$A121,'Таблиця 1'!$I:$I,"МіГ-29",'Таблиця 1'!$J:$J,"GBU-65")+SUMIFS('Таблиця 1'!$K:$K,'Таблиця 1'!$B:$B,$A121,'Таблиця 1'!$I:$I,"Су-25",'Таблиця 1'!$J:$J,"GBU-65")+SUMIFS('Таблиця 1'!$K:$K,'Таблиця 1'!$B:$B,$A121,'Таблиця 1'!$I:$I,"Су-27",'Таблиця 1'!$J:$J,"GBU-65"))</f>
        <v/>
      </c>
      <c r="M121">
        <f>IF($A121="","",SUMIFS('Таблиця 1'!$K:$K,'Таблиця 1'!$B:$B,$A121,'Таблиця 1'!$I:$I,"Mirage",'Таблиця 1'!$J:$J,"GBU-62")+SUMIFS('Таблиця 1'!$K:$K,'Таблиця 1'!$B:$B,$A121,'Таблиця 1'!$I:$I,"F-16",'Таблиця 1'!$J:$J,"GBU-62")+SUMIFS('Таблиця 1'!$K:$K,'Таблиця 1'!$B:$B,$A121,'Таблиця 1'!$I:$I,"МіГ-29",'Таблиця 1'!$J:$J,"GBU-62")+SUMIFS('Таблиця 1'!$K:$K,'Таблиця 1'!$B:$B,$A121,'Таблиця 1'!$I:$I,"Су-25",'Таблиця 1'!$J:$J,"GBU-62")+SUMIFS('Таблиця 1'!$K:$K,'Таблиця 1'!$B:$B,$A121,'Таблиця 1'!$I:$I,"Су-27",'Таблиця 1'!$J:$J,"GBU-62"))</f>
        <v/>
      </c>
      <c r="N121">
        <f>IF($A121="","",SUMIFS('Таблиця 1'!$K:$K,'Таблиця 1'!$B:$B,$A121,'Таблиця 1'!$I:$I,"Mirage",'Таблиця 1'!$J:$J,"GBU-64")+SUMIFS('Таблиця 1'!$K:$K,'Таблиця 1'!$B:$B,$A121,'Таблиця 1'!$I:$I,"F-16",'Таблиця 1'!$J:$J,"GBU-64")+SUMIFS('Таблиця 1'!$K:$K,'Таблиця 1'!$B:$B,$A121,'Таблиця 1'!$I:$I,"МіГ-29",'Таблиця 1'!$J:$J,"GBU-64")+SUMIFS('Таблиця 1'!$K:$K,'Таблиця 1'!$B:$B,$A121,'Таблиця 1'!$I:$I,"Су-25",'Таблиця 1'!$J:$J,"GBU-64")+SUMIFS('Таблиця 1'!$K:$K,'Таблиця 1'!$B:$B,$A121,'Таблиця 1'!$I:$I,"Су-27",'Таблиця 1'!$J:$J,"GBU-64"))</f>
        <v/>
      </c>
      <c r="O121">
        <f>IF($A121="","",SUMIFS('Таблиця 1'!$K:$K,'Таблиця 1'!$B:$B,$A121,'Таблиця 1'!$I:$I,"Mirage",'Таблиця 1'!$J:$J,"C-13")+SUMIFS('Таблиця 1'!$K:$K,'Таблиця 1'!$B:$B,$A121,'Таблиця 1'!$I:$I,"F-16",'Таблиця 1'!$J:$J,"C-13")+SUMIFS('Таблиця 1'!$K:$K,'Таблиця 1'!$B:$B,$A121,'Таблиця 1'!$I:$I,"МіГ-29",'Таблиця 1'!$J:$J,"C-13")+SUMIFS('Таблиця 1'!$K:$K,'Таблиця 1'!$B:$B,$A121,'Таблиця 1'!$I:$I,"Су-25",'Таблиця 1'!$J:$J,"C-13")+SUMIFS('Таблиця 1'!$K:$K,'Таблиця 1'!$B:$B,$A121,'Таблиця 1'!$I:$I,"Су-27",'Таблиця 1'!$J:$J,"C-13"))</f>
        <v/>
      </c>
      <c r="P121">
        <f>IF($A121="","",SUMIFS('Таблиця 1'!$K:$K,'Таблиця 1'!$B:$B,$A121,'Таблиця 1'!$I:$I,"Mirage",'Таблиця 1'!$J:$J,"MK-32")+SUMIFS('Таблиця 1'!$K:$K,'Таблиця 1'!$B:$B,$A121,'Таблиця 1'!$I:$I,"F-16",'Таблиця 1'!$J:$J,"MK-32")+SUMIFS('Таблиця 1'!$K:$K,'Таблиця 1'!$B:$B,$A121,'Таблиця 1'!$I:$I,"МіГ-29",'Таблиця 1'!$J:$J,"MK-32")+SUMIFS('Таблиця 1'!$K:$K,'Таблиця 1'!$B:$B,$A121,'Таблиця 1'!$I:$I,"Су-25",'Таблиця 1'!$J:$J,"MK-32")+SUMIFS('Таблиця 1'!$K:$K,'Таблиця 1'!$B:$B,$A121,'Таблиця 1'!$I:$I,"Су-27",'Таблиця 1'!$J:$J,"MK-32"))</f>
        <v/>
      </c>
      <c r="Q121">
        <f>IF($A121="","",SUMIFS('Таблиця 1'!$K:$K,'Таблиця 1'!$B:$B,$A121,'Таблиця 1'!$I:$I,"Mirage",'Таблиця 1'!$J:$J,"MK-24")+SUMIFS('Таблиця 1'!$K:$K,'Таблиця 1'!$B:$B,$A121,'Таблиця 1'!$I:$I,"F-16",'Таблиця 1'!$J:$J,"MK-24")+SUMIFS('Таблиця 1'!$K:$K,'Таблиця 1'!$B:$B,$A121,'Таблиця 1'!$I:$I,"МіГ-29",'Таблиця 1'!$J:$J,"MK-24")+SUMIFS('Таблиця 1'!$K:$K,'Таблиця 1'!$B:$B,$A121,'Таблиця 1'!$I:$I,"Су-25",'Таблиця 1'!$J:$J,"MK-24")+SUMIFS('Таблиця 1'!$K:$K,'Таблиця 1'!$B:$B,$A121,'Таблиця 1'!$I:$I,"Су-27",'Таблиця 1'!$J:$J,"MK-24"))</f>
        <v/>
      </c>
      <c r="R121">
        <f>IF($A121="","",COUNTIFS('Таблиця 1'!$B:$B,$A121,'Таблиця 1'!$I:$I,"Mirage",'Таблиця 1'!$L:$L,"Уражено")+COUNTIFS('Таблиця 1'!$B:$B,$A121,'Таблиця 1'!$I:$I,"F-16",'Таблиця 1'!$L:$L,"Уражено")+COUNTIFS('Таблиця 1'!$B:$B,$A121,'Таблиця 1'!$I:$I,"МіГ-29",'Таблиця 1'!$L:$L,"Уражено")+COUNTIFS('Таблиця 1'!$B:$B,$A121,'Таблиця 1'!$I:$I,"Су-25",'Таблиця 1'!$L:$L,"Уражено")+COUNTIFS('Таблиця 1'!$B:$B,$A121,'Таблиця 1'!$I:$I,"Су-27",'Таблиця 1'!$L:$L,"Уражено"))</f>
        <v/>
      </c>
      <c r="S121">
        <f>IF($A121="","",COUNTIFS('Таблиця 1'!$B:$B,$A121,'Таблиця 1'!$I:$I,"Mirage",'Таблиця 1'!$L:$L,"НЕ уражено")+COUNTIFS('Таблиця 1'!$B:$B,$A121,'Таблиця 1'!$I:$I,"F-16",'Таблиця 1'!$L:$L,"НЕ уражено")+COUNTIFS('Таблиця 1'!$B:$B,$A121,'Таблиця 1'!$I:$I,"МіГ-29",'Таблиця 1'!$L:$L,"НЕ уражено")+COUNTIFS('Таблиця 1'!$B:$B,$A121,'Таблиця 1'!$I:$I,"Су-25",'Таблиця 1'!$L:$L,"НЕ уражено")+COUNTIFS('Таблиця 1'!$B:$B,$A121,'Таблиця 1'!$I:$I,"Су-27",'Таблиця 1'!$L:$L,"НЕ уражено"))</f>
        <v/>
      </c>
      <c r="T121">
        <f>IF($A121="","",COUNTIFS('Таблиця 1'!$B:$B,$A121,'Таблиця 1'!$I:$I,"Mirage",'Таблиця 1'!$L:$L,"Дорозвідується")+COUNTIFS('Таблиця 1'!$B:$B,$A121,'Таблиця 1'!$I:$I,"F-16",'Таблиця 1'!$L:$L,"Дорозвідується")+COUNTIFS('Таблиця 1'!$B:$B,$A121,'Таблиця 1'!$I:$I,"МіГ-29",'Таблиця 1'!$L:$L,"Дорозвідується")+COUNTIFS('Таблиця 1'!$B:$B,$A121,'Таблиця 1'!$I:$I,"Су-25",'Таблиця 1'!$L:$L,"Дорозвідується")+COUNTIFS('Таблиця 1'!$B:$B,$A121,'Таблиця 1'!$I:$I,"Су-27",'Таблиця 1'!$L:$L,"Дорозвідується"))</f>
        <v/>
      </c>
    </row>
    <row r="122">
      <c r="A122" s="273">
        <f>IF(A121="","",IF(A121+1&gt;MAX('Таблиця 1'!$B:$B),"",A121+1))</f>
        <v/>
      </c>
      <c r="B122">
        <f>IF($A122="","",COUNTIFS('Таблиця 1'!$B:$B,$A122,'Таблиця 1'!$I:$I,"Mirage")+COUNTIFS('Таблиця 1'!$B:$B,$A122,'Таблиця 1'!$I:$I,"F-16")+COUNTIFS('Таблиця 1'!$B:$B,$A122,'Таблиця 1'!$I:$I,"МіГ-29")+COUNTIFS('Таблиця 1'!$B:$B,$A122,'Таблиця 1'!$I:$I,"Су-25")+COUNTIFS('Таблиця 1'!$B:$B,$A122,'Таблиця 1'!$I:$I,"Су-27"))</f>
        <v/>
      </c>
      <c r="C122">
        <f>IF($A122="","",COUNTIFS('Таблиця 1'!$B:$B,$A122,'Таблиця 1'!$I:$I,"Mirage"))</f>
        <v/>
      </c>
      <c r="D122">
        <f>IF($A122="","",COUNTIFS('Таблиця 1'!$B:$B,$A122,'Таблиця 1'!$I:$I,"F-16"))</f>
        <v/>
      </c>
      <c r="E122">
        <f>IF($A122="","",COUNTIFS('Таблиця 1'!$B:$B,$A122,'Таблиця 1'!$I:$I,"МіГ-29"))</f>
        <v/>
      </c>
      <c r="F122">
        <f>IF($A122="","",COUNTIFS('Таблиця 1'!$B:$B,$A122,'Таблиця 1'!$I:$I,"Су-25"))</f>
        <v/>
      </c>
      <c r="G122">
        <f>IF($A122="","",COUNTIFS('Таблиця 1'!$B:$B,$A122,'Таблиця 1'!$I:$I,"Су-27"))</f>
        <v/>
      </c>
      <c r="H122">
        <f>IF($A122="","",SUMIFS('Таблиця 1'!$K:$K,'Таблиця 1'!$B:$B,$A122,'Таблиця 1'!$I:$I,"Mirage",'Таблиця 1'!$J:$J,"AGM-88")+SUMIFS('Таблиця 1'!$K:$K,'Таблиця 1'!$B:$B,$A122,'Таблиця 1'!$I:$I,"F-16",'Таблиця 1'!$J:$J,"AGM-88")+SUMIFS('Таблиця 1'!$K:$K,'Таблиця 1'!$B:$B,$A122,'Таблиця 1'!$I:$I,"МіГ-29",'Таблиця 1'!$J:$J,"AGM-88")+SUMIFS('Таблиця 1'!$K:$K,'Таблиця 1'!$B:$B,$A122,'Таблиця 1'!$I:$I,"Су-25",'Таблиця 1'!$J:$J,"AGM-88")+SUMIFS('Таблиця 1'!$K:$K,'Таблиця 1'!$B:$B,$A122,'Таблиця 1'!$I:$I,"Су-27",'Таблиця 1'!$J:$J,"AGM-88"))</f>
        <v/>
      </c>
      <c r="I122">
        <f>IF($A122="","",SUMIFS('Таблиця 1'!$K:$K,'Таблиця 1'!$B:$B,$A122,'Таблиця 1'!$I:$I,"Mirage",'Таблиця 1'!$J:$J,"AASM-250")+SUMIFS('Таблиця 1'!$K:$K,'Таблиця 1'!$B:$B,$A122,'Таблиця 1'!$I:$I,"F-16",'Таблиця 1'!$J:$J,"AASM-250")+SUMIFS('Таблиця 1'!$K:$K,'Таблиця 1'!$B:$B,$A122,'Таблиця 1'!$I:$I,"МіГ-29",'Таблиця 1'!$J:$J,"AASM-250")+SUMIFS('Таблиця 1'!$K:$K,'Таблиця 1'!$B:$B,$A122,'Таблиця 1'!$I:$I,"Су-25",'Таблиця 1'!$J:$J,"AASM-250")+SUMIFS('Таблиця 1'!$K:$K,'Таблиця 1'!$B:$B,$A122,'Таблиця 1'!$I:$I,"Су-27",'Таблиця 1'!$J:$J,"AASM-250"))</f>
        <v/>
      </c>
      <c r="J122">
        <f>IF($A122="","",SUMIFS('Таблиця 1'!$K:$K,'Таблиця 1'!$B:$B,$A122,'Таблиця 1'!$I:$I,"Mirage",'Таблиця 1'!$J:$J,"GBU-39")+SUMIFS('Таблиця 1'!$K:$K,'Таблиця 1'!$B:$B,$A122,'Таблиця 1'!$I:$I,"F-16",'Таблиця 1'!$J:$J,"GBU-39")+SUMIFS('Таблиця 1'!$K:$K,'Таблиця 1'!$B:$B,$A122,'Таблиця 1'!$I:$I,"МіГ-29",'Таблиця 1'!$J:$J,"GBU-39")+SUMIFS('Таблиця 1'!$K:$K,'Таблиця 1'!$B:$B,$A122,'Таблиця 1'!$I:$I,"Су-25",'Таблиця 1'!$J:$J,"GBU-39")+SUMIFS('Таблиця 1'!$K:$K,'Таблиця 1'!$B:$B,$A122,'Таблиця 1'!$I:$I,"Су-27",'Таблиця 1'!$J:$J,"GBU-39"))</f>
        <v/>
      </c>
      <c r="K122">
        <f>IF($A122="","",SUMIFS('Таблиця 1'!$K:$K,'Таблиця 1'!$B:$B,$A122,'Таблиця 1'!$I:$I,"Mirage",'Таблиця 1'!$J:$J,"BLU-140")+SUMIFS('Таблиця 1'!$K:$K,'Таблиця 1'!$B:$B,$A122,'Таблиця 1'!$I:$I,"F-16",'Таблиця 1'!$J:$J,"BLU-140")+SUMIFS('Таблиця 1'!$K:$K,'Таблиця 1'!$B:$B,$A122,'Таблиця 1'!$I:$I,"МіГ-29",'Таблиця 1'!$J:$J,"BLU-140")+SUMIFS('Таблиця 1'!$K:$K,'Таблиця 1'!$B:$B,$A122,'Таблиця 1'!$I:$I,"Су-25",'Таблиця 1'!$J:$J,"BLU-140")+SUMIFS('Таблиця 1'!$K:$K,'Таблиця 1'!$B:$B,$A122,'Таблиця 1'!$I:$I,"Су-27",'Таблиця 1'!$J:$J,"BLU-140"))</f>
        <v/>
      </c>
      <c r="L122">
        <f>IF($A122="","",SUMIFS('Таблиця 1'!$K:$K,'Таблиця 1'!$B:$B,$A122,'Таблиця 1'!$I:$I,"Mirage",'Таблиця 1'!$J:$J,"GBU-65")+SUMIFS('Таблиця 1'!$K:$K,'Таблиця 1'!$B:$B,$A122,'Таблиця 1'!$I:$I,"F-16",'Таблиця 1'!$J:$J,"GBU-65")+SUMIFS('Таблиця 1'!$K:$K,'Таблиця 1'!$B:$B,$A122,'Таблиця 1'!$I:$I,"МіГ-29",'Таблиця 1'!$J:$J,"GBU-65")+SUMIFS('Таблиця 1'!$K:$K,'Таблиця 1'!$B:$B,$A122,'Таблиця 1'!$I:$I,"Су-25",'Таблиця 1'!$J:$J,"GBU-65")+SUMIFS('Таблиця 1'!$K:$K,'Таблиця 1'!$B:$B,$A122,'Таблиця 1'!$I:$I,"Су-27",'Таблиця 1'!$J:$J,"GBU-65"))</f>
        <v/>
      </c>
      <c r="M122">
        <f>IF($A122="","",SUMIFS('Таблиця 1'!$K:$K,'Таблиця 1'!$B:$B,$A122,'Таблиця 1'!$I:$I,"Mirage",'Таблиця 1'!$J:$J,"GBU-62")+SUMIFS('Таблиця 1'!$K:$K,'Таблиця 1'!$B:$B,$A122,'Таблиця 1'!$I:$I,"F-16",'Таблиця 1'!$J:$J,"GBU-62")+SUMIFS('Таблиця 1'!$K:$K,'Таблиця 1'!$B:$B,$A122,'Таблиця 1'!$I:$I,"МіГ-29",'Таблиця 1'!$J:$J,"GBU-62")+SUMIFS('Таблиця 1'!$K:$K,'Таблиця 1'!$B:$B,$A122,'Таблиця 1'!$I:$I,"Су-25",'Таблиця 1'!$J:$J,"GBU-62")+SUMIFS('Таблиця 1'!$K:$K,'Таблиця 1'!$B:$B,$A122,'Таблиця 1'!$I:$I,"Су-27",'Таблиця 1'!$J:$J,"GBU-62"))</f>
        <v/>
      </c>
      <c r="N122">
        <f>IF($A122="","",SUMIFS('Таблиця 1'!$K:$K,'Таблиця 1'!$B:$B,$A122,'Таблиця 1'!$I:$I,"Mirage",'Таблиця 1'!$J:$J,"GBU-64")+SUMIFS('Таблиця 1'!$K:$K,'Таблиця 1'!$B:$B,$A122,'Таблиця 1'!$I:$I,"F-16",'Таблиця 1'!$J:$J,"GBU-64")+SUMIFS('Таблиця 1'!$K:$K,'Таблиця 1'!$B:$B,$A122,'Таблиця 1'!$I:$I,"МіГ-29",'Таблиця 1'!$J:$J,"GBU-64")+SUMIFS('Таблиця 1'!$K:$K,'Таблиця 1'!$B:$B,$A122,'Таблиця 1'!$I:$I,"Су-25",'Таблиця 1'!$J:$J,"GBU-64")+SUMIFS('Таблиця 1'!$K:$K,'Таблиця 1'!$B:$B,$A122,'Таблиця 1'!$I:$I,"Су-27",'Таблиця 1'!$J:$J,"GBU-64"))</f>
        <v/>
      </c>
      <c r="O122">
        <f>IF($A122="","",SUMIFS('Таблиця 1'!$K:$K,'Таблиця 1'!$B:$B,$A122,'Таблиця 1'!$I:$I,"Mirage",'Таблиця 1'!$J:$J,"C-13")+SUMIFS('Таблиця 1'!$K:$K,'Таблиця 1'!$B:$B,$A122,'Таблиця 1'!$I:$I,"F-16",'Таблиця 1'!$J:$J,"C-13")+SUMIFS('Таблиця 1'!$K:$K,'Таблиця 1'!$B:$B,$A122,'Таблиця 1'!$I:$I,"МіГ-29",'Таблиця 1'!$J:$J,"C-13")+SUMIFS('Таблиця 1'!$K:$K,'Таблиця 1'!$B:$B,$A122,'Таблиця 1'!$I:$I,"Су-25",'Таблиця 1'!$J:$J,"C-13")+SUMIFS('Таблиця 1'!$K:$K,'Таблиця 1'!$B:$B,$A122,'Таблиця 1'!$I:$I,"Су-27",'Таблиця 1'!$J:$J,"C-13"))</f>
        <v/>
      </c>
      <c r="P122">
        <f>IF($A122="","",SUMIFS('Таблиця 1'!$K:$K,'Таблиця 1'!$B:$B,$A122,'Таблиця 1'!$I:$I,"Mirage",'Таблиця 1'!$J:$J,"MK-32")+SUMIFS('Таблиця 1'!$K:$K,'Таблиця 1'!$B:$B,$A122,'Таблиця 1'!$I:$I,"F-16",'Таблиця 1'!$J:$J,"MK-32")+SUMIFS('Таблиця 1'!$K:$K,'Таблиця 1'!$B:$B,$A122,'Таблиця 1'!$I:$I,"МіГ-29",'Таблиця 1'!$J:$J,"MK-32")+SUMIFS('Таблиця 1'!$K:$K,'Таблиця 1'!$B:$B,$A122,'Таблиця 1'!$I:$I,"Су-25",'Таблиця 1'!$J:$J,"MK-32")+SUMIFS('Таблиця 1'!$K:$K,'Таблиця 1'!$B:$B,$A122,'Таблиця 1'!$I:$I,"Су-27",'Таблиця 1'!$J:$J,"MK-32"))</f>
        <v/>
      </c>
      <c r="Q122">
        <f>IF($A122="","",SUMIFS('Таблиця 1'!$K:$K,'Таблиця 1'!$B:$B,$A122,'Таблиця 1'!$I:$I,"Mirage",'Таблиця 1'!$J:$J,"MK-24")+SUMIFS('Таблиця 1'!$K:$K,'Таблиця 1'!$B:$B,$A122,'Таблиця 1'!$I:$I,"F-16",'Таблиця 1'!$J:$J,"MK-24")+SUMIFS('Таблиця 1'!$K:$K,'Таблиця 1'!$B:$B,$A122,'Таблиця 1'!$I:$I,"МіГ-29",'Таблиця 1'!$J:$J,"MK-24")+SUMIFS('Таблиця 1'!$K:$K,'Таблиця 1'!$B:$B,$A122,'Таблиця 1'!$I:$I,"Су-25",'Таблиця 1'!$J:$J,"MK-24")+SUMIFS('Таблиця 1'!$K:$K,'Таблиця 1'!$B:$B,$A122,'Таблиця 1'!$I:$I,"Су-27",'Таблиця 1'!$J:$J,"MK-24"))</f>
        <v/>
      </c>
      <c r="R122">
        <f>IF($A122="","",COUNTIFS('Таблиця 1'!$B:$B,$A122,'Таблиця 1'!$I:$I,"Mirage",'Таблиця 1'!$L:$L,"Уражено")+COUNTIFS('Таблиця 1'!$B:$B,$A122,'Таблиця 1'!$I:$I,"F-16",'Таблиця 1'!$L:$L,"Уражено")+COUNTIFS('Таблиця 1'!$B:$B,$A122,'Таблиця 1'!$I:$I,"МіГ-29",'Таблиця 1'!$L:$L,"Уражено")+COUNTIFS('Таблиця 1'!$B:$B,$A122,'Таблиця 1'!$I:$I,"Су-25",'Таблиця 1'!$L:$L,"Уражено")+COUNTIFS('Таблиця 1'!$B:$B,$A122,'Таблиця 1'!$I:$I,"Су-27",'Таблиця 1'!$L:$L,"Уражено"))</f>
        <v/>
      </c>
      <c r="S122">
        <f>IF($A122="","",COUNTIFS('Таблиця 1'!$B:$B,$A122,'Таблиця 1'!$I:$I,"Mirage",'Таблиця 1'!$L:$L,"НЕ уражено")+COUNTIFS('Таблиця 1'!$B:$B,$A122,'Таблиця 1'!$I:$I,"F-16",'Таблиця 1'!$L:$L,"НЕ уражено")+COUNTIFS('Таблиця 1'!$B:$B,$A122,'Таблиця 1'!$I:$I,"МіГ-29",'Таблиця 1'!$L:$L,"НЕ уражено")+COUNTIFS('Таблиця 1'!$B:$B,$A122,'Таблиця 1'!$I:$I,"Су-25",'Таблиця 1'!$L:$L,"НЕ уражено")+COUNTIFS('Таблиця 1'!$B:$B,$A122,'Таблиця 1'!$I:$I,"Су-27",'Таблиця 1'!$L:$L,"НЕ уражено"))</f>
        <v/>
      </c>
      <c r="T122">
        <f>IF($A122="","",COUNTIFS('Таблиця 1'!$B:$B,$A122,'Таблиця 1'!$I:$I,"Mirage",'Таблиця 1'!$L:$L,"Дорозвідується")+COUNTIFS('Таблиця 1'!$B:$B,$A122,'Таблиця 1'!$I:$I,"F-16",'Таблиця 1'!$L:$L,"Дорозвідується")+COUNTIFS('Таблиця 1'!$B:$B,$A122,'Таблиця 1'!$I:$I,"МіГ-29",'Таблиця 1'!$L:$L,"Дорозвідується")+COUNTIFS('Таблиця 1'!$B:$B,$A122,'Таблиця 1'!$I:$I,"Су-25",'Таблиця 1'!$L:$L,"Дорозвідується")+COUNTIFS('Таблиця 1'!$B:$B,$A122,'Таблиця 1'!$I:$I,"Су-27",'Таблиця 1'!$L:$L,"Дорозвідується"))</f>
        <v/>
      </c>
    </row>
    <row r="123">
      <c r="A123" s="273">
        <f>IF(A122="","",IF(A122+1&gt;MAX('Таблиця 1'!$B:$B),"",A122+1))</f>
        <v/>
      </c>
      <c r="B123">
        <f>IF($A123="","",COUNTIFS('Таблиця 1'!$B:$B,$A123,'Таблиця 1'!$I:$I,"Mirage")+COUNTIFS('Таблиця 1'!$B:$B,$A123,'Таблиця 1'!$I:$I,"F-16")+COUNTIFS('Таблиця 1'!$B:$B,$A123,'Таблиця 1'!$I:$I,"МіГ-29")+COUNTIFS('Таблиця 1'!$B:$B,$A123,'Таблиця 1'!$I:$I,"Су-25")+COUNTIFS('Таблиця 1'!$B:$B,$A123,'Таблиця 1'!$I:$I,"Су-27"))</f>
        <v/>
      </c>
      <c r="C123">
        <f>IF($A123="","",COUNTIFS('Таблиця 1'!$B:$B,$A123,'Таблиця 1'!$I:$I,"Mirage"))</f>
        <v/>
      </c>
      <c r="D123">
        <f>IF($A123="","",COUNTIFS('Таблиця 1'!$B:$B,$A123,'Таблиця 1'!$I:$I,"F-16"))</f>
        <v/>
      </c>
      <c r="E123">
        <f>IF($A123="","",COUNTIFS('Таблиця 1'!$B:$B,$A123,'Таблиця 1'!$I:$I,"МіГ-29"))</f>
        <v/>
      </c>
      <c r="F123">
        <f>IF($A123="","",COUNTIFS('Таблиця 1'!$B:$B,$A123,'Таблиця 1'!$I:$I,"Су-25"))</f>
        <v/>
      </c>
      <c r="G123">
        <f>IF($A123="","",COUNTIFS('Таблиця 1'!$B:$B,$A123,'Таблиця 1'!$I:$I,"Су-27"))</f>
        <v/>
      </c>
      <c r="H123">
        <f>IF($A123="","",SUMIFS('Таблиця 1'!$K:$K,'Таблиця 1'!$B:$B,$A123,'Таблиця 1'!$I:$I,"Mirage",'Таблиця 1'!$J:$J,"AGM-88")+SUMIFS('Таблиця 1'!$K:$K,'Таблиця 1'!$B:$B,$A123,'Таблиця 1'!$I:$I,"F-16",'Таблиця 1'!$J:$J,"AGM-88")+SUMIFS('Таблиця 1'!$K:$K,'Таблиця 1'!$B:$B,$A123,'Таблиця 1'!$I:$I,"МіГ-29",'Таблиця 1'!$J:$J,"AGM-88")+SUMIFS('Таблиця 1'!$K:$K,'Таблиця 1'!$B:$B,$A123,'Таблиця 1'!$I:$I,"Су-25",'Таблиця 1'!$J:$J,"AGM-88")+SUMIFS('Таблиця 1'!$K:$K,'Таблиця 1'!$B:$B,$A123,'Таблиця 1'!$I:$I,"Су-27",'Таблиця 1'!$J:$J,"AGM-88"))</f>
        <v/>
      </c>
      <c r="I123">
        <f>IF($A123="","",SUMIFS('Таблиця 1'!$K:$K,'Таблиця 1'!$B:$B,$A123,'Таблиця 1'!$I:$I,"Mirage",'Таблиця 1'!$J:$J,"AASM-250")+SUMIFS('Таблиця 1'!$K:$K,'Таблиця 1'!$B:$B,$A123,'Таблиця 1'!$I:$I,"F-16",'Таблиця 1'!$J:$J,"AASM-250")+SUMIFS('Таблиця 1'!$K:$K,'Таблиця 1'!$B:$B,$A123,'Таблиця 1'!$I:$I,"МіГ-29",'Таблиця 1'!$J:$J,"AASM-250")+SUMIFS('Таблиця 1'!$K:$K,'Таблиця 1'!$B:$B,$A123,'Таблиця 1'!$I:$I,"Су-25",'Таблиця 1'!$J:$J,"AASM-250")+SUMIFS('Таблиця 1'!$K:$K,'Таблиця 1'!$B:$B,$A123,'Таблиця 1'!$I:$I,"Су-27",'Таблиця 1'!$J:$J,"AASM-250"))</f>
        <v/>
      </c>
      <c r="J123">
        <f>IF($A123="","",SUMIFS('Таблиця 1'!$K:$K,'Таблиця 1'!$B:$B,$A123,'Таблиця 1'!$I:$I,"Mirage",'Таблиця 1'!$J:$J,"GBU-39")+SUMIFS('Таблиця 1'!$K:$K,'Таблиця 1'!$B:$B,$A123,'Таблиця 1'!$I:$I,"F-16",'Таблиця 1'!$J:$J,"GBU-39")+SUMIFS('Таблиця 1'!$K:$K,'Таблиця 1'!$B:$B,$A123,'Таблиця 1'!$I:$I,"МіГ-29",'Таблиця 1'!$J:$J,"GBU-39")+SUMIFS('Таблиця 1'!$K:$K,'Таблиця 1'!$B:$B,$A123,'Таблиця 1'!$I:$I,"Су-25",'Таблиця 1'!$J:$J,"GBU-39")+SUMIFS('Таблиця 1'!$K:$K,'Таблиця 1'!$B:$B,$A123,'Таблиця 1'!$I:$I,"Су-27",'Таблиця 1'!$J:$J,"GBU-39"))</f>
        <v/>
      </c>
      <c r="K123">
        <f>IF($A123="","",SUMIFS('Таблиця 1'!$K:$K,'Таблиця 1'!$B:$B,$A123,'Таблиця 1'!$I:$I,"Mirage",'Таблиця 1'!$J:$J,"BLU-140")+SUMIFS('Таблиця 1'!$K:$K,'Таблиця 1'!$B:$B,$A123,'Таблиця 1'!$I:$I,"F-16",'Таблиця 1'!$J:$J,"BLU-140")+SUMIFS('Таблиця 1'!$K:$K,'Таблиця 1'!$B:$B,$A123,'Таблиця 1'!$I:$I,"МіГ-29",'Таблиця 1'!$J:$J,"BLU-140")+SUMIFS('Таблиця 1'!$K:$K,'Таблиця 1'!$B:$B,$A123,'Таблиця 1'!$I:$I,"Су-25",'Таблиця 1'!$J:$J,"BLU-140")+SUMIFS('Таблиця 1'!$K:$K,'Таблиця 1'!$B:$B,$A123,'Таблиця 1'!$I:$I,"Су-27",'Таблиця 1'!$J:$J,"BLU-140"))</f>
        <v/>
      </c>
      <c r="L123">
        <f>IF($A123="","",SUMIFS('Таблиця 1'!$K:$K,'Таблиця 1'!$B:$B,$A123,'Таблиця 1'!$I:$I,"Mirage",'Таблиця 1'!$J:$J,"GBU-65")+SUMIFS('Таблиця 1'!$K:$K,'Таблиця 1'!$B:$B,$A123,'Таблиця 1'!$I:$I,"F-16",'Таблиця 1'!$J:$J,"GBU-65")+SUMIFS('Таблиця 1'!$K:$K,'Таблиця 1'!$B:$B,$A123,'Таблиця 1'!$I:$I,"МіГ-29",'Таблиця 1'!$J:$J,"GBU-65")+SUMIFS('Таблиця 1'!$K:$K,'Таблиця 1'!$B:$B,$A123,'Таблиця 1'!$I:$I,"Су-25",'Таблиця 1'!$J:$J,"GBU-65")+SUMIFS('Таблиця 1'!$K:$K,'Таблиця 1'!$B:$B,$A123,'Таблиця 1'!$I:$I,"Су-27",'Таблиця 1'!$J:$J,"GBU-65"))</f>
        <v/>
      </c>
      <c r="M123">
        <f>IF($A123="","",SUMIFS('Таблиця 1'!$K:$K,'Таблиця 1'!$B:$B,$A123,'Таблиця 1'!$I:$I,"Mirage",'Таблиця 1'!$J:$J,"GBU-62")+SUMIFS('Таблиця 1'!$K:$K,'Таблиця 1'!$B:$B,$A123,'Таблиця 1'!$I:$I,"F-16",'Таблиця 1'!$J:$J,"GBU-62")+SUMIFS('Таблиця 1'!$K:$K,'Таблиця 1'!$B:$B,$A123,'Таблиця 1'!$I:$I,"МіГ-29",'Таблиця 1'!$J:$J,"GBU-62")+SUMIFS('Таблиця 1'!$K:$K,'Таблиця 1'!$B:$B,$A123,'Таблиця 1'!$I:$I,"Су-25",'Таблиця 1'!$J:$J,"GBU-62")+SUMIFS('Таблиця 1'!$K:$K,'Таблиця 1'!$B:$B,$A123,'Таблиця 1'!$I:$I,"Су-27",'Таблиця 1'!$J:$J,"GBU-62"))</f>
        <v/>
      </c>
      <c r="N123">
        <f>IF($A123="","",SUMIFS('Таблиця 1'!$K:$K,'Таблиця 1'!$B:$B,$A123,'Таблиця 1'!$I:$I,"Mirage",'Таблиця 1'!$J:$J,"GBU-64")+SUMIFS('Таблиця 1'!$K:$K,'Таблиця 1'!$B:$B,$A123,'Таблиця 1'!$I:$I,"F-16",'Таблиця 1'!$J:$J,"GBU-64")+SUMIFS('Таблиця 1'!$K:$K,'Таблиця 1'!$B:$B,$A123,'Таблиця 1'!$I:$I,"МіГ-29",'Таблиця 1'!$J:$J,"GBU-64")+SUMIFS('Таблиця 1'!$K:$K,'Таблиця 1'!$B:$B,$A123,'Таблиця 1'!$I:$I,"Су-25",'Таблиця 1'!$J:$J,"GBU-64")+SUMIFS('Таблиця 1'!$K:$K,'Таблиця 1'!$B:$B,$A123,'Таблиця 1'!$I:$I,"Су-27",'Таблиця 1'!$J:$J,"GBU-64"))</f>
        <v/>
      </c>
      <c r="O123">
        <f>IF($A123="","",SUMIFS('Таблиця 1'!$K:$K,'Таблиця 1'!$B:$B,$A123,'Таблиця 1'!$I:$I,"Mirage",'Таблиця 1'!$J:$J,"C-13")+SUMIFS('Таблиця 1'!$K:$K,'Таблиця 1'!$B:$B,$A123,'Таблиця 1'!$I:$I,"F-16",'Таблиця 1'!$J:$J,"C-13")+SUMIFS('Таблиця 1'!$K:$K,'Таблиця 1'!$B:$B,$A123,'Таблиця 1'!$I:$I,"МіГ-29",'Таблиця 1'!$J:$J,"C-13")+SUMIFS('Таблиця 1'!$K:$K,'Таблиця 1'!$B:$B,$A123,'Таблиця 1'!$I:$I,"Су-25",'Таблиця 1'!$J:$J,"C-13")+SUMIFS('Таблиця 1'!$K:$K,'Таблиця 1'!$B:$B,$A123,'Таблиця 1'!$I:$I,"Су-27",'Таблиця 1'!$J:$J,"C-13"))</f>
        <v/>
      </c>
      <c r="P123">
        <f>IF($A123="","",SUMIFS('Таблиця 1'!$K:$K,'Таблиця 1'!$B:$B,$A123,'Таблиця 1'!$I:$I,"Mirage",'Таблиця 1'!$J:$J,"MK-32")+SUMIFS('Таблиця 1'!$K:$K,'Таблиця 1'!$B:$B,$A123,'Таблиця 1'!$I:$I,"F-16",'Таблиця 1'!$J:$J,"MK-32")+SUMIFS('Таблиця 1'!$K:$K,'Таблиця 1'!$B:$B,$A123,'Таблиця 1'!$I:$I,"МіГ-29",'Таблиця 1'!$J:$J,"MK-32")+SUMIFS('Таблиця 1'!$K:$K,'Таблиця 1'!$B:$B,$A123,'Таблиця 1'!$I:$I,"Су-25",'Таблиця 1'!$J:$J,"MK-32")+SUMIFS('Таблиця 1'!$K:$K,'Таблиця 1'!$B:$B,$A123,'Таблиця 1'!$I:$I,"Су-27",'Таблиця 1'!$J:$J,"MK-32"))</f>
        <v/>
      </c>
      <c r="Q123">
        <f>IF($A123="","",SUMIFS('Таблиця 1'!$K:$K,'Таблиця 1'!$B:$B,$A123,'Таблиця 1'!$I:$I,"Mirage",'Таблиця 1'!$J:$J,"MK-24")+SUMIFS('Таблиця 1'!$K:$K,'Таблиця 1'!$B:$B,$A123,'Таблиця 1'!$I:$I,"F-16",'Таблиця 1'!$J:$J,"MK-24")+SUMIFS('Таблиця 1'!$K:$K,'Таблиця 1'!$B:$B,$A123,'Таблиця 1'!$I:$I,"МіГ-29",'Таблиця 1'!$J:$J,"MK-24")+SUMIFS('Таблиця 1'!$K:$K,'Таблиця 1'!$B:$B,$A123,'Таблиця 1'!$I:$I,"Су-25",'Таблиця 1'!$J:$J,"MK-24")+SUMIFS('Таблиця 1'!$K:$K,'Таблиця 1'!$B:$B,$A123,'Таблиця 1'!$I:$I,"Су-27",'Таблиця 1'!$J:$J,"MK-24"))</f>
        <v/>
      </c>
      <c r="R123">
        <f>IF($A123="","",COUNTIFS('Таблиця 1'!$B:$B,$A123,'Таблиця 1'!$I:$I,"Mirage",'Таблиця 1'!$L:$L,"Уражено")+COUNTIFS('Таблиця 1'!$B:$B,$A123,'Таблиця 1'!$I:$I,"F-16",'Таблиця 1'!$L:$L,"Уражено")+COUNTIFS('Таблиця 1'!$B:$B,$A123,'Таблиця 1'!$I:$I,"МіГ-29",'Таблиця 1'!$L:$L,"Уражено")+COUNTIFS('Таблиця 1'!$B:$B,$A123,'Таблиця 1'!$I:$I,"Су-25",'Таблиця 1'!$L:$L,"Уражено")+COUNTIFS('Таблиця 1'!$B:$B,$A123,'Таблиця 1'!$I:$I,"Су-27",'Таблиця 1'!$L:$L,"Уражено"))</f>
        <v/>
      </c>
      <c r="S123">
        <f>IF($A123="","",COUNTIFS('Таблиця 1'!$B:$B,$A123,'Таблиця 1'!$I:$I,"Mirage",'Таблиця 1'!$L:$L,"НЕ уражено")+COUNTIFS('Таблиця 1'!$B:$B,$A123,'Таблиця 1'!$I:$I,"F-16",'Таблиця 1'!$L:$L,"НЕ уражено")+COUNTIFS('Таблиця 1'!$B:$B,$A123,'Таблиця 1'!$I:$I,"МіГ-29",'Таблиця 1'!$L:$L,"НЕ уражено")+COUNTIFS('Таблиця 1'!$B:$B,$A123,'Таблиця 1'!$I:$I,"Су-25",'Таблиця 1'!$L:$L,"НЕ уражено")+COUNTIFS('Таблиця 1'!$B:$B,$A123,'Таблиця 1'!$I:$I,"Су-27",'Таблиця 1'!$L:$L,"НЕ уражено"))</f>
        <v/>
      </c>
      <c r="T123">
        <f>IF($A123="","",COUNTIFS('Таблиця 1'!$B:$B,$A123,'Таблиця 1'!$I:$I,"Mirage",'Таблиця 1'!$L:$L,"Дорозвідується")+COUNTIFS('Таблиця 1'!$B:$B,$A123,'Таблиця 1'!$I:$I,"F-16",'Таблиця 1'!$L:$L,"Дорозвідується")+COUNTIFS('Таблиця 1'!$B:$B,$A123,'Таблиця 1'!$I:$I,"МіГ-29",'Таблиця 1'!$L:$L,"Дорозвідується")+COUNTIFS('Таблиця 1'!$B:$B,$A123,'Таблиця 1'!$I:$I,"Су-25",'Таблиця 1'!$L:$L,"Дорозвідується")+COUNTIFS('Таблиця 1'!$B:$B,$A123,'Таблиця 1'!$I:$I,"Су-27",'Таблиця 1'!$L:$L,"Дорозвідується"))</f>
        <v/>
      </c>
    </row>
    <row r="124">
      <c r="A124" s="273">
        <f>IF(A123="","",IF(A123+1&gt;MAX('Таблиця 1'!$B:$B),"",A123+1))</f>
        <v/>
      </c>
      <c r="B124">
        <f>IF($A124="","",COUNTIFS('Таблиця 1'!$B:$B,$A124,'Таблиця 1'!$I:$I,"Mirage")+COUNTIFS('Таблиця 1'!$B:$B,$A124,'Таблиця 1'!$I:$I,"F-16")+COUNTIFS('Таблиця 1'!$B:$B,$A124,'Таблиця 1'!$I:$I,"МіГ-29")+COUNTIFS('Таблиця 1'!$B:$B,$A124,'Таблиця 1'!$I:$I,"Су-25")+COUNTIFS('Таблиця 1'!$B:$B,$A124,'Таблиця 1'!$I:$I,"Су-27"))</f>
        <v/>
      </c>
      <c r="C124">
        <f>IF($A124="","",COUNTIFS('Таблиця 1'!$B:$B,$A124,'Таблиця 1'!$I:$I,"Mirage"))</f>
        <v/>
      </c>
      <c r="D124">
        <f>IF($A124="","",COUNTIFS('Таблиця 1'!$B:$B,$A124,'Таблиця 1'!$I:$I,"F-16"))</f>
        <v/>
      </c>
      <c r="E124">
        <f>IF($A124="","",COUNTIFS('Таблиця 1'!$B:$B,$A124,'Таблиця 1'!$I:$I,"МіГ-29"))</f>
        <v/>
      </c>
      <c r="F124">
        <f>IF($A124="","",COUNTIFS('Таблиця 1'!$B:$B,$A124,'Таблиця 1'!$I:$I,"Су-25"))</f>
        <v/>
      </c>
      <c r="G124">
        <f>IF($A124="","",COUNTIFS('Таблиця 1'!$B:$B,$A124,'Таблиця 1'!$I:$I,"Су-27"))</f>
        <v/>
      </c>
      <c r="H124">
        <f>IF($A124="","",SUMIFS('Таблиця 1'!$K:$K,'Таблиця 1'!$B:$B,$A124,'Таблиця 1'!$I:$I,"Mirage",'Таблиця 1'!$J:$J,"AGM-88")+SUMIFS('Таблиця 1'!$K:$K,'Таблиця 1'!$B:$B,$A124,'Таблиця 1'!$I:$I,"F-16",'Таблиця 1'!$J:$J,"AGM-88")+SUMIFS('Таблиця 1'!$K:$K,'Таблиця 1'!$B:$B,$A124,'Таблиця 1'!$I:$I,"МіГ-29",'Таблиця 1'!$J:$J,"AGM-88")+SUMIFS('Таблиця 1'!$K:$K,'Таблиця 1'!$B:$B,$A124,'Таблиця 1'!$I:$I,"Су-25",'Таблиця 1'!$J:$J,"AGM-88")+SUMIFS('Таблиця 1'!$K:$K,'Таблиця 1'!$B:$B,$A124,'Таблиця 1'!$I:$I,"Су-27",'Таблиця 1'!$J:$J,"AGM-88"))</f>
        <v/>
      </c>
      <c r="I124">
        <f>IF($A124="","",SUMIFS('Таблиця 1'!$K:$K,'Таблиця 1'!$B:$B,$A124,'Таблиця 1'!$I:$I,"Mirage",'Таблиця 1'!$J:$J,"AASM-250")+SUMIFS('Таблиця 1'!$K:$K,'Таблиця 1'!$B:$B,$A124,'Таблиця 1'!$I:$I,"F-16",'Таблиця 1'!$J:$J,"AASM-250")+SUMIFS('Таблиця 1'!$K:$K,'Таблиця 1'!$B:$B,$A124,'Таблиця 1'!$I:$I,"МіГ-29",'Таблиця 1'!$J:$J,"AASM-250")+SUMIFS('Таблиця 1'!$K:$K,'Таблиця 1'!$B:$B,$A124,'Таблиця 1'!$I:$I,"Су-25",'Таблиця 1'!$J:$J,"AASM-250")+SUMIFS('Таблиця 1'!$K:$K,'Таблиця 1'!$B:$B,$A124,'Таблиця 1'!$I:$I,"Су-27",'Таблиця 1'!$J:$J,"AASM-250"))</f>
        <v/>
      </c>
      <c r="J124">
        <f>IF($A124="","",SUMIFS('Таблиця 1'!$K:$K,'Таблиця 1'!$B:$B,$A124,'Таблиця 1'!$I:$I,"Mirage",'Таблиця 1'!$J:$J,"GBU-39")+SUMIFS('Таблиця 1'!$K:$K,'Таблиця 1'!$B:$B,$A124,'Таблиця 1'!$I:$I,"F-16",'Таблиця 1'!$J:$J,"GBU-39")+SUMIFS('Таблиця 1'!$K:$K,'Таблиця 1'!$B:$B,$A124,'Таблиця 1'!$I:$I,"МіГ-29",'Таблиця 1'!$J:$J,"GBU-39")+SUMIFS('Таблиця 1'!$K:$K,'Таблиця 1'!$B:$B,$A124,'Таблиця 1'!$I:$I,"Су-25",'Таблиця 1'!$J:$J,"GBU-39")+SUMIFS('Таблиця 1'!$K:$K,'Таблиця 1'!$B:$B,$A124,'Таблиця 1'!$I:$I,"Су-27",'Таблиця 1'!$J:$J,"GBU-39"))</f>
        <v/>
      </c>
      <c r="K124">
        <f>IF($A124="","",SUMIFS('Таблиця 1'!$K:$K,'Таблиця 1'!$B:$B,$A124,'Таблиця 1'!$I:$I,"Mirage",'Таблиця 1'!$J:$J,"BLU-140")+SUMIFS('Таблиця 1'!$K:$K,'Таблиця 1'!$B:$B,$A124,'Таблиця 1'!$I:$I,"F-16",'Таблиця 1'!$J:$J,"BLU-140")+SUMIFS('Таблиця 1'!$K:$K,'Таблиця 1'!$B:$B,$A124,'Таблиця 1'!$I:$I,"МіГ-29",'Таблиця 1'!$J:$J,"BLU-140")+SUMIFS('Таблиця 1'!$K:$K,'Таблиця 1'!$B:$B,$A124,'Таблиця 1'!$I:$I,"Су-25",'Таблиця 1'!$J:$J,"BLU-140")+SUMIFS('Таблиця 1'!$K:$K,'Таблиця 1'!$B:$B,$A124,'Таблиця 1'!$I:$I,"Су-27",'Таблиця 1'!$J:$J,"BLU-140"))</f>
        <v/>
      </c>
      <c r="L124">
        <f>IF($A124="","",SUMIFS('Таблиця 1'!$K:$K,'Таблиця 1'!$B:$B,$A124,'Таблиця 1'!$I:$I,"Mirage",'Таблиця 1'!$J:$J,"GBU-65")+SUMIFS('Таблиця 1'!$K:$K,'Таблиця 1'!$B:$B,$A124,'Таблиця 1'!$I:$I,"F-16",'Таблиця 1'!$J:$J,"GBU-65")+SUMIFS('Таблиця 1'!$K:$K,'Таблиця 1'!$B:$B,$A124,'Таблиця 1'!$I:$I,"МіГ-29",'Таблиця 1'!$J:$J,"GBU-65")+SUMIFS('Таблиця 1'!$K:$K,'Таблиця 1'!$B:$B,$A124,'Таблиця 1'!$I:$I,"Су-25",'Таблиця 1'!$J:$J,"GBU-65")+SUMIFS('Таблиця 1'!$K:$K,'Таблиця 1'!$B:$B,$A124,'Таблиця 1'!$I:$I,"Су-27",'Таблиця 1'!$J:$J,"GBU-65"))</f>
        <v/>
      </c>
      <c r="M124">
        <f>IF($A124="","",SUMIFS('Таблиця 1'!$K:$K,'Таблиця 1'!$B:$B,$A124,'Таблиця 1'!$I:$I,"Mirage",'Таблиця 1'!$J:$J,"GBU-62")+SUMIFS('Таблиця 1'!$K:$K,'Таблиця 1'!$B:$B,$A124,'Таблиця 1'!$I:$I,"F-16",'Таблиця 1'!$J:$J,"GBU-62")+SUMIFS('Таблиця 1'!$K:$K,'Таблиця 1'!$B:$B,$A124,'Таблиця 1'!$I:$I,"МіГ-29",'Таблиця 1'!$J:$J,"GBU-62")+SUMIFS('Таблиця 1'!$K:$K,'Таблиця 1'!$B:$B,$A124,'Таблиця 1'!$I:$I,"Су-25",'Таблиця 1'!$J:$J,"GBU-62")+SUMIFS('Таблиця 1'!$K:$K,'Таблиця 1'!$B:$B,$A124,'Таблиця 1'!$I:$I,"Су-27",'Таблиця 1'!$J:$J,"GBU-62"))</f>
        <v/>
      </c>
      <c r="N124">
        <f>IF($A124="","",SUMIFS('Таблиця 1'!$K:$K,'Таблиця 1'!$B:$B,$A124,'Таблиця 1'!$I:$I,"Mirage",'Таблиця 1'!$J:$J,"GBU-64")+SUMIFS('Таблиця 1'!$K:$K,'Таблиця 1'!$B:$B,$A124,'Таблиця 1'!$I:$I,"F-16",'Таблиця 1'!$J:$J,"GBU-64")+SUMIFS('Таблиця 1'!$K:$K,'Таблиця 1'!$B:$B,$A124,'Таблиця 1'!$I:$I,"МіГ-29",'Таблиця 1'!$J:$J,"GBU-64")+SUMIFS('Таблиця 1'!$K:$K,'Таблиця 1'!$B:$B,$A124,'Таблиця 1'!$I:$I,"Су-25",'Таблиця 1'!$J:$J,"GBU-64")+SUMIFS('Таблиця 1'!$K:$K,'Таблиця 1'!$B:$B,$A124,'Таблиця 1'!$I:$I,"Су-27",'Таблиця 1'!$J:$J,"GBU-64"))</f>
        <v/>
      </c>
      <c r="O124">
        <f>IF($A124="","",SUMIFS('Таблиця 1'!$K:$K,'Таблиця 1'!$B:$B,$A124,'Таблиця 1'!$I:$I,"Mirage",'Таблиця 1'!$J:$J,"C-13")+SUMIFS('Таблиця 1'!$K:$K,'Таблиця 1'!$B:$B,$A124,'Таблиця 1'!$I:$I,"F-16",'Таблиця 1'!$J:$J,"C-13")+SUMIFS('Таблиця 1'!$K:$K,'Таблиця 1'!$B:$B,$A124,'Таблиця 1'!$I:$I,"МіГ-29",'Таблиця 1'!$J:$J,"C-13")+SUMIFS('Таблиця 1'!$K:$K,'Таблиця 1'!$B:$B,$A124,'Таблиця 1'!$I:$I,"Су-25",'Таблиця 1'!$J:$J,"C-13")+SUMIFS('Таблиця 1'!$K:$K,'Таблиця 1'!$B:$B,$A124,'Таблиця 1'!$I:$I,"Су-27",'Таблиця 1'!$J:$J,"C-13"))</f>
        <v/>
      </c>
      <c r="P124">
        <f>IF($A124="","",SUMIFS('Таблиця 1'!$K:$K,'Таблиця 1'!$B:$B,$A124,'Таблиця 1'!$I:$I,"Mirage",'Таблиця 1'!$J:$J,"MK-32")+SUMIFS('Таблиця 1'!$K:$K,'Таблиця 1'!$B:$B,$A124,'Таблиця 1'!$I:$I,"F-16",'Таблиця 1'!$J:$J,"MK-32")+SUMIFS('Таблиця 1'!$K:$K,'Таблиця 1'!$B:$B,$A124,'Таблиця 1'!$I:$I,"МіГ-29",'Таблиця 1'!$J:$J,"MK-32")+SUMIFS('Таблиця 1'!$K:$K,'Таблиця 1'!$B:$B,$A124,'Таблиця 1'!$I:$I,"Су-25",'Таблиця 1'!$J:$J,"MK-32")+SUMIFS('Таблиця 1'!$K:$K,'Таблиця 1'!$B:$B,$A124,'Таблиця 1'!$I:$I,"Су-27",'Таблиця 1'!$J:$J,"MK-32"))</f>
        <v/>
      </c>
      <c r="Q124">
        <f>IF($A124="","",SUMIFS('Таблиця 1'!$K:$K,'Таблиця 1'!$B:$B,$A124,'Таблиця 1'!$I:$I,"Mirage",'Таблиця 1'!$J:$J,"MK-24")+SUMIFS('Таблиця 1'!$K:$K,'Таблиця 1'!$B:$B,$A124,'Таблиця 1'!$I:$I,"F-16",'Таблиця 1'!$J:$J,"MK-24")+SUMIFS('Таблиця 1'!$K:$K,'Таблиця 1'!$B:$B,$A124,'Таблиця 1'!$I:$I,"МіГ-29",'Таблиця 1'!$J:$J,"MK-24")+SUMIFS('Таблиця 1'!$K:$K,'Таблиця 1'!$B:$B,$A124,'Таблиця 1'!$I:$I,"Су-25",'Таблиця 1'!$J:$J,"MK-24")+SUMIFS('Таблиця 1'!$K:$K,'Таблиця 1'!$B:$B,$A124,'Таблиця 1'!$I:$I,"Су-27",'Таблиця 1'!$J:$J,"MK-24"))</f>
        <v/>
      </c>
      <c r="R124">
        <f>IF($A124="","",COUNTIFS('Таблиця 1'!$B:$B,$A124,'Таблиця 1'!$I:$I,"Mirage",'Таблиця 1'!$L:$L,"Уражено")+COUNTIFS('Таблиця 1'!$B:$B,$A124,'Таблиця 1'!$I:$I,"F-16",'Таблиця 1'!$L:$L,"Уражено")+COUNTIFS('Таблиця 1'!$B:$B,$A124,'Таблиця 1'!$I:$I,"МіГ-29",'Таблиця 1'!$L:$L,"Уражено")+COUNTIFS('Таблиця 1'!$B:$B,$A124,'Таблиця 1'!$I:$I,"Су-25",'Таблиця 1'!$L:$L,"Уражено")+COUNTIFS('Таблиця 1'!$B:$B,$A124,'Таблиця 1'!$I:$I,"Су-27",'Таблиця 1'!$L:$L,"Уражено"))</f>
        <v/>
      </c>
      <c r="S124">
        <f>IF($A124="","",COUNTIFS('Таблиця 1'!$B:$B,$A124,'Таблиця 1'!$I:$I,"Mirage",'Таблиця 1'!$L:$L,"НЕ уражено")+COUNTIFS('Таблиця 1'!$B:$B,$A124,'Таблиця 1'!$I:$I,"F-16",'Таблиця 1'!$L:$L,"НЕ уражено")+COUNTIFS('Таблиця 1'!$B:$B,$A124,'Таблиця 1'!$I:$I,"МіГ-29",'Таблиця 1'!$L:$L,"НЕ уражено")+COUNTIFS('Таблиця 1'!$B:$B,$A124,'Таблиця 1'!$I:$I,"Су-25",'Таблиця 1'!$L:$L,"НЕ уражено")+COUNTIFS('Таблиця 1'!$B:$B,$A124,'Таблиця 1'!$I:$I,"Су-27",'Таблиця 1'!$L:$L,"НЕ уражено"))</f>
        <v/>
      </c>
      <c r="T124">
        <f>IF($A124="","",COUNTIFS('Таблиця 1'!$B:$B,$A124,'Таблиця 1'!$I:$I,"Mirage",'Таблиця 1'!$L:$L,"Дорозвідується")+COUNTIFS('Таблиця 1'!$B:$B,$A124,'Таблиця 1'!$I:$I,"F-16",'Таблиця 1'!$L:$L,"Дорозвідується")+COUNTIFS('Таблиця 1'!$B:$B,$A124,'Таблиця 1'!$I:$I,"МіГ-29",'Таблиця 1'!$L:$L,"Дорозвідується")+COUNTIFS('Таблиця 1'!$B:$B,$A124,'Таблиця 1'!$I:$I,"Су-25",'Таблиця 1'!$L:$L,"Дорозвідується")+COUNTIFS('Таблиця 1'!$B:$B,$A124,'Таблиця 1'!$I:$I,"Су-27",'Таблиця 1'!$L:$L,"Дорозвідується"))</f>
        <v/>
      </c>
    </row>
    <row r="125">
      <c r="A125" s="273">
        <f>IF(A124="","",IF(A124+1&gt;MAX('Таблиця 1'!$B:$B),"",A124+1))</f>
        <v/>
      </c>
      <c r="B125">
        <f>IF($A125="","",COUNTIFS('Таблиця 1'!$B:$B,$A125,'Таблиця 1'!$I:$I,"Mirage")+COUNTIFS('Таблиця 1'!$B:$B,$A125,'Таблиця 1'!$I:$I,"F-16")+COUNTIFS('Таблиця 1'!$B:$B,$A125,'Таблиця 1'!$I:$I,"МіГ-29")+COUNTIFS('Таблиця 1'!$B:$B,$A125,'Таблиця 1'!$I:$I,"Су-25")+COUNTIFS('Таблиця 1'!$B:$B,$A125,'Таблиця 1'!$I:$I,"Су-27"))</f>
        <v/>
      </c>
      <c r="C125">
        <f>IF($A125="","",COUNTIFS('Таблиця 1'!$B:$B,$A125,'Таблиця 1'!$I:$I,"Mirage"))</f>
        <v/>
      </c>
      <c r="D125">
        <f>IF($A125="","",COUNTIFS('Таблиця 1'!$B:$B,$A125,'Таблиця 1'!$I:$I,"F-16"))</f>
        <v/>
      </c>
      <c r="E125">
        <f>IF($A125="","",COUNTIFS('Таблиця 1'!$B:$B,$A125,'Таблиця 1'!$I:$I,"МіГ-29"))</f>
        <v/>
      </c>
      <c r="F125">
        <f>IF($A125="","",COUNTIFS('Таблиця 1'!$B:$B,$A125,'Таблиця 1'!$I:$I,"Су-25"))</f>
        <v/>
      </c>
      <c r="G125">
        <f>IF($A125="","",COUNTIFS('Таблиця 1'!$B:$B,$A125,'Таблиця 1'!$I:$I,"Су-27"))</f>
        <v/>
      </c>
      <c r="H125">
        <f>IF($A125="","",SUMIFS('Таблиця 1'!$K:$K,'Таблиця 1'!$B:$B,$A125,'Таблиця 1'!$I:$I,"Mirage",'Таблиця 1'!$J:$J,"AGM-88")+SUMIFS('Таблиця 1'!$K:$K,'Таблиця 1'!$B:$B,$A125,'Таблиця 1'!$I:$I,"F-16",'Таблиця 1'!$J:$J,"AGM-88")+SUMIFS('Таблиця 1'!$K:$K,'Таблиця 1'!$B:$B,$A125,'Таблиця 1'!$I:$I,"МіГ-29",'Таблиця 1'!$J:$J,"AGM-88")+SUMIFS('Таблиця 1'!$K:$K,'Таблиця 1'!$B:$B,$A125,'Таблиця 1'!$I:$I,"Су-25",'Таблиця 1'!$J:$J,"AGM-88")+SUMIFS('Таблиця 1'!$K:$K,'Таблиця 1'!$B:$B,$A125,'Таблиця 1'!$I:$I,"Су-27",'Таблиця 1'!$J:$J,"AGM-88"))</f>
        <v/>
      </c>
      <c r="I125">
        <f>IF($A125="","",SUMIFS('Таблиця 1'!$K:$K,'Таблиця 1'!$B:$B,$A125,'Таблиця 1'!$I:$I,"Mirage",'Таблиця 1'!$J:$J,"AASM-250")+SUMIFS('Таблиця 1'!$K:$K,'Таблиця 1'!$B:$B,$A125,'Таблиця 1'!$I:$I,"F-16",'Таблиця 1'!$J:$J,"AASM-250")+SUMIFS('Таблиця 1'!$K:$K,'Таблиця 1'!$B:$B,$A125,'Таблиця 1'!$I:$I,"МіГ-29",'Таблиця 1'!$J:$J,"AASM-250")+SUMIFS('Таблиця 1'!$K:$K,'Таблиця 1'!$B:$B,$A125,'Таблиця 1'!$I:$I,"Су-25",'Таблиця 1'!$J:$J,"AASM-250")+SUMIFS('Таблиця 1'!$K:$K,'Таблиця 1'!$B:$B,$A125,'Таблиця 1'!$I:$I,"Су-27",'Таблиця 1'!$J:$J,"AASM-250"))</f>
        <v/>
      </c>
      <c r="J125">
        <f>IF($A125="","",SUMIFS('Таблиця 1'!$K:$K,'Таблиця 1'!$B:$B,$A125,'Таблиця 1'!$I:$I,"Mirage",'Таблиця 1'!$J:$J,"GBU-39")+SUMIFS('Таблиця 1'!$K:$K,'Таблиця 1'!$B:$B,$A125,'Таблиця 1'!$I:$I,"F-16",'Таблиця 1'!$J:$J,"GBU-39")+SUMIFS('Таблиця 1'!$K:$K,'Таблиця 1'!$B:$B,$A125,'Таблиця 1'!$I:$I,"МіГ-29",'Таблиця 1'!$J:$J,"GBU-39")+SUMIFS('Таблиця 1'!$K:$K,'Таблиця 1'!$B:$B,$A125,'Таблиця 1'!$I:$I,"Су-25",'Таблиця 1'!$J:$J,"GBU-39")+SUMIFS('Таблиця 1'!$K:$K,'Таблиця 1'!$B:$B,$A125,'Таблиця 1'!$I:$I,"Су-27",'Таблиця 1'!$J:$J,"GBU-39"))</f>
        <v/>
      </c>
      <c r="K125">
        <f>IF($A125="","",SUMIFS('Таблиця 1'!$K:$K,'Таблиця 1'!$B:$B,$A125,'Таблиця 1'!$I:$I,"Mirage",'Таблиця 1'!$J:$J,"BLU-140")+SUMIFS('Таблиця 1'!$K:$K,'Таблиця 1'!$B:$B,$A125,'Таблиця 1'!$I:$I,"F-16",'Таблиця 1'!$J:$J,"BLU-140")+SUMIFS('Таблиця 1'!$K:$K,'Таблиця 1'!$B:$B,$A125,'Таблиця 1'!$I:$I,"МіГ-29",'Таблиця 1'!$J:$J,"BLU-140")+SUMIFS('Таблиця 1'!$K:$K,'Таблиця 1'!$B:$B,$A125,'Таблиця 1'!$I:$I,"Су-25",'Таблиця 1'!$J:$J,"BLU-140")+SUMIFS('Таблиця 1'!$K:$K,'Таблиця 1'!$B:$B,$A125,'Таблиця 1'!$I:$I,"Су-27",'Таблиця 1'!$J:$J,"BLU-140"))</f>
        <v/>
      </c>
      <c r="L125">
        <f>IF($A125="","",SUMIFS('Таблиця 1'!$K:$K,'Таблиця 1'!$B:$B,$A125,'Таблиця 1'!$I:$I,"Mirage",'Таблиця 1'!$J:$J,"GBU-65")+SUMIFS('Таблиця 1'!$K:$K,'Таблиця 1'!$B:$B,$A125,'Таблиця 1'!$I:$I,"F-16",'Таблиця 1'!$J:$J,"GBU-65")+SUMIFS('Таблиця 1'!$K:$K,'Таблиця 1'!$B:$B,$A125,'Таблиця 1'!$I:$I,"МіГ-29",'Таблиця 1'!$J:$J,"GBU-65")+SUMIFS('Таблиця 1'!$K:$K,'Таблиця 1'!$B:$B,$A125,'Таблиця 1'!$I:$I,"Су-25",'Таблиця 1'!$J:$J,"GBU-65")+SUMIFS('Таблиця 1'!$K:$K,'Таблиця 1'!$B:$B,$A125,'Таблиця 1'!$I:$I,"Су-27",'Таблиця 1'!$J:$J,"GBU-65"))</f>
        <v/>
      </c>
      <c r="M125">
        <f>IF($A125="","",SUMIFS('Таблиця 1'!$K:$K,'Таблиця 1'!$B:$B,$A125,'Таблиця 1'!$I:$I,"Mirage",'Таблиця 1'!$J:$J,"GBU-62")+SUMIFS('Таблиця 1'!$K:$K,'Таблиця 1'!$B:$B,$A125,'Таблиця 1'!$I:$I,"F-16",'Таблиця 1'!$J:$J,"GBU-62")+SUMIFS('Таблиця 1'!$K:$K,'Таблиця 1'!$B:$B,$A125,'Таблиця 1'!$I:$I,"МіГ-29",'Таблиця 1'!$J:$J,"GBU-62")+SUMIFS('Таблиця 1'!$K:$K,'Таблиця 1'!$B:$B,$A125,'Таблиця 1'!$I:$I,"Су-25",'Таблиця 1'!$J:$J,"GBU-62")+SUMIFS('Таблиця 1'!$K:$K,'Таблиця 1'!$B:$B,$A125,'Таблиця 1'!$I:$I,"Су-27",'Таблиця 1'!$J:$J,"GBU-62"))</f>
        <v/>
      </c>
      <c r="N125">
        <f>IF($A125="","",SUMIFS('Таблиця 1'!$K:$K,'Таблиця 1'!$B:$B,$A125,'Таблиця 1'!$I:$I,"Mirage",'Таблиця 1'!$J:$J,"GBU-64")+SUMIFS('Таблиця 1'!$K:$K,'Таблиця 1'!$B:$B,$A125,'Таблиця 1'!$I:$I,"F-16",'Таблиця 1'!$J:$J,"GBU-64")+SUMIFS('Таблиця 1'!$K:$K,'Таблиця 1'!$B:$B,$A125,'Таблиця 1'!$I:$I,"МіГ-29",'Таблиця 1'!$J:$J,"GBU-64")+SUMIFS('Таблиця 1'!$K:$K,'Таблиця 1'!$B:$B,$A125,'Таблиця 1'!$I:$I,"Су-25",'Таблиця 1'!$J:$J,"GBU-64")+SUMIFS('Таблиця 1'!$K:$K,'Таблиця 1'!$B:$B,$A125,'Таблиця 1'!$I:$I,"Су-27",'Таблиця 1'!$J:$J,"GBU-64"))</f>
        <v/>
      </c>
      <c r="O125">
        <f>IF($A125="","",SUMIFS('Таблиця 1'!$K:$K,'Таблиця 1'!$B:$B,$A125,'Таблиця 1'!$I:$I,"Mirage",'Таблиця 1'!$J:$J,"C-13")+SUMIFS('Таблиця 1'!$K:$K,'Таблиця 1'!$B:$B,$A125,'Таблиця 1'!$I:$I,"F-16",'Таблиця 1'!$J:$J,"C-13")+SUMIFS('Таблиця 1'!$K:$K,'Таблиця 1'!$B:$B,$A125,'Таблиця 1'!$I:$I,"МіГ-29",'Таблиця 1'!$J:$J,"C-13")+SUMIFS('Таблиця 1'!$K:$K,'Таблиця 1'!$B:$B,$A125,'Таблиця 1'!$I:$I,"Су-25",'Таблиця 1'!$J:$J,"C-13")+SUMIFS('Таблиця 1'!$K:$K,'Таблиця 1'!$B:$B,$A125,'Таблиця 1'!$I:$I,"Су-27",'Таблиця 1'!$J:$J,"C-13"))</f>
        <v/>
      </c>
      <c r="P125">
        <f>IF($A125="","",SUMIFS('Таблиця 1'!$K:$K,'Таблиця 1'!$B:$B,$A125,'Таблиця 1'!$I:$I,"Mirage",'Таблиця 1'!$J:$J,"MK-32")+SUMIFS('Таблиця 1'!$K:$K,'Таблиця 1'!$B:$B,$A125,'Таблиця 1'!$I:$I,"F-16",'Таблиця 1'!$J:$J,"MK-32")+SUMIFS('Таблиця 1'!$K:$K,'Таблиця 1'!$B:$B,$A125,'Таблиця 1'!$I:$I,"МіГ-29",'Таблиця 1'!$J:$J,"MK-32")+SUMIFS('Таблиця 1'!$K:$K,'Таблиця 1'!$B:$B,$A125,'Таблиця 1'!$I:$I,"Су-25",'Таблиця 1'!$J:$J,"MK-32")+SUMIFS('Таблиця 1'!$K:$K,'Таблиця 1'!$B:$B,$A125,'Таблиця 1'!$I:$I,"Су-27",'Таблиця 1'!$J:$J,"MK-32"))</f>
        <v/>
      </c>
      <c r="Q125">
        <f>IF($A125="","",SUMIFS('Таблиця 1'!$K:$K,'Таблиця 1'!$B:$B,$A125,'Таблиця 1'!$I:$I,"Mirage",'Таблиця 1'!$J:$J,"MK-24")+SUMIFS('Таблиця 1'!$K:$K,'Таблиця 1'!$B:$B,$A125,'Таблиця 1'!$I:$I,"F-16",'Таблиця 1'!$J:$J,"MK-24")+SUMIFS('Таблиця 1'!$K:$K,'Таблиця 1'!$B:$B,$A125,'Таблиця 1'!$I:$I,"МіГ-29",'Таблиця 1'!$J:$J,"MK-24")+SUMIFS('Таблиця 1'!$K:$K,'Таблиця 1'!$B:$B,$A125,'Таблиця 1'!$I:$I,"Су-25",'Таблиця 1'!$J:$J,"MK-24")+SUMIFS('Таблиця 1'!$K:$K,'Таблиця 1'!$B:$B,$A125,'Таблиця 1'!$I:$I,"Су-27",'Таблиця 1'!$J:$J,"MK-24"))</f>
        <v/>
      </c>
      <c r="R125">
        <f>IF($A125="","",COUNTIFS('Таблиця 1'!$B:$B,$A125,'Таблиця 1'!$I:$I,"Mirage",'Таблиця 1'!$L:$L,"Уражено")+COUNTIFS('Таблиця 1'!$B:$B,$A125,'Таблиця 1'!$I:$I,"F-16",'Таблиця 1'!$L:$L,"Уражено")+COUNTIFS('Таблиця 1'!$B:$B,$A125,'Таблиця 1'!$I:$I,"МіГ-29",'Таблиця 1'!$L:$L,"Уражено")+COUNTIFS('Таблиця 1'!$B:$B,$A125,'Таблиця 1'!$I:$I,"Су-25",'Таблиця 1'!$L:$L,"Уражено")+COUNTIFS('Таблиця 1'!$B:$B,$A125,'Таблиця 1'!$I:$I,"Су-27",'Таблиця 1'!$L:$L,"Уражено"))</f>
        <v/>
      </c>
      <c r="S125">
        <f>IF($A125="","",COUNTIFS('Таблиця 1'!$B:$B,$A125,'Таблиця 1'!$I:$I,"Mirage",'Таблиця 1'!$L:$L,"НЕ уражено")+COUNTIFS('Таблиця 1'!$B:$B,$A125,'Таблиця 1'!$I:$I,"F-16",'Таблиця 1'!$L:$L,"НЕ уражено")+COUNTIFS('Таблиця 1'!$B:$B,$A125,'Таблиця 1'!$I:$I,"МіГ-29",'Таблиця 1'!$L:$L,"НЕ уражено")+COUNTIFS('Таблиця 1'!$B:$B,$A125,'Таблиця 1'!$I:$I,"Су-25",'Таблиця 1'!$L:$L,"НЕ уражено")+COUNTIFS('Таблиця 1'!$B:$B,$A125,'Таблиця 1'!$I:$I,"Су-27",'Таблиця 1'!$L:$L,"НЕ уражено"))</f>
        <v/>
      </c>
      <c r="T125">
        <f>IF($A125="","",COUNTIFS('Таблиця 1'!$B:$B,$A125,'Таблиця 1'!$I:$I,"Mirage",'Таблиця 1'!$L:$L,"Дорозвідується")+COUNTIFS('Таблиця 1'!$B:$B,$A125,'Таблиця 1'!$I:$I,"F-16",'Таблиця 1'!$L:$L,"Дорозвідується")+COUNTIFS('Таблиця 1'!$B:$B,$A125,'Таблиця 1'!$I:$I,"МіГ-29",'Таблиця 1'!$L:$L,"Дорозвідується")+COUNTIFS('Таблиця 1'!$B:$B,$A125,'Таблиця 1'!$I:$I,"Су-25",'Таблиця 1'!$L:$L,"Дорозвідується")+COUNTIFS('Таблиця 1'!$B:$B,$A125,'Таблиця 1'!$I:$I,"Су-27",'Таблиця 1'!$L:$L,"Дорозвідується"))</f>
        <v/>
      </c>
    </row>
    <row r="126">
      <c r="A126" s="273">
        <f>IF(A125="","",IF(A125+1&gt;MAX('Таблиця 1'!$B:$B),"",A125+1))</f>
        <v/>
      </c>
      <c r="B126">
        <f>IF($A126="","",COUNTIFS('Таблиця 1'!$B:$B,$A126,'Таблиця 1'!$I:$I,"Mirage")+COUNTIFS('Таблиця 1'!$B:$B,$A126,'Таблиця 1'!$I:$I,"F-16")+COUNTIFS('Таблиця 1'!$B:$B,$A126,'Таблиця 1'!$I:$I,"МіГ-29")+COUNTIFS('Таблиця 1'!$B:$B,$A126,'Таблиця 1'!$I:$I,"Су-25")+COUNTIFS('Таблиця 1'!$B:$B,$A126,'Таблиця 1'!$I:$I,"Су-27"))</f>
        <v/>
      </c>
      <c r="C126">
        <f>IF($A126="","",COUNTIFS('Таблиця 1'!$B:$B,$A126,'Таблиця 1'!$I:$I,"Mirage"))</f>
        <v/>
      </c>
      <c r="D126">
        <f>IF($A126="","",COUNTIFS('Таблиця 1'!$B:$B,$A126,'Таблиця 1'!$I:$I,"F-16"))</f>
        <v/>
      </c>
      <c r="E126">
        <f>IF($A126="","",COUNTIFS('Таблиця 1'!$B:$B,$A126,'Таблиця 1'!$I:$I,"МіГ-29"))</f>
        <v/>
      </c>
      <c r="F126">
        <f>IF($A126="","",COUNTIFS('Таблиця 1'!$B:$B,$A126,'Таблиця 1'!$I:$I,"Су-25"))</f>
        <v/>
      </c>
      <c r="G126">
        <f>IF($A126="","",COUNTIFS('Таблиця 1'!$B:$B,$A126,'Таблиця 1'!$I:$I,"Су-27"))</f>
        <v/>
      </c>
      <c r="H126">
        <f>IF($A126="","",SUMIFS('Таблиця 1'!$K:$K,'Таблиця 1'!$B:$B,$A126,'Таблиця 1'!$I:$I,"Mirage",'Таблиця 1'!$J:$J,"AGM-88")+SUMIFS('Таблиця 1'!$K:$K,'Таблиця 1'!$B:$B,$A126,'Таблиця 1'!$I:$I,"F-16",'Таблиця 1'!$J:$J,"AGM-88")+SUMIFS('Таблиця 1'!$K:$K,'Таблиця 1'!$B:$B,$A126,'Таблиця 1'!$I:$I,"МіГ-29",'Таблиця 1'!$J:$J,"AGM-88")+SUMIFS('Таблиця 1'!$K:$K,'Таблиця 1'!$B:$B,$A126,'Таблиця 1'!$I:$I,"Су-25",'Таблиця 1'!$J:$J,"AGM-88")+SUMIFS('Таблиця 1'!$K:$K,'Таблиця 1'!$B:$B,$A126,'Таблиця 1'!$I:$I,"Су-27",'Таблиця 1'!$J:$J,"AGM-88"))</f>
        <v/>
      </c>
      <c r="I126">
        <f>IF($A126="","",SUMIFS('Таблиця 1'!$K:$K,'Таблиця 1'!$B:$B,$A126,'Таблиця 1'!$I:$I,"Mirage",'Таблиця 1'!$J:$J,"AASM-250")+SUMIFS('Таблиця 1'!$K:$K,'Таблиця 1'!$B:$B,$A126,'Таблиця 1'!$I:$I,"F-16",'Таблиця 1'!$J:$J,"AASM-250")+SUMIFS('Таблиця 1'!$K:$K,'Таблиця 1'!$B:$B,$A126,'Таблиця 1'!$I:$I,"МіГ-29",'Таблиця 1'!$J:$J,"AASM-250")+SUMIFS('Таблиця 1'!$K:$K,'Таблиця 1'!$B:$B,$A126,'Таблиця 1'!$I:$I,"Су-25",'Таблиця 1'!$J:$J,"AASM-250")+SUMIFS('Таблиця 1'!$K:$K,'Таблиця 1'!$B:$B,$A126,'Таблиця 1'!$I:$I,"Су-27",'Таблиця 1'!$J:$J,"AASM-250"))</f>
        <v/>
      </c>
      <c r="J126">
        <f>IF($A126="","",SUMIFS('Таблиця 1'!$K:$K,'Таблиця 1'!$B:$B,$A126,'Таблиця 1'!$I:$I,"Mirage",'Таблиця 1'!$J:$J,"GBU-39")+SUMIFS('Таблиця 1'!$K:$K,'Таблиця 1'!$B:$B,$A126,'Таблиця 1'!$I:$I,"F-16",'Таблиця 1'!$J:$J,"GBU-39")+SUMIFS('Таблиця 1'!$K:$K,'Таблиця 1'!$B:$B,$A126,'Таблиця 1'!$I:$I,"МіГ-29",'Таблиця 1'!$J:$J,"GBU-39")+SUMIFS('Таблиця 1'!$K:$K,'Таблиця 1'!$B:$B,$A126,'Таблиця 1'!$I:$I,"Су-25",'Таблиця 1'!$J:$J,"GBU-39")+SUMIFS('Таблиця 1'!$K:$K,'Таблиця 1'!$B:$B,$A126,'Таблиця 1'!$I:$I,"Су-27",'Таблиця 1'!$J:$J,"GBU-39"))</f>
        <v/>
      </c>
      <c r="K126">
        <f>IF($A126="","",SUMIFS('Таблиця 1'!$K:$K,'Таблиця 1'!$B:$B,$A126,'Таблиця 1'!$I:$I,"Mirage",'Таблиця 1'!$J:$J,"BLU-140")+SUMIFS('Таблиця 1'!$K:$K,'Таблиця 1'!$B:$B,$A126,'Таблиця 1'!$I:$I,"F-16",'Таблиця 1'!$J:$J,"BLU-140")+SUMIFS('Таблиця 1'!$K:$K,'Таблиця 1'!$B:$B,$A126,'Таблиця 1'!$I:$I,"МіГ-29",'Таблиця 1'!$J:$J,"BLU-140")+SUMIFS('Таблиця 1'!$K:$K,'Таблиця 1'!$B:$B,$A126,'Таблиця 1'!$I:$I,"Су-25",'Таблиця 1'!$J:$J,"BLU-140")+SUMIFS('Таблиця 1'!$K:$K,'Таблиця 1'!$B:$B,$A126,'Таблиця 1'!$I:$I,"Су-27",'Таблиця 1'!$J:$J,"BLU-140"))</f>
        <v/>
      </c>
      <c r="L126">
        <f>IF($A126="","",SUMIFS('Таблиця 1'!$K:$K,'Таблиця 1'!$B:$B,$A126,'Таблиця 1'!$I:$I,"Mirage",'Таблиця 1'!$J:$J,"GBU-65")+SUMIFS('Таблиця 1'!$K:$K,'Таблиця 1'!$B:$B,$A126,'Таблиця 1'!$I:$I,"F-16",'Таблиця 1'!$J:$J,"GBU-65")+SUMIFS('Таблиця 1'!$K:$K,'Таблиця 1'!$B:$B,$A126,'Таблиця 1'!$I:$I,"МіГ-29",'Таблиця 1'!$J:$J,"GBU-65")+SUMIFS('Таблиця 1'!$K:$K,'Таблиця 1'!$B:$B,$A126,'Таблиця 1'!$I:$I,"Су-25",'Таблиця 1'!$J:$J,"GBU-65")+SUMIFS('Таблиця 1'!$K:$K,'Таблиця 1'!$B:$B,$A126,'Таблиця 1'!$I:$I,"Су-27",'Таблиця 1'!$J:$J,"GBU-65"))</f>
        <v/>
      </c>
      <c r="M126">
        <f>IF($A126="","",SUMIFS('Таблиця 1'!$K:$K,'Таблиця 1'!$B:$B,$A126,'Таблиця 1'!$I:$I,"Mirage",'Таблиця 1'!$J:$J,"GBU-62")+SUMIFS('Таблиця 1'!$K:$K,'Таблиця 1'!$B:$B,$A126,'Таблиця 1'!$I:$I,"F-16",'Таблиця 1'!$J:$J,"GBU-62")+SUMIFS('Таблиця 1'!$K:$K,'Таблиця 1'!$B:$B,$A126,'Таблиця 1'!$I:$I,"МіГ-29",'Таблиця 1'!$J:$J,"GBU-62")+SUMIFS('Таблиця 1'!$K:$K,'Таблиця 1'!$B:$B,$A126,'Таблиця 1'!$I:$I,"Су-25",'Таблиця 1'!$J:$J,"GBU-62")+SUMIFS('Таблиця 1'!$K:$K,'Таблиця 1'!$B:$B,$A126,'Таблиця 1'!$I:$I,"Су-27",'Таблиця 1'!$J:$J,"GBU-62"))</f>
        <v/>
      </c>
      <c r="N126">
        <f>IF($A126="","",SUMIFS('Таблиця 1'!$K:$K,'Таблиця 1'!$B:$B,$A126,'Таблиця 1'!$I:$I,"Mirage",'Таблиця 1'!$J:$J,"GBU-64")+SUMIFS('Таблиця 1'!$K:$K,'Таблиця 1'!$B:$B,$A126,'Таблиця 1'!$I:$I,"F-16",'Таблиця 1'!$J:$J,"GBU-64")+SUMIFS('Таблиця 1'!$K:$K,'Таблиця 1'!$B:$B,$A126,'Таблиця 1'!$I:$I,"МіГ-29",'Таблиця 1'!$J:$J,"GBU-64")+SUMIFS('Таблиця 1'!$K:$K,'Таблиця 1'!$B:$B,$A126,'Таблиця 1'!$I:$I,"Су-25",'Таблиця 1'!$J:$J,"GBU-64")+SUMIFS('Таблиця 1'!$K:$K,'Таблиця 1'!$B:$B,$A126,'Таблиця 1'!$I:$I,"Су-27",'Таблиця 1'!$J:$J,"GBU-64"))</f>
        <v/>
      </c>
      <c r="O126">
        <f>IF($A126="","",SUMIFS('Таблиця 1'!$K:$K,'Таблиця 1'!$B:$B,$A126,'Таблиця 1'!$I:$I,"Mirage",'Таблиця 1'!$J:$J,"C-13")+SUMIFS('Таблиця 1'!$K:$K,'Таблиця 1'!$B:$B,$A126,'Таблиця 1'!$I:$I,"F-16",'Таблиця 1'!$J:$J,"C-13")+SUMIFS('Таблиця 1'!$K:$K,'Таблиця 1'!$B:$B,$A126,'Таблиця 1'!$I:$I,"МіГ-29",'Таблиця 1'!$J:$J,"C-13")+SUMIFS('Таблиця 1'!$K:$K,'Таблиця 1'!$B:$B,$A126,'Таблиця 1'!$I:$I,"Су-25",'Таблиця 1'!$J:$J,"C-13")+SUMIFS('Таблиця 1'!$K:$K,'Таблиця 1'!$B:$B,$A126,'Таблиця 1'!$I:$I,"Су-27",'Таблиця 1'!$J:$J,"C-13"))</f>
        <v/>
      </c>
      <c r="P126">
        <f>IF($A126="","",SUMIFS('Таблиця 1'!$K:$K,'Таблиця 1'!$B:$B,$A126,'Таблиця 1'!$I:$I,"Mirage",'Таблиця 1'!$J:$J,"MK-32")+SUMIFS('Таблиця 1'!$K:$K,'Таблиця 1'!$B:$B,$A126,'Таблиця 1'!$I:$I,"F-16",'Таблиця 1'!$J:$J,"MK-32")+SUMIFS('Таблиця 1'!$K:$K,'Таблиця 1'!$B:$B,$A126,'Таблиця 1'!$I:$I,"МіГ-29",'Таблиця 1'!$J:$J,"MK-32")+SUMIFS('Таблиця 1'!$K:$K,'Таблиця 1'!$B:$B,$A126,'Таблиця 1'!$I:$I,"Су-25",'Таблиця 1'!$J:$J,"MK-32")+SUMIFS('Таблиця 1'!$K:$K,'Таблиця 1'!$B:$B,$A126,'Таблиця 1'!$I:$I,"Су-27",'Таблиця 1'!$J:$J,"MK-32"))</f>
        <v/>
      </c>
      <c r="Q126">
        <f>IF($A126="","",SUMIFS('Таблиця 1'!$K:$K,'Таблиця 1'!$B:$B,$A126,'Таблиця 1'!$I:$I,"Mirage",'Таблиця 1'!$J:$J,"MK-24")+SUMIFS('Таблиця 1'!$K:$K,'Таблиця 1'!$B:$B,$A126,'Таблиця 1'!$I:$I,"F-16",'Таблиця 1'!$J:$J,"MK-24")+SUMIFS('Таблиця 1'!$K:$K,'Таблиця 1'!$B:$B,$A126,'Таблиця 1'!$I:$I,"МіГ-29",'Таблиця 1'!$J:$J,"MK-24")+SUMIFS('Таблиця 1'!$K:$K,'Таблиця 1'!$B:$B,$A126,'Таблиця 1'!$I:$I,"Су-25",'Таблиця 1'!$J:$J,"MK-24")+SUMIFS('Таблиця 1'!$K:$K,'Таблиця 1'!$B:$B,$A126,'Таблиця 1'!$I:$I,"Су-27",'Таблиця 1'!$J:$J,"MK-24"))</f>
        <v/>
      </c>
      <c r="R126">
        <f>IF($A126="","",COUNTIFS('Таблиця 1'!$B:$B,$A126,'Таблиця 1'!$I:$I,"Mirage",'Таблиця 1'!$L:$L,"Уражено")+COUNTIFS('Таблиця 1'!$B:$B,$A126,'Таблиця 1'!$I:$I,"F-16",'Таблиця 1'!$L:$L,"Уражено")+COUNTIFS('Таблиця 1'!$B:$B,$A126,'Таблиця 1'!$I:$I,"МіГ-29",'Таблиця 1'!$L:$L,"Уражено")+COUNTIFS('Таблиця 1'!$B:$B,$A126,'Таблиця 1'!$I:$I,"Су-25",'Таблиця 1'!$L:$L,"Уражено")+COUNTIFS('Таблиця 1'!$B:$B,$A126,'Таблиця 1'!$I:$I,"Су-27",'Таблиця 1'!$L:$L,"Уражено"))</f>
        <v/>
      </c>
      <c r="S126">
        <f>IF($A126="","",COUNTIFS('Таблиця 1'!$B:$B,$A126,'Таблиця 1'!$I:$I,"Mirage",'Таблиця 1'!$L:$L,"НЕ уражено")+COUNTIFS('Таблиця 1'!$B:$B,$A126,'Таблиця 1'!$I:$I,"F-16",'Таблиця 1'!$L:$L,"НЕ уражено")+COUNTIFS('Таблиця 1'!$B:$B,$A126,'Таблиця 1'!$I:$I,"МіГ-29",'Таблиця 1'!$L:$L,"НЕ уражено")+COUNTIFS('Таблиця 1'!$B:$B,$A126,'Таблиця 1'!$I:$I,"Су-25",'Таблиця 1'!$L:$L,"НЕ уражено")+COUNTIFS('Таблиця 1'!$B:$B,$A126,'Таблиця 1'!$I:$I,"Су-27",'Таблиця 1'!$L:$L,"НЕ уражено"))</f>
        <v/>
      </c>
      <c r="T126">
        <f>IF($A126="","",COUNTIFS('Таблиця 1'!$B:$B,$A126,'Таблиця 1'!$I:$I,"Mirage",'Таблиця 1'!$L:$L,"Дорозвідується")+COUNTIFS('Таблиця 1'!$B:$B,$A126,'Таблиця 1'!$I:$I,"F-16",'Таблиця 1'!$L:$L,"Дорозвідується")+COUNTIFS('Таблиця 1'!$B:$B,$A126,'Таблиця 1'!$I:$I,"МіГ-29",'Таблиця 1'!$L:$L,"Дорозвідується")+COUNTIFS('Таблиця 1'!$B:$B,$A126,'Таблиця 1'!$I:$I,"Су-25",'Таблиця 1'!$L:$L,"Дорозвідується")+COUNTIFS('Таблиця 1'!$B:$B,$A126,'Таблиця 1'!$I:$I,"Су-27",'Таблиця 1'!$L:$L,"Дорозвідується"))</f>
        <v/>
      </c>
    </row>
    <row r="127">
      <c r="A127" s="273">
        <f>IF(A126="","",IF(A126+1&gt;MAX('Таблиця 1'!$B:$B),"",A126+1))</f>
        <v/>
      </c>
      <c r="B127">
        <f>IF($A127="","",COUNTIFS('Таблиця 1'!$B:$B,$A127,'Таблиця 1'!$I:$I,"Mirage")+COUNTIFS('Таблиця 1'!$B:$B,$A127,'Таблиця 1'!$I:$I,"F-16")+COUNTIFS('Таблиця 1'!$B:$B,$A127,'Таблиця 1'!$I:$I,"МіГ-29")+COUNTIFS('Таблиця 1'!$B:$B,$A127,'Таблиця 1'!$I:$I,"Су-25")+COUNTIFS('Таблиця 1'!$B:$B,$A127,'Таблиця 1'!$I:$I,"Су-27"))</f>
        <v/>
      </c>
      <c r="C127">
        <f>IF($A127="","",COUNTIFS('Таблиця 1'!$B:$B,$A127,'Таблиця 1'!$I:$I,"Mirage"))</f>
        <v/>
      </c>
      <c r="D127">
        <f>IF($A127="","",COUNTIFS('Таблиця 1'!$B:$B,$A127,'Таблиця 1'!$I:$I,"F-16"))</f>
        <v/>
      </c>
      <c r="E127">
        <f>IF($A127="","",COUNTIFS('Таблиця 1'!$B:$B,$A127,'Таблиця 1'!$I:$I,"МіГ-29"))</f>
        <v/>
      </c>
      <c r="F127">
        <f>IF($A127="","",COUNTIFS('Таблиця 1'!$B:$B,$A127,'Таблиця 1'!$I:$I,"Су-25"))</f>
        <v/>
      </c>
      <c r="G127">
        <f>IF($A127="","",COUNTIFS('Таблиця 1'!$B:$B,$A127,'Таблиця 1'!$I:$I,"Су-27"))</f>
        <v/>
      </c>
      <c r="H127">
        <f>IF($A127="","",SUMIFS('Таблиця 1'!$K:$K,'Таблиця 1'!$B:$B,$A127,'Таблиця 1'!$I:$I,"Mirage",'Таблиця 1'!$J:$J,"AGM-88")+SUMIFS('Таблиця 1'!$K:$K,'Таблиця 1'!$B:$B,$A127,'Таблиця 1'!$I:$I,"F-16",'Таблиця 1'!$J:$J,"AGM-88")+SUMIFS('Таблиця 1'!$K:$K,'Таблиця 1'!$B:$B,$A127,'Таблиця 1'!$I:$I,"МіГ-29",'Таблиця 1'!$J:$J,"AGM-88")+SUMIFS('Таблиця 1'!$K:$K,'Таблиця 1'!$B:$B,$A127,'Таблиця 1'!$I:$I,"Су-25",'Таблиця 1'!$J:$J,"AGM-88")+SUMIFS('Таблиця 1'!$K:$K,'Таблиця 1'!$B:$B,$A127,'Таблиця 1'!$I:$I,"Су-27",'Таблиця 1'!$J:$J,"AGM-88"))</f>
        <v/>
      </c>
      <c r="I127">
        <f>IF($A127="","",SUMIFS('Таблиця 1'!$K:$K,'Таблиця 1'!$B:$B,$A127,'Таблиця 1'!$I:$I,"Mirage",'Таблиця 1'!$J:$J,"AASM-250")+SUMIFS('Таблиця 1'!$K:$K,'Таблиця 1'!$B:$B,$A127,'Таблиця 1'!$I:$I,"F-16",'Таблиця 1'!$J:$J,"AASM-250")+SUMIFS('Таблиця 1'!$K:$K,'Таблиця 1'!$B:$B,$A127,'Таблиця 1'!$I:$I,"МіГ-29",'Таблиця 1'!$J:$J,"AASM-250")+SUMIFS('Таблиця 1'!$K:$K,'Таблиця 1'!$B:$B,$A127,'Таблиця 1'!$I:$I,"Су-25",'Таблиця 1'!$J:$J,"AASM-250")+SUMIFS('Таблиця 1'!$K:$K,'Таблиця 1'!$B:$B,$A127,'Таблиця 1'!$I:$I,"Су-27",'Таблиця 1'!$J:$J,"AASM-250"))</f>
        <v/>
      </c>
      <c r="J127">
        <f>IF($A127="","",SUMIFS('Таблиця 1'!$K:$K,'Таблиця 1'!$B:$B,$A127,'Таблиця 1'!$I:$I,"Mirage",'Таблиця 1'!$J:$J,"GBU-39")+SUMIFS('Таблиця 1'!$K:$K,'Таблиця 1'!$B:$B,$A127,'Таблиця 1'!$I:$I,"F-16",'Таблиця 1'!$J:$J,"GBU-39")+SUMIFS('Таблиця 1'!$K:$K,'Таблиця 1'!$B:$B,$A127,'Таблиця 1'!$I:$I,"МіГ-29",'Таблиця 1'!$J:$J,"GBU-39")+SUMIFS('Таблиця 1'!$K:$K,'Таблиця 1'!$B:$B,$A127,'Таблиця 1'!$I:$I,"Су-25",'Таблиця 1'!$J:$J,"GBU-39")+SUMIFS('Таблиця 1'!$K:$K,'Таблиця 1'!$B:$B,$A127,'Таблиця 1'!$I:$I,"Су-27",'Таблиця 1'!$J:$J,"GBU-39"))</f>
        <v/>
      </c>
      <c r="K127">
        <f>IF($A127="","",SUMIFS('Таблиця 1'!$K:$K,'Таблиця 1'!$B:$B,$A127,'Таблиця 1'!$I:$I,"Mirage",'Таблиця 1'!$J:$J,"BLU-140")+SUMIFS('Таблиця 1'!$K:$K,'Таблиця 1'!$B:$B,$A127,'Таблиця 1'!$I:$I,"F-16",'Таблиця 1'!$J:$J,"BLU-140")+SUMIFS('Таблиця 1'!$K:$K,'Таблиця 1'!$B:$B,$A127,'Таблиця 1'!$I:$I,"МіГ-29",'Таблиця 1'!$J:$J,"BLU-140")+SUMIFS('Таблиця 1'!$K:$K,'Таблиця 1'!$B:$B,$A127,'Таблиця 1'!$I:$I,"Су-25",'Таблиця 1'!$J:$J,"BLU-140")+SUMIFS('Таблиця 1'!$K:$K,'Таблиця 1'!$B:$B,$A127,'Таблиця 1'!$I:$I,"Су-27",'Таблиця 1'!$J:$J,"BLU-140"))</f>
        <v/>
      </c>
      <c r="L127">
        <f>IF($A127="","",SUMIFS('Таблиця 1'!$K:$K,'Таблиця 1'!$B:$B,$A127,'Таблиця 1'!$I:$I,"Mirage",'Таблиця 1'!$J:$J,"GBU-65")+SUMIFS('Таблиця 1'!$K:$K,'Таблиця 1'!$B:$B,$A127,'Таблиця 1'!$I:$I,"F-16",'Таблиця 1'!$J:$J,"GBU-65")+SUMIFS('Таблиця 1'!$K:$K,'Таблиця 1'!$B:$B,$A127,'Таблиця 1'!$I:$I,"МіГ-29",'Таблиця 1'!$J:$J,"GBU-65")+SUMIFS('Таблиця 1'!$K:$K,'Таблиця 1'!$B:$B,$A127,'Таблиця 1'!$I:$I,"Су-25",'Таблиця 1'!$J:$J,"GBU-65")+SUMIFS('Таблиця 1'!$K:$K,'Таблиця 1'!$B:$B,$A127,'Таблиця 1'!$I:$I,"Су-27",'Таблиця 1'!$J:$J,"GBU-65"))</f>
        <v/>
      </c>
      <c r="M127">
        <f>IF($A127="","",SUMIFS('Таблиця 1'!$K:$K,'Таблиця 1'!$B:$B,$A127,'Таблиця 1'!$I:$I,"Mirage",'Таблиця 1'!$J:$J,"GBU-62")+SUMIFS('Таблиця 1'!$K:$K,'Таблиця 1'!$B:$B,$A127,'Таблиця 1'!$I:$I,"F-16",'Таблиця 1'!$J:$J,"GBU-62")+SUMIFS('Таблиця 1'!$K:$K,'Таблиця 1'!$B:$B,$A127,'Таблиця 1'!$I:$I,"МіГ-29",'Таблиця 1'!$J:$J,"GBU-62")+SUMIFS('Таблиця 1'!$K:$K,'Таблиця 1'!$B:$B,$A127,'Таблиця 1'!$I:$I,"Су-25",'Таблиця 1'!$J:$J,"GBU-62")+SUMIFS('Таблиця 1'!$K:$K,'Таблиця 1'!$B:$B,$A127,'Таблиця 1'!$I:$I,"Су-27",'Таблиця 1'!$J:$J,"GBU-62"))</f>
        <v/>
      </c>
      <c r="N127">
        <f>IF($A127="","",SUMIFS('Таблиця 1'!$K:$K,'Таблиця 1'!$B:$B,$A127,'Таблиця 1'!$I:$I,"Mirage",'Таблиця 1'!$J:$J,"GBU-64")+SUMIFS('Таблиця 1'!$K:$K,'Таблиця 1'!$B:$B,$A127,'Таблиця 1'!$I:$I,"F-16",'Таблиця 1'!$J:$J,"GBU-64")+SUMIFS('Таблиця 1'!$K:$K,'Таблиця 1'!$B:$B,$A127,'Таблиця 1'!$I:$I,"МіГ-29",'Таблиця 1'!$J:$J,"GBU-64")+SUMIFS('Таблиця 1'!$K:$K,'Таблиця 1'!$B:$B,$A127,'Таблиця 1'!$I:$I,"Су-25",'Таблиця 1'!$J:$J,"GBU-64")+SUMIFS('Таблиця 1'!$K:$K,'Таблиця 1'!$B:$B,$A127,'Таблиця 1'!$I:$I,"Су-27",'Таблиця 1'!$J:$J,"GBU-64"))</f>
        <v/>
      </c>
      <c r="O127">
        <f>IF($A127="","",SUMIFS('Таблиця 1'!$K:$K,'Таблиця 1'!$B:$B,$A127,'Таблиця 1'!$I:$I,"Mirage",'Таблиця 1'!$J:$J,"C-13")+SUMIFS('Таблиця 1'!$K:$K,'Таблиця 1'!$B:$B,$A127,'Таблиця 1'!$I:$I,"F-16",'Таблиця 1'!$J:$J,"C-13")+SUMIFS('Таблиця 1'!$K:$K,'Таблиця 1'!$B:$B,$A127,'Таблиця 1'!$I:$I,"МіГ-29",'Таблиця 1'!$J:$J,"C-13")+SUMIFS('Таблиця 1'!$K:$K,'Таблиця 1'!$B:$B,$A127,'Таблиця 1'!$I:$I,"Су-25",'Таблиця 1'!$J:$J,"C-13")+SUMIFS('Таблиця 1'!$K:$K,'Таблиця 1'!$B:$B,$A127,'Таблиця 1'!$I:$I,"Су-27",'Таблиця 1'!$J:$J,"C-13"))</f>
        <v/>
      </c>
      <c r="P127">
        <f>IF($A127="","",SUMIFS('Таблиця 1'!$K:$K,'Таблиця 1'!$B:$B,$A127,'Таблиця 1'!$I:$I,"Mirage",'Таблиця 1'!$J:$J,"MK-32")+SUMIFS('Таблиця 1'!$K:$K,'Таблиця 1'!$B:$B,$A127,'Таблиця 1'!$I:$I,"F-16",'Таблиця 1'!$J:$J,"MK-32")+SUMIFS('Таблиця 1'!$K:$K,'Таблиця 1'!$B:$B,$A127,'Таблиця 1'!$I:$I,"МіГ-29",'Таблиця 1'!$J:$J,"MK-32")+SUMIFS('Таблиця 1'!$K:$K,'Таблиця 1'!$B:$B,$A127,'Таблиця 1'!$I:$I,"Су-25",'Таблиця 1'!$J:$J,"MK-32")+SUMIFS('Таблиця 1'!$K:$K,'Таблиця 1'!$B:$B,$A127,'Таблиця 1'!$I:$I,"Су-27",'Таблиця 1'!$J:$J,"MK-32"))</f>
        <v/>
      </c>
      <c r="Q127">
        <f>IF($A127="","",SUMIFS('Таблиця 1'!$K:$K,'Таблиця 1'!$B:$B,$A127,'Таблиця 1'!$I:$I,"Mirage",'Таблиця 1'!$J:$J,"MK-24")+SUMIFS('Таблиця 1'!$K:$K,'Таблиця 1'!$B:$B,$A127,'Таблиця 1'!$I:$I,"F-16",'Таблиця 1'!$J:$J,"MK-24")+SUMIFS('Таблиця 1'!$K:$K,'Таблиця 1'!$B:$B,$A127,'Таблиця 1'!$I:$I,"МіГ-29",'Таблиця 1'!$J:$J,"MK-24")+SUMIFS('Таблиця 1'!$K:$K,'Таблиця 1'!$B:$B,$A127,'Таблиця 1'!$I:$I,"Су-25",'Таблиця 1'!$J:$J,"MK-24")+SUMIFS('Таблиця 1'!$K:$K,'Таблиця 1'!$B:$B,$A127,'Таблиця 1'!$I:$I,"Су-27",'Таблиця 1'!$J:$J,"MK-24"))</f>
        <v/>
      </c>
      <c r="R127">
        <f>IF($A127="","",COUNTIFS('Таблиця 1'!$B:$B,$A127,'Таблиця 1'!$I:$I,"Mirage",'Таблиця 1'!$L:$L,"Уражено")+COUNTIFS('Таблиця 1'!$B:$B,$A127,'Таблиця 1'!$I:$I,"F-16",'Таблиця 1'!$L:$L,"Уражено")+COUNTIFS('Таблиця 1'!$B:$B,$A127,'Таблиця 1'!$I:$I,"МіГ-29",'Таблиця 1'!$L:$L,"Уражено")+COUNTIFS('Таблиця 1'!$B:$B,$A127,'Таблиця 1'!$I:$I,"Су-25",'Таблиця 1'!$L:$L,"Уражено")+COUNTIFS('Таблиця 1'!$B:$B,$A127,'Таблиця 1'!$I:$I,"Су-27",'Таблиця 1'!$L:$L,"Уражено"))</f>
        <v/>
      </c>
      <c r="S127">
        <f>IF($A127="","",COUNTIFS('Таблиця 1'!$B:$B,$A127,'Таблиця 1'!$I:$I,"Mirage",'Таблиця 1'!$L:$L,"НЕ уражено")+COUNTIFS('Таблиця 1'!$B:$B,$A127,'Таблиця 1'!$I:$I,"F-16",'Таблиця 1'!$L:$L,"НЕ уражено")+COUNTIFS('Таблиця 1'!$B:$B,$A127,'Таблиця 1'!$I:$I,"МіГ-29",'Таблиця 1'!$L:$L,"НЕ уражено")+COUNTIFS('Таблиця 1'!$B:$B,$A127,'Таблиця 1'!$I:$I,"Су-25",'Таблиця 1'!$L:$L,"НЕ уражено")+COUNTIFS('Таблиця 1'!$B:$B,$A127,'Таблиця 1'!$I:$I,"Су-27",'Таблиця 1'!$L:$L,"НЕ уражено"))</f>
        <v/>
      </c>
      <c r="T127">
        <f>IF($A127="","",COUNTIFS('Таблиця 1'!$B:$B,$A127,'Таблиця 1'!$I:$I,"Mirage",'Таблиця 1'!$L:$L,"Дорозвідується")+COUNTIFS('Таблиця 1'!$B:$B,$A127,'Таблиця 1'!$I:$I,"F-16",'Таблиця 1'!$L:$L,"Дорозвідується")+COUNTIFS('Таблиця 1'!$B:$B,$A127,'Таблиця 1'!$I:$I,"МіГ-29",'Таблиця 1'!$L:$L,"Дорозвідується")+COUNTIFS('Таблиця 1'!$B:$B,$A127,'Таблиця 1'!$I:$I,"Су-25",'Таблиця 1'!$L:$L,"Дорозвідується")+COUNTIFS('Таблиця 1'!$B:$B,$A127,'Таблиця 1'!$I:$I,"Су-27",'Таблиця 1'!$L:$L,"Дорозвідується"))</f>
        <v/>
      </c>
    </row>
    <row r="128">
      <c r="A128" s="273">
        <f>IF(A127="","",IF(A127+1&gt;MAX('Таблиця 1'!$B:$B),"",A127+1))</f>
        <v/>
      </c>
      <c r="B128">
        <f>IF($A128="","",COUNTIFS('Таблиця 1'!$B:$B,$A128,'Таблиця 1'!$I:$I,"Mirage")+COUNTIFS('Таблиця 1'!$B:$B,$A128,'Таблиця 1'!$I:$I,"F-16")+COUNTIFS('Таблиця 1'!$B:$B,$A128,'Таблиця 1'!$I:$I,"МіГ-29")+COUNTIFS('Таблиця 1'!$B:$B,$A128,'Таблиця 1'!$I:$I,"Су-25")+COUNTIFS('Таблиця 1'!$B:$B,$A128,'Таблиця 1'!$I:$I,"Су-27"))</f>
        <v/>
      </c>
      <c r="C128">
        <f>IF($A128="","",COUNTIFS('Таблиця 1'!$B:$B,$A128,'Таблиця 1'!$I:$I,"Mirage"))</f>
        <v/>
      </c>
      <c r="D128">
        <f>IF($A128="","",COUNTIFS('Таблиця 1'!$B:$B,$A128,'Таблиця 1'!$I:$I,"F-16"))</f>
        <v/>
      </c>
      <c r="E128">
        <f>IF($A128="","",COUNTIFS('Таблиця 1'!$B:$B,$A128,'Таблиця 1'!$I:$I,"МіГ-29"))</f>
        <v/>
      </c>
      <c r="F128">
        <f>IF($A128="","",COUNTIFS('Таблиця 1'!$B:$B,$A128,'Таблиця 1'!$I:$I,"Су-25"))</f>
        <v/>
      </c>
      <c r="G128">
        <f>IF($A128="","",COUNTIFS('Таблиця 1'!$B:$B,$A128,'Таблиця 1'!$I:$I,"Су-27"))</f>
        <v/>
      </c>
      <c r="H128">
        <f>IF($A128="","",SUMIFS('Таблиця 1'!$K:$K,'Таблиця 1'!$B:$B,$A128,'Таблиця 1'!$I:$I,"Mirage",'Таблиця 1'!$J:$J,"AGM-88")+SUMIFS('Таблиця 1'!$K:$K,'Таблиця 1'!$B:$B,$A128,'Таблиця 1'!$I:$I,"F-16",'Таблиця 1'!$J:$J,"AGM-88")+SUMIFS('Таблиця 1'!$K:$K,'Таблиця 1'!$B:$B,$A128,'Таблиця 1'!$I:$I,"МіГ-29",'Таблиця 1'!$J:$J,"AGM-88")+SUMIFS('Таблиця 1'!$K:$K,'Таблиця 1'!$B:$B,$A128,'Таблиця 1'!$I:$I,"Су-25",'Таблиця 1'!$J:$J,"AGM-88")+SUMIFS('Таблиця 1'!$K:$K,'Таблиця 1'!$B:$B,$A128,'Таблиця 1'!$I:$I,"Су-27",'Таблиця 1'!$J:$J,"AGM-88"))</f>
        <v/>
      </c>
      <c r="I128">
        <f>IF($A128="","",SUMIFS('Таблиця 1'!$K:$K,'Таблиця 1'!$B:$B,$A128,'Таблиця 1'!$I:$I,"Mirage",'Таблиця 1'!$J:$J,"AASM-250")+SUMIFS('Таблиця 1'!$K:$K,'Таблиця 1'!$B:$B,$A128,'Таблиця 1'!$I:$I,"F-16",'Таблиця 1'!$J:$J,"AASM-250")+SUMIFS('Таблиця 1'!$K:$K,'Таблиця 1'!$B:$B,$A128,'Таблиця 1'!$I:$I,"МіГ-29",'Таблиця 1'!$J:$J,"AASM-250")+SUMIFS('Таблиця 1'!$K:$K,'Таблиця 1'!$B:$B,$A128,'Таблиця 1'!$I:$I,"Су-25",'Таблиця 1'!$J:$J,"AASM-250")+SUMIFS('Таблиця 1'!$K:$K,'Таблиця 1'!$B:$B,$A128,'Таблиця 1'!$I:$I,"Су-27",'Таблиця 1'!$J:$J,"AASM-250"))</f>
        <v/>
      </c>
      <c r="J128">
        <f>IF($A128="","",SUMIFS('Таблиця 1'!$K:$K,'Таблиця 1'!$B:$B,$A128,'Таблиця 1'!$I:$I,"Mirage",'Таблиця 1'!$J:$J,"GBU-39")+SUMIFS('Таблиця 1'!$K:$K,'Таблиця 1'!$B:$B,$A128,'Таблиця 1'!$I:$I,"F-16",'Таблиця 1'!$J:$J,"GBU-39")+SUMIFS('Таблиця 1'!$K:$K,'Таблиця 1'!$B:$B,$A128,'Таблиця 1'!$I:$I,"МіГ-29",'Таблиця 1'!$J:$J,"GBU-39")+SUMIFS('Таблиця 1'!$K:$K,'Таблиця 1'!$B:$B,$A128,'Таблиця 1'!$I:$I,"Су-25",'Таблиця 1'!$J:$J,"GBU-39")+SUMIFS('Таблиця 1'!$K:$K,'Таблиця 1'!$B:$B,$A128,'Таблиця 1'!$I:$I,"Су-27",'Таблиця 1'!$J:$J,"GBU-39"))</f>
        <v/>
      </c>
      <c r="K128">
        <f>IF($A128="","",SUMIFS('Таблиця 1'!$K:$K,'Таблиця 1'!$B:$B,$A128,'Таблиця 1'!$I:$I,"Mirage",'Таблиця 1'!$J:$J,"BLU-140")+SUMIFS('Таблиця 1'!$K:$K,'Таблиця 1'!$B:$B,$A128,'Таблиця 1'!$I:$I,"F-16",'Таблиця 1'!$J:$J,"BLU-140")+SUMIFS('Таблиця 1'!$K:$K,'Таблиця 1'!$B:$B,$A128,'Таблиця 1'!$I:$I,"МіГ-29",'Таблиця 1'!$J:$J,"BLU-140")+SUMIFS('Таблиця 1'!$K:$K,'Таблиця 1'!$B:$B,$A128,'Таблиця 1'!$I:$I,"Су-25",'Таблиця 1'!$J:$J,"BLU-140")+SUMIFS('Таблиця 1'!$K:$K,'Таблиця 1'!$B:$B,$A128,'Таблиця 1'!$I:$I,"Су-27",'Таблиця 1'!$J:$J,"BLU-140"))</f>
        <v/>
      </c>
      <c r="L128">
        <f>IF($A128="","",SUMIFS('Таблиця 1'!$K:$K,'Таблиця 1'!$B:$B,$A128,'Таблиця 1'!$I:$I,"Mirage",'Таблиця 1'!$J:$J,"GBU-65")+SUMIFS('Таблиця 1'!$K:$K,'Таблиця 1'!$B:$B,$A128,'Таблиця 1'!$I:$I,"F-16",'Таблиця 1'!$J:$J,"GBU-65")+SUMIFS('Таблиця 1'!$K:$K,'Таблиця 1'!$B:$B,$A128,'Таблиця 1'!$I:$I,"МіГ-29",'Таблиця 1'!$J:$J,"GBU-65")+SUMIFS('Таблиця 1'!$K:$K,'Таблиця 1'!$B:$B,$A128,'Таблиця 1'!$I:$I,"Су-25",'Таблиця 1'!$J:$J,"GBU-65")+SUMIFS('Таблиця 1'!$K:$K,'Таблиця 1'!$B:$B,$A128,'Таблиця 1'!$I:$I,"Су-27",'Таблиця 1'!$J:$J,"GBU-65"))</f>
        <v/>
      </c>
      <c r="M128">
        <f>IF($A128="","",SUMIFS('Таблиця 1'!$K:$K,'Таблиця 1'!$B:$B,$A128,'Таблиця 1'!$I:$I,"Mirage",'Таблиця 1'!$J:$J,"GBU-62")+SUMIFS('Таблиця 1'!$K:$K,'Таблиця 1'!$B:$B,$A128,'Таблиця 1'!$I:$I,"F-16",'Таблиця 1'!$J:$J,"GBU-62")+SUMIFS('Таблиця 1'!$K:$K,'Таблиця 1'!$B:$B,$A128,'Таблиця 1'!$I:$I,"МіГ-29",'Таблиця 1'!$J:$J,"GBU-62")+SUMIFS('Таблиця 1'!$K:$K,'Таблиця 1'!$B:$B,$A128,'Таблиця 1'!$I:$I,"Су-25",'Таблиця 1'!$J:$J,"GBU-62")+SUMIFS('Таблиця 1'!$K:$K,'Таблиця 1'!$B:$B,$A128,'Таблиця 1'!$I:$I,"Су-27",'Таблиця 1'!$J:$J,"GBU-62"))</f>
        <v/>
      </c>
      <c r="N128">
        <f>IF($A128="","",SUMIFS('Таблиця 1'!$K:$K,'Таблиця 1'!$B:$B,$A128,'Таблиця 1'!$I:$I,"Mirage",'Таблиця 1'!$J:$J,"GBU-64")+SUMIFS('Таблиця 1'!$K:$K,'Таблиця 1'!$B:$B,$A128,'Таблиця 1'!$I:$I,"F-16",'Таблиця 1'!$J:$J,"GBU-64")+SUMIFS('Таблиця 1'!$K:$K,'Таблиця 1'!$B:$B,$A128,'Таблиця 1'!$I:$I,"МіГ-29",'Таблиця 1'!$J:$J,"GBU-64")+SUMIFS('Таблиця 1'!$K:$K,'Таблиця 1'!$B:$B,$A128,'Таблиця 1'!$I:$I,"Су-25",'Таблиця 1'!$J:$J,"GBU-64")+SUMIFS('Таблиця 1'!$K:$K,'Таблиця 1'!$B:$B,$A128,'Таблиця 1'!$I:$I,"Су-27",'Таблиця 1'!$J:$J,"GBU-64"))</f>
        <v/>
      </c>
      <c r="O128">
        <f>IF($A128="","",SUMIFS('Таблиця 1'!$K:$K,'Таблиця 1'!$B:$B,$A128,'Таблиця 1'!$I:$I,"Mirage",'Таблиця 1'!$J:$J,"C-13")+SUMIFS('Таблиця 1'!$K:$K,'Таблиця 1'!$B:$B,$A128,'Таблиця 1'!$I:$I,"F-16",'Таблиця 1'!$J:$J,"C-13")+SUMIFS('Таблиця 1'!$K:$K,'Таблиця 1'!$B:$B,$A128,'Таблиця 1'!$I:$I,"МіГ-29",'Таблиця 1'!$J:$J,"C-13")+SUMIFS('Таблиця 1'!$K:$K,'Таблиця 1'!$B:$B,$A128,'Таблиця 1'!$I:$I,"Су-25",'Таблиця 1'!$J:$J,"C-13")+SUMIFS('Таблиця 1'!$K:$K,'Таблиця 1'!$B:$B,$A128,'Таблиця 1'!$I:$I,"Су-27",'Таблиця 1'!$J:$J,"C-13"))</f>
        <v/>
      </c>
      <c r="P128">
        <f>IF($A128="","",SUMIFS('Таблиця 1'!$K:$K,'Таблиця 1'!$B:$B,$A128,'Таблиця 1'!$I:$I,"Mirage",'Таблиця 1'!$J:$J,"MK-32")+SUMIFS('Таблиця 1'!$K:$K,'Таблиця 1'!$B:$B,$A128,'Таблиця 1'!$I:$I,"F-16",'Таблиця 1'!$J:$J,"MK-32")+SUMIFS('Таблиця 1'!$K:$K,'Таблиця 1'!$B:$B,$A128,'Таблиця 1'!$I:$I,"МіГ-29",'Таблиця 1'!$J:$J,"MK-32")+SUMIFS('Таблиця 1'!$K:$K,'Таблиця 1'!$B:$B,$A128,'Таблиця 1'!$I:$I,"Су-25",'Таблиця 1'!$J:$J,"MK-32")+SUMIFS('Таблиця 1'!$K:$K,'Таблиця 1'!$B:$B,$A128,'Таблиця 1'!$I:$I,"Су-27",'Таблиця 1'!$J:$J,"MK-32"))</f>
        <v/>
      </c>
      <c r="Q128">
        <f>IF($A128="","",SUMIFS('Таблиця 1'!$K:$K,'Таблиця 1'!$B:$B,$A128,'Таблиця 1'!$I:$I,"Mirage",'Таблиця 1'!$J:$J,"MK-24")+SUMIFS('Таблиця 1'!$K:$K,'Таблиця 1'!$B:$B,$A128,'Таблиця 1'!$I:$I,"F-16",'Таблиця 1'!$J:$J,"MK-24")+SUMIFS('Таблиця 1'!$K:$K,'Таблиця 1'!$B:$B,$A128,'Таблиця 1'!$I:$I,"МіГ-29",'Таблиця 1'!$J:$J,"MK-24")+SUMIFS('Таблиця 1'!$K:$K,'Таблиця 1'!$B:$B,$A128,'Таблиця 1'!$I:$I,"Су-25",'Таблиця 1'!$J:$J,"MK-24")+SUMIFS('Таблиця 1'!$K:$K,'Таблиця 1'!$B:$B,$A128,'Таблиця 1'!$I:$I,"Су-27",'Таблиця 1'!$J:$J,"MK-24"))</f>
        <v/>
      </c>
      <c r="R128">
        <f>IF($A128="","",COUNTIFS('Таблиця 1'!$B:$B,$A128,'Таблиця 1'!$I:$I,"Mirage",'Таблиця 1'!$L:$L,"Уражено")+COUNTIFS('Таблиця 1'!$B:$B,$A128,'Таблиця 1'!$I:$I,"F-16",'Таблиця 1'!$L:$L,"Уражено")+COUNTIFS('Таблиця 1'!$B:$B,$A128,'Таблиця 1'!$I:$I,"МіГ-29",'Таблиця 1'!$L:$L,"Уражено")+COUNTIFS('Таблиця 1'!$B:$B,$A128,'Таблиця 1'!$I:$I,"Су-25",'Таблиця 1'!$L:$L,"Уражено")+COUNTIFS('Таблиця 1'!$B:$B,$A128,'Таблиця 1'!$I:$I,"Су-27",'Таблиця 1'!$L:$L,"Уражено"))</f>
        <v/>
      </c>
      <c r="S128">
        <f>IF($A128="","",COUNTIFS('Таблиця 1'!$B:$B,$A128,'Таблиця 1'!$I:$I,"Mirage",'Таблиця 1'!$L:$L,"НЕ уражено")+COUNTIFS('Таблиця 1'!$B:$B,$A128,'Таблиця 1'!$I:$I,"F-16",'Таблиця 1'!$L:$L,"НЕ уражено")+COUNTIFS('Таблиця 1'!$B:$B,$A128,'Таблиця 1'!$I:$I,"МіГ-29",'Таблиця 1'!$L:$L,"НЕ уражено")+COUNTIFS('Таблиця 1'!$B:$B,$A128,'Таблиця 1'!$I:$I,"Су-25",'Таблиця 1'!$L:$L,"НЕ уражено")+COUNTIFS('Таблиця 1'!$B:$B,$A128,'Таблиця 1'!$I:$I,"Су-27",'Таблиця 1'!$L:$L,"НЕ уражено"))</f>
        <v/>
      </c>
      <c r="T128">
        <f>IF($A128="","",COUNTIFS('Таблиця 1'!$B:$B,$A128,'Таблиця 1'!$I:$I,"Mirage",'Таблиця 1'!$L:$L,"Дорозвідується")+COUNTIFS('Таблиця 1'!$B:$B,$A128,'Таблиця 1'!$I:$I,"F-16",'Таблиця 1'!$L:$L,"Дорозвідується")+COUNTIFS('Таблиця 1'!$B:$B,$A128,'Таблиця 1'!$I:$I,"МіГ-29",'Таблиця 1'!$L:$L,"Дорозвідується")+COUNTIFS('Таблиця 1'!$B:$B,$A128,'Таблиця 1'!$I:$I,"Су-25",'Таблиця 1'!$L:$L,"Дорозвідується")+COUNTIFS('Таблиця 1'!$B:$B,$A128,'Таблиця 1'!$I:$I,"Су-27",'Таблиця 1'!$L:$L,"Дорозвідується"))</f>
        <v/>
      </c>
    </row>
    <row r="129">
      <c r="A129" s="273">
        <f>IF(A128="","",IF(A128+1&gt;MAX('Таблиця 1'!$B:$B),"",A128+1))</f>
        <v/>
      </c>
      <c r="B129">
        <f>IF($A129="","",COUNTIFS('Таблиця 1'!$B:$B,$A129,'Таблиця 1'!$I:$I,"Mirage")+COUNTIFS('Таблиця 1'!$B:$B,$A129,'Таблиця 1'!$I:$I,"F-16")+COUNTIFS('Таблиця 1'!$B:$B,$A129,'Таблиця 1'!$I:$I,"МіГ-29")+COUNTIFS('Таблиця 1'!$B:$B,$A129,'Таблиця 1'!$I:$I,"Су-25")+COUNTIFS('Таблиця 1'!$B:$B,$A129,'Таблиця 1'!$I:$I,"Су-27"))</f>
        <v/>
      </c>
      <c r="C129">
        <f>IF($A129="","",COUNTIFS('Таблиця 1'!$B:$B,$A129,'Таблиця 1'!$I:$I,"Mirage"))</f>
        <v/>
      </c>
      <c r="D129">
        <f>IF($A129="","",COUNTIFS('Таблиця 1'!$B:$B,$A129,'Таблиця 1'!$I:$I,"F-16"))</f>
        <v/>
      </c>
      <c r="E129">
        <f>IF($A129="","",COUNTIFS('Таблиця 1'!$B:$B,$A129,'Таблиця 1'!$I:$I,"МіГ-29"))</f>
        <v/>
      </c>
      <c r="F129">
        <f>IF($A129="","",COUNTIFS('Таблиця 1'!$B:$B,$A129,'Таблиця 1'!$I:$I,"Су-25"))</f>
        <v/>
      </c>
      <c r="G129">
        <f>IF($A129="","",COUNTIFS('Таблиця 1'!$B:$B,$A129,'Таблиця 1'!$I:$I,"Су-27"))</f>
        <v/>
      </c>
      <c r="H129">
        <f>IF($A129="","",SUMIFS('Таблиця 1'!$K:$K,'Таблиця 1'!$B:$B,$A129,'Таблиця 1'!$I:$I,"Mirage",'Таблиця 1'!$J:$J,"AGM-88")+SUMIFS('Таблиця 1'!$K:$K,'Таблиця 1'!$B:$B,$A129,'Таблиця 1'!$I:$I,"F-16",'Таблиця 1'!$J:$J,"AGM-88")+SUMIFS('Таблиця 1'!$K:$K,'Таблиця 1'!$B:$B,$A129,'Таблиця 1'!$I:$I,"МіГ-29",'Таблиця 1'!$J:$J,"AGM-88")+SUMIFS('Таблиця 1'!$K:$K,'Таблиця 1'!$B:$B,$A129,'Таблиця 1'!$I:$I,"Су-25",'Таблиця 1'!$J:$J,"AGM-88")+SUMIFS('Таблиця 1'!$K:$K,'Таблиця 1'!$B:$B,$A129,'Таблиця 1'!$I:$I,"Су-27",'Таблиця 1'!$J:$J,"AGM-88"))</f>
        <v/>
      </c>
      <c r="I129">
        <f>IF($A129="","",SUMIFS('Таблиця 1'!$K:$K,'Таблиця 1'!$B:$B,$A129,'Таблиця 1'!$I:$I,"Mirage",'Таблиця 1'!$J:$J,"AASM-250")+SUMIFS('Таблиця 1'!$K:$K,'Таблиця 1'!$B:$B,$A129,'Таблиця 1'!$I:$I,"F-16",'Таблиця 1'!$J:$J,"AASM-250")+SUMIFS('Таблиця 1'!$K:$K,'Таблиця 1'!$B:$B,$A129,'Таблиця 1'!$I:$I,"МіГ-29",'Таблиця 1'!$J:$J,"AASM-250")+SUMIFS('Таблиця 1'!$K:$K,'Таблиця 1'!$B:$B,$A129,'Таблиця 1'!$I:$I,"Су-25",'Таблиця 1'!$J:$J,"AASM-250")+SUMIFS('Таблиця 1'!$K:$K,'Таблиця 1'!$B:$B,$A129,'Таблиця 1'!$I:$I,"Су-27",'Таблиця 1'!$J:$J,"AASM-250"))</f>
        <v/>
      </c>
      <c r="J129">
        <f>IF($A129="","",SUMIFS('Таблиця 1'!$K:$K,'Таблиця 1'!$B:$B,$A129,'Таблиця 1'!$I:$I,"Mirage",'Таблиця 1'!$J:$J,"GBU-39")+SUMIFS('Таблиця 1'!$K:$K,'Таблиця 1'!$B:$B,$A129,'Таблиця 1'!$I:$I,"F-16",'Таблиця 1'!$J:$J,"GBU-39")+SUMIFS('Таблиця 1'!$K:$K,'Таблиця 1'!$B:$B,$A129,'Таблиця 1'!$I:$I,"МіГ-29",'Таблиця 1'!$J:$J,"GBU-39")+SUMIFS('Таблиця 1'!$K:$K,'Таблиця 1'!$B:$B,$A129,'Таблиця 1'!$I:$I,"Су-25",'Таблиця 1'!$J:$J,"GBU-39")+SUMIFS('Таблиця 1'!$K:$K,'Таблиця 1'!$B:$B,$A129,'Таблиця 1'!$I:$I,"Су-27",'Таблиця 1'!$J:$J,"GBU-39"))</f>
        <v/>
      </c>
      <c r="K129">
        <f>IF($A129="","",SUMIFS('Таблиця 1'!$K:$K,'Таблиця 1'!$B:$B,$A129,'Таблиця 1'!$I:$I,"Mirage",'Таблиця 1'!$J:$J,"BLU-140")+SUMIFS('Таблиця 1'!$K:$K,'Таблиця 1'!$B:$B,$A129,'Таблиця 1'!$I:$I,"F-16",'Таблиця 1'!$J:$J,"BLU-140")+SUMIFS('Таблиця 1'!$K:$K,'Таблиця 1'!$B:$B,$A129,'Таблиця 1'!$I:$I,"МіГ-29",'Таблиця 1'!$J:$J,"BLU-140")+SUMIFS('Таблиця 1'!$K:$K,'Таблиця 1'!$B:$B,$A129,'Таблиця 1'!$I:$I,"Су-25",'Таблиця 1'!$J:$J,"BLU-140")+SUMIFS('Таблиця 1'!$K:$K,'Таблиця 1'!$B:$B,$A129,'Таблиця 1'!$I:$I,"Су-27",'Таблиця 1'!$J:$J,"BLU-140"))</f>
        <v/>
      </c>
      <c r="L129">
        <f>IF($A129="","",SUMIFS('Таблиця 1'!$K:$K,'Таблиця 1'!$B:$B,$A129,'Таблиця 1'!$I:$I,"Mirage",'Таблиця 1'!$J:$J,"GBU-65")+SUMIFS('Таблиця 1'!$K:$K,'Таблиця 1'!$B:$B,$A129,'Таблиця 1'!$I:$I,"F-16",'Таблиця 1'!$J:$J,"GBU-65")+SUMIFS('Таблиця 1'!$K:$K,'Таблиця 1'!$B:$B,$A129,'Таблиця 1'!$I:$I,"МіГ-29",'Таблиця 1'!$J:$J,"GBU-65")+SUMIFS('Таблиця 1'!$K:$K,'Таблиця 1'!$B:$B,$A129,'Таблиця 1'!$I:$I,"Су-25",'Таблиця 1'!$J:$J,"GBU-65")+SUMIFS('Таблиця 1'!$K:$K,'Таблиця 1'!$B:$B,$A129,'Таблиця 1'!$I:$I,"Су-27",'Таблиця 1'!$J:$J,"GBU-65"))</f>
        <v/>
      </c>
      <c r="M129">
        <f>IF($A129="","",SUMIFS('Таблиця 1'!$K:$K,'Таблиця 1'!$B:$B,$A129,'Таблиця 1'!$I:$I,"Mirage",'Таблиця 1'!$J:$J,"GBU-62")+SUMIFS('Таблиця 1'!$K:$K,'Таблиця 1'!$B:$B,$A129,'Таблиця 1'!$I:$I,"F-16",'Таблиця 1'!$J:$J,"GBU-62")+SUMIFS('Таблиця 1'!$K:$K,'Таблиця 1'!$B:$B,$A129,'Таблиця 1'!$I:$I,"МіГ-29",'Таблиця 1'!$J:$J,"GBU-62")+SUMIFS('Таблиця 1'!$K:$K,'Таблиця 1'!$B:$B,$A129,'Таблиця 1'!$I:$I,"Су-25",'Таблиця 1'!$J:$J,"GBU-62")+SUMIFS('Таблиця 1'!$K:$K,'Таблиця 1'!$B:$B,$A129,'Таблиця 1'!$I:$I,"Су-27",'Таблиця 1'!$J:$J,"GBU-62"))</f>
        <v/>
      </c>
      <c r="N129">
        <f>IF($A129="","",SUMIFS('Таблиця 1'!$K:$K,'Таблиця 1'!$B:$B,$A129,'Таблиця 1'!$I:$I,"Mirage",'Таблиця 1'!$J:$J,"GBU-64")+SUMIFS('Таблиця 1'!$K:$K,'Таблиця 1'!$B:$B,$A129,'Таблиця 1'!$I:$I,"F-16",'Таблиця 1'!$J:$J,"GBU-64")+SUMIFS('Таблиця 1'!$K:$K,'Таблиця 1'!$B:$B,$A129,'Таблиця 1'!$I:$I,"МіГ-29",'Таблиця 1'!$J:$J,"GBU-64")+SUMIFS('Таблиця 1'!$K:$K,'Таблиця 1'!$B:$B,$A129,'Таблиця 1'!$I:$I,"Су-25",'Таблиця 1'!$J:$J,"GBU-64")+SUMIFS('Таблиця 1'!$K:$K,'Таблиця 1'!$B:$B,$A129,'Таблиця 1'!$I:$I,"Су-27",'Таблиця 1'!$J:$J,"GBU-64"))</f>
        <v/>
      </c>
      <c r="O129">
        <f>IF($A129="","",SUMIFS('Таблиця 1'!$K:$K,'Таблиця 1'!$B:$B,$A129,'Таблиця 1'!$I:$I,"Mirage",'Таблиця 1'!$J:$J,"C-13")+SUMIFS('Таблиця 1'!$K:$K,'Таблиця 1'!$B:$B,$A129,'Таблиця 1'!$I:$I,"F-16",'Таблиця 1'!$J:$J,"C-13")+SUMIFS('Таблиця 1'!$K:$K,'Таблиця 1'!$B:$B,$A129,'Таблиця 1'!$I:$I,"МіГ-29",'Таблиця 1'!$J:$J,"C-13")+SUMIFS('Таблиця 1'!$K:$K,'Таблиця 1'!$B:$B,$A129,'Таблиця 1'!$I:$I,"Су-25",'Таблиця 1'!$J:$J,"C-13")+SUMIFS('Таблиця 1'!$K:$K,'Таблиця 1'!$B:$B,$A129,'Таблиця 1'!$I:$I,"Су-27",'Таблиця 1'!$J:$J,"C-13"))</f>
        <v/>
      </c>
      <c r="P129">
        <f>IF($A129="","",SUMIFS('Таблиця 1'!$K:$K,'Таблиця 1'!$B:$B,$A129,'Таблиця 1'!$I:$I,"Mirage",'Таблиця 1'!$J:$J,"MK-32")+SUMIFS('Таблиця 1'!$K:$K,'Таблиця 1'!$B:$B,$A129,'Таблиця 1'!$I:$I,"F-16",'Таблиця 1'!$J:$J,"MK-32")+SUMIFS('Таблиця 1'!$K:$K,'Таблиця 1'!$B:$B,$A129,'Таблиця 1'!$I:$I,"МіГ-29",'Таблиця 1'!$J:$J,"MK-32")+SUMIFS('Таблиця 1'!$K:$K,'Таблиця 1'!$B:$B,$A129,'Таблиця 1'!$I:$I,"Су-25",'Таблиця 1'!$J:$J,"MK-32")+SUMIFS('Таблиця 1'!$K:$K,'Таблиця 1'!$B:$B,$A129,'Таблиця 1'!$I:$I,"Су-27",'Таблиця 1'!$J:$J,"MK-32"))</f>
        <v/>
      </c>
      <c r="Q129">
        <f>IF($A129="","",SUMIFS('Таблиця 1'!$K:$K,'Таблиця 1'!$B:$B,$A129,'Таблиця 1'!$I:$I,"Mirage",'Таблиця 1'!$J:$J,"MK-24")+SUMIFS('Таблиця 1'!$K:$K,'Таблиця 1'!$B:$B,$A129,'Таблиця 1'!$I:$I,"F-16",'Таблиця 1'!$J:$J,"MK-24")+SUMIFS('Таблиця 1'!$K:$K,'Таблиця 1'!$B:$B,$A129,'Таблиця 1'!$I:$I,"МіГ-29",'Таблиця 1'!$J:$J,"MK-24")+SUMIFS('Таблиця 1'!$K:$K,'Таблиця 1'!$B:$B,$A129,'Таблиця 1'!$I:$I,"Су-25",'Таблиця 1'!$J:$J,"MK-24")+SUMIFS('Таблиця 1'!$K:$K,'Таблиця 1'!$B:$B,$A129,'Таблиця 1'!$I:$I,"Су-27",'Таблиця 1'!$J:$J,"MK-24"))</f>
        <v/>
      </c>
      <c r="R129">
        <f>IF($A129="","",COUNTIFS('Таблиця 1'!$B:$B,$A129,'Таблиця 1'!$I:$I,"Mirage",'Таблиця 1'!$L:$L,"Уражено")+COUNTIFS('Таблиця 1'!$B:$B,$A129,'Таблиця 1'!$I:$I,"F-16",'Таблиця 1'!$L:$L,"Уражено")+COUNTIFS('Таблиця 1'!$B:$B,$A129,'Таблиця 1'!$I:$I,"МіГ-29",'Таблиця 1'!$L:$L,"Уражено")+COUNTIFS('Таблиця 1'!$B:$B,$A129,'Таблиця 1'!$I:$I,"Су-25",'Таблиця 1'!$L:$L,"Уражено")+COUNTIFS('Таблиця 1'!$B:$B,$A129,'Таблиця 1'!$I:$I,"Су-27",'Таблиця 1'!$L:$L,"Уражено"))</f>
        <v/>
      </c>
      <c r="S129">
        <f>IF($A129="","",COUNTIFS('Таблиця 1'!$B:$B,$A129,'Таблиця 1'!$I:$I,"Mirage",'Таблиця 1'!$L:$L,"НЕ уражено")+COUNTIFS('Таблиця 1'!$B:$B,$A129,'Таблиця 1'!$I:$I,"F-16",'Таблиця 1'!$L:$L,"НЕ уражено")+COUNTIFS('Таблиця 1'!$B:$B,$A129,'Таблиця 1'!$I:$I,"МіГ-29",'Таблиця 1'!$L:$L,"НЕ уражено")+COUNTIFS('Таблиця 1'!$B:$B,$A129,'Таблиця 1'!$I:$I,"Су-25",'Таблиця 1'!$L:$L,"НЕ уражено")+COUNTIFS('Таблиця 1'!$B:$B,$A129,'Таблиця 1'!$I:$I,"Су-27",'Таблиця 1'!$L:$L,"НЕ уражено"))</f>
        <v/>
      </c>
      <c r="T129">
        <f>IF($A129="","",COUNTIFS('Таблиця 1'!$B:$B,$A129,'Таблиця 1'!$I:$I,"Mirage",'Таблиця 1'!$L:$L,"Дорозвідується")+COUNTIFS('Таблиця 1'!$B:$B,$A129,'Таблиця 1'!$I:$I,"F-16",'Таблиця 1'!$L:$L,"Дорозвідується")+COUNTIFS('Таблиця 1'!$B:$B,$A129,'Таблиця 1'!$I:$I,"МіГ-29",'Таблиця 1'!$L:$L,"Дорозвідується")+COUNTIFS('Таблиця 1'!$B:$B,$A129,'Таблиця 1'!$I:$I,"Су-25",'Таблиця 1'!$L:$L,"Дорозвідується")+COUNTIFS('Таблиця 1'!$B:$B,$A129,'Таблиця 1'!$I:$I,"Су-27",'Таблиця 1'!$L:$L,"Дорозвідується"))</f>
        <v/>
      </c>
    </row>
    <row r="130">
      <c r="A130" s="273">
        <f>IF(A129="","",IF(A129+1&gt;MAX('Таблиця 1'!$B:$B),"",A129+1))</f>
        <v/>
      </c>
      <c r="B130">
        <f>IF($A130="","",COUNTIFS('Таблиця 1'!$B:$B,$A130,'Таблиця 1'!$I:$I,"Mirage")+COUNTIFS('Таблиця 1'!$B:$B,$A130,'Таблиця 1'!$I:$I,"F-16")+COUNTIFS('Таблиця 1'!$B:$B,$A130,'Таблиця 1'!$I:$I,"МіГ-29")+COUNTIFS('Таблиця 1'!$B:$B,$A130,'Таблиця 1'!$I:$I,"Су-25")+COUNTIFS('Таблиця 1'!$B:$B,$A130,'Таблиця 1'!$I:$I,"Су-27"))</f>
        <v/>
      </c>
      <c r="C130">
        <f>IF($A130="","",COUNTIFS('Таблиця 1'!$B:$B,$A130,'Таблиця 1'!$I:$I,"Mirage"))</f>
        <v/>
      </c>
      <c r="D130">
        <f>IF($A130="","",COUNTIFS('Таблиця 1'!$B:$B,$A130,'Таблиця 1'!$I:$I,"F-16"))</f>
        <v/>
      </c>
      <c r="E130">
        <f>IF($A130="","",COUNTIFS('Таблиця 1'!$B:$B,$A130,'Таблиця 1'!$I:$I,"МіГ-29"))</f>
        <v/>
      </c>
      <c r="F130">
        <f>IF($A130="","",COUNTIFS('Таблиця 1'!$B:$B,$A130,'Таблиця 1'!$I:$I,"Су-25"))</f>
        <v/>
      </c>
      <c r="G130">
        <f>IF($A130="","",COUNTIFS('Таблиця 1'!$B:$B,$A130,'Таблиця 1'!$I:$I,"Су-27"))</f>
        <v/>
      </c>
      <c r="H130">
        <f>IF($A130="","",SUMIFS('Таблиця 1'!$K:$K,'Таблиця 1'!$B:$B,$A130,'Таблиця 1'!$I:$I,"Mirage",'Таблиця 1'!$J:$J,"AGM-88")+SUMIFS('Таблиця 1'!$K:$K,'Таблиця 1'!$B:$B,$A130,'Таблиця 1'!$I:$I,"F-16",'Таблиця 1'!$J:$J,"AGM-88")+SUMIFS('Таблиця 1'!$K:$K,'Таблиця 1'!$B:$B,$A130,'Таблиця 1'!$I:$I,"МіГ-29",'Таблиця 1'!$J:$J,"AGM-88")+SUMIFS('Таблиця 1'!$K:$K,'Таблиця 1'!$B:$B,$A130,'Таблиця 1'!$I:$I,"Су-25",'Таблиця 1'!$J:$J,"AGM-88")+SUMIFS('Таблиця 1'!$K:$K,'Таблиця 1'!$B:$B,$A130,'Таблиця 1'!$I:$I,"Су-27",'Таблиця 1'!$J:$J,"AGM-88"))</f>
        <v/>
      </c>
      <c r="I130">
        <f>IF($A130="","",SUMIFS('Таблиця 1'!$K:$K,'Таблиця 1'!$B:$B,$A130,'Таблиця 1'!$I:$I,"Mirage",'Таблиця 1'!$J:$J,"AASM-250")+SUMIFS('Таблиця 1'!$K:$K,'Таблиця 1'!$B:$B,$A130,'Таблиця 1'!$I:$I,"F-16",'Таблиця 1'!$J:$J,"AASM-250")+SUMIFS('Таблиця 1'!$K:$K,'Таблиця 1'!$B:$B,$A130,'Таблиця 1'!$I:$I,"МіГ-29",'Таблиця 1'!$J:$J,"AASM-250")+SUMIFS('Таблиця 1'!$K:$K,'Таблиця 1'!$B:$B,$A130,'Таблиця 1'!$I:$I,"Су-25",'Таблиця 1'!$J:$J,"AASM-250")+SUMIFS('Таблиця 1'!$K:$K,'Таблиця 1'!$B:$B,$A130,'Таблиця 1'!$I:$I,"Су-27",'Таблиця 1'!$J:$J,"AASM-250"))</f>
        <v/>
      </c>
      <c r="J130">
        <f>IF($A130="","",SUMIFS('Таблиця 1'!$K:$K,'Таблиця 1'!$B:$B,$A130,'Таблиця 1'!$I:$I,"Mirage",'Таблиця 1'!$J:$J,"GBU-39")+SUMIFS('Таблиця 1'!$K:$K,'Таблиця 1'!$B:$B,$A130,'Таблиця 1'!$I:$I,"F-16",'Таблиця 1'!$J:$J,"GBU-39")+SUMIFS('Таблиця 1'!$K:$K,'Таблиця 1'!$B:$B,$A130,'Таблиця 1'!$I:$I,"МіГ-29",'Таблиця 1'!$J:$J,"GBU-39")+SUMIFS('Таблиця 1'!$K:$K,'Таблиця 1'!$B:$B,$A130,'Таблиця 1'!$I:$I,"Су-25",'Таблиця 1'!$J:$J,"GBU-39")+SUMIFS('Таблиця 1'!$K:$K,'Таблиця 1'!$B:$B,$A130,'Таблиця 1'!$I:$I,"Су-27",'Таблиця 1'!$J:$J,"GBU-39"))</f>
        <v/>
      </c>
      <c r="K130">
        <f>IF($A130="","",SUMIFS('Таблиця 1'!$K:$K,'Таблиця 1'!$B:$B,$A130,'Таблиця 1'!$I:$I,"Mirage",'Таблиця 1'!$J:$J,"BLU-140")+SUMIFS('Таблиця 1'!$K:$K,'Таблиця 1'!$B:$B,$A130,'Таблиця 1'!$I:$I,"F-16",'Таблиця 1'!$J:$J,"BLU-140")+SUMIFS('Таблиця 1'!$K:$K,'Таблиця 1'!$B:$B,$A130,'Таблиця 1'!$I:$I,"МіГ-29",'Таблиця 1'!$J:$J,"BLU-140")+SUMIFS('Таблиця 1'!$K:$K,'Таблиця 1'!$B:$B,$A130,'Таблиця 1'!$I:$I,"Су-25",'Таблиця 1'!$J:$J,"BLU-140")+SUMIFS('Таблиця 1'!$K:$K,'Таблиця 1'!$B:$B,$A130,'Таблиця 1'!$I:$I,"Су-27",'Таблиця 1'!$J:$J,"BLU-140"))</f>
        <v/>
      </c>
      <c r="L130">
        <f>IF($A130="","",SUMIFS('Таблиця 1'!$K:$K,'Таблиця 1'!$B:$B,$A130,'Таблиця 1'!$I:$I,"Mirage",'Таблиця 1'!$J:$J,"GBU-65")+SUMIFS('Таблиця 1'!$K:$K,'Таблиця 1'!$B:$B,$A130,'Таблиця 1'!$I:$I,"F-16",'Таблиця 1'!$J:$J,"GBU-65")+SUMIFS('Таблиця 1'!$K:$K,'Таблиця 1'!$B:$B,$A130,'Таблиця 1'!$I:$I,"МіГ-29",'Таблиця 1'!$J:$J,"GBU-65")+SUMIFS('Таблиця 1'!$K:$K,'Таблиця 1'!$B:$B,$A130,'Таблиця 1'!$I:$I,"Су-25",'Таблиця 1'!$J:$J,"GBU-65")+SUMIFS('Таблиця 1'!$K:$K,'Таблиця 1'!$B:$B,$A130,'Таблиця 1'!$I:$I,"Су-27",'Таблиця 1'!$J:$J,"GBU-65"))</f>
        <v/>
      </c>
      <c r="M130">
        <f>IF($A130="","",SUMIFS('Таблиця 1'!$K:$K,'Таблиця 1'!$B:$B,$A130,'Таблиця 1'!$I:$I,"Mirage",'Таблиця 1'!$J:$J,"GBU-62")+SUMIFS('Таблиця 1'!$K:$K,'Таблиця 1'!$B:$B,$A130,'Таблиця 1'!$I:$I,"F-16",'Таблиця 1'!$J:$J,"GBU-62")+SUMIFS('Таблиця 1'!$K:$K,'Таблиця 1'!$B:$B,$A130,'Таблиця 1'!$I:$I,"МіГ-29",'Таблиця 1'!$J:$J,"GBU-62")+SUMIFS('Таблиця 1'!$K:$K,'Таблиця 1'!$B:$B,$A130,'Таблиця 1'!$I:$I,"Су-25",'Таблиця 1'!$J:$J,"GBU-62")+SUMIFS('Таблиця 1'!$K:$K,'Таблиця 1'!$B:$B,$A130,'Таблиця 1'!$I:$I,"Су-27",'Таблиця 1'!$J:$J,"GBU-62"))</f>
        <v/>
      </c>
      <c r="N130">
        <f>IF($A130="","",SUMIFS('Таблиця 1'!$K:$K,'Таблиця 1'!$B:$B,$A130,'Таблиця 1'!$I:$I,"Mirage",'Таблиця 1'!$J:$J,"GBU-64")+SUMIFS('Таблиця 1'!$K:$K,'Таблиця 1'!$B:$B,$A130,'Таблиця 1'!$I:$I,"F-16",'Таблиця 1'!$J:$J,"GBU-64")+SUMIFS('Таблиця 1'!$K:$K,'Таблиця 1'!$B:$B,$A130,'Таблиця 1'!$I:$I,"МіГ-29",'Таблиця 1'!$J:$J,"GBU-64")+SUMIFS('Таблиця 1'!$K:$K,'Таблиця 1'!$B:$B,$A130,'Таблиця 1'!$I:$I,"Су-25",'Таблиця 1'!$J:$J,"GBU-64")+SUMIFS('Таблиця 1'!$K:$K,'Таблиця 1'!$B:$B,$A130,'Таблиця 1'!$I:$I,"Су-27",'Таблиця 1'!$J:$J,"GBU-64"))</f>
        <v/>
      </c>
      <c r="O130">
        <f>IF($A130="","",SUMIFS('Таблиця 1'!$K:$K,'Таблиця 1'!$B:$B,$A130,'Таблиця 1'!$I:$I,"Mirage",'Таблиця 1'!$J:$J,"C-13")+SUMIFS('Таблиця 1'!$K:$K,'Таблиця 1'!$B:$B,$A130,'Таблиця 1'!$I:$I,"F-16",'Таблиця 1'!$J:$J,"C-13")+SUMIFS('Таблиця 1'!$K:$K,'Таблиця 1'!$B:$B,$A130,'Таблиця 1'!$I:$I,"МіГ-29",'Таблиця 1'!$J:$J,"C-13")+SUMIFS('Таблиця 1'!$K:$K,'Таблиця 1'!$B:$B,$A130,'Таблиця 1'!$I:$I,"Су-25",'Таблиця 1'!$J:$J,"C-13")+SUMIFS('Таблиця 1'!$K:$K,'Таблиця 1'!$B:$B,$A130,'Таблиця 1'!$I:$I,"Су-27",'Таблиця 1'!$J:$J,"C-13"))</f>
        <v/>
      </c>
      <c r="P130">
        <f>IF($A130="","",SUMIFS('Таблиця 1'!$K:$K,'Таблиця 1'!$B:$B,$A130,'Таблиця 1'!$I:$I,"Mirage",'Таблиця 1'!$J:$J,"MK-32")+SUMIFS('Таблиця 1'!$K:$K,'Таблиця 1'!$B:$B,$A130,'Таблиця 1'!$I:$I,"F-16",'Таблиця 1'!$J:$J,"MK-32")+SUMIFS('Таблиця 1'!$K:$K,'Таблиця 1'!$B:$B,$A130,'Таблиця 1'!$I:$I,"МіГ-29",'Таблиця 1'!$J:$J,"MK-32")+SUMIFS('Таблиця 1'!$K:$K,'Таблиця 1'!$B:$B,$A130,'Таблиця 1'!$I:$I,"Су-25",'Таблиця 1'!$J:$J,"MK-32")+SUMIFS('Таблиця 1'!$K:$K,'Таблиця 1'!$B:$B,$A130,'Таблиця 1'!$I:$I,"Су-27",'Таблиця 1'!$J:$J,"MK-32"))</f>
        <v/>
      </c>
      <c r="Q130">
        <f>IF($A130="","",SUMIFS('Таблиця 1'!$K:$K,'Таблиця 1'!$B:$B,$A130,'Таблиця 1'!$I:$I,"Mirage",'Таблиця 1'!$J:$J,"MK-24")+SUMIFS('Таблиця 1'!$K:$K,'Таблиця 1'!$B:$B,$A130,'Таблиця 1'!$I:$I,"F-16",'Таблиця 1'!$J:$J,"MK-24")+SUMIFS('Таблиця 1'!$K:$K,'Таблиця 1'!$B:$B,$A130,'Таблиця 1'!$I:$I,"МіГ-29",'Таблиця 1'!$J:$J,"MK-24")+SUMIFS('Таблиця 1'!$K:$K,'Таблиця 1'!$B:$B,$A130,'Таблиця 1'!$I:$I,"Су-25",'Таблиця 1'!$J:$J,"MK-24")+SUMIFS('Таблиця 1'!$K:$K,'Таблиця 1'!$B:$B,$A130,'Таблиця 1'!$I:$I,"Су-27",'Таблиця 1'!$J:$J,"MK-24"))</f>
        <v/>
      </c>
      <c r="R130">
        <f>IF($A130="","",COUNTIFS('Таблиця 1'!$B:$B,$A130,'Таблиця 1'!$I:$I,"Mirage",'Таблиця 1'!$L:$L,"Уражено")+COUNTIFS('Таблиця 1'!$B:$B,$A130,'Таблиця 1'!$I:$I,"F-16",'Таблиця 1'!$L:$L,"Уражено")+COUNTIFS('Таблиця 1'!$B:$B,$A130,'Таблиця 1'!$I:$I,"МіГ-29",'Таблиця 1'!$L:$L,"Уражено")+COUNTIFS('Таблиця 1'!$B:$B,$A130,'Таблиця 1'!$I:$I,"Су-25",'Таблиця 1'!$L:$L,"Уражено")+COUNTIFS('Таблиця 1'!$B:$B,$A130,'Таблиця 1'!$I:$I,"Су-27",'Таблиця 1'!$L:$L,"Уражено"))</f>
        <v/>
      </c>
      <c r="S130">
        <f>IF($A130="","",COUNTIFS('Таблиця 1'!$B:$B,$A130,'Таблиця 1'!$I:$I,"Mirage",'Таблиця 1'!$L:$L,"НЕ уражено")+COUNTIFS('Таблиця 1'!$B:$B,$A130,'Таблиця 1'!$I:$I,"F-16",'Таблиця 1'!$L:$L,"НЕ уражено")+COUNTIFS('Таблиця 1'!$B:$B,$A130,'Таблиця 1'!$I:$I,"МіГ-29",'Таблиця 1'!$L:$L,"НЕ уражено")+COUNTIFS('Таблиця 1'!$B:$B,$A130,'Таблиця 1'!$I:$I,"Су-25",'Таблиця 1'!$L:$L,"НЕ уражено")+COUNTIFS('Таблиця 1'!$B:$B,$A130,'Таблиця 1'!$I:$I,"Су-27",'Таблиця 1'!$L:$L,"НЕ уражено"))</f>
        <v/>
      </c>
      <c r="T130">
        <f>IF($A130="","",COUNTIFS('Таблиця 1'!$B:$B,$A130,'Таблиця 1'!$I:$I,"Mirage",'Таблиця 1'!$L:$L,"Дорозвідується")+COUNTIFS('Таблиця 1'!$B:$B,$A130,'Таблиця 1'!$I:$I,"F-16",'Таблиця 1'!$L:$L,"Дорозвідується")+COUNTIFS('Таблиця 1'!$B:$B,$A130,'Таблиця 1'!$I:$I,"МіГ-29",'Таблиця 1'!$L:$L,"Дорозвідується")+COUNTIFS('Таблиця 1'!$B:$B,$A130,'Таблиця 1'!$I:$I,"Су-25",'Таблиця 1'!$L:$L,"Дорозвідується")+COUNTIFS('Таблиця 1'!$B:$B,$A130,'Таблиця 1'!$I:$I,"Су-27",'Таблиця 1'!$L:$L,"Дорозвідується"))</f>
        <v/>
      </c>
    </row>
    <row r="131">
      <c r="A131" s="273">
        <f>IF(A130="","",IF(A130+1&gt;MAX('Таблиця 1'!$B:$B),"",A130+1))</f>
        <v/>
      </c>
      <c r="B131">
        <f>IF($A131="","",COUNTIFS('Таблиця 1'!$B:$B,$A131,'Таблиця 1'!$I:$I,"Mirage")+COUNTIFS('Таблиця 1'!$B:$B,$A131,'Таблиця 1'!$I:$I,"F-16")+COUNTIFS('Таблиця 1'!$B:$B,$A131,'Таблиця 1'!$I:$I,"МіГ-29")+COUNTIFS('Таблиця 1'!$B:$B,$A131,'Таблиця 1'!$I:$I,"Су-25")+COUNTIFS('Таблиця 1'!$B:$B,$A131,'Таблиця 1'!$I:$I,"Су-27"))</f>
        <v/>
      </c>
      <c r="C131">
        <f>IF($A131="","",COUNTIFS('Таблиця 1'!$B:$B,$A131,'Таблиця 1'!$I:$I,"Mirage"))</f>
        <v/>
      </c>
      <c r="D131">
        <f>IF($A131="","",COUNTIFS('Таблиця 1'!$B:$B,$A131,'Таблиця 1'!$I:$I,"F-16"))</f>
        <v/>
      </c>
      <c r="E131">
        <f>IF($A131="","",COUNTIFS('Таблиця 1'!$B:$B,$A131,'Таблиця 1'!$I:$I,"МіГ-29"))</f>
        <v/>
      </c>
      <c r="F131">
        <f>IF($A131="","",COUNTIFS('Таблиця 1'!$B:$B,$A131,'Таблиця 1'!$I:$I,"Су-25"))</f>
        <v/>
      </c>
      <c r="G131">
        <f>IF($A131="","",COUNTIFS('Таблиця 1'!$B:$B,$A131,'Таблиця 1'!$I:$I,"Су-27"))</f>
        <v/>
      </c>
      <c r="H131">
        <f>IF($A131="","",SUMIFS('Таблиця 1'!$K:$K,'Таблиця 1'!$B:$B,$A131,'Таблиця 1'!$I:$I,"Mirage",'Таблиця 1'!$J:$J,"AGM-88")+SUMIFS('Таблиця 1'!$K:$K,'Таблиця 1'!$B:$B,$A131,'Таблиця 1'!$I:$I,"F-16",'Таблиця 1'!$J:$J,"AGM-88")+SUMIFS('Таблиця 1'!$K:$K,'Таблиця 1'!$B:$B,$A131,'Таблиця 1'!$I:$I,"МіГ-29",'Таблиця 1'!$J:$J,"AGM-88")+SUMIFS('Таблиця 1'!$K:$K,'Таблиця 1'!$B:$B,$A131,'Таблиця 1'!$I:$I,"Су-25",'Таблиця 1'!$J:$J,"AGM-88")+SUMIFS('Таблиця 1'!$K:$K,'Таблиця 1'!$B:$B,$A131,'Таблиця 1'!$I:$I,"Су-27",'Таблиця 1'!$J:$J,"AGM-88"))</f>
        <v/>
      </c>
      <c r="I131">
        <f>IF($A131="","",SUMIFS('Таблиця 1'!$K:$K,'Таблиця 1'!$B:$B,$A131,'Таблиця 1'!$I:$I,"Mirage",'Таблиця 1'!$J:$J,"AASM-250")+SUMIFS('Таблиця 1'!$K:$K,'Таблиця 1'!$B:$B,$A131,'Таблиця 1'!$I:$I,"F-16",'Таблиця 1'!$J:$J,"AASM-250")+SUMIFS('Таблиця 1'!$K:$K,'Таблиця 1'!$B:$B,$A131,'Таблиця 1'!$I:$I,"МіГ-29",'Таблиця 1'!$J:$J,"AASM-250")+SUMIFS('Таблиця 1'!$K:$K,'Таблиця 1'!$B:$B,$A131,'Таблиця 1'!$I:$I,"Су-25",'Таблиця 1'!$J:$J,"AASM-250")+SUMIFS('Таблиця 1'!$K:$K,'Таблиця 1'!$B:$B,$A131,'Таблиця 1'!$I:$I,"Су-27",'Таблиця 1'!$J:$J,"AASM-250"))</f>
        <v/>
      </c>
      <c r="J131">
        <f>IF($A131="","",SUMIFS('Таблиця 1'!$K:$K,'Таблиця 1'!$B:$B,$A131,'Таблиця 1'!$I:$I,"Mirage",'Таблиця 1'!$J:$J,"GBU-39")+SUMIFS('Таблиця 1'!$K:$K,'Таблиця 1'!$B:$B,$A131,'Таблиця 1'!$I:$I,"F-16",'Таблиця 1'!$J:$J,"GBU-39")+SUMIFS('Таблиця 1'!$K:$K,'Таблиця 1'!$B:$B,$A131,'Таблиця 1'!$I:$I,"МіГ-29",'Таблиця 1'!$J:$J,"GBU-39")+SUMIFS('Таблиця 1'!$K:$K,'Таблиця 1'!$B:$B,$A131,'Таблиця 1'!$I:$I,"Су-25",'Таблиця 1'!$J:$J,"GBU-39")+SUMIFS('Таблиця 1'!$K:$K,'Таблиця 1'!$B:$B,$A131,'Таблиця 1'!$I:$I,"Су-27",'Таблиця 1'!$J:$J,"GBU-39"))</f>
        <v/>
      </c>
      <c r="K131">
        <f>IF($A131="","",SUMIFS('Таблиця 1'!$K:$K,'Таблиця 1'!$B:$B,$A131,'Таблиця 1'!$I:$I,"Mirage",'Таблиця 1'!$J:$J,"BLU-140")+SUMIFS('Таблиця 1'!$K:$K,'Таблиця 1'!$B:$B,$A131,'Таблиця 1'!$I:$I,"F-16",'Таблиця 1'!$J:$J,"BLU-140")+SUMIFS('Таблиця 1'!$K:$K,'Таблиця 1'!$B:$B,$A131,'Таблиця 1'!$I:$I,"МіГ-29",'Таблиця 1'!$J:$J,"BLU-140")+SUMIFS('Таблиця 1'!$K:$K,'Таблиця 1'!$B:$B,$A131,'Таблиця 1'!$I:$I,"Су-25",'Таблиця 1'!$J:$J,"BLU-140")+SUMIFS('Таблиця 1'!$K:$K,'Таблиця 1'!$B:$B,$A131,'Таблиця 1'!$I:$I,"Су-27",'Таблиця 1'!$J:$J,"BLU-140"))</f>
        <v/>
      </c>
      <c r="L131">
        <f>IF($A131="","",SUMIFS('Таблиця 1'!$K:$K,'Таблиця 1'!$B:$B,$A131,'Таблиця 1'!$I:$I,"Mirage",'Таблиця 1'!$J:$J,"GBU-65")+SUMIFS('Таблиця 1'!$K:$K,'Таблиця 1'!$B:$B,$A131,'Таблиця 1'!$I:$I,"F-16",'Таблиця 1'!$J:$J,"GBU-65")+SUMIFS('Таблиця 1'!$K:$K,'Таблиця 1'!$B:$B,$A131,'Таблиця 1'!$I:$I,"МіГ-29",'Таблиця 1'!$J:$J,"GBU-65")+SUMIFS('Таблиця 1'!$K:$K,'Таблиця 1'!$B:$B,$A131,'Таблиця 1'!$I:$I,"Су-25",'Таблиця 1'!$J:$J,"GBU-65")+SUMIFS('Таблиця 1'!$K:$K,'Таблиця 1'!$B:$B,$A131,'Таблиця 1'!$I:$I,"Су-27",'Таблиця 1'!$J:$J,"GBU-65"))</f>
        <v/>
      </c>
      <c r="M131">
        <f>IF($A131="","",SUMIFS('Таблиця 1'!$K:$K,'Таблиця 1'!$B:$B,$A131,'Таблиця 1'!$I:$I,"Mirage",'Таблиця 1'!$J:$J,"GBU-62")+SUMIFS('Таблиця 1'!$K:$K,'Таблиця 1'!$B:$B,$A131,'Таблиця 1'!$I:$I,"F-16",'Таблиця 1'!$J:$J,"GBU-62")+SUMIFS('Таблиця 1'!$K:$K,'Таблиця 1'!$B:$B,$A131,'Таблиця 1'!$I:$I,"МіГ-29",'Таблиця 1'!$J:$J,"GBU-62")+SUMIFS('Таблиця 1'!$K:$K,'Таблиця 1'!$B:$B,$A131,'Таблиця 1'!$I:$I,"Су-25",'Таблиця 1'!$J:$J,"GBU-62")+SUMIFS('Таблиця 1'!$K:$K,'Таблиця 1'!$B:$B,$A131,'Таблиця 1'!$I:$I,"Су-27",'Таблиця 1'!$J:$J,"GBU-62"))</f>
        <v/>
      </c>
      <c r="N131">
        <f>IF($A131="","",SUMIFS('Таблиця 1'!$K:$K,'Таблиця 1'!$B:$B,$A131,'Таблиця 1'!$I:$I,"Mirage",'Таблиця 1'!$J:$J,"GBU-64")+SUMIFS('Таблиця 1'!$K:$K,'Таблиця 1'!$B:$B,$A131,'Таблиця 1'!$I:$I,"F-16",'Таблиця 1'!$J:$J,"GBU-64")+SUMIFS('Таблиця 1'!$K:$K,'Таблиця 1'!$B:$B,$A131,'Таблиця 1'!$I:$I,"МіГ-29",'Таблиця 1'!$J:$J,"GBU-64")+SUMIFS('Таблиця 1'!$K:$K,'Таблиця 1'!$B:$B,$A131,'Таблиця 1'!$I:$I,"Су-25",'Таблиця 1'!$J:$J,"GBU-64")+SUMIFS('Таблиця 1'!$K:$K,'Таблиця 1'!$B:$B,$A131,'Таблиця 1'!$I:$I,"Су-27",'Таблиця 1'!$J:$J,"GBU-64"))</f>
        <v/>
      </c>
      <c r="O131">
        <f>IF($A131="","",SUMIFS('Таблиця 1'!$K:$K,'Таблиця 1'!$B:$B,$A131,'Таблиця 1'!$I:$I,"Mirage",'Таблиця 1'!$J:$J,"C-13")+SUMIFS('Таблиця 1'!$K:$K,'Таблиця 1'!$B:$B,$A131,'Таблиця 1'!$I:$I,"F-16",'Таблиця 1'!$J:$J,"C-13")+SUMIFS('Таблиця 1'!$K:$K,'Таблиця 1'!$B:$B,$A131,'Таблиця 1'!$I:$I,"МіГ-29",'Таблиця 1'!$J:$J,"C-13")+SUMIFS('Таблиця 1'!$K:$K,'Таблиця 1'!$B:$B,$A131,'Таблиця 1'!$I:$I,"Су-25",'Таблиця 1'!$J:$J,"C-13")+SUMIFS('Таблиця 1'!$K:$K,'Таблиця 1'!$B:$B,$A131,'Таблиця 1'!$I:$I,"Су-27",'Таблиця 1'!$J:$J,"C-13"))</f>
        <v/>
      </c>
      <c r="P131">
        <f>IF($A131="","",SUMIFS('Таблиця 1'!$K:$K,'Таблиця 1'!$B:$B,$A131,'Таблиця 1'!$I:$I,"Mirage",'Таблиця 1'!$J:$J,"MK-32")+SUMIFS('Таблиця 1'!$K:$K,'Таблиця 1'!$B:$B,$A131,'Таблиця 1'!$I:$I,"F-16",'Таблиця 1'!$J:$J,"MK-32")+SUMIFS('Таблиця 1'!$K:$K,'Таблиця 1'!$B:$B,$A131,'Таблиця 1'!$I:$I,"МіГ-29",'Таблиця 1'!$J:$J,"MK-32")+SUMIFS('Таблиця 1'!$K:$K,'Таблиця 1'!$B:$B,$A131,'Таблиця 1'!$I:$I,"Су-25",'Таблиця 1'!$J:$J,"MK-32")+SUMIFS('Таблиця 1'!$K:$K,'Таблиця 1'!$B:$B,$A131,'Таблиця 1'!$I:$I,"Су-27",'Таблиця 1'!$J:$J,"MK-32"))</f>
        <v/>
      </c>
      <c r="Q131">
        <f>IF($A131="","",SUMIFS('Таблиця 1'!$K:$K,'Таблиця 1'!$B:$B,$A131,'Таблиця 1'!$I:$I,"Mirage",'Таблиця 1'!$J:$J,"MK-24")+SUMIFS('Таблиця 1'!$K:$K,'Таблиця 1'!$B:$B,$A131,'Таблиця 1'!$I:$I,"F-16",'Таблиця 1'!$J:$J,"MK-24")+SUMIFS('Таблиця 1'!$K:$K,'Таблиця 1'!$B:$B,$A131,'Таблиця 1'!$I:$I,"МіГ-29",'Таблиця 1'!$J:$J,"MK-24")+SUMIFS('Таблиця 1'!$K:$K,'Таблиця 1'!$B:$B,$A131,'Таблиця 1'!$I:$I,"Су-25",'Таблиця 1'!$J:$J,"MK-24")+SUMIFS('Таблиця 1'!$K:$K,'Таблиця 1'!$B:$B,$A131,'Таблиця 1'!$I:$I,"Су-27",'Таблиця 1'!$J:$J,"MK-24"))</f>
        <v/>
      </c>
      <c r="R131">
        <f>IF($A131="","",COUNTIFS('Таблиця 1'!$B:$B,$A131,'Таблиця 1'!$I:$I,"Mirage",'Таблиця 1'!$L:$L,"Уражено")+COUNTIFS('Таблиця 1'!$B:$B,$A131,'Таблиця 1'!$I:$I,"F-16",'Таблиця 1'!$L:$L,"Уражено")+COUNTIFS('Таблиця 1'!$B:$B,$A131,'Таблиця 1'!$I:$I,"МіГ-29",'Таблиця 1'!$L:$L,"Уражено")+COUNTIFS('Таблиця 1'!$B:$B,$A131,'Таблиця 1'!$I:$I,"Су-25",'Таблиця 1'!$L:$L,"Уражено")+COUNTIFS('Таблиця 1'!$B:$B,$A131,'Таблиця 1'!$I:$I,"Су-27",'Таблиця 1'!$L:$L,"Уражено"))</f>
        <v/>
      </c>
      <c r="S131">
        <f>IF($A131="","",COUNTIFS('Таблиця 1'!$B:$B,$A131,'Таблиця 1'!$I:$I,"Mirage",'Таблиця 1'!$L:$L,"НЕ уражено")+COUNTIFS('Таблиця 1'!$B:$B,$A131,'Таблиця 1'!$I:$I,"F-16",'Таблиця 1'!$L:$L,"НЕ уражено")+COUNTIFS('Таблиця 1'!$B:$B,$A131,'Таблиця 1'!$I:$I,"МіГ-29",'Таблиця 1'!$L:$L,"НЕ уражено")+COUNTIFS('Таблиця 1'!$B:$B,$A131,'Таблиця 1'!$I:$I,"Су-25",'Таблиця 1'!$L:$L,"НЕ уражено")+COUNTIFS('Таблиця 1'!$B:$B,$A131,'Таблиця 1'!$I:$I,"Су-27",'Таблиця 1'!$L:$L,"НЕ уражено"))</f>
        <v/>
      </c>
      <c r="T131">
        <f>IF($A131="","",COUNTIFS('Таблиця 1'!$B:$B,$A131,'Таблиця 1'!$I:$I,"Mirage",'Таблиця 1'!$L:$L,"Дорозвідується")+COUNTIFS('Таблиця 1'!$B:$B,$A131,'Таблиця 1'!$I:$I,"F-16",'Таблиця 1'!$L:$L,"Дорозвідується")+COUNTIFS('Таблиця 1'!$B:$B,$A131,'Таблиця 1'!$I:$I,"МіГ-29",'Таблиця 1'!$L:$L,"Дорозвідується")+COUNTIFS('Таблиця 1'!$B:$B,$A131,'Таблиця 1'!$I:$I,"Су-25",'Таблиця 1'!$L:$L,"Дорозвідується")+COUNTIFS('Таблиця 1'!$B:$B,$A131,'Таблиця 1'!$I:$I,"Су-27",'Таблиця 1'!$L:$L,"Дорозвідується"))</f>
        <v/>
      </c>
    </row>
    <row r="132">
      <c r="A132" s="273">
        <f>IF(A131="","",IF(A131+1&gt;MAX('Таблиця 1'!$B:$B),"",A131+1))</f>
        <v/>
      </c>
      <c r="B132">
        <f>IF($A132="","",COUNTIFS('Таблиця 1'!$B:$B,$A132,'Таблиця 1'!$I:$I,"Mirage")+COUNTIFS('Таблиця 1'!$B:$B,$A132,'Таблиця 1'!$I:$I,"F-16")+COUNTIFS('Таблиця 1'!$B:$B,$A132,'Таблиця 1'!$I:$I,"МіГ-29")+COUNTIFS('Таблиця 1'!$B:$B,$A132,'Таблиця 1'!$I:$I,"Су-25")+COUNTIFS('Таблиця 1'!$B:$B,$A132,'Таблиця 1'!$I:$I,"Су-27"))</f>
        <v/>
      </c>
      <c r="C132">
        <f>IF($A132="","",COUNTIFS('Таблиця 1'!$B:$B,$A132,'Таблиця 1'!$I:$I,"Mirage"))</f>
        <v/>
      </c>
      <c r="D132">
        <f>IF($A132="","",COUNTIFS('Таблиця 1'!$B:$B,$A132,'Таблиця 1'!$I:$I,"F-16"))</f>
        <v/>
      </c>
      <c r="E132">
        <f>IF($A132="","",COUNTIFS('Таблиця 1'!$B:$B,$A132,'Таблиця 1'!$I:$I,"МіГ-29"))</f>
        <v/>
      </c>
      <c r="F132">
        <f>IF($A132="","",COUNTIFS('Таблиця 1'!$B:$B,$A132,'Таблиця 1'!$I:$I,"Су-25"))</f>
        <v/>
      </c>
      <c r="G132">
        <f>IF($A132="","",COUNTIFS('Таблиця 1'!$B:$B,$A132,'Таблиця 1'!$I:$I,"Су-27"))</f>
        <v/>
      </c>
      <c r="H132">
        <f>IF($A132="","",SUMIFS('Таблиця 1'!$K:$K,'Таблиця 1'!$B:$B,$A132,'Таблиця 1'!$I:$I,"Mirage",'Таблиця 1'!$J:$J,"AGM-88")+SUMIFS('Таблиця 1'!$K:$K,'Таблиця 1'!$B:$B,$A132,'Таблиця 1'!$I:$I,"F-16",'Таблиця 1'!$J:$J,"AGM-88")+SUMIFS('Таблиця 1'!$K:$K,'Таблиця 1'!$B:$B,$A132,'Таблиця 1'!$I:$I,"МіГ-29",'Таблиця 1'!$J:$J,"AGM-88")+SUMIFS('Таблиця 1'!$K:$K,'Таблиця 1'!$B:$B,$A132,'Таблиця 1'!$I:$I,"Су-25",'Таблиця 1'!$J:$J,"AGM-88")+SUMIFS('Таблиця 1'!$K:$K,'Таблиця 1'!$B:$B,$A132,'Таблиця 1'!$I:$I,"Су-27",'Таблиця 1'!$J:$J,"AGM-88"))</f>
        <v/>
      </c>
      <c r="I132">
        <f>IF($A132="","",SUMIFS('Таблиця 1'!$K:$K,'Таблиця 1'!$B:$B,$A132,'Таблиця 1'!$I:$I,"Mirage",'Таблиця 1'!$J:$J,"AASM-250")+SUMIFS('Таблиця 1'!$K:$K,'Таблиця 1'!$B:$B,$A132,'Таблиця 1'!$I:$I,"F-16",'Таблиця 1'!$J:$J,"AASM-250")+SUMIFS('Таблиця 1'!$K:$K,'Таблиця 1'!$B:$B,$A132,'Таблиця 1'!$I:$I,"МіГ-29",'Таблиця 1'!$J:$J,"AASM-250")+SUMIFS('Таблиця 1'!$K:$K,'Таблиця 1'!$B:$B,$A132,'Таблиця 1'!$I:$I,"Су-25",'Таблиця 1'!$J:$J,"AASM-250")+SUMIFS('Таблиця 1'!$K:$K,'Таблиця 1'!$B:$B,$A132,'Таблиця 1'!$I:$I,"Су-27",'Таблиця 1'!$J:$J,"AASM-250"))</f>
        <v/>
      </c>
      <c r="J132">
        <f>IF($A132="","",SUMIFS('Таблиця 1'!$K:$K,'Таблиця 1'!$B:$B,$A132,'Таблиця 1'!$I:$I,"Mirage",'Таблиця 1'!$J:$J,"GBU-39")+SUMIFS('Таблиця 1'!$K:$K,'Таблиця 1'!$B:$B,$A132,'Таблиця 1'!$I:$I,"F-16",'Таблиця 1'!$J:$J,"GBU-39")+SUMIFS('Таблиця 1'!$K:$K,'Таблиця 1'!$B:$B,$A132,'Таблиця 1'!$I:$I,"МіГ-29",'Таблиця 1'!$J:$J,"GBU-39")+SUMIFS('Таблиця 1'!$K:$K,'Таблиця 1'!$B:$B,$A132,'Таблиця 1'!$I:$I,"Су-25",'Таблиця 1'!$J:$J,"GBU-39")+SUMIFS('Таблиця 1'!$K:$K,'Таблиця 1'!$B:$B,$A132,'Таблиця 1'!$I:$I,"Су-27",'Таблиця 1'!$J:$J,"GBU-39"))</f>
        <v/>
      </c>
      <c r="K132">
        <f>IF($A132="","",SUMIFS('Таблиця 1'!$K:$K,'Таблиця 1'!$B:$B,$A132,'Таблиця 1'!$I:$I,"Mirage",'Таблиця 1'!$J:$J,"BLU-140")+SUMIFS('Таблиця 1'!$K:$K,'Таблиця 1'!$B:$B,$A132,'Таблиця 1'!$I:$I,"F-16",'Таблиця 1'!$J:$J,"BLU-140")+SUMIFS('Таблиця 1'!$K:$K,'Таблиця 1'!$B:$B,$A132,'Таблиця 1'!$I:$I,"МіГ-29",'Таблиця 1'!$J:$J,"BLU-140")+SUMIFS('Таблиця 1'!$K:$K,'Таблиця 1'!$B:$B,$A132,'Таблиця 1'!$I:$I,"Су-25",'Таблиця 1'!$J:$J,"BLU-140")+SUMIFS('Таблиця 1'!$K:$K,'Таблиця 1'!$B:$B,$A132,'Таблиця 1'!$I:$I,"Су-27",'Таблиця 1'!$J:$J,"BLU-140"))</f>
        <v/>
      </c>
      <c r="L132">
        <f>IF($A132="","",SUMIFS('Таблиця 1'!$K:$K,'Таблиця 1'!$B:$B,$A132,'Таблиця 1'!$I:$I,"Mirage",'Таблиця 1'!$J:$J,"GBU-65")+SUMIFS('Таблиця 1'!$K:$K,'Таблиця 1'!$B:$B,$A132,'Таблиця 1'!$I:$I,"F-16",'Таблиця 1'!$J:$J,"GBU-65")+SUMIFS('Таблиця 1'!$K:$K,'Таблиця 1'!$B:$B,$A132,'Таблиця 1'!$I:$I,"МіГ-29",'Таблиця 1'!$J:$J,"GBU-65")+SUMIFS('Таблиця 1'!$K:$K,'Таблиця 1'!$B:$B,$A132,'Таблиця 1'!$I:$I,"Су-25",'Таблиця 1'!$J:$J,"GBU-65")+SUMIFS('Таблиця 1'!$K:$K,'Таблиця 1'!$B:$B,$A132,'Таблиця 1'!$I:$I,"Су-27",'Таблиця 1'!$J:$J,"GBU-65"))</f>
        <v/>
      </c>
      <c r="M132">
        <f>IF($A132="","",SUMIFS('Таблиця 1'!$K:$K,'Таблиця 1'!$B:$B,$A132,'Таблиця 1'!$I:$I,"Mirage",'Таблиця 1'!$J:$J,"GBU-62")+SUMIFS('Таблиця 1'!$K:$K,'Таблиця 1'!$B:$B,$A132,'Таблиця 1'!$I:$I,"F-16",'Таблиця 1'!$J:$J,"GBU-62")+SUMIFS('Таблиця 1'!$K:$K,'Таблиця 1'!$B:$B,$A132,'Таблиця 1'!$I:$I,"МіГ-29",'Таблиця 1'!$J:$J,"GBU-62")+SUMIFS('Таблиця 1'!$K:$K,'Таблиця 1'!$B:$B,$A132,'Таблиця 1'!$I:$I,"Су-25",'Таблиця 1'!$J:$J,"GBU-62")+SUMIFS('Таблиця 1'!$K:$K,'Таблиця 1'!$B:$B,$A132,'Таблиця 1'!$I:$I,"Су-27",'Таблиця 1'!$J:$J,"GBU-62"))</f>
        <v/>
      </c>
      <c r="N132">
        <f>IF($A132="","",SUMIFS('Таблиця 1'!$K:$K,'Таблиця 1'!$B:$B,$A132,'Таблиця 1'!$I:$I,"Mirage",'Таблиця 1'!$J:$J,"GBU-64")+SUMIFS('Таблиця 1'!$K:$K,'Таблиця 1'!$B:$B,$A132,'Таблиця 1'!$I:$I,"F-16",'Таблиця 1'!$J:$J,"GBU-64")+SUMIFS('Таблиця 1'!$K:$K,'Таблиця 1'!$B:$B,$A132,'Таблиця 1'!$I:$I,"МіГ-29",'Таблиця 1'!$J:$J,"GBU-64")+SUMIFS('Таблиця 1'!$K:$K,'Таблиця 1'!$B:$B,$A132,'Таблиця 1'!$I:$I,"Су-25",'Таблиця 1'!$J:$J,"GBU-64")+SUMIFS('Таблиця 1'!$K:$K,'Таблиця 1'!$B:$B,$A132,'Таблиця 1'!$I:$I,"Су-27",'Таблиця 1'!$J:$J,"GBU-64"))</f>
        <v/>
      </c>
      <c r="O132">
        <f>IF($A132="","",SUMIFS('Таблиця 1'!$K:$K,'Таблиця 1'!$B:$B,$A132,'Таблиця 1'!$I:$I,"Mirage",'Таблиця 1'!$J:$J,"C-13")+SUMIFS('Таблиця 1'!$K:$K,'Таблиця 1'!$B:$B,$A132,'Таблиця 1'!$I:$I,"F-16",'Таблиця 1'!$J:$J,"C-13")+SUMIFS('Таблиця 1'!$K:$K,'Таблиця 1'!$B:$B,$A132,'Таблиця 1'!$I:$I,"МіГ-29",'Таблиця 1'!$J:$J,"C-13")+SUMIFS('Таблиця 1'!$K:$K,'Таблиця 1'!$B:$B,$A132,'Таблиця 1'!$I:$I,"Су-25",'Таблиця 1'!$J:$J,"C-13")+SUMIFS('Таблиця 1'!$K:$K,'Таблиця 1'!$B:$B,$A132,'Таблиця 1'!$I:$I,"Су-27",'Таблиця 1'!$J:$J,"C-13"))</f>
        <v/>
      </c>
      <c r="P132">
        <f>IF($A132="","",SUMIFS('Таблиця 1'!$K:$K,'Таблиця 1'!$B:$B,$A132,'Таблиця 1'!$I:$I,"Mirage",'Таблиця 1'!$J:$J,"MK-32")+SUMIFS('Таблиця 1'!$K:$K,'Таблиця 1'!$B:$B,$A132,'Таблиця 1'!$I:$I,"F-16",'Таблиця 1'!$J:$J,"MK-32")+SUMIFS('Таблиця 1'!$K:$K,'Таблиця 1'!$B:$B,$A132,'Таблиця 1'!$I:$I,"МіГ-29",'Таблиця 1'!$J:$J,"MK-32")+SUMIFS('Таблиця 1'!$K:$K,'Таблиця 1'!$B:$B,$A132,'Таблиця 1'!$I:$I,"Су-25",'Таблиця 1'!$J:$J,"MK-32")+SUMIFS('Таблиця 1'!$K:$K,'Таблиця 1'!$B:$B,$A132,'Таблиця 1'!$I:$I,"Су-27",'Таблиця 1'!$J:$J,"MK-32"))</f>
        <v/>
      </c>
      <c r="Q132">
        <f>IF($A132="","",SUMIFS('Таблиця 1'!$K:$K,'Таблиця 1'!$B:$B,$A132,'Таблиця 1'!$I:$I,"Mirage",'Таблиця 1'!$J:$J,"MK-24")+SUMIFS('Таблиця 1'!$K:$K,'Таблиця 1'!$B:$B,$A132,'Таблиця 1'!$I:$I,"F-16",'Таблиця 1'!$J:$J,"MK-24")+SUMIFS('Таблиця 1'!$K:$K,'Таблиця 1'!$B:$B,$A132,'Таблиця 1'!$I:$I,"МіГ-29",'Таблиця 1'!$J:$J,"MK-24")+SUMIFS('Таблиця 1'!$K:$K,'Таблиця 1'!$B:$B,$A132,'Таблиця 1'!$I:$I,"Су-25",'Таблиця 1'!$J:$J,"MK-24")+SUMIFS('Таблиця 1'!$K:$K,'Таблиця 1'!$B:$B,$A132,'Таблиця 1'!$I:$I,"Су-27",'Таблиця 1'!$J:$J,"MK-24"))</f>
        <v/>
      </c>
      <c r="R132">
        <f>IF($A132="","",COUNTIFS('Таблиця 1'!$B:$B,$A132,'Таблиця 1'!$I:$I,"Mirage",'Таблиця 1'!$L:$L,"Уражено")+COUNTIFS('Таблиця 1'!$B:$B,$A132,'Таблиця 1'!$I:$I,"F-16",'Таблиця 1'!$L:$L,"Уражено")+COUNTIFS('Таблиця 1'!$B:$B,$A132,'Таблиця 1'!$I:$I,"МіГ-29",'Таблиця 1'!$L:$L,"Уражено")+COUNTIFS('Таблиця 1'!$B:$B,$A132,'Таблиця 1'!$I:$I,"Су-25",'Таблиця 1'!$L:$L,"Уражено")+COUNTIFS('Таблиця 1'!$B:$B,$A132,'Таблиця 1'!$I:$I,"Су-27",'Таблиця 1'!$L:$L,"Уражено"))</f>
        <v/>
      </c>
      <c r="S132">
        <f>IF($A132="","",COUNTIFS('Таблиця 1'!$B:$B,$A132,'Таблиця 1'!$I:$I,"Mirage",'Таблиця 1'!$L:$L,"НЕ уражено")+COUNTIFS('Таблиця 1'!$B:$B,$A132,'Таблиця 1'!$I:$I,"F-16",'Таблиця 1'!$L:$L,"НЕ уражено")+COUNTIFS('Таблиця 1'!$B:$B,$A132,'Таблиця 1'!$I:$I,"МіГ-29",'Таблиця 1'!$L:$L,"НЕ уражено")+COUNTIFS('Таблиця 1'!$B:$B,$A132,'Таблиця 1'!$I:$I,"Су-25",'Таблиця 1'!$L:$L,"НЕ уражено")+COUNTIFS('Таблиця 1'!$B:$B,$A132,'Таблиця 1'!$I:$I,"Су-27",'Таблиця 1'!$L:$L,"НЕ уражено"))</f>
        <v/>
      </c>
      <c r="T132">
        <f>IF($A132="","",COUNTIFS('Таблиця 1'!$B:$B,$A132,'Таблиця 1'!$I:$I,"Mirage",'Таблиця 1'!$L:$L,"Дорозвідується")+COUNTIFS('Таблиця 1'!$B:$B,$A132,'Таблиця 1'!$I:$I,"F-16",'Таблиця 1'!$L:$L,"Дорозвідується")+COUNTIFS('Таблиця 1'!$B:$B,$A132,'Таблиця 1'!$I:$I,"МіГ-29",'Таблиця 1'!$L:$L,"Дорозвідується")+COUNTIFS('Таблиця 1'!$B:$B,$A132,'Таблиця 1'!$I:$I,"Су-25",'Таблиця 1'!$L:$L,"Дорозвідується")+COUNTIFS('Таблиця 1'!$B:$B,$A132,'Таблиця 1'!$I:$I,"Су-27",'Таблиця 1'!$L:$L,"Дорозвідується"))</f>
        <v/>
      </c>
    </row>
    <row r="133">
      <c r="A133" s="273">
        <f>IF(A132="","",IF(A132+1&gt;MAX('Таблиця 1'!$B:$B),"",A132+1))</f>
        <v/>
      </c>
      <c r="B133">
        <f>IF($A133="","",COUNTIFS('Таблиця 1'!$B:$B,$A133,'Таблиця 1'!$I:$I,"Mirage")+COUNTIFS('Таблиця 1'!$B:$B,$A133,'Таблиця 1'!$I:$I,"F-16")+COUNTIFS('Таблиця 1'!$B:$B,$A133,'Таблиця 1'!$I:$I,"МіГ-29")+COUNTIFS('Таблиця 1'!$B:$B,$A133,'Таблиця 1'!$I:$I,"Су-25")+COUNTIFS('Таблиця 1'!$B:$B,$A133,'Таблиця 1'!$I:$I,"Су-27"))</f>
        <v/>
      </c>
      <c r="C133">
        <f>IF($A133="","",COUNTIFS('Таблиця 1'!$B:$B,$A133,'Таблиця 1'!$I:$I,"Mirage"))</f>
        <v/>
      </c>
      <c r="D133">
        <f>IF($A133="","",COUNTIFS('Таблиця 1'!$B:$B,$A133,'Таблиця 1'!$I:$I,"F-16"))</f>
        <v/>
      </c>
      <c r="E133">
        <f>IF($A133="","",COUNTIFS('Таблиця 1'!$B:$B,$A133,'Таблиця 1'!$I:$I,"МіГ-29"))</f>
        <v/>
      </c>
      <c r="F133">
        <f>IF($A133="","",COUNTIFS('Таблиця 1'!$B:$B,$A133,'Таблиця 1'!$I:$I,"Су-25"))</f>
        <v/>
      </c>
      <c r="G133">
        <f>IF($A133="","",COUNTIFS('Таблиця 1'!$B:$B,$A133,'Таблиця 1'!$I:$I,"Су-27"))</f>
        <v/>
      </c>
      <c r="H133">
        <f>IF($A133="","",SUMIFS('Таблиця 1'!$K:$K,'Таблиця 1'!$B:$B,$A133,'Таблиця 1'!$I:$I,"Mirage",'Таблиця 1'!$J:$J,"AGM-88")+SUMIFS('Таблиця 1'!$K:$K,'Таблиця 1'!$B:$B,$A133,'Таблиця 1'!$I:$I,"F-16",'Таблиця 1'!$J:$J,"AGM-88")+SUMIFS('Таблиця 1'!$K:$K,'Таблиця 1'!$B:$B,$A133,'Таблиця 1'!$I:$I,"МіГ-29",'Таблиця 1'!$J:$J,"AGM-88")+SUMIFS('Таблиця 1'!$K:$K,'Таблиця 1'!$B:$B,$A133,'Таблиця 1'!$I:$I,"Су-25",'Таблиця 1'!$J:$J,"AGM-88")+SUMIFS('Таблиця 1'!$K:$K,'Таблиця 1'!$B:$B,$A133,'Таблиця 1'!$I:$I,"Су-27",'Таблиця 1'!$J:$J,"AGM-88"))</f>
        <v/>
      </c>
      <c r="I133">
        <f>IF($A133="","",SUMIFS('Таблиця 1'!$K:$K,'Таблиця 1'!$B:$B,$A133,'Таблиця 1'!$I:$I,"Mirage",'Таблиця 1'!$J:$J,"AASM-250")+SUMIFS('Таблиця 1'!$K:$K,'Таблиця 1'!$B:$B,$A133,'Таблиця 1'!$I:$I,"F-16",'Таблиця 1'!$J:$J,"AASM-250")+SUMIFS('Таблиця 1'!$K:$K,'Таблиця 1'!$B:$B,$A133,'Таблиця 1'!$I:$I,"МіГ-29",'Таблиця 1'!$J:$J,"AASM-250")+SUMIFS('Таблиця 1'!$K:$K,'Таблиця 1'!$B:$B,$A133,'Таблиця 1'!$I:$I,"Су-25",'Таблиця 1'!$J:$J,"AASM-250")+SUMIFS('Таблиця 1'!$K:$K,'Таблиця 1'!$B:$B,$A133,'Таблиця 1'!$I:$I,"Су-27",'Таблиця 1'!$J:$J,"AASM-250"))</f>
        <v/>
      </c>
      <c r="J133">
        <f>IF($A133="","",SUMIFS('Таблиця 1'!$K:$K,'Таблиця 1'!$B:$B,$A133,'Таблиця 1'!$I:$I,"Mirage",'Таблиця 1'!$J:$J,"GBU-39")+SUMIFS('Таблиця 1'!$K:$K,'Таблиця 1'!$B:$B,$A133,'Таблиця 1'!$I:$I,"F-16",'Таблиця 1'!$J:$J,"GBU-39")+SUMIFS('Таблиця 1'!$K:$K,'Таблиця 1'!$B:$B,$A133,'Таблиця 1'!$I:$I,"МіГ-29",'Таблиця 1'!$J:$J,"GBU-39")+SUMIFS('Таблиця 1'!$K:$K,'Таблиця 1'!$B:$B,$A133,'Таблиця 1'!$I:$I,"Су-25",'Таблиця 1'!$J:$J,"GBU-39")+SUMIFS('Таблиця 1'!$K:$K,'Таблиця 1'!$B:$B,$A133,'Таблиця 1'!$I:$I,"Су-27",'Таблиця 1'!$J:$J,"GBU-39"))</f>
        <v/>
      </c>
      <c r="K133">
        <f>IF($A133="","",SUMIFS('Таблиця 1'!$K:$K,'Таблиця 1'!$B:$B,$A133,'Таблиця 1'!$I:$I,"Mirage",'Таблиця 1'!$J:$J,"BLU-140")+SUMIFS('Таблиця 1'!$K:$K,'Таблиця 1'!$B:$B,$A133,'Таблиця 1'!$I:$I,"F-16",'Таблиця 1'!$J:$J,"BLU-140")+SUMIFS('Таблиця 1'!$K:$K,'Таблиця 1'!$B:$B,$A133,'Таблиця 1'!$I:$I,"МіГ-29",'Таблиця 1'!$J:$J,"BLU-140")+SUMIFS('Таблиця 1'!$K:$K,'Таблиця 1'!$B:$B,$A133,'Таблиця 1'!$I:$I,"Су-25",'Таблиця 1'!$J:$J,"BLU-140")+SUMIFS('Таблиця 1'!$K:$K,'Таблиця 1'!$B:$B,$A133,'Таблиця 1'!$I:$I,"Су-27",'Таблиця 1'!$J:$J,"BLU-140"))</f>
        <v/>
      </c>
      <c r="L133">
        <f>IF($A133="","",SUMIFS('Таблиця 1'!$K:$K,'Таблиця 1'!$B:$B,$A133,'Таблиця 1'!$I:$I,"Mirage",'Таблиця 1'!$J:$J,"GBU-65")+SUMIFS('Таблиця 1'!$K:$K,'Таблиця 1'!$B:$B,$A133,'Таблиця 1'!$I:$I,"F-16",'Таблиця 1'!$J:$J,"GBU-65")+SUMIFS('Таблиця 1'!$K:$K,'Таблиця 1'!$B:$B,$A133,'Таблиця 1'!$I:$I,"МіГ-29",'Таблиця 1'!$J:$J,"GBU-65")+SUMIFS('Таблиця 1'!$K:$K,'Таблиця 1'!$B:$B,$A133,'Таблиця 1'!$I:$I,"Су-25",'Таблиця 1'!$J:$J,"GBU-65")+SUMIFS('Таблиця 1'!$K:$K,'Таблиця 1'!$B:$B,$A133,'Таблиця 1'!$I:$I,"Су-27",'Таблиця 1'!$J:$J,"GBU-65"))</f>
        <v/>
      </c>
      <c r="M133">
        <f>IF($A133="","",SUMIFS('Таблиця 1'!$K:$K,'Таблиця 1'!$B:$B,$A133,'Таблиця 1'!$I:$I,"Mirage",'Таблиця 1'!$J:$J,"GBU-62")+SUMIFS('Таблиця 1'!$K:$K,'Таблиця 1'!$B:$B,$A133,'Таблиця 1'!$I:$I,"F-16",'Таблиця 1'!$J:$J,"GBU-62")+SUMIFS('Таблиця 1'!$K:$K,'Таблиця 1'!$B:$B,$A133,'Таблиця 1'!$I:$I,"МіГ-29",'Таблиця 1'!$J:$J,"GBU-62")+SUMIFS('Таблиця 1'!$K:$K,'Таблиця 1'!$B:$B,$A133,'Таблиця 1'!$I:$I,"Су-25",'Таблиця 1'!$J:$J,"GBU-62")+SUMIFS('Таблиця 1'!$K:$K,'Таблиця 1'!$B:$B,$A133,'Таблиця 1'!$I:$I,"Су-27",'Таблиця 1'!$J:$J,"GBU-62"))</f>
        <v/>
      </c>
      <c r="N133">
        <f>IF($A133="","",SUMIFS('Таблиця 1'!$K:$K,'Таблиця 1'!$B:$B,$A133,'Таблиця 1'!$I:$I,"Mirage",'Таблиця 1'!$J:$J,"GBU-64")+SUMIFS('Таблиця 1'!$K:$K,'Таблиця 1'!$B:$B,$A133,'Таблиця 1'!$I:$I,"F-16",'Таблиця 1'!$J:$J,"GBU-64")+SUMIFS('Таблиця 1'!$K:$K,'Таблиця 1'!$B:$B,$A133,'Таблиця 1'!$I:$I,"МіГ-29",'Таблиця 1'!$J:$J,"GBU-64")+SUMIFS('Таблиця 1'!$K:$K,'Таблиця 1'!$B:$B,$A133,'Таблиця 1'!$I:$I,"Су-25",'Таблиця 1'!$J:$J,"GBU-64")+SUMIFS('Таблиця 1'!$K:$K,'Таблиця 1'!$B:$B,$A133,'Таблиця 1'!$I:$I,"Су-27",'Таблиця 1'!$J:$J,"GBU-64"))</f>
        <v/>
      </c>
      <c r="O133">
        <f>IF($A133="","",SUMIFS('Таблиця 1'!$K:$K,'Таблиця 1'!$B:$B,$A133,'Таблиця 1'!$I:$I,"Mirage",'Таблиця 1'!$J:$J,"C-13")+SUMIFS('Таблиця 1'!$K:$K,'Таблиця 1'!$B:$B,$A133,'Таблиця 1'!$I:$I,"F-16",'Таблиця 1'!$J:$J,"C-13")+SUMIFS('Таблиця 1'!$K:$K,'Таблиця 1'!$B:$B,$A133,'Таблиця 1'!$I:$I,"МіГ-29",'Таблиця 1'!$J:$J,"C-13")+SUMIFS('Таблиця 1'!$K:$K,'Таблиця 1'!$B:$B,$A133,'Таблиця 1'!$I:$I,"Су-25",'Таблиця 1'!$J:$J,"C-13")+SUMIFS('Таблиця 1'!$K:$K,'Таблиця 1'!$B:$B,$A133,'Таблиця 1'!$I:$I,"Су-27",'Таблиця 1'!$J:$J,"C-13"))</f>
        <v/>
      </c>
      <c r="P133">
        <f>IF($A133="","",SUMIFS('Таблиця 1'!$K:$K,'Таблиця 1'!$B:$B,$A133,'Таблиця 1'!$I:$I,"Mirage",'Таблиця 1'!$J:$J,"MK-32")+SUMIFS('Таблиця 1'!$K:$K,'Таблиця 1'!$B:$B,$A133,'Таблиця 1'!$I:$I,"F-16",'Таблиця 1'!$J:$J,"MK-32")+SUMIFS('Таблиця 1'!$K:$K,'Таблиця 1'!$B:$B,$A133,'Таблиця 1'!$I:$I,"МіГ-29",'Таблиця 1'!$J:$J,"MK-32")+SUMIFS('Таблиця 1'!$K:$K,'Таблиця 1'!$B:$B,$A133,'Таблиця 1'!$I:$I,"Су-25",'Таблиця 1'!$J:$J,"MK-32")+SUMIFS('Таблиця 1'!$K:$K,'Таблиця 1'!$B:$B,$A133,'Таблиця 1'!$I:$I,"Су-27",'Таблиця 1'!$J:$J,"MK-32"))</f>
        <v/>
      </c>
      <c r="Q133">
        <f>IF($A133="","",SUMIFS('Таблиця 1'!$K:$K,'Таблиця 1'!$B:$B,$A133,'Таблиця 1'!$I:$I,"Mirage",'Таблиця 1'!$J:$J,"MK-24")+SUMIFS('Таблиця 1'!$K:$K,'Таблиця 1'!$B:$B,$A133,'Таблиця 1'!$I:$I,"F-16",'Таблиця 1'!$J:$J,"MK-24")+SUMIFS('Таблиця 1'!$K:$K,'Таблиця 1'!$B:$B,$A133,'Таблиця 1'!$I:$I,"МіГ-29",'Таблиця 1'!$J:$J,"MK-24")+SUMIFS('Таблиця 1'!$K:$K,'Таблиця 1'!$B:$B,$A133,'Таблиця 1'!$I:$I,"Су-25",'Таблиця 1'!$J:$J,"MK-24")+SUMIFS('Таблиця 1'!$K:$K,'Таблиця 1'!$B:$B,$A133,'Таблиця 1'!$I:$I,"Су-27",'Таблиця 1'!$J:$J,"MK-24"))</f>
        <v/>
      </c>
      <c r="R133">
        <f>IF($A133="","",COUNTIFS('Таблиця 1'!$B:$B,$A133,'Таблиця 1'!$I:$I,"Mirage",'Таблиця 1'!$L:$L,"Уражено")+COUNTIFS('Таблиця 1'!$B:$B,$A133,'Таблиця 1'!$I:$I,"F-16",'Таблиця 1'!$L:$L,"Уражено")+COUNTIFS('Таблиця 1'!$B:$B,$A133,'Таблиця 1'!$I:$I,"МіГ-29",'Таблиця 1'!$L:$L,"Уражено")+COUNTIFS('Таблиця 1'!$B:$B,$A133,'Таблиця 1'!$I:$I,"Су-25",'Таблиця 1'!$L:$L,"Уражено")+COUNTIFS('Таблиця 1'!$B:$B,$A133,'Таблиця 1'!$I:$I,"Су-27",'Таблиця 1'!$L:$L,"Уражено"))</f>
        <v/>
      </c>
      <c r="S133">
        <f>IF($A133="","",COUNTIFS('Таблиця 1'!$B:$B,$A133,'Таблиця 1'!$I:$I,"Mirage",'Таблиця 1'!$L:$L,"НЕ уражено")+COUNTIFS('Таблиця 1'!$B:$B,$A133,'Таблиця 1'!$I:$I,"F-16",'Таблиця 1'!$L:$L,"НЕ уражено")+COUNTIFS('Таблиця 1'!$B:$B,$A133,'Таблиця 1'!$I:$I,"МіГ-29",'Таблиця 1'!$L:$L,"НЕ уражено")+COUNTIFS('Таблиця 1'!$B:$B,$A133,'Таблиця 1'!$I:$I,"Су-25",'Таблиця 1'!$L:$L,"НЕ уражено")+COUNTIFS('Таблиця 1'!$B:$B,$A133,'Таблиця 1'!$I:$I,"Су-27",'Таблиця 1'!$L:$L,"НЕ уражено"))</f>
        <v/>
      </c>
      <c r="T133">
        <f>IF($A133="","",COUNTIFS('Таблиця 1'!$B:$B,$A133,'Таблиця 1'!$I:$I,"Mirage",'Таблиця 1'!$L:$L,"Дорозвідується")+COUNTIFS('Таблиця 1'!$B:$B,$A133,'Таблиця 1'!$I:$I,"F-16",'Таблиця 1'!$L:$L,"Дорозвідується")+COUNTIFS('Таблиця 1'!$B:$B,$A133,'Таблиця 1'!$I:$I,"МіГ-29",'Таблиця 1'!$L:$L,"Дорозвідується")+COUNTIFS('Таблиця 1'!$B:$B,$A133,'Таблиця 1'!$I:$I,"Су-25",'Таблиця 1'!$L:$L,"Дорозвідується")+COUNTIFS('Таблиця 1'!$B:$B,$A133,'Таблиця 1'!$I:$I,"Су-27",'Таблиця 1'!$L:$L,"Дорозвідується"))</f>
        <v/>
      </c>
    </row>
    <row r="134">
      <c r="A134" s="273">
        <f>IF(A133="","",IF(A133+1&gt;MAX('Таблиця 1'!$B:$B),"",A133+1))</f>
        <v/>
      </c>
      <c r="B134">
        <f>IF($A134="","",COUNTIFS('Таблиця 1'!$B:$B,$A134,'Таблиця 1'!$I:$I,"Mirage")+COUNTIFS('Таблиця 1'!$B:$B,$A134,'Таблиця 1'!$I:$I,"F-16")+COUNTIFS('Таблиця 1'!$B:$B,$A134,'Таблиця 1'!$I:$I,"МіГ-29")+COUNTIFS('Таблиця 1'!$B:$B,$A134,'Таблиця 1'!$I:$I,"Су-25")+COUNTIFS('Таблиця 1'!$B:$B,$A134,'Таблиця 1'!$I:$I,"Су-27"))</f>
        <v/>
      </c>
      <c r="C134">
        <f>IF($A134="","",COUNTIFS('Таблиця 1'!$B:$B,$A134,'Таблиця 1'!$I:$I,"Mirage"))</f>
        <v/>
      </c>
      <c r="D134">
        <f>IF($A134="","",COUNTIFS('Таблиця 1'!$B:$B,$A134,'Таблиця 1'!$I:$I,"F-16"))</f>
        <v/>
      </c>
      <c r="E134">
        <f>IF($A134="","",COUNTIFS('Таблиця 1'!$B:$B,$A134,'Таблиця 1'!$I:$I,"МіГ-29"))</f>
        <v/>
      </c>
      <c r="F134">
        <f>IF($A134="","",COUNTIFS('Таблиця 1'!$B:$B,$A134,'Таблиця 1'!$I:$I,"Су-25"))</f>
        <v/>
      </c>
      <c r="G134">
        <f>IF($A134="","",COUNTIFS('Таблиця 1'!$B:$B,$A134,'Таблиця 1'!$I:$I,"Су-27"))</f>
        <v/>
      </c>
      <c r="H134">
        <f>IF($A134="","",SUMIFS('Таблиця 1'!$K:$K,'Таблиця 1'!$B:$B,$A134,'Таблиця 1'!$I:$I,"Mirage",'Таблиця 1'!$J:$J,"AGM-88")+SUMIFS('Таблиця 1'!$K:$K,'Таблиця 1'!$B:$B,$A134,'Таблиця 1'!$I:$I,"F-16",'Таблиця 1'!$J:$J,"AGM-88")+SUMIFS('Таблиця 1'!$K:$K,'Таблиця 1'!$B:$B,$A134,'Таблиця 1'!$I:$I,"МіГ-29",'Таблиця 1'!$J:$J,"AGM-88")+SUMIFS('Таблиця 1'!$K:$K,'Таблиця 1'!$B:$B,$A134,'Таблиця 1'!$I:$I,"Су-25",'Таблиця 1'!$J:$J,"AGM-88")+SUMIFS('Таблиця 1'!$K:$K,'Таблиця 1'!$B:$B,$A134,'Таблиця 1'!$I:$I,"Су-27",'Таблиця 1'!$J:$J,"AGM-88"))</f>
        <v/>
      </c>
      <c r="I134">
        <f>IF($A134="","",SUMIFS('Таблиця 1'!$K:$K,'Таблиця 1'!$B:$B,$A134,'Таблиця 1'!$I:$I,"Mirage",'Таблиця 1'!$J:$J,"AASM-250")+SUMIFS('Таблиця 1'!$K:$K,'Таблиця 1'!$B:$B,$A134,'Таблиця 1'!$I:$I,"F-16",'Таблиця 1'!$J:$J,"AASM-250")+SUMIFS('Таблиця 1'!$K:$K,'Таблиця 1'!$B:$B,$A134,'Таблиця 1'!$I:$I,"МіГ-29",'Таблиця 1'!$J:$J,"AASM-250")+SUMIFS('Таблиця 1'!$K:$K,'Таблиця 1'!$B:$B,$A134,'Таблиця 1'!$I:$I,"Су-25",'Таблиця 1'!$J:$J,"AASM-250")+SUMIFS('Таблиця 1'!$K:$K,'Таблиця 1'!$B:$B,$A134,'Таблиця 1'!$I:$I,"Су-27",'Таблиця 1'!$J:$J,"AASM-250"))</f>
        <v/>
      </c>
      <c r="J134">
        <f>IF($A134="","",SUMIFS('Таблиця 1'!$K:$K,'Таблиця 1'!$B:$B,$A134,'Таблиця 1'!$I:$I,"Mirage",'Таблиця 1'!$J:$J,"GBU-39")+SUMIFS('Таблиця 1'!$K:$K,'Таблиця 1'!$B:$B,$A134,'Таблиця 1'!$I:$I,"F-16",'Таблиця 1'!$J:$J,"GBU-39")+SUMIFS('Таблиця 1'!$K:$K,'Таблиця 1'!$B:$B,$A134,'Таблиця 1'!$I:$I,"МіГ-29",'Таблиця 1'!$J:$J,"GBU-39")+SUMIFS('Таблиця 1'!$K:$K,'Таблиця 1'!$B:$B,$A134,'Таблиця 1'!$I:$I,"Су-25",'Таблиця 1'!$J:$J,"GBU-39")+SUMIFS('Таблиця 1'!$K:$K,'Таблиця 1'!$B:$B,$A134,'Таблиця 1'!$I:$I,"Су-27",'Таблиця 1'!$J:$J,"GBU-39"))</f>
        <v/>
      </c>
      <c r="K134">
        <f>IF($A134="","",SUMIFS('Таблиця 1'!$K:$K,'Таблиця 1'!$B:$B,$A134,'Таблиця 1'!$I:$I,"Mirage",'Таблиця 1'!$J:$J,"BLU-140")+SUMIFS('Таблиця 1'!$K:$K,'Таблиця 1'!$B:$B,$A134,'Таблиця 1'!$I:$I,"F-16",'Таблиця 1'!$J:$J,"BLU-140")+SUMIFS('Таблиця 1'!$K:$K,'Таблиця 1'!$B:$B,$A134,'Таблиця 1'!$I:$I,"МіГ-29",'Таблиця 1'!$J:$J,"BLU-140")+SUMIFS('Таблиця 1'!$K:$K,'Таблиця 1'!$B:$B,$A134,'Таблиця 1'!$I:$I,"Су-25",'Таблиця 1'!$J:$J,"BLU-140")+SUMIFS('Таблиця 1'!$K:$K,'Таблиця 1'!$B:$B,$A134,'Таблиця 1'!$I:$I,"Су-27",'Таблиця 1'!$J:$J,"BLU-140"))</f>
        <v/>
      </c>
      <c r="L134">
        <f>IF($A134="","",SUMIFS('Таблиця 1'!$K:$K,'Таблиця 1'!$B:$B,$A134,'Таблиця 1'!$I:$I,"Mirage",'Таблиця 1'!$J:$J,"GBU-65")+SUMIFS('Таблиця 1'!$K:$K,'Таблиця 1'!$B:$B,$A134,'Таблиця 1'!$I:$I,"F-16",'Таблиця 1'!$J:$J,"GBU-65")+SUMIFS('Таблиця 1'!$K:$K,'Таблиця 1'!$B:$B,$A134,'Таблиця 1'!$I:$I,"МіГ-29",'Таблиця 1'!$J:$J,"GBU-65")+SUMIFS('Таблиця 1'!$K:$K,'Таблиця 1'!$B:$B,$A134,'Таблиця 1'!$I:$I,"Су-25",'Таблиця 1'!$J:$J,"GBU-65")+SUMIFS('Таблиця 1'!$K:$K,'Таблиця 1'!$B:$B,$A134,'Таблиця 1'!$I:$I,"Су-27",'Таблиця 1'!$J:$J,"GBU-65"))</f>
        <v/>
      </c>
      <c r="M134">
        <f>IF($A134="","",SUMIFS('Таблиця 1'!$K:$K,'Таблиця 1'!$B:$B,$A134,'Таблиця 1'!$I:$I,"Mirage",'Таблиця 1'!$J:$J,"GBU-62")+SUMIFS('Таблиця 1'!$K:$K,'Таблиця 1'!$B:$B,$A134,'Таблиця 1'!$I:$I,"F-16",'Таблиця 1'!$J:$J,"GBU-62")+SUMIFS('Таблиця 1'!$K:$K,'Таблиця 1'!$B:$B,$A134,'Таблиця 1'!$I:$I,"МіГ-29",'Таблиця 1'!$J:$J,"GBU-62")+SUMIFS('Таблиця 1'!$K:$K,'Таблиця 1'!$B:$B,$A134,'Таблиця 1'!$I:$I,"Су-25",'Таблиця 1'!$J:$J,"GBU-62")+SUMIFS('Таблиця 1'!$K:$K,'Таблиця 1'!$B:$B,$A134,'Таблиця 1'!$I:$I,"Су-27",'Таблиця 1'!$J:$J,"GBU-62"))</f>
        <v/>
      </c>
      <c r="N134">
        <f>IF($A134="","",SUMIFS('Таблиця 1'!$K:$K,'Таблиця 1'!$B:$B,$A134,'Таблиця 1'!$I:$I,"Mirage",'Таблиця 1'!$J:$J,"GBU-64")+SUMIFS('Таблиця 1'!$K:$K,'Таблиця 1'!$B:$B,$A134,'Таблиця 1'!$I:$I,"F-16",'Таблиця 1'!$J:$J,"GBU-64")+SUMIFS('Таблиця 1'!$K:$K,'Таблиця 1'!$B:$B,$A134,'Таблиця 1'!$I:$I,"МіГ-29",'Таблиця 1'!$J:$J,"GBU-64")+SUMIFS('Таблиця 1'!$K:$K,'Таблиця 1'!$B:$B,$A134,'Таблиця 1'!$I:$I,"Су-25",'Таблиця 1'!$J:$J,"GBU-64")+SUMIFS('Таблиця 1'!$K:$K,'Таблиця 1'!$B:$B,$A134,'Таблиця 1'!$I:$I,"Су-27",'Таблиця 1'!$J:$J,"GBU-64"))</f>
        <v/>
      </c>
      <c r="O134">
        <f>IF($A134="","",SUMIFS('Таблиця 1'!$K:$K,'Таблиця 1'!$B:$B,$A134,'Таблиця 1'!$I:$I,"Mirage",'Таблиця 1'!$J:$J,"C-13")+SUMIFS('Таблиця 1'!$K:$K,'Таблиця 1'!$B:$B,$A134,'Таблиця 1'!$I:$I,"F-16",'Таблиця 1'!$J:$J,"C-13")+SUMIFS('Таблиця 1'!$K:$K,'Таблиця 1'!$B:$B,$A134,'Таблиця 1'!$I:$I,"МіГ-29",'Таблиця 1'!$J:$J,"C-13")+SUMIFS('Таблиця 1'!$K:$K,'Таблиця 1'!$B:$B,$A134,'Таблиця 1'!$I:$I,"Су-25",'Таблиця 1'!$J:$J,"C-13")+SUMIFS('Таблиця 1'!$K:$K,'Таблиця 1'!$B:$B,$A134,'Таблиця 1'!$I:$I,"Су-27",'Таблиця 1'!$J:$J,"C-13"))</f>
        <v/>
      </c>
      <c r="P134">
        <f>IF($A134="","",SUMIFS('Таблиця 1'!$K:$K,'Таблиця 1'!$B:$B,$A134,'Таблиця 1'!$I:$I,"Mirage",'Таблиця 1'!$J:$J,"MK-32")+SUMIFS('Таблиця 1'!$K:$K,'Таблиця 1'!$B:$B,$A134,'Таблиця 1'!$I:$I,"F-16",'Таблиця 1'!$J:$J,"MK-32")+SUMIFS('Таблиця 1'!$K:$K,'Таблиця 1'!$B:$B,$A134,'Таблиця 1'!$I:$I,"МіГ-29",'Таблиця 1'!$J:$J,"MK-32")+SUMIFS('Таблиця 1'!$K:$K,'Таблиця 1'!$B:$B,$A134,'Таблиця 1'!$I:$I,"Су-25",'Таблиця 1'!$J:$J,"MK-32")+SUMIFS('Таблиця 1'!$K:$K,'Таблиця 1'!$B:$B,$A134,'Таблиця 1'!$I:$I,"Су-27",'Таблиця 1'!$J:$J,"MK-32"))</f>
        <v/>
      </c>
      <c r="Q134">
        <f>IF($A134="","",SUMIFS('Таблиця 1'!$K:$K,'Таблиця 1'!$B:$B,$A134,'Таблиця 1'!$I:$I,"Mirage",'Таблиця 1'!$J:$J,"MK-24")+SUMIFS('Таблиця 1'!$K:$K,'Таблиця 1'!$B:$B,$A134,'Таблиця 1'!$I:$I,"F-16",'Таблиця 1'!$J:$J,"MK-24")+SUMIFS('Таблиця 1'!$K:$K,'Таблиця 1'!$B:$B,$A134,'Таблиця 1'!$I:$I,"МіГ-29",'Таблиця 1'!$J:$J,"MK-24")+SUMIFS('Таблиця 1'!$K:$K,'Таблиця 1'!$B:$B,$A134,'Таблиця 1'!$I:$I,"Су-25",'Таблиця 1'!$J:$J,"MK-24")+SUMIFS('Таблиця 1'!$K:$K,'Таблиця 1'!$B:$B,$A134,'Таблиця 1'!$I:$I,"Су-27",'Таблиця 1'!$J:$J,"MK-24"))</f>
        <v/>
      </c>
      <c r="R134">
        <f>IF($A134="","",COUNTIFS('Таблиця 1'!$B:$B,$A134,'Таблиця 1'!$I:$I,"Mirage",'Таблиця 1'!$L:$L,"Уражено")+COUNTIFS('Таблиця 1'!$B:$B,$A134,'Таблиця 1'!$I:$I,"F-16",'Таблиця 1'!$L:$L,"Уражено")+COUNTIFS('Таблиця 1'!$B:$B,$A134,'Таблиця 1'!$I:$I,"МіГ-29",'Таблиця 1'!$L:$L,"Уражено")+COUNTIFS('Таблиця 1'!$B:$B,$A134,'Таблиця 1'!$I:$I,"Су-25",'Таблиця 1'!$L:$L,"Уражено")+COUNTIFS('Таблиця 1'!$B:$B,$A134,'Таблиця 1'!$I:$I,"Су-27",'Таблиця 1'!$L:$L,"Уражено"))</f>
        <v/>
      </c>
      <c r="S134">
        <f>IF($A134="","",COUNTIFS('Таблиця 1'!$B:$B,$A134,'Таблиця 1'!$I:$I,"Mirage",'Таблиця 1'!$L:$L,"НЕ уражено")+COUNTIFS('Таблиця 1'!$B:$B,$A134,'Таблиця 1'!$I:$I,"F-16",'Таблиця 1'!$L:$L,"НЕ уражено")+COUNTIFS('Таблиця 1'!$B:$B,$A134,'Таблиця 1'!$I:$I,"МіГ-29",'Таблиця 1'!$L:$L,"НЕ уражено")+COUNTIFS('Таблиця 1'!$B:$B,$A134,'Таблиця 1'!$I:$I,"Су-25",'Таблиця 1'!$L:$L,"НЕ уражено")+COUNTIFS('Таблиця 1'!$B:$B,$A134,'Таблиця 1'!$I:$I,"Су-27",'Таблиця 1'!$L:$L,"НЕ уражено"))</f>
        <v/>
      </c>
      <c r="T134">
        <f>IF($A134="","",COUNTIFS('Таблиця 1'!$B:$B,$A134,'Таблиця 1'!$I:$I,"Mirage",'Таблиця 1'!$L:$L,"Дорозвідується")+COUNTIFS('Таблиця 1'!$B:$B,$A134,'Таблиця 1'!$I:$I,"F-16",'Таблиця 1'!$L:$L,"Дорозвідується")+COUNTIFS('Таблиця 1'!$B:$B,$A134,'Таблиця 1'!$I:$I,"МіГ-29",'Таблиця 1'!$L:$L,"Дорозвідується")+COUNTIFS('Таблиця 1'!$B:$B,$A134,'Таблиця 1'!$I:$I,"Су-25",'Таблиця 1'!$L:$L,"Дорозвідується")+COUNTIFS('Таблиця 1'!$B:$B,$A134,'Таблиця 1'!$I:$I,"Су-27",'Таблиця 1'!$L:$L,"Дорозвідується"))</f>
        <v/>
      </c>
    </row>
    <row r="135">
      <c r="A135" s="273">
        <f>IF(A134="","",IF(A134+1&gt;MAX('Таблиця 1'!$B:$B),"",A134+1))</f>
        <v/>
      </c>
      <c r="B135">
        <f>IF($A135="","",COUNTIFS('Таблиця 1'!$B:$B,$A135,'Таблиця 1'!$I:$I,"Mirage")+COUNTIFS('Таблиця 1'!$B:$B,$A135,'Таблиця 1'!$I:$I,"F-16")+COUNTIFS('Таблиця 1'!$B:$B,$A135,'Таблиця 1'!$I:$I,"МіГ-29")+COUNTIFS('Таблиця 1'!$B:$B,$A135,'Таблиця 1'!$I:$I,"Су-25")+COUNTIFS('Таблиця 1'!$B:$B,$A135,'Таблиця 1'!$I:$I,"Су-27"))</f>
        <v/>
      </c>
      <c r="C135">
        <f>IF($A135="","",COUNTIFS('Таблиця 1'!$B:$B,$A135,'Таблиця 1'!$I:$I,"Mirage"))</f>
        <v/>
      </c>
      <c r="D135">
        <f>IF($A135="","",COUNTIFS('Таблиця 1'!$B:$B,$A135,'Таблиця 1'!$I:$I,"F-16"))</f>
        <v/>
      </c>
      <c r="E135">
        <f>IF($A135="","",COUNTIFS('Таблиця 1'!$B:$B,$A135,'Таблиця 1'!$I:$I,"МіГ-29"))</f>
        <v/>
      </c>
      <c r="F135">
        <f>IF($A135="","",COUNTIFS('Таблиця 1'!$B:$B,$A135,'Таблиця 1'!$I:$I,"Су-25"))</f>
        <v/>
      </c>
      <c r="G135">
        <f>IF($A135="","",COUNTIFS('Таблиця 1'!$B:$B,$A135,'Таблиця 1'!$I:$I,"Су-27"))</f>
        <v/>
      </c>
      <c r="H135">
        <f>IF($A135="","",SUMIFS('Таблиця 1'!$K:$K,'Таблиця 1'!$B:$B,$A135,'Таблиця 1'!$I:$I,"Mirage",'Таблиця 1'!$J:$J,"AGM-88")+SUMIFS('Таблиця 1'!$K:$K,'Таблиця 1'!$B:$B,$A135,'Таблиця 1'!$I:$I,"F-16",'Таблиця 1'!$J:$J,"AGM-88")+SUMIFS('Таблиця 1'!$K:$K,'Таблиця 1'!$B:$B,$A135,'Таблиця 1'!$I:$I,"МіГ-29",'Таблиця 1'!$J:$J,"AGM-88")+SUMIFS('Таблиця 1'!$K:$K,'Таблиця 1'!$B:$B,$A135,'Таблиця 1'!$I:$I,"Су-25",'Таблиця 1'!$J:$J,"AGM-88")+SUMIFS('Таблиця 1'!$K:$K,'Таблиця 1'!$B:$B,$A135,'Таблиця 1'!$I:$I,"Су-27",'Таблиця 1'!$J:$J,"AGM-88"))</f>
        <v/>
      </c>
      <c r="I135">
        <f>IF($A135="","",SUMIFS('Таблиця 1'!$K:$K,'Таблиця 1'!$B:$B,$A135,'Таблиця 1'!$I:$I,"Mirage",'Таблиця 1'!$J:$J,"AASM-250")+SUMIFS('Таблиця 1'!$K:$K,'Таблиця 1'!$B:$B,$A135,'Таблиця 1'!$I:$I,"F-16",'Таблиця 1'!$J:$J,"AASM-250")+SUMIFS('Таблиця 1'!$K:$K,'Таблиця 1'!$B:$B,$A135,'Таблиця 1'!$I:$I,"МіГ-29",'Таблиця 1'!$J:$J,"AASM-250")+SUMIFS('Таблиця 1'!$K:$K,'Таблиця 1'!$B:$B,$A135,'Таблиця 1'!$I:$I,"Су-25",'Таблиця 1'!$J:$J,"AASM-250")+SUMIFS('Таблиця 1'!$K:$K,'Таблиця 1'!$B:$B,$A135,'Таблиця 1'!$I:$I,"Су-27",'Таблиця 1'!$J:$J,"AASM-250"))</f>
        <v/>
      </c>
      <c r="J135">
        <f>IF($A135="","",SUMIFS('Таблиця 1'!$K:$K,'Таблиця 1'!$B:$B,$A135,'Таблиця 1'!$I:$I,"Mirage",'Таблиця 1'!$J:$J,"GBU-39")+SUMIFS('Таблиця 1'!$K:$K,'Таблиця 1'!$B:$B,$A135,'Таблиця 1'!$I:$I,"F-16",'Таблиця 1'!$J:$J,"GBU-39")+SUMIFS('Таблиця 1'!$K:$K,'Таблиця 1'!$B:$B,$A135,'Таблиця 1'!$I:$I,"МіГ-29",'Таблиця 1'!$J:$J,"GBU-39")+SUMIFS('Таблиця 1'!$K:$K,'Таблиця 1'!$B:$B,$A135,'Таблиця 1'!$I:$I,"Су-25",'Таблиця 1'!$J:$J,"GBU-39")+SUMIFS('Таблиця 1'!$K:$K,'Таблиця 1'!$B:$B,$A135,'Таблиця 1'!$I:$I,"Су-27",'Таблиця 1'!$J:$J,"GBU-39"))</f>
        <v/>
      </c>
      <c r="K135">
        <f>IF($A135="","",SUMIFS('Таблиця 1'!$K:$K,'Таблиця 1'!$B:$B,$A135,'Таблиця 1'!$I:$I,"Mirage",'Таблиця 1'!$J:$J,"BLU-140")+SUMIFS('Таблиця 1'!$K:$K,'Таблиця 1'!$B:$B,$A135,'Таблиця 1'!$I:$I,"F-16",'Таблиця 1'!$J:$J,"BLU-140")+SUMIFS('Таблиця 1'!$K:$K,'Таблиця 1'!$B:$B,$A135,'Таблиця 1'!$I:$I,"МіГ-29",'Таблиця 1'!$J:$J,"BLU-140")+SUMIFS('Таблиця 1'!$K:$K,'Таблиця 1'!$B:$B,$A135,'Таблиця 1'!$I:$I,"Су-25",'Таблиця 1'!$J:$J,"BLU-140")+SUMIFS('Таблиця 1'!$K:$K,'Таблиця 1'!$B:$B,$A135,'Таблиця 1'!$I:$I,"Су-27",'Таблиця 1'!$J:$J,"BLU-140"))</f>
        <v/>
      </c>
      <c r="L135">
        <f>IF($A135="","",SUMIFS('Таблиця 1'!$K:$K,'Таблиця 1'!$B:$B,$A135,'Таблиця 1'!$I:$I,"Mirage",'Таблиця 1'!$J:$J,"GBU-65")+SUMIFS('Таблиця 1'!$K:$K,'Таблиця 1'!$B:$B,$A135,'Таблиця 1'!$I:$I,"F-16",'Таблиця 1'!$J:$J,"GBU-65")+SUMIFS('Таблиця 1'!$K:$K,'Таблиця 1'!$B:$B,$A135,'Таблиця 1'!$I:$I,"МіГ-29",'Таблиця 1'!$J:$J,"GBU-65")+SUMIFS('Таблиця 1'!$K:$K,'Таблиця 1'!$B:$B,$A135,'Таблиця 1'!$I:$I,"Су-25",'Таблиця 1'!$J:$J,"GBU-65")+SUMIFS('Таблиця 1'!$K:$K,'Таблиця 1'!$B:$B,$A135,'Таблиця 1'!$I:$I,"Су-27",'Таблиця 1'!$J:$J,"GBU-65"))</f>
        <v/>
      </c>
      <c r="M135">
        <f>IF($A135="","",SUMIFS('Таблиця 1'!$K:$K,'Таблиця 1'!$B:$B,$A135,'Таблиця 1'!$I:$I,"Mirage",'Таблиця 1'!$J:$J,"GBU-62")+SUMIFS('Таблиця 1'!$K:$K,'Таблиця 1'!$B:$B,$A135,'Таблиця 1'!$I:$I,"F-16",'Таблиця 1'!$J:$J,"GBU-62")+SUMIFS('Таблиця 1'!$K:$K,'Таблиця 1'!$B:$B,$A135,'Таблиця 1'!$I:$I,"МіГ-29",'Таблиця 1'!$J:$J,"GBU-62")+SUMIFS('Таблиця 1'!$K:$K,'Таблиця 1'!$B:$B,$A135,'Таблиця 1'!$I:$I,"Су-25",'Таблиця 1'!$J:$J,"GBU-62")+SUMIFS('Таблиця 1'!$K:$K,'Таблиця 1'!$B:$B,$A135,'Таблиця 1'!$I:$I,"Су-27",'Таблиця 1'!$J:$J,"GBU-62"))</f>
        <v/>
      </c>
      <c r="N135">
        <f>IF($A135="","",SUMIFS('Таблиця 1'!$K:$K,'Таблиця 1'!$B:$B,$A135,'Таблиця 1'!$I:$I,"Mirage",'Таблиця 1'!$J:$J,"GBU-64")+SUMIFS('Таблиця 1'!$K:$K,'Таблиця 1'!$B:$B,$A135,'Таблиця 1'!$I:$I,"F-16",'Таблиця 1'!$J:$J,"GBU-64")+SUMIFS('Таблиця 1'!$K:$K,'Таблиця 1'!$B:$B,$A135,'Таблиця 1'!$I:$I,"МіГ-29",'Таблиця 1'!$J:$J,"GBU-64")+SUMIFS('Таблиця 1'!$K:$K,'Таблиця 1'!$B:$B,$A135,'Таблиця 1'!$I:$I,"Су-25",'Таблиця 1'!$J:$J,"GBU-64")+SUMIFS('Таблиця 1'!$K:$K,'Таблиця 1'!$B:$B,$A135,'Таблиця 1'!$I:$I,"Су-27",'Таблиця 1'!$J:$J,"GBU-64"))</f>
        <v/>
      </c>
      <c r="O135">
        <f>IF($A135="","",SUMIFS('Таблиця 1'!$K:$K,'Таблиця 1'!$B:$B,$A135,'Таблиця 1'!$I:$I,"Mirage",'Таблиця 1'!$J:$J,"C-13")+SUMIFS('Таблиця 1'!$K:$K,'Таблиця 1'!$B:$B,$A135,'Таблиця 1'!$I:$I,"F-16",'Таблиця 1'!$J:$J,"C-13")+SUMIFS('Таблиця 1'!$K:$K,'Таблиця 1'!$B:$B,$A135,'Таблиця 1'!$I:$I,"МіГ-29",'Таблиця 1'!$J:$J,"C-13")+SUMIFS('Таблиця 1'!$K:$K,'Таблиця 1'!$B:$B,$A135,'Таблиця 1'!$I:$I,"Су-25",'Таблиця 1'!$J:$J,"C-13")+SUMIFS('Таблиця 1'!$K:$K,'Таблиця 1'!$B:$B,$A135,'Таблиця 1'!$I:$I,"Су-27",'Таблиця 1'!$J:$J,"C-13"))</f>
        <v/>
      </c>
      <c r="P135">
        <f>IF($A135="","",SUMIFS('Таблиця 1'!$K:$K,'Таблиця 1'!$B:$B,$A135,'Таблиця 1'!$I:$I,"Mirage",'Таблиця 1'!$J:$J,"MK-32")+SUMIFS('Таблиця 1'!$K:$K,'Таблиця 1'!$B:$B,$A135,'Таблиця 1'!$I:$I,"F-16",'Таблиця 1'!$J:$J,"MK-32")+SUMIFS('Таблиця 1'!$K:$K,'Таблиця 1'!$B:$B,$A135,'Таблиця 1'!$I:$I,"МіГ-29",'Таблиця 1'!$J:$J,"MK-32")+SUMIFS('Таблиця 1'!$K:$K,'Таблиця 1'!$B:$B,$A135,'Таблиця 1'!$I:$I,"Су-25",'Таблиця 1'!$J:$J,"MK-32")+SUMIFS('Таблиця 1'!$K:$K,'Таблиця 1'!$B:$B,$A135,'Таблиця 1'!$I:$I,"Су-27",'Таблиця 1'!$J:$J,"MK-32"))</f>
        <v/>
      </c>
      <c r="Q135">
        <f>IF($A135="","",SUMIFS('Таблиця 1'!$K:$K,'Таблиця 1'!$B:$B,$A135,'Таблиця 1'!$I:$I,"Mirage",'Таблиця 1'!$J:$J,"MK-24")+SUMIFS('Таблиця 1'!$K:$K,'Таблиця 1'!$B:$B,$A135,'Таблиця 1'!$I:$I,"F-16",'Таблиця 1'!$J:$J,"MK-24")+SUMIFS('Таблиця 1'!$K:$K,'Таблиця 1'!$B:$B,$A135,'Таблиця 1'!$I:$I,"МіГ-29",'Таблиця 1'!$J:$J,"MK-24")+SUMIFS('Таблиця 1'!$K:$K,'Таблиця 1'!$B:$B,$A135,'Таблиця 1'!$I:$I,"Су-25",'Таблиця 1'!$J:$J,"MK-24")+SUMIFS('Таблиця 1'!$K:$K,'Таблиця 1'!$B:$B,$A135,'Таблиця 1'!$I:$I,"Су-27",'Таблиця 1'!$J:$J,"MK-24"))</f>
        <v/>
      </c>
      <c r="R135">
        <f>IF($A135="","",COUNTIFS('Таблиця 1'!$B:$B,$A135,'Таблиця 1'!$I:$I,"Mirage",'Таблиця 1'!$L:$L,"Уражено")+COUNTIFS('Таблиця 1'!$B:$B,$A135,'Таблиця 1'!$I:$I,"F-16",'Таблиця 1'!$L:$L,"Уражено")+COUNTIFS('Таблиця 1'!$B:$B,$A135,'Таблиця 1'!$I:$I,"МіГ-29",'Таблиця 1'!$L:$L,"Уражено")+COUNTIFS('Таблиця 1'!$B:$B,$A135,'Таблиця 1'!$I:$I,"Су-25",'Таблиця 1'!$L:$L,"Уражено")+COUNTIFS('Таблиця 1'!$B:$B,$A135,'Таблиця 1'!$I:$I,"Су-27",'Таблиця 1'!$L:$L,"Уражено"))</f>
        <v/>
      </c>
      <c r="S135">
        <f>IF($A135="","",COUNTIFS('Таблиця 1'!$B:$B,$A135,'Таблиця 1'!$I:$I,"Mirage",'Таблиця 1'!$L:$L,"НЕ уражено")+COUNTIFS('Таблиця 1'!$B:$B,$A135,'Таблиця 1'!$I:$I,"F-16",'Таблиця 1'!$L:$L,"НЕ уражено")+COUNTIFS('Таблиця 1'!$B:$B,$A135,'Таблиця 1'!$I:$I,"МіГ-29",'Таблиця 1'!$L:$L,"НЕ уражено")+COUNTIFS('Таблиця 1'!$B:$B,$A135,'Таблиця 1'!$I:$I,"Су-25",'Таблиця 1'!$L:$L,"НЕ уражено")+COUNTIFS('Таблиця 1'!$B:$B,$A135,'Таблиця 1'!$I:$I,"Су-27",'Таблиця 1'!$L:$L,"НЕ уражено"))</f>
        <v/>
      </c>
      <c r="T135">
        <f>IF($A135="","",COUNTIFS('Таблиця 1'!$B:$B,$A135,'Таблиця 1'!$I:$I,"Mirage",'Таблиця 1'!$L:$L,"Дорозвідується")+COUNTIFS('Таблиця 1'!$B:$B,$A135,'Таблиця 1'!$I:$I,"F-16",'Таблиця 1'!$L:$L,"Дорозвідується")+COUNTIFS('Таблиця 1'!$B:$B,$A135,'Таблиця 1'!$I:$I,"МіГ-29",'Таблиця 1'!$L:$L,"Дорозвідується")+COUNTIFS('Таблиця 1'!$B:$B,$A135,'Таблиця 1'!$I:$I,"Су-25",'Таблиця 1'!$L:$L,"Дорозвідується")+COUNTIFS('Таблиця 1'!$B:$B,$A135,'Таблиця 1'!$I:$I,"Су-27",'Таблиця 1'!$L:$L,"Дорозвідується"))</f>
        <v/>
      </c>
    </row>
    <row r="136">
      <c r="A136" s="273">
        <f>IF(A135="","",IF(A135+1&gt;MAX('Таблиця 1'!$B:$B),"",A135+1))</f>
        <v/>
      </c>
      <c r="B136">
        <f>IF($A136="","",COUNTIFS('Таблиця 1'!$B:$B,$A136,'Таблиця 1'!$I:$I,"Mirage")+COUNTIFS('Таблиця 1'!$B:$B,$A136,'Таблиця 1'!$I:$I,"F-16")+COUNTIFS('Таблиця 1'!$B:$B,$A136,'Таблиця 1'!$I:$I,"МіГ-29")+COUNTIFS('Таблиця 1'!$B:$B,$A136,'Таблиця 1'!$I:$I,"Су-25")+COUNTIFS('Таблиця 1'!$B:$B,$A136,'Таблиця 1'!$I:$I,"Су-27"))</f>
        <v/>
      </c>
      <c r="C136">
        <f>IF($A136="","",COUNTIFS('Таблиця 1'!$B:$B,$A136,'Таблиця 1'!$I:$I,"Mirage"))</f>
        <v/>
      </c>
      <c r="D136">
        <f>IF($A136="","",COUNTIFS('Таблиця 1'!$B:$B,$A136,'Таблиця 1'!$I:$I,"F-16"))</f>
        <v/>
      </c>
      <c r="E136">
        <f>IF($A136="","",COUNTIFS('Таблиця 1'!$B:$B,$A136,'Таблиця 1'!$I:$I,"МіГ-29"))</f>
        <v/>
      </c>
      <c r="F136">
        <f>IF($A136="","",COUNTIFS('Таблиця 1'!$B:$B,$A136,'Таблиця 1'!$I:$I,"Су-25"))</f>
        <v/>
      </c>
      <c r="G136">
        <f>IF($A136="","",COUNTIFS('Таблиця 1'!$B:$B,$A136,'Таблиця 1'!$I:$I,"Су-27"))</f>
        <v/>
      </c>
      <c r="H136">
        <f>IF($A136="","",SUMIFS('Таблиця 1'!$K:$K,'Таблиця 1'!$B:$B,$A136,'Таблиця 1'!$I:$I,"Mirage",'Таблиця 1'!$J:$J,"AGM-88")+SUMIFS('Таблиця 1'!$K:$K,'Таблиця 1'!$B:$B,$A136,'Таблиця 1'!$I:$I,"F-16",'Таблиця 1'!$J:$J,"AGM-88")+SUMIFS('Таблиця 1'!$K:$K,'Таблиця 1'!$B:$B,$A136,'Таблиця 1'!$I:$I,"МіГ-29",'Таблиця 1'!$J:$J,"AGM-88")+SUMIFS('Таблиця 1'!$K:$K,'Таблиця 1'!$B:$B,$A136,'Таблиця 1'!$I:$I,"Су-25",'Таблиця 1'!$J:$J,"AGM-88")+SUMIFS('Таблиця 1'!$K:$K,'Таблиця 1'!$B:$B,$A136,'Таблиця 1'!$I:$I,"Су-27",'Таблиця 1'!$J:$J,"AGM-88"))</f>
        <v/>
      </c>
      <c r="I136">
        <f>IF($A136="","",SUMIFS('Таблиця 1'!$K:$K,'Таблиця 1'!$B:$B,$A136,'Таблиця 1'!$I:$I,"Mirage",'Таблиця 1'!$J:$J,"AASM-250")+SUMIFS('Таблиця 1'!$K:$K,'Таблиця 1'!$B:$B,$A136,'Таблиця 1'!$I:$I,"F-16",'Таблиця 1'!$J:$J,"AASM-250")+SUMIFS('Таблиця 1'!$K:$K,'Таблиця 1'!$B:$B,$A136,'Таблиця 1'!$I:$I,"МіГ-29",'Таблиця 1'!$J:$J,"AASM-250")+SUMIFS('Таблиця 1'!$K:$K,'Таблиця 1'!$B:$B,$A136,'Таблиця 1'!$I:$I,"Су-25",'Таблиця 1'!$J:$J,"AASM-250")+SUMIFS('Таблиця 1'!$K:$K,'Таблиця 1'!$B:$B,$A136,'Таблиця 1'!$I:$I,"Су-27",'Таблиця 1'!$J:$J,"AASM-250"))</f>
        <v/>
      </c>
      <c r="J136">
        <f>IF($A136="","",SUMIFS('Таблиця 1'!$K:$K,'Таблиця 1'!$B:$B,$A136,'Таблиця 1'!$I:$I,"Mirage",'Таблиця 1'!$J:$J,"GBU-39")+SUMIFS('Таблиця 1'!$K:$K,'Таблиця 1'!$B:$B,$A136,'Таблиця 1'!$I:$I,"F-16",'Таблиця 1'!$J:$J,"GBU-39")+SUMIFS('Таблиця 1'!$K:$K,'Таблиця 1'!$B:$B,$A136,'Таблиця 1'!$I:$I,"МіГ-29",'Таблиця 1'!$J:$J,"GBU-39")+SUMIFS('Таблиця 1'!$K:$K,'Таблиця 1'!$B:$B,$A136,'Таблиця 1'!$I:$I,"Су-25",'Таблиця 1'!$J:$J,"GBU-39")+SUMIFS('Таблиця 1'!$K:$K,'Таблиця 1'!$B:$B,$A136,'Таблиця 1'!$I:$I,"Су-27",'Таблиця 1'!$J:$J,"GBU-39"))</f>
        <v/>
      </c>
      <c r="K136">
        <f>IF($A136="","",SUMIFS('Таблиця 1'!$K:$K,'Таблиця 1'!$B:$B,$A136,'Таблиця 1'!$I:$I,"Mirage",'Таблиця 1'!$J:$J,"BLU-140")+SUMIFS('Таблиця 1'!$K:$K,'Таблиця 1'!$B:$B,$A136,'Таблиця 1'!$I:$I,"F-16",'Таблиця 1'!$J:$J,"BLU-140")+SUMIFS('Таблиця 1'!$K:$K,'Таблиця 1'!$B:$B,$A136,'Таблиця 1'!$I:$I,"МіГ-29",'Таблиця 1'!$J:$J,"BLU-140")+SUMIFS('Таблиця 1'!$K:$K,'Таблиця 1'!$B:$B,$A136,'Таблиця 1'!$I:$I,"Су-25",'Таблиця 1'!$J:$J,"BLU-140")+SUMIFS('Таблиця 1'!$K:$K,'Таблиця 1'!$B:$B,$A136,'Таблиця 1'!$I:$I,"Су-27",'Таблиця 1'!$J:$J,"BLU-140"))</f>
        <v/>
      </c>
      <c r="L136">
        <f>IF($A136="","",SUMIFS('Таблиця 1'!$K:$K,'Таблиця 1'!$B:$B,$A136,'Таблиця 1'!$I:$I,"Mirage",'Таблиця 1'!$J:$J,"GBU-65")+SUMIFS('Таблиця 1'!$K:$K,'Таблиця 1'!$B:$B,$A136,'Таблиця 1'!$I:$I,"F-16",'Таблиця 1'!$J:$J,"GBU-65")+SUMIFS('Таблиця 1'!$K:$K,'Таблиця 1'!$B:$B,$A136,'Таблиця 1'!$I:$I,"МіГ-29",'Таблиця 1'!$J:$J,"GBU-65")+SUMIFS('Таблиця 1'!$K:$K,'Таблиця 1'!$B:$B,$A136,'Таблиця 1'!$I:$I,"Су-25",'Таблиця 1'!$J:$J,"GBU-65")+SUMIFS('Таблиця 1'!$K:$K,'Таблиця 1'!$B:$B,$A136,'Таблиця 1'!$I:$I,"Су-27",'Таблиця 1'!$J:$J,"GBU-65"))</f>
        <v/>
      </c>
      <c r="M136">
        <f>IF($A136="","",SUMIFS('Таблиця 1'!$K:$K,'Таблиця 1'!$B:$B,$A136,'Таблиця 1'!$I:$I,"Mirage",'Таблиця 1'!$J:$J,"GBU-62")+SUMIFS('Таблиця 1'!$K:$K,'Таблиця 1'!$B:$B,$A136,'Таблиця 1'!$I:$I,"F-16",'Таблиця 1'!$J:$J,"GBU-62")+SUMIFS('Таблиця 1'!$K:$K,'Таблиця 1'!$B:$B,$A136,'Таблиця 1'!$I:$I,"МіГ-29",'Таблиця 1'!$J:$J,"GBU-62")+SUMIFS('Таблиця 1'!$K:$K,'Таблиця 1'!$B:$B,$A136,'Таблиця 1'!$I:$I,"Су-25",'Таблиця 1'!$J:$J,"GBU-62")+SUMIFS('Таблиця 1'!$K:$K,'Таблиця 1'!$B:$B,$A136,'Таблиця 1'!$I:$I,"Су-27",'Таблиця 1'!$J:$J,"GBU-62"))</f>
        <v/>
      </c>
      <c r="N136">
        <f>IF($A136="","",SUMIFS('Таблиця 1'!$K:$K,'Таблиця 1'!$B:$B,$A136,'Таблиця 1'!$I:$I,"Mirage",'Таблиця 1'!$J:$J,"GBU-64")+SUMIFS('Таблиця 1'!$K:$K,'Таблиця 1'!$B:$B,$A136,'Таблиця 1'!$I:$I,"F-16",'Таблиця 1'!$J:$J,"GBU-64")+SUMIFS('Таблиця 1'!$K:$K,'Таблиця 1'!$B:$B,$A136,'Таблиця 1'!$I:$I,"МіГ-29",'Таблиця 1'!$J:$J,"GBU-64")+SUMIFS('Таблиця 1'!$K:$K,'Таблиця 1'!$B:$B,$A136,'Таблиця 1'!$I:$I,"Су-25",'Таблиця 1'!$J:$J,"GBU-64")+SUMIFS('Таблиця 1'!$K:$K,'Таблиця 1'!$B:$B,$A136,'Таблиця 1'!$I:$I,"Су-27",'Таблиця 1'!$J:$J,"GBU-64"))</f>
        <v/>
      </c>
      <c r="O136">
        <f>IF($A136="","",SUMIFS('Таблиця 1'!$K:$K,'Таблиця 1'!$B:$B,$A136,'Таблиця 1'!$I:$I,"Mirage",'Таблиця 1'!$J:$J,"C-13")+SUMIFS('Таблиця 1'!$K:$K,'Таблиця 1'!$B:$B,$A136,'Таблиця 1'!$I:$I,"F-16",'Таблиця 1'!$J:$J,"C-13")+SUMIFS('Таблиця 1'!$K:$K,'Таблиця 1'!$B:$B,$A136,'Таблиця 1'!$I:$I,"МіГ-29",'Таблиця 1'!$J:$J,"C-13")+SUMIFS('Таблиця 1'!$K:$K,'Таблиця 1'!$B:$B,$A136,'Таблиця 1'!$I:$I,"Су-25",'Таблиця 1'!$J:$J,"C-13")+SUMIFS('Таблиця 1'!$K:$K,'Таблиця 1'!$B:$B,$A136,'Таблиця 1'!$I:$I,"Су-27",'Таблиця 1'!$J:$J,"C-13"))</f>
        <v/>
      </c>
      <c r="P136">
        <f>IF($A136="","",SUMIFS('Таблиця 1'!$K:$K,'Таблиця 1'!$B:$B,$A136,'Таблиця 1'!$I:$I,"Mirage",'Таблиця 1'!$J:$J,"MK-32")+SUMIFS('Таблиця 1'!$K:$K,'Таблиця 1'!$B:$B,$A136,'Таблиця 1'!$I:$I,"F-16",'Таблиця 1'!$J:$J,"MK-32")+SUMIFS('Таблиця 1'!$K:$K,'Таблиця 1'!$B:$B,$A136,'Таблиця 1'!$I:$I,"МіГ-29",'Таблиця 1'!$J:$J,"MK-32")+SUMIFS('Таблиця 1'!$K:$K,'Таблиця 1'!$B:$B,$A136,'Таблиця 1'!$I:$I,"Су-25",'Таблиця 1'!$J:$J,"MK-32")+SUMIFS('Таблиця 1'!$K:$K,'Таблиця 1'!$B:$B,$A136,'Таблиця 1'!$I:$I,"Су-27",'Таблиця 1'!$J:$J,"MK-32"))</f>
        <v/>
      </c>
      <c r="Q136">
        <f>IF($A136="","",SUMIFS('Таблиця 1'!$K:$K,'Таблиця 1'!$B:$B,$A136,'Таблиця 1'!$I:$I,"Mirage",'Таблиця 1'!$J:$J,"MK-24")+SUMIFS('Таблиця 1'!$K:$K,'Таблиця 1'!$B:$B,$A136,'Таблиця 1'!$I:$I,"F-16",'Таблиця 1'!$J:$J,"MK-24")+SUMIFS('Таблиця 1'!$K:$K,'Таблиця 1'!$B:$B,$A136,'Таблиця 1'!$I:$I,"МіГ-29",'Таблиця 1'!$J:$J,"MK-24")+SUMIFS('Таблиця 1'!$K:$K,'Таблиця 1'!$B:$B,$A136,'Таблиця 1'!$I:$I,"Су-25",'Таблиця 1'!$J:$J,"MK-24")+SUMIFS('Таблиця 1'!$K:$K,'Таблиця 1'!$B:$B,$A136,'Таблиця 1'!$I:$I,"Су-27",'Таблиця 1'!$J:$J,"MK-24"))</f>
        <v/>
      </c>
      <c r="R136">
        <f>IF($A136="","",COUNTIFS('Таблиця 1'!$B:$B,$A136,'Таблиця 1'!$I:$I,"Mirage",'Таблиця 1'!$L:$L,"Уражено")+COUNTIFS('Таблиця 1'!$B:$B,$A136,'Таблиця 1'!$I:$I,"F-16",'Таблиця 1'!$L:$L,"Уражено")+COUNTIFS('Таблиця 1'!$B:$B,$A136,'Таблиця 1'!$I:$I,"МіГ-29",'Таблиця 1'!$L:$L,"Уражено")+COUNTIFS('Таблиця 1'!$B:$B,$A136,'Таблиця 1'!$I:$I,"Су-25",'Таблиця 1'!$L:$L,"Уражено")+COUNTIFS('Таблиця 1'!$B:$B,$A136,'Таблиця 1'!$I:$I,"Су-27",'Таблиця 1'!$L:$L,"Уражено"))</f>
        <v/>
      </c>
      <c r="S136">
        <f>IF($A136="","",COUNTIFS('Таблиця 1'!$B:$B,$A136,'Таблиця 1'!$I:$I,"Mirage",'Таблиця 1'!$L:$L,"НЕ уражено")+COUNTIFS('Таблиця 1'!$B:$B,$A136,'Таблиця 1'!$I:$I,"F-16",'Таблиця 1'!$L:$L,"НЕ уражено")+COUNTIFS('Таблиця 1'!$B:$B,$A136,'Таблиця 1'!$I:$I,"МіГ-29",'Таблиця 1'!$L:$L,"НЕ уражено")+COUNTIFS('Таблиця 1'!$B:$B,$A136,'Таблиця 1'!$I:$I,"Су-25",'Таблиця 1'!$L:$L,"НЕ уражено")+COUNTIFS('Таблиця 1'!$B:$B,$A136,'Таблиця 1'!$I:$I,"Су-27",'Таблиця 1'!$L:$L,"НЕ уражено"))</f>
        <v/>
      </c>
      <c r="T136">
        <f>IF($A136="","",COUNTIFS('Таблиця 1'!$B:$B,$A136,'Таблиця 1'!$I:$I,"Mirage",'Таблиця 1'!$L:$L,"Дорозвідується")+COUNTIFS('Таблиця 1'!$B:$B,$A136,'Таблиця 1'!$I:$I,"F-16",'Таблиця 1'!$L:$L,"Дорозвідується")+COUNTIFS('Таблиця 1'!$B:$B,$A136,'Таблиця 1'!$I:$I,"МіГ-29",'Таблиця 1'!$L:$L,"Дорозвідується")+COUNTIFS('Таблиця 1'!$B:$B,$A136,'Таблиця 1'!$I:$I,"Су-25",'Таблиця 1'!$L:$L,"Дорозвідується")+COUNTIFS('Таблиця 1'!$B:$B,$A136,'Таблиця 1'!$I:$I,"Су-27",'Таблиця 1'!$L:$L,"Дорозвідується"))</f>
        <v/>
      </c>
    </row>
    <row r="137">
      <c r="A137" s="273">
        <f>IF(A136="","",IF(A136+1&gt;MAX('Таблиця 1'!$B:$B),"",A136+1))</f>
        <v/>
      </c>
      <c r="B137">
        <f>IF($A137="","",COUNTIFS('Таблиця 1'!$B:$B,$A137,'Таблиця 1'!$I:$I,"Mirage")+COUNTIFS('Таблиця 1'!$B:$B,$A137,'Таблиця 1'!$I:$I,"F-16")+COUNTIFS('Таблиця 1'!$B:$B,$A137,'Таблиця 1'!$I:$I,"МіГ-29")+COUNTIFS('Таблиця 1'!$B:$B,$A137,'Таблиця 1'!$I:$I,"Су-25")+COUNTIFS('Таблиця 1'!$B:$B,$A137,'Таблиця 1'!$I:$I,"Су-27"))</f>
        <v/>
      </c>
      <c r="C137">
        <f>IF($A137="","",COUNTIFS('Таблиця 1'!$B:$B,$A137,'Таблиця 1'!$I:$I,"Mirage"))</f>
        <v/>
      </c>
      <c r="D137">
        <f>IF($A137="","",COUNTIFS('Таблиця 1'!$B:$B,$A137,'Таблиця 1'!$I:$I,"F-16"))</f>
        <v/>
      </c>
      <c r="E137">
        <f>IF($A137="","",COUNTIFS('Таблиця 1'!$B:$B,$A137,'Таблиця 1'!$I:$I,"МіГ-29"))</f>
        <v/>
      </c>
      <c r="F137">
        <f>IF($A137="","",COUNTIFS('Таблиця 1'!$B:$B,$A137,'Таблиця 1'!$I:$I,"Су-25"))</f>
        <v/>
      </c>
      <c r="G137">
        <f>IF($A137="","",COUNTIFS('Таблиця 1'!$B:$B,$A137,'Таблиця 1'!$I:$I,"Су-27"))</f>
        <v/>
      </c>
      <c r="H137">
        <f>IF($A137="","",SUMIFS('Таблиця 1'!$K:$K,'Таблиця 1'!$B:$B,$A137,'Таблиця 1'!$I:$I,"Mirage",'Таблиця 1'!$J:$J,"AGM-88")+SUMIFS('Таблиця 1'!$K:$K,'Таблиця 1'!$B:$B,$A137,'Таблиця 1'!$I:$I,"F-16",'Таблиця 1'!$J:$J,"AGM-88")+SUMIFS('Таблиця 1'!$K:$K,'Таблиця 1'!$B:$B,$A137,'Таблиця 1'!$I:$I,"МіГ-29",'Таблиця 1'!$J:$J,"AGM-88")+SUMIFS('Таблиця 1'!$K:$K,'Таблиця 1'!$B:$B,$A137,'Таблиця 1'!$I:$I,"Су-25",'Таблиця 1'!$J:$J,"AGM-88")+SUMIFS('Таблиця 1'!$K:$K,'Таблиця 1'!$B:$B,$A137,'Таблиця 1'!$I:$I,"Су-27",'Таблиця 1'!$J:$J,"AGM-88"))</f>
        <v/>
      </c>
      <c r="I137">
        <f>IF($A137="","",SUMIFS('Таблиця 1'!$K:$K,'Таблиця 1'!$B:$B,$A137,'Таблиця 1'!$I:$I,"Mirage",'Таблиця 1'!$J:$J,"AASM-250")+SUMIFS('Таблиця 1'!$K:$K,'Таблиця 1'!$B:$B,$A137,'Таблиця 1'!$I:$I,"F-16",'Таблиця 1'!$J:$J,"AASM-250")+SUMIFS('Таблиця 1'!$K:$K,'Таблиця 1'!$B:$B,$A137,'Таблиця 1'!$I:$I,"МіГ-29",'Таблиця 1'!$J:$J,"AASM-250")+SUMIFS('Таблиця 1'!$K:$K,'Таблиця 1'!$B:$B,$A137,'Таблиця 1'!$I:$I,"Су-25",'Таблиця 1'!$J:$J,"AASM-250")+SUMIFS('Таблиця 1'!$K:$K,'Таблиця 1'!$B:$B,$A137,'Таблиця 1'!$I:$I,"Су-27",'Таблиця 1'!$J:$J,"AASM-250"))</f>
        <v/>
      </c>
      <c r="J137">
        <f>IF($A137="","",SUMIFS('Таблиця 1'!$K:$K,'Таблиця 1'!$B:$B,$A137,'Таблиця 1'!$I:$I,"Mirage",'Таблиця 1'!$J:$J,"GBU-39")+SUMIFS('Таблиця 1'!$K:$K,'Таблиця 1'!$B:$B,$A137,'Таблиця 1'!$I:$I,"F-16",'Таблиця 1'!$J:$J,"GBU-39")+SUMIFS('Таблиця 1'!$K:$K,'Таблиця 1'!$B:$B,$A137,'Таблиця 1'!$I:$I,"МіГ-29",'Таблиця 1'!$J:$J,"GBU-39")+SUMIFS('Таблиця 1'!$K:$K,'Таблиця 1'!$B:$B,$A137,'Таблиця 1'!$I:$I,"Су-25",'Таблиця 1'!$J:$J,"GBU-39")+SUMIFS('Таблиця 1'!$K:$K,'Таблиця 1'!$B:$B,$A137,'Таблиця 1'!$I:$I,"Су-27",'Таблиця 1'!$J:$J,"GBU-39"))</f>
        <v/>
      </c>
      <c r="K137">
        <f>IF($A137="","",SUMIFS('Таблиця 1'!$K:$K,'Таблиця 1'!$B:$B,$A137,'Таблиця 1'!$I:$I,"Mirage",'Таблиця 1'!$J:$J,"BLU-140")+SUMIFS('Таблиця 1'!$K:$K,'Таблиця 1'!$B:$B,$A137,'Таблиця 1'!$I:$I,"F-16",'Таблиця 1'!$J:$J,"BLU-140")+SUMIFS('Таблиця 1'!$K:$K,'Таблиця 1'!$B:$B,$A137,'Таблиця 1'!$I:$I,"МіГ-29",'Таблиця 1'!$J:$J,"BLU-140")+SUMIFS('Таблиця 1'!$K:$K,'Таблиця 1'!$B:$B,$A137,'Таблиця 1'!$I:$I,"Су-25",'Таблиця 1'!$J:$J,"BLU-140")+SUMIFS('Таблиця 1'!$K:$K,'Таблиця 1'!$B:$B,$A137,'Таблиця 1'!$I:$I,"Су-27",'Таблиця 1'!$J:$J,"BLU-140"))</f>
        <v/>
      </c>
      <c r="L137">
        <f>IF($A137="","",SUMIFS('Таблиця 1'!$K:$K,'Таблиця 1'!$B:$B,$A137,'Таблиця 1'!$I:$I,"Mirage",'Таблиця 1'!$J:$J,"GBU-65")+SUMIFS('Таблиця 1'!$K:$K,'Таблиця 1'!$B:$B,$A137,'Таблиця 1'!$I:$I,"F-16",'Таблиця 1'!$J:$J,"GBU-65")+SUMIFS('Таблиця 1'!$K:$K,'Таблиця 1'!$B:$B,$A137,'Таблиця 1'!$I:$I,"МіГ-29",'Таблиця 1'!$J:$J,"GBU-65")+SUMIFS('Таблиця 1'!$K:$K,'Таблиця 1'!$B:$B,$A137,'Таблиця 1'!$I:$I,"Су-25",'Таблиця 1'!$J:$J,"GBU-65")+SUMIFS('Таблиця 1'!$K:$K,'Таблиця 1'!$B:$B,$A137,'Таблиця 1'!$I:$I,"Су-27",'Таблиця 1'!$J:$J,"GBU-65"))</f>
        <v/>
      </c>
      <c r="M137">
        <f>IF($A137="","",SUMIFS('Таблиця 1'!$K:$K,'Таблиця 1'!$B:$B,$A137,'Таблиця 1'!$I:$I,"Mirage",'Таблиця 1'!$J:$J,"GBU-62")+SUMIFS('Таблиця 1'!$K:$K,'Таблиця 1'!$B:$B,$A137,'Таблиця 1'!$I:$I,"F-16",'Таблиця 1'!$J:$J,"GBU-62")+SUMIFS('Таблиця 1'!$K:$K,'Таблиця 1'!$B:$B,$A137,'Таблиця 1'!$I:$I,"МіГ-29",'Таблиця 1'!$J:$J,"GBU-62")+SUMIFS('Таблиця 1'!$K:$K,'Таблиця 1'!$B:$B,$A137,'Таблиця 1'!$I:$I,"Су-25",'Таблиця 1'!$J:$J,"GBU-62")+SUMIFS('Таблиця 1'!$K:$K,'Таблиця 1'!$B:$B,$A137,'Таблиця 1'!$I:$I,"Су-27",'Таблиця 1'!$J:$J,"GBU-62"))</f>
        <v/>
      </c>
      <c r="N137">
        <f>IF($A137="","",SUMIFS('Таблиця 1'!$K:$K,'Таблиця 1'!$B:$B,$A137,'Таблиця 1'!$I:$I,"Mirage",'Таблиця 1'!$J:$J,"GBU-64")+SUMIFS('Таблиця 1'!$K:$K,'Таблиця 1'!$B:$B,$A137,'Таблиця 1'!$I:$I,"F-16",'Таблиця 1'!$J:$J,"GBU-64")+SUMIFS('Таблиця 1'!$K:$K,'Таблиця 1'!$B:$B,$A137,'Таблиця 1'!$I:$I,"МіГ-29",'Таблиця 1'!$J:$J,"GBU-64")+SUMIFS('Таблиця 1'!$K:$K,'Таблиця 1'!$B:$B,$A137,'Таблиця 1'!$I:$I,"Су-25",'Таблиця 1'!$J:$J,"GBU-64")+SUMIFS('Таблиця 1'!$K:$K,'Таблиця 1'!$B:$B,$A137,'Таблиця 1'!$I:$I,"Су-27",'Таблиця 1'!$J:$J,"GBU-64"))</f>
        <v/>
      </c>
      <c r="O137">
        <f>IF($A137="","",SUMIFS('Таблиця 1'!$K:$K,'Таблиця 1'!$B:$B,$A137,'Таблиця 1'!$I:$I,"Mirage",'Таблиця 1'!$J:$J,"C-13")+SUMIFS('Таблиця 1'!$K:$K,'Таблиця 1'!$B:$B,$A137,'Таблиця 1'!$I:$I,"F-16",'Таблиця 1'!$J:$J,"C-13")+SUMIFS('Таблиця 1'!$K:$K,'Таблиця 1'!$B:$B,$A137,'Таблиця 1'!$I:$I,"МіГ-29",'Таблиця 1'!$J:$J,"C-13")+SUMIFS('Таблиця 1'!$K:$K,'Таблиця 1'!$B:$B,$A137,'Таблиця 1'!$I:$I,"Су-25",'Таблиця 1'!$J:$J,"C-13")+SUMIFS('Таблиця 1'!$K:$K,'Таблиця 1'!$B:$B,$A137,'Таблиця 1'!$I:$I,"Су-27",'Таблиця 1'!$J:$J,"C-13"))</f>
        <v/>
      </c>
      <c r="P137">
        <f>IF($A137="","",SUMIFS('Таблиця 1'!$K:$K,'Таблиця 1'!$B:$B,$A137,'Таблиця 1'!$I:$I,"Mirage",'Таблиця 1'!$J:$J,"MK-32")+SUMIFS('Таблиця 1'!$K:$K,'Таблиця 1'!$B:$B,$A137,'Таблиця 1'!$I:$I,"F-16",'Таблиця 1'!$J:$J,"MK-32")+SUMIFS('Таблиця 1'!$K:$K,'Таблиця 1'!$B:$B,$A137,'Таблиця 1'!$I:$I,"МіГ-29",'Таблиця 1'!$J:$J,"MK-32")+SUMIFS('Таблиця 1'!$K:$K,'Таблиця 1'!$B:$B,$A137,'Таблиця 1'!$I:$I,"Су-25",'Таблиця 1'!$J:$J,"MK-32")+SUMIFS('Таблиця 1'!$K:$K,'Таблиця 1'!$B:$B,$A137,'Таблиця 1'!$I:$I,"Су-27",'Таблиця 1'!$J:$J,"MK-32"))</f>
        <v/>
      </c>
      <c r="Q137">
        <f>IF($A137="","",SUMIFS('Таблиця 1'!$K:$K,'Таблиця 1'!$B:$B,$A137,'Таблиця 1'!$I:$I,"Mirage",'Таблиця 1'!$J:$J,"MK-24")+SUMIFS('Таблиця 1'!$K:$K,'Таблиця 1'!$B:$B,$A137,'Таблиця 1'!$I:$I,"F-16",'Таблиця 1'!$J:$J,"MK-24")+SUMIFS('Таблиця 1'!$K:$K,'Таблиця 1'!$B:$B,$A137,'Таблиця 1'!$I:$I,"МіГ-29",'Таблиця 1'!$J:$J,"MK-24")+SUMIFS('Таблиця 1'!$K:$K,'Таблиця 1'!$B:$B,$A137,'Таблиця 1'!$I:$I,"Су-25",'Таблиця 1'!$J:$J,"MK-24")+SUMIFS('Таблиця 1'!$K:$K,'Таблиця 1'!$B:$B,$A137,'Таблиця 1'!$I:$I,"Су-27",'Таблиця 1'!$J:$J,"MK-24"))</f>
        <v/>
      </c>
      <c r="R137">
        <f>IF($A137="","",COUNTIFS('Таблиця 1'!$B:$B,$A137,'Таблиця 1'!$I:$I,"Mirage",'Таблиця 1'!$L:$L,"Уражено")+COUNTIFS('Таблиця 1'!$B:$B,$A137,'Таблиця 1'!$I:$I,"F-16",'Таблиця 1'!$L:$L,"Уражено")+COUNTIFS('Таблиця 1'!$B:$B,$A137,'Таблиця 1'!$I:$I,"МіГ-29",'Таблиця 1'!$L:$L,"Уражено")+COUNTIFS('Таблиця 1'!$B:$B,$A137,'Таблиця 1'!$I:$I,"Су-25",'Таблиця 1'!$L:$L,"Уражено")+COUNTIFS('Таблиця 1'!$B:$B,$A137,'Таблиця 1'!$I:$I,"Су-27",'Таблиця 1'!$L:$L,"Уражено"))</f>
        <v/>
      </c>
      <c r="S137">
        <f>IF($A137="","",COUNTIFS('Таблиця 1'!$B:$B,$A137,'Таблиця 1'!$I:$I,"Mirage",'Таблиця 1'!$L:$L,"НЕ уражено")+COUNTIFS('Таблиця 1'!$B:$B,$A137,'Таблиця 1'!$I:$I,"F-16",'Таблиця 1'!$L:$L,"НЕ уражено")+COUNTIFS('Таблиця 1'!$B:$B,$A137,'Таблиця 1'!$I:$I,"МіГ-29",'Таблиця 1'!$L:$L,"НЕ уражено")+COUNTIFS('Таблиця 1'!$B:$B,$A137,'Таблиця 1'!$I:$I,"Су-25",'Таблиця 1'!$L:$L,"НЕ уражено")+COUNTIFS('Таблиця 1'!$B:$B,$A137,'Таблиця 1'!$I:$I,"Су-27",'Таблиця 1'!$L:$L,"НЕ уражено"))</f>
        <v/>
      </c>
      <c r="T137">
        <f>IF($A137="","",COUNTIFS('Таблиця 1'!$B:$B,$A137,'Таблиця 1'!$I:$I,"Mirage",'Таблиця 1'!$L:$L,"Дорозвідується")+COUNTIFS('Таблиця 1'!$B:$B,$A137,'Таблиця 1'!$I:$I,"F-16",'Таблиця 1'!$L:$L,"Дорозвідується")+COUNTIFS('Таблиця 1'!$B:$B,$A137,'Таблиця 1'!$I:$I,"МіГ-29",'Таблиця 1'!$L:$L,"Дорозвідується")+COUNTIFS('Таблиця 1'!$B:$B,$A137,'Таблиця 1'!$I:$I,"Су-25",'Таблиця 1'!$L:$L,"Дорозвідується")+COUNTIFS('Таблиця 1'!$B:$B,$A137,'Таблиця 1'!$I:$I,"Су-27",'Таблиця 1'!$L:$L,"Дорозвідується"))</f>
        <v/>
      </c>
    </row>
    <row r="138">
      <c r="A138" s="273">
        <f>IF(A137="","",IF(A137+1&gt;MAX('Таблиця 1'!$B:$B),"",A137+1))</f>
        <v/>
      </c>
      <c r="B138">
        <f>IF($A138="","",COUNTIFS('Таблиця 1'!$B:$B,$A138,'Таблиця 1'!$I:$I,"Mirage")+COUNTIFS('Таблиця 1'!$B:$B,$A138,'Таблиця 1'!$I:$I,"F-16")+COUNTIFS('Таблиця 1'!$B:$B,$A138,'Таблиця 1'!$I:$I,"МіГ-29")+COUNTIFS('Таблиця 1'!$B:$B,$A138,'Таблиця 1'!$I:$I,"Су-25")+COUNTIFS('Таблиця 1'!$B:$B,$A138,'Таблиця 1'!$I:$I,"Су-27"))</f>
        <v/>
      </c>
      <c r="C138">
        <f>IF($A138="","",COUNTIFS('Таблиця 1'!$B:$B,$A138,'Таблиця 1'!$I:$I,"Mirage"))</f>
        <v/>
      </c>
      <c r="D138">
        <f>IF($A138="","",COUNTIFS('Таблиця 1'!$B:$B,$A138,'Таблиця 1'!$I:$I,"F-16"))</f>
        <v/>
      </c>
      <c r="E138">
        <f>IF($A138="","",COUNTIFS('Таблиця 1'!$B:$B,$A138,'Таблиця 1'!$I:$I,"МіГ-29"))</f>
        <v/>
      </c>
      <c r="F138">
        <f>IF($A138="","",COUNTIFS('Таблиця 1'!$B:$B,$A138,'Таблиця 1'!$I:$I,"Су-25"))</f>
        <v/>
      </c>
      <c r="G138">
        <f>IF($A138="","",COUNTIFS('Таблиця 1'!$B:$B,$A138,'Таблиця 1'!$I:$I,"Су-27"))</f>
        <v/>
      </c>
      <c r="H138">
        <f>IF($A138="","",SUMIFS('Таблиця 1'!$K:$K,'Таблиця 1'!$B:$B,$A138,'Таблиця 1'!$I:$I,"Mirage",'Таблиця 1'!$J:$J,"AGM-88")+SUMIFS('Таблиця 1'!$K:$K,'Таблиця 1'!$B:$B,$A138,'Таблиця 1'!$I:$I,"F-16",'Таблиця 1'!$J:$J,"AGM-88")+SUMIFS('Таблиця 1'!$K:$K,'Таблиця 1'!$B:$B,$A138,'Таблиця 1'!$I:$I,"МіГ-29",'Таблиця 1'!$J:$J,"AGM-88")+SUMIFS('Таблиця 1'!$K:$K,'Таблиця 1'!$B:$B,$A138,'Таблиця 1'!$I:$I,"Су-25",'Таблиця 1'!$J:$J,"AGM-88")+SUMIFS('Таблиця 1'!$K:$K,'Таблиця 1'!$B:$B,$A138,'Таблиця 1'!$I:$I,"Су-27",'Таблиця 1'!$J:$J,"AGM-88"))</f>
        <v/>
      </c>
      <c r="I138">
        <f>IF($A138="","",SUMIFS('Таблиця 1'!$K:$K,'Таблиця 1'!$B:$B,$A138,'Таблиця 1'!$I:$I,"Mirage",'Таблиця 1'!$J:$J,"AASM-250")+SUMIFS('Таблиця 1'!$K:$K,'Таблиця 1'!$B:$B,$A138,'Таблиця 1'!$I:$I,"F-16",'Таблиця 1'!$J:$J,"AASM-250")+SUMIFS('Таблиця 1'!$K:$K,'Таблиця 1'!$B:$B,$A138,'Таблиця 1'!$I:$I,"МіГ-29",'Таблиця 1'!$J:$J,"AASM-250")+SUMIFS('Таблиця 1'!$K:$K,'Таблиця 1'!$B:$B,$A138,'Таблиця 1'!$I:$I,"Су-25",'Таблиця 1'!$J:$J,"AASM-250")+SUMIFS('Таблиця 1'!$K:$K,'Таблиця 1'!$B:$B,$A138,'Таблиця 1'!$I:$I,"Су-27",'Таблиця 1'!$J:$J,"AASM-250"))</f>
        <v/>
      </c>
      <c r="J138">
        <f>IF($A138="","",SUMIFS('Таблиця 1'!$K:$K,'Таблиця 1'!$B:$B,$A138,'Таблиця 1'!$I:$I,"Mirage",'Таблиця 1'!$J:$J,"GBU-39")+SUMIFS('Таблиця 1'!$K:$K,'Таблиця 1'!$B:$B,$A138,'Таблиця 1'!$I:$I,"F-16",'Таблиця 1'!$J:$J,"GBU-39")+SUMIFS('Таблиця 1'!$K:$K,'Таблиця 1'!$B:$B,$A138,'Таблиця 1'!$I:$I,"МіГ-29",'Таблиця 1'!$J:$J,"GBU-39")+SUMIFS('Таблиця 1'!$K:$K,'Таблиця 1'!$B:$B,$A138,'Таблиця 1'!$I:$I,"Су-25",'Таблиця 1'!$J:$J,"GBU-39")+SUMIFS('Таблиця 1'!$K:$K,'Таблиця 1'!$B:$B,$A138,'Таблиця 1'!$I:$I,"Су-27",'Таблиця 1'!$J:$J,"GBU-39"))</f>
        <v/>
      </c>
      <c r="K138">
        <f>IF($A138="","",SUMIFS('Таблиця 1'!$K:$K,'Таблиця 1'!$B:$B,$A138,'Таблиця 1'!$I:$I,"Mirage",'Таблиця 1'!$J:$J,"BLU-140")+SUMIFS('Таблиця 1'!$K:$K,'Таблиця 1'!$B:$B,$A138,'Таблиця 1'!$I:$I,"F-16",'Таблиця 1'!$J:$J,"BLU-140")+SUMIFS('Таблиця 1'!$K:$K,'Таблиця 1'!$B:$B,$A138,'Таблиця 1'!$I:$I,"МіГ-29",'Таблиця 1'!$J:$J,"BLU-140")+SUMIFS('Таблиця 1'!$K:$K,'Таблиця 1'!$B:$B,$A138,'Таблиця 1'!$I:$I,"Су-25",'Таблиця 1'!$J:$J,"BLU-140")+SUMIFS('Таблиця 1'!$K:$K,'Таблиця 1'!$B:$B,$A138,'Таблиця 1'!$I:$I,"Су-27",'Таблиця 1'!$J:$J,"BLU-140"))</f>
        <v/>
      </c>
      <c r="L138">
        <f>IF($A138="","",SUMIFS('Таблиця 1'!$K:$K,'Таблиця 1'!$B:$B,$A138,'Таблиця 1'!$I:$I,"Mirage",'Таблиця 1'!$J:$J,"GBU-65")+SUMIFS('Таблиця 1'!$K:$K,'Таблиця 1'!$B:$B,$A138,'Таблиця 1'!$I:$I,"F-16",'Таблиця 1'!$J:$J,"GBU-65")+SUMIFS('Таблиця 1'!$K:$K,'Таблиця 1'!$B:$B,$A138,'Таблиця 1'!$I:$I,"МіГ-29",'Таблиця 1'!$J:$J,"GBU-65")+SUMIFS('Таблиця 1'!$K:$K,'Таблиця 1'!$B:$B,$A138,'Таблиця 1'!$I:$I,"Су-25",'Таблиця 1'!$J:$J,"GBU-65")+SUMIFS('Таблиця 1'!$K:$K,'Таблиця 1'!$B:$B,$A138,'Таблиця 1'!$I:$I,"Су-27",'Таблиця 1'!$J:$J,"GBU-65"))</f>
        <v/>
      </c>
      <c r="M138">
        <f>IF($A138="","",SUMIFS('Таблиця 1'!$K:$K,'Таблиця 1'!$B:$B,$A138,'Таблиця 1'!$I:$I,"Mirage",'Таблиця 1'!$J:$J,"GBU-62")+SUMIFS('Таблиця 1'!$K:$K,'Таблиця 1'!$B:$B,$A138,'Таблиця 1'!$I:$I,"F-16",'Таблиця 1'!$J:$J,"GBU-62")+SUMIFS('Таблиця 1'!$K:$K,'Таблиця 1'!$B:$B,$A138,'Таблиця 1'!$I:$I,"МіГ-29",'Таблиця 1'!$J:$J,"GBU-62")+SUMIFS('Таблиця 1'!$K:$K,'Таблиця 1'!$B:$B,$A138,'Таблиця 1'!$I:$I,"Су-25",'Таблиця 1'!$J:$J,"GBU-62")+SUMIFS('Таблиця 1'!$K:$K,'Таблиця 1'!$B:$B,$A138,'Таблиця 1'!$I:$I,"Су-27",'Таблиця 1'!$J:$J,"GBU-62"))</f>
        <v/>
      </c>
      <c r="N138">
        <f>IF($A138="","",SUMIFS('Таблиця 1'!$K:$K,'Таблиця 1'!$B:$B,$A138,'Таблиця 1'!$I:$I,"Mirage",'Таблиця 1'!$J:$J,"GBU-64")+SUMIFS('Таблиця 1'!$K:$K,'Таблиця 1'!$B:$B,$A138,'Таблиця 1'!$I:$I,"F-16",'Таблиця 1'!$J:$J,"GBU-64")+SUMIFS('Таблиця 1'!$K:$K,'Таблиця 1'!$B:$B,$A138,'Таблиця 1'!$I:$I,"МіГ-29",'Таблиця 1'!$J:$J,"GBU-64")+SUMIFS('Таблиця 1'!$K:$K,'Таблиця 1'!$B:$B,$A138,'Таблиця 1'!$I:$I,"Су-25",'Таблиця 1'!$J:$J,"GBU-64")+SUMIFS('Таблиця 1'!$K:$K,'Таблиця 1'!$B:$B,$A138,'Таблиця 1'!$I:$I,"Су-27",'Таблиця 1'!$J:$J,"GBU-64"))</f>
        <v/>
      </c>
      <c r="O138">
        <f>IF($A138="","",SUMIFS('Таблиця 1'!$K:$K,'Таблиця 1'!$B:$B,$A138,'Таблиця 1'!$I:$I,"Mirage",'Таблиця 1'!$J:$J,"C-13")+SUMIFS('Таблиця 1'!$K:$K,'Таблиця 1'!$B:$B,$A138,'Таблиця 1'!$I:$I,"F-16",'Таблиця 1'!$J:$J,"C-13")+SUMIFS('Таблиця 1'!$K:$K,'Таблиця 1'!$B:$B,$A138,'Таблиця 1'!$I:$I,"МіГ-29",'Таблиця 1'!$J:$J,"C-13")+SUMIFS('Таблиця 1'!$K:$K,'Таблиця 1'!$B:$B,$A138,'Таблиця 1'!$I:$I,"Су-25",'Таблиця 1'!$J:$J,"C-13")+SUMIFS('Таблиця 1'!$K:$K,'Таблиця 1'!$B:$B,$A138,'Таблиця 1'!$I:$I,"Су-27",'Таблиця 1'!$J:$J,"C-13"))</f>
        <v/>
      </c>
      <c r="P138">
        <f>IF($A138="","",SUMIFS('Таблиця 1'!$K:$K,'Таблиця 1'!$B:$B,$A138,'Таблиця 1'!$I:$I,"Mirage",'Таблиця 1'!$J:$J,"MK-32")+SUMIFS('Таблиця 1'!$K:$K,'Таблиця 1'!$B:$B,$A138,'Таблиця 1'!$I:$I,"F-16",'Таблиця 1'!$J:$J,"MK-32")+SUMIFS('Таблиця 1'!$K:$K,'Таблиця 1'!$B:$B,$A138,'Таблиця 1'!$I:$I,"МіГ-29",'Таблиця 1'!$J:$J,"MK-32")+SUMIFS('Таблиця 1'!$K:$K,'Таблиця 1'!$B:$B,$A138,'Таблиця 1'!$I:$I,"Су-25",'Таблиця 1'!$J:$J,"MK-32")+SUMIFS('Таблиця 1'!$K:$K,'Таблиця 1'!$B:$B,$A138,'Таблиця 1'!$I:$I,"Су-27",'Таблиця 1'!$J:$J,"MK-32"))</f>
        <v/>
      </c>
      <c r="Q138">
        <f>IF($A138="","",SUMIFS('Таблиця 1'!$K:$K,'Таблиця 1'!$B:$B,$A138,'Таблиця 1'!$I:$I,"Mirage",'Таблиця 1'!$J:$J,"MK-24")+SUMIFS('Таблиця 1'!$K:$K,'Таблиця 1'!$B:$B,$A138,'Таблиця 1'!$I:$I,"F-16",'Таблиця 1'!$J:$J,"MK-24")+SUMIFS('Таблиця 1'!$K:$K,'Таблиця 1'!$B:$B,$A138,'Таблиця 1'!$I:$I,"МіГ-29",'Таблиця 1'!$J:$J,"MK-24")+SUMIFS('Таблиця 1'!$K:$K,'Таблиця 1'!$B:$B,$A138,'Таблиця 1'!$I:$I,"Су-25",'Таблиця 1'!$J:$J,"MK-24")+SUMIFS('Таблиця 1'!$K:$K,'Таблиця 1'!$B:$B,$A138,'Таблиця 1'!$I:$I,"Су-27",'Таблиця 1'!$J:$J,"MK-24"))</f>
        <v/>
      </c>
      <c r="R138">
        <f>IF($A138="","",COUNTIFS('Таблиця 1'!$B:$B,$A138,'Таблиця 1'!$I:$I,"Mirage",'Таблиця 1'!$L:$L,"Уражено")+COUNTIFS('Таблиця 1'!$B:$B,$A138,'Таблиця 1'!$I:$I,"F-16",'Таблиця 1'!$L:$L,"Уражено")+COUNTIFS('Таблиця 1'!$B:$B,$A138,'Таблиця 1'!$I:$I,"МіГ-29",'Таблиця 1'!$L:$L,"Уражено")+COUNTIFS('Таблиця 1'!$B:$B,$A138,'Таблиця 1'!$I:$I,"Су-25",'Таблиця 1'!$L:$L,"Уражено")+COUNTIFS('Таблиця 1'!$B:$B,$A138,'Таблиця 1'!$I:$I,"Су-27",'Таблиця 1'!$L:$L,"Уражено"))</f>
        <v/>
      </c>
      <c r="S138">
        <f>IF($A138="","",COUNTIFS('Таблиця 1'!$B:$B,$A138,'Таблиця 1'!$I:$I,"Mirage",'Таблиця 1'!$L:$L,"НЕ уражено")+COUNTIFS('Таблиця 1'!$B:$B,$A138,'Таблиця 1'!$I:$I,"F-16",'Таблиця 1'!$L:$L,"НЕ уражено")+COUNTIFS('Таблиця 1'!$B:$B,$A138,'Таблиця 1'!$I:$I,"МіГ-29",'Таблиця 1'!$L:$L,"НЕ уражено")+COUNTIFS('Таблиця 1'!$B:$B,$A138,'Таблиця 1'!$I:$I,"Су-25",'Таблиця 1'!$L:$L,"НЕ уражено")+COUNTIFS('Таблиця 1'!$B:$B,$A138,'Таблиця 1'!$I:$I,"Су-27",'Таблиця 1'!$L:$L,"НЕ уражено"))</f>
        <v/>
      </c>
      <c r="T138">
        <f>IF($A138="","",COUNTIFS('Таблиця 1'!$B:$B,$A138,'Таблиця 1'!$I:$I,"Mirage",'Таблиця 1'!$L:$L,"Дорозвідується")+COUNTIFS('Таблиця 1'!$B:$B,$A138,'Таблиця 1'!$I:$I,"F-16",'Таблиця 1'!$L:$L,"Дорозвідується")+COUNTIFS('Таблиця 1'!$B:$B,$A138,'Таблиця 1'!$I:$I,"МіГ-29",'Таблиця 1'!$L:$L,"Дорозвідується")+COUNTIFS('Таблиця 1'!$B:$B,$A138,'Таблиця 1'!$I:$I,"Су-25",'Таблиця 1'!$L:$L,"Дорозвідується")+COUNTIFS('Таблиця 1'!$B:$B,$A138,'Таблиця 1'!$I:$I,"Су-27",'Таблиця 1'!$L:$L,"Дорозвідується"))</f>
        <v/>
      </c>
    </row>
    <row r="139">
      <c r="A139" s="273">
        <f>IF(A138="","",IF(A138+1&gt;MAX('Таблиця 1'!$B:$B),"",A138+1))</f>
        <v/>
      </c>
      <c r="B139">
        <f>IF($A139="","",COUNTIFS('Таблиця 1'!$B:$B,$A139,'Таблиця 1'!$I:$I,"Mirage")+COUNTIFS('Таблиця 1'!$B:$B,$A139,'Таблиця 1'!$I:$I,"F-16")+COUNTIFS('Таблиця 1'!$B:$B,$A139,'Таблиця 1'!$I:$I,"МіГ-29")+COUNTIFS('Таблиця 1'!$B:$B,$A139,'Таблиця 1'!$I:$I,"Су-25")+COUNTIFS('Таблиця 1'!$B:$B,$A139,'Таблиця 1'!$I:$I,"Су-27"))</f>
        <v/>
      </c>
      <c r="C139">
        <f>IF($A139="","",COUNTIFS('Таблиця 1'!$B:$B,$A139,'Таблиця 1'!$I:$I,"Mirage"))</f>
        <v/>
      </c>
      <c r="D139">
        <f>IF($A139="","",COUNTIFS('Таблиця 1'!$B:$B,$A139,'Таблиця 1'!$I:$I,"F-16"))</f>
        <v/>
      </c>
      <c r="E139">
        <f>IF($A139="","",COUNTIFS('Таблиця 1'!$B:$B,$A139,'Таблиця 1'!$I:$I,"МіГ-29"))</f>
        <v/>
      </c>
      <c r="F139">
        <f>IF($A139="","",COUNTIFS('Таблиця 1'!$B:$B,$A139,'Таблиця 1'!$I:$I,"Су-25"))</f>
        <v/>
      </c>
      <c r="G139">
        <f>IF($A139="","",COUNTIFS('Таблиця 1'!$B:$B,$A139,'Таблиця 1'!$I:$I,"Су-27"))</f>
        <v/>
      </c>
      <c r="H139">
        <f>IF($A139="","",SUMIFS('Таблиця 1'!$K:$K,'Таблиця 1'!$B:$B,$A139,'Таблиця 1'!$I:$I,"Mirage",'Таблиця 1'!$J:$J,"AGM-88")+SUMIFS('Таблиця 1'!$K:$K,'Таблиця 1'!$B:$B,$A139,'Таблиця 1'!$I:$I,"F-16",'Таблиця 1'!$J:$J,"AGM-88")+SUMIFS('Таблиця 1'!$K:$K,'Таблиця 1'!$B:$B,$A139,'Таблиця 1'!$I:$I,"МіГ-29",'Таблиця 1'!$J:$J,"AGM-88")+SUMIFS('Таблиця 1'!$K:$K,'Таблиця 1'!$B:$B,$A139,'Таблиця 1'!$I:$I,"Су-25",'Таблиця 1'!$J:$J,"AGM-88")+SUMIFS('Таблиця 1'!$K:$K,'Таблиця 1'!$B:$B,$A139,'Таблиця 1'!$I:$I,"Су-27",'Таблиця 1'!$J:$J,"AGM-88"))</f>
        <v/>
      </c>
      <c r="I139">
        <f>IF($A139="","",SUMIFS('Таблиця 1'!$K:$K,'Таблиця 1'!$B:$B,$A139,'Таблиця 1'!$I:$I,"Mirage",'Таблиця 1'!$J:$J,"AASM-250")+SUMIFS('Таблиця 1'!$K:$K,'Таблиця 1'!$B:$B,$A139,'Таблиця 1'!$I:$I,"F-16",'Таблиця 1'!$J:$J,"AASM-250")+SUMIFS('Таблиця 1'!$K:$K,'Таблиця 1'!$B:$B,$A139,'Таблиця 1'!$I:$I,"МіГ-29",'Таблиця 1'!$J:$J,"AASM-250")+SUMIFS('Таблиця 1'!$K:$K,'Таблиця 1'!$B:$B,$A139,'Таблиця 1'!$I:$I,"Су-25",'Таблиця 1'!$J:$J,"AASM-250")+SUMIFS('Таблиця 1'!$K:$K,'Таблиця 1'!$B:$B,$A139,'Таблиця 1'!$I:$I,"Су-27",'Таблиця 1'!$J:$J,"AASM-250"))</f>
        <v/>
      </c>
      <c r="J139">
        <f>IF($A139="","",SUMIFS('Таблиця 1'!$K:$K,'Таблиця 1'!$B:$B,$A139,'Таблиця 1'!$I:$I,"Mirage",'Таблиця 1'!$J:$J,"GBU-39")+SUMIFS('Таблиця 1'!$K:$K,'Таблиця 1'!$B:$B,$A139,'Таблиця 1'!$I:$I,"F-16",'Таблиця 1'!$J:$J,"GBU-39")+SUMIFS('Таблиця 1'!$K:$K,'Таблиця 1'!$B:$B,$A139,'Таблиця 1'!$I:$I,"МіГ-29",'Таблиця 1'!$J:$J,"GBU-39")+SUMIFS('Таблиця 1'!$K:$K,'Таблиця 1'!$B:$B,$A139,'Таблиця 1'!$I:$I,"Су-25",'Таблиця 1'!$J:$J,"GBU-39")+SUMIFS('Таблиця 1'!$K:$K,'Таблиця 1'!$B:$B,$A139,'Таблиця 1'!$I:$I,"Су-27",'Таблиця 1'!$J:$J,"GBU-39"))</f>
        <v/>
      </c>
      <c r="K139">
        <f>IF($A139="","",SUMIFS('Таблиця 1'!$K:$K,'Таблиця 1'!$B:$B,$A139,'Таблиця 1'!$I:$I,"Mirage",'Таблиця 1'!$J:$J,"BLU-140")+SUMIFS('Таблиця 1'!$K:$K,'Таблиця 1'!$B:$B,$A139,'Таблиця 1'!$I:$I,"F-16",'Таблиця 1'!$J:$J,"BLU-140")+SUMIFS('Таблиця 1'!$K:$K,'Таблиця 1'!$B:$B,$A139,'Таблиця 1'!$I:$I,"МіГ-29",'Таблиця 1'!$J:$J,"BLU-140")+SUMIFS('Таблиця 1'!$K:$K,'Таблиця 1'!$B:$B,$A139,'Таблиця 1'!$I:$I,"Су-25",'Таблиця 1'!$J:$J,"BLU-140")+SUMIFS('Таблиця 1'!$K:$K,'Таблиця 1'!$B:$B,$A139,'Таблиця 1'!$I:$I,"Су-27",'Таблиця 1'!$J:$J,"BLU-140"))</f>
        <v/>
      </c>
      <c r="L139">
        <f>IF($A139="","",SUMIFS('Таблиця 1'!$K:$K,'Таблиця 1'!$B:$B,$A139,'Таблиця 1'!$I:$I,"Mirage",'Таблиця 1'!$J:$J,"GBU-65")+SUMIFS('Таблиця 1'!$K:$K,'Таблиця 1'!$B:$B,$A139,'Таблиця 1'!$I:$I,"F-16",'Таблиця 1'!$J:$J,"GBU-65")+SUMIFS('Таблиця 1'!$K:$K,'Таблиця 1'!$B:$B,$A139,'Таблиця 1'!$I:$I,"МіГ-29",'Таблиця 1'!$J:$J,"GBU-65")+SUMIFS('Таблиця 1'!$K:$K,'Таблиця 1'!$B:$B,$A139,'Таблиця 1'!$I:$I,"Су-25",'Таблиця 1'!$J:$J,"GBU-65")+SUMIFS('Таблиця 1'!$K:$K,'Таблиця 1'!$B:$B,$A139,'Таблиця 1'!$I:$I,"Су-27",'Таблиця 1'!$J:$J,"GBU-65"))</f>
        <v/>
      </c>
      <c r="M139">
        <f>IF($A139="","",SUMIFS('Таблиця 1'!$K:$K,'Таблиця 1'!$B:$B,$A139,'Таблиця 1'!$I:$I,"Mirage",'Таблиця 1'!$J:$J,"GBU-62")+SUMIFS('Таблиця 1'!$K:$K,'Таблиця 1'!$B:$B,$A139,'Таблиця 1'!$I:$I,"F-16",'Таблиця 1'!$J:$J,"GBU-62")+SUMIFS('Таблиця 1'!$K:$K,'Таблиця 1'!$B:$B,$A139,'Таблиця 1'!$I:$I,"МіГ-29",'Таблиця 1'!$J:$J,"GBU-62")+SUMIFS('Таблиця 1'!$K:$K,'Таблиця 1'!$B:$B,$A139,'Таблиця 1'!$I:$I,"Су-25",'Таблиця 1'!$J:$J,"GBU-62")+SUMIFS('Таблиця 1'!$K:$K,'Таблиця 1'!$B:$B,$A139,'Таблиця 1'!$I:$I,"Су-27",'Таблиця 1'!$J:$J,"GBU-62"))</f>
        <v/>
      </c>
      <c r="N139">
        <f>IF($A139="","",SUMIFS('Таблиця 1'!$K:$K,'Таблиця 1'!$B:$B,$A139,'Таблиця 1'!$I:$I,"Mirage",'Таблиця 1'!$J:$J,"GBU-64")+SUMIFS('Таблиця 1'!$K:$K,'Таблиця 1'!$B:$B,$A139,'Таблиця 1'!$I:$I,"F-16",'Таблиця 1'!$J:$J,"GBU-64")+SUMIFS('Таблиця 1'!$K:$K,'Таблиця 1'!$B:$B,$A139,'Таблиця 1'!$I:$I,"МіГ-29",'Таблиця 1'!$J:$J,"GBU-64")+SUMIFS('Таблиця 1'!$K:$K,'Таблиця 1'!$B:$B,$A139,'Таблиця 1'!$I:$I,"Су-25",'Таблиця 1'!$J:$J,"GBU-64")+SUMIFS('Таблиця 1'!$K:$K,'Таблиця 1'!$B:$B,$A139,'Таблиця 1'!$I:$I,"Су-27",'Таблиця 1'!$J:$J,"GBU-64"))</f>
        <v/>
      </c>
      <c r="O139">
        <f>IF($A139="","",SUMIFS('Таблиця 1'!$K:$K,'Таблиця 1'!$B:$B,$A139,'Таблиця 1'!$I:$I,"Mirage",'Таблиця 1'!$J:$J,"C-13")+SUMIFS('Таблиця 1'!$K:$K,'Таблиця 1'!$B:$B,$A139,'Таблиця 1'!$I:$I,"F-16",'Таблиця 1'!$J:$J,"C-13")+SUMIFS('Таблиця 1'!$K:$K,'Таблиця 1'!$B:$B,$A139,'Таблиця 1'!$I:$I,"МіГ-29",'Таблиця 1'!$J:$J,"C-13")+SUMIFS('Таблиця 1'!$K:$K,'Таблиця 1'!$B:$B,$A139,'Таблиця 1'!$I:$I,"Су-25",'Таблиця 1'!$J:$J,"C-13")+SUMIFS('Таблиця 1'!$K:$K,'Таблиця 1'!$B:$B,$A139,'Таблиця 1'!$I:$I,"Су-27",'Таблиця 1'!$J:$J,"C-13"))</f>
        <v/>
      </c>
      <c r="P139">
        <f>IF($A139="","",SUMIFS('Таблиця 1'!$K:$K,'Таблиця 1'!$B:$B,$A139,'Таблиця 1'!$I:$I,"Mirage",'Таблиця 1'!$J:$J,"MK-32")+SUMIFS('Таблиця 1'!$K:$K,'Таблиця 1'!$B:$B,$A139,'Таблиця 1'!$I:$I,"F-16",'Таблиця 1'!$J:$J,"MK-32")+SUMIFS('Таблиця 1'!$K:$K,'Таблиця 1'!$B:$B,$A139,'Таблиця 1'!$I:$I,"МіГ-29",'Таблиця 1'!$J:$J,"MK-32")+SUMIFS('Таблиця 1'!$K:$K,'Таблиця 1'!$B:$B,$A139,'Таблиця 1'!$I:$I,"Су-25",'Таблиця 1'!$J:$J,"MK-32")+SUMIFS('Таблиця 1'!$K:$K,'Таблиця 1'!$B:$B,$A139,'Таблиця 1'!$I:$I,"Су-27",'Таблиця 1'!$J:$J,"MK-32"))</f>
        <v/>
      </c>
      <c r="Q139">
        <f>IF($A139="","",SUMIFS('Таблиця 1'!$K:$K,'Таблиця 1'!$B:$B,$A139,'Таблиця 1'!$I:$I,"Mirage",'Таблиця 1'!$J:$J,"MK-24")+SUMIFS('Таблиця 1'!$K:$K,'Таблиця 1'!$B:$B,$A139,'Таблиця 1'!$I:$I,"F-16",'Таблиця 1'!$J:$J,"MK-24")+SUMIFS('Таблиця 1'!$K:$K,'Таблиця 1'!$B:$B,$A139,'Таблиця 1'!$I:$I,"МіГ-29",'Таблиця 1'!$J:$J,"MK-24")+SUMIFS('Таблиця 1'!$K:$K,'Таблиця 1'!$B:$B,$A139,'Таблиця 1'!$I:$I,"Су-25",'Таблиця 1'!$J:$J,"MK-24")+SUMIFS('Таблиця 1'!$K:$K,'Таблиця 1'!$B:$B,$A139,'Таблиця 1'!$I:$I,"Су-27",'Таблиця 1'!$J:$J,"MK-24"))</f>
        <v/>
      </c>
      <c r="R139">
        <f>IF($A139="","",COUNTIFS('Таблиця 1'!$B:$B,$A139,'Таблиця 1'!$I:$I,"Mirage",'Таблиця 1'!$L:$L,"Уражено")+COUNTIFS('Таблиця 1'!$B:$B,$A139,'Таблиця 1'!$I:$I,"F-16",'Таблиця 1'!$L:$L,"Уражено")+COUNTIFS('Таблиця 1'!$B:$B,$A139,'Таблиця 1'!$I:$I,"МіГ-29",'Таблиця 1'!$L:$L,"Уражено")+COUNTIFS('Таблиця 1'!$B:$B,$A139,'Таблиця 1'!$I:$I,"Су-25",'Таблиця 1'!$L:$L,"Уражено")+COUNTIFS('Таблиця 1'!$B:$B,$A139,'Таблиця 1'!$I:$I,"Су-27",'Таблиця 1'!$L:$L,"Уражено"))</f>
        <v/>
      </c>
      <c r="S139">
        <f>IF($A139="","",COUNTIFS('Таблиця 1'!$B:$B,$A139,'Таблиця 1'!$I:$I,"Mirage",'Таблиця 1'!$L:$L,"НЕ уражено")+COUNTIFS('Таблиця 1'!$B:$B,$A139,'Таблиця 1'!$I:$I,"F-16",'Таблиця 1'!$L:$L,"НЕ уражено")+COUNTIFS('Таблиця 1'!$B:$B,$A139,'Таблиця 1'!$I:$I,"МіГ-29",'Таблиця 1'!$L:$L,"НЕ уражено")+COUNTIFS('Таблиця 1'!$B:$B,$A139,'Таблиця 1'!$I:$I,"Су-25",'Таблиця 1'!$L:$L,"НЕ уражено")+COUNTIFS('Таблиця 1'!$B:$B,$A139,'Таблиця 1'!$I:$I,"Су-27",'Таблиця 1'!$L:$L,"НЕ уражено"))</f>
        <v/>
      </c>
      <c r="T139">
        <f>IF($A139="","",COUNTIFS('Таблиця 1'!$B:$B,$A139,'Таблиця 1'!$I:$I,"Mirage",'Таблиця 1'!$L:$L,"Дорозвідується")+COUNTIFS('Таблиця 1'!$B:$B,$A139,'Таблиця 1'!$I:$I,"F-16",'Таблиця 1'!$L:$L,"Дорозвідується")+COUNTIFS('Таблиця 1'!$B:$B,$A139,'Таблиця 1'!$I:$I,"МіГ-29",'Таблиця 1'!$L:$L,"Дорозвідується")+COUNTIFS('Таблиця 1'!$B:$B,$A139,'Таблиця 1'!$I:$I,"Су-25",'Таблиця 1'!$L:$L,"Дорозвідується")+COUNTIFS('Таблиця 1'!$B:$B,$A139,'Таблиця 1'!$I:$I,"Су-27",'Таблиця 1'!$L:$L,"Дорозвідується"))</f>
        <v/>
      </c>
    </row>
    <row r="140">
      <c r="A140" s="273">
        <f>IF(A139="","",IF(A139+1&gt;MAX('Таблиця 1'!$B:$B),"",A139+1))</f>
        <v/>
      </c>
      <c r="B140">
        <f>IF($A140="","",COUNTIFS('Таблиця 1'!$B:$B,$A140,'Таблиця 1'!$I:$I,"Mirage")+COUNTIFS('Таблиця 1'!$B:$B,$A140,'Таблиця 1'!$I:$I,"F-16")+COUNTIFS('Таблиця 1'!$B:$B,$A140,'Таблиця 1'!$I:$I,"МіГ-29")+COUNTIFS('Таблиця 1'!$B:$B,$A140,'Таблиця 1'!$I:$I,"Су-25")+COUNTIFS('Таблиця 1'!$B:$B,$A140,'Таблиця 1'!$I:$I,"Су-27"))</f>
        <v/>
      </c>
      <c r="C140">
        <f>IF($A140="","",COUNTIFS('Таблиця 1'!$B:$B,$A140,'Таблиця 1'!$I:$I,"Mirage"))</f>
        <v/>
      </c>
      <c r="D140">
        <f>IF($A140="","",COUNTIFS('Таблиця 1'!$B:$B,$A140,'Таблиця 1'!$I:$I,"F-16"))</f>
        <v/>
      </c>
      <c r="E140">
        <f>IF($A140="","",COUNTIFS('Таблиця 1'!$B:$B,$A140,'Таблиця 1'!$I:$I,"МіГ-29"))</f>
        <v/>
      </c>
      <c r="F140">
        <f>IF($A140="","",COUNTIFS('Таблиця 1'!$B:$B,$A140,'Таблиця 1'!$I:$I,"Су-25"))</f>
        <v/>
      </c>
      <c r="G140">
        <f>IF($A140="","",COUNTIFS('Таблиця 1'!$B:$B,$A140,'Таблиця 1'!$I:$I,"Су-27"))</f>
        <v/>
      </c>
      <c r="H140">
        <f>IF($A140="","",SUMIFS('Таблиця 1'!$K:$K,'Таблиця 1'!$B:$B,$A140,'Таблиця 1'!$I:$I,"Mirage",'Таблиця 1'!$J:$J,"AGM-88")+SUMIFS('Таблиця 1'!$K:$K,'Таблиця 1'!$B:$B,$A140,'Таблиця 1'!$I:$I,"F-16",'Таблиця 1'!$J:$J,"AGM-88")+SUMIFS('Таблиця 1'!$K:$K,'Таблиця 1'!$B:$B,$A140,'Таблиця 1'!$I:$I,"МіГ-29",'Таблиця 1'!$J:$J,"AGM-88")+SUMIFS('Таблиця 1'!$K:$K,'Таблиця 1'!$B:$B,$A140,'Таблиця 1'!$I:$I,"Су-25",'Таблиця 1'!$J:$J,"AGM-88")+SUMIFS('Таблиця 1'!$K:$K,'Таблиця 1'!$B:$B,$A140,'Таблиця 1'!$I:$I,"Су-27",'Таблиця 1'!$J:$J,"AGM-88"))</f>
        <v/>
      </c>
      <c r="I140">
        <f>IF($A140="","",SUMIFS('Таблиця 1'!$K:$K,'Таблиця 1'!$B:$B,$A140,'Таблиця 1'!$I:$I,"Mirage",'Таблиця 1'!$J:$J,"AASM-250")+SUMIFS('Таблиця 1'!$K:$K,'Таблиця 1'!$B:$B,$A140,'Таблиця 1'!$I:$I,"F-16",'Таблиця 1'!$J:$J,"AASM-250")+SUMIFS('Таблиця 1'!$K:$K,'Таблиця 1'!$B:$B,$A140,'Таблиця 1'!$I:$I,"МіГ-29",'Таблиця 1'!$J:$J,"AASM-250")+SUMIFS('Таблиця 1'!$K:$K,'Таблиця 1'!$B:$B,$A140,'Таблиця 1'!$I:$I,"Су-25",'Таблиця 1'!$J:$J,"AASM-250")+SUMIFS('Таблиця 1'!$K:$K,'Таблиця 1'!$B:$B,$A140,'Таблиця 1'!$I:$I,"Су-27",'Таблиця 1'!$J:$J,"AASM-250"))</f>
        <v/>
      </c>
      <c r="J140">
        <f>IF($A140="","",SUMIFS('Таблиця 1'!$K:$K,'Таблиця 1'!$B:$B,$A140,'Таблиця 1'!$I:$I,"Mirage",'Таблиця 1'!$J:$J,"GBU-39")+SUMIFS('Таблиця 1'!$K:$K,'Таблиця 1'!$B:$B,$A140,'Таблиця 1'!$I:$I,"F-16",'Таблиця 1'!$J:$J,"GBU-39")+SUMIFS('Таблиця 1'!$K:$K,'Таблиця 1'!$B:$B,$A140,'Таблиця 1'!$I:$I,"МіГ-29",'Таблиця 1'!$J:$J,"GBU-39")+SUMIFS('Таблиця 1'!$K:$K,'Таблиця 1'!$B:$B,$A140,'Таблиця 1'!$I:$I,"Су-25",'Таблиця 1'!$J:$J,"GBU-39")+SUMIFS('Таблиця 1'!$K:$K,'Таблиця 1'!$B:$B,$A140,'Таблиця 1'!$I:$I,"Су-27",'Таблиця 1'!$J:$J,"GBU-39"))</f>
        <v/>
      </c>
      <c r="K140">
        <f>IF($A140="","",SUMIFS('Таблиця 1'!$K:$K,'Таблиця 1'!$B:$B,$A140,'Таблиця 1'!$I:$I,"Mirage",'Таблиця 1'!$J:$J,"BLU-140")+SUMIFS('Таблиця 1'!$K:$K,'Таблиця 1'!$B:$B,$A140,'Таблиця 1'!$I:$I,"F-16",'Таблиця 1'!$J:$J,"BLU-140")+SUMIFS('Таблиця 1'!$K:$K,'Таблиця 1'!$B:$B,$A140,'Таблиця 1'!$I:$I,"МіГ-29",'Таблиця 1'!$J:$J,"BLU-140")+SUMIFS('Таблиця 1'!$K:$K,'Таблиця 1'!$B:$B,$A140,'Таблиця 1'!$I:$I,"Су-25",'Таблиця 1'!$J:$J,"BLU-140")+SUMIFS('Таблиця 1'!$K:$K,'Таблиця 1'!$B:$B,$A140,'Таблиця 1'!$I:$I,"Су-27",'Таблиця 1'!$J:$J,"BLU-140"))</f>
        <v/>
      </c>
      <c r="L140">
        <f>IF($A140="","",SUMIFS('Таблиця 1'!$K:$K,'Таблиця 1'!$B:$B,$A140,'Таблиця 1'!$I:$I,"Mirage",'Таблиця 1'!$J:$J,"GBU-65")+SUMIFS('Таблиця 1'!$K:$K,'Таблиця 1'!$B:$B,$A140,'Таблиця 1'!$I:$I,"F-16",'Таблиця 1'!$J:$J,"GBU-65")+SUMIFS('Таблиця 1'!$K:$K,'Таблиця 1'!$B:$B,$A140,'Таблиця 1'!$I:$I,"МіГ-29",'Таблиця 1'!$J:$J,"GBU-65")+SUMIFS('Таблиця 1'!$K:$K,'Таблиця 1'!$B:$B,$A140,'Таблиця 1'!$I:$I,"Су-25",'Таблиця 1'!$J:$J,"GBU-65")+SUMIFS('Таблиця 1'!$K:$K,'Таблиця 1'!$B:$B,$A140,'Таблиця 1'!$I:$I,"Су-27",'Таблиця 1'!$J:$J,"GBU-65"))</f>
        <v/>
      </c>
      <c r="M140">
        <f>IF($A140="","",SUMIFS('Таблиця 1'!$K:$K,'Таблиця 1'!$B:$B,$A140,'Таблиця 1'!$I:$I,"Mirage",'Таблиця 1'!$J:$J,"GBU-62")+SUMIFS('Таблиця 1'!$K:$K,'Таблиця 1'!$B:$B,$A140,'Таблиця 1'!$I:$I,"F-16",'Таблиця 1'!$J:$J,"GBU-62")+SUMIFS('Таблиця 1'!$K:$K,'Таблиця 1'!$B:$B,$A140,'Таблиця 1'!$I:$I,"МіГ-29",'Таблиця 1'!$J:$J,"GBU-62")+SUMIFS('Таблиця 1'!$K:$K,'Таблиця 1'!$B:$B,$A140,'Таблиця 1'!$I:$I,"Су-25",'Таблиця 1'!$J:$J,"GBU-62")+SUMIFS('Таблиця 1'!$K:$K,'Таблиця 1'!$B:$B,$A140,'Таблиця 1'!$I:$I,"Су-27",'Таблиця 1'!$J:$J,"GBU-62"))</f>
        <v/>
      </c>
      <c r="N140">
        <f>IF($A140="","",SUMIFS('Таблиця 1'!$K:$K,'Таблиця 1'!$B:$B,$A140,'Таблиця 1'!$I:$I,"Mirage",'Таблиця 1'!$J:$J,"GBU-64")+SUMIFS('Таблиця 1'!$K:$K,'Таблиця 1'!$B:$B,$A140,'Таблиця 1'!$I:$I,"F-16",'Таблиця 1'!$J:$J,"GBU-64")+SUMIFS('Таблиця 1'!$K:$K,'Таблиця 1'!$B:$B,$A140,'Таблиця 1'!$I:$I,"МіГ-29",'Таблиця 1'!$J:$J,"GBU-64")+SUMIFS('Таблиця 1'!$K:$K,'Таблиця 1'!$B:$B,$A140,'Таблиця 1'!$I:$I,"Су-25",'Таблиця 1'!$J:$J,"GBU-64")+SUMIFS('Таблиця 1'!$K:$K,'Таблиця 1'!$B:$B,$A140,'Таблиця 1'!$I:$I,"Су-27",'Таблиця 1'!$J:$J,"GBU-64"))</f>
        <v/>
      </c>
      <c r="O140">
        <f>IF($A140="","",SUMIFS('Таблиця 1'!$K:$K,'Таблиця 1'!$B:$B,$A140,'Таблиця 1'!$I:$I,"Mirage",'Таблиця 1'!$J:$J,"C-13")+SUMIFS('Таблиця 1'!$K:$K,'Таблиця 1'!$B:$B,$A140,'Таблиця 1'!$I:$I,"F-16",'Таблиця 1'!$J:$J,"C-13")+SUMIFS('Таблиця 1'!$K:$K,'Таблиця 1'!$B:$B,$A140,'Таблиця 1'!$I:$I,"МіГ-29",'Таблиця 1'!$J:$J,"C-13")+SUMIFS('Таблиця 1'!$K:$K,'Таблиця 1'!$B:$B,$A140,'Таблиця 1'!$I:$I,"Су-25",'Таблиця 1'!$J:$J,"C-13")+SUMIFS('Таблиця 1'!$K:$K,'Таблиця 1'!$B:$B,$A140,'Таблиця 1'!$I:$I,"Су-27",'Таблиця 1'!$J:$J,"C-13"))</f>
        <v/>
      </c>
      <c r="P140">
        <f>IF($A140="","",SUMIFS('Таблиця 1'!$K:$K,'Таблиця 1'!$B:$B,$A140,'Таблиця 1'!$I:$I,"Mirage",'Таблиця 1'!$J:$J,"MK-32")+SUMIFS('Таблиця 1'!$K:$K,'Таблиця 1'!$B:$B,$A140,'Таблиця 1'!$I:$I,"F-16",'Таблиця 1'!$J:$J,"MK-32")+SUMIFS('Таблиця 1'!$K:$K,'Таблиця 1'!$B:$B,$A140,'Таблиця 1'!$I:$I,"МіГ-29",'Таблиця 1'!$J:$J,"MK-32")+SUMIFS('Таблиця 1'!$K:$K,'Таблиця 1'!$B:$B,$A140,'Таблиця 1'!$I:$I,"Су-25",'Таблиця 1'!$J:$J,"MK-32")+SUMIFS('Таблиця 1'!$K:$K,'Таблиця 1'!$B:$B,$A140,'Таблиця 1'!$I:$I,"Су-27",'Таблиця 1'!$J:$J,"MK-32"))</f>
        <v/>
      </c>
      <c r="Q140">
        <f>IF($A140="","",SUMIFS('Таблиця 1'!$K:$K,'Таблиця 1'!$B:$B,$A140,'Таблиця 1'!$I:$I,"Mirage",'Таблиця 1'!$J:$J,"MK-24")+SUMIFS('Таблиця 1'!$K:$K,'Таблиця 1'!$B:$B,$A140,'Таблиця 1'!$I:$I,"F-16",'Таблиця 1'!$J:$J,"MK-24")+SUMIFS('Таблиця 1'!$K:$K,'Таблиця 1'!$B:$B,$A140,'Таблиця 1'!$I:$I,"МіГ-29",'Таблиця 1'!$J:$J,"MK-24")+SUMIFS('Таблиця 1'!$K:$K,'Таблиця 1'!$B:$B,$A140,'Таблиця 1'!$I:$I,"Су-25",'Таблиця 1'!$J:$J,"MK-24")+SUMIFS('Таблиця 1'!$K:$K,'Таблиця 1'!$B:$B,$A140,'Таблиця 1'!$I:$I,"Су-27",'Таблиця 1'!$J:$J,"MK-24"))</f>
        <v/>
      </c>
      <c r="R140">
        <f>IF($A140="","",COUNTIFS('Таблиця 1'!$B:$B,$A140,'Таблиця 1'!$I:$I,"Mirage",'Таблиця 1'!$L:$L,"Уражено")+COUNTIFS('Таблиця 1'!$B:$B,$A140,'Таблиця 1'!$I:$I,"F-16",'Таблиця 1'!$L:$L,"Уражено")+COUNTIFS('Таблиця 1'!$B:$B,$A140,'Таблиця 1'!$I:$I,"МіГ-29",'Таблиця 1'!$L:$L,"Уражено")+COUNTIFS('Таблиця 1'!$B:$B,$A140,'Таблиця 1'!$I:$I,"Су-25",'Таблиця 1'!$L:$L,"Уражено")+COUNTIFS('Таблиця 1'!$B:$B,$A140,'Таблиця 1'!$I:$I,"Су-27",'Таблиця 1'!$L:$L,"Уражено"))</f>
        <v/>
      </c>
      <c r="S140">
        <f>IF($A140="","",COUNTIFS('Таблиця 1'!$B:$B,$A140,'Таблиця 1'!$I:$I,"Mirage",'Таблиця 1'!$L:$L,"НЕ уражено")+COUNTIFS('Таблиця 1'!$B:$B,$A140,'Таблиця 1'!$I:$I,"F-16",'Таблиця 1'!$L:$L,"НЕ уражено")+COUNTIFS('Таблиця 1'!$B:$B,$A140,'Таблиця 1'!$I:$I,"МіГ-29",'Таблиця 1'!$L:$L,"НЕ уражено")+COUNTIFS('Таблиця 1'!$B:$B,$A140,'Таблиця 1'!$I:$I,"Су-25",'Таблиця 1'!$L:$L,"НЕ уражено")+COUNTIFS('Таблиця 1'!$B:$B,$A140,'Таблиця 1'!$I:$I,"Су-27",'Таблиця 1'!$L:$L,"НЕ уражено"))</f>
        <v/>
      </c>
      <c r="T140">
        <f>IF($A140="","",COUNTIFS('Таблиця 1'!$B:$B,$A140,'Таблиця 1'!$I:$I,"Mirage",'Таблиця 1'!$L:$L,"Дорозвідується")+COUNTIFS('Таблиця 1'!$B:$B,$A140,'Таблиця 1'!$I:$I,"F-16",'Таблиця 1'!$L:$L,"Дорозвідується")+COUNTIFS('Таблиця 1'!$B:$B,$A140,'Таблиця 1'!$I:$I,"МіГ-29",'Таблиця 1'!$L:$L,"Дорозвідується")+COUNTIFS('Таблиця 1'!$B:$B,$A140,'Таблиця 1'!$I:$I,"Су-25",'Таблиця 1'!$L:$L,"Дорозвідується")+COUNTIFS('Таблиця 1'!$B:$B,$A140,'Таблиця 1'!$I:$I,"Су-27",'Таблиця 1'!$L:$L,"Дорозвідується"))</f>
        <v/>
      </c>
    </row>
    <row r="141">
      <c r="A141" s="273">
        <f>IF(A140="","",IF(A140+1&gt;MAX('Таблиця 1'!$B:$B),"",A140+1))</f>
        <v/>
      </c>
      <c r="B141">
        <f>IF($A141="","",COUNTIFS('Таблиця 1'!$B:$B,$A141,'Таблиця 1'!$I:$I,"Mirage")+COUNTIFS('Таблиця 1'!$B:$B,$A141,'Таблиця 1'!$I:$I,"F-16")+COUNTIFS('Таблиця 1'!$B:$B,$A141,'Таблиця 1'!$I:$I,"МіГ-29")+COUNTIFS('Таблиця 1'!$B:$B,$A141,'Таблиця 1'!$I:$I,"Су-25")+COUNTIFS('Таблиця 1'!$B:$B,$A141,'Таблиця 1'!$I:$I,"Су-27"))</f>
        <v/>
      </c>
      <c r="C141">
        <f>IF($A141="","",COUNTIFS('Таблиця 1'!$B:$B,$A141,'Таблиця 1'!$I:$I,"Mirage"))</f>
        <v/>
      </c>
      <c r="D141">
        <f>IF($A141="","",COUNTIFS('Таблиця 1'!$B:$B,$A141,'Таблиця 1'!$I:$I,"F-16"))</f>
        <v/>
      </c>
      <c r="E141">
        <f>IF($A141="","",COUNTIFS('Таблиця 1'!$B:$B,$A141,'Таблиця 1'!$I:$I,"МіГ-29"))</f>
        <v/>
      </c>
      <c r="F141">
        <f>IF($A141="","",COUNTIFS('Таблиця 1'!$B:$B,$A141,'Таблиця 1'!$I:$I,"Су-25"))</f>
        <v/>
      </c>
      <c r="G141">
        <f>IF($A141="","",COUNTIFS('Таблиця 1'!$B:$B,$A141,'Таблиця 1'!$I:$I,"Су-27"))</f>
        <v/>
      </c>
      <c r="H141">
        <f>IF($A141="","",SUMIFS('Таблиця 1'!$K:$K,'Таблиця 1'!$B:$B,$A141,'Таблиця 1'!$I:$I,"Mirage",'Таблиця 1'!$J:$J,"AGM-88")+SUMIFS('Таблиця 1'!$K:$K,'Таблиця 1'!$B:$B,$A141,'Таблиця 1'!$I:$I,"F-16",'Таблиця 1'!$J:$J,"AGM-88")+SUMIFS('Таблиця 1'!$K:$K,'Таблиця 1'!$B:$B,$A141,'Таблиця 1'!$I:$I,"МіГ-29",'Таблиця 1'!$J:$J,"AGM-88")+SUMIFS('Таблиця 1'!$K:$K,'Таблиця 1'!$B:$B,$A141,'Таблиця 1'!$I:$I,"Су-25",'Таблиця 1'!$J:$J,"AGM-88")+SUMIFS('Таблиця 1'!$K:$K,'Таблиця 1'!$B:$B,$A141,'Таблиця 1'!$I:$I,"Су-27",'Таблиця 1'!$J:$J,"AGM-88"))</f>
        <v/>
      </c>
      <c r="I141">
        <f>IF($A141="","",SUMIFS('Таблиця 1'!$K:$K,'Таблиця 1'!$B:$B,$A141,'Таблиця 1'!$I:$I,"Mirage",'Таблиця 1'!$J:$J,"AASM-250")+SUMIFS('Таблиця 1'!$K:$K,'Таблиця 1'!$B:$B,$A141,'Таблиця 1'!$I:$I,"F-16",'Таблиця 1'!$J:$J,"AASM-250")+SUMIFS('Таблиця 1'!$K:$K,'Таблиця 1'!$B:$B,$A141,'Таблиця 1'!$I:$I,"МіГ-29",'Таблиця 1'!$J:$J,"AASM-250")+SUMIFS('Таблиця 1'!$K:$K,'Таблиця 1'!$B:$B,$A141,'Таблиця 1'!$I:$I,"Су-25",'Таблиця 1'!$J:$J,"AASM-250")+SUMIFS('Таблиця 1'!$K:$K,'Таблиця 1'!$B:$B,$A141,'Таблиця 1'!$I:$I,"Су-27",'Таблиця 1'!$J:$J,"AASM-250"))</f>
        <v/>
      </c>
      <c r="J141">
        <f>IF($A141="","",SUMIFS('Таблиця 1'!$K:$K,'Таблиця 1'!$B:$B,$A141,'Таблиця 1'!$I:$I,"Mirage",'Таблиця 1'!$J:$J,"GBU-39")+SUMIFS('Таблиця 1'!$K:$K,'Таблиця 1'!$B:$B,$A141,'Таблиця 1'!$I:$I,"F-16",'Таблиця 1'!$J:$J,"GBU-39")+SUMIFS('Таблиця 1'!$K:$K,'Таблиця 1'!$B:$B,$A141,'Таблиця 1'!$I:$I,"МіГ-29",'Таблиця 1'!$J:$J,"GBU-39")+SUMIFS('Таблиця 1'!$K:$K,'Таблиця 1'!$B:$B,$A141,'Таблиця 1'!$I:$I,"Су-25",'Таблиця 1'!$J:$J,"GBU-39")+SUMIFS('Таблиця 1'!$K:$K,'Таблиця 1'!$B:$B,$A141,'Таблиця 1'!$I:$I,"Су-27",'Таблиця 1'!$J:$J,"GBU-39"))</f>
        <v/>
      </c>
      <c r="K141">
        <f>IF($A141="","",SUMIFS('Таблиця 1'!$K:$K,'Таблиця 1'!$B:$B,$A141,'Таблиця 1'!$I:$I,"Mirage",'Таблиця 1'!$J:$J,"BLU-140")+SUMIFS('Таблиця 1'!$K:$K,'Таблиця 1'!$B:$B,$A141,'Таблиця 1'!$I:$I,"F-16",'Таблиця 1'!$J:$J,"BLU-140")+SUMIFS('Таблиця 1'!$K:$K,'Таблиця 1'!$B:$B,$A141,'Таблиця 1'!$I:$I,"МіГ-29",'Таблиця 1'!$J:$J,"BLU-140")+SUMIFS('Таблиця 1'!$K:$K,'Таблиця 1'!$B:$B,$A141,'Таблиця 1'!$I:$I,"Су-25",'Таблиця 1'!$J:$J,"BLU-140")+SUMIFS('Таблиця 1'!$K:$K,'Таблиця 1'!$B:$B,$A141,'Таблиця 1'!$I:$I,"Су-27",'Таблиця 1'!$J:$J,"BLU-140"))</f>
        <v/>
      </c>
      <c r="L141">
        <f>IF($A141="","",SUMIFS('Таблиця 1'!$K:$K,'Таблиця 1'!$B:$B,$A141,'Таблиця 1'!$I:$I,"Mirage",'Таблиця 1'!$J:$J,"GBU-65")+SUMIFS('Таблиця 1'!$K:$K,'Таблиця 1'!$B:$B,$A141,'Таблиця 1'!$I:$I,"F-16",'Таблиця 1'!$J:$J,"GBU-65")+SUMIFS('Таблиця 1'!$K:$K,'Таблиця 1'!$B:$B,$A141,'Таблиця 1'!$I:$I,"МіГ-29",'Таблиця 1'!$J:$J,"GBU-65")+SUMIFS('Таблиця 1'!$K:$K,'Таблиця 1'!$B:$B,$A141,'Таблиця 1'!$I:$I,"Су-25",'Таблиця 1'!$J:$J,"GBU-65")+SUMIFS('Таблиця 1'!$K:$K,'Таблиця 1'!$B:$B,$A141,'Таблиця 1'!$I:$I,"Су-27",'Таблиця 1'!$J:$J,"GBU-65"))</f>
        <v/>
      </c>
      <c r="M141">
        <f>IF($A141="","",SUMIFS('Таблиця 1'!$K:$K,'Таблиця 1'!$B:$B,$A141,'Таблиця 1'!$I:$I,"Mirage",'Таблиця 1'!$J:$J,"GBU-62")+SUMIFS('Таблиця 1'!$K:$K,'Таблиця 1'!$B:$B,$A141,'Таблиця 1'!$I:$I,"F-16",'Таблиця 1'!$J:$J,"GBU-62")+SUMIFS('Таблиця 1'!$K:$K,'Таблиця 1'!$B:$B,$A141,'Таблиця 1'!$I:$I,"МіГ-29",'Таблиця 1'!$J:$J,"GBU-62")+SUMIFS('Таблиця 1'!$K:$K,'Таблиця 1'!$B:$B,$A141,'Таблиця 1'!$I:$I,"Су-25",'Таблиця 1'!$J:$J,"GBU-62")+SUMIFS('Таблиця 1'!$K:$K,'Таблиця 1'!$B:$B,$A141,'Таблиця 1'!$I:$I,"Су-27",'Таблиця 1'!$J:$J,"GBU-62"))</f>
        <v/>
      </c>
      <c r="N141">
        <f>IF($A141="","",SUMIFS('Таблиця 1'!$K:$K,'Таблиця 1'!$B:$B,$A141,'Таблиця 1'!$I:$I,"Mirage",'Таблиця 1'!$J:$J,"GBU-64")+SUMIFS('Таблиця 1'!$K:$K,'Таблиця 1'!$B:$B,$A141,'Таблиця 1'!$I:$I,"F-16",'Таблиця 1'!$J:$J,"GBU-64")+SUMIFS('Таблиця 1'!$K:$K,'Таблиця 1'!$B:$B,$A141,'Таблиця 1'!$I:$I,"МіГ-29",'Таблиця 1'!$J:$J,"GBU-64")+SUMIFS('Таблиця 1'!$K:$K,'Таблиця 1'!$B:$B,$A141,'Таблиця 1'!$I:$I,"Су-25",'Таблиця 1'!$J:$J,"GBU-64")+SUMIFS('Таблиця 1'!$K:$K,'Таблиця 1'!$B:$B,$A141,'Таблиця 1'!$I:$I,"Су-27",'Таблиця 1'!$J:$J,"GBU-64"))</f>
        <v/>
      </c>
      <c r="O141">
        <f>IF($A141="","",SUMIFS('Таблиця 1'!$K:$K,'Таблиця 1'!$B:$B,$A141,'Таблиця 1'!$I:$I,"Mirage",'Таблиця 1'!$J:$J,"C-13")+SUMIFS('Таблиця 1'!$K:$K,'Таблиця 1'!$B:$B,$A141,'Таблиця 1'!$I:$I,"F-16",'Таблиця 1'!$J:$J,"C-13")+SUMIFS('Таблиця 1'!$K:$K,'Таблиця 1'!$B:$B,$A141,'Таблиця 1'!$I:$I,"МіГ-29",'Таблиця 1'!$J:$J,"C-13")+SUMIFS('Таблиця 1'!$K:$K,'Таблиця 1'!$B:$B,$A141,'Таблиця 1'!$I:$I,"Су-25",'Таблиця 1'!$J:$J,"C-13")+SUMIFS('Таблиця 1'!$K:$K,'Таблиця 1'!$B:$B,$A141,'Таблиця 1'!$I:$I,"Су-27",'Таблиця 1'!$J:$J,"C-13"))</f>
        <v/>
      </c>
      <c r="P141">
        <f>IF($A141="","",SUMIFS('Таблиця 1'!$K:$K,'Таблиця 1'!$B:$B,$A141,'Таблиця 1'!$I:$I,"Mirage",'Таблиця 1'!$J:$J,"MK-32")+SUMIFS('Таблиця 1'!$K:$K,'Таблиця 1'!$B:$B,$A141,'Таблиця 1'!$I:$I,"F-16",'Таблиця 1'!$J:$J,"MK-32")+SUMIFS('Таблиця 1'!$K:$K,'Таблиця 1'!$B:$B,$A141,'Таблиця 1'!$I:$I,"МіГ-29",'Таблиця 1'!$J:$J,"MK-32")+SUMIFS('Таблиця 1'!$K:$K,'Таблиця 1'!$B:$B,$A141,'Таблиця 1'!$I:$I,"Су-25",'Таблиця 1'!$J:$J,"MK-32")+SUMIFS('Таблиця 1'!$K:$K,'Таблиця 1'!$B:$B,$A141,'Таблиця 1'!$I:$I,"Су-27",'Таблиця 1'!$J:$J,"MK-32"))</f>
        <v/>
      </c>
      <c r="Q141">
        <f>IF($A141="","",SUMIFS('Таблиця 1'!$K:$K,'Таблиця 1'!$B:$B,$A141,'Таблиця 1'!$I:$I,"Mirage",'Таблиця 1'!$J:$J,"MK-24")+SUMIFS('Таблиця 1'!$K:$K,'Таблиця 1'!$B:$B,$A141,'Таблиця 1'!$I:$I,"F-16",'Таблиця 1'!$J:$J,"MK-24")+SUMIFS('Таблиця 1'!$K:$K,'Таблиця 1'!$B:$B,$A141,'Таблиця 1'!$I:$I,"МіГ-29",'Таблиця 1'!$J:$J,"MK-24")+SUMIFS('Таблиця 1'!$K:$K,'Таблиця 1'!$B:$B,$A141,'Таблиця 1'!$I:$I,"Су-25",'Таблиця 1'!$J:$J,"MK-24")+SUMIFS('Таблиця 1'!$K:$K,'Таблиця 1'!$B:$B,$A141,'Таблиця 1'!$I:$I,"Су-27",'Таблиця 1'!$J:$J,"MK-24"))</f>
        <v/>
      </c>
      <c r="R141">
        <f>IF($A141="","",COUNTIFS('Таблиця 1'!$B:$B,$A141,'Таблиця 1'!$I:$I,"Mirage",'Таблиця 1'!$L:$L,"Уражено")+COUNTIFS('Таблиця 1'!$B:$B,$A141,'Таблиця 1'!$I:$I,"F-16",'Таблиця 1'!$L:$L,"Уражено")+COUNTIFS('Таблиця 1'!$B:$B,$A141,'Таблиця 1'!$I:$I,"МіГ-29",'Таблиця 1'!$L:$L,"Уражено")+COUNTIFS('Таблиця 1'!$B:$B,$A141,'Таблиця 1'!$I:$I,"Су-25",'Таблиця 1'!$L:$L,"Уражено")+COUNTIFS('Таблиця 1'!$B:$B,$A141,'Таблиця 1'!$I:$I,"Су-27",'Таблиця 1'!$L:$L,"Уражено"))</f>
        <v/>
      </c>
      <c r="S141">
        <f>IF($A141="","",COUNTIFS('Таблиця 1'!$B:$B,$A141,'Таблиця 1'!$I:$I,"Mirage",'Таблиця 1'!$L:$L,"НЕ уражено")+COUNTIFS('Таблиця 1'!$B:$B,$A141,'Таблиця 1'!$I:$I,"F-16",'Таблиця 1'!$L:$L,"НЕ уражено")+COUNTIFS('Таблиця 1'!$B:$B,$A141,'Таблиця 1'!$I:$I,"МіГ-29",'Таблиця 1'!$L:$L,"НЕ уражено")+COUNTIFS('Таблиця 1'!$B:$B,$A141,'Таблиця 1'!$I:$I,"Су-25",'Таблиця 1'!$L:$L,"НЕ уражено")+COUNTIFS('Таблиця 1'!$B:$B,$A141,'Таблиця 1'!$I:$I,"Су-27",'Таблиця 1'!$L:$L,"НЕ уражено"))</f>
        <v/>
      </c>
      <c r="T141">
        <f>IF($A141="","",COUNTIFS('Таблиця 1'!$B:$B,$A141,'Таблиця 1'!$I:$I,"Mirage",'Таблиця 1'!$L:$L,"Дорозвідується")+COUNTIFS('Таблиця 1'!$B:$B,$A141,'Таблиця 1'!$I:$I,"F-16",'Таблиця 1'!$L:$L,"Дорозвідується")+COUNTIFS('Таблиця 1'!$B:$B,$A141,'Таблиця 1'!$I:$I,"МіГ-29",'Таблиця 1'!$L:$L,"Дорозвідується")+COUNTIFS('Таблиця 1'!$B:$B,$A141,'Таблиця 1'!$I:$I,"Су-25",'Таблиця 1'!$L:$L,"Дорозвідується")+COUNTIFS('Таблиця 1'!$B:$B,$A141,'Таблиця 1'!$I:$I,"Су-27",'Таблиця 1'!$L:$L,"Дорозвідується"))</f>
        <v/>
      </c>
    </row>
    <row r="142">
      <c r="A142" s="273">
        <f>IF(A141="","",IF(A141+1&gt;MAX('Таблиця 1'!$B:$B),"",A141+1))</f>
        <v/>
      </c>
      <c r="B142">
        <f>IF($A142="","",COUNTIFS('Таблиця 1'!$B:$B,$A142,'Таблиця 1'!$I:$I,"Mirage")+COUNTIFS('Таблиця 1'!$B:$B,$A142,'Таблиця 1'!$I:$I,"F-16")+COUNTIFS('Таблиця 1'!$B:$B,$A142,'Таблиця 1'!$I:$I,"МіГ-29")+COUNTIFS('Таблиця 1'!$B:$B,$A142,'Таблиця 1'!$I:$I,"Су-25")+COUNTIFS('Таблиця 1'!$B:$B,$A142,'Таблиця 1'!$I:$I,"Су-27"))</f>
        <v/>
      </c>
      <c r="C142">
        <f>IF($A142="","",COUNTIFS('Таблиця 1'!$B:$B,$A142,'Таблиця 1'!$I:$I,"Mirage"))</f>
        <v/>
      </c>
      <c r="D142">
        <f>IF($A142="","",COUNTIFS('Таблиця 1'!$B:$B,$A142,'Таблиця 1'!$I:$I,"F-16"))</f>
        <v/>
      </c>
      <c r="E142">
        <f>IF($A142="","",COUNTIFS('Таблиця 1'!$B:$B,$A142,'Таблиця 1'!$I:$I,"МіГ-29"))</f>
        <v/>
      </c>
      <c r="F142">
        <f>IF($A142="","",COUNTIFS('Таблиця 1'!$B:$B,$A142,'Таблиця 1'!$I:$I,"Су-25"))</f>
        <v/>
      </c>
      <c r="G142">
        <f>IF($A142="","",COUNTIFS('Таблиця 1'!$B:$B,$A142,'Таблиця 1'!$I:$I,"Су-27"))</f>
        <v/>
      </c>
      <c r="H142">
        <f>IF($A142="","",SUMIFS('Таблиця 1'!$K:$K,'Таблиця 1'!$B:$B,$A142,'Таблиця 1'!$I:$I,"Mirage",'Таблиця 1'!$J:$J,"AGM-88")+SUMIFS('Таблиця 1'!$K:$K,'Таблиця 1'!$B:$B,$A142,'Таблиця 1'!$I:$I,"F-16",'Таблиця 1'!$J:$J,"AGM-88")+SUMIFS('Таблиця 1'!$K:$K,'Таблиця 1'!$B:$B,$A142,'Таблиця 1'!$I:$I,"МіГ-29",'Таблиця 1'!$J:$J,"AGM-88")+SUMIFS('Таблиця 1'!$K:$K,'Таблиця 1'!$B:$B,$A142,'Таблиця 1'!$I:$I,"Су-25",'Таблиця 1'!$J:$J,"AGM-88")+SUMIFS('Таблиця 1'!$K:$K,'Таблиця 1'!$B:$B,$A142,'Таблиця 1'!$I:$I,"Су-27",'Таблиця 1'!$J:$J,"AGM-88"))</f>
        <v/>
      </c>
      <c r="I142">
        <f>IF($A142="","",SUMIFS('Таблиця 1'!$K:$K,'Таблиця 1'!$B:$B,$A142,'Таблиця 1'!$I:$I,"Mirage",'Таблиця 1'!$J:$J,"AASM-250")+SUMIFS('Таблиця 1'!$K:$K,'Таблиця 1'!$B:$B,$A142,'Таблиця 1'!$I:$I,"F-16",'Таблиця 1'!$J:$J,"AASM-250")+SUMIFS('Таблиця 1'!$K:$K,'Таблиця 1'!$B:$B,$A142,'Таблиця 1'!$I:$I,"МіГ-29",'Таблиця 1'!$J:$J,"AASM-250")+SUMIFS('Таблиця 1'!$K:$K,'Таблиця 1'!$B:$B,$A142,'Таблиця 1'!$I:$I,"Су-25",'Таблиця 1'!$J:$J,"AASM-250")+SUMIFS('Таблиця 1'!$K:$K,'Таблиця 1'!$B:$B,$A142,'Таблиця 1'!$I:$I,"Су-27",'Таблиця 1'!$J:$J,"AASM-250"))</f>
        <v/>
      </c>
      <c r="J142">
        <f>IF($A142="","",SUMIFS('Таблиця 1'!$K:$K,'Таблиця 1'!$B:$B,$A142,'Таблиця 1'!$I:$I,"Mirage",'Таблиця 1'!$J:$J,"GBU-39")+SUMIFS('Таблиця 1'!$K:$K,'Таблиця 1'!$B:$B,$A142,'Таблиця 1'!$I:$I,"F-16",'Таблиця 1'!$J:$J,"GBU-39")+SUMIFS('Таблиця 1'!$K:$K,'Таблиця 1'!$B:$B,$A142,'Таблиця 1'!$I:$I,"МіГ-29",'Таблиця 1'!$J:$J,"GBU-39")+SUMIFS('Таблиця 1'!$K:$K,'Таблиця 1'!$B:$B,$A142,'Таблиця 1'!$I:$I,"Су-25",'Таблиця 1'!$J:$J,"GBU-39")+SUMIFS('Таблиця 1'!$K:$K,'Таблиця 1'!$B:$B,$A142,'Таблиця 1'!$I:$I,"Су-27",'Таблиця 1'!$J:$J,"GBU-39"))</f>
        <v/>
      </c>
      <c r="K142">
        <f>IF($A142="","",SUMIFS('Таблиця 1'!$K:$K,'Таблиця 1'!$B:$B,$A142,'Таблиця 1'!$I:$I,"Mirage",'Таблиця 1'!$J:$J,"BLU-140")+SUMIFS('Таблиця 1'!$K:$K,'Таблиця 1'!$B:$B,$A142,'Таблиця 1'!$I:$I,"F-16",'Таблиця 1'!$J:$J,"BLU-140")+SUMIFS('Таблиця 1'!$K:$K,'Таблиця 1'!$B:$B,$A142,'Таблиця 1'!$I:$I,"МіГ-29",'Таблиця 1'!$J:$J,"BLU-140")+SUMIFS('Таблиця 1'!$K:$K,'Таблиця 1'!$B:$B,$A142,'Таблиця 1'!$I:$I,"Су-25",'Таблиця 1'!$J:$J,"BLU-140")+SUMIFS('Таблиця 1'!$K:$K,'Таблиця 1'!$B:$B,$A142,'Таблиця 1'!$I:$I,"Су-27",'Таблиця 1'!$J:$J,"BLU-140"))</f>
        <v/>
      </c>
      <c r="L142">
        <f>IF($A142="","",SUMIFS('Таблиця 1'!$K:$K,'Таблиця 1'!$B:$B,$A142,'Таблиця 1'!$I:$I,"Mirage",'Таблиця 1'!$J:$J,"GBU-65")+SUMIFS('Таблиця 1'!$K:$K,'Таблиця 1'!$B:$B,$A142,'Таблиця 1'!$I:$I,"F-16",'Таблиця 1'!$J:$J,"GBU-65")+SUMIFS('Таблиця 1'!$K:$K,'Таблиця 1'!$B:$B,$A142,'Таблиця 1'!$I:$I,"МіГ-29",'Таблиця 1'!$J:$J,"GBU-65")+SUMIFS('Таблиця 1'!$K:$K,'Таблиця 1'!$B:$B,$A142,'Таблиця 1'!$I:$I,"Су-25",'Таблиця 1'!$J:$J,"GBU-65")+SUMIFS('Таблиця 1'!$K:$K,'Таблиця 1'!$B:$B,$A142,'Таблиця 1'!$I:$I,"Су-27",'Таблиця 1'!$J:$J,"GBU-65"))</f>
        <v/>
      </c>
      <c r="M142">
        <f>IF($A142="","",SUMIFS('Таблиця 1'!$K:$K,'Таблиця 1'!$B:$B,$A142,'Таблиця 1'!$I:$I,"Mirage",'Таблиця 1'!$J:$J,"GBU-62")+SUMIFS('Таблиця 1'!$K:$K,'Таблиця 1'!$B:$B,$A142,'Таблиця 1'!$I:$I,"F-16",'Таблиця 1'!$J:$J,"GBU-62")+SUMIFS('Таблиця 1'!$K:$K,'Таблиця 1'!$B:$B,$A142,'Таблиця 1'!$I:$I,"МіГ-29",'Таблиця 1'!$J:$J,"GBU-62")+SUMIFS('Таблиця 1'!$K:$K,'Таблиця 1'!$B:$B,$A142,'Таблиця 1'!$I:$I,"Су-25",'Таблиця 1'!$J:$J,"GBU-62")+SUMIFS('Таблиця 1'!$K:$K,'Таблиця 1'!$B:$B,$A142,'Таблиця 1'!$I:$I,"Су-27",'Таблиця 1'!$J:$J,"GBU-62"))</f>
        <v/>
      </c>
      <c r="N142">
        <f>IF($A142="","",SUMIFS('Таблиця 1'!$K:$K,'Таблиця 1'!$B:$B,$A142,'Таблиця 1'!$I:$I,"Mirage",'Таблиця 1'!$J:$J,"GBU-64")+SUMIFS('Таблиця 1'!$K:$K,'Таблиця 1'!$B:$B,$A142,'Таблиця 1'!$I:$I,"F-16",'Таблиця 1'!$J:$J,"GBU-64")+SUMIFS('Таблиця 1'!$K:$K,'Таблиця 1'!$B:$B,$A142,'Таблиця 1'!$I:$I,"МіГ-29",'Таблиця 1'!$J:$J,"GBU-64")+SUMIFS('Таблиця 1'!$K:$K,'Таблиця 1'!$B:$B,$A142,'Таблиця 1'!$I:$I,"Су-25",'Таблиця 1'!$J:$J,"GBU-64")+SUMIFS('Таблиця 1'!$K:$K,'Таблиця 1'!$B:$B,$A142,'Таблиця 1'!$I:$I,"Су-27",'Таблиця 1'!$J:$J,"GBU-64"))</f>
        <v/>
      </c>
      <c r="O142">
        <f>IF($A142="","",SUMIFS('Таблиця 1'!$K:$K,'Таблиця 1'!$B:$B,$A142,'Таблиця 1'!$I:$I,"Mirage",'Таблиця 1'!$J:$J,"C-13")+SUMIFS('Таблиця 1'!$K:$K,'Таблиця 1'!$B:$B,$A142,'Таблиця 1'!$I:$I,"F-16",'Таблиця 1'!$J:$J,"C-13")+SUMIFS('Таблиця 1'!$K:$K,'Таблиця 1'!$B:$B,$A142,'Таблиця 1'!$I:$I,"МіГ-29",'Таблиця 1'!$J:$J,"C-13")+SUMIFS('Таблиця 1'!$K:$K,'Таблиця 1'!$B:$B,$A142,'Таблиця 1'!$I:$I,"Су-25",'Таблиця 1'!$J:$J,"C-13")+SUMIFS('Таблиця 1'!$K:$K,'Таблиця 1'!$B:$B,$A142,'Таблиця 1'!$I:$I,"Су-27",'Таблиця 1'!$J:$J,"C-13"))</f>
        <v/>
      </c>
      <c r="P142">
        <f>IF($A142="","",SUMIFS('Таблиця 1'!$K:$K,'Таблиця 1'!$B:$B,$A142,'Таблиця 1'!$I:$I,"Mirage",'Таблиця 1'!$J:$J,"MK-32")+SUMIFS('Таблиця 1'!$K:$K,'Таблиця 1'!$B:$B,$A142,'Таблиця 1'!$I:$I,"F-16",'Таблиця 1'!$J:$J,"MK-32")+SUMIFS('Таблиця 1'!$K:$K,'Таблиця 1'!$B:$B,$A142,'Таблиця 1'!$I:$I,"МіГ-29",'Таблиця 1'!$J:$J,"MK-32")+SUMIFS('Таблиця 1'!$K:$K,'Таблиця 1'!$B:$B,$A142,'Таблиця 1'!$I:$I,"Су-25",'Таблиця 1'!$J:$J,"MK-32")+SUMIFS('Таблиця 1'!$K:$K,'Таблиця 1'!$B:$B,$A142,'Таблиця 1'!$I:$I,"Су-27",'Таблиця 1'!$J:$J,"MK-32"))</f>
        <v/>
      </c>
      <c r="Q142">
        <f>IF($A142="","",SUMIFS('Таблиця 1'!$K:$K,'Таблиця 1'!$B:$B,$A142,'Таблиця 1'!$I:$I,"Mirage",'Таблиця 1'!$J:$J,"MK-24")+SUMIFS('Таблиця 1'!$K:$K,'Таблиця 1'!$B:$B,$A142,'Таблиця 1'!$I:$I,"F-16",'Таблиця 1'!$J:$J,"MK-24")+SUMIFS('Таблиця 1'!$K:$K,'Таблиця 1'!$B:$B,$A142,'Таблиця 1'!$I:$I,"МіГ-29",'Таблиця 1'!$J:$J,"MK-24")+SUMIFS('Таблиця 1'!$K:$K,'Таблиця 1'!$B:$B,$A142,'Таблиця 1'!$I:$I,"Су-25",'Таблиця 1'!$J:$J,"MK-24")+SUMIFS('Таблиця 1'!$K:$K,'Таблиця 1'!$B:$B,$A142,'Таблиця 1'!$I:$I,"Су-27",'Таблиця 1'!$J:$J,"MK-24"))</f>
        <v/>
      </c>
      <c r="R142">
        <f>IF($A142="","",COUNTIFS('Таблиця 1'!$B:$B,$A142,'Таблиця 1'!$I:$I,"Mirage",'Таблиця 1'!$L:$L,"Уражено")+COUNTIFS('Таблиця 1'!$B:$B,$A142,'Таблиця 1'!$I:$I,"F-16",'Таблиця 1'!$L:$L,"Уражено")+COUNTIFS('Таблиця 1'!$B:$B,$A142,'Таблиця 1'!$I:$I,"МіГ-29",'Таблиця 1'!$L:$L,"Уражено")+COUNTIFS('Таблиця 1'!$B:$B,$A142,'Таблиця 1'!$I:$I,"Су-25",'Таблиця 1'!$L:$L,"Уражено")+COUNTIFS('Таблиця 1'!$B:$B,$A142,'Таблиця 1'!$I:$I,"Су-27",'Таблиця 1'!$L:$L,"Уражено"))</f>
        <v/>
      </c>
      <c r="S142">
        <f>IF($A142="","",COUNTIFS('Таблиця 1'!$B:$B,$A142,'Таблиця 1'!$I:$I,"Mirage",'Таблиця 1'!$L:$L,"НЕ уражено")+COUNTIFS('Таблиця 1'!$B:$B,$A142,'Таблиця 1'!$I:$I,"F-16",'Таблиця 1'!$L:$L,"НЕ уражено")+COUNTIFS('Таблиця 1'!$B:$B,$A142,'Таблиця 1'!$I:$I,"МіГ-29",'Таблиця 1'!$L:$L,"НЕ уражено")+COUNTIFS('Таблиця 1'!$B:$B,$A142,'Таблиця 1'!$I:$I,"Су-25",'Таблиця 1'!$L:$L,"НЕ уражено")+COUNTIFS('Таблиця 1'!$B:$B,$A142,'Таблиця 1'!$I:$I,"Су-27",'Таблиця 1'!$L:$L,"НЕ уражено"))</f>
        <v/>
      </c>
      <c r="T142">
        <f>IF($A142="","",COUNTIFS('Таблиця 1'!$B:$B,$A142,'Таблиця 1'!$I:$I,"Mirage",'Таблиця 1'!$L:$L,"Дорозвідується")+COUNTIFS('Таблиця 1'!$B:$B,$A142,'Таблиця 1'!$I:$I,"F-16",'Таблиця 1'!$L:$L,"Дорозвідується")+COUNTIFS('Таблиця 1'!$B:$B,$A142,'Таблиця 1'!$I:$I,"МіГ-29",'Таблиця 1'!$L:$L,"Дорозвідується")+COUNTIFS('Таблиця 1'!$B:$B,$A142,'Таблиця 1'!$I:$I,"Су-25",'Таблиця 1'!$L:$L,"Дорозвідується")+COUNTIFS('Таблиця 1'!$B:$B,$A142,'Таблиця 1'!$I:$I,"Су-27",'Таблиця 1'!$L:$L,"Дорозвідується"))</f>
        <v/>
      </c>
    </row>
    <row r="143">
      <c r="A143" s="273">
        <f>IF(A142="","",IF(A142+1&gt;MAX('Таблиця 1'!$B:$B),"",A142+1))</f>
        <v/>
      </c>
      <c r="B143">
        <f>IF($A143="","",COUNTIFS('Таблиця 1'!$B:$B,$A143,'Таблиця 1'!$I:$I,"Mirage")+COUNTIFS('Таблиця 1'!$B:$B,$A143,'Таблиця 1'!$I:$I,"F-16")+COUNTIFS('Таблиця 1'!$B:$B,$A143,'Таблиця 1'!$I:$I,"МіГ-29")+COUNTIFS('Таблиця 1'!$B:$B,$A143,'Таблиця 1'!$I:$I,"Су-25")+COUNTIFS('Таблиця 1'!$B:$B,$A143,'Таблиця 1'!$I:$I,"Су-27"))</f>
        <v/>
      </c>
      <c r="C143">
        <f>IF($A143="","",COUNTIFS('Таблиця 1'!$B:$B,$A143,'Таблиця 1'!$I:$I,"Mirage"))</f>
        <v/>
      </c>
      <c r="D143">
        <f>IF($A143="","",COUNTIFS('Таблиця 1'!$B:$B,$A143,'Таблиця 1'!$I:$I,"F-16"))</f>
        <v/>
      </c>
      <c r="E143">
        <f>IF($A143="","",COUNTIFS('Таблиця 1'!$B:$B,$A143,'Таблиця 1'!$I:$I,"МіГ-29"))</f>
        <v/>
      </c>
      <c r="F143">
        <f>IF($A143="","",COUNTIFS('Таблиця 1'!$B:$B,$A143,'Таблиця 1'!$I:$I,"Су-25"))</f>
        <v/>
      </c>
      <c r="G143">
        <f>IF($A143="","",COUNTIFS('Таблиця 1'!$B:$B,$A143,'Таблиця 1'!$I:$I,"Су-27"))</f>
        <v/>
      </c>
      <c r="H143">
        <f>IF($A143="","",SUMIFS('Таблиця 1'!$K:$K,'Таблиця 1'!$B:$B,$A143,'Таблиця 1'!$I:$I,"Mirage",'Таблиця 1'!$J:$J,"AGM-88")+SUMIFS('Таблиця 1'!$K:$K,'Таблиця 1'!$B:$B,$A143,'Таблиця 1'!$I:$I,"F-16",'Таблиця 1'!$J:$J,"AGM-88")+SUMIFS('Таблиця 1'!$K:$K,'Таблиця 1'!$B:$B,$A143,'Таблиця 1'!$I:$I,"МіГ-29",'Таблиця 1'!$J:$J,"AGM-88")+SUMIFS('Таблиця 1'!$K:$K,'Таблиця 1'!$B:$B,$A143,'Таблиця 1'!$I:$I,"Су-25",'Таблиця 1'!$J:$J,"AGM-88")+SUMIFS('Таблиця 1'!$K:$K,'Таблиця 1'!$B:$B,$A143,'Таблиця 1'!$I:$I,"Су-27",'Таблиця 1'!$J:$J,"AGM-88"))</f>
        <v/>
      </c>
      <c r="I143">
        <f>IF($A143="","",SUMIFS('Таблиця 1'!$K:$K,'Таблиця 1'!$B:$B,$A143,'Таблиця 1'!$I:$I,"Mirage",'Таблиця 1'!$J:$J,"AASM-250")+SUMIFS('Таблиця 1'!$K:$K,'Таблиця 1'!$B:$B,$A143,'Таблиця 1'!$I:$I,"F-16",'Таблиця 1'!$J:$J,"AASM-250")+SUMIFS('Таблиця 1'!$K:$K,'Таблиця 1'!$B:$B,$A143,'Таблиця 1'!$I:$I,"МіГ-29",'Таблиця 1'!$J:$J,"AASM-250")+SUMIFS('Таблиця 1'!$K:$K,'Таблиця 1'!$B:$B,$A143,'Таблиця 1'!$I:$I,"Су-25",'Таблиця 1'!$J:$J,"AASM-250")+SUMIFS('Таблиця 1'!$K:$K,'Таблиця 1'!$B:$B,$A143,'Таблиця 1'!$I:$I,"Су-27",'Таблиця 1'!$J:$J,"AASM-250"))</f>
        <v/>
      </c>
      <c r="J143">
        <f>IF($A143="","",SUMIFS('Таблиця 1'!$K:$K,'Таблиця 1'!$B:$B,$A143,'Таблиця 1'!$I:$I,"Mirage",'Таблиця 1'!$J:$J,"GBU-39")+SUMIFS('Таблиця 1'!$K:$K,'Таблиця 1'!$B:$B,$A143,'Таблиця 1'!$I:$I,"F-16",'Таблиця 1'!$J:$J,"GBU-39")+SUMIFS('Таблиця 1'!$K:$K,'Таблиця 1'!$B:$B,$A143,'Таблиця 1'!$I:$I,"МіГ-29",'Таблиця 1'!$J:$J,"GBU-39")+SUMIFS('Таблиця 1'!$K:$K,'Таблиця 1'!$B:$B,$A143,'Таблиця 1'!$I:$I,"Су-25",'Таблиця 1'!$J:$J,"GBU-39")+SUMIFS('Таблиця 1'!$K:$K,'Таблиця 1'!$B:$B,$A143,'Таблиця 1'!$I:$I,"Су-27",'Таблиця 1'!$J:$J,"GBU-39"))</f>
        <v/>
      </c>
      <c r="K143">
        <f>IF($A143="","",SUMIFS('Таблиця 1'!$K:$K,'Таблиця 1'!$B:$B,$A143,'Таблиця 1'!$I:$I,"Mirage",'Таблиця 1'!$J:$J,"BLU-140")+SUMIFS('Таблиця 1'!$K:$K,'Таблиця 1'!$B:$B,$A143,'Таблиця 1'!$I:$I,"F-16",'Таблиця 1'!$J:$J,"BLU-140")+SUMIFS('Таблиця 1'!$K:$K,'Таблиця 1'!$B:$B,$A143,'Таблиця 1'!$I:$I,"МіГ-29",'Таблиця 1'!$J:$J,"BLU-140")+SUMIFS('Таблиця 1'!$K:$K,'Таблиця 1'!$B:$B,$A143,'Таблиця 1'!$I:$I,"Су-25",'Таблиця 1'!$J:$J,"BLU-140")+SUMIFS('Таблиця 1'!$K:$K,'Таблиця 1'!$B:$B,$A143,'Таблиця 1'!$I:$I,"Су-27",'Таблиця 1'!$J:$J,"BLU-140"))</f>
        <v/>
      </c>
      <c r="L143">
        <f>IF($A143="","",SUMIFS('Таблиця 1'!$K:$K,'Таблиця 1'!$B:$B,$A143,'Таблиця 1'!$I:$I,"Mirage",'Таблиця 1'!$J:$J,"GBU-65")+SUMIFS('Таблиця 1'!$K:$K,'Таблиця 1'!$B:$B,$A143,'Таблиця 1'!$I:$I,"F-16",'Таблиця 1'!$J:$J,"GBU-65")+SUMIFS('Таблиця 1'!$K:$K,'Таблиця 1'!$B:$B,$A143,'Таблиця 1'!$I:$I,"МіГ-29",'Таблиця 1'!$J:$J,"GBU-65")+SUMIFS('Таблиця 1'!$K:$K,'Таблиця 1'!$B:$B,$A143,'Таблиця 1'!$I:$I,"Су-25",'Таблиця 1'!$J:$J,"GBU-65")+SUMIFS('Таблиця 1'!$K:$K,'Таблиця 1'!$B:$B,$A143,'Таблиця 1'!$I:$I,"Су-27",'Таблиця 1'!$J:$J,"GBU-65"))</f>
        <v/>
      </c>
      <c r="M143">
        <f>IF($A143="","",SUMIFS('Таблиця 1'!$K:$K,'Таблиця 1'!$B:$B,$A143,'Таблиця 1'!$I:$I,"Mirage",'Таблиця 1'!$J:$J,"GBU-62")+SUMIFS('Таблиця 1'!$K:$K,'Таблиця 1'!$B:$B,$A143,'Таблиця 1'!$I:$I,"F-16",'Таблиця 1'!$J:$J,"GBU-62")+SUMIFS('Таблиця 1'!$K:$K,'Таблиця 1'!$B:$B,$A143,'Таблиця 1'!$I:$I,"МіГ-29",'Таблиця 1'!$J:$J,"GBU-62")+SUMIFS('Таблиця 1'!$K:$K,'Таблиця 1'!$B:$B,$A143,'Таблиця 1'!$I:$I,"Су-25",'Таблиця 1'!$J:$J,"GBU-62")+SUMIFS('Таблиця 1'!$K:$K,'Таблиця 1'!$B:$B,$A143,'Таблиця 1'!$I:$I,"Су-27",'Таблиця 1'!$J:$J,"GBU-62"))</f>
        <v/>
      </c>
      <c r="N143">
        <f>IF($A143="","",SUMIFS('Таблиця 1'!$K:$K,'Таблиця 1'!$B:$B,$A143,'Таблиця 1'!$I:$I,"Mirage",'Таблиця 1'!$J:$J,"GBU-64")+SUMIFS('Таблиця 1'!$K:$K,'Таблиця 1'!$B:$B,$A143,'Таблиця 1'!$I:$I,"F-16",'Таблиця 1'!$J:$J,"GBU-64")+SUMIFS('Таблиця 1'!$K:$K,'Таблиця 1'!$B:$B,$A143,'Таблиця 1'!$I:$I,"МіГ-29",'Таблиця 1'!$J:$J,"GBU-64")+SUMIFS('Таблиця 1'!$K:$K,'Таблиця 1'!$B:$B,$A143,'Таблиця 1'!$I:$I,"Су-25",'Таблиця 1'!$J:$J,"GBU-64")+SUMIFS('Таблиця 1'!$K:$K,'Таблиця 1'!$B:$B,$A143,'Таблиця 1'!$I:$I,"Су-27",'Таблиця 1'!$J:$J,"GBU-64"))</f>
        <v/>
      </c>
      <c r="O143">
        <f>IF($A143="","",SUMIFS('Таблиця 1'!$K:$K,'Таблиця 1'!$B:$B,$A143,'Таблиця 1'!$I:$I,"Mirage",'Таблиця 1'!$J:$J,"C-13")+SUMIFS('Таблиця 1'!$K:$K,'Таблиця 1'!$B:$B,$A143,'Таблиця 1'!$I:$I,"F-16",'Таблиця 1'!$J:$J,"C-13")+SUMIFS('Таблиця 1'!$K:$K,'Таблиця 1'!$B:$B,$A143,'Таблиця 1'!$I:$I,"МіГ-29",'Таблиця 1'!$J:$J,"C-13")+SUMIFS('Таблиця 1'!$K:$K,'Таблиця 1'!$B:$B,$A143,'Таблиця 1'!$I:$I,"Су-25",'Таблиця 1'!$J:$J,"C-13")+SUMIFS('Таблиця 1'!$K:$K,'Таблиця 1'!$B:$B,$A143,'Таблиця 1'!$I:$I,"Су-27",'Таблиця 1'!$J:$J,"C-13"))</f>
        <v/>
      </c>
      <c r="P143">
        <f>IF($A143="","",SUMIFS('Таблиця 1'!$K:$K,'Таблиця 1'!$B:$B,$A143,'Таблиця 1'!$I:$I,"Mirage",'Таблиця 1'!$J:$J,"MK-32")+SUMIFS('Таблиця 1'!$K:$K,'Таблиця 1'!$B:$B,$A143,'Таблиця 1'!$I:$I,"F-16",'Таблиця 1'!$J:$J,"MK-32")+SUMIFS('Таблиця 1'!$K:$K,'Таблиця 1'!$B:$B,$A143,'Таблиця 1'!$I:$I,"МіГ-29",'Таблиця 1'!$J:$J,"MK-32")+SUMIFS('Таблиця 1'!$K:$K,'Таблиця 1'!$B:$B,$A143,'Таблиця 1'!$I:$I,"Су-25",'Таблиця 1'!$J:$J,"MK-32")+SUMIFS('Таблиця 1'!$K:$K,'Таблиця 1'!$B:$B,$A143,'Таблиця 1'!$I:$I,"Су-27",'Таблиця 1'!$J:$J,"MK-32"))</f>
        <v/>
      </c>
      <c r="Q143">
        <f>IF($A143="","",SUMIFS('Таблиця 1'!$K:$K,'Таблиця 1'!$B:$B,$A143,'Таблиця 1'!$I:$I,"Mirage",'Таблиця 1'!$J:$J,"MK-24")+SUMIFS('Таблиця 1'!$K:$K,'Таблиця 1'!$B:$B,$A143,'Таблиця 1'!$I:$I,"F-16",'Таблиця 1'!$J:$J,"MK-24")+SUMIFS('Таблиця 1'!$K:$K,'Таблиця 1'!$B:$B,$A143,'Таблиця 1'!$I:$I,"МіГ-29",'Таблиця 1'!$J:$J,"MK-24")+SUMIFS('Таблиця 1'!$K:$K,'Таблиця 1'!$B:$B,$A143,'Таблиця 1'!$I:$I,"Су-25",'Таблиця 1'!$J:$J,"MK-24")+SUMIFS('Таблиця 1'!$K:$K,'Таблиця 1'!$B:$B,$A143,'Таблиця 1'!$I:$I,"Су-27",'Таблиця 1'!$J:$J,"MK-24"))</f>
        <v/>
      </c>
      <c r="R143">
        <f>IF($A143="","",COUNTIFS('Таблиця 1'!$B:$B,$A143,'Таблиця 1'!$I:$I,"Mirage",'Таблиця 1'!$L:$L,"Уражено")+COUNTIFS('Таблиця 1'!$B:$B,$A143,'Таблиця 1'!$I:$I,"F-16",'Таблиця 1'!$L:$L,"Уражено")+COUNTIFS('Таблиця 1'!$B:$B,$A143,'Таблиця 1'!$I:$I,"МіГ-29",'Таблиця 1'!$L:$L,"Уражено")+COUNTIFS('Таблиця 1'!$B:$B,$A143,'Таблиця 1'!$I:$I,"Су-25",'Таблиця 1'!$L:$L,"Уражено")+COUNTIFS('Таблиця 1'!$B:$B,$A143,'Таблиця 1'!$I:$I,"Су-27",'Таблиця 1'!$L:$L,"Уражено"))</f>
        <v/>
      </c>
      <c r="S143">
        <f>IF($A143="","",COUNTIFS('Таблиця 1'!$B:$B,$A143,'Таблиця 1'!$I:$I,"Mirage",'Таблиця 1'!$L:$L,"НЕ уражено")+COUNTIFS('Таблиця 1'!$B:$B,$A143,'Таблиця 1'!$I:$I,"F-16",'Таблиця 1'!$L:$L,"НЕ уражено")+COUNTIFS('Таблиця 1'!$B:$B,$A143,'Таблиця 1'!$I:$I,"МіГ-29",'Таблиця 1'!$L:$L,"НЕ уражено")+COUNTIFS('Таблиця 1'!$B:$B,$A143,'Таблиця 1'!$I:$I,"Су-25",'Таблиця 1'!$L:$L,"НЕ уражено")+COUNTIFS('Таблиця 1'!$B:$B,$A143,'Таблиця 1'!$I:$I,"Су-27",'Таблиця 1'!$L:$L,"НЕ уражено"))</f>
        <v/>
      </c>
      <c r="T143">
        <f>IF($A143="","",COUNTIFS('Таблиця 1'!$B:$B,$A143,'Таблиця 1'!$I:$I,"Mirage",'Таблиця 1'!$L:$L,"Дорозвідується")+COUNTIFS('Таблиця 1'!$B:$B,$A143,'Таблиця 1'!$I:$I,"F-16",'Таблиця 1'!$L:$L,"Дорозвідується")+COUNTIFS('Таблиця 1'!$B:$B,$A143,'Таблиця 1'!$I:$I,"МіГ-29",'Таблиця 1'!$L:$L,"Дорозвідується")+COUNTIFS('Таблиця 1'!$B:$B,$A143,'Таблиця 1'!$I:$I,"Су-25",'Таблиця 1'!$L:$L,"Дорозвідується")+COUNTIFS('Таблиця 1'!$B:$B,$A143,'Таблиця 1'!$I:$I,"Су-27",'Таблиця 1'!$L:$L,"Дорозвідується"))</f>
        <v/>
      </c>
    </row>
    <row r="144">
      <c r="A144" s="273">
        <f>IF(A143="","",IF(A143+1&gt;MAX('Таблиця 1'!$B:$B),"",A143+1))</f>
        <v/>
      </c>
      <c r="B144">
        <f>IF($A144="","",COUNTIFS('Таблиця 1'!$B:$B,$A144,'Таблиця 1'!$I:$I,"Mirage")+COUNTIFS('Таблиця 1'!$B:$B,$A144,'Таблиця 1'!$I:$I,"F-16")+COUNTIFS('Таблиця 1'!$B:$B,$A144,'Таблиця 1'!$I:$I,"МіГ-29")+COUNTIFS('Таблиця 1'!$B:$B,$A144,'Таблиця 1'!$I:$I,"Су-25")+COUNTIFS('Таблиця 1'!$B:$B,$A144,'Таблиця 1'!$I:$I,"Су-27"))</f>
        <v/>
      </c>
      <c r="C144">
        <f>IF($A144="","",COUNTIFS('Таблиця 1'!$B:$B,$A144,'Таблиця 1'!$I:$I,"Mirage"))</f>
        <v/>
      </c>
      <c r="D144">
        <f>IF($A144="","",COUNTIFS('Таблиця 1'!$B:$B,$A144,'Таблиця 1'!$I:$I,"F-16"))</f>
        <v/>
      </c>
      <c r="E144">
        <f>IF($A144="","",COUNTIFS('Таблиця 1'!$B:$B,$A144,'Таблиця 1'!$I:$I,"МіГ-29"))</f>
        <v/>
      </c>
      <c r="F144">
        <f>IF($A144="","",COUNTIFS('Таблиця 1'!$B:$B,$A144,'Таблиця 1'!$I:$I,"Су-25"))</f>
        <v/>
      </c>
      <c r="G144">
        <f>IF($A144="","",COUNTIFS('Таблиця 1'!$B:$B,$A144,'Таблиця 1'!$I:$I,"Су-27"))</f>
        <v/>
      </c>
      <c r="H144">
        <f>IF($A144="","",SUMIFS('Таблиця 1'!$K:$K,'Таблиця 1'!$B:$B,$A144,'Таблиця 1'!$I:$I,"Mirage",'Таблиця 1'!$J:$J,"AGM-88")+SUMIFS('Таблиця 1'!$K:$K,'Таблиця 1'!$B:$B,$A144,'Таблиця 1'!$I:$I,"F-16",'Таблиця 1'!$J:$J,"AGM-88")+SUMIFS('Таблиця 1'!$K:$K,'Таблиця 1'!$B:$B,$A144,'Таблиця 1'!$I:$I,"МіГ-29",'Таблиця 1'!$J:$J,"AGM-88")+SUMIFS('Таблиця 1'!$K:$K,'Таблиця 1'!$B:$B,$A144,'Таблиця 1'!$I:$I,"Су-25",'Таблиця 1'!$J:$J,"AGM-88")+SUMIFS('Таблиця 1'!$K:$K,'Таблиця 1'!$B:$B,$A144,'Таблиця 1'!$I:$I,"Су-27",'Таблиця 1'!$J:$J,"AGM-88"))</f>
        <v/>
      </c>
      <c r="I144">
        <f>IF($A144="","",SUMIFS('Таблиця 1'!$K:$K,'Таблиця 1'!$B:$B,$A144,'Таблиця 1'!$I:$I,"Mirage",'Таблиця 1'!$J:$J,"AASM-250")+SUMIFS('Таблиця 1'!$K:$K,'Таблиця 1'!$B:$B,$A144,'Таблиця 1'!$I:$I,"F-16",'Таблиця 1'!$J:$J,"AASM-250")+SUMIFS('Таблиця 1'!$K:$K,'Таблиця 1'!$B:$B,$A144,'Таблиця 1'!$I:$I,"МіГ-29",'Таблиця 1'!$J:$J,"AASM-250")+SUMIFS('Таблиця 1'!$K:$K,'Таблиця 1'!$B:$B,$A144,'Таблиця 1'!$I:$I,"Су-25",'Таблиця 1'!$J:$J,"AASM-250")+SUMIFS('Таблиця 1'!$K:$K,'Таблиця 1'!$B:$B,$A144,'Таблиця 1'!$I:$I,"Су-27",'Таблиця 1'!$J:$J,"AASM-250"))</f>
        <v/>
      </c>
      <c r="J144">
        <f>IF($A144="","",SUMIFS('Таблиця 1'!$K:$K,'Таблиця 1'!$B:$B,$A144,'Таблиця 1'!$I:$I,"Mirage",'Таблиця 1'!$J:$J,"GBU-39")+SUMIFS('Таблиця 1'!$K:$K,'Таблиця 1'!$B:$B,$A144,'Таблиця 1'!$I:$I,"F-16",'Таблиця 1'!$J:$J,"GBU-39")+SUMIFS('Таблиця 1'!$K:$K,'Таблиця 1'!$B:$B,$A144,'Таблиця 1'!$I:$I,"МіГ-29",'Таблиця 1'!$J:$J,"GBU-39")+SUMIFS('Таблиця 1'!$K:$K,'Таблиця 1'!$B:$B,$A144,'Таблиця 1'!$I:$I,"Су-25",'Таблиця 1'!$J:$J,"GBU-39")+SUMIFS('Таблиця 1'!$K:$K,'Таблиця 1'!$B:$B,$A144,'Таблиця 1'!$I:$I,"Су-27",'Таблиця 1'!$J:$J,"GBU-39"))</f>
        <v/>
      </c>
      <c r="K144">
        <f>IF($A144="","",SUMIFS('Таблиця 1'!$K:$K,'Таблиця 1'!$B:$B,$A144,'Таблиця 1'!$I:$I,"Mirage",'Таблиця 1'!$J:$J,"BLU-140")+SUMIFS('Таблиця 1'!$K:$K,'Таблиця 1'!$B:$B,$A144,'Таблиця 1'!$I:$I,"F-16",'Таблиця 1'!$J:$J,"BLU-140")+SUMIFS('Таблиця 1'!$K:$K,'Таблиця 1'!$B:$B,$A144,'Таблиця 1'!$I:$I,"МіГ-29",'Таблиця 1'!$J:$J,"BLU-140")+SUMIFS('Таблиця 1'!$K:$K,'Таблиця 1'!$B:$B,$A144,'Таблиця 1'!$I:$I,"Су-25",'Таблиця 1'!$J:$J,"BLU-140")+SUMIFS('Таблиця 1'!$K:$K,'Таблиця 1'!$B:$B,$A144,'Таблиця 1'!$I:$I,"Су-27",'Таблиця 1'!$J:$J,"BLU-140"))</f>
        <v/>
      </c>
      <c r="L144">
        <f>IF($A144="","",SUMIFS('Таблиця 1'!$K:$K,'Таблиця 1'!$B:$B,$A144,'Таблиця 1'!$I:$I,"Mirage",'Таблиця 1'!$J:$J,"GBU-65")+SUMIFS('Таблиця 1'!$K:$K,'Таблиця 1'!$B:$B,$A144,'Таблиця 1'!$I:$I,"F-16",'Таблиця 1'!$J:$J,"GBU-65")+SUMIFS('Таблиця 1'!$K:$K,'Таблиця 1'!$B:$B,$A144,'Таблиця 1'!$I:$I,"МіГ-29",'Таблиця 1'!$J:$J,"GBU-65")+SUMIFS('Таблиця 1'!$K:$K,'Таблиця 1'!$B:$B,$A144,'Таблиця 1'!$I:$I,"Су-25",'Таблиця 1'!$J:$J,"GBU-65")+SUMIFS('Таблиця 1'!$K:$K,'Таблиця 1'!$B:$B,$A144,'Таблиця 1'!$I:$I,"Су-27",'Таблиця 1'!$J:$J,"GBU-65"))</f>
        <v/>
      </c>
      <c r="M144">
        <f>IF($A144="","",SUMIFS('Таблиця 1'!$K:$K,'Таблиця 1'!$B:$B,$A144,'Таблиця 1'!$I:$I,"Mirage",'Таблиця 1'!$J:$J,"GBU-62")+SUMIFS('Таблиця 1'!$K:$K,'Таблиця 1'!$B:$B,$A144,'Таблиця 1'!$I:$I,"F-16",'Таблиця 1'!$J:$J,"GBU-62")+SUMIFS('Таблиця 1'!$K:$K,'Таблиця 1'!$B:$B,$A144,'Таблиця 1'!$I:$I,"МіГ-29",'Таблиця 1'!$J:$J,"GBU-62")+SUMIFS('Таблиця 1'!$K:$K,'Таблиця 1'!$B:$B,$A144,'Таблиця 1'!$I:$I,"Су-25",'Таблиця 1'!$J:$J,"GBU-62")+SUMIFS('Таблиця 1'!$K:$K,'Таблиця 1'!$B:$B,$A144,'Таблиця 1'!$I:$I,"Су-27",'Таблиця 1'!$J:$J,"GBU-62"))</f>
        <v/>
      </c>
      <c r="N144">
        <f>IF($A144="","",SUMIFS('Таблиця 1'!$K:$K,'Таблиця 1'!$B:$B,$A144,'Таблиця 1'!$I:$I,"Mirage",'Таблиця 1'!$J:$J,"GBU-64")+SUMIFS('Таблиця 1'!$K:$K,'Таблиця 1'!$B:$B,$A144,'Таблиця 1'!$I:$I,"F-16",'Таблиця 1'!$J:$J,"GBU-64")+SUMIFS('Таблиця 1'!$K:$K,'Таблиця 1'!$B:$B,$A144,'Таблиця 1'!$I:$I,"МіГ-29",'Таблиця 1'!$J:$J,"GBU-64")+SUMIFS('Таблиця 1'!$K:$K,'Таблиця 1'!$B:$B,$A144,'Таблиця 1'!$I:$I,"Су-25",'Таблиця 1'!$J:$J,"GBU-64")+SUMIFS('Таблиця 1'!$K:$K,'Таблиця 1'!$B:$B,$A144,'Таблиця 1'!$I:$I,"Су-27",'Таблиця 1'!$J:$J,"GBU-64"))</f>
        <v/>
      </c>
      <c r="O144">
        <f>IF($A144="","",SUMIFS('Таблиця 1'!$K:$K,'Таблиця 1'!$B:$B,$A144,'Таблиця 1'!$I:$I,"Mirage",'Таблиця 1'!$J:$J,"C-13")+SUMIFS('Таблиця 1'!$K:$K,'Таблиця 1'!$B:$B,$A144,'Таблиця 1'!$I:$I,"F-16",'Таблиця 1'!$J:$J,"C-13")+SUMIFS('Таблиця 1'!$K:$K,'Таблиця 1'!$B:$B,$A144,'Таблиця 1'!$I:$I,"МіГ-29",'Таблиця 1'!$J:$J,"C-13")+SUMIFS('Таблиця 1'!$K:$K,'Таблиця 1'!$B:$B,$A144,'Таблиця 1'!$I:$I,"Су-25",'Таблиця 1'!$J:$J,"C-13")+SUMIFS('Таблиця 1'!$K:$K,'Таблиця 1'!$B:$B,$A144,'Таблиця 1'!$I:$I,"Су-27",'Таблиця 1'!$J:$J,"C-13"))</f>
        <v/>
      </c>
      <c r="P144">
        <f>IF($A144="","",SUMIFS('Таблиця 1'!$K:$K,'Таблиця 1'!$B:$B,$A144,'Таблиця 1'!$I:$I,"Mirage",'Таблиця 1'!$J:$J,"MK-32")+SUMIFS('Таблиця 1'!$K:$K,'Таблиця 1'!$B:$B,$A144,'Таблиця 1'!$I:$I,"F-16",'Таблиця 1'!$J:$J,"MK-32")+SUMIFS('Таблиця 1'!$K:$K,'Таблиця 1'!$B:$B,$A144,'Таблиця 1'!$I:$I,"МіГ-29",'Таблиця 1'!$J:$J,"MK-32")+SUMIFS('Таблиця 1'!$K:$K,'Таблиця 1'!$B:$B,$A144,'Таблиця 1'!$I:$I,"Су-25",'Таблиця 1'!$J:$J,"MK-32")+SUMIFS('Таблиця 1'!$K:$K,'Таблиця 1'!$B:$B,$A144,'Таблиця 1'!$I:$I,"Су-27",'Таблиця 1'!$J:$J,"MK-32"))</f>
        <v/>
      </c>
      <c r="Q144">
        <f>IF($A144="","",SUMIFS('Таблиця 1'!$K:$K,'Таблиця 1'!$B:$B,$A144,'Таблиця 1'!$I:$I,"Mirage",'Таблиця 1'!$J:$J,"MK-24")+SUMIFS('Таблиця 1'!$K:$K,'Таблиця 1'!$B:$B,$A144,'Таблиця 1'!$I:$I,"F-16",'Таблиця 1'!$J:$J,"MK-24")+SUMIFS('Таблиця 1'!$K:$K,'Таблиця 1'!$B:$B,$A144,'Таблиця 1'!$I:$I,"МіГ-29",'Таблиця 1'!$J:$J,"MK-24")+SUMIFS('Таблиця 1'!$K:$K,'Таблиця 1'!$B:$B,$A144,'Таблиця 1'!$I:$I,"Су-25",'Таблиця 1'!$J:$J,"MK-24")+SUMIFS('Таблиця 1'!$K:$K,'Таблиця 1'!$B:$B,$A144,'Таблиця 1'!$I:$I,"Су-27",'Таблиця 1'!$J:$J,"MK-24"))</f>
        <v/>
      </c>
      <c r="R144">
        <f>IF($A144="","",COUNTIFS('Таблиця 1'!$B:$B,$A144,'Таблиця 1'!$I:$I,"Mirage",'Таблиця 1'!$L:$L,"Уражено")+COUNTIFS('Таблиця 1'!$B:$B,$A144,'Таблиця 1'!$I:$I,"F-16",'Таблиця 1'!$L:$L,"Уражено")+COUNTIFS('Таблиця 1'!$B:$B,$A144,'Таблиця 1'!$I:$I,"МіГ-29",'Таблиця 1'!$L:$L,"Уражено")+COUNTIFS('Таблиця 1'!$B:$B,$A144,'Таблиця 1'!$I:$I,"Су-25",'Таблиця 1'!$L:$L,"Уражено")+COUNTIFS('Таблиця 1'!$B:$B,$A144,'Таблиця 1'!$I:$I,"Су-27",'Таблиця 1'!$L:$L,"Уражено"))</f>
        <v/>
      </c>
      <c r="S144">
        <f>IF($A144="","",COUNTIFS('Таблиця 1'!$B:$B,$A144,'Таблиця 1'!$I:$I,"Mirage",'Таблиця 1'!$L:$L,"НЕ уражено")+COUNTIFS('Таблиця 1'!$B:$B,$A144,'Таблиця 1'!$I:$I,"F-16",'Таблиця 1'!$L:$L,"НЕ уражено")+COUNTIFS('Таблиця 1'!$B:$B,$A144,'Таблиця 1'!$I:$I,"МіГ-29",'Таблиця 1'!$L:$L,"НЕ уражено")+COUNTIFS('Таблиця 1'!$B:$B,$A144,'Таблиця 1'!$I:$I,"Су-25",'Таблиця 1'!$L:$L,"НЕ уражено")+COUNTIFS('Таблиця 1'!$B:$B,$A144,'Таблиця 1'!$I:$I,"Су-27",'Таблиця 1'!$L:$L,"НЕ уражено"))</f>
        <v/>
      </c>
      <c r="T144">
        <f>IF($A144="","",COUNTIFS('Таблиця 1'!$B:$B,$A144,'Таблиця 1'!$I:$I,"Mirage",'Таблиця 1'!$L:$L,"Дорозвідується")+COUNTIFS('Таблиця 1'!$B:$B,$A144,'Таблиця 1'!$I:$I,"F-16",'Таблиця 1'!$L:$L,"Дорозвідується")+COUNTIFS('Таблиця 1'!$B:$B,$A144,'Таблиця 1'!$I:$I,"МіГ-29",'Таблиця 1'!$L:$L,"Дорозвідується")+COUNTIFS('Таблиця 1'!$B:$B,$A144,'Таблиця 1'!$I:$I,"Су-25",'Таблиця 1'!$L:$L,"Дорозвідується")+COUNTIFS('Таблиця 1'!$B:$B,$A144,'Таблиця 1'!$I:$I,"Су-27",'Таблиця 1'!$L:$L,"Дорозвідується"))</f>
        <v/>
      </c>
    </row>
    <row r="145">
      <c r="A145" s="273">
        <f>IF(A144="","",IF(A144+1&gt;MAX('Таблиця 1'!$B:$B),"",A144+1))</f>
        <v/>
      </c>
      <c r="B145">
        <f>IF($A145="","",COUNTIFS('Таблиця 1'!$B:$B,$A145,'Таблиця 1'!$I:$I,"Mirage")+COUNTIFS('Таблиця 1'!$B:$B,$A145,'Таблиця 1'!$I:$I,"F-16")+COUNTIFS('Таблиця 1'!$B:$B,$A145,'Таблиця 1'!$I:$I,"МіГ-29")+COUNTIFS('Таблиця 1'!$B:$B,$A145,'Таблиця 1'!$I:$I,"Су-25")+COUNTIFS('Таблиця 1'!$B:$B,$A145,'Таблиця 1'!$I:$I,"Су-27"))</f>
        <v/>
      </c>
      <c r="C145">
        <f>IF($A145="","",COUNTIFS('Таблиця 1'!$B:$B,$A145,'Таблиця 1'!$I:$I,"Mirage"))</f>
        <v/>
      </c>
      <c r="D145">
        <f>IF($A145="","",COUNTIFS('Таблиця 1'!$B:$B,$A145,'Таблиця 1'!$I:$I,"F-16"))</f>
        <v/>
      </c>
      <c r="E145">
        <f>IF($A145="","",COUNTIFS('Таблиця 1'!$B:$B,$A145,'Таблиця 1'!$I:$I,"МіГ-29"))</f>
        <v/>
      </c>
      <c r="F145">
        <f>IF($A145="","",COUNTIFS('Таблиця 1'!$B:$B,$A145,'Таблиця 1'!$I:$I,"Су-25"))</f>
        <v/>
      </c>
      <c r="G145">
        <f>IF($A145="","",COUNTIFS('Таблиця 1'!$B:$B,$A145,'Таблиця 1'!$I:$I,"Су-27"))</f>
        <v/>
      </c>
      <c r="H145">
        <f>IF($A145="","",SUMIFS('Таблиця 1'!$K:$K,'Таблиця 1'!$B:$B,$A145,'Таблиця 1'!$I:$I,"Mirage",'Таблиця 1'!$J:$J,"AGM-88")+SUMIFS('Таблиця 1'!$K:$K,'Таблиця 1'!$B:$B,$A145,'Таблиця 1'!$I:$I,"F-16",'Таблиця 1'!$J:$J,"AGM-88")+SUMIFS('Таблиця 1'!$K:$K,'Таблиця 1'!$B:$B,$A145,'Таблиця 1'!$I:$I,"МіГ-29",'Таблиця 1'!$J:$J,"AGM-88")+SUMIFS('Таблиця 1'!$K:$K,'Таблиця 1'!$B:$B,$A145,'Таблиця 1'!$I:$I,"Су-25",'Таблиця 1'!$J:$J,"AGM-88")+SUMIFS('Таблиця 1'!$K:$K,'Таблиця 1'!$B:$B,$A145,'Таблиця 1'!$I:$I,"Су-27",'Таблиця 1'!$J:$J,"AGM-88"))</f>
        <v/>
      </c>
      <c r="I145">
        <f>IF($A145="","",SUMIFS('Таблиця 1'!$K:$K,'Таблиця 1'!$B:$B,$A145,'Таблиця 1'!$I:$I,"Mirage",'Таблиця 1'!$J:$J,"AASM-250")+SUMIFS('Таблиця 1'!$K:$K,'Таблиця 1'!$B:$B,$A145,'Таблиця 1'!$I:$I,"F-16",'Таблиця 1'!$J:$J,"AASM-250")+SUMIFS('Таблиця 1'!$K:$K,'Таблиця 1'!$B:$B,$A145,'Таблиця 1'!$I:$I,"МіГ-29",'Таблиця 1'!$J:$J,"AASM-250")+SUMIFS('Таблиця 1'!$K:$K,'Таблиця 1'!$B:$B,$A145,'Таблиця 1'!$I:$I,"Су-25",'Таблиця 1'!$J:$J,"AASM-250")+SUMIFS('Таблиця 1'!$K:$K,'Таблиця 1'!$B:$B,$A145,'Таблиця 1'!$I:$I,"Су-27",'Таблиця 1'!$J:$J,"AASM-250"))</f>
        <v/>
      </c>
      <c r="J145">
        <f>IF($A145="","",SUMIFS('Таблиця 1'!$K:$K,'Таблиця 1'!$B:$B,$A145,'Таблиця 1'!$I:$I,"Mirage",'Таблиця 1'!$J:$J,"GBU-39")+SUMIFS('Таблиця 1'!$K:$K,'Таблиця 1'!$B:$B,$A145,'Таблиця 1'!$I:$I,"F-16",'Таблиця 1'!$J:$J,"GBU-39")+SUMIFS('Таблиця 1'!$K:$K,'Таблиця 1'!$B:$B,$A145,'Таблиця 1'!$I:$I,"МіГ-29",'Таблиця 1'!$J:$J,"GBU-39")+SUMIFS('Таблиця 1'!$K:$K,'Таблиця 1'!$B:$B,$A145,'Таблиця 1'!$I:$I,"Су-25",'Таблиця 1'!$J:$J,"GBU-39")+SUMIFS('Таблиця 1'!$K:$K,'Таблиця 1'!$B:$B,$A145,'Таблиця 1'!$I:$I,"Су-27",'Таблиця 1'!$J:$J,"GBU-39"))</f>
        <v/>
      </c>
      <c r="K145">
        <f>IF($A145="","",SUMIFS('Таблиця 1'!$K:$K,'Таблиця 1'!$B:$B,$A145,'Таблиця 1'!$I:$I,"Mirage",'Таблиця 1'!$J:$J,"BLU-140")+SUMIFS('Таблиця 1'!$K:$K,'Таблиця 1'!$B:$B,$A145,'Таблиця 1'!$I:$I,"F-16",'Таблиця 1'!$J:$J,"BLU-140")+SUMIFS('Таблиця 1'!$K:$K,'Таблиця 1'!$B:$B,$A145,'Таблиця 1'!$I:$I,"МіГ-29",'Таблиця 1'!$J:$J,"BLU-140")+SUMIFS('Таблиця 1'!$K:$K,'Таблиця 1'!$B:$B,$A145,'Таблиця 1'!$I:$I,"Су-25",'Таблиця 1'!$J:$J,"BLU-140")+SUMIFS('Таблиця 1'!$K:$K,'Таблиця 1'!$B:$B,$A145,'Таблиця 1'!$I:$I,"Су-27",'Таблиця 1'!$J:$J,"BLU-140"))</f>
        <v/>
      </c>
      <c r="L145">
        <f>IF($A145="","",SUMIFS('Таблиця 1'!$K:$K,'Таблиця 1'!$B:$B,$A145,'Таблиця 1'!$I:$I,"Mirage",'Таблиця 1'!$J:$J,"GBU-65")+SUMIFS('Таблиця 1'!$K:$K,'Таблиця 1'!$B:$B,$A145,'Таблиця 1'!$I:$I,"F-16",'Таблиця 1'!$J:$J,"GBU-65")+SUMIFS('Таблиця 1'!$K:$K,'Таблиця 1'!$B:$B,$A145,'Таблиця 1'!$I:$I,"МіГ-29",'Таблиця 1'!$J:$J,"GBU-65")+SUMIFS('Таблиця 1'!$K:$K,'Таблиця 1'!$B:$B,$A145,'Таблиця 1'!$I:$I,"Су-25",'Таблиця 1'!$J:$J,"GBU-65")+SUMIFS('Таблиця 1'!$K:$K,'Таблиця 1'!$B:$B,$A145,'Таблиця 1'!$I:$I,"Су-27",'Таблиця 1'!$J:$J,"GBU-65"))</f>
        <v/>
      </c>
      <c r="M145">
        <f>IF($A145="","",SUMIFS('Таблиця 1'!$K:$K,'Таблиця 1'!$B:$B,$A145,'Таблиця 1'!$I:$I,"Mirage",'Таблиця 1'!$J:$J,"GBU-62")+SUMIFS('Таблиця 1'!$K:$K,'Таблиця 1'!$B:$B,$A145,'Таблиця 1'!$I:$I,"F-16",'Таблиця 1'!$J:$J,"GBU-62")+SUMIFS('Таблиця 1'!$K:$K,'Таблиця 1'!$B:$B,$A145,'Таблиця 1'!$I:$I,"МіГ-29",'Таблиця 1'!$J:$J,"GBU-62")+SUMIFS('Таблиця 1'!$K:$K,'Таблиця 1'!$B:$B,$A145,'Таблиця 1'!$I:$I,"Су-25",'Таблиця 1'!$J:$J,"GBU-62")+SUMIFS('Таблиця 1'!$K:$K,'Таблиця 1'!$B:$B,$A145,'Таблиця 1'!$I:$I,"Су-27",'Таблиця 1'!$J:$J,"GBU-62"))</f>
        <v/>
      </c>
      <c r="N145">
        <f>IF($A145="","",SUMIFS('Таблиця 1'!$K:$K,'Таблиця 1'!$B:$B,$A145,'Таблиця 1'!$I:$I,"Mirage",'Таблиця 1'!$J:$J,"GBU-64")+SUMIFS('Таблиця 1'!$K:$K,'Таблиця 1'!$B:$B,$A145,'Таблиця 1'!$I:$I,"F-16",'Таблиця 1'!$J:$J,"GBU-64")+SUMIFS('Таблиця 1'!$K:$K,'Таблиця 1'!$B:$B,$A145,'Таблиця 1'!$I:$I,"МіГ-29",'Таблиця 1'!$J:$J,"GBU-64")+SUMIFS('Таблиця 1'!$K:$K,'Таблиця 1'!$B:$B,$A145,'Таблиця 1'!$I:$I,"Су-25",'Таблиця 1'!$J:$J,"GBU-64")+SUMIFS('Таблиця 1'!$K:$K,'Таблиця 1'!$B:$B,$A145,'Таблиця 1'!$I:$I,"Су-27",'Таблиця 1'!$J:$J,"GBU-64"))</f>
        <v/>
      </c>
      <c r="O145">
        <f>IF($A145="","",SUMIFS('Таблиця 1'!$K:$K,'Таблиця 1'!$B:$B,$A145,'Таблиця 1'!$I:$I,"Mirage",'Таблиця 1'!$J:$J,"C-13")+SUMIFS('Таблиця 1'!$K:$K,'Таблиця 1'!$B:$B,$A145,'Таблиця 1'!$I:$I,"F-16",'Таблиця 1'!$J:$J,"C-13")+SUMIFS('Таблиця 1'!$K:$K,'Таблиця 1'!$B:$B,$A145,'Таблиця 1'!$I:$I,"МіГ-29",'Таблиця 1'!$J:$J,"C-13")+SUMIFS('Таблиця 1'!$K:$K,'Таблиця 1'!$B:$B,$A145,'Таблиця 1'!$I:$I,"Су-25",'Таблиця 1'!$J:$J,"C-13")+SUMIFS('Таблиця 1'!$K:$K,'Таблиця 1'!$B:$B,$A145,'Таблиця 1'!$I:$I,"Су-27",'Таблиця 1'!$J:$J,"C-13"))</f>
        <v/>
      </c>
      <c r="P145">
        <f>IF($A145="","",SUMIFS('Таблиця 1'!$K:$K,'Таблиця 1'!$B:$B,$A145,'Таблиця 1'!$I:$I,"Mirage",'Таблиця 1'!$J:$J,"MK-32")+SUMIFS('Таблиця 1'!$K:$K,'Таблиця 1'!$B:$B,$A145,'Таблиця 1'!$I:$I,"F-16",'Таблиця 1'!$J:$J,"MK-32")+SUMIFS('Таблиця 1'!$K:$K,'Таблиця 1'!$B:$B,$A145,'Таблиця 1'!$I:$I,"МіГ-29",'Таблиця 1'!$J:$J,"MK-32")+SUMIFS('Таблиця 1'!$K:$K,'Таблиця 1'!$B:$B,$A145,'Таблиця 1'!$I:$I,"Су-25",'Таблиця 1'!$J:$J,"MK-32")+SUMIFS('Таблиця 1'!$K:$K,'Таблиця 1'!$B:$B,$A145,'Таблиця 1'!$I:$I,"Су-27",'Таблиця 1'!$J:$J,"MK-32"))</f>
        <v/>
      </c>
      <c r="Q145">
        <f>IF($A145="","",SUMIFS('Таблиця 1'!$K:$K,'Таблиця 1'!$B:$B,$A145,'Таблиця 1'!$I:$I,"Mirage",'Таблиця 1'!$J:$J,"MK-24")+SUMIFS('Таблиця 1'!$K:$K,'Таблиця 1'!$B:$B,$A145,'Таблиця 1'!$I:$I,"F-16",'Таблиця 1'!$J:$J,"MK-24")+SUMIFS('Таблиця 1'!$K:$K,'Таблиця 1'!$B:$B,$A145,'Таблиця 1'!$I:$I,"МіГ-29",'Таблиця 1'!$J:$J,"MK-24")+SUMIFS('Таблиця 1'!$K:$K,'Таблиця 1'!$B:$B,$A145,'Таблиця 1'!$I:$I,"Су-25",'Таблиця 1'!$J:$J,"MK-24")+SUMIFS('Таблиця 1'!$K:$K,'Таблиця 1'!$B:$B,$A145,'Таблиця 1'!$I:$I,"Су-27",'Таблиця 1'!$J:$J,"MK-24"))</f>
        <v/>
      </c>
      <c r="R145">
        <f>IF($A145="","",COUNTIFS('Таблиця 1'!$B:$B,$A145,'Таблиця 1'!$I:$I,"Mirage",'Таблиця 1'!$L:$L,"Уражено")+COUNTIFS('Таблиця 1'!$B:$B,$A145,'Таблиця 1'!$I:$I,"F-16",'Таблиця 1'!$L:$L,"Уражено")+COUNTIFS('Таблиця 1'!$B:$B,$A145,'Таблиця 1'!$I:$I,"МіГ-29",'Таблиця 1'!$L:$L,"Уражено")+COUNTIFS('Таблиця 1'!$B:$B,$A145,'Таблиця 1'!$I:$I,"Су-25",'Таблиця 1'!$L:$L,"Уражено")+COUNTIFS('Таблиця 1'!$B:$B,$A145,'Таблиця 1'!$I:$I,"Су-27",'Таблиця 1'!$L:$L,"Уражено"))</f>
        <v/>
      </c>
      <c r="S145">
        <f>IF($A145="","",COUNTIFS('Таблиця 1'!$B:$B,$A145,'Таблиця 1'!$I:$I,"Mirage",'Таблиця 1'!$L:$L,"НЕ уражено")+COUNTIFS('Таблиця 1'!$B:$B,$A145,'Таблиця 1'!$I:$I,"F-16",'Таблиця 1'!$L:$L,"НЕ уражено")+COUNTIFS('Таблиця 1'!$B:$B,$A145,'Таблиця 1'!$I:$I,"МіГ-29",'Таблиця 1'!$L:$L,"НЕ уражено")+COUNTIFS('Таблиця 1'!$B:$B,$A145,'Таблиця 1'!$I:$I,"Су-25",'Таблиця 1'!$L:$L,"НЕ уражено")+COUNTIFS('Таблиця 1'!$B:$B,$A145,'Таблиця 1'!$I:$I,"Су-27",'Таблиця 1'!$L:$L,"НЕ уражено"))</f>
        <v/>
      </c>
      <c r="T145">
        <f>IF($A145="","",COUNTIFS('Таблиця 1'!$B:$B,$A145,'Таблиця 1'!$I:$I,"Mirage",'Таблиця 1'!$L:$L,"Дорозвідується")+COUNTIFS('Таблиця 1'!$B:$B,$A145,'Таблиця 1'!$I:$I,"F-16",'Таблиця 1'!$L:$L,"Дорозвідується")+COUNTIFS('Таблиця 1'!$B:$B,$A145,'Таблиця 1'!$I:$I,"МіГ-29",'Таблиця 1'!$L:$L,"Дорозвідується")+COUNTIFS('Таблиця 1'!$B:$B,$A145,'Таблиця 1'!$I:$I,"Су-25",'Таблиця 1'!$L:$L,"Дорозвідується")+COUNTIFS('Таблиця 1'!$B:$B,$A145,'Таблиця 1'!$I:$I,"Су-27",'Таблиця 1'!$L:$L,"Дорозвідується"))</f>
        <v/>
      </c>
    </row>
    <row r="146">
      <c r="A146" s="273">
        <f>IF(A145="","",IF(A145+1&gt;MAX('Таблиця 1'!$B:$B),"",A145+1))</f>
        <v/>
      </c>
      <c r="B146">
        <f>IF($A146="","",COUNTIFS('Таблиця 1'!$B:$B,$A146,'Таблиця 1'!$I:$I,"Mirage")+COUNTIFS('Таблиця 1'!$B:$B,$A146,'Таблиця 1'!$I:$I,"F-16")+COUNTIFS('Таблиця 1'!$B:$B,$A146,'Таблиця 1'!$I:$I,"МіГ-29")+COUNTIFS('Таблиця 1'!$B:$B,$A146,'Таблиця 1'!$I:$I,"Су-25")+COUNTIFS('Таблиця 1'!$B:$B,$A146,'Таблиця 1'!$I:$I,"Су-27"))</f>
        <v/>
      </c>
      <c r="C146">
        <f>IF($A146="","",COUNTIFS('Таблиця 1'!$B:$B,$A146,'Таблиця 1'!$I:$I,"Mirage"))</f>
        <v/>
      </c>
      <c r="D146">
        <f>IF($A146="","",COUNTIFS('Таблиця 1'!$B:$B,$A146,'Таблиця 1'!$I:$I,"F-16"))</f>
        <v/>
      </c>
      <c r="E146">
        <f>IF($A146="","",COUNTIFS('Таблиця 1'!$B:$B,$A146,'Таблиця 1'!$I:$I,"МіГ-29"))</f>
        <v/>
      </c>
      <c r="F146">
        <f>IF($A146="","",COUNTIFS('Таблиця 1'!$B:$B,$A146,'Таблиця 1'!$I:$I,"Су-25"))</f>
        <v/>
      </c>
      <c r="G146">
        <f>IF($A146="","",COUNTIFS('Таблиця 1'!$B:$B,$A146,'Таблиця 1'!$I:$I,"Су-27"))</f>
        <v/>
      </c>
      <c r="H146">
        <f>IF($A146="","",SUMIFS('Таблиця 1'!$K:$K,'Таблиця 1'!$B:$B,$A146,'Таблиця 1'!$I:$I,"Mirage",'Таблиця 1'!$J:$J,"AGM-88")+SUMIFS('Таблиця 1'!$K:$K,'Таблиця 1'!$B:$B,$A146,'Таблиця 1'!$I:$I,"F-16",'Таблиця 1'!$J:$J,"AGM-88")+SUMIFS('Таблиця 1'!$K:$K,'Таблиця 1'!$B:$B,$A146,'Таблиця 1'!$I:$I,"МіГ-29",'Таблиця 1'!$J:$J,"AGM-88")+SUMIFS('Таблиця 1'!$K:$K,'Таблиця 1'!$B:$B,$A146,'Таблиця 1'!$I:$I,"Су-25",'Таблиця 1'!$J:$J,"AGM-88")+SUMIFS('Таблиця 1'!$K:$K,'Таблиця 1'!$B:$B,$A146,'Таблиця 1'!$I:$I,"Су-27",'Таблиця 1'!$J:$J,"AGM-88"))</f>
        <v/>
      </c>
      <c r="I146">
        <f>IF($A146="","",SUMIFS('Таблиця 1'!$K:$K,'Таблиця 1'!$B:$B,$A146,'Таблиця 1'!$I:$I,"Mirage",'Таблиця 1'!$J:$J,"AASM-250")+SUMIFS('Таблиця 1'!$K:$K,'Таблиця 1'!$B:$B,$A146,'Таблиця 1'!$I:$I,"F-16",'Таблиця 1'!$J:$J,"AASM-250")+SUMIFS('Таблиця 1'!$K:$K,'Таблиця 1'!$B:$B,$A146,'Таблиця 1'!$I:$I,"МіГ-29",'Таблиця 1'!$J:$J,"AASM-250")+SUMIFS('Таблиця 1'!$K:$K,'Таблиця 1'!$B:$B,$A146,'Таблиця 1'!$I:$I,"Су-25",'Таблиця 1'!$J:$J,"AASM-250")+SUMIFS('Таблиця 1'!$K:$K,'Таблиця 1'!$B:$B,$A146,'Таблиця 1'!$I:$I,"Су-27",'Таблиця 1'!$J:$J,"AASM-250"))</f>
        <v/>
      </c>
      <c r="J146">
        <f>IF($A146="","",SUMIFS('Таблиця 1'!$K:$K,'Таблиця 1'!$B:$B,$A146,'Таблиця 1'!$I:$I,"Mirage",'Таблиця 1'!$J:$J,"GBU-39")+SUMIFS('Таблиця 1'!$K:$K,'Таблиця 1'!$B:$B,$A146,'Таблиця 1'!$I:$I,"F-16",'Таблиця 1'!$J:$J,"GBU-39")+SUMIFS('Таблиця 1'!$K:$K,'Таблиця 1'!$B:$B,$A146,'Таблиця 1'!$I:$I,"МіГ-29",'Таблиця 1'!$J:$J,"GBU-39")+SUMIFS('Таблиця 1'!$K:$K,'Таблиця 1'!$B:$B,$A146,'Таблиця 1'!$I:$I,"Су-25",'Таблиця 1'!$J:$J,"GBU-39")+SUMIFS('Таблиця 1'!$K:$K,'Таблиця 1'!$B:$B,$A146,'Таблиця 1'!$I:$I,"Су-27",'Таблиця 1'!$J:$J,"GBU-39"))</f>
        <v/>
      </c>
      <c r="K146">
        <f>IF($A146="","",SUMIFS('Таблиця 1'!$K:$K,'Таблиця 1'!$B:$B,$A146,'Таблиця 1'!$I:$I,"Mirage",'Таблиця 1'!$J:$J,"BLU-140")+SUMIFS('Таблиця 1'!$K:$K,'Таблиця 1'!$B:$B,$A146,'Таблиця 1'!$I:$I,"F-16",'Таблиця 1'!$J:$J,"BLU-140")+SUMIFS('Таблиця 1'!$K:$K,'Таблиця 1'!$B:$B,$A146,'Таблиця 1'!$I:$I,"МіГ-29",'Таблиця 1'!$J:$J,"BLU-140")+SUMIFS('Таблиця 1'!$K:$K,'Таблиця 1'!$B:$B,$A146,'Таблиця 1'!$I:$I,"Су-25",'Таблиця 1'!$J:$J,"BLU-140")+SUMIFS('Таблиця 1'!$K:$K,'Таблиця 1'!$B:$B,$A146,'Таблиця 1'!$I:$I,"Су-27",'Таблиця 1'!$J:$J,"BLU-140"))</f>
        <v/>
      </c>
      <c r="L146">
        <f>IF($A146="","",SUMIFS('Таблиця 1'!$K:$K,'Таблиця 1'!$B:$B,$A146,'Таблиця 1'!$I:$I,"Mirage",'Таблиця 1'!$J:$J,"GBU-65")+SUMIFS('Таблиця 1'!$K:$K,'Таблиця 1'!$B:$B,$A146,'Таблиця 1'!$I:$I,"F-16",'Таблиця 1'!$J:$J,"GBU-65")+SUMIFS('Таблиця 1'!$K:$K,'Таблиця 1'!$B:$B,$A146,'Таблиця 1'!$I:$I,"МіГ-29",'Таблиця 1'!$J:$J,"GBU-65")+SUMIFS('Таблиця 1'!$K:$K,'Таблиця 1'!$B:$B,$A146,'Таблиця 1'!$I:$I,"Су-25",'Таблиця 1'!$J:$J,"GBU-65")+SUMIFS('Таблиця 1'!$K:$K,'Таблиця 1'!$B:$B,$A146,'Таблиця 1'!$I:$I,"Су-27",'Таблиця 1'!$J:$J,"GBU-65"))</f>
        <v/>
      </c>
      <c r="M146">
        <f>IF($A146="","",SUMIFS('Таблиця 1'!$K:$K,'Таблиця 1'!$B:$B,$A146,'Таблиця 1'!$I:$I,"Mirage",'Таблиця 1'!$J:$J,"GBU-62")+SUMIFS('Таблиця 1'!$K:$K,'Таблиця 1'!$B:$B,$A146,'Таблиця 1'!$I:$I,"F-16",'Таблиця 1'!$J:$J,"GBU-62")+SUMIFS('Таблиця 1'!$K:$K,'Таблиця 1'!$B:$B,$A146,'Таблиця 1'!$I:$I,"МіГ-29",'Таблиця 1'!$J:$J,"GBU-62")+SUMIFS('Таблиця 1'!$K:$K,'Таблиця 1'!$B:$B,$A146,'Таблиця 1'!$I:$I,"Су-25",'Таблиця 1'!$J:$J,"GBU-62")+SUMIFS('Таблиця 1'!$K:$K,'Таблиця 1'!$B:$B,$A146,'Таблиця 1'!$I:$I,"Су-27",'Таблиця 1'!$J:$J,"GBU-62"))</f>
        <v/>
      </c>
      <c r="N146">
        <f>IF($A146="","",SUMIFS('Таблиця 1'!$K:$K,'Таблиця 1'!$B:$B,$A146,'Таблиця 1'!$I:$I,"Mirage",'Таблиця 1'!$J:$J,"GBU-64")+SUMIFS('Таблиця 1'!$K:$K,'Таблиця 1'!$B:$B,$A146,'Таблиця 1'!$I:$I,"F-16",'Таблиця 1'!$J:$J,"GBU-64")+SUMIFS('Таблиця 1'!$K:$K,'Таблиця 1'!$B:$B,$A146,'Таблиця 1'!$I:$I,"МіГ-29",'Таблиця 1'!$J:$J,"GBU-64")+SUMIFS('Таблиця 1'!$K:$K,'Таблиця 1'!$B:$B,$A146,'Таблиця 1'!$I:$I,"Су-25",'Таблиця 1'!$J:$J,"GBU-64")+SUMIFS('Таблиця 1'!$K:$K,'Таблиця 1'!$B:$B,$A146,'Таблиця 1'!$I:$I,"Су-27",'Таблиця 1'!$J:$J,"GBU-64"))</f>
        <v/>
      </c>
      <c r="O146">
        <f>IF($A146="","",SUMIFS('Таблиця 1'!$K:$K,'Таблиця 1'!$B:$B,$A146,'Таблиця 1'!$I:$I,"Mirage",'Таблиця 1'!$J:$J,"C-13")+SUMIFS('Таблиця 1'!$K:$K,'Таблиця 1'!$B:$B,$A146,'Таблиця 1'!$I:$I,"F-16",'Таблиця 1'!$J:$J,"C-13")+SUMIFS('Таблиця 1'!$K:$K,'Таблиця 1'!$B:$B,$A146,'Таблиця 1'!$I:$I,"МіГ-29",'Таблиця 1'!$J:$J,"C-13")+SUMIFS('Таблиця 1'!$K:$K,'Таблиця 1'!$B:$B,$A146,'Таблиця 1'!$I:$I,"Су-25",'Таблиця 1'!$J:$J,"C-13")+SUMIFS('Таблиця 1'!$K:$K,'Таблиця 1'!$B:$B,$A146,'Таблиця 1'!$I:$I,"Су-27",'Таблиця 1'!$J:$J,"C-13"))</f>
        <v/>
      </c>
      <c r="P146">
        <f>IF($A146="","",SUMIFS('Таблиця 1'!$K:$K,'Таблиця 1'!$B:$B,$A146,'Таблиця 1'!$I:$I,"Mirage",'Таблиця 1'!$J:$J,"MK-32")+SUMIFS('Таблиця 1'!$K:$K,'Таблиця 1'!$B:$B,$A146,'Таблиця 1'!$I:$I,"F-16",'Таблиця 1'!$J:$J,"MK-32")+SUMIFS('Таблиця 1'!$K:$K,'Таблиця 1'!$B:$B,$A146,'Таблиця 1'!$I:$I,"МіГ-29",'Таблиця 1'!$J:$J,"MK-32")+SUMIFS('Таблиця 1'!$K:$K,'Таблиця 1'!$B:$B,$A146,'Таблиця 1'!$I:$I,"Су-25",'Таблиця 1'!$J:$J,"MK-32")+SUMIFS('Таблиця 1'!$K:$K,'Таблиця 1'!$B:$B,$A146,'Таблиця 1'!$I:$I,"Су-27",'Таблиця 1'!$J:$J,"MK-32"))</f>
        <v/>
      </c>
      <c r="Q146">
        <f>IF($A146="","",SUMIFS('Таблиця 1'!$K:$K,'Таблиця 1'!$B:$B,$A146,'Таблиця 1'!$I:$I,"Mirage",'Таблиця 1'!$J:$J,"MK-24")+SUMIFS('Таблиця 1'!$K:$K,'Таблиця 1'!$B:$B,$A146,'Таблиця 1'!$I:$I,"F-16",'Таблиця 1'!$J:$J,"MK-24")+SUMIFS('Таблиця 1'!$K:$K,'Таблиця 1'!$B:$B,$A146,'Таблиця 1'!$I:$I,"МіГ-29",'Таблиця 1'!$J:$J,"MK-24")+SUMIFS('Таблиця 1'!$K:$K,'Таблиця 1'!$B:$B,$A146,'Таблиця 1'!$I:$I,"Су-25",'Таблиця 1'!$J:$J,"MK-24")+SUMIFS('Таблиця 1'!$K:$K,'Таблиця 1'!$B:$B,$A146,'Таблиця 1'!$I:$I,"Су-27",'Таблиця 1'!$J:$J,"MK-24"))</f>
        <v/>
      </c>
      <c r="R146">
        <f>IF($A146="","",COUNTIFS('Таблиця 1'!$B:$B,$A146,'Таблиця 1'!$I:$I,"Mirage",'Таблиця 1'!$L:$L,"Уражено")+COUNTIFS('Таблиця 1'!$B:$B,$A146,'Таблиця 1'!$I:$I,"F-16",'Таблиця 1'!$L:$L,"Уражено")+COUNTIFS('Таблиця 1'!$B:$B,$A146,'Таблиця 1'!$I:$I,"МіГ-29",'Таблиця 1'!$L:$L,"Уражено")+COUNTIFS('Таблиця 1'!$B:$B,$A146,'Таблиця 1'!$I:$I,"Су-25",'Таблиця 1'!$L:$L,"Уражено")+COUNTIFS('Таблиця 1'!$B:$B,$A146,'Таблиця 1'!$I:$I,"Су-27",'Таблиця 1'!$L:$L,"Уражено"))</f>
        <v/>
      </c>
      <c r="S146">
        <f>IF($A146="","",COUNTIFS('Таблиця 1'!$B:$B,$A146,'Таблиця 1'!$I:$I,"Mirage",'Таблиця 1'!$L:$L,"НЕ уражено")+COUNTIFS('Таблиця 1'!$B:$B,$A146,'Таблиця 1'!$I:$I,"F-16",'Таблиця 1'!$L:$L,"НЕ уражено")+COUNTIFS('Таблиця 1'!$B:$B,$A146,'Таблиця 1'!$I:$I,"МіГ-29",'Таблиця 1'!$L:$L,"НЕ уражено")+COUNTIFS('Таблиця 1'!$B:$B,$A146,'Таблиця 1'!$I:$I,"Су-25",'Таблиця 1'!$L:$L,"НЕ уражено")+COUNTIFS('Таблиця 1'!$B:$B,$A146,'Таблиця 1'!$I:$I,"Су-27",'Таблиця 1'!$L:$L,"НЕ уражено"))</f>
        <v/>
      </c>
      <c r="T146">
        <f>IF($A146="","",COUNTIFS('Таблиця 1'!$B:$B,$A146,'Таблиця 1'!$I:$I,"Mirage",'Таблиця 1'!$L:$L,"Дорозвідується")+COUNTIFS('Таблиця 1'!$B:$B,$A146,'Таблиця 1'!$I:$I,"F-16",'Таблиця 1'!$L:$L,"Дорозвідується")+COUNTIFS('Таблиця 1'!$B:$B,$A146,'Таблиця 1'!$I:$I,"МіГ-29",'Таблиця 1'!$L:$L,"Дорозвідується")+COUNTIFS('Таблиця 1'!$B:$B,$A146,'Таблиця 1'!$I:$I,"Су-25",'Таблиця 1'!$L:$L,"Дорозвідується")+COUNTIFS('Таблиця 1'!$B:$B,$A146,'Таблиця 1'!$I:$I,"Су-27",'Таблиця 1'!$L:$L,"Дорозвідується"))</f>
        <v/>
      </c>
    </row>
    <row r="147">
      <c r="A147" s="273">
        <f>IF(A146="","",IF(A146+1&gt;MAX('Таблиця 1'!$B:$B),"",A146+1))</f>
        <v/>
      </c>
      <c r="B147">
        <f>IF($A147="","",COUNTIFS('Таблиця 1'!$B:$B,$A147,'Таблиця 1'!$I:$I,"Mirage")+COUNTIFS('Таблиця 1'!$B:$B,$A147,'Таблиця 1'!$I:$I,"F-16")+COUNTIFS('Таблиця 1'!$B:$B,$A147,'Таблиця 1'!$I:$I,"МіГ-29")+COUNTIFS('Таблиця 1'!$B:$B,$A147,'Таблиця 1'!$I:$I,"Су-25")+COUNTIFS('Таблиця 1'!$B:$B,$A147,'Таблиця 1'!$I:$I,"Су-27"))</f>
        <v/>
      </c>
      <c r="C147">
        <f>IF($A147="","",COUNTIFS('Таблиця 1'!$B:$B,$A147,'Таблиця 1'!$I:$I,"Mirage"))</f>
        <v/>
      </c>
      <c r="D147">
        <f>IF($A147="","",COUNTIFS('Таблиця 1'!$B:$B,$A147,'Таблиця 1'!$I:$I,"F-16"))</f>
        <v/>
      </c>
      <c r="E147">
        <f>IF($A147="","",COUNTIFS('Таблиця 1'!$B:$B,$A147,'Таблиця 1'!$I:$I,"МіГ-29"))</f>
        <v/>
      </c>
      <c r="F147">
        <f>IF($A147="","",COUNTIFS('Таблиця 1'!$B:$B,$A147,'Таблиця 1'!$I:$I,"Су-25"))</f>
        <v/>
      </c>
      <c r="G147">
        <f>IF($A147="","",COUNTIFS('Таблиця 1'!$B:$B,$A147,'Таблиця 1'!$I:$I,"Су-27"))</f>
        <v/>
      </c>
      <c r="H147">
        <f>IF($A147="","",SUMIFS('Таблиця 1'!$K:$K,'Таблиця 1'!$B:$B,$A147,'Таблиця 1'!$I:$I,"Mirage",'Таблиця 1'!$J:$J,"AGM-88")+SUMIFS('Таблиця 1'!$K:$K,'Таблиця 1'!$B:$B,$A147,'Таблиця 1'!$I:$I,"F-16",'Таблиця 1'!$J:$J,"AGM-88")+SUMIFS('Таблиця 1'!$K:$K,'Таблиця 1'!$B:$B,$A147,'Таблиця 1'!$I:$I,"МіГ-29",'Таблиця 1'!$J:$J,"AGM-88")+SUMIFS('Таблиця 1'!$K:$K,'Таблиця 1'!$B:$B,$A147,'Таблиця 1'!$I:$I,"Су-25",'Таблиця 1'!$J:$J,"AGM-88")+SUMIFS('Таблиця 1'!$K:$K,'Таблиця 1'!$B:$B,$A147,'Таблиця 1'!$I:$I,"Су-27",'Таблиця 1'!$J:$J,"AGM-88"))</f>
        <v/>
      </c>
      <c r="I147">
        <f>IF($A147="","",SUMIFS('Таблиця 1'!$K:$K,'Таблиця 1'!$B:$B,$A147,'Таблиця 1'!$I:$I,"Mirage",'Таблиця 1'!$J:$J,"AASM-250")+SUMIFS('Таблиця 1'!$K:$K,'Таблиця 1'!$B:$B,$A147,'Таблиця 1'!$I:$I,"F-16",'Таблиця 1'!$J:$J,"AASM-250")+SUMIFS('Таблиця 1'!$K:$K,'Таблиця 1'!$B:$B,$A147,'Таблиця 1'!$I:$I,"МіГ-29",'Таблиця 1'!$J:$J,"AASM-250")+SUMIFS('Таблиця 1'!$K:$K,'Таблиця 1'!$B:$B,$A147,'Таблиця 1'!$I:$I,"Су-25",'Таблиця 1'!$J:$J,"AASM-250")+SUMIFS('Таблиця 1'!$K:$K,'Таблиця 1'!$B:$B,$A147,'Таблиця 1'!$I:$I,"Су-27",'Таблиця 1'!$J:$J,"AASM-250"))</f>
        <v/>
      </c>
      <c r="J147">
        <f>IF($A147="","",SUMIFS('Таблиця 1'!$K:$K,'Таблиця 1'!$B:$B,$A147,'Таблиця 1'!$I:$I,"Mirage",'Таблиця 1'!$J:$J,"GBU-39")+SUMIFS('Таблиця 1'!$K:$K,'Таблиця 1'!$B:$B,$A147,'Таблиця 1'!$I:$I,"F-16",'Таблиця 1'!$J:$J,"GBU-39")+SUMIFS('Таблиця 1'!$K:$K,'Таблиця 1'!$B:$B,$A147,'Таблиця 1'!$I:$I,"МіГ-29",'Таблиця 1'!$J:$J,"GBU-39")+SUMIFS('Таблиця 1'!$K:$K,'Таблиця 1'!$B:$B,$A147,'Таблиця 1'!$I:$I,"Су-25",'Таблиця 1'!$J:$J,"GBU-39")+SUMIFS('Таблиця 1'!$K:$K,'Таблиця 1'!$B:$B,$A147,'Таблиця 1'!$I:$I,"Су-27",'Таблиця 1'!$J:$J,"GBU-39"))</f>
        <v/>
      </c>
      <c r="K147">
        <f>IF($A147="","",SUMIFS('Таблиця 1'!$K:$K,'Таблиця 1'!$B:$B,$A147,'Таблиця 1'!$I:$I,"Mirage",'Таблиця 1'!$J:$J,"BLU-140")+SUMIFS('Таблиця 1'!$K:$K,'Таблиця 1'!$B:$B,$A147,'Таблиця 1'!$I:$I,"F-16",'Таблиця 1'!$J:$J,"BLU-140")+SUMIFS('Таблиця 1'!$K:$K,'Таблиця 1'!$B:$B,$A147,'Таблиця 1'!$I:$I,"МіГ-29",'Таблиця 1'!$J:$J,"BLU-140")+SUMIFS('Таблиця 1'!$K:$K,'Таблиця 1'!$B:$B,$A147,'Таблиця 1'!$I:$I,"Су-25",'Таблиця 1'!$J:$J,"BLU-140")+SUMIFS('Таблиця 1'!$K:$K,'Таблиця 1'!$B:$B,$A147,'Таблиця 1'!$I:$I,"Су-27",'Таблиця 1'!$J:$J,"BLU-140"))</f>
        <v/>
      </c>
      <c r="L147">
        <f>IF($A147="","",SUMIFS('Таблиця 1'!$K:$K,'Таблиця 1'!$B:$B,$A147,'Таблиця 1'!$I:$I,"Mirage",'Таблиця 1'!$J:$J,"GBU-65")+SUMIFS('Таблиця 1'!$K:$K,'Таблиця 1'!$B:$B,$A147,'Таблиця 1'!$I:$I,"F-16",'Таблиця 1'!$J:$J,"GBU-65")+SUMIFS('Таблиця 1'!$K:$K,'Таблиця 1'!$B:$B,$A147,'Таблиця 1'!$I:$I,"МіГ-29",'Таблиця 1'!$J:$J,"GBU-65")+SUMIFS('Таблиця 1'!$K:$K,'Таблиця 1'!$B:$B,$A147,'Таблиця 1'!$I:$I,"Су-25",'Таблиця 1'!$J:$J,"GBU-65")+SUMIFS('Таблиця 1'!$K:$K,'Таблиця 1'!$B:$B,$A147,'Таблиця 1'!$I:$I,"Су-27",'Таблиця 1'!$J:$J,"GBU-65"))</f>
        <v/>
      </c>
      <c r="M147">
        <f>IF($A147="","",SUMIFS('Таблиця 1'!$K:$K,'Таблиця 1'!$B:$B,$A147,'Таблиця 1'!$I:$I,"Mirage",'Таблиця 1'!$J:$J,"GBU-62")+SUMIFS('Таблиця 1'!$K:$K,'Таблиця 1'!$B:$B,$A147,'Таблиця 1'!$I:$I,"F-16",'Таблиця 1'!$J:$J,"GBU-62")+SUMIFS('Таблиця 1'!$K:$K,'Таблиця 1'!$B:$B,$A147,'Таблиця 1'!$I:$I,"МіГ-29",'Таблиця 1'!$J:$J,"GBU-62")+SUMIFS('Таблиця 1'!$K:$K,'Таблиця 1'!$B:$B,$A147,'Таблиця 1'!$I:$I,"Су-25",'Таблиця 1'!$J:$J,"GBU-62")+SUMIFS('Таблиця 1'!$K:$K,'Таблиця 1'!$B:$B,$A147,'Таблиця 1'!$I:$I,"Су-27",'Таблиця 1'!$J:$J,"GBU-62"))</f>
        <v/>
      </c>
      <c r="N147">
        <f>IF($A147="","",SUMIFS('Таблиця 1'!$K:$K,'Таблиця 1'!$B:$B,$A147,'Таблиця 1'!$I:$I,"Mirage",'Таблиця 1'!$J:$J,"GBU-64")+SUMIFS('Таблиця 1'!$K:$K,'Таблиця 1'!$B:$B,$A147,'Таблиця 1'!$I:$I,"F-16",'Таблиця 1'!$J:$J,"GBU-64")+SUMIFS('Таблиця 1'!$K:$K,'Таблиця 1'!$B:$B,$A147,'Таблиця 1'!$I:$I,"МіГ-29",'Таблиця 1'!$J:$J,"GBU-64")+SUMIFS('Таблиця 1'!$K:$K,'Таблиця 1'!$B:$B,$A147,'Таблиця 1'!$I:$I,"Су-25",'Таблиця 1'!$J:$J,"GBU-64")+SUMIFS('Таблиця 1'!$K:$K,'Таблиця 1'!$B:$B,$A147,'Таблиця 1'!$I:$I,"Су-27",'Таблиця 1'!$J:$J,"GBU-64"))</f>
        <v/>
      </c>
      <c r="O147">
        <f>IF($A147="","",SUMIFS('Таблиця 1'!$K:$K,'Таблиця 1'!$B:$B,$A147,'Таблиця 1'!$I:$I,"Mirage",'Таблиця 1'!$J:$J,"C-13")+SUMIFS('Таблиця 1'!$K:$K,'Таблиця 1'!$B:$B,$A147,'Таблиця 1'!$I:$I,"F-16",'Таблиця 1'!$J:$J,"C-13")+SUMIFS('Таблиця 1'!$K:$K,'Таблиця 1'!$B:$B,$A147,'Таблиця 1'!$I:$I,"МіГ-29",'Таблиця 1'!$J:$J,"C-13")+SUMIFS('Таблиця 1'!$K:$K,'Таблиця 1'!$B:$B,$A147,'Таблиця 1'!$I:$I,"Су-25",'Таблиця 1'!$J:$J,"C-13")+SUMIFS('Таблиця 1'!$K:$K,'Таблиця 1'!$B:$B,$A147,'Таблиця 1'!$I:$I,"Су-27",'Таблиця 1'!$J:$J,"C-13"))</f>
        <v/>
      </c>
      <c r="P147">
        <f>IF($A147="","",SUMIFS('Таблиця 1'!$K:$K,'Таблиця 1'!$B:$B,$A147,'Таблиця 1'!$I:$I,"Mirage",'Таблиця 1'!$J:$J,"MK-32")+SUMIFS('Таблиця 1'!$K:$K,'Таблиця 1'!$B:$B,$A147,'Таблиця 1'!$I:$I,"F-16",'Таблиця 1'!$J:$J,"MK-32")+SUMIFS('Таблиця 1'!$K:$K,'Таблиця 1'!$B:$B,$A147,'Таблиця 1'!$I:$I,"МіГ-29",'Таблиця 1'!$J:$J,"MK-32")+SUMIFS('Таблиця 1'!$K:$K,'Таблиця 1'!$B:$B,$A147,'Таблиця 1'!$I:$I,"Су-25",'Таблиця 1'!$J:$J,"MK-32")+SUMIFS('Таблиця 1'!$K:$K,'Таблиця 1'!$B:$B,$A147,'Таблиця 1'!$I:$I,"Су-27",'Таблиця 1'!$J:$J,"MK-32"))</f>
        <v/>
      </c>
      <c r="Q147">
        <f>IF($A147="","",SUMIFS('Таблиця 1'!$K:$K,'Таблиця 1'!$B:$B,$A147,'Таблиця 1'!$I:$I,"Mirage",'Таблиця 1'!$J:$J,"MK-24")+SUMIFS('Таблиця 1'!$K:$K,'Таблиця 1'!$B:$B,$A147,'Таблиця 1'!$I:$I,"F-16",'Таблиця 1'!$J:$J,"MK-24")+SUMIFS('Таблиця 1'!$K:$K,'Таблиця 1'!$B:$B,$A147,'Таблиця 1'!$I:$I,"МіГ-29",'Таблиця 1'!$J:$J,"MK-24")+SUMIFS('Таблиця 1'!$K:$K,'Таблиця 1'!$B:$B,$A147,'Таблиця 1'!$I:$I,"Су-25",'Таблиця 1'!$J:$J,"MK-24")+SUMIFS('Таблиця 1'!$K:$K,'Таблиця 1'!$B:$B,$A147,'Таблиця 1'!$I:$I,"Су-27",'Таблиця 1'!$J:$J,"MK-24"))</f>
        <v/>
      </c>
      <c r="R147">
        <f>IF($A147="","",COUNTIFS('Таблиця 1'!$B:$B,$A147,'Таблиця 1'!$I:$I,"Mirage",'Таблиця 1'!$L:$L,"Уражено")+COUNTIFS('Таблиця 1'!$B:$B,$A147,'Таблиця 1'!$I:$I,"F-16",'Таблиця 1'!$L:$L,"Уражено")+COUNTIFS('Таблиця 1'!$B:$B,$A147,'Таблиця 1'!$I:$I,"МіГ-29",'Таблиця 1'!$L:$L,"Уражено")+COUNTIFS('Таблиця 1'!$B:$B,$A147,'Таблиця 1'!$I:$I,"Су-25",'Таблиця 1'!$L:$L,"Уражено")+COUNTIFS('Таблиця 1'!$B:$B,$A147,'Таблиця 1'!$I:$I,"Су-27",'Таблиця 1'!$L:$L,"Уражено"))</f>
        <v/>
      </c>
      <c r="S147">
        <f>IF($A147="","",COUNTIFS('Таблиця 1'!$B:$B,$A147,'Таблиця 1'!$I:$I,"Mirage",'Таблиця 1'!$L:$L,"НЕ уражено")+COUNTIFS('Таблиця 1'!$B:$B,$A147,'Таблиця 1'!$I:$I,"F-16",'Таблиця 1'!$L:$L,"НЕ уражено")+COUNTIFS('Таблиця 1'!$B:$B,$A147,'Таблиця 1'!$I:$I,"МіГ-29",'Таблиця 1'!$L:$L,"НЕ уражено")+COUNTIFS('Таблиця 1'!$B:$B,$A147,'Таблиця 1'!$I:$I,"Су-25",'Таблиця 1'!$L:$L,"НЕ уражено")+COUNTIFS('Таблиця 1'!$B:$B,$A147,'Таблиця 1'!$I:$I,"Су-27",'Таблиця 1'!$L:$L,"НЕ уражено"))</f>
        <v/>
      </c>
      <c r="T147">
        <f>IF($A147="","",COUNTIFS('Таблиця 1'!$B:$B,$A147,'Таблиця 1'!$I:$I,"Mirage",'Таблиця 1'!$L:$L,"Дорозвідується")+COUNTIFS('Таблиця 1'!$B:$B,$A147,'Таблиця 1'!$I:$I,"F-16",'Таблиця 1'!$L:$L,"Дорозвідується")+COUNTIFS('Таблиця 1'!$B:$B,$A147,'Таблиця 1'!$I:$I,"МіГ-29",'Таблиця 1'!$L:$L,"Дорозвідується")+COUNTIFS('Таблиця 1'!$B:$B,$A147,'Таблиця 1'!$I:$I,"Су-25",'Таблиця 1'!$L:$L,"Дорозвідується")+COUNTIFS('Таблиця 1'!$B:$B,$A147,'Таблиця 1'!$I:$I,"Су-27",'Таблиця 1'!$L:$L,"Дорозвідується"))</f>
        <v/>
      </c>
    </row>
    <row r="148">
      <c r="A148" s="273">
        <f>IF(A147="","",IF(A147+1&gt;MAX('Таблиця 1'!$B:$B),"",A147+1))</f>
        <v/>
      </c>
      <c r="B148">
        <f>IF($A148="","",COUNTIFS('Таблиця 1'!$B:$B,$A148,'Таблиця 1'!$I:$I,"Mirage")+COUNTIFS('Таблиця 1'!$B:$B,$A148,'Таблиця 1'!$I:$I,"F-16")+COUNTIFS('Таблиця 1'!$B:$B,$A148,'Таблиця 1'!$I:$I,"МіГ-29")+COUNTIFS('Таблиця 1'!$B:$B,$A148,'Таблиця 1'!$I:$I,"Су-25")+COUNTIFS('Таблиця 1'!$B:$B,$A148,'Таблиця 1'!$I:$I,"Су-27"))</f>
        <v/>
      </c>
      <c r="C148">
        <f>IF($A148="","",COUNTIFS('Таблиця 1'!$B:$B,$A148,'Таблиця 1'!$I:$I,"Mirage"))</f>
        <v/>
      </c>
      <c r="D148">
        <f>IF($A148="","",COUNTIFS('Таблиця 1'!$B:$B,$A148,'Таблиця 1'!$I:$I,"F-16"))</f>
        <v/>
      </c>
      <c r="E148">
        <f>IF($A148="","",COUNTIFS('Таблиця 1'!$B:$B,$A148,'Таблиця 1'!$I:$I,"МіГ-29"))</f>
        <v/>
      </c>
      <c r="F148">
        <f>IF($A148="","",COUNTIFS('Таблиця 1'!$B:$B,$A148,'Таблиця 1'!$I:$I,"Су-25"))</f>
        <v/>
      </c>
      <c r="G148">
        <f>IF($A148="","",COUNTIFS('Таблиця 1'!$B:$B,$A148,'Таблиця 1'!$I:$I,"Су-27"))</f>
        <v/>
      </c>
      <c r="H148">
        <f>IF($A148="","",SUMIFS('Таблиця 1'!$K:$K,'Таблиця 1'!$B:$B,$A148,'Таблиця 1'!$I:$I,"Mirage",'Таблиця 1'!$J:$J,"AGM-88")+SUMIFS('Таблиця 1'!$K:$K,'Таблиця 1'!$B:$B,$A148,'Таблиця 1'!$I:$I,"F-16",'Таблиця 1'!$J:$J,"AGM-88")+SUMIFS('Таблиця 1'!$K:$K,'Таблиця 1'!$B:$B,$A148,'Таблиця 1'!$I:$I,"МіГ-29",'Таблиця 1'!$J:$J,"AGM-88")+SUMIFS('Таблиця 1'!$K:$K,'Таблиця 1'!$B:$B,$A148,'Таблиця 1'!$I:$I,"Су-25",'Таблиця 1'!$J:$J,"AGM-88")+SUMIFS('Таблиця 1'!$K:$K,'Таблиця 1'!$B:$B,$A148,'Таблиця 1'!$I:$I,"Су-27",'Таблиця 1'!$J:$J,"AGM-88"))</f>
        <v/>
      </c>
      <c r="I148">
        <f>IF($A148="","",SUMIFS('Таблиця 1'!$K:$K,'Таблиця 1'!$B:$B,$A148,'Таблиця 1'!$I:$I,"Mirage",'Таблиця 1'!$J:$J,"AASM-250")+SUMIFS('Таблиця 1'!$K:$K,'Таблиця 1'!$B:$B,$A148,'Таблиця 1'!$I:$I,"F-16",'Таблиця 1'!$J:$J,"AASM-250")+SUMIFS('Таблиця 1'!$K:$K,'Таблиця 1'!$B:$B,$A148,'Таблиця 1'!$I:$I,"МіГ-29",'Таблиця 1'!$J:$J,"AASM-250")+SUMIFS('Таблиця 1'!$K:$K,'Таблиця 1'!$B:$B,$A148,'Таблиця 1'!$I:$I,"Су-25",'Таблиця 1'!$J:$J,"AASM-250")+SUMIFS('Таблиця 1'!$K:$K,'Таблиця 1'!$B:$B,$A148,'Таблиця 1'!$I:$I,"Су-27",'Таблиця 1'!$J:$J,"AASM-250"))</f>
        <v/>
      </c>
      <c r="J148">
        <f>IF($A148="","",SUMIFS('Таблиця 1'!$K:$K,'Таблиця 1'!$B:$B,$A148,'Таблиця 1'!$I:$I,"Mirage",'Таблиця 1'!$J:$J,"GBU-39")+SUMIFS('Таблиця 1'!$K:$K,'Таблиця 1'!$B:$B,$A148,'Таблиця 1'!$I:$I,"F-16",'Таблиця 1'!$J:$J,"GBU-39")+SUMIFS('Таблиця 1'!$K:$K,'Таблиця 1'!$B:$B,$A148,'Таблиця 1'!$I:$I,"МіГ-29",'Таблиця 1'!$J:$J,"GBU-39")+SUMIFS('Таблиця 1'!$K:$K,'Таблиця 1'!$B:$B,$A148,'Таблиця 1'!$I:$I,"Су-25",'Таблиця 1'!$J:$J,"GBU-39")+SUMIFS('Таблиця 1'!$K:$K,'Таблиця 1'!$B:$B,$A148,'Таблиця 1'!$I:$I,"Су-27",'Таблиця 1'!$J:$J,"GBU-39"))</f>
        <v/>
      </c>
      <c r="K148">
        <f>IF($A148="","",SUMIFS('Таблиця 1'!$K:$K,'Таблиця 1'!$B:$B,$A148,'Таблиця 1'!$I:$I,"Mirage",'Таблиця 1'!$J:$J,"BLU-140")+SUMIFS('Таблиця 1'!$K:$K,'Таблиця 1'!$B:$B,$A148,'Таблиця 1'!$I:$I,"F-16",'Таблиця 1'!$J:$J,"BLU-140")+SUMIFS('Таблиця 1'!$K:$K,'Таблиця 1'!$B:$B,$A148,'Таблиця 1'!$I:$I,"МіГ-29",'Таблиця 1'!$J:$J,"BLU-140")+SUMIFS('Таблиця 1'!$K:$K,'Таблиця 1'!$B:$B,$A148,'Таблиця 1'!$I:$I,"Су-25",'Таблиця 1'!$J:$J,"BLU-140")+SUMIFS('Таблиця 1'!$K:$K,'Таблиця 1'!$B:$B,$A148,'Таблиця 1'!$I:$I,"Су-27",'Таблиця 1'!$J:$J,"BLU-140"))</f>
        <v/>
      </c>
      <c r="L148">
        <f>IF($A148="","",SUMIFS('Таблиця 1'!$K:$K,'Таблиця 1'!$B:$B,$A148,'Таблиця 1'!$I:$I,"Mirage",'Таблиця 1'!$J:$J,"GBU-65")+SUMIFS('Таблиця 1'!$K:$K,'Таблиця 1'!$B:$B,$A148,'Таблиця 1'!$I:$I,"F-16",'Таблиця 1'!$J:$J,"GBU-65")+SUMIFS('Таблиця 1'!$K:$K,'Таблиця 1'!$B:$B,$A148,'Таблиця 1'!$I:$I,"МіГ-29",'Таблиця 1'!$J:$J,"GBU-65")+SUMIFS('Таблиця 1'!$K:$K,'Таблиця 1'!$B:$B,$A148,'Таблиця 1'!$I:$I,"Су-25",'Таблиця 1'!$J:$J,"GBU-65")+SUMIFS('Таблиця 1'!$K:$K,'Таблиця 1'!$B:$B,$A148,'Таблиця 1'!$I:$I,"Су-27",'Таблиця 1'!$J:$J,"GBU-65"))</f>
        <v/>
      </c>
      <c r="M148">
        <f>IF($A148="","",SUMIFS('Таблиця 1'!$K:$K,'Таблиця 1'!$B:$B,$A148,'Таблиця 1'!$I:$I,"Mirage",'Таблиця 1'!$J:$J,"GBU-62")+SUMIFS('Таблиця 1'!$K:$K,'Таблиця 1'!$B:$B,$A148,'Таблиця 1'!$I:$I,"F-16",'Таблиця 1'!$J:$J,"GBU-62")+SUMIFS('Таблиця 1'!$K:$K,'Таблиця 1'!$B:$B,$A148,'Таблиця 1'!$I:$I,"МіГ-29",'Таблиця 1'!$J:$J,"GBU-62")+SUMIFS('Таблиця 1'!$K:$K,'Таблиця 1'!$B:$B,$A148,'Таблиця 1'!$I:$I,"Су-25",'Таблиця 1'!$J:$J,"GBU-62")+SUMIFS('Таблиця 1'!$K:$K,'Таблиця 1'!$B:$B,$A148,'Таблиця 1'!$I:$I,"Су-27",'Таблиця 1'!$J:$J,"GBU-62"))</f>
        <v/>
      </c>
      <c r="N148">
        <f>IF($A148="","",SUMIFS('Таблиця 1'!$K:$K,'Таблиця 1'!$B:$B,$A148,'Таблиця 1'!$I:$I,"Mirage",'Таблиця 1'!$J:$J,"GBU-64")+SUMIFS('Таблиця 1'!$K:$K,'Таблиця 1'!$B:$B,$A148,'Таблиця 1'!$I:$I,"F-16",'Таблиця 1'!$J:$J,"GBU-64")+SUMIFS('Таблиця 1'!$K:$K,'Таблиця 1'!$B:$B,$A148,'Таблиця 1'!$I:$I,"МіГ-29",'Таблиця 1'!$J:$J,"GBU-64")+SUMIFS('Таблиця 1'!$K:$K,'Таблиця 1'!$B:$B,$A148,'Таблиця 1'!$I:$I,"Су-25",'Таблиця 1'!$J:$J,"GBU-64")+SUMIFS('Таблиця 1'!$K:$K,'Таблиця 1'!$B:$B,$A148,'Таблиця 1'!$I:$I,"Су-27",'Таблиця 1'!$J:$J,"GBU-64"))</f>
        <v/>
      </c>
      <c r="O148">
        <f>IF($A148="","",SUMIFS('Таблиця 1'!$K:$K,'Таблиця 1'!$B:$B,$A148,'Таблиця 1'!$I:$I,"Mirage",'Таблиця 1'!$J:$J,"C-13")+SUMIFS('Таблиця 1'!$K:$K,'Таблиця 1'!$B:$B,$A148,'Таблиця 1'!$I:$I,"F-16",'Таблиця 1'!$J:$J,"C-13")+SUMIFS('Таблиця 1'!$K:$K,'Таблиця 1'!$B:$B,$A148,'Таблиця 1'!$I:$I,"МіГ-29",'Таблиця 1'!$J:$J,"C-13")+SUMIFS('Таблиця 1'!$K:$K,'Таблиця 1'!$B:$B,$A148,'Таблиця 1'!$I:$I,"Су-25",'Таблиця 1'!$J:$J,"C-13")+SUMIFS('Таблиця 1'!$K:$K,'Таблиця 1'!$B:$B,$A148,'Таблиця 1'!$I:$I,"Су-27",'Таблиця 1'!$J:$J,"C-13"))</f>
        <v/>
      </c>
      <c r="P148">
        <f>IF($A148="","",SUMIFS('Таблиця 1'!$K:$K,'Таблиця 1'!$B:$B,$A148,'Таблиця 1'!$I:$I,"Mirage",'Таблиця 1'!$J:$J,"MK-32")+SUMIFS('Таблиця 1'!$K:$K,'Таблиця 1'!$B:$B,$A148,'Таблиця 1'!$I:$I,"F-16",'Таблиця 1'!$J:$J,"MK-32")+SUMIFS('Таблиця 1'!$K:$K,'Таблиця 1'!$B:$B,$A148,'Таблиця 1'!$I:$I,"МіГ-29",'Таблиця 1'!$J:$J,"MK-32")+SUMIFS('Таблиця 1'!$K:$K,'Таблиця 1'!$B:$B,$A148,'Таблиця 1'!$I:$I,"Су-25",'Таблиця 1'!$J:$J,"MK-32")+SUMIFS('Таблиця 1'!$K:$K,'Таблиця 1'!$B:$B,$A148,'Таблиця 1'!$I:$I,"Су-27",'Таблиця 1'!$J:$J,"MK-32"))</f>
        <v/>
      </c>
      <c r="Q148">
        <f>IF($A148="","",SUMIFS('Таблиця 1'!$K:$K,'Таблиця 1'!$B:$B,$A148,'Таблиця 1'!$I:$I,"Mirage",'Таблиця 1'!$J:$J,"MK-24")+SUMIFS('Таблиця 1'!$K:$K,'Таблиця 1'!$B:$B,$A148,'Таблиця 1'!$I:$I,"F-16",'Таблиця 1'!$J:$J,"MK-24")+SUMIFS('Таблиця 1'!$K:$K,'Таблиця 1'!$B:$B,$A148,'Таблиця 1'!$I:$I,"МіГ-29",'Таблиця 1'!$J:$J,"MK-24")+SUMIFS('Таблиця 1'!$K:$K,'Таблиця 1'!$B:$B,$A148,'Таблиця 1'!$I:$I,"Су-25",'Таблиця 1'!$J:$J,"MK-24")+SUMIFS('Таблиця 1'!$K:$K,'Таблиця 1'!$B:$B,$A148,'Таблиця 1'!$I:$I,"Су-27",'Таблиця 1'!$J:$J,"MK-24"))</f>
        <v/>
      </c>
      <c r="R148">
        <f>IF($A148="","",COUNTIFS('Таблиця 1'!$B:$B,$A148,'Таблиця 1'!$I:$I,"Mirage",'Таблиця 1'!$L:$L,"Уражено")+COUNTIFS('Таблиця 1'!$B:$B,$A148,'Таблиця 1'!$I:$I,"F-16",'Таблиця 1'!$L:$L,"Уражено")+COUNTIFS('Таблиця 1'!$B:$B,$A148,'Таблиця 1'!$I:$I,"МіГ-29",'Таблиця 1'!$L:$L,"Уражено")+COUNTIFS('Таблиця 1'!$B:$B,$A148,'Таблиця 1'!$I:$I,"Су-25",'Таблиця 1'!$L:$L,"Уражено")+COUNTIFS('Таблиця 1'!$B:$B,$A148,'Таблиця 1'!$I:$I,"Су-27",'Таблиця 1'!$L:$L,"Уражено"))</f>
        <v/>
      </c>
      <c r="S148">
        <f>IF($A148="","",COUNTIFS('Таблиця 1'!$B:$B,$A148,'Таблиця 1'!$I:$I,"Mirage",'Таблиця 1'!$L:$L,"НЕ уражено")+COUNTIFS('Таблиця 1'!$B:$B,$A148,'Таблиця 1'!$I:$I,"F-16",'Таблиця 1'!$L:$L,"НЕ уражено")+COUNTIFS('Таблиця 1'!$B:$B,$A148,'Таблиця 1'!$I:$I,"МіГ-29",'Таблиця 1'!$L:$L,"НЕ уражено")+COUNTIFS('Таблиця 1'!$B:$B,$A148,'Таблиця 1'!$I:$I,"Су-25",'Таблиця 1'!$L:$L,"НЕ уражено")+COUNTIFS('Таблиця 1'!$B:$B,$A148,'Таблиця 1'!$I:$I,"Су-27",'Таблиця 1'!$L:$L,"НЕ уражено"))</f>
        <v/>
      </c>
      <c r="T148">
        <f>IF($A148="","",COUNTIFS('Таблиця 1'!$B:$B,$A148,'Таблиця 1'!$I:$I,"Mirage",'Таблиця 1'!$L:$L,"Дорозвідується")+COUNTIFS('Таблиця 1'!$B:$B,$A148,'Таблиця 1'!$I:$I,"F-16",'Таблиця 1'!$L:$L,"Дорозвідується")+COUNTIFS('Таблиця 1'!$B:$B,$A148,'Таблиця 1'!$I:$I,"МіГ-29",'Таблиця 1'!$L:$L,"Дорозвідується")+COUNTIFS('Таблиця 1'!$B:$B,$A148,'Таблиця 1'!$I:$I,"Су-25",'Таблиця 1'!$L:$L,"Дорозвідується")+COUNTIFS('Таблиця 1'!$B:$B,$A148,'Таблиця 1'!$I:$I,"Су-27",'Таблиця 1'!$L:$L,"Дорозвідується"))</f>
        <v/>
      </c>
    </row>
    <row r="149">
      <c r="A149" s="273">
        <f>IF(A148="","",IF(A148+1&gt;MAX('Таблиця 1'!$B:$B),"",A148+1))</f>
        <v/>
      </c>
      <c r="B149">
        <f>IF($A149="","",COUNTIFS('Таблиця 1'!$B:$B,$A149,'Таблиця 1'!$I:$I,"Mirage")+COUNTIFS('Таблиця 1'!$B:$B,$A149,'Таблиця 1'!$I:$I,"F-16")+COUNTIFS('Таблиця 1'!$B:$B,$A149,'Таблиця 1'!$I:$I,"МіГ-29")+COUNTIFS('Таблиця 1'!$B:$B,$A149,'Таблиця 1'!$I:$I,"Су-25")+COUNTIFS('Таблиця 1'!$B:$B,$A149,'Таблиця 1'!$I:$I,"Су-27"))</f>
        <v/>
      </c>
      <c r="C149">
        <f>IF($A149="","",COUNTIFS('Таблиця 1'!$B:$B,$A149,'Таблиця 1'!$I:$I,"Mirage"))</f>
        <v/>
      </c>
      <c r="D149">
        <f>IF($A149="","",COUNTIFS('Таблиця 1'!$B:$B,$A149,'Таблиця 1'!$I:$I,"F-16"))</f>
        <v/>
      </c>
      <c r="E149">
        <f>IF($A149="","",COUNTIFS('Таблиця 1'!$B:$B,$A149,'Таблиця 1'!$I:$I,"МіГ-29"))</f>
        <v/>
      </c>
      <c r="F149">
        <f>IF($A149="","",COUNTIFS('Таблиця 1'!$B:$B,$A149,'Таблиця 1'!$I:$I,"Су-25"))</f>
        <v/>
      </c>
      <c r="G149">
        <f>IF($A149="","",COUNTIFS('Таблиця 1'!$B:$B,$A149,'Таблиця 1'!$I:$I,"Су-27"))</f>
        <v/>
      </c>
      <c r="H149">
        <f>IF($A149="","",SUMIFS('Таблиця 1'!$K:$K,'Таблиця 1'!$B:$B,$A149,'Таблиця 1'!$I:$I,"Mirage",'Таблиця 1'!$J:$J,"AGM-88")+SUMIFS('Таблиця 1'!$K:$K,'Таблиця 1'!$B:$B,$A149,'Таблиця 1'!$I:$I,"F-16",'Таблиця 1'!$J:$J,"AGM-88")+SUMIFS('Таблиця 1'!$K:$K,'Таблиця 1'!$B:$B,$A149,'Таблиця 1'!$I:$I,"МіГ-29",'Таблиця 1'!$J:$J,"AGM-88")+SUMIFS('Таблиця 1'!$K:$K,'Таблиця 1'!$B:$B,$A149,'Таблиця 1'!$I:$I,"Су-25",'Таблиця 1'!$J:$J,"AGM-88")+SUMIFS('Таблиця 1'!$K:$K,'Таблиця 1'!$B:$B,$A149,'Таблиця 1'!$I:$I,"Су-27",'Таблиця 1'!$J:$J,"AGM-88"))</f>
        <v/>
      </c>
      <c r="I149">
        <f>IF($A149="","",SUMIFS('Таблиця 1'!$K:$K,'Таблиця 1'!$B:$B,$A149,'Таблиця 1'!$I:$I,"Mirage",'Таблиця 1'!$J:$J,"AASM-250")+SUMIFS('Таблиця 1'!$K:$K,'Таблиця 1'!$B:$B,$A149,'Таблиця 1'!$I:$I,"F-16",'Таблиця 1'!$J:$J,"AASM-250")+SUMIFS('Таблиця 1'!$K:$K,'Таблиця 1'!$B:$B,$A149,'Таблиця 1'!$I:$I,"МіГ-29",'Таблиця 1'!$J:$J,"AASM-250")+SUMIFS('Таблиця 1'!$K:$K,'Таблиця 1'!$B:$B,$A149,'Таблиця 1'!$I:$I,"Су-25",'Таблиця 1'!$J:$J,"AASM-250")+SUMIFS('Таблиця 1'!$K:$K,'Таблиця 1'!$B:$B,$A149,'Таблиця 1'!$I:$I,"Су-27",'Таблиця 1'!$J:$J,"AASM-250"))</f>
        <v/>
      </c>
      <c r="J149">
        <f>IF($A149="","",SUMIFS('Таблиця 1'!$K:$K,'Таблиця 1'!$B:$B,$A149,'Таблиця 1'!$I:$I,"Mirage",'Таблиця 1'!$J:$J,"GBU-39")+SUMIFS('Таблиця 1'!$K:$K,'Таблиця 1'!$B:$B,$A149,'Таблиця 1'!$I:$I,"F-16",'Таблиця 1'!$J:$J,"GBU-39")+SUMIFS('Таблиця 1'!$K:$K,'Таблиця 1'!$B:$B,$A149,'Таблиця 1'!$I:$I,"МіГ-29",'Таблиця 1'!$J:$J,"GBU-39")+SUMIFS('Таблиця 1'!$K:$K,'Таблиця 1'!$B:$B,$A149,'Таблиця 1'!$I:$I,"Су-25",'Таблиця 1'!$J:$J,"GBU-39")+SUMIFS('Таблиця 1'!$K:$K,'Таблиця 1'!$B:$B,$A149,'Таблиця 1'!$I:$I,"Су-27",'Таблиця 1'!$J:$J,"GBU-39"))</f>
        <v/>
      </c>
      <c r="K149">
        <f>IF($A149="","",SUMIFS('Таблиця 1'!$K:$K,'Таблиця 1'!$B:$B,$A149,'Таблиця 1'!$I:$I,"Mirage",'Таблиця 1'!$J:$J,"BLU-140")+SUMIFS('Таблиця 1'!$K:$K,'Таблиця 1'!$B:$B,$A149,'Таблиця 1'!$I:$I,"F-16",'Таблиця 1'!$J:$J,"BLU-140")+SUMIFS('Таблиця 1'!$K:$K,'Таблиця 1'!$B:$B,$A149,'Таблиця 1'!$I:$I,"МіГ-29",'Таблиця 1'!$J:$J,"BLU-140")+SUMIFS('Таблиця 1'!$K:$K,'Таблиця 1'!$B:$B,$A149,'Таблиця 1'!$I:$I,"Су-25",'Таблиця 1'!$J:$J,"BLU-140")+SUMIFS('Таблиця 1'!$K:$K,'Таблиця 1'!$B:$B,$A149,'Таблиця 1'!$I:$I,"Су-27",'Таблиця 1'!$J:$J,"BLU-140"))</f>
        <v/>
      </c>
      <c r="L149">
        <f>IF($A149="","",SUMIFS('Таблиця 1'!$K:$K,'Таблиця 1'!$B:$B,$A149,'Таблиця 1'!$I:$I,"Mirage",'Таблиця 1'!$J:$J,"GBU-65")+SUMIFS('Таблиця 1'!$K:$K,'Таблиця 1'!$B:$B,$A149,'Таблиця 1'!$I:$I,"F-16",'Таблиця 1'!$J:$J,"GBU-65")+SUMIFS('Таблиця 1'!$K:$K,'Таблиця 1'!$B:$B,$A149,'Таблиця 1'!$I:$I,"МіГ-29",'Таблиця 1'!$J:$J,"GBU-65")+SUMIFS('Таблиця 1'!$K:$K,'Таблиця 1'!$B:$B,$A149,'Таблиця 1'!$I:$I,"Су-25",'Таблиця 1'!$J:$J,"GBU-65")+SUMIFS('Таблиця 1'!$K:$K,'Таблиця 1'!$B:$B,$A149,'Таблиця 1'!$I:$I,"Су-27",'Таблиця 1'!$J:$J,"GBU-65"))</f>
        <v/>
      </c>
      <c r="M149">
        <f>IF($A149="","",SUMIFS('Таблиця 1'!$K:$K,'Таблиця 1'!$B:$B,$A149,'Таблиця 1'!$I:$I,"Mirage",'Таблиця 1'!$J:$J,"GBU-62")+SUMIFS('Таблиця 1'!$K:$K,'Таблиця 1'!$B:$B,$A149,'Таблиця 1'!$I:$I,"F-16",'Таблиця 1'!$J:$J,"GBU-62")+SUMIFS('Таблиця 1'!$K:$K,'Таблиця 1'!$B:$B,$A149,'Таблиця 1'!$I:$I,"МіГ-29",'Таблиця 1'!$J:$J,"GBU-62")+SUMIFS('Таблиця 1'!$K:$K,'Таблиця 1'!$B:$B,$A149,'Таблиця 1'!$I:$I,"Су-25",'Таблиця 1'!$J:$J,"GBU-62")+SUMIFS('Таблиця 1'!$K:$K,'Таблиця 1'!$B:$B,$A149,'Таблиця 1'!$I:$I,"Су-27",'Таблиця 1'!$J:$J,"GBU-62"))</f>
        <v/>
      </c>
      <c r="N149">
        <f>IF($A149="","",SUMIFS('Таблиця 1'!$K:$K,'Таблиця 1'!$B:$B,$A149,'Таблиця 1'!$I:$I,"Mirage",'Таблиця 1'!$J:$J,"GBU-64")+SUMIFS('Таблиця 1'!$K:$K,'Таблиця 1'!$B:$B,$A149,'Таблиця 1'!$I:$I,"F-16",'Таблиця 1'!$J:$J,"GBU-64")+SUMIFS('Таблиця 1'!$K:$K,'Таблиця 1'!$B:$B,$A149,'Таблиця 1'!$I:$I,"МіГ-29",'Таблиця 1'!$J:$J,"GBU-64")+SUMIFS('Таблиця 1'!$K:$K,'Таблиця 1'!$B:$B,$A149,'Таблиця 1'!$I:$I,"Су-25",'Таблиця 1'!$J:$J,"GBU-64")+SUMIFS('Таблиця 1'!$K:$K,'Таблиця 1'!$B:$B,$A149,'Таблиця 1'!$I:$I,"Су-27",'Таблиця 1'!$J:$J,"GBU-64"))</f>
        <v/>
      </c>
      <c r="O149">
        <f>IF($A149="","",SUMIFS('Таблиця 1'!$K:$K,'Таблиця 1'!$B:$B,$A149,'Таблиця 1'!$I:$I,"Mirage",'Таблиця 1'!$J:$J,"C-13")+SUMIFS('Таблиця 1'!$K:$K,'Таблиця 1'!$B:$B,$A149,'Таблиця 1'!$I:$I,"F-16",'Таблиця 1'!$J:$J,"C-13")+SUMIFS('Таблиця 1'!$K:$K,'Таблиця 1'!$B:$B,$A149,'Таблиця 1'!$I:$I,"МіГ-29",'Таблиця 1'!$J:$J,"C-13")+SUMIFS('Таблиця 1'!$K:$K,'Таблиця 1'!$B:$B,$A149,'Таблиця 1'!$I:$I,"Су-25",'Таблиця 1'!$J:$J,"C-13")+SUMIFS('Таблиця 1'!$K:$K,'Таблиця 1'!$B:$B,$A149,'Таблиця 1'!$I:$I,"Су-27",'Таблиця 1'!$J:$J,"C-13"))</f>
        <v/>
      </c>
      <c r="P149">
        <f>IF($A149="","",SUMIFS('Таблиця 1'!$K:$K,'Таблиця 1'!$B:$B,$A149,'Таблиця 1'!$I:$I,"Mirage",'Таблиця 1'!$J:$J,"MK-32")+SUMIFS('Таблиця 1'!$K:$K,'Таблиця 1'!$B:$B,$A149,'Таблиця 1'!$I:$I,"F-16",'Таблиця 1'!$J:$J,"MK-32")+SUMIFS('Таблиця 1'!$K:$K,'Таблиця 1'!$B:$B,$A149,'Таблиця 1'!$I:$I,"МіГ-29",'Таблиця 1'!$J:$J,"MK-32")+SUMIFS('Таблиця 1'!$K:$K,'Таблиця 1'!$B:$B,$A149,'Таблиця 1'!$I:$I,"Су-25",'Таблиця 1'!$J:$J,"MK-32")+SUMIFS('Таблиця 1'!$K:$K,'Таблиця 1'!$B:$B,$A149,'Таблиця 1'!$I:$I,"Су-27",'Таблиця 1'!$J:$J,"MK-32"))</f>
        <v/>
      </c>
      <c r="Q149">
        <f>IF($A149="","",SUMIFS('Таблиця 1'!$K:$K,'Таблиця 1'!$B:$B,$A149,'Таблиця 1'!$I:$I,"Mirage",'Таблиця 1'!$J:$J,"MK-24")+SUMIFS('Таблиця 1'!$K:$K,'Таблиця 1'!$B:$B,$A149,'Таблиця 1'!$I:$I,"F-16",'Таблиця 1'!$J:$J,"MK-24")+SUMIFS('Таблиця 1'!$K:$K,'Таблиця 1'!$B:$B,$A149,'Таблиця 1'!$I:$I,"МіГ-29",'Таблиця 1'!$J:$J,"MK-24")+SUMIFS('Таблиця 1'!$K:$K,'Таблиця 1'!$B:$B,$A149,'Таблиця 1'!$I:$I,"Су-25",'Таблиця 1'!$J:$J,"MK-24")+SUMIFS('Таблиця 1'!$K:$K,'Таблиця 1'!$B:$B,$A149,'Таблиця 1'!$I:$I,"Су-27",'Таблиця 1'!$J:$J,"MK-24"))</f>
        <v/>
      </c>
      <c r="R149">
        <f>IF($A149="","",COUNTIFS('Таблиця 1'!$B:$B,$A149,'Таблиця 1'!$I:$I,"Mirage",'Таблиця 1'!$L:$L,"Уражено")+COUNTIFS('Таблиця 1'!$B:$B,$A149,'Таблиця 1'!$I:$I,"F-16",'Таблиця 1'!$L:$L,"Уражено")+COUNTIFS('Таблиця 1'!$B:$B,$A149,'Таблиця 1'!$I:$I,"МіГ-29",'Таблиця 1'!$L:$L,"Уражено")+COUNTIFS('Таблиця 1'!$B:$B,$A149,'Таблиця 1'!$I:$I,"Су-25",'Таблиця 1'!$L:$L,"Уражено")+COUNTIFS('Таблиця 1'!$B:$B,$A149,'Таблиця 1'!$I:$I,"Су-27",'Таблиця 1'!$L:$L,"Уражено"))</f>
        <v/>
      </c>
      <c r="S149">
        <f>IF($A149="","",COUNTIFS('Таблиця 1'!$B:$B,$A149,'Таблиця 1'!$I:$I,"Mirage",'Таблиця 1'!$L:$L,"НЕ уражено")+COUNTIFS('Таблиця 1'!$B:$B,$A149,'Таблиця 1'!$I:$I,"F-16",'Таблиця 1'!$L:$L,"НЕ уражено")+COUNTIFS('Таблиця 1'!$B:$B,$A149,'Таблиця 1'!$I:$I,"МіГ-29",'Таблиця 1'!$L:$L,"НЕ уражено")+COUNTIFS('Таблиця 1'!$B:$B,$A149,'Таблиця 1'!$I:$I,"Су-25",'Таблиця 1'!$L:$L,"НЕ уражено")+COUNTIFS('Таблиця 1'!$B:$B,$A149,'Таблиця 1'!$I:$I,"Су-27",'Таблиця 1'!$L:$L,"НЕ уражено"))</f>
        <v/>
      </c>
      <c r="T149">
        <f>IF($A149="","",COUNTIFS('Таблиця 1'!$B:$B,$A149,'Таблиця 1'!$I:$I,"Mirage",'Таблиця 1'!$L:$L,"Дорозвідується")+COUNTIFS('Таблиця 1'!$B:$B,$A149,'Таблиця 1'!$I:$I,"F-16",'Таблиця 1'!$L:$L,"Дорозвідується")+COUNTIFS('Таблиця 1'!$B:$B,$A149,'Таблиця 1'!$I:$I,"МіГ-29",'Таблиця 1'!$L:$L,"Дорозвідується")+COUNTIFS('Таблиця 1'!$B:$B,$A149,'Таблиця 1'!$I:$I,"Су-25",'Таблиця 1'!$L:$L,"Дорозвідується")+COUNTIFS('Таблиця 1'!$B:$B,$A149,'Таблиця 1'!$I:$I,"Су-27",'Таблиця 1'!$L:$L,"Дорозвідується"))</f>
        <v/>
      </c>
    </row>
    <row r="150">
      <c r="A150" s="273">
        <f>IF(A149="","",IF(A149+1&gt;MAX('Таблиця 1'!$B:$B),"",A149+1))</f>
        <v/>
      </c>
      <c r="B150">
        <f>IF($A150="","",COUNTIFS('Таблиця 1'!$B:$B,$A150,'Таблиця 1'!$I:$I,"Mirage")+COUNTIFS('Таблиця 1'!$B:$B,$A150,'Таблиця 1'!$I:$I,"F-16")+COUNTIFS('Таблиця 1'!$B:$B,$A150,'Таблиця 1'!$I:$I,"МіГ-29")+COUNTIFS('Таблиця 1'!$B:$B,$A150,'Таблиця 1'!$I:$I,"Су-25")+COUNTIFS('Таблиця 1'!$B:$B,$A150,'Таблиця 1'!$I:$I,"Су-27"))</f>
        <v/>
      </c>
      <c r="C150">
        <f>IF($A150="","",COUNTIFS('Таблиця 1'!$B:$B,$A150,'Таблиця 1'!$I:$I,"Mirage"))</f>
        <v/>
      </c>
      <c r="D150">
        <f>IF($A150="","",COUNTIFS('Таблиця 1'!$B:$B,$A150,'Таблиця 1'!$I:$I,"F-16"))</f>
        <v/>
      </c>
      <c r="E150">
        <f>IF($A150="","",COUNTIFS('Таблиця 1'!$B:$B,$A150,'Таблиця 1'!$I:$I,"МіГ-29"))</f>
        <v/>
      </c>
      <c r="F150">
        <f>IF($A150="","",COUNTIFS('Таблиця 1'!$B:$B,$A150,'Таблиця 1'!$I:$I,"Су-25"))</f>
        <v/>
      </c>
      <c r="G150">
        <f>IF($A150="","",COUNTIFS('Таблиця 1'!$B:$B,$A150,'Таблиця 1'!$I:$I,"Су-27"))</f>
        <v/>
      </c>
      <c r="H150">
        <f>IF($A150="","",SUMIFS('Таблиця 1'!$K:$K,'Таблиця 1'!$B:$B,$A150,'Таблиця 1'!$I:$I,"Mirage",'Таблиця 1'!$J:$J,"AGM-88")+SUMIFS('Таблиця 1'!$K:$K,'Таблиця 1'!$B:$B,$A150,'Таблиця 1'!$I:$I,"F-16",'Таблиця 1'!$J:$J,"AGM-88")+SUMIFS('Таблиця 1'!$K:$K,'Таблиця 1'!$B:$B,$A150,'Таблиця 1'!$I:$I,"МіГ-29",'Таблиця 1'!$J:$J,"AGM-88")+SUMIFS('Таблиця 1'!$K:$K,'Таблиця 1'!$B:$B,$A150,'Таблиця 1'!$I:$I,"Су-25",'Таблиця 1'!$J:$J,"AGM-88")+SUMIFS('Таблиця 1'!$K:$K,'Таблиця 1'!$B:$B,$A150,'Таблиця 1'!$I:$I,"Су-27",'Таблиця 1'!$J:$J,"AGM-88"))</f>
        <v/>
      </c>
      <c r="I150">
        <f>IF($A150="","",SUMIFS('Таблиця 1'!$K:$K,'Таблиця 1'!$B:$B,$A150,'Таблиця 1'!$I:$I,"Mirage",'Таблиця 1'!$J:$J,"AASM-250")+SUMIFS('Таблиця 1'!$K:$K,'Таблиця 1'!$B:$B,$A150,'Таблиця 1'!$I:$I,"F-16",'Таблиця 1'!$J:$J,"AASM-250")+SUMIFS('Таблиця 1'!$K:$K,'Таблиця 1'!$B:$B,$A150,'Таблиця 1'!$I:$I,"МіГ-29",'Таблиця 1'!$J:$J,"AASM-250")+SUMIFS('Таблиця 1'!$K:$K,'Таблиця 1'!$B:$B,$A150,'Таблиця 1'!$I:$I,"Су-25",'Таблиця 1'!$J:$J,"AASM-250")+SUMIFS('Таблиця 1'!$K:$K,'Таблиця 1'!$B:$B,$A150,'Таблиця 1'!$I:$I,"Су-27",'Таблиця 1'!$J:$J,"AASM-250"))</f>
        <v/>
      </c>
      <c r="J150">
        <f>IF($A150="","",SUMIFS('Таблиця 1'!$K:$K,'Таблиця 1'!$B:$B,$A150,'Таблиця 1'!$I:$I,"Mirage",'Таблиця 1'!$J:$J,"GBU-39")+SUMIFS('Таблиця 1'!$K:$K,'Таблиця 1'!$B:$B,$A150,'Таблиця 1'!$I:$I,"F-16",'Таблиця 1'!$J:$J,"GBU-39")+SUMIFS('Таблиця 1'!$K:$K,'Таблиця 1'!$B:$B,$A150,'Таблиця 1'!$I:$I,"МіГ-29",'Таблиця 1'!$J:$J,"GBU-39")+SUMIFS('Таблиця 1'!$K:$K,'Таблиця 1'!$B:$B,$A150,'Таблиця 1'!$I:$I,"Су-25",'Таблиця 1'!$J:$J,"GBU-39")+SUMIFS('Таблиця 1'!$K:$K,'Таблиця 1'!$B:$B,$A150,'Таблиця 1'!$I:$I,"Су-27",'Таблиця 1'!$J:$J,"GBU-39"))</f>
        <v/>
      </c>
      <c r="K150">
        <f>IF($A150="","",SUMIFS('Таблиця 1'!$K:$K,'Таблиця 1'!$B:$B,$A150,'Таблиця 1'!$I:$I,"Mirage",'Таблиця 1'!$J:$J,"BLU-140")+SUMIFS('Таблиця 1'!$K:$K,'Таблиця 1'!$B:$B,$A150,'Таблиця 1'!$I:$I,"F-16",'Таблиця 1'!$J:$J,"BLU-140")+SUMIFS('Таблиця 1'!$K:$K,'Таблиця 1'!$B:$B,$A150,'Таблиця 1'!$I:$I,"МіГ-29",'Таблиця 1'!$J:$J,"BLU-140")+SUMIFS('Таблиця 1'!$K:$K,'Таблиця 1'!$B:$B,$A150,'Таблиця 1'!$I:$I,"Су-25",'Таблиця 1'!$J:$J,"BLU-140")+SUMIFS('Таблиця 1'!$K:$K,'Таблиця 1'!$B:$B,$A150,'Таблиця 1'!$I:$I,"Су-27",'Таблиця 1'!$J:$J,"BLU-140"))</f>
        <v/>
      </c>
      <c r="L150">
        <f>IF($A150="","",SUMIFS('Таблиця 1'!$K:$K,'Таблиця 1'!$B:$B,$A150,'Таблиця 1'!$I:$I,"Mirage",'Таблиця 1'!$J:$J,"GBU-65")+SUMIFS('Таблиця 1'!$K:$K,'Таблиця 1'!$B:$B,$A150,'Таблиця 1'!$I:$I,"F-16",'Таблиця 1'!$J:$J,"GBU-65")+SUMIFS('Таблиця 1'!$K:$K,'Таблиця 1'!$B:$B,$A150,'Таблиця 1'!$I:$I,"МіГ-29",'Таблиця 1'!$J:$J,"GBU-65")+SUMIFS('Таблиця 1'!$K:$K,'Таблиця 1'!$B:$B,$A150,'Таблиця 1'!$I:$I,"Су-25",'Таблиця 1'!$J:$J,"GBU-65")+SUMIFS('Таблиця 1'!$K:$K,'Таблиця 1'!$B:$B,$A150,'Таблиця 1'!$I:$I,"Су-27",'Таблиця 1'!$J:$J,"GBU-65"))</f>
        <v/>
      </c>
      <c r="M150">
        <f>IF($A150="","",SUMIFS('Таблиця 1'!$K:$K,'Таблиця 1'!$B:$B,$A150,'Таблиця 1'!$I:$I,"Mirage",'Таблиця 1'!$J:$J,"GBU-62")+SUMIFS('Таблиця 1'!$K:$K,'Таблиця 1'!$B:$B,$A150,'Таблиця 1'!$I:$I,"F-16",'Таблиця 1'!$J:$J,"GBU-62")+SUMIFS('Таблиця 1'!$K:$K,'Таблиця 1'!$B:$B,$A150,'Таблиця 1'!$I:$I,"МіГ-29",'Таблиця 1'!$J:$J,"GBU-62")+SUMIFS('Таблиця 1'!$K:$K,'Таблиця 1'!$B:$B,$A150,'Таблиця 1'!$I:$I,"Су-25",'Таблиця 1'!$J:$J,"GBU-62")+SUMIFS('Таблиця 1'!$K:$K,'Таблиця 1'!$B:$B,$A150,'Таблиця 1'!$I:$I,"Су-27",'Таблиця 1'!$J:$J,"GBU-62"))</f>
        <v/>
      </c>
      <c r="N150">
        <f>IF($A150="","",SUMIFS('Таблиця 1'!$K:$K,'Таблиця 1'!$B:$B,$A150,'Таблиця 1'!$I:$I,"Mirage",'Таблиця 1'!$J:$J,"GBU-64")+SUMIFS('Таблиця 1'!$K:$K,'Таблиця 1'!$B:$B,$A150,'Таблиця 1'!$I:$I,"F-16",'Таблиця 1'!$J:$J,"GBU-64")+SUMIFS('Таблиця 1'!$K:$K,'Таблиця 1'!$B:$B,$A150,'Таблиця 1'!$I:$I,"МіГ-29",'Таблиця 1'!$J:$J,"GBU-64")+SUMIFS('Таблиця 1'!$K:$K,'Таблиця 1'!$B:$B,$A150,'Таблиця 1'!$I:$I,"Су-25",'Таблиця 1'!$J:$J,"GBU-64")+SUMIFS('Таблиця 1'!$K:$K,'Таблиця 1'!$B:$B,$A150,'Таблиця 1'!$I:$I,"Су-27",'Таблиця 1'!$J:$J,"GBU-64"))</f>
        <v/>
      </c>
      <c r="O150">
        <f>IF($A150="","",SUMIFS('Таблиця 1'!$K:$K,'Таблиця 1'!$B:$B,$A150,'Таблиця 1'!$I:$I,"Mirage",'Таблиця 1'!$J:$J,"C-13")+SUMIFS('Таблиця 1'!$K:$K,'Таблиця 1'!$B:$B,$A150,'Таблиця 1'!$I:$I,"F-16",'Таблиця 1'!$J:$J,"C-13")+SUMIFS('Таблиця 1'!$K:$K,'Таблиця 1'!$B:$B,$A150,'Таблиця 1'!$I:$I,"МіГ-29",'Таблиця 1'!$J:$J,"C-13")+SUMIFS('Таблиця 1'!$K:$K,'Таблиця 1'!$B:$B,$A150,'Таблиця 1'!$I:$I,"Су-25",'Таблиця 1'!$J:$J,"C-13")+SUMIFS('Таблиця 1'!$K:$K,'Таблиця 1'!$B:$B,$A150,'Таблиця 1'!$I:$I,"Су-27",'Таблиця 1'!$J:$J,"C-13"))</f>
        <v/>
      </c>
      <c r="P150">
        <f>IF($A150="","",SUMIFS('Таблиця 1'!$K:$K,'Таблиця 1'!$B:$B,$A150,'Таблиця 1'!$I:$I,"Mirage",'Таблиця 1'!$J:$J,"MK-32")+SUMIFS('Таблиця 1'!$K:$K,'Таблиця 1'!$B:$B,$A150,'Таблиця 1'!$I:$I,"F-16",'Таблиця 1'!$J:$J,"MK-32")+SUMIFS('Таблиця 1'!$K:$K,'Таблиця 1'!$B:$B,$A150,'Таблиця 1'!$I:$I,"МіГ-29",'Таблиця 1'!$J:$J,"MK-32")+SUMIFS('Таблиця 1'!$K:$K,'Таблиця 1'!$B:$B,$A150,'Таблиця 1'!$I:$I,"Су-25",'Таблиця 1'!$J:$J,"MK-32")+SUMIFS('Таблиця 1'!$K:$K,'Таблиця 1'!$B:$B,$A150,'Таблиця 1'!$I:$I,"Су-27",'Таблиця 1'!$J:$J,"MK-32"))</f>
        <v/>
      </c>
      <c r="Q150">
        <f>IF($A150="","",SUMIFS('Таблиця 1'!$K:$K,'Таблиця 1'!$B:$B,$A150,'Таблиця 1'!$I:$I,"Mirage",'Таблиця 1'!$J:$J,"MK-24")+SUMIFS('Таблиця 1'!$K:$K,'Таблиця 1'!$B:$B,$A150,'Таблиця 1'!$I:$I,"F-16",'Таблиця 1'!$J:$J,"MK-24")+SUMIFS('Таблиця 1'!$K:$K,'Таблиця 1'!$B:$B,$A150,'Таблиця 1'!$I:$I,"МіГ-29",'Таблиця 1'!$J:$J,"MK-24")+SUMIFS('Таблиця 1'!$K:$K,'Таблиця 1'!$B:$B,$A150,'Таблиця 1'!$I:$I,"Су-25",'Таблиця 1'!$J:$J,"MK-24")+SUMIFS('Таблиця 1'!$K:$K,'Таблиця 1'!$B:$B,$A150,'Таблиця 1'!$I:$I,"Су-27",'Таблиця 1'!$J:$J,"MK-24"))</f>
        <v/>
      </c>
      <c r="R150">
        <f>IF($A150="","",COUNTIFS('Таблиця 1'!$B:$B,$A150,'Таблиця 1'!$I:$I,"Mirage",'Таблиця 1'!$L:$L,"Уражено")+COUNTIFS('Таблиця 1'!$B:$B,$A150,'Таблиця 1'!$I:$I,"F-16",'Таблиця 1'!$L:$L,"Уражено")+COUNTIFS('Таблиця 1'!$B:$B,$A150,'Таблиця 1'!$I:$I,"МіГ-29",'Таблиця 1'!$L:$L,"Уражено")+COUNTIFS('Таблиця 1'!$B:$B,$A150,'Таблиця 1'!$I:$I,"Су-25",'Таблиця 1'!$L:$L,"Уражено")+COUNTIFS('Таблиця 1'!$B:$B,$A150,'Таблиця 1'!$I:$I,"Су-27",'Таблиця 1'!$L:$L,"Уражено"))</f>
        <v/>
      </c>
      <c r="S150">
        <f>IF($A150="","",COUNTIFS('Таблиця 1'!$B:$B,$A150,'Таблиця 1'!$I:$I,"Mirage",'Таблиця 1'!$L:$L,"НЕ уражено")+COUNTIFS('Таблиця 1'!$B:$B,$A150,'Таблиця 1'!$I:$I,"F-16",'Таблиця 1'!$L:$L,"НЕ уражено")+COUNTIFS('Таблиця 1'!$B:$B,$A150,'Таблиця 1'!$I:$I,"МіГ-29",'Таблиця 1'!$L:$L,"НЕ уражено")+COUNTIFS('Таблиця 1'!$B:$B,$A150,'Таблиця 1'!$I:$I,"Су-25",'Таблиця 1'!$L:$L,"НЕ уражено")+COUNTIFS('Таблиця 1'!$B:$B,$A150,'Таблиця 1'!$I:$I,"Су-27",'Таблиця 1'!$L:$L,"НЕ уражено"))</f>
        <v/>
      </c>
      <c r="T150">
        <f>IF($A150="","",COUNTIFS('Таблиця 1'!$B:$B,$A150,'Таблиця 1'!$I:$I,"Mirage",'Таблиця 1'!$L:$L,"Дорозвідується")+COUNTIFS('Таблиця 1'!$B:$B,$A150,'Таблиця 1'!$I:$I,"F-16",'Таблиця 1'!$L:$L,"Дорозвідується")+COUNTIFS('Таблиця 1'!$B:$B,$A150,'Таблиця 1'!$I:$I,"МіГ-29",'Таблиця 1'!$L:$L,"Дорозвідується")+COUNTIFS('Таблиця 1'!$B:$B,$A150,'Таблиця 1'!$I:$I,"Су-25",'Таблиця 1'!$L:$L,"Дорозвідується")+COUNTIFS('Таблиця 1'!$B:$B,$A150,'Таблиця 1'!$I:$I,"Су-27",'Таблиця 1'!$L:$L,"Дорозвідується"))</f>
        <v/>
      </c>
    </row>
    <row r="151">
      <c r="A151" s="273">
        <f>IF(A150="","",IF(A150+1&gt;MAX('Таблиця 1'!$B:$B),"",A150+1))</f>
        <v/>
      </c>
      <c r="B151">
        <f>IF($A151="","",COUNTIFS('Таблиця 1'!$B:$B,$A151,'Таблиця 1'!$I:$I,"Mirage")+COUNTIFS('Таблиця 1'!$B:$B,$A151,'Таблиця 1'!$I:$I,"F-16")+COUNTIFS('Таблиця 1'!$B:$B,$A151,'Таблиця 1'!$I:$I,"МіГ-29")+COUNTIFS('Таблиця 1'!$B:$B,$A151,'Таблиця 1'!$I:$I,"Су-25")+COUNTIFS('Таблиця 1'!$B:$B,$A151,'Таблиця 1'!$I:$I,"Су-27"))</f>
        <v/>
      </c>
      <c r="C151">
        <f>IF($A151="","",COUNTIFS('Таблиця 1'!$B:$B,$A151,'Таблиця 1'!$I:$I,"Mirage"))</f>
        <v/>
      </c>
      <c r="D151">
        <f>IF($A151="","",COUNTIFS('Таблиця 1'!$B:$B,$A151,'Таблиця 1'!$I:$I,"F-16"))</f>
        <v/>
      </c>
      <c r="E151">
        <f>IF($A151="","",COUNTIFS('Таблиця 1'!$B:$B,$A151,'Таблиця 1'!$I:$I,"МіГ-29"))</f>
        <v/>
      </c>
      <c r="F151">
        <f>IF($A151="","",COUNTIFS('Таблиця 1'!$B:$B,$A151,'Таблиця 1'!$I:$I,"Су-25"))</f>
        <v/>
      </c>
      <c r="G151">
        <f>IF($A151="","",COUNTIFS('Таблиця 1'!$B:$B,$A151,'Таблиця 1'!$I:$I,"Су-27"))</f>
        <v/>
      </c>
      <c r="H151">
        <f>IF($A151="","",SUMIFS('Таблиця 1'!$K:$K,'Таблиця 1'!$B:$B,$A151,'Таблиця 1'!$I:$I,"Mirage",'Таблиця 1'!$J:$J,"AGM-88")+SUMIFS('Таблиця 1'!$K:$K,'Таблиця 1'!$B:$B,$A151,'Таблиця 1'!$I:$I,"F-16",'Таблиця 1'!$J:$J,"AGM-88")+SUMIFS('Таблиця 1'!$K:$K,'Таблиця 1'!$B:$B,$A151,'Таблиця 1'!$I:$I,"МіГ-29",'Таблиця 1'!$J:$J,"AGM-88")+SUMIFS('Таблиця 1'!$K:$K,'Таблиця 1'!$B:$B,$A151,'Таблиця 1'!$I:$I,"Су-25",'Таблиця 1'!$J:$J,"AGM-88")+SUMIFS('Таблиця 1'!$K:$K,'Таблиця 1'!$B:$B,$A151,'Таблиця 1'!$I:$I,"Су-27",'Таблиця 1'!$J:$J,"AGM-88"))</f>
        <v/>
      </c>
      <c r="I151">
        <f>IF($A151="","",SUMIFS('Таблиця 1'!$K:$K,'Таблиця 1'!$B:$B,$A151,'Таблиця 1'!$I:$I,"Mirage",'Таблиця 1'!$J:$J,"AASM-250")+SUMIFS('Таблиця 1'!$K:$K,'Таблиця 1'!$B:$B,$A151,'Таблиця 1'!$I:$I,"F-16",'Таблиця 1'!$J:$J,"AASM-250")+SUMIFS('Таблиця 1'!$K:$K,'Таблиця 1'!$B:$B,$A151,'Таблиця 1'!$I:$I,"МіГ-29",'Таблиця 1'!$J:$J,"AASM-250")+SUMIFS('Таблиця 1'!$K:$K,'Таблиця 1'!$B:$B,$A151,'Таблиця 1'!$I:$I,"Су-25",'Таблиця 1'!$J:$J,"AASM-250")+SUMIFS('Таблиця 1'!$K:$K,'Таблиця 1'!$B:$B,$A151,'Таблиця 1'!$I:$I,"Су-27",'Таблиця 1'!$J:$J,"AASM-250"))</f>
        <v/>
      </c>
      <c r="J151">
        <f>IF($A151="","",SUMIFS('Таблиця 1'!$K:$K,'Таблиця 1'!$B:$B,$A151,'Таблиця 1'!$I:$I,"Mirage",'Таблиця 1'!$J:$J,"GBU-39")+SUMIFS('Таблиця 1'!$K:$K,'Таблиця 1'!$B:$B,$A151,'Таблиця 1'!$I:$I,"F-16",'Таблиця 1'!$J:$J,"GBU-39")+SUMIFS('Таблиця 1'!$K:$K,'Таблиця 1'!$B:$B,$A151,'Таблиця 1'!$I:$I,"МіГ-29",'Таблиця 1'!$J:$J,"GBU-39")+SUMIFS('Таблиця 1'!$K:$K,'Таблиця 1'!$B:$B,$A151,'Таблиця 1'!$I:$I,"Су-25",'Таблиця 1'!$J:$J,"GBU-39")+SUMIFS('Таблиця 1'!$K:$K,'Таблиця 1'!$B:$B,$A151,'Таблиця 1'!$I:$I,"Су-27",'Таблиця 1'!$J:$J,"GBU-39"))</f>
        <v/>
      </c>
      <c r="K151">
        <f>IF($A151="","",SUMIFS('Таблиця 1'!$K:$K,'Таблиця 1'!$B:$B,$A151,'Таблиця 1'!$I:$I,"Mirage",'Таблиця 1'!$J:$J,"BLU-140")+SUMIFS('Таблиця 1'!$K:$K,'Таблиця 1'!$B:$B,$A151,'Таблиця 1'!$I:$I,"F-16",'Таблиця 1'!$J:$J,"BLU-140")+SUMIFS('Таблиця 1'!$K:$K,'Таблиця 1'!$B:$B,$A151,'Таблиця 1'!$I:$I,"МіГ-29",'Таблиця 1'!$J:$J,"BLU-140")+SUMIFS('Таблиця 1'!$K:$K,'Таблиця 1'!$B:$B,$A151,'Таблиця 1'!$I:$I,"Су-25",'Таблиця 1'!$J:$J,"BLU-140")+SUMIFS('Таблиця 1'!$K:$K,'Таблиця 1'!$B:$B,$A151,'Таблиця 1'!$I:$I,"Су-27",'Таблиця 1'!$J:$J,"BLU-140"))</f>
        <v/>
      </c>
      <c r="L151">
        <f>IF($A151="","",SUMIFS('Таблиця 1'!$K:$K,'Таблиця 1'!$B:$B,$A151,'Таблиця 1'!$I:$I,"Mirage",'Таблиця 1'!$J:$J,"GBU-65")+SUMIFS('Таблиця 1'!$K:$K,'Таблиця 1'!$B:$B,$A151,'Таблиця 1'!$I:$I,"F-16",'Таблиця 1'!$J:$J,"GBU-65")+SUMIFS('Таблиця 1'!$K:$K,'Таблиця 1'!$B:$B,$A151,'Таблиця 1'!$I:$I,"МіГ-29",'Таблиця 1'!$J:$J,"GBU-65")+SUMIFS('Таблиця 1'!$K:$K,'Таблиця 1'!$B:$B,$A151,'Таблиця 1'!$I:$I,"Су-25",'Таблиця 1'!$J:$J,"GBU-65")+SUMIFS('Таблиця 1'!$K:$K,'Таблиця 1'!$B:$B,$A151,'Таблиця 1'!$I:$I,"Су-27",'Таблиця 1'!$J:$J,"GBU-65"))</f>
        <v/>
      </c>
      <c r="M151">
        <f>IF($A151="","",SUMIFS('Таблиця 1'!$K:$K,'Таблиця 1'!$B:$B,$A151,'Таблиця 1'!$I:$I,"Mirage",'Таблиця 1'!$J:$J,"GBU-62")+SUMIFS('Таблиця 1'!$K:$K,'Таблиця 1'!$B:$B,$A151,'Таблиця 1'!$I:$I,"F-16",'Таблиця 1'!$J:$J,"GBU-62")+SUMIFS('Таблиця 1'!$K:$K,'Таблиця 1'!$B:$B,$A151,'Таблиця 1'!$I:$I,"МіГ-29",'Таблиця 1'!$J:$J,"GBU-62")+SUMIFS('Таблиця 1'!$K:$K,'Таблиця 1'!$B:$B,$A151,'Таблиця 1'!$I:$I,"Су-25",'Таблиця 1'!$J:$J,"GBU-62")+SUMIFS('Таблиця 1'!$K:$K,'Таблиця 1'!$B:$B,$A151,'Таблиця 1'!$I:$I,"Су-27",'Таблиця 1'!$J:$J,"GBU-62"))</f>
        <v/>
      </c>
      <c r="N151">
        <f>IF($A151="","",SUMIFS('Таблиця 1'!$K:$K,'Таблиця 1'!$B:$B,$A151,'Таблиця 1'!$I:$I,"Mirage",'Таблиця 1'!$J:$J,"GBU-64")+SUMIFS('Таблиця 1'!$K:$K,'Таблиця 1'!$B:$B,$A151,'Таблиця 1'!$I:$I,"F-16",'Таблиця 1'!$J:$J,"GBU-64")+SUMIFS('Таблиця 1'!$K:$K,'Таблиця 1'!$B:$B,$A151,'Таблиця 1'!$I:$I,"МіГ-29",'Таблиця 1'!$J:$J,"GBU-64")+SUMIFS('Таблиця 1'!$K:$K,'Таблиця 1'!$B:$B,$A151,'Таблиця 1'!$I:$I,"Су-25",'Таблиця 1'!$J:$J,"GBU-64")+SUMIFS('Таблиця 1'!$K:$K,'Таблиця 1'!$B:$B,$A151,'Таблиця 1'!$I:$I,"Су-27",'Таблиця 1'!$J:$J,"GBU-64"))</f>
        <v/>
      </c>
      <c r="O151">
        <f>IF($A151="","",SUMIFS('Таблиця 1'!$K:$K,'Таблиця 1'!$B:$B,$A151,'Таблиця 1'!$I:$I,"Mirage",'Таблиця 1'!$J:$J,"C-13")+SUMIFS('Таблиця 1'!$K:$K,'Таблиця 1'!$B:$B,$A151,'Таблиця 1'!$I:$I,"F-16",'Таблиця 1'!$J:$J,"C-13")+SUMIFS('Таблиця 1'!$K:$K,'Таблиця 1'!$B:$B,$A151,'Таблиця 1'!$I:$I,"МіГ-29",'Таблиця 1'!$J:$J,"C-13")+SUMIFS('Таблиця 1'!$K:$K,'Таблиця 1'!$B:$B,$A151,'Таблиця 1'!$I:$I,"Су-25",'Таблиця 1'!$J:$J,"C-13")+SUMIFS('Таблиця 1'!$K:$K,'Таблиця 1'!$B:$B,$A151,'Таблиця 1'!$I:$I,"Су-27",'Таблиця 1'!$J:$J,"C-13"))</f>
        <v/>
      </c>
      <c r="P151">
        <f>IF($A151="","",SUMIFS('Таблиця 1'!$K:$K,'Таблиця 1'!$B:$B,$A151,'Таблиця 1'!$I:$I,"Mirage",'Таблиця 1'!$J:$J,"MK-32")+SUMIFS('Таблиця 1'!$K:$K,'Таблиця 1'!$B:$B,$A151,'Таблиця 1'!$I:$I,"F-16",'Таблиця 1'!$J:$J,"MK-32")+SUMIFS('Таблиця 1'!$K:$K,'Таблиця 1'!$B:$B,$A151,'Таблиця 1'!$I:$I,"МіГ-29",'Таблиця 1'!$J:$J,"MK-32")+SUMIFS('Таблиця 1'!$K:$K,'Таблиця 1'!$B:$B,$A151,'Таблиця 1'!$I:$I,"Су-25",'Таблиця 1'!$J:$J,"MK-32")+SUMIFS('Таблиця 1'!$K:$K,'Таблиця 1'!$B:$B,$A151,'Таблиця 1'!$I:$I,"Су-27",'Таблиця 1'!$J:$J,"MK-32"))</f>
        <v/>
      </c>
      <c r="Q151">
        <f>IF($A151="","",SUMIFS('Таблиця 1'!$K:$K,'Таблиця 1'!$B:$B,$A151,'Таблиця 1'!$I:$I,"Mirage",'Таблиця 1'!$J:$J,"MK-24")+SUMIFS('Таблиця 1'!$K:$K,'Таблиця 1'!$B:$B,$A151,'Таблиця 1'!$I:$I,"F-16",'Таблиця 1'!$J:$J,"MK-24")+SUMIFS('Таблиця 1'!$K:$K,'Таблиця 1'!$B:$B,$A151,'Таблиця 1'!$I:$I,"МіГ-29",'Таблиця 1'!$J:$J,"MK-24")+SUMIFS('Таблиця 1'!$K:$K,'Таблиця 1'!$B:$B,$A151,'Таблиця 1'!$I:$I,"Су-25",'Таблиця 1'!$J:$J,"MK-24")+SUMIFS('Таблиця 1'!$K:$K,'Таблиця 1'!$B:$B,$A151,'Таблиця 1'!$I:$I,"Су-27",'Таблиця 1'!$J:$J,"MK-24"))</f>
        <v/>
      </c>
      <c r="R151">
        <f>IF($A151="","",COUNTIFS('Таблиця 1'!$B:$B,$A151,'Таблиця 1'!$I:$I,"Mirage",'Таблиця 1'!$L:$L,"Уражено")+COUNTIFS('Таблиця 1'!$B:$B,$A151,'Таблиця 1'!$I:$I,"F-16",'Таблиця 1'!$L:$L,"Уражено")+COUNTIFS('Таблиця 1'!$B:$B,$A151,'Таблиця 1'!$I:$I,"МіГ-29",'Таблиця 1'!$L:$L,"Уражено")+COUNTIFS('Таблиця 1'!$B:$B,$A151,'Таблиця 1'!$I:$I,"Су-25",'Таблиця 1'!$L:$L,"Уражено")+COUNTIFS('Таблиця 1'!$B:$B,$A151,'Таблиця 1'!$I:$I,"Су-27",'Таблиця 1'!$L:$L,"Уражено"))</f>
        <v/>
      </c>
      <c r="S151">
        <f>IF($A151="","",COUNTIFS('Таблиця 1'!$B:$B,$A151,'Таблиця 1'!$I:$I,"Mirage",'Таблиця 1'!$L:$L,"НЕ уражено")+COUNTIFS('Таблиця 1'!$B:$B,$A151,'Таблиця 1'!$I:$I,"F-16",'Таблиця 1'!$L:$L,"НЕ уражено")+COUNTIFS('Таблиця 1'!$B:$B,$A151,'Таблиця 1'!$I:$I,"МіГ-29",'Таблиця 1'!$L:$L,"НЕ уражено")+COUNTIFS('Таблиця 1'!$B:$B,$A151,'Таблиця 1'!$I:$I,"Су-25",'Таблиця 1'!$L:$L,"НЕ уражено")+COUNTIFS('Таблиця 1'!$B:$B,$A151,'Таблиця 1'!$I:$I,"Су-27",'Таблиця 1'!$L:$L,"НЕ уражено"))</f>
        <v/>
      </c>
      <c r="T151">
        <f>IF($A151="","",COUNTIFS('Таблиця 1'!$B:$B,$A151,'Таблиця 1'!$I:$I,"Mirage",'Таблиця 1'!$L:$L,"Дорозвідується")+COUNTIFS('Таблиця 1'!$B:$B,$A151,'Таблиця 1'!$I:$I,"F-16",'Таблиця 1'!$L:$L,"Дорозвідується")+COUNTIFS('Таблиця 1'!$B:$B,$A151,'Таблиця 1'!$I:$I,"МіГ-29",'Таблиця 1'!$L:$L,"Дорозвідується")+COUNTIFS('Таблиця 1'!$B:$B,$A151,'Таблиця 1'!$I:$I,"Су-25",'Таблиця 1'!$L:$L,"Дорозвідується")+COUNTIFS('Таблиця 1'!$B:$B,$A151,'Таблиця 1'!$I:$I,"Су-27",'Таблиця 1'!$L:$L,"Дорозвідується"))</f>
        <v/>
      </c>
    </row>
    <row r="152">
      <c r="A152" s="273">
        <f>IF(A151="","",IF(A151+1&gt;MAX('Таблиця 1'!$B:$B),"",A151+1))</f>
        <v/>
      </c>
      <c r="B152">
        <f>IF($A152="","",COUNTIFS('Таблиця 1'!$B:$B,$A152,'Таблиця 1'!$I:$I,"Mirage")+COUNTIFS('Таблиця 1'!$B:$B,$A152,'Таблиця 1'!$I:$I,"F-16")+COUNTIFS('Таблиця 1'!$B:$B,$A152,'Таблиця 1'!$I:$I,"МіГ-29")+COUNTIFS('Таблиця 1'!$B:$B,$A152,'Таблиця 1'!$I:$I,"Су-25")+COUNTIFS('Таблиця 1'!$B:$B,$A152,'Таблиця 1'!$I:$I,"Су-27"))</f>
        <v/>
      </c>
      <c r="C152">
        <f>IF($A152="","",COUNTIFS('Таблиця 1'!$B:$B,$A152,'Таблиця 1'!$I:$I,"Mirage"))</f>
        <v/>
      </c>
      <c r="D152">
        <f>IF($A152="","",COUNTIFS('Таблиця 1'!$B:$B,$A152,'Таблиця 1'!$I:$I,"F-16"))</f>
        <v/>
      </c>
      <c r="E152">
        <f>IF($A152="","",COUNTIFS('Таблиця 1'!$B:$B,$A152,'Таблиця 1'!$I:$I,"МіГ-29"))</f>
        <v/>
      </c>
      <c r="F152">
        <f>IF($A152="","",COUNTIFS('Таблиця 1'!$B:$B,$A152,'Таблиця 1'!$I:$I,"Су-25"))</f>
        <v/>
      </c>
      <c r="G152">
        <f>IF($A152="","",COUNTIFS('Таблиця 1'!$B:$B,$A152,'Таблиця 1'!$I:$I,"Су-27"))</f>
        <v/>
      </c>
      <c r="H152">
        <f>IF($A152="","",SUMIFS('Таблиця 1'!$K:$K,'Таблиця 1'!$B:$B,$A152,'Таблиця 1'!$I:$I,"Mirage",'Таблиця 1'!$J:$J,"AGM-88")+SUMIFS('Таблиця 1'!$K:$K,'Таблиця 1'!$B:$B,$A152,'Таблиця 1'!$I:$I,"F-16",'Таблиця 1'!$J:$J,"AGM-88")+SUMIFS('Таблиця 1'!$K:$K,'Таблиця 1'!$B:$B,$A152,'Таблиця 1'!$I:$I,"МіГ-29",'Таблиця 1'!$J:$J,"AGM-88")+SUMIFS('Таблиця 1'!$K:$K,'Таблиця 1'!$B:$B,$A152,'Таблиця 1'!$I:$I,"Су-25",'Таблиця 1'!$J:$J,"AGM-88")+SUMIFS('Таблиця 1'!$K:$K,'Таблиця 1'!$B:$B,$A152,'Таблиця 1'!$I:$I,"Су-27",'Таблиця 1'!$J:$J,"AGM-88"))</f>
        <v/>
      </c>
      <c r="I152">
        <f>IF($A152="","",SUMIFS('Таблиця 1'!$K:$K,'Таблиця 1'!$B:$B,$A152,'Таблиця 1'!$I:$I,"Mirage",'Таблиця 1'!$J:$J,"AASM-250")+SUMIFS('Таблиця 1'!$K:$K,'Таблиця 1'!$B:$B,$A152,'Таблиця 1'!$I:$I,"F-16",'Таблиця 1'!$J:$J,"AASM-250")+SUMIFS('Таблиця 1'!$K:$K,'Таблиця 1'!$B:$B,$A152,'Таблиця 1'!$I:$I,"МіГ-29",'Таблиця 1'!$J:$J,"AASM-250")+SUMIFS('Таблиця 1'!$K:$K,'Таблиця 1'!$B:$B,$A152,'Таблиця 1'!$I:$I,"Су-25",'Таблиця 1'!$J:$J,"AASM-250")+SUMIFS('Таблиця 1'!$K:$K,'Таблиця 1'!$B:$B,$A152,'Таблиця 1'!$I:$I,"Су-27",'Таблиця 1'!$J:$J,"AASM-250"))</f>
        <v/>
      </c>
      <c r="J152">
        <f>IF($A152="","",SUMIFS('Таблиця 1'!$K:$K,'Таблиця 1'!$B:$B,$A152,'Таблиця 1'!$I:$I,"Mirage",'Таблиця 1'!$J:$J,"GBU-39")+SUMIFS('Таблиця 1'!$K:$K,'Таблиця 1'!$B:$B,$A152,'Таблиця 1'!$I:$I,"F-16",'Таблиця 1'!$J:$J,"GBU-39")+SUMIFS('Таблиця 1'!$K:$K,'Таблиця 1'!$B:$B,$A152,'Таблиця 1'!$I:$I,"МіГ-29",'Таблиця 1'!$J:$J,"GBU-39")+SUMIFS('Таблиця 1'!$K:$K,'Таблиця 1'!$B:$B,$A152,'Таблиця 1'!$I:$I,"Су-25",'Таблиця 1'!$J:$J,"GBU-39")+SUMIFS('Таблиця 1'!$K:$K,'Таблиця 1'!$B:$B,$A152,'Таблиця 1'!$I:$I,"Су-27",'Таблиця 1'!$J:$J,"GBU-39"))</f>
        <v/>
      </c>
      <c r="K152">
        <f>IF($A152="","",SUMIFS('Таблиця 1'!$K:$K,'Таблиця 1'!$B:$B,$A152,'Таблиця 1'!$I:$I,"Mirage",'Таблиця 1'!$J:$J,"BLU-140")+SUMIFS('Таблиця 1'!$K:$K,'Таблиця 1'!$B:$B,$A152,'Таблиця 1'!$I:$I,"F-16",'Таблиця 1'!$J:$J,"BLU-140")+SUMIFS('Таблиця 1'!$K:$K,'Таблиця 1'!$B:$B,$A152,'Таблиця 1'!$I:$I,"МіГ-29",'Таблиця 1'!$J:$J,"BLU-140")+SUMIFS('Таблиця 1'!$K:$K,'Таблиця 1'!$B:$B,$A152,'Таблиця 1'!$I:$I,"Су-25",'Таблиця 1'!$J:$J,"BLU-140")+SUMIFS('Таблиця 1'!$K:$K,'Таблиця 1'!$B:$B,$A152,'Таблиця 1'!$I:$I,"Су-27",'Таблиця 1'!$J:$J,"BLU-140"))</f>
        <v/>
      </c>
      <c r="L152">
        <f>IF($A152="","",SUMIFS('Таблиця 1'!$K:$K,'Таблиця 1'!$B:$B,$A152,'Таблиця 1'!$I:$I,"Mirage",'Таблиця 1'!$J:$J,"GBU-65")+SUMIFS('Таблиця 1'!$K:$K,'Таблиця 1'!$B:$B,$A152,'Таблиця 1'!$I:$I,"F-16",'Таблиця 1'!$J:$J,"GBU-65")+SUMIFS('Таблиця 1'!$K:$K,'Таблиця 1'!$B:$B,$A152,'Таблиця 1'!$I:$I,"МіГ-29",'Таблиця 1'!$J:$J,"GBU-65")+SUMIFS('Таблиця 1'!$K:$K,'Таблиця 1'!$B:$B,$A152,'Таблиця 1'!$I:$I,"Су-25",'Таблиця 1'!$J:$J,"GBU-65")+SUMIFS('Таблиця 1'!$K:$K,'Таблиця 1'!$B:$B,$A152,'Таблиця 1'!$I:$I,"Су-27",'Таблиця 1'!$J:$J,"GBU-65"))</f>
        <v/>
      </c>
      <c r="M152">
        <f>IF($A152="","",SUMIFS('Таблиця 1'!$K:$K,'Таблиця 1'!$B:$B,$A152,'Таблиця 1'!$I:$I,"Mirage",'Таблиця 1'!$J:$J,"GBU-62")+SUMIFS('Таблиця 1'!$K:$K,'Таблиця 1'!$B:$B,$A152,'Таблиця 1'!$I:$I,"F-16",'Таблиця 1'!$J:$J,"GBU-62")+SUMIFS('Таблиця 1'!$K:$K,'Таблиця 1'!$B:$B,$A152,'Таблиця 1'!$I:$I,"МіГ-29",'Таблиця 1'!$J:$J,"GBU-62")+SUMIFS('Таблиця 1'!$K:$K,'Таблиця 1'!$B:$B,$A152,'Таблиця 1'!$I:$I,"Су-25",'Таблиця 1'!$J:$J,"GBU-62")+SUMIFS('Таблиця 1'!$K:$K,'Таблиця 1'!$B:$B,$A152,'Таблиця 1'!$I:$I,"Су-27",'Таблиця 1'!$J:$J,"GBU-62"))</f>
        <v/>
      </c>
      <c r="N152">
        <f>IF($A152="","",SUMIFS('Таблиця 1'!$K:$K,'Таблиця 1'!$B:$B,$A152,'Таблиця 1'!$I:$I,"Mirage",'Таблиця 1'!$J:$J,"GBU-64")+SUMIFS('Таблиця 1'!$K:$K,'Таблиця 1'!$B:$B,$A152,'Таблиця 1'!$I:$I,"F-16",'Таблиця 1'!$J:$J,"GBU-64")+SUMIFS('Таблиця 1'!$K:$K,'Таблиця 1'!$B:$B,$A152,'Таблиця 1'!$I:$I,"МіГ-29",'Таблиця 1'!$J:$J,"GBU-64")+SUMIFS('Таблиця 1'!$K:$K,'Таблиця 1'!$B:$B,$A152,'Таблиця 1'!$I:$I,"Су-25",'Таблиця 1'!$J:$J,"GBU-64")+SUMIFS('Таблиця 1'!$K:$K,'Таблиця 1'!$B:$B,$A152,'Таблиця 1'!$I:$I,"Су-27",'Таблиця 1'!$J:$J,"GBU-64"))</f>
        <v/>
      </c>
      <c r="O152">
        <f>IF($A152="","",SUMIFS('Таблиця 1'!$K:$K,'Таблиця 1'!$B:$B,$A152,'Таблиця 1'!$I:$I,"Mirage",'Таблиця 1'!$J:$J,"C-13")+SUMIFS('Таблиця 1'!$K:$K,'Таблиця 1'!$B:$B,$A152,'Таблиця 1'!$I:$I,"F-16",'Таблиця 1'!$J:$J,"C-13")+SUMIFS('Таблиця 1'!$K:$K,'Таблиця 1'!$B:$B,$A152,'Таблиця 1'!$I:$I,"МіГ-29",'Таблиця 1'!$J:$J,"C-13")+SUMIFS('Таблиця 1'!$K:$K,'Таблиця 1'!$B:$B,$A152,'Таблиця 1'!$I:$I,"Су-25",'Таблиця 1'!$J:$J,"C-13")+SUMIFS('Таблиця 1'!$K:$K,'Таблиця 1'!$B:$B,$A152,'Таблиця 1'!$I:$I,"Су-27",'Таблиця 1'!$J:$J,"C-13"))</f>
        <v/>
      </c>
      <c r="P152">
        <f>IF($A152="","",SUMIFS('Таблиця 1'!$K:$K,'Таблиця 1'!$B:$B,$A152,'Таблиця 1'!$I:$I,"Mirage",'Таблиця 1'!$J:$J,"MK-32")+SUMIFS('Таблиця 1'!$K:$K,'Таблиця 1'!$B:$B,$A152,'Таблиця 1'!$I:$I,"F-16",'Таблиця 1'!$J:$J,"MK-32")+SUMIFS('Таблиця 1'!$K:$K,'Таблиця 1'!$B:$B,$A152,'Таблиця 1'!$I:$I,"МіГ-29",'Таблиця 1'!$J:$J,"MK-32")+SUMIFS('Таблиця 1'!$K:$K,'Таблиця 1'!$B:$B,$A152,'Таблиця 1'!$I:$I,"Су-25",'Таблиця 1'!$J:$J,"MK-32")+SUMIFS('Таблиця 1'!$K:$K,'Таблиця 1'!$B:$B,$A152,'Таблиця 1'!$I:$I,"Су-27",'Таблиця 1'!$J:$J,"MK-32"))</f>
        <v/>
      </c>
      <c r="Q152">
        <f>IF($A152="","",SUMIFS('Таблиця 1'!$K:$K,'Таблиця 1'!$B:$B,$A152,'Таблиця 1'!$I:$I,"Mirage",'Таблиця 1'!$J:$J,"MK-24")+SUMIFS('Таблиця 1'!$K:$K,'Таблиця 1'!$B:$B,$A152,'Таблиця 1'!$I:$I,"F-16",'Таблиця 1'!$J:$J,"MK-24")+SUMIFS('Таблиця 1'!$K:$K,'Таблиця 1'!$B:$B,$A152,'Таблиця 1'!$I:$I,"МіГ-29",'Таблиця 1'!$J:$J,"MK-24")+SUMIFS('Таблиця 1'!$K:$K,'Таблиця 1'!$B:$B,$A152,'Таблиця 1'!$I:$I,"Су-25",'Таблиця 1'!$J:$J,"MK-24")+SUMIFS('Таблиця 1'!$K:$K,'Таблиця 1'!$B:$B,$A152,'Таблиця 1'!$I:$I,"Су-27",'Таблиця 1'!$J:$J,"MK-24"))</f>
        <v/>
      </c>
      <c r="R152">
        <f>IF($A152="","",COUNTIFS('Таблиця 1'!$B:$B,$A152,'Таблиця 1'!$I:$I,"Mirage",'Таблиця 1'!$L:$L,"Уражено")+COUNTIFS('Таблиця 1'!$B:$B,$A152,'Таблиця 1'!$I:$I,"F-16",'Таблиця 1'!$L:$L,"Уражено")+COUNTIFS('Таблиця 1'!$B:$B,$A152,'Таблиця 1'!$I:$I,"МіГ-29",'Таблиця 1'!$L:$L,"Уражено")+COUNTIFS('Таблиця 1'!$B:$B,$A152,'Таблиця 1'!$I:$I,"Су-25",'Таблиця 1'!$L:$L,"Уражено")+COUNTIFS('Таблиця 1'!$B:$B,$A152,'Таблиця 1'!$I:$I,"Су-27",'Таблиця 1'!$L:$L,"Уражено"))</f>
        <v/>
      </c>
      <c r="S152">
        <f>IF($A152="","",COUNTIFS('Таблиця 1'!$B:$B,$A152,'Таблиця 1'!$I:$I,"Mirage",'Таблиця 1'!$L:$L,"НЕ уражено")+COUNTIFS('Таблиця 1'!$B:$B,$A152,'Таблиця 1'!$I:$I,"F-16",'Таблиця 1'!$L:$L,"НЕ уражено")+COUNTIFS('Таблиця 1'!$B:$B,$A152,'Таблиця 1'!$I:$I,"МіГ-29",'Таблиця 1'!$L:$L,"НЕ уражено")+COUNTIFS('Таблиця 1'!$B:$B,$A152,'Таблиця 1'!$I:$I,"Су-25",'Таблиця 1'!$L:$L,"НЕ уражено")+COUNTIFS('Таблиця 1'!$B:$B,$A152,'Таблиця 1'!$I:$I,"Су-27",'Таблиця 1'!$L:$L,"НЕ уражено"))</f>
        <v/>
      </c>
      <c r="T152">
        <f>IF($A152="","",COUNTIFS('Таблиця 1'!$B:$B,$A152,'Таблиця 1'!$I:$I,"Mirage",'Таблиця 1'!$L:$L,"Дорозвідується")+COUNTIFS('Таблиця 1'!$B:$B,$A152,'Таблиця 1'!$I:$I,"F-16",'Таблиця 1'!$L:$L,"Дорозвідується")+COUNTIFS('Таблиця 1'!$B:$B,$A152,'Таблиця 1'!$I:$I,"МіГ-29",'Таблиця 1'!$L:$L,"Дорозвідується")+COUNTIFS('Таблиця 1'!$B:$B,$A152,'Таблиця 1'!$I:$I,"Су-25",'Таблиця 1'!$L:$L,"Дорозвідується")+COUNTIFS('Таблиця 1'!$B:$B,$A152,'Таблиця 1'!$I:$I,"Су-27",'Таблиця 1'!$L:$L,"Дорозвідується"))</f>
        <v/>
      </c>
    </row>
    <row r="153">
      <c r="A153" s="273">
        <f>IF(A152="","",IF(A152+1&gt;MAX('Таблиця 1'!$B:$B),"",A152+1))</f>
        <v/>
      </c>
      <c r="B153">
        <f>IF($A153="","",COUNTIFS('Таблиця 1'!$B:$B,$A153,'Таблиця 1'!$I:$I,"Mirage")+COUNTIFS('Таблиця 1'!$B:$B,$A153,'Таблиця 1'!$I:$I,"F-16")+COUNTIFS('Таблиця 1'!$B:$B,$A153,'Таблиця 1'!$I:$I,"МіГ-29")+COUNTIFS('Таблиця 1'!$B:$B,$A153,'Таблиця 1'!$I:$I,"Су-25")+COUNTIFS('Таблиця 1'!$B:$B,$A153,'Таблиця 1'!$I:$I,"Су-27"))</f>
        <v/>
      </c>
      <c r="C153">
        <f>IF($A153="","",COUNTIFS('Таблиця 1'!$B:$B,$A153,'Таблиця 1'!$I:$I,"Mirage"))</f>
        <v/>
      </c>
      <c r="D153">
        <f>IF($A153="","",COUNTIFS('Таблиця 1'!$B:$B,$A153,'Таблиця 1'!$I:$I,"F-16"))</f>
        <v/>
      </c>
      <c r="E153">
        <f>IF($A153="","",COUNTIFS('Таблиця 1'!$B:$B,$A153,'Таблиця 1'!$I:$I,"МіГ-29"))</f>
        <v/>
      </c>
      <c r="F153">
        <f>IF($A153="","",COUNTIFS('Таблиця 1'!$B:$B,$A153,'Таблиця 1'!$I:$I,"Су-25"))</f>
        <v/>
      </c>
      <c r="G153">
        <f>IF($A153="","",COUNTIFS('Таблиця 1'!$B:$B,$A153,'Таблиця 1'!$I:$I,"Су-27"))</f>
        <v/>
      </c>
      <c r="H153">
        <f>IF($A153="","",SUMIFS('Таблиця 1'!$K:$K,'Таблиця 1'!$B:$B,$A153,'Таблиця 1'!$I:$I,"Mirage",'Таблиця 1'!$J:$J,"AGM-88")+SUMIFS('Таблиця 1'!$K:$K,'Таблиця 1'!$B:$B,$A153,'Таблиця 1'!$I:$I,"F-16",'Таблиця 1'!$J:$J,"AGM-88")+SUMIFS('Таблиця 1'!$K:$K,'Таблиця 1'!$B:$B,$A153,'Таблиця 1'!$I:$I,"МіГ-29",'Таблиця 1'!$J:$J,"AGM-88")+SUMIFS('Таблиця 1'!$K:$K,'Таблиця 1'!$B:$B,$A153,'Таблиця 1'!$I:$I,"Су-25",'Таблиця 1'!$J:$J,"AGM-88")+SUMIFS('Таблиця 1'!$K:$K,'Таблиця 1'!$B:$B,$A153,'Таблиця 1'!$I:$I,"Су-27",'Таблиця 1'!$J:$J,"AGM-88"))</f>
        <v/>
      </c>
      <c r="I153">
        <f>IF($A153="","",SUMIFS('Таблиця 1'!$K:$K,'Таблиця 1'!$B:$B,$A153,'Таблиця 1'!$I:$I,"Mirage",'Таблиця 1'!$J:$J,"AASM-250")+SUMIFS('Таблиця 1'!$K:$K,'Таблиця 1'!$B:$B,$A153,'Таблиця 1'!$I:$I,"F-16",'Таблиця 1'!$J:$J,"AASM-250")+SUMIFS('Таблиця 1'!$K:$K,'Таблиця 1'!$B:$B,$A153,'Таблиця 1'!$I:$I,"МіГ-29",'Таблиця 1'!$J:$J,"AASM-250")+SUMIFS('Таблиця 1'!$K:$K,'Таблиця 1'!$B:$B,$A153,'Таблиця 1'!$I:$I,"Су-25",'Таблиця 1'!$J:$J,"AASM-250")+SUMIFS('Таблиця 1'!$K:$K,'Таблиця 1'!$B:$B,$A153,'Таблиця 1'!$I:$I,"Су-27",'Таблиця 1'!$J:$J,"AASM-250"))</f>
        <v/>
      </c>
      <c r="J153">
        <f>IF($A153="","",SUMIFS('Таблиця 1'!$K:$K,'Таблиця 1'!$B:$B,$A153,'Таблиця 1'!$I:$I,"Mirage",'Таблиця 1'!$J:$J,"GBU-39")+SUMIFS('Таблиця 1'!$K:$K,'Таблиця 1'!$B:$B,$A153,'Таблиця 1'!$I:$I,"F-16",'Таблиця 1'!$J:$J,"GBU-39")+SUMIFS('Таблиця 1'!$K:$K,'Таблиця 1'!$B:$B,$A153,'Таблиця 1'!$I:$I,"МіГ-29",'Таблиця 1'!$J:$J,"GBU-39")+SUMIFS('Таблиця 1'!$K:$K,'Таблиця 1'!$B:$B,$A153,'Таблиця 1'!$I:$I,"Су-25",'Таблиця 1'!$J:$J,"GBU-39")+SUMIFS('Таблиця 1'!$K:$K,'Таблиця 1'!$B:$B,$A153,'Таблиця 1'!$I:$I,"Су-27",'Таблиця 1'!$J:$J,"GBU-39"))</f>
        <v/>
      </c>
      <c r="K153">
        <f>IF($A153="","",SUMIFS('Таблиця 1'!$K:$K,'Таблиця 1'!$B:$B,$A153,'Таблиця 1'!$I:$I,"Mirage",'Таблиця 1'!$J:$J,"BLU-140")+SUMIFS('Таблиця 1'!$K:$K,'Таблиця 1'!$B:$B,$A153,'Таблиця 1'!$I:$I,"F-16",'Таблиця 1'!$J:$J,"BLU-140")+SUMIFS('Таблиця 1'!$K:$K,'Таблиця 1'!$B:$B,$A153,'Таблиця 1'!$I:$I,"МіГ-29",'Таблиця 1'!$J:$J,"BLU-140")+SUMIFS('Таблиця 1'!$K:$K,'Таблиця 1'!$B:$B,$A153,'Таблиця 1'!$I:$I,"Су-25",'Таблиця 1'!$J:$J,"BLU-140")+SUMIFS('Таблиця 1'!$K:$K,'Таблиця 1'!$B:$B,$A153,'Таблиця 1'!$I:$I,"Су-27",'Таблиця 1'!$J:$J,"BLU-140"))</f>
        <v/>
      </c>
      <c r="L153">
        <f>IF($A153="","",SUMIFS('Таблиця 1'!$K:$K,'Таблиця 1'!$B:$B,$A153,'Таблиця 1'!$I:$I,"Mirage",'Таблиця 1'!$J:$J,"GBU-65")+SUMIFS('Таблиця 1'!$K:$K,'Таблиця 1'!$B:$B,$A153,'Таблиця 1'!$I:$I,"F-16",'Таблиця 1'!$J:$J,"GBU-65")+SUMIFS('Таблиця 1'!$K:$K,'Таблиця 1'!$B:$B,$A153,'Таблиця 1'!$I:$I,"МіГ-29",'Таблиця 1'!$J:$J,"GBU-65")+SUMIFS('Таблиця 1'!$K:$K,'Таблиця 1'!$B:$B,$A153,'Таблиця 1'!$I:$I,"Су-25",'Таблиця 1'!$J:$J,"GBU-65")+SUMIFS('Таблиця 1'!$K:$K,'Таблиця 1'!$B:$B,$A153,'Таблиця 1'!$I:$I,"Су-27",'Таблиця 1'!$J:$J,"GBU-65"))</f>
        <v/>
      </c>
      <c r="M153">
        <f>IF($A153="","",SUMIFS('Таблиця 1'!$K:$K,'Таблиця 1'!$B:$B,$A153,'Таблиця 1'!$I:$I,"Mirage",'Таблиця 1'!$J:$J,"GBU-62")+SUMIFS('Таблиця 1'!$K:$K,'Таблиця 1'!$B:$B,$A153,'Таблиця 1'!$I:$I,"F-16",'Таблиця 1'!$J:$J,"GBU-62")+SUMIFS('Таблиця 1'!$K:$K,'Таблиця 1'!$B:$B,$A153,'Таблиця 1'!$I:$I,"МіГ-29",'Таблиця 1'!$J:$J,"GBU-62")+SUMIFS('Таблиця 1'!$K:$K,'Таблиця 1'!$B:$B,$A153,'Таблиця 1'!$I:$I,"Су-25",'Таблиця 1'!$J:$J,"GBU-62")+SUMIFS('Таблиця 1'!$K:$K,'Таблиця 1'!$B:$B,$A153,'Таблиця 1'!$I:$I,"Су-27",'Таблиця 1'!$J:$J,"GBU-62"))</f>
        <v/>
      </c>
      <c r="N153">
        <f>IF($A153="","",SUMIFS('Таблиця 1'!$K:$K,'Таблиця 1'!$B:$B,$A153,'Таблиця 1'!$I:$I,"Mirage",'Таблиця 1'!$J:$J,"GBU-64")+SUMIFS('Таблиця 1'!$K:$K,'Таблиця 1'!$B:$B,$A153,'Таблиця 1'!$I:$I,"F-16",'Таблиця 1'!$J:$J,"GBU-64")+SUMIFS('Таблиця 1'!$K:$K,'Таблиця 1'!$B:$B,$A153,'Таблиця 1'!$I:$I,"МіГ-29",'Таблиця 1'!$J:$J,"GBU-64")+SUMIFS('Таблиця 1'!$K:$K,'Таблиця 1'!$B:$B,$A153,'Таблиця 1'!$I:$I,"Су-25",'Таблиця 1'!$J:$J,"GBU-64")+SUMIFS('Таблиця 1'!$K:$K,'Таблиця 1'!$B:$B,$A153,'Таблиця 1'!$I:$I,"Су-27",'Таблиця 1'!$J:$J,"GBU-64"))</f>
        <v/>
      </c>
      <c r="O153">
        <f>IF($A153="","",SUMIFS('Таблиця 1'!$K:$K,'Таблиця 1'!$B:$B,$A153,'Таблиця 1'!$I:$I,"Mirage",'Таблиця 1'!$J:$J,"C-13")+SUMIFS('Таблиця 1'!$K:$K,'Таблиця 1'!$B:$B,$A153,'Таблиця 1'!$I:$I,"F-16",'Таблиця 1'!$J:$J,"C-13")+SUMIFS('Таблиця 1'!$K:$K,'Таблиця 1'!$B:$B,$A153,'Таблиця 1'!$I:$I,"МіГ-29",'Таблиця 1'!$J:$J,"C-13")+SUMIFS('Таблиця 1'!$K:$K,'Таблиця 1'!$B:$B,$A153,'Таблиця 1'!$I:$I,"Су-25",'Таблиця 1'!$J:$J,"C-13")+SUMIFS('Таблиця 1'!$K:$K,'Таблиця 1'!$B:$B,$A153,'Таблиця 1'!$I:$I,"Су-27",'Таблиця 1'!$J:$J,"C-13"))</f>
        <v/>
      </c>
      <c r="P153">
        <f>IF($A153="","",SUMIFS('Таблиця 1'!$K:$K,'Таблиця 1'!$B:$B,$A153,'Таблиця 1'!$I:$I,"Mirage",'Таблиця 1'!$J:$J,"MK-32")+SUMIFS('Таблиця 1'!$K:$K,'Таблиця 1'!$B:$B,$A153,'Таблиця 1'!$I:$I,"F-16",'Таблиця 1'!$J:$J,"MK-32")+SUMIFS('Таблиця 1'!$K:$K,'Таблиця 1'!$B:$B,$A153,'Таблиця 1'!$I:$I,"МіГ-29",'Таблиця 1'!$J:$J,"MK-32")+SUMIFS('Таблиця 1'!$K:$K,'Таблиця 1'!$B:$B,$A153,'Таблиця 1'!$I:$I,"Су-25",'Таблиця 1'!$J:$J,"MK-32")+SUMIFS('Таблиця 1'!$K:$K,'Таблиця 1'!$B:$B,$A153,'Таблиця 1'!$I:$I,"Су-27",'Таблиця 1'!$J:$J,"MK-32"))</f>
        <v/>
      </c>
      <c r="Q153">
        <f>IF($A153="","",SUMIFS('Таблиця 1'!$K:$K,'Таблиця 1'!$B:$B,$A153,'Таблиця 1'!$I:$I,"Mirage",'Таблиця 1'!$J:$J,"MK-24")+SUMIFS('Таблиця 1'!$K:$K,'Таблиця 1'!$B:$B,$A153,'Таблиця 1'!$I:$I,"F-16",'Таблиця 1'!$J:$J,"MK-24")+SUMIFS('Таблиця 1'!$K:$K,'Таблиця 1'!$B:$B,$A153,'Таблиця 1'!$I:$I,"МіГ-29",'Таблиця 1'!$J:$J,"MK-24")+SUMIFS('Таблиця 1'!$K:$K,'Таблиця 1'!$B:$B,$A153,'Таблиця 1'!$I:$I,"Су-25",'Таблиця 1'!$J:$J,"MK-24")+SUMIFS('Таблиця 1'!$K:$K,'Таблиця 1'!$B:$B,$A153,'Таблиця 1'!$I:$I,"Су-27",'Таблиця 1'!$J:$J,"MK-24"))</f>
        <v/>
      </c>
      <c r="R153">
        <f>IF($A153="","",COUNTIFS('Таблиця 1'!$B:$B,$A153,'Таблиця 1'!$I:$I,"Mirage",'Таблиця 1'!$L:$L,"Уражено")+COUNTIFS('Таблиця 1'!$B:$B,$A153,'Таблиця 1'!$I:$I,"F-16",'Таблиця 1'!$L:$L,"Уражено")+COUNTIFS('Таблиця 1'!$B:$B,$A153,'Таблиця 1'!$I:$I,"МіГ-29",'Таблиця 1'!$L:$L,"Уражено")+COUNTIFS('Таблиця 1'!$B:$B,$A153,'Таблиця 1'!$I:$I,"Су-25",'Таблиця 1'!$L:$L,"Уражено")+COUNTIFS('Таблиця 1'!$B:$B,$A153,'Таблиця 1'!$I:$I,"Су-27",'Таблиця 1'!$L:$L,"Уражено"))</f>
        <v/>
      </c>
      <c r="S153">
        <f>IF($A153="","",COUNTIFS('Таблиця 1'!$B:$B,$A153,'Таблиця 1'!$I:$I,"Mirage",'Таблиця 1'!$L:$L,"НЕ уражено")+COUNTIFS('Таблиця 1'!$B:$B,$A153,'Таблиця 1'!$I:$I,"F-16",'Таблиця 1'!$L:$L,"НЕ уражено")+COUNTIFS('Таблиця 1'!$B:$B,$A153,'Таблиця 1'!$I:$I,"МіГ-29",'Таблиця 1'!$L:$L,"НЕ уражено")+COUNTIFS('Таблиця 1'!$B:$B,$A153,'Таблиця 1'!$I:$I,"Су-25",'Таблиця 1'!$L:$L,"НЕ уражено")+COUNTIFS('Таблиця 1'!$B:$B,$A153,'Таблиця 1'!$I:$I,"Су-27",'Таблиця 1'!$L:$L,"НЕ уражено"))</f>
        <v/>
      </c>
      <c r="T153">
        <f>IF($A153="","",COUNTIFS('Таблиця 1'!$B:$B,$A153,'Таблиця 1'!$I:$I,"Mirage",'Таблиця 1'!$L:$L,"Дорозвідується")+COUNTIFS('Таблиця 1'!$B:$B,$A153,'Таблиця 1'!$I:$I,"F-16",'Таблиця 1'!$L:$L,"Дорозвідується")+COUNTIFS('Таблиця 1'!$B:$B,$A153,'Таблиця 1'!$I:$I,"МіГ-29",'Таблиця 1'!$L:$L,"Дорозвідується")+COUNTIFS('Таблиця 1'!$B:$B,$A153,'Таблиця 1'!$I:$I,"Су-25",'Таблиця 1'!$L:$L,"Дорозвідується")+COUNTIFS('Таблиця 1'!$B:$B,$A153,'Таблиця 1'!$I:$I,"Су-27",'Таблиця 1'!$L:$L,"Дорозвідується"))</f>
        <v/>
      </c>
    </row>
    <row r="154">
      <c r="A154" s="273">
        <f>IF(A153="","",IF(A153+1&gt;MAX('Таблиця 1'!$B:$B),"",A153+1))</f>
        <v/>
      </c>
      <c r="B154">
        <f>IF($A154="","",COUNTIFS('Таблиця 1'!$B:$B,$A154,'Таблиця 1'!$I:$I,"Mirage")+COUNTIFS('Таблиця 1'!$B:$B,$A154,'Таблиця 1'!$I:$I,"F-16")+COUNTIFS('Таблиця 1'!$B:$B,$A154,'Таблиця 1'!$I:$I,"МіГ-29")+COUNTIFS('Таблиця 1'!$B:$B,$A154,'Таблиця 1'!$I:$I,"Су-25")+COUNTIFS('Таблиця 1'!$B:$B,$A154,'Таблиця 1'!$I:$I,"Су-27"))</f>
        <v/>
      </c>
      <c r="C154">
        <f>IF($A154="","",COUNTIFS('Таблиця 1'!$B:$B,$A154,'Таблиця 1'!$I:$I,"Mirage"))</f>
        <v/>
      </c>
      <c r="D154">
        <f>IF($A154="","",COUNTIFS('Таблиця 1'!$B:$B,$A154,'Таблиця 1'!$I:$I,"F-16"))</f>
        <v/>
      </c>
      <c r="E154">
        <f>IF($A154="","",COUNTIFS('Таблиця 1'!$B:$B,$A154,'Таблиця 1'!$I:$I,"МіГ-29"))</f>
        <v/>
      </c>
      <c r="F154">
        <f>IF($A154="","",COUNTIFS('Таблиця 1'!$B:$B,$A154,'Таблиця 1'!$I:$I,"Су-25"))</f>
        <v/>
      </c>
      <c r="G154">
        <f>IF($A154="","",COUNTIFS('Таблиця 1'!$B:$B,$A154,'Таблиця 1'!$I:$I,"Су-27"))</f>
        <v/>
      </c>
      <c r="H154">
        <f>IF($A154="","",SUMIFS('Таблиця 1'!$K:$K,'Таблиця 1'!$B:$B,$A154,'Таблиця 1'!$I:$I,"Mirage",'Таблиця 1'!$J:$J,"AGM-88")+SUMIFS('Таблиця 1'!$K:$K,'Таблиця 1'!$B:$B,$A154,'Таблиця 1'!$I:$I,"F-16",'Таблиця 1'!$J:$J,"AGM-88")+SUMIFS('Таблиця 1'!$K:$K,'Таблиця 1'!$B:$B,$A154,'Таблиця 1'!$I:$I,"МіГ-29",'Таблиця 1'!$J:$J,"AGM-88")+SUMIFS('Таблиця 1'!$K:$K,'Таблиця 1'!$B:$B,$A154,'Таблиця 1'!$I:$I,"Су-25",'Таблиця 1'!$J:$J,"AGM-88")+SUMIFS('Таблиця 1'!$K:$K,'Таблиця 1'!$B:$B,$A154,'Таблиця 1'!$I:$I,"Су-27",'Таблиця 1'!$J:$J,"AGM-88"))</f>
        <v/>
      </c>
      <c r="I154">
        <f>IF($A154="","",SUMIFS('Таблиця 1'!$K:$K,'Таблиця 1'!$B:$B,$A154,'Таблиця 1'!$I:$I,"Mirage",'Таблиця 1'!$J:$J,"AASM-250")+SUMIFS('Таблиця 1'!$K:$K,'Таблиця 1'!$B:$B,$A154,'Таблиця 1'!$I:$I,"F-16",'Таблиця 1'!$J:$J,"AASM-250")+SUMIFS('Таблиця 1'!$K:$K,'Таблиця 1'!$B:$B,$A154,'Таблиця 1'!$I:$I,"МіГ-29",'Таблиця 1'!$J:$J,"AASM-250")+SUMIFS('Таблиця 1'!$K:$K,'Таблиця 1'!$B:$B,$A154,'Таблиця 1'!$I:$I,"Су-25",'Таблиця 1'!$J:$J,"AASM-250")+SUMIFS('Таблиця 1'!$K:$K,'Таблиця 1'!$B:$B,$A154,'Таблиця 1'!$I:$I,"Су-27",'Таблиця 1'!$J:$J,"AASM-250"))</f>
        <v/>
      </c>
      <c r="J154">
        <f>IF($A154="","",SUMIFS('Таблиця 1'!$K:$K,'Таблиця 1'!$B:$B,$A154,'Таблиця 1'!$I:$I,"Mirage",'Таблиця 1'!$J:$J,"GBU-39")+SUMIFS('Таблиця 1'!$K:$K,'Таблиця 1'!$B:$B,$A154,'Таблиця 1'!$I:$I,"F-16",'Таблиця 1'!$J:$J,"GBU-39")+SUMIFS('Таблиця 1'!$K:$K,'Таблиця 1'!$B:$B,$A154,'Таблиця 1'!$I:$I,"МіГ-29",'Таблиця 1'!$J:$J,"GBU-39")+SUMIFS('Таблиця 1'!$K:$K,'Таблиця 1'!$B:$B,$A154,'Таблиця 1'!$I:$I,"Су-25",'Таблиця 1'!$J:$J,"GBU-39")+SUMIFS('Таблиця 1'!$K:$K,'Таблиця 1'!$B:$B,$A154,'Таблиця 1'!$I:$I,"Су-27",'Таблиця 1'!$J:$J,"GBU-39"))</f>
        <v/>
      </c>
      <c r="K154">
        <f>IF($A154="","",SUMIFS('Таблиця 1'!$K:$K,'Таблиця 1'!$B:$B,$A154,'Таблиця 1'!$I:$I,"Mirage",'Таблиця 1'!$J:$J,"BLU-140")+SUMIFS('Таблиця 1'!$K:$K,'Таблиця 1'!$B:$B,$A154,'Таблиця 1'!$I:$I,"F-16",'Таблиця 1'!$J:$J,"BLU-140")+SUMIFS('Таблиця 1'!$K:$K,'Таблиця 1'!$B:$B,$A154,'Таблиця 1'!$I:$I,"МіГ-29",'Таблиця 1'!$J:$J,"BLU-140")+SUMIFS('Таблиця 1'!$K:$K,'Таблиця 1'!$B:$B,$A154,'Таблиця 1'!$I:$I,"Су-25",'Таблиця 1'!$J:$J,"BLU-140")+SUMIFS('Таблиця 1'!$K:$K,'Таблиця 1'!$B:$B,$A154,'Таблиця 1'!$I:$I,"Су-27",'Таблиця 1'!$J:$J,"BLU-140"))</f>
        <v/>
      </c>
      <c r="L154">
        <f>IF($A154="","",SUMIFS('Таблиця 1'!$K:$K,'Таблиця 1'!$B:$B,$A154,'Таблиця 1'!$I:$I,"Mirage",'Таблиця 1'!$J:$J,"GBU-65")+SUMIFS('Таблиця 1'!$K:$K,'Таблиця 1'!$B:$B,$A154,'Таблиця 1'!$I:$I,"F-16",'Таблиця 1'!$J:$J,"GBU-65")+SUMIFS('Таблиця 1'!$K:$K,'Таблиця 1'!$B:$B,$A154,'Таблиця 1'!$I:$I,"МіГ-29",'Таблиця 1'!$J:$J,"GBU-65")+SUMIFS('Таблиця 1'!$K:$K,'Таблиця 1'!$B:$B,$A154,'Таблиця 1'!$I:$I,"Су-25",'Таблиця 1'!$J:$J,"GBU-65")+SUMIFS('Таблиця 1'!$K:$K,'Таблиця 1'!$B:$B,$A154,'Таблиця 1'!$I:$I,"Су-27",'Таблиця 1'!$J:$J,"GBU-65"))</f>
        <v/>
      </c>
      <c r="M154">
        <f>IF($A154="","",SUMIFS('Таблиця 1'!$K:$K,'Таблиця 1'!$B:$B,$A154,'Таблиця 1'!$I:$I,"Mirage",'Таблиця 1'!$J:$J,"GBU-62")+SUMIFS('Таблиця 1'!$K:$K,'Таблиця 1'!$B:$B,$A154,'Таблиця 1'!$I:$I,"F-16",'Таблиця 1'!$J:$J,"GBU-62")+SUMIFS('Таблиця 1'!$K:$K,'Таблиця 1'!$B:$B,$A154,'Таблиця 1'!$I:$I,"МіГ-29",'Таблиця 1'!$J:$J,"GBU-62")+SUMIFS('Таблиця 1'!$K:$K,'Таблиця 1'!$B:$B,$A154,'Таблиця 1'!$I:$I,"Су-25",'Таблиця 1'!$J:$J,"GBU-62")+SUMIFS('Таблиця 1'!$K:$K,'Таблиця 1'!$B:$B,$A154,'Таблиця 1'!$I:$I,"Су-27",'Таблиця 1'!$J:$J,"GBU-62"))</f>
        <v/>
      </c>
      <c r="N154">
        <f>IF($A154="","",SUMIFS('Таблиця 1'!$K:$K,'Таблиця 1'!$B:$B,$A154,'Таблиця 1'!$I:$I,"Mirage",'Таблиця 1'!$J:$J,"GBU-64")+SUMIFS('Таблиця 1'!$K:$K,'Таблиця 1'!$B:$B,$A154,'Таблиця 1'!$I:$I,"F-16",'Таблиця 1'!$J:$J,"GBU-64")+SUMIFS('Таблиця 1'!$K:$K,'Таблиця 1'!$B:$B,$A154,'Таблиця 1'!$I:$I,"МіГ-29",'Таблиця 1'!$J:$J,"GBU-64")+SUMIFS('Таблиця 1'!$K:$K,'Таблиця 1'!$B:$B,$A154,'Таблиця 1'!$I:$I,"Су-25",'Таблиця 1'!$J:$J,"GBU-64")+SUMIFS('Таблиця 1'!$K:$K,'Таблиця 1'!$B:$B,$A154,'Таблиця 1'!$I:$I,"Су-27",'Таблиця 1'!$J:$J,"GBU-64"))</f>
        <v/>
      </c>
      <c r="O154">
        <f>IF($A154="","",SUMIFS('Таблиця 1'!$K:$K,'Таблиця 1'!$B:$B,$A154,'Таблиця 1'!$I:$I,"Mirage",'Таблиця 1'!$J:$J,"C-13")+SUMIFS('Таблиця 1'!$K:$K,'Таблиця 1'!$B:$B,$A154,'Таблиця 1'!$I:$I,"F-16",'Таблиця 1'!$J:$J,"C-13")+SUMIFS('Таблиця 1'!$K:$K,'Таблиця 1'!$B:$B,$A154,'Таблиця 1'!$I:$I,"МіГ-29",'Таблиця 1'!$J:$J,"C-13")+SUMIFS('Таблиця 1'!$K:$K,'Таблиця 1'!$B:$B,$A154,'Таблиця 1'!$I:$I,"Су-25",'Таблиця 1'!$J:$J,"C-13")+SUMIFS('Таблиця 1'!$K:$K,'Таблиця 1'!$B:$B,$A154,'Таблиця 1'!$I:$I,"Су-27",'Таблиця 1'!$J:$J,"C-13"))</f>
        <v/>
      </c>
      <c r="P154">
        <f>IF($A154="","",SUMIFS('Таблиця 1'!$K:$K,'Таблиця 1'!$B:$B,$A154,'Таблиця 1'!$I:$I,"Mirage",'Таблиця 1'!$J:$J,"MK-32")+SUMIFS('Таблиця 1'!$K:$K,'Таблиця 1'!$B:$B,$A154,'Таблиця 1'!$I:$I,"F-16",'Таблиця 1'!$J:$J,"MK-32")+SUMIFS('Таблиця 1'!$K:$K,'Таблиця 1'!$B:$B,$A154,'Таблиця 1'!$I:$I,"МіГ-29",'Таблиця 1'!$J:$J,"MK-32")+SUMIFS('Таблиця 1'!$K:$K,'Таблиця 1'!$B:$B,$A154,'Таблиця 1'!$I:$I,"Су-25",'Таблиця 1'!$J:$J,"MK-32")+SUMIFS('Таблиця 1'!$K:$K,'Таблиця 1'!$B:$B,$A154,'Таблиця 1'!$I:$I,"Су-27",'Таблиця 1'!$J:$J,"MK-32"))</f>
        <v/>
      </c>
      <c r="Q154">
        <f>IF($A154="","",SUMIFS('Таблиця 1'!$K:$K,'Таблиця 1'!$B:$B,$A154,'Таблиця 1'!$I:$I,"Mirage",'Таблиця 1'!$J:$J,"MK-24")+SUMIFS('Таблиця 1'!$K:$K,'Таблиця 1'!$B:$B,$A154,'Таблиця 1'!$I:$I,"F-16",'Таблиця 1'!$J:$J,"MK-24")+SUMIFS('Таблиця 1'!$K:$K,'Таблиця 1'!$B:$B,$A154,'Таблиця 1'!$I:$I,"МіГ-29",'Таблиця 1'!$J:$J,"MK-24")+SUMIFS('Таблиця 1'!$K:$K,'Таблиця 1'!$B:$B,$A154,'Таблиця 1'!$I:$I,"Су-25",'Таблиця 1'!$J:$J,"MK-24")+SUMIFS('Таблиця 1'!$K:$K,'Таблиця 1'!$B:$B,$A154,'Таблиця 1'!$I:$I,"Су-27",'Таблиця 1'!$J:$J,"MK-24"))</f>
        <v/>
      </c>
      <c r="R154">
        <f>IF($A154="","",COUNTIFS('Таблиця 1'!$B:$B,$A154,'Таблиця 1'!$I:$I,"Mirage",'Таблиця 1'!$L:$L,"Уражено")+COUNTIFS('Таблиця 1'!$B:$B,$A154,'Таблиця 1'!$I:$I,"F-16",'Таблиця 1'!$L:$L,"Уражено")+COUNTIFS('Таблиця 1'!$B:$B,$A154,'Таблиця 1'!$I:$I,"МіГ-29",'Таблиця 1'!$L:$L,"Уражено")+COUNTIFS('Таблиця 1'!$B:$B,$A154,'Таблиця 1'!$I:$I,"Су-25",'Таблиця 1'!$L:$L,"Уражено")+COUNTIFS('Таблиця 1'!$B:$B,$A154,'Таблиця 1'!$I:$I,"Су-27",'Таблиця 1'!$L:$L,"Уражено"))</f>
        <v/>
      </c>
      <c r="S154">
        <f>IF($A154="","",COUNTIFS('Таблиця 1'!$B:$B,$A154,'Таблиця 1'!$I:$I,"Mirage",'Таблиця 1'!$L:$L,"НЕ уражено")+COUNTIFS('Таблиця 1'!$B:$B,$A154,'Таблиця 1'!$I:$I,"F-16",'Таблиця 1'!$L:$L,"НЕ уражено")+COUNTIFS('Таблиця 1'!$B:$B,$A154,'Таблиця 1'!$I:$I,"МіГ-29",'Таблиця 1'!$L:$L,"НЕ уражено")+COUNTIFS('Таблиця 1'!$B:$B,$A154,'Таблиця 1'!$I:$I,"Су-25",'Таблиця 1'!$L:$L,"НЕ уражено")+COUNTIFS('Таблиця 1'!$B:$B,$A154,'Таблиця 1'!$I:$I,"Су-27",'Таблиця 1'!$L:$L,"НЕ уражено"))</f>
        <v/>
      </c>
      <c r="T154">
        <f>IF($A154="","",COUNTIFS('Таблиця 1'!$B:$B,$A154,'Таблиця 1'!$I:$I,"Mirage",'Таблиця 1'!$L:$L,"Дорозвідується")+COUNTIFS('Таблиця 1'!$B:$B,$A154,'Таблиця 1'!$I:$I,"F-16",'Таблиця 1'!$L:$L,"Дорозвідується")+COUNTIFS('Таблиця 1'!$B:$B,$A154,'Таблиця 1'!$I:$I,"МіГ-29",'Таблиця 1'!$L:$L,"Дорозвідується")+COUNTIFS('Таблиця 1'!$B:$B,$A154,'Таблиця 1'!$I:$I,"Су-25",'Таблиця 1'!$L:$L,"Дорозвідується")+COUNTIFS('Таблиця 1'!$B:$B,$A154,'Таблиця 1'!$I:$I,"Су-27",'Таблиця 1'!$L:$L,"Дорозвідується"))</f>
        <v/>
      </c>
    </row>
    <row r="155">
      <c r="A155" s="273">
        <f>IF(A154="","",IF(A154+1&gt;MAX('Таблиця 1'!$B:$B),"",A154+1))</f>
        <v/>
      </c>
      <c r="B155">
        <f>IF($A155="","",COUNTIFS('Таблиця 1'!$B:$B,$A155,'Таблиця 1'!$I:$I,"Mirage")+COUNTIFS('Таблиця 1'!$B:$B,$A155,'Таблиця 1'!$I:$I,"F-16")+COUNTIFS('Таблиця 1'!$B:$B,$A155,'Таблиця 1'!$I:$I,"МіГ-29")+COUNTIFS('Таблиця 1'!$B:$B,$A155,'Таблиця 1'!$I:$I,"Су-25")+COUNTIFS('Таблиця 1'!$B:$B,$A155,'Таблиця 1'!$I:$I,"Су-27"))</f>
        <v/>
      </c>
      <c r="C155">
        <f>IF($A155="","",COUNTIFS('Таблиця 1'!$B:$B,$A155,'Таблиця 1'!$I:$I,"Mirage"))</f>
        <v/>
      </c>
      <c r="D155">
        <f>IF($A155="","",COUNTIFS('Таблиця 1'!$B:$B,$A155,'Таблиця 1'!$I:$I,"F-16"))</f>
        <v/>
      </c>
      <c r="E155">
        <f>IF($A155="","",COUNTIFS('Таблиця 1'!$B:$B,$A155,'Таблиця 1'!$I:$I,"МіГ-29"))</f>
        <v/>
      </c>
      <c r="F155">
        <f>IF($A155="","",COUNTIFS('Таблиця 1'!$B:$B,$A155,'Таблиця 1'!$I:$I,"Су-25"))</f>
        <v/>
      </c>
      <c r="G155">
        <f>IF($A155="","",COUNTIFS('Таблиця 1'!$B:$B,$A155,'Таблиця 1'!$I:$I,"Су-27"))</f>
        <v/>
      </c>
      <c r="H155">
        <f>IF($A155="","",SUMIFS('Таблиця 1'!$K:$K,'Таблиця 1'!$B:$B,$A155,'Таблиця 1'!$I:$I,"Mirage",'Таблиця 1'!$J:$J,"AGM-88")+SUMIFS('Таблиця 1'!$K:$K,'Таблиця 1'!$B:$B,$A155,'Таблиця 1'!$I:$I,"F-16",'Таблиця 1'!$J:$J,"AGM-88")+SUMIFS('Таблиця 1'!$K:$K,'Таблиця 1'!$B:$B,$A155,'Таблиця 1'!$I:$I,"МіГ-29",'Таблиця 1'!$J:$J,"AGM-88")+SUMIFS('Таблиця 1'!$K:$K,'Таблиця 1'!$B:$B,$A155,'Таблиця 1'!$I:$I,"Су-25",'Таблиця 1'!$J:$J,"AGM-88")+SUMIFS('Таблиця 1'!$K:$K,'Таблиця 1'!$B:$B,$A155,'Таблиця 1'!$I:$I,"Су-27",'Таблиця 1'!$J:$J,"AGM-88"))</f>
        <v/>
      </c>
      <c r="I155">
        <f>IF($A155="","",SUMIFS('Таблиця 1'!$K:$K,'Таблиця 1'!$B:$B,$A155,'Таблиця 1'!$I:$I,"Mirage",'Таблиця 1'!$J:$J,"AASM-250")+SUMIFS('Таблиця 1'!$K:$K,'Таблиця 1'!$B:$B,$A155,'Таблиця 1'!$I:$I,"F-16",'Таблиця 1'!$J:$J,"AASM-250")+SUMIFS('Таблиця 1'!$K:$K,'Таблиця 1'!$B:$B,$A155,'Таблиця 1'!$I:$I,"МіГ-29",'Таблиця 1'!$J:$J,"AASM-250")+SUMIFS('Таблиця 1'!$K:$K,'Таблиця 1'!$B:$B,$A155,'Таблиця 1'!$I:$I,"Су-25",'Таблиця 1'!$J:$J,"AASM-250")+SUMIFS('Таблиця 1'!$K:$K,'Таблиця 1'!$B:$B,$A155,'Таблиця 1'!$I:$I,"Су-27",'Таблиця 1'!$J:$J,"AASM-250"))</f>
        <v/>
      </c>
      <c r="J155">
        <f>IF($A155="","",SUMIFS('Таблиця 1'!$K:$K,'Таблиця 1'!$B:$B,$A155,'Таблиця 1'!$I:$I,"Mirage",'Таблиця 1'!$J:$J,"GBU-39")+SUMIFS('Таблиця 1'!$K:$K,'Таблиця 1'!$B:$B,$A155,'Таблиця 1'!$I:$I,"F-16",'Таблиця 1'!$J:$J,"GBU-39")+SUMIFS('Таблиця 1'!$K:$K,'Таблиця 1'!$B:$B,$A155,'Таблиця 1'!$I:$I,"МіГ-29",'Таблиця 1'!$J:$J,"GBU-39")+SUMIFS('Таблиця 1'!$K:$K,'Таблиця 1'!$B:$B,$A155,'Таблиця 1'!$I:$I,"Су-25",'Таблиця 1'!$J:$J,"GBU-39")+SUMIFS('Таблиця 1'!$K:$K,'Таблиця 1'!$B:$B,$A155,'Таблиця 1'!$I:$I,"Су-27",'Таблиця 1'!$J:$J,"GBU-39"))</f>
        <v/>
      </c>
      <c r="K155">
        <f>IF($A155="","",SUMIFS('Таблиця 1'!$K:$K,'Таблиця 1'!$B:$B,$A155,'Таблиця 1'!$I:$I,"Mirage",'Таблиця 1'!$J:$J,"BLU-140")+SUMIFS('Таблиця 1'!$K:$K,'Таблиця 1'!$B:$B,$A155,'Таблиця 1'!$I:$I,"F-16",'Таблиця 1'!$J:$J,"BLU-140")+SUMIFS('Таблиця 1'!$K:$K,'Таблиця 1'!$B:$B,$A155,'Таблиця 1'!$I:$I,"МіГ-29",'Таблиця 1'!$J:$J,"BLU-140")+SUMIFS('Таблиця 1'!$K:$K,'Таблиця 1'!$B:$B,$A155,'Таблиця 1'!$I:$I,"Су-25",'Таблиця 1'!$J:$J,"BLU-140")+SUMIFS('Таблиця 1'!$K:$K,'Таблиця 1'!$B:$B,$A155,'Таблиця 1'!$I:$I,"Су-27",'Таблиця 1'!$J:$J,"BLU-140"))</f>
        <v/>
      </c>
      <c r="L155">
        <f>IF($A155="","",SUMIFS('Таблиця 1'!$K:$K,'Таблиця 1'!$B:$B,$A155,'Таблиця 1'!$I:$I,"Mirage",'Таблиця 1'!$J:$J,"GBU-65")+SUMIFS('Таблиця 1'!$K:$K,'Таблиця 1'!$B:$B,$A155,'Таблиця 1'!$I:$I,"F-16",'Таблиця 1'!$J:$J,"GBU-65")+SUMIFS('Таблиця 1'!$K:$K,'Таблиця 1'!$B:$B,$A155,'Таблиця 1'!$I:$I,"МіГ-29",'Таблиця 1'!$J:$J,"GBU-65")+SUMIFS('Таблиця 1'!$K:$K,'Таблиця 1'!$B:$B,$A155,'Таблиця 1'!$I:$I,"Су-25",'Таблиця 1'!$J:$J,"GBU-65")+SUMIFS('Таблиця 1'!$K:$K,'Таблиця 1'!$B:$B,$A155,'Таблиця 1'!$I:$I,"Су-27",'Таблиця 1'!$J:$J,"GBU-65"))</f>
        <v/>
      </c>
      <c r="M155">
        <f>IF($A155="","",SUMIFS('Таблиця 1'!$K:$K,'Таблиця 1'!$B:$B,$A155,'Таблиця 1'!$I:$I,"Mirage",'Таблиця 1'!$J:$J,"GBU-62")+SUMIFS('Таблиця 1'!$K:$K,'Таблиця 1'!$B:$B,$A155,'Таблиця 1'!$I:$I,"F-16",'Таблиця 1'!$J:$J,"GBU-62")+SUMIFS('Таблиця 1'!$K:$K,'Таблиця 1'!$B:$B,$A155,'Таблиця 1'!$I:$I,"МіГ-29",'Таблиця 1'!$J:$J,"GBU-62")+SUMIFS('Таблиця 1'!$K:$K,'Таблиця 1'!$B:$B,$A155,'Таблиця 1'!$I:$I,"Су-25",'Таблиця 1'!$J:$J,"GBU-62")+SUMIFS('Таблиця 1'!$K:$K,'Таблиця 1'!$B:$B,$A155,'Таблиця 1'!$I:$I,"Су-27",'Таблиця 1'!$J:$J,"GBU-62"))</f>
        <v/>
      </c>
      <c r="N155">
        <f>IF($A155="","",SUMIFS('Таблиця 1'!$K:$K,'Таблиця 1'!$B:$B,$A155,'Таблиця 1'!$I:$I,"Mirage",'Таблиця 1'!$J:$J,"GBU-64")+SUMIFS('Таблиця 1'!$K:$K,'Таблиця 1'!$B:$B,$A155,'Таблиця 1'!$I:$I,"F-16",'Таблиця 1'!$J:$J,"GBU-64")+SUMIFS('Таблиця 1'!$K:$K,'Таблиця 1'!$B:$B,$A155,'Таблиця 1'!$I:$I,"МіГ-29",'Таблиця 1'!$J:$J,"GBU-64")+SUMIFS('Таблиця 1'!$K:$K,'Таблиця 1'!$B:$B,$A155,'Таблиця 1'!$I:$I,"Су-25",'Таблиця 1'!$J:$J,"GBU-64")+SUMIFS('Таблиця 1'!$K:$K,'Таблиця 1'!$B:$B,$A155,'Таблиця 1'!$I:$I,"Су-27",'Таблиця 1'!$J:$J,"GBU-64"))</f>
        <v/>
      </c>
      <c r="O155">
        <f>IF($A155="","",SUMIFS('Таблиця 1'!$K:$K,'Таблиця 1'!$B:$B,$A155,'Таблиця 1'!$I:$I,"Mirage",'Таблиця 1'!$J:$J,"C-13")+SUMIFS('Таблиця 1'!$K:$K,'Таблиця 1'!$B:$B,$A155,'Таблиця 1'!$I:$I,"F-16",'Таблиця 1'!$J:$J,"C-13")+SUMIFS('Таблиця 1'!$K:$K,'Таблиця 1'!$B:$B,$A155,'Таблиця 1'!$I:$I,"МіГ-29",'Таблиця 1'!$J:$J,"C-13")+SUMIFS('Таблиця 1'!$K:$K,'Таблиця 1'!$B:$B,$A155,'Таблиця 1'!$I:$I,"Су-25",'Таблиця 1'!$J:$J,"C-13")+SUMIFS('Таблиця 1'!$K:$K,'Таблиця 1'!$B:$B,$A155,'Таблиця 1'!$I:$I,"Су-27",'Таблиця 1'!$J:$J,"C-13"))</f>
        <v/>
      </c>
      <c r="P155">
        <f>IF($A155="","",SUMIFS('Таблиця 1'!$K:$K,'Таблиця 1'!$B:$B,$A155,'Таблиця 1'!$I:$I,"Mirage",'Таблиця 1'!$J:$J,"MK-32")+SUMIFS('Таблиця 1'!$K:$K,'Таблиця 1'!$B:$B,$A155,'Таблиця 1'!$I:$I,"F-16",'Таблиця 1'!$J:$J,"MK-32")+SUMIFS('Таблиця 1'!$K:$K,'Таблиця 1'!$B:$B,$A155,'Таблиця 1'!$I:$I,"МіГ-29",'Таблиця 1'!$J:$J,"MK-32")+SUMIFS('Таблиця 1'!$K:$K,'Таблиця 1'!$B:$B,$A155,'Таблиця 1'!$I:$I,"Су-25",'Таблиця 1'!$J:$J,"MK-32")+SUMIFS('Таблиця 1'!$K:$K,'Таблиця 1'!$B:$B,$A155,'Таблиця 1'!$I:$I,"Су-27",'Таблиця 1'!$J:$J,"MK-32"))</f>
        <v/>
      </c>
      <c r="Q155">
        <f>IF($A155="","",SUMIFS('Таблиця 1'!$K:$K,'Таблиця 1'!$B:$B,$A155,'Таблиця 1'!$I:$I,"Mirage",'Таблиця 1'!$J:$J,"MK-24")+SUMIFS('Таблиця 1'!$K:$K,'Таблиця 1'!$B:$B,$A155,'Таблиця 1'!$I:$I,"F-16",'Таблиця 1'!$J:$J,"MK-24")+SUMIFS('Таблиця 1'!$K:$K,'Таблиця 1'!$B:$B,$A155,'Таблиця 1'!$I:$I,"МіГ-29",'Таблиця 1'!$J:$J,"MK-24")+SUMIFS('Таблиця 1'!$K:$K,'Таблиця 1'!$B:$B,$A155,'Таблиця 1'!$I:$I,"Су-25",'Таблиця 1'!$J:$J,"MK-24")+SUMIFS('Таблиця 1'!$K:$K,'Таблиця 1'!$B:$B,$A155,'Таблиця 1'!$I:$I,"Су-27",'Таблиця 1'!$J:$J,"MK-24"))</f>
        <v/>
      </c>
      <c r="R155">
        <f>IF($A155="","",COUNTIFS('Таблиця 1'!$B:$B,$A155,'Таблиця 1'!$I:$I,"Mirage",'Таблиця 1'!$L:$L,"Уражено")+COUNTIFS('Таблиця 1'!$B:$B,$A155,'Таблиця 1'!$I:$I,"F-16",'Таблиця 1'!$L:$L,"Уражено")+COUNTIFS('Таблиця 1'!$B:$B,$A155,'Таблиця 1'!$I:$I,"МіГ-29",'Таблиця 1'!$L:$L,"Уражено")+COUNTIFS('Таблиця 1'!$B:$B,$A155,'Таблиця 1'!$I:$I,"Су-25",'Таблиця 1'!$L:$L,"Уражено")+COUNTIFS('Таблиця 1'!$B:$B,$A155,'Таблиця 1'!$I:$I,"Су-27",'Таблиця 1'!$L:$L,"Уражено"))</f>
        <v/>
      </c>
      <c r="S155">
        <f>IF($A155="","",COUNTIFS('Таблиця 1'!$B:$B,$A155,'Таблиця 1'!$I:$I,"Mirage",'Таблиця 1'!$L:$L,"НЕ уражено")+COUNTIFS('Таблиця 1'!$B:$B,$A155,'Таблиця 1'!$I:$I,"F-16",'Таблиця 1'!$L:$L,"НЕ уражено")+COUNTIFS('Таблиця 1'!$B:$B,$A155,'Таблиця 1'!$I:$I,"МіГ-29",'Таблиця 1'!$L:$L,"НЕ уражено")+COUNTIFS('Таблиця 1'!$B:$B,$A155,'Таблиця 1'!$I:$I,"Су-25",'Таблиця 1'!$L:$L,"НЕ уражено")+COUNTIFS('Таблиця 1'!$B:$B,$A155,'Таблиця 1'!$I:$I,"Су-27",'Таблиця 1'!$L:$L,"НЕ уражено"))</f>
        <v/>
      </c>
      <c r="T155">
        <f>IF($A155="","",COUNTIFS('Таблиця 1'!$B:$B,$A155,'Таблиця 1'!$I:$I,"Mirage",'Таблиця 1'!$L:$L,"Дорозвідується")+COUNTIFS('Таблиця 1'!$B:$B,$A155,'Таблиця 1'!$I:$I,"F-16",'Таблиця 1'!$L:$L,"Дорозвідується")+COUNTIFS('Таблиця 1'!$B:$B,$A155,'Таблиця 1'!$I:$I,"МіГ-29",'Таблиця 1'!$L:$L,"Дорозвідується")+COUNTIFS('Таблиця 1'!$B:$B,$A155,'Таблиця 1'!$I:$I,"Су-25",'Таблиця 1'!$L:$L,"Дорозвідується")+COUNTIFS('Таблиця 1'!$B:$B,$A155,'Таблиця 1'!$I:$I,"Су-27",'Таблиця 1'!$L:$L,"Дорозвідується"))</f>
        <v/>
      </c>
    </row>
    <row r="156">
      <c r="A156" s="273">
        <f>IF(A155="","",IF(A155+1&gt;MAX('Таблиця 1'!$B:$B),"",A155+1))</f>
        <v/>
      </c>
      <c r="B156">
        <f>IF($A156="","",COUNTIFS('Таблиця 1'!$B:$B,$A156,'Таблиця 1'!$I:$I,"Mirage")+COUNTIFS('Таблиця 1'!$B:$B,$A156,'Таблиця 1'!$I:$I,"F-16")+COUNTIFS('Таблиця 1'!$B:$B,$A156,'Таблиця 1'!$I:$I,"МіГ-29")+COUNTIFS('Таблиця 1'!$B:$B,$A156,'Таблиця 1'!$I:$I,"Су-25")+COUNTIFS('Таблиця 1'!$B:$B,$A156,'Таблиця 1'!$I:$I,"Су-27"))</f>
        <v/>
      </c>
      <c r="C156">
        <f>IF($A156="","",COUNTIFS('Таблиця 1'!$B:$B,$A156,'Таблиця 1'!$I:$I,"Mirage"))</f>
        <v/>
      </c>
      <c r="D156">
        <f>IF($A156="","",COUNTIFS('Таблиця 1'!$B:$B,$A156,'Таблиця 1'!$I:$I,"F-16"))</f>
        <v/>
      </c>
      <c r="E156">
        <f>IF($A156="","",COUNTIFS('Таблиця 1'!$B:$B,$A156,'Таблиця 1'!$I:$I,"МіГ-29"))</f>
        <v/>
      </c>
      <c r="F156">
        <f>IF($A156="","",COUNTIFS('Таблиця 1'!$B:$B,$A156,'Таблиця 1'!$I:$I,"Су-25"))</f>
        <v/>
      </c>
      <c r="G156">
        <f>IF($A156="","",COUNTIFS('Таблиця 1'!$B:$B,$A156,'Таблиця 1'!$I:$I,"Су-27"))</f>
        <v/>
      </c>
      <c r="H156">
        <f>IF($A156="","",SUMIFS('Таблиця 1'!$K:$K,'Таблиця 1'!$B:$B,$A156,'Таблиця 1'!$I:$I,"Mirage",'Таблиця 1'!$J:$J,"AGM-88")+SUMIFS('Таблиця 1'!$K:$K,'Таблиця 1'!$B:$B,$A156,'Таблиця 1'!$I:$I,"F-16",'Таблиця 1'!$J:$J,"AGM-88")+SUMIFS('Таблиця 1'!$K:$K,'Таблиця 1'!$B:$B,$A156,'Таблиця 1'!$I:$I,"МіГ-29",'Таблиця 1'!$J:$J,"AGM-88")+SUMIFS('Таблиця 1'!$K:$K,'Таблиця 1'!$B:$B,$A156,'Таблиця 1'!$I:$I,"Су-25",'Таблиця 1'!$J:$J,"AGM-88")+SUMIFS('Таблиця 1'!$K:$K,'Таблиця 1'!$B:$B,$A156,'Таблиця 1'!$I:$I,"Су-27",'Таблиця 1'!$J:$J,"AGM-88"))</f>
        <v/>
      </c>
      <c r="I156">
        <f>IF($A156="","",SUMIFS('Таблиця 1'!$K:$K,'Таблиця 1'!$B:$B,$A156,'Таблиця 1'!$I:$I,"Mirage",'Таблиця 1'!$J:$J,"AASM-250")+SUMIFS('Таблиця 1'!$K:$K,'Таблиця 1'!$B:$B,$A156,'Таблиця 1'!$I:$I,"F-16",'Таблиця 1'!$J:$J,"AASM-250")+SUMIFS('Таблиця 1'!$K:$K,'Таблиця 1'!$B:$B,$A156,'Таблиця 1'!$I:$I,"МіГ-29",'Таблиця 1'!$J:$J,"AASM-250")+SUMIFS('Таблиця 1'!$K:$K,'Таблиця 1'!$B:$B,$A156,'Таблиця 1'!$I:$I,"Су-25",'Таблиця 1'!$J:$J,"AASM-250")+SUMIFS('Таблиця 1'!$K:$K,'Таблиця 1'!$B:$B,$A156,'Таблиця 1'!$I:$I,"Су-27",'Таблиця 1'!$J:$J,"AASM-250"))</f>
        <v/>
      </c>
      <c r="J156">
        <f>IF($A156="","",SUMIFS('Таблиця 1'!$K:$K,'Таблиця 1'!$B:$B,$A156,'Таблиця 1'!$I:$I,"Mirage",'Таблиця 1'!$J:$J,"GBU-39")+SUMIFS('Таблиця 1'!$K:$K,'Таблиця 1'!$B:$B,$A156,'Таблиця 1'!$I:$I,"F-16",'Таблиця 1'!$J:$J,"GBU-39")+SUMIFS('Таблиця 1'!$K:$K,'Таблиця 1'!$B:$B,$A156,'Таблиця 1'!$I:$I,"МіГ-29",'Таблиця 1'!$J:$J,"GBU-39")+SUMIFS('Таблиця 1'!$K:$K,'Таблиця 1'!$B:$B,$A156,'Таблиця 1'!$I:$I,"Су-25",'Таблиця 1'!$J:$J,"GBU-39")+SUMIFS('Таблиця 1'!$K:$K,'Таблиця 1'!$B:$B,$A156,'Таблиця 1'!$I:$I,"Су-27",'Таблиця 1'!$J:$J,"GBU-39"))</f>
        <v/>
      </c>
      <c r="K156">
        <f>IF($A156="","",SUMIFS('Таблиця 1'!$K:$K,'Таблиця 1'!$B:$B,$A156,'Таблиця 1'!$I:$I,"Mirage",'Таблиця 1'!$J:$J,"BLU-140")+SUMIFS('Таблиця 1'!$K:$K,'Таблиця 1'!$B:$B,$A156,'Таблиця 1'!$I:$I,"F-16",'Таблиця 1'!$J:$J,"BLU-140")+SUMIFS('Таблиця 1'!$K:$K,'Таблиця 1'!$B:$B,$A156,'Таблиця 1'!$I:$I,"МіГ-29",'Таблиця 1'!$J:$J,"BLU-140")+SUMIFS('Таблиця 1'!$K:$K,'Таблиця 1'!$B:$B,$A156,'Таблиця 1'!$I:$I,"Су-25",'Таблиця 1'!$J:$J,"BLU-140")+SUMIFS('Таблиця 1'!$K:$K,'Таблиця 1'!$B:$B,$A156,'Таблиця 1'!$I:$I,"Су-27",'Таблиця 1'!$J:$J,"BLU-140"))</f>
        <v/>
      </c>
      <c r="L156">
        <f>IF($A156="","",SUMIFS('Таблиця 1'!$K:$K,'Таблиця 1'!$B:$B,$A156,'Таблиця 1'!$I:$I,"Mirage",'Таблиця 1'!$J:$J,"GBU-65")+SUMIFS('Таблиця 1'!$K:$K,'Таблиця 1'!$B:$B,$A156,'Таблиця 1'!$I:$I,"F-16",'Таблиця 1'!$J:$J,"GBU-65")+SUMIFS('Таблиця 1'!$K:$K,'Таблиця 1'!$B:$B,$A156,'Таблиця 1'!$I:$I,"МіГ-29",'Таблиця 1'!$J:$J,"GBU-65")+SUMIFS('Таблиця 1'!$K:$K,'Таблиця 1'!$B:$B,$A156,'Таблиця 1'!$I:$I,"Су-25",'Таблиця 1'!$J:$J,"GBU-65")+SUMIFS('Таблиця 1'!$K:$K,'Таблиця 1'!$B:$B,$A156,'Таблиця 1'!$I:$I,"Су-27",'Таблиця 1'!$J:$J,"GBU-65"))</f>
        <v/>
      </c>
      <c r="M156">
        <f>IF($A156="","",SUMIFS('Таблиця 1'!$K:$K,'Таблиця 1'!$B:$B,$A156,'Таблиця 1'!$I:$I,"Mirage",'Таблиця 1'!$J:$J,"GBU-62")+SUMIFS('Таблиця 1'!$K:$K,'Таблиця 1'!$B:$B,$A156,'Таблиця 1'!$I:$I,"F-16",'Таблиця 1'!$J:$J,"GBU-62")+SUMIFS('Таблиця 1'!$K:$K,'Таблиця 1'!$B:$B,$A156,'Таблиця 1'!$I:$I,"МіГ-29",'Таблиця 1'!$J:$J,"GBU-62")+SUMIFS('Таблиця 1'!$K:$K,'Таблиця 1'!$B:$B,$A156,'Таблиця 1'!$I:$I,"Су-25",'Таблиця 1'!$J:$J,"GBU-62")+SUMIFS('Таблиця 1'!$K:$K,'Таблиця 1'!$B:$B,$A156,'Таблиця 1'!$I:$I,"Су-27",'Таблиця 1'!$J:$J,"GBU-62"))</f>
        <v/>
      </c>
      <c r="N156">
        <f>IF($A156="","",SUMIFS('Таблиця 1'!$K:$K,'Таблиця 1'!$B:$B,$A156,'Таблиця 1'!$I:$I,"Mirage",'Таблиця 1'!$J:$J,"GBU-64")+SUMIFS('Таблиця 1'!$K:$K,'Таблиця 1'!$B:$B,$A156,'Таблиця 1'!$I:$I,"F-16",'Таблиця 1'!$J:$J,"GBU-64")+SUMIFS('Таблиця 1'!$K:$K,'Таблиця 1'!$B:$B,$A156,'Таблиця 1'!$I:$I,"МіГ-29",'Таблиця 1'!$J:$J,"GBU-64")+SUMIFS('Таблиця 1'!$K:$K,'Таблиця 1'!$B:$B,$A156,'Таблиця 1'!$I:$I,"Су-25",'Таблиця 1'!$J:$J,"GBU-64")+SUMIFS('Таблиця 1'!$K:$K,'Таблиця 1'!$B:$B,$A156,'Таблиця 1'!$I:$I,"Су-27",'Таблиця 1'!$J:$J,"GBU-64"))</f>
        <v/>
      </c>
      <c r="O156">
        <f>IF($A156="","",SUMIFS('Таблиця 1'!$K:$K,'Таблиця 1'!$B:$B,$A156,'Таблиця 1'!$I:$I,"Mirage",'Таблиця 1'!$J:$J,"C-13")+SUMIFS('Таблиця 1'!$K:$K,'Таблиця 1'!$B:$B,$A156,'Таблиця 1'!$I:$I,"F-16",'Таблиця 1'!$J:$J,"C-13")+SUMIFS('Таблиця 1'!$K:$K,'Таблиця 1'!$B:$B,$A156,'Таблиця 1'!$I:$I,"МіГ-29",'Таблиця 1'!$J:$J,"C-13")+SUMIFS('Таблиця 1'!$K:$K,'Таблиця 1'!$B:$B,$A156,'Таблиця 1'!$I:$I,"Су-25",'Таблиця 1'!$J:$J,"C-13")+SUMIFS('Таблиця 1'!$K:$K,'Таблиця 1'!$B:$B,$A156,'Таблиця 1'!$I:$I,"Су-27",'Таблиця 1'!$J:$J,"C-13"))</f>
        <v/>
      </c>
      <c r="P156">
        <f>IF($A156="","",SUMIFS('Таблиця 1'!$K:$K,'Таблиця 1'!$B:$B,$A156,'Таблиця 1'!$I:$I,"Mirage",'Таблиця 1'!$J:$J,"MK-32")+SUMIFS('Таблиця 1'!$K:$K,'Таблиця 1'!$B:$B,$A156,'Таблиця 1'!$I:$I,"F-16",'Таблиця 1'!$J:$J,"MK-32")+SUMIFS('Таблиця 1'!$K:$K,'Таблиця 1'!$B:$B,$A156,'Таблиця 1'!$I:$I,"МіГ-29",'Таблиця 1'!$J:$J,"MK-32")+SUMIFS('Таблиця 1'!$K:$K,'Таблиця 1'!$B:$B,$A156,'Таблиця 1'!$I:$I,"Су-25",'Таблиця 1'!$J:$J,"MK-32")+SUMIFS('Таблиця 1'!$K:$K,'Таблиця 1'!$B:$B,$A156,'Таблиця 1'!$I:$I,"Су-27",'Таблиця 1'!$J:$J,"MK-32"))</f>
        <v/>
      </c>
      <c r="Q156">
        <f>IF($A156="","",SUMIFS('Таблиця 1'!$K:$K,'Таблиця 1'!$B:$B,$A156,'Таблиця 1'!$I:$I,"Mirage",'Таблиця 1'!$J:$J,"MK-24")+SUMIFS('Таблиця 1'!$K:$K,'Таблиця 1'!$B:$B,$A156,'Таблиця 1'!$I:$I,"F-16",'Таблиця 1'!$J:$J,"MK-24")+SUMIFS('Таблиця 1'!$K:$K,'Таблиця 1'!$B:$B,$A156,'Таблиця 1'!$I:$I,"МіГ-29",'Таблиця 1'!$J:$J,"MK-24")+SUMIFS('Таблиця 1'!$K:$K,'Таблиця 1'!$B:$B,$A156,'Таблиця 1'!$I:$I,"Су-25",'Таблиця 1'!$J:$J,"MK-24")+SUMIFS('Таблиця 1'!$K:$K,'Таблиця 1'!$B:$B,$A156,'Таблиця 1'!$I:$I,"Су-27",'Таблиця 1'!$J:$J,"MK-24"))</f>
        <v/>
      </c>
      <c r="R156">
        <f>IF($A156="","",COUNTIFS('Таблиця 1'!$B:$B,$A156,'Таблиця 1'!$I:$I,"Mirage",'Таблиця 1'!$L:$L,"Уражено")+COUNTIFS('Таблиця 1'!$B:$B,$A156,'Таблиця 1'!$I:$I,"F-16",'Таблиця 1'!$L:$L,"Уражено")+COUNTIFS('Таблиця 1'!$B:$B,$A156,'Таблиця 1'!$I:$I,"МіГ-29",'Таблиця 1'!$L:$L,"Уражено")+COUNTIFS('Таблиця 1'!$B:$B,$A156,'Таблиця 1'!$I:$I,"Су-25",'Таблиця 1'!$L:$L,"Уражено")+COUNTIFS('Таблиця 1'!$B:$B,$A156,'Таблиця 1'!$I:$I,"Су-27",'Таблиця 1'!$L:$L,"Уражено"))</f>
        <v/>
      </c>
      <c r="S156">
        <f>IF($A156="","",COUNTIFS('Таблиця 1'!$B:$B,$A156,'Таблиця 1'!$I:$I,"Mirage",'Таблиця 1'!$L:$L,"НЕ уражено")+COUNTIFS('Таблиця 1'!$B:$B,$A156,'Таблиця 1'!$I:$I,"F-16",'Таблиця 1'!$L:$L,"НЕ уражено")+COUNTIFS('Таблиця 1'!$B:$B,$A156,'Таблиця 1'!$I:$I,"МіГ-29",'Таблиця 1'!$L:$L,"НЕ уражено")+COUNTIFS('Таблиця 1'!$B:$B,$A156,'Таблиця 1'!$I:$I,"Су-25",'Таблиця 1'!$L:$L,"НЕ уражено")+COUNTIFS('Таблиця 1'!$B:$B,$A156,'Таблиця 1'!$I:$I,"Су-27",'Таблиця 1'!$L:$L,"НЕ уражено"))</f>
        <v/>
      </c>
      <c r="T156">
        <f>IF($A156="","",COUNTIFS('Таблиця 1'!$B:$B,$A156,'Таблиця 1'!$I:$I,"Mirage",'Таблиця 1'!$L:$L,"Дорозвідується")+COUNTIFS('Таблиця 1'!$B:$B,$A156,'Таблиця 1'!$I:$I,"F-16",'Таблиця 1'!$L:$L,"Дорозвідується")+COUNTIFS('Таблиця 1'!$B:$B,$A156,'Таблиця 1'!$I:$I,"МіГ-29",'Таблиця 1'!$L:$L,"Дорозвідується")+COUNTIFS('Таблиця 1'!$B:$B,$A156,'Таблиця 1'!$I:$I,"Су-25",'Таблиця 1'!$L:$L,"Дорозвідується")+COUNTIFS('Таблиця 1'!$B:$B,$A156,'Таблиця 1'!$I:$I,"Су-27",'Таблиця 1'!$L:$L,"Дорозвідується"))</f>
        <v/>
      </c>
    </row>
    <row r="157">
      <c r="A157" s="273">
        <f>IF(A156="","",IF(A156+1&gt;MAX('Таблиця 1'!$B:$B),"",A156+1))</f>
        <v/>
      </c>
      <c r="B157">
        <f>IF($A157="","",COUNTIFS('Таблиця 1'!$B:$B,$A157,'Таблиця 1'!$I:$I,"Mirage")+COUNTIFS('Таблиця 1'!$B:$B,$A157,'Таблиця 1'!$I:$I,"F-16")+COUNTIFS('Таблиця 1'!$B:$B,$A157,'Таблиця 1'!$I:$I,"МіГ-29")+COUNTIFS('Таблиця 1'!$B:$B,$A157,'Таблиця 1'!$I:$I,"Су-25")+COUNTIFS('Таблиця 1'!$B:$B,$A157,'Таблиця 1'!$I:$I,"Су-27"))</f>
        <v/>
      </c>
      <c r="C157">
        <f>IF($A157="","",COUNTIFS('Таблиця 1'!$B:$B,$A157,'Таблиця 1'!$I:$I,"Mirage"))</f>
        <v/>
      </c>
      <c r="D157">
        <f>IF($A157="","",COUNTIFS('Таблиця 1'!$B:$B,$A157,'Таблиця 1'!$I:$I,"F-16"))</f>
        <v/>
      </c>
      <c r="E157">
        <f>IF($A157="","",COUNTIFS('Таблиця 1'!$B:$B,$A157,'Таблиця 1'!$I:$I,"МіГ-29"))</f>
        <v/>
      </c>
      <c r="F157">
        <f>IF($A157="","",COUNTIFS('Таблиця 1'!$B:$B,$A157,'Таблиця 1'!$I:$I,"Су-25"))</f>
        <v/>
      </c>
      <c r="G157">
        <f>IF($A157="","",COUNTIFS('Таблиця 1'!$B:$B,$A157,'Таблиця 1'!$I:$I,"Су-27"))</f>
        <v/>
      </c>
      <c r="H157">
        <f>IF($A157="","",SUMIFS('Таблиця 1'!$K:$K,'Таблиця 1'!$B:$B,$A157,'Таблиця 1'!$I:$I,"Mirage",'Таблиця 1'!$J:$J,"AGM-88")+SUMIFS('Таблиця 1'!$K:$K,'Таблиця 1'!$B:$B,$A157,'Таблиця 1'!$I:$I,"F-16",'Таблиця 1'!$J:$J,"AGM-88")+SUMIFS('Таблиця 1'!$K:$K,'Таблиця 1'!$B:$B,$A157,'Таблиця 1'!$I:$I,"МіГ-29",'Таблиця 1'!$J:$J,"AGM-88")+SUMIFS('Таблиця 1'!$K:$K,'Таблиця 1'!$B:$B,$A157,'Таблиця 1'!$I:$I,"Су-25",'Таблиця 1'!$J:$J,"AGM-88")+SUMIFS('Таблиця 1'!$K:$K,'Таблиця 1'!$B:$B,$A157,'Таблиця 1'!$I:$I,"Су-27",'Таблиця 1'!$J:$J,"AGM-88"))</f>
        <v/>
      </c>
      <c r="I157">
        <f>IF($A157="","",SUMIFS('Таблиця 1'!$K:$K,'Таблиця 1'!$B:$B,$A157,'Таблиця 1'!$I:$I,"Mirage",'Таблиця 1'!$J:$J,"AASM-250")+SUMIFS('Таблиця 1'!$K:$K,'Таблиця 1'!$B:$B,$A157,'Таблиця 1'!$I:$I,"F-16",'Таблиця 1'!$J:$J,"AASM-250")+SUMIFS('Таблиця 1'!$K:$K,'Таблиця 1'!$B:$B,$A157,'Таблиця 1'!$I:$I,"МіГ-29",'Таблиця 1'!$J:$J,"AASM-250")+SUMIFS('Таблиця 1'!$K:$K,'Таблиця 1'!$B:$B,$A157,'Таблиця 1'!$I:$I,"Су-25",'Таблиця 1'!$J:$J,"AASM-250")+SUMIFS('Таблиця 1'!$K:$K,'Таблиця 1'!$B:$B,$A157,'Таблиця 1'!$I:$I,"Су-27",'Таблиця 1'!$J:$J,"AASM-250"))</f>
        <v/>
      </c>
      <c r="J157">
        <f>IF($A157="","",SUMIFS('Таблиця 1'!$K:$K,'Таблиця 1'!$B:$B,$A157,'Таблиця 1'!$I:$I,"Mirage",'Таблиця 1'!$J:$J,"GBU-39")+SUMIFS('Таблиця 1'!$K:$K,'Таблиця 1'!$B:$B,$A157,'Таблиця 1'!$I:$I,"F-16",'Таблиця 1'!$J:$J,"GBU-39")+SUMIFS('Таблиця 1'!$K:$K,'Таблиця 1'!$B:$B,$A157,'Таблиця 1'!$I:$I,"МіГ-29",'Таблиця 1'!$J:$J,"GBU-39")+SUMIFS('Таблиця 1'!$K:$K,'Таблиця 1'!$B:$B,$A157,'Таблиця 1'!$I:$I,"Су-25",'Таблиця 1'!$J:$J,"GBU-39")+SUMIFS('Таблиця 1'!$K:$K,'Таблиця 1'!$B:$B,$A157,'Таблиця 1'!$I:$I,"Су-27",'Таблиця 1'!$J:$J,"GBU-39"))</f>
        <v/>
      </c>
      <c r="K157">
        <f>IF($A157="","",SUMIFS('Таблиця 1'!$K:$K,'Таблиця 1'!$B:$B,$A157,'Таблиця 1'!$I:$I,"Mirage",'Таблиця 1'!$J:$J,"BLU-140")+SUMIFS('Таблиця 1'!$K:$K,'Таблиця 1'!$B:$B,$A157,'Таблиця 1'!$I:$I,"F-16",'Таблиця 1'!$J:$J,"BLU-140")+SUMIFS('Таблиця 1'!$K:$K,'Таблиця 1'!$B:$B,$A157,'Таблиця 1'!$I:$I,"МіГ-29",'Таблиця 1'!$J:$J,"BLU-140")+SUMIFS('Таблиця 1'!$K:$K,'Таблиця 1'!$B:$B,$A157,'Таблиця 1'!$I:$I,"Су-25",'Таблиця 1'!$J:$J,"BLU-140")+SUMIFS('Таблиця 1'!$K:$K,'Таблиця 1'!$B:$B,$A157,'Таблиця 1'!$I:$I,"Су-27",'Таблиця 1'!$J:$J,"BLU-140"))</f>
        <v/>
      </c>
      <c r="L157">
        <f>IF($A157="","",SUMIFS('Таблиця 1'!$K:$K,'Таблиця 1'!$B:$B,$A157,'Таблиця 1'!$I:$I,"Mirage",'Таблиця 1'!$J:$J,"GBU-65")+SUMIFS('Таблиця 1'!$K:$K,'Таблиця 1'!$B:$B,$A157,'Таблиця 1'!$I:$I,"F-16",'Таблиця 1'!$J:$J,"GBU-65")+SUMIFS('Таблиця 1'!$K:$K,'Таблиця 1'!$B:$B,$A157,'Таблиця 1'!$I:$I,"МіГ-29",'Таблиця 1'!$J:$J,"GBU-65")+SUMIFS('Таблиця 1'!$K:$K,'Таблиця 1'!$B:$B,$A157,'Таблиця 1'!$I:$I,"Су-25",'Таблиця 1'!$J:$J,"GBU-65")+SUMIFS('Таблиця 1'!$K:$K,'Таблиця 1'!$B:$B,$A157,'Таблиця 1'!$I:$I,"Су-27",'Таблиця 1'!$J:$J,"GBU-65"))</f>
        <v/>
      </c>
      <c r="M157">
        <f>IF($A157="","",SUMIFS('Таблиця 1'!$K:$K,'Таблиця 1'!$B:$B,$A157,'Таблиця 1'!$I:$I,"Mirage",'Таблиця 1'!$J:$J,"GBU-62")+SUMIFS('Таблиця 1'!$K:$K,'Таблиця 1'!$B:$B,$A157,'Таблиця 1'!$I:$I,"F-16",'Таблиця 1'!$J:$J,"GBU-62")+SUMIFS('Таблиця 1'!$K:$K,'Таблиця 1'!$B:$B,$A157,'Таблиця 1'!$I:$I,"МіГ-29",'Таблиця 1'!$J:$J,"GBU-62")+SUMIFS('Таблиця 1'!$K:$K,'Таблиця 1'!$B:$B,$A157,'Таблиця 1'!$I:$I,"Су-25",'Таблиця 1'!$J:$J,"GBU-62")+SUMIFS('Таблиця 1'!$K:$K,'Таблиця 1'!$B:$B,$A157,'Таблиця 1'!$I:$I,"Су-27",'Таблиця 1'!$J:$J,"GBU-62"))</f>
        <v/>
      </c>
      <c r="N157">
        <f>IF($A157="","",SUMIFS('Таблиця 1'!$K:$K,'Таблиця 1'!$B:$B,$A157,'Таблиця 1'!$I:$I,"Mirage",'Таблиця 1'!$J:$J,"GBU-64")+SUMIFS('Таблиця 1'!$K:$K,'Таблиця 1'!$B:$B,$A157,'Таблиця 1'!$I:$I,"F-16",'Таблиця 1'!$J:$J,"GBU-64")+SUMIFS('Таблиця 1'!$K:$K,'Таблиця 1'!$B:$B,$A157,'Таблиця 1'!$I:$I,"МіГ-29",'Таблиця 1'!$J:$J,"GBU-64")+SUMIFS('Таблиця 1'!$K:$K,'Таблиця 1'!$B:$B,$A157,'Таблиця 1'!$I:$I,"Су-25",'Таблиця 1'!$J:$J,"GBU-64")+SUMIFS('Таблиця 1'!$K:$K,'Таблиця 1'!$B:$B,$A157,'Таблиця 1'!$I:$I,"Су-27",'Таблиця 1'!$J:$J,"GBU-64"))</f>
        <v/>
      </c>
      <c r="O157">
        <f>IF($A157="","",SUMIFS('Таблиця 1'!$K:$K,'Таблиця 1'!$B:$B,$A157,'Таблиця 1'!$I:$I,"Mirage",'Таблиця 1'!$J:$J,"C-13")+SUMIFS('Таблиця 1'!$K:$K,'Таблиця 1'!$B:$B,$A157,'Таблиця 1'!$I:$I,"F-16",'Таблиця 1'!$J:$J,"C-13")+SUMIFS('Таблиця 1'!$K:$K,'Таблиця 1'!$B:$B,$A157,'Таблиця 1'!$I:$I,"МіГ-29",'Таблиця 1'!$J:$J,"C-13")+SUMIFS('Таблиця 1'!$K:$K,'Таблиця 1'!$B:$B,$A157,'Таблиця 1'!$I:$I,"Су-25",'Таблиця 1'!$J:$J,"C-13")+SUMIFS('Таблиця 1'!$K:$K,'Таблиця 1'!$B:$B,$A157,'Таблиця 1'!$I:$I,"Су-27",'Таблиця 1'!$J:$J,"C-13"))</f>
        <v/>
      </c>
      <c r="P157">
        <f>IF($A157="","",SUMIFS('Таблиця 1'!$K:$K,'Таблиця 1'!$B:$B,$A157,'Таблиця 1'!$I:$I,"Mirage",'Таблиця 1'!$J:$J,"MK-32")+SUMIFS('Таблиця 1'!$K:$K,'Таблиця 1'!$B:$B,$A157,'Таблиця 1'!$I:$I,"F-16",'Таблиця 1'!$J:$J,"MK-32")+SUMIFS('Таблиця 1'!$K:$K,'Таблиця 1'!$B:$B,$A157,'Таблиця 1'!$I:$I,"МіГ-29",'Таблиця 1'!$J:$J,"MK-32")+SUMIFS('Таблиця 1'!$K:$K,'Таблиця 1'!$B:$B,$A157,'Таблиця 1'!$I:$I,"Су-25",'Таблиця 1'!$J:$J,"MK-32")+SUMIFS('Таблиця 1'!$K:$K,'Таблиця 1'!$B:$B,$A157,'Таблиця 1'!$I:$I,"Су-27",'Таблиця 1'!$J:$J,"MK-32"))</f>
        <v/>
      </c>
      <c r="Q157">
        <f>IF($A157="","",SUMIFS('Таблиця 1'!$K:$K,'Таблиця 1'!$B:$B,$A157,'Таблиця 1'!$I:$I,"Mirage",'Таблиця 1'!$J:$J,"MK-24")+SUMIFS('Таблиця 1'!$K:$K,'Таблиця 1'!$B:$B,$A157,'Таблиця 1'!$I:$I,"F-16",'Таблиця 1'!$J:$J,"MK-24")+SUMIFS('Таблиця 1'!$K:$K,'Таблиця 1'!$B:$B,$A157,'Таблиця 1'!$I:$I,"МіГ-29",'Таблиця 1'!$J:$J,"MK-24")+SUMIFS('Таблиця 1'!$K:$K,'Таблиця 1'!$B:$B,$A157,'Таблиця 1'!$I:$I,"Су-25",'Таблиця 1'!$J:$J,"MK-24")+SUMIFS('Таблиця 1'!$K:$K,'Таблиця 1'!$B:$B,$A157,'Таблиця 1'!$I:$I,"Су-27",'Таблиця 1'!$J:$J,"MK-24"))</f>
        <v/>
      </c>
      <c r="R157">
        <f>IF($A157="","",COUNTIFS('Таблиця 1'!$B:$B,$A157,'Таблиця 1'!$I:$I,"Mirage",'Таблиця 1'!$L:$L,"Уражено")+COUNTIFS('Таблиця 1'!$B:$B,$A157,'Таблиця 1'!$I:$I,"F-16",'Таблиця 1'!$L:$L,"Уражено")+COUNTIFS('Таблиця 1'!$B:$B,$A157,'Таблиця 1'!$I:$I,"МіГ-29",'Таблиця 1'!$L:$L,"Уражено")+COUNTIFS('Таблиця 1'!$B:$B,$A157,'Таблиця 1'!$I:$I,"Су-25",'Таблиця 1'!$L:$L,"Уражено")+COUNTIFS('Таблиця 1'!$B:$B,$A157,'Таблиця 1'!$I:$I,"Су-27",'Таблиця 1'!$L:$L,"Уражено"))</f>
        <v/>
      </c>
      <c r="S157">
        <f>IF($A157="","",COUNTIFS('Таблиця 1'!$B:$B,$A157,'Таблиця 1'!$I:$I,"Mirage",'Таблиця 1'!$L:$L,"НЕ уражено")+COUNTIFS('Таблиця 1'!$B:$B,$A157,'Таблиця 1'!$I:$I,"F-16",'Таблиця 1'!$L:$L,"НЕ уражено")+COUNTIFS('Таблиця 1'!$B:$B,$A157,'Таблиця 1'!$I:$I,"МіГ-29",'Таблиця 1'!$L:$L,"НЕ уражено")+COUNTIFS('Таблиця 1'!$B:$B,$A157,'Таблиця 1'!$I:$I,"Су-25",'Таблиця 1'!$L:$L,"НЕ уражено")+COUNTIFS('Таблиця 1'!$B:$B,$A157,'Таблиця 1'!$I:$I,"Су-27",'Таблиця 1'!$L:$L,"НЕ уражено"))</f>
        <v/>
      </c>
      <c r="T157">
        <f>IF($A157="","",COUNTIFS('Таблиця 1'!$B:$B,$A157,'Таблиця 1'!$I:$I,"Mirage",'Таблиця 1'!$L:$L,"Дорозвідується")+COUNTIFS('Таблиця 1'!$B:$B,$A157,'Таблиця 1'!$I:$I,"F-16",'Таблиця 1'!$L:$L,"Дорозвідується")+COUNTIFS('Таблиця 1'!$B:$B,$A157,'Таблиця 1'!$I:$I,"МіГ-29",'Таблиця 1'!$L:$L,"Дорозвідується")+COUNTIFS('Таблиця 1'!$B:$B,$A157,'Таблиця 1'!$I:$I,"Су-25",'Таблиця 1'!$L:$L,"Дорозвідується")+COUNTIFS('Таблиця 1'!$B:$B,$A157,'Таблиця 1'!$I:$I,"Су-27",'Таблиця 1'!$L:$L,"Дорозвідується"))</f>
        <v/>
      </c>
    </row>
    <row r="158">
      <c r="A158" s="273">
        <f>IF(A157="","",IF(A157+1&gt;MAX('Таблиця 1'!$B:$B),"",A157+1))</f>
        <v/>
      </c>
      <c r="B158">
        <f>IF($A158="","",COUNTIFS('Таблиця 1'!$B:$B,$A158,'Таблиця 1'!$I:$I,"Mirage")+COUNTIFS('Таблиця 1'!$B:$B,$A158,'Таблиця 1'!$I:$I,"F-16")+COUNTIFS('Таблиця 1'!$B:$B,$A158,'Таблиця 1'!$I:$I,"МіГ-29")+COUNTIFS('Таблиця 1'!$B:$B,$A158,'Таблиця 1'!$I:$I,"Су-25")+COUNTIFS('Таблиця 1'!$B:$B,$A158,'Таблиця 1'!$I:$I,"Су-27"))</f>
        <v/>
      </c>
      <c r="C158">
        <f>IF($A158="","",COUNTIFS('Таблиця 1'!$B:$B,$A158,'Таблиця 1'!$I:$I,"Mirage"))</f>
        <v/>
      </c>
      <c r="D158">
        <f>IF($A158="","",COUNTIFS('Таблиця 1'!$B:$B,$A158,'Таблиця 1'!$I:$I,"F-16"))</f>
        <v/>
      </c>
      <c r="E158">
        <f>IF($A158="","",COUNTIFS('Таблиця 1'!$B:$B,$A158,'Таблиця 1'!$I:$I,"МіГ-29"))</f>
        <v/>
      </c>
      <c r="F158">
        <f>IF($A158="","",COUNTIFS('Таблиця 1'!$B:$B,$A158,'Таблиця 1'!$I:$I,"Су-25"))</f>
        <v/>
      </c>
      <c r="G158">
        <f>IF($A158="","",COUNTIFS('Таблиця 1'!$B:$B,$A158,'Таблиця 1'!$I:$I,"Су-27"))</f>
        <v/>
      </c>
      <c r="H158">
        <f>IF($A158="","",SUMIFS('Таблиця 1'!$K:$K,'Таблиця 1'!$B:$B,$A158,'Таблиця 1'!$I:$I,"Mirage",'Таблиця 1'!$J:$J,"AGM-88")+SUMIFS('Таблиця 1'!$K:$K,'Таблиця 1'!$B:$B,$A158,'Таблиця 1'!$I:$I,"F-16",'Таблиця 1'!$J:$J,"AGM-88")+SUMIFS('Таблиця 1'!$K:$K,'Таблиця 1'!$B:$B,$A158,'Таблиця 1'!$I:$I,"МіГ-29",'Таблиця 1'!$J:$J,"AGM-88")+SUMIFS('Таблиця 1'!$K:$K,'Таблиця 1'!$B:$B,$A158,'Таблиця 1'!$I:$I,"Су-25",'Таблиця 1'!$J:$J,"AGM-88")+SUMIFS('Таблиця 1'!$K:$K,'Таблиця 1'!$B:$B,$A158,'Таблиця 1'!$I:$I,"Су-27",'Таблиця 1'!$J:$J,"AGM-88"))</f>
        <v/>
      </c>
      <c r="I158">
        <f>IF($A158="","",SUMIFS('Таблиця 1'!$K:$K,'Таблиця 1'!$B:$B,$A158,'Таблиця 1'!$I:$I,"Mirage",'Таблиця 1'!$J:$J,"AASM-250")+SUMIFS('Таблиця 1'!$K:$K,'Таблиця 1'!$B:$B,$A158,'Таблиця 1'!$I:$I,"F-16",'Таблиця 1'!$J:$J,"AASM-250")+SUMIFS('Таблиця 1'!$K:$K,'Таблиця 1'!$B:$B,$A158,'Таблиця 1'!$I:$I,"МіГ-29",'Таблиця 1'!$J:$J,"AASM-250")+SUMIFS('Таблиця 1'!$K:$K,'Таблиця 1'!$B:$B,$A158,'Таблиця 1'!$I:$I,"Су-25",'Таблиця 1'!$J:$J,"AASM-250")+SUMIFS('Таблиця 1'!$K:$K,'Таблиця 1'!$B:$B,$A158,'Таблиця 1'!$I:$I,"Су-27",'Таблиця 1'!$J:$J,"AASM-250"))</f>
        <v/>
      </c>
      <c r="J158">
        <f>IF($A158="","",SUMIFS('Таблиця 1'!$K:$K,'Таблиця 1'!$B:$B,$A158,'Таблиця 1'!$I:$I,"Mirage",'Таблиця 1'!$J:$J,"GBU-39")+SUMIFS('Таблиця 1'!$K:$K,'Таблиця 1'!$B:$B,$A158,'Таблиця 1'!$I:$I,"F-16",'Таблиця 1'!$J:$J,"GBU-39")+SUMIFS('Таблиця 1'!$K:$K,'Таблиця 1'!$B:$B,$A158,'Таблиця 1'!$I:$I,"МіГ-29",'Таблиця 1'!$J:$J,"GBU-39")+SUMIFS('Таблиця 1'!$K:$K,'Таблиця 1'!$B:$B,$A158,'Таблиця 1'!$I:$I,"Су-25",'Таблиця 1'!$J:$J,"GBU-39")+SUMIFS('Таблиця 1'!$K:$K,'Таблиця 1'!$B:$B,$A158,'Таблиця 1'!$I:$I,"Су-27",'Таблиця 1'!$J:$J,"GBU-39"))</f>
        <v/>
      </c>
      <c r="K158">
        <f>IF($A158="","",SUMIFS('Таблиця 1'!$K:$K,'Таблиця 1'!$B:$B,$A158,'Таблиця 1'!$I:$I,"Mirage",'Таблиця 1'!$J:$J,"BLU-140")+SUMIFS('Таблиця 1'!$K:$K,'Таблиця 1'!$B:$B,$A158,'Таблиця 1'!$I:$I,"F-16",'Таблиця 1'!$J:$J,"BLU-140")+SUMIFS('Таблиця 1'!$K:$K,'Таблиця 1'!$B:$B,$A158,'Таблиця 1'!$I:$I,"МіГ-29",'Таблиця 1'!$J:$J,"BLU-140")+SUMIFS('Таблиця 1'!$K:$K,'Таблиця 1'!$B:$B,$A158,'Таблиця 1'!$I:$I,"Су-25",'Таблиця 1'!$J:$J,"BLU-140")+SUMIFS('Таблиця 1'!$K:$K,'Таблиця 1'!$B:$B,$A158,'Таблиця 1'!$I:$I,"Су-27",'Таблиця 1'!$J:$J,"BLU-140"))</f>
        <v/>
      </c>
      <c r="L158">
        <f>IF($A158="","",SUMIFS('Таблиця 1'!$K:$K,'Таблиця 1'!$B:$B,$A158,'Таблиця 1'!$I:$I,"Mirage",'Таблиця 1'!$J:$J,"GBU-65")+SUMIFS('Таблиця 1'!$K:$K,'Таблиця 1'!$B:$B,$A158,'Таблиця 1'!$I:$I,"F-16",'Таблиця 1'!$J:$J,"GBU-65")+SUMIFS('Таблиця 1'!$K:$K,'Таблиця 1'!$B:$B,$A158,'Таблиця 1'!$I:$I,"МіГ-29",'Таблиця 1'!$J:$J,"GBU-65")+SUMIFS('Таблиця 1'!$K:$K,'Таблиця 1'!$B:$B,$A158,'Таблиця 1'!$I:$I,"Су-25",'Таблиця 1'!$J:$J,"GBU-65")+SUMIFS('Таблиця 1'!$K:$K,'Таблиця 1'!$B:$B,$A158,'Таблиця 1'!$I:$I,"Су-27",'Таблиця 1'!$J:$J,"GBU-65"))</f>
        <v/>
      </c>
      <c r="M158">
        <f>IF($A158="","",SUMIFS('Таблиця 1'!$K:$K,'Таблиця 1'!$B:$B,$A158,'Таблиця 1'!$I:$I,"Mirage",'Таблиця 1'!$J:$J,"GBU-62")+SUMIFS('Таблиця 1'!$K:$K,'Таблиця 1'!$B:$B,$A158,'Таблиця 1'!$I:$I,"F-16",'Таблиця 1'!$J:$J,"GBU-62")+SUMIFS('Таблиця 1'!$K:$K,'Таблиця 1'!$B:$B,$A158,'Таблиця 1'!$I:$I,"МіГ-29",'Таблиця 1'!$J:$J,"GBU-62")+SUMIFS('Таблиця 1'!$K:$K,'Таблиця 1'!$B:$B,$A158,'Таблиця 1'!$I:$I,"Су-25",'Таблиця 1'!$J:$J,"GBU-62")+SUMIFS('Таблиця 1'!$K:$K,'Таблиця 1'!$B:$B,$A158,'Таблиця 1'!$I:$I,"Су-27",'Таблиця 1'!$J:$J,"GBU-62"))</f>
        <v/>
      </c>
      <c r="N158">
        <f>IF($A158="","",SUMIFS('Таблиця 1'!$K:$K,'Таблиця 1'!$B:$B,$A158,'Таблиця 1'!$I:$I,"Mirage",'Таблиця 1'!$J:$J,"GBU-64")+SUMIFS('Таблиця 1'!$K:$K,'Таблиця 1'!$B:$B,$A158,'Таблиця 1'!$I:$I,"F-16",'Таблиця 1'!$J:$J,"GBU-64")+SUMIFS('Таблиця 1'!$K:$K,'Таблиця 1'!$B:$B,$A158,'Таблиця 1'!$I:$I,"МіГ-29",'Таблиця 1'!$J:$J,"GBU-64")+SUMIFS('Таблиця 1'!$K:$K,'Таблиця 1'!$B:$B,$A158,'Таблиця 1'!$I:$I,"Су-25",'Таблиця 1'!$J:$J,"GBU-64")+SUMIFS('Таблиця 1'!$K:$K,'Таблиця 1'!$B:$B,$A158,'Таблиця 1'!$I:$I,"Су-27",'Таблиця 1'!$J:$J,"GBU-64"))</f>
        <v/>
      </c>
      <c r="O158">
        <f>IF($A158="","",SUMIFS('Таблиця 1'!$K:$K,'Таблиця 1'!$B:$B,$A158,'Таблиця 1'!$I:$I,"Mirage",'Таблиця 1'!$J:$J,"C-13")+SUMIFS('Таблиця 1'!$K:$K,'Таблиця 1'!$B:$B,$A158,'Таблиця 1'!$I:$I,"F-16",'Таблиця 1'!$J:$J,"C-13")+SUMIFS('Таблиця 1'!$K:$K,'Таблиця 1'!$B:$B,$A158,'Таблиця 1'!$I:$I,"МіГ-29",'Таблиця 1'!$J:$J,"C-13")+SUMIFS('Таблиця 1'!$K:$K,'Таблиця 1'!$B:$B,$A158,'Таблиця 1'!$I:$I,"Су-25",'Таблиця 1'!$J:$J,"C-13")+SUMIFS('Таблиця 1'!$K:$K,'Таблиця 1'!$B:$B,$A158,'Таблиця 1'!$I:$I,"Су-27",'Таблиця 1'!$J:$J,"C-13"))</f>
        <v/>
      </c>
      <c r="P158">
        <f>IF($A158="","",SUMIFS('Таблиця 1'!$K:$K,'Таблиця 1'!$B:$B,$A158,'Таблиця 1'!$I:$I,"Mirage",'Таблиця 1'!$J:$J,"MK-32")+SUMIFS('Таблиця 1'!$K:$K,'Таблиця 1'!$B:$B,$A158,'Таблиця 1'!$I:$I,"F-16",'Таблиця 1'!$J:$J,"MK-32")+SUMIFS('Таблиця 1'!$K:$K,'Таблиця 1'!$B:$B,$A158,'Таблиця 1'!$I:$I,"МіГ-29",'Таблиця 1'!$J:$J,"MK-32")+SUMIFS('Таблиця 1'!$K:$K,'Таблиця 1'!$B:$B,$A158,'Таблиця 1'!$I:$I,"Су-25",'Таблиця 1'!$J:$J,"MK-32")+SUMIFS('Таблиця 1'!$K:$K,'Таблиця 1'!$B:$B,$A158,'Таблиця 1'!$I:$I,"Су-27",'Таблиця 1'!$J:$J,"MK-32"))</f>
        <v/>
      </c>
      <c r="Q158">
        <f>IF($A158="","",SUMIFS('Таблиця 1'!$K:$K,'Таблиця 1'!$B:$B,$A158,'Таблиця 1'!$I:$I,"Mirage",'Таблиця 1'!$J:$J,"MK-24")+SUMIFS('Таблиця 1'!$K:$K,'Таблиця 1'!$B:$B,$A158,'Таблиця 1'!$I:$I,"F-16",'Таблиця 1'!$J:$J,"MK-24")+SUMIFS('Таблиця 1'!$K:$K,'Таблиця 1'!$B:$B,$A158,'Таблиця 1'!$I:$I,"МіГ-29",'Таблиця 1'!$J:$J,"MK-24")+SUMIFS('Таблиця 1'!$K:$K,'Таблиця 1'!$B:$B,$A158,'Таблиця 1'!$I:$I,"Су-25",'Таблиця 1'!$J:$J,"MK-24")+SUMIFS('Таблиця 1'!$K:$K,'Таблиця 1'!$B:$B,$A158,'Таблиця 1'!$I:$I,"Су-27",'Таблиця 1'!$J:$J,"MK-24"))</f>
        <v/>
      </c>
      <c r="R158">
        <f>IF($A158="","",COUNTIFS('Таблиця 1'!$B:$B,$A158,'Таблиця 1'!$I:$I,"Mirage",'Таблиця 1'!$L:$L,"Уражено")+COUNTIFS('Таблиця 1'!$B:$B,$A158,'Таблиця 1'!$I:$I,"F-16",'Таблиця 1'!$L:$L,"Уражено")+COUNTIFS('Таблиця 1'!$B:$B,$A158,'Таблиця 1'!$I:$I,"МіГ-29",'Таблиця 1'!$L:$L,"Уражено")+COUNTIFS('Таблиця 1'!$B:$B,$A158,'Таблиця 1'!$I:$I,"Су-25",'Таблиця 1'!$L:$L,"Уражено")+COUNTIFS('Таблиця 1'!$B:$B,$A158,'Таблиця 1'!$I:$I,"Су-27",'Таблиця 1'!$L:$L,"Уражено"))</f>
        <v/>
      </c>
      <c r="S158">
        <f>IF($A158="","",COUNTIFS('Таблиця 1'!$B:$B,$A158,'Таблиця 1'!$I:$I,"Mirage",'Таблиця 1'!$L:$L,"НЕ уражено")+COUNTIFS('Таблиця 1'!$B:$B,$A158,'Таблиця 1'!$I:$I,"F-16",'Таблиця 1'!$L:$L,"НЕ уражено")+COUNTIFS('Таблиця 1'!$B:$B,$A158,'Таблиця 1'!$I:$I,"МіГ-29",'Таблиця 1'!$L:$L,"НЕ уражено")+COUNTIFS('Таблиця 1'!$B:$B,$A158,'Таблиця 1'!$I:$I,"Су-25",'Таблиця 1'!$L:$L,"НЕ уражено")+COUNTIFS('Таблиця 1'!$B:$B,$A158,'Таблиця 1'!$I:$I,"Су-27",'Таблиця 1'!$L:$L,"НЕ уражено"))</f>
        <v/>
      </c>
      <c r="T158">
        <f>IF($A158="","",COUNTIFS('Таблиця 1'!$B:$B,$A158,'Таблиця 1'!$I:$I,"Mirage",'Таблиця 1'!$L:$L,"Дорозвідується")+COUNTIFS('Таблиця 1'!$B:$B,$A158,'Таблиця 1'!$I:$I,"F-16",'Таблиця 1'!$L:$L,"Дорозвідується")+COUNTIFS('Таблиця 1'!$B:$B,$A158,'Таблиця 1'!$I:$I,"МіГ-29",'Таблиця 1'!$L:$L,"Дорозвідується")+COUNTIFS('Таблиця 1'!$B:$B,$A158,'Таблиця 1'!$I:$I,"Су-25",'Таблиця 1'!$L:$L,"Дорозвідується")+COUNTIFS('Таблиця 1'!$B:$B,$A158,'Таблиця 1'!$I:$I,"Су-27",'Таблиця 1'!$L:$L,"Дорозвідується"))</f>
        <v/>
      </c>
    </row>
    <row r="159">
      <c r="A159" s="273">
        <f>IF(A158="","",IF(A158+1&gt;MAX('Таблиця 1'!$B:$B),"",A158+1))</f>
        <v/>
      </c>
      <c r="B159">
        <f>IF($A159="","",COUNTIFS('Таблиця 1'!$B:$B,$A159,'Таблиця 1'!$I:$I,"Mirage")+COUNTIFS('Таблиця 1'!$B:$B,$A159,'Таблиця 1'!$I:$I,"F-16")+COUNTIFS('Таблиця 1'!$B:$B,$A159,'Таблиця 1'!$I:$I,"МіГ-29")+COUNTIFS('Таблиця 1'!$B:$B,$A159,'Таблиця 1'!$I:$I,"Су-25")+COUNTIFS('Таблиця 1'!$B:$B,$A159,'Таблиця 1'!$I:$I,"Су-27"))</f>
        <v/>
      </c>
      <c r="C159">
        <f>IF($A159="","",COUNTIFS('Таблиця 1'!$B:$B,$A159,'Таблиця 1'!$I:$I,"Mirage"))</f>
        <v/>
      </c>
      <c r="D159">
        <f>IF($A159="","",COUNTIFS('Таблиця 1'!$B:$B,$A159,'Таблиця 1'!$I:$I,"F-16"))</f>
        <v/>
      </c>
      <c r="E159">
        <f>IF($A159="","",COUNTIFS('Таблиця 1'!$B:$B,$A159,'Таблиця 1'!$I:$I,"МіГ-29"))</f>
        <v/>
      </c>
      <c r="F159">
        <f>IF($A159="","",COUNTIFS('Таблиця 1'!$B:$B,$A159,'Таблиця 1'!$I:$I,"Су-25"))</f>
        <v/>
      </c>
      <c r="G159">
        <f>IF($A159="","",COUNTIFS('Таблиця 1'!$B:$B,$A159,'Таблиця 1'!$I:$I,"Су-27"))</f>
        <v/>
      </c>
      <c r="H159">
        <f>IF($A159="","",SUMIFS('Таблиця 1'!$K:$K,'Таблиця 1'!$B:$B,$A159,'Таблиця 1'!$I:$I,"Mirage",'Таблиця 1'!$J:$J,"AGM-88")+SUMIFS('Таблиця 1'!$K:$K,'Таблиця 1'!$B:$B,$A159,'Таблиця 1'!$I:$I,"F-16",'Таблиця 1'!$J:$J,"AGM-88")+SUMIFS('Таблиця 1'!$K:$K,'Таблиця 1'!$B:$B,$A159,'Таблиця 1'!$I:$I,"МіГ-29",'Таблиця 1'!$J:$J,"AGM-88")+SUMIFS('Таблиця 1'!$K:$K,'Таблиця 1'!$B:$B,$A159,'Таблиця 1'!$I:$I,"Су-25",'Таблиця 1'!$J:$J,"AGM-88")+SUMIFS('Таблиця 1'!$K:$K,'Таблиця 1'!$B:$B,$A159,'Таблиця 1'!$I:$I,"Су-27",'Таблиця 1'!$J:$J,"AGM-88"))</f>
        <v/>
      </c>
      <c r="I159">
        <f>IF($A159="","",SUMIFS('Таблиця 1'!$K:$K,'Таблиця 1'!$B:$B,$A159,'Таблиця 1'!$I:$I,"Mirage",'Таблиця 1'!$J:$J,"AASM-250")+SUMIFS('Таблиця 1'!$K:$K,'Таблиця 1'!$B:$B,$A159,'Таблиця 1'!$I:$I,"F-16",'Таблиця 1'!$J:$J,"AASM-250")+SUMIFS('Таблиця 1'!$K:$K,'Таблиця 1'!$B:$B,$A159,'Таблиця 1'!$I:$I,"МіГ-29",'Таблиця 1'!$J:$J,"AASM-250")+SUMIFS('Таблиця 1'!$K:$K,'Таблиця 1'!$B:$B,$A159,'Таблиця 1'!$I:$I,"Су-25",'Таблиця 1'!$J:$J,"AASM-250")+SUMIFS('Таблиця 1'!$K:$K,'Таблиця 1'!$B:$B,$A159,'Таблиця 1'!$I:$I,"Су-27",'Таблиця 1'!$J:$J,"AASM-250"))</f>
        <v/>
      </c>
      <c r="J159">
        <f>IF($A159="","",SUMIFS('Таблиця 1'!$K:$K,'Таблиця 1'!$B:$B,$A159,'Таблиця 1'!$I:$I,"Mirage",'Таблиця 1'!$J:$J,"GBU-39")+SUMIFS('Таблиця 1'!$K:$K,'Таблиця 1'!$B:$B,$A159,'Таблиця 1'!$I:$I,"F-16",'Таблиця 1'!$J:$J,"GBU-39")+SUMIFS('Таблиця 1'!$K:$K,'Таблиця 1'!$B:$B,$A159,'Таблиця 1'!$I:$I,"МіГ-29",'Таблиця 1'!$J:$J,"GBU-39")+SUMIFS('Таблиця 1'!$K:$K,'Таблиця 1'!$B:$B,$A159,'Таблиця 1'!$I:$I,"Су-25",'Таблиця 1'!$J:$J,"GBU-39")+SUMIFS('Таблиця 1'!$K:$K,'Таблиця 1'!$B:$B,$A159,'Таблиця 1'!$I:$I,"Су-27",'Таблиця 1'!$J:$J,"GBU-39"))</f>
        <v/>
      </c>
      <c r="K159">
        <f>IF($A159="","",SUMIFS('Таблиця 1'!$K:$K,'Таблиця 1'!$B:$B,$A159,'Таблиця 1'!$I:$I,"Mirage",'Таблиця 1'!$J:$J,"BLU-140")+SUMIFS('Таблиця 1'!$K:$K,'Таблиця 1'!$B:$B,$A159,'Таблиця 1'!$I:$I,"F-16",'Таблиця 1'!$J:$J,"BLU-140")+SUMIFS('Таблиця 1'!$K:$K,'Таблиця 1'!$B:$B,$A159,'Таблиця 1'!$I:$I,"МіГ-29",'Таблиця 1'!$J:$J,"BLU-140")+SUMIFS('Таблиця 1'!$K:$K,'Таблиця 1'!$B:$B,$A159,'Таблиця 1'!$I:$I,"Су-25",'Таблиця 1'!$J:$J,"BLU-140")+SUMIFS('Таблиця 1'!$K:$K,'Таблиця 1'!$B:$B,$A159,'Таблиця 1'!$I:$I,"Су-27",'Таблиця 1'!$J:$J,"BLU-140"))</f>
        <v/>
      </c>
      <c r="L159">
        <f>IF($A159="","",SUMIFS('Таблиця 1'!$K:$K,'Таблиця 1'!$B:$B,$A159,'Таблиця 1'!$I:$I,"Mirage",'Таблиця 1'!$J:$J,"GBU-65")+SUMIFS('Таблиця 1'!$K:$K,'Таблиця 1'!$B:$B,$A159,'Таблиця 1'!$I:$I,"F-16",'Таблиця 1'!$J:$J,"GBU-65")+SUMIFS('Таблиця 1'!$K:$K,'Таблиця 1'!$B:$B,$A159,'Таблиця 1'!$I:$I,"МіГ-29",'Таблиця 1'!$J:$J,"GBU-65")+SUMIFS('Таблиця 1'!$K:$K,'Таблиця 1'!$B:$B,$A159,'Таблиця 1'!$I:$I,"Су-25",'Таблиця 1'!$J:$J,"GBU-65")+SUMIFS('Таблиця 1'!$K:$K,'Таблиця 1'!$B:$B,$A159,'Таблиця 1'!$I:$I,"Су-27",'Таблиця 1'!$J:$J,"GBU-65"))</f>
        <v/>
      </c>
      <c r="M159">
        <f>IF($A159="","",SUMIFS('Таблиця 1'!$K:$K,'Таблиця 1'!$B:$B,$A159,'Таблиця 1'!$I:$I,"Mirage",'Таблиця 1'!$J:$J,"GBU-62")+SUMIFS('Таблиця 1'!$K:$K,'Таблиця 1'!$B:$B,$A159,'Таблиця 1'!$I:$I,"F-16",'Таблиця 1'!$J:$J,"GBU-62")+SUMIFS('Таблиця 1'!$K:$K,'Таблиця 1'!$B:$B,$A159,'Таблиця 1'!$I:$I,"МіГ-29",'Таблиця 1'!$J:$J,"GBU-62")+SUMIFS('Таблиця 1'!$K:$K,'Таблиця 1'!$B:$B,$A159,'Таблиця 1'!$I:$I,"Су-25",'Таблиця 1'!$J:$J,"GBU-62")+SUMIFS('Таблиця 1'!$K:$K,'Таблиця 1'!$B:$B,$A159,'Таблиця 1'!$I:$I,"Су-27",'Таблиця 1'!$J:$J,"GBU-62"))</f>
        <v/>
      </c>
      <c r="N159">
        <f>IF($A159="","",SUMIFS('Таблиця 1'!$K:$K,'Таблиця 1'!$B:$B,$A159,'Таблиця 1'!$I:$I,"Mirage",'Таблиця 1'!$J:$J,"GBU-64")+SUMIFS('Таблиця 1'!$K:$K,'Таблиця 1'!$B:$B,$A159,'Таблиця 1'!$I:$I,"F-16",'Таблиця 1'!$J:$J,"GBU-64")+SUMIFS('Таблиця 1'!$K:$K,'Таблиця 1'!$B:$B,$A159,'Таблиця 1'!$I:$I,"МіГ-29",'Таблиця 1'!$J:$J,"GBU-64")+SUMIFS('Таблиця 1'!$K:$K,'Таблиця 1'!$B:$B,$A159,'Таблиця 1'!$I:$I,"Су-25",'Таблиця 1'!$J:$J,"GBU-64")+SUMIFS('Таблиця 1'!$K:$K,'Таблиця 1'!$B:$B,$A159,'Таблиця 1'!$I:$I,"Су-27",'Таблиця 1'!$J:$J,"GBU-64"))</f>
        <v/>
      </c>
      <c r="O159">
        <f>IF($A159="","",SUMIFS('Таблиця 1'!$K:$K,'Таблиця 1'!$B:$B,$A159,'Таблиця 1'!$I:$I,"Mirage",'Таблиця 1'!$J:$J,"C-13")+SUMIFS('Таблиця 1'!$K:$K,'Таблиця 1'!$B:$B,$A159,'Таблиця 1'!$I:$I,"F-16",'Таблиця 1'!$J:$J,"C-13")+SUMIFS('Таблиця 1'!$K:$K,'Таблиця 1'!$B:$B,$A159,'Таблиця 1'!$I:$I,"МіГ-29",'Таблиця 1'!$J:$J,"C-13")+SUMIFS('Таблиця 1'!$K:$K,'Таблиця 1'!$B:$B,$A159,'Таблиця 1'!$I:$I,"Су-25",'Таблиця 1'!$J:$J,"C-13")+SUMIFS('Таблиця 1'!$K:$K,'Таблиця 1'!$B:$B,$A159,'Таблиця 1'!$I:$I,"Су-27",'Таблиця 1'!$J:$J,"C-13"))</f>
        <v/>
      </c>
      <c r="P159">
        <f>IF($A159="","",SUMIFS('Таблиця 1'!$K:$K,'Таблиця 1'!$B:$B,$A159,'Таблиця 1'!$I:$I,"Mirage",'Таблиця 1'!$J:$J,"MK-32")+SUMIFS('Таблиця 1'!$K:$K,'Таблиця 1'!$B:$B,$A159,'Таблиця 1'!$I:$I,"F-16",'Таблиця 1'!$J:$J,"MK-32")+SUMIFS('Таблиця 1'!$K:$K,'Таблиця 1'!$B:$B,$A159,'Таблиця 1'!$I:$I,"МіГ-29",'Таблиця 1'!$J:$J,"MK-32")+SUMIFS('Таблиця 1'!$K:$K,'Таблиця 1'!$B:$B,$A159,'Таблиця 1'!$I:$I,"Су-25",'Таблиця 1'!$J:$J,"MK-32")+SUMIFS('Таблиця 1'!$K:$K,'Таблиця 1'!$B:$B,$A159,'Таблиця 1'!$I:$I,"Су-27",'Таблиця 1'!$J:$J,"MK-32"))</f>
        <v/>
      </c>
      <c r="Q159">
        <f>IF($A159="","",SUMIFS('Таблиця 1'!$K:$K,'Таблиця 1'!$B:$B,$A159,'Таблиця 1'!$I:$I,"Mirage",'Таблиця 1'!$J:$J,"MK-24")+SUMIFS('Таблиця 1'!$K:$K,'Таблиця 1'!$B:$B,$A159,'Таблиця 1'!$I:$I,"F-16",'Таблиця 1'!$J:$J,"MK-24")+SUMIFS('Таблиця 1'!$K:$K,'Таблиця 1'!$B:$B,$A159,'Таблиця 1'!$I:$I,"МіГ-29",'Таблиця 1'!$J:$J,"MK-24")+SUMIFS('Таблиця 1'!$K:$K,'Таблиця 1'!$B:$B,$A159,'Таблиця 1'!$I:$I,"Су-25",'Таблиця 1'!$J:$J,"MK-24")+SUMIFS('Таблиця 1'!$K:$K,'Таблиця 1'!$B:$B,$A159,'Таблиця 1'!$I:$I,"Су-27",'Таблиця 1'!$J:$J,"MK-24"))</f>
        <v/>
      </c>
      <c r="R159">
        <f>IF($A159="","",COUNTIFS('Таблиця 1'!$B:$B,$A159,'Таблиця 1'!$I:$I,"Mirage",'Таблиця 1'!$L:$L,"Уражено")+COUNTIFS('Таблиця 1'!$B:$B,$A159,'Таблиця 1'!$I:$I,"F-16",'Таблиця 1'!$L:$L,"Уражено")+COUNTIFS('Таблиця 1'!$B:$B,$A159,'Таблиця 1'!$I:$I,"МіГ-29",'Таблиця 1'!$L:$L,"Уражено")+COUNTIFS('Таблиця 1'!$B:$B,$A159,'Таблиця 1'!$I:$I,"Су-25",'Таблиця 1'!$L:$L,"Уражено")+COUNTIFS('Таблиця 1'!$B:$B,$A159,'Таблиця 1'!$I:$I,"Су-27",'Таблиця 1'!$L:$L,"Уражено"))</f>
        <v/>
      </c>
      <c r="S159">
        <f>IF($A159="","",COUNTIFS('Таблиця 1'!$B:$B,$A159,'Таблиця 1'!$I:$I,"Mirage",'Таблиця 1'!$L:$L,"НЕ уражено")+COUNTIFS('Таблиця 1'!$B:$B,$A159,'Таблиця 1'!$I:$I,"F-16",'Таблиця 1'!$L:$L,"НЕ уражено")+COUNTIFS('Таблиця 1'!$B:$B,$A159,'Таблиця 1'!$I:$I,"МіГ-29",'Таблиця 1'!$L:$L,"НЕ уражено")+COUNTIFS('Таблиця 1'!$B:$B,$A159,'Таблиця 1'!$I:$I,"Су-25",'Таблиця 1'!$L:$L,"НЕ уражено")+COUNTIFS('Таблиця 1'!$B:$B,$A159,'Таблиця 1'!$I:$I,"Су-27",'Таблиця 1'!$L:$L,"НЕ уражено"))</f>
        <v/>
      </c>
      <c r="T159">
        <f>IF($A159="","",COUNTIFS('Таблиця 1'!$B:$B,$A159,'Таблиця 1'!$I:$I,"Mirage",'Таблиця 1'!$L:$L,"Дорозвідується")+COUNTIFS('Таблиця 1'!$B:$B,$A159,'Таблиця 1'!$I:$I,"F-16",'Таблиця 1'!$L:$L,"Дорозвідується")+COUNTIFS('Таблиця 1'!$B:$B,$A159,'Таблиця 1'!$I:$I,"МіГ-29",'Таблиця 1'!$L:$L,"Дорозвідується")+COUNTIFS('Таблиця 1'!$B:$B,$A159,'Таблиця 1'!$I:$I,"Су-25",'Таблиця 1'!$L:$L,"Дорозвідується")+COUNTIFS('Таблиця 1'!$B:$B,$A159,'Таблиця 1'!$I:$I,"Су-27",'Таблиця 1'!$L:$L,"Дорозвідується"))</f>
        <v/>
      </c>
    </row>
    <row r="160">
      <c r="A160" s="273">
        <f>IF(A159="","",IF(A159+1&gt;MAX('Таблиця 1'!$B:$B),"",A159+1))</f>
        <v/>
      </c>
      <c r="B160">
        <f>IF($A160="","",COUNTIFS('Таблиця 1'!$B:$B,$A160,'Таблиця 1'!$I:$I,"Mirage")+COUNTIFS('Таблиця 1'!$B:$B,$A160,'Таблиця 1'!$I:$I,"F-16")+COUNTIFS('Таблиця 1'!$B:$B,$A160,'Таблиця 1'!$I:$I,"МіГ-29")+COUNTIFS('Таблиця 1'!$B:$B,$A160,'Таблиця 1'!$I:$I,"Су-25")+COUNTIFS('Таблиця 1'!$B:$B,$A160,'Таблиця 1'!$I:$I,"Су-27"))</f>
        <v/>
      </c>
      <c r="C160">
        <f>IF($A160="","",COUNTIFS('Таблиця 1'!$B:$B,$A160,'Таблиця 1'!$I:$I,"Mirage"))</f>
        <v/>
      </c>
      <c r="D160">
        <f>IF($A160="","",COUNTIFS('Таблиця 1'!$B:$B,$A160,'Таблиця 1'!$I:$I,"F-16"))</f>
        <v/>
      </c>
      <c r="E160">
        <f>IF($A160="","",COUNTIFS('Таблиця 1'!$B:$B,$A160,'Таблиця 1'!$I:$I,"МіГ-29"))</f>
        <v/>
      </c>
      <c r="F160">
        <f>IF($A160="","",COUNTIFS('Таблиця 1'!$B:$B,$A160,'Таблиця 1'!$I:$I,"Су-25"))</f>
        <v/>
      </c>
      <c r="G160">
        <f>IF($A160="","",COUNTIFS('Таблиця 1'!$B:$B,$A160,'Таблиця 1'!$I:$I,"Су-27"))</f>
        <v/>
      </c>
      <c r="H160">
        <f>IF($A160="","",SUMIFS('Таблиця 1'!$K:$K,'Таблиця 1'!$B:$B,$A160,'Таблиця 1'!$I:$I,"Mirage",'Таблиця 1'!$J:$J,"AGM-88")+SUMIFS('Таблиця 1'!$K:$K,'Таблиця 1'!$B:$B,$A160,'Таблиця 1'!$I:$I,"F-16",'Таблиця 1'!$J:$J,"AGM-88")+SUMIFS('Таблиця 1'!$K:$K,'Таблиця 1'!$B:$B,$A160,'Таблиця 1'!$I:$I,"МіГ-29",'Таблиця 1'!$J:$J,"AGM-88")+SUMIFS('Таблиця 1'!$K:$K,'Таблиця 1'!$B:$B,$A160,'Таблиця 1'!$I:$I,"Су-25",'Таблиця 1'!$J:$J,"AGM-88")+SUMIFS('Таблиця 1'!$K:$K,'Таблиця 1'!$B:$B,$A160,'Таблиця 1'!$I:$I,"Су-27",'Таблиця 1'!$J:$J,"AGM-88"))</f>
        <v/>
      </c>
      <c r="I160">
        <f>IF($A160="","",SUMIFS('Таблиця 1'!$K:$K,'Таблиця 1'!$B:$B,$A160,'Таблиця 1'!$I:$I,"Mirage",'Таблиця 1'!$J:$J,"AASM-250")+SUMIFS('Таблиця 1'!$K:$K,'Таблиця 1'!$B:$B,$A160,'Таблиця 1'!$I:$I,"F-16",'Таблиця 1'!$J:$J,"AASM-250")+SUMIFS('Таблиця 1'!$K:$K,'Таблиця 1'!$B:$B,$A160,'Таблиця 1'!$I:$I,"МіГ-29",'Таблиця 1'!$J:$J,"AASM-250")+SUMIFS('Таблиця 1'!$K:$K,'Таблиця 1'!$B:$B,$A160,'Таблиця 1'!$I:$I,"Су-25",'Таблиця 1'!$J:$J,"AASM-250")+SUMIFS('Таблиця 1'!$K:$K,'Таблиця 1'!$B:$B,$A160,'Таблиця 1'!$I:$I,"Су-27",'Таблиця 1'!$J:$J,"AASM-250"))</f>
        <v/>
      </c>
      <c r="J160">
        <f>IF($A160="","",SUMIFS('Таблиця 1'!$K:$K,'Таблиця 1'!$B:$B,$A160,'Таблиця 1'!$I:$I,"Mirage",'Таблиця 1'!$J:$J,"GBU-39")+SUMIFS('Таблиця 1'!$K:$K,'Таблиця 1'!$B:$B,$A160,'Таблиця 1'!$I:$I,"F-16",'Таблиця 1'!$J:$J,"GBU-39")+SUMIFS('Таблиця 1'!$K:$K,'Таблиця 1'!$B:$B,$A160,'Таблиця 1'!$I:$I,"МіГ-29",'Таблиця 1'!$J:$J,"GBU-39")+SUMIFS('Таблиця 1'!$K:$K,'Таблиця 1'!$B:$B,$A160,'Таблиця 1'!$I:$I,"Су-25",'Таблиця 1'!$J:$J,"GBU-39")+SUMIFS('Таблиця 1'!$K:$K,'Таблиця 1'!$B:$B,$A160,'Таблиця 1'!$I:$I,"Су-27",'Таблиця 1'!$J:$J,"GBU-39"))</f>
        <v/>
      </c>
      <c r="K160">
        <f>IF($A160="","",SUMIFS('Таблиця 1'!$K:$K,'Таблиця 1'!$B:$B,$A160,'Таблиця 1'!$I:$I,"Mirage",'Таблиця 1'!$J:$J,"BLU-140")+SUMIFS('Таблиця 1'!$K:$K,'Таблиця 1'!$B:$B,$A160,'Таблиця 1'!$I:$I,"F-16",'Таблиця 1'!$J:$J,"BLU-140")+SUMIFS('Таблиця 1'!$K:$K,'Таблиця 1'!$B:$B,$A160,'Таблиця 1'!$I:$I,"МіГ-29",'Таблиця 1'!$J:$J,"BLU-140")+SUMIFS('Таблиця 1'!$K:$K,'Таблиця 1'!$B:$B,$A160,'Таблиця 1'!$I:$I,"Су-25",'Таблиця 1'!$J:$J,"BLU-140")+SUMIFS('Таблиця 1'!$K:$K,'Таблиця 1'!$B:$B,$A160,'Таблиця 1'!$I:$I,"Су-27",'Таблиця 1'!$J:$J,"BLU-140"))</f>
        <v/>
      </c>
      <c r="L160">
        <f>IF($A160="","",SUMIFS('Таблиця 1'!$K:$K,'Таблиця 1'!$B:$B,$A160,'Таблиця 1'!$I:$I,"Mirage",'Таблиця 1'!$J:$J,"GBU-65")+SUMIFS('Таблиця 1'!$K:$K,'Таблиця 1'!$B:$B,$A160,'Таблиця 1'!$I:$I,"F-16",'Таблиця 1'!$J:$J,"GBU-65")+SUMIFS('Таблиця 1'!$K:$K,'Таблиця 1'!$B:$B,$A160,'Таблиця 1'!$I:$I,"МіГ-29",'Таблиця 1'!$J:$J,"GBU-65")+SUMIFS('Таблиця 1'!$K:$K,'Таблиця 1'!$B:$B,$A160,'Таблиця 1'!$I:$I,"Су-25",'Таблиця 1'!$J:$J,"GBU-65")+SUMIFS('Таблиця 1'!$K:$K,'Таблиця 1'!$B:$B,$A160,'Таблиця 1'!$I:$I,"Су-27",'Таблиця 1'!$J:$J,"GBU-65"))</f>
        <v/>
      </c>
      <c r="M160">
        <f>IF($A160="","",SUMIFS('Таблиця 1'!$K:$K,'Таблиця 1'!$B:$B,$A160,'Таблиця 1'!$I:$I,"Mirage",'Таблиця 1'!$J:$J,"GBU-62")+SUMIFS('Таблиця 1'!$K:$K,'Таблиця 1'!$B:$B,$A160,'Таблиця 1'!$I:$I,"F-16",'Таблиця 1'!$J:$J,"GBU-62")+SUMIFS('Таблиця 1'!$K:$K,'Таблиця 1'!$B:$B,$A160,'Таблиця 1'!$I:$I,"МіГ-29",'Таблиця 1'!$J:$J,"GBU-62")+SUMIFS('Таблиця 1'!$K:$K,'Таблиця 1'!$B:$B,$A160,'Таблиця 1'!$I:$I,"Су-25",'Таблиця 1'!$J:$J,"GBU-62")+SUMIFS('Таблиця 1'!$K:$K,'Таблиця 1'!$B:$B,$A160,'Таблиця 1'!$I:$I,"Су-27",'Таблиця 1'!$J:$J,"GBU-62"))</f>
        <v/>
      </c>
      <c r="N160">
        <f>IF($A160="","",SUMIFS('Таблиця 1'!$K:$K,'Таблиця 1'!$B:$B,$A160,'Таблиця 1'!$I:$I,"Mirage",'Таблиця 1'!$J:$J,"GBU-64")+SUMIFS('Таблиця 1'!$K:$K,'Таблиця 1'!$B:$B,$A160,'Таблиця 1'!$I:$I,"F-16",'Таблиця 1'!$J:$J,"GBU-64")+SUMIFS('Таблиця 1'!$K:$K,'Таблиця 1'!$B:$B,$A160,'Таблиця 1'!$I:$I,"МіГ-29",'Таблиця 1'!$J:$J,"GBU-64")+SUMIFS('Таблиця 1'!$K:$K,'Таблиця 1'!$B:$B,$A160,'Таблиця 1'!$I:$I,"Су-25",'Таблиця 1'!$J:$J,"GBU-64")+SUMIFS('Таблиця 1'!$K:$K,'Таблиця 1'!$B:$B,$A160,'Таблиця 1'!$I:$I,"Су-27",'Таблиця 1'!$J:$J,"GBU-64"))</f>
        <v/>
      </c>
      <c r="O160">
        <f>IF($A160="","",SUMIFS('Таблиця 1'!$K:$K,'Таблиця 1'!$B:$B,$A160,'Таблиця 1'!$I:$I,"Mirage",'Таблиця 1'!$J:$J,"C-13")+SUMIFS('Таблиця 1'!$K:$K,'Таблиця 1'!$B:$B,$A160,'Таблиця 1'!$I:$I,"F-16",'Таблиця 1'!$J:$J,"C-13")+SUMIFS('Таблиця 1'!$K:$K,'Таблиця 1'!$B:$B,$A160,'Таблиця 1'!$I:$I,"МіГ-29",'Таблиця 1'!$J:$J,"C-13")+SUMIFS('Таблиця 1'!$K:$K,'Таблиця 1'!$B:$B,$A160,'Таблиця 1'!$I:$I,"Су-25",'Таблиця 1'!$J:$J,"C-13")+SUMIFS('Таблиця 1'!$K:$K,'Таблиця 1'!$B:$B,$A160,'Таблиця 1'!$I:$I,"Су-27",'Таблиця 1'!$J:$J,"C-13"))</f>
        <v/>
      </c>
      <c r="P160">
        <f>IF($A160="","",SUMIFS('Таблиця 1'!$K:$K,'Таблиця 1'!$B:$B,$A160,'Таблиця 1'!$I:$I,"Mirage",'Таблиця 1'!$J:$J,"MK-32")+SUMIFS('Таблиця 1'!$K:$K,'Таблиця 1'!$B:$B,$A160,'Таблиця 1'!$I:$I,"F-16",'Таблиця 1'!$J:$J,"MK-32")+SUMIFS('Таблиця 1'!$K:$K,'Таблиця 1'!$B:$B,$A160,'Таблиця 1'!$I:$I,"МіГ-29",'Таблиця 1'!$J:$J,"MK-32")+SUMIFS('Таблиця 1'!$K:$K,'Таблиця 1'!$B:$B,$A160,'Таблиця 1'!$I:$I,"Су-25",'Таблиця 1'!$J:$J,"MK-32")+SUMIFS('Таблиця 1'!$K:$K,'Таблиця 1'!$B:$B,$A160,'Таблиця 1'!$I:$I,"Су-27",'Таблиця 1'!$J:$J,"MK-32"))</f>
        <v/>
      </c>
      <c r="Q160">
        <f>IF($A160="","",SUMIFS('Таблиця 1'!$K:$K,'Таблиця 1'!$B:$B,$A160,'Таблиця 1'!$I:$I,"Mirage",'Таблиця 1'!$J:$J,"MK-24")+SUMIFS('Таблиця 1'!$K:$K,'Таблиця 1'!$B:$B,$A160,'Таблиця 1'!$I:$I,"F-16",'Таблиця 1'!$J:$J,"MK-24")+SUMIFS('Таблиця 1'!$K:$K,'Таблиця 1'!$B:$B,$A160,'Таблиця 1'!$I:$I,"МіГ-29",'Таблиця 1'!$J:$J,"MK-24")+SUMIFS('Таблиця 1'!$K:$K,'Таблиця 1'!$B:$B,$A160,'Таблиця 1'!$I:$I,"Су-25",'Таблиця 1'!$J:$J,"MK-24")+SUMIFS('Таблиця 1'!$K:$K,'Таблиця 1'!$B:$B,$A160,'Таблиця 1'!$I:$I,"Су-27",'Таблиця 1'!$J:$J,"MK-24"))</f>
        <v/>
      </c>
      <c r="R160">
        <f>IF($A160="","",COUNTIFS('Таблиця 1'!$B:$B,$A160,'Таблиця 1'!$I:$I,"Mirage",'Таблиця 1'!$L:$L,"Уражено")+COUNTIFS('Таблиця 1'!$B:$B,$A160,'Таблиця 1'!$I:$I,"F-16",'Таблиця 1'!$L:$L,"Уражено")+COUNTIFS('Таблиця 1'!$B:$B,$A160,'Таблиця 1'!$I:$I,"МіГ-29",'Таблиця 1'!$L:$L,"Уражено")+COUNTIFS('Таблиця 1'!$B:$B,$A160,'Таблиця 1'!$I:$I,"Су-25",'Таблиця 1'!$L:$L,"Уражено")+COUNTIFS('Таблиця 1'!$B:$B,$A160,'Таблиця 1'!$I:$I,"Су-27",'Таблиця 1'!$L:$L,"Уражено"))</f>
        <v/>
      </c>
      <c r="S160">
        <f>IF($A160="","",COUNTIFS('Таблиця 1'!$B:$B,$A160,'Таблиця 1'!$I:$I,"Mirage",'Таблиця 1'!$L:$L,"НЕ уражено")+COUNTIFS('Таблиця 1'!$B:$B,$A160,'Таблиця 1'!$I:$I,"F-16",'Таблиця 1'!$L:$L,"НЕ уражено")+COUNTIFS('Таблиця 1'!$B:$B,$A160,'Таблиця 1'!$I:$I,"МіГ-29",'Таблиця 1'!$L:$L,"НЕ уражено")+COUNTIFS('Таблиця 1'!$B:$B,$A160,'Таблиця 1'!$I:$I,"Су-25",'Таблиця 1'!$L:$L,"НЕ уражено")+COUNTIFS('Таблиця 1'!$B:$B,$A160,'Таблиця 1'!$I:$I,"Су-27",'Таблиця 1'!$L:$L,"НЕ уражено"))</f>
        <v/>
      </c>
      <c r="T160">
        <f>IF($A160="","",COUNTIFS('Таблиця 1'!$B:$B,$A160,'Таблиця 1'!$I:$I,"Mirage",'Таблиця 1'!$L:$L,"Дорозвідується")+COUNTIFS('Таблиця 1'!$B:$B,$A160,'Таблиця 1'!$I:$I,"F-16",'Таблиця 1'!$L:$L,"Дорозвідується")+COUNTIFS('Таблиця 1'!$B:$B,$A160,'Таблиця 1'!$I:$I,"МіГ-29",'Таблиця 1'!$L:$L,"Дорозвідується")+COUNTIFS('Таблиця 1'!$B:$B,$A160,'Таблиця 1'!$I:$I,"Су-25",'Таблиця 1'!$L:$L,"Дорозвідується")+COUNTIFS('Таблиця 1'!$B:$B,$A160,'Таблиця 1'!$I:$I,"Су-27",'Таблиця 1'!$L:$L,"Дорозвідується"))</f>
        <v/>
      </c>
    </row>
    <row r="161">
      <c r="A161" s="273">
        <f>IF(A160="","",IF(A160+1&gt;MAX('Таблиця 1'!$B:$B),"",A160+1))</f>
        <v/>
      </c>
      <c r="B161">
        <f>IF($A161="","",COUNTIFS('Таблиця 1'!$B:$B,$A161,'Таблиця 1'!$I:$I,"Mirage")+COUNTIFS('Таблиця 1'!$B:$B,$A161,'Таблиця 1'!$I:$I,"F-16")+COUNTIFS('Таблиця 1'!$B:$B,$A161,'Таблиця 1'!$I:$I,"МіГ-29")+COUNTIFS('Таблиця 1'!$B:$B,$A161,'Таблиця 1'!$I:$I,"Су-25")+COUNTIFS('Таблиця 1'!$B:$B,$A161,'Таблиця 1'!$I:$I,"Су-27"))</f>
        <v/>
      </c>
      <c r="C161">
        <f>IF($A161="","",COUNTIFS('Таблиця 1'!$B:$B,$A161,'Таблиця 1'!$I:$I,"Mirage"))</f>
        <v/>
      </c>
      <c r="D161">
        <f>IF($A161="","",COUNTIFS('Таблиця 1'!$B:$B,$A161,'Таблиця 1'!$I:$I,"F-16"))</f>
        <v/>
      </c>
      <c r="E161">
        <f>IF($A161="","",COUNTIFS('Таблиця 1'!$B:$B,$A161,'Таблиця 1'!$I:$I,"МіГ-29"))</f>
        <v/>
      </c>
      <c r="F161">
        <f>IF($A161="","",COUNTIFS('Таблиця 1'!$B:$B,$A161,'Таблиця 1'!$I:$I,"Су-25"))</f>
        <v/>
      </c>
      <c r="G161">
        <f>IF($A161="","",COUNTIFS('Таблиця 1'!$B:$B,$A161,'Таблиця 1'!$I:$I,"Су-27"))</f>
        <v/>
      </c>
      <c r="H161">
        <f>IF($A161="","",SUMIFS('Таблиця 1'!$K:$K,'Таблиця 1'!$B:$B,$A161,'Таблиця 1'!$I:$I,"Mirage",'Таблиця 1'!$J:$J,"AGM-88")+SUMIFS('Таблиця 1'!$K:$K,'Таблиця 1'!$B:$B,$A161,'Таблиця 1'!$I:$I,"F-16",'Таблиця 1'!$J:$J,"AGM-88")+SUMIFS('Таблиця 1'!$K:$K,'Таблиця 1'!$B:$B,$A161,'Таблиця 1'!$I:$I,"МіГ-29",'Таблиця 1'!$J:$J,"AGM-88")+SUMIFS('Таблиця 1'!$K:$K,'Таблиця 1'!$B:$B,$A161,'Таблиця 1'!$I:$I,"Су-25",'Таблиця 1'!$J:$J,"AGM-88")+SUMIFS('Таблиця 1'!$K:$K,'Таблиця 1'!$B:$B,$A161,'Таблиця 1'!$I:$I,"Су-27",'Таблиця 1'!$J:$J,"AGM-88"))</f>
        <v/>
      </c>
      <c r="I161">
        <f>IF($A161="","",SUMIFS('Таблиця 1'!$K:$K,'Таблиця 1'!$B:$B,$A161,'Таблиця 1'!$I:$I,"Mirage",'Таблиця 1'!$J:$J,"AASM-250")+SUMIFS('Таблиця 1'!$K:$K,'Таблиця 1'!$B:$B,$A161,'Таблиця 1'!$I:$I,"F-16",'Таблиця 1'!$J:$J,"AASM-250")+SUMIFS('Таблиця 1'!$K:$K,'Таблиця 1'!$B:$B,$A161,'Таблиця 1'!$I:$I,"МіГ-29",'Таблиця 1'!$J:$J,"AASM-250")+SUMIFS('Таблиця 1'!$K:$K,'Таблиця 1'!$B:$B,$A161,'Таблиця 1'!$I:$I,"Су-25",'Таблиця 1'!$J:$J,"AASM-250")+SUMIFS('Таблиця 1'!$K:$K,'Таблиця 1'!$B:$B,$A161,'Таблиця 1'!$I:$I,"Су-27",'Таблиця 1'!$J:$J,"AASM-250"))</f>
        <v/>
      </c>
      <c r="J161">
        <f>IF($A161="","",SUMIFS('Таблиця 1'!$K:$K,'Таблиця 1'!$B:$B,$A161,'Таблиця 1'!$I:$I,"Mirage",'Таблиця 1'!$J:$J,"GBU-39")+SUMIFS('Таблиця 1'!$K:$K,'Таблиця 1'!$B:$B,$A161,'Таблиця 1'!$I:$I,"F-16",'Таблиця 1'!$J:$J,"GBU-39")+SUMIFS('Таблиця 1'!$K:$K,'Таблиця 1'!$B:$B,$A161,'Таблиця 1'!$I:$I,"МіГ-29",'Таблиця 1'!$J:$J,"GBU-39")+SUMIFS('Таблиця 1'!$K:$K,'Таблиця 1'!$B:$B,$A161,'Таблиця 1'!$I:$I,"Су-25",'Таблиця 1'!$J:$J,"GBU-39")+SUMIFS('Таблиця 1'!$K:$K,'Таблиця 1'!$B:$B,$A161,'Таблиця 1'!$I:$I,"Су-27",'Таблиця 1'!$J:$J,"GBU-39"))</f>
        <v/>
      </c>
      <c r="K161">
        <f>IF($A161="","",SUMIFS('Таблиця 1'!$K:$K,'Таблиця 1'!$B:$B,$A161,'Таблиця 1'!$I:$I,"Mirage",'Таблиця 1'!$J:$J,"BLU-140")+SUMIFS('Таблиця 1'!$K:$K,'Таблиця 1'!$B:$B,$A161,'Таблиця 1'!$I:$I,"F-16",'Таблиця 1'!$J:$J,"BLU-140")+SUMIFS('Таблиця 1'!$K:$K,'Таблиця 1'!$B:$B,$A161,'Таблиця 1'!$I:$I,"МіГ-29",'Таблиця 1'!$J:$J,"BLU-140")+SUMIFS('Таблиця 1'!$K:$K,'Таблиця 1'!$B:$B,$A161,'Таблиця 1'!$I:$I,"Су-25",'Таблиця 1'!$J:$J,"BLU-140")+SUMIFS('Таблиця 1'!$K:$K,'Таблиця 1'!$B:$B,$A161,'Таблиця 1'!$I:$I,"Су-27",'Таблиця 1'!$J:$J,"BLU-140"))</f>
        <v/>
      </c>
      <c r="L161">
        <f>IF($A161="","",SUMIFS('Таблиця 1'!$K:$K,'Таблиця 1'!$B:$B,$A161,'Таблиця 1'!$I:$I,"Mirage",'Таблиця 1'!$J:$J,"GBU-65")+SUMIFS('Таблиця 1'!$K:$K,'Таблиця 1'!$B:$B,$A161,'Таблиця 1'!$I:$I,"F-16",'Таблиця 1'!$J:$J,"GBU-65")+SUMIFS('Таблиця 1'!$K:$K,'Таблиця 1'!$B:$B,$A161,'Таблиця 1'!$I:$I,"МіГ-29",'Таблиця 1'!$J:$J,"GBU-65")+SUMIFS('Таблиця 1'!$K:$K,'Таблиця 1'!$B:$B,$A161,'Таблиця 1'!$I:$I,"Су-25",'Таблиця 1'!$J:$J,"GBU-65")+SUMIFS('Таблиця 1'!$K:$K,'Таблиця 1'!$B:$B,$A161,'Таблиця 1'!$I:$I,"Су-27",'Таблиця 1'!$J:$J,"GBU-65"))</f>
        <v/>
      </c>
      <c r="M161">
        <f>IF($A161="","",SUMIFS('Таблиця 1'!$K:$K,'Таблиця 1'!$B:$B,$A161,'Таблиця 1'!$I:$I,"Mirage",'Таблиця 1'!$J:$J,"GBU-62")+SUMIFS('Таблиця 1'!$K:$K,'Таблиця 1'!$B:$B,$A161,'Таблиця 1'!$I:$I,"F-16",'Таблиця 1'!$J:$J,"GBU-62")+SUMIFS('Таблиця 1'!$K:$K,'Таблиця 1'!$B:$B,$A161,'Таблиця 1'!$I:$I,"МіГ-29",'Таблиця 1'!$J:$J,"GBU-62")+SUMIFS('Таблиця 1'!$K:$K,'Таблиця 1'!$B:$B,$A161,'Таблиця 1'!$I:$I,"Су-25",'Таблиця 1'!$J:$J,"GBU-62")+SUMIFS('Таблиця 1'!$K:$K,'Таблиця 1'!$B:$B,$A161,'Таблиця 1'!$I:$I,"Су-27",'Таблиця 1'!$J:$J,"GBU-62"))</f>
        <v/>
      </c>
      <c r="N161">
        <f>IF($A161="","",SUMIFS('Таблиця 1'!$K:$K,'Таблиця 1'!$B:$B,$A161,'Таблиця 1'!$I:$I,"Mirage",'Таблиця 1'!$J:$J,"GBU-64")+SUMIFS('Таблиця 1'!$K:$K,'Таблиця 1'!$B:$B,$A161,'Таблиця 1'!$I:$I,"F-16",'Таблиця 1'!$J:$J,"GBU-64")+SUMIFS('Таблиця 1'!$K:$K,'Таблиця 1'!$B:$B,$A161,'Таблиця 1'!$I:$I,"МіГ-29",'Таблиця 1'!$J:$J,"GBU-64")+SUMIFS('Таблиця 1'!$K:$K,'Таблиця 1'!$B:$B,$A161,'Таблиця 1'!$I:$I,"Су-25",'Таблиця 1'!$J:$J,"GBU-64")+SUMIFS('Таблиця 1'!$K:$K,'Таблиця 1'!$B:$B,$A161,'Таблиця 1'!$I:$I,"Су-27",'Таблиця 1'!$J:$J,"GBU-64"))</f>
        <v/>
      </c>
      <c r="O161">
        <f>IF($A161="","",SUMIFS('Таблиця 1'!$K:$K,'Таблиця 1'!$B:$B,$A161,'Таблиця 1'!$I:$I,"Mirage",'Таблиця 1'!$J:$J,"C-13")+SUMIFS('Таблиця 1'!$K:$K,'Таблиця 1'!$B:$B,$A161,'Таблиця 1'!$I:$I,"F-16",'Таблиця 1'!$J:$J,"C-13")+SUMIFS('Таблиця 1'!$K:$K,'Таблиця 1'!$B:$B,$A161,'Таблиця 1'!$I:$I,"МіГ-29",'Таблиця 1'!$J:$J,"C-13")+SUMIFS('Таблиця 1'!$K:$K,'Таблиця 1'!$B:$B,$A161,'Таблиця 1'!$I:$I,"Су-25",'Таблиця 1'!$J:$J,"C-13")+SUMIFS('Таблиця 1'!$K:$K,'Таблиця 1'!$B:$B,$A161,'Таблиця 1'!$I:$I,"Су-27",'Таблиця 1'!$J:$J,"C-13"))</f>
        <v/>
      </c>
      <c r="P161">
        <f>IF($A161="","",SUMIFS('Таблиця 1'!$K:$K,'Таблиця 1'!$B:$B,$A161,'Таблиця 1'!$I:$I,"Mirage",'Таблиця 1'!$J:$J,"MK-32")+SUMIFS('Таблиця 1'!$K:$K,'Таблиця 1'!$B:$B,$A161,'Таблиця 1'!$I:$I,"F-16",'Таблиця 1'!$J:$J,"MK-32")+SUMIFS('Таблиця 1'!$K:$K,'Таблиця 1'!$B:$B,$A161,'Таблиця 1'!$I:$I,"МіГ-29",'Таблиця 1'!$J:$J,"MK-32")+SUMIFS('Таблиця 1'!$K:$K,'Таблиця 1'!$B:$B,$A161,'Таблиця 1'!$I:$I,"Су-25",'Таблиця 1'!$J:$J,"MK-32")+SUMIFS('Таблиця 1'!$K:$K,'Таблиця 1'!$B:$B,$A161,'Таблиця 1'!$I:$I,"Су-27",'Таблиця 1'!$J:$J,"MK-32"))</f>
        <v/>
      </c>
      <c r="Q161">
        <f>IF($A161="","",SUMIFS('Таблиця 1'!$K:$K,'Таблиця 1'!$B:$B,$A161,'Таблиця 1'!$I:$I,"Mirage",'Таблиця 1'!$J:$J,"MK-24")+SUMIFS('Таблиця 1'!$K:$K,'Таблиця 1'!$B:$B,$A161,'Таблиця 1'!$I:$I,"F-16",'Таблиця 1'!$J:$J,"MK-24")+SUMIFS('Таблиця 1'!$K:$K,'Таблиця 1'!$B:$B,$A161,'Таблиця 1'!$I:$I,"МіГ-29",'Таблиця 1'!$J:$J,"MK-24")+SUMIFS('Таблиця 1'!$K:$K,'Таблиця 1'!$B:$B,$A161,'Таблиця 1'!$I:$I,"Су-25",'Таблиця 1'!$J:$J,"MK-24")+SUMIFS('Таблиця 1'!$K:$K,'Таблиця 1'!$B:$B,$A161,'Таблиця 1'!$I:$I,"Су-27",'Таблиця 1'!$J:$J,"MK-24"))</f>
        <v/>
      </c>
      <c r="R161">
        <f>IF($A161="","",COUNTIFS('Таблиця 1'!$B:$B,$A161,'Таблиця 1'!$I:$I,"Mirage",'Таблиця 1'!$L:$L,"Уражено")+COUNTIFS('Таблиця 1'!$B:$B,$A161,'Таблиця 1'!$I:$I,"F-16",'Таблиця 1'!$L:$L,"Уражено")+COUNTIFS('Таблиця 1'!$B:$B,$A161,'Таблиця 1'!$I:$I,"МіГ-29",'Таблиця 1'!$L:$L,"Уражено")+COUNTIFS('Таблиця 1'!$B:$B,$A161,'Таблиця 1'!$I:$I,"Су-25",'Таблиця 1'!$L:$L,"Уражено")+COUNTIFS('Таблиця 1'!$B:$B,$A161,'Таблиця 1'!$I:$I,"Су-27",'Таблиця 1'!$L:$L,"Уражено"))</f>
        <v/>
      </c>
      <c r="S161">
        <f>IF($A161="","",COUNTIFS('Таблиця 1'!$B:$B,$A161,'Таблиця 1'!$I:$I,"Mirage",'Таблиця 1'!$L:$L,"НЕ уражено")+COUNTIFS('Таблиця 1'!$B:$B,$A161,'Таблиця 1'!$I:$I,"F-16",'Таблиця 1'!$L:$L,"НЕ уражено")+COUNTIFS('Таблиця 1'!$B:$B,$A161,'Таблиця 1'!$I:$I,"МіГ-29",'Таблиця 1'!$L:$L,"НЕ уражено")+COUNTIFS('Таблиця 1'!$B:$B,$A161,'Таблиця 1'!$I:$I,"Су-25",'Таблиця 1'!$L:$L,"НЕ уражено")+COUNTIFS('Таблиця 1'!$B:$B,$A161,'Таблиця 1'!$I:$I,"Су-27",'Таблиця 1'!$L:$L,"НЕ уражено"))</f>
        <v/>
      </c>
      <c r="T161">
        <f>IF($A161="","",COUNTIFS('Таблиця 1'!$B:$B,$A161,'Таблиця 1'!$I:$I,"Mirage",'Таблиця 1'!$L:$L,"Дорозвідується")+COUNTIFS('Таблиця 1'!$B:$B,$A161,'Таблиця 1'!$I:$I,"F-16",'Таблиця 1'!$L:$L,"Дорозвідується")+COUNTIFS('Таблиця 1'!$B:$B,$A161,'Таблиця 1'!$I:$I,"МіГ-29",'Таблиця 1'!$L:$L,"Дорозвідується")+COUNTIFS('Таблиця 1'!$B:$B,$A161,'Таблиця 1'!$I:$I,"Су-25",'Таблиця 1'!$L:$L,"Дорозвідується")+COUNTIFS('Таблиця 1'!$B:$B,$A161,'Таблиця 1'!$I:$I,"Су-27",'Таблиця 1'!$L:$L,"Дорозвідується"))</f>
        <v/>
      </c>
    </row>
    <row r="162">
      <c r="A162" s="273">
        <f>IF(A161="","",IF(A161+1&gt;MAX('Таблиця 1'!$B:$B),"",A161+1))</f>
        <v/>
      </c>
      <c r="B162">
        <f>IF($A162="","",COUNTIFS('Таблиця 1'!$B:$B,$A162,'Таблиця 1'!$I:$I,"Mirage")+COUNTIFS('Таблиця 1'!$B:$B,$A162,'Таблиця 1'!$I:$I,"F-16")+COUNTIFS('Таблиця 1'!$B:$B,$A162,'Таблиця 1'!$I:$I,"МіГ-29")+COUNTIFS('Таблиця 1'!$B:$B,$A162,'Таблиця 1'!$I:$I,"Су-25")+COUNTIFS('Таблиця 1'!$B:$B,$A162,'Таблиця 1'!$I:$I,"Су-27"))</f>
        <v/>
      </c>
      <c r="C162">
        <f>IF($A162="","",COUNTIFS('Таблиця 1'!$B:$B,$A162,'Таблиця 1'!$I:$I,"Mirage"))</f>
        <v/>
      </c>
      <c r="D162">
        <f>IF($A162="","",COUNTIFS('Таблиця 1'!$B:$B,$A162,'Таблиця 1'!$I:$I,"F-16"))</f>
        <v/>
      </c>
      <c r="E162">
        <f>IF($A162="","",COUNTIFS('Таблиця 1'!$B:$B,$A162,'Таблиця 1'!$I:$I,"МіГ-29"))</f>
        <v/>
      </c>
      <c r="F162">
        <f>IF($A162="","",COUNTIFS('Таблиця 1'!$B:$B,$A162,'Таблиця 1'!$I:$I,"Су-25"))</f>
        <v/>
      </c>
      <c r="G162">
        <f>IF($A162="","",COUNTIFS('Таблиця 1'!$B:$B,$A162,'Таблиця 1'!$I:$I,"Су-27"))</f>
        <v/>
      </c>
      <c r="H162">
        <f>IF($A162="","",SUMIFS('Таблиця 1'!$K:$K,'Таблиця 1'!$B:$B,$A162,'Таблиця 1'!$I:$I,"Mirage",'Таблиця 1'!$J:$J,"AGM-88")+SUMIFS('Таблиця 1'!$K:$K,'Таблиця 1'!$B:$B,$A162,'Таблиця 1'!$I:$I,"F-16",'Таблиця 1'!$J:$J,"AGM-88")+SUMIFS('Таблиця 1'!$K:$K,'Таблиця 1'!$B:$B,$A162,'Таблиця 1'!$I:$I,"МіГ-29",'Таблиця 1'!$J:$J,"AGM-88")+SUMIFS('Таблиця 1'!$K:$K,'Таблиця 1'!$B:$B,$A162,'Таблиця 1'!$I:$I,"Су-25",'Таблиця 1'!$J:$J,"AGM-88")+SUMIFS('Таблиця 1'!$K:$K,'Таблиця 1'!$B:$B,$A162,'Таблиця 1'!$I:$I,"Су-27",'Таблиця 1'!$J:$J,"AGM-88"))</f>
        <v/>
      </c>
      <c r="I162">
        <f>IF($A162="","",SUMIFS('Таблиця 1'!$K:$K,'Таблиця 1'!$B:$B,$A162,'Таблиця 1'!$I:$I,"Mirage",'Таблиця 1'!$J:$J,"AASM-250")+SUMIFS('Таблиця 1'!$K:$K,'Таблиця 1'!$B:$B,$A162,'Таблиця 1'!$I:$I,"F-16",'Таблиця 1'!$J:$J,"AASM-250")+SUMIFS('Таблиця 1'!$K:$K,'Таблиця 1'!$B:$B,$A162,'Таблиця 1'!$I:$I,"МіГ-29",'Таблиця 1'!$J:$J,"AASM-250")+SUMIFS('Таблиця 1'!$K:$K,'Таблиця 1'!$B:$B,$A162,'Таблиця 1'!$I:$I,"Су-25",'Таблиця 1'!$J:$J,"AASM-250")+SUMIFS('Таблиця 1'!$K:$K,'Таблиця 1'!$B:$B,$A162,'Таблиця 1'!$I:$I,"Су-27",'Таблиця 1'!$J:$J,"AASM-250"))</f>
        <v/>
      </c>
      <c r="J162">
        <f>IF($A162="","",SUMIFS('Таблиця 1'!$K:$K,'Таблиця 1'!$B:$B,$A162,'Таблиця 1'!$I:$I,"Mirage",'Таблиця 1'!$J:$J,"GBU-39")+SUMIFS('Таблиця 1'!$K:$K,'Таблиця 1'!$B:$B,$A162,'Таблиця 1'!$I:$I,"F-16",'Таблиця 1'!$J:$J,"GBU-39")+SUMIFS('Таблиця 1'!$K:$K,'Таблиця 1'!$B:$B,$A162,'Таблиця 1'!$I:$I,"МіГ-29",'Таблиця 1'!$J:$J,"GBU-39")+SUMIFS('Таблиця 1'!$K:$K,'Таблиця 1'!$B:$B,$A162,'Таблиця 1'!$I:$I,"Су-25",'Таблиця 1'!$J:$J,"GBU-39")+SUMIFS('Таблиця 1'!$K:$K,'Таблиця 1'!$B:$B,$A162,'Таблиця 1'!$I:$I,"Су-27",'Таблиця 1'!$J:$J,"GBU-39"))</f>
        <v/>
      </c>
      <c r="K162">
        <f>IF($A162="","",SUMIFS('Таблиця 1'!$K:$K,'Таблиця 1'!$B:$B,$A162,'Таблиця 1'!$I:$I,"Mirage",'Таблиця 1'!$J:$J,"BLU-140")+SUMIFS('Таблиця 1'!$K:$K,'Таблиця 1'!$B:$B,$A162,'Таблиця 1'!$I:$I,"F-16",'Таблиця 1'!$J:$J,"BLU-140")+SUMIFS('Таблиця 1'!$K:$K,'Таблиця 1'!$B:$B,$A162,'Таблиця 1'!$I:$I,"МіГ-29",'Таблиця 1'!$J:$J,"BLU-140")+SUMIFS('Таблиця 1'!$K:$K,'Таблиця 1'!$B:$B,$A162,'Таблиця 1'!$I:$I,"Су-25",'Таблиця 1'!$J:$J,"BLU-140")+SUMIFS('Таблиця 1'!$K:$K,'Таблиця 1'!$B:$B,$A162,'Таблиця 1'!$I:$I,"Су-27",'Таблиця 1'!$J:$J,"BLU-140"))</f>
        <v/>
      </c>
      <c r="L162">
        <f>IF($A162="","",SUMIFS('Таблиця 1'!$K:$K,'Таблиця 1'!$B:$B,$A162,'Таблиця 1'!$I:$I,"Mirage",'Таблиця 1'!$J:$J,"GBU-65")+SUMIFS('Таблиця 1'!$K:$K,'Таблиця 1'!$B:$B,$A162,'Таблиця 1'!$I:$I,"F-16",'Таблиця 1'!$J:$J,"GBU-65")+SUMIFS('Таблиця 1'!$K:$K,'Таблиця 1'!$B:$B,$A162,'Таблиця 1'!$I:$I,"МіГ-29",'Таблиця 1'!$J:$J,"GBU-65")+SUMIFS('Таблиця 1'!$K:$K,'Таблиця 1'!$B:$B,$A162,'Таблиця 1'!$I:$I,"Су-25",'Таблиця 1'!$J:$J,"GBU-65")+SUMIFS('Таблиця 1'!$K:$K,'Таблиця 1'!$B:$B,$A162,'Таблиця 1'!$I:$I,"Су-27",'Таблиця 1'!$J:$J,"GBU-65"))</f>
        <v/>
      </c>
      <c r="M162">
        <f>IF($A162="","",SUMIFS('Таблиця 1'!$K:$K,'Таблиця 1'!$B:$B,$A162,'Таблиця 1'!$I:$I,"Mirage",'Таблиця 1'!$J:$J,"GBU-62")+SUMIFS('Таблиця 1'!$K:$K,'Таблиця 1'!$B:$B,$A162,'Таблиця 1'!$I:$I,"F-16",'Таблиця 1'!$J:$J,"GBU-62")+SUMIFS('Таблиця 1'!$K:$K,'Таблиця 1'!$B:$B,$A162,'Таблиця 1'!$I:$I,"МіГ-29",'Таблиця 1'!$J:$J,"GBU-62")+SUMIFS('Таблиця 1'!$K:$K,'Таблиця 1'!$B:$B,$A162,'Таблиця 1'!$I:$I,"Су-25",'Таблиця 1'!$J:$J,"GBU-62")+SUMIFS('Таблиця 1'!$K:$K,'Таблиця 1'!$B:$B,$A162,'Таблиця 1'!$I:$I,"Су-27",'Таблиця 1'!$J:$J,"GBU-62"))</f>
        <v/>
      </c>
      <c r="N162">
        <f>IF($A162="","",SUMIFS('Таблиця 1'!$K:$K,'Таблиця 1'!$B:$B,$A162,'Таблиця 1'!$I:$I,"Mirage",'Таблиця 1'!$J:$J,"GBU-64")+SUMIFS('Таблиця 1'!$K:$K,'Таблиця 1'!$B:$B,$A162,'Таблиця 1'!$I:$I,"F-16",'Таблиця 1'!$J:$J,"GBU-64")+SUMIFS('Таблиця 1'!$K:$K,'Таблиця 1'!$B:$B,$A162,'Таблиця 1'!$I:$I,"МіГ-29",'Таблиця 1'!$J:$J,"GBU-64")+SUMIFS('Таблиця 1'!$K:$K,'Таблиця 1'!$B:$B,$A162,'Таблиця 1'!$I:$I,"Су-25",'Таблиця 1'!$J:$J,"GBU-64")+SUMIFS('Таблиця 1'!$K:$K,'Таблиця 1'!$B:$B,$A162,'Таблиця 1'!$I:$I,"Су-27",'Таблиця 1'!$J:$J,"GBU-64"))</f>
        <v/>
      </c>
      <c r="O162">
        <f>IF($A162="","",SUMIFS('Таблиця 1'!$K:$K,'Таблиця 1'!$B:$B,$A162,'Таблиця 1'!$I:$I,"Mirage",'Таблиця 1'!$J:$J,"C-13")+SUMIFS('Таблиця 1'!$K:$K,'Таблиця 1'!$B:$B,$A162,'Таблиця 1'!$I:$I,"F-16",'Таблиця 1'!$J:$J,"C-13")+SUMIFS('Таблиця 1'!$K:$K,'Таблиця 1'!$B:$B,$A162,'Таблиця 1'!$I:$I,"МіГ-29",'Таблиця 1'!$J:$J,"C-13")+SUMIFS('Таблиця 1'!$K:$K,'Таблиця 1'!$B:$B,$A162,'Таблиця 1'!$I:$I,"Су-25",'Таблиця 1'!$J:$J,"C-13")+SUMIFS('Таблиця 1'!$K:$K,'Таблиця 1'!$B:$B,$A162,'Таблиця 1'!$I:$I,"Су-27",'Таблиця 1'!$J:$J,"C-13"))</f>
        <v/>
      </c>
      <c r="P162">
        <f>IF($A162="","",SUMIFS('Таблиця 1'!$K:$K,'Таблиця 1'!$B:$B,$A162,'Таблиця 1'!$I:$I,"Mirage",'Таблиця 1'!$J:$J,"MK-32")+SUMIFS('Таблиця 1'!$K:$K,'Таблиця 1'!$B:$B,$A162,'Таблиця 1'!$I:$I,"F-16",'Таблиця 1'!$J:$J,"MK-32")+SUMIFS('Таблиця 1'!$K:$K,'Таблиця 1'!$B:$B,$A162,'Таблиця 1'!$I:$I,"МіГ-29",'Таблиця 1'!$J:$J,"MK-32")+SUMIFS('Таблиця 1'!$K:$K,'Таблиця 1'!$B:$B,$A162,'Таблиця 1'!$I:$I,"Су-25",'Таблиця 1'!$J:$J,"MK-32")+SUMIFS('Таблиця 1'!$K:$K,'Таблиця 1'!$B:$B,$A162,'Таблиця 1'!$I:$I,"Су-27",'Таблиця 1'!$J:$J,"MK-32"))</f>
        <v/>
      </c>
      <c r="Q162">
        <f>IF($A162="","",SUMIFS('Таблиця 1'!$K:$K,'Таблиця 1'!$B:$B,$A162,'Таблиця 1'!$I:$I,"Mirage",'Таблиця 1'!$J:$J,"MK-24")+SUMIFS('Таблиця 1'!$K:$K,'Таблиця 1'!$B:$B,$A162,'Таблиця 1'!$I:$I,"F-16",'Таблиця 1'!$J:$J,"MK-24")+SUMIFS('Таблиця 1'!$K:$K,'Таблиця 1'!$B:$B,$A162,'Таблиця 1'!$I:$I,"МіГ-29",'Таблиця 1'!$J:$J,"MK-24")+SUMIFS('Таблиця 1'!$K:$K,'Таблиця 1'!$B:$B,$A162,'Таблиця 1'!$I:$I,"Су-25",'Таблиця 1'!$J:$J,"MK-24")+SUMIFS('Таблиця 1'!$K:$K,'Таблиця 1'!$B:$B,$A162,'Таблиця 1'!$I:$I,"Су-27",'Таблиця 1'!$J:$J,"MK-24"))</f>
        <v/>
      </c>
      <c r="R162">
        <f>IF($A162="","",COUNTIFS('Таблиця 1'!$B:$B,$A162,'Таблиця 1'!$I:$I,"Mirage",'Таблиця 1'!$L:$L,"Уражено")+COUNTIFS('Таблиця 1'!$B:$B,$A162,'Таблиця 1'!$I:$I,"F-16",'Таблиця 1'!$L:$L,"Уражено")+COUNTIFS('Таблиця 1'!$B:$B,$A162,'Таблиця 1'!$I:$I,"МіГ-29",'Таблиця 1'!$L:$L,"Уражено")+COUNTIFS('Таблиця 1'!$B:$B,$A162,'Таблиця 1'!$I:$I,"Су-25",'Таблиця 1'!$L:$L,"Уражено")+COUNTIFS('Таблиця 1'!$B:$B,$A162,'Таблиця 1'!$I:$I,"Су-27",'Таблиця 1'!$L:$L,"Уражено"))</f>
        <v/>
      </c>
      <c r="S162">
        <f>IF($A162="","",COUNTIFS('Таблиця 1'!$B:$B,$A162,'Таблиця 1'!$I:$I,"Mirage",'Таблиця 1'!$L:$L,"НЕ уражено")+COUNTIFS('Таблиця 1'!$B:$B,$A162,'Таблиця 1'!$I:$I,"F-16",'Таблиця 1'!$L:$L,"НЕ уражено")+COUNTIFS('Таблиця 1'!$B:$B,$A162,'Таблиця 1'!$I:$I,"МіГ-29",'Таблиця 1'!$L:$L,"НЕ уражено")+COUNTIFS('Таблиця 1'!$B:$B,$A162,'Таблиця 1'!$I:$I,"Су-25",'Таблиця 1'!$L:$L,"НЕ уражено")+COUNTIFS('Таблиця 1'!$B:$B,$A162,'Таблиця 1'!$I:$I,"Су-27",'Таблиця 1'!$L:$L,"НЕ уражено"))</f>
        <v/>
      </c>
      <c r="T162">
        <f>IF($A162="","",COUNTIFS('Таблиця 1'!$B:$B,$A162,'Таблиця 1'!$I:$I,"Mirage",'Таблиця 1'!$L:$L,"Дорозвідується")+COUNTIFS('Таблиця 1'!$B:$B,$A162,'Таблиця 1'!$I:$I,"F-16",'Таблиця 1'!$L:$L,"Дорозвідується")+COUNTIFS('Таблиця 1'!$B:$B,$A162,'Таблиця 1'!$I:$I,"МіГ-29",'Таблиця 1'!$L:$L,"Дорозвідується")+COUNTIFS('Таблиця 1'!$B:$B,$A162,'Таблиця 1'!$I:$I,"Су-25",'Таблиця 1'!$L:$L,"Дорозвідується")+COUNTIFS('Таблиця 1'!$B:$B,$A162,'Таблиця 1'!$I:$I,"Су-27",'Таблиця 1'!$L:$L,"Дорозвідується"))</f>
        <v/>
      </c>
    </row>
    <row r="163">
      <c r="A163" s="273">
        <f>IF(A162="","",IF(A162+1&gt;MAX('Таблиця 1'!$B:$B),"",A162+1))</f>
        <v/>
      </c>
      <c r="B163">
        <f>IF($A163="","",COUNTIFS('Таблиця 1'!$B:$B,$A163,'Таблиця 1'!$I:$I,"Mirage")+COUNTIFS('Таблиця 1'!$B:$B,$A163,'Таблиця 1'!$I:$I,"F-16")+COUNTIFS('Таблиця 1'!$B:$B,$A163,'Таблиця 1'!$I:$I,"МіГ-29")+COUNTIFS('Таблиця 1'!$B:$B,$A163,'Таблиця 1'!$I:$I,"Су-25")+COUNTIFS('Таблиця 1'!$B:$B,$A163,'Таблиця 1'!$I:$I,"Су-27"))</f>
        <v/>
      </c>
      <c r="C163">
        <f>IF($A163="","",COUNTIFS('Таблиця 1'!$B:$B,$A163,'Таблиця 1'!$I:$I,"Mirage"))</f>
        <v/>
      </c>
      <c r="D163">
        <f>IF($A163="","",COUNTIFS('Таблиця 1'!$B:$B,$A163,'Таблиця 1'!$I:$I,"F-16"))</f>
        <v/>
      </c>
      <c r="E163">
        <f>IF($A163="","",COUNTIFS('Таблиця 1'!$B:$B,$A163,'Таблиця 1'!$I:$I,"МіГ-29"))</f>
        <v/>
      </c>
      <c r="F163">
        <f>IF($A163="","",COUNTIFS('Таблиця 1'!$B:$B,$A163,'Таблиця 1'!$I:$I,"Су-25"))</f>
        <v/>
      </c>
      <c r="G163">
        <f>IF($A163="","",COUNTIFS('Таблиця 1'!$B:$B,$A163,'Таблиця 1'!$I:$I,"Су-27"))</f>
        <v/>
      </c>
      <c r="H163">
        <f>IF($A163="","",SUMIFS('Таблиця 1'!$K:$K,'Таблиця 1'!$B:$B,$A163,'Таблиця 1'!$I:$I,"Mirage",'Таблиця 1'!$J:$J,"AGM-88")+SUMIFS('Таблиця 1'!$K:$K,'Таблиця 1'!$B:$B,$A163,'Таблиця 1'!$I:$I,"F-16",'Таблиця 1'!$J:$J,"AGM-88")+SUMIFS('Таблиця 1'!$K:$K,'Таблиця 1'!$B:$B,$A163,'Таблиця 1'!$I:$I,"МіГ-29",'Таблиця 1'!$J:$J,"AGM-88")+SUMIFS('Таблиця 1'!$K:$K,'Таблиця 1'!$B:$B,$A163,'Таблиця 1'!$I:$I,"Су-25",'Таблиця 1'!$J:$J,"AGM-88")+SUMIFS('Таблиця 1'!$K:$K,'Таблиця 1'!$B:$B,$A163,'Таблиця 1'!$I:$I,"Су-27",'Таблиця 1'!$J:$J,"AGM-88"))</f>
        <v/>
      </c>
      <c r="I163">
        <f>IF($A163="","",SUMIFS('Таблиця 1'!$K:$K,'Таблиця 1'!$B:$B,$A163,'Таблиця 1'!$I:$I,"Mirage",'Таблиця 1'!$J:$J,"AASM-250")+SUMIFS('Таблиця 1'!$K:$K,'Таблиця 1'!$B:$B,$A163,'Таблиця 1'!$I:$I,"F-16",'Таблиця 1'!$J:$J,"AASM-250")+SUMIFS('Таблиця 1'!$K:$K,'Таблиця 1'!$B:$B,$A163,'Таблиця 1'!$I:$I,"МіГ-29",'Таблиця 1'!$J:$J,"AASM-250")+SUMIFS('Таблиця 1'!$K:$K,'Таблиця 1'!$B:$B,$A163,'Таблиця 1'!$I:$I,"Су-25",'Таблиця 1'!$J:$J,"AASM-250")+SUMIFS('Таблиця 1'!$K:$K,'Таблиця 1'!$B:$B,$A163,'Таблиця 1'!$I:$I,"Су-27",'Таблиця 1'!$J:$J,"AASM-250"))</f>
        <v/>
      </c>
      <c r="J163">
        <f>IF($A163="","",SUMIFS('Таблиця 1'!$K:$K,'Таблиця 1'!$B:$B,$A163,'Таблиця 1'!$I:$I,"Mirage",'Таблиця 1'!$J:$J,"GBU-39")+SUMIFS('Таблиця 1'!$K:$K,'Таблиця 1'!$B:$B,$A163,'Таблиця 1'!$I:$I,"F-16",'Таблиця 1'!$J:$J,"GBU-39")+SUMIFS('Таблиця 1'!$K:$K,'Таблиця 1'!$B:$B,$A163,'Таблиця 1'!$I:$I,"МіГ-29",'Таблиця 1'!$J:$J,"GBU-39")+SUMIFS('Таблиця 1'!$K:$K,'Таблиця 1'!$B:$B,$A163,'Таблиця 1'!$I:$I,"Су-25",'Таблиця 1'!$J:$J,"GBU-39")+SUMIFS('Таблиця 1'!$K:$K,'Таблиця 1'!$B:$B,$A163,'Таблиця 1'!$I:$I,"Су-27",'Таблиця 1'!$J:$J,"GBU-39"))</f>
        <v/>
      </c>
      <c r="K163">
        <f>IF($A163="","",SUMIFS('Таблиця 1'!$K:$K,'Таблиця 1'!$B:$B,$A163,'Таблиця 1'!$I:$I,"Mirage",'Таблиця 1'!$J:$J,"BLU-140")+SUMIFS('Таблиця 1'!$K:$K,'Таблиця 1'!$B:$B,$A163,'Таблиця 1'!$I:$I,"F-16",'Таблиця 1'!$J:$J,"BLU-140")+SUMIFS('Таблиця 1'!$K:$K,'Таблиця 1'!$B:$B,$A163,'Таблиця 1'!$I:$I,"МіГ-29",'Таблиця 1'!$J:$J,"BLU-140")+SUMIFS('Таблиця 1'!$K:$K,'Таблиця 1'!$B:$B,$A163,'Таблиця 1'!$I:$I,"Су-25",'Таблиця 1'!$J:$J,"BLU-140")+SUMIFS('Таблиця 1'!$K:$K,'Таблиця 1'!$B:$B,$A163,'Таблиця 1'!$I:$I,"Су-27",'Таблиця 1'!$J:$J,"BLU-140"))</f>
        <v/>
      </c>
      <c r="L163">
        <f>IF($A163="","",SUMIFS('Таблиця 1'!$K:$K,'Таблиця 1'!$B:$B,$A163,'Таблиця 1'!$I:$I,"Mirage",'Таблиця 1'!$J:$J,"GBU-65")+SUMIFS('Таблиця 1'!$K:$K,'Таблиця 1'!$B:$B,$A163,'Таблиця 1'!$I:$I,"F-16",'Таблиця 1'!$J:$J,"GBU-65")+SUMIFS('Таблиця 1'!$K:$K,'Таблиця 1'!$B:$B,$A163,'Таблиця 1'!$I:$I,"МіГ-29",'Таблиця 1'!$J:$J,"GBU-65")+SUMIFS('Таблиця 1'!$K:$K,'Таблиця 1'!$B:$B,$A163,'Таблиця 1'!$I:$I,"Су-25",'Таблиця 1'!$J:$J,"GBU-65")+SUMIFS('Таблиця 1'!$K:$K,'Таблиця 1'!$B:$B,$A163,'Таблиця 1'!$I:$I,"Су-27",'Таблиця 1'!$J:$J,"GBU-65"))</f>
        <v/>
      </c>
      <c r="M163">
        <f>IF($A163="","",SUMIFS('Таблиця 1'!$K:$K,'Таблиця 1'!$B:$B,$A163,'Таблиця 1'!$I:$I,"Mirage",'Таблиця 1'!$J:$J,"GBU-62")+SUMIFS('Таблиця 1'!$K:$K,'Таблиця 1'!$B:$B,$A163,'Таблиця 1'!$I:$I,"F-16",'Таблиця 1'!$J:$J,"GBU-62")+SUMIFS('Таблиця 1'!$K:$K,'Таблиця 1'!$B:$B,$A163,'Таблиця 1'!$I:$I,"МіГ-29",'Таблиця 1'!$J:$J,"GBU-62")+SUMIFS('Таблиця 1'!$K:$K,'Таблиця 1'!$B:$B,$A163,'Таблиця 1'!$I:$I,"Су-25",'Таблиця 1'!$J:$J,"GBU-62")+SUMIFS('Таблиця 1'!$K:$K,'Таблиця 1'!$B:$B,$A163,'Таблиця 1'!$I:$I,"Су-27",'Таблиця 1'!$J:$J,"GBU-62"))</f>
        <v/>
      </c>
      <c r="N163">
        <f>IF($A163="","",SUMIFS('Таблиця 1'!$K:$K,'Таблиця 1'!$B:$B,$A163,'Таблиця 1'!$I:$I,"Mirage",'Таблиця 1'!$J:$J,"GBU-64")+SUMIFS('Таблиця 1'!$K:$K,'Таблиця 1'!$B:$B,$A163,'Таблиця 1'!$I:$I,"F-16",'Таблиця 1'!$J:$J,"GBU-64")+SUMIFS('Таблиця 1'!$K:$K,'Таблиця 1'!$B:$B,$A163,'Таблиця 1'!$I:$I,"МіГ-29",'Таблиця 1'!$J:$J,"GBU-64")+SUMIFS('Таблиця 1'!$K:$K,'Таблиця 1'!$B:$B,$A163,'Таблиця 1'!$I:$I,"Су-25",'Таблиця 1'!$J:$J,"GBU-64")+SUMIFS('Таблиця 1'!$K:$K,'Таблиця 1'!$B:$B,$A163,'Таблиця 1'!$I:$I,"Су-27",'Таблиця 1'!$J:$J,"GBU-64"))</f>
        <v/>
      </c>
      <c r="O163">
        <f>IF($A163="","",SUMIFS('Таблиця 1'!$K:$K,'Таблиця 1'!$B:$B,$A163,'Таблиця 1'!$I:$I,"Mirage",'Таблиця 1'!$J:$J,"C-13")+SUMIFS('Таблиця 1'!$K:$K,'Таблиця 1'!$B:$B,$A163,'Таблиця 1'!$I:$I,"F-16",'Таблиця 1'!$J:$J,"C-13")+SUMIFS('Таблиця 1'!$K:$K,'Таблиця 1'!$B:$B,$A163,'Таблиця 1'!$I:$I,"МіГ-29",'Таблиця 1'!$J:$J,"C-13")+SUMIFS('Таблиця 1'!$K:$K,'Таблиця 1'!$B:$B,$A163,'Таблиця 1'!$I:$I,"Су-25",'Таблиця 1'!$J:$J,"C-13")+SUMIFS('Таблиця 1'!$K:$K,'Таблиця 1'!$B:$B,$A163,'Таблиця 1'!$I:$I,"Су-27",'Таблиця 1'!$J:$J,"C-13"))</f>
        <v/>
      </c>
      <c r="P163">
        <f>IF($A163="","",SUMIFS('Таблиця 1'!$K:$K,'Таблиця 1'!$B:$B,$A163,'Таблиця 1'!$I:$I,"Mirage",'Таблиця 1'!$J:$J,"MK-32")+SUMIFS('Таблиця 1'!$K:$K,'Таблиця 1'!$B:$B,$A163,'Таблиця 1'!$I:$I,"F-16",'Таблиця 1'!$J:$J,"MK-32")+SUMIFS('Таблиця 1'!$K:$K,'Таблиця 1'!$B:$B,$A163,'Таблиця 1'!$I:$I,"МіГ-29",'Таблиця 1'!$J:$J,"MK-32")+SUMIFS('Таблиця 1'!$K:$K,'Таблиця 1'!$B:$B,$A163,'Таблиця 1'!$I:$I,"Су-25",'Таблиця 1'!$J:$J,"MK-32")+SUMIFS('Таблиця 1'!$K:$K,'Таблиця 1'!$B:$B,$A163,'Таблиця 1'!$I:$I,"Су-27",'Таблиця 1'!$J:$J,"MK-32"))</f>
        <v/>
      </c>
      <c r="Q163">
        <f>IF($A163="","",SUMIFS('Таблиця 1'!$K:$K,'Таблиця 1'!$B:$B,$A163,'Таблиця 1'!$I:$I,"Mirage",'Таблиця 1'!$J:$J,"MK-24")+SUMIFS('Таблиця 1'!$K:$K,'Таблиця 1'!$B:$B,$A163,'Таблиця 1'!$I:$I,"F-16",'Таблиця 1'!$J:$J,"MK-24")+SUMIFS('Таблиця 1'!$K:$K,'Таблиця 1'!$B:$B,$A163,'Таблиця 1'!$I:$I,"МіГ-29",'Таблиця 1'!$J:$J,"MK-24")+SUMIFS('Таблиця 1'!$K:$K,'Таблиця 1'!$B:$B,$A163,'Таблиця 1'!$I:$I,"Су-25",'Таблиця 1'!$J:$J,"MK-24")+SUMIFS('Таблиця 1'!$K:$K,'Таблиця 1'!$B:$B,$A163,'Таблиця 1'!$I:$I,"Су-27",'Таблиця 1'!$J:$J,"MK-24"))</f>
        <v/>
      </c>
      <c r="R163">
        <f>IF($A163="","",COUNTIFS('Таблиця 1'!$B:$B,$A163,'Таблиця 1'!$I:$I,"Mirage",'Таблиця 1'!$L:$L,"Уражено")+COUNTIFS('Таблиця 1'!$B:$B,$A163,'Таблиця 1'!$I:$I,"F-16",'Таблиця 1'!$L:$L,"Уражено")+COUNTIFS('Таблиця 1'!$B:$B,$A163,'Таблиця 1'!$I:$I,"МіГ-29",'Таблиця 1'!$L:$L,"Уражено")+COUNTIFS('Таблиця 1'!$B:$B,$A163,'Таблиця 1'!$I:$I,"Су-25",'Таблиця 1'!$L:$L,"Уражено")+COUNTIFS('Таблиця 1'!$B:$B,$A163,'Таблиця 1'!$I:$I,"Су-27",'Таблиця 1'!$L:$L,"Уражено"))</f>
        <v/>
      </c>
      <c r="S163">
        <f>IF($A163="","",COUNTIFS('Таблиця 1'!$B:$B,$A163,'Таблиця 1'!$I:$I,"Mirage",'Таблиця 1'!$L:$L,"НЕ уражено")+COUNTIFS('Таблиця 1'!$B:$B,$A163,'Таблиця 1'!$I:$I,"F-16",'Таблиця 1'!$L:$L,"НЕ уражено")+COUNTIFS('Таблиця 1'!$B:$B,$A163,'Таблиця 1'!$I:$I,"МіГ-29",'Таблиця 1'!$L:$L,"НЕ уражено")+COUNTIFS('Таблиця 1'!$B:$B,$A163,'Таблиця 1'!$I:$I,"Су-25",'Таблиця 1'!$L:$L,"НЕ уражено")+COUNTIFS('Таблиця 1'!$B:$B,$A163,'Таблиця 1'!$I:$I,"Су-27",'Таблиця 1'!$L:$L,"НЕ уражено"))</f>
        <v/>
      </c>
      <c r="T163">
        <f>IF($A163="","",COUNTIFS('Таблиця 1'!$B:$B,$A163,'Таблиця 1'!$I:$I,"Mirage",'Таблиця 1'!$L:$L,"Дорозвідується")+COUNTIFS('Таблиця 1'!$B:$B,$A163,'Таблиця 1'!$I:$I,"F-16",'Таблиця 1'!$L:$L,"Дорозвідується")+COUNTIFS('Таблиця 1'!$B:$B,$A163,'Таблиця 1'!$I:$I,"МіГ-29",'Таблиця 1'!$L:$L,"Дорозвідується")+COUNTIFS('Таблиця 1'!$B:$B,$A163,'Таблиця 1'!$I:$I,"Су-25",'Таблиця 1'!$L:$L,"Дорозвідується")+COUNTIFS('Таблиця 1'!$B:$B,$A163,'Таблиця 1'!$I:$I,"Су-27",'Таблиця 1'!$L:$L,"Дорозвідується"))</f>
        <v/>
      </c>
    </row>
    <row r="164">
      <c r="A164" s="273">
        <f>IF(A163="","",IF(A163+1&gt;MAX('Таблиця 1'!$B:$B),"",A163+1))</f>
        <v/>
      </c>
      <c r="B164">
        <f>IF($A164="","",COUNTIFS('Таблиця 1'!$B:$B,$A164,'Таблиця 1'!$I:$I,"Mirage")+COUNTIFS('Таблиця 1'!$B:$B,$A164,'Таблиця 1'!$I:$I,"F-16")+COUNTIFS('Таблиця 1'!$B:$B,$A164,'Таблиця 1'!$I:$I,"МіГ-29")+COUNTIFS('Таблиця 1'!$B:$B,$A164,'Таблиця 1'!$I:$I,"Су-25")+COUNTIFS('Таблиця 1'!$B:$B,$A164,'Таблиця 1'!$I:$I,"Су-27"))</f>
        <v/>
      </c>
      <c r="C164">
        <f>IF($A164="","",COUNTIFS('Таблиця 1'!$B:$B,$A164,'Таблиця 1'!$I:$I,"Mirage"))</f>
        <v/>
      </c>
      <c r="D164">
        <f>IF($A164="","",COUNTIFS('Таблиця 1'!$B:$B,$A164,'Таблиця 1'!$I:$I,"F-16"))</f>
        <v/>
      </c>
      <c r="E164">
        <f>IF($A164="","",COUNTIFS('Таблиця 1'!$B:$B,$A164,'Таблиця 1'!$I:$I,"МіГ-29"))</f>
        <v/>
      </c>
      <c r="F164">
        <f>IF($A164="","",COUNTIFS('Таблиця 1'!$B:$B,$A164,'Таблиця 1'!$I:$I,"Су-25"))</f>
        <v/>
      </c>
      <c r="G164">
        <f>IF($A164="","",COUNTIFS('Таблиця 1'!$B:$B,$A164,'Таблиця 1'!$I:$I,"Су-27"))</f>
        <v/>
      </c>
      <c r="H164">
        <f>IF($A164="","",SUMIFS('Таблиця 1'!$K:$K,'Таблиця 1'!$B:$B,$A164,'Таблиця 1'!$I:$I,"Mirage",'Таблиця 1'!$J:$J,"AGM-88")+SUMIFS('Таблиця 1'!$K:$K,'Таблиця 1'!$B:$B,$A164,'Таблиця 1'!$I:$I,"F-16",'Таблиця 1'!$J:$J,"AGM-88")+SUMIFS('Таблиця 1'!$K:$K,'Таблиця 1'!$B:$B,$A164,'Таблиця 1'!$I:$I,"МіГ-29",'Таблиця 1'!$J:$J,"AGM-88")+SUMIFS('Таблиця 1'!$K:$K,'Таблиця 1'!$B:$B,$A164,'Таблиця 1'!$I:$I,"Су-25",'Таблиця 1'!$J:$J,"AGM-88")+SUMIFS('Таблиця 1'!$K:$K,'Таблиця 1'!$B:$B,$A164,'Таблиця 1'!$I:$I,"Су-27",'Таблиця 1'!$J:$J,"AGM-88"))</f>
        <v/>
      </c>
      <c r="I164">
        <f>IF($A164="","",SUMIFS('Таблиця 1'!$K:$K,'Таблиця 1'!$B:$B,$A164,'Таблиця 1'!$I:$I,"Mirage",'Таблиця 1'!$J:$J,"AASM-250")+SUMIFS('Таблиця 1'!$K:$K,'Таблиця 1'!$B:$B,$A164,'Таблиця 1'!$I:$I,"F-16",'Таблиця 1'!$J:$J,"AASM-250")+SUMIFS('Таблиця 1'!$K:$K,'Таблиця 1'!$B:$B,$A164,'Таблиця 1'!$I:$I,"МіГ-29",'Таблиця 1'!$J:$J,"AASM-250")+SUMIFS('Таблиця 1'!$K:$K,'Таблиця 1'!$B:$B,$A164,'Таблиця 1'!$I:$I,"Су-25",'Таблиця 1'!$J:$J,"AASM-250")+SUMIFS('Таблиця 1'!$K:$K,'Таблиця 1'!$B:$B,$A164,'Таблиця 1'!$I:$I,"Су-27",'Таблиця 1'!$J:$J,"AASM-250"))</f>
        <v/>
      </c>
      <c r="J164">
        <f>IF($A164="","",SUMIFS('Таблиця 1'!$K:$K,'Таблиця 1'!$B:$B,$A164,'Таблиця 1'!$I:$I,"Mirage",'Таблиця 1'!$J:$J,"GBU-39")+SUMIFS('Таблиця 1'!$K:$K,'Таблиця 1'!$B:$B,$A164,'Таблиця 1'!$I:$I,"F-16",'Таблиця 1'!$J:$J,"GBU-39")+SUMIFS('Таблиця 1'!$K:$K,'Таблиця 1'!$B:$B,$A164,'Таблиця 1'!$I:$I,"МіГ-29",'Таблиця 1'!$J:$J,"GBU-39")+SUMIFS('Таблиця 1'!$K:$K,'Таблиця 1'!$B:$B,$A164,'Таблиця 1'!$I:$I,"Су-25",'Таблиця 1'!$J:$J,"GBU-39")+SUMIFS('Таблиця 1'!$K:$K,'Таблиця 1'!$B:$B,$A164,'Таблиця 1'!$I:$I,"Су-27",'Таблиця 1'!$J:$J,"GBU-39"))</f>
        <v/>
      </c>
      <c r="K164">
        <f>IF($A164="","",SUMIFS('Таблиця 1'!$K:$K,'Таблиця 1'!$B:$B,$A164,'Таблиця 1'!$I:$I,"Mirage",'Таблиця 1'!$J:$J,"BLU-140")+SUMIFS('Таблиця 1'!$K:$K,'Таблиця 1'!$B:$B,$A164,'Таблиця 1'!$I:$I,"F-16",'Таблиця 1'!$J:$J,"BLU-140")+SUMIFS('Таблиця 1'!$K:$K,'Таблиця 1'!$B:$B,$A164,'Таблиця 1'!$I:$I,"МіГ-29",'Таблиця 1'!$J:$J,"BLU-140")+SUMIFS('Таблиця 1'!$K:$K,'Таблиця 1'!$B:$B,$A164,'Таблиця 1'!$I:$I,"Су-25",'Таблиця 1'!$J:$J,"BLU-140")+SUMIFS('Таблиця 1'!$K:$K,'Таблиця 1'!$B:$B,$A164,'Таблиця 1'!$I:$I,"Су-27",'Таблиця 1'!$J:$J,"BLU-140"))</f>
        <v/>
      </c>
      <c r="L164">
        <f>IF($A164="","",SUMIFS('Таблиця 1'!$K:$K,'Таблиця 1'!$B:$B,$A164,'Таблиця 1'!$I:$I,"Mirage",'Таблиця 1'!$J:$J,"GBU-65")+SUMIFS('Таблиця 1'!$K:$K,'Таблиця 1'!$B:$B,$A164,'Таблиця 1'!$I:$I,"F-16",'Таблиця 1'!$J:$J,"GBU-65")+SUMIFS('Таблиця 1'!$K:$K,'Таблиця 1'!$B:$B,$A164,'Таблиця 1'!$I:$I,"МіГ-29",'Таблиця 1'!$J:$J,"GBU-65")+SUMIFS('Таблиця 1'!$K:$K,'Таблиця 1'!$B:$B,$A164,'Таблиця 1'!$I:$I,"Су-25",'Таблиця 1'!$J:$J,"GBU-65")+SUMIFS('Таблиця 1'!$K:$K,'Таблиця 1'!$B:$B,$A164,'Таблиця 1'!$I:$I,"Су-27",'Таблиця 1'!$J:$J,"GBU-65"))</f>
        <v/>
      </c>
      <c r="M164">
        <f>IF($A164="","",SUMIFS('Таблиця 1'!$K:$K,'Таблиця 1'!$B:$B,$A164,'Таблиця 1'!$I:$I,"Mirage",'Таблиця 1'!$J:$J,"GBU-62")+SUMIFS('Таблиця 1'!$K:$K,'Таблиця 1'!$B:$B,$A164,'Таблиця 1'!$I:$I,"F-16",'Таблиця 1'!$J:$J,"GBU-62")+SUMIFS('Таблиця 1'!$K:$K,'Таблиця 1'!$B:$B,$A164,'Таблиця 1'!$I:$I,"МіГ-29",'Таблиця 1'!$J:$J,"GBU-62")+SUMIFS('Таблиця 1'!$K:$K,'Таблиця 1'!$B:$B,$A164,'Таблиця 1'!$I:$I,"Су-25",'Таблиця 1'!$J:$J,"GBU-62")+SUMIFS('Таблиця 1'!$K:$K,'Таблиця 1'!$B:$B,$A164,'Таблиця 1'!$I:$I,"Су-27",'Таблиця 1'!$J:$J,"GBU-62"))</f>
        <v/>
      </c>
      <c r="N164">
        <f>IF($A164="","",SUMIFS('Таблиця 1'!$K:$K,'Таблиця 1'!$B:$B,$A164,'Таблиця 1'!$I:$I,"Mirage",'Таблиця 1'!$J:$J,"GBU-64")+SUMIFS('Таблиця 1'!$K:$K,'Таблиця 1'!$B:$B,$A164,'Таблиця 1'!$I:$I,"F-16",'Таблиця 1'!$J:$J,"GBU-64")+SUMIFS('Таблиця 1'!$K:$K,'Таблиця 1'!$B:$B,$A164,'Таблиця 1'!$I:$I,"МіГ-29",'Таблиця 1'!$J:$J,"GBU-64")+SUMIFS('Таблиця 1'!$K:$K,'Таблиця 1'!$B:$B,$A164,'Таблиця 1'!$I:$I,"Су-25",'Таблиця 1'!$J:$J,"GBU-64")+SUMIFS('Таблиця 1'!$K:$K,'Таблиця 1'!$B:$B,$A164,'Таблиця 1'!$I:$I,"Су-27",'Таблиця 1'!$J:$J,"GBU-64"))</f>
        <v/>
      </c>
      <c r="O164">
        <f>IF($A164="","",SUMIFS('Таблиця 1'!$K:$K,'Таблиця 1'!$B:$B,$A164,'Таблиця 1'!$I:$I,"Mirage",'Таблиця 1'!$J:$J,"C-13")+SUMIFS('Таблиця 1'!$K:$K,'Таблиця 1'!$B:$B,$A164,'Таблиця 1'!$I:$I,"F-16",'Таблиця 1'!$J:$J,"C-13")+SUMIFS('Таблиця 1'!$K:$K,'Таблиця 1'!$B:$B,$A164,'Таблиця 1'!$I:$I,"МіГ-29",'Таблиця 1'!$J:$J,"C-13")+SUMIFS('Таблиця 1'!$K:$K,'Таблиця 1'!$B:$B,$A164,'Таблиця 1'!$I:$I,"Су-25",'Таблиця 1'!$J:$J,"C-13")+SUMIFS('Таблиця 1'!$K:$K,'Таблиця 1'!$B:$B,$A164,'Таблиця 1'!$I:$I,"Су-27",'Таблиця 1'!$J:$J,"C-13"))</f>
        <v/>
      </c>
      <c r="P164">
        <f>IF($A164="","",SUMIFS('Таблиця 1'!$K:$K,'Таблиця 1'!$B:$B,$A164,'Таблиця 1'!$I:$I,"Mirage",'Таблиця 1'!$J:$J,"MK-32")+SUMIFS('Таблиця 1'!$K:$K,'Таблиця 1'!$B:$B,$A164,'Таблиця 1'!$I:$I,"F-16",'Таблиця 1'!$J:$J,"MK-32")+SUMIFS('Таблиця 1'!$K:$K,'Таблиця 1'!$B:$B,$A164,'Таблиця 1'!$I:$I,"МіГ-29",'Таблиця 1'!$J:$J,"MK-32")+SUMIFS('Таблиця 1'!$K:$K,'Таблиця 1'!$B:$B,$A164,'Таблиця 1'!$I:$I,"Су-25",'Таблиця 1'!$J:$J,"MK-32")+SUMIFS('Таблиця 1'!$K:$K,'Таблиця 1'!$B:$B,$A164,'Таблиця 1'!$I:$I,"Су-27",'Таблиця 1'!$J:$J,"MK-32"))</f>
        <v/>
      </c>
      <c r="Q164">
        <f>IF($A164="","",SUMIFS('Таблиця 1'!$K:$K,'Таблиця 1'!$B:$B,$A164,'Таблиця 1'!$I:$I,"Mirage",'Таблиця 1'!$J:$J,"MK-24")+SUMIFS('Таблиця 1'!$K:$K,'Таблиця 1'!$B:$B,$A164,'Таблиця 1'!$I:$I,"F-16",'Таблиця 1'!$J:$J,"MK-24")+SUMIFS('Таблиця 1'!$K:$K,'Таблиця 1'!$B:$B,$A164,'Таблиця 1'!$I:$I,"МіГ-29",'Таблиця 1'!$J:$J,"MK-24")+SUMIFS('Таблиця 1'!$K:$K,'Таблиця 1'!$B:$B,$A164,'Таблиця 1'!$I:$I,"Су-25",'Таблиця 1'!$J:$J,"MK-24")+SUMIFS('Таблиця 1'!$K:$K,'Таблиця 1'!$B:$B,$A164,'Таблиця 1'!$I:$I,"Су-27",'Таблиця 1'!$J:$J,"MK-24"))</f>
        <v/>
      </c>
      <c r="R164">
        <f>IF($A164="","",COUNTIFS('Таблиця 1'!$B:$B,$A164,'Таблиця 1'!$I:$I,"Mirage",'Таблиця 1'!$L:$L,"Уражено")+COUNTIFS('Таблиця 1'!$B:$B,$A164,'Таблиця 1'!$I:$I,"F-16",'Таблиця 1'!$L:$L,"Уражено")+COUNTIFS('Таблиця 1'!$B:$B,$A164,'Таблиця 1'!$I:$I,"МіГ-29",'Таблиця 1'!$L:$L,"Уражено")+COUNTIFS('Таблиця 1'!$B:$B,$A164,'Таблиця 1'!$I:$I,"Су-25",'Таблиця 1'!$L:$L,"Уражено")+COUNTIFS('Таблиця 1'!$B:$B,$A164,'Таблиця 1'!$I:$I,"Су-27",'Таблиця 1'!$L:$L,"Уражено"))</f>
        <v/>
      </c>
      <c r="S164">
        <f>IF($A164="","",COUNTIFS('Таблиця 1'!$B:$B,$A164,'Таблиця 1'!$I:$I,"Mirage",'Таблиця 1'!$L:$L,"НЕ уражено")+COUNTIFS('Таблиця 1'!$B:$B,$A164,'Таблиця 1'!$I:$I,"F-16",'Таблиця 1'!$L:$L,"НЕ уражено")+COUNTIFS('Таблиця 1'!$B:$B,$A164,'Таблиця 1'!$I:$I,"МіГ-29",'Таблиця 1'!$L:$L,"НЕ уражено")+COUNTIFS('Таблиця 1'!$B:$B,$A164,'Таблиця 1'!$I:$I,"Су-25",'Таблиця 1'!$L:$L,"НЕ уражено")+COUNTIFS('Таблиця 1'!$B:$B,$A164,'Таблиця 1'!$I:$I,"Су-27",'Таблиця 1'!$L:$L,"НЕ уражено"))</f>
        <v/>
      </c>
      <c r="T164">
        <f>IF($A164="","",COUNTIFS('Таблиця 1'!$B:$B,$A164,'Таблиця 1'!$I:$I,"Mirage",'Таблиця 1'!$L:$L,"Дорозвідується")+COUNTIFS('Таблиця 1'!$B:$B,$A164,'Таблиця 1'!$I:$I,"F-16",'Таблиця 1'!$L:$L,"Дорозвідується")+COUNTIFS('Таблиця 1'!$B:$B,$A164,'Таблиця 1'!$I:$I,"МіГ-29",'Таблиця 1'!$L:$L,"Дорозвідується")+COUNTIFS('Таблиця 1'!$B:$B,$A164,'Таблиця 1'!$I:$I,"Су-25",'Таблиця 1'!$L:$L,"Дорозвідується")+COUNTIFS('Таблиця 1'!$B:$B,$A164,'Таблиця 1'!$I:$I,"Су-27",'Таблиця 1'!$L:$L,"Дорозвідується"))</f>
        <v/>
      </c>
    </row>
    <row r="165">
      <c r="A165" s="273">
        <f>IF(A164="","",IF(A164+1&gt;MAX('Таблиця 1'!$B:$B),"",A164+1))</f>
        <v/>
      </c>
      <c r="B165">
        <f>IF($A165="","",COUNTIFS('Таблиця 1'!$B:$B,$A165,'Таблиця 1'!$I:$I,"Mirage")+COUNTIFS('Таблиця 1'!$B:$B,$A165,'Таблиця 1'!$I:$I,"F-16")+COUNTIFS('Таблиця 1'!$B:$B,$A165,'Таблиця 1'!$I:$I,"МіГ-29")+COUNTIFS('Таблиця 1'!$B:$B,$A165,'Таблиця 1'!$I:$I,"Су-25")+COUNTIFS('Таблиця 1'!$B:$B,$A165,'Таблиця 1'!$I:$I,"Су-27"))</f>
        <v/>
      </c>
      <c r="C165">
        <f>IF($A165="","",COUNTIFS('Таблиця 1'!$B:$B,$A165,'Таблиця 1'!$I:$I,"Mirage"))</f>
        <v/>
      </c>
      <c r="D165">
        <f>IF($A165="","",COUNTIFS('Таблиця 1'!$B:$B,$A165,'Таблиця 1'!$I:$I,"F-16"))</f>
        <v/>
      </c>
      <c r="E165">
        <f>IF($A165="","",COUNTIFS('Таблиця 1'!$B:$B,$A165,'Таблиця 1'!$I:$I,"МіГ-29"))</f>
        <v/>
      </c>
      <c r="F165">
        <f>IF($A165="","",COUNTIFS('Таблиця 1'!$B:$B,$A165,'Таблиця 1'!$I:$I,"Су-25"))</f>
        <v/>
      </c>
      <c r="G165">
        <f>IF($A165="","",COUNTIFS('Таблиця 1'!$B:$B,$A165,'Таблиця 1'!$I:$I,"Су-27"))</f>
        <v/>
      </c>
      <c r="H165">
        <f>IF($A165="","",SUMIFS('Таблиця 1'!$K:$K,'Таблиця 1'!$B:$B,$A165,'Таблиця 1'!$I:$I,"Mirage",'Таблиця 1'!$J:$J,"AGM-88")+SUMIFS('Таблиця 1'!$K:$K,'Таблиця 1'!$B:$B,$A165,'Таблиця 1'!$I:$I,"F-16",'Таблиця 1'!$J:$J,"AGM-88")+SUMIFS('Таблиця 1'!$K:$K,'Таблиця 1'!$B:$B,$A165,'Таблиця 1'!$I:$I,"МіГ-29",'Таблиця 1'!$J:$J,"AGM-88")+SUMIFS('Таблиця 1'!$K:$K,'Таблиця 1'!$B:$B,$A165,'Таблиця 1'!$I:$I,"Су-25",'Таблиця 1'!$J:$J,"AGM-88")+SUMIFS('Таблиця 1'!$K:$K,'Таблиця 1'!$B:$B,$A165,'Таблиця 1'!$I:$I,"Су-27",'Таблиця 1'!$J:$J,"AGM-88"))</f>
        <v/>
      </c>
      <c r="I165">
        <f>IF($A165="","",SUMIFS('Таблиця 1'!$K:$K,'Таблиця 1'!$B:$B,$A165,'Таблиця 1'!$I:$I,"Mirage",'Таблиця 1'!$J:$J,"AASM-250")+SUMIFS('Таблиця 1'!$K:$K,'Таблиця 1'!$B:$B,$A165,'Таблиця 1'!$I:$I,"F-16",'Таблиця 1'!$J:$J,"AASM-250")+SUMIFS('Таблиця 1'!$K:$K,'Таблиця 1'!$B:$B,$A165,'Таблиця 1'!$I:$I,"МіГ-29",'Таблиця 1'!$J:$J,"AASM-250")+SUMIFS('Таблиця 1'!$K:$K,'Таблиця 1'!$B:$B,$A165,'Таблиця 1'!$I:$I,"Су-25",'Таблиця 1'!$J:$J,"AASM-250")+SUMIFS('Таблиця 1'!$K:$K,'Таблиця 1'!$B:$B,$A165,'Таблиця 1'!$I:$I,"Су-27",'Таблиця 1'!$J:$J,"AASM-250"))</f>
        <v/>
      </c>
      <c r="J165">
        <f>IF($A165="","",SUMIFS('Таблиця 1'!$K:$K,'Таблиця 1'!$B:$B,$A165,'Таблиця 1'!$I:$I,"Mirage",'Таблиця 1'!$J:$J,"GBU-39")+SUMIFS('Таблиця 1'!$K:$K,'Таблиця 1'!$B:$B,$A165,'Таблиця 1'!$I:$I,"F-16",'Таблиця 1'!$J:$J,"GBU-39")+SUMIFS('Таблиця 1'!$K:$K,'Таблиця 1'!$B:$B,$A165,'Таблиця 1'!$I:$I,"МіГ-29",'Таблиця 1'!$J:$J,"GBU-39")+SUMIFS('Таблиця 1'!$K:$K,'Таблиця 1'!$B:$B,$A165,'Таблиця 1'!$I:$I,"Су-25",'Таблиця 1'!$J:$J,"GBU-39")+SUMIFS('Таблиця 1'!$K:$K,'Таблиця 1'!$B:$B,$A165,'Таблиця 1'!$I:$I,"Су-27",'Таблиця 1'!$J:$J,"GBU-39"))</f>
        <v/>
      </c>
      <c r="K165">
        <f>IF($A165="","",SUMIFS('Таблиця 1'!$K:$K,'Таблиця 1'!$B:$B,$A165,'Таблиця 1'!$I:$I,"Mirage",'Таблиця 1'!$J:$J,"BLU-140")+SUMIFS('Таблиця 1'!$K:$K,'Таблиця 1'!$B:$B,$A165,'Таблиця 1'!$I:$I,"F-16",'Таблиця 1'!$J:$J,"BLU-140")+SUMIFS('Таблиця 1'!$K:$K,'Таблиця 1'!$B:$B,$A165,'Таблиця 1'!$I:$I,"МіГ-29",'Таблиця 1'!$J:$J,"BLU-140")+SUMIFS('Таблиця 1'!$K:$K,'Таблиця 1'!$B:$B,$A165,'Таблиця 1'!$I:$I,"Су-25",'Таблиця 1'!$J:$J,"BLU-140")+SUMIFS('Таблиця 1'!$K:$K,'Таблиця 1'!$B:$B,$A165,'Таблиця 1'!$I:$I,"Су-27",'Таблиця 1'!$J:$J,"BLU-140"))</f>
        <v/>
      </c>
      <c r="L165">
        <f>IF($A165="","",SUMIFS('Таблиця 1'!$K:$K,'Таблиця 1'!$B:$B,$A165,'Таблиця 1'!$I:$I,"Mirage",'Таблиця 1'!$J:$J,"GBU-65")+SUMIFS('Таблиця 1'!$K:$K,'Таблиця 1'!$B:$B,$A165,'Таблиця 1'!$I:$I,"F-16",'Таблиця 1'!$J:$J,"GBU-65")+SUMIFS('Таблиця 1'!$K:$K,'Таблиця 1'!$B:$B,$A165,'Таблиця 1'!$I:$I,"МіГ-29",'Таблиця 1'!$J:$J,"GBU-65")+SUMIFS('Таблиця 1'!$K:$K,'Таблиця 1'!$B:$B,$A165,'Таблиця 1'!$I:$I,"Су-25",'Таблиця 1'!$J:$J,"GBU-65")+SUMIFS('Таблиця 1'!$K:$K,'Таблиця 1'!$B:$B,$A165,'Таблиця 1'!$I:$I,"Су-27",'Таблиця 1'!$J:$J,"GBU-65"))</f>
        <v/>
      </c>
      <c r="M165">
        <f>IF($A165="","",SUMIFS('Таблиця 1'!$K:$K,'Таблиця 1'!$B:$B,$A165,'Таблиця 1'!$I:$I,"Mirage",'Таблиця 1'!$J:$J,"GBU-62")+SUMIFS('Таблиця 1'!$K:$K,'Таблиця 1'!$B:$B,$A165,'Таблиця 1'!$I:$I,"F-16",'Таблиця 1'!$J:$J,"GBU-62")+SUMIFS('Таблиця 1'!$K:$K,'Таблиця 1'!$B:$B,$A165,'Таблиця 1'!$I:$I,"МіГ-29",'Таблиця 1'!$J:$J,"GBU-62")+SUMIFS('Таблиця 1'!$K:$K,'Таблиця 1'!$B:$B,$A165,'Таблиця 1'!$I:$I,"Су-25",'Таблиця 1'!$J:$J,"GBU-62")+SUMIFS('Таблиця 1'!$K:$K,'Таблиця 1'!$B:$B,$A165,'Таблиця 1'!$I:$I,"Су-27",'Таблиця 1'!$J:$J,"GBU-62"))</f>
        <v/>
      </c>
      <c r="N165">
        <f>IF($A165="","",SUMIFS('Таблиця 1'!$K:$K,'Таблиця 1'!$B:$B,$A165,'Таблиця 1'!$I:$I,"Mirage",'Таблиця 1'!$J:$J,"GBU-64")+SUMIFS('Таблиця 1'!$K:$K,'Таблиця 1'!$B:$B,$A165,'Таблиця 1'!$I:$I,"F-16",'Таблиця 1'!$J:$J,"GBU-64")+SUMIFS('Таблиця 1'!$K:$K,'Таблиця 1'!$B:$B,$A165,'Таблиця 1'!$I:$I,"МіГ-29",'Таблиця 1'!$J:$J,"GBU-64")+SUMIFS('Таблиця 1'!$K:$K,'Таблиця 1'!$B:$B,$A165,'Таблиця 1'!$I:$I,"Су-25",'Таблиця 1'!$J:$J,"GBU-64")+SUMIFS('Таблиця 1'!$K:$K,'Таблиця 1'!$B:$B,$A165,'Таблиця 1'!$I:$I,"Су-27",'Таблиця 1'!$J:$J,"GBU-64"))</f>
        <v/>
      </c>
      <c r="O165">
        <f>IF($A165="","",SUMIFS('Таблиця 1'!$K:$K,'Таблиця 1'!$B:$B,$A165,'Таблиця 1'!$I:$I,"Mirage",'Таблиця 1'!$J:$J,"C-13")+SUMIFS('Таблиця 1'!$K:$K,'Таблиця 1'!$B:$B,$A165,'Таблиця 1'!$I:$I,"F-16",'Таблиця 1'!$J:$J,"C-13")+SUMIFS('Таблиця 1'!$K:$K,'Таблиця 1'!$B:$B,$A165,'Таблиця 1'!$I:$I,"МіГ-29",'Таблиця 1'!$J:$J,"C-13")+SUMIFS('Таблиця 1'!$K:$K,'Таблиця 1'!$B:$B,$A165,'Таблиця 1'!$I:$I,"Су-25",'Таблиця 1'!$J:$J,"C-13")+SUMIFS('Таблиця 1'!$K:$K,'Таблиця 1'!$B:$B,$A165,'Таблиця 1'!$I:$I,"Су-27",'Таблиця 1'!$J:$J,"C-13"))</f>
        <v/>
      </c>
      <c r="P165">
        <f>IF($A165="","",SUMIFS('Таблиця 1'!$K:$K,'Таблиця 1'!$B:$B,$A165,'Таблиця 1'!$I:$I,"Mirage",'Таблиця 1'!$J:$J,"MK-32")+SUMIFS('Таблиця 1'!$K:$K,'Таблиця 1'!$B:$B,$A165,'Таблиця 1'!$I:$I,"F-16",'Таблиця 1'!$J:$J,"MK-32")+SUMIFS('Таблиця 1'!$K:$K,'Таблиця 1'!$B:$B,$A165,'Таблиця 1'!$I:$I,"МіГ-29",'Таблиця 1'!$J:$J,"MK-32")+SUMIFS('Таблиця 1'!$K:$K,'Таблиця 1'!$B:$B,$A165,'Таблиця 1'!$I:$I,"Су-25",'Таблиця 1'!$J:$J,"MK-32")+SUMIFS('Таблиця 1'!$K:$K,'Таблиця 1'!$B:$B,$A165,'Таблиця 1'!$I:$I,"Су-27",'Таблиця 1'!$J:$J,"MK-32"))</f>
        <v/>
      </c>
      <c r="Q165">
        <f>IF($A165="","",SUMIFS('Таблиця 1'!$K:$K,'Таблиця 1'!$B:$B,$A165,'Таблиця 1'!$I:$I,"Mirage",'Таблиця 1'!$J:$J,"MK-24")+SUMIFS('Таблиця 1'!$K:$K,'Таблиця 1'!$B:$B,$A165,'Таблиця 1'!$I:$I,"F-16",'Таблиця 1'!$J:$J,"MK-24")+SUMIFS('Таблиця 1'!$K:$K,'Таблиця 1'!$B:$B,$A165,'Таблиця 1'!$I:$I,"МіГ-29",'Таблиця 1'!$J:$J,"MK-24")+SUMIFS('Таблиця 1'!$K:$K,'Таблиця 1'!$B:$B,$A165,'Таблиця 1'!$I:$I,"Су-25",'Таблиця 1'!$J:$J,"MK-24")+SUMIFS('Таблиця 1'!$K:$K,'Таблиця 1'!$B:$B,$A165,'Таблиця 1'!$I:$I,"Су-27",'Таблиця 1'!$J:$J,"MK-24"))</f>
        <v/>
      </c>
      <c r="R165">
        <f>IF($A165="","",COUNTIFS('Таблиця 1'!$B:$B,$A165,'Таблиця 1'!$I:$I,"Mirage",'Таблиця 1'!$L:$L,"Уражено")+COUNTIFS('Таблиця 1'!$B:$B,$A165,'Таблиця 1'!$I:$I,"F-16",'Таблиця 1'!$L:$L,"Уражено")+COUNTIFS('Таблиця 1'!$B:$B,$A165,'Таблиця 1'!$I:$I,"МіГ-29",'Таблиця 1'!$L:$L,"Уражено")+COUNTIFS('Таблиця 1'!$B:$B,$A165,'Таблиця 1'!$I:$I,"Су-25",'Таблиця 1'!$L:$L,"Уражено")+COUNTIFS('Таблиця 1'!$B:$B,$A165,'Таблиця 1'!$I:$I,"Су-27",'Таблиця 1'!$L:$L,"Уражено"))</f>
        <v/>
      </c>
      <c r="S165">
        <f>IF($A165="","",COUNTIFS('Таблиця 1'!$B:$B,$A165,'Таблиця 1'!$I:$I,"Mirage",'Таблиця 1'!$L:$L,"НЕ уражено")+COUNTIFS('Таблиця 1'!$B:$B,$A165,'Таблиця 1'!$I:$I,"F-16",'Таблиця 1'!$L:$L,"НЕ уражено")+COUNTIFS('Таблиця 1'!$B:$B,$A165,'Таблиця 1'!$I:$I,"МіГ-29",'Таблиця 1'!$L:$L,"НЕ уражено")+COUNTIFS('Таблиця 1'!$B:$B,$A165,'Таблиця 1'!$I:$I,"Су-25",'Таблиця 1'!$L:$L,"НЕ уражено")+COUNTIFS('Таблиця 1'!$B:$B,$A165,'Таблиця 1'!$I:$I,"Су-27",'Таблиця 1'!$L:$L,"НЕ уражено"))</f>
        <v/>
      </c>
      <c r="T165">
        <f>IF($A165="","",COUNTIFS('Таблиця 1'!$B:$B,$A165,'Таблиця 1'!$I:$I,"Mirage",'Таблиця 1'!$L:$L,"Дорозвідується")+COUNTIFS('Таблиця 1'!$B:$B,$A165,'Таблиця 1'!$I:$I,"F-16",'Таблиця 1'!$L:$L,"Дорозвідується")+COUNTIFS('Таблиця 1'!$B:$B,$A165,'Таблиця 1'!$I:$I,"МіГ-29",'Таблиця 1'!$L:$L,"Дорозвідується")+COUNTIFS('Таблиця 1'!$B:$B,$A165,'Таблиця 1'!$I:$I,"Су-25",'Таблиця 1'!$L:$L,"Дорозвідується")+COUNTIFS('Таблиця 1'!$B:$B,$A165,'Таблиця 1'!$I:$I,"Су-27",'Таблиця 1'!$L:$L,"Дорозвідується"))</f>
        <v/>
      </c>
    </row>
    <row r="166">
      <c r="A166" s="273">
        <f>IF(A165="","",IF(A165+1&gt;MAX('Таблиця 1'!$B:$B),"",A165+1))</f>
        <v/>
      </c>
      <c r="B166">
        <f>IF($A166="","",COUNTIFS('Таблиця 1'!$B:$B,$A166,'Таблиця 1'!$I:$I,"Mirage")+COUNTIFS('Таблиця 1'!$B:$B,$A166,'Таблиця 1'!$I:$I,"F-16")+COUNTIFS('Таблиця 1'!$B:$B,$A166,'Таблиця 1'!$I:$I,"МіГ-29")+COUNTIFS('Таблиця 1'!$B:$B,$A166,'Таблиця 1'!$I:$I,"Су-25")+COUNTIFS('Таблиця 1'!$B:$B,$A166,'Таблиця 1'!$I:$I,"Су-27"))</f>
        <v/>
      </c>
      <c r="C166">
        <f>IF($A166="","",COUNTIFS('Таблиця 1'!$B:$B,$A166,'Таблиця 1'!$I:$I,"Mirage"))</f>
        <v/>
      </c>
      <c r="D166">
        <f>IF($A166="","",COUNTIFS('Таблиця 1'!$B:$B,$A166,'Таблиця 1'!$I:$I,"F-16"))</f>
        <v/>
      </c>
      <c r="E166">
        <f>IF($A166="","",COUNTIFS('Таблиця 1'!$B:$B,$A166,'Таблиця 1'!$I:$I,"МіГ-29"))</f>
        <v/>
      </c>
      <c r="F166">
        <f>IF($A166="","",COUNTIFS('Таблиця 1'!$B:$B,$A166,'Таблиця 1'!$I:$I,"Су-25"))</f>
        <v/>
      </c>
      <c r="G166">
        <f>IF($A166="","",COUNTIFS('Таблиця 1'!$B:$B,$A166,'Таблиця 1'!$I:$I,"Су-27"))</f>
        <v/>
      </c>
      <c r="H166">
        <f>IF($A166="","",SUMIFS('Таблиця 1'!$K:$K,'Таблиця 1'!$B:$B,$A166,'Таблиця 1'!$I:$I,"Mirage",'Таблиця 1'!$J:$J,"AGM-88")+SUMIFS('Таблиця 1'!$K:$K,'Таблиця 1'!$B:$B,$A166,'Таблиця 1'!$I:$I,"F-16",'Таблиця 1'!$J:$J,"AGM-88")+SUMIFS('Таблиця 1'!$K:$K,'Таблиця 1'!$B:$B,$A166,'Таблиця 1'!$I:$I,"МіГ-29",'Таблиця 1'!$J:$J,"AGM-88")+SUMIFS('Таблиця 1'!$K:$K,'Таблиця 1'!$B:$B,$A166,'Таблиця 1'!$I:$I,"Су-25",'Таблиця 1'!$J:$J,"AGM-88")+SUMIFS('Таблиця 1'!$K:$K,'Таблиця 1'!$B:$B,$A166,'Таблиця 1'!$I:$I,"Су-27",'Таблиця 1'!$J:$J,"AGM-88"))</f>
        <v/>
      </c>
      <c r="I166">
        <f>IF($A166="","",SUMIFS('Таблиця 1'!$K:$K,'Таблиця 1'!$B:$B,$A166,'Таблиця 1'!$I:$I,"Mirage",'Таблиця 1'!$J:$J,"AASM-250")+SUMIFS('Таблиця 1'!$K:$K,'Таблиця 1'!$B:$B,$A166,'Таблиця 1'!$I:$I,"F-16",'Таблиця 1'!$J:$J,"AASM-250")+SUMIFS('Таблиця 1'!$K:$K,'Таблиця 1'!$B:$B,$A166,'Таблиця 1'!$I:$I,"МіГ-29",'Таблиця 1'!$J:$J,"AASM-250")+SUMIFS('Таблиця 1'!$K:$K,'Таблиця 1'!$B:$B,$A166,'Таблиця 1'!$I:$I,"Су-25",'Таблиця 1'!$J:$J,"AASM-250")+SUMIFS('Таблиця 1'!$K:$K,'Таблиця 1'!$B:$B,$A166,'Таблиця 1'!$I:$I,"Су-27",'Таблиця 1'!$J:$J,"AASM-250"))</f>
        <v/>
      </c>
      <c r="J166">
        <f>IF($A166="","",SUMIFS('Таблиця 1'!$K:$K,'Таблиця 1'!$B:$B,$A166,'Таблиця 1'!$I:$I,"Mirage",'Таблиця 1'!$J:$J,"GBU-39")+SUMIFS('Таблиця 1'!$K:$K,'Таблиця 1'!$B:$B,$A166,'Таблиця 1'!$I:$I,"F-16",'Таблиця 1'!$J:$J,"GBU-39")+SUMIFS('Таблиця 1'!$K:$K,'Таблиця 1'!$B:$B,$A166,'Таблиця 1'!$I:$I,"МіГ-29",'Таблиця 1'!$J:$J,"GBU-39")+SUMIFS('Таблиця 1'!$K:$K,'Таблиця 1'!$B:$B,$A166,'Таблиця 1'!$I:$I,"Су-25",'Таблиця 1'!$J:$J,"GBU-39")+SUMIFS('Таблиця 1'!$K:$K,'Таблиця 1'!$B:$B,$A166,'Таблиця 1'!$I:$I,"Су-27",'Таблиця 1'!$J:$J,"GBU-39"))</f>
        <v/>
      </c>
      <c r="K166">
        <f>IF($A166="","",SUMIFS('Таблиця 1'!$K:$K,'Таблиця 1'!$B:$B,$A166,'Таблиця 1'!$I:$I,"Mirage",'Таблиця 1'!$J:$J,"BLU-140")+SUMIFS('Таблиця 1'!$K:$K,'Таблиця 1'!$B:$B,$A166,'Таблиця 1'!$I:$I,"F-16",'Таблиця 1'!$J:$J,"BLU-140")+SUMIFS('Таблиця 1'!$K:$K,'Таблиця 1'!$B:$B,$A166,'Таблиця 1'!$I:$I,"МіГ-29",'Таблиця 1'!$J:$J,"BLU-140")+SUMIFS('Таблиця 1'!$K:$K,'Таблиця 1'!$B:$B,$A166,'Таблиця 1'!$I:$I,"Су-25",'Таблиця 1'!$J:$J,"BLU-140")+SUMIFS('Таблиця 1'!$K:$K,'Таблиця 1'!$B:$B,$A166,'Таблиця 1'!$I:$I,"Су-27",'Таблиця 1'!$J:$J,"BLU-140"))</f>
        <v/>
      </c>
      <c r="L166">
        <f>IF($A166="","",SUMIFS('Таблиця 1'!$K:$K,'Таблиця 1'!$B:$B,$A166,'Таблиця 1'!$I:$I,"Mirage",'Таблиця 1'!$J:$J,"GBU-65")+SUMIFS('Таблиця 1'!$K:$K,'Таблиця 1'!$B:$B,$A166,'Таблиця 1'!$I:$I,"F-16",'Таблиця 1'!$J:$J,"GBU-65")+SUMIFS('Таблиця 1'!$K:$K,'Таблиця 1'!$B:$B,$A166,'Таблиця 1'!$I:$I,"МіГ-29",'Таблиця 1'!$J:$J,"GBU-65")+SUMIFS('Таблиця 1'!$K:$K,'Таблиця 1'!$B:$B,$A166,'Таблиця 1'!$I:$I,"Су-25",'Таблиця 1'!$J:$J,"GBU-65")+SUMIFS('Таблиця 1'!$K:$K,'Таблиця 1'!$B:$B,$A166,'Таблиця 1'!$I:$I,"Су-27",'Таблиця 1'!$J:$J,"GBU-65"))</f>
        <v/>
      </c>
      <c r="M166">
        <f>IF($A166="","",SUMIFS('Таблиця 1'!$K:$K,'Таблиця 1'!$B:$B,$A166,'Таблиця 1'!$I:$I,"Mirage",'Таблиця 1'!$J:$J,"GBU-62")+SUMIFS('Таблиця 1'!$K:$K,'Таблиця 1'!$B:$B,$A166,'Таблиця 1'!$I:$I,"F-16",'Таблиця 1'!$J:$J,"GBU-62")+SUMIFS('Таблиця 1'!$K:$K,'Таблиця 1'!$B:$B,$A166,'Таблиця 1'!$I:$I,"МіГ-29",'Таблиця 1'!$J:$J,"GBU-62")+SUMIFS('Таблиця 1'!$K:$K,'Таблиця 1'!$B:$B,$A166,'Таблиця 1'!$I:$I,"Су-25",'Таблиця 1'!$J:$J,"GBU-62")+SUMIFS('Таблиця 1'!$K:$K,'Таблиця 1'!$B:$B,$A166,'Таблиця 1'!$I:$I,"Су-27",'Таблиця 1'!$J:$J,"GBU-62"))</f>
        <v/>
      </c>
      <c r="N166">
        <f>IF($A166="","",SUMIFS('Таблиця 1'!$K:$K,'Таблиця 1'!$B:$B,$A166,'Таблиця 1'!$I:$I,"Mirage",'Таблиця 1'!$J:$J,"GBU-64")+SUMIFS('Таблиця 1'!$K:$K,'Таблиця 1'!$B:$B,$A166,'Таблиця 1'!$I:$I,"F-16",'Таблиця 1'!$J:$J,"GBU-64")+SUMIFS('Таблиця 1'!$K:$K,'Таблиця 1'!$B:$B,$A166,'Таблиця 1'!$I:$I,"МіГ-29",'Таблиця 1'!$J:$J,"GBU-64")+SUMIFS('Таблиця 1'!$K:$K,'Таблиця 1'!$B:$B,$A166,'Таблиця 1'!$I:$I,"Су-25",'Таблиця 1'!$J:$J,"GBU-64")+SUMIFS('Таблиця 1'!$K:$K,'Таблиця 1'!$B:$B,$A166,'Таблиця 1'!$I:$I,"Су-27",'Таблиця 1'!$J:$J,"GBU-64"))</f>
        <v/>
      </c>
      <c r="O166">
        <f>IF($A166="","",SUMIFS('Таблиця 1'!$K:$K,'Таблиця 1'!$B:$B,$A166,'Таблиця 1'!$I:$I,"Mirage",'Таблиця 1'!$J:$J,"C-13")+SUMIFS('Таблиця 1'!$K:$K,'Таблиця 1'!$B:$B,$A166,'Таблиця 1'!$I:$I,"F-16",'Таблиця 1'!$J:$J,"C-13")+SUMIFS('Таблиця 1'!$K:$K,'Таблиця 1'!$B:$B,$A166,'Таблиця 1'!$I:$I,"МіГ-29",'Таблиця 1'!$J:$J,"C-13")+SUMIFS('Таблиця 1'!$K:$K,'Таблиця 1'!$B:$B,$A166,'Таблиця 1'!$I:$I,"Су-25",'Таблиця 1'!$J:$J,"C-13")+SUMIFS('Таблиця 1'!$K:$K,'Таблиця 1'!$B:$B,$A166,'Таблиця 1'!$I:$I,"Су-27",'Таблиця 1'!$J:$J,"C-13"))</f>
        <v/>
      </c>
      <c r="P166">
        <f>IF($A166="","",SUMIFS('Таблиця 1'!$K:$K,'Таблиця 1'!$B:$B,$A166,'Таблиця 1'!$I:$I,"Mirage",'Таблиця 1'!$J:$J,"MK-32")+SUMIFS('Таблиця 1'!$K:$K,'Таблиця 1'!$B:$B,$A166,'Таблиця 1'!$I:$I,"F-16",'Таблиця 1'!$J:$J,"MK-32")+SUMIFS('Таблиця 1'!$K:$K,'Таблиця 1'!$B:$B,$A166,'Таблиця 1'!$I:$I,"МіГ-29",'Таблиця 1'!$J:$J,"MK-32")+SUMIFS('Таблиця 1'!$K:$K,'Таблиця 1'!$B:$B,$A166,'Таблиця 1'!$I:$I,"Су-25",'Таблиця 1'!$J:$J,"MK-32")+SUMIFS('Таблиця 1'!$K:$K,'Таблиця 1'!$B:$B,$A166,'Таблиця 1'!$I:$I,"Су-27",'Таблиця 1'!$J:$J,"MK-32"))</f>
        <v/>
      </c>
      <c r="Q166">
        <f>IF($A166="","",SUMIFS('Таблиця 1'!$K:$K,'Таблиця 1'!$B:$B,$A166,'Таблиця 1'!$I:$I,"Mirage",'Таблиця 1'!$J:$J,"MK-24")+SUMIFS('Таблиця 1'!$K:$K,'Таблиця 1'!$B:$B,$A166,'Таблиця 1'!$I:$I,"F-16",'Таблиця 1'!$J:$J,"MK-24")+SUMIFS('Таблиця 1'!$K:$K,'Таблиця 1'!$B:$B,$A166,'Таблиця 1'!$I:$I,"МіГ-29",'Таблиця 1'!$J:$J,"MK-24")+SUMIFS('Таблиця 1'!$K:$K,'Таблиця 1'!$B:$B,$A166,'Таблиця 1'!$I:$I,"Су-25",'Таблиця 1'!$J:$J,"MK-24")+SUMIFS('Таблиця 1'!$K:$K,'Таблиця 1'!$B:$B,$A166,'Таблиця 1'!$I:$I,"Су-27",'Таблиця 1'!$J:$J,"MK-24"))</f>
        <v/>
      </c>
      <c r="R166">
        <f>IF($A166="","",COUNTIFS('Таблиця 1'!$B:$B,$A166,'Таблиця 1'!$I:$I,"Mirage",'Таблиця 1'!$L:$L,"Уражено")+COUNTIFS('Таблиця 1'!$B:$B,$A166,'Таблиця 1'!$I:$I,"F-16",'Таблиця 1'!$L:$L,"Уражено")+COUNTIFS('Таблиця 1'!$B:$B,$A166,'Таблиця 1'!$I:$I,"МіГ-29",'Таблиця 1'!$L:$L,"Уражено")+COUNTIFS('Таблиця 1'!$B:$B,$A166,'Таблиця 1'!$I:$I,"Су-25",'Таблиця 1'!$L:$L,"Уражено")+COUNTIFS('Таблиця 1'!$B:$B,$A166,'Таблиця 1'!$I:$I,"Су-27",'Таблиця 1'!$L:$L,"Уражено"))</f>
        <v/>
      </c>
      <c r="S166">
        <f>IF($A166="","",COUNTIFS('Таблиця 1'!$B:$B,$A166,'Таблиця 1'!$I:$I,"Mirage",'Таблиця 1'!$L:$L,"НЕ уражено")+COUNTIFS('Таблиця 1'!$B:$B,$A166,'Таблиця 1'!$I:$I,"F-16",'Таблиця 1'!$L:$L,"НЕ уражено")+COUNTIFS('Таблиця 1'!$B:$B,$A166,'Таблиця 1'!$I:$I,"МіГ-29",'Таблиця 1'!$L:$L,"НЕ уражено")+COUNTIFS('Таблиця 1'!$B:$B,$A166,'Таблиця 1'!$I:$I,"Су-25",'Таблиця 1'!$L:$L,"НЕ уражено")+COUNTIFS('Таблиця 1'!$B:$B,$A166,'Таблиця 1'!$I:$I,"Су-27",'Таблиця 1'!$L:$L,"НЕ уражено"))</f>
        <v/>
      </c>
      <c r="T166">
        <f>IF($A166="","",COUNTIFS('Таблиця 1'!$B:$B,$A166,'Таблиця 1'!$I:$I,"Mirage",'Таблиця 1'!$L:$L,"Дорозвідується")+COUNTIFS('Таблиця 1'!$B:$B,$A166,'Таблиця 1'!$I:$I,"F-16",'Таблиця 1'!$L:$L,"Дорозвідується")+COUNTIFS('Таблиця 1'!$B:$B,$A166,'Таблиця 1'!$I:$I,"МіГ-29",'Таблиця 1'!$L:$L,"Дорозвідується")+COUNTIFS('Таблиця 1'!$B:$B,$A166,'Таблиця 1'!$I:$I,"Су-25",'Таблиця 1'!$L:$L,"Дорозвідується")+COUNTIFS('Таблиця 1'!$B:$B,$A166,'Таблиця 1'!$I:$I,"Су-27",'Таблиця 1'!$L:$L,"Дорозвідується"))</f>
        <v/>
      </c>
    </row>
    <row r="167">
      <c r="A167" s="273">
        <f>IF(A166="","",IF(A166+1&gt;MAX('Таблиця 1'!$B:$B),"",A166+1))</f>
        <v/>
      </c>
      <c r="B167">
        <f>IF($A167="","",COUNTIFS('Таблиця 1'!$B:$B,$A167,'Таблиця 1'!$I:$I,"Mirage")+COUNTIFS('Таблиця 1'!$B:$B,$A167,'Таблиця 1'!$I:$I,"F-16")+COUNTIFS('Таблиця 1'!$B:$B,$A167,'Таблиця 1'!$I:$I,"МіГ-29")+COUNTIFS('Таблиця 1'!$B:$B,$A167,'Таблиця 1'!$I:$I,"Су-25")+COUNTIFS('Таблиця 1'!$B:$B,$A167,'Таблиця 1'!$I:$I,"Су-27"))</f>
        <v/>
      </c>
      <c r="C167">
        <f>IF($A167="","",COUNTIFS('Таблиця 1'!$B:$B,$A167,'Таблиця 1'!$I:$I,"Mirage"))</f>
        <v/>
      </c>
      <c r="D167">
        <f>IF($A167="","",COUNTIFS('Таблиця 1'!$B:$B,$A167,'Таблиця 1'!$I:$I,"F-16"))</f>
        <v/>
      </c>
      <c r="E167">
        <f>IF($A167="","",COUNTIFS('Таблиця 1'!$B:$B,$A167,'Таблиця 1'!$I:$I,"МіГ-29"))</f>
        <v/>
      </c>
      <c r="F167">
        <f>IF($A167="","",COUNTIFS('Таблиця 1'!$B:$B,$A167,'Таблиця 1'!$I:$I,"Су-25"))</f>
        <v/>
      </c>
      <c r="G167">
        <f>IF($A167="","",COUNTIFS('Таблиця 1'!$B:$B,$A167,'Таблиця 1'!$I:$I,"Су-27"))</f>
        <v/>
      </c>
      <c r="H167">
        <f>IF($A167="","",SUMIFS('Таблиця 1'!$K:$K,'Таблиця 1'!$B:$B,$A167,'Таблиця 1'!$I:$I,"Mirage",'Таблиця 1'!$J:$J,"AGM-88")+SUMIFS('Таблиця 1'!$K:$K,'Таблиця 1'!$B:$B,$A167,'Таблиця 1'!$I:$I,"F-16",'Таблиця 1'!$J:$J,"AGM-88")+SUMIFS('Таблиця 1'!$K:$K,'Таблиця 1'!$B:$B,$A167,'Таблиця 1'!$I:$I,"МіГ-29",'Таблиця 1'!$J:$J,"AGM-88")+SUMIFS('Таблиця 1'!$K:$K,'Таблиця 1'!$B:$B,$A167,'Таблиця 1'!$I:$I,"Су-25",'Таблиця 1'!$J:$J,"AGM-88")+SUMIFS('Таблиця 1'!$K:$K,'Таблиця 1'!$B:$B,$A167,'Таблиця 1'!$I:$I,"Су-27",'Таблиця 1'!$J:$J,"AGM-88"))</f>
        <v/>
      </c>
      <c r="I167">
        <f>IF($A167="","",SUMIFS('Таблиця 1'!$K:$K,'Таблиця 1'!$B:$B,$A167,'Таблиця 1'!$I:$I,"Mirage",'Таблиця 1'!$J:$J,"AASM-250")+SUMIFS('Таблиця 1'!$K:$K,'Таблиця 1'!$B:$B,$A167,'Таблиця 1'!$I:$I,"F-16",'Таблиця 1'!$J:$J,"AASM-250")+SUMIFS('Таблиця 1'!$K:$K,'Таблиця 1'!$B:$B,$A167,'Таблиця 1'!$I:$I,"МіГ-29",'Таблиця 1'!$J:$J,"AASM-250")+SUMIFS('Таблиця 1'!$K:$K,'Таблиця 1'!$B:$B,$A167,'Таблиця 1'!$I:$I,"Су-25",'Таблиця 1'!$J:$J,"AASM-250")+SUMIFS('Таблиця 1'!$K:$K,'Таблиця 1'!$B:$B,$A167,'Таблиця 1'!$I:$I,"Су-27",'Таблиця 1'!$J:$J,"AASM-250"))</f>
        <v/>
      </c>
      <c r="J167">
        <f>IF($A167="","",SUMIFS('Таблиця 1'!$K:$K,'Таблиця 1'!$B:$B,$A167,'Таблиця 1'!$I:$I,"Mirage",'Таблиця 1'!$J:$J,"GBU-39")+SUMIFS('Таблиця 1'!$K:$K,'Таблиця 1'!$B:$B,$A167,'Таблиця 1'!$I:$I,"F-16",'Таблиця 1'!$J:$J,"GBU-39")+SUMIFS('Таблиця 1'!$K:$K,'Таблиця 1'!$B:$B,$A167,'Таблиця 1'!$I:$I,"МіГ-29",'Таблиця 1'!$J:$J,"GBU-39")+SUMIFS('Таблиця 1'!$K:$K,'Таблиця 1'!$B:$B,$A167,'Таблиця 1'!$I:$I,"Су-25",'Таблиця 1'!$J:$J,"GBU-39")+SUMIFS('Таблиця 1'!$K:$K,'Таблиця 1'!$B:$B,$A167,'Таблиця 1'!$I:$I,"Су-27",'Таблиця 1'!$J:$J,"GBU-39"))</f>
        <v/>
      </c>
      <c r="K167">
        <f>IF($A167="","",SUMIFS('Таблиця 1'!$K:$K,'Таблиця 1'!$B:$B,$A167,'Таблиця 1'!$I:$I,"Mirage",'Таблиця 1'!$J:$J,"BLU-140")+SUMIFS('Таблиця 1'!$K:$K,'Таблиця 1'!$B:$B,$A167,'Таблиця 1'!$I:$I,"F-16",'Таблиця 1'!$J:$J,"BLU-140")+SUMIFS('Таблиця 1'!$K:$K,'Таблиця 1'!$B:$B,$A167,'Таблиця 1'!$I:$I,"МіГ-29",'Таблиця 1'!$J:$J,"BLU-140")+SUMIFS('Таблиця 1'!$K:$K,'Таблиця 1'!$B:$B,$A167,'Таблиця 1'!$I:$I,"Су-25",'Таблиця 1'!$J:$J,"BLU-140")+SUMIFS('Таблиця 1'!$K:$K,'Таблиця 1'!$B:$B,$A167,'Таблиця 1'!$I:$I,"Су-27",'Таблиця 1'!$J:$J,"BLU-140"))</f>
        <v/>
      </c>
      <c r="L167">
        <f>IF($A167="","",SUMIFS('Таблиця 1'!$K:$K,'Таблиця 1'!$B:$B,$A167,'Таблиця 1'!$I:$I,"Mirage",'Таблиця 1'!$J:$J,"GBU-65")+SUMIFS('Таблиця 1'!$K:$K,'Таблиця 1'!$B:$B,$A167,'Таблиця 1'!$I:$I,"F-16",'Таблиця 1'!$J:$J,"GBU-65")+SUMIFS('Таблиця 1'!$K:$K,'Таблиця 1'!$B:$B,$A167,'Таблиця 1'!$I:$I,"МіГ-29",'Таблиця 1'!$J:$J,"GBU-65")+SUMIFS('Таблиця 1'!$K:$K,'Таблиця 1'!$B:$B,$A167,'Таблиця 1'!$I:$I,"Су-25",'Таблиця 1'!$J:$J,"GBU-65")+SUMIFS('Таблиця 1'!$K:$K,'Таблиця 1'!$B:$B,$A167,'Таблиця 1'!$I:$I,"Су-27",'Таблиця 1'!$J:$J,"GBU-65"))</f>
        <v/>
      </c>
      <c r="M167">
        <f>IF($A167="","",SUMIFS('Таблиця 1'!$K:$K,'Таблиця 1'!$B:$B,$A167,'Таблиця 1'!$I:$I,"Mirage",'Таблиця 1'!$J:$J,"GBU-62")+SUMIFS('Таблиця 1'!$K:$K,'Таблиця 1'!$B:$B,$A167,'Таблиця 1'!$I:$I,"F-16",'Таблиця 1'!$J:$J,"GBU-62")+SUMIFS('Таблиця 1'!$K:$K,'Таблиця 1'!$B:$B,$A167,'Таблиця 1'!$I:$I,"МіГ-29",'Таблиця 1'!$J:$J,"GBU-62")+SUMIFS('Таблиця 1'!$K:$K,'Таблиця 1'!$B:$B,$A167,'Таблиця 1'!$I:$I,"Су-25",'Таблиця 1'!$J:$J,"GBU-62")+SUMIFS('Таблиця 1'!$K:$K,'Таблиця 1'!$B:$B,$A167,'Таблиця 1'!$I:$I,"Су-27",'Таблиця 1'!$J:$J,"GBU-62"))</f>
        <v/>
      </c>
      <c r="N167">
        <f>IF($A167="","",SUMIFS('Таблиця 1'!$K:$K,'Таблиця 1'!$B:$B,$A167,'Таблиця 1'!$I:$I,"Mirage",'Таблиця 1'!$J:$J,"GBU-64")+SUMIFS('Таблиця 1'!$K:$K,'Таблиця 1'!$B:$B,$A167,'Таблиця 1'!$I:$I,"F-16",'Таблиця 1'!$J:$J,"GBU-64")+SUMIFS('Таблиця 1'!$K:$K,'Таблиця 1'!$B:$B,$A167,'Таблиця 1'!$I:$I,"МіГ-29",'Таблиця 1'!$J:$J,"GBU-64")+SUMIFS('Таблиця 1'!$K:$K,'Таблиця 1'!$B:$B,$A167,'Таблиця 1'!$I:$I,"Су-25",'Таблиця 1'!$J:$J,"GBU-64")+SUMIFS('Таблиця 1'!$K:$K,'Таблиця 1'!$B:$B,$A167,'Таблиця 1'!$I:$I,"Су-27",'Таблиця 1'!$J:$J,"GBU-64"))</f>
        <v/>
      </c>
      <c r="O167">
        <f>IF($A167="","",SUMIFS('Таблиця 1'!$K:$K,'Таблиця 1'!$B:$B,$A167,'Таблиця 1'!$I:$I,"Mirage",'Таблиця 1'!$J:$J,"C-13")+SUMIFS('Таблиця 1'!$K:$K,'Таблиця 1'!$B:$B,$A167,'Таблиця 1'!$I:$I,"F-16",'Таблиця 1'!$J:$J,"C-13")+SUMIFS('Таблиця 1'!$K:$K,'Таблиця 1'!$B:$B,$A167,'Таблиця 1'!$I:$I,"МіГ-29",'Таблиця 1'!$J:$J,"C-13")+SUMIFS('Таблиця 1'!$K:$K,'Таблиця 1'!$B:$B,$A167,'Таблиця 1'!$I:$I,"Су-25",'Таблиця 1'!$J:$J,"C-13")+SUMIFS('Таблиця 1'!$K:$K,'Таблиця 1'!$B:$B,$A167,'Таблиця 1'!$I:$I,"Су-27",'Таблиця 1'!$J:$J,"C-13"))</f>
        <v/>
      </c>
      <c r="P167">
        <f>IF($A167="","",SUMIFS('Таблиця 1'!$K:$K,'Таблиця 1'!$B:$B,$A167,'Таблиця 1'!$I:$I,"Mirage",'Таблиця 1'!$J:$J,"MK-32")+SUMIFS('Таблиця 1'!$K:$K,'Таблиця 1'!$B:$B,$A167,'Таблиця 1'!$I:$I,"F-16",'Таблиця 1'!$J:$J,"MK-32")+SUMIFS('Таблиця 1'!$K:$K,'Таблиця 1'!$B:$B,$A167,'Таблиця 1'!$I:$I,"МіГ-29",'Таблиця 1'!$J:$J,"MK-32")+SUMIFS('Таблиця 1'!$K:$K,'Таблиця 1'!$B:$B,$A167,'Таблиця 1'!$I:$I,"Су-25",'Таблиця 1'!$J:$J,"MK-32")+SUMIFS('Таблиця 1'!$K:$K,'Таблиця 1'!$B:$B,$A167,'Таблиця 1'!$I:$I,"Су-27",'Таблиця 1'!$J:$J,"MK-32"))</f>
        <v/>
      </c>
      <c r="Q167">
        <f>IF($A167="","",SUMIFS('Таблиця 1'!$K:$K,'Таблиця 1'!$B:$B,$A167,'Таблиця 1'!$I:$I,"Mirage",'Таблиця 1'!$J:$J,"MK-24")+SUMIFS('Таблиця 1'!$K:$K,'Таблиця 1'!$B:$B,$A167,'Таблиця 1'!$I:$I,"F-16",'Таблиця 1'!$J:$J,"MK-24")+SUMIFS('Таблиця 1'!$K:$K,'Таблиця 1'!$B:$B,$A167,'Таблиця 1'!$I:$I,"МіГ-29",'Таблиця 1'!$J:$J,"MK-24")+SUMIFS('Таблиця 1'!$K:$K,'Таблиця 1'!$B:$B,$A167,'Таблиця 1'!$I:$I,"Су-25",'Таблиця 1'!$J:$J,"MK-24")+SUMIFS('Таблиця 1'!$K:$K,'Таблиця 1'!$B:$B,$A167,'Таблиця 1'!$I:$I,"Су-27",'Таблиця 1'!$J:$J,"MK-24"))</f>
        <v/>
      </c>
      <c r="R167">
        <f>IF($A167="","",COUNTIFS('Таблиця 1'!$B:$B,$A167,'Таблиця 1'!$I:$I,"Mirage",'Таблиця 1'!$L:$L,"Уражено")+COUNTIFS('Таблиця 1'!$B:$B,$A167,'Таблиця 1'!$I:$I,"F-16",'Таблиця 1'!$L:$L,"Уражено")+COUNTIFS('Таблиця 1'!$B:$B,$A167,'Таблиця 1'!$I:$I,"МіГ-29",'Таблиця 1'!$L:$L,"Уражено")+COUNTIFS('Таблиця 1'!$B:$B,$A167,'Таблиця 1'!$I:$I,"Су-25",'Таблиця 1'!$L:$L,"Уражено")+COUNTIFS('Таблиця 1'!$B:$B,$A167,'Таблиця 1'!$I:$I,"Су-27",'Таблиця 1'!$L:$L,"Уражено"))</f>
        <v/>
      </c>
      <c r="S167">
        <f>IF($A167="","",COUNTIFS('Таблиця 1'!$B:$B,$A167,'Таблиця 1'!$I:$I,"Mirage",'Таблиця 1'!$L:$L,"НЕ уражено")+COUNTIFS('Таблиця 1'!$B:$B,$A167,'Таблиця 1'!$I:$I,"F-16",'Таблиця 1'!$L:$L,"НЕ уражено")+COUNTIFS('Таблиця 1'!$B:$B,$A167,'Таблиця 1'!$I:$I,"МіГ-29",'Таблиця 1'!$L:$L,"НЕ уражено")+COUNTIFS('Таблиця 1'!$B:$B,$A167,'Таблиця 1'!$I:$I,"Су-25",'Таблиця 1'!$L:$L,"НЕ уражено")+COUNTIFS('Таблиця 1'!$B:$B,$A167,'Таблиця 1'!$I:$I,"Су-27",'Таблиця 1'!$L:$L,"НЕ уражено"))</f>
        <v/>
      </c>
      <c r="T167">
        <f>IF($A167="","",COUNTIFS('Таблиця 1'!$B:$B,$A167,'Таблиця 1'!$I:$I,"Mirage",'Таблиця 1'!$L:$L,"Дорозвідується")+COUNTIFS('Таблиця 1'!$B:$B,$A167,'Таблиця 1'!$I:$I,"F-16",'Таблиця 1'!$L:$L,"Дорозвідується")+COUNTIFS('Таблиця 1'!$B:$B,$A167,'Таблиця 1'!$I:$I,"МіГ-29",'Таблиця 1'!$L:$L,"Дорозвідується")+COUNTIFS('Таблиця 1'!$B:$B,$A167,'Таблиця 1'!$I:$I,"Су-25",'Таблиця 1'!$L:$L,"Дорозвідується")+COUNTIFS('Таблиця 1'!$B:$B,$A167,'Таблиця 1'!$I:$I,"Су-27",'Таблиця 1'!$L:$L,"Дорозвідується"))</f>
        <v/>
      </c>
    </row>
    <row r="168">
      <c r="A168" s="273">
        <f>IF(A167="","",IF(A167+1&gt;MAX('Таблиця 1'!$B:$B),"",A167+1))</f>
        <v/>
      </c>
      <c r="B168">
        <f>IF($A168="","",COUNTIFS('Таблиця 1'!$B:$B,$A168,'Таблиця 1'!$I:$I,"Mirage")+COUNTIFS('Таблиця 1'!$B:$B,$A168,'Таблиця 1'!$I:$I,"F-16")+COUNTIFS('Таблиця 1'!$B:$B,$A168,'Таблиця 1'!$I:$I,"МіГ-29")+COUNTIFS('Таблиця 1'!$B:$B,$A168,'Таблиця 1'!$I:$I,"Су-25")+COUNTIFS('Таблиця 1'!$B:$B,$A168,'Таблиця 1'!$I:$I,"Су-27"))</f>
        <v/>
      </c>
      <c r="C168">
        <f>IF($A168="","",COUNTIFS('Таблиця 1'!$B:$B,$A168,'Таблиця 1'!$I:$I,"Mirage"))</f>
        <v/>
      </c>
      <c r="D168">
        <f>IF($A168="","",COUNTIFS('Таблиця 1'!$B:$B,$A168,'Таблиця 1'!$I:$I,"F-16"))</f>
        <v/>
      </c>
      <c r="E168">
        <f>IF($A168="","",COUNTIFS('Таблиця 1'!$B:$B,$A168,'Таблиця 1'!$I:$I,"МіГ-29"))</f>
        <v/>
      </c>
      <c r="F168">
        <f>IF($A168="","",COUNTIFS('Таблиця 1'!$B:$B,$A168,'Таблиця 1'!$I:$I,"Су-25"))</f>
        <v/>
      </c>
      <c r="G168">
        <f>IF($A168="","",COUNTIFS('Таблиця 1'!$B:$B,$A168,'Таблиця 1'!$I:$I,"Су-27"))</f>
        <v/>
      </c>
      <c r="H168">
        <f>IF($A168="","",SUMIFS('Таблиця 1'!$K:$K,'Таблиця 1'!$B:$B,$A168,'Таблиця 1'!$I:$I,"Mirage",'Таблиця 1'!$J:$J,"AGM-88")+SUMIFS('Таблиця 1'!$K:$K,'Таблиця 1'!$B:$B,$A168,'Таблиця 1'!$I:$I,"F-16",'Таблиця 1'!$J:$J,"AGM-88")+SUMIFS('Таблиця 1'!$K:$K,'Таблиця 1'!$B:$B,$A168,'Таблиця 1'!$I:$I,"МіГ-29",'Таблиця 1'!$J:$J,"AGM-88")+SUMIFS('Таблиця 1'!$K:$K,'Таблиця 1'!$B:$B,$A168,'Таблиця 1'!$I:$I,"Су-25",'Таблиця 1'!$J:$J,"AGM-88")+SUMIFS('Таблиця 1'!$K:$K,'Таблиця 1'!$B:$B,$A168,'Таблиця 1'!$I:$I,"Су-27",'Таблиця 1'!$J:$J,"AGM-88"))</f>
        <v/>
      </c>
      <c r="I168">
        <f>IF($A168="","",SUMIFS('Таблиця 1'!$K:$K,'Таблиця 1'!$B:$B,$A168,'Таблиця 1'!$I:$I,"Mirage",'Таблиця 1'!$J:$J,"AASM-250")+SUMIFS('Таблиця 1'!$K:$K,'Таблиця 1'!$B:$B,$A168,'Таблиця 1'!$I:$I,"F-16",'Таблиця 1'!$J:$J,"AASM-250")+SUMIFS('Таблиця 1'!$K:$K,'Таблиця 1'!$B:$B,$A168,'Таблиця 1'!$I:$I,"МіГ-29",'Таблиця 1'!$J:$J,"AASM-250")+SUMIFS('Таблиця 1'!$K:$K,'Таблиця 1'!$B:$B,$A168,'Таблиця 1'!$I:$I,"Су-25",'Таблиця 1'!$J:$J,"AASM-250")+SUMIFS('Таблиця 1'!$K:$K,'Таблиця 1'!$B:$B,$A168,'Таблиця 1'!$I:$I,"Су-27",'Таблиця 1'!$J:$J,"AASM-250"))</f>
        <v/>
      </c>
      <c r="J168">
        <f>IF($A168="","",SUMIFS('Таблиця 1'!$K:$K,'Таблиця 1'!$B:$B,$A168,'Таблиця 1'!$I:$I,"Mirage",'Таблиця 1'!$J:$J,"GBU-39")+SUMIFS('Таблиця 1'!$K:$K,'Таблиця 1'!$B:$B,$A168,'Таблиця 1'!$I:$I,"F-16",'Таблиця 1'!$J:$J,"GBU-39")+SUMIFS('Таблиця 1'!$K:$K,'Таблиця 1'!$B:$B,$A168,'Таблиця 1'!$I:$I,"МіГ-29",'Таблиця 1'!$J:$J,"GBU-39")+SUMIFS('Таблиця 1'!$K:$K,'Таблиця 1'!$B:$B,$A168,'Таблиця 1'!$I:$I,"Су-25",'Таблиця 1'!$J:$J,"GBU-39")+SUMIFS('Таблиця 1'!$K:$K,'Таблиця 1'!$B:$B,$A168,'Таблиця 1'!$I:$I,"Су-27",'Таблиця 1'!$J:$J,"GBU-39"))</f>
        <v/>
      </c>
      <c r="K168">
        <f>IF($A168="","",SUMIFS('Таблиця 1'!$K:$K,'Таблиця 1'!$B:$B,$A168,'Таблиця 1'!$I:$I,"Mirage",'Таблиця 1'!$J:$J,"BLU-140")+SUMIFS('Таблиця 1'!$K:$K,'Таблиця 1'!$B:$B,$A168,'Таблиця 1'!$I:$I,"F-16",'Таблиця 1'!$J:$J,"BLU-140")+SUMIFS('Таблиця 1'!$K:$K,'Таблиця 1'!$B:$B,$A168,'Таблиця 1'!$I:$I,"МіГ-29",'Таблиця 1'!$J:$J,"BLU-140")+SUMIFS('Таблиця 1'!$K:$K,'Таблиця 1'!$B:$B,$A168,'Таблиця 1'!$I:$I,"Су-25",'Таблиця 1'!$J:$J,"BLU-140")+SUMIFS('Таблиця 1'!$K:$K,'Таблиця 1'!$B:$B,$A168,'Таблиця 1'!$I:$I,"Су-27",'Таблиця 1'!$J:$J,"BLU-140"))</f>
        <v/>
      </c>
      <c r="L168">
        <f>IF($A168="","",SUMIFS('Таблиця 1'!$K:$K,'Таблиця 1'!$B:$B,$A168,'Таблиця 1'!$I:$I,"Mirage",'Таблиця 1'!$J:$J,"GBU-65")+SUMIFS('Таблиця 1'!$K:$K,'Таблиця 1'!$B:$B,$A168,'Таблиця 1'!$I:$I,"F-16",'Таблиця 1'!$J:$J,"GBU-65")+SUMIFS('Таблиця 1'!$K:$K,'Таблиця 1'!$B:$B,$A168,'Таблиця 1'!$I:$I,"МіГ-29",'Таблиця 1'!$J:$J,"GBU-65")+SUMIFS('Таблиця 1'!$K:$K,'Таблиця 1'!$B:$B,$A168,'Таблиця 1'!$I:$I,"Су-25",'Таблиця 1'!$J:$J,"GBU-65")+SUMIFS('Таблиця 1'!$K:$K,'Таблиця 1'!$B:$B,$A168,'Таблиця 1'!$I:$I,"Су-27",'Таблиця 1'!$J:$J,"GBU-65"))</f>
        <v/>
      </c>
      <c r="M168">
        <f>IF($A168="","",SUMIFS('Таблиця 1'!$K:$K,'Таблиця 1'!$B:$B,$A168,'Таблиця 1'!$I:$I,"Mirage",'Таблиця 1'!$J:$J,"GBU-62")+SUMIFS('Таблиця 1'!$K:$K,'Таблиця 1'!$B:$B,$A168,'Таблиця 1'!$I:$I,"F-16",'Таблиця 1'!$J:$J,"GBU-62")+SUMIFS('Таблиця 1'!$K:$K,'Таблиця 1'!$B:$B,$A168,'Таблиця 1'!$I:$I,"МіГ-29",'Таблиця 1'!$J:$J,"GBU-62")+SUMIFS('Таблиця 1'!$K:$K,'Таблиця 1'!$B:$B,$A168,'Таблиця 1'!$I:$I,"Су-25",'Таблиця 1'!$J:$J,"GBU-62")+SUMIFS('Таблиця 1'!$K:$K,'Таблиця 1'!$B:$B,$A168,'Таблиця 1'!$I:$I,"Су-27",'Таблиця 1'!$J:$J,"GBU-62"))</f>
        <v/>
      </c>
      <c r="N168">
        <f>IF($A168="","",SUMIFS('Таблиця 1'!$K:$K,'Таблиця 1'!$B:$B,$A168,'Таблиця 1'!$I:$I,"Mirage",'Таблиця 1'!$J:$J,"GBU-64")+SUMIFS('Таблиця 1'!$K:$K,'Таблиця 1'!$B:$B,$A168,'Таблиця 1'!$I:$I,"F-16",'Таблиця 1'!$J:$J,"GBU-64")+SUMIFS('Таблиця 1'!$K:$K,'Таблиця 1'!$B:$B,$A168,'Таблиця 1'!$I:$I,"МіГ-29",'Таблиця 1'!$J:$J,"GBU-64")+SUMIFS('Таблиця 1'!$K:$K,'Таблиця 1'!$B:$B,$A168,'Таблиця 1'!$I:$I,"Су-25",'Таблиця 1'!$J:$J,"GBU-64")+SUMIFS('Таблиця 1'!$K:$K,'Таблиця 1'!$B:$B,$A168,'Таблиця 1'!$I:$I,"Су-27",'Таблиця 1'!$J:$J,"GBU-64"))</f>
        <v/>
      </c>
      <c r="O168">
        <f>IF($A168="","",SUMIFS('Таблиця 1'!$K:$K,'Таблиця 1'!$B:$B,$A168,'Таблиця 1'!$I:$I,"Mirage",'Таблиця 1'!$J:$J,"C-13")+SUMIFS('Таблиця 1'!$K:$K,'Таблиця 1'!$B:$B,$A168,'Таблиця 1'!$I:$I,"F-16",'Таблиця 1'!$J:$J,"C-13")+SUMIFS('Таблиця 1'!$K:$K,'Таблиця 1'!$B:$B,$A168,'Таблиця 1'!$I:$I,"МіГ-29",'Таблиця 1'!$J:$J,"C-13")+SUMIFS('Таблиця 1'!$K:$K,'Таблиця 1'!$B:$B,$A168,'Таблиця 1'!$I:$I,"Су-25",'Таблиця 1'!$J:$J,"C-13")+SUMIFS('Таблиця 1'!$K:$K,'Таблиця 1'!$B:$B,$A168,'Таблиця 1'!$I:$I,"Су-27",'Таблиця 1'!$J:$J,"C-13"))</f>
        <v/>
      </c>
      <c r="P168">
        <f>IF($A168="","",SUMIFS('Таблиця 1'!$K:$K,'Таблиця 1'!$B:$B,$A168,'Таблиця 1'!$I:$I,"Mirage",'Таблиця 1'!$J:$J,"MK-32")+SUMIFS('Таблиця 1'!$K:$K,'Таблиця 1'!$B:$B,$A168,'Таблиця 1'!$I:$I,"F-16",'Таблиця 1'!$J:$J,"MK-32")+SUMIFS('Таблиця 1'!$K:$K,'Таблиця 1'!$B:$B,$A168,'Таблиця 1'!$I:$I,"МіГ-29",'Таблиця 1'!$J:$J,"MK-32")+SUMIFS('Таблиця 1'!$K:$K,'Таблиця 1'!$B:$B,$A168,'Таблиця 1'!$I:$I,"Су-25",'Таблиця 1'!$J:$J,"MK-32")+SUMIFS('Таблиця 1'!$K:$K,'Таблиця 1'!$B:$B,$A168,'Таблиця 1'!$I:$I,"Су-27",'Таблиця 1'!$J:$J,"MK-32"))</f>
        <v/>
      </c>
      <c r="Q168">
        <f>IF($A168="","",SUMIFS('Таблиця 1'!$K:$K,'Таблиця 1'!$B:$B,$A168,'Таблиця 1'!$I:$I,"Mirage",'Таблиця 1'!$J:$J,"MK-24")+SUMIFS('Таблиця 1'!$K:$K,'Таблиця 1'!$B:$B,$A168,'Таблиця 1'!$I:$I,"F-16",'Таблиця 1'!$J:$J,"MK-24")+SUMIFS('Таблиця 1'!$K:$K,'Таблиця 1'!$B:$B,$A168,'Таблиця 1'!$I:$I,"МіГ-29",'Таблиця 1'!$J:$J,"MK-24")+SUMIFS('Таблиця 1'!$K:$K,'Таблиця 1'!$B:$B,$A168,'Таблиця 1'!$I:$I,"Су-25",'Таблиця 1'!$J:$J,"MK-24")+SUMIFS('Таблиця 1'!$K:$K,'Таблиця 1'!$B:$B,$A168,'Таблиця 1'!$I:$I,"Су-27",'Таблиця 1'!$J:$J,"MK-24"))</f>
        <v/>
      </c>
      <c r="R168">
        <f>IF($A168="","",COUNTIFS('Таблиця 1'!$B:$B,$A168,'Таблиця 1'!$I:$I,"Mirage",'Таблиця 1'!$L:$L,"Уражено")+COUNTIFS('Таблиця 1'!$B:$B,$A168,'Таблиця 1'!$I:$I,"F-16",'Таблиця 1'!$L:$L,"Уражено")+COUNTIFS('Таблиця 1'!$B:$B,$A168,'Таблиця 1'!$I:$I,"МіГ-29",'Таблиця 1'!$L:$L,"Уражено")+COUNTIFS('Таблиця 1'!$B:$B,$A168,'Таблиця 1'!$I:$I,"Су-25",'Таблиця 1'!$L:$L,"Уражено")+COUNTIFS('Таблиця 1'!$B:$B,$A168,'Таблиця 1'!$I:$I,"Су-27",'Таблиця 1'!$L:$L,"Уражено"))</f>
        <v/>
      </c>
      <c r="S168">
        <f>IF($A168="","",COUNTIFS('Таблиця 1'!$B:$B,$A168,'Таблиця 1'!$I:$I,"Mirage",'Таблиця 1'!$L:$L,"НЕ уражено")+COUNTIFS('Таблиця 1'!$B:$B,$A168,'Таблиця 1'!$I:$I,"F-16",'Таблиця 1'!$L:$L,"НЕ уражено")+COUNTIFS('Таблиця 1'!$B:$B,$A168,'Таблиця 1'!$I:$I,"МіГ-29",'Таблиця 1'!$L:$L,"НЕ уражено")+COUNTIFS('Таблиця 1'!$B:$B,$A168,'Таблиця 1'!$I:$I,"Су-25",'Таблиця 1'!$L:$L,"НЕ уражено")+COUNTIFS('Таблиця 1'!$B:$B,$A168,'Таблиця 1'!$I:$I,"Су-27",'Таблиця 1'!$L:$L,"НЕ уражено"))</f>
        <v/>
      </c>
      <c r="T168">
        <f>IF($A168="","",COUNTIFS('Таблиця 1'!$B:$B,$A168,'Таблиця 1'!$I:$I,"Mirage",'Таблиця 1'!$L:$L,"Дорозвідується")+COUNTIFS('Таблиця 1'!$B:$B,$A168,'Таблиця 1'!$I:$I,"F-16",'Таблиця 1'!$L:$L,"Дорозвідується")+COUNTIFS('Таблиця 1'!$B:$B,$A168,'Таблиця 1'!$I:$I,"МіГ-29",'Таблиця 1'!$L:$L,"Дорозвідується")+COUNTIFS('Таблиця 1'!$B:$B,$A168,'Таблиця 1'!$I:$I,"Су-25",'Таблиця 1'!$L:$L,"Дорозвідується")+COUNTIFS('Таблиця 1'!$B:$B,$A168,'Таблиця 1'!$I:$I,"Су-27",'Таблиця 1'!$L:$L,"Дорозвідується"))</f>
        <v/>
      </c>
    </row>
    <row r="169">
      <c r="A169" s="273">
        <f>IF(A168="","",IF(A168+1&gt;MAX('Таблиця 1'!$B:$B),"",A168+1))</f>
        <v/>
      </c>
      <c r="B169">
        <f>IF($A169="","",COUNTIFS('Таблиця 1'!$B:$B,$A169,'Таблиця 1'!$I:$I,"Mirage")+COUNTIFS('Таблиця 1'!$B:$B,$A169,'Таблиця 1'!$I:$I,"F-16")+COUNTIFS('Таблиця 1'!$B:$B,$A169,'Таблиця 1'!$I:$I,"МіГ-29")+COUNTIFS('Таблиця 1'!$B:$B,$A169,'Таблиця 1'!$I:$I,"Су-25")+COUNTIFS('Таблиця 1'!$B:$B,$A169,'Таблиця 1'!$I:$I,"Су-27"))</f>
        <v/>
      </c>
      <c r="C169">
        <f>IF($A169="","",COUNTIFS('Таблиця 1'!$B:$B,$A169,'Таблиця 1'!$I:$I,"Mirage"))</f>
        <v/>
      </c>
      <c r="D169">
        <f>IF($A169="","",COUNTIFS('Таблиця 1'!$B:$B,$A169,'Таблиця 1'!$I:$I,"F-16"))</f>
        <v/>
      </c>
      <c r="E169">
        <f>IF($A169="","",COUNTIFS('Таблиця 1'!$B:$B,$A169,'Таблиця 1'!$I:$I,"МіГ-29"))</f>
        <v/>
      </c>
      <c r="F169">
        <f>IF($A169="","",COUNTIFS('Таблиця 1'!$B:$B,$A169,'Таблиця 1'!$I:$I,"Су-25"))</f>
        <v/>
      </c>
      <c r="G169">
        <f>IF($A169="","",COUNTIFS('Таблиця 1'!$B:$B,$A169,'Таблиця 1'!$I:$I,"Су-27"))</f>
        <v/>
      </c>
      <c r="H169">
        <f>IF($A169="","",SUMIFS('Таблиця 1'!$K:$K,'Таблиця 1'!$B:$B,$A169,'Таблиця 1'!$I:$I,"Mirage",'Таблиця 1'!$J:$J,"AGM-88")+SUMIFS('Таблиця 1'!$K:$K,'Таблиця 1'!$B:$B,$A169,'Таблиця 1'!$I:$I,"F-16",'Таблиця 1'!$J:$J,"AGM-88")+SUMIFS('Таблиця 1'!$K:$K,'Таблиця 1'!$B:$B,$A169,'Таблиця 1'!$I:$I,"МіГ-29",'Таблиця 1'!$J:$J,"AGM-88")+SUMIFS('Таблиця 1'!$K:$K,'Таблиця 1'!$B:$B,$A169,'Таблиця 1'!$I:$I,"Су-25",'Таблиця 1'!$J:$J,"AGM-88")+SUMIFS('Таблиця 1'!$K:$K,'Таблиця 1'!$B:$B,$A169,'Таблиця 1'!$I:$I,"Су-27",'Таблиця 1'!$J:$J,"AGM-88"))</f>
        <v/>
      </c>
      <c r="I169">
        <f>IF($A169="","",SUMIFS('Таблиця 1'!$K:$K,'Таблиця 1'!$B:$B,$A169,'Таблиця 1'!$I:$I,"Mirage",'Таблиця 1'!$J:$J,"AASM-250")+SUMIFS('Таблиця 1'!$K:$K,'Таблиця 1'!$B:$B,$A169,'Таблиця 1'!$I:$I,"F-16",'Таблиця 1'!$J:$J,"AASM-250")+SUMIFS('Таблиця 1'!$K:$K,'Таблиця 1'!$B:$B,$A169,'Таблиця 1'!$I:$I,"МіГ-29",'Таблиця 1'!$J:$J,"AASM-250")+SUMIFS('Таблиця 1'!$K:$K,'Таблиця 1'!$B:$B,$A169,'Таблиця 1'!$I:$I,"Су-25",'Таблиця 1'!$J:$J,"AASM-250")+SUMIFS('Таблиця 1'!$K:$K,'Таблиця 1'!$B:$B,$A169,'Таблиця 1'!$I:$I,"Су-27",'Таблиця 1'!$J:$J,"AASM-250"))</f>
        <v/>
      </c>
      <c r="J169">
        <f>IF($A169="","",SUMIFS('Таблиця 1'!$K:$K,'Таблиця 1'!$B:$B,$A169,'Таблиця 1'!$I:$I,"Mirage",'Таблиця 1'!$J:$J,"GBU-39")+SUMIFS('Таблиця 1'!$K:$K,'Таблиця 1'!$B:$B,$A169,'Таблиця 1'!$I:$I,"F-16",'Таблиця 1'!$J:$J,"GBU-39")+SUMIFS('Таблиця 1'!$K:$K,'Таблиця 1'!$B:$B,$A169,'Таблиця 1'!$I:$I,"МіГ-29",'Таблиця 1'!$J:$J,"GBU-39")+SUMIFS('Таблиця 1'!$K:$K,'Таблиця 1'!$B:$B,$A169,'Таблиця 1'!$I:$I,"Су-25",'Таблиця 1'!$J:$J,"GBU-39")+SUMIFS('Таблиця 1'!$K:$K,'Таблиця 1'!$B:$B,$A169,'Таблиця 1'!$I:$I,"Су-27",'Таблиця 1'!$J:$J,"GBU-39"))</f>
        <v/>
      </c>
      <c r="K169">
        <f>IF($A169="","",SUMIFS('Таблиця 1'!$K:$K,'Таблиця 1'!$B:$B,$A169,'Таблиця 1'!$I:$I,"Mirage",'Таблиця 1'!$J:$J,"BLU-140")+SUMIFS('Таблиця 1'!$K:$K,'Таблиця 1'!$B:$B,$A169,'Таблиця 1'!$I:$I,"F-16",'Таблиця 1'!$J:$J,"BLU-140")+SUMIFS('Таблиця 1'!$K:$K,'Таблиця 1'!$B:$B,$A169,'Таблиця 1'!$I:$I,"МіГ-29",'Таблиця 1'!$J:$J,"BLU-140")+SUMIFS('Таблиця 1'!$K:$K,'Таблиця 1'!$B:$B,$A169,'Таблиця 1'!$I:$I,"Су-25",'Таблиця 1'!$J:$J,"BLU-140")+SUMIFS('Таблиця 1'!$K:$K,'Таблиця 1'!$B:$B,$A169,'Таблиця 1'!$I:$I,"Су-27",'Таблиця 1'!$J:$J,"BLU-140"))</f>
        <v/>
      </c>
      <c r="L169">
        <f>IF($A169="","",SUMIFS('Таблиця 1'!$K:$K,'Таблиця 1'!$B:$B,$A169,'Таблиця 1'!$I:$I,"Mirage",'Таблиця 1'!$J:$J,"GBU-65")+SUMIFS('Таблиця 1'!$K:$K,'Таблиця 1'!$B:$B,$A169,'Таблиця 1'!$I:$I,"F-16",'Таблиця 1'!$J:$J,"GBU-65")+SUMIFS('Таблиця 1'!$K:$K,'Таблиця 1'!$B:$B,$A169,'Таблиця 1'!$I:$I,"МіГ-29",'Таблиця 1'!$J:$J,"GBU-65")+SUMIFS('Таблиця 1'!$K:$K,'Таблиця 1'!$B:$B,$A169,'Таблиця 1'!$I:$I,"Су-25",'Таблиця 1'!$J:$J,"GBU-65")+SUMIFS('Таблиця 1'!$K:$K,'Таблиця 1'!$B:$B,$A169,'Таблиця 1'!$I:$I,"Су-27",'Таблиця 1'!$J:$J,"GBU-65"))</f>
        <v/>
      </c>
      <c r="M169">
        <f>IF($A169="","",SUMIFS('Таблиця 1'!$K:$K,'Таблиця 1'!$B:$B,$A169,'Таблиця 1'!$I:$I,"Mirage",'Таблиця 1'!$J:$J,"GBU-62")+SUMIFS('Таблиця 1'!$K:$K,'Таблиця 1'!$B:$B,$A169,'Таблиця 1'!$I:$I,"F-16",'Таблиця 1'!$J:$J,"GBU-62")+SUMIFS('Таблиця 1'!$K:$K,'Таблиця 1'!$B:$B,$A169,'Таблиця 1'!$I:$I,"МіГ-29",'Таблиця 1'!$J:$J,"GBU-62")+SUMIFS('Таблиця 1'!$K:$K,'Таблиця 1'!$B:$B,$A169,'Таблиця 1'!$I:$I,"Су-25",'Таблиця 1'!$J:$J,"GBU-62")+SUMIFS('Таблиця 1'!$K:$K,'Таблиця 1'!$B:$B,$A169,'Таблиця 1'!$I:$I,"Су-27",'Таблиця 1'!$J:$J,"GBU-62"))</f>
        <v/>
      </c>
      <c r="N169">
        <f>IF($A169="","",SUMIFS('Таблиця 1'!$K:$K,'Таблиця 1'!$B:$B,$A169,'Таблиця 1'!$I:$I,"Mirage",'Таблиця 1'!$J:$J,"GBU-64")+SUMIFS('Таблиця 1'!$K:$K,'Таблиця 1'!$B:$B,$A169,'Таблиця 1'!$I:$I,"F-16",'Таблиця 1'!$J:$J,"GBU-64")+SUMIFS('Таблиця 1'!$K:$K,'Таблиця 1'!$B:$B,$A169,'Таблиця 1'!$I:$I,"МіГ-29",'Таблиця 1'!$J:$J,"GBU-64")+SUMIFS('Таблиця 1'!$K:$K,'Таблиця 1'!$B:$B,$A169,'Таблиця 1'!$I:$I,"Су-25",'Таблиця 1'!$J:$J,"GBU-64")+SUMIFS('Таблиця 1'!$K:$K,'Таблиця 1'!$B:$B,$A169,'Таблиця 1'!$I:$I,"Су-27",'Таблиця 1'!$J:$J,"GBU-64"))</f>
        <v/>
      </c>
      <c r="O169">
        <f>IF($A169="","",SUMIFS('Таблиця 1'!$K:$K,'Таблиця 1'!$B:$B,$A169,'Таблиця 1'!$I:$I,"Mirage",'Таблиця 1'!$J:$J,"C-13")+SUMIFS('Таблиця 1'!$K:$K,'Таблиця 1'!$B:$B,$A169,'Таблиця 1'!$I:$I,"F-16",'Таблиця 1'!$J:$J,"C-13")+SUMIFS('Таблиця 1'!$K:$K,'Таблиця 1'!$B:$B,$A169,'Таблиця 1'!$I:$I,"МіГ-29",'Таблиця 1'!$J:$J,"C-13")+SUMIFS('Таблиця 1'!$K:$K,'Таблиця 1'!$B:$B,$A169,'Таблиця 1'!$I:$I,"Су-25",'Таблиця 1'!$J:$J,"C-13")+SUMIFS('Таблиця 1'!$K:$K,'Таблиця 1'!$B:$B,$A169,'Таблиця 1'!$I:$I,"Су-27",'Таблиця 1'!$J:$J,"C-13"))</f>
        <v/>
      </c>
      <c r="P169">
        <f>IF($A169="","",SUMIFS('Таблиця 1'!$K:$K,'Таблиця 1'!$B:$B,$A169,'Таблиця 1'!$I:$I,"Mirage",'Таблиця 1'!$J:$J,"MK-32")+SUMIFS('Таблиця 1'!$K:$K,'Таблиця 1'!$B:$B,$A169,'Таблиця 1'!$I:$I,"F-16",'Таблиця 1'!$J:$J,"MK-32")+SUMIFS('Таблиця 1'!$K:$K,'Таблиця 1'!$B:$B,$A169,'Таблиця 1'!$I:$I,"МіГ-29",'Таблиця 1'!$J:$J,"MK-32")+SUMIFS('Таблиця 1'!$K:$K,'Таблиця 1'!$B:$B,$A169,'Таблиця 1'!$I:$I,"Су-25",'Таблиця 1'!$J:$J,"MK-32")+SUMIFS('Таблиця 1'!$K:$K,'Таблиця 1'!$B:$B,$A169,'Таблиця 1'!$I:$I,"Су-27",'Таблиця 1'!$J:$J,"MK-32"))</f>
        <v/>
      </c>
      <c r="Q169">
        <f>IF($A169="","",SUMIFS('Таблиця 1'!$K:$K,'Таблиця 1'!$B:$B,$A169,'Таблиця 1'!$I:$I,"Mirage",'Таблиця 1'!$J:$J,"MK-24")+SUMIFS('Таблиця 1'!$K:$K,'Таблиця 1'!$B:$B,$A169,'Таблиця 1'!$I:$I,"F-16",'Таблиця 1'!$J:$J,"MK-24")+SUMIFS('Таблиця 1'!$K:$K,'Таблиця 1'!$B:$B,$A169,'Таблиця 1'!$I:$I,"МіГ-29",'Таблиця 1'!$J:$J,"MK-24")+SUMIFS('Таблиця 1'!$K:$K,'Таблиця 1'!$B:$B,$A169,'Таблиця 1'!$I:$I,"Су-25",'Таблиця 1'!$J:$J,"MK-24")+SUMIFS('Таблиця 1'!$K:$K,'Таблиця 1'!$B:$B,$A169,'Таблиця 1'!$I:$I,"Су-27",'Таблиця 1'!$J:$J,"MK-24"))</f>
        <v/>
      </c>
      <c r="R169">
        <f>IF($A169="","",COUNTIFS('Таблиця 1'!$B:$B,$A169,'Таблиця 1'!$I:$I,"Mirage",'Таблиця 1'!$L:$L,"Уражено")+COUNTIFS('Таблиця 1'!$B:$B,$A169,'Таблиця 1'!$I:$I,"F-16",'Таблиця 1'!$L:$L,"Уражено")+COUNTIFS('Таблиця 1'!$B:$B,$A169,'Таблиця 1'!$I:$I,"МіГ-29",'Таблиця 1'!$L:$L,"Уражено")+COUNTIFS('Таблиця 1'!$B:$B,$A169,'Таблиця 1'!$I:$I,"Су-25",'Таблиця 1'!$L:$L,"Уражено")+COUNTIFS('Таблиця 1'!$B:$B,$A169,'Таблиця 1'!$I:$I,"Су-27",'Таблиця 1'!$L:$L,"Уражено"))</f>
        <v/>
      </c>
      <c r="S169">
        <f>IF($A169="","",COUNTIFS('Таблиця 1'!$B:$B,$A169,'Таблиця 1'!$I:$I,"Mirage",'Таблиця 1'!$L:$L,"НЕ уражено")+COUNTIFS('Таблиця 1'!$B:$B,$A169,'Таблиця 1'!$I:$I,"F-16",'Таблиця 1'!$L:$L,"НЕ уражено")+COUNTIFS('Таблиця 1'!$B:$B,$A169,'Таблиця 1'!$I:$I,"МіГ-29",'Таблиця 1'!$L:$L,"НЕ уражено")+COUNTIFS('Таблиця 1'!$B:$B,$A169,'Таблиця 1'!$I:$I,"Су-25",'Таблиця 1'!$L:$L,"НЕ уражено")+COUNTIFS('Таблиця 1'!$B:$B,$A169,'Таблиця 1'!$I:$I,"Су-27",'Таблиця 1'!$L:$L,"НЕ уражено"))</f>
        <v/>
      </c>
      <c r="T169">
        <f>IF($A169="","",COUNTIFS('Таблиця 1'!$B:$B,$A169,'Таблиця 1'!$I:$I,"Mirage",'Таблиця 1'!$L:$L,"Дорозвідується")+COUNTIFS('Таблиця 1'!$B:$B,$A169,'Таблиця 1'!$I:$I,"F-16",'Таблиця 1'!$L:$L,"Дорозвідується")+COUNTIFS('Таблиця 1'!$B:$B,$A169,'Таблиця 1'!$I:$I,"МіГ-29",'Таблиця 1'!$L:$L,"Дорозвідується")+COUNTIFS('Таблиця 1'!$B:$B,$A169,'Таблиця 1'!$I:$I,"Су-25",'Таблиця 1'!$L:$L,"Дорозвідується")+COUNTIFS('Таблиця 1'!$B:$B,$A169,'Таблиця 1'!$I:$I,"Су-27",'Таблиця 1'!$L:$L,"Дорозвідується"))</f>
        <v/>
      </c>
    </row>
    <row r="170">
      <c r="A170" s="273">
        <f>IF(A169="","",IF(A169+1&gt;MAX('Таблиця 1'!$B:$B),"",A169+1))</f>
        <v/>
      </c>
      <c r="B170">
        <f>IF($A170="","",COUNTIFS('Таблиця 1'!$B:$B,$A170,'Таблиця 1'!$I:$I,"Mirage")+COUNTIFS('Таблиця 1'!$B:$B,$A170,'Таблиця 1'!$I:$I,"F-16")+COUNTIFS('Таблиця 1'!$B:$B,$A170,'Таблиця 1'!$I:$I,"МіГ-29")+COUNTIFS('Таблиця 1'!$B:$B,$A170,'Таблиця 1'!$I:$I,"Су-25")+COUNTIFS('Таблиця 1'!$B:$B,$A170,'Таблиця 1'!$I:$I,"Су-27"))</f>
        <v/>
      </c>
      <c r="C170">
        <f>IF($A170="","",COUNTIFS('Таблиця 1'!$B:$B,$A170,'Таблиця 1'!$I:$I,"Mirage"))</f>
        <v/>
      </c>
      <c r="D170">
        <f>IF($A170="","",COUNTIFS('Таблиця 1'!$B:$B,$A170,'Таблиця 1'!$I:$I,"F-16"))</f>
        <v/>
      </c>
      <c r="E170">
        <f>IF($A170="","",COUNTIFS('Таблиця 1'!$B:$B,$A170,'Таблиця 1'!$I:$I,"МіГ-29"))</f>
        <v/>
      </c>
      <c r="F170">
        <f>IF($A170="","",COUNTIFS('Таблиця 1'!$B:$B,$A170,'Таблиця 1'!$I:$I,"Су-25"))</f>
        <v/>
      </c>
      <c r="G170">
        <f>IF($A170="","",COUNTIFS('Таблиця 1'!$B:$B,$A170,'Таблиця 1'!$I:$I,"Су-27"))</f>
        <v/>
      </c>
      <c r="H170">
        <f>IF($A170="","",SUMIFS('Таблиця 1'!$K:$K,'Таблиця 1'!$B:$B,$A170,'Таблиця 1'!$I:$I,"Mirage",'Таблиця 1'!$J:$J,"AGM-88")+SUMIFS('Таблиця 1'!$K:$K,'Таблиця 1'!$B:$B,$A170,'Таблиця 1'!$I:$I,"F-16",'Таблиця 1'!$J:$J,"AGM-88")+SUMIFS('Таблиця 1'!$K:$K,'Таблиця 1'!$B:$B,$A170,'Таблиця 1'!$I:$I,"МіГ-29",'Таблиця 1'!$J:$J,"AGM-88")+SUMIFS('Таблиця 1'!$K:$K,'Таблиця 1'!$B:$B,$A170,'Таблиця 1'!$I:$I,"Су-25",'Таблиця 1'!$J:$J,"AGM-88")+SUMIFS('Таблиця 1'!$K:$K,'Таблиця 1'!$B:$B,$A170,'Таблиця 1'!$I:$I,"Су-27",'Таблиця 1'!$J:$J,"AGM-88"))</f>
        <v/>
      </c>
      <c r="I170">
        <f>IF($A170="","",SUMIFS('Таблиця 1'!$K:$K,'Таблиця 1'!$B:$B,$A170,'Таблиця 1'!$I:$I,"Mirage",'Таблиця 1'!$J:$J,"AASM-250")+SUMIFS('Таблиця 1'!$K:$K,'Таблиця 1'!$B:$B,$A170,'Таблиця 1'!$I:$I,"F-16",'Таблиця 1'!$J:$J,"AASM-250")+SUMIFS('Таблиця 1'!$K:$K,'Таблиця 1'!$B:$B,$A170,'Таблиця 1'!$I:$I,"МіГ-29",'Таблиця 1'!$J:$J,"AASM-250")+SUMIFS('Таблиця 1'!$K:$K,'Таблиця 1'!$B:$B,$A170,'Таблиця 1'!$I:$I,"Су-25",'Таблиця 1'!$J:$J,"AASM-250")+SUMIFS('Таблиця 1'!$K:$K,'Таблиця 1'!$B:$B,$A170,'Таблиця 1'!$I:$I,"Су-27",'Таблиця 1'!$J:$J,"AASM-250"))</f>
        <v/>
      </c>
      <c r="J170">
        <f>IF($A170="","",SUMIFS('Таблиця 1'!$K:$K,'Таблиця 1'!$B:$B,$A170,'Таблиця 1'!$I:$I,"Mirage",'Таблиця 1'!$J:$J,"GBU-39")+SUMIFS('Таблиця 1'!$K:$K,'Таблиця 1'!$B:$B,$A170,'Таблиця 1'!$I:$I,"F-16",'Таблиця 1'!$J:$J,"GBU-39")+SUMIFS('Таблиця 1'!$K:$K,'Таблиця 1'!$B:$B,$A170,'Таблиця 1'!$I:$I,"МіГ-29",'Таблиця 1'!$J:$J,"GBU-39")+SUMIFS('Таблиця 1'!$K:$K,'Таблиця 1'!$B:$B,$A170,'Таблиця 1'!$I:$I,"Су-25",'Таблиця 1'!$J:$J,"GBU-39")+SUMIFS('Таблиця 1'!$K:$K,'Таблиця 1'!$B:$B,$A170,'Таблиця 1'!$I:$I,"Су-27",'Таблиця 1'!$J:$J,"GBU-39"))</f>
        <v/>
      </c>
      <c r="K170">
        <f>IF($A170="","",SUMIFS('Таблиця 1'!$K:$K,'Таблиця 1'!$B:$B,$A170,'Таблиця 1'!$I:$I,"Mirage",'Таблиця 1'!$J:$J,"BLU-140")+SUMIFS('Таблиця 1'!$K:$K,'Таблиця 1'!$B:$B,$A170,'Таблиця 1'!$I:$I,"F-16",'Таблиця 1'!$J:$J,"BLU-140")+SUMIFS('Таблиця 1'!$K:$K,'Таблиця 1'!$B:$B,$A170,'Таблиця 1'!$I:$I,"МіГ-29",'Таблиця 1'!$J:$J,"BLU-140")+SUMIFS('Таблиця 1'!$K:$K,'Таблиця 1'!$B:$B,$A170,'Таблиця 1'!$I:$I,"Су-25",'Таблиця 1'!$J:$J,"BLU-140")+SUMIFS('Таблиця 1'!$K:$K,'Таблиця 1'!$B:$B,$A170,'Таблиця 1'!$I:$I,"Су-27",'Таблиця 1'!$J:$J,"BLU-140"))</f>
        <v/>
      </c>
      <c r="L170">
        <f>IF($A170="","",SUMIFS('Таблиця 1'!$K:$K,'Таблиця 1'!$B:$B,$A170,'Таблиця 1'!$I:$I,"Mirage",'Таблиця 1'!$J:$J,"GBU-65")+SUMIFS('Таблиця 1'!$K:$K,'Таблиця 1'!$B:$B,$A170,'Таблиця 1'!$I:$I,"F-16",'Таблиця 1'!$J:$J,"GBU-65")+SUMIFS('Таблиця 1'!$K:$K,'Таблиця 1'!$B:$B,$A170,'Таблиця 1'!$I:$I,"МіГ-29",'Таблиця 1'!$J:$J,"GBU-65")+SUMIFS('Таблиця 1'!$K:$K,'Таблиця 1'!$B:$B,$A170,'Таблиця 1'!$I:$I,"Су-25",'Таблиця 1'!$J:$J,"GBU-65")+SUMIFS('Таблиця 1'!$K:$K,'Таблиця 1'!$B:$B,$A170,'Таблиця 1'!$I:$I,"Су-27",'Таблиця 1'!$J:$J,"GBU-65"))</f>
        <v/>
      </c>
      <c r="M170">
        <f>IF($A170="","",SUMIFS('Таблиця 1'!$K:$K,'Таблиця 1'!$B:$B,$A170,'Таблиця 1'!$I:$I,"Mirage",'Таблиця 1'!$J:$J,"GBU-62")+SUMIFS('Таблиця 1'!$K:$K,'Таблиця 1'!$B:$B,$A170,'Таблиця 1'!$I:$I,"F-16",'Таблиця 1'!$J:$J,"GBU-62")+SUMIFS('Таблиця 1'!$K:$K,'Таблиця 1'!$B:$B,$A170,'Таблиця 1'!$I:$I,"МіГ-29",'Таблиця 1'!$J:$J,"GBU-62")+SUMIFS('Таблиця 1'!$K:$K,'Таблиця 1'!$B:$B,$A170,'Таблиця 1'!$I:$I,"Су-25",'Таблиця 1'!$J:$J,"GBU-62")+SUMIFS('Таблиця 1'!$K:$K,'Таблиця 1'!$B:$B,$A170,'Таблиця 1'!$I:$I,"Су-27",'Таблиця 1'!$J:$J,"GBU-62"))</f>
        <v/>
      </c>
      <c r="N170">
        <f>IF($A170="","",SUMIFS('Таблиця 1'!$K:$K,'Таблиця 1'!$B:$B,$A170,'Таблиця 1'!$I:$I,"Mirage",'Таблиця 1'!$J:$J,"GBU-64")+SUMIFS('Таблиця 1'!$K:$K,'Таблиця 1'!$B:$B,$A170,'Таблиця 1'!$I:$I,"F-16",'Таблиця 1'!$J:$J,"GBU-64")+SUMIFS('Таблиця 1'!$K:$K,'Таблиця 1'!$B:$B,$A170,'Таблиця 1'!$I:$I,"МіГ-29",'Таблиця 1'!$J:$J,"GBU-64")+SUMIFS('Таблиця 1'!$K:$K,'Таблиця 1'!$B:$B,$A170,'Таблиця 1'!$I:$I,"Су-25",'Таблиця 1'!$J:$J,"GBU-64")+SUMIFS('Таблиця 1'!$K:$K,'Таблиця 1'!$B:$B,$A170,'Таблиця 1'!$I:$I,"Су-27",'Таблиця 1'!$J:$J,"GBU-64"))</f>
        <v/>
      </c>
      <c r="O170">
        <f>IF($A170="","",SUMIFS('Таблиця 1'!$K:$K,'Таблиця 1'!$B:$B,$A170,'Таблиця 1'!$I:$I,"Mirage",'Таблиця 1'!$J:$J,"C-13")+SUMIFS('Таблиця 1'!$K:$K,'Таблиця 1'!$B:$B,$A170,'Таблиця 1'!$I:$I,"F-16",'Таблиця 1'!$J:$J,"C-13")+SUMIFS('Таблиця 1'!$K:$K,'Таблиця 1'!$B:$B,$A170,'Таблиця 1'!$I:$I,"МіГ-29",'Таблиця 1'!$J:$J,"C-13")+SUMIFS('Таблиця 1'!$K:$K,'Таблиця 1'!$B:$B,$A170,'Таблиця 1'!$I:$I,"Су-25",'Таблиця 1'!$J:$J,"C-13")+SUMIFS('Таблиця 1'!$K:$K,'Таблиця 1'!$B:$B,$A170,'Таблиця 1'!$I:$I,"Су-27",'Таблиця 1'!$J:$J,"C-13"))</f>
        <v/>
      </c>
      <c r="P170">
        <f>IF($A170="","",SUMIFS('Таблиця 1'!$K:$K,'Таблиця 1'!$B:$B,$A170,'Таблиця 1'!$I:$I,"Mirage",'Таблиця 1'!$J:$J,"MK-32")+SUMIFS('Таблиця 1'!$K:$K,'Таблиця 1'!$B:$B,$A170,'Таблиця 1'!$I:$I,"F-16",'Таблиця 1'!$J:$J,"MK-32")+SUMIFS('Таблиця 1'!$K:$K,'Таблиця 1'!$B:$B,$A170,'Таблиця 1'!$I:$I,"МіГ-29",'Таблиця 1'!$J:$J,"MK-32")+SUMIFS('Таблиця 1'!$K:$K,'Таблиця 1'!$B:$B,$A170,'Таблиця 1'!$I:$I,"Су-25",'Таблиця 1'!$J:$J,"MK-32")+SUMIFS('Таблиця 1'!$K:$K,'Таблиця 1'!$B:$B,$A170,'Таблиця 1'!$I:$I,"Су-27",'Таблиця 1'!$J:$J,"MK-32"))</f>
        <v/>
      </c>
      <c r="Q170">
        <f>IF($A170="","",SUMIFS('Таблиця 1'!$K:$K,'Таблиця 1'!$B:$B,$A170,'Таблиця 1'!$I:$I,"Mirage",'Таблиця 1'!$J:$J,"MK-24")+SUMIFS('Таблиця 1'!$K:$K,'Таблиця 1'!$B:$B,$A170,'Таблиця 1'!$I:$I,"F-16",'Таблиця 1'!$J:$J,"MK-24")+SUMIFS('Таблиця 1'!$K:$K,'Таблиця 1'!$B:$B,$A170,'Таблиця 1'!$I:$I,"МіГ-29",'Таблиця 1'!$J:$J,"MK-24")+SUMIFS('Таблиця 1'!$K:$K,'Таблиця 1'!$B:$B,$A170,'Таблиця 1'!$I:$I,"Су-25",'Таблиця 1'!$J:$J,"MK-24")+SUMIFS('Таблиця 1'!$K:$K,'Таблиця 1'!$B:$B,$A170,'Таблиця 1'!$I:$I,"Су-27",'Таблиця 1'!$J:$J,"MK-24"))</f>
        <v/>
      </c>
      <c r="R170">
        <f>IF($A170="","",COUNTIFS('Таблиця 1'!$B:$B,$A170,'Таблиця 1'!$I:$I,"Mirage",'Таблиця 1'!$L:$L,"Уражено")+COUNTIFS('Таблиця 1'!$B:$B,$A170,'Таблиця 1'!$I:$I,"F-16",'Таблиця 1'!$L:$L,"Уражено")+COUNTIFS('Таблиця 1'!$B:$B,$A170,'Таблиця 1'!$I:$I,"МіГ-29",'Таблиця 1'!$L:$L,"Уражено")+COUNTIFS('Таблиця 1'!$B:$B,$A170,'Таблиця 1'!$I:$I,"Су-25",'Таблиця 1'!$L:$L,"Уражено")+COUNTIFS('Таблиця 1'!$B:$B,$A170,'Таблиця 1'!$I:$I,"Су-27",'Таблиця 1'!$L:$L,"Уражено"))</f>
        <v/>
      </c>
      <c r="S170">
        <f>IF($A170="","",COUNTIFS('Таблиця 1'!$B:$B,$A170,'Таблиця 1'!$I:$I,"Mirage",'Таблиця 1'!$L:$L,"НЕ уражено")+COUNTIFS('Таблиця 1'!$B:$B,$A170,'Таблиця 1'!$I:$I,"F-16",'Таблиця 1'!$L:$L,"НЕ уражено")+COUNTIFS('Таблиця 1'!$B:$B,$A170,'Таблиця 1'!$I:$I,"МіГ-29",'Таблиця 1'!$L:$L,"НЕ уражено")+COUNTIFS('Таблиця 1'!$B:$B,$A170,'Таблиця 1'!$I:$I,"Су-25",'Таблиця 1'!$L:$L,"НЕ уражено")+COUNTIFS('Таблиця 1'!$B:$B,$A170,'Таблиця 1'!$I:$I,"Су-27",'Таблиця 1'!$L:$L,"НЕ уражено"))</f>
        <v/>
      </c>
      <c r="T170">
        <f>IF($A170="","",COUNTIFS('Таблиця 1'!$B:$B,$A170,'Таблиця 1'!$I:$I,"Mirage",'Таблиця 1'!$L:$L,"Дорозвідується")+COUNTIFS('Таблиця 1'!$B:$B,$A170,'Таблиця 1'!$I:$I,"F-16",'Таблиця 1'!$L:$L,"Дорозвідується")+COUNTIFS('Таблиця 1'!$B:$B,$A170,'Таблиця 1'!$I:$I,"МіГ-29",'Таблиця 1'!$L:$L,"Дорозвідується")+COUNTIFS('Таблиця 1'!$B:$B,$A170,'Таблиця 1'!$I:$I,"Су-25",'Таблиця 1'!$L:$L,"Дорозвідується")+COUNTIFS('Таблиця 1'!$B:$B,$A170,'Таблиця 1'!$I:$I,"Су-27",'Таблиця 1'!$L:$L,"Дорозвідується"))</f>
        <v/>
      </c>
    </row>
    <row r="171">
      <c r="A171" s="273">
        <f>IF(A170="","",IF(A170+1&gt;MAX('Таблиця 1'!$B:$B),"",A170+1))</f>
        <v/>
      </c>
      <c r="B171">
        <f>IF($A171="","",COUNTIFS('Таблиця 1'!$B:$B,$A171,'Таблиця 1'!$I:$I,"Mirage")+COUNTIFS('Таблиця 1'!$B:$B,$A171,'Таблиця 1'!$I:$I,"F-16")+COUNTIFS('Таблиця 1'!$B:$B,$A171,'Таблиця 1'!$I:$I,"МіГ-29")+COUNTIFS('Таблиця 1'!$B:$B,$A171,'Таблиця 1'!$I:$I,"Су-25")+COUNTIFS('Таблиця 1'!$B:$B,$A171,'Таблиця 1'!$I:$I,"Су-27"))</f>
        <v/>
      </c>
      <c r="C171">
        <f>IF($A171="","",COUNTIFS('Таблиця 1'!$B:$B,$A171,'Таблиця 1'!$I:$I,"Mirage"))</f>
        <v/>
      </c>
      <c r="D171">
        <f>IF($A171="","",COUNTIFS('Таблиця 1'!$B:$B,$A171,'Таблиця 1'!$I:$I,"F-16"))</f>
        <v/>
      </c>
      <c r="E171">
        <f>IF($A171="","",COUNTIFS('Таблиця 1'!$B:$B,$A171,'Таблиця 1'!$I:$I,"МіГ-29"))</f>
        <v/>
      </c>
      <c r="F171">
        <f>IF($A171="","",COUNTIFS('Таблиця 1'!$B:$B,$A171,'Таблиця 1'!$I:$I,"Су-25"))</f>
        <v/>
      </c>
      <c r="G171">
        <f>IF($A171="","",COUNTIFS('Таблиця 1'!$B:$B,$A171,'Таблиця 1'!$I:$I,"Су-27"))</f>
        <v/>
      </c>
      <c r="H171">
        <f>IF($A171="","",SUMIFS('Таблиця 1'!$K:$K,'Таблиця 1'!$B:$B,$A171,'Таблиця 1'!$I:$I,"Mirage",'Таблиця 1'!$J:$J,"AGM-88")+SUMIFS('Таблиця 1'!$K:$K,'Таблиця 1'!$B:$B,$A171,'Таблиця 1'!$I:$I,"F-16",'Таблиця 1'!$J:$J,"AGM-88")+SUMIFS('Таблиця 1'!$K:$K,'Таблиця 1'!$B:$B,$A171,'Таблиця 1'!$I:$I,"МіГ-29",'Таблиця 1'!$J:$J,"AGM-88")+SUMIFS('Таблиця 1'!$K:$K,'Таблиця 1'!$B:$B,$A171,'Таблиця 1'!$I:$I,"Су-25",'Таблиця 1'!$J:$J,"AGM-88")+SUMIFS('Таблиця 1'!$K:$K,'Таблиця 1'!$B:$B,$A171,'Таблиця 1'!$I:$I,"Су-27",'Таблиця 1'!$J:$J,"AGM-88"))</f>
        <v/>
      </c>
      <c r="I171">
        <f>IF($A171="","",SUMIFS('Таблиця 1'!$K:$K,'Таблиця 1'!$B:$B,$A171,'Таблиця 1'!$I:$I,"Mirage",'Таблиця 1'!$J:$J,"AASM-250")+SUMIFS('Таблиця 1'!$K:$K,'Таблиця 1'!$B:$B,$A171,'Таблиця 1'!$I:$I,"F-16",'Таблиця 1'!$J:$J,"AASM-250")+SUMIFS('Таблиця 1'!$K:$K,'Таблиця 1'!$B:$B,$A171,'Таблиця 1'!$I:$I,"МіГ-29",'Таблиця 1'!$J:$J,"AASM-250")+SUMIFS('Таблиця 1'!$K:$K,'Таблиця 1'!$B:$B,$A171,'Таблиця 1'!$I:$I,"Су-25",'Таблиця 1'!$J:$J,"AASM-250")+SUMIFS('Таблиця 1'!$K:$K,'Таблиця 1'!$B:$B,$A171,'Таблиця 1'!$I:$I,"Су-27",'Таблиця 1'!$J:$J,"AASM-250"))</f>
        <v/>
      </c>
      <c r="J171">
        <f>IF($A171="","",SUMIFS('Таблиця 1'!$K:$K,'Таблиця 1'!$B:$B,$A171,'Таблиця 1'!$I:$I,"Mirage",'Таблиця 1'!$J:$J,"GBU-39")+SUMIFS('Таблиця 1'!$K:$K,'Таблиця 1'!$B:$B,$A171,'Таблиця 1'!$I:$I,"F-16",'Таблиця 1'!$J:$J,"GBU-39")+SUMIFS('Таблиця 1'!$K:$K,'Таблиця 1'!$B:$B,$A171,'Таблиця 1'!$I:$I,"МіГ-29",'Таблиця 1'!$J:$J,"GBU-39")+SUMIFS('Таблиця 1'!$K:$K,'Таблиця 1'!$B:$B,$A171,'Таблиця 1'!$I:$I,"Су-25",'Таблиця 1'!$J:$J,"GBU-39")+SUMIFS('Таблиця 1'!$K:$K,'Таблиця 1'!$B:$B,$A171,'Таблиця 1'!$I:$I,"Су-27",'Таблиця 1'!$J:$J,"GBU-39"))</f>
        <v/>
      </c>
      <c r="K171">
        <f>IF($A171="","",SUMIFS('Таблиця 1'!$K:$K,'Таблиця 1'!$B:$B,$A171,'Таблиця 1'!$I:$I,"Mirage",'Таблиця 1'!$J:$J,"BLU-140")+SUMIFS('Таблиця 1'!$K:$K,'Таблиця 1'!$B:$B,$A171,'Таблиця 1'!$I:$I,"F-16",'Таблиця 1'!$J:$J,"BLU-140")+SUMIFS('Таблиця 1'!$K:$K,'Таблиця 1'!$B:$B,$A171,'Таблиця 1'!$I:$I,"МіГ-29",'Таблиця 1'!$J:$J,"BLU-140")+SUMIFS('Таблиця 1'!$K:$K,'Таблиця 1'!$B:$B,$A171,'Таблиця 1'!$I:$I,"Су-25",'Таблиця 1'!$J:$J,"BLU-140")+SUMIFS('Таблиця 1'!$K:$K,'Таблиця 1'!$B:$B,$A171,'Таблиця 1'!$I:$I,"Су-27",'Таблиця 1'!$J:$J,"BLU-140"))</f>
        <v/>
      </c>
      <c r="L171">
        <f>IF($A171="","",SUMIFS('Таблиця 1'!$K:$K,'Таблиця 1'!$B:$B,$A171,'Таблиця 1'!$I:$I,"Mirage",'Таблиця 1'!$J:$J,"GBU-65")+SUMIFS('Таблиця 1'!$K:$K,'Таблиця 1'!$B:$B,$A171,'Таблиця 1'!$I:$I,"F-16",'Таблиця 1'!$J:$J,"GBU-65")+SUMIFS('Таблиця 1'!$K:$K,'Таблиця 1'!$B:$B,$A171,'Таблиця 1'!$I:$I,"МіГ-29",'Таблиця 1'!$J:$J,"GBU-65")+SUMIFS('Таблиця 1'!$K:$K,'Таблиця 1'!$B:$B,$A171,'Таблиця 1'!$I:$I,"Су-25",'Таблиця 1'!$J:$J,"GBU-65")+SUMIFS('Таблиця 1'!$K:$K,'Таблиця 1'!$B:$B,$A171,'Таблиця 1'!$I:$I,"Су-27",'Таблиця 1'!$J:$J,"GBU-65"))</f>
        <v/>
      </c>
      <c r="M171">
        <f>IF($A171="","",SUMIFS('Таблиця 1'!$K:$K,'Таблиця 1'!$B:$B,$A171,'Таблиця 1'!$I:$I,"Mirage",'Таблиця 1'!$J:$J,"GBU-62")+SUMIFS('Таблиця 1'!$K:$K,'Таблиця 1'!$B:$B,$A171,'Таблиця 1'!$I:$I,"F-16",'Таблиця 1'!$J:$J,"GBU-62")+SUMIFS('Таблиця 1'!$K:$K,'Таблиця 1'!$B:$B,$A171,'Таблиця 1'!$I:$I,"МіГ-29",'Таблиця 1'!$J:$J,"GBU-62")+SUMIFS('Таблиця 1'!$K:$K,'Таблиця 1'!$B:$B,$A171,'Таблиця 1'!$I:$I,"Су-25",'Таблиця 1'!$J:$J,"GBU-62")+SUMIFS('Таблиця 1'!$K:$K,'Таблиця 1'!$B:$B,$A171,'Таблиця 1'!$I:$I,"Су-27",'Таблиця 1'!$J:$J,"GBU-62"))</f>
        <v/>
      </c>
      <c r="N171">
        <f>IF($A171="","",SUMIFS('Таблиця 1'!$K:$K,'Таблиця 1'!$B:$B,$A171,'Таблиця 1'!$I:$I,"Mirage",'Таблиця 1'!$J:$J,"GBU-64")+SUMIFS('Таблиця 1'!$K:$K,'Таблиця 1'!$B:$B,$A171,'Таблиця 1'!$I:$I,"F-16",'Таблиця 1'!$J:$J,"GBU-64")+SUMIFS('Таблиця 1'!$K:$K,'Таблиця 1'!$B:$B,$A171,'Таблиця 1'!$I:$I,"МіГ-29",'Таблиця 1'!$J:$J,"GBU-64")+SUMIFS('Таблиця 1'!$K:$K,'Таблиця 1'!$B:$B,$A171,'Таблиця 1'!$I:$I,"Су-25",'Таблиця 1'!$J:$J,"GBU-64")+SUMIFS('Таблиця 1'!$K:$K,'Таблиця 1'!$B:$B,$A171,'Таблиця 1'!$I:$I,"Су-27",'Таблиця 1'!$J:$J,"GBU-64"))</f>
        <v/>
      </c>
      <c r="O171">
        <f>IF($A171="","",SUMIFS('Таблиця 1'!$K:$K,'Таблиця 1'!$B:$B,$A171,'Таблиця 1'!$I:$I,"Mirage",'Таблиця 1'!$J:$J,"C-13")+SUMIFS('Таблиця 1'!$K:$K,'Таблиця 1'!$B:$B,$A171,'Таблиця 1'!$I:$I,"F-16",'Таблиця 1'!$J:$J,"C-13")+SUMIFS('Таблиця 1'!$K:$K,'Таблиця 1'!$B:$B,$A171,'Таблиця 1'!$I:$I,"МіГ-29",'Таблиця 1'!$J:$J,"C-13")+SUMIFS('Таблиця 1'!$K:$K,'Таблиця 1'!$B:$B,$A171,'Таблиця 1'!$I:$I,"Су-25",'Таблиця 1'!$J:$J,"C-13")+SUMIFS('Таблиця 1'!$K:$K,'Таблиця 1'!$B:$B,$A171,'Таблиця 1'!$I:$I,"Су-27",'Таблиця 1'!$J:$J,"C-13"))</f>
        <v/>
      </c>
      <c r="P171">
        <f>IF($A171="","",SUMIFS('Таблиця 1'!$K:$K,'Таблиця 1'!$B:$B,$A171,'Таблиця 1'!$I:$I,"Mirage",'Таблиця 1'!$J:$J,"MK-32")+SUMIFS('Таблиця 1'!$K:$K,'Таблиця 1'!$B:$B,$A171,'Таблиця 1'!$I:$I,"F-16",'Таблиця 1'!$J:$J,"MK-32")+SUMIFS('Таблиця 1'!$K:$K,'Таблиця 1'!$B:$B,$A171,'Таблиця 1'!$I:$I,"МіГ-29",'Таблиця 1'!$J:$J,"MK-32")+SUMIFS('Таблиця 1'!$K:$K,'Таблиця 1'!$B:$B,$A171,'Таблиця 1'!$I:$I,"Су-25",'Таблиця 1'!$J:$J,"MK-32")+SUMIFS('Таблиця 1'!$K:$K,'Таблиця 1'!$B:$B,$A171,'Таблиця 1'!$I:$I,"Су-27",'Таблиця 1'!$J:$J,"MK-32"))</f>
        <v/>
      </c>
      <c r="Q171">
        <f>IF($A171="","",SUMIFS('Таблиця 1'!$K:$K,'Таблиця 1'!$B:$B,$A171,'Таблиця 1'!$I:$I,"Mirage",'Таблиця 1'!$J:$J,"MK-24")+SUMIFS('Таблиця 1'!$K:$K,'Таблиця 1'!$B:$B,$A171,'Таблиця 1'!$I:$I,"F-16",'Таблиця 1'!$J:$J,"MK-24")+SUMIFS('Таблиця 1'!$K:$K,'Таблиця 1'!$B:$B,$A171,'Таблиця 1'!$I:$I,"МіГ-29",'Таблиця 1'!$J:$J,"MK-24")+SUMIFS('Таблиця 1'!$K:$K,'Таблиця 1'!$B:$B,$A171,'Таблиця 1'!$I:$I,"Су-25",'Таблиця 1'!$J:$J,"MK-24")+SUMIFS('Таблиця 1'!$K:$K,'Таблиця 1'!$B:$B,$A171,'Таблиця 1'!$I:$I,"Су-27",'Таблиця 1'!$J:$J,"MK-24"))</f>
        <v/>
      </c>
      <c r="R171">
        <f>IF($A171="","",COUNTIFS('Таблиця 1'!$B:$B,$A171,'Таблиця 1'!$I:$I,"Mirage",'Таблиця 1'!$L:$L,"Уражено")+COUNTIFS('Таблиця 1'!$B:$B,$A171,'Таблиця 1'!$I:$I,"F-16",'Таблиця 1'!$L:$L,"Уражено")+COUNTIFS('Таблиця 1'!$B:$B,$A171,'Таблиця 1'!$I:$I,"МіГ-29",'Таблиця 1'!$L:$L,"Уражено")+COUNTIFS('Таблиця 1'!$B:$B,$A171,'Таблиця 1'!$I:$I,"Су-25",'Таблиця 1'!$L:$L,"Уражено")+COUNTIFS('Таблиця 1'!$B:$B,$A171,'Таблиця 1'!$I:$I,"Су-27",'Таблиця 1'!$L:$L,"Уражено"))</f>
        <v/>
      </c>
      <c r="S171">
        <f>IF($A171="","",COUNTIFS('Таблиця 1'!$B:$B,$A171,'Таблиця 1'!$I:$I,"Mirage",'Таблиця 1'!$L:$L,"НЕ уражено")+COUNTIFS('Таблиця 1'!$B:$B,$A171,'Таблиця 1'!$I:$I,"F-16",'Таблиця 1'!$L:$L,"НЕ уражено")+COUNTIFS('Таблиця 1'!$B:$B,$A171,'Таблиця 1'!$I:$I,"МіГ-29",'Таблиця 1'!$L:$L,"НЕ уражено")+COUNTIFS('Таблиця 1'!$B:$B,$A171,'Таблиця 1'!$I:$I,"Су-25",'Таблиця 1'!$L:$L,"НЕ уражено")+COUNTIFS('Таблиця 1'!$B:$B,$A171,'Таблиця 1'!$I:$I,"Су-27",'Таблиця 1'!$L:$L,"НЕ уражено"))</f>
        <v/>
      </c>
      <c r="T171">
        <f>IF($A171="","",COUNTIFS('Таблиця 1'!$B:$B,$A171,'Таблиця 1'!$I:$I,"Mirage",'Таблиця 1'!$L:$L,"Дорозвідується")+COUNTIFS('Таблиця 1'!$B:$B,$A171,'Таблиця 1'!$I:$I,"F-16",'Таблиця 1'!$L:$L,"Дорозвідується")+COUNTIFS('Таблиця 1'!$B:$B,$A171,'Таблиця 1'!$I:$I,"МіГ-29",'Таблиця 1'!$L:$L,"Дорозвідується")+COUNTIFS('Таблиця 1'!$B:$B,$A171,'Таблиця 1'!$I:$I,"Су-25",'Таблиця 1'!$L:$L,"Дорозвідується")+COUNTIFS('Таблиця 1'!$B:$B,$A171,'Таблиця 1'!$I:$I,"Су-27",'Таблиця 1'!$L:$L,"Дорозвідується"))</f>
        <v/>
      </c>
    </row>
    <row r="172">
      <c r="A172" s="273">
        <f>IF(A171="","",IF(A171+1&gt;MAX('Таблиця 1'!$B:$B),"",A171+1))</f>
        <v/>
      </c>
      <c r="B172">
        <f>IF($A172="","",COUNTIFS('Таблиця 1'!$B:$B,$A172,'Таблиця 1'!$I:$I,"Mirage")+COUNTIFS('Таблиця 1'!$B:$B,$A172,'Таблиця 1'!$I:$I,"F-16")+COUNTIFS('Таблиця 1'!$B:$B,$A172,'Таблиця 1'!$I:$I,"МіГ-29")+COUNTIFS('Таблиця 1'!$B:$B,$A172,'Таблиця 1'!$I:$I,"Су-25")+COUNTIFS('Таблиця 1'!$B:$B,$A172,'Таблиця 1'!$I:$I,"Су-27"))</f>
        <v/>
      </c>
      <c r="C172">
        <f>IF($A172="","",COUNTIFS('Таблиця 1'!$B:$B,$A172,'Таблиця 1'!$I:$I,"Mirage"))</f>
        <v/>
      </c>
      <c r="D172">
        <f>IF($A172="","",COUNTIFS('Таблиця 1'!$B:$B,$A172,'Таблиця 1'!$I:$I,"F-16"))</f>
        <v/>
      </c>
      <c r="E172">
        <f>IF($A172="","",COUNTIFS('Таблиця 1'!$B:$B,$A172,'Таблиця 1'!$I:$I,"МіГ-29"))</f>
        <v/>
      </c>
      <c r="F172">
        <f>IF($A172="","",COUNTIFS('Таблиця 1'!$B:$B,$A172,'Таблиця 1'!$I:$I,"Су-25"))</f>
        <v/>
      </c>
      <c r="G172">
        <f>IF($A172="","",COUNTIFS('Таблиця 1'!$B:$B,$A172,'Таблиця 1'!$I:$I,"Су-27"))</f>
        <v/>
      </c>
      <c r="H172">
        <f>IF($A172="","",SUMIFS('Таблиця 1'!$K:$K,'Таблиця 1'!$B:$B,$A172,'Таблиця 1'!$I:$I,"Mirage",'Таблиця 1'!$J:$J,"AGM-88")+SUMIFS('Таблиця 1'!$K:$K,'Таблиця 1'!$B:$B,$A172,'Таблиця 1'!$I:$I,"F-16",'Таблиця 1'!$J:$J,"AGM-88")+SUMIFS('Таблиця 1'!$K:$K,'Таблиця 1'!$B:$B,$A172,'Таблиця 1'!$I:$I,"МіГ-29",'Таблиця 1'!$J:$J,"AGM-88")+SUMIFS('Таблиця 1'!$K:$K,'Таблиця 1'!$B:$B,$A172,'Таблиця 1'!$I:$I,"Су-25",'Таблиця 1'!$J:$J,"AGM-88")+SUMIFS('Таблиця 1'!$K:$K,'Таблиця 1'!$B:$B,$A172,'Таблиця 1'!$I:$I,"Су-27",'Таблиця 1'!$J:$J,"AGM-88"))</f>
        <v/>
      </c>
      <c r="I172">
        <f>IF($A172="","",SUMIFS('Таблиця 1'!$K:$K,'Таблиця 1'!$B:$B,$A172,'Таблиця 1'!$I:$I,"Mirage",'Таблиця 1'!$J:$J,"AASM-250")+SUMIFS('Таблиця 1'!$K:$K,'Таблиця 1'!$B:$B,$A172,'Таблиця 1'!$I:$I,"F-16",'Таблиця 1'!$J:$J,"AASM-250")+SUMIFS('Таблиця 1'!$K:$K,'Таблиця 1'!$B:$B,$A172,'Таблиця 1'!$I:$I,"МіГ-29",'Таблиця 1'!$J:$J,"AASM-250")+SUMIFS('Таблиця 1'!$K:$K,'Таблиця 1'!$B:$B,$A172,'Таблиця 1'!$I:$I,"Су-25",'Таблиця 1'!$J:$J,"AASM-250")+SUMIFS('Таблиця 1'!$K:$K,'Таблиця 1'!$B:$B,$A172,'Таблиця 1'!$I:$I,"Су-27",'Таблиця 1'!$J:$J,"AASM-250"))</f>
        <v/>
      </c>
      <c r="J172">
        <f>IF($A172="","",SUMIFS('Таблиця 1'!$K:$K,'Таблиця 1'!$B:$B,$A172,'Таблиця 1'!$I:$I,"Mirage",'Таблиця 1'!$J:$J,"GBU-39")+SUMIFS('Таблиця 1'!$K:$K,'Таблиця 1'!$B:$B,$A172,'Таблиця 1'!$I:$I,"F-16",'Таблиця 1'!$J:$J,"GBU-39")+SUMIFS('Таблиця 1'!$K:$K,'Таблиця 1'!$B:$B,$A172,'Таблиця 1'!$I:$I,"МіГ-29",'Таблиця 1'!$J:$J,"GBU-39")+SUMIFS('Таблиця 1'!$K:$K,'Таблиця 1'!$B:$B,$A172,'Таблиця 1'!$I:$I,"Су-25",'Таблиця 1'!$J:$J,"GBU-39")+SUMIFS('Таблиця 1'!$K:$K,'Таблиця 1'!$B:$B,$A172,'Таблиця 1'!$I:$I,"Су-27",'Таблиця 1'!$J:$J,"GBU-39"))</f>
        <v/>
      </c>
      <c r="K172">
        <f>IF($A172="","",SUMIFS('Таблиця 1'!$K:$K,'Таблиця 1'!$B:$B,$A172,'Таблиця 1'!$I:$I,"Mirage",'Таблиця 1'!$J:$J,"BLU-140")+SUMIFS('Таблиця 1'!$K:$K,'Таблиця 1'!$B:$B,$A172,'Таблиця 1'!$I:$I,"F-16",'Таблиця 1'!$J:$J,"BLU-140")+SUMIFS('Таблиця 1'!$K:$K,'Таблиця 1'!$B:$B,$A172,'Таблиця 1'!$I:$I,"МіГ-29",'Таблиця 1'!$J:$J,"BLU-140")+SUMIFS('Таблиця 1'!$K:$K,'Таблиця 1'!$B:$B,$A172,'Таблиця 1'!$I:$I,"Су-25",'Таблиця 1'!$J:$J,"BLU-140")+SUMIFS('Таблиця 1'!$K:$K,'Таблиця 1'!$B:$B,$A172,'Таблиця 1'!$I:$I,"Су-27",'Таблиця 1'!$J:$J,"BLU-140"))</f>
        <v/>
      </c>
      <c r="L172">
        <f>IF($A172="","",SUMIFS('Таблиця 1'!$K:$K,'Таблиця 1'!$B:$B,$A172,'Таблиця 1'!$I:$I,"Mirage",'Таблиця 1'!$J:$J,"GBU-65")+SUMIFS('Таблиця 1'!$K:$K,'Таблиця 1'!$B:$B,$A172,'Таблиця 1'!$I:$I,"F-16",'Таблиця 1'!$J:$J,"GBU-65")+SUMIFS('Таблиця 1'!$K:$K,'Таблиця 1'!$B:$B,$A172,'Таблиця 1'!$I:$I,"МіГ-29",'Таблиця 1'!$J:$J,"GBU-65")+SUMIFS('Таблиця 1'!$K:$K,'Таблиця 1'!$B:$B,$A172,'Таблиця 1'!$I:$I,"Су-25",'Таблиця 1'!$J:$J,"GBU-65")+SUMIFS('Таблиця 1'!$K:$K,'Таблиця 1'!$B:$B,$A172,'Таблиця 1'!$I:$I,"Су-27",'Таблиця 1'!$J:$J,"GBU-65"))</f>
        <v/>
      </c>
      <c r="M172">
        <f>IF($A172="","",SUMIFS('Таблиця 1'!$K:$K,'Таблиця 1'!$B:$B,$A172,'Таблиця 1'!$I:$I,"Mirage",'Таблиця 1'!$J:$J,"GBU-62")+SUMIFS('Таблиця 1'!$K:$K,'Таблиця 1'!$B:$B,$A172,'Таблиця 1'!$I:$I,"F-16",'Таблиця 1'!$J:$J,"GBU-62")+SUMIFS('Таблиця 1'!$K:$K,'Таблиця 1'!$B:$B,$A172,'Таблиця 1'!$I:$I,"МіГ-29",'Таблиця 1'!$J:$J,"GBU-62")+SUMIFS('Таблиця 1'!$K:$K,'Таблиця 1'!$B:$B,$A172,'Таблиця 1'!$I:$I,"Су-25",'Таблиця 1'!$J:$J,"GBU-62")+SUMIFS('Таблиця 1'!$K:$K,'Таблиця 1'!$B:$B,$A172,'Таблиця 1'!$I:$I,"Су-27",'Таблиця 1'!$J:$J,"GBU-62"))</f>
        <v/>
      </c>
      <c r="N172">
        <f>IF($A172="","",SUMIFS('Таблиця 1'!$K:$K,'Таблиця 1'!$B:$B,$A172,'Таблиця 1'!$I:$I,"Mirage",'Таблиця 1'!$J:$J,"GBU-64")+SUMIFS('Таблиця 1'!$K:$K,'Таблиця 1'!$B:$B,$A172,'Таблиця 1'!$I:$I,"F-16",'Таблиця 1'!$J:$J,"GBU-64")+SUMIFS('Таблиця 1'!$K:$K,'Таблиця 1'!$B:$B,$A172,'Таблиця 1'!$I:$I,"МіГ-29",'Таблиця 1'!$J:$J,"GBU-64")+SUMIFS('Таблиця 1'!$K:$K,'Таблиця 1'!$B:$B,$A172,'Таблиця 1'!$I:$I,"Су-25",'Таблиця 1'!$J:$J,"GBU-64")+SUMIFS('Таблиця 1'!$K:$K,'Таблиця 1'!$B:$B,$A172,'Таблиця 1'!$I:$I,"Су-27",'Таблиця 1'!$J:$J,"GBU-64"))</f>
        <v/>
      </c>
      <c r="O172">
        <f>IF($A172="","",SUMIFS('Таблиця 1'!$K:$K,'Таблиця 1'!$B:$B,$A172,'Таблиця 1'!$I:$I,"Mirage",'Таблиця 1'!$J:$J,"C-13")+SUMIFS('Таблиця 1'!$K:$K,'Таблиця 1'!$B:$B,$A172,'Таблиця 1'!$I:$I,"F-16",'Таблиця 1'!$J:$J,"C-13")+SUMIFS('Таблиця 1'!$K:$K,'Таблиця 1'!$B:$B,$A172,'Таблиця 1'!$I:$I,"МіГ-29",'Таблиця 1'!$J:$J,"C-13")+SUMIFS('Таблиця 1'!$K:$K,'Таблиця 1'!$B:$B,$A172,'Таблиця 1'!$I:$I,"Су-25",'Таблиця 1'!$J:$J,"C-13")+SUMIFS('Таблиця 1'!$K:$K,'Таблиця 1'!$B:$B,$A172,'Таблиця 1'!$I:$I,"Су-27",'Таблиця 1'!$J:$J,"C-13"))</f>
        <v/>
      </c>
      <c r="P172">
        <f>IF($A172="","",SUMIFS('Таблиця 1'!$K:$K,'Таблиця 1'!$B:$B,$A172,'Таблиця 1'!$I:$I,"Mirage",'Таблиця 1'!$J:$J,"MK-32")+SUMIFS('Таблиця 1'!$K:$K,'Таблиця 1'!$B:$B,$A172,'Таблиця 1'!$I:$I,"F-16",'Таблиця 1'!$J:$J,"MK-32")+SUMIFS('Таблиця 1'!$K:$K,'Таблиця 1'!$B:$B,$A172,'Таблиця 1'!$I:$I,"МіГ-29",'Таблиця 1'!$J:$J,"MK-32")+SUMIFS('Таблиця 1'!$K:$K,'Таблиця 1'!$B:$B,$A172,'Таблиця 1'!$I:$I,"Су-25",'Таблиця 1'!$J:$J,"MK-32")+SUMIFS('Таблиця 1'!$K:$K,'Таблиця 1'!$B:$B,$A172,'Таблиця 1'!$I:$I,"Су-27",'Таблиця 1'!$J:$J,"MK-32"))</f>
        <v/>
      </c>
      <c r="Q172">
        <f>IF($A172="","",SUMIFS('Таблиця 1'!$K:$K,'Таблиця 1'!$B:$B,$A172,'Таблиця 1'!$I:$I,"Mirage",'Таблиця 1'!$J:$J,"MK-24")+SUMIFS('Таблиця 1'!$K:$K,'Таблиця 1'!$B:$B,$A172,'Таблиця 1'!$I:$I,"F-16",'Таблиця 1'!$J:$J,"MK-24")+SUMIFS('Таблиця 1'!$K:$K,'Таблиця 1'!$B:$B,$A172,'Таблиця 1'!$I:$I,"МіГ-29",'Таблиця 1'!$J:$J,"MK-24")+SUMIFS('Таблиця 1'!$K:$K,'Таблиця 1'!$B:$B,$A172,'Таблиця 1'!$I:$I,"Су-25",'Таблиця 1'!$J:$J,"MK-24")+SUMIFS('Таблиця 1'!$K:$K,'Таблиця 1'!$B:$B,$A172,'Таблиця 1'!$I:$I,"Су-27",'Таблиця 1'!$J:$J,"MK-24"))</f>
        <v/>
      </c>
      <c r="R172">
        <f>IF($A172="","",COUNTIFS('Таблиця 1'!$B:$B,$A172,'Таблиця 1'!$I:$I,"Mirage",'Таблиця 1'!$L:$L,"Уражено")+COUNTIFS('Таблиця 1'!$B:$B,$A172,'Таблиця 1'!$I:$I,"F-16",'Таблиця 1'!$L:$L,"Уражено")+COUNTIFS('Таблиця 1'!$B:$B,$A172,'Таблиця 1'!$I:$I,"МіГ-29",'Таблиця 1'!$L:$L,"Уражено")+COUNTIFS('Таблиця 1'!$B:$B,$A172,'Таблиця 1'!$I:$I,"Су-25",'Таблиця 1'!$L:$L,"Уражено")+COUNTIFS('Таблиця 1'!$B:$B,$A172,'Таблиця 1'!$I:$I,"Су-27",'Таблиця 1'!$L:$L,"Уражено"))</f>
        <v/>
      </c>
      <c r="S172">
        <f>IF($A172="","",COUNTIFS('Таблиця 1'!$B:$B,$A172,'Таблиця 1'!$I:$I,"Mirage",'Таблиця 1'!$L:$L,"НЕ уражено")+COUNTIFS('Таблиця 1'!$B:$B,$A172,'Таблиця 1'!$I:$I,"F-16",'Таблиця 1'!$L:$L,"НЕ уражено")+COUNTIFS('Таблиця 1'!$B:$B,$A172,'Таблиця 1'!$I:$I,"МіГ-29",'Таблиця 1'!$L:$L,"НЕ уражено")+COUNTIFS('Таблиця 1'!$B:$B,$A172,'Таблиця 1'!$I:$I,"Су-25",'Таблиця 1'!$L:$L,"НЕ уражено")+COUNTIFS('Таблиця 1'!$B:$B,$A172,'Таблиця 1'!$I:$I,"Су-27",'Таблиця 1'!$L:$L,"НЕ уражено"))</f>
        <v/>
      </c>
      <c r="T172">
        <f>IF($A172="","",COUNTIFS('Таблиця 1'!$B:$B,$A172,'Таблиця 1'!$I:$I,"Mirage",'Таблиця 1'!$L:$L,"Дорозвідується")+COUNTIFS('Таблиця 1'!$B:$B,$A172,'Таблиця 1'!$I:$I,"F-16",'Таблиця 1'!$L:$L,"Дорозвідується")+COUNTIFS('Таблиця 1'!$B:$B,$A172,'Таблиця 1'!$I:$I,"МіГ-29",'Таблиця 1'!$L:$L,"Дорозвідується")+COUNTIFS('Таблиця 1'!$B:$B,$A172,'Таблиця 1'!$I:$I,"Су-25",'Таблиця 1'!$L:$L,"Дорозвідується")+COUNTIFS('Таблиця 1'!$B:$B,$A172,'Таблиця 1'!$I:$I,"Су-27",'Таблиця 1'!$L:$L,"Дорозвідується"))</f>
        <v/>
      </c>
    </row>
    <row r="173">
      <c r="A173" s="273">
        <f>IF(A172="","",IF(A172+1&gt;MAX('Таблиця 1'!$B:$B),"",A172+1))</f>
        <v/>
      </c>
      <c r="B173">
        <f>IF($A173="","",COUNTIFS('Таблиця 1'!$B:$B,$A173,'Таблиця 1'!$I:$I,"Mirage")+COUNTIFS('Таблиця 1'!$B:$B,$A173,'Таблиця 1'!$I:$I,"F-16")+COUNTIFS('Таблиця 1'!$B:$B,$A173,'Таблиця 1'!$I:$I,"МіГ-29")+COUNTIFS('Таблиця 1'!$B:$B,$A173,'Таблиця 1'!$I:$I,"Су-25")+COUNTIFS('Таблиця 1'!$B:$B,$A173,'Таблиця 1'!$I:$I,"Су-27"))</f>
        <v/>
      </c>
      <c r="C173">
        <f>IF($A173="","",COUNTIFS('Таблиця 1'!$B:$B,$A173,'Таблиця 1'!$I:$I,"Mirage"))</f>
        <v/>
      </c>
      <c r="D173">
        <f>IF($A173="","",COUNTIFS('Таблиця 1'!$B:$B,$A173,'Таблиця 1'!$I:$I,"F-16"))</f>
        <v/>
      </c>
      <c r="E173">
        <f>IF($A173="","",COUNTIFS('Таблиця 1'!$B:$B,$A173,'Таблиця 1'!$I:$I,"МіГ-29"))</f>
        <v/>
      </c>
      <c r="F173">
        <f>IF($A173="","",COUNTIFS('Таблиця 1'!$B:$B,$A173,'Таблиця 1'!$I:$I,"Су-25"))</f>
        <v/>
      </c>
      <c r="G173">
        <f>IF($A173="","",COUNTIFS('Таблиця 1'!$B:$B,$A173,'Таблиця 1'!$I:$I,"Су-27"))</f>
        <v/>
      </c>
      <c r="H173">
        <f>IF($A173="","",SUMIFS('Таблиця 1'!$K:$K,'Таблиця 1'!$B:$B,$A173,'Таблиця 1'!$I:$I,"Mirage",'Таблиця 1'!$J:$J,"AGM-88")+SUMIFS('Таблиця 1'!$K:$K,'Таблиця 1'!$B:$B,$A173,'Таблиця 1'!$I:$I,"F-16",'Таблиця 1'!$J:$J,"AGM-88")+SUMIFS('Таблиця 1'!$K:$K,'Таблиця 1'!$B:$B,$A173,'Таблиця 1'!$I:$I,"МіГ-29",'Таблиця 1'!$J:$J,"AGM-88")+SUMIFS('Таблиця 1'!$K:$K,'Таблиця 1'!$B:$B,$A173,'Таблиця 1'!$I:$I,"Су-25",'Таблиця 1'!$J:$J,"AGM-88")+SUMIFS('Таблиця 1'!$K:$K,'Таблиця 1'!$B:$B,$A173,'Таблиця 1'!$I:$I,"Су-27",'Таблиця 1'!$J:$J,"AGM-88"))</f>
        <v/>
      </c>
      <c r="I173">
        <f>IF($A173="","",SUMIFS('Таблиця 1'!$K:$K,'Таблиця 1'!$B:$B,$A173,'Таблиця 1'!$I:$I,"Mirage",'Таблиця 1'!$J:$J,"AASM-250")+SUMIFS('Таблиця 1'!$K:$K,'Таблиця 1'!$B:$B,$A173,'Таблиця 1'!$I:$I,"F-16",'Таблиця 1'!$J:$J,"AASM-250")+SUMIFS('Таблиця 1'!$K:$K,'Таблиця 1'!$B:$B,$A173,'Таблиця 1'!$I:$I,"МіГ-29",'Таблиця 1'!$J:$J,"AASM-250")+SUMIFS('Таблиця 1'!$K:$K,'Таблиця 1'!$B:$B,$A173,'Таблиця 1'!$I:$I,"Су-25",'Таблиця 1'!$J:$J,"AASM-250")+SUMIFS('Таблиця 1'!$K:$K,'Таблиця 1'!$B:$B,$A173,'Таблиця 1'!$I:$I,"Су-27",'Таблиця 1'!$J:$J,"AASM-250"))</f>
        <v/>
      </c>
      <c r="J173">
        <f>IF($A173="","",SUMIFS('Таблиця 1'!$K:$K,'Таблиця 1'!$B:$B,$A173,'Таблиця 1'!$I:$I,"Mirage",'Таблиця 1'!$J:$J,"GBU-39")+SUMIFS('Таблиця 1'!$K:$K,'Таблиця 1'!$B:$B,$A173,'Таблиця 1'!$I:$I,"F-16",'Таблиця 1'!$J:$J,"GBU-39")+SUMIFS('Таблиця 1'!$K:$K,'Таблиця 1'!$B:$B,$A173,'Таблиця 1'!$I:$I,"МіГ-29",'Таблиця 1'!$J:$J,"GBU-39")+SUMIFS('Таблиця 1'!$K:$K,'Таблиця 1'!$B:$B,$A173,'Таблиця 1'!$I:$I,"Су-25",'Таблиця 1'!$J:$J,"GBU-39")+SUMIFS('Таблиця 1'!$K:$K,'Таблиця 1'!$B:$B,$A173,'Таблиця 1'!$I:$I,"Су-27",'Таблиця 1'!$J:$J,"GBU-39"))</f>
        <v/>
      </c>
      <c r="K173">
        <f>IF($A173="","",SUMIFS('Таблиця 1'!$K:$K,'Таблиця 1'!$B:$B,$A173,'Таблиця 1'!$I:$I,"Mirage",'Таблиця 1'!$J:$J,"BLU-140")+SUMIFS('Таблиця 1'!$K:$K,'Таблиця 1'!$B:$B,$A173,'Таблиця 1'!$I:$I,"F-16",'Таблиця 1'!$J:$J,"BLU-140")+SUMIFS('Таблиця 1'!$K:$K,'Таблиця 1'!$B:$B,$A173,'Таблиця 1'!$I:$I,"МіГ-29",'Таблиця 1'!$J:$J,"BLU-140")+SUMIFS('Таблиця 1'!$K:$K,'Таблиця 1'!$B:$B,$A173,'Таблиця 1'!$I:$I,"Су-25",'Таблиця 1'!$J:$J,"BLU-140")+SUMIFS('Таблиця 1'!$K:$K,'Таблиця 1'!$B:$B,$A173,'Таблиця 1'!$I:$I,"Су-27",'Таблиця 1'!$J:$J,"BLU-140"))</f>
        <v/>
      </c>
      <c r="L173">
        <f>IF($A173="","",SUMIFS('Таблиця 1'!$K:$K,'Таблиця 1'!$B:$B,$A173,'Таблиця 1'!$I:$I,"Mirage",'Таблиця 1'!$J:$J,"GBU-65")+SUMIFS('Таблиця 1'!$K:$K,'Таблиця 1'!$B:$B,$A173,'Таблиця 1'!$I:$I,"F-16",'Таблиця 1'!$J:$J,"GBU-65")+SUMIFS('Таблиця 1'!$K:$K,'Таблиця 1'!$B:$B,$A173,'Таблиця 1'!$I:$I,"МіГ-29",'Таблиця 1'!$J:$J,"GBU-65")+SUMIFS('Таблиця 1'!$K:$K,'Таблиця 1'!$B:$B,$A173,'Таблиця 1'!$I:$I,"Су-25",'Таблиця 1'!$J:$J,"GBU-65")+SUMIFS('Таблиця 1'!$K:$K,'Таблиця 1'!$B:$B,$A173,'Таблиця 1'!$I:$I,"Су-27",'Таблиця 1'!$J:$J,"GBU-65"))</f>
        <v/>
      </c>
      <c r="M173">
        <f>IF($A173="","",SUMIFS('Таблиця 1'!$K:$K,'Таблиця 1'!$B:$B,$A173,'Таблиця 1'!$I:$I,"Mirage",'Таблиця 1'!$J:$J,"GBU-62")+SUMIFS('Таблиця 1'!$K:$K,'Таблиця 1'!$B:$B,$A173,'Таблиця 1'!$I:$I,"F-16",'Таблиця 1'!$J:$J,"GBU-62")+SUMIFS('Таблиця 1'!$K:$K,'Таблиця 1'!$B:$B,$A173,'Таблиця 1'!$I:$I,"МіГ-29",'Таблиця 1'!$J:$J,"GBU-62")+SUMIFS('Таблиця 1'!$K:$K,'Таблиця 1'!$B:$B,$A173,'Таблиця 1'!$I:$I,"Су-25",'Таблиця 1'!$J:$J,"GBU-62")+SUMIFS('Таблиця 1'!$K:$K,'Таблиця 1'!$B:$B,$A173,'Таблиця 1'!$I:$I,"Су-27",'Таблиця 1'!$J:$J,"GBU-62"))</f>
        <v/>
      </c>
      <c r="N173">
        <f>IF($A173="","",SUMIFS('Таблиця 1'!$K:$K,'Таблиця 1'!$B:$B,$A173,'Таблиця 1'!$I:$I,"Mirage",'Таблиця 1'!$J:$J,"GBU-64")+SUMIFS('Таблиця 1'!$K:$K,'Таблиця 1'!$B:$B,$A173,'Таблиця 1'!$I:$I,"F-16",'Таблиця 1'!$J:$J,"GBU-64")+SUMIFS('Таблиця 1'!$K:$K,'Таблиця 1'!$B:$B,$A173,'Таблиця 1'!$I:$I,"МіГ-29",'Таблиця 1'!$J:$J,"GBU-64")+SUMIFS('Таблиця 1'!$K:$K,'Таблиця 1'!$B:$B,$A173,'Таблиця 1'!$I:$I,"Су-25",'Таблиця 1'!$J:$J,"GBU-64")+SUMIFS('Таблиця 1'!$K:$K,'Таблиця 1'!$B:$B,$A173,'Таблиця 1'!$I:$I,"Су-27",'Таблиця 1'!$J:$J,"GBU-64"))</f>
        <v/>
      </c>
      <c r="O173">
        <f>IF($A173="","",SUMIFS('Таблиця 1'!$K:$K,'Таблиця 1'!$B:$B,$A173,'Таблиця 1'!$I:$I,"Mirage",'Таблиця 1'!$J:$J,"C-13")+SUMIFS('Таблиця 1'!$K:$K,'Таблиця 1'!$B:$B,$A173,'Таблиця 1'!$I:$I,"F-16",'Таблиця 1'!$J:$J,"C-13")+SUMIFS('Таблиця 1'!$K:$K,'Таблиця 1'!$B:$B,$A173,'Таблиця 1'!$I:$I,"МіГ-29",'Таблиця 1'!$J:$J,"C-13")+SUMIFS('Таблиця 1'!$K:$K,'Таблиця 1'!$B:$B,$A173,'Таблиця 1'!$I:$I,"Су-25",'Таблиця 1'!$J:$J,"C-13")+SUMIFS('Таблиця 1'!$K:$K,'Таблиця 1'!$B:$B,$A173,'Таблиця 1'!$I:$I,"Су-27",'Таблиця 1'!$J:$J,"C-13"))</f>
        <v/>
      </c>
      <c r="P173">
        <f>IF($A173="","",SUMIFS('Таблиця 1'!$K:$K,'Таблиця 1'!$B:$B,$A173,'Таблиця 1'!$I:$I,"Mirage",'Таблиця 1'!$J:$J,"MK-32")+SUMIFS('Таблиця 1'!$K:$K,'Таблиця 1'!$B:$B,$A173,'Таблиця 1'!$I:$I,"F-16",'Таблиця 1'!$J:$J,"MK-32")+SUMIFS('Таблиця 1'!$K:$K,'Таблиця 1'!$B:$B,$A173,'Таблиця 1'!$I:$I,"МіГ-29",'Таблиця 1'!$J:$J,"MK-32")+SUMIFS('Таблиця 1'!$K:$K,'Таблиця 1'!$B:$B,$A173,'Таблиця 1'!$I:$I,"Су-25",'Таблиця 1'!$J:$J,"MK-32")+SUMIFS('Таблиця 1'!$K:$K,'Таблиця 1'!$B:$B,$A173,'Таблиця 1'!$I:$I,"Су-27",'Таблиця 1'!$J:$J,"MK-32"))</f>
        <v/>
      </c>
      <c r="Q173">
        <f>IF($A173="","",SUMIFS('Таблиця 1'!$K:$K,'Таблиця 1'!$B:$B,$A173,'Таблиця 1'!$I:$I,"Mirage",'Таблиця 1'!$J:$J,"MK-24")+SUMIFS('Таблиця 1'!$K:$K,'Таблиця 1'!$B:$B,$A173,'Таблиця 1'!$I:$I,"F-16",'Таблиця 1'!$J:$J,"MK-24")+SUMIFS('Таблиця 1'!$K:$K,'Таблиця 1'!$B:$B,$A173,'Таблиця 1'!$I:$I,"МіГ-29",'Таблиця 1'!$J:$J,"MK-24")+SUMIFS('Таблиця 1'!$K:$K,'Таблиця 1'!$B:$B,$A173,'Таблиця 1'!$I:$I,"Су-25",'Таблиця 1'!$J:$J,"MK-24")+SUMIFS('Таблиця 1'!$K:$K,'Таблиця 1'!$B:$B,$A173,'Таблиця 1'!$I:$I,"Су-27",'Таблиця 1'!$J:$J,"MK-24"))</f>
        <v/>
      </c>
      <c r="R173">
        <f>IF($A173="","",COUNTIFS('Таблиця 1'!$B:$B,$A173,'Таблиця 1'!$I:$I,"Mirage",'Таблиця 1'!$L:$L,"Уражено")+COUNTIFS('Таблиця 1'!$B:$B,$A173,'Таблиця 1'!$I:$I,"F-16",'Таблиця 1'!$L:$L,"Уражено")+COUNTIFS('Таблиця 1'!$B:$B,$A173,'Таблиця 1'!$I:$I,"МіГ-29",'Таблиця 1'!$L:$L,"Уражено")+COUNTIFS('Таблиця 1'!$B:$B,$A173,'Таблиця 1'!$I:$I,"Су-25",'Таблиця 1'!$L:$L,"Уражено")+COUNTIFS('Таблиця 1'!$B:$B,$A173,'Таблиця 1'!$I:$I,"Су-27",'Таблиця 1'!$L:$L,"Уражено"))</f>
        <v/>
      </c>
      <c r="S173">
        <f>IF($A173="","",COUNTIFS('Таблиця 1'!$B:$B,$A173,'Таблиця 1'!$I:$I,"Mirage",'Таблиця 1'!$L:$L,"НЕ уражено")+COUNTIFS('Таблиця 1'!$B:$B,$A173,'Таблиця 1'!$I:$I,"F-16",'Таблиця 1'!$L:$L,"НЕ уражено")+COUNTIFS('Таблиця 1'!$B:$B,$A173,'Таблиця 1'!$I:$I,"МіГ-29",'Таблиця 1'!$L:$L,"НЕ уражено")+COUNTIFS('Таблиця 1'!$B:$B,$A173,'Таблиця 1'!$I:$I,"Су-25",'Таблиця 1'!$L:$L,"НЕ уражено")+COUNTIFS('Таблиця 1'!$B:$B,$A173,'Таблиця 1'!$I:$I,"Су-27",'Таблиця 1'!$L:$L,"НЕ уражено"))</f>
        <v/>
      </c>
      <c r="T173">
        <f>IF($A173="","",COUNTIFS('Таблиця 1'!$B:$B,$A173,'Таблиця 1'!$I:$I,"Mirage",'Таблиця 1'!$L:$L,"Дорозвідується")+COUNTIFS('Таблиця 1'!$B:$B,$A173,'Таблиця 1'!$I:$I,"F-16",'Таблиця 1'!$L:$L,"Дорозвідується")+COUNTIFS('Таблиця 1'!$B:$B,$A173,'Таблиця 1'!$I:$I,"МіГ-29",'Таблиця 1'!$L:$L,"Дорозвідується")+COUNTIFS('Таблиця 1'!$B:$B,$A173,'Таблиця 1'!$I:$I,"Су-25",'Таблиця 1'!$L:$L,"Дорозвідується")+COUNTIFS('Таблиця 1'!$B:$B,$A173,'Таблиця 1'!$I:$I,"Су-27",'Таблиця 1'!$L:$L,"Дорозвідується"))</f>
        <v/>
      </c>
    </row>
    <row r="174">
      <c r="A174" s="273">
        <f>IF(A173="","",IF(A173+1&gt;MAX('Таблиця 1'!$B:$B),"",A173+1))</f>
        <v/>
      </c>
      <c r="B174">
        <f>IF($A174="","",COUNTIFS('Таблиця 1'!$B:$B,$A174,'Таблиця 1'!$I:$I,"Mirage")+COUNTIFS('Таблиця 1'!$B:$B,$A174,'Таблиця 1'!$I:$I,"F-16")+COUNTIFS('Таблиця 1'!$B:$B,$A174,'Таблиця 1'!$I:$I,"МіГ-29")+COUNTIFS('Таблиця 1'!$B:$B,$A174,'Таблиця 1'!$I:$I,"Су-25")+COUNTIFS('Таблиця 1'!$B:$B,$A174,'Таблиця 1'!$I:$I,"Су-27"))</f>
        <v/>
      </c>
      <c r="C174">
        <f>IF($A174="","",COUNTIFS('Таблиця 1'!$B:$B,$A174,'Таблиця 1'!$I:$I,"Mirage"))</f>
        <v/>
      </c>
      <c r="D174">
        <f>IF($A174="","",COUNTIFS('Таблиця 1'!$B:$B,$A174,'Таблиця 1'!$I:$I,"F-16"))</f>
        <v/>
      </c>
      <c r="E174">
        <f>IF($A174="","",COUNTIFS('Таблиця 1'!$B:$B,$A174,'Таблиця 1'!$I:$I,"МіГ-29"))</f>
        <v/>
      </c>
      <c r="F174">
        <f>IF($A174="","",COUNTIFS('Таблиця 1'!$B:$B,$A174,'Таблиця 1'!$I:$I,"Су-25"))</f>
        <v/>
      </c>
      <c r="G174">
        <f>IF($A174="","",COUNTIFS('Таблиця 1'!$B:$B,$A174,'Таблиця 1'!$I:$I,"Су-27"))</f>
        <v/>
      </c>
      <c r="H174">
        <f>IF($A174="","",SUMIFS('Таблиця 1'!$K:$K,'Таблиця 1'!$B:$B,$A174,'Таблиця 1'!$I:$I,"Mirage",'Таблиця 1'!$J:$J,"AGM-88")+SUMIFS('Таблиця 1'!$K:$K,'Таблиця 1'!$B:$B,$A174,'Таблиця 1'!$I:$I,"F-16",'Таблиця 1'!$J:$J,"AGM-88")+SUMIFS('Таблиця 1'!$K:$K,'Таблиця 1'!$B:$B,$A174,'Таблиця 1'!$I:$I,"МіГ-29",'Таблиця 1'!$J:$J,"AGM-88")+SUMIFS('Таблиця 1'!$K:$K,'Таблиця 1'!$B:$B,$A174,'Таблиця 1'!$I:$I,"Су-25",'Таблиця 1'!$J:$J,"AGM-88")+SUMIFS('Таблиця 1'!$K:$K,'Таблиця 1'!$B:$B,$A174,'Таблиця 1'!$I:$I,"Су-27",'Таблиця 1'!$J:$J,"AGM-88"))</f>
        <v/>
      </c>
      <c r="I174">
        <f>IF($A174="","",SUMIFS('Таблиця 1'!$K:$K,'Таблиця 1'!$B:$B,$A174,'Таблиця 1'!$I:$I,"Mirage",'Таблиця 1'!$J:$J,"AASM-250")+SUMIFS('Таблиця 1'!$K:$K,'Таблиця 1'!$B:$B,$A174,'Таблиця 1'!$I:$I,"F-16",'Таблиця 1'!$J:$J,"AASM-250")+SUMIFS('Таблиця 1'!$K:$K,'Таблиця 1'!$B:$B,$A174,'Таблиця 1'!$I:$I,"МіГ-29",'Таблиця 1'!$J:$J,"AASM-250")+SUMIFS('Таблиця 1'!$K:$K,'Таблиця 1'!$B:$B,$A174,'Таблиця 1'!$I:$I,"Су-25",'Таблиця 1'!$J:$J,"AASM-250")+SUMIFS('Таблиця 1'!$K:$K,'Таблиця 1'!$B:$B,$A174,'Таблиця 1'!$I:$I,"Су-27",'Таблиця 1'!$J:$J,"AASM-250"))</f>
        <v/>
      </c>
      <c r="J174">
        <f>IF($A174="","",SUMIFS('Таблиця 1'!$K:$K,'Таблиця 1'!$B:$B,$A174,'Таблиця 1'!$I:$I,"Mirage",'Таблиця 1'!$J:$J,"GBU-39")+SUMIFS('Таблиця 1'!$K:$K,'Таблиця 1'!$B:$B,$A174,'Таблиця 1'!$I:$I,"F-16",'Таблиця 1'!$J:$J,"GBU-39")+SUMIFS('Таблиця 1'!$K:$K,'Таблиця 1'!$B:$B,$A174,'Таблиця 1'!$I:$I,"МіГ-29",'Таблиця 1'!$J:$J,"GBU-39")+SUMIFS('Таблиця 1'!$K:$K,'Таблиця 1'!$B:$B,$A174,'Таблиця 1'!$I:$I,"Су-25",'Таблиця 1'!$J:$J,"GBU-39")+SUMIFS('Таблиця 1'!$K:$K,'Таблиця 1'!$B:$B,$A174,'Таблиця 1'!$I:$I,"Су-27",'Таблиця 1'!$J:$J,"GBU-39"))</f>
        <v/>
      </c>
      <c r="K174">
        <f>IF($A174="","",SUMIFS('Таблиця 1'!$K:$K,'Таблиця 1'!$B:$B,$A174,'Таблиця 1'!$I:$I,"Mirage",'Таблиця 1'!$J:$J,"BLU-140")+SUMIFS('Таблиця 1'!$K:$K,'Таблиця 1'!$B:$B,$A174,'Таблиця 1'!$I:$I,"F-16",'Таблиця 1'!$J:$J,"BLU-140")+SUMIFS('Таблиця 1'!$K:$K,'Таблиця 1'!$B:$B,$A174,'Таблиця 1'!$I:$I,"МіГ-29",'Таблиця 1'!$J:$J,"BLU-140")+SUMIFS('Таблиця 1'!$K:$K,'Таблиця 1'!$B:$B,$A174,'Таблиця 1'!$I:$I,"Су-25",'Таблиця 1'!$J:$J,"BLU-140")+SUMIFS('Таблиця 1'!$K:$K,'Таблиця 1'!$B:$B,$A174,'Таблиця 1'!$I:$I,"Су-27",'Таблиця 1'!$J:$J,"BLU-140"))</f>
        <v/>
      </c>
      <c r="L174">
        <f>IF($A174="","",SUMIFS('Таблиця 1'!$K:$K,'Таблиця 1'!$B:$B,$A174,'Таблиця 1'!$I:$I,"Mirage",'Таблиця 1'!$J:$J,"GBU-65")+SUMIFS('Таблиця 1'!$K:$K,'Таблиця 1'!$B:$B,$A174,'Таблиця 1'!$I:$I,"F-16",'Таблиця 1'!$J:$J,"GBU-65")+SUMIFS('Таблиця 1'!$K:$K,'Таблиця 1'!$B:$B,$A174,'Таблиця 1'!$I:$I,"МіГ-29",'Таблиця 1'!$J:$J,"GBU-65")+SUMIFS('Таблиця 1'!$K:$K,'Таблиця 1'!$B:$B,$A174,'Таблиця 1'!$I:$I,"Су-25",'Таблиця 1'!$J:$J,"GBU-65")+SUMIFS('Таблиця 1'!$K:$K,'Таблиця 1'!$B:$B,$A174,'Таблиця 1'!$I:$I,"Су-27",'Таблиця 1'!$J:$J,"GBU-65"))</f>
        <v/>
      </c>
      <c r="M174">
        <f>IF($A174="","",SUMIFS('Таблиця 1'!$K:$K,'Таблиця 1'!$B:$B,$A174,'Таблиця 1'!$I:$I,"Mirage",'Таблиця 1'!$J:$J,"GBU-62")+SUMIFS('Таблиця 1'!$K:$K,'Таблиця 1'!$B:$B,$A174,'Таблиця 1'!$I:$I,"F-16",'Таблиця 1'!$J:$J,"GBU-62")+SUMIFS('Таблиця 1'!$K:$K,'Таблиця 1'!$B:$B,$A174,'Таблиця 1'!$I:$I,"МіГ-29",'Таблиця 1'!$J:$J,"GBU-62")+SUMIFS('Таблиця 1'!$K:$K,'Таблиця 1'!$B:$B,$A174,'Таблиця 1'!$I:$I,"Су-25",'Таблиця 1'!$J:$J,"GBU-62")+SUMIFS('Таблиця 1'!$K:$K,'Таблиця 1'!$B:$B,$A174,'Таблиця 1'!$I:$I,"Су-27",'Таблиця 1'!$J:$J,"GBU-62"))</f>
        <v/>
      </c>
      <c r="N174">
        <f>IF($A174="","",SUMIFS('Таблиця 1'!$K:$K,'Таблиця 1'!$B:$B,$A174,'Таблиця 1'!$I:$I,"Mirage",'Таблиця 1'!$J:$J,"GBU-64")+SUMIFS('Таблиця 1'!$K:$K,'Таблиця 1'!$B:$B,$A174,'Таблиця 1'!$I:$I,"F-16",'Таблиця 1'!$J:$J,"GBU-64")+SUMIFS('Таблиця 1'!$K:$K,'Таблиця 1'!$B:$B,$A174,'Таблиця 1'!$I:$I,"МіГ-29",'Таблиця 1'!$J:$J,"GBU-64")+SUMIFS('Таблиця 1'!$K:$K,'Таблиця 1'!$B:$B,$A174,'Таблиця 1'!$I:$I,"Су-25",'Таблиця 1'!$J:$J,"GBU-64")+SUMIFS('Таблиця 1'!$K:$K,'Таблиця 1'!$B:$B,$A174,'Таблиця 1'!$I:$I,"Су-27",'Таблиця 1'!$J:$J,"GBU-64"))</f>
        <v/>
      </c>
      <c r="O174">
        <f>IF($A174="","",SUMIFS('Таблиця 1'!$K:$K,'Таблиця 1'!$B:$B,$A174,'Таблиця 1'!$I:$I,"Mirage",'Таблиця 1'!$J:$J,"C-13")+SUMIFS('Таблиця 1'!$K:$K,'Таблиця 1'!$B:$B,$A174,'Таблиця 1'!$I:$I,"F-16",'Таблиця 1'!$J:$J,"C-13")+SUMIFS('Таблиця 1'!$K:$K,'Таблиця 1'!$B:$B,$A174,'Таблиця 1'!$I:$I,"МіГ-29",'Таблиця 1'!$J:$J,"C-13")+SUMIFS('Таблиця 1'!$K:$K,'Таблиця 1'!$B:$B,$A174,'Таблиця 1'!$I:$I,"Су-25",'Таблиця 1'!$J:$J,"C-13")+SUMIFS('Таблиця 1'!$K:$K,'Таблиця 1'!$B:$B,$A174,'Таблиця 1'!$I:$I,"Су-27",'Таблиця 1'!$J:$J,"C-13"))</f>
        <v/>
      </c>
      <c r="P174">
        <f>IF($A174="","",SUMIFS('Таблиця 1'!$K:$K,'Таблиця 1'!$B:$B,$A174,'Таблиця 1'!$I:$I,"Mirage",'Таблиця 1'!$J:$J,"MK-32")+SUMIFS('Таблиця 1'!$K:$K,'Таблиця 1'!$B:$B,$A174,'Таблиця 1'!$I:$I,"F-16",'Таблиця 1'!$J:$J,"MK-32")+SUMIFS('Таблиця 1'!$K:$K,'Таблиця 1'!$B:$B,$A174,'Таблиця 1'!$I:$I,"МіГ-29",'Таблиця 1'!$J:$J,"MK-32")+SUMIFS('Таблиця 1'!$K:$K,'Таблиця 1'!$B:$B,$A174,'Таблиця 1'!$I:$I,"Су-25",'Таблиця 1'!$J:$J,"MK-32")+SUMIFS('Таблиця 1'!$K:$K,'Таблиця 1'!$B:$B,$A174,'Таблиця 1'!$I:$I,"Су-27",'Таблиця 1'!$J:$J,"MK-32"))</f>
        <v/>
      </c>
      <c r="Q174">
        <f>IF($A174="","",SUMIFS('Таблиця 1'!$K:$K,'Таблиця 1'!$B:$B,$A174,'Таблиця 1'!$I:$I,"Mirage",'Таблиця 1'!$J:$J,"MK-24")+SUMIFS('Таблиця 1'!$K:$K,'Таблиця 1'!$B:$B,$A174,'Таблиця 1'!$I:$I,"F-16",'Таблиця 1'!$J:$J,"MK-24")+SUMIFS('Таблиця 1'!$K:$K,'Таблиця 1'!$B:$B,$A174,'Таблиця 1'!$I:$I,"МіГ-29",'Таблиця 1'!$J:$J,"MK-24")+SUMIFS('Таблиця 1'!$K:$K,'Таблиця 1'!$B:$B,$A174,'Таблиця 1'!$I:$I,"Су-25",'Таблиця 1'!$J:$J,"MK-24")+SUMIFS('Таблиця 1'!$K:$K,'Таблиця 1'!$B:$B,$A174,'Таблиця 1'!$I:$I,"Су-27",'Таблиця 1'!$J:$J,"MK-24"))</f>
        <v/>
      </c>
      <c r="R174">
        <f>IF($A174="","",COUNTIFS('Таблиця 1'!$B:$B,$A174,'Таблиця 1'!$I:$I,"Mirage",'Таблиця 1'!$L:$L,"Уражено")+COUNTIFS('Таблиця 1'!$B:$B,$A174,'Таблиця 1'!$I:$I,"F-16",'Таблиця 1'!$L:$L,"Уражено")+COUNTIFS('Таблиця 1'!$B:$B,$A174,'Таблиця 1'!$I:$I,"МіГ-29",'Таблиця 1'!$L:$L,"Уражено")+COUNTIFS('Таблиця 1'!$B:$B,$A174,'Таблиця 1'!$I:$I,"Су-25",'Таблиця 1'!$L:$L,"Уражено")+COUNTIFS('Таблиця 1'!$B:$B,$A174,'Таблиця 1'!$I:$I,"Су-27",'Таблиця 1'!$L:$L,"Уражено"))</f>
        <v/>
      </c>
      <c r="S174">
        <f>IF($A174="","",COUNTIFS('Таблиця 1'!$B:$B,$A174,'Таблиця 1'!$I:$I,"Mirage",'Таблиця 1'!$L:$L,"НЕ уражено")+COUNTIFS('Таблиця 1'!$B:$B,$A174,'Таблиця 1'!$I:$I,"F-16",'Таблиця 1'!$L:$L,"НЕ уражено")+COUNTIFS('Таблиця 1'!$B:$B,$A174,'Таблиця 1'!$I:$I,"МіГ-29",'Таблиця 1'!$L:$L,"НЕ уражено")+COUNTIFS('Таблиця 1'!$B:$B,$A174,'Таблиця 1'!$I:$I,"Су-25",'Таблиця 1'!$L:$L,"НЕ уражено")+COUNTIFS('Таблиця 1'!$B:$B,$A174,'Таблиця 1'!$I:$I,"Су-27",'Таблиця 1'!$L:$L,"НЕ уражено"))</f>
        <v/>
      </c>
      <c r="T174">
        <f>IF($A174="","",COUNTIFS('Таблиця 1'!$B:$B,$A174,'Таблиця 1'!$I:$I,"Mirage",'Таблиця 1'!$L:$L,"Дорозвідується")+COUNTIFS('Таблиця 1'!$B:$B,$A174,'Таблиця 1'!$I:$I,"F-16",'Таблиця 1'!$L:$L,"Дорозвідується")+COUNTIFS('Таблиця 1'!$B:$B,$A174,'Таблиця 1'!$I:$I,"МіГ-29",'Таблиця 1'!$L:$L,"Дорозвідується")+COUNTIFS('Таблиця 1'!$B:$B,$A174,'Таблиця 1'!$I:$I,"Су-25",'Таблиця 1'!$L:$L,"Дорозвідується")+COUNTIFS('Таблиця 1'!$B:$B,$A174,'Таблиця 1'!$I:$I,"Су-27",'Таблиця 1'!$L:$L,"Дорозвідується"))</f>
        <v/>
      </c>
    </row>
    <row r="175">
      <c r="A175" s="273">
        <f>IF(A174="","",IF(A174+1&gt;MAX('Таблиця 1'!$B:$B),"",A174+1))</f>
        <v/>
      </c>
      <c r="B175">
        <f>IF($A175="","",COUNTIFS('Таблиця 1'!$B:$B,$A175,'Таблиця 1'!$I:$I,"Mirage")+COUNTIFS('Таблиця 1'!$B:$B,$A175,'Таблиця 1'!$I:$I,"F-16")+COUNTIFS('Таблиця 1'!$B:$B,$A175,'Таблиця 1'!$I:$I,"МіГ-29")+COUNTIFS('Таблиця 1'!$B:$B,$A175,'Таблиця 1'!$I:$I,"Су-25")+COUNTIFS('Таблиця 1'!$B:$B,$A175,'Таблиця 1'!$I:$I,"Су-27"))</f>
        <v/>
      </c>
      <c r="C175">
        <f>IF($A175="","",COUNTIFS('Таблиця 1'!$B:$B,$A175,'Таблиця 1'!$I:$I,"Mirage"))</f>
        <v/>
      </c>
      <c r="D175">
        <f>IF($A175="","",COUNTIFS('Таблиця 1'!$B:$B,$A175,'Таблиця 1'!$I:$I,"F-16"))</f>
        <v/>
      </c>
      <c r="E175">
        <f>IF($A175="","",COUNTIFS('Таблиця 1'!$B:$B,$A175,'Таблиця 1'!$I:$I,"МіГ-29"))</f>
        <v/>
      </c>
      <c r="F175">
        <f>IF($A175="","",COUNTIFS('Таблиця 1'!$B:$B,$A175,'Таблиця 1'!$I:$I,"Су-25"))</f>
        <v/>
      </c>
      <c r="G175">
        <f>IF($A175="","",COUNTIFS('Таблиця 1'!$B:$B,$A175,'Таблиця 1'!$I:$I,"Су-27"))</f>
        <v/>
      </c>
      <c r="H175">
        <f>IF($A175="","",SUMIFS('Таблиця 1'!$K:$K,'Таблиця 1'!$B:$B,$A175,'Таблиця 1'!$I:$I,"Mirage",'Таблиця 1'!$J:$J,"AGM-88")+SUMIFS('Таблиця 1'!$K:$K,'Таблиця 1'!$B:$B,$A175,'Таблиця 1'!$I:$I,"F-16",'Таблиця 1'!$J:$J,"AGM-88")+SUMIFS('Таблиця 1'!$K:$K,'Таблиця 1'!$B:$B,$A175,'Таблиця 1'!$I:$I,"МіГ-29",'Таблиця 1'!$J:$J,"AGM-88")+SUMIFS('Таблиця 1'!$K:$K,'Таблиця 1'!$B:$B,$A175,'Таблиця 1'!$I:$I,"Су-25",'Таблиця 1'!$J:$J,"AGM-88")+SUMIFS('Таблиця 1'!$K:$K,'Таблиця 1'!$B:$B,$A175,'Таблиця 1'!$I:$I,"Су-27",'Таблиця 1'!$J:$J,"AGM-88"))</f>
        <v/>
      </c>
      <c r="I175">
        <f>IF($A175="","",SUMIFS('Таблиця 1'!$K:$K,'Таблиця 1'!$B:$B,$A175,'Таблиця 1'!$I:$I,"Mirage",'Таблиця 1'!$J:$J,"AASM-250")+SUMIFS('Таблиця 1'!$K:$K,'Таблиця 1'!$B:$B,$A175,'Таблиця 1'!$I:$I,"F-16",'Таблиця 1'!$J:$J,"AASM-250")+SUMIFS('Таблиця 1'!$K:$K,'Таблиця 1'!$B:$B,$A175,'Таблиця 1'!$I:$I,"МіГ-29",'Таблиця 1'!$J:$J,"AASM-250")+SUMIFS('Таблиця 1'!$K:$K,'Таблиця 1'!$B:$B,$A175,'Таблиця 1'!$I:$I,"Су-25",'Таблиця 1'!$J:$J,"AASM-250")+SUMIFS('Таблиця 1'!$K:$K,'Таблиця 1'!$B:$B,$A175,'Таблиця 1'!$I:$I,"Су-27",'Таблиця 1'!$J:$J,"AASM-250"))</f>
        <v/>
      </c>
      <c r="J175">
        <f>IF($A175="","",SUMIFS('Таблиця 1'!$K:$K,'Таблиця 1'!$B:$B,$A175,'Таблиця 1'!$I:$I,"Mirage",'Таблиця 1'!$J:$J,"GBU-39")+SUMIFS('Таблиця 1'!$K:$K,'Таблиця 1'!$B:$B,$A175,'Таблиця 1'!$I:$I,"F-16",'Таблиця 1'!$J:$J,"GBU-39")+SUMIFS('Таблиця 1'!$K:$K,'Таблиця 1'!$B:$B,$A175,'Таблиця 1'!$I:$I,"МіГ-29",'Таблиця 1'!$J:$J,"GBU-39")+SUMIFS('Таблиця 1'!$K:$K,'Таблиця 1'!$B:$B,$A175,'Таблиця 1'!$I:$I,"Су-25",'Таблиця 1'!$J:$J,"GBU-39")+SUMIFS('Таблиця 1'!$K:$K,'Таблиця 1'!$B:$B,$A175,'Таблиця 1'!$I:$I,"Су-27",'Таблиця 1'!$J:$J,"GBU-39"))</f>
        <v/>
      </c>
      <c r="K175">
        <f>IF($A175="","",SUMIFS('Таблиця 1'!$K:$K,'Таблиця 1'!$B:$B,$A175,'Таблиця 1'!$I:$I,"Mirage",'Таблиця 1'!$J:$J,"BLU-140")+SUMIFS('Таблиця 1'!$K:$K,'Таблиця 1'!$B:$B,$A175,'Таблиця 1'!$I:$I,"F-16",'Таблиця 1'!$J:$J,"BLU-140")+SUMIFS('Таблиця 1'!$K:$K,'Таблиця 1'!$B:$B,$A175,'Таблиця 1'!$I:$I,"МіГ-29",'Таблиця 1'!$J:$J,"BLU-140")+SUMIFS('Таблиця 1'!$K:$K,'Таблиця 1'!$B:$B,$A175,'Таблиця 1'!$I:$I,"Су-25",'Таблиця 1'!$J:$J,"BLU-140")+SUMIFS('Таблиця 1'!$K:$K,'Таблиця 1'!$B:$B,$A175,'Таблиця 1'!$I:$I,"Су-27",'Таблиця 1'!$J:$J,"BLU-140"))</f>
        <v/>
      </c>
      <c r="L175">
        <f>IF($A175="","",SUMIFS('Таблиця 1'!$K:$K,'Таблиця 1'!$B:$B,$A175,'Таблиця 1'!$I:$I,"Mirage",'Таблиця 1'!$J:$J,"GBU-65")+SUMIFS('Таблиця 1'!$K:$K,'Таблиця 1'!$B:$B,$A175,'Таблиця 1'!$I:$I,"F-16",'Таблиця 1'!$J:$J,"GBU-65")+SUMIFS('Таблиця 1'!$K:$K,'Таблиця 1'!$B:$B,$A175,'Таблиця 1'!$I:$I,"МіГ-29",'Таблиця 1'!$J:$J,"GBU-65")+SUMIFS('Таблиця 1'!$K:$K,'Таблиця 1'!$B:$B,$A175,'Таблиця 1'!$I:$I,"Су-25",'Таблиця 1'!$J:$J,"GBU-65")+SUMIFS('Таблиця 1'!$K:$K,'Таблиця 1'!$B:$B,$A175,'Таблиця 1'!$I:$I,"Су-27",'Таблиця 1'!$J:$J,"GBU-65"))</f>
        <v/>
      </c>
      <c r="M175">
        <f>IF($A175="","",SUMIFS('Таблиця 1'!$K:$K,'Таблиця 1'!$B:$B,$A175,'Таблиця 1'!$I:$I,"Mirage",'Таблиця 1'!$J:$J,"GBU-62")+SUMIFS('Таблиця 1'!$K:$K,'Таблиця 1'!$B:$B,$A175,'Таблиця 1'!$I:$I,"F-16",'Таблиця 1'!$J:$J,"GBU-62")+SUMIFS('Таблиця 1'!$K:$K,'Таблиця 1'!$B:$B,$A175,'Таблиця 1'!$I:$I,"МіГ-29",'Таблиця 1'!$J:$J,"GBU-62")+SUMIFS('Таблиця 1'!$K:$K,'Таблиця 1'!$B:$B,$A175,'Таблиця 1'!$I:$I,"Су-25",'Таблиця 1'!$J:$J,"GBU-62")+SUMIFS('Таблиця 1'!$K:$K,'Таблиця 1'!$B:$B,$A175,'Таблиця 1'!$I:$I,"Су-27",'Таблиця 1'!$J:$J,"GBU-62"))</f>
        <v/>
      </c>
      <c r="N175">
        <f>IF($A175="","",SUMIFS('Таблиця 1'!$K:$K,'Таблиця 1'!$B:$B,$A175,'Таблиця 1'!$I:$I,"Mirage",'Таблиця 1'!$J:$J,"GBU-64")+SUMIFS('Таблиця 1'!$K:$K,'Таблиця 1'!$B:$B,$A175,'Таблиця 1'!$I:$I,"F-16",'Таблиця 1'!$J:$J,"GBU-64")+SUMIFS('Таблиця 1'!$K:$K,'Таблиця 1'!$B:$B,$A175,'Таблиця 1'!$I:$I,"МіГ-29",'Таблиця 1'!$J:$J,"GBU-64")+SUMIFS('Таблиця 1'!$K:$K,'Таблиця 1'!$B:$B,$A175,'Таблиця 1'!$I:$I,"Су-25",'Таблиця 1'!$J:$J,"GBU-64")+SUMIFS('Таблиця 1'!$K:$K,'Таблиця 1'!$B:$B,$A175,'Таблиця 1'!$I:$I,"Су-27",'Таблиця 1'!$J:$J,"GBU-64"))</f>
        <v/>
      </c>
      <c r="O175">
        <f>IF($A175="","",SUMIFS('Таблиця 1'!$K:$K,'Таблиця 1'!$B:$B,$A175,'Таблиця 1'!$I:$I,"Mirage",'Таблиця 1'!$J:$J,"C-13")+SUMIFS('Таблиця 1'!$K:$K,'Таблиця 1'!$B:$B,$A175,'Таблиця 1'!$I:$I,"F-16",'Таблиця 1'!$J:$J,"C-13")+SUMIFS('Таблиця 1'!$K:$K,'Таблиця 1'!$B:$B,$A175,'Таблиця 1'!$I:$I,"МіГ-29",'Таблиця 1'!$J:$J,"C-13")+SUMIFS('Таблиця 1'!$K:$K,'Таблиця 1'!$B:$B,$A175,'Таблиця 1'!$I:$I,"Су-25",'Таблиця 1'!$J:$J,"C-13")+SUMIFS('Таблиця 1'!$K:$K,'Таблиця 1'!$B:$B,$A175,'Таблиця 1'!$I:$I,"Су-27",'Таблиця 1'!$J:$J,"C-13"))</f>
        <v/>
      </c>
      <c r="P175">
        <f>IF($A175="","",SUMIFS('Таблиця 1'!$K:$K,'Таблиця 1'!$B:$B,$A175,'Таблиця 1'!$I:$I,"Mirage",'Таблиця 1'!$J:$J,"MK-32")+SUMIFS('Таблиця 1'!$K:$K,'Таблиця 1'!$B:$B,$A175,'Таблиця 1'!$I:$I,"F-16",'Таблиця 1'!$J:$J,"MK-32")+SUMIFS('Таблиця 1'!$K:$K,'Таблиця 1'!$B:$B,$A175,'Таблиця 1'!$I:$I,"МіГ-29",'Таблиця 1'!$J:$J,"MK-32")+SUMIFS('Таблиця 1'!$K:$K,'Таблиця 1'!$B:$B,$A175,'Таблиця 1'!$I:$I,"Су-25",'Таблиця 1'!$J:$J,"MK-32")+SUMIFS('Таблиця 1'!$K:$K,'Таблиця 1'!$B:$B,$A175,'Таблиця 1'!$I:$I,"Су-27",'Таблиця 1'!$J:$J,"MK-32"))</f>
        <v/>
      </c>
      <c r="Q175">
        <f>IF($A175="","",SUMIFS('Таблиця 1'!$K:$K,'Таблиця 1'!$B:$B,$A175,'Таблиця 1'!$I:$I,"Mirage",'Таблиця 1'!$J:$J,"MK-24")+SUMIFS('Таблиця 1'!$K:$K,'Таблиця 1'!$B:$B,$A175,'Таблиця 1'!$I:$I,"F-16",'Таблиця 1'!$J:$J,"MK-24")+SUMIFS('Таблиця 1'!$K:$K,'Таблиця 1'!$B:$B,$A175,'Таблиця 1'!$I:$I,"МіГ-29",'Таблиця 1'!$J:$J,"MK-24")+SUMIFS('Таблиця 1'!$K:$K,'Таблиця 1'!$B:$B,$A175,'Таблиця 1'!$I:$I,"Су-25",'Таблиця 1'!$J:$J,"MK-24")+SUMIFS('Таблиця 1'!$K:$K,'Таблиця 1'!$B:$B,$A175,'Таблиця 1'!$I:$I,"Су-27",'Таблиця 1'!$J:$J,"MK-24"))</f>
        <v/>
      </c>
      <c r="R175">
        <f>IF($A175="","",COUNTIFS('Таблиця 1'!$B:$B,$A175,'Таблиця 1'!$I:$I,"Mirage",'Таблиця 1'!$L:$L,"Уражено")+COUNTIFS('Таблиця 1'!$B:$B,$A175,'Таблиця 1'!$I:$I,"F-16",'Таблиця 1'!$L:$L,"Уражено")+COUNTIFS('Таблиця 1'!$B:$B,$A175,'Таблиця 1'!$I:$I,"МіГ-29",'Таблиця 1'!$L:$L,"Уражено")+COUNTIFS('Таблиця 1'!$B:$B,$A175,'Таблиця 1'!$I:$I,"Су-25",'Таблиця 1'!$L:$L,"Уражено")+COUNTIFS('Таблиця 1'!$B:$B,$A175,'Таблиця 1'!$I:$I,"Су-27",'Таблиця 1'!$L:$L,"Уражено"))</f>
        <v/>
      </c>
      <c r="S175">
        <f>IF($A175="","",COUNTIFS('Таблиця 1'!$B:$B,$A175,'Таблиця 1'!$I:$I,"Mirage",'Таблиця 1'!$L:$L,"НЕ уражено")+COUNTIFS('Таблиця 1'!$B:$B,$A175,'Таблиця 1'!$I:$I,"F-16",'Таблиця 1'!$L:$L,"НЕ уражено")+COUNTIFS('Таблиця 1'!$B:$B,$A175,'Таблиця 1'!$I:$I,"МіГ-29",'Таблиця 1'!$L:$L,"НЕ уражено")+COUNTIFS('Таблиця 1'!$B:$B,$A175,'Таблиця 1'!$I:$I,"Су-25",'Таблиця 1'!$L:$L,"НЕ уражено")+COUNTIFS('Таблиця 1'!$B:$B,$A175,'Таблиця 1'!$I:$I,"Су-27",'Таблиця 1'!$L:$L,"НЕ уражено"))</f>
        <v/>
      </c>
      <c r="T175">
        <f>IF($A175="","",COUNTIFS('Таблиця 1'!$B:$B,$A175,'Таблиця 1'!$I:$I,"Mirage",'Таблиця 1'!$L:$L,"Дорозвідується")+COUNTIFS('Таблиця 1'!$B:$B,$A175,'Таблиця 1'!$I:$I,"F-16",'Таблиця 1'!$L:$L,"Дорозвідується")+COUNTIFS('Таблиця 1'!$B:$B,$A175,'Таблиця 1'!$I:$I,"МіГ-29",'Таблиця 1'!$L:$L,"Дорозвідується")+COUNTIFS('Таблиця 1'!$B:$B,$A175,'Таблиця 1'!$I:$I,"Су-25",'Таблиця 1'!$L:$L,"Дорозвідується")+COUNTIFS('Таблиця 1'!$B:$B,$A175,'Таблиця 1'!$I:$I,"Су-27",'Таблиця 1'!$L:$L,"Дорозвідується"))</f>
        <v/>
      </c>
    </row>
    <row r="176">
      <c r="A176" s="273">
        <f>IF(A175="","",IF(A175+1&gt;MAX('Таблиця 1'!$B:$B),"",A175+1))</f>
        <v/>
      </c>
      <c r="B176">
        <f>IF($A176="","",COUNTIFS('Таблиця 1'!$B:$B,$A176,'Таблиця 1'!$I:$I,"Mirage")+COUNTIFS('Таблиця 1'!$B:$B,$A176,'Таблиця 1'!$I:$I,"F-16")+COUNTIFS('Таблиця 1'!$B:$B,$A176,'Таблиця 1'!$I:$I,"МіГ-29")+COUNTIFS('Таблиця 1'!$B:$B,$A176,'Таблиця 1'!$I:$I,"Су-25")+COUNTIFS('Таблиця 1'!$B:$B,$A176,'Таблиця 1'!$I:$I,"Су-27"))</f>
        <v/>
      </c>
      <c r="C176">
        <f>IF($A176="","",COUNTIFS('Таблиця 1'!$B:$B,$A176,'Таблиця 1'!$I:$I,"Mirage"))</f>
        <v/>
      </c>
      <c r="D176">
        <f>IF($A176="","",COUNTIFS('Таблиця 1'!$B:$B,$A176,'Таблиця 1'!$I:$I,"F-16"))</f>
        <v/>
      </c>
      <c r="E176">
        <f>IF($A176="","",COUNTIFS('Таблиця 1'!$B:$B,$A176,'Таблиця 1'!$I:$I,"МіГ-29"))</f>
        <v/>
      </c>
      <c r="F176">
        <f>IF($A176="","",COUNTIFS('Таблиця 1'!$B:$B,$A176,'Таблиця 1'!$I:$I,"Су-25"))</f>
        <v/>
      </c>
      <c r="G176">
        <f>IF($A176="","",COUNTIFS('Таблиця 1'!$B:$B,$A176,'Таблиця 1'!$I:$I,"Су-27"))</f>
        <v/>
      </c>
      <c r="H176">
        <f>IF($A176="","",SUMIFS('Таблиця 1'!$K:$K,'Таблиця 1'!$B:$B,$A176,'Таблиця 1'!$I:$I,"Mirage",'Таблиця 1'!$J:$J,"AGM-88")+SUMIFS('Таблиця 1'!$K:$K,'Таблиця 1'!$B:$B,$A176,'Таблиця 1'!$I:$I,"F-16",'Таблиця 1'!$J:$J,"AGM-88")+SUMIFS('Таблиця 1'!$K:$K,'Таблиця 1'!$B:$B,$A176,'Таблиця 1'!$I:$I,"МіГ-29",'Таблиця 1'!$J:$J,"AGM-88")+SUMIFS('Таблиця 1'!$K:$K,'Таблиця 1'!$B:$B,$A176,'Таблиця 1'!$I:$I,"Су-25",'Таблиця 1'!$J:$J,"AGM-88")+SUMIFS('Таблиця 1'!$K:$K,'Таблиця 1'!$B:$B,$A176,'Таблиця 1'!$I:$I,"Су-27",'Таблиця 1'!$J:$J,"AGM-88"))</f>
        <v/>
      </c>
      <c r="I176">
        <f>IF($A176="","",SUMIFS('Таблиця 1'!$K:$K,'Таблиця 1'!$B:$B,$A176,'Таблиця 1'!$I:$I,"Mirage",'Таблиця 1'!$J:$J,"AASM-250")+SUMIFS('Таблиця 1'!$K:$K,'Таблиця 1'!$B:$B,$A176,'Таблиця 1'!$I:$I,"F-16",'Таблиця 1'!$J:$J,"AASM-250")+SUMIFS('Таблиця 1'!$K:$K,'Таблиця 1'!$B:$B,$A176,'Таблиця 1'!$I:$I,"МіГ-29",'Таблиця 1'!$J:$J,"AASM-250")+SUMIFS('Таблиця 1'!$K:$K,'Таблиця 1'!$B:$B,$A176,'Таблиця 1'!$I:$I,"Су-25",'Таблиця 1'!$J:$J,"AASM-250")+SUMIFS('Таблиця 1'!$K:$K,'Таблиця 1'!$B:$B,$A176,'Таблиця 1'!$I:$I,"Су-27",'Таблиця 1'!$J:$J,"AASM-250"))</f>
        <v/>
      </c>
      <c r="J176">
        <f>IF($A176="","",SUMIFS('Таблиця 1'!$K:$K,'Таблиця 1'!$B:$B,$A176,'Таблиця 1'!$I:$I,"Mirage",'Таблиця 1'!$J:$J,"GBU-39")+SUMIFS('Таблиця 1'!$K:$K,'Таблиця 1'!$B:$B,$A176,'Таблиця 1'!$I:$I,"F-16",'Таблиця 1'!$J:$J,"GBU-39")+SUMIFS('Таблиця 1'!$K:$K,'Таблиця 1'!$B:$B,$A176,'Таблиця 1'!$I:$I,"МіГ-29",'Таблиця 1'!$J:$J,"GBU-39")+SUMIFS('Таблиця 1'!$K:$K,'Таблиця 1'!$B:$B,$A176,'Таблиця 1'!$I:$I,"Су-25",'Таблиця 1'!$J:$J,"GBU-39")+SUMIFS('Таблиця 1'!$K:$K,'Таблиця 1'!$B:$B,$A176,'Таблиця 1'!$I:$I,"Су-27",'Таблиця 1'!$J:$J,"GBU-39"))</f>
        <v/>
      </c>
      <c r="K176">
        <f>IF($A176="","",SUMIFS('Таблиця 1'!$K:$K,'Таблиця 1'!$B:$B,$A176,'Таблиця 1'!$I:$I,"Mirage",'Таблиця 1'!$J:$J,"BLU-140")+SUMIFS('Таблиця 1'!$K:$K,'Таблиця 1'!$B:$B,$A176,'Таблиця 1'!$I:$I,"F-16",'Таблиця 1'!$J:$J,"BLU-140")+SUMIFS('Таблиця 1'!$K:$K,'Таблиця 1'!$B:$B,$A176,'Таблиця 1'!$I:$I,"МіГ-29",'Таблиця 1'!$J:$J,"BLU-140")+SUMIFS('Таблиця 1'!$K:$K,'Таблиця 1'!$B:$B,$A176,'Таблиця 1'!$I:$I,"Су-25",'Таблиця 1'!$J:$J,"BLU-140")+SUMIFS('Таблиця 1'!$K:$K,'Таблиця 1'!$B:$B,$A176,'Таблиця 1'!$I:$I,"Су-27",'Таблиця 1'!$J:$J,"BLU-140"))</f>
        <v/>
      </c>
      <c r="L176">
        <f>IF($A176="","",SUMIFS('Таблиця 1'!$K:$K,'Таблиця 1'!$B:$B,$A176,'Таблиця 1'!$I:$I,"Mirage",'Таблиця 1'!$J:$J,"GBU-65")+SUMIFS('Таблиця 1'!$K:$K,'Таблиця 1'!$B:$B,$A176,'Таблиця 1'!$I:$I,"F-16",'Таблиця 1'!$J:$J,"GBU-65")+SUMIFS('Таблиця 1'!$K:$K,'Таблиця 1'!$B:$B,$A176,'Таблиця 1'!$I:$I,"МіГ-29",'Таблиця 1'!$J:$J,"GBU-65")+SUMIFS('Таблиця 1'!$K:$K,'Таблиця 1'!$B:$B,$A176,'Таблиця 1'!$I:$I,"Су-25",'Таблиця 1'!$J:$J,"GBU-65")+SUMIFS('Таблиця 1'!$K:$K,'Таблиця 1'!$B:$B,$A176,'Таблиця 1'!$I:$I,"Су-27",'Таблиця 1'!$J:$J,"GBU-65"))</f>
        <v/>
      </c>
      <c r="M176">
        <f>IF($A176="","",SUMIFS('Таблиця 1'!$K:$K,'Таблиця 1'!$B:$B,$A176,'Таблиця 1'!$I:$I,"Mirage",'Таблиця 1'!$J:$J,"GBU-62")+SUMIFS('Таблиця 1'!$K:$K,'Таблиця 1'!$B:$B,$A176,'Таблиця 1'!$I:$I,"F-16",'Таблиця 1'!$J:$J,"GBU-62")+SUMIFS('Таблиця 1'!$K:$K,'Таблиця 1'!$B:$B,$A176,'Таблиця 1'!$I:$I,"МіГ-29",'Таблиця 1'!$J:$J,"GBU-62")+SUMIFS('Таблиця 1'!$K:$K,'Таблиця 1'!$B:$B,$A176,'Таблиця 1'!$I:$I,"Су-25",'Таблиця 1'!$J:$J,"GBU-62")+SUMIFS('Таблиця 1'!$K:$K,'Таблиця 1'!$B:$B,$A176,'Таблиця 1'!$I:$I,"Су-27",'Таблиця 1'!$J:$J,"GBU-62"))</f>
        <v/>
      </c>
      <c r="N176">
        <f>IF($A176="","",SUMIFS('Таблиця 1'!$K:$K,'Таблиця 1'!$B:$B,$A176,'Таблиця 1'!$I:$I,"Mirage",'Таблиця 1'!$J:$J,"GBU-64")+SUMIFS('Таблиця 1'!$K:$K,'Таблиця 1'!$B:$B,$A176,'Таблиця 1'!$I:$I,"F-16",'Таблиця 1'!$J:$J,"GBU-64")+SUMIFS('Таблиця 1'!$K:$K,'Таблиця 1'!$B:$B,$A176,'Таблиця 1'!$I:$I,"МіГ-29",'Таблиця 1'!$J:$J,"GBU-64")+SUMIFS('Таблиця 1'!$K:$K,'Таблиця 1'!$B:$B,$A176,'Таблиця 1'!$I:$I,"Су-25",'Таблиця 1'!$J:$J,"GBU-64")+SUMIFS('Таблиця 1'!$K:$K,'Таблиця 1'!$B:$B,$A176,'Таблиця 1'!$I:$I,"Су-27",'Таблиця 1'!$J:$J,"GBU-64"))</f>
        <v/>
      </c>
      <c r="O176">
        <f>IF($A176="","",SUMIFS('Таблиця 1'!$K:$K,'Таблиця 1'!$B:$B,$A176,'Таблиця 1'!$I:$I,"Mirage",'Таблиця 1'!$J:$J,"C-13")+SUMIFS('Таблиця 1'!$K:$K,'Таблиця 1'!$B:$B,$A176,'Таблиця 1'!$I:$I,"F-16",'Таблиця 1'!$J:$J,"C-13")+SUMIFS('Таблиця 1'!$K:$K,'Таблиця 1'!$B:$B,$A176,'Таблиця 1'!$I:$I,"МіГ-29",'Таблиця 1'!$J:$J,"C-13")+SUMIFS('Таблиця 1'!$K:$K,'Таблиця 1'!$B:$B,$A176,'Таблиця 1'!$I:$I,"Су-25",'Таблиця 1'!$J:$J,"C-13")+SUMIFS('Таблиця 1'!$K:$K,'Таблиця 1'!$B:$B,$A176,'Таблиця 1'!$I:$I,"Су-27",'Таблиця 1'!$J:$J,"C-13"))</f>
        <v/>
      </c>
      <c r="P176">
        <f>IF($A176="","",SUMIFS('Таблиця 1'!$K:$K,'Таблиця 1'!$B:$B,$A176,'Таблиця 1'!$I:$I,"Mirage",'Таблиця 1'!$J:$J,"MK-32")+SUMIFS('Таблиця 1'!$K:$K,'Таблиця 1'!$B:$B,$A176,'Таблиця 1'!$I:$I,"F-16",'Таблиця 1'!$J:$J,"MK-32")+SUMIFS('Таблиця 1'!$K:$K,'Таблиця 1'!$B:$B,$A176,'Таблиця 1'!$I:$I,"МіГ-29",'Таблиця 1'!$J:$J,"MK-32")+SUMIFS('Таблиця 1'!$K:$K,'Таблиця 1'!$B:$B,$A176,'Таблиця 1'!$I:$I,"Су-25",'Таблиця 1'!$J:$J,"MK-32")+SUMIFS('Таблиця 1'!$K:$K,'Таблиця 1'!$B:$B,$A176,'Таблиця 1'!$I:$I,"Су-27",'Таблиця 1'!$J:$J,"MK-32"))</f>
        <v/>
      </c>
      <c r="Q176">
        <f>IF($A176="","",SUMIFS('Таблиця 1'!$K:$K,'Таблиця 1'!$B:$B,$A176,'Таблиця 1'!$I:$I,"Mirage",'Таблиця 1'!$J:$J,"MK-24")+SUMIFS('Таблиця 1'!$K:$K,'Таблиця 1'!$B:$B,$A176,'Таблиця 1'!$I:$I,"F-16",'Таблиця 1'!$J:$J,"MK-24")+SUMIFS('Таблиця 1'!$K:$K,'Таблиця 1'!$B:$B,$A176,'Таблиця 1'!$I:$I,"МіГ-29",'Таблиця 1'!$J:$J,"MK-24")+SUMIFS('Таблиця 1'!$K:$K,'Таблиця 1'!$B:$B,$A176,'Таблиця 1'!$I:$I,"Су-25",'Таблиця 1'!$J:$J,"MK-24")+SUMIFS('Таблиця 1'!$K:$K,'Таблиця 1'!$B:$B,$A176,'Таблиця 1'!$I:$I,"Су-27",'Таблиця 1'!$J:$J,"MK-24"))</f>
        <v/>
      </c>
      <c r="R176">
        <f>IF($A176="","",COUNTIFS('Таблиця 1'!$B:$B,$A176,'Таблиця 1'!$I:$I,"Mirage",'Таблиця 1'!$L:$L,"Уражено")+COUNTIFS('Таблиця 1'!$B:$B,$A176,'Таблиця 1'!$I:$I,"F-16",'Таблиця 1'!$L:$L,"Уражено")+COUNTIFS('Таблиця 1'!$B:$B,$A176,'Таблиця 1'!$I:$I,"МіГ-29",'Таблиця 1'!$L:$L,"Уражено")+COUNTIFS('Таблиця 1'!$B:$B,$A176,'Таблиця 1'!$I:$I,"Су-25",'Таблиця 1'!$L:$L,"Уражено")+COUNTIFS('Таблиця 1'!$B:$B,$A176,'Таблиця 1'!$I:$I,"Су-27",'Таблиця 1'!$L:$L,"Уражено"))</f>
        <v/>
      </c>
      <c r="S176">
        <f>IF($A176="","",COUNTIFS('Таблиця 1'!$B:$B,$A176,'Таблиця 1'!$I:$I,"Mirage",'Таблиця 1'!$L:$L,"НЕ уражено")+COUNTIFS('Таблиця 1'!$B:$B,$A176,'Таблиця 1'!$I:$I,"F-16",'Таблиця 1'!$L:$L,"НЕ уражено")+COUNTIFS('Таблиця 1'!$B:$B,$A176,'Таблиця 1'!$I:$I,"МіГ-29",'Таблиця 1'!$L:$L,"НЕ уражено")+COUNTIFS('Таблиця 1'!$B:$B,$A176,'Таблиця 1'!$I:$I,"Су-25",'Таблиця 1'!$L:$L,"НЕ уражено")+COUNTIFS('Таблиця 1'!$B:$B,$A176,'Таблиця 1'!$I:$I,"Су-27",'Таблиця 1'!$L:$L,"НЕ уражено"))</f>
        <v/>
      </c>
      <c r="T176">
        <f>IF($A176="","",COUNTIFS('Таблиця 1'!$B:$B,$A176,'Таблиця 1'!$I:$I,"Mirage",'Таблиця 1'!$L:$L,"Дорозвідується")+COUNTIFS('Таблиця 1'!$B:$B,$A176,'Таблиця 1'!$I:$I,"F-16",'Таблиця 1'!$L:$L,"Дорозвідується")+COUNTIFS('Таблиця 1'!$B:$B,$A176,'Таблиця 1'!$I:$I,"МіГ-29",'Таблиця 1'!$L:$L,"Дорозвідується")+COUNTIFS('Таблиця 1'!$B:$B,$A176,'Таблиця 1'!$I:$I,"Су-25",'Таблиця 1'!$L:$L,"Дорозвідується")+COUNTIFS('Таблиця 1'!$B:$B,$A176,'Таблиця 1'!$I:$I,"Су-27",'Таблиця 1'!$L:$L,"Дорозвідується"))</f>
        <v/>
      </c>
    </row>
    <row r="177">
      <c r="A177" s="273">
        <f>IF(A176="","",IF(A176+1&gt;MAX('Таблиця 1'!$B:$B),"",A176+1))</f>
        <v/>
      </c>
      <c r="B177">
        <f>IF($A177="","",COUNTIFS('Таблиця 1'!$B:$B,$A177,'Таблиця 1'!$I:$I,"Mirage")+COUNTIFS('Таблиця 1'!$B:$B,$A177,'Таблиця 1'!$I:$I,"F-16")+COUNTIFS('Таблиця 1'!$B:$B,$A177,'Таблиця 1'!$I:$I,"МіГ-29")+COUNTIFS('Таблиця 1'!$B:$B,$A177,'Таблиця 1'!$I:$I,"Су-25")+COUNTIFS('Таблиця 1'!$B:$B,$A177,'Таблиця 1'!$I:$I,"Су-27"))</f>
        <v/>
      </c>
      <c r="C177">
        <f>IF($A177="","",COUNTIFS('Таблиця 1'!$B:$B,$A177,'Таблиця 1'!$I:$I,"Mirage"))</f>
        <v/>
      </c>
      <c r="D177">
        <f>IF($A177="","",COUNTIFS('Таблиця 1'!$B:$B,$A177,'Таблиця 1'!$I:$I,"F-16"))</f>
        <v/>
      </c>
      <c r="E177">
        <f>IF($A177="","",COUNTIFS('Таблиця 1'!$B:$B,$A177,'Таблиця 1'!$I:$I,"МіГ-29"))</f>
        <v/>
      </c>
      <c r="F177">
        <f>IF($A177="","",COUNTIFS('Таблиця 1'!$B:$B,$A177,'Таблиця 1'!$I:$I,"Су-25"))</f>
        <v/>
      </c>
      <c r="G177">
        <f>IF($A177="","",COUNTIFS('Таблиця 1'!$B:$B,$A177,'Таблиця 1'!$I:$I,"Су-27"))</f>
        <v/>
      </c>
      <c r="H177">
        <f>IF($A177="","",SUMIFS('Таблиця 1'!$K:$K,'Таблиця 1'!$B:$B,$A177,'Таблиця 1'!$I:$I,"Mirage",'Таблиця 1'!$J:$J,"AGM-88")+SUMIFS('Таблиця 1'!$K:$K,'Таблиця 1'!$B:$B,$A177,'Таблиця 1'!$I:$I,"F-16",'Таблиця 1'!$J:$J,"AGM-88")+SUMIFS('Таблиця 1'!$K:$K,'Таблиця 1'!$B:$B,$A177,'Таблиця 1'!$I:$I,"МіГ-29",'Таблиця 1'!$J:$J,"AGM-88")+SUMIFS('Таблиця 1'!$K:$K,'Таблиця 1'!$B:$B,$A177,'Таблиця 1'!$I:$I,"Су-25",'Таблиця 1'!$J:$J,"AGM-88")+SUMIFS('Таблиця 1'!$K:$K,'Таблиця 1'!$B:$B,$A177,'Таблиця 1'!$I:$I,"Су-27",'Таблиця 1'!$J:$J,"AGM-88"))</f>
        <v/>
      </c>
      <c r="I177">
        <f>IF($A177="","",SUMIFS('Таблиця 1'!$K:$K,'Таблиця 1'!$B:$B,$A177,'Таблиця 1'!$I:$I,"Mirage",'Таблиця 1'!$J:$J,"AASM-250")+SUMIFS('Таблиця 1'!$K:$K,'Таблиця 1'!$B:$B,$A177,'Таблиця 1'!$I:$I,"F-16",'Таблиця 1'!$J:$J,"AASM-250")+SUMIFS('Таблиця 1'!$K:$K,'Таблиця 1'!$B:$B,$A177,'Таблиця 1'!$I:$I,"МіГ-29",'Таблиця 1'!$J:$J,"AASM-250")+SUMIFS('Таблиця 1'!$K:$K,'Таблиця 1'!$B:$B,$A177,'Таблиця 1'!$I:$I,"Су-25",'Таблиця 1'!$J:$J,"AASM-250")+SUMIFS('Таблиця 1'!$K:$K,'Таблиця 1'!$B:$B,$A177,'Таблиця 1'!$I:$I,"Су-27",'Таблиця 1'!$J:$J,"AASM-250"))</f>
        <v/>
      </c>
      <c r="J177">
        <f>IF($A177="","",SUMIFS('Таблиця 1'!$K:$K,'Таблиця 1'!$B:$B,$A177,'Таблиця 1'!$I:$I,"Mirage",'Таблиця 1'!$J:$J,"GBU-39")+SUMIFS('Таблиця 1'!$K:$K,'Таблиця 1'!$B:$B,$A177,'Таблиця 1'!$I:$I,"F-16",'Таблиця 1'!$J:$J,"GBU-39")+SUMIFS('Таблиця 1'!$K:$K,'Таблиця 1'!$B:$B,$A177,'Таблиця 1'!$I:$I,"МіГ-29",'Таблиця 1'!$J:$J,"GBU-39")+SUMIFS('Таблиця 1'!$K:$K,'Таблиця 1'!$B:$B,$A177,'Таблиця 1'!$I:$I,"Су-25",'Таблиця 1'!$J:$J,"GBU-39")+SUMIFS('Таблиця 1'!$K:$K,'Таблиця 1'!$B:$B,$A177,'Таблиця 1'!$I:$I,"Су-27",'Таблиця 1'!$J:$J,"GBU-39"))</f>
        <v/>
      </c>
      <c r="K177">
        <f>IF($A177="","",SUMIFS('Таблиця 1'!$K:$K,'Таблиця 1'!$B:$B,$A177,'Таблиця 1'!$I:$I,"Mirage",'Таблиця 1'!$J:$J,"BLU-140")+SUMIFS('Таблиця 1'!$K:$K,'Таблиця 1'!$B:$B,$A177,'Таблиця 1'!$I:$I,"F-16",'Таблиця 1'!$J:$J,"BLU-140")+SUMIFS('Таблиця 1'!$K:$K,'Таблиця 1'!$B:$B,$A177,'Таблиця 1'!$I:$I,"МіГ-29",'Таблиця 1'!$J:$J,"BLU-140")+SUMIFS('Таблиця 1'!$K:$K,'Таблиця 1'!$B:$B,$A177,'Таблиця 1'!$I:$I,"Су-25",'Таблиця 1'!$J:$J,"BLU-140")+SUMIFS('Таблиця 1'!$K:$K,'Таблиця 1'!$B:$B,$A177,'Таблиця 1'!$I:$I,"Су-27",'Таблиця 1'!$J:$J,"BLU-140"))</f>
        <v/>
      </c>
      <c r="L177">
        <f>IF($A177="","",SUMIFS('Таблиця 1'!$K:$K,'Таблиця 1'!$B:$B,$A177,'Таблиця 1'!$I:$I,"Mirage",'Таблиця 1'!$J:$J,"GBU-65")+SUMIFS('Таблиця 1'!$K:$K,'Таблиця 1'!$B:$B,$A177,'Таблиця 1'!$I:$I,"F-16",'Таблиця 1'!$J:$J,"GBU-65")+SUMIFS('Таблиця 1'!$K:$K,'Таблиця 1'!$B:$B,$A177,'Таблиця 1'!$I:$I,"МіГ-29",'Таблиця 1'!$J:$J,"GBU-65")+SUMIFS('Таблиця 1'!$K:$K,'Таблиця 1'!$B:$B,$A177,'Таблиця 1'!$I:$I,"Су-25",'Таблиця 1'!$J:$J,"GBU-65")+SUMIFS('Таблиця 1'!$K:$K,'Таблиця 1'!$B:$B,$A177,'Таблиця 1'!$I:$I,"Су-27",'Таблиця 1'!$J:$J,"GBU-65"))</f>
        <v/>
      </c>
      <c r="M177">
        <f>IF($A177="","",SUMIFS('Таблиця 1'!$K:$K,'Таблиця 1'!$B:$B,$A177,'Таблиця 1'!$I:$I,"Mirage",'Таблиця 1'!$J:$J,"GBU-62")+SUMIFS('Таблиця 1'!$K:$K,'Таблиця 1'!$B:$B,$A177,'Таблиця 1'!$I:$I,"F-16",'Таблиця 1'!$J:$J,"GBU-62")+SUMIFS('Таблиця 1'!$K:$K,'Таблиця 1'!$B:$B,$A177,'Таблиця 1'!$I:$I,"МіГ-29",'Таблиця 1'!$J:$J,"GBU-62")+SUMIFS('Таблиця 1'!$K:$K,'Таблиця 1'!$B:$B,$A177,'Таблиця 1'!$I:$I,"Су-25",'Таблиця 1'!$J:$J,"GBU-62")+SUMIFS('Таблиця 1'!$K:$K,'Таблиця 1'!$B:$B,$A177,'Таблиця 1'!$I:$I,"Су-27",'Таблиця 1'!$J:$J,"GBU-62"))</f>
        <v/>
      </c>
      <c r="N177">
        <f>IF($A177="","",SUMIFS('Таблиця 1'!$K:$K,'Таблиця 1'!$B:$B,$A177,'Таблиця 1'!$I:$I,"Mirage",'Таблиця 1'!$J:$J,"GBU-64")+SUMIFS('Таблиця 1'!$K:$K,'Таблиця 1'!$B:$B,$A177,'Таблиця 1'!$I:$I,"F-16",'Таблиця 1'!$J:$J,"GBU-64")+SUMIFS('Таблиця 1'!$K:$K,'Таблиця 1'!$B:$B,$A177,'Таблиця 1'!$I:$I,"МіГ-29",'Таблиця 1'!$J:$J,"GBU-64")+SUMIFS('Таблиця 1'!$K:$K,'Таблиця 1'!$B:$B,$A177,'Таблиця 1'!$I:$I,"Су-25",'Таблиця 1'!$J:$J,"GBU-64")+SUMIFS('Таблиця 1'!$K:$K,'Таблиця 1'!$B:$B,$A177,'Таблиця 1'!$I:$I,"Су-27",'Таблиця 1'!$J:$J,"GBU-64"))</f>
        <v/>
      </c>
      <c r="O177">
        <f>IF($A177="","",SUMIFS('Таблиця 1'!$K:$K,'Таблиця 1'!$B:$B,$A177,'Таблиця 1'!$I:$I,"Mirage",'Таблиця 1'!$J:$J,"C-13")+SUMIFS('Таблиця 1'!$K:$K,'Таблиця 1'!$B:$B,$A177,'Таблиця 1'!$I:$I,"F-16",'Таблиця 1'!$J:$J,"C-13")+SUMIFS('Таблиця 1'!$K:$K,'Таблиця 1'!$B:$B,$A177,'Таблиця 1'!$I:$I,"МіГ-29",'Таблиця 1'!$J:$J,"C-13")+SUMIFS('Таблиця 1'!$K:$K,'Таблиця 1'!$B:$B,$A177,'Таблиця 1'!$I:$I,"Су-25",'Таблиця 1'!$J:$J,"C-13")+SUMIFS('Таблиця 1'!$K:$K,'Таблиця 1'!$B:$B,$A177,'Таблиця 1'!$I:$I,"Су-27",'Таблиця 1'!$J:$J,"C-13"))</f>
        <v/>
      </c>
      <c r="P177">
        <f>IF($A177="","",SUMIFS('Таблиця 1'!$K:$K,'Таблиця 1'!$B:$B,$A177,'Таблиця 1'!$I:$I,"Mirage",'Таблиця 1'!$J:$J,"MK-32")+SUMIFS('Таблиця 1'!$K:$K,'Таблиця 1'!$B:$B,$A177,'Таблиця 1'!$I:$I,"F-16",'Таблиця 1'!$J:$J,"MK-32")+SUMIFS('Таблиця 1'!$K:$K,'Таблиця 1'!$B:$B,$A177,'Таблиця 1'!$I:$I,"МіГ-29",'Таблиця 1'!$J:$J,"MK-32")+SUMIFS('Таблиця 1'!$K:$K,'Таблиця 1'!$B:$B,$A177,'Таблиця 1'!$I:$I,"Су-25",'Таблиця 1'!$J:$J,"MK-32")+SUMIFS('Таблиця 1'!$K:$K,'Таблиця 1'!$B:$B,$A177,'Таблиця 1'!$I:$I,"Су-27",'Таблиця 1'!$J:$J,"MK-32"))</f>
        <v/>
      </c>
      <c r="Q177">
        <f>IF($A177="","",SUMIFS('Таблиця 1'!$K:$K,'Таблиця 1'!$B:$B,$A177,'Таблиця 1'!$I:$I,"Mirage",'Таблиця 1'!$J:$J,"MK-24")+SUMIFS('Таблиця 1'!$K:$K,'Таблиця 1'!$B:$B,$A177,'Таблиця 1'!$I:$I,"F-16",'Таблиця 1'!$J:$J,"MK-24")+SUMIFS('Таблиця 1'!$K:$K,'Таблиця 1'!$B:$B,$A177,'Таблиця 1'!$I:$I,"МіГ-29",'Таблиця 1'!$J:$J,"MK-24")+SUMIFS('Таблиця 1'!$K:$K,'Таблиця 1'!$B:$B,$A177,'Таблиця 1'!$I:$I,"Су-25",'Таблиця 1'!$J:$J,"MK-24")+SUMIFS('Таблиця 1'!$K:$K,'Таблиця 1'!$B:$B,$A177,'Таблиця 1'!$I:$I,"Су-27",'Таблиця 1'!$J:$J,"MK-24"))</f>
        <v/>
      </c>
      <c r="R177">
        <f>IF($A177="","",COUNTIFS('Таблиця 1'!$B:$B,$A177,'Таблиця 1'!$I:$I,"Mirage",'Таблиця 1'!$L:$L,"Уражено")+COUNTIFS('Таблиця 1'!$B:$B,$A177,'Таблиця 1'!$I:$I,"F-16",'Таблиця 1'!$L:$L,"Уражено")+COUNTIFS('Таблиця 1'!$B:$B,$A177,'Таблиця 1'!$I:$I,"МіГ-29",'Таблиця 1'!$L:$L,"Уражено")+COUNTIFS('Таблиця 1'!$B:$B,$A177,'Таблиця 1'!$I:$I,"Су-25",'Таблиця 1'!$L:$L,"Уражено")+COUNTIFS('Таблиця 1'!$B:$B,$A177,'Таблиця 1'!$I:$I,"Су-27",'Таблиця 1'!$L:$L,"Уражено"))</f>
        <v/>
      </c>
      <c r="S177">
        <f>IF($A177="","",COUNTIFS('Таблиця 1'!$B:$B,$A177,'Таблиця 1'!$I:$I,"Mirage",'Таблиця 1'!$L:$L,"НЕ уражено")+COUNTIFS('Таблиця 1'!$B:$B,$A177,'Таблиця 1'!$I:$I,"F-16",'Таблиця 1'!$L:$L,"НЕ уражено")+COUNTIFS('Таблиця 1'!$B:$B,$A177,'Таблиця 1'!$I:$I,"МіГ-29",'Таблиця 1'!$L:$L,"НЕ уражено")+COUNTIFS('Таблиця 1'!$B:$B,$A177,'Таблиця 1'!$I:$I,"Су-25",'Таблиця 1'!$L:$L,"НЕ уражено")+COUNTIFS('Таблиця 1'!$B:$B,$A177,'Таблиця 1'!$I:$I,"Су-27",'Таблиця 1'!$L:$L,"НЕ уражено"))</f>
        <v/>
      </c>
      <c r="T177">
        <f>IF($A177="","",COUNTIFS('Таблиця 1'!$B:$B,$A177,'Таблиця 1'!$I:$I,"Mirage",'Таблиця 1'!$L:$L,"Дорозвідується")+COUNTIFS('Таблиця 1'!$B:$B,$A177,'Таблиця 1'!$I:$I,"F-16",'Таблиця 1'!$L:$L,"Дорозвідується")+COUNTIFS('Таблиця 1'!$B:$B,$A177,'Таблиця 1'!$I:$I,"МіГ-29",'Таблиця 1'!$L:$L,"Дорозвідується")+COUNTIFS('Таблиця 1'!$B:$B,$A177,'Таблиця 1'!$I:$I,"Су-25",'Таблиця 1'!$L:$L,"Дорозвідується")+COUNTIFS('Таблиця 1'!$B:$B,$A177,'Таблиця 1'!$I:$I,"Су-27",'Таблиця 1'!$L:$L,"Дорозвідується"))</f>
        <v/>
      </c>
    </row>
    <row r="178">
      <c r="A178" s="273">
        <f>IF(A177="","",IF(A177+1&gt;MAX('Таблиця 1'!$B:$B),"",A177+1))</f>
        <v/>
      </c>
      <c r="B178">
        <f>IF($A178="","",COUNTIFS('Таблиця 1'!$B:$B,$A178,'Таблиця 1'!$I:$I,"Mirage")+COUNTIFS('Таблиця 1'!$B:$B,$A178,'Таблиця 1'!$I:$I,"F-16")+COUNTIFS('Таблиця 1'!$B:$B,$A178,'Таблиця 1'!$I:$I,"МіГ-29")+COUNTIFS('Таблиця 1'!$B:$B,$A178,'Таблиця 1'!$I:$I,"Су-25")+COUNTIFS('Таблиця 1'!$B:$B,$A178,'Таблиця 1'!$I:$I,"Су-27"))</f>
        <v/>
      </c>
      <c r="C178">
        <f>IF($A178="","",COUNTIFS('Таблиця 1'!$B:$B,$A178,'Таблиця 1'!$I:$I,"Mirage"))</f>
        <v/>
      </c>
      <c r="D178">
        <f>IF($A178="","",COUNTIFS('Таблиця 1'!$B:$B,$A178,'Таблиця 1'!$I:$I,"F-16"))</f>
        <v/>
      </c>
      <c r="E178">
        <f>IF($A178="","",COUNTIFS('Таблиця 1'!$B:$B,$A178,'Таблиця 1'!$I:$I,"МіГ-29"))</f>
        <v/>
      </c>
      <c r="F178">
        <f>IF($A178="","",COUNTIFS('Таблиця 1'!$B:$B,$A178,'Таблиця 1'!$I:$I,"Су-25"))</f>
        <v/>
      </c>
      <c r="G178">
        <f>IF($A178="","",COUNTIFS('Таблиця 1'!$B:$B,$A178,'Таблиця 1'!$I:$I,"Су-27"))</f>
        <v/>
      </c>
      <c r="H178">
        <f>IF($A178="","",SUMIFS('Таблиця 1'!$K:$K,'Таблиця 1'!$B:$B,$A178,'Таблиця 1'!$I:$I,"Mirage",'Таблиця 1'!$J:$J,"AGM-88")+SUMIFS('Таблиця 1'!$K:$K,'Таблиця 1'!$B:$B,$A178,'Таблиця 1'!$I:$I,"F-16",'Таблиця 1'!$J:$J,"AGM-88")+SUMIFS('Таблиця 1'!$K:$K,'Таблиця 1'!$B:$B,$A178,'Таблиця 1'!$I:$I,"МіГ-29",'Таблиця 1'!$J:$J,"AGM-88")+SUMIFS('Таблиця 1'!$K:$K,'Таблиця 1'!$B:$B,$A178,'Таблиця 1'!$I:$I,"Су-25",'Таблиця 1'!$J:$J,"AGM-88")+SUMIFS('Таблиця 1'!$K:$K,'Таблиця 1'!$B:$B,$A178,'Таблиця 1'!$I:$I,"Су-27",'Таблиця 1'!$J:$J,"AGM-88"))</f>
        <v/>
      </c>
      <c r="I178">
        <f>IF($A178="","",SUMIFS('Таблиця 1'!$K:$K,'Таблиця 1'!$B:$B,$A178,'Таблиця 1'!$I:$I,"Mirage",'Таблиця 1'!$J:$J,"AASM-250")+SUMIFS('Таблиця 1'!$K:$K,'Таблиця 1'!$B:$B,$A178,'Таблиця 1'!$I:$I,"F-16",'Таблиця 1'!$J:$J,"AASM-250")+SUMIFS('Таблиця 1'!$K:$K,'Таблиця 1'!$B:$B,$A178,'Таблиця 1'!$I:$I,"МіГ-29",'Таблиця 1'!$J:$J,"AASM-250")+SUMIFS('Таблиця 1'!$K:$K,'Таблиця 1'!$B:$B,$A178,'Таблиця 1'!$I:$I,"Су-25",'Таблиця 1'!$J:$J,"AASM-250")+SUMIFS('Таблиця 1'!$K:$K,'Таблиця 1'!$B:$B,$A178,'Таблиця 1'!$I:$I,"Су-27",'Таблиця 1'!$J:$J,"AASM-250"))</f>
        <v/>
      </c>
      <c r="J178">
        <f>IF($A178="","",SUMIFS('Таблиця 1'!$K:$K,'Таблиця 1'!$B:$B,$A178,'Таблиця 1'!$I:$I,"Mirage",'Таблиця 1'!$J:$J,"GBU-39")+SUMIFS('Таблиця 1'!$K:$K,'Таблиця 1'!$B:$B,$A178,'Таблиця 1'!$I:$I,"F-16",'Таблиця 1'!$J:$J,"GBU-39")+SUMIFS('Таблиця 1'!$K:$K,'Таблиця 1'!$B:$B,$A178,'Таблиця 1'!$I:$I,"МіГ-29",'Таблиця 1'!$J:$J,"GBU-39")+SUMIFS('Таблиця 1'!$K:$K,'Таблиця 1'!$B:$B,$A178,'Таблиця 1'!$I:$I,"Су-25",'Таблиця 1'!$J:$J,"GBU-39")+SUMIFS('Таблиця 1'!$K:$K,'Таблиця 1'!$B:$B,$A178,'Таблиця 1'!$I:$I,"Су-27",'Таблиця 1'!$J:$J,"GBU-39"))</f>
        <v/>
      </c>
      <c r="K178">
        <f>IF($A178="","",SUMIFS('Таблиця 1'!$K:$K,'Таблиця 1'!$B:$B,$A178,'Таблиця 1'!$I:$I,"Mirage",'Таблиця 1'!$J:$J,"BLU-140")+SUMIFS('Таблиця 1'!$K:$K,'Таблиця 1'!$B:$B,$A178,'Таблиця 1'!$I:$I,"F-16",'Таблиця 1'!$J:$J,"BLU-140")+SUMIFS('Таблиця 1'!$K:$K,'Таблиця 1'!$B:$B,$A178,'Таблиця 1'!$I:$I,"МіГ-29",'Таблиця 1'!$J:$J,"BLU-140")+SUMIFS('Таблиця 1'!$K:$K,'Таблиця 1'!$B:$B,$A178,'Таблиця 1'!$I:$I,"Су-25",'Таблиця 1'!$J:$J,"BLU-140")+SUMIFS('Таблиця 1'!$K:$K,'Таблиця 1'!$B:$B,$A178,'Таблиця 1'!$I:$I,"Су-27",'Таблиця 1'!$J:$J,"BLU-140"))</f>
        <v/>
      </c>
      <c r="L178">
        <f>IF($A178="","",SUMIFS('Таблиця 1'!$K:$K,'Таблиця 1'!$B:$B,$A178,'Таблиця 1'!$I:$I,"Mirage",'Таблиця 1'!$J:$J,"GBU-65")+SUMIFS('Таблиця 1'!$K:$K,'Таблиця 1'!$B:$B,$A178,'Таблиця 1'!$I:$I,"F-16",'Таблиця 1'!$J:$J,"GBU-65")+SUMIFS('Таблиця 1'!$K:$K,'Таблиця 1'!$B:$B,$A178,'Таблиця 1'!$I:$I,"МіГ-29",'Таблиця 1'!$J:$J,"GBU-65")+SUMIFS('Таблиця 1'!$K:$K,'Таблиця 1'!$B:$B,$A178,'Таблиця 1'!$I:$I,"Су-25",'Таблиця 1'!$J:$J,"GBU-65")+SUMIFS('Таблиця 1'!$K:$K,'Таблиця 1'!$B:$B,$A178,'Таблиця 1'!$I:$I,"Су-27",'Таблиця 1'!$J:$J,"GBU-65"))</f>
        <v/>
      </c>
      <c r="M178">
        <f>IF($A178="","",SUMIFS('Таблиця 1'!$K:$K,'Таблиця 1'!$B:$B,$A178,'Таблиця 1'!$I:$I,"Mirage",'Таблиця 1'!$J:$J,"GBU-62")+SUMIFS('Таблиця 1'!$K:$K,'Таблиця 1'!$B:$B,$A178,'Таблиця 1'!$I:$I,"F-16",'Таблиця 1'!$J:$J,"GBU-62")+SUMIFS('Таблиця 1'!$K:$K,'Таблиця 1'!$B:$B,$A178,'Таблиця 1'!$I:$I,"МіГ-29",'Таблиця 1'!$J:$J,"GBU-62")+SUMIFS('Таблиця 1'!$K:$K,'Таблиця 1'!$B:$B,$A178,'Таблиця 1'!$I:$I,"Су-25",'Таблиця 1'!$J:$J,"GBU-62")+SUMIFS('Таблиця 1'!$K:$K,'Таблиця 1'!$B:$B,$A178,'Таблиця 1'!$I:$I,"Су-27",'Таблиця 1'!$J:$J,"GBU-62"))</f>
        <v/>
      </c>
      <c r="N178">
        <f>IF($A178="","",SUMIFS('Таблиця 1'!$K:$K,'Таблиця 1'!$B:$B,$A178,'Таблиця 1'!$I:$I,"Mirage",'Таблиця 1'!$J:$J,"GBU-64")+SUMIFS('Таблиця 1'!$K:$K,'Таблиця 1'!$B:$B,$A178,'Таблиця 1'!$I:$I,"F-16",'Таблиця 1'!$J:$J,"GBU-64")+SUMIFS('Таблиця 1'!$K:$K,'Таблиця 1'!$B:$B,$A178,'Таблиця 1'!$I:$I,"МіГ-29",'Таблиця 1'!$J:$J,"GBU-64")+SUMIFS('Таблиця 1'!$K:$K,'Таблиця 1'!$B:$B,$A178,'Таблиця 1'!$I:$I,"Су-25",'Таблиця 1'!$J:$J,"GBU-64")+SUMIFS('Таблиця 1'!$K:$K,'Таблиця 1'!$B:$B,$A178,'Таблиця 1'!$I:$I,"Су-27",'Таблиця 1'!$J:$J,"GBU-64"))</f>
        <v/>
      </c>
      <c r="O178">
        <f>IF($A178="","",SUMIFS('Таблиця 1'!$K:$K,'Таблиця 1'!$B:$B,$A178,'Таблиця 1'!$I:$I,"Mirage",'Таблиця 1'!$J:$J,"C-13")+SUMIFS('Таблиця 1'!$K:$K,'Таблиця 1'!$B:$B,$A178,'Таблиця 1'!$I:$I,"F-16",'Таблиця 1'!$J:$J,"C-13")+SUMIFS('Таблиця 1'!$K:$K,'Таблиця 1'!$B:$B,$A178,'Таблиця 1'!$I:$I,"МіГ-29",'Таблиця 1'!$J:$J,"C-13")+SUMIFS('Таблиця 1'!$K:$K,'Таблиця 1'!$B:$B,$A178,'Таблиця 1'!$I:$I,"Су-25",'Таблиця 1'!$J:$J,"C-13")+SUMIFS('Таблиця 1'!$K:$K,'Таблиця 1'!$B:$B,$A178,'Таблиця 1'!$I:$I,"Су-27",'Таблиця 1'!$J:$J,"C-13"))</f>
        <v/>
      </c>
      <c r="P178">
        <f>IF($A178="","",SUMIFS('Таблиця 1'!$K:$K,'Таблиця 1'!$B:$B,$A178,'Таблиця 1'!$I:$I,"Mirage",'Таблиця 1'!$J:$J,"MK-32")+SUMIFS('Таблиця 1'!$K:$K,'Таблиця 1'!$B:$B,$A178,'Таблиця 1'!$I:$I,"F-16",'Таблиця 1'!$J:$J,"MK-32")+SUMIFS('Таблиця 1'!$K:$K,'Таблиця 1'!$B:$B,$A178,'Таблиця 1'!$I:$I,"МіГ-29",'Таблиця 1'!$J:$J,"MK-32")+SUMIFS('Таблиця 1'!$K:$K,'Таблиця 1'!$B:$B,$A178,'Таблиця 1'!$I:$I,"Су-25",'Таблиця 1'!$J:$J,"MK-32")+SUMIFS('Таблиця 1'!$K:$K,'Таблиця 1'!$B:$B,$A178,'Таблиця 1'!$I:$I,"Су-27",'Таблиця 1'!$J:$J,"MK-32"))</f>
        <v/>
      </c>
      <c r="Q178">
        <f>IF($A178="","",SUMIFS('Таблиця 1'!$K:$K,'Таблиця 1'!$B:$B,$A178,'Таблиця 1'!$I:$I,"Mirage",'Таблиця 1'!$J:$J,"MK-24")+SUMIFS('Таблиця 1'!$K:$K,'Таблиця 1'!$B:$B,$A178,'Таблиця 1'!$I:$I,"F-16",'Таблиця 1'!$J:$J,"MK-24")+SUMIFS('Таблиця 1'!$K:$K,'Таблиця 1'!$B:$B,$A178,'Таблиця 1'!$I:$I,"МіГ-29",'Таблиця 1'!$J:$J,"MK-24")+SUMIFS('Таблиця 1'!$K:$K,'Таблиця 1'!$B:$B,$A178,'Таблиця 1'!$I:$I,"Су-25",'Таблиця 1'!$J:$J,"MK-24")+SUMIFS('Таблиця 1'!$K:$K,'Таблиця 1'!$B:$B,$A178,'Таблиця 1'!$I:$I,"Су-27",'Таблиця 1'!$J:$J,"MK-24"))</f>
        <v/>
      </c>
      <c r="R178">
        <f>IF($A178="","",COUNTIFS('Таблиця 1'!$B:$B,$A178,'Таблиця 1'!$I:$I,"Mirage",'Таблиця 1'!$L:$L,"Уражено")+COUNTIFS('Таблиця 1'!$B:$B,$A178,'Таблиця 1'!$I:$I,"F-16",'Таблиця 1'!$L:$L,"Уражено")+COUNTIFS('Таблиця 1'!$B:$B,$A178,'Таблиця 1'!$I:$I,"МіГ-29",'Таблиця 1'!$L:$L,"Уражено")+COUNTIFS('Таблиця 1'!$B:$B,$A178,'Таблиця 1'!$I:$I,"Су-25",'Таблиця 1'!$L:$L,"Уражено")+COUNTIFS('Таблиця 1'!$B:$B,$A178,'Таблиця 1'!$I:$I,"Су-27",'Таблиця 1'!$L:$L,"Уражено"))</f>
        <v/>
      </c>
      <c r="S178">
        <f>IF($A178="","",COUNTIFS('Таблиця 1'!$B:$B,$A178,'Таблиця 1'!$I:$I,"Mirage",'Таблиця 1'!$L:$L,"НЕ уражено")+COUNTIFS('Таблиця 1'!$B:$B,$A178,'Таблиця 1'!$I:$I,"F-16",'Таблиця 1'!$L:$L,"НЕ уражено")+COUNTIFS('Таблиця 1'!$B:$B,$A178,'Таблиця 1'!$I:$I,"МіГ-29",'Таблиця 1'!$L:$L,"НЕ уражено")+COUNTIFS('Таблиця 1'!$B:$B,$A178,'Таблиця 1'!$I:$I,"Су-25",'Таблиця 1'!$L:$L,"НЕ уражено")+COUNTIFS('Таблиця 1'!$B:$B,$A178,'Таблиця 1'!$I:$I,"Су-27",'Таблиця 1'!$L:$L,"НЕ уражено"))</f>
        <v/>
      </c>
      <c r="T178">
        <f>IF($A178="","",COUNTIFS('Таблиця 1'!$B:$B,$A178,'Таблиця 1'!$I:$I,"Mirage",'Таблиця 1'!$L:$L,"Дорозвідується")+COUNTIFS('Таблиця 1'!$B:$B,$A178,'Таблиця 1'!$I:$I,"F-16",'Таблиця 1'!$L:$L,"Дорозвідується")+COUNTIFS('Таблиця 1'!$B:$B,$A178,'Таблиця 1'!$I:$I,"МіГ-29",'Таблиця 1'!$L:$L,"Дорозвідується")+COUNTIFS('Таблиця 1'!$B:$B,$A178,'Таблиця 1'!$I:$I,"Су-25",'Таблиця 1'!$L:$L,"Дорозвідується")+COUNTIFS('Таблиця 1'!$B:$B,$A178,'Таблиця 1'!$I:$I,"Су-27",'Таблиця 1'!$L:$L,"Дорозвідується"))</f>
        <v/>
      </c>
    </row>
    <row r="179">
      <c r="A179" s="273">
        <f>IF(A178="","",IF(A178+1&gt;MAX('Таблиця 1'!$B:$B),"",A178+1))</f>
        <v/>
      </c>
      <c r="B179">
        <f>IF($A179="","",COUNTIFS('Таблиця 1'!$B:$B,$A179,'Таблиця 1'!$I:$I,"Mirage")+COUNTIFS('Таблиця 1'!$B:$B,$A179,'Таблиця 1'!$I:$I,"F-16")+COUNTIFS('Таблиця 1'!$B:$B,$A179,'Таблиця 1'!$I:$I,"МіГ-29")+COUNTIFS('Таблиця 1'!$B:$B,$A179,'Таблиця 1'!$I:$I,"Су-25")+COUNTIFS('Таблиця 1'!$B:$B,$A179,'Таблиця 1'!$I:$I,"Су-27"))</f>
        <v/>
      </c>
      <c r="C179">
        <f>IF($A179="","",COUNTIFS('Таблиця 1'!$B:$B,$A179,'Таблиця 1'!$I:$I,"Mirage"))</f>
        <v/>
      </c>
      <c r="D179">
        <f>IF($A179="","",COUNTIFS('Таблиця 1'!$B:$B,$A179,'Таблиця 1'!$I:$I,"F-16"))</f>
        <v/>
      </c>
      <c r="E179">
        <f>IF($A179="","",COUNTIFS('Таблиця 1'!$B:$B,$A179,'Таблиця 1'!$I:$I,"МіГ-29"))</f>
        <v/>
      </c>
      <c r="F179">
        <f>IF($A179="","",COUNTIFS('Таблиця 1'!$B:$B,$A179,'Таблиця 1'!$I:$I,"Су-25"))</f>
        <v/>
      </c>
      <c r="G179">
        <f>IF($A179="","",COUNTIFS('Таблиця 1'!$B:$B,$A179,'Таблиця 1'!$I:$I,"Су-27"))</f>
        <v/>
      </c>
      <c r="H179">
        <f>IF($A179="","",SUMIFS('Таблиця 1'!$K:$K,'Таблиця 1'!$B:$B,$A179,'Таблиця 1'!$I:$I,"Mirage",'Таблиця 1'!$J:$J,"AGM-88")+SUMIFS('Таблиця 1'!$K:$K,'Таблиця 1'!$B:$B,$A179,'Таблиця 1'!$I:$I,"F-16",'Таблиця 1'!$J:$J,"AGM-88")+SUMIFS('Таблиця 1'!$K:$K,'Таблиця 1'!$B:$B,$A179,'Таблиця 1'!$I:$I,"МіГ-29",'Таблиця 1'!$J:$J,"AGM-88")+SUMIFS('Таблиця 1'!$K:$K,'Таблиця 1'!$B:$B,$A179,'Таблиця 1'!$I:$I,"Су-25",'Таблиця 1'!$J:$J,"AGM-88")+SUMIFS('Таблиця 1'!$K:$K,'Таблиця 1'!$B:$B,$A179,'Таблиця 1'!$I:$I,"Су-27",'Таблиця 1'!$J:$J,"AGM-88"))</f>
        <v/>
      </c>
      <c r="I179">
        <f>IF($A179="","",SUMIFS('Таблиця 1'!$K:$K,'Таблиця 1'!$B:$B,$A179,'Таблиця 1'!$I:$I,"Mirage",'Таблиця 1'!$J:$J,"AASM-250")+SUMIFS('Таблиця 1'!$K:$K,'Таблиця 1'!$B:$B,$A179,'Таблиця 1'!$I:$I,"F-16",'Таблиця 1'!$J:$J,"AASM-250")+SUMIFS('Таблиця 1'!$K:$K,'Таблиця 1'!$B:$B,$A179,'Таблиця 1'!$I:$I,"МіГ-29",'Таблиця 1'!$J:$J,"AASM-250")+SUMIFS('Таблиця 1'!$K:$K,'Таблиця 1'!$B:$B,$A179,'Таблиця 1'!$I:$I,"Су-25",'Таблиця 1'!$J:$J,"AASM-250")+SUMIFS('Таблиця 1'!$K:$K,'Таблиця 1'!$B:$B,$A179,'Таблиця 1'!$I:$I,"Су-27",'Таблиця 1'!$J:$J,"AASM-250"))</f>
        <v/>
      </c>
      <c r="J179">
        <f>IF($A179="","",SUMIFS('Таблиця 1'!$K:$K,'Таблиця 1'!$B:$B,$A179,'Таблиця 1'!$I:$I,"Mirage",'Таблиця 1'!$J:$J,"GBU-39")+SUMIFS('Таблиця 1'!$K:$K,'Таблиця 1'!$B:$B,$A179,'Таблиця 1'!$I:$I,"F-16",'Таблиця 1'!$J:$J,"GBU-39")+SUMIFS('Таблиця 1'!$K:$K,'Таблиця 1'!$B:$B,$A179,'Таблиця 1'!$I:$I,"МіГ-29",'Таблиця 1'!$J:$J,"GBU-39")+SUMIFS('Таблиця 1'!$K:$K,'Таблиця 1'!$B:$B,$A179,'Таблиця 1'!$I:$I,"Су-25",'Таблиця 1'!$J:$J,"GBU-39")+SUMIFS('Таблиця 1'!$K:$K,'Таблиця 1'!$B:$B,$A179,'Таблиця 1'!$I:$I,"Су-27",'Таблиця 1'!$J:$J,"GBU-39"))</f>
        <v/>
      </c>
      <c r="K179">
        <f>IF($A179="","",SUMIFS('Таблиця 1'!$K:$K,'Таблиця 1'!$B:$B,$A179,'Таблиця 1'!$I:$I,"Mirage",'Таблиця 1'!$J:$J,"BLU-140")+SUMIFS('Таблиця 1'!$K:$K,'Таблиця 1'!$B:$B,$A179,'Таблиця 1'!$I:$I,"F-16",'Таблиця 1'!$J:$J,"BLU-140")+SUMIFS('Таблиця 1'!$K:$K,'Таблиця 1'!$B:$B,$A179,'Таблиця 1'!$I:$I,"МіГ-29",'Таблиця 1'!$J:$J,"BLU-140")+SUMIFS('Таблиця 1'!$K:$K,'Таблиця 1'!$B:$B,$A179,'Таблиця 1'!$I:$I,"Су-25",'Таблиця 1'!$J:$J,"BLU-140")+SUMIFS('Таблиця 1'!$K:$K,'Таблиця 1'!$B:$B,$A179,'Таблиця 1'!$I:$I,"Су-27",'Таблиця 1'!$J:$J,"BLU-140"))</f>
        <v/>
      </c>
      <c r="L179">
        <f>IF($A179="","",SUMIFS('Таблиця 1'!$K:$K,'Таблиця 1'!$B:$B,$A179,'Таблиця 1'!$I:$I,"Mirage",'Таблиця 1'!$J:$J,"GBU-65")+SUMIFS('Таблиця 1'!$K:$K,'Таблиця 1'!$B:$B,$A179,'Таблиця 1'!$I:$I,"F-16",'Таблиця 1'!$J:$J,"GBU-65")+SUMIFS('Таблиця 1'!$K:$K,'Таблиця 1'!$B:$B,$A179,'Таблиця 1'!$I:$I,"МіГ-29",'Таблиця 1'!$J:$J,"GBU-65")+SUMIFS('Таблиця 1'!$K:$K,'Таблиця 1'!$B:$B,$A179,'Таблиця 1'!$I:$I,"Су-25",'Таблиця 1'!$J:$J,"GBU-65")+SUMIFS('Таблиця 1'!$K:$K,'Таблиця 1'!$B:$B,$A179,'Таблиця 1'!$I:$I,"Су-27",'Таблиця 1'!$J:$J,"GBU-65"))</f>
        <v/>
      </c>
      <c r="M179">
        <f>IF($A179="","",SUMIFS('Таблиця 1'!$K:$K,'Таблиця 1'!$B:$B,$A179,'Таблиця 1'!$I:$I,"Mirage",'Таблиця 1'!$J:$J,"GBU-62")+SUMIFS('Таблиця 1'!$K:$K,'Таблиця 1'!$B:$B,$A179,'Таблиця 1'!$I:$I,"F-16",'Таблиця 1'!$J:$J,"GBU-62")+SUMIFS('Таблиця 1'!$K:$K,'Таблиця 1'!$B:$B,$A179,'Таблиця 1'!$I:$I,"МіГ-29",'Таблиця 1'!$J:$J,"GBU-62")+SUMIFS('Таблиця 1'!$K:$K,'Таблиця 1'!$B:$B,$A179,'Таблиця 1'!$I:$I,"Су-25",'Таблиця 1'!$J:$J,"GBU-62")+SUMIFS('Таблиця 1'!$K:$K,'Таблиця 1'!$B:$B,$A179,'Таблиця 1'!$I:$I,"Су-27",'Таблиця 1'!$J:$J,"GBU-62"))</f>
        <v/>
      </c>
      <c r="N179">
        <f>IF($A179="","",SUMIFS('Таблиця 1'!$K:$K,'Таблиця 1'!$B:$B,$A179,'Таблиця 1'!$I:$I,"Mirage",'Таблиця 1'!$J:$J,"GBU-64")+SUMIFS('Таблиця 1'!$K:$K,'Таблиця 1'!$B:$B,$A179,'Таблиця 1'!$I:$I,"F-16",'Таблиця 1'!$J:$J,"GBU-64")+SUMIFS('Таблиця 1'!$K:$K,'Таблиця 1'!$B:$B,$A179,'Таблиця 1'!$I:$I,"МіГ-29",'Таблиця 1'!$J:$J,"GBU-64")+SUMIFS('Таблиця 1'!$K:$K,'Таблиця 1'!$B:$B,$A179,'Таблиця 1'!$I:$I,"Су-25",'Таблиця 1'!$J:$J,"GBU-64")+SUMIFS('Таблиця 1'!$K:$K,'Таблиця 1'!$B:$B,$A179,'Таблиця 1'!$I:$I,"Су-27",'Таблиця 1'!$J:$J,"GBU-64"))</f>
        <v/>
      </c>
      <c r="O179">
        <f>IF($A179="","",SUMIFS('Таблиця 1'!$K:$K,'Таблиця 1'!$B:$B,$A179,'Таблиця 1'!$I:$I,"Mirage",'Таблиця 1'!$J:$J,"C-13")+SUMIFS('Таблиця 1'!$K:$K,'Таблиця 1'!$B:$B,$A179,'Таблиця 1'!$I:$I,"F-16",'Таблиця 1'!$J:$J,"C-13")+SUMIFS('Таблиця 1'!$K:$K,'Таблиця 1'!$B:$B,$A179,'Таблиця 1'!$I:$I,"МіГ-29",'Таблиця 1'!$J:$J,"C-13")+SUMIFS('Таблиця 1'!$K:$K,'Таблиця 1'!$B:$B,$A179,'Таблиця 1'!$I:$I,"Су-25",'Таблиця 1'!$J:$J,"C-13")+SUMIFS('Таблиця 1'!$K:$K,'Таблиця 1'!$B:$B,$A179,'Таблиця 1'!$I:$I,"Су-27",'Таблиця 1'!$J:$J,"C-13"))</f>
        <v/>
      </c>
      <c r="P179">
        <f>IF($A179="","",SUMIFS('Таблиця 1'!$K:$K,'Таблиця 1'!$B:$B,$A179,'Таблиця 1'!$I:$I,"Mirage",'Таблиця 1'!$J:$J,"MK-32")+SUMIFS('Таблиця 1'!$K:$K,'Таблиця 1'!$B:$B,$A179,'Таблиця 1'!$I:$I,"F-16",'Таблиця 1'!$J:$J,"MK-32")+SUMIFS('Таблиця 1'!$K:$K,'Таблиця 1'!$B:$B,$A179,'Таблиця 1'!$I:$I,"МіГ-29",'Таблиця 1'!$J:$J,"MK-32")+SUMIFS('Таблиця 1'!$K:$K,'Таблиця 1'!$B:$B,$A179,'Таблиця 1'!$I:$I,"Су-25",'Таблиця 1'!$J:$J,"MK-32")+SUMIFS('Таблиця 1'!$K:$K,'Таблиця 1'!$B:$B,$A179,'Таблиця 1'!$I:$I,"Су-27",'Таблиця 1'!$J:$J,"MK-32"))</f>
        <v/>
      </c>
      <c r="Q179">
        <f>IF($A179="","",SUMIFS('Таблиця 1'!$K:$K,'Таблиця 1'!$B:$B,$A179,'Таблиця 1'!$I:$I,"Mirage",'Таблиця 1'!$J:$J,"MK-24")+SUMIFS('Таблиця 1'!$K:$K,'Таблиця 1'!$B:$B,$A179,'Таблиця 1'!$I:$I,"F-16",'Таблиця 1'!$J:$J,"MK-24")+SUMIFS('Таблиця 1'!$K:$K,'Таблиця 1'!$B:$B,$A179,'Таблиця 1'!$I:$I,"МіГ-29",'Таблиця 1'!$J:$J,"MK-24")+SUMIFS('Таблиця 1'!$K:$K,'Таблиця 1'!$B:$B,$A179,'Таблиця 1'!$I:$I,"Су-25",'Таблиця 1'!$J:$J,"MK-24")+SUMIFS('Таблиця 1'!$K:$K,'Таблиця 1'!$B:$B,$A179,'Таблиця 1'!$I:$I,"Су-27",'Таблиця 1'!$J:$J,"MK-24"))</f>
        <v/>
      </c>
      <c r="R179">
        <f>IF($A179="","",COUNTIFS('Таблиця 1'!$B:$B,$A179,'Таблиця 1'!$I:$I,"Mirage",'Таблиця 1'!$L:$L,"Уражено")+COUNTIFS('Таблиця 1'!$B:$B,$A179,'Таблиця 1'!$I:$I,"F-16",'Таблиця 1'!$L:$L,"Уражено")+COUNTIFS('Таблиця 1'!$B:$B,$A179,'Таблиця 1'!$I:$I,"МіГ-29",'Таблиця 1'!$L:$L,"Уражено")+COUNTIFS('Таблиця 1'!$B:$B,$A179,'Таблиця 1'!$I:$I,"Су-25",'Таблиця 1'!$L:$L,"Уражено")+COUNTIFS('Таблиця 1'!$B:$B,$A179,'Таблиця 1'!$I:$I,"Су-27",'Таблиця 1'!$L:$L,"Уражено"))</f>
        <v/>
      </c>
      <c r="S179">
        <f>IF($A179="","",COUNTIFS('Таблиця 1'!$B:$B,$A179,'Таблиця 1'!$I:$I,"Mirage",'Таблиця 1'!$L:$L,"НЕ уражено")+COUNTIFS('Таблиця 1'!$B:$B,$A179,'Таблиця 1'!$I:$I,"F-16",'Таблиця 1'!$L:$L,"НЕ уражено")+COUNTIFS('Таблиця 1'!$B:$B,$A179,'Таблиця 1'!$I:$I,"МіГ-29",'Таблиця 1'!$L:$L,"НЕ уражено")+COUNTIFS('Таблиця 1'!$B:$B,$A179,'Таблиця 1'!$I:$I,"Су-25",'Таблиця 1'!$L:$L,"НЕ уражено")+COUNTIFS('Таблиця 1'!$B:$B,$A179,'Таблиця 1'!$I:$I,"Су-27",'Таблиця 1'!$L:$L,"НЕ уражено"))</f>
        <v/>
      </c>
      <c r="T179">
        <f>IF($A179="","",COUNTIFS('Таблиця 1'!$B:$B,$A179,'Таблиця 1'!$I:$I,"Mirage",'Таблиця 1'!$L:$L,"Дорозвідується")+COUNTIFS('Таблиця 1'!$B:$B,$A179,'Таблиця 1'!$I:$I,"F-16",'Таблиця 1'!$L:$L,"Дорозвідується")+COUNTIFS('Таблиця 1'!$B:$B,$A179,'Таблиця 1'!$I:$I,"МіГ-29",'Таблиця 1'!$L:$L,"Дорозвідується")+COUNTIFS('Таблиця 1'!$B:$B,$A179,'Таблиця 1'!$I:$I,"Су-25",'Таблиця 1'!$L:$L,"Дорозвідується")+COUNTIFS('Таблиця 1'!$B:$B,$A179,'Таблиця 1'!$I:$I,"Су-27",'Таблиця 1'!$L:$L,"Дорозвідується"))</f>
        <v/>
      </c>
    </row>
    <row r="180">
      <c r="A180" s="273">
        <f>IF(A179="","",IF(A179+1&gt;MAX('Таблиця 1'!$B:$B),"",A179+1))</f>
        <v/>
      </c>
      <c r="B180">
        <f>IF($A180="","",COUNTIFS('Таблиця 1'!$B:$B,$A180,'Таблиця 1'!$I:$I,"Mirage")+COUNTIFS('Таблиця 1'!$B:$B,$A180,'Таблиця 1'!$I:$I,"F-16")+COUNTIFS('Таблиця 1'!$B:$B,$A180,'Таблиця 1'!$I:$I,"МіГ-29")+COUNTIFS('Таблиця 1'!$B:$B,$A180,'Таблиця 1'!$I:$I,"Су-25")+COUNTIFS('Таблиця 1'!$B:$B,$A180,'Таблиця 1'!$I:$I,"Су-27"))</f>
        <v/>
      </c>
      <c r="C180">
        <f>IF($A180="","",COUNTIFS('Таблиця 1'!$B:$B,$A180,'Таблиця 1'!$I:$I,"Mirage"))</f>
        <v/>
      </c>
      <c r="D180">
        <f>IF($A180="","",COUNTIFS('Таблиця 1'!$B:$B,$A180,'Таблиця 1'!$I:$I,"F-16"))</f>
        <v/>
      </c>
      <c r="E180">
        <f>IF($A180="","",COUNTIFS('Таблиця 1'!$B:$B,$A180,'Таблиця 1'!$I:$I,"МіГ-29"))</f>
        <v/>
      </c>
      <c r="F180">
        <f>IF($A180="","",COUNTIFS('Таблиця 1'!$B:$B,$A180,'Таблиця 1'!$I:$I,"Су-25"))</f>
        <v/>
      </c>
      <c r="G180">
        <f>IF($A180="","",COUNTIFS('Таблиця 1'!$B:$B,$A180,'Таблиця 1'!$I:$I,"Су-27"))</f>
        <v/>
      </c>
      <c r="H180">
        <f>IF($A180="","",SUMIFS('Таблиця 1'!$K:$K,'Таблиця 1'!$B:$B,$A180,'Таблиця 1'!$I:$I,"Mirage",'Таблиця 1'!$J:$J,"AGM-88")+SUMIFS('Таблиця 1'!$K:$K,'Таблиця 1'!$B:$B,$A180,'Таблиця 1'!$I:$I,"F-16",'Таблиця 1'!$J:$J,"AGM-88")+SUMIFS('Таблиця 1'!$K:$K,'Таблиця 1'!$B:$B,$A180,'Таблиця 1'!$I:$I,"МіГ-29",'Таблиця 1'!$J:$J,"AGM-88")+SUMIFS('Таблиця 1'!$K:$K,'Таблиця 1'!$B:$B,$A180,'Таблиця 1'!$I:$I,"Су-25",'Таблиця 1'!$J:$J,"AGM-88")+SUMIFS('Таблиця 1'!$K:$K,'Таблиця 1'!$B:$B,$A180,'Таблиця 1'!$I:$I,"Су-27",'Таблиця 1'!$J:$J,"AGM-88"))</f>
        <v/>
      </c>
      <c r="I180">
        <f>IF($A180="","",SUMIFS('Таблиця 1'!$K:$K,'Таблиця 1'!$B:$B,$A180,'Таблиця 1'!$I:$I,"Mirage",'Таблиця 1'!$J:$J,"AASM-250")+SUMIFS('Таблиця 1'!$K:$K,'Таблиця 1'!$B:$B,$A180,'Таблиця 1'!$I:$I,"F-16",'Таблиця 1'!$J:$J,"AASM-250")+SUMIFS('Таблиця 1'!$K:$K,'Таблиця 1'!$B:$B,$A180,'Таблиця 1'!$I:$I,"МіГ-29",'Таблиця 1'!$J:$J,"AASM-250")+SUMIFS('Таблиця 1'!$K:$K,'Таблиця 1'!$B:$B,$A180,'Таблиця 1'!$I:$I,"Су-25",'Таблиця 1'!$J:$J,"AASM-250")+SUMIFS('Таблиця 1'!$K:$K,'Таблиця 1'!$B:$B,$A180,'Таблиця 1'!$I:$I,"Су-27",'Таблиця 1'!$J:$J,"AASM-250"))</f>
        <v/>
      </c>
      <c r="J180">
        <f>IF($A180="","",SUMIFS('Таблиця 1'!$K:$K,'Таблиця 1'!$B:$B,$A180,'Таблиця 1'!$I:$I,"Mirage",'Таблиця 1'!$J:$J,"GBU-39")+SUMIFS('Таблиця 1'!$K:$K,'Таблиця 1'!$B:$B,$A180,'Таблиця 1'!$I:$I,"F-16",'Таблиця 1'!$J:$J,"GBU-39")+SUMIFS('Таблиця 1'!$K:$K,'Таблиця 1'!$B:$B,$A180,'Таблиця 1'!$I:$I,"МіГ-29",'Таблиця 1'!$J:$J,"GBU-39")+SUMIFS('Таблиця 1'!$K:$K,'Таблиця 1'!$B:$B,$A180,'Таблиця 1'!$I:$I,"Су-25",'Таблиця 1'!$J:$J,"GBU-39")+SUMIFS('Таблиця 1'!$K:$K,'Таблиця 1'!$B:$B,$A180,'Таблиця 1'!$I:$I,"Су-27",'Таблиця 1'!$J:$J,"GBU-39"))</f>
        <v/>
      </c>
      <c r="K180">
        <f>IF($A180="","",SUMIFS('Таблиця 1'!$K:$K,'Таблиця 1'!$B:$B,$A180,'Таблиця 1'!$I:$I,"Mirage",'Таблиця 1'!$J:$J,"BLU-140")+SUMIFS('Таблиця 1'!$K:$K,'Таблиця 1'!$B:$B,$A180,'Таблиця 1'!$I:$I,"F-16",'Таблиця 1'!$J:$J,"BLU-140")+SUMIFS('Таблиця 1'!$K:$K,'Таблиця 1'!$B:$B,$A180,'Таблиця 1'!$I:$I,"МіГ-29",'Таблиця 1'!$J:$J,"BLU-140")+SUMIFS('Таблиця 1'!$K:$K,'Таблиця 1'!$B:$B,$A180,'Таблиця 1'!$I:$I,"Су-25",'Таблиця 1'!$J:$J,"BLU-140")+SUMIFS('Таблиця 1'!$K:$K,'Таблиця 1'!$B:$B,$A180,'Таблиця 1'!$I:$I,"Су-27",'Таблиця 1'!$J:$J,"BLU-140"))</f>
        <v/>
      </c>
      <c r="L180">
        <f>IF($A180="","",SUMIFS('Таблиця 1'!$K:$K,'Таблиця 1'!$B:$B,$A180,'Таблиця 1'!$I:$I,"Mirage",'Таблиця 1'!$J:$J,"GBU-65")+SUMIFS('Таблиця 1'!$K:$K,'Таблиця 1'!$B:$B,$A180,'Таблиця 1'!$I:$I,"F-16",'Таблиця 1'!$J:$J,"GBU-65")+SUMIFS('Таблиця 1'!$K:$K,'Таблиця 1'!$B:$B,$A180,'Таблиця 1'!$I:$I,"МіГ-29",'Таблиця 1'!$J:$J,"GBU-65")+SUMIFS('Таблиця 1'!$K:$K,'Таблиця 1'!$B:$B,$A180,'Таблиця 1'!$I:$I,"Су-25",'Таблиця 1'!$J:$J,"GBU-65")+SUMIFS('Таблиця 1'!$K:$K,'Таблиця 1'!$B:$B,$A180,'Таблиця 1'!$I:$I,"Су-27",'Таблиця 1'!$J:$J,"GBU-65"))</f>
        <v/>
      </c>
      <c r="M180">
        <f>IF($A180="","",SUMIFS('Таблиця 1'!$K:$K,'Таблиця 1'!$B:$B,$A180,'Таблиця 1'!$I:$I,"Mirage",'Таблиця 1'!$J:$J,"GBU-62")+SUMIFS('Таблиця 1'!$K:$K,'Таблиця 1'!$B:$B,$A180,'Таблиця 1'!$I:$I,"F-16",'Таблиця 1'!$J:$J,"GBU-62")+SUMIFS('Таблиця 1'!$K:$K,'Таблиця 1'!$B:$B,$A180,'Таблиця 1'!$I:$I,"МіГ-29",'Таблиця 1'!$J:$J,"GBU-62")+SUMIFS('Таблиця 1'!$K:$K,'Таблиця 1'!$B:$B,$A180,'Таблиця 1'!$I:$I,"Су-25",'Таблиця 1'!$J:$J,"GBU-62")+SUMIFS('Таблиця 1'!$K:$K,'Таблиця 1'!$B:$B,$A180,'Таблиця 1'!$I:$I,"Су-27",'Таблиця 1'!$J:$J,"GBU-62"))</f>
        <v/>
      </c>
      <c r="N180">
        <f>IF($A180="","",SUMIFS('Таблиця 1'!$K:$K,'Таблиця 1'!$B:$B,$A180,'Таблиця 1'!$I:$I,"Mirage",'Таблиця 1'!$J:$J,"GBU-64")+SUMIFS('Таблиця 1'!$K:$K,'Таблиця 1'!$B:$B,$A180,'Таблиця 1'!$I:$I,"F-16",'Таблиця 1'!$J:$J,"GBU-64")+SUMIFS('Таблиця 1'!$K:$K,'Таблиця 1'!$B:$B,$A180,'Таблиця 1'!$I:$I,"МіГ-29",'Таблиця 1'!$J:$J,"GBU-64")+SUMIFS('Таблиця 1'!$K:$K,'Таблиця 1'!$B:$B,$A180,'Таблиця 1'!$I:$I,"Су-25",'Таблиця 1'!$J:$J,"GBU-64")+SUMIFS('Таблиця 1'!$K:$K,'Таблиця 1'!$B:$B,$A180,'Таблиця 1'!$I:$I,"Су-27",'Таблиця 1'!$J:$J,"GBU-64"))</f>
        <v/>
      </c>
      <c r="O180">
        <f>IF($A180="","",SUMIFS('Таблиця 1'!$K:$K,'Таблиця 1'!$B:$B,$A180,'Таблиця 1'!$I:$I,"Mirage",'Таблиця 1'!$J:$J,"C-13")+SUMIFS('Таблиця 1'!$K:$K,'Таблиця 1'!$B:$B,$A180,'Таблиця 1'!$I:$I,"F-16",'Таблиця 1'!$J:$J,"C-13")+SUMIFS('Таблиця 1'!$K:$K,'Таблиця 1'!$B:$B,$A180,'Таблиця 1'!$I:$I,"МіГ-29",'Таблиця 1'!$J:$J,"C-13")+SUMIFS('Таблиця 1'!$K:$K,'Таблиця 1'!$B:$B,$A180,'Таблиця 1'!$I:$I,"Су-25",'Таблиця 1'!$J:$J,"C-13")+SUMIFS('Таблиця 1'!$K:$K,'Таблиця 1'!$B:$B,$A180,'Таблиця 1'!$I:$I,"Су-27",'Таблиця 1'!$J:$J,"C-13"))</f>
        <v/>
      </c>
      <c r="P180">
        <f>IF($A180="","",SUMIFS('Таблиця 1'!$K:$K,'Таблиця 1'!$B:$B,$A180,'Таблиця 1'!$I:$I,"Mirage",'Таблиця 1'!$J:$J,"MK-32")+SUMIFS('Таблиця 1'!$K:$K,'Таблиця 1'!$B:$B,$A180,'Таблиця 1'!$I:$I,"F-16",'Таблиця 1'!$J:$J,"MK-32")+SUMIFS('Таблиця 1'!$K:$K,'Таблиця 1'!$B:$B,$A180,'Таблиця 1'!$I:$I,"МіГ-29",'Таблиця 1'!$J:$J,"MK-32")+SUMIFS('Таблиця 1'!$K:$K,'Таблиця 1'!$B:$B,$A180,'Таблиця 1'!$I:$I,"Су-25",'Таблиця 1'!$J:$J,"MK-32")+SUMIFS('Таблиця 1'!$K:$K,'Таблиця 1'!$B:$B,$A180,'Таблиця 1'!$I:$I,"Су-27",'Таблиця 1'!$J:$J,"MK-32"))</f>
        <v/>
      </c>
      <c r="Q180">
        <f>IF($A180="","",SUMIFS('Таблиця 1'!$K:$K,'Таблиця 1'!$B:$B,$A180,'Таблиця 1'!$I:$I,"Mirage",'Таблиця 1'!$J:$J,"MK-24")+SUMIFS('Таблиця 1'!$K:$K,'Таблиця 1'!$B:$B,$A180,'Таблиця 1'!$I:$I,"F-16",'Таблиця 1'!$J:$J,"MK-24")+SUMIFS('Таблиця 1'!$K:$K,'Таблиця 1'!$B:$B,$A180,'Таблиця 1'!$I:$I,"МіГ-29",'Таблиця 1'!$J:$J,"MK-24")+SUMIFS('Таблиця 1'!$K:$K,'Таблиця 1'!$B:$B,$A180,'Таблиця 1'!$I:$I,"Су-25",'Таблиця 1'!$J:$J,"MK-24")+SUMIFS('Таблиця 1'!$K:$K,'Таблиця 1'!$B:$B,$A180,'Таблиця 1'!$I:$I,"Су-27",'Таблиця 1'!$J:$J,"MK-24"))</f>
        <v/>
      </c>
      <c r="R180">
        <f>IF($A180="","",COUNTIFS('Таблиця 1'!$B:$B,$A180,'Таблиця 1'!$I:$I,"Mirage",'Таблиця 1'!$L:$L,"Уражено")+COUNTIFS('Таблиця 1'!$B:$B,$A180,'Таблиця 1'!$I:$I,"F-16",'Таблиця 1'!$L:$L,"Уражено")+COUNTIFS('Таблиця 1'!$B:$B,$A180,'Таблиця 1'!$I:$I,"МіГ-29",'Таблиця 1'!$L:$L,"Уражено")+COUNTIFS('Таблиця 1'!$B:$B,$A180,'Таблиця 1'!$I:$I,"Су-25",'Таблиця 1'!$L:$L,"Уражено")+COUNTIFS('Таблиця 1'!$B:$B,$A180,'Таблиця 1'!$I:$I,"Су-27",'Таблиця 1'!$L:$L,"Уражено"))</f>
        <v/>
      </c>
      <c r="S180">
        <f>IF($A180="","",COUNTIFS('Таблиця 1'!$B:$B,$A180,'Таблиця 1'!$I:$I,"Mirage",'Таблиця 1'!$L:$L,"НЕ уражено")+COUNTIFS('Таблиця 1'!$B:$B,$A180,'Таблиця 1'!$I:$I,"F-16",'Таблиця 1'!$L:$L,"НЕ уражено")+COUNTIFS('Таблиця 1'!$B:$B,$A180,'Таблиця 1'!$I:$I,"МіГ-29",'Таблиця 1'!$L:$L,"НЕ уражено")+COUNTIFS('Таблиця 1'!$B:$B,$A180,'Таблиця 1'!$I:$I,"Су-25",'Таблиця 1'!$L:$L,"НЕ уражено")+COUNTIFS('Таблиця 1'!$B:$B,$A180,'Таблиця 1'!$I:$I,"Су-27",'Таблиця 1'!$L:$L,"НЕ уражено"))</f>
        <v/>
      </c>
      <c r="T180">
        <f>IF($A180="","",COUNTIFS('Таблиця 1'!$B:$B,$A180,'Таблиця 1'!$I:$I,"Mirage",'Таблиця 1'!$L:$L,"Дорозвідується")+COUNTIFS('Таблиця 1'!$B:$B,$A180,'Таблиця 1'!$I:$I,"F-16",'Таблиця 1'!$L:$L,"Дорозвідується")+COUNTIFS('Таблиця 1'!$B:$B,$A180,'Таблиця 1'!$I:$I,"МіГ-29",'Таблиця 1'!$L:$L,"Дорозвідується")+COUNTIFS('Таблиця 1'!$B:$B,$A180,'Таблиця 1'!$I:$I,"Су-25",'Таблиця 1'!$L:$L,"Дорозвідується")+COUNTIFS('Таблиця 1'!$B:$B,$A180,'Таблиця 1'!$I:$I,"Су-27",'Таблиця 1'!$L:$L,"Дорозвідується"))</f>
        <v/>
      </c>
    </row>
    <row r="181">
      <c r="A181" s="273">
        <f>IF(A180="","",IF(A180+1&gt;MAX('Таблиця 1'!$B:$B),"",A180+1))</f>
        <v/>
      </c>
      <c r="B181">
        <f>IF($A181="","",COUNTIFS('Таблиця 1'!$B:$B,$A181,'Таблиця 1'!$I:$I,"Mirage")+COUNTIFS('Таблиця 1'!$B:$B,$A181,'Таблиця 1'!$I:$I,"F-16")+COUNTIFS('Таблиця 1'!$B:$B,$A181,'Таблиця 1'!$I:$I,"МіГ-29")+COUNTIFS('Таблиця 1'!$B:$B,$A181,'Таблиця 1'!$I:$I,"Су-25")+COUNTIFS('Таблиця 1'!$B:$B,$A181,'Таблиця 1'!$I:$I,"Су-27"))</f>
        <v/>
      </c>
      <c r="C181">
        <f>IF($A181="","",COUNTIFS('Таблиця 1'!$B:$B,$A181,'Таблиця 1'!$I:$I,"Mirage"))</f>
        <v/>
      </c>
      <c r="D181">
        <f>IF($A181="","",COUNTIFS('Таблиця 1'!$B:$B,$A181,'Таблиця 1'!$I:$I,"F-16"))</f>
        <v/>
      </c>
      <c r="E181">
        <f>IF($A181="","",COUNTIFS('Таблиця 1'!$B:$B,$A181,'Таблиця 1'!$I:$I,"МіГ-29"))</f>
        <v/>
      </c>
      <c r="F181">
        <f>IF($A181="","",COUNTIFS('Таблиця 1'!$B:$B,$A181,'Таблиця 1'!$I:$I,"Су-25"))</f>
        <v/>
      </c>
      <c r="G181">
        <f>IF($A181="","",COUNTIFS('Таблиця 1'!$B:$B,$A181,'Таблиця 1'!$I:$I,"Су-27"))</f>
        <v/>
      </c>
      <c r="H181">
        <f>IF($A181="","",SUMIFS('Таблиця 1'!$K:$K,'Таблиця 1'!$B:$B,$A181,'Таблиця 1'!$I:$I,"Mirage",'Таблиця 1'!$J:$J,"AGM-88")+SUMIFS('Таблиця 1'!$K:$K,'Таблиця 1'!$B:$B,$A181,'Таблиця 1'!$I:$I,"F-16",'Таблиця 1'!$J:$J,"AGM-88")+SUMIFS('Таблиця 1'!$K:$K,'Таблиця 1'!$B:$B,$A181,'Таблиця 1'!$I:$I,"МіГ-29",'Таблиця 1'!$J:$J,"AGM-88")+SUMIFS('Таблиця 1'!$K:$K,'Таблиця 1'!$B:$B,$A181,'Таблиця 1'!$I:$I,"Су-25",'Таблиця 1'!$J:$J,"AGM-88")+SUMIFS('Таблиця 1'!$K:$K,'Таблиця 1'!$B:$B,$A181,'Таблиця 1'!$I:$I,"Су-27",'Таблиця 1'!$J:$J,"AGM-88"))</f>
        <v/>
      </c>
      <c r="I181">
        <f>IF($A181="","",SUMIFS('Таблиця 1'!$K:$K,'Таблиця 1'!$B:$B,$A181,'Таблиця 1'!$I:$I,"Mirage",'Таблиця 1'!$J:$J,"AASM-250")+SUMIFS('Таблиця 1'!$K:$K,'Таблиця 1'!$B:$B,$A181,'Таблиця 1'!$I:$I,"F-16",'Таблиця 1'!$J:$J,"AASM-250")+SUMIFS('Таблиця 1'!$K:$K,'Таблиця 1'!$B:$B,$A181,'Таблиця 1'!$I:$I,"МіГ-29",'Таблиця 1'!$J:$J,"AASM-250")+SUMIFS('Таблиця 1'!$K:$K,'Таблиця 1'!$B:$B,$A181,'Таблиця 1'!$I:$I,"Су-25",'Таблиця 1'!$J:$J,"AASM-250")+SUMIFS('Таблиця 1'!$K:$K,'Таблиця 1'!$B:$B,$A181,'Таблиця 1'!$I:$I,"Су-27",'Таблиця 1'!$J:$J,"AASM-250"))</f>
        <v/>
      </c>
      <c r="J181">
        <f>IF($A181="","",SUMIFS('Таблиця 1'!$K:$K,'Таблиця 1'!$B:$B,$A181,'Таблиця 1'!$I:$I,"Mirage",'Таблиця 1'!$J:$J,"GBU-39")+SUMIFS('Таблиця 1'!$K:$K,'Таблиця 1'!$B:$B,$A181,'Таблиця 1'!$I:$I,"F-16",'Таблиця 1'!$J:$J,"GBU-39")+SUMIFS('Таблиця 1'!$K:$K,'Таблиця 1'!$B:$B,$A181,'Таблиця 1'!$I:$I,"МіГ-29",'Таблиця 1'!$J:$J,"GBU-39")+SUMIFS('Таблиця 1'!$K:$K,'Таблиця 1'!$B:$B,$A181,'Таблиця 1'!$I:$I,"Су-25",'Таблиця 1'!$J:$J,"GBU-39")+SUMIFS('Таблиця 1'!$K:$K,'Таблиця 1'!$B:$B,$A181,'Таблиця 1'!$I:$I,"Су-27",'Таблиця 1'!$J:$J,"GBU-39"))</f>
        <v/>
      </c>
      <c r="K181">
        <f>IF($A181="","",SUMIFS('Таблиця 1'!$K:$K,'Таблиця 1'!$B:$B,$A181,'Таблиця 1'!$I:$I,"Mirage",'Таблиця 1'!$J:$J,"BLU-140")+SUMIFS('Таблиця 1'!$K:$K,'Таблиця 1'!$B:$B,$A181,'Таблиця 1'!$I:$I,"F-16",'Таблиця 1'!$J:$J,"BLU-140")+SUMIFS('Таблиця 1'!$K:$K,'Таблиця 1'!$B:$B,$A181,'Таблиця 1'!$I:$I,"МіГ-29",'Таблиця 1'!$J:$J,"BLU-140")+SUMIFS('Таблиця 1'!$K:$K,'Таблиця 1'!$B:$B,$A181,'Таблиця 1'!$I:$I,"Су-25",'Таблиця 1'!$J:$J,"BLU-140")+SUMIFS('Таблиця 1'!$K:$K,'Таблиця 1'!$B:$B,$A181,'Таблиця 1'!$I:$I,"Су-27",'Таблиця 1'!$J:$J,"BLU-140"))</f>
        <v/>
      </c>
      <c r="L181">
        <f>IF($A181="","",SUMIFS('Таблиця 1'!$K:$K,'Таблиця 1'!$B:$B,$A181,'Таблиця 1'!$I:$I,"Mirage",'Таблиця 1'!$J:$J,"GBU-65")+SUMIFS('Таблиця 1'!$K:$K,'Таблиця 1'!$B:$B,$A181,'Таблиця 1'!$I:$I,"F-16",'Таблиця 1'!$J:$J,"GBU-65")+SUMIFS('Таблиця 1'!$K:$K,'Таблиця 1'!$B:$B,$A181,'Таблиця 1'!$I:$I,"МіГ-29",'Таблиця 1'!$J:$J,"GBU-65")+SUMIFS('Таблиця 1'!$K:$K,'Таблиця 1'!$B:$B,$A181,'Таблиця 1'!$I:$I,"Су-25",'Таблиця 1'!$J:$J,"GBU-65")+SUMIFS('Таблиця 1'!$K:$K,'Таблиця 1'!$B:$B,$A181,'Таблиця 1'!$I:$I,"Су-27",'Таблиця 1'!$J:$J,"GBU-65"))</f>
        <v/>
      </c>
      <c r="M181">
        <f>IF($A181="","",SUMIFS('Таблиця 1'!$K:$K,'Таблиця 1'!$B:$B,$A181,'Таблиця 1'!$I:$I,"Mirage",'Таблиця 1'!$J:$J,"GBU-62")+SUMIFS('Таблиця 1'!$K:$K,'Таблиця 1'!$B:$B,$A181,'Таблиця 1'!$I:$I,"F-16",'Таблиця 1'!$J:$J,"GBU-62")+SUMIFS('Таблиця 1'!$K:$K,'Таблиця 1'!$B:$B,$A181,'Таблиця 1'!$I:$I,"МіГ-29",'Таблиця 1'!$J:$J,"GBU-62")+SUMIFS('Таблиця 1'!$K:$K,'Таблиця 1'!$B:$B,$A181,'Таблиця 1'!$I:$I,"Су-25",'Таблиця 1'!$J:$J,"GBU-62")+SUMIFS('Таблиця 1'!$K:$K,'Таблиця 1'!$B:$B,$A181,'Таблиця 1'!$I:$I,"Су-27",'Таблиця 1'!$J:$J,"GBU-62"))</f>
        <v/>
      </c>
      <c r="N181">
        <f>IF($A181="","",SUMIFS('Таблиця 1'!$K:$K,'Таблиця 1'!$B:$B,$A181,'Таблиця 1'!$I:$I,"Mirage",'Таблиця 1'!$J:$J,"GBU-64")+SUMIFS('Таблиця 1'!$K:$K,'Таблиця 1'!$B:$B,$A181,'Таблиця 1'!$I:$I,"F-16",'Таблиця 1'!$J:$J,"GBU-64")+SUMIFS('Таблиця 1'!$K:$K,'Таблиця 1'!$B:$B,$A181,'Таблиця 1'!$I:$I,"МіГ-29",'Таблиця 1'!$J:$J,"GBU-64")+SUMIFS('Таблиця 1'!$K:$K,'Таблиця 1'!$B:$B,$A181,'Таблиця 1'!$I:$I,"Су-25",'Таблиця 1'!$J:$J,"GBU-64")+SUMIFS('Таблиця 1'!$K:$K,'Таблиця 1'!$B:$B,$A181,'Таблиця 1'!$I:$I,"Су-27",'Таблиця 1'!$J:$J,"GBU-64"))</f>
        <v/>
      </c>
      <c r="O181">
        <f>IF($A181="","",SUMIFS('Таблиця 1'!$K:$K,'Таблиця 1'!$B:$B,$A181,'Таблиця 1'!$I:$I,"Mirage",'Таблиця 1'!$J:$J,"C-13")+SUMIFS('Таблиця 1'!$K:$K,'Таблиця 1'!$B:$B,$A181,'Таблиця 1'!$I:$I,"F-16",'Таблиця 1'!$J:$J,"C-13")+SUMIFS('Таблиця 1'!$K:$K,'Таблиця 1'!$B:$B,$A181,'Таблиця 1'!$I:$I,"МіГ-29",'Таблиця 1'!$J:$J,"C-13")+SUMIFS('Таблиця 1'!$K:$K,'Таблиця 1'!$B:$B,$A181,'Таблиця 1'!$I:$I,"Су-25",'Таблиця 1'!$J:$J,"C-13")+SUMIFS('Таблиця 1'!$K:$K,'Таблиця 1'!$B:$B,$A181,'Таблиця 1'!$I:$I,"Су-27",'Таблиця 1'!$J:$J,"C-13"))</f>
        <v/>
      </c>
      <c r="P181">
        <f>IF($A181="","",SUMIFS('Таблиця 1'!$K:$K,'Таблиця 1'!$B:$B,$A181,'Таблиця 1'!$I:$I,"Mirage",'Таблиця 1'!$J:$J,"MK-32")+SUMIFS('Таблиця 1'!$K:$K,'Таблиця 1'!$B:$B,$A181,'Таблиця 1'!$I:$I,"F-16",'Таблиця 1'!$J:$J,"MK-32")+SUMIFS('Таблиця 1'!$K:$K,'Таблиця 1'!$B:$B,$A181,'Таблиця 1'!$I:$I,"МіГ-29",'Таблиця 1'!$J:$J,"MK-32")+SUMIFS('Таблиця 1'!$K:$K,'Таблиця 1'!$B:$B,$A181,'Таблиця 1'!$I:$I,"Су-25",'Таблиця 1'!$J:$J,"MK-32")+SUMIFS('Таблиця 1'!$K:$K,'Таблиця 1'!$B:$B,$A181,'Таблиця 1'!$I:$I,"Су-27",'Таблиця 1'!$J:$J,"MK-32"))</f>
        <v/>
      </c>
      <c r="Q181">
        <f>IF($A181="","",SUMIFS('Таблиця 1'!$K:$K,'Таблиця 1'!$B:$B,$A181,'Таблиця 1'!$I:$I,"Mirage",'Таблиця 1'!$J:$J,"MK-24")+SUMIFS('Таблиця 1'!$K:$K,'Таблиця 1'!$B:$B,$A181,'Таблиця 1'!$I:$I,"F-16",'Таблиця 1'!$J:$J,"MK-24")+SUMIFS('Таблиця 1'!$K:$K,'Таблиця 1'!$B:$B,$A181,'Таблиця 1'!$I:$I,"МіГ-29",'Таблиця 1'!$J:$J,"MK-24")+SUMIFS('Таблиця 1'!$K:$K,'Таблиця 1'!$B:$B,$A181,'Таблиця 1'!$I:$I,"Су-25",'Таблиця 1'!$J:$J,"MK-24")+SUMIFS('Таблиця 1'!$K:$K,'Таблиця 1'!$B:$B,$A181,'Таблиця 1'!$I:$I,"Су-27",'Таблиця 1'!$J:$J,"MK-24"))</f>
        <v/>
      </c>
      <c r="R181">
        <f>IF($A181="","",COUNTIFS('Таблиця 1'!$B:$B,$A181,'Таблиця 1'!$I:$I,"Mirage",'Таблиця 1'!$L:$L,"Уражено")+COUNTIFS('Таблиця 1'!$B:$B,$A181,'Таблиця 1'!$I:$I,"F-16",'Таблиця 1'!$L:$L,"Уражено")+COUNTIFS('Таблиця 1'!$B:$B,$A181,'Таблиця 1'!$I:$I,"МіГ-29",'Таблиця 1'!$L:$L,"Уражено")+COUNTIFS('Таблиця 1'!$B:$B,$A181,'Таблиця 1'!$I:$I,"Су-25",'Таблиця 1'!$L:$L,"Уражено")+COUNTIFS('Таблиця 1'!$B:$B,$A181,'Таблиця 1'!$I:$I,"Су-27",'Таблиця 1'!$L:$L,"Уражено"))</f>
        <v/>
      </c>
      <c r="S181">
        <f>IF($A181="","",COUNTIFS('Таблиця 1'!$B:$B,$A181,'Таблиця 1'!$I:$I,"Mirage",'Таблиця 1'!$L:$L,"НЕ уражено")+COUNTIFS('Таблиця 1'!$B:$B,$A181,'Таблиця 1'!$I:$I,"F-16",'Таблиця 1'!$L:$L,"НЕ уражено")+COUNTIFS('Таблиця 1'!$B:$B,$A181,'Таблиця 1'!$I:$I,"МіГ-29",'Таблиця 1'!$L:$L,"НЕ уражено")+COUNTIFS('Таблиця 1'!$B:$B,$A181,'Таблиця 1'!$I:$I,"Су-25",'Таблиця 1'!$L:$L,"НЕ уражено")+COUNTIFS('Таблиця 1'!$B:$B,$A181,'Таблиця 1'!$I:$I,"Су-27",'Таблиця 1'!$L:$L,"НЕ уражено"))</f>
        <v/>
      </c>
      <c r="T181">
        <f>IF($A181="","",COUNTIFS('Таблиця 1'!$B:$B,$A181,'Таблиця 1'!$I:$I,"Mirage",'Таблиця 1'!$L:$L,"Дорозвідується")+COUNTIFS('Таблиця 1'!$B:$B,$A181,'Таблиця 1'!$I:$I,"F-16",'Таблиця 1'!$L:$L,"Дорозвідується")+COUNTIFS('Таблиця 1'!$B:$B,$A181,'Таблиця 1'!$I:$I,"МіГ-29",'Таблиця 1'!$L:$L,"Дорозвідується")+COUNTIFS('Таблиця 1'!$B:$B,$A181,'Таблиця 1'!$I:$I,"Су-25",'Таблиця 1'!$L:$L,"Дорозвідується")+COUNTIFS('Таблиця 1'!$B:$B,$A181,'Таблиця 1'!$I:$I,"Су-27",'Таблиця 1'!$L:$L,"Дорозвідується"))</f>
        <v/>
      </c>
    </row>
    <row r="182">
      <c r="A182" s="273">
        <f>IF(A181="","",IF(A181+1&gt;MAX('Таблиця 1'!$B:$B),"",A181+1))</f>
        <v/>
      </c>
      <c r="B182">
        <f>IF($A182="","",COUNTIFS('Таблиця 1'!$B:$B,$A182,'Таблиця 1'!$I:$I,"Mirage")+COUNTIFS('Таблиця 1'!$B:$B,$A182,'Таблиця 1'!$I:$I,"F-16")+COUNTIFS('Таблиця 1'!$B:$B,$A182,'Таблиця 1'!$I:$I,"МіГ-29")+COUNTIFS('Таблиця 1'!$B:$B,$A182,'Таблиця 1'!$I:$I,"Су-25")+COUNTIFS('Таблиця 1'!$B:$B,$A182,'Таблиця 1'!$I:$I,"Су-27"))</f>
        <v/>
      </c>
      <c r="C182">
        <f>IF($A182="","",COUNTIFS('Таблиця 1'!$B:$B,$A182,'Таблиця 1'!$I:$I,"Mirage"))</f>
        <v/>
      </c>
      <c r="D182">
        <f>IF($A182="","",COUNTIFS('Таблиця 1'!$B:$B,$A182,'Таблиця 1'!$I:$I,"F-16"))</f>
        <v/>
      </c>
      <c r="E182">
        <f>IF($A182="","",COUNTIFS('Таблиця 1'!$B:$B,$A182,'Таблиця 1'!$I:$I,"МіГ-29"))</f>
        <v/>
      </c>
      <c r="F182">
        <f>IF($A182="","",COUNTIFS('Таблиця 1'!$B:$B,$A182,'Таблиця 1'!$I:$I,"Су-25"))</f>
        <v/>
      </c>
      <c r="G182">
        <f>IF($A182="","",COUNTIFS('Таблиця 1'!$B:$B,$A182,'Таблиця 1'!$I:$I,"Су-27"))</f>
        <v/>
      </c>
      <c r="H182">
        <f>IF($A182="","",SUMIFS('Таблиця 1'!$K:$K,'Таблиця 1'!$B:$B,$A182,'Таблиця 1'!$I:$I,"Mirage",'Таблиця 1'!$J:$J,"AGM-88")+SUMIFS('Таблиця 1'!$K:$K,'Таблиця 1'!$B:$B,$A182,'Таблиця 1'!$I:$I,"F-16",'Таблиця 1'!$J:$J,"AGM-88")+SUMIFS('Таблиця 1'!$K:$K,'Таблиця 1'!$B:$B,$A182,'Таблиця 1'!$I:$I,"МіГ-29",'Таблиця 1'!$J:$J,"AGM-88")+SUMIFS('Таблиця 1'!$K:$K,'Таблиця 1'!$B:$B,$A182,'Таблиця 1'!$I:$I,"Су-25",'Таблиця 1'!$J:$J,"AGM-88")+SUMIFS('Таблиця 1'!$K:$K,'Таблиця 1'!$B:$B,$A182,'Таблиця 1'!$I:$I,"Су-27",'Таблиця 1'!$J:$J,"AGM-88"))</f>
        <v/>
      </c>
      <c r="I182">
        <f>IF($A182="","",SUMIFS('Таблиця 1'!$K:$K,'Таблиця 1'!$B:$B,$A182,'Таблиця 1'!$I:$I,"Mirage",'Таблиця 1'!$J:$J,"AASM-250")+SUMIFS('Таблиця 1'!$K:$K,'Таблиця 1'!$B:$B,$A182,'Таблиця 1'!$I:$I,"F-16",'Таблиця 1'!$J:$J,"AASM-250")+SUMIFS('Таблиця 1'!$K:$K,'Таблиця 1'!$B:$B,$A182,'Таблиця 1'!$I:$I,"МіГ-29",'Таблиця 1'!$J:$J,"AASM-250")+SUMIFS('Таблиця 1'!$K:$K,'Таблиця 1'!$B:$B,$A182,'Таблиця 1'!$I:$I,"Су-25",'Таблиця 1'!$J:$J,"AASM-250")+SUMIFS('Таблиця 1'!$K:$K,'Таблиця 1'!$B:$B,$A182,'Таблиця 1'!$I:$I,"Су-27",'Таблиця 1'!$J:$J,"AASM-250"))</f>
        <v/>
      </c>
      <c r="J182">
        <f>IF($A182="","",SUMIFS('Таблиця 1'!$K:$K,'Таблиця 1'!$B:$B,$A182,'Таблиця 1'!$I:$I,"Mirage",'Таблиця 1'!$J:$J,"GBU-39")+SUMIFS('Таблиця 1'!$K:$K,'Таблиця 1'!$B:$B,$A182,'Таблиця 1'!$I:$I,"F-16",'Таблиця 1'!$J:$J,"GBU-39")+SUMIFS('Таблиця 1'!$K:$K,'Таблиця 1'!$B:$B,$A182,'Таблиця 1'!$I:$I,"МіГ-29",'Таблиця 1'!$J:$J,"GBU-39")+SUMIFS('Таблиця 1'!$K:$K,'Таблиця 1'!$B:$B,$A182,'Таблиця 1'!$I:$I,"Су-25",'Таблиця 1'!$J:$J,"GBU-39")+SUMIFS('Таблиця 1'!$K:$K,'Таблиця 1'!$B:$B,$A182,'Таблиця 1'!$I:$I,"Су-27",'Таблиця 1'!$J:$J,"GBU-39"))</f>
        <v/>
      </c>
      <c r="K182">
        <f>IF($A182="","",SUMIFS('Таблиця 1'!$K:$K,'Таблиця 1'!$B:$B,$A182,'Таблиця 1'!$I:$I,"Mirage",'Таблиця 1'!$J:$J,"BLU-140")+SUMIFS('Таблиця 1'!$K:$K,'Таблиця 1'!$B:$B,$A182,'Таблиця 1'!$I:$I,"F-16",'Таблиця 1'!$J:$J,"BLU-140")+SUMIFS('Таблиця 1'!$K:$K,'Таблиця 1'!$B:$B,$A182,'Таблиця 1'!$I:$I,"МіГ-29",'Таблиця 1'!$J:$J,"BLU-140")+SUMIFS('Таблиця 1'!$K:$K,'Таблиця 1'!$B:$B,$A182,'Таблиця 1'!$I:$I,"Су-25",'Таблиця 1'!$J:$J,"BLU-140")+SUMIFS('Таблиця 1'!$K:$K,'Таблиця 1'!$B:$B,$A182,'Таблиця 1'!$I:$I,"Су-27",'Таблиця 1'!$J:$J,"BLU-140"))</f>
        <v/>
      </c>
      <c r="L182">
        <f>IF($A182="","",SUMIFS('Таблиця 1'!$K:$K,'Таблиця 1'!$B:$B,$A182,'Таблиця 1'!$I:$I,"Mirage",'Таблиця 1'!$J:$J,"GBU-65")+SUMIFS('Таблиця 1'!$K:$K,'Таблиця 1'!$B:$B,$A182,'Таблиця 1'!$I:$I,"F-16",'Таблиця 1'!$J:$J,"GBU-65")+SUMIFS('Таблиця 1'!$K:$K,'Таблиця 1'!$B:$B,$A182,'Таблиця 1'!$I:$I,"МіГ-29",'Таблиця 1'!$J:$J,"GBU-65")+SUMIFS('Таблиця 1'!$K:$K,'Таблиця 1'!$B:$B,$A182,'Таблиця 1'!$I:$I,"Су-25",'Таблиця 1'!$J:$J,"GBU-65")+SUMIFS('Таблиця 1'!$K:$K,'Таблиця 1'!$B:$B,$A182,'Таблиця 1'!$I:$I,"Су-27",'Таблиця 1'!$J:$J,"GBU-65"))</f>
        <v/>
      </c>
      <c r="M182">
        <f>IF($A182="","",SUMIFS('Таблиця 1'!$K:$K,'Таблиця 1'!$B:$B,$A182,'Таблиця 1'!$I:$I,"Mirage",'Таблиця 1'!$J:$J,"GBU-62")+SUMIFS('Таблиця 1'!$K:$K,'Таблиця 1'!$B:$B,$A182,'Таблиця 1'!$I:$I,"F-16",'Таблиця 1'!$J:$J,"GBU-62")+SUMIFS('Таблиця 1'!$K:$K,'Таблиця 1'!$B:$B,$A182,'Таблиця 1'!$I:$I,"МіГ-29",'Таблиця 1'!$J:$J,"GBU-62")+SUMIFS('Таблиця 1'!$K:$K,'Таблиця 1'!$B:$B,$A182,'Таблиця 1'!$I:$I,"Су-25",'Таблиця 1'!$J:$J,"GBU-62")+SUMIFS('Таблиця 1'!$K:$K,'Таблиця 1'!$B:$B,$A182,'Таблиця 1'!$I:$I,"Су-27",'Таблиця 1'!$J:$J,"GBU-62"))</f>
        <v/>
      </c>
      <c r="N182">
        <f>IF($A182="","",SUMIFS('Таблиця 1'!$K:$K,'Таблиця 1'!$B:$B,$A182,'Таблиця 1'!$I:$I,"Mirage",'Таблиця 1'!$J:$J,"GBU-64")+SUMIFS('Таблиця 1'!$K:$K,'Таблиця 1'!$B:$B,$A182,'Таблиця 1'!$I:$I,"F-16",'Таблиця 1'!$J:$J,"GBU-64")+SUMIFS('Таблиця 1'!$K:$K,'Таблиця 1'!$B:$B,$A182,'Таблиця 1'!$I:$I,"МіГ-29",'Таблиця 1'!$J:$J,"GBU-64")+SUMIFS('Таблиця 1'!$K:$K,'Таблиця 1'!$B:$B,$A182,'Таблиця 1'!$I:$I,"Су-25",'Таблиця 1'!$J:$J,"GBU-64")+SUMIFS('Таблиця 1'!$K:$K,'Таблиця 1'!$B:$B,$A182,'Таблиця 1'!$I:$I,"Су-27",'Таблиця 1'!$J:$J,"GBU-64"))</f>
        <v/>
      </c>
      <c r="O182">
        <f>IF($A182="","",SUMIFS('Таблиця 1'!$K:$K,'Таблиця 1'!$B:$B,$A182,'Таблиця 1'!$I:$I,"Mirage",'Таблиця 1'!$J:$J,"C-13")+SUMIFS('Таблиця 1'!$K:$K,'Таблиця 1'!$B:$B,$A182,'Таблиця 1'!$I:$I,"F-16",'Таблиця 1'!$J:$J,"C-13")+SUMIFS('Таблиця 1'!$K:$K,'Таблиця 1'!$B:$B,$A182,'Таблиця 1'!$I:$I,"МіГ-29",'Таблиця 1'!$J:$J,"C-13")+SUMIFS('Таблиця 1'!$K:$K,'Таблиця 1'!$B:$B,$A182,'Таблиця 1'!$I:$I,"Су-25",'Таблиця 1'!$J:$J,"C-13")+SUMIFS('Таблиця 1'!$K:$K,'Таблиця 1'!$B:$B,$A182,'Таблиця 1'!$I:$I,"Су-27",'Таблиця 1'!$J:$J,"C-13"))</f>
        <v/>
      </c>
      <c r="P182">
        <f>IF($A182="","",SUMIFS('Таблиця 1'!$K:$K,'Таблиця 1'!$B:$B,$A182,'Таблиця 1'!$I:$I,"Mirage",'Таблиця 1'!$J:$J,"MK-32")+SUMIFS('Таблиця 1'!$K:$K,'Таблиця 1'!$B:$B,$A182,'Таблиця 1'!$I:$I,"F-16",'Таблиця 1'!$J:$J,"MK-32")+SUMIFS('Таблиця 1'!$K:$K,'Таблиця 1'!$B:$B,$A182,'Таблиця 1'!$I:$I,"МіГ-29",'Таблиця 1'!$J:$J,"MK-32")+SUMIFS('Таблиця 1'!$K:$K,'Таблиця 1'!$B:$B,$A182,'Таблиця 1'!$I:$I,"Су-25",'Таблиця 1'!$J:$J,"MK-32")+SUMIFS('Таблиця 1'!$K:$K,'Таблиця 1'!$B:$B,$A182,'Таблиця 1'!$I:$I,"Су-27",'Таблиця 1'!$J:$J,"MK-32"))</f>
        <v/>
      </c>
      <c r="Q182">
        <f>IF($A182="","",SUMIFS('Таблиця 1'!$K:$K,'Таблиця 1'!$B:$B,$A182,'Таблиця 1'!$I:$I,"Mirage",'Таблиця 1'!$J:$J,"MK-24")+SUMIFS('Таблиця 1'!$K:$K,'Таблиця 1'!$B:$B,$A182,'Таблиця 1'!$I:$I,"F-16",'Таблиця 1'!$J:$J,"MK-24")+SUMIFS('Таблиця 1'!$K:$K,'Таблиця 1'!$B:$B,$A182,'Таблиця 1'!$I:$I,"МіГ-29",'Таблиця 1'!$J:$J,"MK-24")+SUMIFS('Таблиця 1'!$K:$K,'Таблиця 1'!$B:$B,$A182,'Таблиця 1'!$I:$I,"Су-25",'Таблиця 1'!$J:$J,"MK-24")+SUMIFS('Таблиця 1'!$K:$K,'Таблиця 1'!$B:$B,$A182,'Таблиця 1'!$I:$I,"Су-27",'Таблиця 1'!$J:$J,"MK-24"))</f>
        <v/>
      </c>
      <c r="R182">
        <f>IF($A182="","",COUNTIFS('Таблиця 1'!$B:$B,$A182,'Таблиця 1'!$I:$I,"Mirage",'Таблиця 1'!$L:$L,"Уражено")+COUNTIFS('Таблиця 1'!$B:$B,$A182,'Таблиця 1'!$I:$I,"F-16",'Таблиця 1'!$L:$L,"Уражено")+COUNTIFS('Таблиця 1'!$B:$B,$A182,'Таблиця 1'!$I:$I,"МіГ-29",'Таблиця 1'!$L:$L,"Уражено")+COUNTIFS('Таблиця 1'!$B:$B,$A182,'Таблиця 1'!$I:$I,"Су-25",'Таблиця 1'!$L:$L,"Уражено")+COUNTIFS('Таблиця 1'!$B:$B,$A182,'Таблиця 1'!$I:$I,"Су-27",'Таблиця 1'!$L:$L,"Уражено"))</f>
        <v/>
      </c>
      <c r="S182">
        <f>IF($A182="","",COUNTIFS('Таблиця 1'!$B:$B,$A182,'Таблиця 1'!$I:$I,"Mirage",'Таблиця 1'!$L:$L,"НЕ уражено")+COUNTIFS('Таблиця 1'!$B:$B,$A182,'Таблиця 1'!$I:$I,"F-16",'Таблиця 1'!$L:$L,"НЕ уражено")+COUNTIFS('Таблиця 1'!$B:$B,$A182,'Таблиця 1'!$I:$I,"МіГ-29",'Таблиця 1'!$L:$L,"НЕ уражено")+COUNTIFS('Таблиця 1'!$B:$B,$A182,'Таблиця 1'!$I:$I,"Су-25",'Таблиця 1'!$L:$L,"НЕ уражено")+COUNTIFS('Таблиця 1'!$B:$B,$A182,'Таблиця 1'!$I:$I,"Су-27",'Таблиця 1'!$L:$L,"НЕ уражено"))</f>
        <v/>
      </c>
      <c r="T182">
        <f>IF($A182="","",COUNTIFS('Таблиця 1'!$B:$B,$A182,'Таблиця 1'!$I:$I,"Mirage",'Таблиця 1'!$L:$L,"Дорозвідується")+COUNTIFS('Таблиця 1'!$B:$B,$A182,'Таблиця 1'!$I:$I,"F-16",'Таблиця 1'!$L:$L,"Дорозвідується")+COUNTIFS('Таблиця 1'!$B:$B,$A182,'Таблиця 1'!$I:$I,"МіГ-29",'Таблиця 1'!$L:$L,"Дорозвідується")+COUNTIFS('Таблиця 1'!$B:$B,$A182,'Таблиця 1'!$I:$I,"Су-25",'Таблиця 1'!$L:$L,"Дорозвідується")+COUNTIFS('Таблиця 1'!$B:$B,$A182,'Таблиця 1'!$I:$I,"Су-27",'Таблиця 1'!$L:$L,"Дорозвідується"))</f>
        <v/>
      </c>
    </row>
    <row r="183">
      <c r="A183" s="273">
        <f>IF(A182="","",IF(A182+1&gt;MAX('Таблиця 1'!$B:$B),"",A182+1))</f>
        <v/>
      </c>
      <c r="B183">
        <f>IF($A183="","",COUNTIFS('Таблиця 1'!$B:$B,$A183,'Таблиця 1'!$I:$I,"Mirage")+COUNTIFS('Таблиця 1'!$B:$B,$A183,'Таблиця 1'!$I:$I,"F-16")+COUNTIFS('Таблиця 1'!$B:$B,$A183,'Таблиця 1'!$I:$I,"МіГ-29")+COUNTIFS('Таблиця 1'!$B:$B,$A183,'Таблиця 1'!$I:$I,"Су-25")+COUNTIFS('Таблиця 1'!$B:$B,$A183,'Таблиця 1'!$I:$I,"Су-27"))</f>
        <v/>
      </c>
      <c r="C183">
        <f>IF($A183="","",COUNTIFS('Таблиця 1'!$B:$B,$A183,'Таблиця 1'!$I:$I,"Mirage"))</f>
        <v/>
      </c>
      <c r="D183">
        <f>IF($A183="","",COUNTIFS('Таблиця 1'!$B:$B,$A183,'Таблиця 1'!$I:$I,"F-16"))</f>
        <v/>
      </c>
      <c r="E183">
        <f>IF($A183="","",COUNTIFS('Таблиця 1'!$B:$B,$A183,'Таблиця 1'!$I:$I,"МіГ-29"))</f>
        <v/>
      </c>
      <c r="F183">
        <f>IF($A183="","",COUNTIFS('Таблиця 1'!$B:$B,$A183,'Таблиця 1'!$I:$I,"Су-25"))</f>
        <v/>
      </c>
      <c r="G183">
        <f>IF($A183="","",COUNTIFS('Таблиця 1'!$B:$B,$A183,'Таблиця 1'!$I:$I,"Су-27"))</f>
        <v/>
      </c>
      <c r="H183">
        <f>IF($A183="","",SUMIFS('Таблиця 1'!$K:$K,'Таблиця 1'!$B:$B,$A183,'Таблиця 1'!$I:$I,"Mirage",'Таблиця 1'!$J:$J,"AGM-88")+SUMIFS('Таблиця 1'!$K:$K,'Таблиця 1'!$B:$B,$A183,'Таблиця 1'!$I:$I,"F-16",'Таблиця 1'!$J:$J,"AGM-88")+SUMIFS('Таблиця 1'!$K:$K,'Таблиця 1'!$B:$B,$A183,'Таблиця 1'!$I:$I,"МіГ-29",'Таблиця 1'!$J:$J,"AGM-88")+SUMIFS('Таблиця 1'!$K:$K,'Таблиця 1'!$B:$B,$A183,'Таблиця 1'!$I:$I,"Су-25",'Таблиця 1'!$J:$J,"AGM-88")+SUMIFS('Таблиця 1'!$K:$K,'Таблиця 1'!$B:$B,$A183,'Таблиця 1'!$I:$I,"Су-27",'Таблиця 1'!$J:$J,"AGM-88"))</f>
        <v/>
      </c>
      <c r="I183">
        <f>IF($A183="","",SUMIFS('Таблиця 1'!$K:$K,'Таблиця 1'!$B:$B,$A183,'Таблиця 1'!$I:$I,"Mirage",'Таблиця 1'!$J:$J,"AASM-250")+SUMIFS('Таблиця 1'!$K:$K,'Таблиця 1'!$B:$B,$A183,'Таблиця 1'!$I:$I,"F-16",'Таблиця 1'!$J:$J,"AASM-250")+SUMIFS('Таблиця 1'!$K:$K,'Таблиця 1'!$B:$B,$A183,'Таблиця 1'!$I:$I,"МіГ-29",'Таблиця 1'!$J:$J,"AASM-250")+SUMIFS('Таблиця 1'!$K:$K,'Таблиця 1'!$B:$B,$A183,'Таблиця 1'!$I:$I,"Су-25",'Таблиця 1'!$J:$J,"AASM-250")+SUMIFS('Таблиця 1'!$K:$K,'Таблиця 1'!$B:$B,$A183,'Таблиця 1'!$I:$I,"Су-27",'Таблиця 1'!$J:$J,"AASM-250"))</f>
        <v/>
      </c>
      <c r="J183">
        <f>IF($A183="","",SUMIFS('Таблиця 1'!$K:$K,'Таблиця 1'!$B:$B,$A183,'Таблиця 1'!$I:$I,"Mirage",'Таблиця 1'!$J:$J,"GBU-39")+SUMIFS('Таблиця 1'!$K:$K,'Таблиця 1'!$B:$B,$A183,'Таблиця 1'!$I:$I,"F-16",'Таблиця 1'!$J:$J,"GBU-39")+SUMIFS('Таблиця 1'!$K:$K,'Таблиця 1'!$B:$B,$A183,'Таблиця 1'!$I:$I,"МіГ-29",'Таблиця 1'!$J:$J,"GBU-39")+SUMIFS('Таблиця 1'!$K:$K,'Таблиця 1'!$B:$B,$A183,'Таблиця 1'!$I:$I,"Су-25",'Таблиця 1'!$J:$J,"GBU-39")+SUMIFS('Таблиця 1'!$K:$K,'Таблиця 1'!$B:$B,$A183,'Таблиця 1'!$I:$I,"Су-27",'Таблиця 1'!$J:$J,"GBU-39"))</f>
        <v/>
      </c>
      <c r="K183">
        <f>IF($A183="","",SUMIFS('Таблиця 1'!$K:$K,'Таблиця 1'!$B:$B,$A183,'Таблиця 1'!$I:$I,"Mirage",'Таблиця 1'!$J:$J,"BLU-140")+SUMIFS('Таблиця 1'!$K:$K,'Таблиця 1'!$B:$B,$A183,'Таблиця 1'!$I:$I,"F-16",'Таблиця 1'!$J:$J,"BLU-140")+SUMIFS('Таблиця 1'!$K:$K,'Таблиця 1'!$B:$B,$A183,'Таблиця 1'!$I:$I,"МіГ-29",'Таблиця 1'!$J:$J,"BLU-140")+SUMIFS('Таблиця 1'!$K:$K,'Таблиця 1'!$B:$B,$A183,'Таблиця 1'!$I:$I,"Су-25",'Таблиця 1'!$J:$J,"BLU-140")+SUMIFS('Таблиця 1'!$K:$K,'Таблиця 1'!$B:$B,$A183,'Таблиця 1'!$I:$I,"Су-27",'Таблиця 1'!$J:$J,"BLU-140"))</f>
        <v/>
      </c>
      <c r="L183">
        <f>IF($A183="","",SUMIFS('Таблиця 1'!$K:$K,'Таблиця 1'!$B:$B,$A183,'Таблиця 1'!$I:$I,"Mirage",'Таблиця 1'!$J:$J,"GBU-65")+SUMIFS('Таблиця 1'!$K:$K,'Таблиця 1'!$B:$B,$A183,'Таблиця 1'!$I:$I,"F-16",'Таблиця 1'!$J:$J,"GBU-65")+SUMIFS('Таблиця 1'!$K:$K,'Таблиця 1'!$B:$B,$A183,'Таблиця 1'!$I:$I,"МіГ-29",'Таблиця 1'!$J:$J,"GBU-65")+SUMIFS('Таблиця 1'!$K:$K,'Таблиця 1'!$B:$B,$A183,'Таблиця 1'!$I:$I,"Су-25",'Таблиця 1'!$J:$J,"GBU-65")+SUMIFS('Таблиця 1'!$K:$K,'Таблиця 1'!$B:$B,$A183,'Таблиця 1'!$I:$I,"Су-27",'Таблиця 1'!$J:$J,"GBU-65"))</f>
        <v/>
      </c>
      <c r="M183">
        <f>IF($A183="","",SUMIFS('Таблиця 1'!$K:$K,'Таблиця 1'!$B:$B,$A183,'Таблиця 1'!$I:$I,"Mirage",'Таблиця 1'!$J:$J,"GBU-62")+SUMIFS('Таблиця 1'!$K:$K,'Таблиця 1'!$B:$B,$A183,'Таблиця 1'!$I:$I,"F-16",'Таблиця 1'!$J:$J,"GBU-62")+SUMIFS('Таблиця 1'!$K:$K,'Таблиця 1'!$B:$B,$A183,'Таблиця 1'!$I:$I,"МіГ-29",'Таблиця 1'!$J:$J,"GBU-62")+SUMIFS('Таблиця 1'!$K:$K,'Таблиця 1'!$B:$B,$A183,'Таблиця 1'!$I:$I,"Су-25",'Таблиця 1'!$J:$J,"GBU-62")+SUMIFS('Таблиця 1'!$K:$K,'Таблиця 1'!$B:$B,$A183,'Таблиця 1'!$I:$I,"Су-27",'Таблиця 1'!$J:$J,"GBU-62"))</f>
        <v/>
      </c>
      <c r="N183">
        <f>IF($A183="","",SUMIFS('Таблиця 1'!$K:$K,'Таблиця 1'!$B:$B,$A183,'Таблиця 1'!$I:$I,"Mirage",'Таблиця 1'!$J:$J,"GBU-64")+SUMIFS('Таблиця 1'!$K:$K,'Таблиця 1'!$B:$B,$A183,'Таблиця 1'!$I:$I,"F-16",'Таблиця 1'!$J:$J,"GBU-64")+SUMIFS('Таблиця 1'!$K:$K,'Таблиця 1'!$B:$B,$A183,'Таблиця 1'!$I:$I,"МіГ-29",'Таблиця 1'!$J:$J,"GBU-64")+SUMIFS('Таблиця 1'!$K:$K,'Таблиця 1'!$B:$B,$A183,'Таблиця 1'!$I:$I,"Су-25",'Таблиця 1'!$J:$J,"GBU-64")+SUMIFS('Таблиця 1'!$K:$K,'Таблиця 1'!$B:$B,$A183,'Таблиця 1'!$I:$I,"Су-27",'Таблиця 1'!$J:$J,"GBU-64"))</f>
        <v/>
      </c>
      <c r="O183">
        <f>IF($A183="","",SUMIFS('Таблиця 1'!$K:$K,'Таблиця 1'!$B:$B,$A183,'Таблиця 1'!$I:$I,"Mirage",'Таблиця 1'!$J:$J,"C-13")+SUMIFS('Таблиця 1'!$K:$K,'Таблиця 1'!$B:$B,$A183,'Таблиця 1'!$I:$I,"F-16",'Таблиця 1'!$J:$J,"C-13")+SUMIFS('Таблиця 1'!$K:$K,'Таблиця 1'!$B:$B,$A183,'Таблиця 1'!$I:$I,"МіГ-29",'Таблиця 1'!$J:$J,"C-13")+SUMIFS('Таблиця 1'!$K:$K,'Таблиця 1'!$B:$B,$A183,'Таблиця 1'!$I:$I,"Су-25",'Таблиця 1'!$J:$J,"C-13")+SUMIFS('Таблиця 1'!$K:$K,'Таблиця 1'!$B:$B,$A183,'Таблиця 1'!$I:$I,"Су-27",'Таблиця 1'!$J:$J,"C-13"))</f>
        <v/>
      </c>
      <c r="P183">
        <f>IF($A183="","",SUMIFS('Таблиця 1'!$K:$K,'Таблиця 1'!$B:$B,$A183,'Таблиця 1'!$I:$I,"Mirage",'Таблиця 1'!$J:$J,"MK-32")+SUMIFS('Таблиця 1'!$K:$K,'Таблиця 1'!$B:$B,$A183,'Таблиця 1'!$I:$I,"F-16",'Таблиця 1'!$J:$J,"MK-32")+SUMIFS('Таблиця 1'!$K:$K,'Таблиця 1'!$B:$B,$A183,'Таблиця 1'!$I:$I,"МіГ-29",'Таблиця 1'!$J:$J,"MK-32")+SUMIFS('Таблиця 1'!$K:$K,'Таблиця 1'!$B:$B,$A183,'Таблиця 1'!$I:$I,"Су-25",'Таблиця 1'!$J:$J,"MK-32")+SUMIFS('Таблиця 1'!$K:$K,'Таблиця 1'!$B:$B,$A183,'Таблиця 1'!$I:$I,"Су-27",'Таблиця 1'!$J:$J,"MK-32"))</f>
        <v/>
      </c>
      <c r="Q183">
        <f>IF($A183="","",SUMIFS('Таблиця 1'!$K:$K,'Таблиця 1'!$B:$B,$A183,'Таблиця 1'!$I:$I,"Mirage",'Таблиця 1'!$J:$J,"MK-24")+SUMIFS('Таблиця 1'!$K:$K,'Таблиця 1'!$B:$B,$A183,'Таблиця 1'!$I:$I,"F-16",'Таблиця 1'!$J:$J,"MK-24")+SUMIFS('Таблиця 1'!$K:$K,'Таблиця 1'!$B:$B,$A183,'Таблиця 1'!$I:$I,"МіГ-29",'Таблиця 1'!$J:$J,"MK-24")+SUMIFS('Таблиця 1'!$K:$K,'Таблиця 1'!$B:$B,$A183,'Таблиця 1'!$I:$I,"Су-25",'Таблиця 1'!$J:$J,"MK-24")+SUMIFS('Таблиця 1'!$K:$K,'Таблиця 1'!$B:$B,$A183,'Таблиця 1'!$I:$I,"Су-27",'Таблиця 1'!$J:$J,"MK-24"))</f>
        <v/>
      </c>
      <c r="R183">
        <f>IF($A183="","",COUNTIFS('Таблиця 1'!$B:$B,$A183,'Таблиця 1'!$I:$I,"Mirage",'Таблиця 1'!$L:$L,"Уражено")+COUNTIFS('Таблиця 1'!$B:$B,$A183,'Таблиця 1'!$I:$I,"F-16",'Таблиця 1'!$L:$L,"Уражено")+COUNTIFS('Таблиця 1'!$B:$B,$A183,'Таблиця 1'!$I:$I,"МіГ-29",'Таблиця 1'!$L:$L,"Уражено")+COUNTIFS('Таблиця 1'!$B:$B,$A183,'Таблиця 1'!$I:$I,"Су-25",'Таблиця 1'!$L:$L,"Уражено")+COUNTIFS('Таблиця 1'!$B:$B,$A183,'Таблиця 1'!$I:$I,"Су-27",'Таблиця 1'!$L:$L,"Уражено"))</f>
        <v/>
      </c>
      <c r="S183">
        <f>IF($A183="","",COUNTIFS('Таблиця 1'!$B:$B,$A183,'Таблиця 1'!$I:$I,"Mirage",'Таблиця 1'!$L:$L,"НЕ уражено")+COUNTIFS('Таблиця 1'!$B:$B,$A183,'Таблиця 1'!$I:$I,"F-16",'Таблиця 1'!$L:$L,"НЕ уражено")+COUNTIFS('Таблиця 1'!$B:$B,$A183,'Таблиця 1'!$I:$I,"МіГ-29",'Таблиця 1'!$L:$L,"НЕ уражено")+COUNTIFS('Таблиця 1'!$B:$B,$A183,'Таблиця 1'!$I:$I,"Су-25",'Таблиця 1'!$L:$L,"НЕ уражено")+COUNTIFS('Таблиця 1'!$B:$B,$A183,'Таблиця 1'!$I:$I,"Су-27",'Таблиця 1'!$L:$L,"НЕ уражено"))</f>
        <v/>
      </c>
      <c r="T183">
        <f>IF($A183="","",COUNTIFS('Таблиця 1'!$B:$B,$A183,'Таблиця 1'!$I:$I,"Mirage",'Таблиця 1'!$L:$L,"Дорозвідується")+COUNTIFS('Таблиця 1'!$B:$B,$A183,'Таблиця 1'!$I:$I,"F-16",'Таблиця 1'!$L:$L,"Дорозвідується")+COUNTIFS('Таблиця 1'!$B:$B,$A183,'Таблиця 1'!$I:$I,"МіГ-29",'Таблиця 1'!$L:$L,"Дорозвідується")+COUNTIFS('Таблиця 1'!$B:$B,$A183,'Таблиця 1'!$I:$I,"Су-25",'Таблиця 1'!$L:$L,"Дорозвідується")+COUNTIFS('Таблиця 1'!$B:$B,$A183,'Таблиця 1'!$I:$I,"Су-27",'Таблиця 1'!$L:$L,"Дорозвідується"))</f>
        <v/>
      </c>
    </row>
    <row r="184">
      <c r="A184" s="273">
        <f>IF(A183="","",IF(A183+1&gt;MAX('Таблиця 1'!$B:$B),"",A183+1))</f>
        <v/>
      </c>
      <c r="B184">
        <f>IF($A184="","",COUNTIFS('Таблиця 1'!$B:$B,$A184,'Таблиця 1'!$I:$I,"Mirage")+COUNTIFS('Таблиця 1'!$B:$B,$A184,'Таблиця 1'!$I:$I,"F-16")+COUNTIFS('Таблиця 1'!$B:$B,$A184,'Таблиця 1'!$I:$I,"МіГ-29")+COUNTIFS('Таблиця 1'!$B:$B,$A184,'Таблиця 1'!$I:$I,"Су-25")+COUNTIFS('Таблиця 1'!$B:$B,$A184,'Таблиця 1'!$I:$I,"Су-27"))</f>
        <v/>
      </c>
      <c r="C184">
        <f>IF($A184="","",COUNTIFS('Таблиця 1'!$B:$B,$A184,'Таблиця 1'!$I:$I,"Mirage"))</f>
        <v/>
      </c>
      <c r="D184">
        <f>IF($A184="","",COUNTIFS('Таблиця 1'!$B:$B,$A184,'Таблиця 1'!$I:$I,"F-16"))</f>
        <v/>
      </c>
      <c r="E184">
        <f>IF($A184="","",COUNTIFS('Таблиця 1'!$B:$B,$A184,'Таблиця 1'!$I:$I,"МіГ-29"))</f>
        <v/>
      </c>
      <c r="F184">
        <f>IF($A184="","",COUNTIFS('Таблиця 1'!$B:$B,$A184,'Таблиця 1'!$I:$I,"Су-25"))</f>
        <v/>
      </c>
      <c r="G184">
        <f>IF($A184="","",COUNTIFS('Таблиця 1'!$B:$B,$A184,'Таблиця 1'!$I:$I,"Су-27"))</f>
        <v/>
      </c>
      <c r="H184">
        <f>IF($A184="","",SUMIFS('Таблиця 1'!$K:$K,'Таблиця 1'!$B:$B,$A184,'Таблиця 1'!$I:$I,"Mirage",'Таблиця 1'!$J:$J,"AGM-88")+SUMIFS('Таблиця 1'!$K:$K,'Таблиця 1'!$B:$B,$A184,'Таблиця 1'!$I:$I,"F-16",'Таблиця 1'!$J:$J,"AGM-88")+SUMIFS('Таблиця 1'!$K:$K,'Таблиця 1'!$B:$B,$A184,'Таблиця 1'!$I:$I,"МіГ-29",'Таблиця 1'!$J:$J,"AGM-88")+SUMIFS('Таблиця 1'!$K:$K,'Таблиця 1'!$B:$B,$A184,'Таблиця 1'!$I:$I,"Су-25",'Таблиця 1'!$J:$J,"AGM-88")+SUMIFS('Таблиця 1'!$K:$K,'Таблиця 1'!$B:$B,$A184,'Таблиця 1'!$I:$I,"Су-27",'Таблиця 1'!$J:$J,"AGM-88"))</f>
        <v/>
      </c>
      <c r="I184">
        <f>IF($A184="","",SUMIFS('Таблиця 1'!$K:$K,'Таблиця 1'!$B:$B,$A184,'Таблиця 1'!$I:$I,"Mirage",'Таблиця 1'!$J:$J,"AASM-250")+SUMIFS('Таблиця 1'!$K:$K,'Таблиця 1'!$B:$B,$A184,'Таблиця 1'!$I:$I,"F-16",'Таблиця 1'!$J:$J,"AASM-250")+SUMIFS('Таблиця 1'!$K:$K,'Таблиця 1'!$B:$B,$A184,'Таблиця 1'!$I:$I,"МіГ-29",'Таблиця 1'!$J:$J,"AASM-250")+SUMIFS('Таблиця 1'!$K:$K,'Таблиця 1'!$B:$B,$A184,'Таблиця 1'!$I:$I,"Су-25",'Таблиця 1'!$J:$J,"AASM-250")+SUMIFS('Таблиця 1'!$K:$K,'Таблиця 1'!$B:$B,$A184,'Таблиця 1'!$I:$I,"Су-27",'Таблиця 1'!$J:$J,"AASM-250"))</f>
        <v/>
      </c>
      <c r="J184">
        <f>IF($A184="","",SUMIFS('Таблиця 1'!$K:$K,'Таблиця 1'!$B:$B,$A184,'Таблиця 1'!$I:$I,"Mirage",'Таблиця 1'!$J:$J,"GBU-39")+SUMIFS('Таблиця 1'!$K:$K,'Таблиця 1'!$B:$B,$A184,'Таблиця 1'!$I:$I,"F-16",'Таблиця 1'!$J:$J,"GBU-39")+SUMIFS('Таблиця 1'!$K:$K,'Таблиця 1'!$B:$B,$A184,'Таблиця 1'!$I:$I,"МіГ-29",'Таблиця 1'!$J:$J,"GBU-39")+SUMIFS('Таблиця 1'!$K:$K,'Таблиця 1'!$B:$B,$A184,'Таблиця 1'!$I:$I,"Су-25",'Таблиця 1'!$J:$J,"GBU-39")+SUMIFS('Таблиця 1'!$K:$K,'Таблиця 1'!$B:$B,$A184,'Таблиця 1'!$I:$I,"Су-27",'Таблиця 1'!$J:$J,"GBU-39"))</f>
        <v/>
      </c>
      <c r="K184">
        <f>IF($A184="","",SUMIFS('Таблиця 1'!$K:$K,'Таблиця 1'!$B:$B,$A184,'Таблиця 1'!$I:$I,"Mirage",'Таблиця 1'!$J:$J,"BLU-140")+SUMIFS('Таблиця 1'!$K:$K,'Таблиця 1'!$B:$B,$A184,'Таблиця 1'!$I:$I,"F-16",'Таблиця 1'!$J:$J,"BLU-140")+SUMIFS('Таблиця 1'!$K:$K,'Таблиця 1'!$B:$B,$A184,'Таблиця 1'!$I:$I,"МіГ-29",'Таблиця 1'!$J:$J,"BLU-140")+SUMIFS('Таблиця 1'!$K:$K,'Таблиця 1'!$B:$B,$A184,'Таблиця 1'!$I:$I,"Су-25",'Таблиця 1'!$J:$J,"BLU-140")+SUMIFS('Таблиця 1'!$K:$K,'Таблиця 1'!$B:$B,$A184,'Таблиця 1'!$I:$I,"Су-27",'Таблиця 1'!$J:$J,"BLU-140"))</f>
        <v/>
      </c>
      <c r="L184">
        <f>IF($A184="","",SUMIFS('Таблиця 1'!$K:$K,'Таблиця 1'!$B:$B,$A184,'Таблиця 1'!$I:$I,"Mirage",'Таблиця 1'!$J:$J,"GBU-65")+SUMIFS('Таблиця 1'!$K:$K,'Таблиця 1'!$B:$B,$A184,'Таблиця 1'!$I:$I,"F-16",'Таблиця 1'!$J:$J,"GBU-65")+SUMIFS('Таблиця 1'!$K:$K,'Таблиця 1'!$B:$B,$A184,'Таблиця 1'!$I:$I,"МіГ-29",'Таблиця 1'!$J:$J,"GBU-65")+SUMIFS('Таблиця 1'!$K:$K,'Таблиця 1'!$B:$B,$A184,'Таблиця 1'!$I:$I,"Су-25",'Таблиця 1'!$J:$J,"GBU-65")+SUMIFS('Таблиця 1'!$K:$K,'Таблиця 1'!$B:$B,$A184,'Таблиця 1'!$I:$I,"Су-27",'Таблиця 1'!$J:$J,"GBU-65"))</f>
        <v/>
      </c>
      <c r="M184">
        <f>IF($A184="","",SUMIFS('Таблиця 1'!$K:$K,'Таблиця 1'!$B:$B,$A184,'Таблиця 1'!$I:$I,"Mirage",'Таблиця 1'!$J:$J,"GBU-62")+SUMIFS('Таблиця 1'!$K:$K,'Таблиця 1'!$B:$B,$A184,'Таблиця 1'!$I:$I,"F-16",'Таблиця 1'!$J:$J,"GBU-62")+SUMIFS('Таблиця 1'!$K:$K,'Таблиця 1'!$B:$B,$A184,'Таблиця 1'!$I:$I,"МіГ-29",'Таблиця 1'!$J:$J,"GBU-62")+SUMIFS('Таблиця 1'!$K:$K,'Таблиця 1'!$B:$B,$A184,'Таблиця 1'!$I:$I,"Су-25",'Таблиця 1'!$J:$J,"GBU-62")+SUMIFS('Таблиця 1'!$K:$K,'Таблиця 1'!$B:$B,$A184,'Таблиця 1'!$I:$I,"Су-27",'Таблиця 1'!$J:$J,"GBU-62"))</f>
        <v/>
      </c>
      <c r="N184">
        <f>IF($A184="","",SUMIFS('Таблиця 1'!$K:$K,'Таблиця 1'!$B:$B,$A184,'Таблиця 1'!$I:$I,"Mirage",'Таблиця 1'!$J:$J,"GBU-64")+SUMIFS('Таблиця 1'!$K:$K,'Таблиця 1'!$B:$B,$A184,'Таблиця 1'!$I:$I,"F-16",'Таблиця 1'!$J:$J,"GBU-64")+SUMIFS('Таблиця 1'!$K:$K,'Таблиця 1'!$B:$B,$A184,'Таблиця 1'!$I:$I,"МіГ-29",'Таблиця 1'!$J:$J,"GBU-64")+SUMIFS('Таблиця 1'!$K:$K,'Таблиця 1'!$B:$B,$A184,'Таблиця 1'!$I:$I,"Су-25",'Таблиця 1'!$J:$J,"GBU-64")+SUMIFS('Таблиця 1'!$K:$K,'Таблиця 1'!$B:$B,$A184,'Таблиця 1'!$I:$I,"Су-27",'Таблиця 1'!$J:$J,"GBU-64"))</f>
        <v/>
      </c>
      <c r="O184">
        <f>IF($A184="","",SUMIFS('Таблиця 1'!$K:$K,'Таблиця 1'!$B:$B,$A184,'Таблиця 1'!$I:$I,"Mirage",'Таблиця 1'!$J:$J,"C-13")+SUMIFS('Таблиця 1'!$K:$K,'Таблиця 1'!$B:$B,$A184,'Таблиця 1'!$I:$I,"F-16",'Таблиця 1'!$J:$J,"C-13")+SUMIFS('Таблиця 1'!$K:$K,'Таблиця 1'!$B:$B,$A184,'Таблиця 1'!$I:$I,"МіГ-29",'Таблиця 1'!$J:$J,"C-13")+SUMIFS('Таблиця 1'!$K:$K,'Таблиця 1'!$B:$B,$A184,'Таблиця 1'!$I:$I,"Су-25",'Таблиця 1'!$J:$J,"C-13")+SUMIFS('Таблиця 1'!$K:$K,'Таблиця 1'!$B:$B,$A184,'Таблиця 1'!$I:$I,"Су-27",'Таблиця 1'!$J:$J,"C-13"))</f>
        <v/>
      </c>
      <c r="P184">
        <f>IF($A184="","",SUMIFS('Таблиця 1'!$K:$K,'Таблиця 1'!$B:$B,$A184,'Таблиця 1'!$I:$I,"Mirage",'Таблиця 1'!$J:$J,"MK-32")+SUMIFS('Таблиця 1'!$K:$K,'Таблиця 1'!$B:$B,$A184,'Таблиця 1'!$I:$I,"F-16",'Таблиця 1'!$J:$J,"MK-32")+SUMIFS('Таблиця 1'!$K:$K,'Таблиця 1'!$B:$B,$A184,'Таблиця 1'!$I:$I,"МіГ-29",'Таблиця 1'!$J:$J,"MK-32")+SUMIFS('Таблиця 1'!$K:$K,'Таблиця 1'!$B:$B,$A184,'Таблиця 1'!$I:$I,"Су-25",'Таблиця 1'!$J:$J,"MK-32")+SUMIFS('Таблиця 1'!$K:$K,'Таблиця 1'!$B:$B,$A184,'Таблиця 1'!$I:$I,"Су-27",'Таблиця 1'!$J:$J,"MK-32"))</f>
        <v/>
      </c>
      <c r="Q184">
        <f>IF($A184="","",SUMIFS('Таблиця 1'!$K:$K,'Таблиця 1'!$B:$B,$A184,'Таблиця 1'!$I:$I,"Mirage",'Таблиця 1'!$J:$J,"MK-24")+SUMIFS('Таблиця 1'!$K:$K,'Таблиця 1'!$B:$B,$A184,'Таблиця 1'!$I:$I,"F-16",'Таблиця 1'!$J:$J,"MK-24")+SUMIFS('Таблиця 1'!$K:$K,'Таблиця 1'!$B:$B,$A184,'Таблиця 1'!$I:$I,"МіГ-29",'Таблиця 1'!$J:$J,"MK-24")+SUMIFS('Таблиця 1'!$K:$K,'Таблиця 1'!$B:$B,$A184,'Таблиця 1'!$I:$I,"Су-25",'Таблиця 1'!$J:$J,"MK-24")+SUMIFS('Таблиця 1'!$K:$K,'Таблиця 1'!$B:$B,$A184,'Таблиця 1'!$I:$I,"Су-27",'Таблиця 1'!$J:$J,"MK-24"))</f>
        <v/>
      </c>
      <c r="R184">
        <f>IF($A184="","",COUNTIFS('Таблиця 1'!$B:$B,$A184,'Таблиця 1'!$I:$I,"Mirage",'Таблиця 1'!$L:$L,"Уражено")+COUNTIFS('Таблиця 1'!$B:$B,$A184,'Таблиця 1'!$I:$I,"F-16",'Таблиця 1'!$L:$L,"Уражено")+COUNTIFS('Таблиця 1'!$B:$B,$A184,'Таблиця 1'!$I:$I,"МіГ-29",'Таблиця 1'!$L:$L,"Уражено")+COUNTIFS('Таблиця 1'!$B:$B,$A184,'Таблиця 1'!$I:$I,"Су-25",'Таблиця 1'!$L:$L,"Уражено")+COUNTIFS('Таблиця 1'!$B:$B,$A184,'Таблиця 1'!$I:$I,"Су-27",'Таблиця 1'!$L:$L,"Уражено"))</f>
        <v/>
      </c>
      <c r="S184">
        <f>IF($A184="","",COUNTIFS('Таблиця 1'!$B:$B,$A184,'Таблиця 1'!$I:$I,"Mirage",'Таблиця 1'!$L:$L,"НЕ уражено")+COUNTIFS('Таблиця 1'!$B:$B,$A184,'Таблиця 1'!$I:$I,"F-16",'Таблиця 1'!$L:$L,"НЕ уражено")+COUNTIFS('Таблиця 1'!$B:$B,$A184,'Таблиця 1'!$I:$I,"МіГ-29",'Таблиця 1'!$L:$L,"НЕ уражено")+COUNTIFS('Таблиця 1'!$B:$B,$A184,'Таблиця 1'!$I:$I,"Су-25",'Таблиця 1'!$L:$L,"НЕ уражено")+COUNTIFS('Таблиця 1'!$B:$B,$A184,'Таблиця 1'!$I:$I,"Су-27",'Таблиця 1'!$L:$L,"НЕ уражено"))</f>
        <v/>
      </c>
      <c r="T184">
        <f>IF($A184="","",COUNTIFS('Таблиця 1'!$B:$B,$A184,'Таблиця 1'!$I:$I,"Mirage",'Таблиця 1'!$L:$L,"Дорозвідується")+COUNTIFS('Таблиця 1'!$B:$B,$A184,'Таблиця 1'!$I:$I,"F-16",'Таблиця 1'!$L:$L,"Дорозвідується")+COUNTIFS('Таблиця 1'!$B:$B,$A184,'Таблиця 1'!$I:$I,"МіГ-29",'Таблиця 1'!$L:$L,"Дорозвідується")+COUNTIFS('Таблиця 1'!$B:$B,$A184,'Таблиця 1'!$I:$I,"Су-25",'Таблиця 1'!$L:$L,"Дорозвідується")+COUNTIFS('Таблиця 1'!$B:$B,$A184,'Таблиця 1'!$I:$I,"Су-27",'Таблиця 1'!$L:$L,"Дорозвідується"))</f>
        <v/>
      </c>
    </row>
    <row r="185">
      <c r="A185" s="273">
        <f>IF(A184="","",IF(A184+1&gt;MAX('Таблиця 1'!$B:$B),"",A184+1))</f>
        <v/>
      </c>
      <c r="B185">
        <f>IF($A185="","",COUNTIFS('Таблиця 1'!$B:$B,$A185,'Таблиця 1'!$I:$I,"Mirage")+COUNTIFS('Таблиця 1'!$B:$B,$A185,'Таблиця 1'!$I:$I,"F-16")+COUNTIFS('Таблиця 1'!$B:$B,$A185,'Таблиця 1'!$I:$I,"МіГ-29")+COUNTIFS('Таблиця 1'!$B:$B,$A185,'Таблиця 1'!$I:$I,"Су-25")+COUNTIFS('Таблиця 1'!$B:$B,$A185,'Таблиця 1'!$I:$I,"Су-27"))</f>
        <v/>
      </c>
      <c r="C185">
        <f>IF($A185="","",COUNTIFS('Таблиця 1'!$B:$B,$A185,'Таблиця 1'!$I:$I,"Mirage"))</f>
        <v/>
      </c>
      <c r="D185">
        <f>IF($A185="","",COUNTIFS('Таблиця 1'!$B:$B,$A185,'Таблиця 1'!$I:$I,"F-16"))</f>
        <v/>
      </c>
      <c r="E185">
        <f>IF($A185="","",COUNTIFS('Таблиця 1'!$B:$B,$A185,'Таблиця 1'!$I:$I,"МіГ-29"))</f>
        <v/>
      </c>
      <c r="F185">
        <f>IF($A185="","",COUNTIFS('Таблиця 1'!$B:$B,$A185,'Таблиця 1'!$I:$I,"Су-25"))</f>
        <v/>
      </c>
      <c r="G185">
        <f>IF($A185="","",COUNTIFS('Таблиця 1'!$B:$B,$A185,'Таблиця 1'!$I:$I,"Су-27"))</f>
        <v/>
      </c>
      <c r="H185">
        <f>IF($A185="","",SUMIFS('Таблиця 1'!$K:$K,'Таблиця 1'!$B:$B,$A185,'Таблиця 1'!$I:$I,"Mirage",'Таблиця 1'!$J:$J,"AGM-88")+SUMIFS('Таблиця 1'!$K:$K,'Таблиця 1'!$B:$B,$A185,'Таблиця 1'!$I:$I,"F-16",'Таблиця 1'!$J:$J,"AGM-88")+SUMIFS('Таблиця 1'!$K:$K,'Таблиця 1'!$B:$B,$A185,'Таблиця 1'!$I:$I,"МіГ-29",'Таблиця 1'!$J:$J,"AGM-88")+SUMIFS('Таблиця 1'!$K:$K,'Таблиця 1'!$B:$B,$A185,'Таблиця 1'!$I:$I,"Су-25",'Таблиця 1'!$J:$J,"AGM-88")+SUMIFS('Таблиця 1'!$K:$K,'Таблиця 1'!$B:$B,$A185,'Таблиця 1'!$I:$I,"Су-27",'Таблиця 1'!$J:$J,"AGM-88"))</f>
        <v/>
      </c>
      <c r="I185">
        <f>IF($A185="","",SUMIFS('Таблиця 1'!$K:$K,'Таблиця 1'!$B:$B,$A185,'Таблиця 1'!$I:$I,"Mirage",'Таблиця 1'!$J:$J,"AASM-250")+SUMIFS('Таблиця 1'!$K:$K,'Таблиця 1'!$B:$B,$A185,'Таблиця 1'!$I:$I,"F-16",'Таблиця 1'!$J:$J,"AASM-250")+SUMIFS('Таблиця 1'!$K:$K,'Таблиця 1'!$B:$B,$A185,'Таблиця 1'!$I:$I,"МіГ-29",'Таблиця 1'!$J:$J,"AASM-250")+SUMIFS('Таблиця 1'!$K:$K,'Таблиця 1'!$B:$B,$A185,'Таблиця 1'!$I:$I,"Су-25",'Таблиця 1'!$J:$J,"AASM-250")+SUMIFS('Таблиця 1'!$K:$K,'Таблиця 1'!$B:$B,$A185,'Таблиця 1'!$I:$I,"Су-27",'Таблиця 1'!$J:$J,"AASM-250"))</f>
        <v/>
      </c>
      <c r="J185">
        <f>IF($A185="","",SUMIFS('Таблиця 1'!$K:$K,'Таблиця 1'!$B:$B,$A185,'Таблиця 1'!$I:$I,"Mirage",'Таблиця 1'!$J:$J,"GBU-39")+SUMIFS('Таблиця 1'!$K:$K,'Таблиця 1'!$B:$B,$A185,'Таблиця 1'!$I:$I,"F-16",'Таблиця 1'!$J:$J,"GBU-39")+SUMIFS('Таблиця 1'!$K:$K,'Таблиця 1'!$B:$B,$A185,'Таблиця 1'!$I:$I,"МіГ-29",'Таблиця 1'!$J:$J,"GBU-39")+SUMIFS('Таблиця 1'!$K:$K,'Таблиця 1'!$B:$B,$A185,'Таблиця 1'!$I:$I,"Су-25",'Таблиця 1'!$J:$J,"GBU-39")+SUMIFS('Таблиця 1'!$K:$K,'Таблиця 1'!$B:$B,$A185,'Таблиця 1'!$I:$I,"Су-27",'Таблиця 1'!$J:$J,"GBU-39"))</f>
        <v/>
      </c>
      <c r="K185">
        <f>IF($A185="","",SUMIFS('Таблиця 1'!$K:$K,'Таблиця 1'!$B:$B,$A185,'Таблиця 1'!$I:$I,"Mirage",'Таблиця 1'!$J:$J,"BLU-140")+SUMIFS('Таблиця 1'!$K:$K,'Таблиця 1'!$B:$B,$A185,'Таблиця 1'!$I:$I,"F-16",'Таблиця 1'!$J:$J,"BLU-140")+SUMIFS('Таблиця 1'!$K:$K,'Таблиця 1'!$B:$B,$A185,'Таблиця 1'!$I:$I,"МіГ-29",'Таблиця 1'!$J:$J,"BLU-140")+SUMIFS('Таблиця 1'!$K:$K,'Таблиця 1'!$B:$B,$A185,'Таблиця 1'!$I:$I,"Су-25",'Таблиця 1'!$J:$J,"BLU-140")+SUMIFS('Таблиця 1'!$K:$K,'Таблиця 1'!$B:$B,$A185,'Таблиця 1'!$I:$I,"Су-27",'Таблиця 1'!$J:$J,"BLU-140"))</f>
        <v/>
      </c>
      <c r="L185">
        <f>IF($A185="","",SUMIFS('Таблиця 1'!$K:$K,'Таблиця 1'!$B:$B,$A185,'Таблиця 1'!$I:$I,"Mirage",'Таблиця 1'!$J:$J,"GBU-65")+SUMIFS('Таблиця 1'!$K:$K,'Таблиця 1'!$B:$B,$A185,'Таблиця 1'!$I:$I,"F-16",'Таблиця 1'!$J:$J,"GBU-65")+SUMIFS('Таблиця 1'!$K:$K,'Таблиця 1'!$B:$B,$A185,'Таблиця 1'!$I:$I,"МіГ-29",'Таблиця 1'!$J:$J,"GBU-65")+SUMIFS('Таблиця 1'!$K:$K,'Таблиця 1'!$B:$B,$A185,'Таблиця 1'!$I:$I,"Су-25",'Таблиця 1'!$J:$J,"GBU-65")+SUMIFS('Таблиця 1'!$K:$K,'Таблиця 1'!$B:$B,$A185,'Таблиця 1'!$I:$I,"Су-27",'Таблиця 1'!$J:$J,"GBU-65"))</f>
        <v/>
      </c>
      <c r="M185">
        <f>IF($A185="","",SUMIFS('Таблиця 1'!$K:$K,'Таблиця 1'!$B:$B,$A185,'Таблиця 1'!$I:$I,"Mirage",'Таблиця 1'!$J:$J,"GBU-62")+SUMIFS('Таблиця 1'!$K:$K,'Таблиця 1'!$B:$B,$A185,'Таблиця 1'!$I:$I,"F-16",'Таблиця 1'!$J:$J,"GBU-62")+SUMIFS('Таблиця 1'!$K:$K,'Таблиця 1'!$B:$B,$A185,'Таблиця 1'!$I:$I,"МіГ-29",'Таблиця 1'!$J:$J,"GBU-62")+SUMIFS('Таблиця 1'!$K:$K,'Таблиця 1'!$B:$B,$A185,'Таблиця 1'!$I:$I,"Су-25",'Таблиця 1'!$J:$J,"GBU-62")+SUMIFS('Таблиця 1'!$K:$K,'Таблиця 1'!$B:$B,$A185,'Таблиця 1'!$I:$I,"Су-27",'Таблиця 1'!$J:$J,"GBU-62"))</f>
        <v/>
      </c>
      <c r="N185">
        <f>IF($A185="","",SUMIFS('Таблиця 1'!$K:$K,'Таблиця 1'!$B:$B,$A185,'Таблиця 1'!$I:$I,"Mirage",'Таблиця 1'!$J:$J,"GBU-64")+SUMIFS('Таблиця 1'!$K:$K,'Таблиця 1'!$B:$B,$A185,'Таблиця 1'!$I:$I,"F-16",'Таблиця 1'!$J:$J,"GBU-64")+SUMIFS('Таблиця 1'!$K:$K,'Таблиця 1'!$B:$B,$A185,'Таблиця 1'!$I:$I,"МіГ-29",'Таблиця 1'!$J:$J,"GBU-64")+SUMIFS('Таблиця 1'!$K:$K,'Таблиця 1'!$B:$B,$A185,'Таблиця 1'!$I:$I,"Су-25",'Таблиця 1'!$J:$J,"GBU-64")+SUMIFS('Таблиця 1'!$K:$K,'Таблиця 1'!$B:$B,$A185,'Таблиця 1'!$I:$I,"Су-27",'Таблиця 1'!$J:$J,"GBU-64"))</f>
        <v/>
      </c>
      <c r="O185">
        <f>IF($A185="","",SUMIFS('Таблиця 1'!$K:$K,'Таблиця 1'!$B:$B,$A185,'Таблиця 1'!$I:$I,"Mirage",'Таблиця 1'!$J:$J,"C-13")+SUMIFS('Таблиця 1'!$K:$K,'Таблиця 1'!$B:$B,$A185,'Таблиця 1'!$I:$I,"F-16",'Таблиця 1'!$J:$J,"C-13")+SUMIFS('Таблиця 1'!$K:$K,'Таблиця 1'!$B:$B,$A185,'Таблиця 1'!$I:$I,"МіГ-29",'Таблиця 1'!$J:$J,"C-13")+SUMIFS('Таблиця 1'!$K:$K,'Таблиця 1'!$B:$B,$A185,'Таблиця 1'!$I:$I,"Су-25",'Таблиця 1'!$J:$J,"C-13")+SUMIFS('Таблиця 1'!$K:$K,'Таблиця 1'!$B:$B,$A185,'Таблиця 1'!$I:$I,"Су-27",'Таблиця 1'!$J:$J,"C-13"))</f>
        <v/>
      </c>
      <c r="P185">
        <f>IF($A185="","",SUMIFS('Таблиця 1'!$K:$K,'Таблиця 1'!$B:$B,$A185,'Таблиця 1'!$I:$I,"Mirage",'Таблиця 1'!$J:$J,"MK-32")+SUMIFS('Таблиця 1'!$K:$K,'Таблиця 1'!$B:$B,$A185,'Таблиця 1'!$I:$I,"F-16",'Таблиця 1'!$J:$J,"MK-32")+SUMIFS('Таблиця 1'!$K:$K,'Таблиця 1'!$B:$B,$A185,'Таблиця 1'!$I:$I,"МіГ-29",'Таблиця 1'!$J:$J,"MK-32")+SUMIFS('Таблиця 1'!$K:$K,'Таблиця 1'!$B:$B,$A185,'Таблиця 1'!$I:$I,"Су-25",'Таблиця 1'!$J:$J,"MK-32")+SUMIFS('Таблиця 1'!$K:$K,'Таблиця 1'!$B:$B,$A185,'Таблиця 1'!$I:$I,"Су-27",'Таблиця 1'!$J:$J,"MK-32"))</f>
        <v/>
      </c>
      <c r="Q185">
        <f>IF($A185="","",SUMIFS('Таблиця 1'!$K:$K,'Таблиця 1'!$B:$B,$A185,'Таблиця 1'!$I:$I,"Mirage",'Таблиця 1'!$J:$J,"MK-24")+SUMIFS('Таблиця 1'!$K:$K,'Таблиця 1'!$B:$B,$A185,'Таблиця 1'!$I:$I,"F-16",'Таблиця 1'!$J:$J,"MK-24")+SUMIFS('Таблиця 1'!$K:$K,'Таблиця 1'!$B:$B,$A185,'Таблиця 1'!$I:$I,"МіГ-29",'Таблиця 1'!$J:$J,"MK-24")+SUMIFS('Таблиця 1'!$K:$K,'Таблиця 1'!$B:$B,$A185,'Таблиця 1'!$I:$I,"Су-25",'Таблиця 1'!$J:$J,"MK-24")+SUMIFS('Таблиця 1'!$K:$K,'Таблиця 1'!$B:$B,$A185,'Таблиця 1'!$I:$I,"Су-27",'Таблиця 1'!$J:$J,"MK-24"))</f>
        <v/>
      </c>
      <c r="R185">
        <f>IF($A185="","",COUNTIFS('Таблиця 1'!$B:$B,$A185,'Таблиця 1'!$I:$I,"Mirage",'Таблиця 1'!$L:$L,"Уражено")+COUNTIFS('Таблиця 1'!$B:$B,$A185,'Таблиця 1'!$I:$I,"F-16",'Таблиця 1'!$L:$L,"Уражено")+COUNTIFS('Таблиця 1'!$B:$B,$A185,'Таблиця 1'!$I:$I,"МіГ-29",'Таблиця 1'!$L:$L,"Уражено")+COUNTIFS('Таблиця 1'!$B:$B,$A185,'Таблиця 1'!$I:$I,"Су-25",'Таблиця 1'!$L:$L,"Уражено")+COUNTIFS('Таблиця 1'!$B:$B,$A185,'Таблиця 1'!$I:$I,"Су-27",'Таблиця 1'!$L:$L,"Уражено"))</f>
        <v/>
      </c>
      <c r="S185">
        <f>IF($A185="","",COUNTIFS('Таблиця 1'!$B:$B,$A185,'Таблиця 1'!$I:$I,"Mirage",'Таблиця 1'!$L:$L,"НЕ уражено")+COUNTIFS('Таблиця 1'!$B:$B,$A185,'Таблиця 1'!$I:$I,"F-16",'Таблиця 1'!$L:$L,"НЕ уражено")+COUNTIFS('Таблиця 1'!$B:$B,$A185,'Таблиця 1'!$I:$I,"МіГ-29",'Таблиця 1'!$L:$L,"НЕ уражено")+COUNTIFS('Таблиця 1'!$B:$B,$A185,'Таблиця 1'!$I:$I,"Су-25",'Таблиця 1'!$L:$L,"НЕ уражено")+COUNTIFS('Таблиця 1'!$B:$B,$A185,'Таблиця 1'!$I:$I,"Су-27",'Таблиця 1'!$L:$L,"НЕ уражено"))</f>
        <v/>
      </c>
      <c r="T185">
        <f>IF($A185="","",COUNTIFS('Таблиця 1'!$B:$B,$A185,'Таблиця 1'!$I:$I,"Mirage",'Таблиця 1'!$L:$L,"Дорозвідується")+COUNTIFS('Таблиця 1'!$B:$B,$A185,'Таблиця 1'!$I:$I,"F-16",'Таблиця 1'!$L:$L,"Дорозвідується")+COUNTIFS('Таблиця 1'!$B:$B,$A185,'Таблиця 1'!$I:$I,"МіГ-29",'Таблиця 1'!$L:$L,"Дорозвідується")+COUNTIFS('Таблиця 1'!$B:$B,$A185,'Таблиця 1'!$I:$I,"Су-25",'Таблиця 1'!$L:$L,"Дорозвідується")+COUNTIFS('Таблиця 1'!$B:$B,$A185,'Таблиця 1'!$I:$I,"Су-27",'Таблиця 1'!$L:$L,"Дорозвідується"))</f>
        <v/>
      </c>
    </row>
    <row r="186">
      <c r="A186" s="273">
        <f>IF(A185="","",IF(A185+1&gt;MAX('Таблиця 1'!$B:$B),"",A185+1))</f>
        <v/>
      </c>
      <c r="B186">
        <f>IF($A186="","",COUNTIFS('Таблиця 1'!$B:$B,$A186,'Таблиця 1'!$I:$I,"Mirage")+COUNTIFS('Таблиця 1'!$B:$B,$A186,'Таблиця 1'!$I:$I,"F-16")+COUNTIFS('Таблиця 1'!$B:$B,$A186,'Таблиця 1'!$I:$I,"МіГ-29")+COUNTIFS('Таблиця 1'!$B:$B,$A186,'Таблиця 1'!$I:$I,"Су-25")+COUNTIFS('Таблиця 1'!$B:$B,$A186,'Таблиця 1'!$I:$I,"Су-27"))</f>
        <v/>
      </c>
      <c r="C186">
        <f>IF($A186="","",COUNTIFS('Таблиця 1'!$B:$B,$A186,'Таблиця 1'!$I:$I,"Mirage"))</f>
        <v/>
      </c>
      <c r="D186">
        <f>IF($A186="","",COUNTIFS('Таблиця 1'!$B:$B,$A186,'Таблиця 1'!$I:$I,"F-16"))</f>
        <v/>
      </c>
      <c r="E186">
        <f>IF($A186="","",COUNTIFS('Таблиця 1'!$B:$B,$A186,'Таблиця 1'!$I:$I,"МіГ-29"))</f>
        <v/>
      </c>
      <c r="F186">
        <f>IF($A186="","",COUNTIFS('Таблиця 1'!$B:$B,$A186,'Таблиця 1'!$I:$I,"Су-25"))</f>
        <v/>
      </c>
      <c r="G186">
        <f>IF($A186="","",COUNTIFS('Таблиця 1'!$B:$B,$A186,'Таблиця 1'!$I:$I,"Су-27"))</f>
        <v/>
      </c>
      <c r="H186">
        <f>IF($A186="","",SUMIFS('Таблиця 1'!$K:$K,'Таблиця 1'!$B:$B,$A186,'Таблиця 1'!$I:$I,"Mirage",'Таблиця 1'!$J:$J,"AGM-88")+SUMIFS('Таблиця 1'!$K:$K,'Таблиця 1'!$B:$B,$A186,'Таблиця 1'!$I:$I,"F-16",'Таблиця 1'!$J:$J,"AGM-88")+SUMIFS('Таблиця 1'!$K:$K,'Таблиця 1'!$B:$B,$A186,'Таблиця 1'!$I:$I,"МіГ-29",'Таблиця 1'!$J:$J,"AGM-88")+SUMIFS('Таблиця 1'!$K:$K,'Таблиця 1'!$B:$B,$A186,'Таблиця 1'!$I:$I,"Су-25",'Таблиця 1'!$J:$J,"AGM-88")+SUMIFS('Таблиця 1'!$K:$K,'Таблиця 1'!$B:$B,$A186,'Таблиця 1'!$I:$I,"Су-27",'Таблиця 1'!$J:$J,"AGM-88"))</f>
        <v/>
      </c>
      <c r="I186">
        <f>IF($A186="","",SUMIFS('Таблиця 1'!$K:$K,'Таблиця 1'!$B:$B,$A186,'Таблиця 1'!$I:$I,"Mirage",'Таблиця 1'!$J:$J,"AASM-250")+SUMIFS('Таблиця 1'!$K:$K,'Таблиця 1'!$B:$B,$A186,'Таблиця 1'!$I:$I,"F-16",'Таблиця 1'!$J:$J,"AASM-250")+SUMIFS('Таблиця 1'!$K:$K,'Таблиця 1'!$B:$B,$A186,'Таблиця 1'!$I:$I,"МіГ-29",'Таблиця 1'!$J:$J,"AASM-250")+SUMIFS('Таблиця 1'!$K:$K,'Таблиця 1'!$B:$B,$A186,'Таблиця 1'!$I:$I,"Су-25",'Таблиця 1'!$J:$J,"AASM-250")+SUMIFS('Таблиця 1'!$K:$K,'Таблиця 1'!$B:$B,$A186,'Таблиця 1'!$I:$I,"Су-27",'Таблиця 1'!$J:$J,"AASM-250"))</f>
        <v/>
      </c>
      <c r="J186">
        <f>IF($A186="","",SUMIFS('Таблиця 1'!$K:$K,'Таблиця 1'!$B:$B,$A186,'Таблиця 1'!$I:$I,"Mirage",'Таблиця 1'!$J:$J,"GBU-39")+SUMIFS('Таблиця 1'!$K:$K,'Таблиця 1'!$B:$B,$A186,'Таблиця 1'!$I:$I,"F-16",'Таблиця 1'!$J:$J,"GBU-39")+SUMIFS('Таблиця 1'!$K:$K,'Таблиця 1'!$B:$B,$A186,'Таблиця 1'!$I:$I,"МіГ-29",'Таблиця 1'!$J:$J,"GBU-39")+SUMIFS('Таблиця 1'!$K:$K,'Таблиця 1'!$B:$B,$A186,'Таблиця 1'!$I:$I,"Су-25",'Таблиця 1'!$J:$J,"GBU-39")+SUMIFS('Таблиця 1'!$K:$K,'Таблиця 1'!$B:$B,$A186,'Таблиця 1'!$I:$I,"Су-27",'Таблиця 1'!$J:$J,"GBU-39"))</f>
        <v/>
      </c>
      <c r="K186">
        <f>IF($A186="","",SUMIFS('Таблиця 1'!$K:$K,'Таблиця 1'!$B:$B,$A186,'Таблиця 1'!$I:$I,"Mirage",'Таблиця 1'!$J:$J,"BLU-140")+SUMIFS('Таблиця 1'!$K:$K,'Таблиця 1'!$B:$B,$A186,'Таблиця 1'!$I:$I,"F-16",'Таблиця 1'!$J:$J,"BLU-140")+SUMIFS('Таблиця 1'!$K:$K,'Таблиця 1'!$B:$B,$A186,'Таблиця 1'!$I:$I,"МіГ-29",'Таблиця 1'!$J:$J,"BLU-140")+SUMIFS('Таблиця 1'!$K:$K,'Таблиця 1'!$B:$B,$A186,'Таблиця 1'!$I:$I,"Су-25",'Таблиця 1'!$J:$J,"BLU-140")+SUMIFS('Таблиця 1'!$K:$K,'Таблиця 1'!$B:$B,$A186,'Таблиця 1'!$I:$I,"Су-27",'Таблиця 1'!$J:$J,"BLU-140"))</f>
        <v/>
      </c>
      <c r="L186">
        <f>IF($A186="","",SUMIFS('Таблиця 1'!$K:$K,'Таблиця 1'!$B:$B,$A186,'Таблиця 1'!$I:$I,"Mirage",'Таблиця 1'!$J:$J,"GBU-65")+SUMIFS('Таблиця 1'!$K:$K,'Таблиця 1'!$B:$B,$A186,'Таблиця 1'!$I:$I,"F-16",'Таблиця 1'!$J:$J,"GBU-65")+SUMIFS('Таблиця 1'!$K:$K,'Таблиця 1'!$B:$B,$A186,'Таблиця 1'!$I:$I,"МіГ-29",'Таблиця 1'!$J:$J,"GBU-65")+SUMIFS('Таблиця 1'!$K:$K,'Таблиця 1'!$B:$B,$A186,'Таблиця 1'!$I:$I,"Су-25",'Таблиця 1'!$J:$J,"GBU-65")+SUMIFS('Таблиця 1'!$K:$K,'Таблиця 1'!$B:$B,$A186,'Таблиця 1'!$I:$I,"Су-27",'Таблиця 1'!$J:$J,"GBU-65"))</f>
        <v/>
      </c>
      <c r="M186">
        <f>IF($A186="","",SUMIFS('Таблиця 1'!$K:$K,'Таблиця 1'!$B:$B,$A186,'Таблиця 1'!$I:$I,"Mirage",'Таблиця 1'!$J:$J,"GBU-62")+SUMIFS('Таблиця 1'!$K:$K,'Таблиця 1'!$B:$B,$A186,'Таблиця 1'!$I:$I,"F-16",'Таблиця 1'!$J:$J,"GBU-62")+SUMIFS('Таблиця 1'!$K:$K,'Таблиця 1'!$B:$B,$A186,'Таблиця 1'!$I:$I,"МіГ-29",'Таблиця 1'!$J:$J,"GBU-62")+SUMIFS('Таблиця 1'!$K:$K,'Таблиця 1'!$B:$B,$A186,'Таблиця 1'!$I:$I,"Су-25",'Таблиця 1'!$J:$J,"GBU-62")+SUMIFS('Таблиця 1'!$K:$K,'Таблиця 1'!$B:$B,$A186,'Таблиця 1'!$I:$I,"Су-27",'Таблиця 1'!$J:$J,"GBU-62"))</f>
        <v/>
      </c>
      <c r="N186">
        <f>IF($A186="","",SUMIFS('Таблиця 1'!$K:$K,'Таблиця 1'!$B:$B,$A186,'Таблиця 1'!$I:$I,"Mirage",'Таблиця 1'!$J:$J,"GBU-64")+SUMIFS('Таблиця 1'!$K:$K,'Таблиця 1'!$B:$B,$A186,'Таблиця 1'!$I:$I,"F-16",'Таблиця 1'!$J:$J,"GBU-64")+SUMIFS('Таблиця 1'!$K:$K,'Таблиця 1'!$B:$B,$A186,'Таблиця 1'!$I:$I,"МіГ-29",'Таблиця 1'!$J:$J,"GBU-64")+SUMIFS('Таблиця 1'!$K:$K,'Таблиця 1'!$B:$B,$A186,'Таблиця 1'!$I:$I,"Су-25",'Таблиця 1'!$J:$J,"GBU-64")+SUMIFS('Таблиця 1'!$K:$K,'Таблиця 1'!$B:$B,$A186,'Таблиця 1'!$I:$I,"Су-27",'Таблиця 1'!$J:$J,"GBU-64"))</f>
        <v/>
      </c>
      <c r="O186">
        <f>IF($A186="","",SUMIFS('Таблиця 1'!$K:$K,'Таблиця 1'!$B:$B,$A186,'Таблиця 1'!$I:$I,"Mirage",'Таблиця 1'!$J:$J,"C-13")+SUMIFS('Таблиця 1'!$K:$K,'Таблиця 1'!$B:$B,$A186,'Таблиця 1'!$I:$I,"F-16",'Таблиця 1'!$J:$J,"C-13")+SUMIFS('Таблиця 1'!$K:$K,'Таблиця 1'!$B:$B,$A186,'Таблиця 1'!$I:$I,"МіГ-29",'Таблиця 1'!$J:$J,"C-13")+SUMIFS('Таблиця 1'!$K:$K,'Таблиця 1'!$B:$B,$A186,'Таблиця 1'!$I:$I,"Су-25",'Таблиця 1'!$J:$J,"C-13")+SUMIFS('Таблиця 1'!$K:$K,'Таблиця 1'!$B:$B,$A186,'Таблиця 1'!$I:$I,"Су-27",'Таблиця 1'!$J:$J,"C-13"))</f>
        <v/>
      </c>
      <c r="P186">
        <f>IF($A186="","",SUMIFS('Таблиця 1'!$K:$K,'Таблиця 1'!$B:$B,$A186,'Таблиця 1'!$I:$I,"Mirage",'Таблиця 1'!$J:$J,"MK-32")+SUMIFS('Таблиця 1'!$K:$K,'Таблиця 1'!$B:$B,$A186,'Таблиця 1'!$I:$I,"F-16",'Таблиця 1'!$J:$J,"MK-32")+SUMIFS('Таблиця 1'!$K:$K,'Таблиця 1'!$B:$B,$A186,'Таблиця 1'!$I:$I,"МіГ-29",'Таблиця 1'!$J:$J,"MK-32")+SUMIFS('Таблиця 1'!$K:$K,'Таблиця 1'!$B:$B,$A186,'Таблиця 1'!$I:$I,"Су-25",'Таблиця 1'!$J:$J,"MK-32")+SUMIFS('Таблиця 1'!$K:$K,'Таблиця 1'!$B:$B,$A186,'Таблиця 1'!$I:$I,"Су-27",'Таблиця 1'!$J:$J,"MK-32"))</f>
        <v/>
      </c>
      <c r="Q186">
        <f>IF($A186="","",SUMIFS('Таблиця 1'!$K:$K,'Таблиця 1'!$B:$B,$A186,'Таблиця 1'!$I:$I,"Mirage",'Таблиця 1'!$J:$J,"MK-24")+SUMIFS('Таблиця 1'!$K:$K,'Таблиця 1'!$B:$B,$A186,'Таблиця 1'!$I:$I,"F-16",'Таблиця 1'!$J:$J,"MK-24")+SUMIFS('Таблиця 1'!$K:$K,'Таблиця 1'!$B:$B,$A186,'Таблиця 1'!$I:$I,"МіГ-29",'Таблиця 1'!$J:$J,"MK-24")+SUMIFS('Таблиця 1'!$K:$K,'Таблиця 1'!$B:$B,$A186,'Таблиця 1'!$I:$I,"Су-25",'Таблиця 1'!$J:$J,"MK-24")+SUMIFS('Таблиця 1'!$K:$K,'Таблиця 1'!$B:$B,$A186,'Таблиця 1'!$I:$I,"Су-27",'Таблиця 1'!$J:$J,"MK-24"))</f>
        <v/>
      </c>
      <c r="R186">
        <f>IF($A186="","",COUNTIFS('Таблиця 1'!$B:$B,$A186,'Таблиця 1'!$I:$I,"Mirage",'Таблиця 1'!$L:$L,"Уражено")+COUNTIFS('Таблиця 1'!$B:$B,$A186,'Таблиця 1'!$I:$I,"F-16",'Таблиця 1'!$L:$L,"Уражено")+COUNTIFS('Таблиця 1'!$B:$B,$A186,'Таблиця 1'!$I:$I,"МіГ-29",'Таблиця 1'!$L:$L,"Уражено")+COUNTIFS('Таблиця 1'!$B:$B,$A186,'Таблиця 1'!$I:$I,"Су-25",'Таблиця 1'!$L:$L,"Уражено")+COUNTIFS('Таблиця 1'!$B:$B,$A186,'Таблиця 1'!$I:$I,"Су-27",'Таблиця 1'!$L:$L,"Уражено"))</f>
        <v/>
      </c>
      <c r="S186">
        <f>IF($A186="","",COUNTIFS('Таблиця 1'!$B:$B,$A186,'Таблиця 1'!$I:$I,"Mirage",'Таблиця 1'!$L:$L,"НЕ уражено")+COUNTIFS('Таблиця 1'!$B:$B,$A186,'Таблиця 1'!$I:$I,"F-16",'Таблиця 1'!$L:$L,"НЕ уражено")+COUNTIFS('Таблиця 1'!$B:$B,$A186,'Таблиця 1'!$I:$I,"МіГ-29",'Таблиця 1'!$L:$L,"НЕ уражено")+COUNTIFS('Таблиця 1'!$B:$B,$A186,'Таблиця 1'!$I:$I,"Су-25",'Таблиця 1'!$L:$L,"НЕ уражено")+COUNTIFS('Таблиця 1'!$B:$B,$A186,'Таблиця 1'!$I:$I,"Су-27",'Таблиця 1'!$L:$L,"НЕ уражено"))</f>
        <v/>
      </c>
      <c r="T186">
        <f>IF($A186="","",COUNTIFS('Таблиця 1'!$B:$B,$A186,'Таблиця 1'!$I:$I,"Mirage",'Таблиця 1'!$L:$L,"Дорозвідується")+COUNTIFS('Таблиця 1'!$B:$B,$A186,'Таблиця 1'!$I:$I,"F-16",'Таблиця 1'!$L:$L,"Дорозвідується")+COUNTIFS('Таблиця 1'!$B:$B,$A186,'Таблиця 1'!$I:$I,"МіГ-29",'Таблиця 1'!$L:$L,"Дорозвідується")+COUNTIFS('Таблиця 1'!$B:$B,$A186,'Таблиця 1'!$I:$I,"Су-25",'Таблиця 1'!$L:$L,"Дорозвідується")+COUNTIFS('Таблиця 1'!$B:$B,$A186,'Таблиця 1'!$I:$I,"Су-27",'Таблиця 1'!$L:$L,"Дорозвідується"))</f>
        <v/>
      </c>
    </row>
    <row r="187">
      <c r="A187" s="273">
        <f>IF(A186="","",IF(A186+1&gt;MAX('Таблиця 1'!$B:$B),"",A186+1))</f>
        <v/>
      </c>
      <c r="B187">
        <f>IF($A187="","",COUNTIFS('Таблиця 1'!$B:$B,$A187,'Таблиця 1'!$I:$I,"Mirage")+COUNTIFS('Таблиця 1'!$B:$B,$A187,'Таблиця 1'!$I:$I,"F-16")+COUNTIFS('Таблиця 1'!$B:$B,$A187,'Таблиця 1'!$I:$I,"МіГ-29")+COUNTIFS('Таблиця 1'!$B:$B,$A187,'Таблиця 1'!$I:$I,"Су-25")+COUNTIFS('Таблиця 1'!$B:$B,$A187,'Таблиця 1'!$I:$I,"Су-27"))</f>
        <v/>
      </c>
      <c r="C187">
        <f>IF($A187="","",COUNTIFS('Таблиця 1'!$B:$B,$A187,'Таблиця 1'!$I:$I,"Mirage"))</f>
        <v/>
      </c>
      <c r="D187">
        <f>IF($A187="","",COUNTIFS('Таблиця 1'!$B:$B,$A187,'Таблиця 1'!$I:$I,"F-16"))</f>
        <v/>
      </c>
      <c r="E187">
        <f>IF($A187="","",COUNTIFS('Таблиця 1'!$B:$B,$A187,'Таблиця 1'!$I:$I,"МіГ-29"))</f>
        <v/>
      </c>
      <c r="F187">
        <f>IF($A187="","",COUNTIFS('Таблиця 1'!$B:$B,$A187,'Таблиця 1'!$I:$I,"Су-25"))</f>
        <v/>
      </c>
      <c r="G187">
        <f>IF($A187="","",COUNTIFS('Таблиця 1'!$B:$B,$A187,'Таблиця 1'!$I:$I,"Су-27"))</f>
        <v/>
      </c>
      <c r="H187">
        <f>IF($A187="","",SUMIFS('Таблиця 1'!$K:$K,'Таблиця 1'!$B:$B,$A187,'Таблиця 1'!$I:$I,"Mirage",'Таблиця 1'!$J:$J,"AGM-88")+SUMIFS('Таблиця 1'!$K:$K,'Таблиця 1'!$B:$B,$A187,'Таблиця 1'!$I:$I,"F-16",'Таблиця 1'!$J:$J,"AGM-88")+SUMIFS('Таблиця 1'!$K:$K,'Таблиця 1'!$B:$B,$A187,'Таблиця 1'!$I:$I,"МіГ-29",'Таблиця 1'!$J:$J,"AGM-88")+SUMIFS('Таблиця 1'!$K:$K,'Таблиця 1'!$B:$B,$A187,'Таблиця 1'!$I:$I,"Су-25",'Таблиця 1'!$J:$J,"AGM-88")+SUMIFS('Таблиця 1'!$K:$K,'Таблиця 1'!$B:$B,$A187,'Таблиця 1'!$I:$I,"Су-27",'Таблиця 1'!$J:$J,"AGM-88"))</f>
        <v/>
      </c>
      <c r="I187">
        <f>IF($A187="","",SUMIFS('Таблиця 1'!$K:$K,'Таблиця 1'!$B:$B,$A187,'Таблиця 1'!$I:$I,"Mirage",'Таблиця 1'!$J:$J,"AASM-250")+SUMIFS('Таблиця 1'!$K:$K,'Таблиця 1'!$B:$B,$A187,'Таблиця 1'!$I:$I,"F-16",'Таблиця 1'!$J:$J,"AASM-250")+SUMIFS('Таблиця 1'!$K:$K,'Таблиця 1'!$B:$B,$A187,'Таблиця 1'!$I:$I,"МіГ-29",'Таблиця 1'!$J:$J,"AASM-250")+SUMIFS('Таблиця 1'!$K:$K,'Таблиця 1'!$B:$B,$A187,'Таблиця 1'!$I:$I,"Су-25",'Таблиця 1'!$J:$J,"AASM-250")+SUMIFS('Таблиця 1'!$K:$K,'Таблиця 1'!$B:$B,$A187,'Таблиця 1'!$I:$I,"Су-27",'Таблиця 1'!$J:$J,"AASM-250"))</f>
        <v/>
      </c>
      <c r="J187">
        <f>IF($A187="","",SUMIFS('Таблиця 1'!$K:$K,'Таблиця 1'!$B:$B,$A187,'Таблиця 1'!$I:$I,"Mirage",'Таблиця 1'!$J:$J,"GBU-39")+SUMIFS('Таблиця 1'!$K:$K,'Таблиця 1'!$B:$B,$A187,'Таблиця 1'!$I:$I,"F-16",'Таблиця 1'!$J:$J,"GBU-39")+SUMIFS('Таблиця 1'!$K:$K,'Таблиця 1'!$B:$B,$A187,'Таблиця 1'!$I:$I,"МіГ-29",'Таблиця 1'!$J:$J,"GBU-39")+SUMIFS('Таблиця 1'!$K:$K,'Таблиця 1'!$B:$B,$A187,'Таблиця 1'!$I:$I,"Су-25",'Таблиця 1'!$J:$J,"GBU-39")+SUMIFS('Таблиця 1'!$K:$K,'Таблиця 1'!$B:$B,$A187,'Таблиця 1'!$I:$I,"Су-27",'Таблиця 1'!$J:$J,"GBU-39"))</f>
        <v/>
      </c>
      <c r="K187">
        <f>IF($A187="","",SUMIFS('Таблиця 1'!$K:$K,'Таблиця 1'!$B:$B,$A187,'Таблиця 1'!$I:$I,"Mirage",'Таблиця 1'!$J:$J,"BLU-140")+SUMIFS('Таблиця 1'!$K:$K,'Таблиця 1'!$B:$B,$A187,'Таблиця 1'!$I:$I,"F-16",'Таблиця 1'!$J:$J,"BLU-140")+SUMIFS('Таблиця 1'!$K:$K,'Таблиця 1'!$B:$B,$A187,'Таблиця 1'!$I:$I,"МіГ-29",'Таблиця 1'!$J:$J,"BLU-140")+SUMIFS('Таблиця 1'!$K:$K,'Таблиця 1'!$B:$B,$A187,'Таблиця 1'!$I:$I,"Су-25",'Таблиця 1'!$J:$J,"BLU-140")+SUMIFS('Таблиця 1'!$K:$K,'Таблиця 1'!$B:$B,$A187,'Таблиця 1'!$I:$I,"Су-27",'Таблиця 1'!$J:$J,"BLU-140"))</f>
        <v/>
      </c>
      <c r="L187">
        <f>IF($A187="","",SUMIFS('Таблиця 1'!$K:$K,'Таблиця 1'!$B:$B,$A187,'Таблиця 1'!$I:$I,"Mirage",'Таблиця 1'!$J:$J,"GBU-65")+SUMIFS('Таблиця 1'!$K:$K,'Таблиця 1'!$B:$B,$A187,'Таблиця 1'!$I:$I,"F-16",'Таблиця 1'!$J:$J,"GBU-65")+SUMIFS('Таблиця 1'!$K:$K,'Таблиця 1'!$B:$B,$A187,'Таблиця 1'!$I:$I,"МіГ-29",'Таблиця 1'!$J:$J,"GBU-65")+SUMIFS('Таблиця 1'!$K:$K,'Таблиця 1'!$B:$B,$A187,'Таблиця 1'!$I:$I,"Су-25",'Таблиця 1'!$J:$J,"GBU-65")+SUMIFS('Таблиця 1'!$K:$K,'Таблиця 1'!$B:$B,$A187,'Таблиця 1'!$I:$I,"Су-27",'Таблиця 1'!$J:$J,"GBU-65"))</f>
        <v/>
      </c>
      <c r="M187">
        <f>IF($A187="","",SUMIFS('Таблиця 1'!$K:$K,'Таблиця 1'!$B:$B,$A187,'Таблиця 1'!$I:$I,"Mirage",'Таблиця 1'!$J:$J,"GBU-62")+SUMIFS('Таблиця 1'!$K:$K,'Таблиця 1'!$B:$B,$A187,'Таблиця 1'!$I:$I,"F-16",'Таблиця 1'!$J:$J,"GBU-62")+SUMIFS('Таблиця 1'!$K:$K,'Таблиця 1'!$B:$B,$A187,'Таблиця 1'!$I:$I,"МіГ-29",'Таблиця 1'!$J:$J,"GBU-62")+SUMIFS('Таблиця 1'!$K:$K,'Таблиця 1'!$B:$B,$A187,'Таблиця 1'!$I:$I,"Су-25",'Таблиця 1'!$J:$J,"GBU-62")+SUMIFS('Таблиця 1'!$K:$K,'Таблиця 1'!$B:$B,$A187,'Таблиця 1'!$I:$I,"Су-27",'Таблиця 1'!$J:$J,"GBU-62"))</f>
        <v/>
      </c>
      <c r="N187">
        <f>IF($A187="","",SUMIFS('Таблиця 1'!$K:$K,'Таблиця 1'!$B:$B,$A187,'Таблиця 1'!$I:$I,"Mirage",'Таблиця 1'!$J:$J,"GBU-64")+SUMIFS('Таблиця 1'!$K:$K,'Таблиця 1'!$B:$B,$A187,'Таблиця 1'!$I:$I,"F-16",'Таблиця 1'!$J:$J,"GBU-64")+SUMIFS('Таблиця 1'!$K:$K,'Таблиця 1'!$B:$B,$A187,'Таблиця 1'!$I:$I,"МіГ-29",'Таблиця 1'!$J:$J,"GBU-64")+SUMIFS('Таблиця 1'!$K:$K,'Таблиця 1'!$B:$B,$A187,'Таблиця 1'!$I:$I,"Су-25",'Таблиця 1'!$J:$J,"GBU-64")+SUMIFS('Таблиця 1'!$K:$K,'Таблиця 1'!$B:$B,$A187,'Таблиця 1'!$I:$I,"Су-27",'Таблиця 1'!$J:$J,"GBU-64"))</f>
        <v/>
      </c>
      <c r="O187">
        <f>IF($A187="","",SUMIFS('Таблиця 1'!$K:$K,'Таблиця 1'!$B:$B,$A187,'Таблиця 1'!$I:$I,"Mirage",'Таблиця 1'!$J:$J,"C-13")+SUMIFS('Таблиця 1'!$K:$K,'Таблиця 1'!$B:$B,$A187,'Таблиця 1'!$I:$I,"F-16",'Таблиця 1'!$J:$J,"C-13")+SUMIFS('Таблиця 1'!$K:$K,'Таблиця 1'!$B:$B,$A187,'Таблиця 1'!$I:$I,"МіГ-29",'Таблиця 1'!$J:$J,"C-13")+SUMIFS('Таблиця 1'!$K:$K,'Таблиця 1'!$B:$B,$A187,'Таблиця 1'!$I:$I,"Су-25",'Таблиця 1'!$J:$J,"C-13")+SUMIFS('Таблиця 1'!$K:$K,'Таблиця 1'!$B:$B,$A187,'Таблиця 1'!$I:$I,"Су-27",'Таблиця 1'!$J:$J,"C-13"))</f>
        <v/>
      </c>
      <c r="P187">
        <f>IF($A187="","",SUMIFS('Таблиця 1'!$K:$K,'Таблиця 1'!$B:$B,$A187,'Таблиця 1'!$I:$I,"Mirage",'Таблиця 1'!$J:$J,"MK-32")+SUMIFS('Таблиця 1'!$K:$K,'Таблиця 1'!$B:$B,$A187,'Таблиця 1'!$I:$I,"F-16",'Таблиця 1'!$J:$J,"MK-32")+SUMIFS('Таблиця 1'!$K:$K,'Таблиця 1'!$B:$B,$A187,'Таблиця 1'!$I:$I,"МіГ-29",'Таблиця 1'!$J:$J,"MK-32")+SUMIFS('Таблиця 1'!$K:$K,'Таблиця 1'!$B:$B,$A187,'Таблиця 1'!$I:$I,"Су-25",'Таблиця 1'!$J:$J,"MK-32")+SUMIFS('Таблиця 1'!$K:$K,'Таблиця 1'!$B:$B,$A187,'Таблиця 1'!$I:$I,"Су-27",'Таблиця 1'!$J:$J,"MK-32"))</f>
        <v/>
      </c>
      <c r="Q187">
        <f>IF($A187="","",SUMIFS('Таблиця 1'!$K:$K,'Таблиця 1'!$B:$B,$A187,'Таблиця 1'!$I:$I,"Mirage",'Таблиця 1'!$J:$J,"MK-24")+SUMIFS('Таблиця 1'!$K:$K,'Таблиця 1'!$B:$B,$A187,'Таблиця 1'!$I:$I,"F-16",'Таблиця 1'!$J:$J,"MK-24")+SUMIFS('Таблиця 1'!$K:$K,'Таблиця 1'!$B:$B,$A187,'Таблиця 1'!$I:$I,"МіГ-29",'Таблиця 1'!$J:$J,"MK-24")+SUMIFS('Таблиця 1'!$K:$K,'Таблиця 1'!$B:$B,$A187,'Таблиця 1'!$I:$I,"Су-25",'Таблиця 1'!$J:$J,"MK-24")+SUMIFS('Таблиця 1'!$K:$K,'Таблиця 1'!$B:$B,$A187,'Таблиця 1'!$I:$I,"Су-27",'Таблиця 1'!$J:$J,"MK-24"))</f>
        <v/>
      </c>
      <c r="R187">
        <f>IF($A187="","",COUNTIFS('Таблиця 1'!$B:$B,$A187,'Таблиця 1'!$I:$I,"Mirage",'Таблиця 1'!$L:$L,"Уражено")+COUNTIFS('Таблиця 1'!$B:$B,$A187,'Таблиця 1'!$I:$I,"F-16",'Таблиця 1'!$L:$L,"Уражено")+COUNTIFS('Таблиця 1'!$B:$B,$A187,'Таблиця 1'!$I:$I,"МіГ-29",'Таблиця 1'!$L:$L,"Уражено")+COUNTIFS('Таблиця 1'!$B:$B,$A187,'Таблиця 1'!$I:$I,"Су-25",'Таблиця 1'!$L:$L,"Уражено")+COUNTIFS('Таблиця 1'!$B:$B,$A187,'Таблиця 1'!$I:$I,"Су-27",'Таблиця 1'!$L:$L,"Уражено"))</f>
        <v/>
      </c>
      <c r="S187">
        <f>IF($A187="","",COUNTIFS('Таблиця 1'!$B:$B,$A187,'Таблиця 1'!$I:$I,"Mirage",'Таблиця 1'!$L:$L,"НЕ уражено")+COUNTIFS('Таблиця 1'!$B:$B,$A187,'Таблиця 1'!$I:$I,"F-16",'Таблиця 1'!$L:$L,"НЕ уражено")+COUNTIFS('Таблиця 1'!$B:$B,$A187,'Таблиця 1'!$I:$I,"МіГ-29",'Таблиця 1'!$L:$L,"НЕ уражено")+COUNTIFS('Таблиця 1'!$B:$B,$A187,'Таблиця 1'!$I:$I,"Су-25",'Таблиця 1'!$L:$L,"НЕ уражено")+COUNTIFS('Таблиця 1'!$B:$B,$A187,'Таблиця 1'!$I:$I,"Су-27",'Таблиця 1'!$L:$L,"НЕ уражено"))</f>
        <v/>
      </c>
      <c r="T187">
        <f>IF($A187="","",COUNTIFS('Таблиця 1'!$B:$B,$A187,'Таблиця 1'!$I:$I,"Mirage",'Таблиця 1'!$L:$L,"Дорозвідується")+COUNTIFS('Таблиця 1'!$B:$B,$A187,'Таблиця 1'!$I:$I,"F-16",'Таблиця 1'!$L:$L,"Дорозвідується")+COUNTIFS('Таблиця 1'!$B:$B,$A187,'Таблиця 1'!$I:$I,"МіГ-29",'Таблиця 1'!$L:$L,"Дорозвідується")+COUNTIFS('Таблиця 1'!$B:$B,$A187,'Таблиця 1'!$I:$I,"Су-25",'Таблиця 1'!$L:$L,"Дорозвідується")+COUNTIFS('Таблиця 1'!$B:$B,$A187,'Таблиця 1'!$I:$I,"Су-27",'Таблиця 1'!$L:$L,"Дорозвідується"))</f>
        <v/>
      </c>
    </row>
    <row r="188">
      <c r="A188" s="273">
        <f>IF(A187="","",IF(A187+1&gt;MAX('Таблиця 1'!$B:$B),"",A187+1))</f>
        <v/>
      </c>
      <c r="B188">
        <f>IF($A188="","",COUNTIFS('Таблиця 1'!$B:$B,$A188,'Таблиця 1'!$I:$I,"Mirage")+COUNTIFS('Таблиця 1'!$B:$B,$A188,'Таблиця 1'!$I:$I,"F-16")+COUNTIFS('Таблиця 1'!$B:$B,$A188,'Таблиця 1'!$I:$I,"МіГ-29")+COUNTIFS('Таблиця 1'!$B:$B,$A188,'Таблиця 1'!$I:$I,"Су-25")+COUNTIFS('Таблиця 1'!$B:$B,$A188,'Таблиця 1'!$I:$I,"Су-27"))</f>
        <v/>
      </c>
      <c r="C188">
        <f>IF($A188="","",COUNTIFS('Таблиця 1'!$B:$B,$A188,'Таблиця 1'!$I:$I,"Mirage"))</f>
        <v/>
      </c>
      <c r="D188">
        <f>IF($A188="","",COUNTIFS('Таблиця 1'!$B:$B,$A188,'Таблиця 1'!$I:$I,"F-16"))</f>
        <v/>
      </c>
      <c r="E188">
        <f>IF($A188="","",COUNTIFS('Таблиця 1'!$B:$B,$A188,'Таблиця 1'!$I:$I,"МіГ-29"))</f>
        <v/>
      </c>
      <c r="F188">
        <f>IF($A188="","",COUNTIFS('Таблиця 1'!$B:$B,$A188,'Таблиця 1'!$I:$I,"Су-25"))</f>
        <v/>
      </c>
      <c r="G188">
        <f>IF($A188="","",COUNTIFS('Таблиця 1'!$B:$B,$A188,'Таблиця 1'!$I:$I,"Су-27"))</f>
        <v/>
      </c>
      <c r="H188">
        <f>IF($A188="","",SUMIFS('Таблиця 1'!$K:$K,'Таблиця 1'!$B:$B,$A188,'Таблиця 1'!$I:$I,"Mirage",'Таблиця 1'!$J:$J,"AGM-88")+SUMIFS('Таблиця 1'!$K:$K,'Таблиця 1'!$B:$B,$A188,'Таблиця 1'!$I:$I,"F-16",'Таблиця 1'!$J:$J,"AGM-88")+SUMIFS('Таблиця 1'!$K:$K,'Таблиця 1'!$B:$B,$A188,'Таблиця 1'!$I:$I,"МіГ-29",'Таблиця 1'!$J:$J,"AGM-88")+SUMIFS('Таблиця 1'!$K:$K,'Таблиця 1'!$B:$B,$A188,'Таблиця 1'!$I:$I,"Су-25",'Таблиця 1'!$J:$J,"AGM-88")+SUMIFS('Таблиця 1'!$K:$K,'Таблиця 1'!$B:$B,$A188,'Таблиця 1'!$I:$I,"Су-27",'Таблиця 1'!$J:$J,"AGM-88"))</f>
        <v/>
      </c>
      <c r="I188">
        <f>IF($A188="","",SUMIFS('Таблиця 1'!$K:$K,'Таблиця 1'!$B:$B,$A188,'Таблиця 1'!$I:$I,"Mirage",'Таблиця 1'!$J:$J,"AASM-250")+SUMIFS('Таблиця 1'!$K:$K,'Таблиця 1'!$B:$B,$A188,'Таблиця 1'!$I:$I,"F-16",'Таблиця 1'!$J:$J,"AASM-250")+SUMIFS('Таблиця 1'!$K:$K,'Таблиця 1'!$B:$B,$A188,'Таблиця 1'!$I:$I,"МіГ-29",'Таблиця 1'!$J:$J,"AASM-250")+SUMIFS('Таблиця 1'!$K:$K,'Таблиця 1'!$B:$B,$A188,'Таблиця 1'!$I:$I,"Су-25",'Таблиця 1'!$J:$J,"AASM-250")+SUMIFS('Таблиця 1'!$K:$K,'Таблиця 1'!$B:$B,$A188,'Таблиця 1'!$I:$I,"Су-27",'Таблиця 1'!$J:$J,"AASM-250"))</f>
        <v/>
      </c>
      <c r="J188">
        <f>IF($A188="","",SUMIFS('Таблиця 1'!$K:$K,'Таблиця 1'!$B:$B,$A188,'Таблиця 1'!$I:$I,"Mirage",'Таблиця 1'!$J:$J,"GBU-39")+SUMIFS('Таблиця 1'!$K:$K,'Таблиця 1'!$B:$B,$A188,'Таблиця 1'!$I:$I,"F-16",'Таблиця 1'!$J:$J,"GBU-39")+SUMIFS('Таблиця 1'!$K:$K,'Таблиця 1'!$B:$B,$A188,'Таблиця 1'!$I:$I,"МіГ-29",'Таблиця 1'!$J:$J,"GBU-39")+SUMIFS('Таблиця 1'!$K:$K,'Таблиця 1'!$B:$B,$A188,'Таблиця 1'!$I:$I,"Су-25",'Таблиця 1'!$J:$J,"GBU-39")+SUMIFS('Таблиця 1'!$K:$K,'Таблиця 1'!$B:$B,$A188,'Таблиця 1'!$I:$I,"Су-27",'Таблиця 1'!$J:$J,"GBU-39"))</f>
        <v/>
      </c>
      <c r="K188">
        <f>IF($A188="","",SUMIFS('Таблиця 1'!$K:$K,'Таблиця 1'!$B:$B,$A188,'Таблиця 1'!$I:$I,"Mirage",'Таблиця 1'!$J:$J,"BLU-140")+SUMIFS('Таблиця 1'!$K:$K,'Таблиця 1'!$B:$B,$A188,'Таблиця 1'!$I:$I,"F-16",'Таблиця 1'!$J:$J,"BLU-140")+SUMIFS('Таблиця 1'!$K:$K,'Таблиця 1'!$B:$B,$A188,'Таблиця 1'!$I:$I,"МіГ-29",'Таблиця 1'!$J:$J,"BLU-140")+SUMIFS('Таблиця 1'!$K:$K,'Таблиця 1'!$B:$B,$A188,'Таблиця 1'!$I:$I,"Су-25",'Таблиця 1'!$J:$J,"BLU-140")+SUMIFS('Таблиця 1'!$K:$K,'Таблиця 1'!$B:$B,$A188,'Таблиця 1'!$I:$I,"Су-27",'Таблиця 1'!$J:$J,"BLU-140"))</f>
        <v/>
      </c>
      <c r="L188">
        <f>IF($A188="","",SUMIFS('Таблиця 1'!$K:$K,'Таблиця 1'!$B:$B,$A188,'Таблиця 1'!$I:$I,"Mirage",'Таблиця 1'!$J:$J,"GBU-65")+SUMIFS('Таблиця 1'!$K:$K,'Таблиця 1'!$B:$B,$A188,'Таблиця 1'!$I:$I,"F-16",'Таблиця 1'!$J:$J,"GBU-65")+SUMIFS('Таблиця 1'!$K:$K,'Таблиця 1'!$B:$B,$A188,'Таблиця 1'!$I:$I,"МіГ-29",'Таблиця 1'!$J:$J,"GBU-65")+SUMIFS('Таблиця 1'!$K:$K,'Таблиця 1'!$B:$B,$A188,'Таблиця 1'!$I:$I,"Су-25",'Таблиця 1'!$J:$J,"GBU-65")+SUMIFS('Таблиця 1'!$K:$K,'Таблиця 1'!$B:$B,$A188,'Таблиця 1'!$I:$I,"Су-27",'Таблиця 1'!$J:$J,"GBU-65"))</f>
        <v/>
      </c>
      <c r="M188">
        <f>IF($A188="","",SUMIFS('Таблиця 1'!$K:$K,'Таблиця 1'!$B:$B,$A188,'Таблиця 1'!$I:$I,"Mirage",'Таблиця 1'!$J:$J,"GBU-62")+SUMIFS('Таблиця 1'!$K:$K,'Таблиця 1'!$B:$B,$A188,'Таблиця 1'!$I:$I,"F-16",'Таблиця 1'!$J:$J,"GBU-62")+SUMIFS('Таблиця 1'!$K:$K,'Таблиця 1'!$B:$B,$A188,'Таблиця 1'!$I:$I,"МіГ-29",'Таблиця 1'!$J:$J,"GBU-62")+SUMIFS('Таблиця 1'!$K:$K,'Таблиця 1'!$B:$B,$A188,'Таблиця 1'!$I:$I,"Су-25",'Таблиця 1'!$J:$J,"GBU-62")+SUMIFS('Таблиця 1'!$K:$K,'Таблиця 1'!$B:$B,$A188,'Таблиця 1'!$I:$I,"Су-27",'Таблиця 1'!$J:$J,"GBU-62"))</f>
        <v/>
      </c>
      <c r="N188">
        <f>IF($A188="","",SUMIFS('Таблиця 1'!$K:$K,'Таблиця 1'!$B:$B,$A188,'Таблиця 1'!$I:$I,"Mirage",'Таблиця 1'!$J:$J,"GBU-64")+SUMIFS('Таблиця 1'!$K:$K,'Таблиця 1'!$B:$B,$A188,'Таблиця 1'!$I:$I,"F-16",'Таблиця 1'!$J:$J,"GBU-64")+SUMIFS('Таблиця 1'!$K:$K,'Таблиця 1'!$B:$B,$A188,'Таблиця 1'!$I:$I,"МіГ-29",'Таблиця 1'!$J:$J,"GBU-64")+SUMIFS('Таблиця 1'!$K:$K,'Таблиця 1'!$B:$B,$A188,'Таблиця 1'!$I:$I,"Су-25",'Таблиця 1'!$J:$J,"GBU-64")+SUMIFS('Таблиця 1'!$K:$K,'Таблиця 1'!$B:$B,$A188,'Таблиця 1'!$I:$I,"Су-27",'Таблиця 1'!$J:$J,"GBU-64"))</f>
        <v/>
      </c>
      <c r="O188">
        <f>IF($A188="","",SUMIFS('Таблиця 1'!$K:$K,'Таблиця 1'!$B:$B,$A188,'Таблиця 1'!$I:$I,"Mirage",'Таблиця 1'!$J:$J,"C-13")+SUMIFS('Таблиця 1'!$K:$K,'Таблиця 1'!$B:$B,$A188,'Таблиця 1'!$I:$I,"F-16",'Таблиця 1'!$J:$J,"C-13")+SUMIFS('Таблиця 1'!$K:$K,'Таблиця 1'!$B:$B,$A188,'Таблиця 1'!$I:$I,"МіГ-29",'Таблиця 1'!$J:$J,"C-13")+SUMIFS('Таблиця 1'!$K:$K,'Таблиця 1'!$B:$B,$A188,'Таблиця 1'!$I:$I,"Су-25",'Таблиця 1'!$J:$J,"C-13")+SUMIFS('Таблиця 1'!$K:$K,'Таблиця 1'!$B:$B,$A188,'Таблиця 1'!$I:$I,"Су-27",'Таблиця 1'!$J:$J,"C-13"))</f>
        <v/>
      </c>
      <c r="P188">
        <f>IF($A188="","",SUMIFS('Таблиця 1'!$K:$K,'Таблиця 1'!$B:$B,$A188,'Таблиця 1'!$I:$I,"Mirage",'Таблиця 1'!$J:$J,"MK-32")+SUMIFS('Таблиця 1'!$K:$K,'Таблиця 1'!$B:$B,$A188,'Таблиця 1'!$I:$I,"F-16",'Таблиця 1'!$J:$J,"MK-32")+SUMIFS('Таблиця 1'!$K:$K,'Таблиця 1'!$B:$B,$A188,'Таблиця 1'!$I:$I,"МіГ-29",'Таблиця 1'!$J:$J,"MK-32")+SUMIFS('Таблиця 1'!$K:$K,'Таблиця 1'!$B:$B,$A188,'Таблиця 1'!$I:$I,"Су-25",'Таблиця 1'!$J:$J,"MK-32")+SUMIFS('Таблиця 1'!$K:$K,'Таблиця 1'!$B:$B,$A188,'Таблиця 1'!$I:$I,"Су-27",'Таблиця 1'!$J:$J,"MK-32"))</f>
        <v/>
      </c>
      <c r="Q188">
        <f>IF($A188="","",SUMIFS('Таблиця 1'!$K:$K,'Таблиця 1'!$B:$B,$A188,'Таблиця 1'!$I:$I,"Mirage",'Таблиця 1'!$J:$J,"MK-24")+SUMIFS('Таблиця 1'!$K:$K,'Таблиця 1'!$B:$B,$A188,'Таблиця 1'!$I:$I,"F-16",'Таблиця 1'!$J:$J,"MK-24")+SUMIFS('Таблиця 1'!$K:$K,'Таблиця 1'!$B:$B,$A188,'Таблиця 1'!$I:$I,"МіГ-29",'Таблиця 1'!$J:$J,"MK-24")+SUMIFS('Таблиця 1'!$K:$K,'Таблиця 1'!$B:$B,$A188,'Таблиця 1'!$I:$I,"Су-25",'Таблиця 1'!$J:$J,"MK-24")+SUMIFS('Таблиця 1'!$K:$K,'Таблиця 1'!$B:$B,$A188,'Таблиця 1'!$I:$I,"Су-27",'Таблиця 1'!$J:$J,"MK-24"))</f>
        <v/>
      </c>
      <c r="R188">
        <f>IF($A188="","",COUNTIFS('Таблиця 1'!$B:$B,$A188,'Таблиця 1'!$I:$I,"Mirage",'Таблиця 1'!$L:$L,"Уражено")+COUNTIFS('Таблиця 1'!$B:$B,$A188,'Таблиця 1'!$I:$I,"F-16",'Таблиця 1'!$L:$L,"Уражено")+COUNTIFS('Таблиця 1'!$B:$B,$A188,'Таблиця 1'!$I:$I,"МіГ-29",'Таблиця 1'!$L:$L,"Уражено")+COUNTIFS('Таблиця 1'!$B:$B,$A188,'Таблиця 1'!$I:$I,"Су-25",'Таблиця 1'!$L:$L,"Уражено")+COUNTIFS('Таблиця 1'!$B:$B,$A188,'Таблиця 1'!$I:$I,"Су-27",'Таблиця 1'!$L:$L,"Уражено"))</f>
        <v/>
      </c>
      <c r="S188">
        <f>IF($A188="","",COUNTIFS('Таблиця 1'!$B:$B,$A188,'Таблиця 1'!$I:$I,"Mirage",'Таблиця 1'!$L:$L,"НЕ уражено")+COUNTIFS('Таблиця 1'!$B:$B,$A188,'Таблиця 1'!$I:$I,"F-16",'Таблиця 1'!$L:$L,"НЕ уражено")+COUNTIFS('Таблиця 1'!$B:$B,$A188,'Таблиця 1'!$I:$I,"МіГ-29",'Таблиця 1'!$L:$L,"НЕ уражено")+COUNTIFS('Таблиця 1'!$B:$B,$A188,'Таблиця 1'!$I:$I,"Су-25",'Таблиця 1'!$L:$L,"НЕ уражено")+COUNTIFS('Таблиця 1'!$B:$B,$A188,'Таблиця 1'!$I:$I,"Су-27",'Таблиця 1'!$L:$L,"НЕ уражено"))</f>
        <v/>
      </c>
      <c r="T188">
        <f>IF($A188="","",COUNTIFS('Таблиця 1'!$B:$B,$A188,'Таблиця 1'!$I:$I,"Mirage",'Таблиця 1'!$L:$L,"Дорозвідується")+COUNTIFS('Таблиця 1'!$B:$B,$A188,'Таблиця 1'!$I:$I,"F-16",'Таблиця 1'!$L:$L,"Дорозвідується")+COUNTIFS('Таблиця 1'!$B:$B,$A188,'Таблиця 1'!$I:$I,"МіГ-29",'Таблиця 1'!$L:$L,"Дорозвідується")+COUNTIFS('Таблиця 1'!$B:$B,$A188,'Таблиця 1'!$I:$I,"Су-25",'Таблиця 1'!$L:$L,"Дорозвідується")+COUNTIFS('Таблиця 1'!$B:$B,$A188,'Таблиця 1'!$I:$I,"Су-27",'Таблиця 1'!$L:$L,"Дорозвідується"))</f>
        <v/>
      </c>
    </row>
    <row r="189">
      <c r="A189" s="273">
        <f>IF(A188="","",IF(A188+1&gt;MAX('Таблиця 1'!$B:$B),"",A188+1))</f>
        <v/>
      </c>
      <c r="B189">
        <f>IF($A189="","",COUNTIFS('Таблиця 1'!$B:$B,$A189,'Таблиця 1'!$I:$I,"Mirage")+COUNTIFS('Таблиця 1'!$B:$B,$A189,'Таблиця 1'!$I:$I,"F-16")+COUNTIFS('Таблиця 1'!$B:$B,$A189,'Таблиця 1'!$I:$I,"МіГ-29")+COUNTIFS('Таблиця 1'!$B:$B,$A189,'Таблиця 1'!$I:$I,"Су-25")+COUNTIFS('Таблиця 1'!$B:$B,$A189,'Таблиця 1'!$I:$I,"Су-27"))</f>
        <v/>
      </c>
      <c r="C189">
        <f>IF($A189="","",COUNTIFS('Таблиця 1'!$B:$B,$A189,'Таблиця 1'!$I:$I,"Mirage"))</f>
        <v/>
      </c>
      <c r="D189">
        <f>IF($A189="","",COUNTIFS('Таблиця 1'!$B:$B,$A189,'Таблиця 1'!$I:$I,"F-16"))</f>
        <v/>
      </c>
      <c r="E189">
        <f>IF($A189="","",COUNTIFS('Таблиця 1'!$B:$B,$A189,'Таблиця 1'!$I:$I,"МіГ-29"))</f>
        <v/>
      </c>
      <c r="F189">
        <f>IF($A189="","",COUNTIFS('Таблиця 1'!$B:$B,$A189,'Таблиця 1'!$I:$I,"Су-25"))</f>
        <v/>
      </c>
      <c r="G189">
        <f>IF($A189="","",COUNTIFS('Таблиця 1'!$B:$B,$A189,'Таблиця 1'!$I:$I,"Су-27"))</f>
        <v/>
      </c>
      <c r="H189">
        <f>IF($A189="","",SUMIFS('Таблиця 1'!$K:$K,'Таблиця 1'!$B:$B,$A189,'Таблиця 1'!$I:$I,"Mirage",'Таблиця 1'!$J:$J,"AGM-88")+SUMIFS('Таблиця 1'!$K:$K,'Таблиця 1'!$B:$B,$A189,'Таблиця 1'!$I:$I,"F-16",'Таблиця 1'!$J:$J,"AGM-88")+SUMIFS('Таблиця 1'!$K:$K,'Таблиця 1'!$B:$B,$A189,'Таблиця 1'!$I:$I,"МіГ-29",'Таблиця 1'!$J:$J,"AGM-88")+SUMIFS('Таблиця 1'!$K:$K,'Таблиця 1'!$B:$B,$A189,'Таблиця 1'!$I:$I,"Су-25",'Таблиця 1'!$J:$J,"AGM-88")+SUMIFS('Таблиця 1'!$K:$K,'Таблиця 1'!$B:$B,$A189,'Таблиця 1'!$I:$I,"Су-27",'Таблиця 1'!$J:$J,"AGM-88"))</f>
        <v/>
      </c>
      <c r="I189">
        <f>IF($A189="","",SUMIFS('Таблиця 1'!$K:$K,'Таблиця 1'!$B:$B,$A189,'Таблиця 1'!$I:$I,"Mirage",'Таблиця 1'!$J:$J,"AASM-250")+SUMIFS('Таблиця 1'!$K:$K,'Таблиця 1'!$B:$B,$A189,'Таблиця 1'!$I:$I,"F-16",'Таблиця 1'!$J:$J,"AASM-250")+SUMIFS('Таблиця 1'!$K:$K,'Таблиця 1'!$B:$B,$A189,'Таблиця 1'!$I:$I,"МіГ-29",'Таблиця 1'!$J:$J,"AASM-250")+SUMIFS('Таблиця 1'!$K:$K,'Таблиця 1'!$B:$B,$A189,'Таблиця 1'!$I:$I,"Су-25",'Таблиця 1'!$J:$J,"AASM-250")+SUMIFS('Таблиця 1'!$K:$K,'Таблиця 1'!$B:$B,$A189,'Таблиця 1'!$I:$I,"Су-27",'Таблиця 1'!$J:$J,"AASM-250"))</f>
        <v/>
      </c>
      <c r="J189">
        <f>IF($A189="","",SUMIFS('Таблиця 1'!$K:$K,'Таблиця 1'!$B:$B,$A189,'Таблиця 1'!$I:$I,"Mirage",'Таблиця 1'!$J:$J,"GBU-39")+SUMIFS('Таблиця 1'!$K:$K,'Таблиця 1'!$B:$B,$A189,'Таблиця 1'!$I:$I,"F-16",'Таблиця 1'!$J:$J,"GBU-39")+SUMIFS('Таблиця 1'!$K:$K,'Таблиця 1'!$B:$B,$A189,'Таблиця 1'!$I:$I,"МіГ-29",'Таблиця 1'!$J:$J,"GBU-39")+SUMIFS('Таблиця 1'!$K:$K,'Таблиця 1'!$B:$B,$A189,'Таблиця 1'!$I:$I,"Су-25",'Таблиця 1'!$J:$J,"GBU-39")+SUMIFS('Таблиця 1'!$K:$K,'Таблиця 1'!$B:$B,$A189,'Таблиця 1'!$I:$I,"Су-27",'Таблиця 1'!$J:$J,"GBU-39"))</f>
        <v/>
      </c>
      <c r="K189">
        <f>IF($A189="","",SUMIFS('Таблиця 1'!$K:$K,'Таблиця 1'!$B:$B,$A189,'Таблиця 1'!$I:$I,"Mirage",'Таблиця 1'!$J:$J,"BLU-140")+SUMIFS('Таблиця 1'!$K:$K,'Таблиця 1'!$B:$B,$A189,'Таблиця 1'!$I:$I,"F-16",'Таблиця 1'!$J:$J,"BLU-140")+SUMIFS('Таблиця 1'!$K:$K,'Таблиця 1'!$B:$B,$A189,'Таблиця 1'!$I:$I,"МіГ-29",'Таблиця 1'!$J:$J,"BLU-140")+SUMIFS('Таблиця 1'!$K:$K,'Таблиця 1'!$B:$B,$A189,'Таблиця 1'!$I:$I,"Су-25",'Таблиця 1'!$J:$J,"BLU-140")+SUMIFS('Таблиця 1'!$K:$K,'Таблиця 1'!$B:$B,$A189,'Таблиця 1'!$I:$I,"Су-27",'Таблиця 1'!$J:$J,"BLU-140"))</f>
        <v/>
      </c>
      <c r="L189">
        <f>IF($A189="","",SUMIFS('Таблиця 1'!$K:$K,'Таблиця 1'!$B:$B,$A189,'Таблиця 1'!$I:$I,"Mirage",'Таблиця 1'!$J:$J,"GBU-65")+SUMIFS('Таблиця 1'!$K:$K,'Таблиця 1'!$B:$B,$A189,'Таблиця 1'!$I:$I,"F-16",'Таблиця 1'!$J:$J,"GBU-65")+SUMIFS('Таблиця 1'!$K:$K,'Таблиця 1'!$B:$B,$A189,'Таблиця 1'!$I:$I,"МіГ-29",'Таблиця 1'!$J:$J,"GBU-65")+SUMIFS('Таблиця 1'!$K:$K,'Таблиця 1'!$B:$B,$A189,'Таблиця 1'!$I:$I,"Су-25",'Таблиця 1'!$J:$J,"GBU-65")+SUMIFS('Таблиця 1'!$K:$K,'Таблиця 1'!$B:$B,$A189,'Таблиця 1'!$I:$I,"Су-27",'Таблиця 1'!$J:$J,"GBU-65"))</f>
        <v/>
      </c>
      <c r="M189">
        <f>IF($A189="","",SUMIFS('Таблиця 1'!$K:$K,'Таблиця 1'!$B:$B,$A189,'Таблиця 1'!$I:$I,"Mirage",'Таблиця 1'!$J:$J,"GBU-62")+SUMIFS('Таблиця 1'!$K:$K,'Таблиця 1'!$B:$B,$A189,'Таблиця 1'!$I:$I,"F-16",'Таблиця 1'!$J:$J,"GBU-62")+SUMIFS('Таблиця 1'!$K:$K,'Таблиця 1'!$B:$B,$A189,'Таблиця 1'!$I:$I,"МіГ-29",'Таблиця 1'!$J:$J,"GBU-62")+SUMIFS('Таблиця 1'!$K:$K,'Таблиця 1'!$B:$B,$A189,'Таблиця 1'!$I:$I,"Су-25",'Таблиця 1'!$J:$J,"GBU-62")+SUMIFS('Таблиця 1'!$K:$K,'Таблиця 1'!$B:$B,$A189,'Таблиця 1'!$I:$I,"Су-27",'Таблиця 1'!$J:$J,"GBU-62"))</f>
        <v/>
      </c>
      <c r="N189">
        <f>IF($A189="","",SUMIFS('Таблиця 1'!$K:$K,'Таблиця 1'!$B:$B,$A189,'Таблиця 1'!$I:$I,"Mirage",'Таблиця 1'!$J:$J,"GBU-64")+SUMIFS('Таблиця 1'!$K:$K,'Таблиця 1'!$B:$B,$A189,'Таблиця 1'!$I:$I,"F-16",'Таблиця 1'!$J:$J,"GBU-64")+SUMIFS('Таблиця 1'!$K:$K,'Таблиця 1'!$B:$B,$A189,'Таблиця 1'!$I:$I,"МіГ-29",'Таблиця 1'!$J:$J,"GBU-64")+SUMIFS('Таблиця 1'!$K:$K,'Таблиця 1'!$B:$B,$A189,'Таблиця 1'!$I:$I,"Су-25",'Таблиця 1'!$J:$J,"GBU-64")+SUMIFS('Таблиця 1'!$K:$K,'Таблиця 1'!$B:$B,$A189,'Таблиця 1'!$I:$I,"Су-27",'Таблиця 1'!$J:$J,"GBU-64"))</f>
        <v/>
      </c>
      <c r="O189">
        <f>IF($A189="","",SUMIFS('Таблиця 1'!$K:$K,'Таблиця 1'!$B:$B,$A189,'Таблиця 1'!$I:$I,"Mirage",'Таблиця 1'!$J:$J,"C-13")+SUMIFS('Таблиця 1'!$K:$K,'Таблиця 1'!$B:$B,$A189,'Таблиця 1'!$I:$I,"F-16",'Таблиця 1'!$J:$J,"C-13")+SUMIFS('Таблиця 1'!$K:$K,'Таблиця 1'!$B:$B,$A189,'Таблиця 1'!$I:$I,"МіГ-29",'Таблиця 1'!$J:$J,"C-13")+SUMIFS('Таблиця 1'!$K:$K,'Таблиця 1'!$B:$B,$A189,'Таблиця 1'!$I:$I,"Су-25",'Таблиця 1'!$J:$J,"C-13")+SUMIFS('Таблиця 1'!$K:$K,'Таблиця 1'!$B:$B,$A189,'Таблиця 1'!$I:$I,"Су-27",'Таблиця 1'!$J:$J,"C-13"))</f>
        <v/>
      </c>
      <c r="P189">
        <f>IF($A189="","",SUMIFS('Таблиця 1'!$K:$K,'Таблиця 1'!$B:$B,$A189,'Таблиця 1'!$I:$I,"Mirage",'Таблиця 1'!$J:$J,"MK-32")+SUMIFS('Таблиця 1'!$K:$K,'Таблиця 1'!$B:$B,$A189,'Таблиця 1'!$I:$I,"F-16",'Таблиця 1'!$J:$J,"MK-32")+SUMIFS('Таблиця 1'!$K:$K,'Таблиця 1'!$B:$B,$A189,'Таблиця 1'!$I:$I,"МіГ-29",'Таблиця 1'!$J:$J,"MK-32")+SUMIFS('Таблиця 1'!$K:$K,'Таблиця 1'!$B:$B,$A189,'Таблиця 1'!$I:$I,"Су-25",'Таблиця 1'!$J:$J,"MK-32")+SUMIFS('Таблиця 1'!$K:$K,'Таблиця 1'!$B:$B,$A189,'Таблиця 1'!$I:$I,"Су-27",'Таблиця 1'!$J:$J,"MK-32"))</f>
        <v/>
      </c>
      <c r="Q189">
        <f>IF($A189="","",SUMIFS('Таблиця 1'!$K:$K,'Таблиця 1'!$B:$B,$A189,'Таблиця 1'!$I:$I,"Mirage",'Таблиця 1'!$J:$J,"MK-24")+SUMIFS('Таблиця 1'!$K:$K,'Таблиця 1'!$B:$B,$A189,'Таблиця 1'!$I:$I,"F-16",'Таблиця 1'!$J:$J,"MK-24")+SUMIFS('Таблиця 1'!$K:$K,'Таблиця 1'!$B:$B,$A189,'Таблиця 1'!$I:$I,"МіГ-29",'Таблиця 1'!$J:$J,"MK-24")+SUMIFS('Таблиця 1'!$K:$K,'Таблиця 1'!$B:$B,$A189,'Таблиця 1'!$I:$I,"Су-25",'Таблиця 1'!$J:$J,"MK-24")+SUMIFS('Таблиця 1'!$K:$K,'Таблиця 1'!$B:$B,$A189,'Таблиця 1'!$I:$I,"Су-27",'Таблиця 1'!$J:$J,"MK-24"))</f>
        <v/>
      </c>
      <c r="R189">
        <f>IF($A189="","",COUNTIFS('Таблиця 1'!$B:$B,$A189,'Таблиця 1'!$I:$I,"Mirage",'Таблиця 1'!$L:$L,"Уражено")+COUNTIFS('Таблиця 1'!$B:$B,$A189,'Таблиця 1'!$I:$I,"F-16",'Таблиця 1'!$L:$L,"Уражено")+COUNTIFS('Таблиця 1'!$B:$B,$A189,'Таблиця 1'!$I:$I,"МіГ-29",'Таблиця 1'!$L:$L,"Уражено")+COUNTIFS('Таблиця 1'!$B:$B,$A189,'Таблиця 1'!$I:$I,"Су-25",'Таблиця 1'!$L:$L,"Уражено")+COUNTIFS('Таблиця 1'!$B:$B,$A189,'Таблиця 1'!$I:$I,"Су-27",'Таблиця 1'!$L:$L,"Уражено"))</f>
        <v/>
      </c>
      <c r="S189">
        <f>IF($A189="","",COUNTIFS('Таблиця 1'!$B:$B,$A189,'Таблиця 1'!$I:$I,"Mirage",'Таблиця 1'!$L:$L,"НЕ уражено")+COUNTIFS('Таблиця 1'!$B:$B,$A189,'Таблиця 1'!$I:$I,"F-16",'Таблиця 1'!$L:$L,"НЕ уражено")+COUNTIFS('Таблиця 1'!$B:$B,$A189,'Таблиця 1'!$I:$I,"МіГ-29",'Таблиця 1'!$L:$L,"НЕ уражено")+COUNTIFS('Таблиця 1'!$B:$B,$A189,'Таблиця 1'!$I:$I,"Су-25",'Таблиця 1'!$L:$L,"НЕ уражено")+COUNTIFS('Таблиця 1'!$B:$B,$A189,'Таблиця 1'!$I:$I,"Су-27",'Таблиця 1'!$L:$L,"НЕ уражено"))</f>
        <v/>
      </c>
      <c r="T189">
        <f>IF($A189="","",COUNTIFS('Таблиця 1'!$B:$B,$A189,'Таблиця 1'!$I:$I,"Mirage",'Таблиця 1'!$L:$L,"Дорозвідується")+COUNTIFS('Таблиця 1'!$B:$B,$A189,'Таблиця 1'!$I:$I,"F-16",'Таблиця 1'!$L:$L,"Дорозвідується")+COUNTIFS('Таблиця 1'!$B:$B,$A189,'Таблиця 1'!$I:$I,"МіГ-29",'Таблиця 1'!$L:$L,"Дорозвідується")+COUNTIFS('Таблиця 1'!$B:$B,$A189,'Таблиця 1'!$I:$I,"Су-25",'Таблиця 1'!$L:$L,"Дорозвідується")+COUNTIFS('Таблиця 1'!$B:$B,$A189,'Таблиця 1'!$I:$I,"Су-27",'Таблиця 1'!$L:$L,"Дорозвідується"))</f>
        <v/>
      </c>
    </row>
    <row r="190">
      <c r="A190" s="273">
        <f>IF(A189="","",IF(A189+1&gt;MAX('Таблиця 1'!$B:$B),"",A189+1))</f>
        <v/>
      </c>
      <c r="B190">
        <f>IF($A190="","",COUNTIFS('Таблиця 1'!$B:$B,$A190,'Таблиця 1'!$I:$I,"Mirage")+COUNTIFS('Таблиця 1'!$B:$B,$A190,'Таблиця 1'!$I:$I,"F-16")+COUNTIFS('Таблиця 1'!$B:$B,$A190,'Таблиця 1'!$I:$I,"МіГ-29")+COUNTIFS('Таблиця 1'!$B:$B,$A190,'Таблиця 1'!$I:$I,"Су-25")+COUNTIFS('Таблиця 1'!$B:$B,$A190,'Таблиця 1'!$I:$I,"Су-27"))</f>
        <v/>
      </c>
      <c r="C190">
        <f>IF($A190="","",COUNTIFS('Таблиця 1'!$B:$B,$A190,'Таблиця 1'!$I:$I,"Mirage"))</f>
        <v/>
      </c>
      <c r="D190">
        <f>IF($A190="","",COUNTIFS('Таблиця 1'!$B:$B,$A190,'Таблиця 1'!$I:$I,"F-16"))</f>
        <v/>
      </c>
      <c r="E190">
        <f>IF($A190="","",COUNTIFS('Таблиця 1'!$B:$B,$A190,'Таблиця 1'!$I:$I,"МіГ-29"))</f>
        <v/>
      </c>
      <c r="F190">
        <f>IF($A190="","",COUNTIFS('Таблиця 1'!$B:$B,$A190,'Таблиця 1'!$I:$I,"Су-25"))</f>
        <v/>
      </c>
      <c r="G190">
        <f>IF($A190="","",COUNTIFS('Таблиця 1'!$B:$B,$A190,'Таблиця 1'!$I:$I,"Су-27"))</f>
        <v/>
      </c>
      <c r="H190">
        <f>IF($A190="","",SUMIFS('Таблиця 1'!$K:$K,'Таблиця 1'!$B:$B,$A190,'Таблиця 1'!$I:$I,"Mirage",'Таблиця 1'!$J:$J,"AGM-88")+SUMIFS('Таблиця 1'!$K:$K,'Таблиця 1'!$B:$B,$A190,'Таблиця 1'!$I:$I,"F-16",'Таблиця 1'!$J:$J,"AGM-88")+SUMIFS('Таблиця 1'!$K:$K,'Таблиця 1'!$B:$B,$A190,'Таблиця 1'!$I:$I,"МіГ-29",'Таблиця 1'!$J:$J,"AGM-88")+SUMIFS('Таблиця 1'!$K:$K,'Таблиця 1'!$B:$B,$A190,'Таблиця 1'!$I:$I,"Су-25",'Таблиця 1'!$J:$J,"AGM-88")+SUMIFS('Таблиця 1'!$K:$K,'Таблиця 1'!$B:$B,$A190,'Таблиця 1'!$I:$I,"Су-27",'Таблиця 1'!$J:$J,"AGM-88"))</f>
        <v/>
      </c>
      <c r="I190">
        <f>IF($A190="","",SUMIFS('Таблиця 1'!$K:$K,'Таблиця 1'!$B:$B,$A190,'Таблиця 1'!$I:$I,"Mirage",'Таблиця 1'!$J:$J,"AASM-250")+SUMIFS('Таблиця 1'!$K:$K,'Таблиця 1'!$B:$B,$A190,'Таблиця 1'!$I:$I,"F-16",'Таблиця 1'!$J:$J,"AASM-250")+SUMIFS('Таблиця 1'!$K:$K,'Таблиця 1'!$B:$B,$A190,'Таблиця 1'!$I:$I,"МіГ-29",'Таблиця 1'!$J:$J,"AASM-250")+SUMIFS('Таблиця 1'!$K:$K,'Таблиця 1'!$B:$B,$A190,'Таблиця 1'!$I:$I,"Су-25",'Таблиця 1'!$J:$J,"AASM-250")+SUMIFS('Таблиця 1'!$K:$K,'Таблиця 1'!$B:$B,$A190,'Таблиця 1'!$I:$I,"Су-27",'Таблиця 1'!$J:$J,"AASM-250"))</f>
        <v/>
      </c>
      <c r="J190">
        <f>IF($A190="","",SUMIFS('Таблиця 1'!$K:$K,'Таблиця 1'!$B:$B,$A190,'Таблиця 1'!$I:$I,"Mirage",'Таблиця 1'!$J:$J,"GBU-39")+SUMIFS('Таблиця 1'!$K:$K,'Таблиця 1'!$B:$B,$A190,'Таблиця 1'!$I:$I,"F-16",'Таблиця 1'!$J:$J,"GBU-39")+SUMIFS('Таблиця 1'!$K:$K,'Таблиця 1'!$B:$B,$A190,'Таблиця 1'!$I:$I,"МіГ-29",'Таблиця 1'!$J:$J,"GBU-39")+SUMIFS('Таблиця 1'!$K:$K,'Таблиця 1'!$B:$B,$A190,'Таблиця 1'!$I:$I,"Су-25",'Таблиця 1'!$J:$J,"GBU-39")+SUMIFS('Таблиця 1'!$K:$K,'Таблиця 1'!$B:$B,$A190,'Таблиця 1'!$I:$I,"Су-27",'Таблиця 1'!$J:$J,"GBU-39"))</f>
        <v/>
      </c>
      <c r="K190">
        <f>IF($A190="","",SUMIFS('Таблиця 1'!$K:$K,'Таблиця 1'!$B:$B,$A190,'Таблиця 1'!$I:$I,"Mirage",'Таблиця 1'!$J:$J,"BLU-140")+SUMIFS('Таблиця 1'!$K:$K,'Таблиця 1'!$B:$B,$A190,'Таблиця 1'!$I:$I,"F-16",'Таблиця 1'!$J:$J,"BLU-140")+SUMIFS('Таблиця 1'!$K:$K,'Таблиця 1'!$B:$B,$A190,'Таблиця 1'!$I:$I,"МіГ-29",'Таблиця 1'!$J:$J,"BLU-140")+SUMIFS('Таблиця 1'!$K:$K,'Таблиця 1'!$B:$B,$A190,'Таблиця 1'!$I:$I,"Су-25",'Таблиця 1'!$J:$J,"BLU-140")+SUMIFS('Таблиця 1'!$K:$K,'Таблиця 1'!$B:$B,$A190,'Таблиця 1'!$I:$I,"Су-27",'Таблиця 1'!$J:$J,"BLU-140"))</f>
        <v/>
      </c>
      <c r="L190">
        <f>IF($A190="","",SUMIFS('Таблиця 1'!$K:$K,'Таблиця 1'!$B:$B,$A190,'Таблиця 1'!$I:$I,"Mirage",'Таблиця 1'!$J:$J,"GBU-65")+SUMIFS('Таблиця 1'!$K:$K,'Таблиця 1'!$B:$B,$A190,'Таблиця 1'!$I:$I,"F-16",'Таблиця 1'!$J:$J,"GBU-65")+SUMIFS('Таблиця 1'!$K:$K,'Таблиця 1'!$B:$B,$A190,'Таблиця 1'!$I:$I,"МіГ-29",'Таблиця 1'!$J:$J,"GBU-65")+SUMIFS('Таблиця 1'!$K:$K,'Таблиця 1'!$B:$B,$A190,'Таблиця 1'!$I:$I,"Су-25",'Таблиця 1'!$J:$J,"GBU-65")+SUMIFS('Таблиця 1'!$K:$K,'Таблиця 1'!$B:$B,$A190,'Таблиця 1'!$I:$I,"Су-27",'Таблиця 1'!$J:$J,"GBU-65"))</f>
        <v/>
      </c>
      <c r="M190">
        <f>IF($A190="","",SUMIFS('Таблиця 1'!$K:$K,'Таблиця 1'!$B:$B,$A190,'Таблиця 1'!$I:$I,"Mirage",'Таблиця 1'!$J:$J,"GBU-62")+SUMIFS('Таблиця 1'!$K:$K,'Таблиця 1'!$B:$B,$A190,'Таблиця 1'!$I:$I,"F-16",'Таблиця 1'!$J:$J,"GBU-62")+SUMIFS('Таблиця 1'!$K:$K,'Таблиця 1'!$B:$B,$A190,'Таблиця 1'!$I:$I,"МіГ-29",'Таблиця 1'!$J:$J,"GBU-62")+SUMIFS('Таблиця 1'!$K:$K,'Таблиця 1'!$B:$B,$A190,'Таблиця 1'!$I:$I,"Су-25",'Таблиця 1'!$J:$J,"GBU-62")+SUMIFS('Таблиця 1'!$K:$K,'Таблиця 1'!$B:$B,$A190,'Таблиця 1'!$I:$I,"Су-27",'Таблиця 1'!$J:$J,"GBU-62"))</f>
        <v/>
      </c>
      <c r="N190">
        <f>IF($A190="","",SUMIFS('Таблиця 1'!$K:$K,'Таблиця 1'!$B:$B,$A190,'Таблиця 1'!$I:$I,"Mirage",'Таблиця 1'!$J:$J,"GBU-64")+SUMIFS('Таблиця 1'!$K:$K,'Таблиця 1'!$B:$B,$A190,'Таблиця 1'!$I:$I,"F-16",'Таблиця 1'!$J:$J,"GBU-64")+SUMIFS('Таблиця 1'!$K:$K,'Таблиця 1'!$B:$B,$A190,'Таблиця 1'!$I:$I,"МіГ-29",'Таблиця 1'!$J:$J,"GBU-64")+SUMIFS('Таблиця 1'!$K:$K,'Таблиця 1'!$B:$B,$A190,'Таблиця 1'!$I:$I,"Су-25",'Таблиця 1'!$J:$J,"GBU-64")+SUMIFS('Таблиця 1'!$K:$K,'Таблиця 1'!$B:$B,$A190,'Таблиця 1'!$I:$I,"Су-27",'Таблиця 1'!$J:$J,"GBU-64"))</f>
        <v/>
      </c>
      <c r="O190">
        <f>IF($A190="","",SUMIFS('Таблиця 1'!$K:$K,'Таблиця 1'!$B:$B,$A190,'Таблиця 1'!$I:$I,"Mirage",'Таблиця 1'!$J:$J,"C-13")+SUMIFS('Таблиця 1'!$K:$K,'Таблиця 1'!$B:$B,$A190,'Таблиця 1'!$I:$I,"F-16",'Таблиця 1'!$J:$J,"C-13")+SUMIFS('Таблиця 1'!$K:$K,'Таблиця 1'!$B:$B,$A190,'Таблиця 1'!$I:$I,"МіГ-29",'Таблиця 1'!$J:$J,"C-13")+SUMIFS('Таблиця 1'!$K:$K,'Таблиця 1'!$B:$B,$A190,'Таблиця 1'!$I:$I,"Су-25",'Таблиця 1'!$J:$J,"C-13")+SUMIFS('Таблиця 1'!$K:$K,'Таблиця 1'!$B:$B,$A190,'Таблиця 1'!$I:$I,"Су-27",'Таблиця 1'!$J:$J,"C-13"))</f>
        <v/>
      </c>
      <c r="P190">
        <f>IF($A190="","",SUMIFS('Таблиця 1'!$K:$K,'Таблиця 1'!$B:$B,$A190,'Таблиця 1'!$I:$I,"Mirage",'Таблиця 1'!$J:$J,"MK-32")+SUMIFS('Таблиця 1'!$K:$K,'Таблиця 1'!$B:$B,$A190,'Таблиця 1'!$I:$I,"F-16",'Таблиця 1'!$J:$J,"MK-32")+SUMIFS('Таблиця 1'!$K:$K,'Таблиця 1'!$B:$B,$A190,'Таблиця 1'!$I:$I,"МіГ-29",'Таблиця 1'!$J:$J,"MK-32")+SUMIFS('Таблиця 1'!$K:$K,'Таблиця 1'!$B:$B,$A190,'Таблиця 1'!$I:$I,"Су-25",'Таблиця 1'!$J:$J,"MK-32")+SUMIFS('Таблиця 1'!$K:$K,'Таблиця 1'!$B:$B,$A190,'Таблиця 1'!$I:$I,"Су-27",'Таблиця 1'!$J:$J,"MK-32"))</f>
        <v/>
      </c>
      <c r="Q190">
        <f>IF($A190="","",SUMIFS('Таблиця 1'!$K:$K,'Таблиця 1'!$B:$B,$A190,'Таблиця 1'!$I:$I,"Mirage",'Таблиця 1'!$J:$J,"MK-24")+SUMIFS('Таблиця 1'!$K:$K,'Таблиця 1'!$B:$B,$A190,'Таблиця 1'!$I:$I,"F-16",'Таблиця 1'!$J:$J,"MK-24")+SUMIFS('Таблиця 1'!$K:$K,'Таблиця 1'!$B:$B,$A190,'Таблиця 1'!$I:$I,"МіГ-29",'Таблиця 1'!$J:$J,"MK-24")+SUMIFS('Таблиця 1'!$K:$K,'Таблиця 1'!$B:$B,$A190,'Таблиця 1'!$I:$I,"Су-25",'Таблиця 1'!$J:$J,"MK-24")+SUMIFS('Таблиця 1'!$K:$K,'Таблиця 1'!$B:$B,$A190,'Таблиця 1'!$I:$I,"Су-27",'Таблиця 1'!$J:$J,"MK-24"))</f>
        <v/>
      </c>
      <c r="R190">
        <f>IF($A190="","",COUNTIFS('Таблиця 1'!$B:$B,$A190,'Таблиця 1'!$I:$I,"Mirage",'Таблиця 1'!$L:$L,"Уражено")+COUNTIFS('Таблиця 1'!$B:$B,$A190,'Таблиця 1'!$I:$I,"F-16",'Таблиця 1'!$L:$L,"Уражено")+COUNTIFS('Таблиця 1'!$B:$B,$A190,'Таблиця 1'!$I:$I,"МіГ-29",'Таблиця 1'!$L:$L,"Уражено")+COUNTIFS('Таблиця 1'!$B:$B,$A190,'Таблиця 1'!$I:$I,"Су-25",'Таблиця 1'!$L:$L,"Уражено")+COUNTIFS('Таблиця 1'!$B:$B,$A190,'Таблиця 1'!$I:$I,"Су-27",'Таблиця 1'!$L:$L,"Уражено"))</f>
        <v/>
      </c>
      <c r="S190">
        <f>IF($A190="","",COUNTIFS('Таблиця 1'!$B:$B,$A190,'Таблиця 1'!$I:$I,"Mirage",'Таблиця 1'!$L:$L,"НЕ уражено")+COUNTIFS('Таблиця 1'!$B:$B,$A190,'Таблиця 1'!$I:$I,"F-16",'Таблиця 1'!$L:$L,"НЕ уражено")+COUNTIFS('Таблиця 1'!$B:$B,$A190,'Таблиця 1'!$I:$I,"МіГ-29",'Таблиця 1'!$L:$L,"НЕ уражено")+COUNTIFS('Таблиця 1'!$B:$B,$A190,'Таблиця 1'!$I:$I,"Су-25",'Таблиця 1'!$L:$L,"НЕ уражено")+COUNTIFS('Таблиця 1'!$B:$B,$A190,'Таблиця 1'!$I:$I,"Су-27",'Таблиця 1'!$L:$L,"НЕ уражено"))</f>
        <v/>
      </c>
      <c r="T190">
        <f>IF($A190="","",COUNTIFS('Таблиця 1'!$B:$B,$A190,'Таблиця 1'!$I:$I,"Mirage",'Таблиця 1'!$L:$L,"Дорозвідується")+COUNTIFS('Таблиця 1'!$B:$B,$A190,'Таблиця 1'!$I:$I,"F-16",'Таблиця 1'!$L:$L,"Дорозвідується")+COUNTIFS('Таблиця 1'!$B:$B,$A190,'Таблиця 1'!$I:$I,"МіГ-29",'Таблиця 1'!$L:$L,"Дорозвідується")+COUNTIFS('Таблиця 1'!$B:$B,$A190,'Таблиця 1'!$I:$I,"Су-25",'Таблиця 1'!$L:$L,"Дорозвідується")+COUNTIFS('Таблиця 1'!$B:$B,$A190,'Таблиця 1'!$I:$I,"Су-27",'Таблиця 1'!$L:$L,"Дорозвідується"))</f>
        <v/>
      </c>
    </row>
    <row r="191">
      <c r="A191" s="273">
        <f>IF(A190="","",IF(A190+1&gt;MAX('Таблиця 1'!$B:$B),"",A190+1))</f>
        <v/>
      </c>
      <c r="B191">
        <f>IF($A191="","",COUNTIFS('Таблиця 1'!$B:$B,$A191,'Таблиця 1'!$I:$I,"Mirage")+COUNTIFS('Таблиця 1'!$B:$B,$A191,'Таблиця 1'!$I:$I,"F-16")+COUNTIFS('Таблиця 1'!$B:$B,$A191,'Таблиця 1'!$I:$I,"МіГ-29")+COUNTIFS('Таблиця 1'!$B:$B,$A191,'Таблиця 1'!$I:$I,"Су-25")+COUNTIFS('Таблиця 1'!$B:$B,$A191,'Таблиця 1'!$I:$I,"Су-27"))</f>
        <v/>
      </c>
      <c r="C191">
        <f>IF($A191="","",COUNTIFS('Таблиця 1'!$B:$B,$A191,'Таблиця 1'!$I:$I,"Mirage"))</f>
        <v/>
      </c>
      <c r="D191">
        <f>IF($A191="","",COUNTIFS('Таблиця 1'!$B:$B,$A191,'Таблиця 1'!$I:$I,"F-16"))</f>
        <v/>
      </c>
      <c r="E191">
        <f>IF($A191="","",COUNTIFS('Таблиця 1'!$B:$B,$A191,'Таблиця 1'!$I:$I,"МіГ-29"))</f>
        <v/>
      </c>
      <c r="F191">
        <f>IF($A191="","",COUNTIFS('Таблиця 1'!$B:$B,$A191,'Таблиця 1'!$I:$I,"Су-25"))</f>
        <v/>
      </c>
      <c r="G191">
        <f>IF($A191="","",COUNTIFS('Таблиця 1'!$B:$B,$A191,'Таблиця 1'!$I:$I,"Су-27"))</f>
        <v/>
      </c>
      <c r="H191">
        <f>IF($A191="","",SUMIFS('Таблиця 1'!$K:$K,'Таблиця 1'!$B:$B,$A191,'Таблиця 1'!$I:$I,"Mirage",'Таблиця 1'!$J:$J,"AGM-88")+SUMIFS('Таблиця 1'!$K:$K,'Таблиця 1'!$B:$B,$A191,'Таблиця 1'!$I:$I,"F-16",'Таблиця 1'!$J:$J,"AGM-88")+SUMIFS('Таблиця 1'!$K:$K,'Таблиця 1'!$B:$B,$A191,'Таблиця 1'!$I:$I,"МіГ-29",'Таблиця 1'!$J:$J,"AGM-88")+SUMIFS('Таблиця 1'!$K:$K,'Таблиця 1'!$B:$B,$A191,'Таблиця 1'!$I:$I,"Су-25",'Таблиця 1'!$J:$J,"AGM-88")+SUMIFS('Таблиця 1'!$K:$K,'Таблиця 1'!$B:$B,$A191,'Таблиця 1'!$I:$I,"Су-27",'Таблиця 1'!$J:$J,"AGM-88"))</f>
        <v/>
      </c>
      <c r="I191">
        <f>IF($A191="","",SUMIFS('Таблиця 1'!$K:$K,'Таблиця 1'!$B:$B,$A191,'Таблиця 1'!$I:$I,"Mirage",'Таблиця 1'!$J:$J,"AASM-250")+SUMIFS('Таблиця 1'!$K:$K,'Таблиця 1'!$B:$B,$A191,'Таблиця 1'!$I:$I,"F-16",'Таблиця 1'!$J:$J,"AASM-250")+SUMIFS('Таблиця 1'!$K:$K,'Таблиця 1'!$B:$B,$A191,'Таблиця 1'!$I:$I,"МіГ-29",'Таблиця 1'!$J:$J,"AASM-250")+SUMIFS('Таблиця 1'!$K:$K,'Таблиця 1'!$B:$B,$A191,'Таблиця 1'!$I:$I,"Су-25",'Таблиця 1'!$J:$J,"AASM-250")+SUMIFS('Таблиця 1'!$K:$K,'Таблиця 1'!$B:$B,$A191,'Таблиця 1'!$I:$I,"Су-27",'Таблиця 1'!$J:$J,"AASM-250"))</f>
        <v/>
      </c>
      <c r="J191">
        <f>IF($A191="","",SUMIFS('Таблиця 1'!$K:$K,'Таблиця 1'!$B:$B,$A191,'Таблиця 1'!$I:$I,"Mirage",'Таблиця 1'!$J:$J,"GBU-39")+SUMIFS('Таблиця 1'!$K:$K,'Таблиця 1'!$B:$B,$A191,'Таблиця 1'!$I:$I,"F-16",'Таблиця 1'!$J:$J,"GBU-39")+SUMIFS('Таблиця 1'!$K:$K,'Таблиця 1'!$B:$B,$A191,'Таблиця 1'!$I:$I,"МіГ-29",'Таблиця 1'!$J:$J,"GBU-39")+SUMIFS('Таблиця 1'!$K:$K,'Таблиця 1'!$B:$B,$A191,'Таблиця 1'!$I:$I,"Су-25",'Таблиця 1'!$J:$J,"GBU-39")+SUMIFS('Таблиця 1'!$K:$K,'Таблиця 1'!$B:$B,$A191,'Таблиця 1'!$I:$I,"Су-27",'Таблиця 1'!$J:$J,"GBU-39"))</f>
        <v/>
      </c>
      <c r="K191">
        <f>IF($A191="","",SUMIFS('Таблиця 1'!$K:$K,'Таблиця 1'!$B:$B,$A191,'Таблиця 1'!$I:$I,"Mirage",'Таблиця 1'!$J:$J,"BLU-140")+SUMIFS('Таблиця 1'!$K:$K,'Таблиця 1'!$B:$B,$A191,'Таблиця 1'!$I:$I,"F-16",'Таблиця 1'!$J:$J,"BLU-140")+SUMIFS('Таблиця 1'!$K:$K,'Таблиця 1'!$B:$B,$A191,'Таблиця 1'!$I:$I,"МіГ-29",'Таблиця 1'!$J:$J,"BLU-140")+SUMIFS('Таблиця 1'!$K:$K,'Таблиця 1'!$B:$B,$A191,'Таблиця 1'!$I:$I,"Су-25",'Таблиця 1'!$J:$J,"BLU-140")+SUMIFS('Таблиця 1'!$K:$K,'Таблиця 1'!$B:$B,$A191,'Таблиця 1'!$I:$I,"Су-27",'Таблиця 1'!$J:$J,"BLU-140"))</f>
        <v/>
      </c>
      <c r="L191">
        <f>IF($A191="","",SUMIFS('Таблиця 1'!$K:$K,'Таблиця 1'!$B:$B,$A191,'Таблиця 1'!$I:$I,"Mirage",'Таблиця 1'!$J:$J,"GBU-65")+SUMIFS('Таблиця 1'!$K:$K,'Таблиця 1'!$B:$B,$A191,'Таблиця 1'!$I:$I,"F-16",'Таблиця 1'!$J:$J,"GBU-65")+SUMIFS('Таблиця 1'!$K:$K,'Таблиця 1'!$B:$B,$A191,'Таблиця 1'!$I:$I,"МіГ-29",'Таблиця 1'!$J:$J,"GBU-65")+SUMIFS('Таблиця 1'!$K:$K,'Таблиця 1'!$B:$B,$A191,'Таблиця 1'!$I:$I,"Су-25",'Таблиця 1'!$J:$J,"GBU-65")+SUMIFS('Таблиця 1'!$K:$K,'Таблиця 1'!$B:$B,$A191,'Таблиця 1'!$I:$I,"Су-27",'Таблиця 1'!$J:$J,"GBU-65"))</f>
        <v/>
      </c>
      <c r="M191">
        <f>IF($A191="","",SUMIFS('Таблиця 1'!$K:$K,'Таблиця 1'!$B:$B,$A191,'Таблиця 1'!$I:$I,"Mirage",'Таблиця 1'!$J:$J,"GBU-62")+SUMIFS('Таблиця 1'!$K:$K,'Таблиця 1'!$B:$B,$A191,'Таблиця 1'!$I:$I,"F-16",'Таблиця 1'!$J:$J,"GBU-62")+SUMIFS('Таблиця 1'!$K:$K,'Таблиця 1'!$B:$B,$A191,'Таблиця 1'!$I:$I,"МіГ-29",'Таблиця 1'!$J:$J,"GBU-62")+SUMIFS('Таблиця 1'!$K:$K,'Таблиця 1'!$B:$B,$A191,'Таблиця 1'!$I:$I,"Су-25",'Таблиця 1'!$J:$J,"GBU-62")+SUMIFS('Таблиця 1'!$K:$K,'Таблиця 1'!$B:$B,$A191,'Таблиця 1'!$I:$I,"Су-27",'Таблиця 1'!$J:$J,"GBU-62"))</f>
        <v/>
      </c>
      <c r="N191">
        <f>IF($A191="","",SUMIFS('Таблиця 1'!$K:$K,'Таблиця 1'!$B:$B,$A191,'Таблиця 1'!$I:$I,"Mirage",'Таблиця 1'!$J:$J,"GBU-64")+SUMIFS('Таблиця 1'!$K:$K,'Таблиця 1'!$B:$B,$A191,'Таблиця 1'!$I:$I,"F-16",'Таблиця 1'!$J:$J,"GBU-64")+SUMIFS('Таблиця 1'!$K:$K,'Таблиця 1'!$B:$B,$A191,'Таблиця 1'!$I:$I,"МіГ-29",'Таблиця 1'!$J:$J,"GBU-64")+SUMIFS('Таблиця 1'!$K:$K,'Таблиця 1'!$B:$B,$A191,'Таблиця 1'!$I:$I,"Су-25",'Таблиця 1'!$J:$J,"GBU-64")+SUMIFS('Таблиця 1'!$K:$K,'Таблиця 1'!$B:$B,$A191,'Таблиця 1'!$I:$I,"Су-27",'Таблиця 1'!$J:$J,"GBU-64"))</f>
        <v/>
      </c>
      <c r="O191">
        <f>IF($A191="","",SUMIFS('Таблиця 1'!$K:$K,'Таблиця 1'!$B:$B,$A191,'Таблиця 1'!$I:$I,"Mirage",'Таблиця 1'!$J:$J,"C-13")+SUMIFS('Таблиця 1'!$K:$K,'Таблиця 1'!$B:$B,$A191,'Таблиця 1'!$I:$I,"F-16",'Таблиця 1'!$J:$J,"C-13")+SUMIFS('Таблиця 1'!$K:$K,'Таблиця 1'!$B:$B,$A191,'Таблиця 1'!$I:$I,"МіГ-29",'Таблиця 1'!$J:$J,"C-13")+SUMIFS('Таблиця 1'!$K:$K,'Таблиця 1'!$B:$B,$A191,'Таблиця 1'!$I:$I,"Су-25",'Таблиця 1'!$J:$J,"C-13")+SUMIFS('Таблиця 1'!$K:$K,'Таблиця 1'!$B:$B,$A191,'Таблиця 1'!$I:$I,"Су-27",'Таблиця 1'!$J:$J,"C-13"))</f>
        <v/>
      </c>
      <c r="P191">
        <f>IF($A191="","",SUMIFS('Таблиця 1'!$K:$K,'Таблиця 1'!$B:$B,$A191,'Таблиця 1'!$I:$I,"Mirage",'Таблиця 1'!$J:$J,"MK-32")+SUMIFS('Таблиця 1'!$K:$K,'Таблиця 1'!$B:$B,$A191,'Таблиця 1'!$I:$I,"F-16",'Таблиця 1'!$J:$J,"MK-32")+SUMIFS('Таблиця 1'!$K:$K,'Таблиця 1'!$B:$B,$A191,'Таблиця 1'!$I:$I,"МіГ-29",'Таблиця 1'!$J:$J,"MK-32")+SUMIFS('Таблиця 1'!$K:$K,'Таблиця 1'!$B:$B,$A191,'Таблиця 1'!$I:$I,"Су-25",'Таблиця 1'!$J:$J,"MK-32")+SUMIFS('Таблиця 1'!$K:$K,'Таблиця 1'!$B:$B,$A191,'Таблиця 1'!$I:$I,"Су-27",'Таблиця 1'!$J:$J,"MK-32"))</f>
        <v/>
      </c>
      <c r="Q191">
        <f>IF($A191="","",SUMIFS('Таблиця 1'!$K:$K,'Таблиця 1'!$B:$B,$A191,'Таблиця 1'!$I:$I,"Mirage",'Таблиця 1'!$J:$J,"MK-24")+SUMIFS('Таблиця 1'!$K:$K,'Таблиця 1'!$B:$B,$A191,'Таблиця 1'!$I:$I,"F-16",'Таблиця 1'!$J:$J,"MK-24")+SUMIFS('Таблиця 1'!$K:$K,'Таблиця 1'!$B:$B,$A191,'Таблиця 1'!$I:$I,"МіГ-29",'Таблиця 1'!$J:$J,"MK-24")+SUMIFS('Таблиця 1'!$K:$K,'Таблиця 1'!$B:$B,$A191,'Таблиця 1'!$I:$I,"Су-25",'Таблиця 1'!$J:$J,"MK-24")+SUMIFS('Таблиця 1'!$K:$K,'Таблиця 1'!$B:$B,$A191,'Таблиця 1'!$I:$I,"Су-27",'Таблиця 1'!$J:$J,"MK-24"))</f>
        <v/>
      </c>
      <c r="R191">
        <f>IF($A191="","",COUNTIFS('Таблиця 1'!$B:$B,$A191,'Таблиця 1'!$I:$I,"Mirage",'Таблиця 1'!$L:$L,"Уражено")+COUNTIFS('Таблиця 1'!$B:$B,$A191,'Таблиця 1'!$I:$I,"F-16",'Таблиця 1'!$L:$L,"Уражено")+COUNTIFS('Таблиця 1'!$B:$B,$A191,'Таблиця 1'!$I:$I,"МіГ-29",'Таблиця 1'!$L:$L,"Уражено")+COUNTIFS('Таблиця 1'!$B:$B,$A191,'Таблиця 1'!$I:$I,"Су-25",'Таблиця 1'!$L:$L,"Уражено")+COUNTIFS('Таблиця 1'!$B:$B,$A191,'Таблиця 1'!$I:$I,"Су-27",'Таблиця 1'!$L:$L,"Уражено"))</f>
        <v/>
      </c>
      <c r="S191">
        <f>IF($A191="","",COUNTIFS('Таблиця 1'!$B:$B,$A191,'Таблиця 1'!$I:$I,"Mirage",'Таблиця 1'!$L:$L,"НЕ уражено")+COUNTIFS('Таблиця 1'!$B:$B,$A191,'Таблиця 1'!$I:$I,"F-16",'Таблиця 1'!$L:$L,"НЕ уражено")+COUNTIFS('Таблиця 1'!$B:$B,$A191,'Таблиця 1'!$I:$I,"МіГ-29",'Таблиця 1'!$L:$L,"НЕ уражено")+COUNTIFS('Таблиця 1'!$B:$B,$A191,'Таблиця 1'!$I:$I,"Су-25",'Таблиця 1'!$L:$L,"НЕ уражено")+COUNTIFS('Таблиця 1'!$B:$B,$A191,'Таблиця 1'!$I:$I,"Су-27",'Таблиця 1'!$L:$L,"НЕ уражено"))</f>
        <v/>
      </c>
      <c r="T191">
        <f>IF($A191="","",COUNTIFS('Таблиця 1'!$B:$B,$A191,'Таблиця 1'!$I:$I,"Mirage",'Таблиця 1'!$L:$L,"Дорозвідується")+COUNTIFS('Таблиця 1'!$B:$B,$A191,'Таблиця 1'!$I:$I,"F-16",'Таблиця 1'!$L:$L,"Дорозвідується")+COUNTIFS('Таблиця 1'!$B:$B,$A191,'Таблиця 1'!$I:$I,"МіГ-29",'Таблиця 1'!$L:$L,"Дорозвідується")+COUNTIFS('Таблиця 1'!$B:$B,$A191,'Таблиця 1'!$I:$I,"Су-25",'Таблиця 1'!$L:$L,"Дорозвідується")+COUNTIFS('Таблиця 1'!$B:$B,$A191,'Таблиця 1'!$I:$I,"Су-27",'Таблиця 1'!$L:$L,"Дорозвідується"))</f>
        <v/>
      </c>
    </row>
    <row r="192">
      <c r="A192" s="273">
        <f>IF(A191="","",IF(A191+1&gt;MAX('Таблиця 1'!$B:$B),"",A191+1))</f>
        <v/>
      </c>
      <c r="B192">
        <f>IF($A192="","",COUNTIFS('Таблиця 1'!$B:$B,$A192,'Таблиця 1'!$I:$I,"Mirage")+COUNTIFS('Таблиця 1'!$B:$B,$A192,'Таблиця 1'!$I:$I,"F-16")+COUNTIFS('Таблиця 1'!$B:$B,$A192,'Таблиця 1'!$I:$I,"МіГ-29")+COUNTIFS('Таблиця 1'!$B:$B,$A192,'Таблиця 1'!$I:$I,"Су-25")+COUNTIFS('Таблиця 1'!$B:$B,$A192,'Таблиця 1'!$I:$I,"Су-27"))</f>
        <v/>
      </c>
      <c r="C192">
        <f>IF($A192="","",COUNTIFS('Таблиця 1'!$B:$B,$A192,'Таблиця 1'!$I:$I,"Mirage"))</f>
        <v/>
      </c>
      <c r="D192">
        <f>IF($A192="","",COUNTIFS('Таблиця 1'!$B:$B,$A192,'Таблиця 1'!$I:$I,"F-16"))</f>
        <v/>
      </c>
      <c r="E192">
        <f>IF($A192="","",COUNTIFS('Таблиця 1'!$B:$B,$A192,'Таблиця 1'!$I:$I,"МіГ-29"))</f>
        <v/>
      </c>
      <c r="F192">
        <f>IF($A192="","",COUNTIFS('Таблиця 1'!$B:$B,$A192,'Таблиця 1'!$I:$I,"Су-25"))</f>
        <v/>
      </c>
      <c r="G192">
        <f>IF($A192="","",COUNTIFS('Таблиця 1'!$B:$B,$A192,'Таблиця 1'!$I:$I,"Су-27"))</f>
        <v/>
      </c>
      <c r="H192">
        <f>IF($A192="","",SUMIFS('Таблиця 1'!$K:$K,'Таблиця 1'!$B:$B,$A192,'Таблиця 1'!$I:$I,"Mirage",'Таблиця 1'!$J:$J,"AGM-88")+SUMIFS('Таблиця 1'!$K:$K,'Таблиця 1'!$B:$B,$A192,'Таблиця 1'!$I:$I,"F-16",'Таблиця 1'!$J:$J,"AGM-88")+SUMIFS('Таблиця 1'!$K:$K,'Таблиця 1'!$B:$B,$A192,'Таблиця 1'!$I:$I,"МіГ-29",'Таблиця 1'!$J:$J,"AGM-88")+SUMIFS('Таблиця 1'!$K:$K,'Таблиця 1'!$B:$B,$A192,'Таблиця 1'!$I:$I,"Су-25",'Таблиця 1'!$J:$J,"AGM-88")+SUMIFS('Таблиця 1'!$K:$K,'Таблиця 1'!$B:$B,$A192,'Таблиця 1'!$I:$I,"Су-27",'Таблиця 1'!$J:$J,"AGM-88"))</f>
        <v/>
      </c>
      <c r="I192">
        <f>IF($A192="","",SUMIFS('Таблиця 1'!$K:$K,'Таблиця 1'!$B:$B,$A192,'Таблиця 1'!$I:$I,"Mirage",'Таблиця 1'!$J:$J,"AASM-250")+SUMIFS('Таблиця 1'!$K:$K,'Таблиця 1'!$B:$B,$A192,'Таблиця 1'!$I:$I,"F-16",'Таблиця 1'!$J:$J,"AASM-250")+SUMIFS('Таблиця 1'!$K:$K,'Таблиця 1'!$B:$B,$A192,'Таблиця 1'!$I:$I,"МіГ-29",'Таблиця 1'!$J:$J,"AASM-250")+SUMIFS('Таблиця 1'!$K:$K,'Таблиця 1'!$B:$B,$A192,'Таблиця 1'!$I:$I,"Су-25",'Таблиця 1'!$J:$J,"AASM-250")+SUMIFS('Таблиця 1'!$K:$K,'Таблиця 1'!$B:$B,$A192,'Таблиця 1'!$I:$I,"Су-27",'Таблиця 1'!$J:$J,"AASM-250"))</f>
        <v/>
      </c>
      <c r="J192">
        <f>IF($A192="","",SUMIFS('Таблиця 1'!$K:$K,'Таблиця 1'!$B:$B,$A192,'Таблиця 1'!$I:$I,"Mirage",'Таблиця 1'!$J:$J,"GBU-39")+SUMIFS('Таблиця 1'!$K:$K,'Таблиця 1'!$B:$B,$A192,'Таблиця 1'!$I:$I,"F-16",'Таблиця 1'!$J:$J,"GBU-39")+SUMIFS('Таблиця 1'!$K:$K,'Таблиця 1'!$B:$B,$A192,'Таблиця 1'!$I:$I,"МіГ-29",'Таблиця 1'!$J:$J,"GBU-39")+SUMIFS('Таблиця 1'!$K:$K,'Таблиця 1'!$B:$B,$A192,'Таблиця 1'!$I:$I,"Су-25",'Таблиця 1'!$J:$J,"GBU-39")+SUMIFS('Таблиця 1'!$K:$K,'Таблиця 1'!$B:$B,$A192,'Таблиця 1'!$I:$I,"Су-27",'Таблиця 1'!$J:$J,"GBU-39"))</f>
        <v/>
      </c>
      <c r="K192">
        <f>IF($A192="","",SUMIFS('Таблиця 1'!$K:$K,'Таблиця 1'!$B:$B,$A192,'Таблиця 1'!$I:$I,"Mirage",'Таблиця 1'!$J:$J,"BLU-140")+SUMIFS('Таблиця 1'!$K:$K,'Таблиця 1'!$B:$B,$A192,'Таблиця 1'!$I:$I,"F-16",'Таблиця 1'!$J:$J,"BLU-140")+SUMIFS('Таблиця 1'!$K:$K,'Таблиця 1'!$B:$B,$A192,'Таблиця 1'!$I:$I,"МіГ-29",'Таблиця 1'!$J:$J,"BLU-140")+SUMIFS('Таблиця 1'!$K:$K,'Таблиця 1'!$B:$B,$A192,'Таблиця 1'!$I:$I,"Су-25",'Таблиця 1'!$J:$J,"BLU-140")+SUMIFS('Таблиця 1'!$K:$K,'Таблиця 1'!$B:$B,$A192,'Таблиця 1'!$I:$I,"Су-27",'Таблиця 1'!$J:$J,"BLU-140"))</f>
        <v/>
      </c>
      <c r="L192">
        <f>IF($A192="","",SUMIFS('Таблиця 1'!$K:$K,'Таблиця 1'!$B:$B,$A192,'Таблиця 1'!$I:$I,"Mirage",'Таблиця 1'!$J:$J,"GBU-65")+SUMIFS('Таблиця 1'!$K:$K,'Таблиця 1'!$B:$B,$A192,'Таблиця 1'!$I:$I,"F-16",'Таблиця 1'!$J:$J,"GBU-65")+SUMIFS('Таблиця 1'!$K:$K,'Таблиця 1'!$B:$B,$A192,'Таблиця 1'!$I:$I,"МіГ-29",'Таблиця 1'!$J:$J,"GBU-65")+SUMIFS('Таблиця 1'!$K:$K,'Таблиця 1'!$B:$B,$A192,'Таблиця 1'!$I:$I,"Су-25",'Таблиця 1'!$J:$J,"GBU-65")+SUMIFS('Таблиця 1'!$K:$K,'Таблиця 1'!$B:$B,$A192,'Таблиця 1'!$I:$I,"Су-27",'Таблиця 1'!$J:$J,"GBU-65"))</f>
        <v/>
      </c>
      <c r="M192">
        <f>IF($A192="","",SUMIFS('Таблиця 1'!$K:$K,'Таблиця 1'!$B:$B,$A192,'Таблиця 1'!$I:$I,"Mirage",'Таблиця 1'!$J:$J,"GBU-62")+SUMIFS('Таблиця 1'!$K:$K,'Таблиця 1'!$B:$B,$A192,'Таблиця 1'!$I:$I,"F-16",'Таблиця 1'!$J:$J,"GBU-62")+SUMIFS('Таблиця 1'!$K:$K,'Таблиця 1'!$B:$B,$A192,'Таблиця 1'!$I:$I,"МіГ-29",'Таблиця 1'!$J:$J,"GBU-62")+SUMIFS('Таблиця 1'!$K:$K,'Таблиця 1'!$B:$B,$A192,'Таблиця 1'!$I:$I,"Су-25",'Таблиця 1'!$J:$J,"GBU-62")+SUMIFS('Таблиця 1'!$K:$K,'Таблиця 1'!$B:$B,$A192,'Таблиця 1'!$I:$I,"Су-27",'Таблиця 1'!$J:$J,"GBU-62"))</f>
        <v/>
      </c>
      <c r="N192">
        <f>IF($A192="","",SUMIFS('Таблиця 1'!$K:$K,'Таблиця 1'!$B:$B,$A192,'Таблиця 1'!$I:$I,"Mirage",'Таблиця 1'!$J:$J,"GBU-64")+SUMIFS('Таблиця 1'!$K:$K,'Таблиця 1'!$B:$B,$A192,'Таблиця 1'!$I:$I,"F-16",'Таблиця 1'!$J:$J,"GBU-64")+SUMIFS('Таблиця 1'!$K:$K,'Таблиця 1'!$B:$B,$A192,'Таблиця 1'!$I:$I,"МіГ-29",'Таблиця 1'!$J:$J,"GBU-64")+SUMIFS('Таблиця 1'!$K:$K,'Таблиця 1'!$B:$B,$A192,'Таблиця 1'!$I:$I,"Су-25",'Таблиця 1'!$J:$J,"GBU-64")+SUMIFS('Таблиця 1'!$K:$K,'Таблиця 1'!$B:$B,$A192,'Таблиця 1'!$I:$I,"Су-27",'Таблиця 1'!$J:$J,"GBU-64"))</f>
        <v/>
      </c>
      <c r="O192">
        <f>IF($A192="","",SUMIFS('Таблиця 1'!$K:$K,'Таблиця 1'!$B:$B,$A192,'Таблиця 1'!$I:$I,"Mirage",'Таблиця 1'!$J:$J,"C-13")+SUMIFS('Таблиця 1'!$K:$K,'Таблиця 1'!$B:$B,$A192,'Таблиця 1'!$I:$I,"F-16",'Таблиця 1'!$J:$J,"C-13")+SUMIFS('Таблиця 1'!$K:$K,'Таблиця 1'!$B:$B,$A192,'Таблиця 1'!$I:$I,"МіГ-29",'Таблиця 1'!$J:$J,"C-13")+SUMIFS('Таблиця 1'!$K:$K,'Таблиця 1'!$B:$B,$A192,'Таблиця 1'!$I:$I,"Су-25",'Таблиця 1'!$J:$J,"C-13")+SUMIFS('Таблиця 1'!$K:$K,'Таблиця 1'!$B:$B,$A192,'Таблиця 1'!$I:$I,"Су-27",'Таблиця 1'!$J:$J,"C-13"))</f>
        <v/>
      </c>
      <c r="P192">
        <f>IF($A192="","",SUMIFS('Таблиця 1'!$K:$K,'Таблиця 1'!$B:$B,$A192,'Таблиця 1'!$I:$I,"Mirage",'Таблиця 1'!$J:$J,"MK-32")+SUMIFS('Таблиця 1'!$K:$K,'Таблиця 1'!$B:$B,$A192,'Таблиця 1'!$I:$I,"F-16",'Таблиця 1'!$J:$J,"MK-32")+SUMIFS('Таблиця 1'!$K:$K,'Таблиця 1'!$B:$B,$A192,'Таблиця 1'!$I:$I,"МіГ-29",'Таблиця 1'!$J:$J,"MK-32")+SUMIFS('Таблиця 1'!$K:$K,'Таблиця 1'!$B:$B,$A192,'Таблиця 1'!$I:$I,"Су-25",'Таблиця 1'!$J:$J,"MK-32")+SUMIFS('Таблиця 1'!$K:$K,'Таблиця 1'!$B:$B,$A192,'Таблиця 1'!$I:$I,"Су-27",'Таблиця 1'!$J:$J,"MK-32"))</f>
        <v/>
      </c>
      <c r="Q192">
        <f>IF($A192="","",SUMIFS('Таблиця 1'!$K:$K,'Таблиця 1'!$B:$B,$A192,'Таблиця 1'!$I:$I,"Mirage",'Таблиця 1'!$J:$J,"MK-24")+SUMIFS('Таблиця 1'!$K:$K,'Таблиця 1'!$B:$B,$A192,'Таблиця 1'!$I:$I,"F-16",'Таблиця 1'!$J:$J,"MK-24")+SUMIFS('Таблиця 1'!$K:$K,'Таблиця 1'!$B:$B,$A192,'Таблиця 1'!$I:$I,"МіГ-29",'Таблиця 1'!$J:$J,"MK-24")+SUMIFS('Таблиця 1'!$K:$K,'Таблиця 1'!$B:$B,$A192,'Таблиця 1'!$I:$I,"Су-25",'Таблиця 1'!$J:$J,"MK-24")+SUMIFS('Таблиця 1'!$K:$K,'Таблиця 1'!$B:$B,$A192,'Таблиця 1'!$I:$I,"Су-27",'Таблиця 1'!$J:$J,"MK-24"))</f>
        <v/>
      </c>
      <c r="R192">
        <f>IF($A192="","",COUNTIFS('Таблиця 1'!$B:$B,$A192,'Таблиця 1'!$I:$I,"Mirage",'Таблиця 1'!$L:$L,"Уражено")+COUNTIFS('Таблиця 1'!$B:$B,$A192,'Таблиця 1'!$I:$I,"F-16",'Таблиця 1'!$L:$L,"Уражено")+COUNTIFS('Таблиця 1'!$B:$B,$A192,'Таблиця 1'!$I:$I,"МіГ-29",'Таблиця 1'!$L:$L,"Уражено")+COUNTIFS('Таблиця 1'!$B:$B,$A192,'Таблиця 1'!$I:$I,"Су-25",'Таблиця 1'!$L:$L,"Уражено")+COUNTIFS('Таблиця 1'!$B:$B,$A192,'Таблиця 1'!$I:$I,"Су-27",'Таблиця 1'!$L:$L,"Уражено"))</f>
        <v/>
      </c>
      <c r="S192">
        <f>IF($A192="","",COUNTIFS('Таблиця 1'!$B:$B,$A192,'Таблиця 1'!$I:$I,"Mirage",'Таблиця 1'!$L:$L,"НЕ уражено")+COUNTIFS('Таблиця 1'!$B:$B,$A192,'Таблиця 1'!$I:$I,"F-16",'Таблиця 1'!$L:$L,"НЕ уражено")+COUNTIFS('Таблиця 1'!$B:$B,$A192,'Таблиця 1'!$I:$I,"МіГ-29",'Таблиця 1'!$L:$L,"НЕ уражено")+COUNTIFS('Таблиця 1'!$B:$B,$A192,'Таблиця 1'!$I:$I,"Су-25",'Таблиця 1'!$L:$L,"НЕ уражено")+COUNTIFS('Таблиця 1'!$B:$B,$A192,'Таблиця 1'!$I:$I,"Су-27",'Таблиця 1'!$L:$L,"НЕ уражено"))</f>
        <v/>
      </c>
      <c r="T192">
        <f>IF($A192="","",COUNTIFS('Таблиця 1'!$B:$B,$A192,'Таблиця 1'!$I:$I,"Mirage",'Таблиця 1'!$L:$L,"Дорозвідується")+COUNTIFS('Таблиця 1'!$B:$B,$A192,'Таблиця 1'!$I:$I,"F-16",'Таблиця 1'!$L:$L,"Дорозвідується")+COUNTIFS('Таблиця 1'!$B:$B,$A192,'Таблиця 1'!$I:$I,"МіГ-29",'Таблиця 1'!$L:$L,"Дорозвідується")+COUNTIFS('Таблиця 1'!$B:$B,$A192,'Таблиця 1'!$I:$I,"Су-25",'Таблиця 1'!$L:$L,"Дорозвідується")+COUNTIFS('Таблиця 1'!$B:$B,$A192,'Таблиця 1'!$I:$I,"Су-27",'Таблиця 1'!$L:$L,"Дорозвідується"))</f>
        <v/>
      </c>
    </row>
    <row r="193">
      <c r="A193" s="273">
        <f>IF(A192="","",IF(A192+1&gt;MAX('Таблиця 1'!$B:$B),"",A192+1))</f>
        <v/>
      </c>
      <c r="B193">
        <f>IF($A193="","",COUNTIFS('Таблиця 1'!$B:$B,$A193,'Таблиця 1'!$I:$I,"Mirage")+COUNTIFS('Таблиця 1'!$B:$B,$A193,'Таблиця 1'!$I:$I,"F-16")+COUNTIFS('Таблиця 1'!$B:$B,$A193,'Таблиця 1'!$I:$I,"МіГ-29")+COUNTIFS('Таблиця 1'!$B:$B,$A193,'Таблиця 1'!$I:$I,"Су-25")+COUNTIFS('Таблиця 1'!$B:$B,$A193,'Таблиця 1'!$I:$I,"Су-27"))</f>
        <v/>
      </c>
      <c r="C193">
        <f>IF($A193="","",COUNTIFS('Таблиця 1'!$B:$B,$A193,'Таблиця 1'!$I:$I,"Mirage"))</f>
        <v/>
      </c>
      <c r="D193">
        <f>IF($A193="","",COUNTIFS('Таблиця 1'!$B:$B,$A193,'Таблиця 1'!$I:$I,"F-16"))</f>
        <v/>
      </c>
      <c r="E193">
        <f>IF($A193="","",COUNTIFS('Таблиця 1'!$B:$B,$A193,'Таблиця 1'!$I:$I,"МіГ-29"))</f>
        <v/>
      </c>
      <c r="F193">
        <f>IF($A193="","",COUNTIFS('Таблиця 1'!$B:$B,$A193,'Таблиця 1'!$I:$I,"Су-25"))</f>
        <v/>
      </c>
      <c r="G193">
        <f>IF($A193="","",COUNTIFS('Таблиця 1'!$B:$B,$A193,'Таблиця 1'!$I:$I,"Су-27"))</f>
        <v/>
      </c>
      <c r="H193">
        <f>IF($A193="","",SUMIFS('Таблиця 1'!$K:$K,'Таблиця 1'!$B:$B,$A193,'Таблиця 1'!$I:$I,"Mirage",'Таблиця 1'!$J:$J,"AGM-88")+SUMIFS('Таблиця 1'!$K:$K,'Таблиця 1'!$B:$B,$A193,'Таблиця 1'!$I:$I,"F-16",'Таблиця 1'!$J:$J,"AGM-88")+SUMIFS('Таблиця 1'!$K:$K,'Таблиця 1'!$B:$B,$A193,'Таблиця 1'!$I:$I,"МіГ-29",'Таблиця 1'!$J:$J,"AGM-88")+SUMIFS('Таблиця 1'!$K:$K,'Таблиця 1'!$B:$B,$A193,'Таблиця 1'!$I:$I,"Су-25",'Таблиця 1'!$J:$J,"AGM-88")+SUMIFS('Таблиця 1'!$K:$K,'Таблиця 1'!$B:$B,$A193,'Таблиця 1'!$I:$I,"Су-27",'Таблиця 1'!$J:$J,"AGM-88"))</f>
        <v/>
      </c>
      <c r="I193">
        <f>IF($A193="","",SUMIFS('Таблиця 1'!$K:$K,'Таблиця 1'!$B:$B,$A193,'Таблиця 1'!$I:$I,"Mirage",'Таблиця 1'!$J:$J,"AASM-250")+SUMIFS('Таблиця 1'!$K:$K,'Таблиця 1'!$B:$B,$A193,'Таблиця 1'!$I:$I,"F-16",'Таблиця 1'!$J:$J,"AASM-250")+SUMIFS('Таблиця 1'!$K:$K,'Таблиця 1'!$B:$B,$A193,'Таблиця 1'!$I:$I,"МіГ-29",'Таблиця 1'!$J:$J,"AASM-250")+SUMIFS('Таблиця 1'!$K:$K,'Таблиця 1'!$B:$B,$A193,'Таблиця 1'!$I:$I,"Су-25",'Таблиця 1'!$J:$J,"AASM-250")+SUMIFS('Таблиця 1'!$K:$K,'Таблиця 1'!$B:$B,$A193,'Таблиця 1'!$I:$I,"Су-27",'Таблиця 1'!$J:$J,"AASM-250"))</f>
        <v/>
      </c>
      <c r="J193">
        <f>IF($A193="","",SUMIFS('Таблиця 1'!$K:$K,'Таблиця 1'!$B:$B,$A193,'Таблиця 1'!$I:$I,"Mirage",'Таблиця 1'!$J:$J,"GBU-39")+SUMIFS('Таблиця 1'!$K:$K,'Таблиця 1'!$B:$B,$A193,'Таблиця 1'!$I:$I,"F-16",'Таблиця 1'!$J:$J,"GBU-39")+SUMIFS('Таблиця 1'!$K:$K,'Таблиця 1'!$B:$B,$A193,'Таблиця 1'!$I:$I,"МіГ-29",'Таблиця 1'!$J:$J,"GBU-39")+SUMIFS('Таблиця 1'!$K:$K,'Таблиця 1'!$B:$B,$A193,'Таблиця 1'!$I:$I,"Су-25",'Таблиця 1'!$J:$J,"GBU-39")+SUMIFS('Таблиця 1'!$K:$K,'Таблиця 1'!$B:$B,$A193,'Таблиця 1'!$I:$I,"Су-27",'Таблиця 1'!$J:$J,"GBU-39"))</f>
        <v/>
      </c>
      <c r="K193">
        <f>IF($A193="","",SUMIFS('Таблиця 1'!$K:$K,'Таблиця 1'!$B:$B,$A193,'Таблиця 1'!$I:$I,"Mirage",'Таблиця 1'!$J:$J,"BLU-140")+SUMIFS('Таблиця 1'!$K:$K,'Таблиця 1'!$B:$B,$A193,'Таблиця 1'!$I:$I,"F-16",'Таблиця 1'!$J:$J,"BLU-140")+SUMIFS('Таблиця 1'!$K:$K,'Таблиця 1'!$B:$B,$A193,'Таблиця 1'!$I:$I,"МіГ-29",'Таблиця 1'!$J:$J,"BLU-140")+SUMIFS('Таблиця 1'!$K:$K,'Таблиця 1'!$B:$B,$A193,'Таблиця 1'!$I:$I,"Су-25",'Таблиця 1'!$J:$J,"BLU-140")+SUMIFS('Таблиця 1'!$K:$K,'Таблиця 1'!$B:$B,$A193,'Таблиця 1'!$I:$I,"Су-27",'Таблиця 1'!$J:$J,"BLU-140"))</f>
        <v/>
      </c>
      <c r="L193">
        <f>IF($A193="","",SUMIFS('Таблиця 1'!$K:$K,'Таблиця 1'!$B:$B,$A193,'Таблиця 1'!$I:$I,"Mirage",'Таблиця 1'!$J:$J,"GBU-65")+SUMIFS('Таблиця 1'!$K:$K,'Таблиця 1'!$B:$B,$A193,'Таблиця 1'!$I:$I,"F-16",'Таблиця 1'!$J:$J,"GBU-65")+SUMIFS('Таблиця 1'!$K:$K,'Таблиця 1'!$B:$B,$A193,'Таблиця 1'!$I:$I,"МіГ-29",'Таблиця 1'!$J:$J,"GBU-65")+SUMIFS('Таблиця 1'!$K:$K,'Таблиця 1'!$B:$B,$A193,'Таблиця 1'!$I:$I,"Су-25",'Таблиця 1'!$J:$J,"GBU-65")+SUMIFS('Таблиця 1'!$K:$K,'Таблиця 1'!$B:$B,$A193,'Таблиця 1'!$I:$I,"Су-27",'Таблиця 1'!$J:$J,"GBU-65"))</f>
        <v/>
      </c>
      <c r="M193">
        <f>IF($A193="","",SUMIFS('Таблиця 1'!$K:$K,'Таблиця 1'!$B:$B,$A193,'Таблиця 1'!$I:$I,"Mirage",'Таблиця 1'!$J:$J,"GBU-62")+SUMIFS('Таблиця 1'!$K:$K,'Таблиця 1'!$B:$B,$A193,'Таблиця 1'!$I:$I,"F-16",'Таблиця 1'!$J:$J,"GBU-62")+SUMIFS('Таблиця 1'!$K:$K,'Таблиця 1'!$B:$B,$A193,'Таблиця 1'!$I:$I,"МіГ-29",'Таблиця 1'!$J:$J,"GBU-62")+SUMIFS('Таблиця 1'!$K:$K,'Таблиця 1'!$B:$B,$A193,'Таблиця 1'!$I:$I,"Су-25",'Таблиця 1'!$J:$J,"GBU-62")+SUMIFS('Таблиця 1'!$K:$K,'Таблиця 1'!$B:$B,$A193,'Таблиця 1'!$I:$I,"Су-27",'Таблиця 1'!$J:$J,"GBU-62"))</f>
        <v/>
      </c>
      <c r="N193">
        <f>IF($A193="","",SUMIFS('Таблиця 1'!$K:$K,'Таблиця 1'!$B:$B,$A193,'Таблиця 1'!$I:$I,"Mirage",'Таблиця 1'!$J:$J,"GBU-64")+SUMIFS('Таблиця 1'!$K:$K,'Таблиця 1'!$B:$B,$A193,'Таблиця 1'!$I:$I,"F-16",'Таблиця 1'!$J:$J,"GBU-64")+SUMIFS('Таблиця 1'!$K:$K,'Таблиця 1'!$B:$B,$A193,'Таблиця 1'!$I:$I,"МіГ-29",'Таблиця 1'!$J:$J,"GBU-64")+SUMIFS('Таблиця 1'!$K:$K,'Таблиця 1'!$B:$B,$A193,'Таблиця 1'!$I:$I,"Су-25",'Таблиця 1'!$J:$J,"GBU-64")+SUMIFS('Таблиця 1'!$K:$K,'Таблиця 1'!$B:$B,$A193,'Таблиця 1'!$I:$I,"Су-27",'Таблиця 1'!$J:$J,"GBU-64"))</f>
        <v/>
      </c>
      <c r="O193">
        <f>IF($A193="","",SUMIFS('Таблиця 1'!$K:$K,'Таблиця 1'!$B:$B,$A193,'Таблиця 1'!$I:$I,"Mirage",'Таблиця 1'!$J:$J,"C-13")+SUMIFS('Таблиця 1'!$K:$K,'Таблиця 1'!$B:$B,$A193,'Таблиця 1'!$I:$I,"F-16",'Таблиця 1'!$J:$J,"C-13")+SUMIFS('Таблиця 1'!$K:$K,'Таблиця 1'!$B:$B,$A193,'Таблиця 1'!$I:$I,"МіГ-29",'Таблиця 1'!$J:$J,"C-13")+SUMIFS('Таблиця 1'!$K:$K,'Таблиця 1'!$B:$B,$A193,'Таблиця 1'!$I:$I,"Су-25",'Таблиця 1'!$J:$J,"C-13")+SUMIFS('Таблиця 1'!$K:$K,'Таблиця 1'!$B:$B,$A193,'Таблиця 1'!$I:$I,"Су-27",'Таблиця 1'!$J:$J,"C-13"))</f>
        <v/>
      </c>
      <c r="P193">
        <f>IF($A193="","",SUMIFS('Таблиця 1'!$K:$K,'Таблиця 1'!$B:$B,$A193,'Таблиця 1'!$I:$I,"Mirage",'Таблиця 1'!$J:$J,"MK-32")+SUMIFS('Таблиця 1'!$K:$K,'Таблиця 1'!$B:$B,$A193,'Таблиця 1'!$I:$I,"F-16",'Таблиця 1'!$J:$J,"MK-32")+SUMIFS('Таблиця 1'!$K:$K,'Таблиця 1'!$B:$B,$A193,'Таблиця 1'!$I:$I,"МіГ-29",'Таблиця 1'!$J:$J,"MK-32")+SUMIFS('Таблиця 1'!$K:$K,'Таблиця 1'!$B:$B,$A193,'Таблиця 1'!$I:$I,"Су-25",'Таблиця 1'!$J:$J,"MK-32")+SUMIFS('Таблиця 1'!$K:$K,'Таблиця 1'!$B:$B,$A193,'Таблиця 1'!$I:$I,"Су-27",'Таблиця 1'!$J:$J,"MK-32"))</f>
        <v/>
      </c>
      <c r="Q193">
        <f>IF($A193="","",SUMIFS('Таблиця 1'!$K:$K,'Таблиця 1'!$B:$B,$A193,'Таблиця 1'!$I:$I,"Mirage",'Таблиця 1'!$J:$J,"MK-24")+SUMIFS('Таблиця 1'!$K:$K,'Таблиця 1'!$B:$B,$A193,'Таблиця 1'!$I:$I,"F-16",'Таблиця 1'!$J:$J,"MK-24")+SUMIFS('Таблиця 1'!$K:$K,'Таблиця 1'!$B:$B,$A193,'Таблиця 1'!$I:$I,"МіГ-29",'Таблиця 1'!$J:$J,"MK-24")+SUMIFS('Таблиця 1'!$K:$K,'Таблиця 1'!$B:$B,$A193,'Таблиця 1'!$I:$I,"Су-25",'Таблиця 1'!$J:$J,"MK-24")+SUMIFS('Таблиця 1'!$K:$K,'Таблиця 1'!$B:$B,$A193,'Таблиця 1'!$I:$I,"Су-27",'Таблиця 1'!$J:$J,"MK-24"))</f>
        <v/>
      </c>
      <c r="R193">
        <f>IF($A193="","",COUNTIFS('Таблиця 1'!$B:$B,$A193,'Таблиця 1'!$I:$I,"Mirage",'Таблиця 1'!$L:$L,"Уражено")+COUNTIFS('Таблиця 1'!$B:$B,$A193,'Таблиця 1'!$I:$I,"F-16",'Таблиця 1'!$L:$L,"Уражено")+COUNTIFS('Таблиця 1'!$B:$B,$A193,'Таблиця 1'!$I:$I,"МіГ-29",'Таблиця 1'!$L:$L,"Уражено")+COUNTIFS('Таблиця 1'!$B:$B,$A193,'Таблиця 1'!$I:$I,"Су-25",'Таблиця 1'!$L:$L,"Уражено")+COUNTIFS('Таблиця 1'!$B:$B,$A193,'Таблиця 1'!$I:$I,"Су-27",'Таблиця 1'!$L:$L,"Уражено"))</f>
        <v/>
      </c>
      <c r="S193">
        <f>IF($A193="","",COUNTIFS('Таблиця 1'!$B:$B,$A193,'Таблиця 1'!$I:$I,"Mirage",'Таблиця 1'!$L:$L,"НЕ уражено")+COUNTIFS('Таблиця 1'!$B:$B,$A193,'Таблиця 1'!$I:$I,"F-16",'Таблиця 1'!$L:$L,"НЕ уражено")+COUNTIFS('Таблиця 1'!$B:$B,$A193,'Таблиця 1'!$I:$I,"МіГ-29",'Таблиця 1'!$L:$L,"НЕ уражено")+COUNTIFS('Таблиця 1'!$B:$B,$A193,'Таблиця 1'!$I:$I,"Су-25",'Таблиця 1'!$L:$L,"НЕ уражено")+COUNTIFS('Таблиця 1'!$B:$B,$A193,'Таблиця 1'!$I:$I,"Су-27",'Таблиця 1'!$L:$L,"НЕ уражено"))</f>
        <v/>
      </c>
      <c r="T193">
        <f>IF($A193="","",COUNTIFS('Таблиця 1'!$B:$B,$A193,'Таблиця 1'!$I:$I,"Mirage",'Таблиця 1'!$L:$L,"Дорозвідується")+COUNTIFS('Таблиця 1'!$B:$B,$A193,'Таблиця 1'!$I:$I,"F-16",'Таблиця 1'!$L:$L,"Дорозвідується")+COUNTIFS('Таблиця 1'!$B:$B,$A193,'Таблиця 1'!$I:$I,"МіГ-29",'Таблиця 1'!$L:$L,"Дорозвідується")+COUNTIFS('Таблиця 1'!$B:$B,$A193,'Таблиця 1'!$I:$I,"Су-25",'Таблиця 1'!$L:$L,"Дорозвідується")+COUNTIFS('Таблиця 1'!$B:$B,$A193,'Таблиця 1'!$I:$I,"Су-27",'Таблиця 1'!$L:$L,"Дорозвідується"))</f>
        <v/>
      </c>
    </row>
    <row r="194">
      <c r="A194" s="273">
        <f>IF(A193="","",IF(A193+1&gt;MAX('Таблиця 1'!$B:$B),"",A193+1))</f>
        <v/>
      </c>
      <c r="B194">
        <f>IF($A194="","",COUNTIFS('Таблиця 1'!$B:$B,$A194,'Таблиця 1'!$I:$I,"Mirage")+COUNTIFS('Таблиця 1'!$B:$B,$A194,'Таблиця 1'!$I:$I,"F-16")+COUNTIFS('Таблиця 1'!$B:$B,$A194,'Таблиця 1'!$I:$I,"МіГ-29")+COUNTIFS('Таблиця 1'!$B:$B,$A194,'Таблиця 1'!$I:$I,"Су-25")+COUNTIFS('Таблиця 1'!$B:$B,$A194,'Таблиця 1'!$I:$I,"Су-27"))</f>
        <v/>
      </c>
      <c r="C194">
        <f>IF($A194="","",COUNTIFS('Таблиця 1'!$B:$B,$A194,'Таблиця 1'!$I:$I,"Mirage"))</f>
        <v/>
      </c>
      <c r="D194">
        <f>IF($A194="","",COUNTIFS('Таблиця 1'!$B:$B,$A194,'Таблиця 1'!$I:$I,"F-16"))</f>
        <v/>
      </c>
      <c r="E194">
        <f>IF($A194="","",COUNTIFS('Таблиця 1'!$B:$B,$A194,'Таблиця 1'!$I:$I,"МіГ-29"))</f>
        <v/>
      </c>
      <c r="F194">
        <f>IF($A194="","",COUNTIFS('Таблиця 1'!$B:$B,$A194,'Таблиця 1'!$I:$I,"Су-25"))</f>
        <v/>
      </c>
      <c r="G194">
        <f>IF($A194="","",COUNTIFS('Таблиця 1'!$B:$B,$A194,'Таблиця 1'!$I:$I,"Су-27"))</f>
        <v/>
      </c>
      <c r="H194">
        <f>IF($A194="","",SUMIFS('Таблиця 1'!$K:$K,'Таблиця 1'!$B:$B,$A194,'Таблиця 1'!$I:$I,"Mirage",'Таблиця 1'!$J:$J,"AGM-88")+SUMIFS('Таблиця 1'!$K:$K,'Таблиця 1'!$B:$B,$A194,'Таблиця 1'!$I:$I,"F-16",'Таблиця 1'!$J:$J,"AGM-88")+SUMIFS('Таблиця 1'!$K:$K,'Таблиця 1'!$B:$B,$A194,'Таблиця 1'!$I:$I,"МіГ-29",'Таблиця 1'!$J:$J,"AGM-88")+SUMIFS('Таблиця 1'!$K:$K,'Таблиця 1'!$B:$B,$A194,'Таблиця 1'!$I:$I,"Су-25",'Таблиця 1'!$J:$J,"AGM-88")+SUMIFS('Таблиця 1'!$K:$K,'Таблиця 1'!$B:$B,$A194,'Таблиця 1'!$I:$I,"Су-27",'Таблиця 1'!$J:$J,"AGM-88"))</f>
        <v/>
      </c>
      <c r="I194">
        <f>IF($A194="","",SUMIFS('Таблиця 1'!$K:$K,'Таблиця 1'!$B:$B,$A194,'Таблиця 1'!$I:$I,"Mirage",'Таблиця 1'!$J:$J,"AASM-250")+SUMIFS('Таблиця 1'!$K:$K,'Таблиця 1'!$B:$B,$A194,'Таблиця 1'!$I:$I,"F-16",'Таблиця 1'!$J:$J,"AASM-250")+SUMIFS('Таблиця 1'!$K:$K,'Таблиця 1'!$B:$B,$A194,'Таблиця 1'!$I:$I,"МіГ-29",'Таблиця 1'!$J:$J,"AASM-250")+SUMIFS('Таблиця 1'!$K:$K,'Таблиця 1'!$B:$B,$A194,'Таблиця 1'!$I:$I,"Су-25",'Таблиця 1'!$J:$J,"AASM-250")+SUMIFS('Таблиця 1'!$K:$K,'Таблиця 1'!$B:$B,$A194,'Таблиця 1'!$I:$I,"Су-27",'Таблиця 1'!$J:$J,"AASM-250"))</f>
        <v/>
      </c>
      <c r="J194">
        <f>IF($A194="","",SUMIFS('Таблиця 1'!$K:$K,'Таблиця 1'!$B:$B,$A194,'Таблиця 1'!$I:$I,"Mirage",'Таблиця 1'!$J:$J,"GBU-39")+SUMIFS('Таблиця 1'!$K:$K,'Таблиця 1'!$B:$B,$A194,'Таблиця 1'!$I:$I,"F-16",'Таблиця 1'!$J:$J,"GBU-39")+SUMIFS('Таблиця 1'!$K:$K,'Таблиця 1'!$B:$B,$A194,'Таблиця 1'!$I:$I,"МіГ-29",'Таблиця 1'!$J:$J,"GBU-39")+SUMIFS('Таблиця 1'!$K:$K,'Таблиця 1'!$B:$B,$A194,'Таблиця 1'!$I:$I,"Су-25",'Таблиця 1'!$J:$J,"GBU-39")+SUMIFS('Таблиця 1'!$K:$K,'Таблиця 1'!$B:$B,$A194,'Таблиця 1'!$I:$I,"Су-27",'Таблиця 1'!$J:$J,"GBU-39"))</f>
        <v/>
      </c>
      <c r="K194">
        <f>IF($A194="","",SUMIFS('Таблиця 1'!$K:$K,'Таблиця 1'!$B:$B,$A194,'Таблиця 1'!$I:$I,"Mirage",'Таблиця 1'!$J:$J,"BLU-140")+SUMIFS('Таблиця 1'!$K:$K,'Таблиця 1'!$B:$B,$A194,'Таблиця 1'!$I:$I,"F-16",'Таблиця 1'!$J:$J,"BLU-140")+SUMIFS('Таблиця 1'!$K:$K,'Таблиця 1'!$B:$B,$A194,'Таблиця 1'!$I:$I,"МіГ-29",'Таблиця 1'!$J:$J,"BLU-140")+SUMIFS('Таблиця 1'!$K:$K,'Таблиця 1'!$B:$B,$A194,'Таблиця 1'!$I:$I,"Су-25",'Таблиця 1'!$J:$J,"BLU-140")+SUMIFS('Таблиця 1'!$K:$K,'Таблиця 1'!$B:$B,$A194,'Таблиця 1'!$I:$I,"Су-27",'Таблиця 1'!$J:$J,"BLU-140"))</f>
        <v/>
      </c>
      <c r="L194">
        <f>IF($A194="","",SUMIFS('Таблиця 1'!$K:$K,'Таблиця 1'!$B:$B,$A194,'Таблиця 1'!$I:$I,"Mirage",'Таблиця 1'!$J:$J,"GBU-65")+SUMIFS('Таблиця 1'!$K:$K,'Таблиця 1'!$B:$B,$A194,'Таблиця 1'!$I:$I,"F-16",'Таблиця 1'!$J:$J,"GBU-65")+SUMIFS('Таблиця 1'!$K:$K,'Таблиця 1'!$B:$B,$A194,'Таблиця 1'!$I:$I,"МіГ-29",'Таблиця 1'!$J:$J,"GBU-65")+SUMIFS('Таблиця 1'!$K:$K,'Таблиця 1'!$B:$B,$A194,'Таблиця 1'!$I:$I,"Су-25",'Таблиця 1'!$J:$J,"GBU-65")+SUMIFS('Таблиця 1'!$K:$K,'Таблиця 1'!$B:$B,$A194,'Таблиця 1'!$I:$I,"Су-27",'Таблиця 1'!$J:$J,"GBU-65"))</f>
        <v/>
      </c>
      <c r="M194">
        <f>IF($A194="","",SUMIFS('Таблиця 1'!$K:$K,'Таблиця 1'!$B:$B,$A194,'Таблиця 1'!$I:$I,"Mirage",'Таблиця 1'!$J:$J,"GBU-62")+SUMIFS('Таблиця 1'!$K:$K,'Таблиця 1'!$B:$B,$A194,'Таблиця 1'!$I:$I,"F-16",'Таблиця 1'!$J:$J,"GBU-62")+SUMIFS('Таблиця 1'!$K:$K,'Таблиця 1'!$B:$B,$A194,'Таблиця 1'!$I:$I,"МіГ-29",'Таблиця 1'!$J:$J,"GBU-62")+SUMIFS('Таблиця 1'!$K:$K,'Таблиця 1'!$B:$B,$A194,'Таблиця 1'!$I:$I,"Су-25",'Таблиця 1'!$J:$J,"GBU-62")+SUMIFS('Таблиця 1'!$K:$K,'Таблиця 1'!$B:$B,$A194,'Таблиця 1'!$I:$I,"Су-27",'Таблиця 1'!$J:$J,"GBU-62"))</f>
        <v/>
      </c>
      <c r="N194">
        <f>IF($A194="","",SUMIFS('Таблиця 1'!$K:$K,'Таблиця 1'!$B:$B,$A194,'Таблиця 1'!$I:$I,"Mirage",'Таблиця 1'!$J:$J,"GBU-64")+SUMIFS('Таблиця 1'!$K:$K,'Таблиця 1'!$B:$B,$A194,'Таблиця 1'!$I:$I,"F-16",'Таблиця 1'!$J:$J,"GBU-64")+SUMIFS('Таблиця 1'!$K:$K,'Таблиця 1'!$B:$B,$A194,'Таблиця 1'!$I:$I,"МіГ-29",'Таблиця 1'!$J:$J,"GBU-64")+SUMIFS('Таблиця 1'!$K:$K,'Таблиця 1'!$B:$B,$A194,'Таблиця 1'!$I:$I,"Су-25",'Таблиця 1'!$J:$J,"GBU-64")+SUMIFS('Таблиця 1'!$K:$K,'Таблиця 1'!$B:$B,$A194,'Таблиця 1'!$I:$I,"Су-27",'Таблиця 1'!$J:$J,"GBU-64"))</f>
        <v/>
      </c>
      <c r="O194">
        <f>IF($A194="","",SUMIFS('Таблиця 1'!$K:$K,'Таблиця 1'!$B:$B,$A194,'Таблиця 1'!$I:$I,"Mirage",'Таблиця 1'!$J:$J,"C-13")+SUMIFS('Таблиця 1'!$K:$K,'Таблиця 1'!$B:$B,$A194,'Таблиця 1'!$I:$I,"F-16",'Таблиця 1'!$J:$J,"C-13")+SUMIFS('Таблиця 1'!$K:$K,'Таблиця 1'!$B:$B,$A194,'Таблиця 1'!$I:$I,"МіГ-29",'Таблиця 1'!$J:$J,"C-13")+SUMIFS('Таблиця 1'!$K:$K,'Таблиця 1'!$B:$B,$A194,'Таблиця 1'!$I:$I,"Су-25",'Таблиця 1'!$J:$J,"C-13")+SUMIFS('Таблиця 1'!$K:$K,'Таблиця 1'!$B:$B,$A194,'Таблиця 1'!$I:$I,"Су-27",'Таблиця 1'!$J:$J,"C-13"))</f>
        <v/>
      </c>
      <c r="P194">
        <f>IF($A194="","",SUMIFS('Таблиця 1'!$K:$K,'Таблиця 1'!$B:$B,$A194,'Таблиця 1'!$I:$I,"Mirage",'Таблиця 1'!$J:$J,"MK-32")+SUMIFS('Таблиця 1'!$K:$K,'Таблиця 1'!$B:$B,$A194,'Таблиця 1'!$I:$I,"F-16",'Таблиця 1'!$J:$J,"MK-32")+SUMIFS('Таблиця 1'!$K:$K,'Таблиця 1'!$B:$B,$A194,'Таблиця 1'!$I:$I,"МіГ-29",'Таблиця 1'!$J:$J,"MK-32")+SUMIFS('Таблиця 1'!$K:$K,'Таблиця 1'!$B:$B,$A194,'Таблиця 1'!$I:$I,"Су-25",'Таблиця 1'!$J:$J,"MK-32")+SUMIFS('Таблиця 1'!$K:$K,'Таблиця 1'!$B:$B,$A194,'Таблиця 1'!$I:$I,"Су-27",'Таблиця 1'!$J:$J,"MK-32"))</f>
        <v/>
      </c>
      <c r="Q194">
        <f>IF($A194="","",SUMIFS('Таблиця 1'!$K:$K,'Таблиця 1'!$B:$B,$A194,'Таблиця 1'!$I:$I,"Mirage",'Таблиця 1'!$J:$J,"MK-24")+SUMIFS('Таблиця 1'!$K:$K,'Таблиця 1'!$B:$B,$A194,'Таблиця 1'!$I:$I,"F-16",'Таблиця 1'!$J:$J,"MK-24")+SUMIFS('Таблиця 1'!$K:$K,'Таблиця 1'!$B:$B,$A194,'Таблиця 1'!$I:$I,"МіГ-29",'Таблиця 1'!$J:$J,"MK-24")+SUMIFS('Таблиця 1'!$K:$K,'Таблиця 1'!$B:$B,$A194,'Таблиця 1'!$I:$I,"Су-25",'Таблиця 1'!$J:$J,"MK-24")+SUMIFS('Таблиця 1'!$K:$K,'Таблиця 1'!$B:$B,$A194,'Таблиця 1'!$I:$I,"Су-27",'Таблиця 1'!$J:$J,"MK-24"))</f>
        <v/>
      </c>
      <c r="R194">
        <f>IF($A194="","",COUNTIFS('Таблиця 1'!$B:$B,$A194,'Таблиця 1'!$I:$I,"Mirage",'Таблиця 1'!$L:$L,"Уражено")+COUNTIFS('Таблиця 1'!$B:$B,$A194,'Таблиця 1'!$I:$I,"F-16",'Таблиця 1'!$L:$L,"Уражено")+COUNTIFS('Таблиця 1'!$B:$B,$A194,'Таблиця 1'!$I:$I,"МіГ-29",'Таблиця 1'!$L:$L,"Уражено")+COUNTIFS('Таблиця 1'!$B:$B,$A194,'Таблиця 1'!$I:$I,"Су-25",'Таблиця 1'!$L:$L,"Уражено")+COUNTIFS('Таблиця 1'!$B:$B,$A194,'Таблиця 1'!$I:$I,"Су-27",'Таблиця 1'!$L:$L,"Уражено"))</f>
        <v/>
      </c>
      <c r="S194">
        <f>IF($A194="","",COUNTIFS('Таблиця 1'!$B:$B,$A194,'Таблиця 1'!$I:$I,"Mirage",'Таблиця 1'!$L:$L,"НЕ уражено")+COUNTIFS('Таблиця 1'!$B:$B,$A194,'Таблиця 1'!$I:$I,"F-16",'Таблиця 1'!$L:$L,"НЕ уражено")+COUNTIFS('Таблиця 1'!$B:$B,$A194,'Таблиця 1'!$I:$I,"МіГ-29",'Таблиця 1'!$L:$L,"НЕ уражено")+COUNTIFS('Таблиця 1'!$B:$B,$A194,'Таблиця 1'!$I:$I,"Су-25",'Таблиця 1'!$L:$L,"НЕ уражено")+COUNTIFS('Таблиця 1'!$B:$B,$A194,'Таблиця 1'!$I:$I,"Су-27",'Таблиця 1'!$L:$L,"НЕ уражено"))</f>
        <v/>
      </c>
      <c r="T194">
        <f>IF($A194="","",COUNTIFS('Таблиця 1'!$B:$B,$A194,'Таблиця 1'!$I:$I,"Mirage",'Таблиця 1'!$L:$L,"Дорозвідується")+COUNTIFS('Таблиця 1'!$B:$B,$A194,'Таблиця 1'!$I:$I,"F-16",'Таблиця 1'!$L:$L,"Дорозвідується")+COUNTIFS('Таблиця 1'!$B:$B,$A194,'Таблиця 1'!$I:$I,"МіГ-29",'Таблиця 1'!$L:$L,"Дорозвідується")+COUNTIFS('Таблиця 1'!$B:$B,$A194,'Таблиця 1'!$I:$I,"Су-25",'Таблиця 1'!$L:$L,"Дорозвідується")+COUNTIFS('Таблиця 1'!$B:$B,$A194,'Таблиця 1'!$I:$I,"Су-27",'Таблиця 1'!$L:$L,"Дорозвідується"))</f>
        <v/>
      </c>
    </row>
    <row r="195">
      <c r="A195" s="273">
        <f>IF(A194="","",IF(A194+1&gt;MAX('Таблиця 1'!$B:$B),"",A194+1))</f>
        <v/>
      </c>
      <c r="B195">
        <f>IF($A195="","",COUNTIFS('Таблиця 1'!$B:$B,$A195,'Таблиця 1'!$I:$I,"Mirage")+COUNTIFS('Таблиця 1'!$B:$B,$A195,'Таблиця 1'!$I:$I,"F-16")+COUNTIFS('Таблиця 1'!$B:$B,$A195,'Таблиця 1'!$I:$I,"МіГ-29")+COUNTIFS('Таблиця 1'!$B:$B,$A195,'Таблиця 1'!$I:$I,"Су-25")+COUNTIFS('Таблиця 1'!$B:$B,$A195,'Таблиця 1'!$I:$I,"Су-27"))</f>
        <v/>
      </c>
      <c r="C195">
        <f>IF($A195="","",COUNTIFS('Таблиця 1'!$B:$B,$A195,'Таблиця 1'!$I:$I,"Mirage"))</f>
        <v/>
      </c>
      <c r="D195">
        <f>IF($A195="","",COUNTIFS('Таблиця 1'!$B:$B,$A195,'Таблиця 1'!$I:$I,"F-16"))</f>
        <v/>
      </c>
      <c r="E195">
        <f>IF($A195="","",COUNTIFS('Таблиця 1'!$B:$B,$A195,'Таблиця 1'!$I:$I,"МіГ-29"))</f>
        <v/>
      </c>
      <c r="F195">
        <f>IF($A195="","",COUNTIFS('Таблиця 1'!$B:$B,$A195,'Таблиця 1'!$I:$I,"Су-25"))</f>
        <v/>
      </c>
      <c r="G195">
        <f>IF($A195="","",COUNTIFS('Таблиця 1'!$B:$B,$A195,'Таблиця 1'!$I:$I,"Су-27"))</f>
        <v/>
      </c>
      <c r="H195">
        <f>IF($A195="","",SUMIFS('Таблиця 1'!$K:$K,'Таблиця 1'!$B:$B,$A195,'Таблиця 1'!$I:$I,"Mirage",'Таблиця 1'!$J:$J,"AGM-88")+SUMIFS('Таблиця 1'!$K:$K,'Таблиця 1'!$B:$B,$A195,'Таблиця 1'!$I:$I,"F-16",'Таблиця 1'!$J:$J,"AGM-88")+SUMIFS('Таблиця 1'!$K:$K,'Таблиця 1'!$B:$B,$A195,'Таблиця 1'!$I:$I,"МіГ-29",'Таблиця 1'!$J:$J,"AGM-88")+SUMIFS('Таблиця 1'!$K:$K,'Таблиця 1'!$B:$B,$A195,'Таблиця 1'!$I:$I,"Су-25",'Таблиця 1'!$J:$J,"AGM-88")+SUMIFS('Таблиця 1'!$K:$K,'Таблиця 1'!$B:$B,$A195,'Таблиця 1'!$I:$I,"Су-27",'Таблиця 1'!$J:$J,"AGM-88"))</f>
        <v/>
      </c>
      <c r="I195">
        <f>IF($A195="","",SUMIFS('Таблиця 1'!$K:$K,'Таблиця 1'!$B:$B,$A195,'Таблиця 1'!$I:$I,"Mirage",'Таблиця 1'!$J:$J,"AASM-250")+SUMIFS('Таблиця 1'!$K:$K,'Таблиця 1'!$B:$B,$A195,'Таблиця 1'!$I:$I,"F-16",'Таблиця 1'!$J:$J,"AASM-250")+SUMIFS('Таблиця 1'!$K:$K,'Таблиця 1'!$B:$B,$A195,'Таблиця 1'!$I:$I,"МіГ-29",'Таблиця 1'!$J:$J,"AASM-250")+SUMIFS('Таблиця 1'!$K:$K,'Таблиця 1'!$B:$B,$A195,'Таблиця 1'!$I:$I,"Су-25",'Таблиця 1'!$J:$J,"AASM-250")+SUMIFS('Таблиця 1'!$K:$K,'Таблиця 1'!$B:$B,$A195,'Таблиця 1'!$I:$I,"Су-27",'Таблиця 1'!$J:$J,"AASM-250"))</f>
        <v/>
      </c>
      <c r="J195">
        <f>IF($A195="","",SUMIFS('Таблиця 1'!$K:$K,'Таблиця 1'!$B:$B,$A195,'Таблиця 1'!$I:$I,"Mirage",'Таблиця 1'!$J:$J,"GBU-39")+SUMIFS('Таблиця 1'!$K:$K,'Таблиця 1'!$B:$B,$A195,'Таблиця 1'!$I:$I,"F-16",'Таблиця 1'!$J:$J,"GBU-39")+SUMIFS('Таблиця 1'!$K:$K,'Таблиця 1'!$B:$B,$A195,'Таблиця 1'!$I:$I,"МіГ-29",'Таблиця 1'!$J:$J,"GBU-39")+SUMIFS('Таблиця 1'!$K:$K,'Таблиця 1'!$B:$B,$A195,'Таблиця 1'!$I:$I,"Су-25",'Таблиця 1'!$J:$J,"GBU-39")+SUMIFS('Таблиця 1'!$K:$K,'Таблиця 1'!$B:$B,$A195,'Таблиця 1'!$I:$I,"Су-27",'Таблиця 1'!$J:$J,"GBU-39"))</f>
        <v/>
      </c>
      <c r="K195">
        <f>IF($A195="","",SUMIFS('Таблиця 1'!$K:$K,'Таблиця 1'!$B:$B,$A195,'Таблиця 1'!$I:$I,"Mirage",'Таблиця 1'!$J:$J,"BLU-140")+SUMIFS('Таблиця 1'!$K:$K,'Таблиця 1'!$B:$B,$A195,'Таблиця 1'!$I:$I,"F-16",'Таблиця 1'!$J:$J,"BLU-140")+SUMIFS('Таблиця 1'!$K:$K,'Таблиця 1'!$B:$B,$A195,'Таблиця 1'!$I:$I,"МіГ-29",'Таблиця 1'!$J:$J,"BLU-140")+SUMIFS('Таблиця 1'!$K:$K,'Таблиця 1'!$B:$B,$A195,'Таблиця 1'!$I:$I,"Су-25",'Таблиця 1'!$J:$J,"BLU-140")+SUMIFS('Таблиця 1'!$K:$K,'Таблиця 1'!$B:$B,$A195,'Таблиця 1'!$I:$I,"Су-27",'Таблиця 1'!$J:$J,"BLU-140"))</f>
        <v/>
      </c>
      <c r="L195">
        <f>IF($A195="","",SUMIFS('Таблиця 1'!$K:$K,'Таблиця 1'!$B:$B,$A195,'Таблиця 1'!$I:$I,"Mirage",'Таблиця 1'!$J:$J,"GBU-65")+SUMIFS('Таблиця 1'!$K:$K,'Таблиця 1'!$B:$B,$A195,'Таблиця 1'!$I:$I,"F-16",'Таблиця 1'!$J:$J,"GBU-65")+SUMIFS('Таблиця 1'!$K:$K,'Таблиця 1'!$B:$B,$A195,'Таблиця 1'!$I:$I,"МіГ-29",'Таблиця 1'!$J:$J,"GBU-65")+SUMIFS('Таблиця 1'!$K:$K,'Таблиця 1'!$B:$B,$A195,'Таблиця 1'!$I:$I,"Су-25",'Таблиця 1'!$J:$J,"GBU-65")+SUMIFS('Таблиця 1'!$K:$K,'Таблиця 1'!$B:$B,$A195,'Таблиця 1'!$I:$I,"Су-27",'Таблиця 1'!$J:$J,"GBU-65"))</f>
        <v/>
      </c>
      <c r="M195">
        <f>IF($A195="","",SUMIFS('Таблиця 1'!$K:$K,'Таблиця 1'!$B:$B,$A195,'Таблиця 1'!$I:$I,"Mirage",'Таблиця 1'!$J:$J,"GBU-62")+SUMIFS('Таблиця 1'!$K:$K,'Таблиця 1'!$B:$B,$A195,'Таблиця 1'!$I:$I,"F-16",'Таблиця 1'!$J:$J,"GBU-62")+SUMIFS('Таблиця 1'!$K:$K,'Таблиця 1'!$B:$B,$A195,'Таблиця 1'!$I:$I,"МіГ-29",'Таблиця 1'!$J:$J,"GBU-62")+SUMIFS('Таблиця 1'!$K:$K,'Таблиця 1'!$B:$B,$A195,'Таблиця 1'!$I:$I,"Су-25",'Таблиця 1'!$J:$J,"GBU-62")+SUMIFS('Таблиця 1'!$K:$K,'Таблиця 1'!$B:$B,$A195,'Таблиця 1'!$I:$I,"Су-27",'Таблиця 1'!$J:$J,"GBU-62"))</f>
        <v/>
      </c>
      <c r="N195">
        <f>IF($A195="","",SUMIFS('Таблиця 1'!$K:$K,'Таблиця 1'!$B:$B,$A195,'Таблиця 1'!$I:$I,"Mirage",'Таблиця 1'!$J:$J,"GBU-64")+SUMIFS('Таблиця 1'!$K:$K,'Таблиця 1'!$B:$B,$A195,'Таблиця 1'!$I:$I,"F-16",'Таблиця 1'!$J:$J,"GBU-64")+SUMIFS('Таблиця 1'!$K:$K,'Таблиця 1'!$B:$B,$A195,'Таблиця 1'!$I:$I,"МіГ-29",'Таблиця 1'!$J:$J,"GBU-64")+SUMIFS('Таблиця 1'!$K:$K,'Таблиця 1'!$B:$B,$A195,'Таблиця 1'!$I:$I,"Су-25",'Таблиця 1'!$J:$J,"GBU-64")+SUMIFS('Таблиця 1'!$K:$K,'Таблиця 1'!$B:$B,$A195,'Таблиця 1'!$I:$I,"Су-27",'Таблиця 1'!$J:$J,"GBU-64"))</f>
        <v/>
      </c>
      <c r="O195">
        <f>IF($A195="","",SUMIFS('Таблиця 1'!$K:$K,'Таблиця 1'!$B:$B,$A195,'Таблиця 1'!$I:$I,"Mirage",'Таблиця 1'!$J:$J,"C-13")+SUMIFS('Таблиця 1'!$K:$K,'Таблиця 1'!$B:$B,$A195,'Таблиця 1'!$I:$I,"F-16",'Таблиця 1'!$J:$J,"C-13")+SUMIFS('Таблиця 1'!$K:$K,'Таблиця 1'!$B:$B,$A195,'Таблиця 1'!$I:$I,"МіГ-29",'Таблиця 1'!$J:$J,"C-13")+SUMIFS('Таблиця 1'!$K:$K,'Таблиця 1'!$B:$B,$A195,'Таблиця 1'!$I:$I,"Су-25",'Таблиця 1'!$J:$J,"C-13")+SUMIFS('Таблиця 1'!$K:$K,'Таблиця 1'!$B:$B,$A195,'Таблиця 1'!$I:$I,"Су-27",'Таблиця 1'!$J:$J,"C-13"))</f>
        <v/>
      </c>
      <c r="P195">
        <f>IF($A195="","",SUMIFS('Таблиця 1'!$K:$K,'Таблиця 1'!$B:$B,$A195,'Таблиця 1'!$I:$I,"Mirage",'Таблиця 1'!$J:$J,"MK-32")+SUMIFS('Таблиця 1'!$K:$K,'Таблиця 1'!$B:$B,$A195,'Таблиця 1'!$I:$I,"F-16",'Таблиця 1'!$J:$J,"MK-32")+SUMIFS('Таблиця 1'!$K:$K,'Таблиця 1'!$B:$B,$A195,'Таблиця 1'!$I:$I,"МіГ-29",'Таблиця 1'!$J:$J,"MK-32")+SUMIFS('Таблиця 1'!$K:$K,'Таблиця 1'!$B:$B,$A195,'Таблиця 1'!$I:$I,"Су-25",'Таблиця 1'!$J:$J,"MK-32")+SUMIFS('Таблиця 1'!$K:$K,'Таблиця 1'!$B:$B,$A195,'Таблиця 1'!$I:$I,"Су-27",'Таблиця 1'!$J:$J,"MK-32"))</f>
        <v/>
      </c>
      <c r="Q195">
        <f>IF($A195="","",SUMIFS('Таблиця 1'!$K:$K,'Таблиця 1'!$B:$B,$A195,'Таблиця 1'!$I:$I,"Mirage",'Таблиця 1'!$J:$J,"MK-24")+SUMIFS('Таблиця 1'!$K:$K,'Таблиця 1'!$B:$B,$A195,'Таблиця 1'!$I:$I,"F-16",'Таблиця 1'!$J:$J,"MK-24")+SUMIFS('Таблиця 1'!$K:$K,'Таблиця 1'!$B:$B,$A195,'Таблиця 1'!$I:$I,"МіГ-29",'Таблиця 1'!$J:$J,"MK-24")+SUMIFS('Таблиця 1'!$K:$K,'Таблиця 1'!$B:$B,$A195,'Таблиця 1'!$I:$I,"Су-25",'Таблиця 1'!$J:$J,"MK-24")+SUMIFS('Таблиця 1'!$K:$K,'Таблиця 1'!$B:$B,$A195,'Таблиця 1'!$I:$I,"Су-27",'Таблиця 1'!$J:$J,"MK-24"))</f>
        <v/>
      </c>
      <c r="R195">
        <f>IF($A195="","",COUNTIFS('Таблиця 1'!$B:$B,$A195,'Таблиця 1'!$I:$I,"Mirage",'Таблиця 1'!$L:$L,"Уражено")+COUNTIFS('Таблиця 1'!$B:$B,$A195,'Таблиця 1'!$I:$I,"F-16",'Таблиця 1'!$L:$L,"Уражено")+COUNTIFS('Таблиця 1'!$B:$B,$A195,'Таблиця 1'!$I:$I,"МіГ-29",'Таблиця 1'!$L:$L,"Уражено")+COUNTIFS('Таблиця 1'!$B:$B,$A195,'Таблиця 1'!$I:$I,"Су-25",'Таблиця 1'!$L:$L,"Уражено")+COUNTIFS('Таблиця 1'!$B:$B,$A195,'Таблиця 1'!$I:$I,"Су-27",'Таблиця 1'!$L:$L,"Уражено"))</f>
        <v/>
      </c>
      <c r="S195">
        <f>IF($A195="","",COUNTIFS('Таблиця 1'!$B:$B,$A195,'Таблиця 1'!$I:$I,"Mirage",'Таблиця 1'!$L:$L,"НЕ уражено")+COUNTIFS('Таблиця 1'!$B:$B,$A195,'Таблиця 1'!$I:$I,"F-16",'Таблиця 1'!$L:$L,"НЕ уражено")+COUNTIFS('Таблиця 1'!$B:$B,$A195,'Таблиця 1'!$I:$I,"МіГ-29",'Таблиця 1'!$L:$L,"НЕ уражено")+COUNTIFS('Таблиця 1'!$B:$B,$A195,'Таблиця 1'!$I:$I,"Су-25",'Таблиця 1'!$L:$L,"НЕ уражено")+COUNTIFS('Таблиця 1'!$B:$B,$A195,'Таблиця 1'!$I:$I,"Су-27",'Таблиця 1'!$L:$L,"НЕ уражено"))</f>
        <v/>
      </c>
      <c r="T195">
        <f>IF($A195="","",COUNTIFS('Таблиця 1'!$B:$B,$A195,'Таблиця 1'!$I:$I,"Mirage",'Таблиця 1'!$L:$L,"Дорозвідується")+COUNTIFS('Таблиця 1'!$B:$B,$A195,'Таблиця 1'!$I:$I,"F-16",'Таблиця 1'!$L:$L,"Дорозвідується")+COUNTIFS('Таблиця 1'!$B:$B,$A195,'Таблиця 1'!$I:$I,"МіГ-29",'Таблиця 1'!$L:$L,"Дорозвідується")+COUNTIFS('Таблиця 1'!$B:$B,$A195,'Таблиця 1'!$I:$I,"Су-25",'Таблиця 1'!$L:$L,"Дорозвідується")+COUNTIFS('Таблиця 1'!$B:$B,$A195,'Таблиця 1'!$I:$I,"Су-27",'Таблиця 1'!$L:$L,"Дорозвідується"))</f>
        <v/>
      </c>
    </row>
    <row r="196">
      <c r="A196" s="273">
        <f>IF(A195="","",IF(A195+1&gt;MAX('Таблиця 1'!$B:$B),"",A195+1))</f>
        <v/>
      </c>
      <c r="B196">
        <f>IF($A196="","",COUNTIFS('Таблиця 1'!$B:$B,$A196,'Таблиця 1'!$I:$I,"Mirage")+COUNTIFS('Таблиця 1'!$B:$B,$A196,'Таблиця 1'!$I:$I,"F-16")+COUNTIFS('Таблиця 1'!$B:$B,$A196,'Таблиця 1'!$I:$I,"МіГ-29")+COUNTIFS('Таблиця 1'!$B:$B,$A196,'Таблиця 1'!$I:$I,"Су-25")+COUNTIFS('Таблиця 1'!$B:$B,$A196,'Таблиця 1'!$I:$I,"Су-27"))</f>
        <v/>
      </c>
      <c r="C196">
        <f>IF($A196="","",COUNTIFS('Таблиця 1'!$B:$B,$A196,'Таблиця 1'!$I:$I,"Mirage"))</f>
        <v/>
      </c>
      <c r="D196">
        <f>IF($A196="","",COUNTIFS('Таблиця 1'!$B:$B,$A196,'Таблиця 1'!$I:$I,"F-16"))</f>
        <v/>
      </c>
      <c r="E196">
        <f>IF($A196="","",COUNTIFS('Таблиця 1'!$B:$B,$A196,'Таблиця 1'!$I:$I,"МіГ-29"))</f>
        <v/>
      </c>
      <c r="F196">
        <f>IF($A196="","",COUNTIFS('Таблиця 1'!$B:$B,$A196,'Таблиця 1'!$I:$I,"Су-25"))</f>
        <v/>
      </c>
      <c r="G196">
        <f>IF($A196="","",COUNTIFS('Таблиця 1'!$B:$B,$A196,'Таблиця 1'!$I:$I,"Су-27"))</f>
        <v/>
      </c>
      <c r="H196">
        <f>IF($A196="","",SUMIFS('Таблиця 1'!$K:$K,'Таблиця 1'!$B:$B,$A196,'Таблиця 1'!$I:$I,"Mirage",'Таблиця 1'!$J:$J,"AGM-88")+SUMIFS('Таблиця 1'!$K:$K,'Таблиця 1'!$B:$B,$A196,'Таблиця 1'!$I:$I,"F-16",'Таблиця 1'!$J:$J,"AGM-88")+SUMIFS('Таблиця 1'!$K:$K,'Таблиця 1'!$B:$B,$A196,'Таблиця 1'!$I:$I,"МіГ-29",'Таблиця 1'!$J:$J,"AGM-88")+SUMIFS('Таблиця 1'!$K:$K,'Таблиця 1'!$B:$B,$A196,'Таблиця 1'!$I:$I,"Су-25",'Таблиця 1'!$J:$J,"AGM-88")+SUMIFS('Таблиця 1'!$K:$K,'Таблиця 1'!$B:$B,$A196,'Таблиця 1'!$I:$I,"Су-27",'Таблиця 1'!$J:$J,"AGM-88"))</f>
        <v/>
      </c>
      <c r="I196">
        <f>IF($A196="","",SUMIFS('Таблиця 1'!$K:$K,'Таблиця 1'!$B:$B,$A196,'Таблиця 1'!$I:$I,"Mirage",'Таблиця 1'!$J:$J,"AASM-250")+SUMIFS('Таблиця 1'!$K:$K,'Таблиця 1'!$B:$B,$A196,'Таблиця 1'!$I:$I,"F-16",'Таблиця 1'!$J:$J,"AASM-250")+SUMIFS('Таблиця 1'!$K:$K,'Таблиця 1'!$B:$B,$A196,'Таблиця 1'!$I:$I,"МіГ-29",'Таблиця 1'!$J:$J,"AASM-250")+SUMIFS('Таблиця 1'!$K:$K,'Таблиця 1'!$B:$B,$A196,'Таблиця 1'!$I:$I,"Су-25",'Таблиця 1'!$J:$J,"AASM-250")+SUMIFS('Таблиця 1'!$K:$K,'Таблиця 1'!$B:$B,$A196,'Таблиця 1'!$I:$I,"Су-27",'Таблиця 1'!$J:$J,"AASM-250"))</f>
        <v/>
      </c>
      <c r="J196">
        <f>IF($A196="","",SUMIFS('Таблиця 1'!$K:$K,'Таблиця 1'!$B:$B,$A196,'Таблиця 1'!$I:$I,"Mirage",'Таблиця 1'!$J:$J,"GBU-39")+SUMIFS('Таблиця 1'!$K:$K,'Таблиця 1'!$B:$B,$A196,'Таблиця 1'!$I:$I,"F-16",'Таблиця 1'!$J:$J,"GBU-39")+SUMIFS('Таблиця 1'!$K:$K,'Таблиця 1'!$B:$B,$A196,'Таблиця 1'!$I:$I,"МіГ-29",'Таблиця 1'!$J:$J,"GBU-39")+SUMIFS('Таблиця 1'!$K:$K,'Таблиця 1'!$B:$B,$A196,'Таблиця 1'!$I:$I,"Су-25",'Таблиця 1'!$J:$J,"GBU-39")+SUMIFS('Таблиця 1'!$K:$K,'Таблиця 1'!$B:$B,$A196,'Таблиця 1'!$I:$I,"Су-27",'Таблиця 1'!$J:$J,"GBU-39"))</f>
        <v/>
      </c>
      <c r="K196">
        <f>IF($A196="","",SUMIFS('Таблиця 1'!$K:$K,'Таблиця 1'!$B:$B,$A196,'Таблиця 1'!$I:$I,"Mirage",'Таблиця 1'!$J:$J,"BLU-140")+SUMIFS('Таблиця 1'!$K:$K,'Таблиця 1'!$B:$B,$A196,'Таблиця 1'!$I:$I,"F-16",'Таблиця 1'!$J:$J,"BLU-140")+SUMIFS('Таблиця 1'!$K:$K,'Таблиця 1'!$B:$B,$A196,'Таблиця 1'!$I:$I,"МіГ-29",'Таблиця 1'!$J:$J,"BLU-140")+SUMIFS('Таблиця 1'!$K:$K,'Таблиця 1'!$B:$B,$A196,'Таблиця 1'!$I:$I,"Су-25",'Таблиця 1'!$J:$J,"BLU-140")+SUMIFS('Таблиця 1'!$K:$K,'Таблиця 1'!$B:$B,$A196,'Таблиця 1'!$I:$I,"Су-27",'Таблиця 1'!$J:$J,"BLU-140"))</f>
        <v/>
      </c>
      <c r="L196">
        <f>IF($A196="","",SUMIFS('Таблиця 1'!$K:$K,'Таблиця 1'!$B:$B,$A196,'Таблиця 1'!$I:$I,"Mirage",'Таблиця 1'!$J:$J,"GBU-65")+SUMIFS('Таблиця 1'!$K:$K,'Таблиця 1'!$B:$B,$A196,'Таблиця 1'!$I:$I,"F-16",'Таблиця 1'!$J:$J,"GBU-65")+SUMIFS('Таблиця 1'!$K:$K,'Таблиця 1'!$B:$B,$A196,'Таблиця 1'!$I:$I,"МіГ-29",'Таблиця 1'!$J:$J,"GBU-65")+SUMIFS('Таблиця 1'!$K:$K,'Таблиця 1'!$B:$B,$A196,'Таблиця 1'!$I:$I,"Су-25",'Таблиця 1'!$J:$J,"GBU-65")+SUMIFS('Таблиця 1'!$K:$K,'Таблиця 1'!$B:$B,$A196,'Таблиця 1'!$I:$I,"Су-27",'Таблиця 1'!$J:$J,"GBU-65"))</f>
        <v/>
      </c>
      <c r="M196">
        <f>IF($A196="","",SUMIFS('Таблиця 1'!$K:$K,'Таблиця 1'!$B:$B,$A196,'Таблиця 1'!$I:$I,"Mirage",'Таблиця 1'!$J:$J,"GBU-62")+SUMIFS('Таблиця 1'!$K:$K,'Таблиця 1'!$B:$B,$A196,'Таблиця 1'!$I:$I,"F-16",'Таблиця 1'!$J:$J,"GBU-62")+SUMIFS('Таблиця 1'!$K:$K,'Таблиця 1'!$B:$B,$A196,'Таблиця 1'!$I:$I,"МіГ-29",'Таблиця 1'!$J:$J,"GBU-62")+SUMIFS('Таблиця 1'!$K:$K,'Таблиця 1'!$B:$B,$A196,'Таблиця 1'!$I:$I,"Су-25",'Таблиця 1'!$J:$J,"GBU-62")+SUMIFS('Таблиця 1'!$K:$K,'Таблиця 1'!$B:$B,$A196,'Таблиця 1'!$I:$I,"Су-27",'Таблиця 1'!$J:$J,"GBU-62"))</f>
        <v/>
      </c>
      <c r="N196">
        <f>IF($A196="","",SUMIFS('Таблиця 1'!$K:$K,'Таблиця 1'!$B:$B,$A196,'Таблиця 1'!$I:$I,"Mirage",'Таблиця 1'!$J:$J,"GBU-64")+SUMIFS('Таблиця 1'!$K:$K,'Таблиця 1'!$B:$B,$A196,'Таблиця 1'!$I:$I,"F-16",'Таблиця 1'!$J:$J,"GBU-64")+SUMIFS('Таблиця 1'!$K:$K,'Таблиця 1'!$B:$B,$A196,'Таблиця 1'!$I:$I,"МіГ-29",'Таблиця 1'!$J:$J,"GBU-64")+SUMIFS('Таблиця 1'!$K:$K,'Таблиця 1'!$B:$B,$A196,'Таблиця 1'!$I:$I,"Су-25",'Таблиця 1'!$J:$J,"GBU-64")+SUMIFS('Таблиця 1'!$K:$K,'Таблиця 1'!$B:$B,$A196,'Таблиця 1'!$I:$I,"Су-27",'Таблиця 1'!$J:$J,"GBU-64"))</f>
        <v/>
      </c>
      <c r="O196">
        <f>IF($A196="","",SUMIFS('Таблиця 1'!$K:$K,'Таблиця 1'!$B:$B,$A196,'Таблиця 1'!$I:$I,"Mirage",'Таблиця 1'!$J:$J,"C-13")+SUMIFS('Таблиця 1'!$K:$K,'Таблиця 1'!$B:$B,$A196,'Таблиця 1'!$I:$I,"F-16",'Таблиця 1'!$J:$J,"C-13")+SUMIFS('Таблиця 1'!$K:$K,'Таблиця 1'!$B:$B,$A196,'Таблиця 1'!$I:$I,"МіГ-29",'Таблиця 1'!$J:$J,"C-13")+SUMIFS('Таблиця 1'!$K:$K,'Таблиця 1'!$B:$B,$A196,'Таблиця 1'!$I:$I,"Су-25",'Таблиця 1'!$J:$J,"C-13")+SUMIFS('Таблиця 1'!$K:$K,'Таблиця 1'!$B:$B,$A196,'Таблиця 1'!$I:$I,"Су-27",'Таблиця 1'!$J:$J,"C-13"))</f>
        <v/>
      </c>
      <c r="P196">
        <f>IF($A196="","",SUMIFS('Таблиця 1'!$K:$K,'Таблиця 1'!$B:$B,$A196,'Таблиця 1'!$I:$I,"Mirage",'Таблиця 1'!$J:$J,"MK-32")+SUMIFS('Таблиця 1'!$K:$K,'Таблиця 1'!$B:$B,$A196,'Таблиця 1'!$I:$I,"F-16",'Таблиця 1'!$J:$J,"MK-32")+SUMIFS('Таблиця 1'!$K:$K,'Таблиця 1'!$B:$B,$A196,'Таблиця 1'!$I:$I,"МіГ-29",'Таблиця 1'!$J:$J,"MK-32")+SUMIFS('Таблиця 1'!$K:$K,'Таблиця 1'!$B:$B,$A196,'Таблиця 1'!$I:$I,"Су-25",'Таблиця 1'!$J:$J,"MK-32")+SUMIFS('Таблиця 1'!$K:$K,'Таблиця 1'!$B:$B,$A196,'Таблиця 1'!$I:$I,"Су-27",'Таблиця 1'!$J:$J,"MK-32"))</f>
        <v/>
      </c>
      <c r="Q196">
        <f>IF($A196="","",SUMIFS('Таблиця 1'!$K:$K,'Таблиця 1'!$B:$B,$A196,'Таблиця 1'!$I:$I,"Mirage",'Таблиця 1'!$J:$J,"MK-24")+SUMIFS('Таблиця 1'!$K:$K,'Таблиця 1'!$B:$B,$A196,'Таблиця 1'!$I:$I,"F-16",'Таблиця 1'!$J:$J,"MK-24")+SUMIFS('Таблиця 1'!$K:$K,'Таблиця 1'!$B:$B,$A196,'Таблиця 1'!$I:$I,"МіГ-29",'Таблиця 1'!$J:$J,"MK-24")+SUMIFS('Таблиця 1'!$K:$K,'Таблиця 1'!$B:$B,$A196,'Таблиця 1'!$I:$I,"Су-25",'Таблиця 1'!$J:$J,"MK-24")+SUMIFS('Таблиця 1'!$K:$K,'Таблиця 1'!$B:$B,$A196,'Таблиця 1'!$I:$I,"Су-27",'Таблиця 1'!$J:$J,"MK-24"))</f>
        <v/>
      </c>
      <c r="R196">
        <f>IF($A196="","",COUNTIFS('Таблиця 1'!$B:$B,$A196,'Таблиця 1'!$I:$I,"Mirage",'Таблиця 1'!$L:$L,"Уражено")+COUNTIFS('Таблиця 1'!$B:$B,$A196,'Таблиця 1'!$I:$I,"F-16",'Таблиця 1'!$L:$L,"Уражено")+COUNTIFS('Таблиця 1'!$B:$B,$A196,'Таблиця 1'!$I:$I,"МіГ-29",'Таблиця 1'!$L:$L,"Уражено")+COUNTIFS('Таблиця 1'!$B:$B,$A196,'Таблиця 1'!$I:$I,"Су-25",'Таблиця 1'!$L:$L,"Уражено")+COUNTIFS('Таблиця 1'!$B:$B,$A196,'Таблиця 1'!$I:$I,"Су-27",'Таблиця 1'!$L:$L,"Уражено"))</f>
        <v/>
      </c>
      <c r="S196">
        <f>IF($A196="","",COUNTIFS('Таблиця 1'!$B:$B,$A196,'Таблиця 1'!$I:$I,"Mirage",'Таблиця 1'!$L:$L,"НЕ уражено")+COUNTIFS('Таблиця 1'!$B:$B,$A196,'Таблиця 1'!$I:$I,"F-16",'Таблиця 1'!$L:$L,"НЕ уражено")+COUNTIFS('Таблиця 1'!$B:$B,$A196,'Таблиця 1'!$I:$I,"МіГ-29",'Таблиця 1'!$L:$L,"НЕ уражено")+COUNTIFS('Таблиця 1'!$B:$B,$A196,'Таблиця 1'!$I:$I,"Су-25",'Таблиця 1'!$L:$L,"НЕ уражено")+COUNTIFS('Таблиця 1'!$B:$B,$A196,'Таблиця 1'!$I:$I,"Су-27",'Таблиця 1'!$L:$L,"НЕ уражено"))</f>
        <v/>
      </c>
      <c r="T196">
        <f>IF($A196="","",COUNTIFS('Таблиця 1'!$B:$B,$A196,'Таблиця 1'!$I:$I,"Mirage",'Таблиця 1'!$L:$L,"Дорозвідується")+COUNTIFS('Таблиця 1'!$B:$B,$A196,'Таблиця 1'!$I:$I,"F-16",'Таблиця 1'!$L:$L,"Дорозвідується")+COUNTIFS('Таблиця 1'!$B:$B,$A196,'Таблиця 1'!$I:$I,"МіГ-29",'Таблиця 1'!$L:$L,"Дорозвідується")+COUNTIFS('Таблиця 1'!$B:$B,$A196,'Таблиця 1'!$I:$I,"Су-25",'Таблиця 1'!$L:$L,"Дорозвідується")+COUNTIFS('Таблиця 1'!$B:$B,$A196,'Таблиця 1'!$I:$I,"Су-27",'Таблиця 1'!$L:$L,"Дорозвідується"))</f>
        <v/>
      </c>
    </row>
    <row r="197">
      <c r="A197" s="273">
        <f>IF(A196="","",IF(A196+1&gt;MAX('Таблиця 1'!$B:$B),"",A196+1))</f>
        <v/>
      </c>
      <c r="B197">
        <f>IF($A197="","",COUNTIFS('Таблиця 1'!$B:$B,$A197,'Таблиця 1'!$I:$I,"Mirage")+COUNTIFS('Таблиця 1'!$B:$B,$A197,'Таблиця 1'!$I:$I,"F-16")+COUNTIFS('Таблиця 1'!$B:$B,$A197,'Таблиця 1'!$I:$I,"МіГ-29")+COUNTIFS('Таблиця 1'!$B:$B,$A197,'Таблиця 1'!$I:$I,"Су-25")+COUNTIFS('Таблиця 1'!$B:$B,$A197,'Таблиця 1'!$I:$I,"Су-27"))</f>
        <v/>
      </c>
      <c r="C197">
        <f>IF($A197="","",COUNTIFS('Таблиця 1'!$B:$B,$A197,'Таблиця 1'!$I:$I,"Mirage"))</f>
        <v/>
      </c>
      <c r="D197">
        <f>IF($A197="","",COUNTIFS('Таблиця 1'!$B:$B,$A197,'Таблиця 1'!$I:$I,"F-16"))</f>
        <v/>
      </c>
      <c r="E197">
        <f>IF($A197="","",COUNTIFS('Таблиця 1'!$B:$B,$A197,'Таблиця 1'!$I:$I,"МіГ-29"))</f>
        <v/>
      </c>
      <c r="F197">
        <f>IF($A197="","",COUNTIFS('Таблиця 1'!$B:$B,$A197,'Таблиця 1'!$I:$I,"Су-25"))</f>
        <v/>
      </c>
      <c r="G197">
        <f>IF($A197="","",COUNTIFS('Таблиця 1'!$B:$B,$A197,'Таблиця 1'!$I:$I,"Су-27"))</f>
        <v/>
      </c>
      <c r="H197">
        <f>IF($A197="","",SUMIFS('Таблиця 1'!$K:$K,'Таблиця 1'!$B:$B,$A197,'Таблиця 1'!$I:$I,"Mirage",'Таблиця 1'!$J:$J,"AGM-88")+SUMIFS('Таблиця 1'!$K:$K,'Таблиця 1'!$B:$B,$A197,'Таблиця 1'!$I:$I,"F-16",'Таблиця 1'!$J:$J,"AGM-88")+SUMIFS('Таблиця 1'!$K:$K,'Таблиця 1'!$B:$B,$A197,'Таблиця 1'!$I:$I,"МіГ-29",'Таблиця 1'!$J:$J,"AGM-88")+SUMIFS('Таблиця 1'!$K:$K,'Таблиця 1'!$B:$B,$A197,'Таблиця 1'!$I:$I,"Су-25",'Таблиця 1'!$J:$J,"AGM-88")+SUMIFS('Таблиця 1'!$K:$K,'Таблиця 1'!$B:$B,$A197,'Таблиця 1'!$I:$I,"Су-27",'Таблиця 1'!$J:$J,"AGM-88"))</f>
        <v/>
      </c>
      <c r="I197">
        <f>IF($A197="","",SUMIFS('Таблиця 1'!$K:$K,'Таблиця 1'!$B:$B,$A197,'Таблиця 1'!$I:$I,"Mirage",'Таблиця 1'!$J:$J,"AASM-250")+SUMIFS('Таблиця 1'!$K:$K,'Таблиця 1'!$B:$B,$A197,'Таблиця 1'!$I:$I,"F-16",'Таблиця 1'!$J:$J,"AASM-250")+SUMIFS('Таблиця 1'!$K:$K,'Таблиця 1'!$B:$B,$A197,'Таблиця 1'!$I:$I,"МіГ-29",'Таблиця 1'!$J:$J,"AASM-250")+SUMIFS('Таблиця 1'!$K:$K,'Таблиця 1'!$B:$B,$A197,'Таблиця 1'!$I:$I,"Су-25",'Таблиця 1'!$J:$J,"AASM-250")+SUMIFS('Таблиця 1'!$K:$K,'Таблиця 1'!$B:$B,$A197,'Таблиця 1'!$I:$I,"Су-27",'Таблиця 1'!$J:$J,"AASM-250"))</f>
        <v/>
      </c>
      <c r="J197">
        <f>IF($A197="","",SUMIFS('Таблиця 1'!$K:$K,'Таблиця 1'!$B:$B,$A197,'Таблиця 1'!$I:$I,"Mirage",'Таблиця 1'!$J:$J,"GBU-39")+SUMIFS('Таблиця 1'!$K:$K,'Таблиця 1'!$B:$B,$A197,'Таблиця 1'!$I:$I,"F-16",'Таблиця 1'!$J:$J,"GBU-39")+SUMIFS('Таблиця 1'!$K:$K,'Таблиця 1'!$B:$B,$A197,'Таблиця 1'!$I:$I,"МіГ-29",'Таблиця 1'!$J:$J,"GBU-39")+SUMIFS('Таблиця 1'!$K:$K,'Таблиця 1'!$B:$B,$A197,'Таблиця 1'!$I:$I,"Су-25",'Таблиця 1'!$J:$J,"GBU-39")+SUMIFS('Таблиця 1'!$K:$K,'Таблиця 1'!$B:$B,$A197,'Таблиця 1'!$I:$I,"Су-27",'Таблиця 1'!$J:$J,"GBU-39"))</f>
        <v/>
      </c>
      <c r="K197">
        <f>IF($A197="","",SUMIFS('Таблиця 1'!$K:$K,'Таблиця 1'!$B:$B,$A197,'Таблиця 1'!$I:$I,"Mirage",'Таблиця 1'!$J:$J,"BLU-140")+SUMIFS('Таблиця 1'!$K:$K,'Таблиця 1'!$B:$B,$A197,'Таблиця 1'!$I:$I,"F-16",'Таблиця 1'!$J:$J,"BLU-140")+SUMIFS('Таблиця 1'!$K:$K,'Таблиця 1'!$B:$B,$A197,'Таблиця 1'!$I:$I,"МіГ-29",'Таблиця 1'!$J:$J,"BLU-140")+SUMIFS('Таблиця 1'!$K:$K,'Таблиця 1'!$B:$B,$A197,'Таблиця 1'!$I:$I,"Су-25",'Таблиця 1'!$J:$J,"BLU-140")+SUMIFS('Таблиця 1'!$K:$K,'Таблиця 1'!$B:$B,$A197,'Таблиця 1'!$I:$I,"Су-27",'Таблиця 1'!$J:$J,"BLU-140"))</f>
        <v/>
      </c>
      <c r="L197">
        <f>IF($A197="","",SUMIFS('Таблиця 1'!$K:$K,'Таблиця 1'!$B:$B,$A197,'Таблиця 1'!$I:$I,"Mirage",'Таблиця 1'!$J:$J,"GBU-65")+SUMIFS('Таблиця 1'!$K:$K,'Таблиця 1'!$B:$B,$A197,'Таблиця 1'!$I:$I,"F-16",'Таблиця 1'!$J:$J,"GBU-65")+SUMIFS('Таблиця 1'!$K:$K,'Таблиця 1'!$B:$B,$A197,'Таблиця 1'!$I:$I,"МіГ-29",'Таблиця 1'!$J:$J,"GBU-65")+SUMIFS('Таблиця 1'!$K:$K,'Таблиця 1'!$B:$B,$A197,'Таблиця 1'!$I:$I,"Су-25",'Таблиця 1'!$J:$J,"GBU-65")+SUMIFS('Таблиця 1'!$K:$K,'Таблиця 1'!$B:$B,$A197,'Таблиця 1'!$I:$I,"Су-27",'Таблиця 1'!$J:$J,"GBU-65"))</f>
        <v/>
      </c>
      <c r="M197">
        <f>IF($A197="","",SUMIFS('Таблиця 1'!$K:$K,'Таблиця 1'!$B:$B,$A197,'Таблиця 1'!$I:$I,"Mirage",'Таблиця 1'!$J:$J,"GBU-62")+SUMIFS('Таблиця 1'!$K:$K,'Таблиця 1'!$B:$B,$A197,'Таблиця 1'!$I:$I,"F-16",'Таблиця 1'!$J:$J,"GBU-62")+SUMIFS('Таблиця 1'!$K:$K,'Таблиця 1'!$B:$B,$A197,'Таблиця 1'!$I:$I,"МіГ-29",'Таблиця 1'!$J:$J,"GBU-62")+SUMIFS('Таблиця 1'!$K:$K,'Таблиця 1'!$B:$B,$A197,'Таблиця 1'!$I:$I,"Су-25",'Таблиця 1'!$J:$J,"GBU-62")+SUMIFS('Таблиця 1'!$K:$K,'Таблиця 1'!$B:$B,$A197,'Таблиця 1'!$I:$I,"Су-27",'Таблиця 1'!$J:$J,"GBU-62"))</f>
        <v/>
      </c>
      <c r="N197">
        <f>IF($A197="","",SUMIFS('Таблиця 1'!$K:$K,'Таблиця 1'!$B:$B,$A197,'Таблиця 1'!$I:$I,"Mirage",'Таблиця 1'!$J:$J,"GBU-64")+SUMIFS('Таблиця 1'!$K:$K,'Таблиця 1'!$B:$B,$A197,'Таблиця 1'!$I:$I,"F-16",'Таблиця 1'!$J:$J,"GBU-64")+SUMIFS('Таблиця 1'!$K:$K,'Таблиця 1'!$B:$B,$A197,'Таблиця 1'!$I:$I,"МіГ-29",'Таблиця 1'!$J:$J,"GBU-64")+SUMIFS('Таблиця 1'!$K:$K,'Таблиця 1'!$B:$B,$A197,'Таблиця 1'!$I:$I,"Су-25",'Таблиця 1'!$J:$J,"GBU-64")+SUMIFS('Таблиця 1'!$K:$K,'Таблиця 1'!$B:$B,$A197,'Таблиця 1'!$I:$I,"Су-27",'Таблиця 1'!$J:$J,"GBU-64"))</f>
        <v/>
      </c>
      <c r="O197">
        <f>IF($A197="","",SUMIFS('Таблиця 1'!$K:$K,'Таблиця 1'!$B:$B,$A197,'Таблиця 1'!$I:$I,"Mirage",'Таблиця 1'!$J:$J,"C-13")+SUMIFS('Таблиця 1'!$K:$K,'Таблиця 1'!$B:$B,$A197,'Таблиця 1'!$I:$I,"F-16",'Таблиця 1'!$J:$J,"C-13")+SUMIFS('Таблиця 1'!$K:$K,'Таблиця 1'!$B:$B,$A197,'Таблиця 1'!$I:$I,"МіГ-29",'Таблиця 1'!$J:$J,"C-13")+SUMIFS('Таблиця 1'!$K:$K,'Таблиця 1'!$B:$B,$A197,'Таблиця 1'!$I:$I,"Су-25",'Таблиця 1'!$J:$J,"C-13")+SUMIFS('Таблиця 1'!$K:$K,'Таблиця 1'!$B:$B,$A197,'Таблиця 1'!$I:$I,"Су-27",'Таблиця 1'!$J:$J,"C-13"))</f>
        <v/>
      </c>
      <c r="P197">
        <f>IF($A197="","",SUMIFS('Таблиця 1'!$K:$K,'Таблиця 1'!$B:$B,$A197,'Таблиця 1'!$I:$I,"Mirage",'Таблиця 1'!$J:$J,"MK-32")+SUMIFS('Таблиця 1'!$K:$K,'Таблиця 1'!$B:$B,$A197,'Таблиця 1'!$I:$I,"F-16",'Таблиця 1'!$J:$J,"MK-32")+SUMIFS('Таблиця 1'!$K:$K,'Таблиця 1'!$B:$B,$A197,'Таблиця 1'!$I:$I,"МіГ-29",'Таблиця 1'!$J:$J,"MK-32")+SUMIFS('Таблиця 1'!$K:$K,'Таблиця 1'!$B:$B,$A197,'Таблиця 1'!$I:$I,"Су-25",'Таблиця 1'!$J:$J,"MK-32")+SUMIFS('Таблиця 1'!$K:$K,'Таблиця 1'!$B:$B,$A197,'Таблиця 1'!$I:$I,"Су-27",'Таблиця 1'!$J:$J,"MK-32"))</f>
        <v/>
      </c>
      <c r="Q197">
        <f>IF($A197="","",SUMIFS('Таблиця 1'!$K:$K,'Таблиця 1'!$B:$B,$A197,'Таблиця 1'!$I:$I,"Mirage",'Таблиця 1'!$J:$J,"MK-24")+SUMIFS('Таблиця 1'!$K:$K,'Таблиця 1'!$B:$B,$A197,'Таблиця 1'!$I:$I,"F-16",'Таблиця 1'!$J:$J,"MK-24")+SUMIFS('Таблиця 1'!$K:$K,'Таблиця 1'!$B:$B,$A197,'Таблиця 1'!$I:$I,"МіГ-29",'Таблиця 1'!$J:$J,"MK-24")+SUMIFS('Таблиця 1'!$K:$K,'Таблиця 1'!$B:$B,$A197,'Таблиця 1'!$I:$I,"Су-25",'Таблиця 1'!$J:$J,"MK-24")+SUMIFS('Таблиця 1'!$K:$K,'Таблиця 1'!$B:$B,$A197,'Таблиця 1'!$I:$I,"Су-27",'Таблиця 1'!$J:$J,"MK-24"))</f>
        <v/>
      </c>
      <c r="R197">
        <f>IF($A197="","",COUNTIFS('Таблиця 1'!$B:$B,$A197,'Таблиця 1'!$I:$I,"Mirage",'Таблиця 1'!$L:$L,"Уражено")+COUNTIFS('Таблиця 1'!$B:$B,$A197,'Таблиця 1'!$I:$I,"F-16",'Таблиця 1'!$L:$L,"Уражено")+COUNTIFS('Таблиця 1'!$B:$B,$A197,'Таблиця 1'!$I:$I,"МіГ-29",'Таблиця 1'!$L:$L,"Уражено")+COUNTIFS('Таблиця 1'!$B:$B,$A197,'Таблиця 1'!$I:$I,"Су-25",'Таблиця 1'!$L:$L,"Уражено")+COUNTIFS('Таблиця 1'!$B:$B,$A197,'Таблиця 1'!$I:$I,"Су-27",'Таблиця 1'!$L:$L,"Уражено"))</f>
        <v/>
      </c>
      <c r="S197">
        <f>IF($A197="","",COUNTIFS('Таблиця 1'!$B:$B,$A197,'Таблиця 1'!$I:$I,"Mirage",'Таблиця 1'!$L:$L,"НЕ уражено")+COUNTIFS('Таблиця 1'!$B:$B,$A197,'Таблиця 1'!$I:$I,"F-16",'Таблиця 1'!$L:$L,"НЕ уражено")+COUNTIFS('Таблиця 1'!$B:$B,$A197,'Таблиця 1'!$I:$I,"МіГ-29",'Таблиця 1'!$L:$L,"НЕ уражено")+COUNTIFS('Таблиця 1'!$B:$B,$A197,'Таблиця 1'!$I:$I,"Су-25",'Таблиця 1'!$L:$L,"НЕ уражено")+COUNTIFS('Таблиця 1'!$B:$B,$A197,'Таблиця 1'!$I:$I,"Су-27",'Таблиця 1'!$L:$L,"НЕ уражено"))</f>
        <v/>
      </c>
      <c r="T197">
        <f>IF($A197="","",COUNTIFS('Таблиця 1'!$B:$B,$A197,'Таблиця 1'!$I:$I,"Mirage",'Таблиця 1'!$L:$L,"Дорозвідується")+COUNTIFS('Таблиця 1'!$B:$B,$A197,'Таблиця 1'!$I:$I,"F-16",'Таблиця 1'!$L:$L,"Дорозвідується")+COUNTIFS('Таблиця 1'!$B:$B,$A197,'Таблиця 1'!$I:$I,"МіГ-29",'Таблиця 1'!$L:$L,"Дорозвідується")+COUNTIFS('Таблиця 1'!$B:$B,$A197,'Таблиця 1'!$I:$I,"Су-25",'Таблиця 1'!$L:$L,"Дорозвідується")+COUNTIFS('Таблиця 1'!$B:$B,$A197,'Таблиця 1'!$I:$I,"Су-27",'Таблиця 1'!$L:$L,"Дорозвідується"))</f>
        <v/>
      </c>
    </row>
    <row r="198">
      <c r="A198" s="273">
        <f>IF(A197="","",IF(A197+1&gt;MAX('Таблиця 1'!$B:$B),"",A197+1))</f>
        <v/>
      </c>
      <c r="B198">
        <f>IF($A198="","",COUNTIFS('Таблиця 1'!$B:$B,$A198,'Таблиця 1'!$I:$I,"Mirage")+COUNTIFS('Таблиця 1'!$B:$B,$A198,'Таблиця 1'!$I:$I,"F-16")+COUNTIFS('Таблиця 1'!$B:$B,$A198,'Таблиця 1'!$I:$I,"МіГ-29")+COUNTIFS('Таблиця 1'!$B:$B,$A198,'Таблиця 1'!$I:$I,"Су-25")+COUNTIFS('Таблиця 1'!$B:$B,$A198,'Таблиця 1'!$I:$I,"Су-27"))</f>
        <v/>
      </c>
      <c r="C198">
        <f>IF($A198="","",COUNTIFS('Таблиця 1'!$B:$B,$A198,'Таблиця 1'!$I:$I,"Mirage"))</f>
        <v/>
      </c>
      <c r="D198">
        <f>IF($A198="","",COUNTIFS('Таблиця 1'!$B:$B,$A198,'Таблиця 1'!$I:$I,"F-16"))</f>
        <v/>
      </c>
      <c r="E198">
        <f>IF($A198="","",COUNTIFS('Таблиця 1'!$B:$B,$A198,'Таблиця 1'!$I:$I,"МіГ-29"))</f>
        <v/>
      </c>
      <c r="F198">
        <f>IF($A198="","",COUNTIFS('Таблиця 1'!$B:$B,$A198,'Таблиця 1'!$I:$I,"Су-25"))</f>
        <v/>
      </c>
      <c r="G198">
        <f>IF($A198="","",COUNTIFS('Таблиця 1'!$B:$B,$A198,'Таблиця 1'!$I:$I,"Су-27"))</f>
        <v/>
      </c>
      <c r="H198">
        <f>IF($A198="","",SUMIFS('Таблиця 1'!$K:$K,'Таблиця 1'!$B:$B,$A198,'Таблиця 1'!$I:$I,"Mirage",'Таблиця 1'!$J:$J,"AGM-88")+SUMIFS('Таблиця 1'!$K:$K,'Таблиця 1'!$B:$B,$A198,'Таблиця 1'!$I:$I,"F-16",'Таблиця 1'!$J:$J,"AGM-88")+SUMIFS('Таблиця 1'!$K:$K,'Таблиця 1'!$B:$B,$A198,'Таблиця 1'!$I:$I,"МіГ-29",'Таблиця 1'!$J:$J,"AGM-88")+SUMIFS('Таблиця 1'!$K:$K,'Таблиця 1'!$B:$B,$A198,'Таблиця 1'!$I:$I,"Су-25",'Таблиця 1'!$J:$J,"AGM-88")+SUMIFS('Таблиця 1'!$K:$K,'Таблиця 1'!$B:$B,$A198,'Таблиця 1'!$I:$I,"Су-27",'Таблиця 1'!$J:$J,"AGM-88"))</f>
        <v/>
      </c>
      <c r="I198">
        <f>IF($A198="","",SUMIFS('Таблиця 1'!$K:$K,'Таблиця 1'!$B:$B,$A198,'Таблиця 1'!$I:$I,"Mirage",'Таблиця 1'!$J:$J,"AASM-250")+SUMIFS('Таблиця 1'!$K:$K,'Таблиця 1'!$B:$B,$A198,'Таблиця 1'!$I:$I,"F-16",'Таблиця 1'!$J:$J,"AASM-250")+SUMIFS('Таблиця 1'!$K:$K,'Таблиця 1'!$B:$B,$A198,'Таблиця 1'!$I:$I,"МіГ-29",'Таблиця 1'!$J:$J,"AASM-250")+SUMIFS('Таблиця 1'!$K:$K,'Таблиця 1'!$B:$B,$A198,'Таблиця 1'!$I:$I,"Су-25",'Таблиця 1'!$J:$J,"AASM-250")+SUMIFS('Таблиця 1'!$K:$K,'Таблиця 1'!$B:$B,$A198,'Таблиця 1'!$I:$I,"Су-27",'Таблиця 1'!$J:$J,"AASM-250"))</f>
        <v/>
      </c>
      <c r="J198">
        <f>IF($A198="","",SUMIFS('Таблиця 1'!$K:$K,'Таблиця 1'!$B:$B,$A198,'Таблиця 1'!$I:$I,"Mirage",'Таблиця 1'!$J:$J,"GBU-39")+SUMIFS('Таблиця 1'!$K:$K,'Таблиця 1'!$B:$B,$A198,'Таблиця 1'!$I:$I,"F-16",'Таблиця 1'!$J:$J,"GBU-39")+SUMIFS('Таблиця 1'!$K:$K,'Таблиця 1'!$B:$B,$A198,'Таблиця 1'!$I:$I,"МіГ-29",'Таблиця 1'!$J:$J,"GBU-39")+SUMIFS('Таблиця 1'!$K:$K,'Таблиця 1'!$B:$B,$A198,'Таблиця 1'!$I:$I,"Су-25",'Таблиця 1'!$J:$J,"GBU-39")+SUMIFS('Таблиця 1'!$K:$K,'Таблиця 1'!$B:$B,$A198,'Таблиця 1'!$I:$I,"Су-27",'Таблиця 1'!$J:$J,"GBU-39"))</f>
        <v/>
      </c>
      <c r="K198">
        <f>IF($A198="","",SUMIFS('Таблиця 1'!$K:$K,'Таблиця 1'!$B:$B,$A198,'Таблиця 1'!$I:$I,"Mirage",'Таблиця 1'!$J:$J,"BLU-140")+SUMIFS('Таблиця 1'!$K:$K,'Таблиця 1'!$B:$B,$A198,'Таблиця 1'!$I:$I,"F-16",'Таблиця 1'!$J:$J,"BLU-140")+SUMIFS('Таблиця 1'!$K:$K,'Таблиця 1'!$B:$B,$A198,'Таблиця 1'!$I:$I,"МіГ-29",'Таблиця 1'!$J:$J,"BLU-140")+SUMIFS('Таблиця 1'!$K:$K,'Таблиця 1'!$B:$B,$A198,'Таблиця 1'!$I:$I,"Су-25",'Таблиця 1'!$J:$J,"BLU-140")+SUMIFS('Таблиця 1'!$K:$K,'Таблиця 1'!$B:$B,$A198,'Таблиця 1'!$I:$I,"Су-27",'Таблиця 1'!$J:$J,"BLU-140"))</f>
        <v/>
      </c>
      <c r="L198">
        <f>IF($A198="","",SUMIFS('Таблиця 1'!$K:$K,'Таблиця 1'!$B:$B,$A198,'Таблиця 1'!$I:$I,"Mirage",'Таблиця 1'!$J:$J,"GBU-65")+SUMIFS('Таблиця 1'!$K:$K,'Таблиця 1'!$B:$B,$A198,'Таблиця 1'!$I:$I,"F-16",'Таблиця 1'!$J:$J,"GBU-65")+SUMIFS('Таблиця 1'!$K:$K,'Таблиця 1'!$B:$B,$A198,'Таблиця 1'!$I:$I,"МіГ-29",'Таблиця 1'!$J:$J,"GBU-65")+SUMIFS('Таблиця 1'!$K:$K,'Таблиця 1'!$B:$B,$A198,'Таблиця 1'!$I:$I,"Су-25",'Таблиця 1'!$J:$J,"GBU-65")+SUMIFS('Таблиця 1'!$K:$K,'Таблиця 1'!$B:$B,$A198,'Таблиця 1'!$I:$I,"Су-27",'Таблиця 1'!$J:$J,"GBU-65"))</f>
        <v/>
      </c>
      <c r="M198">
        <f>IF($A198="","",SUMIFS('Таблиця 1'!$K:$K,'Таблиця 1'!$B:$B,$A198,'Таблиця 1'!$I:$I,"Mirage",'Таблиця 1'!$J:$J,"GBU-62")+SUMIFS('Таблиця 1'!$K:$K,'Таблиця 1'!$B:$B,$A198,'Таблиця 1'!$I:$I,"F-16",'Таблиця 1'!$J:$J,"GBU-62")+SUMIFS('Таблиця 1'!$K:$K,'Таблиця 1'!$B:$B,$A198,'Таблиця 1'!$I:$I,"МіГ-29",'Таблиця 1'!$J:$J,"GBU-62")+SUMIFS('Таблиця 1'!$K:$K,'Таблиця 1'!$B:$B,$A198,'Таблиця 1'!$I:$I,"Су-25",'Таблиця 1'!$J:$J,"GBU-62")+SUMIFS('Таблиця 1'!$K:$K,'Таблиця 1'!$B:$B,$A198,'Таблиця 1'!$I:$I,"Су-27",'Таблиця 1'!$J:$J,"GBU-62"))</f>
        <v/>
      </c>
      <c r="N198">
        <f>IF($A198="","",SUMIFS('Таблиця 1'!$K:$K,'Таблиця 1'!$B:$B,$A198,'Таблиця 1'!$I:$I,"Mirage",'Таблиця 1'!$J:$J,"GBU-64")+SUMIFS('Таблиця 1'!$K:$K,'Таблиця 1'!$B:$B,$A198,'Таблиця 1'!$I:$I,"F-16",'Таблиця 1'!$J:$J,"GBU-64")+SUMIFS('Таблиця 1'!$K:$K,'Таблиця 1'!$B:$B,$A198,'Таблиця 1'!$I:$I,"МіГ-29",'Таблиця 1'!$J:$J,"GBU-64")+SUMIFS('Таблиця 1'!$K:$K,'Таблиця 1'!$B:$B,$A198,'Таблиця 1'!$I:$I,"Су-25",'Таблиця 1'!$J:$J,"GBU-64")+SUMIFS('Таблиця 1'!$K:$K,'Таблиця 1'!$B:$B,$A198,'Таблиця 1'!$I:$I,"Су-27",'Таблиця 1'!$J:$J,"GBU-64"))</f>
        <v/>
      </c>
      <c r="O198">
        <f>IF($A198="","",SUMIFS('Таблиця 1'!$K:$K,'Таблиця 1'!$B:$B,$A198,'Таблиця 1'!$I:$I,"Mirage",'Таблиця 1'!$J:$J,"C-13")+SUMIFS('Таблиця 1'!$K:$K,'Таблиця 1'!$B:$B,$A198,'Таблиця 1'!$I:$I,"F-16",'Таблиця 1'!$J:$J,"C-13")+SUMIFS('Таблиця 1'!$K:$K,'Таблиця 1'!$B:$B,$A198,'Таблиця 1'!$I:$I,"МіГ-29",'Таблиця 1'!$J:$J,"C-13")+SUMIFS('Таблиця 1'!$K:$K,'Таблиця 1'!$B:$B,$A198,'Таблиця 1'!$I:$I,"Су-25",'Таблиця 1'!$J:$J,"C-13")+SUMIFS('Таблиця 1'!$K:$K,'Таблиця 1'!$B:$B,$A198,'Таблиця 1'!$I:$I,"Су-27",'Таблиця 1'!$J:$J,"C-13"))</f>
        <v/>
      </c>
      <c r="P198">
        <f>IF($A198="","",SUMIFS('Таблиця 1'!$K:$K,'Таблиця 1'!$B:$B,$A198,'Таблиця 1'!$I:$I,"Mirage",'Таблиця 1'!$J:$J,"MK-32")+SUMIFS('Таблиця 1'!$K:$K,'Таблиця 1'!$B:$B,$A198,'Таблиця 1'!$I:$I,"F-16",'Таблиця 1'!$J:$J,"MK-32")+SUMIFS('Таблиця 1'!$K:$K,'Таблиця 1'!$B:$B,$A198,'Таблиця 1'!$I:$I,"МіГ-29",'Таблиця 1'!$J:$J,"MK-32")+SUMIFS('Таблиця 1'!$K:$K,'Таблиця 1'!$B:$B,$A198,'Таблиця 1'!$I:$I,"Су-25",'Таблиця 1'!$J:$J,"MK-32")+SUMIFS('Таблиця 1'!$K:$K,'Таблиця 1'!$B:$B,$A198,'Таблиця 1'!$I:$I,"Су-27",'Таблиця 1'!$J:$J,"MK-32"))</f>
        <v/>
      </c>
      <c r="Q198">
        <f>IF($A198="","",SUMIFS('Таблиця 1'!$K:$K,'Таблиця 1'!$B:$B,$A198,'Таблиця 1'!$I:$I,"Mirage",'Таблиця 1'!$J:$J,"MK-24")+SUMIFS('Таблиця 1'!$K:$K,'Таблиця 1'!$B:$B,$A198,'Таблиця 1'!$I:$I,"F-16",'Таблиця 1'!$J:$J,"MK-24")+SUMIFS('Таблиця 1'!$K:$K,'Таблиця 1'!$B:$B,$A198,'Таблиця 1'!$I:$I,"МіГ-29",'Таблиця 1'!$J:$J,"MK-24")+SUMIFS('Таблиця 1'!$K:$K,'Таблиця 1'!$B:$B,$A198,'Таблиця 1'!$I:$I,"Су-25",'Таблиця 1'!$J:$J,"MK-24")+SUMIFS('Таблиця 1'!$K:$K,'Таблиця 1'!$B:$B,$A198,'Таблиця 1'!$I:$I,"Су-27",'Таблиця 1'!$J:$J,"MK-24"))</f>
        <v/>
      </c>
      <c r="R198">
        <f>IF($A198="","",COUNTIFS('Таблиця 1'!$B:$B,$A198,'Таблиця 1'!$I:$I,"Mirage",'Таблиця 1'!$L:$L,"Уражено")+COUNTIFS('Таблиця 1'!$B:$B,$A198,'Таблиця 1'!$I:$I,"F-16",'Таблиця 1'!$L:$L,"Уражено")+COUNTIFS('Таблиця 1'!$B:$B,$A198,'Таблиця 1'!$I:$I,"МіГ-29",'Таблиця 1'!$L:$L,"Уражено")+COUNTIFS('Таблиця 1'!$B:$B,$A198,'Таблиця 1'!$I:$I,"Су-25",'Таблиця 1'!$L:$L,"Уражено")+COUNTIFS('Таблиця 1'!$B:$B,$A198,'Таблиця 1'!$I:$I,"Су-27",'Таблиця 1'!$L:$L,"Уражено"))</f>
        <v/>
      </c>
      <c r="S198">
        <f>IF($A198="","",COUNTIFS('Таблиця 1'!$B:$B,$A198,'Таблиця 1'!$I:$I,"Mirage",'Таблиця 1'!$L:$L,"НЕ уражено")+COUNTIFS('Таблиця 1'!$B:$B,$A198,'Таблиця 1'!$I:$I,"F-16",'Таблиця 1'!$L:$L,"НЕ уражено")+COUNTIFS('Таблиця 1'!$B:$B,$A198,'Таблиця 1'!$I:$I,"МіГ-29",'Таблиця 1'!$L:$L,"НЕ уражено")+COUNTIFS('Таблиця 1'!$B:$B,$A198,'Таблиця 1'!$I:$I,"Су-25",'Таблиця 1'!$L:$L,"НЕ уражено")+COUNTIFS('Таблиця 1'!$B:$B,$A198,'Таблиця 1'!$I:$I,"Су-27",'Таблиця 1'!$L:$L,"НЕ уражено"))</f>
        <v/>
      </c>
      <c r="T198">
        <f>IF($A198="","",COUNTIFS('Таблиця 1'!$B:$B,$A198,'Таблиця 1'!$I:$I,"Mirage",'Таблиця 1'!$L:$L,"Дорозвідується")+COUNTIFS('Таблиця 1'!$B:$B,$A198,'Таблиця 1'!$I:$I,"F-16",'Таблиця 1'!$L:$L,"Дорозвідується")+COUNTIFS('Таблиця 1'!$B:$B,$A198,'Таблиця 1'!$I:$I,"МіГ-29",'Таблиця 1'!$L:$L,"Дорозвідується")+COUNTIFS('Таблиця 1'!$B:$B,$A198,'Таблиця 1'!$I:$I,"Су-25",'Таблиця 1'!$L:$L,"Дорозвідується")+COUNTIFS('Таблиця 1'!$B:$B,$A198,'Таблиця 1'!$I:$I,"Су-27",'Таблиця 1'!$L:$L,"Дорозвідується"))</f>
        <v/>
      </c>
    </row>
    <row r="199">
      <c r="A199" s="273">
        <f>IF(A198="","",IF(A198+1&gt;MAX('Таблиця 1'!$B:$B),"",A198+1))</f>
        <v/>
      </c>
      <c r="B199">
        <f>IF($A199="","",COUNTIFS('Таблиця 1'!$B:$B,$A199,'Таблиця 1'!$I:$I,"Mirage")+COUNTIFS('Таблиця 1'!$B:$B,$A199,'Таблиця 1'!$I:$I,"F-16")+COUNTIFS('Таблиця 1'!$B:$B,$A199,'Таблиця 1'!$I:$I,"МіГ-29")+COUNTIFS('Таблиця 1'!$B:$B,$A199,'Таблиця 1'!$I:$I,"Су-25")+COUNTIFS('Таблиця 1'!$B:$B,$A199,'Таблиця 1'!$I:$I,"Су-27"))</f>
        <v/>
      </c>
      <c r="C199">
        <f>IF($A199="","",COUNTIFS('Таблиця 1'!$B:$B,$A199,'Таблиця 1'!$I:$I,"Mirage"))</f>
        <v/>
      </c>
      <c r="D199">
        <f>IF($A199="","",COUNTIFS('Таблиця 1'!$B:$B,$A199,'Таблиця 1'!$I:$I,"F-16"))</f>
        <v/>
      </c>
      <c r="E199">
        <f>IF($A199="","",COUNTIFS('Таблиця 1'!$B:$B,$A199,'Таблиця 1'!$I:$I,"МіГ-29"))</f>
        <v/>
      </c>
      <c r="F199">
        <f>IF($A199="","",COUNTIFS('Таблиця 1'!$B:$B,$A199,'Таблиця 1'!$I:$I,"Су-25"))</f>
        <v/>
      </c>
      <c r="G199">
        <f>IF($A199="","",COUNTIFS('Таблиця 1'!$B:$B,$A199,'Таблиця 1'!$I:$I,"Су-27"))</f>
        <v/>
      </c>
      <c r="H199">
        <f>IF($A199="","",SUMIFS('Таблиця 1'!$K:$K,'Таблиця 1'!$B:$B,$A199,'Таблиця 1'!$I:$I,"Mirage",'Таблиця 1'!$J:$J,"AGM-88")+SUMIFS('Таблиця 1'!$K:$K,'Таблиця 1'!$B:$B,$A199,'Таблиця 1'!$I:$I,"F-16",'Таблиця 1'!$J:$J,"AGM-88")+SUMIFS('Таблиця 1'!$K:$K,'Таблиця 1'!$B:$B,$A199,'Таблиця 1'!$I:$I,"МіГ-29",'Таблиця 1'!$J:$J,"AGM-88")+SUMIFS('Таблиця 1'!$K:$K,'Таблиця 1'!$B:$B,$A199,'Таблиця 1'!$I:$I,"Су-25",'Таблиця 1'!$J:$J,"AGM-88")+SUMIFS('Таблиця 1'!$K:$K,'Таблиця 1'!$B:$B,$A199,'Таблиця 1'!$I:$I,"Су-27",'Таблиця 1'!$J:$J,"AGM-88"))</f>
        <v/>
      </c>
      <c r="I199">
        <f>IF($A199="","",SUMIFS('Таблиця 1'!$K:$K,'Таблиця 1'!$B:$B,$A199,'Таблиця 1'!$I:$I,"Mirage",'Таблиця 1'!$J:$J,"AASM-250")+SUMIFS('Таблиця 1'!$K:$K,'Таблиця 1'!$B:$B,$A199,'Таблиця 1'!$I:$I,"F-16",'Таблиця 1'!$J:$J,"AASM-250")+SUMIFS('Таблиця 1'!$K:$K,'Таблиця 1'!$B:$B,$A199,'Таблиця 1'!$I:$I,"МіГ-29",'Таблиця 1'!$J:$J,"AASM-250")+SUMIFS('Таблиця 1'!$K:$K,'Таблиця 1'!$B:$B,$A199,'Таблиця 1'!$I:$I,"Су-25",'Таблиця 1'!$J:$J,"AASM-250")+SUMIFS('Таблиця 1'!$K:$K,'Таблиця 1'!$B:$B,$A199,'Таблиця 1'!$I:$I,"Су-27",'Таблиця 1'!$J:$J,"AASM-250"))</f>
        <v/>
      </c>
      <c r="J199">
        <f>IF($A199="","",SUMIFS('Таблиця 1'!$K:$K,'Таблиця 1'!$B:$B,$A199,'Таблиця 1'!$I:$I,"Mirage",'Таблиця 1'!$J:$J,"GBU-39")+SUMIFS('Таблиця 1'!$K:$K,'Таблиця 1'!$B:$B,$A199,'Таблиця 1'!$I:$I,"F-16",'Таблиця 1'!$J:$J,"GBU-39")+SUMIFS('Таблиця 1'!$K:$K,'Таблиця 1'!$B:$B,$A199,'Таблиця 1'!$I:$I,"МіГ-29",'Таблиця 1'!$J:$J,"GBU-39")+SUMIFS('Таблиця 1'!$K:$K,'Таблиця 1'!$B:$B,$A199,'Таблиця 1'!$I:$I,"Су-25",'Таблиця 1'!$J:$J,"GBU-39")+SUMIFS('Таблиця 1'!$K:$K,'Таблиця 1'!$B:$B,$A199,'Таблиця 1'!$I:$I,"Су-27",'Таблиця 1'!$J:$J,"GBU-39"))</f>
        <v/>
      </c>
      <c r="K199">
        <f>IF($A199="","",SUMIFS('Таблиця 1'!$K:$K,'Таблиця 1'!$B:$B,$A199,'Таблиця 1'!$I:$I,"Mirage",'Таблиця 1'!$J:$J,"BLU-140")+SUMIFS('Таблиця 1'!$K:$K,'Таблиця 1'!$B:$B,$A199,'Таблиця 1'!$I:$I,"F-16",'Таблиця 1'!$J:$J,"BLU-140")+SUMIFS('Таблиця 1'!$K:$K,'Таблиця 1'!$B:$B,$A199,'Таблиця 1'!$I:$I,"МіГ-29",'Таблиця 1'!$J:$J,"BLU-140")+SUMIFS('Таблиця 1'!$K:$K,'Таблиця 1'!$B:$B,$A199,'Таблиця 1'!$I:$I,"Су-25",'Таблиця 1'!$J:$J,"BLU-140")+SUMIFS('Таблиця 1'!$K:$K,'Таблиця 1'!$B:$B,$A199,'Таблиця 1'!$I:$I,"Су-27",'Таблиця 1'!$J:$J,"BLU-140"))</f>
        <v/>
      </c>
      <c r="L199">
        <f>IF($A199="","",SUMIFS('Таблиця 1'!$K:$K,'Таблиця 1'!$B:$B,$A199,'Таблиця 1'!$I:$I,"Mirage",'Таблиця 1'!$J:$J,"GBU-65")+SUMIFS('Таблиця 1'!$K:$K,'Таблиця 1'!$B:$B,$A199,'Таблиця 1'!$I:$I,"F-16",'Таблиця 1'!$J:$J,"GBU-65")+SUMIFS('Таблиця 1'!$K:$K,'Таблиця 1'!$B:$B,$A199,'Таблиця 1'!$I:$I,"МіГ-29",'Таблиця 1'!$J:$J,"GBU-65")+SUMIFS('Таблиця 1'!$K:$K,'Таблиця 1'!$B:$B,$A199,'Таблиця 1'!$I:$I,"Су-25",'Таблиця 1'!$J:$J,"GBU-65")+SUMIFS('Таблиця 1'!$K:$K,'Таблиця 1'!$B:$B,$A199,'Таблиця 1'!$I:$I,"Су-27",'Таблиця 1'!$J:$J,"GBU-65"))</f>
        <v/>
      </c>
      <c r="M199">
        <f>IF($A199="","",SUMIFS('Таблиця 1'!$K:$K,'Таблиця 1'!$B:$B,$A199,'Таблиця 1'!$I:$I,"Mirage",'Таблиця 1'!$J:$J,"GBU-62")+SUMIFS('Таблиця 1'!$K:$K,'Таблиця 1'!$B:$B,$A199,'Таблиця 1'!$I:$I,"F-16",'Таблиця 1'!$J:$J,"GBU-62")+SUMIFS('Таблиця 1'!$K:$K,'Таблиця 1'!$B:$B,$A199,'Таблиця 1'!$I:$I,"МіГ-29",'Таблиця 1'!$J:$J,"GBU-62")+SUMIFS('Таблиця 1'!$K:$K,'Таблиця 1'!$B:$B,$A199,'Таблиця 1'!$I:$I,"Су-25",'Таблиця 1'!$J:$J,"GBU-62")+SUMIFS('Таблиця 1'!$K:$K,'Таблиця 1'!$B:$B,$A199,'Таблиця 1'!$I:$I,"Су-27",'Таблиця 1'!$J:$J,"GBU-62"))</f>
        <v/>
      </c>
      <c r="N199">
        <f>IF($A199="","",SUMIFS('Таблиця 1'!$K:$K,'Таблиця 1'!$B:$B,$A199,'Таблиця 1'!$I:$I,"Mirage",'Таблиця 1'!$J:$J,"GBU-64")+SUMIFS('Таблиця 1'!$K:$K,'Таблиця 1'!$B:$B,$A199,'Таблиця 1'!$I:$I,"F-16",'Таблиця 1'!$J:$J,"GBU-64")+SUMIFS('Таблиця 1'!$K:$K,'Таблиця 1'!$B:$B,$A199,'Таблиця 1'!$I:$I,"МіГ-29",'Таблиця 1'!$J:$J,"GBU-64")+SUMIFS('Таблиця 1'!$K:$K,'Таблиця 1'!$B:$B,$A199,'Таблиця 1'!$I:$I,"Су-25",'Таблиця 1'!$J:$J,"GBU-64")+SUMIFS('Таблиця 1'!$K:$K,'Таблиця 1'!$B:$B,$A199,'Таблиця 1'!$I:$I,"Су-27",'Таблиця 1'!$J:$J,"GBU-64"))</f>
        <v/>
      </c>
      <c r="O199">
        <f>IF($A199="","",SUMIFS('Таблиця 1'!$K:$K,'Таблиця 1'!$B:$B,$A199,'Таблиця 1'!$I:$I,"Mirage",'Таблиця 1'!$J:$J,"C-13")+SUMIFS('Таблиця 1'!$K:$K,'Таблиця 1'!$B:$B,$A199,'Таблиця 1'!$I:$I,"F-16",'Таблиця 1'!$J:$J,"C-13")+SUMIFS('Таблиця 1'!$K:$K,'Таблиця 1'!$B:$B,$A199,'Таблиця 1'!$I:$I,"МіГ-29",'Таблиця 1'!$J:$J,"C-13")+SUMIFS('Таблиця 1'!$K:$K,'Таблиця 1'!$B:$B,$A199,'Таблиця 1'!$I:$I,"Су-25",'Таблиця 1'!$J:$J,"C-13")+SUMIFS('Таблиця 1'!$K:$K,'Таблиця 1'!$B:$B,$A199,'Таблиця 1'!$I:$I,"Су-27",'Таблиця 1'!$J:$J,"C-13"))</f>
        <v/>
      </c>
      <c r="P199">
        <f>IF($A199="","",SUMIFS('Таблиця 1'!$K:$K,'Таблиця 1'!$B:$B,$A199,'Таблиця 1'!$I:$I,"Mirage",'Таблиця 1'!$J:$J,"MK-32")+SUMIFS('Таблиця 1'!$K:$K,'Таблиця 1'!$B:$B,$A199,'Таблиця 1'!$I:$I,"F-16",'Таблиця 1'!$J:$J,"MK-32")+SUMIFS('Таблиця 1'!$K:$K,'Таблиця 1'!$B:$B,$A199,'Таблиця 1'!$I:$I,"МіГ-29",'Таблиця 1'!$J:$J,"MK-32")+SUMIFS('Таблиця 1'!$K:$K,'Таблиця 1'!$B:$B,$A199,'Таблиця 1'!$I:$I,"Су-25",'Таблиця 1'!$J:$J,"MK-32")+SUMIFS('Таблиця 1'!$K:$K,'Таблиця 1'!$B:$B,$A199,'Таблиця 1'!$I:$I,"Су-27",'Таблиця 1'!$J:$J,"MK-32"))</f>
        <v/>
      </c>
      <c r="Q199">
        <f>IF($A199="","",SUMIFS('Таблиця 1'!$K:$K,'Таблиця 1'!$B:$B,$A199,'Таблиця 1'!$I:$I,"Mirage",'Таблиця 1'!$J:$J,"MK-24")+SUMIFS('Таблиця 1'!$K:$K,'Таблиця 1'!$B:$B,$A199,'Таблиця 1'!$I:$I,"F-16",'Таблиця 1'!$J:$J,"MK-24")+SUMIFS('Таблиця 1'!$K:$K,'Таблиця 1'!$B:$B,$A199,'Таблиця 1'!$I:$I,"МіГ-29",'Таблиця 1'!$J:$J,"MK-24")+SUMIFS('Таблиця 1'!$K:$K,'Таблиця 1'!$B:$B,$A199,'Таблиця 1'!$I:$I,"Су-25",'Таблиця 1'!$J:$J,"MK-24")+SUMIFS('Таблиця 1'!$K:$K,'Таблиця 1'!$B:$B,$A199,'Таблиця 1'!$I:$I,"Су-27",'Таблиця 1'!$J:$J,"MK-24"))</f>
        <v/>
      </c>
      <c r="R199">
        <f>IF($A199="","",COUNTIFS('Таблиця 1'!$B:$B,$A199,'Таблиця 1'!$I:$I,"Mirage",'Таблиця 1'!$L:$L,"Уражено")+COUNTIFS('Таблиця 1'!$B:$B,$A199,'Таблиця 1'!$I:$I,"F-16",'Таблиця 1'!$L:$L,"Уражено")+COUNTIFS('Таблиця 1'!$B:$B,$A199,'Таблиця 1'!$I:$I,"МіГ-29",'Таблиця 1'!$L:$L,"Уражено")+COUNTIFS('Таблиця 1'!$B:$B,$A199,'Таблиця 1'!$I:$I,"Су-25",'Таблиця 1'!$L:$L,"Уражено")+COUNTIFS('Таблиця 1'!$B:$B,$A199,'Таблиця 1'!$I:$I,"Су-27",'Таблиця 1'!$L:$L,"Уражено"))</f>
        <v/>
      </c>
      <c r="S199">
        <f>IF($A199="","",COUNTIFS('Таблиця 1'!$B:$B,$A199,'Таблиця 1'!$I:$I,"Mirage",'Таблиця 1'!$L:$L,"НЕ уражено")+COUNTIFS('Таблиця 1'!$B:$B,$A199,'Таблиця 1'!$I:$I,"F-16",'Таблиця 1'!$L:$L,"НЕ уражено")+COUNTIFS('Таблиця 1'!$B:$B,$A199,'Таблиця 1'!$I:$I,"МіГ-29",'Таблиця 1'!$L:$L,"НЕ уражено")+COUNTIFS('Таблиця 1'!$B:$B,$A199,'Таблиця 1'!$I:$I,"Су-25",'Таблиця 1'!$L:$L,"НЕ уражено")+COUNTIFS('Таблиця 1'!$B:$B,$A199,'Таблиця 1'!$I:$I,"Су-27",'Таблиця 1'!$L:$L,"НЕ уражено"))</f>
        <v/>
      </c>
      <c r="T199">
        <f>IF($A199="","",COUNTIFS('Таблиця 1'!$B:$B,$A199,'Таблиця 1'!$I:$I,"Mirage",'Таблиця 1'!$L:$L,"Дорозвідується")+COUNTIFS('Таблиця 1'!$B:$B,$A199,'Таблиця 1'!$I:$I,"F-16",'Таблиця 1'!$L:$L,"Дорозвідується")+COUNTIFS('Таблиця 1'!$B:$B,$A199,'Таблиця 1'!$I:$I,"МіГ-29",'Таблиця 1'!$L:$L,"Дорозвідується")+COUNTIFS('Таблиця 1'!$B:$B,$A199,'Таблиця 1'!$I:$I,"Су-25",'Таблиця 1'!$L:$L,"Дорозвідується")+COUNTIFS('Таблиця 1'!$B:$B,$A199,'Таблиця 1'!$I:$I,"Су-27",'Таблиця 1'!$L:$L,"Дорозвідується"))</f>
        <v/>
      </c>
    </row>
    <row r="200">
      <c r="A200" s="273">
        <f>IF(A199="","",IF(A199+1&gt;MAX('Таблиця 1'!$B:$B),"",A199+1))</f>
        <v/>
      </c>
      <c r="B200">
        <f>IF($A200="","",COUNTIFS('Таблиця 1'!$B:$B,$A200,'Таблиця 1'!$I:$I,"Mirage")+COUNTIFS('Таблиця 1'!$B:$B,$A200,'Таблиця 1'!$I:$I,"F-16")+COUNTIFS('Таблиця 1'!$B:$B,$A200,'Таблиця 1'!$I:$I,"МіГ-29")+COUNTIFS('Таблиця 1'!$B:$B,$A200,'Таблиця 1'!$I:$I,"Су-25")+COUNTIFS('Таблиця 1'!$B:$B,$A200,'Таблиця 1'!$I:$I,"Су-27"))</f>
        <v/>
      </c>
      <c r="C200">
        <f>IF($A200="","",COUNTIFS('Таблиця 1'!$B:$B,$A200,'Таблиця 1'!$I:$I,"Mirage"))</f>
        <v/>
      </c>
      <c r="D200">
        <f>IF($A200="","",COUNTIFS('Таблиця 1'!$B:$B,$A200,'Таблиця 1'!$I:$I,"F-16"))</f>
        <v/>
      </c>
      <c r="E200">
        <f>IF($A200="","",COUNTIFS('Таблиця 1'!$B:$B,$A200,'Таблиця 1'!$I:$I,"МіГ-29"))</f>
        <v/>
      </c>
      <c r="F200">
        <f>IF($A200="","",COUNTIFS('Таблиця 1'!$B:$B,$A200,'Таблиця 1'!$I:$I,"Су-25"))</f>
        <v/>
      </c>
      <c r="G200">
        <f>IF($A200="","",COUNTIFS('Таблиця 1'!$B:$B,$A200,'Таблиця 1'!$I:$I,"Су-27"))</f>
        <v/>
      </c>
      <c r="H200">
        <f>IF($A200="","",SUMIFS('Таблиця 1'!$K:$K,'Таблиця 1'!$B:$B,$A200,'Таблиця 1'!$I:$I,"Mirage",'Таблиця 1'!$J:$J,"AGM-88")+SUMIFS('Таблиця 1'!$K:$K,'Таблиця 1'!$B:$B,$A200,'Таблиця 1'!$I:$I,"F-16",'Таблиця 1'!$J:$J,"AGM-88")+SUMIFS('Таблиця 1'!$K:$K,'Таблиця 1'!$B:$B,$A200,'Таблиця 1'!$I:$I,"МіГ-29",'Таблиця 1'!$J:$J,"AGM-88")+SUMIFS('Таблиця 1'!$K:$K,'Таблиця 1'!$B:$B,$A200,'Таблиця 1'!$I:$I,"Су-25",'Таблиця 1'!$J:$J,"AGM-88")+SUMIFS('Таблиця 1'!$K:$K,'Таблиця 1'!$B:$B,$A200,'Таблиця 1'!$I:$I,"Су-27",'Таблиця 1'!$J:$J,"AGM-88"))</f>
        <v/>
      </c>
      <c r="I200">
        <f>IF($A200="","",SUMIFS('Таблиця 1'!$K:$K,'Таблиця 1'!$B:$B,$A200,'Таблиця 1'!$I:$I,"Mirage",'Таблиця 1'!$J:$J,"AASM-250")+SUMIFS('Таблиця 1'!$K:$K,'Таблиця 1'!$B:$B,$A200,'Таблиця 1'!$I:$I,"F-16",'Таблиця 1'!$J:$J,"AASM-250")+SUMIFS('Таблиця 1'!$K:$K,'Таблиця 1'!$B:$B,$A200,'Таблиця 1'!$I:$I,"МіГ-29",'Таблиця 1'!$J:$J,"AASM-250")+SUMIFS('Таблиця 1'!$K:$K,'Таблиця 1'!$B:$B,$A200,'Таблиця 1'!$I:$I,"Су-25",'Таблиця 1'!$J:$J,"AASM-250")+SUMIFS('Таблиця 1'!$K:$K,'Таблиця 1'!$B:$B,$A200,'Таблиця 1'!$I:$I,"Су-27",'Таблиця 1'!$J:$J,"AASM-250"))</f>
        <v/>
      </c>
      <c r="J200">
        <f>IF($A200="","",SUMIFS('Таблиця 1'!$K:$K,'Таблиця 1'!$B:$B,$A200,'Таблиця 1'!$I:$I,"Mirage",'Таблиця 1'!$J:$J,"GBU-39")+SUMIFS('Таблиця 1'!$K:$K,'Таблиця 1'!$B:$B,$A200,'Таблиця 1'!$I:$I,"F-16",'Таблиця 1'!$J:$J,"GBU-39")+SUMIFS('Таблиця 1'!$K:$K,'Таблиця 1'!$B:$B,$A200,'Таблиця 1'!$I:$I,"МіГ-29",'Таблиця 1'!$J:$J,"GBU-39")+SUMIFS('Таблиця 1'!$K:$K,'Таблиця 1'!$B:$B,$A200,'Таблиця 1'!$I:$I,"Су-25",'Таблиця 1'!$J:$J,"GBU-39")+SUMIFS('Таблиця 1'!$K:$K,'Таблиця 1'!$B:$B,$A200,'Таблиця 1'!$I:$I,"Су-27",'Таблиця 1'!$J:$J,"GBU-39"))</f>
        <v/>
      </c>
      <c r="K200">
        <f>IF($A200="","",SUMIFS('Таблиця 1'!$K:$K,'Таблиця 1'!$B:$B,$A200,'Таблиця 1'!$I:$I,"Mirage",'Таблиця 1'!$J:$J,"BLU-140")+SUMIFS('Таблиця 1'!$K:$K,'Таблиця 1'!$B:$B,$A200,'Таблиця 1'!$I:$I,"F-16",'Таблиця 1'!$J:$J,"BLU-140")+SUMIFS('Таблиця 1'!$K:$K,'Таблиця 1'!$B:$B,$A200,'Таблиця 1'!$I:$I,"МіГ-29",'Таблиця 1'!$J:$J,"BLU-140")+SUMIFS('Таблиця 1'!$K:$K,'Таблиця 1'!$B:$B,$A200,'Таблиця 1'!$I:$I,"Су-25",'Таблиця 1'!$J:$J,"BLU-140")+SUMIFS('Таблиця 1'!$K:$K,'Таблиця 1'!$B:$B,$A200,'Таблиця 1'!$I:$I,"Су-27",'Таблиця 1'!$J:$J,"BLU-140"))</f>
        <v/>
      </c>
      <c r="L200">
        <f>IF($A200="","",SUMIFS('Таблиця 1'!$K:$K,'Таблиця 1'!$B:$B,$A200,'Таблиця 1'!$I:$I,"Mirage",'Таблиця 1'!$J:$J,"GBU-65")+SUMIFS('Таблиця 1'!$K:$K,'Таблиця 1'!$B:$B,$A200,'Таблиця 1'!$I:$I,"F-16",'Таблиця 1'!$J:$J,"GBU-65")+SUMIFS('Таблиця 1'!$K:$K,'Таблиця 1'!$B:$B,$A200,'Таблиця 1'!$I:$I,"МіГ-29",'Таблиця 1'!$J:$J,"GBU-65")+SUMIFS('Таблиця 1'!$K:$K,'Таблиця 1'!$B:$B,$A200,'Таблиця 1'!$I:$I,"Су-25",'Таблиця 1'!$J:$J,"GBU-65")+SUMIFS('Таблиця 1'!$K:$K,'Таблиця 1'!$B:$B,$A200,'Таблиця 1'!$I:$I,"Су-27",'Таблиця 1'!$J:$J,"GBU-65"))</f>
        <v/>
      </c>
      <c r="M200">
        <f>IF($A200="","",SUMIFS('Таблиця 1'!$K:$K,'Таблиця 1'!$B:$B,$A200,'Таблиця 1'!$I:$I,"Mirage",'Таблиця 1'!$J:$J,"GBU-62")+SUMIFS('Таблиця 1'!$K:$K,'Таблиця 1'!$B:$B,$A200,'Таблиця 1'!$I:$I,"F-16",'Таблиця 1'!$J:$J,"GBU-62")+SUMIFS('Таблиця 1'!$K:$K,'Таблиця 1'!$B:$B,$A200,'Таблиця 1'!$I:$I,"МіГ-29",'Таблиця 1'!$J:$J,"GBU-62")+SUMIFS('Таблиця 1'!$K:$K,'Таблиця 1'!$B:$B,$A200,'Таблиця 1'!$I:$I,"Су-25",'Таблиця 1'!$J:$J,"GBU-62")+SUMIFS('Таблиця 1'!$K:$K,'Таблиця 1'!$B:$B,$A200,'Таблиця 1'!$I:$I,"Су-27",'Таблиця 1'!$J:$J,"GBU-62"))</f>
        <v/>
      </c>
      <c r="N200">
        <f>IF($A200="","",SUMIFS('Таблиця 1'!$K:$K,'Таблиця 1'!$B:$B,$A200,'Таблиця 1'!$I:$I,"Mirage",'Таблиця 1'!$J:$J,"GBU-64")+SUMIFS('Таблиця 1'!$K:$K,'Таблиця 1'!$B:$B,$A200,'Таблиця 1'!$I:$I,"F-16",'Таблиця 1'!$J:$J,"GBU-64")+SUMIFS('Таблиця 1'!$K:$K,'Таблиця 1'!$B:$B,$A200,'Таблиця 1'!$I:$I,"МіГ-29",'Таблиця 1'!$J:$J,"GBU-64")+SUMIFS('Таблиця 1'!$K:$K,'Таблиця 1'!$B:$B,$A200,'Таблиця 1'!$I:$I,"Су-25",'Таблиця 1'!$J:$J,"GBU-64")+SUMIFS('Таблиця 1'!$K:$K,'Таблиця 1'!$B:$B,$A200,'Таблиця 1'!$I:$I,"Су-27",'Таблиця 1'!$J:$J,"GBU-64"))</f>
        <v/>
      </c>
      <c r="O200">
        <f>IF($A200="","",SUMIFS('Таблиця 1'!$K:$K,'Таблиця 1'!$B:$B,$A200,'Таблиця 1'!$I:$I,"Mirage",'Таблиця 1'!$J:$J,"C-13")+SUMIFS('Таблиця 1'!$K:$K,'Таблиця 1'!$B:$B,$A200,'Таблиця 1'!$I:$I,"F-16",'Таблиця 1'!$J:$J,"C-13")+SUMIFS('Таблиця 1'!$K:$K,'Таблиця 1'!$B:$B,$A200,'Таблиця 1'!$I:$I,"МіГ-29",'Таблиця 1'!$J:$J,"C-13")+SUMIFS('Таблиця 1'!$K:$K,'Таблиця 1'!$B:$B,$A200,'Таблиця 1'!$I:$I,"Су-25",'Таблиця 1'!$J:$J,"C-13")+SUMIFS('Таблиця 1'!$K:$K,'Таблиця 1'!$B:$B,$A200,'Таблиця 1'!$I:$I,"Су-27",'Таблиця 1'!$J:$J,"C-13"))</f>
        <v/>
      </c>
      <c r="P200">
        <f>IF($A200="","",SUMIFS('Таблиця 1'!$K:$K,'Таблиця 1'!$B:$B,$A200,'Таблиця 1'!$I:$I,"Mirage",'Таблиця 1'!$J:$J,"MK-32")+SUMIFS('Таблиця 1'!$K:$K,'Таблиця 1'!$B:$B,$A200,'Таблиця 1'!$I:$I,"F-16",'Таблиця 1'!$J:$J,"MK-32")+SUMIFS('Таблиця 1'!$K:$K,'Таблиця 1'!$B:$B,$A200,'Таблиця 1'!$I:$I,"МіГ-29",'Таблиця 1'!$J:$J,"MK-32")+SUMIFS('Таблиця 1'!$K:$K,'Таблиця 1'!$B:$B,$A200,'Таблиця 1'!$I:$I,"Су-25",'Таблиця 1'!$J:$J,"MK-32")+SUMIFS('Таблиця 1'!$K:$K,'Таблиця 1'!$B:$B,$A200,'Таблиця 1'!$I:$I,"Су-27",'Таблиця 1'!$J:$J,"MK-32"))</f>
        <v/>
      </c>
      <c r="Q200">
        <f>IF($A200="","",SUMIFS('Таблиця 1'!$K:$K,'Таблиця 1'!$B:$B,$A200,'Таблиця 1'!$I:$I,"Mirage",'Таблиця 1'!$J:$J,"MK-24")+SUMIFS('Таблиця 1'!$K:$K,'Таблиця 1'!$B:$B,$A200,'Таблиця 1'!$I:$I,"F-16",'Таблиця 1'!$J:$J,"MK-24")+SUMIFS('Таблиця 1'!$K:$K,'Таблиця 1'!$B:$B,$A200,'Таблиця 1'!$I:$I,"МіГ-29",'Таблиця 1'!$J:$J,"MK-24")+SUMIFS('Таблиця 1'!$K:$K,'Таблиця 1'!$B:$B,$A200,'Таблиця 1'!$I:$I,"Су-25",'Таблиця 1'!$J:$J,"MK-24")+SUMIFS('Таблиця 1'!$K:$K,'Таблиця 1'!$B:$B,$A200,'Таблиця 1'!$I:$I,"Су-27",'Таблиця 1'!$J:$J,"MK-24"))</f>
        <v/>
      </c>
      <c r="R200">
        <f>IF($A200="","",COUNTIFS('Таблиця 1'!$B:$B,$A200,'Таблиця 1'!$I:$I,"Mirage",'Таблиця 1'!$L:$L,"Уражено")+COUNTIFS('Таблиця 1'!$B:$B,$A200,'Таблиця 1'!$I:$I,"F-16",'Таблиця 1'!$L:$L,"Уражено")+COUNTIFS('Таблиця 1'!$B:$B,$A200,'Таблиця 1'!$I:$I,"МіГ-29",'Таблиця 1'!$L:$L,"Уражено")+COUNTIFS('Таблиця 1'!$B:$B,$A200,'Таблиця 1'!$I:$I,"Су-25",'Таблиця 1'!$L:$L,"Уражено")+COUNTIFS('Таблиця 1'!$B:$B,$A200,'Таблиця 1'!$I:$I,"Су-27",'Таблиця 1'!$L:$L,"Уражено"))</f>
        <v/>
      </c>
      <c r="S200">
        <f>IF($A200="","",COUNTIFS('Таблиця 1'!$B:$B,$A200,'Таблиця 1'!$I:$I,"Mirage",'Таблиця 1'!$L:$L,"НЕ уражено")+COUNTIFS('Таблиця 1'!$B:$B,$A200,'Таблиця 1'!$I:$I,"F-16",'Таблиця 1'!$L:$L,"НЕ уражено")+COUNTIFS('Таблиця 1'!$B:$B,$A200,'Таблиця 1'!$I:$I,"МіГ-29",'Таблиця 1'!$L:$L,"НЕ уражено")+COUNTIFS('Таблиця 1'!$B:$B,$A200,'Таблиця 1'!$I:$I,"Су-25",'Таблиця 1'!$L:$L,"НЕ уражено")+COUNTIFS('Таблиця 1'!$B:$B,$A200,'Таблиця 1'!$I:$I,"Су-27",'Таблиця 1'!$L:$L,"НЕ уражено"))</f>
        <v/>
      </c>
      <c r="T200">
        <f>IF($A200="","",COUNTIFS('Таблиця 1'!$B:$B,$A200,'Таблиця 1'!$I:$I,"Mirage",'Таблиця 1'!$L:$L,"Дорозвідується")+COUNTIFS('Таблиця 1'!$B:$B,$A200,'Таблиця 1'!$I:$I,"F-16",'Таблиця 1'!$L:$L,"Дорозвідується")+COUNTIFS('Таблиця 1'!$B:$B,$A200,'Таблиця 1'!$I:$I,"МіГ-29",'Таблиця 1'!$L:$L,"Дорозвідується")+COUNTIFS('Таблиця 1'!$B:$B,$A200,'Таблиця 1'!$I:$I,"Су-25",'Таблиця 1'!$L:$L,"Дорозвідується")+COUNTIFS('Таблиця 1'!$B:$B,$A200,'Таблиця 1'!$I:$I,"Су-27",'Таблиця 1'!$L:$L,"Дорозвідується"))</f>
        <v/>
      </c>
    </row>
    <row r="201">
      <c r="A201" s="273">
        <f>IF(A200="","",IF(A200+1&gt;MAX('Таблиця 1'!$B:$B),"",A200+1))</f>
        <v/>
      </c>
      <c r="B201">
        <f>IF($A201="","",COUNTIFS('Таблиця 1'!$B:$B,$A201,'Таблиця 1'!$I:$I,"Mirage")+COUNTIFS('Таблиця 1'!$B:$B,$A201,'Таблиця 1'!$I:$I,"F-16")+COUNTIFS('Таблиця 1'!$B:$B,$A201,'Таблиця 1'!$I:$I,"МіГ-29")+COUNTIFS('Таблиця 1'!$B:$B,$A201,'Таблиця 1'!$I:$I,"Су-25")+COUNTIFS('Таблиця 1'!$B:$B,$A201,'Таблиця 1'!$I:$I,"Су-27"))</f>
        <v/>
      </c>
      <c r="C201">
        <f>IF($A201="","",COUNTIFS('Таблиця 1'!$B:$B,$A201,'Таблиця 1'!$I:$I,"Mirage"))</f>
        <v/>
      </c>
      <c r="D201">
        <f>IF($A201="","",COUNTIFS('Таблиця 1'!$B:$B,$A201,'Таблиця 1'!$I:$I,"F-16"))</f>
        <v/>
      </c>
      <c r="E201">
        <f>IF($A201="","",COUNTIFS('Таблиця 1'!$B:$B,$A201,'Таблиця 1'!$I:$I,"МіГ-29"))</f>
        <v/>
      </c>
      <c r="F201">
        <f>IF($A201="","",COUNTIFS('Таблиця 1'!$B:$B,$A201,'Таблиця 1'!$I:$I,"Су-25"))</f>
        <v/>
      </c>
      <c r="G201">
        <f>IF($A201="","",COUNTIFS('Таблиця 1'!$B:$B,$A201,'Таблиця 1'!$I:$I,"Су-27"))</f>
        <v/>
      </c>
      <c r="H201">
        <f>IF($A201="","",SUMIFS('Таблиця 1'!$K:$K,'Таблиця 1'!$B:$B,$A201,'Таблиця 1'!$I:$I,"Mirage",'Таблиця 1'!$J:$J,"AGM-88")+SUMIFS('Таблиця 1'!$K:$K,'Таблиця 1'!$B:$B,$A201,'Таблиця 1'!$I:$I,"F-16",'Таблиця 1'!$J:$J,"AGM-88")+SUMIFS('Таблиця 1'!$K:$K,'Таблиця 1'!$B:$B,$A201,'Таблиця 1'!$I:$I,"МіГ-29",'Таблиця 1'!$J:$J,"AGM-88")+SUMIFS('Таблиця 1'!$K:$K,'Таблиця 1'!$B:$B,$A201,'Таблиця 1'!$I:$I,"Су-25",'Таблиця 1'!$J:$J,"AGM-88")+SUMIFS('Таблиця 1'!$K:$K,'Таблиця 1'!$B:$B,$A201,'Таблиця 1'!$I:$I,"Су-27",'Таблиця 1'!$J:$J,"AGM-88"))</f>
        <v/>
      </c>
      <c r="I201">
        <f>IF($A201="","",SUMIFS('Таблиця 1'!$K:$K,'Таблиця 1'!$B:$B,$A201,'Таблиця 1'!$I:$I,"Mirage",'Таблиця 1'!$J:$J,"AASM-250")+SUMIFS('Таблиця 1'!$K:$K,'Таблиця 1'!$B:$B,$A201,'Таблиця 1'!$I:$I,"F-16",'Таблиця 1'!$J:$J,"AASM-250")+SUMIFS('Таблиця 1'!$K:$K,'Таблиця 1'!$B:$B,$A201,'Таблиця 1'!$I:$I,"МіГ-29",'Таблиця 1'!$J:$J,"AASM-250")+SUMIFS('Таблиця 1'!$K:$K,'Таблиця 1'!$B:$B,$A201,'Таблиця 1'!$I:$I,"Су-25",'Таблиця 1'!$J:$J,"AASM-250")+SUMIFS('Таблиця 1'!$K:$K,'Таблиця 1'!$B:$B,$A201,'Таблиця 1'!$I:$I,"Су-27",'Таблиця 1'!$J:$J,"AASM-250"))</f>
        <v/>
      </c>
      <c r="J201">
        <f>IF($A201="","",SUMIFS('Таблиця 1'!$K:$K,'Таблиця 1'!$B:$B,$A201,'Таблиця 1'!$I:$I,"Mirage",'Таблиця 1'!$J:$J,"GBU-39")+SUMIFS('Таблиця 1'!$K:$K,'Таблиця 1'!$B:$B,$A201,'Таблиця 1'!$I:$I,"F-16",'Таблиця 1'!$J:$J,"GBU-39")+SUMIFS('Таблиця 1'!$K:$K,'Таблиця 1'!$B:$B,$A201,'Таблиця 1'!$I:$I,"МіГ-29",'Таблиця 1'!$J:$J,"GBU-39")+SUMIFS('Таблиця 1'!$K:$K,'Таблиця 1'!$B:$B,$A201,'Таблиця 1'!$I:$I,"Су-25",'Таблиця 1'!$J:$J,"GBU-39")+SUMIFS('Таблиця 1'!$K:$K,'Таблиця 1'!$B:$B,$A201,'Таблиця 1'!$I:$I,"Су-27",'Таблиця 1'!$J:$J,"GBU-39"))</f>
        <v/>
      </c>
      <c r="K201">
        <f>IF($A201="","",SUMIFS('Таблиця 1'!$K:$K,'Таблиця 1'!$B:$B,$A201,'Таблиця 1'!$I:$I,"Mirage",'Таблиця 1'!$J:$J,"BLU-140")+SUMIFS('Таблиця 1'!$K:$K,'Таблиця 1'!$B:$B,$A201,'Таблиця 1'!$I:$I,"F-16",'Таблиця 1'!$J:$J,"BLU-140")+SUMIFS('Таблиця 1'!$K:$K,'Таблиця 1'!$B:$B,$A201,'Таблиця 1'!$I:$I,"МіГ-29",'Таблиця 1'!$J:$J,"BLU-140")+SUMIFS('Таблиця 1'!$K:$K,'Таблиця 1'!$B:$B,$A201,'Таблиця 1'!$I:$I,"Су-25",'Таблиця 1'!$J:$J,"BLU-140")+SUMIFS('Таблиця 1'!$K:$K,'Таблиця 1'!$B:$B,$A201,'Таблиця 1'!$I:$I,"Су-27",'Таблиця 1'!$J:$J,"BLU-140"))</f>
        <v/>
      </c>
      <c r="L201">
        <f>IF($A201="","",SUMIFS('Таблиця 1'!$K:$K,'Таблиця 1'!$B:$B,$A201,'Таблиця 1'!$I:$I,"Mirage",'Таблиця 1'!$J:$J,"GBU-65")+SUMIFS('Таблиця 1'!$K:$K,'Таблиця 1'!$B:$B,$A201,'Таблиця 1'!$I:$I,"F-16",'Таблиця 1'!$J:$J,"GBU-65")+SUMIFS('Таблиця 1'!$K:$K,'Таблиця 1'!$B:$B,$A201,'Таблиця 1'!$I:$I,"МіГ-29",'Таблиця 1'!$J:$J,"GBU-65")+SUMIFS('Таблиця 1'!$K:$K,'Таблиця 1'!$B:$B,$A201,'Таблиця 1'!$I:$I,"Су-25",'Таблиця 1'!$J:$J,"GBU-65")+SUMIFS('Таблиця 1'!$K:$K,'Таблиця 1'!$B:$B,$A201,'Таблиця 1'!$I:$I,"Су-27",'Таблиця 1'!$J:$J,"GBU-65"))</f>
        <v/>
      </c>
      <c r="M201">
        <f>IF($A201="","",SUMIFS('Таблиця 1'!$K:$K,'Таблиця 1'!$B:$B,$A201,'Таблиця 1'!$I:$I,"Mirage",'Таблиця 1'!$J:$J,"GBU-62")+SUMIFS('Таблиця 1'!$K:$K,'Таблиця 1'!$B:$B,$A201,'Таблиця 1'!$I:$I,"F-16",'Таблиця 1'!$J:$J,"GBU-62")+SUMIFS('Таблиця 1'!$K:$K,'Таблиця 1'!$B:$B,$A201,'Таблиця 1'!$I:$I,"МіГ-29",'Таблиця 1'!$J:$J,"GBU-62")+SUMIFS('Таблиця 1'!$K:$K,'Таблиця 1'!$B:$B,$A201,'Таблиця 1'!$I:$I,"Су-25",'Таблиця 1'!$J:$J,"GBU-62")+SUMIFS('Таблиця 1'!$K:$K,'Таблиця 1'!$B:$B,$A201,'Таблиця 1'!$I:$I,"Су-27",'Таблиця 1'!$J:$J,"GBU-62"))</f>
        <v/>
      </c>
      <c r="N201">
        <f>IF($A201="","",SUMIFS('Таблиця 1'!$K:$K,'Таблиця 1'!$B:$B,$A201,'Таблиця 1'!$I:$I,"Mirage",'Таблиця 1'!$J:$J,"GBU-64")+SUMIFS('Таблиця 1'!$K:$K,'Таблиця 1'!$B:$B,$A201,'Таблиця 1'!$I:$I,"F-16",'Таблиця 1'!$J:$J,"GBU-64")+SUMIFS('Таблиця 1'!$K:$K,'Таблиця 1'!$B:$B,$A201,'Таблиця 1'!$I:$I,"МіГ-29",'Таблиця 1'!$J:$J,"GBU-64")+SUMIFS('Таблиця 1'!$K:$K,'Таблиця 1'!$B:$B,$A201,'Таблиця 1'!$I:$I,"Су-25",'Таблиця 1'!$J:$J,"GBU-64")+SUMIFS('Таблиця 1'!$K:$K,'Таблиця 1'!$B:$B,$A201,'Таблиця 1'!$I:$I,"Су-27",'Таблиця 1'!$J:$J,"GBU-64"))</f>
        <v/>
      </c>
      <c r="O201">
        <f>IF($A201="","",SUMIFS('Таблиця 1'!$K:$K,'Таблиця 1'!$B:$B,$A201,'Таблиця 1'!$I:$I,"Mirage",'Таблиця 1'!$J:$J,"C-13")+SUMIFS('Таблиця 1'!$K:$K,'Таблиця 1'!$B:$B,$A201,'Таблиця 1'!$I:$I,"F-16",'Таблиця 1'!$J:$J,"C-13")+SUMIFS('Таблиця 1'!$K:$K,'Таблиця 1'!$B:$B,$A201,'Таблиця 1'!$I:$I,"МіГ-29",'Таблиця 1'!$J:$J,"C-13")+SUMIFS('Таблиця 1'!$K:$K,'Таблиця 1'!$B:$B,$A201,'Таблиця 1'!$I:$I,"Су-25",'Таблиця 1'!$J:$J,"C-13")+SUMIFS('Таблиця 1'!$K:$K,'Таблиця 1'!$B:$B,$A201,'Таблиця 1'!$I:$I,"Су-27",'Таблиця 1'!$J:$J,"C-13"))</f>
        <v/>
      </c>
      <c r="P201">
        <f>IF($A201="","",SUMIFS('Таблиця 1'!$K:$K,'Таблиця 1'!$B:$B,$A201,'Таблиця 1'!$I:$I,"Mirage",'Таблиця 1'!$J:$J,"MK-32")+SUMIFS('Таблиця 1'!$K:$K,'Таблиця 1'!$B:$B,$A201,'Таблиця 1'!$I:$I,"F-16",'Таблиця 1'!$J:$J,"MK-32")+SUMIFS('Таблиця 1'!$K:$K,'Таблиця 1'!$B:$B,$A201,'Таблиця 1'!$I:$I,"МіГ-29",'Таблиця 1'!$J:$J,"MK-32")+SUMIFS('Таблиця 1'!$K:$K,'Таблиця 1'!$B:$B,$A201,'Таблиця 1'!$I:$I,"Су-25",'Таблиця 1'!$J:$J,"MK-32")+SUMIFS('Таблиця 1'!$K:$K,'Таблиця 1'!$B:$B,$A201,'Таблиця 1'!$I:$I,"Су-27",'Таблиця 1'!$J:$J,"MK-32"))</f>
        <v/>
      </c>
      <c r="Q201">
        <f>IF($A201="","",SUMIFS('Таблиця 1'!$K:$K,'Таблиця 1'!$B:$B,$A201,'Таблиця 1'!$I:$I,"Mirage",'Таблиця 1'!$J:$J,"MK-24")+SUMIFS('Таблиця 1'!$K:$K,'Таблиця 1'!$B:$B,$A201,'Таблиця 1'!$I:$I,"F-16",'Таблиця 1'!$J:$J,"MK-24")+SUMIFS('Таблиця 1'!$K:$K,'Таблиця 1'!$B:$B,$A201,'Таблиця 1'!$I:$I,"МіГ-29",'Таблиця 1'!$J:$J,"MK-24")+SUMIFS('Таблиця 1'!$K:$K,'Таблиця 1'!$B:$B,$A201,'Таблиця 1'!$I:$I,"Су-25",'Таблиця 1'!$J:$J,"MK-24")+SUMIFS('Таблиця 1'!$K:$K,'Таблиця 1'!$B:$B,$A201,'Таблиця 1'!$I:$I,"Су-27",'Таблиця 1'!$J:$J,"MK-24"))</f>
        <v/>
      </c>
      <c r="R201">
        <f>IF($A201="","",COUNTIFS('Таблиця 1'!$B:$B,$A201,'Таблиця 1'!$I:$I,"Mirage",'Таблиця 1'!$L:$L,"Уражено")+COUNTIFS('Таблиця 1'!$B:$B,$A201,'Таблиця 1'!$I:$I,"F-16",'Таблиця 1'!$L:$L,"Уражено")+COUNTIFS('Таблиця 1'!$B:$B,$A201,'Таблиця 1'!$I:$I,"МіГ-29",'Таблиця 1'!$L:$L,"Уражено")+COUNTIFS('Таблиця 1'!$B:$B,$A201,'Таблиця 1'!$I:$I,"Су-25",'Таблиця 1'!$L:$L,"Уражено")+COUNTIFS('Таблиця 1'!$B:$B,$A201,'Таблиця 1'!$I:$I,"Су-27",'Таблиця 1'!$L:$L,"Уражено"))</f>
        <v/>
      </c>
      <c r="S201">
        <f>IF($A201="","",COUNTIFS('Таблиця 1'!$B:$B,$A201,'Таблиця 1'!$I:$I,"Mirage",'Таблиця 1'!$L:$L,"НЕ уражено")+COUNTIFS('Таблиця 1'!$B:$B,$A201,'Таблиця 1'!$I:$I,"F-16",'Таблиця 1'!$L:$L,"НЕ уражено")+COUNTIFS('Таблиця 1'!$B:$B,$A201,'Таблиця 1'!$I:$I,"МіГ-29",'Таблиця 1'!$L:$L,"НЕ уражено")+COUNTIFS('Таблиця 1'!$B:$B,$A201,'Таблиця 1'!$I:$I,"Су-25",'Таблиця 1'!$L:$L,"НЕ уражено")+COUNTIFS('Таблиця 1'!$B:$B,$A201,'Таблиця 1'!$I:$I,"Су-27",'Таблиця 1'!$L:$L,"НЕ уражено"))</f>
        <v/>
      </c>
      <c r="T201">
        <f>IF($A201="","",COUNTIFS('Таблиця 1'!$B:$B,$A201,'Таблиця 1'!$I:$I,"Mirage",'Таблиця 1'!$L:$L,"Дорозвідується")+COUNTIFS('Таблиця 1'!$B:$B,$A201,'Таблиця 1'!$I:$I,"F-16",'Таблиця 1'!$L:$L,"Дорозвідується")+COUNTIFS('Таблиця 1'!$B:$B,$A201,'Таблиця 1'!$I:$I,"МіГ-29",'Таблиця 1'!$L:$L,"Дорозвідується")+COUNTIFS('Таблиця 1'!$B:$B,$A201,'Таблиця 1'!$I:$I,"Су-25",'Таблиця 1'!$L:$L,"Дорозвідується")+COUNTIFS('Таблиця 1'!$B:$B,$A201,'Таблиця 1'!$I:$I,"Су-27",'Таблиця 1'!$L:$L,"Дорозвідується"))</f>
        <v/>
      </c>
    </row>
    <row r="202">
      <c r="A202" s="273">
        <f>IF(A201="","",IF(A201+1&gt;MAX('Таблиця 1'!$B:$B),"",A201+1))</f>
        <v/>
      </c>
      <c r="B202">
        <f>IF($A202="","",COUNTIFS('Таблиця 1'!$B:$B,$A202,'Таблиця 1'!$I:$I,"Mirage")+COUNTIFS('Таблиця 1'!$B:$B,$A202,'Таблиця 1'!$I:$I,"F-16")+COUNTIFS('Таблиця 1'!$B:$B,$A202,'Таблиця 1'!$I:$I,"МіГ-29")+COUNTIFS('Таблиця 1'!$B:$B,$A202,'Таблиця 1'!$I:$I,"Су-25")+COUNTIFS('Таблиця 1'!$B:$B,$A202,'Таблиця 1'!$I:$I,"Су-27"))</f>
        <v/>
      </c>
      <c r="C202">
        <f>IF($A202="","",COUNTIFS('Таблиця 1'!$B:$B,$A202,'Таблиця 1'!$I:$I,"Mirage"))</f>
        <v/>
      </c>
      <c r="D202">
        <f>IF($A202="","",COUNTIFS('Таблиця 1'!$B:$B,$A202,'Таблиця 1'!$I:$I,"F-16"))</f>
        <v/>
      </c>
      <c r="E202">
        <f>IF($A202="","",COUNTIFS('Таблиця 1'!$B:$B,$A202,'Таблиця 1'!$I:$I,"МіГ-29"))</f>
        <v/>
      </c>
      <c r="F202">
        <f>IF($A202="","",COUNTIFS('Таблиця 1'!$B:$B,$A202,'Таблиця 1'!$I:$I,"Су-25"))</f>
        <v/>
      </c>
      <c r="G202">
        <f>IF($A202="","",COUNTIFS('Таблиця 1'!$B:$B,$A202,'Таблиця 1'!$I:$I,"Су-27"))</f>
        <v/>
      </c>
      <c r="H202">
        <f>IF($A202="","",SUMIFS('Таблиця 1'!$K:$K,'Таблиця 1'!$B:$B,$A202,'Таблиця 1'!$I:$I,"Mirage",'Таблиця 1'!$J:$J,"AGM-88")+SUMIFS('Таблиця 1'!$K:$K,'Таблиця 1'!$B:$B,$A202,'Таблиця 1'!$I:$I,"F-16",'Таблиця 1'!$J:$J,"AGM-88")+SUMIFS('Таблиця 1'!$K:$K,'Таблиця 1'!$B:$B,$A202,'Таблиця 1'!$I:$I,"МіГ-29",'Таблиця 1'!$J:$J,"AGM-88")+SUMIFS('Таблиця 1'!$K:$K,'Таблиця 1'!$B:$B,$A202,'Таблиця 1'!$I:$I,"Су-25",'Таблиця 1'!$J:$J,"AGM-88")+SUMIFS('Таблиця 1'!$K:$K,'Таблиця 1'!$B:$B,$A202,'Таблиця 1'!$I:$I,"Су-27",'Таблиця 1'!$J:$J,"AGM-88"))</f>
        <v/>
      </c>
      <c r="I202">
        <f>IF($A202="","",SUMIFS('Таблиця 1'!$K:$K,'Таблиця 1'!$B:$B,$A202,'Таблиця 1'!$I:$I,"Mirage",'Таблиця 1'!$J:$J,"AASM-250")+SUMIFS('Таблиця 1'!$K:$K,'Таблиця 1'!$B:$B,$A202,'Таблиця 1'!$I:$I,"F-16",'Таблиця 1'!$J:$J,"AASM-250")+SUMIFS('Таблиця 1'!$K:$K,'Таблиця 1'!$B:$B,$A202,'Таблиця 1'!$I:$I,"МіГ-29",'Таблиця 1'!$J:$J,"AASM-250")+SUMIFS('Таблиця 1'!$K:$K,'Таблиця 1'!$B:$B,$A202,'Таблиця 1'!$I:$I,"Су-25",'Таблиця 1'!$J:$J,"AASM-250")+SUMIFS('Таблиця 1'!$K:$K,'Таблиця 1'!$B:$B,$A202,'Таблиця 1'!$I:$I,"Су-27",'Таблиця 1'!$J:$J,"AASM-250"))</f>
        <v/>
      </c>
      <c r="J202">
        <f>IF($A202="","",SUMIFS('Таблиця 1'!$K:$K,'Таблиця 1'!$B:$B,$A202,'Таблиця 1'!$I:$I,"Mirage",'Таблиця 1'!$J:$J,"GBU-39")+SUMIFS('Таблиця 1'!$K:$K,'Таблиця 1'!$B:$B,$A202,'Таблиця 1'!$I:$I,"F-16",'Таблиця 1'!$J:$J,"GBU-39")+SUMIFS('Таблиця 1'!$K:$K,'Таблиця 1'!$B:$B,$A202,'Таблиця 1'!$I:$I,"МіГ-29",'Таблиця 1'!$J:$J,"GBU-39")+SUMIFS('Таблиця 1'!$K:$K,'Таблиця 1'!$B:$B,$A202,'Таблиця 1'!$I:$I,"Су-25",'Таблиця 1'!$J:$J,"GBU-39")+SUMIFS('Таблиця 1'!$K:$K,'Таблиця 1'!$B:$B,$A202,'Таблиця 1'!$I:$I,"Су-27",'Таблиця 1'!$J:$J,"GBU-39"))</f>
        <v/>
      </c>
      <c r="K202">
        <f>IF($A202="","",SUMIFS('Таблиця 1'!$K:$K,'Таблиця 1'!$B:$B,$A202,'Таблиця 1'!$I:$I,"Mirage",'Таблиця 1'!$J:$J,"BLU-140")+SUMIFS('Таблиця 1'!$K:$K,'Таблиця 1'!$B:$B,$A202,'Таблиця 1'!$I:$I,"F-16",'Таблиця 1'!$J:$J,"BLU-140")+SUMIFS('Таблиця 1'!$K:$K,'Таблиця 1'!$B:$B,$A202,'Таблиця 1'!$I:$I,"МіГ-29",'Таблиця 1'!$J:$J,"BLU-140")+SUMIFS('Таблиця 1'!$K:$K,'Таблиця 1'!$B:$B,$A202,'Таблиця 1'!$I:$I,"Су-25",'Таблиця 1'!$J:$J,"BLU-140")+SUMIFS('Таблиця 1'!$K:$K,'Таблиця 1'!$B:$B,$A202,'Таблиця 1'!$I:$I,"Су-27",'Таблиця 1'!$J:$J,"BLU-140"))</f>
        <v/>
      </c>
      <c r="L202">
        <f>IF($A202="","",SUMIFS('Таблиця 1'!$K:$K,'Таблиця 1'!$B:$B,$A202,'Таблиця 1'!$I:$I,"Mirage",'Таблиця 1'!$J:$J,"GBU-65")+SUMIFS('Таблиця 1'!$K:$K,'Таблиця 1'!$B:$B,$A202,'Таблиця 1'!$I:$I,"F-16",'Таблиця 1'!$J:$J,"GBU-65")+SUMIFS('Таблиця 1'!$K:$K,'Таблиця 1'!$B:$B,$A202,'Таблиця 1'!$I:$I,"МіГ-29",'Таблиця 1'!$J:$J,"GBU-65")+SUMIFS('Таблиця 1'!$K:$K,'Таблиця 1'!$B:$B,$A202,'Таблиця 1'!$I:$I,"Су-25",'Таблиця 1'!$J:$J,"GBU-65")+SUMIFS('Таблиця 1'!$K:$K,'Таблиця 1'!$B:$B,$A202,'Таблиця 1'!$I:$I,"Су-27",'Таблиця 1'!$J:$J,"GBU-65"))</f>
        <v/>
      </c>
      <c r="M202">
        <f>IF($A202="","",SUMIFS('Таблиця 1'!$K:$K,'Таблиця 1'!$B:$B,$A202,'Таблиця 1'!$I:$I,"Mirage",'Таблиця 1'!$J:$J,"GBU-62")+SUMIFS('Таблиця 1'!$K:$K,'Таблиця 1'!$B:$B,$A202,'Таблиця 1'!$I:$I,"F-16",'Таблиця 1'!$J:$J,"GBU-62")+SUMIFS('Таблиця 1'!$K:$K,'Таблиця 1'!$B:$B,$A202,'Таблиця 1'!$I:$I,"МіГ-29",'Таблиця 1'!$J:$J,"GBU-62")+SUMIFS('Таблиця 1'!$K:$K,'Таблиця 1'!$B:$B,$A202,'Таблиця 1'!$I:$I,"Су-25",'Таблиця 1'!$J:$J,"GBU-62")+SUMIFS('Таблиця 1'!$K:$K,'Таблиця 1'!$B:$B,$A202,'Таблиця 1'!$I:$I,"Су-27",'Таблиця 1'!$J:$J,"GBU-62"))</f>
        <v/>
      </c>
      <c r="N202">
        <f>IF($A202="","",SUMIFS('Таблиця 1'!$K:$K,'Таблиця 1'!$B:$B,$A202,'Таблиця 1'!$I:$I,"Mirage",'Таблиця 1'!$J:$J,"GBU-64")+SUMIFS('Таблиця 1'!$K:$K,'Таблиця 1'!$B:$B,$A202,'Таблиця 1'!$I:$I,"F-16",'Таблиця 1'!$J:$J,"GBU-64")+SUMIFS('Таблиця 1'!$K:$K,'Таблиця 1'!$B:$B,$A202,'Таблиця 1'!$I:$I,"МіГ-29",'Таблиця 1'!$J:$J,"GBU-64")+SUMIFS('Таблиця 1'!$K:$K,'Таблиця 1'!$B:$B,$A202,'Таблиця 1'!$I:$I,"Су-25",'Таблиця 1'!$J:$J,"GBU-64")+SUMIFS('Таблиця 1'!$K:$K,'Таблиця 1'!$B:$B,$A202,'Таблиця 1'!$I:$I,"Су-27",'Таблиця 1'!$J:$J,"GBU-64"))</f>
        <v/>
      </c>
      <c r="O202">
        <f>IF($A202="","",SUMIFS('Таблиця 1'!$K:$K,'Таблиця 1'!$B:$B,$A202,'Таблиця 1'!$I:$I,"Mirage",'Таблиця 1'!$J:$J,"C-13")+SUMIFS('Таблиця 1'!$K:$K,'Таблиця 1'!$B:$B,$A202,'Таблиця 1'!$I:$I,"F-16",'Таблиця 1'!$J:$J,"C-13")+SUMIFS('Таблиця 1'!$K:$K,'Таблиця 1'!$B:$B,$A202,'Таблиця 1'!$I:$I,"МіГ-29",'Таблиця 1'!$J:$J,"C-13")+SUMIFS('Таблиця 1'!$K:$K,'Таблиця 1'!$B:$B,$A202,'Таблиця 1'!$I:$I,"Су-25",'Таблиця 1'!$J:$J,"C-13")+SUMIFS('Таблиця 1'!$K:$K,'Таблиця 1'!$B:$B,$A202,'Таблиця 1'!$I:$I,"Су-27",'Таблиця 1'!$J:$J,"C-13"))</f>
        <v/>
      </c>
      <c r="P202">
        <f>IF($A202="","",SUMIFS('Таблиця 1'!$K:$K,'Таблиця 1'!$B:$B,$A202,'Таблиця 1'!$I:$I,"Mirage",'Таблиця 1'!$J:$J,"MK-32")+SUMIFS('Таблиця 1'!$K:$K,'Таблиця 1'!$B:$B,$A202,'Таблиця 1'!$I:$I,"F-16",'Таблиця 1'!$J:$J,"MK-32")+SUMIFS('Таблиця 1'!$K:$K,'Таблиця 1'!$B:$B,$A202,'Таблиця 1'!$I:$I,"МіГ-29",'Таблиця 1'!$J:$J,"MK-32")+SUMIFS('Таблиця 1'!$K:$K,'Таблиця 1'!$B:$B,$A202,'Таблиця 1'!$I:$I,"Су-25",'Таблиця 1'!$J:$J,"MK-32")+SUMIFS('Таблиця 1'!$K:$K,'Таблиця 1'!$B:$B,$A202,'Таблиця 1'!$I:$I,"Су-27",'Таблиця 1'!$J:$J,"MK-32"))</f>
        <v/>
      </c>
      <c r="Q202">
        <f>IF($A202="","",SUMIFS('Таблиця 1'!$K:$K,'Таблиця 1'!$B:$B,$A202,'Таблиця 1'!$I:$I,"Mirage",'Таблиця 1'!$J:$J,"MK-24")+SUMIFS('Таблиця 1'!$K:$K,'Таблиця 1'!$B:$B,$A202,'Таблиця 1'!$I:$I,"F-16",'Таблиця 1'!$J:$J,"MK-24")+SUMIFS('Таблиця 1'!$K:$K,'Таблиця 1'!$B:$B,$A202,'Таблиця 1'!$I:$I,"МіГ-29",'Таблиця 1'!$J:$J,"MK-24")+SUMIFS('Таблиця 1'!$K:$K,'Таблиця 1'!$B:$B,$A202,'Таблиця 1'!$I:$I,"Су-25",'Таблиця 1'!$J:$J,"MK-24")+SUMIFS('Таблиця 1'!$K:$K,'Таблиця 1'!$B:$B,$A202,'Таблиця 1'!$I:$I,"Су-27",'Таблиця 1'!$J:$J,"MK-24"))</f>
        <v/>
      </c>
      <c r="R202">
        <f>IF($A202="","",COUNTIFS('Таблиця 1'!$B:$B,$A202,'Таблиця 1'!$I:$I,"Mirage",'Таблиця 1'!$L:$L,"Уражено")+COUNTIFS('Таблиця 1'!$B:$B,$A202,'Таблиця 1'!$I:$I,"F-16",'Таблиця 1'!$L:$L,"Уражено")+COUNTIFS('Таблиця 1'!$B:$B,$A202,'Таблиця 1'!$I:$I,"МіГ-29",'Таблиця 1'!$L:$L,"Уражено")+COUNTIFS('Таблиця 1'!$B:$B,$A202,'Таблиця 1'!$I:$I,"Су-25",'Таблиця 1'!$L:$L,"Уражено")+COUNTIFS('Таблиця 1'!$B:$B,$A202,'Таблиця 1'!$I:$I,"Су-27",'Таблиця 1'!$L:$L,"Уражено"))</f>
        <v/>
      </c>
      <c r="S202">
        <f>IF($A202="","",COUNTIFS('Таблиця 1'!$B:$B,$A202,'Таблиця 1'!$I:$I,"Mirage",'Таблиця 1'!$L:$L,"НЕ уражено")+COUNTIFS('Таблиця 1'!$B:$B,$A202,'Таблиця 1'!$I:$I,"F-16",'Таблиця 1'!$L:$L,"НЕ уражено")+COUNTIFS('Таблиця 1'!$B:$B,$A202,'Таблиця 1'!$I:$I,"МіГ-29",'Таблиця 1'!$L:$L,"НЕ уражено")+COUNTIFS('Таблиця 1'!$B:$B,$A202,'Таблиця 1'!$I:$I,"Су-25",'Таблиця 1'!$L:$L,"НЕ уражено")+COUNTIFS('Таблиця 1'!$B:$B,$A202,'Таблиця 1'!$I:$I,"Су-27",'Таблиця 1'!$L:$L,"НЕ уражено"))</f>
        <v/>
      </c>
      <c r="T202">
        <f>IF($A202="","",COUNTIFS('Таблиця 1'!$B:$B,$A202,'Таблиця 1'!$I:$I,"Mirage",'Таблиця 1'!$L:$L,"Дорозвідується")+COUNTIFS('Таблиця 1'!$B:$B,$A202,'Таблиця 1'!$I:$I,"F-16",'Таблиця 1'!$L:$L,"Дорозвідується")+COUNTIFS('Таблиця 1'!$B:$B,$A202,'Таблиця 1'!$I:$I,"МіГ-29",'Таблиця 1'!$L:$L,"Дорозвідується")+COUNTIFS('Таблиця 1'!$B:$B,$A202,'Таблиця 1'!$I:$I,"Су-25",'Таблиця 1'!$L:$L,"Дорозвідується")+COUNTIFS('Таблиця 1'!$B:$B,$A202,'Таблиця 1'!$I:$I,"Су-27",'Таблиця 1'!$L:$L,"Дорозвідується"))</f>
        <v/>
      </c>
    </row>
    <row r="203">
      <c r="A203" s="273">
        <f>IF(A202="","",IF(A202+1&gt;MAX('Таблиця 1'!$B:$B),"",A202+1))</f>
        <v/>
      </c>
      <c r="B203">
        <f>IF($A203="","",COUNTIFS('Таблиця 1'!$B:$B,$A203,'Таблиця 1'!$I:$I,"Mirage")+COUNTIFS('Таблиця 1'!$B:$B,$A203,'Таблиця 1'!$I:$I,"F-16")+COUNTIFS('Таблиця 1'!$B:$B,$A203,'Таблиця 1'!$I:$I,"МіГ-29")+COUNTIFS('Таблиця 1'!$B:$B,$A203,'Таблиця 1'!$I:$I,"Су-25")+COUNTIFS('Таблиця 1'!$B:$B,$A203,'Таблиця 1'!$I:$I,"Су-27"))</f>
        <v/>
      </c>
      <c r="C203">
        <f>IF($A203="","",COUNTIFS('Таблиця 1'!$B:$B,$A203,'Таблиця 1'!$I:$I,"Mirage"))</f>
        <v/>
      </c>
      <c r="D203">
        <f>IF($A203="","",COUNTIFS('Таблиця 1'!$B:$B,$A203,'Таблиця 1'!$I:$I,"F-16"))</f>
        <v/>
      </c>
      <c r="E203">
        <f>IF($A203="","",COUNTIFS('Таблиця 1'!$B:$B,$A203,'Таблиця 1'!$I:$I,"МіГ-29"))</f>
        <v/>
      </c>
      <c r="F203">
        <f>IF($A203="","",COUNTIFS('Таблиця 1'!$B:$B,$A203,'Таблиця 1'!$I:$I,"Су-25"))</f>
        <v/>
      </c>
      <c r="G203">
        <f>IF($A203="","",COUNTIFS('Таблиця 1'!$B:$B,$A203,'Таблиця 1'!$I:$I,"Су-27"))</f>
        <v/>
      </c>
      <c r="H203">
        <f>IF($A203="","",SUMIFS('Таблиця 1'!$K:$K,'Таблиця 1'!$B:$B,$A203,'Таблиця 1'!$I:$I,"Mirage",'Таблиця 1'!$J:$J,"AGM-88")+SUMIFS('Таблиця 1'!$K:$K,'Таблиця 1'!$B:$B,$A203,'Таблиця 1'!$I:$I,"F-16",'Таблиця 1'!$J:$J,"AGM-88")+SUMIFS('Таблиця 1'!$K:$K,'Таблиця 1'!$B:$B,$A203,'Таблиця 1'!$I:$I,"МіГ-29",'Таблиця 1'!$J:$J,"AGM-88")+SUMIFS('Таблиця 1'!$K:$K,'Таблиця 1'!$B:$B,$A203,'Таблиця 1'!$I:$I,"Су-25",'Таблиця 1'!$J:$J,"AGM-88")+SUMIFS('Таблиця 1'!$K:$K,'Таблиця 1'!$B:$B,$A203,'Таблиця 1'!$I:$I,"Су-27",'Таблиця 1'!$J:$J,"AGM-88"))</f>
        <v/>
      </c>
      <c r="I203">
        <f>IF($A203="","",SUMIFS('Таблиця 1'!$K:$K,'Таблиця 1'!$B:$B,$A203,'Таблиця 1'!$I:$I,"Mirage",'Таблиця 1'!$J:$J,"AASM-250")+SUMIFS('Таблиця 1'!$K:$K,'Таблиця 1'!$B:$B,$A203,'Таблиця 1'!$I:$I,"F-16",'Таблиця 1'!$J:$J,"AASM-250")+SUMIFS('Таблиця 1'!$K:$K,'Таблиця 1'!$B:$B,$A203,'Таблиця 1'!$I:$I,"МіГ-29",'Таблиця 1'!$J:$J,"AASM-250")+SUMIFS('Таблиця 1'!$K:$K,'Таблиця 1'!$B:$B,$A203,'Таблиця 1'!$I:$I,"Су-25",'Таблиця 1'!$J:$J,"AASM-250")+SUMIFS('Таблиця 1'!$K:$K,'Таблиця 1'!$B:$B,$A203,'Таблиця 1'!$I:$I,"Су-27",'Таблиця 1'!$J:$J,"AASM-250"))</f>
        <v/>
      </c>
      <c r="J203">
        <f>IF($A203="","",SUMIFS('Таблиця 1'!$K:$K,'Таблиця 1'!$B:$B,$A203,'Таблиця 1'!$I:$I,"Mirage",'Таблиця 1'!$J:$J,"GBU-39")+SUMIFS('Таблиця 1'!$K:$K,'Таблиця 1'!$B:$B,$A203,'Таблиця 1'!$I:$I,"F-16",'Таблиця 1'!$J:$J,"GBU-39")+SUMIFS('Таблиця 1'!$K:$K,'Таблиця 1'!$B:$B,$A203,'Таблиця 1'!$I:$I,"МіГ-29",'Таблиця 1'!$J:$J,"GBU-39")+SUMIFS('Таблиця 1'!$K:$K,'Таблиця 1'!$B:$B,$A203,'Таблиця 1'!$I:$I,"Су-25",'Таблиця 1'!$J:$J,"GBU-39")+SUMIFS('Таблиця 1'!$K:$K,'Таблиця 1'!$B:$B,$A203,'Таблиця 1'!$I:$I,"Су-27",'Таблиця 1'!$J:$J,"GBU-39"))</f>
        <v/>
      </c>
      <c r="K203">
        <f>IF($A203="","",SUMIFS('Таблиця 1'!$K:$K,'Таблиця 1'!$B:$B,$A203,'Таблиця 1'!$I:$I,"Mirage",'Таблиця 1'!$J:$J,"BLU-140")+SUMIFS('Таблиця 1'!$K:$K,'Таблиця 1'!$B:$B,$A203,'Таблиця 1'!$I:$I,"F-16",'Таблиця 1'!$J:$J,"BLU-140")+SUMIFS('Таблиця 1'!$K:$K,'Таблиця 1'!$B:$B,$A203,'Таблиця 1'!$I:$I,"МіГ-29",'Таблиця 1'!$J:$J,"BLU-140")+SUMIFS('Таблиця 1'!$K:$K,'Таблиця 1'!$B:$B,$A203,'Таблиця 1'!$I:$I,"Су-25",'Таблиця 1'!$J:$J,"BLU-140")+SUMIFS('Таблиця 1'!$K:$K,'Таблиця 1'!$B:$B,$A203,'Таблиця 1'!$I:$I,"Су-27",'Таблиця 1'!$J:$J,"BLU-140"))</f>
        <v/>
      </c>
      <c r="L203">
        <f>IF($A203="","",SUMIFS('Таблиця 1'!$K:$K,'Таблиця 1'!$B:$B,$A203,'Таблиця 1'!$I:$I,"Mirage",'Таблиця 1'!$J:$J,"GBU-65")+SUMIFS('Таблиця 1'!$K:$K,'Таблиця 1'!$B:$B,$A203,'Таблиця 1'!$I:$I,"F-16",'Таблиця 1'!$J:$J,"GBU-65")+SUMIFS('Таблиця 1'!$K:$K,'Таблиця 1'!$B:$B,$A203,'Таблиця 1'!$I:$I,"МіГ-29",'Таблиця 1'!$J:$J,"GBU-65")+SUMIFS('Таблиця 1'!$K:$K,'Таблиця 1'!$B:$B,$A203,'Таблиця 1'!$I:$I,"Су-25",'Таблиця 1'!$J:$J,"GBU-65")+SUMIFS('Таблиця 1'!$K:$K,'Таблиця 1'!$B:$B,$A203,'Таблиця 1'!$I:$I,"Су-27",'Таблиця 1'!$J:$J,"GBU-65"))</f>
        <v/>
      </c>
      <c r="M203">
        <f>IF($A203="","",SUMIFS('Таблиця 1'!$K:$K,'Таблиця 1'!$B:$B,$A203,'Таблиця 1'!$I:$I,"Mirage",'Таблиця 1'!$J:$J,"GBU-62")+SUMIFS('Таблиця 1'!$K:$K,'Таблиця 1'!$B:$B,$A203,'Таблиця 1'!$I:$I,"F-16",'Таблиця 1'!$J:$J,"GBU-62")+SUMIFS('Таблиця 1'!$K:$K,'Таблиця 1'!$B:$B,$A203,'Таблиця 1'!$I:$I,"МіГ-29",'Таблиця 1'!$J:$J,"GBU-62")+SUMIFS('Таблиця 1'!$K:$K,'Таблиця 1'!$B:$B,$A203,'Таблиця 1'!$I:$I,"Су-25",'Таблиця 1'!$J:$J,"GBU-62")+SUMIFS('Таблиця 1'!$K:$K,'Таблиця 1'!$B:$B,$A203,'Таблиця 1'!$I:$I,"Су-27",'Таблиця 1'!$J:$J,"GBU-62"))</f>
        <v/>
      </c>
      <c r="N203">
        <f>IF($A203="","",SUMIFS('Таблиця 1'!$K:$K,'Таблиця 1'!$B:$B,$A203,'Таблиця 1'!$I:$I,"Mirage",'Таблиця 1'!$J:$J,"GBU-64")+SUMIFS('Таблиця 1'!$K:$K,'Таблиця 1'!$B:$B,$A203,'Таблиця 1'!$I:$I,"F-16",'Таблиця 1'!$J:$J,"GBU-64")+SUMIFS('Таблиця 1'!$K:$K,'Таблиця 1'!$B:$B,$A203,'Таблиця 1'!$I:$I,"МіГ-29",'Таблиця 1'!$J:$J,"GBU-64")+SUMIFS('Таблиця 1'!$K:$K,'Таблиця 1'!$B:$B,$A203,'Таблиця 1'!$I:$I,"Су-25",'Таблиця 1'!$J:$J,"GBU-64")+SUMIFS('Таблиця 1'!$K:$K,'Таблиця 1'!$B:$B,$A203,'Таблиця 1'!$I:$I,"Су-27",'Таблиця 1'!$J:$J,"GBU-64"))</f>
        <v/>
      </c>
      <c r="O203">
        <f>IF($A203="","",SUMIFS('Таблиця 1'!$K:$K,'Таблиця 1'!$B:$B,$A203,'Таблиця 1'!$I:$I,"Mirage",'Таблиця 1'!$J:$J,"C-13")+SUMIFS('Таблиця 1'!$K:$K,'Таблиця 1'!$B:$B,$A203,'Таблиця 1'!$I:$I,"F-16",'Таблиця 1'!$J:$J,"C-13")+SUMIFS('Таблиця 1'!$K:$K,'Таблиця 1'!$B:$B,$A203,'Таблиця 1'!$I:$I,"МіГ-29",'Таблиця 1'!$J:$J,"C-13")+SUMIFS('Таблиця 1'!$K:$K,'Таблиця 1'!$B:$B,$A203,'Таблиця 1'!$I:$I,"Су-25",'Таблиця 1'!$J:$J,"C-13")+SUMIFS('Таблиця 1'!$K:$K,'Таблиця 1'!$B:$B,$A203,'Таблиця 1'!$I:$I,"Су-27",'Таблиця 1'!$J:$J,"C-13"))</f>
        <v/>
      </c>
      <c r="P203">
        <f>IF($A203="","",SUMIFS('Таблиця 1'!$K:$K,'Таблиця 1'!$B:$B,$A203,'Таблиця 1'!$I:$I,"Mirage",'Таблиця 1'!$J:$J,"MK-32")+SUMIFS('Таблиця 1'!$K:$K,'Таблиця 1'!$B:$B,$A203,'Таблиця 1'!$I:$I,"F-16",'Таблиця 1'!$J:$J,"MK-32")+SUMIFS('Таблиця 1'!$K:$K,'Таблиця 1'!$B:$B,$A203,'Таблиця 1'!$I:$I,"МіГ-29",'Таблиця 1'!$J:$J,"MK-32")+SUMIFS('Таблиця 1'!$K:$K,'Таблиця 1'!$B:$B,$A203,'Таблиця 1'!$I:$I,"Су-25",'Таблиця 1'!$J:$J,"MK-32")+SUMIFS('Таблиця 1'!$K:$K,'Таблиця 1'!$B:$B,$A203,'Таблиця 1'!$I:$I,"Су-27",'Таблиця 1'!$J:$J,"MK-32"))</f>
        <v/>
      </c>
      <c r="Q203">
        <f>IF($A203="","",SUMIFS('Таблиця 1'!$K:$K,'Таблиця 1'!$B:$B,$A203,'Таблиця 1'!$I:$I,"Mirage",'Таблиця 1'!$J:$J,"MK-24")+SUMIFS('Таблиця 1'!$K:$K,'Таблиця 1'!$B:$B,$A203,'Таблиця 1'!$I:$I,"F-16",'Таблиця 1'!$J:$J,"MK-24")+SUMIFS('Таблиця 1'!$K:$K,'Таблиця 1'!$B:$B,$A203,'Таблиця 1'!$I:$I,"МіГ-29",'Таблиця 1'!$J:$J,"MK-24")+SUMIFS('Таблиця 1'!$K:$K,'Таблиця 1'!$B:$B,$A203,'Таблиця 1'!$I:$I,"Су-25",'Таблиця 1'!$J:$J,"MK-24")+SUMIFS('Таблиця 1'!$K:$K,'Таблиця 1'!$B:$B,$A203,'Таблиця 1'!$I:$I,"Су-27",'Таблиця 1'!$J:$J,"MK-24"))</f>
        <v/>
      </c>
      <c r="R203">
        <f>IF($A203="","",COUNTIFS('Таблиця 1'!$B:$B,$A203,'Таблиця 1'!$I:$I,"Mirage",'Таблиця 1'!$L:$L,"Уражено")+COUNTIFS('Таблиця 1'!$B:$B,$A203,'Таблиця 1'!$I:$I,"F-16",'Таблиця 1'!$L:$L,"Уражено")+COUNTIFS('Таблиця 1'!$B:$B,$A203,'Таблиця 1'!$I:$I,"МіГ-29",'Таблиця 1'!$L:$L,"Уражено")+COUNTIFS('Таблиця 1'!$B:$B,$A203,'Таблиця 1'!$I:$I,"Су-25",'Таблиця 1'!$L:$L,"Уражено")+COUNTIFS('Таблиця 1'!$B:$B,$A203,'Таблиця 1'!$I:$I,"Су-27",'Таблиця 1'!$L:$L,"Уражено"))</f>
        <v/>
      </c>
      <c r="S203">
        <f>IF($A203="","",COUNTIFS('Таблиця 1'!$B:$B,$A203,'Таблиця 1'!$I:$I,"Mirage",'Таблиця 1'!$L:$L,"НЕ уражено")+COUNTIFS('Таблиця 1'!$B:$B,$A203,'Таблиця 1'!$I:$I,"F-16",'Таблиця 1'!$L:$L,"НЕ уражено")+COUNTIFS('Таблиця 1'!$B:$B,$A203,'Таблиця 1'!$I:$I,"МіГ-29",'Таблиця 1'!$L:$L,"НЕ уражено")+COUNTIFS('Таблиця 1'!$B:$B,$A203,'Таблиця 1'!$I:$I,"Су-25",'Таблиця 1'!$L:$L,"НЕ уражено")+COUNTIFS('Таблиця 1'!$B:$B,$A203,'Таблиця 1'!$I:$I,"Су-27",'Таблиця 1'!$L:$L,"НЕ уражено"))</f>
        <v/>
      </c>
      <c r="T203">
        <f>IF($A203="","",COUNTIFS('Таблиця 1'!$B:$B,$A203,'Таблиця 1'!$I:$I,"Mirage",'Таблиця 1'!$L:$L,"Дорозвідується")+COUNTIFS('Таблиця 1'!$B:$B,$A203,'Таблиця 1'!$I:$I,"F-16",'Таблиця 1'!$L:$L,"Дорозвідується")+COUNTIFS('Таблиця 1'!$B:$B,$A203,'Таблиця 1'!$I:$I,"МіГ-29",'Таблиця 1'!$L:$L,"Дорозвідується")+COUNTIFS('Таблиця 1'!$B:$B,$A203,'Таблиця 1'!$I:$I,"Су-25",'Таблиця 1'!$L:$L,"Дорозвідується")+COUNTIFS('Таблиця 1'!$B:$B,$A203,'Таблиця 1'!$I:$I,"Су-27",'Таблиця 1'!$L:$L,"Дорозвідується"))</f>
        <v/>
      </c>
    </row>
    <row r="204">
      <c r="A204" s="273">
        <f>IF(A203="","",IF(A203+1&gt;MAX('Таблиця 1'!$B:$B),"",A203+1))</f>
        <v/>
      </c>
      <c r="B204">
        <f>IF($A204="","",COUNTIFS('Таблиця 1'!$B:$B,$A204,'Таблиця 1'!$I:$I,"Mirage")+COUNTIFS('Таблиця 1'!$B:$B,$A204,'Таблиця 1'!$I:$I,"F-16")+COUNTIFS('Таблиця 1'!$B:$B,$A204,'Таблиця 1'!$I:$I,"МіГ-29")+COUNTIFS('Таблиця 1'!$B:$B,$A204,'Таблиця 1'!$I:$I,"Су-25")+COUNTIFS('Таблиця 1'!$B:$B,$A204,'Таблиця 1'!$I:$I,"Су-27"))</f>
        <v/>
      </c>
      <c r="C204">
        <f>IF($A204="","",COUNTIFS('Таблиця 1'!$B:$B,$A204,'Таблиця 1'!$I:$I,"Mirage"))</f>
        <v/>
      </c>
      <c r="D204">
        <f>IF($A204="","",COUNTIFS('Таблиця 1'!$B:$B,$A204,'Таблиця 1'!$I:$I,"F-16"))</f>
        <v/>
      </c>
      <c r="E204">
        <f>IF($A204="","",COUNTIFS('Таблиця 1'!$B:$B,$A204,'Таблиця 1'!$I:$I,"МіГ-29"))</f>
        <v/>
      </c>
      <c r="F204">
        <f>IF($A204="","",COUNTIFS('Таблиця 1'!$B:$B,$A204,'Таблиця 1'!$I:$I,"Су-25"))</f>
        <v/>
      </c>
      <c r="G204">
        <f>IF($A204="","",COUNTIFS('Таблиця 1'!$B:$B,$A204,'Таблиця 1'!$I:$I,"Су-27"))</f>
        <v/>
      </c>
      <c r="H204">
        <f>IF($A204="","",SUMIFS('Таблиця 1'!$K:$K,'Таблиця 1'!$B:$B,$A204,'Таблиця 1'!$I:$I,"Mirage",'Таблиця 1'!$J:$J,"AGM-88")+SUMIFS('Таблиця 1'!$K:$K,'Таблиця 1'!$B:$B,$A204,'Таблиця 1'!$I:$I,"F-16",'Таблиця 1'!$J:$J,"AGM-88")+SUMIFS('Таблиця 1'!$K:$K,'Таблиця 1'!$B:$B,$A204,'Таблиця 1'!$I:$I,"МіГ-29",'Таблиця 1'!$J:$J,"AGM-88")+SUMIFS('Таблиця 1'!$K:$K,'Таблиця 1'!$B:$B,$A204,'Таблиця 1'!$I:$I,"Су-25",'Таблиця 1'!$J:$J,"AGM-88")+SUMIFS('Таблиця 1'!$K:$K,'Таблиця 1'!$B:$B,$A204,'Таблиця 1'!$I:$I,"Су-27",'Таблиця 1'!$J:$J,"AGM-88"))</f>
        <v/>
      </c>
      <c r="I204">
        <f>IF($A204="","",SUMIFS('Таблиця 1'!$K:$K,'Таблиця 1'!$B:$B,$A204,'Таблиця 1'!$I:$I,"Mirage",'Таблиця 1'!$J:$J,"AASM-250")+SUMIFS('Таблиця 1'!$K:$K,'Таблиця 1'!$B:$B,$A204,'Таблиця 1'!$I:$I,"F-16",'Таблиця 1'!$J:$J,"AASM-250")+SUMIFS('Таблиця 1'!$K:$K,'Таблиця 1'!$B:$B,$A204,'Таблиця 1'!$I:$I,"МіГ-29",'Таблиця 1'!$J:$J,"AASM-250")+SUMIFS('Таблиця 1'!$K:$K,'Таблиця 1'!$B:$B,$A204,'Таблиця 1'!$I:$I,"Су-25",'Таблиця 1'!$J:$J,"AASM-250")+SUMIFS('Таблиця 1'!$K:$K,'Таблиця 1'!$B:$B,$A204,'Таблиця 1'!$I:$I,"Су-27",'Таблиця 1'!$J:$J,"AASM-250"))</f>
        <v/>
      </c>
      <c r="J204">
        <f>IF($A204="","",SUMIFS('Таблиця 1'!$K:$K,'Таблиця 1'!$B:$B,$A204,'Таблиця 1'!$I:$I,"Mirage",'Таблиця 1'!$J:$J,"GBU-39")+SUMIFS('Таблиця 1'!$K:$K,'Таблиця 1'!$B:$B,$A204,'Таблиця 1'!$I:$I,"F-16",'Таблиця 1'!$J:$J,"GBU-39")+SUMIFS('Таблиця 1'!$K:$K,'Таблиця 1'!$B:$B,$A204,'Таблиця 1'!$I:$I,"МіГ-29",'Таблиця 1'!$J:$J,"GBU-39")+SUMIFS('Таблиця 1'!$K:$K,'Таблиця 1'!$B:$B,$A204,'Таблиця 1'!$I:$I,"Су-25",'Таблиця 1'!$J:$J,"GBU-39")+SUMIFS('Таблиця 1'!$K:$K,'Таблиця 1'!$B:$B,$A204,'Таблиця 1'!$I:$I,"Су-27",'Таблиця 1'!$J:$J,"GBU-39"))</f>
        <v/>
      </c>
      <c r="K204">
        <f>IF($A204="","",SUMIFS('Таблиця 1'!$K:$K,'Таблиця 1'!$B:$B,$A204,'Таблиця 1'!$I:$I,"Mirage",'Таблиця 1'!$J:$J,"BLU-140")+SUMIFS('Таблиця 1'!$K:$K,'Таблиця 1'!$B:$B,$A204,'Таблиця 1'!$I:$I,"F-16",'Таблиця 1'!$J:$J,"BLU-140")+SUMIFS('Таблиця 1'!$K:$K,'Таблиця 1'!$B:$B,$A204,'Таблиця 1'!$I:$I,"МіГ-29",'Таблиця 1'!$J:$J,"BLU-140")+SUMIFS('Таблиця 1'!$K:$K,'Таблиця 1'!$B:$B,$A204,'Таблиця 1'!$I:$I,"Су-25",'Таблиця 1'!$J:$J,"BLU-140")+SUMIFS('Таблиця 1'!$K:$K,'Таблиця 1'!$B:$B,$A204,'Таблиця 1'!$I:$I,"Су-27",'Таблиця 1'!$J:$J,"BLU-140"))</f>
        <v/>
      </c>
      <c r="L204">
        <f>IF($A204="","",SUMIFS('Таблиця 1'!$K:$K,'Таблиця 1'!$B:$B,$A204,'Таблиця 1'!$I:$I,"Mirage",'Таблиця 1'!$J:$J,"GBU-65")+SUMIFS('Таблиця 1'!$K:$K,'Таблиця 1'!$B:$B,$A204,'Таблиця 1'!$I:$I,"F-16",'Таблиця 1'!$J:$J,"GBU-65")+SUMIFS('Таблиця 1'!$K:$K,'Таблиця 1'!$B:$B,$A204,'Таблиця 1'!$I:$I,"МіГ-29",'Таблиця 1'!$J:$J,"GBU-65")+SUMIFS('Таблиця 1'!$K:$K,'Таблиця 1'!$B:$B,$A204,'Таблиця 1'!$I:$I,"Су-25",'Таблиця 1'!$J:$J,"GBU-65")+SUMIFS('Таблиця 1'!$K:$K,'Таблиця 1'!$B:$B,$A204,'Таблиця 1'!$I:$I,"Су-27",'Таблиця 1'!$J:$J,"GBU-65"))</f>
        <v/>
      </c>
      <c r="M204">
        <f>IF($A204="","",SUMIFS('Таблиця 1'!$K:$K,'Таблиця 1'!$B:$B,$A204,'Таблиця 1'!$I:$I,"Mirage",'Таблиця 1'!$J:$J,"GBU-62")+SUMIFS('Таблиця 1'!$K:$K,'Таблиця 1'!$B:$B,$A204,'Таблиця 1'!$I:$I,"F-16",'Таблиця 1'!$J:$J,"GBU-62")+SUMIFS('Таблиця 1'!$K:$K,'Таблиця 1'!$B:$B,$A204,'Таблиця 1'!$I:$I,"МіГ-29",'Таблиця 1'!$J:$J,"GBU-62")+SUMIFS('Таблиця 1'!$K:$K,'Таблиця 1'!$B:$B,$A204,'Таблиця 1'!$I:$I,"Су-25",'Таблиця 1'!$J:$J,"GBU-62")+SUMIFS('Таблиця 1'!$K:$K,'Таблиця 1'!$B:$B,$A204,'Таблиця 1'!$I:$I,"Су-27",'Таблиця 1'!$J:$J,"GBU-62"))</f>
        <v/>
      </c>
      <c r="N204">
        <f>IF($A204="","",SUMIFS('Таблиця 1'!$K:$K,'Таблиця 1'!$B:$B,$A204,'Таблиця 1'!$I:$I,"Mirage",'Таблиця 1'!$J:$J,"GBU-64")+SUMIFS('Таблиця 1'!$K:$K,'Таблиця 1'!$B:$B,$A204,'Таблиця 1'!$I:$I,"F-16",'Таблиця 1'!$J:$J,"GBU-64")+SUMIFS('Таблиця 1'!$K:$K,'Таблиця 1'!$B:$B,$A204,'Таблиця 1'!$I:$I,"МіГ-29",'Таблиця 1'!$J:$J,"GBU-64")+SUMIFS('Таблиця 1'!$K:$K,'Таблиця 1'!$B:$B,$A204,'Таблиця 1'!$I:$I,"Су-25",'Таблиця 1'!$J:$J,"GBU-64")+SUMIFS('Таблиця 1'!$K:$K,'Таблиця 1'!$B:$B,$A204,'Таблиця 1'!$I:$I,"Су-27",'Таблиця 1'!$J:$J,"GBU-64"))</f>
        <v/>
      </c>
      <c r="O204">
        <f>IF($A204="","",SUMIFS('Таблиця 1'!$K:$K,'Таблиця 1'!$B:$B,$A204,'Таблиця 1'!$I:$I,"Mirage",'Таблиця 1'!$J:$J,"C-13")+SUMIFS('Таблиця 1'!$K:$K,'Таблиця 1'!$B:$B,$A204,'Таблиця 1'!$I:$I,"F-16",'Таблиця 1'!$J:$J,"C-13")+SUMIFS('Таблиця 1'!$K:$K,'Таблиця 1'!$B:$B,$A204,'Таблиця 1'!$I:$I,"МіГ-29",'Таблиця 1'!$J:$J,"C-13")+SUMIFS('Таблиця 1'!$K:$K,'Таблиця 1'!$B:$B,$A204,'Таблиця 1'!$I:$I,"Су-25",'Таблиця 1'!$J:$J,"C-13")+SUMIFS('Таблиця 1'!$K:$K,'Таблиця 1'!$B:$B,$A204,'Таблиця 1'!$I:$I,"Су-27",'Таблиця 1'!$J:$J,"C-13"))</f>
        <v/>
      </c>
      <c r="P204">
        <f>IF($A204="","",SUMIFS('Таблиця 1'!$K:$K,'Таблиця 1'!$B:$B,$A204,'Таблиця 1'!$I:$I,"Mirage",'Таблиця 1'!$J:$J,"MK-32")+SUMIFS('Таблиця 1'!$K:$K,'Таблиця 1'!$B:$B,$A204,'Таблиця 1'!$I:$I,"F-16",'Таблиця 1'!$J:$J,"MK-32")+SUMIFS('Таблиця 1'!$K:$K,'Таблиця 1'!$B:$B,$A204,'Таблиця 1'!$I:$I,"МіГ-29",'Таблиця 1'!$J:$J,"MK-32")+SUMIFS('Таблиця 1'!$K:$K,'Таблиця 1'!$B:$B,$A204,'Таблиця 1'!$I:$I,"Су-25",'Таблиця 1'!$J:$J,"MK-32")+SUMIFS('Таблиця 1'!$K:$K,'Таблиця 1'!$B:$B,$A204,'Таблиця 1'!$I:$I,"Су-27",'Таблиця 1'!$J:$J,"MK-32"))</f>
        <v/>
      </c>
      <c r="Q204">
        <f>IF($A204="","",SUMIFS('Таблиця 1'!$K:$K,'Таблиця 1'!$B:$B,$A204,'Таблиця 1'!$I:$I,"Mirage",'Таблиця 1'!$J:$J,"MK-24")+SUMIFS('Таблиця 1'!$K:$K,'Таблиця 1'!$B:$B,$A204,'Таблиця 1'!$I:$I,"F-16",'Таблиця 1'!$J:$J,"MK-24")+SUMIFS('Таблиця 1'!$K:$K,'Таблиця 1'!$B:$B,$A204,'Таблиця 1'!$I:$I,"МіГ-29",'Таблиця 1'!$J:$J,"MK-24")+SUMIFS('Таблиця 1'!$K:$K,'Таблиця 1'!$B:$B,$A204,'Таблиця 1'!$I:$I,"Су-25",'Таблиця 1'!$J:$J,"MK-24")+SUMIFS('Таблиця 1'!$K:$K,'Таблиця 1'!$B:$B,$A204,'Таблиця 1'!$I:$I,"Су-27",'Таблиця 1'!$J:$J,"MK-24"))</f>
        <v/>
      </c>
      <c r="R204">
        <f>IF($A204="","",COUNTIFS('Таблиця 1'!$B:$B,$A204,'Таблиця 1'!$I:$I,"Mirage",'Таблиця 1'!$L:$L,"Уражено")+COUNTIFS('Таблиця 1'!$B:$B,$A204,'Таблиця 1'!$I:$I,"F-16",'Таблиця 1'!$L:$L,"Уражено")+COUNTIFS('Таблиця 1'!$B:$B,$A204,'Таблиця 1'!$I:$I,"МіГ-29",'Таблиця 1'!$L:$L,"Уражено")+COUNTIFS('Таблиця 1'!$B:$B,$A204,'Таблиця 1'!$I:$I,"Су-25",'Таблиця 1'!$L:$L,"Уражено")+COUNTIFS('Таблиця 1'!$B:$B,$A204,'Таблиця 1'!$I:$I,"Су-27",'Таблиця 1'!$L:$L,"Уражено"))</f>
        <v/>
      </c>
      <c r="S204">
        <f>IF($A204="","",COUNTIFS('Таблиця 1'!$B:$B,$A204,'Таблиця 1'!$I:$I,"Mirage",'Таблиця 1'!$L:$L,"НЕ уражено")+COUNTIFS('Таблиця 1'!$B:$B,$A204,'Таблиця 1'!$I:$I,"F-16",'Таблиця 1'!$L:$L,"НЕ уражено")+COUNTIFS('Таблиця 1'!$B:$B,$A204,'Таблиця 1'!$I:$I,"МіГ-29",'Таблиця 1'!$L:$L,"НЕ уражено")+COUNTIFS('Таблиця 1'!$B:$B,$A204,'Таблиця 1'!$I:$I,"Су-25",'Таблиця 1'!$L:$L,"НЕ уражено")+COUNTIFS('Таблиця 1'!$B:$B,$A204,'Таблиця 1'!$I:$I,"Су-27",'Таблиця 1'!$L:$L,"НЕ уражено"))</f>
        <v/>
      </c>
      <c r="T204">
        <f>IF($A204="","",COUNTIFS('Таблиця 1'!$B:$B,$A204,'Таблиця 1'!$I:$I,"Mirage",'Таблиця 1'!$L:$L,"Дорозвідується")+COUNTIFS('Таблиця 1'!$B:$B,$A204,'Таблиця 1'!$I:$I,"F-16",'Таблиця 1'!$L:$L,"Дорозвідується")+COUNTIFS('Таблиця 1'!$B:$B,$A204,'Таблиця 1'!$I:$I,"МіГ-29",'Таблиця 1'!$L:$L,"Дорозвідується")+COUNTIFS('Таблиця 1'!$B:$B,$A204,'Таблиця 1'!$I:$I,"Су-25",'Таблиця 1'!$L:$L,"Дорозвідується")+COUNTIFS('Таблиця 1'!$B:$B,$A204,'Таблиця 1'!$I:$I,"Су-27",'Таблиця 1'!$L:$L,"Дорозвідується"))</f>
        <v/>
      </c>
    </row>
    <row r="205">
      <c r="A205" s="273">
        <f>IF(A204="","",IF(A204+1&gt;MAX('Таблиця 1'!$B:$B),"",A204+1))</f>
        <v/>
      </c>
      <c r="B205">
        <f>IF($A205="","",COUNTIFS('Таблиця 1'!$B:$B,$A205,'Таблиця 1'!$I:$I,"Mirage")+COUNTIFS('Таблиця 1'!$B:$B,$A205,'Таблиця 1'!$I:$I,"F-16")+COUNTIFS('Таблиця 1'!$B:$B,$A205,'Таблиця 1'!$I:$I,"МіГ-29")+COUNTIFS('Таблиця 1'!$B:$B,$A205,'Таблиця 1'!$I:$I,"Су-25")+COUNTIFS('Таблиця 1'!$B:$B,$A205,'Таблиця 1'!$I:$I,"Су-27"))</f>
        <v/>
      </c>
      <c r="C205">
        <f>IF($A205="","",COUNTIFS('Таблиця 1'!$B:$B,$A205,'Таблиця 1'!$I:$I,"Mirage"))</f>
        <v/>
      </c>
      <c r="D205">
        <f>IF($A205="","",COUNTIFS('Таблиця 1'!$B:$B,$A205,'Таблиця 1'!$I:$I,"F-16"))</f>
        <v/>
      </c>
      <c r="E205">
        <f>IF($A205="","",COUNTIFS('Таблиця 1'!$B:$B,$A205,'Таблиця 1'!$I:$I,"МіГ-29"))</f>
        <v/>
      </c>
      <c r="F205">
        <f>IF($A205="","",COUNTIFS('Таблиця 1'!$B:$B,$A205,'Таблиця 1'!$I:$I,"Су-25"))</f>
        <v/>
      </c>
      <c r="G205">
        <f>IF($A205="","",COUNTIFS('Таблиця 1'!$B:$B,$A205,'Таблиця 1'!$I:$I,"Су-27"))</f>
        <v/>
      </c>
      <c r="H205">
        <f>IF($A205="","",SUMIFS('Таблиця 1'!$K:$K,'Таблиця 1'!$B:$B,$A205,'Таблиця 1'!$I:$I,"Mirage",'Таблиця 1'!$J:$J,"AGM-88")+SUMIFS('Таблиця 1'!$K:$K,'Таблиця 1'!$B:$B,$A205,'Таблиця 1'!$I:$I,"F-16",'Таблиця 1'!$J:$J,"AGM-88")+SUMIFS('Таблиця 1'!$K:$K,'Таблиця 1'!$B:$B,$A205,'Таблиця 1'!$I:$I,"МіГ-29",'Таблиця 1'!$J:$J,"AGM-88")+SUMIFS('Таблиця 1'!$K:$K,'Таблиця 1'!$B:$B,$A205,'Таблиця 1'!$I:$I,"Су-25",'Таблиця 1'!$J:$J,"AGM-88")+SUMIFS('Таблиця 1'!$K:$K,'Таблиця 1'!$B:$B,$A205,'Таблиця 1'!$I:$I,"Су-27",'Таблиця 1'!$J:$J,"AGM-88"))</f>
        <v/>
      </c>
      <c r="I205">
        <f>IF($A205="","",SUMIFS('Таблиця 1'!$K:$K,'Таблиця 1'!$B:$B,$A205,'Таблиця 1'!$I:$I,"Mirage",'Таблиця 1'!$J:$J,"AASM-250")+SUMIFS('Таблиця 1'!$K:$K,'Таблиця 1'!$B:$B,$A205,'Таблиця 1'!$I:$I,"F-16",'Таблиця 1'!$J:$J,"AASM-250")+SUMIFS('Таблиця 1'!$K:$K,'Таблиця 1'!$B:$B,$A205,'Таблиця 1'!$I:$I,"МіГ-29",'Таблиця 1'!$J:$J,"AASM-250")+SUMIFS('Таблиця 1'!$K:$K,'Таблиця 1'!$B:$B,$A205,'Таблиця 1'!$I:$I,"Су-25",'Таблиця 1'!$J:$J,"AASM-250")+SUMIFS('Таблиця 1'!$K:$K,'Таблиця 1'!$B:$B,$A205,'Таблиця 1'!$I:$I,"Су-27",'Таблиця 1'!$J:$J,"AASM-250"))</f>
        <v/>
      </c>
      <c r="J205">
        <f>IF($A205="","",SUMIFS('Таблиця 1'!$K:$K,'Таблиця 1'!$B:$B,$A205,'Таблиця 1'!$I:$I,"Mirage",'Таблиця 1'!$J:$J,"GBU-39")+SUMIFS('Таблиця 1'!$K:$K,'Таблиця 1'!$B:$B,$A205,'Таблиця 1'!$I:$I,"F-16",'Таблиця 1'!$J:$J,"GBU-39")+SUMIFS('Таблиця 1'!$K:$K,'Таблиця 1'!$B:$B,$A205,'Таблиця 1'!$I:$I,"МіГ-29",'Таблиця 1'!$J:$J,"GBU-39")+SUMIFS('Таблиця 1'!$K:$K,'Таблиця 1'!$B:$B,$A205,'Таблиця 1'!$I:$I,"Су-25",'Таблиця 1'!$J:$J,"GBU-39")+SUMIFS('Таблиця 1'!$K:$K,'Таблиця 1'!$B:$B,$A205,'Таблиця 1'!$I:$I,"Су-27",'Таблиця 1'!$J:$J,"GBU-39"))</f>
        <v/>
      </c>
      <c r="K205">
        <f>IF($A205="","",SUMIFS('Таблиця 1'!$K:$K,'Таблиця 1'!$B:$B,$A205,'Таблиця 1'!$I:$I,"Mirage",'Таблиця 1'!$J:$J,"BLU-140")+SUMIFS('Таблиця 1'!$K:$K,'Таблиця 1'!$B:$B,$A205,'Таблиця 1'!$I:$I,"F-16",'Таблиця 1'!$J:$J,"BLU-140")+SUMIFS('Таблиця 1'!$K:$K,'Таблиця 1'!$B:$B,$A205,'Таблиця 1'!$I:$I,"МіГ-29",'Таблиця 1'!$J:$J,"BLU-140")+SUMIFS('Таблиця 1'!$K:$K,'Таблиця 1'!$B:$B,$A205,'Таблиця 1'!$I:$I,"Су-25",'Таблиця 1'!$J:$J,"BLU-140")+SUMIFS('Таблиця 1'!$K:$K,'Таблиця 1'!$B:$B,$A205,'Таблиця 1'!$I:$I,"Су-27",'Таблиця 1'!$J:$J,"BLU-140"))</f>
        <v/>
      </c>
      <c r="L205">
        <f>IF($A205="","",SUMIFS('Таблиця 1'!$K:$K,'Таблиця 1'!$B:$B,$A205,'Таблиця 1'!$I:$I,"Mirage",'Таблиця 1'!$J:$J,"GBU-65")+SUMIFS('Таблиця 1'!$K:$K,'Таблиця 1'!$B:$B,$A205,'Таблиця 1'!$I:$I,"F-16",'Таблиця 1'!$J:$J,"GBU-65")+SUMIFS('Таблиця 1'!$K:$K,'Таблиця 1'!$B:$B,$A205,'Таблиця 1'!$I:$I,"МіГ-29",'Таблиця 1'!$J:$J,"GBU-65")+SUMIFS('Таблиця 1'!$K:$K,'Таблиця 1'!$B:$B,$A205,'Таблиця 1'!$I:$I,"Су-25",'Таблиця 1'!$J:$J,"GBU-65")+SUMIFS('Таблиця 1'!$K:$K,'Таблиця 1'!$B:$B,$A205,'Таблиця 1'!$I:$I,"Су-27",'Таблиця 1'!$J:$J,"GBU-65"))</f>
        <v/>
      </c>
      <c r="M205">
        <f>IF($A205="","",SUMIFS('Таблиця 1'!$K:$K,'Таблиця 1'!$B:$B,$A205,'Таблиця 1'!$I:$I,"Mirage",'Таблиця 1'!$J:$J,"GBU-62")+SUMIFS('Таблиця 1'!$K:$K,'Таблиця 1'!$B:$B,$A205,'Таблиця 1'!$I:$I,"F-16",'Таблиця 1'!$J:$J,"GBU-62")+SUMIFS('Таблиця 1'!$K:$K,'Таблиця 1'!$B:$B,$A205,'Таблиця 1'!$I:$I,"МіГ-29",'Таблиця 1'!$J:$J,"GBU-62")+SUMIFS('Таблиця 1'!$K:$K,'Таблиця 1'!$B:$B,$A205,'Таблиця 1'!$I:$I,"Су-25",'Таблиця 1'!$J:$J,"GBU-62")+SUMIFS('Таблиця 1'!$K:$K,'Таблиця 1'!$B:$B,$A205,'Таблиця 1'!$I:$I,"Су-27",'Таблиця 1'!$J:$J,"GBU-62"))</f>
        <v/>
      </c>
      <c r="N205">
        <f>IF($A205="","",SUMIFS('Таблиця 1'!$K:$K,'Таблиця 1'!$B:$B,$A205,'Таблиця 1'!$I:$I,"Mirage",'Таблиця 1'!$J:$J,"GBU-64")+SUMIFS('Таблиця 1'!$K:$K,'Таблиця 1'!$B:$B,$A205,'Таблиця 1'!$I:$I,"F-16",'Таблиця 1'!$J:$J,"GBU-64")+SUMIFS('Таблиця 1'!$K:$K,'Таблиця 1'!$B:$B,$A205,'Таблиця 1'!$I:$I,"МіГ-29",'Таблиця 1'!$J:$J,"GBU-64")+SUMIFS('Таблиця 1'!$K:$K,'Таблиця 1'!$B:$B,$A205,'Таблиця 1'!$I:$I,"Су-25",'Таблиця 1'!$J:$J,"GBU-64")+SUMIFS('Таблиця 1'!$K:$K,'Таблиця 1'!$B:$B,$A205,'Таблиця 1'!$I:$I,"Су-27",'Таблиця 1'!$J:$J,"GBU-64"))</f>
        <v/>
      </c>
      <c r="O205">
        <f>IF($A205="","",SUMIFS('Таблиця 1'!$K:$K,'Таблиця 1'!$B:$B,$A205,'Таблиця 1'!$I:$I,"Mirage",'Таблиця 1'!$J:$J,"C-13")+SUMIFS('Таблиця 1'!$K:$K,'Таблиця 1'!$B:$B,$A205,'Таблиця 1'!$I:$I,"F-16",'Таблиця 1'!$J:$J,"C-13")+SUMIFS('Таблиця 1'!$K:$K,'Таблиця 1'!$B:$B,$A205,'Таблиця 1'!$I:$I,"МіГ-29",'Таблиця 1'!$J:$J,"C-13")+SUMIFS('Таблиця 1'!$K:$K,'Таблиця 1'!$B:$B,$A205,'Таблиця 1'!$I:$I,"Су-25",'Таблиця 1'!$J:$J,"C-13")+SUMIFS('Таблиця 1'!$K:$K,'Таблиця 1'!$B:$B,$A205,'Таблиця 1'!$I:$I,"Су-27",'Таблиця 1'!$J:$J,"C-13"))</f>
        <v/>
      </c>
      <c r="P205">
        <f>IF($A205="","",SUMIFS('Таблиця 1'!$K:$K,'Таблиця 1'!$B:$B,$A205,'Таблиця 1'!$I:$I,"Mirage",'Таблиця 1'!$J:$J,"MK-32")+SUMIFS('Таблиця 1'!$K:$K,'Таблиця 1'!$B:$B,$A205,'Таблиця 1'!$I:$I,"F-16",'Таблиця 1'!$J:$J,"MK-32")+SUMIFS('Таблиця 1'!$K:$K,'Таблиця 1'!$B:$B,$A205,'Таблиця 1'!$I:$I,"МіГ-29",'Таблиця 1'!$J:$J,"MK-32")+SUMIFS('Таблиця 1'!$K:$K,'Таблиця 1'!$B:$B,$A205,'Таблиця 1'!$I:$I,"Су-25",'Таблиця 1'!$J:$J,"MK-32")+SUMIFS('Таблиця 1'!$K:$K,'Таблиця 1'!$B:$B,$A205,'Таблиця 1'!$I:$I,"Су-27",'Таблиця 1'!$J:$J,"MK-32"))</f>
        <v/>
      </c>
      <c r="Q205">
        <f>IF($A205="","",SUMIFS('Таблиця 1'!$K:$K,'Таблиця 1'!$B:$B,$A205,'Таблиця 1'!$I:$I,"Mirage",'Таблиця 1'!$J:$J,"MK-24")+SUMIFS('Таблиця 1'!$K:$K,'Таблиця 1'!$B:$B,$A205,'Таблиця 1'!$I:$I,"F-16",'Таблиця 1'!$J:$J,"MK-24")+SUMIFS('Таблиця 1'!$K:$K,'Таблиця 1'!$B:$B,$A205,'Таблиця 1'!$I:$I,"МіГ-29",'Таблиця 1'!$J:$J,"MK-24")+SUMIFS('Таблиця 1'!$K:$K,'Таблиця 1'!$B:$B,$A205,'Таблиця 1'!$I:$I,"Су-25",'Таблиця 1'!$J:$J,"MK-24")+SUMIFS('Таблиця 1'!$K:$K,'Таблиця 1'!$B:$B,$A205,'Таблиця 1'!$I:$I,"Су-27",'Таблиця 1'!$J:$J,"MK-24"))</f>
        <v/>
      </c>
      <c r="R205">
        <f>IF($A205="","",COUNTIFS('Таблиця 1'!$B:$B,$A205,'Таблиця 1'!$I:$I,"Mirage",'Таблиця 1'!$L:$L,"Уражено")+COUNTIFS('Таблиця 1'!$B:$B,$A205,'Таблиця 1'!$I:$I,"F-16",'Таблиця 1'!$L:$L,"Уражено")+COUNTIFS('Таблиця 1'!$B:$B,$A205,'Таблиця 1'!$I:$I,"МіГ-29",'Таблиця 1'!$L:$L,"Уражено")+COUNTIFS('Таблиця 1'!$B:$B,$A205,'Таблиця 1'!$I:$I,"Су-25",'Таблиця 1'!$L:$L,"Уражено")+COUNTIFS('Таблиця 1'!$B:$B,$A205,'Таблиця 1'!$I:$I,"Су-27",'Таблиця 1'!$L:$L,"Уражено"))</f>
        <v/>
      </c>
      <c r="S205">
        <f>IF($A205="","",COUNTIFS('Таблиця 1'!$B:$B,$A205,'Таблиця 1'!$I:$I,"Mirage",'Таблиця 1'!$L:$L,"НЕ уражено")+COUNTIFS('Таблиця 1'!$B:$B,$A205,'Таблиця 1'!$I:$I,"F-16",'Таблиця 1'!$L:$L,"НЕ уражено")+COUNTIFS('Таблиця 1'!$B:$B,$A205,'Таблиця 1'!$I:$I,"МіГ-29",'Таблиця 1'!$L:$L,"НЕ уражено")+COUNTIFS('Таблиця 1'!$B:$B,$A205,'Таблиця 1'!$I:$I,"Су-25",'Таблиця 1'!$L:$L,"НЕ уражено")+COUNTIFS('Таблиця 1'!$B:$B,$A205,'Таблиця 1'!$I:$I,"Су-27",'Таблиця 1'!$L:$L,"НЕ уражено"))</f>
        <v/>
      </c>
      <c r="T205">
        <f>IF($A205="","",COUNTIFS('Таблиця 1'!$B:$B,$A205,'Таблиця 1'!$I:$I,"Mirage",'Таблиця 1'!$L:$L,"Дорозвідується")+COUNTIFS('Таблиця 1'!$B:$B,$A205,'Таблиця 1'!$I:$I,"F-16",'Таблиця 1'!$L:$L,"Дорозвідується")+COUNTIFS('Таблиця 1'!$B:$B,$A205,'Таблиця 1'!$I:$I,"МіГ-29",'Таблиця 1'!$L:$L,"Дорозвідується")+COUNTIFS('Таблиця 1'!$B:$B,$A205,'Таблиця 1'!$I:$I,"Су-25",'Таблиця 1'!$L:$L,"Дорозвідується")+COUNTIFS('Таблиця 1'!$B:$B,$A205,'Таблиця 1'!$I:$I,"Су-27",'Таблиця 1'!$L:$L,"Дорозвідується"))</f>
        <v/>
      </c>
    </row>
    <row r="206">
      <c r="A206" s="273">
        <f>IF(A205="","",IF(A205+1&gt;MAX('Таблиця 1'!$B:$B),"",A205+1))</f>
        <v/>
      </c>
      <c r="B206">
        <f>IF($A206="","",COUNTIFS('Таблиця 1'!$B:$B,$A206,'Таблиця 1'!$I:$I,"Mirage")+COUNTIFS('Таблиця 1'!$B:$B,$A206,'Таблиця 1'!$I:$I,"F-16")+COUNTIFS('Таблиця 1'!$B:$B,$A206,'Таблиця 1'!$I:$I,"МіГ-29")+COUNTIFS('Таблиця 1'!$B:$B,$A206,'Таблиця 1'!$I:$I,"Су-25")+COUNTIFS('Таблиця 1'!$B:$B,$A206,'Таблиця 1'!$I:$I,"Су-27"))</f>
        <v/>
      </c>
      <c r="C206">
        <f>IF($A206="","",COUNTIFS('Таблиця 1'!$B:$B,$A206,'Таблиця 1'!$I:$I,"Mirage"))</f>
        <v/>
      </c>
      <c r="D206">
        <f>IF($A206="","",COUNTIFS('Таблиця 1'!$B:$B,$A206,'Таблиця 1'!$I:$I,"F-16"))</f>
        <v/>
      </c>
      <c r="E206">
        <f>IF($A206="","",COUNTIFS('Таблиця 1'!$B:$B,$A206,'Таблиця 1'!$I:$I,"МіГ-29"))</f>
        <v/>
      </c>
      <c r="F206">
        <f>IF($A206="","",COUNTIFS('Таблиця 1'!$B:$B,$A206,'Таблиця 1'!$I:$I,"Су-25"))</f>
        <v/>
      </c>
      <c r="G206">
        <f>IF($A206="","",COUNTIFS('Таблиця 1'!$B:$B,$A206,'Таблиця 1'!$I:$I,"Су-27"))</f>
        <v/>
      </c>
      <c r="H206">
        <f>IF($A206="","",SUMIFS('Таблиця 1'!$K:$K,'Таблиця 1'!$B:$B,$A206,'Таблиця 1'!$I:$I,"Mirage",'Таблиця 1'!$J:$J,"AGM-88")+SUMIFS('Таблиця 1'!$K:$K,'Таблиця 1'!$B:$B,$A206,'Таблиця 1'!$I:$I,"F-16",'Таблиця 1'!$J:$J,"AGM-88")+SUMIFS('Таблиця 1'!$K:$K,'Таблиця 1'!$B:$B,$A206,'Таблиця 1'!$I:$I,"МіГ-29",'Таблиця 1'!$J:$J,"AGM-88")+SUMIFS('Таблиця 1'!$K:$K,'Таблиця 1'!$B:$B,$A206,'Таблиця 1'!$I:$I,"Су-25",'Таблиця 1'!$J:$J,"AGM-88")+SUMIFS('Таблиця 1'!$K:$K,'Таблиця 1'!$B:$B,$A206,'Таблиця 1'!$I:$I,"Су-27",'Таблиця 1'!$J:$J,"AGM-88"))</f>
        <v/>
      </c>
      <c r="I206">
        <f>IF($A206="","",SUMIFS('Таблиця 1'!$K:$K,'Таблиця 1'!$B:$B,$A206,'Таблиця 1'!$I:$I,"Mirage",'Таблиця 1'!$J:$J,"AASM-250")+SUMIFS('Таблиця 1'!$K:$K,'Таблиця 1'!$B:$B,$A206,'Таблиця 1'!$I:$I,"F-16",'Таблиця 1'!$J:$J,"AASM-250")+SUMIFS('Таблиця 1'!$K:$K,'Таблиця 1'!$B:$B,$A206,'Таблиця 1'!$I:$I,"МіГ-29",'Таблиця 1'!$J:$J,"AASM-250")+SUMIFS('Таблиця 1'!$K:$K,'Таблиця 1'!$B:$B,$A206,'Таблиця 1'!$I:$I,"Су-25",'Таблиця 1'!$J:$J,"AASM-250")+SUMIFS('Таблиця 1'!$K:$K,'Таблиця 1'!$B:$B,$A206,'Таблиця 1'!$I:$I,"Су-27",'Таблиця 1'!$J:$J,"AASM-250"))</f>
        <v/>
      </c>
      <c r="J206">
        <f>IF($A206="","",SUMIFS('Таблиця 1'!$K:$K,'Таблиця 1'!$B:$B,$A206,'Таблиця 1'!$I:$I,"Mirage",'Таблиця 1'!$J:$J,"GBU-39")+SUMIFS('Таблиця 1'!$K:$K,'Таблиця 1'!$B:$B,$A206,'Таблиця 1'!$I:$I,"F-16",'Таблиця 1'!$J:$J,"GBU-39")+SUMIFS('Таблиця 1'!$K:$K,'Таблиця 1'!$B:$B,$A206,'Таблиця 1'!$I:$I,"МіГ-29",'Таблиця 1'!$J:$J,"GBU-39")+SUMIFS('Таблиця 1'!$K:$K,'Таблиця 1'!$B:$B,$A206,'Таблиця 1'!$I:$I,"Су-25",'Таблиця 1'!$J:$J,"GBU-39")+SUMIFS('Таблиця 1'!$K:$K,'Таблиця 1'!$B:$B,$A206,'Таблиця 1'!$I:$I,"Су-27",'Таблиця 1'!$J:$J,"GBU-39"))</f>
        <v/>
      </c>
      <c r="K206">
        <f>IF($A206="","",SUMIFS('Таблиця 1'!$K:$K,'Таблиця 1'!$B:$B,$A206,'Таблиця 1'!$I:$I,"Mirage",'Таблиця 1'!$J:$J,"BLU-140")+SUMIFS('Таблиця 1'!$K:$K,'Таблиця 1'!$B:$B,$A206,'Таблиця 1'!$I:$I,"F-16",'Таблиця 1'!$J:$J,"BLU-140")+SUMIFS('Таблиця 1'!$K:$K,'Таблиця 1'!$B:$B,$A206,'Таблиця 1'!$I:$I,"МіГ-29",'Таблиця 1'!$J:$J,"BLU-140")+SUMIFS('Таблиця 1'!$K:$K,'Таблиця 1'!$B:$B,$A206,'Таблиця 1'!$I:$I,"Су-25",'Таблиця 1'!$J:$J,"BLU-140")+SUMIFS('Таблиця 1'!$K:$K,'Таблиця 1'!$B:$B,$A206,'Таблиця 1'!$I:$I,"Су-27",'Таблиця 1'!$J:$J,"BLU-140"))</f>
        <v/>
      </c>
      <c r="L206">
        <f>IF($A206="","",SUMIFS('Таблиця 1'!$K:$K,'Таблиця 1'!$B:$B,$A206,'Таблиця 1'!$I:$I,"Mirage",'Таблиця 1'!$J:$J,"GBU-65")+SUMIFS('Таблиця 1'!$K:$K,'Таблиця 1'!$B:$B,$A206,'Таблиця 1'!$I:$I,"F-16",'Таблиця 1'!$J:$J,"GBU-65")+SUMIFS('Таблиця 1'!$K:$K,'Таблиця 1'!$B:$B,$A206,'Таблиця 1'!$I:$I,"МіГ-29",'Таблиця 1'!$J:$J,"GBU-65")+SUMIFS('Таблиця 1'!$K:$K,'Таблиця 1'!$B:$B,$A206,'Таблиця 1'!$I:$I,"Су-25",'Таблиця 1'!$J:$J,"GBU-65")+SUMIFS('Таблиця 1'!$K:$K,'Таблиця 1'!$B:$B,$A206,'Таблиця 1'!$I:$I,"Су-27",'Таблиця 1'!$J:$J,"GBU-65"))</f>
        <v/>
      </c>
      <c r="M206">
        <f>IF($A206="","",SUMIFS('Таблиця 1'!$K:$K,'Таблиця 1'!$B:$B,$A206,'Таблиця 1'!$I:$I,"Mirage",'Таблиця 1'!$J:$J,"GBU-62")+SUMIFS('Таблиця 1'!$K:$K,'Таблиця 1'!$B:$B,$A206,'Таблиця 1'!$I:$I,"F-16",'Таблиця 1'!$J:$J,"GBU-62")+SUMIFS('Таблиця 1'!$K:$K,'Таблиця 1'!$B:$B,$A206,'Таблиця 1'!$I:$I,"МіГ-29",'Таблиця 1'!$J:$J,"GBU-62")+SUMIFS('Таблиця 1'!$K:$K,'Таблиця 1'!$B:$B,$A206,'Таблиця 1'!$I:$I,"Су-25",'Таблиця 1'!$J:$J,"GBU-62")+SUMIFS('Таблиця 1'!$K:$K,'Таблиця 1'!$B:$B,$A206,'Таблиця 1'!$I:$I,"Су-27",'Таблиця 1'!$J:$J,"GBU-62"))</f>
        <v/>
      </c>
      <c r="N206">
        <f>IF($A206="","",SUMIFS('Таблиця 1'!$K:$K,'Таблиця 1'!$B:$B,$A206,'Таблиця 1'!$I:$I,"Mirage",'Таблиця 1'!$J:$J,"GBU-64")+SUMIFS('Таблиця 1'!$K:$K,'Таблиця 1'!$B:$B,$A206,'Таблиця 1'!$I:$I,"F-16",'Таблиця 1'!$J:$J,"GBU-64")+SUMIFS('Таблиця 1'!$K:$K,'Таблиця 1'!$B:$B,$A206,'Таблиця 1'!$I:$I,"МіГ-29",'Таблиця 1'!$J:$J,"GBU-64")+SUMIFS('Таблиця 1'!$K:$K,'Таблиця 1'!$B:$B,$A206,'Таблиця 1'!$I:$I,"Су-25",'Таблиця 1'!$J:$J,"GBU-64")+SUMIFS('Таблиця 1'!$K:$K,'Таблиця 1'!$B:$B,$A206,'Таблиця 1'!$I:$I,"Су-27",'Таблиця 1'!$J:$J,"GBU-64"))</f>
        <v/>
      </c>
      <c r="O206">
        <f>IF($A206="","",SUMIFS('Таблиця 1'!$K:$K,'Таблиця 1'!$B:$B,$A206,'Таблиця 1'!$I:$I,"Mirage",'Таблиця 1'!$J:$J,"C-13")+SUMIFS('Таблиця 1'!$K:$K,'Таблиця 1'!$B:$B,$A206,'Таблиця 1'!$I:$I,"F-16",'Таблиця 1'!$J:$J,"C-13")+SUMIFS('Таблиця 1'!$K:$K,'Таблиця 1'!$B:$B,$A206,'Таблиця 1'!$I:$I,"МіГ-29",'Таблиця 1'!$J:$J,"C-13")+SUMIFS('Таблиця 1'!$K:$K,'Таблиця 1'!$B:$B,$A206,'Таблиця 1'!$I:$I,"Су-25",'Таблиця 1'!$J:$J,"C-13")+SUMIFS('Таблиця 1'!$K:$K,'Таблиця 1'!$B:$B,$A206,'Таблиця 1'!$I:$I,"Су-27",'Таблиця 1'!$J:$J,"C-13"))</f>
        <v/>
      </c>
      <c r="P206">
        <f>IF($A206="","",SUMIFS('Таблиця 1'!$K:$K,'Таблиця 1'!$B:$B,$A206,'Таблиця 1'!$I:$I,"Mirage",'Таблиця 1'!$J:$J,"MK-32")+SUMIFS('Таблиця 1'!$K:$K,'Таблиця 1'!$B:$B,$A206,'Таблиця 1'!$I:$I,"F-16",'Таблиця 1'!$J:$J,"MK-32")+SUMIFS('Таблиця 1'!$K:$K,'Таблиця 1'!$B:$B,$A206,'Таблиця 1'!$I:$I,"МіГ-29",'Таблиця 1'!$J:$J,"MK-32")+SUMIFS('Таблиця 1'!$K:$K,'Таблиця 1'!$B:$B,$A206,'Таблиця 1'!$I:$I,"Су-25",'Таблиця 1'!$J:$J,"MK-32")+SUMIFS('Таблиця 1'!$K:$K,'Таблиця 1'!$B:$B,$A206,'Таблиця 1'!$I:$I,"Су-27",'Таблиця 1'!$J:$J,"MK-32"))</f>
        <v/>
      </c>
      <c r="Q206">
        <f>IF($A206="","",SUMIFS('Таблиця 1'!$K:$K,'Таблиця 1'!$B:$B,$A206,'Таблиця 1'!$I:$I,"Mirage",'Таблиця 1'!$J:$J,"MK-24")+SUMIFS('Таблиця 1'!$K:$K,'Таблиця 1'!$B:$B,$A206,'Таблиця 1'!$I:$I,"F-16",'Таблиця 1'!$J:$J,"MK-24")+SUMIFS('Таблиця 1'!$K:$K,'Таблиця 1'!$B:$B,$A206,'Таблиця 1'!$I:$I,"МіГ-29",'Таблиця 1'!$J:$J,"MK-24")+SUMIFS('Таблиця 1'!$K:$K,'Таблиця 1'!$B:$B,$A206,'Таблиця 1'!$I:$I,"Су-25",'Таблиця 1'!$J:$J,"MK-24")+SUMIFS('Таблиця 1'!$K:$K,'Таблиця 1'!$B:$B,$A206,'Таблиця 1'!$I:$I,"Су-27",'Таблиця 1'!$J:$J,"MK-24"))</f>
        <v/>
      </c>
      <c r="R206">
        <f>IF($A206="","",COUNTIFS('Таблиця 1'!$B:$B,$A206,'Таблиця 1'!$I:$I,"Mirage",'Таблиця 1'!$L:$L,"Уражено")+COUNTIFS('Таблиця 1'!$B:$B,$A206,'Таблиця 1'!$I:$I,"F-16",'Таблиця 1'!$L:$L,"Уражено")+COUNTIFS('Таблиця 1'!$B:$B,$A206,'Таблиця 1'!$I:$I,"МіГ-29",'Таблиця 1'!$L:$L,"Уражено")+COUNTIFS('Таблиця 1'!$B:$B,$A206,'Таблиця 1'!$I:$I,"Су-25",'Таблиця 1'!$L:$L,"Уражено")+COUNTIFS('Таблиця 1'!$B:$B,$A206,'Таблиця 1'!$I:$I,"Су-27",'Таблиця 1'!$L:$L,"Уражено"))</f>
        <v/>
      </c>
      <c r="S206">
        <f>IF($A206="","",COUNTIFS('Таблиця 1'!$B:$B,$A206,'Таблиця 1'!$I:$I,"Mirage",'Таблиця 1'!$L:$L,"НЕ уражено")+COUNTIFS('Таблиця 1'!$B:$B,$A206,'Таблиця 1'!$I:$I,"F-16",'Таблиця 1'!$L:$L,"НЕ уражено")+COUNTIFS('Таблиця 1'!$B:$B,$A206,'Таблиця 1'!$I:$I,"МіГ-29",'Таблиця 1'!$L:$L,"НЕ уражено")+COUNTIFS('Таблиця 1'!$B:$B,$A206,'Таблиця 1'!$I:$I,"Су-25",'Таблиця 1'!$L:$L,"НЕ уражено")+COUNTIFS('Таблиця 1'!$B:$B,$A206,'Таблиця 1'!$I:$I,"Су-27",'Таблиця 1'!$L:$L,"НЕ уражено"))</f>
        <v/>
      </c>
      <c r="T206">
        <f>IF($A206="","",COUNTIFS('Таблиця 1'!$B:$B,$A206,'Таблиця 1'!$I:$I,"Mirage",'Таблиця 1'!$L:$L,"Дорозвідується")+COUNTIFS('Таблиця 1'!$B:$B,$A206,'Таблиця 1'!$I:$I,"F-16",'Таблиця 1'!$L:$L,"Дорозвідується")+COUNTIFS('Таблиця 1'!$B:$B,$A206,'Таблиця 1'!$I:$I,"МіГ-29",'Таблиця 1'!$L:$L,"Дорозвідується")+COUNTIFS('Таблиця 1'!$B:$B,$A206,'Таблиця 1'!$I:$I,"Су-25",'Таблиця 1'!$L:$L,"Дорозвідується")+COUNTIFS('Таблиця 1'!$B:$B,$A206,'Таблиця 1'!$I:$I,"Су-27",'Таблиця 1'!$L:$L,"Дорозвідується"))</f>
        <v/>
      </c>
    </row>
    <row r="207">
      <c r="A207" s="273">
        <f>IF(A206="","",IF(A206+1&gt;MAX('Таблиця 1'!$B:$B),"",A206+1))</f>
        <v/>
      </c>
      <c r="B207">
        <f>IF($A207="","",COUNTIFS('Таблиця 1'!$B:$B,$A207,'Таблиця 1'!$I:$I,"Mirage")+COUNTIFS('Таблиця 1'!$B:$B,$A207,'Таблиця 1'!$I:$I,"F-16")+COUNTIFS('Таблиця 1'!$B:$B,$A207,'Таблиця 1'!$I:$I,"МіГ-29")+COUNTIFS('Таблиця 1'!$B:$B,$A207,'Таблиця 1'!$I:$I,"Су-25")+COUNTIFS('Таблиця 1'!$B:$B,$A207,'Таблиця 1'!$I:$I,"Су-27"))</f>
        <v/>
      </c>
      <c r="C207">
        <f>IF($A207="","",COUNTIFS('Таблиця 1'!$B:$B,$A207,'Таблиця 1'!$I:$I,"Mirage"))</f>
        <v/>
      </c>
      <c r="D207">
        <f>IF($A207="","",COUNTIFS('Таблиця 1'!$B:$B,$A207,'Таблиця 1'!$I:$I,"F-16"))</f>
        <v/>
      </c>
      <c r="E207">
        <f>IF($A207="","",COUNTIFS('Таблиця 1'!$B:$B,$A207,'Таблиця 1'!$I:$I,"МіГ-29"))</f>
        <v/>
      </c>
      <c r="F207">
        <f>IF($A207="","",COUNTIFS('Таблиця 1'!$B:$B,$A207,'Таблиця 1'!$I:$I,"Су-25"))</f>
        <v/>
      </c>
      <c r="G207">
        <f>IF($A207="","",COUNTIFS('Таблиця 1'!$B:$B,$A207,'Таблиця 1'!$I:$I,"Су-27"))</f>
        <v/>
      </c>
      <c r="H207">
        <f>IF($A207="","",SUMIFS('Таблиця 1'!$K:$K,'Таблиця 1'!$B:$B,$A207,'Таблиця 1'!$I:$I,"Mirage",'Таблиця 1'!$J:$J,"AGM-88")+SUMIFS('Таблиця 1'!$K:$K,'Таблиця 1'!$B:$B,$A207,'Таблиця 1'!$I:$I,"F-16",'Таблиця 1'!$J:$J,"AGM-88")+SUMIFS('Таблиця 1'!$K:$K,'Таблиця 1'!$B:$B,$A207,'Таблиця 1'!$I:$I,"МіГ-29",'Таблиця 1'!$J:$J,"AGM-88")+SUMIFS('Таблиця 1'!$K:$K,'Таблиця 1'!$B:$B,$A207,'Таблиця 1'!$I:$I,"Су-25",'Таблиця 1'!$J:$J,"AGM-88")+SUMIFS('Таблиця 1'!$K:$K,'Таблиця 1'!$B:$B,$A207,'Таблиця 1'!$I:$I,"Су-27",'Таблиця 1'!$J:$J,"AGM-88"))</f>
        <v/>
      </c>
      <c r="I207">
        <f>IF($A207="","",SUMIFS('Таблиця 1'!$K:$K,'Таблиця 1'!$B:$B,$A207,'Таблиця 1'!$I:$I,"Mirage",'Таблиця 1'!$J:$J,"AASM-250")+SUMIFS('Таблиця 1'!$K:$K,'Таблиця 1'!$B:$B,$A207,'Таблиця 1'!$I:$I,"F-16",'Таблиця 1'!$J:$J,"AASM-250")+SUMIFS('Таблиця 1'!$K:$K,'Таблиця 1'!$B:$B,$A207,'Таблиця 1'!$I:$I,"МіГ-29",'Таблиця 1'!$J:$J,"AASM-250")+SUMIFS('Таблиця 1'!$K:$K,'Таблиця 1'!$B:$B,$A207,'Таблиця 1'!$I:$I,"Су-25",'Таблиця 1'!$J:$J,"AASM-250")+SUMIFS('Таблиця 1'!$K:$K,'Таблиця 1'!$B:$B,$A207,'Таблиця 1'!$I:$I,"Су-27",'Таблиця 1'!$J:$J,"AASM-250"))</f>
        <v/>
      </c>
      <c r="J207">
        <f>IF($A207="","",SUMIFS('Таблиця 1'!$K:$K,'Таблиця 1'!$B:$B,$A207,'Таблиця 1'!$I:$I,"Mirage",'Таблиця 1'!$J:$J,"GBU-39")+SUMIFS('Таблиця 1'!$K:$K,'Таблиця 1'!$B:$B,$A207,'Таблиця 1'!$I:$I,"F-16",'Таблиця 1'!$J:$J,"GBU-39")+SUMIFS('Таблиця 1'!$K:$K,'Таблиця 1'!$B:$B,$A207,'Таблиця 1'!$I:$I,"МіГ-29",'Таблиця 1'!$J:$J,"GBU-39")+SUMIFS('Таблиця 1'!$K:$K,'Таблиця 1'!$B:$B,$A207,'Таблиця 1'!$I:$I,"Су-25",'Таблиця 1'!$J:$J,"GBU-39")+SUMIFS('Таблиця 1'!$K:$K,'Таблиця 1'!$B:$B,$A207,'Таблиця 1'!$I:$I,"Су-27",'Таблиця 1'!$J:$J,"GBU-39"))</f>
        <v/>
      </c>
      <c r="K207">
        <f>IF($A207="","",SUMIFS('Таблиця 1'!$K:$K,'Таблиця 1'!$B:$B,$A207,'Таблиця 1'!$I:$I,"Mirage",'Таблиця 1'!$J:$J,"BLU-140")+SUMIFS('Таблиця 1'!$K:$K,'Таблиця 1'!$B:$B,$A207,'Таблиця 1'!$I:$I,"F-16",'Таблиця 1'!$J:$J,"BLU-140")+SUMIFS('Таблиця 1'!$K:$K,'Таблиця 1'!$B:$B,$A207,'Таблиця 1'!$I:$I,"МіГ-29",'Таблиця 1'!$J:$J,"BLU-140")+SUMIFS('Таблиця 1'!$K:$K,'Таблиця 1'!$B:$B,$A207,'Таблиця 1'!$I:$I,"Су-25",'Таблиця 1'!$J:$J,"BLU-140")+SUMIFS('Таблиця 1'!$K:$K,'Таблиця 1'!$B:$B,$A207,'Таблиця 1'!$I:$I,"Су-27",'Таблиця 1'!$J:$J,"BLU-140"))</f>
        <v/>
      </c>
      <c r="L207">
        <f>IF($A207="","",SUMIFS('Таблиця 1'!$K:$K,'Таблиця 1'!$B:$B,$A207,'Таблиця 1'!$I:$I,"Mirage",'Таблиця 1'!$J:$J,"GBU-65")+SUMIFS('Таблиця 1'!$K:$K,'Таблиця 1'!$B:$B,$A207,'Таблиця 1'!$I:$I,"F-16",'Таблиця 1'!$J:$J,"GBU-65")+SUMIFS('Таблиця 1'!$K:$K,'Таблиця 1'!$B:$B,$A207,'Таблиця 1'!$I:$I,"МіГ-29",'Таблиця 1'!$J:$J,"GBU-65")+SUMIFS('Таблиця 1'!$K:$K,'Таблиця 1'!$B:$B,$A207,'Таблиця 1'!$I:$I,"Су-25",'Таблиця 1'!$J:$J,"GBU-65")+SUMIFS('Таблиця 1'!$K:$K,'Таблиця 1'!$B:$B,$A207,'Таблиця 1'!$I:$I,"Су-27",'Таблиця 1'!$J:$J,"GBU-65"))</f>
        <v/>
      </c>
      <c r="M207">
        <f>IF($A207="","",SUMIFS('Таблиця 1'!$K:$K,'Таблиця 1'!$B:$B,$A207,'Таблиця 1'!$I:$I,"Mirage",'Таблиця 1'!$J:$J,"GBU-62")+SUMIFS('Таблиця 1'!$K:$K,'Таблиця 1'!$B:$B,$A207,'Таблиця 1'!$I:$I,"F-16",'Таблиця 1'!$J:$J,"GBU-62")+SUMIFS('Таблиця 1'!$K:$K,'Таблиця 1'!$B:$B,$A207,'Таблиця 1'!$I:$I,"МіГ-29",'Таблиця 1'!$J:$J,"GBU-62")+SUMIFS('Таблиця 1'!$K:$K,'Таблиця 1'!$B:$B,$A207,'Таблиця 1'!$I:$I,"Су-25",'Таблиця 1'!$J:$J,"GBU-62")+SUMIFS('Таблиця 1'!$K:$K,'Таблиця 1'!$B:$B,$A207,'Таблиця 1'!$I:$I,"Су-27",'Таблиця 1'!$J:$J,"GBU-62"))</f>
        <v/>
      </c>
      <c r="N207">
        <f>IF($A207="","",SUMIFS('Таблиця 1'!$K:$K,'Таблиця 1'!$B:$B,$A207,'Таблиця 1'!$I:$I,"Mirage",'Таблиця 1'!$J:$J,"GBU-64")+SUMIFS('Таблиця 1'!$K:$K,'Таблиця 1'!$B:$B,$A207,'Таблиця 1'!$I:$I,"F-16",'Таблиця 1'!$J:$J,"GBU-64")+SUMIFS('Таблиця 1'!$K:$K,'Таблиця 1'!$B:$B,$A207,'Таблиця 1'!$I:$I,"МіГ-29",'Таблиця 1'!$J:$J,"GBU-64")+SUMIFS('Таблиця 1'!$K:$K,'Таблиця 1'!$B:$B,$A207,'Таблиця 1'!$I:$I,"Су-25",'Таблиця 1'!$J:$J,"GBU-64")+SUMIFS('Таблиця 1'!$K:$K,'Таблиця 1'!$B:$B,$A207,'Таблиця 1'!$I:$I,"Су-27",'Таблиця 1'!$J:$J,"GBU-64"))</f>
        <v/>
      </c>
      <c r="O207">
        <f>IF($A207="","",SUMIFS('Таблиця 1'!$K:$K,'Таблиця 1'!$B:$B,$A207,'Таблиця 1'!$I:$I,"Mirage",'Таблиця 1'!$J:$J,"C-13")+SUMIFS('Таблиця 1'!$K:$K,'Таблиця 1'!$B:$B,$A207,'Таблиця 1'!$I:$I,"F-16",'Таблиця 1'!$J:$J,"C-13")+SUMIFS('Таблиця 1'!$K:$K,'Таблиця 1'!$B:$B,$A207,'Таблиця 1'!$I:$I,"МіГ-29",'Таблиця 1'!$J:$J,"C-13")+SUMIFS('Таблиця 1'!$K:$K,'Таблиця 1'!$B:$B,$A207,'Таблиця 1'!$I:$I,"Су-25",'Таблиця 1'!$J:$J,"C-13")+SUMIFS('Таблиця 1'!$K:$K,'Таблиця 1'!$B:$B,$A207,'Таблиця 1'!$I:$I,"Су-27",'Таблиця 1'!$J:$J,"C-13"))</f>
        <v/>
      </c>
      <c r="P207">
        <f>IF($A207="","",SUMIFS('Таблиця 1'!$K:$K,'Таблиця 1'!$B:$B,$A207,'Таблиця 1'!$I:$I,"Mirage",'Таблиця 1'!$J:$J,"MK-32")+SUMIFS('Таблиця 1'!$K:$K,'Таблиця 1'!$B:$B,$A207,'Таблиця 1'!$I:$I,"F-16",'Таблиця 1'!$J:$J,"MK-32")+SUMIFS('Таблиця 1'!$K:$K,'Таблиця 1'!$B:$B,$A207,'Таблиця 1'!$I:$I,"МіГ-29",'Таблиця 1'!$J:$J,"MK-32")+SUMIFS('Таблиця 1'!$K:$K,'Таблиця 1'!$B:$B,$A207,'Таблиця 1'!$I:$I,"Су-25",'Таблиця 1'!$J:$J,"MK-32")+SUMIFS('Таблиця 1'!$K:$K,'Таблиця 1'!$B:$B,$A207,'Таблиця 1'!$I:$I,"Су-27",'Таблиця 1'!$J:$J,"MK-32"))</f>
        <v/>
      </c>
      <c r="Q207">
        <f>IF($A207="","",SUMIFS('Таблиця 1'!$K:$K,'Таблиця 1'!$B:$B,$A207,'Таблиця 1'!$I:$I,"Mirage",'Таблиця 1'!$J:$J,"MK-24")+SUMIFS('Таблиця 1'!$K:$K,'Таблиця 1'!$B:$B,$A207,'Таблиця 1'!$I:$I,"F-16",'Таблиця 1'!$J:$J,"MK-24")+SUMIFS('Таблиця 1'!$K:$K,'Таблиця 1'!$B:$B,$A207,'Таблиця 1'!$I:$I,"МіГ-29",'Таблиця 1'!$J:$J,"MK-24")+SUMIFS('Таблиця 1'!$K:$K,'Таблиця 1'!$B:$B,$A207,'Таблиця 1'!$I:$I,"Су-25",'Таблиця 1'!$J:$J,"MK-24")+SUMIFS('Таблиця 1'!$K:$K,'Таблиця 1'!$B:$B,$A207,'Таблиця 1'!$I:$I,"Су-27",'Таблиця 1'!$J:$J,"MK-24"))</f>
        <v/>
      </c>
      <c r="R207">
        <f>IF($A207="","",COUNTIFS('Таблиця 1'!$B:$B,$A207,'Таблиця 1'!$I:$I,"Mirage",'Таблиця 1'!$L:$L,"Уражено")+COUNTIFS('Таблиця 1'!$B:$B,$A207,'Таблиця 1'!$I:$I,"F-16",'Таблиця 1'!$L:$L,"Уражено")+COUNTIFS('Таблиця 1'!$B:$B,$A207,'Таблиця 1'!$I:$I,"МіГ-29",'Таблиця 1'!$L:$L,"Уражено")+COUNTIFS('Таблиця 1'!$B:$B,$A207,'Таблиця 1'!$I:$I,"Су-25",'Таблиця 1'!$L:$L,"Уражено")+COUNTIFS('Таблиця 1'!$B:$B,$A207,'Таблиця 1'!$I:$I,"Су-27",'Таблиця 1'!$L:$L,"Уражено"))</f>
        <v/>
      </c>
      <c r="S207">
        <f>IF($A207="","",COUNTIFS('Таблиця 1'!$B:$B,$A207,'Таблиця 1'!$I:$I,"Mirage",'Таблиця 1'!$L:$L,"НЕ уражено")+COUNTIFS('Таблиця 1'!$B:$B,$A207,'Таблиця 1'!$I:$I,"F-16",'Таблиця 1'!$L:$L,"НЕ уражено")+COUNTIFS('Таблиця 1'!$B:$B,$A207,'Таблиця 1'!$I:$I,"МіГ-29",'Таблиця 1'!$L:$L,"НЕ уражено")+COUNTIFS('Таблиця 1'!$B:$B,$A207,'Таблиця 1'!$I:$I,"Су-25",'Таблиця 1'!$L:$L,"НЕ уражено")+COUNTIFS('Таблиця 1'!$B:$B,$A207,'Таблиця 1'!$I:$I,"Су-27",'Таблиця 1'!$L:$L,"НЕ уражено"))</f>
        <v/>
      </c>
      <c r="T207">
        <f>IF($A207="","",COUNTIFS('Таблиця 1'!$B:$B,$A207,'Таблиця 1'!$I:$I,"Mirage",'Таблиця 1'!$L:$L,"Дорозвідується")+COUNTIFS('Таблиця 1'!$B:$B,$A207,'Таблиця 1'!$I:$I,"F-16",'Таблиця 1'!$L:$L,"Дорозвідується")+COUNTIFS('Таблиця 1'!$B:$B,$A207,'Таблиця 1'!$I:$I,"МіГ-29",'Таблиця 1'!$L:$L,"Дорозвідується")+COUNTIFS('Таблиця 1'!$B:$B,$A207,'Таблиця 1'!$I:$I,"Су-25",'Таблиця 1'!$L:$L,"Дорозвідується")+COUNTIFS('Таблиця 1'!$B:$B,$A207,'Таблиця 1'!$I:$I,"Су-27",'Таблиця 1'!$L:$L,"Дорозвідується"))</f>
        <v/>
      </c>
    </row>
    <row r="208">
      <c r="A208" s="273">
        <f>IF(A207="","",IF(A207+1&gt;MAX('Таблиця 1'!$B:$B),"",A207+1))</f>
        <v/>
      </c>
      <c r="B208">
        <f>IF($A208="","",COUNTIFS('Таблиця 1'!$B:$B,$A208,'Таблиця 1'!$I:$I,"Mirage")+COUNTIFS('Таблиця 1'!$B:$B,$A208,'Таблиця 1'!$I:$I,"F-16")+COUNTIFS('Таблиця 1'!$B:$B,$A208,'Таблиця 1'!$I:$I,"МіГ-29")+COUNTIFS('Таблиця 1'!$B:$B,$A208,'Таблиця 1'!$I:$I,"Су-25")+COUNTIFS('Таблиця 1'!$B:$B,$A208,'Таблиця 1'!$I:$I,"Су-27"))</f>
        <v/>
      </c>
      <c r="C208">
        <f>IF($A208="","",COUNTIFS('Таблиця 1'!$B:$B,$A208,'Таблиця 1'!$I:$I,"Mirage"))</f>
        <v/>
      </c>
      <c r="D208">
        <f>IF($A208="","",COUNTIFS('Таблиця 1'!$B:$B,$A208,'Таблиця 1'!$I:$I,"F-16"))</f>
        <v/>
      </c>
      <c r="E208">
        <f>IF($A208="","",COUNTIFS('Таблиця 1'!$B:$B,$A208,'Таблиця 1'!$I:$I,"МіГ-29"))</f>
        <v/>
      </c>
      <c r="F208">
        <f>IF($A208="","",COUNTIFS('Таблиця 1'!$B:$B,$A208,'Таблиця 1'!$I:$I,"Су-25"))</f>
        <v/>
      </c>
      <c r="G208">
        <f>IF($A208="","",COUNTIFS('Таблиця 1'!$B:$B,$A208,'Таблиця 1'!$I:$I,"Су-27"))</f>
        <v/>
      </c>
      <c r="H208">
        <f>IF($A208="","",SUMIFS('Таблиця 1'!$K:$K,'Таблиця 1'!$B:$B,$A208,'Таблиця 1'!$I:$I,"Mirage",'Таблиця 1'!$J:$J,"AGM-88")+SUMIFS('Таблиця 1'!$K:$K,'Таблиця 1'!$B:$B,$A208,'Таблиця 1'!$I:$I,"F-16",'Таблиця 1'!$J:$J,"AGM-88")+SUMIFS('Таблиця 1'!$K:$K,'Таблиця 1'!$B:$B,$A208,'Таблиця 1'!$I:$I,"МіГ-29",'Таблиця 1'!$J:$J,"AGM-88")+SUMIFS('Таблиця 1'!$K:$K,'Таблиця 1'!$B:$B,$A208,'Таблиця 1'!$I:$I,"Су-25",'Таблиця 1'!$J:$J,"AGM-88")+SUMIFS('Таблиця 1'!$K:$K,'Таблиця 1'!$B:$B,$A208,'Таблиця 1'!$I:$I,"Су-27",'Таблиця 1'!$J:$J,"AGM-88"))</f>
        <v/>
      </c>
      <c r="I208">
        <f>IF($A208="","",SUMIFS('Таблиця 1'!$K:$K,'Таблиця 1'!$B:$B,$A208,'Таблиця 1'!$I:$I,"Mirage",'Таблиця 1'!$J:$J,"AASM-250")+SUMIFS('Таблиця 1'!$K:$K,'Таблиця 1'!$B:$B,$A208,'Таблиця 1'!$I:$I,"F-16",'Таблиця 1'!$J:$J,"AASM-250")+SUMIFS('Таблиця 1'!$K:$K,'Таблиця 1'!$B:$B,$A208,'Таблиця 1'!$I:$I,"МіГ-29",'Таблиця 1'!$J:$J,"AASM-250")+SUMIFS('Таблиця 1'!$K:$K,'Таблиця 1'!$B:$B,$A208,'Таблиця 1'!$I:$I,"Су-25",'Таблиця 1'!$J:$J,"AASM-250")+SUMIFS('Таблиця 1'!$K:$K,'Таблиця 1'!$B:$B,$A208,'Таблиця 1'!$I:$I,"Су-27",'Таблиця 1'!$J:$J,"AASM-250"))</f>
        <v/>
      </c>
      <c r="J208">
        <f>IF($A208="","",SUMIFS('Таблиця 1'!$K:$K,'Таблиця 1'!$B:$B,$A208,'Таблиця 1'!$I:$I,"Mirage",'Таблиця 1'!$J:$J,"GBU-39")+SUMIFS('Таблиця 1'!$K:$K,'Таблиця 1'!$B:$B,$A208,'Таблиця 1'!$I:$I,"F-16",'Таблиця 1'!$J:$J,"GBU-39")+SUMIFS('Таблиця 1'!$K:$K,'Таблиця 1'!$B:$B,$A208,'Таблиця 1'!$I:$I,"МіГ-29",'Таблиця 1'!$J:$J,"GBU-39")+SUMIFS('Таблиця 1'!$K:$K,'Таблиця 1'!$B:$B,$A208,'Таблиця 1'!$I:$I,"Су-25",'Таблиця 1'!$J:$J,"GBU-39")+SUMIFS('Таблиця 1'!$K:$K,'Таблиця 1'!$B:$B,$A208,'Таблиця 1'!$I:$I,"Су-27",'Таблиця 1'!$J:$J,"GBU-39"))</f>
        <v/>
      </c>
      <c r="K208">
        <f>IF($A208="","",SUMIFS('Таблиця 1'!$K:$K,'Таблиця 1'!$B:$B,$A208,'Таблиця 1'!$I:$I,"Mirage",'Таблиця 1'!$J:$J,"BLU-140")+SUMIFS('Таблиця 1'!$K:$K,'Таблиця 1'!$B:$B,$A208,'Таблиця 1'!$I:$I,"F-16",'Таблиця 1'!$J:$J,"BLU-140")+SUMIFS('Таблиця 1'!$K:$K,'Таблиця 1'!$B:$B,$A208,'Таблиця 1'!$I:$I,"МіГ-29",'Таблиця 1'!$J:$J,"BLU-140")+SUMIFS('Таблиця 1'!$K:$K,'Таблиця 1'!$B:$B,$A208,'Таблиця 1'!$I:$I,"Су-25",'Таблиця 1'!$J:$J,"BLU-140")+SUMIFS('Таблиця 1'!$K:$K,'Таблиця 1'!$B:$B,$A208,'Таблиця 1'!$I:$I,"Су-27",'Таблиця 1'!$J:$J,"BLU-140"))</f>
        <v/>
      </c>
      <c r="L208">
        <f>IF($A208="","",SUMIFS('Таблиця 1'!$K:$K,'Таблиця 1'!$B:$B,$A208,'Таблиця 1'!$I:$I,"Mirage",'Таблиця 1'!$J:$J,"GBU-65")+SUMIFS('Таблиця 1'!$K:$K,'Таблиця 1'!$B:$B,$A208,'Таблиця 1'!$I:$I,"F-16",'Таблиця 1'!$J:$J,"GBU-65")+SUMIFS('Таблиця 1'!$K:$K,'Таблиця 1'!$B:$B,$A208,'Таблиця 1'!$I:$I,"МіГ-29",'Таблиця 1'!$J:$J,"GBU-65")+SUMIFS('Таблиця 1'!$K:$K,'Таблиця 1'!$B:$B,$A208,'Таблиця 1'!$I:$I,"Су-25",'Таблиця 1'!$J:$J,"GBU-65")+SUMIFS('Таблиця 1'!$K:$K,'Таблиця 1'!$B:$B,$A208,'Таблиця 1'!$I:$I,"Су-27",'Таблиця 1'!$J:$J,"GBU-65"))</f>
        <v/>
      </c>
      <c r="M208">
        <f>IF($A208="","",SUMIFS('Таблиця 1'!$K:$K,'Таблиця 1'!$B:$B,$A208,'Таблиця 1'!$I:$I,"Mirage",'Таблиця 1'!$J:$J,"GBU-62")+SUMIFS('Таблиця 1'!$K:$K,'Таблиця 1'!$B:$B,$A208,'Таблиця 1'!$I:$I,"F-16",'Таблиця 1'!$J:$J,"GBU-62")+SUMIFS('Таблиця 1'!$K:$K,'Таблиця 1'!$B:$B,$A208,'Таблиця 1'!$I:$I,"МіГ-29",'Таблиця 1'!$J:$J,"GBU-62")+SUMIFS('Таблиця 1'!$K:$K,'Таблиця 1'!$B:$B,$A208,'Таблиця 1'!$I:$I,"Су-25",'Таблиця 1'!$J:$J,"GBU-62")+SUMIFS('Таблиця 1'!$K:$K,'Таблиця 1'!$B:$B,$A208,'Таблиця 1'!$I:$I,"Су-27",'Таблиця 1'!$J:$J,"GBU-62"))</f>
        <v/>
      </c>
      <c r="N208">
        <f>IF($A208="","",SUMIFS('Таблиця 1'!$K:$K,'Таблиця 1'!$B:$B,$A208,'Таблиця 1'!$I:$I,"Mirage",'Таблиця 1'!$J:$J,"GBU-64")+SUMIFS('Таблиця 1'!$K:$K,'Таблиця 1'!$B:$B,$A208,'Таблиця 1'!$I:$I,"F-16",'Таблиця 1'!$J:$J,"GBU-64")+SUMIFS('Таблиця 1'!$K:$K,'Таблиця 1'!$B:$B,$A208,'Таблиця 1'!$I:$I,"МіГ-29",'Таблиця 1'!$J:$J,"GBU-64")+SUMIFS('Таблиця 1'!$K:$K,'Таблиця 1'!$B:$B,$A208,'Таблиця 1'!$I:$I,"Су-25",'Таблиця 1'!$J:$J,"GBU-64")+SUMIFS('Таблиця 1'!$K:$K,'Таблиця 1'!$B:$B,$A208,'Таблиця 1'!$I:$I,"Су-27",'Таблиця 1'!$J:$J,"GBU-64"))</f>
        <v/>
      </c>
      <c r="O208">
        <f>IF($A208="","",SUMIFS('Таблиця 1'!$K:$K,'Таблиця 1'!$B:$B,$A208,'Таблиця 1'!$I:$I,"Mirage",'Таблиця 1'!$J:$J,"C-13")+SUMIFS('Таблиця 1'!$K:$K,'Таблиця 1'!$B:$B,$A208,'Таблиця 1'!$I:$I,"F-16",'Таблиця 1'!$J:$J,"C-13")+SUMIFS('Таблиця 1'!$K:$K,'Таблиця 1'!$B:$B,$A208,'Таблиця 1'!$I:$I,"МіГ-29",'Таблиця 1'!$J:$J,"C-13")+SUMIFS('Таблиця 1'!$K:$K,'Таблиця 1'!$B:$B,$A208,'Таблиця 1'!$I:$I,"Су-25",'Таблиця 1'!$J:$J,"C-13")+SUMIFS('Таблиця 1'!$K:$K,'Таблиця 1'!$B:$B,$A208,'Таблиця 1'!$I:$I,"Су-27",'Таблиця 1'!$J:$J,"C-13"))</f>
        <v/>
      </c>
      <c r="P208">
        <f>IF($A208="","",SUMIFS('Таблиця 1'!$K:$K,'Таблиця 1'!$B:$B,$A208,'Таблиця 1'!$I:$I,"Mirage",'Таблиця 1'!$J:$J,"MK-32")+SUMIFS('Таблиця 1'!$K:$K,'Таблиця 1'!$B:$B,$A208,'Таблиця 1'!$I:$I,"F-16",'Таблиця 1'!$J:$J,"MK-32")+SUMIFS('Таблиця 1'!$K:$K,'Таблиця 1'!$B:$B,$A208,'Таблиця 1'!$I:$I,"МіГ-29",'Таблиця 1'!$J:$J,"MK-32")+SUMIFS('Таблиця 1'!$K:$K,'Таблиця 1'!$B:$B,$A208,'Таблиця 1'!$I:$I,"Су-25",'Таблиця 1'!$J:$J,"MK-32")+SUMIFS('Таблиця 1'!$K:$K,'Таблиця 1'!$B:$B,$A208,'Таблиця 1'!$I:$I,"Су-27",'Таблиця 1'!$J:$J,"MK-32"))</f>
        <v/>
      </c>
      <c r="Q208">
        <f>IF($A208="","",SUMIFS('Таблиця 1'!$K:$K,'Таблиця 1'!$B:$B,$A208,'Таблиця 1'!$I:$I,"Mirage",'Таблиця 1'!$J:$J,"MK-24")+SUMIFS('Таблиця 1'!$K:$K,'Таблиця 1'!$B:$B,$A208,'Таблиця 1'!$I:$I,"F-16",'Таблиця 1'!$J:$J,"MK-24")+SUMIFS('Таблиця 1'!$K:$K,'Таблиця 1'!$B:$B,$A208,'Таблиця 1'!$I:$I,"МіГ-29",'Таблиця 1'!$J:$J,"MK-24")+SUMIFS('Таблиця 1'!$K:$K,'Таблиця 1'!$B:$B,$A208,'Таблиця 1'!$I:$I,"Су-25",'Таблиця 1'!$J:$J,"MK-24")+SUMIFS('Таблиця 1'!$K:$K,'Таблиця 1'!$B:$B,$A208,'Таблиця 1'!$I:$I,"Су-27",'Таблиця 1'!$J:$J,"MK-24"))</f>
        <v/>
      </c>
      <c r="R208">
        <f>IF($A208="","",COUNTIFS('Таблиця 1'!$B:$B,$A208,'Таблиця 1'!$I:$I,"Mirage",'Таблиця 1'!$L:$L,"Уражено")+COUNTIFS('Таблиця 1'!$B:$B,$A208,'Таблиця 1'!$I:$I,"F-16",'Таблиця 1'!$L:$L,"Уражено")+COUNTIFS('Таблиця 1'!$B:$B,$A208,'Таблиця 1'!$I:$I,"МіГ-29",'Таблиця 1'!$L:$L,"Уражено")+COUNTIFS('Таблиця 1'!$B:$B,$A208,'Таблиця 1'!$I:$I,"Су-25",'Таблиця 1'!$L:$L,"Уражено")+COUNTIFS('Таблиця 1'!$B:$B,$A208,'Таблиця 1'!$I:$I,"Су-27",'Таблиця 1'!$L:$L,"Уражено"))</f>
        <v/>
      </c>
      <c r="S208">
        <f>IF($A208="","",COUNTIFS('Таблиця 1'!$B:$B,$A208,'Таблиця 1'!$I:$I,"Mirage",'Таблиця 1'!$L:$L,"НЕ уражено")+COUNTIFS('Таблиця 1'!$B:$B,$A208,'Таблиця 1'!$I:$I,"F-16",'Таблиця 1'!$L:$L,"НЕ уражено")+COUNTIFS('Таблиця 1'!$B:$B,$A208,'Таблиця 1'!$I:$I,"МіГ-29",'Таблиця 1'!$L:$L,"НЕ уражено")+COUNTIFS('Таблиця 1'!$B:$B,$A208,'Таблиця 1'!$I:$I,"Су-25",'Таблиця 1'!$L:$L,"НЕ уражено")+COUNTIFS('Таблиця 1'!$B:$B,$A208,'Таблиця 1'!$I:$I,"Су-27",'Таблиця 1'!$L:$L,"НЕ уражено"))</f>
        <v/>
      </c>
      <c r="T208">
        <f>IF($A208="","",COUNTIFS('Таблиця 1'!$B:$B,$A208,'Таблиця 1'!$I:$I,"Mirage",'Таблиця 1'!$L:$L,"Дорозвідується")+COUNTIFS('Таблиця 1'!$B:$B,$A208,'Таблиця 1'!$I:$I,"F-16",'Таблиця 1'!$L:$L,"Дорозвідується")+COUNTIFS('Таблиця 1'!$B:$B,$A208,'Таблиця 1'!$I:$I,"МіГ-29",'Таблиця 1'!$L:$L,"Дорозвідується")+COUNTIFS('Таблиця 1'!$B:$B,$A208,'Таблиця 1'!$I:$I,"Су-25",'Таблиця 1'!$L:$L,"Дорозвідується")+COUNTIFS('Таблиця 1'!$B:$B,$A208,'Таблиця 1'!$I:$I,"Су-27",'Таблиця 1'!$L:$L,"Дорозвідується"))</f>
        <v/>
      </c>
    </row>
    <row r="209">
      <c r="A209" s="273">
        <f>IF(A208="","",IF(A208+1&gt;MAX('Таблиця 1'!$B:$B),"",A208+1))</f>
        <v/>
      </c>
      <c r="B209">
        <f>IF($A209="","",COUNTIFS('Таблиця 1'!$B:$B,$A209,'Таблиця 1'!$I:$I,"Mirage")+COUNTIFS('Таблиця 1'!$B:$B,$A209,'Таблиця 1'!$I:$I,"F-16")+COUNTIFS('Таблиця 1'!$B:$B,$A209,'Таблиця 1'!$I:$I,"МіГ-29")+COUNTIFS('Таблиця 1'!$B:$B,$A209,'Таблиця 1'!$I:$I,"Су-25")+COUNTIFS('Таблиця 1'!$B:$B,$A209,'Таблиця 1'!$I:$I,"Су-27"))</f>
        <v/>
      </c>
      <c r="C209">
        <f>IF($A209="","",COUNTIFS('Таблиця 1'!$B:$B,$A209,'Таблиця 1'!$I:$I,"Mirage"))</f>
        <v/>
      </c>
      <c r="D209">
        <f>IF($A209="","",COUNTIFS('Таблиця 1'!$B:$B,$A209,'Таблиця 1'!$I:$I,"F-16"))</f>
        <v/>
      </c>
      <c r="E209">
        <f>IF($A209="","",COUNTIFS('Таблиця 1'!$B:$B,$A209,'Таблиця 1'!$I:$I,"МіГ-29"))</f>
        <v/>
      </c>
      <c r="F209">
        <f>IF($A209="","",COUNTIFS('Таблиця 1'!$B:$B,$A209,'Таблиця 1'!$I:$I,"Су-25"))</f>
        <v/>
      </c>
      <c r="G209">
        <f>IF($A209="","",COUNTIFS('Таблиця 1'!$B:$B,$A209,'Таблиця 1'!$I:$I,"Су-27"))</f>
        <v/>
      </c>
      <c r="H209">
        <f>IF($A209="","",SUMIFS('Таблиця 1'!$K:$K,'Таблиця 1'!$B:$B,$A209,'Таблиця 1'!$I:$I,"Mirage",'Таблиця 1'!$J:$J,"AGM-88")+SUMIFS('Таблиця 1'!$K:$K,'Таблиця 1'!$B:$B,$A209,'Таблиця 1'!$I:$I,"F-16",'Таблиця 1'!$J:$J,"AGM-88")+SUMIFS('Таблиця 1'!$K:$K,'Таблиця 1'!$B:$B,$A209,'Таблиця 1'!$I:$I,"МіГ-29",'Таблиця 1'!$J:$J,"AGM-88")+SUMIFS('Таблиця 1'!$K:$K,'Таблиця 1'!$B:$B,$A209,'Таблиця 1'!$I:$I,"Су-25",'Таблиця 1'!$J:$J,"AGM-88")+SUMIFS('Таблиця 1'!$K:$K,'Таблиця 1'!$B:$B,$A209,'Таблиця 1'!$I:$I,"Су-27",'Таблиця 1'!$J:$J,"AGM-88"))</f>
        <v/>
      </c>
      <c r="I209">
        <f>IF($A209="","",SUMIFS('Таблиця 1'!$K:$K,'Таблиця 1'!$B:$B,$A209,'Таблиця 1'!$I:$I,"Mirage",'Таблиця 1'!$J:$J,"AASM-250")+SUMIFS('Таблиця 1'!$K:$K,'Таблиця 1'!$B:$B,$A209,'Таблиця 1'!$I:$I,"F-16",'Таблиця 1'!$J:$J,"AASM-250")+SUMIFS('Таблиця 1'!$K:$K,'Таблиця 1'!$B:$B,$A209,'Таблиця 1'!$I:$I,"МіГ-29",'Таблиця 1'!$J:$J,"AASM-250")+SUMIFS('Таблиця 1'!$K:$K,'Таблиця 1'!$B:$B,$A209,'Таблиця 1'!$I:$I,"Су-25",'Таблиця 1'!$J:$J,"AASM-250")+SUMIFS('Таблиця 1'!$K:$K,'Таблиця 1'!$B:$B,$A209,'Таблиця 1'!$I:$I,"Су-27",'Таблиця 1'!$J:$J,"AASM-250"))</f>
        <v/>
      </c>
      <c r="J209">
        <f>IF($A209="","",SUMIFS('Таблиця 1'!$K:$K,'Таблиця 1'!$B:$B,$A209,'Таблиця 1'!$I:$I,"Mirage",'Таблиця 1'!$J:$J,"GBU-39")+SUMIFS('Таблиця 1'!$K:$K,'Таблиця 1'!$B:$B,$A209,'Таблиця 1'!$I:$I,"F-16",'Таблиця 1'!$J:$J,"GBU-39")+SUMIFS('Таблиця 1'!$K:$K,'Таблиця 1'!$B:$B,$A209,'Таблиця 1'!$I:$I,"МіГ-29",'Таблиця 1'!$J:$J,"GBU-39")+SUMIFS('Таблиця 1'!$K:$K,'Таблиця 1'!$B:$B,$A209,'Таблиця 1'!$I:$I,"Су-25",'Таблиця 1'!$J:$J,"GBU-39")+SUMIFS('Таблиця 1'!$K:$K,'Таблиця 1'!$B:$B,$A209,'Таблиця 1'!$I:$I,"Су-27",'Таблиця 1'!$J:$J,"GBU-39"))</f>
        <v/>
      </c>
      <c r="K209">
        <f>IF($A209="","",SUMIFS('Таблиця 1'!$K:$K,'Таблиця 1'!$B:$B,$A209,'Таблиця 1'!$I:$I,"Mirage",'Таблиця 1'!$J:$J,"BLU-140")+SUMIFS('Таблиця 1'!$K:$K,'Таблиця 1'!$B:$B,$A209,'Таблиця 1'!$I:$I,"F-16",'Таблиця 1'!$J:$J,"BLU-140")+SUMIFS('Таблиця 1'!$K:$K,'Таблиця 1'!$B:$B,$A209,'Таблиця 1'!$I:$I,"МіГ-29",'Таблиця 1'!$J:$J,"BLU-140")+SUMIFS('Таблиця 1'!$K:$K,'Таблиця 1'!$B:$B,$A209,'Таблиця 1'!$I:$I,"Су-25",'Таблиця 1'!$J:$J,"BLU-140")+SUMIFS('Таблиця 1'!$K:$K,'Таблиця 1'!$B:$B,$A209,'Таблиця 1'!$I:$I,"Су-27",'Таблиця 1'!$J:$J,"BLU-140"))</f>
        <v/>
      </c>
      <c r="L209">
        <f>IF($A209="","",SUMIFS('Таблиця 1'!$K:$K,'Таблиця 1'!$B:$B,$A209,'Таблиця 1'!$I:$I,"Mirage",'Таблиця 1'!$J:$J,"GBU-65")+SUMIFS('Таблиця 1'!$K:$K,'Таблиця 1'!$B:$B,$A209,'Таблиця 1'!$I:$I,"F-16",'Таблиця 1'!$J:$J,"GBU-65")+SUMIFS('Таблиця 1'!$K:$K,'Таблиця 1'!$B:$B,$A209,'Таблиця 1'!$I:$I,"МіГ-29",'Таблиця 1'!$J:$J,"GBU-65")+SUMIFS('Таблиця 1'!$K:$K,'Таблиця 1'!$B:$B,$A209,'Таблиця 1'!$I:$I,"Су-25",'Таблиця 1'!$J:$J,"GBU-65")+SUMIFS('Таблиця 1'!$K:$K,'Таблиця 1'!$B:$B,$A209,'Таблиця 1'!$I:$I,"Су-27",'Таблиця 1'!$J:$J,"GBU-65"))</f>
        <v/>
      </c>
      <c r="M209">
        <f>IF($A209="","",SUMIFS('Таблиця 1'!$K:$K,'Таблиця 1'!$B:$B,$A209,'Таблиця 1'!$I:$I,"Mirage",'Таблиця 1'!$J:$J,"GBU-62")+SUMIFS('Таблиця 1'!$K:$K,'Таблиця 1'!$B:$B,$A209,'Таблиця 1'!$I:$I,"F-16",'Таблиця 1'!$J:$J,"GBU-62")+SUMIFS('Таблиця 1'!$K:$K,'Таблиця 1'!$B:$B,$A209,'Таблиця 1'!$I:$I,"МіГ-29",'Таблиця 1'!$J:$J,"GBU-62")+SUMIFS('Таблиця 1'!$K:$K,'Таблиця 1'!$B:$B,$A209,'Таблиця 1'!$I:$I,"Су-25",'Таблиця 1'!$J:$J,"GBU-62")+SUMIFS('Таблиця 1'!$K:$K,'Таблиця 1'!$B:$B,$A209,'Таблиця 1'!$I:$I,"Су-27",'Таблиця 1'!$J:$J,"GBU-62"))</f>
        <v/>
      </c>
      <c r="N209">
        <f>IF($A209="","",SUMIFS('Таблиця 1'!$K:$K,'Таблиця 1'!$B:$B,$A209,'Таблиця 1'!$I:$I,"Mirage",'Таблиця 1'!$J:$J,"GBU-64")+SUMIFS('Таблиця 1'!$K:$K,'Таблиця 1'!$B:$B,$A209,'Таблиця 1'!$I:$I,"F-16",'Таблиця 1'!$J:$J,"GBU-64")+SUMIFS('Таблиця 1'!$K:$K,'Таблиця 1'!$B:$B,$A209,'Таблиця 1'!$I:$I,"МіГ-29",'Таблиця 1'!$J:$J,"GBU-64")+SUMIFS('Таблиця 1'!$K:$K,'Таблиця 1'!$B:$B,$A209,'Таблиця 1'!$I:$I,"Су-25",'Таблиця 1'!$J:$J,"GBU-64")+SUMIFS('Таблиця 1'!$K:$K,'Таблиця 1'!$B:$B,$A209,'Таблиця 1'!$I:$I,"Су-27",'Таблиця 1'!$J:$J,"GBU-64"))</f>
        <v/>
      </c>
      <c r="O209">
        <f>IF($A209="","",SUMIFS('Таблиця 1'!$K:$K,'Таблиця 1'!$B:$B,$A209,'Таблиця 1'!$I:$I,"Mirage",'Таблиця 1'!$J:$J,"C-13")+SUMIFS('Таблиця 1'!$K:$K,'Таблиця 1'!$B:$B,$A209,'Таблиця 1'!$I:$I,"F-16",'Таблиця 1'!$J:$J,"C-13")+SUMIFS('Таблиця 1'!$K:$K,'Таблиця 1'!$B:$B,$A209,'Таблиця 1'!$I:$I,"МіГ-29",'Таблиця 1'!$J:$J,"C-13")+SUMIFS('Таблиця 1'!$K:$K,'Таблиця 1'!$B:$B,$A209,'Таблиця 1'!$I:$I,"Су-25",'Таблиця 1'!$J:$J,"C-13")+SUMIFS('Таблиця 1'!$K:$K,'Таблиця 1'!$B:$B,$A209,'Таблиця 1'!$I:$I,"Су-27",'Таблиця 1'!$J:$J,"C-13"))</f>
        <v/>
      </c>
      <c r="P209">
        <f>IF($A209="","",SUMIFS('Таблиця 1'!$K:$K,'Таблиця 1'!$B:$B,$A209,'Таблиця 1'!$I:$I,"Mirage",'Таблиця 1'!$J:$J,"MK-32")+SUMIFS('Таблиця 1'!$K:$K,'Таблиця 1'!$B:$B,$A209,'Таблиця 1'!$I:$I,"F-16",'Таблиця 1'!$J:$J,"MK-32")+SUMIFS('Таблиця 1'!$K:$K,'Таблиця 1'!$B:$B,$A209,'Таблиця 1'!$I:$I,"МіГ-29",'Таблиця 1'!$J:$J,"MK-32")+SUMIFS('Таблиця 1'!$K:$K,'Таблиця 1'!$B:$B,$A209,'Таблиця 1'!$I:$I,"Су-25",'Таблиця 1'!$J:$J,"MK-32")+SUMIFS('Таблиця 1'!$K:$K,'Таблиця 1'!$B:$B,$A209,'Таблиця 1'!$I:$I,"Су-27",'Таблиця 1'!$J:$J,"MK-32"))</f>
        <v/>
      </c>
      <c r="Q209">
        <f>IF($A209="","",SUMIFS('Таблиця 1'!$K:$K,'Таблиця 1'!$B:$B,$A209,'Таблиця 1'!$I:$I,"Mirage",'Таблиця 1'!$J:$J,"MK-24")+SUMIFS('Таблиця 1'!$K:$K,'Таблиця 1'!$B:$B,$A209,'Таблиця 1'!$I:$I,"F-16",'Таблиця 1'!$J:$J,"MK-24")+SUMIFS('Таблиця 1'!$K:$K,'Таблиця 1'!$B:$B,$A209,'Таблиця 1'!$I:$I,"МіГ-29",'Таблиця 1'!$J:$J,"MK-24")+SUMIFS('Таблиця 1'!$K:$K,'Таблиця 1'!$B:$B,$A209,'Таблиця 1'!$I:$I,"Су-25",'Таблиця 1'!$J:$J,"MK-24")+SUMIFS('Таблиця 1'!$K:$K,'Таблиця 1'!$B:$B,$A209,'Таблиця 1'!$I:$I,"Су-27",'Таблиця 1'!$J:$J,"MK-24"))</f>
        <v/>
      </c>
      <c r="R209">
        <f>IF($A209="","",COUNTIFS('Таблиця 1'!$B:$B,$A209,'Таблиця 1'!$I:$I,"Mirage",'Таблиця 1'!$L:$L,"Уражено")+COUNTIFS('Таблиця 1'!$B:$B,$A209,'Таблиця 1'!$I:$I,"F-16",'Таблиця 1'!$L:$L,"Уражено")+COUNTIFS('Таблиця 1'!$B:$B,$A209,'Таблиця 1'!$I:$I,"МіГ-29",'Таблиця 1'!$L:$L,"Уражено")+COUNTIFS('Таблиця 1'!$B:$B,$A209,'Таблиця 1'!$I:$I,"Су-25",'Таблиця 1'!$L:$L,"Уражено")+COUNTIFS('Таблиця 1'!$B:$B,$A209,'Таблиця 1'!$I:$I,"Су-27",'Таблиця 1'!$L:$L,"Уражено"))</f>
        <v/>
      </c>
      <c r="S209">
        <f>IF($A209="","",COUNTIFS('Таблиця 1'!$B:$B,$A209,'Таблиця 1'!$I:$I,"Mirage",'Таблиця 1'!$L:$L,"НЕ уражено")+COUNTIFS('Таблиця 1'!$B:$B,$A209,'Таблиця 1'!$I:$I,"F-16",'Таблиця 1'!$L:$L,"НЕ уражено")+COUNTIFS('Таблиця 1'!$B:$B,$A209,'Таблиця 1'!$I:$I,"МіГ-29",'Таблиця 1'!$L:$L,"НЕ уражено")+COUNTIFS('Таблиця 1'!$B:$B,$A209,'Таблиця 1'!$I:$I,"Су-25",'Таблиця 1'!$L:$L,"НЕ уражено")+COUNTIFS('Таблиця 1'!$B:$B,$A209,'Таблиця 1'!$I:$I,"Су-27",'Таблиця 1'!$L:$L,"НЕ уражено"))</f>
        <v/>
      </c>
      <c r="T209">
        <f>IF($A209="","",COUNTIFS('Таблиця 1'!$B:$B,$A209,'Таблиця 1'!$I:$I,"Mirage",'Таблиця 1'!$L:$L,"Дорозвідується")+COUNTIFS('Таблиця 1'!$B:$B,$A209,'Таблиця 1'!$I:$I,"F-16",'Таблиця 1'!$L:$L,"Дорозвідується")+COUNTIFS('Таблиця 1'!$B:$B,$A209,'Таблиця 1'!$I:$I,"МіГ-29",'Таблиця 1'!$L:$L,"Дорозвідується")+COUNTIFS('Таблиця 1'!$B:$B,$A209,'Таблиця 1'!$I:$I,"Су-25",'Таблиця 1'!$L:$L,"Дорозвідується")+COUNTIFS('Таблиця 1'!$B:$B,$A209,'Таблиця 1'!$I:$I,"Су-27",'Таблиця 1'!$L:$L,"Дорозвідується"))</f>
        <v/>
      </c>
    </row>
    <row r="210">
      <c r="A210" s="273">
        <f>IF(A209="","",IF(A209+1&gt;MAX('Таблиця 1'!$B:$B),"",A209+1))</f>
        <v/>
      </c>
      <c r="B210">
        <f>IF($A210="","",COUNTIFS('Таблиця 1'!$B:$B,$A210,'Таблиця 1'!$I:$I,"Mirage")+COUNTIFS('Таблиця 1'!$B:$B,$A210,'Таблиця 1'!$I:$I,"F-16")+COUNTIFS('Таблиця 1'!$B:$B,$A210,'Таблиця 1'!$I:$I,"МіГ-29")+COUNTIFS('Таблиця 1'!$B:$B,$A210,'Таблиця 1'!$I:$I,"Су-25")+COUNTIFS('Таблиця 1'!$B:$B,$A210,'Таблиця 1'!$I:$I,"Су-27"))</f>
        <v/>
      </c>
      <c r="C210">
        <f>IF($A210="","",COUNTIFS('Таблиця 1'!$B:$B,$A210,'Таблиця 1'!$I:$I,"Mirage"))</f>
        <v/>
      </c>
      <c r="D210">
        <f>IF($A210="","",COUNTIFS('Таблиця 1'!$B:$B,$A210,'Таблиця 1'!$I:$I,"F-16"))</f>
        <v/>
      </c>
      <c r="E210">
        <f>IF($A210="","",COUNTIFS('Таблиця 1'!$B:$B,$A210,'Таблиця 1'!$I:$I,"МіГ-29"))</f>
        <v/>
      </c>
      <c r="F210">
        <f>IF($A210="","",COUNTIFS('Таблиця 1'!$B:$B,$A210,'Таблиця 1'!$I:$I,"Су-25"))</f>
        <v/>
      </c>
      <c r="G210">
        <f>IF($A210="","",COUNTIFS('Таблиця 1'!$B:$B,$A210,'Таблиця 1'!$I:$I,"Су-27"))</f>
        <v/>
      </c>
      <c r="H210">
        <f>IF($A210="","",SUMIFS('Таблиця 1'!$K:$K,'Таблиця 1'!$B:$B,$A210,'Таблиця 1'!$I:$I,"Mirage",'Таблиця 1'!$J:$J,"AGM-88")+SUMIFS('Таблиця 1'!$K:$K,'Таблиця 1'!$B:$B,$A210,'Таблиця 1'!$I:$I,"F-16",'Таблиця 1'!$J:$J,"AGM-88")+SUMIFS('Таблиця 1'!$K:$K,'Таблиця 1'!$B:$B,$A210,'Таблиця 1'!$I:$I,"МіГ-29",'Таблиця 1'!$J:$J,"AGM-88")+SUMIFS('Таблиця 1'!$K:$K,'Таблиця 1'!$B:$B,$A210,'Таблиця 1'!$I:$I,"Су-25",'Таблиця 1'!$J:$J,"AGM-88")+SUMIFS('Таблиця 1'!$K:$K,'Таблиця 1'!$B:$B,$A210,'Таблиця 1'!$I:$I,"Су-27",'Таблиця 1'!$J:$J,"AGM-88"))</f>
        <v/>
      </c>
      <c r="I210">
        <f>IF($A210="","",SUMIFS('Таблиця 1'!$K:$K,'Таблиця 1'!$B:$B,$A210,'Таблиця 1'!$I:$I,"Mirage",'Таблиця 1'!$J:$J,"AASM-250")+SUMIFS('Таблиця 1'!$K:$K,'Таблиця 1'!$B:$B,$A210,'Таблиця 1'!$I:$I,"F-16",'Таблиця 1'!$J:$J,"AASM-250")+SUMIFS('Таблиця 1'!$K:$K,'Таблиця 1'!$B:$B,$A210,'Таблиця 1'!$I:$I,"МіГ-29",'Таблиця 1'!$J:$J,"AASM-250")+SUMIFS('Таблиця 1'!$K:$K,'Таблиця 1'!$B:$B,$A210,'Таблиця 1'!$I:$I,"Су-25",'Таблиця 1'!$J:$J,"AASM-250")+SUMIFS('Таблиця 1'!$K:$K,'Таблиця 1'!$B:$B,$A210,'Таблиця 1'!$I:$I,"Су-27",'Таблиця 1'!$J:$J,"AASM-250"))</f>
        <v/>
      </c>
      <c r="J210">
        <f>IF($A210="","",SUMIFS('Таблиця 1'!$K:$K,'Таблиця 1'!$B:$B,$A210,'Таблиця 1'!$I:$I,"Mirage",'Таблиця 1'!$J:$J,"GBU-39")+SUMIFS('Таблиця 1'!$K:$K,'Таблиця 1'!$B:$B,$A210,'Таблиця 1'!$I:$I,"F-16",'Таблиця 1'!$J:$J,"GBU-39")+SUMIFS('Таблиця 1'!$K:$K,'Таблиця 1'!$B:$B,$A210,'Таблиця 1'!$I:$I,"МіГ-29",'Таблиця 1'!$J:$J,"GBU-39")+SUMIFS('Таблиця 1'!$K:$K,'Таблиця 1'!$B:$B,$A210,'Таблиця 1'!$I:$I,"Су-25",'Таблиця 1'!$J:$J,"GBU-39")+SUMIFS('Таблиця 1'!$K:$K,'Таблиця 1'!$B:$B,$A210,'Таблиця 1'!$I:$I,"Су-27",'Таблиця 1'!$J:$J,"GBU-39"))</f>
        <v/>
      </c>
      <c r="K210">
        <f>IF($A210="","",SUMIFS('Таблиця 1'!$K:$K,'Таблиця 1'!$B:$B,$A210,'Таблиця 1'!$I:$I,"Mirage",'Таблиця 1'!$J:$J,"BLU-140")+SUMIFS('Таблиця 1'!$K:$K,'Таблиця 1'!$B:$B,$A210,'Таблиця 1'!$I:$I,"F-16",'Таблиця 1'!$J:$J,"BLU-140")+SUMIFS('Таблиця 1'!$K:$K,'Таблиця 1'!$B:$B,$A210,'Таблиця 1'!$I:$I,"МіГ-29",'Таблиця 1'!$J:$J,"BLU-140")+SUMIFS('Таблиця 1'!$K:$K,'Таблиця 1'!$B:$B,$A210,'Таблиця 1'!$I:$I,"Су-25",'Таблиця 1'!$J:$J,"BLU-140")+SUMIFS('Таблиця 1'!$K:$K,'Таблиця 1'!$B:$B,$A210,'Таблиця 1'!$I:$I,"Су-27",'Таблиця 1'!$J:$J,"BLU-140"))</f>
        <v/>
      </c>
      <c r="L210">
        <f>IF($A210="","",SUMIFS('Таблиця 1'!$K:$K,'Таблиця 1'!$B:$B,$A210,'Таблиця 1'!$I:$I,"Mirage",'Таблиця 1'!$J:$J,"GBU-65")+SUMIFS('Таблиця 1'!$K:$K,'Таблиця 1'!$B:$B,$A210,'Таблиця 1'!$I:$I,"F-16",'Таблиця 1'!$J:$J,"GBU-65")+SUMIFS('Таблиця 1'!$K:$K,'Таблиця 1'!$B:$B,$A210,'Таблиця 1'!$I:$I,"МіГ-29",'Таблиця 1'!$J:$J,"GBU-65")+SUMIFS('Таблиця 1'!$K:$K,'Таблиця 1'!$B:$B,$A210,'Таблиця 1'!$I:$I,"Су-25",'Таблиця 1'!$J:$J,"GBU-65")+SUMIFS('Таблиця 1'!$K:$K,'Таблиця 1'!$B:$B,$A210,'Таблиця 1'!$I:$I,"Су-27",'Таблиця 1'!$J:$J,"GBU-65"))</f>
        <v/>
      </c>
      <c r="M210">
        <f>IF($A210="","",SUMIFS('Таблиця 1'!$K:$K,'Таблиця 1'!$B:$B,$A210,'Таблиця 1'!$I:$I,"Mirage",'Таблиця 1'!$J:$J,"GBU-62")+SUMIFS('Таблиця 1'!$K:$K,'Таблиця 1'!$B:$B,$A210,'Таблиця 1'!$I:$I,"F-16",'Таблиця 1'!$J:$J,"GBU-62")+SUMIFS('Таблиця 1'!$K:$K,'Таблиця 1'!$B:$B,$A210,'Таблиця 1'!$I:$I,"МіГ-29",'Таблиця 1'!$J:$J,"GBU-62")+SUMIFS('Таблиця 1'!$K:$K,'Таблиця 1'!$B:$B,$A210,'Таблиця 1'!$I:$I,"Су-25",'Таблиця 1'!$J:$J,"GBU-62")+SUMIFS('Таблиця 1'!$K:$K,'Таблиця 1'!$B:$B,$A210,'Таблиця 1'!$I:$I,"Су-27",'Таблиця 1'!$J:$J,"GBU-62"))</f>
        <v/>
      </c>
      <c r="N210">
        <f>IF($A210="","",SUMIFS('Таблиця 1'!$K:$K,'Таблиця 1'!$B:$B,$A210,'Таблиця 1'!$I:$I,"Mirage",'Таблиця 1'!$J:$J,"GBU-64")+SUMIFS('Таблиця 1'!$K:$K,'Таблиця 1'!$B:$B,$A210,'Таблиця 1'!$I:$I,"F-16",'Таблиця 1'!$J:$J,"GBU-64")+SUMIFS('Таблиця 1'!$K:$K,'Таблиця 1'!$B:$B,$A210,'Таблиця 1'!$I:$I,"МіГ-29",'Таблиця 1'!$J:$J,"GBU-64")+SUMIFS('Таблиця 1'!$K:$K,'Таблиця 1'!$B:$B,$A210,'Таблиця 1'!$I:$I,"Су-25",'Таблиця 1'!$J:$J,"GBU-64")+SUMIFS('Таблиця 1'!$K:$K,'Таблиця 1'!$B:$B,$A210,'Таблиця 1'!$I:$I,"Су-27",'Таблиця 1'!$J:$J,"GBU-64"))</f>
        <v/>
      </c>
      <c r="O210">
        <f>IF($A210="","",SUMIFS('Таблиця 1'!$K:$K,'Таблиця 1'!$B:$B,$A210,'Таблиця 1'!$I:$I,"Mirage",'Таблиця 1'!$J:$J,"C-13")+SUMIFS('Таблиця 1'!$K:$K,'Таблиця 1'!$B:$B,$A210,'Таблиця 1'!$I:$I,"F-16",'Таблиця 1'!$J:$J,"C-13")+SUMIFS('Таблиця 1'!$K:$K,'Таблиця 1'!$B:$B,$A210,'Таблиця 1'!$I:$I,"МіГ-29",'Таблиця 1'!$J:$J,"C-13")+SUMIFS('Таблиця 1'!$K:$K,'Таблиця 1'!$B:$B,$A210,'Таблиця 1'!$I:$I,"Су-25",'Таблиця 1'!$J:$J,"C-13")+SUMIFS('Таблиця 1'!$K:$K,'Таблиця 1'!$B:$B,$A210,'Таблиця 1'!$I:$I,"Су-27",'Таблиця 1'!$J:$J,"C-13"))</f>
        <v/>
      </c>
      <c r="P210">
        <f>IF($A210="","",SUMIFS('Таблиця 1'!$K:$K,'Таблиця 1'!$B:$B,$A210,'Таблиця 1'!$I:$I,"Mirage",'Таблиця 1'!$J:$J,"MK-32")+SUMIFS('Таблиця 1'!$K:$K,'Таблиця 1'!$B:$B,$A210,'Таблиця 1'!$I:$I,"F-16",'Таблиця 1'!$J:$J,"MK-32")+SUMIFS('Таблиця 1'!$K:$K,'Таблиця 1'!$B:$B,$A210,'Таблиця 1'!$I:$I,"МіГ-29",'Таблиця 1'!$J:$J,"MK-32")+SUMIFS('Таблиця 1'!$K:$K,'Таблиця 1'!$B:$B,$A210,'Таблиця 1'!$I:$I,"Су-25",'Таблиця 1'!$J:$J,"MK-32")+SUMIFS('Таблиця 1'!$K:$K,'Таблиця 1'!$B:$B,$A210,'Таблиця 1'!$I:$I,"Су-27",'Таблиця 1'!$J:$J,"MK-32"))</f>
        <v/>
      </c>
      <c r="Q210">
        <f>IF($A210="","",SUMIFS('Таблиця 1'!$K:$K,'Таблиця 1'!$B:$B,$A210,'Таблиця 1'!$I:$I,"Mirage",'Таблиця 1'!$J:$J,"MK-24")+SUMIFS('Таблиця 1'!$K:$K,'Таблиця 1'!$B:$B,$A210,'Таблиця 1'!$I:$I,"F-16",'Таблиця 1'!$J:$J,"MK-24")+SUMIFS('Таблиця 1'!$K:$K,'Таблиця 1'!$B:$B,$A210,'Таблиця 1'!$I:$I,"МіГ-29",'Таблиця 1'!$J:$J,"MK-24")+SUMIFS('Таблиця 1'!$K:$K,'Таблиця 1'!$B:$B,$A210,'Таблиця 1'!$I:$I,"Су-25",'Таблиця 1'!$J:$J,"MK-24")+SUMIFS('Таблиця 1'!$K:$K,'Таблиця 1'!$B:$B,$A210,'Таблиця 1'!$I:$I,"Су-27",'Таблиця 1'!$J:$J,"MK-24"))</f>
        <v/>
      </c>
      <c r="R210">
        <f>IF($A210="","",COUNTIFS('Таблиця 1'!$B:$B,$A210,'Таблиця 1'!$I:$I,"Mirage",'Таблиця 1'!$L:$L,"Уражено")+COUNTIFS('Таблиця 1'!$B:$B,$A210,'Таблиця 1'!$I:$I,"F-16",'Таблиця 1'!$L:$L,"Уражено")+COUNTIFS('Таблиця 1'!$B:$B,$A210,'Таблиця 1'!$I:$I,"МіГ-29",'Таблиця 1'!$L:$L,"Уражено")+COUNTIFS('Таблиця 1'!$B:$B,$A210,'Таблиця 1'!$I:$I,"Су-25",'Таблиця 1'!$L:$L,"Уражено")+COUNTIFS('Таблиця 1'!$B:$B,$A210,'Таблиця 1'!$I:$I,"Су-27",'Таблиця 1'!$L:$L,"Уражено"))</f>
        <v/>
      </c>
      <c r="S210">
        <f>IF($A210="","",COUNTIFS('Таблиця 1'!$B:$B,$A210,'Таблиця 1'!$I:$I,"Mirage",'Таблиця 1'!$L:$L,"НЕ уражено")+COUNTIFS('Таблиця 1'!$B:$B,$A210,'Таблиця 1'!$I:$I,"F-16",'Таблиця 1'!$L:$L,"НЕ уражено")+COUNTIFS('Таблиця 1'!$B:$B,$A210,'Таблиця 1'!$I:$I,"МіГ-29",'Таблиця 1'!$L:$L,"НЕ уражено")+COUNTIFS('Таблиця 1'!$B:$B,$A210,'Таблиця 1'!$I:$I,"Су-25",'Таблиця 1'!$L:$L,"НЕ уражено")+COUNTIFS('Таблиця 1'!$B:$B,$A210,'Таблиця 1'!$I:$I,"Су-27",'Таблиця 1'!$L:$L,"НЕ уражено"))</f>
        <v/>
      </c>
      <c r="T210">
        <f>IF($A210="","",COUNTIFS('Таблиця 1'!$B:$B,$A210,'Таблиця 1'!$I:$I,"Mirage",'Таблиця 1'!$L:$L,"Дорозвідується")+COUNTIFS('Таблиця 1'!$B:$B,$A210,'Таблиця 1'!$I:$I,"F-16",'Таблиця 1'!$L:$L,"Дорозвідується")+COUNTIFS('Таблиця 1'!$B:$B,$A210,'Таблиця 1'!$I:$I,"МіГ-29",'Таблиця 1'!$L:$L,"Дорозвідується")+COUNTIFS('Таблиця 1'!$B:$B,$A210,'Таблиця 1'!$I:$I,"Су-25",'Таблиця 1'!$L:$L,"Дорозвідується")+COUNTIFS('Таблиця 1'!$B:$B,$A210,'Таблиця 1'!$I:$I,"Су-27",'Таблиця 1'!$L:$L,"Дорозвідується"))</f>
        <v/>
      </c>
    </row>
    <row r="211">
      <c r="A211" s="273">
        <f>IF(A210="","",IF(A210+1&gt;MAX('Таблиця 1'!$B:$B),"",A210+1))</f>
        <v/>
      </c>
      <c r="B211">
        <f>IF($A211="","",COUNTIFS('Таблиця 1'!$B:$B,$A211,'Таблиця 1'!$I:$I,"Mirage")+COUNTIFS('Таблиця 1'!$B:$B,$A211,'Таблиця 1'!$I:$I,"F-16")+COUNTIFS('Таблиця 1'!$B:$B,$A211,'Таблиця 1'!$I:$I,"МіГ-29")+COUNTIFS('Таблиця 1'!$B:$B,$A211,'Таблиця 1'!$I:$I,"Су-25")+COUNTIFS('Таблиця 1'!$B:$B,$A211,'Таблиця 1'!$I:$I,"Су-27"))</f>
        <v/>
      </c>
      <c r="C211">
        <f>IF($A211="","",COUNTIFS('Таблиця 1'!$B:$B,$A211,'Таблиця 1'!$I:$I,"Mirage"))</f>
        <v/>
      </c>
      <c r="D211">
        <f>IF($A211="","",COUNTIFS('Таблиця 1'!$B:$B,$A211,'Таблиця 1'!$I:$I,"F-16"))</f>
        <v/>
      </c>
      <c r="E211">
        <f>IF($A211="","",COUNTIFS('Таблиця 1'!$B:$B,$A211,'Таблиця 1'!$I:$I,"МіГ-29"))</f>
        <v/>
      </c>
      <c r="F211">
        <f>IF($A211="","",COUNTIFS('Таблиця 1'!$B:$B,$A211,'Таблиця 1'!$I:$I,"Су-25"))</f>
        <v/>
      </c>
      <c r="G211">
        <f>IF($A211="","",COUNTIFS('Таблиця 1'!$B:$B,$A211,'Таблиця 1'!$I:$I,"Су-27"))</f>
        <v/>
      </c>
      <c r="H211">
        <f>IF($A211="","",SUMIFS('Таблиця 1'!$K:$K,'Таблиця 1'!$B:$B,$A211,'Таблиця 1'!$I:$I,"Mirage",'Таблиця 1'!$J:$J,"AGM-88")+SUMIFS('Таблиця 1'!$K:$K,'Таблиця 1'!$B:$B,$A211,'Таблиця 1'!$I:$I,"F-16",'Таблиця 1'!$J:$J,"AGM-88")+SUMIFS('Таблиця 1'!$K:$K,'Таблиця 1'!$B:$B,$A211,'Таблиця 1'!$I:$I,"МіГ-29",'Таблиця 1'!$J:$J,"AGM-88")+SUMIFS('Таблиця 1'!$K:$K,'Таблиця 1'!$B:$B,$A211,'Таблиця 1'!$I:$I,"Су-25",'Таблиця 1'!$J:$J,"AGM-88")+SUMIFS('Таблиця 1'!$K:$K,'Таблиця 1'!$B:$B,$A211,'Таблиця 1'!$I:$I,"Су-27",'Таблиця 1'!$J:$J,"AGM-88"))</f>
        <v/>
      </c>
      <c r="I211">
        <f>IF($A211="","",SUMIFS('Таблиця 1'!$K:$K,'Таблиця 1'!$B:$B,$A211,'Таблиця 1'!$I:$I,"Mirage",'Таблиця 1'!$J:$J,"AASM-250")+SUMIFS('Таблиця 1'!$K:$K,'Таблиця 1'!$B:$B,$A211,'Таблиця 1'!$I:$I,"F-16",'Таблиця 1'!$J:$J,"AASM-250")+SUMIFS('Таблиця 1'!$K:$K,'Таблиця 1'!$B:$B,$A211,'Таблиця 1'!$I:$I,"МіГ-29",'Таблиця 1'!$J:$J,"AASM-250")+SUMIFS('Таблиця 1'!$K:$K,'Таблиця 1'!$B:$B,$A211,'Таблиця 1'!$I:$I,"Су-25",'Таблиця 1'!$J:$J,"AASM-250")+SUMIFS('Таблиця 1'!$K:$K,'Таблиця 1'!$B:$B,$A211,'Таблиця 1'!$I:$I,"Су-27",'Таблиця 1'!$J:$J,"AASM-250"))</f>
        <v/>
      </c>
      <c r="J211">
        <f>IF($A211="","",SUMIFS('Таблиця 1'!$K:$K,'Таблиця 1'!$B:$B,$A211,'Таблиця 1'!$I:$I,"Mirage",'Таблиця 1'!$J:$J,"GBU-39")+SUMIFS('Таблиця 1'!$K:$K,'Таблиця 1'!$B:$B,$A211,'Таблиця 1'!$I:$I,"F-16",'Таблиця 1'!$J:$J,"GBU-39")+SUMIFS('Таблиця 1'!$K:$K,'Таблиця 1'!$B:$B,$A211,'Таблиця 1'!$I:$I,"МіГ-29",'Таблиця 1'!$J:$J,"GBU-39")+SUMIFS('Таблиця 1'!$K:$K,'Таблиця 1'!$B:$B,$A211,'Таблиця 1'!$I:$I,"Су-25",'Таблиця 1'!$J:$J,"GBU-39")+SUMIFS('Таблиця 1'!$K:$K,'Таблиця 1'!$B:$B,$A211,'Таблиця 1'!$I:$I,"Су-27",'Таблиця 1'!$J:$J,"GBU-39"))</f>
        <v/>
      </c>
      <c r="K211">
        <f>IF($A211="","",SUMIFS('Таблиця 1'!$K:$K,'Таблиця 1'!$B:$B,$A211,'Таблиця 1'!$I:$I,"Mirage",'Таблиця 1'!$J:$J,"BLU-140")+SUMIFS('Таблиця 1'!$K:$K,'Таблиця 1'!$B:$B,$A211,'Таблиця 1'!$I:$I,"F-16",'Таблиця 1'!$J:$J,"BLU-140")+SUMIFS('Таблиця 1'!$K:$K,'Таблиця 1'!$B:$B,$A211,'Таблиця 1'!$I:$I,"МіГ-29",'Таблиця 1'!$J:$J,"BLU-140")+SUMIFS('Таблиця 1'!$K:$K,'Таблиця 1'!$B:$B,$A211,'Таблиця 1'!$I:$I,"Су-25",'Таблиця 1'!$J:$J,"BLU-140")+SUMIFS('Таблиця 1'!$K:$K,'Таблиця 1'!$B:$B,$A211,'Таблиця 1'!$I:$I,"Су-27",'Таблиця 1'!$J:$J,"BLU-140"))</f>
        <v/>
      </c>
      <c r="L211">
        <f>IF($A211="","",SUMIFS('Таблиця 1'!$K:$K,'Таблиця 1'!$B:$B,$A211,'Таблиця 1'!$I:$I,"Mirage",'Таблиця 1'!$J:$J,"GBU-65")+SUMIFS('Таблиця 1'!$K:$K,'Таблиця 1'!$B:$B,$A211,'Таблиця 1'!$I:$I,"F-16",'Таблиця 1'!$J:$J,"GBU-65")+SUMIFS('Таблиця 1'!$K:$K,'Таблиця 1'!$B:$B,$A211,'Таблиця 1'!$I:$I,"МіГ-29",'Таблиця 1'!$J:$J,"GBU-65")+SUMIFS('Таблиця 1'!$K:$K,'Таблиця 1'!$B:$B,$A211,'Таблиця 1'!$I:$I,"Су-25",'Таблиця 1'!$J:$J,"GBU-65")+SUMIFS('Таблиця 1'!$K:$K,'Таблиця 1'!$B:$B,$A211,'Таблиця 1'!$I:$I,"Су-27",'Таблиця 1'!$J:$J,"GBU-65"))</f>
        <v/>
      </c>
      <c r="M211">
        <f>IF($A211="","",SUMIFS('Таблиця 1'!$K:$K,'Таблиця 1'!$B:$B,$A211,'Таблиця 1'!$I:$I,"Mirage",'Таблиця 1'!$J:$J,"GBU-62")+SUMIFS('Таблиця 1'!$K:$K,'Таблиця 1'!$B:$B,$A211,'Таблиця 1'!$I:$I,"F-16",'Таблиця 1'!$J:$J,"GBU-62")+SUMIFS('Таблиця 1'!$K:$K,'Таблиця 1'!$B:$B,$A211,'Таблиця 1'!$I:$I,"МіГ-29",'Таблиця 1'!$J:$J,"GBU-62")+SUMIFS('Таблиця 1'!$K:$K,'Таблиця 1'!$B:$B,$A211,'Таблиця 1'!$I:$I,"Су-25",'Таблиця 1'!$J:$J,"GBU-62")+SUMIFS('Таблиця 1'!$K:$K,'Таблиця 1'!$B:$B,$A211,'Таблиця 1'!$I:$I,"Су-27",'Таблиця 1'!$J:$J,"GBU-62"))</f>
        <v/>
      </c>
      <c r="N211">
        <f>IF($A211="","",SUMIFS('Таблиця 1'!$K:$K,'Таблиця 1'!$B:$B,$A211,'Таблиця 1'!$I:$I,"Mirage",'Таблиця 1'!$J:$J,"GBU-64")+SUMIFS('Таблиця 1'!$K:$K,'Таблиця 1'!$B:$B,$A211,'Таблиця 1'!$I:$I,"F-16",'Таблиця 1'!$J:$J,"GBU-64")+SUMIFS('Таблиця 1'!$K:$K,'Таблиця 1'!$B:$B,$A211,'Таблиця 1'!$I:$I,"МіГ-29",'Таблиця 1'!$J:$J,"GBU-64")+SUMIFS('Таблиця 1'!$K:$K,'Таблиця 1'!$B:$B,$A211,'Таблиця 1'!$I:$I,"Су-25",'Таблиця 1'!$J:$J,"GBU-64")+SUMIFS('Таблиця 1'!$K:$K,'Таблиця 1'!$B:$B,$A211,'Таблиця 1'!$I:$I,"Су-27",'Таблиця 1'!$J:$J,"GBU-64"))</f>
        <v/>
      </c>
      <c r="O211">
        <f>IF($A211="","",SUMIFS('Таблиця 1'!$K:$K,'Таблиця 1'!$B:$B,$A211,'Таблиця 1'!$I:$I,"Mirage",'Таблиця 1'!$J:$J,"C-13")+SUMIFS('Таблиця 1'!$K:$K,'Таблиця 1'!$B:$B,$A211,'Таблиця 1'!$I:$I,"F-16",'Таблиця 1'!$J:$J,"C-13")+SUMIFS('Таблиця 1'!$K:$K,'Таблиця 1'!$B:$B,$A211,'Таблиця 1'!$I:$I,"МіГ-29",'Таблиця 1'!$J:$J,"C-13")+SUMIFS('Таблиця 1'!$K:$K,'Таблиця 1'!$B:$B,$A211,'Таблиця 1'!$I:$I,"Су-25",'Таблиця 1'!$J:$J,"C-13")+SUMIFS('Таблиця 1'!$K:$K,'Таблиця 1'!$B:$B,$A211,'Таблиця 1'!$I:$I,"Су-27",'Таблиця 1'!$J:$J,"C-13"))</f>
        <v/>
      </c>
      <c r="P211">
        <f>IF($A211="","",SUMIFS('Таблиця 1'!$K:$K,'Таблиця 1'!$B:$B,$A211,'Таблиця 1'!$I:$I,"Mirage",'Таблиця 1'!$J:$J,"MK-32")+SUMIFS('Таблиця 1'!$K:$K,'Таблиця 1'!$B:$B,$A211,'Таблиця 1'!$I:$I,"F-16",'Таблиця 1'!$J:$J,"MK-32")+SUMIFS('Таблиця 1'!$K:$K,'Таблиця 1'!$B:$B,$A211,'Таблиця 1'!$I:$I,"МіГ-29",'Таблиця 1'!$J:$J,"MK-32")+SUMIFS('Таблиця 1'!$K:$K,'Таблиця 1'!$B:$B,$A211,'Таблиця 1'!$I:$I,"Су-25",'Таблиця 1'!$J:$J,"MK-32")+SUMIFS('Таблиця 1'!$K:$K,'Таблиця 1'!$B:$B,$A211,'Таблиця 1'!$I:$I,"Су-27",'Таблиця 1'!$J:$J,"MK-32"))</f>
        <v/>
      </c>
      <c r="Q211">
        <f>IF($A211="","",SUMIFS('Таблиця 1'!$K:$K,'Таблиця 1'!$B:$B,$A211,'Таблиця 1'!$I:$I,"Mirage",'Таблиця 1'!$J:$J,"MK-24")+SUMIFS('Таблиця 1'!$K:$K,'Таблиця 1'!$B:$B,$A211,'Таблиця 1'!$I:$I,"F-16",'Таблиця 1'!$J:$J,"MK-24")+SUMIFS('Таблиця 1'!$K:$K,'Таблиця 1'!$B:$B,$A211,'Таблиця 1'!$I:$I,"МіГ-29",'Таблиця 1'!$J:$J,"MK-24")+SUMIFS('Таблиця 1'!$K:$K,'Таблиця 1'!$B:$B,$A211,'Таблиця 1'!$I:$I,"Су-25",'Таблиця 1'!$J:$J,"MK-24")+SUMIFS('Таблиця 1'!$K:$K,'Таблиця 1'!$B:$B,$A211,'Таблиця 1'!$I:$I,"Су-27",'Таблиця 1'!$J:$J,"MK-24"))</f>
        <v/>
      </c>
      <c r="R211">
        <f>IF($A211="","",COUNTIFS('Таблиця 1'!$B:$B,$A211,'Таблиця 1'!$I:$I,"Mirage",'Таблиця 1'!$L:$L,"Уражено")+COUNTIFS('Таблиця 1'!$B:$B,$A211,'Таблиця 1'!$I:$I,"F-16",'Таблиця 1'!$L:$L,"Уражено")+COUNTIFS('Таблиця 1'!$B:$B,$A211,'Таблиця 1'!$I:$I,"МіГ-29",'Таблиця 1'!$L:$L,"Уражено")+COUNTIFS('Таблиця 1'!$B:$B,$A211,'Таблиця 1'!$I:$I,"Су-25",'Таблиця 1'!$L:$L,"Уражено")+COUNTIFS('Таблиця 1'!$B:$B,$A211,'Таблиця 1'!$I:$I,"Су-27",'Таблиця 1'!$L:$L,"Уражено"))</f>
        <v/>
      </c>
      <c r="S211">
        <f>IF($A211="","",COUNTIFS('Таблиця 1'!$B:$B,$A211,'Таблиця 1'!$I:$I,"Mirage",'Таблиця 1'!$L:$L,"НЕ уражено")+COUNTIFS('Таблиця 1'!$B:$B,$A211,'Таблиця 1'!$I:$I,"F-16",'Таблиця 1'!$L:$L,"НЕ уражено")+COUNTIFS('Таблиця 1'!$B:$B,$A211,'Таблиця 1'!$I:$I,"МіГ-29",'Таблиця 1'!$L:$L,"НЕ уражено")+COUNTIFS('Таблиця 1'!$B:$B,$A211,'Таблиця 1'!$I:$I,"Су-25",'Таблиця 1'!$L:$L,"НЕ уражено")+COUNTIFS('Таблиця 1'!$B:$B,$A211,'Таблиця 1'!$I:$I,"Су-27",'Таблиця 1'!$L:$L,"НЕ уражено"))</f>
        <v/>
      </c>
      <c r="T211">
        <f>IF($A211="","",COUNTIFS('Таблиця 1'!$B:$B,$A211,'Таблиця 1'!$I:$I,"Mirage",'Таблиця 1'!$L:$L,"Дорозвідується")+COUNTIFS('Таблиця 1'!$B:$B,$A211,'Таблиця 1'!$I:$I,"F-16",'Таблиця 1'!$L:$L,"Дорозвідується")+COUNTIFS('Таблиця 1'!$B:$B,$A211,'Таблиця 1'!$I:$I,"МіГ-29",'Таблиця 1'!$L:$L,"Дорозвідується")+COUNTIFS('Таблиця 1'!$B:$B,$A211,'Таблиця 1'!$I:$I,"Су-25",'Таблиця 1'!$L:$L,"Дорозвідується")+COUNTIFS('Таблиця 1'!$B:$B,$A211,'Таблиця 1'!$I:$I,"Су-27",'Таблиця 1'!$L:$L,"Дорозвідується"))</f>
        <v/>
      </c>
    </row>
    <row r="212">
      <c r="A212" s="273">
        <f>IF(A211="","",IF(A211+1&gt;MAX('Таблиця 1'!$B:$B),"",A211+1))</f>
        <v/>
      </c>
      <c r="B212">
        <f>IF($A212="","",COUNTIFS('Таблиця 1'!$B:$B,$A212,'Таблиця 1'!$I:$I,"Mirage")+COUNTIFS('Таблиця 1'!$B:$B,$A212,'Таблиця 1'!$I:$I,"F-16")+COUNTIFS('Таблиця 1'!$B:$B,$A212,'Таблиця 1'!$I:$I,"МіГ-29")+COUNTIFS('Таблиця 1'!$B:$B,$A212,'Таблиця 1'!$I:$I,"Су-25")+COUNTIFS('Таблиця 1'!$B:$B,$A212,'Таблиця 1'!$I:$I,"Су-27"))</f>
        <v/>
      </c>
      <c r="C212">
        <f>IF($A212="","",COUNTIFS('Таблиця 1'!$B:$B,$A212,'Таблиця 1'!$I:$I,"Mirage"))</f>
        <v/>
      </c>
      <c r="D212">
        <f>IF($A212="","",COUNTIFS('Таблиця 1'!$B:$B,$A212,'Таблиця 1'!$I:$I,"F-16"))</f>
        <v/>
      </c>
      <c r="E212">
        <f>IF($A212="","",COUNTIFS('Таблиця 1'!$B:$B,$A212,'Таблиця 1'!$I:$I,"МіГ-29"))</f>
        <v/>
      </c>
      <c r="F212">
        <f>IF($A212="","",COUNTIFS('Таблиця 1'!$B:$B,$A212,'Таблиця 1'!$I:$I,"Су-25"))</f>
        <v/>
      </c>
      <c r="G212">
        <f>IF($A212="","",COUNTIFS('Таблиця 1'!$B:$B,$A212,'Таблиця 1'!$I:$I,"Су-27"))</f>
        <v/>
      </c>
      <c r="H212">
        <f>IF($A212="","",SUMIFS('Таблиця 1'!$K:$K,'Таблиця 1'!$B:$B,$A212,'Таблиця 1'!$I:$I,"Mirage",'Таблиця 1'!$J:$J,"AGM-88")+SUMIFS('Таблиця 1'!$K:$K,'Таблиця 1'!$B:$B,$A212,'Таблиця 1'!$I:$I,"F-16",'Таблиця 1'!$J:$J,"AGM-88")+SUMIFS('Таблиця 1'!$K:$K,'Таблиця 1'!$B:$B,$A212,'Таблиця 1'!$I:$I,"МіГ-29",'Таблиця 1'!$J:$J,"AGM-88")+SUMIFS('Таблиця 1'!$K:$K,'Таблиця 1'!$B:$B,$A212,'Таблиця 1'!$I:$I,"Су-25",'Таблиця 1'!$J:$J,"AGM-88")+SUMIFS('Таблиця 1'!$K:$K,'Таблиця 1'!$B:$B,$A212,'Таблиця 1'!$I:$I,"Су-27",'Таблиця 1'!$J:$J,"AGM-88"))</f>
        <v/>
      </c>
      <c r="I212">
        <f>IF($A212="","",SUMIFS('Таблиця 1'!$K:$K,'Таблиця 1'!$B:$B,$A212,'Таблиця 1'!$I:$I,"Mirage",'Таблиця 1'!$J:$J,"AASM-250")+SUMIFS('Таблиця 1'!$K:$K,'Таблиця 1'!$B:$B,$A212,'Таблиця 1'!$I:$I,"F-16",'Таблиця 1'!$J:$J,"AASM-250")+SUMIFS('Таблиця 1'!$K:$K,'Таблиця 1'!$B:$B,$A212,'Таблиця 1'!$I:$I,"МіГ-29",'Таблиця 1'!$J:$J,"AASM-250")+SUMIFS('Таблиця 1'!$K:$K,'Таблиця 1'!$B:$B,$A212,'Таблиця 1'!$I:$I,"Су-25",'Таблиця 1'!$J:$J,"AASM-250")+SUMIFS('Таблиця 1'!$K:$K,'Таблиця 1'!$B:$B,$A212,'Таблиця 1'!$I:$I,"Су-27",'Таблиця 1'!$J:$J,"AASM-250"))</f>
        <v/>
      </c>
      <c r="J212">
        <f>IF($A212="","",SUMIFS('Таблиця 1'!$K:$K,'Таблиця 1'!$B:$B,$A212,'Таблиця 1'!$I:$I,"Mirage",'Таблиця 1'!$J:$J,"GBU-39")+SUMIFS('Таблиця 1'!$K:$K,'Таблиця 1'!$B:$B,$A212,'Таблиця 1'!$I:$I,"F-16",'Таблиця 1'!$J:$J,"GBU-39")+SUMIFS('Таблиця 1'!$K:$K,'Таблиця 1'!$B:$B,$A212,'Таблиця 1'!$I:$I,"МіГ-29",'Таблиця 1'!$J:$J,"GBU-39")+SUMIFS('Таблиця 1'!$K:$K,'Таблиця 1'!$B:$B,$A212,'Таблиця 1'!$I:$I,"Су-25",'Таблиця 1'!$J:$J,"GBU-39")+SUMIFS('Таблиця 1'!$K:$K,'Таблиця 1'!$B:$B,$A212,'Таблиця 1'!$I:$I,"Су-27",'Таблиця 1'!$J:$J,"GBU-39"))</f>
        <v/>
      </c>
      <c r="K212">
        <f>IF($A212="","",SUMIFS('Таблиця 1'!$K:$K,'Таблиця 1'!$B:$B,$A212,'Таблиця 1'!$I:$I,"Mirage",'Таблиця 1'!$J:$J,"BLU-140")+SUMIFS('Таблиця 1'!$K:$K,'Таблиця 1'!$B:$B,$A212,'Таблиця 1'!$I:$I,"F-16",'Таблиця 1'!$J:$J,"BLU-140")+SUMIFS('Таблиця 1'!$K:$K,'Таблиця 1'!$B:$B,$A212,'Таблиця 1'!$I:$I,"МіГ-29",'Таблиця 1'!$J:$J,"BLU-140")+SUMIFS('Таблиця 1'!$K:$K,'Таблиця 1'!$B:$B,$A212,'Таблиця 1'!$I:$I,"Су-25",'Таблиця 1'!$J:$J,"BLU-140")+SUMIFS('Таблиця 1'!$K:$K,'Таблиця 1'!$B:$B,$A212,'Таблиця 1'!$I:$I,"Су-27",'Таблиця 1'!$J:$J,"BLU-140"))</f>
        <v/>
      </c>
      <c r="L212">
        <f>IF($A212="","",SUMIFS('Таблиця 1'!$K:$K,'Таблиця 1'!$B:$B,$A212,'Таблиця 1'!$I:$I,"Mirage",'Таблиця 1'!$J:$J,"GBU-65")+SUMIFS('Таблиця 1'!$K:$K,'Таблиця 1'!$B:$B,$A212,'Таблиця 1'!$I:$I,"F-16",'Таблиця 1'!$J:$J,"GBU-65")+SUMIFS('Таблиця 1'!$K:$K,'Таблиця 1'!$B:$B,$A212,'Таблиця 1'!$I:$I,"МіГ-29",'Таблиця 1'!$J:$J,"GBU-65")+SUMIFS('Таблиця 1'!$K:$K,'Таблиця 1'!$B:$B,$A212,'Таблиця 1'!$I:$I,"Су-25",'Таблиця 1'!$J:$J,"GBU-65")+SUMIFS('Таблиця 1'!$K:$K,'Таблиця 1'!$B:$B,$A212,'Таблиця 1'!$I:$I,"Су-27",'Таблиця 1'!$J:$J,"GBU-65"))</f>
        <v/>
      </c>
      <c r="M212">
        <f>IF($A212="","",SUMIFS('Таблиця 1'!$K:$K,'Таблиця 1'!$B:$B,$A212,'Таблиця 1'!$I:$I,"Mirage",'Таблиця 1'!$J:$J,"GBU-62")+SUMIFS('Таблиця 1'!$K:$K,'Таблиця 1'!$B:$B,$A212,'Таблиця 1'!$I:$I,"F-16",'Таблиця 1'!$J:$J,"GBU-62")+SUMIFS('Таблиця 1'!$K:$K,'Таблиця 1'!$B:$B,$A212,'Таблиця 1'!$I:$I,"МіГ-29",'Таблиця 1'!$J:$J,"GBU-62")+SUMIFS('Таблиця 1'!$K:$K,'Таблиця 1'!$B:$B,$A212,'Таблиця 1'!$I:$I,"Су-25",'Таблиця 1'!$J:$J,"GBU-62")+SUMIFS('Таблиця 1'!$K:$K,'Таблиця 1'!$B:$B,$A212,'Таблиця 1'!$I:$I,"Су-27",'Таблиця 1'!$J:$J,"GBU-62"))</f>
        <v/>
      </c>
      <c r="N212">
        <f>IF($A212="","",SUMIFS('Таблиця 1'!$K:$K,'Таблиця 1'!$B:$B,$A212,'Таблиця 1'!$I:$I,"Mirage",'Таблиця 1'!$J:$J,"GBU-64")+SUMIFS('Таблиця 1'!$K:$K,'Таблиця 1'!$B:$B,$A212,'Таблиця 1'!$I:$I,"F-16",'Таблиця 1'!$J:$J,"GBU-64")+SUMIFS('Таблиця 1'!$K:$K,'Таблиця 1'!$B:$B,$A212,'Таблиця 1'!$I:$I,"МіГ-29",'Таблиця 1'!$J:$J,"GBU-64")+SUMIFS('Таблиця 1'!$K:$K,'Таблиця 1'!$B:$B,$A212,'Таблиця 1'!$I:$I,"Су-25",'Таблиця 1'!$J:$J,"GBU-64")+SUMIFS('Таблиця 1'!$K:$K,'Таблиця 1'!$B:$B,$A212,'Таблиця 1'!$I:$I,"Су-27",'Таблиця 1'!$J:$J,"GBU-64"))</f>
        <v/>
      </c>
      <c r="O212">
        <f>IF($A212="","",SUMIFS('Таблиця 1'!$K:$K,'Таблиця 1'!$B:$B,$A212,'Таблиця 1'!$I:$I,"Mirage",'Таблиця 1'!$J:$J,"C-13")+SUMIFS('Таблиця 1'!$K:$K,'Таблиця 1'!$B:$B,$A212,'Таблиця 1'!$I:$I,"F-16",'Таблиця 1'!$J:$J,"C-13")+SUMIFS('Таблиця 1'!$K:$K,'Таблиця 1'!$B:$B,$A212,'Таблиця 1'!$I:$I,"МіГ-29",'Таблиця 1'!$J:$J,"C-13")+SUMIFS('Таблиця 1'!$K:$K,'Таблиця 1'!$B:$B,$A212,'Таблиця 1'!$I:$I,"Су-25",'Таблиця 1'!$J:$J,"C-13")+SUMIFS('Таблиця 1'!$K:$K,'Таблиця 1'!$B:$B,$A212,'Таблиця 1'!$I:$I,"Су-27",'Таблиця 1'!$J:$J,"C-13"))</f>
        <v/>
      </c>
      <c r="P212">
        <f>IF($A212="","",SUMIFS('Таблиця 1'!$K:$K,'Таблиця 1'!$B:$B,$A212,'Таблиця 1'!$I:$I,"Mirage",'Таблиця 1'!$J:$J,"MK-32")+SUMIFS('Таблиця 1'!$K:$K,'Таблиця 1'!$B:$B,$A212,'Таблиця 1'!$I:$I,"F-16",'Таблиця 1'!$J:$J,"MK-32")+SUMIFS('Таблиця 1'!$K:$K,'Таблиця 1'!$B:$B,$A212,'Таблиця 1'!$I:$I,"МіГ-29",'Таблиця 1'!$J:$J,"MK-32")+SUMIFS('Таблиця 1'!$K:$K,'Таблиця 1'!$B:$B,$A212,'Таблиця 1'!$I:$I,"Су-25",'Таблиця 1'!$J:$J,"MK-32")+SUMIFS('Таблиця 1'!$K:$K,'Таблиця 1'!$B:$B,$A212,'Таблиця 1'!$I:$I,"Су-27",'Таблиця 1'!$J:$J,"MK-32"))</f>
        <v/>
      </c>
      <c r="Q212">
        <f>IF($A212="","",SUMIFS('Таблиця 1'!$K:$K,'Таблиця 1'!$B:$B,$A212,'Таблиця 1'!$I:$I,"Mirage",'Таблиця 1'!$J:$J,"MK-24")+SUMIFS('Таблиця 1'!$K:$K,'Таблиця 1'!$B:$B,$A212,'Таблиця 1'!$I:$I,"F-16",'Таблиця 1'!$J:$J,"MK-24")+SUMIFS('Таблиця 1'!$K:$K,'Таблиця 1'!$B:$B,$A212,'Таблиця 1'!$I:$I,"МіГ-29",'Таблиця 1'!$J:$J,"MK-24")+SUMIFS('Таблиця 1'!$K:$K,'Таблиця 1'!$B:$B,$A212,'Таблиця 1'!$I:$I,"Су-25",'Таблиця 1'!$J:$J,"MK-24")+SUMIFS('Таблиця 1'!$K:$K,'Таблиця 1'!$B:$B,$A212,'Таблиця 1'!$I:$I,"Су-27",'Таблиця 1'!$J:$J,"MK-24"))</f>
        <v/>
      </c>
      <c r="R212">
        <f>IF($A212="","",COUNTIFS('Таблиця 1'!$B:$B,$A212,'Таблиця 1'!$I:$I,"Mirage",'Таблиця 1'!$L:$L,"Уражено")+COUNTIFS('Таблиця 1'!$B:$B,$A212,'Таблиця 1'!$I:$I,"F-16",'Таблиця 1'!$L:$L,"Уражено")+COUNTIFS('Таблиця 1'!$B:$B,$A212,'Таблиця 1'!$I:$I,"МіГ-29",'Таблиця 1'!$L:$L,"Уражено")+COUNTIFS('Таблиця 1'!$B:$B,$A212,'Таблиця 1'!$I:$I,"Су-25",'Таблиця 1'!$L:$L,"Уражено")+COUNTIFS('Таблиця 1'!$B:$B,$A212,'Таблиця 1'!$I:$I,"Су-27",'Таблиця 1'!$L:$L,"Уражено"))</f>
        <v/>
      </c>
      <c r="S212">
        <f>IF($A212="","",COUNTIFS('Таблиця 1'!$B:$B,$A212,'Таблиця 1'!$I:$I,"Mirage",'Таблиця 1'!$L:$L,"НЕ уражено")+COUNTIFS('Таблиця 1'!$B:$B,$A212,'Таблиця 1'!$I:$I,"F-16",'Таблиця 1'!$L:$L,"НЕ уражено")+COUNTIFS('Таблиця 1'!$B:$B,$A212,'Таблиця 1'!$I:$I,"МіГ-29",'Таблиця 1'!$L:$L,"НЕ уражено")+COUNTIFS('Таблиця 1'!$B:$B,$A212,'Таблиця 1'!$I:$I,"Су-25",'Таблиця 1'!$L:$L,"НЕ уражено")+COUNTIFS('Таблиця 1'!$B:$B,$A212,'Таблиця 1'!$I:$I,"Су-27",'Таблиця 1'!$L:$L,"НЕ уражено"))</f>
        <v/>
      </c>
      <c r="T212">
        <f>IF($A212="","",COUNTIFS('Таблиця 1'!$B:$B,$A212,'Таблиця 1'!$I:$I,"Mirage",'Таблиця 1'!$L:$L,"Дорозвідується")+COUNTIFS('Таблиця 1'!$B:$B,$A212,'Таблиця 1'!$I:$I,"F-16",'Таблиця 1'!$L:$L,"Дорозвідується")+COUNTIFS('Таблиця 1'!$B:$B,$A212,'Таблиця 1'!$I:$I,"МіГ-29",'Таблиця 1'!$L:$L,"Дорозвідується")+COUNTIFS('Таблиця 1'!$B:$B,$A212,'Таблиця 1'!$I:$I,"Су-25",'Таблиця 1'!$L:$L,"Дорозвідується")+COUNTIFS('Таблиця 1'!$B:$B,$A212,'Таблиця 1'!$I:$I,"Су-27",'Таблиця 1'!$L:$L,"Дорозвідується"))</f>
        <v/>
      </c>
    </row>
    <row r="213">
      <c r="A213" s="273">
        <f>IF(A212="","",IF(A212+1&gt;MAX('Таблиця 1'!$B:$B),"",A212+1))</f>
        <v/>
      </c>
      <c r="B213">
        <f>IF($A213="","",COUNTIFS('Таблиця 1'!$B:$B,$A213,'Таблиця 1'!$I:$I,"Mirage")+COUNTIFS('Таблиця 1'!$B:$B,$A213,'Таблиця 1'!$I:$I,"F-16")+COUNTIFS('Таблиця 1'!$B:$B,$A213,'Таблиця 1'!$I:$I,"МіГ-29")+COUNTIFS('Таблиця 1'!$B:$B,$A213,'Таблиця 1'!$I:$I,"Су-25")+COUNTIFS('Таблиця 1'!$B:$B,$A213,'Таблиця 1'!$I:$I,"Су-27"))</f>
        <v/>
      </c>
      <c r="C213">
        <f>IF($A213="","",COUNTIFS('Таблиця 1'!$B:$B,$A213,'Таблиця 1'!$I:$I,"Mirage"))</f>
        <v/>
      </c>
      <c r="D213">
        <f>IF($A213="","",COUNTIFS('Таблиця 1'!$B:$B,$A213,'Таблиця 1'!$I:$I,"F-16"))</f>
        <v/>
      </c>
      <c r="E213">
        <f>IF($A213="","",COUNTIFS('Таблиця 1'!$B:$B,$A213,'Таблиця 1'!$I:$I,"МіГ-29"))</f>
        <v/>
      </c>
      <c r="F213">
        <f>IF($A213="","",COUNTIFS('Таблиця 1'!$B:$B,$A213,'Таблиця 1'!$I:$I,"Су-25"))</f>
        <v/>
      </c>
      <c r="G213">
        <f>IF($A213="","",COUNTIFS('Таблиця 1'!$B:$B,$A213,'Таблиця 1'!$I:$I,"Су-27"))</f>
        <v/>
      </c>
      <c r="H213">
        <f>IF($A213="","",SUMIFS('Таблиця 1'!$K:$K,'Таблиця 1'!$B:$B,$A213,'Таблиця 1'!$I:$I,"Mirage",'Таблиця 1'!$J:$J,"AGM-88")+SUMIFS('Таблиця 1'!$K:$K,'Таблиця 1'!$B:$B,$A213,'Таблиця 1'!$I:$I,"F-16",'Таблиця 1'!$J:$J,"AGM-88")+SUMIFS('Таблиця 1'!$K:$K,'Таблиця 1'!$B:$B,$A213,'Таблиця 1'!$I:$I,"МіГ-29",'Таблиця 1'!$J:$J,"AGM-88")+SUMIFS('Таблиця 1'!$K:$K,'Таблиця 1'!$B:$B,$A213,'Таблиця 1'!$I:$I,"Су-25",'Таблиця 1'!$J:$J,"AGM-88")+SUMIFS('Таблиця 1'!$K:$K,'Таблиця 1'!$B:$B,$A213,'Таблиця 1'!$I:$I,"Су-27",'Таблиця 1'!$J:$J,"AGM-88"))</f>
        <v/>
      </c>
      <c r="I213">
        <f>IF($A213="","",SUMIFS('Таблиця 1'!$K:$K,'Таблиця 1'!$B:$B,$A213,'Таблиця 1'!$I:$I,"Mirage",'Таблиця 1'!$J:$J,"AASM-250")+SUMIFS('Таблиця 1'!$K:$K,'Таблиця 1'!$B:$B,$A213,'Таблиця 1'!$I:$I,"F-16",'Таблиця 1'!$J:$J,"AASM-250")+SUMIFS('Таблиця 1'!$K:$K,'Таблиця 1'!$B:$B,$A213,'Таблиця 1'!$I:$I,"МіГ-29",'Таблиця 1'!$J:$J,"AASM-250")+SUMIFS('Таблиця 1'!$K:$K,'Таблиця 1'!$B:$B,$A213,'Таблиця 1'!$I:$I,"Су-25",'Таблиця 1'!$J:$J,"AASM-250")+SUMIFS('Таблиця 1'!$K:$K,'Таблиця 1'!$B:$B,$A213,'Таблиця 1'!$I:$I,"Су-27",'Таблиця 1'!$J:$J,"AASM-250"))</f>
        <v/>
      </c>
      <c r="J213">
        <f>IF($A213="","",SUMIFS('Таблиця 1'!$K:$K,'Таблиця 1'!$B:$B,$A213,'Таблиця 1'!$I:$I,"Mirage",'Таблиця 1'!$J:$J,"GBU-39")+SUMIFS('Таблиця 1'!$K:$K,'Таблиця 1'!$B:$B,$A213,'Таблиця 1'!$I:$I,"F-16",'Таблиця 1'!$J:$J,"GBU-39")+SUMIFS('Таблиця 1'!$K:$K,'Таблиця 1'!$B:$B,$A213,'Таблиця 1'!$I:$I,"МіГ-29",'Таблиця 1'!$J:$J,"GBU-39")+SUMIFS('Таблиця 1'!$K:$K,'Таблиця 1'!$B:$B,$A213,'Таблиця 1'!$I:$I,"Су-25",'Таблиця 1'!$J:$J,"GBU-39")+SUMIFS('Таблиця 1'!$K:$K,'Таблиця 1'!$B:$B,$A213,'Таблиця 1'!$I:$I,"Су-27",'Таблиця 1'!$J:$J,"GBU-39"))</f>
        <v/>
      </c>
      <c r="K213">
        <f>IF($A213="","",SUMIFS('Таблиця 1'!$K:$K,'Таблиця 1'!$B:$B,$A213,'Таблиця 1'!$I:$I,"Mirage",'Таблиця 1'!$J:$J,"BLU-140")+SUMIFS('Таблиця 1'!$K:$K,'Таблиця 1'!$B:$B,$A213,'Таблиця 1'!$I:$I,"F-16",'Таблиця 1'!$J:$J,"BLU-140")+SUMIFS('Таблиця 1'!$K:$K,'Таблиця 1'!$B:$B,$A213,'Таблиця 1'!$I:$I,"МіГ-29",'Таблиця 1'!$J:$J,"BLU-140")+SUMIFS('Таблиця 1'!$K:$K,'Таблиця 1'!$B:$B,$A213,'Таблиця 1'!$I:$I,"Су-25",'Таблиця 1'!$J:$J,"BLU-140")+SUMIFS('Таблиця 1'!$K:$K,'Таблиця 1'!$B:$B,$A213,'Таблиця 1'!$I:$I,"Су-27",'Таблиця 1'!$J:$J,"BLU-140"))</f>
        <v/>
      </c>
      <c r="L213">
        <f>IF($A213="","",SUMIFS('Таблиця 1'!$K:$K,'Таблиця 1'!$B:$B,$A213,'Таблиця 1'!$I:$I,"Mirage",'Таблиця 1'!$J:$J,"GBU-65")+SUMIFS('Таблиця 1'!$K:$K,'Таблиця 1'!$B:$B,$A213,'Таблиця 1'!$I:$I,"F-16",'Таблиця 1'!$J:$J,"GBU-65")+SUMIFS('Таблиця 1'!$K:$K,'Таблиця 1'!$B:$B,$A213,'Таблиця 1'!$I:$I,"МіГ-29",'Таблиця 1'!$J:$J,"GBU-65")+SUMIFS('Таблиця 1'!$K:$K,'Таблиця 1'!$B:$B,$A213,'Таблиця 1'!$I:$I,"Су-25",'Таблиця 1'!$J:$J,"GBU-65")+SUMIFS('Таблиця 1'!$K:$K,'Таблиця 1'!$B:$B,$A213,'Таблиця 1'!$I:$I,"Су-27",'Таблиця 1'!$J:$J,"GBU-65"))</f>
        <v/>
      </c>
      <c r="M213">
        <f>IF($A213="","",SUMIFS('Таблиця 1'!$K:$K,'Таблиця 1'!$B:$B,$A213,'Таблиця 1'!$I:$I,"Mirage",'Таблиця 1'!$J:$J,"GBU-62")+SUMIFS('Таблиця 1'!$K:$K,'Таблиця 1'!$B:$B,$A213,'Таблиця 1'!$I:$I,"F-16",'Таблиця 1'!$J:$J,"GBU-62")+SUMIFS('Таблиця 1'!$K:$K,'Таблиця 1'!$B:$B,$A213,'Таблиця 1'!$I:$I,"МіГ-29",'Таблиця 1'!$J:$J,"GBU-62")+SUMIFS('Таблиця 1'!$K:$K,'Таблиця 1'!$B:$B,$A213,'Таблиця 1'!$I:$I,"Су-25",'Таблиця 1'!$J:$J,"GBU-62")+SUMIFS('Таблиця 1'!$K:$K,'Таблиця 1'!$B:$B,$A213,'Таблиця 1'!$I:$I,"Су-27",'Таблиця 1'!$J:$J,"GBU-62"))</f>
        <v/>
      </c>
      <c r="N213">
        <f>IF($A213="","",SUMIFS('Таблиця 1'!$K:$K,'Таблиця 1'!$B:$B,$A213,'Таблиця 1'!$I:$I,"Mirage",'Таблиця 1'!$J:$J,"GBU-64")+SUMIFS('Таблиця 1'!$K:$K,'Таблиця 1'!$B:$B,$A213,'Таблиця 1'!$I:$I,"F-16",'Таблиця 1'!$J:$J,"GBU-64")+SUMIFS('Таблиця 1'!$K:$K,'Таблиця 1'!$B:$B,$A213,'Таблиця 1'!$I:$I,"МіГ-29",'Таблиця 1'!$J:$J,"GBU-64")+SUMIFS('Таблиця 1'!$K:$K,'Таблиця 1'!$B:$B,$A213,'Таблиця 1'!$I:$I,"Су-25",'Таблиця 1'!$J:$J,"GBU-64")+SUMIFS('Таблиця 1'!$K:$K,'Таблиця 1'!$B:$B,$A213,'Таблиця 1'!$I:$I,"Су-27",'Таблиця 1'!$J:$J,"GBU-64"))</f>
        <v/>
      </c>
      <c r="O213">
        <f>IF($A213="","",SUMIFS('Таблиця 1'!$K:$K,'Таблиця 1'!$B:$B,$A213,'Таблиця 1'!$I:$I,"Mirage",'Таблиця 1'!$J:$J,"C-13")+SUMIFS('Таблиця 1'!$K:$K,'Таблиця 1'!$B:$B,$A213,'Таблиця 1'!$I:$I,"F-16",'Таблиця 1'!$J:$J,"C-13")+SUMIFS('Таблиця 1'!$K:$K,'Таблиця 1'!$B:$B,$A213,'Таблиця 1'!$I:$I,"МіГ-29",'Таблиця 1'!$J:$J,"C-13")+SUMIFS('Таблиця 1'!$K:$K,'Таблиця 1'!$B:$B,$A213,'Таблиця 1'!$I:$I,"Су-25",'Таблиця 1'!$J:$J,"C-13")+SUMIFS('Таблиця 1'!$K:$K,'Таблиця 1'!$B:$B,$A213,'Таблиця 1'!$I:$I,"Су-27",'Таблиця 1'!$J:$J,"C-13"))</f>
        <v/>
      </c>
      <c r="P213">
        <f>IF($A213="","",SUMIFS('Таблиця 1'!$K:$K,'Таблиця 1'!$B:$B,$A213,'Таблиця 1'!$I:$I,"Mirage",'Таблиця 1'!$J:$J,"MK-32")+SUMIFS('Таблиця 1'!$K:$K,'Таблиця 1'!$B:$B,$A213,'Таблиця 1'!$I:$I,"F-16",'Таблиця 1'!$J:$J,"MK-32")+SUMIFS('Таблиця 1'!$K:$K,'Таблиця 1'!$B:$B,$A213,'Таблиця 1'!$I:$I,"МіГ-29",'Таблиця 1'!$J:$J,"MK-32")+SUMIFS('Таблиця 1'!$K:$K,'Таблиця 1'!$B:$B,$A213,'Таблиця 1'!$I:$I,"Су-25",'Таблиця 1'!$J:$J,"MK-32")+SUMIFS('Таблиця 1'!$K:$K,'Таблиця 1'!$B:$B,$A213,'Таблиця 1'!$I:$I,"Су-27",'Таблиця 1'!$J:$J,"MK-32"))</f>
        <v/>
      </c>
      <c r="Q213">
        <f>IF($A213="","",SUMIFS('Таблиця 1'!$K:$K,'Таблиця 1'!$B:$B,$A213,'Таблиця 1'!$I:$I,"Mirage",'Таблиця 1'!$J:$J,"MK-24")+SUMIFS('Таблиця 1'!$K:$K,'Таблиця 1'!$B:$B,$A213,'Таблиця 1'!$I:$I,"F-16",'Таблиця 1'!$J:$J,"MK-24")+SUMIFS('Таблиця 1'!$K:$K,'Таблиця 1'!$B:$B,$A213,'Таблиця 1'!$I:$I,"МіГ-29",'Таблиця 1'!$J:$J,"MK-24")+SUMIFS('Таблиця 1'!$K:$K,'Таблиця 1'!$B:$B,$A213,'Таблиця 1'!$I:$I,"Су-25",'Таблиця 1'!$J:$J,"MK-24")+SUMIFS('Таблиця 1'!$K:$K,'Таблиця 1'!$B:$B,$A213,'Таблиця 1'!$I:$I,"Су-27",'Таблиця 1'!$J:$J,"MK-24"))</f>
        <v/>
      </c>
      <c r="R213">
        <f>IF($A213="","",COUNTIFS('Таблиця 1'!$B:$B,$A213,'Таблиця 1'!$I:$I,"Mirage",'Таблиця 1'!$L:$L,"Уражено")+COUNTIFS('Таблиця 1'!$B:$B,$A213,'Таблиця 1'!$I:$I,"F-16",'Таблиця 1'!$L:$L,"Уражено")+COUNTIFS('Таблиця 1'!$B:$B,$A213,'Таблиця 1'!$I:$I,"МіГ-29",'Таблиця 1'!$L:$L,"Уражено")+COUNTIFS('Таблиця 1'!$B:$B,$A213,'Таблиця 1'!$I:$I,"Су-25",'Таблиця 1'!$L:$L,"Уражено")+COUNTIFS('Таблиця 1'!$B:$B,$A213,'Таблиця 1'!$I:$I,"Су-27",'Таблиця 1'!$L:$L,"Уражено"))</f>
        <v/>
      </c>
      <c r="S213">
        <f>IF($A213="","",COUNTIFS('Таблиця 1'!$B:$B,$A213,'Таблиця 1'!$I:$I,"Mirage",'Таблиця 1'!$L:$L,"НЕ уражено")+COUNTIFS('Таблиця 1'!$B:$B,$A213,'Таблиця 1'!$I:$I,"F-16",'Таблиця 1'!$L:$L,"НЕ уражено")+COUNTIFS('Таблиця 1'!$B:$B,$A213,'Таблиця 1'!$I:$I,"МіГ-29",'Таблиця 1'!$L:$L,"НЕ уражено")+COUNTIFS('Таблиця 1'!$B:$B,$A213,'Таблиця 1'!$I:$I,"Су-25",'Таблиця 1'!$L:$L,"НЕ уражено")+COUNTIFS('Таблиця 1'!$B:$B,$A213,'Таблиця 1'!$I:$I,"Су-27",'Таблиця 1'!$L:$L,"НЕ уражено"))</f>
        <v/>
      </c>
      <c r="T213">
        <f>IF($A213="","",COUNTIFS('Таблиця 1'!$B:$B,$A213,'Таблиця 1'!$I:$I,"Mirage",'Таблиця 1'!$L:$L,"Дорозвідується")+COUNTIFS('Таблиця 1'!$B:$B,$A213,'Таблиця 1'!$I:$I,"F-16",'Таблиця 1'!$L:$L,"Дорозвідується")+COUNTIFS('Таблиця 1'!$B:$B,$A213,'Таблиця 1'!$I:$I,"МіГ-29",'Таблиця 1'!$L:$L,"Дорозвідується")+COUNTIFS('Таблиця 1'!$B:$B,$A213,'Таблиця 1'!$I:$I,"Су-25",'Таблиця 1'!$L:$L,"Дорозвідується")+COUNTIFS('Таблиця 1'!$B:$B,$A213,'Таблиця 1'!$I:$I,"Су-27",'Таблиця 1'!$L:$L,"Дорозвідується"))</f>
        <v/>
      </c>
    </row>
    <row r="214">
      <c r="A214" s="273">
        <f>IF(A213="","",IF(A213+1&gt;MAX('Таблиця 1'!$B:$B),"",A213+1))</f>
        <v/>
      </c>
      <c r="B214">
        <f>IF($A214="","",COUNTIFS('Таблиця 1'!$B:$B,$A214,'Таблиця 1'!$I:$I,"Mirage")+COUNTIFS('Таблиця 1'!$B:$B,$A214,'Таблиця 1'!$I:$I,"F-16")+COUNTIFS('Таблиця 1'!$B:$B,$A214,'Таблиця 1'!$I:$I,"МіГ-29")+COUNTIFS('Таблиця 1'!$B:$B,$A214,'Таблиця 1'!$I:$I,"Су-25")+COUNTIFS('Таблиця 1'!$B:$B,$A214,'Таблиця 1'!$I:$I,"Су-27"))</f>
        <v/>
      </c>
      <c r="C214">
        <f>IF($A214="","",COUNTIFS('Таблиця 1'!$B:$B,$A214,'Таблиця 1'!$I:$I,"Mirage"))</f>
        <v/>
      </c>
      <c r="D214">
        <f>IF($A214="","",COUNTIFS('Таблиця 1'!$B:$B,$A214,'Таблиця 1'!$I:$I,"F-16"))</f>
        <v/>
      </c>
      <c r="E214">
        <f>IF($A214="","",COUNTIFS('Таблиця 1'!$B:$B,$A214,'Таблиця 1'!$I:$I,"МіГ-29"))</f>
        <v/>
      </c>
      <c r="F214">
        <f>IF($A214="","",COUNTIFS('Таблиця 1'!$B:$B,$A214,'Таблиця 1'!$I:$I,"Су-25"))</f>
        <v/>
      </c>
      <c r="G214">
        <f>IF($A214="","",COUNTIFS('Таблиця 1'!$B:$B,$A214,'Таблиця 1'!$I:$I,"Су-27"))</f>
        <v/>
      </c>
      <c r="H214">
        <f>IF($A214="","",SUMIFS('Таблиця 1'!$K:$K,'Таблиця 1'!$B:$B,$A214,'Таблиця 1'!$I:$I,"Mirage",'Таблиця 1'!$J:$J,"AGM-88")+SUMIFS('Таблиця 1'!$K:$K,'Таблиця 1'!$B:$B,$A214,'Таблиця 1'!$I:$I,"F-16",'Таблиця 1'!$J:$J,"AGM-88")+SUMIFS('Таблиця 1'!$K:$K,'Таблиця 1'!$B:$B,$A214,'Таблиця 1'!$I:$I,"МіГ-29",'Таблиця 1'!$J:$J,"AGM-88")+SUMIFS('Таблиця 1'!$K:$K,'Таблиця 1'!$B:$B,$A214,'Таблиця 1'!$I:$I,"Су-25",'Таблиця 1'!$J:$J,"AGM-88")+SUMIFS('Таблиця 1'!$K:$K,'Таблиця 1'!$B:$B,$A214,'Таблиця 1'!$I:$I,"Су-27",'Таблиця 1'!$J:$J,"AGM-88"))</f>
        <v/>
      </c>
      <c r="I214">
        <f>IF($A214="","",SUMIFS('Таблиця 1'!$K:$K,'Таблиця 1'!$B:$B,$A214,'Таблиця 1'!$I:$I,"Mirage",'Таблиця 1'!$J:$J,"AASM-250")+SUMIFS('Таблиця 1'!$K:$K,'Таблиця 1'!$B:$B,$A214,'Таблиця 1'!$I:$I,"F-16",'Таблиця 1'!$J:$J,"AASM-250")+SUMIFS('Таблиця 1'!$K:$K,'Таблиця 1'!$B:$B,$A214,'Таблиця 1'!$I:$I,"МіГ-29",'Таблиця 1'!$J:$J,"AASM-250")+SUMIFS('Таблиця 1'!$K:$K,'Таблиця 1'!$B:$B,$A214,'Таблиця 1'!$I:$I,"Су-25",'Таблиця 1'!$J:$J,"AASM-250")+SUMIFS('Таблиця 1'!$K:$K,'Таблиця 1'!$B:$B,$A214,'Таблиця 1'!$I:$I,"Су-27",'Таблиця 1'!$J:$J,"AASM-250"))</f>
        <v/>
      </c>
      <c r="J214">
        <f>IF($A214="","",SUMIFS('Таблиця 1'!$K:$K,'Таблиця 1'!$B:$B,$A214,'Таблиця 1'!$I:$I,"Mirage",'Таблиця 1'!$J:$J,"GBU-39")+SUMIFS('Таблиця 1'!$K:$K,'Таблиця 1'!$B:$B,$A214,'Таблиця 1'!$I:$I,"F-16",'Таблиця 1'!$J:$J,"GBU-39")+SUMIFS('Таблиця 1'!$K:$K,'Таблиця 1'!$B:$B,$A214,'Таблиця 1'!$I:$I,"МіГ-29",'Таблиця 1'!$J:$J,"GBU-39")+SUMIFS('Таблиця 1'!$K:$K,'Таблиця 1'!$B:$B,$A214,'Таблиця 1'!$I:$I,"Су-25",'Таблиця 1'!$J:$J,"GBU-39")+SUMIFS('Таблиця 1'!$K:$K,'Таблиця 1'!$B:$B,$A214,'Таблиця 1'!$I:$I,"Су-27",'Таблиця 1'!$J:$J,"GBU-39"))</f>
        <v/>
      </c>
      <c r="K214">
        <f>IF($A214="","",SUMIFS('Таблиця 1'!$K:$K,'Таблиця 1'!$B:$B,$A214,'Таблиця 1'!$I:$I,"Mirage",'Таблиця 1'!$J:$J,"BLU-140")+SUMIFS('Таблиця 1'!$K:$K,'Таблиця 1'!$B:$B,$A214,'Таблиця 1'!$I:$I,"F-16",'Таблиця 1'!$J:$J,"BLU-140")+SUMIFS('Таблиця 1'!$K:$K,'Таблиця 1'!$B:$B,$A214,'Таблиця 1'!$I:$I,"МіГ-29",'Таблиця 1'!$J:$J,"BLU-140")+SUMIFS('Таблиця 1'!$K:$K,'Таблиця 1'!$B:$B,$A214,'Таблиця 1'!$I:$I,"Су-25",'Таблиця 1'!$J:$J,"BLU-140")+SUMIFS('Таблиця 1'!$K:$K,'Таблиця 1'!$B:$B,$A214,'Таблиця 1'!$I:$I,"Су-27",'Таблиця 1'!$J:$J,"BLU-140"))</f>
        <v/>
      </c>
      <c r="L214">
        <f>IF($A214="","",SUMIFS('Таблиця 1'!$K:$K,'Таблиця 1'!$B:$B,$A214,'Таблиця 1'!$I:$I,"Mirage",'Таблиця 1'!$J:$J,"GBU-65")+SUMIFS('Таблиця 1'!$K:$K,'Таблиця 1'!$B:$B,$A214,'Таблиця 1'!$I:$I,"F-16",'Таблиця 1'!$J:$J,"GBU-65")+SUMIFS('Таблиця 1'!$K:$K,'Таблиця 1'!$B:$B,$A214,'Таблиця 1'!$I:$I,"МіГ-29",'Таблиця 1'!$J:$J,"GBU-65")+SUMIFS('Таблиця 1'!$K:$K,'Таблиця 1'!$B:$B,$A214,'Таблиця 1'!$I:$I,"Су-25",'Таблиця 1'!$J:$J,"GBU-65")+SUMIFS('Таблиця 1'!$K:$K,'Таблиця 1'!$B:$B,$A214,'Таблиця 1'!$I:$I,"Су-27",'Таблиця 1'!$J:$J,"GBU-65"))</f>
        <v/>
      </c>
      <c r="M214">
        <f>IF($A214="","",SUMIFS('Таблиця 1'!$K:$K,'Таблиця 1'!$B:$B,$A214,'Таблиця 1'!$I:$I,"Mirage",'Таблиця 1'!$J:$J,"GBU-62")+SUMIFS('Таблиця 1'!$K:$K,'Таблиця 1'!$B:$B,$A214,'Таблиця 1'!$I:$I,"F-16",'Таблиця 1'!$J:$J,"GBU-62")+SUMIFS('Таблиця 1'!$K:$K,'Таблиця 1'!$B:$B,$A214,'Таблиця 1'!$I:$I,"МіГ-29",'Таблиця 1'!$J:$J,"GBU-62")+SUMIFS('Таблиця 1'!$K:$K,'Таблиця 1'!$B:$B,$A214,'Таблиця 1'!$I:$I,"Су-25",'Таблиця 1'!$J:$J,"GBU-62")+SUMIFS('Таблиця 1'!$K:$K,'Таблиця 1'!$B:$B,$A214,'Таблиця 1'!$I:$I,"Су-27",'Таблиця 1'!$J:$J,"GBU-62"))</f>
        <v/>
      </c>
      <c r="N214">
        <f>IF($A214="","",SUMIFS('Таблиця 1'!$K:$K,'Таблиця 1'!$B:$B,$A214,'Таблиця 1'!$I:$I,"Mirage",'Таблиця 1'!$J:$J,"GBU-64")+SUMIFS('Таблиця 1'!$K:$K,'Таблиця 1'!$B:$B,$A214,'Таблиця 1'!$I:$I,"F-16",'Таблиця 1'!$J:$J,"GBU-64")+SUMIFS('Таблиця 1'!$K:$K,'Таблиця 1'!$B:$B,$A214,'Таблиця 1'!$I:$I,"МіГ-29",'Таблиця 1'!$J:$J,"GBU-64")+SUMIFS('Таблиця 1'!$K:$K,'Таблиця 1'!$B:$B,$A214,'Таблиця 1'!$I:$I,"Су-25",'Таблиця 1'!$J:$J,"GBU-64")+SUMIFS('Таблиця 1'!$K:$K,'Таблиця 1'!$B:$B,$A214,'Таблиця 1'!$I:$I,"Су-27",'Таблиця 1'!$J:$J,"GBU-64"))</f>
        <v/>
      </c>
      <c r="O214">
        <f>IF($A214="","",SUMIFS('Таблиця 1'!$K:$K,'Таблиця 1'!$B:$B,$A214,'Таблиця 1'!$I:$I,"Mirage",'Таблиця 1'!$J:$J,"C-13")+SUMIFS('Таблиця 1'!$K:$K,'Таблиця 1'!$B:$B,$A214,'Таблиця 1'!$I:$I,"F-16",'Таблиця 1'!$J:$J,"C-13")+SUMIFS('Таблиця 1'!$K:$K,'Таблиця 1'!$B:$B,$A214,'Таблиця 1'!$I:$I,"МіГ-29",'Таблиця 1'!$J:$J,"C-13")+SUMIFS('Таблиця 1'!$K:$K,'Таблиця 1'!$B:$B,$A214,'Таблиця 1'!$I:$I,"Су-25",'Таблиця 1'!$J:$J,"C-13")+SUMIFS('Таблиця 1'!$K:$K,'Таблиця 1'!$B:$B,$A214,'Таблиця 1'!$I:$I,"Су-27",'Таблиця 1'!$J:$J,"C-13"))</f>
        <v/>
      </c>
      <c r="P214">
        <f>IF($A214="","",SUMIFS('Таблиця 1'!$K:$K,'Таблиця 1'!$B:$B,$A214,'Таблиця 1'!$I:$I,"Mirage",'Таблиця 1'!$J:$J,"MK-32")+SUMIFS('Таблиця 1'!$K:$K,'Таблиця 1'!$B:$B,$A214,'Таблиця 1'!$I:$I,"F-16",'Таблиця 1'!$J:$J,"MK-32")+SUMIFS('Таблиця 1'!$K:$K,'Таблиця 1'!$B:$B,$A214,'Таблиця 1'!$I:$I,"МіГ-29",'Таблиця 1'!$J:$J,"MK-32")+SUMIFS('Таблиця 1'!$K:$K,'Таблиця 1'!$B:$B,$A214,'Таблиця 1'!$I:$I,"Су-25",'Таблиця 1'!$J:$J,"MK-32")+SUMIFS('Таблиця 1'!$K:$K,'Таблиця 1'!$B:$B,$A214,'Таблиця 1'!$I:$I,"Су-27",'Таблиця 1'!$J:$J,"MK-32"))</f>
        <v/>
      </c>
      <c r="Q214">
        <f>IF($A214="","",SUMIFS('Таблиця 1'!$K:$K,'Таблиця 1'!$B:$B,$A214,'Таблиця 1'!$I:$I,"Mirage",'Таблиця 1'!$J:$J,"MK-24")+SUMIFS('Таблиця 1'!$K:$K,'Таблиця 1'!$B:$B,$A214,'Таблиця 1'!$I:$I,"F-16",'Таблиця 1'!$J:$J,"MK-24")+SUMIFS('Таблиця 1'!$K:$K,'Таблиця 1'!$B:$B,$A214,'Таблиця 1'!$I:$I,"МіГ-29",'Таблиця 1'!$J:$J,"MK-24")+SUMIFS('Таблиця 1'!$K:$K,'Таблиця 1'!$B:$B,$A214,'Таблиця 1'!$I:$I,"Су-25",'Таблиця 1'!$J:$J,"MK-24")+SUMIFS('Таблиця 1'!$K:$K,'Таблиця 1'!$B:$B,$A214,'Таблиця 1'!$I:$I,"Су-27",'Таблиця 1'!$J:$J,"MK-24"))</f>
        <v/>
      </c>
      <c r="R214">
        <f>IF($A214="","",COUNTIFS('Таблиця 1'!$B:$B,$A214,'Таблиця 1'!$I:$I,"Mirage",'Таблиця 1'!$L:$L,"Уражено")+COUNTIFS('Таблиця 1'!$B:$B,$A214,'Таблиця 1'!$I:$I,"F-16",'Таблиця 1'!$L:$L,"Уражено")+COUNTIFS('Таблиця 1'!$B:$B,$A214,'Таблиця 1'!$I:$I,"МіГ-29",'Таблиця 1'!$L:$L,"Уражено")+COUNTIFS('Таблиця 1'!$B:$B,$A214,'Таблиця 1'!$I:$I,"Су-25",'Таблиця 1'!$L:$L,"Уражено")+COUNTIFS('Таблиця 1'!$B:$B,$A214,'Таблиця 1'!$I:$I,"Су-27",'Таблиця 1'!$L:$L,"Уражено"))</f>
        <v/>
      </c>
      <c r="S214">
        <f>IF($A214="","",COUNTIFS('Таблиця 1'!$B:$B,$A214,'Таблиця 1'!$I:$I,"Mirage",'Таблиця 1'!$L:$L,"НЕ уражено")+COUNTIFS('Таблиця 1'!$B:$B,$A214,'Таблиця 1'!$I:$I,"F-16",'Таблиця 1'!$L:$L,"НЕ уражено")+COUNTIFS('Таблиця 1'!$B:$B,$A214,'Таблиця 1'!$I:$I,"МіГ-29",'Таблиця 1'!$L:$L,"НЕ уражено")+COUNTIFS('Таблиця 1'!$B:$B,$A214,'Таблиця 1'!$I:$I,"Су-25",'Таблиця 1'!$L:$L,"НЕ уражено")+COUNTIFS('Таблиця 1'!$B:$B,$A214,'Таблиця 1'!$I:$I,"Су-27",'Таблиця 1'!$L:$L,"НЕ уражено"))</f>
        <v/>
      </c>
      <c r="T214">
        <f>IF($A214="","",COUNTIFS('Таблиця 1'!$B:$B,$A214,'Таблиця 1'!$I:$I,"Mirage",'Таблиця 1'!$L:$L,"Дорозвідується")+COUNTIFS('Таблиця 1'!$B:$B,$A214,'Таблиця 1'!$I:$I,"F-16",'Таблиця 1'!$L:$L,"Дорозвідується")+COUNTIFS('Таблиця 1'!$B:$B,$A214,'Таблиця 1'!$I:$I,"МіГ-29",'Таблиця 1'!$L:$L,"Дорозвідується")+COUNTIFS('Таблиця 1'!$B:$B,$A214,'Таблиця 1'!$I:$I,"Су-25",'Таблиця 1'!$L:$L,"Дорозвідується")+COUNTIFS('Таблиця 1'!$B:$B,$A214,'Таблиця 1'!$I:$I,"Су-27",'Таблиця 1'!$L:$L,"Дорозвідується"))</f>
        <v/>
      </c>
    </row>
    <row r="215">
      <c r="A215" s="273">
        <f>IF(A214="","",IF(A214+1&gt;MAX('Таблиця 1'!$B:$B),"",A214+1))</f>
        <v/>
      </c>
      <c r="B215">
        <f>IF($A215="","",COUNTIFS('Таблиця 1'!$B:$B,$A215,'Таблиця 1'!$I:$I,"Mirage")+COUNTIFS('Таблиця 1'!$B:$B,$A215,'Таблиця 1'!$I:$I,"F-16")+COUNTIFS('Таблиця 1'!$B:$B,$A215,'Таблиця 1'!$I:$I,"МіГ-29")+COUNTIFS('Таблиця 1'!$B:$B,$A215,'Таблиця 1'!$I:$I,"Су-25")+COUNTIFS('Таблиця 1'!$B:$B,$A215,'Таблиця 1'!$I:$I,"Су-27"))</f>
        <v/>
      </c>
      <c r="C215">
        <f>IF($A215="","",COUNTIFS('Таблиця 1'!$B:$B,$A215,'Таблиця 1'!$I:$I,"Mirage"))</f>
        <v/>
      </c>
      <c r="D215">
        <f>IF($A215="","",COUNTIFS('Таблиця 1'!$B:$B,$A215,'Таблиця 1'!$I:$I,"F-16"))</f>
        <v/>
      </c>
      <c r="E215">
        <f>IF($A215="","",COUNTIFS('Таблиця 1'!$B:$B,$A215,'Таблиця 1'!$I:$I,"МіГ-29"))</f>
        <v/>
      </c>
      <c r="F215">
        <f>IF($A215="","",COUNTIFS('Таблиця 1'!$B:$B,$A215,'Таблиця 1'!$I:$I,"Су-25"))</f>
        <v/>
      </c>
      <c r="G215">
        <f>IF($A215="","",COUNTIFS('Таблиця 1'!$B:$B,$A215,'Таблиця 1'!$I:$I,"Су-27"))</f>
        <v/>
      </c>
      <c r="H215">
        <f>IF($A215="","",SUMIFS('Таблиця 1'!$K:$K,'Таблиця 1'!$B:$B,$A215,'Таблиця 1'!$I:$I,"Mirage",'Таблиця 1'!$J:$J,"AGM-88")+SUMIFS('Таблиця 1'!$K:$K,'Таблиця 1'!$B:$B,$A215,'Таблиця 1'!$I:$I,"F-16",'Таблиця 1'!$J:$J,"AGM-88")+SUMIFS('Таблиця 1'!$K:$K,'Таблиця 1'!$B:$B,$A215,'Таблиця 1'!$I:$I,"МіГ-29",'Таблиця 1'!$J:$J,"AGM-88")+SUMIFS('Таблиця 1'!$K:$K,'Таблиця 1'!$B:$B,$A215,'Таблиця 1'!$I:$I,"Су-25",'Таблиця 1'!$J:$J,"AGM-88")+SUMIFS('Таблиця 1'!$K:$K,'Таблиця 1'!$B:$B,$A215,'Таблиця 1'!$I:$I,"Су-27",'Таблиця 1'!$J:$J,"AGM-88"))</f>
        <v/>
      </c>
      <c r="I215">
        <f>IF($A215="","",SUMIFS('Таблиця 1'!$K:$K,'Таблиця 1'!$B:$B,$A215,'Таблиця 1'!$I:$I,"Mirage",'Таблиця 1'!$J:$J,"AASM-250")+SUMIFS('Таблиця 1'!$K:$K,'Таблиця 1'!$B:$B,$A215,'Таблиця 1'!$I:$I,"F-16",'Таблиця 1'!$J:$J,"AASM-250")+SUMIFS('Таблиця 1'!$K:$K,'Таблиця 1'!$B:$B,$A215,'Таблиця 1'!$I:$I,"МіГ-29",'Таблиця 1'!$J:$J,"AASM-250")+SUMIFS('Таблиця 1'!$K:$K,'Таблиця 1'!$B:$B,$A215,'Таблиця 1'!$I:$I,"Су-25",'Таблиця 1'!$J:$J,"AASM-250")+SUMIFS('Таблиця 1'!$K:$K,'Таблиця 1'!$B:$B,$A215,'Таблиця 1'!$I:$I,"Су-27",'Таблиця 1'!$J:$J,"AASM-250"))</f>
        <v/>
      </c>
      <c r="J215">
        <f>IF($A215="","",SUMIFS('Таблиця 1'!$K:$K,'Таблиця 1'!$B:$B,$A215,'Таблиця 1'!$I:$I,"Mirage",'Таблиця 1'!$J:$J,"GBU-39")+SUMIFS('Таблиця 1'!$K:$K,'Таблиця 1'!$B:$B,$A215,'Таблиця 1'!$I:$I,"F-16",'Таблиця 1'!$J:$J,"GBU-39")+SUMIFS('Таблиця 1'!$K:$K,'Таблиця 1'!$B:$B,$A215,'Таблиця 1'!$I:$I,"МіГ-29",'Таблиця 1'!$J:$J,"GBU-39")+SUMIFS('Таблиця 1'!$K:$K,'Таблиця 1'!$B:$B,$A215,'Таблиця 1'!$I:$I,"Су-25",'Таблиця 1'!$J:$J,"GBU-39")+SUMIFS('Таблиця 1'!$K:$K,'Таблиця 1'!$B:$B,$A215,'Таблиця 1'!$I:$I,"Су-27",'Таблиця 1'!$J:$J,"GBU-39"))</f>
        <v/>
      </c>
      <c r="K215">
        <f>IF($A215="","",SUMIFS('Таблиця 1'!$K:$K,'Таблиця 1'!$B:$B,$A215,'Таблиця 1'!$I:$I,"Mirage",'Таблиця 1'!$J:$J,"BLU-140")+SUMIFS('Таблиця 1'!$K:$K,'Таблиця 1'!$B:$B,$A215,'Таблиця 1'!$I:$I,"F-16",'Таблиця 1'!$J:$J,"BLU-140")+SUMIFS('Таблиця 1'!$K:$K,'Таблиця 1'!$B:$B,$A215,'Таблиця 1'!$I:$I,"МіГ-29",'Таблиця 1'!$J:$J,"BLU-140")+SUMIFS('Таблиця 1'!$K:$K,'Таблиця 1'!$B:$B,$A215,'Таблиця 1'!$I:$I,"Су-25",'Таблиця 1'!$J:$J,"BLU-140")+SUMIFS('Таблиця 1'!$K:$K,'Таблиця 1'!$B:$B,$A215,'Таблиця 1'!$I:$I,"Су-27",'Таблиця 1'!$J:$J,"BLU-140"))</f>
        <v/>
      </c>
      <c r="L215">
        <f>IF($A215="","",SUMIFS('Таблиця 1'!$K:$K,'Таблиця 1'!$B:$B,$A215,'Таблиця 1'!$I:$I,"Mirage",'Таблиця 1'!$J:$J,"GBU-65")+SUMIFS('Таблиця 1'!$K:$K,'Таблиця 1'!$B:$B,$A215,'Таблиця 1'!$I:$I,"F-16",'Таблиця 1'!$J:$J,"GBU-65")+SUMIFS('Таблиця 1'!$K:$K,'Таблиця 1'!$B:$B,$A215,'Таблиця 1'!$I:$I,"МіГ-29",'Таблиця 1'!$J:$J,"GBU-65")+SUMIFS('Таблиця 1'!$K:$K,'Таблиця 1'!$B:$B,$A215,'Таблиця 1'!$I:$I,"Су-25",'Таблиця 1'!$J:$J,"GBU-65")+SUMIFS('Таблиця 1'!$K:$K,'Таблиця 1'!$B:$B,$A215,'Таблиця 1'!$I:$I,"Су-27",'Таблиця 1'!$J:$J,"GBU-65"))</f>
        <v/>
      </c>
      <c r="M215">
        <f>IF($A215="","",SUMIFS('Таблиця 1'!$K:$K,'Таблиця 1'!$B:$B,$A215,'Таблиця 1'!$I:$I,"Mirage",'Таблиця 1'!$J:$J,"GBU-62")+SUMIFS('Таблиця 1'!$K:$K,'Таблиця 1'!$B:$B,$A215,'Таблиця 1'!$I:$I,"F-16",'Таблиця 1'!$J:$J,"GBU-62")+SUMIFS('Таблиця 1'!$K:$K,'Таблиця 1'!$B:$B,$A215,'Таблиця 1'!$I:$I,"МіГ-29",'Таблиця 1'!$J:$J,"GBU-62")+SUMIFS('Таблиця 1'!$K:$K,'Таблиця 1'!$B:$B,$A215,'Таблиця 1'!$I:$I,"Су-25",'Таблиця 1'!$J:$J,"GBU-62")+SUMIFS('Таблиця 1'!$K:$K,'Таблиця 1'!$B:$B,$A215,'Таблиця 1'!$I:$I,"Су-27",'Таблиця 1'!$J:$J,"GBU-62"))</f>
        <v/>
      </c>
      <c r="N215">
        <f>IF($A215="","",SUMIFS('Таблиця 1'!$K:$K,'Таблиця 1'!$B:$B,$A215,'Таблиця 1'!$I:$I,"Mirage",'Таблиця 1'!$J:$J,"GBU-64")+SUMIFS('Таблиця 1'!$K:$K,'Таблиця 1'!$B:$B,$A215,'Таблиця 1'!$I:$I,"F-16",'Таблиця 1'!$J:$J,"GBU-64")+SUMIFS('Таблиця 1'!$K:$K,'Таблиця 1'!$B:$B,$A215,'Таблиця 1'!$I:$I,"МіГ-29",'Таблиця 1'!$J:$J,"GBU-64")+SUMIFS('Таблиця 1'!$K:$K,'Таблиця 1'!$B:$B,$A215,'Таблиця 1'!$I:$I,"Су-25",'Таблиця 1'!$J:$J,"GBU-64")+SUMIFS('Таблиця 1'!$K:$K,'Таблиця 1'!$B:$B,$A215,'Таблиця 1'!$I:$I,"Су-27",'Таблиця 1'!$J:$J,"GBU-64"))</f>
        <v/>
      </c>
      <c r="O215">
        <f>IF($A215="","",SUMIFS('Таблиця 1'!$K:$K,'Таблиця 1'!$B:$B,$A215,'Таблиця 1'!$I:$I,"Mirage",'Таблиця 1'!$J:$J,"C-13")+SUMIFS('Таблиця 1'!$K:$K,'Таблиця 1'!$B:$B,$A215,'Таблиця 1'!$I:$I,"F-16",'Таблиця 1'!$J:$J,"C-13")+SUMIFS('Таблиця 1'!$K:$K,'Таблиця 1'!$B:$B,$A215,'Таблиця 1'!$I:$I,"МіГ-29",'Таблиця 1'!$J:$J,"C-13")+SUMIFS('Таблиця 1'!$K:$K,'Таблиця 1'!$B:$B,$A215,'Таблиця 1'!$I:$I,"Су-25",'Таблиця 1'!$J:$J,"C-13")+SUMIFS('Таблиця 1'!$K:$K,'Таблиця 1'!$B:$B,$A215,'Таблиця 1'!$I:$I,"Су-27",'Таблиця 1'!$J:$J,"C-13"))</f>
        <v/>
      </c>
      <c r="P215">
        <f>IF($A215="","",SUMIFS('Таблиця 1'!$K:$K,'Таблиця 1'!$B:$B,$A215,'Таблиця 1'!$I:$I,"Mirage",'Таблиця 1'!$J:$J,"MK-32")+SUMIFS('Таблиця 1'!$K:$K,'Таблиця 1'!$B:$B,$A215,'Таблиця 1'!$I:$I,"F-16",'Таблиця 1'!$J:$J,"MK-32")+SUMIFS('Таблиця 1'!$K:$K,'Таблиця 1'!$B:$B,$A215,'Таблиця 1'!$I:$I,"МіГ-29",'Таблиця 1'!$J:$J,"MK-32")+SUMIFS('Таблиця 1'!$K:$K,'Таблиця 1'!$B:$B,$A215,'Таблиця 1'!$I:$I,"Су-25",'Таблиця 1'!$J:$J,"MK-32")+SUMIFS('Таблиця 1'!$K:$K,'Таблиця 1'!$B:$B,$A215,'Таблиця 1'!$I:$I,"Су-27",'Таблиця 1'!$J:$J,"MK-32"))</f>
        <v/>
      </c>
      <c r="Q215">
        <f>IF($A215="","",SUMIFS('Таблиця 1'!$K:$K,'Таблиця 1'!$B:$B,$A215,'Таблиця 1'!$I:$I,"Mirage",'Таблиця 1'!$J:$J,"MK-24")+SUMIFS('Таблиця 1'!$K:$K,'Таблиця 1'!$B:$B,$A215,'Таблиця 1'!$I:$I,"F-16",'Таблиця 1'!$J:$J,"MK-24")+SUMIFS('Таблиця 1'!$K:$K,'Таблиця 1'!$B:$B,$A215,'Таблиця 1'!$I:$I,"МіГ-29",'Таблиця 1'!$J:$J,"MK-24")+SUMIFS('Таблиця 1'!$K:$K,'Таблиця 1'!$B:$B,$A215,'Таблиця 1'!$I:$I,"Су-25",'Таблиця 1'!$J:$J,"MK-24")+SUMIFS('Таблиця 1'!$K:$K,'Таблиця 1'!$B:$B,$A215,'Таблиця 1'!$I:$I,"Су-27",'Таблиця 1'!$J:$J,"MK-24"))</f>
        <v/>
      </c>
      <c r="R215">
        <f>IF($A215="","",COUNTIFS('Таблиця 1'!$B:$B,$A215,'Таблиця 1'!$I:$I,"Mirage",'Таблиця 1'!$L:$L,"Уражено")+COUNTIFS('Таблиця 1'!$B:$B,$A215,'Таблиця 1'!$I:$I,"F-16",'Таблиця 1'!$L:$L,"Уражено")+COUNTIFS('Таблиця 1'!$B:$B,$A215,'Таблиця 1'!$I:$I,"МіГ-29",'Таблиця 1'!$L:$L,"Уражено")+COUNTIFS('Таблиця 1'!$B:$B,$A215,'Таблиця 1'!$I:$I,"Су-25",'Таблиця 1'!$L:$L,"Уражено")+COUNTIFS('Таблиця 1'!$B:$B,$A215,'Таблиця 1'!$I:$I,"Су-27",'Таблиця 1'!$L:$L,"Уражено"))</f>
        <v/>
      </c>
      <c r="S215">
        <f>IF($A215="","",COUNTIFS('Таблиця 1'!$B:$B,$A215,'Таблиця 1'!$I:$I,"Mirage",'Таблиця 1'!$L:$L,"НЕ уражено")+COUNTIFS('Таблиця 1'!$B:$B,$A215,'Таблиця 1'!$I:$I,"F-16",'Таблиця 1'!$L:$L,"НЕ уражено")+COUNTIFS('Таблиця 1'!$B:$B,$A215,'Таблиця 1'!$I:$I,"МіГ-29",'Таблиця 1'!$L:$L,"НЕ уражено")+COUNTIFS('Таблиця 1'!$B:$B,$A215,'Таблиця 1'!$I:$I,"Су-25",'Таблиця 1'!$L:$L,"НЕ уражено")+COUNTIFS('Таблиця 1'!$B:$B,$A215,'Таблиця 1'!$I:$I,"Су-27",'Таблиця 1'!$L:$L,"НЕ уражено"))</f>
        <v/>
      </c>
      <c r="T215">
        <f>IF($A215="","",COUNTIFS('Таблиця 1'!$B:$B,$A215,'Таблиця 1'!$I:$I,"Mirage",'Таблиця 1'!$L:$L,"Дорозвідується")+COUNTIFS('Таблиця 1'!$B:$B,$A215,'Таблиця 1'!$I:$I,"F-16",'Таблиця 1'!$L:$L,"Дорозвідується")+COUNTIFS('Таблиця 1'!$B:$B,$A215,'Таблиця 1'!$I:$I,"МіГ-29",'Таблиця 1'!$L:$L,"Дорозвідується")+COUNTIFS('Таблиця 1'!$B:$B,$A215,'Таблиця 1'!$I:$I,"Су-25",'Таблиця 1'!$L:$L,"Дорозвідується")+COUNTIFS('Таблиця 1'!$B:$B,$A215,'Таблиця 1'!$I:$I,"Су-27",'Таблиця 1'!$L:$L,"Дорозвідується"))</f>
        <v/>
      </c>
    </row>
    <row r="216">
      <c r="A216" s="273">
        <f>IF(A215="","",IF(A215+1&gt;MAX('Таблиця 1'!$B:$B),"",A215+1))</f>
        <v/>
      </c>
      <c r="B216">
        <f>IF($A216="","",COUNTIFS('Таблиця 1'!$B:$B,$A216,'Таблиця 1'!$I:$I,"Mirage")+COUNTIFS('Таблиця 1'!$B:$B,$A216,'Таблиця 1'!$I:$I,"F-16")+COUNTIFS('Таблиця 1'!$B:$B,$A216,'Таблиця 1'!$I:$I,"МіГ-29")+COUNTIFS('Таблиця 1'!$B:$B,$A216,'Таблиця 1'!$I:$I,"Су-25")+COUNTIFS('Таблиця 1'!$B:$B,$A216,'Таблиця 1'!$I:$I,"Су-27"))</f>
        <v/>
      </c>
      <c r="C216">
        <f>IF($A216="","",COUNTIFS('Таблиця 1'!$B:$B,$A216,'Таблиця 1'!$I:$I,"Mirage"))</f>
        <v/>
      </c>
      <c r="D216">
        <f>IF($A216="","",COUNTIFS('Таблиця 1'!$B:$B,$A216,'Таблиця 1'!$I:$I,"F-16"))</f>
        <v/>
      </c>
      <c r="E216">
        <f>IF($A216="","",COUNTIFS('Таблиця 1'!$B:$B,$A216,'Таблиця 1'!$I:$I,"МіГ-29"))</f>
        <v/>
      </c>
      <c r="F216">
        <f>IF($A216="","",COUNTIFS('Таблиця 1'!$B:$B,$A216,'Таблиця 1'!$I:$I,"Су-25"))</f>
        <v/>
      </c>
      <c r="G216">
        <f>IF($A216="","",COUNTIFS('Таблиця 1'!$B:$B,$A216,'Таблиця 1'!$I:$I,"Су-27"))</f>
        <v/>
      </c>
      <c r="H216">
        <f>IF($A216="","",SUMIFS('Таблиця 1'!$K:$K,'Таблиця 1'!$B:$B,$A216,'Таблиця 1'!$I:$I,"Mirage",'Таблиця 1'!$J:$J,"AGM-88")+SUMIFS('Таблиця 1'!$K:$K,'Таблиця 1'!$B:$B,$A216,'Таблиця 1'!$I:$I,"F-16",'Таблиця 1'!$J:$J,"AGM-88")+SUMIFS('Таблиця 1'!$K:$K,'Таблиця 1'!$B:$B,$A216,'Таблиця 1'!$I:$I,"МіГ-29",'Таблиця 1'!$J:$J,"AGM-88")+SUMIFS('Таблиця 1'!$K:$K,'Таблиця 1'!$B:$B,$A216,'Таблиця 1'!$I:$I,"Су-25",'Таблиця 1'!$J:$J,"AGM-88")+SUMIFS('Таблиця 1'!$K:$K,'Таблиця 1'!$B:$B,$A216,'Таблиця 1'!$I:$I,"Су-27",'Таблиця 1'!$J:$J,"AGM-88"))</f>
        <v/>
      </c>
      <c r="I216">
        <f>IF($A216="","",SUMIFS('Таблиця 1'!$K:$K,'Таблиця 1'!$B:$B,$A216,'Таблиця 1'!$I:$I,"Mirage",'Таблиця 1'!$J:$J,"AASM-250")+SUMIFS('Таблиця 1'!$K:$K,'Таблиця 1'!$B:$B,$A216,'Таблиця 1'!$I:$I,"F-16",'Таблиця 1'!$J:$J,"AASM-250")+SUMIFS('Таблиця 1'!$K:$K,'Таблиця 1'!$B:$B,$A216,'Таблиця 1'!$I:$I,"МіГ-29",'Таблиця 1'!$J:$J,"AASM-250")+SUMIFS('Таблиця 1'!$K:$K,'Таблиця 1'!$B:$B,$A216,'Таблиця 1'!$I:$I,"Су-25",'Таблиця 1'!$J:$J,"AASM-250")+SUMIFS('Таблиця 1'!$K:$K,'Таблиця 1'!$B:$B,$A216,'Таблиця 1'!$I:$I,"Су-27",'Таблиця 1'!$J:$J,"AASM-250"))</f>
        <v/>
      </c>
      <c r="J216">
        <f>IF($A216="","",SUMIFS('Таблиця 1'!$K:$K,'Таблиця 1'!$B:$B,$A216,'Таблиця 1'!$I:$I,"Mirage",'Таблиця 1'!$J:$J,"GBU-39")+SUMIFS('Таблиця 1'!$K:$K,'Таблиця 1'!$B:$B,$A216,'Таблиця 1'!$I:$I,"F-16",'Таблиця 1'!$J:$J,"GBU-39")+SUMIFS('Таблиця 1'!$K:$K,'Таблиця 1'!$B:$B,$A216,'Таблиця 1'!$I:$I,"МіГ-29",'Таблиця 1'!$J:$J,"GBU-39")+SUMIFS('Таблиця 1'!$K:$K,'Таблиця 1'!$B:$B,$A216,'Таблиця 1'!$I:$I,"Су-25",'Таблиця 1'!$J:$J,"GBU-39")+SUMIFS('Таблиця 1'!$K:$K,'Таблиця 1'!$B:$B,$A216,'Таблиця 1'!$I:$I,"Су-27",'Таблиця 1'!$J:$J,"GBU-39"))</f>
        <v/>
      </c>
      <c r="K216">
        <f>IF($A216="","",SUMIFS('Таблиця 1'!$K:$K,'Таблиця 1'!$B:$B,$A216,'Таблиця 1'!$I:$I,"Mirage",'Таблиця 1'!$J:$J,"BLU-140")+SUMIFS('Таблиця 1'!$K:$K,'Таблиця 1'!$B:$B,$A216,'Таблиця 1'!$I:$I,"F-16",'Таблиця 1'!$J:$J,"BLU-140")+SUMIFS('Таблиця 1'!$K:$K,'Таблиця 1'!$B:$B,$A216,'Таблиця 1'!$I:$I,"МіГ-29",'Таблиця 1'!$J:$J,"BLU-140")+SUMIFS('Таблиця 1'!$K:$K,'Таблиця 1'!$B:$B,$A216,'Таблиця 1'!$I:$I,"Су-25",'Таблиця 1'!$J:$J,"BLU-140")+SUMIFS('Таблиця 1'!$K:$K,'Таблиця 1'!$B:$B,$A216,'Таблиця 1'!$I:$I,"Су-27",'Таблиця 1'!$J:$J,"BLU-140"))</f>
        <v/>
      </c>
      <c r="L216">
        <f>IF($A216="","",SUMIFS('Таблиця 1'!$K:$K,'Таблиця 1'!$B:$B,$A216,'Таблиця 1'!$I:$I,"Mirage",'Таблиця 1'!$J:$J,"GBU-65")+SUMIFS('Таблиця 1'!$K:$K,'Таблиця 1'!$B:$B,$A216,'Таблиця 1'!$I:$I,"F-16",'Таблиця 1'!$J:$J,"GBU-65")+SUMIFS('Таблиця 1'!$K:$K,'Таблиця 1'!$B:$B,$A216,'Таблиця 1'!$I:$I,"МіГ-29",'Таблиця 1'!$J:$J,"GBU-65")+SUMIFS('Таблиця 1'!$K:$K,'Таблиця 1'!$B:$B,$A216,'Таблиця 1'!$I:$I,"Су-25",'Таблиця 1'!$J:$J,"GBU-65")+SUMIFS('Таблиця 1'!$K:$K,'Таблиця 1'!$B:$B,$A216,'Таблиця 1'!$I:$I,"Су-27",'Таблиця 1'!$J:$J,"GBU-65"))</f>
        <v/>
      </c>
      <c r="M216">
        <f>IF($A216="","",SUMIFS('Таблиця 1'!$K:$K,'Таблиця 1'!$B:$B,$A216,'Таблиця 1'!$I:$I,"Mirage",'Таблиця 1'!$J:$J,"GBU-62")+SUMIFS('Таблиця 1'!$K:$K,'Таблиця 1'!$B:$B,$A216,'Таблиця 1'!$I:$I,"F-16",'Таблиця 1'!$J:$J,"GBU-62")+SUMIFS('Таблиця 1'!$K:$K,'Таблиця 1'!$B:$B,$A216,'Таблиця 1'!$I:$I,"МіГ-29",'Таблиця 1'!$J:$J,"GBU-62")+SUMIFS('Таблиця 1'!$K:$K,'Таблиця 1'!$B:$B,$A216,'Таблиця 1'!$I:$I,"Су-25",'Таблиця 1'!$J:$J,"GBU-62")+SUMIFS('Таблиця 1'!$K:$K,'Таблиця 1'!$B:$B,$A216,'Таблиця 1'!$I:$I,"Су-27",'Таблиця 1'!$J:$J,"GBU-62"))</f>
        <v/>
      </c>
      <c r="N216">
        <f>IF($A216="","",SUMIFS('Таблиця 1'!$K:$K,'Таблиця 1'!$B:$B,$A216,'Таблиця 1'!$I:$I,"Mirage",'Таблиця 1'!$J:$J,"GBU-64")+SUMIFS('Таблиця 1'!$K:$K,'Таблиця 1'!$B:$B,$A216,'Таблиця 1'!$I:$I,"F-16",'Таблиця 1'!$J:$J,"GBU-64")+SUMIFS('Таблиця 1'!$K:$K,'Таблиця 1'!$B:$B,$A216,'Таблиця 1'!$I:$I,"МіГ-29",'Таблиця 1'!$J:$J,"GBU-64")+SUMIFS('Таблиця 1'!$K:$K,'Таблиця 1'!$B:$B,$A216,'Таблиця 1'!$I:$I,"Су-25",'Таблиця 1'!$J:$J,"GBU-64")+SUMIFS('Таблиця 1'!$K:$K,'Таблиця 1'!$B:$B,$A216,'Таблиця 1'!$I:$I,"Су-27",'Таблиця 1'!$J:$J,"GBU-64"))</f>
        <v/>
      </c>
      <c r="O216">
        <f>IF($A216="","",SUMIFS('Таблиця 1'!$K:$K,'Таблиця 1'!$B:$B,$A216,'Таблиця 1'!$I:$I,"Mirage",'Таблиця 1'!$J:$J,"C-13")+SUMIFS('Таблиця 1'!$K:$K,'Таблиця 1'!$B:$B,$A216,'Таблиця 1'!$I:$I,"F-16",'Таблиця 1'!$J:$J,"C-13")+SUMIFS('Таблиця 1'!$K:$K,'Таблиця 1'!$B:$B,$A216,'Таблиця 1'!$I:$I,"МіГ-29",'Таблиця 1'!$J:$J,"C-13")+SUMIFS('Таблиця 1'!$K:$K,'Таблиця 1'!$B:$B,$A216,'Таблиця 1'!$I:$I,"Су-25",'Таблиця 1'!$J:$J,"C-13")+SUMIFS('Таблиця 1'!$K:$K,'Таблиця 1'!$B:$B,$A216,'Таблиця 1'!$I:$I,"Су-27",'Таблиця 1'!$J:$J,"C-13"))</f>
        <v/>
      </c>
      <c r="P216">
        <f>IF($A216="","",SUMIFS('Таблиця 1'!$K:$K,'Таблиця 1'!$B:$B,$A216,'Таблиця 1'!$I:$I,"Mirage",'Таблиця 1'!$J:$J,"MK-32")+SUMIFS('Таблиця 1'!$K:$K,'Таблиця 1'!$B:$B,$A216,'Таблиця 1'!$I:$I,"F-16",'Таблиця 1'!$J:$J,"MK-32")+SUMIFS('Таблиця 1'!$K:$K,'Таблиця 1'!$B:$B,$A216,'Таблиця 1'!$I:$I,"МіГ-29",'Таблиця 1'!$J:$J,"MK-32")+SUMIFS('Таблиця 1'!$K:$K,'Таблиця 1'!$B:$B,$A216,'Таблиця 1'!$I:$I,"Су-25",'Таблиця 1'!$J:$J,"MK-32")+SUMIFS('Таблиця 1'!$K:$K,'Таблиця 1'!$B:$B,$A216,'Таблиця 1'!$I:$I,"Су-27",'Таблиця 1'!$J:$J,"MK-32"))</f>
        <v/>
      </c>
      <c r="Q216">
        <f>IF($A216="","",SUMIFS('Таблиця 1'!$K:$K,'Таблиця 1'!$B:$B,$A216,'Таблиця 1'!$I:$I,"Mirage",'Таблиця 1'!$J:$J,"MK-24")+SUMIFS('Таблиця 1'!$K:$K,'Таблиця 1'!$B:$B,$A216,'Таблиця 1'!$I:$I,"F-16",'Таблиця 1'!$J:$J,"MK-24")+SUMIFS('Таблиця 1'!$K:$K,'Таблиця 1'!$B:$B,$A216,'Таблиця 1'!$I:$I,"МіГ-29",'Таблиця 1'!$J:$J,"MK-24")+SUMIFS('Таблиця 1'!$K:$K,'Таблиця 1'!$B:$B,$A216,'Таблиця 1'!$I:$I,"Су-25",'Таблиця 1'!$J:$J,"MK-24")+SUMIFS('Таблиця 1'!$K:$K,'Таблиця 1'!$B:$B,$A216,'Таблиця 1'!$I:$I,"Су-27",'Таблиця 1'!$J:$J,"MK-24"))</f>
        <v/>
      </c>
      <c r="R216">
        <f>IF($A216="","",COUNTIFS('Таблиця 1'!$B:$B,$A216,'Таблиця 1'!$I:$I,"Mirage",'Таблиця 1'!$L:$L,"Уражено")+COUNTIFS('Таблиця 1'!$B:$B,$A216,'Таблиця 1'!$I:$I,"F-16",'Таблиця 1'!$L:$L,"Уражено")+COUNTIFS('Таблиця 1'!$B:$B,$A216,'Таблиця 1'!$I:$I,"МіГ-29",'Таблиця 1'!$L:$L,"Уражено")+COUNTIFS('Таблиця 1'!$B:$B,$A216,'Таблиця 1'!$I:$I,"Су-25",'Таблиця 1'!$L:$L,"Уражено")+COUNTIFS('Таблиця 1'!$B:$B,$A216,'Таблиця 1'!$I:$I,"Су-27",'Таблиця 1'!$L:$L,"Уражено"))</f>
        <v/>
      </c>
      <c r="S216">
        <f>IF($A216="","",COUNTIFS('Таблиця 1'!$B:$B,$A216,'Таблиця 1'!$I:$I,"Mirage",'Таблиця 1'!$L:$L,"НЕ уражено")+COUNTIFS('Таблиця 1'!$B:$B,$A216,'Таблиця 1'!$I:$I,"F-16",'Таблиця 1'!$L:$L,"НЕ уражено")+COUNTIFS('Таблиця 1'!$B:$B,$A216,'Таблиця 1'!$I:$I,"МіГ-29",'Таблиця 1'!$L:$L,"НЕ уражено")+COUNTIFS('Таблиця 1'!$B:$B,$A216,'Таблиця 1'!$I:$I,"Су-25",'Таблиця 1'!$L:$L,"НЕ уражено")+COUNTIFS('Таблиця 1'!$B:$B,$A216,'Таблиця 1'!$I:$I,"Су-27",'Таблиця 1'!$L:$L,"НЕ уражено"))</f>
        <v/>
      </c>
      <c r="T216">
        <f>IF($A216="","",COUNTIFS('Таблиця 1'!$B:$B,$A216,'Таблиця 1'!$I:$I,"Mirage",'Таблиця 1'!$L:$L,"Дорозвідується")+COUNTIFS('Таблиця 1'!$B:$B,$A216,'Таблиця 1'!$I:$I,"F-16",'Таблиця 1'!$L:$L,"Дорозвідується")+COUNTIFS('Таблиця 1'!$B:$B,$A216,'Таблиця 1'!$I:$I,"МіГ-29",'Таблиця 1'!$L:$L,"Дорозвідується")+COUNTIFS('Таблиця 1'!$B:$B,$A216,'Таблиця 1'!$I:$I,"Су-25",'Таблиця 1'!$L:$L,"Дорозвідується")+COUNTIFS('Таблиця 1'!$B:$B,$A216,'Таблиця 1'!$I:$I,"Су-27",'Таблиця 1'!$L:$L,"Дорозвідується"))</f>
        <v/>
      </c>
    </row>
    <row r="217">
      <c r="A217" s="273">
        <f>IF(A216="","",IF(A216+1&gt;MAX('Таблиця 1'!$B:$B),"",A216+1))</f>
        <v/>
      </c>
      <c r="B217">
        <f>IF($A217="","",COUNTIFS('Таблиця 1'!$B:$B,$A217,'Таблиця 1'!$I:$I,"Mirage")+COUNTIFS('Таблиця 1'!$B:$B,$A217,'Таблиця 1'!$I:$I,"F-16")+COUNTIFS('Таблиця 1'!$B:$B,$A217,'Таблиця 1'!$I:$I,"МіГ-29")+COUNTIFS('Таблиця 1'!$B:$B,$A217,'Таблиця 1'!$I:$I,"Су-25")+COUNTIFS('Таблиця 1'!$B:$B,$A217,'Таблиця 1'!$I:$I,"Су-27"))</f>
        <v/>
      </c>
      <c r="C217">
        <f>IF($A217="","",COUNTIFS('Таблиця 1'!$B:$B,$A217,'Таблиця 1'!$I:$I,"Mirage"))</f>
        <v/>
      </c>
      <c r="D217">
        <f>IF($A217="","",COUNTIFS('Таблиця 1'!$B:$B,$A217,'Таблиця 1'!$I:$I,"F-16"))</f>
        <v/>
      </c>
      <c r="E217">
        <f>IF($A217="","",COUNTIFS('Таблиця 1'!$B:$B,$A217,'Таблиця 1'!$I:$I,"МіГ-29"))</f>
        <v/>
      </c>
      <c r="F217">
        <f>IF($A217="","",COUNTIFS('Таблиця 1'!$B:$B,$A217,'Таблиця 1'!$I:$I,"Су-25"))</f>
        <v/>
      </c>
      <c r="G217">
        <f>IF($A217="","",COUNTIFS('Таблиця 1'!$B:$B,$A217,'Таблиця 1'!$I:$I,"Су-27"))</f>
        <v/>
      </c>
      <c r="H217">
        <f>IF($A217="","",SUMIFS('Таблиця 1'!$K:$K,'Таблиця 1'!$B:$B,$A217,'Таблиця 1'!$I:$I,"Mirage",'Таблиця 1'!$J:$J,"AGM-88")+SUMIFS('Таблиця 1'!$K:$K,'Таблиця 1'!$B:$B,$A217,'Таблиця 1'!$I:$I,"F-16",'Таблиця 1'!$J:$J,"AGM-88")+SUMIFS('Таблиця 1'!$K:$K,'Таблиця 1'!$B:$B,$A217,'Таблиця 1'!$I:$I,"МіГ-29",'Таблиця 1'!$J:$J,"AGM-88")+SUMIFS('Таблиця 1'!$K:$K,'Таблиця 1'!$B:$B,$A217,'Таблиця 1'!$I:$I,"Су-25",'Таблиця 1'!$J:$J,"AGM-88")+SUMIFS('Таблиця 1'!$K:$K,'Таблиця 1'!$B:$B,$A217,'Таблиця 1'!$I:$I,"Су-27",'Таблиця 1'!$J:$J,"AGM-88"))</f>
        <v/>
      </c>
      <c r="I217">
        <f>IF($A217="","",SUMIFS('Таблиця 1'!$K:$K,'Таблиця 1'!$B:$B,$A217,'Таблиця 1'!$I:$I,"Mirage",'Таблиця 1'!$J:$J,"AASM-250")+SUMIFS('Таблиця 1'!$K:$K,'Таблиця 1'!$B:$B,$A217,'Таблиця 1'!$I:$I,"F-16",'Таблиця 1'!$J:$J,"AASM-250")+SUMIFS('Таблиця 1'!$K:$K,'Таблиця 1'!$B:$B,$A217,'Таблиця 1'!$I:$I,"МіГ-29",'Таблиця 1'!$J:$J,"AASM-250")+SUMIFS('Таблиця 1'!$K:$K,'Таблиця 1'!$B:$B,$A217,'Таблиця 1'!$I:$I,"Су-25",'Таблиця 1'!$J:$J,"AASM-250")+SUMIFS('Таблиця 1'!$K:$K,'Таблиця 1'!$B:$B,$A217,'Таблиця 1'!$I:$I,"Су-27",'Таблиця 1'!$J:$J,"AASM-250"))</f>
        <v/>
      </c>
      <c r="J217">
        <f>IF($A217="","",SUMIFS('Таблиця 1'!$K:$K,'Таблиця 1'!$B:$B,$A217,'Таблиця 1'!$I:$I,"Mirage",'Таблиця 1'!$J:$J,"GBU-39")+SUMIFS('Таблиця 1'!$K:$K,'Таблиця 1'!$B:$B,$A217,'Таблиця 1'!$I:$I,"F-16",'Таблиця 1'!$J:$J,"GBU-39")+SUMIFS('Таблиця 1'!$K:$K,'Таблиця 1'!$B:$B,$A217,'Таблиця 1'!$I:$I,"МіГ-29",'Таблиця 1'!$J:$J,"GBU-39")+SUMIFS('Таблиця 1'!$K:$K,'Таблиця 1'!$B:$B,$A217,'Таблиця 1'!$I:$I,"Су-25",'Таблиця 1'!$J:$J,"GBU-39")+SUMIFS('Таблиця 1'!$K:$K,'Таблиця 1'!$B:$B,$A217,'Таблиця 1'!$I:$I,"Су-27",'Таблиця 1'!$J:$J,"GBU-39"))</f>
        <v/>
      </c>
      <c r="K217">
        <f>IF($A217="","",SUMIFS('Таблиця 1'!$K:$K,'Таблиця 1'!$B:$B,$A217,'Таблиця 1'!$I:$I,"Mirage",'Таблиця 1'!$J:$J,"BLU-140")+SUMIFS('Таблиця 1'!$K:$K,'Таблиця 1'!$B:$B,$A217,'Таблиця 1'!$I:$I,"F-16",'Таблиця 1'!$J:$J,"BLU-140")+SUMIFS('Таблиця 1'!$K:$K,'Таблиця 1'!$B:$B,$A217,'Таблиця 1'!$I:$I,"МіГ-29",'Таблиця 1'!$J:$J,"BLU-140")+SUMIFS('Таблиця 1'!$K:$K,'Таблиця 1'!$B:$B,$A217,'Таблиця 1'!$I:$I,"Су-25",'Таблиця 1'!$J:$J,"BLU-140")+SUMIFS('Таблиця 1'!$K:$K,'Таблиця 1'!$B:$B,$A217,'Таблиця 1'!$I:$I,"Су-27",'Таблиця 1'!$J:$J,"BLU-140"))</f>
        <v/>
      </c>
      <c r="L217">
        <f>IF($A217="","",SUMIFS('Таблиця 1'!$K:$K,'Таблиця 1'!$B:$B,$A217,'Таблиця 1'!$I:$I,"Mirage",'Таблиця 1'!$J:$J,"GBU-65")+SUMIFS('Таблиця 1'!$K:$K,'Таблиця 1'!$B:$B,$A217,'Таблиця 1'!$I:$I,"F-16",'Таблиця 1'!$J:$J,"GBU-65")+SUMIFS('Таблиця 1'!$K:$K,'Таблиця 1'!$B:$B,$A217,'Таблиця 1'!$I:$I,"МіГ-29",'Таблиця 1'!$J:$J,"GBU-65")+SUMIFS('Таблиця 1'!$K:$K,'Таблиця 1'!$B:$B,$A217,'Таблиця 1'!$I:$I,"Су-25",'Таблиця 1'!$J:$J,"GBU-65")+SUMIFS('Таблиця 1'!$K:$K,'Таблиця 1'!$B:$B,$A217,'Таблиця 1'!$I:$I,"Су-27",'Таблиця 1'!$J:$J,"GBU-65"))</f>
        <v/>
      </c>
      <c r="M217">
        <f>IF($A217="","",SUMIFS('Таблиця 1'!$K:$K,'Таблиця 1'!$B:$B,$A217,'Таблиця 1'!$I:$I,"Mirage",'Таблиця 1'!$J:$J,"GBU-62")+SUMIFS('Таблиця 1'!$K:$K,'Таблиця 1'!$B:$B,$A217,'Таблиця 1'!$I:$I,"F-16",'Таблиця 1'!$J:$J,"GBU-62")+SUMIFS('Таблиця 1'!$K:$K,'Таблиця 1'!$B:$B,$A217,'Таблиця 1'!$I:$I,"МіГ-29",'Таблиця 1'!$J:$J,"GBU-62")+SUMIFS('Таблиця 1'!$K:$K,'Таблиця 1'!$B:$B,$A217,'Таблиця 1'!$I:$I,"Су-25",'Таблиця 1'!$J:$J,"GBU-62")+SUMIFS('Таблиця 1'!$K:$K,'Таблиця 1'!$B:$B,$A217,'Таблиця 1'!$I:$I,"Су-27",'Таблиця 1'!$J:$J,"GBU-62"))</f>
        <v/>
      </c>
      <c r="N217">
        <f>IF($A217="","",SUMIFS('Таблиця 1'!$K:$K,'Таблиця 1'!$B:$B,$A217,'Таблиця 1'!$I:$I,"Mirage",'Таблиця 1'!$J:$J,"GBU-64")+SUMIFS('Таблиця 1'!$K:$K,'Таблиця 1'!$B:$B,$A217,'Таблиця 1'!$I:$I,"F-16",'Таблиця 1'!$J:$J,"GBU-64")+SUMIFS('Таблиця 1'!$K:$K,'Таблиця 1'!$B:$B,$A217,'Таблиця 1'!$I:$I,"МіГ-29",'Таблиця 1'!$J:$J,"GBU-64")+SUMIFS('Таблиця 1'!$K:$K,'Таблиця 1'!$B:$B,$A217,'Таблиця 1'!$I:$I,"Су-25",'Таблиця 1'!$J:$J,"GBU-64")+SUMIFS('Таблиця 1'!$K:$K,'Таблиця 1'!$B:$B,$A217,'Таблиця 1'!$I:$I,"Су-27",'Таблиця 1'!$J:$J,"GBU-64"))</f>
        <v/>
      </c>
      <c r="O217">
        <f>IF($A217="","",SUMIFS('Таблиця 1'!$K:$K,'Таблиця 1'!$B:$B,$A217,'Таблиця 1'!$I:$I,"Mirage",'Таблиця 1'!$J:$J,"C-13")+SUMIFS('Таблиця 1'!$K:$K,'Таблиця 1'!$B:$B,$A217,'Таблиця 1'!$I:$I,"F-16",'Таблиця 1'!$J:$J,"C-13")+SUMIFS('Таблиця 1'!$K:$K,'Таблиця 1'!$B:$B,$A217,'Таблиця 1'!$I:$I,"МіГ-29",'Таблиця 1'!$J:$J,"C-13")+SUMIFS('Таблиця 1'!$K:$K,'Таблиця 1'!$B:$B,$A217,'Таблиця 1'!$I:$I,"Су-25",'Таблиця 1'!$J:$J,"C-13")+SUMIFS('Таблиця 1'!$K:$K,'Таблиця 1'!$B:$B,$A217,'Таблиця 1'!$I:$I,"Су-27",'Таблиця 1'!$J:$J,"C-13"))</f>
        <v/>
      </c>
      <c r="P217">
        <f>IF($A217="","",SUMIFS('Таблиця 1'!$K:$K,'Таблиця 1'!$B:$B,$A217,'Таблиця 1'!$I:$I,"Mirage",'Таблиця 1'!$J:$J,"MK-32")+SUMIFS('Таблиця 1'!$K:$K,'Таблиця 1'!$B:$B,$A217,'Таблиця 1'!$I:$I,"F-16",'Таблиця 1'!$J:$J,"MK-32")+SUMIFS('Таблиця 1'!$K:$K,'Таблиця 1'!$B:$B,$A217,'Таблиця 1'!$I:$I,"МіГ-29",'Таблиця 1'!$J:$J,"MK-32")+SUMIFS('Таблиця 1'!$K:$K,'Таблиця 1'!$B:$B,$A217,'Таблиця 1'!$I:$I,"Су-25",'Таблиця 1'!$J:$J,"MK-32")+SUMIFS('Таблиця 1'!$K:$K,'Таблиця 1'!$B:$B,$A217,'Таблиця 1'!$I:$I,"Су-27",'Таблиця 1'!$J:$J,"MK-32"))</f>
        <v/>
      </c>
      <c r="Q217">
        <f>IF($A217="","",SUMIFS('Таблиця 1'!$K:$K,'Таблиця 1'!$B:$B,$A217,'Таблиця 1'!$I:$I,"Mirage",'Таблиця 1'!$J:$J,"MK-24")+SUMIFS('Таблиця 1'!$K:$K,'Таблиця 1'!$B:$B,$A217,'Таблиця 1'!$I:$I,"F-16",'Таблиця 1'!$J:$J,"MK-24")+SUMIFS('Таблиця 1'!$K:$K,'Таблиця 1'!$B:$B,$A217,'Таблиця 1'!$I:$I,"МіГ-29",'Таблиця 1'!$J:$J,"MK-24")+SUMIFS('Таблиця 1'!$K:$K,'Таблиця 1'!$B:$B,$A217,'Таблиця 1'!$I:$I,"Су-25",'Таблиця 1'!$J:$J,"MK-24")+SUMIFS('Таблиця 1'!$K:$K,'Таблиця 1'!$B:$B,$A217,'Таблиця 1'!$I:$I,"Су-27",'Таблиця 1'!$J:$J,"MK-24"))</f>
        <v/>
      </c>
      <c r="R217">
        <f>IF($A217="","",COUNTIFS('Таблиця 1'!$B:$B,$A217,'Таблиця 1'!$I:$I,"Mirage",'Таблиця 1'!$L:$L,"Уражено")+COUNTIFS('Таблиця 1'!$B:$B,$A217,'Таблиця 1'!$I:$I,"F-16",'Таблиця 1'!$L:$L,"Уражено")+COUNTIFS('Таблиця 1'!$B:$B,$A217,'Таблиця 1'!$I:$I,"МіГ-29",'Таблиця 1'!$L:$L,"Уражено")+COUNTIFS('Таблиця 1'!$B:$B,$A217,'Таблиця 1'!$I:$I,"Су-25",'Таблиця 1'!$L:$L,"Уражено")+COUNTIFS('Таблиця 1'!$B:$B,$A217,'Таблиця 1'!$I:$I,"Су-27",'Таблиця 1'!$L:$L,"Уражено"))</f>
        <v/>
      </c>
      <c r="S217">
        <f>IF($A217="","",COUNTIFS('Таблиця 1'!$B:$B,$A217,'Таблиця 1'!$I:$I,"Mirage",'Таблиця 1'!$L:$L,"НЕ уражено")+COUNTIFS('Таблиця 1'!$B:$B,$A217,'Таблиця 1'!$I:$I,"F-16",'Таблиця 1'!$L:$L,"НЕ уражено")+COUNTIFS('Таблиця 1'!$B:$B,$A217,'Таблиця 1'!$I:$I,"МіГ-29",'Таблиця 1'!$L:$L,"НЕ уражено")+COUNTIFS('Таблиця 1'!$B:$B,$A217,'Таблиця 1'!$I:$I,"Су-25",'Таблиця 1'!$L:$L,"НЕ уражено")+COUNTIFS('Таблиця 1'!$B:$B,$A217,'Таблиця 1'!$I:$I,"Су-27",'Таблиця 1'!$L:$L,"НЕ уражено"))</f>
        <v/>
      </c>
      <c r="T217">
        <f>IF($A217="","",COUNTIFS('Таблиця 1'!$B:$B,$A217,'Таблиця 1'!$I:$I,"Mirage",'Таблиця 1'!$L:$L,"Дорозвідується")+COUNTIFS('Таблиця 1'!$B:$B,$A217,'Таблиця 1'!$I:$I,"F-16",'Таблиця 1'!$L:$L,"Дорозвідується")+COUNTIFS('Таблиця 1'!$B:$B,$A217,'Таблиця 1'!$I:$I,"МіГ-29",'Таблиця 1'!$L:$L,"Дорозвідується")+COUNTIFS('Таблиця 1'!$B:$B,$A217,'Таблиця 1'!$I:$I,"Су-25",'Таблиця 1'!$L:$L,"Дорозвідується")+COUNTIFS('Таблиця 1'!$B:$B,$A217,'Таблиця 1'!$I:$I,"Су-27",'Таблиця 1'!$L:$L,"Дорозвідується"))</f>
        <v/>
      </c>
    </row>
    <row r="218">
      <c r="A218" s="273">
        <f>IF(A217="","",IF(A217+1&gt;MAX('Таблиця 1'!$B:$B),"",A217+1))</f>
        <v/>
      </c>
      <c r="B218">
        <f>IF($A218="","",COUNTIFS('Таблиця 1'!$B:$B,$A218,'Таблиця 1'!$I:$I,"Mirage")+COUNTIFS('Таблиця 1'!$B:$B,$A218,'Таблиця 1'!$I:$I,"F-16")+COUNTIFS('Таблиця 1'!$B:$B,$A218,'Таблиця 1'!$I:$I,"МіГ-29")+COUNTIFS('Таблиця 1'!$B:$B,$A218,'Таблиця 1'!$I:$I,"Су-25")+COUNTIFS('Таблиця 1'!$B:$B,$A218,'Таблиця 1'!$I:$I,"Су-27"))</f>
        <v/>
      </c>
      <c r="C218">
        <f>IF($A218="","",COUNTIFS('Таблиця 1'!$B:$B,$A218,'Таблиця 1'!$I:$I,"Mirage"))</f>
        <v/>
      </c>
      <c r="D218">
        <f>IF($A218="","",COUNTIFS('Таблиця 1'!$B:$B,$A218,'Таблиця 1'!$I:$I,"F-16"))</f>
        <v/>
      </c>
      <c r="E218">
        <f>IF($A218="","",COUNTIFS('Таблиця 1'!$B:$B,$A218,'Таблиця 1'!$I:$I,"МіГ-29"))</f>
        <v/>
      </c>
      <c r="F218">
        <f>IF($A218="","",COUNTIFS('Таблиця 1'!$B:$B,$A218,'Таблиця 1'!$I:$I,"Су-25"))</f>
        <v/>
      </c>
      <c r="G218">
        <f>IF($A218="","",COUNTIFS('Таблиця 1'!$B:$B,$A218,'Таблиця 1'!$I:$I,"Су-27"))</f>
        <v/>
      </c>
      <c r="H218">
        <f>IF($A218="","",SUMIFS('Таблиця 1'!$K:$K,'Таблиця 1'!$B:$B,$A218,'Таблиця 1'!$I:$I,"Mirage",'Таблиця 1'!$J:$J,"AGM-88")+SUMIFS('Таблиця 1'!$K:$K,'Таблиця 1'!$B:$B,$A218,'Таблиця 1'!$I:$I,"F-16",'Таблиця 1'!$J:$J,"AGM-88")+SUMIFS('Таблиця 1'!$K:$K,'Таблиця 1'!$B:$B,$A218,'Таблиця 1'!$I:$I,"МіГ-29",'Таблиця 1'!$J:$J,"AGM-88")+SUMIFS('Таблиця 1'!$K:$K,'Таблиця 1'!$B:$B,$A218,'Таблиця 1'!$I:$I,"Су-25",'Таблиця 1'!$J:$J,"AGM-88")+SUMIFS('Таблиця 1'!$K:$K,'Таблиця 1'!$B:$B,$A218,'Таблиця 1'!$I:$I,"Су-27",'Таблиця 1'!$J:$J,"AGM-88"))</f>
        <v/>
      </c>
      <c r="I218">
        <f>IF($A218="","",SUMIFS('Таблиця 1'!$K:$K,'Таблиця 1'!$B:$B,$A218,'Таблиця 1'!$I:$I,"Mirage",'Таблиця 1'!$J:$J,"AASM-250")+SUMIFS('Таблиця 1'!$K:$K,'Таблиця 1'!$B:$B,$A218,'Таблиця 1'!$I:$I,"F-16",'Таблиця 1'!$J:$J,"AASM-250")+SUMIFS('Таблиця 1'!$K:$K,'Таблиця 1'!$B:$B,$A218,'Таблиця 1'!$I:$I,"МіГ-29",'Таблиця 1'!$J:$J,"AASM-250")+SUMIFS('Таблиця 1'!$K:$K,'Таблиця 1'!$B:$B,$A218,'Таблиця 1'!$I:$I,"Су-25",'Таблиця 1'!$J:$J,"AASM-250")+SUMIFS('Таблиця 1'!$K:$K,'Таблиця 1'!$B:$B,$A218,'Таблиця 1'!$I:$I,"Су-27",'Таблиця 1'!$J:$J,"AASM-250"))</f>
        <v/>
      </c>
      <c r="J218">
        <f>IF($A218="","",SUMIFS('Таблиця 1'!$K:$K,'Таблиця 1'!$B:$B,$A218,'Таблиця 1'!$I:$I,"Mirage",'Таблиця 1'!$J:$J,"GBU-39")+SUMIFS('Таблиця 1'!$K:$K,'Таблиця 1'!$B:$B,$A218,'Таблиця 1'!$I:$I,"F-16",'Таблиця 1'!$J:$J,"GBU-39")+SUMIFS('Таблиця 1'!$K:$K,'Таблиця 1'!$B:$B,$A218,'Таблиця 1'!$I:$I,"МіГ-29",'Таблиця 1'!$J:$J,"GBU-39")+SUMIFS('Таблиця 1'!$K:$K,'Таблиця 1'!$B:$B,$A218,'Таблиця 1'!$I:$I,"Су-25",'Таблиця 1'!$J:$J,"GBU-39")+SUMIFS('Таблиця 1'!$K:$K,'Таблиця 1'!$B:$B,$A218,'Таблиця 1'!$I:$I,"Су-27",'Таблиця 1'!$J:$J,"GBU-39"))</f>
        <v/>
      </c>
      <c r="K218">
        <f>IF($A218="","",SUMIFS('Таблиця 1'!$K:$K,'Таблиця 1'!$B:$B,$A218,'Таблиця 1'!$I:$I,"Mirage",'Таблиця 1'!$J:$J,"BLU-140")+SUMIFS('Таблиця 1'!$K:$K,'Таблиця 1'!$B:$B,$A218,'Таблиця 1'!$I:$I,"F-16",'Таблиця 1'!$J:$J,"BLU-140")+SUMIFS('Таблиця 1'!$K:$K,'Таблиця 1'!$B:$B,$A218,'Таблиця 1'!$I:$I,"МіГ-29",'Таблиця 1'!$J:$J,"BLU-140")+SUMIFS('Таблиця 1'!$K:$K,'Таблиця 1'!$B:$B,$A218,'Таблиця 1'!$I:$I,"Су-25",'Таблиця 1'!$J:$J,"BLU-140")+SUMIFS('Таблиця 1'!$K:$K,'Таблиця 1'!$B:$B,$A218,'Таблиця 1'!$I:$I,"Су-27",'Таблиця 1'!$J:$J,"BLU-140"))</f>
        <v/>
      </c>
      <c r="L218">
        <f>IF($A218="","",SUMIFS('Таблиця 1'!$K:$K,'Таблиця 1'!$B:$B,$A218,'Таблиця 1'!$I:$I,"Mirage",'Таблиця 1'!$J:$J,"GBU-65")+SUMIFS('Таблиця 1'!$K:$K,'Таблиця 1'!$B:$B,$A218,'Таблиця 1'!$I:$I,"F-16",'Таблиця 1'!$J:$J,"GBU-65")+SUMIFS('Таблиця 1'!$K:$K,'Таблиця 1'!$B:$B,$A218,'Таблиця 1'!$I:$I,"МіГ-29",'Таблиця 1'!$J:$J,"GBU-65")+SUMIFS('Таблиця 1'!$K:$K,'Таблиця 1'!$B:$B,$A218,'Таблиця 1'!$I:$I,"Су-25",'Таблиця 1'!$J:$J,"GBU-65")+SUMIFS('Таблиця 1'!$K:$K,'Таблиця 1'!$B:$B,$A218,'Таблиця 1'!$I:$I,"Су-27",'Таблиця 1'!$J:$J,"GBU-65"))</f>
        <v/>
      </c>
      <c r="M218">
        <f>IF($A218="","",SUMIFS('Таблиця 1'!$K:$K,'Таблиця 1'!$B:$B,$A218,'Таблиця 1'!$I:$I,"Mirage",'Таблиця 1'!$J:$J,"GBU-62")+SUMIFS('Таблиця 1'!$K:$K,'Таблиця 1'!$B:$B,$A218,'Таблиця 1'!$I:$I,"F-16",'Таблиця 1'!$J:$J,"GBU-62")+SUMIFS('Таблиця 1'!$K:$K,'Таблиця 1'!$B:$B,$A218,'Таблиця 1'!$I:$I,"МіГ-29",'Таблиця 1'!$J:$J,"GBU-62")+SUMIFS('Таблиця 1'!$K:$K,'Таблиця 1'!$B:$B,$A218,'Таблиця 1'!$I:$I,"Су-25",'Таблиця 1'!$J:$J,"GBU-62")+SUMIFS('Таблиця 1'!$K:$K,'Таблиця 1'!$B:$B,$A218,'Таблиця 1'!$I:$I,"Су-27",'Таблиця 1'!$J:$J,"GBU-62"))</f>
        <v/>
      </c>
      <c r="N218">
        <f>IF($A218="","",SUMIFS('Таблиця 1'!$K:$K,'Таблиця 1'!$B:$B,$A218,'Таблиця 1'!$I:$I,"Mirage",'Таблиця 1'!$J:$J,"GBU-64")+SUMIFS('Таблиця 1'!$K:$K,'Таблиця 1'!$B:$B,$A218,'Таблиця 1'!$I:$I,"F-16",'Таблиця 1'!$J:$J,"GBU-64")+SUMIFS('Таблиця 1'!$K:$K,'Таблиця 1'!$B:$B,$A218,'Таблиця 1'!$I:$I,"МіГ-29",'Таблиця 1'!$J:$J,"GBU-64")+SUMIFS('Таблиця 1'!$K:$K,'Таблиця 1'!$B:$B,$A218,'Таблиця 1'!$I:$I,"Су-25",'Таблиця 1'!$J:$J,"GBU-64")+SUMIFS('Таблиця 1'!$K:$K,'Таблиця 1'!$B:$B,$A218,'Таблиця 1'!$I:$I,"Су-27",'Таблиця 1'!$J:$J,"GBU-64"))</f>
        <v/>
      </c>
      <c r="O218">
        <f>IF($A218="","",SUMIFS('Таблиця 1'!$K:$K,'Таблиця 1'!$B:$B,$A218,'Таблиця 1'!$I:$I,"Mirage",'Таблиця 1'!$J:$J,"C-13")+SUMIFS('Таблиця 1'!$K:$K,'Таблиця 1'!$B:$B,$A218,'Таблиця 1'!$I:$I,"F-16",'Таблиця 1'!$J:$J,"C-13")+SUMIFS('Таблиця 1'!$K:$K,'Таблиця 1'!$B:$B,$A218,'Таблиця 1'!$I:$I,"МіГ-29",'Таблиця 1'!$J:$J,"C-13")+SUMIFS('Таблиця 1'!$K:$K,'Таблиця 1'!$B:$B,$A218,'Таблиця 1'!$I:$I,"Су-25",'Таблиця 1'!$J:$J,"C-13")+SUMIFS('Таблиця 1'!$K:$K,'Таблиця 1'!$B:$B,$A218,'Таблиця 1'!$I:$I,"Су-27",'Таблиця 1'!$J:$J,"C-13"))</f>
        <v/>
      </c>
      <c r="P218">
        <f>IF($A218="","",SUMIFS('Таблиця 1'!$K:$K,'Таблиця 1'!$B:$B,$A218,'Таблиця 1'!$I:$I,"Mirage",'Таблиця 1'!$J:$J,"MK-32")+SUMIFS('Таблиця 1'!$K:$K,'Таблиця 1'!$B:$B,$A218,'Таблиця 1'!$I:$I,"F-16",'Таблиця 1'!$J:$J,"MK-32")+SUMIFS('Таблиця 1'!$K:$K,'Таблиця 1'!$B:$B,$A218,'Таблиця 1'!$I:$I,"МіГ-29",'Таблиця 1'!$J:$J,"MK-32")+SUMIFS('Таблиця 1'!$K:$K,'Таблиця 1'!$B:$B,$A218,'Таблиця 1'!$I:$I,"Су-25",'Таблиця 1'!$J:$J,"MK-32")+SUMIFS('Таблиця 1'!$K:$K,'Таблиця 1'!$B:$B,$A218,'Таблиця 1'!$I:$I,"Су-27",'Таблиця 1'!$J:$J,"MK-32"))</f>
        <v/>
      </c>
      <c r="Q218">
        <f>IF($A218="","",SUMIFS('Таблиця 1'!$K:$K,'Таблиця 1'!$B:$B,$A218,'Таблиця 1'!$I:$I,"Mirage",'Таблиця 1'!$J:$J,"MK-24")+SUMIFS('Таблиця 1'!$K:$K,'Таблиця 1'!$B:$B,$A218,'Таблиця 1'!$I:$I,"F-16",'Таблиця 1'!$J:$J,"MK-24")+SUMIFS('Таблиця 1'!$K:$K,'Таблиця 1'!$B:$B,$A218,'Таблиця 1'!$I:$I,"МіГ-29",'Таблиця 1'!$J:$J,"MK-24")+SUMIFS('Таблиця 1'!$K:$K,'Таблиця 1'!$B:$B,$A218,'Таблиця 1'!$I:$I,"Су-25",'Таблиця 1'!$J:$J,"MK-24")+SUMIFS('Таблиця 1'!$K:$K,'Таблиця 1'!$B:$B,$A218,'Таблиця 1'!$I:$I,"Су-27",'Таблиця 1'!$J:$J,"MK-24"))</f>
        <v/>
      </c>
      <c r="R218">
        <f>IF($A218="","",COUNTIFS('Таблиця 1'!$B:$B,$A218,'Таблиця 1'!$I:$I,"Mirage",'Таблиця 1'!$L:$L,"Уражено")+COUNTIFS('Таблиця 1'!$B:$B,$A218,'Таблиця 1'!$I:$I,"F-16",'Таблиця 1'!$L:$L,"Уражено")+COUNTIFS('Таблиця 1'!$B:$B,$A218,'Таблиця 1'!$I:$I,"МіГ-29",'Таблиця 1'!$L:$L,"Уражено")+COUNTIFS('Таблиця 1'!$B:$B,$A218,'Таблиця 1'!$I:$I,"Су-25",'Таблиця 1'!$L:$L,"Уражено")+COUNTIFS('Таблиця 1'!$B:$B,$A218,'Таблиця 1'!$I:$I,"Су-27",'Таблиця 1'!$L:$L,"Уражено"))</f>
        <v/>
      </c>
      <c r="S218">
        <f>IF($A218="","",COUNTIFS('Таблиця 1'!$B:$B,$A218,'Таблиця 1'!$I:$I,"Mirage",'Таблиця 1'!$L:$L,"НЕ уражено")+COUNTIFS('Таблиця 1'!$B:$B,$A218,'Таблиця 1'!$I:$I,"F-16",'Таблиця 1'!$L:$L,"НЕ уражено")+COUNTIFS('Таблиця 1'!$B:$B,$A218,'Таблиця 1'!$I:$I,"МіГ-29",'Таблиця 1'!$L:$L,"НЕ уражено")+COUNTIFS('Таблиця 1'!$B:$B,$A218,'Таблиця 1'!$I:$I,"Су-25",'Таблиця 1'!$L:$L,"НЕ уражено")+COUNTIFS('Таблиця 1'!$B:$B,$A218,'Таблиця 1'!$I:$I,"Су-27",'Таблиця 1'!$L:$L,"НЕ уражено"))</f>
        <v/>
      </c>
      <c r="T218">
        <f>IF($A218="","",COUNTIFS('Таблиця 1'!$B:$B,$A218,'Таблиця 1'!$I:$I,"Mirage",'Таблиця 1'!$L:$L,"Дорозвідується")+COUNTIFS('Таблиця 1'!$B:$B,$A218,'Таблиця 1'!$I:$I,"F-16",'Таблиця 1'!$L:$L,"Дорозвідується")+COUNTIFS('Таблиця 1'!$B:$B,$A218,'Таблиця 1'!$I:$I,"МіГ-29",'Таблиця 1'!$L:$L,"Дорозвідується")+COUNTIFS('Таблиця 1'!$B:$B,$A218,'Таблиця 1'!$I:$I,"Су-25",'Таблиця 1'!$L:$L,"Дорозвідується")+COUNTIFS('Таблиця 1'!$B:$B,$A218,'Таблиця 1'!$I:$I,"Су-27",'Таблиця 1'!$L:$L,"Дорозвідується"))</f>
        <v/>
      </c>
    </row>
    <row r="219">
      <c r="A219" s="273">
        <f>IF(A218="","",IF(A218+1&gt;MAX('Таблиця 1'!$B:$B),"",A218+1))</f>
        <v/>
      </c>
      <c r="B219">
        <f>IF($A219="","",COUNTIFS('Таблиця 1'!$B:$B,$A219,'Таблиця 1'!$I:$I,"Mirage")+COUNTIFS('Таблиця 1'!$B:$B,$A219,'Таблиця 1'!$I:$I,"F-16")+COUNTIFS('Таблиця 1'!$B:$B,$A219,'Таблиця 1'!$I:$I,"МіГ-29")+COUNTIFS('Таблиця 1'!$B:$B,$A219,'Таблиця 1'!$I:$I,"Су-25")+COUNTIFS('Таблиця 1'!$B:$B,$A219,'Таблиця 1'!$I:$I,"Су-27"))</f>
        <v/>
      </c>
      <c r="C219">
        <f>IF($A219="","",COUNTIFS('Таблиця 1'!$B:$B,$A219,'Таблиця 1'!$I:$I,"Mirage"))</f>
        <v/>
      </c>
      <c r="D219">
        <f>IF($A219="","",COUNTIFS('Таблиця 1'!$B:$B,$A219,'Таблиця 1'!$I:$I,"F-16"))</f>
        <v/>
      </c>
      <c r="E219">
        <f>IF($A219="","",COUNTIFS('Таблиця 1'!$B:$B,$A219,'Таблиця 1'!$I:$I,"МіГ-29"))</f>
        <v/>
      </c>
      <c r="F219">
        <f>IF($A219="","",COUNTIFS('Таблиця 1'!$B:$B,$A219,'Таблиця 1'!$I:$I,"Су-25"))</f>
        <v/>
      </c>
      <c r="G219">
        <f>IF($A219="","",COUNTIFS('Таблиця 1'!$B:$B,$A219,'Таблиця 1'!$I:$I,"Су-27"))</f>
        <v/>
      </c>
      <c r="H219">
        <f>IF($A219="","",SUMIFS('Таблиця 1'!$K:$K,'Таблиця 1'!$B:$B,$A219,'Таблиця 1'!$I:$I,"Mirage",'Таблиця 1'!$J:$J,"AGM-88")+SUMIFS('Таблиця 1'!$K:$K,'Таблиця 1'!$B:$B,$A219,'Таблиця 1'!$I:$I,"F-16",'Таблиця 1'!$J:$J,"AGM-88")+SUMIFS('Таблиця 1'!$K:$K,'Таблиця 1'!$B:$B,$A219,'Таблиця 1'!$I:$I,"МіГ-29",'Таблиця 1'!$J:$J,"AGM-88")+SUMIFS('Таблиця 1'!$K:$K,'Таблиця 1'!$B:$B,$A219,'Таблиця 1'!$I:$I,"Су-25",'Таблиця 1'!$J:$J,"AGM-88")+SUMIFS('Таблиця 1'!$K:$K,'Таблиця 1'!$B:$B,$A219,'Таблиця 1'!$I:$I,"Су-27",'Таблиця 1'!$J:$J,"AGM-88"))</f>
        <v/>
      </c>
      <c r="I219">
        <f>IF($A219="","",SUMIFS('Таблиця 1'!$K:$K,'Таблиця 1'!$B:$B,$A219,'Таблиця 1'!$I:$I,"Mirage",'Таблиця 1'!$J:$J,"AASM-250")+SUMIFS('Таблиця 1'!$K:$K,'Таблиця 1'!$B:$B,$A219,'Таблиця 1'!$I:$I,"F-16",'Таблиця 1'!$J:$J,"AASM-250")+SUMIFS('Таблиця 1'!$K:$K,'Таблиця 1'!$B:$B,$A219,'Таблиця 1'!$I:$I,"МіГ-29",'Таблиця 1'!$J:$J,"AASM-250")+SUMIFS('Таблиця 1'!$K:$K,'Таблиця 1'!$B:$B,$A219,'Таблиця 1'!$I:$I,"Су-25",'Таблиця 1'!$J:$J,"AASM-250")+SUMIFS('Таблиця 1'!$K:$K,'Таблиця 1'!$B:$B,$A219,'Таблиця 1'!$I:$I,"Су-27",'Таблиця 1'!$J:$J,"AASM-250"))</f>
        <v/>
      </c>
      <c r="J219">
        <f>IF($A219="","",SUMIFS('Таблиця 1'!$K:$K,'Таблиця 1'!$B:$B,$A219,'Таблиця 1'!$I:$I,"Mirage",'Таблиця 1'!$J:$J,"GBU-39")+SUMIFS('Таблиця 1'!$K:$K,'Таблиця 1'!$B:$B,$A219,'Таблиця 1'!$I:$I,"F-16",'Таблиця 1'!$J:$J,"GBU-39")+SUMIFS('Таблиця 1'!$K:$K,'Таблиця 1'!$B:$B,$A219,'Таблиця 1'!$I:$I,"МіГ-29",'Таблиця 1'!$J:$J,"GBU-39")+SUMIFS('Таблиця 1'!$K:$K,'Таблиця 1'!$B:$B,$A219,'Таблиця 1'!$I:$I,"Су-25",'Таблиця 1'!$J:$J,"GBU-39")+SUMIFS('Таблиця 1'!$K:$K,'Таблиця 1'!$B:$B,$A219,'Таблиця 1'!$I:$I,"Су-27",'Таблиця 1'!$J:$J,"GBU-39"))</f>
        <v/>
      </c>
      <c r="K219">
        <f>IF($A219="","",SUMIFS('Таблиця 1'!$K:$K,'Таблиця 1'!$B:$B,$A219,'Таблиця 1'!$I:$I,"Mirage",'Таблиця 1'!$J:$J,"BLU-140")+SUMIFS('Таблиця 1'!$K:$K,'Таблиця 1'!$B:$B,$A219,'Таблиця 1'!$I:$I,"F-16",'Таблиця 1'!$J:$J,"BLU-140")+SUMIFS('Таблиця 1'!$K:$K,'Таблиця 1'!$B:$B,$A219,'Таблиця 1'!$I:$I,"МіГ-29",'Таблиця 1'!$J:$J,"BLU-140")+SUMIFS('Таблиця 1'!$K:$K,'Таблиця 1'!$B:$B,$A219,'Таблиця 1'!$I:$I,"Су-25",'Таблиця 1'!$J:$J,"BLU-140")+SUMIFS('Таблиця 1'!$K:$K,'Таблиця 1'!$B:$B,$A219,'Таблиця 1'!$I:$I,"Су-27",'Таблиця 1'!$J:$J,"BLU-140"))</f>
        <v/>
      </c>
      <c r="L219">
        <f>IF($A219="","",SUMIFS('Таблиця 1'!$K:$K,'Таблиця 1'!$B:$B,$A219,'Таблиця 1'!$I:$I,"Mirage",'Таблиця 1'!$J:$J,"GBU-65")+SUMIFS('Таблиця 1'!$K:$K,'Таблиця 1'!$B:$B,$A219,'Таблиця 1'!$I:$I,"F-16",'Таблиця 1'!$J:$J,"GBU-65")+SUMIFS('Таблиця 1'!$K:$K,'Таблиця 1'!$B:$B,$A219,'Таблиця 1'!$I:$I,"МіГ-29",'Таблиця 1'!$J:$J,"GBU-65")+SUMIFS('Таблиця 1'!$K:$K,'Таблиця 1'!$B:$B,$A219,'Таблиця 1'!$I:$I,"Су-25",'Таблиця 1'!$J:$J,"GBU-65")+SUMIFS('Таблиця 1'!$K:$K,'Таблиця 1'!$B:$B,$A219,'Таблиця 1'!$I:$I,"Су-27",'Таблиця 1'!$J:$J,"GBU-65"))</f>
        <v/>
      </c>
      <c r="M219">
        <f>IF($A219="","",SUMIFS('Таблиця 1'!$K:$K,'Таблиця 1'!$B:$B,$A219,'Таблиця 1'!$I:$I,"Mirage",'Таблиця 1'!$J:$J,"GBU-62")+SUMIFS('Таблиця 1'!$K:$K,'Таблиця 1'!$B:$B,$A219,'Таблиця 1'!$I:$I,"F-16",'Таблиця 1'!$J:$J,"GBU-62")+SUMIFS('Таблиця 1'!$K:$K,'Таблиця 1'!$B:$B,$A219,'Таблиця 1'!$I:$I,"МіГ-29",'Таблиця 1'!$J:$J,"GBU-62")+SUMIFS('Таблиця 1'!$K:$K,'Таблиця 1'!$B:$B,$A219,'Таблиця 1'!$I:$I,"Су-25",'Таблиця 1'!$J:$J,"GBU-62")+SUMIFS('Таблиця 1'!$K:$K,'Таблиця 1'!$B:$B,$A219,'Таблиця 1'!$I:$I,"Су-27",'Таблиця 1'!$J:$J,"GBU-62"))</f>
        <v/>
      </c>
      <c r="N219">
        <f>IF($A219="","",SUMIFS('Таблиця 1'!$K:$K,'Таблиця 1'!$B:$B,$A219,'Таблиця 1'!$I:$I,"Mirage",'Таблиця 1'!$J:$J,"GBU-64")+SUMIFS('Таблиця 1'!$K:$K,'Таблиця 1'!$B:$B,$A219,'Таблиця 1'!$I:$I,"F-16",'Таблиця 1'!$J:$J,"GBU-64")+SUMIFS('Таблиця 1'!$K:$K,'Таблиця 1'!$B:$B,$A219,'Таблиця 1'!$I:$I,"МіГ-29",'Таблиця 1'!$J:$J,"GBU-64")+SUMIFS('Таблиця 1'!$K:$K,'Таблиця 1'!$B:$B,$A219,'Таблиця 1'!$I:$I,"Су-25",'Таблиця 1'!$J:$J,"GBU-64")+SUMIFS('Таблиця 1'!$K:$K,'Таблиця 1'!$B:$B,$A219,'Таблиця 1'!$I:$I,"Су-27",'Таблиця 1'!$J:$J,"GBU-64"))</f>
        <v/>
      </c>
      <c r="O219">
        <f>IF($A219="","",SUMIFS('Таблиця 1'!$K:$K,'Таблиця 1'!$B:$B,$A219,'Таблиця 1'!$I:$I,"Mirage",'Таблиця 1'!$J:$J,"C-13")+SUMIFS('Таблиця 1'!$K:$K,'Таблиця 1'!$B:$B,$A219,'Таблиця 1'!$I:$I,"F-16",'Таблиця 1'!$J:$J,"C-13")+SUMIFS('Таблиця 1'!$K:$K,'Таблиця 1'!$B:$B,$A219,'Таблиця 1'!$I:$I,"МіГ-29",'Таблиця 1'!$J:$J,"C-13")+SUMIFS('Таблиця 1'!$K:$K,'Таблиця 1'!$B:$B,$A219,'Таблиця 1'!$I:$I,"Су-25",'Таблиця 1'!$J:$J,"C-13")+SUMIFS('Таблиця 1'!$K:$K,'Таблиця 1'!$B:$B,$A219,'Таблиця 1'!$I:$I,"Су-27",'Таблиця 1'!$J:$J,"C-13"))</f>
        <v/>
      </c>
      <c r="P219">
        <f>IF($A219="","",SUMIFS('Таблиця 1'!$K:$K,'Таблиця 1'!$B:$B,$A219,'Таблиця 1'!$I:$I,"Mirage",'Таблиця 1'!$J:$J,"MK-32")+SUMIFS('Таблиця 1'!$K:$K,'Таблиця 1'!$B:$B,$A219,'Таблиця 1'!$I:$I,"F-16",'Таблиця 1'!$J:$J,"MK-32")+SUMIFS('Таблиця 1'!$K:$K,'Таблиця 1'!$B:$B,$A219,'Таблиця 1'!$I:$I,"МіГ-29",'Таблиця 1'!$J:$J,"MK-32")+SUMIFS('Таблиця 1'!$K:$K,'Таблиця 1'!$B:$B,$A219,'Таблиця 1'!$I:$I,"Су-25",'Таблиця 1'!$J:$J,"MK-32")+SUMIFS('Таблиця 1'!$K:$K,'Таблиця 1'!$B:$B,$A219,'Таблиця 1'!$I:$I,"Су-27",'Таблиця 1'!$J:$J,"MK-32"))</f>
        <v/>
      </c>
      <c r="Q219">
        <f>IF($A219="","",SUMIFS('Таблиця 1'!$K:$K,'Таблиця 1'!$B:$B,$A219,'Таблиця 1'!$I:$I,"Mirage",'Таблиця 1'!$J:$J,"MK-24")+SUMIFS('Таблиця 1'!$K:$K,'Таблиця 1'!$B:$B,$A219,'Таблиця 1'!$I:$I,"F-16",'Таблиця 1'!$J:$J,"MK-24")+SUMIFS('Таблиця 1'!$K:$K,'Таблиця 1'!$B:$B,$A219,'Таблиця 1'!$I:$I,"МіГ-29",'Таблиця 1'!$J:$J,"MK-24")+SUMIFS('Таблиця 1'!$K:$K,'Таблиця 1'!$B:$B,$A219,'Таблиця 1'!$I:$I,"Су-25",'Таблиця 1'!$J:$J,"MK-24")+SUMIFS('Таблиця 1'!$K:$K,'Таблиця 1'!$B:$B,$A219,'Таблиця 1'!$I:$I,"Су-27",'Таблиця 1'!$J:$J,"MK-24"))</f>
        <v/>
      </c>
      <c r="R219">
        <f>IF($A219="","",COUNTIFS('Таблиця 1'!$B:$B,$A219,'Таблиця 1'!$I:$I,"Mirage",'Таблиця 1'!$L:$L,"Уражено")+COUNTIFS('Таблиця 1'!$B:$B,$A219,'Таблиця 1'!$I:$I,"F-16",'Таблиця 1'!$L:$L,"Уражено")+COUNTIFS('Таблиця 1'!$B:$B,$A219,'Таблиця 1'!$I:$I,"МіГ-29",'Таблиця 1'!$L:$L,"Уражено")+COUNTIFS('Таблиця 1'!$B:$B,$A219,'Таблиця 1'!$I:$I,"Су-25",'Таблиця 1'!$L:$L,"Уражено")+COUNTIFS('Таблиця 1'!$B:$B,$A219,'Таблиця 1'!$I:$I,"Су-27",'Таблиця 1'!$L:$L,"Уражено"))</f>
        <v/>
      </c>
      <c r="S219">
        <f>IF($A219="","",COUNTIFS('Таблиця 1'!$B:$B,$A219,'Таблиця 1'!$I:$I,"Mirage",'Таблиця 1'!$L:$L,"НЕ уражено")+COUNTIFS('Таблиця 1'!$B:$B,$A219,'Таблиця 1'!$I:$I,"F-16",'Таблиця 1'!$L:$L,"НЕ уражено")+COUNTIFS('Таблиця 1'!$B:$B,$A219,'Таблиця 1'!$I:$I,"МіГ-29",'Таблиця 1'!$L:$L,"НЕ уражено")+COUNTIFS('Таблиця 1'!$B:$B,$A219,'Таблиця 1'!$I:$I,"Су-25",'Таблиця 1'!$L:$L,"НЕ уражено")+COUNTIFS('Таблиця 1'!$B:$B,$A219,'Таблиця 1'!$I:$I,"Су-27",'Таблиця 1'!$L:$L,"НЕ уражено"))</f>
        <v/>
      </c>
      <c r="T219">
        <f>IF($A219="","",COUNTIFS('Таблиця 1'!$B:$B,$A219,'Таблиця 1'!$I:$I,"Mirage",'Таблиця 1'!$L:$L,"Дорозвідується")+COUNTIFS('Таблиця 1'!$B:$B,$A219,'Таблиця 1'!$I:$I,"F-16",'Таблиця 1'!$L:$L,"Дорозвідується")+COUNTIFS('Таблиця 1'!$B:$B,$A219,'Таблиця 1'!$I:$I,"МіГ-29",'Таблиця 1'!$L:$L,"Дорозвідується")+COUNTIFS('Таблиця 1'!$B:$B,$A219,'Таблиця 1'!$I:$I,"Су-25",'Таблиця 1'!$L:$L,"Дорозвідується")+COUNTIFS('Таблиця 1'!$B:$B,$A219,'Таблиця 1'!$I:$I,"Су-27",'Таблиця 1'!$L:$L,"Дорозвідується"))</f>
        <v/>
      </c>
    </row>
    <row r="220">
      <c r="A220" s="273">
        <f>IF(A219="","",IF(A219+1&gt;MAX('Таблиця 1'!$B:$B),"",A219+1))</f>
        <v/>
      </c>
      <c r="B220">
        <f>IF($A220="","",COUNTIFS('Таблиця 1'!$B:$B,$A220,'Таблиця 1'!$I:$I,"Mirage")+COUNTIFS('Таблиця 1'!$B:$B,$A220,'Таблиця 1'!$I:$I,"F-16")+COUNTIFS('Таблиця 1'!$B:$B,$A220,'Таблиця 1'!$I:$I,"МіГ-29")+COUNTIFS('Таблиця 1'!$B:$B,$A220,'Таблиця 1'!$I:$I,"Су-25")+COUNTIFS('Таблиця 1'!$B:$B,$A220,'Таблиця 1'!$I:$I,"Су-27"))</f>
        <v/>
      </c>
      <c r="C220">
        <f>IF($A220="","",COUNTIFS('Таблиця 1'!$B:$B,$A220,'Таблиця 1'!$I:$I,"Mirage"))</f>
        <v/>
      </c>
      <c r="D220">
        <f>IF($A220="","",COUNTIFS('Таблиця 1'!$B:$B,$A220,'Таблиця 1'!$I:$I,"F-16"))</f>
        <v/>
      </c>
      <c r="E220">
        <f>IF($A220="","",COUNTIFS('Таблиця 1'!$B:$B,$A220,'Таблиця 1'!$I:$I,"МіГ-29"))</f>
        <v/>
      </c>
      <c r="F220">
        <f>IF($A220="","",COUNTIFS('Таблиця 1'!$B:$B,$A220,'Таблиця 1'!$I:$I,"Су-25"))</f>
        <v/>
      </c>
      <c r="G220">
        <f>IF($A220="","",COUNTIFS('Таблиця 1'!$B:$B,$A220,'Таблиця 1'!$I:$I,"Су-27"))</f>
        <v/>
      </c>
      <c r="H220">
        <f>IF($A220="","",SUMIFS('Таблиця 1'!$K:$K,'Таблиця 1'!$B:$B,$A220,'Таблиця 1'!$I:$I,"Mirage",'Таблиця 1'!$J:$J,"AGM-88")+SUMIFS('Таблиця 1'!$K:$K,'Таблиця 1'!$B:$B,$A220,'Таблиця 1'!$I:$I,"F-16",'Таблиця 1'!$J:$J,"AGM-88")+SUMIFS('Таблиця 1'!$K:$K,'Таблиця 1'!$B:$B,$A220,'Таблиця 1'!$I:$I,"МіГ-29",'Таблиця 1'!$J:$J,"AGM-88")+SUMIFS('Таблиця 1'!$K:$K,'Таблиця 1'!$B:$B,$A220,'Таблиця 1'!$I:$I,"Су-25",'Таблиця 1'!$J:$J,"AGM-88")+SUMIFS('Таблиця 1'!$K:$K,'Таблиця 1'!$B:$B,$A220,'Таблиця 1'!$I:$I,"Су-27",'Таблиця 1'!$J:$J,"AGM-88"))</f>
        <v/>
      </c>
      <c r="I220">
        <f>IF($A220="","",SUMIFS('Таблиця 1'!$K:$K,'Таблиця 1'!$B:$B,$A220,'Таблиця 1'!$I:$I,"Mirage",'Таблиця 1'!$J:$J,"AASM-250")+SUMIFS('Таблиця 1'!$K:$K,'Таблиця 1'!$B:$B,$A220,'Таблиця 1'!$I:$I,"F-16",'Таблиця 1'!$J:$J,"AASM-250")+SUMIFS('Таблиця 1'!$K:$K,'Таблиця 1'!$B:$B,$A220,'Таблиця 1'!$I:$I,"МіГ-29",'Таблиця 1'!$J:$J,"AASM-250")+SUMIFS('Таблиця 1'!$K:$K,'Таблиця 1'!$B:$B,$A220,'Таблиця 1'!$I:$I,"Су-25",'Таблиця 1'!$J:$J,"AASM-250")+SUMIFS('Таблиця 1'!$K:$K,'Таблиця 1'!$B:$B,$A220,'Таблиця 1'!$I:$I,"Су-27",'Таблиця 1'!$J:$J,"AASM-250"))</f>
        <v/>
      </c>
      <c r="J220">
        <f>IF($A220="","",SUMIFS('Таблиця 1'!$K:$K,'Таблиця 1'!$B:$B,$A220,'Таблиця 1'!$I:$I,"Mirage",'Таблиця 1'!$J:$J,"GBU-39")+SUMIFS('Таблиця 1'!$K:$K,'Таблиця 1'!$B:$B,$A220,'Таблиця 1'!$I:$I,"F-16",'Таблиця 1'!$J:$J,"GBU-39")+SUMIFS('Таблиця 1'!$K:$K,'Таблиця 1'!$B:$B,$A220,'Таблиця 1'!$I:$I,"МіГ-29",'Таблиця 1'!$J:$J,"GBU-39")+SUMIFS('Таблиця 1'!$K:$K,'Таблиця 1'!$B:$B,$A220,'Таблиця 1'!$I:$I,"Су-25",'Таблиця 1'!$J:$J,"GBU-39")+SUMIFS('Таблиця 1'!$K:$K,'Таблиця 1'!$B:$B,$A220,'Таблиця 1'!$I:$I,"Су-27",'Таблиця 1'!$J:$J,"GBU-39"))</f>
        <v/>
      </c>
      <c r="K220">
        <f>IF($A220="","",SUMIFS('Таблиця 1'!$K:$K,'Таблиця 1'!$B:$B,$A220,'Таблиця 1'!$I:$I,"Mirage",'Таблиця 1'!$J:$J,"BLU-140")+SUMIFS('Таблиця 1'!$K:$K,'Таблиця 1'!$B:$B,$A220,'Таблиця 1'!$I:$I,"F-16",'Таблиця 1'!$J:$J,"BLU-140")+SUMIFS('Таблиця 1'!$K:$K,'Таблиця 1'!$B:$B,$A220,'Таблиця 1'!$I:$I,"МіГ-29",'Таблиця 1'!$J:$J,"BLU-140")+SUMIFS('Таблиця 1'!$K:$K,'Таблиця 1'!$B:$B,$A220,'Таблиця 1'!$I:$I,"Су-25",'Таблиця 1'!$J:$J,"BLU-140")+SUMIFS('Таблиця 1'!$K:$K,'Таблиця 1'!$B:$B,$A220,'Таблиця 1'!$I:$I,"Су-27",'Таблиця 1'!$J:$J,"BLU-140"))</f>
        <v/>
      </c>
      <c r="L220">
        <f>IF($A220="","",SUMIFS('Таблиця 1'!$K:$K,'Таблиця 1'!$B:$B,$A220,'Таблиця 1'!$I:$I,"Mirage",'Таблиця 1'!$J:$J,"GBU-65")+SUMIFS('Таблиця 1'!$K:$K,'Таблиця 1'!$B:$B,$A220,'Таблиця 1'!$I:$I,"F-16",'Таблиця 1'!$J:$J,"GBU-65")+SUMIFS('Таблиця 1'!$K:$K,'Таблиця 1'!$B:$B,$A220,'Таблиця 1'!$I:$I,"МіГ-29",'Таблиця 1'!$J:$J,"GBU-65")+SUMIFS('Таблиця 1'!$K:$K,'Таблиця 1'!$B:$B,$A220,'Таблиця 1'!$I:$I,"Су-25",'Таблиця 1'!$J:$J,"GBU-65")+SUMIFS('Таблиця 1'!$K:$K,'Таблиця 1'!$B:$B,$A220,'Таблиця 1'!$I:$I,"Су-27",'Таблиця 1'!$J:$J,"GBU-65"))</f>
        <v/>
      </c>
      <c r="M220">
        <f>IF($A220="","",SUMIFS('Таблиця 1'!$K:$K,'Таблиця 1'!$B:$B,$A220,'Таблиця 1'!$I:$I,"Mirage",'Таблиця 1'!$J:$J,"GBU-62")+SUMIFS('Таблиця 1'!$K:$K,'Таблиця 1'!$B:$B,$A220,'Таблиця 1'!$I:$I,"F-16",'Таблиця 1'!$J:$J,"GBU-62")+SUMIFS('Таблиця 1'!$K:$K,'Таблиця 1'!$B:$B,$A220,'Таблиця 1'!$I:$I,"МіГ-29",'Таблиця 1'!$J:$J,"GBU-62")+SUMIFS('Таблиця 1'!$K:$K,'Таблиця 1'!$B:$B,$A220,'Таблиця 1'!$I:$I,"Су-25",'Таблиця 1'!$J:$J,"GBU-62")+SUMIFS('Таблиця 1'!$K:$K,'Таблиця 1'!$B:$B,$A220,'Таблиця 1'!$I:$I,"Су-27",'Таблиця 1'!$J:$J,"GBU-62"))</f>
        <v/>
      </c>
      <c r="N220">
        <f>IF($A220="","",SUMIFS('Таблиця 1'!$K:$K,'Таблиця 1'!$B:$B,$A220,'Таблиця 1'!$I:$I,"Mirage",'Таблиця 1'!$J:$J,"GBU-64")+SUMIFS('Таблиця 1'!$K:$K,'Таблиця 1'!$B:$B,$A220,'Таблиця 1'!$I:$I,"F-16",'Таблиця 1'!$J:$J,"GBU-64")+SUMIFS('Таблиця 1'!$K:$K,'Таблиця 1'!$B:$B,$A220,'Таблиця 1'!$I:$I,"МіГ-29",'Таблиця 1'!$J:$J,"GBU-64")+SUMIFS('Таблиця 1'!$K:$K,'Таблиця 1'!$B:$B,$A220,'Таблиця 1'!$I:$I,"Су-25",'Таблиця 1'!$J:$J,"GBU-64")+SUMIFS('Таблиця 1'!$K:$K,'Таблиця 1'!$B:$B,$A220,'Таблиця 1'!$I:$I,"Су-27",'Таблиця 1'!$J:$J,"GBU-64"))</f>
        <v/>
      </c>
      <c r="O220">
        <f>IF($A220="","",SUMIFS('Таблиця 1'!$K:$K,'Таблиця 1'!$B:$B,$A220,'Таблиця 1'!$I:$I,"Mirage",'Таблиця 1'!$J:$J,"C-13")+SUMIFS('Таблиця 1'!$K:$K,'Таблиця 1'!$B:$B,$A220,'Таблиця 1'!$I:$I,"F-16",'Таблиця 1'!$J:$J,"C-13")+SUMIFS('Таблиця 1'!$K:$K,'Таблиця 1'!$B:$B,$A220,'Таблиця 1'!$I:$I,"МіГ-29",'Таблиця 1'!$J:$J,"C-13")+SUMIFS('Таблиця 1'!$K:$K,'Таблиця 1'!$B:$B,$A220,'Таблиця 1'!$I:$I,"Су-25",'Таблиця 1'!$J:$J,"C-13")+SUMIFS('Таблиця 1'!$K:$K,'Таблиця 1'!$B:$B,$A220,'Таблиця 1'!$I:$I,"Су-27",'Таблиця 1'!$J:$J,"C-13"))</f>
        <v/>
      </c>
      <c r="P220">
        <f>IF($A220="","",SUMIFS('Таблиця 1'!$K:$K,'Таблиця 1'!$B:$B,$A220,'Таблиця 1'!$I:$I,"Mirage",'Таблиця 1'!$J:$J,"MK-32")+SUMIFS('Таблиця 1'!$K:$K,'Таблиця 1'!$B:$B,$A220,'Таблиця 1'!$I:$I,"F-16",'Таблиця 1'!$J:$J,"MK-32")+SUMIFS('Таблиця 1'!$K:$K,'Таблиця 1'!$B:$B,$A220,'Таблиця 1'!$I:$I,"МіГ-29",'Таблиця 1'!$J:$J,"MK-32")+SUMIFS('Таблиця 1'!$K:$K,'Таблиця 1'!$B:$B,$A220,'Таблиця 1'!$I:$I,"Су-25",'Таблиця 1'!$J:$J,"MK-32")+SUMIFS('Таблиця 1'!$K:$K,'Таблиця 1'!$B:$B,$A220,'Таблиця 1'!$I:$I,"Су-27",'Таблиця 1'!$J:$J,"MK-32"))</f>
        <v/>
      </c>
      <c r="Q220">
        <f>IF($A220="","",SUMIFS('Таблиця 1'!$K:$K,'Таблиця 1'!$B:$B,$A220,'Таблиця 1'!$I:$I,"Mirage",'Таблиця 1'!$J:$J,"MK-24")+SUMIFS('Таблиця 1'!$K:$K,'Таблиця 1'!$B:$B,$A220,'Таблиця 1'!$I:$I,"F-16",'Таблиця 1'!$J:$J,"MK-24")+SUMIFS('Таблиця 1'!$K:$K,'Таблиця 1'!$B:$B,$A220,'Таблиця 1'!$I:$I,"МіГ-29",'Таблиця 1'!$J:$J,"MK-24")+SUMIFS('Таблиця 1'!$K:$K,'Таблиця 1'!$B:$B,$A220,'Таблиця 1'!$I:$I,"Су-25",'Таблиця 1'!$J:$J,"MK-24")+SUMIFS('Таблиця 1'!$K:$K,'Таблиця 1'!$B:$B,$A220,'Таблиця 1'!$I:$I,"Су-27",'Таблиця 1'!$J:$J,"MK-24"))</f>
        <v/>
      </c>
      <c r="R220">
        <f>IF($A220="","",COUNTIFS('Таблиця 1'!$B:$B,$A220,'Таблиця 1'!$I:$I,"Mirage",'Таблиця 1'!$L:$L,"Уражено")+COUNTIFS('Таблиця 1'!$B:$B,$A220,'Таблиця 1'!$I:$I,"F-16",'Таблиця 1'!$L:$L,"Уражено")+COUNTIFS('Таблиця 1'!$B:$B,$A220,'Таблиця 1'!$I:$I,"МіГ-29",'Таблиця 1'!$L:$L,"Уражено")+COUNTIFS('Таблиця 1'!$B:$B,$A220,'Таблиця 1'!$I:$I,"Су-25",'Таблиця 1'!$L:$L,"Уражено")+COUNTIFS('Таблиця 1'!$B:$B,$A220,'Таблиця 1'!$I:$I,"Су-27",'Таблиця 1'!$L:$L,"Уражено"))</f>
        <v/>
      </c>
      <c r="S220">
        <f>IF($A220="","",COUNTIFS('Таблиця 1'!$B:$B,$A220,'Таблиця 1'!$I:$I,"Mirage",'Таблиця 1'!$L:$L,"НЕ уражено")+COUNTIFS('Таблиця 1'!$B:$B,$A220,'Таблиця 1'!$I:$I,"F-16",'Таблиця 1'!$L:$L,"НЕ уражено")+COUNTIFS('Таблиця 1'!$B:$B,$A220,'Таблиця 1'!$I:$I,"МіГ-29",'Таблиця 1'!$L:$L,"НЕ уражено")+COUNTIFS('Таблиця 1'!$B:$B,$A220,'Таблиця 1'!$I:$I,"Су-25",'Таблиця 1'!$L:$L,"НЕ уражено")+COUNTIFS('Таблиця 1'!$B:$B,$A220,'Таблиця 1'!$I:$I,"Су-27",'Таблиця 1'!$L:$L,"НЕ уражено"))</f>
        <v/>
      </c>
      <c r="T220">
        <f>IF($A220="","",COUNTIFS('Таблиця 1'!$B:$B,$A220,'Таблиця 1'!$I:$I,"Mirage",'Таблиця 1'!$L:$L,"Дорозвідується")+COUNTIFS('Таблиця 1'!$B:$B,$A220,'Таблиця 1'!$I:$I,"F-16",'Таблиця 1'!$L:$L,"Дорозвідується")+COUNTIFS('Таблиця 1'!$B:$B,$A220,'Таблиця 1'!$I:$I,"МіГ-29",'Таблиця 1'!$L:$L,"Дорозвідується")+COUNTIFS('Таблиця 1'!$B:$B,$A220,'Таблиця 1'!$I:$I,"Су-25",'Таблиця 1'!$L:$L,"Дорозвідується")+COUNTIFS('Таблиця 1'!$B:$B,$A220,'Таблиця 1'!$I:$I,"Су-27",'Таблиця 1'!$L:$L,"Дорозвідується"))</f>
        <v/>
      </c>
    </row>
    <row r="221">
      <c r="A221" s="273">
        <f>IF(A220="","",IF(A220+1&gt;MAX('Таблиця 1'!$B:$B),"",A220+1))</f>
        <v/>
      </c>
      <c r="B221">
        <f>IF($A221="","",COUNTIFS('Таблиця 1'!$B:$B,$A221,'Таблиця 1'!$I:$I,"Mirage")+COUNTIFS('Таблиця 1'!$B:$B,$A221,'Таблиця 1'!$I:$I,"F-16")+COUNTIFS('Таблиця 1'!$B:$B,$A221,'Таблиця 1'!$I:$I,"МіГ-29")+COUNTIFS('Таблиця 1'!$B:$B,$A221,'Таблиця 1'!$I:$I,"Су-25")+COUNTIFS('Таблиця 1'!$B:$B,$A221,'Таблиця 1'!$I:$I,"Су-27"))</f>
        <v/>
      </c>
      <c r="C221">
        <f>IF($A221="","",COUNTIFS('Таблиця 1'!$B:$B,$A221,'Таблиця 1'!$I:$I,"Mirage"))</f>
        <v/>
      </c>
      <c r="D221">
        <f>IF($A221="","",COUNTIFS('Таблиця 1'!$B:$B,$A221,'Таблиця 1'!$I:$I,"F-16"))</f>
        <v/>
      </c>
      <c r="E221">
        <f>IF($A221="","",COUNTIFS('Таблиця 1'!$B:$B,$A221,'Таблиця 1'!$I:$I,"МіГ-29"))</f>
        <v/>
      </c>
      <c r="F221">
        <f>IF($A221="","",COUNTIFS('Таблиця 1'!$B:$B,$A221,'Таблиця 1'!$I:$I,"Су-25"))</f>
        <v/>
      </c>
      <c r="G221">
        <f>IF($A221="","",COUNTIFS('Таблиця 1'!$B:$B,$A221,'Таблиця 1'!$I:$I,"Су-27"))</f>
        <v/>
      </c>
      <c r="H221">
        <f>IF($A221="","",SUMIFS('Таблиця 1'!$K:$K,'Таблиця 1'!$B:$B,$A221,'Таблиця 1'!$I:$I,"Mirage",'Таблиця 1'!$J:$J,"AGM-88")+SUMIFS('Таблиця 1'!$K:$K,'Таблиця 1'!$B:$B,$A221,'Таблиця 1'!$I:$I,"F-16",'Таблиця 1'!$J:$J,"AGM-88")+SUMIFS('Таблиця 1'!$K:$K,'Таблиця 1'!$B:$B,$A221,'Таблиця 1'!$I:$I,"МіГ-29",'Таблиця 1'!$J:$J,"AGM-88")+SUMIFS('Таблиця 1'!$K:$K,'Таблиця 1'!$B:$B,$A221,'Таблиця 1'!$I:$I,"Су-25",'Таблиця 1'!$J:$J,"AGM-88")+SUMIFS('Таблиця 1'!$K:$K,'Таблиця 1'!$B:$B,$A221,'Таблиця 1'!$I:$I,"Су-27",'Таблиця 1'!$J:$J,"AGM-88"))</f>
        <v/>
      </c>
      <c r="I221">
        <f>IF($A221="","",SUMIFS('Таблиця 1'!$K:$K,'Таблиця 1'!$B:$B,$A221,'Таблиця 1'!$I:$I,"Mirage",'Таблиця 1'!$J:$J,"AASM-250")+SUMIFS('Таблиця 1'!$K:$K,'Таблиця 1'!$B:$B,$A221,'Таблиця 1'!$I:$I,"F-16",'Таблиця 1'!$J:$J,"AASM-250")+SUMIFS('Таблиця 1'!$K:$K,'Таблиця 1'!$B:$B,$A221,'Таблиця 1'!$I:$I,"МіГ-29",'Таблиця 1'!$J:$J,"AASM-250")+SUMIFS('Таблиця 1'!$K:$K,'Таблиця 1'!$B:$B,$A221,'Таблиця 1'!$I:$I,"Су-25",'Таблиця 1'!$J:$J,"AASM-250")+SUMIFS('Таблиця 1'!$K:$K,'Таблиця 1'!$B:$B,$A221,'Таблиця 1'!$I:$I,"Су-27",'Таблиця 1'!$J:$J,"AASM-250"))</f>
        <v/>
      </c>
      <c r="J221">
        <f>IF($A221="","",SUMIFS('Таблиця 1'!$K:$K,'Таблиця 1'!$B:$B,$A221,'Таблиця 1'!$I:$I,"Mirage",'Таблиця 1'!$J:$J,"GBU-39")+SUMIFS('Таблиця 1'!$K:$K,'Таблиця 1'!$B:$B,$A221,'Таблиця 1'!$I:$I,"F-16",'Таблиця 1'!$J:$J,"GBU-39")+SUMIFS('Таблиця 1'!$K:$K,'Таблиця 1'!$B:$B,$A221,'Таблиця 1'!$I:$I,"МіГ-29",'Таблиця 1'!$J:$J,"GBU-39")+SUMIFS('Таблиця 1'!$K:$K,'Таблиця 1'!$B:$B,$A221,'Таблиця 1'!$I:$I,"Су-25",'Таблиця 1'!$J:$J,"GBU-39")+SUMIFS('Таблиця 1'!$K:$K,'Таблиця 1'!$B:$B,$A221,'Таблиця 1'!$I:$I,"Су-27",'Таблиця 1'!$J:$J,"GBU-39"))</f>
        <v/>
      </c>
      <c r="K221">
        <f>IF($A221="","",SUMIFS('Таблиця 1'!$K:$K,'Таблиця 1'!$B:$B,$A221,'Таблиця 1'!$I:$I,"Mirage",'Таблиця 1'!$J:$J,"BLU-140")+SUMIFS('Таблиця 1'!$K:$K,'Таблиця 1'!$B:$B,$A221,'Таблиця 1'!$I:$I,"F-16",'Таблиця 1'!$J:$J,"BLU-140")+SUMIFS('Таблиця 1'!$K:$K,'Таблиця 1'!$B:$B,$A221,'Таблиця 1'!$I:$I,"МіГ-29",'Таблиця 1'!$J:$J,"BLU-140")+SUMIFS('Таблиця 1'!$K:$K,'Таблиця 1'!$B:$B,$A221,'Таблиця 1'!$I:$I,"Су-25",'Таблиця 1'!$J:$J,"BLU-140")+SUMIFS('Таблиця 1'!$K:$K,'Таблиця 1'!$B:$B,$A221,'Таблиця 1'!$I:$I,"Су-27",'Таблиця 1'!$J:$J,"BLU-140"))</f>
        <v/>
      </c>
      <c r="L221">
        <f>IF($A221="","",SUMIFS('Таблиця 1'!$K:$K,'Таблиця 1'!$B:$B,$A221,'Таблиця 1'!$I:$I,"Mirage",'Таблиця 1'!$J:$J,"GBU-65")+SUMIFS('Таблиця 1'!$K:$K,'Таблиця 1'!$B:$B,$A221,'Таблиця 1'!$I:$I,"F-16",'Таблиця 1'!$J:$J,"GBU-65")+SUMIFS('Таблиця 1'!$K:$K,'Таблиця 1'!$B:$B,$A221,'Таблиця 1'!$I:$I,"МіГ-29",'Таблиця 1'!$J:$J,"GBU-65")+SUMIFS('Таблиця 1'!$K:$K,'Таблиця 1'!$B:$B,$A221,'Таблиця 1'!$I:$I,"Су-25",'Таблиця 1'!$J:$J,"GBU-65")+SUMIFS('Таблиця 1'!$K:$K,'Таблиця 1'!$B:$B,$A221,'Таблиця 1'!$I:$I,"Су-27",'Таблиця 1'!$J:$J,"GBU-65"))</f>
        <v/>
      </c>
      <c r="M221">
        <f>IF($A221="","",SUMIFS('Таблиця 1'!$K:$K,'Таблиця 1'!$B:$B,$A221,'Таблиця 1'!$I:$I,"Mirage",'Таблиця 1'!$J:$J,"GBU-62")+SUMIFS('Таблиця 1'!$K:$K,'Таблиця 1'!$B:$B,$A221,'Таблиця 1'!$I:$I,"F-16",'Таблиця 1'!$J:$J,"GBU-62")+SUMIFS('Таблиця 1'!$K:$K,'Таблиця 1'!$B:$B,$A221,'Таблиця 1'!$I:$I,"МіГ-29",'Таблиця 1'!$J:$J,"GBU-62")+SUMIFS('Таблиця 1'!$K:$K,'Таблиця 1'!$B:$B,$A221,'Таблиця 1'!$I:$I,"Су-25",'Таблиця 1'!$J:$J,"GBU-62")+SUMIFS('Таблиця 1'!$K:$K,'Таблиця 1'!$B:$B,$A221,'Таблиця 1'!$I:$I,"Су-27",'Таблиця 1'!$J:$J,"GBU-62"))</f>
        <v/>
      </c>
      <c r="N221">
        <f>IF($A221="","",SUMIFS('Таблиця 1'!$K:$K,'Таблиця 1'!$B:$B,$A221,'Таблиця 1'!$I:$I,"Mirage",'Таблиця 1'!$J:$J,"GBU-64")+SUMIFS('Таблиця 1'!$K:$K,'Таблиця 1'!$B:$B,$A221,'Таблиця 1'!$I:$I,"F-16",'Таблиця 1'!$J:$J,"GBU-64")+SUMIFS('Таблиця 1'!$K:$K,'Таблиця 1'!$B:$B,$A221,'Таблиця 1'!$I:$I,"МіГ-29",'Таблиця 1'!$J:$J,"GBU-64")+SUMIFS('Таблиця 1'!$K:$K,'Таблиця 1'!$B:$B,$A221,'Таблиця 1'!$I:$I,"Су-25",'Таблиця 1'!$J:$J,"GBU-64")+SUMIFS('Таблиця 1'!$K:$K,'Таблиця 1'!$B:$B,$A221,'Таблиця 1'!$I:$I,"Су-27",'Таблиця 1'!$J:$J,"GBU-64"))</f>
        <v/>
      </c>
      <c r="O221">
        <f>IF($A221="","",SUMIFS('Таблиця 1'!$K:$K,'Таблиця 1'!$B:$B,$A221,'Таблиця 1'!$I:$I,"Mirage",'Таблиця 1'!$J:$J,"C-13")+SUMIFS('Таблиця 1'!$K:$K,'Таблиця 1'!$B:$B,$A221,'Таблиця 1'!$I:$I,"F-16",'Таблиця 1'!$J:$J,"C-13")+SUMIFS('Таблиця 1'!$K:$K,'Таблиця 1'!$B:$B,$A221,'Таблиця 1'!$I:$I,"МіГ-29",'Таблиця 1'!$J:$J,"C-13")+SUMIFS('Таблиця 1'!$K:$K,'Таблиця 1'!$B:$B,$A221,'Таблиця 1'!$I:$I,"Су-25",'Таблиця 1'!$J:$J,"C-13")+SUMIFS('Таблиця 1'!$K:$K,'Таблиця 1'!$B:$B,$A221,'Таблиця 1'!$I:$I,"Су-27",'Таблиця 1'!$J:$J,"C-13"))</f>
        <v/>
      </c>
      <c r="P221">
        <f>IF($A221="","",SUMIFS('Таблиця 1'!$K:$K,'Таблиця 1'!$B:$B,$A221,'Таблиця 1'!$I:$I,"Mirage",'Таблиця 1'!$J:$J,"MK-32")+SUMIFS('Таблиця 1'!$K:$K,'Таблиця 1'!$B:$B,$A221,'Таблиця 1'!$I:$I,"F-16",'Таблиця 1'!$J:$J,"MK-32")+SUMIFS('Таблиця 1'!$K:$K,'Таблиця 1'!$B:$B,$A221,'Таблиця 1'!$I:$I,"МіГ-29",'Таблиця 1'!$J:$J,"MK-32")+SUMIFS('Таблиця 1'!$K:$K,'Таблиця 1'!$B:$B,$A221,'Таблиця 1'!$I:$I,"Су-25",'Таблиця 1'!$J:$J,"MK-32")+SUMIFS('Таблиця 1'!$K:$K,'Таблиця 1'!$B:$B,$A221,'Таблиця 1'!$I:$I,"Су-27",'Таблиця 1'!$J:$J,"MK-32"))</f>
        <v/>
      </c>
      <c r="Q221">
        <f>IF($A221="","",SUMIFS('Таблиця 1'!$K:$K,'Таблиця 1'!$B:$B,$A221,'Таблиця 1'!$I:$I,"Mirage",'Таблиця 1'!$J:$J,"MK-24")+SUMIFS('Таблиця 1'!$K:$K,'Таблиця 1'!$B:$B,$A221,'Таблиця 1'!$I:$I,"F-16",'Таблиця 1'!$J:$J,"MK-24")+SUMIFS('Таблиця 1'!$K:$K,'Таблиця 1'!$B:$B,$A221,'Таблиця 1'!$I:$I,"МіГ-29",'Таблиця 1'!$J:$J,"MK-24")+SUMIFS('Таблиця 1'!$K:$K,'Таблиця 1'!$B:$B,$A221,'Таблиця 1'!$I:$I,"Су-25",'Таблиця 1'!$J:$J,"MK-24")+SUMIFS('Таблиця 1'!$K:$K,'Таблиця 1'!$B:$B,$A221,'Таблиця 1'!$I:$I,"Су-27",'Таблиця 1'!$J:$J,"MK-24"))</f>
        <v/>
      </c>
      <c r="R221">
        <f>IF($A221="","",COUNTIFS('Таблиця 1'!$B:$B,$A221,'Таблиця 1'!$I:$I,"Mirage",'Таблиця 1'!$L:$L,"Уражено")+COUNTIFS('Таблиця 1'!$B:$B,$A221,'Таблиця 1'!$I:$I,"F-16",'Таблиця 1'!$L:$L,"Уражено")+COUNTIFS('Таблиця 1'!$B:$B,$A221,'Таблиця 1'!$I:$I,"МіГ-29",'Таблиця 1'!$L:$L,"Уражено")+COUNTIFS('Таблиця 1'!$B:$B,$A221,'Таблиця 1'!$I:$I,"Су-25",'Таблиця 1'!$L:$L,"Уражено")+COUNTIFS('Таблиця 1'!$B:$B,$A221,'Таблиця 1'!$I:$I,"Су-27",'Таблиця 1'!$L:$L,"Уражено"))</f>
        <v/>
      </c>
      <c r="S221">
        <f>IF($A221="","",COUNTIFS('Таблиця 1'!$B:$B,$A221,'Таблиця 1'!$I:$I,"Mirage",'Таблиця 1'!$L:$L,"НЕ уражено")+COUNTIFS('Таблиця 1'!$B:$B,$A221,'Таблиця 1'!$I:$I,"F-16",'Таблиця 1'!$L:$L,"НЕ уражено")+COUNTIFS('Таблиця 1'!$B:$B,$A221,'Таблиця 1'!$I:$I,"МіГ-29",'Таблиця 1'!$L:$L,"НЕ уражено")+COUNTIFS('Таблиця 1'!$B:$B,$A221,'Таблиця 1'!$I:$I,"Су-25",'Таблиця 1'!$L:$L,"НЕ уражено")+COUNTIFS('Таблиця 1'!$B:$B,$A221,'Таблиця 1'!$I:$I,"Су-27",'Таблиця 1'!$L:$L,"НЕ уражено"))</f>
        <v/>
      </c>
      <c r="T221">
        <f>IF($A221="","",COUNTIFS('Таблиця 1'!$B:$B,$A221,'Таблиця 1'!$I:$I,"Mirage",'Таблиця 1'!$L:$L,"Дорозвідується")+COUNTIFS('Таблиця 1'!$B:$B,$A221,'Таблиця 1'!$I:$I,"F-16",'Таблиця 1'!$L:$L,"Дорозвідується")+COUNTIFS('Таблиця 1'!$B:$B,$A221,'Таблиця 1'!$I:$I,"МіГ-29",'Таблиця 1'!$L:$L,"Дорозвідується")+COUNTIFS('Таблиця 1'!$B:$B,$A221,'Таблиця 1'!$I:$I,"Су-25",'Таблиця 1'!$L:$L,"Дорозвідується")+COUNTIFS('Таблиця 1'!$B:$B,$A221,'Таблиця 1'!$I:$I,"Су-27",'Таблиця 1'!$L:$L,"Дорозвідується"))</f>
        <v/>
      </c>
    </row>
    <row r="222">
      <c r="A222" s="273">
        <f>IF(A221="","",IF(A221+1&gt;MAX('Таблиця 1'!$B:$B),"",A221+1))</f>
        <v/>
      </c>
      <c r="B222">
        <f>IF($A222="","",COUNTIFS('Таблиця 1'!$B:$B,$A222,'Таблиця 1'!$I:$I,"Mirage")+COUNTIFS('Таблиця 1'!$B:$B,$A222,'Таблиця 1'!$I:$I,"F-16")+COUNTIFS('Таблиця 1'!$B:$B,$A222,'Таблиця 1'!$I:$I,"МіГ-29")+COUNTIFS('Таблиця 1'!$B:$B,$A222,'Таблиця 1'!$I:$I,"Су-25")+COUNTIFS('Таблиця 1'!$B:$B,$A222,'Таблиця 1'!$I:$I,"Су-27"))</f>
        <v/>
      </c>
      <c r="C222">
        <f>IF($A222="","",COUNTIFS('Таблиця 1'!$B:$B,$A222,'Таблиця 1'!$I:$I,"Mirage"))</f>
        <v/>
      </c>
      <c r="D222">
        <f>IF($A222="","",COUNTIFS('Таблиця 1'!$B:$B,$A222,'Таблиця 1'!$I:$I,"F-16"))</f>
        <v/>
      </c>
      <c r="E222">
        <f>IF($A222="","",COUNTIFS('Таблиця 1'!$B:$B,$A222,'Таблиця 1'!$I:$I,"МіГ-29"))</f>
        <v/>
      </c>
      <c r="F222">
        <f>IF($A222="","",COUNTIFS('Таблиця 1'!$B:$B,$A222,'Таблиця 1'!$I:$I,"Су-25"))</f>
        <v/>
      </c>
      <c r="G222">
        <f>IF($A222="","",COUNTIFS('Таблиця 1'!$B:$B,$A222,'Таблиця 1'!$I:$I,"Су-27"))</f>
        <v/>
      </c>
      <c r="H222">
        <f>IF($A222="","",SUMIFS('Таблиця 1'!$K:$K,'Таблиця 1'!$B:$B,$A222,'Таблиця 1'!$I:$I,"Mirage",'Таблиця 1'!$J:$J,"AGM-88")+SUMIFS('Таблиця 1'!$K:$K,'Таблиця 1'!$B:$B,$A222,'Таблиця 1'!$I:$I,"F-16",'Таблиця 1'!$J:$J,"AGM-88")+SUMIFS('Таблиця 1'!$K:$K,'Таблиця 1'!$B:$B,$A222,'Таблиця 1'!$I:$I,"МіГ-29",'Таблиця 1'!$J:$J,"AGM-88")+SUMIFS('Таблиця 1'!$K:$K,'Таблиця 1'!$B:$B,$A222,'Таблиця 1'!$I:$I,"Су-25",'Таблиця 1'!$J:$J,"AGM-88")+SUMIFS('Таблиця 1'!$K:$K,'Таблиця 1'!$B:$B,$A222,'Таблиця 1'!$I:$I,"Су-27",'Таблиця 1'!$J:$J,"AGM-88"))</f>
        <v/>
      </c>
      <c r="I222">
        <f>IF($A222="","",SUMIFS('Таблиця 1'!$K:$K,'Таблиця 1'!$B:$B,$A222,'Таблиця 1'!$I:$I,"Mirage",'Таблиця 1'!$J:$J,"AASM-250")+SUMIFS('Таблиця 1'!$K:$K,'Таблиця 1'!$B:$B,$A222,'Таблиця 1'!$I:$I,"F-16",'Таблиця 1'!$J:$J,"AASM-250")+SUMIFS('Таблиця 1'!$K:$K,'Таблиця 1'!$B:$B,$A222,'Таблиця 1'!$I:$I,"МіГ-29",'Таблиця 1'!$J:$J,"AASM-250")+SUMIFS('Таблиця 1'!$K:$K,'Таблиця 1'!$B:$B,$A222,'Таблиця 1'!$I:$I,"Су-25",'Таблиця 1'!$J:$J,"AASM-250")+SUMIFS('Таблиця 1'!$K:$K,'Таблиця 1'!$B:$B,$A222,'Таблиця 1'!$I:$I,"Су-27",'Таблиця 1'!$J:$J,"AASM-250"))</f>
        <v/>
      </c>
      <c r="J222">
        <f>IF($A222="","",SUMIFS('Таблиця 1'!$K:$K,'Таблиця 1'!$B:$B,$A222,'Таблиця 1'!$I:$I,"Mirage",'Таблиця 1'!$J:$J,"GBU-39")+SUMIFS('Таблиця 1'!$K:$K,'Таблиця 1'!$B:$B,$A222,'Таблиця 1'!$I:$I,"F-16",'Таблиця 1'!$J:$J,"GBU-39")+SUMIFS('Таблиця 1'!$K:$K,'Таблиця 1'!$B:$B,$A222,'Таблиця 1'!$I:$I,"МіГ-29",'Таблиця 1'!$J:$J,"GBU-39")+SUMIFS('Таблиця 1'!$K:$K,'Таблиця 1'!$B:$B,$A222,'Таблиця 1'!$I:$I,"Су-25",'Таблиця 1'!$J:$J,"GBU-39")+SUMIFS('Таблиця 1'!$K:$K,'Таблиця 1'!$B:$B,$A222,'Таблиця 1'!$I:$I,"Су-27",'Таблиця 1'!$J:$J,"GBU-39"))</f>
        <v/>
      </c>
      <c r="K222">
        <f>IF($A222="","",SUMIFS('Таблиця 1'!$K:$K,'Таблиця 1'!$B:$B,$A222,'Таблиця 1'!$I:$I,"Mirage",'Таблиця 1'!$J:$J,"BLU-140")+SUMIFS('Таблиця 1'!$K:$K,'Таблиця 1'!$B:$B,$A222,'Таблиця 1'!$I:$I,"F-16",'Таблиця 1'!$J:$J,"BLU-140")+SUMIFS('Таблиця 1'!$K:$K,'Таблиця 1'!$B:$B,$A222,'Таблиця 1'!$I:$I,"МіГ-29",'Таблиця 1'!$J:$J,"BLU-140")+SUMIFS('Таблиця 1'!$K:$K,'Таблиця 1'!$B:$B,$A222,'Таблиця 1'!$I:$I,"Су-25",'Таблиця 1'!$J:$J,"BLU-140")+SUMIFS('Таблиця 1'!$K:$K,'Таблиця 1'!$B:$B,$A222,'Таблиця 1'!$I:$I,"Су-27",'Таблиця 1'!$J:$J,"BLU-140"))</f>
        <v/>
      </c>
      <c r="L222">
        <f>IF($A222="","",SUMIFS('Таблиця 1'!$K:$K,'Таблиця 1'!$B:$B,$A222,'Таблиця 1'!$I:$I,"Mirage",'Таблиця 1'!$J:$J,"GBU-65")+SUMIFS('Таблиця 1'!$K:$K,'Таблиця 1'!$B:$B,$A222,'Таблиця 1'!$I:$I,"F-16",'Таблиця 1'!$J:$J,"GBU-65")+SUMIFS('Таблиця 1'!$K:$K,'Таблиця 1'!$B:$B,$A222,'Таблиця 1'!$I:$I,"МіГ-29",'Таблиця 1'!$J:$J,"GBU-65")+SUMIFS('Таблиця 1'!$K:$K,'Таблиця 1'!$B:$B,$A222,'Таблиця 1'!$I:$I,"Су-25",'Таблиця 1'!$J:$J,"GBU-65")+SUMIFS('Таблиця 1'!$K:$K,'Таблиця 1'!$B:$B,$A222,'Таблиця 1'!$I:$I,"Су-27",'Таблиця 1'!$J:$J,"GBU-65"))</f>
        <v/>
      </c>
      <c r="M222">
        <f>IF($A222="","",SUMIFS('Таблиця 1'!$K:$K,'Таблиця 1'!$B:$B,$A222,'Таблиця 1'!$I:$I,"Mirage",'Таблиця 1'!$J:$J,"GBU-62")+SUMIFS('Таблиця 1'!$K:$K,'Таблиця 1'!$B:$B,$A222,'Таблиця 1'!$I:$I,"F-16",'Таблиця 1'!$J:$J,"GBU-62")+SUMIFS('Таблиця 1'!$K:$K,'Таблиця 1'!$B:$B,$A222,'Таблиця 1'!$I:$I,"МіГ-29",'Таблиця 1'!$J:$J,"GBU-62")+SUMIFS('Таблиця 1'!$K:$K,'Таблиця 1'!$B:$B,$A222,'Таблиця 1'!$I:$I,"Су-25",'Таблиця 1'!$J:$J,"GBU-62")+SUMIFS('Таблиця 1'!$K:$K,'Таблиця 1'!$B:$B,$A222,'Таблиця 1'!$I:$I,"Су-27",'Таблиця 1'!$J:$J,"GBU-62"))</f>
        <v/>
      </c>
      <c r="N222">
        <f>IF($A222="","",SUMIFS('Таблиця 1'!$K:$K,'Таблиця 1'!$B:$B,$A222,'Таблиця 1'!$I:$I,"Mirage",'Таблиця 1'!$J:$J,"GBU-64")+SUMIFS('Таблиця 1'!$K:$K,'Таблиця 1'!$B:$B,$A222,'Таблиця 1'!$I:$I,"F-16",'Таблиця 1'!$J:$J,"GBU-64")+SUMIFS('Таблиця 1'!$K:$K,'Таблиця 1'!$B:$B,$A222,'Таблиця 1'!$I:$I,"МіГ-29",'Таблиця 1'!$J:$J,"GBU-64")+SUMIFS('Таблиця 1'!$K:$K,'Таблиця 1'!$B:$B,$A222,'Таблиця 1'!$I:$I,"Су-25",'Таблиця 1'!$J:$J,"GBU-64")+SUMIFS('Таблиця 1'!$K:$K,'Таблиця 1'!$B:$B,$A222,'Таблиця 1'!$I:$I,"Су-27",'Таблиця 1'!$J:$J,"GBU-64"))</f>
        <v/>
      </c>
      <c r="O222">
        <f>IF($A222="","",SUMIFS('Таблиця 1'!$K:$K,'Таблиця 1'!$B:$B,$A222,'Таблиця 1'!$I:$I,"Mirage",'Таблиця 1'!$J:$J,"C-13")+SUMIFS('Таблиця 1'!$K:$K,'Таблиця 1'!$B:$B,$A222,'Таблиця 1'!$I:$I,"F-16",'Таблиця 1'!$J:$J,"C-13")+SUMIFS('Таблиця 1'!$K:$K,'Таблиця 1'!$B:$B,$A222,'Таблиця 1'!$I:$I,"МіГ-29",'Таблиця 1'!$J:$J,"C-13")+SUMIFS('Таблиця 1'!$K:$K,'Таблиця 1'!$B:$B,$A222,'Таблиця 1'!$I:$I,"Су-25",'Таблиця 1'!$J:$J,"C-13")+SUMIFS('Таблиця 1'!$K:$K,'Таблиця 1'!$B:$B,$A222,'Таблиця 1'!$I:$I,"Су-27",'Таблиця 1'!$J:$J,"C-13"))</f>
        <v/>
      </c>
      <c r="P222">
        <f>IF($A222="","",SUMIFS('Таблиця 1'!$K:$K,'Таблиця 1'!$B:$B,$A222,'Таблиця 1'!$I:$I,"Mirage",'Таблиця 1'!$J:$J,"MK-32")+SUMIFS('Таблиця 1'!$K:$K,'Таблиця 1'!$B:$B,$A222,'Таблиця 1'!$I:$I,"F-16",'Таблиця 1'!$J:$J,"MK-32")+SUMIFS('Таблиця 1'!$K:$K,'Таблиця 1'!$B:$B,$A222,'Таблиця 1'!$I:$I,"МіГ-29",'Таблиця 1'!$J:$J,"MK-32")+SUMIFS('Таблиця 1'!$K:$K,'Таблиця 1'!$B:$B,$A222,'Таблиця 1'!$I:$I,"Су-25",'Таблиця 1'!$J:$J,"MK-32")+SUMIFS('Таблиця 1'!$K:$K,'Таблиця 1'!$B:$B,$A222,'Таблиця 1'!$I:$I,"Су-27",'Таблиця 1'!$J:$J,"MK-32"))</f>
        <v/>
      </c>
      <c r="Q222">
        <f>IF($A222="","",SUMIFS('Таблиця 1'!$K:$K,'Таблиця 1'!$B:$B,$A222,'Таблиця 1'!$I:$I,"Mirage",'Таблиця 1'!$J:$J,"MK-24")+SUMIFS('Таблиця 1'!$K:$K,'Таблиця 1'!$B:$B,$A222,'Таблиця 1'!$I:$I,"F-16",'Таблиця 1'!$J:$J,"MK-24")+SUMIFS('Таблиця 1'!$K:$K,'Таблиця 1'!$B:$B,$A222,'Таблиця 1'!$I:$I,"МіГ-29",'Таблиця 1'!$J:$J,"MK-24")+SUMIFS('Таблиця 1'!$K:$K,'Таблиця 1'!$B:$B,$A222,'Таблиця 1'!$I:$I,"Су-25",'Таблиця 1'!$J:$J,"MK-24")+SUMIFS('Таблиця 1'!$K:$K,'Таблиця 1'!$B:$B,$A222,'Таблиця 1'!$I:$I,"Су-27",'Таблиця 1'!$J:$J,"MK-24"))</f>
        <v/>
      </c>
      <c r="R222">
        <f>IF($A222="","",COUNTIFS('Таблиця 1'!$B:$B,$A222,'Таблиця 1'!$I:$I,"Mirage",'Таблиця 1'!$L:$L,"Уражено")+COUNTIFS('Таблиця 1'!$B:$B,$A222,'Таблиця 1'!$I:$I,"F-16",'Таблиця 1'!$L:$L,"Уражено")+COUNTIFS('Таблиця 1'!$B:$B,$A222,'Таблиця 1'!$I:$I,"МіГ-29",'Таблиця 1'!$L:$L,"Уражено")+COUNTIFS('Таблиця 1'!$B:$B,$A222,'Таблиця 1'!$I:$I,"Су-25",'Таблиця 1'!$L:$L,"Уражено")+COUNTIFS('Таблиця 1'!$B:$B,$A222,'Таблиця 1'!$I:$I,"Су-27",'Таблиця 1'!$L:$L,"Уражено"))</f>
        <v/>
      </c>
      <c r="S222">
        <f>IF($A222="","",COUNTIFS('Таблиця 1'!$B:$B,$A222,'Таблиця 1'!$I:$I,"Mirage",'Таблиця 1'!$L:$L,"НЕ уражено")+COUNTIFS('Таблиця 1'!$B:$B,$A222,'Таблиця 1'!$I:$I,"F-16",'Таблиця 1'!$L:$L,"НЕ уражено")+COUNTIFS('Таблиця 1'!$B:$B,$A222,'Таблиця 1'!$I:$I,"МіГ-29",'Таблиця 1'!$L:$L,"НЕ уражено")+COUNTIFS('Таблиця 1'!$B:$B,$A222,'Таблиця 1'!$I:$I,"Су-25",'Таблиця 1'!$L:$L,"НЕ уражено")+COUNTIFS('Таблиця 1'!$B:$B,$A222,'Таблиця 1'!$I:$I,"Су-27",'Таблиця 1'!$L:$L,"НЕ уражено"))</f>
        <v/>
      </c>
      <c r="T222">
        <f>IF($A222="","",COUNTIFS('Таблиця 1'!$B:$B,$A222,'Таблиця 1'!$I:$I,"Mirage",'Таблиця 1'!$L:$L,"Дорозвідується")+COUNTIFS('Таблиця 1'!$B:$B,$A222,'Таблиця 1'!$I:$I,"F-16",'Таблиця 1'!$L:$L,"Дорозвідується")+COUNTIFS('Таблиця 1'!$B:$B,$A222,'Таблиця 1'!$I:$I,"МіГ-29",'Таблиця 1'!$L:$L,"Дорозвідується")+COUNTIFS('Таблиця 1'!$B:$B,$A222,'Таблиця 1'!$I:$I,"Су-25",'Таблиця 1'!$L:$L,"Дорозвідується")+COUNTIFS('Таблиця 1'!$B:$B,$A222,'Таблиця 1'!$I:$I,"Су-27",'Таблиця 1'!$L:$L,"Дорозвідується"))</f>
        <v/>
      </c>
    </row>
    <row r="223">
      <c r="A223" s="273">
        <f>IF(A222="","",IF(A222+1&gt;MAX('Таблиця 1'!$B:$B),"",A222+1))</f>
        <v/>
      </c>
      <c r="B223">
        <f>IF($A223="","",COUNTIFS('Таблиця 1'!$B:$B,$A223,'Таблиця 1'!$I:$I,"Mirage")+COUNTIFS('Таблиця 1'!$B:$B,$A223,'Таблиця 1'!$I:$I,"F-16")+COUNTIFS('Таблиця 1'!$B:$B,$A223,'Таблиця 1'!$I:$I,"МіГ-29")+COUNTIFS('Таблиця 1'!$B:$B,$A223,'Таблиця 1'!$I:$I,"Су-25")+COUNTIFS('Таблиця 1'!$B:$B,$A223,'Таблиця 1'!$I:$I,"Су-27"))</f>
        <v/>
      </c>
      <c r="C223">
        <f>IF($A223="","",COUNTIFS('Таблиця 1'!$B:$B,$A223,'Таблиця 1'!$I:$I,"Mirage"))</f>
        <v/>
      </c>
      <c r="D223">
        <f>IF($A223="","",COUNTIFS('Таблиця 1'!$B:$B,$A223,'Таблиця 1'!$I:$I,"F-16"))</f>
        <v/>
      </c>
      <c r="E223">
        <f>IF($A223="","",COUNTIFS('Таблиця 1'!$B:$B,$A223,'Таблиця 1'!$I:$I,"МіГ-29"))</f>
        <v/>
      </c>
      <c r="F223">
        <f>IF($A223="","",COUNTIFS('Таблиця 1'!$B:$B,$A223,'Таблиця 1'!$I:$I,"Су-25"))</f>
        <v/>
      </c>
      <c r="G223">
        <f>IF($A223="","",COUNTIFS('Таблиця 1'!$B:$B,$A223,'Таблиця 1'!$I:$I,"Су-27"))</f>
        <v/>
      </c>
      <c r="H223">
        <f>IF($A223="","",SUMIFS('Таблиця 1'!$K:$K,'Таблиця 1'!$B:$B,$A223,'Таблиця 1'!$I:$I,"Mirage",'Таблиця 1'!$J:$J,"AGM-88")+SUMIFS('Таблиця 1'!$K:$K,'Таблиця 1'!$B:$B,$A223,'Таблиця 1'!$I:$I,"F-16",'Таблиця 1'!$J:$J,"AGM-88")+SUMIFS('Таблиця 1'!$K:$K,'Таблиця 1'!$B:$B,$A223,'Таблиця 1'!$I:$I,"МіГ-29",'Таблиця 1'!$J:$J,"AGM-88")+SUMIFS('Таблиця 1'!$K:$K,'Таблиця 1'!$B:$B,$A223,'Таблиця 1'!$I:$I,"Су-25",'Таблиця 1'!$J:$J,"AGM-88")+SUMIFS('Таблиця 1'!$K:$K,'Таблиця 1'!$B:$B,$A223,'Таблиця 1'!$I:$I,"Су-27",'Таблиця 1'!$J:$J,"AGM-88"))</f>
        <v/>
      </c>
      <c r="I223">
        <f>IF($A223="","",SUMIFS('Таблиця 1'!$K:$K,'Таблиця 1'!$B:$B,$A223,'Таблиця 1'!$I:$I,"Mirage",'Таблиця 1'!$J:$J,"AASM-250")+SUMIFS('Таблиця 1'!$K:$K,'Таблиця 1'!$B:$B,$A223,'Таблиця 1'!$I:$I,"F-16",'Таблиця 1'!$J:$J,"AASM-250")+SUMIFS('Таблиця 1'!$K:$K,'Таблиця 1'!$B:$B,$A223,'Таблиця 1'!$I:$I,"МіГ-29",'Таблиця 1'!$J:$J,"AASM-250")+SUMIFS('Таблиця 1'!$K:$K,'Таблиця 1'!$B:$B,$A223,'Таблиця 1'!$I:$I,"Су-25",'Таблиця 1'!$J:$J,"AASM-250")+SUMIFS('Таблиця 1'!$K:$K,'Таблиця 1'!$B:$B,$A223,'Таблиця 1'!$I:$I,"Су-27",'Таблиця 1'!$J:$J,"AASM-250"))</f>
        <v/>
      </c>
      <c r="J223">
        <f>IF($A223="","",SUMIFS('Таблиця 1'!$K:$K,'Таблиця 1'!$B:$B,$A223,'Таблиця 1'!$I:$I,"Mirage",'Таблиця 1'!$J:$J,"GBU-39")+SUMIFS('Таблиця 1'!$K:$K,'Таблиця 1'!$B:$B,$A223,'Таблиця 1'!$I:$I,"F-16",'Таблиця 1'!$J:$J,"GBU-39")+SUMIFS('Таблиця 1'!$K:$K,'Таблиця 1'!$B:$B,$A223,'Таблиця 1'!$I:$I,"МіГ-29",'Таблиця 1'!$J:$J,"GBU-39")+SUMIFS('Таблиця 1'!$K:$K,'Таблиця 1'!$B:$B,$A223,'Таблиця 1'!$I:$I,"Су-25",'Таблиця 1'!$J:$J,"GBU-39")+SUMIFS('Таблиця 1'!$K:$K,'Таблиця 1'!$B:$B,$A223,'Таблиця 1'!$I:$I,"Су-27",'Таблиця 1'!$J:$J,"GBU-39"))</f>
        <v/>
      </c>
      <c r="K223">
        <f>IF($A223="","",SUMIFS('Таблиця 1'!$K:$K,'Таблиця 1'!$B:$B,$A223,'Таблиця 1'!$I:$I,"Mirage",'Таблиця 1'!$J:$J,"BLU-140")+SUMIFS('Таблиця 1'!$K:$K,'Таблиця 1'!$B:$B,$A223,'Таблиця 1'!$I:$I,"F-16",'Таблиця 1'!$J:$J,"BLU-140")+SUMIFS('Таблиця 1'!$K:$K,'Таблиця 1'!$B:$B,$A223,'Таблиця 1'!$I:$I,"МіГ-29",'Таблиця 1'!$J:$J,"BLU-140")+SUMIFS('Таблиця 1'!$K:$K,'Таблиця 1'!$B:$B,$A223,'Таблиця 1'!$I:$I,"Су-25",'Таблиця 1'!$J:$J,"BLU-140")+SUMIFS('Таблиця 1'!$K:$K,'Таблиця 1'!$B:$B,$A223,'Таблиця 1'!$I:$I,"Су-27",'Таблиця 1'!$J:$J,"BLU-140"))</f>
        <v/>
      </c>
      <c r="L223">
        <f>IF($A223="","",SUMIFS('Таблиця 1'!$K:$K,'Таблиця 1'!$B:$B,$A223,'Таблиця 1'!$I:$I,"Mirage",'Таблиця 1'!$J:$J,"GBU-65")+SUMIFS('Таблиця 1'!$K:$K,'Таблиця 1'!$B:$B,$A223,'Таблиця 1'!$I:$I,"F-16",'Таблиця 1'!$J:$J,"GBU-65")+SUMIFS('Таблиця 1'!$K:$K,'Таблиця 1'!$B:$B,$A223,'Таблиця 1'!$I:$I,"МіГ-29",'Таблиця 1'!$J:$J,"GBU-65")+SUMIFS('Таблиця 1'!$K:$K,'Таблиця 1'!$B:$B,$A223,'Таблиця 1'!$I:$I,"Су-25",'Таблиця 1'!$J:$J,"GBU-65")+SUMIFS('Таблиця 1'!$K:$K,'Таблиця 1'!$B:$B,$A223,'Таблиця 1'!$I:$I,"Су-27",'Таблиця 1'!$J:$J,"GBU-65"))</f>
        <v/>
      </c>
      <c r="M223">
        <f>IF($A223="","",SUMIFS('Таблиця 1'!$K:$K,'Таблиця 1'!$B:$B,$A223,'Таблиця 1'!$I:$I,"Mirage",'Таблиця 1'!$J:$J,"GBU-62")+SUMIFS('Таблиця 1'!$K:$K,'Таблиця 1'!$B:$B,$A223,'Таблиця 1'!$I:$I,"F-16",'Таблиця 1'!$J:$J,"GBU-62")+SUMIFS('Таблиця 1'!$K:$K,'Таблиця 1'!$B:$B,$A223,'Таблиця 1'!$I:$I,"МіГ-29",'Таблиця 1'!$J:$J,"GBU-62")+SUMIFS('Таблиця 1'!$K:$K,'Таблиця 1'!$B:$B,$A223,'Таблиця 1'!$I:$I,"Су-25",'Таблиця 1'!$J:$J,"GBU-62")+SUMIFS('Таблиця 1'!$K:$K,'Таблиця 1'!$B:$B,$A223,'Таблиця 1'!$I:$I,"Су-27",'Таблиця 1'!$J:$J,"GBU-62"))</f>
        <v/>
      </c>
      <c r="N223">
        <f>IF($A223="","",SUMIFS('Таблиця 1'!$K:$K,'Таблиця 1'!$B:$B,$A223,'Таблиця 1'!$I:$I,"Mirage",'Таблиця 1'!$J:$J,"GBU-64")+SUMIFS('Таблиця 1'!$K:$K,'Таблиця 1'!$B:$B,$A223,'Таблиця 1'!$I:$I,"F-16",'Таблиця 1'!$J:$J,"GBU-64")+SUMIFS('Таблиця 1'!$K:$K,'Таблиця 1'!$B:$B,$A223,'Таблиця 1'!$I:$I,"МіГ-29",'Таблиця 1'!$J:$J,"GBU-64")+SUMIFS('Таблиця 1'!$K:$K,'Таблиця 1'!$B:$B,$A223,'Таблиця 1'!$I:$I,"Су-25",'Таблиця 1'!$J:$J,"GBU-64")+SUMIFS('Таблиця 1'!$K:$K,'Таблиця 1'!$B:$B,$A223,'Таблиця 1'!$I:$I,"Су-27",'Таблиця 1'!$J:$J,"GBU-64"))</f>
        <v/>
      </c>
      <c r="O223">
        <f>IF($A223="","",SUMIFS('Таблиця 1'!$K:$K,'Таблиця 1'!$B:$B,$A223,'Таблиця 1'!$I:$I,"Mirage",'Таблиця 1'!$J:$J,"C-13")+SUMIFS('Таблиця 1'!$K:$K,'Таблиця 1'!$B:$B,$A223,'Таблиця 1'!$I:$I,"F-16",'Таблиця 1'!$J:$J,"C-13")+SUMIFS('Таблиця 1'!$K:$K,'Таблиця 1'!$B:$B,$A223,'Таблиця 1'!$I:$I,"МіГ-29",'Таблиця 1'!$J:$J,"C-13")+SUMIFS('Таблиця 1'!$K:$K,'Таблиця 1'!$B:$B,$A223,'Таблиця 1'!$I:$I,"Су-25",'Таблиця 1'!$J:$J,"C-13")+SUMIFS('Таблиця 1'!$K:$K,'Таблиця 1'!$B:$B,$A223,'Таблиця 1'!$I:$I,"Су-27",'Таблиця 1'!$J:$J,"C-13"))</f>
        <v/>
      </c>
      <c r="P223">
        <f>IF($A223="","",SUMIFS('Таблиця 1'!$K:$K,'Таблиця 1'!$B:$B,$A223,'Таблиця 1'!$I:$I,"Mirage",'Таблиця 1'!$J:$J,"MK-32")+SUMIFS('Таблиця 1'!$K:$K,'Таблиця 1'!$B:$B,$A223,'Таблиця 1'!$I:$I,"F-16",'Таблиця 1'!$J:$J,"MK-32")+SUMIFS('Таблиця 1'!$K:$K,'Таблиця 1'!$B:$B,$A223,'Таблиця 1'!$I:$I,"МіГ-29",'Таблиця 1'!$J:$J,"MK-32")+SUMIFS('Таблиця 1'!$K:$K,'Таблиця 1'!$B:$B,$A223,'Таблиця 1'!$I:$I,"Су-25",'Таблиця 1'!$J:$J,"MK-32")+SUMIFS('Таблиця 1'!$K:$K,'Таблиця 1'!$B:$B,$A223,'Таблиця 1'!$I:$I,"Су-27",'Таблиця 1'!$J:$J,"MK-32"))</f>
        <v/>
      </c>
      <c r="Q223">
        <f>IF($A223="","",SUMIFS('Таблиця 1'!$K:$K,'Таблиця 1'!$B:$B,$A223,'Таблиця 1'!$I:$I,"Mirage",'Таблиця 1'!$J:$J,"MK-24")+SUMIFS('Таблиця 1'!$K:$K,'Таблиця 1'!$B:$B,$A223,'Таблиця 1'!$I:$I,"F-16",'Таблиця 1'!$J:$J,"MK-24")+SUMIFS('Таблиця 1'!$K:$K,'Таблиця 1'!$B:$B,$A223,'Таблиця 1'!$I:$I,"МіГ-29",'Таблиця 1'!$J:$J,"MK-24")+SUMIFS('Таблиця 1'!$K:$K,'Таблиця 1'!$B:$B,$A223,'Таблиця 1'!$I:$I,"Су-25",'Таблиця 1'!$J:$J,"MK-24")+SUMIFS('Таблиця 1'!$K:$K,'Таблиця 1'!$B:$B,$A223,'Таблиця 1'!$I:$I,"Су-27",'Таблиця 1'!$J:$J,"MK-24"))</f>
        <v/>
      </c>
      <c r="R223">
        <f>IF($A223="","",COUNTIFS('Таблиця 1'!$B:$B,$A223,'Таблиця 1'!$I:$I,"Mirage",'Таблиця 1'!$L:$L,"Уражено")+COUNTIFS('Таблиця 1'!$B:$B,$A223,'Таблиця 1'!$I:$I,"F-16",'Таблиця 1'!$L:$L,"Уражено")+COUNTIFS('Таблиця 1'!$B:$B,$A223,'Таблиця 1'!$I:$I,"МіГ-29",'Таблиця 1'!$L:$L,"Уражено")+COUNTIFS('Таблиця 1'!$B:$B,$A223,'Таблиця 1'!$I:$I,"Су-25",'Таблиця 1'!$L:$L,"Уражено")+COUNTIFS('Таблиця 1'!$B:$B,$A223,'Таблиця 1'!$I:$I,"Су-27",'Таблиця 1'!$L:$L,"Уражено"))</f>
        <v/>
      </c>
      <c r="S223">
        <f>IF($A223="","",COUNTIFS('Таблиця 1'!$B:$B,$A223,'Таблиця 1'!$I:$I,"Mirage",'Таблиця 1'!$L:$L,"НЕ уражено")+COUNTIFS('Таблиця 1'!$B:$B,$A223,'Таблиця 1'!$I:$I,"F-16",'Таблиця 1'!$L:$L,"НЕ уражено")+COUNTIFS('Таблиця 1'!$B:$B,$A223,'Таблиця 1'!$I:$I,"МіГ-29",'Таблиця 1'!$L:$L,"НЕ уражено")+COUNTIFS('Таблиця 1'!$B:$B,$A223,'Таблиця 1'!$I:$I,"Су-25",'Таблиця 1'!$L:$L,"НЕ уражено")+COUNTIFS('Таблиця 1'!$B:$B,$A223,'Таблиця 1'!$I:$I,"Су-27",'Таблиця 1'!$L:$L,"НЕ уражено"))</f>
        <v/>
      </c>
      <c r="T223">
        <f>IF($A223="","",COUNTIFS('Таблиця 1'!$B:$B,$A223,'Таблиця 1'!$I:$I,"Mirage",'Таблиця 1'!$L:$L,"Дорозвідується")+COUNTIFS('Таблиця 1'!$B:$B,$A223,'Таблиця 1'!$I:$I,"F-16",'Таблиця 1'!$L:$L,"Дорозвідується")+COUNTIFS('Таблиця 1'!$B:$B,$A223,'Таблиця 1'!$I:$I,"МіГ-29",'Таблиця 1'!$L:$L,"Дорозвідується")+COUNTIFS('Таблиця 1'!$B:$B,$A223,'Таблиця 1'!$I:$I,"Су-25",'Таблиця 1'!$L:$L,"Дорозвідується")+COUNTIFS('Таблиця 1'!$B:$B,$A223,'Таблиця 1'!$I:$I,"Су-27",'Таблиця 1'!$L:$L,"Дорозвідується"))</f>
        <v/>
      </c>
    </row>
    <row r="224">
      <c r="A224" s="273">
        <f>IF(A223="","",IF(A223+1&gt;MAX('Таблиця 1'!$B:$B),"",A223+1))</f>
        <v/>
      </c>
      <c r="B224">
        <f>IF($A224="","",COUNTIFS('Таблиця 1'!$B:$B,$A224,'Таблиця 1'!$I:$I,"Mirage")+COUNTIFS('Таблиця 1'!$B:$B,$A224,'Таблиця 1'!$I:$I,"F-16")+COUNTIFS('Таблиця 1'!$B:$B,$A224,'Таблиця 1'!$I:$I,"МіГ-29")+COUNTIFS('Таблиця 1'!$B:$B,$A224,'Таблиця 1'!$I:$I,"Су-25")+COUNTIFS('Таблиця 1'!$B:$B,$A224,'Таблиця 1'!$I:$I,"Су-27"))</f>
        <v/>
      </c>
      <c r="C224">
        <f>IF($A224="","",COUNTIFS('Таблиця 1'!$B:$B,$A224,'Таблиця 1'!$I:$I,"Mirage"))</f>
        <v/>
      </c>
      <c r="D224">
        <f>IF($A224="","",COUNTIFS('Таблиця 1'!$B:$B,$A224,'Таблиця 1'!$I:$I,"F-16"))</f>
        <v/>
      </c>
      <c r="E224">
        <f>IF($A224="","",COUNTIFS('Таблиця 1'!$B:$B,$A224,'Таблиця 1'!$I:$I,"МіГ-29"))</f>
        <v/>
      </c>
      <c r="F224">
        <f>IF($A224="","",COUNTIFS('Таблиця 1'!$B:$B,$A224,'Таблиця 1'!$I:$I,"Су-25"))</f>
        <v/>
      </c>
      <c r="G224">
        <f>IF($A224="","",COUNTIFS('Таблиця 1'!$B:$B,$A224,'Таблиця 1'!$I:$I,"Су-27"))</f>
        <v/>
      </c>
      <c r="H224">
        <f>IF($A224="","",SUMIFS('Таблиця 1'!$K:$K,'Таблиця 1'!$B:$B,$A224,'Таблиця 1'!$I:$I,"Mirage",'Таблиця 1'!$J:$J,"AGM-88")+SUMIFS('Таблиця 1'!$K:$K,'Таблиця 1'!$B:$B,$A224,'Таблиця 1'!$I:$I,"F-16",'Таблиця 1'!$J:$J,"AGM-88")+SUMIFS('Таблиця 1'!$K:$K,'Таблиця 1'!$B:$B,$A224,'Таблиця 1'!$I:$I,"МіГ-29",'Таблиця 1'!$J:$J,"AGM-88")+SUMIFS('Таблиця 1'!$K:$K,'Таблиця 1'!$B:$B,$A224,'Таблиця 1'!$I:$I,"Су-25",'Таблиця 1'!$J:$J,"AGM-88")+SUMIFS('Таблиця 1'!$K:$K,'Таблиця 1'!$B:$B,$A224,'Таблиця 1'!$I:$I,"Су-27",'Таблиця 1'!$J:$J,"AGM-88"))</f>
        <v/>
      </c>
      <c r="I224">
        <f>IF($A224="","",SUMIFS('Таблиця 1'!$K:$K,'Таблиця 1'!$B:$B,$A224,'Таблиця 1'!$I:$I,"Mirage",'Таблиця 1'!$J:$J,"AASM-250")+SUMIFS('Таблиця 1'!$K:$K,'Таблиця 1'!$B:$B,$A224,'Таблиця 1'!$I:$I,"F-16",'Таблиця 1'!$J:$J,"AASM-250")+SUMIFS('Таблиця 1'!$K:$K,'Таблиця 1'!$B:$B,$A224,'Таблиця 1'!$I:$I,"МіГ-29",'Таблиця 1'!$J:$J,"AASM-250")+SUMIFS('Таблиця 1'!$K:$K,'Таблиця 1'!$B:$B,$A224,'Таблиця 1'!$I:$I,"Су-25",'Таблиця 1'!$J:$J,"AASM-250")+SUMIFS('Таблиця 1'!$K:$K,'Таблиця 1'!$B:$B,$A224,'Таблиця 1'!$I:$I,"Су-27",'Таблиця 1'!$J:$J,"AASM-250"))</f>
        <v/>
      </c>
      <c r="J224">
        <f>IF($A224="","",SUMIFS('Таблиця 1'!$K:$K,'Таблиця 1'!$B:$B,$A224,'Таблиця 1'!$I:$I,"Mirage",'Таблиця 1'!$J:$J,"GBU-39")+SUMIFS('Таблиця 1'!$K:$K,'Таблиця 1'!$B:$B,$A224,'Таблиця 1'!$I:$I,"F-16",'Таблиця 1'!$J:$J,"GBU-39")+SUMIFS('Таблиця 1'!$K:$K,'Таблиця 1'!$B:$B,$A224,'Таблиця 1'!$I:$I,"МіГ-29",'Таблиця 1'!$J:$J,"GBU-39")+SUMIFS('Таблиця 1'!$K:$K,'Таблиця 1'!$B:$B,$A224,'Таблиця 1'!$I:$I,"Су-25",'Таблиця 1'!$J:$J,"GBU-39")+SUMIFS('Таблиця 1'!$K:$K,'Таблиця 1'!$B:$B,$A224,'Таблиця 1'!$I:$I,"Су-27",'Таблиця 1'!$J:$J,"GBU-39"))</f>
        <v/>
      </c>
      <c r="K224">
        <f>IF($A224="","",SUMIFS('Таблиця 1'!$K:$K,'Таблиця 1'!$B:$B,$A224,'Таблиця 1'!$I:$I,"Mirage",'Таблиця 1'!$J:$J,"BLU-140")+SUMIFS('Таблиця 1'!$K:$K,'Таблиця 1'!$B:$B,$A224,'Таблиця 1'!$I:$I,"F-16",'Таблиця 1'!$J:$J,"BLU-140")+SUMIFS('Таблиця 1'!$K:$K,'Таблиця 1'!$B:$B,$A224,'Таблиця 1'!$I:$I,"МіГ-29",'Таблиця 1'!$J:$J,"BLU-140")+SUMIFS('Таблиця 1'!$K:$K,'Таблиця 1'!$B:$B,$A224,'Таблиця 1'!$I:$I,"Су-25",'Таблиця 1'!$J:$J,"BLU-140")+SUMIFS('Таблиця 1'!$K:$K,'Таблиця 1'!$B:$B,$A224,'Таблиця 1'!$I:$I,"Су-27",'Таблиця 1'!$J:$J,"BLU-140"))</f>
        <v/>
      </c>
      <c r="L224">
        <f>IF($A224="","",SUMIFS('Таблиця 1'!$K:$K,'Таблиця 1'!$B:$B,$A224,'Таблиця 1'!$I:$I,"Mirage",'Таблиця 1'!$J:$J,"GBU-65")+SUMIFS('Таблиця 1'!$K:$K,'Таблиця 1'!$B:$B,$A224,'Таблиця 1'!$I:$I,"F-16",'Таблиця 1'!$J:$J,"GBU-65")+SUMIFS('Таблиця 1'!$K:$K,'Таблиця 1'!$B:$B,$A224,'Таблиця 1'!$I:$I,"МіГ-29",'Таблиця 1'!$J:$J,"GBU-65")+SUMIFS('Таблиця 1'!$K:$K,'Таблиця 1'!$B:$B,$A224,'Таблиця 1'!$I:$I,"Су-25",'Таблиця 1'!$J:$J,"GBU-65")+SUMIFS('Таблиця 1'!$K:$K,'Таблиця 1'!$B:$B,$A224,'Таблиця 1'!$I:$I,"Су-27",'Таблиця 1'!$J:$J,"GBU-65"))</f>
        <v/>
      </c>
      <c r="M224">
        <f>IF($A224="","",SUMIFS('Таблиця 1'!$K:$K,'Таблиця 1'!$B:$B,$A224,'Таблиця 1'!$I:$I,"Mirage",'Таблиця 1'!$J:$J,"GBU-62")+SUMIFS('Таблиця 1'!$K:$K,'Таблиця 1'!$B:$B,$A224,'Таблиця 1'!$I:$I,"F-16",'Таблиця 1'!$J:$J,"GBU-62")+SUMIFS('Таблиця 1'!$K:$K,'Таблиця 1'!$B:$B,$A224,'Таблиця 1'!$I:$I,"МіГ-29",'Таблиця 1'!$J:$J,"GBU-62")+SUMIFS('Таблиця 1'!$K:$K,'Таблиця 1'!$B:$B,$A224,'Таблиця 1'!$I:$I,"Су-25",'Таблиця 1'!$J:$J,"GBU-62")+SUMIFS('Таблиця 1'!$K:$K,'Таблиця 1'!$B:$B,$A224,'Таблиця 1'!$I:$I,"Су-27",'Таблиця 1'!$J:$J,"GBU-62"))</f>
        <v/>
      </c>
      <c r="N224">
        <f>IF($A224="","",SUMIFS('Таблиця 1'!$K:$K,'Таблиця 1'!$B:$B,$A224,'Таблиця 1'!$I:$I,"Mirage",'Таблиця 1'!$J:$J,"GBU-64")+SUMIFS('Таблиця 1'!$K:$K,'Таблиця 1'!$B:$B,$A224,'Таблиця 1'!$I:$I,"F-16",'Таблиця 1'!$J:$J,"GBU-64")+SUMIFS('Таблиця 1'!$K:$K,'Таблиця 1'!$B:$B,$A224,'Таблиця 1'!$I:$I,"МіГ-29",'Таблиця 1'!$J:$J,"GBU-64")+SUMIFS('Таблиця 1'!$K:$K,'Таблиця 1'!$B:$B,$A224,'Таблиця 1'!$I:$I,"Су-25",'Таблиця 1'!$J:$J,"GBU-64")+SUMIFS('Таблиця 1'!$K:$K,'Таблиця 1'!$B:$B,$A224,'Таблиця 1'!$I:$I,"Су-27",'Таблиця 1'!$J:$J,"GBU-64"))</f>
        <v/>
      </c>
      <c r="O224">
        <f>IF($A224="","",SUMIFS('Таблиця 1'!$K:$K,'Таблиця 1'!$B:$B,$A224,'Таблиця 1'!$I:$I,"Mirage",'Таблиця 1'!$J:$J,"C-13")+SUMIFS('Таблиця 1'!$K:$K,'Таблиця 1'!$B:$B,$A224,'Таблиця 1'!$I:$I,"F-16",'Таблиця 1'!$J:$J,"C-13")+SUMIFS('Таблиця 1'!$K:$K,'Таблиця 1'!$B:$B,$A224,'Таблиця 1'!$I:$I,"МіГ-29",'Таблиця 1'!$J:$J,"C-13")+SUMIFS('Таблиця 1'!$K:$K,'Таблиця 1'!$B:$B,$A224,'Таблиця 1'!$I:$I,"Су-25",'Таблиця 1'!$J:$J,"C-13")+SUMIFS('Таблиця 1'!$K:$K,'Таблиця 1'!$B:$B,$A224,'Таблиця 1'!$I:$I,"Су-27",'Таблиця 1'!$J:$J,"C-13"))</f>
        <v/>
      </c>
      <c r="P224">
        <f>IF($A224="","",SUMIFS('Таблиця 1'!$K:$K,'Таблиця 1'!$B:$B,$A224,'Таблиця 1'!$I:$I,"Mirage",'Таблиця 1'!$J:$J,"MK-32")+SUMIFS('Таблиця 1'!$K:$K,'Таблиця 1'!$B:$B,$A224,'Таблиця 1'!$I:$I,"F-16",'Таблиця 1'!$J:$J,"MK-32")+SUMIFS('Таблиця 1'!$K:$K,'Таблиця 1'!$B:$B,$A224,'Таблиця 1'!$I:$I,"МіГ-29",'Таблиця 1'!$J:$J,"MK-32")+SUMIFS('Таблиця 1'!$K:$K,'Таблиця 1'!$B:$B,$A224,'Таблиця 1'!$I:$I,"Су-25",'Таблиця 1'!$J:$J,"MK-32")+SUMIFS('Таблиця 1'!$K:$K,'Таблиця 1'!$B:$B,$A224,'Таблиця 1'!$I:$I,"Су-27",'Таблиця 1'!$J:$J,"MK-32"))</f>
        <v/>
      </c>
      <c r="Q224">
        <f>IF($A224="","",SUMIFS('Таблиця 1'!$K:$K,'Таблиця 1'!$B:$B,$A224,'Таблиця 1'!$I:$I,"Mirage",'Таблиця 1'!$J:$J,"MK-24")+SUMIFS('Таблиця 1'!$K:$K,'Таблиця 1'!$B:$B,$A224,'Таблиця 1'!$I:$I,"F-16",'Таблиця 1'!$J:$J,"MK-24")+SUMIFS('Таблиця 1'!$K:$K,'Таблиця 1'!$B:$B,$A224,'Таблиця 1'!$I:$I,"МіГ-29",'Таблиця 1'!$J:$J,"MK-24")+SUMIFS('Таблиця 1'!$K:$K,'Таблиця 1'!$B:$B,$A224,'Таблиця 1'!$I:$I,"Су-25",'Таблиця 1'!$J:$J,"MK-24")+SUMIFS('Таблиця 1'!$K:$K,'Таблиця 1'!$B:$B,$A224,'Таблиця 1'!$I:$I,"Су-27",'Таблиця 1'!$J:$J,"MK-24"))</f>
        <v/>
      </c>
      <c r="R224">
        <f>IF($A224="","",COUNTIFS('Таблиця 1'!$B:$B,$A224,'Таблиця 1'!$I:$I,"Mirage",'Таблиця 1'!$L:$L,"Уражено")+COUNTIFS('Таблиця 1'!$B:$B,$A224,'Таблиця 1'!$I:$I,"F-16",'Таблиця 1'!$L:$L,"Уражено")+COUNTIFS('Таблиця 1'!$B:$B,$A224,'Таблиця 1'!$I:$I,"МіГ-29",'Таблиця 1'!$L:$L,"Уражено")+COUNTIFS('Таблиця 1'!$B:$B,$A224,'Таблиця 1'!$I:$I,"Су-25",'Таблиця 1'!$L:$L,"Уражено")+COUNTIFS('Таблиця 1'!$B:$B,$A224,'Таблиця 1'!$I:$I,"Су-27",'Таблиця 1'!$L:$L,"Уражено"))</f>
        <v/>
      </c>
      <c r="S224">
        <f>IF($A224="","",COUNTIFS('Таблиця 1'!$B:$B,$A224,'Таблиця 1'!$I:$I,"Mirage",'Таблиця 1'!$L:$L,"НЕ уражено")+COUNTIFS('Таблиця 1'!$B:$B,$A224,'Таблиця 1'!$I:$I,"F-16",'Таблиця 1'!$L:$L,"НЕ уражено")+COUNTIFS('Таблиця 1'!$B:$B,$A224,'Таблиця 1'!$I:$I,"МіГ-29",'Таблиця 1'!$L:$L,"НЕ уражено")+COUNTIFS('Таблиця 1'!$B:$B,$A224,'Таблиця 1'!$I:$I,"Су-25",'Таблиця 1'!$L:$L,"НЕ уражено")+COUNTIFS('Таблиця 1'!$B:$B,$A224,'Таблиця 1'!$I:$I,"Су-27",'Таблиця 1'!$L:$L,"НЕ уражено"))</f>
        <v/>
      </c>
      <c r="T224">
        <f>IF($A224="","",COUNTIFS('Таблиця 1'!$B:$B,$A224,'Таблиця 1'!$I:$I,"Mirage",'Таблиця 1'!$L:$L,"Дорозвідується")+COUNTIFS('Таблиця 1'!$B:$B,$A224,'Таблиця 1'!$I:$I,"F-16",'Таблиця 1'!$L:$L,"Дорозвідується")+COUNTIFS('Таблиця 1'!$B:$B,$A224,'Таблиця 1'!$I:$I,"МіГ-29",'Таблиця 1'!$L:$L,"Дорозвідується")+COUNTIFS('Таблиця 1'!$B:$B,$A224,'Таблиця 1'!$I:$I,"Су-25",'Таблиця 1'!$L:$L,"Дорозвідується")+COUNTIFS('Таблиця 1'!$B:$B,$A224,'Таблиця 1'!$I:$I,"Су-27",'Таблиця 1'!$L:$L,"Дорозвідується"))</f>
        <v/>
      </c>
    </row>
    <row r="225">
      <c r="A225" s="273">
        <f>IF(A224="","",IF(A224+1&gt;MAX('Таблиця 1'!$B:$B),"",A224+1))</f>
        <v/>
      </c>
      <c r="B225">
        <f>IF($A225="","",COUNTIFS('Таблиця 1'!$B:$B,$A225,'Таблиця 1'!$I:$I,"Mirage")+COUNTIFS('Таблиця 1'!$B:$B,$A225,'Таблиця 1'!$I:$I,"F-16")+COUNTIFS('Таблиця 1'!$B:$B,$A225,'Таблиця 1'!$I:$I,"МіГ-29")+COUNTIFS('Таблиця 1'!$B:$B,$A225,'Таблиця 1'!$I:$I,"Су-25")+COUNTIFS('Таблиця 1'!$B:$B,$A225,'Таблиця 1'!$I:$I,"Су-27"))</f>
        <v/>
      </c>
      <c r="C225">
        <f>IF($A225="","",COUNTIFS('Таблиця 1'!$B:$B,$A225,'Таблиця 1'!$I:$I,"Mirage"))</f>
        <v/>
      </c>
      <c r="D225">
        <f>IF($A225="","",COUNTIFS('Таблиця 1'!$B:$B,$A225,'Таблиця 1'!$I:$I,"F-16"))</f>
        <v/>
      </c>
      <c r="E225">
        <f>IF($A225="","",COUNTIFS('Таблиця 1'!$B:$B,$A225,'Таблиця 1'!$I:$I,"МіГ-29"))</f>
        <v/>
      </c>
      <c r="F225">
        <f>IF($A225="","",COUNTIFS('Таблиця 1'!$B:$B,$A225,'Таблиця 1'!$I:$I,"Су-25"))</f>
        <v/>
      </c>
      <c r="G225">
        <f>IF($A225="","",COUNTIFS('Таблиця 1'!$B:$B,$A225,'Таблиця 1'!$I:$I,"Су-27"))</f>
        <v/>
      </c>
      <c r="H225">
        <f>IF($A225="","",SUMIFS('Таблиця 1'!$K:$K,'Таблиця 1'!$B:$B,$A225,'Таблиця 1'!$I:$I,"Mirage",'Таблиця 1'!$J:$J,"AGM-88")+SUMIFS('Таблиця 1'!$K:$K,'Таблиця 1'!$B:$B,$A225,'Таблиця 1'!$I:$I,"F-16",'Таблиця 1'!$J:$J,"AGM-88")+SUMIFS('Таблиця 1'!$K:$K,'Таблиця 1'!$B:$B,$A225,'Таблиця 1'!$I:$I,"МіГ-29",'Таблиця 1'!$J:$J,"AGM-88")+SUMIFS('Таблиця 1'!$K:$K,'Таблиця 1'!$B:$B,$A225,'Таблиця 1'!$I:$I,"Су-25",'Таблиця 1'!$J:$J,"AGM-88")+SUMIFS('Таблиця 1'!$K:$K,'Таблиця 1'!$B:$B,$A225,'Таблиця 1'!$I:$I,"Су-27",'Таблиця 1'!$J:$J,"AGM-88"))</f>
        <v/>
      </c>
      <c r="I225">
        <f>IF($A225="","",SUMIFS('Таблиця 1'!$K:$K,'Таблиця 1'!$B:$B,$A225,'Таблиця 1'!$I:$I,"Mirage",'Таблиця 1'!$J:$J,"AASM-250")+SUMIFS('Таблиця 1'!$K:$K,'Таблиця 1'!$B:$B,$A225,'Таблиця 1'!$I:$I,"F-16",'Таблиця 1'!$J:$J,"AASM-250")+SUMIFS('Таблиця 1'!$K:$K,'Таблиця 1'!$B:$B,$A225,'Таблиця 1'!$I:$I,"МіГ-29",'Таблиця 1'!$J:$J,"AASM-250")+SUMIFS('Таблиця 1'!$K:$K,'Таблиця 1'!$B:$B,$A225,'Таблиця 1'!$I:$I,"Су-25",'Таблиця 1'!$J:$J,"AASM-250")+SUMIFS('Таблиця 1'!$K:$K,'Таблиця 1'!$B:$B,$A225,'Таблиця 1'!$I:$I,"Су-27",'Таблиця 1'!$J:$J,"AASM-250"))</f>
        <v/>
      </c>
      <c r="J225">
        <f>IF($A225="","",SUMIFS('Таблиця 1'!$K:$K,'Таблиця 1'!$B:$B,$A225,'Таблиця 1'!$I:$I,"Mirage",'Таблиця 1'!$J:$J,"GBU-39")+SUMIFS('Таблиця 1'!$K:$K,'Таблиця 1'!$B:$B,$A225,'Таблиця 1'!$I:$I,"F-16",'Таблиця 1'!$J:$J,"GBU-39")+SUMIFS('Таблиця 1'!$K:$K,'Таблиця 1'!$B:$B,$A225,'Таблиця 1'!$I:$I,"МіГ-29",'Таблиця 1'!$J:$J,"GBU-39")+SUMIFS('Таблиця 1'!$K:$K,'Таблиця 1'!$B:$B,$A225,'Таблиця 1'!$I:$I,"Су-25",'Таблиця 1'!$J:$J,"GBU-39")+SUMIFS('Таблиця 1'!$K:$K,'Таблиця 1'!$B:$B,$A225,'Таблиця 1'!$I:$I,"Су-27",'Таблиця 1'!$J:$J,"GBU-39"))</f>
        <v/>
      </c>
      <c r="K225">
        <f>IF($A225="","",SUMIFS('Таблиця 1'!$K:$K,'Таблиця 1'!$B:$B,$A225,'Таблиця 1'!$I:$I,"Mirage",'Таблиця 1'!$J:$J,"BLU-140")+SUMIFS('Таблиця 1'!$K:$K,'Таблиця 1'!$B:$B,$A225,'Таблиця 1'!$I:$I,"F-16",'Таблиця 1'!$J:$J,"BLU-140")+SUMIFS('Таблиця 1'!$K:$K,'Таблиця 1'!$B:$B,$A225,'Таблиця 1'!$I:$I,"МіГ-29",'Таблиця 1'!$J:$J,"BLU-140")+SUMIFS('Таблиця 1'!$K:$K,'Таблиця 1'!$B:$B,$A225,'Таблиця 1'!$I:$I,"Су-25",'Таблиця 1'!$J:$J,"BLU-140")+SUMIFS('Таблиця 1'!$K:$K,'Таблиця 1'!$B:$B,$A225,'Таблиця 1'!$I:$I,"Су-27",'Таблиця 1'!$J:$J,"BLU-140"))</f>
        <v/>
      </c>
      <c r="L225">
        <f>IF($A225="","",SUMIFS('Таблиця 1'!$K:$K,'Таблиця 1'!$B:$B,$A225,'Таблиця 1'!$I:$I,"Mirage",'Таблиця 1'!$J:$J,"GBU-65")+SUMIFS('Таблиця 1'!$K:$K,'Таблиця 1'!$B:$B,$A225,'Таблиця 1'!$I:$I,"F-16",'Таблиця 1'!$J:$J,"GBU-65")+SUMIFS('Таблиця 1'!$K:$K,'Таблиця 1'!$B:$B,$A225,'Таблиця 1'!$I:$I,"МіГ-29",'Таблиця 1'!$J:$J,"GBU-65")+SUMIFS('Таблиця 1'!$K:$K,'Таблиця 1'!$B:$B,$A225,'Таблиця 1'!$I:$I,"Су-25",'Таблиця 1'!$J:$J,"GBU-65")+SUMIFS('Таблиця 1'!$K:$K,'Таблиця 1'!$B:$B,$A225,'Таблиця 1'!$I:$I,"Су-27",'Таблиця 1'!$J:$J,"GBU-65"))</f>
        <v/>
      </c>
      <c r="M225">
        <f>IF($A225="","",SUMIFS('Таблиця 1'!$K:$K,'Таблиця 1'!$B:$B,$A225,'Таблиця 1'!$I:$I,"Mirage",'Таблиця 1'!$J:$J,"GBU-62")+SUMIFS('Таблиця 1'!$K:$K,'Таблиця 1'!$B:$B,$A225,'Таблиця 1'!$I:$I,"F-16",'Таблиця 1'!$J:$J,"GBU-62")+SUMIFS('Таблиця 1'!$K:$K,'Таблиця 1'!$B:$B,$A225,'Таблиця 1'!$I:$I,"МіГ-29",'Таблиця 1'!$J:$J,"GBU-62")+SUMIFS('Таблиця 1'!$K:$K,'Таблиця 1'!$B:$B,$A225,'Таблиця 1'!$I:$I,"Су-25",'Таблиця 1'!$J:$J,"GBU-62")+SUMIFS('Таблиця 1'!$K:$K,'Таблиця 1'!$B:$B,$A225,'Таблиця 1'!$I:$I,"Су-27",'Таблиця 1'!$J:$J,"GBU-62"))</f>
        <v/>
      </c>
      <c r="N225">
        <f>IF($A225="","",SUMIFS('Таблиця 1'!$K:$K,'Таблиця 1'!$B:$B,$A225,'Таблиця 1'!$I:$I,"Mirage",'Таблиця 1'!$J:$J,"GBU-64")+SUMIFS('Таблиця 1'!$K:$K,'Таблиця 1'!$B:$B,$A225,'Таблиця 1'!$I:$I,"F-16",'Таблиця 1'!$J:$J,"GBU-64")+SUMIFS('Таблиця 1'!$K:$K,'Таблиця 1'!$B:$B,$A225,'Таблиця 1'!$I:$I,"МіГ-29",'Таблиця 1'!$J:$J,"GBU-64")+SUMIFS('Таблиця 1'!$K:$K,'Таблиця 1'!$B:$B,$A225,'Таблиця 1'!$I:$I,"Су-25",'Таблиця 1'!$J:$J,"GBU-64")+SUMIFS('Таблиця 1'!$K:$K,'Таблиця 1'!$B:$B,$A225,'Таблиця 1'!$I:$I,"Су-27",'Таблиця 1'!$J:$J,"GBU-64"))</f>
        <v/>
      </c>
      <c r="O225">
        <f>IF($A225="","",SUMIFS('Таблиця 1'!$K:$K,'Таблиця 1'!$B:$B,$A225,'Таблиця 1'!$I:$I,"Mirage",'Таблиця 1'!$J:$J,"C-13")+SUMIFS('Таблиця 1'!$K:$K,'Таблиця 1'!$B:$B,$A225,'Таблиця 1'!$I:$I,"F-16",'Таблиця 1'!$J:$J,"C-13")+SUMIFS('Таблиця 1'!$K:$K,'Таблиця 1'!$B:$B,$A225,'Таблиця 1'!$I:$I,"МіГ-29",'Таблиця 1'!$J:$J,"C-13")+SUMIFS('Таблиця 1'!$K:$K,'Таблиця 1'!$B:$B,$A225,'Таблиця 1'!$I:$I,"Су-25",'Таблиця 1'!$J:$J,"C-13")+SUMIFS('Таблиця 1'!$K:$K,'Таблиця 1'!$B:$B,$A225,'Таблиця 1'!$I:$I,"Су-27",'Таблиця 1'!$J:$J,"C-13"))</f>
        <v/>
      </c>
      <c r="P225">
        <f>IF($A225="","",SUMIFS('Таблиця 1'!$K:$K,'Таблиця 1'!$B:$B,$A225,'Таблиця 1'!$I:$I,"Mirage",'Таблиця 1'!$J:$J,"MK-32")+SUMIFS('Таблиця 1'!$K:$K,'Таблиця 1'!$B:$B,$A225,'Таблиця 1'!$I:$I,"F-16",'Таблиця 1'!$J:$J,"MK-32")+SUMIFS('Таблиця 1'!$K:$K,'Таблиця 1'!$B:$B,$A225,'Таблиця 1'!$I:$I,"МіГ-29",'Таблиця 1'!$J:$J,"MK-32")+SUMIFS('Таблиця 1'!$K:$K,'Таблиця 1'!$B:$B,$A225,'Таблиця 1'!$I:$I,"Су-25",'Таблиця 1'!$J:$J,"MK-32")+SUMIFS('Таблиця 1'!$K:$K,'Таблиця 1'!$B:$B,$A225,'Таблиця 1'!$I:$I,"Су-27",'Таблиця 1'!$J:$J,"MK-32"))</f>
        <v/>
      </c>
      <c r="Q225">
        <f>IF($A225="","",SUMIFS('Таблиця 1'!$K:$K,'Таблиця 1'!$B:$B,$A225,'Таблиця 1'!$I:$I,"Mirage",'Таблиця 1'!$J:$J,"MK-24")+SUMIFS('Таблиця 1'!$K:$K,'Таблиця 1'!$B:$B,$A225,'Таблиця 1'!$I:$I,"F-16",'Таблиця 1'!$J:$J,"MK-24")+SUMIFS('Таблиця 1'!$K:$K,'Таблиця 1'!$B:$B,$A225,'Таблиця 1'!$I:$I,"МіГ-29",'Таблиця 1'!$J:$J,"MK-24")+SUMIFS('Таблиця 1'!$K:$K,'Таблиця 1'!$B:$B,$A225,'Таблиця 1'!$I:$I,"Су-25",'Таблиця 1'!$J:$J,"MK-24")+SUMIFS('Таблиця 1'!$K:$K,'Таблиця 1'!$B:$B,$A225,'Таблиця 1'!$I:$I,"Су-27",'Таблиця 1'!$J:$J,"MK-24"))</f>
        <v/>
      </c>
      <c r="R225">
        <f>IF($A225="","",COUNTIFS('Таблиця 1'!$B:$B,$A225,'Таблиця 1'!$I:$I,"Mirage",'Таблиця 1'!$L:$L,"Уражено")+COUNTIFS('Таблиця 1'!$B:$B,$A225,'Таблиця 1'!$I:$I,"F-16",'Таблиця 1'!$L:$L,"Уражено")+COUNTIFS('Таблиця 1'!$B:$B,$A225,'Таблиця 1'!$I:$I,"МіГ-29",'Таблиця 1'!$L:$L,"Уражено")+COUNTIFS('Таблиця 1'!$B:$B,$A225,'Таблиця 1'!$I:$I,"Су-25",'Таблиця 1'!$L:$L,"Уражено")+COUNTIFS('Таблиця 1'!$B:$B,$A225,'Таблиця 1'!$I:$I,"Су-27",'Таблиця 1'!$L:$L,"Уражено"))</f>
        <v/>
      </c>
      <c r="S225">
        <f>IF($A225="","",COUNTIFS('Таблиця 1'!$B:$B,$A225,'Таблиця 1'!$I:$I,"Mirage",'Таблиця 1'!$L:$L,"НЕ уражено")+COUNTIFS('Таблиця 1'!$B:$B,$A225,'Таблиця 1'!$I:$I,"F-16",'Таблиця 1'!$L:$L,"НЕ уражено")+COUNTIFS('Таблиця 1'!$B:$B,$A225,'Таблиця 1'!$I:$I,"МіГ-29",'Таблиця 1'!$L:$L,"НЕ уражено")+COUNTIFS('Таблиця 1'!$B:$B,$A225,'Таблиця 1'!$I:$I,"Су-25",'Таблиця 1'!$L:$L,"НЕ уражено")+COUNTIFS('Таблиця 1'!$B:$B,$A225,'Таблиця 1'!$I:$I,"Су-27",'Таблиця 1'!$L:$L,"НЕ уражено"))</f>
        <v/>
      </c>
      <c r="T225">
        <f>IF($A225="","",COUNTIFS('Таблиця 1'!$B:$B,$A225,'Таблиця 1'!$I:$I,"Mirage",'Таблиця 1'!$L:$L,"Дорозвідується")+COUNTIFS('Таблиця 1'!$B:$B,$A225,'Таблиця 1'!$I:$I,"F-16",'Таблиця 1'!$L:$L,"Дорозвідується")+COUNTIFS('Таблиця 1'!$B:$B,$A225,'Таблиця 1'!$I:$I,"МіГ-29",'Таблиця 1'!$L:$L,"Дорозвідується")+COUNTIFS('Таблиця 1'!$B:$B,$A225,'Таблиця 1'!$I:$I,"Су-25",'Таблиця 1'!$L:$L,"Дорозвідується")+COUNTIFS('Таблиця 1'!$B:$B,$A225,'Таблиця 1'!$I:$I,"Су-27",'Таблиця 1'!$L:$L,"Дорозвідується"))</f>
        <v/>
      </c>
    </row>
    <row r="226">
      <c r="A226" s="273">
        <f>IF(A225="","",IF(A225+1&gt;MAX('Таблиця 1'!$B:$B),"",A225+1))</f>
        <v/>
      </c>
      <c r="B226">
        <f>IF($A226="","",COUNTIFS('Таблиця 1'!$B:$B,$A226,'Таблиця 1'!$I:$I,"Mirage")+COUNTIFS('Таблиця 1'!$B:$B,$A226,'Таблиця 1'!$I:$I,"F-16")+COUNTIFS('Таблиця 1'!$B:$B,$A226,'Таблиця 1'!$I:$I,"МіГ-29")+COUNTIFS('Таблиця 1'!$B:$B,$A226,'Таблиця 1'!$I:$I,"Су-25")+COUNTIFS('Таблиця 1'!$B:$B,$A226,'Таблиця 1'!$I:$I,"Су-27"))</f>
        <v/>
      </c>
      <c r="C226">
        <f>IF($A226="","",COUNTIFS('Таблиця 1'!$B:$B,$A226,'Таблиця 1'!$I:$I,"Mirage"))</f>
        <v/>
      </c>
      <c r="D226">
        <f>IF($A226="","",COUNTIFS('Таблиця 1'!$B:$B,$A226,'Таблиця 1'!$I:$I,"F-16"))</f>
        <v/>
      </c>
      <c r="E226">
        <f>IF($A226="","",COUNTIFS('Таблиця 1'!$B:$B,$A226,'Таблиця 1'!$I:$I,"МіГ-29"))</f>
        <v/>
      </c>
      <c r="F226">
        <f>IF($A226="","",COUNTIFS('Таблиця 1'!$B:$B,$A226,'Таблиця 1'!$I:$I,"Су-25"))</f>
        <v/>
      </c>
      <c r="G226">
        <f>IF($A226="","",COUNTIFS('Таблиця 1'!$B:$B,$A226,'Таблиця 1'!$I:$I,"Су-27"))</f>
        <v/>
      </c>
      <c r="H226">
        <f>IF($A226="","",SUMIFS('Таблиця 1'!$K:$K,'Таблиця 1'!$B:$B,$A226,'Таблиця 1'!$I:$I,"Mirage",'Таблиця 1'!$J:$J,"AGM-88")+SUMIFS('Таблиця 1'!$K:$K,'Таблиця 1'!$B:$B,$A226,'Таблиця 1'!$I:$I,"F-16",'Таблиця 1'!$J:$J,"AGM-88")+SUMIFS('Таблиця 1'!$K:$K,'Таблиця 1'!$B:$B,$A226,'Таблиця 1'!$I:$I,"МіГ-29",'Таблиця 1'!$J:$J,"AGM-88")+SUMIFS('Таблиця 1'!$K:$K,'Таблиця 1'!$B:$B,$A226,'Таблиця 1'!$I:$I,"Су-25",'Таблиця 1'!$J:$J,"AGM-88")+SUMIFS('Таблиця 1'!$K:$K,'Таблиця 1'!$B:$B,$A226,'Таблиця 1'!$I:$I,"Су-27",'Таблиця 1'!$J:$J,"AGM-88"))</f>
        <v/>
      </c>
      <c r="I226">
        <f>IF($A226="","",SUMIFS('Таблиця 1'!$K:$K,'Таблиця 1'!$B:$B,$A226,'Таблиця 1'!$I:$I,"Mirage",'Таблиця 1'!$J:$J,"AASM-250")+SUMIFS('Таблиця 1'!$K:$K,'Таблиця 1'!$B:$B,$A226,'Таблиця 1'!$I:$I,"F-16",'Таблиця 1'!$J:$J,"AASM-250")+SUMIFS('Таблиця 1'!$K:$K,'Таблиця 1'!$B:$B,$A226,'Таблиця 1'!$I:$I,"МіГ-29",'Таблиця 1'!$J:$J,"AASM-250")+SUMIFS('Таблиця 1'!$K:$K,'Таблиця 1'!$B:$B,$A226,'Таблиця 1'!$I:$I,"Су-25",'Таблиця 1'!$J:$J,"AASM-250")+SUMIFS('Таблиця 1'!$K:$K,'Таблиця 1'!$B:$B,$A226,'Таблиця 1'!$I:$I,"Су-27",'Таблиця 1'!$J:$J,"AASM-250"))</f>
        <v/>
      </c>
      <c r="J226">
        <f>IF($A226="","",SUMIFS('Таблиця 1'!$K:$K,'Таблиця 1'!$B:$B,$A226,'Таблиця 1'!$I:$I,"Mirage",'Таблиця 1'!$J:$J,"GBU-39")+SUMIFS('Таблиця 1'!$K:$K,'Таблиця 1'!$B:$B,$A226,'Таблиця 1'!$I:$I,"F-16",'Таблиця 1'!$J:$J,"GBU-39")+SUMIFS('Таблиця 1'!$K:$K,'Таблиця 1'!$B:$B,$A226,'Таблиця 1'!$I:$I,"МіГ-29",'Таблиця 1'!$J:$J,"GBU-39")+SUMIFS('Таблиця 1'!$K:$K,'Таблиця 1'!$B:$B,$A226,'Таблиця 1'!$I:$I,"Су-25",'Таблиця 1'!$J:$J,"GBU-39")+SUMIFS('Таблиця 1'!$K:$K,'Таблиця 1'!$B:$B,$A226,'Таблиця 1'!$I:$I,"Су-27",'Таблиця 1'!$J:$J,"GBU-39"))</f>
        <v/>
      </c>
      <c r="K226">
        <f>IF($A226="","",SUMIFS('Таблиця 1'!$K:$K,'Таблиця 1'!$B:$B,$A226,'Таблиця 1'!$I:$I,"Mirage",'Таблиця 1'!$J:$J,"BLU-140")+SUMIFS('Таблиця 1'!$K:$K,'Таблиця 1'!$B:$B,$A226,'Таблиця 1'!$I:$I,"F-16",'Таблиця 1'!$J:$J,"BLU-140")+SUMIFS('Таблиця 1'!$K:$K,'Таблиця 1'!$B:$B,$A226,'Таблиця 1'!$I:$I,"МіГ-29",'Таблиця 1'!$J:$J,"BLU-140")+SUMIFS('Таблиця 1'!$K:$K,'Таблиця 1'!$B:$B,$A226,'Таблиця 1'!$I:$I,"Су-25",'Таблиця 1'!$J:$J,"BLU-140")+SUMIFS('Таблиця 1'!$K:$K,'Таблиця 1'!$B:$B,$A226,'Таблиця 1'!$I:$I,"Су-27",'Таблиця 1'!$J:$J,"BLU-140"))</f>
        <v/>
      </c>
      <c r="L226">
        <f>IF($A226="","",SUMIFS('Таблиця 1'!$K:$K,'Таблиця 1'!$B:$B,$A226,'Таблиця 1'!$I:$I,"Mirage",'Таблиця 1'!$J:$J,"GBU-65")+SUMIFS('Таблиця 1'!$K:$K,'Таблиця 1'!$B:$B,$A226,'Таблиця 1'!$I:$I,"F-16",'Таблиця 1'!$J:$J,"GBU-65")+SUMIFS('Таблиця 1'!$K:$K,'Таблиця 1'!$B:$B,$A226,'Таблиця 1'!$I:$I,"МіГ-29",'Таблиця 1'!$J:$J,"GBU-65")+SUMIFS('Таблиця 1'!$K:$K,'Таблиця 1'!$B:$B,$A226,'Таблиця 1'!$I:$I,"Су-25",'Таблиця 1'!$J:$J,"GBU-65")+SUMIFS('Таблиця 1'!$K:$K,'Таблиця 1'!$B:$B,$A226,'Таблиця 1'!$I:$I,"Су-27",'Таблиця 1'!$J:$J,"GBU-65"))</f>
        <v/>
      </c>
      <c r="M226">
        <f>IF($A226="","",SUMIFS('Таблиця 1'!$K:$K,'Таблиця 1'!$B:$B,$A226,'Таблиця 1'!$I:$I,"Mirage",'Таблиця 1'!$J:$J,"GBU-62")+SUMIFS('Таблиця 1'!$K:$K,'Таблиця 1'!$B:$B,$A226,'Таблиця 1'!$I:$I,"F-16",'Таблиця 1'!$J:$J,"GBU-62")+SUMIFS('Таблиця 1'!$K:$K,'Таблиця 1'!$B:$B,$A226,'Таблиця 1'!$I:$I,"МіГ-29",'Таблиця 1'!$J:$J,"GBU-62")+SUMIFS('Таблиця 1'!$K:$K,'Таблиця 1'!$B:$B,$A226,'Таблиця 1'!$I:$I,"Су-25",'Таблиця 1'!$J:$J,"GBU-62")+SUMIFS('Таблиця 1'!$K:$K,'Таблиця 1'!$B:$B,$A226,'Таблиця 1'!$I:$I,"Су-27",'Таблиця 1'!$J:$J,"GBU-62"))</f>
        <v/>
      </c>
      <c r="N226">
        <f>IF($A226="","",SUMIFS('Таблиця 1'!$K:$K,'Таблиця 1'!$B:$B,$A226,'Таблиця 1'!$I:$I,"Mirage",'Таблиця 1'!$J:$J,"GBU-64")+SUMIFS('Таблиця 1'!$K:$K,'Таблиця 1'!$B:$B,$A226,'Таблиця 1'!$I:$I,"F-16",'Таблиця 1'!$J:$J,"GBU-64")+SUMIFS('Таблиця 1'!$K:$K,'Таблиця 1'!$B:$B,$A226,'Таблиця 1'!$I:$I,"МіГ-29",'Таблиця 1'!$J:$J,"GBU-64")+SUMIFS('Таблиця 1'!$K:$K,'Таблиця 1'!$B:$B,$A226,'Таблиця 1'!$I:$I,"Су-25",'Таблиця 1'!$J:$J,"GBU-64")+SUMIFS('Таблиця 1'!$K:$K,'Таблиця 1'!$B:$B,$A226,'Таблиця 1'!$I:$I,"Су-27",'Таблиця 1'!$J:$J,"GBU-64"))</f>
        <v/>
      </c>
      <c r="O226">
        <f>IF($A226="","",SUMIFS('Таблиця 1'!$K:$K,'Таблиця 1'!$B:$B,$A226,'Таблиця 1'!$I:$I,"Mirage",'Таблиця 1'!$J:$J,"C-13")+SUMIFS('Таблиця 1'!$K:$K,'Таблиця 1'!$B:$B,$A226,'Таблиця 1'!$I:$I,"F-16",'Таблиця 1'!$J:$J,"C-13")+SUMIFS('Таблиця 1'!$K:$K,'Таблиця 1'!$B:$B,$A226,'Таблиця 1'!$I:$I,"МіГ-29",'Таблиця 1'!$J:$J,"C-13")+SUMIFS('Таблиця 1'!$K:$K,'Таблиця 1'!$B:$B,$A226,'Таблиця 1'!$I:$I,"Су-25",'Таблиця 1'!$J:$J,"C-13")+SUMIFS('Таблиця 1'!$K:$K,'Таблиця 1'!$B:$B,$A226,'Таблиця 1'!$I:$I,"Су-27",'Таблиця 1'!$J:$J,"C-13"))</f>
        <v/>
      </c>
      <c r="P226">
        <f>IF($A226="","",SUMIFS('Таблиця 1'!$K:$K,'Таблиця 1'!$B:$B,$A226,'Таблиця 1'!$I:$I,"Mirage",'Таблиця 1'!$J:$J,"MK-32")+SUMIFS('Таблиця 1'!$K:$K,'Таблиця 1'!$B:$B,$A226,'Таблиця 1'!$I:$I,"F-16",'Таблиця 1'!$J:$J,"MK-32")+SUMIFS('Таблиця 1'!$K:$K,'Таблиця 1'!$B:$B,$A226,'Таблиця 1'!$I:$I,"МіГ-29",'Таблиця 1'!$J:$J,"MK-32")+SUMIFS('Таблиця 1'!$K:$K,'Таблиця 1'!$B:$B,$A226,'Таблиця 1'!$I:$I,"Су-25",'Таблиця 1'!$J:$J,"MK-32")+SUMIFS('Таблиця 1'!$K:$K,'Таблиця 1'!$B:$B,$A226,'Таблиця 1'!$I:$I,"Су-27",'Таблиця 1'!$J:$J,"MK-32"))</f>
        <v/>
      </c>
      <c r="Q226">
        <f>IF($A226="","",SUMIFS('Таблиця 1'!$K:$K,'Таблиця 1'!$B:$B,$A226,'Таблиця 1'!$I:$I,"Mirage",'Таблиця 1'!$J:$J,"MK-24")+SUMIFS('Таблиця 1'!$K:$K,'Таблиця 1'!$B:$B,$A226,'Таблиця 1'!$I:$I,"F-16",'Таблиця 1'!$J:$J,"MK-24")+SUMIFS('Таблиця 1'!$K:$K,'Таблиця 1'!$B:$B,$A226,'Таблиця 1'!$I:$I,"МіГ-29",'Таблиця 1'!$J:$J,"MK-24")+SUMIFS('Таблиця 1'!$K:$K,'Таблиця 1'!$B:$B,$A226,'Таблиця 1'!$I:$I,"Су-25",'Таблиця 1'!$J:$J,"MK-24")+SUMIFS('Таблиця 1'!$K:$K,'Таблиця 1'!$B:$B,$A226,'Таблиця 1'!$I:$I,"Су-27",'Таблиця 1'!$J:$J,"MK-24"))</f>
        <v/>
      </c>
      <c r="R226">
        <f>IF($A226="","",COUNTIFS('Таблиця 1'!$B:$B,$A226,'Таблиця 1'!$I:$I,"Mirage",'Таблиця 1'!$L:$L,"Уражено")+COUNTIFS('Таблиця 1'!$B:$B,$A226,'Таблиця 1'!$I:$I,"F-16",'Таблиця 1'!$L:$L,"Уражено")+COUNTIFS('Таблиця 1'!$B:$B,$A226,'Таблиця 1'!$I:$I,"МіГ-29",'Таблиця 1'!$L:$L,"Уражено")+COUNTIFS('Таблиця 1'!$B:$B,$A226,'Таблиця 1'!$I:$I,"Су-25",'Таблиця 1'!$L:$L,"Уражено")+COUNTIFS('Таблиця 1'!$B:$B,$A226,'Таблиця 1'!$I:$I,"Су-27",'Таблиця 1'!$L:$L,"Уражено"))</f>
        <v/>
      </c>
      <c r="S226">
        <f>IF($A226="","",COUNTIFS('Таблиця 1'!$B:$B,$A226,'Таблиця 1'!$I:$I,"Mirage",'Таблиця 1'!$L:$L,"НЕ уражено")+COUNTIFS('Таблиця 1'!$B:$B,$A226,'Таблиця 1'!$I:$I,"F-16",'Таблиця 1'!$L:$L,"НЕ уражено")+COUNTIFS('Таблиця 1'!$B:$B,$A226,'Таблиця 1'!$I:$I,"МіГ-29",'Таблиця 1'!$L:$L,"НЕ уражено")+COUNTIFS('Таблиця 1'!$B:$B,$A226,'Таблиця 1'!$I:$I,"Су-25",'Таблиця 1'!$L:$L,"НЕ уражено")+COUNTIFS('Таблиця 1'!$B:$B,$A226,'Таблиця 1'!$I:$I,"Су-27",'Таблиця 1'!$L:$L,"НЕ уражено"))</f>
        <v/>
      </c>
      <c r="T226">
        <f>IF($A226="","",COUNTIFS('Таблиця 1'!$B:$B,$A226,'Таблиця 1'!$I:$I,"Mirage",'Таблиця 1'!$L:$L,"Дорозвідується")+COUNTIFS('Таблиця 1'!$B:$B,$A226,'Таблиця 1'!$I:$I,"F-16",'Таблиця 1'!$L:$L,"Дорозвідується")+COUNTIFS('Таблиця 1'!$B:$B,$A226,'Таблиця 1'!$I:$I,"МіГ-29",'Таблиця 1'!$L:$L,"Дорозвідується")+COUNTIFS('Таблиця 1'!$B:$B,$A226,'Таблиця 1'!$I:$I,"Су-25",'Таблиця 1'!$L:$L,"Дорозвідується")+COUNTIFS('Таблиця 1'!$B:$B,$A226,'Таблиця 1'!$I:$I,"Су-27",'Таблиця 1'!$L:$L,"Дорозвідується"))</f>
        <v/>
      </c>
    </row>
    <row r="227">
      <c r="A227" s="273">
        <f>IF(A226="","",IF(A226+1&gt;MAX('Таблиця 1'!$B:$B),"",A226+1))</f>
        <v/>
      </c>
      <c r="B227">
        <f>IF($A227="","",COUNTIFS('Таблиця 1'!$B:$B,$A227,'Таблиця 1'!$I:$I,"Mirage")+COUNTIFS('Таблиця 1'!$B:$B,$A227,'Таблиця 1'!$I:$I,"F-16")+COUNTIFS('Таблиця 1'!$B:$B,$A227,'Таблиця 1'!$I:$I,"МіГ-29")+COUNTIFS('Таблиця 1'!$B:$B,$A227,'Таблиця 1'!$I:$I,"Су-25")+COUNTIFS('Таблиця 1'!$B:$B,$A227,'Таблиця 1'!$I:$I,"Су-27"))</f>
        <v/>
      </c>
      <c r="C227">
        <f>IF($A227="","",COUNTIFS('Таблиця 1'!$B:$B,$A227,'Таблиця 1'!$I:$I,"Mirage"))</f>
        <v/>
      </c>
      <c r="D227">
        <f>IF($A227="","",COUNTIFS('Таблиця 1'!$B:$B,$A227,'Таблиця 1'!$I:$I,"F-16"))</f>
        <v/>
      </c>
      <c r="E227">
        <f>IF($A227="","",COUNTIFS('Таблиця 1'!$B:$B,$A227,'Таблиця 1'!$I:$I,"МіГ-29"))</f>
        <v/>
      </c>
      <c r="F227">
        <f>IF($A227="","",COUNTIFS('Таблиця 1'!$B:$B,$A227,'Таблиця 1'!$I:$I,"Су-25"))</f>
        <v/>
      </c>
      <c r="G227">
        <f>IF($A227="","",COUNTIFS('Таблиця 1'!$B:$B,$A227,'Таблиця 1'!$I:$I,"Су-27"))</f>
        <v/>
      </c>
      <c r="H227">
        <f>IF($A227="","",SUMIFS('Таблиця 1'!$K:$K,'Таблиця 1'!$B:$B,$A227,'Таблиця 1'!$I:$I,"Mirage",'Таблиця 1'!$J:$J,"AGM-88")+SUMIFS('Таблиця 1'!$K:$K,'Таблиця 1'!$B:$B,$A227,'Таблиця 1'!$I:$I,"F-16",'Таблиця 1'!$J:$J,"AGM-88")+SUMIFS('Таблиця 1'!$K:$K,'Таблиця 1'!$B:$B,$A227,'Таблиця 1'!$I:$I,"МіГ-29",'Таблиця 1'!$J:$J,"AGM-88")+SUMIFS('Таблиця 1'!$K:$K,'Таблиця 1'!$B:$B,$A227,'Таблиця 1'!$I:$I,"Су-25",'Таблиця 1'!$J:$J,"AGM-88")+SUMIFS('Таблиця 1'!$K:$K,'Таблиця 1'!$B:$B,$A227,'Таблиця 1'!$I:$I,"Су-27",'Таблиця 1'!$J:$J,"AGM-88"))</f>
        <v/>
      </c>
      <c r="I227">
        <f>IF($A227="","",SUMIFS('Таблиця 1'!$K:$K,'Таблиця 1'!$B:$B,$A227,'Таблиця 1'!$I:$I,"Mirage",'Таблиця 1'!$J:$J,"AASM-250")+SUMIFS('Таблиця 1'!$K:$K,'Таблиця 1'!$B:$B,$A227,'Таблиця 1'!$I:$I,"F-16",'Таблиця 1'!$J:$J,"AASM-250")+SUMIFS('Таблиця 1'!$K:$K,'Таблиця 1'!$B:$B,$A227,'Таблиця 1'!$I:$I,"МіГ-29",'Таблиця 1'!$J:$J,"AASM-250")+SUMIFS('Таблиця 1'!$K:$K,'Таблиця 1'!$B:$B,$A227,'Таблиця 1'!$I:$I,"Су-25",'Таблиця 1'!$J:$J,"AASM-250")+SUMIFS('Таблиця 1'!$K:$K,'Таблиця 1'!$B:$B,$A227,'Таблиця 1'!$I:$I,"Су-27",'Таблиця 1'!$J:$J,"AASM-250"))</f>
        <v/>
      </c>
      <c r="J227">
        <f>IF($A227="","",SUMIFS('Таблиця 1'!$K:$K,'Таблиця 1'!$B:$B,$A227,'Таблиця 1'!$I:$I,"Mirage",'Таблиця 1'!$J:$J,"GBU-39")+SUMIFS('Таблиця 1'!$K:$K,'Таблиця 1'!$B:$B,$A227,'Таблиця 1'!$I:$I,"F-16",'Таблиця 1'!$J:$J,"GBU-39")+SUMIFS('Таблиця 1'!$K:$K,'Таблиця 1'!$B:$B,$A227,'Таблиця 1'!$I:$I,"МіГ-29",'Таблиця 1'!$J:$J,"GBU-39")+SUMIFS('Таблиця 1'!$K:$K,'Таблиця 1'!$B:$B,$A227,'Таблиця 1'!$I:$I,"Су-25",'Таблиця 1'!$J:$J,"GBU-39")+SUMIFS('Таблиця 1'!$K:$K,'Таблиця 1'!$B:$B,$A227,'Таблиця 1'!$I:$I,"Су-27",'Таблиця 1'!$J:$J,"GBU-39"))</f>
        <v/>
      </c>
      <c r="K227">
        <f>IF($A227="","",SUMIFS('Таблиця 1'!$K:$K,'Таблиця 1'!$B:$B,$A227,'Таблиця 1'!$I:$I,"Mirage",'Таблиця 1'!$J:$J,"BLU-140")+SUMIFS('Таблиця 1'!$K:$K,'Таблиця 1'!$B:$B,$A227,'Таблиця 1'!$I:$I,"F-16",'Таблиця 1'!$J:$J,"BLU-140")+SUMIFS('Таблиця 1'!$K:$K,'Таблиця 1'!$B:$B,$A227,'Таблиця 1'!$I:$I,"МіГ-29",'Таблиця 1'!$J:$J,"BLU-140")+SUMIFS('Таблиця 1'!$K:$K,'Таблиця 1'!$B:$B,$A227,'Таблиця 1'!$I:$I,"Су-25",'Таблиця 1'!$J:$J,"BLU-140")+SUMIFS('Таблиця 1'!$K:$K,'Таблиця 1'!$B:$B,$A227,'Таблиця 1'!$I:$I,"Су-27",'Таблиця 1'!$J:$J,"BLU-140"))</f>
        <v/>
      </c>
      <c r="L227">
        <f>IF($A227="","",SUMIFS('Таблиця 1'!$K:$K,'Таблиця 1'!$B:$B,$A227,'Таблиця 1'!$I:$I,"Mirage",'Таблиця 1'!$J:$J,"GBU-65")+SUMIFS('Таблиця 1'!$K:$K,'Таблиця 1'!$B:$B,$A227,'Таблиця 1'!$I:$I,"F-16",'Таблиця 1'!$J:$J,"GBU-65")+SUMIFS('Таблиця 1'!$K:$K,'Таблиця 1'!$B:$B,$A227,'Таблиця 1'!$I:$I,"МіГ-29",'Таблиця 1'!$J:$J,"GBU-65")+SUMIFS('Таблиця 1'!$K:$K,'Таблиця 1'!$B:$B,$A227,'Таблиця 1'!$I:$I,"Су-25",'Таблиця 1'!$J:$J,"GBU-65")+SUMIFS('Таблиця 1'!$K:$K,'Таблиця 1'!$B:$B,$A227,'Таблиця 1'!$I:$I,"Су-27",'Таблиця 1'!$J:$J,"GBU-65"))</f>
        <v/>
      </c>
      <c r="M227">
        <f>IF($A227="","",SUMIFS('Таблиця 1'!$K:$K,'Таблиця 1'!$B:$B,$A227,'Таблиця 1'!$I:$I,"Mirage",'Таблиця 1'!$J:$J,"GBU-62")+SUMIFS('Таблиця 1'!$K:$K,'Таблиця 1'!$B:$B,$A227,'Таблиця 1'!$I:$I,"F-16",'Таблиця 1'!$J:$J,"GBU-62")+SUMIFS('Таблиця 1'!$K:$K,'Таблиця 1'!$B:$B,$A227,'Таблиця 1'!$I:$I,"МіГ-29",'Таблиця 1'!$J:$J,"GBU-62")+SUMIFS('Таблиця 1'!$K:$K,'Таблиця 1'!$B:$B,$A227,'Таблиця 1'!$I:$I,"Су-25",'Таблиця 1'!$J:$J,"GBU-62")+SUMIFS('Таблиця 1'!$K:$K,'Таблиця 1'!$B:$B,$A227,'Таблиця 1'!$I:$I,"Су-27",'Таблиця 1'!$J:$J,"GBU-62"))</f>
        <v/>
      </c>
      <c r="N227">
        <f>IF($A227="","",SUMIFS('Таблиця 1'!$K:$K,'Таблиця 1'!$B:$B,$A227,'Таблиця 1'!$I:$I,"Mirage",'Таблиця 1'!$J:$J,"GBU-64")+SUMIFS('Таблиця 1'!$K:$K,'Таблиця 1'!$B:$B,$A227,'Таблиця 1'!$I:$I,"F-16",'Таблиця 1'!$J:$J,"GBU-64")+SUMIFS('Таблиця 1'!$K:$K,'Таблиця 1'!$B:$B,$A227,'Таблиця 1'!$I:$I,"МіГ-29",'Таблиця 1'!$J:$J,"GBU-64")+SUMIFS('Таблиця 1'!$K:$K,'Таблиця 1'!$B:$B,$A227,'Таблиця 1'!$I:$I,"Су-25",'Таблиця 1'!$J:$J,"GBU-64")+SUMIFS('Таблиця 1'!$K:$K,'Таблиця 1'!$B:$B,$A227,'Таблиця 1'!$I:$I,"Су-27",'Таблиця 1'!$J:$J,"GBU-64"))</f>
        <v/>
      </c>
      <c r="O227">
        <f>IF($A227="","",SUMIFS('Таблиця 1'!$K:$K,'Таблиця 1'!$B:$B,$A227,'Таблиця 1'!$I:$I,"Mirage",'Таблиця 1'!$J:$J,"C-13")+SUMIFS('Таблиця 1'!$K:$K,'Таблиця 1'!$B:$B,$A227,'Таблиця 1'!$I:$I,"F-16",'Таблиця 1'!$J:$J,"C-13")+SUMIFS('Таблиця 1'!$K:$K,'Таблиця 1'!$B:$B,$A227,'Таблиця 1'!$I:$I,"МіГ-29",'Таблиця 1'!$J:$J,"C-13")+SUMIFS('Таблиця 1'!$K:$K,'Таблиця 1'!$B:$B,$A227,'Таблиця 1'!$I:$I,"Су-25",'Таблиця 1'!$J:$J,"C-13")+SUMIFS('Таблиця 1'!$K:$K,'Таблиця 1'!$B:$B,$A227,'Таблиця 1'!$I:$I,"Су-27",'Таблиця 1'!$J:$J,"C-13"))</f>
        <v/>
      </c>
      <c r="P227">
        <f>IF($A227="","",SUMIFS('Таблиця 1'!$K:$K,'Таблиця 1'!$B:$B,$A227,'Таблиця 1'!$I:$I,"Mirage",'Таблиця 1'!$J:$J,"MK-32")+SUMIFS('Таблиця 1'!$K:$K,'Таблиця 1'!$B:$B,$A227,'Таблиця 1'!$I:$I,"F-16",'Таблиця 1'!$J:$J,"MK-32")+SUMIFS('Таблиця 1'!$K:$K,'Таблиця 1'!$B:$B,$A227,'Таблиця 1'!$I:$I,"МіГ-29",'Таблиця 1'!$J:$J,"MK-32")+SUMIFS('Таблиця 1'!$K:$K,'Таблиця 1'!$B:$B,$A227,'Таблиця 1'!$I:$I,"Су-25",'Таблиця 1'!$J:$J,"MK-32")+SUMIFS('Таблиця 1'!$K:$K,'Таблиця 1'!$B:$B,$A227,'Таблиця 1'!$I:$I,"Су-27",'Таблиця 1'!$J:$J,"MK-32"))</f>
        <v/>
      </c>
      <c r="Q227">
        <f>IF($A227="","",SUMIFS('Таблиця 1'!$K:$K,'Таблиця 1'!$B:$B,$A227,'Таблиця 1'!$I:$I,"Mirage",'Таблиця 1'!$J:$J,"MK-24")+SUMIFS('Таблиця 1'!$K:$K,'Таблиця 1'!$B:$B,$A227,'Таблиця 1'!$I:$I,"F-16",'Таблиця 1'!$J:$J,"MK-24")+SUMIFS('Таблиця 1'!$K:$K,'Таблиця 1'!$B:$B,$A227,'Таблиця 1'!$I:$I,"МіГ-29",'Таблиця 1'!$J:$J,"MK-24")+SUMIFS('Таблиця 1'!$K:$K,'Таблиця 1'!$B:$B,$A227,'Таблиця 1'!$I:$I,"Су-25",'Таблиця 1'!$J:$J,"MK-24")+SUMIFS('Таблиця 1'!$K:$K,'Таблиця 1'!$B:$B,$A227,'Таблиця 1'!$I:$I,"Су-27",'Таблиця 1'!$J:$J,"MK-24"))</f>
        <v/>
      </c>
      <c r="R227">
        <f>IF($A227="","",COUNTIFS('Таблиця 1'!$B:$B,$A227,'Таблиця 1'!$I:$I,"Mirage",'Таблиця 1'!$L:$L,"Уражено")+COUNTIFS('Таблиця 1'!$B:$B,$A227,'Таблиця 1'!$I:$I,"F-16",'Таблиця 1'!$L:$L,"Уражено")+COUNTIFS('Таблиця 1'!$B:$B,$A227,'Таблиця 1'!$I:$I,"МіГ-29",'Таблиця 1'!$L:$L,"Уражено")+COUNTIFS('Таблиця 1'!$B:$B,$A227,'Таблиця 1'!$I:$I,"Су-25",'Таблиця 1'!$L:$L,"Уражено")+COUNTIFS('Таблиця 1'!$B:$B,$A227,'Таблиця 1'!$I:$I,"Су-27",'Таблиця 1'!$L:$L,"Уражено"))</f>
        <v/>
      </c>
      <c r="S227">
        <f>IF($A227="","",COUNTIFS('Таблиця 1'!$B:$B,$A227,'Таблиця 1'!$I:$I,"Mirage",'Таблиця 1'!$L:$L,"НЕ уражено")+COUNTIFS('Таблиця 1'!$B:$B,$A227,'Таблиця 1'!$I:$I,"F-16",'Таблиця 1'!$L:$L,"НЕ уражено")+COUNTIFS('Таблиця 1'!$B:$B,$A227,'Таблиця 1'!$I:$I,"МіГ-29",'Таблиця 1'!$L:$L,"НЕ уражено")+COUNTIFS('Таблиця 1'!$B:$B,$A227,'Таблиця 1'!$I:$I,"Су-25",'Таблиця 1'!$L:$L,"НЕ уражено")+COUNTIFS('Таблиця 1'!$B:$B,$A227,'Таблиця 1'!$I:$I,"Су-27",'Таблиця 1'!$L:$L,"НЕ уражено"))</f>
        <v/>
      </c>
      <c r="T227">
        <f>IF($A227="","",COUNTIFS('Таблиця 1'!$B:$B,$A227,'Таблиця 1'!$I:$I,"Mirage",'Таблиця 1'!$L:$L,"Дорозвідується")+COUNTIFS('Таблиця 1'!$B:$B,$A227,'Таблиця 1'!$I:$I,"F-16",'Таблиця 1'!$L:$L,"Дорозвідується")+COUNTIFS('Таблиця 1'!$B:$B,$A227,'Таблиця 1'!$I:$I,"МіГ-29",'Таблиця 1'!$L:$L,"Дорозвідується")+COUNTIFS('Таблиця 1'!$B:$B,$A227,'Таблиця 1'!$I:$I,"Су-25",'Таблиця 1'!$L:$L,"Дорозвідується")+COUNTIFS('Таблиця 1'!$B:$B,$A227,'Таблиця 1'!$I:$I,"Су-27",'Таблиця 1'!$L:$L,"Дорозвідується"))</f>
        <v/>
      </c>
    </row>
    <row r="228">
      <c r="A228" s="273">
        <f>IF(A227="","",IF(A227+1&gt;MAX('Таблиця 1'!$B:$B),"",A227+1))</f>
        <v/>
      </c>
      <c r="B228">
        <f>IF($A228="","",COUNTIFS('Таблиця 1'!$B:$B,$A228,'Таблиця 1'!$I:$I,"Mirage")+COUNTIFS('Таблиця 1'!$B:$B,$A228,'Таблиця 1'!$I:$I,"F-16")+COUNTIFS('Таблиця 1'!$B:$B,$A228,'Таблиця 1'!$I:$I,"МіГ-29")+COUNTIFS('Таблиця 1'!$B:$B,$A228,'Таблиця 1'!$I:$I,"Су-25")+COUNTIFS('Таблиця 1'!$B:$B,$A228,'Таблиця 1'!$I:$I,"Су-27"))</f>
        <v/>
      </c>
      <c r="C228">
        <f>IF($A228="","",COUNTIFS('Таблиця 1'!$B:$B,$A228,'Таблиця 1'!$I:$I,"Mirage"))</f>
        <v/>
      </c>
      <c r="D228">
        <f>IF($A228="","",COUNTIFS('Таблиця 1'!$B:$B,$A228,'Таблиця 1'!$I:$I,"F-16"))</f>
        <v/>
      </c>
      <c r="E228">
        <f>IF($A228="","",COUNTIFS('Таблиця 1'!$B:$B,$A228,'Таблиця 1'!$I:$I,"МіГ-29"))</f>
        <v/>
      </c>
      <c r="F228">
        <f>IF($A228="","",COUNTIFS('Таблиця 1'!$B:$B,$A228,'Таблиця 1'!$I:$I,"Су-25"))</f>
        <v/>
      </c>
      <c r="G228">
        <f>IF($A228="","",COUNTIFS('Таблиця 1'!$B:$B,$A228,'Таблиця 1'!$I:$I,"Су-27"))</f>
        <v/>
      </c>
      <c r="H228">
        <f>IF($A228="","",SUMIFS('Таблиця 1'!$K:$K,'Таблиця 1'!$B:$B,$A228,'Таблиця 1'!$I:$I,"Mirage",'Таблиця 1'!$J:$J,"AGM-88")+SUMIFS('Таблиця 1'!$K:$K,'Таблиця 1'!$B:$B,$A228,'Таблиця 1'!$I:$I,"F-16",'Таблиця 1'!$J:$J,"AGM-88")+SUMIFS('Таблиця 1'!$K:$K,'Таблиця 1'!$B:$B,$A228,'Таблиця 1'!$I:$I,"МіГ-29",'Таблиця 1'!$J:$J,"AGM-88")+SUMIFS('Таблиця 1'!$K:$K,'Таблиця 1'!$B:$B,$A228,'Таблиця 1'!$I:$I,"Су-25",'Таблиця 1'!$J:$J,"AGM-88")+SUMIFS('Таблиця 1'!$K:$K,'Таблиця 1'!$B:$B,$A228,'Таблиця 1'!$I:$I,"Су-27",'Таблиця 1'!$J:$J,"AGM-88"))</f>
        <v/>
      </c>
      <c r="I228">
        <f>IF($A228="","",SUMIFS('Таблиця 1'!$K:$K,'Таблиця 1'!$B:$B,$A228,'Таблиця 1'!$I:$I,"Mirage",'Таблиця 1'!$J:$J,"AASM-250")+SUMIFS('Таблиця 1'!$K:$K,'Таблиця 1'!$B:$B,$A228,'Таблиця 1'!$I:$I,"F-16",'Таблиця 1'!$J:$J,"AASM-250")+SUMIFS('Таблиця 1'!$K:$K,'Таблиця 1'!$B:$B,$A228,'Таблиця 1'!$I:$I,"МіГ-29",'Таблиця 1'!$J:$J,"AASM-250")+SUMIFS('Таблиця 1'!$K:$K,'Таблиця 1'!$B:$B,$A228,'Таблиця 1'!$I:$I,"Су-25",'Таблиця 1'!$J:$J,"AASM-250")+SUMIFS('Таблиця 1'!$K:$K,'Таблиця 1'!$B:$B,$A228,'Таблиця 1'!$I:$I,"Су-27",'Таблиця 1'!$J:$J,"AASM-250"))</f>
        <v/>
      </c>
      <c r="J228">
        <f>IF($A228="","",SUMIFS('Таблиця 1'!$K:$K,'Таблиця 1'!$B:$B,$A228,'Таблиця 1'!$I:$I,"Mirage",'Таблиця 1'!$J:$J,"GBU-39")+SUMIFS('Таблиця 1'!$K:$K,'Таблиця 1'!$B:$B,$A228,'Таблиця 1'!$I:$I,"F-16",'Таблиця 1'!$J:$J,"GBU-39")+SUMIFS('Таблиця 1'!$K:$K,'Таблиця 1'!$B:$B,$A228,'Таблиця 1'!$I:$I,"МіГ-29",'Таблиця 1'!$J:$J,"GBU-39")+SUMIFS('Таблиця 1'!$K:$K,'Таблиця 1'!$B:$B,$A228,'Таблиця 1'!$I:$I,"Су-25",'Таблиця 1'!$J:$J,"GBU-39")+SUMIFS('Таблиця 1'!$K:$K,'Таблиця 1'!$B:$B,$A228,'Таблиця 1'!$I:$I,"Су-27",'Таблиця 1'!$J:$J,"GBU-39"))</f>
        <v/>
      </c>
      <c r="K228">
        <f>IF($A228="","",SUMIFS('Таблиця 1'!$K:$K,'Таблиця 1'!$B:$B,$A228,'Таблиця 1'!$I:$I,"Mirage",'Таблиця 1'!$J:$J,"BLU-140")+SUMIFS('Таблиця 1'!$K:$K,'Таблиця 1'!$B:$B,$A228,'Таблиця 1'!$I:$I,"F-16",'Таблиця 1'!$J:$J,"BLU-140")+SUMIFS('Таблиця 1'!$K:$K,'Таблиця 1'!$B:$B,$A228,'Таблиця 1'!$I:$I,"МіГ-29",'Таблиця 1'!$J:$J,"BLU-140")+SUMIFS('Таблиця 1'!$K:$K,'Таблиця 1'!$B:$B,$A228,'Таблиця 1'!$I:$I,"Су-25",'Таблиця 1'!$J:$J,"BLU-140")+SUMIFS('Таблиця 1'!$K:$K,'Таблиця 1'!$B:$B,$A228,'Таблиця 1'!$I:$I,"Су-27",'Таблиця 1'!$J:$J,"BLU-140"))</f>
        <v/>
      </c>
      <c r="L228">
        <f>IF($A228="","",SUMIFS('Таблиця 1'!$K:$K,'Таблиця 1'!$B:$B,$A228,'Таблиця 1'!$I:$I,"Mirage",'Таблиця 1'!$J:$J,"GBU-65")+SUMIFS('Таблиця 1'!$K:$K,'Таблиця 1'!$B:$B,$A228,'Таблиця 1'!$I:$I,"F-16",'Таблиця 1'!$J:$J,"GBU-65")+SUMIFS('Таблиця 1'!$K:$K,'Таблиця 1'!$B:$B,$A228,'Таблиця 1'!$I:$I,"МіГ-29",'Таблиця 1'!$J:$J,"GBU-65")+SUMIFS('Таблиця 1'!$K:$K,'Таблиця 1'!$B:$B,$A228,'Таблиця 1'!$I:$I,"Су-25",'Таблиця 1'!$J:$J,"GBU-65")+SUMIFS('Таблиця 1'!$K:$K,'Таблиця 1'!$B:$B,$A228,'Таблиця 1'!$I:$I,"Су-27",'Таблиця 1'!$J:$J,"GBU-65"))</f>
        <v/>
      </c>
      <c r="M228">
        <f>IF($A228="","",SUMIFS('Таблиця 1'!$K:$K,'Таблиця 1'!$B:$B,$A228,'Таблиця 1'!$I:$I,"Mirage",'Таблиця 1'!$J:$J,"GBU-62")+SUMIFS('Таблиця 1'!$K:$K,'Таблиця 1'!$B:$B,$A228,'Таблиця 1'!$I:$I,"F-16",'Таблиця 1'!$J:$J,"GBU-62")+SUMIFS('Таблиця 1'!$K:$K,'Таблиця 1'!$B:$B,$A228,'Таблиця 1'!$I:$I,"МіГ-29",'Таблиця 1'!$J:$J,"GBU-62")+SUMIFS('Таблиця 1'!$K:$K,'Таблиця 1'!$B:$B,$A228,'Таблиця 1'!$I:$I,"Су-25",'Таблиця 1'!$J:$J,"GBU-62")+SUMIFS('Таблиця 1'!$K:$K,'Таблиця 1'!$B:$B,$A228,'Таблиця 1'!$I:$I,"Су-27",'Таблиця 1'!$J:$J,"GBU-62"))</f>
        <v/>
      </c>
      <c r="N228">
        <f>IF($A228="","",SUMIFS('Таблиця 1'!$K:$K,'Таблиця 1'!$B:$B,$A228,'Таблиця 1'!$I:$I,"Mirage",'Таблиця 1'!$J:$J,"GBU-64")+SUMIFS('Таблиця 1'!$K:$K,'Таблиця 1'!$B:$B,$A228,'Таблиця 1'!$I:$I,"F-16",'Таблиця 1'!$J:$J,"GBU-64")+SUMIFS('Таблиця 1'!$K:$K,'Таблиця 1'!$B:$B,$A228,'Таблиця 1'!$I:$I,"МіГ-29",'Таблиця 1'!$J:$J,"GBU-64")+SUMIFS('Таблиця 1'!$K:$K,'Таблиця 1'!$B:$B,$A228,'Таблиця 1'!$I:$I,"Су-25",'Таблиця 1'!$J:$J,"GBU-64")+SUMIFS('Таблиця 1'!$K:$K,'Таблиця 1'!$B:$B,$A228,'Таблиця 1'!$I:$I,"Су-27",'Таблиця 1'!$J:$J,"GBU-64"))</f>
        <v/>
      </c>
      <c r="O228">
        <f>IF($A228="","",SUMIFS('Таблиця 1'!$K:$K,'Таблиця 1'!$B:$B,$A228,'Таблиця 1'!$I:$I,"Mirage",'Таблиця 1'!$J:$J,"C-13")+SUMIFS('Таблиця 1'!$K:$K,'Таблиця 1'!$B:$B,$A228,'Таблиця 1'!$I:$I,"F-16",'Таблиця 1'!$J:$J,"C-13")+SUMIFS('Таблиця 1'!$K:$K,'Таблиця 1'!$B:$B,$A228,'Таблиця 1'!$I:$I,"МіГ-29",'Таблиця 1'!$J:$J,"C-13")+SUMIFS('Таблиця 1'!$K:$K,'Таблиця 1'!$B:$B,$A228,'Таблиця 1'!$I:$I,"Су-25",'Таблиця 1'!$J:$J,"C-13")+SUMIFS('Таблиця 1'!$K:$K,'Таблиця 1'!$B:$B,$A228,'Таблиця 1'!$I:$I,"Су-27",'Таблиця 1'!$J:$J,"C-13"))</f>
        <v/>
      </c>
      <c r="P228">
        <f>IF($A228="","",SUMIFS('Таблиця 1'!$K:$K,'Таблиця 1'!$B:$B,$A228,'Таблиця 1'!$I:$I,"Mirage",'Таблиця 1'!$J:$J,"MK-32")+SUMIFS('Таблиця 1'!$K:$K,'Таблиця 1'!$B:$B,$A228,'Таблиця 1'!$I:$I,"F-16",'Таблиця 1'!$J:$J,"MK-32")+SUMIFS('Таблиця 1'!$K:$K,'Таблиця 1'!$B:$B,$A228,'Таблиця 1'!$I:$I,"МіГ-29",'Таблиця 1'!$J:$J,"MK-32")+SUMIFS('Таблиця 1'!$K:$K,'Таблиця 1'!$B:$B,$A228,'Таблиця 1'!$I:$I,"Су-25",'Таблиця 1'!$J:$J,"MK-32")+SUMIFS('Таблиця 1'!$K:$K,'Таблиця 1'!$B:$B,$A228,'Таблиця 1'!$I:$I,"Су-27",'Таблиця 1'!$J:$J,"MK-32"))</f>
        <v/>
      </c>
      <c r="Q228">
        <f>IF($A228="","",SUMIFS('Таблиця 1'!$K:$K,'Таблиця 1'!$B:$B,$A228,'Таблиця 1'!$I:$I,"Mirage",'Таблиця 1'!$J:$J,"MK-24")+SUMIFS('Таблиця 1'!$K:$K,'Таблиця 1'!$B:$B,$A228,'Таблиця 1'!$I:$I,"F-16",'Таблиця 1'!$J:$J,"MK-24")+SUMIFS('Таблиця 1'!$K:$K,'Таблиця 1'!$B:$B,$A228,'Таблиця 1'!$I:$I,"МіГ-29",'Таблиця 1'!$J:$J,"MK-24")+SUMIFS('Таблиця 1'!$K:$K,'Таблиця 1'!$B:$B,$A228,'Таблиця 1'!$I:$I,"Су-25",'Таблиця 1'!$J:$J,"MK-24")+SUMIFS('Таблиця 1'!$K:$K,'Таблиця 1'!$B:$B,$A228,'Таблиця 1'!$I:$I,"Су-27",'Таблиця 1'!$J:$J,"MK-24"))</f>
        <v/>
      </c>
      <c r="R228">
        <f>IF($A228="","",COUNTIFS('Таблиця 1'!$B:$B,$A228,'Таблиця 1'!$I:$I,"Mirage",'Таблиця 1'!$L:$L,"Уражено")+COUNTIFS('Таблиця 1'!$B:$B,$A228,'Таблиця 1'!$I:$I,"F-16",'Таблиця 1'!$L:$L,"Уражено")+COUNTIFS('Таблиця 1'!$B:$B,$A228,'Таблиця 1'!$I:$I,"МіГ-29",'Таблиця 1'!$L:$L,"Уражено")+COUNTIFS('Таблиця 1'!$B:$B,$A228,'Таблиця 1'!$I:$I,"Су-25",'Таблиця 1'!$L:$L,"Уражено")+COUNTIFS('Таблиця 1'!$B:$B,$A228,'Таблиця 1'!$I:$I,"Су-27",'Таблиця 1'!$L:$L,"Уражено"))</f>
        <v/>
      </c>
      <c r="S228">
        <f>IF($A228="","",COUNTIFS('Таблиця 1'!$B:$B,$A228,'Таблиця 1'!$I:$I,"Mirage",'Таблиця 1'!$L:$L,"НЕ уражено")+COUNTIFS('Таблиця 1'!$B:$B,$A228,'Таблиця 1'!$I:$I,"F-16",'Таблиця 1'!$L:$L,"НЕ уражено")+COUNTIFS('Таблиця 1'!$B:$B,$A228,'Таблиця 1'!$I:$I,"МіГ-29",'Таблиця 1'!$L:$L,"НЕ уражено")+COUNTIFS('Таблиця 1'!$B:$B,$A228,'Таблиця 1'!$I:$I,"Су-25",'Таблиця 1'!$L:$L,"НЕ уражено")+COUNTIFS('Таблиця 1'!$B:$B,$A228,'Таблиця 1'!$I:$I,"Су-27",'Таблиця 1'!$L:$L,"НЕ уражено"))</f>
        <v/>
      </c>
      <c r="T228">
        <f>IF($A228="","",COUNTIFS('Таблиця 1'!$B:$B,$A228,'Таблиця 1'!$I:$I,"Mirage",'Таблиця 1'!$L:$L,"Дорозвідується")+COUNTIFS('Таблиця 1'!$B:$B,$A228,'Таблиця 1'!$I:$I,"F-16",'Таблиця 1'!$L:$L,"Дорозвідується")+COUNTIFS('Таблиця 1'!$B:$B,$A228,'Таблиця 1'!$I:$I,"МіГ-29",'Таблиця 1'!$L:$L,"Дорозвідується")+COUNTIFS('Таблиця 1'!$B:$B,$A228,'Таблиця 1'!$I:$I,"Су-25",'Таблиця 1'!$L:$L,"Дорозвідується")+COUNTIFS('Таблиця 1'!$B:$B,$A228,'Таблиця 1'!$I:$I,"Су-27",'Таблиця 1'!$L:$L,"Дорозвідується"))</f>
        <v/>
      </c>
    </row>
    <row r="229">
      <c r="A229" s="273">
        <f>IF(A228="","",IF(A228+1&gt;MAX('Таблиця 1'!$B:$B),"",A228+1))</f>
        <v/>
      </c>
      <c r="B229">
        <f>IF($A229="","",COUNTIFS('Таблиця 1'!$B:$B,$A229,'Таблиця 1'!$I:$I,"Mirage")+COUNTIFS('Таблиця 1'!$B:$B,$A229,'Таблиця 1'!$I:$I,"F-16")+COUNTIFS('Таблиця 1'!$B:$B,$A229,'Таблиця 1'!$I:$I,"МіГ-29")+COUNTIFS('Таблиця 1'!$B:$B,$A229,'Таблиця 1'!$I:$I,"Су-25")+COUNTIFS('Таблиця 1'!$B:$B,$A229,'Таблиця 1'!$I:$I,"Су-27"))</f>
        <v/>
      </c>
      <c r="C229">
        <f>IF($A229="","",COUNTIFS('Таблиця 1'!$B:$B,$A229,'Таблиця 1'!$I:$I,"Mirage"))</f>
        <v/>
      </c>
      <c r="D229">
        <f>IF($A229="","",COUNTIFS('Таблиця 1'!$B:$B,$A229,'Таблиця 1'!$I:$I,"F-16"))</f>
        <v/>
      </c>
      <c r="E229">
        <f>IF($A229="","",COUNTIFS('Таблиця 1'!$B:$B,$A229,'Таблиця 1'!$I:$I,"МіГ-29"))</f>
        <v/>
      </c>
      <c r="F229">
        <f>IF($A229="","",COUNTIFS('Таблиця 1'!$B:$B,$A229,'Таблиця 1'!$I:$I,"Су-25"))</f>
        <v/>
      </c>
      <c r="G229">
        <f>IF($A229="","",COUNTIFS('Таблиця 1'!$B:$B,$A229,'Таблиця 1'!$I:$I,"Су-27"))</f>
        <v/>
      </c>
      <c r="H229">
        <f>IF($A229="","",SUMIFS('Таблиця 1'!$K:$K,'Таблиця 1'!$B:$B,$A229,'Таблиця 1'!$I:$I,"Mirage",'Таблиця 1'!$J:$J,"AGM-88")+SUMIFS('Таблиця 1'!$K:$K,'Таблиця 1'!$B:$B,$A229,'Таблиця 1'!$I:$I,"F-16",'Таблиця 1'!$J:$J,"AGM-88")+SUMIFS('Таблиця 1'!$K:$K,'Таблиця 1'!$B:$B,$A229,'Таблиця 1'!$I:$I,"МіГ-29",'Таблиця 1'!$J:$J,"AGM-88")+SUMIFS('Таблиця 1'!$K:$K,'Таблиця 1'!$B:$B,$A229,'Таблиця 1'!$I:$I,"Су-25",'Таблиця 1'!$J:$J,"AGM-88")+SUMIFS('Таблиця 1'!$K:$K,'Таблиця 1'!$B:$B,$A229,'Таблиця 1'!$I:$I,"Су-27",'Таблиця 1'!$J:$J,"AGM-88"))</f>
        <v/>
      </c>
      <c r="I229">
        <f>IF($A229="","",SUMIFS('Таблиця 1'!$K:$K,'Таблиця 1'!$B:$B,$A229,'Таблиця 1'!$I:$I,"Mirage",'Таблиця 1'!$J:$J,"AASM-250")+SUMIFS('Таблиця 1'!$K:$K,'Таблиця 1'!$B:$B,$A229,'Таблиця 1'!$I:$I,"F-16",'Таблиця 1'!$J:$J,"AASM-250")+SUMIFS('Таблиця 1'!$K:$K,'Таблиця 1'!$B:$B,$A229,'Таблиця 1'!$I:$I,"МіГ-29",'Таблиця 1'!$J:$J,"AASM-250")+SUMIFS('Таблиця 1'!$K:$K,'Таблиця 1'!$B:$B,$A229,'Таблиця 1'!$I:$I,"Су-25",'Таблиця 1'!$J:$J,"AASM-250")+SUMIFS('Таблиця 1'!$K:$K,'Таблиця 1'!$B:$B,$A229,'Таблиця 1'!$I:$I,"Су-27",'Таблиця 1'!$J:$J,"AASM-250"))</f>
        <v/>
      </c>
      <c r="J229">
        <f>IF($A229="","",SUMIFS('Таблиця 1'!$K:$K,'Таблиця 1'!$B:$B,$A229,'Таблиця 1'!$I:$I,"Mirage",'Таблиця 1'!$J:$J,"GBU-39")+SUMIFS('Таблиця 1'!$K:$K,'Таблиця 1'!$B:$B,$A229,'Таблиця 1'!$I:$I,"F-16",'Таблиця 1'!$J:$J,"GBU-39")+SUMIFS('Таблиця 1'!$K:$K,'Таблиця 1'!$B:$B,$A229,'Таблиця 1'!$I:$I,"МіГ-29",'Таблиця 1'!$J:$J,"GBU-39")+SUMIFS('Таблиця 1'!$K:$K,'Таблиця 1'!$B:$B,$A229,'Таблиця 1'!$I:$I,"Су-25",'Таблиця 1'!$J:$J,"GBU-39")+SUMIFS('Таблиця 1'!$K:$K,'Таблиця 1'!$B:$B,$A229,'Таблиця 1'!$I:$I,"Су-27",'Таблиця 1'!$J:$J,"GBU-39"))</f>
        <v/>
      </c>
      <c r="K229">
        <f>IF($A229="","",SUMIFS('Таблиця 1'!$K:$K,'Таблиця 1'!$B:$B,$A229,'Таблиця 1'!$I:$I,"Mirage",'Таблиця 1'!$J:$J,"BLU-140")+SUMIFS('Таблиця 1'!$K:$K,'Таблиця 1'!$B:$B,$A229,'Таблиця 1'!$I:$I,"F-16",'Таблиця 1'!$J:$J,"BLU-140")+SUMIFS('Таблиця 1'!$K:$K,'Таблиця 1'!$B:$B,$A229,'Таблиця 1'!$I:$I,"МіГ-29",'Таблиця 1'!$J:$J,"BLU-140")+SUMIFS('Таблиця 1'!$K:$K,'Таблиця 1'!$B:$B,$A229,'Таблиця 1'!$I:$I,"Су-25",'Таблиця 1'!$J:$J,"BLU-140")+SUMIFS('Таблиця 1'!$K:$K,'Таблиця 1'!$B:$B,$A229,'Таблиця 1'!$I:$I,"Су-27",'Таблиця 1'!$J:$J,"BLU-140"))</f>
        <v/>
      </c>
      <c r="L229">
        <f>IF($A229="","",SUMIFS('Таблиця 1'!$K:$K,'Таблиця 1'!$B:$B,$A229,'Таблиця 1'!$I:$I,"Mirage",'Таблиця 1'!$J:$J,"GBU-65")+SUMIFS('Таблиця 1'!$K:$K,'Таблиця 1'!$B:$B,$A229,'Таблиця 1'!$I:$I,"F-16",'Таблиця 1'!$J:$J,"GBU-65")+SUMIFS('Таблиця 1'!$K:$K,'Таблиця 1'!$B:$B,$A229,'Таблиця 1'!$I:$I,"МіГ-29",'Таблиця 1'!$J:$J,"GBU-65")+SUMIFS('Таблиця 1'!$K:$K,'Таблиця 1'!$B:$B,$A229,'Таблиця 1'!$I:$I,"Су-25",'Таблиця 1'!$J:$J,"GBU-65")+SUMIFS('Таблиця 1'!$K:$K,'Таблиця 1'!$B:$B,$A229,'Таблиця 1'!$I:$I,"Су-27",'Таблиця 1'!$J:$J,"GBU-65"))</f>
        <v/>
      </c>
      <c r="M229">
        <f>IF($A229="","",SUMIFS('Таблиця 1'!$K:$K,'Таблиця 1'!$B:$B,$A229,'Таблиця 1'!$I:$I,"Mirage",'Таблиця 1'!$J:$J,"GBU-62")+SUMIFS('Таблиця 1'!$K:$K,'Таблиця 1'!$B:$B,$A229,'Таблиця 1'!$I:$I,"F-16",'Таблиця 1'!$J:$J,"GBU-62")+SUMIFS('Таблиця 1'!$K:$K,'Таблиця 1'!$B:$B,$A229,'Таблиця 1'!$I:$I,"МіГ-29",'Таблиця 1'!$J:$J,"GBU-62")+SUMIFS('Таблиця 1'!$K:$K,'Таблиця 1'!$B:$B,$A229,'Таблиця 1'!$I:$I,"Су-25",'Таблиця 1'!$J:$J,"GBU-62")+SUMIFS('Таблиця 1'!$K:$K,'Таблиця 1'!$B:$B,$A229,'Таблиця 1'!$I:$I,"Су-27",'Таблиця 1'!$J:$J,"GBU-62"))</f>
        <v/>
      </c>
      <c r="N229">
        <f>IF($A229="","",SUMIFS('Таблиця 1'!$K:$K,'Таблиця 1'!$B:$B,$A229,'Таблиця 1'!$I:$I,"Mirage",'Таблиця 1'!$J:$J,"GBU-64")+SUMIFS('Таблиця 1'!$K:$K,'Таблиця 1'!$B:$B,$A229,'Таблиця 1'!$I:$I,"F-16",'Таблиця 1'!$J:$J,"GBU-64")+SUMIFS('Таблиця 1'!$K:$K,'Таблиця 1'!$B:$B,$A229,'Таблиця 1'!$I:$I,"МіГ-29",'Таблиця 1'!$J:$J,"GBU-64")+SUMIFS('Таблиця 1'!$K:$K,'Таблиця 1'!$B:$B,$A229,'Таблиця 1'!$I:$I,"Су-25",'Таблиця 1'!$J:$J,"GBU-64")+SUMIFS('Таблиця 1'!$K:$K,'Таблиця 1'!$B:$B,$A229,'Таблиця 1'!$I:$I,"Су-27",'Таблиця 1'!$J:$J,"GBU-64"))</f>
        <v/>
      </c>
      <c r="O229">
        <f>IF($A229="","",SUMIFS('Таблиця 1'!$K:$K,'Таблиця 1'!$B:$B,$A229,'Таблиця 1'!$I:$I,"Mirage",'Таблиця 1'!$J:$J,"C-13")+SUMIFS('Таблиця 1'!$K:$K,'Таблиця 1'!$B:$B,$A229,'Таблиця 1'!$I:$I,"F-16",'Таблиця 1'!$J:$J,"C-13")+SUMIFS('Таблиця 1'!$K:$K,'Таблиця 1'!$B:$B,$A229,'Таблиця 1'!$I:$I,"МіГ-29",'Таблиця 1'!$J:$J,"C-13")+SUMIFS('Таблиця 1'!$K:$K,'Таблиця 1'!$B:$B,$A229,'Таблиця 1'!$I:$I,"Су-25",'Таблиця 1'!$J:$J,"C-13")+SUMIFS('Таблиця 1'!$K:$K,'Таблиця 1'!$B:$B,$A229,'Таблиця 1'!$I:$I,"Су-27",'Таблиця 1'!$J:$J,"C-13"))</f>
        <v/>
      </c>
      <c r="P229">
        <f>IF($A229="","",SUMIFS('Таблиця 1'!$K:$K,'Таблиця 1'!$B:$B,$A229,'Таблиця 1'!$I:$I,"Mirage",'Таблиця 1'!$J:$J,"MK-32")+SUMIFS('Таблиця 1'!$K:$K,'Таблиця 1'!$B:$B,$A229,'Таблиця 1'!$I:$I,"F-16",'Таблиця 1'!$J:$J,"MK-32")+SUMIFS('Таблиця 1'!$K:$K,'Таблиця 1'!$B:$B,$A229,'Таблиця 1'!$I:$I,"МіГ-29",'Таблиця 1'!$J:$J,"MK-32")+SUMIFS('Таблиця 1'!$K:$K,'Таблиця 1'!$B:$B,$A229,'Таблиця 1'!$I:$I,"Су-25",'Таблиця 1'!$J:$J,"MK-32")+SUMIFS('Таблиця 1'!$K:$K,'Таблиця 1'!$B:$B,$A229,'Таблиця 1'!$I:$I,"Су-27",'Таблиця 1'!$J:$J,"MK-32"))</f>
        <v/>
      </c>
      <c r="Q229">
        <f>IF($A229="","",SUMIFS('Таблиця 1'!$K:$K,'Таблиця 1'!$B:$B,$A229,'Таблиця 1'!$I:$I,"Mirage",'Таблиця 1'!$J:$J,"MK-24")+SUMIFS('Таблиця 1'!$K:$K,'Таблиця 1'!$B:$B,$A229,'Таблиця 1'!$I:$I,"F-16",'Таблиця 1'!$J:$J,"MK-24")+SUMIFS('Таблиця 1'!$K:$K,'Таблиця 1'!$B:$B,$A229,'Таблиця 1'!$I:$I,"МіГ-29",'Таблиця 1'!$J:$J,"MK-24")+SUMIFS('Таблиця 1'!$K:$K,'Таблиця 1'!$B:$B,$A229,'Таблиця 1'!$I:$I,"Су-25",'Таблиця 1'!$J:$J,"MK-24")+SUMIFS('Таблиця 1'!$K:$K,'Таблиця 1'!$B:$B,$A229,'Таблиця 1'!$I:$I,"Су-27",'Таблиця 1'!$J:$J,"MK-24"))</f>
        <v/>
      </c>
      <c r="R229">
        <f>IF($A229="","",COUNTIFS('Таблиця 1'!$B:$B,$A229,'Таблиця 1'!$I:$I,"Mirage",'Таблиця 1'!$L:$L,"Уражено")+COUNTIFS('Таблиця 1'!$B:$B,$A229,'Таблиця 1'!$I:$I,"F-16",'Таблиця 1'!$L:$L,"Уражено")+COUNTIFS('Таблиця 1'!$B:$B,$A229,'Таблиця 1'!$I:$I,"МіГ-29",'Таблиця 1'!$L:$L,"Уражено")+COUNTIFS('Таблиця 1'!$B:$B,$A229,'Таблиця 1'!$I:$I,"Су-25",'Таблиця 1'!$L:$L,"Уражено")+COUNTIFS('Таблиця 1'!$B:$B,$A229,'Таблиця 1'!$I:$I,"Су-27",'Таблиця 1'!$L:$L,"Уражено"))</f>
        <v/>
      </c>
      <c r="S229">
        <f>IF($A229="","",COUNTIFS('Таблиця 1'!$B:$B,$A229,'Таблиця 1'!$I:$I,"Mirage",'Таблиця 1'!$L:$L,"НЕ уражено")+COUNTIFS('Таблиця 1'!$B:$B,$A229,'Таблиця 1'!$I:$I,"F-16",'Таблиця 1'!$L:$L,"НЕ уражено")+COUNTIFS('Таблиця 1'!$B:$B,$A229,'Таблиця 1'!$I:$I,"МіГ-29",'Таблиця 1'!$L:$L,"НЕ уражено")+COUNTIFS('Таблиця 1'!$B:$B,$A229,'Таблиця 1'!$I:$I,"Су-25",'Таблиця 1'!$L:$L,"НЕ уражено")+COUNTIFS('Таблиця 1'!$B:$B,$A229,'Таблиця 1'!$I:$I,"Су-27",'Таблиця 1'!$L:$L,"НЕ уражено"))</f>
        <v/>
      </c>
      <c r="T229">
        <f>IF($A229="","",COUNTIFS('Таблиця 1'!$B:$B,$A229,'Таблиця 1'!$I:$I,"Mirage",'Таблиця 1'!$L:$L,"Дорозвідується")+COUNTIFS('Таблиця 1'!$B:$B,$A229,'Таблиця 1'!$I:$I,"F-16",'Таблиця 1'!$L:$L,"Дорозвідується")+COUNTIFS('Таблиця 1'!$B:$B,$A229,'Таблиця 1'!$I:$I,"МіГ-29",'Таблиця 1'!$L:$L,"Дорозвідується")+COUNTIFS('Таблиця 1'!$B:$B,$A229,'Таблиця 1'!$I:$I,"Су-25",'Таблиця 1'!$L:$L,"Дорозвідується")+COUNTIFS('Таблиця 1'!$B:$B,$A229,'Таблиця 1'!$I:$I,"Су-27",'Таблиця 1'!$L:$L,"Дорозвідується"))</f>
        <v/>
      </c>
    </row>
    <row r="230">
      <c r="A230" s="273">
        <f>IF(A229="","",IF(A229+1&gt;MAX('Таблиця 1'!$B:$B),"",A229+1))</f>
        <v/>
      </c>
      <c r="B230">
        <f>IF($A230="","",COUNTIFS('Таблиця 1'!$B:$B,$A230,'Таблиця 1'!$I:$I,"Mirage")+COUNTIFS('Таблиця 1'!$B:$B,$A230,'Таблиця 1'!$I:$I,"F-16")+COUNTIFS('Таблиця 1'!$B:$B,$A230,'Таблиця 1'!$I:$I,"МіГ-29")+COUNTIFS('Таблиця 1'!$B:$B,$A230,'Таблиця 1'!$I:$I,"Су-25")+COUNTIFS('Таблиця 1'!$B:$B,$A230,'Таблиця 1'!$I:$I,"Су-27"))</f>
        <v/>
      </c>
      <c r="C230">
        <f>IF($A230="","",COUNTIFS('Таблиця 1'!$B:$B,$A230,'Таблиця 1'!$I:$I,"Mirage"))</f>
        <v/>
      </c>
      <c r="D230">
        <f>IF($A230="","",COUNTIFS('Таблиця 1'!$B:$B,$A230,'Таблиця 1'!$I:$I,"F-16"))</f>
        <v/>
      </c>
      <c r="E230">
        <f>IF($A230="","",COUNTIFS('Таблиця 1'!$B:$B,$A230,'Таблиця 1'!$I:$I,"МіГ-29"))</f>
        <v/>
      </c>
      <c r="F230">
        <f>IF($A230="","",COUNTIFS('Таблиця 1'!$B:$B,$A230,'Таблиця 1'!$I:$I,"Су-25"))</f>
        <v/>
      </c>
      <c r="G230">
        <f>IF($A230="","",COUNTIFS('Таблиця 1'!$B:$B,$A230,'Таблиця 1'!$I:$I,"Су-27"))</f>
        <v/>
      </c>
      <c r="H230">
        <f>IF($A230="","",SUMIFS('Таблиця 1'!$K:$K,'Таблиця 1'!$B:$B,$A230,'Таблиця 1'!$I:$I,"Mirage",'Таблиця 1'!$J:$J,"AGM-88")+SUMIFS('Таблиця 1'!$K:$K,'Таблиця 1'!$B:$B,$A230,'Таблиця 1'!$I:$I,"F-16",'Таблиця 1'!$J:$J,"AGM-88")+SUMIFS('Таблиця 1'!$K:$K,'Таблиця 1'!$B:$B,$A230,'Таблиця 1'!$I:$I,"МіГ-29",'Таблиця 1'!$J:$J,"AGM-88")+SUMIFS('Таблиця 1'!$K:$K,'Таблиця 1'!$B:$B,$A230,'Таблиця 1'!$I:$I,"Су-25",'Таблиця 1'!$J:$J,"AGM-88")+SUMIFS('Таблиця 1'!$K:$K,'Таблиця 1'!$B:$B,$A230,'Таблиця 1'!$I:$I,"Су-27",'Таблиця 1'!$J:$J,"AGM-88"))</f>
        <v/>
      </c>
      <c r="I230">
        <f>IF($A230="","",SUMIFS('Таблиця 1'!$K:$K,'Таблиця 1'!$B:$B,$A230,'Таблиця 1'!$I:$I,"Mirage",'Таблиця 1'!$J:$J,"AASM-250")+SUMIFS('Таблиця 1'!$K:$K,'Таблиця 1'!$B:$B,$A230,'Таблиця 1'!$I:$I,"F-16",'Таблиця 1'!$J:$J,"AASM-250")+SUMIFS('Таблиця 1'!$K:$K,'Таблиця 1'!$B:$B,$A230,'Таблиця 1'!$I:$I,"МіГ-29",'Таблиця 1'!$J:$J,"AASM-250")+SUMIFS('Таблиця 1'!$K:$K,'Таблиця 1'!$B:$B,$A230,'Таблиця 1'!$I:$I,"Су-25",'Таблиця 1'!$J:$J,"AASM-250")+SUMIFS('Таблиця 1'!$K:$K,'Таблиця 1'!$B:$B,$A230,'Таблиця 1'!$I:$I,"Су-27",'Таблиця 1'!$J:$J,"AASM-250"))</f>
        <v/>
      </c>
      <c r="J230">
        <f>IF($A230="","",SUMIFS('Таблиця 1'!$K:$K,'Таблиця 1'!$B:$B,$A230,'Таблиця 1'!$I:$I,"Mirage",'Таблиця 1'!$J:$J,"GBU-39")+SUMIFS('Таблиця 1'!$K:$K,'Таблиця 1'!$B:$B,$A230,'Таблиця 1'!$I:$I,"F-16",'Таблиця 1'!$J:$J,"GBU-39")+SUMIFS('Таблиця 1'!$K:$K,'Таблиця 1'!$B:$B,$A230,'Таблиця 1'!$I:$I,"МіГ-29",'Таблиця 1'!$J:$J,"GBU-39")+SUMIFS('Таблиця 1'!$K:$K,'Таблиця 1'!$B:$B,$A230,'Таблиця 1'!$I:$I,"Су-25",'Таблиця 1'!$J:$J,"GBU-39")+SUMIFS('Таблиця 1'!$K:$K,'Таблиця 1'!$B:$B,$A230,'Таблиця 1'!$I:$I,"Су-27",'Таблиця 1'!$J:$J,"GBU-39"))</f>
        <v/>
      </c>
      <c r="K230">
        <f>IF($A230="","",SUMIFS('Таблиця 1'!$K:$K,'Таблиця 1'!$B:$B,$A230,'Таблиця 1'!$I:$I,"Mirage",'Таблиця 1'!$J:$J,"BLU-140")+SUMIFS('Таблиця 1'!$K:$K,'Таблиця 1'!$B:$B,$A230,'Таблиця 1'!$I:$I,"F-16",'Таблиця 1'!$J:$J,"BLU-140")+SUMIFS('Таблиця 1'!$K:$K,'Таблиця 1'!$B:$B,$A230,'Таблиця 1'!$I:$I,"МіГ-29",'Таблиця 1'!$J:$J,"BLU-140")+SUMIFS('Таблиця 1'!$K:$K,'Таблиця 1'!$B:$B,$A230,'Таблиця 1'!$I:$I,"Су-25",'Таблиця 1'!$J:$J,"BLU-140")+SUMIFS('Таблиця 1'!$K:$K,'Таблиця 1'!$B:$B,$A230,'Таблиця 1'!$I:$I,"Су-27",'Таблиця 1'!$J:$J,"BLU-140"))</f>
        <v/>
      </c>
      <c r="L230">
        <f>IF($A230="","",SUMIFS('Таблиця 1'!$K:$K,'Таблиця 1'!$B:$B,$A230,'Таблиця 1'!$I:$I,"Mirage",'Таблиця 1'!$J:$J,"GBU-65")+SUMIFS('Таблиця 1'!$K:$K,'Таблиця 1'!$B:$B,$A230,'Таблиця 1'!$I:$I,"F-16",'Таблиця 1'!$J:$J,"GBU-65")+SUMIFS('Таблиця 1'!$K:$K,'Таблиця 1'!$B:$B,$A230,'Таблиця 1'!$I:$I,"МіГ-29",'Таблиця 1'!$J:$J,"GBU-65")+SUMIFS('Таблиця 1'!$K:$K,'Таблиця 1'!$B:$B,$A230,'Таблиця 1'!$I:$I,"Су-25",'Таблиця 1'!$J:$J,"GBU-65")+SUMIFS('Таблиця 1'!$K:$K,'Таблиця 1'!$B:$B,$A230,'Таблиця 1'!$I:$I,"Су-27",'Таблиця 1'!$J:$J,"GBU-65"))</f>
        <v/>
      </c>
      <c r="M230">
        <f>IF($A230="","",SUMIFS('Таблиця 1'!$K:$K,'Таблиця 1'!$B:$B,$A230,'Таблиця 1'!$I:$I,"Mirage",'Таблиця 1'!$J:$J,"GBU-62")+SUMIFS('Таблиця 1'!$K:$K,'Таблиця 1'!$B:$B,$A230,'Таблиця 1'!$I:$I,"F-16",'Таблиця 1'!$J:$J,"GBU-62")+SUMIFS('Таблиця 1'!$K:$K,'Таблиця 1'!$B:$B,$A230,'Таблиця 1'!$I:$I,"МіГ-29",'Таблиця 1'!$J:$J,"GBU-62")+SUMIFS('Таблиця 1'!$K:$K,'Таблиця 1'!$B:$B,$A230,'Таблиця 1'!$I:$I,"Су-25",'Таблиця 1'!$J:$J,"GBU-62")+SUMIFS('Таблиця 1'!$K:$K,'Таблиця 1'!$B:$B,$A230,'Таблиця 1'!$I:$I,"Су-27",'Таблиця 1'!$J:$J,"GBU-62"))</f>
        <v/>
      </c>
      <c r="N230">
        <f>IF($A230="","",SUMIFS('Таблиця 1'!$K:$K,'Таблиця 1'!$B:$B,$A230,'Таблиця 1'!$I:$I,"Mirage",'Таблиця 1'!$J:$J,"GBU-64")+SUMIFS('Таблиця 1'!$K:$K,'Таблиця 1'!$B:$B,$A230,'Таблиця 1'!$I:$I,"F-16",'Таблиця 1'!$J:$J,"GBU-64")+SUMIFS('Таблиця 1'!$K:$K,'Таблиця 1'!$B:$B,$A230,'Таблиця 1'!$I:$I,"МіГ-29",'Таблиця 1'!$J:$J,"GBU-64")+SUMIFS('Таблиця 1'!$K:$K,'Таблиця 1'!$B:$B,$A230,'Таблиця 1'!$I:$I,"Су-25",'Таблиця 1'!$J:$J,"GBU-64")+SUMIFS('Таблиця 1'!$K:$K,'Таблиця 1'!$B:$B,$A230,'Таблиця 1'!$I:$I,"Су-27",'Таблиця 1'!$J:$J,"GBU-64"))</f>
        <v/>
      </c>
      <c r="O230">
        <f>IF($A230="","",SUMIFS('Таблиця 1'!$K:$K,'Таблиця 1'!$B:$B,$A230,'Таблиця 1'!$I:$I,"Mirage",'Таблиця 1'!$J:$J,"C-13")+SUMIFS('Таблиця 1'!$K:$K,'Таблиця 1'!$B:$B,$A230,'Таблиця 1'!$I:$I,"F-16",'Таблиця 1'!$J:$J,"C-13")+SUMIFS('Таблиця 1'!$K:$K,'Таблиця 1'!$B:$B,$A230,'Таблиця 1'!$I:$I,"МіГ-29",'Таблиця 1'!$J:$J,"C-13")+SUMIFS('Таблиця 1'!$K:$K,'Таблиця 1'!$B:$B,$A230,'Таблиця 1'!$I:$I,"Су-25",'Таблиця 1'!$J:$J,"C-13")+SUMIFS('Таблиця 1'!$K:$K,'Таблиця 1'!$B:$B,$A230,'Таблиця 1'!$I:$I,"Су-27",'Таблиця 1'!$J:$J,"C-13"))</f>
        <v/>
      </c>
      <c r="P230">
        <f>IF($A230="","",SUMIFS('Таблиця 1'!$K:$K,'Таблиця 1'!$B:$B,$A230,'Таблиця 1'!$I:$I,"Mirage",'Таблиця 1'!$J:$J,"MK-32")+SUMIFS('Таблиця 1'!$K:$K,'Таблиця 1'!$B:$B,$A230,'Таблиця 1'!$I:$I,"F-16",'Таблиця 1'!$J:$J,"MK-32")+SUMIFS('Таблиця 1'!$K:$K,'Таблиця 1'!$B:$B,$A230,'Таблиця 1'!$I:$I,"МіГ-29",'Таблиця 1'!$J:$J,"MK-32")+SUMIFS('Таблиця 1'!$K:$K,'Таблиця 1'!$B:$B,$A230,'Таблиця 1'!$I:$I,"Су-25",'Таблиця 1'!$J:$J,"MK-32")+SUMIFS('Таблиця 1'!$K:$K,'Таблиця 1'!$B:$B,$A230,'Таблиця 1'!$I:$I,"Су-27",'Таблиця 1'!$J:$J,"MK-32"))</f>
        <v/>
      </c>
      <c r="Q230">
        <f>IF($A230="","",SUMIFS('Таблиця 1'!$K:$K,'Таблиця 1'!$B:$B,$A230,'Таблиця 1'!$I:$I,"Mirage",'Таблиця 1'!$J:$J,"MK-24")+SUMIFS('Таблиця 1'!$K:$K,'Таблиця 1'!$B:$B,$A230,'Таблиця 1'!$I:$I,"F-16",'Таблиця 1'!$J:$J,"MK-24")+SUMIFS('Таблиця 1'!$K:$K,'Таблиця 1'!$B:$B,$A230,'Таблиця 1'!$I:$I,"МіГ-29",'Таблиця 1'!$J:$J,"MK-24")+SUMIFS('Таблиця 1'!$K:$K,'Таблиця 1'!$B:$B,$A230,'Таблиця 1'!$I:$I,"Су-25",'Таблиця 1'!$J:$J,"MK-24")+SUMIFS('Таблиця 1'!$K:$K,'Таблиця 1'!$B:$B,$A230,'Таблиця 1'!$I:$I,"Су-27",'Таблиця 1'!$J:$J,"MK-24"))</f>
        <v/>
      </c>
      <c r="R230">
        <f>IF($A230="","",COUNTIFS('Таблиця 1'!$B:$B,$A230,'Таблиця 1'!$I:$I,"Mirage",'Таблиця 1'!$L:$L,"Уражено")+COUNTIFS('Таблиця 1'!$B:$B,$A230,'Таблиця 1'!$I:$I,"F-16",'Таблиця 1'!$L:$L,"Уражено")+COUNTIFS('Таблиця 1'!$B:$B,$A230,'Таблиця 1'!$I:$I,"МіГ-29",'Таблиця 1'!$L:$L,"Уражено")+COUNTIFS('Таблиця 1'!$B:$B,$A230,'Таблиця 1'!$I:$I,"Су-25",'Таблиця 1'!$L:$L,"Уражено")+COUNTIFS('Таблиця 1'!$B:$B,$A230,'Таблиця 1'!$I:$I,"Су-27",'Таблиця 1'!$L:$L,"Уражено"))</f>
        <v/>
      </c>
      <c r="S230">
        <f>IF($A230="","",COUNTIFS('Таблиця 1'!$B:$B,$A230,'Таблиця 1'!$I:$I,"Mirage",'Таблиця 1'!$L:$L,"НЕ уражено")+COUNTIFS('Таблиця 1'!$B:$B,$A230,'Таблиця 1'!$I:$I,"F-16",'Таблиця 1'!$L:$L,"НЕ уражено")+COUNTIFS('Таблиця 1'!$B:$B,$A230,'Таблиця 1'!$I:$I,"МіГ-29",'Таблиця 1'!$L:$L,"НЕ уражено")+COUNTIFS('Таблиця 1'!$B:$B,$A230,'Таблиця 1'!$I:$I,"Су-25",'Таблиця 1'!$L:$L,"НЕ уражено")+COUNTIFS('Таблиця 1'!$B:$B,$A230,'Таблиця 1'!$I:$I,"Су-27",'Таблиця 1'!$L:$L,"НЕ уражено"))</f>
        <v/>
      </c>
      <c r="T230">
        <f>IF($A230="","",COUNTIFS('Таблиця 1'!$B:$B,$A230,'Таблиця 1'!$I:$I,"Mirage",'Таблиця 1'!$L:$L,"Дорозвідується")+COUNTIFS('Таблиця 1'!$B:$B,$A230,'Таблиця 1'!$I:$I,"F-16",'Таблиця 1'!$L:$L,"Дорозвідується")+COUNTIFS('Таблиця 1'!$B:$B,$A230,'Таблиця 1'!$I:$I,"МіГ-29",'Таблиця 1'!$L:$L,"Дорозвідується")+COUNTIFS('Таблиця 1'!$B:$B,$A230,'Таблиця 1'!$I:$I,"Су-25",'Таблиця 1'!$L:$L,"Дорозвідується")+COUNTIFS('Таблиця 1'!$B:$B,$A230,'Таблиця 1'!$I:$I,"Су-27",'Таблиця 1'!$L:$L,"Дорозвідується"))</f>
        <v/>
      </c>
    </row>
    <row r="231">
      <c r="A231" s="273">
        <f>IF(A230="","",IF(A230+1&gt;MAX('Таблиця 1'!$B:$B),"",A230+1))</f>
        <v/>
      </c>
      <c r="B231">
        <f>IF($A231="","",COUNTIFS('Таблиця 1'!$B:$B,$A231,'Таблиця 1'!$I:$I,"Mirage")+COUNTIFS('Таблиця 1'!$B:$B,$A231,'Таблиця 1'!$I:$I,"F-16")+COUNTIFS('Таблиця 1'!$B:$B,$A231,'Таблиця 1'!$I:$I,"МіГ-29")+COUNTIFS('Таблиця 1'!$B:$B,$A231,'Таблиця 1'!$I:$I,"Су-25")+COUNTIFS('Таблиця 1'!$B:$B,$A231,'Таблиця 1'!$I:$I,"Су-27"))</f>
        <v/>
      </c>
      <c r="C231">
        <f>IF($A231="","",COUNTIFS('Таблиця 1'!$B:$B,$A231,'Таблиця 1'!$I:$I,"Mirage"))</f>
        <v/>
      </c>
      <c r="D231">
        <f>IF($A231="","",COUNTIFS('Таблиця 1'!$B:$B,$A231,'Таблиця 1'!$I:$I,"F-16"))</f>
        <v/>
      </c>
      <c r="E231">
        <f>IF($A231="","",COUNTIFS('Таблиця 1'!$B:$B,$A231,'Таблиця 1'!$I:$I,"МіГ-29"))</f>
        <v/>
      </c>
      <c r="F231">
        <f>IF($A231="","",COUNTIFS('Таблиця 1'!$B:$B,$A231,'Таблиця 1'!$I:$I,"Су-25"))</f>
        <v/>
      </c>
      <c r="G231">
        <f>IF($A231="","",COUNTIFS('Таблиця 1'!$B:$B,$A231,'Таблиця 1'!$I:$I,"Су-27"))</f>
        <v/>
      </c>
      <c r="H231">
        <f>IF($A231="","",SUMIFS('Таблиця 1'!$K:$K,'Таблиця 1'!$B:$B,$A231,'Таблиця 1'!$I:$I,"Mirage",'Таблиця 1'!$J:$J,"AGM-88")+SUMIFS('Таблиця 1'!$K:$K,'Таблиця 1'!$B:$B,$A231,'Таблиця 1'!$I:$I,"F-16",'Таблиця 1'!$J:$J,"AGM-88")+SUMIFS('Таблиця 1'!$K:$K,'Таблиця 1'!$B:$B,$A231,'Таблиця 1'!$I:$I,"МіГ-29",'Таблиця 1'!$J:$J,"AGM-88")+SUMIFS('Таблиця 1'!$K:$K,'Таблиця 1'!$B:$B,$A231,'Таблиця 1'!$I:$I,"Су-25",'Таблиця 1'!$J:$J,"AGM-88")+SUMIFS('Таблиця 1'!$K:$K,'Таблиця 1'!$B:$B,$A231,'Таблиця 1'!$I:$I,"Су-27",'Таблиця 1'!$J:$J,"AGM-88"))</f>
        <v/>
      </c>
      <c r="I231">
        <f>IF($A231="","",SUMIFS('Таблиця 1'!$K:$K,'Таблиця 1'!$B:$B,$A231,'Таблиця 1'!$I:$I,"Mirage",'Таблиця 1'!$J:$J,"AASM-250")+SUMIFS('Таблиця 1'!$K:$K,'Таблиця 1'!$B:$B,$A231,'Таблиця 1'!$I:$I,"F-16",'Таблиця 1'!$J:$J,"AASM-250")+SUMIFS('Таблиця 1'!$K:$K,'Таблиця 1'!$B:$B,$A231,'Таблиця 1'!$I:$I,"МіГ-29",'Таблиця 1'!$J:$J,"AASM-250")+SUMIFS('Таблиця 1'!$K:$K,'Таблиця 1'!$B:$B,$A231,'Таблиця 1'!$I:$I,"Су-25",'Таблиця 1'!$J:$J,"AASM-250")+SUMIFS('Таблиця 1'!$K:$K,'Таблиця 1'!$B:$B,$A231,'Таблиця 1'!$I:$I,"Су-27",'Таблиця 1'!$J:$J,"AASM-250"))</f>
        <v/>
      </c>
      <c r="J231">
        <f>IF($A231="","",SUMIFS('Таблиця 1'!$K:$K,'Таблиця 1'!$B:$B,$A231,'Таблиця 1'!$I:$I,"Mirage",'Таблиця 1'!$J:$J,"GBU-39")+SUMIFS('Таблиця 1'!$K:$K,'Таблиця 1'!$B:$B,$A231,'Таблиця 1'!$I:$I,"F-16",'Таблиця 1'!$J:$J,"GBU-39")+SUMIFS('Таблиця 1'!$K:$K,'Таблиця 1'!$B:$B,$A231,'Таблиця 1'!$I:$I,"МіГ-29",'Таблиця 1'!$J:$J,"GBU-39")+SUMIFS('Таблиця 1'!$K:$K,'Таблиця 1'!$B:$B,$A231,'Таблиця 1'!$I:$I,"Су-25",'Таблиця 1'!$J:$J,"GBU-39")+SUMIFS('Таблиця 1'!$K:$K,'Таблиця 1'!$B:$B,$A231,'Таблиця 1'!$I:$I,"Су-27",'Таблиця 1'!$J:$J,"GBU-39"))</f>
        <v/>
      </c>
      <c r="K231">
        <f>IF($A231="","",SUMIFS('Таблиця 1'!$K:$K,'Таблиця 1'!$B:$B,$A231,'Таблиця 1'!$I:$I,"Mirage",'Таблиця 1'!$J:$J,"BLU-140")+SUMIFS('Таблиця 1'!$K:$K,'Таблиця 1'!$B:$B,$A231,'Таблиця 1'!$I:$I,"F-16",'Таблиця 1'!$J:$J,"BLU-140")+SUMIFS('Таблиця 1'!$K:$K,'Таблиця 1'!$B:$B,$A231,'Таблиця 1'!$I:$I,"МіГ-29",'Таблиця 1'!$J:$J,"BLU-140")+SUMIFS('Таблиця 1'!$K:$K,'Таблиця 1'!$B:$B,$A231,'Таблиця 1'!$I:$I,"Су-25",'Таблиця 1'!$J:$J,"BLU-140")+SUMIFS('Таблиця 1'!$K:$K,'Таблиця 1'!$B:$B,$A231,'Таблиця 1'!$I:$I,"Су-27",'Таблиця 1'!$J:$J,"BLU-140"))</f>
        <v/>
      </c>
      <c r="L231">
        <f>IF($A231="","",SUMIFS('Таблиця 1'!$K:$K,'Таблиця 1'!$B:$B,$A231,'Таблиця 1'!$I:$I,"Mirage",'Таблиця 1'!$J:$J,"GBU-65")+SUMIFS('Таблиця 1'!$K:$K,'Таблиця 1'!$B:$B,$A231,'Таблиця 1'!$I:$I,"F-16",'Таблиця 1'!$J:$J,"GBU-65")+SUMIFS('Таблиця 1'!$K:$K,'Таблиця 1'!$B:$B,$A231,'Таблиця 1'!$I:$I,"МіГ-29",'Таблиця 1'!$J:$J,"GBU-65")+SUMIFS('Таблиця 1'!$K:$K,'Таблиця 1'!$B:$B,$A231,'Таблиця 1'!$I:$I,"Су-25",'Таблиця 1'!$J:$J,"GBU-65")+SUMIFS('Таблиця 1'!$K:$K,'Таблиця 1'!$B:$B,$A231,'Таблиця 1'!$I:$I,"Су-27",'Таблиця 1'!$J:$J,"GBU-65"))</f>
        <v/>
      </c>
      <c r="M231">
        <f>IF($A231="","",SUMIFS('Таблиця 1'!$K:$K,'Таблиця 1'!$B:$B,$A231,'Таблиця 1'!$I:$I,"Mirage",'Таблиця 1'!$J:$J,"GBU-62")+SUMIFS('Таблиця 1'!$K:$K,'Таблиця 1'!$B:$B,$A231,'Таблиця 1'!$I:$I,"F-16",'Таблиця 1'!$J:$J,"GBU-62")+SUMIFS('Таблиця 1'!$K:$K,'Таблиця 1'!$B:$B,$A231,'Таблиця 1'!$I:$I,"МіГ-29",'Таблиця 1'!$J:$J,"GBU-62")+SUMIFS('Таблиця 1'!$K:$K,'Таблиця 1'!$B:$B,$A231,'Таблиця 1'!$I:$I,"Су-25",'Таблиця 1'!$J:$J,"GBU-62")+SUMIFS('Таблиця 1'!$K:$K,'Таблиця 1'!$B:$B,$A231,'Таблиця 1'!$I:$I,"Су-27",'Таблиця 1'!$J:$J,"GBU-62"))</f>
        <v/>
      </c>
      <c r="N231">
        <f>IF($A231="","",SUMIFS('Таблиця 1'!$K:$K,'Таблиця 1'!$B:$B,$A231,'Таблиця 1'!$I:$I,"Mirage",'Таблиця 1'!$J:$J,"GBU-64")+SUMIFS('Таблиця 1'!$K:$K,'Таблиця 1'!$B:$B,$A231,'Таблиця 1'!$I:$I,"F-16",'Таблиця 1'!$J:$J,"GBU-64")+SUMIFS('Таблиця 1'!$K:$K,'Таблиця 1'!$B:$B,$A231,'Таблиця 1'!$I:$I,"МіГ-29",'Таблиця 1'!$J:$J,"GBU-64")+SUMIFS('Таблиця 1'!$K:$K,'Таблиця 1'!$B:$B,$A231,'Таблиця 1'!$I:$I,"Су-25",'Таблиця 1'!$J:$J,"GBU-64")+SUMIFS('Таблиця 1'!$K:$K,'Таблиця 1'!$B:$B,$A231,'Таблиця 1'!$I:$I,"Су-27",'Таблиця 1'!$J:$J,"GBU-64"))</f>
        <v/>
      </c>
      <c r="O231">
        <f>IF($A231="","",SUMIFS('Таблиця 1'!$K:$K,'Таблиця 1'!$B:$B,$A231,'Таблиця 1'!$I:$I,"Mirage",'Таблиця 1'!$J:$J,"C-13")+SUMIFS('Таблиця 1'!$K:$K,'Таблиця 1'!$B:$B,$A231,'Таблиця 1'!$I:$I,"F-16",'Таблиця 1'!$J:$J,"C-13")+SUMIFS('Таблиця 1'!$K:$K,'Таблиця 1'!$B:$B,$A231,'Таблиця 1'!$I:$I,"МіГ-29",'Таблиця 1'!$J:$J,"C-13")+SUMIFS('Таблиця 1'!$K:$K,'Таблиця 1'!$B:$B,$A231,'Таблиця 1'!$I:$I,"Су-25",'Таблиця 1'!$J:$J,"C-13")+SUMIFS('Таблиця 1'!$K:$K,'Таблиця 1'!$B:$B,$A231,'Таблиця 1'!$I:$I,"Су-27",'Таблиця 1'!$J:$J,"C-13"))</f>
        <v/>
      </c>
      <c r="P231">
        <f>IF($A231="","",SUMIFS('Таблиця 1'!$K:$K,'Таблиця 1'!$B:$B,$A231,'Таблиця 1'!$I:$I,"Mirage",'Таблиця 1'!$J:$J,"MK-32")+SUMIFS('Таблиця 1'!$K:$K,'Таблиця 1'!$B:$B,$A231,'Таблиця 1'!$I:$I,"F-16",'Таблиця 1'!$J:$J,"MK-32")+SUMIFS('Таблиця 1'!$K:$K,'Таблиця 1'!$B:$B,$A231,'Таблиця 1'!$I:$I,"МіГ-29",'Таблиця 1'!$J:$J,"MK-32")+SUMIFS('Таблиця 1'!$K:$K,'Таблиця 1'!$B:$B,$A231,'Таблиця 1'!$I:$I,"Су-25",'Таблиця 1'!$J:$J,"MK-32")+SUMIFS('Таблиця 1'!$K:$K,'Таблиця 1'!$B:$B,$A231,'Таблиця 1'!$I:$I,"Су-27",'Таблиця 1'!$J:$J,"MK-32"))</f>
        <v/>
      </c>
      <c r="Q231">
        <f>IF($A231="","",SUMIFS('Таблиця 1'!$K:$K,'Таблиця 1'!$B:$B,$A231,'Таблиця 1'!$I:$I,"Mirage",'Таблиця 1'!$J:$J,"MK-24")+SUMIFS('Таблиця 1'!$K:$K,'Таблиця 1'!$B:$B,$A231,'Таблиця 1'!$I:$I,"F-16",'Таблиця 1'!$J:$J,"MK-24")+SUMIFS('Таблиця 1'!$K:$K,'Таблиця 1'!$B:$B,$A231,'Таблиця 1'!$I:$I,"МіГ-29",'Таблиця 1'!$J:$J,"MK-24")+SUMIFS('Таблиця 1'!$K:$K,'Таблиця 1'!$B:$B,$A231,'Таблиця 1'!$I:$I,"Су-25",'Таблиця 1'!$J:$J,"MK-24")+SUMIFS('Таблиця 1'!$K:$K,'Таблиця 1'!$B:$B,$A231,'Таблиця 1'!$I:$I,"Су-27",'Таблиця 1'!$J:$J,"MK-24"))</f>
        <v/>
      </c>
      <c r="R231">
        <f>IF($A231="","",COUNTIFS('Таблиця 1'!$B:$B,$A231,'Таблиця 1'!$I:$I,"Mirage",'Таблиця 1'!$L:$L,"Уражено")+COUNTIFS('Таблиця 1'!$B:$B,$A231,'Таблиця 1'!$I:$I,"F-16",'Таблиця 1'!$L:$L,"Уражено")+COUNTIFS('Таблиця 1'!$B:$B,$A231,'Таблиця 1'!$I:$I,"МіГ-29",'Таблиця 1'!$L:$L,"Уражено")+COUNTIFS('Таблиця 1'!$B:$B,$A231,'Таблиця 1'!$I:$I,"Су-25",'Таблиця 1'!$L:$L,"Уражено")+COUNTIFS('Таблиця 1'!$B:$B,$A231,'Таблиця 1'!$I:$I,"Су-27",'Таблиця 1'!$L:$L,"Уражено"))</f>
        <v/>
      </c>
      <c r="S231">
        <f>IF($A231="","",COUNTIFS('Таблиця 1'!$B:$B,$A231,'Таблиця 1'!$I:$I,"Mirage",'Таблиця 1'!$L:$L,"НЕ уражено")+COUNTIFS('Таблиця 1'!$B:$B,$A231,'Таблиця 1'!$I:$I,"F-16",'Таблиця 1'!$L:$L,"НЕ уражено")+COUNTIFS('Таблиця 1'!$B:$B,$A231,'Таблиця 1'!$I:$I,"МіГ-29",'Таблиця 1'!$L:$L,"НЕ уражено")+COUNTIFS('Таблиця 1'!$B:$B,$A231,'Таблиця 1'!$I:$I,"Су-25",'Таблиця 1'!$L:$L,"НЕ уражено")+COUNTIFS('Таблиця 1'!$B:$B,$A231,'Таблиця 1'!$I:$I,"Су-27",'Таблиця 1'!$L:$L,"НЕ уражено"))</f>
        <v/>
      </c>
      <c r="T231">
        <f>IF($A231="","",COUNTIFS('Таблиця 1'!$B:$B,$A231,'Таблиця 1'!$I:$I,"Mirage",'Таблиця 1'!$L:$L,"Дорозвідується")+COUNTIFS('Таблиця 1'!$B:$B,$A231,'Таблиця 1'!$I:$I,"F-16",'Таблиця 1'!$L:$L,"Дорозвідується")+COUNTIFS('Таблиця 1'!$B:$B,$A231,'Таблиця 1'!$I:$I,"МіГ-29",'Таблиця 1'!$L:$L,"Дорозвідується")+COUNTIFS('Таблиця 1'!$B:$B,$A231,'Таблиця 1'!$I:$I,"Су-25",'Таблиця 1'!$L:$L,"Дорозвідується")+COUNTIFS('Таблиця 1'!$B:$B,$A231,'Таблиця 1'!$I:$I,"Су-27",'Таблиця 1'!$L:$L,"Дорозвідується"))</f>
        <v/>
      </c>
    </row>
    <row r="232">
      <c r="A232" s="273">
        <f>IF(A231="","",IF(A231+1&gt;MAX('Таблиця 1'!$B:$B),"",A231+1))</f>
        <v/>
      </c>
      <c r="B232">
        <f>IF($A232="","",COUNTIFS('Таблиця 1'!$B:$B,$A232,'Таблиця 1'!$I:$I,"Mirage")+COUNTIFS('Таблиця 1'!$B:$B,$A232,'Таблиця 1'!$I:$I,"F-16")+COUNTIFS('Таблиця 1'!$B:$B,$A232,'Таблиця 1'!$I:$I,"МіГ-29")+COUNTIFS('Таблиця 1'!$B:$B,$A232,'Таблиця 1'!$I:$I,"Су-25")+COUNTIFS('Таблиця 1'!$B:$B,$A232,'Таблиця 1'!$I:$I,"Су-27"))</f>
        <v/>
      </c>
      <c r="C232">
        <f>IF($A232="","",COUNTIFS('Таблиця 1'!$B:$B,$A232,'Таблиця 1'!$I:$I,"Mirage"))</f>
        <v/>
      </c>
      <c r="D232">
        <f>IF($A232="","",COUNTIFS('Таблиця 1'!$B:$B,$A232,'Таблиця 1'!$I:$I,"F-16"))</f>
        <v/>
      </c>
      <c r="E232">
        <f>IF($A232="","",COUNTIFS('Таблиця 1'!$B:$B,$A232,'Таблиця 1'!$I:$I,"МіГ-29"))</f>
        <v/>
      </c>
      <c r="F232">
        <f>IF($A232="","",COUNTIFS('Таблиця 1'!$B:$B,$A232,'Таблиця 1'!$I:$I,"Су-25"))</f>
        <v/>
      </c>
      <c r="G232">
        <f>IF($A232="","",COUNTIFS('Таблиця 1'!$B:$B,$A232,'Таблиця 1'!$I:$I,"Су-27"))</f>
        <v/>
      </c>
      <c r="H232">
        <f>IF($A232="","",SUMIFS('Таблиця 1'!$K:$K,'Таблиця 1'!$B:$B,$A232,'Таблиця 1'!$I:$I,"Mirage",'Таблиця 1'!$J:$J,"AGM-88")+SUMIFS('Таблиця 1'!$K:$K,'Таблиця 1'!$B:$B,$A232,'Таблиця 1'!$I:$I,"F-16",'Таблиця 1'!$J:$J,"AGM-88")+SUMIFS('Таблиця 1'!$K:$K,'Таблиця 1'!$B:$B,$A232,'Таблиця 1'!$I:$I,"МіГ-29",'Таблиця 1'!$J:$J,"AGM-88")+SUMIFS('Таблиця 1'!$K:$K,'Таблиця 1'!$B:$B,$A232,'Таблиця 1'!$I:$I,"Су-25",'Таблиця 1'!$J:$J,"AGM-88")+SUMIFS('Таблиця 1'!$K:$K,'Таблиця 1'!$B:$B,$A232,'Таблиця 1'!$I:$I,"Су-27",'Таблиця 1'!$J:$J,"AGM-88"))</f>
        <v/>
      </c>
      <c r="I232">
        <f>IF($A232="","",SUMIFS('Таблиця 1'!$K:$K,'Таблиця 1'!$B:$B,$A232,'Таблиця 1'!$I:$I,"Mirage",'Таблиця 1'!$J:$J,"AASM-250")+SUMIFS('Таблиця 1'!$K:$K,'Таблиця 1'!$B:$B,$A232,'Таблиця 1'!$I:$I,"F-16",'Таблиця 1'!$J:$J,"AASM-250")+SUMIFS('Таблиця 1'!$K:$K,'Таблиця 1'!$B:$B,$A232,'Таблиця 1'!$I:$I,"МіГ-29",'Таблиця 1'!$J:$J,"AASM-250")+SUMIFS('Таблиця 1'!$K:$K,'Таблиця 1'!$B:$B,$A232,'Таблиця 1'!$I:$I,"Су-25",'Таблиця 1'!$J:$J,"AASM-250")+SUMIFS('Таблиця 1'!$K:$K,'Таблиця 1'!$B:$B,$A232,'Таблиця 1'!$I:$I,"Су-27",'Таблиця 1'!$J:$J,"AASM-250"))</f>
        <v/>
      </c>
      <c r="J232">
        <f>IF($A232="","",SUMIFS('Таблиця 1'!$K:$K,'Таблиця 1'!$B:$B,$A232,'Таблиця 1'!$I:$I,"Mirage",'Таблиця 1'!$J:$J,"GBU-39")+SUMIFS('Таблиця 1'!$K:$K,'Таблиця 1'!$B:$B,$A232,'Таблиця 1'!$I:$I,"F-16",'Таблиця 1'!$J:$J,"GBU-39")+SUMIFS('Таблиця 1'!$K:$K,'Таблиця 1'!$B:$B,$A232,'Таблиця 1'!$I:$I,"МіГ-29",'Таблиця 1'!$J:$J,"GBU-39")+SUMIFS('Таблиця 1'!$K:$K,'Таблиця 1'!$B:$B,$A232,'Таблиця 1'!$I:$I,"Су-25",'Таблиця 1'!$J:$J,"GBU-39")+SUMIFS('Таблиця 1'!$K:$K,'Таблиця 1'!$B:$B,$A232,'Таблиця 1'!$I:$I,"Су-27",'Таблиця 1'!$J:$J,"GBU-39"))</f>
        <v/>
      </c>
      <c r="K232">
        <f>IF($A232="","",SUMIFS('Таблиця 1'!$K:$K,'Таблиця 1'!$B:$B,$A232,'Таблиця 1'!$I:$I,"Mirage",'Таблиця 1'!$J:$J,"BLU-140")+SUMIFS('Таблиця 1'!$K:$K,'Таблиця 1'!$B:$B,$A232,'Таблиця 1'!$I:$I,"F-16",'Таблиця 1'!$J:$J,"BLU-140")+SUMIFS('Таблиця 1'!$K:$K,'Таблиця 1'!$B:$B,$A232,'Таблиця 1'!$I:$I,"МіГ-29",'Таблиця 1'!$J:$J,"BLU-140")+SUMIFS('Таблиця 1'!$K:$K,'Таблиця 1'!$B:$B,$A232,'Таблиця 1'!$I:$I,"Су-25",'Таблиця 1'!$J:$J,"BLU-140")+SUMIFS('Таблиця 1'!$K:$K,'Таблиця 1'!$B:$B,$A232,'Таблиця 1'!$I:$I,"Су-27",'Таблиця 1'!$J:$J,"BLU-140"))</f>
        <v/>
      </c>
      <c r="L232">
        <f>IF($A232="","",SUMIFS('Таблиця 1'!$K:$K,'Таблиця 1'!$B:$B,$A232,'Таблиця 1'!$I:$I,"Mirage",'Таблиця 1'!$J:$J,"GBU-65")+SUMIFS('Таблиця 1'!$K:$K,'Таблиця 1'!$B:$B,$A232,'Таблиця 1'!$I:$I,"F-16",'Таблиця 1'!$J:$J,"GBU-65")+SUMIFS('Таблиця 1'!$K:$K,'Таблиця 1'!$B:$B,$A232,'Таблиця 1'!$I:$I,"МіГ-29",'Таблиця 1'!$J:$J,"GBU-65")+SUMIFS('Таблиця 1'!$K:$K,'Таблиця 1'!$B:$B,$A232,'Таблиця 1'!$I:$I,"Су-25",'Таблиця 1'!$J:$J,"GBU-65")+SUMIFS('Таблиця 1'!$K:$K,'Таблиця 1'!$B:$B,$A232,'Таблиця 1'!$I:$I,"Су-27",'Таблиця 1'!$J:$J,"GBU-65"))</f>
        <v/>
      </c>
      <c r="M232">
        <f>IF($A232="","",SUMIFS('Таблиця 1'!$K:$K,'Таблиця 1'!$B:$B,$A232,'Таблиця 1'!$I:$I,"Mirage",'Таблиця 1'!$J:$J,"GBU-62")+SUMIFS('Таблиця 1'!$K:$K,'Таблиця 1'!$B:$B,$A232,'Таблиця 1'!$I:$I,"F-16",'Таблиця 1'!$J:$J,"GBU-62")+SUMIFS('Таблиця 1'!$K:$K,'Таблиця 1'!$B:$B,$A232,'Таблиця 1'!$I:$I,"МіГ-29",'Таблиця 1'!$J:$J,"GBU-62")+SUMIFS('Таблиця 1'!$K:$K,'Таблиця 1'!$B:$B,$A232,'Таблиця 1'!$I:$I,"Су-25",'Таблиця 1'!$J:$J,"GBU-62")+SUMIFS('Таблиця 1'!$K:$K,'Таблиця 1'!$B:$B,$A232,'Таблиця 1'!$I:$I,"Су-27",'Таблиця 1'!$J:$J,"GBU-62"))</f>
        <v/>
      </c>
      <c r="N232">
        <f>IF($A232="","",SUMIFS('Таблиця 1'!$K:$K,'Таблиця 1'!$B:$B,$A232,'Таблиця 1'!$I:$I,"Mirage",'Таблиця 1'!$J:$J,"GBU-64")+SUMIFS('Таблиця 1'!$K:$K,'Таблиця 1'!$B:$B,$A232,'Таблиця 1'!$I:$I,"F-16",'Таблиця 1'!$J:$J,"GBU-64")+SUMIFS('Таблиця 1'!$K:$K,'Таблиця 1'!$B:$B,$A232,'Таблиця 1'!$I:$I,"МіГ-29",'Таблиця 1'!$J:$J,"GBU-64")+SUMIFS('Таблиця 1'!$K:$K,'Таблиця 1'!$B:$B,$A232,'Таблиця 1'!$I:$I,"Су-25",'Таблиця 1'!$J:$J,"GBU-64")+SUMIFS('Таблиця 1'!$K:$K,'Таблиця 1'!$B:$B,$A232,'Таблиця 1'!$I:$I,"Су-27",'Таблиця 1'!$J:$J,"GBU-64"))</f>
        <v/>
      </c>
      <c r="O232">
        <f>IF($A232="","",SUMIFS('Таблиця 1'!$K:$K,'Таблиця 1'!$B:$B,$A232,'Таблиця 1'!$I:$I,"Mirage",'Таблиця 1'!$J:$J,"C-13")+SUMIFS('Таблиця 1'!$K:$K,'Таблиця 1'!$B:$B,$A232,'Таблиця 1'!$I:$I,"F-16",'Таблиця 1'!$J:$J,"C-13")+SUMIFS('Таблиця 1'!$K:$K,'Таблиця 1'!$B:$B,$A232,'Таблиця 1'!$I:$I,"МіГ-29",'Таблиця 1'!$J:$J,"C-13")+SUMIFS('Таблиця 1'!$K:$K,'Таблиця 1'!$B:$B,$A232,'Таблиця 1'!$I:$I,"Су-25",'Таблиця 1'!$J:$J,"C-13")+SUMIFS('Таблиця 1'!$K:$K,'Таблиця 1'!$B:$B,$A232,'Таблиця 1'!$I:$I,"Су-27",'Таблиця 1'!$J:$J,"C-13"))</f>
        <v/>
      </c>
      <c r="P232">
        <f>IF($A232="","",SUMIFS('Таблиця 1'!$K:$K,'Таблиця 1'!$B:$B,$A232,'Таблиця 1'!$I:$I,"Mirage",'Таблиця 1'!$J:$J,"MK-32")+SUMIFS('Таблиця 1'!$K:$K,'Таблиця 1'!$B:$B,$A232,'Таблиця 1'!$I:$I,"F-16",'Таблиця 1'!$J:$J,"MK-32")+SUMIFS('Таблиця 1'!$K:$K,'Таблиця 1'!$B:$B,$A232,'Таблиця 1'!$I:$I,"МіГ-29",'Таблиця 1'!$J:$J,"MK-32")+SUMIFS('Таблиця 1'!$K:$K,'Таблиця 1'!$B:$B,$A232,'Таблиця 1'!$I:$I,"Су-25",'Таблиця 1'!$J:$J,"MK-32")+SUMIFS('Таблиця 1'!$K:$K,'Таблиця 1'!$B:$B,$A232,'Таблиця 1'!$I:$I,"Су-27",'Таблиця 1'!$J:$J,"MK-32"))</f>
        <v/>
      </c>
      <c r="Q232">
        <f>IF($A232="","",SUMIFS('Таблиця 1'!$K:$K,'Таблиця 1'!$B:$B,$A232,'Таблиця 1'!$I:$I,"Mirage",'Таблиця 1'!$J:$J,"MK-24")+SUMIFS('Таблиця 1'!$K:$K,'Таблиця 1'!$B:$B,$A232,'Таблиця 1'!$I:$I,"F-16",'Таблиця 1'!$J:$J,"MK-24")+SUMIFS('Таблиця 1'!$K:$K,'Таблиця 1'!$B:$B,$A232,'Таблиця 1'!$I:$I,"МіГ-29",'Таблиця 1'!$J:$J,"MK-24")+SUMIFS('Таблиця 1'!$K:$K,'Таблиця 1'!$B:$B,$A232,'Таблиця 1'!$I:$I,"Су-25",'Таблиця 1'!$J:$J,"MK-24")+SUMIFS('Таблиця 1'!$K:$K,'Таблиця 1'!$B:$B,$A232,'Таблиця 1'!$I:$I,"Су-27",'Таблиця 1'!$J:$J,"MK-24"))</f>
        <v/>
      </c>
      <c r="R232">
        <f>IF($A232="","",COUNTIFS('Таблиця 1'!$B:$B,$A232,'Таблиця 1'!$I:$I,"Mirage",'Таблиця 1'!$L:$L,"Уражено")+COUNTIFS('Таблиця 1'!$B:$B,$A232,'Таблиця 1'!$I:$I,"F-16",'Таблиця 1'!$L:$L,"Уражено")+COUNTIFS('Таблиця 1'!$B:$B,$A232,'Таблиця 1'!$I:$I,"МіГ-29",'Таблиця 1'!$L:$L,"Уражено")+COUNTIFS('Таблиця 1'!$B:$B,$A232,'Таблиця 1'!$I:$I,"Су-25",'Таблиця 1'!$L:$L,"Уражено")+COUNTIFS('Таблиця 1'!$B:$B,$A232,'Таблиця 1'!$I:$I,"Су-27",'Таблиця 1'!$L:$L,"Уражено"))</f>
        <v/>
      </c>
      <c r="S232">
        <f>IF($A232="","",COUNTIFS('Таблиця 1'!$B:$B,$A232,'Таблиця 1'!$I:$I,"Mirage",'Таблиця 1'!$L:$L,"НЕ уражено")+COUNTIFS('Таблиця 1'!$B:$B,$A232,'Таблиця 1'!$I:$I,"F-16",'Таблиця 1'!$L:$L,"НЕ уражено")+COUNTIFS('Таблиця 1'!$B:$B,$A232,'Таблиця 1'!$I:$I,"МіГ-29",'Таблиця 1'!$L:$L,"НЕ уражено")+COUNTIFS('Таблиця 1'!$B:$B,$A232,'Таблиця 1'!$I:$I,"Су-25",'Таблиця 1'!$L:$L,"НЕ уражено")+COUNTIFS('Таблиця 1'!$B:$B,$A232,'Таблиця 1'!$I:$I,"Су-27",'Таблиця 1'!$L:$L,"НЕ уражено"))</f>
        <v/>
      </c>
      <c r="T232">
        <f>IF($A232="","",COUNTIFS('Таблиця 1'!$B:$B,$A232,'Таблиця 1'!$I:$I,"Mirage",'Таблиця 1'!$L:$L,"Дорозвідується")+COUNTIFS('Таблиця 1'!$B:$B,$A232,'Таблиця 1'!$I:$I,"F-16",'Таблиця 1'!$L:$L,"Дорозвідується")+COUNTIFS('Таблиця 1'!$B:$B,$A232,'Таблиця 1'!$I:$I,"МіГ-29",'Таблиця 1'!$L:$L,"Дорозвідується")+COUNTIFS('Таблиця 1'!$B:$B,$A232,'Таблиця 1'!$I:$I,"Су-25",'Таблиця 1'!$L:$L,"Дорозвідується")+COUNTIFS('Таблиця 1'!$B:$B,$A232,'Таблиця 1'!$I:$I,"Су-27",'Таблиця 1'!$L:$L,"Дорозвідується"))</f>
        <v/>
      </c>
    </row>
    <row r="233">
      <c r="A233" s="273">
        <f>IF(A232="","",IF(A232+1&gt;MAX('Таблиця 1'!$B:$B),"",A232+1))</f>
        <v/>
      </c>
      <c r="B233">
        <f>IF($A233="","",COUNTIFS('Таблиця 1'!$B:$B,$A233,'Таблиця 1'!$I:$I,"Mirage")+COUNTIFS('Таблиця 1'!$B:$B,$A233,'Таблиця 1'!$I:$I,"F-16")+COUNTIFS('Таблиця 1'!$B:$B,$A233,'Таблиця 1'!$I:$I,"МіГ-29")+COUNTIFS('Таблиця 1'!$B:$B,$A233,'Таблиця 1'!$I:$I,"Су-25")+COUNTIFS('Таблиця 1'!$B:$B,$A233,'Таблиця 1'!$I:$I,"Су-27"))</f>
        <v/>
      </c>
      <c r="C233">
        <f>IF($A233="","",COUNTIFS('Таблиця 1'!$B:$B,$A233,'Таблиця 1'!$I:$I,"Mirage"))</f>
        <v/>
      </c>
      <c r="D233">
        <f>IF($A233="","",COUNTIFS('Таблиця 1'!$B:$B,$A233,'Таблиця 1'!$I:$I,"F-16"))</f>
        <v/>
      </c>
      <c r="E233">
        <f>IF($A233="","",COUNTIFS('Таблиця 1'!$B:$B,$A233,'Таблиця 1'!$I:$I,"МіГ-29"))</f>
        <v/>
      </c>
      <c r="F233">
        <f>IF($A233="","",COUNTIFS('Таблиця 1'!$B:$B,$A233,'Таблиця 1'!$I:$I,"Су-25"))</f>
        <v/>
      </c>
      <c r="G233">
        <f>IF($A233="","",COUNTIFS('Таблиця 1'!$B:$B,$A233,'Таблиця 1'!$I:$I,"Су-27"))</f>
        <v/>
      </c>
      <c r="H233">
        <f>IF($A233="","",SUMIFS('Таблиця 1'!$K:$K,'Таблиця 1'!$B:$B,$A233,'Таблиця 1'!$I:$I,"Mirage",'Таблиця 1'!$J:$J,"AGM-88")+SUMIFS('Таблиця 1'!$K:$K,'Таблиця 1'!$B:$B,$A233,'Таблиця 1'!$I:$I,"F-16",'Таблиця 1'!$J:$J,"AGM-88")+SUMIFS('Таблиця 1'!$K:$K,'Таблиця 1'!$B:$B,$A233,'Таблиця 1'!$I:$I,"МіГ-29",'Таблиця 1'!$J:$J,"AGM-88")+SUMIFS('Таблиця 1'!$K:$K,'Таблиця 1'!$B:$B,$A233,'Таблиця 1'!$I:$I,"Су-25",'Таблиця 1'!$J:$J,"AGM-88")+SUMIFS('Таблиця 1'!$K:$K,'Таблиця 1'!$B:$B,$A233,'Таблиця 1'!$I:$I,"Су-27",'Таблиця 1'!$J:$J,"AGM-88"))</f>
        <v/>
      </c>
      <c r="I233">
        <f>IF($A233="","",SUMIFS('Таблиця 1'!$K:$K,'Таблиця 1'!$B:$B,$A233,'Таблиця 1'!$I:$I,"Mirage",'Таблиця 1'!$J:$J,"AASM-250")+SUMIFS('Таблиця 1'!$K:$K,'Таблиця 1'!$B:$B,$A233,'Таблиця 1'!$I:$I,"F-16",'Таблиця 1'!$J:$J,"AASM-250")+SUMIFS('Таблиця 1'!$K:$K,'Таблиця 1'!$B:$B,$A233,'Таблиця 1'!$I:$I,"МіГ-29",'Таблиця 1'!$J:$J,"AASM-250")+SUMIFS('Таблиця 1'!$K:$K,'Таблиця 1'!$B:$B,$A233,'Таблиця 1'!$I:$I,"Су-25",'Таблиця 1'!$J:$J,"AASM-250")+SUMIFS('Таблиця 1'!$K:$K,'Таблиця 1'!$B:$B,$A233,'Таблиця 1'!$I:$I,"Су-27",'Таблиця 1'!$J:$J,"AASM-250"))</f>
        <v/>
      </c>
      <c r="J233">
        <f>IF($A233="","",SUMIFS('Таблиця 1'!$K:$K,'Таблиця 1'!$B:$B,$A233,'Таблиця 1'!$I:$I,"Mirage",'Таблиця 1'!$J:$J,"GBU-39")+SUMIFS('Таблиця 1'!$K:$K,'Таблиця 1'!$B:$B,$A233,'Таблиця 1'!$I:$I,"F-16",'Таблиця 1'!$J:$J,"GBU-39")+SUMIFS('Таблиця 1'!$K:$K,'Таблиця 1'!$B:$B,$A233,'Таблиця 1'!$I:$I,"МіГ-29",'Таблиця 1'!$J:$J,"GBU-39")+SUMIFS('Таблиця 1'!$K:$K,'Таблиця 1'!$B:$B,$A233,'Таблиця 1'!$I:$I,"Су-25",'Таблиця 1'!$J:$J,"GBU-39")+SUMIFS('Таблиця 1'!$K:$K,'Таблиця 1'!$B:$B,$A233,'Таблиця 1'!$I:$I,"Су-27",'Таблиця 1'!$J:$J,"GBU-39"))</f>
        <v/>
      </c>
      <c r="K233">
        <f>IF($A233="","",SUMIFS('Таблиця 1'!$K:$K,'Таблиця 1'!$B:$B,$A233,'Таблиця 1'!$I:$I,"Mirage",'Таблиця 1'!$J:$J,"BLU-140")+SUMIFS('Таблиця 1'!$K:$K,'Таблиця 1'!$B:$B,$A233,'Таблиця 1'!$I:$I,"F-16",'Таблиця 1'!$J:$J,"BLU-140")+SUMIFS('Таблиця 1'!$K:$K,'Таблиця 1'!$B:$B,$A233,'Таблиця 1'!$I:$I,"МіГ-29",'Таблиця 1'!$J:$J,"BLU-140")+SUMIFS('Таблиця 1'!$K:$K,'Таблиця 1'!$B:$B,$A233,'Таблиця 1'!$I:$I,"Су-25",'Таблиця 1'!$J:$J,"BLU-140")+SUMIFS('Таблиця 1'!$K:$K,'Таблиця 1'!$B:$B,$A233,'Таблиця 1'!$I:$I,"Су-27",'Таблиця 1'!$J:$J,"BLU-140"))</f>
        <v/>
      </c>
      <c r="L233">
        <f>IF($A233="","",SUMIFS('Таблиця 1'!$K:$K,'Таблиця 1'!$B:$B,$A233,'Таблиця 1'!$I:$I,"Mirage",'Таблиця 1'!$J:$J,"GBU-65")+SUMIFS('Таблиця 1'!$K:$K,'Таблиця 1'!$B:$B,$A233,'Таблиця 1'!$I:$I,"F-16",'Таблиця 1'!$J:$J,"GBU-65")+SUMIFS('Таблиця 1'!$K:$K,'Таблиця 1'!$B:$B,$A233,'Таблиця 1'!$I:$I,"МіГ-29",'Таблиця 1'!$J:$J,"GBU-65")+SUMIFS('Таблиця 1'!$K:$K,'Таблиця 1'!$B:$B,$A233,'Таблиця 1'!$I:$I,"Су-25",'Таблиця 1'!$J:$J,"GBU-65")+SUMIFS('Таблиця 1'!$K:$K,'Таблиця 1'!$B:$B,$A233,'Таблиця 1'!$I:$I,"Су-27",'Таблиця 1'!$J:$J,"GBU-65"))</f>
        <v/>
      </c>
      <c r="M233">
        <f>IF($A233="","",SUMIFS('Таблиця 1'!$K:$K,'Таблиця 1'!$B:$B,$A233,'Таблиця 1'!$I:$I,"Mirage",'Таблиця 1'!$J:$J,"GBU-62")+SUMIFS('Таблиця 1'!$K:$K,'Таблиця 1'!$B:$B,$A233,'Таблиця 1'!$I:$I,"F-16",'Таблиця 1'!$J:$J,"GBU-62")+SUMIFS('Таблиця 1'!$K:$K,'Таблиця 1'!$B:$B,$A233,'Таблиця 1'!$I:$I,"МіГ-29",'Таблиця 1'!$J:$J,"GBU-62")+SUMIFS('Таблиця 1'!$K:$K,'Таблиця 1'!$B:$B,$A233,'Таблиця 1'!$I:$I,"Су-25",'Таблиця 1'!$J:$J,"GBU-62")+SUMIFS('Таблиця 1'!$K:$K,'Таблиця 1'!$B:$B,$A233,'Таблиця 1'!$I:$I,"Су-27",'Таблиця 1'!$J:$J,"GBU-62"))</f>
        <v/>
      </c>
      <c r="N233">
        <f>IF($A233="","",SUMIFS('Таблиця 1'!$K:$K,'Таблиця 1'!$B:$B,$A233,'Таблиця 1'!$I:$I,"Mirage",'Таблиця 1'!$J:$J,"GBU-64")+SUMIFS('Таблиця 1'!$K:$K,'Таблиця 1'!$B:$B,$A233,'Таблиця 1'!$I:$I,"F-16",'Таблиця 1'!$J:$J,"GBU-64")+SUMIFS('Таблиця 1'!$K:$K,'Таблиця 1'!$B:$B,$A233,'Таблиця 1'!$I:$I,"МіГ-29",'Таблиця 1'!$J:$J,"GBU-64")+SUMIFS('Таблиця 1'!$K:$K,'Таблиця 1'!$B:$B,$A233,'Таблиця 1'!$I:$I,"Су-25",'Таблиця 1'!$J:$J,"GBU-64")+SUMIFS('Таблиця 1'!$K:$K,'Таблиця 1'!$B:$B,$A233,'Таблиця 1'!$I:$I,"Су-27",'Таблиця 1'!$J:$J,"GBU-64"))</f>
        <v/>
      </c>
      <c r="O233">
        <f>IF($A233="","",SUMIFS('Таблиця 1'!$K:$K,'Таблиця 1'!$B:$B,$A233,'Таблиця 1'!$I:$I,"Mirage",'Таблиця 1'!$J:$J,"C-13")+SUMIFS('Таблиця 1'!$K:$K,'Таблиця 1'!$B:$B,$A233,'Таблиця 1'!$I:$I,"F-16",'Таблиця 1'!$J:$J,"C-13")+SUMIFS('Таблиця 1'!$K:$K,'Таблиця 1'!$B:$B,$A233,'Таблиця 1'!$I:$I,"МіГ-29",'Таблиця 1'!$J:$J,"C-13")+SUMIFS('Таблиця 1'!$K:$K,'Таблиця 1'!$B:$B,$A233,'Таблиця 1'!$I:$I,"Су-25",'Таблиця 1'!$J:$J,"C-13")+SUMIFS('Таблиця 1'!$K:$K,'Таблиця 1'!$B:$B,$A233,'Таблиця 1'!$I:$I,"Су-27",'Таблиця 1'!$J:$J,"C-13"))</f>
        <v/>
      </c>
      <c r="P233">
        <f>IF($A233="","",SUMIFS('Таблиця 1'!$K:$K,'Таблиця 1'!$B:$B,$A233,'Таблиця 1'!$I:$I,"Mirage",'Таблиця 1'!$J:$J,"MK-32")+SUMIFS('Таблиця 1'!$K:$K,'Таблиця 1'!$B:$B,$A233,'Таблиця 1'!$I:$I,"F-16",'Таблиця 1'!$J:$J,"MK-32")+SUMIFS('Таблиця 1'!$K:$K,'Таблиця 1'!$B:$B,$A233,'Таблиця 1'!$I:$I,"МіГ-29",'Таблиця 1'!$J:$J,"MK-32")+SUMIFS('Таблиця 1'!$K:$K,'Таблиця 1'!$B:$B,$A233,'Таблиця 1'!$I:$I,"Су-25",'Таблиця 1'!$J:$J,"MK-32")+SUMIFS('Таблиця 1'!$K:$K,'Таблиця 1'!$B:$B,$A233,'Таблиця 1'!$I:$I,"Су-27",'Таблиця 1'!$J:$J,"MK-32"))</f>
        <v/>
      </c>
      <c r="Q233">
        <f>IF($A233="","",SUMIFS('Таблиця 1'!$K:$K,'Таблиця 1'!$B:$B,$A233,'Таблиця 1'!$I:$I,"Mirage",'Таблиця 1'!$J:$J,"MK-24")+SUMIFS('Таблиця 1'!$K:$K,'Таблиця 1'!$B:$B,$A233,'Таблиця 1'!$I:$I,"F-16",'Таблиця 1'!$J:$J,"MK-24")+SUMIFS('Таблиця 1'!$K:$K,'Таблиця 1'!$B:$B,$A233,'Таблиця 1'!$I:$I,"МіГ-29",'Таблиця 1'!$J:$J,"MK-24")+SUMIFS('Таблиця 1'!$K:$K,'Таблиця 1'!$B:$B,$A233,'Таблиця 1'!$I:$I,"Су-25",'Таблиця 1'!$J:$J,"MK-24")+SUMIFS('Таблиця 1'!$K:$K,'Таблиця 1'!$B:$B,$A233,'Таблиця 1'!$I:$I,"Су-27",'Таблиця 1'!$J:$J,"MK-24"))</f>
        <v/>
      </c>
      <c r="R233">
        <f>IF($A233="","",COUNTIFS('Таблиця 1'!$B:$B,$A233,'Таблиця 1'!$I:$I,"Mirage",'Таблиця 1'!$L:$L,"Уражено")+COUNTIFS('Таблиця 1'!$B:$B,$A233,'Таблиця 1'!$I:$I,"F-16",'Таблиця 1'!$L:$L,"Уражено")+COUNTIFS('Таблиця 1'!$B:$B,$A233,'Таблиця 1'!$I:$I,"МіГ-29",'Таблиця 1'!$L:$L,"Уражено")+COUNTIFS('Таблиця 1'!$B:$B,$A233,'Таблиця 1'!$I:$I,"Су-25",'Таблиця 1'!$L:$L,"Уражено")+COUNTIFS('Таблиця 1'!$B:$B,$A233,'Таблиця 1'!$I:$I,"Су-27",'Таблиця 1'!$L:$L,"Уражено"))</f>
        <v/>
      </c>
      <c r="S233">
        <f>IF($A233="","",COUNTIFS('Таблиця 1'!$B:$B,$A233,'Таблиця 1'!$I:$I,"Mirage",'Таблиця 1'!$L:$L,"НЕ уражено")+COUNTIFS('Таблиця 1'!$B:$B,$A233,'Таблиця 1'!$I:$I,"F-16",'Таблиця 1'!$L:$L,"НЕ уражено")+COUNTIFS('Таблиця 1'!$B:$B,$A233,'Таблиця 1'!$I:$I,"МіГ-29",'Таблиця 1'!$L:$L,"НЕ уражено")+COUNTIFS('Таблиця 1'!$B:$B,$A233,'Таблиця 1'!$I:$I,"Су-25",'Таблиця 1'!$L:$L,"НЕ уражено")+COUNTIFS('Таблиця 1'!$B:$B,$A233,'Таблиця 1'!$I:$I,"Су-27",'Таблиця 1'!$L:$L,"НЕ уражено"))</f>
        <v/>
      </c>
      <c r="T233">
        <f>IF($A233="","",COUNTIFS('Таблиця 1'!$B:$B,$A233,'Таблиця 1'!$I:$I,"Mirage",'Таблиця 1'!$L:$L,"Дорозвідується")+COUNTIFS('Таблиця 1'!$B:$B,$A233,'Таблиця 1'!$I:$I,"F-16",'Таблиця 1'!$L:$L,"Дорозвідується")+COUNTIFS('Таблиця 1'!$B:$B,$A233,'Таблиця 1'!$I:$I,"МіГ-29",'Таблиця 1'!$L:$L,"Дорозвідується")+COUNTIFS('Таблиця 1'!$B:$B,$A233,'Таблиця 1'!$I:$I,"Су-25",'Таблиця 1'!$L:$L,"Дорозвідується")+COUNTIFS('Таблиця 1'!$B:$B,$A233,'Таблиця 1'!$I:$I,"Су-27",'Таблиця 1'!$L:$L,"Дорозвідується"))</f>
        <v/>
      </c>
    </row>
    <row r="234">
      <c r="A234" s="273">
        <f>IF(A233="","",IF(A233+1&gt;MAX('Таблиця 1'!$B:$B),"",A233+1))</f>
        <v/>
      </c>
      <c r="B234">
        <f>IF($A234="","",COUNTIFS('Таблиця 1'!$B:$B,$A234,'Таблиця 1'!$I:$I,"Mirage")+COUNTIFS('Таблиця 1'!$B:$B,$A234,'Таблиця 1'!$I:$I,"F-16")+COUNTIFS('Таблиця 1'!$B:$B,$A234,'Таблиця 1'!$I:$I,"МіГ-29")+COUNTIFS('Таблиця 1'!$B:$B,$A234,'Таблиця 1'!$I:$I,"Су-25")+COUNTIFS('Таблиця 1'!$B:$B,$A234,'Таблиця 1'!$I:$I,"Су-27"))</f>
        <v/>
      </c>
      <c r="C234">
        <f>IF($A234="","",COUNTIFS('Таблиця 1'!$B:$B,$A234,'Таблиця 1'!$I:$I,"Mirage"))</f>
        <v/>
      </c>
      <c r="D234">
        <f>IF($A234="","",COUNTIFS('Таблиця 1'!$B:$B,$A234,'Таблиця 1'!$I:$I,"F-16"))</f>
        <v/>
      </c>
      <c r="E234">
        <f>IF($A234="","",COUNTIFS('Таблиця 1'!$B:$B,$A234,'Таблиця 1'!$I:$I,"МіГ-29"))</f>
        <v/>
      </c>
      <c r="F234">
        <f>IF($A234="","",COUNTIFS('Таблиця 1'!$B:$B,$A234,'Таблиця 1'!$I:$I,"Су-25"))</f>
        <v/>
      </c>
      <c r="G234">
        <f>IF($A234="","",COUNTIFS('Таблиця 1'!$B:$B,$A234,'Таблиця 1'!$I:$I,"Су-27"))</f>
        <v/>
      </c>
      <c r="H234">
        <f>IF($A234="","",SUMIFS('Таблиця 1'!$K:$K,'Таблиця 1'!$B:$B,$A234,'Таблиця 1'!$I:$I,"Mirage",'Таблиця 1'!$J:$J,"AGM-88")+SUMIFS('Таблиця 1'!$K:$K,'Таблиця 1'!$B:$B,$A234,'Таблиця 1'!$I:$I,"F-16",'Таблиця 1'!$J:$J,"AGM-88")+SUMIFS('Таблиця 1'!$K:$K,'Таблиця 1'!$B:$B,$A234,'Таблиця 1'!$I:$I,"МіГ-29",'Таблиця 1'!$J:$J,"AGM-88")+SUMIFS('Таблиця 1'!$K:$K,'Таблиця 1'!$B:$B,$A234,'Таблиця 1'!$I:$I,"Су-25",'Таблиця 1'!$J:$J,"AGM-88")+SUMIFS('Таблиця 1'!$K:$K,'Таблиця 1'!$B:$B,$A234,'Таблиця 1'!$I:$I,"Су-27",'Таблиця 1'!$J:$J,"AGM-88"))</f>
        <v/>
      </c>
      <c r="I234">
        <f>IF($A234="","",SUMIFS('Таблиця 1'!$K:$K,'Таблиця 1'!$B:$B,$A234,'Таблиця 1'!$I:$I,"Mirage",'Таблиця 1'!$J:$J,"AASM-250")+SUMIFS('Таблиця 1'!$K:$K,'Таблиця 1'!$B:$B,$A234,'Таблиця 1'!$I:$I,"F-16",'Таблиця 1'!$J:$J,"AASM-250")+SUMIFS('Таблиця 1'!$K:$K,'Таблиця 1'!$B:$B,$A234,'Таблиця 1'!$I:$I,"МіГ-29",'Таблиця 1'!$J:$J,"AASM-250")+SUMIFS('Таблиця 1'!$K:$K,'Таблиця 1'!$B:$B,$A234,'Таблиця 1'!$I:$I,"Су-25",'Таблиця 1'!$J:$J,"AASM-250")+SUMIFS('Таблиця 1'!$K:$K,'Таблиця 1'!$B:$B,$A234,'Таблиця 1'!$I:$I,"Су-27",'Таблиця 1'!$J:$J,"AASM-250"))</f>
        <v/>
      </c>
      <c r="J234">
        <f>IF($A234="","",SUMIFS('Таблиця 1'!$K:$K,'Таблиця 1'!$B:$B,$A234,'Таблиця 1'!$I:$I,"Mirage",'Таблиця 1'!$J:$J,"GBU-39")+SUMIFS('Таблиця 1'!$K:$K,'Таблиця 1'!$B:$B,$A234,'Таблиця 1'!$I:$I,"F-16",'Таблиця 1'!$J:$J,"GBU-39")+SUMIFS('Таблиця 1'!$K:$K,'Таблиця 1'!$B:$B,$A234,'Таблиця 1'!$I:$I,"МіГ-29",'Таблиця 1'!$J:$J,"GBU-39")+SUMIFS('Таблиця 1'!$K:$K,'Таблиця 1'!$B:$B,$A234,'Таблиця 1'!$I:$I,"Су-25",'Таблиця 1'!$J:$J,"GBU-39")+SUMIFS('Таблиця 1'!$K:$K,'Таблиця 1'!$B:$B,$A234,'Таблиця 1'!$I:$I,"Су-27",'Таблиця 1'!$J:$J,"GBU-39"))</f>
        <v/>
      </c>
      <c r="K234">
        <f>IF($A234="","",SUMIFS('Таблиця 1'!$K:$K,'Таблиця 1'!$B:$B,$A234,'Таблиця 1'!$I:$I,"Mirage",'Таблиця 1'!$J:$J,"BLU-140")+SUMIFS('Таблиця 1'!$K:$K,'Таблиця 1'!$B:$B,$A234,'Таблиця 1'!$I:$I,"F-16",'Таблиця 1'!$J:$J,"BLU-140")+SUMIFS('Таблиця 1'!$K:$K,'Таблиця 1'!$B:$B,$A234,'Таблиця 1'!$I:$I,"МіГ-29",'Таблиця 1'!$J:$J,"BLU-140")+SUMIFS('Таблиця 1'!$K:$K,'Таблиця 1'!$B:$B,$A234,'Таблиця 1'!$I:$I,"Су-25",'Таблиця 1'!$J:$J,"BLU-140")+SUMIFS('Таблиця 1'!$K:$K,'Таблиця 1'!$B:$B,$A234,'Таблиця 1'!$I:$I,"Су-27",'Таблиця 1'!$J:$J,"BLU-140"))</f>
        <v/>
      </c>
      <c r="L234">
        <f>IF($A234="","",SUMIFS('Таблиця 1'!$K:$K,'Таблиця 1'!$B:$B,$A234,'Таблиця 1'!$I:$I,"Mirage",'Таблиця 1'!$J:$J,"GBU-65")+SUMIFS('Таблиця 1'!$K:$K,'Таблиця 1'!$B:$B,$A234,'Таблиця 1'!$I:$I,"F-16",'Таблиця 1'!$J:$J,"GBU-65")+SUMIFS('Таблиця 1'!$K:$K,'Таблиця 1'!$B:$B,$A234,'Таблиця 1'!$I:$I,"МіГ-29",'Таблиця 1'!$J:$J,"GBU-65")+SUMIFS('Таблиця 1'!$K:$K,'Таблиця 1'!$B:$B,$A234,'Таблиця 1'!$I:$I,"Су-25",'Таблиця 1'!$J:$J,"GBU-65")+SUMIFS('Таблиця 1'!$K:$K,'Таблиця 1'!$B:$B,$A234,'Таблиця 1'!$I:$I,"Су-27",'Таблиця 1'!$J:$J,"GBU-65"))</f>
        <v/>
      </c>
      <c r="M234">
        <f>IF($A234="","",SUMIFS('Таблиця 1'!$K:$K,'Таблиця 1'!$B:$B,$A234,'Таблиця 1'!$I:$I,"Mirage",'Таблиця 1'!$J:$J,"GBU-62")+SUMIFS('Таблиця 1'!$K:$K,'Таблиця 1'!$B:$B,$A234,'Таблиця 1'!$I:$I,"F-16",'Таблиця 1'!$J:$J,"GBU-62")+SUMIFS('Таблиця 1'!$K:$K,'Таблиця 1'!$B:$B,$A234,'Таблиця 1'!$I:$I,"МіГ-29",'Таблиця 1'!$J:$J,"GBU-62")+SUMIFS('Таблиця 1'!$K:$K,'Таблиця 1'!$B:$B,$A234,'Таблиця 1'!$I:$I,"Су-25",'Таблиця 1'!$J:$J,"GBU-62")+SUMIFS('Таблиця 1'!$K:$K,'Таблиця 1'!$B:$B,$A234,'Таблиця 1'!$I:$I,"Су-27",'Таблиця 1'!$J:$J,"GBU-62"))</f>
        <v/>
      </c>
      <c r="N234">
        <f>IF($A234="","",SUMIFS('Таблиця 1'!$K:$K,'Таблиця 1'!$B:$B,$A234,'Таблиця 1'!$I:$I,"Mirage",'Таблиця 1'!$J:$J,"GBU-64")+SUMIFS('Таблиця 1'!$K:$K,'Таблиця 1'!$B:$B,$A234,'Таблиця 1'!$I:$I,"F-16",'Таблиця 1'!$J:$J,"GBU-64")+SUMIFS('Таблиця 1'!$K:$K,'Таблиця 1'!$B:$B,$A234,'Таблиця 1'!$I:$I,"МіГ-29",'Таблиця 1'!$J:$J,"GBU-64")+SUMIFS('Таблиця 1'!$K:$K,'Таблиця 1'!$B:$B,$A234,'Таблиця 1'!$I:$I,"Су-25",'Таблиця 1'!$J:$J,"GBU-64")+SUMIFS('Таблиця 1'!$K:$K,'Таблиця 1'!$B:$B,$A234,'Таблиця 1'!$I:$I,"Су-27",'Таблиця 1'!$J:$J,"GBU-64"))</f>
        <v/>
      </c>
      <c r="O234">
        <f>IF($A234="","",SUMIFS('Таблиця 1'!$K:$K,'Таблиця 1'!$B:$B,$A234,'Таблиця 1'!$I:$I,"Mirage",'Таблиця 1'!$J:$J,"C-13")+SUMIFS('Таблиця 1'!$K:$K,'Таблиця 1'!$B:$B,$A234,'Таблиця 1'!$I:$I,"F-16",'Таблиця 1'!$J:$J,"C-13")+SUMIFS('Таблиця 1'!$K:$K,'Таблиця 1'!$B:$B,$A234,'Таблиця 1'!$I:$I,"МіГ-29",'Таблиця 1'!$J:$J,"C-13")+SUMIFS('Таблиця 1'!$K:$K,'Таблиця 1'!$B:$B,$A234,'Таблиця 1'!$I:$I,"Су-25",'Таблиця 1'!$J:$J,"C-13")+SUMIFS('Таблиця 1'!$K:$K,'Таблиця 1'!$B:$B,$A234,'Таблиця 1'!$I:$I,"Су-27",'Таблиця 1'!$J:$J,"C-13"))</f>
        <v/>
      </c>
      <c r="P234">
        <f>IF($A234="","",SUMIFS('Таблиця 1'!$K:$K,'Таблиця 1'!$B:$B,$A234,'Таблиця 1'!$I:$I,"Mirage",'Таблиця 1'!$J:$J,"MK-32")+SUMIFS('Таблиця 1'!$K:$K,'Таблиця 1'!$B:$B,$A234,'Таблиця 1'!$I:$I,"F-16",'Таблиця 1'!$J:$J,"MK-32")+SUMIFS('Таблиця 1'!$K:$K,'Таблиця 1'!$B:$B,$A234,'Таблиця 1'!$I:$I,"МіГ-29",'Таблиця 1'!$J:$J,"MK-32")+SUMIFS('Таблиця 1'!$K:$K,'Таблиця 1'!$B:$B,$A234,'Таблиця 1'!$I:$I,"Су-25",'Таблиця 1'!$J:$J,"MK-32")+SUMIFS('Таблиця 1'!$K:$K,'Таблиця 1'!$B:$B,$A234,'Таблиця 1'!$I:$I,"Су-27",'Таблиця 1'!$J:$J,"MK-32"))</f>
        <v/>
      </c>
      <c r="Q234">
        <f>IF($A234="","",SUMIFS('Таблиця 1'!$K:$K,'Таблиця 1'!$B:$B,$A234,'Таблиця 1'!$I:$I,"Mirage",'Таблиця 1'!$J:$J,"MK-24")+SUMIFS('Таблиця 1'!$K:$K,'Таблиця 1'!$B:$B,$A234,'Таблиця 1'!$I:$I,"F-16",'Таблиця 1'!$J:$J,"MK-24")+SUMIFS('Таблиця 1'!$K:$K,'Таблиця 1'!$B:$B,$A234,'Таблиця 1'!$I:$I,"МіГ-29",'Таблиця 1'!$J:$J,"MK-24")+SUMIFS('Таблиця 1'!$K:$K,'Таблиця 1'!$B:$B,$A234,'Таблиця 1'!$I:$I,"Су-25",'Таблиця 1'!$J:$J,"MK-24")+SUMIFS('Таблиця 1'!$K:$K,'Таблиця 1'!$B:$B,$A234,'Таблиця 1'!$I:$I,"Су-27",'Таблиця 1'!$J:$J,"MK-24"))</f>
        <v/>
      </c>
      <c r="R234">
        <f>IF($A234="","",COUNTIFS('Таблиця 1'!$B:$B,$A234,'Таблиця 1'!$I:$I,"Mirage",'Таблиця 1'!$L:$L,"Уражено")+COUNTIFS('Таблиця 1'!$B:$B,$A234,'Таблиця 1'!$I:$I,"F-16",'Таблиця 1'!$L:$L,"Уражено")+COUNTIFS('Таблиця 1'!$B:$B,$A234,'Таблиця 1'!$I:$I,"МіГ-29",'Таблиця 1'!$L:$L,"Уражено")+COUNTIFS('Таблиця 1'!$B:$B,$A234,'Таблиця 1'!$I:$I,"Су-25",'Таблиця 1'!$L:$L,"Уражено")+COUNTIFS('Таблиця 1'!$B:$B,$A234,'Таблиця 1'!$I:$I,"Су-27",'Таблиця 1'!$L:$L,"Уражено"))</f>
        <v/>
      </c>
      <c r="S234">
        <f>IF($A234="","",COUNTIFS('Таблиця 1'!$B:$B,$A234,'Таблиця 1'!$I:$I,"Mirage",'Таблиця 1'!$L:$L,"НЕ уражено")+COUNTIFS('Таблиця 1'!$B:$B,$A234,'Таблиця 1'!$I:$I,"F-16",'Таблиця 1'!$L:$L,"НЕ уражено")+COUNTIFS('Таблиця 1'!$B:$B,$A234,'Таблиця 1'!$I:$I,"МіГ-29",'Таблиця 1'!$L:$L,"НЕ уражено")+COUNTIFS('Таблиця 1'!$B:$B,$A234,'Таблиця 1'!$I:$I,"Су-25",'Таблиця 1'!$L:$L,"НЕ уражено")+COUNTIFS('Таблиця 1'!$B:$B,$A234,'Таблиця 1'!$I:$I,"Су-27",'Таблиця 1'!$L:$L,"НЕ уражено"))</f>
        <v/>
      </c>
      <c r="T234">
        <f>IF($A234="","",COUNTIFS('Таблиця 1'!$B:$B,$A234,'Таблиця 1'!$I:$I,"Mirage",'Таблиця 1'!$L:$L,"Дорозвідується")+COUNTIFS('Таблиця 1'!$B:$B,$A234,'Таблиця 1'!$I:$I,"F-16",'Таблиця 1'!$L:$L,"Дорозвідується")+COUNTIFS('Таблиця 1'!$B:$B,$A234,'Таблиця 1'!$I:$I,"МіГ-29",'Таблиця 1'!$L:$L,"Дорозвідується")+COUNTIFS('Таблиця 1'!$B:$B,$A234,'Таблиця 1'!$I:$I,"Су-25",'Таблиця 1'!$L:$L,"Дорозвідується")+COUNTIFS('Таблиця 1'!$B:$B,$A234,'Таблиця 1'!$I:$I,"Су-27",'Таблиця 1'!$L:$L,"Дорозвідується"))</f>
        <v/>
      </c>
    </row>
    <row r="235">
      <c r="A235" s="273">
        <f>IF(A234="","",IF(A234+1&gt;MAX('Таблиця 1'!$B:$B),"",A234+1))</f>
        <v/>
      </c>
      <c r="B235">
        <f>IF($A235="","",COUNTIFS('Таблиця 1'!$B:$B,$A235,'Таблиця 1'!$I:$I,"Mirage")+COUNTIFS('Таблиця 1'!$B:$B,$A235,'Таблиця 1'!$I:$I,"F-16")+COUNTIFS('Таблиця 1'!$B:$B,$A235,'Таблиця 1'!$I:$I,"МіГ-29")+COUNTIFS('Таблиця 1'!$B:$B,$A235,'Таблиця 1'!$I:$I,"Су-25")+COUNTIFS('Таблиця 1'!$B:$B,$A235,'Таблиця 1'!$I:$I,"Су-27"))</f>
        <v/>
      </c>
      <c r="C235">
        <f>IF($A235="","",COUNTIFS('Таблиця 1'!$B:$B,$A235,'Таблиця 1'!$I:$I,"Mirage"))</f>
        <v/>
      </c>
      <c r="D235">
        <f>IF($A235="","",COUNTIFS('Таблиця 1'!$B:$B,$A235,'Таблиця 1'!$I:$I,"F-16"))</f>
        <v/>
      </c>
      <c r="E235">
        <f>IF($A235="","",COUNTIFS('Таблиця 1'!$B:$B,$A235,'Таблиця 1'!$I:$I,"МіГ-29"))</f>
        <v/>
      </c>
      <c r="F235">
        <f>IF($A235="","",COUNTIFS('Таблиця 1'!$B:$B,$A235,'Таблиця 1'!$I:$I,"Су-25"))</f>
        <v/>
      </c>
      <c r="G235">
        <f>IF($A235="","",COUNTIFS('Таблиця 1'!$B:$B,$A235,'Таблиця 1'!$I:$I,"Су-27"))</f>
        <v/>
      </c>
      <c r="H235">
        <f>IF($A235="","",SUMIFS('Таблиця 1'!$K:$K,'Таблиця 1'!$B:$B,$A235,'Таблиця 1'!$I:$I,"Mirage",'Таблиця 1'!$J:$J,"AGM-88")+SUMIFS('Таблиця 1'!$K:$K,'Таблиця 1'!$B:$B,$A235,'Таблиця 1'!$I:$I,"F-16",'Таблиця 1'!$J:$J,"AGM-88")+SUMIFS('Таблиця 1'!$K:$K,'Таблиця 1'!$B:$B,$A235,'Таблиця 1'!$I:$I,"МіГ-29",'Таблиця 1'!$J:$J,"AGM-88")+SUMIFS('Таблиця 1'!$K:$K,'Таблиця 1'!$B:$B,$A235,'Таблиця 1'!$I:$I,"Су-25",'Таблиця 1'!$J:$J,"AGM-88")+SUMIFS('Таблиця 1'!$K:$K,'Таблиця 1'!$B:$B,$A235,'Таблиця 1'!$I:$I,"Су-27",'Таблиця 1'!$J:$J,"AGM-88"))</f>
        <v/>
      </c>
      <c r="I235">
        <f>IF($A235="","",SUMIFS('Таблиця 1'!$K:$K,'Таблиця 1'!$B:$B,$A235,'Таблиця 1'!$I:$I,"Mirage",'Таблиця 1'!$J:$J,"AASM-250")+SUMIFS('Таблиця 1'!$K:$K,'Таблиця 1'!$B:$B,$A235,'Таблиця 1'!$I:$I,"F-16",'Таблиця 1'!$J:$J,"AASM-250")+SUMIFS('Таблиця 1'!$K:$K,'Таблиця 1'!$B:$B,$A235,'Таблиця 1'!$I:$I,"МіГ-29",'Таблиця 1'!$J:$J,"AASM-250")+SUMIFS('Таблиця 1'!$K:$K,'Таблиця 1'!$B:$B,$A235,'Таблиця 1'!$I:$I,"Су-25",'Таблиця 1'!$J:$J,"AASM-250")+SUMIFS('Таблиця 1'!$K:$K,'Таблиця 1'!$B:$B,$A235,'Таблиця 1'!$I:$I,"Су-27",'Таблиця 1'!$J:$J,"AASM-250"))</f>
        <v/>
      </c>
      <c r="J235">
        <f>IF($A235="","",SUMIFS('Таблиця 1'!$K:$K,'Таблиця 1'!$B:$B,$A235,'Таблиця 1'!$I:$I,"Mirage",'Таблиця 1'!$J:$J,"GBU-39")+SUMIFS('Таблиця 1'!$K:$K,'Таблиця 1'!$B:$B,$A235,'Таблиця 1'!$I:$I,"F-16",'Таблиця 1'!$J:$J,"GBU-39")+SUMIFS('Таблиця 1'!$K:$K,'Таблиця 1'!$B:$B,$A235,'Таблиця 1'!$I:$I,"МіГ-29",'Таблиця 1'!$J:$J,"GBU-39")+SUMIFS('Таблиця 1'!$K:$K,'Таблиця 1'!$B:$B,$A235,'Таблиця 1'!$I:$I,"Су-25",'Таблиця 1'!$J:$J,"GBU-39")+SUMIFS('Таблиця 1'!$K:$K,'Таблиця 1'!$B:$B,$A235,'Таблиця 1'!$I:$I,"Су-27",'Таблиця 1'!$J:$J,"GBU-39"))</f>
        <v/>
      </c>
      <c r="K235">
        <f>IF($A235="","",SUMIFS('Таблиця 1'!$K:$K,'Таблиця 1'!$B:$B,$A235,'Таблиця 1'!$I:$I,"Mirage",'Таблиця 1'!$J:$J,"BLU-140")+SUMIFS('Таблиця 1'!$K:$K,'Таблиця 1'!$B:$B,$A235,'Таблиця 1'!$I:$I,"F-16",'Таблиця 1'!$J:$J,"BLU-140")+SUMIFS('Таблиця 1'!$K:$K,'Таблиця 1'!$B:$B,$A235,'Таблиця 1'!$I:$I,"МіГ-29",'Таблиця 1'!$J:$J,"BLU-140")+SUMIFS('Таблиця 1'!$K:$K,'Таблиця 1'!$B:$B,$A235,'Таблиця 1'!$I:$I,"Су-25",'Таблиця 1'!$J:$J,"BLU-140")+SUMIFS('Таблиця 1'!$K:$K,'Таблиця 1'!$B:$B,$A235,'Таблиця 1'!$I:$I,"Су-27",'Таблиця 1'!$J:$J,"BLU-140"))</f>
        <v/>
      </c>
      <c r="L235">
        <f>IF($A235="","",SUMIFS('Таблиця 1'!$K:$K,'Таблиця 1'!$B:$B,$A235,'Таблиця 1'!$I:$I,"Mirage",'Таблиця 1'!$J:$J,"GBU-65")+SUMIFS('Таблиця 1'!$K:$K,'Таблиця 1'!$B:$B,$A235,'Таблиця 1'!$I:$I,"F-16",'Таблиця 1'!$J:$J,"GBU-65")+SUMIFS('Таблиця 1'!$K:$K,'Таблиця 1'!$B:$B,$A235,'Таблиця 1'!$I:$I,"МіГ-29",'Таблиця 1'!$J:$J,"GBU-65")+SUMIFS('Таблиця 1'!$K:$K,'Таблиця 1'!$B:$B,$A235,'Таблиця 1'!$I:$I,"Су-25",'Таблиця 1'!$J:$J,"GBU-65")+SUMIFS('Таблиця 1'!$K:$K,'Таблиця 1'!$B:$B,$A235,'Таблиця 1'!$I:$I,"Су-27",'Таблиця 1'!$J:$J,"GBU-65"))</f>
        <v/>
      </c>
      <c r="M235">
        <f>IF($A235="","",SUMIFS('Таблиця 1'!$K:$K,'Таблиця 1'!$B:$B,$A235,'Таблиця 1'!$I:$I,"Mirage",'Таблиця 1'!$J:$J,"GBU-62")+SUMIFS('Таблиця 1'!$K:$K,'Таблиця 1'!$B:$B,$A235,'Таблиця 1'!$I:$I,"F-16",'Таблиця 1'!$J:$J,"GBU-62")+SUMIFS('Таблиця 1'!$K:$K,'Таблиця 1'!$B:$B,$A235,'Таблиця 1'!$I:$I,"МіГ-29",'Таблиця 1'!$J:$J,"GBU-62")+SUMIFS('Таблиця 1'!$K:$K,'Таблиця 1'!$B:$B,$A235,'Таблиця 1'!$I:$I,"Су-25",'Таблиця 1'!$J:$J,"GBU-62")+SUMIFS('Таблиця 1'!$K:$K,'Таблиця 1'!$B:$B,$A235,'Таблиця 1'!$I:$I,"Су-27",'Таблиця 1'!$J:$J,"GBU-62"))</f>
        <v/>
      </c>
      <c r="N235">
        <f>IF($A235="","",SUMIFS('Таблиця 1'!$K:$K,'Таблиця 1'!$B:$B,$A235,'Таблиця 1'!$I:$I,"Mirage",'Таблиця 1'!$J:$J,"GBU-64")+SUMIFS('Таблиця 1'!$K:$K,'Таблиця 1'!$B:$B,$A235,'Таблиця 1'!$I:$I,"F-16",'Таблиця 1'!$J:$J,"GBU-64")+SUMIFS('Таблиця 1'!$K:$K,'Таблиця 1'!$B:$B,$A235,'Таблиця 1'!$I:$I,"МіГ-29",'Таблиця 1'!$J:$J,"GBU-64")+SUMIFS('Таблиця 1'!$K:$K,'Таблиця 1'!$B:$B,$A235,'Таблиця 1'!$I:$I,"Су-25",'Таблиця 1'!$J:$J,"GBU-64")+SUMIFS('Таблиця 1'!$K:$K,'Таблиця 1'!$B:$B,$A235,'Таблиця 1'!$I:$I,"Су-27",'Таблиця 1'!$J:$J,"GBU-64"))</f>
        <v/>
      </c>
      <c r="O235">
        <f>IF($A235="","",SUMIFS('Таблиця 1'!$K:$K,'Таблиця 1'!$B:$B,$A235,'Таблиця 1'!$I:$I,"Mirage",'Таблиця 1'!$J:$J,"C-13")+SUMIFS('Таблиця 1'!$K:$K,'Таблиця 1'!$B:$B,$A235,'Таблиця 1'!$I:$I,"F-16",'Таблиця 1'!$J:$J,"C-13")+SUMIFS('Таблиця 1'!$K:$K,'Таблиця 1'!$B:$B,$A235,'Таблиця 1'!$I:$I,"МіГ-29",'Таблиця 1'!$J:$J,"C-13")+SUMIFS('Таблиця 1'!$K:$K,'Таблиця 1'!$B:$B,$A235,'Таблиця 1'!$I:$I,"Су-25",'Таблиця 1'!$J:$J,"C-13")+SUMIFS('Таблиця 1'!$K:$K,'Таблиця 1'!$B:$B,$A235,'Таблиця 1'!$I:$I,"Су-27",'Таблиця 1'!$J:$J,"C-13"))</f>
        <v/>
      </c>
      <c r="P235">
        <f>IF($A235="","",SUMIFS('Таблиця 1'!$K:$K,'Таблиця 1'!$B:$B,$A235,'Таблиця 1'!$I:$I,"Mirage",'Таблиця 1'!$J:$J,"MK-32")+SUMIFS('Таблиця 1'!$K:$K,'Таблиця 1'!$B:$B,$A235,'Таблиця 1'!$I:$I,"F-16",'Таблиця 1'!$J:$J,"MK-32")+SUMIFS('Таблиця 1'!$K:$K,'Таблиця 1'!$B:$B,$A235,'Таблиця 1'!$I:$I,"МіГ-29",'Таблиця 1'!$J:$J,"MK-32")+SUMIFS('Таблиця 1'!$K:$K,'Таблиця 1'!$B:$B,$A235,'Таблиця 1'!$I:$I,"Су-25",'Таблиця 1'!$J:$J,"MK-32")+SUMIFS('Таблиця 1'!$K:$K,'Таблиця 1'!$B:$B,$A235,'Таблиця 1'!$I:$I,"Су-27",'Таблиця 1'!$J:$J,"MK-32"))</f>
        <v/>
      </c>
      <c r="Q235">
        <f>IF($A235="","",SUMIFS('Таблиця 1'!$K:$K,'Таблиця 1'!$B:$B,$A235,'Таблиця 1'!$I:$I,"Mirage",'Таблиця 1'!$J:$J,"MK-24")+SUMIFS('Таблиця 1'!$K:$K,'Таблиця 1'!$B:$B,$A235,'Таблиця 1'!$I:$I,"F-16",'Таблиця 1'!$J:$J,"MK-24")+SUMIFS('Таблиця 1'!$K:$K,'Таблиця 1'!$B:$B,$A235,'Таблиця 1'!$I:$I,"МіГ-29",'Таблиця 1'!$J:$J,"MK-24")+SUMIFS('Таблиця 1'!$K:$K,'Таблиця 1'!$B:$B,$A235,'Таблиця 1'!$I:$I,"Су-25",'Таблиця 1'!$J:$J,"MK-24")+SUMIFS('Таблиця 1'!$K:$K,'Таблиця 1'!$B:$B,$A235,'Таблиця 1'!$I:$I,"Су-27",'Таблиця 1'!$J:$J,"MK-24"))</f>
        <v/>
      </c>
      <c r="R235">
        <f>IF($A235="","",COUNTIFS('Таблиця 1'!$B:$B,$A235,'Таблиця 1'!$I:$I,"Mirage",'Таблиця 1'!$L:$L,"Уражено")+COUNTIFS('Таблиця 1'!$B:$B,$A235,'Таблиця 1'!$I:$I,"F-16",'Таблиця 1'!$L:$L,"Уражено")+COUNTIFS('Таблиця 1'!$B:$B,$A235,'Таблиця 1'!$I:$I,"МіГ-29",'Таблиця 1'!$L:$L,"Уражено")+COUNTIFS('Таблиця 1'!$B:$B,$A235,'Таблиця 1'!$I:$I,"Су-25",'Таблиця 1'!$L:$L,"Уражено")+COUNTIFS('Таблиця 1'!$B:$B,$A235,'Таблиця 1'!$I:$I,"Су-27",'Таблиця 1'!$L:$L,"Уражено"))</f>
        <v/>
      </c>
      <c r="S235">
        <f>IF($A235="","",COUNTIFS('Таблиця 1'!$B:$B,$A235,'Таблиця 1'!$I:$I,"Mirage",'Таблиця 1'!$L:$L,"НЕ уражено")+COUNTIFS('Таблиця 1'!$B:$B,$A235,'Таблиця 1'!$I:$I,"F-16",'Таблиця 1'!$L:$L,"НЕ уражено")+COUNTIFS('Таблиця 1'!$B:$B,$A235,'Таблиця 1'!$I:$I,"МіГ-29",'Таблиця 1'!$L:$L,"НЕ уражено")+COUNTIFS('Таблиця 1'!$B:$B,$A235,'Таблиця 1'!$I:$I,"Су-25",'Таблиця 1'!$L:$L,"НЕ уражено")+COUNTIFS('Таблиця 1'!$B:$B,$A235,'Таблиця 1'!$I:$I,"Су-27",'Таблиця 1'!$L:$L,"НЕ уражено"))</f>
        <v/>
      </c>
      <c r="T235">
        <f>IF($A235="","",COUNTIFS('Таблиця 1'!$B:$B,$A235,'Таблиця 1'!$I:$I,"Mirage",'Таблиця 1'!$L:$L,"Дорозвідується")+COUNTIFS('Таблиця 1'!$B:$B,$A235,'Таблиця 1'!$I:$I,"F-16",'Таблиця 1'!$L:$L,"Дорозвідується")+COUNTIFS('Таблиця 1'!$B:$B,$A235,'Таблиця 1'!$I:$I,"МіГ-29",'Таблиця 1'!$L:$L,"Дорозвідується")+COUNTIFS('Таблиця 1'!$B:$B,$A235,'Таблиця 1'!$I:$I,"Су-25",'Таблиця 1'!$L:$L,"Дорозвідується")+COUNTIFS('Таблиця 1'!$B:$B,$A235,'Таблиця 1'!$I:$I,"Су-27",'Таблиця 1'!$L:$L,"Дорозвідується"))</f>
        <v/>
      </c>
    </row>
    <row r="236">
      <c r="A236" s="273">
        <f>IF(A235="","",IF(A235+1&gt;MAX('Таблиця 1'!$B:$B),"",A235+1))</f>
        <v/>
      </c>
      <c r="B236">
        <f>IF($A236="","",COUNTIFS('Таблиця 1'!$B:$B,$A236,'Таблиця 1'!$I:$I,"Mirage")+COUNTIFS('Таблиця 1'!$B:$B,$A236,'Таблиця 1'!$I:$I,"F-16")+COUNTIFS('Таблиця 1'!$B:$B,$A236,'Таблиця 1'!$I:$I,"МіГ-29")+COUNTIFS('Таблиця 1'!$B:$B,$A236,'Таблиця 1'!$I:$I,"Су-25")+COUNTIFS('Таблиця 1'!$B:$B,$A236,'Таблиця 1'!$I:$I,"Су-27"))</f>
        <v/>
      </c>
      <c r="C236">
        <f>IF($A236="","",COUNTIFS('Таблиця 1'!$B:$B,$A236,'Таблиця 1'!$I:$I,"Mirage"))</f>
        <v/>
      </c>
      <c r="D236">
        <f>IF($A236="","",COUNTIFS('Таблиця 1'!$B:$B,$A236,'Таблиця 1'!$I:$I,"F-16"))</f>
        <v/>
      </c>
      <c r="E236">
        <f>IF($A236="","",COUNTIFS('Таблиця 1'!$B:$B,$A236,'Таблиця 1'!$I:$I,"МіГ-29"))</f>
        <v/>
      </c>
      <c r="F236">
        <f>IF($A236="","",COUNTIFS('Таблиця 1'!$B:$B,$A236,'Таблиця 1'!$I:$I,"Су-25"))</f>
        <v/>
      </c>
      <c r="G236">
        <f>IF($A236="","",COUNTIFS('Таблиця 1'!$B:$B,$A236,'Таблиця 1'!$I:$I,"Су-27"))</f>
        <v/>
      </c>
      <c r="H236">
        <f>IF($A236="","",SUMIFS('Таблиця 1'!$K:$K,'Таблиця 1'!$B:$B,$A236,'Таблиця 1'!$I:$I,"Mirage",'Таблиця 1'!$J:$J,"AGM-88")+SUMIFS('Таблиця 1'!$K:$K,'Таблиця 1'!$B:$B,$A236,'Таблиця 1'!$I:$I,"F-16",'Таблиця 1'!$J:$J,"AGM-88")+SUMIFS('Таблиця 1'!$K:$K,'Таблиця 1'!$B:$B,$A236,'Таблиця 1'!$I:$I,"МіГ-29",'Таблиця 1'!$J:$J,"AGM-88")+SUMIFS('Таблиця 1'!$K:$K,'Таблиця 1'!$B:$B,$A236,'Таблиця 1'!$I:$I,"Су-25",'Таблиця 1'!$J:$J,"AGM-88")+SUMIFS('Таблиця 1'!$K:$K,'Таблиця 1'!$B:$B,$A236,'Таблиця 1'!$I:$I,"Су-27",'Таблиця 1'!$J:$J,"AGM-88"))</f>
        <v/>
      </c>
      <c r="I236">
        <f>IF($A236="","",SUMIFS('Таблиця 1'!$K:$K,'Таблиця 1'!$B:$B,$A236,'Таблиця 1'!$I:$I,"Mirage",'Таблиця 1'!$J:$J,"AASM-250")+SUMIFS('Таблиця 1'!$K:$K,'Таблиця 1'!$B:$B,$A236,'Таблиця 1'!$I:$I,"F-16",'Таблиця 1'!$J:$J,"AASM-250")+SUMIFS('Таблиця 1'!$K:$K,'Таблиця 1'!$B:$B,$A236,'Таблиця 1'!$I:$I,"МіГ-29",'Таблиця 1'!$J:$J,"AASM-250")+SUMIFS('Таблиця 1'!$K:$K,'Таблиця 1'!$B:$B,$A236,'Таблиця 1'!$I:$I,"Су-25",'Таблиця 1'!$J:$J,"AASM-250")+SUMIFS('Таблиця 1'!$K:$K,'Таблиця 1'!$B:$B,$A236,'Таблиця 1'!$I:$I,"Су-27",'Таблиця 1'!$J:$J,"AASM-250"))</f>
        <v/>
      </c>
      <c r="J236">
        <f>IF($A236="","",SUMIFS('Таблиця 1'!$K:$K,'Таблиця 1'!$B:$B,$A236,'Таблиця 1'!$I:$I,"Mirage",'Таблиця 1'!$J:$J,"GBU-39")+SUMIFS('Таблиця 1'!$K:$K,'Таблиця 1'!$B:$B,$A236,'Таблиця 1'!$I:$I,"F-16",'Таблиця 1'!$J:$J,"GBU-39")+SUMIFS('Таблиця 1'!$K:$K,'Таблиця 1'!$B:$B,$A236,'Таблиця 1'!$I:$I,"МіГ-29",'Таблиця 1'!$J:$J,"GBU-39")+SUMIFS('Таблиця 1'!$K:$K,'Таблиця 1'!$B:$B,$A236,'Таблиця 1'!$I:$I,"Су-25",'Таблиця 1'!$J:$J,"GBU-39")+SUMIFS('Таблиця 1'!$K:$K,'Таблиця 1'!$B:$B,$A236,'Таблиця 1'!$I:$I,"Су-27",'Таблиця 1'!$J:$J,"GBU-39"))</f>
        <v/>
      </c>
      <c r="K236">
        <f>IF($A236="","",SUMIFS('Таблиця 1'!$K:$K,'Таблиця 1'!$B:$B,$A236,'Таблиця 1'!$I:$I,"Mirage",'Таблиця 1'!$J:$J,"BLU-140")+SUMIFS('Таблиця 1'!$K:$K,'Таблиця 1'!$B:$B,$A236,'Таблиця 1'!$I:$I,"F-16",'Таблиця 1'!$J:$J,"BLU-140")+SUMIFS('Таблиця 1'!$K:$K,'Таблиця 1'!$B:$B,$A236,'Таблиця 1'!$I:$I,"МіГ-29",'Таблиця 1'!$J:$J,"BLU-140")+SUMIFS('Таблиця 1'!$K:$K,'Таблиця 1'!$B:$B,$A236,'Таблиця 1'!$I:$I,"Су-25",'Таблиця 1'!$J:$J,"BLU-140")+SUMIFS('Таблиця 1'!$K:$K,'Таблиця 1'!$B:$B,$A236,'Таблиця 1'!$I:$I,"Су-27",'Таблиця 1'!$J:$J,"BLU-140"))</f>
        <v/>
      </c>
      <c r="L236">
        <f>IF($A236="","",SUMIFS('Таблиця 1'!$K:$K,'Таблиця 1'!$B:$B,$A236,'Таблиця 1'!$I:$I,"Mirage",'Таблиця 1'!$J:$J,"GBU-65")+SUMIFS('Таблиця 1'!$K:$K,'Таблиця 1'!$B:$B,$A236,'Таблиця 1'!$I:$I,"F-16",'Таблиця 1'!$J:$J,"GBU-65")+SUMIFS('Таблиця 1'!$K:$K,'Таблиця 1'!$B:$B,$A236,'Таблиця 1'!$I:$I,"МіГ-29",'Таблиця 1'!$J:$J,"GBU-65")+SUMIFS('Таблиця 1'!$K:$K,'Таблиця 1'!$B:$B,$A236,'Таблиця 1'!$I:$I,"Су-25",'Таблиця 1'!$J:$J,"GBU-65")+SUMIFS('Таблиця 1'!$K:$K,'Таблиця 1'!$B:$B,$A236,'Таблиця 1'!$I:$I,"Су-27",'Таблиця 1'!$J:$J,"GBU-65"))</f>
        <v/>
      </c>
      <c r="M236">
        <f>IF($A236="","",SUMIFS('Таблиця 1'!$K:$K,'Таблиця 1'!$B:$B,$A236,'Таблиця 1'!$I:$I,"Mirage",'Таблиця 1'!$J:$J,"GBU-62")+SUMIFS('Таблиця 1'!$K:$K,'Таблиця 1'!$B:$B,$A236,'Таблиця 1'!$I:$I,"F-16",'Таблиця 1'!$J:$J,"GBU-62")+SUMIFS('Таблиця 1'!$K:$K,'Таблиця 1'!$B:$B,$A236,'Таблиця 1'!$I:$I,"МіГ-29",'Таблиця 1'!$J:$J,"GBU-62")+SUMIFS('Таблиця 1'!$K:$K,'Таблиця 1'!$B:$B,$A236,'Таблиця 1'!$I:$I,"Су-25",'Таблиця 1'!$J:$J,"GBU-62")+SUMIFS('Таблиця 1'!$K:$K,'Таблиця 1'!$B:$B,$A236,'Таблиця 1'!$I:$I,"Су-27",'Таблиця 1'!$J:$J,"GBU-62"))</f>
        <v/>
      </c>
      <c r="N236">
        <f>IF($A236="","",SUMIFS('Таблиця 1'!$K:$K,'Таблиця 1'!$B:$B,$A236,'Таблиця 1'!$I:$I,"Mirage",'Таблиця 1'!$J:$J,"GBU-64")+SUMIFS('Таблиця 1'!$K:$K,'Таблиця 1'!$B:$B,$A236,'Таблиця 1'!$I:$I,"F-16",'Таблиця 1'!$J:$J,"GBU-64")+SUMIFS('Таблиця 1'!$K:$K,'Таблиця 1'!$B:$B,$A236,'Таблиця 1'!$I:$I,"МіГ-29",'Таблиця 1'!$J:$J,"GBU-64")+SUMIFS('Таблиця 1'!$K:$K,'Таблиця 1'!$B:$B,$A236,'Таблиця 1'!$I:$I,"Су-25",'Таблиця 1'!$J:$J,"GBU-64")+SUMIFS('Таблиця 1'!$K:$K,'Таблиця 1'!$B:$B,$A236,'Таблиця 1'!$I:$I,"Су-27",'Таблиця 1'!$J:$J,"GBU-64"))</f>
        <v/>
      </c>
      <c r="O236">
        <f>IF($A236="","",SUMIFS('Таблиця 1'!$K:$K,'Таблиця 1'!$B:$B,$A236,'Таблиця 1'!$I:$I,"Mirage",'Таблиця 1'!$J:$J,"C-13")+SUMIFS('Таблиця 1'!$K:$K,'Таблиця 1'!$B:$B,$A236,'Таблиця 1'!$I:$I,"F-16",'Таблиця 1'!$J:$J,"C-13")+SUMIFS('Таблиця 1'!$K:$K,'Таблиця 1'!$B:$B,$A236,'Таблиця 1'!$I:$I,"МіГ-29",'Таблиця 1'!$J:$J,"C-13")+SUMIFS('Таблиця 1'!$K:$K,'Таблиця 1'!$B:$B,$A236,'Таблиця 1'!$I:$I,"Су-25",'Таблиця 1'!$J:$J,"C-13")+SUMIFS('Таблиця 1'!$K:$K,'Таблиця 1'!$B:$B,$A236,'Таблиця 1'!$I:$I,"Су-27",'Таблиця 1'!$J:$J,"C-13"))</f>
        <v/>
      </c>
      <c r="P236">
        <f>IF($A236="","",SUMIFS('Таблиця 1'!$K:$K,'Таблиця 1'!$B:$B,$A236,'Таблиця 1'!$I:$I,"Mirage",'Таблиця 1'!$J:$J,"MK-32")+SUMIFS('Таблиця 1'!$K:$K,'Таблиця 1'!$B:$B,$A236,'Таблиця 1'!$I:$I,"F-16",'Таблиця 1'!$J:$J,"MK-32")+SUMIFS('Таблиця 1'!$K:$K,'Таблиця 1'!$B:$B,$A236,'Таблиця 1'!$I:$I,"МіГ-29",'Таблиця 1'!$J:$J,"MK-32")+SUMIFS('Таблиця 1'!$K:$K,'Таблиця 1'!$B:$B,$A236,'Таблиця 1'!$I:$I,"Су-25",'Таблиця 1'!$J:$J,"MK-32")+SUMIFS('Таблиця 1'!$K:$K,'Таблиця 1'!$B:$B,$A236,'Таблиця 1'!$I:$I,"Су-27",'Таблиця 1'!$J:$J,"MK-32"))</f>
        <v/>
      </c>
      <c r="Q236">
        <f>IF($A236="","",SUMIFS('Таблиця 1'!$K:$K,'Таблиця 1'!$B:$B,$A236,'Таблиця 1'!$I:$I,"Mirage",'Таблиця 1'!$J:$J,"MK-24")+SUMIFS('Таблиця 1'!$K:$K,'Таблиця 1'!$B:$B,$A236,'Таблиця 1'!$I:$I,"F-16",'Таблиця 1'!$J:$J,"MK-24")+SUMIFS('Таблиця 1'!$K:$K,'Таблиця 1'!$B:$B,$A236,'Таблиця 1'!$I:$I,"МіГ-29",'Таблиця 1'!$J:$J,"MK-24")+SUMIFS('Таблиця 1'!$K:$K,'Таблиця 1'!$B:$B,$A236,'Таблиця 1'!$I:$I,"Су-25",'Таблиця 1'!$J:$J,"MK-24")+SUMIFS('Таблиця 1'!$K:$K,'Таблиця 1'!$B:$B,$A236,'Таблиця 1'!$I:$I,"Су-27",'Таблиця 1'!$J:$J,"MK-24"))</f>
        <v/>
      </c>
      <c r="R236">
        <f>IF($A236="","",COUNTIFS('Таблиця 1'!$B:$B,$A236,'Таблиця 1'!$I:$I,"Mirage",'Таблиця 1'!$L:$L,"Уражено")+COUNTIFS('Таблиця 1'!$B:$B,$A236,'Таблиця 1'!$I:$I,"F-16",'Таблиця 1'!$L:$L,"Уражено")+COUNTIFS('Таблиця 1'!$B:$B,$A236,'Таблиця 1'!$I:$I,"МіГ-29",'Таблиця 1'!$L:$L,"Уражено")+COUNTIFS('Таблиця 1'!$B:$B,$A236,'Таблиця 1'!$I:$I,"Су-25",'Таблиця 1'!$L:$L,"Уражено")+COUNTIFS('Таблиця 1'!$B:$B,$A236,'Таблиця 1'!$I:$I,"Су-27",'Таблиця 1'!$L:$L,"Уражено"))</f>
        <v/>
      </c>
      <c r="S236">
        <f>IF($A236="","",COUNTIFS('Таблиця 1'!$B:$B,$A236,'Таблиця 1'!$I:$I,"Mirage",'Таблиця 1'!$L:$L,"НЕ уражено")+COUNTIFS('Таблиця 1'!$B:$B,$A236,'Таблиця 1'!$I:$I,"F-16",'Таблиця 1'!$L:$L,"НЕ уражено")+COUNTIFS('Таблиця 1'!$B:$B,$A236,'Таблиця 1'!$I:$I,"МіГ-29",'Таблиця 1'!$L:$L,"НЕ уражено")+COUNTIFS('Таблиця 1'!$B:$B,$A236,'Таблиця 1'!$I:$I,"Су-25",'Таблиця 1'!$L:$L,"НЕ уражено")+COUNTIFS('Таблиця 1'!$B:$B,$A236,'Таблиця 1'!$I:$I,"Су-27",'Таблиця 1'!$L:$L,"НЕ уражено"))</f>
        <v/>
      </c>
      <c r="T236">
        <f>IF($A236="","",COUNTIFS('Таблиця 1'!$B:$B,$A236,'Таблиця 1'!$I:$I,"Mirage",'Таблиця 1'!$L:$L,"Дорозвідується")+COUNTIFS('Таблиця 1'!$B:$B,$A236,'Таблиця 1'!$I:$I,"F-16",'Таблиця 1'!$L:$L,"Дорозвідується")+COUNTIFS('Таблиця 1'!$B:$B,$A236,'Таблиця 1'!$I:$I,"МіГ-29",'Таблиця 1'!$L:$L,"Дорозвідується")+COUNTIFS('Таблиця 1'!$B:$B,$A236,'Таблиця 1'!$I:$I,"Су-25",'Таблиця 1'!$L:$L,"Дорозвідується")+COUNTIFS('Таблиця 1'!$B:$B,$A236,'Таблиця 1'!$I:$I,"Су-27",'Таблиця 1'!$L:$L,"Дорозвідується"))</f>
        <v/>
      </c>
    </row>
    <row r="237">
      <c r="A237" s="273">
        <f>IF(A236="","",IF(A236+1&gt;MAX('Таблиця 1'!$B:$B),"",A236+1))</f>
        <v/>
      </c>
      <c r="B237">
        <f>IF($A237="","",COUNTIFS('Таблиця 1'!$B:$B,$A237,'Таблиця 1'!$I:$I,"Mirage")+COUNTIFS('Таблиця 1'!$B:$B,$A237,'Таблиця 1'!$I:$I,"F-16")+COUNTIFS('Таблиця 1'!$B:$B,$A237,'Таблиця 1'!$I:$I,"МіГ-29")+COUNTIFS('Таблиця 1'!$B:$B,$A237,'Таблиця 1'!$I:$I,"Су-25")+COUNTIFS('Таблиця 1'!$B:$B,$A237,'Таблиця 1'!$I:$I,"Су-27"))</f>
        <v/>
      </c>
      <c r="C237">
        <f>IF($A237="","",COUNTIFS('Таблиця 1'!$B:$B,$A237,'Таблиця 1'!$I:$I,"Mirage"))</f>
        <v/>
      </c>
      <c r="D237">
        <f>IF($A237="","",COUNTIFS('Таблиця 1'!$B:$B,$A237,'Таблиця 1'!$I:$I,"F-16"))</f>
        <v/>
      </c>
      <c r="E237">
        <f>IF($A237="","",COUNTIFS('Таблиця 1'!$B:$B,$A237,'Таблиця 1'!$I:$I,"МіГ-29"))</f>
        <v/>
      </c>
      <c r="F237">
        <f>IF($A237="","",COUNTIFS('Таблиця 1'!$B:$B,$A237,'Таблиця 1'!$I:$I,"Су-25"))</f>
        <v/>
      </c>
      <c r="G237">
        <f>IF($A237="","",COUNTIFS('Таблиця 1'!$B:$B,$A237,'Таблиця 1'!$I:$I,"Су-27"))</f>
        <v/>
      </c>
      <c r="H237">
        <f>IF($A237="","",SUMIFS('Таблиця 1'!$K:$K,'Таблиця 1'!$B:$B,$A237,'Таблиця 1'!$I:$I,"Mirage",'Таблиця 1'!$J:$J,"AGM-88")+SUMIFS('Таблиця 1'!$K:$K,'Таблиця 1'!$B:$B,$A237,'Таблиця 1'!$I:$I,"F-16",'Таблиця 1'!$J:$J,"AGM-88")+SUMIFS('Таблиця 1'!$K:$K,'Таблиця 1'!$B:$B,$A237,'Таблиця 1'!$I:$I,"МіГ-29",'Таблиця 1'!$J:$J,"AGM-88")+SUMIFS('Таблиця 1'!$K:$K,'Таблиця 1'!$B:$B,$A237,'Таблиця 1'!$I:$I,"Су-25",'Таблиця 1'!$J:$J,"AGM-88")+SUMIFS('Таблиця 1'!$K:$K,'Таблиця 1'!$B:$B,$A237,'Таблиця 1'!$I:$I,"Су-27",'Таблиця 1'!$J:$J,"AGM-88"))</f>
        <v/>
      </c>
      <c r="I237">
        <f>IF($A237="","",SUMIFS('Таблиця 1'!$K:$K,'Таблиця 1'!$B:$B,$A237,'Таблиця 1'!$I:$I,"Mirage",'Таблиця 1'!$J:$J,"AASM-250")+SUMIFS('Таблиця 1'!$K:$K,'Таблиця 1'!$B:$B,$A237,'Таблиця 1'!$I:$I,"F-16",'Таблиця 1'!$J:$J,"AASM-250")+SUMIFS('Таблиця 1'!$K:$K,'Таблиця 1'!$B:$B,$A237,'Таблиця 1'!$I:$I,"МіГ-29",'Таблиця 1'!$J:$J,"AASM-250")+SUMIFS('Таблиця 1'!$K:$K,'Таблиця 1'!$B:$B,$A237,'Таблиця 1'!$I:$I,"Су-25",'Таблиця 1'!$J:$J,"AASM-250")+SUMIFS('Таблиця 1'!$K:$K,'Таблиця 1'!$B:$B,$A237,'Таблиця 1'!$I:$I,"Су-27",'Таблиця 1'!$J:$J,"AASM-250"))</f>
        <v/>
      </c>
      <c r="J237">
        <f>IF($A237="","",SUMIFS('Таблиця 1'!$K:$K,'Таблиця 1'!$B:$B,$A237,'Таблиця 1'!$I:$I,"Mirage",'Таблиця 1'!$J:$J,"GBU-39")+SUMIFS('Таблиця 1'!$K:$K,'Таблиця 1'!$B:$B,$A237,'Таблиця 1'!$I:$I,"F-16",'Таблиця 1'!$J:$J,"GBU-39")+SUMIFS('Таблиця 1'!$K:$K,'Таблиця 1'!$B:$B,$A237,'Таблиця 1'!$I:$I,"МіГ-29",'Таблиця 1'!$J:$J,"GBU-39")+SUMIFS('Таблиця 1'!$K:$K,'Таблиця 1'!$B:$B,$A237,'Таблиця 1'!$I:$I,"Су-25",'Таблиця 1'!$J:$J,"GBU-39")+SUMIFS('Таблиця 1'!$K:$K,'Таблиця 1'!$B:$B,$A237,'Таблиця 1'!$I:$I,"Су-27",'Таблиця 1'!$J:$J,"GBU-39"))</f>
        <v/>
      </c>
      <c r="K237">
        <f>IF($A237="","",SUMIFS('Таблиця 1'!$K:$K,'Таблиця 1'!$B:$B,$A237,'Таблиця 1'!$I:$I,"Mirage",'Таблиця 1'!$J:$J,"BLU-140")+SUMIFS('Таблиця 1'!$K:$K,'Таблиця 1'!$B:$B,$A237,'Таблиця 1'!$I:$I,"F-16",'Таблиця 1'!$J:$J,"BLU-140")+SUMIFS('Таблиця 1'!$K:$K,'Таблиця 1'!$B:$B,$A237,'Таблиця 1'!$I:$I,"МіГ-29",'Таблиця 1'!$J:$J,"BLU-140")+SUMIFS('Таблиця 1'!$K:$K,'Таблиця 1'!$B:$B,$A237,'Таблиця 1'!$I:$I,"Су-25",'Таблиця 1'!$J:$J,"BLU-140")+SUMIFS('Таблиця 1'!$K:$K,'Таблиця 1'!$B:$B,$A237,'Таблиця 1'!$I:$I,"Су-27",'Таблиця 1'!$J:$J,"BLU-140"))</f>
        <v/>
      </c>
      <c r="L237">
        <f>IF($A237="","",SUMIFS('Таблиця 1'!$K:$K,'Таблиця 1'!$B:$B,$A237,'Таблиця 1'!$I:$I,"Mirage",'Таблиця 1'!$J:$J,"GBU-65")+SUMIFS('Таблиця 1'!$K:$K,'Таблиця 1'!$B:$B,$A237,'Таблиця 1'!$I:$I,"F-16",'Таблиця 1'!$J:$J,"GBU-65")+SUMIFS('Таблиця 1'!$K:$K,'Таблиця 1'!$B:$B,$A237,'Таблиця 1'!$I:$I,"МіГ-29",'Таблиця 1'!$J:$J,"GBU-65")+SUMIFS('Таблиця 1'!$K:$K,'Таблиця 1'!$B:$B,$A237,'Таблиця 1'!$I:$I,"Су-25",'Таблиця 1'!$J:$J,"GBU-65")+SUMIFS('Таблиця 1'!$K:$K,'Таблиця 1'!$B:$B,$A237,'Таблиця 1'!$I:$I,"Су-27",'Таблиця 1'!$J:$J,"GBU-65"))</f>
        <v/>
      </c>
      <c r="M237">
        <f>IF($A237="","",SUMIFS('Таблиця 1'!$K:$K,'Таблиця 1'!$B:$B,$A237,'Таблиця 1'!$I:$I,"Mirage",'Таблиця 1'!$J:$J,"GBU-62")+SUMIFS('Таблиця 1'!$K:$K,'Таблиця 1'!$B:$B,$A237,'Таблиця 1'!$I:$I,"F-16",'Таблиця 1'!$J:$J,"GBU-62")+SUMIFS('Таблиця 1'!$K:$K,'Таблиця 1'!$B:$B,$A237,'Таблиця 1'!$I:$I,"МіГ-29",'Таблиця 1'!$J:$J,"GBU-62")+SUMIFS('Таблиця 1'!$K:$K,'Таблиця 1'!$B:$B,$A237,'Таблиця 1'!$I:$I,"Су-25",'Таблиця 1'!$J:$J,"GBU-62")+SUMIFS('Таблиця 1'!$K:$K,'Таблиця 1'!$B:$B,$A237,'Таблиця 1'!$I:$I,"Су-27",'Таблиця 1'!$J:$J,"GBU-62"))</f>
        <v/>
      </c>
      <c r="N237">
        <f>IF($A237="","",SUMIFS('Таблиця 1'!$K:$K,'Таблиця 1'!$B:$B,$A237,'Таблиця 1'!$I:$I,"Mirage",'Таблиця 1'!$J:$J,"GBU-64")+SUMIFS('Таблиця 1'!$K:$K,'Таблиця 1'!$B:$B,$A237,'Таблиця 1'!$I:$I,"F-16",'Таблиця 1'!$J:$J,"GBU-64")+SUMIFS('Таблиця 1'!$K:$K,'Таблиця 1'!$B:$B,$A237,'Таблиця 1'!$I:$I,"МіГ-29",'Таблиця 1'!$J:$J,"GBU-64")+SUMIFS('Таблиця 1'!$K:$K,'Таблиця 1'!$B:$B,$A237,'Таблиця 1'!$I:$I,"Су-25",'Таблиця 1'!$J:$J,"GBU-64")+SUMIFS('Таблиця 1'!$K:$K,'Таблиця 1'!$B:$B,$A237,'Таблиця 1'!$I:$I,"Су-27",'Таблиця 1'!$J:$J,"GBU-64"))</f>
        <v/>
      </c>
      <c r="O237">
        <f>IF($A237="","",SUMIFS('Таблиця 1'!$K:$K,'Таблиця 1'!$B:$B,$A237,'Таблиця 1'!$I:$I,"Mirage",'Таблиця 1'!$J:$J,"C-13")+SUMIFS('Таблиця 1'!$K:$K,'Таблиця 1'!$B:$B,$A237,'Таблиця 1'!$I:$I,"F-16",'Таблиця 1'!$J:$J,"C-13")+SUMIFS('Таблиця 1'!$K:$K,'Таблиця 1'!$B:$B,$A237,'Таблиця 1'!$I:$I,"МіГ-29",'Таблиця 1'!$J:$J,"C-13")+SUMIFS('Таблиця 1'!$K:$K,'Таблиця 1'!$B:$B,$A237,'Таблиця 1'!$I:$I,"Су-25",'Таблиця 1'!$J:$J,"C-13")+SUMIFS('Таблиця 1'!$K:$K,'Таблиця 1'!$B:$B,$A237,'Таблиця 1'!$I:$I,"Су-27",'Таблиця 1'!$J:$J,"C-13"))</f>
        <v/>
      </c>
      <c r="P237">
        <f>IF($A237="","",SUMIFS('Таблиця 1'!$K:$K,'Таблиця 1'!$B:$B,$A237,'Таблиця 1'!$I:$I,"Mirage",'Таблиця 1'!$J:$J,"MK-32")+SUMIFS('Таблиця 1'!$K:$K,'Таблиця 1'!$B:$B,$A237,'Таблиця 1'!$I:$I,"F-16",'Таблиця 1'!$J:$J,"MK-32")+SUMIFS('Таблиця 1'!$K:$K,'Таблиця 1'!$B:$B,$A237,'Таблиця 1'!$I:$I,"МіГ-29",'Таблиця 1'!$J:$J,"MK-32")+SUMIFS('Таблиця 1'!$K:$K,'Таблиця 1'!$B:$B,$A237,'Таблиця 1'!$I:$I,"Су-25",'Таблиця 1'!$J:$J,"MK-32")+SUMIFS('Таблиця 1'!$K:$K,'Таблиця 1'!$B:$B,$A237,'Таблиця 1'!$I:$I,"Су-27",'Таблиця 1'!$J:$J,"MK-32"))</f>
        <v/>
      </c>
      <c r="Q237">
        <f>IF($A237="","",SUMIFS('Таблиця 1'!$K:$K,'Таблиця 1'!$B:$B,$A237,'Таблиця 1'!$I:$I,"Mirage",'Таблиця 1'!$J:$J,"MK-24")+SUMIFS('Таблиця 1'!$K:$K,'Таблиця 1'!$B:$B,$A237,'Таблиця 1'!$I:$I,"F-16",'Таблиця 1'!$J:$J,"MK-24")+SUMIFS('Таблиця 1'!$K:$K,'Таблиця 1'!$B:$B,$A237,'Таблиця 1'!$I:$I,"МіГ-29",'Таблиця 1'!$J:$J,"MK-24")+SUMIFS('Таблиця 1'!$K:$K,'Таблиця 1'!$B:$B,$A237,'Таблиця 1'!$I:$I,"Су-25",'Таблиця 1'!$J:$J,"MK-24")+SUMIFS('Таблиця 1'!$K:$K,'Таблиця 1'!$B:$B,$A237,'Таблиця 1'!$I:$I,"Су-27",'Таблиця 1'!$J:$J,"MK-24"))</f>
        <v/>
      </c>
      <c r="R237">
        <f>IF($A237="","",COUNTIFS('Таблиця 1'!$B:$B,$A237,'Таблиця 1'!$I:$I,"Mirage",'Таблиця 1'!$L:$L,"Уражено")+COUNTIFS('Таблиця 1'!$B:$B,$A237,'Таблиця 1'!$I:$I,"F-16",'Таблиця 1'!$L:$L,"Уражено")+COUNTIFS('Таблиця 1'!$B:$B,$A237,'Таблиця 1'!$I:$I,"МіГ-29",'Таблиця 1'!$L:$L,"Уражено")+COUNTIFS('Таблиця 1'!$B:$B,$A237,'Таблиця 1'!$I:$I,"Су-25",'Таблиця 1'!$L:$L,"Уражено")+COUNTIFS('Таблиця 1'!$B:$B,$A237,'Таблиця 1'!$I:$I,"Су-27",'Таблиця 1'!$L:$L,"Уражено"))</f>
        <v/>
      </c>
      <c r="S237">
        <f>IF($A237="","",COUNTIFS('Таблиця 1'!$B:$B,$A237,'Таблиця 1'!$I:$I,"Mirage",'Таблиця 1'!$L:$L,"НЕ уражено")+COUNTIFS('Таблиця 1'!$B:$B,$A237,'Таблиця 1'!$I:$I,"F-16",'Таблиця 1'!$L:$L,"НЕ уражено")+COUNTIFS('Таблиця 1'!$B:$B,$A237,'Таблиця 1'!$I:$I,"МіГ-29",'Таблиця 1'!$L:$L,"НЕ уражено")+COUNTIFS('Таблиця 1'!$B:$B,$A237,'Таблиця 1'!$I:$I,"Су-25",'Таблиця 1'!$L:$L,"НЕ уражено")+COUNTIFS('Таблиця 1'!$B:$B,$A237,'Таблиця 1'!$I:$I,"Су-27",'Таблиця 1'!$L:$L,"НЕ уражено"))</f>
        <v/>
      </c>
      <c r="T237">
        <f>IF($A237="","",COUNTIFS('Таблиця 1'!$B:$B,$A237,'Таблиця 1'!$I:$I,"Mirage",'Таблиця 1'!$L:$L,"Дорозвідується")+COUNTIFS('Таблиця 1'!$B:$B,$A237,'Таблиця 1'!$I:$I,"F-16",'Таблиця 1'!$L:$L,"Дорозвідується")+COUNTIFS('Таблиця 1'!$B:$B,$A237,'Таблиця 1'!$I:$I,"МіГ-29",'Таблиця 1'!$L:$L,"Дорозвідується")+COUNTIFS('Таблиця 1'!$B:$B,$A237,'Таблиця 1'!$I:$I,"Су-25",'Таблиця 1'!$L:$L,"Дорозвідується")+COUNTIFS('Таблиця 1'!$B:$B,$A237,'Таблиця 1'!$I:$I,"Су-27",'Таблиця 1'!$L:$L,"Дорозвідується"))</f>
        <v/>
      </c>
    </row>
    <row r="238">
      <c r="A238" s="273">
        <f>IF(A237="","",IF(A237+1&gt;MAX('Таблиця 1'!$B:$B),"",A237+1))</f>
        <v/>
      </c>
      <c r="B238">
        <f>IF($A238="","",COUNTIFS('Таблиця 1'!$B:$B,$A238,'Таблиця 1'!$I:$I,"Mirage")+COUNTIFS('Таблиця 1'!$B:$B,$A238,'Таблиця 1'!$I:$I,"F-16")+COUNTIFS('Таблиця 1'!$B:$B,$A238,'Таблиця 1'!$I:$I,"МіГ-29")+COUNTIFS('Таблиця 1'!$B:$B,$A238,'Таблиця 1'!$I:$I,"Су-25")+COUNTIFS('Таблиця 1'!$B:$B,$A238,'Таблиця 1'!$I:$I,"Су-27"))</f>
        <v/>
      </c>
      <c r="C238">
        <f>IF($A238="","",COUNTIFS('Таблиця 1'!$B:$B,$A238,'Таблиця 1'!$I:$I,"Mirage"))</f>
        <v/>
      </c>
      <c r="D238">
        <f>IF($A238="","",COUNTIFS('Таблиця 1'!$B:$B,$A238,'Таблиця 1'!$I:$I,"F-16"))</f>
        <v/>
      </c>
      <c r="E238">
        <f>IF($A238="","",COUNTIFS('Таблиця 1'!$B:$B,$A238,'Таблиця 1'!$I:$I,"МіГ-29"))</f>
        <v/>
      </c>
      <c r="F238">
        <f>IF($A238="","",COUNTIFS('Таблиця 1'!$B:$B,$A238,'Таблиця 1'!$I:$I,"Су-25"))</f>
        <v/>
      </c>
      <c r="G238">
        <f>IF($A238="","",COUNTIFS('Таблиця 1'!$B:$B,$A238,'Таблиця 1'!$I:$I,"Су-27"))</f>
        <v/>
      </c>
      <c r="H238">
        <f>IF($A238="","",SUMIFS('Таблиця 1'!$K:$K,'Таблиця 1'!$B:$B,$A238,'Таблиця 1'!$I:$I,"Mirage",'Таблиця 1'!$J:$J,"AGM-88")+SUMIFS('Таблиця 1'!$K:$K,'Таблиця 1'!$B:$B,$A238,'Таблиця 1'!$I:$I,"F-16",'Таблиця 1'!$J:$J,"AGM-88")+SUMIFS('Таблиця 1'!$K:$K,'Таблиця 1'!$B:$B,$A238,'Таблиця 1'!$I:$I,"МіГ-29",'Таблиця 1'!$J:$J,"AGM-88")+SUMIFS('Таблиця 1'!$K:$K,'Таблиця 1'!$B:$B,$A238,'Таблиця 1'!$I:$I,"Су-25",'Таблиця 1'!$J:$J,"AGM-88")+SUMIFS('Таблиця 1'!$K:$K,'Таблиця 1'!$B:$B,$A238,'Таблиця 1'!$I:$I,"Су-27",'Таблиця 1'!$J:$J,"AGM-88"))</f>
        <v/>
      </c>
      <c r="I238">
        <f>IF($A238="","",SUMIFS('Таблиця 1'!$K:$K,'Таблиця 1'!$B:$B,$A238,'Таблиця 1'!$I:$I,"Mirage",'Таблиця 1'!$J:$J,"AASM-250")+SUMIFS('Таблиця 1'!$K:$K,'Таблиця 1'!$B:$B,$A238,'Таблиця 1'!$I:$I,"F-16",'Таблиця 1'!$J:$J,"AASM-250")+SUMIFS('Таблиця 1'!$K:$K,'Таблиця 1'!$B:$B,$A238,'Таблиця 1'!$I:$I,"МіГ-29",'Таблиця 1'!$J:$J,"AASM-250")+SUMIFS('Таблиця 1'!$K:$K,'Таблиця 1'!$B:$B,$A238,'Таблиця 1'!$I:$I,"Су-25",'Таблиця 1'!$J:$J,"AASM-250")+SUMIFS('Таблиця 1'!$K:$K,'Таблиця 1'!$B:$B,$A238,'Таблиця 1'!$I:$I,"Су-27",'Таблиця 1'!$J:$J,"AASM-250"))</f>
        <v/>
      </c>
      <c r="J238">
        <f>IF($A238="","",SUMIFS('Таблиця 1'!$K:$K,'Таблиця 1'!$B:$B,$A238,'Таблиця 1'!$I:$I,"Mirage",'Таблиця 1'!$J:$J,"GBU-39")+SUMIFS('Таблиця 1'!$K:$K,'Таблиця 1'!$B:$B,$A238,'Таблиця 1'!$I:$I,"F-16",'Таблиця 1'!$J:$J,"GBU-39")+SUMIFS('Таблиця 1'!$K:$K,'Таблиця 1'!$B:$B,$A238,'Таблиця 1'!$I:$I,"МіГ-29",'Таблиця 1'!$J:$J,"GBU-39")+SUMIFS('Таблиця 1'!$K:$K,'Таблиця 1'!$B:$B,$A238,'Таблиця 1'!$I:$I,"Су-25",'Таблиця 1'!$J:$J,"GBU-39")+SUMIFS('Таблиця 1'!$K:$K,'Таблиця 1'!$B:$B,$A238,'Таблиця 1'!$I:$I,"Су-27",'Таблиця 1'!$J:$J,"GBU-39"))</f>
        <v/>
      </c>
      <c r="K238">
        <f>IF($A238="","",SUMIFS('Таблиця 1'!$K:$K,'Таблиця 1'!$B:$B,$A238,'Таблиця 1'!$I:$I,"Mirage",'Таблиця 1'!$J:$J,"BLU-140")+SUMIFS('Таблиця 1'!$K:$K,'Таблиця 1'!$B:$B,$A238,'Таблиця 1'!$I:$I,"F-16",'Таблиця 1'!$J:$J,"BLU-140")+SUMIFS('Таблиця 1'!$K:$K,'Таблиця 1'!$B:$B,$A238,'Таблиця 1'!$I:$I,"МіГ-29",'Таблиця 1'!$J:$J,"BLU-140")+SUMIFS('Таблиця 1'!$K:$K,'Таблиця 1'!$B:$B,$A238,'Таблиця 1'!$I:$I,"Су-25",'Таблиця 1'!$J:$J,"BLU-140")+SUMIFS('Таблиця 1'!$K:$K,'Таблиця 1'!$B:$B,$A238,'Таблиця 1'!$I:$I,"Су-27",'Таблиця 1'!$J:$J,"BLU-140"))</f>
        <v/>
      </c>
      <c r="L238">
        <f>IF($A238="","",SUMIFS('Таблиця 1'!$K:$K,'Таблиця 1'!$B:$B,$A238,'Таблиця 1'!$I:$I,"Mirage",'Таблиця 1'!$J:$J,"GBU-65")+SUMIFS('Таблиця 1'!$K:$K,'Таблиця 1'!$B:$B,$A238,'Таблиця 1'!$I:$I,"F-16",'Таблиця 1'!$J:$J,"GBU-65")+SUMIFS('Таблиця 1'!$K:$K,'Таблиця 1'!$B:$B,$A238,'Таблиця 1'!$I:$I,"МіГ-29",'Таблиця 1'!$J:$J,"GBU-65")+SUMIFS('Таблиця 1'!$K:$K,'Таблиця 1'!$B:$B,$A238,'Таблиця 1'!$I:$I,"Су-25",'Таблиця 1'!$J:$J,"GBU-65")+SUMIFS('Таблиця 1'!$K:$K,'Таблиця 1'!$B:$B,$A238,'Таблиця 1'!$I:$I,"Су-27",'Таблиця 1'!$J:$J,"GBU-65"))</f>
        <v/>
      </c>
      <c r="M238">
        <f>IF($A238="","",SUMIFS('Таблиця 1'!$K:$K,'Таблиця 1'!$B:$B,$A238,'Таблиця 1'!$I:$I,"Mirage",'Таблиця 1'!$J:$J,"GBU-62")+SUMIFS('Таблиця 1'!$K:$K,'Таблиця 1'!$B:$B,$A238,'Таблиця 1'!$I:$I,"F-16",'Таблиця 1'!$J:$J,"GBU-62")+SUMIFS('Таблиця 1'!$K:$K,'Таблиця 1'!$B:$B,$A238,'Таблиця 1'!$I:$I,"МіГ-29",'Таблиця 1'!$J:$J,"GBU-62")+SUMIFS('Таблиця 1'!$K:$K,'Таблиця 1'!$B:$B,$A238,'Таблиця 1'!$I:$I,"Су-25",'Таблиця 1'!$J:$J,"GBU-62")+SUMIFS('Таблиця 1'!$K:$K,'Таблиця 1'!$B:$B,$A238,'Таблиця 1'!$I:$I,"Су-27",'Таблиця 1'!$J:$J,"GBU-62"))</f>
        <v/>
      </c>
      <c r="N238">
        <f>IF($A238="","",SUMIFS('Таблиця 1'!$K:$K,'Таблиця 1'!$B:$B,$A238,'Таблиця 1'!$I:$I,"Mirage",'Таблиця 1'!$J:$J,"GBU-64")+SUMIFS('Таблиця 1'!$K:$K,'Таблиця 1'!$B:$B,$A238,'Таблиця 1'!$I:$I,"F-16",'Таблиця 1'!$J:$J,"GBU-64")+SUMIFS('Таблиця 1'!$K:$K,'Таблиця 1'!$B:$B,$A238,'Таблиця 1'!$I:$I,"МіГ-29",'Таблиця 1'!$J:$J,"GBU-64")+SUMIFS('Таблиця 1'!$K:$K,'Таблиця 1'!$B:$B,$A238,'Таблиця 1'!$I:$I,"Су-25",'Таблиця 1'!$J:$J,"GBU-64")+SUMIFS('Таблиця 1'!$K:$K,'Таблиця 1'!$B:$B,$A238,'Таблиця 1'!$I:$I,"Су-27",'Таблиця 1'!$J:$J,"GBU-64"))</f>
        <v/>
      </c>
      <c r="O238">
        <f>IF($A238="","",SUMIFS('Таблиця 1'!$K:$K,'Таблиця 1'!$B:$B,$A238,'Таблиця 1'!$I:$I,"Mirage",'Таблиця 1'!$J:$J,"C-13")+SUMIFS('Таблиця 1'!$K:$K,'Таблиця 1'!$B:$B,$A238,'Таблиця 1'!$I:$I,"F-16",'Таблиця 1'!$J:$J,"C-13")+SUMIFS('Таблиця 1'!$K:$K,'Таблиця 1'!$B:$B,$A238,'Таблиця 1'!$I:$I,"МіГ-29",'Таблиця 1'!$J:$J,"C-13")+SUMIFS('Таблиця 1'!$K:$K,'Таблиця 1'!$B:$B,$A238,'Таблиця 1'!$I:$I,"Су-25",'Таблиця 1'!$J:$J,"C-13")+SUMIFS('Таблиця 1'!$K:$K,'Таблиця 1'!$B:$B,$A238,'Таблиця 1'!$I:$I,"Су-27",'Таблиця 1'!$J:$J,"C-13"))</f>
        <v/>
      </c>
      <c r="P238">
        <f>IF($A238="","",SUMIFS('Таблиця 1'!$K:$K,'Таблиця 1'!$B:$B,$A238,'Таблиця 1'!$I:$I,"Mirage",'Таблиця 1'!$J:$J,"MK-32")+SUMIFS('Таблиця 1'!$K:$K,'Таблиця 1'!$B:$B,$A238,'Таблиця 1'!$I:$I,"F-16",'Таблиця 1'!$J:$J,"MK-32")+SUMIFS('Таблиця 1'!$K:$K,'Таблиця 1'!$B:$B,$A238,'Таблиця 1'!$I:$I,"МіГ-29",'Таблиця 1'!$J:$J,"MK-32")+SUMIFS('Таблиця 1'!$K:$K,'Таблиця 1'!$B:$B,$A238,'Таблиця 1'!$I:$I,"Су-25",'Таблиця 1'!$J:$J,"MK-32")+SUMIFS('Таблиця 1'!$K:$K,'Таблиця 1'!$B:$B,$A238,'Таблиця 1'!$I:$I,"Су-27",'Таблиця 1'!$J:$J,"MK-32"))</f>
        <v/>
      </c>
      <c r="Q238">
        <f>IF($A238="","",SUMIFS('Таблиця 1'!$K:$K,'Таблиця 1'!$B:$B,$A238,'Таблиця 1'!$I:$I,"Mirage",'Таблиця 1'!$J:$J,"MK-24")+SUMIFS('Таблиця 1'!$K:$K,'Таблиця 1'!$B:$B,$A238,'Таблиця 1'!$I:$I,"F-16",'Таблиця 1'!$J:$J,"MK-24")+SUMIFS('Таблиця 1'!$K:$K,'Таблиця 1'!$B:$B,$A238,'Таблиця 1'!$I:$I,"МіГ-29",'Таблиця 1'!$J:$J,"MK-24")+SUMIFS('Таблиця 1'!$K:$K,'Таблиця 1'!$B:$B,$A238,'Таблиця 1'!$I:$I,"Су-25",'Таблиця 1'!$J:$J,"MK-24")+SUMIFS('Таблиця 1'!$K:$K,'Таблиця 1'!$B:$B,$A238,'Таблиця 1'!$I:$I,"Су-27",'Таблиця 1'!$J:$J,"MK-24"))</f>
        <v/>
      </c>
      <c r="R238">
        <f>IF($A238="","",COUNTIFS('Таблиця 1'!$B:$B,$A238,'Таблиця 1'!$I:$I,"Mirage",'Таблиця 1'!$L:$L,"Уражено")+COUNTIFS('Таблиця 1'!$B:$B,$A238,'Таблиця 1'!$I:$I,"F-16",'Таблиця 1'!$L:$L,"Уражено")+COUNTIFS('Таблиця 1'!$B:$B,$A238,'Таблиця 1'!$I:$I,"МіГ-29",'Таблиця 1'!$L:$L,"Уражено")+COUNTIFS('Таблиця 1'!$B:$B,$A238,'Таблиця 1'!$I:$I,"Су-25",'Таблиця 1'!$L:$L,"Уражено")+COUNTIFS('Таблиця 1'!$B:$B,$A238,'Таблиця 1'!$I:$I,"Су-27",'Таблиця 1'!$L:$L,"Уражено"))</f>
        <v/>
      </c>
      <c r="S238">
        <f>IF($A238="","",COUNTIFS('Таблиця 1'!$B:$B,$A238,'Таблиця 1'!$I:$I,"Mirage",'Таблиця 1'!$L:$L,"НЕ уражено")+COUNTIFS('Таблиця 1'!$B:$B,$A238,'Таблиця 1'!$I:$I,"F-16",'Таблиця 1'!$L:$L,"НЕ уражено")+COUNTIFS('Таблиця 1'!$B:$B,$A238,'Таблиця 1'!$I:$I,"МіГ-29",'Таблиця 1'!$L:$L,"НЕ уражено")+COUNTIFS('Таблиця 1'!$B:$B,$A238,'Таблиця 1'!$I:$I,"Су-25",'Таблиця 1'!$L:$L,"НЕ уражено")+COUNTIFS('Таблиця 1'!$B:$B,$A238,'Таблиця 1'!$I:$I,"Су-27",'Таблиця 1'!$L:$L,"НЕ уражено"))</f>
        <v/>
      </c>
      <c r="T238">
        <f>IF($A238="","",COUNTIFS('Таблиця 1'!$B:$B,$A238,'Таблиця 1'!$I:$I,"Mirage",'Таблиця 1'!$L:$L,"Дорозвідується")+COUNTIFS('Таблиця 1'!$B:$B,$A238,'Таблиця 1'!$I:$I,"F-16",'Таблиця 1'!$L:$L,"Дорозвідується")+COUNTIFS('Таблиця 1'!$B:$B,$A238,'Таблиця 1'!$I:$I,"МіГ-29",'Таблиця 1'!$L:$L,"Дорозвідується")+COUNTIFS('Таблиця 1'!$B:$B,$A238,'Таблиця 1'!$I:$I,"Су-25",'Таблиця 1'!$L:$L,"Дорозвідується")+COUNTIFS('Таблиця 1'!$B:$B,$A238,'Таблиця 1'!$I:$I,"Су-27",'Таблиця 1'!$L:$L,"Дорозвідується"))</f>
        <v/>
      </c>
    </row>
    <row r="239">
      <c r="A239" s="273">
        <f>IF(A238="","",IF(A238+1&gt;MAX('Таблиця 1'!$B:$B),"",A238+1))</f>
        <v/>
      </c>
      <c r="B239">
        <f>IF($A239="","",COUNTIFS('Таблиця 1'!$B:$B,$A239,'Таблиця 1'!$I:$I,"Mirage")+COUNTIFS('Таблиця 1'!$B:$B,$A239,'Таблиця 1'!$I:$I,"F-16")+COUNTIFS('Таблиця 1'!$B:$B,$A239,'Таблиця 1'!$I:$I,"МіГ-29")+COUNTIFS('Таблиця 1'!$B:$B,$A239,'Таблиця 1'!$I:$I,"Су-25")+COUNTIFS('Таблиця 1'!$B:$B,$A239,'Таблиця 1'!$I:$I,"Су-27"))</f>
        <v/>
      </c>
      <c r="C239">
        <f>IF($A239="","",COUNTIFS('Таблиця 1'!$B:$B,$A239,'Таблиця 1'!$I:$I,"Mirage"))</f>
        <v/>
      </c>
      <c r="D239">
        <f>IF($A239="","",COUNTIFS('Таблиця 1'!$B:$B,$A239,'Таблиця 1'!$I:$I,"F-16"))</f>
        <v/>
      </c>
      <c r="E239">
        <f>IF($A239="","",COUNTIFS('Таблиця 1'!$B:$B,$A239,'Таблиця 1'!$I:$I,"МіГ-29"))</f>
        <v/>
      </c>
      <c r="F239">
        <f>IF($A239="","",COUNTIFS('Таблиця 1'!$B:$B,$A239,'Таблиця 1'!$I:$I,"Су-25"))</f>
        <v/>
      </c>
      <c r="G239">
        <f>IF($A239="","",COUNTIFS('Таблиця 1'!$B:$B,$A239,'Таблиця 1'!$I:$I,"Су-27"))</f>
        <v/>
      </c>
      <c r="H239">
        <f>IF($A239="","",SUMIFS('Таблиця 1'!$K:$K,'Таблиця 1'!$B:$B,$A239,'Таблиця 1'!$I:$I,"Mirage",'Таблиця 1'!$J:$J,"AGM-88")+SUMIFS('Таблиця 1'!$K:$K,'Таблиця 1'!$B:$B,$A239,'Таблиця 1'!$I:$I,"F-16",'Таблиця 1'!$J:$J,"AGM-88")+SUMIFS('Таблиця 1'!$K:$K,'Таблиця 1'!$B:$B,$A239,'Таблиця 1'!$I:$I,"МіГ-29",'Таблиця 1'!$J:$J,"AGM-88")+SUMIFS('Таблиця 1'!$K:$K,'Таблиця 1'!$B:$B,$A239,'Таблиця 1'!$I:$I,"Су-25",'Таблиця 1'!$J:$J,"AGM-88")+SUMIFS('Таблиця 1'!$K:$K,'Таблиця 1'!$B:$B,$A239,'Таблиця 1'!$I:$I,"Су-27",'Таблиця 1'!$J:$J,"AGM-88"))</f>
        <v/>
      </c>
      <c r="I239">
        <f>IF($A239="","",SUMIFS('Таблиця 1'!$K:$K,'Таблиця 1'!$B:$B,$A239,'Таблиця 1'!$I:$I,"Mirage",'Таблиця 1'!$J:$J,"AASM-250")+SUMIFS('Таблиця 1'!$K:$K,'Таблиця 1'!$B:$B,$A239,'Таблиця 1'!$I:$I,"F-16",'Таблиця 1'!$J:$J,"AASM-250")+SUMIFS('Таблиця 1'!$K:$K,'Таблиця 1'!$B:$B,$A239,'Таблиця 1'!$I:$I,"МіГ-29",'Таблиця 1'!$J:$J,"AASM-250")+SUMIFS('Таблиця 1'!$K:$K,'Таблиця 1'!$B:$B,$A239,'Таблиця 1'!$I:$I,"Су-25",'Таблиця 1'!$J:$J,"AASM-250")+SUMIFS('Таблиця 1'!$K:$K,'Таблиця 1'!$B:$B,$A239,'Таблиця 1'!$I:$I,"Су-27",'Таблиця 1'!$J:$J,"AASM-250"))</f>
        <v/>
      </c>
      <c r="J239">
        <f>IF($A239="","",SUMIFS('Таблиця 1'!$K:$K,'Таблиця 1'!$B:$B,$A239,'Таблиця 1'!$I:$I,"Mirage",'Таблиця 1'!$J:$J,"GBU-39")+SUMIFS('Таблиця 1'!$K:$K,'Таблиця 1'!$B:$B,$A239,'Таблиця 1'!$I:$I,"F-16",'Таблиця 1'!$J:$J,"GBU-39")+SUMIFS('Таблиця 1'!$K:$K,'Таблиця 1'!$B:$B,$A239,'Таблиця 1'!$I:$I,"МіГ-29",'Таблиця 1'!$J:$J,"GBU-39")+SUMIFS('Таблиця 1'!$K:$K,'Таблиця 1'!$B:$B,$A239,'Таблиця 1'!$I:$I,"Су-25",'Таблиця 1'!$J:$J,"GBU-39")+SUMIFS('Таблиця 1'!$K:$K,'Таблиця 1'!$B:$B,$A239,'Таблиця 1'!$I:$I,"Су-27",'Таблиця 1'!$J:$J,"GBU-39"))</f>
        <v/>
      </c>
      <c r="K239">
        <f>IF($A239="","",SUMIFS('Таблиця 1'!$K:$K,'Таблиця 1'!$B:$B,$A239,'Таблиця 1'!$I:$I,"Mirage",'Таблиця 1'!$J:$J,"BLU-140")+SUMIFS('Таблиця 1'!$K:$K,'Таблиця 1'!$B:$B,$A239,'Таблиця 1'!$I:$I,"F-16",'Таблиця 1'!$J:$J,"BLU-140")+SUMIFS('Таблиця 1'!$K:$K,'Таблиця 1'!$B:$B,$A239,'Таблиця 1'!$I:$I,"МіГ-29",'Таблиця 1'!$J:$J,"BLU-140")+SUMIFS('Таблиця 1'!$K:$K,'Таблиця 1'!$B:$B,$A239,'Таблиця 1'!$I:$I,"Су-25",'Таблиця 1'!$J:$J,"BLU-140")+SUMIFS('Таблиця 1'!$K:$K,'Таблиця 1'!$B:$B,$A239,'Таблиця 1'!$I:$I,"Су-27",'Таблиця 1'!$J:$J,"BLU-140"))</f>
        <v/>
      </c>
      <c r="L239">
        <f>IF($A239="","",SUMIFS('Таблиця 1'!$K:$K,'Таблиця 1'!$B:$B,$A239,'Таблиця 1'!$I:$I,"Mirage",'Таблиця 1'!$J:$J,"GBU-65")+SUMIFS('Таблиця 1'!$K:$K,'Таблиця 1'!$B:$B,$A239,'Таблиця 1'!$I:$I,"F-16",'Таблиця 1'!$J:$J,"GBU-65")+SUMIFS('Таблиця 1'!$K:$K,'Таблиця 1'!$B:$B,$A239,'Таблиця 1'!$I:$I,"МіГ-29",'Таблиця 1'!$J:$J,"GBU-65")+SUMIFS('Таблиця 1'!$K:$K,'Таблиця 1'!$B:$B,$A239,'Таблиця 1'!$I:$I,"Су-25",'Таблиця 1'!$J:$J,"GBU-65")+SUMIFS('Таблиця 1'!$K:$K,'Таблиця 1'!$B:$B,$A239,'Таблиця 1'!$I:$I,"Су-27",'Таблиця 1'!$J:$J,"GBU-65"))</f>
        <v/>
      </c>
      <c r="M239">
        <f>IF($A239="","",SUMIFS('Таблиця 1'!$K:$K,'Таблиця 1'!$B:$B,$A239,'Таблиця 1'!$I:$I,"Mirage",'Таблиця 1'!$J:$J,"GBU-62")+SUMIFS('Таблиця 1'!$K:$K,'Таблиця 1'!$B:$B,$A239,'Таблиця 1'!$I:$I,"F-16",'Таблиця 1'!$J:$J,"GBU-62")+SUMIFS('Таблиця 1'!$K:$K,'Таблиця 1'!$B:$B,$A239,'Таблиця 1'!$I:$I,"МіГ-29",'Таблиця 1'!$J:$J,"GBU-62")+SUMIFS('Таблиця 1'!$K:$K,'Таблиця 1'!$B:$B,$A239,'Таблиця 1'!$I:$I,"Су-25",'Таблиця 1'!$J:$J,"GBU-62")+SUMIFS('Таблиця 1'!$K:$K,'Таблиця 1'!$B:$B,$A239,'Таблиця 1'!$I:$I,"Су-27",'Таблиця 1'!$J:$J,"GBU-62"))</f>
        <v/>
      </c>
      <c r="N239">
        <f>IF($A239="","",SUMIFS('Таблиця 1'!$K:$K,'Таблиця 1'!$B:$B,$A239,'Таблиця 1'!$I:$I,"Mirage",'Таблиця 1'!$J:$J,"GBU-64")+SUMIFS('Таблиця 1'!$K:$K,'Таблиця 1'!$B:$B,$A239,'Таблиця 1'!$I:$I,"F-16",'Таблиця 1'!$J:$J,"GBU-64")+SUMIFS('Таблиця 1'!$K:$K,'Таблиця 1'!$B:$B,$A239,'Таблиця 1'!$I:$I,"МіГ-29",'Таблиця 1'!$J:$J,"GBU-64")+SUMIFS('Таблиця 1'!$K:$K,'Таблиця 1'!$B:$B,$A239,'Таблиця 1'!$I:$I,"Су-25",'Таблиця 1'!$J:$J,"GBU-64")+SUMIFS('Таблиця 1'!$K:$K,'Таблиця 1'!$B:$B,$A239,'Таблиця 1'!$I:$I,"Су-27",'Таблиця 1'!$J:$J,"GBU-64"))</f>
        <v/>
      </c>
      <c r="O239">
        <f>IF($A239="","",SUMIFS('Таблиця 1'!$K:$K,'Таблиця 1'!$B:$B,$A239,'Таблиця 1'!$I:$I,"Mirage",'Таблиця 1'!$J:$J,"C-13")+SUMIFS('Таблиця 1'!$K:$K,'Таблиця 1'!$B:$B,$A239,'Таблиця 1'!$I:$I,"F-16",'Таблиця 1'!$J:$J,"C-13")+SUMIFS('Таблиця 1'!$K:$K,'Таблиця 1'!$B:$B,$A239,'Таблиця 1'!$I:$I,"МіГ-29",'Таблиця 1'!$J:$J,"C-13")+SUMIFS('Таблиця 1'!$K:$K,'Таблиця 1'!$B:$B,$A239,'Таблиця 1'!$I:$I,"Су-25",'Таблиця 1'!$J:$J,"C-13")+SUMIFS('Таблиця 1'!$K:$K,'Таблиця 1'!$B:$B,$A239,'Таблиця 1'!$I:$I,"Су-27",'Таблиця 1'!$J:$J,"C-13"))</f>
        <v/>
      </c>
      <c r="P239">
        <f>IF($A239="","",SUMIFS('Таблиця 1'!$K:$K,'Таблиця 1'!$B:$B,$A239,'Таблиця 1'!$I:$I,"Mirage",'Таблиця 1'!$J:$J,"MK-32")+SUMIFS('Таблиця 1'!$K:$K,'Таблиця 1'!$B:$B,$A239,'Таблиця 1'!$I:$I,"F-16",'Таблиця 1'!$J:$J,"MK-32")+SUMIFS('Таблиця 1'!$K:$K,'Таблиця 1'!$B:$B,$A239,'Таблиця 1'!$I:$I,"МіГ-29",'Таблиця 1'!$J:$J,"MK-32")+SUMIFS('Таблиця 1'!$K:$K,'Таблиця 1'!$B:$B,$A239,'Таблиця 1'!$I:$I,"Су-25",'Таблиця 1'!$J:$J,"MK-32")+SUMIFS('Таблиця 1'!$K:$K,'Таблиця 1'!$B:$B,$A239,'Таблиця 1'!$I:$I,"Су-27",'Таблиця 1'!$J:$J,"MK-32"))</f>
        <v/>
      </c>
      <c r="Q239">
        <f>IF($A239="","",SUMIFS('Таблиця 1'!$K:$K,'Таблиця 1'!$B:$B,$A239,'Таблиця 1'!$I:$I,"Mirage",'Таблиця 1'!$J:$J,"MK-24")+SUMIFS('Таблиця 1'!$K:$K,'Таблиця 1'!$B:$B,$A239,'Таблиця 1'!$I:$I,"F-16",'Таблиця 1'!$J:$J,"MK-24")+SUMIFS('Таблиця 1'!$K:$K,'Таблиця 1'!$B:$B,$A239,'Таблиця 1'!$I:$I,"МіГ-29",'Таблиця 1'!$J:$J,"MK-24")+SUMIFS('Таблиця 1'!$K:$K,'Таблиця 1'!$B:$B,$A239,'Таблиця 1'!$I:$I,"Су-25",'Таблиця 1'!$J:$J,"MK-24")+SUMIFS('Таблиця 1'!$K:$K,'Таблиця 1'!$B:$B,$A239,'Таблиця 1'!$I:$I,"Су-27",'Таблиця 1'!$J:$J,"MK-24"))</f>
        <v/>
      </c>
      <c r="R239">
        <f>IF($A239="","",COUNTIFS('Таблиця 1'!$B:$B,$A239,'Таблиця 1'!$I:$I,"Mirage",'Таблиця 1'!$L:$L,"Уражено")+COUNTIFS('Таблиця 1'!$B:$B,$A239,'Таблиця 1'!$I:$I,"F-16",'Таблиця 1'!$L:$L,"Уражено")+COUNTIFS('Таблиця 1'!$B:$B,$A239,'Таблиця 1'!$I:$I,"МіГ-29",'Таблиця 1'!$L:$L,"Уражено")+COUNTIFS('Таблиця 1'!$B:$B,$A239,'Таблиця 1'!$I:$I,"Су-25",'Таблиця 1'!$L:$L,"Уражено")+COUNTIFS('Таблиця 1'!$B:$B,$A239,'Таблиця 1'!$I:$I,"Су-27",'Таблиця 1'!$L:$L,"Уражено"))</f>
        <v/>
      </c>
      <c r="S239">
        <f>IF($A239="","",COUNTIFS('Таблиця 1'!$B:$B,$A239,'Таблиця 1'!$I:$I,"Mirage",'Таблиця 1'!$L:$L,"НЕ уражено")+COUNTIFS('Таблиця 1'!$B:$B,$A239,'Таблиця 1'!$I:$I,"F-16",'Таблиця 1'!$L:$L,"НЕ уражено")+COUNTIFS('Таблиця 1'!$B:$B,$A239,'Таблиця 1'!$I:$I,"МіГ-29",'Таблиця 1'!$L:$L,"НЕ уражено")+COUNTIFS('Таблиця 1'!$B:$B,$A239,'Таблиця 1'!$I:$I,"Су-25",'Таблиця 1'!$L:$L,"НЕ уражено")+COUNTIFS('Таблиця 1'!$B:$B,$A239,'Таблиця 1'!$I:$I,"Су-27",'Таблиця 1'!$L:$L,"НЕ уражено"))</f>
        <v/>
      </c>
      <c r="T239">
        <f>IF($A239="","",COUNTIFS('Таблиця 1'!$B:$B,$A239,'Таблиця 1'!$I:$I,"Mirage",'Таблиця 1'!$L:$L,"Дорозвідується")+COUNTIFS('Таблиця 1'!$B:$B,$A239,'Таблиця 1'!$I:$I,"F-16",'Таблиця 1'!$L:$L,"Дорозвідується")+COUNTIFS('Таблиця 1'!$B:$B,$A239,'Таблиця 1'!$I:$I,"МіГ-29",'Таблиця 1'!$L:$L,"Дорозвідується")+COUNTIFS('Таблиця 1'!$B:$B,$A239,'Таблиця 1'!$I:$I,"Су-25",'Таблиця 1'!$L:$L,"Дорозвідується")+COUNTIFS('Таблиця 1'!$B:$B,$A239,'Таблиця 1'!$I:$I,"Су-27",'Таблиця 1'!$L:$L,"Дорозвідується"))</f>
        <v/>
      </c>
    </row>
    <row r="240">
      <c r="A240" s="273">
        <f>IF(A239="","",IF(A239+1&gt;MAX('Таблиця 1'!$B:$B),"",A239+1))</f>
        <v/>
      </c>
      <c r="B240">
        <f>IF($A240="","",COUNTIFS('Таблиця 1'!$B:$B,$A240,'Таблиця 1'!$I:$I,"Mirage")+COUNTIFS('Таблиця 1'!$B:$B,$A240,'Таблиця 1'!$I:$I,"F-16")+COUNTIFS('Таблиця 1'!$B:$B,$A240,'Таблиця 1'!$I:$I,"МіГ-29")+COUNTIFS('Таблиця 1'!$B:$B,$A240,'Таблиця 1'!$I:$I,"Су-25")+COUNTIFS('Таблиця 1'!$B:$B,$A240,'Таблиця 1'!$I:$I,"Су-27"))</f>
        <v/>
      </c>
      <c r="C240">
        <f>IF($A240="","",COUNTIFS('Таблиця 1'!$B:$B,$A240,'Таблиця 1'!$I:$I,"Mirage"))</f>
        <v/>
      </c>
      <c r="D240">
        <f>IF($A240="","",COUNTIFS('Таблиця 1'!$B:$B,$A240,'Таблиця 1'!$I:$I,"F-16"))</f>
        <v/>
      </c>
      <c r="E240">
        <f>IF($A240="","",COUNTIFS('Таблиця 1'!$B:$B,$A240,'Таблиця 1'!$I:$I,"МіГ-29"))</f>
        <v/>
      </c>
      <c r="F240">
        <f>IF($A240="","",COUNTIFS('Таблиця 1'!$B:$B,$A240,'Таблиця 1'!$I:$I,"Су-25"))</f>
        <v/>
      </c>
      <c r="G240">
        <f>IF($A240="","",COUNTIFS('Таблиця 1'!$B:$B,$A240,'Таблиця 1'!$I:$I,"Су-27"))</f>
        <v/>
      </c>
      <c r="H240">
        <f>IF($A240="","",SUMIFS('Таблиця 1'!$K:$K,'Таблиця 1'!$B:$B,$A240,'Таблиця 1'!$I:$I,"Mirage",'Таблиця 1'!$J:$J,"AGM-88")+SUMIFS('Таблиця 1'!$K:$K,'Таблиця 1'!$B:$B,$A240,'Таблиця 1'!$I:$I,"F-16",'Таблиця 1'!$J:$J,"AGM-88")+SUMIFS('Таблиця 1'!$K:$K,'Таблиця 1'!$B:$B,$A240,'Таблиця 1'!$I:$I,"МіГ-29",'Таблиця 1'!$J:$J,"AGM-88")+SUMIFS('Таблиця 1'!$K:$K,'Таблиця 1'!$B:$B,$A240,'Таблиця 1'!$I:$I,"Су-25",'Таблиця 1'!$J:$J,"AGM-88")+SUMIFS('Таблиця 1'!$K:$K,'Таблиця 1'!$B:$B,$A240,'Таблиця 1'!$I:$I,"Су-27",'Таблиця 1'!$J:$J,"AGM-88"))</f>
        <v/>
      </c>
      <c r="I240">
        <f>IF($A240="","",SUMIFS('Таблиця 1'!$K:$K,'Таблиця 1'!$B:$B,$A240,'Таблиця 1'!$I:$I,"Mirage",'Таблиця 1'!$J:$J,"AASM-250")+SUMIFS('Таблиця 1'!$K:$K,'Таблиця 1'!$B:$B,$A240,'Таблиця 1'!$I:$I,"F-16",'Таблиця 1'!$J:$J,"AASM-250")+SUMIFS('Таблиця 1'!$K:$K,'Таблиця 1'!$B:$B,$A240,'Таблиця 1'!$I:$I,"МіГ-29",'Таблиця 1'!$J:$J,"AASM-250")+SUMIFS('Таблиця 1'!$K:$K,'Таблиця 1'!$B:$B,$A240,'Таблиця 1'!$I:$I,"Су-25",'Таблиця 1'!$J:$J,"AASM-250")+SUMIFS('Таблиця 1'!$K:$K,'Таблиця 1'!$B:$B,$A240,'Таблиця 1'!$I:$I,"Су-27",'Таблиця 1'!$J:$J,"AASM-250"))</f>
        <v/>
      </c>
      <c r="J240">
        <f>IF($A240="","",SUMIFS('Таблиця 1'!$K:$K,'Таблиця 1'!$B:$B,$A240,'Таблиця 1'!$I:$I,"Mirage",'Таблиця 1'!$J:$J,"GBU-39")+SUMIFS('Таблиця 1'!$K:$K,'Таблиця 1'!$B:$B,$A240,'Таблиця 1'!$I:$I,"F-16",'Таблиця 1'!$J:$J,"GBU-39")+SUMIFS('Таблиця 1'!$K:$K,'Таблиця 1'!$B:$B,$A240,'Таблиця 1'!$I:$I,"МіГ-29",'Таблиця 1'!$J:$J,"GBU-39")+SUMIFS('Таблиця 1'!$K:$K,'Таблиця 1'!$B:$B,$A240,'Таблиця 1'!$I:$I,"Су-25",'Таблиця 1'!$J:$J,"GBU-39")+SUMIFS('Таблиця 1'!$K:$K,'Таблиця 1'!$B:$B,$A240,'Таблиця 1'!$I:$I,"Су-27",'Таблиця 1'!$J:$J,"GBU-39"))</f>
        <v/>
      </c>
      <c r="K240">
        <f>IF($A240="","",SUMIFS('Таблиця 1'!$K:$K,'Таблиця 1'!$B:$B,$A240,'Таблиця 1'!$I:$I,"Mirage",'Таблиця 1'!$J:$J,"BLU-140")+SUMIFS('Таблиця 1'!$K:$K,'Таблиця 1'!$B:$B,$A240,'Таблиця 1'!$I:$I,"F-16",'Таблиця 1'!$J:$J,"BLU-140")+SUMIFS('Таблиця 1'!$K:$K,'Таблиця 1'!$B:$B,$A240,'Таблиця 1'!$I:$I,"МіГ-29",'Таблиця 1'!$J:$J,"BLU-140")+SUMIFS('Таблиця 1'!$K:$K,'Таблиця 1'!$B:$B,$A240,'Таблиця 1'!$I:$I,"Су-25",'Таблиця 1'!$J:$J,"BLU-140")+SUMIFS('Таблиця 1'!$K:$K,'Таблиця 1'!$B:$B,$A240,'Таблиця 1'!$I:$I,"Су-27",'Таблиця 1'!$J:$J,"BLU-140"))</f>
        <v/>
      </c>
      <c r="L240">
        <f>IF($A240="","",SUMIFS('Таблиця 1'!$K:$K,'Таблиця 1'!$B:$B,$A240,'Таблиця 1'!$I:$I,"Mirage",'Таблиця 1'!$J:$J,"GBU-65")+SUMIFS('Таблиця 1'!$K:$K,'Таблиця 1'!$B:$B,$A240,'Таблиця 1'!$I:$I,"F-16",'Таблиця 1'!$J:$J,"GBU-65")+SUMIFS('Таблиця 1'!$K:$K,'Таблиця 1'!$B:$B,$A240,'Таблиця 1'!$I:$I,"МіГ-29",'Таблиця 1'!$J:$J,"GBU-65")+SUMIFS('Таблиця 1'!$K:$K,'Таблиця 1'!$B:$B,$A240,'Таблиця 1'!$I:$I,"Су-25",'Таблиця 1'!$J:$J,"GBU-65")+SUMIFS('Таблиця 1'!$K:$K,'Таблиця 1'!$B:$B,$A240,'Таблиця 1'!$I:$I,"Су-27",'Таблиця 1'!$J:$J,"GBU-65"))</f>
        <v/>
      </c>
      <c r="M240">
        <f>IF($A240="","",SUMIFS('Таблиця 1'!$K:$K,'Таблиця 1'!$B:$B,$A240,'Таблиця 1'!$I:$I,"Mirage",'Таблиця 1'!$J:$J,"GBU-62")+SUMIFS('Таблиця 1'!$K:$K,'Таблиця 1'!$B:$B,$A240,'Таблиця 1'!$I:$I,"F-16",'Таблиця 1'!$J:$J,"GBU-62")+SUMIFS('Таблиця 1'!$K:$K,'Таблиця 1'!$B:$B,$A240,'Таблиця 1'!$I:$I,"МіГ-29",'Таблиця 1'!$J:$J,"GBU-62")+SUMIFS('Таблиця 1'!$K:$K,'Таблиця 1'!$B:$B,$A240,'Таблиця 1'!$I:$I,"Су-25",'Таблиця 1'!$J:$J,"GBU-62")+SUMIFS('Таблиця 1'!$K:$K,'Таблиця 1'!$B:$B,$A240,'Таблиця 1'!$I:$I,"Су-27",'Таблиця 1'!$J:$J,"GBU-62"))</f>
        <v/>
      </c>
      <c r="N240">
        <f>IF($A240="","",SUMIFS('Таблиця 1'!$K:$K,'Таблиця 1'!$B:$B,$A240,'Таблиця 1'!$I:$I,"Mirage",'Таблиця 1'!$J:$J,"GBU-64")+SUMIFS('Таблиця 1'!$K:$K,'Таблиця 1'!$B:$B,$A240,'Таблиця 1'!$I:$I,"F-16",'Таблиця 1'!$J:$J,"GBU-64")+SUMIFS('Таблиця 1'!$K:$K,'Таблиця 1'!$B:$B,$A240,'Таблиця 1'!$I:$I,"МіГ-29",'Таблиця 1'!$J:$J,"GBU-64")+SUMIFS('Таблиця 1'!$K:$K,'Таблиця 1'!$B:$B,$A240,'Таблиця 1'!$I:$I,"Су-25",'Таблиця 1'!$J:$J,"GBU-64")+SUMIFS('Таблиця 1'!$K:$K,'Таблиця 1'!$B:$B,$A240,'Таблиця 1'!$I:$I,"Су-27",'Таблиця 1'!$J:$J,"GBU-64"))</f>
        <v/>
      </c>
      <c r="O240">
        <f>IF($A240="","",SUMIFS('Таблиця 1'!$K:$K,'Таблиця 1'!$B:$B,$A240,'Таблиця 1'!$I:$I,"Mirage",'Таблиця 1'!$J:$J,"C-13")+SUMIFS('Таблиця 1'!$K:$K,'Таблиця 1'!$B:$B,$A240,'Таблиця 1'!$I:$I,"F-16",'Таблиця 1'!$J:$J,"C-13")+SUMIFS('Таблиця 1'!$K:$K,'Таблиця 1'!$B:$B,$A240,'Таблиця 1'!$I:$I,"МіГ-29",'Таблиця 1'!$J:$J,"C-13")+SUMIFS('Таблиця 1'!$K:$K,'Таблиця 1'!$B:$B,$A240,'Таблиця 1'!$I:$I,"Су-25",'Таблиця 1'!$J:$J,"C-13")+SUMIFS('Таблиця 1'!$K:$K,'Таблиця 1'!$B:$B,$A240,'Таблиця 1'!$I:$I,"Су-27",'Таблиця 1'!$J:$J,"C-13"))</f>
        <v/>
      </c>
      <c r="P240">
        <f>IF($A240="","",SUMIFS('Таблиця 1'!$K:$K,'Таблиця 1'!$B:$B,$A240,'Таблиця 1'!$I:$I,"Mirage",'Таблиця 1'!$J:$J,"MK-32")+SUMIFS('Таблиця 1'!$K:$K,'Таблиця 1'!$B:$B,$A240,'Таблиця 1'!$I:$I,"F-16",'Таблиця 1'!$J:$J,"MK-32")+SUMIFS('Таблиця 1'!$K:$K,'Таблиця 1'!$B:$B,$A240,'Таблиця 1'!$I:$I,"МіГ-29",'Таблиця 1'!$J:$J,"MK-32")+SUMIFS('Таблиця 1'!$K:$K,'Таблиця 1'!$B:$B,$A240,'Таблиця 1'!$I:$I,"Су-25",'Таблиця 1'!$J:$J,"MK-32")+SUMIFS('Таблиця 1'!$K:$K,'Таблиця 1'!$B:$B,$A240,'Таблиця 1'!$I:$I,"Су-27",'Таблиця 1'!$J:$J,"MK-32"))</f>
        <v/>
      </c>
      <c r="Q240">
        <f>IF($A240="","",SUMIFS('Таблиця 1'!$K:$K,'Таблиця 1'!$B:$B,$A240,'Таблиця 1'!$I:$I,"Mirage",'Таблиця 1'!$J:$J,"MK-24")+SUMIFS('Таблиця 1'!$K:$K,'Таблиця 1'!$B:$B,$A240,'Таблиця 1'!$I:$I,"F-16",'Таблиця 1'!$J:$J,"MK-24")+SUMIFS('Таблиця 1'!$K:$K,'Таблиця 1'!$B:$B,$A240,'Таблиця 1'!$I:$I,"МіГ-29",'Таблиця 1'!$J:$J,"MK-24")+SUMIFS('Таблиця 1'!$K:$K,'Таблиця 1'!$B:$B,$A240,'Таблиця 1'!$I:$I,"Су-25",'Таблиця 1'!$J:$J,"MK-24")+SUMIFS('Таблиця 1'!$K:$K,'Таблиця 1'!$B:$B,$A240,'Таблиця 1'!$I:$I,"Су-27",'Таблиця 1'!$J:$J,"MK-24"))</f>
        <v/>
      </c>
      <c r="R240">
        <f>IF($A240="","",COUNTIFS('Таблиця 1'!$B:$B,$A240,'Таблиця 1'!$I:$I,"Mirage",'Таблиця 1'!$L:$L,"Уражено")+COUNTIFS('Таблиця 1'!$B:$B,$A240,'Таблиця 1'!$I:$I,"F-16",'Таблиця 1'!$L:$L,"Уражено")+COUNTIFS('Таблиця 1'!$B:$B,$A240,'Таблиця 1'!$I:$I,"МіГ-29",'Таблиця 1'!$L:$L,"Уражено")+COUNTIFS('Таблиця 1'!$B:$B,$A240,'Таблиця 1'!$I:$I,"Су-25",'Таблиця 1'!$L:$L,"Уражено")+COUNTIFS('Таблиця 1'!$B:$B,$A240,'Таблиця 1'!$I:$I,"Су-27",'Таблиця 1'!$L:$L,"Уражено"))</f>
        <v/>
      </c>
      <c r="S240">
        <f>IF($A240="","",COUNTIFS('Таблиця 1'!$B:$B,$A240,'Таблиця 1'!$I:$I,"Mirage",'Таблиця 1'!$L:$L,"НЕ уражено")+COUNTIFS('Таблиця 1'!$B:$B,$A240,'Таблиця 1'!$I:$I,"F-16",'Таблиця 1'!$L:$L,"НЕ уражено")+COUNTIFS('Таблиця 1'!$B:$B,$A240,'Таблиця 1'!$I:$I,"МіГ-29",'Таблиця 1'!$L:$L,"НЕ уражено")+COUNTIFS('Таблиця 1'!$B:$B,$A240,'Таблиця 1'!$I:$I,"Су-25",'Таблиця 1'!$L:$L,"НЕ уражено")+COUNTIFS('Таблиця 1'!$B:$B,$A240,'Таблиця 1'!$I:$I,"Су-27",'Таблиця 1'!$L:$L,"НЕ уражено"))</f>
        <v/>
      </c>
      <c r="T240">
        <f>IF($A240="","",COUNTIFS('Таблиця 1'!$B:$B,$A240,'Таблиця 1'!$I:$I,"Mirage",'Таблиця 1'!$L:$L,"Дорозвідується")+COUNTIFS('Таблиця 1'!$B:$B,$A240,'Таблиця 1'!$I:$I,"F-16",'Таблиця 1'!$L:$L,"Дорозвідується")+COUNTIFS('Таблиця 1'!$B:$B,$A240,'Таблиця 1'!$I:$I,"МіГ-29",'Таблиця 1'!$L:$L,"Дорозвідується")+COUNTIFS('Таблиця 1'!$B:$B,$A240,'Таблиця 1'!$I:$I,"Су-25",'Таблиця 1'!$L:$L,"Дорозвідується")+COUNTIFS('Таблиця 1'!$B:$B,$A240,'Таблиця 1'!$I:$I,"Су-27",'Таблиця 1'!$L:$L,"Дорозвідується"))</f>
        <v/>
      </c>
    </row>
    <row r="241">
      <c r="A241" s="273">
        <f>IF(A240="","",IF(A240+1&gt;MAX('Таблиця 1'!$B:$B),"",A240+1))</f>
        <v/>
      </c>
      <c r="B241">
        <f>IF($A241="","",COUNTIFS('Таблиця 1'!$B:$B,$A241,'Таблиця 1'!$I:$I,"Mirage")+COUNTIFS('Таблиця 1'!$B:$B,$A241,'Таблиця 1'!$I:$I,"F-16")+COUNTIFS('Таблиця 1'!$B:$B,$A241,'Таблиця 1'!$I:$I,"МіГ-29")+COUNTIFS('Таблиця 1'!$B:$B,$A241,'Таблиця 1'!$I:$I,"Су-25")+COUNTIFS('Таблиця 1'!$B:$B,$A241,'Таблиця 1'!$I:$I,"Су-27"))</f>
        <v/>
      </c>
      <c r="C241">
        <f>IF($A241="","",COUNTIFS('Таблиця 1'!$B:$B,$A241,'Таблиця 1'!$I:$I,"Mirage"))</f>
        <v/>
      </c>
      <c r="D241">
        <f>IF($A241="","",COUNTIFS('Таблиця 1'!$B:$B,$A241,'Таблиця 1'!$I:$I,"F-16"))</f>
        <v/>
      </c>
      <c r="E241">
        <f>IF($A241="","",COUNTIFS('Таблиця 1'!$B:$B,$A241,'Таблиця 1'!$I:$I,"МіГ-29"))</f>
        <v/>
      </c>
      <c r="F241">
        <f>IF($A241="","",COUNTIFS('Таблиця 1'!$B:$B,$A241,'Таблиця 1'!$I:$I,"Су-25"))</f>
        <v/>
      </c>
      <c r="G241">
        <f>IF($A241="","",COUNTIFS('Таблиця 1'!$B:$B,$A241,'Таблиця 1'!$I:$I,"Су-27"))</f>
        <v/>
      </c>
      <c r="H241">
        <f>IF($A241="","",SUMIFS('Таблиця 1'!$K:$K,'Таблиця 1'!$B:$B,$A241,'Таблиця 1'!$I:$I,"Mirage",'Таблиця 1'!$J:$J,"AGM-88")+SUMIFS('Таблиця 1'!$K:$K,'Таблиця 1'!$B:$B,$A241,'Таблиця 1'!$I:$I,"F-16",'Таблиця 1'!$J:$J,"AGM-88")+SUMIFS('Таблиця 1'!$K:$K,'Таблиця 1'!$B:$B,$A241,'Таблиця 1'!$I:$I,"МіГ-29",'Таблиця 1'!$J:$J,"AGM-88")+SUMIFS('Таблиця 1'!$K:$K,'Таблиця 1'!$B:$B,$A241,'Таблиця 1'!$I:$I,"Су-25",'Таблиця 1'!$J:$J,"AGM-88")+SUMIFS('Таблиця 1'!$K:$K,'Таблиця 1'!$B:$B,$A241,'Таблиця 1'!$I:$I,"Су-27",'Таблиця 1'!$J:$J,"AGM-88"))</f>
        <v/>
      </c>
      <c r="I241">
        <f>IF($A241="","",SUMIFS('Таблиця 1'!$K:$K,'Таблиця 1'!$B:$B,$A241,'Таблиця 1'!$I:$I,"Mirage",'Таблиця 1'!$J:$J,"AASM-250")+SUMIFS('Таблиця 1'!$K:$K,'Таблиця 1'!$B:$B,$A241,'Таблиця 1'!$I:$I,"F-16",'Таблиця 1'!$J:$J,"AASM-250")+SUMIFS('Таблиця 1'!$K:$K,'Таблиця 1'!$B:$B,$A241,'Таблиця 1'!$I:$I,"МіГ-29",'Таблиця 1'!$J:$J,"AASM-250")+SUMIFS('Таблиця 1'!$K:$K,'Таблиця 1'!$B:$B,$A241,'Таблиця 1'!$I:$I,"Су-25",'Таблиця 1'!$J:$J,"AASM-250")+SUMIFS('Таблиця 1'!$K:$K,'Таблиця 1'!$B:$B,$A241,'Таблиця 1'!$I:$I,"Су-27",'Таблиця 1'!$J:$J,"AASM-250"))</f>
        <v/>
      </c>
      <c r="J241">
        <f>IF($A241="","",SUMIFS('Таблиця 1'!$K:$K,'Таблиця 1'!$B:$B,$A241,'Таблиця 1'!$I:$I,"Mirage",'Таблиця 1'!$J:$J,"GBU-39")+SUMIFS('Таблиця 1'!$K:$K,'Таблиця 1'!$B:$B,$A241,'Таблиця 1'!$I:$I,"F-16",'Таблиця 1'!$J:$J,"GBU-39")+SUMIFS('Таблиця 1'!$K:$K,'Таблиця 1'!$B:$B,$A241,'Таблиця 1'!$I:$I,"МіГ-29",'Таблиця 1'!$J:$J,"GBU-39")+SUMIFS('Таблиця 1'!$K:$K,'Таблиця 1'!$B:$B,$A241,'Таблиця 1'!$I:$I,"Су-25",'Таблиця 1'!$J:$J,"GBU-39")+SUMIFS('Таблиця 1'!$K:$K,'Таблиця 1'!$B:$B,$A241,'Таблиця 1'!$I:$I,"Су-27",'Таблиця 1'!$J:$J,"GBU-39"))</f>
        <v/>
      </c>
      <c r="K241">
        <f>IF($A241="","",SUMIFS('Таблиця 1'!$K:$K,'Таблиця 1'!$B:$B,$A241,'Таблиця 1'!$I:$I,"Mirage",'Таблиця 1'!$J:$J,"BLU-140")+SUMIFS('Таблиця 1'!$K:$K,'Таблиця 1'!$B:$B,$A241,'Таблиця 1'!$I:$I,"F-16",'Таблиця 1'!$J:$J,"BLU-140")+SUMIFS('Таблиця 1'!$K:$K,'Таблиця 1'!$B:$B,$A241,'Таблиця 1'!$I:$I,"МіГ-29",'Таблиця 1'!$J:$J,"BLU-140")+SUMIFS('Таблиця 1'!$K:$K,'Таблиця 1'!$B:$B,$A241,'Таблиця 1'!$I:$I,"Су-25",'Таблиця 1'!$J:$J,"BLU-140")+SUMIFS('Таблиця 1'!$K:$K,'Таблиця 1'!$B:$B,$A241,'Таблиця 1'!$I:$I,"Су-27",'Таблиця 1'!$J:$J,"BLU-140"))</f>
        <v/>
      </c>
      <c r="L241">
        <f>IF($A241="","",SUMIFS('Таблиця 1'!$K:$K,'Таблиця 1'!$B:$B,$A241,'Таблиця 1'!$I:$I,"Mirage",'Таблиця 1'!$J:$J,"GBU-65")+SUMIFS('Таблиця 1'!$K:$K,'Таблиця 1'!$B:$B,$A241,'Таблиця 1'!$I:$I,"F-16",'Таблиця 1'!$J:$J,"GBU-65")+SUMIFS('Таблиця 1'!$K:$K,'Таблиця 1'!$B:$B,$A241,'Таблиця 1'!$I:$I,"МіГ-29",'Таблиця 1'!$J:$J,"GBU-65")+SUMIFS('Таблиця 1'!$K:$K,'Таблиця 1'!$B:$B,$A241,'Таблиця 1'!$I:$I,"Су-25",'Таблиця 1'!$J:$J,"GBU-65")+SUMIFS('Таблиця 1'!$K:$K,'Таблиця 1'!$B:$B,$A241,'Таблиця 1'!$I:$I,"Су-27",'Таблиця 1'!$J:$J,"GBU-65"))</f>
        <v/>
      </c>
      <c r="M241">
        <f>IF($A241="","",SUMIFS('Таблиця 1'!$K:$K,'Таблиця 1'!$B:$B,$A241,'Таблиця 1'!$I:$I,"Mirage",'Таблиця 1'!$J:$J,"GBU-62")+SUMIFS('Таблиця 1'!$K:$K,'Таблиця 1'!$B:$B,$A241,'Таблиця 1'!$I:$I,"F-16",'Таблиця 1'!$J:$J,"GBU-62")+SUMIFS('Таблиця 1'!$K:$K,'Таблиця 1'!$B:$B,$A241,'Таблиця 1'!$I:$I,"МіГ-29",'Таблиця 1'!$J:$J,"GBU-62")+SUMIFS('Таблиця 1'!$K:$K,'Таблиця 1'!$B:$B,$A241,'Таблиця 1'!$I:$I,"Су-25",'Таблиця 1'!$J:$J,"GBU-62")+SUMIFS('Таблиця 1'!$K:$K,'Таблиця 1'!$B:$B,$A241,'Таблиця 1'!$I:$I,"Су-27",'Таблиця 1'!$J:$J,"GBU-62"))</f>
        <v/>
      </c>
      <c r="N241">
        <f>IF($A241="","",SUMIFS('Таблиця 1'!$K:$K,'Таблиця 1'!$B:$B,$A241,'Таблиця 1'!$I:$I,"Mirage",'Таблиця 1'!$J:$J,"GBU-64")+SUMIFS('Таблиця 1'!$K:$K,'Таблиця 1'!$B:$B,$A241,'Таблиця 1'!$I:$I,"F-16",'Таблиця 1'!$J:$J,"GBU-64")+SUMIFS('Таблиця 1'!$K:$K,'Таблиця 1'!$B:$B,$A241,'Таблиця 1'!$I:$I,"МіГ-29",'Таблиця 1'!$J:$J,"GBU-64")+SUMIFS('Таблиця 1'!$K:$K,'Таблиця 1'!$B:$B,$A241,'Таблиця 1'!$I:$I,"Су-25",'Таблиця 1'!$J:$J,"GBU-64")+SUMIFS('Таблиця 1'!$K:$K,'Таблиця 1'!$B:$B,$A241,'Таблиця 1'!$I:$I,"Су-27",'Таблиця 1'!$J:$J,"GBU-64"))</f>
        <v/>
      </c>
      <c r="O241">
        <f>IF($A241="","",SUMIFS('Таблиця 1'!$K:$K,'Таблиця 1'!$B:$B,$A241,'Таблиця 1'!$I:$I,"Mirage",'Таблиця 1'!$J:$J,"C-13")+SUMIFS('Таблиця 1'!$K:$K,'Таблиця 1'!$B:$B,$A241,'Таблиця 1'!$I:$I,"F-16",'Таблиця 1'!$J:$J,"C-13")+SUMIFS('Таблиця 1'!$K:$K,'Таблиця 1'!$B:$B,$A241,'Таблиця 1'!$I:$I,"МіГ-29",'Таблиця 1'!$J:$J,"C-13")+SUMIFS('Таблиця 1'!$K:$K,'Таблиця 1'!$B:$B,$A241,'Таблиця 1'!$I:$I,"Су-25",'Таблиця 1'!$J:$J,"C-13")+SUMIFS('Таблиця 1'!$K:$K,'Таблиця 1'!$B:$B,$A241,'Таблиця 1'!$I:$I,"Су-27",'Таблиця 1'!$J:$J,"C-13"))</f>
        <v/>
      </c>
      <c r="P241">
        <f>IF($A241="","",SUMIFS('Таблиця 1'!$K:$K,'Таблиця 1'!$B:$B,$A241,'Таблиця 1'!$I:$I,"Mirage",'Таблиця 1'!$J:$J,"MK-32")+SUMIFS('Таблиця 1'!$K:$K,'Таблиця 1'!$B:$B,$A241,'Таблиця 1'!$I:$I,"F-16",'Таблиця 1'!$J:$J,"MK-32")+SUMIFS('Таблиця 1'!$K:$K,'Таблиця 1'!$B:$B,$A241,'Таблиця 1'!$I:$I,"МіГ-29",'Таблиця 1'!$J:$J,"MK-32")+SUMIFS('Таблиця 1'!$K:$K,'Таблиця 1'!$B:$B,$A241,'Таблиця 1'!$I:$I,"Су-25",'Таблиця 1'!$J:$J,"MK-32")+SUMIFS('Таблиця 1'!$K:$K,'Таблиця 1'!$B:$B,$A241,'Таблиця 1'!$I:$I,"Су-27",'Таблиця 1'!$J:$J,"MK-32"))</f>
        <v/>
      </c>
      <c r="Q241">
        <f>IF($A241="","",SUMIFS('Таблиця 1'!$K:$K,'Таблиця 1'!$B:$B,$A241,'Таблиця 1'!$I:$I,"Mirage",'Таблиця 1'!$J:$J,"MK-24")+SUMIFS('Таблиця 1'!$K:$K,'Таблиця 1'!$B:$B,$A241,'Таблиця 1'!$I:$I,"F-16",'Таблиця 1'!$J:$J,"MK-24")+SUMIFS('Таблиця 1'!$K:$K,'Таблиця 1'!$B:$B,$A241,'Таблиця 1'!$I:$I,"МіГ-29",'Таблиця 1'!$J:$J,"MK-24")+SUMIFS('Таблиця 1'!$K:$K,'Таблиця 1'!$B:$B,$A241,'Таблиця 1'!$I:$I,"Су-25",'Таблиця 1'!$J:$J,"MK-24")+SUMIFS('Таблиця 1'!$K:$K,'Таблиця 1'!$B:$B,$A241,'Таблиця 1'!$I:$I,"Су-27",'Таблиця 1'!$J:$J,"MK-24"))</f>
        <v/>
      </c>
      <c r="R241">
        <f>IF($A241="","",COUNTIFS('Таблиця 1'!$B:$B,$A241,'Таблиця 1'!$I:$I,"Mirage",'Таблиця 1'!$L:$L,"Уражено")+COUNTIFS('Таблиця 1'!$B:$B,$A241,'Таблиця 1'!$I:$I,"F-16",'Таблиця 1'!$L:$L,"Уражено")+COUNTIFS('Таблиця 1'!$B:$B,$A241,'Таблиця 1'!$I:$I,"МіГ-29",'Таблиця 1'!$L:$L,"Уражено")+COUNTIFS('Таблиця 1'!$B:$B,$A241,'Таблиця 1'!$I:$I,"Су-25",'Таблиця 1'!$L:$L,"Уражено")+COUNTIFS('Таблиця 1'!$B:$B,$A241,'Таблиця 1'!$I:$I,"Су-27",'Таблиця 1'!$L:$L,"Уражено"))</f>
        <v/>
      </c>
      <c r="S241">
        <f>IF($A241="","",COUNTIFS('Таблиця 1'!$B:$B,$A241,'Таблиця 1'!$I:$I,"Mirage",'Таблиця 1'!$L:$L,"НЕ уражено")+COUNTIFS('Таблиця 1'!$B:$B,$A241,'Таблиця 1'!$I:$I,"F-16",'Таблиця 1'!$L:$L,"НЕ уражено")+COUNTIFS('Таблиця 1'!$B:$B,$A241,'Таблиця 1'!$I:$I,"МіГ-29",'Таблиця 1'!$L:$L,"НЕ уражено")+COUNTIFS('Таблиця 1'!$B:$B,$A241,'Таблиця 1'!$I:$I,"Су-25",'Таблиця 1'!$L:$L,"НЕ уражено")+COUNTIFS('Таблиця 1'!$B:$B,$A241,'Таблиця 1'!$I:$I,"Су-27",'Таблиця 1'!$L:$L,"НЕ уражено"))</f>
        <v/>
      </c>
      <c r="T241">
        <f>IF($A241="","",COUNTIFS('Таблиця 1'!$B:$B,$A241,'Таблиця 1'!$I:$I,"Mirage",'Таблиця 1'!$L:$L,"Дорозвідується")+COUNTIFS('Таблиця 1'!$B:$B,$A241,'Таблиця 1'!$I:$I,"F-16",'Таблиця 1'!$L:$L,"Дорозвідується")+COUNTIFS('Таблиця 1'!$B:$B,$A241,'Таблиця 1'!$I:$I,"МіГ-29",'Таблиця 1'!$L:$L,"Дорозвідується")+COUNTIFS('Таблиця 1'!$B:$B,$A241,'Таблиця 1'!$I:$I,"Су-25",'Таблиця 1'!$L:$L,"Дорозвідується")+COUNTIFS('Таблиця 1'!$B:$B,$A241,'Таблиця 1'!$I:$I,"Су-27",'Таблиця 1'!$L:$L,"Дорозвідується"))</f>
        <v/>
      </c>
    </row>
    <row r="242">
      <c r="A242" s="273">
        <f>IF(A241="","",IF(A241+1&gt;MAX('Таблиця 1'!$B:$B),"",A241+1))</f>
        <v/>
      </c>
      <c r="B242">
        <f>IF($A242="","",COUNTIFS('Таблиця 1'!$B:$B,$A242,'Таблиця 1'!$I:$I,"Mirage")+COUNTIFS('Таблиця 1'!$B:$B,$A242,'Таблиця 1'!$I:$I,"F-16")+COUNTIFS('Таблиця 1'!$B:$B,$A242,'Таблиця 1'!$I:$I,"МіГ-29")+COUNTIFS('Таблиця 1'!$B:$B,$A242,'Таблиця 1'!$I:$I,"Су-25")+COUNTIFS('Таблиця 1'!$B:$B,$A242,'Таблиця 1'!$I:$I,"Су-27"))</f>
        <v/>
      </c>
      <c r="C242">
        <f>IF($A242="","",COUNTIFS('Таблиця 1'!$B:$B,$A242,'Таблиця 1'!$I:$I,"Mirage"))</f>
        <v/>
      </c>
      <c r="D242">
        <f>IF($A242="","",COUNTIFS('Таблиця 1'!$B:$B,$A242,'Таблиця 1'!$I:$I,"F-16"))</f>
        <v/>
      </c>
      <c r="E242">
        <f>IF($A242="","",COUNTIFS('Таблиця 1'!$B:$B,$A242,'Таблиця 1'!$I:$I,"МіГ-29"))</f>
        <v/>
      </c>
      <c r="F242">
        <f>IF($A242="","",COUNTIFS('Таблиця 1'!$B:$B,$A242,'Таблиця 1'!$I:$I,"Су-25"))</f>
        <v/>
      </c>
      <c r="G242">
        <f>IF($A242="","",COUNTIFS('Таблиця 1'!$B:$B,$A242,'Таблиця 1'!$I:$I,"Су-27"))</f>
        <v/>
      </c>
      <c r="H242">
        <f>IF($A242="","",SUMIFS('Таблиця 1'!$K:$K,'Таблиця 1'!$B:$B,$A242,'Таблиця 1'!$I:$I,"Mirage",'Таблиця 1'!$J:$J,"AGM-88")+SUMIFS('Таблиця 1'!$K:$K,'Таблиця 1'!$B:$B,$A242,'Таблиця 1'!$I:$I,"F-16",'Таблиця 1'!$J:$J,"AGM-88")+SUMIFS('Таблиця 1'!$K:$K,'Таблиця 1'!$B:$B,$A242,'Таблиця 1'!$I:$I,"МіГ-29",'Таблиця 1'!$J:$J,"AGM-88")+SUMIFS('Таблиця 1'!$K:$K,'Таблиця 1'!$B:$B,$A242,'Таблиця 1'!$I:$I,"Су-25",'Таблиця 1'!$J:$J,"AGM-88")+SUMIFS('Таблиця 1'!$K:$K,'Таблиця 1'!$B:$B,$A242,'Таблиця 1'!$I:$I,"Су-27",'Таблиця 1'!$J:$J,"AGM-88"))</f>
        <v/>
      </c>
      <c r="I242">
        <f>IF($A242="","",SUMIFS('Таблиця 1'!$K:$K,'Таблиця 1'!$B:$B,$A242,'Таблиця 1'!$I:$I,"Mirage",'Таблиця 1'!$J:$J,"AASM-250")+SUMIFS('Таблиця 1'!$K:$K,'Таблиця 1'!$B:$B,$A242,'Таблиця 1'!$I:$I,"F-16",'Таблиця 1'!$J:$J,"AASM-250")+SUMIFS('Таблиця 1'!$K:$K,'Таблиця 1'!$B:$B,$A242,'Таблиця 1'!$I:$I,"МіГ-29",'Таблиця 1'!$J:$J,"AASM-250")+SUMIFS('Таблиця 1'!$K:$K,'Таблиця 1'!$B:$B,$A242,'Таблиця 1'!$I:$I,"Су-25",'Таблиця 1'!$J:$J,"AASM-250")+SUMIFS('Таблиця 1'!$K:$K,'Таблиця 1'!$B:$B,$A242,'Таблиця 1'!$I:$I,"Су-27",'Таблиця 1'!$J:$J,"AASM-250"))</f>
        <v/>
      </c>
      <c r="J242">
        <f>IF($A242="","",SUMIFS('Таблиця 1'!$K:$K,'Таблиця 1'!$B:$B,$A242,'Таблиця 1'!$I:$I,"Mirage",'Таблиця 1'!$J:$J,"GBU-39")+SUMIFS('Таблиця 1'!$K:$K,'Таблиця 1'!$B:$B,$A242,'Таблиця 1'!$I:$I,"F-16",'Таблиця 1'!$J:$J,"GBU-39")+SUMIFS('Таблиця 1'!$K:$K,'Таблиця 1'!$B:$B,$A242,'Таблиця 1'!$I:$I,"МіГ-29",'Таблиця 1'!$J:$J,"GBU-39")+SUMIFS('Таблиця 1'!$K:$K,'Таблиця 1'!$B:$B,$A242,'Таблиця 1'!$I:$I,"Су-25",'Таблиця 1'!$J:$J,"GBU-39")+SUMIFS('Таблиця 1'!$K:$K,'Таблиця 1'!$B:$B,$A242,'Таблиця 1'!$I:$I,"Су-27",'Таблиця 1'!$J:$J,"GBU-39"))</f>
        <v/>
      </c>
      <c r="K242">
        <f>IF($A242="","",SUMIFS('Таблиця 1'!$K:$K,'Таблиця 1'!$B:$B,$A242,'Таблиця 1'!$I:$I,"Mirage",'Таблиця 1'!$J:$J,"BLU-140")+SUMIFS('Таблиця 1'!$K:$K,'Таблиця 1'!$B:$B,$A242,'Таблиця 1'!$I:$I,"F-16",'Таблиця 1'!$J:$J,"BLU-140")+SUMIFS('Таблиця 1'!$K:$K,'Таблиця 1'!$B:$B,$A242,'Таблиця 1'!$I:$I,"МіГ-29",'Таблиця 1'!$J:$J,"BLU-140")+SUMIFS('Таблиця 1'!$K:$K,'Таблиця 1'!$B:$B,$A242,'Таблиця 1'!$I:$I,"Су-25",'Таблиця 1'!$J:$J,"BLU-140")+SUMIFS('Таблиця 1'!$K:$K,'Таблиця 1'!$B:$B,$A242,'Таблиця 1'!$I:$I,"Су-27",'Таблиця 1'!$J:$J,"BLU-140"))</f>
        <v/>
      </c>
      <c r="L242">
        <f>IF($A242="","",SUMIFS('Таблиця 1'!$K:$K,'Таблиця 1'!$B:$B,$A242,'Таблиця 1'!$I:$I,"Mirage",'Таблиця 1'!$J:$J,"GBU-65")+SUMIFS('Таблиця 1'!$K:$K,'Таблиця 1'!$B:$B,$A242,'Таблиця 1'!$I:$I,"F-16",'Таблиця 1'!$J:$J,"GBU-65")+SUMIFS('Таблиця 1'!$K:$K,'Таблиця 1'!$B:$B,$A242,'Таблиця 1'!$I:$I,"МіГ-29",'Таблиця 1'!$J:$J,"GBU-65")+SUMIFS('Таблиця 1'!$K:$K,'Таблиця 1'!$B:$B,$A242,'Таблиця 1'!$I:$I,"Су-25",'Таблиця 1'!$J:$J,"GBU-65")+SUMIFS('Таблиця 1'!$K:$K,'Таблиця 1'!$B:$B,$A242,'Таблиця 1'!$I:$I,"Су-27",'Таблиця 1'!$J:$J,"GBU-65"))</f>
        <v/>
      </c>
      <c r="M242">
        <f>IF($A242="","",SUMIFS('Таблиця 1'!$K:$K,'Таблиця 1'!$B:$B,$A242,'Таблиця 1'!$I:$I,"Mirage",'Таблиця 1'!$J:$J,"GBU-62")+SUMIFS('Таблиця 1'!$K:$K,'Таблиця 1'!$B:$B,$A242,'Таблиця 1'!$I:$I,"F-16",'Таблиця 1'!$J:$J,"GBU-62")+SUMIFS('Таблиця 1'!$K:$K,'Таблиця 1'!$B:$B,$A242,'Таблиця 1'!$I:$I,"МіГ-29",'Таблиця 1'!$J:$J,"GBU-62")+SUMIFS('Таблиця 1'!$K:$K,'Таблиця 1'!$B:$B,$A242,'Таблиця 1'!$I:$I,"Су-25",'Таблиця 1'!$J:$J,"GBU-62")+SUMIFS('Таблиця 1'!$K:$K,'Таблиця 1'!$B:$B,$A242,'Таблиця 1'!$I:$I,"Су-27",'Таблиця 1'!$J:$J,"GBU-62"))</f>
        <v/>
      </c>
      <c r="N242">
        <f>IF($A242="","",SUMIFS('Таблиця 1'!$K:$K,'Таблиця 1'!$B:$B,$A242,'Таблиця 1'!$I:$I,"Mirage",'Таблиця 1'!$J:$J,"GBU-64")+SUMIFS('Таблиця 1'!$K:$K,'Таблиця 1'!$B:$B,$A242,'Таблиця 1'!$I:$I,"F-16",'Таблиця 1'!$J:$J,"GBU-64")+SUMIFS('Таблиця 1'!$K:$K,'Таблиця 1'!$B:$B,$A242,'Таблиця 1'!$I:$I,"МіГ-29",'Таблиця 1'!$J:$J,"GBU-64")+SUMIFS('Таблиця 1'!$K:$K,'Таблиця 1'!$B:$B,$A242,'Таблиця 1'!$I:$I,"Су-25",'Таблиця 1'!$J:$J,"GBU-64")+SUMIFS('Таблиця 1'!$K:$K,'Таблиця 1'!$B:$B,$A242,'Таблиця 1'!$I:$I,"Су-27",'Таблиця 1'!$J:$J,"GBU-64"))</f>
        <v/>
      </c>
      <c r="O242">
        <f>IF($A242="","",SUMIFS('Таблиця 1'!$K:$K,'Таблиця 1'!$B:$B,$A242,'Таблиця 1'!$I:$I,"Mirage",'Таблиця 1'!$J:$J,"C-13")+SUMIFS('Таблиця 1'!$K:$K,'Таблиця 1'!$B:$B,$A242,'Таблиця 1'!$I:$I,"F-16",'Таблиця 1'!$J:$J,"C-13")+SUMIFS('Таблиця 1'!$K:$K,'Таблиця 1'!$B:$B,$A242,'Таблиця 1'!$I:$I,"МіГ-29",'Таблиця 1'!$J:$J,"C-13")+SUMIFS('Таблиця 1'!$K:$K,'Таблиця 1'!$B:$B,$A242,'Таблиця 1'!$I:$I,"Су-25",'Таблиця 1'!$J:$J,"C-13")+SUMIFS('Таблиця 1'!$K:$K,'Таблиця 1'!$B:$B,$A242,'Таблиця 1'!$I:$I,"Су-27",'Таблиця 1'!$J:$J,"C-13"))</f>
        <v/>
      </c>
      <c r="P242">
        <f>IF($A242="","",SUMIFS('Таблиця 1'!$K:$K,'Таблиця 1'!$B:$B,$A242,'Таблиця 1'!$I:$I,"Mirage",'Таблиця 1'!$J:$J,"MK-32")+SUMIFS('Таблиця 1'!$K:$K,'Таблиця 1'!$B:$B,$A242,'Таблиця 1'!$I:$I,"F-16",'Таблиця 1'!$J:$J,"MK-32")+SUMIFS('Таблиця 1'!$K:$K,'Таблиця 1'!$B:$B,$A242,'Таблиця 1'!$I:$I,"МіГ-29",'Таблиця 1'!$J:$J,"MK-32")+SUMIFS('Таблиця 1'!$K:$K,'Таблиця 1'!$B:$B,$A242,'Таблиця 1'!$I:$I,"Су-25",'Таблиця 1'!$J:$J,"MK-32")+SUMIFS('Таблиця 1'!$K:$K,'Таблиця 1'!$B:$B,$A242,'Таблиця 1'!$I:$I,"Су-27",'Таблиця 1'!$J:$J,"MK-32"))</f>
        <v/>
      </c>
      <c r="Q242">
        <f>IF($A242="","",SUMIFS('Таблиця 1'!$K:$K,'Таблиця 1'!$B:$B,$A242,'Таблиця 1'!$I:$I,"Mirage",'Таблиця 1'!$J:$J,"MK-24")+SUMIFS('Таблиця 1'!$K:$K,'Таблиця 1'!$B:$B,$A242,'Таблиця 1'!$I:$I,"F-16",'Таблиця 1'!$J:$J,"MK-24")+SUMIFS('Таблиця 1'!$K:$K,'Таблиця 1'!$B:$B,$A242,'Таблиця 1'!$I:$I,"МіГ-29",'Таблиця 1'!$J:$J,"MK-24")+SUMIFS('Таблиця 1'!$K:$K,'Таблиця 1'!$B:$B,$A242,'Таблиця 1'!$I:$I,"Су-25",'Таблиця 1'!$J:$J,"MK-24")+SUMIFS('Таблиця 1'!$K:$K,'Таблиця 1'!$B:$B,$A242,'Таблиця 1'!$I:$I,"Су-27",'Таблиця 1'!$J:$J,"MK-24"))</f>
        <v/>
      </c>
      <c r="R242">
        <f>IF($A242="","",COUNTIFS('Таблиця 1'!$B:$B,$A242,'Таблиця 1'!$I:$I,"Mirage",'Таблиця 1'!$L:$L,"Уражено")+COUNTIFS('Таблиця 1'!$B:$B,$A242,'Таблиця 1'!$I:$I,"F-16",'Таблиця 1'!$L:$L,"Уражено")+COUNTIFS('Таблиця 1'!$B:$B,$A242,'Таблиця 1'!$I:$I,"МіГ-29",'Таблиця 1'!$L:$L,"Уражено")+COUNTIFS('Таблиця 1'!$B:$B,$A242,'Таблиця 1'!$I:$I,"Су-25",'Таблиця 1'!$L:$L,"Уражено")+COUNTIFS('Таблиця 1'!$B:$B,$A242,'Таблиця 1'!$I:$I,"Су-27",'Таблиця 1'!$L:$L,"Уражено"))</f>
        <v/>
      </c>
      <c r="S242">
        <f>IF($A242="","",COUNTIFS('Таблиця 1'!$B:$B,$A242,'Таблиця 1'!$I:$I,"Mirage",'Таблиця 1'!$L:$L,"НЕ уражено")+COUNTIFS('Таблиця 1'!$B:$B,$A242,'Таблиця 1'!$I:$I,"F-16",'Таблиця 1'!$L:$L,"НЕ уражено")+COUNTIFS('Таблиця 1'!$B:$B,$A242,'Таблиця 1'!$I:$I,"МіГ-29",'Таблиця 1'!$L:$L,"НЕ уражено")+COUNTIFS('Таблиця 1'!$B:$B,$A242,'Таблиця 1'!$I:$I,"Су-25",'Таблиця 1'!$L:$L,"НЕ уражено")+COUNTIFS('Таблиця 1'!$B:$B,$A242,'Таблиця 1'!$I:$I,"Су-27",'Таблиця 1'!$L:$L,"НЕ уражено"))</f>
        <v/>
      </c>
      <c r="T242">
        <f>IF($A242="","",COUNTIFS('Таблиця 1'!$B:$B,$A242,'Таблиця 1'!$I:$I,"Mirage",'Таблиця 1'!$L:$L,"Дорозвідується")+COUNTIFS('Таблиця 1'!$B:$B,$A242,'Таблиця 1'!$I:$I,"F-16",'Таблиця 1'!$L:$L,"Дорозвідується")+COUNTIFS('Таблиця 1'!$B:$B,$A242,'Таблиця 1'!$I:$I,"МіГ-29",'Таблиця 1'!$L:$L,"Дорозвідується")+COUNTIFS('Таблиця 1'!$B:$B,$A242,'Таблиця 1'!$I:$I,"Су-25",'Таблиця 1'!$L:$L,"Дорозвідується")+COUNTIFS('Таблиця 1'!$B:$B,$A242,'Таблиця 1'!$I:$I,"Су-27",'Таблиця 1'!$L:$L,"Дорозвідується"))</f>
        <v/>
      </c>
    </row>
    <row r="243">
      <c r="A243" s="273">
        <f>IF(A242="","",IF(A242+1&gt;MAX('Таблиця 1'!$B:$B),"",A242+1))</f>
        <v/>
      </c>
      <c r="B243">
        <f>IF($A243="","",COUNTIFS('Таблиця 1'!$B:$B,$A243,'Таблиця 1'!$I:$I,"Mirage")+COUNTIFS('Таблиця 1'!$B:$B,$A243,'Таблиця 1'!$I:$I,"F-16")+COUNTIFS('Таблиця 1'!$B:$B,$A243,'Таблиця 1'!$I:$I,"МіГ-29")+COUNTIFS('Таблиця 1'!$B:$B,$A243,'Таблиця 1'!$I:$I,"Су-25")+COUNTIFS('Таблиця 1'!$B:$B,$A243,'Таблиця 1'!$I:$I,"Су-27"))</f>
        <v/>
      </c>
      <c r="C243">
        <f>IF($A243="","",COUNTIFS('Таблиця 1'!$B:$B,$A243,'Таблиця 1'!$I:$I,"Mirage"))</f>
        <v/>
      </c>
      <c r="D243">
        <f>IF($A243="","",COUNTIFS('Таблиця 1'!$B:$B,$A243,'Таблиця 1'!$I:$I,"F-16"))</f>
        <v/>
      </c>
      <c r="E243">
        <f>IF($A243="","",COUNTIFS('Таблиця 1'!$B:$B,$A243,'Таблиця 1'!$I:$I,"МіГ-29"))</f>
        <v/>
      </c>
      <c r="F243">
        <f>IF($A243="","",COUNTIFS('Таблиця 1'!$B:$B,$A243,'Таблиця 1'!$I:$I,"Су-25"))</f>
        <v/>
      </c>
      <c r="G243">
        <f>IF($A243="","",COUNTIFS('Таблиця 1'!$B:$B,$A243,'Таблиця 1'!$I:$I,"Су-27"))</f>
        <v/>
      </c>
      <c r="H243">
        <f>IF($A243="","",SUMIFS('Таблиця 1'!$K:$K,'Таблиця 1'!$B:$B,$A243,'Таблиця 1'!$I:$I,"Mirage",'Таблиця 1'!$J:$J,"AGM-88")+SUMIFS('Таблиця 1'!$K:$K,'Таблиця 1'!$B:$B,$A243,'Таблиця 1'!$I:$I,"F-16",'Таблиця 1'!$J:$J,"AGM-88")+SUMIFS('Таблиця 1'!$K:$K,'Таблиця 1'!$B:$B,$A243,'Таблиця 1'!$I:$I,"МіГ-29",'Таблиця 1'!$J:$J,"AGM-88")+SUMIFS('Таблиця 1'!$K:$K,'Таблиця 1'!$B:$B,$A243,'Таблиця 1'!$I:$I,"Су-25",'Таблиця 1'!$J:$J,"AGM-88")+SUMIFS('Таблиця 1'!$K:$K,'Таблиця 1'!$B:$B,$A243,'Таблиця 1'!$I:$I,"Су-27",'Таблиця 1'!$J:$J,"AGM-88"))</f>
        <v/>
      </c>
      <c r="I243">
        <f>IF($A243="","",SUMIFS('Таблиця 1'!$K:$K,'Таблиця 1'!$B:$B,$A243,'Таблиця 1'!$I:$I,"Mirage",'Таблиця 1'!$J:$J,"AASM-250")+SUMIFS('Таблиця 1'!$K:$K,'Таблиця 1'!$B:$B,$A243,'Таблиця 1'!$I:$I,"F-16",'Таблиця 1'!$J:$J,"AASM-250")+SUMIFS('Таблиця 1'!$K:$K,'Таблиця 1'!$B:$B,$A243,'Таблиця 1'!$I:$I,"МіГ-29",'Таблиця 1'!$J:$J,"AASM-250")+SUMIFS('Таблиця 1'!$K:$K,'Таблиця 1'!$B:$B,$A243,'Таблиця 1'!$I:$I,"Су-25",'Таблиця 1'!$J:$J,"AASM-250")+SUMIFS('Таблиця 1'!$K:$K,'Таблиця 1'!$B:$B,$A243,'Таблиця 1'!$I:$I,"Су-27",'Таблиця 1'!$J:$J,"AASM-250"))</f>
        <v/>
      </c>
      <c r="J243">
        <f>IF($A243="","",SUMIFS('Таблиця 1'!$K:$K,'Таблиця 1'!$B:$B,$A243,'Таблиця 1'!$I:$I,"Mirage",'Таблиця 1'!$J:$J,"GBU-39")+SUMIFS('Таблиця 1'!$K:$K,'Таблиця 1'!$B:$B,$A243,'Таблиця 1'!$I:$I,"F-16",'Таблиця 1'!$J:$J,"GBU-39")+SUMIFS('Таблиця 1'!$K:$K,'Таблиця 1'!$B:$B,$A243,'Таблиця 1'!$I:$I,"МіГ-29",'Таблиця 1'!$J:$J,"GBU-39")+SUMIFS('Таблиця 1'!$K:$K,'Таблиця 1'!$B:$B,$A243,'Таблиця 1'!$I:$I,"Су-25",'Таблиця 1'!$J:$J,"GBU-39")+SUMIFS('Таблиця 1'!$K:$K,'Таблиця 1'!$B:$B,$A243,'Таблиця 1'!$I:$I,"Су-27",'Таблиця 1'!$J:$J,"GBU-39"))</f>
        <v/>
      </c>
      <c r="K243">
        <f>IF($A243="","",SUMIFS('Таблиця 1'!$K:$K,'Таблиця 1'!$B:$B,$A243,'Таблиця 1'!$I:$I,"Mirage",'Таблиця 1'!$J:$J,"BLU-140")+SUMIFS('Таблиця 1'!$K:$K,'Таблиця 1'!$B:$B,$A243,'Таблиця 1'!$I:$I,"F-16",'Таблиця 1'!$J:$J,"BLU-140")+SUMIFS('Таблиця 1'!$K:$K,'Таблиця 1'!$B:$B,$A243,'Таблиця 1'!$I:$I,"МіГ-29",'Таблиця 1'!$J:$J,"BLU-140")+SUMIFS('Таблиця 1'!$K:$K,'Таблиця 1'!$B:$B,$A243,'Таблиця 1'!$I:$I,"Су-25",'Таблиця 1'!$J:$J,"BLU-140")+SUMIFS('Таблиця 1'!$K:$K,'Таблиця 1'!$B:$B,$A243,'Таблиця 1'!$I:$I,"Су-27",'Таблиця 1'!$J:$J,"BLU-140"))</f>
        <v/>
      </c>
      <c r="L243">
        <f>IF($A243="","",SUMIFS('Таблиця 1'!$K:$K,'Таблиця 1'!$B:$B,$A243,'Таблиця 1'!$I:$I,"Mirage",'Таблиця 1'!$J:$J,"GBU-65")+SUMIFS('Таблиця 1'!$K:$K,'Таблиця 1'!$B:$B,$A243,'Таблиця 1'!$I:$I,"F-16",'Таблиця 1'!$J:$J,"GBU-65")+SUMIFS('Таблиця 1'!$K:$K,'Таблиця 1'!$B:$B,$A243,'Таблиця 1'!$I:$I,"МіГ-29",'Таблиця 1'!$J:$J,"GBU-65")+SUMIFS('Таблиця 1'!$K:$K,'Таблиця 1'!$B:$B,$A243,'Таблиця 1'!$I:$I,"Су-25",'Таблиця 1'!$J:$J,"GBU-65")+SUMIFS('Таблиця 1'!$K:$K,'Таблиця 1'!$B:$B,$A243,'Таблиця 1'!$I:$I,"Су-27",'Таблиця 1'!$J:$J,"GBU-65"))</f>
        <v/>
      </c>
      <c r="M243">
        <f>IF($A243="","",SUMIFS('Таблиця 1'!$K:$K,'Таблиця 1'!$B:$B,$A243,'Таблиця 1'!$I:$I,"Mirage",'Таблиця 1'!$J:$J,"GBU-62")+SUMIFS('Таблиця 1'!$K:$K,'Таблиця 1'!$B:$B,$A243,'Таблиця 1'!$I:$I,"F-16",'Таблиця 1'!$J:$J,"GBU-62")+SUMIFS('Таблиця 1'!$K:$K,'Таблиця 1'!$B:$B,$A243,'Таблиця 1'!$I:$I,"МіГ-29",'Таблиця 1'!$J:$J,"GBU-62")+SUMIFS('Таблиця 1'!$K:$K,'Таблиця 1'!$B:$B,$A243,'Таблиця 1'!$I:$I,"Су-25",'Таблиця 1'!$J:$J,"GBU-62")+SUMIFS('Таблиця 1'!$K:$K,'Таблиця 1'!$B:$B,$A243,'Таблиця 1'!$I:$I,"Су-27",'Таблиця 1'!$J:$J,"GBU-62"))</f>
        <v/>
      </c>
      <c r="N243">
        <f>IF($A243="","",SUMIFS('Таблиця 1'!$K:$K,'Таблиця 1'!$B:$B,$A243,'Таблиця 1'!$I:$I,"Mirage",'Таблиця 1'!$J:$J,"GBU-64")+SUMIFS('Таблиця 1'!$K:$K,'Таблиця 1'!$B:$B,$A243,'Таблиця 1'!$I:$I,"F-16",'Таблиця 1'!$J:$J,"GBU-64")+SUMIFS('Таблиця 1'!$K:$K,'Таблиця 1'!$B:$B,$A243,'Таблиця 1'!$I:$I,"МіГ-29",'Таблиця 1'!$J:$J,"GBU-64")+SUMIFS('Таблиця 1'!$K:$K,'Таблиця 1'!$B:$B,$A243,'Таблиця 1'!$I:$I,"Су-25",'Таблиця 1'!$J:$J,"GBU-64")+SUMIFS('Таблиця 1'!$K:$K,'Таблиця 1'!$B:$B,$A243,'Таблиця 1'!$I:$I,"Су-27",'Таблиця 1'!$J:$J,"GBU-64"))</f>
        <v/>
      </c>
      <c r="O243">
        <f>IF($A243="","",SUMIFS('Таблиця 1'!$K:$K,'Таблиця 1'!$B:$B,$A243,'Таблиця 1'!$I:$I,"Mirage",'Таблиця 1'!$J:$J,"C-13")+SUMIFS('Таблиця 1'!$K:$K,'Таблиця 1'!$B:$B,$A243,'Таблиця 1'!$I:$I,"F-16",'Таблиця 1'!$J:$J,"C-13")+SUMIFS('Таблиця 1'!$K:$K,'Таблиця 1'!$B:$B,$A243,'Таблиця 1'!$I:$I,"МіГ-29",'Таблиця 1'!$J:$J,"C-13")+SUMIFS('Таблиця 1'!$K:$K,'Таблиця 1'!$B:$B,$A243,'Таблиця 1'!$I:$I,"Су-25",'Таблиця 1'!$J:$J,"C-13")+SUMIFS('Таблиця 1'!$K:$K,'Таблиця 1'!$B:$B,$A243,'Таблиця 1'!$I:$I,"Су-27",'Таблиця 1'!$J:$J,"C-13"))</f>
        <v/>
      </c>
      <c r="P243">
        <f>IF($A243="","",SUMIFS('Таблиця 1'!$K:$K,'Таблиця 1'!$B:$B,$A243,'Таблиця 1'!$I:$I,"Mirage",'Таблиця 1'!$J:$J,"MK-32")+SUMIFS('Таблиця 1'!$K:$K,'Таблиця 1'!$B:$B,$A243,'Таблиця 1'!$I:$I,"F-16",'Таблиця 1'!$J:$J,"MK-32")+SUMIFS('Таблиця 1'!$K:$K,'Таблиця 1'!$B:$B,$A243,'Таблиця 1'!$I:$I,"МіГ-29",'Таблиця 1'!$J:$J,"MK-32")+SUMIFS('Таблиця 1'!$K:$K,'Таблиця 1'!$B:$B,$A243,'Таблиця 1'!$I:$I,"Су-25",'Таблиця 1'!$J:$J,"MK-32")+SUMIFS('Таблиця 1'!$K:$K,'Таблиця 1'!$B:$B,$A243,'Таблиця 1'!$I:$I,"Су-27",'Таблиця 1'!$J:$J,"MK-32"))</f>
        <v/>
      </c>
      <c r="Q243">
        <f>IF($A243="","",SUMIFS('Таблиця 1'!$K:$K,'Таблиця 1'!$B:$B,$A243,'Таблиця 1'!$I:$I,"Mirage",'Таблиця 1'!$J:$J,"MK-24")+SUMIFS('Таблиця 1'!$K:$K,'Таблиця 1'!$B:$B,$A243,'Таблиця 1'!$I:$I,"F-16",'Таблиця 1'!$J:$J,"MK-24")+SUMIFS('Таблиця 1'!$K:$K,'Таблиця 1'!$B:$B,$A243,'Таблиця 1'!$I:$I,"МіГ-29",'Таблиця 1'!$J:$J,"MK-24")+SUMIFS('Таблиця 1'!$K:$K,'Таблиця 1'!$B:$B,$A243,'Таблиця 1'!$I:$I,"Су-25",'Таблиця 1'!$J:$J,"MK-24")+SUMIFS('Таблиця 1'!$K:$K,'Таблиця 1'!$B:$B,$A243,'Таблиця 1'!$I:$I,"Су-27",'Таблиця 1'!$J:$J,"MK-24"))</f>
        <v/>
      </c>
      <c r="R243">
        <f>IF($A243="","",COUNTIFS('Таблиця 1'!$B:$B,$A243,'Таблиця 1'!$I:$I,"Mirage",'Таблиця 1'!$L:$L,"Уражено")+COUNTIFS('Таблиця 1'!$B:$B,$A243,'Таблиця 1'!$I:$I,"F-16",'Таблиця 1'!$L:$L,"Уражено")+COUNTIFS('Таблиця 1'!$B:$B,$A243,'Таблиця 1'!$I:$I,"МіГ-29",'Таблиця 1'!$L:$L,"Уражено")+COUNTIFS('Таблиця 1'!$B:$B,$A243,'Таблиця 1'!$I:$I,"Су-25",'Таблиця 1'!$L:$L,"Уражено")+COUNTIFS('Таблиця 1'!$B:$B,$A243,'Таблиця 1'!$I:$I,"Су-27",'Таблиця 1'!$L:$L,"Уражено"))</f>
        <v/>
      </c>
      <c r="S243">
        <f>IF($A243="","",COUNTIFS('Таблиця 1'!$B:$B,$A243,'Таблиця 1'!$I:$I,"Mirage",'Таблиця 1'!$L:$L,"НЕ уражено")+COUNTIFS('Таблиця 1'!$B:$B,$A243,'Таблиця 1'!$I:$I,"F-16",'Таблиця 1'!$L:$L,"НЕ уражено")+COUNTIFS('Таблиця 1'!$B:$B,$A243,'Таблиця 1'!$I:$I,"МіГ-29",'Таблиця 1'!$L:$L,"НЕ уражено")+COUNTIFS('Таблиця 1'!$B:$B,$A243,'Таблиця 1'!$I:$I,"Су-25",'Таблиця 1'!$L:$L,"НЕ уражено")+COUNTIFS('Таблиця 1'!$B:$B,$A243,'Таблиця 1'!$I:$I,"Су-27",'Таблиця 1'!$L:$L,"НЕ уражено"))</f>
        <v/>
      </c>
      <c r="T243">
        <f>IF($A243="","",COUNTIFS('Таблиця 1'!$B:$B,$A243,'Таблиця 1'!$I:$I,"Mirage",'Таблиця 1'!$L:$L,"Дорозвідується")+COUNTIFS('Таблиця 1'!$B:$B,$A243,'Таблиця 1'!$I:$I,"F-16",'Таблиця 1'!$L:$L,"Дорозвідується")+COUNTIFS('Таблиця 1'!$B:$B,$A243,'Таблиця 1'!$I:$I,"МіГ-29",'Таблиця 1'!$L:$L,"Дорозвідується")+COUNTIFS('Таблиця 1'!$B:$B,$A243,'Таблиця 1'!$I:$I,"Су-25",'Таблиця 1'!$L:$L,"Дорозвідується")+COUNTIFS('Таблиця 1'!$B:$B,$A243,'Таблиця 1'!$I:$I,"Су-27",'Таблиця 1'!$L:$L,"Дорозвідується"))</f>
        <v/>
      </c>
    </row>
    <row r="244">
      <c r="A244" s="273">
        <f>IF(A243="","",IF(A243+1&gt;MAX('Таблиця 1'!$B:$B),"",A243+1))</f>
        <v/>
      </c>
      <c r="B244">
        <f>IF($A244="","",COUNTIFS('Таблиця 1'!$B:$B,$A244,'Таблиця 1'!$I:$I,"Mirage")+COUNTIFS('Таблиця 1'!$B:$B,$A244,'Таблиця 1'!$I:$I,"F-16")+COUNTIFS('Таблиця 1'!$B:$B,$A244,'Таблиця 1'!$I:$I,"МіГ-29")+COUNTIFS('Таблиця 1'!$B:$B,$A244,'Таблиця 1'!$I:$I,"Су-25")+COUNTIFS('Таблиця 1'!$B:$B,$A244,'Таблиця 1'!$I:$I,"Су-27"))</f>
        <v/>
      </c>
      <c r="C244">
        <f>IF($A244="","",COUNTIFS('Таблиця 1'!$B:$B,$A244,'Таблиця 1'!$I:$I,"Mirage"))</f>
        <v/>
      </c>
      <c r="D244">
        <f>IF($A244="","",COUNTIFS('Таблиця 1'!$B:$B,$A244,'Таблиця 1'!$I:$I,"F-16"))</f>
        <v/>
      </c>
      <c r="E244">
        <f>IF($A244="","",COUNTIFS('Таблиця 1'!$B:$B,$A244,'Таблиця 1'!$I:$I,"МіГ-29"))</f>
        <v/>
      </c>
      <c r="F244">
        <f>IF($A244="","",COUNTIFS('Таблиця 1'!$B:$B,$A244,'Таблиця 1'!$I:$I,"Су-25"))</f>
        <v/>
      </c>
      <c r="G244">
        <f>IF($A244="","",COUNTIFS('Таблиця 1'!$B:$B,$A244,'Таблиця 1'!$I:$I,"Су-27"))</f>
        <v/>
      </c>
      <c r="H244">
        <f>IF($A244="","",SUMIFS('Таблиця 1'!$K:$K,'Таблиця 1'!$B:$B,$A244,'Таблиця 1'!$I:$I,"Mirage",'Таблиця 1'!$J:$J,"AGM-88")+SUMIFS('Таблиця 1'!$K:$K,'Таблиця 1'!$B:$B,$A244,'Таблиця 1'!$I:$I,"F-16",'Таблиця 1'!$J:$J,"AGM-88")+SUMIFS('Таблиця 1'!$K:$K,'Таблиця 1'!$B:$B,$A244,'Таблиця 1'!$I:$I,"МіГ-29",'Таблиця 1'!$J:$J,"AGM-88")+SUMIFS('Таблиця 1'!$K:$K,'Таблиця 1'!$B:$B,$A244,'Таблиця 1'!$I:$I,"Су-25",'Таблиця 1'!$J:$J,"AGM-88")+SUMIFS('Таблиця 1'!$K:$K,'Таблиця 1'!$B:$B,$A244,'Таблиця 1'!$I:$I,"Су-27",'Таблиця 1'!$J:$J,"AGM-88"))</f>
        <v/>
      </c>
      <c r="I244">
        <f>IF($A244="","",SUMIFS('Таблиця 1'!$K:$K,'Таблиця 1'!$B:$B,$A244,'Таблиця 1'!$I:$I,"Mirage",'Таблиця 1'!$J:$J,"AASM-250")+SUMIFS('Таблиця 1'!$K:$K,'Таблиця 1'!$B:$B,$A244,'Таблиця 1'!$I:$I,"F-16",'Таблиця 1'!$J:$J,"AASM-250")+SUMIFS('Таблиця 1'!$K:$K,'Таблиця 1'!$B:$B,$A244,'Таблиця 1'!$I:$I,"МіГ-29",'Таблиця 1'!$J:$J,"AASM-250")+SUMIFS('Таблиця 1'!$K:$K,'Таблиця 1'!$B:$B,$A244,'Таблиця 1'!$I:$I,"Су-25",'Таблиця 1'!$J:$J,"AASM-250")+SUMIFS('Таблиця 1'!$K:$K,'Таблиця 1'!$B:$B,$A244,'Таблиця 1'!$I:$I,"Су-27",'Таблиця 1'!$J:$J,"AASM-250"))</f>
        <v/>
      </c>
      <c r="J244">
        <f>IF($A244="","",SUMIFS('Таблиця 1'!$K:$K,'Таблиця 1'!$B:$B,$A244,'Таблиця 1'!$I:$I,"Mirage",'Таблиця 1'!$J:$J,"GBU-39")+SUMIFS('Таблиця 1'!$K:$K,'Таблиця 1'!$B:$B,$A244,'Таблиця 1'!$I:$I,"F-16",'Таблиця 1'!$J:$J,"GBU-39")+SUMIFS('Таблиця 1'!$K:$K,'Таблиця 1'!$B:$B,$A244,'Таблиця 1'!$I:$I,"МіГ-29",'Таблиця 1'!$J:$J,"GBU-39")+SUMIFS('Таблиця 1'!$K:$K,'Таблиця 1'!$B:$B,$A244,'Таблиця 1'!$I:$I,"Су-25",'Таблиця 1'!$J:$J,"GBU-39")+SUMIFS('Таблиця 1'!$K:$K,'Таблиця 1'!$B:$B,$A244,'Таблиця 1'!$I:$I,"Су-27",'Таблиця 1'!$J:$J,"GBU-39"))</f>
        <v/>
      </c>
      <c r="K244">
        <f>IF($A244="","",SUMIFS('Таблиця 1'!$K:$K,'Таблиця 1'!$B:$B,$A244,'Таблиця 1'!$I:$I,"Mirage",'Таблиця 1'!$J:$J,"BLU-140")+SUMIFS('Таблиця 1'!$K:$K,'Таблиця 1'!$B:$B,$A244,'Таблиця 1'!$I:$I,"F-16",'Таблиця 1'!$J:$J,"BLU-140")+SUMIFS('Таблиця 1'!$K:$K,'Таблиця 1'!$B:$B,$A244,'Таблиця 1'!$I:$I,"МіГ-29",'Таблиця 1'!$J:$J,"BLU-140")+SUMIFS('Таблиця 1'!$K:$K,'Таблиця 1'!$B:$B,$A244,'Таблиця 1'!$I:$I,"Су-25",'Таблиця 1'!$J:$J,"BLU-140")+SUMIFS('Таблиця 1'!$K:$K,'Таблиця 1'!$B:$B,$A244,'Таблиця 1'!$I:$I,"Су-27",'Таблиця 1'!$J:$J,"BLU-140"))</f>
        <v/>
      </c>
      <c r="L244">
        <f>IF($A244="","",SUMIFS('Таблиця 1'!$K:$K,'Таблиця 1'!$B:$B,$A244,'Таблиця 1'!$I:$I,"Mirage",'Таблиця 1'!$J:$J,"GBU-65")+SUMIFS('Таблиця 1'!$K:$K,'Таблиця 1'!$B:$B,$A244,'Таблиця 1'!$I:$I,"F-16",'Таблиця 1'!$J:$J,"GBU-65")+SUMIFS('Таблиця 1'!$K:$K,'Таблиця 1'!$B:$B,$A244,'Таблиця 1'!$I:$I,"МіГ-29",'Таблиця 1'!$J:$J,"GBU-65")+SUMIFS('Таблиця 1'!$K:$K,'Таблиця 1'!$B:$B,$A244,'Таблиця 1'!$I:$I,"Су-25",'Таблиця 1'!$J:$J,"GBU-65")+SUMIFS('Таблиця 1'!$K:$K,'Таблиця 1'!$B:$B,$A244,'Таблиця 1'!$I:$I,"Су-27",'Таблиця 1'!$J:$J,"GBU-65"))</f>
        <v/>
      </c>
      <c r="M244">
        <f>IF($A244="","",SUMIFS('Таблиця 1'!$K:$K,'Таблиця 1'!$B:$B,$A244,'Таблиця 1'!$I:$I,"Mirage",'Таблиця 1'!$J:$J,"GBU-62")+SUMIFS('Таблиця 1'!$K:$K,'Таблиця 1'!$B:$B,$A244,'Таблиця 1'!$I:$I,"F-16",'Таблиця 1'!$J:$J,"GBU-62")+SUMIFS('Таблиця 1'!$K:$K,'Таблиця 1'!$B:$B,$A244,'Таблиця 1'!$I:$I,"МіГ-29",'Таблиця 1'!$J:$J,"GBU-62")+SUMIFS('Таблиця 1'!$K:$K,'Таблиця 1'!$B:$B,$A244,'Таблиця 1'!$I:$I,"Су-25",'Таблиця 1'!$J:$J,"GBU-62")+SUMIFS('Таблиця 1'!$K:$K,'Таблиця 1'!$B:$B,$A244,'Таблиця 1'!$I:$I,"Су-27",'Таблиця 1'!$J:$J,"GBU-62"))</f>
        <v/>
      </c>
      <c r="N244">
        <f>IF($A244="","",SUMIFS('Таблиця 1'!$K:$K,'Таблиця 1'!$B:$B,$A244,'Таблиця 1'!$I:$I,"Mirage",'Таблиця 1'!$J:$J,"GBU-64")+SUMIFS('Таблиця 1'!$K:$K,'Таблиця 1'!$B:$B,$A244,'Таблиця 1'!$I:$I,"F-16",'Таблиця 1'!$J:$J,"GBU-64")+SUMIFS('Таблиця 1'!$K:$K,'Таблиця 1'!$B:$B,$A244,'Таблиця 1'!$I:$I,"МіГ-29",'Таблиця 1'!$J:$J,"GBU-64")+SUMIFS('Таблиця 1'!$K:$K,'Таблиця 1'!$B:$B,$A244,'Таблиця 1'!$I:$I,"Су-25",'Таблиця 1'!$J:$J,"GBU-64")+SUMIFS('Таблиця 1'!$K:$K,'Таблиця 1'!$B:$B,$A244,'Таблиця 1'!$I:$I,"Су-27",'Таблиця 1'!$J:$J,"GBU-64"))</f>
        <v/>
      </c>
      <c r="O244">
        <f>IF($A244="","",SUMIFS('Таблиця 1'!$K:$K,'Таблиця 1'!$B:$B,$A244,'Таблиця 1'!$I:$I,"Mirage",'Таблиця 1'!$J:$J,"C-13")+SUMIFS('Таблиця 1'!$K:$K,'Таблиця 1'!$B:$B,$A244,'Таблиця 1'!$I:$I,"F-16",'Таблиця 1'!$J:$J,"C-13")+SUMIFS('Таблиця 1'!$K:$K,'Таблиця 1'!$B:$B,$A244,'Таблиця 1'!$I:$I,"МіГ-29",'Таблиця 1'!$J:$J,"C-13")+SUMIFS('Таблиця 1'!$K:$K,'Таблиця 1'!$B:$B,$A244,'Таблиця 1'!$I:$I,"Су-25",'Таблиця 1'!$J:$J,"C-13")+SUMIFS('Таблиця 1'!$K:$K,'Таблиця 1'!$B:$B,$A244,'Таблиця 1'!$I:$I,"Су-27",'Таблиця 1'!$J:$J,"C-13"))</f>
        <v/>
      </c>
      <c r="P244">
        <f>IF($A244="","",SUMIFS('Таблиця 1'!$K:$K,'Таблиця 1'!$B:$B,$A244,'Таблиця 1'!$I:$I,"Mirage",'Таблиця 1'!$J:$J,"MK-32")+SUMIFS('Таблиця 1'!$K:$K,'Таблиця 1'!$B:$B,$A244,'Таблиця 1'!$I:$I,"F-16",'Таблиця 1'!$J:$J,"MK-32")+SUMIFS('Таблиця 1'!$K:$K,'Таблиця 1'!$B:$B,$A244,'Таблиця 1'!$I:$I,"МіГ-29",'Таблиця 1'!$J:$J,"MK-32")+SUMIFS('Таблиця 1'!$K:$K,'Таблиця 1'!$B:$B,$A244,'Таблиця 1'!$I:$I,"Су-25",'Таблиця 1'!$J:$J,"MK-32")+SUMIFS('Таблиця 1'!$K:$K,'Таблиця 1'!$B:$B,$A244,'Таблиця 1'!$I:$I,"Су-27",'Таблиця 1'!$J:$J,"MK-32"))</f>
        <v/>
      </c>
      <c r="Q244">
        <f>IF($A244="","",SUMIFS('Таблиця 1'!$K:$K,'Таблиця 1'!$B:$B,$A244,'Таблиця 1'!$I:$I,"Mirage",'Таблиця 1'!$J:$J,"MK-24")+SUMIFS('Таблиця 1'!$K:$K,'Таблиця 1'!$B:$B,$A244,'Таблиця 1'!$I:$I,"F-16",'Таблиця 1'!$J:$J,"MK-24")+SUMIFS('Таблиця 1'!$K:$K,'Таблиця 1'!$B:$B,$A244,'Таблиця 1'!$I:$I,"МіГ-29",'Таблиця 1'!$J:$J,"MK-24")+SUMIFS('Таблиця 1'!$K:$K,'Таблиця 1'!$B:$B,$A244,'Таблиця 1'!$I:$I,"Су-25",'Таблиця 1'!$J:$J,"MK-24")+SUMIFS('Таблиця 1'!$K:$K,'Таблиця 1'!$B:$B,$A244,'Таблиця 1'!$I:$I,"Су-27",'Таблиця 1'!$J:$J,"MK-24"))</f>
        <v/>
      </c>
      <c r="R244">
        <f>IF($A244="","",COUNTIFS('Таблиця 1'!$B:$B,$A244,'Таблиця 1'!$I:$I,"Mirage",'Таблиця 1'!$L:$L,"Уражено")+COUNTIFS('Таблиця 1'!$B:$B,$A244,'Таблиця 1'!$I:$I,"F-16",'Таблиця 1'!$L:$L,"Уражено")+COUNTIFS('Таблиця 1'!$B:$B,$A244,'Таблиця 1'!$I:$I,"МіГ-29",'Таблиця 1'!$L:$L,"Уражено")+COUNTIFS('Таблиця 1'!$B:$B,$A244,'Таблиця 1'!$I:$I,"Су-25",'Таблиця 1'!$L:$L,"Уражено")+COUNTIFS('Таблиця 1'!$B:$B,$A244,'Таблиця 1'!$I:$I,"Су-27",'Таблиця 1'!$L:$L,"Уражено"))</f>
        <v/>
      </c>
      <c r="S244">
        <f>IF($A244="","",COUNTIFS('Таблиця 1'!$B:$B,$A244,'Таблиця 1'!$I:$I,"Mirage",'Таблиця 1'!$L:$L,"НЕ уражено")+COUNTIFS('Таблиця 1'!$B:$B,$A244,'Таблиця 1'!$I:$I,"F-16",'Таблиця 1'!$L:$L,"НЕ уражено")+COUNTIFS('Таблиця 1'!$B:$B,$A244,'Таблиця 1'!$I:$I,"МіГ-29",'Таблиця 1'!$L:$L,"НЕ уражено")+COUNTIFS('Таблиця 1'!$B:$B,$A244,'Таблиця 1'!$I:$I,"Су-25",'Таблиця 1'!$L:$L,"НЕ уражено")+COUNTIFS('Таблиця 1'!$B:$B,$A244,'Таблиця 1'!$I:$I,"Су-27",'Таблиця 1'!$L:$L,"НЕ уражено"))</f>
        <v/>
      </c>
      <c r="T244">
        <f>IF($A244="","",COUNTIFS('Таблиця 1'!$B:$B,$A244,'Таблиця 1'!$I:$I,"Mirage",'Таблиця 1'!$L:$L,"Дорозвідується")+COUNTIFS('Таблиця 1'!$B:$B,$A244,'Таблиця 1'!$I:$I,"F-16",'Таблиця 1'!$L:$L,"Дорозвідується")+COUNTIFS('Таблиця 1'!$B:$B,$A244,'Таблиця 1'!$I:$I,"МіГ-29",'Таблиця 1'!$L:$L,"Дорозвідується")+COUNTIFS('Таблиця 1'!$B:$B,$A244,'Таблиця 1'!$I:$I,"Су-25",'Таблиця 1'!$L:$L,"Дорозвідується")+COUNTIFS('Таблиця 1'!$B:$B,$A244,'Таблиця 1'!$I:$I,"Су-27",'Таблиця 1'!$L:$L,"Дорозвідується"))</f>
        <v/>
      </c>
    </row>
    <row r="245">
      <c r="A245" s="273">
        <f>IF(A244="","",IF(A244+1&gt;MAX('Таблиця 1'!$B:$B),"",A244+1))</f>
        <v/>
      </c>
      <c r="B245">
        <f>IF($A245="","",COUNTIFS('Таблиця 1'!$B:$B,$A245,'Таблиця 1'!$I:$I,"Mirage")+COUNTIFS('Таблиця 1'!$B:$B,$A245,'Таблиця 1'!$I:$I,"F-16")+COUNTIFS('Таблиця 1'!$B:$B,$A245,'Таблиця 1'!$I:$I,"МіГ-29")+COUNTIFS('Таблиця 1'!$B:$B,$A245,'Таблиця 1'!$I:$I,"Су-25")+COUNTIFS('Таблиця 1'!$B:$B,$A245,'Таблиця 1'!$I:$I,"Су-27"))</f>
        <v/>
      </c>
      <c r="C245">
        <f>IF($A245="","",COUNTIFS('Таблиця 1'!$B:$B,$A245,'Таблиця 1'!$I:$I,"Mirage"))</f>
        <v/>
      </c>
      <c r="D245">
        <f>IF($A245="","",COUNTIFS('Таблиця 1'!$B:$B,$A245,'Таблиця 1'!$I:$I,"F-16"))</f>
        <v/>
      </c>
      <c r="E245">
        <f>IF($A245="","",COUNTIFS('Таблиця 1'!$B:$B,$A245,'Таблиця 1'!$I:$I,"МіГ-29"))</f>
        <v/>
      </c>
      <c r="F245">
        <f>IF($A245="","",COUNTIFS('Таблиця 1'!$B:$B,$A245,'Таблиця 1'!$I:$I,"Су-25"))</f>
        <v/>
      </c>
      <c r="G245">
        <f>IF($A245="","",COUNTIFS('Таблиця 1'!$B:$B,$A245,'Таблиця 1'!$I:$I,"Су-27"))</f>
        <v/>
      </c>
      <c r="H245">
        <f>IF($A245="","",SUMIFS('Таблиця 1'!$K:$K,'Таблиця 1'!$B:$B,$A245,'Таблиця 1'!$I:$I,"Mirage",'Таблиця 1'!$J:$J,"AGM-88")+SUMIFS('Таблиця 1'!$K:$K,'Таблиця 1'!$B:$B,$A245,'Таблиця 1'!$I:$I,"F-16",'Таблиця 1'!$J:$J,"AGM-88")+SUMIFS('Таблиця 1'!$K:$K,'Таблиця 1'!$B:$B,$A245,'Таблиця 1'!$I:$I,"МіГ-29",'Таблиця 1'!$J:$J,"AGM-88")+SUMIFS('Таблиця 1'!$K:$K,'Таблиця 1'!$B:$B,$A245,'Таблиця 1'!$I:$I,"Су-25",'Таблиця 1'!$J:$J,"AGM-88")+SUMIFS('Таблиця 1'!$K:$K,'Таблиця 1'!$B:$B,$A245,'Таблиця 1'!$I:$I,"Су-27",'Таблиця 1'!$J:$J,"AGM-88"))</f>
        <v/>
      </c>
      <c r="I245">
        <f>IF($A245="","",SUMIFS('Таблиця 1'!$K:$K,'Таблиця 1'!$B:$B,$A245,'Таблиця 1'!$I:$I,"Mirage",'Таблиця 1'!$J:$J,"AASM-250")+SUMIFS('Таблиця 1'!$K:$K,'Таблиця 1'!$B:$B,$A245,'Таблиця 1'!$I:$I,"F-16",'Таблиця 1'!$J:$J,"AASM-250")+SUMIFS('Таблиця 1'!$K:$K,'Таблиця 1'!$B:$B,$A245,'Таблиця 1'!$I:$I,"МіГ-29",'Таблиця 1'!$J:$J,"AASM-250")+SUMIFS('Таблиця 1'!$K:$K,'Таблиця 1'!$B:$B,$A245,'Таблиця 1'!$I:$I,"Су-25",'Таблиця 1'!$J:$J,"AASM-250")+SUMIFS('Таблиця 1'!$K:$K,'Таблиця 1'!$B:$B,$A245,'Таблиця 1'!$I:$I,"Су-27",'Таблиця 1'!$J:$J,"AASM-250"))</f>
        <v/>
      </c>
      <c r="J245">
        <f>IF($A245="","",SUMIFS('Таблиця 1'!$K:$K,'Таблиця 1'!$B:$B,$A245,'Таблиця 1'!$I:$I,"Mirage",'Таблиця 1'!$J:$J,"GBU-39")+SUMIFS('Таблиця 1'!$K:$K,'Таблиця 1'!$B:$B,$A245,'Таблиця 1'!$I:$I,"F-16",'Таблиця 1'!$J:$J,"GBU-39")+SUMIFS('Таблиця 1'!$K:$K,'Таблиця 1'!$B:$B,$A245,'Таблиця 1'!$I:$I,"МіГ-29",'Таблиця 1'!$J:$J,"GBU-39")+SUMIFS('Таблиця 1'!$K:$K,'Таблиця 1'!$B:$B,$A245,'Таблиця 1'!$I:$I,"Су-25",'Таблиця 1'!$J:$J,"GBU-39")+SUMIFS('Таблиця 1'!$K:$K,'Таблиця 1'!$B:$B,$A245,'Таблиця 1'!$I:$I,"Су-27",'Таблиця 1'!$J:$J,"GBU-39"))</f>
        <v/>
      </c>
      <c r="K245">
        <f>IF($A245="","",SUMIFS('Таблиця 1'!$K:$K,'Таблиця 1'!$B:$B,$A245,'Таблиця 1'!$I:$I,"Mirage",'Таблиця 1'!$J:$J,"BLU-140")+SUMIFS('Таблиця 1'!$K:$K,'Таблиця 1'!$B:$B,$A245,'Таблиця 1'!$I:$I,"F-16",'Таблиця 1'!$J:$J,"BLU-140")+SUMIFS('Таблиця 1'!$K:$K,'Таблиця 1'!$B:$B,$A245,'Таблиця 1'!$I:$I,"МіГ-29",'Таблиця 1'!$J:$J,"BLU-140")+SUMIFS('Таблиця 1'!$K:$K,'Таблиця 1'!$B:$B,$A245,'Таблиця 1'!$I:$I,"Су-25",'Таблиця 1'!$J:$J,"BLU-140")+SUMIFS('Таблиця 1'!$K:$K,'Таблиця 1'!$B:$B,$A245,'Таблиця 1'!$I:$I,"Су-27",'Таблиця 1'!$J:$J,"BLU-140"))</f>
        <v/>
      </c>
      <c r="L245">
        <f>IF($A245="","",SUMIFS('Таблиця 1'!$K:$K,'Таблиця 1'!$B:$B,$A245,'Таблиця 1'!$I:$I,"Mirage",'Таблиця 1'!$J:$J,"GBU-65")+SUMIFS('Таблиця 1'!$K:$K,'Таблиця 1'!$B:$B,$A245,'Таблиця 1'!$I:$I,"F-16",'Таблиця 1'!$J:$J,"GBU-65")+SUMIFS('Таблиця 1'!$K:$K,'Таблиця 1'!$B:$B,$A245,'Таблиця 1'!$I:$I,"МіГ-29",'Таблиця 1'!$J:$J,"GBU-65")+SUMIFS('Таблиця 1'!$K:$K,'Таблиця 1'!$B:$B,$A245,'Таблиця 1'!$I:$I,"Су-25",'Таблиця 1'!$J:$J,"GBU-65")+SUMIFS('Таблиця 1'!$K:$K,'Таблиця 1'!$B:$B,$A245,'Таблиця 1'!$I:$I,"Су-27",'Таблиця 1'!$J:$J,"GBU-65"))</f>
        <v/>
      </c>
      <c r="M245">
        <f>IF($A245="","",SUMIFS('Таблиця 1'!$K:$K,'Таблиця 1'!$B:$B,$A245,'Таблиця 1'!$I:$I,"Mirage",'Таблиця 1'!$J:$J,"GBU-62")+SUMIFS('Таблиця 1'!$K:$K,'Таблиця 1'!$B:$B,$A245,'Таблиця 1'!$I:$I,"F-16",'Таблиця 1'!$J:$J,"GBU-62")+SUMIFS('Таблиця 1'!$K:$K,'Таблиця 1'!$B:$B,$A245,'Таблиця 1'!$I:$I,"МіГ-29",'Таблиця 1'!$J:$J,"GBU-62")+SUMIFS('Таблиця 1'!$K:$K,'Таблиця 1'!$B:$B,$A245,'Таблиця 1'!$I:$I,"Су-25",'Таблиця 1'!$J:$J,"GBU-62")+SUMIFS('Таблиця 1'!$K:$K,'Таблиця 1'!$B:$B,$A245,'Таблиця 1'!$I:$I,"Су-27",'Таблиця 1'!$J:$J,"GBU-62"))</f>
        <v/>
      </c>
      <c r="N245">
        <f>IF($A245="","",SUMIFS('Таблиця 1'!$K:$K,'Таблиця 1'!$B:$B,$A245,'Таблиця 1'!$I:$I,"Mirage",'Таблиця 1'!$J:$J,"GBU-64")+SUMIFS('Таблиця 1'!$K:$K,'Таблиця 1'!$B:$B,$A245,'Таблиця 1'!$I:$I,"F-16",'Таблиця 1'!$J:$J,"GBU-64")+SUMIFS('Таблиця 1'!$K:$K,'Таблиця 1'!$B:$B,$A245,'Таблиця 1'!$I:$I,"МіГ-29",'Таблиця 1'!$J:$J,"GBU-64")+SUMIFS('Таблиця 1'!$K:$K,'Таблиця 1'!$B:$B,$A245,'Таблиця 1'!$I:$I,"Су-25",'Таблиця 1'!$J:$J,"GBU-64")+SUMIFS('Таблиця 1'!$K:$K,'Таблиця 1'!$B:$B,$A245,'Таблиця 1'!$I:$I,"Су-27",'Таблиця 1'!$J:$J,"GBU-64"))</f>
        <v/>
      </c>
      <c r="O245">
        <f>IF($A245="","",SUMIFS('Таблиця 1'!$K:$K,'Таблиця 1'!$B:$B,$A245,'Таблиця 1'!$I:$I,"Mirage",'Таблиця 1'!$J:$J,"C-13")+SUMIFS('Таблиця 1'!$K:$K,'Таблиця 1'!$B:$B,$A245,'Таблиця 1'!$I:$I,"F-16",'Таблиця 1'!$J:$J,"C-13")+SUMIFS('Таблиця 1'!$K:$K,'Таблиця 1'!$B:$B,$A245,'Таблиця 1'!$I:$I,"МіГ-29",'Таблиця 1'!$J:$J,"C-13")+SUMIFS('Таблиця 1'!$K:$K,'Таблиця 1'!$B:$B,$A245,'Таблиця 1'!$I:$I,"Су-25",'Таблиця 1'!$J:$J,"C-13")+SUMIFS('Таблиця 1'!$K:$K,'Таблиця 1'!$B:$B,$A245,'Таблиця 1'!$I:$I,"Су-27",'Таблиця 1'!$J:$J,"C-13"))</f>
        <v/>
      </c>
      <c r="P245">
        <f>IF($A245="","",SUMIFS('Таблиця 1'!$K:$K,'Таблиця 1'!$B:$B,$A245,'Таблиця 1'!$I:$I,"Mirage",'Таблиця 1'!$J:$J,"MK-32")+SUMIFS('Таблиця 1'!$K:$K,'Таблиця 1'!$B:$B,$A245,'Таблиця 1'!$I:$I,"F-16",'Таблиця 1'!$J:$J,"MK-32")+SUMIFS('Таблиця 1'!$K:$K,'Таблиця 1'!$B:$B,$A245,'Таблиця 1'!$I:$I,"МіГ-29",'Таблиця 1'!$J:$J,"MK-32")+SUMIFS('Таблиця 1'!$K:$K,'Таблиця 1'!$B:$B,$A245,'Таблиця 1'!$I:$I,"Су-25",'Таблиця 1'!$J:$J,"MK-32")+SUMIFS('Таблиця 1'!$K:$K,'Таблиця 1'!$B:$B,$A245,'Таблиця 1'!$I:$I,"Су-27",'Таблиця 1'!$J:$J,"MK-32"))</f>
        <v/>
      </c>
      <c r="Q245">
        <f>IF($A245="","",SUMIFS('Таблиця 1'!$K:$K,'Таблиця 1'!$B:$B,$A245,'Таблиця 1'!$I:$I,"Mirage",'Таблиця 1'!$J:$J,"MK-24")+SUMIFS('Таблиця 1'!$K:$K,'Таблиця 1'!$B:$B,$A245,'Таблиця 1'!$I:$I,"F-16",'Таблиця 1'!$J:$J,"MK-24")+SUMIFS('Таблиця 1'!$K:$K,'Таблиця 1'!$B:$B,$A245,'Таблиця 1'!$I:$I,"МіГ-29",'Таблиця 1'!$J:$J,"MK-24")+SUMIFS('Таблиця 1'!$K:$K,'Таблиця 1'!$B:$B,$A245,'Таблиця 1'!$I:$I,"Су-25",'Таблиця 1'!$J:$J,"MK-24")+SUMIFS('Таблиця 1'!$K:$K,'Таблиця 1'!$B:$B,$A245,'Таблиця 1'!$I:$I,"Су-27",'Таблиця 1'!$J:$J,"MK-24"))</f>
        <v/>
      </c>
      <c r="R245">
        <f>IF($A245="","",COUNTIFS('Таблиця 1'!$B:$B,$A245,'Таблиця 1'!$I:$I,"Mirage",'Таблиця 1'!$L:$L,"Уражено")+COUNTIFS('Таблиця 1'!$B:$B,$A245,'Таблиця 1'!$I:$I,"F-16",'Таблиця 1'!$L:$L,"Уражено")+COUNTIFS('Таблиця 1'!$B:$B,$A245,'Таблиця 1'!$I:$I,"МіГ-29",'Таблиця 1'!$L:$L,"Уражено")+COUNTIFS('Таблиця 1'!$B:$B,$A245,'Таблиця 1'!$I:$I,"Су-25",'Таблиця 1'!$L:$L,"Уражено")+COUNTIFS('Таблиця 1'!$B:$B,$A245,'Таблиця 1'!$I:$I,"Су-27",'Таблиця 1'!$L:$L,"Уражено"))</f>
        <v/>
      </c>
      <c r="S245">
        <f>IF($A245="","",COUNTIFS('Таблиця 1'!$B:$B,$A245,'Таблиця 1'!$I:$I,"Mirage",'Таблиця 1'!$L:$L,"НЕ уражено")+COUNTIFS('Таблиця 1'!$B:$B,$A245,'Таблиця 1'!$I:$I,"F-16",'Таблиця 1'!$L:$L,"НЕ уражено")+COUNTIFS('Таблиця 1'!$B:$B,$A245,'Таблиця 1'!$I:$I,"МіГ-29",'Таблиця 1'!$L:$L,"НЕ уражено")+COUNTIFS('Таблиця 1'!$B:$B,$A245,'Таблиця 1'!$I:$I,"Су-25",'Таблиця 1'!$L:$L,"НЕ уражено")+COUNTIFS('Таблиця 1'!$B:$B,$A245,'Таблиця 1'!$I:$I,"Су-27",'Таблиця 1'!$L:$L,"НЕ уражено"))</f>
        <v/>
      </c>
      <c r="T245">
        <f>IF($A245="","",COUNTIFS('Таблиця 1'!$B:$B,$A245,'Таблиця 1'!$I:$I,"Mirage",'Таблиця 1'!$L:$L,"Дорозвідується")+COUNTIFS('Таблиця 1'!$B:$B,$A245,'Таблиця 1'!$I:$I,"F-16",'Таблиця 1'!$L:$L,"Дорозвідується")+COUNTIFS('Таблиця 1'!$B:$B,$A245,'Таблиця 1'!$I:$I,"МіГ-29",'Таблиця 1'!$L:$L,"Дорозвідується")+COUNTIFS('Таблиця 1'!$B:$B,$A245,'Таблиця 1'!$I:$I,"Су-25",'Таблиця 1'!$L:$L,"Дорозвідується")+COUNTIFS('Таблиця 1'!$B:$B,$A245,'Таблиця 1'!$I:$I,"Су-27",'Таблиця 1'!$L:$L,"Дорозвідується"))</f>
        <v/>
      </c>
    </row>
    <row r="246">
      <c r="A246" s="273">
        <f>IF(A245="","",IF(A245+1&gt;MAX('Таблиця 1'!$B:$B),"",A245+1))</f>
        <v/>
      </c>
      <c r="B246">
        <f>IF($A246="","",COUNTIFS('Таблиця 1'!$B:$B,$A246,'Таблиця 1'!$I:$I,"Mirage")+COUNTIFS('Таблиця 1'!$B:$B,$A246,'Таблиця 1'!$I:$I,"F-16")+COUNTIFS('Таблиця 1'!$B:$B,$A246,'Таблиця 1'!$I:$I,"МіГ-29")+COUNTIFS('Таблиця 1'!$B:$B,$A246,'Таблиця 1'!$I:$I,"Су-25")+COUNTIFS('Таблиця 1'!$B:$B,$A246,'Таблиця 1'!$I:$I,"Су-27"))</f>
        <v/>
      </c>
      <c r="C246">
        <f>IF($A246="","",COUNTIFS('Таблиця 1'!$B:$B,$A246,'Таблиця 1'!$I:$I,"Mirage"))</f>
        <v/>
      </c>
      <c r="D246">
        <f>IF($A246="","",COUNTIFS('Таблиця 1'!$B:$B,$A246,'Таблиця 1'!$I:$I,"F-16"))</f>
        <v/>
      </c>
      <c r="E246">
        <f>IF($A246="","",COUNTIFS('Таблиця 1'!$B:$B,$A246,'Таблиця 1'!$I:$I,"МіГ-29"))</f>
        <v/>
      </c>
      <c r="F246">
        <f>IF($A246="","",COUNTIFS('Таблиця 1'!$B:$B,$A246,'Таблиця 1'!$I:$I,"Су-25"))</f>
        <v/>
      </c>
      <c r="G246">
        <f>IF($A246="","",COUNTIFS('Таблиця 1'!$B:$B,$A246,'Таблиця 1'!$I:$I,"Су-27"))</f>
        <v/>
      </c>
      <c r="H246">
        <f>IF($A246="","",SUMIFS('Таблиця 1'!$K:$K,'Таблиця 1'!$B:$B,$A246,'Таблиця 1'!$I:$I,"Mirage",'Таблиця 1'!$J:$J,"AGM-88")+SUMIFS('Таблиця 1'!$K:$K,'Таблиця 1'!$B:$B,$A246,'Таблиця 1'!$I:$I,"F-16",'Таблиця 1'!$J:$J,"AGM-88")+SUMIFS('Таблиця 1'!$K:$K,'Таблиця 1'!$B:$B,$A246,'Таблиця 1'!$I:$I,"МіГ-29",'Таблиця 1'!$J:$J,"AGM-88")+SUMIFS('Таблиця 1'!$K:$K,'Таблиця 1'!$B:$B,$A246,'Таблиця 1'!$I:$I,"Су-25",'Таблиця 1'!$J:$J,"AGM-88")+SUMIFS('Таблиця 1'!$K:$K,'Таблиця 1'!$B:$B,$A246,'Таблиця 1'!$I:$I,"Су-27",'Таблиця 1'!$J:$J,"AGM-88"))</f>
        <v/>
      </c>
      <c r="I246">
        <f>IF($A246="","",SUMIFS('Таблиця 1'!$K:$K,'Таблиця 1'!$B:$B,$A246,'Таблиця 1'!$I:$I,"Mirage",'Таблиця 1'!$J:$J,"AASM-250")+SUMIFS('Таблиця 1'!$K:$K,'Таблиця 1'!$B:$B,$A246,'Таблиця 1'!$I:$I,"F-16",'Таблиця 1'!$J:$J,"AASM-250")+SUMIFS('Таблиця 1'!$K:$K,'Таблиця 1'!$B:$B,$A246,'Таблиця 1'!$I:$I,"МіГ-29",'Таблиця 1'!$J:$J,"AASM-250")+SUMIFS('Таблиця 1'!$K:$K,'Таблиця 1'!$B:$B,$A246,'Таблиця 1'!$I:$I,"Су-25",'Таблиця 1'!$J:$J,"AASM-250")+SUMIFS('Таблиця 1'!$K:$K,'Таблиця 1'!$B:$B,$A246,'Таблиця 1'!$I:$I,"Су-27",'Таблиця 1'!$J:$J,"AASM-250"))</f>
        <v/>
      </c>
      <c r="J246">
        <f>IF($A246="","",SUMIFS('Таблиця 1'!$K:$K,'Таблиця 1'!$B:$B,$A246,'Таблиця 1'!$I:$I,"Mirage",'Таблиця 1'!$J:$J,"GBU-39")+SUMIFS('Таблиця 1'!$K:$K,'Таблиця 1'!$B:$B,$A246,'Таблиця 1'!$I:$I,"F-16",'Таблиця 1'!$J:$J,"GBU-39")+SUMIFS('Таблиця 1'!$K:$K,'Таблиця 1'!$B:$B,$A246,'Таблиця 1'!$I:$I,"МіГ-29",'Таблиця 1'!$J:$J,"GBU-39")+SUMIFS('Таблиця 1'!$K:$K,'Таблиця 1'!$B:$B,$A246,'Таблиця 1'!$I:$I,"Су-25",'Таблиця 1'!$J:$J,"GBU-39")+SUMIFS('Таблиця 1'!$K:$K,'Таблиця 1'!$B:$B,$A246,'Таблиця 1'!$I:$I,"Су-27",'Таблиця 1'!$J:$J,"GBU-39"))</f>
        <v/>
      </c>
      <c r="K246">
        <f>IF($A246="","",SUMIFS('Таблиця 1'!$K:$K,'Таблиця 1'!$B:$B,$A246,'Таблиця 1'!$I:$I,"Mirage",'Таблиця 1'!$J:$J,"BLU-140")+SUMIFS('Таблиця 1'!$K:$K,'Таблиця 1'!$B:$B,$A246,'Таблиця 1'!$I:$I,"F-16",'Таблиця 1'!$J:$J,"BLU-140")+SUMIFS('Таблиця 1'!$K:$K,'Таблиця 1'!$B:$B,$A246,'Таблиця 1'!$I:$I,"МіГ-29",'Таблиця 1'!$J:$J,"BLU-140")+SUMIFS('Таблиця 1'!$K:$K,'Таблиця 1'!$B:$B,$A246,'Таблиця 1'!$I:$I,"Су-25",'Таблиця 1'!$J:$J,"BLU-140")+SUMIFS('Таблиця 1'!$K:$K,'Таблиця 1'!$B:$B,$A246,'Таблиця 1'!$I:$I,"Су-27",'Таблиця 1'!$J:$J,"BLU-140"))</f>
        <v/>
      </c>
      <c r="L246">
        <f>IF($A246="","",SUMIFS('Таблиця 1'!$K:$K,'Таблиця 1'!$B:$B,$A246,'Таблиця 1'!$I:$I,"Mirage",'Таблиця 1'!$J:$J,"GBU-65")+SUMIFS('Таблиця 1'!$K:$K,'Таблиця 1'!$B:$B,$A246,'Таблиця 1'!$I:$I,"F-16",'Таблиця 1'!$J:$J,"GBU-65")+SUMIFS('Таблиця 1'!$K:$K,'Таблиця 1'!$B:$B,$A246,'Таблиця 1'!$I:$I,"МіГ-29",'Таблиця 1'!$J:$J,"GBU-65")+SUMIFS('Таблиця 1'!$K:$K,'Таблиця 1'!$B:$B,$A246,'Таблиця 1'!$I:$I,"Су-25",'Таблиця 1'!$J:$J,"GBU-65")+SUMIFS('Таблиця 1'!$K:$K,'Таблиця 1'!$B:$B,$A246,'Таблиця 1'!$I:$I,"Су-27",'Таблиця 1'!$J:$J,"GBU-65"))</f>
        <v/>
      </c>
      <c r="M246">
        <f>IF($A246="","",SUMIFS('Таблиця 1'!$K:$K,'Таблиця 1'!$B:$B,$A246,'Таблиця 1'!$I:$I,"Mirage",'Таблиця 1'!$J:$J,"GBU-62")+SUMIFS('Таблиця 1'!$K:$K,'Таблиця 1'!$B:$B,$A246,'Таблиця 1'!$I:$I,"F-16",'Таблиця 1'!$J:$J,"GBU-62")+SUMIFS('Таблиця 1'!$K:$K,'Таблиця 1'!$B:$B,$A246,'Таблиця 1'!$I:$I,"МіГ-29",'Таблиця 1'!$J:$J,"GBU-62")+SUMIFS('Таблиця 1'!$K:$K,'Таблиця 1'!$B:$B,$A246,'Таблиця 1'!$I:$I,"Су-25",'Таблиця 1'!$J:$J,"GBU-62")+SUMIFS('Таблиця 1'!$K:$K,'Таблиця 1'!$B:$B,$A246,'Таблиця 1'!$I:$I,"Су-27",'Таблиця 1'!$J:$J,"GBU-62"))</f>
        <v/>
      </c>
      <c r="N246">
        <f>IF($A246="","",SUMIFS('Таблиця 1'!$K:$K,'Таблиця 1'!$B:$B,$A246,'Таблиця 1'!$I:$I,"Mirage",'Таблиця 1'!$J:$J,"GBU-64")+SUMIFS('Таблиця 1'!$K:$K,'Таблиця 1'!$B:$B,$A246,'Таблиця 1'!$I:$I,"F-16",'Таблиця 1'!$J:$J,"GBU-64")+SUMIFS('Таблиця 1'!$K:$K,'Таблиця 1'!$B:$B,$A246,'Таблиця 1'!$I:$I,"МіГ-29",'Таблиця 1'!$J:$J,"GBU-64")+SUMIFS('Таблиця 1'!$K:$K,'Таблиця 1'!$B:$B,$A246,'Таблиця 1'!$I:$I,"Су-25",'Таблиця 1'!$J:$J,"GBU-64")+SUMIFS('Таблиця 1'!$K:$K,'Таблиця 1'!$B:$B,$A246,'Таблиця 1'!$I:$I,"Су-27",'Таблиця 1'!$J:$J,"GBU-64"))</f>
        <v/>
      </c>
      <c r="O246">
        <f>IF($A246="","",SUMIFS('Таблиця 1'!$K:$K,'Таблиця 1'!$B:$B,$A246,'Таблиця 1'!$I:$I,"Mirage",'Таблиця 1'!$J:$J,"C-13")+SUMIFS('Таблиця 1'!$K:$K,'Таблиця 1'!$B:$B,$A246,'Таблиця 1'!$I:$I,"F-16",'Таблиця 1'!$J:$J,"C-13")+SUMIFS('Таблиця 1'!$K:$K,'Таблиця 1'!$B:$B,$A246,'Таблиця 1'!$I:$I,"МіГ-29",'Таблиця 1'!$J:$J,"C-13")+SUMIFS('Таблиця 1'!$K:$K,'Таблиця 1'!$B:$B,$A246,'Таблиця 1'!$I:$I,"Су-25",'Таблиця 1'!$J:$J,"C-13")+SUMIFS('Таблиця 1'!$K:$K,'Таблиця 1'!$B:$B,$A246,'Таблиця 1'!$I:$I,"Су-27",'Таблиця 1'!$J:$J,"C-13"))</f>
        <v/>
      </c>
      <c r="P246">
        <f>IF($A246="","",SUMIFS('Таблиця 1'!$K:$K,'Таблиця 1'!$B:$B,$A246,'Таблиця 1'!$I:$I,"Mirage",'Таблиця 1'!$J:$J,"MK-32")+SUMIFS('Таблиця 1'!$K:$K,'Таблиця 1'!$B:$B,$A246,'Таблиця 1'!$I:$I,"F-16",'Таблиця 1'!$J:$J,"MK-32")+SUMIFS('Таблиця 1'!$K:$K,'Таблиця 1'!$B:$B,$A246,'Таблиця 1'!$I:$I,"МіГ-29",'Таблиця 1'!$J:$J,"MK-32")+SUMIFS('Таблиця 1'!$K:$K,'Таблиця 1'!$B:$B,$A246,'Таблиця 1'!$I:$I,"Су-25",'Таблиця 1'!$J:$J,"MK-32")+SUMIFS('Таблиця 1'!$K:$K,'Таблиця 1'!$B:$B,$A246,'Таблиця 1'!$I:$I,"Су-27",'Таблиця 1'!$J:$J,"MK-32"))</f>
        <v/>
      </c>
      <c r="Q246">
        <f>IF($A246="","",SUMIFS('Таблиця 1'!$K:$K,'Таблиця 1'!$B:$B,$A246,'Таблиця 1'!$I:$I,"Mirage",'Таблиця 1'!$J:$J,"MK-24")+SUMIFS('Таблиця 1'!$K:$K,'Таблиця 1'!$B:$B,$A246,'Таблиця 1'!$I:$I,"F-16",'Таблиця 1'!$J:$J,"MK-24")+SUMIFS('Таблиця 1'!$K:$K,'Таблиця 1'!$B:$B,$A246,'Таблиця 1'!$I:$I,"МіГ-29",'Таблиця 1'!$J:$J,"MK-24")+SUMIFS('Таблиця 1'!$K:$K,'Таблиця 1'!$B:$B,$A246,'Таблиця 1'!$I:$I,"Су-25",'Таблиця 1'!$J:$J,"MK-24")+SUMIFS('Таблиця 1'!$K:$K,'Таблиця 1'!$B:$B,$A246,'Таблиця 1'!$I:$I,"Су-27",'Таблиця 1'!$J:$J,"MK-24"))</f>
        <v/>
      </c>
      <c r="R246">
        <f>IF($A246="","",COUNTIFS('Таблиця 1'!$B:$B,$A246,'Таблиця 1'!$I:$I,"Mirage",'Таблиця 1'!$L:$L,"Уражено")+COUNTIFS('Таблиця 1'!$B:$B,$A246,'Таблиця 1'!$I:$I,"F-16",'Таблиця 1'!$L:$L,"Уражено")+COUNTIFS('Таблиця 1'!$B:$B,$A246,'Таблиця 1'!$I:$I,"МіГ-29",'Таблиця 1'!$L:$L,"Уражено")+COUNTIFS('Таблиця 1'!$B:$B,$A246,'Таблиця 1'!$I:$I,"Су-25",'Таблиця 1'!$L:$L,"Уражено")+COUNTIFS('Таблиця 1'!$B:$B,$A246,'Таблиця 1'!$I:$I,"Су-27",'Таблиця 1'!$L:$L,"Уражено"))</f>
        <v/>
      </c>
      <c r="S246">
        <f>IF($A246="","",COUNTIFS('Таблиця 1'!$B:$B,$A246,'Таблиця 1'!$I:$I,"Mirage",'Таблиця 1'!$L:$L,"НЕ уражено")+COUNTIFS('Таблиця 1'!$B:$B,$A246,'Таблиця 1'!$I:$I,"F-16",'Таблиця 1'!$L:$L,"НЕ уражено")+COUNTIFS('Таблиця 1'!$B:$B,$A246,'Таблиця 1'!$I:$I,"МіГ-29",'Таблиця 1'!$L:$L,"НЕ уражено")+COUNTIFS('Таблиця 1'!$B:$B,$A246,'Таблиця 1'!$I:$I,"Су-25",'Таблиця 1'!$L:$L,"НЕ уражено")+COUNTIFS('Таблиця 1'!$B:$B,$A246,'Таблиця 1'!$I:$I,"Су-27",'Таблиця 1'!$L:$L,"НЕ уражено"))</f>
        <v/>
      </c>
      <c r="T246">
        <f>IF($A246="","",COUNTIFS('Таблиця 1'!$B:$B,$A246,'Таблиця 1'!$I:$I,"Mirage",'Таблиця 1'!$L:$L,"Дорозвідується")+COUNTIFS('Таблиця 1'!$B:$B,$A246,'Таблиця 1'!$I:$I,"F-16",'Таблиця 1'!$L:$L,"Дорозвідується")+COUNTIFS('Таблиця 1'!$B:$B,$A246,'Таблиця 1'!$I:$I,"МіГ-29",'Таблиця 1'!$L:$L,"Дорозвідується")+COUNTIFS('Таблиця 1'!$B:$B,$A246,'Таблиця 1'!$I:$I,"Су-25",'Таблиця 1'!$L:$L,"Дорозвідується")+COUNTIFS('Таблиця 1'!$B:$B,$A246,'Таблиця 1'!$I:$I,"Су-27",'Таблиця 1'!$L:$L,"Дорозвідується"))</f>
        <v/>
      </c>
    </row>
    <row r="247">
      <c r="A247" s="273">
        <f>IF(A246="","",IF(A246+1&gt;MAX('Таблиця 1'!$B:$B),"",A246+1))</f>
        <v/>
      </c>
      <c r="B247">
        <f>IF($A247="","",COUNTIFS('Таблиця 1'!$B:$B,$A247,'Таблиця 1'!$I:$I,"Mirage")+COUNTIFS('Таблиця 1'!$B:$B,$A247,'Таблиця 1'!$I:$I,"F-16")+COUNTIFS('Таблиця 1'!$B:$B,$A247,'Таблиця 1'!$I:$I,"МіГ-29")+COUNTIFS('Таблиця 1'!$B:$B,$A247,'Таблиця 1'!$I:$I,"Су-25")+COUNTIFS('Таблиця 1'!$B:$B,$A247,'Таблиця 1'!$I:$I,"Су-27"))</f>
        <v/>
      </c>
      <c r="C247">
        <f>IF($A247="","",COUNTIFS('Таблиця 1'!$B:$B,$A247,'Таблиця 1'!$I:$I,"Mirage"))</f>
        <v/>
      </c>
      <c r="D247">
        <f>IF($A247="","",COUNTIFS('Таблиця 1'!$B:$B,$A247,'Таблиця 1'!$I:$I,"F-16"))</f>
        <v/>
      </c>
      <c r="E247">
        <f>IF($A247="","",COUNTIFS('Таблиця 1'!$B:$B,$A247,'Таблиця 1'!$I:$I,"МіГ-29"))</f>
        <v/>
      </c>
      <c r="F247">
        <f>IF($A247="","",COUNTIFS('Таблиця 1'!$B:$B,$A247,'Таблиця 1'!$I:$I,"Су-25"))</f>
        <v/>
      </c>
      <c r="G247">
        <f>IF($A247="","",COUNTIFS('Таблиця 1'!$B:$B,$A247,'Таблиця 1'!$I:$I,"Су-27"))</f>
        <v/>
      </c>
      <c r="H247">
        <f>IF($A247="","",SUMIFS('Таблиця 1'!$K:$K,'Таблиця 1'!$B:$B,$A247,'Таблиця 1'!$I:$I,"Mirage",'Таблиця 1'!$J:$J,"AGM-88")+SUMIFS('Таблиця 1'!$K:$K,'Таблиця 1'!$B:$B,$A247,'Таблиця 1'!$I:$I,"F-16",'Таблиця 1'!$J:$J,"AGM-88")+SUMIFS('Таблиця 1'!$K:$K,'Таблиця 1'!$B:$B,$A247,'Таблиця 1'!$I:$I,"МіГ-29",'Таблиця 1'!$J:$J,"AGM-88")+SUMIFS('Таблиця 1'!$K:$K,'Таблиця 1'!$B:$B,$A247,'Таблиця 1'!$I:$I,"Су-25",'Таблиця 1'!$J:$J,"AGM-88")+SUMIFS('Таблиця 1'!$K:$K,'Таблиця 1'!$B:$B,$A247,'Таблиця 1'!$I:$I,"Су-27",'Таблиця 1'!$J:$J,"AGM-88"))</f>
        <v/>
      </c>
      <c r="I247">
        <f>IF($A247="","",SUMIFS('Таблиця 1'!$K:$K,'Таблиця 1'!$B:$B,$A247,'Таблиця 1'!$I:$I,"Mirage",'Таблиця 1'!$J:$J,"AASM-250")+SUMIFS('Таблиця 1'!$K:$K,'Таблиця 1'!$B:$B,$A247,'Таблиця 1'!$I:$I,"F-16",'Таблиця 1'!$J:$J,"AASM-250")+SUMIFS('Таблиця 1'!$K:$K,'Таблиця 1'!$B:$B,$A247,'Таблиця 1'!$I:$I,"МіГ-29",'Таблиця 1'!$J:$J,"AASM-250")+SUMIFS('Таблиця 1'!$K:$K,'Таблиця 1'!$B:$B,$A247,'Таблиця 1'!$I:$I,"Су-25",'Таблиця 1'!$J:$J,"AASM-250")+SUMIFS('Таблиця 1'!$K:$K,'Таблиця 1'!$B:$B,$A247,'Таблиця 1'!$I:$I,"Су-27",'Таблиця 1'!$J:$J,"AASM-250"))</f>
        <v/>
      </c>
      <c r="J247">
        <f>IF($A247="","",SUMIFS('Таблиця 1'!$K:$K,'Таблиця 1'!$B:$B,$A247,'Таблиця 1'!$I:$I,"Mirage",'Таблиця 1'!$J:$J,"GBU-39")+SUMIFS('Таблиця 1'!$K:$K,'Таблиця 1'!$B:$B,$A247,'Таблиця 1'!$I:$I,"F-16",'Таблиця 1'!$J:$J,"GBU-39")+SUMIFS('Таблиця 1'!$K:$K,'Таблиця 1'!$B:$B,$A247,'Таблиця 1'!$I:$I,"МіГ-29",'Таблиця 1'!$J:$J,"GBU-39")+SUMIFS('Таблиця 1'!$K:$K,'Таблиця 1'!$B:$B,$A247,'Таблиця 1'!$I:$I,"Су-25",'Таблиця 1'!$J:$J,"GBU-39")+SUMIFS('Таблиця 1'!$K:$K,'Таблиця 1'!$B:$B,$A247,'Таблиця 1'!$I:$I,"Су-27",'Таблиця 1'!$J:$J,"GBU-39"))</f>
        <v/>
      </c>
      <c r="K247">
        <f>IF($A247="","",SUMIFS('Таблиця 1'!$K:$K,'Таблиця 1'!$B:$B,$A247,'Таблиця 1'!$I:$I,"Mirage",'Таблиця 1'!$J:$J,"BLU-140")+SUMIFS('Таблиця 1'!$K:$K,'Таблиця 1'!$B:$B,$A247,'Таблиця 1'!$I:$I,"F-16",'Таблиця 1'!$J:$J,"BLU-140")+SUMIFS('Таблиця 1'!$K:$K,'Таблиця 1'!$B:$B,$A247,'Таблиця 1'!$I:$I,"МіГ-29",'Таблиця 1'!$J:$J,"BLU-140")+SUMIFS('Таблиця 1'!$K:$K,'Таблиця 1'!$B:$B,$A247,'Таблиця 1'!$I:$I,"Су-25",'Таблиця 1'!$J:$J,"BLU-140")+SUMIFS('Таблиця 1'!$K:$K,'Таблиця 1'!$B:$B,$A247,'Таблиця 1'!$I:$I,"Су-27",'Таблиця 1'!$J:$J,"BLU-140"))</f>
        <v/>
      </c>
      <c r="L247">
        <f>IF($A247="","",SUMIFS('Таблиця 1'!$K:$K,'Таблиця 1'!$B:$B,$A247,'Таблиця 1'!$I:$I,"Mirage",'Таблиця 1'!$J:$J,"GBU-65")+SUMIFS('Таблиця 1'!$K:$K,'Таблиця 1'!$B:$B,$A247,'Таблиця 1'!$I:$I,"F-16",'Таблиця 1'!$J:$J,"GBU-65")+SUMIFS('Таблиця 1'!$K:$K,'Таблиця 1'!$B:$B,$A247,'Таблиця 1'!$I:$I,"МіГ-29",'Таблиця 1'!$J:$J,"GBU-65")+SUMIFS('Таблиця 1'!$K:$K,'Таблиця 1'!$B:$B,$A247,'Таблиця 1'!$I:$I,"Су-25",'Таблиця 1'!$J:$J,"GBU-65")+SUMIFS('Таблиця 1'!$K:$K,'Таблиця 1'!$B:$B,$A247,'Таблиця 1'!$I:$I,"Су-27",'Таблиця 1'!$J:$J,"GBU-65"))</f>
        <v/>
      </c>
      <c r="M247">
        <f>IF($A247="","",SUMIFS('Таблиця 1'!$K:$K,'Таблиця 1'!$B:$B,$A247,'Таблиця 1'!$I:$I,"Mirage",'Таблиця 1'!$J:$J,"GBU-62")+SUMIFS('Таблиця 1'!$K:$K,'Таблиця 1'!$B:$B,$A247,'Таблиця 1'!$I:$I,"F-16",'Таблиця 1'!$J:$J,"GBU-62")+SUMIFS('Таблиця 1'!$K:$K,'Таблиця 1'!$B:$B,$A247,'Таблиця 1'!$I:$I,"МіГ-29",'Таблиця 1'!$J:$J,"GBU-62")+SUMIFS('Таблиця 1'!$K:$K,'Таблиця 1'!$B:$B,$A247,'Таблиця 1'!$I:$I,"Су-25",'Таблиця 1'!$J:$J,"GBU-62")+SUMIFS('Таблиця 1'!$K:$K,'Таблиця 1'!$B:$B,$A247,'Таблиця 1'!$I:$I,"Су-27",'Таблиця 1'!$J:$J,"GBU-62"))</f>
        <v/>
      </c>
      <c r="N247">
        <f>IF($A247="","",SUMIFS('Таблиця 1'!$K:$K,'Таблиця 1'!$B:$B,$A247,'Таблиця 1'!$I:$I,"Mirage",'Таблиця 1'!$J:$J,"GBU-64")+SUMIFS('Таблиця 1'!$K:$K,'Таблиця 1'!$B:$B,$A247,'Таблиця 1'!$I:$I,"F-16",'Таблиця 1'!$J:$J,"GBU-64")+SUMIFS('Таблиця 1'!$K:$K,'Таблиця 1'!$B:$B,$A247,'Таблиця 1'!$I:$I,"МіГ-29",'Таблиця 1'!$J:$J,"GBU-64")+SUMIFS('Таблиця 1'!$K:$K,'Таблиця 1'!$B:$B,$A247,'Таблиця 1'!$I:$I,"Су-25",'Таблиця 1'!$J:$J,"GBU-64")+SUMIFS('Таблиця 1'!$K:$K,'Таблиця 1'!$B:$B,$A247,'Таблиця 1'!$I:$I,"Су-27",'Таблиця 1'!$J:$J,"GBU-64"))</f>
        <v/>
      </c>
      <c r="O247">
        <f>IF($A247="","",SUMIFS('Таблиця 1'!$K:$K,'Таблиця 1'!$B:$B,$A247,'Таблиця 1'!$I:$I,"Mirage",'Таблиця 1'!$J:$J,"C-13")+SUMIFS('Таблиця 1'!$K:$K,'Таблиця 1'!$B:$B,$A247,'Таблиця 1'!$I:$I,"F-16",'Таблиця 1'!$J:$J,"C-13")+SUMIFS('Таблиця 1'!$K:$K,'Таблиця 1'!$B:$B,$A247,'Таблиця 1'!$I:$I,"МіГ-29",'Таблиця 1'!$J:$J,"C-13")+SUMIFS('Таблиця 1'!$K:$K,'Таблиця 1'!$B:$B,$A247,'Таблиця 1'!$I:$I,"Су-25",'Таблиця 1'!$J:$J,"C-13")+SUMIFS('Таблиця 1'!$K:$K,'Таблиця 1'!$B:$B,$A247,'Таблиця 1'!$I:$I,"Су-27",'Таблиця 1'!$J:$J,"C-13"))</f>
        <v/>
      </c>
      <c r="P247">
        <f>IF($A247="","",SUMIFS('Таблиця 1'!$K:$K,'Таблиця 1'!$B:$B,$A247,'Таблиця 1'!$I:$I,"Mirage",'Таблиця 1'!$J:$J,"MK-32")+SUMIFS('Таблиця 1'!$K:$K,'Таблиця 1'!$B:$B,$A247,'Таблиця 1'!$I:$I,"F-16",'Таблиця 1'!$J:$J,"MK-32")+SUMIFS('Таблиця 1'!$K:$K,'Таблиця 1'!$B:$B,$A247,'Таблиця 1'!$I:$I,"МіГ-29",'Таблиця 1'!$J:$J,"MK-32")+SUMIFS('Таблиця 1'!$K:$K,'Таблиця 1'!$B:$B,$A247,'Таблиця 1'!$I:$I,"Су-25",'Таблиця 1'!$J:$J,"MK-32")+SUMIFS('Таблиця 1'!$K:$K,'Таблиця 1'!$B:$B,$A247,'Таблиця 1'!$I:$I,"Су-27",'Таблиця 1'!$J:$J,"MK-32"))</f>
        <v/>
      </c>
      <c r="Q247">
        <f>IF($A247="","",SUMIFS('Таблиця 1'!$K:$K,'Таблиця 1'!$B:$B,$A247,'Таблиця 1'!$I:$I,"Mirage",'Таблиця 1'!$J:$J,"MK-24")+SUMIFS('Таблиця 1'!$K:$K,'Таблиця 1'!$B:$B,$A247,'Таблиця 1'!$I:$I,"F-16",'Таблиця 1'!$J:$J,"MK-24")+SUMIFS('Таблиця 1'!$K:$K,'Таблиця 1'!$B:$B,$A247,'Таблиця 1'!$I:$I,"МіГ-29",'Таблиця 1'!$J:$J,"MK-24")+SUMIFS('Таблиця 1'!$K:$K,'Таблиця 1'!$B:$B,$A247,'Таблиця 1'!$I:$I,"Су-25",'Таблиця 1'!$J:$J,"MK-24")+SUMIFS('Таблиця 1'!$K:$K,'Таблиця 1'!$B:$B,$A247,'Таблиця 1'!$I:$I,"Су-27",'Таблиця 1'!$J:$J,"MK-24"))</f>
        <v/>
      </c>
      <c r="R247">
        <f>IF($A247="","",COUNTIFS('Таблиця 1'!$B:$B,$A247,'Таблиця 1'!$I:$I,"Mirage",'Таблиця 1'!$L:$L,"Уражено")+COUNTIFS('Таблиця 1'!$B:$B,$A247,'Таблиця 1'!$I:$I,"F-16",'Таблиця 1'!$L:$L,"Уражено")+COUNTIFS('Таблиця 1'!$B:$B,$A247,'Таблиця 1'!$I:$I,"МіГ-29",'Таблиця 1'!$L:$L,"Уражено")+COUNTIFS('Таблиця 1'!$B:$B,$A247,'Таблиця 1'!$I:$I,"Су-25",'Таблиця 1'!$L:$L,"Уражено")+COUNTIFS('Таблиця 1'!$B:$B,$A247,'Таблиця 1'!$I:$I,"Су-27",'Таблиця 1'!$L:$L,"Уражено"))</f>
        <v/>
      </c>
      <c r="S247">
        <f>IF($A247="","",COUNTIFS('Таблиця 1'!$B:$B,$A247,'Таблиця 1'!$I:$I,"Mirage",'Таблиця 1'!$L:$L,"НЕ уражено")+COUNTIFS('Таблиця 1'!$B:$B,$A247,'Таблиця 1'!$I:$I,"F-16",'Таблиця 1'!$L:$L,"НЕ уражено")+COUNTIFS('Таблиця 1'!$B:$B,$A247,'Таблиця 1'!$I:$I,"МіГ-29",'Таблиця 1'!$L:$L,"НЕ уражено")+COUNTIFS('Таблиця 1'!$B:$B,$A247,'Таблиця 1'!$I:$I,"Су-25",'Таблиця 1'!$L:$L,"НЕ уражено")+COUNTIFS('Таблиця 1'!$B:$B,$A247,'Таблиця 1'!$I:$I,"Су-27",'Таблиця 1'!$L:$L,"НЕ уражено"))</f>
        <v/>
      </c>
      <c r="T247">
        <f>IF($A247="","",COUNTIFS('Таблиця 1'!$B:$B,$A247,'Таблиця 1'!$I:$I,"Mirage",'Таблиця 1'!$L:$L,"Дорозвідується")+COUNTIFS('Таблиця 1'!$B:$B,$A247,'Таблиця 1'!$I:$I,"F-16",'Таблиця 1'!$L:$L,"Дорозвідується")+COUNTIFS('Таблиця 1'!$B:$B,$A247,'Таблиця 1'!$I:$I,"МіГ-29",'Таблиця 1'!$L:$L,"Дорозвідується")+COUNTIFS('Таблиця 1'!$B:$B,$A247,'Таблиця 1'!$I:$I,"Су-25",'Таблиця 1'!$L:$L,"Дорозвідується")+COUNTIFS('Таблиця 1'!$B:$B,$A247,'Таблиця 1'!$I:$I,"Су-27",'Таблиця 1'!$L:$L,"Дорозвідується"))</f>
        <v/>
      </c>
    </row>
    <row r="248">
      <c r="A248" s="273">
        <f>IF(A247="","",IF(A247+1&gt;MAX('Таблиця 1'!$B:$B),"",A247+1))</f>
        <v/>
      </c>
      <c r="B248">
        <f>IF($A248="","",COUNTIFS('Таблиця 1'!$B:$B,$A248,'Таблиця 1'!$I:$I,"Mirage")+COUNTIFS('Таблиця 1'!$B:$B,$A248,'Таблиця 1'!$I:$I,"F-16")+COUNTIFS('Таблиця 1'!$B:$B,$A248,'Таблиця 1'!$I:$I,"МіГ-29")+COUNTIFS('Таблиця 1'!$B:$B,$A248,'Таблиця 1'!$I:$I,"Су-25")+COUNTIFS('Таблиця 1'!$B:$B,$A248,'Таблиця 1'!$I:$I,"Су-27"))</f>
        <v/>
      </c>
      <c r="C248">
        <f>IF($A248="","",COUNTIFS('Таблиця 1'!$B:$B,$A248,'Таблиця 1'!$I:$I,"Mirage"))</f>
        <v/>
      </c>
      <c r="D248">
        <f>IF($A248="","",COUNTIFS('Таблиця 1'!$B:$B,$A248,'Таблиця 1'!$I:$I,"F-16"))</f>
        <v/>
      </c>
      <c r="E248">
        <f>IF($A248="","",COUNTIFS('Таблиця 1'!$B:$B,$A248,'Таблиця 1'!$I:$I,"МіГ-29"))</f>
        <v/>
      </c>
      <c r="F248">
        <f>IF($A248="","",COUNTIFS('Таблиця 1'!$B:$B,$A248,'Таблиця 1'!$I:$I,"Су-25"))</f>
        <v/>
      </c>
      <c r="G248">
        <f>IF($A248="","",COUNTIFS('Таблиця 1'!$B:$B,$A248,'Таблиця 1'!$I:$I,"Су-27"))</f>
        <v/>
      </c>
      <c r="H248">
        <f>IF($A248="","",SUMIFS('Таблиця 1'!$K:$K,'Таблиця 1'!$B:$B,$A248,'Таблиця 1'!$I:$I,"Mirage",'Таблиця 1'!$J:$J,"AGM-88")+SUMIFS('Таблиця 1'!$K:$K,'Таблиця 1'!$B:$B,$A248,'Таблиця 1'!$I:$I,"F-16",'Таблиця 1'!$J:$J,"AGM-88")+SUMIFS('Таблиця 1'!$K:$K,'Таблиця 1'!$B:$B,$A248,'Таблиця 1'!$I:$I,"МіГ-29",'Таблиця 1'!$J:$J,"AGM-88")+SUMIFS('Таблиця 1'!$K:$K,'Таблиця 1'!$B:$B,$A248,'Таблиця 1'!$I:$I,"Су-25",'Таблиця 1'!$J:$J,"AGM-88")+SUMIFS('Таблиця 1'!$K:$K,'Таблиця 1'!$B:$B,$A248,'Таблиця 1'!$I:$I,"Су-27",'Таблиця 1'!$J:$J,"AGM-88"))</f>
        <v/>
      </c>
      <c r="I248">
        <f>IF($A248="","",SUMIFS('Таблиця 1'!$K:$K,'Таблиця 1'!$B:$B,$A248,'Таблиця 1'!$I:$I,"Mirage",'Таблиця 1'!$J:$J,"AASM-250")+SUMIFS('Таблиця 1'!$K:$K,'Таблиця 1'!$B:$B,$A248,'Таблиця 1'!$I:$I,"F-16",'Таблиця 1'!$J:$J,"AASM-250")+SUMIFS('Таблиця 1'!$K:$K,'Таблиця 1'!$B:$B,$A248,'Таблиця 1'!$I:$I,"МіГ-29",'Таблиця 1'!$J:$J,"AASM-250")+SUMIFS('Таблиця 1'!$K:$K,'Таблиця 1'!$B:$B,$A248,'Таблиця 1'!$I:$I,"Су-25",'Таблиця 1'!$J:$J,"AASM-250")+SUMIFS('Таблиця 1'!$K:$K,'Таблиця 1'!$B:$B,$A248,'Таблиця 1'!$I:$I,"Су-27",'Таблиця 1'!$J:$J,"AASM-250"))</f>
        <v/>
      </c>
      <c r="J248">
        <f>IF($A248="","",SUMIFS('Таблиця 1'!$K:$K,'Таблиця 1'!$B:$B,$A248,'Таблиця 1'!$I:$I,"Mirage",'Таблиця 1'!$J:$J,"GBU-39")+SUMIFS('Таблиця 1'!$K:$K,'Таблиця 1'!$B:$B,$A248,'Таблиця 1'!$I:$I,"F-16",'Таблиця 1'!$J:$J,"GBU-39")+SUMIFS('Таблиця 1'!$K:$K,'Таблиця 1'!$B:$B,$A248,'Таблиця 1'!$I:$I,"МіГ-29",'Таблиця 1'!$J:$J,"GBU-39")+SUMIFS('Таблиця 1'!$K:$K,'Таблиця 1'!$B:$B,$A248,'Таблиця 1'!$I:$I,"Су-25",'Таблиця 1'!$J:$J,"GBU-39")+SUMIFS('Таблиця 1'!$K:$K,'Таблиця 1'!$B:$B,$A248,'Таблиця 1'!$I:$I,"Су-27",'Таблиця 1'!$J:$J,"GBU-39"))</f>
        <v/>
      </c>
      <c r="K248">
        <f>IF($A248="","",SUMIFS('Таблиця 1'!$K:$K,'Таблиця 1'!$B:$B,$A248,'Таблиця 1'!$I:$I,"Mirage",'Таблиця 1'!$J:$J,"BLU-140")+SUMIFS('Таблиця 1'!$K:$K,'Таблиця 1'!$B:$B,$A248,'Таблиця 1'!$I:$I,"F-16",'Таблиця 1'!$J:$J,"BLU-140")+SUMIFS('Таблиця 1'!$K:$K,'Таблиця 1'!$B:$B,$A248,'Таблиця 1'!$I:$I,"МіГ-29",'Таблиця 1'!$J:$J,"BLU-140")+SUMIFS('Таблиця 1'!$K:$K,'Таблиця 1'!$B:$B,$A248,'Таблиця 1'!$I:$I,"Су-25",'Таблиця 1'!$J:$J,"BLU-140")+SUMIFS('Таблиця 1'!$K:$K,'Таблиця 1'!$B:$B,$A248,'Таблиця 1'!$I:$I,"Су-27",'Таблиця 1'!$J:$J,"BLU-140"))</f>
        <v/>
      </c>
      <c r="L248">
        <f>IF($A248="","",SUMIFS('Таблиця 1'!$K:$K,'Таблиця 1'!$B:$B,$A248,'Таблиця 1'!$I:$I,"Mirage",'Таблиця 1'!$J:$J,"GBU-65")+SUMIFS('Таблиця 1'!$K:$K,'Таблиця 1'!$B:$B,$A248,'Таблиця 1'!$I:$I,"F-16",'Таблиця 1'!$J:$J,"GBU-65")+SUMIFS('Таблиця 1'!$K:$K,'Таблиця 1'!$B:$B,$A248,'Таблиця 1'!$I:$I,"МіГ-29",'Таблиця 1'!$J:$J,"GBU-65")+SUMIFS('Таблиця 1'!$K:$K,'Таблиця 1'!$B:$B,$A248,'Таблиця 1'!$I:$I,"Су-25",'Таблиця 1'!$J:$J,"GBU-65")+SUMIFS('Таблиця 1'!$K:$K,'Таблиця 1'!$B:$B,$A248,'Таблиця 1'!$I:$I,"Су-27",'Таблиця 1'!$J:$J,"GBU-65"))</f>
        <v/>
      </c>
      <c r="M248">
        <f>IF($A248="","",SUMIFS('Таблиця 1'!$K:$K,'Таблиця 1'!$B:$B,$A248,'Таблиця 1'!$I:$I,"Mirage",'Таблиця 1'!$J:$J,"GBU-62")+SUMIFS('Таблиця 1'!$K:$K,'Таблиця 1'!$B:$B,$A248,'Таблиця 1'!$I:$I,"F-16",'Таблиця 1'!$J:$J,"GBU-62")+SUMIFS('Таблиця 1'!$K:$K,'Таблиця 1'!$B:$B,$A248,'Таблиця 1'!$I:$I,"МіГ-29",'Таблиця 1'!$J:$J,"GBU-62")+SUMIFS('Таблиця 1'!$K:$K,'Таблиця 1'!$B:$B,$A248,'Таблиця 1'!$I:$I,"Су-25",'Таблиця 1'!$J:$J,"GBU-62")+SUMIFS('Таблиця 1'!$K:$K,'Таблиця 1'!$B:$B,$A248,'Таблиця 1'!$I:$I,"Су-27",'Таблиця 1'!$J:$J,"GBU-62"))</f>
        <v/>
      </c>
      <c r="N248">
        <f>IF($A248="","",SUMIFS('Таблиця 1'!$K:$K,'Таблиця 1'!$B:$B,$A248,'Таблиця 1'!$I:$I,"Mirage",'Таблиця 1'!$J:$J,"GBU-64")+SUMIFS('Таблиця 1'!$K:$K,'Таблиця 1'!$B:$B,$A248,'Таблиця 1'!$I:$I,"F-16",'Таблиця 1'!$J:$J,"GBU-64")+SUMIFS('Таблиця 1'!$K:$K,'Таблиця 1'!$B:$B,$A248,'Таблиця 1'!$I:$I,"МіГ-29",'Таблиця 1'!$J:$J,"GBU-64")+SUMIFS('Таблиця 1'!$K:$K,'Таблиця 1'!$B:$B,$A248,'Таблиця 1'!$I:$I,"Су-25",'Таблиця 1'!$J:$J,"GBU-64")+SUMIFS('Таблиця 1'!$K:$K,'Таблиця 1'!$B:$B,$A248,'Таблиця 1'!$I:$I,"Су-27",'Таблиця 1'!$J:$J,"GBU-64"))</f>
        <v/>
      </c>
      <c r="O248">
        <f>IF($A248="","",SUMIFS('Таблиця 1'!$K:$K,'Таблиця 1'!$B:$B,$A248,'Таблиця 1'!$I:$I,"Mirage",'Таблиця 1'!$J:$J,"C-13")+SUMIFS('Таблиця 1'!$K:$K,'Таблиця 1'!$B:$B,$A248,'Таблиця 1'!$I:$I,"F-16",'Таблиця 1'!$J:$J,"C-13")+SUMIFS('Таблиця 1'!$K:$K,'Таблиця 1'!$B:$B,$A248,'Таблиця 1'!$I:$I,"МіГ-29",'Таблиця 1'!$J:$J,"C-13")+SUMIFS('Таблиця 1'!$K:$K,'Таблиця 1'!$B:$B,$A248,'Таблиця 1'!$I:$I,"Су-25",'Таблиця 1'!$J:$J,"C-13")+SUMIFS('Таблиця 1'!$K:$K,'Таблиця 1'!$B:$B,$A248,'Таблиця 1'!$I:$I,"Су-27",'Таблиця 1'!$J:$J,"C-13"))</f>
        <v/>
      </c>
      <c r="P248">
        <f>IF($A248="","",SUMIFS('Таблиця 1'!$K:$K,'Таблиця 1'!$B:$B,$A248,'Таблиця 1'!$I:$I,"Mirage",'Таблиця 1'!$J:$J,"MK-32")+SUMIFS('Таблиця 1'!$K:$K,'Таблиця 1'!$B:$B,$A248,'Таблиця 1'!$I:$I,"F-16",'Таблиця 1'!$J:$J,"MK-32")+SUMIFS('Таблиця 1'!$K:$K,'Таблиця 1'!$B:$B,$A248,'Таблиця 1'!$I:$I,"МіГ-29",'Таблиця 1'!$J:$J,"MK-32")+SUMIFS('Таблиця 1'!$K:$K,'Таблиця 1'!$B:$B,$A248,'Таблиця 1'!$I:$I,"Су-25",'Таблиця 1'!$J:$J,"MK-32")+SUMIFS('Таблиця 1'!$K:$K,'Таблиця 1'!$B:$B,$A248,'Таблиця 1'!$I:$I,"Су-27",'Таблиця 1'!$J:$J,"MK-32"))</f>
        <v/>
      </c>
      <c r="Q248">
        <f>IF($A248="","",SUMIFS('Таблиця 1'!$K:$K,'Таблиця 1'!$B:$B,$A248,'Таблиця 1'!$I:$I,"Mirage",'Таблиця 1'!$J:$J,"MK-24")+SUMIFS('Таблиця 1'!$K:$K,'Таблиця 1'!$B:$B,$A248,'Таблиця 1'!$I:$I,"F-16",'Таблиця 1'!$J:$J,"MK-24")+SUMIFS('Таблиця 1'!$K:$K,'Таблиця 1'!$B:$B,$A248,'Таблиця 1'!$I:$I,"МіГ-29",'Таблиця 1'!$J:$J,"MK-24")+SUMIFS('Таблиця 1'!$K:$K,'Таблиця 1'!$B:$B,$A248,'Таблиця 1'!$I:$I,"Су-25",'Таблиця 1'!$J:$J,"MK-24")+SUMIFS('Таблиця 1'!$K:$K,'Таблиця 1'!$B:$B,$A248,'Таблиця 1'!$I:$I,"Су-27",'Таблиця 1'!$J:$J,"MK-24"))</f>
        <v/>
      </c>
      <c r="R248">
        <f>IF($A248="","",COUNTIFS('Таблиця 1'!$B:$B,$A248,'Таблиця 1'!$I:$I,"Mirage",'Таблиця 1'!$L:$L,"Уражено")+COUNTIFS('Таблиця 1'!$B:$B,$A248,'Таблиця 1'!$I:$I,"F-16",'Таблиця 1'!$L:$L,"Уражено")+COUNTIFS('Таблиця 1'!$B:$B,$A248,'Таблиця 1'!$I:$I,"МіГ-29",'Таблиця 1'!$L:$L,"Уражено")+COUNTIFS('Таблиця 1'!$B:$B,$A248,'Таблиця 1'!$I:$I,"Су-25",'Таблиця 1'!$L:$L,"Уражено")+COUNTIFS('Таблиця 1'!$B:$B,$A248,'Таблиця 1'!$I:$I,"Су-27",'Таблиця 1'!$L:$L,"Уражено"))</f>
        <v/>
      </c>
      <c r="S248">
        <f>IF($A248="","",COUNTIFS('Таблиця 1'!$B:$B,$A248,'Таблиця 1'!$I:$I,"Mirage",'Таблиця 1'!$L:$L,"НЕ уражено")+COUNTIFS('Таблиця 1'!$B:$B,$A248,'Таблиця 1'!$I:$I,"F-16",'Таблиця 1'!$L:$L,"НЕ уражено")+COUNTIFS('Таблиця 1'!$B:$B,$A248,'Таблиця 1'!$I:$I,"МіГ-29",'Таблиця 1'!$L:$L,"НЕ уражено")+COUNTIFS('Таблиця 1'!$B:$B,$A248,'Таблиця 1'!$I:$I,"Су-25",'Таблиця 1'!$L:$L,"НЕ уражено")+COUNTIFS('Таблиця 1'!$B:$B,$A248,'Таблиця 1'!$I:$I,"Су-27",'Таблиця 1'!$L:$L,"НЕ уражено"))</f>
        <v/>
      </c>
      <c r="T248">
        <f>IF($A248="","",COUNTIFS('Таблиця 1'!$B:$B,$A248,'Таблиця 1'!$I:$I,"Mirage",'Таблиця 1'!$L:$L,"Дорозвідується")+COUNTIFS('Таблиця 1'!$B:$B,$A248,'Таблиця 1'!$I:$I,"F-16",'Таблиця 1'!$L:$L,"Дорозвідується")+COUNTIFS('Таблиця 1'!$B:$B,$A248,'Таблиця 1'!$I:$I,"МіГ-29",'Таблиця 1'!$L:$L,"Дорозвідується")+COUNTIFS('Таблиця 1'!$B:$B,$A248,'Таблиця 1'!$I:$I,"Су-25",'Таблиця 1'!$L:$L,"Дорозвідується")+COUNTIFS('Таблиця 1'!$B:$B,$A248,'Таблиця 1'!$I:$I,"Су-27",'Таблиця 1'!$L:$L,"Дорозвідується"))</f>
        <v/>
      </c>
    </row>
    <row r="249">
      <c r="A249" s="273">
        <f>IF(A248="","",IF(A248+1&gt;MAX('Таблиця 1'!$B:$B),"",A248+1))</f>
        <v/>
      </c>
      <c r="B249">
        <f>IF($A249="","",COUNTIFS('Таблиця 1'!$B:$B,$A249,'Таблиця 1'!$I:$I,"Mirage")+COUNTIFS('Таблиця 1'!$B:$B,$A249,'Таблиця 1'!$I:$I,"F-16")+COUNTIFS('Таблиця 1'!$B:$B,$A249,'Таблиця 1'!$I:$I,"МіГ-29")+COUNTIFS('Таблиця 1'!$B:$B,$A249,'Таблиця 1'!$I:$I,"Су-25")+COUNTIFS('Таблиця 1'!$B:$B,$A249,'Таблиця 1'!$I:$I,"Су-27"))</f>
        <v/>
      </c>
      <c r="C249">
        <f>IF($A249="","",COUNTIFS('Таблиця 1'!$B:$B,$A249,'Таблиця 1'!$I:$I,"Mirage"))</f>
        <v/>
      </c>
      <c r="D249">
        <f>IF($A249="","",COUNTIFS('Таблиця 1'!$B:$B,$A249,'Таблиця 1'!$I:$I,"F-16"))</f>
        <v/>
      </c>
      <c r="E249">
        <f>IF($A249="","",COUNTIFS('Таблиця 1'!$B:$B,$A249,'Таблиця 1'!$I:$I,"МіГ-29"))</f>
        <v/>
      </c>
      <c r="F249">
        <f>IF($A249="","",COUNTIFS('Таблиця 1'!$B:$B,$A249,'Таблиця 1'!$I:$I,"Су-25"))</f>
        <v/>
      </c>
      <c r="G249">
        <f>IF($A249="","",COUNTIFS('Таблиця 1'!$B:$B,$A249,'Таблиця 1'!$I:$I,"Су-27"))</f>
        <v/>
      </c>
      <c r="H249">
        <f>IF($A249="","",SUMIFS('Таблиця 1'!$K:$K,'Таблиця 1'!$B:$B,$A249,'Таблиця 1'!$I:$I,"Mirage",'Таблиця 1'!$J:$J,"AGM-88")+SUMIFS('Таблиця 1'!$K:$K,'Таблиця 1'!$B:$B,$A249,'Таблиця 1'!$I:$I,"F-16",'Таблиця 1'!$J:$J,"AGM-88")+SUMIFS('Таблиця 1'!$K:$K,'Таблиця 1'!$B:$B,$A249,'Таблиця 1'!$I:$I,"МіГ-29",'Таблиця 1'!$J:$J,"AGM-88")+SUMIFS('Таблиця 1'!$K:$K,'Таблиця 1'!$B:$B,$A249,'Таблиця 1'!$I:$I,"Су-25",'Таблиця 1'!$J:$J,"AGM-88")+SUMIFS('Таблиця 1'!$K:$K,'Таблиця 1'!$B:$B,$A249,'Таблиця 1'!$I:$I,"Су-27",'Таблиця 1'!$J:$J,"AGM-88"))</f>
        <v/>
      </c>
      <c r="I249">
        <f>IF($A249="","",SUMIFS('Таблиця 1'!$K:$K,'Таблиця 1'!$B:$B,$A249,'Таблиця 1'!$I:$I,"Mirage",'Таблиця 1'!$J:$J,"AASM-250")+SUMIFS('Таблиця 1'!$K:$K,'Таблиця 1'!$B:$B,$A249,'Таблиця 1'!$I:$I,"F-16",'Таблиця 1'!$J:$J,"AASM-250")+SUMIFS('Таблиця 1'!$K:$K,'Таблиця 1'!$B:$B,$A249,'Таблиця 1'!$I:$I,"МіГ-29",'Таблиця 1'!$J:$J,"AASM-250")+SUMIFS('Таблиця 1'!$K:$K,'Таблиця 1'!$B:$B,$A249,'Таблиця 1'!$I:$I,"Су-25",'Таблиця 1'!$J:$J,"AASM-250")+SUMIFS('Таблиця 1'!$K:$K,'Таблиця 1'!$B:$B,$A249,'Таблиця 1'!$I:$I,"Су-27",'Таблиця 1'!$J:$J,"AASM-250"))</f>
        <v/>
      </c>
      <c r="J249">
        <f>IF($A249="","",SUMIFS('Таблиця 1'!$K:$K,'Таблиця 1'!$B:$B,$A249,'Таблиця 1'!$I:$I,"Mirage",'Таблиця 1'!$J:$J,"GBU-39")+SUMIFS('Таблиця 1'!$K:$K,'Таблиця 1'!$B:$B,$A249,'Таблиця 1'!$I:$I,"F-16",'Таблиця 1'!$J:$J,"GBU-39")+SUMIFS('Таблиця 1'!$K:$K,'Таблиця 1'!$B:$B,$A249,'Таблиця 1'!$I:$I,"МіГ-29",'Таблиця 1'!$J:$J,"GBU-39")+SUMIFS('Таблиця 1'!$K:$K,'Таблиця 1'!$B:$B,$A249,'Таблиця 1'!$I:$I,"Су-25",'Таблиця 1'!$J:$J,"GBU-39")+SUMIFS('Таблиця 1'!$K:$K,'Таблиця 1'!$B:$B,$A249,'Таблиця 1'!$I:$I,"Су-27",'Таблиця 1'!$J:$J,"GBU-39"))</f>
        <v/>
      </c>
      <c r="K249">
        <f>IF($A249="","",SUMIFS('Таблиця 1'!$K:$K,'Таблиця 1'!$B:$B,$A249,'Таблиця 1'!$I:$I,"Mirage",'Таблиця 1'!$J:$J,"BLU-140")+SUMIFS('Таблиця 1'!$K:$K,'Таблиця 1'!$B:$B,$A249,'Таблиця 1'!$I:$I,"F-16",'Таблиця 1'!$J:$J,"BLU-140")+SUMIFS('Таблиця 1'!$K:$K,'Таблиця 1'!$B:$B,$A249,'Таблиця 1'!$I:$I,"МіГ-29",'Таблиця 1'!$J:$J,"BLU-140")+SUMIFS('Таблиця 1'!$K:$K,'Таблиця 1'!$B:$B,$A249,'Таблиця 1'!$I:$I,"Су-25",'Таблиця 1'!$J:$J,"BLU-140")+SUMIFS('Таблиця 1'!$K:$K,'Таблиця 1'!$B:$B,$A249,'Таблиця 1'!$I:$I,"Су-27",'Таблиця 1'!$J:$J,"BLU-140"))</f>
        <v/>
      </c>
      <c r="L249">
        <f>IF($A249="","",SUMIFS('Таблиця 1'!$K:$K,'Таблиця 1'!$B:$B,$A249,'Таблиця 1'!$I:$I,"Mirage",'Таблиця 1'!$J:$J,"GBU-65")+SUMIFS('Таблиця 1'!$K:$K,'Таблиця 1'!$B:$B,$A249,'Таблиця 1'!$I:$I,"F-16",'Таблиця 1'!$J:$J,"GBU-65")+SUMIFS('Таблиця 1'!$K:$K,'Таблиця 1'!$B:$B,$A249,'Таблиця 1'!$I:$I,"МіГ-29",'Таблиця 1'!$J:$J,"GBU-65")+SUMIFS('Таблиця 1'!$K:$K,'Таблиця 1'!$B:$B,$A249,'Таблиця 1'!$I:$I,"Су-25",'Таблиця 1'!$J:$J,"GBU-65")+SUMIFS('Таблиця 1'!$K:$K,'Таблиця 1'!$B:$B,$A249,'Таблиця 1'!$I:$I,"Су-27",'Таблиця 1'!$J:$J,"GBU-65"))</f>
        <v/>
      </c>
      <c r="M249">
        <f>IF($A249="","",SUMIFS('Таблиця 1'!$K:$K,'Таблиця 1'!$B:$B,$A249,'Таблиця 1'!$I:$I,"Mirage",'Таблиця 1'!$J:$J,"GBU-62")+SUMIFS('Таблиця 1'!$K:$K,'Таблиця 1'!$B:$B,$A249,'Таблиця 1'!$I:$I,"F-16",'Таблиця 1'!$J:$J,"GBU-62")+SUMIFS('Таблиця 1'!$K:$K,'Таблиця 1'!$B:$B,$A249,'Таблиця 1'!$I:$I,"МіГ-29",'Таблиця 1'!$J:$J,"GBU-62")+SUMIFS('Таблиця 1'!$K:$K,'Таблиця 1'!$B:$B,$A249,'Таблиця 1'!$I:$I,"Су-25",'Таблиця 1'!$J:$J,"GBU-62")+SUMIFS('Таблиця 1'!$K:$K,'Таблиця 1'!$B:$B,$A249,'Таблиця 1'!$I:$I,"Су-27",'Таблиця 1'!$J:$J,"GBU-62"))</f>
        <v/>
      </c>
      <c r="N249">
        <f>IF($A249="","",SUMIFS('Таблиця 1'!$K:$K,'Таблиця 1'!$B:$B,$A249,'Таблиця 1'!$I:$I,"Mirage",'Таблиця 1'!$J:$J,"GBU-64")+SUMIFS('Таблиця 1'!$K:$K,'Таблиця 1'!$B:$B,$A249,'Таблиця 1'!$I:$I,"F-16",'Таблиця 1'!$J:$J,"GBU-64")+SUMIFS('Таблиця 1'!$K:$K,'Таблиця 1'!$B:$B,$A249,'Таблиця 1'!$I:$I,"МіГ-29",'Таблиця 1'!$J:$J,"GBU-64")+SUMIFS('Таблиця 1'!$K:$K,'Таблиця 1'!$B:$B,$A249,'Таблиця 1'!$I:$I,"Су-25",'Таблиця 1'!$J:$J,"GBU-64")+SUMIFS('Таблиця 1'!$K:$K,'Таблиця 1'!$B:$B,$A249,'Таблиця 1'!$I:$I,"Су-27",'Таблиця 1'!$J:$J,"GBU-64"))</f>
        <v/>
      </c>
      <c r="O249">
        <f>IF($A249="","",SUMIFS('Таблиця 1'!$K:$K,'Таблиця 1'!$B:$B,$A249,'Таблиця 1'!$I:$I,"Mirage",'Таблиця 1'!$J:$J,"C-13")+SUMIFS('Таблиця 1'!$K:$K,'Таблиця 1'!$B:$B,$A249,'Таблиця 1'!$I:$I,"F-16",'Таблиця 1'!$J:$J,"C-13")+SUMIFS('Таблиця 1'!$K:$K,'Таблиця 1'!$B:$B,$A249,'Таблиця 1'!$I:$I,"МіГ-29",'Таблиця 1'!$J:$J,"C-13")+SUMIFS('Таблиця 1'!$K:$K,'Таблиця 1'!$B:$B,$A249,'Таблиця 1'!$I:$I,"Су-25",'Таблиця 1'!$J:$J,"C-13")+SUMIFS('Таблиця 1'!$K:$K,'Таблиця 1'!$B:$B,$A249,'Таблиця 1'!$I:$I,"Су-27",'Таблиця 1'!$J:$J,"C-13"))</f>
        <v/>
      </c>
      <c r="P249">
        <f>IF($A249="","",SUMIFS('Таблиця 1'!$K:$K,'Таблиця 1'!$B:$B,$A249,'Таблиця 1'!$I:$I,"Mirage",'Таблиця 1'!$J:$J,"MK-32")+SUMIFS('Таблиця 1'!$K:$K,'Таблиця 1'!$B:$B,$A249,'Таблиця 1'!$I:$I,"F-16",'Таблиця 1'!$J:$J,"MK-32")+SUMIFS('Таблиця 1'!$K:$K,'Таблиця 1'!$B:$B,$A249,'Таблиця 1'!$I:$I,"МіГ-29",'Таблиця 1'!$J:$J,"MK-32")+SUMIFS('Таблиця 1'!$K:$K,'Таблиця 1'!$B:$B,$A249,'Таблиця 1'!$I:$I,"Су-25",'Таблиця 1'!$J:$J,"MK-32")+SUMIFS('Таблиця 1'!$K:$K,'Таблиця 1'!$B:$B,$A249,'Таблиця 1'!$I:$I,"Су-27",'Таблиця 1'!$J:$J,"MK-32"))</f>
        <v/>
      </c>
      <c r="Q249">
        <f>IF($A249="","",SUMIFS('Таблиця 1'!$K:$K,'Таблиця 1'!$B:$B,$A249,'Таблиця 1'!$I:$I,"Mirage",'Таблиця 1'!$J:$J,"MK-24")+SUMIFS('Таблиця 1'!$K:$K,'Таблиця 1'!$B:$B,$A249,'Таблиця 1'!$I:$I,"F-16",'Таблиця 1'!$J:$J,"MK-24")+SUMIFS('Таблиця 1'!$K:$K,'Таблиця 1'!$B:$B,$A249,'Таблиця 1'!$I:$I,"МіГ-29",'Таблиця 1'!$J:$J,"MK-24")+SUMIFS('Таблиця 1'!$K:$K,'Таблиця 1'!$B:$B,$A249,'Таблиця 1'!$I:$I,"Су-25",'Таблиця 1'!$J:$J,"MK-24")+SUMIFS('Таблиця 1'!$K:$K,'Таблиця 1'!$B:$B,$A249,'Таблиця 1'!$I:$I,"Су-27",'Таблиця 1'!$J:$J,"MK-24"))</f>
        <v/>
      </c>
      <c r="R249">
        <f>IF($A249="","",COUNTIFS('Таблиця 1'!$B:$B,$A249,'Таблиця 1'!$I:$I,"Mirage",'Таблиця 1'!$L:$L,"Уражено")+COUNTIFS('Таблиця 1'!$B:$B,$A249,'Таблиця 1'!$I:$I,"F-16",'Таблиця 1'!$L:$L,"Уражено")+COUNTIFS('Таблиця 1'!$B:$B,$A249,'Таблиця 1'!$I:$I,"МіГ-29",'Таблиця 1'!$L:$L,"Уражено")+COUNTIFS('Таблиця 1'!$B:$B,$A249,'Таблиця 1'!$I:$I,"Су-25",'Таблиця 1'!$L:$L,"Уражено")+COUNTIFS('Таблиця 1'!$B:$B,$A249,'Таблиця 1'!$I:$I,"Су-27",'Таблиця 1'!$L:$L,"Уражено"))</f>
        <v/>
      </c>
      <c r="S249">
        <f>IF($A249="","",COUNTIFS('Таблиця 1'!$B:$B,$A249,'Таблиця 1'!$I:$I,"Mirage",'Таблиця 1'!$L:$L,"НЕ уражено")+COUNTIFS('Таблиця 1'!$B:$B,$A249,'Таблиця 1'!$I:$I,"F-16",'Таблиця 1'!$L:$L,"НЕ уражено")+COUNTIFS('Таблиця 1'!$B:$B,$A249,'Таблиця 1'!$I:$I,"МіГ-29",'Таблиця 1'!$L:$L,"НЕ уражено")+COUNTIFS('Таблиця 1'!$B:$B,$A249,'Таблиця 1'!$I:$I,"Су-25",'Таблиця 1'!$L:$L,"НЕ уражено")+COUNTIFS('Таблиця 1'!$B:$B,$A249,'Таблиця 1'!$I:$I,"Су-27",'Таблиця 1'!$L:$L,"НЕ уражено"))</f>
        <v/>
      </c>
      <c r="T249">
        <f>IF($A249="","",COUNTIFS('Таблиця 1'!$B:$B,$A249,'Таблиця 1'!$I:$I,"Mirage",'Таблиця 1'!$L:$L,"Дорозвідується")+COUNTIFS('Таблиця 1'!$B:$B,$A249,'Таблиця 1'!$I:$I,"F-16",'Таблиця 1'!$L:$L,"Дорозвідується")+COUNTIFS('Таблиця 1'!$B:$B,$A249,'Таблиця 1'!$I:$I,"МіГ-29",'Таблиця 1'!$L:$L,"Дорозвідується")+COUNTIFS('Таблиця 1'!$B:$B,$A249,'Таблиця 1'!$I:$I,"Су-25",'Таблиця 1'!$L:$L,"Дорозвідується")+COUNTIFS('Таблиця 1'!$B:$B,$A249,'Таблиця 1'!$I:$I,"Су-27",'Таблиця 1'!$L:$L,"Дорозвідується"))</f>
        <v/>
      </c>
    </row>
    <row r="250">
      <c r="A250" s="273">
        <f>IF(A249="","",IF(A249+1&gt;MAX('Таблиця 1'!$B:$B),"",A249+1))</f>
        <v/>
      </c>
      <c r="B250">
        <f>IF($A250="","",COUNTIFS('Таблиця 1'!$B:$B,$A250,'Таблиця 1'!$I:$I,"Mirage")+COUNTIFS('Таблиця 1'!$B:$B,$A250,'Таблиця 1'!$I:$I,"F-16")+COUNTIFS('Таблиця 1'!$B:$B,$A250,'Таблиця 1'!$I:$I,"МіГ-29")+COUNTIFS('Таблиця 1'!$B:$B,$A250,'Таблиця 1'!$I:$I,"Су-25")+COUNTIFS('Таблиця 1'!$B:$B,$A250,'Таблиця 1'!$I:$I,"Су-27"))</f>
        <v/>
      </c>
      <c r="C250">
        <f>IF($A250="","",COUNTIFS('Таблиця 1'!$B:$B,$A250,'Таблиця 1'!$I:$I,"Mirage"))</f>
        <v/>
      </c>
      <c r="D250">
        <f>IF($A250="","",COUNTIFS('Таблиця 1'!$B:$B,$A250,'Таблиця 1'!$I:$I,"F-16"))</f>
        <v/>
      </c>
      <c r="E250">
        <f>IF($A250="","",COUNTIFS('Таблиця 1'!$B:$B,$A250,'Таблиця 1'!$I:$I,"МіГ-29"))</f>
        <v/>
      </c>
      <c r="F250">
        <f>IF($A250="","",COUNTIFS('Таблиця 1'!$B:$B,$A250,'Таблиця 1'!$I:$I,"Су-25"))</f>
        <v/>
      </c>
      <c r="G250">
        <f>IF($A250="","",COUNTIFS('Таблиця 1'!$B:$B,$A250,'Таблиця 1'!$I:$I,"Су-27"))</f>
        <v/>
      </c>
      <c r="H250">
        <f>IF($A250="","",SUMIFS('Таблиця 1'!$K:$K,'Таблиця 1'!$B:$B,$A250,'Таблиця 1'!$I:$I,"Mirage",'Таблиця 1'!$J:$J,"AGM-88")+SUMIFS('Таблиця 1'!$K:$K,'Таблиця 1'!$B:$B,$A250,'Таблиця 1'!$I:$I,"F-16",'Таблиця 1'!$J:$J,"AGM-88")+SUMIFS('Таблиця 1'!$K:$K,'Таблиця 1'!$B:$B,$A250,'Таблиця 1'!$I:$I,"МіГ-29",'Таблиця 1'!$J:$J,"AGM-88")+SUMIFS('Таблиця 1'!$K:$K,'Таблиця 1'!$B:$B,$A250,'Таблиця 1'!$I:$I,"Су-25",'Таблиця 1'!$J:$J,"AGM-88")+SUMIFS('Таблиця 1'!$K:$K,'Таблиця 1'!$B:$B,$A250,'Таблиця 1'!$I:$I,"Су-27",'Таблиця 1'!$J:$J,"AGM-88"))</f>
        <v/>
      </c>
      <c r="I250">
        <f>IF($A250="","",SUMIFS('Таблиця 1'!$K:$K,'Таблиця 1'!$B:$B,$A250,'Таблиця 1'!$I:$I,"Mirage",'Таблиця 1'!$J:$J,"AASM-250")+SUMIFS('Таблиця 1'!$K:$K,'Таблиця 1'!$B:$B,$A250,'Таблиця 1'!$I:$I,"F-16",'Таблиця 1'!$J:$J,"AASM-250")+SUMIFS('Таблиця 1'!$K:$K,'Таблиця 1'!$B:$B,$A250,'Таблиця 1'!$I:$I,"МіГ-29",'Таблиця 1'!$J:$J,"AASM-250")+SUMIFS('Таблиця 1'!$K:$K,'Таблиця 1'!$B:$B,$A250,'Таблиця 1'!$I:$I,"Су-25",'Таблиця 1'!$J:$J,"AASM-250")+SUMIFS('Таблиця 1'!$K:$K,'Таблиця 1'!$B:$B,$A250,'Таблиця 1'!$I:$I,"Су-27",'Таблиця 1'!$J:$J,"AASM-250"))</f>
        <v/>
      </c>
      <c r="J250">
        <f>IF($A250="","",SUMIFS('Таблиця 1'!$K:$K,'Таблиця 1'!$B:$B,$A250,'Таблиця 1'!$I:$I,"Mirage",'Таблиця 1'!$J:$J,"GBU-39")+SUMIFS('Таблиця 1'!$K:$K,'Таблиця 1'!$B:$B,$A250,'Таблиця 1'!$I:$I,"F-16",'Таблиця 1'!$J:$J,"GBU-39")+SUMIFS('Таблиця 1'!$K:$K,'Таблиця 1'!$B:$B,$A250,'Таблиця 1'!$I:$I,"МіГ-29",'Таблиця 1'!$J:$J,"GBU-39")+SUMIFS('Таблиця 1'!$K:$K,'Таблиця 1'!$B:$B,$A250,'Таблиця 1'!$I:$I,"Су-25",'Таблиця 1'!$J:$J,"GBU-39")+SUMIFS('Таблиця 1'!$K:$K,'Таблиця 1'!$B:$B,$A250,'Таблиця 1'!$I:$I,"Су-27",'Таблиця 1'!$J:$J,"GBU-39"))</f>
        <v/>
      </c>
      <c r="K250">
        <f>IF($A250="","",SUMIFS('Таблиця 1'!$K:$K,'Таблиця 1'!$B:$B,$A250,'Таблиця 1'!$I:$I,"Mirage",'Таблиця 1'!$J:$J,"BLU-140")+SUMIFS('Таблиця 1'!$K:$K,'Таблиця 1'!$B:$B,$A250,'Таблиця 1'!$I:$I,"F-16",'Таблиця 1'!$J:$J,"BLU-140")+SUMIFS('Таблиця 1'!$K:$K,'Таблиця 1'!$B:$B,$A250,'Таблиця 1'!$I:$I,"МіГ-29",'Таблиця 1'!$J:$J,"BLU-140")+SUMIFS('Таблиця 1'!$K:$K,'Таблиця 1'!$B:$B,$A250,'Таблиця 1'!$I:$I,"Су-25",'Таблиця 1'!$J:$J,"BLU-140")+SUMIFS('Таблиця 1'!$K:$K,'Таблиця 1'!$B:$B,$A250,'Таблиця 1'!$I:$I,"Су-27",'Таблиця 1'!$J:$J,"BLU-140"))</f>
        <v/>
      </c>
      <c r="L250">
        <f>IF($A250="","",SUMIFS('Таблиця 1'!$K:$K,'Таблиця 1'!$B:$B,$A250,'Таблиця 1'!$I:$I,"Mirage",'Таблиця 1'!$J:$J,"GBU-65")+SUMIFS('Таблиця 1'!$K:$K,'Таблиця 1'!$B:$B,$A250,'Таблиця 1'!$I:$I,"F-16",'Таблиця 1'!$J:$J,"GBU-65")+SUMIFS('Таблиця 1'!$K:$K,'Таблиця 1'!$B:$B,$A250,'Таблиця 1'!$I:$I,"МіГ-29",'Таблиця 1'!$J:$J,"GBU-65")+SUMIFS('Таблиця 1'!$K:$K,'Таблиця 1'!$B:$B,$A250,'Таблиця 1'!$I:$I,"Су-25",'Таблиця 1'!$J:$J,"GBU-65")+SUMIFS('Таблиця 1'!$K:$K,'Таблиця 1'!$B:$B,$A250,'Таблиця 1'!$I:$I,"Су-27",'Таблиця 1'!$J:$J,"GBU-65"))</f>
        <v/>
      </c>
      <c r="M250">
        <f>IF($A250="","",SUMIFS('Таблиця 1'!$K:$K,'Таблиця 1'!$B:$B,$A250,'Таблиця 1'!$I:$I,"Mirage",'Таблиця 1'!$J:$J,"GBU-62")+SUMIFS('Таблиця 1'!$K:$K,'Таблиця 1'!$B:$B,$A250,'Таблиця 1'!$I:$I,"F-16",'Таблиця 1'!$J:$J,"GBU-62")+SUMIFS('Таблиця 1'!$K:$K,'Таблиця 1'!$B:$B,$A250,'Таблиця 1'!$I:$I,"МіГ-29",'Таблиця 1'!$J:$J,"GBU-62")+SUMIFS('Таблиця 1'!$K:$K,'Таблиця 1'!$B:$B,$A250,'Таблиця 1'!$I:$I,"Су-25",'Таблиця 1'!$J:$J,"GBU-62")+SUMIFS('Таблиця 1'!$K:$K,'Таблиця 1'!$B:$B,$A250,'Таблиця 1'!$I:$I,"Су-27",'Таблиця 1'!$J:$J,"GBU-62"))</f>
        <v/>
      </c>
      <c r="N250">
        <f>IF($A250="","",SUMIFS('Таблиця 1'!$K:$K,'Таблиця 1'!$B:$B,$A250,'Таблиця 1'!$I:$I,"Mirage",'Таблиця 1'!$J:$J,"GBU-64")+SUMIFS('Таблиця 1'!$K:$K,'Таблиця 1'!$B:$B,$A250,'Таблиця 1'!$I:$I,"F-16",'Таблиця 1'!$J:$J,"GBU-64")+SUMIFS('Таблиця 1'!$K:$K,'Таблиця 1'!$B:$B,$A250,'Таблиця 1'!$I:$I,"МіГ-29",'Таблиця 1'!$J:$J,"GBU-64")+SUMIFS('Таблиця 1'!$K:$K,'Таблиця 1'!$B:$B,$A250,'Таблиця 1'!$I:$I,"Су-25",'Таблиця 1'!$J:$J,"GBU-64")+SUMIFS('Таблиця 1'!$K:$K,'Таблиця 1'!$B:$B,$A250,'Таблиця 1'!$I:$I,"Су-27",'Таблиця 1'!$J:$J,"GBU-64"))</f>
        <v/>
      </c>
      <c r="O250">
        <f>IF($A250="","",SUMIFS('Таблиця 1'!$K:$K,'Таблиця 1'!$B:$B,$A250,'Таблиця 1'!$I:$I,"Mirage",'Таблиця 1'!$J:$J,"C-13")+SUMIFS('Таблиця 1'!$K:$K,'Таблиця 1'!$B:$B,$A250,'Таблиця 1'!$I:$I,"F-16",'Таблиця 1'!$J:$J,"C-13")+SUMIFS('Таблиця 1'!$K:$K,'Таблиця 1'!$B:$B,$A250,'Таблиця 1'!$I:$I,"МіГ-29",'Таблиця 1'!$J:$J,"C-13")+SUMIFS('Таблиця 1'!$K:$K,'Таблиця 1'!$B:$B,$A250,'Таблиця 1'!$I:$I,"Су-25",'Таблиця 1'!$J:$J,"C-13")+SUMIFS('Таблиця 1'!$K:$K,'Таблиця 1'!$B:$B,$A250,'Таблиця 1'!$I:$I,"Су-27",'Таблиця 1'!$J:$J,"C-13"))</f>
        <v/>
      </c>
      <c r="P250">
        <f>IF($A250="","",SUMIFS('Таблиця 1'!$K:$K,'Таблиця 1'!$B:$B,$A250,'Таблиця 1'!$I:$I,"Mirage",'Таблиця 1'!$J:$J,"MK-32")+SUMIFS('Таблиця 1'!$K:$K,'Таблиця 1'!$B:$B,$A250,'Таблиця 1'!$I:$I,"F-16",'Таблиця 1'!$J:$J,"MK-32")+SUMIFS('Таблиця 1'!$K:$K,'Таблиця 1'!$B:$B,$A250,'Таблиця 1'!$I:$I,"МіГ-29",'Таблиця 1'!$J:$J,"MK-32")+SUMIFS('Таблиця 1'!$K:$K,'Таблиця 1'!$B:$B,$A250,'Таблиця 1'!$I:$I,"Су-25",'Таблиця 1'!$J:$J,"MK-32")+SUMIFS('Таблиця 1'!$K:$K,'Таблиця 1'!$B:$B,$A250,'Таблиця 1'!$I:$I,"Су-27",'Таблиця 1'!$J:$J,"MK-32"))</f>
        <v/>
      </c>
      <c r="Q250">
        <f>IF($A250="","",SUMIFS('Таблиця 1'!$K:$K,'Таблиця 1'!$B:$B,$A250,'Таблиця 1'!$I:$I,"Mirage",'Таблиця 1'!$J:$J,"MK-24")+SUMIFS('Таблиця 1'!$K:$K,'Таблиця 1'!$B:$B,$A250,'Таблиця 1'!$I:$I,"F-16",'Таблиця 1'!$J:$J,"MK-24")+SUMIFS('Таблиця 1'!$K:$K,'Таблиця 1'!$B:$B,$A250,'Таблиця 1'!$I:$I,"МіГ-29",'Таблиця 1'!$J:$J,"MK-24")+SUMIFS('Таблиця 1'!$K:$K,'Таблиця 1'!$B:$B,$A250,'Таблиця 1'!$I:$I,"Су-25",'Таблиця 1'!$J:$J,"MK-24")+SUMIFS('Таблиця 1'!$K:$K,'Таблиця 1'!$B:$B,$A250,'Таблиця 1'!$I:$I,"Су-27",'Таблиця 1'!$J:$J,"MK-24"))</f>
        <v/>
      </c>
      <c r="R250">
        <f>IF($A250="","",COUNTIFS('Таблиця 1'!$B:$B,$A250,'Таблиця 1'!$I:$I,"Mirage",'Таблиця 1'!$L:$L,"Уражено")+COUNTIFS('Таблиця 1'!$B:$B,$A250,'Таблиця 1'!$I:$I,"F-16",'Таблиця 1'!$L:$L,"Уражено")+COUNTIFS('Таблиця 1'!$B:$B,$A250,'Таблиця 1'!$I:$I,"МіГ-29",'Таблиця 1'!$L:$L,"Уражено")+COUNTIFS('Таблиця 1'!$B:$B,$A250,'Таблиця 1'!$I:$I,"Су-25",'Таблиця 1'!$L:$L,"Уражено")+COUNTIFS('Таблиця 1'!$B:$B,$A250,'Таблиця 1'!$I:$I,"Су-27",'Таблиця 1'!$L:$L,"Уражено"))</f>
        <v/>
      </c>
      <c r="S250">
        <f>IF($A250="","",COUNTIFS('Таблиця 1'!$B:$B,$A250,'Таблиця 1'!$I:$I,"Mirage",'Таблиця 1'!$L:$L,"НЕ уражено")+COUNTIFS('Таблиця 1'!$B:$B,$A250,'Таблиця 1'!$I:$I,"F-16",'Таблиця 1'!$L:$L,"НЕ уражено")+COUNTIFS('Таблиця 1'!$B:$B,$A250,'Таблиця 1'!$I:$I,"МіГ-29",'Таблиця 1'!$L:$L,"НЕ уражено")+COUNTIFS('Таблиця 1'!$B:$B,$A250,'Таблиця 1'!$I:$I,"Су-25",'Таблиця 1'!$L:$L,"НЕ уражено")+COUNTIFS('Таблиця 1'!$B:$B,$A250,'Таблиця 1'!$I:$I,"Су-27",'Таблиця 1'!$L:$L,"НЕ уражено"))</f>
        <v/>
      </c>
      <c r="T250">
        <f>IF($A250="","",COUNTIFS('Таблиця 1'!$B:$B,$A250,'Таблиця 1'!$I:$I,"Mirage",'Таблиця 1'!$L:$L,"Дорозвідується")+COUNTIFS('Таблиця 1'!$B:$B,$A250,'Таблиця 1'!$I:$I,"F-16",'Таблиця 1'!$L:$L,"Дорозвідується")+COUNTIFS('Таблиця 1'!$B:$B,$A250,'Таблиця 1'!$I:$I,"МіГ-29",'Таблиця 1'!$L:$L,"Дорозвідується")+COUNTIFS('Таблиця 1'!$B:$B,$A250,'Таблиця 1'!$I:$I,"Су-25",'Таблиця 1'!$L:$L,"Дорозвідується")+COUNTIFS('Таблиця 1'!$B:$B,$A250,'Таблиця 1'!$I:$I,"Су-27",'Таблиця 1'!$L:$L,"Дорозвідується"))</f>
        <v/>
      </c>
    </row>
    <row r="251">
      <c r="A251" s="273">
        <f>IF(A250="","",IF(A250+1&gt;MAX('Таблиця 1'!$B:$B),"",A250+1))</f>
        <v/>
      </c>
      <c r="B251">
        <f>IF($A251="","",COUNTIFS('Таблиця 1'!$B:$B,$A251,'Таблиця 1'!$I:$I,"Mirage")+COUNTIFS('Таблиця 1'!$B:$B,$A251,'Таблиця 1'!$I:$I,"F-16")+COUNTIFS('Таблиця 1'!$B:$B,$A251,'Таблиця 1'!$I:$I,"МіГ-29")+COUNTIFS('Таблиця 1'!$B:$B,$A251,'Таблиця 1'!$I:$I,"Су-25")+COUNTIFS('Таблиця 1'!$B:$B,$A251,'Таблиця 1'!$I:$I,"Су-27"))</f>
        <v/>
      </c>
      <c r="C251">
        <f>IF($A251="","",COUNTIFS('Таблиця 1'!$B:$B,$A251,'Таблиця 1'!$I:$I,"Mirage"))</f>
        <v/>
      </c>
      <c r="D251">
        <f>IF($A251="","",COUNTIFS('Таблиця 1'!$B:$B,$A251,'Таблиця 1'!$I:$I,"F-16"))</f>
        <v/>
      </c>
      <c r="E251">
        <f>IF($A251="","",COUNTIFS('Таблиця 1'!$B:$B,$A251,'Таблиця 1'!$I:$I,"МіГ-29"))</f>
        <v/>
      </c>
      <c r="F251">
        <f>IF($A251="","",COUNTIFS('Таблиця 1'!$B:$B,$A251,'Таблиця 1'!$I:$I,"Су-25"))</f>
        <v/>
      </c>
      <c r="G251">
        <f>IF($A251="","",COUNTIFS('Таблиця 1'!$B:$B,$A251,'Таблиця 1'!$I:$I,"Су-27"))</f>
        <v/>
      </c>
      <c r="H251">
        <f>IF($A251="","",SUMIFS('Таблиця 1'!$K:$K,'Таблиця 1'!$B:$B,$A251,'Таблиця 1'!$I:$I,"Mirage",'Таблиця 1'!$J:$J,"AGM-88")+SUMIFS('Таблиця 1'!$K:$K,'Таблиця 1'!$B:$B,$A251,'Таблиця 1'!$I:$I,"F-16",'Таблиця 1'!$J:$J,"AGM-88")+SUMIFS('Таблиця 1'!$K:$K,'Таблиця 1'!$B:$B,$A251,'Таблиця 1'!$I:$I,"МіГ-29",'Таблиця 1'!$J:$J,"AGM-88")+SUMIFS('Таблиця 1'!$K:$K,'Таблиця 1'!$B:$B,$A251,'Таблиця 1'!$I:$I,"Су-25",'Таблиця 1'!$J:$J,"AGM-88")+SUMIFS('Таблиця 1'!$K:$K,'Таблиця 1'!$B:$B,$A251,'Таблиця 1'!$I:$I,"Су-27",'Таблиця 1'!$J:$J,"AGM-88"))</f>
        <v/>
      </c>
      <c r="I251">
        <f>IF($A251="","",SUMIFS('Таблиця 1'!$K:$K,'Таблиця 1'!$B:$B,$A251,'Таблиця 1'!$I:$I,"Mirage",'Таблиця 1'!$J:$J,"AASM-250")+SUMIFS('Таблиця 1'!$K:$K,'Таблиця 1'!$B:$B,$A251,'Таблиця 1'!$I:$I,"F-16",'Таблиця 1'!$J:$J,"AASM-250")+SUMIFS('Таблиця 1'!$K:$K,'Таблиця 1'!$B:$B,$A251,'Таблиця 1'!$I:$I,"МіГ-29",'Таблиця 1'!$J:$J,"AASM-250")+SUMIFS('Таблиця 1'!$K:$K,'Таблиця 1'!$B:$B,$A251,'Таблиця 1'!$I:$I,"Су-25",'Таблиця 1'!$J:$J,"AASM-250")+SUMIFS('Таблиця 1'!$K:$K,'Таблиця 1'!$B:$B,$A251,'Таблиця 1'!$I:$I,"Су-27",'Таблиця 1'!$J:$J,"AASM-250"))</f>
        <v/>
      </c>
      <c r="J251">
        <f>IF($A251="","",SUMIFS('Таблиця 1'!$K:$K,'Таблиця 1'!$B:$B,$A251,'Таблиця 1'!$I:$I,"Mirage",'Таблиця 1'!$J:$J,"GBU-39")+SUMIFS('Таблиця 1'!$K:$K,'Таблиця 1'!$B:$B,$A251,'Таблиця 1'!$I:$I,"F-16",'Таблиця 1'!$J:$J,"GBU-39")+SUMIFS('Таблиця 1'!$K:$K,'Таблиця 1'!$B:$B,$A251,'Таблиця 1'!$I:$I,"МіГ-29",'Таблиця 1'!$J:$J,"GBU-39")+SUMIFS('Таблиця 1'!$K:$K,'Таблиця 1'!$B:$B,$A251,'Таблиця 1'!$I:$I,"Су-25",'Таблиця 1'!$J:$J,"GBU-39")+SUMIFS('Таблиця 1'!$K:$K,'Таблиця 1'!$B:$B,$A251,'Таблиця 1'!$I:$I,"Су-27",'Таблиця 1'!$J:$J,"GBU-39"))</f>
        <v/>
      </c>
      <c r="K251">
        <f>IF($A251="","",SUMIFS('Таблиця 1'!$K:$K,'Таблиця 1'!$B:$B,$A251,'Таблиця 1'!$I:$I,"Mirage",'Таблиця 1'!$J:$J,"BLU-140")+SUMIFS('Таблиця 1'!$K:$K,'Таблиця 1'!$B:$B,$A251,'Таблиця 1'!$I:$I,"F-16",'Таблиця 1'!$J:$J,"BLU-140")+SUMIFS('Таблиця 1'!$K:$K,'Таблиця 1'!$B:$B,$A251,'Таблиця 1'!$I:$I,"МіГ-29",'Таблиця 1'!$J:$J,"BLU-140")+SUMIFS('Таблиця 1'!$K:$K,'Таблиця 1'!$B:$B,$A251,'Таблиця 1'!$I:$I,"Су-25",'Таблиця 1'!$J:$J,"BLU-140")+SUMIFS('Таблиця 1'!$K:$K,'Таблиця 1'!$B:$B,$A251,'Таблиця 1'!$I:$I,"Су-27",'Таблиця 1'!$J:$J,"BLU-140"))</f>
        <v/>
      </c>
      <c r="L251">
        <f>IF($A251="","",SUMIFS('Таблиця 1'!$K:$K,'Таблиця 1'!$B:$B,$A251,'Таблиця 1'!$I:$I,"Mirage",'Таблиця 1'!$J:$J,"GBU-65")+SUMIFS('Таблиця 1'!$K:$K,'Таблиця 1'!$B:$B,$A251,'Таблиця 1'!$I:$I,"F-16",'Таблиця 1'!$J:$J,"GBU-65")+SUMIFS('Таблиця 1'!$K:$K,'Таблиця 1'!$B:$B,$A251,'Таблиця 1'!$I:$I,"МіГ-29",'Таблиця 1'!$J:$J,"GBU-65")+SUMIFS('Таблиця 1'!$K:$K,'Таблиця 1'!$B:$B,$A251,'Таблиця 1'!$I:$I,"Су-25",'Таблиця 1'!$J:$J,"GBU-65")+SUMIFS('Таблиця 1'!$K:$K,'Таблиця 1'!$B:$B,$A251,'Таблиця 1'!$I:$I,"Су-27",'Таблиця 1'!$J:$J,"GBU-65"))</f>
        <v/>
      </c>
      <c r="M251">
        <f>IF($A251="","",SUMIFS('Таблиця 1'!$K:$K,'Таблиця 1'!$B:$B,$A251,'Таблиця 1'!$I:$I,"Mirage",'Таблиця 1'!$J:$J,"GBU-62")+SUMIFS('Таблиця 1'!$K:$K,'Таблиця 1'!$B:$B,$A251,'Таблиця 1'!$I:$I,"F-16",'Таблиця 1'!$J:$J,"GBU-62")+SUMIFS('Таблиця 1'!$K:$K,'Таблиця 1'!$B:$B,$A251,'Таблиця 1'!$I:$I,"МіГ-29",'Таблиця 1'!$J:$J,"GBU-62")+SUMIFS('Таблиця 1'!$K:$K,'Таблиця 1'!$B:$B,$A251,'Таблиця 1'!$I:$I,"Су-25",'Таблиця 1'!$J:$J,"GBU-62")+SUMIFS('Таблиця 1'!$K:$K,'Таблиця 1'!$B:$B,$A251,'Таблиця 1'!$I:$I,"Су-27",'Таблиця 1'!$J:$J,"GBU-62"))</f>
        <v/>
      </c>
      <c r="N251">
        <f>IF($A251="","",SUMIFS('Таблиця 1'!$K:$K,'Таблиця 1'!$B:$B,$A251,'Таблиця 1'!$I:$I,"Mirage",'Таблиця 1'!$J:$J,"GBU-64")+SUMIFS('Таблиця 1'!$K:$K,'Таблиця 1'!$B:$B,$A251,'Таблиця 1'!$I:$I,"F-16",'Таблиця 1'!$J:$J,"GBU-64")+SUMIFS('Таблиця 1'!$K:$K,'Таблиця 1'!$B:$B,$A251,'Таблиця 1'!$I:$I,"МіГ-29",'Таблиця 1'!$J:$J,"GBU-64")+SUMIFS('Таблиця 1'!$K:$K,'Таблиця 1'!$B:$B,$A251,'Таблиця 1'!$I:$I,"Су-25",'Таблиця 1'!$J:$J,"GBU-64")+SUMIFS('Таблиця 1'!$K:$K,'Таблиця 1'!$B:$B,$A251,'Таблиця 1'!$I:$I,"Су-27",'Таблиця 1'!$J:$J,"GBU-64"))</f>
        <v/>
      </c>
      <c r="O251">
        <f>IF($A251="","",SUMIFS('Таблиця 1'!$K:$K,'Таблиця 1'!$B:$B,$A251,'Таблиця 1'!$I:$I,"Mirage",'Таблиця 1'!$J:$J,"C-13")+SUMIFS('Таблиця 1'!$K:$K,'Таблиця 1'!$B:$B,$A251,'Таблиця 1'!$I:$I,"F-16",'Таблиця 1'!$J:$J,"C-13")+SUMIFS('Таблиця 1'!$K:$K,'Таблиця 1'!$B:$B,$A251,'Таблиця 1'!$I:$I,"МіГ-29",'Таблиця 1'!$J:$J,"C-13")+SUMIFS('Таблиця 1'!$K:$K,'Таблиця 1'!$B:$B,$A251,'Таблиця 1'!$I:$I,"Су-25",'Таблиця 1'!$J:$J,"C-13")+SUMIFS('Таблиця 1'!$K:$K,'Таблиця 1'!$B:$B,$A251,'Таблиця 1'!$I:$I,"Су-27",'Таблиця 1'!$J:$J,"C-13"))</f>
        <v/>
      </c>
      <c r="P251">
        <f>IF($A251="","",SUMIFS('Таблиця 1'!$K:$K,'Таблиця 1'!$B:$B,$A251,'Таблиця 1'!$I:$I,"Mirage",'Таблиця 1'!$J:$J,"MK-32")+SUMIFS('Таблиця 1'!$K:$K,'Таблиця 1'!$B:$B,$A251,'Таблиця 1'!$I:$I,"F-16",'Таблиця 1'!$J:$J,"MK-32")+SUMIFS('Таблиця 1'!$K:$K,'Таблиця 1'!$B:$B,$A251,'Таблиця 1'!$I:$I,"МіГ-29",'Таблиця 1'!$J:$J,"MK-32")+SUMIFS('Таблиця 1'!$K:$K,'Таблиця 1'!$B:$B,$A251,'Таблиця 1'!$I:$I,"Су-25",'Таблиця 1'!$J:$J,"MK-32")+SUMIFS('Таблиця 1'!$K:$K,'Таблиця 1'!$B:$B,$A251,'Таблиця 1'!$I:$I,"Су-27",'Таблиця 1'!$J:$J,"MK-32"))</f>
        <v/>
      </c>
      <c r="Q251">
        <f>IF($A251="","",SUMIFS('Таблиця 1'!$K:$K,'Таблиця 1'!$B:$B,$A251,'Таблиця 1'!$I:$I,"Mirage",'Таблиця 1'!$J:$J,"MK-24")+SUMIFS('Таблиця 1'!$K:$K,'Таблиця 1'!$B:$B,$A251,'Таблиця 1'!$I:$I,"F-16",'Таблиця 1'!$J:$J,"MK-24")+SUMIFS('Таблиця 1'!$K:$K,'Таблиця 1'!$B:$B,$A251,'Таблиця 1'!$I:$I,"МіГ-29",'Таблиця 1'!$J:$J,"MK-24")+SUMIFS('Таблиця 1'!$K:$K,'Таблиця 1'!$B:$B,$A251,'Таблиця 1'!$I:$I,"Су-25",'Таблиця 1'!$J:$J,"MK-24")+SUMIFS('Таблиця 1'!$K:$K,'Таблиця 1'!$B:$B,$A251,'Таблиця 1'!$I:$I,"Су-27",'Таблиця 1'!$J:$J,"MK-24"))</f>
        <v/>
      </c>
      <c r="R251">
        <f>IF($A251="","",COUNTIFS('Таблиця 1'!$B:$B,$A251,'Таблиця 1'!$I:$I,"Mirage",'Таблиця 1'!$L:$L,"Уражено")+COUNTIFS('Таблиця 1'!$B:$B,$A251,'Таблиця 1'!$I:$I,"F-16",'Таблиця 1'!$L:$L,"Уражено")+COUNTIFS('Таблиця 1'!$B:$B,$A251,'Таблиця 1'!$I:$I,"МіГ-29",'Таблиця 1'!$L:$L,"Уражено")+COUNTIFS('Таблиця 1'!$B:$B,$A251,'Таблиця 1'!$I:$I,"Су-25",'Таблиця 1'!$L:$L,"Уражено")+COUNTIFS('Таблиця 1'!$B:$B,$A251,'Таблиця 1'!$I:$I,"Су-27",'Таблиця 1'!$L:$L,"Уражено"))</f>
        <v/>
      </c>
      <c r="S251">
        <f>IF($A251="","",COUNTIFS('Таблиця 1'!$B:$B,$A251,'Таблиця 1'!$I:$I,"Mirage",'Таблиця 1'!$L:$L,"НЕ уражено")+COUNTIFS('Таблиця 1'!$B:$B,$A251,'Таблиця 1'!$I:$I,"F-16",'Таблиця 1'!$L:$L,"НЕ уражено")+COUNTIFS('Таблиця 1'!$B:$B,$A251,'Таблиця 1'!$I:$I,"МіГ-29",'Таблиця 1'!$L:$L,"НЕ уражено")+COUNTIFS('Таблиця 1'!$B:$B,$A251,'Таблиця 1'!$I:$I,"Су-25",'Таблиця 1'!$L:$L,"НЕ уражено")+COUNTIFS('Таблиця 1'!$B:$B,$A251,'Таблиця 1'!$I:$I,"Су-27",'Таблиця 1'!$L:$L,"НЕ уражено"))</f>
        <v/>
      </c>
      <c r="T251">
        <f>IF($A251="","",COUNTIFS('Таблиця 1'!$B:$B,$A251,'Таблиця 1'!$I:$I,"Mirage",'Таблиця 1'!$L:$L,"Дорозвідується")+COUNTIFS('Таблиця 1'!$B:$B,$A251,'Таблиця 1'!$I:$I,"F-16",'Таблиця 1'!$L:$L,"Дорозвідується")+COUNTIFS('Таблиця 1'!$B:$B,$A251,'Таблиця 1'!$I:$I,"МіГ-29",'Таблиця 1'!$L:$L,"Дорозвідується")+COUNTIFS('Таблиця 1'!$B:$B,$A251,'Таблиця 1'!$I:$I,"Су-25",'Таблиця 1'!$L:$L,"Дорозвідується")+COUNTIFS('Таблиця 1'!$B:$B,$A251,'Таблиця 1'!$I:$I,"Су-27",'Таблиця 1'!$L:$L,"Дорозвідується"))</f>
        <v/>
      </c>
    </row>
    <row r="252">
      <c r="A252" s="273">
        <f>IF(A251="","",IF(A251+1&gt;MAX('Таблиця 1'!$B:$B),"",A251+1))</f>
        <v/>
      </c>
      <c r="B252">
        <f>IF($A252="","",COUNTIFS('Таблиця 1'!$B:$B,$A252,'Таблиця 1'!$I:$I,"Mirage")+COUNTIFS('Таблиця 1'!$B:$B,$A252,'Таблиця 1'!$I:$I,"F-16")+COUNTIFS('Таблиця 1'!$B:$B,$A252,'Таблиця 1'!$I:$I,"МіГ-29")+COUNTIFS('Таблиця 1'!$B:$B,$A252,'Таблиця 1'!$I:$I,"Су-25")+COUNTIFS('Таблиця 1'!$B:$B,$A252,'Таблиця 1'!$I:$I,"Су-27"))</f>
        <v/>
      </c>
      <c r="C252">
        <f>IF($A252="","",COUNTIFS('Таблиця 1'!$B:$B,$A252,'Таблиця 1'!$I:$I,"Mirage"))</f>
        <v/>
      </c>
      <c r="D252">
        <f>IF($A252="","",COUNTIFS('Таблиця 1'!$B:$B,$A252,'Таблиця 1'!$I:$I,"F-16"))</f>
        <v/>
      </c>
      <c r="E252">
        <f>IF($A252="","",COUNTIFS('Таблиця 1'!$B:$B,$A252,'Таблиця 1'!$I:$I,"МіГ-29"))</f>
        <v/>
      </c>
      <c r="F252">
        <f>IF($A252="","",COUNTIFS('Таблиця 1'!$B:$B,$A252,'Таблиця 1'!$I:$I,"Су-25"))</f>
        <v/>
      </c>
      <c r="G252">
        <f>IF($A252="","",COUNTIFS('Таблиця 1'!$B:$B,$A252,'Таблиця 1'!$I:$I,"Су-27"))</f>
        <v/>
      </c>
      <c r="H252">
        <f>IF($A252="","",SUMIFS('Таблиця 1'!$K:$K,'Таблиця 1'!$B:$B,$A252,'Таблиця 1'!$I:$I,"Mirage",'Таблиця 1'!$J:$J,"AGM-88")+SUMIFS('Таблиця 1'!$K:$K,'Таблиця 1'!$B:$B,$A252,'Таблиця 1'!$I:$I,"F-16",'Таблиця 1'!$J:$J,"AGM-88")+SUMIFS('Таблиця 1'!$K:$K,'Таблиця 1'!$B:$B,$A252,'Таблиця 1'!$I:$I,"МіГ-29",'Таблиця 1'!$J:$J,"AGM-88")+SUMIFS('Таблиця 1'!$K:$K,'Таблиця 1'!$B:$B,$A252,'Таблиця 1'!$I:$I,"Су-25",'Таблиця 1'!$J:$J,"AGM-88")+SUMIFS('Таблиця 1'!$K:$K,'Таблиця 1'!$B:$B,$A252,'Таблиця 1'!$I:$I,"Су-27",'Таблиця 1'!$J:$J,"AGM-88"))</f>
        <v/>
      </c>
      <c r="I252">
        <f>IF($A252="","",SUMIFS('Таблиця 1'!$K:$K,'Таблиця 1'!$B:$B,$A252,'Таблиця 1'!$I:$I,"Mirage",'Таблиця 1'!$J:$J,"AASM-250")+SUMIFS('Таблиця 1'!$K:$K,'Таблиця 1'!$B:$B,$A252,'Таблиця 1'!$I:$I,"F-16",'Таблиця 1'!$J:$J,"AASM-250")+SUMIFS('Таблиця 1'!$K:$K,'Таблиця 1'!$B:$B,$A252,'Таблиця 1'!$I:$I,"МіГ-29",'Таблиця 1'!$J:$J,"AASM-250")+SUMIFS('Таблиця 1'!$K:$K,'Таблиця 1'!$B:$B,$A252,'Таблиця 1'!$I:$I,"Су-25",'Таблиця 1'!$J:$J,"AASM-250")+SUMIFS('Таблиця 1'!$K:$K,'Таблиця 1'!$B:$B,$A252,'Таблиця 1'!$I:$I,"Су-27",'Таблиця 1'!$J:$J,"AASM-250"))</f>
        <v/>
      </c>
      <c r="J252">
        <f>IF($A252="","",SUMIFS('Таблиця 1'!$K:$K,'Таблиця 1'!$B:$B,$A252,'Таблиця 1'!$I:$I,"Mirage",'Таблиця 1'!$J:$J,"GBU-39")+SUMIFS('Таблиця 1'!$K:$K,'Таблиця 1'!$B:$B,$A252,'Таблиця 1'!$I:$I,"F-16",'Таблиця 1'!$J:$J,"GBU-39")+SUMIFS('Таблиця 1'!$K:$K,'Таблиця 1'!$B:$B,$A252,'Таблиця 1'!$I:$I,"МіГ-29",'Таблиця 1'!$J:$J,"GBU-39")+SUMIFS('Таблиця 1'!$K:$K,'Таблиця 1'!$B:$B,$A252,'Таблиця 1'!$I:$I,"Су-25",'Таблиця 1'!$J:$J,"GBU-39")+SUMIFS('Таблиця 1'!$K:$K,'Таблиця 1'!$B:$B,$A252,'Таблиця 1'!$I:$I,"Су-27",'Таблиця 1'!$J:$J,"GBU-39"))</f>
        <v/>
      </c>
      <c r="K252">
        <f>IF($A252="","",SUMIFS('Таблиця 1'!$K:$K,'Таблиця 1'!$B:$B,$A252,'Таблиця 1'!$I:$I,"Mirage",'Таблиця 1'!$J:$J,"BLU-140")+SUMIFS('Таблиця 1'!$K:$K,'Таблиця 1'!$B:$B,$A252,'Таблиця 1'!$I:$I,"F-16",'Таблиця 1'!$J:$J,"BLU-140")+SUMIFS('Таблиця 1'!$K:$K,'Таблиця 1'!$B:$B,$A252,'Таблиця 1'!$I:$I,"МіГ-29",'Таблиця 1'!$J:$J,"BLU-140")+SUMIFS('Таблиця 1'!$K:$K,'Таблиця 1'!$B:$B,$A252,'Таблиця 1'!$I:$I,"Су-25",'Таблиця 1'!$J:$J,"BLU-140")+SUMIFS('Таблиця 1'!$K:$K,'Таблиця 1'!$B:$B,$A252,'Таблиця 1'!$I:$I,"Су-27",'Таблиця 1'!$J:$J,"BLU-140"))</f>
        <v/>
      </c>
      <c r="L252">
        <f>IF($A252="","",SUMIFS('Таблиця 1'!$K:$K,'Таблиця 1'!$B:$B,$A252,'Таблиця 1'!$I:$I,"Mirage",'Таблиця 1'!$J:$J,"GBU-65")+SUMIFS('Таблиця 1'!$K:$K,'Таблиця 1'!$B:$B,$A252,'Таблиця 1'!$I:$I,"F-16",'Таблиця 1'!$J:$J,"GBU-65")+SUMIFS('Таблиця 1'!$K:$K,'Таблиця 1'!$B:$B,$A252,'Таблиця 1'!$I:$I,"МіГ-29",'Таблиця 1'!$J:$J,"GBU-65")+SUMIFS('Таблиця 1'!$K:$K,'Таблиця 1'!$B:$B,$A252,'Таблиця 1'!$I:$I,"Су-25",'Таблиця 1'!$J:$J,"GBU-65")+SUMIFS('Таблиця 1'!$K:$K,'Таблиця 1'!$B:$B,$A252,'Таблиця 1'!$I:$I,"Су-27",'Таблиця 1'!$J:$J,"GBU-65"))</f>
        <v/>
      </c>
      <c r="M252">
        <f>IF($A252="","",SUMIFS('Таблиця 1'!$K:$K,'Таблиця 1'!$B:$B,$A252,'Таблиця 1'!$I:$I,"Mirage",'Таблиця 1'!$J:$J,"GBU-62")+SUMIFS('Таблиця 1'!$K:$K,'Таблиця 1'!$B:$B,$A252,'Таблиця 1'!$I:$I,"F-16",'Таблиця 1'!$J:$J,"GBU-62")+SUMIFS('Таблиця 1'!$K:$K,'Таблиця 1'!$B:$B,$A252,'Таблиця 1'!$I:$I,"МіГ-29",'Таблиця 1'!$J:$J,"GBU-62")+SUMIFS('Таблиця 1'!$K:$K,'Таблиця 1'!$B:$B,$A252,'Таблиця 1'!$I:$I,"Су-25",'Таблиця 1'!$J:$J,"GBU-62")+SUMIFS('Таблиця 1'!$K:$K,'Таблиця 1'!$B:$B,$A252,'Таблиця 1'!$I:$I,"Су-27",'Таблиця 1'!$J:$J,"GBU-62"))</f>
        <v/>
      </c>
      <c r="N252">
        <f>IF($A252="","",SUMIFS('Таблиця 1'!$K:$K,'Таблиця 1'!$B:$B,$A252,'Таблиця 1'!$I:$I,"Mirage",'Таблиця 1'!$J:$J,"GBU-64")+SUMIFS('Таблиця 1'!$K:$K,'Таблиця 1'!$B:$B,$A252,'Таблиця 1'!$I:$I,"F-16",'Таблиця 1'!$J:$J,"GBU-64")+SUMIFS('Таблиця 1'!$K:$K,'Таблиця 1'!$B:$B,$A252,'Таблиця 1'!$I:$I,"МіГ-29",'Таблиця 1'!$J:$J,"GBU-64")+SUMIFS('Таблиця 1'!$K:$K,'Таблиця 1'!$B:$B,$A252,'Таблиця 1'!$I:$I,"Су-25",'Таблиця 1'!$J:$J,"GBU-64")+SUMIFS('Таблиця 1'!$K:$K,'Таблиця 1'!$B:$B,$A252,'Таблиця 1'!$I:$I,"Су-27",'Таблиця 1'!$J:$J,"GBU-64"))</f>
        <v/>
      </c>
      <c r="O252">
        <f>IF($A252="","",SUMIFS('Таблиця 1'!$K:$K,'Таблиця 1'!$B:$B,$A252,'Таблиця 1'!$I:$I,"Mirage",'Таблиця 1'!$J:$J,"C-13")+SUMIFS('Таблиця 1'!$K:$K,'Таблиця 1'!$B:$B,$A252,'Таблиця 1'!$I:$I,"F-16",'Таблиця 1'!$J:$J,"C-13")+SUMIFS('Таблиця 1'!$K:$K,'Таблиця 1'!$B:$B,$A252,'Таблиця 1'!$I:$I,"МіГ-29",'Таблиця 1'!$J:$J,"C-13")+SUMIFS('Таблиця 1'!$K:$K,'Таблиця 1'!$B:$B,$A252,'Таблиця 1'!$I:$I,"Су-25",'Таблиця 1'!$J:$J,"C-13")+SUMIFS('Таблиця 1'!$K:$K,'Таблиця 1'!$B:$B,$A252,'Таблиця 1'!$I:$I,"Су-27",'Таблиця 1'!$J:$J,"C-13"))</f>
        <v/>
      </c>
      <c r="P252">
        <f>IF($A252="","",SUMIFS('Таблиця 1'!$K:$K,'Таблиця 1'!$B:$B,$A252,'Таблиця 1'!$I:$I,"Mirage",'Таблиця 1'!$J:$J,"MK-32")+SUMIFS('Таблиця 1'!$K:$K,'Таблиця 1'!$B:$B,$A252,'Таблиця 1'!$I:$I,"F-16",'Таблиця 1'!$J:$J,"MK-32")+SUMIFS('Таблиця 1'!$K:$K,'Таблиця 1'!$B:$B,$A252,'Таблиця 1'!$I:$I,"МіГ-29",'Таблиця 1'!$J:$J,"MK-32")+SUMIFS('Таблиця 1'!$K:$K,'Таблиця 1'!$B:$B,$A252,'Таблиця 1'!$I:$I,"Су-25",'Таблиця 1'!$J:$J,"MK-32")+SUMIFS('Таблиця 1'!$K:$K,'Таблиця 1'!$B:$B,$A252,'Таблиця 1'!$I:$I,"Су-27",'Таблиця 1'!$J:$J,"MK-32"))</f>
        <v/>
      </c>
      <c r="Q252">
        <f>IF($A252="","",SUMIFS('Таблиця 1'!$K:$K,'Таблиця 1'!$B:$B,$A252,'Таблиця 1'!$I:$I,"Mirage",'Таблиця 1'!$J:$J,"MK-24")+SUMIFS('Таблиця 1'!$K:$K,'Таблиця 1'!$B:$B,$A252,'Таблиця 1'!$I:$I,"F-16",'Таблиця 1'!$J:$J,"MK-24")+SUMIFS('Таблиця 1'!$K:$K,'Таблиця 1'!$B:$B,$A252,'Таблиця 1'!$I:$I,"МіГ-29",'Таблиця 1'!$J:$J,"MK-24")+SUMIFS('Таблиця 1'!$K:$K,'Таблиця 1'!$B:$B,$A252,'Таблиця 1'!$I:$I,"Су-25",'Таблиця 1'!$J:$J,"MK-24")+SUMIFS('Таблиця 1'!$K:$K,'Таблиця 1'!$B:$B,$A252,'Таблиця 1'!$I:$I,"Су-27",'Таблиця 1'!$J:$J,"MK-24"))</f>
        <v/>
      </c>
      <c r="R252">
        <f>IF($A252="","",COUNTIFS('Таблиця 1'!$B:$B,$A252,'Таблиця 1'!$I:$I,"Mirage",'Таблиця 1'!$L:$L,"Уражено")+COUNTIFS('Таблиця 1'!$B:$B,$A252,'Таблиця 1'!$I:$I,"F-16",'Таблиця 1'!$L:$L,"Уражено")+COUNTIFS('Таблиця 1'!$B:$B,$A252,'Таблиця 1'!$I:$I,"МіГ-29",'Таблиця 1'!$L:$L,"Уражено")+COUNTIFS('Таблиця 1'!$B:$B,$A252,'Таблиця 1'!$I:$I,"Су-25",'Таблиця 1'!$L:$L,"Уражено")+COUNTIFS('Таблиця 1'!$B:$B,$A252,'Таблиця 1'!$I:$I,"Су-27",'Таблиця 1'!$L:$L,"Уражено"))</f>
        <v/>
      </c>
      <c r="S252">
        <f>IF($A252="","",COUNTIFS('Таблиця 1'!$B:$B,$A252,'Таблиця 1'!$I:$I,"Mirage",'Таблиця 1'!$L:$L,"НЕ уражено")+COUNTIFS('Таблиця 1'!$B:$B,$A252,'Таблиця 1'!$I:$I,"F-16",'Таблиця 1'!$L:$L,"НЕ уражено")+COUNTIFS('Таблиця 1'!$B:$B,$A252,'Таблиця 1'!$I:$I,"МіГ-29",'Таблиця 1'!$L:$L,"НЕ уражено")+COUNTIFS('Таблиця 1'!$B:$B,$A252,'Таблиця 1'!$I:$I,"Су-25",'Таблиця 1'!$L:$L,"НЕ уражено")+COUNTIFS('Таблиця 1'!$B:$B,$A252,'Таблиця 1'!$I:$I,"Су-27",'Таблиця 1'!$L:$L,"НЕ уражено"))</f>
        <v/>
      </c>
      <c r="T252">
        <f>IF($A252="","",COUNTIFS('Таблиця 1'!$B:$B,$A252,'Таблиця 1'!$I:$I,"Mirage",'Таблиця 1'!$L:$L,"Дорозвідується")+COUNTIFS('Таблиця 1'!$B:$B,$A252,'Таблиця 1'!$I:$I,"F-16",'Таблиця 1'!$L:$L,"Дорозвідується")+COUNTIFS('Таблиця 1'!$B:$B,$A252,'Таблиця 1'!$I:$I,"МіГ-29",'Таблиця 1'!$L:$L,"Дорозвідується")+COUNTIFS('Таблиця 1'!$B:$B,$A252,'Таблиця 1'!$I:$I,"Су-25",'Таблиця 1'!$L:$L,"Дорозвідується")+COUNTIFS('Таблиця 1'!$B:$B,$A252,'Таблиця 1'!$I:$I,"Су-27",'Таблиця 1'!$L:$L,"Дорозвідується"))</f>
        <v/>
      </c>
    </row>
    <row r="253">
      <c r="A253" s="273">
        <f>IF(A252="","",IF(A252+1&gt;MAX('Таблиця 1'!$B:$B),"",A252+1))</f>
        <v/>
      </c>
      <c r="B253">
        <f>IF($A253="","",COUNTIFS('Таблиця 1'!$B:$B,$A253,'Таблиця 1'!$I:$I,"Mirage")+COUNTIFS('Таблиця 1'!$B:$B,$A253,'Таблиця 1'!$I:$I,"F-16")+COUNTIFS('Таблиця 1'!$B:$B,$A253,'Таблиця 1'!$I:$I,"МіГ-29")+COUNTIFS('Таблиця 1'!$B:$B,$A253,'Таблиця 1'!$I:$I,"Су-25")+COUNTIFS('Таблиця 1'!$B:$B,$A253,'Таблиця 1'!$I:$I,"Су-27"))</f>
        <v/>
      </c>
      <c r="C253">
        <f>IF($A253="","",COUNTIFS('Таблиця 1'!$B:$B,$A253,'Таблиця 1'!$I:$I,"Mirage"))</f>
        <v/>
      </c>
      <c r="D253">
        <f>IF($A253="","",COUNTIFS('Таблиця 1'!$B:$B,$A253,'Таблиця 1'!$I:$I,"F-16"))</f>
        <v/>
      </c>
      <c r="E253">
        <f>IF($A253="","",COUNTIFS('Таблиця 1'!$B:$B,$A253,'Таблиця 1'!$I:$I,"МіГ-29"))</f>
        <v/>
      </c>
      <c r="F253">
        <f>IF($A253="","",COUNTIFS('Таблиця 1'!$B:$B,$A253,'Таблиця 1'!$I:$I,"Су-25"))</f>
        <v/>
      </c>
      <c r="G253">
        <f>IF($A253="","",COUNTIFS('Таблиця 1'!$B:$B,$A253,'Таблиця 1'!$I:$I,"Су-27"))</f>
        <v/>
      </c>
      <c r="H253">
        <f>IF($A253="","",SUMIFS('Таблиця 1'!$K:$K,'Таблиця 1'!$B:$B,$A253,'Таблиця 1'!$I:$I,"Mirage",'Таблиця 1'!$J:$J,"AGM-88")+SUMIFS('Таблиця 1'!$K:$K,'Таблиця 1'!$B:$B,$A253,'Таблиця 1'!$I:$I,"F-16",'Таблиця 1'!$J:$J,"AGM-88")+SUMIFS('Таблиця 1'!$K:$K,'Таблиця 1'!$B:$B,$A253,'Таблиця 1'!$I:$I,"МіГ-29",'Таблиця 1'!$J:$J,"AGM-88")+SUMIFS('Таблиця 1'!$K:$K,'Таблиця 1'!$B:$B,$A253,'Таблиця 1'!$I:$I,"Су-25",'Таблиця 1'!$J:$J,"AGM-88")+SUMIFS('Таблиця 1'!$K:$K,'Таблиця 1'!$B:$B,$A253,'Таблиця 1'!$I:$I,"Су-27",'Таблиця 1'!$J:$J,"AGM-88"))</f>
        <v/>
      </c>
      <c r="I253">
        <f>IF($A253="","",SUMIFS('Таблиця 1'!$K:$K,'Таблиця 1'!$B:$B,$A253,'Таблиця 1'!$I:$I,"Mirage",'Таблиця 1'!$J:$J,"AASM-250")+SUMIFS('Таблиця 1'!$K:$K,'Таблиця 1'!$B:$B,$A253,'Таблиця 1'!$I:$I,"F-16",'Таблиця 1'!$J:$J,"AASM-250")+SUMIFS('Таблиця 1'!$K:$K,'Таблиця 1'!$B:$B,$A253,'Таблиця 1'!$I:$I,"МіГ-29",'Таблиця 1'!$J:$J,"AASM-250")+SUMIFS('Таблиця 1'!$K:$K,'Таблиця 1'!$B:$B,$A253,'Таблиця 1'!$I:$I,"Су-25",'Таблиця 1'!$J:$J,"AASM-250")+SUMIFS('Таблиця 1'!$K:$K,'Таблиця 1'!$B:$B,$A253,'Таблиця 1'!$I:$I,"Су-27",'Таблиця 1'!$J:$J,"AASM-250"))</f>
        <v/>
      </c>
      <c r="J253">
        <f>IF($A253="","",SUMIFS('Таблиця 1'!$K:$K,'Таблиця 1'!$B:$B,$A253,'Таблиця 1'!$I:$I,"Mirage",'Таблиця 1'!$J:$J,"GBU-39")+SUMIFS('Таблиця 1'!$K:$K,'Таблиця 1'!$B:$B,$A253,'Таблиця 1'!$I:$I,"F-16",'Таблиця 1'!$J:$J,"GBU-39")+SUMIFS('Таблиця 1'!$K:$K,'Таблиця 1'!$B:$B,$A253,'Таблиця 1'!$I:$I,"МіГ-29",'Таблиця 1'!$J:$J,"GBU-39")+SUMIFS('Таблиця 1'!$K:$K,'Таблиця 1'!$B:$B,$A253,'Таблиця 1'!$I:$I,"Су-25",'Таблиця 1'!$J:$J,"GBU-39")+SUMIFS('Таблиця 1'!$K:$K,'Таблиця 1'!$B:$B,$A253,'Таблиця 1'!$I:$I,"Су-27",'Таблиця 1'!$J:$J,"GBU-39"))</f>
        <v/>
      </c>
      <c r="K253">
        <f>IF($A253="","",SUMIFS('Таблиця 1'!$K:$K,'Таблиця 1'!$B:$B,$A253,'Таблиця 1'!$I:$I,"Mirage",'Таблиця 1'!$J:$J,"BLU-140")+SUMIFS('Таблиця 1'!$K:$K,'Таблиця 1'!$B:$B,$A253,'Таблиця 1'!$I:$I,"F-16",'Таблиця 1'!$J:$J,"BLU-140")+SUMIFS('Таблиця 1'!$K:$K,'Таблиця 1'!$B:$B,$A253,'Таблиця 1'!$I:$I,"МіГ-29",'Таблиця 1'!$J:$J,"BLU-140")+SUMIFS('Таблиця 1'!$K:$K,'Таблиця 1'!$B:$B,$A253,'Таблиця 1'!$I:$I,"Су-25",'Таблиця 1'!$J:$J,"BLU-140")+SUMIFS('Таблиця 1'!$K:$K,'Таблиця 1'!$B:$B,$A253,'Таблиця 1'!$I:$I,"Су-27",'Таблиця 1'!$J:$J,"BLU-140"))</f>
        <v/>
      </c>
      <c r="L253">
        <f>IF($A253="","",SUMIFS('Таблиця 1'!$K:$K,'Таблиця 1'!$B:$B,$A253,'Таблиця 1'!$I:$I,"Mirage",'Таблиця 1'!$J:$J,"GBU-65")+SUMIFS('Таблиця 1'!$K:$K,'Таблиця 1'!$B:$B,$A253,'Таблиця 1'!$I:$I,"F-16",'Таблиця 1'!$J:$J,"GBU-65")+SUMIFS('Таблиця 1'!$K:$K,'Таблиця 1'!$B:$B,$A253,'Таблиця 1'!$I:$I,"МіГ-29",'Таблиця 1'!$J:$J,"GBU-65")+SUMIFS('Таблиця 1'!$K:$K,'Таблиця 1'!$B:$B,$A253,'Таблиця 1'!$I:$I,"Су-25",'Таблиця 1'!$J:$J,"GBU-65")+SUMIFS('Таблиця 1'!$K:$K,'Таблиця 1'!$B:$B,$A253,'Таблиця 1'!$I:$I,"Су-27",'Таблиця 1'!$J:$J,"GBU-65"))</f>
        <v/>
      </c>
      <c r="M253">
        <f>IF($A253="","",SUMIFS('Таблиця 1'!$K:$K,'Таблиця 1'!$B:$B,$A253,'Таблиця 1'!$I:$I,"Mirage",'Таблиця 1'!$J:$J,"GBU-62")+SUMIFS('Таблиця 1'!$K:$K,'Таблиця 1'!$B:$B,$A253,'Таблиця 1'!$I:$I,"F-16",'Таблиця 1'!$J:$J,"GBU-62")+SUMIFS('Таблиця 1'!$K:$K,'Таблиця 1'!$B:$B,$A253,'Таблиця 1'!$I:$I,"МіГ-29",'Таблиця 1'!$J:$J,"GBU-62")+SUMIFS('Таблиця 1'!$K:$K,'Таблиця 1'!$B:$B,$A253,'Таблиця 1'!$I:$I,"Су-25",'Таблиця 1'!$J:$J,"GBU-62")+SUMIFS('Таблиця 1'!$K:$K,'Таблиця 1'!$B:$B,$A253,'Таблиця 1'!$I:$I,"Су-27",'Таблиця 1'!$J:$J,"GBU-62"))</f>
        <v/>
      </c>
      <c r="N253">
        <f>IF($A253="","",SUMIFS('Таблиця 1'!$K:$K,'Таблиця 1'!$B:$B,$A253,'Таблиця 1'!$I:$I,"Mirage",'Таблиця 1'!$J:$J,"GBU-64")+SUMIFS('Таблиця 1'!$K:$K,'Таблиця 1'!$B:$B,$A253,'Таблиця 1'!$I:$I,"F-16",'Таблиця 1'!$J:$J,"GBU-64")+SUMIFS('Таблиця 1'!$K:$K,'Таблиця 1'!$B:$B,$A253,'Таблиця 1'!$I:$I,"МіГ-29",'Таблиця 1'!$J:$J,"GBU-64")+SUMIFS('Таблиця 1'!$K:$K,'Таблиця 1'!$B:$B,$A253,'Таблиця 1'!$I:$I,"Су-25",'Таблиця 1'!$J:$J,"GBU-64")+SUMIFS('Таблиця 1'!$K:$K,'Таблиця 1'!$B:$B,$A253,'Таблиця 1'!$I:$I,"Су-27",'Таблиця 1'!$J:$J,"GBU-64"))</f>
        <v/>
      </c>
      <c r="O253">
        <f>IF($A253="","",SUMIFS('Таблиця 1'!$K:$K,'Таблиця 1'!$B:$B,$A253,'Таблиця 1'!$I:$I,"Mirage",'Таблиця 1'!$J:$J,"C-13")+SUMIFS('Таблиця 1'!$K:$K,'Таблиця 1'!$B:$B,$A253,'Таблиця 1'!$I:$I,"F-16",'Таблиця 1'!$J:$J,"C-13")+SUMIFS('Таблиця 1'!$K:$K,'Таблиця 1'!$B:$B,$A253,'Таблиця 1'!$I:$I,"МіГ-29",'Таблиця 1'!$J:$J,"C-13")+SUMIFS('Таблиця 1'!$K:$K,'Таблиця 1'!$B:$B,$A253,'Таблиця 1'!$I:$I,"Су-25",'Таблиця 1'!$J:$J,"C-13")+SUMIFS('Таблиця 1'!$K:$K,'Таблиця 1'!$B:$B,$A253,'Таблиця 1'!$I:$I,"Су-27",'Таблиця 1'!$J:$J,"C-13"))</f>
        <v/>
      </c>
      <c r="P253">
        <f>IF($A253="","",SUMIFS('Таблиця 1'!$K:$K,'Таблиця 1'!$B:$B,$A253,'Таблиця 1'!$I:$I,"Mirage",'Таблиця 1'!$J:$J,"MK-32")+SUMIFS('Таблиця 1'!$K:$K,'Таблиця 1'!$B:$B,$A253,'Таблиця 1'!$I:$I,"F-16",'Таблиця 1'!$J:$J,"MK-32")+SUMIFS('Таблиця 1'!$K:$K,'Таблиця 1'!$B:$B,$A253,'Таблиця 1'!$I:$I,"МіГ-29",'Таблиця 1'!$J:$J,"MK-32")+SUMIFS('Таблиця 1'!$K:$K,'Таблиця 1'!$B:$B,$A253,'Таблиця 1'!$I:$I,"Су-25",'Таблиця 1'!$J:$J,"MK-32")+SUMIFS('Таблиця 1'!$K:$K,'Таблиця 1'!$B:$B,$A253,'Таблиця 1'!$I:$I,"Су-27",'Таблиця 1'!$J:$J,"MK-32"))</f>
        <v/>
      </c>
      <c r="Q253">
        <f>IF($A253="","",SUMIFS('Таблиця 1'!$K:$K,'Таблиця 1'!$B:$B,$A253,'Таблиця 1'!$I:$I,"Mirage",'Таблиця 1'!$J:$J,"MK-24")+SUMIFS('Таблиця 1'!$K:$K,'Таблиця 1'!$B:$B,$A253,'Таблиця 1'!$I:$I,"F-16",'Таблиця 1'!$J:$J,"MK-24")+SUMIFS('Таблиця 1'!$K:$K,'Таблиця 1'!$B:$B,$A253,'Таблиця 1'!$I:$I,"МіГ-29",'Таблиця 1'!$J:$J,"MK-24")+SUMIFS('Таблиця 1'!$K:$K,'Таблиця 1'!$B:$B,$A253,'Таблиця 1'!$I:$I,"Су-25",'Таблиця 1'!$J:$J,"MK-24")+SUMIFS('Таблиця 1'!$K:$K,'Таблиця 1'!$B:$B,$A253,'Таблиця 1'!$I:$I,"Су-27",'Таблиця 1'!$J:$J,"MK-24"))</f>
        <v/>
      </c>
      <c r="R253">
        <f>IF($A253="","",COUNTIFS('Таблиця 1'!$B:$B,$A253,'Таблиця 1'!$I:$I,"Mirage",'Таблиця 1'!$L:$L,"Уражено")+COUNTIFS('Таблиця 1'!$B:$B,$A253,'Таблиця 1'!$I:$I,"F-16",'Таблиця 1'!$L:$L,"Уражено")+COUNTIFS('Таблиця 1'!$B:$B,$A253,'Таблиця 1'!$I:$I,"МіГ-29",'Таблиця 1'!$L:$L,"Уражено")+COUNTIFS('Таблиця 1'!$B:$B,$A253,'Таблиця 1'!$I:$I,"Су-25",'Таблиця 1'!$L:$L,"Уражено")+COUNTIFS('Таблиця 1'!$B:$B,$A253,'Таблиця 1'!$I:$I,"Су-27",'Таблиця 1'!$L:$L,"Уражено"))</f>
        <v/>
      </c>
      <c r="S253">
        <f>IF($A253="","",COUNTIFS('Таблиця 1'!$B:$B,$A253,'Таблиця 1'!$I:$I,"Mirage",'Таблиця 1'!$L:$L,"НЕ уражено")+COUNTIFS('Таблиця 1'!$B:$B,$A253,'Таблиця 1'!$I:$I,"F-16",'Таблиця 1'!$L:$L,"НЕ уражено")+COUNTIFS('Таблиця 1'!$B:$B,$A253,'Таблиця 1'!$I:$I,"МіГ-29",'Таблиця 1'!$L:$L,"НЕ уражено")+COUNTIFS('Таблиця 1'!$B:$B,$A253,'Таблиця 1'!$I:$I,"Су-25",'Таблиця 1'!$L:$L,"НЕ уражено")+COUNTIFS('Таблиця 1'!$B:$B,$A253,'Таблиця 1'!$I:$I,"Су-27",'Таблиця 1'!$L:$L,"НЕ уражено"))</f>
        <v/>
      </c>
      <c r="T253">
        <f>IF($A253="","",COUNTIFS('Таблиця 1'!$B:$B,$A253,'Таблиця 1'!$I:$I,"Mirage",'Таблиця 1'!$L:$L,"Дорозвідується")+COUNTIFS('Таблиця 1'!$B:$B,$A253,'Таблиця 1'!$I:$I,"F-16",'Таблиця 1'!$L:$L,"Дорозвідується")+COUNTIFS('Таблиця 1'!$B:$B,$A253,'Таблиця 1'!$I:$I,"МіГ-29",'Таблиця 1'!$L:$L,"Дорозвідується")+COUNTIFS('Таблиця 1'!$B:$B,$A253,'Таблиця 1'!$I:$I,"Су-25",'Таблиця 1'!$L:$L,"Дорозвідується")+COUNTIFS('Таблиця 1'!$B:$B,$A253,'Таблиця 1'!$I:$I,"Су-27",'Таблиця 1'!$L:$L,"Дорозвідується"))</f>
        <v/>
      </c>
    </row>
    <row r="254">
      <c r="A254" s="273">
        <f>IF(A253="","",IF(A253+1&gt;MAX('Таблиця 1'!$B:$B),"",A253+1))</f>
        <v/>
      </c>
      <c r="B254">
        <f>IF($A254="","",COUNTIFS('Таблиця 1'!$B:$B,$A254,'Таблиця 1'!$I:$I,"Mirage")+COUNTIFS('Таблиця 1'!$B:$B,$A254,'Таблиця 1'!$I:$I,"F-16")+COUNTIFS('Таблиця 1'!$B:$B,$A254,'Таблиця 1'!$I:$I,"МіГ-29")+COUNTIFS('Таблиця 1'!$B:$B,$A254,'Таблиця 1'!$I:$I,"Су-25")+COUNTIFS('Таблиця 1'!$B:$B,$A254,'Таблиця 1'!$I:$I,"Су-27"))</f>
        <v/>
      </c>
      <c r="C254">
        <f>IF($A254="","",COUNTIFS('Таблиця 1'!$B:$B,$A254,'Таблиця 1'!$I:$I,"Mirage"))</f>
        <v/>
      </c>
      <c r="D254">
        <f>IF($A254="","",COUNTIFS('Таблиця 1'!$B:$B,$A254,'Таблиця 1'!$I:$I,"F-16"))</f>
        <v/>
      </c>
      <c r="E254">
        <f>IF($A254="","",COUNTIFS('Таблиця 1'!$B:$B,$A254,'Таблиця 1'!$I:$I,"МіГ-29"))</f>
        <v/>
      </c>
      <c r="F254">
        <f>IF($A254="","",COUNTIFS('Таблиця 1'!$B:$B,$A254,'Таблиця 1'!$I:$I,"Су-25"))</f>
        <v/>
      </c>
      <c r="G254">
        <f>IF($A254="","",COUNTIFS('Таблиця 1'!$B:$B,$A254,'Таблиця 1'!$I:$I,"Су-27"))</f>
        <v/>
      </c>
      <c r="H254">
        <f>IF($A254="","",SUMIFS('Таблиця 1'!$K:$K,'Таблиця 1'!$B:$B,$A254,'Таблиця 1'!$I:$I,"Mirage",'Таблиця 1'!$J:$J,"AGM-88")+SUMIFS('Таблиця 1'!$K:$K,'Таблиця 1'!$B:$B,$A254,'Таблиця 1'!$I:$I,"F-16",'Таблиця 1'!$J:$J,"AGM-88")+SUMIFS('Таблиця 1'!$K:$K,'Таблиця 1'!$B:$B,$A254,'Таблиця 1'!$I:$I,"МіГ-29",'Таблиця 1'!$J:$J,"AGM-88")+SUMIFS('Таблиця 1'!$K:$K,'Таблиця 1'!$B:$B,$A254,'Таблиця 1'!$I:$I,"Су-25",'Таблиця 1'!$J:$J,"AGM-88")+SUMIFS('Таблиця 1'!$K:$K,'Таблиця 1'!$B:$B,$A254,'Таблиця 1'!$I:$I,"Су-27",'Таблиця 1'!$J:$J,"AGM-88"))</f>
        <v/>
      </c>
      <c r="I254">
        <f>IF($A254="","",SUMIFS('Таблиця 1'!$K:$K,'Таблиця 1'!$B:$B,$A254,'Таблиця 1'!$I:$I,"Mirage",'Таблиця 1'!$J:$J,"AASM-250")+SUMIFS('Таблиця 1'!$K:$K,'Таблиця 1'!$B:$B,$A254,'Таблиця 1'!$I:$I,"F-16",'Таблиця 1'!$J:$J,"AASM-250")+SUMIFS('Таблиця 1'!$K:$K,'Таблиця 1'!$B:$B,$A254,'Таблиця 1'!$I:$I,"МіГ-29",'Таблиця 1'!$J:$J,"AASM-250")+SUMIFS('Таблиця 1'!$K:$K,'Таблиця 1'!$B:$B,$A254,'Таблиця 1'!$I:$I,"Су-25",'Таблиця 1'!$J:$J,"AASM-250")+SUMIFS('Таблиця 1'!$K:$K,'Таблиця 1'!$B:$B,$A254,'Таблиця 1'!$I:$I,"Су-27",'Таблиця 1'!$J:$J,"AASM-250"))</f>
        <v/>
      </c>
      <c r="J254">
        <f>IF($A254="","",SUMIFS('Таблиця 1'!$K:$K,'Таблиця 1'!$B:$B,$A254,'Таблиця 1'!$I:$I,"Mirage",'Таблиця 1'!$J:$J,"GBU-39")+SUMIFS('Таблиця 1'!$K:$K,'Таблиця 1'!$B:$B,$A254,'Таблиця 1'!$I:$I,"F-16",'Таблиця 1'!$J:$J,"GBU-39")+SUMIFS('Таблиця 1'!$K:$K,'Таблиця 1'!$B:$B,$A254,'Таблиця 1'!$I:$I,"МіГ-29",'Таблиця 1'!$J:$J,"GBU-39")+SUMIFS('Таблиця 1'!$K:$K,'Таблиця 1'!$B:$B,$A254,'Таблиця 1'!$I:$I,"Су-25",'Таблиця 1'!$J:$J,"GBU-39")+SUMIFS('Таблиця 1'!$K:$K,'Таблиця 1'!$B:$B,$A254,'Таблиця 1'!$I:$I,"Су-27",'Таблиця 1'!$J:$J,"GBU-39"))</f>
        <v/>
      </c>
      <c r="K254">
        <f>IF($A254="","",SUMIFS('Таблиця 1'!$K:$K,'Таблиця 1'!$B:$B,$A254,'Таблиця 1'!$I:$I,"Mirage",'Таблиця 1'!$J:$J,"BLU-140")+SUMIFS('Таблиця 1'!$K:$K,'Таблиця 1'!$B:$B,$A254,'Таблиця 1'!$I:$I,"F-16",'Таблиця 1'!$J:$J,"BLU-140")+SUMIFS('Таблиця 1'!$K:$K,'Таблиця 1'!$B:$B,$A254,'Таблиця 1'!$I:$I,"МіГ-29",'Таблиця 1'!$J:$J,"BLU-140")+SUMIFS('Таблиця 1'!$K:$K,'Таблиця 1'!$B:$B,$A254,'Таблиця 1'!$I:$I,"Су-25",'Таблиця 1'!$J:$J,"BLU-140")+SUMIFS('Таблиця 1'!$K:$K,'Таблиця 1'!$B:$B,$A254,'Таблиця 1'!$I:$I,"Су-27",'Таблиця 1'!$J:$J,"BLU-140"))</f>
        <v/>
      </c>
      <c r="L254">
        <f>IF($A254="","",SUMIFS('Таблиця 1'!$K:$K,'Таблиця 1'!$B:$B,$A254,'Таблиця 1'!$I:$I,"Mirage",'Таблиця 1'!$J:$J,"GBU-65")+SUMIFS('Таблиця 1'!$K:$K,'Таблиця 1'!$B:$B,$A254,'Таблиця 1'!$I:$I,"F-16",'Таблиця 1'!$J:$J,"GBU-65")+SUMIFS('Таблиця 1'!$K:$K,'Таблиця 1'!$B:$B,$A254,'Таблиця 1'!$I:$I,"МіГ-29",'Таблиця 1'!$J:$J,"GBU-65")+SUMIFS('Таблиця 1'!$K:$K,'Таблиця 1'!$B:$B,$A254,'Таблиця 1'!$I:$I,"Су-25",'Таблиця 1'!$J:$J,"GBU-65")+SUMIFS('Таблиця 1'!$K:$K,'Таблиця 1'!$B:$B,$A254,'Таблиця 1'!$I:$I,"Су-27",'Таблиця 1'!$J:$J,"GBU-65"))</f>
        <v/>
      </c>
      <c r="M254">
        <f>IF($A254="","",SUMIFS('Таблиця 1'!$K:$K,'Таблиця 1'!$B:$B,$A254,'Таблиця 1'!$I:$I,"Mirage",'Таблиця 1'!$J:$J,"GBU-62")+SUMIFS('Таблиця 1'!$K:$K,'Таблиця 1'!$B:$B,$A254,'Таблиця 1'!$I:$I,"F-16",'Таблиця 1'!$J:$J,"GBU-62")+SUMIFS('Таблиця 1'!$K:$K,'Таблиця 1'!$B:$B,$A254,'Таблиця 1'!$I:$I,"МіГ-29",'Таблиця 1'!$J:$J,"GBU-62")+SUMIFS('Таблиця 1'!$K:$K,'Таблиця 1'!$B:$B,$A254,'Таблиця 1'!$I:$I,"Су-25",'Таблиця 1'!$J:$J,"GBU-62")+SUMIFS('Таблиця 1'!$K:$K,'Таблиця 1'!$B:$B,$A254,'Таблиця 1'!$I:$I,"Су-27",'Таблиця 1'!$J:$J,"GBU-62"))</f>
        <v/>
      </c>
      <c r="N254">
        <f>IF($A254="","",SUMIFS('Таблиця 1'!$K:$K,'Таблиця 1'!$B:$B,$A254,'Таблиця 1'!$I:$I,"Mirage",'Таблиця 1'!$J:$J,"GBU-64")+SUMIFS('Таблиця 1'!$K:$K,'Таблиця 1'!$B:$B,$A254,'Таблиця 1'!$I:$I,"F-16",'Таблиця 1'!$J:$J,"GBU-64")+SUMIFS('Таблиця 1'!$K:$K,'Таблиця 1'!$B:$B,$A254,'Таблиця 1'!$I:$I,"МіГ-29",'Таблиця 1'!$J:$J,"GBU-64")+SUMIFS('Таблиця 1'!$K:$K,'Таблиця 1'!$B:$B,$A254,'Таблиця 1'!$I:$I,"Су-25",'Таблиця 1'!$J:$J,"GBU-64")+SUMIFS('Таблиця 1'!$K:$K,'Таблиця 1'!$B:$B,$A254,'Таблиця 1'!$I:$I,"Су-27",'Таблиця 1'!$J:$J,"GBU-64"))</f>
        <v/>
      </c>
      <c r="O254">
        <f>IF($A254="","",SUMIFS('Таблиця 1'!$K:$K,'Таблиця 1'!$B:$B,$A254,'Таблиця 1'!$I:$I,"Mirage",'Таблиця 1'!$J:$J,"C-13")+SUMIFS('Таблиця 1'!$K:$K,'Таблиця 1'!$B:$B,$A254,'Таблиця 1'!$I:$I,"F-16",'Таблиця 1'!$J:$J,"C-13")+SUMIFS('Таблиця 1'!$K:$K,'Таблиця 1'!$B:$B,$A254,'Таблиця 1'!$I:$I,"МіГ-29",'Таблиця 1'!$J:$J,"C-13")+SUMIFS('Таблиця 1'!$K:$K,'Таблиця 1'!$B:$B,$A254,'Таблиця 1'!$I:$I,"Су-25",'Таблиця 1'!$J:$J,"C-13")+SUMIFS('Таблиця 1'!$K:$K,'Таблиця 1'!$B:$B,$A254,'Таблиця 1'!$I:$I,"Су-27",'Таблиця 1'!$J:$J,"C-13"))</f>
        <v/>
      </c>
      <c r="P254">
        <f>IF($A254="","",SUMIFS('Таблиця 1'!$K:$K,'Таблиця 1'!$B:$B,$A254,'Таблиця 1'!$I:$I,"Mirage",'Таблиця 1'!$J:$J,"MK-32")+SUMIFS('Таблиця 1'!$K:$K,'Таблиця 1'!$B:$B,$A254,'Таблиця 1'!$I:$I,"F-16",'Таблиця 1'!$J:$J,"MK-32")+SUMIFS('Таблиця 1'!$K:$K,'Таблиця 1'!$B:$B,$A254,'Таблиця 1'!$I:$I,"МіГ-29",'Таблиця 1'!$J:$J,"MK-32")+SUMIFS('Таблиця 1'!$K:$K,'Таблиця 1'!$B:$B,$A254,'Таблиця 1'!$I:$I,"Су-25",'Таблиця 1'!$J:$J,"MK-32")+SUMIFS('Таблиця 1'!$K:$K,'Таблиця 1'!$B:$B,$A254,'Таблиця 1'!$I:$I,"Су-27",'Таблиця 1'!$J:$J,"MK-32"))</f>
        <v/>
      </c>
      <c r="Q254">
        <f>IF($A254="","",SUMIFS('Таблиця 1'!$K:$K,'Таблиця 1'!$B:$B,$A254,'Таблиця 1'!$I:$I,"Mirage",'Таблиця 1'!$J:$J,"MK-24")+SUMIFS('Таблиця 1'!$K:$K,'Таблиця 1'!$B:$B,$A254,'Таблиця 1'!$I:$I,"F-16",'Таблиця 1'!$J:$J,"MK-24")+SUMIFS('Таблиця 1'!$K:$K,'Таблиця 1'!$B:$B,$A254,'Таблиця 1'!$I:$I,"МіГ-29",'Таблиця 1'!$J:$J,"MK-24")+SUMIFS('Таблиця 1'!$K:$K,'Таблиця 1'!$B:$B,$A254,'Таблиця 1'!$I:$I,"Су-25",'Таблиця 1'!$J:$J,"MK-24")+SUMIFS('Таблиця 1'!$K:$K,'Таблиця 1'!$B:$B,$A254,'Таблиця 1'!$I:$I,"Су-27",'Таблиця 1'!$J:$J,"MK-24"))</f>
        <v/>
      </c>
      <c r="R254">
        <f>IF($A254="","",COUNTIFS('Таблиця 1'!$B:$B,$A254,'Таблиця 1'!$I:$I,"Mirage",'Таблиця 1'!$L:$L,"Уражено")+COUNTIFS('Таблиця 1'!$B:$B,$A254,'Таблиця 1'!$I:$I,"F-16",'Таблиця 1'!$L:$L,"Уражено")+COUNTIFS('Таблиця 1'!$B:$B,$A254,'Таблиця 1'!$I:$I,"МіГ-29",'Таблиця 1'!$L:$L,"Уражено")+COUNTIFS('Таблиця 1'!$B:$B,$A254,'Таблиця 1'!$I:$I,"Су-25",'Таблиця 1'!$L:$L,"Уражено")+COUNTIFS('Таблиця 1'!$B:$B,$A254,'Таблиця 1'!$I:$I,"Су-27",'Таблиця 1'!$L:$L,"Уражено"))</f>
        <v/>
      </c>
      <c r="S254">
        <f>IF($A254="","",COUNTIFS('Таблиця 1'!$B:$B,$A254,'Таблиця 1'!$I:$I,"Mirage",'Таблиця 1'!$L:$L,"НЕ уражено")+COUNTIFS('Таблиця 1'!$B:$B,$A254,'Таблиця 1'!$I:$I,"F-16",'Таблиця 1'!$L:$L,"НЕ уражено")+COUNTIFS('Таблиця 1'!$B:$B,$A254,'Таблиця 1'!$I:$I,"МіГ-29",'Таблиця 1'!$L:$L,"НЕ уражено")+COUNTIFS('Таблиця 1'!$B:$B,$A254,'Таблиця 1'!$I:$I,"Су-25",'Таблиця 1'!$L:$L,"НЕ уражено")+COUNTIFS('Таблиця 1'!$B:$B,$A254,'Таблиця 1'!$I:$I,"Су-27",'Таблиця 1'!$L:$L,"НЕ уражено"))</f>
        <v/>
      </c>
      <c r="T254">
        <f>IF($A254="","",COUNTIFS('Таблиця 1'!$B:$B,$A254,'Таблиця 1'!$I:$I,"Mirage",'Таблиця 1'!$L:$L,"Дорозвідується")+COUNTIFS('Таблиця 1'!$B:$B,$A254,'Таблиця 1'!$I:$I,"F-16",'Таблиця 1'!$L:$L,"Дорозвідується")+COUNTIFS('Таблиця 1'!$B:$B,$A254,'Таблиця 1'!$I:$I,"МіГ-29",'Таблиця 1'!$L:$L,"Дорозвідується")+COUNTIFS('Таблиця 1'!$B:$B,$A254,'Таблиця 1'!$I:$I,"Су-25",'Таблиця 1'!$L:$L,"Дорозвідується")+COUNTIFS('Таблиця 1'!$B:$B,$A254,'Таблиця 1'!$I:$I,"Су-27",'Таблиця 1'!$L:$L,"Дорозвідується"))</f>
        <v/>
      </c>
    </row>
    <row r="255">
      <c r="A255" s="273">
        <f>IF(A254="","",IF(A254+1&gt;MAX('Таблиця 1'!$B:$B),"",A254+1))</f>
        <v/>
      </c>
      <c r="B255">
        <f>IF($A255="","",COUNTIFS('Таблиця 1'!$B:$B,$A255,'Таблиця 1'!$I:$I,"Mirage")+COUNTIFS('Таблиця 1'!$B:$B,$A255,'Таблиця 1'!$I:$I,"F-16")+COUNTIFS('Таблиця 1'!$B:$B,$A255,'Таблиця 1'!$I:$I,"МіГ-29")+COUNTIFS('Таблиця 1'!$B:$B,$A255,'Таблиця 1'!$I:$I,"Су-25")+COUNTIFS('Таблиця 1'!$B:$B,$A255,'Таблиця 1'!$I:$I,"Су-27"))</f>
        <v/>
      </c>
      <c r="C255">
        <f>IF($A255="","",COUNTIFS('Таблиця 1'!$B:$B,$A255,'Таблиця 1'!$I:$I,"Mirage"))</f>
        <v/>
      </c>
      <c r="D255">
        <f>IF($A255="","",COUNTIFS('Таблиця 1'!$B:$B,$A255,'Таблиця 1'!$I:$I,"F-16"))</f>
        <v/>
      </c>
      <c r="E255">
        <f>IF($A255="","",COUNTIFS('Таблиця 1'!$B:$B,$A255,'Таблиця 1'!$I:$I,"МіГ-29"))</f>
        <v/>
      </c>
      <c r="F255">
        <f>IF($A255="","",COUNTIFS('Таблиця 1'!$B:$B,$A255,'Таблиця 1'!$I:$I,"Су-25"))</f>
        <v/>
      </c>
      <c r="G255">
        <f>IF($A255="","",COUNTIFS('Таблиця 1'!$B:$B,$A255,'Таблиця 1'!$I:$I,"Су-27"))</f>
        <v/>
      </c>
      <c r="H255">
        <f>IF($A255="","",SUMIFS('Таблиця 1'!$K:$K,'Таблиця 1'!$B:$B,$A255,'Таблиця 1'!$I:$I,"Mirage",'Таблиця 1'!$J:$J,"AGM-88")+SUMIFS('Таблиця 1'!$K:$K,'Таблиця 1'!$B:$B,$A255,'Таблиця 1'!$I:$I,"F-16",'Таблиця 1'!$J:$J,"AGM-88")+SUMIFS('Таблиця 1'!$K:$K,'Таблиця 1'!$B:$B,$A255,'Таблиця 1'!$I:$I,"МіГ-29",'Таблиця 1'!$J:$J,"AGM-88")+SUMIFS('Таблиця 1'!$K:$K,'Таблиця 1'!$B:$B,$A255,'Таблиця 1'!$I:$I,"Су-25",'Таблиця 1'!$J:$J,"AGM-88")+SUMIFS('Таблиця 1'!$K:$K,'Таблиця 1'!$B:$B,$A255,'Таблиця 1'!$I:$I,"Су-27",'Таблиця 1'!$J:$J,"AGM-88"))</f>
        <v/>
      </c>
      <c r="I255">
        <f>IF($A255="","",SUMIFS('Таблиця 1'!$K:$K,'Таблиця 1'!$B:$B,$A255,'Таблиця 1'!$I:$I,"Mirage",'Таблиця 1'!$J:$J,"AASM-250")+SUMIFS('Таблиця 1'!$K:$K,'Таблиця 1'!$B:$B,$A255,'Таблиця 1'!$I:$I,"F-16",'Таблиця 1'!$J:$J,"AASM-250")+SUMIFS('Таблиця 1'!$K:$K,'Таблиця 1'!$B:$B,$A255,'Таблиця 1'!$I:$I,"МіГ-29",'Таблиця 1'!$J:$J,"AASM-250")+SUMIFS('Таблиця 1'!$K:$K,'Таблиця 1'!$B:$B,$A255,'Таблиця 1'!$I:$I,"Су-25",'Таблиця 1'!$J:$J,"AASM-250")+SUMIFS('Таблиця 1'!$K:$K,'Таблиця 1'!$B:$B,$A255,'Таблиця 1'!$I:$I,"Су-27",'Таблиця 1'!$J:$J,"AASM-250"))</f>
        <v/>
      </c>
      <c r="J255">
        <f>IF($A255="","",SUMIFS('Таблиця 1'!$K:$K,'Таблиця 1'!$B:$B,$A255,'Таблиця 1'!$I:$I,"Mirage",'Таблиця 1'!$J:$J,"GBU-39")+SUMIFS('Таблиця 1'!$K:$K,'Таблиця 1'!$B:$B,$A255,'Таблиця 1'!$I:$I,"F-16",'Таблиця 1'!$J:$J,"GBU-39")+SUMIFS('Таблиця 1'!$K:$K,'Таблиця 1'!$B:$B,$A255,'Таблиця 1'!$I:$I,"МіГ-29",'Таблиця 1'!$J:$J,"GBU-39")+SUMIFS('Таблиця 1'!$K:$K,'Таблиця 1'!$B:$B,$A255,'Таблиця 1'!$I:$I,"Су-25",'Таблиця 1'!$J:$J,"GBU-39")+SUMIFS('Таблиця 1'!$K:$K,'Таблиця 1'!$B:$B,$A255,'Таблиця 1'!$I:$I,"Су-27",'Таблиця 1'!$J:$J,"GBU-39"))</f>
        <v/>
      </c>
      <c r="K255">
        <f>IF($A255="","",SUMIFS('Таблиця 1'!$K:$K,'Таблиця 1'!$B:$B,$A255,'Таблиця 1'!$I:$I,"Mirage",'Таблиця 1'!$J:$J,"BLU-140")+SUMIFS('Таблиця 1'!$K:$K,'Таблиця 1'!$B:$B,$A255,'Таблиця 1'!$I:$I,"F-16",'Таблиця 1'!$J:$J,"BLU-140")+SUMIFS('Таблиця 1'!$K:$K,'Таблиця 1'!$B:$B,$A255,'Таблиця 1'!$I:$I,"МіГ-29",'Таблиця 1'!$J:$J,"BLU-140")+SUMIFS('Таблиця 1'!$K:$K,'Таблиця 1'!$B:$B,$A255,'Таблиця 1'!$I:$I,"Су-25",'Таблиця 1'!$J:$J,"BLU-140")+SUMIFS('Таблиця 1'!$K:$K,'Таблиця 1'!$B:$B,$A255,'Таблиця 1'!$I:$I,"Су-27",'Таблиця 1'!$J:$J,"BLU-140"))</f>
        <v/>
      </c>
      <c r="L255">
        <f>IF($A255="","",SUMIFS('Таблиця 1'!$K:$K,'Таблиця 1'!$B:$B,$A255,'Таблиця 1'!$I:$I,"Mirage",'Таблиця 1'!$J:$J,"GBU-65")+SUMIFS('Таблиця 1'!$K:$K,'Таблиця 1'!$B:$B,$A255,'Таблиця 1'!$I:$I,"F-16",'Таблиця 1'!$J:$J,"GBU-65")+SUMIFS('Таблиця 1'!$K:$K,'Таблиця 1'!$B:$B,$A255,'Таблиця 1'!$I:$I,"МіГ-29",'Таблиця 1'!$J:$J,"GBU-65")+SUMIFS('Таблиця 1'!$K:$K,'Таблиця 1'!$B:$B,$A255,'Таблиця 1'!$I:$I,"Су-25",'Таблиця 1'!$J:$J,"GBU-65")+SUMIFS('Таблиця 1'!$K:$K,'Таблиця 1'!$B:$B,$A255,'Таблиця 1'!$I:$I,"Су-27",'Таблиця 1'!$J:$J,"GBU-65"))</f>
        <v/>
      </c>
      <c r="M255">
        <f>IF($A255="","",SUMIFS('Таблиця 1'!$K:$K,'Таблиця 1'!$B:$B,$A255,'Таблиця 1'!$I:$I,"Mirage",'Таблиця 1'!$J:$J,"GBU-62")+SUMIFS('Таблиця 1'!$K:$K,'Таблиця 1'!$B:$B,$A255,'Таблиця 1'!$I:$I,"F-16",'Таблиця 1'!$J:$J,"GBU-62")+SUMIFS('Таблиця 1'!$K:$K,'Таблиця 1'!$B:$B,$A255,'Таблиця 1'!$I:$I,"МіГ-29",'Таблиця 1'!$J:$J,"GBU-62")+SUMIFS('Таблиця 1'!$K:$K,'Таблиця 1'!$B:$B,$A255,'Таблиця 1'!$I:$I,"Су-25",'Таблиця 1'!$J:$J,"GBU-62")+SUMIFS('Таблиця 1'!$K:$K,'Таблиця 1'!$B:$B,$A255,'Таблиця 1'!$I:$I,"Су-27",'Таблиця 1'!$J:$J,"GBU-62"))</f>
        <v/>
      </c>
      <c r="N255">
        <f>IF($A255="","",SUMIFS('Таблиця 1'!$K:$K,'Таблиця 1'!$B:$B,$A255,'Таблиця 1'!$I:$I,"Mirage",'Таблиця 1'!$J:$J,"GBU-64")+SUMIFS('Таблиця 1'!$K:$K,'Таблиця 1'!$B:$B,$A255,'Таблиця 1'!$I:$I,"F-16",'Таблиця 1'!$J:$J,"GBU-64")+SUMIFS('Таблиця 1'!$K:$K,'Таблиця 1'!$B:$B,$A255,'Таблиця 1'!$I:$I,"МіГ-29",'Таблиця 1'!$J:$J,"GBU-64")+SUMIFS('Таблиця 1'!$K:$K,'Таблиця 1'!$B:$B,$A255,'Таблиця 1'!$I:$I,"Су-25",'Таблиця 1'!$J:$J,"GBU-64")+SUMIFS('Таблиця 1'!$K:$K,'Таблиця 1'!$B:$B,$A255,'Таблиця 1'!$I:$I,"Су-27",'Таблиця 1'!$J:$J,"GBU-64"))</f>
        <v/>
      </c>
      <c r="O255">
        <f>IF($A255="","",SUMIFS('Таблиця 1'!$K:$K,'Таблиця 1'!$B:$B,$A255,'Таблиця 1'!$I:$I,"Mirage",'Таблиця 1'!$J:$J,"C-13")+SUMIFS('Таблиця 1'!$K:$K,'Таблиця 1'!$B:$B,$A255,'Таблиця 1'!$I:$I,"F-16",'Таблиця 1'!$J:$J,"C-13")+SUMIFS('Таблиця 1'!$K:$K,'Таблиця 1'!$B:$B,$A255,'Таблиця 1'!$I:$I,"МіГ-29",'Таблиця 1'!$J:$J,"C-13")+SUMIFS('Таблиця 1'!$K:$K,'Таблиця 1'!$B:$B,$A255,'Таблиця 1'!$I:$I,"Су-25",'Таблиця 1'!$J:$J,"C-13")+SUMIFS('Таблиця 1'!$K:$K,'Таблиця 1'!$B:$B,$A255,'Таблиця 1'!$I:$I,"Су-27",'Таблиця 1'!$J:$J,"C-13"))</f>
        <v/>
      </c>
      <c r="P255">
        <f>IF($A255="","",SUMIFS('Таблиця 1'!$K:$K,'Таблиця 1'!$B:$B,$A255,'Таблиця 1'!$I:$I,"Mirage",'Таблиця 1'!$J:$J,"MK-32")+SUMIFS('Таблиця 1'!$K:$K,'Таблиця 1'!$B:$B,$A255,'Таблиця 1'!$I:$I,"F-16",'Таблиця 1'!$J:$J,"MK-32")+SUMIFS('Таблиця 1'!$K:$K,'Таблиця 1'!$B:$B,$A255,'Таблиця 1'!$I:$I,"МіГ-29",'Таблиця 1'!$J:$J,"MK-32")+SUMIFS('Таблиця 1'!$K:$K,'Таблиця 1'!$B:$B,$A255,'Таблиця 1'!$I:$I,"Су-25",'Таблиця 1'!$J:$J,"MK-32")+SUMIFS('Таблиця 1'!$K:$K,'Таблиця 1'!$B:$B,$A255,'Таблиця 1'!$I:$I,"Су-27",'Таблиця 1'!$J:$J,"MK-32"))</f>
        <v/>
      </c>
      <c r="Q255">
        <f>IF($A255="","",SUMIFS('Таблиця 1'!$K:$K,'Таблиця 1'!$B:$B,$A255,'Таблиця 1'!$I:$I,"Mirage",'Таблиця 1'!$J:$J,"MK-24")+SUMIFS('Таблиця 1'!$K:$K,'Таблиця 1'!$B:$B,$A255,'Таблиця 1'!$I:$I,"F-16",'Таблиця 1'!$J:$J,"MK-24")+SUMIFS('Таблиця 1'!$K:$K,'Таблиця 1'!$B:$B,$A255,'Таблиця 1'!$I:$I,"МіГ-29",'Таблиця 1'!$J:$J,"MK-24")+SUMIFS('Таблиця 1'!$K:$K,'Таблиця 1'!$B:$B,$A255,'Таблиця 1'!$I:$I,"Су-25",'Таблиця 1'!$J:$J,"MK-24")+SUMIFS('Таблиця 1'!$K:$K,'Таблиця 1'!$B:$B,$A255,'Таблиця 1'!$I:$I,"Су-27",'Таблиця 1'!$J:$J,"MK-24"))</f>
        <v/>
      </c>
      <c r="R255">
        <f>IF($A255="","",COUNTIFS('Таблиця 1'!$B:$B,$A255,'Таблиця 1'!$I:$I,"Mirage",'Таблиця 1'!$L:$L,"Уражено")+COUNTIFS('Таблиця 1'!$B:$B,$A255,'Таблиця 1'!$I:$I,"F-16",'Таблиця 1'!$L:$L,"Уражено")+COUNTIFS('Таблиця 1'!$B:$B,$A255,'Таблиця 1'!$I:$I,"МіГ-29",'Таблиця 1'!$L:$L,"Уражено")+COUNTIFS('Таблиця 1'!$B:$B,$A255,'Таблиця 1'!$I:$I,"Су-25",'Таблиця 1'!$L:$L,"Уражено")+COUNTIFS('Таблиця 1'!$B:$B,$A255,'Таблиця 1'!$I:$I,"Су-27",'Таблиця 1'!$L:$L,"Уражено"))</f>
        <v/>
      </c>
      <c r="S255">
        <f>IF($A255="","",COUNTIFS('Таблиця 1'!$B:$B,$A255,'Таблиця 1'!$I:$I,"Mirage",'Таблиця 1'!$L:$L,"НЕ уражено")+COUNTIFS('Таблиця 1'!$B:$B,$A255,'Таблиця 1'!$I:$I,"F-16",'Таблиця 1'!$L:$L,"НЕ уражено")+COUNTIFS('Таблиця 1'!$B:$B,$A255,'Таблиця 1'!$I:$I,"МіГ-29",'Таблиця 1'!$L:$L,"НЕ уражено")+COUNTIFS('Таблиця 1'!$B:$B,$A255,'Таблиця 1'!$I:$I,"Су-25",'Таблиця 1'!$L:$L,"НЕ уражено")+COUNTIFS('Таблиця 1'!$B:$B,$A255,'Таблиця 1'!$I:$I,"Су-27",'Таблиця 1'!$L:$L,"НЕ уражено"))</f>
        <v/>
      </c>
      <c r="T255">
        <f>IF($A255="","",COUNTIFS('Таблиця 1'!$B:$B,$A255,'Таблиця 1'!$I:$I,"Mirage",'Таблиця 1'!$L:$L,"Дорозвідується")+COUNTIFS('Таблиця 1'!$B:$B,$A255,'Таблиця 1'!$I:$I,"F-16",'Таблиця 1'!$L:$L,"Дорозвідується")+COUNTIFS('Таблиця 1'!$B:$B,$A255,'Таблиця 1'!$I:$I,"МіГ-29",'Таблиця 1'!$L:$L,"Дорозвідується")+COUNTIFS('Таблиця 1'!$B:$B,$A255,'Таблиця 1'!$I:$I,"Су-25",'Таблиця 1'!$L:$L,"Дорозвідується")+COUNTIFS('Таблиця 1'!$B:$B,$A255,'Таблиця 1'!$I:$I,"Су-27",'Таблиця 1'!$L:$L,"Дорозвідується"))</f>
        <v/>
      </c>
    </row>
    <row r="256">
      <c r="A256" s="273">
        <f>IF(A255="","",IF(A255+1&gt;MAX('Таблиця 1'!$B:$B),"",A255+1))</f>
        <v/>
      </c>
      <c r="B256">
        <f>IF($A256="","",COUNTIFS('Таблиця 1'!$B:$B,$A256,'Таблиця 1'!$I:$I,"Mirage")+COUNTIFS('Таблиця 1'!$B:$B,$A256,'Таблиця 1'!$I:$I,"F-16")+COUNTIFS('Таблиця 1'!$B:$B,$A256,'Таблиця 1'!$I:$I,"МіГ-29")+COUNTIFS('Таблиця 1'!$B:$B,$A256,'Таблиця 1'!$I:$I,"Су-25")+COUNTIFS('Таблиця 1'!$B:$B,$A256,'Таблиця 1'!$I:$I,"Су-27"))</f>
        <v/>
      </c>
      <c r="C256">
        <f>IF($A256="","",COUNTIFS('Таблиця 1'!$B:$B,$A256,'Таблиця 1'!$I:$I,"Mirage"))</f>
        <v/>
      </c>
      <c r="D256">
        <f>IF($A256="","",COUNTIFS('Таблиця 1'!$B:$B,$A256,'Таблиця 1'!$I:$I,"F-16"))</f>
        <v/>
      </c>
      <c r="E256">
        <f>IF($A256="","",COUNTIFS('Таблиця 1'!$B:$B,$A256,'Таблиця 1'!$I:$I,"МіГ-29"))</f>
        <v/>
      </c>
      <c r="F256">
        <f>IF($A256="","",COUNTIFS('Таблиця 1'!$B:$B,$A256,'Таблиця 1'!$I:$I,"Су-25"))</f>
        <v/>
      </c>
      <c r="G256">
        <f>IF($A256="","",COUNTIFS('Таблиця 1'!$B:$B,$A256,'Таблиця 1'!$I:$I,"Су-27"))</f>
        <v/>
      </c>
      <c r="H256">
        <f>IF($A256="","",SUMIFS('Таблиця 1'!$K:$K,'Таблиця 1'!$B:$B,$A256,'Таблиця 1'!$I:$I,"Mirage",'Таблиця 1'!$J:$J,"AGM-88")+SUMIFS('Таблиця 1'!$K:$K,'Таблиця 1'!$B:$B,$A256,'Таблиця 1'!$I:$I,"F-16",'Таблиця 1'!$J:$J,"AGM-88")+SUMIFS('Таблиця 1'!$K:$K,'Таблиця 1'!$B:$B,$A256,'Таблиця 1'!$I:$I,"МіГ-29",'Таблиця 1'!$J:$J,"AGM-88")+SUMIFS('Таблиця 1'!$K:$K,'Таблиця 1'!$B:$B,$A256,'Таблиця 1'!$I:$I,"Су-25",'Таблиця 1'!$J:$J,"AGM-88")+SUMIFS('Таблиця 1'!$K:$K,'Таблиця 1'!$B:$B,$A256,'Таблиця 1'!$I:$I,"Су-27",'Таблиця 1'!$J:$J,"AGM-88"))</f>
        <v/>
      </c>
      <c r="I256">
        <f>IF($A256="","",SUMIFS('Таблиця 1'!$K:$K,'Таблиця 1'!$B:$B,$A256,'Таблиця 1'!$I:$I,"Mirage",'Таблиця 1'!$J:$J,"AASM-250")+SUMIFS('Таблиця 1'!$K:$K,'Таблиця 1'!$B:$B,$A256,'Таблиця 1'!$I:$I,"F-16",'Таблиця 1'!$J:$J,"AASM-250")+SUMIFS('Таблиця 1'!$K:$K,'Таблиця 1'!$B:$B,$A256,'Таблиця 1'!$I:$I,"МіГ-29",'Таблиця 1'!$J:$J,"AASM-250")+SUMIFS('Таблиця 1'!$K:$K,'Таблиця 1'!$B:$B,$A256,'Таблиця 1'!$I:$I,"Су-25",'Таблиця 1'!$J:$J,"AASM-250")+SUMIFS('Таблиця 1'!$K:$K,'Таблиця 1'!$B:$B,$A256,'Таблиця 1'!$I:$I,"Су-27",'Таблиця 1'!$J:$J,"AASM-250"))</f>
        <v/>
      </c>
      <c r="J256">
        <f>IF($A256="","",SUMIFS('Таблиця 1'!$K:$K,'Таблиця 1'!$B:$B,$A256,'Таблиця 1'!$I:$I,"Mirage",'Таблиця 1'!$J:$J,"GBU-39")+SUMIFS('Таблиця 1'!$K:$K,'Таблиця 1'!$B:$B,$A256,'Таблиця 1'!$I:$I,"F-16",'Таблиця 1'!$J:$J,"GBU-39")+SUMIFS('Таблиця 1'!$K:$K,'Таблиця 1'!$B:$B,$A256,'Таблиця 1'!$I:$I,"МіГ-29",'Таблиця 1'!$J:$J,"GBU-39")+SUMIFS('Таблиця 1'!$K:$K,'Таблиця 1'!$B:$B,$A256,'Таблиця 1'!$I:$I,"Су-25",'Таблиця 1'!$J:$J,"GBU-39")+SUMIFS('Таблиця 1'!$K:$K,'Таблиця 1'!$B:$B,$A256,'Таблиця 1'!$I:$I,"Су-27",'Таблиця 1'!$J:$J,"GBU-39"))</f>
        <v/>
      </c>
      <c r="K256">
        <f>IF($A256="","",SUMIFS('Таблиця 1'!$K:$K,'Таблиця 1'!$B:$B,$A256,'Таблиця 1'!$I:$I,"Mirage",'Таблиця 1'!$J:$J,"BLU-140")+SUMIFS('Таблиця 1'!$K:$K,'Таблиця 1'!$B:$B,$A256,'Таблиця 1'!$I:$I,"F-16",'Таблиця 1'!$J:$J,"BLU-140")+SUMIFS('Таблиця 1'!$K:$K,'Таблиця 1'!$B:$B,$A256,'Таблиця 1'!$I:$I,"МіГ-29",'Таблиця 1'!$J:$J,"BLU-140")+SUMIFS('Таблиця 1'!$K:$K,'Таблиця 1'!$B:$B,$A256,'Таблиця 1'!$I:$I,"Су-25",'Таблиця 1'!$J:$J,"BLU-140")+SUMIFS('Таблиця 1'!$K:$K,'Таблиця 1'!$B:$B,$A256,'Таблиця 1'!$I:$I,"Су-27",'Таблиця 1'!$J:$J,"BLU-140"))</f>
        <v/>
      </c>
      <c r="L256">
        <f>IF($A256="","",SUMIFS('Таблиця 1'!$K:$K,'Таблиця 1'!$B:$B,$A256,'Таблиця 1'!$I:$I,"Mirage",'Таблиця 1'!$J:$J,"GBU-65")+SUMIFS('Таблиця 1'!$K:$K,'Таблиця 1'!$B:$B,$A256,'Таблиця 1'!$I:$I,"F-16",'Таблиця 1'!$J:$J,"GBU-65")+SUMIFS('Таблиця 1'!$K:$K,'Таблиця 1'!$B:$B,$A256,'Таблиця 1'!$I:$I,"МіГ-29",'Таблиця 1'!$J:$J,"GBU-65")+SUMIFS('Таблиця 1'!$K:$K,'Таблиця 1'!$B:$B,$A256,'Таблиця 1'!$I:$I,"Су-25",'Таблиця 1'!$J:$J,"GBU-65")+SUMIFS('Таблиця 1'!$K:$K,'Таблиця 1'!$B:$B,$A256,'Таблиця 1'!$I:$I,"Су-27",'Таблиця 1'!$J:$J,"GBU-65"))</f>
        <v/>
      </c>
      <c r="M256">
        <f>IF($A256="","",SUMIFS('Таблиця 1'!$K:$K,'Таблиця 1'!$B:$B,$A256,'Таблиця 1'!$I:$I,"Mirage",'Таблиця 1'!$J:$J,"GBU-62")+SUMIFS('Таблиця 1'!$K:$K,'Таблиця 1'!$B:$B,$A256,'Таблиця 1'!$I:$I,"F-16",'Таблиця 1'!$J:$J,"GBU-62")+SUMIFS('Таблиця 1'!$K:$K,'Таблиця 1'!$B:$B,$A256,'Таблиця 1'!$I:$I,"МіГ-29",'Таблиця 1'!$J:$J,"GBU-62")+SUMIFS('Таблиця 1'!$K:$K,'Таблиця 1'!$B:$B,$A256,'Таблиця 1'!$I:$I,"Су-25",'Таблиця 1'!$J:$J,"GBU-62")+SUMIFS('Таблиця 1'!$K:$K,'Таблиця 1'!$B:$B,$A256,'Таблиця 1'!$I:$I,"Су-27",'Таблиця 1'!$J:$J,"GBU-62"))</f>
        <v/>
      </c>
      <c r="N256">
        <f>IF($A256="","",SUMIFS('Таблиця 1'!$K:$K,'Таблиця 1'!$B:$B,$A256,'Таблиця 1'!$I:$I,"Mirage",'Таблиця 1'!$J:$J,"GBU-64")+SUMIFS('Таблиця 1'!$K:$K,'Таблиця 1'!$B:$B,$A256,'Таблиця 1'!$I:$I,"F-16",'Таблиця 1'!$J:$J,"GBU-64")+SUMIFS('Таблиця 1'!$K:$K,'Таблиця 1'!$B:$B,$A256,'Таблиця 1'!$I:$I,"МіГ-29",'Таблиця 1'!$J:$J,"GBU-64")+SUMIFS('Таблиця 1'!$K:$K,'Таблиця 1'!$B:$B,$A256,'Таблиця 1'!$I:$I,"Су-25",'Таблиця 1'!$J:$J,"GBU-64")+SUMIFS('Таблиця 1'!$K:$K,'Таблиця 1'!$B:$B,$A256,'Таблиця 1'!$I:$I,"Су-27",'Таблиця 1'!$J:$J,"GBU-64"))</f>
        <v/>
      </c>
      <c r="O256">
        <f>IF($A256="","",SUMIFS('Таблиця 1'!$K:$K,'Таблиця 1'!$B:$B,$A256,'Таблиця 1'!$I:$I,"Mirage",'Таблиця 1'!$J:$J,"C-13")+SUMIFS('Таблиця 1'!$K:$K,'Таблиця 1'!$B:$B,$A256,'Таблиця 1'!$I:$I,"F-16",'Таблиця 1'!$J:$J,"C-13")+SUMIFS('Таблиця 1'!$K:$K,'Таблиця 1'!$B:$B,$A256,'Таблиця 1'!$I:$I,"МіГ-29",'Таблиця 1'!$J:$J,"C-13")+SUMIFS('Таблиця 1'!$K:$K,'Таблиця 1'!$B:$B,$A256,'Таблиця 1'!$I:$I,"Су-25",'Таблиця 1'!$J:$J,"C-13")+SUMIFS('Таблиця 1'!$K:$K,'Таблиця 1'!$B:$B,$A256,'Таблиця 1'!$I:$I,"Су-27",'Таблиця 1'!$J:$J,"C-13"))</f>
        <v/>
      </c>
      <c r="P256">
        <f>IF($A256="","",SUMIFS('Таблиця 1'!$K:$K,'Таблиця 1'!$B:$B,$A256,'Таблиця 1'!$I:$I,"Mirage",'Таблиця 1'!$J:$J,"MK-32")+SUMIFS('Таблиця 1'!$K:$K,'Таблиця 1'!$B:$B,$A256,'Таблиця 1'!$I:$I,"F-16",'Таблиця 1'!$J:$J,"MK-32")+SUMIFS('Таблиця 1'!$K:$K,'Таблиця 1'!$B:$B,$A256,'Таблиця 1'!$I:$I,"МіГ-29",'Таблиця 1'!$J:$J,"MK-32")+SUMIFS('Таблиця 1'!$K:$K,'Таблиця 1'!$B:$B,$A256,'Таблиця 1'!$I:$I,"Су-25",'Таблиця 1'!$J:$J,"MK-32")+SUMIFS('Таблиця 1'!$K:$K,'Таблиця 1'!$B:$B,$A256,'Таблиця 1'!$I:$I,"Су-27",'Таблиця 1'!$J:$J,"MK-32"))</f>
        <v/>
      </c>
      <c r="Q256">
        <f>IF($A256="","",SUMIFS('Таблиця 1'!$K:$K,'Таблиця 1'!$B:$B,$A256,'Таблиця 1'!$I:$I,"Mirage",'Таблиця 1'!$J:$J,"MK-24")+SUMIFS('Таблиця 1'!$K:$K,'Таблиця 1'!$B:$B,$A256,'Таблиця 1'!$I:$I,"F-16",'Таблиця 1'!$J:$J,"MK-24")+SUMIFS('Таблиця 1'!$K:$K,'Таблиця 1'!$B:$B,$A256,'Таблиця 1'!$I:$I,"МіГ-29",'Таблиця 1'!$J:$J,"MK-24")+SUMIFS('Таблиця 1'!$K:$K,'Таблиця 1'!$B:$B,$A256,'Таблиця 1'!$I:$I,"Су-25",'Таблиця 1'!$J:$J,"MK-24")+SUMIFS('Таблиця 1'!$K:$K,'Таблиця 1'!$B:$B,$A256,'Таблиця 1'!$I:$I,"Су-27",'Таблиця 1'!$J:$J,"MK-24"))</f>
        <v/>
      </c>
      <c r="R256">
        <f>IF($A256="","",COUNTIFS('Таблиця 1'!$B:$B,$A256,'Таблиця 1'!$I:$I,"Mirage",'Таблиця 1'!$L:$L,"Уражено")+COUNTIFS('Таблиця 1'!$B:$B,$A256,'Таблиця 1'!$I:$I,"F-16",'Таблиця 1'!$L:$L,"Уражено")+COUNTIFS('Таблиця 1'!$B:$B,$A256,'Таблиця 1'!$I:$I,"МіГ-29",'Таблиця 1'!$L:$L,"Уражено")+COUNTIFS('Таблиця 1'!$B:$B,$A256,'Таблиця 1'!$I:$I,"Су-25",'Таблиця 1'!$L:$L,"Уражено")+COUNTIFS('Таблиця 1'!$B:$B,$A256,'Таблиця 1'!$I:$I,"Су-27",'Таблиця 1'!$L:$L,"Уражено"))</f>
        <v/>
      </c>
      <c r="S256">
        <f>IF($A256="","",COUNTIFS('Таблиця 1'!$B:$B,$A256,'Таблиця 1'!$I:$I,"Mirage",'Таблиця 1'!$L:$L,"НЕ уражено")+COUNTIFS('Таблиця 1'!$B:$B,$A256,'Таблиця 1'!$I:$I,"F-16",'Таблиця 1'!$L:$L,"НЕ уражено")+COUNTIFS('Таблиця 1'!$B:$B,$A256,'Таблиця 1'!$I:$I,"МіГ-29",'Таблиця 1'!$L:$L,"НЕ уражено")+COUNTIFS('Таблиця 1'!$B:$B,$A256,'Таблиця 1'!$I:$I,"Су-25",'Таблиця 1'!$L:$L,"НЕ уражено")+COUNTIFS('Таблиця 1'!$B:$B,$A256,'Таблиця 1'!$I:$I,"Су-27",'Таблиця 1'!$L:$L,"НЕ уражено"))</f>
        <v/>
      </c>
      <c r="T256">
        <f>IF($A256="","",COUNTIFS('Таблиця 1'!$B:$B,$A256,'Таблиця 1'!$I:$I,"Mirage",'Таблиця 1'!$L:$L,"Дорозвідується")+COUNTIFS('Таблиця 1'!$B:$B,$A256,'Таблиця 1'!$I:$I,"F-16",'Таблиця 1'!$L:$L,"Дорозвідується")+COUNTIFS('Таблиця 1'!$B:$B,$A256,'Таблиця 1'!$I:$I,"МіГ-29",'Таблиця 1'!$L:$L,"Дорозвідується")+COUNTIFS('Таблиця 1'!$B:$B,$A256,'Таблиця 1'!$I:$I,"Су-25",'Таблиця 1'!$L:$L,"Дорозвідується")+COUNTIFS('Таблиця 1'!$B:$B,$A256,'Таблиця 1'!$I:$I,"Су-27",'Таблиця 1'!$L:$L,"Дорозвідується"))</f>
        <v/>
      </c>
    </row>
    <row r="257">
      <c r="A257" s="273">
        <f>IF(A256="","",IF(A256+1&gt;MAX('Таблиця 1'!$B:$B),"",A256+1))</f>
        <v/>
      </c>
      <c r="B257">
        <f>IF($A257="","",COUNTIFS('Таблиця 1'!$B:$B,$A257,'Таблиця 1'!$I:$I,"Mirage")+COUNTIFS('Таблиця 1'!$B:$B,$A257,'Таблиця 1'!$I:$I,"F-16")+COUNTIFS('Таблиця 1'!$B:$B,$A257,'Таблиця 1'!$I:$I,"МіГ-29")+COUNTIFS('Таблиця 1'!$B:$B,$A257,'Таблиця 1'!$I:$I,"Су-25")+COUNTIFS('Таблиця 1'!$B:$B,$A257,'Таблиця 1'!$I:$I,"Су-27"))</f>
        <v/>
      </c>
      <c r="C257">
        <f>IF($A257="","",COUNTIFS('Таблиця 1'!$B:$B,$A257,'Таблиця 1'!$I:$I,"Mirage"))</f>
        <v/>
      </c>
      <c r="D257">
        <f>IF($A257="","",COUNTIFS('Таблиця 1'!$B:$B,$A257,'Таблиця 1'!$I:$I,"F-16"))</f>
        <v/>
      </c>
      <c r="E257">
        <f>IF($A257="","",COUNTIFS('Таблиця 1'!$B:$B,$A257,'Таблиця 1'!$I:$I,"МіГ-29"))</f>
        <v/>
      </c>
      <c r="F257">
        <f>IF($A257="","",COUNTIFS('Таблиця 1'!$B:$B,$A257,'Таблиця 1'!$I:$I,"Су-25"))</f>
        <v/>
      </c>
      <c r="G257">
        <f>IF($A257="","",COUNTIFS('Таблиця 1'!$B:$B,$A257,'Таблиця 1'!$I:$I,"Су-27"))</f>
        <v/>
      </c>
      <c r="H257">
        <f>IF($A257="","",SUMIFS('Таблиця 1'!$K:$K,'Таблиця 1'!$B:$B,$A257,'Таблиця 1'!$I:$I,"Mirage",'Таблиця 1'!$J:$J,"AGM-88")+SUMIFS('Таблиця 1'!$K:$K,'Таблиця 1'!$B:$B,$A257,'Таблиця 1'!$I:$I,"F-16",'Таблиця 1'!$J:$J,"AGM-88")+SUMIFS('Таблиця 1'!$K:$K,'Таблиця 1'!$B:$B,$A257,'Таблиця 1'!$I:$I,"МіГ-29",'Таблиця 1'!$J:$J,"AGM-88")+SUMIFS('Таблиця 1'!$K:$K,'Таблиця 1'!$B:$B,$A257,'Таблиця 1'!$I:$I,"Су-25",'Таблиця 1'!$J:$J,"AGM-88")+SUMIFS('Таблиця 1'!$K:$K,'Таблиця 1'!$B:$B,$A257,'Таблиця 1'!$I:$I,"Су-27",'Таблиця 1'!$J:$J,"AGM-88"))</f>
        <v/>
      </c>
      <c r="I257">
        <f>IF($A257="","",SUMIFS('Таблиця 1'!$K:$K,'Таблиця 1'!$B:$B,$A257,'Таблиця 1'!$I:$I,"Mirage",'Таблиця 1'!$J:$J,"AASM-250")+SUMIFS('Таблиця 1'!$K:$K,'Таблиця 1'!$B:$B,$A257,'Таблиця 1'!$I:$I,"F-16",'Таблиця 1'!$J:$J,"AASM-250")+SUMIFS('Таблиця 1'!$K:$K,'Таблиця 1'!$B:$B,$A257,'Таблиця 1'!$I:$I,"МіГ-29",'Таблиця 1'!$J:$J,"AASM-250")+SUMIFS('Таблиця 1'!$K:$K,'Таблиця 1'!$B:$B,$A257,'Таблиця 1'!$I:$I,"Су-25",'Таблиця 1'!$J:$J,"AASM-250")+SUMIFS('Таблиця 1'!$K:$K,'Таблиця 1'!$B:$B,$A257,'Таблиця 1'!$I:$I,"Су-27",'Таблиця 1'!$J:$J,"AASM-250"))</f>
        <v/>
      </c>
      <c r="J257">
        <f>IF($A257="","",SUMIFS('Таблиця 1'!$K:$K,'Таблиця 1'!$B:$B,$A257,'Таблиця 1'!$I:$I,"Mirage",'Таблиця 1'!$J:$J,"GBU-39")+SUMIFS('Таблиця 1'!$K:$K,'Таблиця 1'!$B:$B,$A257,'Таблиця 1'!$I:$I,"F-16",'Таблиця 1'!$J:$J,"GBU-39")+SUMIFS('Таблиця 1'!$K:$K,'Таблиця 1'!$B:$B,$A257,'Таблиця 1'!$I:$I,"МіГ-29",'Таблиця 1'!$J:$J,"GBU-39")+SUMIFS('Таблиця 1'!$K:$K,'Таблиця 1'!$B:$B,$A257,'Таблиця 1'!$I:$I,"Су-25",'Таблиця 1'!$J:$J,"GBU-39")+SUMIFS('Таблиця 1'!$K:$K,'Таблиця 1'!$B:$B,$A257,'Таблиця 1'!$I:$I,"Су-27",'Таблиця 1'!$J:$J,"GBU-39"))</f>
        <v/>
      </c>
      <c r="K257">
        <f>IF($A257="","",SUMIFS('Таблиця 1'!$K:$K,'Таблиця 1'!$B:$B,$A257,'Таблиця 1'!$I:$I,"Mirage",'Таблиця 1'!$J:$J,"BLU-140")+SUMIFS('Таблиця 1'!$K:$K,'Таблиця 1'!$B:$B,$A257,'Таблиця 1'!$I:$I,"F-16",'Таблиця 1'!$J:$J,"BLU-140")+SUMIFS('Таблиця 1'!$K:$K,'Таблиця 1'!$B:$B,$A257,'Таблиця 1'!$I:$I,"МіГ-29",'Таблиця 1'!$J:$J,"BLU-140")+SUMIFS('Таблиця 1'!$K:$K,'Таблиця 1'!$B:$B,$A257,'Таблиця 1'!$I:$I,"Су-25",'Таблиця 1'!$J:$J,"BLU-140")+SUMIFS('Таблиця 1'!$K:$K,'Таблиця 1'!$B:$B,$A257,'Таблиця 1'!$I:$I,"Су-27",'Таблиця 1'!$J:$J,"BLU-140"))</f>
        <v/>
      </c>
      <c r="L257">
        <f>IF($A257="","",SUMIFS('Таблиця 1'!$K:$K,'Таблиця 1'!$B:$B,$A257,'Таблиця 1'!$I:$I,"Mirage",'Таблиця 1'!$J:$J,"GBU-65")+SUMIFS('Таблиця 1'!$K:$K,'Таблиця 1'!$B:$B,$A257,'Таблиця 1'!$I:$I,"F-16",'Таблиця 1'!$J:$J,"GBU-65")+SUMIFS('Таблиця 1'!$K:$K,'Таблиця 1'!$B:$B,$A257,'Таблиця 1'!$I:$I,"МіГ-29",'Таблиця 1'!$J:$J,"GBU-65")+SUMIFS('Таблиця 1'!$K:$K,'Таблиця 1'!$B:$B,$A257,'Таблиця 1'!$I:$I,"Су-25",'Таблиця 1'!$J:$J,"GBU-65")+SUMIFS('Таблиця 1'!$K:$K,'Таблиця 1'!$B:$B,$A257,'Таблиця 1'!$I:$I,"Су-27",'Таблиця 1'!$J:$J,"GBU-65"))</f>
        <v/>
      </c>
      <c r="M257">
        <f>IF($A257="","",SUMIFS('Таблиця 1'!$K:$K,'Таблиця 1'!$B:$B,$A257,'Таблиця 1'!$I:$I,"Mirage",'Таблиця 1'!$J:$J,"GBU-62")+SUMIFS('Таблиця 1'!$K:$K,'Таблиця 1'!$B:$B,$A257,'Таблиця 1'!$I:$I,"F-16",'Таблиця 1'!$J:$J,"GBU-62")+SUMIFS('Таблиця 1'!$K:$K,'Таблиця 1'!$B:$B,$A257,'Таблиця 1'!$I:$I,"МіГ-29",'Таблиця 1'!$J:$J,"GBU-62")+SUMIFS('Таблиця 1'!$K:$K,'Таблиця 1'!$B:$B,$A257,'Таблиця 1'!$I:$I,"Су-25",'Таблиця 1'!$J:$J,"GBU-62")+SUMIFS('Таблиця 1'!$K:$K,'Таблиця 1'!$B:$B,$A257,'Таблиця 1'!$I:$I,"Су-27",'Таблиця 1'!$J:$J,"GBU-62"))</f>
        <v/>
      </c>
      <c r="N257">
        <f>IF($A257="","",SUMIFS('Таблиця 1'!$K:$K,'Таблиця 1'!$B:$B,$A257,'Таблиця 1'!$I:$I,"Mirage",'Таблиця 1'!$J:$J,"GBU-64")+SUMIFS('Таблиця 1'!$K:$K,'Таблиця 1'!$B:$B,$A257,'Таблиця 1'!$I:$I,"F-16",'Таблиця 1'!$J:$J,"GBU-64")+SUMIFS('Таблиця 1'!$K:$K,'Таблиця 1'!$B:$B,$A257,'Таблиця 1'!$I:$I,"МіГ-29",'Таблиця 1'!$J:$J,"GBU-64")+SUMIFS('Таблиця 1'!$K:$K,'Таблиця 1'!$B:$B,$A257,'Таблиця 1'!$I:$I,"Су-25",'Таблиця 1'!$J:$J,"GBU-64")+SUMIFS('Таблиця 1'!$K:$K,'Таблиця 1'!$B:$B,$A257,'Таблиця 1'!$I:$I,"Су-27",'Таблиця 1'!$J:$J,"GBU-64"))</f>
        <v/>
      </c>
      <c r="O257">
        <f>IF($A257="","",SUMIFS('Таблиця 1'!$K:$K,'Таблиця 1'!$B:$B,$A257,'Таблиця 1'!$I:$I,"Mirage",'Таблиця 1'!$J:$J,"C-13")+SUMIFS('Таблиця 1'!$K:$K,'Таблиця 1'!$B:$B,$A257,'Таблиця 1'!$I:$I,"F-16",'Таблиця 1'!$J:$J,"C-13")+SUMIFS('Таблиця 1'!$K:$K,'Таблиця 1'!$B:$B,$A257,'Таблиця 1'!$I:$I,"МіГ-29",'Таблиця 1'!$J:$J,"C-13")+SUMIFS('Таблиця 1'!$K:$K,'Таблиця 1'!$B:$B,$A257,'Таблиця 1'!$I:$I,"Су-25",'Таблиця 1'!$J:$J,"C-13")+SUMIFS('Таблиця 1'!$K:$K,'Таблиця 1'!$B:$B,$A257,'Таблиця 1'!$I:$I,"Су-27",'Таблиця 1'!$J:$J,"C-13"))</f>
        <v/>
      </c>
      <c r="P257">
        <f>IF($A257="","",SUMIFS('Таблиця 1'!$K:$K,'Таблиця 1'!$B:$B,$A257,'Таблиця 1'!$I:$I,"Mirage",'Таблиця 1'!$J:$J,"MK-32")+SUMIFS('Таблиця 1'!$K:$K,'Таблиця 1'!$B:$B,$A257,'Таблиця 1'!$I:$I,"F-16",'Таблиця 1'!$J:$J,"MK-32")+SUMIFS('Таблиця 1'!$K:$K,'Таблиця 1'!$B:$B,$A257,'Таблиця 1'!$I:$I,"МіГ-29",'Таблиця 1'!$J:$J,"MK-32")+SUMIFS('Таблиця 1'!$K:$K,'Таблиця 1'!$B:$B,$A257,'Таблиця 1'!$I:$I,"Су-25",'Таблиця 1'!$J:$J,"MK-32")+SUMIFS('Таблиця 1'!$K:$K,'Таблиця 1'!$B:$B,$A257,'Таблиця 1'!$I:$I,"Су-27",'Таблиця 1'!$J:$J,"MK-32"))</f>
        <v/>
      </c>
      <c r="Q257">
        <f>IF($A257="","",SUMIFS('Таблиця 1'!$K:$K,'Таблиця 1'!$B:$B,$A257,'Таблиця 1'!$I:$I,"Mirage",'Таблиця 1'!$J:$J,"MK-24")+SUMIFS('Таблиця 1'!$K:$K,'Таблиця 1'!$B:$B,$A257,'Таблиця 1'!$I:$I,"F-16",'Таблиця 1'!$J:$J,"MK-24")+SUMIFS('Таблиця 1'!$K:$K,'Таблиця 1'!$B:$B,$A257,'Таблиця 1'!$I:$I,"МіГ-29",'Таблиця 1'!$J:$J,"MK-24")+SUMIFS('Таблиця 1'!$K:$K,'Таблиця 1'!$B:$B,$A257,'Таблиця 1'!$I:$I,"Су-25",'Таблиця 1'!$J:$J,"MK-24")+SUMIFS('Таблиця 1'!$K:$K,'Таблиця 1'!$B:$B,$A257,'Таблиця 1'!$I:$I,"Су-27",'Таблиця 1'!$J:$J,"MK-24"))</f>
        <v/>
      </c>
      <c r="R257">
        <f>IF($A257="","",COUNTIFS('Таблиця 1'!$B:$B,$A257,'Таблиця 1'!$I:$I,"Mirage",'Таблиця 1'!$L:$L,"Уражено")+COUNTIFS('Таблиця 1'!$B:$B,$A257,'Таблиця 1'!$I:$I,"F-16",'Таблиця 1'!$L:$L,"Уражено")+COUNTIFS('Таблиця 1'!$B:$B,$A257,'Таблиця 1'!$I:$I,"МіГ-29",'Таблиця 1'!$L:$L,"Уражено")+COUNTIFS('Таблиця 1'!$B:$B,$A257,'Таблиця 1'!$I:$I,"Су-25",'Таблиця 1'!$L:$L,"Уражено")+COUNTIFS('Таблиця 1'!$B:$B,$A257,'Таблиця 1'!$I:$I,"Су-27",'Таблиця 1'!$L:$L,"Уражено"))</f>
        <v/>
      </c>
      <c r="S257">
        <f>IF($A257="","",COUNTIFS('Таблиця 1'!$B:$B,$A257,'Таблиця 1'!$I:$I,"Mirage",'Таблиця 1'!$L:$L,"НЕ уражено")+COUNTIFS('Таблиця 1'!$B:$B,$A257,'Таблиця 1'!$I:$I,"F-16",'Таблиця 1'!$L:$L,"НЕ уражено")+COUNTIFS('Таблиця 1'!$B:$B,$A257,'Таблиця 1'!$I:$I,"МіГ-29",'Таблиця 1'!$L:$L,"НЕ уражено")+COUNTIFS('Таблиця 1'!$B:$B,$A257,'Таблиця 1'!$I:$I,"Су-25",'Таблиця 1'!$L:$L,"НЕ уражено")+COUNTIFS('Таблиця 1'!$B:$B,$A257,'Таблиця 1'!$I:$I,"Су-27",'Таблиця 1'!$L:$L,"НЕ уражено"))</f>
        <v/>
      </c>
      <c r="T257">
        <f>IF($A257="","",COUNTIFS('Таблиця 1'!$B:$B,$A257,'Таблиця 1'!$I:$I,"Mirage",'Таблиця 1'!$L:$L,"Дорозвідується")+COUNTIFS('Таблиця 1'!$B:$B,$A257,'Таблиця 1'!$I:$I,"F-16",'Таблиця 1'!$L:$L,"Дорозвідується")+COUNTIFS('Таблиця 1'!$B:$B,$A257,'Таблиця 1'!$I:$I,"МіГ-29",'Таблиця 1'!$L:$L,"Дорозвідується")+COUNTIFS('Таблиця 1'!$B:$B,$A257,'Таблиця 1'!$I:$I,"Су-25",'Таблиця 1'!$L:$L,"Дорозвідується")+COUNTIFS('Таблиця 1'!$B:$B,$A257,'Таблиця 1'!$I:$I,"Су-27",'Таблиця 1'!$L:$L,"Дорозвідується"))</f>
        <v/>
      </c>
    </row>
    <row r="258">
      <c r="A258" s="273">
        <f>IF(A257="","",IF(A257+1&gt;MAX('Таблиця 1'!$B:$B),"",A257+1))</f>
        <v/>
      </c>
      <c r="B258">
        <f>IF($A258="","",COUNTIFS('Таблиця 1'!$B:$B,$A258,'Таблиця 1'!$I:$I,"Mirage")+COUNTIFS('Таблиця 1'!$B:$B,$A258,'Таблиця 1'!$I:$I,"F-16")+COUNTIFS('Таблиця 1'!$B:$B,$A258,'Таблиця 1'!$I:$I,"МіГ-29")+COUNTIFS('Таблиця 1'!$B:$B,$A258,'Таблиця 1'!$I:$I,"Су-25")+COUNTIFS('Таблиця 1'!$B:$B,$A258,'Таблиця 1'!$I:$I,"Су-27"))</f>
        <v/>
      </c>
      <c r="C258">
        <f>IF($A258="","",COUNTIFS('Таблиця 1'!$B:$B,$A258,'Таблиця 1'!$I:$I,"Mirage"))</f>
        <v/>
      </c>
      <c r="D258">
        <f>IF($A258="","",COUNTIFS('Таблиця 1'!$B:$B,$A258,'Таблиця 1'!$I:$I,"F-16"))</f>
        <v/>
      </c>
      <c r="E258">
        <f>IF($A258="","",COUNTIFS('Таблиця 1'!$B:$B,$A258,'Таблиця 1'!$I:$I,"МіГ-29"))</f>
        <v/>
      </c>
      <c r="F258">
        <f>IF($A258="","",COUNTIFS('Таблиця 1'!$B:$B,$A258,'Таблиця 1'!$I:$I,"Су-25"))</f>
        <v/>
      </c>
      <c r="G258">
        <f>IF($A258="","",COUNTIFS('Таблиця 1'!$B:$B,$A258,'Таблиця 1'!$I:$I,"Су-27"))</f>
        <v/>
      </c>
      <c r="H258">
        <f>IF($A258="","",SUMIFS('Таблиця 1'!$K:$K,'Таблиця 1'!$B:$B,$A258,'Таблиця 1'!$I:$I,"Mirage",'Таблиця 1'!$J:$J,"AGM-88")+SUMIFS('Таблиця 1'!$K:$K,'Таблиця 1'!$B:$B,$A258,'Таблиця 1'!$I:$I,"F-16",'Таблиця 1'!$J:$J,"AGM-88")+SUMIFS('Таблиця 1'!$K:$K,'Таблиця 1'!$B:$B,$A258,'Таблиця 1'!$I:$I,"МіГ-29",'Таблиця 1'!$J:$J,"AGM-88")+SUMIFS('Таблиця 1'!$K:$K,'Таблиця 1'!$B:$B,$A258,'Таблиця 1'!$I:$I,"Су-25",'Таблиця 1'!$J:$J,"AGM-88")+SUMIFS('Таблиця 1'!$K:$K,'Таблиця 1'!$B:$B,$A258,'Таблиця 1'!$I:$I,"Су-27",'Таблиця 1'!$J:$J,"AGM-88"))</f>
        <v/>
      </c>
      <c r="I258">
        <f>IF($A258="","",SUMIFS('Таблиця 1'!$K:$K,'Таблиця 1'!$B:$B,$A258,'Таблиця 1'!$I:$I,"Mirage",'Таблиця 1'!$J:$J,"AASM-250")+SUMIFS('Таблиця 1'!$K:$K,'Таблиця 1'!$B:$B,$A258,'Таблиця 1'!$I:$I,"F-16",'Таблиця 1'!$J:$J,"AASM-250")+SUMIFS('Таблиця 1'!$K:$K,'Таблиця 1'!$B:$B,$A258,'Таблиця 1'!$I:$I,"МіГ-29",'Таблиця 1'!$J:$J,"AASM-250")+SUMIFS('Таблиця 1'!$K:$K,'Таблиця 1'!$B:$B,$A258,'Таблиця 1'!$I:$I,"Су-25",'Таблиця 1'!$J:$J,"AASM-250")+SUMIFS('Таблиця 1'!$K:$K,'Таблиця 1'!$B:$B,$A258,'Таблиця 1'!$I:$I,"Су-27",'Таблиця 1'!$J:$J,"AASM-250"))</f>
        <v/>
      </c>
      <c r="J258">
        <f>IF($A258="","",SUMIFS('Таблиця 1'!$K:$K,'Таблиця 1'!$B:$B,$A258,'Таблиця 1'!$I:$I,"Mirage",'Таблиця 1'!$J:$J,"GBU-39")+SUMIFS('Таблиця 1'!$K:$K,'Таблиця 1'!$B:$B,$A258,'Таблиця 1'!$I:$I,"F-16",'Таблиця 1'!$J:$J,"GBU-39")+SUMIFS('Таблиця 1'!$K:$K,'Таблиця 1'!$B:$B,$A258,'Таблиця 1'!$I:$I,"МіГ-29",'Таблиця 1'!$J:$J,"GBU-39")+SUMIFS('Таблиця 1'!$K:$K,'Таблиця 1'!$B:$B,$A258,'Таблиця 1'!$I:$I,"Су-25",'Таблиця 1'!$J:$J,"GBU-39")+SUMIFS('Таблиця 1'!$K:$K,'Таблиця 1'!$B:$B,$A258,'Таблиця 1'!$I:$I,"Су-27",'Таблиця 1'!$J:$J,"GBU-39"))</f>
        <v/>
      </c>
      <c r="K258">
        <f>IF($A258="","",SUMIFS('Таблиця 1'!$K:$K,'Таблиця 1'!$B:$B,$A258,'Таблиця 1'!$I:$I,"Mirage",'Таблиця 1'!$J:$J,"BLU-140")+SUMIFS('Таблиця 1'!$K:$K,'Таблиця 1'!$B:$B,$A258,'Таблиця 1'!$I:$I,"F-16",'Таблиця 1'!$J:$J,"BLU-140")+SUMIFS('Таблиця 1'!$K:$K,'Таблиця 1'!$B:$B,$A258,'Таблиця 1'!$I:$I,"МіГ-29",'Таблиця 1'!$J:$J,"BLU-140")+SUMIFS('Таблиця 1'!$K:$K,'Таблиця 1'!$B:$B,$A258,'Таблиця 1'!$I:$I,"Су-25",'Таблиця 1'!$J:$J,"BLU-140")+SUMIFS('Таблиця 1'!$K:$K,'Таблиця 1'!$B:$B,$A258,'Таблиця 1'!$I:$I,"Су-27",'Таблиця 1'!$J:$J,"BLU-140"))</f>
        <v/>
      </c>
      <c r="L258">
        <f>IF($A258="","",SUMIFS('Таблиця 1'!$K:$K,'Таблиця 1'!$B:$B,$A258,'Таблиця 1'!$I:$I,"Mirage",'Таблиця 1'!$J:$J,"GBU-65")+SUMIFS('Таблиця 1'!$K:$K,'Таблиця 1'!$B:$B,$A258,'Таблиця 1'!$I:$I,"F-16",'Таблиця 1'!$J:$J,"GBU-65")+SUMIFS('Таблиця 1'!$K:$K,'Таблиця 1'!$B:$B,$A258,'Таблиця 1'!$I:$I,"МіГ-29",'Таблиця 1'!$J:$J,"GBU-65")+SUMIFS('Таблиця 1'!$K:$K,'Таблиця 1'!$B:$B,$A258,'Таблиця 1'!$I:$I,"Су-25",'Таблиця 1'!$J:$J,"GBU-65")+SUMIFS('Таблиця 1'!$K:$K,'Таблиця 1'!$B:$B,$A258,'Таблиця 1'!$I:$I,"Су-27",'Таблиця 1'!$J:$J,"GBU-65"))</f>
        <v/>
      </c>
      <c r="M258">
        <f>IF($A258="","",SUMIFS('Таблиця 1'!$K:$K,'Таблиця 1'!$B:$B,$A258,'Таблиця 1'!$I:$I,"Mirage",'Таблиця 1'!$J:$J,"GBU-62")+SUMIFS('Таблиця 1'!$K:$K,'Таблиця 1'!$B:$B,$A258,'Таблиця 1'!$I:$I,"F-16",'Таблиця 1'!$J:$J,"GBU-62")+SUMIFS('Таблиця 1'!$K:$K,'Таблиця 1'!$B:$B,$A258,'Таблиця 1'!$I:$I,"МіГ-29",'Таблиця 1'!$J:$J,"GBU-62")+SUMIFS('Таблиця 1'!$K:$K,'Таблиця 1'!$B:$B,$A258,'Таблиця 1'!$I:$I,"Су-25",'Таблиця 1'!$J:$J,"GBU-62")+SUMIFS('Таблиця 1'!$K:$K,'Таблиця 1'!$B:$B,$A258,'Таблиця 1'!$I:$I,"Су-27",'Таблиця 1'!$J:$J,"GBU-62"))</f>
        <v/>
      </c>
      <c r="N258">
        <f>IF($A258="","",SUMIFS('Таблиця 1'!$K:$K,'Таблиця 1'!$B:$B,$A258,'Таблиця 1'!$I:$I,"Mirage",'Таблиця 1'!$J:$J,"GBU-64")+SUMIFS('Таблиця 1'!$K:$K,'Таблиця 1'!$B:$B,$A258,'Таблиця 1'!$I:$I,"F-16",'Таблиця 1'!$J:$J,"GBU-64")+SUMIFS('Таблиця 1'!$K:$K,'Таблиця 1'!$B:$B,$A258,'Таблиця 1'!$I:$I,"МіГ-29",'Таблиця 1'!$J:$J,"GBU-64")+SUMIFS('Таблиця 1'!$K:$K,'Таблиця 1'!$B:$B,$A258,'Таблиця 1'!$I:$I,"Су-25",'Таблиця 1'!$J:$J,"GBU-64")+SUMIFS('Таблиця 1'!$K:$K,'Таблиця 1'!$B:$B,$A258,'Таблиця 1'!$I:$I,"Су-27",'Таблиця 1'!$J:$J,"GBU-64"))</f>
        <v/>
      </c>
      <c r="O258">
        <f>IF($A258="","",SUMIFS('Таблиця 1'!$K:$K,'Таблиця 1'!$B:$B,$A258,'Таблиця 1'!$I:$I,"Mirage",'Таблиця 1'!$J:$J,"C-13")+SUMIFS('Таблиця 1'!$K:$K,'Таблиця 1'!$B:$B,$A258,'Таблиця 1'!$I:$I,"F-16",'Таблиця 1'!$J:$J,"C-13")+SUMIFS('Таблиця 1'!$K:$K,'Таблиця 1'!$B:$B,$A258,'Таблиця 1'!$I:$I,"МіГ-29",'Таблиця 1'!$J:$J,"C-13")+SUMIFS('Таблиця 1'!$K:$K,'Таблиця 1'!$B:$B,$A258,'Таблиця 1'!$I:$I,"Су-25",'Таблиця 1'!$J:$J,"C-13")+SUMIFS('Таблиця 1'!$K:$K,'Таблиця 1'!$B:$B,$A258,'Таблиця 1'!$I:$I,"Су-27",'Таблиця 1'!$J:$J,"C-13"))</f>
        <v/>
      </c>
      <c r="P258">
        <f>IF($A258="","",SUMIFS('Таблиця 1'!$K:$K,'Таблиця 1'!$B:$B,$A258,'Таблиця 1'!$I:$I,"Mirage",'Таблиця 1'!$J:$J,"MK-32")+SUMIFS('Таблиця 1'!$K:$K,'Таблиця 1'!$B:$B,$A258,'Таблиця 1'!$I:$I,"F-16",'Таблиця 1'!$J:$J,"MK-32")+SUMIFS('Таблиця 1'!$K:$K,'Таблиця 1'!$B:$B,$A258,'Таблиця 1'!$I:$I,"МіГ-29",'Таблиця 1'!$J:$J,"MK-32")+SUMIFS('Таблиця 1'!$K:$K,'Таблиця 1'!$B:$B,$A258,'Таблиця 1'!$I:$I,"Су-25",'Таблиця 1'!$J:$J,"MK-32")+SUMIFS('Таблиця 1'!$K:$K,'Таблиця 1'!$B:$B,$A258,'Таблиця 1'!$I:$I,"Су-27",'Таблиця 1'!$J:$J,"MK-32"))</f>
        <v/>
      </c>
      <c r="Q258">
        <f>IF($A258="","",SUMIFS('Таблиця 1'!$K:$K,'Таблиця 1'!$B:$B,$A258,'Таблиця 1'!$I:$I,"Mirage",'Таблиця 1'!$J:$J,"MK-24")+SUMIFS('Таблиця 1'!$K:$K,'Таблиця 1'!$B:$B,$A258,'Таблиця 1'!$I:$I,"F-16",'Таблиця 1'!$J:$J,"MK-24")+SUMIFS('Таблиця 1'!$K:$K,'Таблиця 1'!$B:$B,$A258,'Таблиця 1'!$I:$I,"МіГ-29",'Таблиця 1'!$J:$J,"MK-24")+SUMIFS('Таблиця 1'!$K:$K,'Таблиця 1'!$B:$B,$A258,'Таблиця 1'!$I:$I,"Су-25",'Таблиця 1'!$J:$J,"MK-24")+SUMIFS('Таблиця 1'!$K:$K,'Таблиця 1'!$B:$B,$A258,'Таблиця 1'!$I:$I,"Су-27",'Таблиця 1'!$J:$J,"MK-24"))</f>
        <v/>
      </c>
      <c r="R258">
        <f>IF($A258="","",COUNTIFS('Таблиця 1'!$B:$B,$A258,'Таблиця 1'!$I:$I,"Mirage",'Таблиця 1'!$L:$L,"Уражено")+COUNTIFS('Таблиця 1'!$B:$B,$A258,'Таблиця 1'!$I:$I,"F-16",'Таблиця 1'!$L:$L,"Уражено")+COUNTIFS('Таблиця 1'!$B:$B,$A258,'Таблиця 1'!$I:$I,"МіГ-29",'Таблиця 1'!$L:$L,"Уражено")+COUNTIFS('Таблиця 1'!$B:$B,$A258,'Таблиця 1'!$I:$I,"Су-25",'Таблиця 1'!$L:$L,"Уражено")+COUNTIFS('Таблиця 1'!$B:$B,$A258,'Таблиця 1'!$I:$I,"Су-27",'Таблиця 1'!$L:$L,"Уражено"))</f>
        <v/>
      </c>
      <c r="S258">
        <f>IF($A258="","",COUNTIFS('Таблиця 1'!$B:$B,$A258,'Таблиця 1'!$I:$I,"Mirage",'Таблиця 1'!$L:$L,"НЕ уражено")+COUNTIFS('Таблиця 1'!$B:$B,$A258,'Таблиця 1'!$I:$I,"F-16",'Таблиця 1'!$L:$L,"НЕ уражено")+COUNTIFS('Таблиця 1'!$B:$B,$A258,'Таблиця 1'!$I:$I,"МіГ-29",'Таблиця 1'!$L:$L,"НЕ уражено")+COUNTIFS('Таблиця 1'!$B:$B,$A258,'Таблиця 1'!$I:$I,"Су-25",'Таблиця 1'!$L:$L,"НЕ уражено")+COUNTIFS('Таблиця 1'!$B:$B,$A258,'Таблиця 1'!$I:$I,"Су-27",'Таблиця 1'!$L:$L,"НЕ уражено"))</f>
        <v/>
      </c>
      <c r="T258">
        <f>IF($A258="","",COUNTIFS('Таблиця 1'!$B:$B,$A258,'Таблиця 1'!$I:$I,"Mirage",'Таблиця 1'!$L:$L,"Дорозвідується")+COUNTIFS('Таблиця 1'!$B:$B,$A258,'Таблиця 1'!$I:$I,"F-16",'Таблиця 1'!$L:$L,"Дорозвідується")+COUNTIFS('Таблиця 1'!$B:$B,$A258,'Таблиця 1'!$I:$I,"МіГ-29",'Таблиця 1'!$L:$L,"Дорозвідується")+COUNTIFS('Таблиця 1'!$B:$B,$A258,'Таблиця 1'!$I:$I,"Су-25",'Таблиця 1'!$L:$L,"Дорозвідується")+COUNTIFS('Таблиця 1'!$B:$B,$A258,'Таблиця 1'!$I:$I,"Су-27",'Таблиця 1'!$L:$L,"Дорозвідується"))</f>
        <v/>
      </c>
    </row>
    <row r="259">
      <c r="A259" s="273">
        <f>IF(A258="","",IF(A258+1&gt;MAX('Таблиця 1'!$B:$B),"",A258+1))</f>
        <v/>
      </c>
      <c r="B259">
        <f>IF($A259="","",COUNTIFS('Таблиця 1'!$B:$B,$A259,'Таблиця 1'!$I:$I,"Mirage")+COUNTIFS('Таблиця 1'!$B:$B,$A259,'Таблиця 1'!$I:$I,"F-16")+COUNTIFS('Таблиця 1'!$B:$B,$A259,'Таблиця 1'!$I:$I,"МіГ-29")+COUNTIFS('Таблиця 1'!$B:$B,$A259,'Таблиця 1'!$I:$I,"Су-25")+COUNTIFS('Таблиця 1'!$B:$B,$A259,'Таблиця 1'!$I:$I,"Су-27"))</f>
        <v/>
      </c>
      <c r="C259">
        <f>IF($A259="","",COUNTIFS('Таблиця 1'!$B:$B,$A259,'Таблиця 1'!$I:$I,"Mirage"))</f>
        <v/>
      </c>
      <c r="D259">
        <f>IF($A259="","",COUNTIFS('Таблиця 1'!$B:$B,$A259,'Таблиця 1'!$I:$I,"F-16"))</f>
        <v/>
      </c>
      <c r="E259">
        <f>IF($A259="","",COUNTIFS('Таблиця 1'!$B:$B,$A259,'Таблиця 1'!$I:$I,"МіГ-29"))</f>
        <v/>
      </c>
      <c r="F259">
        <f>IF($A259="","",COUNTIFS('Таблиця 1'!$B:$B,$A259,'Таблиця 1'!$I:$I,"Су-25"))</f>
        <v/>
      </c>
      <c r="G259">
        <f>IF($A259="","",COUNTIFS('Таблиця 1'!$B:$B,$A259,'Таблиця 1'!$I:$I,"Су-27"))</f>
        <v/>
      </c>
      <c r="H259">
        <f>IF($A259="","",SUMIFS('Таблиця 1'!$K:$K,'Таблиця 1'!$B:$B,$A259,'Таблиця 1'!$I:$I,"Mirage",'Таблиця 1'!$J:$J,"AGM-88")+SUMIFS('Таблиця 1'!$K:$K,'Таблиця 1'!$B:$B,$A259,'Таблиця 1'!$I:$I,"F-16",'Таблиця 1'!$J:$J,"AGM-88")+SUMIFS('Таблиця 1'!$K:$K,'Таблиця 1'!$B:$B,$A259,'Таблиця 1'!$I:$I,"МіГ-29",'Таблиця 1'!$J:$J,"AGM-88")+SUMIFS('Таблиця 1'!$K:$K,'Таблиця 1'!$B:$B,$A259,'Таблиця 1'!$I:$I,"Су-25",'Таблиця 1'!$J:$J,"AGM-88")+SUMIFS('Таблиця 1'!$K:$K,'Таблиця 1'!$B:$B,$A259,'Таблиця 1'!$I:$I,"Су-27",'Таблиця 1'!$J:$J,"AGM-88"))</f>
        <v/>
      </c>
      <c r="I259">
        <f>IF($A259="","",SUMIFS('Таблиця 1'!$K:$K,'Таблиця 1'!$B:$B,$A259,'Таблиця 1'!$I:$I,"Mirage",'Таблиця 1'!$J:$J,"AASM-250")+SUMIFS('Таблиця 1'!$K:$K,'Таблиця 1'!$B:$B,$A259,'Таблиця 1'!$I:$I,"F-16",'Таблиця 1'!$J:$J,"AASM-250")+SUMIFS('Таблиця 1'!$K:$K,'Таблиця 1'!$B:$B,$A259,'Таблиця 1'!$I:$I,"МіГ-29",'Таблиця 1'!$J:$J,"AASM-250")+SUMIFS('Таблиця 1'!$K:$K,'Таблиця 1'!$B:$B,$A259,'Таблиця 1'!$I:$I,"Су-25",'Таблиця 1'!$J:$J,"AASM-250")+SUMIFS('Таблиця 1'!$K:$K,'Таблиця 1'!$B:$B,$A259,'Таблиця 1'!$I:$I,"Су-27",'Таблиця 1'!$J:$J,"AASM-250"))</f>
        <v/>
      </c>
      <c r="J259">
        <f>IF($A259="","",SUMIFS('Таблиця 1'!$K:$K,'Таблиця 1'!$B:$B,$A259,'Таблиця 1'!$I:$I,"Mirage",'Таблиця 1'!$J:$J,"GBU-39")+SUMIFS('Таблиця 1'!$K:$K,'Таблиця 1'!$B:$B,$A259,'Таблиця 1'!$I:$I,"F-16",'Таблиця 1'!$J:$J,"GBU-39")+SUMIFS('Таблиця 1'!$K:$K,'Таблиця 1'!$B:$B,$A259,'Таблиця 1'!$I:$I,"МіГ-29",'Таблиця 1'!$J:$J,"GBU-39")+SUMIFS('Таблиця 1'!$K:$K,'Таблиця 1'!$B:$B,$A259,'Таблиця 1'!$I:$I,"Су-25",'Таблиця 1'!$J:$J,"GBU-39")+SUMIFS('Таблиця 1'!$K:$K,'Таблиця 1'!$B:$B,$A259,'Таблиця 1'!$I:$I,"Су-27",'Таблиця 1'!$J:$J,"GBU-39"))</f>
        <v/>
      </c>
      <c r="K259">
        <f>IF($A259="","",SUMIFS('Таблиця 1'!$K:$K,'Таблиця 1'!$B:$B,$A259,'Таблиця 1'!$I:$I,"Mirage",'Таблиця 1'!$J:$J,"BLU-140")+SUMIFS('Таблиця 1'!$K:$K,'Таблиця 1'!$B:$B,$A259,'Таблиця 1'!$I:$I,"F-16",'Таблиця 1'!$J:$J,"BLU-140")+SUMIFS('Таблиця 1'!$K:$K,'Таблиця 1'!$B:$B,$A259,'Таблиця 1'!$I:$I,"МіГ-29",'Таблиця 1'!$J:$J,"BLU-140")+SUMIFS('Таблиця 1'!$K:$K,'Таблиця 1'!$B:$B,$A259,'Таблиця 1'!$I:$I,"Су-25",'Таблиця 1'!$J:$J,"BLU-140")+SUMIFS('Таблиця 1'!$K:$K,'Таблиця 1'!$B:$B,$A259,'Таблиця 1'!$I:$I,"Су-27",'Таблиця 1'!$J:$J,"BLU-140"))</f>
        <v/>
      </c>
      <c r="L259">
        <f>IF($A259="","",SUMIFS('Таблиця 1'!$K:$K,'Таблиця 1'!$B:$B,$A259,'Таблиця 1'!$I:$I,"Mirage",'Таблиця 1'!$J:$J,"GBU-65")+SUMIFS('Таблиця 1'!$K:$K,'Таблиця 1'!$B:$B,$A259,'Таблиця 1'!$I:$I,"F-16",'Таблиця 1'!$J:$J,"GBU-65")+SUMIFS('Таблиця 1'!$K:$K,'Таблиця 1'!$B:$B,$A259,'Таблиця 1'!$I:$I,"МіГ-29",'Таблиця 1'!$J:$J,"GBU-65")+SUMIFS('Таблиця 1'!$K:$K,'Таблиця 1'!$B:$B,$A259,'Таблиця 1'!$I:$I,"Су-25",'Таблиця 1'!$J:$J,"GBU-65")+SUMIFS('Таблиця 1'!$K:$K,'Таблиця 1'!$B:$B,$A259,'Таблиця 1'!$I:$I,"Су-27",'Таблиця 1'!$J:$J,"GBU-65"))</f>
        <v/>
      </c>
      <c r="M259">
        <f>IF($A259="","",SUMIFS('Таблиця 1'!$K:$K,'Таблиця 1'!$B:$B,$A259,'Таблиця 1'!$I:$I,"Mirage",'Таблиця 1'!$J:$J,"GBU-62")+SUMIFS('Таблиця 1'!$K:$K,'Таблиця 1'!$B:$B,$A259,'Таблиця 1'!$I:$I,"F-16",'Таблиця 1'!$J:$J,"GBU-62")+SUMIFS('Таблиця 1'!$K:$K,'Таблиця 1'!$B:$B,$A259,'Таблиця 1'!$I:$I,"МіГ-29",'Таблиця 1'!$J:$J,"GBU-62")+SUMIFS('Таблиця 1'!$K:$K,'Таблиця 1'!$B:$B,$A259,'Таблиця 1'!$I:$I,"Су-25",'Таблиця 1'!$J:$J,"GBU-62")+SUMIFS('Таблиця 1'!$K:$K,'Таблиця 1'!$B:$B,$A259,'Таблиця 1'!$I:$I,"Су-27",'Таблиця 1'!$J:$J,"GBU-62"))</f>
        <v/>
      </c>
      <c r="N259">
        <f>IF($A259="","",SUMIFS('Таблиця 1'!$K:$K,'Таблиця 1'!$B:$B,$A259,'Таблиця 1'!$I:$I,"Mirage",'Таблиця 1'!$J:$J,"GBU-64")+SUMIFS('Таблиця 1'!$K:$K,'Таблиця 1'!$B:$B,$A259,'Таблиця 1'!$I:$I,"F-16",'Таблиця 1'!$J:$J,"GBU-64")+SUMIFS('Таблиця 1'!$K:$K,'Таблиця 1'!$B:$B,$A259,'Таблиця 1'!$I:$I,"МіГ-29",'Таблиця 1'!$J:$J,"GBU-64")+SUMIFS('Таблиця 1'!$K:$K,'Таблиця 1'!$B:$B,$A259,'Таблиця 1'!$I:$I,"Су-25",'Таблиця 1'!$J:$J,"GBU-64")+SUMIFS('Таблиця 1'!$K:$K,'Таблиця 1'!$B:$B,$A259,'Таблиця 1'!$I:$I,"Су-27",'Таблиця 1'!$J:$J,"GBU-64"))</f>
        <v/>
      </c>
      <c r="O259">
        <f>IF($A259="","",SUMIFS('Таблиця 1'!$K:$K,'Таблиця 1'!$B:$B,$A259,'Таблиця 1'!$I:$I,"Mirage",'Таблиця 1'!$J:$J,"C-13")+SUMIFS('Таблиця 1'!$K:$K,'Таблиця 1'!$B:$B,$A259,'Таблиця 1'!$I:$I,"F-16",'Таблиця 1'!$J:$J,"C-13")+SUMIFS('Таблиця 1'!$K:$K,'Таблиця 1'!$B:$B,$A259,'Таблиця 1'!$I:$I,"МіГ-29",'Таблиця 1'!$J:$J,"C-13")+SUMIFS('Таблиця 1'!$K:$K,'Таблиця 1'!$B:$B,$A259,'Таблиця 1'!$I:$I,"Су-25",'Таблиця 1'!$J:$J,"C-13")+SUMIFS('Таблиця 1'!$K:$K,'Таблиця 1'!$B:$B,$A259,'Таблиця 1'!$I:$I,"Су-27",'Таблиця 1'!$J:$J,"C-13"))</f>
        <v/>
      </c>
      <c r="P259">
        <f>IF($A259="","",SUMIFS('Таблиця 1'!$K:$K,'Таблиця 1'!$B:$B,$A259,'Таблиця 1'!$I:$I,"Mirage",'Таблиця 1'!$J:$J,"MK-32")+SUMIFS('Таблиця 1'!$K:$K,'Таблиця 1'!$B:$B,$A259,'Таблиця 1'!$I:$I,"F-16",'Таблиця 1'!$J:$J,"MK-32")+SUMIFS('Таблиця 1'!$K:$K,'Таблиця 1'!$B:$B,$A259,'Таблиця 1'!$I:$I,"МіГ-29",'Таблиця 1'!$J:$J,"MK-32")+SUMIFS('Таблиця 1'!$K:$K,'Таблиця 1'!$B:$B,$A259,'Таблиця 1'!$I:$I,"Су-25",'Таблиця 1'!$J:$J,"MK-32")+SUMIFS('Таблиця 1'!$K:$K,'Таблиця 1'!$B:$B,$A259,'Таблиця 1'!$I:$I,"Су-27",'Таблиця 1'!$J:$J,"MK-32"))</f>
        <v/>
      </c>
      <c r="Q259">
        <f>IF($A259="","",SUMIFS('Таблиця 1'!$K:$K,'Таблиця 1'!$B:$B,$A259,'Таблиця 1'!$I:$I,"Mirage",'Таблиця 1'!$J:$J,"MK-24")+SUMIFS('Таблиця 1'!$K:$K,'Таблиця 1'!$B:$B,$A259,'Таблиця 1'!$I:$I,"F-16",'Таблиця 1'!$J:$J,"MK-24")+SUMIFS('Таблиця 1'!$K:$K,'Таблиця 1'!$B:$B,$A259,'Таблиця 1'!$I:$I,"МіГ-29",'Таблиця 1'!$J:$J,"MK-24")+SUMIFS('Таблиця 1'!$K:$K,'Таблиця 1'!$B:$B,$A259,'Таблиця 1'!$I:$I,"Су-25",'Таблиця 1'!$J:$J,"MK-24")+SUMIFS('Таблиця 1'!$K:$K,'Таблиця 1'!$B:$B,$A259,'Таблиця 1'!$I:$I,"Су-27",'Таблиця 1'!$J:$J,"MK-24"))</f>
        <v/>
      </c>
      <c r="R259">
        <f>IF($A259="","",COUNTIFS('Таблиця 1'!$B:$B,$A259,'Таблиця 1'!$I:$I,"Mirage",'Таблиця 1'!$L:$L,"Уражено")+COUNTIFS('Таблиця 1'!$B:$B,$A259,'Таблиця 1'!$I:$I,"F-16",'Таблиця 1'!$L:$L,"Уражено")+COUNTIFS('Таблиця 1'!$B:$B,$A259,'Таблиця 1'!$I:$I,"МіГ-29",'Таблиця 1'!$L:$L,"Уражено")+COUNTIFS('Таблиця 1'!$B:$B,$A259,'Таблиця 1'!$I:$I,"Су-25",'Таблиця 1'!$L:$L,"Уражено")+COUNTIFS('Таблиця 1'!$B:$B,$A259,'Таблиця 1'!$I:$I,"Су-27",'Таблиця 1'!$L:$L,"Уражено"))</f>
        <v/>
      </c>
      <c r="S259">
        <f>IF($A259="","",COUNTIFS('Таблиця 1'!$B:$B,$A259,'Таблиця 1'!$I:$I,"Mirage",'Таблиця 1'!$L:$L,"НЕ уражено")+COUNTIFS('Таблиця 1'!$B:$B,$A259,'Таблиця 1'!$I:$I,"F-16",'Таблиця 1'!$L:$L,"НЕ уражено")+COUNTIFS('Таблиця 1'!$B:$B,$A259,'Таблиця 1'!$I:$I,"МіГ-29",'Таблиця 1'!$L:$L,"НЕ уражено")+COUNTIFS('Таблиця 1'!$B:$B,$A259,'Таблиця 1'!$I:$I,"Су-25",'Таблиця 1'!$L:$L,"НЕ уражено")+COUNTIFS('Таблиця 1'!$B:$B,$A259,'Таблиця 1'!$I:$I,"Су-27",'Таблиця 1'!$L:$L,"НЕ уражено"))</f>
        <v/>
      </c>
      <c r="T259">
        <f>IF($A259="","",COUNTIFS('Таблиця 1'!$B:$B,$A259,'Таблиця 1'!$I:$I,"Mirage",'Таблиця 1'!$L:$L,"Дорозвідується")+COUNTIFS('Таблиця 1'!$B:$B,$A259,'Таблиця 1'!$I:$I,"F-16",'Таблиця 1'!$L:$L,"Дорозвідується")+COUNTIFS('Таблиця 1'!$B:$B,$A259,'Таблиця 1'!$I:$I,"МіГ-29",'Таблиця 1'!$L:$L,"Дорозвідується")+COUNTIFS('Таблиця 1'!$B:$B,$A259,'Таблиця 1'!$I:$I,"Су-25",'Таблиця 1'!$L:$L,"Дорозвідується")+COUNTIFS('Таблиця 1'!$B:$B,$A259,'Таблиця 1'!$I:$I,"Су-27",'Таблиця 1'!$L:$L,"Дорозвідується"))</f>
        <v/>
      </c>
    </row>
    <row r="260">
      <c r="A260" s="273">
        <f>IF(A259="","",IF(A259+1&gt;MAX('Таблиця 1'!$B:$B),"",A259+1))</f>
        <v/>
      </c>
      <c r="B260">
        <f>IF($A260="","",COUNTIFS('Таблиця 1'!$B:$B,$A260,'Таблиця 1'!$I:$I,"Mirage")+COUNTIFS('Таблиця 1'!$B:$B,$A260,'Таблиця 1'!$I:$I,"F-16")+COUNTIFS('Таблиця 1'!$B:$B,$A260,'Таблиця 1'!$I:$I,"МіГ-29")+COUNTIFS('Таблиця 1'!$B:$B,$A260,'Таблиця 1'!$I:$I,"Су-25")+COUNTIFS('Таблиця 1'!$B:$B,$A260,'Таблиця 1'!$I:$I,"Су-27"))</f>
        <v/>
      </c>
      <c r="C260">
        <f>IF($A260="","",COUNTIFS('Таблиця 1'!$B:$B,$A260,'Таблиця 1'!$I:$I,"Mirage"))</f>
        <v/>
      </c>
      <c r="D260">
        <f>IF($A260="","",COUNTIFS('Таблиця 1'!$B:$B,$A260,'Таблиця 1'!$I:$I,"F-16"))</f>
        <v/>
      </c>
      <c r="E260">
        <f>IF($A260="","",COUNTIFS('Таблиця 1'!$B:$B,$A260,'Таблиця 1'!$I:$I,"МіГ-29"))</f>
        <v/>
      </c>
      <c r="F260">
        <f>IF($A260="","",COUNTIFS('Таблиця 1'!$B:$B,$A260,'Таблиця 1'!$I:$I,"Су-25"))</f>
        <v/>
      </c>
      <c r="G260">
        <f>IF($A260="","",COUNTIFS('Таблиця 1'!$B:$B,$A260,'Таблиця 1'!$I:$I,"Су-27"))</f>
        <v/>
      </c>
      <c r="H260">
        <f>IF($A260="","",SUMIFS('Таблиця 1'!$K:$K,'Таблиця 1'!$B:$B,$A260,'Таблиця 1'!$I:$I,"Mirage",'Таблиця 1'!$J:$J,"AGM-88")+SUMIFS('Таблиця 1'!$K:$K,'Таблиця 1'!$B:$B,$A260,'Таблиця 1'!$I:$I,"F-16",'Таблиця 1'!$J:$J,"AGM-88")+SUMIFS('Таблиця 1'!$K:$K,'Таблиця 1'!$B:$B,$A260,'Таблиця 1'!$I:$I,"МіГ-29",'Таблиця 1'!$J:$J,"AGM-88")+SUMIFS('Таблиця 1'!$K:$K,'Таблиця 1'!$B:$B,$A260,'Таблиця 1'!$I:$I,"Су-25",'Таблиця 1'!$J:$J,"AGM-88")+SUMIFS('Таблиця 1'!$K:$K,'Таблиця 1'!$B:$B,$A260,'Таблиця 1'!$I:$I,"Су-27",'Таблиця 1'!$J:$J,"AGM-88"))</f>
        <v/>
      </c>
      <c r="I260">
        <f>IF($A260="","",SUMIFS('Таблиця 1'!$K:$K,'Таблиця 1'!$B:$B,$A260,'Таблиця 1'!$I:$I,"Mirage",'Таблиця 1'!$J:$J,"AASM-250")+SUMIFS('Таблиця 1'!$K:$K,'Таблиця 1'!$B:$B,$A260,'Таблиця 1'!$I:$I,"F-16",'Таблиця 1'!$J:$J,"AASM-250")+SUMIFS('Таблиця 1'!$K:$K,'Таблиця 1'!$B:$B,$A260,'Таблиця 1'!$I:$I,"МіГ-29",'Таблиця 1'!$J:$J,"AASM-250")+SUMIFS('Таблиця 1'!$K:$K,'Таблиця 1'!$B:$B,$A260,'Таблиця 1'!$I:$I,"Су-25",'Таблиця 1'!$J:$J,"AASM-250")+SUMIFS('Таблиця 1'!$K:$K,'Таблиця 1'!$B:$B,$A260,'Таблиця 1'!$I:$I,"Су-27",'Таблиця 1'!$J:$J,"AASM-250"))</f>
        <v/>
      </c>
      <c r="J260">
        <f>IF($A260="","",SUMIFS('Таблиця 1'!$K:$K,'Таблиця 1'!$B:$B,$A260,'Таблиця 1'!$I:$I,"Mirage",'Таблиця 1'!$J:$J,"GBU-39")+SUMIFS('Таблиця 1'!$K:$K,'Таблиця 1'!$B:$B,$A260,'Таблиця 1'!$I:$I,"F-16",'Таблиця 1'!$J:$J,"GBU-39")+SUMIFS('Таблиця 1'!$K:$K,'Таблиця 1'!$B:$B,$A260,'Таблиця 1'!$I:$I,"МіГ-29",'Таблиця 1'!$J:$J,"GBU-39")+SUMIFS('Таблиця 1'!$K:$K,'Таблиця 1'!$B:$B,$A260,'Таблиця 1'!$I:$I,"Су-25",'Таблиця 1'!$J:$J,"GBU-39")+SUMIFS('Таблиця 1'!$K:$K,'Таблиця 1'!$B:$B,$A260,'Таблиця 1'!$I:$I,"Су-27",'Таблиця 1'!$J:$J,"GBU-39"))</f>
        <v/>
      </c>
      <c r="K260">
        <f>IF($A260="","",SUMIFS('Таблиця 1'!$K:$K,'Таблиця 1'!$B:$B,$A260,'Таблиця 1'!$I:$I,"Mirage",'Таблиця 1'!$J:$J,"BLU-140")+SUMIFS('Таблиця 1'!$K:$K,'Таблиця 1'!$B:$B,$A260,'Таблиця 1'!$I:$I,"F-16",'Таблиця 1'!$J:$J,"BLU-140")+SUMIFS('Таблиця 1'!$K:$K,'Таблиця 1'!$B:$B,$A260,'Таблиця 1'!$I:$I,"МіГ-29",'Таблиця 1'!$J:$J,"BLU-140")+SUMIFS('Таблиця 1'!$K:$K,'Таблиця 1'!$B:$B,$A260,'Таблиця 1'!$I:$I,"Су-25",'Таблиця 1'!$J:$J,"BLU-140")+SUMIFS('Таблиця 1'!$K:$K,'Таблиця 1'!$B:$B,$A260,'Таблиця 1'!$I:$I,"Су-27",'Таблиця 1'!$J:$J,"BLU-140"))</f>
        <v/>
      </c>
      <c r="L260">
        <f>IF($A260="","",SUMIFS('Таблиця 1'!$K:$K,'Таблиця 1'!$B:$B,$A260,'Таблиця 1'!$I:$I,"Mirage",'Таблиця 1'!$J:$J,"GBU-65")+SUMIFS('Таблиця 1'!$K:$K,'Таблиця 1'!$B:$B,$A260,'Таблиця 1'!$I:$I,"F-16",'Таблиця 1'!$J:$J,"GBU-65")+SUMIFS('Таблиця 1'!$K:$K,'Таблиця 1'!$B:$B,$A260,'Таблиця 1'!$I:$I,"МіГ-29",'Таблиця 1'!$J:$J,"GBU-65")+SUMIFS('Таблиця 1'!$K:$K,'Таблиця 1'!$B:$B,$A260,'Таблиця 1'!$I:$I,"Су-25",'Таблиця 1'!$J:$J,"GBU-65")+SUMIFS('Таблиця 1'!$K:$K,'Таблиця 1'!$B:$B,$A260,'Таблиця 1'!$I:$I,"Су-27",'Таблиця 1'!$J:$J,"GBU-65"))</f>
        <v/>
      </c>
      <c r="M260">
        <f>IF($A260="","",SUMIFS('Таблиця 1'!$K:$K,'Таблиця 1'!$B:$B,$A260,'Таблиця 1'!$I:$I,"Mirage",'Таблиця 1'!$J:$J,"GBU-62")+SUMIFS('Таблиця 1'!$K:$K,'Таблиця 1'!$B:$B,$A260,'Таблиця 1'!$I:$I,"F-16",'Таблиця 1'!$J:$J,"GBU-62")+SUMIFS('Таблиця 1'!$K:$K,'Таблиця 1'!$B:$B,$A260,'Таблиця 1'!$I:$I,"МіГ-29",'Таблиця 1'!$J:$J,"GBU-62")+SUMIFS('Таблиця 1'!$K:$K,'Таблиця 1'!$B:$B,$A260,'Таблиця 1'!$I:$I,"Су-25",'Таблиця 1'!$J:$J,"GBU-62")+SUMIFS('Таблиця 1'!$K:$K,'Таблиця 1'!$B:$B,$A260,'Таблиця 1'!$I:$I,"Су-27",'Таблиця 1'!$J:$J,"GBU-62"))</f>
        <v/>
      </c>
      <c r="N260">
        <f>IF($A260="","",SUMIFS('Таблиця 1'!$K:$K,'Таблиця 1'!$B:$B,$A260,'Таблиця 1'!$I:$I,"Mirage",'Таблиця 1'!$J:$J,"GBU-64")+SUMIFS('Таблиця 1'!$K:$K,'Таблиця 1'!$B:$B,$A260,'Таблиця 1'!$I:$I,"F-16",'Таблиця 1'!$J:$J,"GBU-64")+SUMIFS('Таблиця 1'!$K:$K,'Таблиця 1'!$B:$B,$A260,'Таблиця 1'!$I:$I,"МіГ-29",'Таблиця 1'!$J:$J,"GBU-64")+SUMIFS('Таблиця 1'!$K:$K,'Таблиця 1'!$B:$B,$A260,'Таблиця 1'!$I:$I,"Су-25",'Таблиця 1'!$J:$J,"GBU-64")+SUMIFS('Таблиця 1'!$K:$K,'Таблиця 1'!$B:$B,$A260,'Таблиця 1'!$I:$I,"Су-27",'Таблиця 1'!$J:$J,"GBU-64"))</f>
        <v/>
      </c>
      <c r="O260">
        <f>IF($A260="","",SUMIFS('Таблиця 1'!$K:$K,'Таблиця 1'!$B:$B,$A260,'Таблиця 1'!$I:$I,"Mirage",'Таблиця 1'!$J:$J,"C-13")+SUMIFS('Таблиця 1'!$K:$K,'Таблиця 1'!$B:$B,$A260,'Таблиця 1'!$I:$I,"F-16",'Таблиця 1'!$J:$J,"C-13")+SUMIFS('Таблиця 1'!$K:$K,'Таблиця 1'!$B:$B,$A260,'Таблиця 1'!$I:$I,"МіГ-29",'Таблиця 1'!$J:$J,"C-13")+SUMIFS('Таблиця 1'!$K:$K,'Таблиця 1'!$B:$B,$A260,'Таблиця 1'!$I:$I,"Су-25",'Таблиця 1'!$J:$J,"C-13")+SUMIFS('Таблиця 1'!$K:$K,'Таблиця 1'!$B:$B,$A260,'Таблиця 1'!$I:$I,"Су-27",'Таблиця 1'!$J:$J,"C-13"))</f>
        <v/>
      </c>
      <c r="P260">
        <f>IF($A260="","",SUMIFS('Таблиця 1'!$K:$K,'Таблиця 1'!$B:$B,$A260,'Таблиця 1'!$I:$I,"Mirage",'Таблиця 1'!$J:$J,"MK-32")+SUMIFS('Таблиця 1'!$K:$K,'Таблиця 1'!$B:$B,$A260,'Таблиця 1'!$I:$I,"F-16",'Таблиця 1'!$J:$J,"MK-32")+SUMIFS('Таблиця 1'!$K:$K,'Таблиця 1'!$B:$B,$A260,'Таблиця 1'!$I:$I,"МіГ-29",'Таблиця 1'!$J:$J,"MK-32")+SUMIFS('Таблиця 1'!$K:$K,'Таблиця 1'!$B:$B,$A260,'Таблиця 1'!$I:$I,"Су-25",'Таблиця 1'!$J:$J,"MK-32")+SUMIFS('Таблиця 1'!$K:$K,'Таблиця 1'!$B:$B,$A260,'Таблиця 1'!$I:$I,"Су-27",'Таблиця 1'!$J:$J,"MK-32"))</f>
        <v/>
      </c>
      <c r="Q260">
        <f>IF($A260="","",SUMIFS('Таблиця 1'!$K:$K,'Таблиця 1'!$B:$B,$A260,'Таблиця 1'!$I:$I,"Mirage",'Таблиця 1'!$J:$J,"MK-24")+SUMIFS('Таблиця 1'!$K:$K,'Таблиця 1'!$B:$B,$A260,'Таблиця 1'!$I:$I,"F-16",'Таблиця 1'!$J:$J,"MK-24")+SUMIFS('Таблиця 1'!$K:$K,'Таблиця 1'!$B:$B,$A260,'Таблиця 1'!$I:$I,"МіГ-29",'Таблиця 1'!$J:$J,"MK-24")+SUMIFS('Таблиця 1'!$K:$K,'Таблиця 1'!$B:$B,$A260,'Таблиця 1'!$I:$I,"Су-25",'Таблиця 1'!$J:$J,"MK-24")+SUMIFS('Таблиця 1'!$K:$K,'Таблиця 1'!$B:$B,$A260,'Таблиця 1'!$I:$I,"Су-27",'Таблиця 1'!$J:$J,"MK-24"))</f>
        <v/>
      </c>
      <c r="R260">
        <f>IF($A260="","",COUNTIFS('Таблиця 1'!$B:$B,$A260,'Таблиця 1'!$I:$I,"Mirage",'Таблиця 1'!$L:$L,"Уражено")+COUNTIFS('Таблиця 1'!$B:$B,$A260,'Таблиця 1'!$I:$I,"F-16",'Таблиця 1'!$L:$L,"Уражено")+COUNTIFS('Таблиця 1'!$B:$B,$A260,'Таблиця 1'!$I:$I,"МіГ-29",'Таблиця 1'!$L:$L,"Уражено")+COUNTIFS('Таблиця 1'!$B:$B,$A260,'Таблиця 1'!$I:$I,"Су-25",'Таблиця 1'!$L:$L,"Уражено")+COUNTIFS('Таблиця 1'!$B:$B,$A260,'Таблиця 1'!$I:$I,"Су-27",'Таблиця 1'!$L:$L,"Уражено"))</f>
        <v/>
      </c>
      <c r="S260">
        <f>IF($A260="","",COUNTIFS('Таблиця 1'!$B:$B,$A260,'Таблиця 1'!$I:$I,"Mirage",'Таблиця 1'!$L:$L,"НЕ уражено")+COUNTIFS('Таблиця 1'!$B:$B,$A260,'Таблиця 1'!$I:$I,"F-16",'Таблиця 1'!$L:$L,"НЕ уражено")+COUNTIFS('Таблиця 1'!$B:$B,$A260,'Таблиця 1'!$I:$I,"МіГ-29",'Таблиця 1'!$L:$L,"НЕ уражено")+COUNTIFS('Таблиця 1'!$B:$B,$A260,'Таблиця 1'!$I:$I,"Су-25",'Таблиця 1'!$L:$L,"НЕ уражено")+COUNTIFS('Таблиця 1'!$B:$B,$A260,'Таблиця 1'!$I:$I,"Су-27",'Таблиця 1'!$L:$L,"НЕ уражено"))</f>
        <v/>
      </c>
      <c r="T260">
        <f>IF($A260="","",COUNTIFS('Таблиця 1'!$B:$B,$A260,'Таблиця 1'!$I:$I,"Mirage",'Таблиця 1'!$L:$L,"Дорозвідується")+COUNTIFS('Таблиця 1'!$B:$B,$A260,'Таблиця 1'!$I:$I,"F-16",'Таблиця 1'!$L:$L,"Дорозвідується")+COUNTIFS('Таблиця 1'!$B:$B,$A260,'Таблиця 1'!$I:$I,"МіГ-29",'Таблиця 1'!$L:$L,"Дорозвідується")+COUNTIFS('Таблиця 1'!$B:$B,$A260,'Таблиця 1'!$I:$I,"Су-25",'Таблиця 1'!$L:$L,"Дорозвідується")+COUNTIFS('Таблиця 1'!$B:$B,$A260,'Таблиця 1'!$I:$I,"Су-27",'Таблиця 1'!$L:$L,"Дорозвідується"))</f>
        <v/>
      </c>
    </row>
    <row r="261">
      <c r="A261" s="273">
        <f>IF(A260="","",IF(A260+1&gt;MAX('Таблиця 1'!$B:$B),"",A260+1))</f>
        <v/>
      </c>
      <c r="B261">
        <f>IF($A261="","",COUNTIFS('Таблиця 1'!$B:$B,$A261,'Таблиця 1'!$I:$I,"Mirage")+COUNTIFS('Таблиця 1'!$B:$B,$A261,'Таблиця 1'!$I:$I,"F-16")+COUNTIFS('Таблиця 1'!$B:$B,$A261,'Таблиця 1'!$I:$I,"МіГ-29")+COUNTIFS('Таблиця 1'!$B:$B,$A261,'Таблиця 1'!$I:$I,"Су-25")+COUNTIFS('Таблиця 1'!$B:$B,$A261,'Таблиця 1'!$I:$I,"Су-27"))</f>
        <v/>
      </c>
      <c r="C261">
        <f>IF($A261="","",COUNTIFS('Таблиця 1'!$B:$B,$A261,'Таблиця 1'!$I:$I,"Mirage"))</f>
        <v/>
      </c>
      <c r="D261">
        <f>IF($A261="","",COUNTIFS('Таблиця 1'!$B:$B,$A261,'Таблиця 1'!$I:$I,"F-16"))</f>
        <v/>
      </c>
      <c r="E261">
        <f>IF($A261="","",COUNTIFS('Таблиця 1'!$B:$B,$A261,'Таблиця 1'!$I:$I,"МіГ-29"))</f>
        <v/>
      </c>
      <c r="F261">
        <f>IF($A261="","",COUNTIFS('Таблиця 1'!$B:$B,$A261,'Таблиця 1'!$I:$I,"Су-25"))</f>
        <v/>
      </c>
      <c r="G261">
        <f>IF($A261="","",COUNTIFS('Таблиця 1'!$B:$B,$A261,'Таблиця 1'!$I:$I,"Су-27"))</f>
        <v/>
      </c>
      <c r="H261">
        <f>IF($A261="","",SUMIFS('Таблиця 1'!$K:$K,'Таблиця 1'!$B:$B,$A261,'Таблиця 1'!$I:$I,"Mirage",'Таблиця 1'!$J:$J,"AGM-88")+SUMIFS('Таблиця 1'!$K:$K,'Таблиця 1'!$B:$B,$A261,'Таблиця 1'!$I:$I,"F-16",'Таблиця 1'!$J:$J,"AGM-88")+SUMIFS('Таблиця 1'!$K:$K,'Таблиця 1'!$B:$B,$A261,'Таблиця 1'!$I:$I,"МіГ-29",'Таблиця 1'!$J:$J,"AGM-88")+SUMIFS('Таблиця 1'!$K:$K,'Таблиця 1'!$B:$B,$A261,'Таблиця 1'!$I:$I,"Су-25",'Таблиця 1'!$J:$J,"AGM-88")+SUMIFS('Таблиця 1'!$K:$K,'Таблиця 1'!$B:$B,$A261,'Таблиця 1'!$I:$I,"Су-27",'Таблиця 1'!$J:$J,"AGM-88"))</f>
        <v/>
      </c>
      <c r="I261">
        <f>IF($A261="","",SUMIFS('Таблиця 1'!$K:$K,'Таблиця 1'!$B:$B,$A261,'Таблиця 1'!$I:$I,"Mirage",'Таблиця 1'!$J:$J,"AASM-250")+SUMIFS('Таблиця 1'!$K:$K,'Таблиця 1'!$B:$B,$A261,'Таблиця 1'!$I:$I,"F-16",'Таблиця 1'!$J:$J,"AASM-250")+SUMIFS('Таблиця 1'!$K:$K,'Таблиця 1'!$B:$B,$A261,'Таблиця 1'!$I:$I,"МіГ-29",'Таблиця 1'!$J:$J,"AASM-250")+SUMIFS('Таблиця 1'!$K:$K,'Таблиця 1'!$B:$B,$A261,'Таблиця 1'!$I:$I,"Су-25",'Таблиця 1'!$J:$J,"AASM-250")+SUMIFS('Таблиця 1'!$K:$K,'Таблиця 1'!$B:$B,$A261,'Таблиця 1'!$I:$I,"Су-27",'Таблиця 1'!$J:$J,"AASM-250"))</f>
        <v/>
      </c>
      <c r="J261">
        <f>IF($A261="","",SUMIFS('Таблиця 1'!$K:$K,'Таблиця 1'!$B:$B,$A261,'Таблиця 1'!$I:$I,"Mirage",'Таблиця 1'!$J:$J,"GBU-39")+SUMIFS('Таблиця 1'!$K:$K,'Таблиця 1'!$B:$B,$A261,'Таблиця 1'!$I:$I,"F-16",'Таблиця 1'!$J:$J,"GBU-39")+SUMIFS('Таблиця 1'!$K:$K,'Таблиця 1'!$B:$B,$A261,'Таблиця 1'!$I:$I,"МіГ-29",'Таблиця 1'!$J:$J,"GBU-39")+SUMIFS('Таблиця 1'!$K:$K,'Таблиця 1'!$B:$B,$A261,'Таблиця 1'!$I:$I,"Су-25",'Таблиця 1'!$J:$J,"GBU-39")+SUMIFS('Таблиця 1'!$K:$K,'Таблиця 1'!$B:$B,$A261,'Таблиця 1'!$I:$I,"Су-27",'Таблиця 1'!$J:$J,"GBU-39"))</f>
        <v/>
      </c>
      <c r="K261">
        <f>IF($A261="","",SUMIFS('Таблиця 1'!$K:$K,'Таблиця 1'!$B:$B,$A261,'Таблиця 1'!$I:$I,"Mirage",'Таблиця 1'!$J:$J,"BLU-140")+SUMIFS('Таблиця 1'!$K:$K,'Таблиця 1'!$B:$B,$A261,'Таблиця 1'!$I:$I,"F-16",'Таблиця 1'!$J:$J,"BLU-140")+SUMIFS('Таблиця 1'!$K:$K,'Таблиця 1'!$B:$B,$A261,'Таблиця 1'!$I:$I,"МіГ-29",'Таблиця 1'!$J:$J,"BLU-140")+SUMIFS('Таблиця 1'!$K:$K,'Таблиця 1'!$B:$B,$A261,'Таблиця 1'!$I:$I,"Су-25",'Таблиця 1'!$J:$J,"BLU-140")+SUMIFS('Таблиця 1'!$K:$K,'Таблиця 1'!$B:$B,$A261,'Таблиця 1'!$I:$I,"Су-27",'Таблиця 1'!$J:$J,"BLU-140"))</f>
        <v/>
      </c>
      <c r="L261">
        <f>IF($A261="","",SUMIFS('Таблиця 1'!$K:$K,'Таблиця 1'!$B:$B,$A261,'Таблиця 1'!$I:$I,"Mirage",'Таблиця 1'!$J:$J,"GBU-65")+SUMIFS('Таблиця 1'!$K:$K,'Таблиця 1'!$B:$B,$A261,'Таблиця 1'!$I:$I,"F-16",'Таблиця 1'!$J:$J,"GBU-65")+SUMIFS('Таблиця 1'!$K:$K,'Таблиця 1'!$B:$B,$A261,'Таблиця 1'!$I:$I,"МіГ-29",'Таблиця 1'!$J:$J,"GBU-65")+SUMIFS('Таблиця 1'!$K:$K,'Таблиця 1'!$B:$B,$A261,'Таблиця 1'!$I:$I,"Су-25",'Таблиця 1'!$J:$J,"GBU-65")+SUMIFS('Таблиця 1'!$K:$K,'Таблиця 1'!$B:$B,$A261,'Таблиця 1'!$I:$I,"Су-27",'Таблиця 1'!$J:$J,"GBU-65"))</f>
        <v/>
      </c>
      <c r="M261">
        <f>IF($A261="","",SUMIFS('Таблиця 1'!$K:$K,'Таблиця 1'!$B:$B,$A261,'Таблиця 1'!$I:$I,"Mirage",'Таблиця 1'!$J:$J,"GBU-62")+SUMIFS('Таблиця 1'!$K:$K,'Таблиця 1'!$B:$B,$A261,'Таблиця 1'!$I:$I,"F-16",'Таблиця 1'!$J:$J,"GBU-62")+SUMIFS('Таблиця 1'!$K:$K,'Таблиця 1'!$B:$B,$A261,'Таблиця 1'!$I:$I,"МіГ-29",'Таблиця 1'!$J:$J,"GBU-62")+SUMIFS('Таблиця 1'!$K:$K,'Таблиця 1'!$B:$B,$A261,'Таблиця 1'!$I:$I,"Су-25",'Таблиця 1'!$J:$J,"GBU-62")+SUMIFS('Таблиця 1'!$K:$K,'Таблиця 1'!$B:$B,$A261,'Таблиця 1'!$I:$I,"Су-27",'Таблиця 1'!$J:$J,"GBU-62"))</f>
        <v/>
      </c>
      <c r="N261">
        <f>IF($A261="","",SUMIFS('Таблиця 1'!$K:$K,'Таблиця 1'!$B:$B,$A261,'Таблиця 1'!$I:$I,"Mirage",'Таблиця 1'!$J:$J,"GBU-64")+SUMIFS('Таблиця 1'!$K:$K,'Таблиця 1'!$B:$B,$A261,'Таблиця 1'!$I:$I,"F-16",'Таблиця 1'!$J:$J,"GBU-64")+SUMIFS('Таблиця 1'!$K:$K,'Таблиця 1'!$B:$B,$A261,'Таблиця 1'!$I:$I,"МіГ-29",'Таблиця 1'!$J:$J,"GBU-64")+SUMIFS('Таблиця 1'!$K:$K,'Таблиця 1'!$B:$B,$A261,'Таблиця 1'!$I:$I,"Су-25",'Таблиця 1'!$J:$J,"GBU-64")+SUMIFS('Таблиця 1'!$K:$K,'Таблиця 1'!$B:$B,$A261,'Таблиця 1'!$I:$I,"Су-27",'Таблиця 1'!$J:$J,"GBU-64"))</f>
        <v/>
      </c>
      <c r="O261">
        <f>IF($A261="","",SUMIFS('Таблиця 1'!$K:$K,'Таблиця 1'!$B:$B,$A261,'Таблиця 1'!$I:$I,"Mirage",'Таблиця 1'!$J:$J,"C-13")+SUMIFS('Таблиця 1'!$K:$K,'Таблиця 1'!$B:$B,$A261,'Таблиця 1'!$I:$I,"F-16",'Таблиця 1'!$J:$J,"C-13")+SUMIFS('Таблиця 1'!$K:$K,'Таблиця 1'!$B:$B,$A261,'Таблиця 1'!$I:$I,"МіГ-29",'Таблиця 1'!$J:$J,"C-13")+SUMIFS('Таблиця 1'!$K:$K,'Таблиця 1'!$B:$B,$A261,'Таблиця 1'!$I:$I,"Су-25",'Таблиця 1'!$J:$J,"C-13")+SUMIFS('Таблиця 1'!$K:$K,'Таблиця 1'!$B:$B,$A261,'Таблиця 1'!$I:$I,"Су-27",'Таблиця 1'!$J:$J,"C-13"))</f>
        <v/>
      </c>
      <c r="P261">
        <f>IF($A261="","",SUMIFS('Таблиця 1'!$K:$K,'Таблиця 1'!$B:$B,$A261,'Таблиця 1'!$I:$I,"Mirage",'Таблиця 1'!$J:$J,"MK-32")+SUMIFS('Таблиця 1'!$K:$K,'Таблиця 1'!$B:$B,$A261,'Таблиця 1'!$I:$I,"F-16",'Таблиця 1'!$J:$J,"MK-32")+SUMIFS('Таблиця 1'!$K:$K,'Таблиця 1'!$B:$B,$A261,'Таблиця 1'!$I:$I,"МіГ-29",'Таблиця 1'!$J:$J,"MK-32")+SUMIFS('Таблиця 1'!$K:$K,'Таблиця 1'!$B:$B,$A261,'Таблиця 1'!$I:$I,"Су-25",'Таблиця 1'!$J:$J,"MK-32")+SUMIFS('Таблиця 1'!$K:$K,'Таблиця 1'!$B:$B,$A261,'Таблиця 1'!$I:$I,"Су-27",'Таблиця 1'!$J:$J,"MK-32"))</f>
        <v/>
      </c>
      <c r="Q261">
        <f>IF($A261="","",SUMIFS('Таблиця 1'!$K:$K,'Таблиця 1'!$B:$B,$A261,'Таблиця 1'!$I:$I,"Mirage",'Таблиця 1'!$J:$J,"MK-24")+SUMIFS('Таблиця 1'!$K:$K,'Таблиця 1'!$B:$B,$A261,'Таблиця 1'!$I:$I,"F-16",'Таблиця 1'!$J:$J,"MK-24")+SUMIFS('Таблиця 1'!$K:$K,'Таблиця 1'!$B:$B,$A261,'Таблиця 1'!$I:$I,"МіГ-29",'Таблиця 1'!$J:$J,"MK-24")+SUMIFS('Таблиця 1'!$K:$K,'Таблиця 1'!$B:$B,$A261,'Таблиця 1'!$I:$I,"Су-25",'Таблиця 1'!$J:$J,"MK-24")+SUMIFS('Таблиця 1'!$K:$K,'Таблиця 1'!$B:$B,$A261,'Таблиця 1'!$I:$I,"Су-27",'Таблиця 1'!$J:$J,"MK-24"))</f>
        <v/>
      </c>
      <c r="R261">
        <f>IF($A261="","",COUNTIFS('Таблиця 1'!$B:$B,$A261,'Таблиця 1'!$I:$I,"Mirage",'Таблиця 1'!$L:$L,"Уражено")+COUNTIFS('Таблиця 1'!$B:$B,$A261,'Таблиця 1'!$I:$I,"F-16",'Таблиця 1'!$L:$L,"Уражено")+COUNTIFS('Таблиця 1'!$B:$B,$A261,'Таблиця 1'!$I:$I,"МіГ-29",'Таблиця 1'!$L:$L,"Уражено")+COUNTIFS('Таблиця 1'!$B:$B,$A261,'Таблиця 1'!$I:$I,"Су-25",'Таблиця 1'!$L:$L,"Уражено")+COUNTIFS('Таблиця 1'!$B:$B,$A261,'Таблиця 1'!$I:$I,"Су-27",'Таблиця 1'!$L:$L,"Уражено"))</f>
        <v/>
      </c>
      <c r="S261">
        <f>IF($A261="","",COUNTIFS('Таблиця 1'!$B:$B,$A261,'Таблиця 1'!$I:$I,"Mirage",'Таблиця 1'!$L:$L,"НЕ уражено")+COUNTIFS('Таблиця 1'!$B:$B,$A261,'Таблиця 1'!$I:$I,"F-16",'Таблиця 1'!$L:$L,"НЕ уражено")+COUNTIFS('Таблиця 1'!$B:$B,$A261,'Таблиця 1'!$I:$I,"МіГ-29",'Таблиця 1'!$L:$L,"НЕ уражено")+COUNTIFS('Таблиця 1'!$B:$B,$A261,'Таблиця 1'!$I:$I,"Су-25",'Таблиця 1'!$L:$L,"НЕ уражено")+COUNTIFS('Таблиця 1'!$B:$B,$A261,'Таблиця 1'!$I:$I,"Су-27",'Таблиця 1'!$L:$L,"НЕ уражено"))</f>
        <v/>
      </c>
      <c r="T261">
        <f>IF($A261="","",COUNTIFS('Таблиця 1'!$B:$B,$A261,'Таблиця 1'!$I:$I,"Mirage",'Таблиця 1'!$L:$L,"Дорозвідується")+COUNTIFS('Таблиця 1'!$B:$B,$A261,'Таблиця 1'!$I:$I,"F-16",'Таблиця 1'!$L:$L,"Дорозвідується")+COUNTIFS('Таблиця 1'!$B:$B,$A261,'Таблиця 1'!$I:$I,"МіГ-29",'Таблиця 1'!$L:$L,"Дорозвідується")+COUNTIFS('Таблиця 1'!$B:$B,$A261,'Таблиця 1'!$I:$I,"Су-25",'Таблиця 1'!$L:$L,"Дорозвідується")+COUNTIFS('Таблиця 1'!$B:$B,$A261,'Таблиця 1'!$I:$I,"Су-27",'Таблиця 1'!$L:$L,"Дорозвідується"))</f>
        <v/>
      </c>
    </row>
    <row r="262">
      <c r="A262" s="273">
        <f>IF(A261="","",IF(A261+1&gt;MAX('Таблиця 1'!$B:$B),"",A261+1))</f>
        <v/>
      </c>
      <c r="B262">
        <f>IF($A262="","",COUNTIFS('Таблиця 1'!$B:$B,$A262,'Таблиця 1'!$I:$I,"Mirage")+COUNTIFS('Таблиця 1'!$B:$B,$A262,'Таблиця 1'!$I:$I,"F-16")+COUNTIFS('Таблиця 1'!$B:$B,$A262,'Таблиця 1'!$I:$I,"МіГ-29")+COUNTIFS('Таблиця 1'!$B:$B,$A262,'Таблиця 1'!$I:$I,"Су-25")+COUNTIFS('Таблиця 1'!$B:$B,$A262,'Таблиця 1'!$I:$I,"Су-27"))</f>
        <v/>
      </c>
      <c r="C262">
        <f>IF($A262="","",COUNTIFS('Таблиця 1'!$B:$B,$A262,'Таблиця 1'!$I:$I,"Mirage"))</f>
        <v/>
      </c>
      <c r="D262">
        <f>IF($A262="","",COUNTIFS('Таблиця 1'!$B:$B,$A262,'Таблиця 1'!$I:$I,"F-16"))</f>
        <v/>
      </c>
      <c r="E262">
        <f>IF($A262="","",COUNTIFS('Таблиця 1'!$B:$B,$A262,'Таблиця 1'!$I:$I,"МіГ-29"))</f>
        <v/>
      </c>
      <c r="F262">
        <f>IF($A262="","",COUNTIFS('Таблиця 1'!$B:$B,$A262,'Таблиця 1'!$I:$I,"Су-25"))</f>
        <v/>
      </c>
      <c r="G262">
        <f>IF($A262="","",COUNTIFS('Таблиця 1'!$B:$B,$A262,'Таблиця 1'!$I:$I,"Су-27"))</f>
        <v/>
      </c>
      <c r="H262">
        <f>IF($A262="","",SUMIFS('Таблиця 1'!$K:$K,'Таблиця 1'!$B:$B,$A262,'Таблиця 1'!$I:$I,"Mirage",'Таблиця 1'!$J:$J,"AGM-88")+SUMIFS('Таблиця 1'!$K:$K,'Таблиця 1'!$B:$B,$A262,'Таблиця 1'!$I:$I,"F-16",'Таблиця 1'!$J:$J,"AGM-88")+SUMIFS('Таблиця 1'!$K:$K,'Таблиця 1'!$B:$B,$A262,'Таблиця 1'!$I:$I,"МіГ-29",'Таблиця 1'!$J:$J,"AGM-88")+SUMIFS('Таблиця 1'!$K:$K,'Таблиця 1'!$B:$B,$A262,'Таблиця 1'!$I:$I,"Су-25",'Таблиця 1'!$J:$J,"AGM-88")+SUMIFS('Таблиця 1'!$K:$K,'Таблиця 1'!$B:$B,$A262,'Таблиця 1'!$I:$I,"Су-27",'Таблиця 1'!$J:$J,"AGM-88"))</f>
        <v/>
      </c>
      <c r="I262">
        <f>IF($A262="","",SUMIFS('Таблиця 1'!$K:$K,'Таблиця 1'!$B:$B,$A262,'Таблиця 1'!$I:$I,"Mirage",'Таблиця 1'!$J:$J,"AASM-250")+SUMIFS('Таблиця 1'!$K:$K,'Таблиця 1'!$B:$B,$A262,'Таблиця 1'!$I:$I,"F-16",'Таблиця 1'!$J:$J,"AASM-250")+SUMIFS('Таблиця 1'!$K:$K,'Таблиця 1'!$B:$B,$A262,'Таблиця 1'!$I:$I,"МіГ-29",'Таблиця 1'!$J:$J,"AASM-250")+SUMIFS('Таблиця 1'!$K:$K,'Таблиця 1'!$B:$B,$A262,'Таблиця 1'!$I:$I,"Су-25",'Таблиця 1'!$J:$J,"AASM-250")+SUMIFS('Таблиця 1'!$K:$K,'Таблиця 1'!$B:$B,$A262,'Таблиця 1'!$I:$I,"Су-27",'Таблиця 1'!$J:$J,"AASM-250"))</f>
        <v/>
      </c>
      <c r="J262">
        <f>IF($A262="","",SUMIFS('Таблиця 1'!$K:$K,'Таблиця 1'!$B:$B,$A262,'Таблиця 1'!$I:$I,"Mirage",'Таблиця 1'!$J:$J,"GBU-39")+SUMIFS('Таблиця 1'!$K:$K,'Таблиця 1'!$B:$B,$A262,'Таблиця 1'!$I:$I,"F-16",'Таблиця 1'!$J:$J,"GBU-39")+SUMIFS('Таблиця 1'!$K:$K,'Таблиця 1'!$B:$B,$A262,'Таблиця 1'!$I:$I,"МіГ-29",'Таблиця 1'!$J:$J,"GBU-39")+SUMIFS('Таблиця 1'!$K:$K,'Таблиця 1'!$B:$B,$A262,'Таблиця 1'!$I:$I,"Су-25",'Таблиця 1'!$J:$J,"GBU-39")+SUMIFS('Таблиця 1'!$K:$K,'Таблиця 1'!$B:$B,$A262,'Таблиця 1'!$I:$I,"Су-27",'Таблиця 1'!$J:$J,"GBU-39"))</f>
        <v/>
      </c>
      <c r="K262">
        <f>IF($A262="","",SUMIFS('Таблиця 1'!$K:$K,'Таблиця 1'!$B:$B,$A262,'Таблиця 1'!$I:$I,"Mirage",'Таблиця 1'!$J:$J,"BLU-140")+SUMIFS('Таблиця 1'!$K:$K,'Таблиця 1'!$B:$B,$A262,'Таблиця 1'!$I:$I,"F-16",'Таблиця 1'!$J:$J,"BLU-140")+SUMIFS('Таблиця 1'!$K:$K,'Таблиця 1'!$B:$B,$A262,'Таблиця 1'!$I:$I,"МіГ-29",'Таблиця 1'!$J:$J,"BLU-140")+SUMIFS('Таблиця 1'!$K:$K,'Таблиця 1'!$B:$B,$A262,'Таблиця 1'!$I:$I,"Су-25",'Таблиця 1'!$J:$J,"BLU-140")+SUMIFS('Таблиця 1'!$K:$K,'Таблиця 1'!$B:$B,$A262,'Таблиця 1'!$I:$I,"Су-27",'Таблиця 1'!$J:$J,"BLU-140"))</f>
        <v/>
      </c>
      <c r="L262">
        <f>IF($A262="","",SUMIFS('Таблиця 1'!$K:$K,'Таблиця 1'!$B:$B,$A262,'Таблиця 1'!$I:$I,"Mirage",'Таблиця 1'!$J:$J,"GBU-65")+SUMIFS('Таблиця 1'!$K:$K,'Таблиця 1'!$B:$B,$A262,'Таблиця 1'!$I:$I,"F-16",'Таблиця 1'!$J:$J,"GBU-65")+SUMIFS('Таблиця 1'!$K:$K,'Таблиця 1'!$B:$B,$A262,'Таблиця 1'!$I:$I,"МіГ-29",'Таблиця 1'!$J:$J,"GBU-65")+SUMIFS('Таблиця 1'!$K:$K,'Таблиця 1'!$B:$B,$A262,'Таблиця 1'!$I:$I,"Су-25",'Таблиця 1'!$J:$J,"GBU-65")+SUMIFS('Таблиця 1'!$K:$K,'Таблиця 1'!$B:$B,$A262,'Таблиця 1'!$I:$I,"Су-27",'Таблиця 1'!$J:$J,"GBU-65"))</f>
        <v/>
      </c>
      <c r="M262">
        <f>IF($A262="","",SUMIFS('Таблиця 1'!$K:$K,'Таблиця 1'!$B:$B,$A262,'Таблиця 1'!$I:$I,"Mirage",'Таблиця 1'!$J:$J,"GBU-62")+SUMIFS('Таблиця 1'!$K:$K,'Таблиця 1'!$B:$B,$A262,'Таблиця 1'!$I:$I,"F-16",'Таблиця 1'!$J:$J,"GBU-62")+SUMIFS('Таблиця 1'!$K:$K,'Таблиця 1'!$B:$B,$A262,'Таблиця 1'!$I:$I,"МіГ-29",'Таблиця 1'!$J:$J,"GBU-62")+SUMIFS('Таблиця 1'!$K:$K,'Таблиця 1'!$B:$B,$A262,'Таблиця 1'!$I:$I,"Су-25",'Таблиця 1'!$J:$J,"GBU-62")+SUMIFS('Таблиця 1'!$K:$K,'Таблиця 1'!$B:$B,$A262,'Таблиця 1'!$I:$I,"Су-27",'Таблиця 1'!$J:$J,"GBU-62"))</f>
        <v/>
      </c>
      <c r="N262">
        <f>IF($A262="","",SUMIFS('Таблиця 1'!$K:$K,'Таблиця 1'!$B:$B,$A262,'Таблиця 1'!$I:$I,"Mirage",'Таблиця 1'!$J:$J,"GBU-64")+SUMIFS('Таблиця 1'!$K:$K,'Таблиця 1'!$B:$B,$A262,'Таблиця 1'!$I:$I,"F-16",'Таблиця 1'!$J:$J,"GBU-64")+SUMIFS('Таблиця 1'!$K:$K,'Таблиця 1'!$B:$B,$A262,'Таблиця 1'!$I:$I,"МіГ-29",'Таблиця 1'!$J:$J,"GBU-64")+SUMIFS('Таблиця 1'!$K:$K,'Таблиця 1'!$B:$B,$A262,'Таблиця 1'!$I:$I,"Су-25",'Таблиця 1'!$J:$J,"GBU-64")+SUMIFS('Таблиця 1'!$K:$K,'Таблиця 1'!$B:$B,$A262,'Таблиця 1'!$I:$I,"Су-27",'Таблиця 1'!$J:$J,"GBU-64"))</f>
        <v/>
      </c>
      <c r="O262">
        <f>IF($A262="","",SUMIFS('Таблиця 1'!$K:$K,'Таблиця 1'!$B:$B,$A262,'Таблиця 1'!$I:$I,"Mirage",'Таблиця 1'!$J:$J,"C-13")+SUMIFS('Таблиця 1'!$K:$K,'Таблиця 1'!$B:$B,$A262,'Таблиця 1'!$I:$I,"F-16",'Таблиця 1'!$J:$J,"C-13")+SUMIFS('Таблиця 1'!$K:$K,'Таблиця 1'!$B:$B,$A262,'Таблиця 1'!$I:$I,"МіГ-29",'Таблиця 1'!$J:$J,"C-13")+SUMIFS('Таблиця 1'!$K:$K,'Таблиця 1'!$B:$B,$A262,'Таблиця 1'!$I:$I,"Су-25",'Таблиця 1'!$J:$J,"C-13")+SUMIFS('Таблиця 1'!$K:$K,'Таблиця 1'!$B:$B,$A262,'Таблиця 1'!$I:$I,"Су-27",'Таблиця 1'!$J:$J,"C-13"))</f>
        <v/>
      </c>
      <c r="P262">
        <f>IF($A262="","",SUMIFS('Таблиця 1'!$K:$K,'Таблиця 1'!$B:$B,$A262,'Таблиця 1'!$I:$I,"Mirage",'Таблиця 1'!$J:$J,"MK-32")+SUMIFS('Таблиця 1'!$K:$K,'Таблиця 1'!$B:$B,$A262,'Таблиця 1'!$I:$I,"F-16",'Таблиця 1'!$J:$J,"MK-32")+SUMIFS('Таблиця 1'!$K:$K,'Таблиця 1'!$B:$B,$A262,'Таблиця 1'!$I:$I,"МіГ-29",'Таблиця 1'!$J:$J,"MK-32")+SUMIFS('Таблиця 1'!$K:$K,'Таблиця 1'!$B:$B,$A262,'Таблиця 1'!$I:$I,"Су-25",'Таблиця 1'!$J:$J,"MK-32")+SUMIFS('Таблиця 1'!$K:$K,'Таблиця 1'!$B:$B,$A262,'Таблиця 1'!$I:$I,"Су-27",'Таблиця 1'!$J:$J,"MK-32"))</f>
        <v/>
      </c>
      <c r="Q262">
        <f>IF($A262="","",SUMIFS('Таблиця 1'!$K:$K,'Таблиця 1'!$B:$B,$A262,'Таблиця 1'!$I:$I,"Mirage",'Таблиця 1'!$J:$J,"MK-24")+SUMIFS('Таблиця 1'!$K:$K,'Таблиця 1'!$B:$B,$A262,'Таблиця 1'!$I:$I,"F-16",'Таблиця 1'!$J:$J,"MK-24")+SUMIFS('Таблиця 1'!$K:$K,'Таблиця 1'!$B:$B,$A262,'Таблиця 1'!$I:$I,"МіГ-29",'Таблиця 1'!$J:$J,"MK-24")+SUMIFS('Таблиця 1'!$K:$K,'Таблиця 1'!$B:$B,$A262,'Таблиця 1'!$I:$I,"Су-25",'Таблиця 1'!$J:$J,"MK-24")+SUMIFS('Таблиця 1'!$K:$K,'Таблиця 1'!$B:$B,$A262,'Таблиця 1'!$I:$I,"Су-27",'Таблиця 1'!$J:$J,"MK-24"))</f>
        <v/>
      </c>
      <c r="R262">
        <f>IF($A262="","",COUNTIFS('Таблиця 1'!$B:$B,$A262,'Таблиця 1'!$I:$I,"Mirage",'Таблиця 1'!$L:$L,"Уражено")+COUNTIFS('Таблиця 1'!$B:$B,$A262,'Таблиця 1'!$I:$I,"F-16",'Таблиця 1'!$L:$L,"Уражено")+COUNTIFS('Таблиця 1'!$B:$B,$A262,'Таблиця 1'!$I:$I,"МіГ-29",'Таблиця 1'!$L:$L,"Уражено")+COUNTIFS('Таблиця 1'!$B:$B,$A262,'Таблиця 1'!$I:$I,"Су-25",'Таблиця 1'!$L:$L,"Уражено")+COUNTIFS('Таблиця 1'!$B:$B,$A262,'Таблиця 1'!$I:$I,"Су-27",'Таблиця 1'!$L:$L,"Уражено"))</f>
        <v/>
      </c>
      <c r="S262">
        <f>IF($A262="","",COUNTIFS('Таблиця 1'!$B:$B,$A262,'Таблиця 1'!$I:$I,"Mirage",'Таблиця 1'!$L:$L,"НЕ уражено")+COUNTIFS('Таблиця 1'!$B:$B,$A262,'Таблиця 1'!$I:$I,"F-16",'Таблиця 1'!$L:$L,"НЕ уражено")+COUNTIFS('Таблиця 1'!$B:$B,$A262,'Таблиця 1'!$I:$I,"МіГ-29",'Таблиця 1'!$L:$L,"НЕ уражено")+COUNTIFS('Таблиця 1'!$B:$B,$A262,'Таблиця 1'!$I:$I,"Су-25",'Таблиця 1'!$L:$L,"НЕ уражено")+COUNTIFS('Таблиця 1'!$B:$B,$A262,'Таблиця 1'!$I:$I,"Су-27",'Таблиця 1'!$L:$L,"НЕ уражено"))</f>
        <v/>
      </c>
      <c r="T262">
        <f>IF($A262="","",COUNTIFS('Таблиця 1'!$B:$B,$A262,'Таблиця 1'!$I:$I,"Mirage",'Таблиця 1'!$L:$L,"Дорозвідується")+COUNTIFS('Таблиця 1'!$B:$B,$A262,'Таблиця 1'!$I:$I,"F-16",'Таблиця 1'!$L:$L,"Дорозвідується")+COUNTIFS('Таблиця 1'!$B:$B,$A262,'Таблиця 1'!$I:$I,"МіГ-29",'Таблиця 1'!$L:$L,"Дорозвідується")+COUNTIFS('Таблиця 1'!$B:$B,$A262,'Таблиця 1'!$I:$I,"Су-25",'Таблиця 1'!$L:$L,"Дорозвідується")+COUNTIFS('Таблиця 1'!$B:$B,$A262,'Таблиця 1'!$I:$I,"Су-27",'Таблиця 1'!$L:$L,"Дорозвідується"))</f>
        <v/>
      </c>
    </row>
    <row r="263">
      <c r="A263" s="273">
        <f>IF(A262="","",IF(A262+1&gt;MAX('Таблиця 1'!$B:$B),"",A262+1))</f>
        <v/>
      </c>
      <c r="B263">
        <f>IF($A263="","",COUNTIFS('Таблиця 1'!$B:$B,$A263,'Таблиця 1'!$I:$I,"Mirage")+COUNTIFS('Таблиця 1'!$B:$B,$A263,'Таблиця 1'!$I:$I,"F-16")+COUNTIFS('Таблиця 1'!$B:$B,$A263,'Таблиця 1'!$I:$I,"МіГ-29")+COUNTIFS('Таблиця 1'!$B:$B,$A263,'Таблиця 1'!$I:$I,"Су-25")+COUNTIFS('Таблиця 1'!$B:$B,$A263,'Таблиця 1'!$I:$I,"Су-27"))</f>
        <v/>
      </c>
      <c r="C263">
        <f>IF($A263="","",COUNTIFS('Таблиця 1'!$B:$B,$A263,'Таблиця 1'!$I:$I,"Mirage"))</f>
        <v/>
      </c>
      <c r="D263">
        <f>IF($A263="","",COUNTIFS('Таблиця 1'!$B:$B,$A263,'Таблиця 1'!$I:$I,"F-16"))</f>
        <v/>
      </c>
      <c r="E263">
        <f>IF($A263="","",COUNTIFS('Таблиця 1'!$B:$B,$A263,'Таблиця 1'!$I:$I,"МіГ-29"))</f>
        <v/>
      </c>
      <c r="F263">
        <f>IF($A263="","",COUNTIFS('Таблиця 1'!$B:$B,$A263,'Таблиця 1'!$I:$I,"Су-25"))</f>
        <v/>
      </c>
      <c r="G263">
        <f>IF($A263="","",COUNTIFS('Таблиця 1'!$B:$B,$A263,'Таблиця 1'!$I:$I,"Су-27"))</f>
        <v/>
      </c>
      <c r="H263">
        <f>IF($A263="","",SUMIFS('Таблиця 1'!$K:$K,'Таблиця 1'!$B:$B,$A263,'Таблиця 1'!$I:$I,"Mirage",'Таблиця 1'!$J:$J,"AGM-88")+SUMIFS('Таблиця 1'!$K:$K,'Таблиця 1'!$B:$B,$A263,'Таблиця 1'!$I:$I,"F-16",'Таблиця 1'!$J:$J,"AGM-88")+SUMIFS('Таблиця 1'!$K:$K,'Таблиця 1'!$B:$B,$A263,'Таблиця 1'!$I:$I,"МіГ-29",'Таблиця 1'!$J:$J,"AGM-88")+SUMIFS('Таблиця 1'!$K:$K,'Таблиця 1'!$B:$B,$A263,'Таблиця 1'!$I:$I,"Су-25",'Таблиця 1'!$J:$J,"AGM-88")+SUMIFS('Таблиця 1'!$K:$K,'Таблиця 1'!$B:$B,$A263,'Таблиця 1'!$I:$I,"Су-27",'Таблиця 1'!$J:$J,"AGM-88"))</f>
        <v/>
      </c>
      <c r="I263">
        <f>IF($A263="","",SUMIFS('Таблиця 1'!$K:$K,'Таблиця 1'!$B:$B,$A263,'Таблиця 1'!$I:$I,"Mirage",'Таблиця 1'!$J:$J,"AASM-250")+SUMIFS('Таблиця 1'!$K:$K,'Таблиця 1'!$B:$B,$A263,'Таблиця 1'!$I:$I,"F-16",'Таблиця 1'!$J:$J,"AASM-250")+SUMIFS('Таблиця 1'!$K:$K,'Таблиця 1'!$B:$B,$A263,'Таблиця 1'!$I:$I,"МіГ-29",'Таблиця 1'!$J:$J,"AASM-250")+SUMIFS('Таблиця 1'!$K:$K,'Таблиця 1'!$B:$B,$A263,'Таблиця 1'!$I:$I,"Су-25",'Таблиця 1'!$J:$J,"AASM-250")+SUMIFS('Таблиця 1'!$K:$K,'Таблиця 1'!$B:$B,$A263,'Таблиця 1'!$I:$I,"Су-27",'Таблиця 1'!$J:$J,"AASM-250"))</f>
        <v/>
      </c>
      <c r="J263">
        <f>IF($A263="","",SUMIFS('Таблиця 1'!$K:$K,'Таблиця 1'!$B:$B,$A263,'Таблиця 1'!$I:$I,"Mirage",'Таблиця 1'!$J:$J,"GBU-39")+SUMIFS('Таблиця 1'!$K:$K,'Таблиця 1'!$B:$B,$A263,'Таблиця 1'!$I:$I,"F-16",'Таблиця 1'!$J:$J,"GBU-39")+SUMIFS('Таблиця 1'!$K:$K,'Таблиця 1'!$B:$B,$A263,'Таблиця 1'!$I:$I,"МіГ-29",'Таблиця 1'!$J:$J,"GBU-39")+SUMIFS('Таблиця 1'!$K:$K,'Таблиця 1'!$B:$B,$A263,'Таблиця 1'!$I:$I,"Су-25",'Таблиця 1'!$J:$J,"GBU-39")+SUMIFS('Таблиця 1'!$K:$K,'Таблиця 1'!$B:$B,$A263,'Таблиця 1'!$I:$I,"Су-27",'Таблиця 1'!$J:$J,"GBU-39"))</f>
        <v/>
      </c>
      <c r="K263">
        <f>IF($A263="","",SUMIFS('Таблиця 1'!$K:$K,'Таблиця 1'!$B:$B,$A263,'Таблиця 1'!$I:$I,"Mirage",'Таблиця 1'!$J:$J,"BLU-140")+SUMIFS('Таблиця 1'!$K:$K,'Таблиця 1'!$B:$B,$A263,'Таблиця 1'!$I:$I,"F-16",'Таблиця 1'!$J:$J,"BLU-140")+SUMIFS('Таблиця 1'!$K:$K,'Таблиця 1'!$B:$B,$A263,'Таблиця 1'!$I:$I,"МіГ-29",'Таблиця 1'!$J:$J,"BLU-140")+SUMIFS('Таблиця 1'!$K:$K,'Таблиця 1'!$B:$B,$A263,'Таблиця 1'!$I:$I,"Су-25",'Таблиця 1'!$J:$J,"BLU-140")+SUMIFS('Таблиця 1'!$K:$K,'Таблиця 1'!$B:$B,$A263,'Таблиця 1'!$I:$I,"Су-27",'Таблиця 1'!$J:$J,"BLU-140"))</f>
        <v/>
      </c>
      <c r="L263">
        <f>IF($A263="","",SUMIFS('Таблиця 1'!$K:$K,'Таблиця 1'!$B:$B,$A263,'Таблиця 1'!$I:$I,"Mirage",'Таблиця 1'!$J:$J,"GBU-65")+SUMIFS('Таблиця 1'!$K:$K,'Таблиця 1'!$B:$B,$A263,'Таблиця 1'!$I:$I,"F-16",'Таблиця 1'!$J:$J,"GBU-65")+SUMIFS('Таблиця 1'!$K:$K,'Таблиця 1'!$B:$B,$A263,'Таблиця 1'!$I:$I,"МіГ-29",'Таблиця 1'!$J:$J,"GBU-65")+SUMIFS('Таблиця 1'!$K:$K,'Таблиця 1'!$B:$B,$A263,'Таблиця 1'!$I:$I,"Су-25",'Таблиця 1'!$J:$J,"GBU-65")+SUMIFS('Таблиця 1'!$K:$K,'Таблиця 1'!$B:$B,$A263,'Таблиця 1'!$I:$I,"Су-27",'Таблиця 1'!$J:$J,"GBU-65"))</f>
        <v/>
      </c>
      <c r="M263">
        <f>IF($A263="","",SUMIFS('Таблиця 1'!$K:$K,'Таблиця 1'!$B:$B,$A263,'Таблиця 1'!$I:$I,"Mirage",'Таблиця 1'!$J:$J,"GBU-62")+SUMIFS('Таблиця 1'!$K:$K,'Таблиця 1'!$B:$B,$A263,'Таблиця 1'!$I:$I,"F-16",'Таблиця 1'!$J:$J,"GBU-62")+SUMIFS('Таблиця 1'!$K:$K,'Таблиця 1'!$B:$B,$A263,'Таблиця 1'!$I:$I,"МіГ-29",'Таблиця 1'!$J:$J,"GBU-62")+SUMIFS('Таблиця 1'!$K:$K,'Таблиця 1'!$B:$B,$A263,'Таблиця 1'!$I:$I,"Су-25",'Таблиця 1'!$J:$J,"GBU-62")+SUMIFS('Таблиця 1'!$K:$K,'Таблиця 1'!$B:$B,$A263,'Таблиця 1'!$I:$I,"Су-27",'Таблиця 1'!$J:$J,"GBU-62"))</f>
        <v/>
      </c>
      <c r="N263">
        <f>IF($A263="","",SUMIFS('Таблиця 1'!$K:$K,'Таблиця 1'!$B:$B,$A263,'Таблиця 1'!$I:$I,"Mirage",'Таблиця 1'!$J:$J,"GBU-64")+SUMIFS('Таблиця 1'!$K:$K,'Таблиця 1'!$B:$B,$A263,'Таблиця 1'!$I:$I,"F-16",'Таблиця 1'!$J:$J,"GBU-64")+SUMIFS('Таблиця 1'!$K:$K,'Таблиця 1'!$B:$B,$A263,'Таблиця 1'!$I:$I,"МіГ-29",'Таблиця 1'!$J:$J,"GBU-64")+SUMIFS('Таблиця 1'!$K:$K,'Таблиця 1'!$B:$B,$A263,'Таблиця 1'!$I:$I,"Су-25",'Таблиця 1'!$J:$J,"GBU-64")+SUMIFS('Таблиця 1'!$K:$K,'Таблиця 1'!$B:$B,$A263,'Таблиця 1'!$I:$I,"Су-27",'Таблиця 1'!$J:$J,"GBU-64"))</f>
        <v/>
      </c>
      <c r="O263">
        <f>IF($A263="","",SUMIFS('Таблиця 1'!$K:$K,'Таблиця 1'!$B:$B,$A263,'Таблиця 1'!$I:$I,"Mirage",'Таблиця 1'!$J:$J,"C-13")+SUMIFS('Таблиця 1'!$K:$K,'Таблиця 1'!$B:$B,$A263,'Таблиця 1'!$I:$I,"F-16",'Таблиця 1'!$J:$J,"C-13")+SUMIFS('Таблиця 1'!$K:$K,'Таблиця 1'!$B:$B,$A263,'Таблиця 1'!$I:$I,"МіГ-29",'Таблиця 1'!$J:$J,"C-13")+SUMIFS('Таблиця 1'!$K:$K,'Таблиця 1'!$B:$B,$A263,'Таблиця 1'!$I:$I,"Су-25",'Таблиця 1'!$J:$J,"C-13")+SUMIFS('Таблиця 1'!$K:$K,'Таблиця 1'!$B:$B,$A263,'Таблиця 1'!$I:$I,"Су-27",'Таблиця 1'!$J:$J,"C-13"))</f>
        <v/>
      </c>
      <c r="P263">
        <f>IF($A263="","",SUMIFS('Таблиця 1'!$K:$K,'Таблиця 1'!$B:$B,$A263,'Таблиця 1'!$I:$I,"Mirage",'Таблиця 1'!$J:$J,"MK-32")+SUMIFS('Таблиця 1'!$K:$K,'Таблиця 1'!$B:$B,$A263,'Таблиця 1'!$I:$I,"F-16",'Таблиця 1'!$J:$J,"MK-32")+SUMIFS('Таблиця 1'!$K:$K,'Таблиця 1'!$B:$B,$A263,'Таблиця 1'!$I:$I,"МіГ-29",'Таблиця 1'!$J:$J,"MK-32")+SUMIFS('Таблиця 1'!$K:$K,'Таблиця 1'!$B:$B,$A263,'Таблиця 1'!$I:$I,"Су-25",'Таблиця 1'!$J:$J,"MK-32")+SUMIFS('Таблиця 1'!$K:$K,'Таблиця 1'!$B:$B,$A263,'Таблиця 1'!$I:$I,"Су-27",'Таблиця 1'!$J:$J,"MK-32"))</f>
        <v/>
      </c>
      <c r="Q263">
        <f>IF($A263="","",SUMIFS('Таблиця 1'!$K:$K,'Таблиця 1'!$B:$B,$A263,'Таблиця 1'!$I:$I,"Mirage",'Таблиця 1'!$J:$J,"MK-24")+SUMIFS('Таблиця 1'!$K:$K,'Таблиця 1'!$B:$B,$A263,'Таблиця 1'!$I:$I,"F-16",'Таблиця 1'!$J:$J,"MK-24")+SUMIFS('Таблиця 1'!$K:$K,'Таблиця 1'!$B:$B,$A263,'Таблиця 1'!$I:$I,"МіГ-29",'Таблиця 1'!$J:$J,"MK-24")+SUMIFS('Таблиця 1'!$K:$K,'Таблиця 1'!$B:$B,$A263,'Таблиця 1'!$I:$I,"Су-25",'Таблиця 1'!$J:$J,"MK-24")+SUMIFS('Таблиця 1'!$K:$K,'Таблиця 1'!$B:$B,$A263,'Таблиця 1'!$I:$I,"Су-27",'Таблиця 1'!$J:$J,"MK-24"))</f>
        <v/>
      </c>
      <c r="R263">
        <f>IF($A263="","",COUNTIFS('Таблиця 1'!$B:$B,$A263,'Таблиця 1'!$I:$I,"Mirage",'Таблиця 1'!$L:$L,"Уражено")+COUNTIFS('Таблиця 1'!$B:$B,$A263,'Таблиця 1'!$I:$I,"F-16",'Таблиця 1'!$L:$L,"Уражено")+COUNTIFS('Таблиця 1'!$B:$B,$A263,'Таблиця 1'!$I:$I,"МіГ-29",'Таблиця 1'!$L:$L,"Уражено")+COUNTIFS('Таблиця 1'!$B:$B,$A263,'Таблиця 1'!$I:$I,"Су-25",'Таблиця 1'!$L:$L,"Уражено")+COUNTIFS('Таблиця 1'!$B:$B,$A263,'Таблиця 1'!$I:$I,"Су-27",'Таблиця 1'!$L:$L,"Уражено"))</f>
        <v/>
      </c>
      <c r="S263">
        <f>IF($A263="","",COUNTIFS('Таблиця 1'!$B:$B,$A263,'Таблиця 1'!$I:$I,"Mirage",'Таблиця 1'!$L:$L,"НЕ уражено")+COUNTIFS('Таблиця 1'!$B:$B,$A263,'Таблиця 1'!$I:$I,"F-16",'Таблиця 1'!$L:$L,"НЕ уражено")+COUNTIFS('Таблиця 1'!$B:$B,$A263,'Таблиця 1'!$I:$I,"МіГ-29",'Таблиця 1'!$L:$L,"НЕ уражено")+COUNTIFS('Таблиця 1'!$B:$B,$A263,'Таблиця 1'!$I:$I,"Су-25",'Таблиця 1'!$L:$L,"НЕ уражено")+COUNTIFS('Таблиця 1'!$B:$B,$A263,'Таблиця 1'!$I:$I,"Су-27",'Таблиця 1'!$L:$L,"НЕ уражено"))</f>
        <v/>
      </c>
      <c r="T263">
        <f>IF($A263="","",COUNTIFS('Таблиця 1'!$B:$B,$A263,'Таблиця 1'!$I:$I,"Mirage",'Таблиця 1'!$L:$L,"Дорозвідується")+COUNTIFS('Таблиця 1'!$B:$B,$A263,'Таблиця 1'!$I:$I,"F-16",'Таблиця 1'!$L:$L,"Дорозвідується")+COUNTIFS('Таблиця 1'!$B:$B,$A263,'Таблиця 1'!$I:$I,"МіГ-29",'Таблиця 1'!$L:$L,"Дорозвідується")+COUNTIFS('Таблиця 1'!$B:$B,$A263,'Таблиця 1'!$I:$I,"Су-25",'Таблиця 1'!$L:$L,"Дорозвідується")+COUNTIFS('Таблиця 1'!$B:$B,$A263,'Таблиця 1'!$I:$I,"Су-27",'Таблиця 1'!$L:$L,"Дорозвідується"))</f>
        <v/>
      </c>
    </row>
    <row r="264">
      <c r="A264" s="273">
        <f>IF(A263="","",IF(A263+1&gt;MAX('Таблиця 1'!$B:$B),"",A263+1))</f>
        <v/>
      </c>
      <c r="B264">
        <f>IF($A264="","",COUNTIFS('Таблиця 1'!$B:$B,$A264,'Таблиця 1'!$I:$I,"Mirage")+COUNTIFS('Таблиця 1'!$B:$B,$A264,'Таблиця 1'!$I:$I,"F-16")+COUNTIFS('Таблиця 1'!$B:$B,$A264,'Таблиця 1'!$I:$I,"МіГ-29")+COUNTIFS('Таблиця 1'!$B:$B,$A264,'Таблиця 1'!$I:$I,"Су-25")+COUNTIFS('Таблиця 1'!$B:$B,$A264,'Таблиця 1'!$I:$I,"Су-27"))</f>
        <v/>
      </c>
      <c r="C264">
        <f>IF($A264="","",COUNTIFS('Таблиця 1'!$B:$B,$A264,'Таблиця 1'!$I:$I,"Mirage"))</f>
        <v/>
      </c>
      <c r="D264">
        <f>IF($A264="","",COUNTIFS('Таблиця 1'!$B:$B,$A264,'Таблиця 1'!$I:$I,"F-16"))</f>
        <v/>
      </c>
      <c r="E264">
        <f>IF($A264="","",COUNTIFS('Таблиця 1'!$B:$B,$A264,'Таблиця 1'!$I:$I,"МіГ-29"))</f>
        <v/>
      </c>
      <c r="F264">
        <f>IF($A264="","",COUNTIFS('Таблиця 1'!$B:$B,$A264,'Таблиця 1'!$I:$I,"Су-25"))</f>
        <v/>
      </c>
      <c r="G264">
        <f>IF($A264="","",COUNTIFS('Таблиця 1'!$B:$B,$A264,'Таблиця 1'!$I:$I,"Су-27"))</f>
        <v/>
      </c>
      <c r="H264">
        <f>IF($A264="","",SUMIFS('Таблиця 1'!$K:$K,'Таблиця 1'!$B:$B,$A264,'Таблиця 1'!$I:$I,"Mirage",'Таблиця 1'!$J:$J,"AGM-88")+SUMIFS('Таблиця 1'!$K:$K,'Таблиця 1'!$B:$B,$A264,'Таблиця 1'!$I:$I,"F-16",'Таблиця 1'!$J:$J,"AGM-88")+SUMIFS('Таблиця 1'!$K:$K,'Таблиця 1'!$B:$B,$A264,'Таблиця 1'!$I:$I,"МіГ-29",'Таблиця 1'!$J:$J,"AGM-88")+SUMIFS('Таблиця 1'!$K:$K,'Таблиця 1'!$B:$B,$A264,'Таблиця 1'!$I:$I,"Су-25",'Таблиця 1'!$J:$J,"AGM-88")+SUMIFS('Таблиця 1'!$K:$K,'Таблиця 1'!$B:$B,$A264,'Таблиця 1'!$I:$I,"Су-27",'Таблиця 1'!$J:$J,"AGM-88"))</f>
        <v/>
      </c>
      <c r="I264">
        <f>IF($A264="","",SUMIFS('Таблиця 1'!$K:$K,'Таблиця 1'!$B:$B,$A264,'Таблиця 1'!$I:$I,"Mirage",'Таблиця 1'!$J:$J,"AASM-250")+SUMIFS('Таблиця 1'!$K:$K,'Таблиця 1'!$B:$B,$A264,'Таблиця 1'!$I:$I,"F-16",'Таблиця 1'!$J:$J,"AASM-250")+SUMIFS('Таблиця 1'!$K:$K,'Таблиця 1'!$B:$B,$A264,'Таблиця 1'!$I:$I,"МіГ-29",'Таблиця 1'!$J:$J,"AASM-250")+SUMIFS('Таблиця 1'!$K:$K,'Таблиця 1'!$B:$B,$A264,'Таблиця 1'!$I:$I,"Су-25",'Таблиця 1'!$J:$J,"AASM-250")+SUMIFS('Таблиця 1'!$K:$K,'Таблиця 1'!$B:$B,$A264,'Таблиця 1'!$I:$I,"Су-27",'Таблиця 1'!$J:$J,"AASM-250"))</f>
        <v/>
      </c>
      <c r="J264">
        <f>IF($A264="","",SUMIFS('Таблиця 1'!$K:$K,'Таблиця 1'!$B:$B,$A264,'Таблиця 1'!$I:$I,"Mirage",'Таблиця 1'!$J:$J,"GBU-39")+SUMIFS('Таблиця 1'!$K:$K,'Таблиця 1'!$B:$B,$A264,'Таблиця 1'!$I:$I,"F-16",'Таблиця 1'!$J:$J,"GBU-39")+SUMIFS('Таблиця 1'!$K:$K,'Таблиця 1'!$B:$B,$A264,'Таблиця 1'!$I:$I,"МіГ-29",'Таблиця 1'!$J:$J,"GBU-39")+SUMIFS('Таблиця 1'!$K:$K,'Таблиця 1'!$B:$B,$A264,'Таблиця 1'!$I:$I,"Су-25",'Таблиця 1'!$J:$J,"GBU-39")+SUMIFS('Таблиця 1'!$K:$K,'Таблиця 1'!$B:$B,$A264,'Таблиця 1'!$I:$I,"Су-27",'Таблиця 1'!$J:$J,"GBU-39"))</f>
        <v/>
      </c>
      <c r="K264">
        <f>IF($A264="","",SUMIFS('Таблиця 1'!$K:$K,'Таблиця 1'!$B:$B,$A264,'Таблиця 1'!$I:$I,"Mirage",'Таблиця 1'!$J:$J,"BLU-140")+SUMIFS('Таблиця 1'!$K:$K,'Таблиця 1'!$B:$B,$A264,'Таблиця 1'!$I:$I,"F-16",'Таблиця 1'!$J:$J,"BLU-140")+SUMIFS('Таблиця 1'!$K:$K,'Таблиця 1'!$B:$B,$A264,'Таблиця 1'!$I:$I,"МіГ-29",'Таблиця 1'!$J:$J,"BLU-140")+SUMIFS('Таблиця 1'!$K:$K,'Таблиця 1'!$B:$B,$A264,'Таблиця 1'!$I:$I,"Су-25",'Таблиця 1'!$J:$J,"BLU-140")+SUMIFS('Таблиця 1'!$K:$K,'Таблиця 1'!$B:$B,$A264,'Таблиця 1'!$I:$I,"Су-27",'Таблиця 1'!$J:$J,"BLU-140"))</f>
        <v/>
      </c>
      <c r="L264">
        <f>IF($A264="","",SUMIFS('Таблиця 1'!$K:$K,'Таблиця 1'!$B:$B,$A264,'Таблиця 1'!$I:$I,"Mirage",'Таблиця 1'!$J:$J,"GBU-65")+SUMIFS('Таблиця 1'!$K:$K,'Таблиця 1'!$B:$B,$A264,'Таблиця 1'!$I:$I,"F-16",'Таблиця 1'!$J:$J,"GBU-65")+SUMIFS('Таблиця 1'!$K:$K,'Таблиця 1'!$B:$B,$A264,'Таблиця 1'!$I:$I,"МіГ-29",'Таблиця 1'!$J:$J,"GBU-65")+SUMIFS('Таблиця 1'!$K:$K,'Таблиця 1'!$B:$B,$A264,'Таблиця 1'!$I:$I,"Су-25",'Таблиця 1'!$J:$J,"GBU-65")+SUMIFS('Таблиця 1'!$K:$K,'Таблиця 1'!$B:$B,$A264,'Таблиця 1'!$I:$I,"Су-27",'Таблиця 1'!$J:$J,"GBU-65"))</f>
        <v/>
      </c>
      <c r="M264">
        <f>IF($A264="","",SUMIFS('Таблиця 1'!$K:$K,'Таблиця 1'!$B:$B,$A264,'Таблиця 1'!$I:$I,"Mirage",'Таблиця 1'!$J:$J,"GBU-62")+SUMIFS('Таблиця 1'!$K:$K,'Таблиця 1'!$B:$B,$A264,'Таблиця 1'!$I:$I,"F-16",'Таблиця 1'!$J:$J,"GBU-62")+SUMIFS('Таблиця 1'!$K:$K,'Таблиця 1'!$B:$B,$A264,'Таблиця 1'!$I:$I,"МіГ-29",'Таблиця 1'!$J:$J,"GBU-62")+SUMIFS('Таблиця 1'!$K:$K,'Таблиця 1'!$B:$B,$A264,'Таблиця 1'!$I:$I,"Су-25",'Таблиця 1'!$J:$J,"GBU-62")+SUMIFS('Таблиця 1'!$K:$K,'Таблиця 1'!$B:$B,$A264,'Таблиця 1'!$I:$I,"Су-27",'Таблиця 1'!$J:$J,"GBU-62"))</f>
        <v/>
      </c>
      <c r="N264">
        <f>IF($A264="","",SUMIFS('Таблиця 1'!$K:$K,'Таблиця 1'!$B:$B,$A264,'Таблиця 1'!$I:$I,"Mirage",'Таблиця 1'!$J:$J,"GBU-64")+SUMIFS('Таблиця 1'!$K:$K,'Таблиця 1'!$B:$B,$A264,'Таблиця 1'!$I:$I,"F-16",'Таблиця 1'!$J:$J,"GBU-64")+SUMIFS('Таблиця 1'!$K:$K,'Таблиця 1'!$B:$B,$A264,'Таблиця 1'!$I:$I,"МіГ-29",'Таблиця 1'!$J:$J,"GBU-64")+SUMIFS('Таблиця 1'!$K:$K,'Таблиця 1'!$B:$B,$A264,'Таблиця 1'!$I:$I,"Су-25",'Таблиця 1'!$J:$J,"GBU-64")+SUMIFS('Таблиця 1'!$K:$K,'Таблиця 1'!$B:$B,$A264,'Таблиця 1'!$I:$I,"Су-27",'Таблиця 1'!$J:$J,"GBU-64"))</f>
        <v/>
      </c>
      <c r="O264">
        <f>IF($A264="","",SUMIFS('Таблиця 1'!$K:$K,'Таблиця 1'!$B:$B,$A264,'Таблиця 1'!$I:$I,"Mirage",'Таблиця 1'!$J:$J,"C-13")+SUMIFS('Таблиця 1'!$K:$K,'Таблиця 1'!$B:$B,$A264,'Таблиця 1'!$I:$I,"F-16",'Таблиця 1'!$J:$J,"C-13")+SUMIFS('Таблиця 1'!$K:$K,'Таблиця 1'!$B:$B,$A264,'Таблиця 1'!$I:$I,"МіГ-29",'Таблиця 1'!$J:$J,"C-13")+SUMIFS('Таблиця 1'!$K:$K,'Таблиця 1'!$B:$B,$A264,'Таблиця 1'!$I:$I,"Су-25",'Таблиця 1'!$J:$J,"C-13")+SUMIFS('Таблиця 1'!$K:$K,'Таблиця 1'!$B:$B,$A264,'Таблиця 1'!$I:$I,"Су-27",'Таблиця 1'!$J:$J,"C-13"))</f>
        <v/>
      </c>
      <c r="P264">
        <f>IF($A264="","",SUMIFS('Таблиця 1'!$K:$K,'Таблиця 1'!$B:$B,$A264,'Таблиця 1'!$I:$I,"Mirage",'Таблиця 1'!$J:$J,"MK-32")+SUMIFS('Таблиця 1'!$K:$K,'Таблиця 1'!$B:$B,$A264,'Таблиця 1'!$I:$I,"F-16",'Таблиця 1'!$J:$J,"MK-32")+SUMIFS('Таблиця 1'!$K:$K,'Таблиця 1'!$B:$B,$A264,'Таблиця 1'!$I:$I,"МіГ-29",'Таблиця 1'!$J:$J,"MK-32")+SUMIFS('Таблиця 1'!$K:$K,'Таблиця 1'!$B:$B,$A264,'Таблиця 1'!$I:$I,"Су-25",'Таблиця 1'!$J:$J,"MK-32")+SUMIFS('Таблиця 1'!$K:$K,'Таблиця 1'!$B:$B,$A264,'Таблиця 1'!$I:$I,"Су-27",'Таблиця 1'!$J:$J,"MK-32"))</f>
        <v/>
      </c>
      <c r="Q264">
        <f>IF($A264="","",SUMIFS('Таблиця 1'!$K:$K,'Таблиця 1'!$B:$B,$A264,'Таблиця 1'!$I:$I,"Mirage",'Таблиця 1'!$J:$J,"MK-24")+SUMIFS('Таблиця 1'!$K:$K,'Таблиця 1'!$B:$B,$A264,'Таблиця 1'!$I:$I,"F-16",'Таблиця 1'!$J:$J,"MK-24")+SUMIFS('Таблиця 1'!$K:$K,'Таблиця 1'!$B:$B,$A264,'Таблиця 1'!$I:$I,"МіГ-29",'Таблиця 1'!$J:$J,"MK-24")+SUMIFS('Таблиця 1'!$K:$K,'Таблиця 1'!$B:$B,$A264,'Таблиця 1'!$I:$I,"Су-25",'Таблиця 1'!$J:$J,"MK-24")+SUMIFS('Таблиця 1'!$K:$K,'Таблиця 1'!$B:$B,$A264,'Таблиця 1'!$I:$I,"Су-27",'Таблиця 1'!$J:$J,"MK-24"))</f>
        <v/>
      </c>
      <c r="R264">
        <f>IF($A264="","",COUNTIFS('Таблиця 1'!$B:$B,$A264,'Таблиця 1'!$I:$I,"Mirage",'Таблиця 1'!$L:$L,"Уражено")+COUNTIFS('Таблиця 1'!$B:$B,$A264,'Таблиця 1'!$I:$I,"F-16",'Таблиця 1'!$L:$L,"Уражено")+COUNTIFS('Таблиця 1'!$B:$B,$A264,'Таблиця 1'!$I:$I,"МіГ-29",'Таблиця 1'!$L:$L,"Уражено")+COUNTIFS('Таблиця 1'!$B:$B,$A264,'Таблиця 1'!$I:$I,"Су-25",'Таблиця 1'!$L:$L,"Уражено")+COUNTIFS('Таблиця 1'!$B:$B,$A264,'Таблиця 1'!$I:$I,"Су-27",'Таблиця 1'!$L:$L,"Уражено"))</f>
        <v/>
      </c>
      <c r="S264">
        <f>IF($A264="","",COUNTIFS('Таблиця 1'!$B:$B,$A264,'Таблиця 1'!$I:$I,"Mirage",'Таблиця 1'!$L:$L,"НЕ уражено")+COUNTIFS('Таблиця 1'!$B:$B,$A264,'Таблиця 1'!$I:$I,"F-16",'Таблиця 1'!$L:$L,"НЕ уражено")+COUNTIFS('Таблиця 1'!$B:$B,$A264,'Таблиця 1'!$I:$I,"МіГ-29",'Таблиця 1'!$L:$L,"НЕ уражено")+COUNTIFS('Таблиця 1'!$B:$B,$A264,'Таблиця 1'!$I:$I,"Су-25",'Таблиця 1'!$L:$L,"НЕ уражено")+COUNTIFS('Таблиця 1'!$B:$B,$A264,'Таблиця 1'!$I:$I,"Су-27",'Таблиця 1'!$L:$L,"НЕ уражено"))</f>
        <v/>
      </c>
      <c r="T264">
        <f>IF($A264="","",COUNTIFS('Таблиця 1'!$B:$B,$A264,'Таблиця 1'!$I:$I,"Mirage",'Таблиця 1'!$L:$L,"Дорозвідується")+COUNTIFS('Таблиця 1'!$B:$B,$A264,'Таблиця 1'!$I:$I,"F-16",'Таблиця 1'!$L:$L,"Дорозвідується")+COUNTIFS('Таблиця 1'!$B:$B,$A264,'Таблиця 1'!$I:$I,"МіГ-29",'Таблиця 1'!$L:$L,"Дорозвідується")+COUNTIFS('Таблиця 1'!$B:$B,$A264,'Таблиця 1'!$I:$I,"Су-25",'Таблиця 1'!$L:$L,"Дорозвідується")+COUNTIFS('Таблиця 1'!$B:$B,$A264,'Таблиця 1'!$I:$I,"Су-27",'Таблиця 1'!$L:$L,"Дорозвідується"))</f>
        <v/>
      </c>
    </row>
    <row r="265">
      <c r="A265" s="273">
        <f>IF(A264="","",IF(A264+1&gt;MAX('Таблиця 1'!$B:$B),"",A264+1))</f>
        <v/>
      </c>
      <c r="B265">
        <f>IF($A265="","",COUNTIFS('Таблиця 1'!$B:$B,$A265,'Таблиця 1'!$I:$I,"Mirage")+COUNTIFS('Таблиця 1'!$B:$B,$A265,'Таблиця 1'!$I:$I,"F-16")+COUNTIFS('Таблиця 1'!$B:$B,$A265,'Таблиця 1'!$I:$I,"МіГ-29")+COUNTIFS('Таблиця 1'!$B:$B,$A265,'Таблиця 1'!$I:$I,"Су-25")+COUNTIFS('Таблиця 1'!$B:$B,$A265,'Таблиця 1'!$I:$I,"Су-27"))</f>
        <v/>
      </c>
      <c r="C265">
        <f>IF($A265="","",COUNTIFS('Таблиця 1'!$B:$B,$A265,'Таблиця 1'!$I:$I,"Mirage"))</f>
        <v/>
      </c>
      <c r="D265">
        <f>IF($A265="","",COUNTIFS('Таблиця 1'!$B:$B,$A265,'Таблиця 1'!$I:$I,"F-16"))</f>
        <v/>
      </c>
      <c r="E265">
        <f>IF($A265="","",COUNTIFS('Таблиця 1'!$B:$B,$A265,'Таблиця 1'!$I:$I,"МіГ-29"))</f>
        <v/>
      </c>
      <c r="F265">
        <f>IF($A265="","",COUNTIFS('Таблиця 1'!$B:$B,$A265,'Таблиця 1'!$I:$I,"Су-25"))</f>
        <v/>
      </c>
      <c r="G265">
        <f>IF($A265="","",COUNTIFS('Таблиця 1'!$B:$B,$A265,'Таблиця 1'!$I:$I,"Су-27"))</f>
        <v/>
      </c>
      <c r="H265">
        <f>IF($A265="","",SUMIFS('Таблиця 1'!$K:$K,'Таблиця 1'!$B:$B,$A265,'Таблиця 1'!$I:$I,"Mirage",'Таблиця 1'!$J:$J,"AGM-88")+SUMIFS('Таблиця 1'!$K:$K,'Таблиця 1'!$B:$B,$A265,'Таблиця 1'!$I:$I,"F-16",'Таблиця 1'!$J:$J,"AGM-88")+SUMIFS('Таблиця 1'!$K:$K,'Таблиця 1'!$B:$B,$A265,'Таблиця 1'!$I:$I,"МіГ-29",'Таблиця 1'!$J:$J,"AGM-88")+SUMIFS('Таблиця 1'!$K:$K,'Таблиця 1'!$B:$B,$A265,'Таблиця 1'!$I:$I,"Су-25",'Таблиця 1'!$J:$J,"AGM-88")+SUMIFS('Таблиця 1'!$K:$K,'Таблиця 1'!$B:$B,$A265,'Таблиця 1'!$I:$I,"Су-27",'Таблиця 1'!$J:$J,"AGM-88"))</f>
        <v/>
      </c>
      <c r="I265">
        <f>IF($A265="","",SUMIFS('Таблиця 1'!$K:$K,'Таблиця 1'!$B:$B,$A265,'Таблиця 1'!$I:$I,"Mirage",'Таблиця 1'!$J:$J,"AASM-250")+SUMIFS('Таблиця 1'!$K:$K,'Таблиця 1'!$B:$B,$A265,'Таблиця 1'!$I:$I,"F-16",'Таблиця 1'!$J:$J,"AASM-250")+SUMIFS('Таблиця 1'!$K:$K,'Таблиця 1'!$B:$B,$A265,'Таблиця 1'!$I:$I,"МіГ-29",'Таблиця 1'!$J:$J,"AASM-250")+SUMIFS('Таблиця 1'!$K:$K,'Таблиця 1'!$B:$B,$A265,'Таблиця 1'!$I:$I,"Су-25",'Таблиця 1'!$J:$J,"AASM-250")+SUMIFS('Таблиця 1'!$K:$K,'Таблиця 1'!$B:$B,$A265,'Таблиця 1'!$I:$I,"Су-27",'Таблиця 1'!$J:$J,"AASM-250"))</f>
        <v/>
      </c>
      <c r="J265">
        <f>IF($A265="","",SUMIFS('Таблиця 1'!$K:$K,'Таблиця 1'!$B:$B,$A265,'Таблиця 1'!$I:$I,"Mirage",'Таблиця 1'!$J:$J,"GBU-39")+SUMIFS('Таблиця 1'!$K:$K,'Таблиця 1'!$B:$B,$A265,'Таблиця 1'!$I:$I,"F-16",'Таблиця 1'!$J:$J,"GBU-39")+SUMIFS('Таблиця 1'!$K:$K,'Таблиця 1'!$B:$B,$A265,'Таблиця 1'!$I:$I,"МіГ-29",'Таблиця 1'!$J:$J,"GBU-39")+SUMIFS('Таблиця 1'!$K:$K,'Таблиця 1'!$B:$B,$A265,'Таблиця 1'!$I:$I,"Су-25",'Таблиця 1'!$J:$J,"GBU-39")+SUMIFS('Таблиця 1'!$K:$K,'Таблиця 1'!$B:$B,$A265,'Таблиця 1'!$I:$I,"Су-27",'Таблиця 1'!$J:$J,"GBU-39"))</f>
        <v/>
      </c>
      <c r="K265">
        <f>IF($A265="","",SUMIFS('Таблиця 1'!$K:$K,'Таблиця 1'!$B:$B,$A265,'Таблиця 1'!$I:$I,"Mirage",'Таблиця 1'!$J:$J,"BLU-140")+SUMIFS('Таблиця 1'!$K:$K,'Таблиця 1'!$B:$B,$A265,'Таблиця 1'!$I:$I,"F-16",'Таблиця 1'!$J:$J,"BLU-140")+SUMIFS('Таблиця 1'!$K:$K,'Таблиця 1'!$B:$B,$A265,'Таблиця 1'!$I:$I,"МіГ-29",'Таблиця 1'!$J:$J,"BLU-140")+SUMIFS('Таблиця 1'!$K:$K,'Таблиця 1'!$B:$B,$A265,'Таблиця 1'!$I:$I,"Су-25",'Таблиця 1'!$J:$J,"BLU-140")+SUMIFS('Таблиця 1'!$K:$K,'Таблиця 1'!$B:$B,$A265,'Таблиця 1'!$I:$I,"Су-27",'Таблиця 1'!$J:$J,"BLU-140"))</f>
        <v/>
      </c>
      <c r="L265">
        <f>IF($A265="","",SUMIFS('Таблиця 1'!$K:$K,'Таблиця 1'!$B:$B,$A265,'Таблиця 1'!$I:$I,"Mirage",'Таблиця 1'!$J:$J,"GBU-65")+SUMIFS('Таблиця 1'!$K:$K,'Таблиця 1'!$B:$B,$A265,'Таблиця 1'!$I:$I,"F-16",'Таблиця 1'!$J:$J,"GBU-65")+SUMIFS('Таблиця 1'!$K:$K,'Таблиця 1'!$B:$B,$A265,'Таблиця 1'!$I:$I,"МіГ-29",'Таблиця 1'!$J:$J,"GBU-65")+SUMIFS('Таблиця 1'!$K:$K,'Таблиця 1'!$B:$B,$A265,'Таблиця 1'!$I:$I,"Су-25",'Таблиця 1'!$J:$J,"GBU-65")+SUMIFS('Таблиця 1'!$K:$K,'Таблиця 1'!$B:$B,$A265,'Таблиця 1'!$I:$I,"Су-27",'Таблиця 1'!$J:$J,"GBU-65"))</f>
        <v/>
      </c>
      <c r="M265">
        <f>IF($A265="","",SUMIFS('Таблиця 1'!$K:$K,'Таблиця 1'!$B:$B,$A265,'Таблиця 1'!$I:$I,"Mirage",'Таблиця 1'!$J:$J,"GBU-62")+SUMIFS('Таблиця 1'!$K:$K,'Таблиця 1'!$B:$B,$A265,'Таблиця 1'!$I:$I,"F-16",'Таблиця 1'!$J:$J,"GBU-62")+SUMIFS('Таблиця 1'!$K:$K,'Таблиця 1'!$B:$B,$A265,'Таблиця 1'!$I:$I,"МіГ-29",'Таблиця 1'!$J:$J,"GBU-62")+SUMIFS('Таблиця 1'!$K:$K,'Таблиця 1'!$B:$B,$A265,'Таблиця 1'!$I:$I,"Су-25",'Таблиця 1'!$J:$J,"GBU-62")+SUMIFS('Таблиця 1'!$K:$K,'Таблиця 1'!$B:$B,$A265,'Таблиця 1'!$I:$I,"Су-27",'Таблиця 1'!$J:$J,"GBU-62"))</f>
        <v/>
      </c>
      <c r="N265">
        <f>IF($A265="","",SUMIFS('Таблиця 1'!$K:$K,'Таблиця 1'!$B:$B,$A265,'Таблиця 1'!$I:$I,"Mirage",'Таблиця 1'!$J:$J,"GBU-64")+SUMIFS('Таблиця 1'!$K:$K,'Таблиця 1'!$B:$B,$A265,'Таблиця 1'!$I:$I,"F-16",'Таблиця 1'!$J:$J,"GBU-64")+SUMIFS('Таблиця 1'!$K:$K,'Таблиця 1'!$B:$B,$A265,'Таблиця 1'!$I:$I,"МіГ-29",'Таблиця 1'!$J:$J,"GBU-64")+SUMIFS('Таблиця 1'!$K:$K,'Таблиця 1'!$B:$B,$A265,'Таблиця 1'!$I:$I,"Су-25",'Таблиця 1'!$J:$J,"GBU-64")+SUMIFS('Таблиця 1'!$K:$K,'Таблиця 1'!$B:$B,$A265,'Таблиця 1'!$I:$I,"Су-27",'Таблиця 1'!$J:$J,"GBU-64"))</f>
        <v/>
      </c>
      <c r="O265">
        <f>IF($A265="","",SUMIFS('Таблиця 1'!$K:$K,'Таблиця 1'!$B:$B,$A265,'Таблиця 1'!$I:$I,"Mirage",'Таблиця 1'!$J:$J,"C-13")+SUMIFS('Таблиця 1'!$K:$K,'Таблиця 1'!$B:$B,$A265,'Таблиця 1'!$I:$I,"F-16",'Таблиця 1'!$J:$J,"C-13")+SUMIFS('Таблиця 1'!$K:$K,'Таблиця 1'!$B:$B,$A265,'Таблиця 1'!$I:$I,"МіГ-29",'Таблиця 1'!$J:$J,"C-13")+SUMIFS('Таблиця 1'!$K:$K,'Таблиця 1'!$B:$B,$A265,'Таблиця 1'!$I:$I,"Су-25",'Таблиця 1'!$J:$J,"C-13")+SUMIFS('Таблиця 1'!$K:$K,'Таблиця 1'!$B:$B,$A265,'Таблиця 1'!$I:$I,"Су-27",'Таблиця 1'!$J:$J,"C-13"))</f>
        <v/>
      </c>
      <c r="P265">
        <f>IF($A265="","",SUMIFS('Таблиця 1'!$K:$K,'Таблиця 1'!$B:$B,$A265,'Таблиця 1'!$I:$I,"Mirage",'Таблиця 1'!$J:$J,"MK-32")+SUMIFS('Таблиця 1'!$K:$K,'Таблиця 1'!$B:$B,$A265,'Таблиця 1'!$I:$I,"F-16",'Таблиця 1'!$J:$J,"MK-32")+SUMIFS('Таблиця 1'!$K:$K,'Таблиця 1'!$B:$B,$A265,'Таблиця 1'!$I:$I,"МіГ-29",'Таблиця 1'!$J:$J,"MK-32")+SUMIFS('Таблиця 1'!$K:$K,'Таблиця 1'!$B:$B,$A265,'Таблиця 1'!$I:$I,"Су-25",'Таблиця 1'!$J:$J,"MK-32")+SUMIFS('Таблиця 1'!$K:$K,'Таблиця 1'!$B:$B,$A265,'Таблиця 1'!$I:$I,"Су-27",'Таблиця 1'!$J:$J,"MK-32"))</f>
        <v/>
      </c>
      <c r="Q265">
        <f>IF($A265="","",SUMIFS('Таблиця 1'!$K:$K,'Таблиця 1'!$B:$B,$A265,'Таблиця 1'!$I:$I,"Mirage",'Таблиця 1'!$J:$J,"MK-24")+SUMIFS('Таблиця 1'!$K:$K,'Таблиця 1'!$B:$B,$A265,'Таблиця 1'!$I:$I,"F-16",'Таблиця 1'!$J:$J,"MK-24")+SUMIFS('Таблиця 1'!$K:$K,'Таблиця 1'!$B:$B,$A265,'Таблиця 1'!$I:$I,"МіГ-29",'Таблиця 1'!$J:$J,"MK-24")+SUMIFS('Таблиця 1'!$K:$K,'Таблиця 1'!$B:$B,$A265,'Таблиця 1'!$I:$I,"Су-25",'Таблиця 1'!$J:$J,"MK-24")+SUMIFS('Таблиця 1'!$K:$K,'Таблиця 1'!$B:$B,$A265,'Таблиця 1'!$I:$I,"Су-27",'Таблиця 1'!$J:$J,"MK-24"))</f>
        <v/>
      </c>
      <c r="R265">
        <f>IF($A265="","",COUNTIFS('Таблиця 1'!$B:$B,$A265,'Таблиця 1'!$I:$I,"Mirage",'Таблиця 1'!$L:$L,"Уражено")+COUNTIFS('Таблиця 1'!$B:$B,$A265,'Таблиця 1'!$I:$I,"F-16",'Таблиця 1'!$L:$L,"Уражено")+COUNTIFS('Таблиця 1'!$B:$B,$A265,'Таблиця 1'!$I:$I,"МіГ-29",'Таблиця 1'!$L:$L,"Уражено")+COUNTIFS('Таблиця 1'!$B:$B,$A265,'Таблиця 1'!$I:$I,"Су-25",'Таблиця 1'!$L:$L,"Уражено")+COUNTIFS('Таблиця 1'!$B:$B,$A265,'Таблиця 1'!$I:$I,"Су-27",'Таблиця 1'!$L:$L,"Уражено"))</f>
        <v/>
      </c>
      <c r="S265">
        <f>IF($A265="","",COUNTIFS('Таблиця 1'!$B:$B,$A265,'Таблиця 1'!$I:$I,"Mirage",'Таблиця 1'!$L:$L,"НЕ уражено")+COUNTIFS('Таблиця 1'!$B:$B,$A265,'Таблиця 1'!$I:$I,"F-16",'Таблиця 1'!$L:$L,"НЕ уражено")+COUNTIFS('Таблиця 1'!$B:$B,$A265,'Таблиця 1'!$I:$I,"МіГ-29",'Таблиця 1'!$L:$L,"НЕ уражено")+COUNTIFS('Таблиця 1'!$B:$B,$A265,'Таблиця 1'!$I:$I,"Су-25",'Таблиця 1'!$L:$L,"НЕ уражено")+COUNTIFS('Таблиця 1'!$B:$B,$A265,'Таблиця 1'!$I:$I,"Су-27",'Таблиця 1'!$L:$L,"НЕ уражено"))</f>
        <v/>
      </c>
      <c r="T265">
        <f>IF($A265="","",COUNTIFS('Таблиця 1'!$B:$B,$A265,'Таблиця 1'!$I:$I,"Mirage",'Таблиця 1'!$L:$L,"Дорозвідується")+COUNTIFS('Таблиця 1'!$B:$B,$A265,'Таблиця 1'!$I:$I,"F-16",'Таблиця 1'!$L:$L,"Дорозвідується")+COUNTIFS('Таблиця 1'!$B:$B,$A265,'Таблиця 1'!$I:$I,"МіГ-29",'Таблиця 1'!$L:$L,"Дорозвідується")+COUNTIFS('Таблиця 1'!$B:$B,$A265,'Таблиця 1'!$I:$I,"Су-25",'Таблиця 1'!$L:$L,"Дорозвідується")+COUNTIFS('Таблиця 1'!$B:$B,$A265,'Таблиця 1'!$I:$I,"Су-27",'Таблиця 1'!$L:$L,"Дорозвідується"))</f>
        <v/>
      </c>
    </row>
    <row r="266">
      <c r="A266" s="273">
        <f>IF(A265="","",IF(A265+1&gt;MAX('Таблиця 1'!$B:$B),"",A265+1))</f>
        <v/>
      </c>
      <c r="B266">
        <f>IF($A266="","",COUNTIFS('Таблиця 1'!$B:$B,$A266,'Таблиця 1'!$I:$I,"Mirage")+COUNTIFS('Таблиця 1'!$B:$B,$A266,'Таблиця 1'!$I:$I,"F-16")+COUNTIFS('Таблиця 1'!$B:$B,$A266,'Таблиця 1'!$I:$I,"МіГ-29")+COUNTIFS('Таблиця 1'!$B:$B,$A266,'Таблиця 1'!$I:$I,"Су-25")+COUNTIFS('Таблиця 1'!$B:$B,$A266,'Таблиця 1'!$I:$I,"Су-27"))</f>
        <v/>
      </c>
      <c r="C266">
        <f>IF($A266="","",COUNTIFS('Таблиця 1'!$B:$B,$A266,'Таблиця 1'!$I:$I,"Mirage"))</f>
        <v/>
      </c>
      <c r="D266">
        <f>IF($A266="","",COUNTIFS('Таблиця 1'!$B:$B,$A266,'Таблиця 1'!$I:$I,"F-16"))</f>
        <v/>
      </c>
      <c r="E266">
        <f>IF($A266="","",COUNTIFS('Таблиця 1'!$B:$B,$A266,'Таблиця 1'!$I:$I,"МіГ-29"))</f>
        <v/>
      </c>
      <c r="F266">
        <f>IF($A266="","",COUNTIFS('Таблиця 1'!$B:$B,$A266,'Таблиця 1'!$I:$I,"Су-25"))</f>
        <v/>
      </c>
      <c r="G266">
        <f>IF($A266="","",COUNTIFS('Таблиця 1'!$B:$B,$A266,'Таблиця 1'!$I:$I,"Су-27"))</f>
        <v/>
      </c>
      <c r="H266">
        <f>IF($A266="","",SUMIFS('Таблиця 1'!$K:$K,'Таблиця 1'!$B:$B,$A266,'Таблиця 1'!$I:$I,"Mirage",'Таблиця 1'!$J:$J,"AGM-88")+SUMIFS('Таблиця 1'!$K:$K,'Таблиця 1'!$B:$B,$A266,'Таблиця 1'!$I:$I,"F-16",'Таблиця 1'!$J:$J,"AGM-88")+SUMIFS('Таблиця 1'!$K:$K,'Таблиця 1'!$B:$B,$A266,'Таблиця 1'!$I:$I,"МіГ-29",'Таблиця 1'!$J:$J,"AGM-88")+SUMIFS('Таблиця 1'!$K:$K,'Таблиця 1'!$B:$B,$A266,'Таблиця 1'!$I:$I,"Су-25",'Таблиця 1'!$J:$J,"AGM-88")+SUMIFS('Таблиця 1'!$K:$K,'Таблиця 1'!$B:$B,$A266,'Таблиця 1'!$I:$I,"Су-27",'Таблиця 1'!$J:$J,"AGM-88"))</f>
        <v/>
      </c>
      <c r="I266">
        <f>IF($A266="","",SUMIFS('Таблиця 1'!$K:$K,'Таблиця 1'!$B:$B,$A266,'Таблиця 1'!$I:$I,"Mirage",'Таблиця 1'!$J:$J,"AASM-250")+SUMIFS('Таблиця 1'!$K:$K,'Таблиця 1'!$B:$B,$A266,'Таблиця 1'!$I:$I,"F-16",'Таблиця 1'!$J:$J,"AASM-250")+SUMIFS('Таблиця 1'!$K:$K,'Таблиця 1'!$B:$B,$A266,'Таблиця 1'!$I:$I,"МіГ-29",'Таблиця 1'!$J:$J,"AASM-250")+SUMIFS('Таблиця 1'!$K:$K,'Таблиця 1'!$B:$B,$A266,'Таблиця 1'!$I:$I,"Су-25",'Таблиця 1'!$J:$J,"AASM-250")+SUMIFS('Таблиця 1'!$K:$K,'Таблиця 1'!$B:$B,$A266,'Таблиця 1'!$I:$I,"Су-27",'Таблиця 1'!$J:$J,"AASM-250"))</f>
        <v/>
      </c>
      <c r="J266">
        <f>IF($A266="","",SUMIFS('Таблиця 1'!$K:$K,'Таблиця 1'!$B:$B,$A266,'Таблиця 1'!$I:$I,"Mirage",'Таблиця 1'!$J:$J,"GBU-39")+SUMIFS('Таблиця 1'!$K:$K,'Таблиця 1'!$B:$B,$A266,'Таблиця 1'!$I:$I,"F-16",'Таблиця 1'!$J:$J,"GBU-39")+SUMIFS('Таблиця 1'!$K:$K,'Таблиця 1'!$B:$B,$A266,'Таблиця 1'!$I:$I,"МіГ-29",'Таблиця 1'!$J:$J,"GBU-39")+SUMIFS('Таблиця 1'!$K:$K,'Таблиця 1'!$B:$B,$A266,'Таблиця 1'!$I:$I,"Су-25",'Таблиця 1'!$J:$J,"GBU-39")+SUMIFS('Таблиця 1'!$K:$K,'Таблиця 1'!$B:$B,$A266,'Таблиця 1'!$I:$I,"Су-27",'Таблиця 1'!$J:$J,"GBU-39"))</f>
        <v/>
      </c>
      <c r="K266">
        <f>IF($A266="","",SUMIFS('Таблиця 1'!$K:$K,'Таблиця 1'!$B:$B,$A266,'Таблиця 1'!$I:$I,"Mirage",'Таблиця 1'!$J:$J,"BLU-140")+SUMIFS('Таблиця 1'!$K:$K,'Таблиця 1'!$B:$B,$A266,'Таблиця 1'!$I:$I,"F-16",'Таблиця 1'!$J:$J,"BLU-140")+SUMIFS('Таблиця 1'!$K:$K,'Таблиця 1'!$B:$B,$A266,'Таблиця 1'!$I:$I,"МіГ-29",'Таблиця 1'!$J:$J,"BLU-140")+SUMIFS('Таблиця 1'!$K:$K,'Таблиця 1'!$B:$B,$A266,'Таблиця 1'!$I:$I,"Су-25",'Таблиця 1'!$J:$J,"BLU-140")+SUMIFS('Таблиця 1'!$K:$K,'Таблиця 1'!$B:$B,$A266,'Таблиця 1'!$I:$I,"Су-27",'Таблиця 1'!$J:$J,"BLU-140"))</f>
        <v/>
      </c>
      <c r="L266">
        <f>IF($A266="","",SUMIFS('Таблиця 1'!$K:$K,'Таблиця 1'!$B:$B,$A266,'Таблиця 1'!$I:$I,"Mirage",'Таблиця 1'!$J:$J,"GBU-65")+SUMIFS('Таблиця 1'!$K:$K,'Таблиця 1'!$B:$B,$A266,'Таблиця 1'!$I:$I,"F-16",'Таблиця 1'!$J:$J,"GBU-65")+SUMIFS('Таблиця 1'!$K:$K,'Таблиця 1'!$B:$B,$A266,'Таблиця 1'!$I:$I,"МіГ-29",'Таблиця 1'!$J:$J,"GBU-65")+SUMIFS('Таблиця 1'!$K:$K,'Таблиця 1'!$B:$B,$A266,'Таблиця 1'!$I:$I,"Су-25",'Таблиця 1'!$J:$J,"GBU-65")+SUMIFS('Таблиця 1'!$K:$K,'Таблиця 1'!$B:$B,$A266,'Таблиця 1'!$I:$I,"Су-27",'Таблиця 1'!$J:$J,"GBU-65"))</f>
        <v/>
      </c>
      <c r="M266">
        <f>IF($A266="","",SUMIFS('Таблиця 1'!$K:$K,'Таблиця 1'!$B:$B,$A266,'Таблиця 1'!$I:$I,"Mirage",'Таблиця 1'!$J:$J,"GBU-62")+SUMIFS('Таблиця 1'!$K:$K,'Таблиця 1'!$B:$B,$A266,'Таблиця 1'!$I:$I,"F-16",'Таблиця 1'!$J:$J,"GBU-62")+SUMIFS('Таблиця 1'!$K:$K,'Таблиця 1'!$B:$B,$A266,'Таблиця 1'!$I:$I,"МіГ-29",'Таблиця 1'!$J:$J,"GBU-62")+SUMIFS('Таблиця 1'!$K:$K,'Таблиця 1'!$B:$B,$A266,'Таблиця 1'!$I:$I,"Су-25",'Таблиця 1'!$J:$J,"GBU-62")+SUMIFS('Таблиця 1'!$K:$K,'Таблиця 1'!$B:$B,$A266,'Таблиця 1'!$I:$I,"Су-27",'Таблиця 1'!$J:$J,"GBU-62"))</f>
        <v/>
      </c>
      <c r="N266">
        <f>IF($A266="","",SUMIFS('Таблиця 1'!$K:$K,'Таблиця 1'!$B:$B,$A266,'Таблиця 1'!$I:$I,"Mirage",'Таблиця 1'!$J:$J,"GBU-64")+SUMIFS('Таблиця 1'!$K:$K,'Таблиця 1'!$B:$B,$A266,'Таблиця 1'!$I:$I,"F-16",'Таблиця 1'!$J:$J,"GBU-64")+SUMIFS('Таблиця 1'!$K:$K,'Таблиця 1'!$B:$B,$A266,'Таблиця 1'!$I:$I,"МіГ-29",'Таблиця 1'!$J:$J,"GBU-64")+SUMIFS('Таблиця 1'!$K:$K,'Таблиця 1'!$B:$B,$A266,'Таблиця 1'!$I:$I,"Су-25",'Таблиця 1'!$J:$J,"GBU-64")+SUMIFS('Таблиця 1'!$K:$K,'Таблиця 1'!$B:$B,$A266,'Таблиця 1'!$I:$I,"Су-27",'Таблиця 1'!$J:$J,"GBU-64"))</f>
        <v/>
      </c>
      <c r="O266">
        <f>IF($A266="","",SUMIFS('Таблиця 1'!$K:$K,'Таблиця 1'!$B:$B,$A266,'Таблиця 1'!$I:$I,"Mirage",'Таблиця 1'!$J:$J,"C-13")+SUMIFS('Таблиця 1'!$K:$K,'Таблиця 1'!$B:$B,$A266,'Таблиця 1'!$I:$I,"F-16",'Таблиця 1'!$J:$J,"C-13")+SUMIFS('Таблиця 1'!$K:$K,'Таблиця 1'!$B:$B,$A266,'Таблиця 1'!$I:$I,"МіГ-29",'Таблиця 1'!$J:$J,"C-13")+SUMIFS('Таблиця 1'!$K:$K,'Таблиця 1'!$B:$B,$A266,'Таблиця 1'!$I:$I,"Су-25",'Таблиця 1'!$J:$J,"C-13")+SUMIFS('Таблиця 1'!$K:$K,'Таблиця 1'!$B:$B,$A266,'Таблиця 1'!$I:$I,"Су-27",'Таблиця 1'!$J:$J,"C-13"))</f>
        <v/>
      </c>
      <c r="P266">
        <f>IF($A266="","",SUMIFS('Таблиця 1'!$K:$K,'Таблиця 1'!$B:$B,$A266,'Таблиця 1'!$I:$I,"Mirage",'Таблиця 1'!$J:$J,"MK-32")+SUMIFS('Таблиця 1'!$K:$K,'Таблиця 1'!$B:$B,$A266,'Таблиця 1'!$I:$I,"F-16",'Таблиця 1'!$J:$J,"MK-32")+SUMIFS('Таблиця 1'!$K:$K,'Таблиця 1'!$B:$B,$A266,'Таблиця 1'!$I:$I,"МіГ-29",'Таблиця 1'!$J:$J,"MK-32")+SUMIFS('Таблиця 1'!$K:$K,'Таблиця 1'!$B:$B,$A266,'Таблиця 1'!$I:$I,"Су-25",'Таблиця 1'!$J:$J,"MK-32")+SUMIFS('Таблиця 1'!$K:$K,'Таблиця 1'!$B:$B,$A266,'Таблиця 1'!$I:$I,"Су-27",'Таблиця 1'!$J:$J,"MK-32"))</f>
        <v/>
      </c>
      <c r="Q266">
        <f>IF($A266="","",SUMIFS('Таблиця 1'!$K:$K,'Таблиця 1'!$B:$B,$A266,'Таблиця 1'!$I:$I,"Mirage",'Таблиця 1'!$J:$J,"MK-24")+SUMIFS('Таблиця 1'!$K:$K,'Таблиця 1'!$B:$B,$A266,'Таблиця 1'!$I:$I,"F-16",'Таблиця 1'!$J:$J,"MK-24")+SUMIFS('Таблиця 1'!$K:$K,'Таблиця 1'!$B:$B,$A266,'Таблиця 1'!$I:$I,"МіГ-29",'Таблиця 1'!$J:$J,"MK-24")+SUMIFS('Таблиця 1'!$K:$K,'Таблиця 1'!$B:$B,$A266,'Таблиця 1'!$I:$I,"Су-25",'Таблиця 1'!$J:$J,"MK-24")+SUMIFS('Таблиця 1'!$K:$K,'Таблиця 1'!$B:$B,$A266,'Таблиця 1'!$I:$I,"Су-27",'Таблиця 1'!$J:$J,"MK-24"))</f>
        <v/>
      </c>
      <c r="R266">
        <f>IF($A266="","",COUNTIFS('Таблиця 1'!$B:$B,$A266,'Таблиця 1'!$I:$I,"Mirage",'Таблиця 1'!$L:$L,"Уражено")+COUNTIFS('Таблиця 1'!$B:$B,$A266,'Таблиця 1'!$I:$I,"F-16",'Таблиця 1'!$L:$L,"Уражено")+COUNTIFS('Таблиця 1'!$B:$B,$A266,'Таблиця 1'!$I:$I,"МіГ-29",'Таблиця 1'!$L:$L,"Уражено")+COUNTIFS('Таблиця 1'!$B:$B,$A266,'Таблиця 1'!$I:$I,"Су-25",'Таблиця 1'!$L:$L,"Уражено")+COUNTIFS('Таблиця 1'!$B:$B,$A266,'Таблиця 1'!$I:$I,"Су-27",'Таблиця 1'!$L:$L,"Уражено"))</f>
        <v/>
      </c>
      <c r="S266">
        <f>IF($A266="","",COUNTIFS('Таблиця 1'!$B:$B,$A266,'Таблиця 1'!$I:$I,"Mirage",'Таблиця 1'!$L:$L,"НЕ уражено")+COUNTIFS('Таблиця 1'!$B:$B,$A266,'Таблиця 1'!$I:$I,"F-16",'Таблиця 1'!$L:$L,"НЕ уражено")+COUNTIFS('Таблиця 1'!$B:$B,$A266,'Таблиця 1'!$I:$I,"МіГ-29",'Таблиця 1'!$L:$L,"НЕ уражено")+COUNTIFS('Таблиця 1'!$B:$B,$A266,'Таблиця 1'!$I:$I,"Су-25",'Таблиця 1'!$L:$L,"НЕ уражено")+COUNTIFS('Таблиця 1'!$B:$B,$A266,'Таблиця 1'!$I:$I,"Су-27",'Таблиця 1'!$L:$L,"НЕ уражено"))</f>
        <v/>
      </c>
      <c r="T266">
        <f>IF($A266="","",COUNTIFS('Таблиця 1'!$B:$B,$A266,'Таблиця 1'!$I:$I,"Mirage",'Таблиця 1'!$L:$L,"Дорозвідується")+COUNTIFS('Таблиця 1'!$B:$B,$A266,'Таблиця 1'!$I:$I,"F-16",'Таблиця 1'!$L:$L,"Дорозвідується")+COUNTIFS('Таблиця 1'!$B:$B,$A266,'Таблиця 1'!$I:$I,"МіГ-29",'Таблиця 1'!$L:$L,"Дорозвідується")+COUNTIFS('Таблиця 1'!$B:$B,$A266,'Таблиця 1'!$I:$I,"Су-25",'Таблиця 1'!$L:$L,"Дорозвідується")+COUNTIFS('Таблиця 1'!$B:$B,$A266,'Таблиця 1'!$I:$I,"Су-27",'Таблиця 1'!$L:$L,"Дорозвідується"))</f>
        <v/>
      </c>
    </row>
    <row r="267">
      <c r="A267" s="273">
        <f>IF(A266="","",IF(A266+1&gt;MAX('Таблиця 1'!$B:$B),"",A266+1))</f>
        <v/>
      </c>
      <c r="B267">
        <f>IF($A267="","",COUNTIFS('Таблиця 1'!$B:$B,$A267,'Таблиця 1'!$I:$I,"Mirage")+COUNTIFS('Таблиця 1'!$B:$B,$A267,'Таблиця 1'!$I:$I,"F-16")+COUNTIFS('Таблиця 1'!$B:$B,$A267,'Таблиця 1'!$I:$I,"МіГ-29")+COUNTIFS('Таблиця 1'!$B:$B,$A267,'Таблиця 1'!$I:$I,"Су-25")+COUNTIFS('Таблиця 1'!$B:$B,$A267,'Таблиця 1'!$I:$I,"Су-27"))</f>
        <v/>
      </c>
      <c r="C267">
        <f>IF($A267="","",COUNTIFS('Таблиця 1'!$B:$B,$A267,'Таблиця 1'!$I:$I,"Mirage"))</f>
        <v/>
      </c>
      <c r="D267">
        <f>IF($A267="","",COUNTIFS('Таблиця 1'!$B:$B,$A267,'Таблиця 1'!$I:$I,"F-16"))</f>
        <v/>
      </c>
      <c r="E267">
        <f>IF($A267="","",COUNTIFS('Таблиця 1'!$B:$B,$A267,'Таблиця 1'!$I:$I,"МіГ-29"))</f>
        <v/>
      </c>
      <c r="F267">
        <f>IF($A267="","",COUNTIFS('Таблиця 1'!$B:$B,$A267,'Таблиця 1'!$I:$I,"Су-25"))</f>
        <v/>
      </c>
      <c r="G267">
        <f>IF($A267="","",COUNTIFS('Таблиця 1'!$B:$B,$A267,'Таблиця 1'!$I:$I,"Су-27"))</f>
        <v/>
      </c>
      <c r="H267">
        <f>IF($A267="","",SUMIFS('Таблиця 1'!$K:$K,'Таблиця 1'!$B:$B,$A267,'Таблиця 1'!$I:$I,"Mirage",'Таблиця 1'!$J:$J,"AGM-88")+SUMIFS('Таблиця 1'!$K:$K,'Таблиця 1'!$B:$B,$A267,'Таблиця 1'!$I:$I,"F-16",'Таблиця 1'!$J:$J,"AGM-88")+SUMIFS('Таблиця 1'!$K:$K,'Таблиця 1'!$B:$B,$A267,'Таблиця 1'!$I:$I,"МіГ-29",'Таблиця 1'!$J:$J,"AGM-88")+SUMIFS('Таблиця 1'!$K:$K,'Таблиця 1'!$B:$B,$A267,'Таблиця 1'!$I:$I,"Су-25",'Таблиця 1'!$J:$J,"AGM-88")+SUMIFS('Таблиця 1'!$K:$K,'Таблиця 1'!$B:$B,$A267,'Таблиця 1'!$I:$I,"Су-27",'Таблиця 1'!$J:$J,"AGM-88"))</f>
        <v/>
      </c>
      <c r="I267">
        <f>IF($A267="","",SUMIFS('Таблиця 1'!$K:$K,'Таблиця 1'!$B:$B,$A267,'Таблиця 1'!$I:$I,"Mirage",'Таблиця 1'!$J:$J,"AASM-250")+SUMIFS('Таблиця 1'!$K:$K,'Таблиця 1'!$B:$B,$A267,'Таблиця 1'!$I:$I,"F-16",'Таблиця 1'!$J:$J,"AASM-250")+SUMIFS('Таблиця 1'!$K:$K,'Таблиця 1'!$B:$B,$A267,'Таблиця 1'!$I:$I,"МіГ-29",'Таблиця 1'!$J:$J,"AASM-250")+SUMIFS('Таблиця 1'!$K:$K,'Таблиця 1'!$B:$B,$A267,'Таблиця 1'!$I:$I,"Су-25",'Таблиця 1'!$J:$J,"AASM-250")+SUMIFS('Таблиця 1'!$K:$K,'Таблиця 1'!$B:$B,$A267,'Таблиця 1'!$I:$I,"Су-27",'Таблиця 1'!$J:$J,"AASM-250"))</f>
        <v/>
      </c>
      <c r="J267">
        <f>IF($A267="","",SUMIFS('Таблиця 1'!$K:$K,'Таблиця 1'!$B:$B,$A267,'Таблиця 1'!$I:$I,"Mirage",'Таблиця 1'!$J:$J,"GBU-39")+SUMIFS('Таблиця 1'!$K:$K,'Таблиця 1'!$B:$B,$A267,'Таблиця 1'!$I:$I,"F-16",'Таблиця 1'!$J:$J,"GBU-39")+SUMIFS('Таблиця 1'!$K:$K,'Таблиця 1'!$B:$B,$A267,'Таблиця 1'!$I:$I,"МіГ-29",'Таблиця 1'!$J:$J,"GBU-39")+SUMIFS('Таблиця 1'!$K:$K,'Таблиця 1'!$B:$B,$A267,'Таблиця 1'!$I:$I,"Су-25",'Таблиця 1'!$J:$J,"GBU-39")+SUMIFS('Таблиця 1'!$K:$K,'Таблиця 1'!$B:$B,$A267,'Таблиця 1'!$I:$I,"Су-27",'Таблиця 1'!$J:$J,"GBU-39"))</f>
        <v/>
      </c>
      <c r="K267">
        <f>IF($A267="","",SUMIFS('Таблиця 1'!$K:$K,'Таблиця 1'!$B:$B,$A267,'Таблиця 1'!$I:$I,"Mirage",'Таблиця 1'!$J:$J,"BLU-140")+SUMIFS('Таблиця 1'!$K:$K,'Таблиця 1'!$B:$B,$A267,'Таблиця 1'!$I:$I,"F-16",'Таблиця 1'!$J:$J,"BLU-140")+SUMIFS('Таблиця 1'!$K:$K,'Таблиця 1'!$B:$B,$A267,'Таблиця 1'!$I:$I,"МіГ-29",'Таблиця 1'!$J:$J,"BLU-140")+SUMIFS('Таблиця 1'!$K:$K,'Таблиця 1'!$B:$B,$A267,'Таблиця 1'!$I:$I,"Су-25",'Таблиця 1'!$J:$J,"BLU-140")+SUMIFS('Таблиця 1'!$K:$K,'Таблиця 1'!$B:$B,$A267,'Таблиця 1'!$I:$I,"Су-27",'Таблиця 1'!$J:$J,"BLU-140"))</f>
        <v/>
      </c>
      <c r="L267">
        <f>IF($A267="","",SUMIFS('Таблиця 1'!$K:$K,'Таблиця 1'!$B:$B,$A267,'Таблиця 1'!$I:$I,"Mirage",'Таблиця 1'!$J:$J,"GBU-65")+SUMIFS('Таблиця 1'!$K:$K,'Таблиця 1'!$B:$B,$A267,'Таблиця 1'!$I:$I,"F-16",'Таблиця 1'!$J:$J,"GBU-65")+SUMIFS('Таблиця 1'!$K:$K,'Таблиця 1'!$B:$B,$A267,'Таблиця 1'!$I:$I,"МіГ-29",'Таблиця 1'!$J:$J,"GBU-65")+SUMIFS('Таблиця 1'!$K:$K,'Таблиця 1'!$B:$B,$A267,'Таблиця 1'!$I:$I,"Су-25",'Таблиця 1'!$J:$J,"GBU-65")+SUMIFS('Таблиця 1'!$K:$K,'Таблиця 1'!$B:$B,$A267,'Таблиця 1'!$I:$I,"Су-27",'Таблиця 1'!$J:$J,"GBU-65"))</f>
        <v/>
      </c>
      <c r="M267">
        <f>IF($A267="","",SUMIFS('Таблиця 1'!$K:$K,'Таблиця 1'!$B:$B,$A267,'Таблиця 1'!$I:$I,"Mirage",'Таблиця 1'!$J:$J,"GBU-62")+SUMIFS('Таблиця 1'!$K:$K,'Таблиця 1'!$B:$B,$A267,'Таблиця 1'!$I:$I,"F-16",'Таблиця 1'!$J:$J,"GBU-62")+SUMIFS('Таблиця 1'!$K:$K,'Таблиця 1'!$B:$B,$A267,'Таблиця 1'!$I:$I,"МіГ-29",'Таблиця 1'!$J:$J,"GBU-62")+SUMIFS('Таблиця 1'!$K:$K,'Таблиця 1'!$B:$B,$A267,'Таблиця 1'!$I:$I,"Су-25",'Таблиця 1'!$J:$J,"GBU-62")+SUMIFS('Таблиця 1'!$K:$K,'Таблиця 1'!$B:$B,$A267,'Таблиця 1'!$I:$I,"Су-27",'Таблиця 1'!$J:$J,"GBU-62"))</f>
        <v/>
      </c>
      <c r="N267">
        <f>IF($A267="","",SUMIFS('Таблиця 1'!$K:$K,'Таблиця 1'!$B:$B,$A267,'Таблиця 1'!$I:$I,"Mirage",'Таблиця 1'!$J:$J,"GBU-64")+SUMIFS('Таблиця 1'!$K:$K,'Таблиця 1'!$B:$B,$A267,'Таблиця 1'!$I:$I,"F-16",'Таблиця 1'!$J:$J,"GBU-64")+SUMIFS('Таблиця 1'!$K:$K,'Таблиця 1'!$B:$B,$A267,'Таблиця 1'!$I:$I,"МіГ-29",'Таблиця 1'!$J:$J,"GBU-64")+SUMIFS('Таблиця 1'!$K:$K,'Таблиця 1'!$B:$B,$A267,'Таблиця 1'!$I:$I,"Су-25",'Таблиця 1'!$J:$J,"GBU-64")+SUMIFS('Таблиця 1'!$K:$K,'Таблиця 1'!$B:$B,$A267,'Таблиця 1'!$I:$I,"Су-27",'Таблиця 1'!$J:$J,"GBU-64"))</f>
        <v/>
      </c>
      <c r="O267">
        <f>IF($A267="","",SUMIFS('Таблиця 1'!$K:$K,'Таблиця 1'!$B:$B,$A267,'Таблиця 1'!$I:$I,"Mirage",'Таблиця 1'!$J:$J,"C-13")+SUMIFS('Таблиця 1'!$K:$K,'Таблиця 1'!$B:$B,$A267,'Таблиця 1'!$I:$I,"F-16",'Таблиця 1'!$J:$J,"C-13")+SUMIFS('Таблиця 1'!$K:$K,'Таблиця 1'!$B:$B,$A267,'Таблиця 1'!$I:$I,"МіГ-29",'Таблиця 1'!$J:$J,"C-13")+SUMIFS('Таблиця 1'!$K:$K,'Таблиця 1'!$B:$B,$A267,'Таблиця 1'!$I:$I,"Су-25",'Таблиця 1'!$J:$J,"C-13")+SUMIFS('Таблиця 1'!$K:$K,'Таблиця 1'!$B:$B,$A267,'Таблиця 1'!$I:$I,"Су-27",'Таблиця 1'!$J:$J,"C-13"))</f>
        <v/>
      </c>
      <c r="P267">
        <f>IF($A267="","",SUMIFS('Таблиця 1'!$K:$K,'Таблиця 1'!$B:$B,$A267,'Таблиця 1'!$I:$I,"Mirage",'Таблиця 1'!$J:$J,"MK-32")+SUMIFS('Таблиця 1'!$K:$K,'Таблиця 1'!$B:$B,$A267,'Таблиця 1'!$I:$I,"F-16",'Таблиця 1'!$J:$J,"MK-32")+SUMIFS('Таблиця 1'!$K:$K,'Таблиця 1'!$B:$B,$A267,'Таблиця 1'!$I:$I,"МіГ-29",'Таблиця 1'!$J:$J,"MK-32")+SUMIFS('Таблиця 1'!$K:$K,'Таблиця 1'!$B:$B,$A267,'Таблиця 1'!$I:$I,"Су-25",'Таблиця 1'!$J:$J,"MK-32")+SUMIFS('Таблиця 1'!$K:$K,'Таблиця 1'!$B:$B,$A267,'Таблиця 1'!$I:$I,"Су-27",'Таблиця 1'!$J:$J,"MK-32"))</f>
        <v/>
      </c>
      <c r="Q267">
        <f>IF($A267="","",SUMIFS('Таблиця 1'!$K:$K,'Таблиця 1'!$B:$B,$A267,'Таблиця 1'!$I:$I,"Mirage",'Таблиця 1'!$J:$J,"MK-24")+SUMIFS('Таблиця 1'!$K:$K,'Таблиця 1'!$B:$B,$A267,'Таблиця 1'!$I:$I,"F-16",'Таблиця 1'!$J:$J,"MK-24")+SUMIFS('Таблиця 1'!$K:$K,'Таблиця 1'!$B:$B,$A267,'Таблиця 1'!$I:$I,"МіГ-29",'Таблиця 1'!$J:$J,"MK-24")+SUMIFS('Таблиця 1'!$K:$K,'Таблиця 1'!$B:$B,$A267,'Таблиця 1'!$I:$I,"Су-25",'Таблиця 1'!$J:$J,"MK-24")+SUMIFS('Таблиця 1'!$K:$K,'Таблиця 1'!$B:$B,$A267,'Таблиця 1'!$I:$I,"Су-27",'Таблиця 1'!$J:$J,"MK-24"))</f>
        <v/>
      </c>
      <c r="R267">
        <f>IF($A267="","",COUNTIFS('Таблиця 1'!$B:$B,$A267,'Таблиця 1'!$I:$I,"Mirage",'Таблиця 1'!$L:$L,"Уражено")+COUNTIFS('Таблиця 1'!$B:$B,$A267,'Таблиця 1'!$I:$I,"F-16",'Таблиця 1'!$L:$L,"Уражено")+COUNTIFS('Таблиця 1'!$B:$B,$A267,'Таблиця 1'!$I:$I,"МіГ-29",'Таблиця 1'!$L:$L,"Уражено")+COUNTIFS('Таблиця 1'!$B:$B,$A267,'Таблиця 1'!$I:$I,"Су-25",'Таблиця 1'!$L:$L,"Уражено")+COUNTIFS('Таблиця 1'!$B:$B,$A267,'Таблиця 1'!$I:$I,"Су-27",'Таблиця 1'!$L:$L,"Уражено"))</f>
        <v/>
      </c>
      <c r="S267">
        <f>IF($A267="","",COUNTIFS('Таблиця 1'!$B:$B,$A267,'Таблиця 1'!$I:$I,"Mirage",'Таблиця 1'!$L:$L,"НЕ уражено")+COUNTIFS('Таблиця 1'!$B:$B,$A267,'Таблиця 1'!$I:$I,"F-16",'Таблиця 1'!$L:$L,"НЕ уражено")+COUNTIFS('Таблиця 1'!$B:$B,$A267,'Таблиця 1'!$I:$I,"МіГ-29",'Таблиця 1'!$L:$L,"НЕ уражено")+COUNTIFS('Таблиця 1'!$B:$B,$A267,'Таблиця 1'!$I:$I,"Су-25",'Таблиця 1'!$L:$L,"НЕ уражено")+COUNTIFS('Таблиця 1'!$B:$B,$A267,'Таблиця 1'!$I:$I,"Су-27",'Таблиця 1'!$L:$L,"НЕ уражено"))</f>
        <v/>
      </c>
      <c r="T267">
        <f>IF($A267="","",COUNTIFS('Таблиця 1'!$B:$B,$A267,'Таблиця 1'!$I:$I,"Mirage",'Таблиця 1'!$L:$L,"Дорозвідується")+COUNTIFS('Таблиця 1'!$B:$B,$A267,'Таблиця 1'!$I:$I,"F-16",'Таблиця 1'!$L:$L,"Дорозвідується")+COUNTIFS('Таблиця 1'!$B:$B,$A267,'Таблиця 1'!$I:$I,"МіГ-29",'Таблиця 1'!$L:$L,"Дорозвідується")+COUNTIFS('Таблиця 1'!$B:$B,$A267,'Таблиця 1'!$I:$I,"Су-25",'Таблиця 1'!$L:$L,"Дорозвідується")+COUNTIFS('Таблиця 1'!$B:$B,$A267,'Таблиця 1'!$I:$I,"Су-27",'Таблиця 1'!$L:$L,"Дорозвідується"))</f>
        <v/>
      </c>
    </row>
    <row r="268">
      <c r="A268" s="273">
        <f>IF(A267="","",IF(A267+1&gt;MAX('Таблиця 1'!$B:$B),"",A267+1))</f>
        <v/>
      </c>
      <c r="B268">
        <f>IF($A268="","",COUNTIFS('Таблиця 1'!$B:$B,$A268,'Таблиця 1'!$I:$I,"Mirage")+COUNTIFS('Таблиця 1'!$B:$B,$A268,'Таблиця 1'!$I:$I,"F-16")+COUNTIFS('Таблиця 1'!$B:$B,$A268,'Таблиця 1'!$I:$I,"МіГ-29")+COUNTIFS('Таблиця 1'!$B:$B,$A268,'Таблиця 1'!$I:$I,"Су-25")+COUNTIFS('Таблиця 1'!$B:$B,$A268,'Таблиця 1'!$I:$I,"Су-27"))</f>
        <v/>
      </c>
      <c r="C268">
        <f>IF($A268="","",COUNTIFS('Таблиця 1'!$B:$B,$A268,'Таблиця 1'!$I:$I,"Mirage"))</f>
        <v/>
      </c>
      <c r="D268">
        <f>IF($A268="","",COUNTIFS('Таблиця 1'!$B:$B,$A268,'Таблиця 1'!$I:$I,"F-16"))</f>
        <v/>
      </c>
      <c r="E268">
        <f>IF($A268="","",COUNTIFS('Таблиця 1'!$B:$B,$A268,'Таблиця 1'!$I:$I,"МіГ-29"))</f>
        <v/>
      </c>
      <c r="F268">
        <f>IF($A268="","",COUNTIFS('Таблиця 1'!$B:$B,$A268,'Таблиця 1'!$I:$I,"Су-25"))</f>
        <v/>
      </c>
      <c r="G268">
        <f>IF($A268="","",COUNTIFS('Таблиця 1'!$B:$B,$A268,'Таблиця 1'!$I:$I,"Су-27"))</f>
        <v/>
      </c>
      <c r="H268">
        <f>IF($A268="","",SUMIFS('Таблиця 1'!$K:$K,'Таблиця 1'!$B:$B,$A268,'Таблиця 1'!$I:$I,"Mirage",'Таблиця 1'!$J:$J,"AGM-88")+SUMIFS('Таблиця 1'!$K:$K,'Таблиця 1'!$B:$B,$A268,'Таблиця 1'!$I:$I,"F-16",'Таблиця 1'!$J:$J,"AGM-88")+SUMIFS('Таблиця 1'!$K:$K,'Таблиця 1'!$B:$B,$A268,'Таблиця 1'!$I:$I,"МіГ-29",'Таблиця 1'!$J:$J,"AGM-88")+SUMIFS('Таблиця 1'!$K:$K,'Таблиця 1'!$B:$B,$A268,'Таблиця 1'!$I:$I,"Су-25",'Таблиця 1'!$J:$J,"AGM-88")+SUMIFS('Таблиця 1'!$K:$K,'Таблиця 1'!$B:$B,$A268,'Таблиця 1'!$I:$I,"Су-27",'Таблиця 1'!$J:$J,"AGM-88"))</f>
        <v/>
      </c>
      <c r="I268">
        <f>IF($A268="","",SUMIFS('Таблиця 1'!$K:$K,'Таблиця 1'!$B:$B,$A268,'Таблиця 1'!$I:$I,"Mirage",'Таблиця 1'!$J:$J,"AASM-250")+SUMIFS('Таблиця 1'!$K:$K,'Таблиця 1'!$B:$B,$A268,'Таблиця 1'!$I:$I,"F-16",'Таблиця 1'!$J:$J,"AASM-250")+SUMIFS('Таблиця 1'!$K:$K,'Таблиця 1'!$B:$B,$A268,'Таблиця 1'!$I:$I,"МіГ-29",'Таблиця 1'!$J:$J,"AASM-250")+SUMIFS('Таблиця 1'!$K:$K,'Таблиця 1'!$B:$B,$A268,'Таблиця 1'!$I:$I,"Су-25",'Таблиця 1'!$J:$J,"AASM-250")+SUMIFS('Таблиця 1'!$K:$K,'Таблиця 1'!$B:$B,$A268,'Таблиця 1'!$I:$I,"Су-27",'Таблиця 1'!$J:$J,"AASM-250"))</f>
        <v/>
      </c>
      <c r="J268">
        <f>IF($A268="","",SUMIFS('Таблиця 1'!$K:$K,'Таблиця 1'!$B:$B,$A268,'Таблиця 1'!$I:$I,"Mirage",'Таблиця 1'!$J:$J,"GBU-39")+SUMIFS('Таблиця 1'!$K:$K,'Таблиця 1'!$B:$B,$A268,'Таблиця 1'!$I:$I,"F-16",'Таблиця 1'!$J:$J,"GBU-39")+SUMIFS('Таблиця 1'!$K:$K,'Таблиця 1'!$B:$B,$A268,'Таблиця 1'!$I:$I,"МіГ-29",'Таблиця 1'!$J:$J,"GBU-39")+SUMIFS('Таблиця 1'!$K:$K,'Таблиця 1'!$B:$B,$A268,'Таблиця 1'!$I:$I,"Су-25",'Таблиця 1'!$J:$J,"GBU-39")+SUMIFS('Таблиця 1'!$K:$K,'Таблиця 1'!$B:$B,$A268,'Таблиця 1'!$I:$I,"Су-27",'Таблиця 1'!$J:$J,"GBU-39"))</f>
        <v/>
      </c>
      <c r="K268">
        <f>IF($A268="","",SUMIFS('Таблиця 1'!$K:$K,'Таблиця 1'!$B:$B,$A268,'Таблиця 1'!$I:$I,"Mirage",'Таблиця 1'!$J:$J,"BLU-140")+SUMIFS('Таблиця 1'!$K:$K,'Таблиця 1'!$B:$B,$A268,'Таблиця 1'!$I:$I,"F-16",'Таблиця 1'!$J:$J,"BLU-140")+SUMIFS('Таблиця 1'!$K:$K,'Таблиця 1'!$B:$B,$A268,'Таблиця 1'!$I:$I,"МіГ-29",'Таблиця 1'!$J:$J,"BLU-140")+SUMIFS('Таблиця 1'!$K:$K,'Таблиця 1'!$B:$B,$A268,'Таблиця 1'!$I:$I,"Су-25",'Таблиця 1'!$J:$J,"BLU-140")+SUMIFS('Таблиця 1'!$K:$K,'Таблиця 1'!$B:$B,$A268,'Таблиця 1'!$I:$I,"Су-27",'Таблиця 1'!$J:$J,"BLU-140"))</f>
        <v/>
      </c>
      <c r="L268">
        <f>IF($A268="","",SUMIFS('Таблиця 1'!$K:$K,'Таблиця 1'!$B:$B,$A268,'Таблиця 1'!$I:$I,"Mirage",'Таблиця 1'!$J:$J,"GBU-65")+SUMIFS('Таблиця 1'!$K:$K,'Таблиця 1'!$B:$B,$A268,'Таблиця 1'!$I:$I,"F-16",'Таблиця 1'!$J:$J,"GBU-65")+SUMIFS('Таблиця 1'!$K:$K,'Таблиця 1'!$B:$B,$A268,'Таблиця 1'!$I:$I,"МіГ-29",'Таблиця 1'!$J:$J,"GBU-65")+SUMIFS('Таблиця 1'!$K:$K,'Таблиця 1'!$B:$B,$A268,'Таблиця 1'!$I:$I,"Су-25",'Таблиця 1'!$J:$J,"GBU-65")+SUMIFS('Таблиця 1'!$K:$K,'Таблиця 1'!$B:$B,$A268,'Таблиця 1'!$I:$I,"Су-27",'Таблиця 1'!$J:$J,"GBU-65"))</f>
        <v/>
      </c>
      <c r="M268">
        <f>IF($A268="","",SUMIFS('Таблиця 1'!$K:$K,'Таблиця 1'!$B:$B,$A268,'Таблиця 1'!$I:$I,"Mirage",'Таблиця 1'!$J:$J,"GBU-62")+SUMIFS('Таблиця 1'!$K:$K,'Таблиця 1'!$B:$B,$A268,'Таблиця 1'!$I:$I,"F-16",'Таблиця 1'!$J:$J,"GBU-62")+SUMIFS('Таблиця 1'!$K:$K,'Таблиця 1'!$B:$B,$A268,'Таблиця 1'!$I:$I,"МіГ-29",'Таблиця 1'!$J:$J,"GBU-62")+SUMIFS('Таблиця 1'!$K:$K,'Таблиця 1'!$B:$B,$A268,'Таблиця 1'!$I:$I,"Су-25",'Таблиця 1'!$J:$J,"GBU-62")+SUMIFS('Таблиця 1'!$K:$K,'Таблиця 1'!$B:$B,$A268,'Таблиця 1'!$I:$I,"Су-27",'Таблиця 1'!$J:$J,"GBU-62"))</f>
        <v/>
      </c>
      <c r="N268">
        <f>IF($A268="","",SUMIFS('Таблиця 1'!$K:$K,'Таблиця 1'!$B:$B,$A268,'Таблиця 1'!$I:$I,"Mirage",'Таблиця 1'!$J:$J,"GBU-64")+SUMIFS('Таблиця 1'!$K:$K,'Таблиця 1'!$B:$B,$A268,'Таблиця 1'!$I:$I,"F-16",'Таблиця 1'!$J:$J,"GBU-64")+SUMIFS('Таблиця 1'!$K:$K,'Таблиця 1'!$B:$B,$A268,'Таблиця 1'!$I:$I,"МіГ-29",'Таблиця 1'!$J:$J,"GBU-64")+SUMIFS('Таблиця 1'!$K:$K,'Таблиця 1'!$B:$B,$A268,'Таблиця 1'!$I:$I,"Су-25",'Таблиця 1'!$J:$J,"GBU-64")+SUMIFS('Таблиця 1'!$K:$K,'Таблиця 1'!$B:$B,$A268,'Таблиця 1'!$I:$I,"Су-27",'Таблиця 1'!$J:$J,"GBU-64"))</f>
        <v/>
      </c>
      <c r="O268">
        <f>IF($A268="","",SUMIFS('Таблиця 1'!$K:$K,'Таблиця 1'!$B:$B,$A268,'Таблиця 1'!$I:$I,"Mirage",'Таблиця 1'!$J:$J,"C-13")+SUMIFS('Таблиця 1'!$K:$K,'Таблиця 1'!$B:$B,$A268,'Таблиця 1'!$I:$I,"F-16",'Таблиця 1'!$J:$J,"C-13")+SUMIFS('Таблиця 1'!$K:$K,'Таблиця 1'!$B:$B,$A268,'Таблиця 1'!$I:$I,"МіГ-29",'Таблиця 1'!$J:$J,"C-13")+SUMIFS('Таблиця 1'!$K:$K,'Таблиця 1'!$B:$B,$A268,'Таблиця 1'!$I:$I,"Су-25",'Таблиця 1'!$J:$J,"C-13")+SUMIFS('Таблиця 1'!$K:$K,'Таблиця 1'!$B:$B,$A268,'Таблиця 1'!$I:$I,"Су-27",'Таблиця 1'!$J:$J,"C-13"))</f>
        <v/>
      </c>
      <c r="P268">
        <f>IF($A268="","",SUMIFS('Таблиця 1'!$K:$K,'Таблиця 1'!$B:$B,$A268,'Таблиця 1'!$I:$I,"Mirage",'Таблиця 1'!$J:$J,"MK-32")+SUMIFS('Таблиця 1'!$K:$K,'Таблиця 1'!$B:$B,$A268,'Таблиця 1'!$I:$I,"F-16",'Таблиця 1'!$J:$J,"MK-32")+SUMIFS('Таблиця 1'!$K:$K,'Таблиця 1'!$B:$B,$A268,'Таблиця 1'!$I:$I,"МіГ-29",'Таблиця 1'!$J:$J,"MK-32")+SUMIFS('Таблиця 1'!$K:$K,'Таблиця 1'!$B:$B,$A268,'Таблиця 1'!$I:$I,"Су-25",'Таблиця 1'!$J:$J,"MK-32")+SUMIFS('Таблиця 1'!$K:$K,'Таблиця 1'!$B:$B,$A268,'Таблиця 1'!$I:$I,"Су-27",'Таблиця 1'!$J:$J,"MK-32"))</f>
        <v/>
      </c>
      <c r="Q268">
        <f>IF($A268="","",SUMIFS('Таблиця 1'!$K:$K,'Таблиця 1'!$B:$B,$A268,'Таблиця 1'!$I:$I,"Mirage",'Таблиця 1'!$J:$J,"MK-24")+SUMIFS('Таблиця 1'!$K:$K,'Таблиця 1'!$B:$B,$A268,'Таблиця 1'!$I:$I,"F-16",'Таблиця 1'!$J:$J,"MK-24")+SUMIFS('Таблиця 1'!$K:$K,'Таблиця 1'!$B:$B,$A268,'Таблиця 1'!$I:$I,"МіГ-29",'Таблиця 1'!$J:$J,"MK-24")+SUMIFS('Таблиця 1'!$K:$K,'Таблиця 1'!$B:$B,$A268,'Таблиця 1'!$I:$I,"Су-25",'Таблиця 1'!$J:$J,"MK-24")+SUMIFS('Таблиця 1'!$K:$K,'Таблиця 1'!$B:$B,$A268,'Таблиця 1'!$I:$I,"Су-27",'Таблиця 1'!$J:$J,"MK-24"))</f>
        <v/>
      </c>
      <c r="R268">
        <f>IF($A268="","",COUNTIFS('Таблиця 1'!$B:$B,$A268,'Таблиця 1'!$I:$I,"Mirage",'Таблиця 1'!$L:$L,"Уражено")+COUNTIFS('Таблиця 1'!$B:$B,$A268,'Таблиця 1'!$I:$I,"F-16",'Таблиця 1'!$L:$L,"Уражено")+COUNTIFS('Таблиця 1'!$B:$B,$A268,'Таблиця 1'!$I:$I,"МіГ-29",'Таблиця 1'!$L:$L,"Уражено")+COUNTIFS('Таблиця 1'!$B:$B,$A268,'Таблиця 1'!$I:$I,"Су-25",'Таблиця 1'!$L:$L,"Уражено")+COUNTIFS('Таблиця 1'!$B:$B,$A268,'Таблиця 1'!$I:$I,"Су-27",'Таблиця 1'!$L:$L,"Уражено"))</f>
        <v/>
      </c>
      <c r="S268">
        <f>IF($A268="","",COUNTIFS('Таблиця 1'!$B:$B,$A268,'Таблиця 1'!$I:$I,"Mirage",'Таблиця 1'!$L:$L,"НЕ уражено")+COUNTIFS('Таблиця 1'!$B:$B,$A268,'Таблиця 1'!$I:$I,"F-16",'Таблиця 1'!$L:$L,"НЕ уражено")+COUNTIFS('Таблиця 1'!$B:$B,$A268,'Таблиця 1'!$I:$I,"МіГ-29",'Таблиця 1'!$L:$L,"НЕ уражено")+COUNTIFS('Таблиця 1'!$B:$B,$A268,'Таблиця 1'!$I:$I,"Су-25",'Таблиця 1'!$L:$L,"НЕ уражено")+COUNTIFS('Таблиця 1'!$B:$B,$A268,'Таблиця 1'!$I:$I,"Су-27",'Таблиця 1'!$L:$L,"НЕ уражено"))</f>
        <v/>
      </c>
      <c r="T268">
        <f>IF($A268="","",COUNTIFS('Таблиця 1'!$B:$B,$A268,'Таблиця 1'!$I:$I,"Mirage",'Таблиця 1'!$L:$L,"Дорозвідується")+COUNTIFS('Таблиця 1'!$B:$B,$A268,'Таблиця 1'!$I:$I,"F-16",'Таблиця 1'!$L:$L,"Дорозвідується")+COUNTIFS('Таблиця 1'!$B:$B,$A268,'Таблиця 1'!$I:$I,"МіГ-29",'Таблиця 1'!$L:$L,"Дорозвідується")+COUNTIFS('Таблиця 1'!$B:$B,$A268,'Таблиця 1'!$I:$I,"Су-25",'Таблиця 1'!$L:$L,"Дорозвідується")+COUNTIFS('Таблиця 1'!$B:$B,$A268,'Таблиця 1'!$I:$I,"Су-27",'Таблиця 1'!$L:$L,"Дорозвідується"))</f>
        <v/>
      </c>
    </row>
    <row r="269">
      <c r="A269" s="273">
        <f>IF(A268="","",IF(A268+1&gt;MAX('Таблиця 1'!$B:$B),"",A268+1))</f>
        <v/>
      </c>
      <c r="B269">
        <f>IF($A269="","",COUNTIFS('Таблиця 1'!$B:$B,$A269,'Таблиця 1'!$I:$I,"Mirage")+COUNTIFS('Таблиця 1'!$B:$B,$A269,'Таблиця 1'!$I:$I,"F-16")+COUNTIFS('Таблиця 1'!$B:$B,$A269,'Таблиця 1'!$I:$I,"МіГ-29")+COUNTIFS('Таблиця 1'!$B:$B,$A269,'Таблиця 1'!$I:$I,"Су-25")+COUNTIFS('Таблиця 1'!$B:$B,$A269,'Таблиця 1'!$I:$I,"Су-27"))</f>
        <v/>
      </c>
      <c r="C269">
        <f>IF($A269="","",COUNTIFS('Таблиця 1'!$B:$B,$A269,'Таблиця 1'!$I:$I,"Mirage"))</f>
        <v/>
      </c>
      <c r="D269">
        <f>IF($A269="","",COUNTIFS('Таблиця 1'!$B:$B,$A269,'Таблиця 1'!$I:$I,"F-16"))</f>
        <v/>
      </c>
      <c r="E269">
        <f>IF($A269="","",COUNTIFS('Таблиця 1'!$B:$B,$A269,'Таблиця 1'!$I:$I,"МіГ-29"))</f>
        <v/>
      </c>
      <c r="F269">
        <f>IF($A269="","",COUNTIFS('Таблиця 1'!$B:$B,$A269,'Таблиця 1'!$I:$I,"Су-25"))</f>
        <v/>
      </c>
      <c r="G269">
        <f>IF($A269="","",COUNTIFS('Таблиця 1'!$B:$B,$A269,'Таблиця 1'!$I:$I,"Су-27"))</f>
        <v/>
      </c>
      <c r="H269">
        <f>IF($A269="","",SUMIFS('Таблиця 1'!$K:$K,'Таблиця 1'!$B:$B,$A269,'Таблиця 1'!$I:$I,"Mirage",'Таблиця 1'!$J:$J,"AGM-88")+SUMIFS('Таблиця 1'!$K:$K,'Таблиця 1'!$B:$B,$A269,'Таблиця 1'!$I:$I,"F-16",'Таблиця 1'!$J:$J,"AGM-88")+SUMIFS('Таблиця 1'!$K:$K,'Таблиця 1'!$B:$B,$A269,'Таблиця 1'!$I:$I,"МіГ-29",'Таблиця 1'!$J:$J,"AGM-88")+SUMIFS('Таблиця 1'!$K:$K,'Таблиця 1'!$B:$B,$A269,'Таблиця 1'!$I:$I,"Су-25",'Таблиця 1'!$J:$J,"AGM-88")+SUMIFS('Таблиця 1'!$K:$K,'Таблиця 1'!$B:$B,$A269,'Таблиця 1'!$I:$I,"Су-27",'Таблиця 1'!$J:$J,"AGM-88"))</f>
        <v/>
      </c>
      <c r="I269">
        <f>IF($A269="","",SUMIFS('Таблиця 1'!$K:$K,'Таблиця 1'!$B:$B,$A269,'Таблиця 1'!$I:$I,"Mirage",'Таблиця 1'!$J:$J,"AASM-250")+SUMIFS('Таблиця 1'!$K:$K,'Таблиця 1'!$B:$B,$A269,'Таблиця 1'!$I:$I,"F-16",'Таблиця 1'!$J:$J,"AASM-250")+SUMIFS('Таблиця 1'!$K:$K,'Таблиця 1'!$B:$B,$A269,'Таблиця 1'!$I:$I,"МіГ-29",'Таблиця 1'!$J:$J,"AASM-250")+SUMIFS('Таблиця 1'!$K:$K,'Таблиця 1'!$B:$B,$A269,'Таблиця 1'!$I:$I,"Су-25",'Таблиця 1'!$J:$J,"AASM-250")+SUMIFS('Таблиця 1'!$K:$K,'Таблиця 1'!$B:$B,$A269,'Таблиця 1'!$I:$I,"Су-27",'Таблиця 1'!$J:$J,"AASM-250"))</f>
        <v/>
      </c>
      <c r="J269">
        <f>IF($A269="","",SUMIFS('Таблиця 1'!$K:$K,'Таблиця 1'!$B:$B,$A269,'Таблиця 1'!$I:$I,"Mirage",'Таблиця 1'!$J:$J,"GBU-39")+SUMIFS('Таблиця 1'!$K:$K,'Таблиця 1'!$B:$B,$A269,'Таблиця 1'!$I:$I,"F-16",'Таблиця 1'!$J:$J,"GBU-39")+SUMIFS('Таблиця 1'!$K:$K,'Таблиця 1'!$B:$B,$A269,'Таблиця 1'!$I:$I,"МіГ-29",'Таблиця 1'!$J:$J,"GBU-39")+SUMIFS('Таблиця 1'!$K:$K,'Таблиця 1'!$B:$B,$A269,'Таблиця 1'!$I:$I,"Су-25",'Таблиця 1'!$J:$J,"GBU-39")+SUMIFS('Таблиця 1'!$K:$K,'Таблиця 1'!$B:$B,$A269,'Таблиця 1'!$I:$I,"Су-27",'Таблиця 1'!$J:$J,"GBU-39"))</f>
        <v/>
      </c>
      <c r="K269">
        <f>IF($A269="","",SUMIFS('Таблиця 1'!$K:$K,'Таблиця 1'!$B:$B,$A269,'Таблиця 1'!$I:$I,"Mirage",'Таблиця 1'!$J:$J,"BLU-140")+SUMIFS('Таблиця 1'!$K:$K,'Таблиця 1'!$B:$B,$A269,'Таблиця 1'!$I:$I,"F-16",'Таблиця 1'!$J:$J,"BLU-140")+SUMIFS('Таблиця 1'!$K:$K,'Таблиця 1'!$B:$B,$A269,'Таблиця 1'!$I:$I,"МіГ-29",'Таблиця 1'!$J:$J,"BLU-140")+SUMIFS('Таблиця 1'!$K:$K,'Таблиця 1'!$B:$B,$A269,'Таблиця 1'!$I:$I,"Су-25",'Таблиця 1'!$J:$J,"BLU-140")+SUMIFS('Таблиця 1'!$K:$K,'Таблиця 1'!$B:$B,$A269,'Таблиця 1'!$I:$I,"Су-27",'Таблиця 1'!$J:$J,"BLU-140"))</f>
        <v/>
      </c>
      <c r="L269">
        <f>IF($A269="","",SUMIFS('Таблиця 1'!$K:$K,'Таблиця 1'!$B:$B,$A269,'Таблиця 1'!$I:$I,"Mirage",'Таблиця 1'!$J:$J,"GBU-65")+SUMIFS('Таблиця 1'!$K:$K,'Таблиця 1'!$B:$B,$A269,'Таблиця 1'!$I:$I,"F-16",'Таблиця 1'!$J:$J,"GBU-65")+SUMIFS('Таблиця 1'!$K:$K,'Таблиця 1'!$B:$B,$A269,'Таблиця 1'!$I:$I,"МіГ-29",'Таблиця 1'!$J:$J,"GBU-65")+SUMIFS('Таблиця 1'!$K:$K,'Таблиця 1'!$B:$B,$A269,'Таблиця 1'!$I:$I,"Су-25",'Таблиця 1'!$J:$J,"GBU-65")+SUMIFS('Таблиця 1'!$K:$K,'Таблиця 1'!$B:$B,$A269,'Таблиця 1'!$I:$I,"Су-27",'Таблиця 1'!$J:$J,"GBU-65"))</f>
        <v/>
      </c>
      <c r="M269">
        <f>IF($A269="","",SUMIFS('Таблиця 1'!$K:$K,'Таблиця 1'!$B:$B,$A269,'Таблиця 1'!$I:$I,"Mirage",'Таблиця 1'!$J:$J,"GBU-62")+SUMIFS('Таблиця 1'!$K:$K,'Таблиця 1'!$B:$B,$A269,'Таблиця 1'!$I:$I,"F-16",'Таблиця 1'!$J:$J,"GBU-62")+SUMIFS('Таблиця 1'!$K:$K,'Таблиця 1'!$B:$B,$A269,'Таблиця 1'!$I:$I,"МіГ-29",'Таблиця 1'!$J:$J,"GBU-62")+SUMIFS('Таблиця 1'!$K:$K,'Таблиця 1'!$B:$B,$A269,'Таблиця 1'!$I:$I,"Су-25",'Таблиця 1'!$J:$J,"GBU-62")+SUMIFS('Таблиця 1'!$K:$K,'Таблиця 1'!$B:$B,$A269,'Таблиця 1'!$I:$I,"Су-27",'Таблиця 1'!$J:$J,"GBU-62"))</f>
        <v/>
      </c>
      <c r="N269">
        <f>IF($A269="","",SUMIFS('Таблиця 1'!$K:$K,'Таблиця 1'!$B:$B,$A269,'Таблиця 1'!$I:$I,"Mirage",'Таблиця 1'!$J:$J,"GBU-64")+SUMIFS('Таблиця 1'!$K:$K,'Таблиця 1'!$B:$B,$A269,'Таблиця 1'!$I:$I,"F-16",'Таблиця 1'!$J:$J,"GBU-64")+SUMIFS('Таблиця 1'!$K:$K,'Таблиця 1'!$B:$B,$A269,'Таблиця 1'!$I:$I,"МіГ-29",'Таблиця 1'!$J:$J,"GBU-64")+SUMIFS('Таблиця 1'!$K:$K,'Таблиця 1'!$B:$B,$A269,'Таблиця 1'!$I:$I,"Су-25",'Таблиця 1'!$J:$J,"GBU-64")+SUMIFS('Таблиця 1'!$K:$K,'Таблиця 1'!$B:$B,$A269,'Таблиця 1'!$I:$I,"Су-27",'Таблиця 1'!$J:$J,"GBU-64"))</f>
        <v/>
      </c>
      <c r="O269">
        <f>IF($A269="","",SUMIFS('Таблиця 1'!$K:$K,'Таблиця 1'!$B:$B,$A269,'Таблиця 1'!$I:$I,"Mirage",'Таблиця 1'!$J:$J,"C-13")+SUMIFS('Таблиця 1'!$K:$K,'Таблиця 1'!$B:$B,$A269,'Таблиця 1'!$I:$I,"F-16",'Таблиця 1'!$J:$J,"C-13")+SUMIFS('Таблиця 1'!$K:$K,'Таблиця 1'!$B:$B,$A269,'Таблиця 1'!$I:$I,"МіГ-29",'Таблиця 1'!$J:$J,"C-13")+SUMIFS('Таблиця 1'!$K:$K,'Таблиця 1'!$B:$B,$A269,'Таблиця 1'!$I:$I,"Су-25",'Таблиця 1'!$J:$J,"C-13")+SUMIFS('Таблиця 1'!$K:$K,'Таблиця 1'!$B:$B,$A269,'Таблиця 1'!$I:$I,"Су-27",'Таблиця 1'!$J:$J,"C-13"))</f>
        <v/>
      </c>
      <c r="P269">
        <f>IF($A269="","",SUMIFS('Таблиця 1'!$K:$K,'Таблиця 1'!$B:$B,$A269,'Таблиця 1'!$I:$I,"Mirage",'Таблиця 1'!$J:$J,"MK-32")+SUMIFS('Таблиця 1'!$K:$K,'Таблиця 1'!$B:$B,$A269,'Таблиця 1'!$I:$I,"F-16",'Таблиця 1'!$J:$J,"MK-32")+SUMIFS('Таблиця 1'!$K:$K,'Таблиця 1'!$B:$B,$A269,'Таблиця 1'!$I:$I,"МіГ-29",'Таблиця 1'!$J:$J,"MK-32")+SUMIFS('Таблиця 1'!$K:$K,'Таблиця 1'!$B:$B,$A269,'Таблиця 1'!$I:$I,"Су-25",'Таблиця 1'!$J:$J,"MK-32")+SUMIFS('Таблиця 1'!$K:$K,'Таблиця 1'!$B:$B,$A269,'Таблиця 1'!$I:$I,"Су-27",'Таблиця 1'!$J:$J,"MK-32"))</f>
        <v/>
      </c>
      <c r="Q269">
        <f>IF($A269="","",SUMIFS('Таблиця 1'!$K:$K,'Таблиця 1'!$B:$B,$A269,'Таблиця 1'!$I:$I,"Mirage",'Таблиця 1'!$J:$J,"MK-24")+SUMIFS('Таблиця 1'!$K:$K,'Таблиця 1'!$B:$B,$A269,'Таблиця 1'!$I:$I,"F-16",'Таблиця 1'!$J:$J,"MK-24")+SUMIFS('Таблиця 1'!$K:$K,'Таблиця 1'!$B:$B,$A269,'Таблиця 1'!$I:$I,"МіГ-29",'Таблиця 1'!$J:$J,"MK-24")+SUMIFS('Таблиця 1'!$K:$K,'Таблиця 1'!$B:$B,$A269,'Таблиця 1'!$I:$I,"Су-25",'Таблиця 1'!$J:$J,"MK-24")+SUMIFS('Таблиця 1'!$K:$K,'Таблиця 1'!$B:$B,$A269,'Таблиця 1'!$I:$I,"Су-27",'Таблиця 1'!$J:$J,"MK-24"))</f>
        <v/>
      </c>
      <c r="R269">
        <f>IF($A269="","",COUNTIFS('Таблиця 1'!$B:$B,$A269,'Таблиця 1'!$I:$I,"Mirage",'Таблиця 1'!$L:$L,"Уражено")+COUNTIFS('Таблиця 1'!$B:$B,$A269,'Таблиця 1'!$I:$I,"F-16",'Таблиця 1'!$L:$L,"Уражено")+COUNTIFS('Таблиця 1'!$B:$B,$A269,'Таблиця 1'!$I:$I,"МіГ-29",'Таблиця 1'!$L:$L,"Уражено")+COUNTIFS('Таблиця 1'!$B:$B,$A269,'Таблиця 1'!$I:$I,"Су-25",'Таблиця 1'!$L:$L,"Уражено")+COUNTIFS('Таблиця 1'!$B:$B,$A269,'Таблиця 1'!$I:$I,"Су-27",'Таблиця 1'!$L:$L,"Уражено"))</f>
        <v/>
      </c>
      <c r="S269">
        <f>IF($A269="","",COUNTIFS('Таблиця 1'!$B:$B,$A269,'Таблиця 1'!$I:$I,"Mirage",'Таблиця 1'!$L:$L,"НЕ уражено")+COUNTIFS('Таблиця 1'!$B:$B,$A269,'Таблиця 1'!$I:$I,"F-16",'Таблиця 1'!$L:$L,"НЕ уражено")+COUNTIFS('Таблиця 1'!$B:$B,$A269,'Таблиця 1'!$I:$I,"МіГ-29",'Таблиця 1'!$L:$L,"НЕ уражено")+COUNTIFS('Таблиця 1'!$B:$B,$A269,'Таблиця 1'!$I:$I,"Су-25",'Таблиця 1'!$L:$L,"НЕ уражено")+COUNTIFS('Таблиця 1'!$B:$B,$A269,'Таблиця 1'!$I:$I,"Су-27",'Таблиця 1'!$L:$L,"НЕ уражено"))</f>
        <v/>
      </c>
      <c r="T269">
        <f>IF($A269="","",COUNTIFS('Таблиця 1'!$B:$B,$A269,'Таблиця 1'!$I:$I,"Mirage",'Таблиця 1'!$L:$L,"Дорозвідується")+COUNTIFS('Таблиця 1'!$B:$B,$A269,'Таблиця 1'!$I:$I,"F-16",'Таблиця 1'!$L:$L,"Дорозвідується")+COUNTIFS('Таблиця 1'!$B:$B,$A269,'Таблиця 1'!$I:$I,"МіГ-29",'Таблиця 1'!$L:$L,"Дорозвідується")+COUNTIFS('Таблиця 1'!$B:$B,$A269,'Таблиця 1'!$I:$I,"Су-25",'Таблиця 1'!$L:$L,"Дорозвідується")+COUNTIFS('Таблиця 1'!$B:$B,$A269,'Таблиця 1'!$I:$I,"Су-27",'Таблиця 1'!$L:$L,"Дорозвідується"))</f>
        <v/>
      </c>
    </row>
    <row r="270">
      <c r="A270" s="273">
        <f>IF(A269="","",IF(A269+1&gt;MAX('Таблиця 1'!$B:$B),"",A269+1))</f>
        <v/>
      </c>
      <c r="B270">
        <f>IF($A270="","",COUNTIFS('Таблиця 1'!$B:$B,$A270,'Таблиця 1'!$I:$I,"Mirage")+COUNTIFS('Таблиця 1'!$B:$B,$A270,'Таблиця 1'!$I:$I,"F-16")+COUNTIFS('Таблиця 1'!$B:$B,$A270,'Таблиця 1'!$I:$I,"МіГ-29")+COUNTIFS('Таблиця 1'!$B:$B,$A270,'Таблиця 1'!$I:$I,"Су-25")+COUNTIFS('Таблиця 1'!$B:$B,$A270,'Таблиця 1'!$I:$I,"Су-27"))</f>
        <v/>
      </c>
      <c r="C270">
        <f>IF($A270="","",COUNTIFS('Таблиця 1'!$B:$B,$A270,'Таблиця 1'!$I:$I,"Mirage"))</f>
        <v/>
      </c>
      <c r="D270">
        <f>IF($A270="","",COUNTIFS('Таблиця 1'!$B:$B,$A270,'Таблиця 1'!$I:$I,"F-16"))</f>
        <v/>
      </c>
      <c r="E270">
        <f>IF($A270="","",COUNTIFS('Таблиця 1'!$B:$B,$A270,'Таблиця 1'!$I:$I,"МіГ-29"))</f>
        <v/>
      </c>
      <c r="F270">
        <f>IF($A270="","",COUNTIFS('Таблиця 1'!$B:$B,$A270,'Таблиця 1'!$I:$I,"Су-25"))</f>
        <v/>
      </c>
      <c r="G270">
        <f>IF($A270="","",COUNTIFS('Таблиця 1'!$B:$B,$A270,'Таблиця 1'!$I:$I,"Су-27"))</f>
        <v/>
      </c>
      <c r="H270">
        <f>IF($A270="","",SUMIFS('Таблиця 1'!$K:$K,'Таблиця 1'!$B:$B,$A270,'Таблиця 1'!$I:$I,"Mirage",'Таблиця 1'!$J:$J,"AGM-88")+SUMIFS('Таблиця 1'!$K:$K,'Таблиця 1'!$B:$B,$A270,'Таблиця 1'!$I:$I,"F-16",'Таблиця 1'!$J:$J,"AGM-88")+SUMIFS('Таблиця 1'!$K:$K,'Таблиця 1'!$B:$B,$A270,'Таблиця 1'!$I:$I,"МіГ-29",'Таблиця 1'!$J:$J,"AGM-88")+SUMIFS('Таблиця 1'!$K:$K,'Таблиця 1'!$B:$B,$A270,'Таблиця 1'!$I:$I,"Су-25",'Таблиця 1'!$J:$J,"AGM-88")+SUMIFS('Таблиця 1'!$K:$K,'Таблиця 1'!$B:$B,$A270,'Таблиця 1'!$I:$I,"Су-27",'Таблиця 1'!$J:$J,"AGM-88"))</f>
        <v/>
      </c>
      <c r="I270">
        <f>IF($A270="","",SUMIFS('Таблиця 1'!$K:$K,'Таблиця 1'!$B:$B,$A270,'Таблиця 1'!$I:$I,"Mirage",'Таблиця 1'!$J:$J,"AASM-250")+SUMIFS('Таблиця 1'!$K:$K,'Таблиця 1'!$B:$B,$A270,'Таблиця 1'!$I:$I,"F-16",'Таблиця 1'!$J:$J,"AASM-250")+SUMIFS('Таблиця 1'!$K:$K,'Таблиця 1'!$B:$B,$A270,'Таблиця 1'!$I:$I,"МіГ-29",'Таблиця 1'!$J:$J,"AASM-250")+SUMIFS('Таблиця 1'!$K:$K,'Таблиця 1'!$B:$B,$A270,'Таблиця 1'!$I:$I,"Су-25",'Таблиця 1'!$J:$J,"AASM-250")+SUMIFS('Таблиця 1'!$K:$K,'Таблиця 1'!$B:$B,$A270,'Таблиця 1'!$I:$I,"Су-27",'Таблиця 1'!$J:$J,"AASM-250"))</f>
        <v/>
      </c>
      <c r="J270">
        <f>IF($A270="","",SUMIFS('Таблиця 1'!$K:$K,'Таблиця 1'!$B:$B,$A270,'Таблиця 1'!$I:$I,"Mirage",'Таблиця 1'!$J:$J,"GBU-39")+SUMIFS('Таблиця 1'!$K:$K,'Таблиця 1'!$B:$B,$A270,'Таблиця 1'!$I:$I,"F-16",'Таблиця 1'!$J:$J,"GBU-39")+SUMIFS('Таблиця 1'!$K:$K,'Таблиця 1'!$B:$B,$A270,'Таблиця 1'!$I:$I,"МіГ-29",'Таблиця 1'!$J:$J,"GBU-39")+SUMIFS('Таблиця 1'!$K:$K,'Таблиця 1'!$B:$B,$A270,'Таблиця 1'!$I:$I,"Су-25",'Таблиця 1'!$J:$J,"GBU-39")+SUMIFS('Таблиця 1'!$K:$K,'Таблиця 1'!$B:$B,$A270,'Таблиця 1'!$I:$I,"Су-27",'Таблиця 1'!$J:$J,"GBU-39"))</f>
        <v/>
      </c>
      <c r="K270">
        <f>IF($A270="","",SUMIFS('Таблиця 1'!$K:$K,'Таблиця 1'!$B:$B,$A270,'Таблиця 1'!$I:$I,"Mirage",'Таблиця 1'!$J:$J,"BLU-140")+SUMIFS('Таблиця 1'!$K:$K,'Таблиця 1'!$B:$B,$A270,'Таблиця 1'!$I:$I,"F-16",'Таблиця 1'!$J:$J,"BLU-140")+SUMIFS('Таблиця 1'!$K:$K,'Таблиця 1'!$B:$B,$A270,'Таблиця 1'!$I:$I,"МіГ-29",'Таблиця 1'!$J:$J,"BLU-140")+SUMIFS('Таблиця 1'!$K:$K,'Таблиця 1'!$B:$B,$A270,'Таблиця 1'!$I:$I,"Су-25",'Таблиця 1'!$J:$J,"BLU-140")+SUMIFS('Таблиця 1'!$K:$K,'Таблиця 1'!$B:$B,$A270,'Таблиця 1'!$I:$I,"Су-27",'Таблиця 1'!$J:$J,"BLU-140"))</f>
        <v/>
      </c>
      <c r="L270">
        <f>IF($A270="","",SUMIFS('Таблиця 1'!$K:$K,'Таблиця 1'!$B:$B,$A270,'Таблиця 1'!$I:$I,"Mirage",'Таблиця 1'!$J:$J,"GBU-65")+SUMIFS('Таблиця 1'!$K:$K,'Таблиця 1'!$B:$B,$A270,'Таблиця 1'!$I:$I,"F-16",'Таблиця 1'!$J:$J,"GBU-65")+SUMIFS('Таблиця 1'!$K:$K,'Таблиця 1'!$B:$B,$A270,'Таблиця 1'!$I:$I,"МіГ-29",'Таблиця 1'!$J:$J,"GBU-65")+SUMIFS('Таблиця 1'!$K:$K,'Таблиця 1'!$B:$B,$A270,'Таблиця 1'!$I:$I,"Су-25",'Таблиця 1'!$J:$J,"GBU-65")+SUMIFS('Таблиця 1'!$K:$K,'Таблиця 1'!$B:$B,$A270,'Таблиця 1'!$I:$I,"Су-27",'Таблиця 1'!$J:$J,"GBU-65"))</f>
        <v/>
      </c>
      <c r="M270">
        <f>IF($A270="","",SUMIFS('Таблиця 1'!$K:$K,'Таблиця 1'!$B:$B,$A270,'Таблиця 1'!$I:$I,"Mirage",'Таблиця 1'!$J:$J,"GBU-62")+SUMIFS('Таблиця 1'!$K:$K,'Таблиця 1'!$B:$B,$A270,'Таблиця 1'!$I:$I,"F-16",'Таблиця 1'!$J:$J,"GBU-62")+SUMIFS('Таблиця 1'!$K:$K,'Таблиця 1'!$B:$B,$A270,'Таблиця 1'!$I:$I,"МіГ-29",'Таблиця 1'!$J:$J,"GBU-62")+SUMIFS('Таблиця 1'!$K:$K,'Таблиця 1'!$B:$B,$A270,'Таблиця 1'!$I:$I,"Су-25",'Таблиця 1'!$J:$J,"GBU-62")+SUMIFS('Таблиця 1'!$K:$K,'Таблиця 1'!$B:$B,$A270,'Таблиця 1'!$I:$I,"Су-27",'Таблиця 1'!$J:$J,"GBU-62"))</f>
        <v/>
      </c>
      <c r="N270">
        <f>IF($A270="","",SUMIFS('Таблиця 1'!$K:$K,'Таблиця 1'!$B:$B,$A270,'Таблиця 1'!$I:$I,"Mirage",'Таблиця 1'!$J:$J,"GBU-64")+SUMIFS('Таблиця 1'!$K:$K,'Таблиця 1'!$B:$B,$A270,'Таблиця 1'!$I:$I,"F-16",'Таблиця 1'!$J:$J,"GBU-64")+SUMIFS('Таблиця 1'!$K:$K,'Таблиця 1'!$B:$B,$A270,'Таблиця 1'!$I:$I,"МіГ-29",'Таблиця 1'!$J:$J,"GBU-64")+SUMIFS('Таблиця 1'!$K:$K,'Таблиця 1'!$B:$B,$A270,'Таблиця 1'!$I:$I,"Су-25",'Таблиця 1'!$J:$J,"GBU-64")+SUMIFS('Таблиця 1'!$K:$K,'Таблиця 1'!$B:$B,$A270,'Таблиця 1'!$I:$I,"Су-27",'Таблиця 1'!$J:$J,"GBU-64"))</f>
        <v/>
      </c>
      <c r="O270">
        <f>IF($A270="","",SUMIFS('Таблиця 1'!$K:$K,'Таблиця 1'!$B:$B,$A270,'Таблиця 1'!$I:$I,"Mirage",'Таблиця 1'!$J:$J,"C-13")+SUMIFS('Таблиця 1'!$K:$K,'Таблиця 1'!$B:$B,$A270,'Таблиця 1'!$I:$I,"F-16",'Таблиця 1'!$J:$J,"C-13")+SUMIFS('Таблиця 1'!$K:$K,'Таблиця 1'!$B:$B,$A270,'Таблиця 1'!$I:$I,"МіГ-29",'Таблиця 1'!$J:$J,"C-13")+SUMIFS('Таблиця 1'!$K:$K,'Таблиця 1'!$B:$B,$A270,'Таблиця 1'!$I:$I,"Су-25",'Таблиця 1'!$J:$J,"C-13")+SUMIFS('Таблиця 1'!$K:$K,'Таблиця 1'!$B:$B,$A270,'Таблиця 1'!$I:$I,"Су-27",'Таблиця 1'!$J:$J,"C-13"))</f>
        <v/>
      </c>
      <c r="P270">
        <f>IF($A270="","",SUMIFS('Таблиця 1'!$K:$K,'Таблиця 1'!$B:$B,$A270,'Таблиця 1'!$I:$I,"Mirage",'Таблиця 1'!$J:$J,"MK-32")+SUMIFS('Таблиця 1'!$K:$K,'Таблиця 1'!$B:$B,$A270,'Таблиця 1'!$I:$I,"F-16",'Таблиця 1'!$J:$J,"MK-32")+SUMIFS('Таблиця 1'!$K:$K,'Таблиця 1'!$B:$B,$A270,'Таблиця 1'!$I:$I,"МіГ-29",'Таблиця 1'!$J:$J,"MK-32")+SUMIFS('Таблиця 1'!$K:$K,'Таблиця 1'!$B:$B,$A270,'Таблиця 1'!$I:$I,"Су-25",'Таблиця 1'!$J:$J,"MK-32")+SUMIFS('Таблиця 1'!$K:$K,'Таблиця 1'!$B:$B,$A270,'Таблиця 1'!$I:$I,"Су-27",'Таблиця 1'!$J:$J,"MK-32"))</f>
        <v/>
      </c>
      <c r="Q270">
        <f>IF($A270="","",SUMIFS('Таблиця 1'!$K:$K,'Таблиця 1'!$B:$B,$A270,'Таблиця 1'!$I:$I,"Mirage",'Таблиця 1'!$J:$J,"MK-24")+SUMIFS('Таблиця 1'!$K:$K,'Таблиця 1'!$B:$B,$A270,'Таблиця 1'!$I:$I,"F-16",'Таблиця 1'!$J:$J,"MK-24")+SUMIFS('Таблиця 1'!$K:$K,'Таблиця 1'!$B:$B,$A270,'Таблиця 1'!$I:$I,"МіГ-29",'Таблиця 1'!$J:$J,"MK-24")+SUMIFS('Таблиця 1'!$K:$K,'Таблиця 1'!$B:$B,$A270,'Таблиця 1'!$I:$I,"Су-25",'Таблиця 1'!$J:$J,"MK-24")+SUMIFS('Таблиця 1'!$K:$K,'Таблиця 1'!$B:$B,$A270,'Таблиця 1'!$I:$I,"Су-27",'Таблиця 1'!$J:$J,"MK-24"))</f>
        <v/>
      </c>
      <c r="R270">
        <f>IF($A270="","",COUNTIFS('Таблиця 1'!$B:$B,$A270,'Таблиця 1'!$I:$I,"Mirage",'Таблиця 1'!$L:$L,"Уражено")+COUNTIFS('Таблиця 1'!$B:$B,$A270,'Таблиця 1'!$I:$I,"F-16",'Таблиця 1'!$L:$L,"Уражено")+COUNTIFS('Таблиця 1'!$B:$B,$A270,'Таблиця 1'!$I:$I,"МіГ-29",'Таблиця 1'!$L:$L,"Уражено")+COUNTIFS('Таблиця 1'!$B:$B,$A270,'Таблиця 1'!$I:$I,"Су-25",'Таблиця 1'!$L:$L,"Уражено")+COUNTIFS('Таблиця 1'!$B:$B,$A270,'Таблиця 1'!$I:$I,"Су-27",'Таблиця 1'!$L:$L,"Уражено"))</f>
        <v/>
      </c>
      <c r="S270">
        <f>IF($A270="","",COUNTIFS('Таблиця 1'!$B:$B,$A270,'Таблиця 1'!$I:$I,"Mirage",'Таблиця 1'!$L:$L,"НЕ уражено")+COUNTIFS('Таблиця 1'!$B:$B,$A270,'Таблиця 1'!$I:$I,"F-16",'Таблиця 1'!$L:$L,"НЕ уражено")+COUNTIFS('Таблиця 1'!$B:$B,$A270,'Таблиця 1'!$I:$I,"МіГ-29",'Таблиця 1'!$L:$L,"НЕ уражено")+COUNTIFS('Таблиця 1'!$B:$B,$A270,'Таблиця 1'!$I:$I,"Су-25",'Таблиця 1'!$L:$L,"НЕ уражено")+COUNTIFS('Таблиця 1'!$B:$B,$A270,'Таблиця 1'!$I:$I,"Су-27",'Таблиця 1'!$L:$L,"НЕ уражено"))</f>
        <v/>
      </c>
      <c r="T270">
        <f>IF($A270="","",COUNTIFS('Таблиця 1'!$B:$B,$A270,'Таблиця 1'!$I:$I,"Mirage",'Таблиця 1'!$L:$L,"Дорозвідується")+COUNTIFS('Таблиця 1'!$B:$B,$A270,'Таблиця 1'!$I:$I,"F-16",'Таблиця 1'!$L:$L,"Дорозвідується")+COUNTIFS('Таблиця 1'!$B:$B,$A270,'Таблиця 1'!$I:$I,"МіГ-29",'Таблиця 1'!$L:$L,"Дорозвідується")+COUNTIFS('Таблиця 1'!$B:$B,$A270,'Таблиця 1'!$I:$I,"Су-25",'Таблиця 1'!$L:$L,"Дорозвідується")+COUNTIFS('Таблиця 1'!$B:$B,$A270,'Таблиця 1'!$I:$I,"Су-27",'Таблиця 1'!$L:$L,"Дорозвідується"))</f>
        <v/>
      </c>
    </row>
    <row r="271">
      <c r="A271" s="273">
        <f>IF(A270="","",IF(A270+1&gt;MAX('Таблиця 1'!$B:$B),"",A270+1))</f>
        <v/>
      </c>
      <c r="B271">
        <f>IF($A271="","",COUNTIFS('Таблиця 1'!$B:$B,$A271,'Таблиця 1'!$I:$I,"Mirage")+COUNTIFS('Таблиця 1'!$B:$B,$A271,'Таблиця 1'!$I:$I,"F-16")+COUNTIFS('Таблиця 1'!$B:$B,$A271,'Таблиця 1'!$I:$I,"МіГ-29")+COUNTIFS('Таблиця 1'!$B:$B,$A271,'Таблиця 1'!$I:$I,"Су-25")+COUNTIFS('Таблиця 1'!$B:$B,$A271,'Таблиця 1'!$I:$I,"Су-27"))</f>
        <v/>
      </c>
      <c r="C271">
        <f>IF($A271="","",COUNTIFS('Таблиця 1'!$B:$B,$A271,'Таблиця 1'!$I:$I,"Mirage"))</f>
        <v/>
      </c>
      <c r="D271">
        <f>IF($A271="","",COUNTIFS('Таблиця 1'!$B:$B,$A271,'Таблиця 1'!$I:$I,"F-16"))</f>
        <v/>
      </c>
      <c r="E271">
        <f>IF($A271="","",COUNTIFS('Таблиця 1'!$B:$B,$A271,'Таблиця 1'!$I:$I,"МіГ-29"))</f>
        <v/>
      </c>
      <c r="F271">
        <f>IF($A271="","",COUNTIFS('Таблиця 1'!$B:$B,$A271,'Таблиця 1'!$I:$I,"Су-25"))</f>
        <v/>
      </c>
      <c r="G271">
        <f>IF($A271="","",COUNTIFS('Таблиця 1'!$B:$B,$A271,'Таблиця 1'!$I:$I,"Су-27"))</f>
        <v/>
      </c>
      <c r="H271">
        <f>IF($A271="","",SUMIFS('Таблиця 1'!$K:$K,'Таблиця 1'!$B:$B,$A271,'Таблиця 1'!$I:$I,"Mirage",'Таблиця 1'!$J:$J,"AGM-88")+SUMIFS('Таблиця 1'!$K:$K,'Таблиця 1'!$B:$B,$A271,'Таблиця 1'!$I:$I,"F-16",'Таблиця 1'!$J:$J,"AGM-88")+SUMIFS('Таблиця 1'!$K:$K,'Таблиця 1'!$B:$B,$A271,'Таблиця 1'!$I:$I,"МіГ-29",'Таблиця 1'!$J:$J,"AGM-88")+SUMIFS('Таблиця 1'!$K:$K,'Таблиця 1'!$B:$B,$A271,'Таблиця 1'!$I:$I,"Су-25",'Таблиця 1'!$J:$J,"AGM-88")+SUMIFS('Таблиця 1'!$K:$K,'Таблиця 1'!$B:$B,$A271,'Таблиця 1'!$I:$I,"Су-27",'Таблиця 1'!$J:$J,"AGM-88"))</f>
        <v/>
      </c>
      <c r="I271">
        <f>IF($A271="","",SUMIFS('Таблиця 1'!$K:$K,'Таблиця 1'!$B:$B,$A271,'Таблиця 1'!$I:$I,"Mirage",'Таблиця 1'!$J:$J,"AASM-250")+SUMIFS('Таблиця 1'!$K:$K,'Таблиця 1'!$B:$B,$A271,'Таблиця 1'!$I:$I,"F-16",'Таблиця 1'!$J:$J,"AASM-250")+SUMIFS('Таблиця 1'!$K:$K,'Таблиця 1'!$B:$B,$A271,'Таблиця 1'!$I:$I,"МіГ-29",'Таблиця 1'!$J:$J,"AASM-250")+SUMIFS('Таблиця 1'!$K:$K,'Таблиця 1'!$B:$B,$A271,'Таблиця 1'!$I:$I,"Су-25",'Таблиця 1'!$J:$J,"AASM-250")+SUMIFS('Таблиця 1'!$K:$K,'Таблиця 1'!$B:$B,$A271,'Таблиця 1'!$I:$I,"Су-27",'Таблиця 1'!$J:$J,"AASM-250"))</f>
        <v/>
      </c>
      <c r="J271">
        <f>IF($A271="","",SUMIFS('Таблиця 1'!$K:$K,'Таблиця 1'!$B:$B,$A271,'Таблиця 1'!$I:$I,"Mirage",'Таблиця 1'!$J:$J,"GBU-39")+SUMIFS('Таблиця 1'!$K:$K,'Таблиця 1'!$B:$B,$A271,'Таблиця 1'!$I:$I,"F-16",'Таблиця 1'!$J:$J,"GBU-39")+SUMIFS('Таблиця 1'!$K:$K,'Таблиця 1'!$B:$B,$A271,'Таблиця 1'!$I:$I,"МіГ-29",'Таблиця 1'!$J:$J,"GBU-39")+SUMIFS('Таблиця 1'!$K:$K,'Таблиця 1'!$B:$B,$A271,'Таблиця 1'!$I:$I,"Су-25",'Таблиця 1'!$J:$J,"GBU-39")+SUMIFS('Таблиця 1'!$K:$K,'Таблиця 1'!$B:$B,$A271,'Таблиця 1'!$I:$I,"Су-27",'Таблиця 1'!$J:$J,"GBU-39"))</f>
        <v/>
      </c>
      <c r="K271">
        <f>IF($A271="","",SUMIFS('Таблиця 1'!$K:$K,'Таблиця 1'!$B:$B,$A271,'Таблиця 1'!$I:$I,"Mirage",'Таблиця 1'!$J:$J,"BLU-140")+SUMIFS('Таблиця 1'!$K:$K,'Таблиця 1'!$B:$B,$A271,'Таблиця 1'!$I:$I,"F-16",'Таблиця 1'!$J:$J,"BLU-140")+SUMIFS('Таблиця 1'!$K:$K,'Таблиця 1'!$B:$B,$A271,'Таблиця 1'!$I:$I,"МіГ-29",'Таблиця 1'!$J:$J,"BLU-140")+SUMIFS('Таблиця 1'!$K:$K,'Таблиця 1'!$B:$B,$A271,'Таблиця 1'!$I:$I,"Су-25",'Таблиця 1'!$J:$J,"BLU-140")+SUMIFS('Таблиця 1'!$K:$K,'Таблиця 1'!$B:$B,$A271,'Таблиця 1'!$I:$I,"Су-27",'Таблиця 1'!$J:$J,"BLU-140"))</f>
        <v/>
      </c>
      <c r="L271">
        <f>IF($A271="","",SUMIFS('Таблиця 1'!$K:$K,'Таблиця 1'!$B:$B,$A271,'Таблиця 1'!$I:$I,"Mirage",'Таблиця 1'!$J:$J,"GBU-65")+SUMIFS('Таблиця 1'!$K:$K,'Таблиця 1'!$B:$B,$A271,'Таблиця 1'!$I:$I,"F-16",'Таблиця 1'!$J:$J,"GBU-65")+SUMIFS('Таблиця 1'!$K:$K,'Таблиця 1'!$B:$B,$A271,'Таблиця 1'!$I:$I,"МіГ-29",'Таблиця 1'!$J:$J,"GBU-65")+SUMIFS('Таблиця 1'!$K:$K,'Таблиця 1'!$B:$B,$A271,'Таблиця 1'!$I:$I,"Су-25",'Таблиця 1'!$J:$J,"GBU-65")+SUMIFS('Таблиця 1'!$K:$K,'Таблиця 1'!$B:$B,$A271,'Таблиця 1'!$I:$I,"Су-27",'Таблиця 1'!$J:$J,"GBU-65"))</f>
        <v/>
      </c>
      <c r="M271">
        <f>IF($A271="","",SUMIFS('Таблиця 1'!$K:$K,'Таблиця 1'!$B:$B,$A271,'Таблиця 1'!$I:$I,"Mirage",'Таблиця 1'!$J:$J,"GBU-62")+SUMIFS('Таблиця 1'!$K:$K,'Таблиця 1'!$B:$B,$A271,'Таблиця 1'!$I:$I,"F-16",'Таблиця 1'!$J:$J,"GBU-62")+SUMIFS('Таблиця 1'!$K:$K,'Таблиця 1'!$B:$B,$A271,'Таблиця 1'!$I:$I,"МіГ-29",'Таблиця 1'!$J:$J,"GBU-62")+SUMIFS('Таблиця 1'!$K:$K,'Таблиця 1'!$B:$B,$A271,'Таблиця 1'!$I:$I,"Су-25",'Таблиця 1'!$J:$J,"GBU-62")+SUMIFS('Таблиця 1'!$K:$K,'Таблиця 1'!$B:$B,$A271,'Таблиця 1'!$I:$I,"Су-27",'Таблиця 1'!$J:$J,"GBU-62"))</f>
        <v/>
      </c>
      <c r="N271">
        <f>IF($A271="","",SUMIFS('Таблиця 1'!$K:$K,'Таблиця 1'!$B:$B,$A271,'Таблиця 1'!$I:$I,"Mirage",'Таблиця 1'!$J:$J,"GBU-64")+SUMIFS('Таблиця 1'!$K:$K,'Таблиця 1'!$B:$B,$A271,'Таблиця 1'!$I:$I,"F-16",'Таблиця 1'!$J:$J,"GBU-64")+SUMIFS('Таблиця 1'!$K:$K,'Таблиця 1'!$B:$B,$A271,'Таблиця 1'!$I:$I,"МіГ-29",'Таблиця 1'!$J:$J,"GBU-64")+SUMIFS('Таблиця 1'!$K:$K,'Таблиця 1'!$B:$B,$A271,'Таблиця 1'!$I:$I,"Су-25",'Таблиця 1'!$J:$J,"GBU-64")+SUMIFS('Таблиця 1'!$K:$K,'Таблиця 1'!$B:$B,$A271,'Таблиця 1'!$I:$I,"Су-27",'Таблиця 1'!$J:$J,"GBU-64"))</f>
        <v/>
      </c>
      <c r="O271">
        <f>IF($A271="","",SUMIFS('Таблиця 1'!$K:$K,'Таблиця 1'!$B:$B,$A271,'Таблиця 1'!$I:$I,"Mirage",'Таблиця 1'!$J:$J,"C-13")+SUMIFS('Таблиця 1'!$K:$K,'Таблиця 1'!$B:$B,$A271,'Таблиця 1'!$I:$I,"F-16",'Таблиця 1'!$J:$J,"C-13")+SUMIFS('Таблиця 1'!$K:$K,'Таблиця 1'!$B:$B,$A271,'Таблиця 1'!$I:$I,"МіГ-29",'Таблиця 1'!$J:$J,"C-13")+SUMIFS('Таблиця 1'!$K:$K,'Таблиця 1'!$B:$B,$A271,'Таблиця 1'!$I:$I,"Су-25",'Таблиця 1'!$J:$J,"C-13")+SUMIFS('Таблиця 1'!$K:$K,'Таблиця 1'!$B:$B,$A271,'Таблиця 1'!$I:$I,"Су-27",'Таблиця 1'!$J:$J,"C-13"))</f>
        <v/>
      </c>
      <c r="P271">
        <f>IF($A271="","",SUMIFS('Таблиця 1'!$K:$K,'Таблиця 1'!$B:$B,$A271,'Таблиця 1'!$I:$I,"Mirage",'Таблиця 1'!$J:$J,"MK-32")+SUMIFS('Таблиця 1'!$K:$K,'Таблиця 1'!$B:$B,$A271,'Таблиця 1'!$I:$I,"F-16",'Таблиця 1'!$J:$J,"MK-32")+SUMIFS('Таблиця 1'!$K:$K,'Таблиця 1'!$B:$B,$A271,'Таблиця 1'!$I:$I,"МіГ-29",'Таблиця 1'!$J:$J,"MK-32")+SUMIFS('Таблиця 1'!$K:$K,'Таблиця 1'!$B:$B,$A271,'Таблиця 1'!$I:$I,"Су-25",'Таблиця 1'!$J:$J,"MK-32")+SUMIFS('Таблиця 1'!$K:$K,'Таблиця 1'!$B:$B,$A271,'Таблиця 1'!$I:$I,"Су-27",'Таблиця 1'!$J:$J,"MK-32"))</f>
        <v/>
      </c>
      <c r="Q271">
        <f>IF($A271="","",SUMIFS('Таблиця 1'!$K:$K,'Таблиця 1'!$B:$B,$A271,'Таблиця 1'!$I:$I,"Mirage",'Таблиця 1'!$J:$J,"MK-24")+SUMIFS('Таблиця 1'!$K:$K,'Таблиця 1'!$B:$B,$A271,'Таблиця 1'!$I:$I,"F-16",'Таблиця 1'!$J:$J,"MK-24")+SUMIFS('Таблиця 1'!$K:$K,'Таблиця 1'!$B:$B,$A271,'Таблиця 1'!$I:$I,"МіГ-29",'Таблиця 1'!$J:$J,"MK-24")+SUMIFS('Таблиця 1'!$K:$K,'Таблиця 1'!$B:$B,$A271,'Таблиця 1'!$I:$I,"Су-25",'Таблиця 1'!$J:$J,"MK-24")+SUMIFS('Таблиця 1'!$K:$K,'Таблиця 1'!$B:$B,$A271,'Таблиця 1'!$I:$I,"Су-27",'Таблиця 1'!$J:$J,"MK-24"))</f>
        <v/>
      </c>
      <c r="R271">
        <f>IF($A271="","",COUNTIFS('Таблиця 1'!$B:$B,$A271,'Таблиця 1'!$I:$I,"Mirage",'Таблиця 1'!$L:$L,"Уражено")+COUNTIFS('Таблиця 1'!$B:$B,$A271,'Таблиця 1'!$I:$I,"F-16",'Таблиця 1'!$L:$L,"Уражено")+COUNTIFS('Таблиця 1'!$B:$B,$A271,'Таблиця 1'!$I:$I,"МіГ-29",'Таблиця 1'!$L:$L,"Уражено")+COUNTIFS('Таблиця 1'!$B:$B,$A271,'Таблиця 1'!$I:$I,"Су-25",'Таблиця 1'!$L:$L,"Уражено")+COUNTIFS('Таблиця 1'!$B:$B,$A271,'Таблиця 1'!$I:$I,"Су-27",'Таблиця 1'!$L:$L,"Уражено"))</f>
        <v/>
      </c>
      <c r="S271">
        <f>IF($A271="","",COUNTIFS('Таблиця 1'!$B:$B,$A271,'Таблиця 1'!$I:$I,"Mirage",'Таблиця 1'!$L:$L,"НЕ уражено")+COUNTIFS('Таблиця 1'!$B:$B,$A271,'Таблиця 1'!$I:$I,"F-16",'Таблиця 1'!$L:$L,"НЕ уражено")+COUNTIFS('Таблиця 1'!$B:$B,$A271,'Таблиця 1'!$I:$I,"МіГ-29",'Таблиця 1'!$L:$L,"НЕ уражено")+COUNTIFS('Таблиця 1'!$B:$B,$A271,'Таблиця 1'!$I:$I,"Су-25",'Таблиця 1'!$L:$L,"НЕ уражено")+COUNTIFS('Таблиця 1'!$B:$B,$A271,'Таблиця 1'!$I:$I,"Су-27",'Таблиця 1'!$L:$L,"НЕ уражено"))</f>
        <v/>
      </c>
      <c r="T271">
        <f>IF($A271="","",COUNTIFS('Таблиця 1'!$B:$B,$A271,'Таблиця 1'!$I:$I,"Mirage",'Таблиця 1'!$L:$L,"Дорозвідується")+COUNTIFS('Таблиця 1'!$B:$B,$A271,'Таблиця 1'!$I:$I,"F-16",'Таблиця 1'!$L:$L,"Дорозвідується")+COUNTIFS('Таблиця 1'!$B:$B,$A271,'Таблиця 1'!$I:$I,"МіГ-29",'Таблиця 1'!$L:$L,"Дорозвідується")+COUNTIFS('Таблиця 1'!$B:$B,$A271,'Таблиця 1'!$I:$I,"Су-25",'Таблиця 1'!$L:$L,"Дорозвідується")+COUNTIFS('Таблиця 1'!$B:$B,$A271,'Таблиця 1'!$I:$I,"Су-27",'Таблиця 1'!$L:$L,"Дорозвідується"))</f>
        <v/>
      </c>
    </row>
    <row r="272">
      <c r="A272" s="273">
        <f>IF(A271="","",IF(A271+1&gt;MAX('Таблиця 1'!$B:$B),"",A271+1))</f>
        <v/>
      </c>
      <c r="B272">
        <f>IF($A272="","",COUNTIFS('Таблиця 1'!$B:$B,$A272,'Таблиця 1'!$I:$I,"Mirage")+COUNTIFS('Таблиця 1'!$B:$B,$A272,'Таблиця 1'!$I:$I,"F-16")+COUNTIFS('Таблиця 1'!$B:$B,$A272,'Таблиця 1'!$I:$I,"МіГ-29")+COUNTIFS('Таблиця 1'!$B:$B,$A272,'Таблиця 1'!$I:$I,"Су-25")+COUNTIFS('Таблиця 1'!$B:$B,$A272,'Таблиця 1'!$I:$I,"Су-27"))</f>
        <v/>
      </c>
      <c r="C272">
        <f>IF($A272="","",COUNTIFS('Таблиця 1'!$B:$B,$A272,'Таблиця 1'!$I:$I,"Mirage"))</f>
        <v/>
      </c>
      <c r="D272">
        <f>IF($A272="","",COUNTIFS('Таблиця 1'!$B:$B,$A272,'Таблиця 1'!$I:$I,"F-16"))</f>
        <v/>
      </c>
      <c r="E272">
        <f>IF($A272="","",COUNTIFS('Таблиця 1'!$B:$B,$A272,'Таблиця 1'!$I:$I,"МіГ-29"))</f>
        <v/>
      </c>
      <c r="F272">
        <f>IF($A272="","",COUNTIFS('Таблиця 1'!$B:$B,$A272,'Таблиця 1'!$I:$I,"Су-25"))</f>
        <v/>
      </c>
      <c r="G272">
        <f>IF($A272="","",COUNTIFS('Таблиця 1'!$B:$B,$A272,'Таблиця 1'!$I:$I,"Су-27"))</f>
        <v/>
      </c>
      <c r="H272">
        <f>IF($A272="","",SUMIFS('Таблиця 1'!$K:$K,'Таблиця 1'!$B:$B,$A272,'Таблиця 1'!$I:$I,"Mirage",'Таблиця 1'!$J:$J,"AGM-88")+SUMIFS('Таблиця 1'!$K:$K,'Таблиця 1'!$B:$B,$A272,'Таблиця 1'!$I:$I,"F-16",'Таблиця 1'!$J:$J,"AGM-88")+SUMIFS('Таблиця 1'!$K:$K,'Таблиця 1'!$B:$B,$A272,'Таблиця 1'!$I:$I,"МіГ-29",'Таблиця 1'!$J:$J,"AGM-88")+SUMIFS('Таблиця 1'!$K:$K,'Таблиця 1'!$B:$B,$A272,'Таблиця 1'!$I:$I,"Су-25",'Таблиця 1'!$J:$J,"AGM-88")+SUMIFS('Таблиця 1'!$K:$K,'Таблиця 1'!$B:$B,$A272,'Таблиця 1'!$I:$I,"Су-27",'Таблиця 1'!$J:$J,"AGM-88"))</f>
        <v/>
      </c>
      <c r="I272">
        <f>IF($A272="","",SUMIFS('Таблиця 1'!$K:$K,'Таблиця 1'!$B:$B,$A272,'Таблиця 1'!$I:$I,"Mirage",'Таблиця 1'!$J:$J,"AASM-250")+SUMIFS('Таблиця 1'!$K:$K,'Таблиця 1'!$B:$B,$A272,'Таблиця 1'!$I:$I,"F-16",'Таблиця 1'!$J:$J,"AASM-250")+SUMIFS('Таблиця 1'!$K:$K,'Таблиця 1'!$B:$B,$A272,'Таблиця 1'!$I:$I,"МіГ-29",'Таблиця 1'!$J:$J,"AASM-250")+SUMIFS('Таблиця 1'!$K:$K,'Таблиця 1'!$B:$B,$A272,'Таблиця 1'!$I:$I,"Су-25",'Таблиця 1'!$J:$J,"AASM-250")+SUMIFS('Таблиця 1'!$K:$K,'Таблиця 1'!$B:$B,$A272,'Таблиця 1'!$I:$I,"Су-27",'Таблиця 1'!$J:$J,"AASM-250"))</f>
        <v/>
      </c>
      <c r="J272">
        <f>IF($A272="","",SUMIFS('Таблиця 1'!$K:$K,'Таблиця 1'!$B:$B,$A272,'Таблиця 1'!$I:$I,"Mirage",'Таблиця 1'!$J:$J,"GBU-39")+SUMIFS('Таблиця 1'!$K:$K,'Таблиця 1'!$B:$B,$A272,'Таблиця 1'!$I:$I,"F-16",'Таблиця 1'!$J:$J,"GBU-39")+SUMIFS('Таблиця 1'!$K:$K,'Таблиця 1'!$B:$B,$A272,'Таблиця 1'!$I:$I,"МіГ-29",'Таблиця 1'!$J:$J,"GBU-39")+SUMIFS('Таблиця 1'!$K:$K,'Таблиця 1'!$B:$B,$A272,'Таблиця 1'!$I:$I,"Су-25",'Таблиця 1'!$J:$J,"GBU-39")+SUMIFS('Таблиця 1'!$K:$K,'Таблиця 1'!$B:$B,$A272,'Таблиця 1'!$I:$I,"Су-27",'Таблиця 1'!$J:$J,"GBU-39"))</f>
        <v/>
      </c>
      <c r="K272">
        <f>IF($A272="","",SUMIFS('Таблиця 1'!$K:$K,'Таблиця 1'!$B:$B,$A272,'Таблиця 1'!$I:$I,"Mirage",'Таблиця 1'!$J:$J,"BLU-140")+SUMIFS('Таблиця 1'!$K:$K,'Таблиця 1'!$B:$B,$A272,'Таблиця 1'!$I:$I,"F-16",'Таблиця 1'!$J:$J,"BLU-140")+SUMIFS('Таблиця 1'!$K:$K,'Таблиця 1'!$B:$B,$A272,'Таблиця 1'!$I:$I,"МіГ-29",'Таблиця 1'!$J:$J,"BLU-140")+SUMIFS('Таблиця 1'!$K:$K,'Таблиця 1'!$B:$B,$A272,'Таблиця 1'!$I:$I,"Су-25",'Таблиця 1'!$J:$J,"BLU-140")+SUMIFS('Таблиця 1'!$K:$K,'Таблиця 1'!$B:$B,$A272,'Таблиця 1'!$I:$I,"Су-27",'Таблиця 1'!$J:$J,"BLU-140"))</f>
        <v/>
      </c>
      <c r="L272">
        <f>IF($A272="","",SUMIFS('Таблиця 1'!$K:$K,'Таблиця 1'!$B:$B,$A272,'Таблиця 1'!$I:$I,"Mirage",'Таблиця 1'!$J:$J,"GBU-65")+SUMIFS('Таблиця 1'!$K:$K,'Таблиця 1'!$B:$B,$A272,'Таблиця 1'!$I:$I,"F-16",'Таблиця 1'!$J:$J,"GBU-65")+SUMIFS('Таблиця 1'!$K:$K,'Таблиця 1'!$B:$B,$A272,'Таблиця 1'!$I:$I,"МіГ-29",'Таблиця 1'!$J:$J,"GBU-65")+SUMIFS('Таблиця 1'!$K:$K,'Таблиця 1'!$B:$B,$A272,'Таблиця 1'!$I:$I,"Су-25",'Таблиця 1'!$J:$J,"GBU-65")+SUMIFS('Таблиця 1'!$K:$K,'Таблиця 1'!$B:$B,$A272,'Таблиця 1'!$I:$I,"Су-27",'Таблиця 1'!$J:$J,"GBU-65"))</f>
        <v/>
      </c>
      <c r="M272">
        <f>IF($A272="","",SUMIFS('Таблиця 1'!$K:$K,'Таблиця 1'!$B:$B,$A272,'Таблиця 1'!$I:$I,"Mirage",'Таблиця 1'!$J:$J,"GBU-62")+SUMIFS('Таблиця 1'!$K:$K,'Таблиця 1'!$B:$B,$A272,'Таблиця 1'!$I:$I,"F-16",'Таблиця 1'!$J:$J,"GBU-62")+SUMIFS('Таблиця 1'!$K:$K,'Таблиця 1'!$B:$B,$A272,'Таблиця 1'!$I:$I,"МіГ-29",'Таблиця 1'!$J:$J,"GBU-62")+SUMIFS('Таблиця 1'!$K:$K,'Таблиця 1'!$B:$B,$A272,'Таблиця 1'!$I:$I,"Су-25",'Таблиця 1'!$J:$J,"GBU-62")+SUMIFS('Таблиця 1'!$K:$K,'Таблиця 1'!$B:$B,$A272,'Таблиця 1'!$I:$I,"Су-27",'Таблиця 1'!$J:$J,"GBU-62"))</f>
        <v/>
      </c>
      <c r="N272">
        <f>IF($A272="","",SUMIFS('Таблиця 1'!$K:$K,'Таблиця 1'!$B:$B,$A272,'Таблиця 1'!$I:$I,"Mirage",'Таблиця 1'!$J:$J,"GBU-64")+SUMIFS('Таблиця 1'!$K:$K,'Таблиця 1'!$B:$B,$A272,'Таблиця 1'!$I:$I,"F-16",'Таблиця 1'!$J:$J,"GBU-64")+SUMIFS('Таблиця 1'!$K:$K,'Таблиця 1'!$B:$B,$A272,'Таблиця 1'!$I:$I,"МіГ-29",'Таблиця 1'!$J:$J,"GBU-64")+SUMIFS('Таблиця 1'!$K:$K,'Таблиця 1'!$B:$B,$A272,'Таблиця 1'!$I:$I,"Су-25",'Таблиця 1'!$J:$J,"GBU-64")+SUMIFS('Таблиця 1'!$K:$K,'Таблиця 1'!$B:$B,$A272,'Таблиця 1'!$I:$I,"Су-27",'Таблиця 1'!$J:$J,"GBU-64"))</f>
        <v/>
      </c>
      <c r="O272">
        <f>IF($A272="","",SUMIFS('Таблиця 1'!$K:$K,'Таблиця 1'!$B:$B,$A272,'Таблиця 1'!$I:$I,"Mirage",'Таблиця 1'!$J:$J,"C-13")+SUMIFS('Таблиця 1'!$K:$K,'Таблиця 1'!$B:$B,$A272,'Таблиця 1'!$I:$I,"F-16",'Таблиця 1'!$J:$J,"C-13")+SUMIFS('Таблиця 1'!$K:$K,'Таблиця 1'!$B:$B,$A272,'Таблиця 1'!$I:$I,"МіГ-29",'Таблиця 1'!$J:$J,"C-13")+SUMIFS('Таблиця 1'!$K:$K,'Таблиця 1'!$B:$B,$A272,'Таблиця 1'!$I:$I,"Су-25",'Таблиця 1'!$J:$J,"C-13")+SUMIFS('Таблиця 1'!$K:$K,'Таблиця 1'!$B:$B,$A272,'Таблиця 1'!$I:$I,"Су-27",'Таблиця 1'!$J:$J,"C-13"))</f>
        <v/>
      </c>
      <c r="P272">
        <f>IF($A272="","",SUMIFS('Таблиця 1'!$K:$K,'Таблиця 1'!$B:$B,$A272,'Таблиця 1'!$I:$I,"Mirage",'Таблиця 1'!$J:$J,"MK-32")+SUMIFS('Таблиця 1'!$K:$K,'Таблиця 1'!$B:$B,$A272,'Таблиця 1'!$I:$I,"F-16",'Таблиця 1'!$J:$J,"MK-32")+SUMIFS('Таблиця 1'!$K:$K,'Таблиця 1'!$B:$B,$A272,'Таблиця 1'!$I:$I,"МіГ-29",'Таблиця 1'!$J:$J,"MK-32")+SUMIFS('Таблиця 1'!$K:$K,'Таблиця 1'!$B:$B,$A272,'Таблиця 1'!$I:$I,"Су-25",'Таблиця 1'!$J:$J,"MK-32")+SUMIFS('Таблиця 1'!$K:$K,'Таблиця 1'!$B:$B,$A272,'Таблиця 1'!$I:$I,"Су-27",'Таблиця 1'!$J:$J,"MK-32"))</f>
        <v/>
      </c>
      <c r="Q272">
        <f>IF($A272="","",SUMIFS('Таблиця 1'!$K:$K,'Таблиця 1'!$B:$B,$A272,'Таблиця 1'!$I:$I,"Mirage",'Таблиця 1'!$J:$J,"MK-24")+SUMIFS('Таблиця 1'!$K:$K,'Таблиця 1'!$B:$B,$A272,'Таблиця 1'!$I:$I,"F-16",'Таблиця 1'!$J:$J,"MK-24")+SUMIFS('Таблиця 1'!$K:$K,'Таблиця 1'!$B:$B,$A272,'Таблиця 1'!$I:$I,"МіГ-29",'Таблиця 1'!$J:$J,"MK-24")+SUMIFS('Таблиця 1'!$K:$K,'Таблиця 1'!$B:$B,$A272,'Таблиця 1'!$I:$I,"Су-25",'Таблиця 1'!$J:$J,"MK-24")+SUMIFS('Таблиця 1'!$K:$K,'Таблиця 1'!$B:$B,$A272,'Таблиця 1'!$I:$I,"Су-27",'Таблиця 1'!$J:$J,"MK-24"))</f>
        <v/>
      </c>
      <c r="R272">
        <f>IF($A272="","",COUNTIFS('Таблиця 1'!$B:$B,$A272,'Таблиця 1'!$I:$I,"Mirage",'Таблиця 1'!$L:$L,"Уражено")+COUNTIFS('Таблиця 1'!$B:$B,$A272,'Таблиця 1'!$I:$I,"F-16",'Таблиця 1'!$L:$L,"Уражено")+COUNTIFS('Таблиця 1'!$B:$B,$A272,'Таблиця 1'!$I:$I,"МіГ-29",'Таблиця 1'!$L:$L,"Уражено")+COUNTIFS('Таблиця 1'!$B:$B,$A272,'Таблиця 1'!$I:$I,"Су-25",'Таблиця 1'!$L:$L,"Уражено")+COUNTIFS('Таблиця 1'!$B:$B,$A272,'Таблиця 1'!$I:$I,"Су-27",'Таблиця 1'!$L:$L,"Уражено"))</f>
        <v/>
      </c>
      <c r="S272">
        <f>IF($A272="","",COUNTIFS('Таблиця 1'!$B:$B,$A272,'Таблиця 1'!$I:$I,"Mirage",'Таблиця 1'!$L:$L,"НЕ уражено")+COUNTIFS('Таблиця 1'!$B:$B,$A272,'Таблиця 1'!$I:$I,"F-16",'Таблиця 1'!$L:$L,"НЕ уражено")+COUNTIFS('Таблиця 1'!$B:$B,$A272,'Таблиця 1'!$I:$I,"МіГ-29",'Таблиця 1'!$L:$L,"НЕ уражено")+COUNTIFS('Таблиця 1'!$B:$B,$A272,'Таблиця 1'!$I:$I,"Су-25",'Таблиця 1'!$L:$L,"НЕ уражено")+COUNTIFS('Таблиця 1'!$B:$B,$A272,'Таблиця 1'!$I:$I,"Су-27",'Таблиця 1'!$L:$L,"НЕ уражено"))</f>
        <v/>
      </c>
      <c r="T272">
        <f>IF($A272="","",COUNTIFS('Таблиця 1'!$B:$B,$A272,'Таблиця 1'!$I:$I,"Mirage",'Таблиця 1'!$L:$L,"Дорозвідується")+COUNTIFS('Таблиця 1'!$B:$B,$A272,'Таблиця 1'!$I:$I,"F-16",'Таблиця 1'!$L:$L,"Дорозвідується")+COUNTIFS('Таблиця 1'!$B:$B,$A272,'Таблиця 1'!$I:$I,"МіГ-29",'Таблиця 1'!$L:$L,"Дорозвідується")+COUNTIFS('Таблиця 1'!$B:$B,$A272,'Таблиця 1'!$I:$I,"Су-25",'Таблиця 1'!$L:$L,"Дорозвідується")+COUNTIFS('Таблиця 1'!$B:$B,$A272,'Таблиця 1'!$I:$I,"Су-27",'Таблиця 1'!$L:$L,"Дорозвідується"))</f>
        <v/>
      </c>
    </row>
    <row r="273">
      <c r="A273" s="273">
        <f>IF(A272="","",IF(A272+1&gt;MAX('Таблиця 1'!$B:$B),"",A272+1))</f>
        <v/>
      </c>
      <c r="B273">
        <f>IF($A273="","",COUNTIFS('Таблиця 1'!$B:$B,$A273,'Таблиця 1'!$I:$I,"Mirage")+COUNTIFS('Таблиця 1'!$B:$B,$A273,'Таблиця 1'!$I:$I,"F-16")+COUNTIFS('Таблиця 1'!$B:$B,$A273,'Таблиця 1'!$I:$I,"МіГ-29")+COUNTIFS('Таблиця 1'!$B:$B,$A273,'Таблиця 1'!$I:$I,"Су-25")+COUNTIFS('Таблиця 1'!$B:$B,$A273,'Таблиця 1'!$I:$I,"Су-27"))</f>
        <v/>
      </c>
      <c r="C273">
        <f>IF($A273="","",COUNTIFS('Таблиця 1'!$B:$B,$A273,'Таблиця 1'!$I:$I,"Mirage"))</f>
        <v/>
      </c>
      <c r="D273">
        <f>IF($A273="","",COUNTIFS('Таблиця 1'!$B:$B,$A273,'Таблиця 1'!$I:$I,"F-16"))</f>
        <v/>
      </c>
      <c r="E273">
        <f>IF($A273="","",COUNTIFS('Таблиця 1'!$B:$B,$A273,'Таблиця 1'!$I:$I,"МіГ-29"))</f>
        <v/>
      </c>
      <c r="F273">
        <f>IF($A273="","",COUNTIFS('Таблиця 1'!$B:$B,$A273,'Таблиця 1'!$I:$I,"Су-25"))</f>
        <v/>
      </c>
      <c r="G273">
        <f>IF($A273="","",COUNTIFS('Таблиця 1'!$B:$B,$A273,'Таблиця 1'!$I:$I,"Су-27"))</f>
        <v/>
      </c>
      <c r="H273">
        <f>IF($A273="","",SUMIFS('Таблиця 1'!$K:$K,'Таблиця 1'!$B:$B,$A273,'Таблиця 1'!$I:$I,"Mirage",'Таблиця 1'!$J:$J,"AGM-88")+SUMIFS('Таблиця 1'!$K:$K,'Таблиця 1'!$B:$B,$A273,'Таблиця 1'!$I:$I,"F-16",'Таблиця 1'!$J:$J,"AGM-88")+SUMIFS('Таблиця 1'!$K:$K,'Таблиця 1'!$B:$B,$A273,'Таблиця 1'!$I:$I,"МіГ-29",'Таблиця 1'!$J:$J,"AGM-88")+SUMIFS('Таблиця 1'!$K:$K,'Таблиця 1'!$B:$B,$A273,'Таблиця 1'!$I:$I,"Су-25",'Таблиця 1'!$J:$J,"AGM-88")+SUMIFS('Таблиця 1'!$K:$K,'Таблиця 1'!$B:$B,$A273,'Таблиця 1'!$I:$I,"Су-27",'Таблиця 1'!$J:$J,"AGM-88"))</f>
        <v/>
      </c>
      <c r="I273">
        <f>IF($A273="","",SUMIFS('Таблиця 1'!$K:$K,'Таблиця 1'!$B:$B,$A273,'Таблиця 1'!$I:$I,"Mirage",'Таблиця 1'!$J:$J,"AASM-250")+SUMIFS('Таблиця 1'!$K:$K,'Таблиця 1'!$B:$B,$A273,'Таблиця 1'!$I:$I,"F-16",'Таблиця 1'!$J:$J,"AASM-250")+SUMIFS('Таблиця 1'!$K:$K,'Таблиця 1'!$B:$B,$A273,'Таблиця 1'!$I:$I,"МіГ-29",'Таблиця 1'!$J:$J,"AASM-250")+SUMIFS('Таблиця 1'!$K:$K,'Таблиця 1'!$B:$B,$A273,'Таблиця 1'!$I:$I,"Су-25",'Таблиця 1'!$J:$J,"AASM-250")+SUMIFS('Таблиця 1'!$K:$K,'Таблиця 1'!$B:$B,$A273,'Таблиця 1'!$I:$I,"Су-27",'Таблиця 1'!$J:$J,"AASM-250"))</f>
        <v/>
      </c>
      <c r="J273">
        <f>IF($A273="","",SUMIFS('Таблиця 1'!$K:$K,'Таблиця 1'!$B:$B,$A273,'Таблиця 1'!$I:$I,"Mirage",'Таблиця 1'!$J:$J,"GBU-39")+SUMIFS('Таблиця 1'!$K:$K,'Таблиця 1'!$B:$B,$A273,'Таблиця 1'!$I:$I,"F-16",'Таблиця 1'!$J:$J,"GBU-39")+SUMIFS('Таблиця 1'!$K:$K,'Таблиця 1'!$B:$B,$A273,'Таблиця 1'!$I:$I,"МіГ-29",'Таблиця 1'!$J:$J,"GBU-39")+SUMIFS('Таблиця 1'!$K:$K,'Таблиця 1'!$B:$B,$A273,'Таблиця 1'!$I:$I,"Су-25",'Таблиця 1'!$J:$J,"GBU-39")+SUMIFS('Таблиця 1'!$K:$K,'Таблиця 1'!$B:$B,$A273,'Таблиця 1'!$I:$I,"Су-27",'Таблиця 1'!$J:$J,"GBU-39"))</f>
        <v/>
      </c>
      <c r="K273">
        <f>IF($A273="","",SUMIFS('Таблиця 1'!$K:$K,'Таблиця 1'!$B:$B,$A273,'Таблиця 1'!$I:$I,"Mirage",'Таблиця 1'!$J:$J,"BLU-140")+SUMIFS('Таблиця 1'!$K:$K,'Таблиця 1'!$B:$B,$A273,'Таблиця 1'!$I:$I,"F-16",'Таблиця 1'!$J:$J,"BLU-140")+SUMIFS('Таблиця 1'!$K:$K,'Таблиця 1'!$B:$B,$A273,'Таблиця 1'!$I:$I,"МіГ-29",'Таблиця 1'!$J:$J,"BLU-140")+SUMIFS('Таблиця 1'!$K:$K,'Таблиця 1'!$B:$B,$A273,'Таблиця 1'!$I:$I,"Су-25",'Таблиця 1'!$J:$J,"BLU-140")+SUMIFS('Таблиця 1'!$K:$K,'Таблиця 1'!$B:$B,$A273,'Таблиця 1'!$I:$I,"Су-27",'Таблиця 1'!$J:$J,"BLU-140"))</f>
        <v/>
      </c>
      <c r="L273">
        <f>IF($A273="","",SUMIFS('Таблиця 1'!$K:$K,'Таблиця 1'!$B:$B,$A273,'Таблиця 1'!$I:$I,"Mirage",'Таблиця 1'!$J:$J,"GBU-65")+SUMIFS('Таблиця 1'!$K:$K,'Таблиця 1'!$B:$B,$A273,'Таблиця 1'!$I:$I,"F-16",'Таблиця 1'!$J:$J,"GBU-65")+SUMIFS('Таблиця 1'!$K:$K,'Таблиця 1'!$B:$B,$A273,'Таблиця 1'!$I:$I,"МіГ-29",'Таблиця 1'!$J:$J,"GBU-65")+SUMIFS('Таблиця 1'!$K:$K,'Таблиця 1'!$B:$B,$A273,'Таблиця 1'!$I:$I,"Су-25",'Таблиця 1'!$J:$J,"GBU-65")+SUMIFS('Таблиця 1'!$K:$K,'Таблиця 1'!$B:$B,$A273,'Таблиця 1'!$I:$I,"Су-27",'Таблиця 1'!$J:$J,"GBU-65"))</f>
        <v/>
      </c>
      <c r="M273">
        <f>IF($A273="","",SUMIFS('Таблиця 1'!$K:$K,'Таблиця 1'!$B:$B,$A273,'Таблиця 1'!$I:$I,"Mirage",'Таблиця 1'!$J:$J,"GBU-62")+SUMIFS('Таблиця 1'!$K:$K,'Таблиця 1'!$B:$B,$A273,'Таблиця 1'!$I:$I,"F-16",'Таблиця 1'!$J:$J,"GBU-62")+SUMIFS('Таблиця 1'!$K:$K,'Таблиця 1'!$B:$B,$A273,'Таблиця 1'!$I:$I,"МіГ-29",'Таблиця 1'!$J:$J,"GBU-62")+SUMIFS('Таблиця 1'!$K:$K,'Таблиця 1'!$B:$B,$A273,'Таблиця 1'!$I:$I,"Су-25",'Таблиця 1'!$J:$J,"GBU-62")+SUMIFS('Таблиця 1'!$K:$K,'Таблиця 1'!$B:$B,$A273,'Таблиця 1'!$I:$I,"Су-27",'Таблиця 1'!$J:$J,"GBU-62"))</f>
        <v/>
      </c>
      <c r="N273">
        <f>IF($A273="","",SUMIFS('Таблиця 1'!$K:$K,'Таблиця 1'!$B:$B,$A273,'Таблиця 1'!$I:$I,"Mirage",'Таблиця 1'!$J:$J,"GBU-64")+SUMIFS('Таблиця 1'!$K:$K,'Таблиця 1'!$B:$B,$A273,'Таблиця 1'!$I:$I,"F-16",'Таблиця 1'!$J:$J,"GBU-64")+SUMIFS('Таблиця 1'!$K:$K,'Таблиця 1'!$B:$B,$A273,'Таблиця 1'!$I:$I,"МіГ-29",'Таблиця 1'!$J:$J,"GBU-64")+SUMIFS('Таблиця 1'!$K:$K,'Таблиця 1'!$B:$B,$A273,'Таблиця 1'!$I:$I,"Су-25",'Таблиця 1'!$J:$J,"GBU-64")+SUMIFS('Таблиця 1'!$K:$K,'Таблиця 1'!$B:$B,$A273,'Таблиця 1'!$I:$I,"Су-27",'Таблиця 1'!$J:$J,"GBU-64"))</f>
        <v/>
      </c>
      <c r="O273">
        <f>IF($A273="","",SUMIFS('Таблиця 1'!$K:$K,'Таблиця 1'!$B:$B,$A273,'Таблиця 1'!$I:$I,"Mirage",'Таблиця 1'!$J:$J,"C-13")+SUMIFS('Таблиця 1'!$K:$K,'Таблиця 1'!$B:$B,$A273,'Таблиця 1'!$I:$I,"F-16",'Таблиця 1'!$J:$J,"C-13")+SUMIFS('Таблиця 1'!$K:$K,'Таблиця 1'!$B:$B,$A273,'Таблиця 1'!$I:$I,"МіГ-29",'Таблиця 1'!$J:$J,"C-13")+SUMIFS('Таблиця 1'!$K:$K,'Таблиця 1'!$B:$B,$A273,'Таблиця 1'!$I:$I,"Су-25",'Таблиця 1'!$J:$J,"C-13")+SUMIFS('Таблиця 1'!$K:$K,'Таблиця 1'!$B:$B,$A273,'Таблиця 1'!$I:$I,"Су-27",'Таблиця 1'!$J:$J,"C-13"))</f>
        <v/>
      </c>
      <c r="P273">
        <f>IF($A273="","",SUMIFS('Таблиця 1'!$K:$K,'Таблиця 1'!$B:$B,$A273,'Таблиця 1'!$I:$I,"Mirage",'Таблиця 1'!$J:$J,"MK-32")+SUMIFS('Таблиця 1'!$K:$K,'Таблиця 1'!$B:$B,$A273,'Таблиця 1'!$I:$I,"F-16",'Таблиця 1'!$J:$J,"MK-32")+SUMIFS('Таблиця 1'!$K:$K,'Таблиця 1'!$B:$B,$A273,'Таблиця 1'!$I:$I,"МіГ-29",'Таблиця 1'!$J:$J,"MK-32")+SUMIFS('Таблиця 1'!$K:$K,'Таблиця 1'!$B:$B,$A273,'Таблиця 1'!$I:$I,"Су-25",'Таблиця 1'!$J:$J,"MK-32")+SUMIFS('Таблиця 1'!$K:$K,'Таблиця 1'!$B:$B,$A273,'Таблиця 1'!$I:$I,"Су-27",'Таблиця 1'!$J:$J,"MK-32"))</f>
        <v/>
      </c>
      <c r="Q273">
        <f>IF($A273="","",SUMIFS('Таблиця 1'!$K:$K,'Таблиця 1'!$B:$B,$A273,'Таблиця 1'!$I:$I,"Mirage",'Таблиця 1'!$J:$J,"MK-24")+SUMIFS('Таблиця 1'!$K:$K,'Таблиця 1'!$B:$B,$A273,'Таблиця 1'!$I:$I,"F-16",'Таблиця 1'!$J:$J,"MK-24")+SUMIFS('Таблиця 1'!$K:$K,'Таблиця 1'!$B:$B,$A273,'Таблиця 1'!$I:$I,"МіГ-29",'Таблиця 1'!$J:$J,"MK-24")+SUMIFS('Таблиця 1'!$K:$K,'Таблиця 1'!$B:$B,$A273,'Таблиця 1'!$I:$I,"Су-25",'Таблиця 1'!$J:$J,"MK-24")+SUMIFS('Таблиця 1'!$K:$K,'Таблиця 1'!$B:$B,$A273,'Таблиця 1'!$I:$I,"Су-27",'Таблиця 1'!$J:$J,"MK-24"))</f>
        <v/>
      </c>
      <c r="R273">
        <f>IF($A273="","",COUNTIFS('Таблиця 1'!$B:$B,$A273,'Таблиця 1'!$I:$I,"Mirage",'Таблиця 1'!$L:$L,"Уражено")+COUNTIFS('Таблиця 1'!$B:$B,$A273,'Таблиця 1'!$I:$I,"F-16",'Таблиця 1'!$L:$L,"Уражено")+COUNTIFS('Таблиця 1'!$B:$B,$A273,'Таблиця 1'!$I:$I,"МіГ-29",'Таблиця 1'!$L:$L,"Уражено")+COUNTIFS('Таблиця 1'!$B:$B,$A273,'Таблиця 1'!$I:$I,"Су-25",'Таблиця 1'!$L:$L,"Уражено")+COUNTIFS('Таблиця 1'!$B:$B,$A273,'Таблиця 1'!$I:$I,"Су-27",'Таблиця 1'!$L:$L,"Уражено"))</f>
        <v/>
      </c>
      <c r="S273">
        <f>IF($A273="","",COUNTIFS('Таблиця 1'!$B:$B,$A273,'Таблиця 1'!$I:$I,"Mirage",'Таблиця 1'!$L:$L,"НЕ уражено")+COUNTIFS('Таблиця 1'!$B:$B,$A273,'Таблиця 1'!$I:$I,"F-16",'Таблиця 1'!$L:$L,"НЕ уражено")+COUNTIFS('Таблиця 1'!$B:$B,$A273,'Таблиця 1'!$I:$I,"МіГ-29",'Таблиця 1'!$L:$L,"НЕ уражено")+COUNTIFS('Таблиця 1'!$B:$B,$A273,'Таблиця 1'!$I:$I,"Су-25",'Таблиця 1'!$L:$L,"НЕ уражено")+COUNTIFS('Таблиця 1'!$B:$B,$A273,'Таблиця 1'!$I:$I,"Су-27",'Таблиця 1'!$L:$L,"НЕ уражено"))</f>
        <v/>
      </c>
      <c r="T273">
        <f>IF($A273="","",COUNTIFS('Таблиця 1'!$B:$B,$A273,'Таблиця 1'!$I:$I,"Mirage",'Таблиця 1'!$L:$L,"Дорозвідується")+COUNTIFS('Таблиця 1'!$B:$B,$A273,'Таблиця 1'!$I:$I,"F-16",'Таблиця 1'!$L:$L,"Дорозвідується")+COUNTIFS('Таблиця 1'!$B:$B,$A273,'Таблиця 1'!$I:$I,"МіГ-29",'Таблиця 1'!$L:$L,"Дорозвідується")+COUNTIFS('Таблиця 1'!$B:$B,$A273,'Таблиця 1'!$I:$I,"Су-25",'Таблиця 1'!$L:$L,"Дорозвідується")+COUNTIFS('Таблиця 1'!$B:$B,$A273,'Таблиця 1'!$I:$I,"Су-27",'Таблиця 1'!$L:$L,"Дорозвідується"))</f>
        <v/>
      </c>
    </row>
    <row r="274">
      <c r="A274" s="273">
        <f>IF(A273="","",IF(A273+1&gt;MAX('Таблиця 1'!$B:$B),"",A273+1))</f>
        <v/>
      </c>
      <c r="B274">
        <f>IF($A274="","",COUNTIFS('Таблиця 1'!$B:$B,$A274,'Таблиця 1'!$I:$I,"Mirage")+COUNTIFS('Таблиця 1'!$B:$B,$A274,'Таблиця 1'!$I:$I,"F-16")+COUNTIFS('Таблиця 1'!$B:$B,$A274,'Таблиця 1'!$I:$I,"МіГ-29")+COUNTIFS('Таблиця 1'!$B:$B,$A274,'Таблиця 1'!$I:$I,"Су-25")+COUNTIFS('Таблиця 1'!$B:$B,$A274,'Таблиця 1'!$I:$I,"Су-27"))</f>
        <v/>
      </c>
      <c r="C274">
        <f>IF($A274="","",COUNTIFS('Таблиця 1'!$B:$B,$A274,'Таблиця 1'!$I:$I,"Mirage"))</f>
        <v/>
      </c>
      <c r="D274">
        <f>IF($A274="","",COUNTIFS('Таблиця 1'!$B:$B,$A274,'Таблиця 1'!$I:$I,"F-16"))</f>
        <v/>
      </c>
      <c r="E274">
        <f>IF($A274="","",COUNTIFS('Таблиця 1'!$B:$B,$A274,'Таблиця 1'!$I:$I,"МіГ-29"))</f>
        <v/>
      </c>
      <c r="F274">
        <f>IF($A274="","",COUNTIFS('Таблиця 1'!$B:$B,$A274,'Таблиця 1'!$I:$I,"Су-25"))</f>
        <v/>
      </c>
      <c r="G274">
        <f>IF($A274="","",COUNTIFS('Таблиця 1'!$B:$B,$A274,'Таблиця 1'!$I:$I,"Су-27"))</f>
        <v/>
      </c>
      <c r="H274">
        <f>IF($A274="","",SUMIFS('Таблиця 1'!$K:$K,'Таблиця 1'!$B:$B,$A274,'Таблиця 1'!$I:$I,"Mirage",'Таблиця 1'!$J:$J,"AGM-88")+SUMIFS('Таблиця 1'!$K:$K,'Таблиця 1'!$B:$B,$A274,'Таблиця 1'!$I:$I,"F-16",'Таблиця 1'!$J:$J,"AGM-88")+SUMIFS('Таблиця 1'!$K:$K,'Таблиця 1'!$B:$B,$A274,'Таблиця 1'!$I:$I,"МіГ-29",'Таблиця 1'!$J:$J,"AGM-88")+SUMIFS('Таблиця 1'!$K:$K,'Таблиця 1'!$B:$B,$A274,'Таблиця 1'!$I:$I,"Су-25",'Таблиця 1'!$J:$J,"AGM-88")+SUMIFS('Таблиця 1'!$K:$K,'Таблиця 1'!$B:$B,$A274,'Таблиця 1'!$I:$I,"Су-27",'Таблиця 1'!$J:$J,"AGM-88"))</f>
        <v/>
      </c>
      <c r="I274">
        <f>IF($A274="","",SUMIFS('Таблиця 1'!$K:$K,'Таблиця 1'!$B:$B,$A274,'Таблиця 1'!$I:$I,"Mirage",'Таблиця 1'!$J:$J,"AASM-250")+SUMIFS('Таблиця 1'!$K:$K,'Таблиця 1'!$B:$B,$A274,'Таблиця 1'!$I:$I,"F-16",'Таблиця 1'!$J:$J,"AASM-250")+SUMIFS('Таблиця 1'!$K:$K,'Таблиця 1'!$B:$B,$A274,'Таблиця 1'!$I:$I,"МіГ-29",'Таблиця 1'!$J:$J,"AASM-250")+SUMIFS('Таблиця 1'!$K:$K,'Таблиця 1'!$B:$B,$A274,'Таблиця 1'!$I:$I,"Су-25",'Таблиця 1'!$J:$J,"AASM-250")+SUMIFS('Таблиця 1'!$K:$K,'Таблиця 1'!$B:$B,$A274,'Таблиця 1'!$I:$I,"Су-27",'Таблиця 1'!$J:$J,"AASM-250"))</f>
        <v/>
      </c>
      <c r="J274">
        <f>IF($A274="","",SUMIFS('Таблиця 1'!$K:$K,'Таблиця 1'!$B:$B,$A274,'Таблиця 1'!$I:$I,"Mirage",'Таблиця 1'!$J:$J,"GBU-39")+SUMIFS('Таблиця 1'!$K:$K,'Таблиця 1'!$B:$B,$A274,'Таблиця 1'!$I:$I,"F-16",'Таблиця 1'!$J:$J,"GBU-39")+SUMIFS('Таблиця 1'!$K:$K,'Таблиця 1'!$B:$B,$A274,'Таблиця 1'!$I:$I,"МіГ-29",'Таблиця 1'!$J:$J,"GBU-39")+SUMIFS('Таблиця 1'!$K:$K,'Таблиця 1'!$B:$B,$A274,'Таблиця 1'!$I:$I,"Су-25",'Таблиця 1'!$J:$J,"GBU-39")+SUMIFS('Таблиця 1'!$K:$K,'Таблиця 1'!$B:$B,$A274,'Таблиця 1'!$I:$I,"Су-27",'Таблиця 1'!$J:$J,"GBU-39"))</f>
        <v/>
      </c>
      <c r="K274">
        <f>IF($A274="","",SUMIFS('Таблиця 1'!$K:$K,'Таблиця 1'!$B:$B,$A274,'Таблиця 1'!$I:$I,"Mirage",'Таблиця 1'!$J:$J,"BLU-140")+SUMIFS('Таблиця 1'!$K:$K,'Таблиця 1'!$B:$B,$A274,'Таблиця 1'!$I:$I,"F-16",'Таблиця 1'!$J:$J,"BLU-140")+SUMIFS('Таблиця 1'!$K:$K,'Таблиця 1'!$B:$B,$A274,'Таблиця 1'!$I:$I,"МіГ-29",'Таблиця 1'!$J:$J,"BLU-140")+SUMIFS('Таблиця 1'!$K:$K,'Таблиця 1'!$B:$B,$A274,'Таблиця 1'!$I:$I,"Су-25",'Таблиця 1'!$J:$J,"BLU-140")+SUMIFS('Таблиця 1'!$K:$K,'Таблиця 1'!$B:$B,$A274,'Таблиця 1'!$I:$I,"Су-27",'Таблиця 1'!$J:$J,"BLU-140"))</f>
        <v/>
      </c>
      <c r="L274">
        <f>IF($A274="","",SUMIFS('Таблиця 1'!$K:$K,'Таблиця 1'!$B:$B,$A274,'Таблиця 1'!$I:$I,"Mirage",'Таблиця 1'!$J:$J,"GBU-65")+SUMIFS('Таблиця 1'!$K:$K,'Таблиця 1'!$B:$B,$A274,'Таблиця 1'!$I:$I,"F-16",'Таблиця 1'!$J:$J,"GBU-65")+SUMIFS('Таблиця 1'!$K:$K,'Таблиця 1'!$B:$B,$A274,'Таблиця 1'!$I:$I,"МіГ-29",'Таблиця 1'!$J:$J,"GBU-65")+SUMIFS('Таблиця 1'!$K:$K,'Таблиця 1'!$B:$B,$A274,'Таблиця 1'!$I:$I,"Су-25",'Таблиця 1'!$J:$J,"GBU-65")+SUMIFS('Таблиця 1'!$K:$K,'Таблиця 1'!$B:$B,$A274,'Таблиця 1'!$I:$I,"Су-27",'Таблиця 1'!$J:$J,"GBU-65"))</f>
        <v/>
      </c>
      <c r="M274">
        <f>IF($A274="","",SUMIFS('Таблиця 1'!$K:$K,'Таблиця 1'!$B:$B,$A274,'Таблиця 1'!$I:$I,"Mirage",'Таблиця 1'!$J:$J,"GBU-62")+SUMIFS('Таблиця 1'!$K:$K,'Таблиця 1'!$B:$B,$A274,'Таблиця 1'!$I:$I,"F-16",'Таблиця 1'!$J:$J,"GBU-62")+SUMIFS('Таблиця 1'!$K:$K,'Таблиця 1'!$B:$B,$A274,'Таблиця 1'!$I:$I,"МіГ-29",'Таблиця 1'!$J:$J,"GBU-62")+SUMIFS('Таблиця 1'!$K:$K,'Таблиця 1'!$B:$B,$A274,'Таблиця 1'!$I:$I,"Су-25",'Таблиця 1'!$J:$J,"GBU-62")+SUMIFS('Таблиця 1'!$K:$K,'Таблиця 1'!$B:$B,$A274,'Таблиця 1'!$I:$I,"Су-27",'Таблиця 1'!$J:$J,"GBU-62"))</f>
        <v/>
      </c>
      <c r="N274">
        <f>IF($A274="","",SUMIFS('Таблиця 1'!$K:$K,'Таблиця 1'!$B:$B,$A274,'Таблиця 1'!$I:$I,"Mirage",'Таблиця 1'!$J:$J,"GBU-64")+SUMIFS('Таблиця 1'!$K:$K,'Таблиця 1'!$B:$B,$A274,'Таблиця 1'!$I:$I,"F-16",'Таблиця 1'!$J:$J,"GBU-64")+SUMIFS('Таблиця 1'!$K:$K,'Таблиця 1'!$B:$B,$A274,'Таблиця 1'!$I:$I,"МіГ-29",'Таблиця 1'!$J:$J,"GBU-64")+SUMIFS('Таблиця 1'!$K:$K,'Таблиця 1'!$B:$B,$A274,'Таблиця 1'!$I:$I,"Су-25",'Таблиця 1'!$J:$J,"GBU-64")+SUMIFS('Таблиця 1'!$K:$K,'Таблиця 1'!$B:$B,$A274,'Таблиця 1'!$I:$I,"Су-27",'Таблиця 1'!$J:$J,"GBU-64"))</f>
        <v/>
      </c>
      <c r="O274">
        <f>IF($A274="","",SUMIFS('Таблиця 1'!$K:$K,'Таблиця 1'!$B:$B,$A274,'Таблиця 1'!$I:$I,"Mirage",'Таблиця 1'!$J:$J,"C-13")+SUMIFS('Таблиця 1'!$K:$K,'Таблиця 1'!$B:$B,$A274,'Таблиця 1'!$I:$I,"F-16",'Таблиця 1'!$J:$J,"C-13")+SUMIFS('Таблиця 1'!$K:$K,'Таблиця 1'!$B:$B,$A274,'Таблиця 1'!$I:$I,"МіГ-29",'Таблиця 1'!$J:$J,"C-13")+SUMIFS('Таблиця 1'!$K:$K,'Таблиця 1'!$B:$B,$A274,'Таблиця 1'!$I:$I,"Су-25",'Таблиця 1'!$J:$J,"C-13")+SUMIFS('Таблиця 1'!$K:$K,'Таблиця 1'!$B:$B,$A274,'Таблиця 1'!$I:$I,"Су-27",'Таблиця 1'!$J:$J,"C-13"))</f>
        <v/>
      </c>
      <c r="P274">
        <f>IF($A274="","",SUMIFS('Таблиця 1'!$K:$K,'Таблиця 1'!$B:$B,$A274,'Таблиця 1'!$I:$I,"Mirage",'Таблиця 1'!$J:$J,"MK-32")+SUMIFS('Таблиця 1'!$K:$K,'Таблиця 1'!$B:$B,$A274,'Таблиця 1'!$I:$I,"F-16",'Таблиця 1'!$J:$J,"MK-32")+SUMIFS('Таблиця 1'!$K:$K,'Таблиця 1'!$B:$B,$A274,'Таблиця 1'!$I:$I,"МіГ-29",'Таблиця 1'!$J:$J,"MK-32")+SUMIFS('Таблиця 1'!$K:$K,'Таблиця 1'!$B:$B,$A274,'Таблиця 1'!$I:$I,"Су-25",'Таблиця 1'!$J:$J,"MK-32")+SUMIFS('Таблиця 1'!$K:$K,'Таблиця 1'!$B:$B,$A274,'Таблиця 1'!$I:$I,"Су-27",'Таблиця 1'!$J:$J,"MK-32"))</f>
        <v/>
      </c>
      <c r="Q274">
        <f>IF($A274="","",SUMIFS('Таблиця 1'!$K:$K,'Таблиця 1'!$B:$B,$A274,'Таблиця 1'!$I:$I,"Mirage",'Таблиця 1'!$J:$J,"MK-24")+SUMIFS('Таблиця 1'!$K:$K,'Таблиця 1'!$B:$B,$A274,'Таблиця 1'!$I:$I,"F-16",'Таблиця 1'!$J:$J,"MK-24")+SUMIFS('Таблиця 1'!$K:$K,'Таблиця 1'!$B:$B,$A274,'Таблиця 1'!$I:$I,"МіГ-29",'Таблиця 1'!$J:$J,"MK-24")+SUMIFS('Таблиця 1'!$K:$K,'Таблиця 1'!$B:$B,$A274,'Таблиця 1'!$I:$I,"Су-25",'Таблиця 1'!$J:$J,"MK-24")+SUMIFS('Таблиця 1'!$K:$K,'Таблиця 1'!$B:$B,$A274,'Таблиця 1'!$I:$I,"Су-27",'Таблиця 1'!$J:$J,"MK-24"))</f>
        <v/>
      </c>
      <c r="R274">
        <f>IF($A274="","",COUNTIFS('Таблиця 1'!$B:$B,$A274,'Таблиця 1'!$I:$I,"Mirage",'Таблиця 1'!$L:$L,"Уражено")+COUNTIFS('Таблиця 1'!$B:$B,$A274,'Таблиця 1'!$I:$I,"F-16",'Таблиця 1'!$L:$L,"Уражено")+COUNTIFS('Таблиця 1'!$B:$B,$A274,'Таблиця 1'!$I:$I,"МіГ-29",'Таблиця 1'!$L:$L,"Уражено")+COUNTIFS('Таблиця 1'!$B:$B,$A274,'Таблиця 1'!$I:$I,"Су-25",'Таблиця 1'!$L:$L,"Уражено")+COUNTIFS('Таблиця 1'!$B:$B,$A274,'Таблиця 1'!$I:$I,"Су-27",'Таблиця 1'!$L:$L,"Уражено"))</f>
        <v/>
      </c>
      <c r="S274">
        <f>IF($A274="","",COUNTIFS('Таблиця 1'!$B:$B,$A274,'Таблиця 1'!$I:$I,"Mirage",'Таблиця 1'!$L:$L,"НЕ уражено")+COUNTIFS('Таблиця 1'!$B:$B,$A274,'Таблиця 1'!$I:$I,"F-16",'Таблиця 1'!$L:$L,"НЕ уражено")+COUNTIFS('Таблиця 1'!$B:$B,$A274,'Таблиця 1'!$I:$I,"МіГ-29",'Таблиця 1'!$L:$L,"НЕ уражено")+COUNTIFS('Таблиця 1'!$B:$B,$A274,'Таблиця 1'!$I:$I,"Су-25",'Таблиця 1'!$L:$L,"НЕ уражено")+COUNTIFS('Таблиця 1'!$B:$B,$A274,'Таблиця 1'!$I:$I,"Су-27",'Таблиця 1'!$L:$L,"НЕ уражено"))</f>
        <v/>
      </c>
      <c r="T274">
        <f>IF($A274="","",COUNTIFS('Таблиця 1'!$B:$B,$A274,'Таблиця 1'!$I:$I,"Mirage",'Таблиця 1'!$L:$L,"Дорозвідується")+COUNTIFS('Таблиця 1'!$B:$B,$A274,'Таблиця 1'!$I:$I,"F-16",'Таблиця 1'!$L:$L,"Дорозвідується")+COUNTIFS('Таблиця 1'!$B:$B,$A274,'Таблиця 1'!$I:$I,"МіГ-29",'Таблиця 1'!$L:$L,"Дорозвідується")+COUNTIFS('Таблиця 1'!$B:$B,$A274,'Таблиця 1'!$I:$I,"Су-25",'Таблиця 1'!$L:$L,"Дорозвідується")+COUNTIFS('Таблиця 1'!$B:$B,$A274,'Таблиця 1'!$I:$I,"Су-27",'Таблиця 1'!$L:$L,"Дорозвідується"))</f>
        <v/>
      </c>
    </row>
    <row r="275">
      <c r="A275" s="273">
        <f>IF(A274="","",IF(A274+1&gt;MAX('Таблиця 1'!$B:$B),"",A274+1))</f>
        <v/>
      </c>
      <c r="B275">
        <f>IF($A275="","",COUNTIFS('Таблиця 1'!$B:$B,$A275,'Таблиця 1'!$I:$I,"Mirage")+COUNTIFS('Таблиця 1'!$B:$B,$A275,'Таблиця 1'!$I:$I,"F-16")+COUNTIFS('Таблиця 1'!$B:$B,$A275,'Таблиця 1'!$I:$I,"МіГ-29")+COUNTIFS('Таблиця 1'!$B:$B,$A275,'Таблиця 1'!$I:$I,"Су-25")+COUNTIFS('Таблиця 1'!$B:$B,$A275,'Таблиця 1'!$I:$I,"Су-27"))</f>
        <v/>
      </c>
      <c r="C275">
        <f>IF($A275="","",COUNTIFS('Таблиця 1'!$B:$B,$A275,'Таблиця 1'!$I:$I,"Mirage"))</f>
        <v/>
      </c>
      <c r="D275">
        <f>IF($A275="","",COUNTIFS('Таблиця 1'!$B:$B,$A275,'Таблиця 1'!$I:$I,"F-16"))</f>
        <v/>
      </c>
      <c r="E275">
        <f>IF($A275="","",COUNTIFS('Таблиця 1'!$B:$B,$A275,'Таблиця 1'!$I:$I,"МіГ-29"))</f>
        <v/>
      </c>
      <c r="F275">
        <f>IF($A275="","",COUNTIFS('Таблиця 1'!$B:$B,$A275,'Таблиця 1'!$I:$I,"Су-25"))</f>
        <v/>
      </c>
      <c r="G275">
        <f>IF($A275="","",COUNTIFS('Таблиця 1'!$B:$B,$A275,'Таблиця 1'!$I:$I,"Су-27"))</f>
        <v/>
      </c>
      <c r="H275">
        <f>IF($A275="","",SUMIFS('Таблиця 1'!$K:$K,'Таблиця 1'!$B:$B,$A275,'Таблиця 1'!$I:$I,"Mirage",'Таблиця 1'!$J:$J,"AGM-88")+SUMIFS('Таблиця 1'!$K:$K,'Таблиця 1'!$B:$B,$A275,'Таблиця 1'!$I:$I,"F-16",'Таблиця 1'!$J:$J,"AGM-88")+SUMIFS('Таблиця 1'!$K:$K,'Таблиця 1'!$B:$B,$A275,'Таблиця 1'!$I:$I,"МіГ-29",'Таблиця 1'!$J:$J,"AGM-88")+SUMIFS('Таблиця 1'!$K:$K,'Таблиця 1'!$B:$B,$A275,'Таблиця 1'!$I:$I,"Су-25",'Таблиця 1'!$J:$J,"AGM-88")+SUMIFS('Таблиця 1'!$K:$K,'Таблиця 1'!$B:$B,$A275,'Таблиця 1'!$I:$I,"Су-27",'Таблиця 1'!$J:$J,"AGM-88"))</f>
        <v/>
      </c>
      <c r="I275">
        <f>IF($A275="","",SUMIFS('Таблиця 1'!$K:$K,'Таблиця 1'!$B:$B,$A275,'Таблиця 1'!$I:$I,"Mirage",'Таблиця 1'!$J:$J,"AASM-250")+SUMIFS('Таблиця 1'!$K:$K,'Таблиця 1'!$B:$B,$A275,'Таблиця 1'!$I:$I,"F-16",'Таблиця 1'!$J:$J,"AASM-250")+SUMIFS('Таблиця 1'!$K:$K,'Таблиця 1'!$B:$B,$A275,'Таблиця 1'!$I:$I,"МіГ-29",'Таблиця 1'!$J:$J,"AASM-250")+SUMIFS('Таблиця 1'!$K:$K,'Таблиця 1'!$B:$B,$A275,'Таблиця 1'!$I:$I,"Су-25",'Таблиця 1'!$J:$J,"AASM-250")+SUMIFS('Таблиця 1'!$K:$K,'Таблиця 1'!$B:$B,$A275,'Таблиця 1'!$I:$I,"Су-27",'Таблиця 1'!$J:$J,"AASM-250"))</f>
        <v/>
      </c>
      <c r="J275">
        <f>IF($A275="","",SUMIFS('Таблиця 1'!$K:$K,'Таблиця 1'!$B:$B,$A275,'Таблиця 1'!$I:$I,"Mirage",'Таблиця 1'!$J:$J,"GBU-39")+SUMIFS('Таблиця 1'!$K:$K,'Таблиця 1'!$B:$B,$A275,'Таблиця 1'!$I:$I,"F-16",'Таблиця 1'!$J:$J,"GBU-39")+SUMIFS('Таблиця 1'!$K:$K,'Таблиця 1'!$B:$B,$A275,'Таблиця 1'!$I:$I,"МіГ-29",'Таблиця 1'!$J:$J,"GBU-39")+SUMIFS('Таблиця 1'!$K:$K,'Таблиця 1'!$B:$B,$A275,'Таблиця 1'!$I:$I,"Су-25",'Таблиця 1'!$J:$J,"GBU-39")+SUMIFS('Таблиця 1'!$K:$K,'Таблиця 1'!$B:$B,$A275,'Таблиця 1'!$I:$I,"Су-27",'Таблиця 1'!$J:$J,"GBU-39"))</f>
        <v/>
      </c>
      <c r="K275">
        <f>IF($A275="","",SUMIFS('Таблиця 1'!$K:$K,'Таблиця 1'!$B:$B,$A275,'Таблиця 1'!$I:$I,"Mirage",'Таблиця 1'!$J:$J,"BLU-140")+SUMIFS('Таблиця 1'!$K:$K,'Таблиця 1'!$B:$B,$A275,'Таблиця 1'!$I:$I,"F-16",'Таблиця 1'!$J:$J,"BLU-140")+SUMIFS('Таблиця 1'!$K:$K,'Таблиця 1'!$B:$B,$A275,'Таблиця 1'!$I:$I,"МіГ-29",'Таблиця 1'!$J:$J,"BLU-140")+SUMIFS('Таблиця 1'!$K:$K,'Таблиця 1'!$B:$B,$A275,'Таблиця 1'!$I:$I,"Су-25",'Таблиця 1'!$J:$J,"BLU-140")+SUMIFS('Таблиця 1'!$K:$K,'Таблиця 1'!$B:$B,$A275,'Таблиця 1'!$I:$I,"Су-27",'Таблиця 1'!$J:$J,"BLU-140"))</f>
        <v/>
      </c>
      <c r="L275">
        <f>IF($A275="","",SUMIFS('Таблиця 1'!$K:$K,'Таблиця 1'!$B:$B,$A275,'Таблиця 1'!$I:$I,"Mirage",'Таблиця 1'!$J:$J,"GBU-65")+SUMIFS('Таблиця 1'!$K:$K,'Таблиця 1'!$B:$B,$A275,'Таблиця 1'!$I:$I,"F-16",'Таблиця 1'!$J:$J,"GBU-65")+SUMIFS('Таблиця 1'!$K:$K,'Таблиця 1'!$B:$B,$A275,'Таблиця 1'!$I:$I,"МіГ-29",'Таблиця 1'!$J:$J,"GBU-65")+SUMIFS('Таблиця 1'!$K:$K,'Таблиця 1'!$B:$B,$A275,'Таблиця 1'!$I:$I,"Су-25",'Таблиця 1'!$J:$J,"GBU-65")+SUMIFS('Таблиця 1'!$K:$K,'Таблиця 1'!$B:$B,$A275,'Таблиця 1'!$I:$I,"Су-27",'Таблиця 1'!$J:$J,"GBU-65"))</f>
        <v/>
      </c>
      <c r="M275">
        <f>IF($A275="","",SUMIFS('Таблиця 1'!$K:$K,'Таблиця 1'!$B:$B,$A275,'Таблиця 1'!$I:$I,"Mirage",'Таблиця 1'!$J:$J,"GBU-62")+SUMIFS('Таблиця 1'!$K:$K,'Таблиця 1'!$B:$B,$A275,'Таблиця 1'!$I:$I,"F-16",'Таблиця 1'!$J:$J,"GBU-62")+SUMIFS('Таблиця 1'!$K:$K,'Таблиця 1'!$B:$B,$A275,'Таблиця 1'!$I:$I,"МіГ-29",'Таблиця 1'!$J:$J,"GBU-62")+SUMIFS('Таблиця 1'!$K:$K,'Таблиця 1'!$B:$B,$A275,'Таблиця 1'!$I:$I,"Су-25",'Таблиця 1'!$J:$J,"GBU-62")+SUMIFS('Таблиця 1'!$K:$K,'Таблиця 1'!$B:$B,$A275,'Таблиця 1'!$I:$I,"Су-27",'Таблиця 1'!$J:$J,"GBU-62"))</f>
        <v/>
      </c>
      <c r="N275">
        <f>IF($A275="","",SUMIFS('Таблиця 1'!$K:$K,'Таблиця 1'!$B:$B,$A275,'Таблиця 1'!$I:$I,"Mirage",'Таблиця 1'!$J:$J,"GBU-64")+SUMIFS('Таблиця 1'!$K:$K,'Таблиця 1'!$B:$B,$A275,'Таблиця 1'!$I:$I,"F-16",'Таблиця 1'!$J:$J,"GBU-64")+SUMIFS('Таблиця 1'!$K:$K,'Таблиця 1'!$B:$B,$A275,'Таблиця 1'!$I:$I,"МіГ-29",'Таблиця 1'!$J:$J,"GBU-64")+SUMIFS('Таблиця 1'!$K:$K,'Таблиця 1'!$B:$B,$A275,'Таблиця 1'!$I:$I,"Су-25",'Таблиця 1'!$J:$J,"GBU-64")+SUMIFS('Таблиця 1'!$K:$K,'Таблиця 1'!$B:$B,$A275,'Таблиця 1'!$I:$I,"Су-27",'Таблиця 1'!$J:$J,"GBU-64"))</f>
        <v/>
      </c>
      <c r="O275">
        <f>IF($A275="","",SUMIFS('Таблиця 1'!$K:$K,'Таблиця 1'!$B:$B,$A275,'Таблиця 1'!$I:$I,"Mirage",'Таблиця 1'!$J:$J,"C-13")+SUMIFS('Таблиця 1'!$K:$K,'Таблиця 1'!$B:$B,$A275,'Таблиця 1'!$I:$I,"F-16",'Таблиця 1'!$J:$J,"C-13")+SUMIFS('Таблиця 1'!$K:$K,'Таблиця 1'!$B:$B,$A275,'Таблиця 1'!$I:$I,"МіГ-29",'Таблиця 1'!$J:$J,"C-13")+SUMIFS('Таблиця 1'!$K:$K,'Таблиця 1'!$B:$B,$A275,'Таблиця 1'!$I:$I,"Су-25",'Таблиця 1'!$J:$J,"C-13")+SUMIFS('Таблиця 1'!$K:$K,'Таблиця 1'!$B:$B,$A275,'Таблиця 1'!$I:$I,"Су-27",'Таблиця 1'!$J:$J,"C-13"))</f>
        <v/>
      </c>
      <c r="P275">
        <f>IF($A275="","",SUMIFS('Таблиця 1'!$K:$K,'Таблиця 1'!$B:$B,$A275,'Таблиця 1'!$I:$I,"Mirage",'Таблиця 1'!$J:$J,"MK-32")+SUMIFS('Таблиця 1'!$K:$K,'Таблиця 1'!$B:$B,$A275,'Таблиця 1'!$I:$I,"F-16",'Таблиця 1'!$J:$J,"MK-32")+SUMIFS('Таблиця 1'!$K:$K,'Таблиця 1'!$B:$B,$A275,'Таблиця 1'!$I:$I,"МіГ-29",'Таблиця 1'!$J:$J,"MK-32")+SUMIFS('Таблиця 1'!$K:$K,'Таблиця 1'!$B:$B,$A275,'Таблиця 1'!$I:$I,"Су-25",'Таблиця 1'!$J:$J,"MK-32")+SUMIFS('Таблиця 1'!$K:$K,'Таблиця 1'!$B:$B,$A275,'Таблиця 1'!$I:$I,"Су-27",'Таблиця 1'!$J:$J,"MK-32"))</f>
        <v/>
      </c>
      <c r="Q275">
        <f>IF($A275="","",SUMIFS('Таблиця 1'!$K:$K,'Таблиця 1'!$B:$B,$A275,'Таблиця 1'!$I:$I,"Mirage",'Таблиця 1'!$J:$J,"MK-24")+SUMIFS('Таблиця 1'!$K:$K,'Таблиця 1'!$B:$B,$A275,'Таблиця 1'!$I:$I,"F-16",'Таблиця 1'!$J:$J,"MK-24")+SUMIFS('Таблиця 1'!$K:$K,'Таблиця 1'!$B:$B,$A275,'Таблиця 1'!$I:$I,"МіГ-29",'Таблиця 1'!$J:$J,"MK-24")+SUMIFS('Таблиця 1'!$K:$K,'Таблиця 1'!$B:$B,$A275,'Таблиця 1'!$I:$I,"Су-25",'Таблиця 1'!$J:$J,"MK-24")+SUMIFS('Таблиця 1'!$K:$K,'Таблиця 1'!$B:$B,$A275,'Таблиця 1'!$I:$I,"Су-27",'Таблиця 1'!$J:$J,"MK-24"))</f>
        <v/>
      </c>
      <c r="R275">
        <f>IF($A275="","",COUNTIFS('Таблиця 1'!$B:$B,$A275,'Таблиця 1'!$I:$I,"Mirage",'Таблиця 1'!$L:$L,"Уражено")+COUNTIFS('Таблиця 1'!$B:$B,$A275,'Таблиця 1'!$I:$I,"F-16",'Таблиця 1'!$L:$L,"Уражено")+COUNTIFS('Таблиця 1'!$B:$B,$A275,'Таблиця 1'!$I:$I,"МіГ-29",'Таблиця 1'!$L:$L,"Уражено")+COUNTIFS('Таблиця 1'!$B:$B,$A275,'Таблиця 1'!$I:$I,"Су-25",'Таблиця 1'!$L:$L,"Уражено")+COUNTIFS('Таблиця 1'!$B:$B,$A275,'Таблиця 1'!$I:$I,"Су-27",'Таблиця 1'!$L:$L,"Уражено"))</f>
        <v/>
      </c>
      <c r="S275">
        <f>IF($A275="","",COUNTIFS('Таблиця 1'!$B:$B,$A275,'Таблиця 1'!$I:$I,"Mirage",'Таблиця 1'!$L:$L,"НЕ уражено")+COUNTIFS('Таблиця 1'!$B:$B,$A275,'Таблиця 1'!$I:$I,"F-16",'Таблиця 1'!$L:$L,"НЕ уражено")+COUNTIFS('Таблиця 1'!$B:$B,$A275,'Таблиця 1'!$I:$I,"МіГ-29",'Таблиця 1'!$L:$L,"НЕ уражено")+COUNTIFS('Таблиця 1'!$B:$B,$A275,'Таблиця 1'!$I:$I,"Су-25",'Таблиця 1'!$L:$L,"НЕ уражено")+COUNTIFS('Таблиця 1'!$B:$B,$A275,'Таблиця 1'!$I:$I,"Су-27",'Таблиця 1'!$L:$L,"НЕ уражено"))</f>
        <v/>
      </c>
      <c r="T275">
        <f>IF($A275="","",COUNTIFS('Таблиця 1'!$B:$B,$A275,'Таблиця 1'!$I:$I,"Mirage",'Таблиця 1'!$L:$L,"Дорозвідується")+COUNTIFS('Таблиця 1'!$B:$B,$A275,'Таблиця 1'!$I:$I,"F-16",'Таблиця 1'!$L:$L,"Дорозвідується")+COUNTIFS('Таблиця 1'!$B:$B,$A275,'Таблиця 1'!$I:$I,"МіГ-29",'Таблиця 1'!$L:$L,"Дорозвідується")+COUNTIFS('Таблиця 1'!$B:$B,$A275,'Таблиця 1'!$I:$I,"Су-25",'Таблиця 1'!$L:$L,"Дорозвідується")+COUNTIFS('Таблиця 1'!$B:$B,$A275,'Таблиця 1'!$I:$I,"Су-27",'Таблиця 1'!$L:$L,"Дорозвідується"))</f>
        <v/>
      </c>
    </row>
    <row r="276">
      <c r="A276" s="273">
        <f>IF(A275="","",IF(A275+1&gt;MAX('Таблиця 1'!$B:$B),"",A275+1))</f>
        <v/>
      </c>
      <c r="B276">
        <f>IF($A276="","",COUNTIFS('Таблиця 1'!$B:$B,$A276,'Таблиця 1'!$I:$I,"Mirage")+COUNTIFS('Таблиця 1'!$B:$B,$A276,'Таблиця 1'!$I:$I,"F-16")+COUNTIFS('Таблиця 1'!$B:$B,$A276,'Таблиця 1'!$I:$I,"МіГ-29")+COUNTIFS('Таблиця 1'!$B:$B,$A276,'Таблиця 1'!$I:$I,"Су-25")+COUNTIFS('Таблиця 1'!$B:$B,$A276,'Таблиця 1'!$I:$I,"Су-27"))</f>
        <v/>
      </c>
      <c r="C276">
        <f>IF($A276="","",COUNTIFS('Таблиця 1'!$B:$B,$A276,'Таблиця 1'!$I:$I,"Mirage"))</f>
        <v/>
      </c>
      <c r="D276">
        <f>IF($A276="","",COUNTIFS('Таблиця 1'!$B:$B,$A276,'Таблиця 1'!$I:$I,"F-16"))</f>
        <v/>
      </c>
      <c r="E276">
        <f>IF($A276="","",COUNTIFS('Таблиця 1'!$B:$B,$A276,'Таблиця 1'!$I:$I,"МіГ-29"))</f>
        <v/>
      </c>
      <c r="F276">
        <f>IF($A276="","",COUNTIFS('Таблиця 1'!$B:$B,$A276,'Таблиця 1'!$I:$I,"Су-25"))</f>
        <v/>
      </c>
      <c r="G276">
        <f>IF($A276="","",COUNTIFS('Таблиця 1'!$B:$B,$A276,'Таблиця 1'!$I:$I,"Су-27"))</f>
        <v/>
      </c>
      <c r="H276">
        <f>IF($A276="","",SUMIFS('Таблиця 1'!$K:$K,'Таблиця 1'!$B:$B,$A276,'Таблиця 1'!$I:$I,"Mirage",'Таблиця 1'!$J:$J,"AGM-88")+SUMIFS('Таблиця 1'!$K:$K,'Таблиця 1'!$B:$B,$A276,'Таблиця 1'!$I:$I,"F-16",'Таблиця 1'!$J:$J,"AGM-88")+SUMIFS('Таблиця 1'!$K:$K,'Таблиця 1'!$B:$B,$A276,'Таблиця 1'!$I:$I,"МіГ-29",'Таблиця 1'!$J:$J,"AGM-88")+SUMIFS('Таблиця 1'!$K:$K,'Таблиця 1'!$B:$B,$A276,'Таблиця 1'!$I:$I,"Су-25",'Таблиця 1'!$J:$J,"AGM-88")+SUMIFS('Таблиця 1'!$K:$K,'Таблиця 1'!$B:$B,$A276,'Таблиця 1'!$I:$I,"Су-27",'Таблиця 1'!$J:$J,"AGM-88"))</f>
        <v/>
      </c>
      <c r="I276">
        <f>IF($A276="","",SUMIFS('Таблиця 1'!$K:$K,'Таблиця 1'!$B:$B,$A276,'Таблиця 1'!$I:$I,"Mirage",'Таблиця 1'!$J:$J,"AASM-250")+SUMIFS('Таблиця 1'!$K:$K,'Таблиця 1'!$B:$B,$A276,'Таблиця 1'!$I:$I,"F-16",'Таблиця 1'!$J:$J,"AASM-250")+SUMIFS('Таблиця 1'!$K:$K,'Таблиця 1'!$B:$B,$A276,'Таблиця 1'!$I:$I,"МіГ-29",'Таблиця 1'!$J:$J,"AASM-250")+SUMIFS('Таблиця 1'!$K:$K,'Таблиця 1'!$B:$B,$A276,'Таблиця 1'!$I:$I,"Су-25",'Таблиця 1'!$J:$J,"AASM-250")+SUMIFS('Таблиця 1'!$K:$K,'Таблиця 1'!$B:$B,$A276,'Таблиця 1'!$I:$I,"Су-27",'Таблиця 1'!$J:$J,"AASM-250"))</f>
        <v/>
      </c>
      <c r="J276">
        <f>IF($A276="","",SUMIFS('Таблиця 1'!$K:$K,'Таблиця 1'!$B:$B,$A276,'Таблиця 1'!$I:$I,"Mirage",'Таблиця 1'!$J:$J,"GBU-39")+SUMIFS('Таблиця 1'!$K:$K,'Таблиця 1'!$B:$B,$A276,'Таблиця 1'!$I:$I,"F-16",'Таблиця 1'!$J:$J,"GBU-39")+SUMIFS('Таблиця 1'!$K:$K,'Таблиця 1'!$B:$B,$A276,'Таблиця 1'!$I:$I,"МіГ-29",'Таблиця 1'!$J:$J,"GBU-39")+SUMIFS('Таблиця 1'!$K:$K,'Таблиця 1'!$B:$B,$A276,'Таблиця 1'!$I:$I,"Су-25",'Таблиця 1'!$J:$J,"GBU-39")+SUMIFS('Таблиця 1'!$K:$K,'Таблиця 1'!$B:$B,$A276,'Таблиця 1'!$I:$I,"Су-27",'Таблиця 1'!$J:$J,"GBU-39"))</f>
        <v/>
      </c>
      <c r="K276">
        <f>IF($A276="","",SUMIFS('Таблиця 1'!$K:$K,'Таблиця 1'!$B:$B,$A276,'Таблиця 1'!$I:$I,"Mirage",'Таблиця 1'!$J:$J,"BLU-140")+SUMIFS('Таблиця 1'!$K:$K,'Таблиця 1'!$B:$B,$A276,'Таблиця 1'!$I:$I,"F-16",'Таблиця 1'!$J:$J,"BLU-140")+SUMIFS('Таблиця 1'!$K:$K,'Таблиця 1'!$B:$B,$A276,'Таблиця 1'!$I:$I,"МіГ-29",'Таблиця 1'!$J:$J,"BLU-140")+SUMIFS('Таблиця 1'!$K:$K,'Таблиця 1'!$B:$B,$A276,'Таблиця 1'!$I:$I,"Су-25",'Таблиця 1'!$J:$J,"BLU-140")+SUMIFS('Таблиця 1'!$K:$K,'Таблиця 1'!$B:$B,$A276,'Таблиця 1'!$I:$I,"Су-27",'Таблиця 1'!$J:$J,"BLU-140"))</f>
        <v/>
      </c>
      <c r="L276">
        <f>IF($A276="","",SUMIFS('Таблиця 1'!$K:$K,'Таблиця 1'!$B:$B,$A276,'Таблиця 1'!$I:$I,"Mirage",'Таблиця 1'!$J:$J,"GBU-65")+SUMIFS('Таблиця 1'!$K:$K,'Таблиця 1'!$B:$B,$A276,'Таблиця 1'!$I:$I,"F-16",'Таблиця 1'!$J:$J,"GBU-65")+SUMIFS('Таблиця 1'!$K:$K,'Таблиця 1'!$B:$B,$A276,'Таблиця 1'!$I:$I,"МіГ-29",'Таблиця 1'!$J:$J,"GBU-65")+SUMIFS('Таблиця 1'!$K:$K,'Таблиця 1'!$B:$B,$A276,'Таблиця 1'!$I:$I,"Су-25",'Таблиця 1'!$J:$J,"GBU-65")+SUMIFS('Таблиця 1'!$K:$K,'Таблиця 1'!$B:$B,$A276,'Таблиця 1'!$I:$I,"Су-27",'Таблиця 1'!$J:$J,"GBU-65"))</f>
        <v/>
      </c>
      <c r="M276">
        <f>IF($A276="","",SUMIFS('Таблиця 1'!$K:$K,'Таблиця 1'!$B:$B,$A276,'Таблиця 1'!$I:$I,"Mirage",'Таблиця 1'!$J:$J,"GBU-62")+SUMIFS('Таблиця 1'!$K:$K,'Таблиця 1'!$B:$B,$A276,'Таблиця 1'!$I:$I,"F-16",'Таблиця 1'!$J:$J,"GBU-62")+SUMIFS('Таблиця 1'!$K:$K,'Таблиця 1'!$B:$B,$A276,'Таблиця 1'!$I:$I,"МіГ-29",'Таблиця 1'!$J:$J,"GBU-62")+SUMIFS('Таблиця 1'!$K:$K,'Таблиця 1'!$B:$B,$A276,'Таблиця 1'!$I:$I,"Су-25",'Таблиця 1'!$J:$J,"GBU-62")+SUMIFS('Таблиця 1'!$K:$K,'Таблиця 1'!$B:$B,$A276,'Таблиця 1'!$I:$I,"Су-27",'Таблиця 1'!$J:$J,"GBU-62"))</f>
        <v/>
      </c>
      <c r="N276">
        <f>IF($A276="","",SUMIFS('Таблиця 1'!$K:$K,'Таблиця 1'!$B:$B,$A276,'Таблиця 1'!$I:$I,"Mirage",'Таблиця 1'!$J:$J,"GBU-64")+SUMIFS('Таблиця 1'!$K:$K,'Таблиця 1'!$B:$B,$A276,'Таблиця 1'!$I:$I,"F-16",'Таблиця 1'!$J:$J,"GBU-64")+SUMIFS('Таблиця 1'!$K:$K,'Таблиця 1'!$B:$B,$A276,'Таблиця 1'!$I:$I,"МіГ-29",'Таблиця 1'!$J:$J,"GBU-64")+SUMIFS('Таблиця 1'!$K:$K,'Таблиця 1'!$B:$B,$A276,'Таблиця 1'!$I:$I,"Су-25",'Таблиця 1'!$J:$J,"GBU-64")+SUMIFS('Таблиця 1'!$K:$K,'Таблиця 1'!$B:$B,$A276,'Таблиця 1'!$I:$I,"Су-27",'Таблиця 1'!$J:$J,"GBU-64"))</f>
        <v/>
      </c>
      <c r="O276">
        <f>IF($A276="","",SUMIFS('Таблиця 1'!$K:$K,'Таблиця 1'!$B:$B,$A276,'Таблиця 1'!$I:$I,"Mirage",'Таблиця 1'!$J:$J,"C-13")+SUMIFS('Таблиця 1'!$K:$K,'Таблиця 1'!$B:$B,$A276,'Таблиця 1'!$I:$I,"F-16",'Таблиця 1'!$J:$J,"C-13")+SUMIFS('Таблиця 1'!$K:$K,'Таблиця 1'!$B:$B,$A276,'Таблиця 1'!$I:$I,"МіГ-29",'Таблиця 1'!$J:$J,"C-13")+SUMIFS('Таблиця 1'!$K:$K,'Таблиця 1'!$B:$B,$A276,'Таблиця 1'!$I:$I,"Су-25",'Таблиця 1'!$J:$J,"C-13")+SUMIFS('Таблиця 1'!$K:$K,'Таблиця 1'!$B:$B,$A276,'Таблиця 1'!$I:$I,"Су-27",'Таблиця 1'!$J:$J,"C-13"))</f>
        <v/>
      </c>
      <c r="P276">
        <f>IF($A276="","",SUMIFS('Таблиця 1'!$K:$K,'Таблиця 1'!$B:$B,$A276,'Таблиця 1'!$I:$I,"Mirage",'Таблиця 1'!$J:$J,"MK-32")+SUMIFS('Таблиця 1'!$K:$K,'Таблиця 1'!$B:$B,$A276,'Таблиця 1'!$I:$I,"F-16",'Таблиця 1'!$J:$J,"MK-32")+SUMIFS('Таблиця 1'!$K:$K,'Таблиця 1'!$B:$B,$A276,'Таблиця 1'!$I:$I,"МіГ-29",'Таблиця 1'!$J:$J,"MK-32")+SUMIFS('Таблиця 1'!$K:$K,'Таблиця 1'!$B:$B,$A276,'Таблиця 1'!$I:$I,"Су-25",'Таблиця 1'!$J:$J,"MK-32")+SUMIFS('Таблиця 1'!$K:$K,'Таблиця 1'!$B:$B,$A276,'Таблиця 1'!$I:$I,"Су-27",'Таблиця 1'!$J:$J,"MK-32"))</f>
        <v/>
      </c>
      <c r="Q276">
        <f>IF($A276="","",SUMIFS('Таблиця 1'!$K:$K,'Таблиця 1'!$B:$B,$A276,'Таблиця 1'!$I:$I,"Mirage",'Таблиця 1'!$J:$J,"MK-24")+SUMIFS('Таблиця 1'!$K:$K,'Таблиця 1'!$B:$B,$A276,'Таблиця 1'!$I:$I,"F-16",'Таблиця 1'!$J:$J,"MK-24")+SUMIFS('Таблиця 1'!$K:$K,'Таблиця 1'!$B:$B,$A276,'Таблиця 1'!$I:$I,"МіГ-29",'Таблиця 1'!$J:$J,"MK-24")+SUMIFS('Таблиця 1'!$K:$K,'Таблиця 1'!$B:$B,$A276,'Таблиця 1'!$I:$I,"Су-25",'Таблиця 1'!$J:$J,"MK-24")+SUMIFS('Таблиця 1'!$K:$K,'Таблиця 1'!$B:$B,$A276,'Таблиця 1'!$I:$I,"Су-27",'Таблиця 1'!$J:$J,"MK-24"))</f>
        <v/>
      </c>
      <c r="R276">
        <f>IF($A276="","",COUNTIFS('Таблиця 1'!$B:$B,$A276,'Таблиця 1'!$I:$I,"Mirage",'Таблиця 1'!$L:$L,"Уражено")+COUNTIFS('Таблиця 1'!$B:$B,$A276,'Таблиця 1'!$I:$I,"F-16",'Таблиця 1'!$L:$L,"Уражено")+COUNTIFS('Таблиця 1'!$B:$B,$A276,'Таблиця 1'!$I:$I,"МіГ-29",'Таблиця 1'!$L:$L,"Уражено")+COUNTIFS('Таблиця 1'!$B:$B,$A276,'Таблиця 1'!$I:$I,"Су-25",'Таблиця 1'!$L:$L,"Уражено")+COUNTIFS('Таблиця 1'!$B:$B,$A276,'Таблиця 1'!$I:$I,"Су-27",'Таблиця 1'!$L:$L,"Уражено"))</f>
        <v/>
      </c>
      <c r="S276">
        <f>IF($A276="","",COUNTIFS('Таблиця 1'!$B:$B,$A276,'Таблиця 1'!$I:$I,"Mirage",'Таблиця 1'!$L:$L,"НЕ уражено")+COUNTIFS('Таблиця 1'!$B:$B,$A276,'Таблиця 1'!$I:$I,"F-16",'Таблиця 1'!$L:$L,"НЕ уражено")+COUNTIFS('Таблиця 1'!$B:$B,$A276,'Таблиця 1'!$I:$I,"МіГ-29",'Таблиця 1'!$L:$L,"НЕ уражено")+COUNTIFS('Таблиця 1'!$B:$B,$A276,'Таблиця 1'!$I:$I,"Су-25",'Таблиця 1'!$L:$L,"НЕ уражено")+COUNTIFS('Таблиця 1'!$B:$B,$A276,'Таблиця 1'!$I:$I,"Су-27",'Таблиця 1'!$L:$L,"НЕ уражено"))</f>
        <v/>
      </c>
      <c r="T276">
        <f>IF($A276="","",COUNTIFS('Таблиця 1'!$B:$B,$A276,'Таблиця 1'!$I:$I,"Mirage",'Таблиця 1'!$L:$L,"Дорозвідується")+COUNTIFS('Таблиця 1'!$B:$B,$A276,'Таблиця 1'!$I:$I,"F-16",'Таблиця 1'!$L:$L,"Дорозвідується")+COUNTIFS('Таблиця 1'!$B:$B,$A276,'Таблиця 1'!$I:$I,"МіГ-29",'Таблиця 1'!$L:$L,"Дорозвідується")+COUNTIFS('Таблиця 1'!$B:$B,$A276,'Таблиця 1'!$I:$I,"Су-25",'Таблиця 1'!$L:$L,"Дорозвідується")+COUNTIFS('Таблиця 1'!$B:$B,$A276,'Таблиця 1'!$I:$I,"Су-27",'Таблиця 1'!$L:$L,"Дорозвідується"))</f>
        <v/>
      </c>
    </row>
    <row r="277">
      <c r="A277" s="273">
        <f>IF(A276="","",IF(A276+1&gt;MAX('Таблиця 1'!$B:$B),"",A276+1))</f>
        <v/>
      </c>
      <c r="B277">
        <f>IF($A277="","",COUNTIFS('Таблиця 1'!$B:$B,$A277,'Таблиця 1'!$I:$I,"Mirage")+COUNTIFS('Таблиця 1'!$B:$B,$A277,'Таблиця 1'!$I:$I,"F-16")+COUNTIFS('Таблиця 1'!$B:$B,$A277,'Таблиця 1'!$I:$I,"МіГ-29")+COUNTIFS('Таблиця 1'!$B:$B,$A277,'Таблиця 1'!$I:$I,"Су-25")+COUNTIFS('Таблиця 1'!$B:$B,$A277,'Таблиця 1'!$I:$I,"Су-27"))</f>
        <v/>
      </c>
      <c r="C277">
        <f>IF($A277="","",COUNTIFS('Таблиця 1'!$B:$B,$A277,'Таблиця 1'!$I:$I,"Mirage"))</f>
        <v/>
      </c>
      <c r="D277">
        <f>IF($A277="","",COUNTIFS('Таблиця 1'!$B:$B,$A277,'Таблиця 1'!$I:$I,"F-16"))</f>
        <v/>
      </c>
      <c r="E277">
        <f>IF($A277="","",COUNTIFS('Таблиця 1'!$B:$B,$A277,'Таблиця 1'!$I:$I,"МіГ-29"))</f>
        <v/>
      </c>
      <c r="F277">
        <f>IF($A277="","",COUNTIFS('Таблиця 1'!$B:$B,$A277,'Таблиця 1'!$I:$I,"Су-25"))</f>
        <v/>
      </c>
      <c r="G277">
        <f>IF($A277="","",COUNTIFS('Таблиця 1'!$B:$B,$A277,'Таблиця 1'!$I:$I,"Су-27"))</f>
        <v/>
      </c>
      <c r="H277">
        <f>IF($A277="","",SUMIFS('Таблиця 1'!$K:$K,'Таблиця 1'!$B:$B,$A277,'Таблиця 1'!$I:$I,"Mirage",'Таблиця 1'!$J:$J,"AGM-88")+SUMIFS('Таблиця 1'!$K:$K,'Таблиця 1'!$B:$B,$A277,'Таблиця 1'!$I:$I,"F-16",'Таблиця 1'!$J:$J,"AGM-88")+SUMIFS('Таблиця 1'!$K:$K,'Таблиця 1'!$B:$B,$A277,'Таблиця 1'!$I:$I,"МіГ-29",'Таблиця 1'!$J:$J,"AGM-88")+SUMIFS('Таблиця 1'!$K:$K,'Таблиця 1'!$B:$B,$A277,'Таблиця 1'!$I:$I,"Су-25",'Таблиця 1'!$J:$J,"AGM-88")+SUMIFS('Таблиця 1'!$K:$K,'Таблиця 1'!$B:$B,$A277,'Таблиця 1'!$I:$I,"Су-27",'Таблиця 1'!$J:$J,"AGM-88"))</f>
        <v/>
      </c>
      <c r="I277">
        <f>IF($A277="","",SUMIFS('Таблиця 1'!$K:$K,'Таблиця 1'!$B:$B,$A277,'Таблиця 1'!$I:$I,"Mirage",'Таблиця 1'!$J:$J,"AASM-250")+SUMIFS('Таблиця 1'!$K:$K,'Таблиця 1'!$B:$B,$A277,'Таблиця 1'!$I:$I,"F-16",'Таблиця 1'!$J:$J,"AASM-250")+SUMIFS('Таблиця 1'!$K:$K,'Таблиця 1'!$B:$B,$A277,'Таблиця 1'!$I:$I,"МіГ-29",'Таблиця 1'!$J:$J,"AASM-250")+SUMIFS('Таблиця 1'!$K:$K,'Таблиця 1'!$B:$B,$A277,'Таблиця 1'!$I:$I,"Су-25",'Таблиця 1'!$J:$J,"AASM-250")+SUMIFS('Таблиця 1'!$K:$K,'Таблиця 1'!$B:$B,$A277,'Таблиця 1'!$I:$I,"Су-27",'Таблиця 1'!$J:$J,"AASM-250"))</f>
        <v/>
      </c>
      <c r="J277">
        <f>IF($A277="","",SUMIFS('Таблиця 1'!$K:$K,'Таблиця 1'!$B:$B,$A277,'Таблиця 1'!$I:$I,"Mirage",'Таблиця 1'!$J:$J,"GBU-39")+SUMIFS('Таблиця 1'!$K:$K,'Таблиця 1'!$B:$B,$A277,'Таблиця 1'!$I:$I,"F-16",'Таблиця 1'!$J:$J,"GBU-39")+SUMIFS('Таблиця 1'!$K:$K,'Таблиця 1'!$B:$B,$A277,'Таблиця 1'!$I:$I,"МіГ-29",'Таблиця 1'!$J:$J,"GBU-39")+SUMIFS('Таблиця 1'!$K:$K,'Таблиця 1'!$B:$B,$A277,'Таблиця 1'!$I:$I,"Су-25",'Таблиця 1'!$J:$J,"GBU-39")+SUMIFS('Таблиця 1'!$K:$K,'Таблиця 1'!$B:$B,$A277,'Таблиця 1'!$I:$I,"Су-27",'Таблиця 1'!$J:$J,"GBU-39"))</f>
        <v/>
      </c>
      <c r="K277">
        <f>IF($A277="","",SUMIFS('Таблиця 1'!$K:$K,'Таблиця 1'!$B:$B,$A277,'Таблиця 1'!$I:$I,"Mirage",'Таблиця 1'!$J:$J,"BLU-140")+SUMIFS('Таблиця 1'!$K:$K,'Таблиця 1'!$B:$B,$A277,'Таблиця 1'!$I:$I,"F-16",'Таблиця 1'!$J:$J,"BLU-140")+SUMIFS('Таблиця 1'!$K:$K,'Таблиця 1'!$B:$B,$A277,'Таблиця 1'!$I:$I,"МіГ-29",'Таблиця 1'!$J:$J,"BLU-140")+SUMIFS('Таблиця 1'!$K:$K,'Таблиця 1'!$B:$B,$A277,'Таблиця 1'!$I:$I,"Су-25",'Таблиця 1'!$J:$J,"BLU-140")+SUMIFS('Таблиця 1'!$K:$K,'Таблиця 1'!$B:$B,$A277,'Таблиця 1'!$I:$I,"Су-27",'Таблиця 1'!$J:$J,"BLU-140"))</f>
        <v/>
      </c>
      <c r="L277">
        <f>IF($A277="","",SUMIFS('Таблиця 1'!$K:$K,'Таблиця 1'!$B:$B,$A277,'Таблиця 1'!$I:$I,"Mirage",'Таблиця 1'!$J:$J,"GBU-65")+SUMIFS('Таблиця 1'!$K:$K,'Таблиця 1'!$B:$B,$A277,'Таблиця 1'!$I:$I,"F-16",'Таблиця 1'!$J:$J,"GBU-65")+SUMIFS('Таблиця 1'!$K:$K,'Таблиця 1'!$B:$B,$A277,'Таблиця 1'!$I:$I,"МіГ-29",'Таблиця 1'!$J:$J,"GBU-65")+SUMIFS('Таблиця 1'!$K:$K,'Таблиця 1'!$B:$B,$A277,'Таблиця 1'!$I:$I,"Су-25",'Таблиця 1'!$J:$J,"GBU-65")+SUMIFS('Таблиця 1'!$K:$K,'Таблиця 1'!$B:$B,$A277,'Таблиця 1'!$I:$I,"Су-27",'Таблиця 1'!$J:$J,"GBU-65"))</f>
        <v/>
      </c>
      <c r="M277">
        <f>IF($A277="","",SUMIFS('Таблиця 1'!$K:$K,'Таблиця 1'!$B:$B,$A277,'Таблиця 1'!$I:$I,"Mirage",'Таблиця 1'!$J:$J,"GBU-62")+SUMIFS('Таблиця 1'!$K:$K,'Таблиця 1'!$B:$B,$A277,'Таблиця 1'!$I:$I,"F-16",'Таблиця 1'!$J:$J,"GBU-62")+SUMIFS('Таблиця 1'!$K:$K,'Таблиця 1'!$B:$B,$A277,'Таблиця 1'!$I:$I,"МіГ-29",'Таблиця 1'!$J:$J,"GBU-62")+SUMIFS('Таблиця 1'!$K:$K,'Таблиця 1'!$B:$B,$A277,'Таблиця 1'!$I:$I,"Су-25",'Таблиця 1'!$J:$J,"GBU-62")+SUMIFS('Таблиця 1'!$K:$K,'Таблиця 1'!$B:$B,$A277,'Таблиця 1'!$I:$I,"Су-27",'Таблиця 1'!$J:$J,"GBU-62"))</f>
        <v/>
      </c>
      <c r="N277">
        <f>IF($A277="","",SUMIFS('Таблиця 1'!$K:$K,'Таблиця 1'!$B:$B,$A277,'Таблиця 1'!$I:$I,"Mirage",'Таблиця 1'!$J:$J,"GBU-64")+SUMIFS('Таблиця 1'!$K:$K,'Таблиця 1'!$B:$B,$A277,'Таблиця 1'!$I:$I,"F-16",'Таблиця 1'!$J:$J,"GBU-64")+SUMIFS('Таблиця 1'!$K:$K,'Таблиця 1'!$B:$B,$A277,'Таблиця 1'!$I:$I,"МіГ-29",'Таблиця 1'!$J:$J,"GBU-64")+SUMIFS('Таблиця 1'!$K:$K,'Таблиця 1'!$B:$B,$A277,'Таблиця 1'!$I:$I,"Су-25",'Таблиця 1'!$J:$J,"GBU-64")+SUMIFS('Таблиця 1'!$K:$K,'Таблиця 1'!$B:$B,$A277,'Таблиця 1'!$I:$I,"Су-27",'Таблиця 1'!$J:$J,"GBU-64"))</f>
        <v/>
      </c>
      <c r="O277">
        <f>IF($A277="","",SUMIFS('Таблиця 1'!$K:$K,'Таблиця 1'!$B:$B,$A277,'Таблиця 1'!$I:$I,"Mirage",'Таблиця 1'!$J:$J,"C-13")+SUMIFS('Таблиця 1'!$K:$K,'Таблиця 1'!$B:$B,$A277,'Таблиця 1'!$I:$I,"F-16",'Таблиця 1'!$J:$J,"C-13")+SUMIFS('Таблиця 1'!$K:$K,'Таблиця 1'!$B:$B,$A277,'Таблиця 1'!$I:$I,"МіГ-29",'Таблиця 1'!$J:$J,"C-13")+SUMIFS('Таблиця 1'!$K:$K,'Таблиця 1'!$B:$B,$A277,'Таблиця 1'!$I:$I,"Су-25",'Таблиця 1'!$J:$J,"C-13")+SUMIFS('Таблиця 1'!$K:$K,'Таблиця 1'!$B:$B,$A277,'Таблиця 1'!$I:$I,"Су-27",'Таблиця 1'!$J:$J,"C-13"))</f>
        <v/>
      </c>
      <c r="P277">
        <f>IF($A277="","",SUMIFS('Таблиця 1'!$K:$K,'Таблиця 1'!$B:$B,$A277,'Таблиця 1'!$I:$I,"Mirage",'Таблиця 1'!$J:$J,"MK-32")+SUMIFS('Таблиця 1'!$K:$K,'Таблиця 1'!$B:$B,$A277,'Таблиця 1'!$I:$I,"F-16",'Таблиця 1'!$J:$J,"MK-32")+SUMIFS('Таблиця 1'!$K:$K,'Таблиця 1'!$B:$B,$A277,'Таблиця 1'!$I:$I,"МіГ-29",'Таблиця 1'!$J:$J,"MK-32")+SUMIFS('Таблиця 1'!$K:$K,'Таблиця 1'!$B:$B,$A277,'Таблиця 1'!$I:$I,"Су-25",'Таблиця 1'!$J:$J,"MK-32")+SUMIFS('Таблиця 1'!$K:$K,'Таблиця 1'!$B:$B,$A277,'Таблиця 1'!$I:$I,"Су-27",'Таблиця 1'!$J:$J,"MK-32"))</f>
        <v/>
      </c>
      <c r="Q277">
        <f>IF($A277="","",SUMIFS('Таблиця 1'!$K:$K,'Таблиця 1'!$B:$B,$A277,'Таблиця 1'!$I:$I,"Mirage",'Таблиця 1'!$J:$J,"MK-24")+SUMIFS('Таблиця 1'!$K:$K,'Таблиця 1'!$B:$B,$A277,'Таблиця 1'!$I:$I,"F-16",'Таблиця 1'!$J:$J,"MK-24")+SUMIFS('Таблиця 1'!$K:$K,'Таблиця 1'!$B:$B,$A277,'Таблиця 1'!$I:$I,"МіГ-29",'Таблиця 1'!$J:$J,"MK-24")+SUMIFS('Таблиця 1'!$K:$K,'Таблиця 1'!$B:$B,$A277,'Таблиця 1'!$I:$I,"Су-25",'Таблиця 1'!$J:$J,"MK-24")+SUMIFS('Таблиця 1'!$K:$K,'Таблиця 1'!$B:$B,$A277,'Таблиця 1'!$I:$I,"Су-27",'Таблиця 1'!$J:$J,"MK-24"))</f>
        <v/>
      </c>
      <c r="R277">
        <f>IF($A277="","",COUNTIFS('Таблиця 1'!$B:$B,$A277,'Таблиця 1'!$I:$I,"Mirage",'Таблиця 1'!$L:$L,"Уражено")+COUNTIFS('Таблиця 1'!$B:$B,$A277,'Таблиця 1'!$I:$I,"F-16",'Таблиця 1'!$L:$L,"Уражено")+COUNTIFS('Таблиця 1'!$B:$B,$A277,'Таблиця 1'!$I:$I,"МіГ-29",'Таблиця 1'!$L:$L,"Уражено")+COUNTIFS('Таблиця 1'!$B:$B,$A277,'Таблиця 1'!$I:$I,"Су-25",'Таблиця 1'!$L:$L,"Уражено")+COUNTIFS('Таблиця 1'!$B:$B,$A277,'Таблиця 1'!$I:$I,"Су-27",'Таблиця 1'!$L:$L,"Уражено"))</f>
        <v/>
      </c>
      <c r="S277">
        <f>IF($A277="","",COUNTIFS('Таблиця 1'!$B:$B,$A277,'Таблиця 1'!$I:$I,"Mirage",'Таблиця 1'!$L:$L,"НЕ уражено")+COUNTIFS('Таблиця 1'!$B:$B,$A277,'Таблиця 1'!$I:$I,"F-16",'Таблиця 1'!$L:$L,"НЕ уражено")+COUNTIFS('Таблиця 1'!$B:$B,$A277,'Таблиця 1'!$I:$I,"МіГ-29",'Таблиця 1'!$L:$L,"НЕ уражено")+COUNTIFS('Таблиця 1'!$B:$B,$A277,'Таблиця 1'!$I:$I,"Су-25",'Таблиця 1'!$L:$L,"НЕ уражено")+COUNTIFS('Таблиця 1'!$B:$B,$A277,'Таблиця 1'!$I:$I,"Су-27",'Таблиця 1'!$L:$L,"НЕ уражено"))</f>
        <v/>
      </c>
      <c r="T277">
        <f>IF($A277="","",COUNTIFS('Таблиця 1'!$B:$B,$A277,'Таблиця 1'!$I:$I,"Mirage",'Таблиця 1'!$L:$L,"Дорозвідується")+COUNTIFS('Таблиця 1'!$B:$B,$A277,'Таблиця 1'!$I:$I,"F-16",'Таблиця 1'!$L:$L,"Дорозвідується")+COUNTIFS('Таблиця 1'!$B:$B,$A277,'Таблиця 1'!$I:$I,"МіГ-29",'Таблиця 1'!$L:$L,"Дорозвідується")+COUNTIFS('Таблиця 1'!$B:$B,$A277,'Таблиця 1'!$I:$I,"Су-25",'Таблиця 1'!$L:$L,"Дорозвідується")+COUNTIFS('Таблиця 1'!$B:$B,$A277,'Таблиця 1'!$I:$I,"Су-27",'Таблиця 1'!$L:$L,"Дорозвідується"))</f>
        <v/>
      </c>
    </row>
    <row r="278">
      <c r="A278" s="273">
        <f>IF(A277="","",IF(A277+1&gt;MAX('Таблиця 1'!$B:$B),"",A277+1))</f>
        <v/>
      </c>
      <c r="B278">
        <f>IF($A278="","",COUNTIFS('Таблиця 1'!$B:$B,$A278,'Таблиця 1'!$I:$I,"Mirage")+COUNTIFS('Таблиця 1'!$B:$B,$A278,'Таблиця 1'!$I:$I,"F-16")+COUNTIFS('Таблиця 1'!$B:$B,$A278,'Таблиця 1'!$I:$I,"МіГ-29")+COUNTIFS('Таблиця 1'!$B:$B,$A278,'Таблиця 1'!$I:$I,"Су-25")+COUNTIFS('Таблиця 1'!$B:$B,$A278,'Таблиця 1'!$I:$I,"Су-27"))</f>
        <v/>
      </c>
      <c r="C278">
        <f>IF($A278="","",COUNTIFS('Таблиця 1'!$B:$B,$A278,'Таблиця 1'!$I:$I,"Mirage"))</f>
        <v/>
      </c>
      <c r="D278">
        <f>IF($A278="","",COUNTIFS('Таблиця 1'!$B:$B,$A278,'Таблиця 1'!$I:$I,"F-16"))</f>
        <v/>
      </c>
      <c r="E278">
        <f>IF($A278="","",COUNTIFS('Таблиця 1'!$B:$B,$A278,'Таблиця 1'!$I:$I,"МіГ-29"))</f>
        <v/>
      </c>
      <c r="F278">
        <f>IF($A278="","",COUNTIFS('Таблиця 1'!$B:$B,$A278,'Таблиця 1'!$I:$I,"Су-25"))</f>
        <v/>
      </c>
      <c r="G278">
        <f>IF($A278="","",COUNTIFS('Таблиця 1'!$B:$B,$A278,'Таблиця 1'!$I:$I,"Су-27"))</f>
        <v/>
      </c>
      <c r="H278">
        <f>IF($A278="","",SUMIFS('Таблиця 1'!$K:$K,'Таблиця 1'!$B:$B,$A278,'Таблиця 1'!$I:$I,"Mirage",'Таблиця 1'!$J:$J,"AGM-88")+SUMIFS('Таблиця 1'!$K:$K,'Таблиця 1'!$B:$B,$A278,'Таблиця 1'!$I:$I,"F-16",'Таблиця 1'!$J:$J,"AGM-88")+SUMIFS('Таблиця 1'!$K:$K,'Таблиця 1'!$B:$B,$A278,'Таблиця 1'!$I:$I,"МіГ-29",'Таблиця 1'!$J:$J,"AGM-88")+SUMIFS('Таблиця 1'!$K:$K,'Таблиця 1'!$B:$B,$A278,'Таблиця 1'!$I:$I,"Су-25",'Таблиця 1'!$J:$J,"AGM-88")+SUMIFS('Таблиця 1'!$K:$K,'Таблиця 1'!$B:$B,$A278,'Таблиця 1'!$I:$I,"Су-27",'Таблиця 1'!$J:$J,"AGM-88"))</f>
        <v/>
      </c>
      <c r="I278">
        <f>IF($A278="","",SUMIFS('Таблиця 1'!$K:$K,'Таблиця 1'!$B:$B,$A278,'Таблиця 1'!$I:$I,"Mirage",'Таблиця 1'!$J:$J,"AASM-250")+SUMIFS('Таблиця 1'!$K:$K,'Таблиця 1'!$B:$B,$A278,'Таблиця 1'!$I:$I,"F-16",'Таблиця 1'!$J:$J,"AASM-250")+SUMIFS('Таблиця 1'!$K:$K,'Таблиця 1'!$B:$B,$A278,'Таблиця 1'!$I:$I,"МіГ-29",'Таблиця 1'!$J:$J,"AASM-250")+SUMIFS('Таблиця 1'!$K:$K,'Таблиця 1'!$B:$B,$A278,'Таблиця 1'!$I:$I,"Су-25",'Таблиця 1'!$J:$J,"AASM-250")+SUMIFS('Таблиця 1'!$K:$K,'Таблиця 1'!$B:$B,$A278,'Таблиця 1'!$I:$I,"Су-27",'Таблиця 1'!$J:$J,"AASM-250"))</f>
        <v/>
      </c>
      <c r="J278">
        <f>IF($A278="","",SUMIFS('Таблиця 1'!$K:$K,'Таблиця 1'!$B:$B,$A278,'Таблиця 1'!$I:$I,"Mirage",'Таблиця 1'!$J:$J,"GBU-39")+SUMIFS('Таблиця 1'!$K:$K,'Таблиця 1'!$B:$B,$A278,'Таблиця 1'!$I:$I,"F-16",'Таблиця 1'!$J:$J,"GBU-39")+SUMIFS('Таблиця 1'!$K:$K,'Таблиця 1'!$B:$B,$A278,'Таблиця 1'!$I:$I,"МіГ-29",'Таблиця 1'!$J:$J,"GBU-39")+SUMIFS('Таблиця 1'!$K:$K,'Таблиця 1'!$B:$B,$A278,'Таблиця 1'!$I:$I,"Су-25",'Таблиця 1'!$J:$J,"GBU-39")+SUMIFS('Таблиця 1'!$K:$K,'Таблиця 1'!$B:$B,$A278,'Таблиця 1'!$I:$I,"Су-27",'Таблиця 1'!$J:$J,"GBU-39"))</f>
        <v/>
      </c>
      <c r="K278">
        <f>IF($A278="","",SUMIFS('Таблиця 1'!$K:$K,'Таблиця 1'!$B:$B,$A278,'Таблиця 1'!$I:$I,"Mirage",'Таблиця 1'!$J:$J,"BLU-140")+SUMIFS('Таблиця 1'!$K:$K,'Таблиця 1'!$B:$B,$A278,'Таблиця 1'!$I:$I,"F-16",'Таблиця 1'!$J:$J,"BLU-140")+SUMIFS('Таблиця 1'!$K:$K,'Таблиця 1'!$B:$B,$A278,'Таблиця 1'!$I:$I,"МіГ-29",'Таблиця 1'!$J:$J,"BLU-140")+SUMIFS('Таблиця 1'!$K:$K,'Таблиця 1'!$B:$B,$A278,'Таблиця 1'!$I:$I,"Су-25",'Таблиця 1'!$J:$J,"BLU-140")+SUMIFS('Таблиця 1'!$K:$K,'Таблиця 1'!$B:$B,$A278,'Таблиця 1'!$I:$I,"Су-27",'Таблиця 1'!$J:$J,"BLU-140"))</f>
        <v/>
      </c>
      <c r="L278">
        <f>IF($A278="","",SUMIFS('Таблиця 1'!$K:$K,'Таблиця 1'!$B:$B,$A278,'Таблиця 1'!$I:$I,"Mirage",'Таблиця 1'!$J:$J,"GBU-65")+SUMIFS('Таблиця 1'!$K:$K,'Таблиця 1'!$B:$B,$A278,'Таблиця 1'!$I:$I,"F-16",'Таблиця 1'!$J:$J,"GBU-65")+SUMIFS('Таблиця 1'!$K:$K,'Таблиця 1'!$B:$B,$A278,'Таблиця 1'!$I:$I,"МіГ-29",'Таблиця 1'!$J:$J,"GBU-65")+SUMIFS('Таблиця 1'!$K:$K,'Таблиця 1'!$B:$B,$A278,'Таблиця 1'!$I:$I,"Су-25",'Таблиця 1'!$J:$J,"GBU-65")+SUMIFS('Таблиця 1'!$K:$K,'Таблиця 1'!$B:$B,$A278,'Таблиця 1'!$I:$I,"Су-27",'Таблиця 1'!$J:$J,"GBU-65"))</f>
        <v/>
      </c>
      <c r="M278">
        <f>IF($A278="","",SUMIFS('Таблиця 1'!$K:$K,'Таблиця 1'!$B:$B,$A278,'Таблиця 1'!$I:$I,"Mirage",'Таблиця 1'!$J:$J,"GBU-62")+SUMIFS('Таблиця 1'!$K:$K,'Таблиця 1'!$B:$B,$A278,'Таблиця 1'!$I:$I,"F-16",'Таблиця 1'!$J:$J,"GBU-62")+SUMIFS('Таблиця 1'!$K:$K,'Таблиця 1'!$B:$B,$A278,'Таблиця 1'!$I:$I,"МіГ-29",'Таблиця 1'!$J:$J,"GBU-62")+SUMIFS('Таблиця 1'!$K:$K,'Таблиця 1'!$B:$B,$A278,'Таблиця 1'!$I:$I,"Су-25",'Таблиця 1'!$J:$J,"GBU-62")+SUMIFS('Таблиця 1'!$K:$K,'Таблиця 1'!$B:$B,$A278,'Таблиця 1'!$I:$I,"Су-27",'Таблиця 1'!$J:$J,"GBU-62"))</f>
        <v/>
      </c>
      <c r="N278">
        <f>IF($A278="","",SUMIFS('Таблиця 1'!$K:$K,'Таблиця 1'!$B:$B,$A278,'Таблиця 1'!$I:$I,"Mirage",'Таблиця 1'!$J:$J,"GBU-64")+SUMIFS('Таблиця 1'!$K:$K,'Таблиця 1'!$B:$B,$A278,'Таблиця 1'!$I:$I,"F-16",'Таблиця 1'!$J:$J,"GBU-64")+SUMIFS('Таблиця 1'!$K:$K,'Таблиця 1'!$B:$B,$A278,'Таблиця 1'!$I:$I,"МіГ-29",'Таблиця 1'!$J:$J,"GBU-64")+SUMIFS('Таблиця 1'!$K:$K,'Таблиця 1'!$B:$B,$A278,'Таблиця 1'!$I:$I,"Су-25",'Таблиця 1'!$J:$J,"GBU-64")+SUMIFS('Таблиця 1'!$K:$K,'Таблиця 1'!$B:$B,$A278,'Таблиця 1'!$I:$I,"Су-27",'Таблиця 1'!$J:$J,"GBU-64"))</f>
        <v/>
      </c>
      <c r="O278">
        <f>IF($A278="","",SUMIFS('Таблиця 1'!$K:$K,'Таблиця 1'!$B:$B,$A278,'Таблиця 1'!$I:$I,"Mirage",'Таблиця 1'!$J:$J,"C-13")+SUMIFS('Таблиця 1'!$K:$K,'Таблиця 1'!$B:$B,$A278,'Таблиця 1'!$I:$I,"F-16",'Таблиця 1'!$J:$J,"C-13")+SUMIFS('Таблиця 1'!$K:$K,'Таблиця 1'!$B:$B,$A278,'Таблиця 1'!$I:$I,"МіГ-29",'Таблиця 1'!$J:$J,"C-13")+SUMIFS('Таблиця 1'!$K:$K,'Таблиця 1'!$B:$B,$A278,'Таблиця 1'!$I:$I,"Су-25",'Таблиця 1'!$J:$J,"C-13")+SUMIFS('Таблиця 1'!$K:$K,'Таблиця 1'!$B:$B,$A278,'Таблиця 1'!$I:$I,"Су-27",'Таблиця 1'!$J:$J,"C-13"))</f>
        <v/>
      </c>
      <c r="P278">
        <f>IF($A278="","",SUMIFS('Таблиця 1'!$K:$K,'Таблиця 1'!$B:$B,$A278,'Таблиця 1'!$I:$I,"Mirage",'Таблиця 1'!$J:$J,"MK-32")+SUMIFS('Таблиця 1'!$K:$K,'Таблиця 1'!$B:$B,$A278,'Таблиця 1'!$I:$I,"F-16",'Таблиця 1'!$J:$J,"MK-32")+SUMIFS('Таблиця 1'!$K:$K,'Таблиця 1'!$B:$B,$A278,'Таблиця 1'!$I:$I,"МіГ-29",'Таблиця 1'!$J:$J,"MK-32")+SUMIFS('Таблиця 1'!$K:$K,'Таблиця 1'!$B:$B,$A278,'Таблиця 1'!$I:$I,"Су-25",'Таблиця 1'!$J:$J,"MK-32")+SUMIFS('Таблиця 1'!$K:$K,'Таблиця 1'!$B:$B,$A278,'Таблиця 1'!$I:$I,"Су-27",'Таблиця 1'!$J:$J,"MK-32"))</f>
        <v/>
      </c>
      <c r="Q278">
        <f>IF($A278="","",SUMIFS('Таблиця 1'!$K:$K,'Таблиця 1'!$B:$B,$A278,'Таблиця 1'!$I:$I,"Mirage",'Таблиця 1'!$J:$J,"MK-24")+SUMIFS('Таблиця 1'!$K:$K,'Таблиця 1'!$B:$B,$A278,'Таблиця 1'!$I:$I,"F-16",'Таблиця 1'!$J:$J,"MK-24")+SUMIFS('Таблиця 1'!$K:$K,'Таблиця 1'!$B:$B,$A278,'Таблиця 1'!$I:$I,"МіГ-29",'Таблиця 1'!$J:$J,"MK-24")+SUMIFS('Таблиця 1'!$K:$K,'Таблиця 1'!$B:$B,$A278,'Таблиця 1'!$I:$I,"Су-25",'Таблиця 1'!$J:$J,"MK-24")+SUMIFS('Таблиця 1'!$K:$K,'Таблиця 1'!$B:$B,$A278,'Таблиця 1'!$I:$I,"Су-27",'Таблиця 1'!$J:$J,"MK-24"))</f>
        <v/>
      </c>
      <c r="R278">
        <f>IF($A278="","",COUNTIFS('Таблиця 1'!$B:$B,$A278,'Таблиця 1'!$I:$I,"Mirage",'Таблиця 1'!$L:$L,"Уражено")+COUNTIFS('Таблиця 1'!$B:$B,$A278,'Таблиця 1'!$I:$I,"F-16",'Таблиця 1'!$L:$L,"Уражено")+COUNTIFS('Таблиця 1'!$B:$B,$A278,'Таблиця 1'!$I:$I,"МіГ-29",'Таблиця 1'!$L:$L,"Уражено")+COUNTIFS('Таблиця 1'!$B:$B,$A278,'Таблиця 1'!$I:$I,"Су-25",'Таблиця 1'!$L:$L,"Уражено")+COUNTIFS('Таблиця 1'!$B:$B,$A278,'Таблиця 1'!$I:$I,"Су-27",'Таблиця 1'!$L:$L,"Уражено"))</f>
        <v/>
      </c>
      <c r="S278">
        <f>IF($A278="","",COUNTIFS('Таблиця 1'!$B:$B,$A278,'Таблиця 1'!$I:$I,"Mirage",'Таблиця 1'!$L:$L,"НЕ уражено")+COUNTIFS('Таблиця 1'!$B:$B,$A278,'Таблиця 1'!$I:$I,"F-16",'Таблиця 1'!$L:$L,"НЕ уражено")+COUNTIFS('Таблиця 1'!$B:$B,$A278,'Таблиця 1'!$I:$I,"МіГ-29",'Таблиця 1'!$L:$L,"НЕ уражено")+COUNTIFS('Таблиця 1'!$B:$B,$A278,'Таблиця 1'!$I:$I,"Су-25",'Таблиця 1'!$L:$L,"НЕ уражено")+COUNTIFS('Таблиця 1'!$B:$B,$A278,'Таблиця 1'!$I:$I,"Су-27",'Таблиця 1'!$L:$L,"НЕ уражено"))</f>
        <v/>
      </c>
      <c r="T278">
        <f>IF($A278="","",COUNTIFS('Таблиця 1'!$B:$B,$A278,'Таблиця 1'!$I:$I,"Mirage",'Таблиця 1'!$L:$L,"Дорозвідується")+COUNTIFS('Таблиця 1'!$B:$B,$A278,'Таблиця 1'!$I:$I,"F-16",'Таблиця 1'!$L:$L,"Дорозвідується")+COUNTIFS('Таблиця 1'!$B:$B,$A278,'Таблиця 1'!$I:$I,"МіГ-29",'Таблиця 1'!$L:$L,"Дорозвідується")+COUNTIFS('Таблиця 1'!$B:$B,$A278,'Таблиця 1'!$I:$I,"Су-25",'Таблиця 1'!$L:$L,"Дорозвідується")+COUNTIFS('Таблиця 1'!$B:$B,$A278,'Таблиця 1'!$I:$I,"Су-27",'Таблиця 1'!$L:$L,"Дорозвідується"))</f>
        <v/>
      </c>
    </row>
    <row r="279">
      <c r="A279" s="273">
        <f>IF(A278="","",IF(A278+1&gt;MAX('Таблиця 1'!$B:$B),"",A278+1))</f>
        <v/>
      </c>
      <c r="B279">
        <f>IF($A279="","",COUNTIFS('Таблиця 1'!$B:$B,$A279,'Таблиця 1'!$I:$I,"Mirage")+COUNTIFS('Таблиця 1'!$B:$B,$A279,'Таблиця 1'!$I:$I,"F-16")+COUNTIFS('Таблиця 1'!$B:$B,$A279,'Таблиця 1'!$I:$I,"МіГ-29")+COUNTIFS('Таблиця 1'!$B:$B,$A279,'Таблиця 1'!$I:$I,"Су-25")+COUNTIFS('Таблиця 1'!$B:$B,$A279,'Таблиця 1'!$I:$I,"Су-27"))</f>
        <v/>
      </c>
      <c r="C279">
        <f>IF($A279="","",COUNTIFS('Таблиця 1'!$B:$B,$A279,'Таблиця 1'!$I:$I,"Mirage"))</f>
        <v/>
      </c>
      <c r="D279">
        <f>IF($A279="","",COUNTIFS('Таблиця 1'!$B:$B,$A279,'Таблиця 1'!$I:$I,"F-16"))</f>
        <v/>
      </c>
      <c r="E279">
        <f>IF($A279="","",COUNTIFS('Таблиця 1'!$B:$B,$A279,'Таблиця 1'!$I:$I,"МіГ-29"))</f>
        <v/>
      </c>
      <c r="F279">
        <f>IF($A279="","",COUNTIFS('Таблиця 1'!$B:$B,$A279,'Таблиця 1'!$I:$I,"Су-25"))</f>
        <v/>
      </c>
      <c r="G279">
        <f>IF($A279="","",COUNTIFS('Таблиця 1'!$B:$B,$A279,'Таблиця 1'!$I:$I,"Су-27"))</f>
        <v/>
      </c>
      <c r="H279">
        <f>IF($A279="","",SUMIFS('Таблиця 1'!$K:$K,'Таблиця 1'!$B:$B,$A279,'Таблиця 1'!$I:$I,"Mirage",'Таблиця 1'!$J:$J,"AGM-88")+SUMIFS('Таблиця 1'!$K:$K,'Таблиця 1'!$B:$B,$A279,'Таблиця 1'!$I:$I,"F-16",'Таблиця 1'!$J:$J,"AGM-88")+SUMIFS('Таблиця 1'!$K:$K,'Таблиця 1'!$B:$B,$A279,'Таблиця 1'!$I:$I,"МіГ-29",'Таблиця 1'!$J:$J,"AGM-88")+SUMIFS('Таблиця 1'!$K:$K,'Таблиця 1'!$B:$B,$A279,'Таблиця 1'!$I:$I,"Су-25",'Таблиця 1'!$J:$J,"AGM-88")+SUMIFS('Таблиця 1'!$K:$K,'Таблиця 1'!$B:$B,$A279,'Таблиця 1'!$I:$I,"Су-27",'Таблиця 1'!$J:$J,"AGM-88"))</f>
        <v/>
      </c>
      <c r="I279">
        <f>IF($A279="","",SUMIFS('Таблиця 1'!$K:$K,'Таблиця 1'!$B:$B,$A279,'Таблиця 1'!$I:$I,"Mirage",'Таблиця 1'!$J:$J,"AASM-250")+SUMIFS('Таблиця 1'!$K:$K,'Таблиця 1'!$B:$B,$A279,'Таблиця 1'!$I:$I,"F-16",'Таблиця 1'!$J:$J,"AASM-250")+SUMIFS('Таблиця 1'!$K:$K,'Таблиця 1'!$B:$B,$A279,'Таблиця 1'!$I:$I,"МіГ-29",'Таблиця 1'!$J:$J,"AASM-250")+SUMIFS('Таблиця 1'!$K:$K,'Таблиця 1'!$B:$B,$A279,'Таблиця 1'!$I:$I,"Су-25",'Таблиця 1'!$J:$J,"AASM-250")+SUMIFS('Таблиця 1'!$K:$K,'Таблиця 1'!$B:$B,$A279,'Таблиця 1'!$I:$I,"Су-27",'Таблиця 1'!$J:$J,"AASM-250"))</f>
        <v/>
      </c>
      <c r="J279">
        <f>IF($A279="","",SUMIFS('Таблиця 1'!$K:$K,'Таблиця 1'!$B:$B,$A279,'Таблиця 1'!$I:$I,"Mirage",'Таблиця 1'!$J:$J,"GBU-39")+SUMIFS('Таблиця 1'!$K:$K,'Таблиця 1'!$B:$B,$A279,'Таблиця 1'!$I:$I,"F-16",'Таблиця 1'!$J:$J,"GBU-39")+SUMIFS('Таблиця 1'!$K:$K,'Таблиця 1'!$B:$B,$A279,'Таблиця 1'!$I:$I,"МіГ-29",'Таблиця 1'!$J:$J,"GBU-39")+SUMIFS('Таблиця 1'!$K:$K,'Таблиця 1'!$B:$B,$A279,'Таблиця 1'!$I:$I,"Су-25",'Таблиця 1'!$J:$J,"GBU-39")+SUMIFS('Таблиця 1'!$K:$K,'Таблиця 1'!$B:$B,$A279,'Таблиця 1'!$I:$I,"Су-27",'Таблиця 1'!$J:$J,"GBU-39"))</f>
        <v/>
      </c>
      <c r="K279">
        <f>IF($A279="","",SUMIFS('Таблиця 1'!$K:$K,'Таблиця 1'!$B:$B,$A279,'Таблиця 1'!$I:$I,"Mirage",'Таблиця 1'!$J:$J,"BLU-140")+SUMIFS('Таблиця 1'!$K:$K,'Таблиця 1'!$B:$B,$A279,'Таблиця 1'!$I:$I,"F-16",'Таблиця 1'!$J:$J,"BLU-140")+SUMIFS('Таблиця 1'!$K:$K,'Таблиця 1'!$B:$B,$A279,'Таблиця 1'!$I:$I,"МіГ-29",'Таблиця 1'!$J:$J,"BLU-140")+SUMIFS('Таблиця 1'!$K:$K,'Таблиця 1'!$B:$B,$A279,'Таблиця 1'!$I:$I,"Су-25",'Таблиця 1'!$J:$J,"BLU-140")+SUMIFS('Таблиця 1'!$K:$K,'Таблиця 1'!$B:$B,$A279,'Таблиця 1'!$I:$I,"Су-27",'Таблиця 1'!$J:$J,"BLU-140"))</f>
        <v/>
      </c>
      <c r="L279">
        <f>IF($A279="","",SUMIFS('Таблиця 1'!$K:$K,'Таблиця 1'!$B:$B,$A279,'Таблиця 1'!$I:$I,"Mirage",'Таблиця 1'!$J:$J,"GBU-65")+SUMIFS('Таблиця 1'!$K:$K,'Таблиця 1'!$B:$B,$A279,'Таблиця 1'!$I:$I,"F-16",'Таблиця 1'!$J:$J,"GBU-65")+SUMIFS('Таблиця 1'!$K:$K,'Таблиця 1'!$B:$B,$A279,'Таблиця 1'!$I:$I,"МіГ-29",'Таблиця 1'!$J:$J,"GBU-65")+SUMIFS('Таблиця 1'!$K:$K,'Таблиця 1'!$B:$B,$A279,'Таблиця 1'!$I:$I,"Су-25",'Таблиця 1'!$J:$J,"GBU-65")+SUMIFS('Таблиця 1'!$K:$K,'Таблиця 1'!$B:$B,$A279,'Таблиця 1'!$I:$I,"Су-27",'Таблиця 1'!$J:$J,"GBU-65"))</f>
        <v/>
      </c>
      <c r="M279">
        <f>IF($A279="","",SUMIFS('Таблиця 1'!$K:$K,'Таблиця 1'!$B:$B,$A279,'Таблиця 1'!$I:$I,"Mirage",'Таблиця 1'!$J:$J,"GBU-62")+SUMIFS('Таблиця 1'!$K:$K,'Таблиця 1'!$B:$B,$A279,'Таблиця 1'!$I:$I,"F-16",'Таблиця 1'!$J:$J,"GBU-62")+SUMIFS('Таблиця 1'!$K:$K,'Таблиця 1'!$B:$B,$A279,'Таблиця 1'!$I:$I,"МіГ-29",'Таблиця 1'!$J:$J,"GBU-62")+SUMIFS('Таблиця 1'!$K:$K,'Таблиця 1'!$B:$B,$A279,'Таблиця 1'!$I:$I,"Су-25",'Таблиця 1'!$J:$J,"GBU-62")+SUMIFS('Таблиця 1'!$K:$K,'Таблиця 1'!$B:$B,$A279,'Таблиця 1'!$I:$I,"Су-27",'Таблиця 1'!$J:$J,"GBU-62"))</f>
        <v/>
      </c>
      <c r="N279">
        <f>IF($A279="","",SUMIFS('Таблиця 1'!$K:$K,'Таблиця 1'!$B:$B,$A279,'Таблиця 1'!$I:$I,"Mirage",'Таблиця 1'!$J:$J,"GBU-64")+SUMIFS('Таблиця 1'!$K:$K,'Таблиця 1'!$B:$B,$A279,'Таблиця 1'!$I:$I,"F-16",'Таблиця 1'!$J:$J,"GBU-64")+SUMIFS('Таблиця 1'!$K:$K,'Таблиця 1'!$B:$B,$A279,'Таблиця 1'!$I:$I,"МіГ-29",'Таблиця 1'!$J:$J,"GBU-64")+SUMIFS('Таблиця 1'!$K:$K,'Таблиця 1'!$B:$B,$A279,'Таблиця 1'!$I:$I,"Су-25",'Таблиця 1'!$J:$J,"GBU-64")+SUMIFS('Таблиця 1'!$K:$K,'Таблиця 1'!$B:$B,$A279,'Таблиця 1'!$I:$I,"Су-27",'Таблиця 1'!$J:$J,"GBU-64"))</f>
        <v/>
      </c>
      <c r="O279">
        <f>IF($A279="","",SUMIFS('Таблиця 1'!$K:$K,'Таблиця 1'!$B:$B,$A279,'Таблиця 1'!$I:$I,"Mirage",'Таблиця 1'!$J:$J,"C-13")+SUMIFS('Таблиця 1'!$K:$K,'Таблиця 1'!$B:$B,$A279,'Таблиця 1'!$I:$I,"F-16",'Таблиця 1'!$J:$J,"C-13")+SUMIFS('Таблиця 1'!$K:$K,'Таблиця 1'!$B:$B,$A279,'Таблиця 1'!$I:$I,"МіГ-29",'Таблиця 1'!$J:$J,"C-13")+SUMIFS('Таблиця 1'!$K:$K,'Таблиця 1'!$B:$B,$A279,'Таблиця 1'!$I:$I,"Су-25",'Таблиця 1'!$J:$J,"C-13")+SUMIFS('Таблиця 1'!$K:$K,'Таблиця 1'!$B:$B,$A279,'Таблиця 1'!$I:$I,"Су-27",'Таблиця 1'!$J:$J,"C-13"))</f>
        <v/>
      </c>
      <c r="P279">
        <f>IF($A279="","",SUMIFS('Таблиця 1'!$K:$K,'Таблиця 1'!$B:$B,$A279,'Таблиця 1'!$I:$I,"Mirage",'Таблиця 1'!$J:$J,"MK-32")+SUMIFS('Таблиця 1'!$K:$K,'Таблиця 1'!$B:$B,$A279,'Таблиця 1'!$I:$I,"F-16",'Таблиця 1'!$J:$J,"MK-32")+SUMIFS('Таблиця 1'!$K:$K,'Таблиця 1'!$B:$B,$A279,'Таблиця 1'!$I:$I,"МіГ-29",'Таблиця 1'!$J:$J,"MK-32")+SUMIFS('Таблиця 1'!$K:$K,'Таблиця 1'!$B:$B,$A279,'Таблиця 1'!$I:$I,"Су-25",'Таблиця 1'!$J:$J,"MK-32")+SUMIFS('Таблиця 1'!$K:$K,'Таблиця 1'!$B:$B,$A279,'Таблиця 1'!$I:$I,"Су-27",'Таблиця 1'!$J:$J,"MK-32"))</f>
        <v/>
      </c>
      <c r="Q279">
        <f>IF($A279="","",SUMIFS('Таблиця 1'!$K:$K,'Таблиця 1'!$B:$B,$A279,'Таблиця 1'!$I:$I,"Mirage",'Таблиця 1'!$J:$J,"MK-24")+SUMIFS('Таблиця 1'!$K:$K,'Таблиця 1'!$B:$B,$A279,'Таблиця 1'!$I:$I,"F-16",'Таблиця 1'!$J:$J,"MK-24")+SUMIFS('Таблиця 1'!$K:$K,'Таблиця 1'!$B:$B,$A279,'Таблиця 1'!$I:$I,"МіГ-29",'Таблиця 1'!$J:$J,"MK-24")+SUMIFS('Таблиця 1'!$K:$K,'Таблиця 1'!$B:$B,$A279,'Таблиця 1'!$I:$I,"Су-25",'Таблиця 1'!$J:$J,"MK-24")+SUMIFS('Таблиця 1'!$K:$K,'Таблиця 1'!$B:$B,$A279,'Таблиця 1'!$I:$I,"Су-27",'Таблиця 1'!$J:$J,"MK-24"))</f>
        <v/>
      </c>
      <c r="R279">
        <f>IF($A279="","",COUNTIFS('Таблиця 1'!$B:$B,$A279,'Таблиця 1'!$I:$I,"Mirage",'Таблиця 1'!$L:$L,"Уражено")+COUNTIFS('Таблиця 1'!$B:$B,$A279,'Таблиця 1'!$I:$I,"F-16",'Таблиця 1'!$L:$L,"Уражено")+COUNTIFS('Таблиця 1'!$B:$B,$A279,'Таблиця 1'!$I:$I,"МіГ-29",'Таблиця 1'!$L:$L,"Уражено")+COUNTIFS('Таблиця 1'!$B:$B,$A279,'Таблиця 1'!$I:$I,"Су-25",'Таблиця 1'!$L:$L,"Уражено")+COUNTIFS('Таблиця 1'!$B:$B,$A279,'Таблиця 1'!$I:$I,"Су-27",'Таблиця 1'!$L:$L,"Уражено"))</f>
        <v/>
      </c>
      <c r="S279">
        <f>IF($A279="","",COUNTIFS('Таблиця 1'!$B:$B,$A279,'Таблиця 1'!$I:$I,"Mirage",'Таблиця 1'!$L:$L,"НЕ уражено")+COUNTIFS('Таблиця 1'!$B:$B,$A279,'Таблиця 1'!$I:$I,"F-16",'Таблиця 1'!$L:$L,"НЕ уражено")+COUNTIFS('Таблиця 1'!$B:$B,$A279,'Таблиця 1'!$I:$I,"МіГ-29",'Таблиця 1'!$L:$L,"НЕ уражено")+COUNTIFS('Таблиця 1'!$B:$B,$A279,'Таблиця 1'!$I:$I,"Су-25",'Таблиця 1'!$L:$L,"НЕ уражено")+COUNTIFS('Таблиця 1'!$B:$B,$A279,'Таблиця 1'!$I:$I,"Су-27",'Таблиця 1'!$L:$L,"НЕ уражено"))</f>
        <v/>
      </c>
      <c r="T279">
        <f>IF($A279="","",COUNTIFS('Таблиця 1'!$B:$B,$A279,'Таблиця 1'!$I:$I,"Mirage",'Таблиця 1'!$L:$L,"Дорозвідується")+COUNTIFS('Таблиця 1'!$B:$B,$A279,'Таблиця 1'!$I:$I,"F-16",'Таблиця 1'!$L:$L,"Дорозвідується")+COUNTIFS('Таблиця 1'!$B:$B,$A279,'Таблиця 1'!$I:$I,"МіГ-29",'Таблиця 1'!$L:$L,"Дорозвідується")+COUNTIFS('Таблиця 1'!$B:$B,$A279,'Таблиця 1'!$I:$I,"Су-25",'Таблиця 1'!$L:$L,"Дорозвідується")+COUNTIFS('Таблиця 1'!$B:$B,$A279,'Таблиця 1'!$I:$I,"Су-27",'Таблиця 1'!$L:$L,"Дорозвідується"))</f>
        <v/>
      </c>
    </row>
    <row r="280">
      <c r="A280" s="273">
        <f>IF(A279="","",IF(A279+1&gt;MAX('Таблиця 1'!$B:$B),"",A279+1))</f>
        <v/>
      </c>
      <c r="B280">
        <f>IF($A280="","",COUNTIFS('Таблиця 1'!$B:$B,$A280,'Таблиця 1'!$I:$I,"Mirage")+COUNTIFS('Таблиця 1'!$B:$B,$A280,'Таблиця 1'!$I:$I,"F-16")+COUNTIFS('Таблиця 1'!$B:$B,$A280,'Таблиця 1'!$I:$I,"МіГ-29")+COUNTIFS('Таблиця 1'!$B:$B,$A280,'Таблиця 1'!$I:$I,"Су-25")+COUNTIFS('Таблиця 1'!$B:$B,$A280,'Таблиця 1'!$I:$I,"Су-27"))</f>
        <v/>
      </c>
      <c r="C280">
        <f>IF($A280="","",COUNTIFS('Таблиця 1'!$B:$B,$A280,'Таблиця 1'!$I:$I,"Mirage"))</f>
        <v/>
      </c>
      <c r="D280">
        <f>IF($A280="","",COUNTIFS('Таблиця 1'!$B:$B,$A280,'Таблиця 1'!$I:$I,"F-16"))</f>
        <v/>
      </c>
      <c r="E280">
        <f>IF($A280="","",COUNTIFS('Таблиця 1'!$B:$B,$A280,'Таблиця 1'!$I:$I,"МіГ-29"))</f>
        <v/>
      </c>
      <c r="F280">
        <f>IF($A280="","",COUNTIFS('Таблиця 1'!$B:$B,$A280,'Таблиця 1'!$I:$I,"Су-25"))</f>
        <v/>
      </c>
      <c r="G280">
        <f>IF($A280="","",COUNTIFS('Таблиця 1'!$B:$B,$A280,'Таблиця 1'!$I:$I,"Су-27"))</f>
        <v/>
      </c>
      <c r="H280">
        <f>IF($A280="","",SUMIFS('Таблиця 1'!$K:$K,'Таблиця 1'!$B:$B,$A280,'Таблиця 1'!$I:$I,"Mirage",'Таблиця 1'!$J:$J,"AGM-88")+SUMIFS('Таблиця 1'!$K:$K,'Таблиця 1'!$B:$B,$A280,'Таблиця 1'!$I:$I,"F-16",'Таблиця 1'!$J:$J,"AGM-88")+SUMIFS('Таблиця 1'!$K:$K,'Таблиця 1'!$B:$B,$A280,'Таблиця 1'!$I:$I,"МіГ-29",'Таблиця 1'!$J:$J,"AGM-88")+SUMIFS('Таблиця 1'!$K:$K,'Таблиця 1'!$B:$B,$A280,'Таблиця 1'!$I:$I,"Су-25",'Таблиця 1'!$J:$J,"AGM-88")+SUMIFS('Таблиця 1'!$K:$K,'Таблиця 1'!$B:$B,$A280,'Таблиця 1'!$I:$I,"Су-27",'Таблиця 1'!$J:$J,"AGM-88"))</f>
        <v/>
      </c>
      <c r="I280">
        <f>IF($A280="","",SUMIFS('Таблиця 1'!$K:$K,'Таблиця 1'!$B:$B,$A280,'Таблиця 1'!$I:$I,"Mirage",'Таблиця 1'!$J:$J,"AASM-250")+SUMIFS('Таблиця 1'!$K:$K,'Таблиця 1'!$B:$B,$A280,'Таблиця 1'!$I:$I,"F-16",'Таблиця 1'!$J:$J,"AASM-250")+SUMIFS('Таблиця 1'!$K:$K,'Таблиця 1'!$B:$B,$A280,'Таблиця 1'!$I:$I,"МіГ-29",'Таблиця 1'!$J:$J,"AASM-250")+SUMIFS('Таблиця 1'!$K:$K,'Таблиця 1'!$B:$B,$A280,'Таблиця 1'!$I:$I,"Су-25",'Таблиця 1'!$J:$J,"AASM-250")+SUMIFS('Таблиця 1'!$K:$K,'Таблиця 1'!$B:$B,$A280,'Таблиця 1'!$I:$I,"Су-27",'Таблиця 1'!$J:$J,"AASM-250"))</f>
        <v/>
      </c>
      <c r="J280">
        <f>IF($A280="","",SUMIFS('Таблиця 1'!$K:$K,'Таблиця 1'!$B:$B,$A280,'Таблиця 1'!$I:$I,"Mirage",'Таблиця 1'!$J:$J,"GBU-39")+SUMIFS('Таблиця 1'!$K:$K,'Таблиця 1'!$B:$B,$A280,'Таблиця 1'!$I:$I,"F-16",'Таблиця 1'!$J:$J,"GBU-39")+SUMIFS('Таблиця 1'!$K:$K,'Таблиця 1'!$B:$B,$A280,'Таблиця 1'!$I:$I,"МіГ-29",'Таблиця 1'!$J:$J,"GBU-39")+SUMIFS('Таблиця 1'!$K:$K,'Таблиця 1'!$B:$B,$A280,'Таблиця 1'!$I:$I,"Су-25",'Таблиця 1'!$J:$J,"GBU-39")+SUMIFS('Таблиця 1'!$K:$K,'Таблиця 1'!$B:$B,$A280,'Таблиця 1'!$I:$I,"Су-27",'Таблиця 1'!$J:$J,"GBU-39"))</f>
        <v/>
      </c>
      <c r="K280">
        <f>IF($A280="","",SUMIFS('Таблиця 1'!$K:$K,'Таблиця 1'!$B:$B,$A280,'Таблиця 1'!$I:$I,"Mirage",'Таблиця 1'!$J:$J,"BLU-140")+SUMIFS('Таблиця 1'!$K:$K,'Таблиця 1'!$B:$B,$A280,'Таблиця 1'!$I:$I,"F-16",'Таблиця 1'!$J:$J,"BLU-140")+SUMIFS('Таблиця 1'!$K:$K,'Таблиця 1'!$B:$B,$A280,'Таблиця 1'!$I:$I,"МіГ-29",'Таблиця 1'!$J:$J,"BLU-140")+SUMIFS('Таблиця 1'!$K:$K,'Таблиця 1'!$B:$B,$A280,'Таблиця 1'!$I:$I,"Су-25",'Таблиця 1'!$J:$J,"BLU-140")+SUMIFS('Таблиця 1'!$K:$K,'Таблиця 1'!$B:$B,$A280,'Таблиця 1'!$I:$I,"Су-27",'Таблиця 1'!$J:$J,"BLU-140"))</f>
        <v/>
      </c>
      <c r="L280">
        <f>IF($A280="","",SUMIFS('Таблиця 1'!$K:$K,'Таблиця 1'!$B:$B,$A280,'Таблиця 1'!$I:$I,"Mirage",'Таблиця 1'!$J:$J,"GBU-65")+SUMIFS('Таблиця 1'!$K:$K,'Таблиця 1'!$B:$B,$A280,'Таблиця 1'!$I:$I,"F-16",'Таблиця 1'!$J:$J,"GBU-65")+SUMIFS('Таблиця 1'!$K:$K,'Таблиця 1'!$B:$B,$A280,'Таблиця 1'!$I:$I,"МіГ-29",'Таблиця 1'!$J:$J,"GBU-65")+SUMIFS('Таблиця 1'!$K:$K,'Таблиця 1'!$B:$B,$A280,'Таблиця 1'!$I:$I,"Су-25",'Таблиця 1'!$J:$J,"GBU-65")+SUMIFS('Таблиця 1'!$K:$K,'Таблиця 1'!$B:$B,$A280,'Таблиця 1'!$I:$I,"Су-27",'Таблиця 1'!$J:$J,"GBU-65"))</f>
        <v/>
      </c>
      <c r="M280">
        <f>IF($A280="","",SUMIFS('Таблиця 1'!$K:$K,'Таблиця 1'!$B:$B,$A280,'Таблиця 1'!$I:$I,"Mirage",'Таблиця 1'!$J:$J,"GBU-62")+SUMIFS('Таблиця 1'!$K:$K,'Таблиця 1'!$B:$B,$A280,'Таблиця 1'!$I:$I,"F-16",'Таблиця 1'!$J:$J,"GBU-62")+SUMIFS('Таблиця 1'!$K:$K,'Таблиця 1'!$B:$B,$A280,'Таблиця 1'!$I:$I,"МіГ-29",'Таблиця 1'!$J:$J,"GBU-62")+SUMIFS('Таблиця 1'!$K:$K,'Таблиця 1'!$B:$B,$A280,'Таблиця 1'!$I:$I,"Су-25",'Таблиця 1'!$J:$J,"GBU-62")+SUMIFS('Таблиця 1'!$K:$K,'Таблиця 1'!$B:$B,$A280,'Таблиця 1'!$I:$I,"Су-27",'Таблиця 1'!$J:$J,"GBU-62"))</f>
        <v/>
      </c>
      <c r="N280">
        <f>IF($A280="","",SUMIFS('Таблиця 1'!$K:$K,'Таблиця 1'!$B:$B,$A280,'Таблиця 1'!$I:$I,"Mirage",'Таблиця 1'!$J:$J,"GBU-64")+SUMIFS('Таблиця 1'!$K:$K,'Таблиця 1'!$B:$B,$A280,'Таблиця 1'!$I:$I,"F-16",'Таблиця 1'!$J:$J,"GBU-64")+SUMIFS('Таблиця 1'!$K:$K,'Таблиця 1'!$B:$B,$A280,'Таблиця 1'!$I:$I,"МіГ-29",'Таблиця 1'!$J:$J,"GBU-64")+SUMIFS('Таблиця 1'!$K:$K,'Таблиця 1'!$B:$B,$A280,'Таблиця 1'!$I:$I,"Су-25",'Таблиця 1'!$J:$J,"GBU-64")+SUMIFS('Таблиця 1'!$K:$K,'Таблиця 1'!$B:$B,$A280,'Таблиця 1'!$I:$I,"Су-27",'Таблиця 1'!$J:$J,"GBU-64"))</f>
        <v/>
      </c>
      <c r="O280">
        <f>IF($A280="","",SUMIFS('Таблиця 1'!$K:$K,'Таблиця 1'!$B:$B,$A280,'Таблиця 1'!$I:$I,"Mirage",'Таблиця 1'!$J:$J,"C-13")+SUMIFS('Таблиця 1'!$K:$K,'Таблиця 1'!$B:$B,$A280,'Таблиця 1'!$I:$I,"F-16",'Таблиця 1'!$J:$J,"C-13")+SUMIFS('Таблиця 1'!$K:$K,'Таблиця 1'!$B:$B,$A280,'Таблиця 1'!$I:$I,"МіГ-29",'Таблиця 1'!$J:$J,"C-13")+SUMIFS('Таблиця 1'!$K:$K,'Таблиця 1'!$B:$B,$A280,'Таблиця 1'!$I:$I,"Су-25",'Таблиця 1'!$J:$J,"C-13")+SUMIFS('Таблиця 1'!$K:$K,'Таблиця 1'!$B:$B,$A280,'Таблиця 1'!$I:$I,"Су-27",'Таблиця 1'!$J:$J,"C-13"))</f>
        <v/>
      </c>
      <c r="P280">
        <f>IF($A280="","",SUMIFS('Таблиця 1'!$K:$K,'Таблиця 1'!$B:$B,$A280,'Таблиця 1'!$I:$I,"Mirage",'Таблиця 1'!$J:$J,"MK-32")+SUMIFS('Таблиця 1'!$K:$K,'Таблиця 1'!$B:$B,$A280,'Таблиця 1'!$I:$I,"F-16",'Таблиця 1'!$J:$J,"MK-32")+SUMIFS('Таблиця 1'!$K:$K,'Таблиця 1'!$B:$B,$A280,'Таблиця 1'!$I:$I,"МіГ-29",'Таблиця 1'!$J:$J,"MK-32")+SUMIFS('Таблиця 1'!$K:$K,'Таблиця 1'!$B:$B,$A280,'Таблиця 1'!$I:$I,"Су-25",'Таблиця 1'!$J:$J,"MK-32")+SUMIFS('Таблиця 1'!$K:$K,'Таблиця 1'!$B:$B,$A280,'Таблиця 1'!$I:$I,"Су-27",'Таблиця 1'!$J:$J,"MK-32"))</f>
        <v/>
      </c>
      <c r="Q280">
        <f>IF($A280="","",SUMIFS('Таблиця 1'!$K:$K,'Таблиця 1'!$B:$B,$A280,'Таблиця 1'!$I:$I,"Mirage",'Таблиця 1'!$J:$J,"MK-24")+SUMIFS('Таблиця 1'!$K:$K,'Таблиця 1'!$B:$B,$A280,'Таблиця 1'!$I:$I,"F-16",'Таблиця 1'!$J:$J,"MK-24")+SUMIFS('Таблиця 1'!$K:$K,'Таблиця 1'!$B:$B,$A280,'Таблиця 1'!$I:$I,"МіГ-29",'Таблиця 1'!$J:$J,"MK-24")+SUMIFS('Таблиця 1'!$K:$K,'Таблиця 1'!$B:$B,$A280,'Таблиця 1'!$I:$I,"Су-25",'Таблиця 1'!$J:$J,"MK-24")+SUMIFS('Таблиця 1'!$K:$K,'Таблиця 1'!$B:$B,$A280,'Таблиця 1'!$I:$I,"Су-27",'Таблиця 1'!$J:$J,"MK-24"))</f>
        <v/>
      </c>
      <c r="R280">
        <f>IF($A280="","",COUNTIFS('Таблиця 1'!$B:$B,$A280,'Таблиця 1'!$I:$I,"Mirage",'Таблиця 1'!$L:$L,"Уражено")+COUNTIFS('Таблиця 1'!$B:$B,$A280,'Таблиця 1'!$I:$I,"F-16",'Таблиця 1'!$L:$L,"Уражено")+COUNTIFS('Таблиця 1'!$B:$B,$A280,'Таблиця 1'!$I:$I,"МіГ-29",'Таблиця 1'!$L:$L,"Уражено")+COUNTIFS('Таблиця 1'!$B:$B,$A280,'Таблиця 1'!$I:$I,"Су-25",'Таблиця 1'!$L:$L,"Уражено")+COUNTIFS('Таблиця 1'!$B:$B,$A280,'Таблиця 1'!$I:$I,"Су-27",'Таблиця 1'!$L:$L,"Уражено"))</f>
        <v/>
      </c>
      <c r="S280">
        <f>IF($A280="","",COUNTIFS('Таблиця 1'!$B:$B,$A280,'Таблиця 1'!$I:$I,"Mirage",'Таблиця 1'!$L:$L,"НЕ уражено")+COUNTIFS('Таблиця 1'!$B:$B,$A280,'Таблиця 1'!$I:$I,"F-16",'Таблиця 1'!$L:$L,"НЕ уражено")+COUNTIFS('Таблиця 1'!$B:$B,$A280,'Таблиця 1'!$I:$I,"МіГ-29",'Таблиця 1'!$L:$L,"НЕ уражено")+COUNTIFS('Таблиця 1'!$B:$B,$A280,'Таблиця 1'!$I:$I,"Су-25",'Таблиця 1'!$L:$L,"НЕ уражено")+COUNTIFS('Таблиця 1'!$B:$B,$A280,'Таблиця 1'!$I:$I,"Су-27",'Таблиця 1'!$L:$L,"НЕ уражено"))</f>
        <v/>
      </c>
      <c r="T280">
        <f>IF($A280="","",COUNTIFS('Таблиця 1'!$B:$B,$A280,'Таблиця 1'!$I:$I,"Mirage",'Таблиця 1'!$L:$L,"Дорозвідується")+COUNTIFS('Таблиця 1'!$B:$B,$A280,'Таблиця 1'!$I:$I,"F-16",'Таблиця 1'!$L:$L,"Дорозвідується")+COUNTIFS('Таблиця 1'!$B:$B,$A280,'Таблиця 1'!$I:$I,"МіГ-29",'Таблиця 1'!$L:$L,"Дорозвідується")+COUNTIFS('Таблиця 1'!$B:$B,$A280,'Таблиця 1'!$I:$I,"Су-25",'Таблиця 1'!$L:$L,"Дорозвідується")+COUNTIFS('Таблиця 1'!$B:$B,$A280,'Таблиця 1'!$I:$I,"Су-27",'Таблиця 1'!$L:$L,"Дорозвідується"))</f>
        <v/>
      </c>
    </row>
    <row r="281">
      <c r="A281" s="273">
        <f>IF(A280="","",IF(A280+1&gt;MAX('Таблиця 1'!$B:$B),"",A280+1))</f>
        <v/>
      </c>
      <c r="B281">
        <f>IF($A281="","",COUNTIFS('Таблиця 1'!$B:$B,$A281,'Таблиця 1'!$I:$I,"Mirage")+COUNTIFS('Таблиця 1'!$B:$B,$A281,'Таблиця 1'!$I:$I,"F-16")+COUNTIFS('Таблиця 1'!$B:$B,$A281,'Таблиця 1'!$I:$I,"МіГ-29")+COUNTIFS('Таблиця 1'!$B:$B,$A281,'Таблиця 1'!$I:$I,"Су-25")+COUNTIFS('Таблиця 1'!$B:$B,$A281,'Таблиця 1'!$I:$I,"Су-27"))</f>
        <v/>
      </c>
      <c r="C281">
        <f>IF($A281="","",COUNTIFS('Таблиця 1'!$B:$B,$A281,'Таблиця 1'!$I:$I,"Mirage"))</f>
        <v/>
      </c>
      <c r="D281">
        <f>IF($A281="","",COUNTIFS('Таблиця 1'!$B:$B,$A281,'Таблиця 1'!$I:$I,"F-16"))</f>
        <v/>
      </c>
      <c r="E281">
        <f>IF($A281="","",COUNTIFS('Таблиця 1'!$B:$B,$A281,'Таблиця 1'!$I:$I,"МіГ-29"))</f>
        <v/>
      </c>
      <c r="F281">
        <f>IF($A281="","",COUNTIFS('Таблиця 1'!$B:$B,$A281,'Таблиця 1'!$I:$I,"Су-25"))</f>
        <v/>
      </c>
      <c r="G281">
        <f>IF($A281="","",COUNTIFS('Таблиця 1'!$B:$B,$A281,'Таблиця 1'!$I:$I,"Су-27"))</f>
        <v/>
      </c>
      <c r="H281">
        <f>IF($A281="","",SUMIFS('Таблиця 1'!$K:$K,'Таблиця 1'!$B:$B,$A281,'Таблиця 1'!$I:$I,"Mirage",'Таблиця 1'!$J:$J,"AGM-88")+SUMIFS('Таблиця 1'!$K:$K,'Таблиця 1'!$B:$B,$A281,'Таблиця 1'!$I:$I,"F-16",'Таблиця 1'!$J:$J,"AGM-88")+SUMIFS('Таблиця 1'!$K:$K,'Таблиця 1'!$B:$B,$A281,'Таблиця 1'!$I:$I,"МіГ-29",'Таблиця 1'!$J:$J,"AGM-88")+SUMIFS('Таблиця 1'!$K:$K,'Таблиця 1'!$B:$B,$A281,'Таблиця 1'!$I:$I,"Су-25",'Таблиця 1'!$J:$J,"AGM-88")+SUMIFS('Таблиця 1'!$K:$K,'Таблиця 1'!$B:$B,$A281,'Таблиця 1'!$I:$I,"Су-27",'Таблиця 1'!$J:$J,"AGM-88"))</f>
        <v/>
      </c>
      <c r="I281">
        <f>IF($A281="","",SUMIFS('Таблиця 1'!$K:$K,'Таблиця 1'!$B:$B,$A281,'Таблиця 1'!$I:$I,"Mirage",'Таблиця 1'!$J:$J,"AASM-250")+SUMIFS('Таблиця 1'!$K:$K,'Таблиця 1'!$B:$B,$A281,'Таблиця 1'!$I:$I,"F-16",'Таблиця 1'!$J:$J,"AASM-250")+SUMIFS('Таблиця 1'!$K:$K,'Таблиця 1'!$B:$B,$A281,'Таблиця 1'!$I:$I,"МіГ-29",'Таблиця 1'!$J:$J,"AASM-250")+SUMIFS('Таблиця 1'!$K:$K,'Таблиця 1'!$B:$B,$A281,'Таблиця 1'!$I:$I,"Су-25",'Таблиця 1'!$J:$J,"AASM-250")+SUMIFS('Таблиця 1'!$K:$K,'Таблиця 1'!$B:$B,$A281,'Таблиця 1'!$I:$I,"Су-27",'Таблиця 1'!$J:$J,"AASM-250"))</f>
        <v/>
      </c>
      <c r="J281">
        <f>IF($A281="","",SUMIFS('Таблиця 1'!$K:$K,'Таблиця 1'!$B:$B,$A281,'Таблиця 1'!$I:$I,"Mirage",'Таблиця 1'!$J:$J,"GBU-39")+SUMIFS('Таблиця 1'!$K:$K,'Таблиця 1'!$B:$B,$A281,'Таблиця 1'!$I:$I,"F-16",'Таблиця 1'!$J:$J,"GBU-39")+SUMIFS('Таблиця 1'!$K:$K,'Таблиця 1'!$B:$B,$A281,'Таблиця 1'!$I:$I,"МіГ-29",'Таблиця 1'!$J:$J,"GBU-39")+SUMIFS('Таблиця 1'!$K:$K,'Таблиця 1'!$B:$B,$A281,'Таблиця 1'!$I:$I,"Су-25",'Таблиця 1'!$J:$J,"GBU-39")+SUMIFS('Таблиця 1'!$K:$K,'Таблиця 1'!$B:$B,$A281,'Таблиця 1'!$I:$I,"Су-27",'Таблиця 1'!$J:$J,"GBU-39"))</f>
        <v/>
      </c>
      <c r="K281">
        <f>IF($A281="","",SUMIFS('Таблиця 1'!$K:$K,'Таблиця 1'!$B:$B,$A281,'Таблиця 1'!$I:$I,"Mirage",'Таблиця 1'!$J:$J,"BLU-140")+SUMIFS('Таблиця 1'!$K:$K,'Таблиця 1'!$B:$B,$A281,'Таблиця 1'!$I:$I,"F-16",'Таблиця 1'!$J:$J,"BLU-140")+SUMIFS('Таблиця 1'!$K:$K,'Таблиця 1'!$B:$B,$A281,'Таблиця 1'!$I:$I,"МіГ-29",'Таблиця 1'!$J:$J,"BLU-140")+SUMIFS('Таблиця 1'!$K:$K,'Таблиця 1'!$B:$B,$A281,'Таблиця 1'!$I:$I,"Су-25",'Таблиця 1'!$J:$J,"BLU-140")+SUMIFS('Таблиця 1'!$K:$K,'Таблиця 1'!$B:$B,$A281,'Таблиця 1'!$I:$I,"Су-27",'Таблиця 1'!$J:$J,"BLU-140"))</f>
        <v/>
      </c>
      <c r="L281">
        <f>IF($A281="","",SUMIFS('Таблиця 1'!$K:$K,'Таблиця 1'!$B:$B,$A281,'Таблиця 1'!$I:$I,"Mirage",'Таблиця 1'!$J:$J,"GBU-65")+SUMIFS('Таблиця 1'!$K:$K,'Таблиця 1'!$B:$B,$A281,'Таблиця 1'!$I:$I,"F-16",'Таблиця 1'!$J:$J,"GBU-65")+SUMIFS('Таблиця 1'!$K:$K,'Таблиця 1'!$B:$B,$A281,'Таблиця 1'!$I:$I,"МіГ-29",'Таблиця 1'!$J:$J,"GBU-65")+SUMIFS('Таблиця 1'!$K:$K,'Таблиця 1'!$B:$B,$A281,'Таблиця 1'!$I:$I,"Су-25",'Таблиця 1'!$J:$J,"GBU-65")+SUMIFS('Таблиця 1'!$K:$K,'Таблиця 1'!$B:$B,$A281,'Таблиця 1'!$I:$I,"Су-27",'Таблиця 1'!$J:$J,"GBU-65"))</f>
        <v/>
      </c>
      <c r="M281">
        <f>IF($A281="","",SUMIFS('Таблиця 1'!$K:$K,'Таблиця 1'!$B:$B,$A281,'Таблиця 1'!$I:$I,"Mirage",'Таблиця 1'!$J:$J,"GBU-62")+SUMIFS('Таблиця 1'!$K:$K,'Таблиця 1'!$B:$B,$A281,'Таблиця 1'!$I:$I,"F-16",'Таблиця 1'!$J:$J,"GBU-62")+SUMIFS('Таблиця 1'!$K:$K,'Таблиця 1'!$B:$B,$A281,'Таблиця 1'!$I:$I,"МіГ-29",'Таблиця 1'!$J:$J,"GBU-62")+SUMIFS('Таблиця 1'!$K:$K,'Таблиця 1'!$B:$B,$A281,'Таблиця 1'!$I:$I,"Су-25",'Таблиця 1'!$J:$J,"GBU-62")+SUMIFS('Таблиця 1'!$K:$K,'Таблиця 1'!$B:$B,$A281,'Таблиця 1'!$I:$I,"Су-27",'Таблиця 1'!$J:$J,"GBU-62"))</f>
        <v/>
      </c>
      <c r="N281">
        <f>IF($A281="","",SUMIFS('Таблиця 1'!$K:$K,'Таблиця 1'!$B:$B,$A281,'Таблиця 1'!$I:$I,"Mirage",'Таблиця 1'!$J:$J,"GBU-64")+SUMIFS('Таблиця 1'!$K:$K,'Таблиця 1'!$B:$B,$A281,'Таблиця 1'!$I:$I,"F-16",'Таблиця 1'!$J:$J,"GBU-64")+SUMIFS('Таблиця 1'!$K:$K,'Таблиця 1'!$B:$B,$A281,'Таблиця 1'!$I:$I,"МіГ-29",'Таблиця 1'!$J:$J,"GBU-64")+SUMIFS('Таблиця 1'!$K:$K,'Таблиця 1'!$B:$B,$A281,'Таблиця 1'!$I:$I,"Су-25",'Таблиця 1'!$J:$J,"GBU-64")+SUMIFS('Таблиця 1'!$K:$K,'Таблиця 1'!$B:$B,$A281,'Таблиця 1'!$I:$I,"Су-27",'Таблиця 1'!$J:$J,"GBU-64"))</f>
        <v/>
      </c>
      <c r="O281">
        <f>IF($A281="","",SUMIFS('Таблиця 1'!$K:$K,'Таблиця 1'!$B:$B,$A281,'Таблиця 1'!$I:$I,"Mirage",'Таблиця 1'!$J:$J,"C-13")+SUMIFS('Таблиця 1'!$K:$K,'Таблиця 1'!$B:$B,$A281,'Таблиця 1'!$I:$I,"F-16",'Таблиця 1'!$J:$J,"C-13")+SUMIFS('Таблиця 1'!$K:$K,'Таблиця 1'!$B:$B,$A281,'Таблиця 1'!$I:$I,"МіГ-29",'Таблиця 1'!$J:$J,"C-13")+SUMIFS('Таблиця 1'!$K:$K,'Таблиця 1'!$B:$B,$A281,'Таблиця 1'!$I:$I,"Су-25",'Таблиця 1'!$J:$J,"C-13")+SUMIFS('Таблиця 1'!$K:$K,'Таблиця 1'!$B:$B,$A281,'Таблиця 1'!$I:$I,"Су-27",'Таблиця 1'!$J:$J,"C-13"))</f>
        <v/>
      </c>
      <c r="P281">
        <f>IF($A281="","",SUMIFS('Таблиця 1'!$K:$K,'Таблиця 1'!$B:$B,$A281,'Таблиця 1'!$I:$I,"Mirage",'Таблиця 1'!$J:$J,"MK-32")+SUMIFS('Таблиця 1'!$K:$K,'Таблиця 1'!$B:$B,$A281,'Таблиця 1'!$I:$I,"F-16",'Таблиця 1'!$J:$J,"MK-32")+SUMIFS('Таблиця 1'!$K:$K,'Таблиця 1'!$B:$B,$A281,'Таблиця 1'!$I:$I,"МіГ-29",'Таблиця 1'!$J:$J,"MK-32")+SUMIFS('Таблиця 1'!$K:$K,'Таблиця 1'!$B:$B,$A281,'Таблиця 1'!$I:$I,"Су-25",'Таблиця 1'!$J:$J,"MK-32")+SUMIFS('Таблиця 1'!$K:$K,'Таблиця 1'!$B:$B,$A281,'Таблиця 1'!$I:$I,"Су-27",'Таблиця 1'!$J:$J,"MK-32"))</f>
        <v/>
      </c>
      <c r="Q281">
        <f>IF($A281="","",SUMIFS('Таблиця 1'!$K:$K,'Таблиця 1'!$B:$B,$A281,'Таблиця 1'!$I:$I,"Mirage",'Таблиця 1'!$J:$J,"MK-24")+SUMIFS('Таблиця 1'!$K:$K,'Таблиця 1'!$B:$B,$A281,'Таблиця 1'!$I:$I,"F-16",'Таблиця 1'!$J:$J,"MK-24")+SUMIFS('Таблиця 1'!$K:$K,'Таблиця 1'!$B:$B,$A281,'Таблиця 1'!$I:$I,"МіГ-29",'Таблиця 1'!$J:$J,"MK-24")+SUMIFS('Таблиця 1'!$K:$K,'Таблиця 1'!$B:$B,$A281,'Таблиця 1'!$I:$I,"Су-25",'Таблиця 1'!$J:$J,"MK-24")+SUMIFS('Таблиця 1'!$K:$K,'Таблиця 1'!$B:$B,$A281,'Таблиця 1'!$I:$I,"Су-27",'Таблиця 1'!$J:$J,"MK-24"))</f>
        <v/>
      </c>
      <c r="R281">
        <f>IF($A281="","",COUNTIFS('Таблиця 1'!$B:$B,$A281,'Таблиця 1'!$I:$I,"Mirage",'Таблиця 1'!$L:$L,"Уражено")+COUNTIFS('Таблиця 1'!$B:$B,$A281,'Таблиця 1'!$I:$I,"F-16",'Таблиця 1'!$L:$L,"Уражено")+COUNTIFS('Таблиця 1'!$B:$B,$A281,'Таблиця 1'!$I:$I,"МіГ-29",'Таблиця 1'!$L:$L,"Уражено")+COUNTIFS('Таблиця 1'!$B:$B,$A281,'Таблиця 1'!$I:$I,"Су-25",'Таблиця 1'!$L:$L,"Уражено")+COUNTIFS('Таблиця 1'!$B:$B,$A281,'Таблиця 1'!$I:$I,"Су-27",'Таблиця 1'!$L:$L,"Уражено"))</f>
        <v/>
      </c>
      <c r="S281">
        <f>IF($A281="","",COUNTIFS('Таблиця 1'!$B:$B,$A281,'Таблиця 1'!$I:$I,"Mirage",'Таблиця 1'!$L:$L,"НЕ уражено")+COUNTIFS('Таблиця 1'!$B:$B,$A281,'Таблиця 1'!$I:$I,"F-16",'Таблиця 1'!$L:$L,"НЕ уражено")+COUNTIFS('Таблиця 1'!$B:$B,$A281,'Таблиця 1'!$I:$I,"МіГ-29",'Таблиця 1'!$L:$L,"НЕ уражено")+COUNTIFS('Таблиця 1'!$B:$B,$A281,'Таблиця 1'!$I:$I,"Су-25",'Таблиця 1'!$L:$L,"НЕ уражено")+COUNTIFS('Таблиця 1'!$B:$B,$A281,'Таблиця 1'!$I:$I,"Су-27",'Таблиця 1'!$L:$L,"НЕ уражено"))</f>
        <v/>
      </c>
      <c r="T281">
        <f>IF($A281="","",COUNTIFS('Таблиця 1'!$B:$B,$A281,'Таблиця 1'!$I:$I,"Mirage",'Таблиця 1'!$L:$L,"Дорозвідується")+COUNTIFS('Таблиця 1'!$B:$B,$A281,'Таблиця 1'!$I:$I,"F-16",'Таблиця 1'!$L:$L,"Дорозвідується")+COUNTIFS('Таблиця 1'!$B:$B,$A281,'Таблиця 1'!$I:$I,"МіГ-29",'Таблиця 1'!$L:$L,"Дорозвідується")+COUNTIFS('Таблиця 1'!$B:$B,$A281,'Таблиця 1'!$I:$I,"Су-25",'Таблиця 1'!$L:$L,"Дорозвідується")+COUNTIFS('Таблиця 1'!$B:$B,$A281,'Таблиця 1'!$I:$I,"Су-27",'Таблиця 1'!$L:$L,"Дорозвідується"))</f>
        <v/>
      </c>
    </row>
    <row r="282">
      <c r="A282" s="273">
        <f>IF(A281="","",IF(A281+1&gt;MAX('Таблиця 1'!$B:$B),"",A281+1))</f>
        <v/>
      </c>
      <c r="B282">
        <f>IF($A282="","",COUNTIFS('Таблиця 1'!$B:$B,$A282,'Таблиця 1'!$I:$I,"Mirage")+COUNTIFS('Таблиця 1'!$B:$B,$A282,'Таблиця 1'!$I:$I,"F-16")+COUNTIFS('Таблиця 1'!$B:$B,$A282,'Таблиця 1'!$I:$I,"МіГ-29")+COUNTIFS('Таблиця 1'!$B:$B,$A282,'Таблиця 1'!$I:$I,"Су-25")+COUNTIFS('Таблиця 1'!$B:$B,$A282,'Таблиця 1'!$I:$I,"Су-27"))</f>
        <v/>
      </c>
      <c r="C282">
        <f>IF($A282="","",COUNTIFS('Таблиця 1'!$B:$B,$A282,'Таблиця 1'!$I:$I,"Mirage"))</f>
        <v/>
      </c>
      <c r="D282">
        <f>IF($A282="","",COUNTIFS('Таблиця 1'!$B:$B,$A282,'Таблиця 1'!$I:$I,"F-16"))</f>
        <v/>
      </c>
      <c r="E282">
        <f>IF($A282="","",COUNTIFS('Таблиця 1'!$B:$B,$A282,'Таблиця 1'!$I:$I,"МіГ-29"))</f>
        <v/>
      </c>
      <c r="F282">
        <f>IF($A282="","",COUNTIFS('Таблиця 1'!$B:$B,$A282,'Таблиця 1'!$I:$I,"Су-25"))</f>
        <v/>
      </c>
      <c r="G282">
        <f>IF($A282="","",COUNTIFS('Таблиця 1'!$B:$B,$A282,'Таблиця 1'!$I:$I,"Су-27"))</f>
        <v/>
      </c>
      <c r="H282">
        <f>IF($A282="","",SUMIFS('Таблиця 1'!$K:$K,'Таблиця 1'!$B:$B,$A282,'Таблиця 1'!$I:$I,"Mirage",'Таблиця 1'!$J:$J,"AGM-88")+SUMIFS('Таблиця 1'!$K:$K,'Таблиця 1'!$B:$B,$A282,'Таблиця 1'!$I:$I,"F-16",'Таблиця 1'!$J:$J,"AGM-88")+SUMIFS('Таблиця 1'!$K:$K,'Таблиця 1'!$B:$B,$A282,'Таблиця 1'!$I:$I,"МіГ-29",'Таблиця 1'!$J:$J,"AGM-88")+SUMIFS('Таблиця 1'!$K:$K,'Таблиця 1'!$B:$B,$A282,'Таблиця 1'!$I:$I,"Су-25",'Таблиця 1'!$J:$J,"AGM-88")+SUMIFS('Таблиця 1'!$K:$K,'Таблиця 1'!$B:$B,$A282,'Таблиця 1'!$I:$I,"Су-27",'Таблиця 1'!$J:$J,"AGM-88"))</f>
        <v/>
      </c>
      <c r="I282">
        <f>IF($A282="","",SUMIFS('Таблиця 1'!$K:$K,'Таблиця 1'!$B:$B,$A282,'Таблиця 1'!$I:$I,"Mirage",'Таблиця 1'!$J:$J,"AASM-250")+SUMIFS('Таблиця 1'!$K:$K,'Таблиця 1'!$B:$B,$A282,'Таблиця 1'!$I:$I,"F-16",'Таблиця 1'!$J:$J,"AASM-250")+SUMIFS('Таблиця 1'!$K:$K,'Таблиця 1'!$B:$B,$A282,'Таблиця 1'!$I:$I,"МіГ-29",'Таблиця 1'!$J:$J,"AASM-250")+SUMIFS('Таблиця 1'!$K:$K,'Таблиця 1'!$B:$B,$A282,'Таблиця 1'!$I:$I,"Су-25",'Таблиця 1'!$J:$J,"AASM-250")+SUMIFS('Таблиця 1'!$K:$K,'Таблиця 1'!$B:$B,$A282,'Таблиця 1'!$I:$I,"Су-27",'Таблиця 1'!$J:$J,"AASM-250"))</f>
        <v/>
      </c>
      <c r="J282">
        <f>IF($A282="","",SUMIFS('Таблиця 1'!$K:$K,'Таблиця 1'!$B:$B,$A282,'Таблиця 1'!$I:$I,"Mirage",'Таблиця 1'!$J:$J,"GBU-39")+SUMIFS('Таблиця 1'!$K:$K,'Таблиця 1'!$B:$B,$A282,'Таблиця 1'!$I:$I,"F-16",'Таблиця 1'!$J:$J,"GBU-39")+SUMIFS('Таблиця 1'!$K:$K,'Таблиця 1'!$B:$B,$A282,'Таблиця 1'!$I:$I,"МіГ-29",'Таблиця 1'!$J:$J,"GBU-39")+SUMIFS('Таблиця 1'!$K:$K,'Таблиця 1'!$B:$B,$A282,'Таблиця 1'!$I:$I,"Су-25",'Таблиця 1'!$J:$J,"GBU-39")+SUMIFS('Таблиця 1'!$K:$K,'Таблиця 1'!$B:$B,$A282,'Таблиця 1'!$I:$I,"Су-27",'Таблиця 1'!$J:$J,"GBU-39"))</f>
        <v/>
      </c>
      <c r="K282">
        <f>IF($A282="","",SUMIFS('Таблиця 1'!$K:$K,'Таблиця 1'!$B:$B,$A282,'Таблиця 1'!$I:$I,"Mirage",'Таблиця 1'!$J:$J,"BLU-140")+SUMIFS('Таблиця 1'!$K:$K,'Таблиця 1'!$B:$B,$A282,'Таблиця 1'!$I:$I,"F-16",'Таблиця 1'!$J:$J,"BLU-140")+SUMIFS('Таблиця 1'!$K:$K,'Таблиця 1'!$B:$B,$A282,'Таблиця 1'!$I:$I,"МіГ-29",'Таблиця 1'!$J:$J,"BLU-140")+SUMIFS('Таблиця 1'!$K:$K,'Таблиця 1'!$B:$B,$A282,'Таблиця 1'!$I:$I,"Су-25",'Таблиця 1'!$J:$J,"BLU-140")+SUMIFS('Таблиця 1'!$K:$K,'Таблиця 1'!$B:$B,$A282,'Таблиця 1'!$I:$I,"Су-27",'Таблиця 1'!$J:$J,"BLU-140"))</f>
        <v/>
      </c>
      <c r="L282">
        <f>IF($A282="","",SUMIFS('Таблиця 1'!$K:$K,'Таблиця 1'!$B:$B,$A282,'Таблиця 1'!$I:$I,"Mirage",'Таблиця 1'!$J:$J,"GBU-65")+SUMIFS('Таблиця 1'!$K:$K,'Таблиця 1'!$B:$B,$A282,'Таблиця 1'!$I:$I,"F-16",'Таблиця 1'!$J:$J,"GBU-65")+SUMIFS('Таблиця 1'!$K:$K,'Таблиця 1'!$B:$B,$A282,'Таблиця 1'!$I:$I,"МіГ-29",'Таблиця 1'!$J:$J,"GBU-65")+SUMIFS('Таблиця 1'!$K:$K,'Таблиця 1'!$B:$B,$A282,'Таблиця 1'!$I:$I,"Су-25",'Таблиця 1'!$J:$J,"GBU-65")+SUMIFS('Таблиця 1'!$K:$K,'Таблиця 1'!$B:$B,$A282,'Таблиця 1'!$I:$I,"Су-27",'Таблиця 1'!$J:$J,"GBU-65"))</f>
        <v/>
      </c>
      <c r="M282">
        <f>IF($A282="","",SUMIFS('Таблиця 1'!$K:$K,'Таблиця 1'!$B:$B,$A282,'Таблиця 1'!$I:$I,"Mirage",'Таблиця 1'!$J:$J,"GBU-62")+SUMIFS('Таблиця 1'!$K:$K,'Таблиця 1'!$B:$B,$A282,'Таблиця 1'!$I:$I,"F-16",'Таблиця 1'!$J:$J,"GBU-62")+SUMIFS('Таблиця 1'!$K:$K,'Таблиця 1'!$B:$B,$A282,'Таблиця 1'!$I:$I,"МіГ-29",'Таблиця 1'!$J:$J,"GBU-62")+SUMIFS('Таблиця 1'!$K:$K,'Таблиця 1'!$B:$B,$A282,'Таблиця 1'!$I:$I,"Су-25",'Таблиця 1'!$J:$J,"GBU-62")+SUMIFS('Таблиця 1'!$K:$K,'Таблиця 1'!$B:$B,$A282,'Таблиця 1'!$I:$I,"Су-27",'Таблиця 1'!$J:$J,"GBU-62"))</f>
        <v/>
      </c>
      <c r="N282">
        <f>IF($A282="","",SUMIFS('Таблиця 1'!$K:$K,'Таблиця 1'!$B:$B,$A282,'Таблиця 1'!$I:$I,"Mirage",'Таблиця 1'!$J:$J,"GBU-64")+SUMIFS('Таблиця 1'!$K:$K,'Таблиця 1'!$B:$B,$A282,'Таблиця 1'!$I:$I,"F-16",'Таблиця 1'!$J:$J,"GBU-64")+SUMIFS('Таблиця 1'!$K:$K,'Таблиця 1'!$B:$B,$A282,'Таблиця 1'!$I:$I,"МіГ-29",'Таблиця 1'!$J:$J,"GBU-64")+SUMIFS('Таблиця 1'!$K:$K,'Таблиця 1'!$B:$B,$A282,'Таблиця 1'!$I:$I,"Су-25",'Таблиця 1'!$J:$J,"GBU-64")+SUMIFS('Таблиця 1'!$K:$K,'Таблиця 1'!$B:$B,$A282,'Таблиця 1'!$I:$I,"Су-27",'Таблиця 1'!$J:$J,"GBU-64"))</f>
        <v/>
      </c>
      <c r="O282">
        <f>IF($A282="","",SUMIFS('Таблиця 1'!$K:$K,'Таблиця 1'!$B:$B,$A282,'Таблиця 1'!$I:$I,"Mirage",'Таблиця 1'!$J:$J,"C-13")+SUMIFS('Таблиця 1'!$K:$K,'Таблиця 1'!$B:$B,$A282,'Таблиця 1'!$I:$I,"F-16",'Таблиця 1'!$J:$J,"C-13")+SUMIFS('Таблиця 1'!$K:$K,'Таблиця 1'!$B:$B,$A282,'Таблиця 1'!$I:$I,"МіГ-29",'Таблиця 1'!$J:$J,"C-13")+SUMIFS('Таблиця 1'!$K:$K,'Таблиця 1'!$B:$B,$A282,'Таблиця 1'!$I:$I,"Су-25",'Таблиця 1'!$J:$J,"C-13")+SUMIFS('Таблиця 1'!$K:$K,'Таблиця 1'!$B:$B,$A282,'Таблиця 1'!$I:$I,"Су-27",'Таблиця 1'!$J:$J,"C-13"))</f>
        <v/>
      </c>
      <c r="P282">
        <f>IF($A282="","",SUMIFS('Таблиця 1'!$K:$K,'Таблиця 1'!$B:$B,$A282,'Таблиця 1'!$I:$I,"Mirage",'Таблиця 1'!$J:$J,"MK-32")+SUMIFS('Таблиця 1'!$K:$K,'Таблиця 1'!$B:$B,$A282,'Таблиця 1'!$I:$I,"F-16",'Таблиця 1'!$J:$J,"MK-32")+SUMIFS('Таблиця 1'!$K:$K,'Таблиця 1'!$B:$B,$A282,'Таблиця 1'!$I:$I,"МіГ-29",'Таблиця 1'!$J:$J,"MK-32")+SUMIFS('Таблиця 1'!$K:$K,'Таблиця 1'!$B:$B,$A282,'Таблиця 1'!$I:$I,"Су-25",'Таблиця 1'!$J:$J,"MK-32")+SUMIFS('Таблиця 1'!$K:$K,'Таблиця 1'!$B:$B,$A282,'Таблиця 1'!$I:$I,"Су-27",'Таблиця 1'!$J:$J,"MK-32"))</f>
        <v/>
      </c>
      <c r="Q282">
        <f>IF($A282="","",SUMIFS('Таблиця 1'!$K:$K,'Таблиця 1'!$B:$B,$A282,'Таблиця 1'!$I:$I,"Mirage",'Таблиця 1'!$J:$J,"MK-24")+SUMIFS('Таблиця 1'!$K:$K,'Таблиця 1'!$B:$B,$A282,'Таблиця 1'!$I:$I,"F-16",'Таблиця 1'!$J:$J,"MK-24")+SUMIFS('Таблиця 1'!$K:$K,'Таблиця 1'!$B:$B,$A282,'Таблиця 1'!$I:$I,"МіГ-29",'Таблиця 1'!$J:$J,"MK-24")+SUMIFS('Таблиця 1'!$K:$K,'Таблиця 1'!$B:$B,$A282,'Таблиця 1'!$I:$I,"Су-25",'Таблиця 1'!$J:$J,"MK-24")+SUMIFS('Таблиця 1'!$K:$K,'Таблиця 1'!$B:$B,$A282,'Таблиця 1'!$I:$I,"Су-27",'Таблиця 1'!$J:$J,"MK-24"))</f>
        <v/>
      </c>
      <c r="R282">
        <f>IF($A282="","",COUNTIFS('Таблиця 1'!$B:$B,$A282,'Таблиця 1'!$I:$I,"Mirage",'Таблиця 1'!$L:$L,"Уражено")+COUNTIFS('Таблиця 1'!$B:$B,$A282,'Таблиця 1'!$I:$I,"F-16",'Таблиця 1'!$L:$L,"Уражено")+COUNTIFS('Таблиця 1'!$B:$B,$A282,'Таблиця 1'!$I:$I,"МіГ-29",'Таблиця 1'!$L:$L,"Уражено")+COUNTIFS('Таблиця 1'!$B:$B,$A282,'Таблиця 1'!$I:$I,"Су-25",'Таблиця 1'!$L:$L,"Уражено")+COUNTIFS('Таблиця 1'!$B:$B,$A282,'Таблиця 1'!$I:$I,"Су-27",'Таблиця 1'!$L:$L,"Уражено"))</f>
        <v/>
      </c>
      <c r="S282">
        <f>IF($A282="","",COUNTIFS('Таблиця 1'!$B:$B,$A282,'Таблиця 1'!$I:$I,"Mirage",'Таблиця 1'!$L:$L,"НЕ уражено")+COUNTIFS('Таблиця 1'!$B:$B,$A282,'Таблиця 1'!$I:$I,"F-16",'Таблиця 1'!$L:$L,"НЕ уражено")+COUNTIFS('Таблиця 1'!$B:$B,$A282,'Таблиця 1'!$I:$I,"МіГ-29",'Таблиця 1'!$L:$L,"НЕ уражено")+COUNTIFS('Таблиця 1'!$B:$B,$A282,'Таблиця 1'!$I:$I,"Су-25",'Таблиця 1'!$L:$L,"НЕ уражено")+COUNTIFS('Таблиця 1'!$B:$B,$A282,'Таблиця 1'!$I:$I,"Су-27",'Таблиця 1'!$L:$L,"НЕ уражено"))</f>
        <v/>
      </c>
      <c r="T282">
        <f>IF($A282="","",COUNTIFS('Таблиця 1'!$B:$B,$A282,'Таблиця 1'!$I:$I,"Mirage",'Таблиця 1'!$L:$L,"Дорозвідується")+COUNTIFS('Таблиця 1'!$B:$B,$A282,'Таблиця 1'!$I:$I,"F-16",'Таблиця 1'!$L:$L,"Дорозвідується")+COUNTIFS('Таблиця 1'!$B:$B,$A282,'Таблиця 1'!$I:$I,"МіГ-29",'Таблиця 1'!$L:$L,"Дорозвідується")+COUNTIFS('Таблиця 1'!$B:$B,$A282,'Таблиця 1'!$I:$I,"Су-25",'Таблиця 1'!$L:$L,"Дорозвідується")+COUNTIFS('Таблиця 1'!$B:$B,$A282,'Таблиця 1'!$I:$I,"Су-27",'Таблиця 1'!$L:$L,"Дорозвідується"))</f>
        <v/>
      </c>
    </row>
    <row r="283">
      <c r="A283" s="273">
        <f>IF(A282="","",IF(A282+1&gt;MAX('Таблиця 1'!$B:$B),"",A282+1))</f>
        <v/>
      </c>
      <c r="B283">
        <f>IF($A283="","",COUNTIFS('Таблиця 1'!$B:$B,$A283,'Таблиця 1'!$I:$I,"Mirage")+COUNTIFS('Таблиця 1'!$B:$B,$A283,'Таблиця 1'!$I:$I,"F-16")+COUNTIFS('Таблиця 1'!$B:$B,$A283,'Таблиця 1'!$I:$I,"МіГ-29")+COUNTIFS('Таблиця 1'!$B:$B,$A283,'Таблиця 1'!$I:$I,"Су-25")+COUNTIFS('Таблиця 1'!$B:$B,$A283,'Таблиця 1'!$I:$I,"Су-27"))</f>
        <v/>
      </c>
      <c r="C283">
        <f>IF($A283="","",COUNTIFS('Таблиця 1'!$B:$B,$A283,'Таблиця 1'!$I:$I,"Mirage"))</f>
        <v/>
      </c>
      <c r="D283">
        <f>IF($A283="","",COUNTIFS('Таблиця 1'!$B:$B,$A283,'Таблиця 1'!$I:$I,"F-16"))</f>
        <v/>
      </c>
      <c r="E283">
        <f>IF($A283="","",COUNTIFS('Таблиця 1'!$B:$B,$A283,'Таблиця 1'!$I:$I,"МіГ-29"))</f>
        <v/>
      </c>
      <c r="F283">
        <f>IF($A283="","",COUNTIFS('Таблиця 1'!$B:$B,$A283,'Таблиця 1'!$I:$I,"Су-25"))</f>
        <v/>
      </c>
      <c r="G283">
        <f>IF($A283="","",COUNTIFS('Таблиця 1'!$B:$B,$A283,'Таблиця 1'!$I:$I,"Су-27"))</f>
        <v/>
      </c>
      <c r="H283">
        <f>IF($A283="","",SUMIFS('Таблиця 1'!$K:$K,'Таблиця 1'!$B:$B,$A283,'Таблиця 1'!$I:$I,"Mirage",'Таблиця 1'!$J:$J,"AGM-88")+SUMIFS('Таблиця 1'!$K:$K,'Таблиця 1'!$B:$B,$A283,'Таблиця 1'!$I:$I,"F-16",'Таблиця 1'!$J:$J,"AGM-88")+SUMIFS('Таблиця 1'!$K:$K,'Таблиця 1'!$B:$B,$A283,'Таблиця 1'!$I:$I,"МіГ-29",'Таблиця 1'!$J:$J,"AGM-88")+SUMIFS('Таблиця 1'!$K:$K,'Таблиця 1'!$B:$B,$A283,'Таблиця 1'!$I:$I,"Су-25",'Таблиця 1'!$J:$J,"AGM-88")+SUMIFS('Таблиця 1'!$K:$K,'Таблиця 1'!$B:$B,$A283,'Таблиця 1'!$I:$I,"Су-27",'Таблиця 1'!$J:$J,"AGM-88"))</f>
        <v/>
      </c>
      <c r="I283">
        <f>IF($A283="","",SUMIFS('Таблиця 1'!$K:$K,'Таблиця 1'!$B:$B,$A283,'Таблиця 1'!$I:$I,"Mirage",'Таблиця 1'!$J:$J,"AASM-250")+SUMIFS('Таблиця 1'!$K:$K,'Таблиця 1'!$B:$B,$A283,'Таблиця 1'!$I:$I,"F-16",'Таблиця 1'!$J:$J,"AASM-250")+SUMIFS('Таблиця 1'!$K:$K,'Таблиця 1'!$B:$B,$A283,'Таблиця 1'!$I:$I,"МіГ-29",'Таблиця 1'!$J:$J,"AASM-250")+SUMIFS('Таблиця 1'!$K:$K,'Таблиця 1'!$B:$B,$A283,'Таблиця 1'!$I:$I,"Су-25",'Таблиця 1'!$J:$J,"AASM-250")+SUMIFS('Таблиця 1'!$K:$K,'Таблиця 1'!$B:$B,$A283,'Таблиця 1'!$I:$I,"Су-27",'Таблиця 1'!$J:$J,"AASM-250"))</f>
        <v/>
      </c>
      <c r="J283">
        <f>IF($A283="","",SUMIFS('Таблиця 1'!$K:$K,'Таблиця 1'!$B:$B,$A283,'Таблиця 1'!$I:$I,"Mirage",'Таблиця 1'!$J:$J,"GBU-39")+SUMIFS('Таблиця 1'!$K:$K,'Таблиця 1'!$B:$B,$A283,'Таблиця 1'!$I:$I,"F-16",'Таблиця 1'!$J:$J,"GBU-39")+SUMIFS('Таблиця 1'!$K:$K,'Таблиця 1'!$B:$B,$A283,'Таблиця 1'!$I:$I,"МіГ-29",'Таблиця 1'!$J:$J,"GBU-39")+SUMIFS('Таблиця 1'!$K:$K,'Таблиця 1'!$B:$B,$A283,'Таблиця 1'!$I:$I,"Су-25",'Таблиця 1'!$J:$J,"GBU-39")+SUMIFS('Таблиця 1'!$K:$K,'Таблиця 1'!$B:$B,$A283,'Таблиця 1'!$I:$I,"Су-27",'Таблиця 1'!$J:$J,"GBU-39"))</f>
        <v/>
      </c>
      <c r="K283">
        <f>IF($A283="","",SUMIFS('Таблиця 1'!$K:$K,'Таблиця 1'!$B:$B,$A283,'Таблиця 1'!$I:$I,"Mirage",'Таблиця 1'!$J:$J,"BLU-140")+SUMIFS('Таблиця 1'!$K:$K,'Таблиця 1'!$B:$B,$A283,'Таблиця 1'!$I:$I,"F-16",'Таблиця 1'!$J:$J,"BLU-140")+SUMIFS('Таблиця 1'!$K:$K,'Таблиця 1'!$B:$B,$A283,'Таблиця 1'!$I:$I,"МіГ-29",'Таблиця 1'!$J:$J,"BLU-140")+SUMIFS('Таблиця 1'!$K:$K,'Таблиця 1'!$B:$B,$A283,'Таблиця 1'!$I:$I,"Су-25",'Таблиця 1'!$J:$J,"BLU-140")+SUMIFS('Таблиця 1'!$K:$K,'Таблиця 1'!$B:$B,$A283,'Таблиця 1'!$I:$I,"Су-27",'Таблиця 1'!$J:$J,"BLU-140"))</f>
        <v/>
      </c>
      <c r="L283">
        <f>IF($A283="","",SUMIFS('Таблиця 1'!$K:$K,'Таблиця 1'!$B:$B,$A283,'Таблиця 1'!$I:$I,"Mirage",'Таблиця 1'!$J:$J,"GBU-65")+SUMIFS('Таблиця 1'!$K:$K,'Таблиця 1'!$B:$B,$A283,'Таблиця 1'!$I:$I,"F-16",'Таблиця 1'!$J:$J,"GBU-65")+SUMIFS('Таблиця 1'!$K:$K,'Таблиця 1'!$B:$B,$A283,'Таблиця 1'!$I:$I,"МіГ-29",'Таблиця 1'!$J:$J,"GBU-65")+SUMIFS('Таблиця 1'!$K:$K,'Таблиця 1'!$B:$B,$A283,'Таблиця 1'!$I:$I,"Су-25",'Таблиця 1'!$J:$J,"GBU-65")+SUMIFS('Таблиця 1'!$K:$K,'Таблиця 1'!$B:$B,$A283,'Таблиця 1'!$I:$I,"Су-27",'Таблиця 1'!$J:$J,"GBU-65"))</f>
        <v/>
      </c>
      <c r="M283">
        <f>IF($A283="","",SUMIFS('Таблиця 1'!$K:$K,'Таблиця 1'!$B:$B,$A283,'Таблиця 1'!$I:$I,"Mirage",'Таблиця 1'!$J:$J,"GBU-62")+SUMIFS('Таблиця 1'!$K:$K,'Таблиця 1'!$B:$B,$A283,'Таблиця 1'!$I:$I,"F-16",'Таблиця 1'!$J:$J,"GBU-62")+SUMIFS('Таблиця 1'!$K:$K,'Таблиця 1'!$B:$B,$A283,'Таблиця 1'!$I:$I,"МіГ-29",'Таблиця 1'!$J:$J,"GBU-62")+SUMIFS('Таблиця 1'!$K:$K,'Таблиця 1'!$B:$B,$A283,'Таблиця 1'!$I:$I,"Су-25",'Таблиця 1'!$J:$J,"GBU-62")+SUMIFS('Таблиця 1'!$K:$K,'Таблиця 1'!$B:$B,$A283,'Таблиця 1'!$I:$I,"Су-27",'Таблиця 1'!$J:$J,"GBU-62"))</f>
        <v/>
      </c>
      <c r="N283">
        <f>IF($A283="","",SUMIFS('Таблиця 1'!$K:$K,'Таблиця 1'!$B:$B,$A283,'Таблиця 1'!$I:$I,"Mirage",'Таблиця 1'!$J:$J,"GBU-64")+SUMIFS('Таблиця 1'!$K:$K,'Таблиця 1'!$B:$B,$A283,'Таблиця 1'!$I:$I,"F-16",'Таблиця 1'!$J:$J,"GBU-64")+SUMIFS('Таблиця 1'!$K:$K,'Таблиця 1'!$B:$B,$A283,'Таблиця 1'!$I:$I,"МіГ-29",'Таблиця 1'!$J:$J,"GBU-64")+SUMIFS('Таблиця 1'!$K:$K,'Таблиця 1'!$B:$B,$A283,'Таблиця 1'!$I:$I,"Су-25",'Таблиця 1'!$J:$J,"GBU-64")+SUMIFS('Таблиця 1'!$K:$K,'Таблиця 1'!$B:$B,$A283,'Таблиця 1'!$I:$I,"Су-27",'Таблиця 1'!$J:$J,"GBU-64"))</f>
        <v/>
      </c>
      <c r="O283">
        <f>IF($A283="","",SUMIFS('Таблиця 1'!$K:$K,'Таблиця 1'!$B:$B,$A283,'Таблиця 1'!$I:$I,"Mirage",'Таблиця 1'!$J:$J,"C-13")+SUMIFS('Таблиця 1'!$K:$K,'Таблиця 1'!$B:$B,$A283,'Таблиця 1'!$I:$I,"F-16",'Таблиця 1'!$J:$J,"C-13")+SUMIFS('Таблиця 1'!$K:$K,'Таблиця 1'!$B:$B,$A283,'Таблиця 1'!$I:$I,"МіГ-29",'Таблиця 1'!$J:$J,"C-13")+SUMIFS('Таблиця 1'!$K:$K,'Таблиця 1'!$B:$B,$A283,'Таблиця 1'!$I:$I,"Су-25",'Таблиця 1'!$J:$J,"C-13")+SUMIFS('Таблиця 1'!$K:$K,'Таблиця 1'!$B:$B,$A283,'Таблиця 1'!$I:$I,"Су-27",'Таблиця 1'!$J:$J,"C-13"))</f>
        <v/>
      </c>
      <c r="P283">
        <f>IF($A283="","",SUMIFS('Таблиця 1'!$K:$K,'Таблиця 1'!$B:$B,$A283,'Таблиця 1'!$I:$I,"Mirage",'Таблиця 1'!$J:$J,"MK-32")+SUMIFS('Таблиця 1'!$K:$K,'Таблиця 1'!$B:$B,$A283,'Таблиця 1'!$I:$I,"F-16",'Таблиця 1'!$J:$J,"MK-32")+SUMIFS('Таблиця 1'!$K:$K,'Таблиця 1'!$B:$B,$A283,'Таблиця 1'!$I:$I,"МіГ-29",'Таблиця 1'!$J:$J,"MK-32")+SUMIFS('Таблиця 1'!$K:$K,'Таблиця 1'!$B:$B,$A283,'Таблиця 1'!$I:$I,"Су-25",'Таблиця 1'!$J:$J,"MK-32")+SUMIFS('Таблиця 1'!$K:$K,'Таблиця 1'!$B:$B,$A283,'Таблиця 1'!$I:$I,"Су-27",'Таблиця 1'!$J:$J,"MK-32"))</f>
        <v/>
      </c>
      <c r="Q283">
        <f>IF($A283="","",SUMIFS('Таблиця 1'!$K:$K,'Таблиця 1'!$B:$B,$A283,'Таблиця 1'!$I:$I,"Mirage",'Таблиця 1'!$J:$J,"MK-24")+SUMIFS('Таблиця 1'!$K:$K,'Таблиця 1'!$B:$B,$A283,'Таблиця 1'!$I:$I,"F-16",'Таблиця 1'!$J:$J,"MK-24")+SUMIFS('Таблиця 1'!$K:$K,'Таблиця 1'!$B:$B,$A283,'Таблиця 1'!$I:$I,"МіГ-29",'Таблиця 1'!$J:$J,"MK-24")+SUMIFS('Таблиця 1'!$K:$K,'Таблиця 1'!$B:$B,$A283,'Таблиця 1'!$I:$I,"Су-25",'Таблиця 1'!$J:$J,"MK-24")+SUMIFS('Таблиця 1'!$K:$K,'Таблиця 1'!$B:$B,$A283,'Таблиця 1'!$I:$I,"Су-27",'Таблиця 1'!$J:$J,"MK-24"))</f>
        <v/>
      </c>
      <c r="R283">
        <f>IF($A283="","",COUNTIFS('Таблиця 1'!$B:$B,$A283,'Таблиця 1'!$I:$I,"Mirage",'Таблиця 1'!$L:$L,"Уражено")+COUNTIFS('Таблиця 1'!$B:$B,$A283,'Таблиця 1'!$I:$I,"F-16",'Таблиця 1'!$L:$L,"Уражено")+COUNTIFS('Таблиця 1'!$B:$B,$A283,'Таблиця 1'!$I:$I,"МіГ-29",'Таблиця 1'!$L:$L,"Уражено")+COUNTIFS('Таблиця 1'!$B:$B,$A283,'Таблиця 1'!$I:$I,"Су-25",'Таблиця 1'!$L:$L,"Уражено")+COUNTIFS('Таблиця 1'!$B:$B,$A283,'Таблиця 1'!$I:$I,"Су-27",'Таблиця 1'!$L:$L,"Уражено"))</f>
        <v/>
      </c>
      <c r="S283">
        <f>IF($A283="","",COUNTIFS('Таблиця 1'!$B:$B,$A283,'Таблиця 1'!$I:$I,"Mirage",'Таблиця 1'!$L:$L,"НЕ уражено")+COUNTIFS('Таблиця 1'!$B:$B,$A283,'Таблиця 1'!$I:$I,"F-16",'Таблиця 1'!$L:$L,"НЕ уражено")+COUNTIFS('Таблиця 1'!$B:$B,$A283,'Таблиця 1'!$I:$I,"МіГ-29",'Таблиця 1'!$L:$L,"НЕ уражено")+COUNTIFS('Таблиця 1'!$B:$B,$A283,'Таблиця 1'!$I:$I,"Су-25",'Таблиця 1'!$L:$L,"НЕ уражено")+COUNTIFS('Таблиця 1'!$B:$B,$A283,'Таблиця 1'!$I:$I,"Су-27",'Таблиця 1'!$L:$L,"НЕ уражено"))</f>
        <v/>
      </c>
      <c r="T283">
        <f>IF($A283="","",COUNTIFS('Таблиця 1'!$B:$B,$A283,'Таблиця 1'!$I:$I,"Mirage",'Таблиця 1'!$L:$L,"Дорозвідується")+COUNTIFS('Таблиця 1'!$B:$B,$A283,'Таблиця 1'!$I:$I,"F-16",'Таблиця 1'!$L:$L,"Дорозвідується")+COUNTIFS('Таблиця 1'!$B:$B,$A283,'Таблиця 1'!$I:$I,"МіГ-29",'Таблиця 1'!$L:$L,"Дорозвідується")+COUNTIFS('Таблиця 1'!$B:$B,$A283,'Таблиця 1'!$I:$I,"Су-25",'Таблиця 1'!$L:$L,"Дорозвідується")+COUNTIFS('Таблиця 1'!$B:$B,$A283,'Таблиця 1'!$I:$I,"Су-27",'Таблиця 1'!$L:$L,"Дорозвідується"))</f>
        <v/>
      </c>
    </row>
    <row r="284">
      <c r="A284" s="273">
        <f>IF(A283="","",IF(A283+1&gt;MAX('Таблиця 1'!$B:$B),"",A283+1))</f>
        <v/>
      </c>
      <c r="B284">
        <f>IF($A284="","",COUNTIFS('Таблиця 1'!$B:$B,$A284,'Таблиця 1'!$I:$I,"Mirage")+COUNTIFS('Таблиця 1'!$B:$B,$A284,'Таблиця 1'!$I:$I,"F-16")+COUNTIFS('Таблиця 1'!$B:$B,$A284,'Таблиця 1'!$I:$I,"МіГ-29")+COUNTIFS('Таблиця 1'!$B:$B,$A284,'Таблиця 1'!$I:$I,"Су-25")+COUNTIFS('Таблиця 1'!$B:$B,$A284,'Таблиця 1'!$I:$I,"Су-27"))</f>
        <v/>
      </c>
      <c r="C284">
        <f>IF($A284="","",COUNTIFS('Таблиця 1'!$B:$B,$A284,'Таблиця 1'!$I:$I,"Mirage"))</f>
        <v/>
      </c>
      <c r="D284">
        <f>IF($A284="","",COUNTIFS('Таблиця 1'!$B:$B,$A284,'Таблиця 1'!$I:$I,"F-16"))</f>
        <v/>
      </c>
      <c r="E284">
        <f>IF($A284="","",COUNTIFS('Таблиця 1'!$B:$B,$A284,'Таблиця 1'!$I:$I,"МіГ-29"))</f>
        <v/>
      </c>
      <c r="F284">
        <f>IF($A284="","",COUNTIFS('Таблиця 1'!$B:$B,$A284,'Таблиця 1'!$I:$I,"Су-25"))</f>
        <v/>
      </c>
      <c r="G284">
        <f>IF($A284="","",COUNTIFS('Таблиця 1'!$B:$B,$A284,'Таблиця 1'!$I:$I,"Су-27"))</f>
        <v/>
      </c>
      <c r="H284">
        <f>IF($A284="","",SUMIFS('Таблиця 1'!$K:$K,'Таблиця 1'!$B:$B,$A284,'Таблиця 1'!$I:$I,"Mirage",'Таблиця 1'!$J:$J,"AGM-88")+SUMIFS('Таблиця 1'!$K:$K,'Таблиця 1'!$B:$B,$A284,'Таблиця 1'!$I:$I,"F-16",'Таблиця 1'!$J:$J,"AGM-88")+SUMIFS('Таблиця 1'!$K:$K,'Таблиця 1'!$B:$B,$A284,'Таблиця 1'!$I:$I,"МіГ-29",'Таблиця 1'!$J:$J,"AGM-88")+SUMIFS('Таблиця 1'!$K:$K,'Таблиця 1'!$B:$B,$A284,'Таблиця 1'!$I:$I,"Су-25",'Таблиця 1'!$J:$J,"AGM-88")+SUMIFS('Таблиця 1'!$K:$K,'Таблиця 1'!$B:$B,$A284,'Таблиця 1'!$I:$I,"Су-27",'Таблиця 1'!$J:$J,"AGM-88"))</f>
        <v/>
      </c>
      <c r="I284">
        <f>IF($A284="","",SUMIFS('Таблиця 1'!$K:$K,'Таблиця 1'!$B:$B,$A284,'Таблиця 1'!$I:$I,"Mirage",'Таблиця 1'!$J:$J,"AASM-250")+SUMIFS('Таблиця 1'!$K:$K,'Таблиця 1'!$B:$B,$A284,'Таблиця 1'!$I:$I,"F-16",'Таблиця 1'!$J:$J,"AASM-250")+SUMIFS('Таблиця 1'!$K:$K,'Таблиця 1'!$B:$B,$A284,'Таблиця 1'!$I:$I,"МіГ-29",'Таблиця 1'!$J:$J,"AASM-250")+SUMIFS('Таблиця 1'!$K:$K,'Таблиця 1'!$B:$B,$A284,'Таблиця 1'!$I:$I,"Су-25",'Таблиця 1'!$J:$J,"AASM-250")+SUMIFS('Таблиця 1'!$K:$K,'Таблиця 1'!$B:$B,$A284,'Таблиця 1'!$I:$I,"Су-27",'Таблиця 1'!$J:$J,"AASM-250"))</f>
        <v/>
      </c>
      <c r="J284">
        <f>IF($A284="","",SUMIFS('Таблиця 1'!$K:$K,'Таблиця 1'!$B:$B,$A284,'Таблиця 1'!$I:$I,"Mirage",'Таблиця 1'!$J:$J,"GBU-39")+SUMIFS('Таблиця 1'!$K:$K,'Таблиця 1'!$B:$B,$A284,'Таблиця 1'!$I:$I,"F-16",'Таблиця 1'!$J:$J,"GBU-39")+SUMIFS('Таблиця 1'!$K:$K,'Таблиця 1'!$B:$B,$A284,'Таблиця 1'!$I:$I,"МіГ-29",'Таблиця 1'!$J:$J,"GBU-39")+SUMIFS('Таблиця 1'!$K:$K,'Таблиця 1'!$B:$B,$A284,'Таблиця 1'!$I:$I,"Су-25",'Таблиця 1'!$J:$J,"GBU-39")+SUMIFS('Таблиця 1'!$K:$K,'Таблиця 1'!$B:$B,$A284,'Таблиця 1'!$I:$I,"Су-27",'Таблиця 1'!$J:$J,"GBU-39"))</f>
        <v/>
      </c>
      <c r="K284">
        <f>IF($A284="","",SUMIFS('Таблиця 1'!$K:$K,'Таблиця 1'!$B:$B,$A284,'Таблиця 1'!$I:$I,"Mirage",'Таблиця 1'!$J:$J,"BLU-140")+SUMIFS('Таблиця 1'!$K:$K,'Таблиця 1'!$B:$B,$A284,'Таблиця 1'!$I:$I,"F-16",'Таблиця 1'!$J:$J,"BLU-140")+SUMIFS('Таблиця 1'!$K:$K,'Таблиця 1'!$B:$B,$A284,'Таблиця 1'!$I:$I,"МіГ-29",'Таблиця 1'!$J:$J,"BLU-140")+SUMIFS('Таблиця 1'!$K:$K,'Таблиця 1'!$B:$B,$A284,'Таблиця 1'!$I:$I,"Су-25",'Таблиця 1'!$J:$J,"BLU-140")+SUMIFS('Таблиця 1'!$K:$K,'Таблиця 1'!$B:$B,$A284,'Таблиця 1'!$I:$I,"Су-27",'Таблиця 1'!$J:$J,"BLU-140"))</f>
        <v/>
      </c>
      <c r="L284">
        <f>IF($A284="","",SUMIFS('Таблиця 1'!$K:$K,'Таблиця 1'!$B:$B,$A284,'Таблиця 1'!$I:$I,"Mirage",'Таблиця 1'!$J:$J,"GBU-65")+SUMIFS('Таблиця 1'!$K:$K,'Таблиця 1'!$B:$B,$A284,'Таблиця 1'!$I:$I,"F-16",'Таблиця 1'!$J:$J,"GBU-65")+SUMIFS('Таблиця 1'!$K:$K,'Таблиця 1'!$B:$B,$A284,'Таблиця 1'!$I:$I,"МіГ-29",'Таблиця 1'!$J:$J,"GBU-65")+SUMIFS('Таблиця 1'!$K:$K,'Таблиця 1'!$B:$B,$A284,'Таблиця 1'!$I:$I,"Су-25",'Таблиця 1'!$J:$J,"GBU-65")+SUMIFS('Таблиця 1'!$K:$K,'Таблиця 1'!$B:$B,$A284,'Таблиця 1'!$I:$I,"Су-27",'Таблиця 1'!$J:$J,"GBU-65"))</f>
        <v/>
      </c>
      <c r="M284">
        <f>IF($A284="","",SUMIFS('Таблиця 1'!$K:$K,'Таблиця 1'!$B:$B,$A284,'Таблиця 1'!$I:$I,"Mirage",'Таблиця 1'!$J:$J,"GBU-62")+SUMIFS('Таблиця 1'!$K:$K,'Таблиця 1'!$B:$B,$A284,'Таблиця 1'!$I:$I,"F-16",'Таблиця 1'!$J:$J,"GBU-62")+SUMIFS('Таблиця 1'!$K:$K,'Таблиця 1'!$B:$B,$A284,'Таблиця 1'!$I:$I,"МіГ-29",'Таблиця 1'!$J:$J,"GBU-62")+SUMIFS('Таблиця 1'!$K:$K,'Таблиця 1'!$B:$B,$A284,'Таблиця 1'!$I:$I,"Су-25",'Таблиця 1'!$J:$J,"GBU-62")+SUMIFS('Таблиця 1'!$K:$K,'Таблиця 1'!$B:$B,$A284,'Таблиця 1'!$I:$I,"Су-27",'Таблиця 1'!$J:$J,"GBU-62"))</f>
        <v/>
      </c>
      <c r="N284">
        <f>IF($A284="","",SUMIFS('Таблиця 1'!$K:$K,'Таблиця 1'!$B:$B,$A284,'Таблиця 1'!$I:$I,"Mirage",'Таблиця 1'!$J:$J,"GBU-64")+SUMIFS('Таблиця 1'!$K:$K,'Таблиця 1'!$B:$B,$A284,'Таблиця 1'!$I:$I,"F-16",'Таблиця 1'!$J:$J,"GBU-64")+SUMIFS('Таблиця 1'!$K:$K,'Таблиця 1'!$B:$B,$A284,'Таблиця 1'!$I:$I,"МіГ-29",'Таблиця 1'!$J:$J,"GBU-64")+SUMIFS('Таблиця 1'!$K:$K,'Таблиця 1'!$B:$B,$A284,'Таблиця 1'!$I:$I,"Су-25",'Таблиця 1'!$J:$J,"GBU-64")+SUMIFS('Таблиця 1'!$K:$K,'Таблиця 1'!$B:$B,$A284,'Таблиця 1'!$I:$I,"Су-27",'Таблиця 1'!$J:$J,"GBU-64"))</f>
        <v/>
      </c>
      <c r="O284">
        <f>IF($A284="","",SUMIFS('Таблиця 1'!$K:$K,'Таблиця 1'!$B:$B,$A284,'Таблиця 1'!$I:$I,"Mirage",'Таблиця 1'!$J:$J,"C-13")+SUMIFS('Таблиця 1'!$K:$K,'Таблиця 1'!$B:$B,$A284,'Таблиця 1'!$I:$I,"F-16",'Таблиця 1'!$J:$J,"C-13")+SUMIFS('Таблиця 1'!$K:$K,'Таблиця 1'!$B:$B,$A284,'Таблиця 1'!$I:$I,"МіГ-29",'Таблиця 1'!$J:$J,"C-13")+SUMIFS('Таблиця 1'!$K:$K,'Таблиця 1'!$B:$B,$A284,'Таблиця 1'!$I:$I,"Су-25",'Таблиця 1'!$J:$J,"C-13")+SUMIFS('Таблиця 1'!$K:$K,'Таблиця 1'!$B:$B,$A284,'Таблиця 1'!$I:$I,"Су-27",'Таблиця 1'!$J:$J,"C-13"))</f>
        <v/>
      </c>
      <c r="P284">
        <f>IF($A284="","",SUMIFS('Таблиця 1'!$K:$K,'Таблиця 1'!$B:$B,$A284,'Таблиця 1'!$I:$I,"Mirage",'Таблиця 1'!$J:$J,"MK-32")+SUMIFS('Таблиця 1'!$K:$K,'Таблиця 1'!$B:$B,$A284,'Таблиця 1'!$I:$I,"F-16",'Таблиця 1'!$J:$J,"MK-32")+SUMIFS('Таблиця 1'!$K:$K,'Таблиця 1'!$B:$B,$A284,'Таблиця 1'!$I:$I,"МіГ-29",'Таблиця 1'!$J:$J,"MK-32")+SUMIFS('Таблиця 1'!$K:$K,'Таблиця 1'!$B:$B,$A284,'Таблиця 1'!$I:$I,"Су-25",'Таблиця 1'!$J:$J,"MK-32")+SUMIFS('Таблиця 1'!$K:$K,'Таблиця 1'!$B:$B,$A284,'Таблиця 1'!$I:$I,"Су-27",'Таблиця 1'!$J:$J,"MK-32"))</f>
        <v/>
      </c>
      <c r="Q284">
        <f>IF($A284="","",SUMIFS('Таблиця 1'!$K:$K,'Таблиця 1'!$B:$B,$A284,'Таблиця 1'!$I:$I,"Mirage",'Таблиця 1'!$J:$J,"MK-24")+SUMIFS('Таблиця 1'!$K:$K,'Таблиця 1'!$B:$B,$A284,'Таблиця 1'!$I:$I,"F-16",'Таблиця 1'!$J:$J,"MK-24")+SUMIFS('Таблиця 1'!$K:$K,'Таблиця 1'!$B:$B,$A284,'Таблиця 1'!$I:$I,"МіГ-29",'Таблиця 1'!$J:$J,"MK-24")+SUMIFS('Таблиця 1'!$K:$K,'Таблиця 1'!$B:$B,$A284,'Таблиця 1'!$I:$I,"Су-25",'Таблиця 1'!$J:$J,"MK-24")+SUMIFS('Таблиця 1'!$K:$K,'Таблиця 1'!$B:$B,$A284,'Таблиця 1'!$I:$I,"Су-27",'Таблиця 1'!$J:$J,"MK-24"))</f>
        <v/>
      </c>
      <c r="R284">
        <f>IF($A284="","",COUNTIFS('Таблиця 1'!$B:$B,$A284,'Таблиця 1'!$I:$I,"Mirage",'Таблиця 1'!$L:$L,"Уражено")+COUNTIFS('Таблиця 1'!$B:$B,$A284,'Таблиця 1'!$I:$I,"F-16",'Таблиця 1'!$L:$L,"Уражено")+COUNTIFS('Таблиця 1'!$B:$B,$A284,'Таблиця 1'!$I:$I,"МіГ-29",'Таблиця 1'!$L:$L,"Уражено")+COUNTIFS('Таблиця 1'!$B:$B,$A284,'Таблиця 1'!$I:$I,"Су-25",'Таблиця 1'!$L:$L,"Уражено")+COUNTIFS('Таблиця 1'!$B:$B,$A284,'Таблиця 1'!$I:$I,"Су-27",'Таблиця 1'!$L:$L,"Уражено"))</f>
        <v/>
      </c>
      <c r="S284">
        <f>IF($A284="","",COUNTIFS('Таблиця 1'!$B:$B,$A284,'Таблиця 1'!$I:$I,"Mirage",'Таблиця 1'!$L:$L,"НЕ уражено")+COUNTIFS('Таблиця 1'!$B:$B,$A284,'Таблиця 1'!$I:$I,"F-16",'Таблиця 1'!$L:$L,"НЕ уражено")+COUNTIFS('Таблиця 1'!$B:$B,$A284,'Таблиця 1'!$I:$I,"МіГ-29",'Таблиця 1'!$L:$L,"НЕ уражено")+COUNTIFS('Таблиця 1'!$B:$B,$A284,'Таблиця 1'!$I:$I,"Су-25",'Таблиця 1'!$L:$L,"НЕ уражено")+COUNTIFS('Таблиця 1'!$B:$B,$A284,'Таблиця 1'!$I:$I,"Су-27",'Таблиця 1'!$L:$L,"НЕ уражено"))</f>
        <v/>
      </c>
      <c r="T284">
        <f>IF($A284="","",COUNTIFS('Таблиця 1'!$B:$B,$A284,'Таблиця 1'!$I:$I,"Mirage",'Таблиця 1'!$L:$L,"Дорозвідується")+COUNTIFS('Таблиця 1'!$B:$B,$A284,'Таблиця 1'!$I:$I,"F-16",'Таблиця 1'!$L:$L,"Дорозвідується")+COUNTIFS('Таблиця 1'!$B:$B,$A284,'Таблиця 1'!$I:$I,"МіГ-29",'Таблиця 1'!$L:$L,"Дорозвідується")+COUNTIFS('Таблиця 1'!$B:$B,$A284,'Таблиця 1'!$I:$I,"Су-25",'Таблиця 1'!$L:$L,"Дорозвідується")+COUNTIFS('Таблиця 1'!$B:$B,$A284,'Таблиця 1'!$I:$I,"Су-27",'Таблиця 1'!$L:$L,"Дорозвідується"))</f>
        <v/>
      </c>
    </row>
    <row r="285">
      <c r="A285" s="273">
        <f>IF(A284="","",IF(A284+1&gt;MAX('Таблиця 1'!$B:$B),"",A284+1))</f>
        <v/>
      </c>
      <c r="B285">
        <f>IF($A285="","",COUNTIFS('Таблиця 1'!$B:$B,$A285,'Таблиця 1'!$I:$I,"Mirage")+COUNTIFS('Таблиця 1'!$B:$B,$A285,'Таблиця 1'!$I:$I,"F-16")+COUNTIFS('Таблиця 1'!$B:$B,$A285,'Таблиця 1'!$I:$I,"МіГ-29")+COUNTIFS('Таблиця 1'!$B:$B,$A285,'Таблиця 1'!$I:$I,"Су-25")+COUNTIFS('Таблиця 1'!$B:$B,$A285,'Таблиця 1'!$I:$I,"Су-27"))</f>
        <v/>
      </c>
      <c r="C285">
        <f>IF($A285="","",COUNTIFS('Таблиця 1'!$B:$B,$A285,'Таблиця 1'!$I:$I,"Mirage"))</f>
        <v/>
      </c>
      <c r="D285">
        <f>IF($A285="","",COUNTIFS('Таблиця 1'!$B:$B,$A285,'Таблиця 1'!$I:$I,"F-16"))</f>
        <v/>
      </c>
      <c r="E285">
        <f>IF($A285="","",COUNTIFS('Таблиця 1'!$B:$B,$A285,'Таблиця 1'!$I:$I,"МіГ-29"))</f>
        <v/>
      </c>
      <c r="F285">
        <f>IF($A285="","",COUNTIFS('Таблиця 1'!$B:$B,$A285,'Таблиця 1'!$I:$I,"Су-25"))</f>
        <v/>
      </c>
      <c r="G285">
        <f>IF($A285="","",COUNTIFS('Таблиця 1'!$B:$B,$A285,'Таблиця 1'!$I:$I,"Су-27"))</f>
        <v/>
      </c>
      <c r="H285">
        <f>IF($A285="","",SUMIFS('Таблиця 1'!$K:$K,'Таблиця 1'!$B:$B,$A285,'Таблиця 1'!$I:$I,"Mirage",'Таблиця 1'!$J:$J,"AGM-88")+SUMIFS('Таблиця 1'!$K:$K,'Таблиця 1'!$B:$B,$A285,'Таблиця 1'!$I:$I,"F-16",'Таблиця 1'!$J:$J,"AGM-88")+SUMIFS('Таблиця 1'!$K:$K,'Таблиця 1'!$B:$B,$A285,'Таблиця 1'!$I:$I,"МіГ-29",'Таблиця 1'!$J:$J,"AGM-88")+SUMIFS('Таблиця 1'!$K:$K,'Таблиця 1'!$B:$B,$A285,'Таблиця 1'!$I:$I,"Су-25",'Таблиця 1'!$J:$J,"AGM-88")+SUMIFS('Таблиця 1'!$K:$K,'Таблиця 1'!$B:$B,$A285,'Таблиця 1'!$I:$I,"Су-27",'Таблиця 1'!$J:$J,"AGM-88"))</f>
        <v/>
      </c>
      <c r="I285">
        <f>IF($A285="","",SUMIFS('Таблиця 1'!$K:$K,'Таблиця 1'!$B:$B,$A285,'Таблиця 1'!$I:$I,"Mirage",'Таблиця 1'!$J:$J,"AASM-250")+SUMIFS('Таблиця 1'!$K:$K,'Таблиця 1'!$B:$B,$A285,'Таблиця 1'!$I:$I,"F-16",'Таблиця 1'!$J:$J,"AASM-250")+SUMIFS('Таблиця 1'!$K:$K,'Таблиця 1'!$B:$B,$A285,'Таблиця 1'!$I:$I,"МіГ-29",'Таблиця 1'!$J:$J,"AASM-250")+SUMIFS('Таблиця 1'!$K:$K,'Таблиця 1'!$B:$B,$A285,'Таблиця 1'!$I:$I,"Су-25",'Таблиця 1'!$J:$J,"AASM-250")+SUMIFS('Таблиця 1'!$K:$K,'Таблиця 1'!$B:$B,$A285,'Таблиця 1'!$I:$I,"Су-27",'Таблиця 1'!$J:$J,"AASM-250"))</f>
        <v/>
      </c>
      <c r="J285">
        <f>IF($A285="","",SUMIFS('Таблиця 1'!$K:$K,'Таблиця 1'!$B:$B,$A285,'Таблиця 1'!$I:$I,"Mirage",'Таблиця 1'!$J:$J,"GBU-39")+SUMIFS('Таблиця 1'!$K:$K,'Таблиця 1'!$B:$B,$A285,'Таблиця 1'!$I:$I,"F-16",'Таблиця 1'!$J:$J,"GBU-39")+SUMIFS('Таблиця 1'!$K:$K,'Таблиця 1'!$B:$B,$A285,'Таблиця 1'!$I:$I,"МіГ-29",'Таблиця 1'!$J:$J,"GBU-39")+SUMIFS('Таблиця 1'!$K:$K,'Таблиця 1'!$B:$B,$A285,'Таблиця 1'!$I:$I,"Су-25",'Таблиця 1'!$J:$J,"GBU-39")+SUMIFS('Таблиця 1'!$K:$K,'Таблиця 1'!$B:$B,$A285,'Таблиця 1'!$I:$I,"Су-27",'Таблиця 1'!$J:$J,"GBU-39"))</f>
        <v/>
      </c>
      <c r="K285">
        <f>IF($A285="","",SUMIFS('Таблиця 1'!$K:$K,'Таблиця 1'!$B:$B,$A285,'Таблиця 1'!$I:$I,"Mirage",'Таблиця 1'!$J:$J,"BLU-140")+SUMIFS('Таблиця 1'!$K:$K,'Таблиця 1'!$B:$B,$A285,'Таблиця 1'!$I:$I,"F-16",'Таблиця 1'!$J:$J,"BLU-140")+SUMIFS('Таблиця 1'!$K:$K,'Таблиця 1'!$B:$B,$A285,'Таблиця 1'!$I:$I,"МіГ-29",'Таблиця 1'!$J:$J,"BLU-140")+SUMIFS('Таблиця 1'!$K:$K,'Таблиця 1'!$B:$B,$A285,'Таблиця 1'!$I:$I,"Су-25",'Таблиця 1'!$J:$J,"BLU-140")+SUMIFS('Таблиця 1'!$K:$K,'Таблиця 1'!$B:$B,$A285,'Таблиця 1'!$I:$I,"Су-27",'Таблиця 1'!$J:$J,"BLU-140"))</f>
        <v/>
      </c>
      <c r="L285">
        <f>IF($A285="","",SUMIFS('Таблиця 1'!$K:$K,'Таблиця 1'!$B:$B,$A285,'Таблиця 1'!$I:$I,"Mirage",'Таблиця 1'!$J:$J,"GBU-65")+SUMIFS('Таблиця 1'!$K:$K,'Таблиця 1'!$B:$B,$A285,'Таблиця 1'!$I:$I,"F-16",'Таблиця 1'!$J:$J,"GBU-65")+SUMIFS('Таблиця 1'!$K:$K,'Таблиця 1'!$B:$B,$A285,'Таблиця 1'!$I:$I,"МіГ-29",'Таблиця 1'!$J:$J,"GBU-65")+SUMIFS('Таблиця 1'!$K:$K,'Таблиця 1'!$B:$B,$A285,'Таблиця 1'!$I:$I,"Су-25",'Таблиця 1'!$J:$J,"GBU-65")+SUMIFS('Таблиця 1'!$K:$K,'Таблиця 1'!$B:$B,$A285,'Таблиця 1'!$I:$I,"Су-27",'Таблиця 1'!$J:$J,"GBU-65"))</f>
        <v/>
      </c>
      <c r="M285">
        <f>IF($A285="","",SUMIFS('Таблиця 1'!$K:$K,'Таблиця 1'!$B:$B,$A285,'Таблиця 1'!$I:$I,"Mirage",'Таблиця 1'!$J:$J,"GBU-62")+SUMIFS('Таблиця 1'!$K:$K,'Таблиця 1'!$B:$B,$A285,'Таблиця 1'!$I:$I,"F-16",'Таблиця 1'!$J:$J,"GBU-62")+SUMIFS('Таблиця 1'!$K:$K,'Таблиця 1'!$B:$B,$A285,'Таблиця 1'!$I:$I,"МіГ-29",'Таблиця 1'!$J:$J,"GBU-62")+SUMIFS('Таблиця 1'!$K:$K,'Таблиця 1'!$B:$B,$A285,'Таблиця 1'!$I:$I,"Су-25",'Таблиця 1'!$J:$J,"GBU-62")+SUMIFS('Таблиця 1'!$K:$K,'Таблиця 1'!$B:$B,$A285,'Таблиця 1'!$I:$I,"Су-27",'Таблиця 1'!$J:$J,"GBU-62"))</f>
        <v/>
      </c>
      <c r="N285">
        <f>IF($A285="","",SUMIFS('Таблиця 1'!$K:$K,'Таблиця 1'!$B:$B,$A285,'Таблиця 1'!$I:$I,"Mirage",'Таблиця 1'!$J:$J,"GBU-64")+SUMIFS('Таблиця 1'!$K:$K,'Таблиця 1'!$B:$B,$A285,'Таблиця 1'!$I:$I,"F-16",'Таблиця 1'!$J:$J,"GBU-64")+SUMIFS('Таблиця 1'!$K:$K,'Таблиця 1'!$B:$B,$A285,'Таблиця 1'!$I:$I,"МіГ-29",'Таблиця 1'!$J:$J,"GBU-64")+SUMIFS('Таблиця 1'!$K:$K,'Таблиця 1'!$B:$B,$A285,'Таблиця 1'!$I:$I,"Су-25",'Таблиця 1'!$J:$J,"GBU-64")+SUMIFS('Таблиця 1'!$K:$K,'Таблиця 1'!$B:$B,$A285,'Таблиця 1'!$I:$I,"Су-27",'Таблиця 1'!$J:$J,"GBU-64"))</f>
        <v/>
      </c>
      <c r="O285">
        <f>IF($A285="","",SUMIFS('Таблиця 1'!$K:$K,'Таблиця 1'!$B:$B,$A285,'Таблиця 1'!$I:$I,"Mirage",'Таблиця 1'!$J:$J,"C-13")+SUMIFS('Таблиця 1'!$K:$K,'Таблиця 1'!$B:$B,$A285,'Таблиця 1'!$I:$I,"F-16",'Таблиця 1'!$J:$J,"C-13")+SUMIFS('Таблиця 1'!$K:$K,'Таблиця 1'!$B:$B,$A285,'Таблиця 1'!$I:$I,"МіГ-29",'Таблиця 1'!$J:$J,"C-13")+SUMIFS('Таблиця 1'!$K:$K,'Таблиця 1'!$B:$B,$A285,'Таблиця 1'!$I:$I,"Су-25",'Таблиця 1'!$J:$J,"C-13")+SUMIFS('Таблиця 1'!$K:$K,'Таблиця 1'!$B:$B,$A285,'Таблиця 1'!$I:$I,"Су-27",'Таблиця 1'!$J:$J,"C-13"))</f>
        <v/>
      </c>
      <c r="P285">
        <f>IF($A285="","",SUMIFS('Таблиця 1'!$K:$K,'Таблиця 1'!$B:$B,$A285,'Таблиця 1'!$I:$I,"Mirage",'Таблиця 1'!$J:$J,"MK-32")+SUMIFS('Таблиця 1'!$K:$K,'Таблиця 1'!$B:$B,$A285,'Таблиця 1'!$I:$I,"F-16",'Таблиця 1'!$J:$J,"MK-32")+SUMIFS('Таблиця 1'!$K:$K,'Таблиця 1'!$B:$B,$A285,'Таблиця 1'!$I:$I,"МіГ-29",'Таблиця 1'!$J:$J,"MK-32")+SUMIFS('Таблиця 1'!$K:$K,'Таблиця 1'!$B:$B,$A285,'Таблиця 1'!$I:$I,"Су-25",'Таблиця 1'!$J:$J,"MK-32")+SUMIFS('Таблиця 1'!$K:$K,'Таблиця 1'!$B:$B,$A285,'Таблиця 1'!$I:$I,"Су-27",'Таблиця 1'!$J:$J,"MK-32"))</f>
        <v/>
      </c>
      <c r="Q285">
        <f>IF($A285="","",SUMIFS('Таблиця 1'!$K:$K,'Таблиця 1'!$B:$B,$A285,'Таблиця 1'!$I:$I,"Mirage",'Таблиця 1'!$J:$J,"MK-24")+SUMIFS('Таблиця 1'!$K:$K,'Таблиця 1'!$B:$B,$A285,'Таблиця 1'!$I:$I,"F-16",'Таблиця 1'!$J:$J,"MK-24")+SUMIFS('Таблиця 1'!$K:$K,'Таблиця 1'!$B:$B,$A285,'Таблиця 1'!$I:$I,"МіГ-29",'Таблиця 1'!$J:$J,"MK-24")+SUMIFS('Таблиця 1'!$K:$K,'Таблиця 1'!$B:$B,$A285,'Таблиця 1'!$I:$I,"Су-25",'Таблиця 1'!$J:$J,"MK-24")+SUMIFS('Таблиця 1'!$K:$K,'Таблиця 1'!$B:$B,$A285,'Таблиця 1'!$I:$I,"Су-27",'Таблиця 1'!$J:$J,"MK-24"))</f>
        <v/>
      </c>
      <c r="R285">
        <f>IF($A285="","",COUNTIFS('Таблиця 1'!$B:$B,$A285,'Таблиця 1'!$I:$I,"Mirage",'Таблиця 1'!$L:$L,"Уражено")+COUNTIFS('Таблиця 1'!$B:$B,$A285,'Таблиця 1'!$I:$I,"F-16",'Таблиця 1'!$L:$L,"Уражено")+COUNTIFS('Таблиця 1'!$B:$B,$A285,'Таблиця 1'!$I:$I,"МіГ-29",'Таблиця 1'!$L:$L,"Уражено")+COUNTIFS('Таблиця 1'!$B:$B,$A285,'Таблиця 1'!$I:$I,"Су-25",'Таблиця 1'!$L:$L,"Уражено")+COUNTIFS('Таблиця 1'!$B:$B,$A285,'Таблиця 1'!$I:$I,"Су-27",'Таблиця 1'!$L:$L,"Уражено"))</f>
        <v/>
      </c>
      <c r="S285">
        <f>IF($A285="","",COUNTIFS('Таблиця 1'!$B:$B,$A285,'Таблиця 1'!$I:$I,"Mirage",'Таблиця 1'!$L:$L,"НЕ уражено")+COUNTIFS('Таблиця 1'!$B:$B,$A285,'Таблиця 1'!$I:$I,"F-16",'Таблиця 1'!$L:$L,"НЕ уражено")+COUNTIFS('Таблиця 1'!$B:$B,$A285,'Таблиця 1'!$I:$I,"МіГ-29",'Таблиця 1'!$L:$L,"НЕ уражено")+COUNTIFS('Таблиця 1'!$B:$B,$A285,'Таблиця 1'!$I:$I,"Су-25",'Таблиця 1'!$L:$L,"НЕ уражено")+COUNTIFS('Таблиця 1'!$B:$B,$A285,'Таблиця 1'!$I:$I,"Су-27",'Таблиця 1'!$L:$L,"НЕ уражено"))</f>
        <v/>
      </c>
      <c r="T285">
        <f>IF($A285="","",COUNTIFS('Таблиця 1'!$B:$B,$A285,'Таблиця 1'!$I:$I,"Mirage",'Таблиця 1'!$L:$L,"Дорозвідується")+COUNTIFS('Таблиця 1'!$B:$B,$A285,'Таблиця 1'!$I:$I,"F-16",'Таблиця 1'!$L:$L,"Дорозвідується")+COUNTIFS('Таблиця 1'!$B:$B,$A285,'Таблиця 1'!$I:$I,"МіГ-29",'Таблиця 1'!$L:$L,"Дорозвідується")+COUNTIFS('Таблиця 1'!$B:$B,$A285,'Таблиця 1'!$I:$I,"Су-25",'Таблиця 1'!$L:$L,"Дорозвідується")+COUNTIFS('Таблиця 1'!$B:$B,$A285,'Таблиця 1'!$I:$I,"Су-27",'Таблиця 1'!$L:$L,"Дорозвідується"))</f>
        <v/>
      </c>
    </row>
    <row r="286">
      <c r="A286" s="273">
        <f>IF(A285="","",IF(A285+1&gt;MAX('Таблиця 1'!$B:$B),"",A285+1))</f>
        <v/>
      </c>
      <c r="B286">
        <f>IF($A286="","",COUNTIFS('Таблиця 1'!$B:$B,$A286,'Таблиця 1'!$I:$I,"Mirage")+COUNTIFS('Таблиця 1'!$B:$B,$A286,'Таблиця 1'!$I:$I,"F-16")+COUNTIFS('Таблиця 1'!$B:$B,$A286,'Таблиця 1'!$I:$I,"МіГ-29")+COUNTIFS('Таблиця 1'!$B:$B,$A286,'Таблиця 1'!$I:$I,"Су-25")+COUNTIFS('Таблиця 1'!$B:$B,$A286,'Таблиця 1'!$I:$I,"Су-27"))</f>
        <v/>
      </c>
      <c r="C286">
        <f>IF($A286="","",COUNTIFS('Таблиця 1'!$B:$B,$A286,'Таблиця 1'!$I:$I,"Mirage"))</f>
        <v/>
      </c>
      <c r="D286">
        <f>IF($A286="","",COUNTIFS('Таблиця 1'!$B:$B,$A286,'Таблиця 1'!$I:$I,"F-16"))</f>
        <v/>
      </c>
      <c r="E286">
        <f>IF($A286="","",COUNTIFS('Таблиця 1'!$B:$B,$A286,'Таблиця 1'!$I:$I,"МіГ-29"))</f>
        <v/>
      </c>
      <c r="F286">
        <f>IF($A286="","",COUNTIFS('Таблиця 1'!$B:$B,$A286,'Таблиця 1'!$I:$I,"Су-25"))</f>
        <v/>
      </c>
      <c r="G286">
        <f>IF($A286="","",COUNTIFS('Таблиця 1'!$B:$B,$A286,'Таблиця 1'!$I:$I,"Су-27"))</f>
        <v/>
      </c>
      <c r="H286">
        <f>IF($A286="","",SUMIFS('Таблиця 1'!$K:$K,'Таблиця 1'!$B:$B,$A286,'Таблиця 1'!$I:$I,"Mirage",'Таблиця 1'!$J:$J,"AGM-88")+SUMIFS('Таблиця 1'!$K:$K,'Таблиця 1'!$B:$B,$A286,'Таблиця 1'!$I:$I,"F-16",'Таблиця 1'!$J:$J,"AGM-88")+SUMIFS('Таблиця 1'!$K:$K,'Таблиця 1'!$B:$B,$A286,'Таблиця 1'!$I:$I,"МіГ-29",'Таблиця 1'!$J:$J,"AGM-88")+SUMIFS('Таблиця 1'!$K:$K,'Таблиця 1'!$B:$B,$A286,'Таблиця 1'!$I:$I,"Су-25",'Таблиця 1'!$J:$J,"AGM-88")+SUMIFS('Таблиця 1'!$K:$K,'Таблиця 1'!$B:$B,$A286,'Таблиця 1'!$I:$I,"Су-27",'Таблиця 1'!$J:$J,"AGM-88"))</f>
        <v/>
      </c>
      <c r="I286">
        <f>IF($A286="","",SUMIFS('Таблиця 1'!$K:$K,'Таблиця 1'!$B:$B,$A286,'Таблиця 1'!$I:$I,"Mirage",'Таблиця 1'!$J:$J,"AASM-250")+SUMIFS('Таблиця 1'!$K:$K,'Таблиця 1'!$B:$B,$A286,'Таблиця 1'!$I:$I,"F-16",'Таблиця 1'!$J:$J,"AASM-250")+SUMIFS('Таблиця 1'!$K:$K,'Таблиця 1'!$B:$B,$A286,'Таблиця 1'!$I:$I,"МіГ-29",'Таблиця 1'!$J:$J,"AASM-250")+SUMIFS('Таблиця 1'!$K:$K,'Таблиця 1'!$B:$B,$A286,'Таблиця 1'!$I:$I,"Су-25",'Таблиця 1'!$J:$J,"AASM-250")+SUMIFS('Таблиця 1'!$K:$K,'Таблиця 1'!$B:$B,$A286,'Таблиця 1'!$I:$I,"Су-27",'Таблиця 1'!$J:$J,"AASM-250"))</f>
        <v/>
      </c>
      <c r="J286">
        <f>IF($A286="","",SUMIFS('Таблиця 1'!$K:$K,'Таблиця 1'!$B:$B,$A286,'Таблиця 1'!$I:$I,"Mirage",'Таблиця 1'!$J:$J,"GBU-39")+SUMIFS('Таблиця 1'!$K:$K,'Таблиця 1'!$B:$B,$A286,'Таблиця 1'!$I:$I,"F-16",'Таблиця 1'!$J:$J,"GBU-39")+SUMIFS('Таблиця 1'!$K:$K,'Таблиця 1'!$B:$B,$A286,'Таблиця 1'!$I:$I,"МіГ-29",'Таблиця 1'!$J:$J,"GBU-39")+SUMIFS('Таблиця 1'!$K:$K,'Таблиця 1'!$B:$B,$A286,'Таблиця 1'!$I:$I,"Су-25",'Таблиця 1'!$J:$J,"GBU-39")+SUMIFS('Таблиця 1'!$K:$K,'Таблиця 1'!$B:$B,$A286,'Таблиця 1'!$I:$I,"Су-27",'Таблиця 1'!$J:$J,"GBU-39"))</f>
        <v/>
      </c>
      <c r="K286">
        <f>IF($A286="","",SUMIFS('Таблиця 1'!$K:$K,'Таблиця 1'!$B:$B,$A286,'Таблиця 1'!$I:$I,"Mirage",'Таблиця 1'!$J:$J,"BLU-140")+SUMIFS('Таблиця 1'!$K:$K,'Таблиця 1'!$B:$B,$A286,'Таблиця 1'!$I:$I,"F-16",'Таблиця 1'!$J:$J,"BLU-140")+SUMIFS('Таблиця 1'!$K:$K,'Таблиця 1'!$B:$B,$A286,'Таблиця 1'!$I:$I,"МіГ-29",'Таблиця 1'!$J:$J,"BLU-140")+SUMIFS('Таблиця 1'!$K:$K,'Таблиця 1'!$B:$B,$A286,'Таблиця 1'!$I:$I,"Су-25",'Таблиця 1'!$J:$J,"BLU-140")+SUMIFS('Таблиця 1'!$K:$K,'Таблиця 1'!$B:$B,$A286,'Таблиця 1'!$I:$I,"Су-27",'Таблиця 1'!$J:$J,"BLU-140"))</f>
        <v/>
      </c>
      <c r="L286">
        <f>IF($A286="","",SUMIFS('Таблиця 1'!$K:$K,'Таблиця 1'!$B:$B,$A286,'Таблиця 1'!$I:$I,"Mirage",'Таблиця 1'!$J:$J,"GBU-65")+SUMIFS('Таблиця 1'!$K:$K,'Таблиця 1'!$B:$B,$A286,'Таблиця 1'!$I:$I,"F-16",'Таблиця 1'!$J:$J,"GBU-65")+SUMIFS('Таблиця 1'!$K:$K,'Таблиця 1'!$B:$B,$A286,'Таблиця 1'!$I:$I,"МіГ-29",'Таблиця 1'!$J:$J,"GBU-65")+SUMIFS('Таблиця 1'!$K:$K,'Таблиця 1'!$B:$B,$A286,'Таблиця 1'!$I:$I,"Су-25",'Таблиця 1'!$J:$J,"GBU-65")+SUMIFS('Таблиця 1'!$K:$K,'Таблиця 1'!$B:$B,$A286,'Таблиця 1'!$I:$I,"Су-27",'Таблиця 1'!$J:$J,"GBU-65"))</f>
        <v/>
      </c>
      <c r="M286">
        <f>IF($A286="","",SUMIFS('Таблиця 1'!$K:$K,'Таблиця 1'!$B:$B,$A286,'Таблиця 1'!$I:$I,"Mirage",'Таблиця 1'!$J:$J,"GBU-62")+SUMIFS('Таблиця 1'!$K:$K,'Таблиця 1'!$B:$B,$A286,'Таблиця 1'!$I:$I,"F-16",'Таблиця 1'!$J:$J,"GBU-62")+SUMIFS('Таблиця 1'!$K:$K,'Таблиця 1'!$B:$B,$A286,'Таблиця 1'!$I:$I,"МіГ-29",'Таблиця 1'!$J:$J,"GBU-62")+SUMIFS('Таблиця 1'!$K:$K,'Таблиця 1'!$B:$B,$A286,'Таблиця 1'!$I:$I,"Су-25",'Таблиця 1'!$J:$J,"GBU-62")+SUMIFS('Таблиця 1'!$K:$K,'Таблиця 1'!$B:$B,$A286,'Таблиця 1'!$I:$I,"Су-27",'Таблиця 1'!$J:$J,"GBU-62"))</f>
        <v/>
      </c>
      <c r="N286">
        <f>IF($A286="","",SUMIFS('Таблиця 1'!$K:$K,'Таблиця 1'!$B:$B,$A286,'Таблиця 1'!$I:$I,"Mirage",'Таблиця 1'!$J:$J,"GBU-64")+SUMIFS('Таблиця 1'!$K:$K,'Таблиця 1'!$B:$B,$A286,'Таблиця 1'!$I:$I,"F-16",'Таблиця 1'!$J:$J,"GBU-64")+SUMIFS('Таблиця 1'!$K:$K,'Таблиця 1'!$B:$B,$A286,'Таблиця 1'!$I:$I,"МіГ-29",'Таблиця 1'!$J:$J,"GBU-64")+SUMIFS('Таблиця 1'!$K:$K,'Таблиця 1'!$B:$B,$A286,'Таблиця 1'!$I:$I,"Су-25",'Таблиця 1'!$J:$J,"GBU-64")+SUMIFS('Таблиця 1'!$K:$K,'Таблиця 1'!$B:$B,$A286,'Таблиця 1'!$I:$I,"Су-27",'Таблиця 1'!$J:$J,"GBU-64"))</f>
        <v/>
      </c>
      <c r="O286">
        <f>IF($A286="","",SUMIFS('Таблиця 1'!$K:$K,'Таблиця 1'!$B:$B,$A286,'Таблиця 1'!$I:$I,"Mirage",'Таблиця 1'!$J:$J,"C-13")+SUMIFS('Таблиця 1'!$K:$K,'Таблиця 1'!$B:$B,$A286,'Таблиця 1'!$I:$I,"F-16",'Таблиця 1'!$J:$J,"C-13")+SUMIFS('Таблиця 1'!$K:$K,'Таблиця 1'!$B:$B,$A286,'Таблиця 1'!$I:$I,"МіГ-29",'Таблиця 1'!$J:$J,"C-13")+SUMIFS('Таблиця 1'!$K:$K,'Таблиця 1'!$B:$B,$A286,'Таблиця 1'!$I:$I,"Су-25",'Таблиця 1'!$J:$J,"C-13")+SUMIFS('Таблиця 1'!$K:$K,'Таблиця 1'!$B:$B,$A286,'Таблиця 1'!$I:$I,"Су-27",'Таблиця 1'!$J:$J,"C-13"))</f>
        <v/>
      </c>
      <c r="P286">
        <f>IF($A286="","",SUMIFS('Таблиця 1'!$K:$K,'Таблиця 1'!$B:$B,$A286,'Таблиця 1'!$I:$I,"Mirage",'Таблиця 1'!$J:$J,"MK-32")+SUMIFS('Таблиця 1'!$K:$K,'Таблиця 1'!$B:$B,$A286,'Таблиця 1'!$I:$I,"F-16",'Таблиця 1'!$J:$J,"MK-32")+SUMIFS('Таблиця 1'!$K:$K,'Таблиця 1'!$B:$B,$A286,'Таблиця 1'!$I:$I,"МіГ-29",'Таблиця 1'!$J:$J,"MK-32")+SUMIFS('Таблиця 1'!$K:$K,'Таблиця 1'!$B:$B,$A286,'Таблиця 1'!$I:$I,"Су-25",'Таблиця 1'!$J:$J,"MK-32")+SUMIFS('Таблиця 1'!$K:$K,'Таблиця 1'!$B:$B,$A286,'Таблиця 1'!$I:$I,"Су-27",'Таблиця 1'!$J:$J,"MK-32"))</f>
        <v/>
      </c>
      <c r="Q286">
        <f>IF($A286="","",SUMIFS('Таблиця 1'!$K:$K,'Таблиця 1'!$B:$B,$A286,'Таблиця 1'!$I:$I,"Mirage",'Таблиця 1'!$J:$J,"MK-24")+SUMIFS('Таблиця 1'!$K:$K,'Таблиця 1'!$B:$B,$A286,'Таблиця 1'!$I:$I,"F-16",'Таблиця 1'!$J:$J,"MK-24")+SUMIFS('Таблиця 1'!$K:$K,'Таблиця 1'!$B:$B,$A286,'Таблиця 1'!$I:$I,"МіГ-29",'Таблиця 1'!$J:$J,"MK-24")+SUMIFS('Таблиця 1'!$K:$K,'Таблиця 1'!$B:$B,$A286,'Таблиця 1'!$I:$I,"Су-25",'Таблиця 1'!$J:$J,"MK-24")+SUMIFS('Таблиця 1'!$K:$K,'Таблиця 1'!$B:$B,$A286,'Таблиця 1'!$I:$I,"Су-27",'Таблиця 1'!$J:$J,"MK-24"))</f>
        <v/>
      </c>
      <c r="R286">
        <f>IF($A286="","",COUNTIFS('Таблиця 1'!$B:$B,$A286,'Таблиця 1'!$I:$I,"Mirage",'Таблиця 1'!$L:$L,"Уражено")+COUNTIFS('Таблиця 1'!$B:$B,$A286,'Таблиця 1'!$I:$I,"F-16",'Таблиця 1'!$L:$L,"Уражено")+COUNTIFS('Таблиця 1'!$B:$B,$A286,'Таблиця 1'!$I:$I,"МіГ-29",'Таблиця 1'!$L:$L,"Уражено")+COUNTIFS('Таблиця 1'!$B:$B,$A286,'Таблиця 1'!$I:$I,"Су-25",'Таблиця 1'!$L:$L,"Уражено")+COUNTIFS('Таблиця 1'!$B:$B,$A286,'Таблиця 1'!$I:$I,"Су-27",'Таблиця 1'!$L:$L,"Уражено"))</f>
        <v/>
      </c>
      <c r="S286">
        <f>IF($A286="","",COUNTIFS('Таблиця 1'!$B:$B,$A286,'Таблиця 1'!$I:$I,"Mirage",'Таблиця 1'!$L:$L,"НЕ уражено")+COUNTIFS('Таблиця 1'!$B:$B,$A286,'Таблиця 1'!$I:$I,"F-16",'Таблиця 1'!$L:$L,"НЕ уражено")+COUNTIFS('Таблиця 1'!$B:$B,$A286,'Таблиця 1'!$I:$I,"МіГ-29",'Таблиця 1'!$L:$L,"НЕ уражено")+COUNTIFS('Таблиця 1'!$B:$B,$A286,'Таблиця 1'!$I:$I,"Су-25",'Таблиця 1'!$L:$L,"НЕ уражено")+COUNTIFS('Таблиця 1'!$B:$B,$A286,'Таблиця 1'!$I:$I,"Су-27",'Таблиця 1'!$L:$L,"НЕ уражено"))</f>
        <v/>
      </c>
      <c r="T286">
        <f>IF($A286="","",COUNTIFS('Таблиця 1'!$B:$B,$A286,'Таблиця 1'!$I:$I,"Mirage",'Таблиця 1'!$L:$L,"Дорозвідується")+COUNTIFS('Таблиця 1'!$B:$B,$A286,'Таблиця 1'!$I:$I,"F-16",'Таблиця 1'!$L:$L,"Дорозвідується")+COUNTIFS('Таблиця 1'!$B:$B,$A286,'Таблиця 1'!$I:$I,"МіГ-29",'Таблиця 1'!$L:$L,"Дорозвідується")+COUNTIFS('Таблиця 1'!$B:$B,$A286,'Таблиця 1'!$I:$I,"Су-25",'Таблиця 1'!$L:$L,"Дорозвідується")+COUNTIFS('Таблиця 1'!$B:$B,$A286,'Таблиця 1'!$I:$I,"Су-27",'Таблиця 1'!$L:$L,"Дорозвідується"))</f>
        <v/>
      </c>
    </row>
    <row r="287">
      <c r="A287" s="273">
        <f>IF(A286="","",IF(A286+1&gt;MAX('Таблиця 1'!$B:$B),"",A286+1))</f>
        <v/>
      </c>
      <c r="B287">
        <f>IF($A287="","",COUNTIFS('Таблиця 1'!$B:$B,$A287,'Таблиця 1'!$I:$I,"Mirage")+COUNTIFS('Таблиця 1'!$B:$B,$A287,'Таблиця 1'!$I:$I,"F-16")+COUNTIFS('Таблиця 1'!$B:$B,$A287,'Таблиця 1'!$I:$I,"МіГ-29")+COUNTIFS('Таблиця 1'!$B:$B,$A287,'Таблиця 1'!$I:$I,"Су-25")+COUNTIFS('Таблиця 1'!$B:$B,$A287,'Таблиця 1'!$I:$I,"Су-27"))</f>
        <v/>
      </c>
      <c r="C287">
        <f>IF($A287="","",COUNTIFS('Таблиця 1'!$B:$B,$A287,'Таблиця 1'!$I:$I,"Mirage"))</f>
        <v/>
      </c>
      <c r="D287">
        <f>IF($A287="","",COUNTIFS('Таблиця 1'!$B:$B,$A287,'Таблиця 1'!$I:$I,"F-16"))</f>
        <v/>
      </c>
      <c r="E287">
        <f>IF($A287="","",COUNTIFS('Таблиця 1'!$B:$B,$A287,'Таблиця 1'!$I:$I,"МіГ-29"))</f>
        <v/>
      </c>
      <c r="F287">
        <f>IF($A287="","",COUNTIFS('Таблиця 1'!$B:$B,$A287,'Таблиця 1'!$I:$I,"Су-25"))</f>
        <v/>
      </c>
      <c r="G287">
        <f>IF($A287="","",COUNTIFS('Таблиця 1'!$B:$B,$A287,'Таблиця 1'!$I:$I,"Су-27"))</f>
        <v/>
      </c>
      <c r="H287">
        <f>IF($A287="","",SUMIFS('Таблиця 1'!$K:$K,'Таблиця 1'!$B:$B,$A287,'Таблиця 1'!$I:$I,"Mirage",'Таблиця 1'!$J:$J,"AGM-88")+SUMIFS('Таблиця 1'!$K:$K,'Таблиця 1'!$B:$B,$A287,'Таблиця 1'!$I:$I,"F-16",'Таблиця 1'!$J:$J,"AGM-88")+SUMIFS('Таблиця 1'!$K:$K,'Таблиця 1'!$B:$B,$A287,'Таблиця 1'!$I:$I,"МіГ-29",'Таблиця 1'!$J:$J,"AGM-88")+SUMIFS('Таблиця 1'!$K:$K,'Таблиця 1'!$B:$B,$A287,'Таблиця 1'!$I:$I,"Су-25",'Таблиця 1'!$J:$J,"AGM-88")+SUMIFS('Таблиця 1'!$K:$K,'Таблиця 1'!$B:$B,$A287,'Таблиця 1'!$I:$I,"Су-27",'Таблиця 1'!$J:$J,"AGM-88"))</f>
        <v/>
      </c>
      <c r="I287">
        <f>IF($A287="","",SUMIFS('Таблиця 1'!$K:$K,'Таблиця 1'!$B:$B,$A287,'Таблиця 1'!$I:$I,"Mirage",'Таблиця 1'!$J:$J,"AASM-250")+SUMIFS('Таблиця 1'!$K:$K,'Таблиця 1'!$B:$B,$A287,'Таблиця 1'!$I:$I,"F-16",'Таблиця 1'!$J:$J,"AASM-250")+SUMIFS('Таблиця 1'!$K:$K,'Таблиця 1'!$B:$B,$A287,'Таблиця 1'!$I:$I,"МіГ-29",'Таблиця 1'!$J:$J,"AASM-250")+SUMIFS('Таблиця 1'!$K:$K,'Таблиця 1'!$B:$B,$A287,'Таблиця 1'!$I:$I,"Су-25",'Таблиця 1'!$J:$J,"AASM-250")+SUMIFS('Таблиця 1'!$K:$K,'Таблиця 1'!$B:$B,$A287,'Таблиця 1'!$I:$I,"Су-27",'Таблиця 1'!$J:$J,"AASM-250"))</f>
        <v/>
      </c>
      <c r="J287">
        <f>IF($A287="","",SUMIFS('Таблиця 1'!$K:$K,'Таблиця 1'!$B:$B,$A287,'Таблиця 1'!$I:$I,"Mirage",'Таблиця 1'!$J:$J,"GBU-39")+SUMIFS('Таблиця 1'!$K:$K,'Таблиця 1'!$B:$B,$A287,'Таблиця 1'!$I:$I,"F-16",'Таблиця 1'!$J:$J,"GBU-39")+SUMIFS('Таблиця 1'!$K:$K,'Таблиця 1'!$B:$B,$A287,'Таблиця 1'!$I:$I,"МіГ-29",'Таблиця 1'!$J:$J,"GBU-39")+SUMIFS('Таблиця 1'!$K:$K,'Таблиця 1'!$B:$B,$A287,'Таблиця 1'!$I:$I,"Су-25",'Таблиця 1'!$J:$J,"GBU-39")+SUMIFS('Таблиця 1'!$K:$K,'Таблиця 1'!$B:$B,$A287,'Таблиця 1'!$I:$I,"Су-27",'Таблиця 1'!$J:$J,"GBU-39"))</f>
        <v/>
      </c>
      <c r="K287">
        <f>IF($A287="","",SUMIFS('Таблиця 1'!$K:$K,'Таблиця 1'!$B:$B,$A287,'Таблиця 1'!$I:$I,"Mirage",'Таблиця 1'!$J:$J,"BLU-140")+SUMIFS('Таблиця 1'!$K:$K,'Таблиця 1'!$B:$B,$A287,'Таблиця 1'!$I:$I,"F-16",'Таблиця 1'!$J:$J,"BLU-140")+SUMIFS('Таблиця 1'!$K:$K,'Таблиця 1'!$B:$B,$A287,'Таблиця 1'!$I:$I,"МіГ-29",'Таблиця 1'!$J:$J,"BLU-140")+SUMIFS('Таблиця 1'!$K:$K,'Таблиця 1'!$B:$B,$A287,'Таблиця 1'!$I:$I,"Су-25",'Таблиця 1'!$J:$J,"BLU-140")+SUMIFS('Таблиця 1'!$K:$K,'Таблиця 1'!$B:$B,$A287,'Таблиця 1'!$I:$I,"Су-27",'Таблиця 1'!$J:$J,"BLU-140"))</f>
        <v/>
      </c>
      <c r="L287">
        <f>IF($A287="","",SUMIFS('Таблиця 1'!$K:$K,'Таблиця 1'!$B:$B,$A287,'Таблиця 1'!$I:$I,"Mirage",'Таблиця 1'!$J:$J,"GBU-65")+SUMIFS('Таблиця 1'!$K:$K,'Таблиця 1'!$B:$B,$A287,'Таблиця 1'!$I:$I,"F-16",'Таблиця 1'!$J:$J,"GBU-65")+SUMIFS('Таблиця 1'!$K:$K,'Таблиця 1'!$B:$B,$A287,'Таблиця 1'!$I:$I,"МіГ-29",'Таблиця 1'!$J:$J,"GBU-65")+SUMIFS('Таблиця 1'!$K:$K,'Таблиця 1'!$B:$B,$A287,'Таблиця 1'!$I:$I,"Су-25",'Таблиця 1'!$J:$J,"GBU-65")+SUMIFS('Таблиця 1'!$K:$K,'Таблиця 1'!$B:$B,$A287,'Таблиця 1'!$I:$I,"Су-27",'Таблиця 1'!$J:$J,"GBU-65"))</f>
        <v/>
      </c>
      <c r="M287">
        <f>IF($A287="","",SUMIFS('Таблиця 1'!$K:$K,'Таблиця 1'!$B:$B,$A287,'Таблиця 1'!$I:$I,"Mirage",'Таблиця 1'!$J:$J,"GBU-62")+SUMIFS('Таблиця 1'!$K:$K,'Таблиця 1'!$B:$B,$A287,'Таблиця 1'!$I:$I,"F-16",'Таблиця 1'!$J:$J,"GBU-62")+SUMIFS('Таблиця 1'!$K:$K,'Таблиця 1'!$B:$B,$A287,'Таблиця 1'!$I:$I,"МіГ-29",'Таблиця 1'!$J:$J,"GBU-62")+SUMIFS('Таблиця 1'!$K:$K,'Таблиця 1'!$B:$B,$A287,'Таблиця 1'!$I:$I,"Су-25",'Таблиця 1'!$J:$J,"GBU-62")+SUMIFS('Таблиця 1'!$K:$K,'Таблиця 1'!$B:$B,$A287,'Таблиця 1'!$I:$I,"Су-27",'Таблиця 1'!$J:$J,"GBU-62"))</f>
        <v/>
      </c>
      <c r="N287">
        <f>IF($A287="","",SUMIFS('Таблиця 1'!$K:$K,'Таблиця 1'!$B:$B,$A287,'Таблиця 1'!$I:$I,"Mirage",'Таблиця 1'!$J:$J,"GBU-64")+SUMIFS('Таблиця 1'!$K:$K,'Таблиця 1'!$B:$B,$A287,'Таблиця 1'!$I:$I,"F-16",'Таблиця 1'!$J:$J,"GBU-64")+SUMIFS('Таблиця 1'!$K:$K,'Таблиця 1'!$B:$B,$A287,'Таблиця 1'!$I:$I,"МіГ-29",'Таблиця 1'!$J:$J,"GBU-64")+SUMIFS('Таблиця 1'!$K:$K,'Таблиця 1'!$B:$B,$A287,'Таблиця 1'!$I:$I,"Су-25",'Таблиця 1'!$J:$J,"GBU-64")+SUMIFS('Таблиця 1'!$K:$K,'Таблиця 1'!$B:$B,$A287,'Таблиця 1'!$I:$I,"Су-27",'Таблиця 1'!$J:$J,"GBU-64"))</f>
        <v/>
      </c>
      <c r="O287">
        <f>IF($A287="","",SUMIFS('Таблиця 1'!$K:$K,'Таблиця 1'!$B:$B,$A287,'Таблиця 1'!$I:$I,"Mirage",'Таблиця 1'!$J:$J,"C-13")+SUMIFS('Таблиця 1'!$K:$K,'Таблиця 1'!$B:$B,$A287,'Таблиця 1'!$I:$I,"F-16",'Таблиця 1'!$J:$J,"C-13")+SUMIFS('Таблиця 1'!$K:$K,'Таблиця 1'!$B:$B,$A287,'Таблиця 1'!$I:$I,"МіГ-29",'Таблиця 1'!$J:$J,"C-13")+SUMIFS('Таблиця 1'!$K:$K,'Таблиця 1'!$B:$B,$A287,'Таблиця 1'!$I:$I,"Су-25",'Таблиця 1'!$J:$J,"C-13")+SUMIFS('Таблиця 1'!$K:$K,'Таблиця 1'!$B:$B,$A287,'Таблиця 1'!$I:$I,"Су-27",'Таблиця 1'!$J:$J,"C-13"))</f>
        <v/>
      </c>
      <c r="P287">
        <f>IF($A287="","",SUMIFS('Таблиця 1'!$K:$K,'Таблиця 1'!$B:$B,$A287,'Таблиця 1'!$I:$I,"Mirage",'Таблиця 1'!$J:$J,"MK-32")+SUMIFS('Таблиця 1'!$K:$K,'Таблиця 1'!$B:$B,$A287,'Таблиця 1'!$I:$I,"F-16",'Таблиця 1'!$J:$J,"MK-32")+SUMIFS('Таблиця 1'!$K:$K,'Таблиця 1'!$B:$B,$A287,'Таблиця 1'!$I:$I,"МіГ-29",'Таблиця 1'!$J:$J,"MK-32")+SUMIFS('Таблиця 1'!$K:$K,'Таблиця 1'!$B:$B,$A287,'Таблиця 1'!$I:$I,"Су-25",'Таблиця 1'!$J:$J,"MK-32")+SUMIFS('Таблиця 1'!$K:$K,'Таблиця 1'!$B:$B,$A287,'Таблиця 1'!$I:$I,"Су-27",'Таблиця 1'!$J:$J,"MK-32"))</f>
        <v/>
      </c>
      <c r="Q287">
        <f>IF($A287="","",SUMIFS('Таблиця 1'!$K:$K,'Таблиця 1'!$B:$B,$A287,'Таблиця 1'!$I:$I,"Mirage",'Таблиця 1'!$J:$J,"MK-24")+SUMIFS('Таблиця 1'!$K:$K,'Таблиця 1'!$B:$B,$A287,'Таблиця 1'!$I:$I,"F-16",'Таблиця 1'!$J:$J,"MK-24")+SUMIFS('Таблиця 1'!$K:$K,'Таблиця 1'!$B:$B,$A287,'Таблиця 1'!$I:$I,"МіГ-29",'Таблиця 1'!$J:$J,"MK-24")+SUMIFS('Таблиця 1'!$K:$K,'Таблиця 1'!$B:$B,$A287,'Таблиця 1'!$I:$I,"Су-25",'Таблиця 1'!$J:$J,"MK-24")+SUMIFS('Таблиця 1'!$K:$K,'Таблиця 1'!$B:$B,$A287,'Таблиця 1'!$I:$I,"Су-27",'Таблиця 1'!$J:$J,"MK-24"))</f>
        <v/>
      </c>
      <c r="R287">
        <f>IF($A287="","",COUNTIFS('Таблиця 1'!$B:$B,$A287,'Таблиця 1'!$I:$I,"Mirage",'Таблиця 1'!$L:$L,"Уражено")+COUNTIFS('Таблиця 1'!$B:$B,$A287,'Таблиця 1'!$I:$I,"F-16",'Таблиця 1'!$L:$L,"Уражено")+COUNTIFS('Таблиця 1'!$B:$B,$A287,'Таблиця 1'!$I:$I,"МіГ-29",'Таблиця 1'!$L:$L,"Уражено")+COUNTIFS('Таблиця 1'!$B:$B,$A287,'Таблиця 1'!$I:$I,"Су-25",'Таблиця 1'!$L:$L,"Уражено")+COUNTIFS('Таблиця 1'!$B:$B,$A287,'Таблиця 1'!$I:$I,"Су-27",'Таблиця 1'!$L:$L,"Уражено"))</f>
        <v/>
      </c>
      <c r="S287">
        <f>IF($A287="","",COUNTIFS('Таблиця 1'!$B:$B,$A287,'Таблиця 1'!$I:$I,"Mirage",'Таблиця 1'!$L:$L,"НЕ уражено")+COUNTIFS('Таблиця 1'!$B:$B,$A287,'Таблиця 1'!$I:$I,"F-16",'Таблиця 1'!$L:$L,"НЕ уражено")+COUNTIFS('Таблиця 1'!$B:$B,$A287,'Таблиця 1'!$I:$I,"МіГ-29",'Таблиця 1'!$L:$L,"НЕ уражено")+COUNTIFS('Таблиця 1'!$B:$B,$A287,'Таблиця 1'!$I:$I,"Су-25",'Таблиця 1'!$L:$L,"НЕ уражено")+COUNTIFS('Таблиця 1'!$B:$B,$A287,'Таблиця 1'!$I:$I,"Су-27",'Таблиця 1'!$L:$L,"НЕ уражено"))</f>
        <v/>
      </c>
      <c r="T287">
        <f>IF($A287="","",COUNTIFS('Таблиця 1'!$B:$B,$A287,'Таблиця 1'!$I:$I,"Mirage",'Таблиця 1'!$L:$L,"Дорозвідується")+COUNTIFS('Таблиця 1'!$B:$B,$A287,'Таблиця 1'!$I:$I,"F-16",'Таблиця 1'!$L:$L,"Дорозвідується")+COUNTIFS('Таблиця 1'!$B:$B,$A287,'Таблиця 1'!$I:$I,"МіГ-29",'Таблиця 1'!$L:$L,"Дорозвідується")+COUNTIFS('Таблиця 1'!$B:$B,$A287,'Таблиця 1'!$I:$I,"Су-25",'Таблиця 1'!$L:$L,"Дорозвідується")+COUNTIFS('Таблиця 1'!$B:$B,$A287,'Таблиця 1'!$I:$I,"Су-27",'Таблиця 1'!$L:$L,"Дорозвідується"))</f>
        <v/>
      </c>
    </row>
    <row r="288">
      <c r="A288" s="273">
        <f>IF(A287="","",IF(A287+1&gt;MAX('Таблиця 1'!$B:$B),"",A287+1))</f>
        <v/>
      </c>
      <c r="B288">
        <f>IF($A288="","",COUNTIFS('Таблиця 1'!$B:$B,$A288,'Таблиця 1'!$I:$I,"Mirage")+COUNTIFS('Таблиця 1'!$B:$B,$A288,'Таблиця 1'!$I:$I,"F-16")+COUNTIFS('Таблиця 1'!$B:$B,$A288,'Таблиця 1'!$I:$I,"МіГ-29")+COUNTIFS('Таблиця 1'!$B:$B,$A288,'Таблиця 1'!$I:$I,"Су-25")+COUNTIFS('Таблиця 1'!$B:$B,$A288,'Таблиця 1'!$I:$I,"Су-27"))</f>
        <v/>
      </c>
      <c r="C288">
        <f>IF($A288="","",COUNTIFS('Таблиця 1'!$B:$B,$A288,'Таблиця 1'!$I:$I,"Mirage"))</f>
        <v/>
      </c>
      <c r="D288">
        <f>IF($A288="","",COUNTIFS('Таблиця 1'!$B:$B,$A288,'Таблиця 1'!$I:$I,"F-16"))</f>
        <v/>
      </c>
      <c r="E288">
        <f>IF($A288="","",COUNTIFS('Таблиця 1'!$B:$B,$A288,'Таблиця 1'!$I:$I,"МіГ-29"))</f>
        <v/>
      </c>
      <c r="F288">
        <f>IF($A288="","",COUNTIFS('Таблиця 1'!$B:$B,$A288,'Таблиця 1'!$I:$I,"Су-25"))</f>
        <v/>
      </c>
      <c r="G288">
        <f>IF($A288="","",COUNTIFS('Таблиця 1'!$B:$B,$A288,'Таблиця 1'!$I:$I,"Су-27"))</f>
        <v/>
      </c>
      <c r="H288">
        <f>IF($A288="","",SUMIFS('Таблиця 1'!$K:$K,'Таблиця 1'!$B:$B,$A288,'Таблиця 1'!$I:$I,"Mirage",'Таблиця 1'!$J:$J,"AGM-88")+SUMIFS('Таблиця 1'!$K:$K,'Таблиця 1'!$B:$B,$A288,'Таблиця 1'!$I:$I,"F-16",'Таблиця 1'!$J:$J,"AGM-88")+SUMIFS('Таблиця 1'!$K:$K,'Таблиця 1'!$B:$B,$A288,'Таблиця 1'!$I:$I,"МіГ-29",'Таблиця 1'!$J:$J,"AGM-88")+SUMIFS('Таблиця 1'!$K:$K,'Таблиця 1'!$B:$B,$A288,'Таблиця 1'!$I:$I,"Су-25",'Таблиця 1'!$J:$J,"AGM-88")+SUMIFS('Таблиця 1'!$K:$K,'Таблиця 1'!$B:$B,$A288,'Таблиця 1'!$I:$I,"Су-27",'Таблиця 1'!$J:$J,"AGM-88"))</f>
        <v/>
      </c>
      <c r="I288">
        <f>IF($A288="","",SUMIFS('Таблиця 1'!$K:$K,'Таблиця 1'!$B:$B,$A288,'Таблиця 1'!$I:$I,"Mirage",'Таблиця 1'!$J:$J,"AASM-250")+SUMIFS('Таблиця 1'!$K:$K,'Таблиця 1'!$B:$B,$A288,'Таблиця 1'!$I:$I,"F-16",'Таблиця 1'!$J:$J,"AASM-250")+SUMIFS('Таблиця 1'!$K:$K,'Таблиця 1'!$B:$B,$A288,'Таблиця 1'!$I:$I,"МіГ-29",'Таблиця 1'!$J:$J,"AASM-250")+SUMIFS('Таблиця 1'!$K:$K,'Таблиця 1'!$B:$B,$A288,'Таблиця 1'!$I:$I,"Су-25",'Таблиця 1'!$J:$J,"AASM-250")+SUMIFS('Таблиця 1'!$K:$K,'Таблиця 1'!$B:$B,$A288,'Таблиця 1'!$I:$I,"Су-27",'Таблиця 1'!$J:$J,"AASM-250"))</f>
        <v/>
      </c>
      <c r="J288">
        <f>IF($A288="","",SUMIFS('Таблиця 1'!$K:$K,'Таблиця 1'!$B:$B,$A288,'Таблиця 1'!$I:$I,"Mirage",'Таблиця 1'!$J:$J,"GBU-39")+SUMIFS('Таблиця 1'!$K:$K,'Таблиця 1'!$B:$B,$A288,'Таблиця 1'!$I:$I,"F-16",'Таблиця 1'!$J:$J,"GBU-39")+SUMIFS('Таблиця 1'!$K:$K,'Таблиця 1'!$B:$B,$A288,'Таблиця 1'!$I:$I,"МіГ-29",'Таблиця 1'!$J:$J,"GBU-39")+SUMIFS('Таблиця 1'!$K:$K,'Таблиця 1'!$B:$B,$A288,'Таблиця 1'!$I:$I,"Су-25",'Таблиця 1'!$J:$J,"GBU-39")+SUMIFS('Таблиця 1'!$K:$K,'Таблиця 1'!$B:$B,$A288,'Таблиця 1'!$I:$I,"Су-27",'Таблиця 1'!$J:$J,"GBU-39"))</f>
        <v/>
      </c>
      <c r="K288">
        <f>IF($A288="","",SUMIFS('Таблиця 1'!$K:$K,'Таблиця 1'!$B:$B,$A288,'Таблиця 1'!$I:$I,"Mirage",'Таблиця 1'!$J:$J,"BLU-140")+SUMIFS('Таблиця 1'!$K:$K,'Таблиця 1'!$B:$B,$A288,'Таблиця 1'!$I:$I,"F-16",'Таблиця 1'!$J:$J,"BLU-140")+SUMIFS('Таблиця 1'!$K:$K,'Таблиця 1'!$B:$B,$A288,'Таблиця 1'!$I:$I,"МіГ-29",'Таблиця 1'!$J:$J,"BLU-140")+SUMIFS('Таблиця 1'!$K:$K,'Таблиця 1'!$B:$B,$A288,'Таблиця 1'!$I:$I,"Су-25",'Таблиця 1'!$J:$J,"BLU-140")+SUMIFS('Таблиця 1'!$K:$K,'Таблиця 1'!$B:$B,$A288,'Таблиця 1'!$I:$I,"Су-27",'Таблиця 1'!$J:$J,"BLU-140"))</f>
        <v/>
      </c>
      <c r="L288">
        <f>IF($A288="","",SUMIFS('Таблиця 1'!$K:$K,'Таблиця 1'!$B:$B,$A288,'Таблиця 1'!$I:$I,"Mirage",'Таблиця 1'!$J:$J,"GBU-65")+SUMIFS('Таблиця 1'!$K:$K,'Таблиця 1'!$B:$B,$A288,'Таблиця 1'!$I:$I,"F-16",'Таблиця 1'!$J:$J,"GBU-65")+SUMIFS('Таблиця 1'!$K:$K,'Таблиця 1'!$B:$B,$A288,'Таблиця 1'!$I:$I,"МіГ-29",'Таблиця 1'!$J:$J,"GBU-65")+SUMIFS('Таблиця 1'!$K:$K,'Таблиця 1'!$B:$B,$A288,'Таблиця 1'!$I:$I,"Су-25",'Таблиця 1'!$J:$J,"GBU-65")+SUMIFS('Таблиця 1'!$K:$K,'Таблиця 1'!$B:$B,$A288,'Таблиця 1'!$I:$I,"Су-27",'Таблиця 1'!$J:$J,"GBU-65"))</f>
        <v/>
      </c>
      <c r="M288">
        <f>IF($A288="","",SUMIFS('Таблиця 1'!$K:$K,'Таблиця 1'!$B:$B,$A288,'Таблиця 1'!$I:$I,"Mirage",'Таблиця 1'!$J:$J,"GBU-62")+SUMIFS('Таблиця 1'!$K:$K,'Таблиця 1'!$B:$B,$A288,'Таблиця 1'!$I:$I,"F-16",'Таблиця 1'!$J:$J,"GBU-62")+SUMIFS('Таблиця 1'!$K:$K,'Таблиця 1'!$B:$B,$A288,'Таблиця 1'!$I:$I,"МіГ-29",'Таблиця 1'!$J:$J,"GBU-62")+SUMIFS('Таблиця 1'!$K:$K,'Таблиця 1'!$B:$B,$A288,'Таблиця 1'!$I:$I,"Су-25",'Таблиця 1'!$J:$J,"GBU-62")+SUMIFS('Таблиця 1'!$K:$K,'Таблиця 1'!$B:$B,$A288,'Таблиця 1'!$I:$I,"Су-27",'Таблиця 1'!$J:$J,"GBU-62"))</f>
        <v/>
      </c>
      <c r="N288">
        <f>IF($A288="","",SUMIFS('Таблиця 1'!$K:$K,'Таблиця 1'!$B:$B,$A288,'Таблиця 1'!$I:$I,"Mirage",'Таблиця 1'!$J:$J,"GBU-64")+SUMIFS('Таблиця 1'!$K:$K,'Таблиця 1'!$B:$B,$A288,'Таблиця 1'!$I:$I,"F-16",'Таблиця 1'!$J:$J,"GBU-64")+SUMIFS('Таблиця 1'!$K:$K,'Таблиця 1'!$B:$B,$A288,'Таблиця 1'!$I:$I,"МіГ-29",'Таблиця 1'!$J:$J,"GBU-64")+SUMIFS('Таблиця 1'!$K:$K,'Таблиця 1'!$B:$B,$A288,'Таблиця 1'!$I:$I,"Су-25",'Таблиця 1'!$J:$J,"GBU-64")+SUMIFS('Таблиця 1'!$K:$K,'Таблиця 1'!$B:$B,$A288,'Таблиця 1'!$I:$I,"Су-27",'Таблиця 1'!$J:$J,"GBU-64"))</f>
        <v/>
      </c>
      <c r="O288">
        <f>IF($A288="","",SUMIFS('Таблиця 1'!$K:$K,'Таблиця 1'!$B:$B,$A288,'Таблиця 1'!$I:$I,"Mirage",'Таблиця 1'!$J:$J,"C-13")+SUMIFS('Таблиця 1'!$K:$K,'Таблиця 1'!$B:$B,$A288,'Таблиця 1'!$I:$I,"F-16",'Таблиця 1'!$J:$J,"C-13")+SUMIFS('Таблиця 1'!$K:$K,'Таблиця 1'!$B:$B,$A288,'Таблиця 1'!$I:$I,"МіГ-29",'Таблиця 1'!$J:$J,"C-13")+SUMIFS('Таблиця 1'!$K:$K,'Таблиця 1'!$B:$B,$A288,'Таблиця 1'!$I:$I,"Су-25",'Таблиця 1'!$J:$J,"C-13")+SUMIFS('Таблиця 1'!$K:$K,'Таблиця 1'!$B:$B,$A288,'Таблиця 1'!$I:$I,"Су-27",'Таблиця 1'!$J:$J,"C-13"))</f>
        <v/>
      </c>
      <c r="P288">
        <f>IF($A288="","",SUMIFS('Таблиця 1'!$K:$K,'Таблиця 1'!$B:$B,$A288,'Таблиця 1'!$I:$I,"Mirage",'Таблиця 1'!$J:$J,"MK-32")+SUMIFS('Таблиця 1'!$K:$K,'Таблиця 1'!$B:$B,$A288,'Таблиця 1'!$I:$I,"F-16",'Таблиця 1'!$J:$J,"MK-32")+SUMIFS('Таблиця 1'!$K:$K,'Таблиця 1'!$B:$B,$A288,'Таблиця 1'!$I:$I,"МіГ-29",'Таблиця 1'!$J:$J,"MK-32")+SUMIFS('Таблиця 1'!$K:$K,'Таблиця 1'!$B:$B,$A288,'Таблиця 1'!$I:$I,"Су-25",'Таблиця 1'!$J:$J,"MK-32")+SUMIFS('Таблиця 1'!$K:$K,'Таблиця 1'!$B:$B,$A288,'Таблиця 1'!$I:$I,"Су-27",'Таблиця 1'!$J:$J,"MK-32"))</f>
        <v/>
      </c>
      <c r="Q288">
        <f>IF($A288="","",SUMIFS('Таблиця 1'!$K:$K,'Таблиця 1'!$B:$B,$A288,'Таблиця 1'!$I:$I,"Mirage",'Таблиця 1'!$J:$J,"MK-24")+SUMIFS('Таблиця 1'!$K:$K,'Таблиця 1'!$B:$B,$A288,'Таблиця 1'!$I:$I,"F-16",'Таблиця 1'!$J:$J,"MK-24")+SUMIFS('Таблиця 1'!$K:$K,'Таблиця 1'!$B:$B,$A288,'Таблиця 1'!$I:$I,"МіГ-29",'Таблиця 1'!$J:$J,"MK-24")+SUMIFS('Таблиця 1'!$K:$K,'Таблиця 1'!$B:$B,$A288,'Таблиця 1'!$I:$I,"Су-25",'Таблиця 1'!$J:$J,"MK-24")+SUMIFS('Таблиця 1'!$K:$K,'Таблиця 1'!$B:$B,$A288,'Таблиця 1'!$I:$I,"Су-27",'Таблиця 1'!$J:$J,"MK-24"))</f>
        <v/>
      </c>
      <c r="R288">
        <f>IF($A288="","",COUNTIFS('Таблиця 1'!$B:$B,$A288,'Таблиця 1'!$I:$I,"Mirage",'Таблиця 1'!$L:$L,"Уражено")+COUNTIFS('Таблиця 1'!$B:$B,$A288,'Таблиця 1'!$I:$I,"F-16",'Таблиця 1'!$L:$L,"Уражено")+COUNTIFS('Таблиця 1'!$B:$B,$A288,'Таблиця 1'!$I:$I,"МіГ-29",'Таблиця 1'!$L:$L,"Уражено")+COUNTIFS('Таблиця 1'!$B:$B,$A288,'Таблиця 1'!$I:$I,"Су-25",'Таблиця 1'!$L:$L,"Уражено")+COUNTIFS('Таблиця 1'!$B:$B,$A288,'Таблиця 1'!$I:$I,"Су-27",'Таблиця 1'!$L:$L,"Уражено"))</f>
        <v/>
      </c>
      <c r="S288">
        <f>IF($A288="","",COUNTIFS('Таблиця 1'!$B:$B,$A288,'Таблиця 1'!$I:$I,"Mirage",'Таблиця 1'!$L:$L,"НЕ уражено")+COUNTIFS('Таблиця 1'!$B:$B,$A288,'Таблиця 1'!$I:$I,"F-16",'Таблиця 1'!$L:$L,"НЕ уражено")+COUNTIFS('Таблиця 1'!$B:$B,$A288,'Таблиця 1'!$I:$I,"МіГ-29",'Таблиця 1'!$L:$L,"НЕ уражено")+COUNTIFS('Таблиця 1'!$B:$B,$A288,'Таблиця 1'!$I:$I,"Су-25",'Таблиця 1'!$L:$L,"НЕ уражено")+COUNTIFS('Таблиця 1'!$B:$B,$A288,'Таблиця 1'!$I:$I,"Су-27",'Таблиця 1'!$L:$L,"НЕ уражено"))</f>
        <v/>
      </c>
      <c r="T288">
        <f>IF($A288="","",COUNTIFS('Таблиця 1'!$B:$B,$A288,'Таблиця 1'!$I:$I,"Mirage",'Таблиця 1'!$L:$L,"Дорозвідується")+COUNTIFS('Таблиця 1'!$B:$B,$A288,'Таблиця 1'!$I:$I,"F-16",'Таблиця 1'!$L:$L,"Дорозвідується")+COUNTIFS('Таблиця 1'!$B:$B,$A288,'Таблиця 1'!$I:$I,"МіГ-29",'Таблиця 1'!$L:$L,"Дорозвідується")+COUNTIFS('Таблиця 1'!$B:$B,$A288,'Таблиця 1'!$I:$I,"Су-25",'Таблиця 1'!$L:$L,"Дорозвідується")+COUNTIFS('Таблиця 1'!$B:$B,$A288,'Таблиця 1'!$I:$I,"Су-27",'Таблиця 1'!$L:$L,"Дорозвідується"))</f>
        <v/>
      </c>
    </row>
    <row r="289">
      <c r="A289" s="273">
        <f>IF(A288="","",IF(A288+1&gt;MAX('Таблиця 1'!$B:$B),"",A288+1))</f>
        <v/>
      </c>
      <c r="B289">
        <f>IF($A289="","",COUNTIFS('Таблиця 1'!$B:$B,$A289,'Таблиця 1'!$I:$I,"Mirage")+COUNTIFS('Таблиця 1'!$B:$B,$A289,'Таблиця 1'!$I:$I,"F-16")+COUNTIFS('Таблиця 1'!$B:$B,$A289,'Таблиця 1'!$I:$I,"МіГ-29")+COUNTIFS('Таблиця 1'!$B:$B,$A289,'Таблиця 1'!$I:$I,"Су-25")+COUNTIFS('Таблиця 1'!$B:$B,$A289,'Таблиця 1'!$I:$I,"Су-27"))</f>
        <v/>
      </c>
      <c r="C289">
        <f>IF($A289="","",COUNTIFS('Таблиця 1'!$B:$B,$A289,'Таблиця 1'!$I:$I,"Mirage"))</f>
        <v/>
      </c>
      <c r="D289">
        <f>IF($A289="","",COUNTIFS('Таблиця 1'!$B:$B,$A289,'Таблиця 1'!$I:$I,"F-16"))</f>
        <v/>
      </c>
      <c r="E289">
        <f>IF($A289="","",COUNTIFS('Таблиця 1'!$B:$B,$A289,'Таблиця 1'!$I:$I,"МіГ-29"))</f>
        <v/>
      </c>
      <c r="F289">
        <f>IF($A289="","",COUNTIFS('Таблиця 1'!$B:$B,$A289,'Таблиця 1'!$I:$I,"Су-25"))</f>
        <v/>
      </c>
      <c r="G289">
        <f>IF($A289="","",COUNTIFS('Таблиця 1'!$B:$B,$A289,'Таблиця 1'!$I:$I,"Су-27"))</f>
        <v/>
      </c>
      <c r="H289">
        <f>IF($A289="","",SUMIFS('Таблиця 1'!$K:$K,'Таблиця 1'!$B:$B,$A289,'Таблиця 1'!$I:$I,"Mirage",'Таблиця 1'!$J:$J,"AGM-88")+SUMIFS('Таблиця 1'!$K:$K,'Таблиця 1'!$B:$B,$A289,'Таблиця 1'!$I:$I,"F-16",'Таблиця 1'!$J:$J,"AGM-88")+SUMIFS('Таблиця 1'!$K:$K,'Таблиця 1'!$B:$B,$A289,'Таблиця 1'!$I:$I,"МіГ-29",'Таблиця 1'!$J:$J,"AGM-88")+SUMIFS('Таблиця 1'!$K:$K,'Таблиця 1'!$B:$B,$A289,'Таблиця 1'!$I:$I,"Су-25",'Таблиця 1'!$J:$J,"AGM-88")+SUMIFS('Таблиця 1'!$K:$K,'Таблиця 1'!$B:$B,$A289,'Таблиця 1'!$I:$I,"Су-27",'Таблиця 1'!$J:$J,"AGM-88"))</f>
        <v/>
      </c>
      <c r="I289">
        <f>IF($A289="","",SUMIFS('Таблиця 1'!$K:$K,'Таблиця 1'!$B:$B,$A289,'Таблиця 1'!$I:$I,"Mirage",'Таблиця 1'!$J:$J,"AASM-250")+SUMIFS('Таблиця 1'!$K:$K,'Таблиця 1'!$B:$B,$A289,'Таблиця 1'!$I:$I,"F-16",'Таблиця 1'!$J:$J,"AASM-250")+SUMIFS('Таблиця 1'!$K:$K,'Таблиця 1'!$B:$B,$A289,'Таблиця 1'!$I:$I,"МіГ-29",'Таблиця 1'!$J:$J,"AASM-250")+SUMIFS('Таблиця 1'!$K:$K,'Таблиця 1'!$B:$B,$A289,'Таблиця 1'!$I:$I,"Су-25",'Таблиця 1'!$J:$J,"AASM-250")+SUMIFS('Таблиця 1'!$K:$K,'Таблиця 1'!$B:$B,$A289,'Таблиця 1'!$I:$I,"Су-27",'Таблиця 1'!$J:$J,"AASM-250"))</f>
        <v/>
      </c>
      <c r="J289">
        <f>IF($A289="","",SUMIFS('Таблиця 1'!$K:$K,'Таблиця 1'!$B:$B,$A289,'Таблиця 1'!$I:$I,"Mirage",'Таблиця 1'!$J:$J,"GBU-39")+SUMIFS('Таблиця 1'!$K:$K,'Таблиця 1'!$B:$B,$A289,'Таблиця 1'!$I:$I,"F-16",'Таблиця 1'!$J:$J,"GBU-39")+SUMIFS('Таблиця 1'!$K:$K,'Таблиця 1'!$B:$B,$A289,'Таблиця 1'!$I:$I,"МіГ-29",'Таблиця 1'!$J:$J,"GBU-39")+SUMIFS('Таблиця 1'!$K:$K,'Таблиця 1'!$B:$B,$A289,'Таблиця 1'!$I:$I,"Су-25",'Таблиця 1'!$J:$J,"GBU-39")+SUMIFS('Таблиця 1'!$K:$K,'Таблиця 1'!$B:$B,$A289,'Таблиця 1'!$I:$I,"Су-27",'Таблиця 1'!$J:$J,"GBU-39"))</f>
        <v/>
      </c>
      <c r="K289">
        <f>IF($A289="","",SUMIFS('Таблиця 1'!$K:$K,'Таблиця 1'!$B:$B,$A289,'Таблиця 1'!$I:$I,"Mirage",'Таблиця 1'!$J:$J,"BLU-140")+SUMIFS('Таблиця 1'!$K:$K,'Таблиця 1'!$B:$B,$A289,'Таблиця 1'!$I:$I,"F-16",'Таблиця 1'!$J:$J,"BLU-140")+SUMIFS('Таблиця 1'!$K:$K,'Таблиця 1'!$B:$B,$A289,'Таблиця 1'!$I:$I,"МіГ-29",'Таблиця 1'!$J:$J,"BLU-140")+SUMIFS('Таблиця 1'!$K:$K,'Таблиця 1'!$B:$B,$A289,'Таблиця 1'!$I:$I,"Су-25",'Таблиця 1'!$J:$J,"BLU-140")+SUMIFS('Таблиця 1'!$K:$K,'Таблиця 1'!$B:$B,$A289,'Таблиця 1'!$I:$I,"Су-27",'Таблиця 1'!$J:$J,"BLU-140"))</f>
        <v/>
      </c>
      <c r="L289">
        <f>IF($A289="","",SUMIFS('Таблиця 1'!$K:$K,'Таблиця 1'!$B:$B,$A289,'Таблиця 1'!$I:$I,"Mirage",'Таблиця 1'!$J:$J,"GBU-65")+SUMIFS('Таблиця 1'!$K:$K,'Таблиця 1'!$B:$B,$A289,'Таблиця 1'!$I:$I,"F-16",'Таблиця 1'!$J:$J,"GBU-65")+SUMIFS('Таблиця 1'!$K:$K,'Таблиця 1'!$B:$B,$A289,'Таблиця 1'!$I:$I,"МіГ-29",'Таблиця 1'!$J:$J,"GBU-65")+SUMIFS('Таблиця 1'!$K:$K,'Таблиця 1'!$B:$B,$A289,'Таблиця 1'!$I:$I,"Су-25",'Таблиця 1'!$J:$J,"GBU-65")+SUMIFS('Таблиця 1'!$K:$K,'Таблиця 1'!$B:$B,$A289,'Таблиця 1'!$I:$I,"Су-27",'Таблиця 1'!$J:$J,"GBU-65"))</f>
        <v/>
      </c>
      <c r="M289">
        <f>IF($A289="","",SUMIFS('Таблиця 1'!$K:$K,'Таблиця 1'!$B:$B,$A289,'Таблиця 1'!$I:$I,"Mirage",'Таблиця 1'!$J:$J,"GBU-62")+SUMIFS('Таблиця 1'!$K:$K,'Таблиця 1'!$B:$B,$A289,'Таблиця 1'!$I:$I,"F-16",'Таблиця 1'!$J:$J,"GBU-62")+SUMIFS('Таблиця 1'!$K:$K,'Таблиця 1'!$B:$B,$A289,'Таблиця 1'!$I:$I,"МіГ-29",'Таблиця 1'!$J:$J,"GBU-62")+SUMIFS('Таблиця 1'!$K:$K,'Таблиця 1'!$B:$B,$A289,'Таблиця 1'!$I:$I,"Су-25",'Таблиця 1'!$J:$J,"GBU-62")+SUMIFS('Таблиця 1'!$K:$K,'Таблиця 1'!$B:$B,$A289,'Таблиця 1'!$I:$I,"Су-27",'Таблиця 1'!$J:$J,"GBU-62"))</f>
        <v/>
      </c>
      <c r="N289">
        <f>IF($A289="","",SUMIFS('Таблиця 1'!$K:$K,'Таблиця 1'!$B:$B,$A289,'Таблиця 1'!$I:$I,"Mirage",'Таблиця 1'!$J:$J,"GBU-64")+SUMIFS('Таблиця 1'!$K:$K,'Таблиця 1'!$B:$B,$A289,'Таблиця 1'!$I:$I,"F-16",'Таблиця 1'!$J:$J,"GBU-64")+SUMIFS('Таблиця 1'!$K:$K,'Таблиця 1'!$B:$B,$A289,'Таблиця 1'!$I:$I,"МіГ-29",'Таблиця 1'!$J:$J,"GBU-64")+SUMIFS('Таблиця 1'!$K:$K,'Таблиця 1'!$B:$B,$A289,'Таблиця 1'!$I:$I,"Су-25",'Таблиця 1'!$J:$J,"GBU-64")+SUMIFS('Таблиця 1'!$K:$K,'Таблиця 1'!$B:$B,$A289,'Таблиця 1'!$I:$I,"Су-27",'Таблиця 1'!$J:$J,"GBU-64"))</f>
        <v/>
      </c>
      <c r="O289">
        <f>IF($A289="","",SUMIFS('Таблиця 1'!$K:$K,'Таблиця 1'!$B:$B,$A289,'Таблиця 1'!$I:$I,"Mirage",'Таблиця 1'!$J:$J,"C-13")+SUMIFS('Таблиця 1'!$K:$K,'Таблиця 1'!$B:$B,$A289,'Таблиця 1'!$I:$I,"F-16",'Таблиця 1'!$J:$J,"C-13")+SUMIFS('Таблиця 1'!$K:$K,'Таблиця 1'!$B:$B,$A289,'Таблиця 1'!$I:$I,"МіГ-29",'Таблиця 1'!$J:$J,"C-13")+SUMIFS('Таблиця 1'!$K:$K,'Таблиця 1'!$B:$B,$A289,'Таблиця 1'!$I:$I,"Су-25",'Таблиця 1'!$J:$J,"C-13")+SUMIFS('Таблиця 1'!$K:$K,'Таблиця 1'!$B:$B,$A289,'Таблиця 1'!$I:$I,"Су-27",'Таблиця 1'!$J:$J,"C-13"))</f>
        <v/>
      </c>
      <c r="P289">
        <f>IF($A289="","",SUMIFS('Таблиця 1'!$K:$K,'Таблиця 1'!$B:$B,$A289,'Таблиця 1'!$I:$I,"Mirage",'Таблиця 1'!$J:$J,"MK-32")+SUMIFS('Таблиця 1'!$K:$K,'Таблиця 1'!$B:$B,$A289,'Таблиця 1'!$I:$I,"F-16",'Таблиця 1'!$J:$J,"MK-32")+SUMIFS('Таблиця 1'!$K:$K,'Таблиця 1'!$B:$B,$A289,'Таблиця 1'!$I:$I,"МіГ-29",'Таблиця 1'!$J:$J,"MK-32")+SUMIFS('Таблиця 1'!$K:$K,'Таблиця 1'!$B:$B,$A289,'Таблиця 1'!$I:$I,"Су-25",'Таблиця 1'!$J:$J,"MK-32")+SUMIFS('Таблиця 1'!$K:$K,'Таблиця 1'!$B:$B,$A289,'Таблиця 1'!$I:$I,"Су-27",'Таблиця 1'!$J:$J,"MK-32"))</f>
        <v/>
      </c>
      <c r="Q289">
        <f>IF($A289="","",SUMIFS('Таблиця 1'!$K:$K,'Таблиця 1'!$B:$B,$A289,'Таблиця 1'!$I:$I,"Mirage",'Таблиця 1'!$J:$J,"MK-24")+SUMIFS('Таблиця 1'!$K:$K,'Таблиця 1'!$B:$B,$A289,'Таблиця 1'!$I:$I,"F-16",'Таблиця 1'!$J:$J,"MK-24")+SUMIFS('Таблиця 1'!$K:$K,'Таблиця 1'!$B:$B,$A289,'Таблиця 1'!$I:$I,"МіГ-29",'Таблиця 1'!$J:$J,"MK-24")+SUMIFS('Таблиця 1'!$K:$K,'Таблиця 1'!$B:$B,$A289,'Таблиця 1'!$I:$I,"Су-25",'Таблиця 1'!$J:$J,"MK-24")+SUMIFS('Таблиця 1'!$K:$K,'Таблиця 1'!$B:$B,$A289,'Таблиця 1'!$I:$I,"Су-27",'Таблиця 1'!$J:$J,"MK-24"))</f>
        <v/>
      </c>
      <c r="R289">
        <f>IF($A289="","",COUNTIFS('Таблиця 1'!$B:$B,$A289,'Таблиця 1'!$I:$I,"Mirage",'Таблиця 1'!$L:$L,"Уражено")+COUNTIFS('Таблиця 1'!$B:$B,$A289,'Таблиця 1'!$I:$I,"F-16",'Таблиця 1'!$L:$L,"Уражено")+COUNTIFS('Таблиця 1'!$B:$B,$A289,'Таблиця 1'!$I:$I,"МіГ-29",'Таблиця 1'!$L:$L,"Уражено")+COUNTIFS('Таблиця 1'!$B:$B,$A289,'Таблиця 1'!$I:$I,"Су-25",'Таблиця 1'!$L:$L,"Уражено")+COUNTIFS('Таблиця 1'!$B:$B,$A289,'Таблиця 1'!$I:$I,"Су-27",'Таблиця 1'!$L:$L,"Уражено"))</f>
        <v/>
      </c>
      <c r="S289">
        <f>IF($A289="","",COUNTIFS('Таблиця 1'!$B:$B,$A289,'Таблиця 1'!$I:$I,"Mirage",'Таблиця 1'!$L:$L,"НЕ уражено")+COUNTIFS('Таблиця 1'!$B:$B,$A289,'Таблиця 1'!$I:$I,"F-16",'Таблиця 1'!$L:$L,"НЕ уражено")+COUNTIFS('Таблиця 1'!$B:$B,$A289,'Таблиця 1'!$I:$I,"МіГ-29",'Таблиця 1'!$L:$L,"НЕ уражено")+COUNTIFS('Таблиця 1'!$B:$B,$A289,'Таблиця 1'!$I:$I,"Су-25",'Таблиця 1'!$L:$L,"НЕ уражено")+COUNTIFS('Таблиця 1'!$B:$B,$A289,'Таблиця 1'!$I:$I,"Су-27",'Таблиця 1'!$L:$L,"НЕ уражено"))</f>
        <v/>
      </c>
      <c r="T289">
        <f>IF($A289="","",COUNTIFS('Таблиця 1'!$B:$B,$A289,'Таблиця 1'!$I:$I,"Mirage",'Таблиця 1'!$L:$L,"Дорозвідується")+COUNTIFS('Таблиця 1'!$B:$B,$A289,'Таблиця 1'!$I:$I,"F-16",'Таблиця 1'!$L:$L,"Дорозвідується")+COUNTIFS('Таблиця 1'!$B:$B,$A289,'Таблиця 1'!$I:$I,"МіГ-29",'Таблиця 1'!$L:$L,"Дорозвідується")+COUNTIFS('Таблиця 1'!$B:$B,$A289,'Таблиця 1'!$I:$I,"Су-25",'Таблиця 1'!$L:$L,"Дорозвідується")+COUNTIFS('Таблиця 1'!$B:$B,$A289,'Таблиця 1'!$I:$I,"Су-27",'Таблиця 1'!$L:$L,"Дорозвідується"))</f>
        <v/>
      </c>
    </row>
    <row r="290">
      <c r="A290" s="273">
        <f>IF(A289="","",IF(A289+1&gt;MAX('Таблиця 1'!$B:$B),"",A289+1))</f>
        <v/>
      </c>
      <c r="B290">
        <f>IF($A290="","",COUNTIFS('Таблиця 1'!$B:$B,$A290,'Таблиця 1'!$I:$I,"Mirage")+COUNTIFS('Таблиця 1'!$B:$B,$A290,'Таблиця 1'!$I:$I,"F-16")+COUNTIFS('Таблиця 1'!$B:$B,$A290,'Таблиця 1'!$I:$I,"МіГ-29")+COUNTIFS('Таблиця 1'!$B:$B,$A290,'Таблиця 1'!$I:$I,"Су-25")+COUNTIFS('Таблиця 1'!$B:$B,$A290,'Таблиця 1'!$I:$I,"Су-27"))</f>
        <v/>
      </c>
      <c r="C290">
        <f>IF($A290="","",COUNTIFS('Таблиця 1'!$B:$B,$A290,'Таблиця 1'!$I:$I,"Mirage"))</f>
        <v/>
      </c>
      <c r="D290">
        <f>IF($A290="","",COUNTIFS('Таблиця 1'!$B:$B,$A290,'Таблиця 1'!$I:$I,"F-16"))</f>
        <v/>
      </c>
      <c r="E290">
        <f>IF($A290="","",COUNTIFS('Таблиця 1'!$B:$B,$A290,'Таблиця 1'!$I:$I,"МіГ-29"))</f>
        <v/>
      </c>
      <c r="F290">
        <f>IF($A290="","",COUNTIFS('Таблиця 1'!$B:$B,$A290,'Таблиця 1'!$I:$I,"Су-25"))</f>
        <v/>
      </c>
      <c r="G290">
        <f>IF($A290="","",COUNTIFS('Таблиця 1'!$B:$B,$A290,'Таблиця 1'!$I:$I,"Су-27"))</f>
        <v/>
      </c>
      <c r="H290">
        <f>IF($A290="","",SUMIFS('Таблиця 1'!$K:$K,'Таблиця 1'!$B:$B,$A290,'Таблиця 1'!$I:$I,"Mirage",'Таблиця 1'!$J:$J,"AGM-88")+SUMIFS('Таблиця 1'!$K:$K,'Таблиця 1'!$B:$B,$A290,'Таблиця 1'!$I:$I,"F-16",'Таблиця 1'!$J:$J,"AGM-88")+SUMIFS('Таблиця 1'!$K:$K,'Таблиця 1'!$B:$B,$A290,'Таблиця 1'!$I:$I,"МіГ-29",'Таблиця 1'!$J:$J,"AGM-88")+SUMIFS('Таблиця 1'!$K:$K,'Таблиця 1'!$B:$B,$A290,'Таблиця 1'!$I:$I,"Су-25",'Таблиця 1'!$J:$J,"AGM-88")+SUMIFS('Таблиця 1'!$K:$K,'Таблиця 1'!$B:$B,$A290,'Таблиця 1'!$I:$I,"Су-27",'Таблиця 1'!$J:$J,"AGM-88"))</f>
        <v/>
      </c>
      <c r="I290">
        <f>IF($A290="","",SUMIFS('Таблиця 1'!$K:$K,'Таблиця 1'!$B:$B,$A290,'Таблиця 1'!$I:$I,"Mirage",'Таблиця 1'!$J:$J,"AASM-250")+SUMIFS('Таблиця 1'!$K:$K,'Таблиця 1'!$B:$B,$A290,'Таблиця 1'!$I:$I,"F-16",'Таблиця 1'!$J:$J,"AASM-250")+SUMIFS('Таблиця 1'!$K:$K,'Таблиця 1'!$B:$B,$A290,'Таблиця 1'!$I:$I,"МіГ-29",'Таблиця 1'!$J:$J,"AASM-250")+SUMIFS('Таблиця 1'!$K:$K,'Таблиця 1'!$B:$B,$A290,'Таблиця 1'!$I:$I,"Су-25",'Таблиця 1'!$J:$J,"AASM-250")+SUMIFS('Таблиця 1'!$K:$K,'Таблиця 1'!$B:$B,$A290,'Таблиця 1'!$I:$I,"Су-27",'Таблиця 1'!$J:$J,"AASM-250"))</f>
        <v/>
      </c>
      <c r="J290">
        <f>IF($A290="","",SUMIFS('Таблиця 1'!$K:$K,'Таблиця 1'!$B:$B,$A290,'Таблиця 1'!$I:$I,"Mirage",'Таблиця 1'!$J:$J,"GBU-39")+SUMIFS('Таблиця 1'!$K:$K,'Таблиця 1'!$B:$B,$A290,'Таблиця 1'!$I:$I,"F-16",'Таблиця 1'!$J:$J,"GBU-39")+SUMIFS('Таблиця 1'!$K:$K,'Таблиця 1'!$B:$B,$A290,'Таблиця 1'!$I:$I,"МіГ-29",'Таблиця 1'!$J:$J,"GBU-39")+SUMIFS('Таблиця 1'!$K:$K,'Таблиця 1'!$B:$B,$A290,'Таблиця 1'!$I:$I,"Су-25",'Таблиця 1'!$J:$J,"GBU-39")+SUMIFS('Таблиця 1'!$K:$K,'Таблиця 1'!$B:$B,$A290,'Таблиця 1'!$I:$I,"Су-27",'Таблиця 1'!$J:$J,"GBU-39"))</f>
        <v/>
      </c>
      <c r="K290">
        <f>IF($A290="","",SUMIFS('Таблиця 1'!$K:$K,'Таблиця 1'!$B:$B,$A290,'Таблиця 1'!$I:$I,"Mirage",'Таблиця 1'!$J:$J,"BLU-140")+SUMIFS('Таблиця 1'!$K:$K,'Таблиця 1'!$B:$B,$A290,'Таблиця 1'!$I:$I,"F-16",'Таблиця 1'!$J:$J,"BLU-140")+SUMIFS('Таблиця 1'!$K:$K,'Таблиця 1'!$B:$B,$A290,'Таблиця 1'!$I:$I,"МіГ-29",'Таблиця 1'!$J:$J,"BLU-140")+SUMIFS('Таблиця 1'!$K:$K,'Таблиця 1'!$B:$B,$A290,'Таблиця 1'!$I:$I,"Су-25",'Таблиця 1'!$J:$J,"BLU-140")+SUMIFS('Таблиця 1'!$K:$K,'Таблиця 1'!$B:$B,$A290,'Таблиця 1'!$I:$I,"Су-27",'Таблиця 1'!$J:$J,"BLU-140"))</f>
        <v/>
      </c>
      <c r="L290">
        <f>IF($A290="","",SUMIFS('Таблиця 1'!$K:$K,'Таблиця 1'!$B:$B,$A290,'Таблиця 1'!$I:$I,"Mirage",'Таблиця 1'!$J:$J,"GBU-65")+SUMIFS('Таблиця 1'!$K:$K,'Таблиця 1'!$B:$B,$A290,'Таблиця 1'!$I:$I,"F-16",'Таблиця 1'!$J:$J,"GBU-65")+SUMIFS('Таблиця 1'!$K:$K,'Таблиця 1'!$B:$B,$A290,'Таблиця 1'!$I:$I,"МіГ-29",'Таблиця 1'!$J:$J,"GBU-65")+SUMIFS('Таблиця 1'!$K:$K,'Таблиця 1'!$B:$B,$A290,'Таблиця 1'!$I:$I,"Су-25",'Таблиця 1'!$J:$J,"GBU-65")+SUMIFS('Таблиця 1'!$K:$K,'Таблиця 1'!$B:$B,$A290,'Таблиця 1'!$I:$I,"Су-27",'Таблиця 1'!$J:$J,"GBU-65"))</f>
        <v/>
      </c>
      <c r="M290">
        <f>IF($A290="","",SUMIFS('Таблиця 1'!$K:$K,'Таблиця 1'!$B:$B,$A290,'Таблиця 1'!$I:$I,"Mirage",'Таблиця 1'!$J:$J,"GBU-62")+SUMIFS('Таблиця 1'!$K:$K,'Таблиця 1'!$B:$B,$A290,'Таблиця 1'!$I:$I,"F-16",'Таблиця 1'!$J:$J,"GBU-62")+SUMIFS('Таблиця 1'!$K:$K,'Таблиця 1'!$B:$B,$A290,'Таблиця 1'!$I:$I,"МіГ-29",'Таблиця 1'!$J:$J,"GBU-62")+SUMIFS('Таблиця 1'!$K:$K,'Таблиця 1'!$B:$B,$A290,'Таблиця 1'!$I:$I,"Су-25",'Таблиця 1'!$J:$J,"GBU-62")+SUMIFS('Таблиця 1'!$K:$K,'Таблиця 1'!$B:$B,$A290,'Таблиця 1'!$I:$I,"Су-27",'Таблиця 1'!$J:$J,"GBU-62"))</f>
        <v/>
      </c>
      <c r="N290">
        <f>IF($A290="","",SUMIFS('Таблиця 1'!$K:$K,'Таблиця 1'!$B:$B,$A290,'Таблиця 1'!$I:$I,"Mirage",'Таблиця 1'!$J:$J,"GBU-64")+SUMIFS('Таблиця 1'!$K:$K,'Таблиця 1'!$B:$B,$A290,'Таблиця 1'!$I:$I,"F-16",'Таблиця 1'!$J:$J,"GBU-64")+SUMIFS('Таблиця 1'!$K:$K,'Таблиця 1'!$B:$B,$A290,'Таблиця 1'!$I:$I,"МіГ-29",'Таблиця 1'!$J:$J,"GBU-64")+SUMIFS('Таблиця 1'!$K:$K,'Таблиця 1'!$B:$B,$A290,'Таблиця 1'!$I:$I,"Су-25",'Таблиця 1'!$J:$J,"GBU-64")+SUMIFS('Таблиця 1'!$K:$K,'Таблиця 1'!$B:$B,$A290,'Таблиця 1'!$I:$I,"Су-27",'Таблиця 1'!$J:$J,"GBU-64"))</f>
        <v/>
      </c>
      <c r="O290">
        <f>IF($A290="","",SUMIFS('Таблиця 1'!$K:$K,'Таблиця 1'!$B:$B,$A290,'Таблиця 1'!$I:$I,"Mirage",'Таблиця 1'!$J:$J,"C-13")+SUMIFS('Таблиця 1'!$K:$K,'Таблиця 1'!$B:$B,$A290,'Таблиця 1'!$I:$I,"F-16",'Таблиця 1'!$J:$J,"C-13")+SUMIFS('Таблиця 1'!$K:$K,'Таблиця 1'!$B:$B,$A290,'Таблиця 1'!$I:$I,"МіГ-29",'Таблиця 1'!$J:$J,"C-13")+SUMIFS('Таблиця 1'!$K:$K,'Таблиця 1'!$B:$B,$A290,'Таблиця 1'!$I:$I,"Су-25",'Таблиця 1'!$J:$J,"C-13")+SUMIFS('Таблиця 1'!$K:$K,'Таблиця 1'!$B:$B,$A290,'Таблиця 1'!$I:$I,"Су-27",'Таблиця 1'!$J:$J,"C-13"))</f>
        <v/>
      </c>
      <c r="P290">
        <f>IF($A290="","",SUMIFS('Таблиця 1'!$K:$K,'Таблиця 1'!$B:$B,$A290,'Таблиця 1'!$I:$I,"Mirage",'Таблиця 1'!$J:$J,"MK-32")+SUMIFS('Таблиця 1'!$K:$K,'Таблиця 1'!$B:$B,$A290,'Таблиця 1'!$I:$I,"F-16",'Таблиця 1'!$J:$J,"MK-32")+SUMIFS('Таблиця 1'!$K:$K,'Таблиця 1'!$B:$B,$A290,'Таблиця 1'!$I:$I,"МіГ-29",'Таблиця 1'!$J:$J,"MK-32")+SUMIFS('Таблиця 1'!$K:$K,'Таблиця 1'!$B:$B,$A290,'Таблиця 1'!$I:$I,"Су-25",'Таблиця 1'!$J:$J,"MK-32")+SUMIFS('Таблиця 1'!$K:$K,'Таблиця 1'!$B:$B,$A290,'Таблиця 1'!$I:$I,"Су-27",'Таблиця 1'!$J:$J,"MK-32"))</f>
        <v/>
      </c>
      <c r="Q290">
        <f>IF($A290="","",SUMIFS('Таблиця 1'!$K:$K,'Таблиця 1'!$B:$B,$A290,'Таблиця 1'!$I:$I,"Mirage",'Таблиця 1'!$J:$J,"MK-24")+SUMIFS('Таблиця 1'!$K:$K,'Таблиця 1'!$B:$B,$A290,'Таблиця 1'!$I:$I,"F-16",'Таблиця 1'!$J:$J,"MK-24")+SUMIFS('Таблиця 1'!$K:$K,'Таблиця 1'!$B:$B,$A290,'Таблиця 1'!$I:$I,"МіГ-29",'Таблиця 1'!$J:$J,"MK-24")+SUMIFS('Таблиця 1'!$K:$K,'Таблиця 1'!$B:$B,$A290,'Таблиця 1'!$I:$I,"Су-25",'Таблиця 1'!$J:$J,"MK-24")+SUMIFS('Таблиця 1'!$K:$K,'Таблиця 1'!$B:$B,$A290,'Таблиця 1'!$I:$I,"Су-27",'Таблиця 1'!$J:$J,"MK-24"))</f>
        <v/>
      </c>
      <c r="R290">
        <f>IF($A290="","",COUNTIFS('Таблиця 1'!$B:$B,$A290,'Таблиця 1'!$I:$I,"Mirage",'Таблиця 1'!$L:$L,"Уражено")+COUNTIFS('Таблиця 1'!$B:$B,$A290,'Таблиця 1'!$I:$I,"F-16",'Таблиця 1'!$L:$L,"Уражено")+COUNTIFS('Таблиця 1'!$B:$B,$A290,'Таблиця 1'!$I:$I,"МіГ-29",'Таблиця 1'!$L:$L,"Уражено")+COUNTIFS('Таблиця 1'!$B:$B,$A290,'Таблиця 1'!$I:$I,"Су-25",'Таблиця 1'!$L:$L,"Уражено")+COUNTIFS('Таблиця 1'!$B:$B,$A290,'Таблиця 1'!$I:$I,"Су-27",'Таблиця 1'!$L:$L,"Уражено"))</f>
        <v/>
      </c>
      <c r="S290">
        <f>IF($A290="","",COUNTIFS('Таблиця 1'!$B:$B,$A290,'Таблиця 1'!$I:$I,"Mirage",'Таблиця 1'!$L:$L,"НЕ уражено")+COUNTIFS('Таблиця 1'!$B:$B,$A290,'Таблиця 1'!$I:$I,"F-16",'Таблиця 1'!$L:$L,"НЕ уражено")+COUNTIFS('Таблиця 1'!$B:$B,$A290,'Таблиця 1'!$I:$I,"МіГ-29",'Таблиця 1'!$L:$L,"НЕ уражено")+COUNTIFS('Таблиця 1'!$B:$B,$A290,'Таблиця 1'!$I:$I,"Су-25",'Таблиця 1'!$L:$L,"НЕ уражено")+COUNTIFS('Таблиця 1'!$B:$B,$A290,'Таблиця 1'!$I:$I,"Су-27",'Таблиця 1'!$L:$L,"НЕ уражено"))</f>
        <v/>
      </c>
      <c r="T290">
        <f>IF($A290="","",COUNTIFS('Таблиця 1'!$B:$B,$A290,'Таблиця 1'!$I:$I,"Mirage",'Таблиця 1'!$L:$L,"Дорозвідується")+COUNTIFS('Таблиця 1'!$B:$B,$A290,'Таблиця 1'!$I:$I,"F-16",'Таблиця 1'!$L:$L,"Дорозвідується")+COUNTIFS('Таблиця 1'!$B:$B,$A290,'Таблиця 1'!$I:$I,"МіГ-29",'Таблиця 1'!$L:$L,"Дорозвідується")+COUNTIFS('Таблиця 1'!$B:$B,$A290,'Таблиця 1'!$I:$I,"Су-25",'Таблиця 1'!$L:$L,"Дорозвідується")+COUNTIFS('Таблиця 1'!$B:$B,$A290,'Таблиця 1'!$I:$I,"Су-27",'Таблиця 1'!$L:$L,"Дорозвідується"))</f>
        <v/>
      </c>
    </row>
    <row r="291">
      <c r="A291" s="273">
        <f>IF(A290="","",IF(A290+1&gt;MAX('Таблиця 1'!$B:$B),"",A290+1))</f>
        <v/>
      </c>
      <c r="B291">
        <f>IF($A291="","",COUNTIFS('Таблиця 1'!$B:$B,$A291,'Таблиця 1'!$I:$I,"Mirage")+COUNTIFS('Таблиця 1'!$B:$B,$A291,'Таблиця 1'!$I:$I,"F-16")+COUNTIFS('Таблиця 1'!$B:$B,$A291,'Таблиця 1'!$I:$I,"МіГ-29")+COUNTIFS('Таблиця 1'!$B:$B,$A291,'Таблиця 1'!$I:$I,"Су-25")+COUNTIFS('Таблиця 1'!$B:$B,$A291,'Таблиця 1'!$I:$I,"Су-27"))</f>
        <v/>
      </c>
      <c r="C291">
        <f>IF($A291="","",COUNTIFS('Таблиця 1'!$B:$B,$A291,'Таблиця 1'!$I:$I,"Mirage"))</f>
        <v/>
      </c>
      <c r="D291">
        <f>IF($A291="","",COUNTIFS('Таблиця 1'!$B:$B,$A291,'Таблиця 1'!$I:$I,"F-16"))</f>
        <v/>
      </c>
      <c r="E291">
        <f>IF($A291="","",COUNTIFS('Таблиця 1'!$B:$B,$A291,'Таблиця 1'!$I:$I,"МіГ-29"))</f>
        <v/>
      </c>
      <c r="F291">
        <f>IF($A291="","",COUNTIFS('Таблиця 1'!$B:$B,$A291,'Таблиця 1'!$I:$I,"Су-25"))</f>
        <v/>
      </c>
      <c r="G291">
        <f>IF($A291="","",COUNTIFS('Таблиця 1'!$B:$B,$A291,'Таблиця 1'!$I:$I,"Су-27"))</f>
        <v/>
      </c>
      <c r="H291">
        <f>IF($A291="","",SUMIFS('Таблиця 1'!$K:$K,'Таблиця 1'!$B:$B,$A291,'Таблиця 1'!$I:$I,"Mirage",'Таблиця 1'!$J:$J,"AGM-88")+SUMIFS('Таблиця 1'!$K:$K,'Таблиця 1'!$B:$B,$A291,'Таблиця 1'!$I:$I,"F-16",'Таблиця 1'!$J:$J,"AGM-88")+SUMIFS('Таблиця 1'!$K:$K,'Таблиця 1'!$B:$B,$A291,'Таблиця 1'!$I:$I,"МіГ-29",'Таблиця 1'!$J:$J,"AGM-88")+SUMIFS('Таблиця 1'!$K:$K,'Таблиця 1'!$B:$B,$A291,'Таблиця 1'!$I:$I,"Су-25",'Таблиця 1'!$J:$J,"AGM-88")+SUMIFS('Таблиця 1'!$K:$K,'Таблиця 1'!$B:$B,$A291,'Таблиця 1'!$I:$I,"Су-27",'Таблиця 1'!$J:$J,"AGM-88"))</f>
        <v/>
      </c>
      <c r="I291">
        <f>IF($A291="","",SUMIFS('Таблиця 1'!$K:$K,'Таблиця 1'!$B:$B,$A291,'Таблиця 1'!$I:$I,"Mirage",'Таблиця 1'!$J:$J,"AASM-250")+SUMIFS('Таблиця 1'!$K:$K,'Таблиця 1'!$B:$B,$A291,'Таблиця 1'!$I:$I,"F-16",'Таблиця 1'!$J:$J,"AASM-250")+SUMIFS('Таблиця 1'!$K:$K,'Таблиця 1'!$B:$B,$A291,'Таблиця 1'!$I:$I,"МіГ-29",'Таблиця 1'!$J:$J,"AASM-250")+SUMIFS('Таблиця 1'!$K:$K,'Таблиця 1'!$B:$B,$A291,'Таблиця 1'!$I:$I,"Су-25",'Таблиця 1'!$J:$J,"AASM-250")+SUMIFS('Таблиця 1'!$K:$K,'Таблиця 1'!$B:$B,$A291,'Таблиця 1'!$I:$I,"Су-27",'Таблиця 1'!$J:$J,"AASM-250"))</f>
        <v/>
      </c>
      <c r="J291">
        <f>IF($A291="","",SUMIFS('Таблиця 1'!$K:$K,'Таблиця 1'!$B:$B,$A291,'Таблиця 1'!$I:$I,"Mirage",'Таблиця 1'!$J:$J,"GBU-39")+SUMIFS('Таблиця 1'!$K:$K,'Таблиця 1'!$B:$B,$A291,'Таблиця 1'!$I:$I,"F-16",'Таблиця 1'!$J:$J,"GBU-39")+SUMIFS('Таблиця 1'!$K:$K,'Таблиця 1'!$B:$B,$A291,'Таблиця 1'!$I:$I,"МіГ-29",'Таблиця 1'!$J:$J,"GBU-39")+SUMIFS('Таблиця 1'!$K:$K,'Таблиця 1'!$B:$B,$A291,'Таблиця 1'!$I:$I,"Су-25",'Таблиця 1'!$J:$J,"GBU-39")+SUMIFS('Таблиця 1'!$K:$K,'Таблиця 1'!$B:$B,$A291,'Таблиця 1'!$I:$I,"Су-27",'Таблиця 1'!$J:$J,"GBU-39"))</f>
        <v/>
      </c>
      <c r="K291">
        <f>IF($A291="","",SUMIFS('Таблиця 1'!$K:$K,'Таблиця 1'!$B:$B,$A291,'Таблиця 1'!$I:$I,"Mirage",'Таблиця 1'!$J:$J,"BLU-140")+SUMIFS('Таблиця 1'!$K:$K,'Таблиця 1'!$B:$B,$A291,'Таблиця 1'!$I:$I,"F-16",'Таблиця 1'!$J:$J,"BLU-140")+SUMIFS('Таблиця 1'!$K:$K,'Таблиця 1'!$B:$B,$A291,'Таблиця 1'!$I:$I,"МіГ-29",'Таблиця 1'!$J:$J,"BLU-140")+SUMIFS('Таблиця 1'!$K:$K,'Таблиця 1'!$B:$B,$A291,'Таблиця 1'!$I:$I,"Су-25",'Таблиця 1'!$J:$J,"BLU-140")+SUMIFS('Таблиця 1'!$K:$K,'Таблиця 1'!$B:$B,$A291,'Таблиця 1'!$I:$I,"Су-27",'Таблиця 1'!$J:$J,"BLU-140"))</f>
        <v/>
      </c>
      <c r="L291">
        <f>IF($A291="","",SUMIFS('Таблиця 1'!$K:$K,'Таблиця 1'!$B:$B,$A291,'Таблиця 1'!$I:$I,"Mirage",'Таблиця 1'!$J:$J,"GBU-65")+SUMIFS('Таблиця 1'!$K:$K,'Таблиця 1'!$B:$B,$A291,'Таблиця 1'!$I:$I,"F-16",'Таблиця 1'!$J:$J,"GBU-65")+SUMIFS('Таблиця 1'!$K:$K,'Таблиця 1'!$B:$B,$A291,'Таблиця 1'!$I:$I,"МіГ-29",'Таблиця 1'!$J:$J,"GBU-65")+SUMIFS('Таблиця 1'!$K:$K,'Таблиця 1'!$B:$B,$A291,'Таблиця 1'!$I:$I,"Су-25",'Таблиця 1'!$J:$J,"GBU-65")+SUMIFS('Таблиця 1'!$K:$K,'Таблиця 1'!$B:$B,$A291,'Таблиця 1'!$I:$I,"Су-27",'Таблиця 1'!$J:$J,"GBU-65"))</f>
        <v/>
      </c>
      <c r="M291">
        <f>IF($A291="","",SUMIFS('Таблиця 1'!$K:$K,'Таблиця 1'!$B:$B,$A291,'Таблиця 1'!$I:$I,"Mirage",'Таблиця 1'!$J:$J,"GBU-62")+SUMIFS('Таблиця 1'!$K:$K,'Таблиця 1'!$B:$B,$A291,'Таблиця 1'!$I:$I,"F-16",'Таблиця 1'!$J:$J,"GBU-62")+SUMIFS('Таблиця 1'!$K:$K,'Таблиця 1'!$B:$B,$A291,'Таблиця 1'!$I:$I,"МіГ-29",'Таблиця 1'!$J:$J,"GBU-62")+SUMIFS('Таблиця 1'!$K:$K,'Таблиця 1'!$B:$B,$A291,'Таблиця 1'!$I:$I,"Су-25",'Таблиця 1'!$J:$J,"GBU-62")+SUMIFS('Таблиця 1'!$K:$K,'Таблиця 1'!$B:$B,$A291,'Таблиця 1'!$I:$I,"Су-27",'Таблиця 1'!$J:$J,"GBU-62"))</f>
        <v/>
      </c>
      <c r="N291">
        <f>IF($A291="","",SUMIFS('Таблиця 1'!$K:$K,'Таблиця 1'!$B:$B,$A291,'Таблиця 1'!$I:$I,"Mirage",'Таблиця 1'!$J:$J,"GBU-64")+SUMIFS('Таблиця 1'!$K:$K,'Таблиця 1'!$B:$B,$A291,'Таблиця 1'!$I:$I,"F-16",'Таблиця 1'!$J:$J,"GBU-64")+SUMIFS('Таблиця 1'!$K:$K,'Таблиця 1'!$B:$B,$A291,'Таблиця 1'!$I:$I,"МіГ-29",'Таблиця 1'!$J:$J,"GBU-64")+SUMIFS('Таблиця 1'!$K:$K,'Таблиця 1'!$B:$B,$A291,'Таблиця 1'!$I:$I,"Су-25",'Таблиця 1'!$J:$J,"GBU-64")+SUMIFS('Таблиця 1'!$K:$K,'Таблиця 1'!$B:$B,$A291,'Таблиця 1'!$I:$I,"Су-27",'Таблиця 1'!$J:$J,"GBU-64"))</f>
        <v/>
      </c>
      <c r="O291">
        <f>IF($A291="","",SUMIFS('Таблиця 1'!$K:$K,'Таблиця 1'!$B:$B,$A291,'Таблиця 1'!$I:$I,"Mirage",'Таблиця 1'!$J:$J,"C-13")+SUMIFS('Таблиця 1'!$K:$K,'Таблиця 1'!$B:$B,$A291,'Таблиця 1'!$I:$I,"F-16",'Таблиця 1'!$J:$J,"C-13")+SUMIFS('Таблиця 1'!$K:$K,'Таблиця 1'!$B:$B,$A291,'Таблиця 1'!$I:$I,"МіГ-29",'Таблиця 1'!$J:$J,"C-13")+SUMIFS('Таблиця 1'!$K:$K,'Таблиця 1'!$B:$B,$A291,'Таблиця 1'!$I:$I,"Су-25",'Таблиця 1'!$J:$J,"C-13")+SUMIFS('Таблиця 1'!$K:$K,'Таблиця 1'!$B:$B,$A291,'Таблиця 1'!$I:$I,"Су-27",'Таблиця 1'!$J:$J,"C-13"))</f>
        <v/>
      </c>
      <c r="P291">
        <f>IF($A291="","",SUMIFS('Таблиця 1'!$K:$K,'Таблиця 1'!$B:$B,$A291,'Таблиця 1'!$I:$I,"Mirage",'Таблиця 1'!$J:$J,"MK-32")+SUMIFS('Таблиця 1'!$K:$K,'Таблиця 1'!$B:$B,$A291,'Таблиця 1'!$I:$I,"F-16",'Таблиця 1'!$J:$J,"MK-32")+SUMIFS('Таблиця 1'!$K:$K,'Таблиця 1'!$B:$B,$A291,'Таблиця 1'!$I:$I,"МіГ-29",'Таблиця 1'!$J:$J,"MK-32")+SUMIFS('Таблиця 1'!$K:$K,'Таблиця 1'!$B:$B,$A291,'Таблиця 1'!$I:$I,"Су-25",'Таблиця 1'!$J:$J,"MK-32")+SUMIFS('Таблиця 1'!$K:$K,'Таблиця 1'!$B:$B,$A291,'Таблиця 1'!$I:$I,"Су-27",'Таблиця 1'!$J:$J,"MK-32"))</f>
        <v/>
      </c>
      <c r="Q291">
        <f>IF($A291="","",SUMIFS('Таблиця 1'!$K:$K,'Таблиця 1'!$B:$B,$A291,'Таблиця 1'!$I:$I,"Mirage",'Таблиця 1'!$J:$J,"MK-24")+SUMIFS('Таблиця 1'!$K:$K,'Таблиця 1'!$B:$B,$A291,'Таблиця 1'!$I:$I,"F-16",'Таблиця 1'!$J:$J,"MK-24")+SUMIFS('Таблиця 1'!$K:$K,'Таблиця 1'!$B:$B,$A291,'Таблиця 1'!$I:$I,"МіГ-29",'Таблиця 1'!$J:$J,"MK-24")+SUMIFS('Таблиця 1'!$K:$K,'Таблиця 1'!$B:$B,$A291,'Таблиця 1'!$I:$I,"Су-25",'Таблиця 1'!$J:$J,"MK-24")+SUMIFS('Таблиця 1'!$K:$K,'Таблиця 1'!$B:$B,$A291,'Таблиця 1'!$I:$I,"Су-27",'Таблиця 1'!$J:$J,"MK-24"))</f>
        <v/>
      </c>
      <c r="R291">
        <f>IF($A291="","",COUNTIFS('Таблиця 1'!$B:$B,$A291,'Таблиця 1'!$I:$I,"Mirage",'Таблиця 1'!$L:$L,"Уражено")+COUNTIFS('Таблиця 1'!$B:$B,$A291,'Таблиця 1'!$I:$I,"F-16",'Таблиця 1'!$L:$L,"Уражено")+COUNTIFS('Таблиця 1'!$B:$B,$A291,'Таблиця 1'!$I:$I,"МіГ-29",'Таблиця 1'!$L:$L,"Уражено")+COUNTIFS('Таблиця 1'!$B:$B,$A291,'Таблиця 1'!$I:$I,"Су-25",'Таблиця 1'!$L:$L,"Уражено")+COUNTIFS('Таблиця 1'!$B:$B,$A291,'Таблиця 1'!$I:$I,"Су-27",'Таблиця 1'!$L:$L,"Уражено"))</f>
        <v/>
      </c>
      <c r="S291">
        <f>IF($A291="","",COUNTIFS('Таблиця 1'!$B:$B,$A291,'Таблиця 1'!$I:$I,"Mirage",'Таблиця 1'!$L:$L,"НЕ уражено")+COUNTIFS('Таблиця 1'!$B:$B,$A291,'Таблиця 1'!$I:$I,"F-16",'Таблиця 1'!$L:$L,"НЕ уражено")+COUNTIFS('Таблиця 1'!$B:$B,$A291,'Таблиця 1'!$I:$I,"МіГ-29",'Таблиця 1'!$L:$L,"НЕ уражено")+COUNTIFS('Таблиця 1'!$B:$B,$A291,'Таблиця 1'!$I:$I,"Су-25",'Таблиця 1'!$L:$L,"НЕ уражено")+COUNTIFS('Таблиця 1'!$B:$B,$A291,'Таблиця 1'!$I:$I,"Су-27",'Таблиця 1'!$L:$L,"НЕ уражено"))</f>
        <v/>
      </c>
      <c r="T291">
        <f>IF($A291="","",COUNTIFS('Таблиця 1'!$B:$B,$A291,'Таблиця 1'!$I:$I,"Mirage",'Таблиця 1'!$L:$L,"Дорозвідується")+COUNTIFS('Таблиця 1'!$B:$B,$A291,'Таблиця 1'!$I:$I,"F-16",'Таблиця 1'!$L:$L,"Дорозвідується")+COUNTIFS('Таблиця 1'!$B:$B,$A291,'Таблиця 1'!$I:$I,"МіГ-29",'Таблиця 1'!$L:$L,"Дорозвідується")+COUNTIFS('Таблиця 1'!$B:$B,$A291,'Таблиця 1'!$I:$I,"Су-25",'Таблиця 1'!$L:$L,"Дорозвідується")+COUNTIFS('Таблиця 1'!$B:$B,$A291,'Таблиця 1'!$I:$I,"Су-27",'Таблиця 1'!$L:$L,"Дорозвідується"))</f>
        <v/>
      </c>
    </row>
    <row r="292">
      <c r="A292" s="273">
        <f>IF(A291="","",IF(A291+1&gt;MAX('Таблиця 1'!$B:$B),"",A291+1))</f>
        <v/>
      </c>
      <c r="B292">
        <f>IF($A292="","",COUNTIFS('Таблиця 1'!$B:$B,$A292,'Таблиця 1'!$I:$I,"Mirage")+COUNTIFS('Таблиця 1'!$B:$B,$A292,'Таблиця 1'!$I:$I,"F-16")+COUNTIFS('Таблиця 1'!$B:$B,$A292,'Таблиця 1'!$I:$I,"МіГ-29")+COUNTIFS('Таблиця 1'!$B:$B,$A292,'Таблиця 1'!$I:$I,"Су-25")+COUNTIFS('Таблиця 1'!$B:$B,$A292,'Таблиця 1'!$I:$I,"Су-27"))</f>
        <v/>
      </c>
      <c r="C292">
        <f>IF($A292="","",COUNTIFS('Таблиця 1'!$B:$B,$A292,'Таблиця 1'!$I:$I,"Mirage"))</f>
        <v/>
      </c>
      <c r="D292">
        <f>IF($A292="","",COUNTIFS('Таблиця 1'!$B:$B,$A292,'Таблиця 1'!$I:$I,"F-16"))</f>
        <v/>
      </c>
      <c r="E292">
        <f>IF($A292="","",COUNTIFS('Таблиця 1'!$B:$B,$A292,'Таблиця 1'!$I:$I,"МіГ-29"))</f>
        <v/>
      </c>
      <c r="F292">
        <f>IF($A292="","",COUNTIFS('Таблиця 1'!$B:$B,$A292,'Таблиця 1'!$I:$I,"Су-25"))</f>
        <v/>
      </c>
      <c r="G292">
        <f>IF($A292="","",COUNTIFS('Таблиця 1'!$B:$B,$A292,'Таблиця 1'!$I:$I,"Су-27"))</f>
        <v/>
      </c>
      <c r="H292">
        <f>IF($A292="","",SUMIFS('Таблиця 1'!$K:$K,'Таблиця 1'!$B:$B,$A292,'Таблиця 1'!$I:$I,"Mirage",'Таблиця 1'!$J:$J,"AGM-88")+SUMIFS('Таблиця 1'!$K:$K,'Таблиця 1'!$B:$B,$A292,'Таблиця 1'!$I:$I,"F-16",'Таблиця 1'!$J:$J,"AGM-88")+SUMIFS('Таблиця 1'!$K:$K,'Таблиця 1'!$B:$B,$A292,'Таблиця 1'!$I:$I,"МіГ-29",'Таблиця 1'!$J:$J,"AGM-88")+SUMIFS('Таблиця 1'!$K:$K,'Таблиця 1'!$B:$B,$A292,'Таблиця 1'!$I:$I,"Су-25",'Таблиця 1'!$J:$J,"AGM-88")+SUMIFS('Таблиця 1'!$K:$K,'Таблиця 1'!$B:$B,$A292,'Таблиця 1'!$I:$I,"Су-27",'Таблиця 1'!$J:$J,"AGM-88"))</f>
        <v/>
      </c>
      <c r="I292">
        <f>IF($A292="","",SUMIFS('Таблиця 1'!$K:$K,'Таблиця 1'!$B:$B,$A292,'Таблиця 1'!$I:$I,"Mirage",'Таблиця 1'!$J:$J,"AASM-250")+SUMIFS('Таблиця 1'!$K:$K,'Таблиця 1'!$B:$B,$A292,'Таблиця 1'!$I:$I,"F-16",'Таблиця 1'!$J:$J,"AASM-250")+SUMIFS('Таблиця 1'!$K:$K,'Таблиця 1'!$B:$B,$A292,'Таблиця 1'!$I:$I,"МіГ-29",'Таблиця 1'!$J:$J,"AASM-250")+SUMIFS('Таблиця 1'!$K:$K,'Таблиця 1'!$B:$B,$A292,'Таблиця 1'!$I:$I,"Су-25",'Таблиця 1'!$J:$J,"AASM-250")+SUMIFS('Таблиця 1'!$K:$K,'Таблиця 1'!$B:$B,$A292,'Таблиця 1'!$I:$I,"Су-27",'Таблиця 1'!$J:$J,"AASM-250"))</f>
        <v/>
      </c>
      <c r="J292">
        <f>IF($A292="","",SUMIFS('Таблиця 1'!$K:$K,'Таблиця 1'!$B:$B,$A292,'Таблиця 1'!$I:$I,"Mirage",'Таблиця 1'!$J:$J,"GBU-39")+SUMIFS('Таблиця 1'!$K:$K,'Таблиця 1'!$B:$B,$A292,'Таблиця 1'!$I:$I,"F-16",'Таблиця 1'!$J:$J,"GBU-39")+SUMIFS('Таблиця 1'!$K:$K,'Таблиця 1'!$B:$B,$A292,'Таблиця 1'!$I:$I,"МіГ-29",'Таблиця 1'!$J:$J,"GBU-39")+SUMIFS('Таблиця 1'!$K:$K,'Таблиця 1'!$B:$B,$A292,'Таблиця 1'!$I:$I,"Су-25",'Таблиця 1'!$J:$J,"GBU-39")+SUMIFS('Таблиця 1'!$K:$K,'Таблиця 1'!$B:$B,$A292,'Таблиця 1'!$I:$I,"Су-27",'Таблиця 1'!$J:$J,"GBU-39"))</f>
        <v/>
      </c>
      <c r="K292">
        <f>IF($A292="","",SUMIFS('Таблиця 1'!$K:$K,'Таблиця 1'!$B:$B,$A292,'Таблиця 1'!$I:$I,"Mirage",'Таблиця 1'!$J:$J,"BLU-140")+SUMIFS('Таблиця 1'!$K:$K,'Таблиця 1'!$B:$B,$A292,'Таблиця 1'!$I:$I,"F-16",'Таблиця 1'!$J:$J,"BLU-140")+SUMIFS('Таблиця 1'!$K:$K,'Таблиця 1'!$B:$B,$A292,'Таблиця 1'!$I:$I,"МіГ-29",'Таблиця 1'!$J:$J,"BLU-140")+SUMIFS('Таблиця 1'!$K:$K,'Таблиця 1'!$B:$B,$A292,'Таблиця 1'!$I:$I,"Су-25",'Таблиця 1'!$J:$J,"BLU-140")+SUMIFS('Таблиця 1'!$K:$K,'Таблиця 1'!$B:$B,$A292,'Таблиця 1'!$I:$I,"Су-27",'Таблиця 1'!$J:$J,"BLU-140"))</f>
        <v/>
      </c>
      <c r="L292">
        <f>IF($A292="","",SUMIFS('Таблиця 1'!$K:$K,'Таблиця 1'!$B:$B,$A292,'Таблиця 1'!$I:$I,"Mirage",'Таблиця 1'!$J:$J,"GBU-65")+SUMIFS('Таблиця 1'!$K:$K,'Таблиця 1'!$B:$B,$A292,'Таблиця 1'!$I:$I,"F-16",'Таблиця 1'!$J:$J,"GBU-65")+SUMIFS('Таблиця 1'!$K:$K,'Таблиця 1'!$B:$B,$A292,'Таблиця 1'!$I:$I,"МіГ-29",'Таблиця 1'!$J:$J,"GBU-65")+SUMIFS('Таблиця 1'!$K:$K,'Таблиця 1'!$B:$B,$A292,'Таблиця 1'!$I:$I,"Су-25",'Таблиця 1'!$J:$J,"GBU-65")+SUMIFS('Таблиця 1'!$K:$K,'Таблиця 1'!$B:$B,$A292,'Таблиця 1'!$I:$I,"Су-27",'Таблиця 1'!$J:$J,"GBU-65"))</f>
        <v/>
      </c>
      <c r="M292">
        <f>IF($A292="","",SUMIFS('Таблиця 1'!$K:$K,'Таблиця 1'!$B:$B,$A292,'Таблиця 1'!$I:$I,"Mirage",'Таблиця 1'!$J:$J,"GBU-62")+SUMIFS('Таблиця 1'!$K:$K,'Таблиця 1'!$B:$B,$A292,'Таблиця 1'!$I:$I,"F-16",'Таблиця 1'!$J:$J,"GBU-62")+SUMIFS('Таблиця 1'!$K:$K,'Таблиця 1'!$B:$B,$A292,'Таблиця 1'!$I:$I,"МіГ-29",'Таблиця 1'!$J:$J,"GBU-62")+SUMIFS('Таблиця 1'!$K:$K,'Таблиця 1'!$B:$B,$A292,'Таблиця 1'!$I:$I,"Су-25",'Таблиця 1'!$J:$J,"GBU-62")+SUMIFS('Таблиця 1'!$K:$K,'Таблиця 1'!$B:$B,$A292,'Таблиця 1'!$I:$I,"Су-27",'Таблиця 1'!$J:$J,"GBU-62"))</f>
        <v/>
      </c>
      <c r="N292">
        <f>IF($A292="","",SUMIFS('Таблиця 1'!$K:$K,'Таблиця 1'!$B:$B,$A292,'Таблиця 1'!$I:$I,"Mirage",'Таблиця 1'!$J:$J,"GBU-64")+SUMIFS('Таблиця 1'!$K:$K,'Таблиця 1'!$B:$B,$A292,'Таблиця 1'!$I:$I,"F-16",'Таблиця 1'!$J:$J,"GBU-64")+SUMIFS('Таблиця 1'!$K:$K,'Таблиця 1'!$B:$B,$A292,'Таблиця 1'!$I:$I,"МіГ-29",'Таблиця 1'!$J:$J,"GBU-64")+SUMIFS('Таблиця 1'!$K:$K,'Таблиця 1'!$B:$B,$A292,'Таблиця 1'!$I:$I,"Су-25",'Таблиця 1'!$J:$J,"GBU-64")+SUMIFS('Таблиця 1'!$K:$K,'Таблиця 1'!$B:$B,$A292,'Таблиця 1'!$I:$I,"Су-27",'Таблиця 1'!$J:$J,"GBU-64"))</f>
        <v/>
      </c>
      <c r="O292">
        <f>IF($A292="","",SUMIFS('Таблиця 1'!$K:$K,'Таблиця 1'!$B:$B,$A292,'Таблиця 1'!$I:$I,"Mirage",'Таблиця 1'!$J:$J,"C-13")+SUMIFS('Таблиця 1'!$K:$K,'Таблиця 1'!$B:$B,$A292,'Таблиця 1'!$I:$I,"F-16",'Таблиця 1'!$J:$J,"C-13")+SUMIFS('Таблиця 1'!$K:$K,'Таблиця 1'!$B:$B,$A292,'Таблиця 1'!$I:$I,"МіГ-29",'Таблиця 1'!$J:$J,"C-13")+SUMIFS('Таблиця 1'!$K:$K,'Таблиця 1'!$B:$B,$A292,'Таблиця 1'!$I:$I,"Су-25",'Таблиця 1'!$J:$J,"C-13")+SUMIFS('Таблиця 1'!$K:$K,'Таблиця 1'!$B:$B,$A292,'Таблиця 1'!$I:$I,"Су-27",'Таблиця 1'!$J:$J,"C-13"))</f>
        <v/>
      </c>
      <c r="P292">
        <f>IF($A292="","",SUMIFS('Таблиця 1'!$K:$K,'Таблиця 1'!$B:$B,$A292,'Таблиця 1'!$I:$I,"Mirage",'Таблиця 1'!$J:$J,"MK-32")+SUMIFS('Таблиця 1'!$K:$K,'Таблиця 1'!$B:$B,$A292,'Таблиця 1'!$I:$I,"F-16",'Таблиця 1'!$J:$J,"MK-32")+SUMIFS('Таблиця 1'!$K:$K,'Таблиця 1'!$B:$B,$A292,'Таблиця 1'!$I:$I,"МіГ-29",'Таблиця 1'!$J:$J,"MK-32")+SUMIFS('Таблиця 1'!$K:$K,'Таблиця 1'!$B:$B,$A292,'Таблиця 1'!$I:$I,"Су-25",'Таблиця 1'!$J:$J,"MK-32")+SUMIFS('Таблиця 1'!$K:$K,'Таблиця 1'!$B:$B,$A292,'Таблиця 1'!$I:$I,"Су-27",'Таблиця 1'!$J:$J,"MK-32"))</f>
        <v/>
      </c>
      <c r="Q292">
        <f>IF($A292="","",SUMIFS('Таблиця 1'!$K:$K,'Таблиця 1'!$B:$B,$A292,'Таблиця 1'!$I:$I,"Mirage",'Таблиця 1'!$J:$J,"MK-24")+SUMIFS('Таблиця 1'!$K:$K,'Таблиця 1'!$B:$B,$A292,'Таблиця 1'!$I:$I,"F-16",'Таблиця 1'!$J:$J,"MK-24")+SUMIFS('Таблиця 1'!$K:$K,'Таблиця 1'!$B:$B,$A292,'Таблиця 1'!$I:$I,"МіГ-29",'Таблиця 1'!$J:$J,"MK-24")+SUMIFS('Таблиця 1'!$K:$K,'Таблиця 1'!$B:$B,$A292,'Таблиця 1'!$I:$I,"Су-25",'Таблиця 1'!$J:$J,"MK-24")+SUMIFS('Таблиця 1'!$K:$K,'Таблиця 1'!$B:$B,$A292,'Таблиця 1'!$I:$I,"Су-27",'Таблиця 1'!$J:$J,"MK-24"))</f>
        <v/>
      </c>
      <c r="R292">
        <f>IF($A292="","",COUNTIFS('Таблиця 1'!$B:$B,$A292,'Таблиця 1'!$I:$I,"Mirage",'Таблиця 1'!$L:$L,"Уражено")+COUNTIFS('Таблиця 1'!$B:$B,$A292,'Таблиця 1'!$I:$I,"F-16",'Таблиця 1'!$L:$L,"Уражено")+COUNTIFS('Таблиця 1'!$B:$B,$A292,'Таблиця 1'!$I:$I,"МіГ-29",'Таблиця 1'!$L:$L,"Уражено")+COUNTIFS('Таблиця 1'!$B:$B,$A292,'Таблиця 1'!$I:$I,"Су-25",'Таблиця 1'!$L:$L,"Уражено")+COUNTIFS('Таблиця 1'!$B:$B,$A292,'Таблиця 1'!$I:$I,"Су-27",'Таблиця 1'!$L:$L,"Уражено"))</f>
        <v/>
      </c>
      <c r="S292">
        <f>IF($A292="","",COUNTIFS('Таблиця 1'!$B:$B,$A292,'Таблиця 1'!$I:$I,"Mirage",'Таблиця 1'!$L:$L,"НЕ уражено")+COUNTIFS('Таблиця 1'!$B:$B,$A292,'Таблиця 1'!$I:$I,"F-16",'Таблиця 1'!$L:$L,"НЕ уражено")+COUNTIFS('Таблиця 1'!$B:$B,$A292,'Таблиця 1'!$I:$I,"МіГ-29",'Таблиця 1'!$L:$L,"НЕ уражено")+COUNTIFS('Таблиця 1'!$B:$B,$A292,'Таблиця 1'!$I:$I,"Су-25",'Таблиця 1'!$L:$L,"НЕ уражено")+COUNTIFS('Таблиця 1'!$B:$B,$A292,'Таблиця 1'!$I:$I,"Су-27",'Таблиця 1'!$L:$L,"НЕ уражено"))</f>
        <v/>
      </c>
      <c r="T292">
        <f>IF($A292="","",COUNTIFS('Таблиця 1'!$B:$B,$A292,'Таблиця 1'!$I:$I,"Mirage",'Таблиця 1'!$L:$L,"Дорозвідується")+COUNTIFS('Таблиця 1'!$B:$B,$A292,'Таблиця 1'!$I:$I,"F-16",'Таблиця 1'!$L:$L,"Дорозвідується")+COUNTIFS('Таблиця 1'!$B:$B,$A292,'Таблиця 1'!$I:$I,"МіГ-29",'Таблиця 1'!$L:$L,"Дорозвідується")+COUNTIFS('Таблиця 1'!$B:$B,$A292,'Таблиця 1'!$I:$I,"Су-25",'Таблиця 1'!$L:$L,"Дорозвідується")+COUNTIFS('Таблиця 1'!$B:$B,$A292,'Таблиця 1'!$I:$I,"Су-27",'Таблиця 1'!$L:$L,"Дорозвідується"))</f>
        <v/>
      </c>
    </row>
    <row r="293">
      <c r="A293" s="273">
        <f>IF(A292="","",IF(A292+1&gt;MAX('Таблиця 1'!$B:$B),"",A292+1))</f>
        <v/>
      </c>
      <c r="B293">
        <f>IF($A293="","",COUNTIFS('Таблиця 1'!$B:$B,$A293,'Таблиця 1'!$I:$I,"Mirage")+COUNTIFS('Таблиця 1'!$B:$B,$A293,'Таблиця 1'!$I:$I,"F-16")+COUNTIFS('Таблиця 1'!$B:$B,$A293,'Таблиця 1'!$I:$I,"МіГ-29")+COUNTIFS('Таблиця 1'!$B:$B,$A293,'Таблиця 1'!$I:$I,"Су-25")+COUNTIFS('Таблиця 1'!$B:$B,$A293,'Таблиця 1'!$I:$I,"Су-27"))</f>
        <v/>
      </c>
      <c r="C293">
        <f>IF($A293="","",COUNTIFS('Таблиця 1'!$B:$B,$A293,'Таблиця 1'!$I:$I,"Mirage"))</f>
        <v/>
      </c>
      <c r="D293">
        <f>IF($A293="","",COUNTIFS('Таблиця 1'!$B:$B,$A293,'Таблиця 1'!$I:$I,"F-16"))</f>
        <v/>
      </c>
      <c r="E293">
        <f>IF($A293="","",COUNTIFS('Таблиця 1'!$B:$B,$A293,'Таблиця 1'!$I:$I,"МіГ-29"))</f>
        <v/>
      </c>
      <c r="F293">
        <f>IF($A293="","",COUNTIFS('Таблиця 1'!$B:$B,$A293,'Таблиця 1'!$I:$I,"Су-25"))</f>
        <v/>
      </c>
      <c r="G293">
        <f>IF($A293="","",COUNTIFS('Таблиця 1'!$B:$B,$A293,'Таблиця 1'!$I:$I,"Су-27"))</f>
        <v/>
      </c>
      <c r="H293">
        <f>IF($A293="","",SUMIFS('Таблиця 1'!$K:$K,'Таблиця 1'!$B:$B,$A293,'Таблиця 1'!$I:$I,"Mirage",'Таблиця 1'!$J:$J,"AGM-88")+SUMIFS('Таблиця 1'!$K:$K,'Таблиця 1'!$B:$B,$A293,'Таблиця 1'!$I:$I,"F-16",'Таблиця 1'!$J:$J,"AGM-88")+SUMIFS('Таблиця 1'!$K:$K,'Таблиця 1'!$B:$B,$A293,'Таблиця 1'!$I:$I,"МіГ-29",'Таблиця 1'!$J:$J,"AGM-88")+SUMIFS('Таблиця 1'!$K:$K,'Таблиця 1'!$B:$B,$A293,'Таблиця 1'!$I:$I,"Су-25",'Таблиця 1'!$J:$J,"AGM-88")+SUMIFS('Таблиця 1'!$K:$K,'Таблиця 1'!$B:$B,$A293,'Таблиця 1'!$I:$I,"Су-27",'Таблиця 1'!$J:$J,"AGM-88"))</f>
        <v/>
      </c>
      <c r="I293">
        <f>IF($A293="","",SUMIFS('Таблиця 1'!$K:$K,'Таблиця 1'!$B:$B,$A293,'Таблиця 1'!$I:$I,"Mirage",'Таблиця 1'!$J:$J,"AASM-250")+SUMIFS('Таблиця 1'!$K:$K,'Таблиця 1'!$B:$B,$A293,'Таблиця 1'!$I:$I,"F-16",'Таблиця 1'!$J:$J,"AASM-250")+SUMIFS('Таблиця 1'!$K:$K,'Таблиця 1'!$B:$B,$A293,'Таблиця 1'!$I:$I,"МіГ-29",'Таблиця 1'!$J:$J,"AASM-250")+SUMIFS('Таблиця 1'!$K:$K,'Таблиця 1'!$B:$B,$A293,'Таблиця 1'!$I:$I,"Су-25",'Таблиця 1'!$J:$J,"AASM-250")+SUMIFS('Таблиця 1'!$K:$K,'Таблиця 1'!$B:$B,$A293,'Таблиця 1'!$I:$I,"Су-27",'Таблиця 1'!$J:$J,"AASM-250"))</f>
        <v/>
      </c>
      <c r="J293">
        <f>IF($A293="","",SUMIFS('Таблиця 1'!$K:$K,'Таблиця 1'!$B:$B,$A293,'Таблиця 1'!$I:$I,"Mirage",'Таблиця 1'!$J:$J,"GBU-39")+SUMIFS('Таблиця 1'!$K:$K,'Таблиця 1'!$B:$B,$A293,'Таблиця 1'!$I:$I,"F-16",'Таблиця 1'!$J:$J,"GBU-39")+SUMIFS('Таблиця 1'!$K:$K,'Таблиця 1'!$B:$B,$A293,'Таблиця 1'!$I:$I,"МіГ-29",'Таблиця 1'!$J:$J,"GBU-39")+SUMIFS('Таблиця 1'!$K:$K,'Таблиця 1'!$B:$B,$A293,'Таблиця 1'!$I:$I,"Су-25",'Таблиця 1'!$J:$J,"GBU-39")+SUMIFS('Таблиця 1'!$K:$K,'Таблиця 1'!$B:$B,$A293,'Таблиця 1'!$I:$I,"Су-27",'Таблиця 1'!$J:$J,"GBU-39"))</f>
        <v/>
      </c>
      <c r="K293">
        <f>IF($A293="","",SUMIFS('Таблиця 1'!$K:$K,'Таблиця 1'!$B:$B,$A293,'Таблиця 1'!$I:$I,"Mirage",'Таблиця 1'!$J:$J,"BLU-140")+SUMIFS('Таблиця 1'!$K:$K,'Таблиця 1'!$B:$B,$A293,'Таблиця 1'!$I:$I,"F-16",'Таблиця 1'!$J:$J,"BLU-140")+SUMIFS('Таблиця 1'!$K:$K,'Таблиця 1'!$B:$B,$A293,'Таблиця 1'!$I:$I,"МіГ-29",'Таблиця 1'!$J:$J,"BLU-140")+SUMIFS('Таблиця 1'!$K:$K,'Таблиця 1'!$B:$B,$A293,'Таблиця 1'!$I:$I,"Су-25",'Таблиця 1'!$J:$J,"BLU-140")+SUMIFS('Таблиця 1'!$K:$K,'Таблиця 1'!$B:$B,$A293,'Таблиця 1'!$I:$I,"Су-27",'Таблиця 1'!$J:$J,"BLU-140"))</f>
        <v/>
      </c>
      <c r="L293">
        <f>IF($A293="","",SUMIFS('Таблиця 1'!$K:$K,'Таблиця 1'!$B:$B,$A293,'Таблиця 1'!$I:$I,"Mirage",'Таблиця 1'!$J:$J,"GBU-65")+SUMIFS('Таблиця 1'!$K:$K,'Таблиця 1'!$B:$B,$A293,'Таблиця 1'!$I:$I,"F-16",'Таблиця 1'!$J:$J,"GBU-65")+SUMIFS('Таблиця 1'!$K:$K,'Таблиця 1'!$B:$B,$A293,'Таблиця 1'!$I:$I,"МіГ-29",'Таблиця 1'!$J:$J,"GBU-65")+SUMIFS('Таблиця 1'!$K:$K,'Таблиця 1'!$B:$B,$A293,'Таблиця 1'!$I:$I,"Су-25",'Таблиця 1'!$J:$J,"GBU-65")+SUMIFS('Таблиця 1'!$K:$K,'Таблиця 1'!$B:$B,$A293,'Таблиця 1'!$I:$I,"Су-27",'Таблиця 1'!$J:$J,"GBU-65"))</f>
        <v/>
      </c>
      <c r="M293">
        <f>IF($A293="","",SUMIFS('Таблиця 1'!$K:$K,'Таблиця 1'!$B:$B,$A293,'Таблиця 1'!$I:$I,"Mirage",'Таблиця 1'!$J:$J,"GBU-62")+SUMIFS('Таблиця 1'!$K:$K,'Таблиця 1'!$B:$B,$A293,'Таблиця 1'!$I:$I,"F-16",'Таблиця 1'!$J:$J,"GBU-62")+SUMIFS('Таблиця 1'!$K:$K,'Таблиця 1'!$B:$B,$A293,'Таблиця 1'!$I:$I,"МіГ-29",'Таблиця 1'!$J:$J,"GBU-62")+SUMIFS('Таблиця 1'!$K:$K,'Таблиця 1'!$B:$B,$A293,'Таблиця 1'!$I:$I,"Су-25",'Таблиця 1'!$J:$J,"GBU-62")+SUMIFS('Таблиця 1'!$K:$K,'Таблиця 1'!$B:$B,$A293,'Таблиця 1'!$I:$I,"Су-27",'Таблиця 1'!$J:$J,"GBU-62"))</f>
        <v/>
      </c>
      <c r="N293">
        <f>IF($A293="","",SUMIFS('Таблиця 1'!$K:$K,'Таблиця 1'!$B:$B,$A293,'Таблиця 1'!$I:$I,"Mirage",'Таблиця 1'!$J:$J,"GBU-64")+SUMIFS('Таблиця 1'!$K:$K,'Таблиця 1'!$B:$B,$A293,'Таблиця 1'!$I:$I,"F-16",'Таблиця 1'!$J:$J,"GBU-64")+SUMIFS('Таблиця 1'!$K:$K,'Таблиця 1'!$B:$B,$A293,'Таблиця 1'!$I:$I,"МіГ-29",'Таблиця 1'!$J:$J,"GBU-64")+SUMIFS('Таблиця 1'!$K:$K,'Таблиця 1'!$B:$B,$A293,'Таблиця 1'!$I:$I,"Су-25",'Таблиця 1'!$J:$J,"GBU-64")+SUMIFS('Таблиця 1'!$K:$K,'Таблиця 1'!$B:$B,$A293,'Таблиця 1'!$I:$I,"Су-27",'Таблиця 1'!$J:$J,"GBU-64"))</f>
        <v/>
      </c>
      <c r="O293">
        <f>IF($A293="","",SUMIFS('Таблиця 1'!$K:$K,'Таблиця 1'!$B:$B,$A293,'Таблиця 1'!$I:$I,"Mirage",'Таблиця 1'!$J:$J,"C-13")+SUMIFS('Таблиця 1'!$K:$K,'Таблиця 1'!$B:$B,$A293,'Таблиця 1'!$I:$I,"F-16",'Таблиця 1'!$J:$J,"C-13")+SUMIFS('Таблиця 1'!$K:$K,'Таблиця 1'!$B:$B,$A293,'Таблиця 1'!$I:$I,"МіГ-29",'Таблиця 1'!$J:$J,"C-13")+SUMIFS('Таблиця 1'!$K:$K,'Таблиця 1'!$B:$B,$A293,'Таблиця 1'!$I:$I,"Су-25",'Таблиця 1'!$J:$J,"C-13")+SUMIFS('Таблиця 1'!$K:$K,'Таблиця 1'!$B:$B,$A293,'Таблиця 1'!$I:$I,"Су-27",'Таблиця 1'!$J:$J,"C-13"))</f>
        <v/>
      </c>
      <c r="P293">
        <f>IF($A293="","",SUMIFS('Таблиця 1'!$K:$K,'Таблиця 1'!$B:$B,$A293,'Таблиця 1'!$I:$I,"Mirage",'Таблиця 1'!$J:$J,"MK-32")+SUMIFS('Таблиця 1'!$K:$K,'Таблиця 1'!$B:$B,$A293,'Таблиця 1'!$I:$I,"F-16",'Таблиця 1'!$J:$J,"MK-32")+SUMIFS('Таблиця 1'!$K:$K,'Таблиця 1'!$B:$B,$A293,'Таблиця 1'!$I:$I,"МіГ-29",'Таблиця 1'!$J:$J,"MK-32")+SUMIFS('Таблиця 1'!$K:$K,'Таблиця 1'!$B:$B,$A293,'Таблиця 1'!$I:$I,"Су-25",'Таблиця 1'!$J:$J,"MK-32")+SUMIFS('Таблиця 1'!$K:$K,'Таблиця 1'!$B:$B,$A293,'Таблиця 1'!$I:$I,"Су-27",'Таблиця 1'!$J:$J,"MK-32"))</f>
        <v/>
      </c>
      <c r="Q293">
        <f>IF($A293="","",SUMIFS('Таблиця 1'!$K:$K,'Таблиця 1'!$B:$B,$A293,'Таблиця 1'!$I:$I,"Mirage",'Таблиця 1'!$J:$J,"MK-24")+SUMIFS('Таблиця 1'!$K:$K,'Таблиця 1'!$B:$B,$A293,'Таблиця 1'!$I:$I,"F-16",'Таблиця 1'!$J:$J,"MK-24")+SUMIFS('Таблиця 1'!$K:$K,'Таблиця 1'!$B:$B,$A293,'Таблиця 1'!$I:$I,"МіГ-29",'Таблиця 1'!$J:$J,"MK-24")+SUMIFS('Таблиця 1'!$K:$K,'Таблиця 1'!$B:$B,$A293,'Таблиця 1'!$I:$I,"Су-25",'Таблиця 1'!$J:$J,"MK-24")+SUMIFS('Таблиця 1'!$K:$K,'Таблиця 1'!$B:$B,$A293,'Таблиця 1'!$I:$I,"Су-27",'Таблиця 1'!$J:$J,"MK-24"))</f>
        <v/>
      </c>
      <c r="R293">
        <f>IF($A293="","",COUNTIFS('Таблиця 1'!$B:$B,$A293,'Таблиця 1'!$I:$I,"Mirage",'Таблиця 1'!$L:$L,"Уражено")+COUNTIFS('Таблиця 1'!$B:$B,$A293,'Таблиця 1'!$I:$I,"F-16",'Таблиця 1'!$L:$L,"Уражено")+COUNTIFS('Таблиця 1'!$B:$B,$A293,'Таблиця 1'!$I:$I,"МіГ-29",'Таблиця 1'!$L:$L,"Уражено")+COUNTIFS('Таблиця 1'!$B:$B,$A293,'Таблиця 1'!$I:$I,"Су-25",'Таблиця 1'!$L:$L,"Уражено")+COUNTIFS('Таблиця 1'!$B:$B,$A293,'Таблиця 1'!$I:$I,"Су-27",'Таблиця 1'!$L:$L,"Уражено"))</f>
        <v/>
      </c>
      <c r="S293">
        <f>IF($A293="","",COUNTIFS('Таблиця 1'!$B:$B,$A293,'Таблиця 1'!$I:$I,"Mirage",'Таблиця 1'!$L:$L,"НЕ уражено")+COUNTIFS('Таблиця 1'!$B:$B,$A293,'Таблиця 1'!$I:$I,"F-16",'Таблиця 1'!$L:$L,"НЕ уражено")+COUNTIFS('Таблиця 1'!$B:$B,$A293,'Таблиця 1'!$I:$I,"МіГ-29",'Таблиця 1'!$L:$L,"НЕ уражено")+COUNTIFS('Таблиця 1'!$B:$B,$A293,'Таблиця 1'!$I:$I,"Су-25",'Таблиця 1'!$L:$L,"НЕ уражено")+COUNTIFS('Таблиця 1'!$B:$B,$A293,'Таблиця 1'!$I:$I,"Су-27",'Таблиця 1'!$L:$L,"НЕ уражено"))</f>
        <v/>
      </c>
      <c r="T293">
        <f>IF($A293="","",COUNTIFS('Таблиця 1'!$B:$B,$A293,'Таблиця 1'!$I:$I,"Mirage",'Таблиця 1'!$L:$L,"Дорозвідується")+COUNTIFS('Таблиця 1'!$B:$B,$A293,'Таблиця 1'!$I:$I,"F-16",'Таблиця 1'!$L:$L,"Дорозвідується")+COUNTIFS('Таблиця 1'!$B:$B,$A293,'Таблиця 1'!$I:$I,"МіГ-29",'Таблиця 1'!$L:$L,"Дорозвідується")+COUNTIFS('Таблиця 1'!$B:$B,$A293,'Таблиця 1'!$I:$I,"Су-25",'Таблиця 1'!$L:$L,"Дорозвідується")+COUNTIFS('Таблиця 1'!$B:$B,$A293,'Таблиця 1'!$I:$I,"Су-27",'Таблиця 1'!$L:$L,"Дорозвідується"))</f>
        <v/>
      </c>
    </row>
    <row r="294">
      <c r="A294" s="273">
        <f>IF(A293="","",IF(A293+1&gt;MAX('Таблиця 1'!$B:$B),"",A293+1))</f>
        <v/>
      </c>
      <c r="B294">
        <f>IF($A294="","",COUNTIFS('Таблиця 1'!$B:$B,$A294,'Таблиця 1'!$I:$I,"Mirage")+COUNTIFS('Таблиця 1'!$B:$B,$A294,'Таблиця 1'!$I:$I,"F-16")+COUNTIFS('Таблиця 1'!$B:$B,$A294,'Таблиця 1'!$I:$I,"МіГ-29")+COUNTIFS('Таблиця 1'!$B:$B,$A294,'Таблиця 1'!$I:$I,"Су-25")+COUNTIFS('Таблиця 1'!$B:$B,$A294,'Таблиця 1'!$I:$I,"Су-27"))</f>
        <v/>
      </c>
      <c r="C294">
        <f>IF($A294="","",COUNTIFS('Таблиця 1'!$B:$B,$A294,'Таблиця 1'!$I:$I,"Mirage"))</f>
        <v/>
      </c>
      <c r="D294">
        <f>IF($A294="","",COUNTIFS('Таблиця 1'!$B:$B,$A294,'Таблиця 1'!$I:$I,"F-16"))</f>
        <v/>
      </c>
      <c r="E294">
        <f>IF($A294="","",COUNTIFS('Таблиця 1'!$B:$B,$A294,'Таблиця 1'!$I:$I,"МіГ-29"))</f>
        <v/>
      </c>
      <c r="F294">
        <f>IF($A294="","",COUNTIFS('Таблиця 1'!$B:$B,$A294,'Таблиця 1'!$I:$I,"Су-25"))</f>
        <v/>
      </c>
      <c r="G294">
        <f>IF($A294="","",COUNTIFS('Таблиця 1'!$B:$B,$A294,'Таблиця 1'!$I:$I,"Су-27"))</f>
        <v/>
      </c>
      <c r="H294">
        <f>IF($A294="","",SUMIFS('Таблиця 1'!$K:$K,'Таблиця 1'!$B:$B,$A294,'Таблиця 1'!$I:$I,"Mirage",'Таблиця 1'!$J:$J,"AGM-88")+SUMIFS('Таблиця 1'!$K:$K,'Таблиця 1'!$B:$B,$A294,'Таблиця 1'!$I:$I,"F-16",'Таблиця 1'!$J:$J,"AGM-88")+SUMIFS('Таблиця 1'!$K:$K,'Таблиця 1'!$B:$B,$A294,'Таблиця 1'!$I:$I,"МіГ-29",'Таблиця 1'!$J:$J,"AGM-88")+SUMIFS('Таблиця 1'!$K:$K,'Таблиця 1'!$B:$B,$A294,'Таблиця 1'!$I:$I,"Су-25",'Таблиця 1'!$J:$J,"AGM-88")+SUMIFS('Таблиця 1'!$K:$K,'Таблиця 1'!$B:$B,$A294,'Таблиця 1'!$I:$I,"Су-27",'Таблиця 1'!$J:$J,"AGM-88"))</f>
        <v/>
      </c>
      <c r="I294">
        <f>IF($A294="","",SUMIFS('Таблиця 1'!$K:$K,'Таблиця 1'!$B:$B,$A294,'Таблиця 1'!$I:$I,"Mirage",'Таблиця 1'!$J:$J,"AASM-250")+SUMIFS('Таблиця 1'!$K:$K,'Таблиця 1'!$B:$B,$A294,'Таблиця 1'!$I:$I,"F-16",'Таблиця 1'!$J:$J,"AASM-250")+SUMIFS('Таблиця 1'!$K:$K,'Таблиця 1'!$B:$B,$A294,'Таблиця 1'!$I:$I,"МіГ-29",'Таблиця 1'!$J:$J,"AASM-250")+SUMIFS('Таблиця 1'!$K:$K,'Таблиця 1'!$B:$B,$A294,'Таблиця 1'!$I:$I,"Су-25",'Таблиця 1'!$J:$J,"AASM-250")+SUMIFS('Таблиця 1'!$K:$K,'Таблиця 1'!$B:$B,$A294,'Таблиця 1'!$I:$I,"Су-27",'Таблиця 1'!$J:$J,"AASM-250"))</f>
        <v/>
      </c>
      <c r="J294">
        <f>IF($A294="","",SUMIFS('Таблиця 1'!$K:$K,'Таблиця 1'!$B:$B,$A294,'Таблиця 1'!$I:$I,"Mirage",'Таблиця 1'!$J:$J,"GBU-39")+SUMIFS('Таблиця 1'!$K:$K,'Таблиця 1'!$B:$B,$A294,'Таблиця 1'!$I:$I,"F-16",'Таблиця 1'!$J:$J,"GBU-39")+SUMIFS('Таблиця 1'!$K:$K,'Таблиця 1'!$B:$B,$A294,'Таблиця 1'!$I:$I,"МіГ-29",'Таблиця 1'!$J:$J,"GBU-39")+SUMIFS('Таблиця 1'!$K:$K,'Таблиця 1'!$B:$B,$A294,'Таблиця 1'!$I:$I,"Су-25",'Таблиця 1'!$J:$J,"GBU-39")+SUMIFS('Таблиця 1'!$K:$K,'Таблиця 1'!$B:$B,$A294,'Таблиця 1'!$I:$I,"Су-27",'Таблиця 1'!$J:$J,"GBU-39"))</f>
        <v/>
      </c>
      <c r="K294">
        <f>IF($A294="","",SUMIFS('Таблиця 1'!$K:$K,'Таблиця 1'!$B:$B,$A294,'Таблиця 1'!$I:$I,"Mirage",'Таблиця 1'!$J:$J,"BLU-140")+SUMIFS('Таблиця 1'!$K:$K,'Таблиця 1'!$B:$B,$A294,'Таблиця 1'!$I:$I,"F-16",'Таблиця 1'!$J:$J,"BLU-140")+SUMIFS('Таблиця 1'!$K:$K,'Таблиця 1'!$B:$B,$A294,'Таблиця 1'!$I:$I,"МіГ-29",'Таблиця 1'!$J:$J,"BLU-140")+SUMIFS('Таблиця 1'!$K:$K,'Таблиця 1'!$B:$B,$A294,'Таблиця 1'!$I:$I,"Су-25",'Таблиця 1'!$J:$J,"BLU-140")+SUMIFS('Таблиця 1'!$K:$K,'Таблиця 1'!$B:$B,$A294,'Таблиця 1'!$I:$I,"Су-27",'Таблиця 1'!$J:$J,"BLU-140"))</f>
        <v/>
      </c>
      <c r="L294">
        <f>IF($A294="","",SUMIFS('Таблиця 1'!$K:$K,'Таблиця 1'!$B:$B,$A294,'Таблиця 1'!$I:$I,"Mirage",'Таблиця 1'!$J:$J,"GBU-65")+SUMIFS('Таблиця 1'!$K:$K,'Таблиця 1'!$B:$B,$A294,'Таблиця 1'!$I:$I,"F-16",'Таблиця 1'!$J:$J,"GBU-65")+SUMIFS('Таблиця 1'!$K:$K,'Таблиця 1'!$B:$B,$A294,'Таблиця 1'!$I:$I,"МіГ-29",'Таблиця 1'!$J:$J,"GBU-65")+SUMIFS('Таблиця 1'!$K:$K,'Таблиця 1'!$B:$B,$A294,'Таблиця 1'!$I:$I,"Су-25",'Таблиця 1'!$J:$J,"GBU-65")+SUMIFS('Таблиця 1'!$K:$K,'Таблиця 1'!$B:$B,$A294,'Таблиця 1'!$I:$I,"Су-27",'Таблиця 1'!$J:$J,"GBU-65"))</f>
        <v/>
      </c>
      <c r="M294">
        <f>IF($A294="","",SUMIFS('Таблиця 1'!$K:$K,'Таблиця 1'!$B:$B,$A294,'Таблиця 1'!$I:$I,"Mirage",'Таблиця 1'!$J:$J,"GBU-62")+SUMIFS('Таблиця 1'!$K:$K,'Таблиця 1'!$B:$B,$A294,'Таблиця 1'!$I:$I,"F-16",'Таблиця 1'!$J:$J,"GBU-62")+SUMIFS('Таблиця 1'!$K:$K,'Таблиця 1'!$B:$B,$A294,'Таблиця 1'!$I:$I,"МіГ-29",'Таблиця 1'!$J:$J,"GBU-62")+SUMIFS('Таблиця 1'!$K:$K,'Таблиця 1'!$B:$B,$A294,'Таблиця 1'!$I:$I,"Су-25",'Таблиця 1'!$J:$J,"GBU-62")+SUMIFS('Таблиця 1'!$K:$K,'Таблиця 1'!$B:$B,$A294,'Таблиця 1'!$I:$I,"Су-27",'Таблиця 1'!$J:$J,"GBU-62"))</f>
        <v/>
      </c>
      <c r="N294">
        <f>IF($A294="","",SUMIFS('Таблиця 1'!$K:$K,'Таблиця 1'!$B:$B,$A294,'Таблиця 1'!$I:$I,"Mirage",'Таблиця 1'!$J:$J,"GBU-64")+SUMIFS('Таблиця 1'!$K:$K,'Таблиця 1'!$B:$B,$A294,'Таблиця 1'!$I:$I,"F-16",'Таблиця 1'!$J:$J,"GBU-64")+SUMIFS('Таблиця 1'!$K:$K,'Таблиця 1'!$B:$B,$A294,'Таблиця 1'!$I:$I,"МіГ-29",'Таблиця 1'!$J:$J,"GBU-64")+SUMIFS('Таблиця 1'!$K:$K,'Таблиця 1'!$B:$B,$A294,'Таблиця 1'!$I:$I,"Су-25",'Таблиця 1'!$J:$J,"GBU-64")+SUMIFS('Таблиця 1'!$K:$K,'Таблиця 1'!$B:$B,$A294,'Таблиця 1'!$I:$I,"Су-27",'Таблиця 1'!$J:$J,"GBU-64"))</f>
        <v/>
      </c>
      <c r="O294">
        <f>IF($A294="","",SUMIFS('Таблиця 1'!$K:$K,'Таблиця 1'!$B:$B,$A294,'Таблиця 1'!$I:$I,"Mirage",'Таблиця 1'!$J:$J,"C-13")+SUMIFS('Таблиця 1'!$K:$K,'Таблиця 1'!$B:$B,$A294,'Таблиця 1'!$I:$I,"F-16",'Таблиця 1'!$J:$J,"C-13")+SUMIFS('Таблиця 1'!$K:$K,'Таблиця 1'!$B:$B,$A294,'Таблиця 1'!$I:$I,"МіГ-29",'Таблиця 1'!$J:$J,"C-13")+SUMIFS('Таблиця 1'!$K:$K,'Таблиця 1'!$B:$B,$A294,'Таблиця 1'!$I:$I,"Су-25",'Таблиця 1'!$J:$J,"C-13")+SUMIFS('Таблиця 1'!$K:$K,'Таблиця 1'!$B:$B,$A294,'Таблиця 1'!$I:$I,"Су-27",'Таблиця 1'!$J:$J,"C-13"))</f>
        <v/>
      </c>
      <c r="P294">
        <f>IF($A294="","",SUMIFS('Таблиця 1'!$K:$K,'Таблиця 1'!$B:$B,$A294,'Таблиця 1'!$I:$I,"Mirage",'Таблиця 1'!$J:$J,"MK-32")+SUMIFS('Таблиця 1'!$K:$K,'Таблиця 1'!$B:$B,$A294,'Таблиця 1'!$I:$I,"F-16",'Таблиця 1'!$J:$J,"MK-32")+SUMIFS('Таблиця 1'!$K:$K,'Таблиця 1'!$B:$B,$A294,'Таблиця 1'!$I:$I,"МіГ-29",'Таблиця 1'!$J:$J,"MK-32")+SUMIFS('Таблиця 1'!$K:$K,'Таблиця 1'!$B:$B,$A294,'Таблиця 1'!$I:$I,"Су-25",'Таблиця 1'!$J:$J,"MK-32")+SUMIFS('Таблиця 1'!$K:$K,'Таблиця 1'!$B:$B,$A294,'Таблиця 1'!$I:$I,"Су-27",'Таблиця 1'!$J:$J,"MK-32"))</f>
        <v/>
      </c>
      <c r="Q294">
        <f>IF($A294="","",SUMIFS('Таблиця 1'!$K:$K,'Таблиця 1'!$B:$B,$A294,'Таблиця 1'!$I:$I,"Mirage",'Таблиця 1'!$J:$J,"MK-24")+SUMIFS('Таблиця 1'!$K:$K,'Таблиця 1'!$B:$B,$A294,'Таблиця 1'!$I:$I,"F-16",'Таблиця 1'!$J:$J,"MK-24")+SUMIFS('Таблиця 1'!$K:$K,'Таблиця 1'!$B:$B,$A294,'Таблиця 1'!$I:$I,"МіГ-29",'Таблиця 1'!$J:$J,"MK-24")+SUMIFS('Таблиця 1'!$K:$K,'Таблиця 1'!$B:$B,$A294,'Таблиця 1'!$I:$I,"Су-25",'Таблиця 1'!$J:$J,"MK-24")+SUMIFS('Таблиця 1'!$K:$K,'Таблиця 1'!$B:$B,$A294,'Таблиця 1'!$I:$I,"Су-27",'Таблиця 1'!$J:$J,"MK-24"))</f>
        <v/>
      </c>
      <c r="R294">
        <f>IF($A294="","",COUNTIFS('Таблиця 1'!$B:$B,$A294,'Таблиця 1'!$I:$I,"Mirage",'Таблиця 1'!$L:$L,"Уражено")+COUNTIFS('Таблиця 1'!$B:$B,$A294,'Таблиця 1'!$I:$I,"F-16",'Таблиця 1'!$L:$L,"Уражено")+COUNTIFS('Таблиця 1'!$B:$B,$A294,'Таблиця 1'!$I:$I,"МіГ-29",'Таблиця 1'!$L:$L,"Уражено")+COUNTIFS('Таблиця 1'!$B:$B,$A294,'Таблиця 1'!$I:$I,"Су-25",'Таблиця 1'!$L:$L,"Уражено")+COUNTIFS('Таблиця 1'!$B:$B,$A294,'Таблиця 1'!$I:$I,"Су-27",'Таблиця 1'!$L:$L,"Уражено"))</f>
        <v/>
      </c>
      <c r="S294">
        <f>IF($A294="","",COUNTIFS('Таблиця 1'!$B:$B,$A294,'Таблиця 1'!$I:$I,"Mirage",'Таблиця 1'!$L:$L,"НЕ уражено")+COUNTIFS('Таблиця 1'!$B:$B,$A294,'Таблиця 1'!$I:$I,"F-16",'Таблиця 1'!$L:$L,"НЕ уражено")+COUNTIFS('Таблиця 1'!$B:$B,$A294,'Таблиця 1'!$I:$I,"МіГ-29",'Таблиця 1'!$L:$L,"НЕ уражено")+COUNTIFS('Таблиця 1'!$B:$B,$A294,'Таблиця 1'!$I:$I,"Су-25",'Таблиця 1'!$L:$L,"НЕ уражено")+COUNTIFS('Таблиця 1'!$B:$B,$A294,'Таблиця 1'!$I:$I,"Су-27",'Таблиця 1'!$L:$L,"НЕ уражено"))</f>
        <v/>
      </c>
      <c r="T294">
        <f>IF($A294="","",COUNTIFS('Таблиця 1'!$B:$B,$A294,'Таблиця 1'!$I:$I,"Mirage",'Таблиця 1'!$L:$L,"Дорозвідується")+COUNTIFS('Таблиця 1'!$B:$B,$A294,'Таблиця 1'!$I:$I,"F-16",'Таблиця 1'!$L:$L,"Дорозвідується")+COUNTIFS('Таблиця 1'!$B:$B,$A294,'Таблиця 1'!$I:$I,"МіГ-29",'Таблиця 1'!$L:$L,"Дорозвідується")+COUNTIFS('Таблиця 1'!$B:$B,$A294,'Таблиця 1'!$I:$I,"Су-25",'Таблиця 1'!$L:$L,"Дорозвідується")+COUNTIFS('Таблиця 1'!$B:$B,$A294,'Таблиця 1'!$I:$I,"Су-27",'Таблиця 1'!$L:$L,"Дорозвідується"))</f>
        <v/>
      </c>
    </row>
    <row r="295">
      <c r="A295" s="273">
        <f>IF(A294="","",IF(A294+1&gt;MAX('Таблиця 1'!$B:$B),"",A294+1))</f>
        <v/>
      </c>
      <c r="B295">
        <f>IF($A295="","",COUNTIFS('Таблиця 1'!$B:$B,$A295,'Таблиця 1'!$I:$I,"Mirage")+COUNTIFS('Таблиця 1'!$B:$B,$A295,'Таблиця 1'!$I:$I,"F-16")+COUNTIFS('Таблиця 1'!$B:$B,$A295,'Таблиця 1'!$I:$I,"МіГ-29")+COUNTIFS('Таблиця 1'!$B:$B,$A295,'Таблиця 1'!$I:$I,"Су-25")+COUNTIFS('Таблиця 1'!$B:$B,$A295,'Таблиця 1'!$I:$I,"Су-27"))</f>
        <v/>
      </c>
      <c r="C295">
        <f>IF($A295="","",COUNTIFS('Таблиця 1'!$B:$B,$A295,'Таблиця 1'!$I:$I,"Mirage"))</f>
        <v/>
      </c>
      <c r="D295">
        <f>IF($A295="","",COUNTIFS('Таблиця 1'!$B:$B,$A295,'Таблиця 1'!$I:$I,"F-16"))</f>
        <v/>
      </c>
      <c r="E295">
        <f>IF($A295="","",COUNTIFS('Таблиця 1'!$B:$B,$A295,'Таблиця 1'!$I:$I,"МіГ-29"))</f>
        <v/>
      </c>
      <c r="F295">
        <f>IF($A295="","",COUNTIFS('Таблиця 1'!$B:$B,$A295,'Таблиця 1'!$I:$I,"Су-25"))</f>
        <v/>
      </c>
      <c r="G295">
        <f>IF($A295="","",COUNTIFS('Таблиця 1'!$B:$B,$A295,'Таблиця 1'!$I:$I,"Су-27"))</f>
        <v/>
      </c>
      <c r="H295">
        <f>IF($A295="","",SUMIFS('Таблиця 1'!$K:$K,'Таблиця 1'!$B:$B,$A295,'Таблиця 1'!$I:$I,"Mirage",'Таблиця 1'!$J:$J,"AGM-88")+SUMIFS('Таблиця 1'!$K:$K,'Таблиця 1'!$B:$B,$A295,'Таблиця 1'!$I:$I,"F-16",'Таблиця 1'!$J:$J,"AGM-88")+SUMIFS('Таблиця 1'!$K:$K,'Таблиця 1'!$B:$B,$A295,'Таблиця 1'!$I:$I,"МіГ-29",'Таблиця 1'!$J:$J,"AGM-88")+SUMIFS('Таблиця 1'!$K:$K,'Таблиця 1'!$B:$B,$A295,'Таблиця 1'!$I:$I,"Су-25",'Таблиця 1'!$J:$J,"AGM-88")+SUMIFS('Таблиця 1'!$K:$K,'Таблиця 1'!$B:$B,$A295,'Таблиця 1'!$I:$I,"Су-27",'Таблиця 1'!$J:$J,"AGM-88"))</f>
        <v/>
      </c>
      <c r="I295">
        <f>IF($A295="","",SUMIFS('Таблиця 1'!$K:$K,'Таблиця 1'!$B:$B,$A295,'Таблиця 1'!$I:$I,"Mirage",'Таблиця 1'!$J:$J,"AASM-250")+SUMIFS('Таблиця 1'!$K:$K,'Таблиця 1'!$B:$B,$A295,'Таблиця 1'!$I:$I,"F-16",'Таблиця 1'!$J:$J,"AASM-250")+SUMIFS('Таблиця 1'!$K:$K,'Таблиця 1'!$B:$B,$A295,'Таблиця 1'!$I:$I,"МіГ-29",'Таблиця 1'!$J:$J,"AASM-250")+SUMIFS('Таблиця 1'!$K:$K,'Таблиця 1'!$B:$B,$A295,'Таблиця 1'!$I:$I,"Су-25",'Таблиця 1'!$J:$J,"AASM-250")+SUMIFS('Таблиця 1'!$K:$K,'Таблиця 1'!$B:$B,$A295,'Таблиця 1'!$I:$I,"Су-27",'Таблиця 1'!$J:$J,"AASM-250"))</f>
        <v/>
      </c>
      <c r="J295">
        <f>IF($A295="","",SUMIFS('Таблиця 1'!$K:$K,'Таблиця 1'!$B:$B,$A295,'Таблиця 1'!$I:$I,"Mirage",'Таблиця 1'!$J:$J,"GBU-39")+SUMIFS('Таблиця 1'!$K:$K,'Таблиця 1'!$B:$B,$A295,'Таблиця 1'!$I:$I,"F-16",'Таблиця 1'!$J:$J,"GBU-39")+SUMIFS('Таблиця 1'!$K:$K,'Таблиця 1'!$B:$B,$A295,'Таблиця 1'!$I:$I,"МіГ-29",'Таблиця 1'!$J:$J,"GBU-39")+SUMIFS('Таблиця 1'!$K:$K,'Таблиця 1'!$B:$B,$A295,'Таблиця 1'!$I:$I,"Су-25",'Таблиця 1'!$J:$J,"GBU-39")+SUMIFS('Таблиця 1'!$K:$K,'Таблиця 1'!$B:$B,$A295,'Таблиця 1'!$I:$I,"Су-27",'Таблиця 1'!$J:$J,"GBU-39"))</f>
        <v/>
      </c>
      <c r="K295">
        <f>IF($A295="","",SUMIFS('Таблиця 1'!$K:$K,'Таблиця 1'!$B:$B,$A295,'Таблиця 1'!$I:$I,"Mirage",'Таблиця 1'!$J:$J,"BLU-140")+SUMIFS('Таблиця 1'!$K:$K,'Таблиця 1'!$B:$B,$A295,'Таблиця 1'!$I:$I,"F-16",'Таблиця 1'!$J:$J,"BLU-140")+SUMIFS('Таблиця 1'!$K:$K,'Таблиця 1'!$B:$B,$A295,'Таблиця 1'!$I:$I,"МіГ-29",'Таблиця 1'!$J:$J,"BLU-140")+SUMIFS('Таблиця 1'!$K:$K,'Таблиця 1'!$B:$B,$A295,'Таблиця 1'!$I:$I,"Су-25",'Таблиця 1'!$J:$J,"BLU-140")+SUMIFS('Таблиця 1'!$K:$K,'Таблиця 1'!$B:$B,$A295,'Таблиця 1'!$I:$I,"Су-27",'Таблиця 1'!$J:$J,"BLU-140"))</f>
        <v/>
      </c>
      <c r="L295">
        <f>IF($A295="","",SUMIFS('Таблиця 1'!$K:$K,'Таблиця 1'!$B:$B,$A295,'Таблиця 1'!$I:$I,"Mirage",'Таблиця 1'!$J:$J,"GBU-65")+SUMIFS('Таблиця 1'!$K:$K,'Таблиця 1'!$B:$B,$A295,'Таблиця 1'!$I:$I,"F-16",'Таблиця 1'!$J:$J,"GBU-65")+SUMIFS('Таблиця 1'!$K:$K,'Таблиця 1'!$B:$B,$A295,'Таблиця 1'!$I:$I,"МіГ-29",'Таблиця 1'!$J:$J,"GBU-65")+SUMIFS('Таблиця 1'!$K:$K,'Таблиця 1'!$B:$B,$A295,'Таблиця 1'!$I:$I,"Су-25",'Таблиця 1'!$J:$J,"GBU-65")+SUMIFS('Таблиця 1'!$K:$K,'Таблиця 1'!$B:$B,$A295,'Таблиця 1'!$I:$I,"Су-27",'Таблиця 1'!$J:$J,"GBU-65"))</f>
        <v/>
      </c>
      <c r="M295">
        <f>IF($A295="","",SUMIFS('Таблиця 1'!$K:$K,'Таблиця 1'!$B:$B,$A295,'Таблиця 1'!$I:$I,"Mirage",'Таблиця 1'!$J:$J,"GBU-62")+SUMIFS('Таблиця 1'!$K:$K,'Таблиця 1'!$B:$B,$A295,'Таблиця 1'!$I:$I,"F-16",'Таблиця 1'!$J:$J,"GBU-62")+SUMIFS('Таблиця 1'!$K:$K,'Таблиця 1'!$B:$B,$A295,'Таблиця 1'!$I:$I,"МіГ-29",'Таблиця 1'!$J:$J,"GBU-62")+SUMIFS('Таблиця 1'!$K:$K,'Таблиця 1'!$B:$B,$A295,'Таблиця 1'!$I:$I,"Су-25",'Таблиця 1'!$J:$J,"GBU-62")+SUMIFS('Таблиця 1'!$K:$K,'Таблиця 1'!$B:$B,$A295,'Таблиця 1'!$I:$I,"Су-27",'Таблиця 1'!$J:$J,"GBU-62"))</f>
        <v/>
      </c>
      <c r="N295">
        <f>IF($A295="","",SUMIFS('Таблиця 1'!$K:$K,'Таблиця 1'!$B:$B,$A295,'Таблиця 1'!$I:$I,"Mirage",'Таблиця 1'!$J:$J,"GBU-64")+SUMIFS('Таблиця 1'!$K:$K,'Таблиця 1'!$B:$B,$A295,'Таблиця 1'!$I:$I,"F-16",'Таблиця 1'!$J:$J,"GBU-64")+SUMIFS('Таблиця 1'!$K:$K,'Таблиця 1'!$B:$B,$A295,'Таблиця 1'!$I:$I,"МіГ-29",'Таблиця 1'!$J:$J,"GBU-64")+SUMIFS('Таблиця 1'!$K:$K,'Таблиця 1'!$B:$B,$A295,'Таблиця 1'!$I:$I,"Су-25",'Таблиця 1'!$J:$J,"GBU-64")+SUMIFS('Таблиця 1'!$K:$K,'Таблиця 1'!$B:$B,$A295,'Таблиця 1'!$I:$I,"Су-27",'Таблиця 1'!$J:$J,"GBU-64"))</f>
        <v/>
      </c>
      <c r="O295">
        <f>IF($A295="","",SUMIFS('Таблиця 1'!$K:$K,'Таблиця 1'!$B:$B,$A295,'Таблиця 1'!$I:$I,"Mirage",'Таблиця 1'!$J:$J,"C-13")+SUMIFS('Таблиця 1'!$K:$K,'Таблиця 1'!$B:$B,$A295,'Таблиця 1'!$I:$I,"F-16",'Таблиця 1'!$J:$J,"C-13")+SUMIFS('Таблиця 1'!$K:$K,'Таблиця 1'!$B:$B,$A295,'Таблиця 1'!$I:$I,"МіГ-29",'Таблиця 1'!$J:$J,"C-13")+SUMIFS('Таблиця 1'!$K:$K,'Таблиця 1'!$B:$B,$A295,'Таблиця 1'!$I:$I,"Су-25",'Таблиця 1'!$J:$J,"C-13")+SUMIFS('Таблиця 1'!$K:$K,'Таблиця 1'!$B:$B,$A295,'Таблиця 1'!$I:$I,"Су-27",'Таблиця 1'!$J:$J,"C-13"))</f>
        <v/>
      </c>
      <c r="P295">
        <f>IF($A295="","",SUMIFS('Таблиця 1'!$K:$K,'Таблиця 1'!$B:$B,$A295,'Таблиця 1'!$I:$I,"Mirage",'Таблиця 1'!$J:$J,"MK-32")+SUMIFS('Таблиця 1'!$K:$K,'Таблиця 1'!$B:$B,$A295,'Таблиця 1'!$I:$I,"F-16",'Таблиця 1'!$J:$J,"MK-32")+SUMIFS('Таблиця 1'!$K:$K,'Таблиця 1'!$B:$B,$A295,'Таблиця 1'!$I:$I,"МіГ-29",'Таблиця 1'!$J:$J,"MK-32")+SUMIFS('Таблиця 1'!$K:$K,'Таблиця 1'!$B:$B,$A295,'Таблиця 1'!$I:$I,"Су-25",'Таблиця 1'!$J:$J,"MK-32")+SUMIFS('Таблиця 1'!$K:$K,'Таблиця 1'!$B:$B,$A295,'Таблиця 1'!$I:$I,"Су-27",'Таблиця 1'!$J:$J,"MK-32"))</f>
        <v/>
      </c>
      <c r="Q295">
        <f>IF($A295="","",SUMIFS('Таблиця 1'!$K:$K,'Таблиця 1'!$B:$B,$A295,'Таблиця 1'!$I:$I,"Mirage",'Таблиця 1'!$J:$J,"MK-24")+SUMIFS('Таблиця 1'!$K:$K,'Таблиця 1'!$B:$B,$A295,'Таблиця 1'!$I:$I,"F-16",'Таблиця 1'!$J:$J,"MK-24")+SUMIFS('Таблиця 1'!$K:$K,'Таблиця 1'!$B:$B,$A295,'Таблиця 1'!$I:$I,"МіГ-29",'Таблиця 1'!$J:$J,"MK-24")+SUMIFS('Таблиця 1'!$K:$K,'Таблиця 1'!$B:$B,$A295,'Таблиця 1'!$I:$I,"Су-25",'Таблиця 1'!$J:$J,"MK-24")+SUMIFS('Таблиця 1'!$K:$K,'Таблиця 1'!$B:$B,$A295,'Таблиця 1'!$I:$I,"Су-27",'Таблиця 1'!$J:$J,"MK-24"))</f>
        <v/>
      </c>
      <c r="R295">
        <f>IF($A295="","",COUNTIFS('Таблиця 1'!$B:$B,$A295,'Таблиця 1'!$I:$I,"Mirage",'Таблиця 1'!$L:$L,"Уражено")+COUNTIFS('Таблиця 1'!$B:$B,$A295,'Таблиця 1'!$I:$I,"F-16",'Таблиця 1'!$L:$L,"Уражено")+COUNTIFS('Таблиця 1'!$B:$B,$A295,'Таблиця 1'!$I:$I,"МіГ-29",'Таблиця 1'!$L:$L,"Уражено")+COUNTIFS('Таблиця 1'!$B:$B,$A295,'Таблиця 1'!$I:$I,"Су-25",'Таблиця 1'!$L:$L,"Уражено")+COUNTIFS('Таблиця 1'!$B:$B,$A295,'Таблиця 1'!$I:$I,"Су-27",'Таблиця 1'!$L:$L,"Уражено"))</f>
        <v/>
      </c>
      <c r="S295">
        <f>IF($A295="","",COUNTIFS('Таблиця 1'!$B:$B,$A295,'Таблиця 1'!$I:$I,"Mirage",'Таблиця 1'!$L:$L,"НЕ уражено")+COUNTIFS('Таблиця 1'!$B:$B,$A295,'Таблиця 1'!$I:$I,"F-16",'Таблиця 1'!$L:$L,"НЕ уражено")+COUNTIFS('Таблиця 1'!$B:$B,$A295,'Таблиця 1'!$I:$I,"МіГ-29",'Таблиця 1'!$L:$L,"НЕ уражено")+COUNTIFS('Таблиця 1'!$B:$B,$A295,'Таблиця 1'!$I:$I,"Су-25",'Таблиця 1'!$L:$L,"НЕ уражено")+COUNTIFS('Таблиця 1'!$B:$B,$A295,'Таблиця 1'!$I:$I,"Су-27",'Таблиця 1'!$L:$L,"НЕ уражено"))</f>
        <v/>
      </c>
      <c r="T295">
        <f>IF($A295="","",COUNTIFS('Таблиця 1'!$B:$B,$A295,'Таблиця 1'!$I:$I,"Mirage",'Таблиця 1'!$L:$L,"Дорозвідується")+COUNTIFS('Таблиця 1'!$B:$B,$A295,'Таблиця 1'!$I:$I,"F-16",'Таблиця 1'!$L:$L,"Дорозвідується")+COUNTIFS('Таблиця 1'!$B:$B,$A295,'Таблиця 1'!$I:$I,"МіГ-29",'Таблиця 1'!$L:$L,"Дорозвідується")+COUNTIFS('Таблиця 1'!$B:$B,$A295,'Таблиця 1'!$I:$I,"Су-25",'Таблиця 1'!$L:$L,"Дорозвідується")+COUNTIFS('Таблиця 1'!$B:$B,$A295,'Таблиця 1'!$I:$I,"Су-27",'Таблиця 1'!$L:$L,"Дорозвідується"))</f>
        <v/>
      </c>
    </row>
    <row r="296">
      <c r="A296" s="273">
        <f>IF(A295="","",IF(A295+1&gt;MAX('Таблиця 1'!$B:$B),"",A295+1))</f>
        <v/>
      </c>
      <c r="B296">
        <f>IF($A296="","",COUNTIFS('Таблиця 1'!$B:$B,$A296,'Таблиця 1'!$I:$I,"Mirage")+COUNTIFS('Таблиця 1'!$B:$B,$A296,'Таблиця 1'!$I:$I,"F-16")+COUNTIFS('Таблиця 1'!$B:$B,$A296,'Таблиця 1'!$I:$I,"МіГ-29")+COUNTIFS('Таблиця 1'!$B:$B,$A296,'Таблиця 1'!$I:$I,"Су-25")+COUNTIFS('Таблиця 1'!$B:$B,$A296,'Таблиця 1'!$I:$I,"Су-27"))</f>
        <v/>
      </c>
      <c r="C296">
        <f>IF($A296="","",COUNTIFS('Таблиця 1'!$B:$B,$A296,'Таблиця 1'!$I:$I,"Mirage"))</f>
        <v/>
      </c>
      <c r="D296">
        <f>IF($A296="","",COUNTIFS('Таблиця 1'!$B:$B,$A296,'Таблиця 1'!$I:$I,"F-16"))</f>
        <v/>
      </c>
      <c r="E296">
        <f>IF($A296="","",COUNTIFS('Таблиця 1'!$B:$B,$A296,'Таблиця 1'!$I:$I,"МіГ-29"))</f>
        <v/>
      </c>
      <c r="F296">
        <f>IF($A296="","",COUNTIFS('Таблиця 1'!$B:$B,$A296,'Таблиця 1'!$I:$I,"Су-25"))</f>
        <v/>
      </c>
      <c r="G296">
        <f>IF($A296="","",COUNTIFS('Таблиця 1'!$B:$B,$A296,'Таблиця 1'!$I:$I,"Су-27"))</f>
        <v/>
      </c>
      <c r="H296">
        <f>IF($A296="","",SUMIFS('Таблиця 1'!$K:$K,'Таблиця 1'!$B:$B,$A296,'Таблиця 1'!$I:$I,"Mirage",'Таблиця 1'!$J:$J,"AGM-88")+SUMIFS('Таблиця 1'!$K:$K,'Таблиця 1'!$B:$B,$A296,'Таблиця 1'!$I:$I,"F-16",'Таблиця 1'!$J:$J,"AGM-88")+SUMIFS('Таблиця 1'!$K:$K,'Таблиця 1'!$B:$B,$A296,'Таблиця 1'!$I:$I,"МіГ-29",'Таблиця 1'!$J:$J,"AGM-88")+SUMIFS('Таблиця 1'!$K:$K,'Таблиця 1'!$B:$B,$A296,'Таблиця 1'!$I:$I,"Су-25",'Таблиця 1'!$J:$J,"AGM-88")+SUMIFS('Таблиця 1'!$K:$K,'Таблиця 1'!$B:$B,$A296,'Таблиця 1'!$I:$I,"Су-27",'Таблиця 1'!$J:$J,"AGM-88"))</f>
        <v/>
      </c>
      <c r="I296">
        <f>IF($A296="","",SUMIFS('Таблиця 1'!$K:$K,'Таблиця 1'!$B:$B,$A296,'Таблиця 1'!$I:$I,"Mirage",'Таблиця 1'!$J:$J,"AASM-250")+SUMIFS('Таблиця 1'!$K:$K,'Таблиця 1'!$B:$B,$A296,'Таблиця 1'!$I:$I,"F-16",'Таблиця 1'!$J:$J,"AASM-250")+SUMIFS('Таблиця 1'!$K:$K,'Таблиця 1'!$B:$B,$A296,'Таблиця 1'!$I:$I,"МіГ-29",'Таблиця 1'!$J:$J,"AASM-250")+SUMIFS('Таблиця 1'!$K:$K,'Таблиця 1'!$B:$B,$A296,'Таблиця 1'!$I:$I,"Су-25",'Таблиця 1'!$J:$J,"AASM-250")+SUMIFS('Таблиця 1'!$K:$K,'Таблиця 1'!$B:$B,$A296,'Таблиця 1'!$I:$I,"Су-27",'Таблиця 1'!$J:$J,"AASM-250"))</f>
        <v/>
      </c>
      <c r="J296">
        <f>IF($A296="","",SUMIFS('Таблиця 1'!$K:$K,'Таблиця 1'!$B:$B,$A296,'Таблиця 1'!$I:$I,"Mirage",'Таблиця 1'!$J:$J,"GBU-39")+SUMIFS('Таблиця 1'!$K:$K,'Таблиця 1'!$B:$B,$A296,'Таблиця 1'!$I:$I,"F-16",'Таблиця 1'!$J:$J,"GBU-39")+SUMIFS('Таблиця 1'!$K:$K,'Таблиця 1'!$B:$B,$A296,'Таблиця 1'!$I:$I,"МіГ-29",'Таблиця 1'!$J:$J,"GBU-39")+SUMIFS('Таблиця 1'!$K:$K,'Таблиця 1'!$B:$B,$A296,'Таблиця 1'!$I:$I,"Су-25",'Таблиця 1'!$J:$J,"GBU-39")+SUMIFS('Таблиця 1'!$K:$K,'Таблиця 1'!$B:$B,$A296,'Таблиця 1'!$I:$I,"Су-27",'Таблиця 1'!$J:$J,"GBU-39"))</f>
        <v/>
      </c>
      <c r="K296">
        <f>IF($A296="","",SUMIFS('Таблиця 1'!$K:$K,'Таблиця 1'!$B:$B,$A296,'Таблиця 1'!$I:$I,"Mirage",'Таблиця 1'!$J:$J,"BLU-140")+SUMIFS('Таблиця 1'!$K:$K,'Таблиця 1'!$B:$B,$A296,'Таблиця 1'!$I:$I,"F-16",'Таблиця 1'!$J:$J,"BLU-140")+SUMIFS('Таблиця 1'!$K:$K,'Таблиця 1'!$B:$B,$A296,'Таблиця 1'!$I:$I,"МіГ-29",'Таблиця 1'!$J:$J,"BLU-140")+SUMIFS('Таблиця 1'!$K:$K,'Таблиця 1'!$B:$B,$A296,'Таблиця 1'!$I:$I,"Су-25",'Таблиця 1'!$J:$J,"BLU-140")+SUMIFS('Таблиця 1'!$K:$K,'Таблиця 1'!$B:$B,$A296,'Таблиця 1'!$I:$I,"Су-27",'Таблиця 1'!$J:$J,"BLU-140"))</f>
        <v/>
      </c>
      <c r="L296">
        <f>IF($A296="","",SUMIFS('Таблиця 1'!$K:$K,'Таблиця 1'!$B:$B,$A296,'Таблиця 1'!$I:$I,"Mirage",'Таблиця 1'!$J:$J,"GBU-65")+SUMIFS('Таблиця 1'!$K:$K,'Таблиця 1'!$B:$B,$A296,'Таблиця 1'!$I:$I,"F-16",'Таблиця 1'!$J:$J,"GBU-65")+SUMIFS('Таблиця 1'!$K:$K,'Таблиця 1'!$B:$B,$A296,'Таблиця 1'!$I:$I,"МіГ-29",'Таблиця 1'!$J:$J,"GBU-65")+SUMIFS('Таблиця 1'!$K:$K,'Таблиця 1'!$B:$B,$A296,'Таблиця 1'!$I:$I,"Су-25",'Таблиця 1'!$J:$J,"GBU-65")+SUMIFS('Таблиця 1'!$K:$K,'Таблиця 1'!$B:$B,$A296,'Таблиця 1'!$I:$I,"Су-27",'Таблиця 1'!$J:$J,"GBU-65"))</f>
        <v/>
      </c>
      <c r="M296">
        <f>IF($A296="","",SUMIFS('Таблиця 1'!$K:$K,'Таблиця 1'!$B:$B,$A296,'Таблиця 1'!$I:$I,"Mirage",'Таблиця 1'!$J:$J,"GBU-62")+SUMIFS('Таблиця 1'!$K:$K,'Таблиця 1'!$B:$B,$A296,'Таблиця 1'!$I:$I,"F-16",'Таблиця 1'!$J:$J,"GBU-62")+SUMIFS('Таблиця 1'!$K:$K,'Таблиця 1'!$B:$B,$A296,'Таблиця 1'!$I:$I,"МіГ-29",'Таблиця 1'!$J:$J,"GBU-62")+SUMIFS('Таблиця 1'!$K:$K,'Таблиця 1'!$B:$B,$A296,'Таблиця 1'!$I:$I,"Су-25",'Таблиця 1'!$J:$J,"GBU-62")+SUMIFS('Таблиця 1'!$K:$K,'Таблиця 1'!$B:$B,$A296,'Таблиця 1'!$I:$I,"Су-27",'Таблиця 1'!$J:$J,"GBU-62"))</f>
        <v/>
      </c>
      <c r="N296">
        <f>IF($A296="","",SUMIFS('Таблиця 1'!$K:$K,'Таблиця 1'!$B:$B,$A296,'Таблиця 1'!$I:$I,"Mirage",'Таблиця 1'!$J:$J,"GBU-64")+SUMIFS('Таблиця 1'!$K:$K,'Таблиця 1'!$B:$B,$A296,'Таблиця 1'!$I:$I,"F-16",'Таблиця 1'!$J:$J,"GBU-64")+SUMIFS('Таблиця 1'!$K:$K,'Таблиця 1'!$B:$B,$A296,'Таблиця 1'!$I:$I,"МіГ-29",'Таблиця 1'!$J:$J,"GBU-64")+SUMIFS('Таблиця 1'!$K:$K,'Таблиця 1'!$B:$B,$A296,'Таблиця 1'!$I:$I,"Су-25",'Таблиця 1'!$J:$J,"GBU-64")+SUMIFS('Таблиця 1'!$K:$K,'Таблиця 1'!$B:$B,$A296,'Таблиця 1'!$I:$I,"Су-27",'Таблиця 1'!$J:$J,"GBU-64"))</f>
        <v/>
      </c>
      <c r="O296">
        <f>IF($A296="","",SUMIFS('Таблиця 1'!$K:$K,'Таблиця 1'!$B:$B,$A296,'Таблиця 1'!$I:$I,"Mirage",'Таблиця 1'!$J:$J,"C-13")+SUMIFS('Таблиця 1'!$K:$K,'Таблиця 1'!$B:$B,$A296,'Таблиця 1'!$I:$I,"F-16",'Таблиця 1'!$J:$J,"C-13")+SUMIFS('Таблиця 1'!$K:$K,'Таблиця 1'!$B:$B,$A296,'Таблиця 1'!$I:$I,"МіГ-29",'Таблиця 1'!$J:$J,"C-13")+SUMIFS('Таблиця 1'!$K:$K,'Таблиця 1'!$B:$B,$A296,'Таблиця 1'!$I:$I,"Су-25",'Таблиця 1'!$J:$J,"C-13")+SUMIFS('Таблиця 1'!$K:$K,'Таблиця 1'!$B:$B,$A296,'Таблиця 1'!$I:$I,"Су-27",'Таблиця 1'!$J:$J,"C-13"))</f>
        <v/>
      </c>
      <c r="P296">
        <f>IF($A296="","",SUMIFS('Таблиця 1'!$K:$K,'Таблиця 1'!$B:$B,$A296,'Таблиця 1'!$I:$I,"Mirage",'Таблиця 1'!$J:$J,"MK-32")+SUMIFS('Таблиця 1'!$K:$K,'Таблиця 1'!$B:$B,$A296,'Таблиця 1'!$I:$I,"F-16",'Таблиця 1'!$J:$J,"MK-32")+SUMIFS('Таблиця 1'!$K:$K,'Таблиця 1'!$B:$B,$A296,'Таблиця 1'!$I:$I,"МіГ-29",'Таблиця 1'!$J:$J,"MK-32")+SUMIFS('Таблиця 1'!$K:$K,'Таблиця 1'!$B:$B,$A296,'Таблиця 1'!$I:$I,"Су-25",'Таблиця 1'!$J:$J,"MK-32")+SUMIFS('Таблиця 1'!$K:$K,'Таблиця 1'!$B:$B,$A296,'Таблиця 1'!$I:$I,"Су-27",'Таблиця 1'!$J:$J,"MK-32"))</f>
        <v/>
      </c>
      <c r="Q296">
        <f>IF($A296="","",SUMIFS('Таблиця 1'!$K:$K,'Таблиця 1'!$B:$B,$A296,'Таблиця 1'!$I:$I,"Mirage",'Таблиця 1'!$J:$J,"MK-24")+SUMIFS('Таблиця 1'!$K:$K,'Таблиця 1'!$B:$B,$A296,'Таблиця 1'!$I:$I,"F-16",'Таблиця 1'!$J:$J,"MK-24")+SUMIFS('Таблиця 1'!$K:$K,'Таблиця 1'!$B:$B,$A296,'Таблиця 1'!$I:$I,"МіГ-29",'Таблиця 1'!$J:$J,"MK-24")+SUMIFS('Таблиця 1'!$K:$K,'Таблиця 1'!$B:$B,$A296,'Таблиця 1'!$I:$I,"Су-25",'Таблиця 1'!$J:$J,"MK-24")+SUMIFS('Таблиця 1'!$K:$K,'Таблиця 1'!$B:$B,$A296,'Таблиця 1'!$I:$I,"Су-27",'Таблиця 1'!$J:$J,"MK-24"))</f>
        <v/>
      </c>
      <c r="R296">
        <f>IF($A296="","",COUNTIFS('Таблиця 1'!$B:$B,$A296,'Таблиця 1'!$I:$I,"Mirage",'Таблиця 1'!$L:$L,"Уражено")+COUNTIFS('Таблиця 1'!$B:$B,$A296,'Таблиця 1'!$I:$I,"F-16",'Таблиця 1'!$L:$L,"Уражено")+COUNTIFS('Таблиця 1'!$B:$B,$A296,'Таблиця 1'!$I:$I,"МіГ-29",'Таблиця 1'!$L:$L,"Уражено")+COUNTIFS('Таблиця 1'!$B:$B,$A296,'Таблиця 1'!$I:$I,"Су-25",'Таблиця 1'!$L:$L,"Уражено")+COUNTIFS('Таблиця 1'!$B:$B,$A296,'Таблиця 1'!$I:$I,"Су-27",'Таблиця 1'!$L:$L,"Уражено"))</f>
        <v/>
      </c>
      <c r="S296">
        <f>IF($A296="","",COUNTIFS('Таблиця 1'!$B:$B,$A296,'Таблиця 1'!$I:$I,"Mirage",'Таблиця 1'!$L:$L,"НЕ уражено")+COUNTIFS('Таблиця 1'!$B:$B,$A296,'Таблиця 1'!$I:$I,"F-16",'Таблиця 1'!$L:$L,"НЕ уражено")+COUNTIFS('Таблиця 1'!$B:$B,$A296,'Таблиця 1'!$I:$I,"МіГ-29",'Таблиця 1'!$L:$L,"НЕ уражено")+COUNTIFS('Таблиця 1'!$B:$B,$A296,'Таблиця 1'!$I:$I,"Су-25",'Таблиця 1'!$L:$L,"НЕ уражено")+COUNTIFS('Таблиця 1'!$B:$B,$A296,'Таблиця 1'!$I:$I,"Су-27",'Таблиця 1'!$L:$L,"НЕ уражено"))</f>
        <v/>
      </c>
      <c r="T296">
        <f>IF($A296="","",COUNTIFS('Таблиця 1'!$B:$B,$A296,'Таблиця 1'!$I:$I,"Mirage",'Таблиця 1'!$L:$L,"Дорозвідується")+COUNTIFS('Таблиця 1'!$B:$B,$A296,'Таблиця 1'!$I:$I,"F-16",'Таблиця 1'!$L:$L,"Дорозвідується")+COUNTIFS('Таблиця 1'!$B:$B,$A296,'Таблиця 1'!$I:$I,"МіГ-29",'Таблиця 1'!$L:$L,"Дорозвідується")+COUNTIFS('Таблиця 1'!$B:$B,$A296,'Таблиця 1'!$I:$I,"Су-25",'Таблиця 1'!$L:$L,"Дорозвідується")+COUNTIFS('Таблиця 1'!$B:$B,$A296,'Таблиця 1'!$I:$I,"Су-27",'Таблиця 1'!$L:$L,"Дорозвідується"))</f>
        <v/>
      </c>
    </row>
    <row r="297">
      <c r="A297" s="273">
        <f>IF(A296="","",IF(A296+1&gt;MAX('Таблиця 1'!$B:$B),"",A296+1))</f>
        <v/>
      </c>
      <c r="B297">
        <f>IF($A297="","",COUNTIFS('Таблиця 1'!$B:$B,$A297,'Таблиця 1'!$I:$I,"Mirage")+COUNTIFS('Таблиця 1'!$B:$B,$A297,'Таблиця 1'!$I:$I,"F-16")+COUNTIFS('Таблиця 1'!$B:$B,$A297,'Таблиця 1'!$I:$I,"МіГ-29")+COUNTIFS('Таблиця 1'!$B:$B,$A297,'Таблиця 1'!$I:$I,"Су-25")+COUNTIFS('Таблиця 1'!$B:$B,$A297,'Таблиця 1'!$I:$I,"Су-27"))</f>
        <v/>
      </c>
      <c r="C297">
        <f>IF($A297="","",COUNTIFS('Таблиця 1'!$B:$B,$A297,'Таблиця 1'!$I:$I,"Mirage"))</f>
        <v/>
      </c>
      <c r="D297">
        <f>IF($A297="","",COUNTIFS('Таблиця 1'!$B:$B,$A297,'Таблиця 1'!$I:$I,"F-16"))</f>
        <v/>
      </c>
      <c r="E297">
        <f>IF($A297="","",COUNTIFS('Таблиця 1'!$B:$B,$A297,'Таблиця 1'!$I:$I,"МіГ-29"))</f>
        <v/>
      </c>
      <c r="F297">
        <f>IF($A297="","",COUNTIFS('Таблиця 1'!$B:$B,$A297,'Таблиця 1'!$I:$I,"Су-25"))</f>
        <v/>
      </c>
      <c r="G297">
        <f>IF($A297="","",COUNTIFS('Таблиця 1'!$B:$B,$A297,'Таблиця 1'!$I:$I,"Су-27"))</f>
        <v/>
      </c>
      <c r="H297">
        <f>IF($A297="","",SUMIFS('Таблиця 1'!$K:$K,'Таблиця 1'!$B:$B,$A297,'Таблиця 1'!$I:$I,"Mirage",'Таблиця 1'!$J:$J,"AGM-88")+SUMIFS('Таблиця 1'!$K:$K,'Таблиця 1'!$B:$B,$A297,'Таблиця 1'!$I:$I,"F-16",'Таблиця 1'!$J:$J,"AGM-88")+SUMIFS('Таблиця 1'!$K:$K,'Таблиця 1'!$B:$B,$A297,'Таблиця 1'!$I:$I,"МіГ-29",'Таблиця 1'!$J:$J,"AGM-88")+SUMIFS('Таблиця 1'!$K:$K,'Таблиця 1'!$B:$B,$A297,'Таблиця 1'!$I:$I,"Су-25",'Таблиця 1'!$J:$J,"AGM-88")+SUMIFS('Таблиця 1'!$K:$K,'Таблиця 1'!$B:$B,$A297,'Таблиця 1'!$I:$I,"Су-27",'Таблиця 1'!$J:$J,"AGM-88"))</f>
        <v/>
      </c>
      <c r="I297">
        <f>IF($A297="","",SUMIFS('Таблиця 1'!$K:$K,'Таблиця 1'!$B:$B,$A297,'Таблиця 1'!$I:$I,"Mirage",'Таблиця 1'!$J:$J,"AASM-250")+SUMIFS('Таблиця 1'!$K:$K,'Таблиця 1'!$B:$B,$A297,'Таблиця 1'!$I:$I,"F-16",'Таблиця 1'!$J:$J,"AASM-250")+SUMIFS('Таблиця 1'!$K:$K,'Таблиця 1'!$B:$B,$A297,'Таблиця 1'!$I:$I,"МіГ-29",'Таблиця 1'!$J:$J,"AASM-250")+SUMIFS('Таблиця 1'!$K:$K,'Таблиця 1'!$B:$B,$A297,'Таблиця 1'!$I:$I,"Су-25",'Таблиця 1'!$J:$J,"AASM-250")+SUMIFS('Таблиця 1'!$K:$K,'Таблиця 1'!$B:$B,$A297,'Таблиця 1'!$I:$I,"Су-27",'Таблиця 1'!$J:$J,"AASM-250"))</f>
        <v/>
      </c>
      <c r="J297">
        <f>IF($A297="","",SUMIFS('Таблиця 1'!$K:$K,'Таблиця 1'!$B:$B,$A297,'Таблиця 1'!$I:$I,"Mirage",'Таблиця 1'!$J:$J,"GBU-39")+SUMIFS('Таблиця 1'!$K:$K,'Таблиця 1'!$B:$B,$A297,'Таблиця 1'!$I:$I,"F-16",'Таблиця 1'!$J:$J,"GBU-39")+SUMIFS('Таблиця 1'!$K:$K,'Таблиця 1'!$B:$B,$A297,'Таблиця 1'!$I:$I,"МіГ-29",'Таблиця 1'!$J:$J,"GBU-39")+SUMIFS('Таблиця 1'!$K:$K,'Таблиця 1'!$B:$B,$A297,'Таблиця 1'!$I:$I,"Су-25",'Таблиця 1'!$J:$J,"GBU-39")+SUMIFS('Таблиця 1'!$K:$K,'Таблиця 1'!$B:$B,$A297,'Таблиця 1'!$I:$I,"Су-27",'Таблиця 1'!$J:$J,"GBU-39"))</f>
        <v/>
      </c>
      <c r="K297">
        <f>IF($A297="","",SUMIFS('Таблиця 1'!$K:$K,'Таблиця 1'!$B:$B,$A297,'Таблиця 1'!$I:$I,"Mirage",'Таблиця 1'!$J:$J,"BLU-140")+SUMIFS('Таблиця 1'!$K:$K,'Таблиця 1'!$B:$B,$A297,'Таблиця 1'!$I:$I,"F-16",'Таблиця 1'!$J:$J,"BLU-140")+SUMIFS('Таблиця 1'!$K:$K,'Таблиця 1'!$B:$B,$A297,'Таблиця 1'!$I:$I,"МіГ-29",'Таблиця 1'!$J:$J,"BLU-140")+SUMIFS('Таблиця 1'!$K:$K,'Таблиця 1'!$B:$B,$A297,'Таблиця 1'!$I:$I,"Су-25",'Таблиця 1'!$J:$J,"BLU-140")+SUMIFS('Таблиця 1'!$K:$K,'Таблиця 1'!$B:$B,$A297,'Таблиця 1'!$I:$I,"Су-27",'Таблиця 1'!$J:$J,"BLU-140"))</f>
        <v/>
      </c>
      <c r="L297">
        <f>IF($A297="","",SUMIFS('Таблиця 1'!$K:$K,'Таблиця 1'!$B:$B,$A297,'Таблиця 1'!$I:$I,"Mirage",'Таблиця 1'!$J:$J,"GBU-65")+SUMIFS('Таблиця 1'!$K:$K,'Таблиця 1'!$B:$B,$A297,'Таблиця 1'!$I:$I,"F-16",'Таблиця 1'!$J:$J,"GBU-65")+SUMIFS('Таблиця 1'!$K:$K,'Таблиця 1'!$B:$B,$A297,'Таблиця 1'!$I:$I,"МіГ-29",'Таблиця 1'!$J:$J,"GBU-65")+SUMIFS('Таблиця 1'!$K:$K,'Таблиця 1'!$B:$B,$A297,'Таблиця 1'!$I:$I,"Су-25",'Таблиця 1'!$J:$J,"GBU-65")+SUMIFS('Таблиця 1'!$K:$K,'Таблиця 1'!$B:$B,$A297,'Таблиця 1'!$I:$I,"Су-27",'Таблиця 1'!$J:$J,"GBU-65"))</f>
        <v/>
      </c>
      <c r="M297">
        <f>IF($A297="","",SUMIFS('Таблиця 1'!$K:$K,'Таблиця 1'!$B:$B,$A297,'Таблиця 1'!$I:$I,"Mirage",'Таблиця 1'!$J:$J,"GBU-62")+SUMIFS('Таблиця 1'!$K:$K,'Таблиця 1'!$B:$B,$A297,'Таблиця 1'!$I:$I,"F-16",'Таблиця 1'!$J:$J,"GBU-62")+SUMIFS('Таблиця 1'!$K:$K,'Таблиця 1'!$B:$B,$A297,'Таблиця 1'!$I:$I,"МіГ-29",'Таблиця 1'!$J:$J,"GBU-62")+SUMIFS('Таблиця 1'!$K:$K,'Таблиця 1'!$B:$B,$A297,'Таблиця 1'!$I:$I,"Су-25",'Таблиця 1'!$J:$J,"GBU-62")+SUMIFS('Таблиця 1'!$K:$K,'Таблиця 1'!$B:$B,$A297,'Таблиця 1'!$I:$I,"Су-27",'Таблиця 1'!$J:$J,"GBU-62"))</f>
        <v/>
      </c>
      <c r="N297">
        <f>IF($A297="","",SUMIFS('Таблиця 1'!$K:$K,'Таблиця 1'!$B:$B,$A297,'Таблиця 1'!$I:$I,"Mirage",'Таблиця 1'!$J:$J,"GBU-64")+SUMIFS('Таблиця 1'!$K:$K,'Таблиця 1'!$B:$B,$A297,'Таблиця 1'!$I:$I,"F-16",'Таблиця 1'!$J:$J,"GBU-64")+SUMIFS('Таблиця 1'!$K:$K,'Таблиця 1'!$B:$B,$A297,'Таблиця 1'!$I:$I,"МіГ-29",'Таблиця 1'!$J:$J,"GBU-64")+SUMIFS('Таблиця 1'!$K:$K,'Таблиця 1'!$B:$B,$A297,'Таблиця 1'!$I:$I,"Су-25",'Таблиця 1'!$J:$J,"GBU-64")+SUMIFS('Таблиця 1'!$K:$K,'Таблиця 1'!$B:$B,$A297,'Таблиця 1'!$I:$I,"Су-27",'Таблиця 1'!$J:$J,"GBU-64"))</f>
        <v/>
      </c>
      <c r="O297">
        <f>IF($A297="","",SUMIFS('Таблиця 1'!$K:$K,'Таблиця 1'!$B:$B,$A297,'Таблиця 1'!$I:$I,"Mirage",'Таблиця 1'!$J:$J,"C-13")+SUMIFS('Таблиця 1'!$K:$K,'Таблиця 1'!$B:$B,$A297,'Таблиця 1'!$I:$I,"F-16",'Таблиця 1'!$J:$J,"C-13")+SUMIFS('Таблиця 1'!$K:$K,'Таблиця 1'!$B:$B,$A297,'Таблиця 1'!$I:$I,"МіГ-29",'Таблиця 1'!$J:$J,"C-13")+SUMIFS('Таблиця 1'!$K:$K,'Таблиця 1'!$B:$B,$A297,'Таблиця 1'!$I:$I,"Су-25",'Таблиця 1'!$J:$J,"C-13")+SUMIFS('Таблиця 1'!$K:$K,'Таблиця 1'!$B:$B,$A297,'Таблиця 1'!$I:$I,"Су-27",'Таблиця 1'!$J:$J,"C-13"))</f>
        <v/>
      </c>
      <c r="P297">
        <f>IF($A297="","",SUMIFS('Таблиця 1'!$K:$K,'Таблиця 1'!$B:$B,$A297,'Таблиця 1'!$I:$I,"Mirage",'Таблиця 1'!$J:$J,"MK-32")+SUMIFS('Таблиця 1'!$K:$K,'Таблиця 1'!$B:$B,$A297,'Таблиця 1'!$I:$I,"F-16",'Таблиця 1'!$J:$J,"MK-32")+SUMIFS('Таблиця 1'!$K:$K,'Таблиця 1'!$B:$B,$A297,'Таблиця 1'!$I:$I,"МіГ-29",'Таблиця 1'!$J:$J,"MK-32")+SUMIFS('Таблиця 1'!$K:$K,'Таблиця 1'!$B:$B,$A297,'Таблиця 1'!$I:$I,"Су-25",'Таблиця 1'!$J:$J,"MK-32")+SUMIFS('Таблиця 1'!$K:$K,'Таблиця 1'!$B:$B,$A297,'Таблиця 1'!$I:$I,"Су-27",'Таблиця 1'!$J:$J,"MK-32"))</f>
        <v/>
      </c>
      <c r="Q297">
        <f>IF($A297="","",SUMIFS('Таблиця 1'!$K:$K,'Таблиця 1'!$B:$B,$A297,'Таблиця 1'!$I:$I,"Mirage",'Таблиця 1'!$J:$J,"MK-24")+SUMIFS('Таблиця 1'!$K:$K,'Таблиця 1'!$B:$B,$A297,'Таблиця 1'!$I:$I,"F-16",'Таблиця 1'!$J:$J,"MK-24")+SUMIFS('Таблиця 1'!$K:$K,'Таблиця 1'!$B:$B,$A297,'Таблиця 1'!$I:$I,"МіГ-29",'Таблиця 1'!$J:$J,"MK-24")+SUMIFS('Таблиця 1'!$K:$K,'Таблиця 1'!$B:$B,$A297,'Таблиця 1'!$I:$I,"Су-25",'Таблиця 1'!$J:$J,"MK-24")+SUMIFS('Таблиця 1'!$K:$K,'Таблиця 1'!$B:$B,$A297,'Таблиця 1'!$I:$I,"Су-27",'Таблиця 1'!$J:$J,"MK-24"))</f>
        <v/>
      </c>
      <c r="R297">
        <f>IF($A297="","",COUNTIFS('Таблиця 1'!$B:$B,$A297,'Таблиця 1'!$I:$I,"Mirage",'Таблиця 1'!$L:$L,"Уражено")+COUNTIFS('Таблиця 1'!$B:$B,$A297,'Таблиця 1'!$I:$I,"F-16",'Таблиця 1'!$L:$L,"Уражено")+COUNTIFS('Таблиця 1'!$B:$B,$A297,'Таблиця 1'!$I:$I,"МіГ-29",'Таблиця 1'!$L:$L,"Уражено")+COUNTIFS('Таблиця 1'!$B:$B,$A297,'Таблиця 1'!$I:$I,"Су-25",'Таблиця 1'!$L:$L,"Уражено")+COUNTIFS('Таблиця 1'!$B:$B,$A297,'Таблиця 1'!$I:$I,"Су-27",'Таблиця 1'!$L:$L,"Уражено"))</f>
        <v/>
      </c>
      <c r="S297">
        <f>IF($A297="","",COUNTIFS('Таблиця 1'!$B:$B,$A297,'Таблиця 1'!$I:$I,"Mirage",'Таблиця 1'!$L:$L,"НЕ уражено")+COUNTIFS('Таблиця 1'!$B:$B,$A297,'Таблиця 1'!$I:$I,"F-16",'Таблиця 1'!$L:$L,"НЕ уражено")+COUNTIFS('Таблиця 1'!$B:$B,$A297,'Таблиця 1'!$I:$I,"МіГ-29",'Таблиця 1'!$L:$L,"НЕ уражено")+COUNTIFS('Таблиця 1'!$B:$B,$A297,'Таблиця 1'!$I:$I,"Су-25",'Таблиця 1'!$L:$L,"НЕ уражено")+COUNTIFS('Таблиця 1'!$B:$B,$A297,'Таблиця 1'!$I:$I,"Су-27",'Таблиця 1'!$L:$L,"НЕ уражено"))</f>
        <v/>
      </c>
      <c r="T297">
        <f>IF($A297="","",COUNTIFS('Таблиця 1'!$B:$B,$A297,'Таблиця 1'!$I:$I,"Mirage",'Таблиця 1'!$L:$L,"Дорозвідується")+COUNTIFS('Таблиця 1'!$B:$B,$A297,'Таблиця 1'!$I:$I,"F-16",'Таблиця 1'!$L:$L,"Дорозвідується")+COUNTIFS('Таблиця 1'!$B:$B,$A297,'Таблиця 1'!$I:$I,"МіГ-29",'Таблиця 1'!$L:$L,"Дорозвідується")+COUNTIFS('Таблиця 1'!$B:$B,$A297,'Таблиця 1'!$I:$I,"Су-25",'Таблиця 1'!$L:$L,"Дорозвідується")+COUNTIFS('Таблиця 1'!$B:$B,$A297,'Таблиця 1'!$I:$I,"Су-27",'Таблиця 1'!$L:$L,"Дорозвідується"))</f>
        <v/>
      </c>
    </row>
    <row r="298">
      <c r="A298" s="273">
        <f>IF(A297="","",IF(A297+1&gt;MAX('Таблиця 1'!$B:$B),"",A297+1))</f>
        <v/>
      </c>
      <c r="B298">
        <f>IF($A298="","",COUNTIFS('Таблиця 1'!$B:$B,$A298,'Таблиця 1'!$I:$I,"Mirage")+COUNTIFS('Таблиця 1'!$B:$B,$A298,'Таблиця 1'!$I:$I,"F-16")+COUNTIFS('Таблиця 1'!$B:$B,$A298,'Таблиця 1'!$I:$I,"МіГ-29")+COUNTIFS('Таблиця 1'!$B:$B,$A298,'Таблиця 1'!$I:$I,"Су-25")+COUNTIFS('Таблиця 1'!$B:$B,$A298,'Таблиця 1'!$I:$I,"Су-27"))</f>
        <v/>
      </c>
      <c r="C298">
        <f>IF($A298="","",COUNTIFS('Таблиця 1'!$B:$B,$A298,'Таблиця 1'!$I:$I,"Mirage"))</f>
        <v/>
      </c>
      <c r="D298">
        <f>IF($A298="","",COUNTIFS('Таблиця 1'!$B:$B,$A298,'Таблиця 1'!$I:$I,"F-16"))</f>
        <v/>
      </c>
      <c r="E298">
        <f>IF($A298="","",COUNTIFS('Таблиця 1'!$B:$B,$A298,'Таблиця 1'!$I:$I,"МіГ-29"))</f>
        <v/>
      </c>
      <c r="F298">
        <f>IF($A298="","",COUNTIFS('Таблиця 1'!$B:$B,$A298,'Таблиця 1'!$I:$I,"Су-25"))</f>
        <v/>
      </c>
      <c r="G298">
        <f>IF($A298="","",COUNTIFS('Таблиця 1'!$B:$B,$A298,'Таблиця 1'!$I:$I,"Су-27"))</f>
        <v/>
      </c>
      <c r="H298">
        <f>IF($A298="","",SUMIFS('Таблиця 1'!$K:$K,'Таблиця 1'!$B:$B,$A298,'Таблиця 1'!$I:$I,"Mirage",'Таблиця 1'!$J:$J,"AGM-88")+SUMIFS('Таблиця 1'!$K:$K,'Таблиця 1'!$B:$B,$A298,'Таблиця 1'!$I:$I,"F-16",'Таблиця 1'!$J:$J,"AGM-88")+SUMIFS('Таблиця 1'!$K:$K,'Таблиця 1'!$B:$B,$A298,'Таблиця 1'!$I:$I,"МіГ-29",'Таблиця 1'!$J:$J,"AGM-88")+SUMIFS('Таблиця 1'!$K:$K,'Таблиця 1'!$B:$B,$A298,'Таблиця 1'!$I:$I,"Су-25",'Таблиця 1'!$J:$J,"AGM-88")+SUMIFS('Таблиця 1'!$K:$K,'Таблиця 1'!$B:$B,$A298,'Таблиця 1'!$I:$I,"Су-27",'Таблиця 1'!$J:$J,"AGM-88"))</f>
        <v/>
      </c>
      <c r="I298">
        <f>IF($A298="","",SUMIFS('Таблиця 1'!$K:$K,'Таблиця 1'!$B:$B,$A298,'Таблиця 1'!$I:$I,"Mirage",'Таблиця 1'!$J:$J,"AASM-250")+SUMIFS('Таблиця 1'!$K:$K,'Таблиця 1'!$B:$B,$A298,'Таблиця 1'!$I:$I,"F-16",'Таблиця 1'!$J:$J,"AASM-250")+SUMIFS('Таблиця 1'!$K:$K,'Таблиця 1'!$B:$B,$A298,'Таблиця 1'!$I:$I,"МіГ-29",'Таблиця 1'!$J:$J,"AASM-250")+SUMIFS('Таблиця 1'!$K:$K,'Таблиця 1'!$B:$B,$A298,'Таблиця 1'!$I:$I,"Су-25",'Таблиця 1'!$J:$J,"AASM-250")+SUMIFS('Таблиця 1'!$K:$K,'Таблиця 1'!$B:$B,$A298,'Таблиця 1'!$I:$I,"Су-27",'Таблиця 1'!$J:$J,"AASM-250"))</f>
        <v/>
      </c>
      <c r="J298">
        <f>IF($A298="","",SUMIFS('Таблиця 1'!$K:$K,'Таблиця 1'!$B:$B,$A298,'Таблиця 1'!$I:$I,"Mirage",'Таблиця 1'!$J:$J,"GBU-39")+SUMIFS('Таблиця 1'!$K:$K,'Таблиця 1'!$B:$B,$A298,'Таблиця 1'!$I:$I,"F-16",'Таблиця 1'!$J:$J,"GBU-39")+SUMIFS('Таблиця 1'!$K:$K,'Таблиця 1'!$B:$B,$A298,'Таблиця 1'!$I:$I,"МіГ-29",'Таблиця 1'!$J:$J,"GBU-39")+SUMIFS('Таблиця 1'!$K:$K,'Таблиця 1'!$B:$B,$A298,'Таблиця 1'!$I:$I,"Су-25",'Таблиця 1'!$J:$J,"GBU-39")+SUMIFS('Таблиця 1'!$K:$K,'Таблиця 1'!$B:$B,$A298,'Таблиця 1'!$I:$I,"Су-27",'Таблиця 1'!$J:$J,"GBU-39"))</f>
        <v/>
      </c>
      <c r="K298">
        <f>IF($A298="","",SUMIFS('Таблиця 1'!$K:$K,'Таблиця 1'!$B:$B,$A298,'Таблиця 1'!$I:$I,"Mirage",'Таблиця 1'!$J:$J,"BLU-140")+SUMIFS('Таблиця 1'!$K:$K,'Таблиця 1'!$B:$B,$A298,'Таблиця 1'!$I:$I,"F-16",'Таблиця 1'!$J:$J,"BLU-140")+SUMIFS('Таблиця 1'!$K:$K,'Таблиця 1'!$B:$B,$A298,'Таблиця 1'!$I:$I,"МіГ-29",'Таблиця 1'!$J:$J,"BLU-140")+SUMIFS('Таблиця 1'!$K:$K,'Таблиця 1'!$B:$B,$A298,'Таблиця 1'!$I:$I,"Су-25",'Таблиця 1'!$J:$J,"BLU-140")+SUMIFS('Таблиця 1'!$K:$K,'Таблиця 1'!$B:$B,$A298,'Таблиця 1'!$I:$I,"Су-27",'Таблиця 1'!$J:$J,"BLU-140"))</f>
        <v/>
      </c>
      <c r="L298">
        <f>IF($A298="","",SUMIFS('Таблиця 1'!$K:$K,'Таблиця 1'!$B:$B,$A298,'Таблиця 1'!$I:$I,"Mirage",'Таблиця 1'!$J:$J,"GBU-65")+SUMIFS('Таблиця 1'!$K:$K,'Таблиця 1'!$B:$B,$A298,'Таблиця 1'!$I:$I,"F-16",'Таблиця 1'!$J:$J,"GBU-65")+SUMIFS('Таблиця 1'!$K:$K,'Таблиця 1'!$B:$B,$A298,'Таблиця 1'!$I:$I,"МіГ-29",'Таблиця 1'!$J:$J,"GBU-65")+SUMIFS('Таблиця 1'!$K:$K,'Таблиця 1'!$B:$B,$A298,'Таблиця 1'!$I:$I,"Су-25",'Таблиця 1'!$J:$J,"GBU-65")+SUMIFS('Таблиця 1'!$K:$K,'Таблиця 1'!$B:$B,$A298,'Таблиця 1'!$I:$I,"Су-27",'Таблиця 1'!$J:$J,"GBU-65"))</f>
        <v/>
      </c>
      <c r="M298">
        <f>IF($A298="","",SUMIFS('Таблиця 1'!$K:$K,'Таблиця 1'!$B:$B,$A298,'Таблиця 1'!$I:$I,"Mirage",'Таблиця 1'!$J:$J,"GBU-62")+SUMIFS('Таблиця 1'!$K:$K,'Таблиця 1'!$B:$B,$A298,'Таблиця 1'!$I:$I,"F-16",'Таблиця 1'!$J:$J,"GBU-62")+SUMIFS('Таблиця 1'!$K:$K,'Таблиця 1'!$B:$B,$A298,'Таблиця 1'!$I:$I,"МіГ-29",'Таблиця 1'!$J:$J,"GBU-62")+SUMIFS('Таблиця 1'!$K:$K,'Таблиця 1'!$B:$B,$A298,'Таблиця 1'!$I:$I,"Су-25",'Таблиця 1'!$J:$J,"GBU-62")+SUMIFS('Таблиця 1'!$K:$K,'Таблиця 1'!$B:$B,$A298,'Таблиця 1'!$I:$I,"Су-27",'Таблиця 1'!$J:$J,"GBU-62"))</f>
        <v/>
      </c>
      <c r="N298">
        <f>IF($A298="","",SUMIFS('Таблиця 1'!$K:$K,'Таблиця 1'!$B:$B,$A298,'Таблиця 1'!$I:$I,"Mirage",'Таблиця 1'!$J:$J,"GBU-64")+SUMIFS('Таблиця 1'!$K:$K,'Таблиця 1'!$B:$B,$A298,'Таблиця 1'!$I:$I,"F-16",'Таблиця 1'!$J:$J,"GBU-64")+SUMIFS('Таблиця 1'!$K:$K,'Таблиця 1'!$B:$B,$A298,'Таблиця 1'!$I:$I,"МіГ-29",'Таблиця 1'!$J:$J,"GBU-64")+SUMIFS('Таблиця 1'!$K:$K,'Таблиця 1'!$B:$B,$A298,'Таблиця 1'!$I:$I,"Су-25",'Таблиця 1'!$J:$J,"GBU-64")+SUMIFS('Таблиця 1'!$K:$K,'Таблиця 1'!$B:$B,$A298,'Таблиця 1'!$I:$I,"Су-27",'Таблиця 1'!$J:$J,"GBU-64"))</f>
        <v/>
      </c>
      <c r="O298">
        <f>IF($A298="","",SUMIFS('Таблиця 1'!$K:$K,'Таблиця 1'!$B:$B,$A298,'Таблиця 1'!$I:$I,"Mirage",'Таблиця 1'!$J:$J,"C-13")+SUMIFS('Таблиця 1'!$K:$K,'Таблиця 1'!$B:$B,$A298,'Таблиця 1'!$I:$I,"F-16",'Таблиця 1'!$J:$J,"C-13")+SUMIFS('Таблиця 1'!$K:$K,'Таблиця 1'!$B:$B,$A298,'Таблиця 1'!$I:$I,"МіГ-29",'Таблиця 1'!$J:$J,"C-13")+SUMIFS('Таблиця 1'!$K:$K,'Таблиця 1'!$B:$B,$A298,'Таблиця 1'!$I:$I,"Су-25",'Таблиця 1'!$J:$J,"C-13")+SUMIFS('Таблиця 1'!$K:$K,'Таблиця 1'!$B:$B,$A298,'Таблиця 1'!$I:$I,"Су-27",'Таблиця 1'!$J:$J,"C-13"))</f>
        <v/>
      </c>
      <c r="P298">
        <f>IF($A298="","",SUMIFS('Таблиця 1'!$K:$K,'Таблиця 1'!$B:$B,$A298,'Таблиця 1'!$I:$I,"Mirage",'Таблиця 1'!$J:$J,"MK-32")+SUMIFS('Таблиця 1'!$K:$K,'Таблиця 1'!$B:$B,$A298,'Таблиця 1'!$I:$I,"F-16",'Таблиця 1'!$J:$J,"MK-32")+SUMIFS('Таблиця 1'!$K:$K,'Таблиця 1'!$B:$B,$A298,'Таблиця 1'!$I:$I,"МіГ-29",'Таблиця 1'!$J:$J,"MK-32")+SUMIFS('Таблиця 1'!$K:$K,'Таблиця 1'!$B:$B,$A298,'Таблиця 1'!$I:$I,"Су-25",'Таблиця 1'!$J:$J,"MK-32")+SUMIFS('Таблиця 1'!$K:$K,'Таблиця 1'!$B:$B,$A298,'Таблиця 1'!$I:$I,"Су-27",'Таблиця 1'!$J:$J,"MK-32"))</f>
        <v/>
      </c>
      <c r="Q298">
        <f>IF($A298="","",SUMIFS('Таблиця 1'!$K:$K,'Таблиця 1'!$B:$B,$A298,'Таблиця 1'!$I:$I,"Mirage",'Таблиця 1'!$J:$J,"MK-24")+SUMIFS('Таблиця 1'!$K:$K,'Таблиця 1'!$B:$B,$A298,'Таблиця 1'!$I:$I,"F-16",'Таблиця 1'!$J:$J,"MK-24")+SUMIFS('Таблиця 1'!$K:$K,'Таблиця 1'!$B:$B,$A298,'Таблиця 1'!$I:$I,"МіГ-29",'Таблиця 1'!$J:$J,"MK-24")+SUMIFS('Таблиця 1'!$K:$K,'Таблиця 1'!$B:$B,$A298,'Таблиця 1'!$I:$I,"Су-25",'Таблиця 1'!$J:$J,"MK-24")+SUMIFS('Таблиця 1'!$K:$K,'Таблиця 1'!$B:$B,$A298,'Таблиця 1'!$I:$I,"Су-27",'Таблиця 1'!$J:$J,"MK-24"))</f>
        <v/>
      </c>
      <c r="R298">
        <f>IF($A298="","",COUNTIFS('Таблиця 1'!$B:$B,$A298,'Таблиця 1'!$I:$I,"Mirage",'Таблиця 1'!$L:$L,"Уражено")+COUNTIFS('Таблиця 1'!$B:$B,$A298,'Таблиця 1'!$I:$I,"F-16",'Таблиця 1'!$L:$L,"Уражено")+COUNTIFS('Таблиця 1'!$B:$B,$A298,'Таблиця 1'!$I:$I,"МіГ-29",'Таблиця 1'!$L:$L,"Уражено")+COUNTIFS('Таблиця 1'!$B:$B,$A298,'Таблиця 1'!$I:$I,"Су-25",'Таблиця 1'!$L:$L,"Уражено")+COUNTIFS('Таблиця 1'!$B:$B,$A298,'Таблиця 1'!$I:$I,"Су-27",'Таблиця 1'!$L:$L,"Уражено"))</f>
        <v/>
      </c>
      <c r="S298">
        <f>IF($A298="","",COUNTIFS('Таблиця 1'!$B:$B,$A298,'Таблиця 1'!$I:$I,"Mirage",'Таблиця 1'!$L:$L,"НЕ уражено")+COUNTIFS('Таблиця 1'!$B:$B,$A298,'Таблиця 1'!$I:$I,"F-16",'Таблиця 1'!$L:$L,"НЕ уражено")+COUNTIFS('Таблиця 1'!$B:$B,$A298,'Таблиця 1'!$I:$I,"МіГ-29",'Таблиця 1'!$L:$L,"НЕ уражено")+COUNTIFS('Таблиця 1'!$B:$B,$A298,'Таблиця 1'!$I:$I,"Су-25",'Таблиця 1'!$L:$L,"НЕ уражено")+COUNTIFS('Таблиця 1'!$B:$B,$A298,'Таблиця 1'!$I:$I,"Су-27",'Таблиця 1'!$L:$L,"НЕ уражено"))</f>
        <v/>
      </c>
      <c r="T298">
        <f>IF($A298="","",COUNTIFS('Таблиця 1'!$B:$B,$A298,'Таблиця 1'!$I:$I,"Mirage",'Таблиця 1'!$L:$L,"Дорозвідується")+COUNTIFS('Таблиця 1'!$B:$B,$A298,'Таблиця 1'!$I:$I,"F-16",'Таблиця 1'!$L:$L,"Дорозвідується")+COUNTIFS('Таблиця 1'!$B:$B,$A298,'Таблиця 1'!$I:$I,"МіГ-29",'Таблиця 1'!$L:$L,"Дорозвідується")+COUNTIFS('Таблиця 1'!$B:$B,$A298,'Таблиця 1'!$I:$I,"Су-25",'Таблиця 1'!$L:$L,"Дорозвідується")+COUNTIFS('Таблиця 1'!$B:$B,$A298,'Таблиця 1'!$I:$I,"Су-27",'Таблиця 1'!$L:$L,"Дорозвідується"))</f>
        <v/>
      </c>
    </row>
    <row r="299">
      <c r="A299" s="273">
        <f>IF(A298="","",IF(A298+1&gt;MAX('Таблиця 1'!$B:$B),"",A298+1))</f>
        <v/>
      </c>
      <c r="B299">
        <f>IF($A299="","",COUNTIFS('Таблиця 1'!$B:$B,$A299,'Таблиця 1'!$I:$I,"Mirage")+COUNTIFS('Таблиця 1'!$B:$B,$A299,'Таблиця 1'!$I:$I,"F-16")+COUNTIFS('Таблиця 1'!$B:$B,$A299,'Таблиця 1'!$I:$I,"МіГ-29")+COUNTIFS('Таблиця 1'!$B:$B,$A299,'Таблиця 1'!$I:$I,"Су-25")+COUNTIFS('Таблиця 1'!$B:$B,$A299,'Таблиця 1'!$I:$I,"Су-27"))</f>
        <v/>
      </c>
      <c r="C299">
        <f>IF($A299="","",COUNTIFS('Таблиця 1'!$B:$B,$A299,'Таблиця 1'!$I:$I,"Mirage"))</f>
        <v/>
      </c>
      <c r="D299">
        <f>IF($A299="","",COUNTIFS('Таблиця 1'!$B:$B,$A299,'Таблиця 1'!$I:$I,"F-16"))</f>
        <v/>
      </c>
      <c r="E299">
        <f>IF($A299="","",COUNTIFS('Таблиця 1'!$B:$B,$A299,'Таблиця 1'!$I:$I,"МіГ-29"))</f>
        <v/>
      </c>
      <c r="F299">
        <f>IF($A299="","",COUNTIFS('Таблиця 1'!$B:$B,$A299,'Таблиця 1'!$I:$I,"Су-25"))</f>
        <v/>
      </c>
      <c r="G299">
        <f>IF($A299="","",COUNTIFS('Таблиця 1'!$B:$B,$A299,'Таблиця 1'!$I:$I,"Су-27"))</f>
        <v/>
      </c>
      <c r="H299">
        <f>IF($A299="","",SUMIFS('Таблиця 1'!$K:$K,'Таблиця 1'!$B:$B,$A299,'Таблиця 1'!$I:$I,"Mirage",'Таблиця 1'!$J:$J,"AGM-88")+SUMIFS('Таблиця 1'!$K:$K,'Таблиця 1'!$B:$B,$A299,'Таблиця 1'!$I:$I,"F-16",'Таблиця 1'!$J:$J,"AGM-88")+SUMIFS('Таблиця 1'!$K:$K,'Таблиця 1'!$B:$B,$A299,'Таблиця 1'!$I:$I,"МіГ-29",'Таблиця 1'!$J:$J,"AGM-88")+SUMIFS('Таблиця 1'!$K:$K,'Таблиця 1'!$B:$B,$A299,'Таблиця 1'!$I:$I,"Су-25",'Таблиця 1'!$J:$J,"AGM-88")+SUMIFS('Таблиця 1'!$K:$K,'Таблиця 1'!$B:$B,$A299,'Таблиця 1'!$I:$I,"Су-27",'Таблиця 1'!$J:$J,"AGM-88"))</f>
        <v/>
      </c>
      <c r="I299">
        <f>IF($A299="","",SUMIFS('Таблиця 1'!$K:$K,'Таблиця 1'!$B:$B,$A299,'Таблиця 1'!$I:$I,"Mirage",'Таблиця 1'!$J:$J,"AASM-250")+SUMIFS('Таблиця 1'!$K:$K,'Таблиця 1'!$B:$B,$A299,'Таблиця 1'!$I:$I,"F-16",'Таблиця 1'!$J:$J,"AASM-250")+SUMIFS('Таблиця 1'!$K:$K,'Таблиця 1'!$B:$B,$A299,'Таблиця 1'!$I:$I,"МіГ-29",'Таблиця 1'!$J:$J,"AASM-250")+SUMIFS('Таблиця 1'!$K:$K,'Таблиця 1'!$B:$B,$A299,'Таблиця 1'!$I:$I,"Су-25",'Таблиця 1'!$J:$J,"AASM-250")+SUMIFS('Таблиця 1'!$K:$K,'Таблиця 1'!$B:$B,$A299,'Таблиця 1'!$I:$I,"Су-27",'Таблиця 1'!$J:$J,"AASM-250"))</f>
        <v/>
      </c>
      <c r="J299">
        <f>IF($A299="","",SUMIFS('Таблиця 1'!$K:$K,'Таблиця 1'!$B:$B,$A299,'Таблиця 1'!$I:$I,"Mirage",'Таблиця 1'!$J:$J,"GBU-39")+SUMIFS('Таблиця 1'!$K:$K,'Таблиця 1'!$B:$B,$A299,'Таблиця 1'!$I:$I,"F-16",'Таблиця 1'!$J:$J,"GBU-39")+SUMIFS('Таблиця 1'!$K:$K,'Таблиця 1'!$B:$B,$A299,'Таблиця 1'!$I:$I,"МіГ-29",'Таблиця 1'!$J:$J,"GBU-39")+SUMIFS('Таблиця 1'!$K:$K,'Таблиця 1'!$B:$B,$A299,'Таблиця 1'!$I:$I,"Су-25",'Таблиця 1'!$J:$J,"GBU-39")+SUMIFS('Таблиця 1'!$K:$K,'Таблиця 1'!$B:$B,$A299,'Таблиця 1'!$I:$I,"Су-27",'Таблиця 1'!$J:$J,"GBU-39"))</f>
        <v/>
      </c>
      <c r="K299">
        <f>IF($A299="","",SUMIFS('Таблиця 1'!$K:$K,'Таблиця 1'!$B:$B,$A299,'Таблиця 1'!$I:$I,"Mirage",'Таблиця 1'!$J:$J,"BLU-140")+SUMIFS('Таблиця 1'!$K:$K,'Таблиця 1'!$B:$B,$A299,'Таблиця 1'!$I:$I,"F-16",'Таблиця 1'!$J:$J,"BLU-140")+SUMIFS('Таблиця 1'!$K:$K,'Таблиця 1'!$B:$B,$A299,'Таблиця 1'!$I:$I,"МіГ-29",'Таблиця 1'!$J:$J,"BLU-140")+SUMIFS('Таблиця 1'!$K:$K,'Таблиця 1'!$B:$B,$A299,'Таблиця 1'!$I:$I,"Су-25",'Таблиця 1'!$J:$J,"BLU-140")+SUMIFS('Таблиця 1'!$K:$K,'Таблиця 1'!$B:$B,$A299,'Таблиця 1'!$I:$I,"Су-27",'Таблиця 1'!$J:$J,"BLU-140"))</f>
        <v/>
      </c>
      <c r="L299">
        <f>IF($A299="","",SUMIFS('Таблиця 1'!$K:$K,'Таблиця 1'!$B:$B,$A299,'Таблиця 1'!$I:$I,"Mirage",'Таблиця 1'!$J:$J,"GBU-65")+SUMIFS('Таблиця 1'!$K:$K,'Таблиця 1'!$B:$B,$A299,'Таблиця 1'!$I:$I,"F-16",'Таблиця 1'!$J:$J,"GBU-65")+SUMIFS('Таблиця 1'!$K:$K,'Таблиця 1'!$B:$B,$A299,'Таблиця 1'!$I:$I,"МіГ-29",'Таблиця 1'!$J:$J,"GBU-65")+SUMIFS('Таблиця 1'!$K:$K,'Таблиця 1'!$B:$B,$A299,'Таблиця 1'!$I:$I,"Су-25",'Таблиця 1'!$J:$J,"GBU-65")+SUMIFS('Таблиця 1'!$K:$K,'Таблиця 1'!$B:$B,$A299,'Таблиця 1'!$I:$I,"Су-27",'Таблиця 1'!$J:$J,"GBU-65"))</f>
        <v/>
      </c>
      <c r="M299">
        <f>IF($A299="","",SUMIFS('Таблиця 1'!$K:$K,'Таблиця 1'!$B:$B,$A299,'Таблиця 1'!$I:$I,"Mirage",'Таблиця 1'!$J:$J,"GBU-62")+SUMIFS('Таблиця 1'!$K:$K,'Таблиця 1'!$B:$B,$A299,'Таблиця 1'!$I:$I,"F-16",'Таблиця 1'!$J:$J,"GBU-62")+SUMIFS('Таблиця 1'!$K:$K,'Таблиця 1'!$B:$B,$A299,'Таблиця 1'!$I:$I,"МіГ-29",'Таблиця 1'!$J:$J,"GBU-62")+SUMIFS('Таблиця 1'!$K:$K,'Таблиця 1'!$B:$B,$A299,'Таблиця 1'!$I:$I,"Су-25",'Таблиця 1'!$J:$J,"GBU-62")+SUMIFS('Таблиця 1'!$K:$K,'Таблиця 1'!$B:$B,$A299,'Таблиця 1'!$I:$I,"Су-27",'Таблиця 1'!$J:$J,"GBU-62"))</f>
        <v/>
      </c>
      <c r="N299">
        <f>IF($A299="","",SUMIFS('Таблиця 1'!$K:$K,'Таблиця 1'!$B:$B,$A299,'Таблиця 1'!$I:$I,"Mirage",'Таблиця 1'!$J:$J,"GBU-64")+SUMIFS('Таблиця 1'!$K:$K,'Таблиця 1'!$B:$B,$A299,'Таблиця 1'!$I:$I,"F-16",'Таблиця 1'!$J:$J,"GBU-64")+SUMIFS('Таблиця 1'!$K:$K,'Таблиця 1'!$B:$B,$A299,'Таблиця 1'!$I:$I,"МіГ-29",'Таблиця 1'!$J:$J,"GBU-64")+SUMIFS('Таблиця 1'!$K:$K,'Таблиця 1'!$B:$B,$A299,'Таблиця 1'!$I:$I,"Су-25",'Таблиця 1'!$J:$J,"GBU-64")+SUMIFS('Таблиця 1'!$K:$K,'Таблиця 1'!$B:$B,$A299,'Таблиця 1'!$I:$I,"Су-27",'Таблиця 1'!$J:$J,"GBU-64"))</f>
        <v/>
      </c>
      <c r="O299">
        <f>IF($A299="","",SUMIFS('Таблиця 1'!$K:$K,'Таблиця 1'!$B:$B,$A299,'Таблиця 1'!$I:$I,"Mirage",'Таблиця 1'!$J:$J,"C-13")+SUMIFS('Таблиця 1'!$K:$K,'Таблиця 1'!$B:$B,$A299,'Таблиця 1'!$I:$I,"F-16",'Таблиця 1'!$J:$J,"C-13")+SUMIFS('Таблиця 1'!$K:$K,'Таблиця 1'!$B:$B,$A299,'Таблиця 1'!$I:$I,"МіГ-29",'Таблиця 1'!$J:$J,"C-13")+SUMIFS('Таблиця 1'!$K:$K,'Таблиця 1'!$B:$B,$A299,'Таблиця 1'!$I:$I,"Су-25",'Таблиця 1'!$J:$J,"C-13")+SUMIFS('Таблиця 1'!$K:$K,'Таблиця 1'!$B:$B,$A299,'Таблиця 1'!$I:$I,"Су-27",'Таблиця 1'!$J:$J,"C-13"))</f>
        <v/>
      </c>
      <c r="P299">
        <f>IF($A299="","",SUMIFS('Таблиця 1'!$K:$K,'Таблиця 1'!$B:$B,$A299,'Таблиця 1'!$I:$I,"Mirage",'Таблиця 1'!$J:$J,"MK-32")+SUMIFS('Таблиця 1'!$K:$K,'Таблиця 1'!$B:$B,$A299,'Таблиця 1'!$I:$I,"F-16",'Таблиця 1'!$J:$J,"MK-32")+SUMIFS('Таблиця 1'!$K:$K,'Таблиця 1'!$B:$B,$A299,'Таблиця 1'!$I:$I,"МіГ-29",'Таблиця 1'!$J:$J,"MK-32")+SUMIFS('Таблиця 1'!$K:$K,'Таблиця 1'!$B:$B,$A299,'Таблиця 1'!$I:$I,"Су-25",'Таблиця 1'!$J:$J,"MK-32")+SUMIFS('Таблиця 1'!$K:$K,'Таблиця 1'!$B:$B,$A299,'Таблиця 1'!$I:$I,"Су-27",'Таблиця 1'!$J:$J,"MK-32"))</f>
        <v/>
      </c>
      <c r="Q299">
        <f>IF($A299="","",SUMIFS('Таблиця 1'!$K:$K,'Таблиця 1'!$B:$B,$A299,'Таблиця 1'!$I:$I,"Mirage",'Таблиця 1'!$J:$J,"MK-24")+SUMIFS('Таблиця 1'!$K:$K,'Таблиця 1'!$B:$B,$A299,'Таблиця 1'!$I:$I,"F-16",'Таблиця 1'!$J:$J,"MK-24")+SUMIFS('Таблиця 1'!$K:$K,'Таблиця 1'!$B:$B,$A299,'Таблиця 1'!$I:$I,"МіГ-29",'Таблиця 1'!$J:$J,"MK-24")+SUMIFS('Таблиця 1'!$K:$K,'Таблиця 1'!$B:$B,$A299,'Таблиця 1'!$I:$I,"Су-25",'Таблиця 1'!$J:$J,"MK-24")+SUMIFS('Таблиця 1'!$K:$K,'Таблиця 1'!$B:$B,$A299,'Таблиця 1'!$I:$I,"Су-27",'Таблиця 1'!$J:$J,"MK-24"))</f>
        <v/>
      </c>
      <c r="R299">
        <f>IF($A299="","",COUNTIFS('Таблиця 1'!$B:$B,$A299,'Таблиця 1'!$I:$I,"Mirage",'Таблиця 1'!$L:$L,"Уражено")+COUNTIFS('Таблиця 1'!$B:$B,$A299,'Таблиця 1'!$I:$I,"F-16",'Таблиця 1'!$L:$L,"Уражено")+COUNTIFS('Таблиця 1'!$B:$B,$A299,'Таблиця 1'!$I:$I,"МіГ-29",'Таблиця 1'!$L:$L,"Уражено")+COUNTIFS('Таблиця 1'!$B:$B,$A299,'Таблиця 1'!$I:$I,"Су-25",'Таблиця 1'!$L:$L,"Уражено")+COUNTIFS('Таблиця 1'!$B:$B,$A299,'Таблиця 1'!$I:$I,"Су-27",'Таблиця 1'!$L:$L,"Уражено"))</f>
        <v/>
      </c>
      <c r="S299">
        <f>IF($A299="","",COUNTIFS('Таблиця 1'!$B:$B,$A299,'Таблиця 1'!$I:$I,"Mirage",'Таблиця 1'!$L:$L,"НЕ уражено")+COUNTIFS('Таблиця 1'!$B:$B,$A299,'Таблиця 1'!$I:$I,"F-16",'Таблиця 1'!$L:$L,"НЕ уражено")+COUNTIFS('Таблиця 1'!$B:$B,$A299,'Таблиця 1'!$I:$I,"МіГ-29",'Таблиця 1'!$L:$L,"НЕ уражено")+COUNTIFS('Таблиця 1'!$B:$B,$A299,'Таблиця 1'!$I:$I,"Су-25",'Таблиця 1'!$L:$L,"НЕ уражено")+COUNTIFS('Таблиця 1'!$B:$B,$A299,'Таблиця 1'!$I:$I,"Су-27",'Таблиця 1'!$L:$L,"НЕ уражено"))</f>
        <v/>
      </c>
      <c r="T299">
        <f>IF($A299="","",COUNTIFS('Таблиця 1'!$B:$B,$A299,'Таблиця 1'!$I:$I,"Mirage",'Таблиця 1'!$L:$L,"Дорозвідується")+COUNTIFS('Таблиця 1'!$B:$B,$A299,'Таблиця 1'!$I:$I,"F-16",'Таблиця 1'!$L:$L,"Дорозвідується")+COUNTIFS('Таблиця 1'!$B:$B,$A299,'Таблиця 1'!$I:$I,"МіГ-29",'Таблиця 1'!$L:$L,"Дорозвідується")+COUNTIFS('Таблиця 1'!$B:$B,$A299,'Таблиця 1'!$I:$I,"Су-25",'Таблиця 1'!$L:$L,"Дорозвідується")+COUNTIFS('Таблиця 1'!$B:$B,$A299,'Таблиця 1'!$I:$I,"Су-27",'Таблиця 1'!$L:$L,"Дорозвідується"))</f>
        <v/>
      </c>
    </row>
    <row r="300">
      <c r="A300" s="273">
        <f>IF(A299="","",IF(A299+1&gt;MAX('Таблиця 1'!$B:$B),"",A299+1))</f>
        <v/>
      </c>
      <c r="B300">
        <f>IF($A300="","",COUNTIFS('Таблиця 1'!$B:$B,$A300,'Таблиця 1'!$I:$I,"Mirage")+COUNTIFS('Таблиця 1'!$B:$B,$A300,'Таблиця 1'!$I:$I,"F-16")+COUNTIFS('Таблиця 1'!$B:$B,$A300,'Таблиця 1'!$I:$I,"МіГ-29")+COUNTIFS('Таблиця 1'!$B:$B,$A300,'Таблиця 1'!$I:$I,"Су-25")+COUNTIFS('Таблиця 1'!$B:$B,$A300,'Таблиця 1'!$I:$I,"Су-27"))</f>
        <v/>
      </c>
      <c r="C300">
        <f>IF($A300="","",COUNTIFS('Таблиця 1'!$B:$B,$A300,'Таблиця 1'!$I:$I,"Mirage"))</f>
        <v/>
      </c>
      <c r="D300">
        <f>IF($A300="","",COUNTIFS('Таблиця 1'!$B:$B,$A300,'Таблиця 1'!$I:$I,"F-16"))</f>
        <v/>
      </c>
      <c r="E300">
        <f>IF($A300="","",COUNTIFS('Таблиця 1'!$B:$B,$A300,'Таблиця 1'!$I:$I,"МіГ-29"))</f>
        <v/>
      </c>
      <c r="F300">
        <f>IF($A300="","",COUNTIFS('Таблиця 1'!$B:$B,$A300,'Таблиця 1'!$I:$I,"Су-25"))</f>
        <v/>
      </c>
      <c r="G300">
        <f>IF($A300="","",COUNTIFS('Таблиця 1'!$B:$B,$A300,'Таблиця 1'!$I:$I,"Су-27"))</f>
        <v/>
      </c>
      <c r="H300">
        <f>IF($A300="","",SUMIFS('Таблиця 1'!$K:$K,'Таблиця 1'!$B:$B,$A300,'Таблиця 1'!$I:$I,"Mirage",'Таблиця 1'!$J:$J,"AGM-88")+SUMIFS('Таблиця 1'!$K:$K,'Таблиця 1'!$B:$B,$A300,'Таблиця 1'!$I:$I,"F-16",'Таблиця 1'!$J:$J,"AGM-88")+SUMIFS('Таблиця 1'!$K:$K,'Таблиця 1'!$B:$B,$A300,'Таблиця 1'!$I:$I,"МіГ-29",'Таблиця 1'!$J:$J,"AGM-88")+SUMIFS('Таблиця 1'!$K:$K,'Таблиця 1'!$B:$B,$A300,'Таблиця 1'!$I:$I,"Су-25",'Таблиця 1'!$J:$J,"AGM-88")+SUMIFS('Таблиця 1'!$K:$K,'Таблиця 1'!$B:$B,$A300,'Таблиця 1'!$I:$I,"Су-27",'Таблиця 1'!$J:$J,"AGM-88"))</f>
        <v/>
      </c>
      <c r="I300">
        <f>IF($A300="","",SUMIFS('Таблиця 1'!$K:$K,'Таблиця 1'!$B:$B,$A300,'Таблиця 1'!$I:$I,"Mirage",'Таблиця 1'!$J:$J,"AASM-250")+SUMIFS('Таблиця 1'!$K:$K,'Таблиця 1'!$B:$B,$A300,'Таблиця 1'!$I:$I,"F-16",'Таблиця 1'!$J:$J,"AASM-250")+SUMIFS('Таблиця 1'!$K:$K,'Таблиця 1'!$B:$B,$A300,'Таблиця 1'!$I:$I,"МіГ-29",'Таблиця 1'!$J:$J,"AASM-250")+SUMIFS('Таблиця 1'!$K:$K,'Таблиця 1'!$B:$B,$A300,'Таблиця 1'!$I:$I,"Су-25",'Таблиця 1'!$J:$J,"AASM-250")+SUMIFS('Таблиця 1'!$K:$K,'Таблиця 1'!$B:$B,$A300,'Таблиця 1'!$I:$I,"Су-27",'Таблиця 1'!$J:$J,"AASM-250"))</f>
        <v/>
      </c>
      <c r="J300">
        <f>IF($A300="","",SUMIFS('Таблиця 1'!$K:$K,'Таблиця 1'!$B:$B,$A300,'Таблиця 1'!$I:$I,"Mirage",'Таблиця 1'!$J:$J,"GBU-39")+SUMIFS('Таблиця 1'!$K:$K,'Таблиця 1'!$B:$B,$A300,'Таблиця 1'!$I:$I,"F-16",'Таблиця 1'!$J:$J,"GBU-39")+SUMIFS('Таблиця 1'!$K:$K,'Таблиця 1'!$B:$B,$A300,'Таблиця 1'!$I:$I,"МіГ-29",'Таблиця 1'!$J:$J,"GBU-39")+SUMIFS('Таблиця 1'!$K:$K,'Таблиця 1'!$B:$B,$A300,'Таблиця 1'!$I:$I,"Су-25",'Таблиця 1'!$J:$J,"GBU-39")+SUMIFS('Таблиця 1'!$K:$K,'Таблиця 1'!$B:$B,$A300,'Таблиця 1'!$I:$I,"Су-27",'Таблиця 1'!$J:$J,"GBU-39"))</f>
        <v/>
      </c>
      <c r="K300">
        <f>IF($A300="","",SUMIFS('Таблиця 1'!$K:$K,'Таблиця 1'!$B:$B,$A300,'Таблиця 1'!$I:$I,"Mirage",'Таблиця 1'!$J:$J,"BLU-140")+SUMIFS('Таблиця 1'!$K:$K,'Таблиця 1'!$B:$B,$A300,'Таблиця 1'!$I:$I,"F-16",'Таблиця 1'!$J:$J,"BLU-140")+SUMIFS('Таблиця 1'!$K:$K,'Таблиця 1'!$B:$B,$A300,'Таблиця 1'!$I:$I,"МіГ-29",'Таблиця 1'!$J:$J,"BLU-140")+SUMIFS('Таблиця 1'!$K:$K,'Таблиця 1'!$B:$B,$A300,'Таблиця 1'!$I:$I,"Су-25",'Таблиця 1'!$J:$J,"BLU-140")+SUMIFS('Таблиця 1'!$K:$K,'Таблиця 1'!$B:$B,$A300,'Таблиця 1'!$I:$I,"Су-27",'Таблиця 1'!$J:$J,"BLU-140"))</f>
        <v/>
      </c>
      <c r="L300">
        <f>IF($A300="","",SUMIFS('Таблиця 1'!$K:$K,'Таблиця 1'!$B:$B,$A300,'Таблиця 1'!$I:$I,"Mirage",'Таблиця 1'!$J:$J,"GBU-65")+SUMIFS('Таблиця 1'!$K:$K,'Таблиця 1'!$B:$B,$A300,'Таблиця 1'!$I:$I,"F-16",'Таблиця 1'!$J:$J,"GBU-65")+SUMIFS('Таблиця 1'!$K:$K,'Таблиця 1'!$B:$B,$A300,'Таблиця 1'!$I:$I,"МіГ-29",'Таблиця 1'!$J:$J,"GBU-65")+SUMIFS('Таблиця 1'!$K:$K,'Таблиця 1'!$B:$B,$A300,'Таблиця 1'!$I:$I,"Су-25",'Таблиця 1'!$J:$J,"GBU-65")+SUMIFS('Таблиця 1'!$K:$K,'Таблиця 1'!$B:$B,$A300,'Таблиця 1'!$I:$I,"Су-27",'Таблиця 1'!$J:$J,"GBU-65"))</f>
        <v/>
      </c>
      <c r="M300">
        <f>IF($A300="","",SUMIFS('Таблиця 1'!$K:$K,'Таблиця 1'!$B:$B,$A300,'Таблиця 1'!$I:$I,"Mirage",'Таблиця 1'!$J:$J,"GBU-62")+SUMIFS('Таблиця 1'!$K:$K,'Таблиця 1'!$B:$B,$A300,'Таблиця 1'!$I:$I,"F-16",'Таблиця 1'!$J:$J,"GBU-62")+SUMIFS('Таблиця 1'!$K:$K,'Таблиця 1'!$B:$B,$A300,'Таблиця 1'!$I:$I,"МіГ-29",'Таблиця 1'!$J:$J,"GBU-62")+SUMIFS('Таблиця 1'!$K:$K,'Таблиця 1'!$B:$B,$A300,'Таблиця 1'!$I:$I,"Су-25",'Таблиця 1'!$J:$J,"GBU-62")+SUMIFS('Таблиця 1'!$K:$K,'Таблиця 1'!$B:$B,$A300,'Таблиця 1'!$I:$I,"Су-27",'Таблиця 1'!$J:$J,"GBU-62"))</f>
        <v/>
      </c>
      <c r="N300">
        <f>IF($A300="","",SUMIFS('Таблиця 1'!$K:$K,'Таблиця 1'!$B:$B,$A300,'Таблиця 1'!$I:$I,"Mirage",'Таблиця 1'!$J:$J,"GBU-64")+SUMIFS('Таблиця 1'!$K:$K,'Таблиця 1'!$B:$B,$A300,'Таблиця 1'!$I:$I,"F-16",'Таблиця 1'!$J:$J,"GBU-64")+SUMIFS('Таблиця 1'!$K:$K,'Таблиця 1'!$B:$B,$A300,'Таблиця 1'!$I:$I,"МіГ-29",'Таблиця 1'!$J:$J,"GBU-64")+SUMIFS('Таблиця 1'!$K:$K,'Таблиця 1'!$B:$B,$A300,'Таблиця 1'!$I:$I,"Су-25",'Таблиця 1'!$J:$J,"GBU-64")+SUMIFS('Таблиця 1'!$K:$K,'Таблиця 1'!$B:$B,$A300,'Таблиця 1'!$I:$I,"Су-27",'Таблиця 1'!$J:$J,"GBU-64"))</f>
        <v/>
      </c>
      <c r="O300">
        <f>IF($A300="","",SUMIFS('Таблиця 1'!$K:$K,'Таблиця 1'!$B:$B,$A300,'Таблиця 1'!$I:$I,"Mirage",'Таблиця 1'!$J:$J,"C-13")+SUMIFS('Таблиця 1'!$K:$K,'Таблиця 1'!$B:$B,$A300,'Таблиця 1'!$I:$I,"F-16",'Таблиця 1'!$J:$J,"C-13")+SUMIFS('Таблиця 1'!$K:$K,'Таблиця 1'!$B:$B,$A300,'Таблиця 1'!$I:$I,"МіГ-29",'Таблиця 1'!$J:$J,"C-13")+SUMIFS('Таблиця 1'!$K:$K,'Таблиця 1'!$B:$B,$A300,'Таблиця 1'!$I:$I,"Су-25",'Таблиця 1'!$J:$J,"C-13")+SUMIFS('Таблиця 1'!$K:$K,'Таблиця 1'!$B:$B,$A300,'Таблиця 1'!$I:$I,"Су-27",'Таблиця 1'!$J:$J,"C-13"))</f>
        <v/>
      </c>
      <c r="P300">
        <f>IF($A300="","",SUMIFS('Таблиця 1'!$K:$K,'Таблиця 1'!$B:$B,$A300,'Таблиця 1'!$I:$I,"Mirage",'Таблиця 1'!$J:$J,"MK-32")+SUMIFS('Таблиця 1'!$K:$K,'Таблиця 1'!$B:$B,$A300,'Таблиця 1'!$I:$I,"F-16",'Таблиця 1'!$J:$J,"MK-32")+SUMIFS('Таблиця 1'!$K:$K,'Таблиця 1'!$B:$B,$A300,'Таблиця 1'!$I:$I,"МіГ-29",'Таблиця 1'!$J:$J,"MK-32")+SUMIFS('Таблиця 1'!$K:$K,'Таблиця 1'!$B:$B,$A300,'Таблиця 1'!$I:$I,"Су-25",'Таблиця 1'!$J:$J,"MK-32")+SUMIFS('Таблиця 1'!$K:$K,'Таблиця 1'!$B:$B,$A300,'Таблиця 1'!$I:$I,"Су-27",'Таблиця 1'!$J:$J,"MK-32"))</f>
        <v/>
      </c>
      <c r="Q300">
        <f>IF($A300="","",SUMIFS('Таблиця 1'!$K:$K,'Таблиця 1'!$B:$B,$A300,'Таблиця 1'!$I:$I,"Mirage",'Таблиця 1'!$J:$J,"MK-24")+SUMIFS('Таблиця 1'!$K:$K,'Таблиця 1'!$B:$B,$A300,'Таблиця 1'!$I:$I,"F-16",'Таблиця 1'!$J:$J,"MK-24")+SUMIFS('Таблиця 1'!$K:$K,'Таблиця 1'!$B:$B,$A300,'Таблиця 1'!$I:$I,"МіГ-29",'Таблиця 1'!$J:$J,"MK-24")+SUMIFS('Таблиця 1'!$K:$K,'Таблиця 1'!$B:$B,$A300,'Таблиця 1'!$I:$I,"Су-25",'Таблиця 1'!$J:$J,"MK-24")+SUMIFS('Таблиця 1'!$K:$K,'Таблиця 1'!$B:$B,$A300,'Таблиця 1'!$I:$I,"Су-27",'Таблиця 1'!$J:$J,"MK-24"))</f>
        <v/>
      </c>
      <c r="R300">
        <f>IF($A300="","",COUNTIFS('Таблиця 1'!$B:$B,$A300,'Таблиця 1'!$I:$I,"Mirage",'Таблиця 1'!$L:$L,"Уражено")+COUNTIFS('Таблиця 1'!$B:$B,$A300,'Таблиця 1'!$I:$I,"F-16",'Таблиця 1'!$L:$L,"Уражено")+COUNTIFS('Таблиця 1'!$B:$B,$A300,'Таблиця 1'!$I:$I,"МіГ-29",'Таблиця 1'!$L:$L,"Уражено")+COUNTIFS('Таблиця 1'!$B:$B,$A300,'Таблиця 1'!$I:$I,"Су-25",'Таблиця 1'!$L:$L,"Уражено")+COUNTIFS('Таблиця 1'!$B:$B,$A300,'Таблиця 1'!$I:$I,"Су-27",'Таблиця 1'!$L:$L,"Уражено"))</f>
        <v/>
      </c>
      <c r="S300">
        <f>IF($A300="","",COUNTIFS('Таблиця 1'!$B:$B,$A300,'Таблиця 1'!$I:$I,"Mirage",'Таблиця 1'!$L:$L,"НЕ уражено")+COUNTIFS('Таблиця 1'!$B:$B,$A300,'Таблиця 1'!$I:$I,"F-16",'Таблиця 1'!$L:$L,"НЕ уражено")+COUNTIFS('Таблиця 1'!$B:$B,$A300,'Таблиця 1'!$I:$I,"МіГ-29",'Таблиця 1'!$L:$L,"НЕ уражено")+COUNTIFS('Таблиця 1'!$B:$B,$A300,'Таблиця 1'!$I:$I,"Су-25",'Таблиця 1'!$L:$L,"НЕ уражено")+COUNTIFS('Таблиця 1'!$B:$B,$A300,'Таблиця 1'!$I:$I,"Су-27",'Таблиця 1'!$L:$L,"НЕ уражено"))</f>
        <v/>
      </c>
      <c r="T300">
        <f>IF($A300="","",COUNTIFS('Таблиця 1'!$B:$B,$A300,'Таблиця 1'!$I:$I,"Mirage",'Таблиця 1'!$L:$L,"Дорозвідується")+COUNTIFS('Таблиця 1'!$B:$B,$A300,'Таблиця 1'!$I:$I,"F-16",'Таблиця 1'!$L:$L,"Дорозвідується")+COUNTIFS('Таблиця 1'!$B:$B,$A300,'Таблиця 1'!$I:$I,"МіГ-29",'Таблиця 1'!$L:$L,"Дорозвідується")+COUNTIFS('Таблиця 1'!$B:$B,$A300,'Таблиця 1'!$I:$I,"Су-25",'Таблиця 1'!$L:$L,"Дорозвідується")+COUNTIFS('Таблиця 1'!$B:$B,$A300,'Таблиця 1'!$I:$I,"Су-27",'Таблиця 1'!$L:$L,"Дорозвідується"))</f>
        <v/>
      </c>
    </row>
    <row r="301">
      <c r="A301" s="273">
        <f>IF(A300="","",IF(A300+1&gt;MAX('Таблиця 1'!$B:$B),"",A300+1))</f>
        <v/>
      </c>
      <c r="B301">
        <f>IF($A301="","",COUNTIFS('Таблиця 1'!$B:$B,$A301,'Таблиця 1'!$I:$I,"Mirage")+COUNTIFS('Таблиця 1'!$B:$B,$A301,'Таблиця 1'!$I:$I,"F-16")+COUNTIFS('Таблиця 1'!$B:$B,$A301,'Таблиця 1'!$I:$I,"МіГ-29")+COUNTIFS('Таблиця 1'!$B:$B,$A301,'Таблиця 1'!$I:$I,"Су-25")+COUNTIFS('Таблиця 1'!$B:$B,$A301,'Таблиця 1'!$I:$I,"Су-27"))</f>
        <v/>
      </c>
      <c r="C301">
        <f>IF($A301="","",COUNTIFS('Таблиця 1'!$B:$B,$A301,'Таблиця 1'!$I:$I,"Mirage"))</f>
        <v/>
      </c>
      <c r="D301">
        <f>IF($A301="","",COUNTIFS('Таблиця 1'!$B:$B,$A301,'Таблиця 1'!$I:$I,"F-16"))</f>
        <v/>
      </c>
      <c r="E301">
        <f>IF($A301="","",COUNTIFS('Таблиця 1'!$B:$B,$A301,'Таблиця 1'!$I:$I,"МіГ-29"))</f>
        <v/>
      </c>
      <c r="F301">
        <f>IF($A301="","",COUNTIFS('Таблиця 1'!$B:$B,$A301,'Таблиця 1'!$I:$I,"Су-25"))</f>
        <v/>
      </c>
      <c r="G301">
        <f>IF($A301="","",COUNTIFS('Таблиця 1'!$B:$B,$A301,'Таблиця 1'!$I:$I,"Су-27"))</f>
        <v/>
      </c>
      <c r="H301">
        <f>IF($A301="","",SUMIFS('Таблиця 1'!$K:$K,'Таблиця 1'!$B:$B,$A301,'Таблиця 1'!$I:$I,"Mirage",'Таблиця 1'!$J:$J,"AGM-88")+SUMIFS('Таблиця 1'!$K:$K,'Таблиця 1'!$B:$B,$A301,'Таблиця 1'!$I:$I,"F-16",'Таблиця 1'!$J:$J,"AGM-88")+SUMIFS('Таблиця 1'!$K:$K,'Таблиця 1'!$B:$B,$A301,'Таблиця 1'!$I:$I,"МіГ-29",'Таблиця 1'!$J:$J,"AGM-88")+SUMIFS('Таблиця 1'!$K:$K,'Таблиця 1'!$B:$B,$A301,'Таблиця 1'!$I:$I,"Су-25",'Таблиця 1'!$J:$J,"AGM-88")+SUMIFS('Таблиця 1'!$K:$K,'Таблиця 1'!$B:$B,$A301,'Таблиця 1'!$I:$I,"Су-27",'Таблиця 1'!$J:$J,"AGM-88"))</f>
        <v/>
      </c>
      <c r="I301">
        <f>IF($A301="","",SUMIFS('Таблиця 1'!$K:$K,'Таблиця 1'!$B:$B,$A301,'Таблиця 1'!$I:$I,"Mirage",'Таблиця 1'!$J:$J,"AASM-250")+SUMIFS('Таблиця 1'!$K:$K,'Таблиця 1'!$B:$B,$A301,'Таблиця 1'!$I:$I,"F-16",'Таблиця 1'!$J:$J,"AASM-250")+SUMIFS('Таблиця 1'!$K:$K,'Таблиця 1'!$B:$B,$A301,'Таблиця 1'!$I:$I,"МіГ-29",'Таблиця 1'!$J:$J,"AASM-250")+SUMIFS('Таблиця 1'!$K:$K,'Таблиця 1'!$B:$B,$A301,'Таблиця 1'!$I:$I,"Су-25",'Таблиця 1'!$J:$J,"AASM-250")+SUMIFS('Таблиця 1'!$K:$K,'Таблиця 1'!$B:$B,$A301,'Таблиця 1'!$I:$I,"Су-27",'Таблиця 1'!$J:$J,"AASM-250"))</f>
        <v/>
      </c>
      <c r="J301">
        <f>IF($A301="","",SUMIFS('Таблиця 1'!$K:$K,'Таблиця 1'!$B:$B,$A301,'Таблиця 1'!$I:$I,"Mirage",'Таблиця 1'!$J:$J,"GBU-39")+SUMIFS('Таблиця 1'!$K:$K,'Таблиця 1'!$B:$B,$A301,'Таблиця 1'!$I:$I,"F-16",'Таблиця 1'!$J:$J,"GBU-39")+SUMIFS('Таблиця 1'!$K:$K,'Таблиця 1'!$B:$B,$A301,'Таблиця 1'!$I:$I,"МіГ-29",'Таблиця 1'!$J:$J,"GBU-39")+SUMIFS('Таблиця 1'!$K:$K,'Таблиця 1'!$B:$B,$A301,'Таблиця 1'!$I:$I,"Су-25",'Таблиця 1'!$J:$J,"GBU-39")+SUMIFS('Таблиця 1'!$K:$K,'Таблиця 1'!$B:$B,$A301,'Таблиця 1'!$I:$I,"Су-27",'Таблиця 1'!$J:$J,"GBU-39"))</f>
        <v/>
      </c>
      <c r="K301">
        <f>IF($A301="","",SUMIFS('Таблиця 1'!$K:$K,'Таблиця 1'!$B:$B,$A301,'Таблиця 1'!$I:$I,"Mirage",'Таблиця 1'!$J:$J,"BLU-140")+SUMIFS('Таблиця 1'!$K:$K,'Таблиця 1'!$B:$B,$A301,'Таблиця 1'!$I:$I,"F-16",'Таблиця 1'!$J:$J,"BLU-140")+SUMIFS('Таблиця 1'!$K:$K,'Таблиця 1'!$B:$B,$A301,'Таблиця 1'!$I:$I,"МіГ-29",'Таблиця 1'!$J:$J,"BLU-140")+SUMIFS('Таблиця 1'!$K:$K,'Таблиця 1'!$B:$B,$A301,'Таблиця 1'!$I:$I,"Су-25",'Таблиця 1'!$J:$J,"BLU-140")+SUMIFS('Таблиця 1'!$K:$K,'Таблиця 1'!$B:$B,$A301,'Таблиця 1'!$I:$I,"Су-27",'Таблиця 1'!$J:$J,"BLU-140"))</f>
        <v/>
      </c>
      <c r="L301">
        <f>IF($A301="","",SUMIFS('Таблиця 1'!$K:$K,'Таблиця 1'!$B:$B,$A301,'Таблиця 1'!$I:$I,"Mirage",'Таблиця 1'!$J:$J,"GBU-65")+SUMIFS('Таблиця 1'!$K:$K,'Таблиця 1'!$B:$B,$A301,'Таблиця 1'!$I:$I,"F-16",'Таблиця 1'!$J:$J,"GBU-65")+SUMIFS('Таблиця 1'!$K:$K,'Таблиця 1'!$B:$B,$A301,'Таблиця 1'!$I:$I,"МіГ-29",'Таблиця 1'!$J:$J,"GBU-65")+SUMIFS('Таблиця 1'!$K:$K,'Таблиця 1'!$B:$B,$A301,'Таблиця 1'!$I:$I,"Су-25",'Таблиця 1'!$J:$J,"GBU-65")+SUMIFS('Таблиця 1'!$K:$K,'Таблиця 1'!$B:$B,$A301,'Таблиця 1'!$I:$I,"Су-27",'Таблиця 1'!$J:$J,"GBU-65"))</f>
        <v/>
      </c>
      <c r="M301">
        <f>IF($A301="","",SUMIFS('Таблиця 1'!$K:$K,'Таблиця 1'!$B:$B,$A301,'Таблиця 1'!$I:$I,"Mirage",'Таблиця 1'!$J:$J,"GBU-62")+SUMIFS('Таблиця 1'!$K:$K,'Таблиця 1'!$B:$B,$A301,'Таблиця 1'!$I:$I,"F-16",'Таблиця 1'!$J:$J,"GBU-62")+SUMIFS('Таблиця 1'!$K:$K,'Таблиця 1'!$B:$B,$A301,'Таблиця 1'!$I:$I,"МіГ-29",'Таблиця 1'!$J:$J,"GBU-62")+SUMIFS('Таблиця 1'!$K:$K,'Таблиця 1'!$B:$B,$A301,'Таблиця 1'!$I:$I,"Су-25",'Таблиця 1'!$J:$J,"GBU-62")+SUMIFS('Таблиця 1'!$K:$K,'Таблиця 1'!$B:$B,$A301,'Таблиця 1'!$I:$I,"Су-27",'Таблиця 1'!$J:$J,"GBU-62"))</f>
        <v/>
      </c>
      <c r="N301">
        <f>IF($A301="","",SUMIFS('Таблиця 1'!$K:$K,'Таблиця 1'!$B:$B,$A301,'Таблиця 1'!$I:$I,"Mirage",'Таблиця 1'!$J:$J,"GBU-64")+SUMIFS('Таблиця 1'!$K:$K,'Таблиця 1'!$B:$B,$A301,'Таблиця 1'!$I:$I,"F-16",'Таблиця 1'!$J:$J,"GBU-64")+SUMIFS('Таблиця 1'!$K:$K,'Таблиця 1'!$B:$B,$A301,'Таблиця 1'!$I:$I,"МіГ-29",'Таблиця 1'!$J:$J,"GBU-64")+SUMIFS('Таблиця 1'!$K:$K,'Таблиця 1'!$B:$B,$A301,'Таблиця 1'!$I:$I,"Су-25",'Таблиця 1'!$J:$J,"GBU-64")+SUMIFS('Таблиця 1'!$K:$K,'Таблиця 1'!$B:$B,$A301,'Таблиця 1'!$I:$I,"Су-27",'Таблиця 1'!$J:$J,"GBU-64"))</f>
        <v/>
      </c>
      <c r="O301">
        <f>IF($A301="","",SUMIFS('Таблиця 1'!$K:$K,'Таблиця 1'!$B:$B,$A301,'Таблиця 1'!$I:$I,"Mirage",'Таблиця 1'!$J:$J,"C-13")+SUMIFS('Таблиця 1'!$K:$K,'Таблиця 1'!$B:$B,$A301,'Таблиця 1'!$I:$I,"F-16",'Таблиця 1'!$J:$J,"C-13")+SUMIFS('Таблиця 1'!$K:$K,'Таблиця 1'!$B:$B,$A301,'Таблиця 1'!$I:$I,"МіГ-29",'Таблиця 1'!$J:$J,"C-13")+SUMIFS('Таблиця 1'!$K:$K,'Таблиця 1'!$B:$B,$A301,'Таблиця 1'!$I:$I,"Су-25",'Таблиця 1'!$J:$J,"C-13")+SUMIFS('Таблиця 1'!$K:$K,'Таблиця 1'!$B:$B,$A301,'Таблиця 1'!$I:$I,"Су-27",'Таблиця 1'!$J:$J,"C-13"))</f>
        <v/>
      </c>
      <c r="P301">
        <f>IF($A301="","",SUMIFS('Таблиця 1'!$K:$K,'Таблиця 1'!$B:$B,$A301,'Таблиця 1'!$I:$I,"Mirage",'Таблиця 1'!$J:$J,"MK-32")+SUMIFS('Таблиця 1'!$K:$K,'Таблиця 1'!$B:$B,$A301,'Таблиця 1'!$I:$I,"F-16",'Таблиця 1'!$J:$J,"MK-32")+SUMIFS('Таблиця 1'!$K:$K,'Таблиця 1'!$B:$B,$A301,'Таблиця 1'!$I:$I,"МіГ-29",'Таблиця 1'!$J:$J,"MK-32")+SUMIFS('Таблиця 1'!$K:$K,'Таблиця 1'!$B:$B,$A301,'Таблиця 1'!$I:$I,"Су-25",'Таблиця 1'!$J:$J,"MK-32")+SUMIFS('Таблиця 1'!$K:$K,'Таблиця 1'!$B:$B,$A301,'Таблиця 1'!$I:$I,"Су-27",'Таблиця 1'!$J:$J,"MK-32"))</f>
        <v/>
      </c>
      <c r="Q301">
        <f>IF($A301="","",SUMIFS('Таблиця 1'!$K:$K,'Таблиця 1'!$B:$B,$A301,'Таблиця 1'!$I:$I,"Mirage",'Таблиця 1'!$J:$J,"MK-24")+SUMIFS('Таблиця 1'!$K:$K,'Таблиця 1'!$B:$B,$A301,'Таблиця 1'!$I:$I,"F-16",'Таблиця 1'!$J:$J,"MK-24")+SUMIFS('Таблиця 1'!$K:$K,'Таблиця 1'!$B:$B,$A301,'Таблиця 1'!$I:$I,"МіГ-29",'Таблиця 1'!$J:$J,"MK-24")+SUMIFS('Таблиця 1'!$K:$K,'Таблиця 1'!$B:$B,$A301,'Таблиця 1'!$I:$I,"Су-25",'Таблиця 1'!$J:$J,"MK-24")+SUMIFS('Таблиця 1'!$K:$K,'Таблиця 1'!$B:$B,$A301,'Таблиця 1'!$I:$I,"Су-27",'Таблиця 1'!$J:$J,"MK-24"))</f>
        <v/>
      </c>
      <c r="R301">
        <f>IF($A301="","",COUNTIFS('Таблиця 1'!$B:$B,$A301,'Таблиця 1'!$I:$I,"Mirage",'Таблиця 1'!$L:$L,"Уражено")+COUNTIFS('Таблиця 1'!$B:$B,$A301,'Таблиця 1'!$I:$I,"F-16",'Таблиця 1'!$L:$L,"Уражено")+COUNTIFS('Таблиця 1'!$B:$B,$A301,'Таблиця 1'!$I:$I,"МіГ-29",'Таблиця 1'!$L:$L,"Уражено")+COUNTIFS('Таблиця 1'!$B:$B,$A301,'Таблиця 1'!$I:$I,"Су-25",'Таблиця 1'!$L:$L,"Уражено")+COUNTIFS('Таблиця 1'!$B:$B,$A301,'Таблиця 1'!$I:$I,"Су-27",'Таблиця 1'!$L:$L,"Уражено"))</f>
        <v/>
      </c>
      <c r="S301">
        <f>IF($A301="","",COUNTIFS('Таблиця 1'!$B:$B,$A301,'Таблиця 1'!$I:$I,"Mirage",'Таблиця 1'!$L:$L,"НЕ уражено")+COUNTIFS('Таблиця 1'!$B:$B,$A301,'Таблиця 1'!$I:$I,"F-16",'Таблиця 1'!$L:$L,"НЕ уражено")+COUNTIFS('Таблиця 1'!$B:$B,$A301,'Таблиця 1'!$I:$I,"МіГ-29",'Таблиця 1'!$L:$L,"НЕ уражено")+COUNTIFS('Таблиця 1'!$B:$B,$A301,'Таблиця 1'!$I:$I,"Су-25",'Таблиця 1'!$L:$L,"НЕ уражено")+COUNTIFS('Таблиця 1'!$B:$B,$A301,'Таблиця 1'!$I:$I,"Су-27",'Таблиця 1'!$L:$L,"НЕ уражено"))</f>
        <v/>
      </c>
      <c r="T301">
        <f>IF($A301="","",COUNTIFS('Таблиця 1'!$B:$B,$A301,'Таблиця 1'!$I:$I,"Mirage",'Таблиця 1'!$L:$L,"Дорозвідується")+COUNTIFS('Таблиця 1'!$B:$B,$A301,'Таблиця 1'!$I:$I,"F-16",'Таблиця 1'!$L:$L,"Дорозвідується")+COUNTIFS('Таблиця 1'!$B:$B,$A301,'Таблиця 1'!$I:$I,"МіГ-29",'Таблиця 1'!$L:$L,"Дорозвідується")+COUNTIFS('Таблиця 1'!$B:$B,$A301,'Таблиця 1'!$I:$I,"Су-25",'Таблиця 1'!$L:$L,"Дорозвідується")+COUNTIFS('Таблиця 1'!$B:$B,$A301,'Таблиця 1'!$I:$I,"Су-27",'Таблиця 1'!$L:$L,"Дорозвідується"))</f>
        <v/>
      </c>
    </row>
    <row r="302">
      <c r="A302" s="273">
        <f>IF(A301="","",IF(A301+1&gt;MAX('Таблиця 1'!$B:$B),"",A301+1))</f>
        <v/>
      </c>
      <c r="B302">
        <f>IF($A302="","",COUNTIFS('Таблиця 1'!$B:$B,$A302,'Таблиця 1'!$I:$I,"Mirage")+COUNTIFS('Таблиця 1'!$B:$B,$A302,'Таблиця 1'!$I:$I,"F-16")+COUNTIFS('Таблиця 1'!$B:$B,$A302,'Таблиця 1'!$I:$I,"МіГ-29")+COUNTIFS('Таблиця 1'!$B:$B,$A302,'Таблиця 1'!$I:$I,"Су-25")+COUNTIFS('Таблиця 1'!$B:$B,$A302,'Таблиця 1'!$I:$I,"Су-27"))</f>
        <v/>
      </c>
      <c r="C302">
        <f>IF($A302="","",COUNTIFS('Таблиця 1'!$B:$B,$A302,'Таблиця 1'!$I:$I,"Mirage"))</f>
        <v/>
      </c>
      <c r="D302">
        <f>IF($A302="","",COUNTIFS('Таблиця 1'!$B:$B,$A302,'Таблиця 1'!$I:$I,"F-16"))</f>
        <v/>
      </c>
      <c r="E302">
        <f>IF($A302="","",COUNTIFS('Таблиця 1'!$B:$B,$A302,'Таблиця 1'!$I:$I,"МіГ-29"))</f>
        <v/>
      </c>
      <c r="F302">
        <f>IF($A302="","",COUNTIFS('Таблиця 1'!$B:$B,$A302,'Таблиця 1'!$I:$I,"Су-25"))</f>
        <v/>
      </c>
      <c r="G302">
        <f>IF($A302="","",COUNTIFS('Таблиця 1'!$B:$B,$A302,'Таблиця 1'!$I:$I,"Су-27"))</f>
        <v/>
      </c>
      <c r="H302">
        <f>IF($A302="","",SUMIFS('Таблиця 1'!$K:$K,'Таблиця 1'!$B:$B,$A302,'Таблиця 1'!$I:$I,"Mirage",'Таблиця 1'!$J:$J,"AGM-88")+SUMIFS('Таблиця 1'!$K:$K,'Таблиця 1'!$B:$B,$A302,'Таблиця 1'!$I:$I,"F-16",'Таблиця 1'!$J:$J,"AGM-88")+SUMIFS('Таблиця 1'!$K:$K,'Таблиця 1'!$B:$B,$A302,'Таблиця 1'!$I:$I,"МіГ-29",'Таблиця 1'!$J:$J,"AGM-88")+SUMIFS('Таблиця 1'!$K:$K,'Таблиця 1'!$B:$B,$A302,'Таблиця 1'!$I:$I,"Су-25",'Таблиця 1'!$J:$J,"AGM-88")+SUMIFS('Таблиця 1'!$K:$K,'Таблиця 1'!$B:$B,$A302,'Таблиця 1'!$I:$I,"Су-27",'Таблиця 1'!$J:$J,"AGM-88"))</f>
        <v/>
      </c>
      <c r="I302">
        <f>IF($A302="","",SUMIFS('Таблиця 1'!$K:$K,'Таблиця 1'!$B:$B,$A302,'Таблиця 1'!$I:$I,"Mirage",'Таблиця 1'!$J:$J,"AASM-250")+SUMIFS('Таблиця 1'!$K:$K,'Таблиця 1'!$B:$B,$A302,'Таблиця 1'!$I:$I,"F-16",'Таблиця 1'!$J:$J,"AASM-250")+SUMIFS('Таблиця 1'!$K:$K,'Таблиця 1'!$B:$B,$A302,'Таблиця 1'!$I:$I,"МіГ-29",'Таблиця 1'!$J:$J,"AASM-250")+SUMIFS('Таблиця 1'!$K:$K,'Таблиця 1'!$B:$B,$A302,'Таблиця 1'!$I:$I,"Су-25",'Таблиця 1'!$J:$J,"AASM-250")+SUMIFS('Таблиця 1'!$K:$K,'Таблиця 1'!$B:$B,$A302,'Таблиця 1'!$I:$I,"Су-27",'Таблиця 1'!$J:$J,"AASM-250"))</f>
        <v/>
      </c>
      <c r="J302">
        <f>IF($A302="","",SUMIFS('Таблиця 1'!$K:$K,'Таблиця 1'!$B:$B,$A302,'Таблиця 1'!$I:$I,"Mirage",'Таблиця 1'!$J:$J,"GBU-39")+SUMIFS('Таблиця 1'!$K:$K,'Таблиця 1'!$B:$B,$A302,'Таблиця 1'!$I:$I,"F-16",'Таблиця 1'!$J:$J,"GBU-39")+SUMIFS('Таблиця 1'!$K:$K,'Таблиця 1'!$B:$B,$A302,'Таблиця 1'!$I:$I,"МіГ-29",'Таблиця 1'!$J:$J,"GBU-39")+SUMIFS('Таблиця 1'!$K:$K,'Таблиця 1'!$B:$B,$A302,'Таблиця 1'!$I:$I,"Су-25",'Таблиця 1'!$J:$J,"GBU-39")+SUMIFS('Таблиця 1'!$K:$K,'Таблиця 1'!$B:$B,$A302,'Таблиця 1'!$I:$I,"Су-27",'Таблиця 1'!$J:$J,"GBU-39"))</f>
        <v/>
      </c>
      <c r="K302">
        <f>IF($A302="","",SUMIFS('Таблиця 1'!$K:$K,'Таблиця 1'!$B:$B,$A302,'Таблиця 1'!$I:$I,"Mirage",'Таблиця 1'!$J:$J,"BLU-140")+SUMIFS('Таблиця 1'!$K:$K,'Таблиця 1'!$B:$B,$A302,'Таблиця 1'!$I:$I,"F-16",'Таблиця 1'!$J:$J,"BLU-140")+SUMIFS('Таблиця 1'!$K:$K,'Таблиця 1'!$B:$B,$A302,'Таблиця 1'!$I:$I,"МіГ-29",'Таблиця 1'!$J:$J,"BLU-140")+SUMIFS('Таблиця 1'!$K:$K,'Таблиця 1'!$B:$B,$A302,'Таблиця 1'!$I:$I,"Су-25",'Таблиця 1'!$J:$J,"BLU-140")+SUMIFS('Таблиця 1'!$K:$K,'Таблиця 1'!$B:$B,$A302,'Таблиця 1'!$I:$I,"Су-27",'Таблиця 1'!$J:$J,"BLU-140"))</f>
        <v/>
      </c>
      <c r="L302">
        <f>IF($A302="","",SUMIFS('Таблиця 1'!$K:$K,'Таблиця 1'!$B:$B,$A302,'Таблиця 1'!$I:$I,"Mirage",'Таблиця 1'!$J:$J,"GBU-65")+SUMIFS('Таблиця 1'!$K:$K,'Таблиця 1'!$B:$B,$A302,'Таблиця 1'!$I:$I,"F-16",'Таблиця 1'!$J:$J,"GBU-65")+SUMIFS('Таблиця 1'!$K:$K,'Таблиця 1'!$B:$B,$A302,'Таблиця 1'!$I:$I,"МіГ-29",'Таблиця 1'!$J:$J,"GBU-65")+SUMIFS('Таблиця 1'!$K:$K,'Таблиця 1'!$B:$B,$A302,'Таблиця 1'!$I:$I,"Су-25",'Таблиця 1'!$J:$J,"GBU-65")+SUMIFS('Таблиця 1'!$K:$K,'Таблиця 1'!$B:$B,$A302,'Таблиця 1'!$I:$I,"Су-27",'Таблиця 1'!$J:$J,"GBU-65"))</f>
        <v/>
      </c>
      <c r="M302">
        <f>IF($A302="","",SUMIFS('Таблиця 1'!$K:$K,'Таблиця 1'!$B:$B,$A302,'Таблиця 1'!$I:$I,"Mirage",'Таблиця 1'!$J:$J,"GBU-62")+SUMIFS('Таблиця 1'!$K:$K,'Таблиця 1'!$B:$B,$A302,'Таблиця 1'!$I:$I,"F-16",'Таблиця 1'!$J:$J,"GBU-62")+SUMIFS('Таблиця 1'!$K:$K,'Таблиця 1'!$B:$B,$A302,'Таблиця 1'!$I:$I,"МіГ-29",'Таблиця 1'!$J:$J,"GBU-62")+SUMIFS('Таблиця 1'!$K:$K,'Таблиця 1'!$B:$B,$A302,'Таблиця 1'!$I:$I,"Су-25",'Таблиця 1'!$J:$J,"GBU-62")+SUMIFS('Таблиця 1'!$K:$K,'Таблиця 1'!$B:$B,$A302,'Таблиця 1'!$I:$I,"Су-27",'Таблиця 1'!$J:$J,"GBU-62"))</f>
        <v/>
      </c>
      <c r="N302">
        <f>IF($A302="","",SUMIFS('Таблиця 1'!$K:$K,'Таблиця 1'!$B:$B,$A302,'Таблиця 1'!$I:$I,"Mirage",'Таблиця 1'!$J:$J,"GBU-64")+SUMIFS('Таблиця 1'!$K:$K,'Таблиця 1'!$B:$B,$A302,'Таблиця 1'!$I:$I,"F-16",'Таблиця 1'!$J:$J,"GBU-64")+SUMIFS('Таблиця 1'!$K:$K,'Таблиця 1'!$B:$B,$A302,'Таблиця 1'!$I:$I,"МіГ-29",'Таблиця 1'!$J:$J,"GBU-64")+SUMIFS('Таблиця 1'!$K:$K,'Таблиця 1'!$B:$B,$A302,'Таблиця 1'!$I:$I,"Су-25",'Таблиця 1'!$J:$J,"GBU-64")+SUMIFS('Таблиця 1'!$K:$K,'Таблиця 1'!$B:$B,$A302,'Таблиця 1'!$I:$I,"Су-27",'Таблиця 1'!$J:$J,"GBU-64"))</f>
        <v/>
      </c>
      <c r="O302">
        <f>IF($A302="","",SUMIFS('Таблиця 1'!$K:$K,'Таблиця 1'!$B:$B,$A302,'Таблиця 1'!$I:$I,"Mirage",'Таблиця 1'!$J:$J,"C-13")+SUMIFS('Таблиця 1'!$K:$K,'Таблиця 1'!$B:$B,$A302,'Таблиця 1'!$I:$I,"F-16",'Таблиця 1'!$J:$J,"C-13")+SUMIFS('Таблиця 1'!$K:$K,'Таблиця 1'!$B:$B,$A302,'Таблиця 1'!$I:$I,"МіГ-29",'Таблиця 1'!$J:$J,"C-13")+SUMIFS('Таблиця 1'!$K:$K,'Таблиця 1'!$B:$B,$A302,'Таблиця 1'!$I:$I,"Су-25",'Таблиця 1'!$J:$J,"C-13")+SUMIFS('Таблиця 1'!$K:$K,'Таблиця 1'!$B:$B,$A302,'Таблиця 1'!$I:$I,"Су-27",'Таблиця 1'!$J:$J,"C-13"))</f>
        <v/>
      </c>
      <c r="P302">
        <f>IF($A302="","",SUMIFS('Таблиця 1'!$K:$K,'Таблиця 1'!$B:$B,$A302,'Таблиця 1'!$I:$I,"Mirage",'Таблиця 1'!$J:$J,"MK-32")+SUMIFS('Таблиця 1'!$K:$K,'Таблиця 1'!$B:$B,$A302,'Таблиця 1'!$I:$I,"F-16",'Таблиця 1'!$J:$J,"MK-32")+SUMIFS('Таблиця 1'!$K:$K,'Таблиця 1'!$B:$B,$A302,'Таблиця 1'!$I:$I,"МіГ-29",'Таблиця 1'!$J:$J,"MK-32")+SUMIFS('Таблиця 1'!$K:$K,'Таблиця 1'!$B:$B,$A302,'Таблиця 1'!$I:$I,"Су-25",'Таблиця 1'!$J:$J,"MK-32")+SUMIFS('Таблиця 1'!$K:$K,'Таблиця 1'!$B:$B,$A302,'Таблиця 1'!$I:$I,"Су-27",'Таблиця 1'!$J:$J,"MK-32"))</f>
        <v/>
      </c>
      <c r="Q302">
        <f>IF($A302="","",SUMIFS('Таблиця 1'!$K:$K,'Таблиця 1'!$B:$B,$A302,'Таблиця 1'!$I:$I,"Mirage",'Таблиця 1'!$J:$J,"MK-24")+SUMIFS('Таблиця 1'!$K:$K,'Таблиця 1'!$B:$B,$A302,'Таблиця 1'!$I:$I,"F-16",'Таблиця 1'!$J:$J,"MK-24")+SUMIFS('Таблиця 1'!$K:$K,'Таблиця 1'!$B:$B,$A302,'Таблиця 1'!$I:$I,"МіГ-29",'Таблиця 1'!$J:$J,"MK-24")+SUMIFS('Таблиця 1'!$K:$K,'Таблиця 1'!$B:$B,$A302,'Таблиця 1'!$I:$I,"Су-25",'Таблиця 1'!$J:$J,"MK-24")+SUMIFS('Таблиця 1'!$K:$K,'Таблиця 1'!$B:$B,$A302,'Таблиця 1'!$I:$I,"Су-27",'Таблиця 1'!$J:$J,"MK-24"))</f>
        <v/>
      </c>
      <c r="R302">
        <f>IF($A302="","",COUNTIFS('Таблиця 1'!$B:$B,$A302,'Таблиця 1'!$I:$I,"Mirage",'Таблиця 1'!$L:$L,"Уражено")+COUNTIFS('Таблиця 1'!$B:$B,$A302,'Таблиця 1'!$I:$I,"F-16",'Таблиця 1'!$L:$L,"Уражено")+COUNTIFS('Таблиця 1'!$B:$B,$A302,'Таблиця 1'!$I:$I,"МіГ-29",'Таблиця 1'!$L:$L,"Уражено")+COUNTIFS('Таблиця 1'!$B:$B,$A302,'Таблиця 1'!$I:$I,"Су-25",'Таблиця 1'!$L:$L,"Уражено")+COUNTIFS('Таблиця 1'!$B:$B,$A302,'Таблиця 1'!$I:$I,"Су-27",'Таблиця 1'!$L:$L,"Уражено"))</f>
        <v/>
      </c>
      <c r="S302">
        <f>IF($A302="","",COUNTIFS('Таблиця 1'!$B:$B,$A302,'Таблиця 1'!$I:$I,"Mirage",'Таблиця 1'!$L:$L,"НЕ уражено")+COUNTIFS('Таблиця 1'!$B:$B,$A302,'Таблиця 1'!$I:$I,"F-16",'Таблиця 1'!$L:$L,"НЕ уражено")+COUNTIFS('Таблиця 1'!$B:$B,$A302,'Таблиця 1'!$I:$I,"МіГ-29",'Таблиця 1'!$L:$L,"НЕ уражено")+COUNTIFS('Таблиця 1'!$B:$B,$A302,'Таблиця 1'!$I:$I,"Су-25",'Таблиця 1'!$L:$L,"НЕ уражено")+COUNTIFS('Таблиця 1'!$B:$B,$A302,'Таблиця 1'!$I:$I,"Су-27",'Таблиця 1'!$L:$L,"НЕ уражено"))</f>
        <v/>
      </c>
      <c r="T302">
        <f>IF($A302="","",COUNTIFS('Таблиця 1'!$B:$B,$A302,'Таблиця 1'!$I:$I,"Mirage",'Таблиця 1'!$L:$L,"Дорозвідується")+COUNTIFS('Таблиця 1'!$B:$B,$A302,'Таблиця 1'!$I:$I,"F-16",'Таблиця 1'!$L:$L,"Дорозвідується")+COUNTIFS('Таблиця 1'!$B:$B,$A302,'Таблиця 1'!$I:$I,"МіГ-29",'Таблиця 1'!$L:$L,"Дорозвідується")+COUNTIFS('Таблиця 1'!$B:$B,$A302,'Таблиця 1'!$I:$I,"Су-25",'Таблиця 1'!$L:$L,"Дорозвідується")+COUNTIFS('Таблиця 1'!$B:$B,$A302,'Таблиця 1'!$I:$I,"Су-27",'Таблиця 1'!$L:$L,"Дорозвідується"))</f>
        <v/>
      </c>
    </row>
    <row r="303">
      <c r="A303" s="273">
        <f>IF(A302="","",IF(A302+1&gt;MAX('Таблиця 1'!$B:$B),"",A302+1))</f>
        <v/>
      </c>
      <c r="B303">
        <f>IF($A303="","",COUNTIFS('Таблиця 1'!$B:$B,$A303,'Таблиця 1'!$I:$I,"Mirage")+COUNTIFS('Таблиця 1'!$B:$B,$A303,'Таблиця 1'!$I:$I,"F-16")+COUNTIFS('Таблиця 1'!$B:$B,$A303,'Таблиця 1'!$I:$I,"МіГ-29")+COUNTIFS('Таблиця 1'!$B:$B,$A303,'Таблиця 1'!$I:$I,"Су-25")+COUNTIFS('Таблиця 1'!$B:$B,$A303,'Таблиця 1'!$I:$I,"Су-27"))</f>
        <v/>
      </c>
      <c r="C303">
        <f>IF($A303="","",COUNTIFS('Таблиця 1'!$B:$B,$A303,'Таблиця 1'!$I:$I,"Mirage"))</f>
        <v/>
      </c>
      <c r="D303">
        <f>IF($A303="","",COUNTIFS('Таблиця 1'!$B:$B,$A303,'Таблиця 1'!$I:$I,"F-16"))</f>
        <v/>
      </c>
      <c r="E303">
        <f>IF($A303="","",COUNTIFS('Таблиця 1'!$B:$B,$A303,'Таблиця 1'!$I:$I,"МіГ-29"))</f>
        <v/>
      </c>
      <c r="F303">
        <f>IF($A303="","",COUNTIFS('Таблиця 1'!$B:$B,$A303,'Таблиця 1'!$I:$I,"Су-25"))</f>
        <v/>
      </c>
      <c r="G303">
        <f>IF($A303="","",COUNTIFS('Таблиця 1'!$B:$B,$A303,'Таблиця 1'!$I:$I,"Су-27"))</f>
        <v/>
      </c>
      <c r="H303">
        <f>IF($A303="","",SUMIFS('Таблиця 1'!$K:$K,'Таблиця 1'!$B:$B,$A303,'Таблиця 1'!$I:$I,"Mirage",'Таблиця 1'!$J:$J,"AGM-88")+SUMIFS('Таблиця 1'!$K:$K,'Таблиця 1'!$B:$B,$A303,'Таблиця 1'!$I:$I,"F-16",'Таблиця 1'!$J:$J,"AGM-88")+SUMIFS('Таблиця 1'!$K:$K,'Таблиця 1'!$B:$B,$A303,'Таблиця 1'!$I:$I,"МіГ-29",'Таблиця 1'!$J:$J,"AGM-88")+SUMIFS('Таблиця 1'!$K:$K,'Таблиця 1'!$B:$B,$A303,'Таблиця 1'!$I:$I,"Су-25",'Таблиця 1'!$J:$J,"AGM-88")+SUMIFS('Таблиця 1'!$K:$K,'Таблиця 1'!$B:$B,$A303,'Таблиця 1'!$I:$I,"Су-27",'Таблиця 1'!$J:$J,"AGM-88"))</f>
        <v/>
      </c>
      <c r="I303">
        <f>IF($A303="","",SUMIFS('Таблиця 1'!$K:$K,'Таблиця 1'!$B:$B,$A303,'Таблиця 1'!$I:$I,"Mirage",'Таблиця 1'!$J:$J,"AASM-250")+SUMIFS('Таблиця 1'!$K:$K,'Таблиця 1'!$B:$B,$A303,'Таблиця 1'!$I:$I,"F-16",'Таблиця 1'!$J:$J,"AASM-250")+SUMIFS('Таблиця 1'!$K:$K,'Таблиця 1'!$B:$B,$A303,'Таблиця 1'!$I:$I,"МіГ-29",'Таблиця 1'!$J:$J,"AASM-250")+SUMIFS('Таблиця 1'!$K:$K,'Таблиця 1'!$B:$B,$A303,'Таблиця 1'!$I:$I,"Су-25",'Таблиця 1'!$J:$J,"AASM-250")+SUMIFS('Таблиця 1'!$K:$K,'Таблиця 1'!$B:$B,$A303,'Таблиця 1'!$I:$I,"Су-27",'Таблиця 1'!$J:$J,"AASM-250"))</f>
        <v/>
      </c>
      <c r="J303">
        <f>IF($A303="","",SUMIFS('Таблиця 1'!$K:$K,'Таблиця 1'!$B:$B,$A303,'Таблиця 1'!$I:$I,"Mirage",'Таблиця 1'!$J:$J,"GBU-39")+SUMIFS('Таблиця 1'!$K:$K,'Таблиця 1'!$B:$B,$A303,'Таблиця 1'!$I:$I,"F-16",'Таблиця 1'!$J:$J,"GBU-39")+SUMIFS('Таблиця 1'!$K:$K,'Таблиця 1'!$B:$B,$A303,'Таблиця 1'!$I:$I,"МіГ-29",'Таблиця 1'!$J:$J,"GBU-39")+SUMIFS('Таблиця 1'!$K:$K,'Таблиця 1'!$B:$B,$A303,'Таблиця 1'!$I:$I,"Су-25",'Таблиця 1'!$J:$J,"GBU-39")+SUMIFS('Таблиця 1'!$K:$K,'Таблиця 1'!$B:$B,$A303,'Таблиця 1'!$I:$I,"Су-27",'Таблиця 1'!$J:$J,"GBU-39"))</f>
        <v/>
      </c>
      <c r="K303">
        <f>IF($A303="","",SUMIFS('Таблиця 1'!$K:$K,'Таблиця 1'!$B:$B,$A303,'Таблиця 1'!$I:$I,"Mirage",'Таблиця 1'!$J:$J,"BLU-140")+SUMIFS('Таблиця 1'!$K:$K,'Таблиця 1'!$B:$B,$A303,'Таблиця 1'!$I:$I,"F-16",'Таблиця 1'!$J:$J,"BLU-140")+SUMIFS('Таблиця 1'!$K:$K,'Таблиця 1'!$B:$B,$A303,'Таблиця 1'!$I:$I,"МіГ-29",'Таблиця 1'!$J:$J,"BLU-140")+SUMIFS('Таблиця 1'!$K:$K,'Таблиця 1'!$B:$B,$A303,'Таблиця 1'!$I:$I,"Су-25",'Таблиця 1'!$J:$J,"BLU-140")+SUMIFS('Таблиця 1'!$K:$K,'Таблиця 1'!$B:$B,$A303,'Таблиця 1'!$I:$I,"Су-27",'Таблиця 1'!$J:$J,"BLU-140"))</f>
        <v/>
      </c>
      <c r="L303">
        <f>IF($A303="","",SUMIFS('Таблиця 1'!$K:$K,'Таблиця 1'!$B:$B,$A303,'Таблиця 1'!$I:$I,"Mirage",'Таблиця 1'!$J:$J,"GBU-65")+SUMIFS('Таблиця 1'!$K:$K,'Таблиця 1'!$B:$B,$A303,'Таблиця 1'!$I:$I,"F-16",'Таблиця 1'!$J:$J,"GBU-65")+SUMIFS('Таблиця 1'!$K:$K,'Таблиця 1'!$B:$B,$A303,'Таблиця 1'!$I:$I,"МіГ-29",'Таблиця 1'!$J:$J,"GBU-65")+SUMIFS('Таблиця 1'!$K:$K,'Таблиця 1'!$B:$B,$A303,'Таблиця 1'!$I:$I,"Су-25",'Таблиця 1'!$J:$J,"GBU-65")+SUMIFS('Таблиця 1'!$K:$K,'Таблиця 1'!$B:$B,$A303,'Таблиця 1'!$I:$I,"Су-27",'Таблиця 1'!$J:$J,"GBU-65"))</f>
        <v/>
      </c>
      <c r="M303">
        <f>IF($A303="","",SUMIFS('Таблиця 1'!$K:$K,'Таблиця 1'!$B:$B,$A303,'Таблиця 1'!$I:$I,"Mirage",'Таблиця 1'!$J:$J,"GBU-62")+SUMIFS('Таблиця 1'!$K:$K,'Таблиця 1'!$B:$B,$A303,'Таблиця 1'!$I:$I,"F-16",'Таблиця 1'!$J:$J,"GBU-62")+SUMIFS('Таблиця 1'!$K:$K,'Таблиця 1'!$B:$B,$A303,'Таблиця 1'!$I:$I,"МіГ-29",'Таблиця 1'!$J:$J,"GBU-62")+SUMIFS('Таблиця 1'!$K:$K,'Таблиця 1'!$B:$B,$A303,'Таблиця 1'!$I:$I,"Су-25",'Таблиця 1'!$J:$J,"GBU-62")+SUMIFS('Таблиця 1'!$K:$K,'Таблиця 1'!$B:$B,$A303,'Таблиця 1'!$I:$I,"Су-27",'Таблиця 1'!$J:$J,"GBU-62"))</f>
        <v/>
      </c>
      <c r="N303">
        <f>IF($A303="","",SUMIFS('Таблиця 1'!$K:$K,'Таблиця 1'!$B:$B,$A303,'Таблиця 1'!$I:$I,"Mirage",'Таблиця 1'!$J:$J,"GBU-64")+SUMIFS('Таблиця 1'!$K:$K,'Таблиця 1'!$B:$B,$A303,'Таблиця 1'!$I:$I,"F-16",'Таблиця 1'!$J:$J,"GBU-64")+SUMIFS('Таблиця 1'!$K:$K,'Таблиця 1'!$B:$B,$A303,'Таблиця 1'!$I:$I,"МіГ-29",'Таблиця 1'!$J:$J,"GBU-64")+SUMIFS('Таблиця 1'!$K:$K,'Таблиця 1'!$B:$B,$A303,'Таблиця 1'!$I:$I,"Су-25",'Таблиця 1'!$J:$J,"GBU-64")+SUMIFS('Таблиця 1'!$K:$K,'Таблиця 1'!$B:$B,$A303,'Таблиця 1'!$I:$I,"Су-27",'Таблиця 1'!$J:$J,"GBU-64"))</f>
        <v/>
      </c>
      <c r="O303">
        <f>IF($A303="","",SUMIFS('Таблиця 1'!$K:$K,'Таблиця 1'!$B:$B,$A303,'Таблиця 1'!$I:$I,"Mirage",'Таблиця 1'!$J:$J,"C-13")+SUMIFS('Таблиця 1'!$K:$K,'Таблиця 1'!$B:$B,$A303,'Таблиця 1'!$I:$I,"F-16",'Таблиця 1'!$J:$J,"C-13")+SUMIFS('Таблиця 1'!$K:$K,'Таблиця 1'!$B:$B,$A303,'Таблиця 1'!$I:$I,"МіГ-29",'Таблиця 1'!$J:$J,"C-13")+SUMIFS('Таблиця 1'!$K:$K,'Таблиця 1'!$B:$B,$A303,'Таблиця 1'!$I:$I,"Су-25",'Таблиця 1'!$J:$J,"C-13")+SUMIFS('Таблиця 1'!$K:$K,'Таблиця 1'!$B:$B,$A303,'Таблиця 1'!$I:$I,"Су-27",'Таблиця 1'!$J:$J,"C-13"))</f>
        <v/>
      </c>
      <c r="P303">
        <f>IF($A303="","",SUMIFS('Таблиця 1'!$K:$K,'Таблиця 1'!$B:$B,$A303,'Таблиця 1'!$I:$I,"Mirage",'Таблиця 1'!$J:$J,"MK-32")+SUMIFS('Таблиця 1'!$K:$K,'Таблиця 1'!$B:$B,$A303,'Таблиця 1'!$I:$I,"F-16",'Таблиця 1'!$J:$J,"MK-32")+SUMIFS('Таблиця 1'!$K:$K,'Таблиця 1'!$B:$B,$A303,'Таблиця 1'!$I:$I,"МіГ-29",'Таблиця 1'!$J:$J,"MK-32")+SUMIFS('Таблиця 1'!$K:$K,'Таблиця 1'!$B:$B,$A303,'Таблиця 1'!$I:$I,"Су-25",'Таблиця 1'!$J:$J,"MK-32")+SUMIFS('Таблиця 1'!$K:$K,'Таблиця 1'!$B:$B,$A303,'Таблиця 1'!$I:$I,"Су-27",'Таблиця 1'!$J:$J,"MK-32"))</f>
        <v/>
      </c>
      <c r="Q303">
        <f>IF($A303="","",SUMIFS('Таблиця 1'!$K:$K,'Таблиця 1'!$B:$B,$A303,'Таблиця 1'!$I:$I,"Mirage",'Таблиця 1'!$J:$J,"MK-24")+SUMIFS('Таблиця 1'!$K:$K,'Таблиця 1'!$B:$B,$A303,'Таблиця 1'!$I:$I,"F-16",'Таблиця 1'!$J:$J,"MK-24")+SUMIFS('Таблиця 1'!$K:$K,'Таблиця 1'!$B:$B,$A303,'Таблиця 1'!$I:$I,"МіГ-29",'Таблиця 1'!$J:$J,"MK-24")+SUMIFS('Таблиця 1'!$K:$K,'Таблиця 1'!$B:$B,$A303,'Таблиця 1'!$I:$I,"Су-25",'Таблиця 1'!$J:$J,"MK-24")+SUMIFS('Таблиця 1'!$K:$K,'Таблиця 1'!$B:$B,$A303,'Таблиця 1'!$I:$I,"Су-27",'Таблиця 1'!$J:$J,"MK-24"))</f>
        <v/>
      </c>
      <c r="R303">
        <f>IF($A303="","",COUNTIFS('Таблиця 1'!$B:$B,$A303,'Таблиця 1'!$I:$I,"Mirage",'Таблиця 1'!$L:$L,"Уражено")+COUNTIFS('Таблиця 1'!$B:$B,$A303,'Таблиця 1'!$I:$I,"F-16",'Таблиця 1'!$L:$L,"Уражено")+COUNTIFS('Таблиця 1'!$B:$B,$A303,'Таблиця 1'!$I:$I,"МіГ-29",'Таблиця 1'!$L:$L,"Уражено")+COUNTIFS('Таблиця 1'!$B:$B,$A303,'Таблиця 1'!$I:$I,"Су-25",'Таблиця 1'!$L:$L,"Уражено")+COUNTIFS('Таблиця 1'!$B:$B,$A303,'Таблиця 1'!$I:$I,"Су-27",'Таблиця 1'!$L:$L,"Уражено"))</f>
        <v/>
      </c>
      <c r="S303">
        <f>IF($A303="","",COUNTIFS('Таблиця 1'!$B:$B,$A303,'Таблиця 1'!$I:$I,"Mirage",'Таблиця 1'!$L:$L,"НЕ уражено")+COUNTIFS('Таблиця 1'!$B:$B,$A303,'Таблиця 1'!$I:$I,"F-16",'Таблиця 1'!$L:$L,"НЕ уражено")+COUNTIFS('Таблиця 1'!$B:$B,$A303,'Таблиця 1'!$I:$I,"МіГ-29",'Таблиця 1'!$L:$L,"НЕ уражено")+COUNTIFS('Таблиця 1'!$B:$B,$A303,'Таблиця 1'!$I:$I,"Су-25",'Таблиця 1'!$L:$L,"НЕ уражено")+COUNTIFS('Таблиця 1'!$B:$B,$A303,'Таблиця 1'!$I:$I,"Су-27",'Таблиця 1'!$L:$L,"НЕ уражено"))</f>
        <v/>
      </c>
      <c r="T303">
        <f>IF($A303="","",COUNTIFS('Таблиця 1'!$B:$B,$A303,'Таблиця 1'!$I:$I,"Mirage",'Таблиця 1'!$L:$L,"Дорозвідується")+COUNTIFS('Таблиця 1'!$B:$B,$A303,'Таблиця 1'!$I:$I,"F-16",'Таблиця 1'!$L:$L,"Дорозвідується")+COUNTIFS('Таблиця 1'!$B:$B,$A303,'Таблиця 1'!$I:$I,"МіГ-29",'Таблиця 1'!$L:$L,"Дорозвідується")+COUNTIFS('Таблиця 1'!$B:$B,$A303,'Таблиця 1'!$I:$I,"Су-25",'Таблиця 1'!$L:$L,"Дорозвідується")+COUNTIFS('Таблиця 1'!$B:$B,$A303,'Таблиця 1'!$I:$I,"Су-27",'Таблиця 1'!$L:$L,"Дорозвідується"))</f>
        <v/>
      </c>
    </row>
    <row r="304">
      <c r="A304" s="273">
        <f>IF(A303="","",IF(A303+1&gt;MAX('Таблиця 1'!$B:$B),"",A303+1))</f>
        <v/>
      </c>
      <c r="B304">
        <f>IF($A304="","",COUNTIFS('Таблиця 1'!$B:$B,$A304,'Таблиця 1'!$I:$I,"Mirage")+COUNTIFS('Таблиця 1'!$B:$B,$A304,'Таблиця 1'!$I:$I,"F-16")+COUNTIFS('Таблиця 1'!$B:$B,$A304,'Таблиця 1'!$I:$I,"МіГ-29")+COUNTIFS('Таблиця 1'!$B:$B,$A304,'Таблиця 1'!$I:$I,"Су-25")+COUNTIFS('Таблиця 1'!$B:$B,$A304,'Таблиця 1'!$I:$I,"Су-27"))</f>
        <v/>
      </c>
      <c r="C304">
        <f>IF($A304="","",COUNTIFS('Таблиця 1'!$B:$B,$A304,'Таблиця 1'!$I:$I,"Mirage"))</f>
        <v/>
      </c>
      <c r="D304">
        <f>IF($A304="","",COUNTIFS('Таблиця 1'!$B:$B,$A304,'Таблиця 1'!$I:$I,"F-16"))</f>
        <v/>
      </c>
      <c r="E304">
        <f>IF($A304="","",COUNTIFS('Таблиця 1'!$B:$B,$A304,'Таблиця 1'!$I:$I,"МіГ-29"))</f>
        <v/>
      </c>
      <c r="F304">
        <f>IF($A304="","",COUNTIFS('Таблиця 1'!$B:$B,$A304,'Таблиця 1'!$I:$I,"Су-25"))</f>
        <v/>
      </c>
      <c r="G304">
        <f>IF($A304="","",COUNTIFS('Таблиця 1'!$B:$B,$A304,'Таблиця 1'!$I:$I,"Су-27"))</f>
        <v/>
      </c>
      <c r="H304">
        <f>IF($A304="","",SUMIFS('Таблиця 1'!$K:$K,'Таблиця 1'!$B:$B,$A304,'Таблиця 1'!$I:$I,"Mirage",'Таблиця 1'!$J:$J,"AGM-88")+SUMIFS('Таблиця 1'!$K:$K,'Таблиця 1'!$B:$B,$A304,'Таблиця 1'!$I:$I,"F-16",'Таблиця 1'!$J:$J,"AGM-88")+SUMIFS('Таблиця 1'!$K:$K,'Таблиця 1'!$B:$B,$A304,'Таблиця 1'!$I:$I,"МіГ-29",'Таблиця 1'!$J:$J,"AGM-88")+SUMIFS('Таблиця 1'!$K:$K,'Таблиця 1'!$B:$B,$A304,'Таблиця 1'!$I:$I,"Су-25",'Таблиця 1'!$J:$J,"AGM-88")+SUMIFS('Таблиця 1'!$K:$K,'Таблиця 1'!$B:$B,$A304,'Таблиця 1'!$I:$I,"Су-27",'Таблиця 1'!$J:$J,"AGM-88"))</f>
        <v/>
      </c>
      <c r="I304">
        <f>IF($A304="","",SUMIFS('Таблиця 1'!$K:$K,'Таблиця 1'!$B:$B,$A304,'Таблиця 1'!$I:$I,"Mirage",'Таблиця 1'!$J:$J,"AASM-250")+SUMIFS('Таблиця 1'!$K:$K,'Таблиця 1'!$B:$B,$A304,'Таблиця 1'!$I:$I,"F-16",'Таблиця 1'!$J:$J,"AASM-250")+SUMIFS('Таблиця 1'!$K:$K,'Таблиця 1'!$B:$B,$A304,'Таблиця 1'!$I:$I,"МіГ-29",'Таблиця 1'!$J:$J,"AASM-250")+SUMIFS('Таблиця 1'!$K:$K,'Таблиця 1'!$B:$B,$A304,'Таблиця 1'!$I:$I,"Су-25",'Таблиця 1'!$J:$J,"AASM-250")+SUMIFS('Таблиця 1'!$K:$K,'Таблиця 1'!$B:$B,$A304,'Таблиця 1'!$I:$I,"Су-27",'Таблиця 1'!$J:$J,"AASM-250"))</f>
        <v/>
      </c>
      <c r="J304">
        <f>IF($A304="","",SUMIFS('Таблиця 1'!$K:$K,'Таблиця 1'!$B:$B,$A304,'Таблиця 1'!$I:$I,"Mirage",'Таблиця 1'!$J:$J,"GBU-39")+SUMIFS('Таблиця 1'!$K:$K,'Таблиця 1'!$B:$B,$A304,'Таблиця 1'!$I:$I,"F-16",'Таблиця 1'!$J:$J,"GBU-39")+SUMIFS('Таблиця 1'!$K:$K,'Таблиця 1'!$B:$B,$A304,'Таблиця 1'!$I:$I,"МіГ-29",'Таблиця 1'!$J:$J,"GBU-39")+SUMIFS('Таблиця 1'!$K:$K,'Таблиця 1'!$B:$B,$A304,'Таблиця 1'!$I:$I,"Су-25",'Таблиця 1'!$J:$J,"GBU-39")+SUMIFS('Таблиця 1'!$K:$K,'Таблиця 1'!$B:$B,$A304,'Таблиця 1'!$I:$I,"Су-27",'Таблиця 1'!$J:$J,"GBU-39"))</f>
        <v/>
      </c>
      <c r="K304">
        <f>IF($A304="","",SUMIFS('Таблиця 1'!$K:$K,'Таблиця 1'!$B:$B,$A304,'Таблиця 1'!$I:$I,"Mirage",'Таблиця 1'!$J:$J,"BLU-140")+SUMIFS('Таблиця 1'!$K:$K,'Таблиця 1'!$B:$B,$A304,'Таблиця 1'!$I:$I,"F-16",'Таблиця 1'!$J:$J,"BLU-140")+SUMIFS('Таблиця 1'!$K:$K,'Таблиця 1'!$B:$B,$A304,'Таблиця 1'!$I:$I,"МіГ-29",'Таблиця 1'!$J:$J,"BLU-140")+SUMIFS('Таблиця 1'!$K:$K,'Таблиця 1'!$B:$B,$A304,'Таблиця 1'!$I:$I,"Су-25",'Таблиця 1'!$J:$J,"BLU-140")+SUMIFS('Таблиця 1'!$K:$K,'Таблиця 1'!$B:$B,$A304,'Таблиця 1'!$I:$I,"Су-27",'Таблиця 1'!$J:$J,"BLU-140"))</f>
        <v/>
      </c>
      <c r="L304">
        <f>IF($A304="","",SUMIFS('Таблиця 1'!$K:$K,'Таблиця 1'!$B:$B,$A304,'Таблиця 1'!$I:$I,"Mirage",'Таблиця 1'!$J:$J,"GBU-65")+SUMIFS('Таблиця 1'!$K:$K,'Таблиця 1'!$B:$B,$A304,'Таблиця 1'!$I:$I,"F-16",'Таблиця 1'!$J:$J,"GBU-65")+SUMIFS('Таблиця 1'!$K:$K,'Таблиця 1'!$B:$B,$A304,'Таблиця 1'!$I:$I,"МіГ-29",'Таблиця 1'!$J:$J,"GBU-65")+SUMIFS('Таблиця 1'!$K:$K,'Таблиця 1'!$B:$B,$A304,'Таблиця 1'!$I:$I,"Су-25",'Таблиця 1'!$J:$J,"GBU-65")+SUMIFS('Таблиця 1'!$K:$K,'Таблиця 1'!$B:$B,$A304,'Таблиця 1'!$I:$I,"Су-27",'Таблиця 1'!$J:$J,"GBU-65"))</f>
        <v/>
      </c>
      <c r="M304">
        <f>IF($A304="","",SUMIFS('Таблиця 1'!$K:$K,'Таблиця 1'!$B:$B,$A304,'Таблиця 1'!$I:$I,"Mirage",'Таблиця 1'!$J:$J,"GBU-62")+SUMIFS('Таблиця 1'!$K:$K,'Таблиця 1'!$B:$B,$A304,'Таблиця 1'!$I:$I,"F-16",'Таблиця 1'!$J:$J,"GBU-62")+SUMIFS('Таблиця 1'!$K:$K,'Таблиця 1'!$B:$B,$A304,'Таблиця 1'!$I:$I,"МіГ-29",'Таблиця 1'!$J:$J,"GBU-62")+SUMIFS('Таблиця 1'!$K:$K,'Таблиця 1'!$B:$B,$A304,'Таблиця 1'!$I:$I,"Су-25",'Таблиця 1'!$J:$J,"GBU-62")+SUMIFS('Таблиця 1'!$K:$K,'Таблиця 1'!$B:$B,$A304,'Таблиця 1'!$I:$I,"Су-27",'Таблиця 1'!$J:$J,"GBU-62"))</f>
        <v/>
      </c>
      <c r="N304">
        <f>IF($A304="","",SUMIFS('Таблиця 1'!$K:$K,'Таблиця 1'!$B:$B,$A304,'Таблиця 1'!$I:$I,"Mirage",'Таблиця 1'!$J:$J,"GBU-64")+SUMIFS('Таблиця 1'!$K:$K,'Таблиця 1'!$B:$B,$A304,'Таблиця 1'!$I:$I,"F-16",'Таблиця 1'!$J:$J,"GBU-64")+SUMIFS('Таблиця 1'!$K:$K,'Таблиця 1'!$B:$B,$A304,'Таблиця 1'!$I:$I,"МіГ-29",'Таблиця 1'!$J:$J,"GBU-64")+SUMIFS('Таблиця 1'!$K:$K,'Таблиця 1'!$B:$B,$A304,'Таблиця 1'!$I:$I,"Су-25",'Таблиця 1'!$J:$J,"GBU-64")+SUMIFS('Таблиця 1'!$K:$K,'Таблиця 1'!$B:$B,$A304,'Таблиця 1'!$I:$I,"Су-27",'Таблиця 1'!$J:$J,"GBU-64"))</f>
        <v/>
      </c>
      <c r="O304">
        <f>IF($A304="","",SUMIFS('Таблиця 1'!$K:$K,'Таблиця 1'!$B:$B,$A304,'Таблиця 1'!$I:$I,"Mirage",'Таблиця 1'!$J:$J,"C-13")+SUMIFS('Таблиця 1'!$K:$K,'Таблиця 1'!$B:$B,$A304,'Таблиця 1'!$I:$I,"F-16",'Таблиця 1'!$J:$J,"C-13")+SUMIFS('Таблиця 1'!$K:$K,'Таблиця 1'!$B:$B,$A304,'Таблиця 1'!$I:$I,"МіГ-29",'Таблиця 1'!$J:$J,"C-13")+SUMIFS('Таблиця 1'!$K:$K,'Таблиця 1'!$B:$B,$A304,'Таблиця 1'!$I:$I,"Су-25",'Таблиця 1'!$J:$J,"C-13")+SUMIFS('Таблиця 1'!$K:$K,'Таблиця 1'!$B:$B,$A304,'Таблиця 1'!$I:$I,"Су-27",'Таблиця 1'!$J:$J,"C-13"))</f>
        <v/>
      </c>
      <c r="P304">
        <f>IF($A304="","",SUMIFS('Таблиця 1'!$K:$K,'Таблиця 1'!$B:$B,$A304,'Таблиця 1'!$I:$I,"Mirage",'Таблиця 1'!$J:$J,"MK-32")+SUMIFS('Таблиця 1'!$K:$K,'Таблиця 1'!$B:$B,$A304,'Таблиця 1'!$I:$I,"F-16",'Таблиця 1'!$J:$J,"MK-32")+SUMIFS('Таблиця 1'!$K:$K,'Таблиця 1'!$B:$B,$A304,'Таблиця 1'!$I:$I,"МіГ-29",'Таблиця 1'!$J:$J,"MK-32")+SUMIFS('Таблиця 1'!$K:$K,'Таблиця 1'!$B:$B,$A304,'Таблиця 1'!$I:$I,"Су-25",'Таблиця 1'!$J:$J,"MK-32")+SUMIFS('Таблиця 1'!$K:$K,'Таблиця 1'!$B:$B,$A304,'Таблиця 1'!$I:$I,"Су-27",'Таблиця 1'!$J:$J,"MK-32"))</f>
        <v/>
      </c>
      <c r="Q304">
        <f>IF($A304="","",SUMIFS('Таблиця 1'!$K:$K,'Таблиця 1'!$B:$B,$A304,'Таблиця 1'!$I:$I,"Mirage",'Таблиця 1'!$J:$J,"MK-24")+SUMIFS('Таблиця 1'!$K:$K,'Таблиця 1'!$B:$B,$A304,'Таблиця 1'!$I:$I,"F-16",'Таблиця 1'!$J:$J,"MK-24")+SUMIFS('Таблиця 1'!$K:$K,'Таблиця 1'!$B:$B,$A304,'Таблиця 1'!$I:$I,"МіГ-29",'Таблиця 1'!$J:$J,"MK-24")+SUMIFS('Таблиця 1'!$K:$K,'Таблиця 1'!$B:$B,$A304,'Таблиця 1'!$I:$I,"Су-25",'Таблиця 1'!$J:$J,"MK-24")+SUMIFS('Таблиця 1'!$K:$K,'Таблиця 1'!$B:$B,$A304,'Таблиця 1'!$I:$I,"Су-27",'Таблиця 1'!$J:$J,"MK-24"))</f>
        <v/>
      </c>
      <c r="R304">
        <f>IF($A304="","",COUNTIFS('Таблиця 1'!$B:$B,$A304,'Таблиця 1'!$I:$I,"Mirage",'Таблиця 1'!$L:$L,"Уражено")+COUNTIFS('Таблиця 1'!$B:$B,$A304,'Таблиця 1'!$I:$I,"F-16",'Таблиця 1'!$L:$L,"Уражено")+COUNTIFS('Таблиця 1'!$B:$B,$A304,'Таблиця 1'!$I:$I,"МіГ-29",'Таблиця 1'!$L:$L,"Уражено")+COUNTIFS('Таблиця 1'!$B:$B,$A304,'Таблиця 1'!$I:$I,"Су-25",'Таблиця 1'!$L:$L,"Уражено")+COUNTIFS('Таблиця 1'!$B:$B,$A304,'Таблиця 1'!$I:$I,"Су-27",'Таблиця 1'!$L:$L,"Уражено"))</f>
        <v/>
      </c>
      <c r="S304">
        <f>IF($A304="","",COUNTIFS('Таблиця 1'!$B:$B,$A304,'Таблиця 1'!$I:$I,"Mirage",'Таблиця 1'!$L:$L,"НЕ уражено")+COUNTIFS('Таблиця 1'!$B:$B,$A304,'Таблиця 1'!$I:$I,"F-16",'Таблиця 1'!$L:$L,"НЕ уражено")+COUNTIFS('Таблиця 1'!$B:$B,$A304,'Таблиця 1'!$I:$I,"МіГ-29",'Таблиця 1'!$L:$L,"НЕ уражено")+COUNTIFS('Таблиця 1'!$B:$B,$A304,'Таблиця 1'!$I:$I,"Су-25",'Таблиця 1'!$L:$L,"НЕ уражено")+COUNTIFS('Таблиця 1'!$B:$B,$A304,'Таблиця 1'!$I:$I,"Су-27",'Таблиця 1'!$L:$L,"НЕ уражено"))</f>
        <v/>
      </c>
      <c r="T304">
        <f>IF($A304="","",COUNTIFS('Таблиця 1'!$B:$B,$A304,'Таблиця 1'!$I:$I,"Mirage",'Таблиця 1'!$L:$L,"Дорозвідується")+COUNTIFS('Таблиця 1'!$B:$B,$A304,'Таблиця 1'!$I:$I,"F-16",'Таблиця 1'!$L:$L,"Дорозвідується")+COUNTIFS('Таблиця 1'!$B:$B,$A304,'Таблиця 1'!$I:$I,"МіГ-29",'Таблиця 1'!$L:$L,"Дорозвідується")+COUNTIFS('Таблиця 1'!$B:$B,$A304,'Таблиця 1'!$I:$I,"Су-25",'Таблиця 1'!$L:$L,"Дорозвідується")+COUNTIFS('Таблиця 1'!$B:$B,$A304,'Таблиця 1'!$I:$I,"Су-27",'Таблиця 1'!$L:$L,"Дорозвідується"))</f>
        <v/>
      </c>
    </row>
    <row r="305">
      <c r="A305" s="273">
        <f>IF(A304="","",IF(A304+1&gt;MAX('Таблиця 1'!$B:$B),"",A304+1))</f>
        <v/>
      </c>
      <c r="B305">
        <f>IF($A305="","",COUNTIFS('Таблиця 1'!$B:$B,$A305,'Таблиця 1'!$I:$I,"Mirage")+COUNTIFS('Таблиця 1'!$B:$B,$A305,'Таблиця 1'!$I:$I,"F-16")+COUNTIFS('Таблиця 1'!$B:$B,$A305,'Таблиця 1'!$I:$I,"МіГ-29")+COUNTIFS('Таблиця 1'!$B:$B,$A305,'Таблиця 1'!$I:$I,"Су-25")+COUNTIFS('Таблиця 1'!$B:$B,$A305,'Таблиця 1'!$I:$I,"Су-27"))</f>
        <v/>
      </c>
      <c r="C305">
        <f>IF($A305="","",COUNTIFS('Таблиця 1'!$B:$B,$A305,'Таблиця 1'!$I:$I,"Mirage"))</f>
        <v/>
      </c>
      <c r="D305">
        <f>IF($A305="","",COUNTIFS('Таблиця 1'!$B:$B,$A305,'Таблиця 1'!$I:$I,"F-16"))</f>
        <v/>
      </c>
      <c r="E305">
        <f>IF($A305="","",COUNTIFS('Таблиця 1'!$B:$B,$A305,'Таблиця 1'!$I:$I,"МіГ-29"))</f>
        <v/>
      </c>
      <c r="F305">
        <f>IF($A305="","",COUNTIFS('Таблиця 1'!$B:$B,$A305,'Таблиця 1'!$I:$I,"Су-25"))</f>
        <v/>
      </c>
      <c r="G305">
        <f>IF($A305="","",COUNTIFS('Таблиця 1'!$B:$B,$A305,'Таблиця 1'!$I:$I,"Су-27"))</f>
        <v/>
      </c>
      <c r="H305">
        <f>IF($A305="","",SUMIFS('Таблиця 1'!$K:$K,'Таблиця 1'!$B:$B,$A305,'Таблиця 1'!$I:$I,"Mirage",'Таблиця 1'!$J:$J,"AGM-88")+SUMIFS('Таблиця 1'!$K:$K,'Таблиця 1'!$B:$B,$A305,'Таблиця 1'!$I:$I,"F-16",'Таблиця 1'!$J:$J,"AGM-88")+SUMIFS('Таблиця 1'!$K:$K,'Таблиця 1'!$B:$B,$A305,'Таблиця 1'!$I:$I,"МіГ-29",'Таблиця 1'!$J:$J,"AGM-88")+SUMIFS('Таблиця 1'!$K:$K,'Таблиця 1'!$B:$B,$A305,'Таблиця 1'!$I:$I,"Су-25",'Таблиця 1'!$J:$J,"AGM-88")+SUMIFS('Таблиця 1'!$K:$K,'Таблиця 1'!$B:$B,$A305,'Таблиця 1'!$I:$I,"Су-27",'Таблиця 1'!$J:$J,"AGM-88"))</f>
        <v/>
      </c>
      <c r="I305">
        <f>IF($A305="","",SUMIFS('Таблиця 1'!$K:$K,'Таблиця 1'!$B:$B,$A305,'Таблиця 1'!$I:$I,"Mirage",'Таблиця 1'!$J:$J,"AASM-250")+SUMIFS('Таблиця 1'!$K:$K,'Таблиця 1'!$B:$B,$A305,'Таблиця 1'!$I:$I,"F-16",'Таблиця 1'!$J:$J,"AASM-250")+SUMIFS('Таблиця 1'!$K:$K,'Таблиця 1'!$B:$B,$A305,'Таблиця 1'!$I:$I,"МіГ-29",'Таблиця 1'!$J:$J,"AASM-250")+SUMIFS('Таблиця 1'!$K:$K,'Таблиця 1'!$B:$B,$A305,'Таблиця 1'!$I:$I,"Су-25",'Таблиця 1'!$J:$J,"AASM-250")+SUMIFS('Таблиця 1'!$K:$K,'Таблиця 1'!$B:$B,$A305,'Таблиця 1'!$I:$I,"Су-27",'Таблиця 1'!$J:$J,"AASM-250"))</f>
        <v/>
      </c>
      <c r="J305">
        <f>IF($A305="","",SUMIFS('Таблиця 1'!$K:$K,'Таблиця 1'!$B:$B,$A305,'Таблиця 1'!$I:$I,"Mirage",'Таблиця 1'!$J:$J,"GBU-39")+SUMIFS('Таблиця 1'!$K:$K,'Таблиця 1'!$B:$B,$A305,'Таблиця 1'!$I:$I,"F-16",'Таблиця 1'!$J:$J,"GBU-39")+SUMIFS('Таблиця 1'!$K:$K,'Таблиця 1'!$B:$B,$A305,'Таблиця 1'!$I:$I,"МіГ-29",'Таблиця 1'!$J:$J,"GBU-39")+SUMIFS('Таблиця 1'!$K:$K,'Таблиця 1'!$B:$B,$A305,'Таблиця 1'!$I:$I,"Су-25",'Таблиця 1'!$J:$J,"GBU-39")+SUMIFS('Таблиця 1'!$K:$K,'Таблиця 1'!$B:$B,$A305,'Таблиця 1'!$I:$I,"Су-27",'Таблиця 1'!$J:$J,"GBU-39"))</f>
        <v/>
      </c>
      <c r="K305">
        <f>IF($A305="","",SUMIFS('Таблиця 1'!$K:$K,'Таблиця 1'!$B:$B,$A305,'Таблиця 1'!$I:$I,"Mirage",'Таблиця 1'!$J:$J,"BLU-140")+SUMIFS('Таблиця 1'!$K:$K,'Таблиця 1'!$B:$B,$A305,'Таблиця 1'!$I:$I,"F-16",'Таблиця 1'!$J:$J,"BLU-140")+SUMIFS('Таблиця 1'!$K:$K,'Таблиця 1'!$B:$B,$A305,'Таблиця 1'!$I:$I,"МіГ-29",'Таблиця 1'!$J:$J,"BLU-140")+SUMIFS('Таблиця 1'!$K:$K,'Таблиця 1'!$B:$B,$A305,'Таблиця 1'!$I:$I,"Су-25",'Таблиця 1'!$J:$J,"BLU-140")+SUMIFS('Таблиця 1'!$K:$K,'Таблиця 1'!$B:$B,$A305,'Таблиця 1'!$I:$I,"Су-27",'Таблиця 1'!$J:$J,"BLU-140"))</f>
        <v/>
      </c>
      <c r="L305">
        <f>IF($A305="","",SUMIFS('Таблиця 1'!$K:$K,'Таблиця 1'!$B:$B,$A305,'Таблиця 1'!$I:$I,"Mirage",'Таблиця 1'!$J:$J,"GBU-65")+SUMIFS('Таблиця 1'!$K:$K,'Таблиця 1'!$B:$B,$A305,'Таблиця 1'!$I:$I,"F-16",'Таблиця 1'!$J:$J,"GBU-65")+SUMIFS('Таблиця 1'!$K:$K,'Таблиця 1'!$B:$B,$A305,'Таблиця 1'!$I:$I,"МіГ-29",'Таблиця 1'!$J:$J,"GBU-65")+SUMIFS('Таблиця 1'!$K:$K,'Таблиця 1'!$B:$B,$A305,'Таблиця 1'!$I:$I,"Су-25",'Таблиця 1'!$J:$J,"GBU-65")+SUMIFS('Таблиця 1'!$K:$K,'Таблиця 1'!$B:$B,$A305,'Таблиця 1'!$I:$I,"Су-27",'Таблиця 1'!$J:$J,"GBU-65"))</f>
        <v/>
      </c>
      <c r="M305">
        <f>IF($A305="","",SUMIFS('Таблиця 1'!$K:$K,'Таблиця 1'!$B:$B,$A305,'Таблиця 1'!$I:$I,"Mirage",'Таблиця 1'!$J:$J,"GBU-62")+SUMIFS('Таблиця 1'!$K:$K,'Таблиця 1'!$B:$B,$A305,'Таблиця 1'!$I:$I,"F-16",'Таблиця 1'!$J:$J,"GBU-62")+SUMIFS('Таблиця 1'!$K:$K,'Таблиця 1'!$B:$B,$A305,'Таблиця 1'!$I:$I,"МіГ-29",'Таблиця 1'!$J:$J,"GBU-62")+SUMIFS('Таблиця 1'!$K:$K,'Таблиця 1'!$B:$B,$A305,'Таблиця 1'!$I:$I,"Су-25",'Таблиця 1'!$J:$J,"GBU-62")+SUMIFS('Таблиця 1'!$K:$K,'Таблиця 1'!$B:$B,$A305,'Таблиця 1'!$I:$I,"Су-27",'Таблиця 1'!$J:$J,"GBU-62"))</f>
        <v/>
      </c>
      <c r="N305">
        <f>IF($A305="","",SUMIFS('Таблиця 1'!$K:$K,'Таблиця 1'!$B:$B,$A305,'Таблиця 1'!$I:$I,"Mirage",'Таблиця 1'!$J:$J,"GBU-64")+SUMIFS('Таблиця 1'!$K:$K,'Таблиця 1'!$B:$B,$A305,'Таблиця 1'!$I:$I,"F-16",'Таблиця 1'!$J:$J,"GBU-64")+SUMIFS('Таблиця 1'!$K:$K,'Таблиця 1'!$B:$B,$A305,'Таблиця 1'!$I:$I,"МіГ-29",'Таблиця 1'!$J:$J,"GBU-64")+SUMIFS('Таблиця 1'!$K:$K,'Таблиця 1'!$B:$B,$A305,'Таблиця 1'!$I:$I,"Су-25",'Таблиця 1'!$J:$J,"GBU-64")+SUMIFS('Таблиця 1'!$K:$K,'Таблиця 1'!$B:$B,$A305,'Таблиця 1'!$I:$I,"Су-27",'Таблиця 1'!$J:$J,"GBU-64"))</f>
        <v/>
      </c>
      <c r="O305">
        <f>IF($A305="","",SUMIFS('Таблиця 1'!$K:$K,'Таблиця 1'!$B:$B,$A305,'Таблиця 1'!$I:$I,"Mirage",'Таблиця 1'!$J:$J,"C-13")+SUMIFS('Таблиця 1'!$K:$K,'Таблиця 1'!$B:$B,$A305,'Таблиця 1'!$I:$I,"F-16",'Таблиця 1'!$J:$J,"C-13")+SUMIFS('Таблиця 1'!$K:$K,'Таблиця 1'!$B:$B,$A305,'Таблиця 1'!$I:$I,"МіГ-29",'Таблиця 1'!$J:$J,"C-13")+SUMIFS('Таблиця 1'!$K:$K,'Таблиця 1'!$B:$B,$A305,'Таблиця 1'!$I:$I,"Су-25",'Таблиця 1'!$J:$J,"C-13")+SUMIFS('Таблиця 1'!$K:$K,'Таблиця 1'!$B:$B,$A305,'Таблиця 1'!$I:$I,"Су-27",'Таблиця 1'!$J:$J,"C-13"))</f>
        <v/>
      </c>
      <c r="P305">
        <f>IF($A305="","",SUMIFS('Таблиця 1'!$K:$K,'Таблиця 1'!$B:$B,$A305,'Таблиця 1'!$I:$I,"Mirage",'Таблиця 1'!$J:$J,"MK-32")+SUMIFS('Таблиця 1'!$K:$K,'Таблиця 1'!$B:$B,$A305,'Таблиця 1'!$I:$I,"F-16",'Таблиця 1'!$J:$J,"MK-32")+SUMIFS('Таблиця 1'!$K:$K,'Таблиця 1'!$B:$B,$A305,'Таблиця 1'!$I:$I,"МіГ-29",'Таблиця 1'!$J:$J,"MK-32")+SUMIFS('Таблиця 1'!$K:$K,'Таблиця 1'!$B:$B,$A305,'Таблиця 1'!$I:$I,"Су-25",'Таблиця 1'!$J:$J,"MK-32")+SUMIFS('Таблиця 1'!$K:$K,'Таблиця 1'!$B:$B,$A305,'Таблиця 1'!$I:$I,"Су-27",'Таблиця 1'!$J:$J,"MK-32"))</f>
        <v/>
      </c>
      <c r="Q305">
        <f>IF($A305="","",SUMIFS('Таблиця 1'!$K:$K,'Таблиця 1'!$B:$B,$A305,'Таблиця 1'!$I:$I,"Mirage",'Таблиця 1'!$J:$J,"MK-24")+SUMIFS('Таблиця 1'!$K:$K,'Таблиця 1'!$B:$B,$A305,'Таблиця 1'!$I:$I,"F-16",'Таблиця 1'!$J:$J,"MK-24")+SUMIFS('Таблиця 1'!$K:$K,'Таблиця 1'!$B:$B,$A305,'Таблиця 1'!$I:$I,"МіГ-29",'Таблиця 1'!$J:$J,"MK-24")+SUMIFS('Таблиця 1'!$K:$K,'Таблиця 1'!$B:$B,$A305,'Таблиця 1'!$I:$I,"Су-25",'Таблиця 1'!$J:$J,"MK-24")+SUMIFS('Таблиця 1'!$K:$K,'Таблиця 1'!$B:$B,$A305,'Таблиця 1'!$I:$I,"Су-27",'Таблиця 1'!$J:$J,"MK-24"))</f>
        <v/>
      </c>
      <c r="R305">
        <f>IF($A305="","",COUNTIFS('Таблиця 1'!$B:$B,$A305,'Таблиця 1'!$I:$I,"Mirage",'Таблиця 1'!$L:$L,"Уражено")+COUNTIFS('Таблиця 1'!$B:$B,$A305,'Таблиця 1'!$I:$I,"F-16",'Таблиця 1'!$L:$L,"Уражено")+COUNTIFS('Таблиця 1'!$B:$B,$A305,'Таблиця 1'!$I:$I,"МіГ-29",'Таблиця 1'!$L:$L,"Уражено")+COUNTIFS('Таблиця 1'!$B:$B,$A305,'Таблиця 1'!$I:$I,"Су-25",'Таблиця 1'!$L:$L,"Уражено")+COUNTIFS('Таблиця 1'!$B:$B,$A305,'Таблиця 1'!$I:$I,"Су-27",'Таблиця 1'!$L:$L,"Уражено"))</f>
        <v/>
      </c>
      <c r="S305">
        <f>IF($A305="","",COUNTIFS('Таблиця 1'!$B:$B,$A305,'Таблиця 1'!$I:$I,"Mirage",'Таблиця 1'!$L:$L,"НЕ уражено")+COUNTIFS('Таблиця 1'!$B:$B,$A305,'Таблиця 1'!$I:$I,"F-16",'Таблиця 1'!$L:$L,"НЕ уражено")+COUNTIFS('Таблиця 1'!$B:$B,$A305,'Таблиця 1'!$I:$I,"МіГ-29",'Таблиця 1'!$L:$L,"НЕ уражено")+COUNTIFS('Таблиця 1'!$B:$B,$A305,'Таблиця 1'!$I:$I,"Су-25",'Таблиця 1'!$L:$L,"НЕ уражено")+COUNTIFS('Таблиця 1'!$B:$B,$A305,'Таблиця 1'!$I:$I,"Су-27",'Таблиця 1'!$L:$L,"НЕ уражено"))</f>
        <v/>
      </c>
      <c r="T305">
        <f>IF($A305="","",COUNTIFS('Таблиця 1'!$B:$B,$A305,'Таблиця 1'!$I:$I,"Mirage",'Таблиця 1'!$L:$L,"Дорозвідується")+COUNTIFS('Таблиця 1'!$B:$B,$A305,'Таблиця 1'!$I:$I,"F-16",'Таблиця 1'!$L:$L,"Дорозвідується")+COUNTIFS('Таблиця 1'!$B:$B,$A305,'Таблиця 1'!$I:$I,"МіГ-29",'Таблиця 1'!$L:$L,"Дорозвідується")+COUNTIFS('Таблиця 1'!$B:$B,$A305,'Таблиця 1'!$I:$I,"Су-25",'Таблиця 1'!$L:$L,"Дорозвідується")+COUNTIFS('Таблиця 1'!$B:$B,$A305,'Таблиця 1'!$I:$I,"Су-27",'Таблиця 1'!$L:$L,"Дорозвідується"))</f>
        <v/>
      </c>
    </row>
    <row r="306">
      <c r="A306" s="273">
        <f>IF(A305="","",IF(A305+1&gt;MAX('Таблиця 1'!$B:$B),"",A305+1))</f>
        <v/>
      </c>
      <c r="B306">
        <f>IF($A306="","",COUNTIFS('Таблиця 1'!$B:$B,$A306,'Таблиця 1'!$I:$I,"Mirage")+COUNTIFS('Таблиця 1'!$B:$B,$A306,'Таблиця 1'!$I:$I,"F-16")+COUNTIFS('Таблиця 1'!$B:$B,$A306,'Таблиця 1'!$I:$I,"МіГ-29")+COUNTIFS('Таблиця 1'!$B:$B,$A306,'Таблиця 1'!$I:$I,"Су-25")+COUNTIFS('Таблиця 1'!$B:$B,$A306,'Таблиця 1'!$I:$I,"Су-27"))</f>
        <v/>
      </c>
      <c r="C306">
        <f>IF($A306="","",COUNTIFS('Таблиця 1'!$B:$B,$A306,'Таблиця 1'!$I:$I,"Mirage"))</f>
        <v/>
      </c>
      <c r="D306">
        <f>IF($A306="","",COUNTIFS('Таблиця 1'!$B:$B,$A306,'Таблиця 1'!$I:$I,"F-16"))</f>
        <v/>
      </c>
      <c r="E306">
        <f>IF($A306="","",COUNTIFS('Таблиця 1'!$B:$B,$A306,'Таблиця 1'!$I:$I,"МіГ-29"))</f>
        <v/>
      </c>
      <c r="F306">
        <f>IF($A306="","",COUNTIFS('Таблиця 1'!$B:$B,$A306,'Таблиця 1'!$I:$I,"Су-25"))</f>
        <v/>
      </c>
      <c r="G306">
        <f>IF($A306="","",COUNTIFS('Таблиця 1'!$B:$B,$A306,'Таблиця 1'!$I:$I,"Су-27"))</f>
        <v/>
      </c>
      <c r="H306">
        <f>IF($A306="","",SUMIFS('Таблиця 1'!$K:$K,'Таблиця 1'!$B:$B,$A306,'Таблиця 1'!$I:$I,"Mirage",'Таблиця 1'!$J:$J,"AGM-88")+SUMIFS('Таблиця 1'!$K:$K,'Таблиця 1'!$B:$B,$A306,'Таблиця 1'!$I:$I,"F-16",'Таблиця 1'!$J:$J,"AGM-88")+SUMIFS('Таблиця 1'!$K:$K,'Таблиця 1'!$B:$B,$A306,'Таблиця 1'!$I:$I,"МіГ-29",'Таблиця 1'!$J:$J,"AGM-88")+SUMIFS('Таблиця 1'!$K:$K,'Таблиця 1'!$B:$B,$A306,'Таблиця 1'!$I:$I,"Су-25",'Таблиця 1'!$J:$J,"AGM-88")+SUMIFS('Таблиця 1'!$K:$K,'Таблиця 1'!$B:$B,$A306,'Таблиця 1'!$I:$I,"Су-27",'Таблиця 1'!$J:$J,"AGM-88"))</f>
        <v/>
      </c>
      <c r="I306">
        <f>IF($A306="","",SUMIFS('Таблиця 1'!$K:$K,'Таблиця 1'!$B:$B,$A306,'Таблиця 1'!$I:$I,"Mirage",'Таблиця 1'!$J:$J,"AASM-250")+SUMIFS('Таблиця 1'!$K:$K,'Таблиця 1'!$B:$B,$A306,'Таблиця 1'!$I:$I,"F-16",'Таблиця 1'!$J:$J,"AASM-250")+SUMIFS('Таблиця 1'!$K:$K,'Таблиця 1'!$B:$B,$A306,'Таблиця 1'!$I:$I,"МіГ-29",'Таблиця 1'!$J:$J,"AASM-250")+SUMIFS('Таблиця 1'!$K:$K,'Таблиця 1'!$B:$B,$A306,'Таблиця 1'!$I:$I,"Су-25",'Таблиця 1'!$J:$J,"AASM-250")+SUMIFS('Таблиця 1'!$K:$K,'Таблиця 1'!$B:$B,$A306,'Таблиця 1'!$I:$I,"Су-27",'Таблиця 1'!$J:$J,"AASM-250"))</f>
        <v/>
      </c>
      <c r="J306">
        <f>IF($A306="","",SUMIFS('Таблиця 1'!$K:$K,'Таблиця 1'!$B:$B,$A306,'Таблиця 1'!$I:$I,"Mirage",'Таблиця 1'!$J:$J,"GBU-39")+SUMIFS('Таблиця 1'!$K:$K,'Таблиця 1'!$B:$B,$A306,'Таблиця 1'!$I:$I,"F-16",'Таблиця 1'!$J:$J,"GBU-39")+SUMIFS('Таблиця 1'!$K:$K,'Таблиця 1'!$B:$B,$A306,'Таблиця 1'!$I:$I,"МіГ-29",'Таблиця 1'!$J:$J,"GBU-39")+SUMIFS('Таблиця 1'!$K:$K,'Таблиця 1'!$B:$B,$A306,'Таблиця 1'!$I:$I,"Су-25",'Таблиця 1'!$J:$J,"GBU-39")+SUMIFS('Таблиця 1'!$K:$K,'Таблиця 1'!$B:$B,$A306,'Таблиця 1'!$I:$I,"Су-27",'Таблиця 1'!$J:$J,"GBU-39"))</f>
        <v/>
      </c>
      <c r="K306">
        <f>IF($A306="","",SUMIFS('Таблиця 1'!$K:$K,'Таблиця 1'!$B:$B,$A306,'Таблиця 1'!$I:$I,"Mirage",'Таблиця 1'!$J:$J,"BLU-140")+SUMIFS('Таблиця 1'!$K:$K,'Таблиця 1'!$B:$B,$A306,'Таблиця 1'!$I:$I,"F-16",'Таблиця 1'!$J:$J,"BLU-140")+SUMIFS('Таблиця 1'!$K:$K,'Таблиця 1'!$B:$B,$A306,'Таблиця 1'!$I:$I,"МіГ-29",'Таблиця 1'!$J:$J,"BLU-140")+SUMIFS('Таблиця 1'!$K:$K,'Таблиця 1'!$B:$B,$A306,'Таблиця 1'!$I:$I,"Су-25",'Таблиця 1'!$J:$J,"BLU-140")+SUMIFS('Таблиця 1'!$K:$K,'Таблиця 1'!$B:$B,$A306,'Таблиця 1'!$I:$I,"Су-27",'Таблиця 1'!$J:$J,"BLU-140"))</f>
        <v/>
      </c>
      <c r="L306">
        <f>IF($A306="","",SUMIFS('Таблиця 1'!$K:$K,'Таблиця 1'!$B:$B,$A306,'Таблиця 1'!$I:$I,"Mirage",'Таблиця 1'!$J:$J,"GBU-65")+SUMIFS('Таблиця 1'!$K:$K,'Таблиця 1'!$B:$B,$A306,'Таблиця 1'!$I:$I,"F-16",'Таблиця 1'!$J:$J,"GBU-65")+SUMIFS('Таблиця 1'!$K:$K,'Таблиця 1'!$B:$B,$A306,'Таблиця 1'!$I:$I,"МіГ-29",'Таблиця 1'!$J:$J,"GBU-65")+SUMIFS('Таблиця 1'!$K:$K,'Таблиця 1'!$B:$B,$A306,'Таблиця 1'!$I:$I,"Су-25",'Таблиця 1'!$J:$J,"GBU-65")+SUMIFS('Таблиця 1'!$K:$K,'Таблиця 1'!$B:$B,$A306,'Таблиця 1'!$I:$I,"Су-27",'Таблиця 1'!$J:$J,"GBU-65"))</f>
        <v/>
      </c>
      <c r="M306">
        <f>IF($A306="","",SUMIFS('Таблиця 1'!$K:$K,'Таблиця 1'!$B:$B,$A306,'Таблиця 1'!$I:$I,"Mirage",'Таблиця 1'!$J:$J,"GBU-62")+SUMIFS('Таблиця 1'!$K:$K,'Таблиця 1'!$B:$B,$A306,'Таблиця 1'!$I:$I,"F-16",'Таблиця 1'!$J:$J,"GBU-62")+SUMIFS('Таблиця 1'!$K:$K,'Таблиця 1'!$B:$B,$A306,'Таблиця 1'!$I:$I,"МіГ-29",'Таблиця 1'!$J:$J,"GBU-62")+SUMIFS('Таблиця 1'!$K:$K,'Таблиця 1'!$B:$B,$A306,'Таблиця 1'!$I:$I,"Су-25",'Таблиця 1'!$J:$J,"GBU-62")+SUMIFS('Таблиця 1'!$K:$K,'Таблиця 1'!$B:$B,$A306,'Таблиця 1'!$I:$I,"Су-27",'Таблиця 1'!$J:$J,"GBU-62"))</f>
        <v/>
      </c>
      <c r="N306">
        <f>IF($A306="","",SUMIFS('Таблиця 1'!$K:$K,'Таблиця 1'!$B:$B,$A306,'Таблиця 1'!$I:$I,"Mirage",'Таблиця 1'!$J:$J,"GBU-64")+SUMIFS('Таблиця 1'!$K:$K,'Таблиця 1'!$B:$B,$A306,'Таблиця 1'!$I:$I,"F-16",'Таблиця 1'!$J:$J,"GBU-64")+SUMIFS('Таблиця 1'!$K:$K,'Таблиця 1'!$B:$B,$A306,'Таблиця 1'!$I:$I,"МіГ-29",'Таблиця 1'!$J:$J,"GBU-64")+SUMIFS('Таблиця 1'!$K:$K,'Таблиця 1'!$B:$B,$A306,'Таблиця 1'!$I:$I,"Су-25",'Таблиця 1'!$J:$J,"GBU-64")+SUMIFS('Таблиця 1'!$K:$K,'Таблиця 1'!$B:$B,$A306,'Таблиця 1'!$I:$I,"Су-27",'Таблиця 1'!$J:$J,"GBU-64"))</f>
        <v/>
      </c>
      <c r="O306">
        <f>IF($A306="","",SUMIFS('Таблиця 1'!$K:$K,'Таблиця 1'!$B:$B,$A306,'Таблиця 1'!$I:$I,"Mirage",'Таблиця 1'!$J:$J,"C-13")+SUMIFS('Таблиця 1'!$K:$K,'Таблиця 1'!$B:$B,$A306,'Таблиця 1'!$I:$I,"F-16",'Таблиця 1'!$J:$J,"C-13")+SUMIFS('Таблиця 1'!$K:$K,'Таблиця 1'!$B:$B,$A306,'Таблиця 1'!$I:$I,"МіГ-29",'Таблиця 1'!$J:$J,"C-13")+SUMIFS('Таблиця 1'!$K:$K,'Таблиця 1'!$B:$B,$A306,'Таблиця 1'!$I:$I,"Су-25",'Таблиця 1'!$J:$J,"C-13")+SUMIFS('Таблиця 1'!$K:$K,'Таблиця 1'!$B:$B,$A306,'Таблиця 1'!$I:$I,"Су-27",'Таблиця 1'!$J:$J,"C-13"))</f>
        <v/>
      </c>
      <c r="P306">
        <f>IF($A306="","",SUMIFS('Таблиця 1'!$K:$K,'Таблиця 1'!$B:$B,$A306,'Таблиця 1'!$I:$I,"Mirage",'Таблиця 1'!$J:$J,"MK-32")+SUMIFS('Таблиця 1'!$K:$K,'Таблиця 1'!$B:$B,$A306,'Таблиця 1'!$I:$I,"F-16",'Таблиця 1'!$J:$J,"MK-32")+SUMIFS('Таблиця 1'!$K:$K,'Таблиця 1'!$B:$B,$A306,'Таблиця 1'!$I:$I,"МіГ-29",'Таблиця 1'!$J:$J,"MK-32")+SUMIFS('Таблиця 1'!$K:$K,'Таблиця 1'!$B:$B,$A306,'Таблиця 1'!$I:$I,"Су-25",'Таблиця 1'!$J:$J,"MK-32")+SUMIFS('Таблиця 1'!$K:$K,'Таблиця 1'!$B:$B,$A306,'Таблиця 1'!$I:$I,"Су-27",'Таблиця 1'!$J:$J,"MK-32"))</f>
        <v/>
      </c>
      <c r="Q306">
        <f>IF($A306="","",SUMIFS('Таблиця 1'!$K:$K,'Таблиця 1'!$B:$B,$A306,'Таблиця 1'!$I:$I,"Mirage",'Таблиця 1'!$J:$J,"MK-24")+SUMIFS('Таблиця 1'!$K:$K,'Таблиця 1'!$B:$B,$A306,'Таблиця 1'!$I:$I,"F-16",'Таблиця 1'!$J:$J,"MK-24")+SUMIFS('Таблиця 1'!$K:$K,'Таблиця 1'!$B:$B,$A306,'Таблиця 1'!$I:$I,"МіГ-29",'Таблиця 1'!$J:$J,"MK-24")+SUMIFS('Таблиця 1'!$K:$K,'Таблиця 1'!$B:$B,$A306,'Таблиця 1'!$I:$I,"Су-25",'Таблиця 1'!$J:$J,"MK-24")+SUMIFS('Таблиця 1'!$K:$K,'Таблиця 1'!$B:$B,$A306,'Таблиця 1'!$I:$I,"Су-27",'Таблиця 1'!$J:$J,"MK-24"))</f>
        <v/>
      </c>
      <c r="R306">
        <f>IF($A306="","",COUNTIFS('Таблиця 1'!$B:$B,$A306,'Таблиця 1'!$I:$I,"Mirage",'Таблиця 1'!$L:$L,"Уражено")+COUNTIFS('Таблиця 1'!$B:$B,$A306,'Таблиця 1'!$I:$I,"F-16",'Таблиця 1'!$L:$L,"Уражено")+COUNTIFS('Таблиця 1'!$B:$B,$A306,'Таблиця 1'!$I:$I,"МіГ-29",'Таблиця 1'!$L:$L,"Уражено")+COUNTIFS('Таблиця 1'!$B:$B,$A306,'Таблиця 1'!$I:$I,"Су-25",'Таблиця 1'!$L:$L,"Уражено")+COUNTIFS('Таблиця 1'!$B:$B,$A306,'Таблиця 1'!$I:$I,"Су-27",'Таблиця 1'!$L:$L,"Уражено"))</f>
        <v/>
      </c>
      <c r="S306">
        <f>IF($A306="","",COUNTIFS('Таблиця 1'!$B:$B,$A306,'Таблиця 1'!$I:$I,"Mirage",'Таблиця 1'!$L:$L,"НЕ уражено")+COUNTIFS('Таблиця 1'!$B:$B,$A306,'Таблиця 1'!$I:$I,"F-16",'Таблиця 1'!$L:$L,"НЕ уражено")+COUNTIFS('Таблиця 1'!$B:$B,$A306,'Таблиця 1'!$I:$I,"МіГ-29",'Таблиця 1'!$L:$L,"НЕ уражено")+COUNTIFS('Таблиця 1'!$B:$B,$A306,'Таблиця 1'!$I:$I,"Су-25",'Таблиця 1'!$L:$L,"НЕ уражено")+COUNTIFS('Таблиця 1'!$B:$B,$A306,'Таблиця 1'!$I:$I,"Су-27",'Таблиця 1'!$L:$L,"НЕ уражено"))</f>
        <v/>
      </c>
      <c r="T306">
        <f>IF($A306="","",COUNTIFS('Таблиця 1'!$B:$B,$A306,'Таблиця 1'!$I:$I,"Mirage",'Таблиця 1'!$L:$L,"Дорозвідується")+COUNTIFS('Таблиця 1'!$B:$B,$A306,'Таблиця 1'!$I:$I,"F-16",'Таблиця 1'!$L:$L,"Дорозвідується")+COUNTIFS('Таблиця 1'!$B:$B,$A306,'Таблиця 1'!$I:$I,"МіГ-29",'Таблиця 1'!$L:$L,"Дорозвідується")+COUNTIFS('Таблиця 1'!$B:$B,$A306,'Таблиця 1'!$I:$I,"Су-25",'Таблиця 1'!$L:$L,"Дорозвідується")+COUNTIFS('Таблиця 1'!$B:$B,$A306,'Таблиця 1'!$I:$I,"Су-27",'Таблиця 1'!$L:$L,"Дорозвідується"))</f>
        <v/>
      </c>
    </row>
    <row r="307">
      <c r="A307" s="273">
        <f>IF(A306="","",IF(A306+1&gt;MAX('Таблиця 1'!$B:$B),"",A306+1))</f>
        <v/>
      </c>
      <c r="B307">
        <f>IF($A307="","",COUNTIFS('Таблиця 1'!$B:$B,$A307,'Таблиця 1'!$I:$I,"Mirage")+COUNTIFS('Таблиця 1'!$B:$B,$A307,'Таблиця 1'!$I:$I,"F-16")+COUNTIFS('Таблиця 1'!$B:$B,$A307,'Таблиця 1'!$I:$I,"МіГ-29")+COUNTIFS('Таблиця 1'!$B:$B,$A307,'Таблиця 1'!$I:$I,"Су-25")+COUNTIFS('Таблиця 1'!$B:$B,$A307,'Таблиця 1'!$I:$I,"Су-27"))</f>
        <v/>
      </c>
      <c r="C307">
        <f>IF($A307="","",COUNTIFS('Таблиця 1'!$B:$B,$A307,'Таблиця 1'!$I:$I,"Mirage"))</f>
        <v/>
      </c>
      <c r="D307">
        <f>IF($A307="","",COUNTIFS('Таблиця 1'!$B:$B,$A307,'Таблиця 1'!$I:$I,"F-16"))</f>
        <v/>
      </c>
      <c r="E307">
        <f>IF($A307="","",COUNTIFS('Таблиця 1'!$B:$B,$A307,'Таблиця 1'!$I:$I,"МіГ-29"))</f>
        <v/>
      </c>
      <c r="F307">
        <f>IF($A307="","",COUNTIFS('Таблиця 1'!$B:$B,$A307,'Таблиця 1'!$I:$I,"Су-25"))</f>
        <v/>
      </c>
      <c r="G307">
        <f>IF($A307="","",COUNTIFS('Таблиця 1'!$B:$B,$A307,'Таблиця 1'!$I:$I,"Су-27"))</f>
        <v/>
      </c>
      <c r="H307">
        <f>IF($A307="","",SUMIFS('Таблиця 1'!$K:$K,'Таблиця 1'!$B:$B,$A307,'Таблиця 1'!$I:$I,"Mirage",'Таблиця 1'!$J:$J,"AGM-88")+SUMIFS('Таблиця 1'!$K:$K,'Таблиця 1'!$B:$B,$A307,'Таблиця 1'!$I:$I,"F-16",'Таблиця 1'!$J:$J,"AGM-88")+SUMIFS('Таблиця 1'!$K:$K,'Таблиця 1'!$B:$B,$A307,'Таблиця 1'!$I:$I,"МіГ-29",'Таблиця 1'!$J:$J,"AGM-88")+SUMIFS('Таблиця 1'!$K:$K,'Таблиця 1'!$B:$B,$A307,'Таблиця 1'!$I:$I,"Су-25",'Таблиця 1'!$J:$J,"AGM-88")+SUMIFS('Таблиця 1'!$K:$K,'Таблиця 1'!$B:$B,$A307,'Таблиця 1'!$I:$I,"Су-27",'Таблиця 1'!$J:$J,"AGM-88"))</f>
        <v/>
      </c>
      <c r="I307">
        <f>IF($A307="","",SUMIFS('Таблиця 1'!$K:$K,'Таблиця 1'!$B:$B,$A307,'Таблиця 1'!$I:$I,"Mirage",'Таблиця 1'!$J:$J,"AASM-250")+SUMIFS('Таблиця 1'!$K:$K,'Таблиця 1'!$B:$B,$A307,'Таблиця 1'!$I:$I,"F-16",'Таблиця 1'!$J:$J,"AASM-250")+SUMIFS('Таблиця 1'!$K:$K,'Таблиця 1'!$B:$B,$A307,'Таблиця 1'!$I:$I,"МіГ-29",'Таблиця 1'!$J:$J,"AASM-250")+SUMIFS('Таблиця 1'!$K:$K,'Таблиця 1'!$B:$B,$A307,'Таблиця 1'!$I:$I,"Су-25",'Таблиця 1'!$J:$J,"AASM-250")+SUMIFS('Таблиця 1'!$K:$K,'Таблиця 1'!$B:$B,$A307,'Таблиця 1'!$I:$I,"Су-27",'Таблиця 1'!$J:$J,"AASM-250"))</f>
        <v/>
      </c>
      <c r="J307">
        <f>IF($A307="","",SUMIFS('Таблиця 1'!$K:$K,'Таблиця 1'!$B:$B,$A307,'Таблиця 1'!$I:$I,"Mirage",'Таблиця 1'!$J:$J,"GBU-39")+SUMIFS('Таблиця 1'!$K:$K,'Таблиця 1'!$B:$B,$A307,'Таблиця 1'!$I:$I,"F-16",'Таблиця 1'!$J:$J,"GBU-39")+SUMIFS('Таблиця 1'!$K:$K,'Таблиця 1'!$B:$B,$A307,'Таблиця 1'!$I:$I,"МіГ-29",'Таблиця 1'!$J:$J,"GBU-39")+SUMIFS('Таблиця 1'!$K:$K,'Таблиця 1'!$B:$B,$A307,'Таблиця 1'!$I:$I,"Су-25",'Таблиця 1'!$J:$J,"GBU-39")+SUMIFS('Таблиця 1'!$K:$K,'Таблиця 1'!$B:$B,$A307,'Таблиця 1'!$I:$I,"Су-27",'Таблиця 1'!$J:$J,"GBU-39"))</f>
        <v/>
      </c>
      <c r="K307">
        <f>IF($A307="","",SUMIFS('Таблиця 1'!$K:$K,'Таблиця 1'!$B:$B,$A307,'Таблиця 1'!$I:$I,"Mirage",'Таблиця 1'!$J:$J,"BLU-140")+SUMIFS('Таблиця 1'!$K:$K,'Таблиця 1'!$B:$B,$A307,'Таблиця 1'!$I:$I,"F-16",'Таблиця 1'!$J:$J,"BLU-140")+SUMIFS('Таблиця 1'!$K:$K,'Таблиця 1'!$B:$B,$A307,'Таблиця 1'!$I:$I,"МіГ-29",'Таблиця 1'!$J:$J,"BLU-140")+SUMIFS('Таблиця 1'!$K:$K,'Таблиця 1'!$B:$B,$A307,'Таблиця 1'!$I:$I,"Су-25",'Таблиця 1'!$J:$J,"BLU-140")+SUMIFS('Таблиця 1'!$K:$K,'Таблиця 1'!$B:$B,$A307,'Таблиця 1'!$I:$I,"Су-27",'Таблиця 1'!$J:$J,"BLU-140"))</f>
        <v/>
      </c>
      <c r="L307">
        <f>IF($A307="","",SUMIFS('Таблиця 1'!$K:$K,'Таблиця 1'!$B:$B,$A307,'Таблиця 1'!$I:$I,"Mirage",'Таблиця 1'!$J:$J,"GBU-65")+SUMIFS('Таблиця 1'!$K:$K,'Таблиця 1'!$B:$B,$A307,'Таблиця 1'!$I:$I,"F-16",'Таблиця 1'!$J:$J,"GBU-65")+SUMIFS('Таблиця 1'!$K:$K,'Таблиця 1'!$B:$B,$A307,'Таблиця 1'!$I:$I,"МіГ-29",'Таблиця 1'!$J:$J,"GBU-65")+SUMIFS('Таблиця 1'!$K:$K,'Таблиця 1'!$B:$B,$A307,'Таблиця 1'!$I:$I,"Су-25",'Таблиця 1'!$J:$J,"GBU-65")+SUMIFS('Таблиця 1'!$K:$K,'Таблиця 1'!$B:$B,$A307,'Таблиця 1'!$I:$I,"Су-27",'Таблиця 1'!$J:$J,"GBU-65"))</f>
        <v/>
      </c>
      <c r="M307">
        <f>IF($A307="","",SUMIFS('Таблиця 1'!$K:$K,'Таблиця 1'!$B:$B,$A307,'Таблиця 1'!$I:$I,"Mirage",'Таблиця 1'!$J:$J,"GBU-62")+SUMIFS('Таблиця 1'!$K:$K,'Таблиця 1'!$B:$B,$A307,'Таблиця 1'!$I:$I,"F-16",'Таблиця 1'!$J:$J,"GBU-62")+SUMIFS('Таблиця 1'!$K:$K,'Таблиця 1'!$B:$B,$A307,'Таблиця 1'!$I:$I,"МіГ-29",'Таблиця 1'!$J:$J,"GBU-62")+SUMIFS('Таблиця 1'!$K:$K,'Таблиця 1'!$B:$B,$A307,'Таблиця 1'!$I:$I,"Су-25",'Таблиця 1'!$J:$J,"GBU-62")+SUMIFS('Таблиця 1'!$K:$K,'Таблиця 1'!$B:$B,$A307,'Таблиця 1'!$I:$I,"Су-27",'Таблиця 1'!$J:$J,"GBU-62"))</f>
        <v/>
      </c>
      <c r="N307">
        <f>IF($A307="","",SUMIFS('Таблиця 1'!$K:$K,'Таблиця 1'!$B:$B,$A307,'Таблиця 1'!$I:$I,"Mirage",'Таблиця 1'!$J:$J,"GBU-64")+SUMIFS('Таблиця 1'!$K:$K,'Таблиця 1'!$B:$B,$A307,'Таблиця 1'!$I:$I,"F-16",'Таблиця 1'!$J:$J,"GBU-64")+SUMIFS('Таблиця 1'!$K:$K,'Таблиця 1'!$B:$B,$A307,'Таблиця 1'!$I:$I,"МіГ-29",'Таблиця 1'!$J:$J,"GBU-64")+SUMIFS('Таблиця 1'!$K:$K,'Таблиця 1'!$B:$B,$A307,'Таблиця 1'!$I:$I,"Су-25",'Таблиця 1'!$J:$J,"GBU-64")+SUMIFS('Таблиця 1'!$K:$K,'Таблиця 1'!$B:$B,$A307,'Таблиця 1'!$I:$I,"Су-27",'Таблиця 1'!$J:$J,"GBU-64"))</f>
        <v/>
      </c>
      <c r="O307">
        <f>IF($A307="","",SUMIFS('Таблиця 1'!$K:$K,'Таблиця 1'!$B:$B,$A307,'Таблиця 1'!$I:$I,"Mirage",'Таблиця 1'!$J:$J,"C-13")+SUMIFS('Таблиця 1'!$K:$K,'Таблиця 1'!$B:$B,$A307,'Таблиця 1'!$I:$I,"F-16",'Таблиця 1'!$J:$J,"C-13")+SUMIFS('Таблиця 1'!$K:$K,'Таблиця 1'!$B:$B,$A307,'Таблиця 1'!$I:$I,"МіГ-29",'Таблиця 1'!$J:$J,"C-13")+SUMIFS('Таблиця 1'!$K:$K,'Таблиця 1'!$B:$B,$A307,'Таблиця 1'!$I:$I,"Су-25",'Таблиця 1'!$J:$J,"C-13")+SUMIFS('Таблиця 1'!$K:$K,'Таблиця 1'!$B:$B,$A307,'Таблиця 1'!$I:$I,"Су-27",'Таблиця 1'!$J:$J,"C-13"))</f>
        <v/>
      </c>
      <c r="P307">
        <f>IF($A307="","",SUMIFS('Таблиця 1'!$K:$K,'Таблиця 1'!$B:$B,$A307,'Таблиця 1'!$I:$I,"Mirage",'Таблиця 1'!$J:$J,"MK-32")+SUMIFS('Таблиця 1'!$K:$K,'Таблиця 1'!$B:$B,$A307,'Таблиця 1'!$I:$I,"F-16",'Таблиця 1'!$J:$J,"MK-32")+SUMIFS('Таблиця 1'!$K:$K,'Таблиця 1'!$B:$B,$A307,'Таблиця 1'!$I:$I,"МіГ-29",'Таблиця 1'!$J:$J,"MK-32")+SUMIFS('Таблиця 1'!$K:$K,'Таблиця 1'!$B:$B,$A307,'Таблиця 1'!$I:$I,"Су-25",'Таблиця 1'!$J:$J,"MK-32")+SUMIFS('Таблиця 1'!$K:$K,'Таблиця 1'!$B:$B,$A307,'Таблиця 1'!$I:$I,"Су-27",'Таблиця 1'!$J:$J,"MK-32"))</f>
        <v/>
      </c>
      <c r="Q307">
        <f>IF($A307="","",SUMIFS('Таблиця 1'!$K:$K,'Таблиця 1'!$B:$B,$A307,'Таблиця 1'!$I:$I,"Mirage",'Таблиця 1'!$J:$J,"MK-24")+SUMIFS('Таблиця 1'!$K:$K,'Таблиця 1'!$B:$B,$A307,'Таблиця 1'!$I:$I,"F-16",'Таблиця 1'!$J:$J,"MK-24")+SUMIFS('Таблиця 1'!$K:$K,'Таблиця 1'!$B:$B,$A307,'Таблиця 1'!$I:$I,"МіГ-29",'Таблиця 1'!$J:$J,"MK-24")+SUMIFS('Таблиця 1'!$K:$K,'Таблиця 1'!$B:$B,$A307,'Таблиця 1'!$I:$I,"Су-25",'Таблиця 1'!$J:$J,"MK-24")+SUMIFS('Таблиця 1'!$K:$K,'Таблиця 1'!$B:$B,$A307,'Таблиця 1'!$I:$I,"Су-27",'Таблиця 1'!$J:$J,"MK-24"))</f>
        <v/>
      </c>
      <c r="R307">
        <f>IF($A307="","",COUNTIFS('Таблиця 1'!$B:$B,$A307,'Таблиця 1'!$I:$I,"Mirage",'Таблиця 1'!$L:$L,"Уражено")+COUNTIFS('Таблиця 1'!$B:$B,$A307,'Таблиця 1'!$I:$I,"F-16",'Таблиця 1'!$L:$L,"Уражено")+COUNTIFS('Таблиця 1'!$B:$B,$A307,'Таблиця 1'!$I:$I,"МіГ-29",'Таблиця 1'!$L:$L,"Уражено")+COUNTIFS('Таблиця 1'!$B:$B,$A307,'Таблиця 1'!$I:$I,"Су-25",'Таблиця 1'!$L:$L,"Уражено")+COUNTIFS('Таблиця 1'!$B:$B,$A307,'Таблиця 1'!$I:$I,"Су-27",'Таблиця 1'!$L:$L,"Уражено"))</f>
        <v/>
      </c>
      <c r="S307">
        <f>IF($A307="","",COUNTIFS('Таблиця 1'!$B:$B,$A307,'Таблиця 1'!$I:$I,"Mirage",'Таблиця 1'!$L:$L,"НЕ уражено")+COUNTIFS('Таблиця 1'!$B:$B,$A307,'Таблиця 1'!$I:$I,"F-16",'Таблиця 1'!$L:$L,"НЕ уражено")+COUNTIFS('Таблиця 1'!$B:$B,$A307,'Таблиця 1'!$I:$I,"МіГ-29",'Таблиця 1'!$L:$L,"НЕ уражено")+COUNTIFS('Таблиця 1'!$B:$B,$A307,'Таблиця 1'!$I:$I,"Су-25",'Таблиця 1'!$L:$L,"НЕ уражено")+COUNTIFS('Таблиця 1'!$B:$B,$A307,'Таблиця 1'!$I:$I,"Су-27",'Таблиця 1'!$L:$L,"НЕ уражено"))</f>
        <v/>
      </c>
      <c r="T307">
        <f>IF($A307="","",COUNTIFS('Таблиця 1'!$B:$B,$A307,'Таблиця 1'!$I:$I,"Mirage",'Таблиця 1'!$L:$L,"Дорозвідується")+COUNTIFS('Таблиця 1'!$B:$B,$A307,'Таблиця 1'!$I:$I,"F-16",'Таблиця 1'!$L:$L,"Дорозвідується")+COUNTIFS('Таблиця 1'!$B:$B,$A307,'Таблиця 1'!$I:$I,"МіГ-29",'Таблиця 1'!$L:$L,"Дорозвідується")+COUNTIFS('Таблиця 1'!$B:$B,$A307,'Таблиця 1'!$I:$I,"Су-25",'Таблиця 1'!$L:$L,"Дорозвідується")+COUNTIFS('Таблиця 1'!$B:$B,$A307,'Таблиця 1'!$I:$I,"Су-27",'Таблиця 1'!$L:$L,"Дорозвідується"))</f>
        <v/>
      </c>
    </row>
    <row r="308">
      <c r="A308" s="273">
        <f>IF(A307="","",IF(A307+1&gt;MAX('Таблиця 1'!$B:$B),"",A307+1))</f>
        <v/>
      </c>
      <c r="B308">
        <f>IF($A308="","",COUNTIFS('Таблиця 1'!$B:$B,$A308,'Таблиця 1'!$I:$I,"Mirage")+COUNTIFS('Таблиця 1'!$B:$B,$A308,'Таблиця 1'!$I:$I,"F-16")+COUNTIFS('Таблиця 1'!$B:$B,$A308,'Таблиця 1'!$I:$I,"МіГ-29")+COUNTIFS('Таблиця 1'!$B:$B,$A308,'Таблиця 1'!$I:$I,"Су-25")+COUNTIFS('Таблиця 1'!$B:$B,$A308,'Таблиця 1'!$I:$I,"Су-27"))</f>
        <v/>
      </c>
      <c r="C308">
        <f>IF($A308="","",COUNTIFS('Таблиця 1'!$B:$B,$A308,'Таблиця 1'!$I:$I,"Mirage"))</f>
        <v/>
      </c>
      <c r="D308">
        <f>IF($A308="","",COUNTIFS('Таблиця 1'!$B:$B,$A308,'Таблиця 1'!$I:$I,"F-16"))</f>
        <v/>
      </c>
      <c r="E308">
        <f>IF($A308="","",COUNTIFS('Таблиця 1'!$B:$B,$A308,'Таблиця 1'!$I:$I,"МіГ-29"))</f>
        <v/>
      </c>
      <c r="F308">
        <f>IF($A308="","",COUNTIFS('Таблиця 1'!$B:$B,$A308,'Таблиця 1'!$I:$I,"Су-25"))</f>
        <v/>
      </c>
      <c r="G308">
        <f>IF($A308="","",COUNTIFS('Таблиця 1'!$B:$B,$A308,'Таблиця 1'!$I:$I,"Су-27"))</f>
        <v/>
      </c>
      <c r="H308">
        <f>IF($A308="","",SUMIFS('Таблиця 1'!$K:$K,'Таблиця 1'!$B:$B,$A308,'Таблиця 1'!$I:$I,"Mirage",'Таблиця 1'!$J:$J,"AGM-88")+SUMIFS('Таблиця 1'!$K:$K,'Таблиця 1'!$B:$B,$A308,'Таблиця 1'!$I:$I,"F-16",'Таблиця 1'!$J:$J,"AGM-88")+SUMIFS('Таблиця 1'!$K:$K,'Таблиця 1'!$B:$B,$A308,'Таблиця 1'!$I:$I,"МіГ-29",'Таблиця 1'!$J:$J,"AGM-88")+SUMIFS('Таблиця 1'!$K:$K,'Таблиця 1'!$B:$B,$A308,'Таблиця 1'!$I:$I,"Су-25",'Таблиця 1'!$J:$J,"AGM-88")+SUMIFS('Таблиця 1'!$K:$K,'Таблиця 1'!$B:$B,$A308,'Таблиця 1'!$I:$I,"Су-27",'Таблиця 1'!$J:$J,"AGM-88"))</f>
        <v/>
      </c>
      <c r="I308">
        <f>IF($A308="","",SUMIFS('Таблиця 1'!$K:$K,'Таблиця 1'!$B:$B,$A308,'Таблиця 1'!$I:$I,"Mirage",'Таблиця 1'!$J:$J,"AASM-250")+SUMIFS('Таблиця 1'!$K:$K,'Таблиця 1'!$B:$B,$A308,'Таблиця 1'!$I:$I,"F-16",'Таблиця 1'!$J:$J,"AASM-250")+SUMIFS('Таблиця 1'!$K:$K,'Таблиця 1'!$B:$B,$A308,'Таблиця 1'!$I:$I,"МіГ-29",'Таблиця 1'!$J:$J,"AASM-250")+SUMIFS('Таблиця 1'!$K:$K,'Таблиця 1'!$B:$B,$A308,'Таблиця 1'!$I:$I,"Су-25",'Таблиця 1'!$J:$J,"AASM-250")+SUMIFS('Таблиця 1'!$K:$K,'Таблиця 1'!$B:$B,$A308,'Таблиця 1'!$I:$I,"Су-27",'Таблиця 1'!$J:$J,"AASM-250"))</f>
        <v/>
      </c>
      <c r="J308">
        <f>IF($A308="","",SUMIFS('Таблиця 1'!$K:$K,'Таблиця 1'!$B:$B,$A308,'Таблиця 1'!$I:$I,"Mirage",'Таблиця 1'!$J:$J,"GBU-39")+SUMIFS('Таблиця 1'!$K:$K,'Таблиця 1'!$B:$B,$A308,'Таблиця 1'!$I:$I,"F-16",'Таблиця 1'!$J:$J,"GBU-39")+SUMIFS('Таблиця 1'!$K:$K,'Таблиця 1'!$B:$B,$A308,'Таблиця 1'!$I:$I,"МіГ-29",'Таблиця 1'!$J:$J,"GBU-39")+SUMIFS('Таблиця 1'!$K:$K,'Таблиця 1'!$B:$B,$A308,'Таблиця 1'!$I:$I,"Су-25",'Таблиця 1'!$J:$J,"GBU-39")+SUMIFS('Таблиця 1'!$K:$K,'Таблиця 1'!$B:$B,$A308,'Таблиця 1'!$I:$I,"Су-27",'Таблиця 1'!$J:$J,"GBU-39"))</f>
        <v/>
      </c>
      <c r="K308">
        <f>IF($A308="","",SUMIFS('Таблиця 1'!$K:$K,'Таблиця 1'!$B:$B,$A308,'Таблиця 1'!$I:$I,"Mirage",'Таблиця 1'!$J:$J,"BLU-140")+SUMIFS('Таблиця 1'!$K:$K,'Таблиця 1'!$B:$B,$A308,'Таблиця 1'!$I:$I,"F-16",'Таблиця 1'!$J:$J,"BLU-140")+SUMIFS('Таблиця 1'!$K:$K,'Таблиця 1'!$B:$B,$A308,'Таблиця 1'!$I:$I,"МіГ-29",'Таблиця 1'!$J:$J,"BLU-140")+SUMIFS('Таблиця 1'!$K:$K,'Таблиця 1'!$B:$B,$A308,'Таблиця 1'!$I:$I,"Су-25",'Таблиця 1'!$J:$J,"BLU-140")+SUMIFS('Таблиця 1'!$K:$K,'Таблиця 1'!$B:$B,$A308,'Таблиця 1'!$I:$I,"Су-27",'Таблиця 1'!$J:$J,"BLU-140"))</f>
        <v/>
      </c>
      <c r="L308">
        <f>IF($A308="","",SUMIFS('Таблиця 1'!$K:$K,'Таблиця 1'!$B:$B,$A308,'Таблиця 1'!$I:$I,"Mirage",'Таблиця 1'!$J:$J,"GBU-65")+SUMIFS('Таблиця 1'!$K:$K,'Таблиця 1'!$B:$B,$A308,'Таблиця 1'!$I:$I,"F-16",'Таблиця 1'!$J:$J,"GBU-65")+SUMIFS('Таблиця 1'!$K:$K,'Таблиця 1'!$B:$B,$A308,'Таблиця 1'!$I:$I,"МіГ-29",'Таблиця 1'!$J:$J,"GBU-65")+SUMIFS('Таблиця 1'!$K:$K,'Таблиця 1'!$B:$B,$A308,'Таблиця 1'!$I:$I,"Су-25",'Таблиця 1'!$J:$J,"GBU-65")+SUMIFS('Таблиця 1'!$K:$K,'Таблиця 1'!$B:$B,$A308,'Таблиця 1'!$I:$I,"Су-27",'Таблиця 1'!$J:$J,"GBU-65"))</f>
        <v/>
      </c>
      <c r="M308">
        <f>IF($A308="","",SUMIFS('Таблиця 1'!$K:$K,'Таблиця 1'!$B:$B,$A308,'Таблиця 1'!$I:$I,"Mirage",'Таблиця 1'!$J:$J,"GBU-62")+SUMIFS('Таблиця 1'!$K:$K,'Таблиця 1'!$B:$B,$A308,'Таблиця 1'!$I:$I,"F-16",'Таблиця 1'!$J:$J,"GBU-62")+SUMIFS('Таблиця 1'!$K:$K,'Таблиця 1'!$B:$B,$A308,'Таблиця 1'!$I:$I,"МіГ-29",'Таблиця 1'!$J:$J,"GBU-62")+SUMIFS('Таблиця 1'!$K:$K,'Таблиця 1'!$B:$B,$A308,'Таблиця 1'!$I:$I,"Су-25",'Таблиця 1'!$J:$J,"GBU-62")+SUMIFS('Таблиця 1'!$K:$K,'Таблиця 1'!$B:$B,$A308,'Таблиця 1'!$I:$I,"Су-27",'Таблиця 1'!$J:$J,"GBU-62"))</f>
        <v/>
      </c>
      <c r="N308">
        <f>IF($A308="","",SUMIFS('Таблиця 1'!$K:$K,'Таблиця 1'!$B:$B,$A308,'Таблиця 1'!$I:$I,"Mirage",'Таблиця 1'!$J:$J,"GBU-64")+SUMIFS('Таблиця 1'!$K:$K,'Таблиця 1'!$B:$B,$A308,'Таблиця 1'!$I:$I,"F-16",'Таблиця 1'!$J:$J,"GBU-64")+SUMIFS('Таблиця 1'!$K:$K,'Таблиця 1'!$B:$B,$A308,'Таблиця 1'!$I:$I,"МіГ-29",'Таблиця 1'!$J:$J,"GBU-64")+SUMIFS('Таблиця 1'!$K:$K,'Таблиця 1'!$B:$B,$A308,'Таблиця 1'!$I:$I,"Су-25",'Таблиця 1'!$J:$J,"GBU-64")+SUMIFS('Таблиця 1'!$K:$K,'Таблиця 1'!$B:$B,$A308,'Таблиця 1'!$I:$I,"Су-27",'Таблиця 1'!$J:$J,"GBU-64"))</f>
        <v/>
      </c>
      <c r="O308">
        <f>IF($A308="","",SUMIFS('Таблиця 1'!$K:$K,'Таблиця 1'!$B:$B,$A308,'Таблиця 1'!$I:$I,"Mirage",'Таблиця 1'!$J:$J,"C-13")+SUMIFS('Таблиця 1'!$K:$K,'Таблиця 1'!$B:$B,$A308,'Таблиця 1'!$I:$I,"F-16",'Таблиця 1'!$J:$J,"C-13")+SUMIFS('Таблиця 1'!$K:$K,'Таблиця 1'!$B:$B,$A308,'Таблиця 1'!$I:$I,"МіГ-29",'Таблиця 1'!$J:$J,"C-13")+SUMIFS('Таблиця 1'!$K:$K,'Таблиця 1'!$B:$B,$A308,'Таблиця 1'!$I:$I,"Су-25",'Таблиця 1'!$J:$J,"C-13")+SUMIFS('Таблиця 1'!$K:$K,'Таблиця 1'!$B:$B,$A308,'Таблиця 1'!$I:$I,"Су-27",'Таблиця 1'!$J:$J,"C-13"))</f>
        <v/>
      </c>
      <c r="P308">
        <f>IF($A308="","",SUMIFS('Таблиця 1'!$K:$K,'Таблиця 1'!$B:$B,$A308,'Таблиця 1'!$I:$I,"Mirage",'Таблиця 1'!$J:$J,"MK-32")+SUMIFS('Таблиця 1'!$K:$K,'Таблиця 1'!$B:$B,$A308,'Таблиця 1'!$I:$I,"F-16",'Таблиця 1'!$J:$J,"MK-32")+SUMIFS('Таблиця 1'!$K:$K,'Таблиця 1'!$B:$B,$A308,'Таблиця 1'!$I:$I,"МіГ-29",'Таблиця 1'!$J:$J,"MK-32")+SUMIFS('Таблиця 1'!$K:$K,'Таблиця 1'!$B:$B,$A308,'Таблиця 1'!$I:$I,"Су-25",'Таблиця 1'!$J:$J,"MK-32")+SUMIFS('Таблиця 1'!$K:$K,'Таблиця 1'!$B:$B,$A308,'Таблиця 1'!$I:$I,"Су-27",'Таблиця 1'!$J:$J,"MK-32"))</f>
        <v/>
      </c>
      <c r="Q308">
        <f>IF($A308="","",SUMIFS('Таблиця 1'!$K:$K,'Таблиця 1'!$B:$B,$A308,'Таблиця 1'!$I:$I,"Mirage",'Таблиця 1'!$J:$J,"MK-24")+SUMIFS('Таблиця 1'!$K:$K,'Таблиця 1'!$B:$B,$A308,'Таблиця 1'!$I:$I,"F-16",'Таблиця 1'!$J:$J,"MK-24")+SUMIFS('Таблиця 1'!$K:$K,'Таблиця 1'!$B:$B,$A308,'Таблиця 1'!$I:$I,"МіГ-29",'Таблиця 1'!$J:$J,"MK-24")+SUMIFS('Таблиця 1'!$K:$K,'Таблиця 1'!$B:$B,$A308,'Таблиця 1'!$I:$I,"Су-25",'Таблиця 1'!$J:$J,"MK-24")+SUMIFS('Таблиця 1'!$K:$K,'Таблиця 1'!$B:$B,$A308,'Таблиця 1'!$I:$I,"Су-27",'Таблиця 1'!$J:$J,"MK-24"))</f>
        <v/>
      </c>
      <c r="R308">
        <f>IF($A308="","",COUNTIFS('Таблиця 1'!$B:$B,$A308,'Таблиця 1'!$I:$I,"Mirage",'Таблиця 1'!$L:$L,"Уражено")+COUNTIFS('Таблиця 1'!$B:$B,$A308,'Таблиця 1'!$I:$I,"F-16",'Таблиця 1'!$L:$L,"Уражено")+COUNTIFS('Таблиця 1'!$B:$B,$A308,'Таблиця 1'!$I:$I,"МіГ-29",'Таблиця 1'!$L:$L,"Уражено")+COUNTIFS('Таблиця 1'!$B:$B,$A308,'Таблиця 1'!$I:$I,"Су-25",'Таблиця 1'!$L:$L,"Уражено")+COUNTIFS('Таблиця 1'!$B:$B,$A308,'Таблиця 1'!$I:$I,"Су-27",'Таблиця 1'!$L:$L,"Уражено"))</f>
        <v/>
      </c>
      <c r="S308">
        <f>IF($A308="","",COUNTIFS('Таблиця 1'!$B:$B,$A308,'Таблиця 1'!$I:$I,"Mirage",'Таблиця 1'!$L:$L,"НЕ уражено")+COUNTIFS('Таблиця 1'!$B:$B,$A308,'Таблиця 1'!$I:$I,"F-16",'Таблиця 1'!$L:$L,"НЕ уражено")+COUNTIFS('Таблиця 1'!$B:$B,$A308,'Таблиця 1'!$I:$I,"МіГ-29",'Таблиця 1'!$L:$L,"НЕ уражено")+COUNTIFS('Таблиця 1'!$B:$B,$A308,'Таблиця 1'!$I:$I,"Су-25",'Таблиця 1'!$L:$L,"НЕ уражено")+COUNTIFS('Таблиця 1'!$B:$B,$A308,'Таблиця 1'!$I:$I,"Су-27",'Таблиця 1'!$L:$L,"НЕ уражено"))</f>
        <v/>
      </c>
      <c r="T308">
        <f>IF($A308="","",COUNTIFS('Таблиця 1'!$B:$B,$A308,'Таблиця 1'!$I:$I,"Mirage",'Таблиця 1'!$L:$L,"Дорозвідується")+COUNTIFS('Таблиця 1'!$B:$B,$A308,'Таблиця 1'!$I:$I,"F-16",'Таблиця 1'!$L:$L,"Дорозвідується")+COUNTIFS('Таблиця 1'!$B:$B,$A308,'Таблиця 1'!$I:$I,"МіГ-29",'Таблиця 1'!$L:$L,"Дорозвідується")+COUNTIFS('Таблиця 1'!$B:$B,$A308,'Таблиця 1'!$I:$I,"Су-25",'Таблиця 1'!$L:$L,"Дорозвідується")+COUNTIFS('Таблиця 1'!$B:$B,$A308,'Таблиця 1'!$I:$I,"Су-27",'Таблиця 1'!$L:$L,"Дорозвідується"))</f>
        <v/>
      </c>
    </row>
    <row r="309">
      <c r="A309" s="273">
        <f>IF(A308="","",IF(A308+1&gt;MAX('Таблиця 1'!$B:$B),"",A308+1))</f>
        <v/>
      </c>
      <c r="B309">
        <f>IF($A309="","",COUNTIFS('Таблиця 1'!$B:$B,$A309,'Таблиця 1'!$I:$I,"Mirage")+COUNTIFS('Таблиця 1'!$B:$B,$A309,'Таблиця 1'!$I:$I,"F-16")+COUNTIFS('Таблиця 1'!$B:$B,$A309,'Таблиця 1'!$I:$I,"МіГ-29")+COUNTIFS('Таблиця 1'!$B:$B,$A309,'Таблиця 1'!$I:$I,"Су-25")+COUNTIFS('Таблиця 1'!$B:$B,$A309,'Таблиця 1'!$I:$I,"Су-27"))</f>
        <v/>
      </c>
      <c r="C309">
        <f>IF($A309="","",COUNTIFS('Таблиця 1'!$B:$B,$A309,'Таблиця 1'!$I:$I,"Mirage"))</f>
        <v/>
      </c>
      <c r="D309">
        <f>IF($A309="","",COUNTIFS('Таблиця 1'!$B:$B,$A309,'Таблиця 1'!$I:$I,"F-16"))</f>
        <v/>
      </c>
      <c r="E309">
        <f>IF($A309="","",COUNTIFS('Таблиця 1'!$B:$B,$A309,'Таблиця 1'!$I:$I,"МіГ-29"))</f>
        <v/>
      </c>
      <c r="F309">
        <f>IF($A309="","",COUNTIFS('Таблиця 1'!$B:$B,$A309,'Таблиця 1'!$I:$I,"Су-25"))</f>
        <v/>
      </c>
      <c r="G309">
        <f>IF($A309="","",COUNTIFS('Таблиця 1'!$B:$B,$A309,'Таблиця 1'!$I:$I,"Су-27"))</f>
        <v/>
      </c>
      <c r="H309">
        <f>IF($A309="","",SUMIFS('Таблиця 1'!$K:$K,'Таблиця 1'!$B:$B,$A309,'Таблиця 1'!$I:$I,"Mirage",'Таблиця 1'!$J:$J,"AGM-88")+SUMIFS('Таблиця 1'!$K:$K,'Таблиця 1'!$B:$B,$A309,'Таблиця 1'!$I:$I,"F-16",'Таблиця 1'!$J:$J,"AGM-88")+SUMIFS('Таблиця 1'!$K:$K,'Таблиця 1'!$B:$B,$A309,'Таблиця 1'!$I:$I,"МіГ-29",'Таблиця 1'!$J:$J,"AGM-88")+SUMIFS('Таблиця 1'!$K:$K,'Таблиця 1'!$B:$B,$A309,'Таблиця 1'!$I:$I,"Су-25",'Таблиця 1'!$J:$J,"AGM-88")+SUMIFS('Таблиця 1'!$K:$K,'Таблиця 1'!$B:$B,$A309,'Таблиця 1'!$I:$I,"Су-27",'Таблиця 1'!$J:$J,"AGM-88"))</f>
        <v/>
      </c>
      <c r="I309">
        <f>IF($A309="","",SUMIFS('Таблиця 1'!$K:$K,'Таблиця 1'!$B:$B,$A309,'Таблиця 1'!$I:$I,"Mirage",'Таблиця 1'!$J:$J,"AASM-250")+SUMIFS('Таблиця 1'!$K:$K,'Таблиця 1'!$B:$B,$A309,'Таблиця 1'!$I:$I,"F-16",'Таблиця 1'!$J:$J,"AASM-250")+SUMIFS('Таблиця 1'!$K:$K,'Таблиця 1'!$B:$B,$A309,'Таблиця 1'!$I:$I,"МіГ-29",'Таблиця 1'!$J:$J,"AASM-250")+SUMIFS('Таблиця 1'!$K:$K,'Таблиця 1'!$B:$B,$A309,'Таблиця 1'!$I:$I,"Су-25",'Таблиця 1'!$J:$J,"AASM-250")+SUMIFS('Таблиця 1'!$K:$K,'Таблиця 1'!$B:$B,$A309,'Таблиця 1'!$I:$I,"Су-27",'Таблиця 1'!$J:$J,"AASM-250"))</f>
        <v/>
      </c>
      <c r="J309">
        <f>IF($A309="","",SUMIFS('Таблиця 1'!$K:$K,'Таблиця 1'!$B:$B,$A309,'Таблиця 1'!$I:$I,"Mirage",'Таблиця 1'!$J:$J,"GBU-39")+SUMIFS('Таблиця 1'!$K:$K,'Таблиця 1'!$B:$B,$A309,'Таблиця 1'!$I:$I,"F-16",'Таблиця 1'!$J:$J,"GBU-39")+SUMIFS('Таблиця 1'!$K:$K,'Таблиця 1'!$B:$B,$A309,'Таблиця 1'!$I:$I,"МіГ-29",'Таблиця 1'!$J:$J,"GBU-39")+SUMIFS('Таблиця 1'!$K:$K,'Таблиця 1'!$B:$B,$A309,'Таблиця 1'!$I:$I,"Су-25",'Таблиця 1'!$J:$J,"GBU-39")+SUMIFS('Таблиця 1'!$K:$K,'Таблиця 1'!$B:$B,$A309,'Таблиця 1'!$I:$I,"Су-27",'Таблиця 1'!$J:$J,"GBU-39"))</f>
        <v/>
      </c>
      <c r="K309">
        <f>IF($A309="","",SUMIFS('Таблиця 1'!$K:$K,'Таблиця 1'!$B:$B,$A309,'Таблиця 1'!$I:$I,"Mirage",'Таблиця 1'!$J:$J,"BLU-140")+SUMIFS('Таблиця 1'!$K:$K,'Таблиця 1'!$B:$B,$A309,'Таблиця 1'!$I:$I,"F-16",'Таблиця 1'!$J:$J,"BLU-140")+SUMIFS('Таблиця 1'!$K:$K,'Таблиця 1'!$B:$B,$A309,'Таблиця 1'!$I:$I,"МіГ-29",'Таблиця 1'!$J:$J,"BLU-140")+SUMIFS('Таблиця 1'!$K:$K,'Таблиця 1'!$B:$B,$A309,'Таблиця 1'!$I:$I,"Су-25",'Таблиця 1'!$J:$J,"BLU-140")+SUMIFS('Таблиця 1'!$K:$K,'Таблиця 1'!$B:$B,$A309,'Таблиця 1'!$I:$I,"Су-27",'Таблиця 1'!$J:$J,"BLU-140"))</f>
        <v/>
      </c>
      <c r="L309">
        <f>IF($A309="","",SUMIFS('Таблиця 1'!$K:$K,'Таблиця 1'!$B:$B,$A309,'Таблиця 1'!$I:$I,"Mirage",'Таблиця 1'!$J:$J,"GBU-65")+SUMIFS('Таблиця 1'!$K:$K,'Таблиця 1'!$B:$B,$A309,'Таблиця 1'!$I:$I,"F-16",'Таблиця 1'!$J:$J,"GBU-65")+SUMIFS('Таблиця 1'!$K:$K,'Таблиця 1'!$B:$B,$A309,'Таблиця 1'!$I:$I,"МіГ-29",'Таблиця 1'!$J:$J,"GBU-65")+SUMIFS('Таблиця 1'!$K:$K,'Таблиця 1'!$B:$B,$A309,'Таблиця 1'!$I:$I,"Су-25",'Таблиця 1'!$J:$J,"GBU-65")+SUMIFS('Таблиця 1'!$K:$K,'Таблиця 1'!$B:$B,$A309,'Таблиця 1'!$I:$I,"Су-27",'Таблиця 1'!$J:$J,"GBU-65"))</f>
        <v/>
      </c>
      <c r="M309">
        <f>IF($A309="","",SUMIFS('Таблиця 1'!$K:$K,'Таблиця 1'!$B:$B,$A309,'Таблиця 1'!$I:$I,"Mirage",'Таблиця 1'!$J:$J,"GBU-62")+SUMIFS('Таблиця 1'!$K:$K,'Таблиця 1'!$B:$B,$A309,'Таблиця 1'!$I:$I,"F-16",'Таблиця 1'!$J:$J,"GBU-62")+SUMIFS('Таблиця 1'!$K:$K,'Таблиця 1'!$B:$B,$A309,'Таблиця 1'!$I:$I,"МіГ-29",'Таблиця 1'!$J:$J,"GBU-62")+SUMIFS('Таблиця 1'!$K:$K,'Таблиця 1'!$B:$B,$A309,'Таблиця 1'!$I:$I,"Су-25",'Таблиця 1'!$J:$J,"GBU-62")+SUMIFS('Таблиця 1'!$K:$K,'Таблиця 1'!$B:$B,$A309,'Таблиця 1'!$I:$I,"Су-27",'Таблиця 1'!$J:$J,"GBU-62"))</f>
        <v/>
      </c>
      <c r="N309">
        <f>IF($A309="","",SUMIFS('Таблиця 1'!$K:$K,'Таблиця 1'!$B:$B,$A309,'Таблиця 1'!$I:$I,"Mirage",'Таблиця 1'!$J:$J,"GBU-64")+SUMIFS('Таблиця 1'!$K:$K,'Таблиця 1'!$B:$B,$A309,'Таблиця 1'!$I:$I,"F-16",'Таблиця 1'!$J:$J,"GBU-64")+SUMIFS('Таблиця 1'!$K:$K,'Таблиця 1'!$B:$B,$A309,'Таблиця 1'!$I:$I,"МіГ-29",'Таблиця 1'!$J:$J,"GBU-64")+SUMIFS('Таблиця 1'!$K:$K,'Таблиця 1'!$B:$B,$A309,'Таблиця 1'!$I:$I,"Су-25",'Таблиця 1'!$J:$J,"GBU-64")+SUMIFS('Таблиця 1'!$K:$K,'Таблиця 1'!$B:$B,$A309,'Таблиця 1'!$I:$I,"Су-27",'Таблиця 1'!$J:$J,"GBU-64"))</f>
        <v/>
      </c>
      <c r="O309">
        <f>IF($A309="","",SUMIFS('Таблиця 1'!$K:$K,'Таблиця 1'!$B:$B,$A309,'Таблиця 1'!$I:$I,"Mirage",'Таблиця 1'!$J:$J,"C-13")+SUMIFS('Таблиця 1'!$K:$K,'Таблиця 1'!$B:$B,$A309,'Таблиця 1'!$I:$I,"F-16",'Таблиця 1'!$J:$J,"C-13")+SUMIFS('Таблиця 1'!$K:$K,'Таблиця 1'!$B:$B,$A309,'Таблиця 1'!$I:$I,"МіГ-29",'Таблиця 1'!$J:$J,"C-13")+SUMIFS('Таблиця 1'!$K:$K,'Таблиця 1'!$B:$B,$A309,'Таблиця 1'!$I:$I,"Су-25",'Таблиця 1'!$J:$J,"C-13")+SUMIFS('Таблиця 1'!$K:$K,'Таблиця 1'!$B:$B,$A309,'Таблиця 1'!$I:$I,"Су-27",'Таблиця 1'!$J:$J,"C-13"))</f>
        <v/>
      </c>
      <c r="P309">
        <f>IF($A309="","",SUMIFS('Таблиця 1'!$K:$K,'Таблиця 1'!$B:$B,$A309,'Таблиця 1'!$I:$I,"Mirage",'Таблиця 1'!$J:$J,"MK-32")+SUMIFS('Таблиця 1'!$K:$K,'Таблиця 1'!$B:$B,$A309,'Таблиця 1'!$I:$I,"F-16",'Таблиця 1'!$J:$J,"MK-32")+SUMIFS('Таблиця 1'!$K:$K,'Таблиця 1'!$B:$B,$A309,'Таблиця 1'!$I:$I,"МіГ-29",'Таблиця 1'!$J:$J,"MK-32")+SUMIFS('Таблиця 1'!$K:$K,'Таблиця 1'!$B:$B,$A309,'Таблиця 1'!$I:$I,"Су-25",'Таблиця 1'!$J:$J,"MK-32")+SUMIFS('Таблиця 1'!$K:$K,'Таблиця 1'!$B:$B,$A309,'Таблиця 1'!$I:$I,"Су-27",'Таблиця 1'!$J:$J,"MK-32"))</f>
        <v/>
      </c>
      <c r="Q309">
        <f>IF($A309="","",SUMIFS('Таблиця 1'!$K:$K,'Таблиця 1'!$B:$B,$A309,'Таблиця 1'!$I:$I,"Mirage",'Таблиця 1'!$J:$J,"MK-24")+SUMIFS('Таблиця 1'!$K:$K,'Таблиця 1'!$B:$B,$A309,'Таблиця 1'!$I:$I,"F-16",'Таблиця 1'!$J:$J,"MK-24")+SUMIFS('Таблиця 1'!$K:$K,'Таблиця 1'!$B:$B,$A309,'Таблиця 1'!$I:$I,"МіГ-29",'Таблиця 1'!$J:$J,"MK-24")+SUMIFS('Таблиця 1'!$K:$K,'Таблиця 1'!$B:$B,$A309,'Таблиця 1'!$I:$I,"Су-25",'Таблиця 1'!$J:$J,"MK-24")+SUMIFS('Таблиця 1'!$K:$K,'Таблиця 1'!$B:$B,$A309,'Таблиця 1'!$I:$I,"Су-27",'Таблиця 1'!$J:$J,"MK-24"))</f>
        <v/>
      </c>
      <c r="R309">
        <f>IF($A309="","",COUNTIFS('Таблиця 1'!$B:$B,$A309,'Таблиця 1'!$I:$I,"Mirage",'Таблиця 1'!$L:$L,"Уражено")+COUNTIFS('Таблиця 1'!$B:$B,$A309,'Таблиця 1'!$I:$I,"F-16",'Таблиця 1'!$L:$L,"Уражено")+COUNTIFS('Таблиця 1'!$B:$B,$A309,'Таблиця 1'!$I:$I,"МіГ-29",'Таблиця 1'!$L:$L,"Уражено")+COUNTIFS('Таблиця 1'!$B:$B,$A309,'Таблиця 1'!$I:$I,"Су-25",'Таблиця 1'!$L:$L,"Уражено")+COUNTIFS('Таблиця 1'!$B:$B,$A309,'Таблиця 1'!$I:$I,"Су-27",'Таблиця 1'!$L:$L,"Уражено"))</f>
        <v/>
      </c>
      <c r="S309">
        <f>IF($A309="","",COUNTIFS('Таблиця 1'!$B:$B,$A309,'Таблиця 1'!$I:$I,"Mirage",'Таблиця 1'!$L:$L,"НЕ уражено")+COUNTIFS('Таблиця 1'!$B:$B,$A309,'Таблиця 1'!$I:$I,"F-16",'Таблиця 1'!$L:$L,"НЕ уражено")+COUNTIFS('Таблиця 1'!$B:$B,$A309,'Таблиця 1'!$I:$I,"МіГ-29",'Таблиця 1'!$L:$L,"НЕ уражено")+COUNTIFS('Таблиця 1'!$B:$B,$A309,'Таблиця 1'!$I:$I,"Су-25",'Таблиця 1'!$L:$L,"НЕ уражено")+COUNTIFS('Таблиця 1'!$B:$B,$A309,'Таблиця 1'!$I:$I,"Су-27",'Таблиця 1'!$L:$L,"НЕ уражено"))</f>
        <v/>
      </c>
      <c r="T309">
        <f>IF($A309="","",COUNTIFS('Таблиця 1'!$B:$B,$A309,'Таблиця 1'!$I:$I,"Mirage",'Таблиця 1'!$L:$L,"Дорозвідується")+COUNTIFS('Таблиця 1'!$B:$B,$A309,'Таблиця 1'!$I:$I,"F-16",'Таблиця 1'!$L:$L,"Дорозвідується")+COUNTIFS('Таблиця 1'!$B:$B,$A309,'Таблиця 1'!$I:$I,"МіГ-29",'Таблиця 1'!$L:$L,"Дорозвідується")+COUNTIFS('Таблиця 1'!$B:$B,$A309,'Таблиця 1'!$I:$I,"Су-25",'Таблиця 1'!$L:$L,"Дорозвідується")+COUNTIFS('Таблиця 1'!$B:$B,$A309,'Таблиця 1'!$I:$I,"Су-27",'Таблиця 1'!$L:$L,"Дорозвідується"))</f>
        <v/>
      </c>
    </row>
    <row r="310">
      <c r="A310" s="273">
        <f>IF(A309="","",IF(A309+1&gt;MAX('Таблиця 1'!$B:$B),"",A309+1))</f>
        <v/>
      </c>
      <c r="B310">
        <f>IF($A310="","",COUNTIFS('Таблиця 1'!$B:$B,$A310,'Таблиця 1'!$I:$I,"Mirage")+COUNTIFS('Таблиця 1'!$B:$B,$A310,'Таблиця 1'!$I:$I,"F-16")+COUNTIFS('Таблиця 1'!$B:$B,$A310,'Таблиця 1'!$I:$I,"МіГ-29")+COUNTIFS('Таблиця 1'!$B:$B,$A310,'Таблиця 1'!$I:$I,"Су-25")+COUNTIFS('Таблиця 1'!$B:$B,$A310,'Таблиця 1'!$I:$I,"Су-27"))</f>
        <v/>
      </c>
      <c r="C310">
        <f>IF($A310="","",COUNTIFS('Таблиця 1'!$B:$B,$A310,'Таблиця 1'!$I:$I,"Mirage"))</f>
        <v/>
      </c>
      <c r="D310">
        <f>IF($A310="","",COUNTIFS('Таблиця 1'!$B:$B,$A310,'Таблиця 1'!$I:$I,"F-16"))</f>
        <v/>
      </c>
      <c r="E310">
        <f>IF($A310="","",COUNTIFS('Таблиця 1'!$B:$B,$A310,'Таблиця 1'!$I:$I,"МіГ-29"))</f>
        <v/>
      </c>
      <c r="F310">
        <f>IF($A310="","",COUNTIFS('Таблиця 1'!$B:$B,$A310,'Таблиця 1'!$I:$I,"Су-25"))</f>
        <v/>
      </c>
      <c r="G310">
        <f>IF($A310="","",COUNTIFS('Таблиця 1'!$B:$B,$A310,'Таблиця 1'!$I:$I,"Су-27"))</f>
        <v/>
      </c>
      <c r="H310">
        <f>IF($A310="","",SUMIFS('Таблиця 1'!$K:$K,'Таблиця 1'!$B:$B,$A310,'Таблиця 1'!$I:$I,"Mirage",'Таблиця 1'!$J:$J,"AGM-88")+SUMIFS('Таблиця 1'!$K:$K,'Таблиця 1'!$B:$B,$A310,'Таблиця 1'!$I:$I,"F-16",'Таблиця 1'!$J:$J,"AGM-88")+SUMIFS('Таблиця 1'!$K:$K,'Таблиця 1'!$B:$B,$A310,'Таблиця 1'!$I:$I,"МіГ-29",'Таблиця 1'!$J:$J,"AGM-88")+SUMIFS('Таблиця 1'!$K:$K,'Таблиця 1'!$B:$B,$A310,'Таблиця 1'!$I:$I,"Су-25",'Таблиця 1'!$J:$J,"AGM-88")+SUMIFS('Таблиця 1'!$K:$K,'Таблиця 1'!$B:$B,$A310,'Таблиця 1'!$I:$I,"Су-27",'Таблиця 1'!$J:$J,"AGM-88"))</f>
        <v/>
      </c>
      <c r="I310">
        <f>IF($A310="","",SUMIFS('Таблиця 1'!$K:$K,'Таблиця 1'!$B:$B,$A310,'Таблиця 1'!$I:$I,"Mirage",'Таблиця 1'!$J:$J,"AASM-250")+SUMIFS('Таблиця 1'!$K:$K,'Таблиця 1'!$B:$B,$A310,'Таблиця 1'!$I:$I,"F-16",'Таблиця 1'!$J:$J,"AASM-250")+SUMIFS('Таблиця 1'!$K:$K,'Таблиця 1'!$B:$B,$A310,'Таблиця 1'!$I:$I,"МіГ-29",'Таблиця 1'!$J:$J,"AASM-250")+SUMIFS('Таблиця 1'!$K:$K,'Таблиця 1'!$B:$B,$A310,'Таблиця 1'!$I:$I,"Су-25",'Таблиця 1'!$J:$J,"AASM-250")+SUMIFS('Таблиця 1'!$K:$K,'Таблиця 1'!$B:$B,$A310,'Таблиця 1'!$I:$I,"Су-27",'Таблиця 1'!$J:$J,"AASM-250"))</f>
        <v/>
      </c>
      <c r="J310">
        <f>IF($A310="","",SUMIFS('Таблиця 1'!$K:$K,'Таблиця 1'!$B:$B,$A310,'Таблиця 1'!$I:$I,"Mirage",'Таблиця 1'!$J:$J,"GBU-39")+SUMIFS('Таблиця 1'!$K:$K,'Таблиця 1'!$B:$B,$A310,'Таблиця 1'!$I:$I,"F-16",'Таблиця 1'!$J:$J,"GBU-39")+SUMIFS('Таблиця 1'!$K:$K,'Таблиця 1'!$B:$B,$A310,'Таблиця 1'!$I:$I,"МіГ-29",'Таблиця 1'!$J:$J,"GBU-39")+SUMIFS('Таблиця 1'!$K:$K,'Таблиця 1'!$B:$B,$A310,'Таблиця 1'!$I:$I,"Су-25",'Таблиця 1'!$J:$J,"GBU-39")+SUMIFS('Таблиця 1'!$K:$K,'Таблиця 1'!$B:$B,$A310,'Таблиця 1'!$I:$I,"Су-27",'Таблиця 1'!$J:$J,"GBU-39"))</f>
        <v/>
      </c>
      <c r="K310">
        <f>IF($A310="","",SUMIFS('Таблиця 1'!$K:$K,'Таблиця 1'!$B:$B,$A310,'Таблиця 1'!$I:$I,"Mirage",'Таблиця 1'!$J:$J,"BLU-140")+SUMIFS('Таблиця 1'!$K:$K,'Таблиця 1'!$B:$B,$A310,'Таблиця 1'!$I:$I,"F-16",'Таблиця 1'!$J:$J,"BLU-140")+SUMIFS('Таблиця 1'!$K:$K,'Таблиця 1'!$B:$B,$A310,'Таблиця 1'!$I:$I,"МіГ-29",'Таблиця 1'!$J:$J,"BLU-140")+SUMIFS('Таблиця 1'!$K:$K,'Таблиця 1'!$B:$B,$A310,'Таблиця 1'!$I:$I,"Су-25",'Таблиця 1'!$J:$J,"BLU-140")+SUMIFS('Таблиця 1'!$K:$K,'Таблиця 1'!$B:$B,$A310,'Таблиця 1'!$I:$I,"Су-27",'Таблиця 1'!$J:$J,"BLU-140"))</f>
        <v/>
      </c>
      <c r="L310">
        <f>IF($A310="","",SUMIFS('Таблиця 1'!$K:$K,'Таблиця 1'!$B:$B,$A310,'Таблиця 1'!$I:$I,"Mirage",'Таблиця 1'!$J:$J,"GBU-65")+SUMIFS('Таблиця 1'!$K:$K,'Таблиця 1'!$B:$B,$A310,'Таблиця 1'!$I:$I,"F-16",'Таблиця 1'!$J:$J,"GBU-65")+SUMIFS('Таблиця 1'!$K:$K,'Таблиця 1'!$B:$B,$A310,'Таблиця 1'!$I:$I,"МіГ-29",'Таблиця 1'!$J:$J,"GBU-65")+SUMIFS('Таблиця 1'!$K:$K,'Таблиця 1'!$B:$B,$A310,'Таблиця 1'!$I:$I,"Су-25",'Таблиця 1'!$J:$J,"GBU-65")+SUMIFS('Таблиця 1'!$K:$K,'Таблиця 1'!$B:$B,$A310,'Таблиця 1'!$I:$I,"Су-27",'Таблиця 1'!$J:$J,"GBU-65"))</f>
        <v/>
      </c>
      <c r="M310">
        <f>IF($A310="","",SUMIFS('Таблиця 1'!$K:$K,'Таблиця 1'!$B:$B,$A310,'Таблиця 1'!$I:$I,"Mirage",'Таблиця 1'!$J:$J,"GBU-62")+SUMIFS('Таблиця 1'!$K:$K,'Таблиця 1'!$B:$B,$A310,'Таблиця 1'!$I:$I,"F-16",'Таблиця 1'!$J:$J,"GBU-62")+SUMIFS('Таблиця 1'!$K:$K,'Таблиця 1'!$B:$B,$A310,'Таблиця 1'!$I:$I,"МіГ-29",'Таблиця 1'!$J:$J,"GBU-62")+SUMIFS('Таблиця 1'!$K:$K,'Таблиця 1'!$B:$B,$A310,'Таблиця 1'!$I:$I,"Су-25",'Таблиця 1'!$J:$J,"GBU-62")+SUMIFS('Таблиця 1'!$K:$K,'Таблиця 1'!$B:$B,$A310,'Таблиця 1'!$I:$I,"Су-27",'Таблиця 1'!$J:$J,"GBU-62"))</f>
        <v/>
      </c>
      <c r="N310">
        <f>IF($A310="","",SUMIFS('Таблиця 1'!$K:$K,'Таблиця 1'!$B:$B,$A310,'Таблиця 1'!$I:$I,"Mirage",'Таблиця 1'!$J:$J,"GBU-64")+SUMIFS('Таблиця 1'!$K:$K,'Таблиця 1'!$B:$B,$A310,'Таблиця 1'!$I:$I,"F-16",'Таблиця 1'!$J:$J,"GBU-64")+SUMIFS('Таблиця 1'!$K:$K,'Таблиця 1'!$B:$B,$A310,'Таблиця 1'!$I:$I,"МіГ-29",'Таблиця 1'!$J:$J,"GBU-64")+SUMIFS('Таблиця 1'!$K:$K,'Таблиця 1'!$B:$B,$A310,'Таблиця 1'!$I:$I,"Су-25",'Таблиця 1'!$J:$J,"GBU-64")+SUMIFS('Таблиця 1'!$K:$K,'Таблиця 1'!$B:$B,$A310,'Таблиця 1'!$I:$I,"Су-27",'Таблиця 1'!$J:$J,"GBU-64"))</f>
        <v/>
      </c>
      <c r="O310">
        <f>IF($A310="","",SUMIFS('Таблиця 1'!$K:$K,'Таблиця 1'!$B:$B,$A310,'Таблиця 1'!$I:$I,"Mirage",'Таблиця 1'!$J:$J,"C-13")+SUMIFS('Таблиця 1'!$K:$K,'Таблиця 1'!$B:$B,$A310,'Таблиця 1'!$I:$I,"F-16",'Таблиця 1'!$J:$J,"C-13")+SUMIFS('Таблиця 1'!$K:$K,'Таблиця 1'!$B:$B,$A310,'Таблиця 1'!$I:$I,"МіГ-29",'Таблиця 1'!$J:$J,"C-13")+SUMIFS('Таблиця 1'!$K:$K,'Таблиця 1'!$B:$B,$A310,'Таблиця 1'!$I:$I,"Су-25",'Таблиця 1'!$J:$J,"C-13")+SUMIFS('Таблиця 1'!$K:$K,'Таблиця 1'!$B:$B,$A310,'Таблиця 1'!$I:$I,"Су-27",'Таблиця 1'!$J:$J,"C-13"))</f>
        <v/>
      </c>
      <c r="P310">
        <f>IF($A310="","",SUMIFS('Таблиця 1'!$K:$K,'Таблиця 1'!$B:$B,$A310,'Таблиця 1'!$I:$I,"Mirage",'Таблиця 1'!$J:$J,"MK-32")+SUMIFS('Таблиця 1'!$K:$K,'Таблиця 1'!$B:$B,$A310,'Таблиця 1'!$I:$I,"F-16",'Таблиця 1'!$J:$J,"MK-32")+SUMIFS('Таблиця 1'!$K:$K,'Таблиця 1'!$B:$B,$A310,'Таблиця 1'!$I:$I,"МіГ-29",'Таблиця 1'!$J:$J,"MK-32")+SUMIFS('Таблиця 1'!$K:$K,'Таблиця 1'!$B:$B,$A310,'Таблиця 1'!$I:$I,"Су-25",'Таблиця 1'!$J:$J,"MK-32")+SUMIFS('Таблиця 1'!$K:$K,'Таблиця 1'!$B:$B,$A310,'Таблиця 1'!$I:$I,"Су-27",'Таблиця 1'!$J:$J,"MK-32"))</f>
        <v/>
      </c>
      <c r="Q310">
        <f>IF($A310="","",SUMIFS('Таблиця 1'!$K:$K,'Таблиця 1'!$B:$B,$A310,'Таблиця 1'!$I:$I,"Mirage",'Таблиця 1'!$J:$J,"MK-24")+SUMIFS('Таблиця 1'!$K:$K,'Таблиця 1'!$B:$B,$A310,'Таблиця 1'!$I:$I,"F-16",'Таблиця 1'!$J:$J,"MK-24")+SUMIFS('Таблиця 1'!$K:$K,'Таблиця 1'!$B:$B,$A310,'Таблиця 1'!$I:$I,"МіГ-29",'Таблиця 1'!$J:$J,"MK-24")+SUMIFS('Таблиця 1'!$K:$K,'Таблиця 1'!$B:$B,$A310,'Таблиця 1'!$I:$I,"Су-25",'Таблиця 1'!$J:$J,"MK-24")+SUMIFS('Таблиця 1'!$K:$K,'Таблиця 1'!$B:$B,$A310,'Таблиця 1'!$I:$I,"Су-27",'Таблиця 1'!$J:$J,"MK-24"))</f>
        <v/>
      </c>
      <c r="R310">
        <f>IF($A310="","",COUNTIFS('Таблиця 1'!$B:$B,$A310,'Таблиця 1'!$I:$I,"Mirage",'Таблиця 1'!$L:$L,"Уражено")+COUNTIFS('Таблиця 1'!$B:$B,$A310,'Таблиця 1'!$I:$I,"F-16",'Таблиця 1'!$L:$L,"Уражено")+COUNTIFS('Таблиця 1'!$B:$B,$A310,'Таблиця 1'!$I:$I,"МіГ-29",'Таблиця 1'!$L:$L,"Уражено")+COUNTIFS('Таблиця 1'!$B:$B,$A310,'Таблиця 1'!$I:$I,"Су-25",'Таблиця 1'!$L:$L,"Уражено")+COUNTIFS('Таблиця 1'!$B:$B,$A310,'Таблиця 1'!$I:$I,"Су-27",'Таблиця 1'!$L:$L,"Уражено"))</f>
        <v/>
      </c>
      <c r="S310">
        <f>IF($A310="","",COUNTIFS('Таблиця 1'!$B:$B,$A310,'Таблиця 1'!$I:$I,"Mirage",'Таблиця 1'!$L:$L,"НЕ уражено")+COUNTIFS('Таблиця 1'!$B:$B,$A310,'Таблиця 1'!$I:$I,"F-16",'Таблиця 1'!$L:$L,"НЕ уражено")+COUNTIFS('Таблиця 1'!$B:$B,$A310,'Таблиця 1'!$I:$I,"МіГ-29",'Таблиця 1'!$L:$L,"НЕ уражено")+COUNTIFS('Таблиця 1'!$B:$B,$A310,'Таблиця 1'!$I:$I,"Су-25",'Таблиця 1'!$L:$L,"НЕ уражено")+COUNTIFS('Таблиця 1'!$B:$B,$A310,'Таблиця 1'!$I:$I,"Су-27",'Таблиця 1'!$L:$L,"НЕ уражено"))</f>
        <v/>
      </c>
      <c r="T310">
        <f>IF($A310="","",COUNTIFS('Таблиця 1'!$B:$B,$A310,'Таблиця 1'!$I:$I,"Mirage",'Таблиця 1'!$L:$L,"Дорозвідується")+COUNTIFS('Таблиця 1'!$B:$B,$A310,'Таблиця 1'!$I:$I,"F-16",'Таблиця 1'!$L:$L,"Дорозвідується")+COUNTIFS('Таблиця 1'!$B:$B,$A310,'Таблиця 1'!$I:$I,"МіГ-29",'Таблиця 1'!$L:$L,"Дорозвідується")+COUNTIFS('Таблиця 1'!$B:$B,$A310,'Таблиця 1'!$I:$I,"Су-25",'Таблиця 1'!$L:$L,"Дорозвідується")+COUNTIFS('Таблиця 1'!$B:$B,$A310,'Таблиця 1'!$I:$I,"Су-27",'Таблиця 1'!$L:$L,"Дорозвідується"))</f>
        <v/>
      </c>
    </row>
    <row r="311">
      <c r="A311" s="273">
        <f>IF(A310="","",IF(A310+1&gt;MAX('Таблиця 1'!$B:$B),"",A310+1))</f>
        <v/>
      </c>
      <c r="B311">
        <f>IF($A311="","",COUNTIFS('Таблиця 1'!$B:$B,$A311,'Таблиця 1'!$I:$I,"Mirage")+COUNTIFS('Таблиця 1'!$B:$B,$A311,'Таблиця 1'!$I:$I,"F-16")+COUNTIFS('Таблиця 1'!$B:$B,$A311,'Таблиця 1'!$I:$I,"МіГ-29")+COUNTIFS('Таблиця 1'!$B:$B,$A311,'Таблиця 1'!$I:$I,"Су-25")+COUNTIFS('Таблиця 1'!$B:$B,$A311,'Таблиця 1'!$I:$I,"Су-27"))</f>
        <v/>
      </c>
      <c r="C311">
        <f>IF($A311="","",COUNTIFS('Таблиця 1'!$B:$B,$A311,'Таблиця 1'!$I:$I,"Mirage"))</f>
        <v/>
      </c>
      <c r="D311">
        <f>IF($A311="","",COUNTIFS('Таблиця 1'!$B:$B,$A311,'Таблиця 1'!$I:$I,"F-16"))</f>
        <v/>
      </c>
      <c r="E311">
        <f>IF($A311="","",COUNTIFS('Таблиця 1'!$B:$B,$A311,'Таблиця 1'!$I:$I,"МіГ-29"))</f>
        <v/>
      </c>
      <c r="F311">
        <f>IF($A311="","",COUNTIFS('Таблиця 1'!$B:$B,$A311,'Таблиця 1'!$I:$I,"Су-25"))</f>
        <v/>
      </c>
      <c r="G311">
        <f>IF($A311="","",COUNTIFS('Таблиця 1'!$B:$B,$A311,'Таблиця 1'!$I:$I,"Су-27"))</f>
        <v/>
      </c>
      <c r="H311">
        <f>IF($A311="","",SUMIFS('Таблиця 1'!$K:$K,'Таблиця 1'!$B:$B,$A311,'Таблиця 1'!$I:$I,"Mirage",'Таблиця 1'!$J:$J,"AGM-88")+SUMIFS('Таблиця 1'!$K:$K,'Таблиця 1'!$B:$B,$A311,'Таблиця 1'!$I:$I,"F-16",'Таблиця 1'!$J:$J,"AGM-88")+SUMIFS('Таблиця 1'!$K:$K,'Таблиця 1'!$B:$B,$A311,'Таблиця 1'!$I:$I,"МіГ-29",'Таблиця 1'!$J:$J,"AGM-88")+SUMIFS('Таблиця 1'!$K:$K,'Таблиця 1'!$B:$B,$A311,'Таблиця 1'!$I:$I,"Су-25",'Таблиця 1'!$J:$J,"AGM-88")+SUMIFS('Таблиця 1'!$K:$K,'Таблиця 1'!$B:$B,$A311,'Таблиця 1'!$I:$I,"Су-27",'Таблиця 1'!$J:$J,"AGM-88"))</f>
        <v/>
      </c>
      <c r="I311">
        <f>IF($A311="","",SUMIFS('Таблиця 1'!$K:$K,'Таблиця 1'!$B:$B,$A311,'Таблиця 1'!$I:$I,"Mirage",'Таблиця 1'!$J:$J,"AASM-250")+SUMIFS('Таблиця 1'!$K:$K,'Таблиця 1'!$B:$B,$A311,'Таблиця 1'!$I:$I,"F-16",'Таблиця 1'!$J:$J,"AASM-250")+SUMIFS('Таблиця 1'!$K:$K,'Таблиця 1'!$B:$B,$A311,'Таблиця 1'!$I:$I,"МіГ-29",'Таблиця 1'!$J:$J,"AASM-250")+SUMIFS('Таблиця 1'!$K:$K,'Таблиця 1'!$B:$B,$A311,'Таблиця 1'!$I:$I,"Су-25",'Таблиця 1'!$J:$J,"AASM-250")+SUMIFS('Таблиця 1'!$K:$K,'Таблиця 1'!$B:$B,$A311,'Таблиця 1'!$I:$I,"Су-27",'Таблиця 1'!$J:$J,"AASM-250"))</f>
        <v/>
      </c>
      <c r="J311">
        <f>IF($A311="","",SUMIFS('Таблиця 1'!$K:$K,'Таблиця 1'!$B:$B,$A311,'Таблиця 1'!$I:$I,"Mirage",'Таблиця 1'!$J:$J,"GBU-39")+SUMIFS('Таблиця 1'!$K:$K,'Таблиця 1'!$B:$B,$A311,'Таблиця 1'!$I:$I,"F-16",'Таблиця 1'!$J:$J,"GBU-39")+SUMIFS('Таблиця 1'!$K:$K,'Таблиця 1'!$B:$B,$A311,'Таблиця 1'!$I:$I,"МіГ-29",'Таблиця 1'!$J:$J,"GBU-39")+SUMIFS('Таблиця 1'!$K:$K,'Таблиця 1'!$B:$B,$A311,'Таблиця 1'!$I:$I,"Су-25",'Таблиця 1'!$J:$J,"GBU-39")+SUMIFS('Таблиця 1'!$K:$K,'Таблиця 1'!$B:$B,$A311,'Таблиця 1'!$I:$I,"Су-27",'Таблиця 1'!$J:$J,"GBU-39"))</f>
        <v/>
      </c>
      <c r="K311">
        <f>IF($A311="","",SUMIFS('Таблиця 1'!$K:$K,'Таблиця 1'!$B:$B,$A311,'Таблиця 1'!$I:$I,"Mirage",'Таблиця 1'!$J:$J,"BLU-140")+SUMIFS('Таблиця 1'!$K:$K,'Таблиця 1'!$B:$B,$A311,'Таблиця 1'!$I:$I,"F-16",'Таблиця 1'!$J:$J,"BLU-140")+SUMIFS('Таблиця 1'!$K:$K,'Таблиця 1'!$B:$B,$A311,'Таблиця 1'!$I:$I,"МіГ-29",'Таблиця 1'!$J:$J,"BLU-140")+SUMIFS('Таблиця 1'!$K:$K,'Таблиця 1'!$B:$B,$A311,'Таблиця 1'!$I:$I,"Су-25",'Таблиця 1'!$J:$J,"BLU-140")+SUMIFS('Таблиця 1'!$K:$K,'Таблиця 1'!$B:$B,$A311,'Таблиця 1'!$I:$I,"Су-27",'Таблиця 1'!$J:$J,"BLU-140"))</f>
        <v/>
      </c>
      <c r="L311">
        <f>IF($A311="","",SUMIFS('Таблиця 1'!$K:$K,'Таблиця 1'!$B:$B,$A311,'Таблиця 1'!$I:$I,"Mirage",'Таблиця 1'!$J:$J,"GBU-65")+SUMIFS('Таблиця 1'!$K:$K,'Таблиця 1'!$B:$B,$A311,'Таблиця 1'!$I:$I,"F-16",'Таблиця 1'!$J:$J,"GBU-65")+SUMIFS('Таблиця 1'!$K:$K,'Таблиця 1'!$B:$B,$A311,'Таблиця 1'!$I:$I,"МіГ-29",'Таблиця 1'!$J:$J,"GBU-65")+SUMIFS('Таблиця 1'!$K:$K,'Таблиця 1'!$B:$B,$A311,'Таблиця 1'!$I:$I,"Су-25",'Таблиця 1'!$J:$J,"GBU-65")+SUMIFS('Таблиця 1'!$K:$K,'Таблиця 1'!$B:$B,$A311,'Таблиця 1'!$I:$I,"Су-27",'Таблиця 1'!$J:$J,"GBU-65"))</f>
        <v/>
      </c>
      <c r="M311">
        <f>IF($A311="","",SUMIFS('Таблиця 1'!$K:$K,'Таблиця 1'!$B:$B,$A311,'Таблиця 1'!$I:$I,"Mirage",'Таблиця 1'!$J:$J,"GBU-62")+SUMIFS('Таблиця 1'!$K:$K,'Таблиця 1'!$B:$B,$A311,'Таблиця 1'!$I:$I,"F-16",'Таблиця 1'!$J:$J,"GBU-62")+SUMIFS('Таблиця 1'!$K:$K,'Таблиця 1'!$B:$B,$A311,'Таблиця 1'!$I:$I,"МіГ-29",'Таблиця 1'!$J:$J,"GBU-62")+SUMIFS('Таблиця 1'!$K:$K,'Таблиця 1'!$B:$B,$A311,'Таблиця 1'!$I:$I,"Су-25",'Таблиця 1'!$J:$J,"GBU-62")+SUMIFS('Таблиця 1'!$K:$K,'Таблиця 1'!$B:$B,$A311,'Таблиця 1'!$I:$I,"Су-27",'Таблиця 1'!$J:$J,"GBU-62"))</f>
        <v/>
      </c>
      <c r="N311">
        <f>IF($A311="","",SUMIFS('Таблиця 1'!$K:$K,'Таблиця 1'!$B:$B,$A311,'Таблиця 1'!$I:$I,"Mirage",'Таблиця 1'!$J:$J,"GBU-64")+SUMIFS('Таблиця 1'!$K:$K,'Таблиця 1'!$B:$B,$A311,'Таблиця 1'!$I:$I,"F-16",'Таблиця 1'!$J:$J,"GBU-64")+SUMIFS('Таблиця 1'!$K:$K,'Таблиця 1'!$B:$B,$A311,'Таблиця 1'!$I:$I,"МіГ-29",'Таблиця 1'!$J:$J,"GBU-64")+SUMIFS('Таблиця 1'!$K:$K,'Таблиця 1'!$B:$B,$A311,'Таблиця 1'!$I:$I,"Су-25",'Таблиця 1'!$J:$J,"GBU-64")+SUMIFS('Таблиця 1'!$K:$K,'Таблиця 1'!$B:$B,$A311,'Таблиця 1'!$I:$I,"Су-27",'Таблиця 1'!$J:$J,"GBU-64"))</f>
        <v/>
      </c>
      <c r="O311">
        <f>IF($A311="","",SUMIFS('Таблиця 1'!$K:$K,'Таблиця 1'!$B:$B,$A311,'Таблиця 1'!$I:$I,"Mirage",'Таблиця 1'!$J:$J,"C-13")+SUMIFS('Таблиця 1'!$K:$K,'Таблиця 1'!$B:$B,$A311,'Таблиця 1'!$I:$I,"F-16",'Таблиця 1'!$J:$J,"C-13")+SUMIFS('Таблиця 1'!$K:$K,'Таблиця 1'!$B:$B,$A311,'Таблиця 1'!$I:$I,"МіГ-29",'Таблиця 1'!$J:$J,"C-13")+SUMIFS('Таблиця 1'!$K:$K,'Таблиця 1'!$B:$B,$A311,'Таблиця 1'!$I:$I,"Су-25",'Таблиця 1'!$J:$J,"C-13")+SUMIFS('Таблиця 1'!$K:$K,'Таблиця 1'!$B:$B,$A311,'Таблиця 1'!$I:$I,"Су-27",'Таблиця 1'!$J:$J,"C-13"))</f>
        <v/>
      </c>
      <c r="P311">
        <f>IF($A311="","",SUMIFS('Таблиця 1'!$K:$K,'Таблиця 1'!$B:$B,$A311,'Таблиця 1'!$I:$I,"Mirage",'Таблиця 1'!$J:$J,"MK-32")+SUMIFS('Таблиця 1'!$K:$K,'Таблиця 1'!$B:$B,$A311,'Таблиця 1'!$I:$I,"F-16",'Таблиця 1'!$J:$J,"MK-32")+SUMIFS('Таблиця 1'!$K:$K,'Таблиця 1'!$B:$B,$A311,'Таблиця 1'!$I:$I,"МіГ-29",'Таблиця 1'!$J:$J,"MK-32")+SUMIFS('Таблиця 1'!$K:$K,'Таблиця 1'!$B:$B,$A311,'Таблиця 1'!$I:$I,"Су-25",'Таблиця 1'!$J:$J,"MK-32")+SUMIFS('Таблиця 1'!$K:$K,'Таблиця 1'!$B:$B,$A311,'Таблиця 1'!$I:$I,"Су-27",'Таблиця 1'!$J:$J,"MK-32"))</f>
        <v/>
      </c>
      <c r="Q311">
        <f>IF($A311="","",SUMIFS('Таблиця 1'!$K:$K,'Таблиця 1'!$B:$B,$A311,'Таблиця 1'!$I:$I,"Mirage",'Таблиця 1'!$J:$J,"MK-24")+SUMIFS('Таблиця 1'!$K:$K,'Таблиця 1'!$B:$B,$A311,'Таблиця 1'!$I:$I,"F-16",'Таблиця 1'!$J:$J,"MK-24")+SUMIFS('Таблиця 1'!$K:$K,'Таблиця 1'!$B:$B,$A311,'Таблиця 1'!$I:$I,"МіГ-29",'Таблиця 1'!$J:$J,"MK-24")+SUMIFS('Таблиця 1'!$K:$K,'Таблиця 1'!$B:$B,$A311,'Таблиця 1'!$I:$I,"Су-25",'Таблиця 1'!$J:$J,"MK-24")+SUMIFS('Таблиця 1'!$K:$K,'Таблиця 1'!$B:$B,$A311,'Таблиця 1'!$I:$I,"Су-27",'Таблиця 1'!$J:$J,"MK-24"))</f>
        <v/>
      </c>
      <c r="R311">
        <f>IF($A311="","",COUNTIFS('Таблиця 1'!$B:$B,$A311,'Таблиця 1'!$I:$I,"Mirage",'Таблиця 1'!$L:$L,"Уражено")+COUNTIFS('Таблиця 1'!$B:$B,$A311,'Таблиця 1'!$I:$I,"F-16",'Таблиця 1'!$L:$L,"Уражено")+COUNTIFS('Таблиця 1'!$B:$B,$A311,'Таблиця 1'!$I:$I,"МіГ-29",'Таблиця 1'!$L:$L,"Уражено")+COUNTIFS('Таблиця 1'!$B:$B,$A311,'Таблиця 1'!$I:$I,"Су-25",'Таблиця 1'!$L:$L,"Уражено")+COUNTIFS('Таблиця 1'!$B:$B,$A311,'Таблиця 1'!$I:$I,"Су-27",'Таблиця 1'!$L:$L,"Уражено"))</f>
        <v/>
      </c>
      <c r="S311">
        <f>IF($A311="","",COUNTIFS('Таблиця 1'!$B:$B,$A311,'Таблиця 1'!$I:$I,"Mirage",'Таблиця 1'!$L:$L,"НЕ уражено")+COUNTIFS('Таблиця 1'!$B:$B,$A311,'Таблиця 1'!$I:$I,"F-16",'Таблиця 1'!$L:$L,"НЕ уражено")+COUNTIFS('Таблиця 1'!$B:$B,$A311,'Таблиця 1'!$I:$I,"МіГ-29",'Таблиця 1'!$L:$L,"НЕ уражено")+COUNTIFS('Таблиця 1'!$B:$B,$A311,'Таблиця 1'!$I:$I,"Су-25",'Таблиця 1'!$L:$L,"НЕ уражено")+COUNTIFS('Таблиця 1'!$B:$B,$A311,'Таблиця 1'!$I:$I,"Су-27",'Таблиця 1'!$L:$L,"НЕ уражено"))</f>
        <v/>
      </c>
      <c r="T311">
        <f>IF($A311="","",COUNTIFS('Таблиця 1'!$B:$B,$A311,'Таблиця 1'!$I:$I,"Mirage",'Таблиця 1'!$L:$L,"Дорозвідується")+COUNTIFS('Таблиця 1'!$B:$B,$A311,'Таблиця 1'!$I:$I,"F-16",'Таблиця 1'!$L:$L,"Дорозвідується")+COUNTIFS('Таблиця 1'!$B:$B,$A311,'Таблиця 1'!$I:$I,"МіГ-29",'Таблиця 1'!$L:$L,"Дорозвідується")+COUNTIFS('Таблиця 1'!$B:$B,$A311,'Таблиця 1'!$I:$I,"Су-25",'Таблиця 1'!$L:$L,"Дорозвідується")+COUNTIFS('Таблиця 1'!$B:$B,$A311,'Таблиця 1'!$I:$I,"Су-27",'Таблиця 1'!$L:$L,"Дорозвідується"))</f>
        <v/>
      </c>
    </row>
    <row r="312">
      <c r="A312" s="273">
        <f>IF(A311="","",IF(A311+1&gt;MAX('Таблиця 1'!$B:$B),"",A311+1))</f>
        <v/>
      </c>
      <c r="B312">
        <f>IF($A312="","",COUNTIFS('Таблиця 1'!$B:$B,$A312,'Таблиця 1'!$I:$I,"Mirage")+COUNTIFS('Таблиця 1'!$B:$B,$A312,'Таблиця 1'!$I:$I,"F-16")+COUNTIFS('Таблиця 1'!$B:$B,$A312,'Таблиця 1'!$I:$I,"МіГ-29")+COUNTIFS('Таблиця 1'!$B:$B,$A312,'Таблиця 1'!$I:$I,"Су-25")+COUNTIFS('Таблиця 1'!$B:$B,$A312,'Таблиця 1'!$I:$I,"Су-27"))</f>
        <v/>
      </c>
      <c r="C312">
        <f>IF($A312="","",COUNTIFS('Таблиця 1'!$B:$B,$A312,'Таблиця 1'!$I:$I,"Mirage"))</f>
        <v/>
      </c>
      <c r="D312">
        <f>IF($A312="","",COUNTIFS('Таблиця 1'!$B:$B,$A312,'Таблиця 1'!$I:$I,"F-16"))</f>
        <v/>
      </c>
      <c r="E312">
        <f>IF($A312="","",COUNTIFS('Таблиця 1'!$B:$B,$A312,'Таблиця 1'!$I:$I,"МіГ-29"))</f>
        <v/>
      </c>
      <c r="F312">
        <f>IF($A312="","",COUNTIFS('Таблиця 1'!$B:$B,$A312,'Таблиця 1'!$I:$I,"Су-25"))</f>
        <v/>
      </c>
      <c r="G312">
        <f>IF($A312="","",COUNTIFS('Таблиця 1'!$B:$B,$A312,'Таблиця 1'!$I:$I,"Су-27"))</f>
        <v/>
      </c>
      <c r="H312">
        <f>IF($A312="","",SUMIFS('Таблиця 1'!$K:$K,'Таблиця 1'!$B:$B,$A312,'Таблиця 1'!$I:$I,"Mirage",'Таблиця 1'!$J:$J,"AGM-88")+SUMIFS('Таблиця 1'!$K:$K,'Таблиця 1'!$B:$B,$A312,'Таблиця 1'!$I:$I,"F-16",'Таблиця 1'!$J:$J,"AGM-88")+SUMIFS('Таблиця 1'!$K:$K,'Таблиця 1'!$B:$B,$A312,'Таблиця 1'!$I:$I,"МіГ-29",'Таблиця 1'!$J:$J,"AGM-88")+SUMIFS('Таблиця 1'!$K:$K,'Таблиця 1'!$B:$B,$A312,'Таблиця 1'!$I:$I,"Су-25",'Таблиця 1'!$J:$J,"AGM-88")+SUMIFS('Таблиця 1'!$K:$K,'Таблиця 1'!$B:$B,$A312,'Таблиця 1'!$I:$I,"Су-27",'Таблиця 1'!$J:$J,"AGM-88"))</f>
        <v/>
      </c>
      <c r="I312">
        <f>IF($A312="","",SUMIFS('Таблиця 1'!$K:$K,'Таблиця 1'!$B:$B,$A312,'Таблиця 1'!$I:$I,"Mirage",'Таблиця 1'!$J:$J,"AASM-250")+SUMIFS('Таблиця 1'!$K:$K,'Таблиця 1'!$B:$B,$A312,'Таблиця 1'!$I:$I,"F-16",'Таблиця 1'!$J:$J,"AASM-250")+SUMIFS('Таблиця 1'!$K:$K,'Таблиця 1'!$B:$B,$A312,'Таблиця 1'!$I:$I,"МіГ-29",'Таблиця 1'!$J:$J,"AASM-250")+SUMIFS('Таблиця 1'!$K:$K,'Таблиця 1'!$B:$B,$A312,'Таблиця 1'!$I:$I,"Су-25",'Таблиця 1'!$J:$J,"AASM-250")+SUMIFS('Таблиця 1'!$K:$K,'Таблиця 1'!$B:$B,$A312,'Таблиця 1'!$I:$I,"Су-27",'Таблиця 1'!$J:$J,"AASM-250"))</f>
        <v/>
      </c>
      <c r="J312">
        <f>IF($A312="","",SUMIFS('Таблиця 1'!$K:$K,'Таблиця 1'!$B:$B,$A312,'Таблиця 1'!$I:$I,"Mirage",'Таблиця 1'!$J:$J,"GBU-39")+SUMIFS('Таблиця 1'!$K:$K,'Таблиця 1'!$B:$B,$A312,'Таблиця 1'!$I:$I,"F-16",'Таблиця 1'!$J:$J,"GBU-39")+SUMIFS('Таблиця 1'!$K:$K,'Таблиця 1'!$B:$B,$A312,'Таблиця 1'!$I:$I,"МіГ-29",'Таблиця 1'!$J:$J,"GBU-39")+SUMIFS('Таблиця 1'!$K:$K,'Таблиця 1'!$B:$B,$A312,'Таблиця 1'!$I:$I,"Су-25",'Таблиця 1'!$J:$J,"GBU-39")+SUMIFS('Таблиця 1'!$K:$K,'Таблиця 1'!$B:$B,$A312,'Таблиця 1'!$I:$I,"Су-27",'Таблиця 1'!$J:$J,"GBU-39"))</f>
        <v/>
      </c>
      <c r="K312">
        <f>IF($A312="","",SUMIFS('Таблиця 1'!$K:$K,'Таблиця 1'!$B:$B,$A312,'Таблиця 1'!$I:$I,"Mirage",'Таблиця 1'!$J:$J,"BLU-140")+SUMIFS('Таблиця 1'!$K:$K,'Таблиця 1'!$B:$B,$A312,'Таблиця 1'!$I:$I,"F-16",'Таблиця 1'!$J:$J,"BLU-140")+SUMIFS('Таблиця 1'!$K:$K,'Таблиця 1'!$B:$B,$A312,'Таблиця 1'!$I:$I,"МіГ-29",'Таблиця 1'!$J:$J,"BLU-140")+SUMIFS('Таблиця 1'!$K:$K,'Таблиця 1'!$B:$B,$A312,'Таблиця 1'!$I:$I,"Су-25",'Таблиця 1'!$J:$J,"BLU-140")+SUMIFS('Таблиця 1'!$K:$K,'Таблиця 1'!$B:$B,$A312,'Таблиця 1'!$I:$I,"Су-27",'Таблиця 1'!$J:$J,"BLU-140"))</f>
        <v/>
      </c>
      <c r="L312">
        <f>IF($A312="","",SUMIFS('Таблиця 1'!$K:$K,'Таблиця 1'!$B:$B,$A312,'Таблиця 1'!$I:$I,"Mirage",'Таблиця 1'!$J:$J,"GBU-65")+SUMIFS('Таблиця 1'!$K:$K,'Таблиця 1'!$B:$B,$A312,'Таблиця 1'!$I:$I,"F-16",'Таблиця 1'!$J:$J,"GBU-65")+SUMIFS('Таблиця 1'!$K:$K,'Таблиця 1'!$B:$B,$A312,'Таблиця 1'!$I:$I,"МіГ-29",'Таблиця 1'!$J:$J,"GBU-65")+SUMIFS('Таблиця 1'!$K:$K,'Таблиця 1'!$B:$B,$A312,'Таблиця 1'!$I:$I,"Су-25",'Таблиця 1'!$J:$J,"GBU-65")+SUMIFS('Таблиця 1'!$K:$K,'Таблиця 1'!$B:$B,$A312,'Таблиця 1'!$I:$I,"Су-27",'Таблиця 1'!$J:$J,"GBU-65"))</f>
        <v/>
      </c>
      <c r="M312">
        <f>IF($A312="","",SUMIFS('Таблиця 1'!$K:$K,'Таблиця 1'!$B:$B,$A312,'Таблиця 1'!$I:$I,"Mirage",'Таблиця 1'!$J:$J,"GBU-62")+SUMIFS('Таблиця 1'!$K:$K,'Таблиця 1'!$B:$B,$A312,'Таблиця 1'!$I:$I,"F-16",'Таблиця 1'!$J:$J,"GBU-62")+SUMIFS('Таблиця 1'!$K:$K,'Таблиця 1'!$B:$B,$A312,'Таблиця 1'!$I:$I,"МіГ-29",'Таблиця 1'!$J:$J,"GBU-62")+SUMIFS('Таблиця 1'!$K:$K,'Таблиця 1'!$B:$B,$A312,'Таблиця 1'!$I:$I,"Су-25",'Таблиця 1'!$J:$J,"GBU-62")+SUMIFS('Таблиця 1'!$K:$K,'Таблиця 1'!$B:$B,$A312,'Таблиця 1'!$I:$I,"Су-27",'Таблиця 1'!$J:$J,"GBU-62"))</f>
        <v/>
      </c>
      <c r="N312">
        <f>IF($A312="","",SUMIFS('Таблиця 1'!$K:$K,'Таблиця 1'!$B:$B,$A312,'Таблиця 1'!$I:$I,"Mirage",'Таблиця 1'!$J:$J,"GBU-64")+SUMIFS('Таблиця 1'!$K:$K,'Таблиця 1'!$B:$B,$A312,'Таблиця 1'!$I:$I,"F-16",'Таблиця 1'!$J:$J,"GBU-64")+SUMIFS('Таблиця 1'!$K:$K,'Таблиця 1'!$B:$B,$A312,'Таблиця 1'!$I:$I,"МіГ-29",'Таблиця 1'!$J:$J,"GBU-64")+SUMIFS('Таблиця 1'!$K:$K,'Таблиця 1'!$B:$B,$A312,'Таблиця 1'!$I:$I,"Су-25",'Таблиця 1'!$J:$J,"GBU-64")+SUMIFS('Таблиця 1'!$K:$K,'Таблиця 1'!$B:$B,$A312,'Таблиця 1'!$I:$I,"Су-27",'Таблиця 1'!$J:$J,"GBU-64"))</f>
        <v/>
      </c>
      <c r="O312">
        <f>IF($A312="","",SUMIFS('Таблиця 1'!$K:$K,'Таблиця 1'!$B:$B,$A312,'Таблиця 1'!$I:$I,"Mirage",'Таблиця 1'!$J:$J,"C-13")+SUMIFS('Таблиця 1'!$K:$K,'Таблиця 1'!$B:$B,$A312,'Таблиця 1'!$I:$I,"F-16",'Таблиця 1'!$J:$J,"C-13")+SUMIFS('Таблиця 1'!$K:$K,'Таблиця 1'!$B:$B,$A312,'Таблиця 1'!$I:$I,"МіГ-29",'Таблиця 1'!$J:$J,"C-13")+SUMIFS('Таблиця 1'!$K:$K,'Таблиця 1'!$B:$B,$A312,'Таблиця 1'!$I:$I,"Су-25",'Таблиця 1'!$J:$J,"C-13")+SUMIFS('Таблиця 1'!$K:$K,'Таблиця 1'!$B:$B,$A312,'Таблиця 1'!$I:$I,"Су-27",'Таблиця 1'!$J:$J,"C-13"))</f>
        <v/>
      </c>
      <c r="P312">
        <f>IF($A312="","",SUMIFS('Таблиця 1'!$K:$K,'Таблиця 1'!$B:$B,$A312,'Таблиця 1'!$I:$I,"Mirage",'Таблиця 1'!$J:$J,"MK-32")+SUMIFS('Таблиця 1'!$K:$K,'Таблиця 1'!$B:$B,$A312,'Таблиця 1'!$I:$I,"F-16",'Таблиця 1'!$J:$J,"MK-32")+SUMIFS('Таблиця 1'!$K:$K,'Таблиця 1'!$B:$B,$A312,'Таблиця 1'!$I:$I,"МіГ-29",'Таблиця 1'!$J:$J,"MK-32")+SUMIFS('Таблиця 1'!$K:$K,'Таблиця 1'!$B:$B,$A312,'Таблиця 1'!$I:$I,"Су-25",'Таблиця 1'!$J:$J,"MK-32")+SUMIFS('Таблиця 1'!$K:$K,'Таблиця 1'!$B:$B,$A312,'Таблиця 1'!$I:$I,"Су-27",'Таблиця 1'!$J:$J,"MK-32"))</f>
        <v/>
      </c>
      <c r="Q312">
        <f>IF($A312="","",SUMIFS('Таблиця 1'!$K:$K,'Таблиця 1'!$B:$B,$A312,'Таблиця 1'!$I:$I,"Mirage",'Таблиця 1'!$J:$J,"MK-24")+SUMIFS('Таблиця 1'!$K:$K,'Таблиця 1'!$B:$B,$A312,'Таблиця 1'!$I:$I,"F-16",'Таблиця 1'!$J:$J,"MK-24")+SUMIFS('Таблиця 1'!$K:$K,'Таблиця 1'!$B:$B,$A312,'Таблиця 1'!$I:$I,"МіГ-29",'Таблиця 1'!$J:$J,"MK-24")+SUMIFS('Таблиця 1'!$K:$K,'Таблиця 1'!$B:$B,$A312,'Таблиця 1'!$I:$I,"Су-25",'Таблиця 1'!$J:$J,"MK-24")+SUMIFS('Таблиця 1'!$K:$K,'Таблиця 1'!$B:$B,$A312,'Таблиця 1'!$I:$I,"Су-27",'Таблиця 1'!$J:$J,"MK-24"))</f>
        <v/>
      </c>
      <c r="R312">
        <f>IF($A312="","",COUNTIFS('Таблиця 1'!$B:$B,$A312,'Таблиця 1'!$I:$I,"Mirage",'Таблиця 1'!$L:$L,"Уражено")+COUNTIFS('Таблиця 1'!$B:$B,$A312,'Таблиця 1'!$I:$I,"F-16",'Таблиця 1'!$L:$L,"Уражено")+COUNTIFS('Таблиця 1'!$B:$B,$A312,'Таблиця 1'!$I:$I,"МіГ-29",'Таблиця 1'!$L:$L,"Уражено")+COUNTIFS('Таблиця 1'!$B:$B,$A312,'Таблиця 1'!$I:$I,"Су-25",'Таблиця 1'!$L:$L,"Уражено")+COUNTIFS('Таблиця 1'!$B:$B,$A312,'Таблиця 1'!$I:$I,"Су-27",'Таблиця 1'!$L:$L,"Уражено"))</f>
        <v/>
      </c>
      <c r="S312">
        <f>IF($A312="","",COUNTIFS('Таблиця 1'!$B:$B,$A312,'Таблиця 1'!$I:$I,"Mirage",'Таблиця 1'!$L:$L,"НЕ уражено")+COUNTIFS('Таблиця 1'!$B:$B,$A312,'Таблиця 1'!$I:$I,"F-16",'Таблиця 1'!$L:$L,"НЕ уражено")+COUNTIFS('Таблиця 1'!$B:$B,$A312,'Таблиця 1'!$I:$I,"МіГ-29",'Таблиця 1'!$L:$L,"НЕ уражено")+COUNTIFS('Таблиця 1'!$B:$B,$A312,'Таблиця 1'!$I:$I,"Су-25",'Таблиця 1'!$L:$L,"НЕ уражено")+COUNTIFS('Таблиця 1'!$B:$B,$A312,'Таблиця 1'!$I:$I,"Су-27",'Таблиця 1'!$L:$L,"НЕ уражено"))</f>
        <v/>
      </c>
      <c r="T312">
        <f>IF($A312="","",COUNTIFS('Таблиця 1'!$B:$B,$A312,'Таблиця 1'!$I:$I,"Mirage",'Таблиця 1'!$L:$L,"Дорозвідується")+COUNTIFS('Таблиця 1'!$B:$B,$A312,'Таблиця 1'!$I:$I,"F-16",'Таблиця 1'!$L:$L,"Дорозвідується")+COUNTIFS('Таблиця 1'!$B:$B,$A312,'Таблиця 1'!$I:$I,"МіГ-29",'Таблиця 1'!$L:$L,"Дорозвідується")+COUNTIFS('Таблиця 1'!$B:$B,$A312,'Таблиця 1'!$I:$I,"Су-25",'Таблиця 1'!$L:$L,"Дорозвідується")+COUNTIFS('Таблиця 1'!$B:$B,$A312,'Таблиця 1'!$I:$I,"Су-27",'Таблиця 1'!$L:$L,"Дорозвідується"))</f>
        <v/>
      </c>
    </row>
    <row r="313">
      <c r="A313" s="273">
        <f>IF(A312="","",IF(A312+1&gt;MAX('Таблиця 1'!$B:$B),"",A312+1))</f>
        <v/>
      </c>
      <c r="B313">
        <f>IF($A313="","",COUNTIFS('Таблиця 1'!$B:$B,$A313,'Таблиця 1'!$I:$I,"Mirage")+COUNTIFS('Таблиця 1'!$B:$B,$A313,'Таблиця 1'!$I:$I,"F-16")+COUNTIFS('Таблиця 1'!$B:$B,$A313,'Таблиця 1'!$I:$I,"МіГ-29")+COUNTIFS('Таблиця 1'!$B:$B,$A313,'Таблиця 1'!$I:$I,"Су-25")+COUNTIFS('Таблиця 1'!$B:$B,$A313,'Таблиця 1'!$I:$I,"Су-27"))</f>
        <v/>
      </c>
      <c r="C313">
        <f>IF($A313="","",COUNTIFS('Таблиця 1'!$B:$B,$A313,'Таблиця 1'!$I:$I,"Mirage"))</f>
        <v/>
      </c>
      <c r="D313">
        <f>IF($A313="","",COUNTIFS('Таблиця 1'!$B:$B,$A313,'Таблиця 1'!$I:$I,"F-16"))</f>
        <v/>
      </c>
      <c r="E313">
        <f>IF($A313="","",COUNTIFS('Таблиця 1'!$B:$B,$A313,'Таблиця 1'!$I:$I,"МіГ-29"))</f>
        <v/>
      </c>
      <c r="F313">
        <f>IF($A313="","",COUNTIFS('Таблиця 1'!$B:$B,$A313,'Таблиця 1'!$I:$I,"Су-25"))</f>
        <v/>
      </c>
      <c r="G313">
        <f>IF($A313="","",COUNTIFS('Таблиця 1'!$B:$B,$A313,'Таблиця 1'!$I:$I,"Су-27"))</f>
        <v/>
      </c>
      <c r="H313">
        <f>IF($A313="","",SUMIFS('Таблиця 1'!$K:$K,'Таблиця 1'!$B:$B,$A313,'Таблиця 1'!$I:$I,"Mirage",'Таблиця 1'!$J:$J,"AGM-88")+SUMIFS('Таблиця 1'!$K:$K,'Таблиця 1'!$B:$B,$A313,'Таблиця 1'!$I:$I,"F-16",'Таблиця 1'!$J:$J,"AGM-88")+SUMIFS('Таблиця 1'!$K:$K,'Таблиця 1'!$B:$B,$A313,'Таблиця 1'!$I:$I,"МіГ-29",'Таблиця 1'!$J:$J,"AGM-88")+SUMIFS('Таблиця 1'!$K:$K,'Таблиця 1'!$B:$B,$A313,'Таблиця 1'!$I:$I,"Су-25",'Таблиця 1'!$J:$J,"AGM-88")+SUMIFS('Таблиця 1'!$K:$K,'Таблиця 1'!$B:$B,$A313,'Таблиця 1'!$I:$I,"Су-27",'Таблиця 1'!$J:$J,"AGM-88"))</f>
        <v/>
      </c>
      <c r="I313">
        <f>IF($A313="","",SUMIFS('Таблиця 1'!$K:$K,'Таблиця 1'!$B:$B,$A313,'Таблиця 1'!$I:$I,"Mirage",'Таблиця 1'!$J:$J,"AASM-250")+SUMIFS('Таблиця 1'!$K:$K,'Таблиця 1'!$B:$B,$A313,'Таблиця 1'!$I:$I,"F-16",'Таблиця 1'!$J:$J,"AASM-250")+SUMIFS('Таблиця 1'!$K:$K,'Таблиця 1'!$B:$B,$A313,'Таблиця 1'!$I:$I,"МіГ-29",'Таблиця 1'!$J:$J,"AASM-250")+SUMIFS('Таблиця 1'!$K:$K,'Таблиця 1'!$B:$B,$A313,'Таблиця 1'!$I:$I,"Су-25",'Таблиця 1'!$J:$J,"AASM-250")+SUMIFS('Таблиця 1'!$K:$K,'Таблиця 1'!$B:$B,$A313,'Таблиця 1'!$I:$I,"Су-27",'Таблиця 1'!$J:$J,"AASM-250"))</f>
        <v/>
      </c>
      <c r="J313">
        <f>IF($A313="","",SUMIFS('Таблиця 1'!$K:$K,'Таблиця 1'!$B:$B,$A313,'Таблиця 1'!$I:$I,"Mirage",'Таблиця 1'!$J:$J,"GBU-39")+SUMIFS('Таблиця 1'!$K:$K,'Таблиця 1'!$B:$B,$A313,'Таблиця 1'!$I:$I,"F-16",'Таблиця 1'!$J:$J,"GBU-39")+SUMIFS('Таблиця 1'!$K:$K,'Таблиця 1'!$B:$B,$A313,'Таблиця 1'!$I:$I,"МіГ-29",'Таблиця 1'!$J:$J,"GBU-39")+SUMIFS('Таблиця 1'!$K:$K,'Таблиця 1'!$B:$B,$A313,'Таблиця 1'!$I:$I,"Су-25",'Таблиця 1'!$J:$J,"GBU-39")+SUMIFS('Таблиця 1'!$K:$K,'Таблиця 1'!$B:$B,$A313,'Таблиця 1'!$I:$I,"Су-27",'Таблиця 1'!$J:$J,"GBU-39"))</f>
        <v/>
      </c>
      <c r="K313">
        <f>IF($A313="","",SUMIFS('Таблиця 1'!$K:$K,'Таблиця 1'!$B:$B,$A313,'Таблиця 1'!$I:$I,"Mirage",'Таблиця 1'!$J:$J,"BLU-140")+SUMIFS('Таблиця 1'!$K:$K,'Таблиця 1'!$B:$B,$A313,'Таблиця 1'!$I:$I,"F-16",'Таблиця 1'!$J:$J,"BLU-140")+SUMIFS('Таблиця 1'!$K:$K,'Таблиця 1'!$B:$B,$A313,'Таблиця 1'!$I:$I,"МіГ-29",'Таблиця 1'!$J:$J,"BLU-140")+SUMIFS('Таблиця 1'!$K:$K,'Таблиця 1'!$B:$B,$A313,'Таблиця 1'!$I:$I,"Су-25",'Таблиця 1'!$J:$J,"BLU-140")+SUMIFS('Таблиця 1'!$K:$K,'Таблиця 1'!$B:$B,$A313,'Таблиця 1'!$I:$I,"Су-27",'Таблиця 1'!$J:$J,"BLU-140"))</f>
        <v/>
      </c>
      <c r="L313">
        <f>IF($A313="","",SUMIFS('Таблиця 1'!$K:$K,'Таблиця 1'!$B:$B,$A313,'Таблиця 1'!$I:$I,"Mirage",'Таблиця 1'!$J:$J,"GBU-65")+SUMIFS('Таблиця 1'!$K:$K,'Таблиця 1'!$B:$B,$A313,'Таблиця 1'!$I:$I,"F-16",'Таблиця 1'!$J:$J,"GBU-65")+SUMIFS('Таблиця 1'!$K:$K,'Таблиця 1'!$B:$B,$A313,'Таблиця 1'!$I:$I,"МіГ-29",'Таблиця 1'!$J:$J,"GBU-65")+SUMIFS('Таблиця 1'!$K:$K,'Таблиця 1'!$B:$B,$A313,'Таблиця 1'!$I:$I,"Су-25",'Таблиця 1'!$J:$J,"GBU-65")+SUMIFS('Таблиця 1'!$K:$K,'Таблиця 1'!$B:$B,$A313,'Таблиця 1'!$I:$I,"Су-27",'Таблиця 1'!$J:$J,"GBU-65"))</f>
        <v/>
      </c>
      <c r="M313">
        <f>IF($A313="","",SUMIFS('Таблиця 1'!$K:$K,'Таблиця 1'!$B:$B,$A313,'Таблиця 1'!$I:$I,"Mirage",'Таблиця 1'!$J:$J,"GBU-62")+SUMIFS('Таблиця 1'!$K:$K,'Таблиця 1'!$B:$B,$A313,'Таблиця 1'!$I:$I,"F-16",'Таблиця 1'!$J:$J,"GBU-62")+SUMIFS('Таблиця 1'!$K:$K,'Таблиця 1'!$B:$B,$A313,'Таблиця 1'!$I:$I,"МіГ-29",'Таблиця 1'!$J:$J,"GBU-62")+SUMIFS('Таблиця 1'!$K:$K,'Таблиця 1'!$B:$B,$A313,'Таблиця 1'!$I:$I,"Су-25",'Таблиця 1'!$J:$J,"GBU-62")+SUMIFS('Таблиця 1'!$K:$K,'Таблиця 1'!$B:$B,$A313,'Таблиця 1'!$I:$I,"Су-27",'Таблиця 1'!$J:$J,"GBU-62"))</f>
        <v/>
      </c>
      <c r="N313">
        <f>IF($A313="","",SUMIFS('Таблиця 1'!$K:$K,'Таблиця 1'!$B:$B,$A313,'Таблиця 1'!$I:$I,"Mirage",'Таблиця 1'!$J:$J,"GBU-64")+SUMIFS('Таблиця 1'!$K:$K,'Таблиця 1'!$B:$B,$A313,'Таблиця 1'!$I:$I,"F-16",'Таблиця 1'!$J:$J,"GBU-64")+SUMIFS('Таблиця 1'!$K:$K,'Таблиця 1'!$B:$B,$A313,'Таблиця 1'!$I:$I,"МіГ-29",'Таблиця 1'!$J:$J,"GBU-64")+SUMIFS('Таблиця 1'!$K:$K,'Таблиця 1'!$B:$B,$A313,'Таблиця 1'!$I:$I,"Су-25",'Таблиця 1'!$J:$J,"GBU-64")+SUMIFS('Таблиця 1'!$K:$K,'Таблиця 1'!$B:$B,$A313,'Таблиця 1'!$I:$I,"Су-27",'Таблиця 1'!$J:$J,"GBU-64"))</f>
        <v/>
      </c>
      <c r="O313">
        <f>IF($A313="","",SUMIFS('Таблиця 1'!$K:$K,'Таблиця 1'!$B:$B,$A313,'Таблиця 1'!$I:$I,"Mirage",'Таблиця 1'!$J:$J,"C-13")+SUMIFS('Таблиця 1'!$K:$K,'Таблиця 1'!$B:$B,$A313,'Таблиця 1'!$I:$I,"F-16",'Таблиця 1'!$J:$J,"C-13")+SUMIFS('Таблиця 1'!$K:$K,'Таблиця 1'!$B:$B,$A313,'Таблиця 1'!$I:$I,"МіГ-29",'Таблиця 1'!$J:$J,"C-13")+SUMIFS('Таблиця 1'!$K:$K,'Таблиця 1'!$B:$B,$A313,'Таблиця 1'!$I:$I,"Су-25",'Таблиця 1'!$J:$J,"C-13")+SUMIFS('Таблиця 1'!$K:$K,'Таблиця 1'!$B:$B,$A313,'Таблиця 1'!$I:$I,"Су-27",'Таблиця 1'!$J:$J,"C-13"))</f>
        <v/>
      </c>
      <c r="P313">
        <f>IF($A313="","",SUMIFS('Таблиця 1'!$K:$K,'Таблиця 1'!$B:$B,$A313,'Таблиця 1'!$I:$I,"Mirage",'Таблиця 1'!$J:$J,"MK-32")+SUMIFS('Таблиця 1'!$K:$K,'Таблиця 1'!$B:$B,$A313,'Таблиця 1'!$I:$I,"F-16",'Таблиця 1'!$J:$J,"MK-32")+SUMIFS('Таблиця 1'!$K:$K,'Таблиця 1'!$B:$B,$A313,'Таблиця 1'!$I:$I,"МіГ-29",'Таблиця 1'!$J:$J,"MK-32")+SUMIFS('Таблиця 1'!$K:$K,'Таблиця 1'!$B:$B,$A313,'Таблиця 1'!$I:$I,"Су-25",'Таблиця 1'!$J:$J,"MK-32")+SUMIFS('Таблиця 1'!$K:$K,'Таблиця 1'!$B:$B,$A313,'Таблиця 1'!$I:$I,"Су-27",'Таблиця 1'!$J:$J,"MK-32"))</f>
        <v/>
      </c>
      <c r="Q313">
        <f>IF($A313="","",SUMIFS('Таблиця 1'!$K:$K,'Таблиця 1'!$B:$B,$A313,'Таблиця 1'!$I:$I,"Mirage",'Таблиця 1'!$J:$J,"MK-24")+SUMIFS('Таблиця 1'!$K:$K,'Таблиця 1'!$B:$B,$A313,'Таблиця 1'!$I:$I,"F-16",'Таблиця 1'!$J:$J,"MK-24")+SUMIFS('Таблиця 1'!$K:$K,'Таблиця 1'!$B:$B,$A313,'Таблиця 1'!$I:$I,"МіГ-29",'Таблиця 1'!$J:$J,"MK-24")+SUMIFS('Таблиця 1'!$K:$K,'Таблиця 1'!$B:$B,$A313,'Таблиця 1'!$I:$I,"Су-25",'Таблиця 1'!$J:$J,"MK-24")+SUMIFS('Таблиця 1'!$K:$K,'Таблиця 1'!$B:$B,$A313,'Таблиця 1'!$I:$I,"Су-27",'Таблиця 1'!$J:$J,"MK-24"))</f>
        <v/>
      </c>
      <c r="R313">
        <f>IF($A313="","",COUNTIFS('Таблиця 1'!$B:$B,$A313,'Таблиця 1'!$I:$I,"Mirage",'Таблиця 1'!$L:$L,"Уражено")+COUNTIFS('Таблиця 1'!$B:$B,$A313,'Таблиця 1'!$I:$I,"F-16",'Таблиця 1'!$L:$L,"Уражено")+COUNTIFS('Таблиця 1'!$B:$B,$A313,'Таблиця 1'!$I:$I,"МіГ-29",'Таблиця 1'!$L:$L,"Уражено")+COUNTIFS('Таблиця 1'!$B:$B,$A313,'Таблиця 1'!$I:$I,"Су-25",'Таблиця 1'!$L:$L,"Уражено")+COUNTIFS('Таблиця 1'!$B:$B,$A313,'Таблиця 1'!$I:$I,"Су-27",'Таблиця 1'!$L:$L,"Уражено"))</f>
        <v/>
      </c>
      <c r="S313">
        <f>IF($A313="","",COUNTIFS('Таблиця 1'!$B:$B,$A313,'Таблиця 1'!$I:$I,"Mirage",'Таблиця 1'!$L:$L,"НЕ уражено")+COUNTIFS('Таблиця 1'!$B:$B,$A313,'Таблиця 1'!$I:$I,"F-16",'Таблиця 1'!$L:$L,"НЕ уражено")+COUNTIFS('Таблиця 1'!$B:$B,$A313,'Таблиця 1'!$I:$I,"МіГ-29",'Таблиця 1'!$L:$L,"НЕ уражено")+COUNTIFS('Таблиця 1'!$B:$B,$A313,'Таблиця 1'!$I:$I,"Су-25",'Таблиця 1'!$L:$L,"НЕ уражено")+COUNTIFS('Таблиця 1'!$B:$B,$A313,'Таблиця 1'!$I:$I,"Су-27",'Таблиця 1'!$L:$L,"НЕ уражено"))</f>
        <v/>
      </c>
      <c r="T313">
        <f>IF($A313="","",COUNTIFS('Таблиця 1'!$B:$B,$A313,'Таблиця 1'!$I:$I,"Mirage",'Таблиця 1'!$L:$L,"Дорозвідується")+COUNTIFS('Таблиця 1'!$B:$B,$A313,'Таблиця 1'!$I:$I,"F-16",'Таблиця 1'!$L:$L,"Дорозвідується")+COUNTIFS('Таблиця 1'!$B:$B,$A313,'Таблиця 1'!$I:$I,"МіГ-29",'Таблиця 1'!$L:$L,"Дорозвідується")+COUNTIFS('Таблиця 1'!$B:$B,$A313,'Таблиця 1'!$I:$I,"Су-25",'Таблиця 1'!$L:$L,"Дорозвідується")+COUNTIFS('Таблиця 1'!$B:$B,$A313,'Таблиця 1'!$I:$I,"Су-27",'Таблиця 1'!$L:$L,"Дорозвідується"))</f>
        <v/>
      </c>
    </row>
    <row r="314">
      <c r="A314" s="273">
        <f>IF(A313="","",IF(A313+1&gt;MAX('Таблиця 1'!$B:$B),"",A313+1))</f>
        <v/>
      </c>
      <c r="B314">
        <f>IF($A314="","",COUNTIFS('Таблиця 1'!$B:$B,$A314,'Таблиця 1'!$I:$I,"Mirage")+COUNTIFS('Таблиця 1'!$B:$B,$A314,'Таблиця 1'!$I:$I,"F-16")+COUNTIFS('Таблиця 1'!$B:$B,$A314,'Таблиця 1'!$I:$I,"МіГ-29")+COUNTIFS('Таблиця 1'!$B:$B,$A314,'Таблиця 1'!$I:$I,"Су-25")+COUNTIFS('Таблиця 1'!$B:$B,$A314,'Таблиця 1'!$I:$I,"Су-27"))</f>
        <v/>
      </c>
      <c r="C314">
        <f>IF($A314="","",COUNTIFS('Таблиця 1'!$B:$B,$A314,'Таблиця 1'!$I:$I,"Mirage"))</f>
        <v/>
      </c>
      <c r="D314">
        <f>IF($A314="","",COUNTIFS('Таблиця 1'!$B:$B,$A314,'Таблиця 1'!$I:$I,"F-16"))</f>
        <v/>
      </c>
      <c r="E314">
        <f>IF($A314="","",COUNTIFS('Таблиця 1'!$B:$B,$A314,'Таблиця 1'!$I:$I,"МіГ-29"))</f>
        <v/>
      </c>
      <c r="F314">
        <f>IF($A314="","",COUNTIFS('Таблиця 1'!$B:$B,$A314,'Таблиця 1'!$I:$I,"Су-25"))</f>
        <v/>
      </c>
      <c r="G314">
        <f>IF($A314="","",COUNTIFS('Таблиця 1'!$B:$B,$A314,'Таблиця 1'!$I:$I,"Су-27"))</f>
        <v/>
      </c>
      <c r="H314">
        <f>IF($A314="","",SUMIFS('Таблиця 1'!$K:$K,'Таблиця 1'!$B:$B,$A314,'Таблиця 1'!$I:$I,"Mirage",'Таблиця 1'!$J:$J,"AGM-88")+SUMIFS('Таблиця 1'!$K:$K,'Таблиця 1'!$B:$B,$A314,'Таблиця 1'!$I:$I,"F-16",'Таблиця 1'!$J:$J,"AGM-88")+SUMIFS('Таблиця 1'!$K:$K,'Таблиця 1'!$B:$B,$A314,'Таблиця 1'!$I:$I,"МіГ-29",'Таблиця 1'!$J:$J,"AGM-88")+SUMIFS('Таблиця 1'!$K:$K,'Таблиця 1'!$B:$B,$A314,'Таблиця 1'!$I:$I,"Су-25",'Таблиця 1'!$J:$J,"AGM-88")+SUMIFS('Таблиця 1'!$K:$K,'Таблиця 1'!$B:$B,$A314,'Таблиця 1'!$I:$I,"Су-27",'Таблиця 1'!$J:$J,"AGM-88"))</f>
        <v/>
      </c>
      <c r="I314">
        <f>IF($A314="","",SUMIFS('Таблиця 1'!$K:$K,'Таблиця 1'!$B:$B,$A314,'Таблиця 1'!$I:$I,"Mirage",'Таблиця 1'!$J:$J,"AASM-250")+SUMIFS('Таблиця 1'!$K:$K,'Таблиця 1'!$B:$B,$A314,'Таблиця 1'!$I:$I,"F-16",'Таблиця 1'!$J:$J,"AASM-250")+SUMIFS('Таблиця 1'!$K:$K,'Таблиця 1'!$B:$B,$A314,'Таблиця 1'!$I:$I,"МіГ-29",'Таблиця 1'!$J:$J,"AASM-250")+SUMIFS('Таблиця 1'!$K:$K,'Таблиця 1'!$B:$B,$A314,'Таблиця 1'!$I:$I,"Су-25",'Таблиця 1'!$J:$J,"AASM-250")+SUMIFS('Таблиця 1'!$K:$K,'Таблиця 1'!$B:$B,$A314,'Таблиця 1'!$I:$I,"Су-27",'Таблиця 1'!$J:$J,"AASM-250"))</f>
        <v/>
      </c>
      <c r="J314">
        <f>IF($A314="","",SUMIFS('Таблиця 1'!$K:$K,'Таблиця 1'!$B:$B,$A314,'Таблиця 1'!$I:$I,"Mirage",'Таблиця 1'!$J:$J,"GBU-39")+SUMIFS('Таблиця 1'!$K:$K,'Таблиця 1'!$B:$B,$A314,'Таблиця 1'!$I:$I,"F-16",'Таблиця 1'!$J:$J,"GBU-39")+SUMIFS('Таблиця 1'!$K:$K,'Таблиця 1'!$B:$B,$A314,'Таблиця 1'!$I:$I,"МіГ-29",'Таблиця 1'!$J:$J,"GBU-39")+SUMIFS('Таблиця 1'!$K:$K,'Таблиця 1'!$B:$B,$A314,'Таблиця 1'!$I:$I,"Су-25",'Таблиця 1'!$J:$J,"GBU-39")+SUMIFS('Таблиця 1'!$K:$K,'Таблиця 1'!$B:$B,$A314,'Таблиця 1'!$I:$I,"Су-27",'Таблиця 1'!$J:$J,"GBU-39"))</f>
        <v/>
      </c>
      <c r="K314">
        <f>IF($A314="","",SUMIFS('Таблиця 1'!$K:$K,'Таблиця 1'!$B:$B,$A314,'Таблиця 1'!$I:$I,"Mirage",'Таблиця 1'!$J:$J,"BLU-140")+SUMIFS('Таблиця 1'!$K:$K,'Таблиця 1'!$B:$B,$A314,'Таблиця 1'!$I:$I,"F-16",'Таблиця 1'!$J:$J,"BLU-140")+SUMIFS('Таблиця 1'!$K:$K,'Таблиця 1'!$B:$B,$A314,'Таблиця 1'!$I:$I,"МіГ-29",'Таблиця 1'!$J:$J,"BLU-140")+SUMIFS('Таблиця 1'!$K:$K,'Таблиця 1'!$B:$B,$A314,'Таблиця 1'!$I:$I,"Су-25",'Таблиця 1'!$J:$J,"BLU-140")+SUMIFS('Таблиця 1'!$K:$K,'Таблиця 1'!$B:$B,$A314,'Таблиця 1'!$I:$I,"Су-27",'Таблиця 1'!$J:$J,"BLU-140"))</f>
        <v/>
      </c>
      <c r="L314">
        <f>IF($A314="","",SUMIFS('Таблиця 1'!$K:$K,'Таблиця 1'!$B:$B,$A314,'Таблиця 1'!$I:$I,"Mirage",'Таблиця 1'!$J:$J,"GBU-65")+SUMIFS('Таблиця 1'!$K:$K,'Таблиця 1'!$B:$B,$A314,'Таблиця 1'!$I:$I,"F-16",'Таблиця 1'!$J:$J,"GBU-65")+SUMIFS('Таблиця 1'!$K:$K,'Таблиця 1'!$B:$B,$A314,'Таблиця 1'!$I:$I,"МіГ-29",'Таблиця 1'!$J:$J,"GBU-65")+SUMIFS('Таблиця 1'!$K:$K,'Таблиця 1'!$B:$B,$A314,'Таблиця 1'!$I:$I,"Су-25",'Таблиця 1'!$J:$J,"GBU-65")+SUMIFS('Таблиця 1'!$K:$K,'Таблиця 1'!$B:$B,$A314,'Таблиця 1'!$I:$I,"Су-27",'Таблиця 1'!$J:$J,"GBU-65"))</f>
        <v/>
      </c>
      <c r="M314">
        <f>IF($A314="","",SUMIFS('Таблиця 1'!$K:$K,'Таблиця 1'!$B:$B,$A314,'Таблиця 1'!$I:$I,"Mirage",'Таблиця 1'!$J:$J,"GBU-62")+SUMIFS('Таблиця 1'!$K:$K,'Таблиця 1'!$B:$B,$A314,'Таблиця 1'!$I:$I,"F-16",'Таблиця 1'!$J:$J,"GBU-62")+SUMIFS('Таблиця 1'!$K:$K,'Таблиця 1'!$B:$B,$A314,'Таблиця 1'!$I:$I,"МіГ-29",'Таблиця 1'!$J:$J,"GBU-62")+SUMIFS('Таблиця 1'!$K:$K,'Таблиця 1'!$B:$B,$A314,'Таблиця 1'!$I:$I,"Су-25",'Таблиця 1'!$J:$J,"GBU-62")+SUMIFS('Таблиця 1'!$K:$K,'Таблиця 1'!$B:$B,$A314,'Таблиця 1'!$I:$I,"Су-27",'Таблиця 1'!$J:$J,"GBU-62"))</f>
        <v/>
      </c>
      <c r="N314">
        <f>IF($A314="","",SUMIFS('Таблиця 1'!$K:$K,'Таблиця 1'!$B:$B,$A314,'Таблиця 1'!$I:$I,"Mirage",'Таблиця 1'!$J:$J,"GBU-64")+SUMIFS('Таблиця 1'!$K:$K,'Таблиця 1'!$B:$B,$A314,'Таблиця 1'!$I:$I,"F-16",'Таблиця 1'!$J:$J,"GBU-64")+SUMIFS('Таблиця 1'!$K:$K,'Таблиця 1'!$B:$B,$A314,'Таблиця 1'!$I:$I,"МіГ-29",'Таблиця 1'!$J:$J,"GBU-64")+SUMIFS('Таблиця 1'!$K:$K,'Таблиця 1'!$B:$B,$A314,'Таблиця 1'!$I:$I,"Су-25",'Таблиця 1'!$J:$J,"GBU-64")+SUMIFS('Таблиця 1'!$K:$K,'Таблиця 1'!$B:$B,$A314,'Таблиця 1'!$I:$I,"Су-27",'Таблиця 1'!$J:$J,"GBU-64"))</f>
        <v/>
      </c>
      <c r="O314">
        <f>IF($A314="","",SUMIFS('Таблиця 1'!$K:$K,'Таблиця 1'!$B:$B,$A314,'Таблиця 1'!$I:$I,"Mirage",'Таблиця 1'!$J:$J,"C-13")+SUMIFS('Таблиця 1'!$K:$K,'Таблиця 1'!$B:$B,$A314,'Таблиця 1'!$I:$I,"F-16",'Таблиця 1'!$J:$J,"C-13")+SUMIFS('Таблиця 1'!$K:$K,'Таблиця 1'!$B:$B,$A314,'Таблиця 1'!$I:$I,"МіГ-29",'Таблиця 1'!$J:$J,"C-13")+SUMIFS('Таблиця 1'!$K:$K,'Таблиця 1'!$B:$B,$A314,'Таблиця 1'!$I:$I,"Су-25",'Таблиця 1'!$J:$J,"C-13")+SUMIFS('Таблиця 1'!$K:$K,'Таблиця 1'!$B:$B,$A314,'Таблиця 1'!$I:$I,"Су-27",'Таблиця 1'!$J:$J,"C-13"))</f>
        <v/>
      </c>
      <c r="P314">
        <f>IF($A314="","",SUMIFS('Таблиця 1'!$K:$K,'Таблиця 1'!$B:$B,$A314,'Таблиця 1'!$I:$I,"Mirage",'Таблиця 1'!$J:$J,"MK-32")+SUMIFS('Таблиця 1'!$K:$K,'Таблиця 1'!$B:$B,$A314,'Таблиця 1'!$I:$I,"F-16",'Таблиця 1'!$J:$J,"MK-32")+SUMIFS('Таблиця 1'!$K:$K,'Таблиця 1'!$B:$B,$A314,'Таблиця 1'!$I:$I,"МіГ-29",'Таблиця 1'!$J:$J,"MK-32")+SUMIFS('Таблиця 1'!$K:$K,'Таблиця 1'!$B:$B,$A314,'Таблиця 1'!$I:$I,"Су-25",'Таблиця 1'!$J:$J,"MK-32")+SUMIFS('Таблиця 1'!$K:$K,'Таблиця 1'!$B:$B,$A314,'Таблиця 1'!$I:$I,"Су-27",'Таблиця 1'!$J:$J,"MK-32"))</f>
        <v/>
      </c>
      <c r="Q314">
        <f>IF($A314="","",SUMIFS('Таблиця 1'!$K:$K,'Таблиця 1'!$B:$B,$A314,'Таблиця 1'!$I:$I,"Mirage",'Таблиця 1'!$J:$J,"MK-24")+SUMIFS('Таблиця 1'!$K:$K,'Таблиця 1'!$B:$B,$A314,'Таблиця 1'!$I:$I,"F-16",'Таблиця 1'!$J:$J,"MK-24")+SUMIFS('Таблиця 1'!$K:$K,'Таблиця 1'!$B:$B,$A314,'Таблиця 1'!$I:$I,"МіГ-29",'Таблиця 1'!$J:$J,"MK-24")+SUMIFS('Таблиця 1'!$K:$K,'Таблиця 1'!$B:$B,$A314,'Таблиця 1'!$I:$I,"Су-25",'Таблиця 1'!$J:$J,"MK-24")+SUMIFS('Таблиця 1'!$K:$K,'Таблиця 1'!$B:$B,$A314,'Таблиця 1'!$I:$I,"Су-27",'Таблиця 1'!$J:$J,"MK-24"))</f>
        <v/>
      </c>
      <c r="R314">
        <f>IF($A314="","",COUNTIFS('Таблиця 1'!$B:$B,$A314,'Таблиця 1'!$I:$I,"Mirage",'Таблиця 1'!$L:$L,"Уражено")+COUNTIFS('Таблиця 1'!$B:$B,$A314,'Таблиця 1'!$I:$I,"F-16",'Таблиця 1'!$L:$L,"Уражено")+COUNTIFS('Таблиця 1'!$B:$B,$A314,'Таблиця 1'!$I:$I,"МіГ-29",'Таблиця 1'!$L:$L,"Уражено")+COUNTIFS('Таблиця 1'!$B:$B,$A314,'Таблиця 1'!$I:$I,"Су-25",'Таблиця 1'!$L:$L,"Уражено")+COUNTIFS('Таблиця 1'!$B:$B,$A314,'Таблиця 1'!$I:$I,"Су-27",'Таблиця 1'!$L:$L,"Уражено"))</f>
        <v/>
      </c>
      <c r="S314">
        <f>IF($A314="","",COUNTIFS('Таблиця 1'!$B:$B,$A314,'Таблиця 1'!$I:$I,"Mirage",'Таблиця 1'!$L:$L,"НЕ уражено")+COUNTIFS('Таблиця 1'!$B:$B,$A314,'Таблиця 1'!$I:$I,"F-16",'Таблиця 1'!$L:$L,"НЕ уражено")+COUNTIFS('Таблиця 1'!$B:$B,$A314,'Таблиця 1'!$I:$I,"МіГ-29",'Таблиця 1'!$L:$L,"НЕ уражено")+COUNTIFS('Таблиця 1'!$B:$B,$A314,'Таблиця 1'!$I:$I,"Су-25",'Таблиця 1'!$L:$L,"НЕ уражено")+COUNTIFS('Таблиця 1'!$B:$B,$A314,'Таблиця 1'!$I:$I,"Су-27",'Таблиця 1'!$L:$L,"НЕ уражено"))</f>
        <v/>
      </c>
      <c r="T314">
        <f>IF($A314="","",COUNTIFS('Таблиця 1'!$B:$B,$A314,'Таблиця 1'!$I:$I,"Mirage",'Таблиця 1'!$L:$L,"Дорозвідується")+COUNTIFS('Таблиця 1'!$B:$B,$A314,'Таблиця 1'!$I:$I,"F-16",'Таблиця 1'!$L:$L,"Дорозвідується")+COUNTIFS('Таблиця 1'!$B:$B,$A314,'Таблиця 1'!$I:$I,"МіГ-29",'Таблиця 1'!$L:$L,"Дорозвідується")+COUNTIFS('Таблиця 1'!$B:$B,$A314,'Таблиця 1'!$I:$I,"Су-25",'Таблиця 1'!$L:$L,"Дорозвідується")+COUNTIFS('Таблиця 1'!$B:$B,$A314,'Таблиця 1'!$I:$I,"Су-27",'Таблиця 1'!$L:$L,"Дорозвідується"))</f>
        <v/>
      </c>
    </row>
    <row r="315">
      <c r="A315" s="273">
        <f>IF(A314="","",IF(A314+1&gt;MAX('Таблиця 1'!$B:$B),"",A314+1))</f>
        <v/>
      </c>
      <c r="B315">
        <f>IF($A315="","",COUNTIFS('Таблиця 1'!$B:$B,$A315,'Таблиця 1'!$I:$I,"Mirage")+COUNTIFS('Таблиця 1'!$B:$B,$A315,'Таблиця 1'!$I:$I,"F-16")+COUNTIFS('Таблиця 1'!$B:$B,$A315,'Таблиця 1'!$I:$I,"МіГ-29")+COUNTIFS('Таблиця 1'!$B:$B,$A315,'Таблиця 1'!$I:$I,"Су-25")+COUNTIFS('Таблиця 1'!$B:$B,$A315,'Таблиця 1'!$I:$I,"Су-27"))</f>
        <v/>
      </c>
      <c r="C315">
        <f>IF($A315="","",COUNTIFS('Таблиця 1'!$B:$B,$A315,'Таблиця 1'!$I:$I,"Mirage"))</f>
        <v/>
      </c>
      <c r="D315">
        <f>IF($A315="","",COUNTIFS('Таблиця 1'!$B:$B,$A315,'Таблиця 1'!$I:$I,"F-16"))</f>
        <v/>
      </c>
      <c r="E315">
        <f>IF($A315="","",COUNTIFS('Таблиця 1'!$B:$B,$A315,'Таблиця 1'!$I:$I,"МіГ-29"))</f>
        <v/>
      </c>
      <c r="F315">
        <f>IF($A315="","",COUNTIFS('Таблиця 1'!$B:$B,$A315,'Таблиця 1'!$I:$I,"Су-25"))</f>
        <v/>
      </c>
      <c r="G315">
        <f>IF($A315="","",COUNTIFS('Таблиця 1'!$B:$B,$A315,'Таблиця 1'!$I:$I,"Су-27"))</f>
        <v/>
      </c>
      <c r="H315">
        <f>IF($A315="","",SUMIFS('Таблиця 1'!$K:$K,'Таблиця 1'!$B:$B,$A315,'Таблиця 1'!$I:$I,"Mirage",'Таблиця 1'!$J:$J,"AGM-88")+SUMIFS('Таблиця 1'!$K:$K,'Таблиця 1'!$B:$B,$A315,'Таблиця 1'!$I:$I,"F-16",'Таблиця 1'!$J:$J,"AGM-88")+SUMIFS('Таблиця 1'!$K:$K,'Таблиця 1'!$B:$B,$A315,'Таблиця 1'!$I:$I,"МіГ-29",'Таблиця 1'!$J:$J,"AGM-88")+SUMIFS('Таблиця 1'!$K:$K,'Таблиця 1'!$B:$B,$A315,'Таблиця 1'!$I:$I,"Су-25",'Таблиця 1'!$J:$J,"AGM-88")+SUMIFS('Таблиця 1'!$K:$K,'Таблиця 1'!$B:$B,$A315,'Таблиця 1'!$I:$I,"Су-27",'Таблиця 1'!$J:$J,"AGM-88"))</f>
        <v/>
      </c>
      <c r="I315">
        <f>IF($A315="","",SUMIFS('Таблиця 1'!$K:$K,'Таблиця 1'!$B:$B,$A315,'Таблиця 1'!$I:$I,"Mirage",'Таблиця 1'!$J:$J,"AASM-250")+SUMIFS('Таблиця 1'!$K:$K,'Таблиця 1'!$B:$B,$A315,'Таблиця 1'!$I:$I,"F-16",'Таблиця 1'!$J:$J,"AASM-250")+SUMIFS('Таблиця 1'!$K:$K,'Таблиця 1'!$B:$B,$A315,'Таблиця 1'!$I:$I,"МіГ-29",'Таблиця 1'!$J:$J,"AASM-250")+SUMIFS('Таблиця 1'!$K:$K,'Таблиця 1'!$B:$B,$A315,'Таблиця 1'!$I:$I,"Су-25",'Таблиця 1'!$J:$J,"AASM-250")+SUMIFS('Таблиця 1'!$K:$K,'Таблиця 1'!$B:$B,$A315,'Таблиця 1'!$I:$I,"Су-27",'Таблиця 1'!$J:$J,"AASM-250"))</f>
        <v/>
      </c>
      <c r="J315">
        <f>IF($A315="","",SUMIFS('Таблиця 1'!$K:$K,'Таблиця 1'!$B:$B,$A315,'Таблиця 1'!$I:$I,"Mirage",'Таблиця 1'!$J:$J,"GBU-39")+SUMIFS('Таблиця 1'!$K:$K,'Таблиця 1'!$B:$B,$A315,'Таблиця 1'!$I:$I,"F-16",'Таблиця 1'!$J:$J,"GBU-39")+SUMIFS('Таблиця 1'!$K:$K,'Таблиця 1'!$B:$B,$A315,'Таблиця 1'!$I:$I,"МіГ-29",'Таблиця 1'!$J:$J,"GBU-39")+SUMIFS('Таблиця 1'!$K:$K,'Таблиця 1'!$B:$B,$A315,'Таблиця 1'!$I:$I,"Су-25",'Таблиця 1'!$J:$J,"GBU-39")+SUMIFS('Таблиця 1'!$K:$K,'Таблиця 1'!$B:$B,$A315,'Таблиця 1'!$I:$I,"Су-27",'Таблиця 1'!$J:$J,"GBU-39"))</f>
        <v/>
      </c>
      <c r="K315">
        <f>IF($A315="","",SUMIFS('Таблиця 1'!$K:$K,'Таблиця 1'!$B:$B,$A315,'Таблиця 1'!$I:$I,"Mirage",'Таблиця 1'!$J:$J,"BLU-140")+SUMIFS('Таблиця 1'!$K:$K,'Таблиця 1'!$B:$B,$A315,'Таблиця 1'!$I:$I,"F-16",'Таблиця 1'!$J:$J,"BLU-140")+SUMIFS('Таблиця 1'!$K:$K,'Таблиця 1'!$B:$B,$A315,'Таблиця 1'!$I:$I,"МіГ-29",'Таблиця 1'!$J:$J,"BLU-140")+SUMIFS('Таблиця 1'!$K:$K,'Таблиця 1'!$B:$B,$A315,'Таблиця 1'!$I:$I,"Су-25",'Таблиця 1'!$J:$J,"BLU-140")+SUMIFS('Таблиця 1'!$K:$K,'Таблиця 1'!$B:$B,$A315,'Таблиця 1'!$I:$I,"Су-27",'Таблиця 1'!$J:$J,"BLU-140"))</f>
        <v/>
      </c>
      <c r="L315">
        <f>IF($A315="","",SUMIFS('Таблиця 1'!$K:$K,'Таблиця 1'!$B:$B,$A315,'Таблиця 1'!$I:$I,"Mirage",'Таблиця 1'!$J:$J,"GBU-65")+SUMIFS('Таблиця 1'!$K:$K,'Таблиця 1'!$B:$B,$A315,'Таблиця 1'!$I:$I,"F-16",'Таблиця 1'!$J:$J,"GBU-65")+SUMIFS('Таблиця 1'!$K:$K,'Таблиця 1'!$B:$B,$A315,'Таблиця 1'!$I:$I,"МіГ-29",'Таблиця 1'!$J:$J,"GBU-65")+SUMIFS('Таблиця 1'!$K:$K,'Таблиця 1'!$B:$B,$A315,'Таблиця 1'!$I:$I,"Су-25",'Таблиця 1'!$J:$J,"GBU-65")+SUMIFS('Таблиця 1'!$K:$K,'Таблиця 1'!$B:$B,$A315,'Таблиця 1'!$I:$I,"Су-27",'Таблиця 1'!$J:$J,"GBU-65"))</f>
        <v/>
      </c>
      <c r="M315">
        <f>IF($A315="","",SUMIFS('Таблиця 1'!$K:$K,'Таблиця 1'!$B:$B,$A315,'Таблиця 1'!$I:$I,"Mirage",'Таблиця 1'!$J:$J,"GBU-62")+SUMIFS('Таблиця 1'!$K:$K,'Таблиця 1'!$B:$B,$A315,'Таблиця 1'!$I:$I,"F-16",'Таблиця 1'!$J:$J,"GBU-62")+SUMIFS('Таблиця 1'!$K:$K,'Таблиця 1'!$B:$B,$A315,'Таблиця 1'!$I:$I,"МіГ-29",'Таблиця 1'!$J:$J,"GBU-62")+SUMIFS('Таблиця 1'!$K:$K,'Таблиця 1'!$B:$B,$A315,'Таблиця 1'!$I:$I,"Су-25",'Таблиця 1'!$J:$J,"GBU-62")+SUMIFS('Таблиця 1'!$K:$K,'Таблиця 1'!$B:$B,$A315,'Таблиця 1'!$I:$I,"Су-27",'Таблиця 1'!$J:$J,"GBU-62"))</f>
        <v/>
      </c>
      <c r="N315">
        <f>IF($A315="","",SUMIFS('Таблиця 1'!$K:$K,'Таблиця 1'!$B:$B,$A315,'Таблиця 1'!$I:$I,"Mirage",'Таблиця 1'!$J:$J,"GBU-64")+SUMIFS('Таблиця 1'!$K:$K,'Таблиця 1'!$B:$B,$A315,'Таблиця 1'!$I:$I,"F-16",'Таблиця 1'!$J:$J,"GBU-64")+SUMIFS('Таблиця 1'!$K:$K,'Таблиця 1'!$B:$B,$A315,'Таблиця 1'!$I:$I,"МіГ-29",'Таблиця 1'!$J:$J,"GBU-64")+SUMIFS('Таблиця 1'!$K:$K,'Таблиця 1'!$B:$B,$A315,'Таблиця 1'!$I:$I,"Су-25",'Таблиця 1'!$J:$J,"GBU-64")+SUMIFS('Таблиця 1'!$K:$K,'Таблиця 1'!$B:$B,$A315,'Таблиця 1'!$I:$I,"Су-27",'Таблиця 1'!$J:$J,"GBU-64"))</f>
        <v/>
      </c>
      <c r="O315">
        <f>IF($A315="","",SUMIFS('Таблиця 1'!$K:$K,'Таблиця 1'!$B:$B,$A315,'Таблиця 1'!$I:$I,"Mirage",'Таблиця 1'!$J:$J,"C-13")+SUMIFS('Таблиця 1'!$K:$K,'Таблиця 1'!$B:$B,$A315,'Таблиця 1'!$I:$I,"F-16",'Таблиця 1'!$J:$J,"C-13")+SUMIFS('Таблиця 1'!$K:$K,'Таблиця 1'!$B:$B,$A315,'Таблиця 1'!$I:$I,"МіГ-29",'Таблиця 1'!$J:$J,"C-13")+SUMIFS('Таблиця 1'!$K:$K,'Таблиця 1'!$B:$B,$A315,'Таблиця 1'!$I:$I,"Су-25",'Таблиця 1'!$J:$J,"C-13")+SUMIFS('Таблиця 1'!$K:$K,'Таблиця 1'!$B:$B,$A315,'Таблиця 1'!$I:$I,"Су-27",'Таблиця 1'!$J:$J,"C-13"))</f>
        <v/>
      </c>
      <c r="P315">
        <f>IF($A315="","",SUMIFS('Таблиця 1'!$K:$K,'Таблиця 1'!$B:$B,$A315,'Таблиця 1'!$I:$I,"Mirage",'Таблиця 1'!$J:$J,"MK-32")+SUMIFS('Таблиця 1'!$K:$K,'Таблиця 1'!$B:$B,$A315,'Таблиця 1'!$I:$I,"F-16",'Таблиця 1'!$J:$J,"MK-32")+SUMIFS('Таблиця 1'!$K:$K,'Таблиця 1'!$B:$B,$A315,'Таблиця 1'!$I:$I,"МіГ-29",'Таблиця 1'!$J:$J,"MK-32")+SUMIFS('Таблиця 1'!$K:$K,'Таблиця 1'!$B:$B,$A315,'Таблиця 1'!$I:$I,"Су-25",'Таблиця 1'!$J:$J,"MK-32")+SUMIFS('Таблиця 1'!$K:$K,'Таблиця 1'!$B:$B,$A315,'Таблиця 1'!$I:$I,"Су-27",'Таблиця 1'!$J:$J,"MK-32"))</f>
        <v/>
      </c>
      <c r="Q315">
        <f>IF($A315="","",SUMIFS('Таблиця 1'!$K:$K,'Таблиця 1'!$B:$B,$A315,'Таблиця 1'!$I:$I,"Mirage",'Таблиця 1'!$J:$J,"MK-24")+SUMIFS('Таблиця 1'!$K:$K,'Таблиця 1'!$B:$B,$A315,'Таблиця 1'!$I:$I,"F-16",'Таблиця 1'!$J:$J,"MK-24")+SUMIFS('Таблиця 1'!$K:$K,'Таблиця 1'!$B:$B,$A315,'Таблиця 1'!$I:$I,"МіГ-29",'Таблиця 1'!$J:$J,"MK-24")+SUMIFS('Таблиця 1'!$K:$K,'Таблиця 1'!$B:$B,$A315,'Таблиця 1'!$I:$I,"Су-25",'Таблиця 1'!$J:$J,"MK-24")+SUMIFS('Таблиця 1'!$K:$K,'Таблиця 1'!$B:$B,$A315,'Таблиця 1'!$I:$I,"Су-27",'Таблиця 1'!$J:$J,"MK-24"))</f>
        <v/>
      </c>
      <c r="R315">
        <f>IF($A315="","",COUNTIFS('Таблиця 1'!$B:$B,$A315,'Таблиця 1'!$I:$I,"Mirage",'Таблиця 1'!$L:$L,"Уражено")+COUNTIFS('Таблиця 1'!$B:$B,$A315,'Таблиця 1'!$I:$I,"F-16",'Таблиця 1'!$L:$L,"Уражено")+COUNTIFS('Таблиця 1'!$B:$B,$A315,'Таблиця 1'!$I:$I,"МіГ-29",'Таблиця 1'!$L:$L,"Уражено")+COUNTIFS('Таблиця 1'!$B:$B,$A315,'Таблиця 1'!$I:$I,"Су-25",'Таблиця 1'!$L:$L,"Уражено")+COUNTIFS('Таблиця 1'!$B:$B,$A315,'Таблиця 1'!$I:$I,"Су-27",'Таблиця 1'!$L:$L,"Уражено"))</f>
        <v/>
      </c>
      <c r="S315">
        <f>IF($A315="","",COUNTIFS('Таблиця 1'!$B:$B,$A315,'Таблиця 1'!$I:$I,"Mirage",'Таблиця 1'!$L:$L,"НЕ уражено")+COUNTIFS('Таблиця 1'!$B:$B,$A315,'Таблиця 1'!$I:$I,"F-16",'Таблиця 1'!$L:$L,"НЕ уражено")+COUNTIFS('Таблиця 1'!$B:$B,$A315,'Таблиця 1'!$I:$I,"МіГ-29",'Таблиця 1'!$L:$L,"НЕ уражено")+COUNTIFS('Таблиця 1'!$B:$B,$A315,'Таблиця 1'!$I:$I,"Су-25",'Таблиця 1'!$L:$L,"НЕ уражено")+COUNTIFS('Таблиця 1'!$B:$B,$A315,'Таблиця 1'!$I:$I,"Су-27",'Таблиця 1'!$L:$L,"НЕ уражено"))</f>
        <v/>
      </c>
      <c r="T315">
        <f>IF($A315="","",COUNTIFS('Таблиця 1'!$B:$B,$A315,'Таблиця 1'!$I:$I,"Mirage",'Таблиця 1'!$L:$L,"Дорозвідується")+COUNTIFS('Таблиця 1'!$B:$B,$A315,'Таблиця 1'!$I:$I,"F-16",'Таблиця 1'!$L:$L,"Дорозвідується")+COUNTIFS('Таблиця 1'!$B:$B,$A315,'Таблиця 1'!$I:$I,"МіГ-29",'Таблиця 1'!$L:$L,"Дорозвідується")+COUNTIFS('Таблиця 1'!$B:$B,$A315,'Таблиця 1'!$I:$I,"Су-25",'Таблиця 1'!$L:$L,"Дорозвідується")+COUNTIFS('Таблиця 1'!$B:$B,$A315,'Таблиця 1'!$I:$I,"Су-27",'Таблиця 1'!$L:$L,"Дорозвідується"))</f>
        <v/>
      </c>
    </row>
    <row r="316">
      <c r="A316" s="273">
        <f>IF(A315="","",IF(A315+1&gt;MAX('Таблиця 1'!$B:$B),"",A315+1))</f>
        <v/>
      </c>
      <c r="B316">
        <f>IF($A316="","",COUNTIFS('Таблиця 1'!$B:$B,$A316,'Таблиця 1'!$I:$I,"Mirage")+COUNTIFS('Таблиця 1'!$B:$B,$A316,'Таблиця 1'!$I:$I,"F-16")+COUNTIFS('Таблиця 1'!$B:$B,$A316,'Таблиця 1'!$I:$I,"МіГ-29")+COUNTIFS('Таблиця 1'!$B:$B,$A316,'Таблиця 1'!$I:$I,"Су-25")+COUNTIFS('Таблиця 1'!$B:$B,$A316,'Таблиця 1'!$I:$I,"Су-27"))</f>
        <v/>
      </c>
      <c r="C316">
        <f>IF($A316="","",COUNTIFS('Таблиця 1'!$B:$B,$A316,'Таблиця 1'!$I:$I,"Mirage"))</f>
        <v/>
      </c>
      <c r="D316">
        <f>IF($A316="","",COUNTIFS('Таблиця 1'!$B:$B,$A316,'Таблиця 1'!$I:$I,"F-16"))</f>
        <v/>
      </c>
      <c r="E316">
        <f>IF($A316="","",COUNTIFS('Таблиця 1'!$B:$B,$A316,'Таблиця 1'!$I:$I,"МіГ-29"))</f>
        <v/>
      </c>
      <c r="F316">
        <f>IF($A316="","",COUNTIFS('Таблиця 1'!$B:$B,$A316,'Таблиця 1'!$I:$I,"Су-25"))</f>
        <v/>
      </c>
      <c r="G316">
        <f>IF($A316="","",COUNTIFS('Таблиця 1'!$B:$B,$A316,'Таблиця 1'!$I:$I,"Су-27"))</f>
        <v/>
      </c>
      <c r="H316">
        <f>IF($A316="","",SUMIFS('Таблиця 1'!$K:$K,'Таблиця 1'!$B:$B,$A316,'Таблиця 1'!$I:$I,"Mirage",'Таблиця 1'!$J:$J,"AGM-88")+SUMIFS('Таблиця 1'!$K:$K,'Таблиця 1'!$B:$B,$A316,'Таблиця 1'!$I:$I,"F-16",'Таблиця 1'!$J:$J,"AGM-88")+SUMIFS('Таблиця 1'!$K:$K,'Таблиця 1'!$B:$B,$A316,'Таблиця 1'!$I:$I,"МіГ-29",'Таблиця 1'!$J:$J,"AGM-88")+SUMIFS('Таблиця 1'!$K:$K,'Таблиця 1'!$B:$B,$A316,'Таблиця 1'!$I:$I,"Су-25",'Таблиця 1'!$J:$J,"AGM-88")+SUMIFS('Таблиця 1'!$K:$K,'Таблиця 1'!$B:$B,$A316,'Таблиця 1'!$I:$I,"Су-27",'Таблиця 1'!$J:$J,"AGM-88"))</f>
        <v/>
      </c>
      <c r="I316">
        <f>IF($A316="","",SUMIFS('Таблиця 1'!$K:$K,'Таблиця 1'!$B:$B,$A316,'Таблиця 1'!$I:$I,"Mirage",'Таблиця 1'!$J:$J,"AASM-250")+SUMIFS('Таблиця 1'!$K:$K,'Таблиця 1'!$B:$B,$A316,'Таблиця 1'!$I:$I,"F-16",'Таблиця 1'!$J:$J,"AASM-250")+SUMIFS('Таблиця 1'!$K:$K,'Таблиця 1'!$B:$B,$A316,'Таблиця 1'!$I:$I,"МіГ-29",'Таблиця 1'!$J:$J,"AASM-250")+SUMIFS('Таблиця 1'!$K:$K,'Таблиця 1'!$B:$B,$A316,'Таблиця 1'!$I:$I,"Су-25",'Таблиця 1'!$J:$J,"AASM-250")+SUMIFS('Таблиця 1'!$K:$K,'Таблиця 1'!$B:$B,$A316,'Таблиця 1'!$I:$I,"Су-27",'Таблиця 1'!$J:$J,"AASM-250"))</f>
        <v/>
      </c>
      <c r="J316">
        <f>IF($A316="","",SUMIFS('Таблиця 1'!$K:$K,'Таблиця 1'!$B:$B,$A316,'Таблиця 1'!$I:$I,"Mirage",'Таблиця 1'!$J:$J,"GBU-39")+SUMIFS('Таблиця 1'!$K:$K,'Таблиця 1'!$B:$B,$A316,'Таблиця 1'!$I:$I,"F-16",'Таблиця 1'!$J:$J,"GBU-39")+SUMIFS('Таблиця 1'!$K:$K,'Таблиця 1'!$B:$B,$A316,'Таблиця 1'!$I:$I,"МіГ-29",'Таблиця 1'!$J:$J,"GBU-39")+SUMIFS('Таблиця 1'!$K:$K,'Таблиця 1'!$B:$B,$A316,'Таблиця 1'!$I:$I,"Су-25",'Таблиця 1'!$J:$J,"GBU-39")+SUMIFS('Таблиця 1'!$K:$K,'Таблиця 1'!$B:$B,$A316,'Таблиця 1'!$I:$I,"Су-27",'Таблиця 1'!$J:$J,"GBU-39"))</f>
        <v/>
      </c>
      <c r="K316">
        <f>IF($A316="","",SUMIFS('Таблиця 1'!$K:$K,'Таблиця 1'!$B:$B,$A316,'Таблиця 1'!$I:$I,"Mirage",'Таблиця 1'!$J:$J,"BLU-140")+SUMIFS('Таблиця 1'!$K:$K,'Таблиця 1'!$B:$B,$A316,'Таблиця 1'!$I:$I,"F-16",'Таблиця 1'!$J:$J,"BLU-140")+SUMIFS('Таблиця 1'!$K:$K,'Таблиця 1'!$B:$B,$A316,'Таблиця 1'!$I:$I,"МіГ-29",'Таблиця 1'!$J:$J,"BLU-140")+SUMIFS('Таблиця 1'!$K:$K,'Таблиця 1'!$B:$B,$A316,'Таблиця 1'!$I:$I,"Су-25",'Таблиця 1'!$J:$J,"BLU-140")+SUMIFS('Таблиця 1'!$K:$K,'Таблиця 1'!$B:$B,$A316,'Таблиця 1'!$I:$I,"Су-27",'Таблиця 1'!$J:$J,"BLU-140"))</f>
        <v/>
      </c>
      <c r="L316">
        <f>IF($A316="","",SUMIFS('Таблиця 1'!$K:$K,'Таблиця 1'!$B:$B,$A316,'Таблиця 1'!$I:$I,"Mirage",'Таблиця 1'!$J:$J,"GBU-65")+SUMIFS('Таблиця 1'!$K:$K,'Таблиця 1'!$B:$B,$A316,'Таблиця 1'!$I:$I,"F-16",'Таблиця 1'!$J:$J,"GBU-65")+SUMIFS('Таблиця 1'!$K:$K,'Таблиця 1'!$B:$B,$A316,'Таблиця 1'!$I:$I,"МіГ-29",'Таблиця 1'!$J:$J,"GBU-65")+SUMIFS('Таблиця 1'!$K:$K,'Таблиця 1'!$B:$B,$A316,'Таблиця 1'!$I:$I,"Су-25",'Таблиця 1'!$J:$J,"GBU-65")+SUMIFS('Таблиця 1'!$K:$K,'Таблиця 1'!$B:$B,$A316,'Таблиця 1'!$I:$I,"Су-27",'Таблиця 1'!$J:$J,"GBU-65"))</f>
        <v/>
      </c>
      <c r="M316">
        <f>IF($A316="","",SUMIFS('Таблиця 1'!$K:$K,'Таблиця 1'!$B:$B,$A316,'Таблиця 1'!$I:$I,"Mirage",'Таблиця 1'!$J:$J,"GBU-62")+SUMIFS('Таблиця 1'!$K:$K,'Таблиця 1'!$B:$B,$A316,'Таблиця 1'!$I:$I,"F-16",'Таблиця 1'!$J:$J,"GBU-62")+SUMIFS('Таблиця 1'!$K:$K,'Таблиця 1'!$B:$B,$A316,'Таблиця 1'!$I:$I,"МіГ-29",'Таблиця 1'!$J:$J,"GBU-62")+SUMIFS('Таблиця 1'!$K:$K,'Таблиця 1'!$B:$B,$A316,'Таблиця 1'!$I:$I,"Су-25",'Таблиця 1'!$J:$J,"GBU-62")+SUMIFS('Таблиця 1'!$K:$K,'Таблиця 1'!$B:$B,$A316,'Таблиця 1'!$I:$I,"Су-27",'Таблиця 1'!$J:$J,"GBU-62"))</f>
        <v/>
      </c>
      <c r="N316">
        <f>IF($A316="","",SUMIFS('Таблиця 1'!$K:$K,'Таблиця 1'!$B:$B,$A316,'Таблиця 1'!$I:$I,"Mirage",'Таблиця 1'!$J:$J,"GBU-64")+SUMIFS('Таблиця 1'!$K:$K,'Таблиця 1'!$B:$B,$A316,'Таблиця 1'!$I:$I,"F-16",'Таблиця 1'!$J:$J,"GBU-64")+SUMIFS('Таблиця 1'!$K:$K,'Таблиця 1'!$B:$B,$A316,'Таблиця 1'!$I:$I,"МіГ-29",'Таблиця 1'!$J:$J,"GBU-64")+SUMIFS('Таблиця 1'!$K:$K,'Таблиця 1'!$B:$B,$A316,'Таблиця 1'!$I:$I,"Су-25",'Таблиця 1'!$J:$J,"GBU-64")+SUMIFS('Таблиця 1'!$K:$K,'Таблиця 1'!$B:$B,$A316,'Таблиця 1'!$I:$I,"Су-27",'Таблиця 1'!$J:$J,"GBU-64"))</f>
        <v/>
      </c>
      <c r="O316">
        <f>IF($A316="","",SUMIFS('Таблиця 1'!$K:$K,'Таблиця 1'!$B:$B,$A316,'Таблиця 1'!$I:$I,"Mirage",'Таблиця 1'!$J:$J,"C-13")+SUMIFS('Таблиця 1'!$K:$K,'Таблиця 1'!$B:$B,$A316,'Таблиця 1'!$I:$I,"F-16",'Таблиця 1'!$J:$J,"C-13")+SUMIFS('Таблиця 1'!$K:$K,'Таблиця 1'!$B:$B,$A316,'Таблиця 1'!$I:$I,"МіГ-29",'Таблиця 1'!$J:$J,"C-13")+SUMIFS('Таблиця 1'!$K:$K,'Таблиця 1'!$B:$B,$A316,'Таблиця 1'!$I:$I,"Су-25",'Таблиця 1'!$J:$J,"C-13")+SUMIFS('Таблиця 1'!$K:$K,'Таблиця 1'!$B:$B,$A316,'Таблиця 1'!$I:$I,"Су-27",'Таблиця 1'!$J:$J,"C-13"))</f>
        <v/>
      </c>
      <c r="P316">
        <f>IF($A316="","",SUMIFS('Таблиця 1'!$K:$K,'Таблиця 1'!$B:$B,$A316,'Таблиця 1'!$I:$I,"Mirage",'Таблиця 1'!$J:$J,"MK-32")+SUMIFS('Таблиця 1'!$K:$K,'Таблиця 1'!$B:$B,$A316,'Таблиця 1'!$I:$I,"F-16",'Таблиця 1'!$J:$J,"MK-32")+SUMIFS('Таблиця 1'!$K:$K,'Таблиця 1'!$B:$B,$A316,'Таблиця 1'!$I:$I,"МіГ-29",'Таблиця 1'!$J:$J,"MK-32")+SUMIFS('Таблиця 1'!$K:$K,'Таблиця 1'!$B:$B,$A316,'Таблиця 1'!$I:$I,"Су-25",'Таблиця 1'!$J:$J,"MK-32")+SUMIFS('Таблиця 1'!$K:$K,'Таблиця 1'!$B:$B,$A316,'Таблиця 1'!$I:$I,"Су-27",'Таблиця 1'!$J:$J,"MK-32"))</f>
        <v/>
      </c>
      <c r="Q316">
        <f>IF($A316="","",SUMIFS('Таблиця 1'!$K:$K,'Таблиця 1'!$B:$B,$A316,'Таблиця 1'!$I:$I,"Mirage",'Таблиця 1'!$J:$J,"MK-24")+SUMIFS('Таблиця 1'!$K:$K,'Таблиця 1'!$B:$B,$A316,'Таблиця 1'!$I:$I,"F-16",'Таблиця 1'!$J:$J,"MK-24")+SUMIFS('Таблиця 1'!$K:$K,'Таблиця 1'!$B:$B,$A316,'Таблиця 1'!$I:$I,"МіГ-29",'Таблиця 1'!$J:$J,"MK-24")+SUMIFS('Таблиця 1'!$K:$K,'Таблиця 1'!$B:$B,$A316,'Таблиця 1'!$I:$I,"Су-25",'Таблиця 1'!$J:$J,"MK-24")+SUMIFS('Таблиця 1'!$K:$K,'Таблиця 1'!$B:$B,$A316,'Таблиця 1'!$I:$I,"Су-27",'Таблиця 1'!$J:$J,"MK-24"))</f>
        <v/>
      </c>
      <c r="R316">
        <f>IF($A316="","",COUNTIFS('Таблиця 1'!$B:$B,$A316,'Таблиця 1'!$I:$I,"Mirage",'Таблиця 1'!$L:$L,"Уражено")+COUNTIFS('Таблиця 1'!$B:$B,$A316,'Таблиця 1'!$I:$I,"F-16",'Таблиця 1'!$L:$L,"Уражено")+COUNTIFS('Таблиця 1'!$B:$B,$A316,'Таблиця 1'!$I:$I,"МіГ-29",'Таблиця 1'!$L:$L,"Уражено")+COUNTIFS('Таблиця 1'!$B:$B,$A316,'Таблиця 1'!$I:$I,"Су-25",'Таблиця 1'!$L:$L,"Уражено")+COUNTIFS('Таблиця 1'!$B:$B,$A316,'Таблиця 1'!$I:$I,"Су-27",'Таблиця 1'!$L:$L,"Уражено"))</f>
        <v/>
      </c>
      <c r="S316">
        <f>IF($A316="","",COUNTIFS('Таблиця 1'!$B:$B,$A316,'Таблиця 1'!$I:$I,"Mirage",'Таблиця 1'!$L:$L,"НЕ уражено")+COUNTIFS('Таблиця 1'!$B:$B,$A316,'Таблиця 1'!$I:$I,"F-16",'Таблиця 1'!$L:$L,"НЕ уражено")+COUNTIFS('Таблиця 1'!$B:$B,$A316,'Таблиця 1'!$I:$I,"МіГ-29",'Таблиця 1'!$L:$L,"НЕ уражено")+COUNTIFS('Таблиця 1'!$B:$B,$A316,'Таблиця 1'!$I:$I,"Су-25",'Таблиця 1'!$L:$L,"НЕ уражено")+COUNTIFS('Таблиця 1'!$B:$B,$A316,'Таблиця 1'!$I:$I,"Су-27",'Таблиця 1'!$L:$L,"НЕ уражено"))</f>
        <v/>
      </c>
      <c r="T316">
        <f>IF($A316="","",COUNTIFS('Таблиця 1'!$B:$B,$A316,'Таблиця 1'!$I:$I,"Mirage",'Таблиця 1'!$L:$L,"Дорозвідується")+COUNTIFS('Таблиця 1'!$B:$B,$A316,'Таблиця 1'!$I:$I,"F-16",'Таблиця 1'!$L:$L,"Дорозвідується")+COUNTIFS('Таблиця 1'!$B:$B,$A316,'Таблиця 1'!$I:$I,"МіГ-29",'Таблиця 1'!$L:$L,"Дорозвідується")+COUNTIFS('Таблиця 1'!$B:$B,$A316,'Таблиця 1'!$I:$I,"Су-25",'Таблиця 1'!$L:$L,"Дорозвідується")+COUNTIFS('Таблиця 1'!$B:$B,$A316,'Таблиця 1'!$I:$I,"Су-27",'Таблиця 1'!$L:$L,"Дорозвідується"))</f>
        <v/>
      </c>
    </row>
    <row r="317">
      <c r="A317" s="273">
        <f>IF(A316="","",IF(A316+1&gt;MAX('Таблиця 1'!$B:$B),"",A316+1))</f>
        <v/>
      </c>
      <c r="B317">
        <f>IF($A317="","",COUNTIFS('Таблиця 1'!$B:$B,$A317,'Таблиця 1'!$I:$I,"Mirage")+COUNTIFS('Таблиця 1'!$B:$B,$A317,'Таблиця 1'!$I:$I,"F-16")+COUNTIFS('Таблиця 1'!$B:$B,$A317,'Таблиця 1'!$I:$I,"МіГ-29")+COUNTIFS('Таблиця 1'!$B:$B,$A317,'Таблиця 1'!$I:$I,"Су-25")+COUNTIFS('Таблиця 1'!$B:$B,$A317,'Таблиця 1'!$I:$I,"Су-27"))</f>
        <v/>
      </c>
      <c r="C317">
        <f>IF($A317="","",COUNTIFS('Таблиця 1'!$B:$B,$A317,'Таблиця 1'!$I:$I,"Mirage"))</f>
        <v/>
      </c>
      <c r="D317">
        <f>IF($A317="","",COUNTIFS('Таблиця 1'!$B:$B,$A317,'Таблиця 1'!$I:$I,"F-16"))</f>
        <v/>
      </c>
      <c r="E317">
        <f>IF($A317="","",COUNTIFS('Таблиця 1'!$B:$B,$A317,'Таблиця 1'!$I:$I,"МіГ-29"))</f>
        <v/>
      </c>
      <c r="F317">
        <f>IF($A317="","",COUNTIFS('Таблиця 1'!$B:$B,$A317,'Таблиця 1'!$I:$I,"Су-25"))</f>
        <v/>
      </c>
      <c r="G317">
        <f>IF($A317="","",COUNTIFS('Таблиця 1'!$B:$B,$A317,'Таблиця 1'!$I:$I,"Су-27"))</f>
        <v/>
      </c>
      <c r="H317">
        <f>IF($A317="","",SUMIFS('Таблиця 1'!$K:$K,'Таблиця 1'!$B:$B,$A317,'Таблиця 1'!$I:$I,"Mirage",'Таблиця 1'!$J:$J,"AGM-88")+SUMIFS('Таблиця 1'!$K:$K,'Таблиця 1'!$B:$B,$A317,'Таблиця 1'!$I:$I,"F-16",'Таблиця 1'!$J:$J,"AGM-88")+SUMIFS('Таблиця 1'!$K:$K,'Таблиця 1'!$B:$B,$A317,'Таблиця 1'!$I:$I,"МіГ-29",'Таблиця 1'!$J:$J,"AGM-88")+SUMIFS('Таблиця 1'!$K:$K,'Таблиця 1'!$B:$B,$A317,'Таблиця 1'!$I:$I,"Су-25",'Таблиця 1'!$J:$J,"AGM-88")+SUMIFS('Таблиця 1'!$K:$K,'Таблиця 1'!$B:$B,$A317,'Таблиця 1'!$I:$I,"Су-27",'Таблиця 1'!$J:$J,"AGM-88"))</f>
        <v/>
      </c>
      <c r="I317">
        <f>IF($A317="","",SUMIFS('Таблиця 1'!$K:$K,'Таблиця 1'!$B:$B,$A317,'Таблиця 1'!$I:$I,"Mirage",'Таблиця 1'!$J:$J,"AASM-250")+SUMIFS('Таблиця 1'!$K:$K,'Таблиця 1'!$B:$B,$A317,'Таблиця 1'!$I:$I,"F-16",'Таблиця 1'!$J:$J,"AASM-250")+SUMIFS('Таблиця 1'!$K:$K,'Таблиця 1'!$B:$B,$A317,'Таблиця 1'!$I:$I,"МіГ-29",'Таблиця 1'!$J:$J,"AASM-250")+SUMIFS('Таблиця 1'!$K:$K,'Таблиця 1'!$B:$B,$A317,'Таблиця 1'!$I:$I,"Су-25",'Таблиця 1'!$J:$J,"AASM-250")+SUMIFS('Таблиця 1'!$K:$K,'Таблиця 1'!$B:$B,$A317,'Таблиця 1'!$I:$I,"Су-27",'Таблиця 1'!$J:$J,"AASM-250"))</f>
        <v/>
      </c>
      <c r="J317">
        <f>IF($A317="","",SUMIFS('Таблиця 1'!$K:$K,'Таблиця 1'!$B:$B,$A317,'Таблиця 1'!$I:$I,"Mirage",'Таблиця 1'!$J:$J,"GBU-39")+SUMIFS('Таблиця 1'!$K:$K,'Таблиця 1'!$B:$B,$A317,'Таблиця 1'!$I:$I,"F-16",'Таблиця 1'!$J:$J,"GBU-39")+SUMIFS('Таблиця 1'!$K:$K,'Таблиця 1'!$B:$B,$A317,'Таблиця 1'!$I:$I,"МіГ-29",'Таблиця 1'!$J:$J,"GBU-39")+SUMIFS('Таблиця 1'!$K:$K,'Таблиця 1'!$B:$B,$A317,'Таблиця 1'!$I:$I,"Су-25",'Таблиця 1'!$J:$J,"GBU-39")+SUMIFS('Таблиця 1'!$K:$K,'Таблиця 1'!$B:$B,$A317,'Таблиця 1'!$I:$I,"Су-27",'Таблиця 1'!$J:$J,"GBU-39"))</f>
        <v/>
      </c>
      <c r="K317">
        <f>IF($A317="","",SUMIFS('Таблиця 1'!$K:$K,'Таблиця 1'!$B:$B,$A317,'Таблиця 1'!$I:$I,"Mirage",'Таблиця 1'!$J:$J,"BLU-140")+SUMIFS('Таблиця 1'!$K:$K,'Таблиця 1'!$B:$B,$A317,'Таблиця 1'!$I:$I,"F-16",'Таблиця 1'!$J:$J,"BLU-140")+SUMIFS('Таблиця 1'!$K:$K,'Таблиця 1'!$B:$B,$A317,'Таблиця 1'!$I:$I,"МіГ-29",'Таблиця 1'!$J:$J,"BLU-140")+SUMIFS('Таблиця 1'!$K:$K,'Таблиця 1'!$B:$B,$A317,'Таблиця 1'!$I:$I,"Су-25",'Таблиця 1'!$J:$J,"BLU-140")+SUMIFS('Таблиця 1'!$K:$K,'Таблиця 1'!$B:$B,$A317,'Таблиця 1'!$I:$I,"Су-27",'Таблиця 1'!$J:$J,"BLU-140"))</f>
        <v/>
      </c>
      <c r="L317">
        <f>IF($A317="","",SUMIFS('Таблиця 1'!$K:$K,'Таблиця 1'!$B:$B,$A317,'Таблиця 1'!$I:$I,"Mirage",'Таблиця 1'!$J:$J,"GBU-65")+SUMIFS('Таблиця 1'!$K:$K,'Таблиця 1'!$B:$B,$A317,'Таблиця 1'!$I:$I,"F-16",'Таблиця 1'!$J:$J,"GBU-65")+SUMIFS('Таблиця 1'!$K:$K,'Таблиця 1'!$B:$B,$A317,'Таблиця 1'!$I:$I,"МіГ-29",'Таблиця 1'!$J:$J,"GBU-65")+SUMIFS('Таблиця 1'!$K:$K,'Таблиця 1'!$B:$B,$A317,'Таблиця 1'!$I:$I,"Су-25",'Таблиця 1'!$J:$J,"GBU-65")+SUMIFS('Таблиця 1'!$K:$K,'Таблиця 1'!$B:$B,$A317,'Таблиця 1'!$I:$I,"Су-27",'Таблиця 1'!$J:$J,"GBU-65"))</f>
        <v/>
      </c>
      <c r="M317">
        <f>IF($A317="","",SUMIFS('Таблиця 1'!$K:$K,'Таблиця 1'!$B:$B,$A317,'Таблиця 1'!$I:$I,"Mirage",'Таблиця 1'!$J:$J,"GBU-62")+SUMIFS('Таблиця 1'!$K:$K,'Таблиця 1'!$B:$B,$A317,'Таблиця 1'!$I:$I,"F-16",'Таблиця 1'!$J:$J,"GBU-62")+SUMIFS('Таблиця 1'!$K:$K,'Таблиця 1'!$B:$B,$A317,'Таблиця 1'!$I:$I,"МіГ-29",'Таблиця 1'!$J:$J,"GBU-62")+SUMIFS('Таблиця 1'!$K:$K,'Таблиця 1'!$B:$B,$A317,'Таблиця 1'!$I:$I,"Су-25",'Таблиця 1'!$J:$J,"GBU-62")+SUMIFS('Таблиця 1'!$K:$K,'Таблиця 1'!$B:$B,$A317,'Таблиця 1'!$I:$I,"Су-27",'Таблиця 1'!$J:$J,"GBU-62"))</f>
        <v/>
      </c>
      <c r="N317">
        <f>IF($A317="","",SUMIFS('Таблиця 1'!$K:$K,'Таблиця 1'!$B:$B,$A317,'Таблиця 1'!$I:$I,"Mirage",'Таблиця 1'!$J:$J,"GBU-64")+SUMIFS('Таблиця 1'!$K:$K,'Таблиця 1'!$B:$B,$A317,'Таблиця 1'!$I:$I,"F-16",'Таблиця 1'!$J:$J,"GBU-64")+SUMIFS('Таблиця 1'!$K:$K,'Таблиця 1'!$B:$B,$A317,'Таблиця 1'!$I:$I,"МіГ-29",'Таблиця 1'!$J:$J,"GBU-64")+SUMIFS('Таблиця 1'!$K:$K,'Таблиця 1'!$B:$B,$A317,'Таблиця 1'!$I:$I,"Су-25",'Таблиця 1'!$J:$J,"GBU-64")+SUMIFS('Таблиця 1'!$K:$K,'Таблиця 1'!$B:$B,$A317,'Таблиця 1'!$I:$I,"Су-27",'Таблиця 1'!$J:$J,"GBU-64"))</f>
        <v/>
      </c>
      <c r="O317">
        <f>IF($A317="","",SUMIFS('Таблиця 1'!$K:$K,'Таблиця 1'!$B:$B,$A317,'Таблиця 1'!$I:$I,"Mirage",'Таблиця 1'!$J:$J,"C-13")+SUMIFS('Таблиця 1'!$K:$K,'Таблиця 1'!$B:$B,$A317,'Таблиця 1'!$I:$I,"F-16",'Таблиця 1'!$J:$J,"C-13")+SUMIFS('Таблиця 1'!$K:$K,'Таблиця 1'!$B:$B,$A317,'Таблиця 1'!$I:$I,"МіГ-29",'Таблиця 1'!$J:$J,"C-13")+SUMIFS('Таблиця 1'!$K:$K,'Таблиця 1'!$B:$B,$A317,'Таблиця 1'!$I:$I,"Су-25",'Таблиця 1'!$J:$J,"C-13")+SUMIFS('Таблиця 1'!$K:$K,'Таблиця 1'!$B:$B,$A317,'Таблиця 1'!$I:$I,"Су-27",'Таблиця 1'!$J:$J,"C-13"))</f>
        <v/>
      </c>
      <c r="P317">
        <f>IF($A317="","",SUMIFS('Таблиця 1'!$K:$K,'Таблиця 1'!$B:$B,$A317,'Таблиця 1'!$I:$I,"Mirage",'Таблиця 1'!$J:$J,"MK-32")+SUMIFS('Таблиця 1'!$K:$K,'Таблиця 1'!$B:$B,$A317,'Таблиця 1'!$I:$I,"F-16",'Таблиця 1'!$J:$J,"MK-32")+SUMIFS('Таблиця 1'!$K:$K,'Таблиця 1'!$B:$B,$A317,'Таблиця 1'!$I:$I,"МіГ-29",'Таблиця 1'!$J:$J,"MK-32")+SUMIFS('Таблиця 1'!$K:$K,'Таблиця 1'!$B:$B,$A317,'Таблиця 1'!$I:$I,"Су-25",'Таблиця 1'!$J:$J,"MK-32")+SUMIFS('Таблиця 1'!$K:$K,'Таблиця 1'!$B:$B,$A317,'Таблиця 1'!$I:$I,"Су-27",'Таблиця 1'!$J:$J,"MK-32"))</f>
        <v/>
      </c>
      <c r="Q317">
        <f>IF($A317="","",SUMIFS('Таблиця 1'!$K:$K,'Таблиця 1'!$B:$B,$A317,'Таблиця 1'!$I:$I,"Mirage",'Таблиця 1'!$J:$J,"MK-24")+SUMIFS('Таблиця 1'!$K:$K,'Таблиця 1'!$B:$B,$A317,'Таблиця 1'!$I:$I,"F-16",'Таблиця 1'!$J:$J,"MK-24")+SUMIFS('Таблиця 1'!$K:$K,'Таблиця 1'!$B:$B,$A317,'Таблиця 1'!$I:$I,"МіГ-29",'Таблиця 1'!$J:$J,"MK-24")+SUMIFS('Таблиця 1'!$K:$K,'Таблиця 1'!$B:$B,$A317,'Таблиця 1'!$I:$I,"Су-25",'Таблиця 1'!$J:$J,"MK-24")+SUMIFS('Таблиця 1'!$K:$K,'Таблиця 1'!$B:$B,$A317,'Таблиця 1'!$I:$I,"Су-27",'Таблиця 1'!$J:$J,"MK-24"))</f>
        <v/>
      </c>
      <c r="R317">
        <f>IF($A317="","",COUNTIFS('Таблиця 1'!$B:$B,$A317,'Таблиця 1'!$I:$I,"Mirage",'Таблиця 1'!$L:$L,"Уражено")+COUNTIFS('Таблиця 1'!$B:$B,$A317,'Таблиця 1'!$I:$I,"F-16",'Таблиця 1'!$L:$L,"Уражено")+COUNTIFS('Таблиця 1'!$B:$B,$A317,'Таблиця 1'!$I:$I,"МіГ-29",'Таблиця 1'!$L:$L,"Уражено")+COUNTIFS('Таблиця 1'!$B:$B,$A317,'Таблиця 1'!$I:$I,"Су-25",'Таблиця 1'!$L:$L,"Уражено")+COUNTIFS('Таблиця 1'!$B:$B,$A317,'Таблиця 1'!$I:$I,"Су-27",'Таблиця 1'!$L:$L,"Уражено"))</f>
        <v/>
      </c>
      <c r="S317">
        <f>IF($A317="","",COUNTIFS('Таблиця 1'!$B:$B,$A317,'Таблиця 1'!$I:$I,"Mirage",'Таблиця 1'!$L:$L,"НЕ уражено")+COUNTIFS('Таблиця 1'!$B:$B,$A317,'Таблиця 1'!$I:$I,"F-16",'Таблиця 1'!$L:$L,"НЕ уражено")+COUNTIFS('Таблиця 1'!$B:$B,$A317,'Таблиця 1'!$I:$I,"МіГ-29",'Таблиця 1'!$L:$L,"НЕ уражено")+COUNTIFS('Таблиця 1'!$B:$B,$A317,'Таблиця 1'!$I:$I,"Су-25",'Таблиця 1'!$L:$L,"НЕ уражено")+COUNTIFS('Таблиця 1'!$B:$B,$A317,'Таблиця 1'!$I:$I,"Су-27",'Таблиця 1'!$L:$L,"НЕ уражено"))</f>
        <v/>
      </c>
      <c r="T317">
        <f>IF($A317="","",COUNTIFS('Таблиця 1'!$B:$B,$A317,'Таблиця 1'!$I:$I,"Mirage",'Таблиця 1'!$L:$L,"Дорозвідується")+COUNTIFS('Таблиця 1'!$B:$B,$A317,'Таблиця 1'!$I:$I,"F-16",'Таблиця 1'!$L:$L,"Дорозвідується")+COUNTIFS('Таблиця 1'!$B:$B,$A317,'Таблиця 1'!$I:$I,"МіГ-29",'Таблиця 1'!$L:$L,"Дорозвідується")+COUNTIFS('Таблиця 1'!$B:$B,$A317,'Таблиця 1'!$I:$I,"Су-25",'Таблиця 1'!$L:$L,"Дорозвідується")+COUNTIFS('Таблиця 1'!$B:$B,$A317,'Таблиця 1'!$I:$I,"Су-27",'Таблиця 1'!$L:$L,"Дорозвідується"))</f>
        <v/>
      </c>
    </row>
    <row r="318">
      <c r="A318" s="273">
        <f>IF(A317="","",IF(A317+1&gt;MAX('Таблиця 1'!$B:$B),"",A317+1))</f>
        <v/>
      </c>
      <c r="B318">
        <f>IF($A318="","",COUNTIFS('Таблиця 1'!$B:$B,$A318,'Таблиця 1'!$I:$I,"Mirage")+COUNTIFS('Таблиця 1'!$B:$B,$A318,'Таблиця 1'!$I:$I,"F-16")+COUNTIFS('Таблиця 1'!$B:$B,$A318,'Таблиця 1'!$I:$I,"МіГ-29")+COUNTIFS('Таблиця 1'!$B:$B,$A318,'Таблиця 1'!$I:$I,"Су-25")+COUNTIFS('Таблиця 1'!$B:$B,$A318,'Таблиця 1'!$I:$I,"Су-27"))</f>
        <v/>
      </c>
      <c r="C318">
        <f>IF($A318="","",COUNTIFS('Таблиця 1'!$B:$B,$A318,'Таблиця 1'!$I:$I,"Mirage"))</f>
        <v/>
      </c>
      <c r="D318">
        <f>IF($A318="","",COUNTIFS('Таблиця 1'!$B:$B,$A318,'Таблиця 1'!$I:$I,"F-16"))</f>
        <v/>
      </c>
      <c r="E318">
        <f>IF($A318="","",COUNTIFS('Таблиця 1'!$B:$B,$A318,'Таблиця 1'!$I:$I,"МіГ-29"))</f>
        <v/>
      </c>
      <c r="F318">
        <f>IF($A318="","",COUNTIFS('Таблиця 1'!$B:$B,$A318,'Таблиця 1'!$I:$I,"Су-25"))</f>
        <v/>
      </c>
      <c r="G318">
        <f>IF($A318="","",COUNTIFS('Таблиця 1'!$B:$B,$A318,'Таблиця 1'!$I:$I,"Су-27"))</f>
        <v/>
      </c>
      <c r="H318">
        <f>IF($A318="","",SUMIFS('Таблиця 1'!$K:$K,'Таблиця 1'!$B:$B,$A318,'Таблиця 1'!$I:$I,"Mirage",'Таблиця 1'!$J:$J,"AGM-88")+SUMIFS('Таблиця 1'!$K:$K,'Таблиця 1'!$B:$B,$A318,'Таблиця 1'!$I:$I,"F-16",'Таблиця 1'!$J:$J,"AGM-88")+SUMIFS('Таблиця 1'!$K:$K,'Таблиця 1'!$B:$B,$A318,'Таблиця 1'!$I:$I,"МіГ-29",'Таблиця 1'!$J:$J,"AGM-88")+SUMIFS('Таблиця 1'!$K:$K,'Таблиця 1'!$B:$B,$A318,'Таблиця 1'!$I:$I,"Су-25",'Таблиця 1'!$J:$J,"AGM-88")+SUMIFS('Таблиця 1'!$K:$K,'Таблиця 1'!$B:$B,$A318,'Таблиця 1'!$I:$I,"Су-27",'Таблиця 1'!$J:$J,"AGM-88"))</f>
        <v/>
      </c>
      <c r="I318">
        <f>IF($A318="","",SUMIFS('Таблиця 1'!$K:$K,'Таблиця 1'!$B:$B,$A318,'Таблиця 1'!$I:$I,"Mirage",'Таблиця 1'!$J:$J,"AASM-250")+SUMIFS('Таблиця 1'!$K:$K,'Таблиця 1'!$B:$B,$A318,'Таблиця 1'!$I:$I,"F-16",'Таблиця 1'!$J:$J,"AASM-250")+SUMIFS('Таблиця 1'!$K:$K,'Таблиця 1'!$B:$B,$A318,'Таблиця 1'!$I:$I,"МіГ-29",'Таблиця 1'!$J:$J,"AASM-250")+SUMIFS('Таблиця 1'!$K:$K,'Таблиця 1'!$B:$B,$A318,'Таблиця 1'!$I:$I,"Су-25",'Таблиця 1'!$J:$J,"AASM-250")+SUMIFS('Таблиця 1'!$K:$K,'Таблиця 1'!$B:$B,$A318,'Таблиця 1'!$I:$I,"Су-27",'Таблиця 1'!$J:$J,"AASM-250"))</f>
        <v/>
      </c>
      <c r="J318">
        <f>IF($A318="","",SUMIFS('Таблиця 1'!$K:$K,'Таблиця 1'!$B:$B,$A318,'Таблиця 1'!$I:$I,"Mirage",'Таблиця 1'!$J:$J,"GBU-39")+SUMIFS('Таблиця 1'!$K:$K,'Таблиця 1'!$B:$B,$A318,'Таблиця 1'!$I:$I,"F-16",'Таблиця 1'!$J:$J,"GBU-39")+SUMIFS('Таблиця 1'!$K:$K,'Таблиця 1'!$B:$B,$A318,'Таблиця 1'!$I:$I,"МіГ-29",'Таблиця 1'!$J:$J,"GBU-39")+SUMIFS('Таблиця 1'!$K:$K,'Таблиця 1'!$B:$B,$A318,'Таблиця 1'!$I:$I,"Су-25",'Таблиця 1'!$J:$J,"GBU-39")+SUMIFS('Таблиця 1'!$K:$K,'Таблиця 1'!$B:$B,$A318,'Таблиця 1'!$I:$I,"Су-27",'Таблиця 1'!$J:$J,"GBU-39"))</f>
        <v/>
      </c>
      <c r="K318">
        <f>IF($A318="","",SUMIFS('Таблиця 1'!$K:$K,'Таблиця 1'!$B:$B,$A318,'Таблиця 1'!$I:$I,"Mirage",'Таблиця 1'!$J:$J,"BLU-140")+SUMIFS('Таблиця 1'!$K:$K,'Таблиця 1'!$B:$B,$A318,'Таблиця 1'!$I:$I,"F-16",'Таблиця 1'!$J:$J,"BLU-140")+SUMIFS('Таблиця 1'!$K:$K,'Таблиця 1'!$B:$B,$A318,'Таблиця 1'!$I:$I,"МіГ-29",'Таблиця 1'!$J:$J,"BLU-140")+SUMIFS('Таблиця 1'!$K:$K,'Таблиця 1'!$B:$B,$A318,'Таблиця 1'!$I:$I,"Су-25",'Таблиця 1'!$J:$J,"BLU-140")+SUMIFS('Таблиця 1'!$K:$K,'Таблиця 1'!$B:$B,$A318,'Таблиця 1'!$I:$I,"Су-27",'Таблиця 1'!$J:$J,"BLU-140"))</f>
        <v/>
      </c>
      <c r="L318">
        <f>IF($A318="","",SUMIFS('Таблиця 1'!$K:$K,'Таблиця 1'!$B:$B,$A318,'Таблиця 1'!$I:$I,"Mirage",'Таблиця 1'!$J:$J,"GBU-65")+SUMIFS('Таблиця 1'!$K:$K,'Таблиця 1'!$B:$B,$A318,'Таблиця 1'!$I:$I,"F-16",'Таблиця 1'!$J:$J,"GBU-65")+SUMIFS('Таблиця 1'!$K:$K,'Таблиця 1'!$B:$B,$A318,'Таблиця 1'!$I:$I,"МіГ-29",'Таблиця 1'!$J:$J,"GBU-65")+SUMIFS('Таблиця 1'!$K:$K,'Таблиця 1'!$B:$B,$A318,'Таблиця 1'!$I:$I,"Су-25",'Таблиця 1'!$J:$J,"GBU-65")+SUMIFS('Таблиця 1'!$K:$K,'Таблиця 1'!$B:$B,$A318,'Таблиця 1'!$I:$I,"Су-27",'Таблиця 1'!$J:$J,"GBU-65"))</f>
        <v/>
      </c>
      <c r="M318">
        <f>IF($A318="","",SUMIFS('Таблиця 1'!$K:$K,'Таблиця 1'!$B:$B,$A318,'Таблиця 1'!$I:$I,"Mirage",'Таблиця 1'!$J:$J,"GBU-62")+SUMIFS('Таблиця 1'!$K:$K,'Таблиця 1'!$B:$B,$A318,'Таблиця 1'!$I:$I,"F-16",'Таблиця 1'!$J:$J,"GBU-62")+SUMIFS('Таблиця 1'!$K:$K,'Таблиця 1'!$B:$B,$A318,'Таблиця 1'!$I:$I,"МіГ-29",'Таблиця 1'!$J:$J,"GBU-62")+SUMIFS('Таблиця 1'!$K:$K,'Таблиця 1'!$B:$B,$A318,'Таблиця 1'!$I:$I,"Су-25",'Таблиця 1'!$J:$J,"GBU-62")+SUMIFS('Таблиця 1'!$K:$K,'Таблиця 1'!$B:$B,$A318,'Таблиця 1'!$I:$I,"Су-27",'Таблиця 1'!$J:$J,"GBU-62"))</f>
        <v/>
      </c>
      <c r="N318">
        <f>IF($A318="","",SUMIFS('Таблиця 1'!$K:$K,'Таблиця 1'!$B:$B,$A318,'Таблиця 1'!$I:$I,"Mirage",'Таблиця 1'!$J:$J,"GBU-64")+SUMIFS('Таблиця 1'!$K:$K,'Таблиця 1'!$B:$B,$A318,'Таблиця 1'!$I:$I,"F-16",'Таблиця 1'!$J:$J,"GBU-64")+SUMIFS('Таблиця 1'!$K:$K,'Таблиця 1'!$B:$B,$A318,'Таблиця 1'!$I:$I,"МіГ-29",'Таблиця 1'!$J:$J,"GBU-64")+SUMIFS('Таблиця 1'!$K:$K,'Таблиця 1'!$B:$B,$A318,'Таблиця 1'!$I:$I,"Су-25",'Таблиця 1'!$J:$J,"GBU-64")+SUMIFS('Таблиця 1'!$K:$K,'Таблиця 1'!$B:$B,$A318,'Таблиця 1'!$I:$I,"Су-27",'Таблиця 1'!$J:$J,"GBU-64"))</f>
        <v/>
      </c>
      <c r="O318">
        <f>IF($A318="","",SUMIFS('Таблиця 1'!$K:$K,'Таблиця 1'!$B:$B,$A318,'Таблиця 1'!$I:$I,"Mirage",'Таблиця 1'!$J:$J,"C-13")+SUMIFS('Таблиця 1'!$K:$K,'Таблиця 1'!$B:$B,$A318,'Таблиця 1'!$I:$I,"F-16",'Таблиця 1'!$J:$J,"C-13")+SUMIFS('Таблиця 1'!$K:$K,'Таблиця 1'!$B:$B,$A318,'Таблиця 1'!$I:$I,"МіГ-29",'Таблиця 1'!$J:$J,"C-13")+SUMIFS('Таблиця 1'!$K:$K,'Таблиця 1'!$B:$B,$A318,'Таблиця 1'!$I:$I,"Су-25",'Таблиця 1'!$J:$J,"C-13")+SUMIFS('Таблиця 1'!$K:$K,'Таблиця 1'!$B:$B,$A318,'Таблиця 1'!$I:$I,"Су-27",'Таблиця 1'!$J:$J,"C-13"))</f>
        <v/>
      </c>
      <c r="P318">
        <f>IF($A318="","",SUMIFS('Таблиця 1'!$K:$K,'Таблиця 1'!$B:$B,$A318,'Таблиця 1'!$I:$I,"Mirage",'Таблиця 1'!$J:$J,"MK-32")+SUMIFS('Таблиця 1'!$K:$K,'Таблиця 1'!$B:$B,$A318,'Таблиця 1'!$I:$I,"F-16",'Таблиця 1'!$J:$J,"MK-32")+SUMIFS('Таблиця 1'!$K:$K,'Таблиця 1'!$B:$B,$A318,'Таблиця 1'!$I:$I,"МіГ-29",'Таблиця 1'!$J:$J,"MK-32")+SUMIFS('Таблиця 1'!$K:$K,'Таблиця 1'!$B:$B,$A318,'Таблиця 1'!$I:$I,"Су-25",'Таблиця 1'!$J:$J,"MK-32")+SUMIFS('Таблиця 1'!$K:$K,'Таблиця 1'!$B:$B,$A318,'Таблиця 1'!$I:$I,"Су-27",'Таблиця 1'!$J:$J,"MK-32"))</f>
        <v/>
      </c>
      <c r="Q318">
        <f>IF($A318="","",SUMIFS('Таблиця 1'!$K:$K,'Таблиця 1'!$B:$B,$A318,'Таблиця 1'!$I:$I,"Mirage",'Таблиця 1'!$J:$J,"MK-24")+SUMIFS('Таблиця 1'!$K:$K,'Таблиця 1'!$B:$B,$A318,'Таблиця 1'!$I:$I,"F-16",'Таблиця 1'!$J:$J,"MK-24")+SUMIFS('Таблиця 1'!$K:$K,'Таблиця 1'!$B:$B,$A318,'Таблиця 1'!$I:$I,"МіГ-29",'Таблиця 1'!$J:$J,"MK-24")+SUMIFS('Таблиця 1'!$K:$K,'Таблиця 1'!$B:$B,$A318,'Таблиця 1'!$I:$I,"Су-25",'Таблиця 1'!$J:$J,"MK-24")+SUMIFS('Таблиця 1'!$K:$K,'Таблиця 1'!$B:$B,$A318,'Таблиця 1'!$I:$I,"Су-27",'Таблиця 1'!$J:$J,"MK-24"))</f>
        <v/>
      </c>
      <c r="R318">
        <f>IF($A318="","",COUNTIFS('Таблиця 1'!$B:$B,$A318,'Таблиця 1'!$I:$I,"Mirage",'Таблиця 1'!$L:$L,"Уражено")+COUNTIFS('Таблиця 1'!$B:$B,$A318,'Таблиця 1'!$I:$I,"F-16",'Таблиця 1'!$L:$L,"Уражено")+COUNTIFS('Таблиця 1'!$B:$B,$A318,'Таблиця 1'!$I:$I,"МіГ-29",'Таблиця 1'!$L:$L,"Уражено")+COUNTIFS('Таблиця 1'!$B:$B,$A318,'Таблиця 1'!$I:$I,"Су-25",'Таблиця 1'!$L:$L,"Уражено")+COUNTIFS('Таблиця 1'!$B:$B,$A318,'Таблиця 1'!$I:$I,"Су-27",'Таблиця 1'!$L:$L,"Уражено"))</f>
        <v/>
      </c>
      <c r="S318">
        <f>IF($A318="","",COUNTIFS('Таблиця 1'!$B:$B,$A318,'Таблиця 1'!$I:$I,"Mirage",'Таблиця 1'!$L:$L,"НЕ уражено")+COUNTIFS('Таблиця 1'!$B:$B,$A318,'Таблиця 1'!$I:$I,"F-16",'Таблиця 1'!$L:$L,"НЕ уражено")+COUNTIFS('Таблиця 1'!$B:$B,$A318,'Таблиця 1'!$I:$I,"МіГ-29",'Таблиця 1'!$L:$L,"НЕ уражено")+COUNTIFS('Таблиця 1'!$B:$B,$A318,'Таблиця 1'!$I:$I,"Су-25",'Таблиця 1'!$L:$L,"НЕ уражено")+COUNTIFS('Таблиця 1'!$B:$B,$A318,'Таблиця 1'!$I:$I,"Су-27",'Таблиця 1'!$L:$L,"НЕ уражено"))</f>
        <v/>
      </c>
      <c r="T318">
        <f>IF($A318="","",COUNTIFS('Таблиця 1'!$B:$B,$A318,'Таблиця 1'!$I:$I,"Mirage",'Таблиця 1'!$L:$L,"Дорозвідується")+COUNTIFS('Таблиця 1'!$B:$B,$A318,'Таблиця 1'!$I:$I,"F-16",'Таблиця 1'!$L:$L,"Дорозвідується")+COUNTIFS('Таблиця 1'!$B:$B,$A318,'Таблиця 1'!$I:$I,"МіГ-29",'Таблиця 1'!$L:$L,"Дорозвідується")+COUNTIFS('Таблиця 1'!$B:$B,$A318,'Таблиця 1'!$I:$I,"Су-25",'Таблиця 1'!$L:$L,"Дорозвідується")+COUNTIFS('Таблиця 1'!$B:$B,$A318,'Таблиця 1'!$I:$I,"Су-27",'Таблиця 1'!$L:$L,"Дорозвідується"))</f>
        <v/>
      </c>
    </row>
    <row r="319">
      <c r="A319" s="273">
        <f>IF(A318="","",IF(A318+1&gt;MAX('Таблиця 1'!$B:$B),"",A318+1))</f>
        <v/>
      </c>
      <c r="B319">
        <f>IF($A319="","",COUNTIFS('Таблиця 1'!$B:$B,$A319,'Таблиця 1'!$I:$I,"Mirage")+COUNTIFS('Таблиця 1'!$B:$B,$A319,'Таблиця 1'!$I:$I,"F-16")+COUNTIFS('Таблиця 1'!$B:$B,$A319,'Таблиця 1'!$I:$I,"МіГ-29")+COUNTIFS('Таблиця 1'!$B:$B,$A319,'Таблиця 1'!$I:$I,"Су-25")+COUNTIFS('Таблиця 1'!$B:$B,$A319,'Таблиця 1'!$I:$I,"Су-27"))</f>
        <v/>
      </c>
      <c r="C319">
        <f>IF($A319="","",COUNTIFS('Таблиця 1'!$B:$B,$A319,'Таблиця 1'!$I:$I,"Mirage"))</f>
        <v/>
      </c>
      <c r="D319">
        <f>IF($A319="","",COUNTIFS('Таблиця 1'!$B:$B,$A319,'Таблиця 1'!$I:$I,"F-16"))</f>
        <v/>
      </c>
      <c r="E319">
        <f>IF($A319="","",COUNTIFS('Таблиця 1'!$B:$B,$A319,'Таблиця 1'!$I:$I,"МіГ-29"))</f>
        <v/>
      </c>
      <c r="F319">
        <f>IF($A319="","",COUNTIFS('Таблиця 1'!$B:$B,$A319,'Таблиця 1'!$I:$I,"Су-25"))</f>
        <v/>
      </c>
      <c r="G319">
        <f>IF($A319="","",COUNTIFS('Таблиця 1'!$B:$B,$A319,'Таблиця 1'!$I:$I,"Су-27"))</f>
        <v/>
      </c>
      <c r="H319">
        <f>IF($A319="","",SUMIFS('Таблиця 1'!$K:$K,'Таблиця 1'!$B:$B,$A319,'Таблиця 1'!$I:$I,"Mirage",'Таблиця 1'!$J:$J,"AGM-88")+SUMIFS('Таблиця 1'!$K:$K,'Таблиця 1'!$B:$B,$A319,'Таблиця 1'!$I:$I,"F-16",'Таблиця 1'!$J:$J,"AGM-88")+SUMIFS('Таблиця 1'!$K:$K,'Таблиця 1'!$B:$B,$A319,'Таблиця 1'!$I:$I,"МіГ-29",'Таблиця 1'!$J:$J,"AGM-88")+SUMIFS('Таблиця 1'!$K:$K,'Таблиця 1'!$B:$B,$A319,'Таблиця 1'!$I:$I,"Су-25",'Таблиця 1'!$J:$J,"AGM-88")+SUMIFS('Таблиця 1'!$K:$K,'Таблиця 1'!$B:$B,$A319,'Таблиця 1'!$I:$I,"Су-27",'Таблиця 1'!$J:$J,"AGM-88"))</f>
        <v/>
      </c>
      <c r="I319">
        <f>IF($A319="","",SUMIFS('Таблиця 1'!$K:$K,'Таблиця 1'!$B:$B,$A319,'Таблиця 1'!$I:$I,"Mirage",'Таблиця 1'!$J:$J,"AASM-250")+SUMIFS('Таблиця 1'!$K:$K,'Таблиця 1'!$B:$B,$A319,'Таблиця 1'!$I:$I,"F-16",'Таблиця 1'!$J:$J,"AASM-250")+SUMIFS('Таблиця 1'!$K:$K,'Таблиця 1'!$B:$B,$A319,'Таблиця 1'!$I:$I,"МіГ-29",'Таблиця 1'!$J:$J,"AASM-250")+SUMIFS('Таблиця 1'!$K:$K,'Таблиця 1'!$B:$B,$A319,'Таблиця 1'!$I:$I,"Су-25",'Таблиця 1'!$J:$J,"AASM-250")+SUMIFS('Таблиця 1'!$K:$K,'Таблиця 1'!$B:$B,$A319,'Таблиця 1'!$I:$I,"Су-27",'Таблиця 1'!$J:$J,"AASM-250"))</f>
        <v/>
      </c>
      <c r="J319">
        <f>IF($A319="","",SUMIFS('Таблиця 1'!$K:$K,'Таблиця 1'!$B:$B,$A319,'Таблиця 1'!$I:$I,"Mirage",'Таблиця 1'!$J:$J,"GBU-39")+SUMIFS('Таблиця 1'!$K:$K,'Таблиця 1'!$B:$B,$A319,'Таблиця 1'!$I:$I,"F-16",'Таблиця 1'!$J:$J,"GBU-39")+SUMIFS('Таблиця 1'!$K:$K,'Таблиця 1'!$B:$B,$A319,'Таблиця 1'!$I:$I,"МіГ-29",'Таблиця 1'!$J:$J,"GBU-39")+SUMIFS('Таблиця 1'!$K:$K,'Таблиця 1'!$B:$B,$A319,'Таблиця 1'!$I:$I,"Су-25",'Таблиця 1'!$J:$J,"GBU-39")+SUMIFS('Таблиця 1'!$K:$K,'Таблиця 1'!$B:$B,$A319,'Таблиця 1'!$I:$I,"Су-27",'Таблиця 1'!$J:$J,"GBU-39"))</f>
        <v/>
      </c>
      <c r="K319">
        <f>IF($A319="","",SUMIFS('Таблиця 1'!$K:$K,'Таблиця 1'!$B:$B,$A319,'Таблиця 1'!$I:$I,"Mirage",'Таблиця 1'!$J:$J,"BLU-140")+SUMIFS('Таблиця 1'!$K:$K,'Таблиця 1'!$B:$B,$A319,'Таблиця 1'!$I:$I,"F-16",'Таблиця 1'!$J:$J,"BLU-140")+SUMIFS('Таблиця 1'!$K:$K,'Таблиця 1'!$B:$B,$A319,'Таблиця 1'!$I:$I,"МіГ-29",'Таблиця 1'!$J:$J,"BLU-140")+SUMIFS('Таблиця 1'!$K:$K,'Таблиця 1'!$B:$B,$A319,'Таблиця 1'!$I:$I,"Су-25",'Таблиця 1'!$J:$J,"BLU-140")+SUMIFS('Таблиця 1'!$K:$K,'Таблиця 1'!$B:$B,$A319,'Таблиця 1'!$I:$I,"Су-27",'Таблиця 1'!$J:$J,"BLU-140"))</f>
        <v/>
      </c>
      <c r="L319">
        <f>IF($A319="","",SUMIFS('Таблиця 1'!$K:$K,'Таблиця 1'!$B:$B,$A319,'Таблиця 1'!$I:$I,"Mirage",'Таблиця 1'!$J:$J,"GBU-65")+SUMIFS('Таблиця 1'!$K:$K,'Таблиця 1'!$B:$B,$A319,'Таблиця 1'!$I:$I,"F-16",'Таблиця 1'!$J:$J,"GBU-65")+SUMIFS('Таблиця 1'!$K:$K,'Таблиця 1'!$B:$B,$A319,'Таблиця 1'!$I:$I,"МіГ-29",'Таблиця 1'!$J:$J,"GBU-65")+SUMIFS('Таблиця 1'!$K:$K,'Таблиця 1'!$B:$B,$A319,'Таблиця 1'!$I:$I,"Су-25",'Таблиця 1'!$J:$J,"GBU-65")+SUMIFS('Таблиця 1'!$K:$K,'Таблиця 1'!$B:$B,$A319,'Таблиця 1'!$I:$I,"Су-27",'Таблиця 1'!$J:$J,"GBU-65"))</f>
        <v/>
      </c>
      <c r="M319">
        <f>IF($A319="","",SUMIFS('Таблиця 1'!$K:$K,'Таблиця 1'!$B:$B,$A319,'Таблиця 1'!$I:$I,"Mirage",'Таблиця 1'!$J:$J,"GBU-62")+SUMIFS('Таблиця 1'!$K:$K,'Таблиця 1'!$B:$B,$A319,'Таблиця 1'!$I:$I,"F-16",'Таблиця 1'!$J:$J,"GBU-62")+SUMIFS('Таблиця 1'!$K:$K,'Таблиця 1'!$B:$B,$A319,'Таблиця 1'!$I:$I,"МіГ-29",'Таблиця 1'!$J:$J,"GBU-62")+SUMIFS('Таблиця 1'!$K:$K,'Таблиця 1'!$B:$B,$A319,'Таблиця 1'!$I:$I,"Су-25",'Таблиця 1'!$J:$J,"GBU-62")+SUMIFS('Таблиця 1'!$K:$K,'Таблиця 1'!$B:$B,$A319,'Таблиця 1'!$I:$I,"Су-27",'Таблиця 1'!$J:$J,"GBU-62"))</f>
        <v/>
      </c>
      <c r="N319">
        <f>IF($A319="","",SUMIFS('Таблиця 1'!$K:$K,'Таблиця 1'!$B:$B,$A319,'Таблиця 1'!$I:$I,"Mirage",'Таблиця 1'!$J:$J,"GBU-64")+SUMIFS('Таблиця 1'!$K:$K,'Таблиця 1'!$B:$B,$A319,'Таблиця 1'!$I:$I,"F-16",'Таблиця 1'!$J:$J,"GBU-64")+SUMIFS('Таблиця 1'!$K:$K,'Таблиця 1'!$B:$B,$A319,'Таблиця 1'!$I:$I,"МіГ-29",'Таблиця 1'!$J:$J,"GBU-64")+SUMIFS('Таблиця 1'!$K:$K,'Таблиця 1'!$B:$B,$A319,'Таблиця 1'!$I:$I,"Су-25",'Таблиця 1'!$J:$J,"GBU-64")+SUMIFS('Таблиця 1'!$K:$K,'Таблиця 1'!$B:$B,$A319,'Таблиця 1'!$I:$I,"Су-27",'Таблиця 1'!$J:$J,"GBU-64"))</f>
        <v/>
      </c>
      <c r="O319">
        <f>IF($A319="","",SUMIFS('Таблиця 1'!$K:$K,'Таблиця 1'!$B:$B,$A319,'Таблиця 1'!$I:$I,"Mirage",'Таблиця 1'!$J:$J,"C-13")+SUMIFS('Таблиця 1'!$K:$K,'Таблиця 1'!$B:$B,$A319,'Таблиця 1'!$I:$I,"F-16",'Таблиця 1'!$J:$J,"C-13")+SUMIFS('Таблиця 1'!$K:$K,'Таблиця 1'!$B:$B,$A319,'Таблиця 1'!$I:$I,"МіГ-29",'Таблиця 1'!$J:$J,"C-13")+SUMIFS('Таблиця 1'!$K:$K,'Таблиця 1'!$B:$B,$A319,'Таблиця 1'!$I:$I,"Су-25",'Таблиця 1'!$J:$J,"C-13")+SUMIFS('Таблиця 1'!$K:$K,'Таблиця 1'!$B:$B,$A319,'Таблиця 1'!$I:$I,"Су-27",'Таблиця 1'!$J:$J,"C-13"))</f>
        <v/>
      </c>
      <c r="P319">
        <f>IF($A319="","",SUMIFS('Таблиця 1'!$K:$K,'Таблиця 1'!$B:$B,$A319,'Таблиця 1'!$I:$I,"Mirage",'Таблиця 1'!$J:$J,"MK-32")+SUMIFS('Таблиця 1'!$K:$K,'Таблиця 1'!$B:$B,$A319,'Таблиця 1'!$I:$I,"F-16",'Таблиця 1'!$J:$J,"MK-32")+SUMIFS('Таблиця 1'!$K:$K,'Таблиця 1'!$B:$B,$A319,'Таблиця 1'!$I:$I,"МіГ-29",'Таблиця 1'!$J:$J,"MK-32")+SUMIFS('Таблиця 1'!$K:$K,'Таблиця 1'!$B:$B,$A319,'Таблиця 1'!$I:$I,"Су-25",'Таблиця 1'!$J:$J,"MK-32")+SUMIFS('Таблиця 1'!$K:$K,'Таблиця 1'!$B:$B,$A319,'Таблиця 1'!$I:$I,"Су-27",'Таблиця 1'!$J:$J,"MK-32"))</f>
        <v/>
      </c>
      <c r="Q319">
        <f>IF($A319="","",SUMIFS('Таблиця 1'!$K:$K,'Таблиця 1'!$B:$B,$A319,'Таблиця 1'!$I:$I,"Mirage",'Таблиця 1'!$J:$J,"MK-24")+SUMIFS('Таблиця 1'!$K:$K,'Таблиця 1'!$B:$B,$A319,'Таблиця 1'!$I:$I,"F-16",'Таблиця 1'!$J:$J,"MK-24")+SUMIFS('Таблиця 1'!$K:$K,'Таблиця 1'!$B:$B,$A319,'Таблиця 1'!$I:$I,"МіГ-29",'Таблиця 1'!$J:$J,"MK-24")+SUMIFS('Таблиця 1'!$K:$K,'Таблиця 1'!$B:$B,$A319,'Таблиця 1'!$I:$I,"Су-25",'Таблиця 1'!$J:$J,"MK-24")+SUMIFS('Таблиця 1'!$K:$K,'Таблиця 1'!$B:$B,$A319,'Таблиця 1'!$I:$I,"Су-27",'Таблиця 1'!$J:$J,"MK-24"))</f>
        <v/>
      </c>
      <c r="R319">
        <f>IF($A319="","",COUNTIFS('Таблиця 1'!$B:$B,$A319,'Таблиця 1'!$I:$I,"Mirage",'Таблиця 1'!$L:$L,"Уражено")+COUNTIFS('Таблиця 1'!$B:$B,$A319,'Таблиця 1'!$I:$I,"F-16",'Таблиця 1'!$L:$L,"Уражено")+COUNTIFS('Таблиця 1'!$B:$B,$A319,'Таблиця 1'!$I:$I,"МіГ-29",'Таблиця 1'!$L:$L,"Уражено")+COUNTIFS('Таблиця 1'!$B:$B,$A319,'Таблиця 1'!$I:$I,"Су-25",'Таблиця 1'!$L:$L,"Уражено")+COUNTIFS('Таблиця 1'!$B:$B,$A319,'Таблиця 1'!$I:$I,"Су-27",'Таблиця 1'!$L:$L,"Уражено"))</f>
        <v/>
      </c>
      <c r="S319">
        <f>IF($A319="","",COUNTIFS('Таблиця 1'!$B:$B,$A319,'Таблиця 1'!$I:$I,"Mirage",'Таблиця 1'!$L:$L,"НЕ уражено")+COUNTIFS('Таблиця 1'!$B:$B,$A319,'Таблиця 1'!$I:$I,"F-16",'Таблиця 1'!$L:$L,"НЕ уражено")+COUNTIFS('Таблиця 1'!$B:$B,$A319,'Таблиця 1'!$I:$I,"МіГ-29",'Таблиця 1'!$L:$L,"НЕ уражено")+COUNTIFS('Таблиця 1'!$B:$B,$A319,'Таблиця 1'!$I:$I,"Су-25",'Таблиця 1'!$L:$L,"НЕ уражено")+COUNTIFS('Таблиця 1'!$B:$B,$A319,'Таблиця 1'!$I:$I,"Су-27",'Таблиця 1'!$L:$L,"НЕ уражено"))</f>
        <v/>
      </c>
      <c r="T319">
        <f>IF($A319="","",COUNTIFS('Таблиця 1'!$B:$B,$A319,'Таблиця 1'!$I:$I,"Mirage",'Таблиця 1'!$L:$L,"Дорозвідується")+COUNTIFS('Таблиця 1'!$B:$B,$A319,'Таблиця 1'!$I:$I,"F-16",'Таблиця 1'!$L:$L,"Дорозвідується")+COUNTIFS('Таблиця 1'!$B:$B,$A319,'Таблиця 1'!$I:$I,"МіГ-29",'Таблиця 1'!$L:$L,"Дорозвідується")+COUNTIFS('Таблиця 1'!$B:$B,$A319,'Таблиця 1'!$I:$I,"Су-25",'Таблиця 1'!$L:$L,"Дорозвідується")+COUNTIFS('Таблиця 1'!$B:$B,$A319,'Таблиця 1'!$I:$I,"Су-27",'Таблиця 1'!$L:$L,"Дорозвідується"))</f>
        <v/>
      </c>
    </row>
    <row r="320">
      <c r="A320" s="273">
        <f>IF(A319="","",IF(A319+1&gt;MAX('Таблиця 1'!$B:$B),"",A319+1))</f>
        <v/>
      </c>
      <c r="B320">
        <f>IF($A320="","",COUNTIFS('Таблиця 1'!$B:$B,$A320,'Таблиця 1'!$I:$I,"Mirage")+COUNTIFS('Таблиця 1'!$B:$B,$A320,'Таблиця 1'!$I:$I,"F-16")+COUNTIFS('Таблиця 1'!$B:$B,$A320,'Таблиця 1'!$I:$I,"МіГ-29")+COUNTIFS('Таблиця 1'!$B:$B,$A320,'Таблиця 1'!$I:$I,"Су-25")+COUNTIFS('Таблиця 1'!$B:$B,$A320,'Таблиця 1'!$I:$I,"Су-27"))</f>
        <v/>
      </c>
      <c r="C320">
        <f>IF($A320="","",COUNTIFS('Таблиця 1'!$B:$B,$A320,'Таблиця 1'!$I:$I,"Mirage"))</f>
        <v/>
      </c>
      <c r="D320">
        <f>IF($A320="","",COUNTIFS('Таблиця 1'!$B:$B,$A320,'Таблиця 1'!$I:$I,"F-16"))</f>
        <v/>
      </c>
      <c r="E320">
        <f>IF($A320="","",COUNTIFS('Таблиця 1'!$B:$B,$A320,'Таблиця 1'!$I:$I,"МіГ-29"))</f>
        <v/>
      </c>
      <c r="F320">
        <f>IF($A320="","",COUNTIFS('Таблиця 1'!$B:$B,$A320,'Таблиця 1'!$I:$I,"Су-25"))</f>
        <v/>
      </c>
      <c r="G320">
        <f>IF($A320="","",COUNTIFS('Таблиця 1'!$B:$B,$A320,'Таблиця 1'!$I:$I,"Су-27"))</f>
        <v/>
      </c>
      <c r="H320">
        <f>IF($A320="","",SUMIFS('Таблиця 1'!$K:$K,'Таблиця 1'!$B:$B,$A320,'Таблиця 1'!$I:$I,"Mirage",'Таблиця 1'!$J:$J,"AGM-88")+SUMIFS('Таблиця 1'!$K:$K,'Таблиця 1'!$B:$B,$A320,'Таблиця 1'!$I:$I,"F-16",'Таблиця 1'!$J:$J,"AGM-88")+SUMIFS('Таблиця 1'!$K:$K,'Таблиця 1'!$B:$B,$A320,'Таблиця 1'!$I:$I,"МіГ-29",'Таблиця 1'!$J:$J,"AGM-88")+SUMIFS('Таблиця 1'!$K:$K,'Таблиця 1'!$B:$B,$A320,'Таблиця 1'!$I:$I,"Су-25",'Таблиця 1'!$J:$J,"AGM-88")+SUMIFS('Таблиця 1'!$K:$K,'Таблиця 1'!$B:$B,$A320,'Таблиця 1'!$I:$I,"Су-27",'Таблиця 1'!$J:$J,"AGM-88"))</f>
        <v/>
      </c>
      <c r="I320">
        <f>IF($A320="","",SUMIFS('Таблиця 1'!$K:$K,'Таблиця 1'!$B:$B,$A320,'Таблиця 1'!$I:$I,"Mirage",'Таблиця 1'!$J:$J,"AASM-250")+SUMIFS('Таблиця 1'!$K:$K,'Таблиця 1'!$B:$B,$A320,'Таблиця 1'!$I:$I,"F-16",'Таблиця 1'!$J:$J,"AASM-250")+SUMIFS('Таблиця 1'!$K:$K,'Таблиця 1'!$B:$B,$A320,'Таблиця 1'!$I:$I,"МіГ-29",'Таблиця 1'!$J:$J,"AASM-250")+SUMIFS('Таблиця 1'!$K:$K,'Таблиця 1'!$B:$B,$A320,'Таблиця 1'!$I:$I,"Су-25",'Таблиця 1'!$J:$J,"AASM-250")+SUMIFS('Таблиця 1'!$K:$K,'Таблиця 1'!$B:$B,$A320,'Таблиця 1'!$I:$I,"Су-27",'Таблиця 1'!$J:$J,"AASM-250"))</f>
        <v/>
      </c>
      <c r="J320">
        <f>IF($A320="","",SUMIFS('Таблиця 1'!$K:$K,'Таблиця 1'!$B:$B,$A320,'Таблиця 1'!$I:$I,"Mirage",'Таблиця 1'!$J:$J,"GBU-39")+SUMIFS('Таблиця 1'!$K:$K,'Таблиця 1'!$B:$B,$A320,'Таблиця 1'!$I:$I,"F-16",'Таблиця 1'!$J:$J,"GBU-39")+SUMIFS('Таблиця 1'!$K:$K,'Таблиця 1'!$B:$B,$A320,'Таблиця 1'!$I:$I,"МіГ-29",'Таблиця 1'!$J:$J,"GBU-39")+SUMIFS('Таблиця 1'!$K:$K,'Таблиця 1'!$B:$B,$A320,'Таблиця 1'!$I:$I,"Су-25",'Таблиця 1'!$J:$J,"GBU-39")+SUMIFS('Таблиця 1'!$K:$K,'Таблиця 1'!$B:$B,$A320,'Таблиця 1'!$I:$I,"Су-27",'Таблиця 1'!$J:$J,"GBU-39"))</f>
        <v/>
      </c>
      <c r="K320">
        <f>IF($A320="","",SUMIFS('Таблиця 1'!$K:$K,'Таблиця 1'!$B:$B,$A320,'Таблиця 1'!$I:$I,"Mirage",'Таблиця 1'!$J:$J,"BLU-140")+SUMIFS('Таблиця 1'!$K:$K,'Таблиця 1'!$B:$B,$A320,'Таблиця 1'!$I:$I,"F-16",'Таблиця 1'!$J:$J,"BLU-140")+SUMIFS('Таблиця 1'!$K:$K,'Таблиця 1'!$B:$B,$A320,'Таблиця 1'!$I:$I,"МіГ-29",'Таблиця 1'!$J:$J,"BLU-140")+SUMIFS('Таблиця 1'!$K:$K,'Таблиця 1'!$B:$B,$A320,'Таблиця 1'!$I:$I,"Су-25",'Таблиця 1'!$J:$J,"BLU-140")+SUMIFS('Таблиця 1'!$K:$K,'Таблиця 1'!$B:$B,$A320,'Таблиця 1'!$I:$I,"Су-27",'Таблиця 1'!$J:$J,"BLU-140"))</f>
        <v/>
      </c>
      <c r="L320">
        <f>IF($A320="","",SUMIFS('Таблиця 1'!$K:$K,'Таблиця 1'!$B:$B,$A320,'Таблиця 1'!$I:$I,"Mirage",'Таблиця 1'!$J:$J,"GBU-65")+SUMIFS('Таблиця 1'!$K:$K,'Таблиця 1'!$B:$B,$A320,'Таблиця 1'!$I:$I,"F-16",'Таблиця 1'!$J:$J,"GBU-65")+SUMIFS('Таблиця 1'!$K:$K,'Таблиця 1'!$B:$B,$A320,'Таблиця 1'!$I:$I,"МіГ-29",'Таблиця 1'!$J:$J,"GBU-65")+SUMIFS('Таблиця 1'!$K:$K,'Таблиця 1'!$B:$B,$A320,'Таблиця 1'!$I:$I,"Су-25",'Таблиця 1'!$J:$J,"GBU-65")+SUMIFS('Таблиця 1'!$K:$K,'Таблиця 1'!$B:$B,$A320,'Таблиця 1'!$I:$I,"Су-27",'Таблиця 1'!$J:$J,"GBU-65"))</f>
        <v/>
      </c>
      <c r="M320">
        <f>IF($A320="","",SUMIFS('Таблиця 1'!$K:$K,'Таблиця 1'!$B:$B,$A320,'Таблиця 1'!$I:$I,"Mirage",'Таблиця 1'!$J:$J,"GBU-62")+SUMIFS('Таблиця 1'!$K:$K,'Таблиця 1'!$B:$B,$A320,'Таблиця 1'!$I:$I,"F-16",'Таблиця 1'!$J:$J,"GBU-62")+SUMIFS('Таблиця 1'!$K:$K,'Таблиця 1'!$B:$B,$A320,'Таблиця 1'!$I:$I,"МіГ-29",'Таблиця 1'!$J:$J,"GBU-62")+SUMIFS('Таблиця 1'!$K:$K,'Таблиця 1'!$B:$B,$A320,'Таблиця 1'!$I:$I,"Су-25",'Таблиця 1'!$J:$J,"GBU-62")+SUMIFS('Таблиця 1'!$K:$K,'Таблиця 1'!$B:$B,$A320,'Таблиця 1'!$I:$I,"Су-27",'Таблиця 1'!$J:$J,"GBU-62"))</f>
        <v/>
      </c>
      <c r="N320">
        <f>IF($A320="","",SUMIFS('Таблиця 1'!$K:$K,'Таблиця 1'!$B:$B,$A320,'Таблиця 1'!$I:$I,"Mirage",'Таблиця 1'!$J:$J,"GBU-64")+SUMIFS('Таблиця 1'!$K:$K,'Таблиця 1'!$B:$B,$A320,'Таблиця 1'!$I:$I,"F-16",'Таблиця 1'!$J:$J,"GBU-64")+SUMIFS('Таблиця 1'!$K:$K,'Таблиця 1'!$B:$B,$A320,'Таблиця 1'!$I:$I,"МіГ-29",'Таблиця 1'!$J:$J,"GBU-64")+SUMIFS('Таблиця 1'!$K:$K,'Таблиця 1'!$B:$B,$A320,'Таблиця 1'!$I:$I,"Су-25",'Таблиця 1'!$J:$J,"GBU-64")+SUMIFS('Таблиця 1'!$K:$K,'Таблиця 1'!$B:$B,$A320,'Таблиця 1'!$I:$I,"Су-27",'Таблиця 1'!$J:$J,"GBU-64"))</f>
        <v/>
      </c>
      <c r="O320">
        <f>IF($A320="","",SUMIFS('Таблиця 1'!$K:$K,'Таблиця 1'!$B:$B,$A320,'Таблиця 1'!$I:$I,"Mirage",'Таблиця 1'!$J:$J,"C-13")+SUMIFS('Таблиця 1'!$K:$K,'Таблиця 1'!$B:$B,$A320,'Таблиця 1'!$I:$I,"F-16",'Таблиця 1'!$J:$J,"C-13")+SUMIFS('Таблиця 1'!$K:$K,'Таблиця 1'!$B:$B,$A320,'Таблиця 1'!$I:$I,"МіГ-29",'Таблиця 1'!$J:$J,"C-13")+SUMIFS('Таблиця 1'!$K:$K,'Таблиця 1'!$B:$B,$A320,'Таблиця 1'!$I:$I,"Су-25",'Таблиця 1'!$J:$J,"C-13")+SUMIFS('Таблиця 1'!$K:$K,'Таблиця 1'!$B:$B,$A320,'Таблиця 1'!$I:$I,"Су-27",'Таблиця 1'!$J:$J,"C-13"))</f>
        <v/>
      </c>
      <c r="P320">
        <f>IF($A320="","",SUMIFS('Таблиця 1'!$K:$K,'Таблиця 1'!$B:$B,$A320,'Таблиця 1'!$I:$I,"Mirage",'Таблиця 1'!$J:$J,"MK-32")+SUMIFS('Таблиця 1'!$K:$K,'Таблиця 1'!$B:$B,$A320,'Таблиця 1'!$I:$I,"F-16",'Таблиця 1'!$J:$J,"MK-32")+SUMIFS('Таблиця 1'!$K:$K,'Таблиця 1'!$B:$B,$A320,'Таблиця 1'!$I:$I,"МіГ-29",'Таблиця 1'!$J:$J,"MK-32")+SUMIFS('Таблиця 1'!$K:$K,'Таблиця 1'!$B:$B,$A320,'Таблиця 1'!$I:$I,"Су-25",'Таблиця 1'!$J:$J,"MK-32")+SUMIFS('Таблиця 1'!$K:$K,'Таблиця 1'!$B:$B,$A320,'Таблиця 1'!$I:$I,"Су-27",'Таблиця 1'!$J:$J,"MK-32"))</f>
        <v/>
      </c>
      <c r="Q320">
        <f>IF($A320="","",SUMIFS('Таблиця 1'!$K:$K,'Таблиця 1'!$B:$B,$A320,'Таблиця 1'!$I:$I,"Mirage",'Таблиця 1'!$J:$J,"MK-24")+SUMIFS('Таблиця 1'!$K:$K,'Таблиця 1'!$B:$B,$A320,'Таблиця 1'!$I:$I,"F-16",'Таблиця 1'!$J:$J,"MK-24")+SUMIFS('Таблиця 1'!$K:$K,'Таблиця 1'!$B:$B,$A320,'Таблиця 1'!$I:$I,"МіГ-29",'Таблиця 1'!$J:$J,"MK-24")+SUMIFS('Таблиця 1'!$K:$K,'Таблиця 1'!$B:$B,$A320,'Таблиця 1'!$I:$I,"Су-25",'Таблиця 1'!$J:$J,"MK-24")+SUMIFS('Таблиця 1'!$K:$K,'Таблиця 1'!$B:$B,$A320,'Таблиця 1'!$I:$I,"Су-27",'Таблиця 1'!$J:$J,"MK-24"))</f>
        <v/>
      </c>
      <c r="R320">
        <f>IF($A320="","",COUNTIFS('Таблиця 1'!$B:$B,$A320,'Таблиця 1'!$I:$I,"Mirage",'Таблиця 1'!$L:$L,"Уражено")+COUNTIFS('Таблиця 1'!$B:$B,$A320,'Таблиця 1'!$I:$I,"F-16",'Таблиця 1'!$L:$L,"Уражено")+COUNTIFS('Таблиця 1'!$B:$B,$A320,'Таблиця 1'!$I:$I,"МіГ-29",'Таблиця 1'!$L:$L,"Уражено")+COUNTIFS('Таблиця 1'!$B:$B,$A320,'Таблиця 1'!$I:$I,"Су-25",'Таблиця 1'!$L:$L,"Уражено")+COUNTIFS('Таблиця 1'!$B:$B,$A320,'Таблиця 1'!$I:$I,"Су-27",'Таблиця 1'!$L:$L,"Уражено"))</f>
        <v/>
      </c>
      <c r="S320">
        <f>IF($A320="","",COUNTIFS('Таблиця 1'!$B:$B,$A320,'Таблиця 1'!$I:$I,"Mirage",'Таблиця 1'!$L:$L,"НЕ уражено")+COUNTIFS('Таблиця 1'!$B:$B,$A320,'Таблиця 1'!$I:$I,"F-16",'Таблиця 1'!$L:$L,"НЕ уражено")+COUNTIFS('Таблиця 1'!$B:$B,$A320,'Таблиця 1'!$I:$I,"МіГ-29",'Таблиця 1'!$L:$L,"НЕ уражено")+COUNTIFS('Таблиця 1'!$B:$B,$A320,'Таблиця 1'!$I:$I,"Су-25",'Таблиця 1'!$L:$L,"НЕ уражено")+COUNTIFS('Таблиця 1'!$B:$B,$A320,'Таблиця 1'!$I:$I,"Су-27",'Таблиця 1'!$L:$L,"НЕ уражено"))</f>
        <v/>
      </c>
      <c r="T320">
        <f>IF($A320="","",COUNTIFS('Таблиця 1'!$B:$B,$A320,'Таблиця 1'!$I:$I,"Mirage",'Таблиця 1'!$L:$L,"Дорозвідується")+COUNTIFS('Таблиця 1'!$B:$B,$A320,'Таблиця 1'!$I:$I,"F-16",'Таблиця 1'!$L:$L,"Дорозвідується")+COUNTIFS('Таблиця 1'!$B:$B,$A320,'Таблиця 1'!$I:$I,"МіГ-29",'Таблиця 1'!$L:$L,"Дорозвідується")+COUNTIFS('Таблиця 1'!$B:$B,$A320,'Таблиця 1'!$I:$I,"Су-25",'Таблиця 1'!$L:$L,"Дорозвідується")+COUNTIFS('Таблиця 1'!$B:$B,$A320,'Таблиця 1'!$I:$I,"Су-27",'Таблиця 1'!$L:$L,"Дорозвідується"))</f>
        <v/>
      </c>
    </row>
    <row r="321">
      <c r="A321" s="273">
        <f>IF(A320="","",IF(A320+1&gt;MAX('Таблиця 1'!$B:$B),"",A320+1))</f>
        <v/>
      </c>
      <c r="B321">
        <f>IF($A321="","",COUNTIFS('Таблиця 1'!$B:$B,$A321,'Таблиця 1'!$I:$I,"Mirage")+COUNTIFS('Таблиця 1'!$B:$B,$A321,'Таблиця 1'!$I:$I,"F-16")+COUNTIFS('Таблиця 1'!$B:$B,$A321,'Таблиця 1'!$I:$I,"МіГ-29")+COUNTIFS('Таблиця 1'!$B:$B,$A321,'Таблиця 1'!$I:$I,"Су-25")+COUNTIFS('Таблиця 1'!$B:$B,$A321,'Таблиця 1'!$I:$I,"Су-27"))</f>
        <v/>
      </c>
      <c r="C321">
        <f>IF($A321="","",COUNTIFS('Таблиця 1'!$B:$B,$A321,'Таблиця 1'!$I:$I,"Mirage"))</f>
        <v/>
      </c>
      <c r="D321">
        <f>IF($A321="","",COUNTIFS('Таблиця 1'!$B:$B,$A321,'Таблиця 1'!$I:$I,"F-16"))</f>
        <v/>
      </c>
      <c r="E321">
        <f>IF($A321="","",COUNTIFS('Таблиця 1'!$B:$B,$A321,'Таблиця 1'!$I:$I,"МіГ-29"))</f>
        <v/>
      </c>
      <c r="F321">
        <f>IF($A321="","",COUNTIFS('Таблиця 1'!$B:$B,$A321,'Таблиця 1'!$I:$I,"Су-25"))</f>
        <v/>
      </c>
      <c r="G321">
        <f>IF($A321="","",COUNTIFS('Таблиця 1'!$B:$B,$A321,'Таблиця 1'!$I:$I,"Су-27"))</f>
        <v/>
      </c>
      <c r="H321">
        <f>IF($A321="","",SUMIFS('Таблиця 1'!$K:$K,'Таблиця 1'!$B:$B,$A321,'Таблиця 1'!$I:$I,"Mirage",'Таблиця 1'!$J:$J,"AGM-88")+SUMIFS('Таблиця 1'!$K:$K,'Таблиця 1'!$B:$B,$A321,'Таблиця 1'!$I:$I,"F-16",'Таблиця 1'!$J:$J,"AGM-88")+SUMIFS('Таблиця 1'!$K:$K,'Таблиця 1'!$B:$B,$A321,'Таблиця 1'!$I:$I,"МіГ-29",'Таблиця 1'!$J:$J,"AGM-88")+SUMIFS('Таблиця 1'!$K:$K,'Таблиця 1'!$B:$B,$A321,'Таблиця 1'!$I:$I,"Су-25",'Таблиця 1'!$J:$J,"AGM-88")+SUMIFS('Таблиця 1'!$K:$K,'Таблиця 1'!$B:$B,$A321,'Таблиця 1'!$I:$I,"Су-27",'Таблиця 1'!$J:$J,"AGM-88"))</f>
        <v/>
      </c>
      <c r="I321">
        <f>IF($A321="","",SUMIFS('Таблиця 1'!$K:$K,'Таблиця 1'!$B:$B,$A321,'Таблиця 1'!$I:$I,"Mirage",'Таблиця 1'!$J:$J,"AASM-250")+SUMIFS('Таблиця 1'!$K:$K,'Таблиця 1'!$B:$B,$A321,'Таблиця 1'!$I:$I,"F-16",'Таблиця 1'!$J:$J,"AASM-250")+SUMIFS('Таблиця 1'!$K:$K,'Таблиця 1'!$B:$B,$A321,'Таблиця 1'!$I:$I,"МіГ-29",'Таблиця 1'!$J:$J,"AASM-250")+SUMIFS('Таблиця 1'!$K:$K,'Таблиця 1'!$B:$B,$A321,'Таблиця 1'!$I:$I,"Су-25",'Таблиця 1'!$J:$J,"AASM-250")+SUMIFS('Таблиця 1'!$K:$K,'Таблиця 1'!$B:$B,$A321,'Таблиця 1'!$I:$I,"Су-27",'Таблиця 1'!$J:$J,"AASM-250"))</f>
        <v/>
      </c>
      <c r="J321">
        <f>IF($A321="","",SUMIFS('Таблиця 1'!$K:$K,'Таблиця 1'!$B:$B,$A321,'Таблиця 1'!$I:$I,"Mirage",'Таблиця 1'!$J:$J,"GBU-39")+SUMIFS('Таблиця 1'!$K:$K,'Таблиця 1'!$B:$B,$A321,'Таблиця 1'!$I:$I,"F-16",'Таблиця 1'!$J:$J,"GBU-39")+SUMIFS('Таблиця 1'!$K:$K,'Таблиця 1'!$B:$B,$A321,'Таблиця 1'!$I:$I,"МіГ-29",'Таблиця 1'!$J:$J,"GBU-39")+SUMIFS('Таблиця 1'!$K:$K,'Таблиця 1'!$B:$B,$A321,'Таблиця 1'!$I:$I,"Су-25",'Таблиця 1'!$J:$J,"GBU-39")+SUMIFS('Таблиця 1'!$K:$K,'Таблиця 1'!$B:$B,$A321,'Таблиця 1'!$I:$I,"Су-27",'Таблиця 1'!$J:$J,"GBU-39"))</f>
        <v/>
      </c>
      <c r="K321">
        <f>IF($A321="","",SUMIFS('Таблиця 1'!$K:$K,'Таблиця 1'!$B:$B,$A321,'Таблиця 1'!$I:$I,"Mirage",'Таблиця 1'!$J:$J,"BLU-140")+SUMIFS('Таблиця 1'!$K:$K,'Таблиця 1'!$B:$B,$A321,'Таблиця 1'!$I:$I,"F-16",'Таблиця 1'!$J:$J,"BLU-140")+SUMIFS('Таблиця 1'!$K:$K,'Таблиця 1'!$B:$B,$A321,'Таблиця 1'!$I:$I,"МіГ-29",'Таблиця 1'!$J:$J,"BLU-140")+SUMIFS('Таблиця 1'!$K:$K,'Таблиця 1'!$B:$B,$A321,'Таблиця 1'!$I:$I,"Су-25",'Таблиця 1'!$J:$J,"BLU-140")+SUMIFS('Таблиця 1'!$K:$K,'Таблиця 1'!$B:$B,$A321,'Таблиця 1'!$I:$I,"Су-27",'Таблиця 1'!$J:$J,"BLU-140"))</f>
        <v/>
      </c>
      <c r="L321">
        <f>IF($A321="","",SUMIFS('Таблиця 1'!$K:$K,'Таблиця 1'!$B:$B,$A321,'Таблиця 1'!$I:$I,"Mirage",'Таблиця 1'!$J:$J,"GBU-65")+SUMIFS('Таблиця 1'!$K:$K,'Таблиця 1'!$B:$B,$A321,'Таблиця 1'!$I:$I,"F-16",'Таблиця 1'!$J:$J,"GBU-65")+SUMIFS('Таблиця 1'!$K:$K,'Таблиця 1'!$B:$B,$A321,'Таблиця 1'!$I:$I,"МіГ-29",'Таблиця 1'!$J:$J,"GBU-65")+SUMIFS('Таблиця 1'!$K:$K,'Таблиця 1'!$B:$B,$A321,'Таблиця 1'!$I:$I,"Су-25",'Таблиця 1'!$J:$J,"GBU-65")+SUMIFS('Таблиця 1'!$K:$K,'Таблиця 1'!$B:$B,$A321,'Таблиця 1'!$I:$I,"Су-27",'Таблиця 1'!$J:$J,"GBU-65"))</f>
        <v/>
      </c>
      <c r="M321">
        <f>IF($A321="","",SUMIFS('Таблиця 1'!$K:$K,'Таблиця 1'!$B:$B,$A321,'Таблиця 1'!$I:$I,"Mirage",'Таблиця 1'!$J:$J,"GBU-62")+SUMIFS('Таблиця 1'!$K:$K,'Таблиця 1'!$B:$B,$A321,'Таблиця 1'!$I:$I,"F-16",'Таблиця 1'!$J:$J,"GBU-62")+SUMIFS('Таблиця 1'!$K:$K,'Таблиця 1'!$B:$B,$A321,'Таблиця 1'!$I:$I,"МіГ-29",'Таблиця 1'!$J:$J,"GBU-62")+SUMIFS('Таблиця 1'!$K:$K,'Таблиця 1'!$B:$B,$A321,'Таблиця 1'!$I:$I,"Су-25",'Таблиця 1'!$J:$J,"GBU-62")+SUMIFS('Таблиця 1'!$K:$K,'Таблиця 1'!$B:$B,$A321,'Таблиця 1'!$I:$I,"Су-27",'Таблиця 1'!$J:$J,"GBU-62"))</f>
        <v/>
      </c>
      <c r="N321">
        <f>IF($A321="","",SUMIFS('Таблиця 1'!$K:$K,'Таблиця 1'!$B:$B,$A321,'Таблиця 1'!$I:$I,"Mirage",'Таблиця 1'!$J:$J,"GBU-64")+SUMIFS('Таблиця 1'!$K:$K,'Таблиця 1'!$B:$B,$A321,'Таблиця 1'!$I:$I,"F-16",'Таблиця 1'!$J:$J,"GBU-64")+SUMIFS('Таблиця 1'!$K:$K,'Таблиця 1'!$B:$B,$A321,'Таблиця 1'!$I:$I,"МіГ-29",'Таблиця 1'!$J:$J,"GBU-64")+SUMIFS('Таблиця 1'!$K:$K,'Таблиця 1'!$B:$B,$A321,'Таблиця 1'!$I:$I,"Су-25",'Таблиця 1'!$J:$J,"GBU-64")+SUMIFS('Таблиця 1'!$K:$K,'Таблиця 1'!$B:$B,$A321,'Таблиця 1'!$I:$I,"Су-27",'Таблиця 1'!$J:$J,"GBU-64"))</f>
        <v/>
      </c>
      <c r="O321">
        <f>IF($A321="","",SUMIFS('Таблиця 1'!$K:$K,'Таблиця 1'!$B:$B,$A321,'Таблиця 1'!$I:$I,"Mirage",'Таблиця 1'!$J:$J,"C-13")+SUMIFS('Таблиця 1'!$K:$K,'Таблиця 1'!$B:$B,$A321,'Таблиця 1'!$I:$I,"F-16",'Таблиця 1'!$J:$J,"C-13")+SUMIFS('Таблиця 1'!$K:$K,'Таблиця 1'!$B:$B,$A321,'Таблиця 1'!$I:$I,"МіГ-29",'Таблиця 1'!$J:$J,"C-13")+SUMIFS('Таблиця 1'!$K:$K,'Таблиця 1'!$B:$B,$A321,'Таблиця 1'!$I:$I,"Су-25",'Таблиця 1'!$J:$J,"C-13")+SUMIFS('Таблиця 1'!$K:$K,'Таблиця 1'!$B:$B,$A321,'Таблиця 1'!$I:$I,"Су-27",'Таблиця 1'!$J:$J,"C-13"))</f>
        <v/>
      </c>
      <c r="P321">
        <f>IF($A321="","",SUMIFS('Таблиця 1'!$K:$K,'Таблиця 1'!$B:$B,$A321,'Таблиця 1'!$I:$I,"Mirage",'Таблиця 1'!$J:$J,"MK-32")+SUMIFS('Таблиця 1'!$K:$K,'Таблиця 1'!$B:$B,$A321,'Таблиця 1'!$I:$I,"F-16",'Таблиця 1'!$J:$J,"MK-32")+SUMIFS('Таблиця 1'!$K:$K,'Таблиця 1'!$B:$B,$A321,'Таблиця 1'!$I:$I,"МіГ-29",'Таблиця 1'!$J:$J,"MK-32")+SUMIFS('Таблиця 1'!$K:$K,'Таблиця 1'!$B:$B,$A321,'Таблиця 1'!$I:$I,"Су-25",'Таблиця 1'!$J:$J,"MK-32")+SUMIFS('Таблиця 1'!$K:$K,'Таблиця 1'!$B:$B,$A321,'Таблиця 1'!$I:$I,"Су-27",'Таблиця 1'!$J:$J,"MK-32"))</f>
        <v/>
      </c>
      <c r="Q321">
        <f>IF($A321="","",SUMIFS('Таблиця 1'!$K:$K,'Таблиця 1'!$B:$B,$A321,'Таблиця 1'!$I:$I,"Mirage",'Таблиця 1'!$J:$J,"MK-24")+SUMIFS('Таблиця 1'!$K:$K,'Таблиця 1'!$B:$B,$A321,'Таблиця 1'!$I:$I,"F-16",'Таблиця 1'!$J:$J,"MK-24")+SUMIFS('Таблиця 1'!$K:$K,'Таблиця 1'!$B:$B,$A321,'Таблиця 1'!$I:$I,"МіГ-29",'Таблиця 1'!$J:$J,"MK-24")+SUMIFS('Таблиця 1'!$K:$K,'Таблиця 1'!$B:$B,$A321,'Таблиця 1'!$I:$I,"Су-25",'Таблиця 1'!$J:$J,"MK-24")+SUMIFS('Таблиця 1'!$K:$K,'Таблиця 1'!$B:$B,$A321,'Таблиця 1'!$I:$I,"Су-27",'Таблиця 1'!$J:$J,"MK-24"))</f>
        <v/>
      </c>
      <c r="R321">
        <f>IF($A321="","",COUNTIFS('Таблиця 1'!$B:$B,$A321,'Таблиця 1'!$I:$I,"Mirage",'Таблиця 1'!$L:$L,"Уражено")+COUNTIFS('Таблиця 1'!$B:$B,$A321,'Таблиця 1'!$I:$I,"F-16",'Таблиця 1'!$L:$L,"Уражено")+COUNTIFS('Таблиця 1'!$B:$B,$A321,'Таблиця 1'!$I:$I,"МіГ-29",'Таблиця 1'!$L:$L,"Уражено")+COUNTIFS('Таблиця 1'!$B:$B,$A321,'Таблиця 1'!$I:$I,"Су-25",'Таблиця 1'!$L:$L,"Уражено")+COUNTIFS('Таблиця 1'!$B:$B,$A321,'Таблиця 1'!$I:$I,"Су-27",'Таблиця 1'!$L:$L,"Уражено"))</f>
        <v/>
      </c>
      <c r="S321">
        <f>IF($A321="","",COUNTIFS('Таблиця 1'!$B:$B,$A321,'Таблиця 1'!$I:$I,"Mirage",'Таблиця 1'!$L:$L,"НЕ уражено")+COUNTIFS('Таблиця 1'!$B:$B,$A321,'Таблиця 1'!$I:$I,"F-16",'Таблиця 1'!$L:$L,"НЕ уражено")+COUNTIFS('Таблиця 1'!$B:$B,$A321,'Таблиця 1'!$I:$I,"МіГ-29",'Таблиця 1'!$L:$L,"НЕ уражено")+COUNTIFS('Таблиця 1'!$B:$B,$A321,'Таблиця 1'!$I:$I,"Су-25",'Таблиця 1'!$L:$L,"НЕ уражено")+COUNTIFS('Таблиця 1'!$B:$B,$A321,'Таблиця 1'!$I:$I,"Су-27",'Таблиця 1'!$L:$L,"НЕ уражено"))</f>
        <v/>
      </c>
      <c r="T321">
        <f>IF($A321="","",COUNTIFS('Таблиця 1'!$B:$B,$A321,'Таблиця 1'!$I:$I,"Mirage",'Таблиця 1'!$L:$L,"Дорозвідується")+COUNTIFS('Таблиця 1'!$B:$B,$A321,'Таблиця 1'!$I:$I,"F-16",'Таблиця 1'!$L:$L,"Дорозвідується")+COUNTIFS('Таблиця 1'!$B:$B,$A321,'Таблиця 1'!$I:$I,"МіГ-29",'Таблиця 1'!$L:$L,"Дорозвідується")+COUNTIFS('Таблиця 1'!$B:$B,$A321,'Таблиця 1'!$I:$I,"Су-25",'Таблиця 1'!$L:$L,"Дорозвідується")+COUNTIFS('Таблиця 1'!$B:$B,$A321,'Таблиця 1'!$I:$I,"Су-27",'Таблиця 1'!$L:$L,"Дорозвідується"))</f>
        <v/>
      </c>
    </row>
    <row r="322">
      <c r="A322" s="273">
        <f>IF(A321="","",IF(A321+1&gt;MAX('Таблиця 1'!$B:$B),"",A321+1))</f>
        <v/>
      </c>
      <c r="B322">
        <f>IF($A322="","",COUNTIFS('Таблиця 1'!$B:$B,$A322,'Таблиця 1'!$I:$I,"Mirage")+COUNTIFS('Таблиця 1'!$B:$B,$A322,'Таблиця 1'!$I:$I,"F-16")+COUNTIFS('Таблиця 1'!$B:$B,$A322,'Таблиця 1'!$I:$I,"МіГ-29")+COUNTIFS('Таблиця 1'!$B:$B,$A322,'Таблиця 1'!$I:$I,"Су-25")+COUNTIFS('Таблиця 1'!$B:$B,$A322,'Таблиця 1'!$I:$I,"Су-27"))</f>
        <v/>
      </c>
      <c r="C322">
        <f>IF($A322="","",COUNTIFS('Таблиця 1'!$B:$B,$A322,'Таблиця 1'!$I:$I,"Mirage"))</f>
        <v/>
      </c>
      <c r="D322">
        <f>IF($A322="","",COUNTIFS('Таблиця 1'!$B:$B,$A322,'Таблиця 1'!$I:$I,"F-16"))</f>
        <v/>
      </c>
      <c r="E322">
        <f>IF($A322="","",COUNTIFS('Таблиця 1'!$B:$B,$A322,'Таблиця 1'!$I:$I,"МіГ-29"))</f>
        <v/>
      </c>
      <c r="F322">
        <f>IF($A322="","",COUNTIFS('Таблиця 1'!$B:$B,$A322,'Таблиця 1'!$I:$I,"Су-25"))</f>
        <v/>
      </c>
      <c r="G322">
        <f>IF($A322="","",COUNTIFS('Таблиця 1'!$B:$B,$A322,'Таблиця 1'!$I:$I,"Су-27"))</f>
        <v/>
      </c>
      <c r="H322">
        <f>IF($A322="","",SUMIFS('Таблиця 1'!$K:$K,'Таблиця 1'!$B:$B,$A322,'Таблиця 1'!$I:$I,"Mirage",'Таблиця 1'!$J:$J,"AGM-88")+SUMIFS('Таблиця 1'!$K:$K,'Таблиця 1'!$B:$B,$A322,'Таблиця 1'!$I:$I,"F-16",'Таблиця 1'!$J:$J,"AGM-88")+SUMIFS('Таблиця 1'!$K:$K,'Таблиця 1'!$B:$B,$A322,'Таблиця 1'!$I:$I,"МіГ-29",'Таблиця 1'!$J:$J,"AGM-88")+SUMIFS('Таблиця 1'!$K:$K,'Таблиця 1'!$B:$B,$A322,'Таблиця 1'!$I:$I,"Су-25",'Таблиця 1'!$J:$J,"AGM-88")+SUMIFS('Таблиця 1'!$K:$K,'Таблиця 1'!$B:$B,$A322,'Таблиця 1'!$I:$I,"Су-27",'Таблиця 1'!$J:$J,"AGM-88"))</f>
        <v/>
      </c>
      <c r="I322">
        <f>IF($A322="","",SUMIFS('Таблиця 1'!$K:$K,'Таблиця 1'!$B:$B,$A322,'Таблиця 1'!$I:$I,"Mirage",'Таблиця 1'!$J:$J,"AASM-250")+SUMIFS('Таблиця 1'!$K:$K,'Таблиця 1'!$B:$B,$A322,'Таблиця 1'!$I:$I,"F-16",'Таблиця 1'!$J:$J,"AASM-250")+SUMIFS('Таблиця 1'!$K:$K,'Таблиця 1'!$B:$B,$A322,'Таблиця 1'!$I:$I,"МіГ-29",'Таблиця 1'!$J:$J,"AASM-250")+SUMIFS('Таблиця 1'!$K:$K,'Таблиця 1'!$B:$B,$A322,'Таблиця 1'!$I:$I,"Су-25",'Таблиця 1'!$J:$J,"AASM-250")+SUMIFS('Таблиця 1'!$K:$K,'Таблиця 1'!$B:$B,$A322,'Таблиця 1'!$I:$I,"Су-27",'Таблиця 1'!$J:$J,"AASM-250"))</f>
        <v/>
      </c>
      <c r="J322">
        <f>IF($A322="","",SUMIFS('Таблиця 1'!$K:$K,'Таблиця 1'!$B:$B,$A322,'Таблиця 1'!$I:$I,"Mirage",'Таблиця 1'!$J:$J,"GBU-39")+SUMIFS('Таблиця 1'!$K:$K,'Таблиця 1'!$B:$B,$A322,'Таблиця 1'!$I:$I,"F-16",'Таблиця 1'!$J:$J,"GBU-39")+SUMIFS('Таблиця 1'!$K:$K,'Таблиця 1'!$B:$B,$A322,'Таблиця 1'!$I:$I,"МіГ-29",'Таблиця 1'!$J:$J,"GBU-39")+SUMIFS('Таблиця 1'!$K:$K,'Таблиця 1'!$B:$B,$A322,'Таблиця 1'!$I:$I,"Су-25",'Таблиця 1'!$J:$J,"GBU-39")+SUMIFS('Таблиця 1'!$K:$K,'Таблиця 1'!$B:$B,$A322,'Таблиця 1'!$I:$I,"Су-27",'Таблиця 1'!$J:$J,"GBU-39"))</f>
        <v/>
      </c>
      <c r="K322">
        <f>IF($A322="","",SUMIFS('Таблиця 1'!$K:$K,'Таблиця 1'!$B:$B,$A322,'Таблиця 1'!$I:$I,"Mirage",'Таблиця 1'!$J:$J,"BLU-140")+SUMIFS('Таблиця 1'!$K:$K,'Таблиця 1'!$B:$B,$A322,'Таблиця 1'!$I:$I,"F-16",'Таблиця 1'!$J:$J,"BLU-140")+SUMIFS('Таблиця 1'!$K:$K,'Таблиця 1'!$B:$B,$A322,'Таблиця 1'!$I:$I,"МіГ-29",'Таблиця 1'!$J:$J,"BLU-140")+SUMIFS('Таблиця 1'!$K:$K,'Таблиця 1'!$B:$B,$A322,'Таблиця 1'!$I:$I,"Су-25",'Таблиця 1'!$J:$J,"BLU-140")+SUMIFS('Таблиця 1'!$K:$K,'Таблиця 1'!$B:$B,$A322,'Таблиця 1'!$I:$I,"Су-27",'Таблиця 1'!$J:$J,"BLU-140"))</f>
        <v/>
      </c>
      <c r="L322">
        <f>IF($A322="","",SUMIFS('Таблиця 1'!$K:$K,'Таблиця 1'!$B:$B,$A322,'Таблиця 1'!$I:$I,"Mirage",'Таблиця 1'!$J:$J,"GBU-65")+SUMIFS('Таблиця 1'!$K:$K,'Таблиця 1'!$B:$B,$A322,'Таблиця 1'!$I:$I,"F-16",'Таблиця 1'!$J:$J,"GBU-65")+SUMIFS('Таблиця 1'!$K:$K,'Таблиця 1'!$B:$B,$A322,'Таблиця 1'!$I:$I,"МіГ-29",'Таблиця 1'!$J:$J,"GBU-65")+SUMIFS('Таблиця 1'!$K:$K,'Таблиця 1'!$B:$B,$A322,'Таблиця 1'!$I:$I,"Су-25",'Таблиця 1'!$J:$J,"GBU-65")+SUMIFS('Таблиця 1'!$K:$K,'Таблиця 1'!$B:$B,$A322,'Таблиця 1'!$I:$I,"Су-27",'Таблиця 1'!$J:$J,"GBU-65"))</f>
        <v/>
      </c>
      <c r="M322">
        <f>IF($A322="","",SUMIFS('Таблиця 1'!$K:$K,'Таблиця 1'!$B:$B,$A322,'Таблиця 1'!$I:$I,"Mirage",'Таблиця 1'!$J:$J,"GBU-62")+SUMIFS('Таблиця 1'!$K:$K,'Таблиця 1'!$B:$B,$A322,'Таблиця 1'!$I:$I,"F-16",'Таблиця 1'!$J:$J,"GBU-62")+SUMIFS('Таблиця 1'!$K:$K,'Таблиця 1'!$B:$B,$A322,'Таблиця 1'!$I:$I,"МіГ-29",'Таблиця 1'!$J:$J,"GBU-62")+SUMIFS('Таблиця 1'!$K:$K,'Таблиця 1'!$B:$B,$A322,'Таблиця 1'!$I:$I,"Су-25",'Таблиця 1'!$J:$J,"GBU-62")+SUMIFS('Таблиця 1'!$K:$K,'Таблиця 1'!$B:$B,$A322,'Таблиця 1'!$I:$I,"Су-27",'Таблиця 1'!$J:$J,"GBU-62"))</f>
        <v/>
      </c>
      <c r="N322">
        <f>IF($A322="","",SUMIFS('Таблиця 1'!$K:$K,'Таблиця 1'!$B:$B,$A322,'Таблиця 1'!$I:$I,"Mirage",'Таблиця 1'!$J:$J,"GBU-64")+SUMIFS('Таблиця 1'!$K:$K,'Таблиця 1'!$B:$B,$A322,'Таблиця 1'!$I:$I,"F-16",'Таблиця 1'!$J:$J,"GBU-64")+SUMIFS('Таблиця 1'!$K:$K,'Таблиця 1'!$B:$B,$A322,'Таблиця 1'!$I:$I,"МіГ-29",'Таблиця 1'!$J:$J,"GBU-64")+SUMIFS('Таблиця 1'!$K:$K,'Таблиця 1'!$B:$B,$A322,'Таблиця 1'!$I:$I,"Су-25",'Таблиця 1'!$J:$J,"GBU-64")+SUMIFS('Таблиця 1'!$K:$K,'Таблиця 1'!$B:$B,$A322,'Таблиця 1'!$I:$I,"Су-27",'Таблиця 1'!$J:$J,"GBU-64"))</f>
        <v/>
      </c>
      <c r="O322">
        <f>IF($A322="","",SUMIFS('Таблиця 1'!$K:$K,'Таблиця 1'!$B:$B,$A322,'Таблиця 1'!$I:$I,"Mirage",'Таблиця 1'!$J:$J,"C-13")+SUMIFS('Таблиця 1'!$K:$K,'Таблиця 1'!$B:$B,$A322,'Таблиця 1'!$I:$I,"F-16",'Таблиця 1'!$J:$J,"C-13")+SUMIFS('Таблиця 1'!$K:$K,'Таблиця 1'!$B:$B,$A322,'Таблиця 1'!$I:$I,"МіГ-29",'Таблиця 1'!$J:$J,"C-13")+SUMIFS('Таблиця 1'!$K:$K,'Таблиця 1'!$B:$B,$A322,'Таблиця 1'!$I:$I,"Су-25",'Таблиця 1'!$J:$J,"C-13")+SUMIFS('Таблиця 1'!$K:$K,'Таблиця 1'!$B:$B,$A322,'Таблиця 1'!$I:$I,"Су-27",'Таблиця 1'!$J:$J,"C-13"))</f>
        <v/>
      </c>
      <c r="P322">
        <f>IF($A322="","",SUMIFS('Таблиця 1'!$K:$K,'Таблиця 1'!$B:$B,$A322,'Таблиця 1'!$I:$I,"Mirage",'Таблиця 1'!$J:$J,"MK-32")+SUMIFS('Таблиця 1'!$K:$K,'Таблиця 1'!$B:$B,$A322,'Таблиця 1'!$I:$I,"F-16",'Таблиця 1'!$J:$J,"MK-32")+SUMIFS('Таблиця 1'!$K:$K,'Таблиця 1'!$B:$B,$A322,'Таблиця 1'!$I:$I,"МіГ-29",'Таблиця 1'!$J:$J,"MK-32")+SUMIFS('Таблиця 1'!$K:$K,'Таблиця 1'!$B:$B,$A322,'Таблиця 1'!$I:$I,"Су-25",'Таблиця 1'!$J:$J,"MK-32")+SUMIFS('Таблиця 1'!$K:$K,'Таблиця 1'!$B:$B,$A322,'Таблиця 1'!$I:$I,"Су-27",'Таблиця 1'!$J:$J,"MK-32"))</f>
        <v/>
      </c>
      <c r="Q322">
        <f>IF($A322="","",SUMIFS('Таблиця 1'!$K:$K,'Таблиця 1'!$B:$B,$A322,'Таблиця 1'!$I:$I,"Mirage",'Таблиця 1'!$J:$J,"MK-24")+SUMIFS('Таблиця 1'!$K:$K,'Таблиця 1'!$B:$B,$A322,'Таблиця 1'!$I:$I,"F-16",'Таблиця 1'!$J:$J,"MK-24")+SUMIFS('Таблиця 1'!$K:$K,'Таблиця 1'!$B:$B,$A322,'Таблиця 1'!$I:$I,"МіГ-29",'Таблиця 1'!$J:$J,"MK-24")+SUMIFS('Таблиця 1'!$K:$K,'Таблиця 1'!$B:$B,$A322,'Таблиця 1'!$I:$I,"Су-25",'Таблиця 1'!$J:$J,"MK-24")+SUMIFS('Таблиця 1'!$K:$K,'Таблиця 1'!$B:$B,$A322,'Таблиця 1'!$I:$I,"Су-27",'Таблиця 1'!$J:$J,"MK-24"))</f>
        <v/>
      </c>
      <c r="R322">
        <f>IF($A322="","",COUNTIFS('Таблиця 1'!$B:$B,$A322,'Таблиця 1'!$I:$I,"Mirage",'Таблиця 1'!$L:$L,"Уражено")+COUNTIFS('Таблиця 1'!$B:$B,$A322,'Таблиця 1'!$I:$I,"F-16",'Таблиця 1'!$L:$L,"Уражено")+COUNTIFS('Таблиця 1'!$B:$B,$A322,'Таблиця 1'!$I:$I,"МіГ-29",'Таблиця 1'!$L:$L,"Уражено")+COUNTIFS('Таблиця 1'!$B:$B,$A322,'Таблиця 1'!$I:$I,"Су-25",'Таблиця 1'!$L:$L,"Уражено")+COUNTIFS('Таблиця 1'!$B:$B,$A322,'Таблиця 1'!$I:$I,"Су-27",'Таблиця 1'!$L:$L,"Уражено"))</f>
        <v/>
      </c>
      <c r="S322">
        <f>IF($A322="","",COUNTIFS('Таблиця 1'!$B:$B,$A322,'Таблиця 1'!$I:$I,"Mirage",'Таблиця 1'!$L:$L,"НЕ уражено")+COUNTIFS('Таблиця 1'!$B:$B,$A322,'Таблиця 1'!$I:$I,"F-16",'Таблиця 1'!$L:$L,"НЕ уражено")+COUNTIFS('Таблиця 1'!$B:$B,$A322,'Таблиця 1'!$I:$I,"МіГ-29",'Таблиця 1'!$L:$L,"НЕ уражено")+COUNTIFS('Таблиця 1'!$B:$B,$A322,'Таблиця 1'!$I:$I,"Су-25",'Таблиця 1'!$L:$L,"НЕ уражено")+COUNTIFS('Таблиця 1'!$B:$B,$A322,'Таблиця 1'!$I:$I,"Су-27",'Таблиця 1'!$L:$L,"НЕ уражено"))</f>
        <v/>
      </c>
      <c r="T322">
        <f>IF($A322="","",COUNTIFS('Таблиця 1'!$B:$B,$A322,'Таблиця 1'!$I:$I,"Mirage",'Таблиця 1'!$L:$L,"Дорозвідується")+COUNTIFS('Таблиця 1'!$B:$B,$A322,'Таблиця 1'!$I:$I,"F-16",'Таблиця 1'!$L:$L,"Дорозвідується")+COUNTIFS('Таблиця 1'!$B:$B,$A322,'Таблиця 1'!$I:$I,"МіГ-29",'Таблиця 1'!$L:$L,"Дорозвідується")+COUNTIFS('Таблиця 1'!$B:$B,$A322,'Таблиця 1'!$I:$I,"Су-25",'Таблиця 1'!$L:$L,"Дорозвідується")+COUNTIFS('Таблиця 1'!$B:$B,$A322,'Таблиця 1'!$I:$I,"Су-27",'Таблиця 1'!$L:$L,"Дорозвідується"))</f>
        <v/>
      </c>
    </row>
    <row r="323">
      <c r="A323" s="273">
        <f>IF(A322="","",IF(A322+1&gt;MAX('Таблиця 1'!$B:$B),"",A322+1))</f>
        <v/>
      </c>
      <c r="B323">
        <f>IF($A323="","",COUNTIFS('Таблиця 1'!$B:$B,$A323,'Таблиця 1'!$I:$I,"Mirage")+COUNTIFS('Таблиця 1'!$B:$B,$A323,'Таблиця 1'!$I:$I,"F-16")+COUNTIFS('Таблиця 1'!$B:$B,$A323,'Таблиця 1'!$I:$I,"МіГ-29")+COUNTIFS('Таблиця 1'!$B:$B,$A323,'Таблиця 1'!$I:$I,"Су-25")+COUNTIFS('Таблиця 1'!$B:$B,$A323,'Таблиця 1'!$I:$I,"Су-27"))</f>
        <v/>
      </c>
      <c r="C323">
        <f>IF($A323="","",COUNTIFS('Таблиця 1'!$B:$B,$A323,'Таблиця 1'!$I:$I,"Mirage"))</f>
        <v/>
      </c>
      <c r="D323">
        <f>IF($A323="","",COUNTIFS('Таблиця 1'!$B:$B,$A323,'Таблиця 1'!$I:$I,"F-16"))</f>
        <v/>
      </c>
      <c r="E323">
        <f>IF($A323="","",COUNTIFS('Таблиця 1'!$B:$B,$A323,'Таблиця 1'!$I:$I,"МіГ-29"))</f>
        <v/>
      </c>
      <c r="F323">
        <f>IF($A323="","",COUNTIFS('Таблиця 1'!$B:$B,$A323,'Таблиця 1'!$I:$I,"Су-25"))</f>
        <v/>
      </c>
      <c r="G323">
        <f>IF($A323="","",COUNTIFS('Таблиця 1'!$B:$B,$A323,'Таблиця 1'!$I:$I,"Су-27"))</f>
        <v/>
      </c>
      <c r="H323">
        <f>IF($A323="","",SUMIFS('Таблиця 1'!$K:$K,'Таблиця 1'!$B:$B,$A323,'Таблиця 1'!$I:$I,"Mirage",'Таблиця 1'!$J:$J,"AGM-88")+SUMIFS('Таблиця 1'!$K:$K,'Таблиця 1'!$B:$B,$A323,'Таблиця 1'!$I:$I,"F-16",'Таблиця 1'!$J:$J,"AGM-88")+SUMIFS('Таблиця 1'!$K:$K,'Таблиця 1'!$B:$B,$A323,'Таблиця 1'!$I:$I,"МіГ-29",'Таблиця 1'!$J:$J,"AGM-88")+SUMIFS('Таблиця 1'!$K:$K,'Таблиця 1'!$B:$B,$A323,'Таблиця 1'!$I:$I,"Су-25",'Таблиця 1'!$J:$J,"AGM-88")+SUMIFS('Таблиця 1'!$K:$K,'Таблиця 1'!$B:$B,$A323,'Таблиця 1'!$I:$I,"Су-27",'Таблиця 1'!$J:$J,"AGM-88"))</f>
        <v/>
      </c>
      <c r="I323">
        <f>IF($A323="","",SUMIFS('Таблиця 1'!$K:$K,'Таблиця 1'!$B:$B,$A323,'Таблиця 1'!$I:$I,"Mirage",'Таблиця 1'!$J:$J,"AASM-250")+SUMIFS('Таблиця 1'!$K:$K,'Таблиця 1'!$B:$B,$A323,'Таблиця 1'!$I:$I,"F-16",'Таблиця 1'!$J:$J,"AASM-250")+SUMIFS('Таблиця 1'!$K:$K,'Таблиця 1'!$B:$B,$A323,'Таблиця 1'!$I:$I,"МіГ-29",'Таблиця 1'!$J:$J,"AASM-250")+SUMIFS('Таблиця 1'!$K:$K,'Таблиця 1'!$B:$B,$A323,'Таблиця 1'!$I:$I,"Су-25",'Таблиця 1'!$J:$J,"AASM-250")+SUMIFS('Таблиця 1'!$K:$K,'Таблиця 1'!$B:$B,$A323,'Таблиця 1'!$I:$I,"Су-27",'Таблиця 1'!$J:$J,"AASM-250"))</f>
        <v/>
      </c>
      <c r="J323">
        <f>IF($A323="","",SUMIFS('Таблиця 1'!$K:$K,'Таблиця 1'!$B:$B,$A323,'Таблиця 1'!$I:$I,"Mirage",'Таблиця 1'!$J:$J,"GBU-39")+SUMIFS('Таблиця 1'!$K:$K,'Таблиця 1'!$B:$B,$A323,'Таблиця 1'!$I:$I,"F-16",'Таблиця 1'!$J:$J,"GBU-39")+SUMIFS('Таблиця 1'!$K:$K,'Таблиця 1'!$B:$B,$A323,'Таблиця 1'!$I:$I,"МіГ-29",'Таблиця 1'!$J:$J,"GBU-39")+SUMIFS('Таблиця 1'!$K:$K,'Таблиця 1'!$B:$B,$A323,'Таблиця 1'!$I:$I,"Су-25",'Таблиця 1'!$J:$J,"GBU-39")+SUMIFS('Таблиця 1'!$K:$K,'Таблиця 1'!$B:$B,$A323,'Таблиця 1'!$I:$I,"Су-27",'Таблиця 1'!$J:$J,"GBU-39"))</f>
        <v/>
      </c>
      <c r="K323">
        <f>IF($A323="","",SUMIFS('Таблиця 1'!$K:$K,'Таблиця 1'!$B:$B,$A323,'Таблиця 1'!$I:$I,"Mirage",'Таблиця 1'!$J:$J,"BLU-140")+SUMIFS('Таблиця 1'!$K:$K,'Таблиця 1'!$B:$B,$A323,'Таблиця 1'!$I:$I,"F-16",'Таблиця 1'!$J:$J,"BLU-140")+SUMIFS('Таблиця 1'!$K:$K,'Таблиця 1'!$B:$B,$A323,'Таблиця 1'!$I:$I,"МіГ-29",'Таблиця 1'!$J:$J,"BLU-140")+SUMIFS('Таблиця 1'!$K:$K,'Таблиця 1'!$B:$B,$A323,'Таблиця 1'!$I:$I,"Су-25",'Таблиця 1'!$J:$J,"BLU-140")+SUMIFS('Таблиця 1'!$K:$K,'Таблиця 1'!$B:$B,$A323,'Таблиця 1'!$I:$I,"Су-27",'Таблиця 1'!$J:$J,"BLU-140"))</f>
        <v/>
      </c>
      <c r="L323">
        <f>IF($A323="","",SUMIFS('Таблиця 1'!$K:$K,'Таблиця 1'!$B:$B,$A323,'Таблиця 1'!$I:$I,"Mirage",'Таблиця 1'!$J:$J,"GBU-65")+SUMIFS('Таблиця 1'!$K:$K,'Таблиця 1'!$B:$B,$A323,'Таблиця 1'!$I:$I,"F-16",'Таблиця 1'!$J:$J,"GBU-65")+SUMIFS('Таблиця 1'!$K:$K,'Таблиця 1'!$B:$B,$A323,'Таблиця 1'!$I:$I,"МіГ-29",'Таблиця 1'!$J:$J,"GBU-65")+SUMIFS('Таблиця 1'!$K:$K,'Таблиця 1'!$B:$B,$A323,'Таблиця 1'!$I:$I,"Су-25",'Таблиця 1'!$J:$J,"GBU-65")+SUMIFS('Таблиця 1'!$K:$K,'Таблиця 1'!$B:$B,$A323,'Таблиця 1'!$I:$I,"Су-27",'Таблиця 1'!$J:$J,"GBU-65"))</f>
        <v/>
      </c>
      <c r="M323">
        <f>IF($A323="","",SUMIFS('Таблиця 1'!$K:$K,'Таблиця 1'!$B:$B,$A323,'Таблиця 1'!$I:$I,"Mirage",'Таблиця 1'!$J:$J,"GBU-62")+SUMIFS('Таблиця 1'!$K:$K,'Таблиця 1'!$B:$B,$A323,'Таблиця 1'!$I:$I,"F-16",'Таблиця 1'!$J:$J,"GBU-62")+SUMIFS('Таблиця 1'!$K:$K,'Таблиця 1'!$B:$B,$A323,'Таблиця 1'!$I:$I,"МіГ-29",'Таблиця 1'!$J:$J,"GBU-62")+SUMIFS('Таблиця 1'!$K:$K,'Таблиця 1'!$B:$B,$A323,'Таблиця 1'!$I:$I,"Су-25",'Таблиця 1'!$J:$J,"GBU-62")+SUMIFS('Таблиця 1'!$K:$K,'Таблиця 1'!$B:$B,$A323,'Таблиця 1'!$I:$I,"Су-27",'Таблиця 1'!$J:$J,"GBU-62"))</f>
        <v/>
      </c>
      <c r="N323">
        <f>IF($A323="","",SUMIFS('Таблиця 1'!$K:$K,'Таблиця 1'!$B:$B,$A323,'Таблиця 1'!$I:$I,"Mirage",'Таблиця 1'!$J:$J,"GBU-64")+SUMIFS('Таблиця 1'!$K:$K,'Таблиця 1'!$B:$B,$A323,'Таблиця 1'!$I:$I,"F-16",'Таблиця 1'!$J:$J,"GBU-64")+SUMIFS('Таблиця 1'!$K:$K,'Таблиця 1'!$B:$B,$A323,'Таблиця 1'!$I:$I,"МіГ-29",'Таблиця 1'!$J:$J,"GBU-64")+SUMIFS('Таблиця 1'!$K:$K,'Таблиця 1'!$B:$B,$A323,'Таблиця 1'!$I:$I,"Су-25",'Таблиця 1'!$J:$J,"GBU-64")+SUMIFS('Таблиця 1'!$K:$K,'Таблиця 1'!$B:$B,$A323,'Таблиця 1'!$I:$I,"Су-27",'Таблиця 1'!$J:$J,"GBU-64"))</f>
        <v/>
      </c>
      <c r="O323">
        <f>IF($A323="","",SUMIFS('Таблиця 1'!$K:$K,'Таблиця 1'!$B:$B,$A323,'Таблиця 1'!$I:$I,"Mirage",'Таблиця 1'!$J:$J,"C-13")+SUMIFS('Таблиця 1'!$K:$K,'Таблиця 1'!$B:$B,$A323,'Таблиця 1'!$I:$I,"F-16",'Таблиця 1'!$J:$J,"C-13")+SUMIFS('Таблиця 1'!$K:$K,'Таблиця 1'!$B:$B,$A323,'Таблиця 1'!$I:$I,"МіГ-29",'Таблиця 1'!$J:$J,"C-13")+SUMIFS('Таблиця 1'!$K:$K,'Таблиця 1'!$B:$B,$A323,'Таблиця 1'!$I:$I,"Су-25",'Таблиця 1'!$J:$J,"C-13")+SUMIFS('Таблиця 1'!$K:$K,'Таблиця 1'!$B:$B,$A323,'Таблиця 1'!$I:$I,"Су-27",'Таблиця 1'!$J:$J,"C-13"))</f>
        <v/>
      </c>
      <c r="P323">
        <f>IF($A323="","",SUMIFS('Таблиця 1'!$K:$K,'Таблиця 1'!$B:$B,$A323,'Таблиця 1'!$I:$I,"Mirage",'Таблиця 1'!$J:$J,"MK-32")+SUMIFS('Таблиця 1'!$K:$K,'Таблиця 1'!$B:$B,$A323,'Таблиця 1'!$I:$I,"F-16",'Таблиця 1'!$J:$J,"MK-32")+SUMIFS('Таблиця 1'!$K:$K,'Таблиця 1'!$B:$B,$A323,'Таблиця 1'!$I:$I,"МіГ-29",'Таблиця 1'!$J:$J,"MK-32")+SUMIFS('Таблиця 1'!$K:$K,'Таблиця 1'!$B:$B,$A323,'Таблиця 1'!$I:$I,"Су-25",'Таблиця 1'!$J:$J,"MK-32")+SUMIFS('Таблиця 1'!$K:$K,'Таблиця 1'!$B:$B,$A323,'Таблиця 1'!$I:$I,"Су-27",'Таблиця 1'!$J:$J,"MK-32"))</f>
        <v/>
      </c>
      <c r="Q323">
        <f>IF($A323="","",SUMIFS('Таблиця 1'!$K:$K,'Таблиця 1'!$B:$B,$A323,'Таблиця 1'!$I:$I,"Mirage",'Таблиця 1'!$J:$J,"MK-24")+SUMIFS('Таблиця 1'!$K:$K,'Таблиця 1'!$B:$B,$A323,'Таблиця 1'!$I:$I,"F-16",'Таблиця 1'!$J:$J,"MK-24")+SUMIFS('Таблиця 1'!$K:$K,'Таблиця 1'!$B:$B,$A323,'Таблиця 1'!$I:$I,"МіГ-29",'Таблиця 1'!$J:$J,"MK-24")+SUMIFS('Таблиця 1'!$K:$K,'Таблиця 1'!$B:$B,$A323,'Таблиця 1'!$I:$I,"Су-25",'Таблиця 1'!$J:$J,"MK-24")+SUMIFS('Таблиця 1'!$K:$K,'Таблиця 1'!$B:$B,$A323,'Таблиця 1'!$I:$I,"Су-27",'Таблиця 1'!$J:$J,"MK-24"))</f>
        <v/>
      </c>
      <c r="R323">
        <f>IF($A323="","",COUNTIFS('Таблиця 1'!$B:$B,$A323,'Таблиця 1'!$I:$I,"Mirage",'Таблиця 1'!$L:$L,"Уражено")+COUNTIFS('Таблиця 1'!$B:$B,$A323,'Таблиця 1'!$I:$I,"F-16",'Таблиця 1'!$L:$L,"Уражено")+COUNTIFS('Таблиця 1'!$B:$B,$A323,'Таблиця 1'!$I:$I,"МіГ-29",'Таблиця 1'!$L:$L,"Уражено")+COUNTIFS('Таблиця 1'!$B:$B,$A323,'Таблиця 1'!$I:$I,"Су-25",'Таблиця 1'!$L:$L,"Уражено")+COUNTIFS('Таблиця 1'!$B:$B,$A323,'Таблиця 1'!$I:$I,"Су-27",'Таблиця 1'!$L:$L,"Уражено"))</f>
        <v/>
      </c>
      <c r="S323">
        <f>IF($A323="","",COUNTIFS('Таблиця 1'!$B:$B,$A323,'Таблиця 1'!$I:$I,"Mirage",'Таблиця 1'!$L:$L,"НЕ уражено")+COUNTIFS('Таблиця 1'!$B:$B,$A323,'Таблиця 1'!$I:$I,"F-16",'Таблиця 1'!$L:$L,"НЕ уражено")+COUNTIFS('Таблиця 1'!$B:$B,$A323,'Таблиця 1'!$I:$I,"МіГ-29",'Таблиця 1'!$L:$L,"НЕ уражено")+COUNTIFS('Таблиця 1'!$B:$B,$A323,'Таблиця 1'!$I:$I,"Су-25",'Таблиця 1'!$L:$L,"НЕ уражено")+COUNTIFS('Таблиця 1'!$B:$B,$A323,'Таблиця 1'!$I:$I,"Су-27",'Таблиця 1'!$L:$L,"НЕ уражено"))</f>
        <v/>
      </c>
      <c r="T323">
        <f>IF($A323="","",COUNTIFS('Таблиця 1'!$B:$B,$A323,'Таблиця 1'!$I:$I,"Mirage",'Таблиця 1'!$L:$L,"Дорозвідується")+COUNTIFS('Таблиця 1'!$B:$B,$A323,'Таблиця 1'!$I:$I,"F-16",'Таблиця 1'!$L:$L,"Дорозвідується")+COUNTIFS('Таблиця 1'!$B:$B,$A323,'Таблиця 1'!$I:$I,"МіГ-29",'Таблиця 1'!$L:$L,"Дорозвідується")+COUNTIFS('Таблиця 1'!$B:$B,$A323,'Таблиця 1'!$I:$I,"Су-25",'Таблиця 1'!$L:$L,"Дорозвідується")+COUNTIFS('Таблиця 1'!$B:$B,$A323,'Таблиця 1'!$I:$I,"Су-27",'Таблиця 1'!$L:$L,"Дорозвідується"))</f>
        <v/>
      </c>
    </row>
    <row r="324">
      <c r="A324" s="273">
        <f>IF(A323="","",IF(A323+1&gt;MAX('Таблиця 1'!$B:$B),"",A323+1))</f>
        <v/>
      </c>
      <c r="B324">
        <f>IF($A324="","",COUNTIFS('Таблиця 1'!$B:$B,$A324,'Таблиця 1'!$I:$I,"Mirage")+COUNTIFS('Таблиця 1'!$B:$B,$A324,'Таблиця 1'!$I:$I,"F-16")+COUNTIFS('Таблиця 1'!$B:$B,$A324,'Таблиця 1'!$I:$I,"МіГ-29")+COUNTIFS('Таблиця 1'!$B:$B,$A324,'Таблиця 1'!$I:$I,"Су-25")+COUNTIFS('Таблиця 1'!$B:$B,$A324,'Таблиця 1'!$I:$I,"Су-27"))</f>
        <v/>
      </c>
      <c r="C324">
        <f>IF($A324="","",COUNTIFS('Таблиця 1'!$B:$B,$A324,'Таблиця 1'!$I:$I,"Mirage"))</f>
        <v/>
      </c>
      <c r="D324">
        <f>IF($A324="","",COUNTIFS('Таблиця 1'!$B:$B,$A324,'Таблиця 1'!$I:$I,"F-16"))</f>
        <v/>
      </c>
      <c r="E324">
        <f>IF($A324="","",COUNTIFS('Таблиця 1'!$B:$B,$A324,'Таблиця 1'!$I:$I,"МіГ-29"))</f>
        <v/>
      </c>
      <c r="F324">
        <f>IF($A324="","",COUNTIFS('Таблиця 1'!$B:$B,$A324,'Таблиця 1'!$I:$I,"Су-25"))</f>
        <v/>
      </c>
      <c r="G324">
        <f>IF($A324="","",COUNTIFS('Таблиця 1'!$B:$B,$A324,'Таблиця 1'!$I:$I,"Су-27"))</f>
        <v/>
      </c>
      <c r="H324">
        <f>IF($A324="","",SUMIFS('Таблиця 1'!$K:$K,'Таблиця 1'!$B:$B,$A324,'Таблиця 1'!$I:$I,"Mirage",'Таблиця 1'!$J:$J,"AGM-88")+SUMIFS('Таблиця 1'!$K:$K,'Таблиця 1'!$B:$B,$A324,'Таблиця 1'!$I:$I,"F-16",'Таблиця 1'!$J:$J,"AGM-88")+SUMIFS('Таблиця 1'!$K:$K,'Таблиця 1'!$B:$B,$A324,'Таблиця 1'!$I:$I,"МіГ-29",'Таблиця 1'!$J:$J,"AGM-88")+SUMIFS('Таблиця 1'!$K:$K,'Таблиця 1'!$B:$B,$A324,'Таблиця 1'!$I:$I,"Су-25",'Таблиця 1'!$J:$J,"AGM-88")+SUMIFS('Таблиця 1'!$K:$K,'Таблиця 1'!$B:$B,$A324,'Таблиця 1'!$I:$I,"Су-27",'Таблиця 1'!$J:$J,"AGM-88"))</f>
        <v/>
      </c>
      <c r="I324">
        <f>IF($A324="","",SUMIFS('Таблиця 1'!$K:$K,'Таблиця 1'!$B:$B,$A324,'Таблиця 1'!$I:$I,"Mirage",'Таблиця 1'!$J:$J,"AASM-250")+SUMIFS('Таблиця 1'!$K:$K,'Таблиця 1'!$B:$B,$A324,'Таблиця 1'!$I:$I,"F-16",'Таблиця 1'!$J:$J,"AASM-250")+SUMIFS('Таблиця 1'!$K:$K,'Таблиця 1'!$B:$B,$A324,'Таблиця 1'!$I:$I,"МіГ-29",'Таблиця 1'!$J:$J,"AASM-250")+SUMIFS('Таблиця 1'!$K:$K,'Таблиця 1'!$B:$B,$A324,'Таблиця 1'!$I:$I,"Су-25",'Таблиця 1'!$J:$J,"AASM-250")+SUMIFS('Таблиця 1'!$K:$K,'Таблиця 1'!$B:$B,$A324,'Таблиця 1'!$I:$I,"Су-27",'Таблиця 1'!$J:$J,"AASM-250"))</f>
        <v/>
      </c>
      <c r="J324">
        <f>IF($A324="","",SUMIFS('Таблиця 1'!$K:$K,'Таблиця 1'!$B:$B,$A324,'Таблиця 1'!$I:$I,"Mirage",'Таблиця 1'!$J:$J,"GBU-39")+SUMIFS('Таблиця 1'!$K:$K,'Таблиця 1'!$B:$B,$A324,'Таблиця 1'!$I:$I,"F-16",'Таблиця 1'!$J:$J,"GBU-39")+SUMIFS('Таблиця 1'!$K:$K,'Таблиця 1'!$B:$B,$A324,'Таблиця 1'!$I:$I,"МіГ-29",'Таблиця 1'!$J:$J,"GBU-39")+SUMIFS('Таблиця 1'!$K:$K,'Таблиця 1'!$B:$B,$A324,'Таблиця 1'!$I:$I,"Су-25",'Таблиця 1'!$J:$J,"GBU-39")+SUMIFS('Таблиця 1'!$K:$K,'Таблиця 1'!$B:$B,$A324,'Таблиця 1'!$I:$I,"Су-27",'Таблиця 1'!$J:$J,"GBU-39"))</f>
        <v/>
      </c>
      <c r="K324">
        <f>IF($A324="","",SUMIFS('Таблиця 1'!$K:$K,'Таблиця 1'!$B:$B,$A324,'Таблиця 1'!$I:$I,"Mirage",'Таблиця 1'!$J:$J,"BLU-140")+SUMIFS('Таблиця 1'!$K:$K,'Таблиця 1'!$B:$B,$A324,'Таблиця 1'!$I:$I,"F-16",'Таблиця 1'!$J:$J,"BLU-140")+SUMIFS('Таблиця 1'!$K:$K,'Таблиця 1'!$B:$B,$A324,'Таблиця 1'!$I:$I,"МіГ-29",'Таблиця 1'!$J:$J,"BLU-140")+SUMIFS('Таблиця 1'!$K:$K,'Таблиця 1'!$B:$B,$A324,'Таблиця 1'!$I:$I,"Су-25",'Таблиця 1'!$J:$J,"BLU-140")+SUMIFS('Таблиця 1'!$K:$K,'Таблиця 1'!$B:$B,$A324,'Таблиця 1'!$I:$I,"Су-27",'Таблиця 1'!$J:$J,"BLU-140"))</f>
        <v/>
      </c>
      <c r="L324">
        <f>IF($A324="","",SUMIFS('Таблиця 1'!$K:$K,'Таблиця 1'!$B:$B,$A324,'Таблиця 1'!$I:$I,"Mirage",'Таблиця 1'!$J:$J,"GBU-65")+SUMIFS('Таблиця 1'!$K:$K,'Таблиця 1'!$B:$B,$A324,'Таблиця 1'!$I:$I,"F-16",'Таблиця 1'!$J:$J,"GBU-65")+SUMIFS('Таблиця 1'!$K:$K,'Таблиця 1'!$B:$B,$A324,'Таблиця 1'!$I:$I,"МіГ-29",'Таблиця 1'!$J:$J,"GBU-65")+SUMIFS('Таблиця 1'!$K:$K,'Таблиця 1'!$B:$B,$A324,'Таблиця 1'!$I:$I,"Су-25",'Таблиця 1'!$J:$J,"GBU-65")+SUMIFS('Таблиця 1'!$K:$K,'Таблиця 1'!$B:$B,$A324,'Таблиця 1'!$I:$I,"Су-27",'Таблиця 1'!$J:$J,"GBU-65"))</f>
        <v/>
      </c>
      <c r="M324">
        <f>IF($A324="","",SUMIFS('Таблиця 1'!$K:$K,'Таблиця 1'!$B:$B,$A324,'Таблиця 1'!$I:$I,"Mirage",'Таблиця 1'!$J:$J,"GBU-62")+SUMIFS('Таблиця 1'!$K:$K,'Таблиця 1'!$B:$B,$A324,'Таблиця 1'!$I:$I,"F-16",'Таблиця 1'!$J:$J,"GBU-62")+SUMIFS('Таблиця 1'!$K:$K,'Таблиця 1'!$B:$B,$A324,'Таблиця 1'!$I:$I,"МіГ-29",'Таблиця 1'!$J:$J,"GBU-62")+SUMIFS('Таблиця 1'!$K:$K,'Таблиця 1'!$B:$B,$A324,'Таблиця 1'!$I:$I,"Су-25",'Таблиця 1'!$J:$J,"GBU-62")+SUMIFS('Таблиця 1'!$K:$K,'Таблиця 1'!$B:$B,$A324,'Таблиця 1'!$I:$I,"Су-27",'Таблиця 1'!$J:$J,"GBU-62"))</f>
        <v/>
      </c>
      <c r="N324">
        <f>IF($A324="","",SUMIFS('Таблиця 1'!$K:$K,'Таблиця 1'!$B:$B,$A324,'Таблиця 1'!$I:$I,"Mirage",'Таблиця 1'!$J:$J,"GBU-64")+SUMIFS('Таблиця 1'!$K:$K,'Таблиця 1'!$B:$B,$A324,'Таблиця 1'!$I:$I,"F-16",'Таблиця 1'!$J:$J,"GBU-64")+SUMIFS('Таблиця 1'!$K:$K,'Таблиця 1'!$B:$B,$A324,'Таблиця 1'!$I:$I,"МіГ-29",'Таблиця 1'!$J:$J,"GBU-64")+SUMIFS('Таблиця 1'!$K:$K,'Таблиця 1'!$B:$B,$A324,'Таблиця 1'!$I:$I,"Су-25",'Таблиця 1'!$J:$J,"GBU-64")+SUMIFS('Таблиця 1'!$K:$K,'Таблиця 1'!$B:$B,$A324,'Таблиця 1'!$I:$I,"Су-27",'Таблиця 1'!$J:$J,"GBU-64"))</f>
        <v/>
      </c>
      <c r="O324">
        <f>IF($A324="","",SUMIFS('Таблиця 1'!$K:$K,'Таблиця 1'!$B:$B,$A324,'Таблиця 1'!$I:$I,"Mirage",'Таблиця 1'!$J:$J,"C-13")+SUMIFS('Таблиця 1'!$K:$K,'Таблиця 1'!$B:$B,$A324,'Таблиця 1'!$I:$I,"F-16",'Таблиця 1'!$J:$J,"C-13")+SUMIFS('Таблиця 1'!$K:$K,'Таблиця 1'!$B:$B,$A324,'Таблиця 1'!$I:$I,"МіГ-29",'Таблиця 1'!$J:$J,"C-13")+SUMIFS('Таблиця 1'!$K:$K,'Таблиця 1'!$B:$B,$A324,'Таблиця 1'!$I:$I,"Су-25",'Таблиця 1'!$J:$J,"C-13")+SUMIFS('Таблиця 1'!$K:$K,'Таблиця 1'!$B:$B,$A324,'Таблиця 1'!$I:$I,"Су-27",'Таблиця 1'!$J:$J,"C-13"))</f>
        <v/>
      </c>
      <c r="P324">
        <f>IF($A324="","",SUMIFS('Таблиця 1'!$K:$K,'Таблиця 1'!$B:$B,$A324,'Таблиця 1'!$I:$I,"Mirage",'Таблиця 1'!$J:$J,"MK-32")+SUMIFS('Таблиця 1'!$K:$K,'Таблиця 1'!$B:$B,$A324,'Таблиця 1'!$I:$I,"F-16",'Таблиця 1'!$J:$J,"MK-32")+SUMIFS('Таблиця 1'!$K:$K,'Таблиця 1'!$B:$B,$A324,'Таблиця 1'!$I:$I,"МіГ-29",'Таблиця 1'!$J:$J,"MK-32")+SUMIFS('Таблиця 1'!$K:$K,'Таблиця 1'!$B:$B,$A324,'Таблиця 1'!$I:$I,"Су-25",'Таблиця 1'!$J:$J,"MK-32")+SUMIFS('Таблиця 1'!$K:$K,'Таблиця 1'!$B:$B,$A324,'Таблиця 1'!$I:$I,"Су-27",'Таблиця 1'!$J:$J,"MK-32"))</f>
        <v/>
      </c>
      <c r="Q324">
        <f>IF($A324="","",SUMIFS('Таблиця 1'!$K:$K,'Таблиця 1'!$B:$B,$A324,'Таблиця 1'!$I:$I,"Mirage",'Таблиця 1'!$J:$J,"MK-24")+SUMIFS('Таблиця 1'!$K:$K,'Таблиця 1'!$B:$B,$A324,'Таблиця 1'!$I:$I,"F-16",'Таблиця 1'!$J:$J,"MK-24")+SUMIFS('Таблиця 1'!$K:$K,'Таблиця 1'!$B:$B,$A324,'Таблиця 1'!$I:$I,"МіГ-29",'Таблиця 1'!$J:$J,"MK-24")+SUMIFS('Таблиця 1'!$K:$K,'Таблиця 1'!$B:$B,$A324,'Таблиця 1'!$I:$I,"Су-25",'Таблиця 1'!$J:$J,"MK-24")+SUMIFS('Таблиця 1'!$K:$K,'Таблиця 1'!$B:$B,$A324,'Таблиця 1'!$I:$I,"Су-27",'Таблиця 1'!$J:$J,"MK-24"))</f>
        <v/>
      </c>
      <c r="R324">
        <f>IF($A324="","",COUNTIFS('Таблиця 1'!$B:$B,$A324,'Таблиця 1'!$I:$I,"Mirage",'Таблиця 1'!$L:$L,"Уражено")+COUNTIFS('Таблиця 1'!$B:$B,$A324,'Таблиця 1'!$I:$I,"F-16",'Таблиця 1'!$L:$L,"Уражено")+COUNTIFS('Таблиця 1'!$B:$B,$A324,'Таблиця 1'!$I:$I,"МіГ-29",'Таблиця 1'!$L:$L,"Уражено")+COUNTIFS('Таблиця 1'!$B:$B,$A324,'Таблиця 1'!$I:$I,"Су-25",'Таблиця 1'!$L:$L,"Уражено")+COUNTIFS('Таблиця 1'!$B:$B,$A324,'Таблиця 1'!$I:$I,"Су-27",'Таблиця 1'!$L:$L,"Уражено"))</f>
        <v/>
      </c>
      <c r="S324">
        <f>IF($A324="","",COUNTIFS('Таблиця 1'!$B:$B,$A324,'Таблиця 1'!$I:$I,"Mirage",'Таблиця 1'!$L:$L,"НЕ уражено")+COUNTIFS('Таблиця 1'!$B:$B,$A324,'Таблиця 1'!$I:$I,"F-16",'Таблиця 1'!$L:$L,"НЕ уражено")+COUNTIFS('Таблиця 1'!$B:$B,$A324,'Таблиця 1'!$I:$I,"МіГ-29",'Таблиця 1'!$L:$L,"НЕ уражено")+COUNTIFS('Таблиця 1'!$B:$B,$A324,'Таблиця 1'!$I:$I,"Су-25",'Таблиця 1'!$L:$L,"НЕ уражено")+COUNTIFS('Таблиця 1'!$B:$B,$A324,'Таблиця 1'!$I:$I,"Су-27",'Таблиця 1'!$L:$L,"НЕ уражено"))</f>
        <v/>
      </c>
      <c r="T324">
        <f>IF($A324="","",COUNTIFS('Таблиця 1'!$B:$B,$A324,'Таблиця 1'!$I:$I,"Mirage",'Таблиця 1'!$L:$L,"Дорозвідується")+COUNTIFS('Таблиця 1'!$B:$B,$A324,'Таблиця 1'!$I:$I,"F-16",'Таблиця 1'!$L:$L,"Дорозвідується")+COUNTIFS('Таблиця 1'!$B:$B,$A324,'Таблиця 1'!$I:$I,"МіГ-29",'Таблиця 1'!$L:$L,"Дорозвідується")+COUNTIFS('Таблиця 1'!$B:$B,$A324,'Таблиця 1'!$I:$I,"Су-25",'Таблиця 1'!$L:$L,"Дорозвідується")+COUNTIFS('Таблиця 1'!$B:$B,$A324,'Таблиця 1'!$I:$I,"Су-27",'Таблиця 1'!$L:$L,"Дорозвідується"))</f>
        <v/>
      </c>
    </row>
    <row r="325">
      <c r="A325" s="273">
        <f>IF(A324="","",IF(A324+1&gt;MAX('Таблиця 1'!$B:$B),"",A324+1))</f>
        <v/>
      </c>
      <c r="B325">
        <f>IF($A325="","",COUNTIFS('Таблиця 1'!$B:$B,$A325,'Таблиця 1'!$I:$I,"Mirage")+COUNTIFS('Таблиця 1'!$B:$B,$A325,'Таблиця 1'!$I:$I,"F-16")+COUNTIFS('Таблиця 1'!$B:$B,$A325,'Таблиця 1'!$I:$I,"МіГ-29")+COUNTIFS('Таблиця 1'!$B:$B,$A325,'Таблиця 1'!$I:$I,"Су-25")+COUNTIFS('Таблиця 1'!$B:$B,$A325,'Таблиця 1'!$I:$I,"Су-27"))</f>
        <v/>
      </c>
      <c r="C325">
        <f>IF($A325="","",COUNTIFS('Таблиця 1'!$B:$B,$A325,'Таблиця 1'!$I:$I,"Mirage"))</f>
        <v/>
      </c>
      <c r="D325">
        <f>IF($A325="","",COUNTIFS('Таблиця 1'!$B:$B,$A325,'Таблиця 1'!$I:$I,"F-16"))</f>
        <v/>
      </c>
      <c r="E325">
        <f>IF($A325="","",COUNTIFS('Таблиця 1'!$B:$B,$A325,'Таблиця 1'!$I:$I,"МіГ-29"))</f>
        <v/>
      </c>
      <c r="F325">
        <f>IF($A325="","",COUNTIFS('Таблиця 1'!$B:$B,$A325,'Таблиця 1'!$I:$I,"Су-25"))</f>
        <v/>
      </c>
      <c r="G325">
        <f>IF($A325="","",COUNTIFS('Таблиця 1'!$B:$B,$A325,'Таблиця 1'!$I:$I,"Су-27"))</f>
        <v/>
      </c>
      <c r="H325">
        <f>IF($A325="","",SUMIFS('Таблиця 1'!$K:$K,'Таблиця 1'!$B:$B,$A325,'Таблиця 1'!$I:$I,"Mirage",'Таблиця 1'!$J:$J,"AGM-88")+SUMIFS('Таблиця 1'!$K:$K,'Таблиця 1'!$B:$B,$A325,'Таблиця 1'!$I:$I,"F-16",'Таблиця 1'!$J:$J,"AGM-88")+SUMIFS('Таблиця 1'!$K:$K,'Таблиця 1'!$B:$B,$A325,'Таблиця 1'!$I:$I,"МіГ-29",'Таблиця 1'!$J:$J,"AGM-88")+SUMIFS('Таблиця 1'!$K:$K,'Таблиця 1'!$B:$B,$A325,'Таблиця 1'!$I:$I,"Су-25",'Таблиця 1'!$J:$J,"AGM-88")+SUMIFS('Таблиця 1'!$K:$K,'Таблиця 1'!$B:$B,$A325,'Таблиця 1'!$I:$I,"Су-27",'Таблиця 1'!$J:$J,"AGM-88"))</f>
        <v/>
      </c>
      <c r="I325">
        <f>IF($A325="","",SUMIFS('Таблиця 1'!$K:$K,'Таблиця 1'!$B:$B,$A325,'Таблиця 1'!$I:$I,"Mirage",'Таблиця 1'!$J:$J,"AASM-250")+SUMIFS('Таблиця 1'!$K:$K,'Таблиця 1'!$B:$B,$A325,'Таблиця 1'!$I:$I,"F-16",'Таблиця 1'!$J:$J,"AASM-250")+SUMIFS('Таблиця 1'!$K:$K,'Таблиця 1'!$B:$B,$A325,'Таблиця 1'!$I:$I,"МіГ-29",'Таблиця 1'!$J:$J,"AASM-250")+SUMIFS('Таблиця 1'!$K:$K,'Таблиця 1'!$B:$B,$A325,'Таблиця 1'!$I:$I,"Су-25",'Таблиця 1'!$J:$J,"AASM-250")+SUMIFS('Таблиця 1'!$K:$K,'Таблиця 1'!$B:$B,$A325,'Таблиця 1'!$I:$I,"Су-27",'Таблиця 1'!$J:$J,"AASM-250"))</f>
        <v/>
      </c>
      <c r="J325">
        <f>IF($A325="","",SUMIFS('Таблиця 1'!$K:$K,'Таблиця 1'!$B:$B,$A325,'Таблиця 1'!$I:$I,"Mirage",'Таблиця 1'!$J:$J,"GBU-39")+SUMIFS('Таблиця 1'!$K:$K,'Таблиця 1'!$B:$B,$A325,'Таблиця 1'!$I:$I,"F-16",'Таблиця 1'!$J:$J,"GBU-39")+SUMIFS('Таблиця 1'!$K:$K,'Таблиця 1'!$B:$B,$A325,'Таблиця 1'!$I:$I,"МіГ-29",'Таблиця 1'!$J:$J,"GBU-39")+SUMIFS('Таблиця 1'!$K:$K,'Таблиця 1'!$B:$B,$A325,'Таблиця 1'!$I:$I,"Су-25",'Таблиця 1'!$J:$J,"GBU-39")+SUMIFS('Таблиця 1'!$K:$K,'Таблиця 1'!$B:$B,$A325,'Таблиця 1'!$I:$I,"Су-27",'Таблиця 1'!$J:$J,"GBU-39"))</f>
        <v/>
      </c>
      <c r="K325">
        <f>IF($A325="","",SUMIFS('Таблиця 1'!$K:$K,'Таблиця 1'!$B:$B,$A325,'Таблиця 1'!$I:$I,"Mirage",'Таблиця 1'!$J:$J,"BLU-140")+SUMIFS('Таблиця 1'!$K:$K,'Таблиця 1'!$B:$B,$A325,'Таблиця 1'!$I:$I,"F-16",'Таблиця 1'!$J:$J,"BLU-140")+SUMIFS('Таблиця 1'!$K:$K,'Таблиця 1'!$B:$B,$A325,'Таблиця 1'!$I:$I,"МіГ-29",'Таблиця 1'!$J:$J,"BLU-140")+SUMIFS('Таблиця 1'!$K:$K,'Таблиця 1'!$B:$B,$A325,'Таблиця 1'!$I:$I,"Су-25",'Таблиця 1'!$J:$J,"BLU-140")+SUMIFS('Таблиця 1'!$K:$K,'Таблиця 1'!$B:$B,$A325,'Таблиця 1'!$I:$I,"Су-27",'Таблиця 1'!$J:$J,"BLU-140"))</f>
        <v/>
      </c>
      <c r="L325">
        <f>IF($A325="","",SUMIFS('Таблиця 1'!$K:$K,'Таблиця 1'!$B:$B,$A325,'Таблиця 1'!$I:$I,"Mirage",'Таблиця 1'!$J:$J,"GBU-65")+SUMIFS('Таблиця 1'!$K:$K,'Таблиця 1'!$B:$B,$A325,'Таблиця 1'!$I:$I,"F-16",'Таблиця 1'!$J:$J,"GBU-65")+SUMIFS('Таблиця 1'!$K:$K,'Таблиця 1'!$B:$B,$A325,'Таблиця 1'!$I:$I,"МіГ-29",'Таблиця 1'!$J:$J,"GBU-65")+SUMIFS('Таблиця 1'!$K:$K,'Таблиця 1'!$B:$B,$A325,'Таблиця 1'!$I:$I,"Су-25",'Таблиця 1'!$J:$J,"GBU-65")+SUMIFS('Таблиця 1'!$K:$K,'Таблиця 1'!$B:$B,$A325,'Таблиця 1'!$I:$I,"Су-27",'Таблиця 1'!$J:$J,"GBU-65"))</f>
        <v/>
      </c>
      <c r="M325">
        <f>IF($A325="","",SUMIFS('Таблиця 1'!$K:$K,'Таблиця 1'!$B:$B,$A325,'Таблиця 1'!$I:$I,"Mirage",'Таблиця 1'!$J:$J,"GBU-62")+SUMIFS('Таблиця 1'!$K:$K,'Таблиця 1'!$B:$B,$A325,'Таблиця 1'!$I:$I,"F-16",'Таблиця 1'!$J:$J,"GBU-62")+SUMIFS('Таблиця 1'!$K:$K,'Таблиця 1'!$B:$B,$A325,'Таблиця 1'!$I:$I,"МіГ-29",'Таблиця 1'!$J:$J,"GBU-62")+SUMIFS('Таблиця 1'!$K:$K,'Таблиця 1'!$B:$B,$A325,'Таблиця 1'!$I:$I,"Су-25",'Таблиця 1'!$J:$J,"GBU-62")+SUMIFS('Таблиця 1'!$K:$K,'Таблиця 1'!$B:$B,$A325,'Таблиця 1'!$I:$I,"Су-27",'Таблиця 1'!$J:$J,"GBU-62"))</f>
        <v/>
      </c>
      <c r="N325">
        <f>IF($A325="","",SUMIFS('Таблиця 1'!$K:$K,'Таблиця 1'!$B:$B,$A325,'Таблиця 1'!$I:$I,"Mirage",'Таблиця 1'!$J:$J,"GBU-64")+SUMIFS('Таблиця 1'!$K:$K,'Таблиця 1'!$B:$B,$A325,'Таблиця 1'!$I:$I,"F-16",'Таблиця 1'!$J:$J,"GBU-64")+SUMIFS('Таблиця 1'!$K:$K,'Таблиця 1'!$B:$B,$A325,'Таблиця 1'!$I:$I,"МіГ-29",'Таблиця 1'!$J:$J,"GBU-64")+SUMIFS('Таблиця 1'!$K:$K,'Таблиця 1'!$B:$B,$A325,'Таблиця 1'!$I:$I,"Су-25",'Таблиця 1'!$J:$J,"GBU-64")+SUMIFS('Таблиця 1'!$K:$K,'Таблиця 1'!$B:$B,$A325,'Таблиця 1'!$I:$I,"Су-27",'Таблиця 1'!$J:$J,"GBU-64"))</f>
        <v/>
      </c>
      <c r="O325">
        <f>IF($A325="","",SUMIFS('Таблиця 1'!$K:$K,'Таблиця 1'!$B:$B,$A325,'Таблиця 1'!$I:$I,"Mirage",'Таблиця 1'!$J:$J,"C-13")+SUMIFS('Таблиця 1'!$K:$K,'Таблиця 1'!$B:$B,$A325,'Таблиця 1'!$I:$I,"F-16",'Таблиця 1'!$J:$J,"C-13")+SUMIFS('Таблиця 1'!$K:$K,'Таблиця 1'!$B:$B,$A325,'Таблиця 1'!$I:$I,"МіГ-29",'Таблиця 1'!$J:$J,"C-13")+SUMIFS('Таблиця 1'!$K:$K,'Таблиця 1'!$B:$B,$A325,'Таблиця 1'!$I:$I,"Су-25",'Таблиця 1'!$J:$J,"C-13")+SUMIFS('Таблиця 1'!$K:$K,'Таблиця 1'!$B:$B,$A325,'Таблиця 1'!$I:$I,"Су-27",'Таблиця 1'!$J:$J,"C-13"))</f>
        <v/>
      </c>
      <c r="P325">
        <f>IF($A325="","",SUMIFS('Таблиця 1'!$K:$K,'Таблиця 1'!$B:$B,$A325,'Таблиця 1'!$I:$I,"Mirage",'Таблиця 1'!$J:$J,"MK-32")+SUMIFS('Таблиця 1'!$K:$K,'Таблиця 1'!$B:$B,$A325,'Таблиця 1'!$I:$I,"F-16",'Таблиця 1'!$J:$J,"MK-32")+SUMIFS('Таблиця 1'!$K:$K,'Таблиця 1'!$B:$B,$A325,'Таблиця 1'!$I:$I,"МіГ-29",'Таблиця 1'!$J:$J,"MK-32")+SUMIFS('Таблиця 1'!$K:$K,'Таблиця 1'!$B:$B,$A325,'Таблиця 1'!$I:$I,"Су-25",'Таблиця 1'!$J:$J,"MK-32")+SUMIFS('Таблиця 1'!$K:$K,'Таблиця 1'!$B:$B,$A325,'Таблиця 1'!$I:$I,"Су-27",'Таблиця 1'!$J:$J,"MK-32"))</f>
        <v/>
      </c>
      <c r="Q325">
        <f>IF($A325="","",SUMIFS('Таблиця 1'!$K:$K,'Таблиця 1'!$B:$B,$A325,'Таблиця 1'!$I:$I,"Mirage",'Таблиця 1'!$J:$J,"MK-24")+SUMIFS('Таблиця 1'!$K:$K,'Таблиця 1'!$B:$B,$A325,'Таблиця 1'!$I:$I,"F-16",'Таблиця 1'!$J:$J,"MK-24")+SUMIFS('Таблиця 1'!$K:$K,'Таблиця 1'!$B:$B,$A325,'Таблиця 1'!$I:$I,"МіГ-29",'Таблиця 1'!$J:$J,"MK-24")+SUMIFS('Таблиця 1'!$K:$K,'Таблиця 1'!$B:$B,$A325,'Таблиця 1'!$I:$I,"Су-25",'Таблиця 1'!$J:$J,"MK-24")+SUMIFS('Таблиця 1'!$K:$K,'Таблиця 1'!$B:$B,$A325,'Таблиця 1'!$I:$I,"Су-27",'Таблиця 1'!$J:$J,"MK-24"))</f>
        <v/>
      </c>
      <c r="R325">
        <f>IF($A325="","",COUNTIFS('Таблиця 1'!$B:$B,$A325,'Таблиця 1'!$I:$I,"Mirage",'Таблиця 1'!$L:$L,"Уражено")+COUNTIFS('Таблиця 1'!$B:$B,$A325,'Таблиця 1'!$I:$I,"F-16",'Таблиця 1'!$L:$L,"Уражено")+COUNTIFS('Таблиця 1'!$B:$B,$A325,'Таблиця 1'!$I:$I,"МіГ-29",'Таблиця 1'!$L:$L,"Уражено")+COUNTIFS('Таблиця 1'!$B:$B,$A325,'Таблиця 1'!$I:$I,"Су-25",'Таблиця 1'!$L:$L,"Уражено")+COUNTIFS('Таблиця 1'!$B:$B,$A325,'Таблиця 1'!$I:$I,"Су-27",'Таблиця 1'!$L:$L,"Уражено"))</f>
        <v/>
      </c>
      <c r="S325">
        <f>IF($A325="","",COUNTIFS('Таблиця 1'!$B:$B,$A325,'Таблиця 1'!$I:$I,"Mirage",'Таблиця 1'!$L:$L,"НЕ уражено")+COUNTIFS('Таблиця 1'!$B:$B,$A325,'Таблиця 1'!$I:$I,"F-16",'Таблиця 1'!$L:$L,"НЕ уражено")+COUNTIFS('Таблиця 1'!$B:$B,$A325,'Таблиця 1'!$I:$I,"МіГ-29",'Таблиця 1'!$L:$L,"НЕ уражено")+COUNTIFS('Таблиця 1'!$B:$B,$A325,'Таблиця 1'!$I:$I,"Су-25",'Таблиця 1'!$L:$L,"НЕ уражено")+COUNTIFS('Таблиця 1'!$B:$B,$A325,'Таблиця 1'!$I:$I,"Су-27",'Таблиця 1'!$L:$L,"НЕ уражено"))</f>
        <v/>
      </c>
      <c r="T325">
        <f>IF($A325="","",COUNTIFS('Таблиця 1'!$B:$B,$A325,'Таблиця 1'!$I:$I,"Mirage",'Таблиця 1'!$L:$L,"Дорозвідується")+COUNTIFS('Таблиця 1'!$B:$B,$A325,'Таблиця 1'!$I:$I,"F-16",'Таблиця 1'!$L:$L,"Дорозвідується")+COUNTIFS('Таблиця 1'!$B:$B,$A325,'Таблиця 1'!$I:$I,"МіГ-29",'Таблиця 1'!$L:$L,"Дорозвідується")+COUNTIFS('Таблиця 1'!$B:$B,$A325,'Таблиця 1'!$I:$I,"Су-25",'Таблиця 1'!$L:$L,"Дорозвідується")+COUNTIFS('Таблиця 1'!$B:$B,$A325,'Таблиця 1'!$I:$I,"Су-27",'Таблиця 1'!$L:$L,"Дорозвідується"))</f>
        <v/>
      </c>
    </row>
    <row r="326">
      <c r="A326" s="273">
        <f>IF(A325="","",IF(A325+1&gt;MAX('Таблиця 1'!$B:$B),"",A325+1))</f>
        <v/>
      </c>
      <c r="B326">
        <f>IF($A326="","",COUNTIFS('Таблиця 1'!$B:$B,$A326,'Таблиця 1'!$I:$I,"Mirage")+COUNTIFS('Таблиця 1'!$B:$B,$A326,'Таблиця 1'!$I:$I,"F-16")+COUNTIFS('Таблиця 1'!$B:$B,$A326,'Таблиця 1'!$I:$I,"МіГ-29")+COUNTIFS('Таблиця 1'!$B:$B,$A326,'Таблиця 1'!$I:$I,"Су-25")+COUNTIFS('Таблиця 1'!$B:$B,$A326,'Таблиця 1'!$I:$I,"Су-27"))</f>
        <v/>
      </c>
      <c r="C326">
        <f>IF($A326="","",COUNTIFS('Таблиця 1'!$B:$B,$A326,'Таблиця 1'!$I:$I,"Mirage"))</f>
        <v/>
      </c>
      <c r="D326">
        <f>IF($A326="","",COUNTIFS('Таблиця 1'!$B:$B,$A326,'Таблиця 1'!$I:$I,"F-16"))</f>
        <v/>
      </c>
      <c r="E326">
        <f>IF($A326="","",COUNTIFS('Таблиця 1'!$B:$B,$A326,'Таблиця 1'!$I:$I,"МіГ-29"))</f>
        <v/>
      </c>
      <c r="F326">
        <f>IF($A326="","",COUNTIFS('Таблиця 1'!$B:$B,$A326,'Таблиця 1'!$I:$I,"Су-25"))</f>
        <v/>
      </c>
      <c r="G326">
        <f>IF($A326="","",COUNTIFS('Таблиця 1'!$B:$B,$A326,'Таблиця 1'!$I:$I,"Су-27"))</f>
        <v/>
      </c>
      <c r="H326">
        <f>IF($A326="","",SUMIFS('Таблиця 1'!$K:$K,'Таблиця 1'!$B:$B,$A326,'Таблиця 1'!$I:$I,"Mirage",'Таблиця 1'!$J:$J,"AGM-88")+SUMIFS('Таблиця 1'!$K:$K,'Таблиця 1'!$B:$B,$A326,'Таблиця 1'!$I:$I,"F-16",'Таблиця 1'!$J:$J,"AGM-88")+SUMIFS('Таблиця 1'!$K:$K,'Таблиця 1'!$B:$B,$A326,'Таблиця 1'!$I:$I,"МіГ-29",'Таблиця 1'!$J:$J,"AGM-88")+SUMIFS('Таблиця 1'!$K:$K,'Таблиця 1'!$B:$B,$A326,'Таблиця 1'!$I:$I,"Су-25",'Таблиця 1'!$J:$J,"AGM-88")+SUMIFS('Таблиця 1'!$K:$K,'Таблиця 1'!$B:$B,$A326,'Таблиця 1'!$I:$I,"Су-27",'Таблиця 1'!$J:$J,"AGM-88"))</f>
        <v/>
      </c>
      <c r="I326">
        <f>IF($A326="","",SUMIFS('Таблиця 1'!$K:$K,'Таблиця 1'!$B:$B,$A326,'Таблиця 1'!$I:$I,"Mirage",'Таблиця 1'!$J:$J,"AASM-250")+SUMIFS('Таблиця 1'!$K:$K,'Таблиця 1'!$B:$B,$A326,'Таблиця 1'!$I:$I,"F-16",'Таблиця 1'!$J:$J,"AASM-250")+SUMIFS('Таблиця 1'!$K:$K,'Таблиця 1'!$B:$B,$A326,'Таблиця 1'!$I:$I,"МіГ-29",'Таблиця 1'!$J:$J,"AASM-250")+SUMIFS('Таблиця 1'!$K:$K,'Таблиця 1'!$B:$B,$A326,'Таблиця 1'!$I:$I,"Су-25",'Таблиця 1'!$J:$J,"AASM-250")+SUMIFS('Таблиця 1'!$K:$K,'Таблиця 1'!$B:$B,$A326,'Таблиця 1'!$I:$I,"Су-27",'Таблиця 1'!$J:$J,"AASM-250"))</f>
        <v/>
      </c>
      <c r="J326">
        <f>IF($A326="","",SUMIFS('Таблиця 1'!$K:$K,'Таблиця 1'!$B:$B,$A326,'Таблиця 1'!$I:$I,"Mirage",'Таблиця 1'!$J:$J,"GBU-39")+SUMIFS('Таблиця 1'!$K:$K,'Таблиця 1'!$B:$B,$A326,'Таблиця 1'!$I:$I,"F-16",'Таблиця 1'!$J:$J,"GBU-39")+SUMIFS('Таблиця 1'!$K:$K,'Таблиця 1'!$B:$B,$A326,'Таблиця 1'!$I:$I,"МіГ-29",'Таблиця 1'!$J:$J,"GBU-39")+SUMIFS('Таблиця 1'!$K:$K,'Таблиця 1'!$B:$B,$A326,'Таблиця 1'!$I:$I,"Су-25",'Таблиця 1'!$J:$J,"GBU-39")+SUMIFS('Таблиця 1'!$K:$K,'Таблиця 1'!$B:$B,$A326,'Таблиця 1'!$I:$I,"Су-27",'Таблиця 1'!$J:$J,"GBU-39"))</f>
        <v/>
      </c>
      <c r="K326">
        <f>IF($A326="","",SUMIFS('Таблиця 1'!$K:$K,'Таблиця 1'!$B:$B,$A326,'Таблиця 1'!$I:$I,"Mirage",'Таблиця 1'!$J:$J,"BLU-140")+SUMIFS('Таблиця 1'!$K:$K,'Таблиця 1'!$B:$B,$A326,'Таблиця 1'!$I:$I,"F-16",'Таблиця 1'!$J:$J,"BLU-140")+SUMIFS('Таблиця 1'!$K:$K,'Таблиця 1'!$B:$B,$A326,'Таблиця 1'!$I:$I,"МіГ-29",'Таблиця 1'!$J:$J,"BLU-140")+SUMIFS('Таблиця 1'!$K:$K,'Таблиця 1'!$B:$B,$A326,'Таблиця 1'!$I:$I,"Су-25",'Таблиця 1'!$J:$J,"BLU-140")+SUMIFS('Таблиця 1'!$K:$K,'Таблиця 1'!$B:$B,$A326,'Таблиця 1'!$I:$I,"Су-27",'Таблиця 1'!$J:$J,"BLU-140"))</f>
        <v/>
      </c>
      <c r="L326">
        <f>IF($A326="","",SUMIFS('Таблиця 1'!$K:$K,'Таблиця 1'!$B:$B,$A326,'Таблиця 1'!$I:$I,"Mirage",'Таблиця 1'!$J:$J,"GBU-65")+SUMIFS('Таблиця 1'!$K:$K,'Таблиця 1'!$B:$B,$A326,'Таблиця 1'!$I:$I,"F-16",'Таблиця 1'!$J:$J,"GBU-65")+SUMIFS('Таблиця 1'!$K:$K,'Таблиця 1'!$B:$B,$A326,'Таблиця 1'!$I:$I,"МіГ-29",'Таблиця 1'!$J:$J,"GBU-65")+SUMIFS('Таблиця 1'!$K:$K,'Таблиця 1'!$B:$B,$A326,'Таблиця 1'!$I:$I,"Су-25",'Таблиця 1'!$J:$J,"GBU-65")+SUMIFS('Таблиця 1'!$K:$K,'Таблиця 1'!$B:$B,$A326,'Таблиця 1'!$I:$I,"Су-27",'Таблиця 1'!$J:$J,"GBU-65"))</f>
        <v/>
      </c>
      <c r="M326">
        <f>IF($A326="","",SUMIFS('Таблиця 1'!$K:$K,'Таблиця 1'!$B:$B,$A326,'Таблиця 1'!$I:$I,"Mirage",'Таблиця 1'!$J:$J,"GBU-62")+SUMIFS('Таблиця 1'!$K:$K,'Таблиця 1'!$B:$B,$A326,'Таблиця 1'!$I:$I,"F-16",'Таблиця 1'!$J:$J,"GBU-62")+SUMIFS('Таблиця 1'!$K:$K,'Таблиця 1'!$B:$B,$A326,'Таблиця 1'!$I:$I,"МіГ-29",'Таблиця 1'!$J:$J,"GBU-62")+SUMIFS('Таблиця 1'!$K:$K,'Таблиця 1'!$B:$B,$A326,'Таблиця 1'!$I:$I,"Су-25",'Таблиця 1'!$J:$J,"GBU-62")+SUMIFS('Таблиця 1'!$K:$K,'Таблиця 1'!$B:$B,$A326,'Таблиця 1'!$I:$I,"Су-27",'Таблиця 1'!$J:$J,"GBU-62"))</f>
        <v/>
      </c>
      <c r="N326">
        <f>IF($A326="","",SUMIFS('Таблиця 1'!$K:$K,'Таблиця 1'!$B:$B,$A326,'Таблиця 1'!$I:$I,"Mirage",'Таблиця 1'!$J:$J,"GBU-64")+SUMIFS('Таблиця 1'!$K:$K,'Таблиця 1'!$B:$B,$A326,'Таблиця 1'!$I:$I,"F-16",'Таблиця 1'!$J:$J,"GBU-64")+SUMIFS('Таблиця 1'!$K:$K,'Таблиця 1'!$B:$B,$A326,'Таблиця 1'!$I:$I,"МіГ-29",'Таблиця 1'!$J:$J,"GBU-64")+SUMIFS('Таблиця 1'!$K:$K,'Таблиця 1'!$B:$B,$A326,'Таблиця 1'!$I:$I,"Су-25",'Таблиця 1'!$J:$J,"GBU-64")+SUMIFS('Таблиця 1'!$K:$K,'Таблиця 1'!$B:$B,$A326,'Таблиця 1'!$I:$I,"Су-27",'Таблиця 1'!$J:$J,"GBU-64"))</f>
        <v/>
      </c>
      <c r="O326">
        <f>IF($A326="","",SUMIFS('Таблиця 1'!$K:$K,'Таблиця 1'!$B:$B,$A326,'Таблиця 1'!$I:$I,"Mirage",'Таблиця 1'!$J:$J,"C-13")+SUMIFS('Таблиця 1'!$K:$K,'Таблиця 1'!$B:$B,$A326,'Таблиця 1'!$I:$I,"F-16",'Таблиця 1'!$J:$J,"C-13")+SUMIFS('Таблиця 1'!$K:$K,'Таблиця 1'!$B:$B,$A326,'Таблиця 1'!$I:$I,"МіГ-29",'Таблиця 1'!$J:$J,"C-13")+SUMIFS('Таблиця 1'!$K:$K,'Таблиця 1'!$B:$B,$A326,'Таблиця 1'!$I:$I,"Су-25",'Таблиця 1'!$J:$J,"C-13")+SUMIFS('Таблиця 1'!$K:$K,'Таблиця 1'!$B:$B,$A326,'Таблиця 1'!$I:$I,"Су-27",'Таблиця 1'!$J:$J,"C-13"))</f>
        <v/>
      </c>
      <c r="P326">
        <f>IF($A326="","",SUMIFS('Таблиця 1'!$K:$K,'Таблиця 1'!$B:$B,$A326,'Таблиця 1'!$I:$I,"Mirage",'Таблиця 1'!$J:$J,"MK-32")+SUMIFS('Таблиця 1'!$K:$K,'Таблиця 1'!$B:$B,$A326,'Таблиця 1'!$I:$I,"F-16",'Таблиця 1'!$J:$J,"MK-32")+SUMIFS('Таблиця 1'!$K:$K,'Таблиця 1'!$B:$B,$A326,'Таблиця 1'!$I:$I,"МіГ-29",'Таблиця 1'!$J:$J,"MK-32")+SUMIFS('Таблиця 1'!$K:$K,'Таблиця 1'!$B:$B,$A326,'Таблиця 1'!$I:$I,"Су-25",'Таблиця 1'!$J:$J,"MK-32")+SUMIFS('Таблиця 1'!$K:$K,'Таблиця 1'!$B:$B,$A326,'Таблиця 1'!$I:$I,"Су-27",'Таблиця 1'!$J:$J,"MK-32"))</f>
        <v/>
      </c>
      <c r="Q326">
        <f>IF($A326="","",SUMIFS('Таблиця 1'!$K:$K,'Таблиця 1'!$B:$B,$A326,'Таблиця 1'!$I:$I,"Mirage",'Таблиця 1'!$J:$J,"MK-24")+SUMIFS('Таблиця 1'!$K:$K,'Таблиця 1'!$B:$B,$A326,'Таблиця 1'!$I:$I,"F-16",'Таблиця 1'!$J:$J,"MK-24")+SUMIFS('Таблиця 1'!$K:$K,'Таблиця 1'!$B:$B,$A326,'Таблиця 1'!$I:$I,"МіГ-29",'Таблиця 1'!$J:$J,"MK-24")+SUMIFS('Таблиця 1'!$K:$K,'Таблиця 1'!$B:$B,$A326,'Таблиця 1'!$I:$I,"Су-25",'Таблиця 1'!$J:$J,"MK-24")+SUMIFS('Таблиця 1'!$K:$K,'Таблиця 1'!$B:$B,$A326,'Таблиця 1'!$I:$I,"Су-27",'Таблиця 1'!$J:$J,"MK-24"))</f>
        <v/>
      </c>
      <c r="R326">
        <f>IF($A326="","",COUNTIFS('Таблиця 1'!$B:$B,$A326,'Таблиця 1'!$I:$I,"Mirage",'Таблиця 1'!$L:$L,"Уражено")+COUNTIFS('Таблиця 1'!$B:$B,$A326,'Таблиця 1'!$I:$I,"F-16",'Таблиця 1'!$L:$L,"Уражено")+COUNTIFS('Таблиця 1'!$B:$B,$A326,'Таблиця 1'!$I:$I,"МіГ-29",'Таблиця 1'!$L:$L,"Уражено")+COUNTIFS('Таблиця 1'!$B:$B,$A326,'Таблиця 1'!$I:$I,"Су-25",'Таблиця 1'!$L:$L,"Уражено")+COUNTIFS('Таблиця 1'!$B:$B,$A326,'Таблиця 1'!$I:$I,"Су-27",'Таблиця 1'!$L:$L,"Уражено"))</f>
        <v/>
      </c>
      <c r="S326">
        <f>IF($A326="","",COUNTIFS('Таблиця 1'!$B:$B,$A326,'Таблиця 1'!$I:$I,"Mirage",'Таблиця 1'!$L:$L,"НЕ уражено")+COUNTIFS('Таблиця 1'!$B:$B,$A326,'Таблиця 1'!$I:$I,"F-16",'Таблиця 1'!$L:$L,"НЕ уражено")+COUNTIFS('Таблиця 1'!$B:$B,$A326,'Таблиця 1'!$I:$I,"МіГ-29",'Таблиця 1'!$L:$L,"НЕ уражено")+COUNTIFS('Таблиця 1'!$B:$B,$A326,'Таблиця 1'!$I:$I,"Су-25",'Таблиця 1'!$L:$L,"НЕ уражено")+COUNTIFS('Таблиця 1'!$B:$B,$A326,'Таблиця 1'!$I:$I,"Су-27",'Таблиця 1'!$L:$L,"НЕ уражено"))</f>
        <v/>
      </c>
      <c r="T326">
        <f>IF($A326="","",COUNTIFS('Таблиця 1'!$B:$B,$A326,'Таблиця 1'!$I:$I,"Mirage",'Таблиця 1'!$L:$L,"Дорозвідується")+COUNTIFS('Таблиця 1'!$B:$B,$A326,'Таблиця 1'!$I:$I,"F-16",'Таблиця 1'!$L:$L,"Дорозвідується")+COUNTIFS('Таблиця 1'!$B:$B,$A326,'Таблиця 1'!$I:$I,"МіГ-29",'Таблиця 1'!$L:$L,"Дорозвідується")+COUNTIFS('Таблиця 1'!$B:$B,$A326,'Таблиця 1'!$I:$I,"Су-25",'Таблиця 1'!$L:$L,"Дорозвідується")+COUNTIFS('Таблиця 1'!$B:$B,$A326,'Таблиця 1'!$I:$I,"Су-27",'Таблиця 1'!$L:$L,"Дорозвідується"))</f>
        <v/>
      </c>
    </row>
    <row r="327">
      <c r="A327" s="273">
        <f>IF(A326="","",IF(A326+1&gt;MAX('Таблиця 1'!$B:$B),"",A326+1))</f>
        <v/>
      </c>
      <c r="B327">
        <f>IF($A327="","",COUNTIFS('Таблиця 1'!$B:$B,$A327,'Таблиця 1'!$I:$I,"Mirage")+COUNTIFS('Таблиця 1'!$B:$B,$A327,'Таблиця 1'!$I:$I,"F-16")+COUNTIFS('Таблиця 1'!$B:$B,$A327,'Таблиця 1'!$I:$I,"МіГ-29")+COUNTIFS('Таблиця 1'!$B:$B,$A327,'Таблиця 1'!$I:$I,"Су-25")+COUNTIFS('Таблиця 1'!$B:$B,$A327,'Таблиця 1'!$I:$I,"Су-27"))</f>
        <v/>
      </c>
      <c r="C327">
        <f>IF($A327="","",COUNTIFS('Таблиця 1'!$B:$B,$A327,'Таблиця 1'!$I:$I,"Mirage"))</f>
        <v/>
      </c>
      <c r="D327">
        <f>IF($A327="","",COUNTIFS('Таблиця 1'!$B:$B,$A327,'Таблиця 1'!$I:$I,"F-16"))</f>
        <v/>
      </c>
      <c r="E327">
        <f>IF($A327="","",COUNTIFS('Таблиця 1'!$B:$B,$A327,'Таблиця 1'!$I:$I,"МіГ-29"))</f>
        <v/>
      </c>
      <c r="F327">
        <f>IF($A327="","",COUNTIFS('Таблиця 1'!$B:$B,$A327,'Таблиця 1'!$I:$I,"Су-25"))</f>
        <v/>
      </c>
      <c r="G327">
        <f>IF($A327="","",COUNTIFS('Таблиця 1'!$B:$B,$A327,'Таблиця 1'!$I:$I,"Су-27"))</f>
        <v/>
      </c>
      <c r="H327">
        <f>IF($A327="","",SUMIFS('Таблиця 1'!$K:$K,'Таблиця 1'!$B:$B,$A327,'Таблиця 1'!$I:$I,"Mirage",'Таблиця 1'!$J:$J,"AGM-88")+SUMIFS('Таблиця 1'!$K:$K,'Таблиця 1'!$B:$B,$A327,'Таблиця 1'!$I:$I,"F-16",'Таблиця 1'!$J:$J,"AGM-88")+SUMIFS('Таблиця 1'!$K:$K,'Таблиця 1'!$B:$B,$A327,'Таблиця 1'!$I:$I,"МіГ-29",'Таблиця 1'!$J:$J,"AGM-88")+SUMIFS('Таблиця 1'!$K:$K,'Таблиця 1'!$B:$B,$A327,'Таблиця 1'!$I:$I,"Су-25",'Таблиця 1'!$J:$J,"AGM-88")+SUMIFS('Таблиця 1'!$K:$K,'Таблиця 1'!$B:$B,$A327,'Таблиця 1'!$I:$I,"Су-27",'Таблиця 1'!$J:$J,"AGM-88"))</f>
        <v/>
      </c>
      <c r="I327">
        <f>IF($A327="","",SUMIFS('Таблиця 1'!$K:$K,'Таблиця 1'!$B:$B,$A327,'Таблиця 1'!$I:$I,"Mirage",'Таблиця 1'!$J:$J,"AASM-250")+SUMIFS('Таблиця 1'!$K:$K,'Таблиця 1'!$B:$B,$A327,'Таблиця 1'!$I:$I,"F-16",'Таблиця 1'!$J:$J,"AASM-250")+SUMIFS('Таблиця 1'!$K:$K,'Таблиця 1'!$B:$B,$A327,'Таблиця 1'!$I:$I,"МіГ-29",'Таблиця 1'!$J:$J,"AASM-250")+SUMIFS('Таблиця 1'!$K:$K,'Таблиця 1'!$B:$B,$A327,'Таблиця 1'!$I:$I,"Су-25",'Таблиця 1'!$J:$J,"AASM-250")+SUMIFS('Таблиця 1'!$K:$K,'Таблиця 1'!$B:$B,$A327,'Таблиця 1'!$I:$I,"Су-27",'Таблиця 1'!$J:$J,"AASM-250"))</f>
        <v/>
      </c>
      <c r="J327">
        <f>IF($A327="","",SUMIFS('Таблиця 1'!$K:$K,'Таблиця 1'!$B:$B,$A327,'Таблиця 1'!$I:$I,"Mirage",'Таблиця 1'!$J:$J,"GBU-39")+SUMIFS('Таблиця 1'!$K:$K,'Таблиця 1'!$B:$B,$A327,'Таблиця 1'!$I:$I,"F-16",'Таблиця 1'!$J:$J,"GBU-39")+SUMIFS('Таблиця 1'!$K:$K,'Таблиця 1'!$B:$B,$A327,'Таблиця 1'!$I:$I,"МіГ-29",'Таблиця 1'!$J:$J,"GBU-39")+SUMIFS('Таблиця 1'!$K:$K,'Таблиця 1'!$B:$B,$A327,'Таблиця 1'!$I:$I,"Су-25",'Таблиця 1'!$J:$J,"GBU-39")+SUMIFS('Таблиця 1'!$K:$K,'Таблиця 1'!$B:$B,$A327,'Таблиця 1'!$I:$I,"Су-27",'Таблиця 1'!$J:$J,"GBU-39"))</f>
        <v/>
      </c>
      <c r="K327">
        <f>IF($A327="","",SUMIFS('Таблиця 1'!$K:$K,'Таблиця 1'!$B:$B,$A327,'Таблиця 1'!$I:$I,"Mirage",'Таблиця 1'!$J:$J,"BLU-140")+SUMIFS('Таблиця 1'!$K:$K,'Таблиця 1'!$B:$B,$A327,'Таблиця 1'!$I:$I,"F-16",'Таблиця 1'!$J:$J,"BLU-140")+SUMIFS('Таблиця 1'!$K:$K,'Таблиця 1'!$B:$B,$A327,'Таблиця 1'!$I:$I,"МіГ-29",'Таблиця 1'!$J:$J,"BLU-140")+SUMIFS('Таблиця 1'!$K:$K,'Таблиця 1'!$B:$B,$A327,'Таблиця 1'!$I:$I,"Су-25",'Таблиця 1'!$J:$J,"BLU-140")+SUMIFS('Таблиця 1'!$K:$K,'Таблиця 1'!$B:$B,$A327,'Таблиця 1'!$I:$I,"Су-27",'Таблиця 1'!$J:$J,"BLU-140"))</f>
        <v/>
      </c>
      <c r="L327">
        <f>IF($A327="","",SUMIFS('Таблиця 1'!$K:$K,'Таблиця 1'!$B:$B,$A327,'Таблиця 1'!$I:$I,"Mirage",'Таблиця 1'!$J:$J,"GBU-65")+SUMIFS('Таблиця 1'!$K:$K,'Таблиця 1'!$B:$B,$A327,'Таблиця 1'!$I:$I,"F-16",'Таблиця 1'!$J:$J,"GBU-65")+SUMIFS('Таблиця 1'!$K:$K,'Таблиця 1'!$B:$B,$A327,'Таблиця 1'!$I:$I,"МіГ-29",'Таблиця 1'!$J:$J,"GBU-65")+SUMIFS('Таблиця 1'!$K:$K,'Таблиця 1'!$B:$B,$A327,'Таблиця 1'!$I:$I,"Су-25",'Таблиця 1'!$J:$J,"GBU-65")+SUMIFS('Таблиця 1'!$K:$K,'Таблиця 1'!$B:$B,$A327,'Таблиця 1'!$I:$I,"Су-27",'Таблиця 1'!$J:$J,"GBU-65"))</f>
        <v/>
      </c>
      <c r="M327">
        <f>IF($A327="","",SUMIFS('Таблиця 1'!$K:$K,'Таблиця 1'!$B:$B,$A327,'Таблиця 1'!$I:$I,"Mirage",'Таблиця 1'!$J:$J,"GBU-62")+SUMIFS('Таблиця 1'!$K:$K,'Таблиця 1'!$B:$B,$A327,'Таблиця 1'!$I:$I,"F-16",'Таблиця 1'!$J:$J,"GBU-62")+SUMIFS('Таблиця 1'!$K:$K,'Таблиця 1'!$B:$B,$A327,'Таблиця 1'!$I:$I,"МіГ-29",'Таблиця 1'!$J:$J,"GBU-62")+SUMIFS('Таблиця 1'!$K:$K,'Таблиця 1'!$B:$B,$A327,'Таблиця 1'!$I:$I,"Су-25",'Таблиця 1'!$J:$J,"GBU-62")+SUMIFS('Таблиця 1'!$K:$K,'Таблиця 1'!$B:$B,$A327,'Таблиця 1'!$I:$I,"Су-27",'Таблиця 1'!$J:$J,"GBU-62"))</f>
        <v/>
      </c>
      <c r="N327">
        <f>IF($A327="","",SUMIFS('Таблиця 1'!$K:$K,'Таблиця 1'!$B:$B,$A327,'Таблиця 1'!$I:$I,"Mirage",'Таблиця 1'!$J:$J,"GBU-64")+SUMIFS('Таблиця 1'!$K:$K,'Таблиця 1'!$B:$B,$A327,'Таблиця 1'!$I:$I,"F-16",'Таблиця 1'!$J:$J,"GBU-64")+SUMIFS('Таблиця 1'!$K:$K,'Таблиця 1'!$B:$B,$A327,'Таблиця 1'!$I:$I,"МіГ-29",'Таблиця 1'!$J:$J,"GBU-64")+SUMIFS('Таблиця 1'!$K:$K,'Таблиця 1'!$B:$B,$A327,'Таблиця 1'!$I:$I,"Су-25",'Таблиця 1'!$J:$J,"GBU-64")+SUMIFS('Таблиця 1'!$K:$K,'Таблиця 1'!$B:$B,$A327,'Таблиця 1'!$I:$I,"Су-27",'Таблиця 1'!$J:$J,"GBU-64"))</f>
        <v/>
      </c>
      <c r="O327">
        <f>IF($A327="","",SUMIFS('Таблиця 1'!$K:$K,'Таблиця 1'!$B:$B,$A327,'Таблиця 1'!$I:$I,"Mirage",'Таблиця 1'!$J:$J,"C-13")+SUMIFS('Таблиця 1'!$K:$K,'Таблиця 1'!$B:$B,$A327,'Таблиця 1'!$I:$I,"F-16",'Таблиця 1'!$J:$J,"C-13")+SUMIFS('Таблиця 1'!$K:$K,'Таблиця 1'!$B:$B,$A327,'Таблиця 1'!$I:$I,"МіГ-29",'Таблиця 1'!$J:$J,"C-13")+SUMIFS('Таблиця 1'!$K:$K,'Таблиця 1'!$B:$B,$A327,'Таблиця 1'!$I:$I,"Су-25",'Таблиця 1'!$J:$J,"C-13")+SUMIFS('Таблиця 1'!$K:$K,'Таблиця 1'!$B:$B,$A327,'Таблиця 1'!$I:$I,"Су-27",'Таблиця 1'!$J:$J,"C-13"))</f>
        <v/>
      </c>
      <c r="P327">
        <f>IF($A327="","",SUMIFS('Таблиця 1'!$K:$K,'Таблиця 1'!$B:$B,$A327,'Таблиця 1'!$I:$I,"Mirage",'Таблиця 1'!$J:$J,"MK-32")+SUMIFS('Таблиця 1'!$K:$K,'Таблиця 1'!$B:$B,$A327,'Таблиця 1'!$I:$I,"F-16",'Таблиця 1'!$J:$J,"MK-32")+SUMIFS('Таблиця 1'!$K:$K,'Таблиця 1'!$B:$B,$A327,'Таблиця 1'!$I:$I,"МіГ-29",'Таблиця 1'!$J:$J,"MK-32")+SUMIFS('Таблиця 1'!$K:$K,'Таблиця 1'!$B:$B,$A327,'Таблиця 1'!$I:$I,"Су-25",'Таблиця 1'!$J:$J,"MK-32")+SUMIFS('Таблиця 1'!$K:$K,'Таблиця 1'!$B:$B,$A327,'Таблиця 1'!$I:$I,"Су-27",'Таблиця 1'!$J:$J,"MK-32"))</f>
        <v/>
      </c>
      <c r="Q327">
        <f>IF($A327="","",SUMIFS('Таблиця 1'!$K:$K,'Таблиця 1'!$B:$B,$A327,'Таблиця 1'!$I:$I,"Mirage",'Таблиця 1'!$J:$J,"MK-24")+SUMIFS('Таблиця 1'!$K:$K,'Таблиця 1'!$B:$B,$A327,'Таблиця 1'!$I:$I,"F-16",'Таблиця 1'!$J:$J,"MK-24")+SUMIFS('Таблиця 1'!$K:$K,'Таблиця 1'!$B:$B,$A327,'Таблиця 1'!$I:$I,"МіГ-29",'Таблиця 1'!$J:$J,"MK-24")+SUMIFS('Таблиця 1'!$K:$K,'Таблиця 1'!$B:$B,$A327,'Таблиця 1'!$I:$I,"Су-25",'Таблиця 1'!$J:$J,"MK-24")+SUMIFS('Таблиця 1'!$K:$K,'Таблиця 1'!$B:$B,$A327,'Таблиця 1'!$I:$I,"Су-27",'Таблиця 1'!$J:$J,"MK-24"))</f>
        <v/>
      </c>
      <c r="R327">
        <f>IF($A327="","",COUNTIFS('Таблиця 1'!$B:$B,$A327,'Таблиця 1'!$I:$I,"Mirage",'Таблиця 1'!$L:$L,"Уражено")+COUNTIFS('Таблиця 1'!$B:$B,$A327,'Таблиця 1'!$I:$I,"F-16",'Таблиця 1'!$L:$L,"Уражено")+COUNTIFS('Таблиця 1'!$B:$B,$A327,'Таблиця 1'!$I:$I,"МіГ-29",'Таблиця 1'!$L:$L,"Уражено")+COUNTIFS('Таблиця 1'!$B:$B,$A327,'Таблиця 1'!$I:$I,"Су-25",'Таблиця 1'!$L:$L,"Уражено")+COUNTIFS('Таблиця 1'!$B:$B,$A327,'Таблиця 1'!$I:$I,"Су-27",'Таблиця 1'!$L:$L,"Уражено"))</f>
        <v/>
      </c>
      <c r="S327">
        <f>IF($A327="","",COUNTIFS('Таблиця 1'!$B:$B,$A327,'Таблиця 1'!$I:$I,"Mirage",'Таблиця 1'!$L:$L,"НЕ уражено")+COUNTIFS('Таблиця 1'!$B:$B,$A327,'Таблиця 1'!$I:$I,"F-16",'Таблиця 1'!$L:$L,"НЕ уражено")+COUNTIFS('Таблиця 1'!$B:$B,$A327,'Таблиця 1'!$I:$I,"МіГ-29",'Таблиця 1'!$L:$L,"НЕ уражено")+COUNTIFS('Таблиця 1'!$B:$B,$A327,'Таблиця 1'!$I:$I,"Су-25",'Таблиця 1'!$L:$L,"НЕ уражено")+COUNTIFS('Таблиця 1'!$B:$B,$A327,'Таблиця 1'!$I:$I,"Су-27",'Таблиця 1'!$L:$L,"НЕ уражено"))</f>
        <v/>
      </c>
      <c r="T327">
        <f>IF($A327="","",COUNTIFS('Таблиця 1'!$B:$B,$A327,'Таблиця 1'!$I:$I,"Mirage",'Таблиця 1'!$L:$L,"Дорозвідується")+COUNTIFS('Таблиця 1'!$B:$B,$A327,'Таблиця 1'!$I:$I,"F-16",'Таблиця 1'!$L:$L,"Дорозвідується")+COUNTIFS('Таблиця 1'!$B:$B,$A327,'Таблиця 1'!$I:$I,"МіГ-29",'Таблиця 1'!$L:$L,"Дорозвідується")+COUNTIFS('Таблиця 1'!$B:$B,$A327,'Таблиця 1'!$I:$I,"Су-25",'Таблиця 1'!$L:$L,"Дорозвідується")+COUNTIFS('Таблиця 1'!$B:$B,$A327,'Таблиця 1'!$I:$I,"Су-27",'Таблиця 1'!$L:$L,"Дорозвідується"))</f>
        <v/>
      </c>
    </row>
    <row r="328">
      <c r="A328" s="273">
        <f>IF(A327="","",IF(A327+1&gt;MAX('Таблиця 1'!$B:$B),"",A327+1))</f>
        <v/>
      </c>
      <c r="B328">
        <f>IF($A328="","",COUNTIFS('Таблиця 1'!$B:$B,$A328,'Таблиця 1'!$I:$I,"Mirage")+COUNTIFS('Таблиця 1'!$B:$B,$A328,'Таблиця 1'!$I:$I,"F-16")+COUNTIFS('Таблиця 1'!$B:$B,$A328,'Таблиця 1'!$I:$I,"МіГ-29")+COUNTIFS('Таблиця 1'!$B:$B,$A328,'Таблиця 1'!$I:$I,"Су-25")+COUNTIFS('Таблиця 1'!$B:$B,$A328,'Таблиця 1'!$I:$I,"Су-27"))</f>
        <v/>
      </c>
      <c r="C328">
        <f>IF($A328="","",COUNTIFS('Таблиця 1'!$B:$B,$A328,'Таблиця 1'!$I:$I,"Mirage"))</f>
        <v/>
      </c>
      <c r="D328">
        <f>IF($A328="","",COUNTIFS('Таблиця 1'!$B:$B,$A328,'Таблиця 1'!$I:$I,"F-16"))</f>
        <v/>
      </c>
      <c r="E328">
        <f>IF($A328="","",COUNTIFS('Таблиця 1'!$B:$B,$A328,'Таблиця 1'!$I:$I,"МіГ-29"))</f>
        <v/>
      </c>
      <c r="F328">
        <f>IF($A328="","",COUNTIFS('Таблиця 1'!$B:$B,$A328,'Таблиця 1'!$I:$I,"Су-25"))</f>
        <v/>
      </c>
      <c r="G328">
        <f>IF($A328="","",COUNTIFS('Таблиця 1'!$B:$B,$A328,'Таблиця 1'!$I:$I,"Су-27"))</f>
        <v/>
      </c>
      <c r="H328">
        <f>IF($A328="","",SUMIFS('Таблиця 1'!$K:$K,'Таблиця 1'!$B:$B,$A328,'Таблиця 1'!$I:$I,"Mirage",'Таблиця 1'!$J:$J,"AGM-88")+SUMIFS('Таблиця 1'!$K:$K,'Таблиця 1'!$B:$B,$A328,'Таблиця 1'!$I:$I,"F-16",'Таблиця 1'!$J:$J,"AGM-88")+SUMIFS('Таблиця 1'!$K:$K,'Таблиця 1'!$B:$B,$A328,'Таблиця 1'!$I:$I,"МіГ-29",'Таблиця 1'!$J:$J,"AGM-88")+SUMIFS('Таблиця 1'!$K:$K,'Таблиця 1'!$B:$B,$A328,'Таблиця 1'!$I:$I,"Су-25",'Таблиця 1'!$J:$J,"AGM-88")+SUMIFS('Таблиця 1'!$K:$K,'Таблиця 1'!$B:$B,$A328,'Таблиця 1'!$I:$I,"Су-27",'Таблиця 1'!$J:$J,"AGM-88"))</f>
        <v/>
      </c>
      <c r="I328">
        <f>IF($A328="","",SUMIFS('Таблиця 1'!$K:$K,'Таблиця 1'!$B:$B,$A328,'Таблиця 1'!$I:$I,"Mirage",'Таблиця 1'!$J:$J,"AASM-250")+SUMIFS('Таблиця 1'!$K:$K,'Таблиця 1'!$B:$B,$A328,'Таблиця 1'!$I:$I,"F-16",'Таблиця 1'!$J:$J,"AASM-250")+SUMIFS('Таблиця 1'!$K:$K,'Таблиця 1'!$B:$B,$A328,'Таблиця 1'!$I:$I,"МіГ-29",'Таблиця 1'!$J:$J,"AASM-250")+SUMIFS('Таблиця 1'!$K:$K,'Таблиця 1'!$B:$B,$A328,'Таблиця 1'!$I:$I,"Су-25",'Таблиця 1'!$J:$J,"AASM-250")+SUMIFS('Таблиця 1'!$K:$K,'Таблиця 1'!$B:$B,$A328,'Таблиця 1'!$I:$I,"Су-27",'Таблиця 1'!$J:$J,"AASM-250"))</f>
        <v/>
      </c>
      <c r="J328">
        <f>IF($A328="","",SUMIFS('Таблиця 1'!$K:$K,'Таблиця 1'!$B:$B,$A328,'Таблиця 1'!$I:$I,"Mirage",'Таблиця 1'!$J:$J,"GBU-39")+SUMIFS('Таблиця 1'!$K:$K,'Таблиця 1'!$B:$B,$A328,'Таблиця 1'!$I:$I,"F-16",'Таблиця 1'!$J:$J,"GBU-39")+SUMIFS('Таблиця 1'!$K:$K,'Таблиця 1'!$B:$B,$A328,'Таблиця 1'!$I:$I,"МіГ-29",'Таблиця 1'!$J:$J,"GBU-39")+SUMIFS('Таблиця 1'!$K:$K,'Таблиця 1'!$B:$B,$A328,'Таблиця 1'!$I:$I,"Су-25",'Таблиця 1'!$J:$J,"GBU-39")+SUMIFS('Таблиця 1'!$K:$K,'Таблиця 1'!$B:$B,$A328,'Таблиця 1'!$I:$I,"Су-27",'Таблиця 1'!$J:$J,"GBU-39"))</f>
        <v/>
      </c>
      <c r="K328">
        <f>IF($A328="","",SUMIFS('Таблиця 1'!$K:$K,'Таблиця 1'!$B:$B,$A328,'Таблиця 1'!$I:$I,"Mirage",'Таблиця 1'!$J:$J,"BLU-140")+SUMIFS('Таблиця 1'!$K:$K,'Таблиця 1'!$B:$B,$A328,'Таблиця 1'!$I:$I,"F-16",'Таблиця 1'!$J:$J,"BLU-140")+SUMIFS('Таблиця 1'!$K:$K,'Таблиця 1'!$B:$B,$A328,'Таблиця 1'!$I:$I,"МіГ-29",'Таблиця 1'!$J:$J,"BLU-140")+SUMIFS('Таблиця 1'!$K:$K,'Таблиця 1'!$B:$B,$A328,'Таблиця 1'!$I:$I,"Су-25",'Таблиця 1'!$J:$J,"BLU-140")+SUMIFS('Таблиця 1'!$K:$K,'Таблиця 1'!$B:$B,$A328,'Таблиця 1'!$I:$I,"Су-27",'Таблиця 1'!$J:$J,"BLU-140"))</f>
        <v/>
      </c>
      <c r="L328">
        <f>IF($A328="","",SUMIFS('Таблиця 1'!$K:$K,'Таблиця 1'!$B:$B,$A328,'Таблиця 1'!$I:$I,"Mirage",'Таблиця 1'!$J:$J,"GBU-65")+SUMIFS('Таблиця 1'!$K:$K,'Таблиця 1'!$B:$B,$A328,'Таблиця 1'!$I:$I,"F-16",'Таблиця 1'!$J:$J,"GBU-65")+SUMIFS('Таблиця 1'!$K:$K,'Таблиця 1'!$B:$B,$A328,'Таблиця 1'!$I:$I,"МіГ-29",'Таблиця 1'!$J:$J,"GBU-65")+SUMIFS('Таблиця 1'!$K:$K,'Таблиця 1'!$B:$B,$A328,'Таблиця 1'!$I:$I,"Су-25",'Таблиця 1'!$J:$J,"GBU-65")+SUMIFS('Таблиця 1'!$K:$K,'Таблиця 1'!$B:$B,$A328,'Таблиця 1'!$I:$I,"Су-27",'Таблиця 1'!$J:$J,"GBU-65"))</f>
        <v/>
      </c>
      <c r="M328">
        <f>IF($A328="","",SUMIFS('Таблиця 1'!$K:$K,'Таблиця 1'!$B:$B,$A328,'Таблиця 1'!$I:$I,"Mirage",'Таблиця 1'!$J:$J,"GBU-62")+SUMIFS('Таблиця 1'!$K:$K,'Таблиця 1'!$B:$B,$A328,'Таблиця 1'!$I:$I,"F-16",'Таблиця 1'!$J:$J,"GBU-62")+SUMIFS('Таблиця 1'!$K:$K,'Таблиця 1'!$B:$B,$A328,'Таблиця 1'!$I:$I,"МіГ-29",'Таблиця 1'!$J:$J,"GBU-62")+SUMIFS('Таблиця 1'!$K:$K,'Таблиця 1'!$B:$B,$A328,'Таблиця 1'!$I:$I,"Су-25",'Таблиця 1'!$J:$J,"GBU-62")+SUMIFS('Таблиця 1'!$K:$K,'Таблиця 1'!$B:$B,$A328,'Таблиця 1'!$I:$I,"Су-27",'Таблиця 1'!$J:$J,"GBU-62"))</f>
        <v/>
      </c>
      <c r="N328">
        <f>IF($A328="","",SUMIFS('Таблиця 1'!$K:$K,'Таблиця 1'!$B:$B,$A328,'Таблиця 1'!$I:$I,"Mirage",'Таблиця 1'!$J:$J,"GBU-64")+SUMIFS('Таблиця 1'!$K:$K,'Таблиця 1'!$B:$B,$A328,'Таблиця 1'!$I:$I,"F-16",'Таблиця 1'!$J:$J,"GBU-64")+SUMIFS('Таблиця 1'!$K:$K,'Таблиця 1'!$B:$B,$A328,'Таблиця 1'!$I:$I,"МіГ-29",'Таблиця 1'!$J:$J,"GBU-64")+SUMIFS('Таблиця 1'!$K:$K,'Таблиця 1'!$B:$B,$A328,'Таблиця 1'!$I:$I,"Су-25",'Таблиця 1'!$J:$J,"GBU-64")+SUMIFS('Таблиця 1'!$K:$K,'Таблиця 1'!$B:$B,$A328,'Таблиця 1'!$I:$I,"Су-27",'Таблиця 1'!$J:$J,"GBU-64"))</f>
        <v/>
      </c>
      <c r="O328">
        <f>IF($A328="","",SUMIFS('Таблиця 1'!$K:$K,'Таблиця 1'!$B:$B,$A328,'Таблиця 1'!$I:$I,"Mirage",'Таблиця 1'!$J:$J,"C-13")+SUMIFS('Таблиця 1'!$K:$K,'Таблиця 1'!$B:$B,$A328,'Таблиця 1'!$I:$I,"F-16",'Таблиця 1'!$J:$J,"C-13")+SUMIFS('Таблиця 1'!$K:$K,'Таблиця 1'!$B:$B,$A328,'Таблиця 1'!$I:$I,"МіГ-29",'Таблиця 1'!$J:$J,"C-13")+SUMIFS('Таблиця 1'!$K:$K,'Таблиця 1'!$B:$B,$A328,'Таблиця 1'!$I:$I,"Су-25",'Таблиця 1'!$J:$J,"C-13")+SUMIFS('Таблиця 1'!$K:$K,'Таблиця 1'!$B:$B,$A328,'Таблиця 1'!$I:$I,"Су-27",'Таблиця 1'!$J:$J,"C-13"))</f>
        <v/>
      </c>
      <c r="P328">
        <f>IF($A328="","",SUMIFS('Таблиця 1'!$K:$K,'Таблиця 1'!$B:$B,$A328,'Таблиця 1'!$I:$I,"Mirage",'Таблиця 1'!$J:$J,"MK-32")+SUMIFS('Таблиця 1'!$K:$K,'Таблиця 1'!$B:$B,$A328,'Таблиця 1'!$I:$I,"F-16",'Таблиця 1'!$J:$J,"MK-32")+SUMIFS('Таблиця 1'!$K:$K,'Таблиця 1'!$B:$B,$A328,'Таблиця 1'!$I:$I,"МіГ-29",'Таблиця 1'!$J:$J,"MK-32")+SUMIFS('Таблиця 1'!$K:$K,'Таблиця 1'!$B:$B,$A328,'Таблиця 1'!$I:$I,"Су-25",'Таблиця 1'!$J:$J,"MK-32")+SUMIFS('Таблиця 1'!$K:$K,'Таблиця 1'!$B:$B,$A328,'Таблиця 1'!$I:$I,"Су-27",'Таблиця 1'!$J:$J,"MK-32"))</f>
        <v/>
      </c>
      <c r="Q328">
        <f>IF($A328="","",SUMIFS('Таблиця 1'!$K:$K,'Таблиця 1'!$B:$B,$A328,'Таблиця 1'!$I:$I,"Mirage",'Таблиця 1'!$J:$J,"MK-24")+SUMIFS('Таблиця 1'!$K:$K,'Таблиця 1'!$B:$B,$A328,'Таблиця 1'!$I:$I,"F-16",'Таблиця 1'!$J:$J,"MK-24")+SUMIFS('Таблиця 1'!$K:$K,'Таблиця 1'!$B:$B,$A328,'Таблиця 1'!$I:$I,"МіГ-29",'Таблиця 1'!$J:$J,"MK-24")+SUMIFS('Таблиця 1'!$K:$K,'Таблиця 1'!$B:$B,$A328,'Таблиця 1'!$I:$I,"Су-25",'Таблиця 1'!$J:$J,"MK-24")+SUMIFS('Таблиця 1'!$K:$K,'Таблиця 1'!$B:$B,$A328,'Таблиця 1'!$I:$I,"Су-27",'Таблиця 1'!$J:$J,"MK-24"))</f>
        <v/>
      </c>
      <c r="R328">
        <f>IF($A328="","",COUNTIFS('Таблиця 1'!$B:$B,$A328,'Таблиця 1'!$I:$I,"Mirage",'Таблиця 1'!$L:$L,"Уражено")+COUNTIFS('Таблиця 1'!$B:$B,$A328,'Таблиця 1'!$I:$I,"F-16",'Таблиця 1'!$L:$L,"Уражено")+COUNTIFS('Таблиця 1'!$B:$B,$A328,'Таблиця 1'!$I:$I,"МіГ-29",'Таблиця 1'!$L:$L,"Уражено")+COUNTIFS('Таблиця 1'!$B:$B,$A328,'Таблиця 1'!$I:$I,"Су-25",'Таблиця 1'!$L:$L,"Уражено")+COUNTIFS('Таблиця 1'!$B:$B,$A328,'Таблиця 1'!$I:$I,"Су-27",'Таблиця 1'!$L:$L,"Уражено"))</f>
        <v/>
      </c>
      <c r="S328">
        <f>IF($A328="","",COUNTIFS('Таблиця 1'!$B:$B,$A328,'Таблиця 1'!$I:$I,"Mirage",'Таблиця 1'!$L:$L,"НЕ уражено")+COUNTIFS('Таблиця 1'!$B:$B,$A328,'Таблиця 1'!$I:$I,"F-16",'Таблиця 1'!$L:$L,"НЕ уражено")+COUNTIFS('Таблиця 1'!$B:$B,$A328,'Таблиця 1'!$I:$I,"МіГ-29",'Таблиця 1'!$L:$L,"НЕ уражено")+COUNTIFS('Таблиця 1'!$B:$B,$A328,'Таблиця 1'!$I:$I,"Су-25",'Таблиця 1'!$L:$L,"НЕ уражено")+COUNTIFS('Таблиця 1'!$B:$B,$A328,'Таблиця 1'!$I:$I,"Су-27",'Таблиця 1'!$L:$L,"НЕ уражено"))</f>
        <v/>
      </c>
      <c r="T328">
        <f>IF($A328="","",COUNTIFS('Таблиця 1'!$B:$B,$A328,'Таблиця 1'!$I:$I,"Mirage",'Таблиця 1'!$L:$L,"Дорозвідується")+COUNTIFS('Таблиця 1'!$B:$B,$A328,'Таблиця 1'!$I:$I,"F-16",'Таблиця 1'!$L:$L,"Дорозвідується")+COUNTIFS('Таблиця 1'!$B:$B,$A328,'Таблиця 1'!$I:$I,"МіГ-29",'Таблиця 1'!$L:$L,"Дорозвідується")+COUNTIFS('Таблиця 1'!$B:$B,$A328,'Таблиця 1'!$I:$I,"Су-25",'Таблиця 1'!$L:$L,"Дорозвідується")+COUNTIFS('Таблиця 1'!$B:$B,$A328,'Таблиця 1'!$I:$I,"Су-27",'Таблиця 1'!$L:$L,"Дорозвідується"))</f>
        <v/>
      </c>
    </row>
    <row r="329">
      <c r="A329" s="273">
        <f>IF(A328="","",IF(A328+1&gt;MAX('Таблиця 1'!$B:$B),"",A328+1))</f>
        <v/>
      </c>
      <c r="B329">
        <f>IF($A329="","",COUNTIFS('Таблиця 1'!$B:$B,$A329,'Таблиця 1'!$I:$I,"Mirage")+COUNTIFS('Таблиця 1'!$B:$B,$A329,'Таблиця 1'!$I:$I,"F-16")+COUNTIFS('Таблиця 1'!$B:$B,$A329,'Таблиця 1'!$I:$I,"МіГ-29")+COUNTIFS('Таблиця 1'!$B:$B,$A329,'Таблиця 1'!$I:$I,"Су-25")+COUNTIFS('Таблиця 1'!$B:$B,$A329,'Таблиця 1'!$I:$I,"Су-27"))</f>
        <v/>
      </c>
      <c r="C329">
        <f>IF($A329="","",COUNTIFS('Таблиця 1'!$B:$B,$A329,'Таблиця 1'!$I:$I,"Mirage"))</f>
        <v/>
      </c>
      <c r="D329">
        <f>IF($A329="","",COUNTIFS('Таблиця 1'!$B:$B,$A329,'Таблиця 1'!$I:$I,"F-16"))</f>
        <v/>
      </c>
      <c r="E329">
        <f>IF($A329="","",COUNTIFS('Таблиця 1'!$B:$B,$A329,'Таблиця 1'!$I:$I,"МіГ-29"))</f>
        <v/>
      </c>
      <c r="F329">
        <f>IF($A329="","",COUNTIFS('Таблиця 1'!$B:$B,$A329,'Таблиця 1'!$I:$I,"Су-25"))</f>
        <v/>
      </c>
      <c r="G329">
        <f>IF($A329="","",COUNTIFS('Таблиця 1'!$B:$B,$A329,'Таблиця 1'!$I:$I,"Су-27"))</f>
        <v/>
      </c>
      <c r="H329">
        <f>IF($A329="","",SUMIFS('Таблиця 1'!$K:$K,'Таблиця 1'!$B:$B,$A329,'Таблиця 1'!$I:$I,"Mirage",'Таблиця 1'!$J:$J,"AGM-88")+SUMIFS('Таблиця 1'!$K:$K,'Таблиця 1'!$B:$B,$A329,'Таблиця 1'!$I:$I,"F-16",'Таблиця 1'!$J:$J,"AGM-88")+SUMIFS('Таблиця 1'!$K:$K,'Таблиця 1'!$B:$B,$A329,'Таблиця 1'!$I:$I,"МіГ-29",'Таблиця 1'!$J:$J,"AGM-88")+SUMIFS('Таблиця 1'!$K:$K,'Таблиця 1'!$B:$B,$A329,'Таблиця 1'!$I:$I,"Су-25",'Таблиця 1'!$J:$J,"AGM-88")+SUMIFS('Таблиця 1'!$K:$K,'Таблиця 1'!$B:$B,$A329,'Таблиця 1'!$I:$I,"Су-27",'Таблиця 1'!$J:$J,"AGM-88"))</f>
        <v/>
      </c>
      <c r="I329">
        <f>IF($A329="","",SUMIFS('Таблиця 1'!$K:$K,'Таблиця 1'!$B:$B,$A329,'Таблиця 1'!$I:$I,"Mirage",'Таблиця 1'!$J:$J,"AASM-250")+SUMIFS('Таблиця 1'!$K:$K,'Таблиця 1'!$B:$B,$A329,'Таблиця 1'!$I:$I,"F-16",'Таблиця 1'!$J:$J,"AASM-250")+SUMIFS('Таблиця 1'!$K:$K,'Таблиця 1'!$B:$B,$A329,'Таблиця 1'!$I:$I,"МіГ-29",'Таблиця 1'!$J:$J,"AASM-250")+SUMIFS('Таблиця 1'!$K:$K,'Таблиця 1'!$B:$B,$A329,'Таблиця 1'!$I:$I,"Су-25",'Таблиця 1'!$J:$J,"AASM-250")+SUMIFS('Таблиця 1'!$K:$K,'Таблиця 1'!$B:$B,$A329,'Таблиця 1'!$I:$I,"Су-27",'Таблиця 1'!$J:$J,"AASM-250"))</f>
        <v/>
      </c>
      <c r="J329">
        <f>IF($A329="","",SUMIFS('Таблиця 1'!$K:$K,'Таблиця 1'!$B:$B,$A329,'Таблиця 1'!$I:$I,"Mirage",'Таблиця 1'!$J:$J,"GBU-39")+SUMIFS('Таблиця 1'!$K:$K,'Таблиця 1'!$B:$B,$A329,'Таблиця 1'!$I:$I,"F-16",'Таблиця 1'!$J:$J,"GBU-39")+SUMIFS('Таблиця 1'!$K:$K,'Таблиця 1'!$B:$B,$A329,'Таблиця 1'!$I:$I,"МіГ-29",'Таблиця 1'!$J:$J,"GBU-39")+SUMIFS('Таблиця 1'!$K:$K,'Таблиця 1'!$B:$B,$A329,'Таблиця 1'!$I:$I,"Су-25",'Таблиця 1'!$J:$J,"GBU-39")+SUMIFS('Таблиця 1'!$K:$K,'Таблиця 1'!$B:$B,$A329,'Таблиця 1'!$I:$I,"Су-27",'Таблиця 1'!$J:$J,"GBU-39"))</f>
        <v/>
      </c>
      <c r="K329">
        <f>IF($A329="","",SUMIFS('Таблиця 1'!$K:$K,'Таблиця 1'!$B:$B,$A329,'Таблиця 1'!$I:$I,"Mirage",'Таблиця 1'!$J:$J,"BLU-140")+SUMIFS('Таблиця 1'!$K:$K,'Таблиця 1'!$B:$B,$A329,'Таблиця 1'!$I:$I,"F-16",'Таблиця 1'!$J:$J,"BLU-140")+SUMIFS('Таблиця 1'!$K:$K,'Таблиця 1'!$B:$B,$A329,'Таблиця 1'!$I:$I,"МіГ-29",'Таблиця 1'!$J:$J,"BLU-140")+SUMIFS('Таблиця 1'!$K:$K,'Таблиця 1'!$B:$B,$A329,'Таблиця 1'!$I:$I,"Су-25",'Таблиця 1'!$J:$J,"BLU-140")+SUMIFS('Таблиця 1'!$K:$K,'Таблиця 1'!$B:$B,$A329,'Таблиця 1'!$I:$I,"Су-27",'Таблиця 1'!$J:$J,"BLU-140"))</f>
        <v/>
      </c>
      <c r="L329">
        <f>IF($A329="","",SUMIFS('Таблиця 1'!$K:$K,'Таблиця 1'!$B:$B,$A329,'Таблиця 1'!$I:$I,"Mirage",'Таблиця 1'!$J:$J,"GBU-65")+SUMIFS('Таблиця 1'!$K:$K,'Таблиця 1'!$B:$B,$A329,'Таблиця 1'!$I:$I,"F-16",'Таблиця 1'!$J:$J,"GBU-65")+SUMIFS('Таблиця 1'!$K:$K,'Таблиця 1'!$B:$B,$A329,'Таблиця 1'!$I:$I,"МіГ-29",'Таблиця 1'!$J:$J,"GBU-65")+SUMIFS('Таблиця 1'!$K:$K,'Таблиця 1'!$B:$B,$A329,'Таблиця 1'!$I:$I,"Су-25",'Таблиця 1'!$J:$J,"GBU-65")+SUMIFS('Таблиця 1'!$K:$K,'Таблиця 1'!$B:$B,$A329,'Таблиця 1'!$I:$I,"Су-27",'Таблиця 1'!$J:$J,"GBU-65"))</f>
        <v/>
      </c>
      <c r="M329">
        <f>IF($A329="","",SUMIFS('Таблиця 1'!$K:$K,'Таблиця 1'!$B:$B,$A329,'Таблиця 1'!$I:$I,"Mirage",'Таблиця 1'!$J:$J,"GBU-62")+SUMIFS('Таблиця 1'!$K:$K,'Таблиця 1'!$B:$B,$A329,'Таблиця 1'!$I:$I,"F-16",'Таблиця 1'!$J:$J,"GBU-62")+SUMIFS('Таблиця 1'!$K:$K,'Таблиця 1'!$B:$B,$A329,'Таблиця 1'!$I:$I,"МіГ-29",'Таблиця 1'!$J:$J,"GBU-62")+SUMIFS('Таблиця 1'!$K:$K,'Таблиця 1'!$B:$B,$A329,'Таблиця 1'!$I:$I,"Су-25",'Таблиця 1'!$J:$J,"GBU-62")+SUMIFS('Таблиця 1'!$K:$K,'Таблиця 1'!$B:$B,$A329,'Таблиця 1'!$I:$I,"Су-27",'Таблиця 1'!$J:$J,"GBU-62"))</f>
        <v/>
      </c>
      <c r="N329">
        <f>IF($A329="","",SUMIFS('Таблиця 1'!$K:$K,'Таблиця 1'!$B:$B,$A329,'Таблиця 1'!$I:$I,"Mirage",'Таблиця 1'!$J:$J,"GBU-64")+SUMIFS('Таблиця 1'!$K:$K,'Таблиця 1'!$B:$B,$A329,'Таблиця 1'!$I:$I,"F-16",'Таблиця 1'!$J:$J,"GBU-64")+SUMIFS('Таблиця 1'!$K:$K,'Таблиця 1'!$B:$B,$A329,'Таблиця 1'!$I:$I,"МіГ-29",'Таблиця 1'!$J:$J,"GBU-64")+SUMIFS('Таблиця 1'!$K:$K,'Таблиця 1'!$B:$B,$A329,'Таблиця 1'!$I:$I,"Су-25",'Таблиця 1'!$J:$J,"GBU-64")+SUMIFS('Таблиця 1'!$K:$K,'Таблиця 1'!$B:$B,$A329,'Таблиця 1'!$I:$I,"Су-27",'Таблиця 1'!$J:$J,"GBU-64"))</f>
        <v/>
      </c>
      <c r="O329">
        <f>IF($A329="","",SUMIFS('Таблиця 1'!$K:$K,'Таблиця 1'!$B:$B,$A329,'Таблиця 1'!$I:$I,"Mirage",'Таблиця 1'!$J:$J,"C-13")+SUMIFS('Таблиця 1'!$K:$K,'Таблиця 1'!$B:$B,$A329,'Таблиця 1'!$I:$I,"F-16",'Таблиця 1'!$J:$J,"C-13")+SUMIFS('Таблиця 1'!$K:$K,'Таблиця 1'!$B:$B,$A329,'Таблиця 1'!$I:$I,"МіГ-29",'Таблиця 1'!$J:$J,"C-13")+SUMIFS('Таблиця 1'!$K:$K,'Таблиця 1'!$B:$B,$A329,'Таблиця 1'!$I:$I,"Су-25",'Таблиця 1'!$J:$J,"C-13")+SUMIFS('Таблиця 1'!$K:$K,'Таблиця 1'!$B:$B,$A329,'Таблиця 1'!$I:$I,"Су-27",'Таблиця 1'!$J:$J,"C-13"))</f>
        <v/>
      </c>
      <c r="P329">
        <f>IF($A329="","",SUMIFS('Таблиця 1'!$K:$K,'Таблиця 1'!$B:$B,$A329,'Таблиця 1'!$I:$I,"Mirage",'Таблиця 1'!$J:$J,"MK-32")+SUMIFS('Таблиця 1'!$K:$K,'Таблиця 1'!$B:$B,$A329,'Таблиця 1'!$I:$I,"F-16",'Таблиця 1'!$J:$J,"MK-32")+SUMIFS('Таблиця 1'!$K:$K,'Таблиця 1'!$B:$B,$A329,'Таблиця 1'!$I:$I,"МіГ-29",'Таблиця 1'!$J:$J,"MK-32")+SUMIFS('Таблиця 1'!$K:$K,'Таблиця 1'!$B:$B,$A329,'Таблиця 1'!$I:$I,"Су-25",'Таблиця 1'!$J:$J,"MK-32")+SUMIFS('Таблиця 1'!$K:$K,'Таблиця 1'!$B:$B,$A329,'Таблиця 1'!$I:$I,"Су-27",'Таблиця 1'!$J:$J,"MK-32"))</f>
        <v/>
      </c>
      <c r="Q329">
        <f>IF($A329="","",SUMIFS('Таблиця 1'!$K:$K,'Таблиця 1'!$B:$B,$A329,'Таблиця 1'!$I:$I,"Mirage",'Таблиця 1'!$J:$J,"MK-24")+SUMIFS('Таблиця 1'!$K:$K,'Таблиця 1'!$B:$B,$A329,'Таблиця 1'!$I:$I,"F-16",'Таблиця 1'!$J:$J,"MK-24")+SUMIFS('Таблиця 1'!$K:$K,'Таблиця 1'!$B:$B,$A329,'Таблиця 1'!$I:$I,"МіГ-29",'Таблиця 1'!$J:$J,"MK-24")+SUMIFS('Таблиця 1'!$K:$K,'Таблиця 1'!$B:$B,$A329,'Таблиця 1'!$I:$I,"Су-25",'Таблиця 1'!$J:$J,"MK-24")+SUMIFS('Таблиця 1'!$K:$K,'Таблиця 1'!$B:$B,$A329,'Таблиця 1'!$I:$I,"Су-27",'Таблиця 1'!$J:$J,"MK-24"))</f>
        <v/>
      </c>
      <c r="R329">
        <f>IF($A329="","",COUNTIFS('Таблиця 1'!$B:$B,$A329,'Таблиця 1'!$I:$I,"Mirage",'Таблиця 1'!$L:$L,"Уражено")+COUNTIFS('Таблиця 1'!$B:$B,$A329,'Таблиця 1'!$I:$I,"F-16",'Таблиця 1'!$L:$L,"Уражено")+COUNTIFS('Таблиця 1'!$B:$B,$A329,'Таблиця 1'!$I:$I,"МіГ-29",'Таблиця 1'!$L:$L,"Уражено")+COUNTIFS('Таблиця 1'!$B:$B,$A329,'Таблиця 1'!$I:$I,"Су-25",'Таблиця 1'!$L:$L,"Уражено")+COUNTIFS('Таблиця 1'!$B:$B,$A329,'Таблиця 1'!$I:$I,"Су-27",'Таблиця 1'!$L:$L,"Уражено"))</f>
        <v/>
      </c>
      <c r="S329">
        <f>IF($A329="","",COUNTIFS('Таблиця 1'!$B:$B,$A329,'Таблиця 1'!$I:$I,"Mirage",'Таблиця 1'!$L:$L,"НЕ уражено")+COUNTIFS('Таблиця 1'!$B:$B,$A329,'Таблиця 1'!$I:$I,"F-16",'Таблиця 1'!$L:$L,"НЕ уражено")+COUNTIFS('Таблиця 1'!$B:$B,$A329,'Таблиця 1'!$I:$I,"МіГ-29",'Таблиця 1'!$L:$L,"НЕ уражено")+COUNTIFS('Таблиця 1'!$B:$B,$A329,'Таблиця 1'!$I:$I,"Су-25",'Таблиця 1'!$L:$L,"НЕ уражено")+COUNTIFS('Таблиця 1'!$B:$B,$A329,'Таблиця 1'!$I:$I,"Су-27",'Таблиця 1'!$L:$L,"НЕ уражено"))</f>
        <v/>
      </c>
      <c r="T329">
        <f>IF($A329="","",COUNTIFS('Таблиця 1'!$B:$B,$A329,'Таблиця 1'!$I:$I,"Mirage",'Таблиця 1'!$L:$L,"Дорозвідується")+COUNTIFS('Таблиця 1'!$B:$B,$A329,'Таблиця 1'!$I:$I,"F-16",'Таблиця 1'!$L:$L,"Дорозвідується")+COUNTIFS('Таблиця 1'!$B:$B,$A329,'Таблиця 1'!$I:$I,"МіГ-29",'Таблиця 1'!$L:$L,"Дорозвідується")+COUNTIFS('Таблиця 1'!$B:$B,$A329,'Таблиця 1'!$I:$I,"Су-25",'Таблиця 1'!$L:$L,"Дорозвідується")+COUNTIFS('Таблиця 1'!$B:$B,$A329,'Таблиця 1'!$I:$I,"Су-27",'Таблиця 1'!$L:$L,"Дорозвідується"))</f>
        <v/>
      </c>
    </row>
    <row r="330">
      <c r="A330" s="273">
        <f>IF(A329="","",IF(A329+1&gt;MAX('Таблиця 1'!$B:$B),"",A329+1))</f>
        <v/>
      </c>
      <c r="B330">
        <f>IF($A330="","",COUNTIFS('Таблиця 1'!$B:$B,$A330,'Таблиця 1'!$I:$I,"Mirage")+COUNTIFS('Таблиця 1'!$B:$B,$A330,'Таблиця 1'!$I:$I,"F-16")+COUNTIFS('Таблиця 1'!$B:$B,$A330,'Таблиця 1'!$I:$I,"МіГ-29")+COUNTIFS('Таблиця 1'!$B:$B,$A330,'Таблиця 1'!$I:$I,"Су-25")+COUNTIFS('Таблиця 1'!$B:$B,$A330,'Таблиця 1'!$I:$I,"Су-27"))</f>
        <v/>
      </c>
      <c r="C330">
        <f>IF($A330="","",COUNTIFS('Таблиця 1'!$B:$B,$A330,'Таблиця 1'!$I:$I,"Mirage"))</f>
        <v/>
      </c>
      <c r="D330">
        <f>IF($A330="","",COUNTIFS('Таблиця 1'!$B:$B,$A330,'Таблиця 1'!$I:$I,"F-16"))</f>
        <v/>
      </c>
      <c r="E330">
        <f>IF($A330="","",COUNTIFS('Таблиця 1'!$B:$B,$A330,'Таблиця 1'!$I:$I,"МіГ-29"))</f>
        <v/>
      </c>
      <c r="F330">
        <f>IF($A330="","",COUNTIFS('Таблиця 1'!$B:$B,$A330,'Таблиця 1'!$I:$I,"Су-25"))</f>
        <v/>
      </c>
      <c r="G330">
        <f>IF($A330="","",COUNTIFS('Таблиця 1'!$B:$B,$A330,'Таблиця 1'!$I:$I,"Су-27"))</f>
        <v/>
      </c>
      <c r="H330">
        <f>IF($A330="","",SUMIFS('Таблиця 1'!$K:$K,'Таблиця 1'!$B:$B,$A330,'Таблиця 1'!$I:$I,"Mirage",'Таблиця 1'!$J:$J,"AGM-88")+SUMIFS('Таблиця 1'!$K:$K,'Таблиця 1'!$B:$B,$A330,'Таблиця 1'!$I:$I,"F-16",'Таблиця 1'!$J:$J,"AGM-88")+SUMIFS('Таблиця 1'!$K:$K,'Таблиця 1'!$B:$B,$A330,'Таблиця 1'!$I:$I,"МіГ-29",'Таблиця 1'!$J:$J,"AGM-88")+SUMIFS('Таблиця 1'!$K:$K,'Таблиця 1'!$B:$B,$A330,'Таблиця 1'!$I:$I,"Су-25",'Таблиця 1'!$J:$J,"AGM-88")+SUMIFS('Таблиця 1'!$K:$K,'Таблиця 1'!$B:$B,$A330,'Таблиця 1'!$I:$I,"Су-27",'Таблиця 1'!$J:$J,"AGM-88"))</f>
        <v/>
      </c>
      <c r="I330">
        <f>IF($A330="","",SUMIFS('Таблиця 1'!$K:$K,'Таблиця 1'!$B:$B,$A330,'Таблиця 1'!$I:$I,"Mirage",'Таблиця 1'!$J:$J,"AASM-250")+SUMIFS('Таблиця 1'!$K:$K,'Таблиця 1'!$B:$B,$A330,'Таблиця 1'!$I:$I,"F-16",'Таблиця 1'!$J:$J,"AASM-250")+SUMIFS('Таблиця 1'!$K:$K,'Таблиця 1'!$B:$B,$A330,'Таблиця 1'!$I:$I,"МіГ-29",'Таблиця 1'!$J:$J,"AASM-250")+SUMIFS('Таблиця 1'!$K:$K,'Таблиця 1'!$B:$B,$A330,'Таблиця 1'!$I:$I,"Су-25",'Таблиця 1'!$J:$J,"AASM-250")+SUMIFS('Таблиця 1'!$K:$K,'Таблиця 1'!$B:$B,$A330,'Таблиця 1'!$I:$I,"Су-27",'Таблиця 1'!$J:$J,"AASM-250"))</f>
        <v/>
      </c>
      <c r="J330">
        <f>IF($A330="","",SUMIFS('Таблиця 1'!$K:$K,'Таблиця 1'!$B:$B,$A330,'Таблиця 1'!$I:$I,"Mirage",'Таблиця 1'!$J:$J,"GBU-39")+SUMIFS('Таблиця 1'!$K:$K,'Таблиця 1'!$B:$B,$A330,'Таблиця 1'!$I:$I,"F-16",'Таблиця 1'!$J:$J,"GBU-39")+SUMIFS('Таблиця 1'!$K:$K,'Таблиця 1'!$B:$B,$A330,'Таблиця 1'!$I:$I,"МіГ-29",'Таблиця 1'!$J:$J,"GBU-39")+SUMIFS('Таблиця 1'!$K:$K,'Таблиця 1'!$B:$B,$A330,'Таблиця 1'!$I:$I,"Су-25",'Таблиця 1'!$J:$J,"GBU-39")+SUMIFS('Таблиця 1'!$K:$K,'Таблиця 1'!$B:$B,$A330,'Таблиця 1'!$I:$I,"Су-27",'Таблиця 1'!$J:$J,"GBU-39"))</f>
        <v/>
      </c>
      <c r="K330">
        <f>IF($A330="","",SUMIFS('Таблиця 1'!$K:$K,'Таблиця 1'!$B:$B,$A330,'Таблиця 1'!$I:$I,"Mirage",'Таблиця 1'!$J:$J,"BLU-140")+SUMIFS('Таблиця 1'!$K:$K,'Таблиця 1'!$B:$B,$A330,'Таблиця 1'!$I:$I,"F-16",'Таблиця 1'!$J:$J,"BLU-140")+SUMIFS('Таблиця 1'!$K:$K,'Таблиця 1'!$B:$B,$A330,'Таблиця 1'!$I:$I,"МіГ-29",'Таблиця 1'!$J:$J,"BLU-140")+SUMIFS('Таблиця 1'!$K:$K,'Таблиця 1'!$B:$B,$A330,'Таблиця 1'!$I:$I,"Су-25",'Таблиця 1'!$J:$J,"BLU-140")+SUMIFS('Таблиця 1'!$K:$K,'Таблиця 1'!$B:$B,$A330,'Таблиця 1'!$I:$I,"Су-27",'Таблиця 1'!$J:$J,"BLU-140"))</f>
        <v/>
      </c>
      <c r="L330">
        <f>IF($A330="","",SUMIFS('Таблиця 1'!$K:$K,'Таблиця 1'!$B:$B,$A330,'Таблиця 1'!$I:$I,"Mirage",'Таблиця 1'!$J:$J,"GBU-65")+SUMIFS('Таблиця 1'!$K:$K,'Таблиця 1'!$B:$B,$A330,'Таблиця 1'!$I:$I,"F-16",'Таблиця 1'!$J:$J,"GBU-65")+SUMIFS('Таблиця 1'!$K:$K,'Таблиця 1'!$B:$B,$A330,'Таблиця 1'!$I:$I,"МіГ-29",'Таблиця 1'!$J:$J,"GBU-65")+SUMIFS('Таблиця 1'!$K:$K,'Таблиця 1'!$B:$B,$A330,'Таблиця 1'!$I:$I,"Су-25",'Таблиця 1'!$J:$J,"GBU-65")+SUMIFS('Таблиця 1'!$K:$K,'Таблиця 1'!$B:$B,$A330,'Таблиця 1'!$I:$I,"Су-27",'Таблиця 1'!$J:$J,"GBU-65"))</f>
        <v/>
      </c>
      <c r="M330">
        <f>IF($A330="","",SUMIFS('Таблиця 1'!$K:$K,'Таблиця 1'!$B:$B,$A330,'Таблиця 1'!$I:$I,"Mirage",'Таблиця 1'!$J:$J,"GBU-62")+SUMIFS('Таблиця 1'!$K:$K,'Таблиця 1'!$B:$B,$A330,'Таблиця 1'!$I:$I,"F-16",'Таблиця 1'!$J:$J,"GBU-62")+SUMIFS('Таблиця 1'!$K:$K,'Таблиця 1'!$B:$B,$A330,'Таблиця 1'!$I:$I,"МіГ-29",'Таблиця 1'!$J:$J,"GBU-62")+SUMIFS('Таблиця 1'!$K:$K,'Таблиця 1'!$B:$B,$A330,'Таблиця 1'!$I:$I,"Су-25",'Таблиця 1'!$J:$J,"GBU-62")+SUMIFS('Таблиця 1'!$K:$K,'Таблиця 1'!$B:$B,$A330,'Таблиця 1'!$I:$I,"Су-27",'Таблиця 1'!$J:$J,"GBU-62"))</f>
        <v/>
      </c>
      <c r="N330">
        <f>IF($A330="","",SUMIFS('Таблиця 1'!$K:$K,'Таблиця 1'!$B:$B,$A330,'Таблиця 1'!$I:$I,"Mirage",'Таблиця 1'!$J:$J,"GBU-64")+SUMIFS('Таблиця 1'!$K:$K,'Таблиця 1'!$B:$B,$A330,'Таблиця 1'!$I:$I,"F-16",'Таблиця 1'!$J:$J,"GBU-64")+SUMIFS('Таблиця 1'!$K:$K,'Таблиця 1'!$B:$B,$A330,'Таблиця 1'!$I:$I,"МіГ-29",'Таблиця 1'!$J:$J,"GBU-64")+SUMIFS('Таблиця 1'!$K:$K,'Таблиця 1'!$B:$B,$A330,'Таблиця 1'!$I:$I,"Су-25",'Таблиця 1'!$J:$J,"GBU-64")+SUMIFS('Таблиця 1'!$K:$K,'Таблиця 1'!$B:$B,$A330,'Таблиця 1'!$I:$I,"Су-27",'Таблиця 1'!$J:$J,"GBU-64"))</f>
        <v/>
      </c>
      <c r="O330">
        <f>IF($A330="","",SUMIFS('Таблиця 1'!$K:$K,'Таблиця 1'!$B:$B,$A330,'Таблиця 1'!$I:$I,"Mirage",'Таблиця 1'!$J:$J,"C-13")+SUMIFS('Таблиця 1'!$K:$K,'Таблиця 1'!$B:$B,$A330,'Таблиця 1'!$I:$I,"F-16",'Таблиця 1'!$J:$J,"C-13")+SUMIFS('Таблиця 1'!$K:$K,'Таблиця 1'!$B:$B,$A330,'Таблиця 1'!$I:$I,"МіГ-29",'Таблиця 1'!$J:$J,"C-13")+SUMIFS('Таблиця 1'!$K:$K,'Таблиця 1'!$B:$B,$A330,'Таблиця 1'!$I:$I,"Су-25",'Таблиця 1'!$J:$J,"C-13")+SUMIFS('Таблиця 1'!$K:$K,'Таблиця 1'!$B:$B,$A330,'Таблиця 1'!$I:$I,"Су-27",'Таблиця 1'!$J:$J,"C-13"))</f>
        <v/>
      </c>
      <c r="P330">
        <f>IF($A330="","",SUMIFS('Таблиця 1'!$K:$K,'Таблиця 1'!$B:$B,$A330,'Таблиця 1'!$I:$I,"Mirage",'Таблиця 1'!$J:$J,"MK-32")+SUMIFS('Таблиця 1'!$K:$K,'Таблиця 1'!$B:$B,$A330,'Таблиця 1'!$I:$I,"F-16",'Таблиця 1'!$J:$J,"MK-32")+SUMIFS('Таблиця 1'!$K:$K,'Таблиця 1'!$B:$B,$A330,'Таблиця 1'!$I:$I,"МіГ-29",'Таблиця 1'!$J:$J,"MK-32")+SUMIFS('Таблиця 1'!$K:$K,'Таблиця 1'!$B:$B,$A330,'Таблиця 1'!$I:$I,"Су-25",'Таблиця 1'!$J:$J,"MK-32")+SUMIFS('Таблиця 1'!$K:$K,'Таблиця 1'!$B:$B,$A330,'Таблиця 1'!$I:$I,"Су-27",'Таблиця 1'!$J:$J,"MK-32"))</f>
        <v/>
      </c>
      <c r="Q330">
        <f>IF($A330="","",SUMIFS('Таблиця 1'!$K:$K,'Таблиця 1'!$B:$B,$A330,'Таблиця 1'!$I:$I,"Mirage",'Таблиця 1'!$J:$J,"MK-24")+SUMIFS('Таблиця 1'!$K:$K,'Таблиця 1'!$B:$B,$A330,'Таблиця 1'!$I:$I,"F-16",'Таблиця 1'!$J:$J,"MK-24")+SUMIFS('Таблиця 1'!$K:$K,'Таблиця 1'!$B:$B,$A330,'Таблиця 1'!$I:$I,"МіГ-29",'Таблиця 1'!$J:$J,"MK-24")+SUMIFS('Таблиця 1'!$K:$K,'Таблиця 1'!$B:$B,$A330,'Таблиця 1'!$I:$I,"Су-25",'Таблиця 1'!$J:$J,"MK-24")+SUMIFS('Таблиця 1'!$K:$K,'Таблиця 1'!$B:$B,$A330,'Таблиця 1'!$I:$I,"Су-27",'Таблиця 1'!$J:$J,"MK-24"))</f>
        <v/>
      </c>
      <c r="R330">
        <f>IF($A330="","",COUNTIFS('Таблиця 1'!$B:$B,$A330,'Таблиця 1'!$I:$I,"Mirage",'Таблиця 1'!$L:$L,"Уражено")+COUNTIFS('Таблиця 1'!$B:$B,$A330,'Таблиця 1'!$I:$I,"F-16",'Таблиця 1'!$L:$L,"Уражено")+COUNTIFS('Таблиця 1'!$B:$B,$A330,'Таблиця 1'!$I:$I,"МіГ-29",'Таблиця 1'!$L:$L,"Уражено")+COUNTIFS('Таблиця 1'!$B:$B,$A330,'Таблиця 1'!$I:$I,"Су-25",'Таблиця 1'!$L:$L,"Уражено")+COUNTIFS('Таблиця 1'!$B:$B,$A330,'Таблиця 1'!$I:$I,"Су-27",'Таблиця 1'!$L:$L,"Уражено"))</f>
        <v/>
      </c>
      <c r="S330">
        <f>IF($A330="","",COUNTIFS('Таблиця 1'!$B:$B,$A330,'Таблиця 1'!$I:$I,"Mirage",'Таблиця 1'!$L:$L,"НЕ уражено")+COUNTIFS('Таблиця 1'!$B:$B,$A330,'Таблиця 1'!$I:$I,"F-16",'Таблиця 1'!$L:$L,"НЕ уражено")+COUNTIFS('Таблиця 1'!$B:$B,$A330,'Таблиця 1'!$I:$I,"МіГ-29",'Таблиця 1'!$L:$L,"НЕ уражено")+COUNTIFS('Таблиця 1'!$B:$B,$A330,'Таблиця 1'!$I:$I,"Су-25",'Таблиця 1'!$L:$L,"НЕ уражено")+COUNTIFS('Таблиця 1'!$B:$B,$A330,'Таблиця 1'!$I:$I,"Су-27",'Таблиця 1'!$L:$L,"НЕ уражено"))</f>
        <v/>
      </c>
      <c r="T330">
        <f>IF($A330="","",COUNTIFS('Таблиця 1'!$B:$B,$A330,'Таблиця 1'!$I:$I,"Mirage",'Таблиця 1'!$L:$L,"Дорозвідується")+COUNTIFS('Таблиця 1'!$B:$B,$A330,'Таблиця 1'!$I:$I,"F-16",'Таблиця 1'!$L:$L,"Дорозвідується")+COUNTIFS('Таблиця 1'!$B:$B,$A330,'Таблиця 1'!$I:$I,"МіГ-29",'Таблиця 1'!$L:$L,"Дорозвідується")+COUNTIFS('Таблиця 1'!$B:$B,$A330,'Таблиця 1'!$I:$I,"Су-25",'Таблиця 1'!$L:$L,"Дорозвідується")+COUNTIFS('Таблиця 1'!$B:$B,$A330,'Таблиця 1'!$I:$I,"Су-27",'Таблиця 1'!$L:$L,"Дорозвідується"))</f>
        <v/>
      </c>
    </row>
    <row r="331">
      <c r="A331" s="273">
        <f>IF(A330="","",IF(A330+1&gt;MAX('Таблиця 1'!$B:$B),"",A330+1))</f>
        <v/>
      </c>
      <c r="B331">
        <f>IF($A331="","",COUNTIFS('Таблиця 1'!$B:$B,$A331,'Таблиця 1'!$I:$I,"Mirage")+COUNTIFS('Таблиця 1'!$B:$B,$A331,'Таблиця 1'!$I:$I,"F-16")+COUNTIFS('Таблиця 1'!$B:$B,$A331,'Таблиця 1'!$I:$I,"МіГ-29")+COUNTIFS('Таблиця 1'!$B:$B,$A331,'Таблиця 1'!$I:$I,"Су-25")+COUNTIFS('Таблиця 1'!$B:$B,$A331,'Таблиця 1'!$I:$I,"Су-27"))</f>
        <v/>
      </c>
      <c r="C331">
        <f>IF($A331="","",COUNTIFS('Таблиця 1'!$B:$B,$A331,'Таблиця 1'!$I:$I,"Mirage"))</f>
        <v/>
      </c>
      <c r="D331">
        <f>IF($A331="","",COUNTIFS('Таблиця 1'!$B:$B,$A331,'Таблиця 1'!$I:$I,"F-16"))</f>
        <v/>
      </c>
      <c r="E331">
        <f>IF($A331="","",COUNTIFS('Таблиця 1'!$B:$B,$A331,'Таблиця 1'!$I:$I,"МіГ-29"))</f>
        <v/>
      </c>
      <c r="F331">
        <f>IF($A331="","",COUNTIFS('Таблиця 1'!$B:$B,$A331,'Таблиця 1'!$I:$I,"Су-25"))</f>
        <v/>
      </c>
      <c r="G331">
        <f>IF($A331="","",COUNTIFS('Таблиця 1'!$B:$B,$A331,'Таблиця 1'!$I:$I,"Су-27"))</f>
        <v/>
      </c>
      <c r="H331">
        <f>IF($A331="","",SUMIFS('Таблиця 1'!$K:$K,'Таблиця 1'!$B:$B,$A331,'Таблиця 1'!$I:$I,"Mirage",'Таблиця 1'!$J:$J,"AGM-88")+SUMIFS('Таблиця 1'!$K:$K,'Таблиця 1'!$B:$B,$A331,'Таблиця 1'!$I:$I,"F-16",'Таблиця 1'!$J:$J,"AGM-88")+SUMIFS('Таблиця 1'!$K:$K,'Таблиця 1'!$B:$B,$A331,'Таблиця 1'!$I:$I,"МіГ-29",'Таблиця 1'!$J:$J,"AGM-88")+SUMIFS('Таблиця 1'!$K:$K,'Таблиця 1'!$B:$B,$A331,'Таблиця 1'!$I:$I,"Су-25",'Таблиця 1'!$J:$J,"AGM-88")+SUMIFS('Таблиця 1'!$K:$K,'Таблиця 1'!$B:$B,$A331,'Таблиця 1'!$I:$I,"Су-27",'Таблиця 1'!$J:$J,"AGM-88"))</f>
        <v/>
      </c>
      <c r="I331">
        <f>IF($A331="","",SUMIFS('Таблиця 1'!$K:$K,'Таблиця 1'!$B:$B,$A331,'Таблиця 1'!$I:$I,"Mirage",'Таблиця 1'!$J:$J,"AASM-250")+SUMIFS('Таблиця 1'!$K:$K,'Таблиця 1'!$B:$B,$A331,'Таблиця 1'!$I:$I,"F-16",'Таблиця 1'!$J:$J,"AASM-250")+SUMIFS('Таблиця 1'!$K:$K,'Таблиця 1'!$B:$B,$A331,'Таблиця 1'!$I:$I,"МіГ-29",'Таблиця 1'!$J:$J,"AASM-250")+SUMIFS('Таблиця 1'!$K:$K,'Таблиця 1'!$B:$B,$A331,'Таблиця 1'!$I:$I,"Су-25",'Таблиця 1'!$J:$J,"AASM-250")+SUMIFS('Таблиця 1'!$K:$K,'Таблиця 1'!$B:$B,$A331,'Таблиця 1'!$I:$I,"Су-27",'Таблиця 1'!$J:$J,"AASM-250"))</f>
        <v/>
      </c>
      <c r="J331">
        <f>IF($A331="","",SUMIFS('Таблиця 1'!$K:$K,'Таблиця 1'!$B:$B,$A331,'Таблиця 1'!$I:$I,"Mirage",'Таблиця 1'!$J:$J,"GBU-39")+SUMIFS('Таблиця 1'!$K:$K,'Таблиця 1'!$B:$B,$A331,'Таблиця 1'!$I:$I,"F-16",'Таблиця 1'!$J:$J,"GBU-39")+SUMIFS('Таблиця 1'!$K:$K,'Таблиця 1'!$B:$B,$A331,'Таблиця 1'!$I:$I,"МіГ-29",'Таблиця 1'!$J:$J,"GBU-39")+SUMIFS('Таблиця 1'!$K:$K,'Таблиця 1'!$B:$B,$A331,'Таблиця 1'!$I:$I,"Су-25",'Таблиця 1'!$J:$J,"GBU-39")+SUMIFS('Таблиця 1'!$K:$K,'Таблиця 1'!$B:$B,$A331,'Таблиця 1'!$I:$I,"Су-27",'Таблиця 1'!$J:$J,"GBU-39"))</f>
        <v/>
      </c>
      <c r="K331">
        <f>IF($A331="","",SUMIFS('Таблиця 1'!$K:$K,'Таблиця 1'!$B:$B,$A331,'Таблиця 1'!$I:$I,"Mirage",'Таблиця 1'!$J:$J,"BLU-140")+SUMIFS('Таблиця 1'!$K:$K,'Таблиця 1'!$B:$B,$A331,'Таблиця 1'!$I:$I,"F-16",'Таблиця 1'!$J:$J,"BLU-140")+SUMIFS('Таблиця 1'!$K:$K,'Таблиця 1'!$B:$B,$A331,'Таблиця 1'!$I:$I,"МіГ-29",'Таблиця 1'!$J:$J,"BLU-140")+SUMIFS('Таблиця 1'!$K:$K,'Таблиця 1'!$B:$B,$A331,'Таблиця 1'!$I:$I,"Су-25",'Таблиця 1'!$J:$J,"BLU-140")+SUMIFS('Таблиця 1'!$K:$K,'Таблиця 1'!$B:$B,$A331,'Таблиця 1'!$I:$I,"Су-27",'Таблиця 1'!$J:$J,"BLU-140"))</f>
        <v/>
      </c>
      <c r="L331">
        <f>IF($A331="","",SUMIFS('Таблиця 1'!$K:$K,'Таблиця 1'!$B:$B,$A331,'Таблиця 1'!$I:$I,"Mirage",'Таблиця 1'!$J:$J,"GBU-65")+SUMIFS('Таблиця 1'!$K:$K,'Таблиця 1'!$B:$B,$A331,'Таблиця 1'!$I:$I,"F-16",'Таблиця 1'!$J:$J,"GBU-65")+SUMIFS('Таблиця 1'!$K:$K,'Таблиця 1'!$B:$B,$A331,'Таблиця 1'!$I:$I,"МіГ-29",'Таблиця 1'!$J:$J,"GBU-65")+SUMIFS('Таблиця 1'!$K:$K,'Таблиця 1'!$B:$B,$A331,'Таблиця 1'!$I:$I,"Су-25",'Таблиця 1'!$J:$J,"GBU-65")+SUMIFS('Таблиця 1'!$K:$K,'Таблиця 1'!$B:$B,$A331,'Таблиця 1'!$I:$I,"Су-27",'Таблиця 1'!$J:$J,"GBU-65"))</f>
        <v/>
      </c>
      <c r="M331">
        <f>IF($A331="","",SUMIFS('Таблиця 1'!$K:$K,'Таблиця 1'!$B:$B,$A331,'Таблиця 1'!$I:$I,"Mirage",'Таблиця 1'!$J:$J,"GBU-62")+SUMIFS('Таблиця 1'!$K:$K,'Таблиця 1'!$B:$B,$A331,'Таблиця 1'!$I:$I,"F-16",'Таблиця 1'!$J:$J,"GBU-62")+SUMIFS('Таблиця 1'!$K:$K,'Таблиця 1'!$B:$B,$A331,'Таблиця 1'!$I:$I,"МіГ-29",'Таблиця 1'!$J:$J,"GBU-62")+SUMIFS('Таблиця 1'!$K:$K,'Таблиця 1'!$B:$B,$A331,'Таблиця 1'!$I:$I,"Су-25",'Таблиця 1'!$J:$J,"GBU-62")+SUMIFS('Таблиця 1'!$K:$K,'Таблиця 1'!$B:$B,$A331,'Таблиця 1'!$I:$I,"Су-27",'Таблиця 1'!$J:$J,"GBU-62"))</f>
        <v/>
      </c>
      <c r="N331">
        <f>IF($A331="","",SUMIFS('Таблиця 1'!$K:$K,'Таблиця 1'!$B:$B,$A331,'Таблиця 1'!$I:$I,"Mirage",'Таблиця 1'!$J:$J,"GBU-64")+SUMIFS('Таблиця 1'!$K:$K,'Таблиця 1'!$B:$B,$A331,'Таблиця 1'!$I:$I,"F-16",'Таблиця 1'!$J:$J,"GBU-64")+SUMIFS('Таблиця 1'!$K:$K,'Таблиця 1'!$B:$B,$A331,'Таблиця 1'!$I:$I,"МіГ-29",'Таблиця 1'!$J:$J,"GBU-64")+SUMIFS('Таблиця 1'!$K:$K,'Таблиця 1'!$B:$B,$A331,'Таблиця 1'!$I:$I,"Су-25",'Таблиця 1'!$J:$J,"GBU-64")+SUMIFS('Таблиця 1'!$K:$K,'Таблиця 1'!$B:$B,$A331,'Таблиця 1'!$I:$I,"Су-27",'Таблиця 1'!$J:$J,"GBU-64"))</f>
        <v/>
      </c>
      <c r="O331">
        <f>IF($A331="","",SUMIFS('Таблиця 1'!$K:$K,'Таблиця 1'!$B:$B,$A331,'Таблиця 1'!$I:$I,"Mirage",'Таблиця 1'!$J:$J,"C-13")+SUMIFS('Таблиця 1'!$K:$K,'Таблиця 1'!$B:$B,$A331,'Таблиця 1'!$I:$I,"F-16",'Таблиця 1'!$J:$J,"C-13")+SUMIFS('Таблиця 1'!$K:$K,'Таблиця 1'!$B:$B,$A331,'Таблиця 1'!$I:$I,"МіГ-29",'Таблиця 1'!$J:$J,"C-13")+SUMIFS('Таблиця 1'!$K:$K,'Таблиця 1'!$B:$B,$A331,'Таблиця 1'!$I:$I,"Су-25",'Таблиця 1'!$J:$J,"C-13")+SUMIFS('Таблиця 1'!$K:$K,'Таблиця 1'!$B:$B,$A331,'Таблиця 1'!$I:$I,"Су-27",'Таблиця 1'!$J:$J,"C-13"))</f>
        <v/>
      </c>
      <c r="P331">
        <f>IF($A331="","",SUMIFS('Таблиця 1'!$K:$K,'Таблиця 1'!$B:$B,$A331,'Таблиця 1'!$I:$I,"Mirage",'Таблиця 1'!$J:$J,"MK-32")+SUMIFS('Таблиця 1'!$K:$K,'Таблиця 1'!$B:$B,$A331,'Таблиця 1'!$I:$I,"F-16",'Таблиця 1'!$J:$J,"MK-32")+SUMIFS('Таблиця 1'!$K:$K,'Таблиця 1'!$B:$B,$A331,'Таблиця 1'!$I:$I,"МіГ-29",'Таблиця 1'!$J:$J,"MK-32")+SUMIFS('Таблиця 1'!$K:$K,'Таблиця 1'!$B:$B,$A331,'Таблиця 1'!$I:$I,"Су-25",'Таблиця 1'!$J:$J,"MK-32")+SUMIFS('Таблиця 1'!$K:$K,'Таблиця 1'!$B:$B,$A331,'Таблиця 1'!$I:$I,"Су-27",'Таблиця 1'!$J:$J,"MK-32"))</f>
        <v/>
      </c>
      <c r="Q331">
        <f>IF($A331="","",SUMIFS('Таблиця 1'!$K:$K,'Таблиця 1'!$B:$B,$A331,'Таблиця 1'!$I:$I,"Mirage",'Таблиця 1'!$J:$J,"MK-24")+SUMIFS('Таблиця 1'!$K:$K,'Таблиця 1'!$B:$B,$A331,'Таблиця 1'!$I:$I,"F-16",'Таблиця 1'!$J:$J,"MK-24")+SUMIFS('Таблиця 1'!$K:$K,'Таблиця 1'!$B:$B,$A331,'Таблиця 1'!$I:$I,"МіГ-29",'Таблиця 1'!$J:$J,"MK-24")+SUMIFS('Таблиця 1'!$K:$K,'Таблиця 1'!$B:$B,$A331,'Таблиця 1'!$I:$I,"Су-25",'Таблиця 1'!$J:$J,"MK-24")+SUMIFS('Таблиця 1'!$K:$K,'Таблиця 1'!$B:$B,$A331,'Таблиця 1'!$I:$I,"Су-27",'Таблиця 1'!$J:$J,"MK-24"))</f>
        <v/>
      </c>
      <c r="R331">
        <f>IF($A331="","",COUNTIFS('Таблиця 1'!$B:$B,$A331,'Таблиця 1'!$I:$I,"Mirage",'Таблиця 1'!$L:$L,"Уражено")+COUNTIFS('Таблиця 1'!$B:$B,$A331,'Таблиця 1'!$I:$I,"F-16",'Таблиця 1'!$L:$L,"Уражено")+COUNTIFS('Таблиця 1'!$B:$B,$A331,'Таблиця 1'!$I:$I,"МіГ-29",'Таблиця 1'!$L:$L,"Уражено")+COUNTIFS('Таблиця 1'!$B:$B,$A331,'Таблиця 1'!$I:$I,"Су-25",'Таблиця 1'!$L:$L,"Уражено")+COUNTIFS('Таблиця 1'!$B:$B,$A331,'Таблиця 1'!$I:$I,"Су-27",'Таблиця 1'!$L:$L,"Уражено"))</f>
        <v/>
      </c>
      <c r="S331">
        <f>IF($A331="","",COUNTIFS('Таблиця 1'!$B:$B,$A331,'Таблиця 1'!$I:$I,"Mirage",'Таблиця 1'!$L:$L,"НЕ уражено")+COUNTIFS('Таблиця 1'!$B:$B,$A331,'Таблиця 1'!$I:$I,"F-16",'Таблиця 1'!$L:$L,"НЕ уражено")+COUNTIFS('Таблиця 1'!$B:$B,$A331,'Таблиця 1'!$I:$I,"МіГ-29",'Таблиця 1'!$L:$L,"НЕ уражено")+COUNTIFS('Таблиця 1'!$B:$B,$A331,'Таблиця 1'!$I:$I,"Су-25",'Таблиця 1'!$L:$L,"НЕ уражено")+COUNTIFS('Таблиця 1'!$B:$B,$A331,'Таблиця 1'!$I:$I,"Су-27",'Таблиця 1'!$L:$L,"НЕ уражено"))</f>
        <v/>
      </c>
      <c r="T331">
        <f>IF($A331="","",COUNTIFS('Таблиця 1'!$B:$B,$A331,'Таблиця 1'!$I:$I,"Mirage",'Таблиця 1'!$L:$L,"Дорозвідується")+COUNTIFS('Таблиця 1'!$B:$B,$A331,'Таблиця 1'!$I:$I,"F-16",'Таблиця 1'!$L:$L,"Дорозвідується")+COUNTIFS('Таблиця 1'!$B:$B,$A331,'Таблиця 1'!$I:$I,"МіГ-29",'Таблиця 1'!$L:$L,"Дорозвідується")+COUNTIFS('Таблиця 1'!$B:$B,$A331,'Таблиця 1'!$I:$I,"Су-25",'Таблиця 1'!$L:$L,"Дорозвідується")+COUNTIFS('Таблиця 1'!$B:$B,$A331,'Таблиця 1'!$I:$I,"Су-27",'Таблиця 1'!$L:$L,"Дорозвідується"))</f>
        <v/>
      </c>
    </row>
    <row r="332">
      <c r="A332" s="273">
        <f>IF(A331="","",IF(A331+1&gt;MAX('Таблиця 1'!$B:$B),"",A331+1))</f>
        <v/>
      </c>
      <c r="B332">
        <f>IF($A332="","",COUNTIFS('Таблиця 1'!$B:$B,$A332,'Таблиця 1'!$I:$I,"Mirage")+COUNTIFS('Таблиця 1'!$B:$B,$A332,'Таблиця 1'!$I:$I,"F-16")+COUNTIFS('Таблиця 1'!$B:$B,$A332,'Таблиця 1'!$I:$I,"МіГ-29")+COUNTIFS('Таблиця 1'!$B:$B,$A332,'Таблиця 1'!$I:$I,"Су-25")+COUNTIFS('Таблиця 1'!$B:$B,$A332,'Таблиця 1'!$I:$I,"Су-27"))</f>
        <v/>
      </c>
      <c r="C332">
        <f>IF($A332="","",COUNTIFS('Таблиця 1'!$B:$B,$A332,'Таблиця 1'!$I:$I,"Mirage"))</f>
        <v/>
      </c>
      <c r="D332">
        <f>IF($A332="","",COUNTIFS('Таблиця 1'!$B:$B,$A332,'Таблиця 1'!$I:$I,"F-16"))</f>
        <v/>
      </c>
      <c r="E332">
        <f>IF($A332="","",COUNTIFS('Таблиця 1'!$B:$B,$A332,'Таблиця 1'!$I:$I,"МіГ-29"))</f>
        <v/>
      </c>
      <c r="F332">
        <f>IF($A332="","",COUNTIFS('Таблиця 1'!$B:$B,$A332,'Таблиця 1'!$I:$I,"Су-25"))</f>
        <v/>
      </c>
      <c r="G332">
        <f>IF($A332="","",COUNTIFS('Таблиця 1'!$B:$B,$A332,'Таблиця 1'!$I:$I,"Су-27"))</f>
        <v/>
      </c>
      <c r="H332">
        <f>IF($A332="","",SUMIFS('Таблиця 1'!$K:$K,'Таблиця 1'!$B:$B,$A332,'Таблиця 1'!$I:$I,"Mirage",'Таблиця 1'!$J:$J,"AGM-88")+SUMIFS('Таблиця 1'!$K:$K,'Таблиця 1'!$B:$B,$A332,'Таблиця 1'!$I:$I,"F-16",'Таблиця 1'!$J:$J,"AGM-88")+SUMIFS('Таблиця 1'!$K:$K,'Таблиця 1'!$B:$B,$A332,'Таблиця 1'!$I:$I,"МіГ-29",'Таблиця 1'!$J:$J,"AGM-88")+SUMIFS('Таблиця 1'!$K:$K,'Таблиця 1'!$B:$B,$A332,'Таблиця 1'!$I:$I,"Су-25",'Таблиця 1'!$J:$J,"AGM-88")+SUMIFS('Таблиця 1'!$K:$K,'Таблиця 1'!$B:$B,$A332,'Таблиця 1'!$I:$I,"Су-27",'Таблиця 1'!$J:$J,"AGM-88"))</f>
        <v/>
      </c>
      <c r="I332">
        <f>IF($A332="","",SUMIFS('Таблиця 1'!$K:$K,'Таблиця 1'!$B:$B,$A332,'Таблиця 1'!$I:$I,"Mirage",'Таблиця 1'!$J:$J,"AASM-250")+SUMIFS('Таблиця 1'!$K:$K,'Таблиця 1'!$B:$B,$A332,'Таблиця 1'!$I:$I,"F-16",'Таблиця 1'!$J:$J,"AASM-250")+SUMIFS('Таблиця 1'!$K:$K,'Таблиця 1'!$B:$B,$A332,'Таблиця 1'!$I:$I,"МіГ-29",'Таблиця 1'!$J:$J,"AASM-250")+SUMIFS('Таблиця 1'!$K:$K,'Таблиця 1'!$B:$B,$A332,'Таблиця 1'!$I:$I,"Су-25",'Таблиця 1'!$J:$J,"AASM-250")+SUMIFS('Таблиця 1'!$K:$K,'Таблиця 1'!$B:$B,$A332,'Таблиця 1'!$I:$I,"Су-27",'Таблиця 1'!$J:$J,"AASM-250"))</f>
        <v/>
      </c>
      <c r="J332">
        <f>IF($A332="","",SUMIFS('Таблиця 1'!$K:$K,'Таблиця 1'!$B:$B,$A332,'Таблиця 1'!$I:$I,"Mirage",'Таблиця 1'!$J:$J,"GBU-39")+SUMIFS('Таблиця 1'!$K:$K,'Таблиця 1'!$B:$B,$A332,'Таблиця 1'!$I:$I,"F-16",'Таблиця 1'!$J:$J,"GBU-39")+SUMIFS('Таблиця 1'!$K:$K,'Таблиця 1'!$B:$B,$A332,'Таблиця 1'!$I:$I,"МіГ-29",'Таблиця 1'!$J:$J,"GBU-39")+SUMIFS('Таблиця 1'!$K:$K,'Таблиця 1'!$B:$B,$A332,'Таблиця 1'!$I:$I,"Су-25",'Таблиця 1'!$J:$J,"GBU-39")+SUMIFS('Таблиця 1'!$K:$K,'Таблиця 1'!$B:$B,$A332,'Таблиця 1'!$I:$I,"Су-27",'Таблиця 1'!$J:$J,"GBU-39"))</f>
        <v/>
      </c>
      <c r="K332">
        <f>IF($A332="","",SUMIFS('Таблиця 1'!$K:$K,'Таблиця 1'!$B:$B,$A332,'Таблиця 1'!$I:$I,"Mirage",'Таблиця 1'!$J:$J,"BLU-140")+SUMIFS('Таблиця 1'!$K:$K,'Таблиця 1'!$B:$B,$A332,'Таблиця 1'!$I:$I,"F-16",'Таблиця 1'!$J:$J,"BLU-140")+SUMIFS('Таблиця 1'!$K:$K,'Таблиця 1'!$B:$B,$A332,'Таблиця 1'!$I:$I,"МіГ-29",'Таблиця 1'!$J:$J,"BLU-140")+SUMIFS('Таблиця 1'!$K:$K,'Таблиця 1'!$B:$B,$A332,'Таблиця 1'!$I:$I,"Су-25",'Таблиця 1'!$J:$J,"BLU-140")+SUMIFS('Таблиця 1'!$K:$K,'Таблиця 1'!$B:$B,$A332,'Таблиця 1'!$I:$I,"Су-27",'Таблиця 1'!$J:$J,"BLU-140"))</f>
        <v/>
      </c>
      <c r="L332">
        <f>IF($A332="","",SUMIFS('Таблиця 1'!$K:$K,'Таблиця 1'!$B:$B,$A332,'Таблиця 1'!$I:$I,"Mirage",'Таблиця 1'!$J:$J,"GBU-65")+SUMIFS('Таблиця 1'!$K:$K,'Таблиця 1'!$B:$B,$A332,'Таблиця 1'!$I:$I,"F-16",'Таблиця 1'!$J:$J,"GBU-65")+SUMIFS('Таблиця 1'!$K:$K,'Таблиця 1'!$B:$B,$A332,'Таблиця 1'!$I:$I,"МіГ-29",'Таблиця 1'!$J:$J,"GBU-65")+SUMIFS('Таблиця 1'!$K:$K,'Таблиця 1'!$B:$B,$A332,'Таблиця 1'!$I:$I,"Су-25",'Таблиця 1'!$J:$J,"GBU-65")+SUMIFS('Таблиця 1'!$K:$K,'Таблиця 1'!$B:$B,$A332,'Таблиця 1'!$I:$I,"Су-27",'Таблиця 1'!$J:$J,"GBU-65"))</f>
        <v/>
      </c>
      <c r="M332">
        <f>IF($A332="","",SUMIFS('Таблиця 1'!$K:$K,'Таблиця 1'!$B:$B,$A332,'Таблиця 1'!$I:$I,"Mirage",'Таблиця 1'!$J:$J,"GBU-62")+SUMIFS('Таблиця 1'!$K:$K,'Таблиця 1'!$B:$B,$A332,'Таблиця 1'!$I:$I,"F-16",'Таблиця 1'!$J:$J,"GBU-62")+SUMIFS('Таблиця 1'!$K:$K,'Таблиця 1'!$B:$B,$A332,'Таблиця 1'!$I:$I,"МіГ-29",'Таблиця 1'!$J:$J,"GBU-62")+SUMIFS('Таблиця 1'!$K:$K,'Таблиця 1'!$B:$B,$A332,'Таблиця 1'!$I:$I,"Су-25",'Таблиця 1'!$J:$J,"GBU-62")+SUMIFS('Таблиця 1'!$K:$K,'Таблиця 1'!$B:$B,$A332,'Таблиця 1'!$I:$I,"Су-27",'Таблиця 1'!$J:$J,"GBU-62"))</f>
        <v/>
      </c>
      <c r="N332">
        <f>IF($A332="","",SUMIFS('Таблиця 1'!$K:$K,'Таблиця 1'!$B:$B,$A332,'Таблиця 1'!$I:$I,"Mirage",'Таблиця 1'!$J:$J,"GBU-64")+SUMIFS('Таблиця 1'!$K:$K,'Таблиця 1'!$B:$B,$A332,'Таблиця 1'!$I:$I,"F-16",'Таблиця 1'!$J:$J,"GBU-64")+SUMIFS('Таблиця 1'!$K:$K,'Таблиця 1'!$B:$B,$A332,'Таблиця 1'!$I:$I,"МіГ-29",'Таблиця 1'!$J:$J,"GBU-64")+SUMIFS('Таблиця 1'!$K:$K,'Таблиця 1'!$B:$B,$A332,'Таблиця 1'!$I:$I,"Су-25",'Таблиця 1'!$J:$J,"GBU-64")+SUMIFS('Таблиця 1'!$K:$K,'Таблиця 1'!$B:$B,$A332,'Таблиця 1'!$I:$I,"Су-27",'Таблиця 1'!$J:$J,"GBU-64"))</f>
        <v/>
      </c>
      <c r="O332">
        <f>IF($A332="","",SUMIFS('Таблиця 1'!$K:$K,'Таблиця 1'!$B:$B,$A332,'Таблиця 1'!$I:$I,"Mirage",'Таблиця 1'!$J:$J,"C-13")+SUMIFS('Таблиця 1'!$K:$K,'Таблиця 1'!$B:$B,$A332,'Таблиця 1'!$I:$I,"F-16",'Таблиця 1'!$J:$J,"C-13")+SUMIFS('Таблиця 1'!$K:$K,'Таблиця 1'!$B:$B,$A332,'Таблиця 1'!$I:$I,"МіГ-29",'Таблиця 1'!$J:$J,"C-13")+SUMIFS('Таблиця 1'!$K:$K,'Таблиця 1'!$B:$B,$A332,'Таблиця 1'!$I:$I,"Су-25",'Таблиця 1'!$J:$J,"C-13")+SUMIFS('Таблиця 1'!$K:$K,'Таблиця 1'!$B:$B,$A332,'Таблиця 1'!$I:$I,"Су-27",'Таблиця 1'!$J:$J,"C-13"))</f>
        <v/>
      </c>
      <c r="P332">
        <f>IF($A332="","",SUMIFS('Таблиця 1'!$K:$K,'Таблиця 1'!$B:$B,$A332,'Таблиця 1'!$I:$I,"Mirage",'Таблиця 1'!$J:$J,"MK-32")+SUMIFS('Таблиця 1'!$K:$K,'Таблиця 1'!$B:$B,$A332,'Таблиця 1'!$I:$I,"F-16",'Таблиця 1'!$J:$J,"MK-32")+SUMIFS('Таблиця 1'!$K:$K,'Таблиця 1'!$B:$B,$A332,'Таблиця 1'!$I:$I,"МіГ-29",'Таблиця 1'!$J:$J,"MK-32")+SUMIFS('Таблиця 1'!$K:$K,'Таблиця 1'!$B:$B,$A332,'Таблиця 1'!$I:$I,"Су-25",'Таблиця 1'!$J:$J,"MK-32")+SUMIFS('Таблиця 1'!$K:$K,'Таблиця 1'!$B:$B,$A332,'Таблиця 1'!$I:$I,"Су-27",'Таблиця 1'!$J:$J,"MK-32"))</f>
        <v/>
      </c>
      <c r="Q332">
        <f>IF($A332="","",SUMIFS('Таблиця 1'!$K:$K,'Таблиця 1'!$B:$B,$A332,'Таблиця 1'!$I:$I,"Mirage",'Таблиця 1'!$J:$J,"MK-24")+SUMIFS('Таблиця 1'!$K:$K,'Таблиця 1'!$B:$B,$A332,'Таблиця 1'!$I:$I,"F-16",'Таблиця 1'!$J:$J,"MK-24")+SUMIFS('Таблиця 1'!$K:$K,'Таблиця 1'!$B:$B,$A332,'Таблиця 1'!$I:$I,"МіГ-29",'Таблиця 1'!$J:$J,"MK-24")+SUMIFS('Таблиця 1'!$K:$K,'Таблиця 1'!$B:$B,$A332,'Таблиця 1'!$I:$I,"Су-25",'Таблиця 1'!$J:$J,"MK-24")+SUMIFS('Таблиця 1'!$K:$K,'Таблиця 1'!$B:$B,$A332,'Таблиця 1'!$I:$I,"Су-27",'Таблиця 1'!$J:$J,"MK-24"))</f>
        <v/>
      </c>
      <c r="R332">
        <f>IF($A332="","",COUNTIFS('Таблиця 1'!$B:$B,$A332,'Таблиця 1'!$I:$I,"Mirage",'Таблиця 1'!$L:$L,"Уражено")+COUNTIFS('Таблиця 1'!$B:$B,$A332,'Таблиця 1'!$I:$I,"F-16",'Таблиця 1'!$L:$L,"Уражено")+COUNTIFS('Таблиця 1'!$B:$B,$A332,'Таблиця 1'!$I:$I,"МіГ-29",'Таблиця 1'!$L:$L,"Уражено")+COUNTIFS('Таблиця 1'!$B:$B,$A332,'Таблиця 1'!$I:$I,"Су-25",'Таблиця 1'!$L:$L,"Уражено")+COUNTIFS('Таблиця 1'!$B:$B,$A332,'Таблиця 1'!$I:$I,"Су-27",'Таблиця 1'!$L:$L,"Уражено"))</f>
        <v/>
      </c>
      <c r="S332">
        <f>IF($A332="","",COUNTIFS('Таблиця 1'!$B:$B,$A332,'Таблиця 1'!$I:$I,"Mirage",'Таблиця 1'!$L:$L,"НЕ уражено")+COUNTIFS('Таблиця 1'!$B:$B,$A332,'Таблиця 1'!$I:$I,"F-16",'Таблиця 1'!$L:$L,"НЕ уражено")+COUNTIFS('Таблиця 1'!$B:$B,$A332,'Таблиця 1'!$I:$I,"МіГ-29",'Таблиця 1'!$L:$L,"НЕ уражено")+COUNTIFS('Таблиця 1'!$B:$B,$A332,'Таблиця 1'!$I:$I,"Су-25",'Таблиця 1'!$L:$L,"НЕ уражено")+COUNTIFS('Таблиця 1'!$B:$B,$A332,'Таблиця 1'!$I:$I,"Су-27",'Таблиця 1'!$L:$L,"НЕ уражено"))</f>
        <v/>
      </c>
      <c r="T332">
        <f>IF($A332="","",COUNTIFS('Таблиця 1'!$B:$B,$A332,'Таблиця 1'!$I:$I,"Mirage",'Таблиця 1'!$L:$L,"Дорозвідується")+COUNTIFS('Таблиця 1'!$B:$B,$A332,'Таблиця 1'!$I:$I,"F-16",'Таблиця 1'!$L:$L,"Дорозвідується")+COUNTIFS('Таблиця 1'!$B:$B,$A332,'Таблиця 1'!$I:$I,"МіГ-29",'Таблиця 1'!$L:$L,"Дорозвідується")+COUNTIFS('Таблиця 1'!$B:$B,$A332,'Таблиця 1'!$I:$I,"Су-25",'Таблиця 1'!$L:$L,"Дорозвідується")+COUNTIFS('Таблиця 1'!$B:$B,$A332,'Таблиця 1'!$I:$I,"Су-27",'Таблиця 1'!$L:$L,"Дорозвідується"))</f>
        <v/>
      </c>
    </row>
    <row r="333">
      <c r="A333" s="273">
        <f>IF(A332="","",IF(A332+1&gt;MAX('Таблиця 1'!$B:$B),"",A332+1))</f>
        <v/>
      </c>
      <c r="B333">
        <f>IF($A333="","",COUNTIFS('Таблиця 1'!$B:$B,$A333,'Таблиця 1'!$I:$I,"Mirage")+COUNTIFS('Таблиця 1'!$B:$B,$A333,'Таблиця 1'!$I:$I,"F-16")+COUNTIFS('Таблиця 1'!$B:$B,$A333,'Таблиця 1'!$I:$I,"МіГ-29")+COUNTIFS('Таблиця 1'!$B:$B,$A333,'Таблиця 1'!$I:$I,"Су-25")+COUNTIFS('Таблиця 1'!$B:$B,$A333,'Таблиця 1'!$I:$I,"Су-27"))</f>
        <v/>
      </c>
      <c r="C333">
        <f>IF($A333="","",COUNTIFS('Таблиця 1'!$B:$B,$A333,'Таблиця 1'!$I:$I,"Mirage"))</f>
        <v/>
      </c>
      <c r="D333">
        <f>IF($A333="","",COUNTIFS('Таблиця 1'!$B:$B,$A333,'Таблиця 1'!$I:$I,"F-16"))</f>
        <v/>
      </c>
      <c r="E333">
        <f>IF($A333="","",COUNTIFS('Таблиця 1'!$B:$B,$A333,'Таблиця 1'!$I:$I,"МіГ-29"))</f>
        <v/>
      </c>
      <c r="F333">
        <f>IF($A333="","",COUNTIFS('Таблиця 1'!$B:$B,$A333,'Таблиця 1'!$I:$I,"Су-25"))</f>
        <v/>
      </c>
      <c r="G333">
        <f>IF($A333="","",COUNTIFS('Таблиця 1'!$B:$B,$A333,'Таблиця 1'!$I:$I,"Су-27"))</f>
        <v/>
      </c>
      <c r="H333">
        <f>IF($A333="","",SUMIFS('Таблиця 1'!$K:$K,'Таблиця 1'!$B:$B,$A333,'Таблиця 1'!$I:$I,"Mirage",'Таблиця 1'!$J:$J,"AGM-88")+SUMIFS('Таблиця 1'!$K:$K,'Таблиця 1'!$B:$B,$A333,'Таблиця 1'!$I:$I,"F-16",'Таблиця 1'!$J:$J,"AGM-88")+SUMIFS('Таблиця 1'!$K:$K,'Таблиця 1'!$B:$B,$A333,'Таблиця 1'!$I:$I,"МіГ-29",'Таблиця 1'!$J:$J,"AGM-88")+SUMIFS('Таблиця 1'!$K:$K,'Таблиця 1'!$B:$B,$A333,'Таблиця 1'!$I:$I,"Су-25",'Таблиця 1'!$J:$J,"AGM-88")+SUMIFS('Таблиця 1'!$K:$K,'Таблиця 1'!$B:$B,$A333,'Таблиця 1'!$I:$I,"Су-27",'Таблиця 1'!$J:$J,"AGM-88"))</f>
        <v/>
      </c>
      <c r="I333">
        <f>IF($A333="","",SUMIFS('Таблиця 1'!$K:$K,'Таблиця 1'!$B:$B,$A333,'Таблиця 1'!$I:$I,"Mirage",'Таблиця 1'!$J:$J,"AASM-250")+SUMIFS('Таблиця 1'!$K:$K,'Таблиця 1'!$B:$B,$A333,'Таблиця 1'!$I:$I,"F-16",'Таблиця 1'!$J:$J,"AASM-250")+SUMIFS('Таблиця 1'!$K:$K,'Таблиця 1'!$B:$B,$A333,'Таблиця 1'!$I:$I,"МіГ-29",'Таблиця 1'!$J:$J,"AASM-250")+SUMIFS('Таблиця 1'!$K:$K,'Таблиця 1'!$B:$B,$A333,'Таблиця 1'!$I:$I,"Су-25",'Таблиця 1'!$J:$J,"AASM-250")+SUMIFS('Таблиця 1'!$K:$K,'Таблиця 1'!$B:$B,$A333,'Таблиця 1'!$I:$I,"Су-27",'Таблиця 1'!$J:$J,"AASM-250"))</f>
        <v/>
      </c>
      <c r="J333">
        <f>IF($A333="","",SUMIFS('Таблиця 1'!$K:$K,'Таблиця 1'!$B:$B,$A333,'Таблиця 1'!$I:$I,"Mirage",'Таблиця 1'!$J:$J,"GBU-39")+SUMIFS('Таблиця 1'!$K:$K,'Таблиця 1'!$B:$B,$A333,'Таблиця 1'!$I:$I,"F-16",'Таблиця 1'!$J:$J,"GBU-39")+SUMIFS('Таблиця 1'!$K:$K,'Таблиця 1'!$B:$B,$A333,'Таблиця 1'!$I:$I,"МіГ-29",'Таблиця 1'!$J:$J,"GBU-39")+SUMIFS('Таблиця 1'!$K:$K,'Таблиця 1'!$B:$B,$A333,'Таблиця 1'!$I:$I,"Су-25",'Таблиця 1'!$J:$J,"GBU-39")+SUMIFS('Таблиця 1'!$K:$K,'Таблиця 1'!$B:$B,$A333,'Таблиця 1'!$I:$I,"Су-27",'Таблиця 1'!$J:$J,"GBU-39"))</f>
        <v/>
      </c>
      <c r="K333">
        <f>IF($A333="","",SUMIFS('Таблиця 1'!$K:$K,'Таблиця 1'!$B:$B,$A333,'Таблиця 1'!$I:$I,"Mirage",'Таблиця 1'!$J:$J,"BLU-140")+SUMIFS('Таблиця 1'!$K:$K,'Таблиця 1'!$B:$B,$A333,'Таблиця 1'!$I:$I,"F-16",'Таблиця 1'!$J:$J,"BLU-140")+SUMIFS('Таблиця 1'!$K:$K,'Таблиця 1'!$B:$B,$A333,'Таблиця 1'!$I:$I,"МіГ-29",'Таблиця 1'!$J:$J,"BLU-140")+SUMIFS('Таблиця 1'!$K:$K,'Таблиця 1'!$B:$B,$A333,'Таблиця 1'!$I:$I,"Су-25",'Таблиця 1'!$J:$J,"BLU-140")+SUMIFS('Таблиця 1'!$K:$K,'Таблиця 1'!$B:$B,$A333,'Таблиця 1'!$I:$I,"Су-27",'Таблиця 1'!$J:$J,"BLU-140"))</f>
        <v/>
      </c>
      <c r="L333">
        <f>IF($A333="","",SUMIFS('Таблиця 1'!$K:$K,'Таблиця 1'!$B:$B,$A333,'Таблиця 1'!$I:$I,"Mirage",'Таблиця 1'!$J:$J,"GBU-65")+SUMIFS('Таблиця 1'!$K:$K,'Таблиця 1'!$B:$B,$A333,'Таблиця 1'!$I:$I,"F-16",'Таблиця 1'!$J:$J,"GBU-65")+SUMIFS('Таблиця 1'!$K:$K,'Таблиця 1'!$B:$B,$A333,'Таблиця 1'!$I:$I,"МіГ-29",'Таблиця 1'!$J:$J,"GBU-65")+SUMIFS('Таблиця 1'!$K:$K,'Таблиця 1'!$B:$B,$A333,'Таблиця 1'!$I:$I,"Су-25",'Таблиця 1'!$J:$J,"GBU-65")+SUMIFS('Таблиця 1'!$K:$K,'Таблиця 1'!$B:$B,$A333,'Таблиця 1'!$I:$I,"Су-27",'Таблиця 1'!$J:$J,"GBU-65"))</f>
        <v/>
      </c>
      <c r="M333">
        <f>IF($A333="","",SUMIFS('Таблиця 1'!$K:$K,'Таблиця 1'!$B:$B,$A333,'Таблиця 1'!$I:$I,"Mirage",'Таблиця 1'!$J:$J,"GBU-62")+SUMIFS('Таблиця 1'!$K:$K,'Таблиця 1'!$B:$B,$A333,'Таблиця 1'!$I:$I,"F-16",'Таблиця 1'!$J:$J,"GBU-62")+SUMIFS('Таблиця 1'!$K:$K,'Таблиця 1'!$B:$B,$A333,'Таблиця 1'!$I:$I,"МіГ-29",'Таблиця 1'!$J:$J,"GBU-62")+SUMIFS('Таблиця 1'!$K:$K,'Таблиця 1'!$B:$B,$A333,'Таблиця 1'!$I:$I,"Су-25",'Таблиця 1'!$J:$J,"GBU-62")+SUMIFS('Таблиця 1'!$K:$K,'Таблиця 1'!$B:$B,$A333,'Таблиця 1'!$I:$I,"Су-27",'Таблиця 1'!$J:$J,"GBU-62"))</f>
        <v/>
      </c>
      <c r="N333">
        <f>IF($A333="","",SUMIFS('Таблиця 1'!$K:$K,'Таблиця 1'!$B:$B,$A333,'Таблиця 1'!$I:$I,"Mirage",'Таблиця 1'!$J:$J,"GBU-64")+SUMIFS('Таблиця 1'!$K:$K,'Таблиця 1'!$B:$B,$A333,'Таблиця 1'!$I:$I,"F-16",'Таблиця 1'!$J:$J,"GBU-64")+SUMIFS('Таблиця 1'!$K:$K,'Таблиця 1'!$B:$B,$A333,'Таблиця 1'!$I:$I,"МіГ-29",'Таблиця 1'!$J:$J,"GBU-64")+SUMIFS('Таблиця 1'!$K:$K,'Таблиця 1'!$B:$B,$A333,'Таблиця 1'!$I:$I,"Су-25",'Таблиця 1'!$J:$J,"GBU-64")+SUMIFS('Таблиця 1'!$K:$K,'Таблиця 1'!$B:$B,$A333,'Таблиця 1'!$I:$I,"Су-27",'Таблиця 1'!$J:$J,"GBU-64"))</f>
        <v/>
      </c>
      <c r="O333">
        <f>IF($A333="","",SUMIFS('Таблиця 1'!$K:$K,'Таблиця 1'!$B:$B,$A333,'Таблиця 1'!$I:$I,"Mirage",'Таблиця 1'!$J:$J,"C-13")+SUMIFS('Таблиця 1'!$K:$K,'Таблиця 1'!$B:$B,$A333,'Таблиця 1'!$I:$I,"F-16",'Таблиця 1'!$J:$J,"C-13")+SUMIFS('Таблиця 1'!$K:$K,'Таблиця 1'!$B:$B,$A333,'Таблиця 1'!$I:$I,"МіГ-29",'Таблиця 1'!$J:$J,"C-13")+SUMIFS('Таблиця 1'!$K:$K,'Таблиця 1'!$B:$B,$A333,'Таблиця 1'!$I:$I,"Су-25",'Таблиця 1'!$J:$J,"C-13")+SUMIFS('Таблиця 1'!$K:$K,'Таблиця 1'!$B:$B,$A333,'Таблиця 1'!$I:$I,"Су-27",'Таблиця 1'!$J:$J,"C-13"))</f>
        <v/>
      </c>
      <c r="P333">
        <f>IF($A333="","",SUMIFS('Таблиця 1'!$K:$K,'Таблиця 1'!$B:$B,$A333,'Таблиця 1'!$I:$I,"Mirage",'Таблиця 1'!$J:$J,"MK-32")+SUMIFS('Таблиця 1'!$K:$K,'Таблиця 1'!$B:$B,$A333,'Таблиця 1'!$I:$I,"F-16",'Таблиця 1'!$J:$J,"MK-32")+SUMIFS('Таблиця 1'!$K:$K,'Таблиця 1'!$B:$B,$A333,'Таблиця 1'!$I:$I,"МіГ-29",'Таблиця 1'!$J:$J,"MK-32")+SUMIFS('Таблиця 1'!$K:$K,'Таблиця 1'!$B:$B,$A333,'Таблиця 1'!$I:$I,"Су-25",'Таблиця 1'!$J:$J,"MK-32")+SUMIFS('Таблиця 1'!$K:$K,'Таблиця 1'!$B:$B,$A333,'Таблиця 1'!$I:$I,"Су-27",'Таблиця 1'!$J:$J,"MK-32"))</f>
        <v/>
      </c>
      <c r="Q333">
        <f>IF($A333="","",SUMIFS('Таблиця 1'!$K:$K,'Таблиця 1'!$B:$B,$A333,'Таблиця 1'!$I:$I,"Mirage",'Таблиця 1'!$J:$J,"MK-24")+SUMIFS('Таблиця 1'!$K:$K,'Таблиця 1'!$B:$B,$A333,'Таблиця 1'!$I:$I,"F-16",'Таблиця 1'!$J:$J,"MK-24")+SUMIFS('Таблиця 1'!$K:$K,'Таблиця 1'!$B:$B,$A333,'Таблиця 1'!$I:$I,"МіГ-29",'Таблиця 1'!$J:$J,"MK-24")+SUMIFS('Таблиця 1'!$K:$K,'Таблиця 1'!$B:$B,$A333,'Таблиця 1'!$I:$I,"Су-25",'Таблиця 1'!$J:$J,"MK-24")+SUMIFS('Таблиця 1'!$K:$K,'Таблиця 1'!$B:$B,$A333,'Таблиця 1'!$I:$I,"Су-27",'Таблиця 1'!$J:$J,"MK-24"))</f>
        <v/>
      </c>
      <c r="R333">
        <f>IF($A333="","",COUNTIFS('Таблиця 1'!$B:$B,$A333,'Таблиця 1'!$I:$I,"Mirage",'Таблиця 1'!$L:$L,"Уражено")+COUNTIFS('Таблиця 1'!$B:$B,$A333,'Таблиця 1'!$I:$I,"F-16",'Таблиця 1'!$L:$L,"Уражено")+COUNTIFS('Таблиця 1'!$B:$B,$A333,'Таблиця 1'!$I:$I,"МіГ-29",'Таблиця 1'!$L:$L,"Уражено")+COUNTIFS('Таблиця 1'!$B:$B,$A333,'Таблиця 1'!$I:$I,"Су-25",'Таблиця 1'!$L:$L,"Уражено")+COUNTIFS('Таблиця 1'!$B:$B,$A333,'Таблиця 1'!$I:$I,"Су-27",'Таблиця 1'!$L:$L,"Уражено"))</f>
        <v/>
      </c>
      <c r="S333">
        <f>IF($A333="","",COUNTIFS('Таблиця 1'!$B:$B,$A333,'Таблиця 1'!$I:$I,"Mirage",'Таблиця 1'!$L:$L,"НЕ уражено")+COUNTIFS('Таблиця 1'!$B:$B,$A333,'Таблиця 1'!$I:$I,"F-16",'Таблиця 1'!$L:$L,"НЕ уражено")+COUNTIFS('Таблиця 1'!$B:$B,$A333,'Таблиця 1'!$I:$I,"МіГ-29",'Таблиця 1'!$L:$L,"НЕ уражено")+COUNTIFS('Таблиця 1'!$B:$B,$A333,'Таблиця 1'!$I:$I,"Су-25",'Таблиця 1'!$L:$L,"НЕ уражено")+COUNTIFS('Таблиця 1'!$B:$B,$A333,'Таблиця 1'!$I:$I,"Су-27",'Таблиця 1'!$L:$L,"НЕ уражено"))</f>
        <v/>
      </c>
      <c r="T333">
        <f>IF($A333="","",COUNTIFS('Таблиця 1'!$B:$B,$A333,'Таблиця 1'!$I:$I,"Mirage",'Таблиця 1'!$L:$L,"Дорозвідується")+COUNTIFS('Таблиця 1'!$B:$B,$A333,'Таблиця 1'!$I:$I,"F-16",'Таблиця 1'!$L:$L,"Дорозвідується")+COUNTIFS('Таблиця 1'!$B:$B,$A333,'Таблиця 1'!$I:$I,"МіГ-29",'Таблиця 1'!$L:$L,"Дорозвідується")+COUNTIFS('Таблиця 1'!$B:$B,$A333,'Таблиця 1'!$I:$I,"Су-25",'Таблиця 1'!$L:$L,"Дорозвідується")+COUNTIFS('Таблиця 1'!$B:$B,$A333,'Таблиця 1'!$I:$I,"Су-27",'Таблиця 1'!$L:$L,"Дорозвідується"))</f>
        <v/>
      </c>
    </row>
    <row r="334">
      <c r="A334" s="273">
        <f>IF(A333="","",IF(A333+1&gt;MAX('Таблиця 1'!$B:$B),"",A333+1))</f>
        <v/>
      </c>
      <c r="B334">
        <f>IF($A334="","",COUNTIFS('Таблиця 1'!$B:$B,$A334,'Таблиця 1'!$I:$I,"Mirage")+COUNTIFS('Таблиця 1'!$B:$B,$A334,'Таблиця 1'!$I:$I,"F-16")+COUNTIFS('Таблиця 1'!$B:$B,$A334,'Таблиця 1'!$I:$I,"МіГ-29")+COUNTIFS('Таблиця 1'!$B:$B,$A334,'Таблиця 1'!$I:$I,"Су-25")+COUNTIFS('Таблиця 1'!$B:$B,$A334,'Таблиця 1'!$I:$I,"Су-27"))</f>
        <v/>
      </c>
      <c r="C334">
        <f>IF($A334="","",COUNTIFS('Таблиця 1'!$B:$B,$A334,'Таблиця 1'!$I:$I,"Mirage"))</f>
        <v/>
      </c>
      <c r="D334">
        <f>IF($A334="","",COUNTIFS('Таблиця 1'!$B:$B,$A334,'Таблиця 1'!$I:$I,"F-16"))</f>
        <v/>
      </c>
      <c r="E334">
        <f>IF($A334="","",COUNTIFS('Таблиця 1'!$B:$B,$A334,'Таблиця 1'!$I:$I,"МіГ-29"))</f>
        <v/>
      </c>
      <c r="F334">
        <f>IF($A334="","",COUNTIFS('Таблиця 1'!$B:$B,$A334,'Таблиця 1'!$I:$I,"Су-25"))</f>
        <v/>
      </c>
      <c r="G334">
        <f>IF($A334="","",COUNTIFS('Таблиця 1'!$B:$B,$A334,'Таблиця 1'!$I:$I,"Су-27"))</f>
        <v/>
      </c>
      <c r="H334">
        <f>IF($A334="","",SUMIFS('Таблиця 1'!$K:$K,'Таблиця 1'!$B:$B,$A334,'Таблиця 1'!$I:$I,"Mirage",'Таблиця 1'!$J:$J,"AGM-88")+SUMIFS('Таблиця 1'!$K:$K,'Таблиця 1'!$B:$B,$A334,'Таблиця 1'!$I:$I,"F-16",'Таблиця 1'!$J:$J,"AGM-88")+SUMIFS('Таблиця 1'!$K:$K,'Таблиця 1'!$B:$B,$A334,'Таблиця 1'!$I:$I,"МіГ-29",'Таблиця 1'!$J:$J,"AGM-88")+SUMIFS('Таблиця 1'!$K:$K,'Таблиця 1'!$B:$B,$A334,'Таблиця 1'!$I:$I,"Су-25",'Таблиця 1'!$J:$J,"AGM-88")+SUMIFS('Таблиця 1'!$K:$K,'Таблиця 1'!$B:$B,$A334,'Таблиця 1'!$I:$I,"Су-27",'Таблиця 1'!$J:$J,"AGM-88"))</f>
        <v/>
      </c>
      <c r="I334">
        <f>IF($A334="","",SUMIFS('Таблиця 1'!$K:$K,'Таблиця 1'!$B:$B,$A334,'Таблиця 1'!$I:$I,"Mirage",'Таблиця 1'!$J:$J,"AASM-250")+SUMIFS('Таблиця 1'!$K:$K,'Таблиця 1'!$B:$B,$A334,'Таблиця 1'!$I:$I,"F-16",'Таблиця 1'!$J:$J,"AASM-250")+SUMIFS('Таблиця 1'!$K:$K,'Таблиця 1'!$B:$B,$A334,'Таблиця 1'!$I:$I,"МіГ-29",'Таблиця 1'!$J:$J,"AASM-250")+SUMIFS('Таблиця 1'!$K:$K,'Таблиця 1'!$B:$B,$A334,'Таблиця 1'!$I:$I,"Су-25",'Таблиця 1'!$J:$J,"AASM-250")+SUMIFS('Таблиця 1'!$K:$K,'Таблиця 1'!$B:$B,$A334,'Таблиця 1'!$I:$I,"Су-27",'Таблиця 1'!$J:$J,"AASM-250"))</f>
        <v/>
      </c>
      <c r="J334">
        <f>IF($A334="","",SUMIFS('Таблиця 1'!$K:$K,'Таблиця 1'!$B:$B,$A334,'Таблиця 1'!$I:$I,"Mirage",'Таблиця 1'!$J:$J,"GBU-39")+SUMIFS('Таблиця 1'!$K:$K,'Таблиця 1'!$B:$B,$A334,'Таблиця 1'!$I:$I,"F-16",'Таблиця 1'!$J:$J,"GBU-39")+SUMIFS('Таблиця 1'!$K:$K,'Таблиця 1'!$B:$B,$A334,'Таблиця 1'!$I:$I,"МіГ-29",'Таблиця 1'!$J:$J,"GBU-39")+SUMIFS('Таблиця 1'!$K:$K,'Таблиця 1'!$B:$B,$A334,'Таблиця 1'!$I:$I,"Су-25",'Таблиця 1'!$J:$J,"GBU-39")+SUMIFS('Таблиця 1'!$K:$K,'Таблиця 1'!$B:$B,$A334,'Таблиця 1'!$I:$I,"Су-27",'Таблиця 1'!$J:$J,"GBU-39"))</f>
        <v/>
      </c>
      <c r="K334">
        <f>IF($A334="","",SUMIFS('Таблиця 1'!$K:$K,'Таблиця 1'!$B:$B,$A334,'Таблиця 1'!$I:$I,"Mirage",'Таблиця 1'!$J:$J,"BLU-140")+SUMIFS('Таблиця 1'!$K:$K,'Таблиця 1'!$B:$B,$A334,'Таблиця 1'!$I:$I,"F-16",'Таблиця 1'!$J:$J,"BLU-140")+SUMIFS('Таблиця 1'!$K:$K,'Таблиця 1'!$B:$B,$A334,'Таблиця 1'!$I:$I,"МіГ-29",'Таблиця 1'!$J:$J,"BLU-140")+SUMIFS('Таблиця 1'!$K:$K,'Таблиця 1'!$B:$B,$A334,'Таблиця 1'!$I:$I,"Су-25",'Таблиця 1'!$J:$J,"BLU-140")+SUMIFS('Таблиця 1'!$K:$K,'Таблиця 1'!$B:$B,$A334,'Таблиця 1'!$I:$I,"Су-27",'Таблиця 1'!$J:$J,"BLU-140"))</f>
        <v/>
      </c>
      <c r="L334">
        <f>IF($A334="","",SUMIFS('Таблиця 1'!$K:$K,'Таблиця 1'!$B:$B,$A334,'Таблиця 1'!$I:$I,"Mirage",'Таблиця 1'!$J:$J,"GBU-65")+SUMIFS('Таблиця 1'!$K:$K,'Таблиця 1'!$B:$B,$A334,'Таблиця 1'!$I:$I,"F-16",'Таблиця 1'!$J:$J,"GBU-65")+SUMIFS('Таблиця 1'!$K:$K,'Таблиця 1'!$B:$B,$A334,'Таблиця 1'!$I:$I,"МіГ-29",'Таблиця 1'!$J:$J,"GBU-65")+SUMIFS('Таблиця 1'!$K:$K,'Таблиця 1'!$B:$B,$A334,'Таблиця 1'!$I:$I,"Су-25",'Таблиця 1'!$J:$J,"GBU-65")+SUMIFS('Таблиця 1'!$K:$K,'Таблиця 1'!$B:$B,$A334,'Таблиця 1'!$I:$I,"Су-27",'Таблиця 1'!$J:$J,"GBU-65"))</f>
        <v/>
      </c>
      <c r="M334">
        <f>IF($A334="","",SUMIFS('Таблиця 1'!$K:$K,'Таблиця 1'!$B:$B,$A334,'Таблиця 1'!$I:$I,"Mirage",'Таблиця 1'!$J:$J,"GBU-62")+SUMIFS('Таблиця 1'!$K:$K,'Таблиця 1'!$B:$B,$A334,'Таблиця 1'!$I:$I,"F-16",'Таблиця 1'!$J:$J,"GBU-62")+SUMIFS('Таблиця 1'!$K:$K,'Таблиця 1'!$B:$B,$A334,'Таблиця 1'!$I:$I,"МіГ-29",'Таблиця 1'!$J:$J,"GBU-62")+SUMIFS('Таблиця 1'!$K:$K,'Таблиця 1'!$B:$B,$A334,'Таблиця 1'!$I:$I,"Су-25",'Таблиця 1'!$J:$J,"GBU-62")+SUMIFS('Таблиця 1'!$K:$K,'Таблиця 1'!$B:$B,$A334,'Таблиця 1'!$I:$I,"Су-27",'Таблиця 1'!$J:$J,"GBU-62"))</f>
        <v/>
      </c>
      <c r="N334">
        <f>IF($A334="","",SUMIFS('Таблиця 1'!$K:$K,'Таблиця 1'!$B:$B,$A334,'Таблиця 1'!$I:$I,"Mirage",'Таблиця 1'!$J:$J,"GBU-64")+SUMIFS('Таблиця 1'!$K:$K,'Таблиця 1'!$B:$B,$A334,'Таблиця 1'!$I:$I,"F-16",'Таблиця 1'!$J:$J,"GBU-64")+SUMIFS('Таблиця 1'!$K:$K,'Таблиця 1'!$B:$B,$A334,'Таблиця 1'!$I:$I,"МіГ-29",'Таблиця 1'!$J:$J,"GBU-64")+SUMIFS('Таблиця 1'!$K:$K,'Таблиця 1'!$B:$B,$A334,'Таблиця 1'!$I:$I,"Су-25",'Таблиця 1'!$J:$J,"GBU-64")+SUMIFS('Таблиця 1'!$K:$K,'Таблиця 1'!$B:$B,$A334,'Таблиця 1'!$I:$I,"Су-27",'Таблиця 1'!$J:$J,"GBU-64"))</f>
        <v/>
      </c>
      <c r="O334">
        <f>IF($A334="","",SUMIFS('Таблиця 1'!$K:$K,'Таблиця 1'!$B:$B,$A334,'Таблиця 1'!$I:$I,"Mirage",'Таблиця 1'!$J:$J,"C-13")+SUMIFS('Таблиця 1'!$K:$K,'Таблиця 1'!$B:$B,$A334,'Таблиця 1'!$I:$I,"F-16",'Таблиця 1'!$J:$J,"C-13")+SUMIFS('Таблиця 1'!$K:$K,'Таблиця 1'!$B:$B,$A334,'Таблиця 1'!$I:$I,"МіГ-29",'Таблиця 1'!$J:$J,"C-13")+SUMIFS('Таблиця 1'!$K:$K,'Таблиця 1'!$B:$B,$A334,'Таблиця 1'!$I:$I,"Су-25",'Таблиця 1'!$J:$J,"C-13")+SUMIFS('Таблиця 1'!$K:$K,'Таблиця 1'!$B:$B,$A334,'Таблиця 1'!$I:$I,"Су-27",'Таблиця 1'!$J:$J,"C-13"))</f>
        <v/>
      </c>
      <c r="P334">
        <f>IF($A334="","",SUMIFS('Таблиця 1'!$K:$K,'Таблиця 1'!$B:$B,$A334,'Таблиця 1'!$I:$I,"Mirage",'Таблиця 1'!$J:$J,"MK-32")+SUMIFS('Таблиця 1'!$K:$K,'Таблиця 1'!$B:$B,$A334,'Таблиця 1'!$I:$I,"F-16",'Таблиця 1'!$J:$J,"MK-32")+SUMIFS('Таблиця 1'!$K:$K,'Таблиця 1'!$B:$B,$A334,'Таблиця 1'!$I:$I,"МіГ-29",'Таблиця 1'!$J:$J,"MK-32")+SUMIFS('Таблиця 1'!$K:$K,'Таблиця 1'!$B:$B,$A334,'Таблиця 1'!$I:$I,"Су-25",'Таблиця 1'!$J:$J,"MK-32")+SUMIFS('Таблиця 1'!$K:$K,'Таблиця 1'!$B:$B,$A334,'Таблиця 1'!$I:$I,"Су-27",'Таблиця 1'!$J:$J,"MK-32"))</f>
        <v/>
      </c>
      <c r="Q334">
        <f>IF($A334="","",SUMIFS('Таблиця 1'!$K:$K,'Таблиця 1'!$B:$B,$A334,'Таблиця 1'!$I:$I,"Mirage",'Таблиця 1'!$J:$J,"MK-24")+SUMIFS('Таблиця 1'!$K:$K,'Таблиця 1'!$B:$B,$A334,'Таблиця 1'!$I:$I,"F-16",'Таблиця 1'!$J:$J,"MK-24")+SUMIFS('Таблиця 1'!$K:$K,'Таблиця 1'!$B:$B,$A334,'Таблиця 1'!$I:$I,"МіГ-29",'Таблиця 1'!$J:$J,"MK-24")+SUMIFS('Таблиця 1'!$K:$K,'Таблиця 1'!$B:$B,$A334,'Таблиця 1'!$I:$I,"Су-25",'Таблиця 1'!$J:$J,"MK-24")+SUMIFS('Таблиця 1'!$K:$K,'Таблиця 1'!$B:$B,$A334,'Таблиця 1'!$I:$I,"Су-27",'Таблиця 1'!$J:$J,"MK-24"))</f>
        <v/>
      </c>
      <c r="R334">
        <f>IF($A334="","",COUNTIFS('Таблиця 1'!$B:$B,$A334,'Таблиця 1'!$I:$I,"Mirage",'Таблиця 1'!$L:$L,"Уражено")+COUNTIFS('Таблиця 1'!$B:$B,$A334,'Таблиця 1'!$I:$I,"F-16",'Таблиця 1'!$L:$L,"Уражено")+COUNTIFS('Таблиця 1'!$B:$B,$A334,'Таблиця 1'!$I:$I,"МіГ-29",'Таблиця 1'!$L:$L,"Уражено")+COUNTIFS('Таблиця 1'!$B:$B,$A334,'Таблиця 1'!$I:$I,"Су-25",'Таблиця 1'!$L:$L,"Уражено")+COUNTIFS('Таблиця 1'!$B:$B,$A334,'Таблиця 1'!$I:$I,"Су-27",'Таблиця 1'!$L:$L,"Уражено"))</f>
        <v/>
      </c>
      <c r="S334">
        <f>IF($A334="","",COUNTIFS('Таблиця 1'!$B:$B,$A334,'Таблиця 1'!$I:$I,"Mirage",'Таблиця 1'!$L:$L,"НЕ уражено")+COUNTIFS('Таблиця 1'!$B:$B,$A334,'Таблиця 1'!$I:$I,"F-16",'Таблиця 1'!$L:$L,"НЕ уражено")+COUNTIFS('Таблиця 1'!$B:$B,$A334,'Таблиця 1'!$I:$I,"МіГ-29",'Таблиця 1'!$L:$L,"НЕ уражено")+COUNTIFS('Таблиця 1'!$B:$B,$A334,'Таблиця 1'!$I:$I,"Су-25",'Таблиця 1'!$L:$L,"НЕ уражено")+COUNTIFS('Таблиця 1'!$B:$B,$A334,'Таблиця 1'!$I:$I,"Су-27",'Таблиця 1'!$L:$L,"НЕ уражено"))</f>
        <v/>
      </c>
      <c r="T334">
        <f>IF($A334="","",COUNTIFS('Таблиця 1'!$B:$B,$A334,'Таблиця 1'!$I:$I,"Mirage",'Таблиця 1'!$L:$L,"Дорозвідується")+COUNTIFS('Таблиця 1'!$B:$B,$A334,'Таблиця 1'!$I:$I,"F-16",'Таблиця 1'!$L:$L,"Дорозвідується")+COUNTIFS('Таблиця 1'!$B:$B,$A334,'Таблиця 1'!$I:$I,"МіГ-29",'Таблиця 1'!$L:$L,"Дорозвідується")+COUNTIFS('Таблиця 1'!$B:$B,$A334,'Таблиця 1'!$I:$I,"Су-25",'Таблиця 1'!$L:$L,"Дорозвідується")+COUNTIFS('Таблиця 1'!$B:$B,$A334,'Таблиця 1'!$I:$I,"Су-27",'Таблиця 1'!$L:$L,"Дорозвідується"))</f>
        <v/>
      </c>
    </row>
    <row r="335">
      <c r="A335" s="273">
        <f>IF(A334="","",IF(A334+1&gt;MAX('Таблиця 1'!$B:$B),"",A334+1))</f>
        <v/>
      </c>
      <c r="B335">
        <f>IF($A335="","",COUNTIFS('Таблиця 1'!$B:$B,$A335,'Таблиця 1'!$I:$I,"Mirage")+COUNTIFS('Таблиця 1'!$B:$B,$A335,'Таблиця 1'!$I:$I,"F-16")+COUNTIFS('Таблиця 1'!$B:$B,$A335,'Таблиця 1'!$I:$I,"МіГ-29")+COUNTIFS('Таблиця 1'!$B:$B,$A335,'Таблиця 1'!$I:$I,"Су-25")+COUNTIFS('Таблиця 1'!$B:$B,$A335,'Таблиця 1'!$I:$I,"Су-27"))</f>
        <v/>
      </c>
      <c r="C335">
        <f>IF($A335="","",COUNTIFS('Таблиця 1'!$B:$B,$A335,'Таблиця 1'!$I:$I,"Mirage"))</f>
        <v/>
      </c>
      <c r="D335">
        <f>IF($A335="","",COUNTIFS('Таблиця 1'!$B:$B,$A335,'Таблиця 1'!$I:$I,"F-16"))</f>
        <v/>
      </c>
      <c r="E335">
        <f>IF($A335="","",COUNTIFS('Таблиця 1'!$B:$B,$A335,'Таблиця 1'!$I:$I,"МіГ-29"))</f>
        <v/>
      </c>
      <c r="F335">
        <f>IF($A335="","",COUNTIFS('Таблиця 1'!$B:$B,$A335,'Таблиця 1'!$I:$I,"Су-25"))</f>
        <v/>
      </c>
      <c r="G335">
        <f>IF($A335="","",COUNTIFS('Таблиця 1'!$B:$B,$A335,'Таблиця 1'!$I:$I,"Су-27"))</f>
        <v/>
      </c>
      <c r="H335">
        <f>IF($A335="","",SUMIFS('Таблиця 1'!$K:$K,'Таблиця 1'!$B:$B,$A335,'Таблиця 1'!$I:$I,"Mirage",'Таблиця 1'!$J:$J,"AGM-88")+SUMIFS('Таблиця 1'!$K:$K,'Таблиця 1'!$B:$B,$A335,'Таблиця 1'!$I:$I,"F-16",'Таблиця 1'!$J:$J,"AGM-88")+SUMIFS('Таблиця 1'!$K:$K,'Таблиця 1'!$B:$B,$A335,'Таблиця 1'!$I:$I,"МіГ-29",'Таблиця 1'!$J:$J,"AGM-88")+SUMIFS('Таблиця 1'!$K:$K,'Таблиця 1'!$B:$B,$A335,'Таблиця 1'!$I:$I,"Су-25",'Таблиця 1'!$J:$J,"AGM-88")+SUMIFS('Таблиця 1'!$K:$K,'Таблиця 1'!$B:$B,$A335,'Таблиця 1'!$I:$I,"Су-27",'Таблиця 1'!$J:$J,"AGM-88"))</f>
        <v/>
      </c>
      <c r="I335">
        <f>IF($A335="","",SUMIFS('Таблиця 1'!$K:$K,'Таблиця 1'!$B:$B,$A335,'Таблиця 1'!$I:$I,"Mirage",'Таблиця 1'!$J:$J,"AASM-250")+SUMIFS('Таблиця 1'!$K:$K,'Таблиця 1'!$B:$B,$A335,'Таблиця 1'!$I:$I,"F-16",'Таблиця 1'!$J:$J,"AASM-250")+SUMIFS('Таблиця 1'!$K:$K,'Таблиця 1'!$B:$B,$A335,'Таблиця 1'!$I:$I,"МіГ-29",'Таблиця 1'!$J:$J,"AASM-250")+SUMIFS('Таблиця 1'!$K:$K,'Таблиця 1'!$B:$B,$A335,'Таблиця 1'!$I:$I,"Су-25",'Таблиця 1'!$J:$J,"AASM-250")+SUMIFS('Таблиця 1'!$K:$K,'Таблиця 1'!$B:$B,$A335,'Таблиця 1'!$I:$I,"Су-27",'Таблиця 1'!$J:$J,"AASM-250"))</f>
        <v/>
      </c>
      <c r="J335">
        <f>IF($A335="","",SUMIFS('Таблиця 1'!$K:$K,'Таблиця 1'!$B:$B,$A335,'Таблиця 1'!$I:$I,"Mirage",'Таблиця 1'!$J:$J,"GBU-39")+SUMIFS('Таблиця 1'!$K:$K,'Таблиця 1'!$B:$B,$A335,'Таблиця 1'!$I:$I,"F-16",'Таблиця 1'!$J:$J,"GBU-39")+SUMIFS('Таблиця 1'!$K:$K,'Таблиця 1'!$B:$B,$A335,'Таблиця 1'!$I:$I,"МіГ-29",'Таблиця 1'!$J:$J,"GBU-39")+SUMIFS('Таблиця 1'!$K:$K,'Таблиця 1'!$B:$B,$A335,'Таблиця 1'!$I:$I,"Су-25",'Таблиця 1'!$J:$J,"GBU-39")+SUMIFS('Таблиця 1'!$K:$K,'Таблиця 1'!$B:$B,$A335,'Таблиця 1'!$I:$I,"Су-27",'Таблиця 1'!$J:$J,"GBU-39"))</f>
        <v/>
      </c>
      <c r="K335">
        <f>IF($A335="","",SUMIFS('Таблиця 1'!$K:$K,'Таблиця 1'!$B:$B,$A335,'Таблиця 1'!$I:$I,"Mirage",'Таблиця 1'!$J:$J,"BLU-140")+SUMIFS('Таблиця 1'!$K:$K,'Таблиця 1'!$B:$B,$A335,'Таблиця 1'!$I:$I,"F-16",'Таблиця 1'!$J:$J,"BLU-140")+SUMIFS('Таблиця 1'!$K:$K,'Таблиця 1'!$B:$B,$A335,'Таблиця 1'!$I:$I,"МіГ-29",'Таблиця 1'!$J:$J,"BLU-140")+SUMIFS('Таблиця 1'!$K:$K,'Таблиця 1'!$B:$B,$A335,'Таблиця 1'!$I:$I,"Су-25",'Таблиця 1'!$J:$J,"BLU-140")+SUMIFS('Таблиця 1'!$K:$K,'Таблиця 1'!$B:$B,$A335,'Таблиця 1'!$I:$I,"Су-27",'Таблиця 1'!$J:$J,"BLU-140"))</f>
        <v/>
      </c>
      <c r="L335">
        <f>IF($A335="","",SUMIFS('Таблиця 1'!$K:$K,'Таблиця 1'!$B:$B,$A335,'Таблиця 1'!$I:$I,"Mirage",'Таблиця 1'!$J:$J,"GBU-65")+SUMIFS('Таблиця 1'!$K:$K,'Таблиця 1'!$B:$B,$A335,'Таблиця 1'!$I:$I,"F-16",'Таблиця 1'!$J:$J,"GBU-65")+SUMIFS('Таблиця 1'!$K:$K,'Таблиця 1'!$B:$B,$A335,'Таблиця 1'!$I:$I,"МіГ-29",'Таблиця 1'!$J:$J,"GBU-65")+SUMIFS('Таблиця 1'!$K:$K,'Таблиця 1'!$B:$B,$A335,'Таблиця 1'!$I:$I,"Су-25",'Таблиця 1'!$J:$J,"GBU-65")+SUMIFS('Таблиця 1'!$K:$K,'Таблиця 1'!$B:$B,$A335,'Таблиця 1'!$I:$I,"Су-27",'Таблиця 1'!$J:$J,"GBU-65"))</f>
        <v/>
      </c>
      <c r="M335">
        <f>IF($A335="","",SUMIFS('Таблиця 1'!$K:$K,'Таблиця 1'!$B:$B,$A335,'Таблиця 1'!$I:$I,"Mirage",'Таблиця 1'!$J:$J,"GBU-62")+SUMIFS('Таблиця 1'!$K:$K,'Таблиця 1'!$B:$B,$A335,'Таблиця 1'!$I:$I,"F-16",'Таблиця 1'!$J:$J,"GBU-62")+SUMIFS('Таблиця 1'!$K:$K,'Таблиця 1'!$B:$B,$A335,'Таблиця 1'!$I:$I,"МіГ-29",'Таблиця 1'!$J:$J,"GBU-62")+SUMIFS('Таблиця 1'!$K:$K,'Таблиця 1'!$B:$B,$A335,'Таблиця 1'!$I:$I,"Су-25",'Таблиця 1'!$J:$J,"GBU-62")+SUMIFS('Таблиця 1'!$K:$K,'Таблиця 1'!$B:$B,$A335,'Таблиця 1'!$I:$I,"Су-27",'Таблиця 1'!$J:$J,"GBU-62"))</f>
        <v/>
      </c>
      <c r="N335">
        <f>IF($A335="","",SUMIFS('Таблиця 1'!$K:$K,'Таблиця 1'!$B:$B,$A335,'Таблиця 1'!$I:$I,"Mirage",'Таблиця 1'!$J:$J,"GBU-64")+SUMIFS('Таблиця 1'!$K:$K,'Таблиця 1'!$B:$B,$A335,'Таблиця 1'!$I:$I,"F-16",'Таблиця 1'!$J:$J,"GBU-64")+SUMIFS('Таблиця 1'!$K:$K,'Таблиця 1'!$B:$B,$A335,'Таблиця 1'!$I:$I,"МіГ-29",'Таблиця 1'!$J:$J,"GBU-64")+SUMIFS('Таблиця 1'!$K:$K,'Таблиця 1'!$B:$B,$A335,'Таблиця 1'!$I:$I,"Су-25",'Таблиця 1'!$J:$J,"GBU-64")+SUMIFS('Таблиця 1'!$K:$K,'Таблиця 1'!$B:$B,$A335,'Таблиця 1'!$I:$I,"Су-27",'Таблиця 1'!$J:$J,"GBU-64"))</f>
        <v/>
      </c>
      <c r="O335">
        <f>IF($A335="","",SUMIFS('Таблиця 1'!$K:$K,'Таблиця 1'!$B:$B,$A335,'Таблиця 1'!$I:$I,"Mirage",'Таблиця 1'!$J:$J,"C-13")+SUMIFS('Таблиця 1'!$K:$K,'Таблиця 1'!$B:$B,$A335,'Таблиця 1'!$I:$I,"F-16",'Таблиця 1'!$J:$J,"C-13")+SUMIFS('Таблиця 1'!$K:$K,'Таблиця 1'!$B:$B,$A335,'Таблиця 1'!$I:$I,"МіГ-29",'Таблиця 1'!$J:$J,"C-13")+SUMIFS('Таблиця 1'!$K:$K,'Таблиця 1'!$B:$B,$A335,'Таблиця 1'!$I:$I,"Су-25",'Таблиця 1'!$J:$J,"C-13")+SUMIFS('Таблиця 1'!$K:$K,'Таблиця 1'!$B:$B,$A335,'Таблиця 1'!$I:$I,"Су-27",'Таблиця 1'!$J:$J,"C-13"))</f>
        <v/>
      </c>
      <c r="P335">
        <f>IF($A335="","",SUMIFS('Таблиця 1'!$K:$K,'Таблиця 1'!$B:$B,$A335,'Таблиця 1'!$I:$I,"Mirage",'Таблиця 1'!$J:$J,"MK-32")+SUMIFS('Таблиця 1'!$K:$K,'Таблиця 1'!$B:$B,$A335,'Таблиця 1'!$I:$I,"F-16",'Таблиця 1'!$J:$J,"MK-32")+SUMIFS('Таблиця 1'!$K:$K,'Таблиця 1'!$B:$B,$A335,'Таблиця 1'!$I:$I,"МіГ-29",'Таблиця 1'!$J:$J,"MK-32")+SUMIFS('Таблиця 1'!$K:$K,'Таблиця 1'!$B:$B,$A335,'Таблиця 1'!$I:$I,"Су-25",'Таблиця 1'!$J:$J,"MK-32")+SUMIFS('Таблиця 1'!$K:$K,'Таблиця 1'!$B:$B,$A335,'Таблиця 1'!$I:$I,"Су-27",'Таблиця 1'!$J:$J,"MK-32"))</f>
        <v/>
      </c>
      <c r="Q335">
        <f>IF($A335="","",SUMIFS('Таблиця 1'!$K:$K,'Таблиця 1'!$B:$B,$A335,'Таблиця 1'!$I:$I,"Mirage",'Таблиця 1'!$J:$J,"MK-24")+SUMIFS('Таблиця 1'!$K:$K,'Таблиця 1'!$B:$B,$A335,'Таблиця 1'!$I:$I,"F-16",'Таблиця 1'!$J:$J,"MK-24")+SUMIFS('Таблиця 1'!$K:$K,'Таблиця 1'!$B:$B,$A335,'Таблиця 1'!$I:$I,"МіГ-29",'Таблиця 1'!$J:$J,"MK-24")+SUMIFS('Таблиця 1'!$K:$K,'Таблиця 1'!$B:$B,$A335,'Таблиця 1'!$I:$I,"Су-25",'Таблиця 1'!$J:$J,"MK-24")+SUMIFS('Таблиця 1'!$K:$K,'Таблиця 1'!$B:$B,$A335,'Таблиця 1'!$I:$I,"Су-27",'Таблиця 1'!$J:$J,"MK-24"))</f>
        <v/>
      </c>
      <c r="R335">
        <f>IF($A335="","",COUNTIFS('Таблиця 1'!$B:$B,$A335,'Таблиця 1'!$I:$I,"Mirage",'Таблиця 1'!$L:$L,"Уражено")+COUNTIFS('Таблиця 1'!$B:$B,$A335,'Таблиця 1'!$I:$I,"F-16",'Таблиця 1'!$L:$L,"Уражено")+COUNTIFS('Таблиця 1'!$B:$B,$A335,'Таблиця 1'!$I:$I,"МіГ-29",'Таблиця 1'!$L:$L,"Уражено")+COUNTIFS('Таблиця 1'!$B:$B,$A335,'Таблиця 1'!$I:$I,"Су-25",'Таблиця 1'!$L:$L,"Уражено")+COUNTIFS('Таблиця 1'!$B:$B,$A335,'Таблиця 1'!$I:$I,"Су-27",'Таблиця 1'!$L:$L,"Уражено"))</f>
        <v/>
      </c>
      <c r="S335">
        <f>IF($A335="","",COUNTIFS('Таблиця 1'!$B:$B,$A335,'Таблиця 1'!$I:$I,"Mirage",'Таблиця 1'!$L:$L,"НЕ уражено")+COUNTIFS('Таблиця 1'!$B:$B,$A335,'Таблиця 1'!$I:$I,"F-16",'Таблиця 1'!$L:$L,"НЕ уражено")+COUNTIFS('Таблиця 1'!$B:$B,$A335,'Таблиця 1'!$I:$I,"МіГ-29",'Таблиця 1'!$L:$L,"НЕ уражено")+COUNTIFS('Таблиця 1'!$B:$B,$A335,'Таблиця 1'!$I:$I,"Су-25",'Таблиця 1'!$L:$L,"НЕ уражено")+COUNTIFS('Таблиця 1'!$B:$B,$A335,'Таблиця 1'!$I:$I,"Су-27",'Таблиця 1'!$L:$L,"НЕ уражено"))</f>
        <v/>
      </c>
      <c r="T335">
        <f>IF($A335="","",COUNTIFS('Таблиця 1'!$B:$B,$A335,'Таблиця 1'!$I:$I,"Mirage",'Таблиця 1'!$L:$L,"Дорозвідується")+COUNTIFS('Таблиця 1'!$B:$B,$A335,'Таблиця 1'!$I:$I,"F-16",'Таблиця 1'!$L:$L,"Дорозвідується")+COUNTIFS('Таблиця 1'!$B:$B,$A335,'Таблиця 1'!$I:$I,"МіГ-29",'Таблиця 1'!$L:$L,"Дорозвідується")+COUNTIFS('Таблиця 1'!$B:$B,$A335,'Таблиця 1'!$I:$I,"Су-25",'Таблиця 1'!$L:$L,"Дорозвідується")+COUNTIFS('Таблиця 1'!$B:$B,$A335,'Таблиця 1'!$I:$I,"Су-27",'Таблиця 1'!$L:$L,"Дорозвідується"))</f>
        <v/>
      </c>
    </row>
    <row r="336">
      <c r="A336" s="273">
        <f>IF(A335="","",IF(A335+1&gt;MAX('Таблиця 1'!$B:$B),"",A335+1))</f>
        <v/>
      </c>
      <c r="B336">
        <f>IF($A336="","",COUNTIFS('Таблиця 1'!$B:$B,$A336,'Таблиця 1'!$I:$I,"Mirage")+COUNTIFS('Таблиця 1'!$B:$B,$A336,'Таблиця 1'!$I:$I,"F-16")+COUNTIFS('Таблиця 1'!$B:$B,$A336,'Таблиця 1'!$I:$I,"МіГ-29")+COUNTIFS('Таблиця 1'!$B:$B,$A336,'Таблиця 1'!$I:$I,"Су-25")+COUNTIFS('Таблиця 1'!$B:$B,$A336,'Таблиця 1'!$I:$I,"Су-27"))</f>
        <v/>
      </c>
      <c r="C336">
        <f>IF($A336="","",COUNTIFS('Таблиця 1'!$B:$B,$A336,'Таблиця 1'!$I:$I,"Mirage"))</f>
        <v/>
      </c>
      <c r="D336">
        <f>IF($A336="","",COUNTIFS('Таблиця 1'!$B:$B,$A336,'Таблиця 1'!$I:$I,"F-16"))</f>
        <v/>
      </c>
      <c r="E336">
        <f>IF($A336="","",COUNTIFS('Таблиця 1'!$B:$B,$A336,'Таблиця 1'!$I:$I,"МіГ-29"))</f>
        <v/>
      </c>
      <c r="F336">
        <f>IF($A336="","",COUNTIFS('Таблиця 1'!$B:$B,$A336,'Таблиця 1'!$I:$I,"Су-25"))</f>
        <v/>
      </c>
      <c r="G336">
        <f>IF($A336="","",COUNTIFS('Таблиця 1'!$B:$B,$A336,'Таблиця 1'!$I:$I,"Су-27"))</f>
        <v/>
      </c>
      <c r="H336">
        <f>IF($A336="","",SUMIFS('Таблиця 1'!$K:$K,'Таблиця 1'!$B:$B,$A336,'Таблиця 1'!$I:$I,"Mirage",'Таблиця 1'!$J:$J,"AGM-88")+SUMIFS('Таблиця 1'!$K:$K,'Таблиця 1'!$B:$B,$A336,'Таблиця 1'!$I:$I,"F-16",'Таблиця 1'!$J:$J,"AGM-88")+SUMIFS('Таблиця 1'!$K:$K,'Таблиця 1'!$B:$B,$A336,'Таблиця 1'!$I:$I,"МіГ-29",'Таблиця 1'!$J:$J,"AGM-88")+SUMIFS('Таблиця 1'!$K:$K,'Таблиця 1'!$B:$B,$A336,'Таблиця 1'!$I:$I,"Су-25",'Таблиця 1'!$J:$J,"AGM-88")+SUMIFS('Таблиця 1'!$K:$K,'Таблиця 1'!$B:$B,$A336,'Таблиця 1'!$I:$I,"Су-27",'Таблиця 1'!$J:$J,"AGM-88"))</f>
        <v/>
      </c>
      <c r="I336">
        <f>IF($A336="","",SUMIFS('Таблиця 1'!$K:$K,'Таблиця 1'!$B:$B,$A336,'Таблиця 1'!$I:$I,"Mirage",'Таблиця 1'!$J:$J,"AASM-250")+SUMIFS('Таблиця 1'!$K:$K,'Таблиця 1'!$B:$B,$A336,'Таблиця 1'!$I:$I,"F-16",'Таблиця 1'!$J:$J,"AASM-250")+SUMIFS('Таблиця 1'!$K:$K,'Таблиця 1'!$B:$B,$A336,'Таблиця 1'!$I:$I,"МіГ-29",'Таблиця 1'!$J:$J,"AASM-250")+SUMIFS('Таблиця 1'!$K:$K,'Таблиця 1'!$B:$B,$A336,'Таблиця 1'!$I:$I,"Су-25",'Таблиця 1'!$J:$J,"AASM-250")+SUMIFS('Таблиця 1'!$K:$K,'Таблиця 1'!$B:$B,$A336,'Таблиця 1'!$I:$I,"Су-27",'Таблиця 1'!$J:$J,"AASM-250"))</f>
        <v/>
      </c>
      <c r="J336">
        <f>IF($A336="","",SUMIFS('Таблиця 1'!$K:$K,'Таблиця 1'!$B:$B,$A336,'Таблиця 1'!$I:$I,"Mirage",'Таблиця 1'!$J:$J,"GBU-39")+SUMIFS('Таблиця 1'!$K:$K,'Таблиця 1'!$B:$B,$A336,'Таблиця 1'!$I:$I,"F-16",'Таблиця 1'!$J:$J,"GBU-39")+SUMIFS('Таблиця 1'!$K:$K,'Таблиця 1'!$B:$B,$A336,'Таблиця 1'!$I:$I,"МіГ-29",'Таблиця 1'!$J:$J,"GBU-39")+SUMIFS('Таблиця 1'!$K:$K,'Таблиця 1'!$B:$B,$A336,'Таблиця 1'!$I:$I,"Су-25",'Таблиця 1'!$J:$J,"GBU-39")+SUMIFS('Таблиця 1'!$K:$K,'Таблиця 1'!$B:$B,$A336,'Таблиця 1'!$I:$I,"Су-27",'Таблиця 1'!$J:$J,"GBU-39"))</f>
        <v/>
      </c>
      <c r="K336">
        <f>IF($A336="","",SUMIFS('Таблиця 1'!$K:$K,'Таблиця 1'!$B:$B,$A336,'Таблиця 1'!$I:$I,"Mirage",'Таблиця 1'!$J:$J,"BLU-140")+SUMIFS('Таблиця 1'!$K:$K,'Таблиця 1'!$B:$B,$A336,'Таблиця 1'!$I:$I,"F-16",'Таблиця 1'!$J:$J,"BLU-140")+SUMIFS('Таблиця 1'!$K:$K,'Таблиця 1'!$B:$B,$A336,'Таблиця 1'!$I:$I,"МіГ-29",'Таблиця 1'!$J:$J,"BLU-140")+SUMIFS('Таблиця 1'!$K:$K,'Таблиця 1'!$B:$B,$A336,'Таблиця 1'!$I:$I,"Су-25",'Таблиця 1'!$J:$J,"BLU-140")+SUMIFS('Таблиця 1'!$K:$K,'Таблиця 1'!$B:$B,$A336,'Таблиця 1'!$I:$I,"Су-27",'Таблиця 1'!$J:$J,"BLU-140"))</f>
        <v/>
      </c>
      <c r="L336">
        <f>IF($A336="","",SUMIFS('Таблиця 1'!$K:$K,'Таблиця 1'!$B:$B,$A336,'Таблиця 1'!$I:$I,"Mirage",'Таблиця 1'!$J:$J,"GBU-65")+SUMIFS('Таблиця 1'!$K:$K,'Таблиця 1'!$B:$B,$A336,'Таблиця 1'!$I:$I,"F-16",'Таблиця 1'!$J:$J,"GBU-65")+SUMIFS('Таблиця 1'!$K:$K,'Таблиця 1'!$B:$B,$A336,'Таблиця 1'!$I:$I,"МіГ-29",'Таблиця 1'!$J:$J,"GBU-65")+SUMIFS('Таблиця 1'!$K:$K,'Таблиця 1'!$B:$B,$A336,'Таблиця 1'!$I:$I,"Су-25",'Таблиця 1'!$J:$J,"GBU-65")+SUMIFS('Таблиця 1'!$K:$K,'Таблиця 1'!$B:$B,$A336,'Таблиця 1'!$I:$I,"Су-27",'Таблиця 1'!$J:$J,"GBU-65"))</f>
        <v/>
      </c>
      <c r="M336">
        <f>IF($A336="","",SUMIFS('Таблиця 1'!$K:$K,'Таблиця 1'!$B:$B,$A336,'Таблиця 1'!$I:$I,"Mirage",'Таблиця 1'!$J:$J,"GBU-62")+SUMIFS('Таблиця 1'!$K:$K,'Таблиця 1'!$B:$B,$A336,'Таблиця 1'!$I:$I,"F-16",'Таблиця 1'!$J:$J,"GBU-62")+SUMIFS('Таблиця 1'!$K:$K,'Таблиця 1'!$B:$B,$A336,'Таблиця 1'!$I:$I,"МіГ-29",'Таблиця 1'!$J:$J,"GBU-62")+SUMIFS('Таблиця 1'!$K:$K,'Таблиця 1'!$B:$B,$A336,'Таблиця 1'!$I:$I,"Су-25",'Таблиця 1'!$J:$J,"GBU-62")+SUMIFS('Таблиця 1'!$K:$K,'Таблиця 1'!$B:$B,$A336,'Таблиця 1'!$I:$I,"Су-27",'Таблиця 1'!$J:$J,"GBU-62"))</f>
        <v/>
      </c>
      <c r="N336">
        <f>IF($A336="","",SUMIFS('Таблиця 1'!$K:$K,'Таблиця 1'!$B:$B,$A336,'Таблиця 1'!$I:$I,"Mirage",'Таблиця 1'!$J:$J,"GBU-64")+SUMIFS('Таблиця 1'!$K:$K,'Таблиця 1'!$B:$B,$A336,'Таблиця 1'!$I:$I,"F-16",'Таблиця 1'!$J:$J,"GBU-64")+SUMIFS('Таблиця 1'!$K:$K,'Таблиця 1'!$B:$B,$A336,'Таблиця 1'!$I:$I,"МіГ-29",'Таблиця 1'!$J:$J,"GBU-64")+SUMIFS('Таблиця 1'!$K:$K,'Таблиця 1'!$B:$B,$A336,'Таблиця 1'!$I:$I,"Су-25",'Таблиця 1'!$J:$J,"GBU-64")+SUMIFS('Таблиця 1'!$K:$K,'Таблиця 1'!$B:$B,$A336,'Таблиця 1'!$I:$I,"Су-27",'Таблиця 1'!$J:$J,"GBU-64"))</f>
        <v/>
      </c>
      <c r="O336">
        <f>IF($A336="","",SUMIFS('Таблиця 1'!$K:$K,'Таблиця 1'!$B:$B,$A336,'Таблиця 1'!$I:$I,"Mirage",'Таблиця 1'!$J:$J,"C-13")+SUMIFS('Таблиця 1'!$K:$K,'Таблиця 1'!$B:$B,$A336,'Таблиця 1'!$I:$I,"F-16",'Таблиця 1'!$J:$J,"C-13")+SUMIFS('Таблиця 1'!$K:$K,'Таблиця 1'!$B:$B,$A336,'Таблиця 1'!$I:$I,"МіГ-29",'Таблиця 1'!$J:$J,"C-13")+SUMIFS('Таблиця 1'!$K:$K,'Таблиця 1'!$B:$B,$A336,'Таблиця 1'!$I:$I,"Су-25",'Таблиця 1'!$J:$J,"C-13")+SUMIFS('Таблиця 1'!$K:$K,'Таблиця 1'!$B:$B,$A336,'Таблиця 1'!$I:$I,"Су-27",'Таблиця 1'!$J:$J,"C-13"))</f>
        <v/>
      </c>
      <c r="P336">
        <f>IF($A336="","",SUMIFS('Таблиця 1'!$K:$K,'Таблиця 1'!$B:$B,$A336,'Таблиця 1'!$I:$I,"Mirage",'Таблиця 1'!$J:$J,"MK-32")+SUMIFS('Таблиця 1'!$K:$K,'Таблиця 1'!$B:$B,$A336,'Таблиця 1'!$I:$I,"F-16",'Таблиця 1'!$J:$J,"MK-32")+SUMIFS('Таблиця 1'!$K:$K,'Таблиця 1'!$B:$B,$A336,'Таблиця 1'!$I:$I,"МіГ-29",'Таблиця 1'!$J:$J,"MK-32")+SUMIFS('Таблиця 1'!$K:$K,'Таблиця 1'!$B:$B,$A336,'Таблиця 1'!$I:$I,"Су-25",'Таблиця 1'!$J:$J,"MK-32")+SUMIFS('Таблиця 1'!$K:$K,'Таблиця 1'!$B:$B,$A336,'Таблиця 1'!$I:$I,"Су-27",'Таблиця 1'!$J:$J,"MK-32"))</f>
        <v/>
      </c>
      <c r="Q336">
        <f>IF($A336="","",SUMIFS('Таблиця 1'!$K:$K,'Таблиця 1'!$B:$B,$A336,'Таблиця 1'!$I:$I,"Mirage",'Таблиця 1'!$J:$J,"MK-24")+SUMIFS('Таблиця 1'!$K:$K,'Таблиця 1'!$B:$B,$A336,'Таблиця 1'!$I:$I,"F-16",'Таблиця 1'!$J:$J,"MK-24")+SUMIFS('Таблиця 1'!$K:$K,'Таблиця 1'!$B:$B,$A336,'Таблиця 1'!$I:$I,"МіГ-29",'Таблиця 1'!$J:$J,"MK-24")+SUMIFS('Таблиця 1'!$K:$K,'Таблиця 1'!$B:$B,$A336,'Таблиця 1'!$I:$I,"Су-25",'Таблиця 1'!$J:$J,"MK-24")+SUMIFS('Таблиця 1'!$K:$K,'Таблиця 1'!$B:$B,$A336,'Таблиця 1'!$I:$I,"Су-27",'Таблиця 1'!$J:$J,"MK-24"))</f>
        <v/>
      </c>
      <c r="R336">
        <f>IF($A336="","",COUNTIFS('Таблиця 1'!$B:$B,$A336,'Таблиця 1'!$I:$I,"Mirage",'Таблиця 1'!$L:$L,"Уражено")+COUNTIFS('Таблиця 1'!$B:$B,$A336,'Таблиця 1'!$I:$I,"F-16",'Таблиця 1'!$L:$L,"Уражено")+COUNTIFS('Таблиця 1'!$B:$B,$A336,'Таблиця 1'!$I:$I,"МіГ-29",'Таблиця 1'!$L:$L,"Уражено")+COUNTIFS('Таблиця 1'!$B:$B,$A336,'Таблиця 1'!$I:$I,"Су-25",'Таблиця 1'!$L:$L,"Уражено")+COUNTIFS('Таблиця 1'!$B:$B,$A336,'Таблиця 1'!$I:$I,"Су-27",'Таблиця 1'!$L:$L,"Уражено"))</f>
        <v/>
      </c>
      <c r="S336">
        <f>IF($A336="","",COUNTIFS('Таблиця 1'!$B:$B,$A336,'Таблиця 1'!$I:$I,"Mirage",'Таблиця 1'!$L:$L,"НЕ уражено")+COUNTIFS('Таблиця 1'!$B:$B,$A336,'Таблиця 1'!$I:$I,"F-16",'Таблиця 1'!$L:$L,"НЕ уражено")+COUNTIFS('Таблиця 1'!$B:$B,$A336,'Таблиця 1'!$I:$I,"МіГ-29",'Таблиця 1'!$L:$L,"НЕ уражено")+COUNTIFS('Таблиця 1'!$B:$B,$A336,'Таблиця 1'!$I:$I,"Су-25",'Таблиця 1'!$L:$L,"НЕ уражено")+COUNTIFS('Таблиця 1'!$B:$B,$A336,'Таблиця 1'!$I:$I,"Су-27",'Таблиця 1'!$L:$L,"НЕ уражено"))</f>
        <v/>
      </c>
      <c r="T336">
        <f>IF($A336="","",COUNTIFS('Таблиця 1'!$B:$B,$A336,'Таблиця 1'!$I:$I,"Mirage",'Таблиця 1'!$L:$L,"Дорозвідується")+COUNTIFS('Таблиця 1'!$B:$B,$A336,'Таблиця 1'!$I:$I,"F-16",'Таблиця 1'!$L:$L,"Дорозвідується")+COUNTIFS('Таблиця 1'!$B:$B,$A336,'Таблиця 1'!$I:$I,"МіГ-29",'Таблиця 1'!$L:$L,"Дорозвідується")+COUNTIFS('Таблиця 1'!$B:$B,$A336,'Таблиця 1'!$I:$I,"Су-25",'Таблиця 1'!$L:$L,"Дорозвідується")+COUNTIFS('Таблиця 1'!$B:$B,$A336,'Таблиця 1'!$I:$I,"Су-27",'Таблиця 1'!$L:$L,"Дорозвідується"))</f>
        <v/>
      </c>
    </row>
    <row r="337">
      <c r="A337" s="273">
        <f>IF(A336="","",IF(A336+1&gt;MAX('Таблиця 1'!$B:$B),"",A336+1))</f>
        <v/>
      </c>
      <c r="B337">
        <f>IF($A337="","",COUNTIFS('Таблиця 1'!$B:$B,$A337,'Таблиця 1'!$I:$I,"Mirage")+COUNTIFS('Таблиця 1'!$B:$B,$A337,'Таблиця 1'!$I:$I,"F-16")+COUNTIFS('Таблиця 1'!$B:$B,$A337,'Таблиця 1'!$I:$I,"МіГ-29")+COUNTIFS('Таблиця 1'!$B:$B,$A337,'Таблиця 1'!$I:$I,"Су-25")+COUNTIFS('Таблиця 1'!$B:$B,$A337,'Таблиця 1'!$I:$I,"Су-27"))</f>
        <v/>
      </c>
      <c r="C337">
        <f>IF($A337="","",COUNTIFS('Таблиця 1'!$B:$B,$A337,'Таблиця 1'!$I:$I,"Mirage"))</f>
        <v/>
      </c>
      <c r="D337">
        <f>IF($A337="","",COUNTIFS('Таблиця 1'!$B:$B,$A337,'Таблиця 1'!$I:$I,"F-16"))</f>
        <v/>
      </c>
      <c r="E337">
        <f>IF($A337="","",COUNTIFS('Таблиця 1'!$B:$B,$A337,'Таблиця 1'!$I:$I,"МіГ-29"))</f>
        <v/>
      </c>
      <c r="F337">
        <f>IF($A337="","",COUNTIFS('Таблиця 1'!$B:$B,$A337,'Таблиця 1'!$I:$I,"Су-25"))</f>
        <v/>
      </c>
      <c r="G337">
        <f>IF($A337="","",COUNTIFS('Таблиця 1'!$B:$B,$A337,'Таблиця 1'!$I:$I,"Су-27"))</f>
        <v/>
      </c>
      <c r="H337">
        <f>IF($A337="","",SUMIFS('Таблиця 1'!$K:$K,'Таблиця 1'!$B:$B,$A337,'Таблиця 1'!$I:$I,"Mirage",'Таблиця 1'!$J:$J,"AGM-88")+SUMIFS('Таблиця 1'!$K:$K,'Таблиця 1'!$B:$B,$A337,'Таблиця 1'!$I:$I,"F-16",'Таблиця 1'!$J:$J,"AGM-88")+SUMIFS('Таблиця 1'!$K:$K,'Таблиця 1'!$B:$B,$A337,'Таблиця 1'!$I:$I,"МіГ-29",'Таблиця 1'!$J:$J,"AGM-88")+SUMIFS('Таблиця 1'!$K:$K,'Таблиця 1'!$B:$B,$A337,'Таблиця 1'!$I:$I,"Су-25",'Таблиця 1'!$J:$J,"AGM-88")+SUMIFS('Таблиця 1'!$K:$K,'Таблиця 1'!$B:$B,$A337,'Таблиця 1'!$I:$I,"Су-27",'Таблиця 1'!$J:$J,"AGM-88"))</f>
        <v/>
      </c>
      <c r="I337">
        <f>IF($A337="","",SUMIFS('Таблиця 1'!$K:$K,'Таблиця 1'!$B:$B,$A337,'Таблиця 1'!$I:$I,"Mirage",'Таблиця 1'!$J:$J,"AASM-250")+SUMIFS('Таблиця 1'!$K:$K,'Таблиця 1'!$B:$B,$A337,'Таблиця 1'!$I:$I,"F-16",'Таблиця 1'!$J:$J,"AASM-250")+SUMIFS('Таблиця 1'!$K:$K,'Таблиця 1'!$B:$B,$A337,'Таблиця 1'!$I:$I,"МіГ-29",'Таблиця 1'!$J:$J,"AASM-250")+SUMIFS('Таблиця 1'!$K:$K,'Таблиця 1'!$B:$B,$A337,'Таблиця 1'!$I:$I,"Су-25",'Таблиця 1'!$J:$J,"AASM-250")+SUMIFS('Таблиця 1'!$K:$K,'Таблиця 1'!$B:$B,$A337,'Таблиця 1'!$I:$I,"Су-27",'Таблиця 1'!$J:$J,"AASM-250"))</f>
        <v/>
      </c>
      <c r="J337">
        <f>IF($A337="","",SUMIFS('Таблиця 1'!$K:$K,'Таблиця 1'!$B:$B,$A337,'Таблиця 1'!$I:$I,"Mirage",'Таблиця 1'!$J:$J,"GBU-39")+SUMIFS('Таблиця 1'!$K:$K,'Таблиця 1'!$B:$B,$A337,'Таблиця 1'!$I:$I,"F-16",'Таблиця 1'!$J:$J,"GBU-39")+SUMIFS('Таблиця 1'!$K:$K,'Таблиця 1'!$B:$B,$A337,'Таблиця 1'!$I:$I,"МіГ-29",'Таблиця 1'!$J:$J,"GBU-39")+SUMIFS('Таблиця 1'!$K:$K,'Таблиця 1'!$B:$B,$A337,'Таблиця 1'!$I:$I,"Су-25",'Таблиця 1'!$J:$J,"GBU-39")+SUMIFS('Таблиця 1'!$K:$K,'Таблиця 1'!$B:$B,$A337,'Таблиця 1'!$I:$I,"Су-27",'Таблиця 1'!$J:$J,"GBU-39"))</f>
        <v/>
      </c>
      <c r="K337">
        <f>IF($A337="","",SUMIFS('Таблиця 1'!$K:$K,'Таблиця 1'!$B:$B,$A337,'Таблиця 1'!$I:$I,"Mirage",'Таблиця 1'!$J:$J,"BLU-140")+SUMIFS('Таблиця 1'!$K:$K,'Таблиця 1'!$B:$B,$A337,'Таблиця 1'!$I:$I,"F-16",'Таблиця 1'!$J:$J,"BLU-140")+SUMIFS('Таблиця 1'!$K:$K,'Таблиця 1'!$B:$B,$A337,'Таблиця 1'!$I:$I,"МіГ-29",'Таблиця 1'!$J:$J,"BLU-140")+SUMIFS('Таблиця 1'!$K:$K,'Таблиця 1'!$B:$B,$A337,'Таблиця 1'!$I:$I,"Су-25",'Таблиця 1'!$J:$J,"BLU-140")+SUMIFS('Таблиця 1'!$K:$K,'Таблиця 1'!$B:$B,$A337,'Таблиця 1'!$I:$I,"Су-27",'Таблиця 1'!$J:$J,"BLU-140"))</f>
        <v/>
      </c>
      <c r="L337">
        <f>IF($A337="","",SUMIFS('Таблиця 1'!$K:$K,'Таблиця 1'!$B:$B,$A337,'Таблиця 1'!$I:$I,"Mirage",'Таблиця 1'!$J:$J,"GBU-65")+SUMIFS('Таблиця 1'!$K:$K,'Таблиця 1'!$B:$B,$A337,'Таблиця 1'!$I:$I,"F-16",'Таблиця 1'!$J:$J,"GBU-65")+SUMIFS('Таблиця 1'!$K:$K,'Таблиця 1'!$B:$B,$A337,'Таблиця 1'!$I:$I,"МіГ-29",'Таблиця 1'!$J:$J,"GBU-65")+SUMIFS('Таблиця 1'!$K:$K,'Таблиця 1'!$B:$B,$A337,'Таблиця 1'!$I:$I,"Су-25",'Таблиця 1'!$J:$J,"GBU-65")+SUMIFS('Таблиця 1'!$K:$K,'Таблиця 1'!$B:$B,$A337,'Таблиця 1'!$I:$I,"Су-27",'Таблиця 1'!$J:$J,"GBU-65"))</f>
        <v/>
      </c>
      <c r="M337">
        <f>IF($A337="","",SUMIFS('Таблиця 1'!$K:$K,'Таблиця 1'!$B:$B,$A337,'Таблиця 1'!$I:$I,"Mirage",'Таблиця 1'!$J:$J,"GBU-62")+SUMIFS('Таблиця 1'!$K:$K,'Таблиця 1'!$B:$B,$A337,'Таблиця 1'!$I:$I,"F-16",'Таблиця 1'!$J:$J,"GBU-62")+SUMIFS('Таблиця 1'!$K:$K,'Таблиця 1'!$B:$B,$A337,'Таблиця 1'!$I:$I,"МіГ-29",'Таблиця 1'!$J:$J,"GBU-62")+SUMIFS('Таблиця 1'!$K:$K,'Таблиця 1'!$B:$B,$A337,'Таблиця 1'!$I:$I,"Су-25",'Таблиця 1'!$J:$J,"GBU-62")+SUMIFS('Таблиця 1'!$K:$K,'Таблиця 1'!$B:$B,$A337,'Таблиця 1'!$I:$I,"Су-27",'Таблиця 1'!$J:$J,"GBU-62"))</f>
        <v/>
      </c>
      <c r="N337">
        <f>IF($A337="","",SUMIFS('Таблиця 1'!$K:$K,'Таблиця 1'!$B:$B,$A337,'Таблиця 1'!$I:$I,"Mirage",'Таблиця 1'!$J:$J,"GBU-64")+SUMIFS('Таблиця 1'!$K:$K,'Таблиця 1'!$B:$B,$A337,'Таблиця 1'!$I:$I,"F-16",'Таблиця 1'!$J:$J,"GBU-64")+SUMIFS('Таблиця 1'!$K:$K,'Таблиця 1'!$B:$B,$A337,'Таблиця 1'!$I:$I,"МіГ-29",'Таблиця 1'!$J:$J,"GBU-64")+SUMIFS('Таблиця 1'!$K:$K,'Таблиця 1'!$B:$B,$A337,'Таблиця 1'!$I:$I,"Су-25",'Таблиця 1'!$J:$J,"GBU-64")+SUMIFS('Таблиця 1'!$K:$K,'Таблиця 1'!$B:$B,$A337,'Таблиця 1'!$I:$I,"Су-27",'Таблиця 1'!$J:$J,"GBU-64"))</f>
        <v/>
      </c>
      <c r="O337">
        <f>IF($A337="","",SUMIFS('Таблиця 1'!$K:$K,'Таблиця 1'!$B:$B,$A337,'Таблиця 1'!$I:$I,"Mirage",'Таблиця 1'!$J:$J,"C-13")+SUMIFS('Таблиця 1'!$K:$K,'Таблиця 1'!$B:$B,$A337,'Таблиця 1'!$I:$I,"F-16",'Таблиця 1'!$J:$J,"C-13")+SUMIFS('Таблиця 1'!$K:$K,'Таблиця 1'!$B:$B,$A337,'Таблиця 1'!$I:$I,"МіГ-29",'Таблиця 1'!$J:$J,"C-13")+SUMIFS('Таблиця 1'!$K:$K,'Таблиця 1'!$B:$B,$A337,'Таблиця 1'!$I:$I,"Су-25",'Таблиця 1'!$J:$J,"C-13")+SUMIFS('Таблиця 1'!$K:$K,'Таблиця 1'!$B:$B,$A337,'Таблиця 1'!$I:$I,"Су-27",'Таблиця 1'!$J:$J,"C-13"))</f>
        <v/>
      </c>
      <c r="P337">
        <f>IF($A337="","",SUMIFS('Таблиця 1'!$K:$K,'Таблиця 1'!$B:$B,$A337,'Таблиця 1'!$I:$I,"Mirage",'Таблиця 1'!$J:$J,"MK-32")+SUMIFS('Таблиця 1'!$K:$K,'Таблиця 1'!$B:$B,$A337,'Таблиця 1'!$I:$I,"F-16",'Таблиця 1'!$J:$J,"MK-32")+SUMIFS('Таблиця 1'!$K:$K,'Таблиця 1'!$B:$B,$A337,'Таблиця 1'!$I:$I,"МіГ-29",'Таблиця 1'!$J:$J,"MK-32")+SUMIFS('Таблиця 1'!$K:$K,'Таблиця 1'!$B:$B,$A337,'Таблиця 1'!$I:$I,"Су-25",'Таблиця 1'!$J:$J,"MK-32")+SUMIFS('Таблиця 1'!$K:$K,'Таблиця 1'!$B:$B,$A337,'Таблиця 1'!$I:$I,"Су-27",'Таблиця 1'!$J:$J,"MK-32"))</f>
        <v/>
      </c>
      <c r="Q337">
        <f>IF($A337="","",SUMIFS('Таблиця 1'!$K:$K,'Таблиця 1'!$B:$B,$A337,'Таблиця 1'!$I:$I,"Mirage",'Таблиця 1'!$J:$J,"MK-24")+SUMIFS('Таблиця 1'!$K:$K,'Таблиця 1'!$B:$B,$A337,'Таблиця 1'!$I:$I,"F-16",'Таблиця 1'!$J:$J,"MK-24")+SUMIFS('Таблиця 1'!$K:$K,'Таблиця 1'!$B:$B,$A337,'Таблиця 1'!$I:$I,"МіГ-29",'Таблиця 1'!$J:$J,"MK-24")+SUMIFS('Таблиця 1'!$K:$K,'Таблиця 1'!$B:$B,$A337,'Таблиця 1'!$I:$I,"Су-25",'Таблиця 1'!$J:$J,"MK-24")+SUMIFS('Таблиця 1'!$K:$K,'Таблиця 1'!$B:$B,$A337,'Таблиця 1'!$I:$I,"Су-27",'Таблиця 1'!$J:$J,"MK-24"))</f>
        <v/>
      </c>
      <c r="R337">
        <f>IF($A337="","",COUNTIFS('Таблиця 1'!$B:$B,$A337,'Таблиця 1'!$I:$I,"Mirage",'Таблиця 1'!$L:$L,"Уражено")+COUNTIFS('Таблиця 1'!$B:$B,$A337,'Таблиця 1'!$I:$I,"F-16",'Таблиця 1'!$L:$L,"Уражено")+COUNTIFS('Таблиця 1'!$B:$B,$A337,'Таблиця 1'!$I:$I,"МіГ-29",'Таблиця 1'!$L:$L,"Уражено")+COUNTIFS('Таблиця 1'!$B:$B,$A337,'Таблиця 1'!$I:$I,"Су-25",'Таблиця 1'!$L:$L,"Уражено")+COUNTIFS('Таблиця 1'!$B:$B,$A337,'Таблиця 1'!$I:$I,"Су-27",'Таблиця 1'!$L:$L,"Уражено"))</f>
        <v/>
      </c>
      <c r="S337">
        <f>IF($A337="","",COUNTIFS('Таблиця 1'!$B:$B,$A337,'Таблиця 1'!$I:$I,"Mirage",'Таблиця 1'!$L:$L,"НЕ уражено")+COUNTIFS('Таблиця 1'!$B:$B,$A337,'Таблиця 1'!$I:$I,"F-16",'Таблиця 1'!$L:$L,"НЕ уражено")+COUNTIFS('Таблиця 1'!$B:$B,$A337,'Таблиця 1'!$I:$I,"МіГ-29",'Таблиця 1'!$L:$L,"НЕ уражено")+COUNTIFS('Таблиця 1'!$B:$B,$A337,'Таблиця 1'!$I:$I,"Су-25",'Таблиця 1'!$L:$L,"НЕ уражено")+COUNTIFS('Таблиця 1'!$B:$B,$A337,'Таблиця 1'!$I:$I,"Су-27",'Таблиця 1'!$L:$L,"НЕ уражено"))</f>
        <v/>
      </c>
      <c r="T337">
        <f>IF($A337="","",COUNTIFS('Таблиця 1'!$B:$B,$A337,'Таблиця 1'!$I:$I,"Mirage",'Таблиця 1'!$L:$L,"Дорозвідується")+COUNTIFS('Таблиця 1'!$B:$B,$A337,'Таблиця 1'!$I:$I,"F-16",'Таблиця 1'!$L:$L,"Дорозвідується")+COUNTIFS('Таблиця 1'!$B:$B,$A337,'Таблиця 1'!$I:$I,"МіГ-29",'Таблиця 1'!$L:$L,"Дорозвідується")+COUNTIFS('Таблиця 1'!$B:$B,$A337,'Таблиця 1'!$I:$I,"Су-25",'Таблиця 1'!$L:$L,"Дорозвідується")+COUNTIFS('Таблиця 1'!$B:$B,$A337,'Таблиця 1'!$I:$I,"Су-27",'Таблиця 1'!$L:$L,"Дорозвідується"))</f>
        <v/>
      </c>
    </row>
    <row r="338">
      <c r="A338" s="273">
        <f>IF(A337="","",IF(A337+1&gt;MAX('Таблиця 1'!$B:$B),"",A337+1))</f>
        <v/>
      </c>
      <c r="B338">
        <f>IF($A338="","",COUNTIFS('Таблиця 1'!$B:$B,$A338,'Таблиця 1'!$I:$I,"Mirage")+COUNTIFS('Таблиця 1'!$B:$B,$A338,'Таблиця 1'!$I:$I,"F-16")+COUNTIFS('Таблиця 1'!$B:$B,$A338,'Таблиця 1'!$I:$I,"МіГ-29")+COUNTIFS('Таблиця 1'!$B:$B,$A338,'Таблиця 1'!$I:$I,"Су-25")+COUNTIFS('Таблиця 1'!$B:$B,$A338,'Таблиця 1'!$I:$I,"Су-27"))</f>
        <v/>
      </c>
      <c r="C338">
        <f>IF($A338="","",COUNTIFS('Таблиця 1'!$B:$B,$A338,'Таблиця 1'!$I:$I,"Mirage"))</f>
        <v/>
      </c>
      <c r="D338">
        <f>IF($A338="","",COUNTIFS('Таблиця 1'!$B:$B,$A338,'Таблиця 1'!$I:$I,"F-16"))</f>
        <v/>
      </c>
      <c r="E338">
        <f>IF($A338="","",COUNTIFS('Таблиця 1'!$B:$B,$A338,'Таблиця 1'!$I:$I,"МіГ-29"))</f>
        <v/>
      </c>
      <c r="F338">
        <f>IF($A338="","",COUNTIFS('Таблиця 1'!$B:$B,$A338,'Таблиця 1'!$I:$I,"Су-25"))</f>
        <v/>
      </c>
      <c r="G338">
        <f>IF($A338="","",COUNTIFS('Таблиця 1'!$B:$B,$A338,'Таблиця 1'!$I:$I,"Су-27"))</f>
        <v/>
      </c>
      <c r="H338">
        <f>IF($A338="","",SUMIFS('Таблиця 1'!$K:$K,'Таблиця 1'!$B:$B,$A338,'Таблиця 1'!$I:$I,"Mirage",'Таблиця 1'!$J:$J,"AGM-88")+SUMIFS('Таблиця 1'!$K:$K,'Таблиця 1'!$B:$B,$A338,'Таблиця 1'!$I:$I,"F-16",'Таблиця 1'!$J:$J,"AGM-88")+SUMIFS('Таблиця 1'!$K:$K,'Таблиця 1'!$B:$B,$A338,'Таблиця 1'!$I:$I,"МіГ-29",'Таблиця 1'!$J:$J,"AGM-88")+SUMIFS('Таблиця 1'!$K:$K,'Таблиця 1'!$B:$B,$A338,'Таблиця 1'!$I:$I,"Су-25",'Таблиця 1'!$J:$J,"AGM-88")+SUMIFS('Таблиця 1'!$K:$K,'Таблиця 1'!$B:$B,$A338,'Таблиця 1'!$I:$I,"Су-27",'Таблиця 1'!$J:$J,"AGM-88"))</f>
        <v/>
      </c>
      <c r="I338">
        <f>IF($A338="","",SUMIFS('Таблиця 1'!$K:$K,'Таблиця 1'!$B:$B,$A338,'Таблиця 1'!$I:$I,"Mirage",'Таблиця 1'!$J:$J,"AASM-250")+SUMIFS('Таблиця 1'!$K:$K,'Таблиця 1'!$B:$B,$A338,'Таблиця 1'!$I:$I,"F-16",'Таблиця 1'!$J:$J,"AASM-250")+SUMIFS('Таблиця 1'!$K:$K,'Таблиця 1'!$B:$B,$A338,'Таблиця 1'!$I:$I,"МіГ-29",'Таблиця 1'!$J:$J,"AASM-250")+SUMIFS('Таблиця 1'!$K:$K,'Таблиця 1'!$B:$B,$A338,'Таблиця 1'!$I:$I,"Су-25",'Таблиця 1'!$J:$J,"AASM-250")+SUMIFS('Таблиця 1'!$K:$K,'Таблиця 1'!$B:$B,$A338,'Таблиця 1'!$I:$I,"Су-27",'Таблиця 1'!$J:$J,"AASM-250"))</f>
        <v/>
      </c>
      <c r="J338">
        <f>IF($A338="","",SUMIFS('Таблиця 1'!$K:$K,'Таблиця 1'!$B:$B,$A338,'Таблиця 1'!$I:$I,"Mirage",'Таблиця 1'!$J:$J,"GBU-39")+SUMIFS('Таблиця 1'!$K:$K,'Таблиця 1'!$B:$B,$A338,'Таблиця 1'!$I:$I,"F-16",'Таблиця 1'!$J:$J,"GBU-39")+SUMIFS('Таблиця 1'!$K:$K,'Таблиця 1'!$B:$B,$A338,'Таблиця 1'!$I:$I,"МіГ-29",'Таблиця 1'!$J:$J,"GBU-39")+SUMIFS('Таблиця 1'!$K:$K,'Таблиця 1'!$B:$B,$A338,'Таблиця 1'!$I:$I,"Су-25",'Таблиця 1'!$J:$J,"GBU-39")+SUMIFS('Таблиця 1'!$K:$K,'Таблиця 1'!$B:$B,$A338,'Таблиця 1'!$I:$I,"Су-27",'Таблиця 1'!$J:$J,"GBU-39"))</f>
        <v/>
      </c>
      <c r="K338">
        <f>IF($A338="","",SUMIFS('Таблиця 1'!$K:$K,'Таблиця 1'!$B:$B,$A338,'Таблиця 1'!$I:$I,"Mirage",'Таблиця 1'!$J:$J,"BLU-140")+SUMIFS('Таблиця 1'!$K:$K,'Таблиця 1'!$B:$B,$A338,'Таблиця 1'!$I:$I,"F-16",'Таблиця 1'!$J:$J,"BLU-140")+SUMIFS('Таблиця 1'!$K:$K,'Таблиця 1'!$B:$B,$A338,'Таблиця 1'!$I:$I,"МіГ-29",'Таблиця 1'!$J:$J,"BLU-140")+SUMIFS('Таблиця 1'!$K:$K,'Таблиця 1'!$B:$B,$A338,'Таблиця 1'!$I:$I,"Су-25",'Таблиця 1'!$J:$J,"BLU-140")+SUMIFS('Таблиця 1'!$K:$K,'Таблиця 1'!$B:$B,$A338,'Таблиця 1'!$I:$I,"Су-27",'Таблиця 1'!$J:$J,"BLU-140"))</f>
        <v/>
      </c>
      <c r="L338">
        <f>IF($A338="","",SUMIFS('Таблиця 1'!$K:$K,'Таблиця 1'!$B:$B,$A338,'Таблиця 1'!$I:$I,"Mirage",'Таблиця 1'!$J:$J,"GBU-65")+SUMIFS('Таблиця 1'!$K:$K,'Таблиця 1'!$B:$B,$A338,'Таблиця 1'!$I:$I,"F-16",'Таблиця 1'!$J:$J,"GBU-65")+SUMIFS('Таблиця 1'!$K:$K,'Таблиця 1'!$B:$B,$A338,'Таблиця 1'!$I:$I,"МіГ-29",'Таблиця 1'!$J:$J,"GBU-65")+SUMIFS('Таблиця 1'!$K:$K,'Таблиця 1'!$B:$B,$A338,'Таблиця 1'!$I:$I,"Су-25",'Таблиця 1'!$J:$J,"GBU-65")+SUMIFS('Таблиця 1'!$K:$K,'Таблиця 1'!$B:$B,$A338,'Таблиця 1'!$I:$I,"Су-27",'Таблиця 1'!$J:$J,"GBU-65"))</f>
        <v/>
      </c>
      <c r="M338">
        <f>IF($A338="","",SUMIFS('Таблиця 1'!$K:$K,'Таблиця 1'!$B:$B,$A338,'Таблиця 1'!$I:$I,"Mirage",'Таблиця 1'!$J:$J,"GBU-62")+SUMIFS('Таблиця 1'!$K:$K,'Таблиця 1'!$B:$B,$A338,'Таблиця 1'!$I:$I,"F-16",'Таблиця 1'!$J:$J,"GBU-62")+SUMIFS('Таблиця 1'!$K:$K,'Таблиця 1'!$B:$B,$A338,'Таблиця 1'!$I:$I,"МіГ-29",'Таблиця 1'!$J:$J,"GBU-62")+SUMIFS('Таблиця 1'!$K:$K,'Таблиця 1'!$B:$B,$A338,'Таблиця 1'!$I:$I,"Су-25",'Таблиця 1'!$J:$J,"GBU-62")+SUMIFS('Таблиця 1'!$K:$K,'Таблиця 1'!$B:$B,$A338,'Таблиця 1'!$I:$I,"Су-27",'Таблиця 1'!$J:$J,"GBU-62"))</f>
        <v/>
      </c>
      <c r="N338">
        <f>IF($A338="","",SUMIFS('Таблиця 1'!$K:$K,'Таблиця 1'!$B:$B,$A338,'Таблиця 1'!$I:$I,"Mirage",'Таблиця 1'!$J:$J,"GBU-64")+SUMIFS('Таблиця 1'!$K:$K,'Таблиця 1'!$B:$B,$A338,'Таблиця 1'!$I:$I,"F-16",'Таблиця 1'!$J:$J,"GBU-64")+SUMIFS('Таблиця 1'!$K:$K,'Таблиця 1'!$B:$B,$A338,'Таблиця 1'!$I:$I,"МіГ-29",'Таблиця 1'!$J:$J,"GBU-64")+SUMIFS('Таблиця 1'!$K:$K,'Таблиця 1'!$B:$B,$A338,'Таблиця 1'!$I:$I,"Су-25",'Таблиця 1'!$J:$J,"GBU-64")+SUMIFS('Таблиця 1'!$K:$K,'Таблиця 1'!$B:$B,$A338,'Таблиця 1'!$I:$I,"Су-27",'Таблиця 1'!$J:$J,"GBU-64"))</f>
        <v/>
      </c>
      <c r="O338">
        <f>IF($A338="","",SUMIFS('Таблиця 1'!$K:$K,'Таблиця 1'!$B:$B,$A338,'Таблиця 1'!$I:$I,"Mirage",'Таблиця 1'!$J:$J,"C-13")+SUMIFS('Таблиця 1'!$K:$K,'Таблиця 1'!$B:$B,$A338,'Таблиця 1'!$I:$I,"F-16",'Таблиця 1'!$J:$J,"C-13")+SUMIFS('Таблиця 1'!$K:$K,'Таблиця 1'!$B:$B,$A338,'Таблиця 1'!$I:$I,"МіГ-29",'Таблиця 1'!$J:$J,"C-13")+SUMIFS('Таблиця 1'!$K:$K,'Таблиця 1'!$B:$B,$A338,'Таблиця 1'!$I:$I,"Су-25",'Таблиця 1'!$J:$J,"C-13")+SUMIFS('Таблиця 1'!$K:$K,'Таблиця 1'!$B:$B,$A338,'Таблиця 1'!$I:$I,"Су-27",'Таблиця 1'!$J:$J,"C-13"))</f>
        <v/>
      </c>
      <c r="P338">
        <f>IF($A338="","",SUMIFS('Таблиця 1'!$K:$K,'Таблиця 1'!$B:$B,$A338,'Таблиця 1'!$I:$I,"Mirage",'Таблиця 1'!$J:$J,"MK-32")+SUMIFS('Таблиця 1'!$K:$K,'Таблиця 1'!$B:$B,$A338,'Таблиця 1'!$I:$I,"F-16",'Таблиця 1'!$J:$J,"MK-32")+SUMIFS('Таблиця 1'!$K:$K,'Таблиця 1'!$B:$B,$A338,'Таблиця 1'!$I:$I,"МіГ-29",'Таблиця 1'!$J:$J,"MK-32")+SUMIFS('Таблиця 1'!$K:$K,'Таблиця 1'!$B:$B,$A338,'Таблиця 1'!$I:$I,"Су-25",'Таблиця 1'!$J:$J,"MK-32")+SUMIFS('Таблиця 1'!$K:$K,'Таблиця 1'!$B:$B,$A338,'Таблиця 1'!$I:$I,"Су-27",'Таблиця 1'!$J:$J,"MK-32"))</f>
        <v/>
      </c>
      <c r="Q338">
        <f>IF($A338="","",SUMIFS('Таблиця 1'!$K:$K,'Таблиця 1'!$B:$B,$A338,'Таблиця 1'!$I:$I,"Mirage",'Таблиця 1'!$J:$J,"MK-24")+SUMIFS('Таблиця 1'!$K:$K,'Таблиця 1'!$B:$B,$A338,'Таблиця 1'!$I:$I,"F-16",'Таблиця 1'!$J:$J,"MK-24")+SUMIFS('Таблиця 1'!$K:$K,'Таблиця 1'!$B:$B,$A338,'Таблиця 1'!$I:$I,"МіГ-29",'Таблиця 1'!$J:$J,"MK-24")+SUMIFS('Таблиця 1'!$K:$K,'Таблиця 1'!$B:$B,$A338,'Таблиця 1'!$I:$I,"Су-25",'Таблиця 1'!$J:$J,"MK-24")+SUMIFS('Таблиця 1'!$K:$K,'Таблиця 1'!$B:$B,$A338,'Таблиця 1'!$I:$I,"Су-27",'Таблиця 1'!$J:$J,"MK-24"))</f>
        <v/>
      </c>
      <c r="R338">
        <f>IF($A338="","",COUNTIFS('Таблиця 1'!$B:$B,$A338,'Таблиця 1'!$I:$I,"Mirage",'Таблиця 1'!$L:$L,"Уражено")+COUNTIFS('Таблиця 1'!$B:$B,$A338,'Таблиця 1'!$I:$I,"F-16",'Таблиця 1'!$L:$L,"Уражено")+COUNTIFS('Таблиця 1'!$B:$B,$A338,'Таблиця 1'!$I:$I,"МіГ-29",'Таблиця 1'!$L:$L,"Уражено")+COUNTIFS('Таблиця 1'!$B:$B,$A338,'Таблиця 1'!$I:$I,"Су-25",'Таблиця 1'!$L:$L,"Уражено")+COUNTIFS('Таблиця 1'!$B:$B,$A338,'Таблиця 1'!$I:$I,"Су-27",'Таблиця 1'!$L:$L,"Уражено"))</f>
        <v/>
      </c>
      <c r="S338">
        <f>IF($A338="","",COUNTIFS('Таблиця 1'!$B:$B,$A338,'Таблиця 1'!$I:$I,"Mirage",'Таблиця 1'!$L:$L,"НЕ уражено")+COUNTIFS('Таблиця 1'!$B:$B,$A338,'Таблиця 1'!$I:$I,"F-16",'Таблиця 1'!$L:$L,"НЕ уражено")+COUNTIFS('Таблиця 1'!$B:$B,$A338,'Таблиця 1'!$I:$I,"МіГ-29",'Таблиця 1'!$L:$L,"НЕ уражено")+COUNTIFS('Таблиця 1'!$B:$B,$A338,'Таблиця 1'!$I:$I,"Су-25",'Таблиця 1'!$L:$L,"НЕ уражено")+COUNTIFS('Таблиця 1'!$B:$B,$A338,'Таблиця 1'!$I:$I,"Су-27",'Таблиця 1'!$L:$L,"НЕ уражено"))</f>
        <v/>
      </c>
      <c r="T338">
        <f>IF($A338="","",COUNTIFS('Таблиця 1'!$B:$B,$A338,'Таблиця 1'!$I:$I,"Mirage",'Таблиця 1'!$L:$L,"Дорозвідується")+COUNTIFS('Таблиця 1'!$B:$B,$A338,'Таблиця 1'!$I:$I,"F-16",'Таблиця 1'!$L:$L,"Дорозвідується")+COUNTIFS('Таблиця 1'!$B:$B,$A338,'Таблиця 1'!$I:$I,"МіГ-29",'Таблиця 1'!$L:$L,"Дорозвідується")+COUNTIFS('Таблиця 1'!$B:$B,$A338,'Таблиця 1'!$I:$I,"Су-25",'Таблиця 1'!$L:$L,"Дорозвідується")+COUNTIFS('Таблиця 1'!$B:$B,$A338,'Таблиця 1'!$I:$I,"Су-27",'Таблиця 1'!$L:$L,"Дорозвідується"))</f>
        <v/>
      </c>
    </row>
    <row r="339">
      <c r="A339" s="273">
        <f>IF(A338="","",IF(A338+1&gt;MAX('Таблиця 1'!$B:$B),"",A338+1))</f>
        <v/>
      </c>
      <c r="B339">
        <f>IF($A339="","",COUNTIFS('Таблиця 1'!$B:$B,$A339,'Таблиця 1'!$I:$I,"Mirage")+COUNTIFS('Таблиця 1'!$B:$B,$A339,'Таблиця 1'!$I:$I,"F-16")+COUNTIFS('Таблиця 1'!$B:$B,$A339,'Таблиця 1'!$I:$I,"МіГ-29")+COUNTIFS('Таблиця 1'!$B:$B,$A339,'Таблиця 1'!$I:$I,"Су-25")+COUNTIFS('Таблиця 1'!$B:$B,$A339,'Таблиця 1'!$I:$I,"Су-27"))</f>
        <v/>
      </c>
      <c r="C339">
        <f>IF($A339="","",COUNTIFS('Таблиця 1'!$B:$B,$A339,'Таблиця 1'!$I:$I,"Mirage"))</f>
        <v/>
      </c>
      <c r="D339">
        <f>IF($A339="","",COUNTIFS('Таблиця 1'!$B:$B,$A339,'Таблиця 1'!$I:$I,"F-16"))</f>
        <v/>
      </c>
      <c r="E339">
        <f>IF($A339="","",COUNTIFS('Таблиця 1'!$B:$B,$A339,'Таблиця 1'!$I:$I,"МіГ-29"))</f>
        <v/>
      </c>
      <c r="F339">
        <f>IF($A339="","",COUNTIFS('Таблиця 1'!$B:$B,$A339,'Таблиця 1'!$I:$I,"Су-25"))</f>
        <v/>
      </c>
      <c r="G339">
        <f>IF($A339="","",COUNTIFS('Таблиця 1'!$B:$B,$A339,'Таблиця 1'!$I:$I,"Су-27"))</f>
        <v/>
      </c>
      <c r="H339">
        <f>IF($A339="","",SUMIFS('Таблиця 1'!$K:$K,'Таблиця 1'!$B:$B,$A339,'Таблиця 1'!$I:$I,"Mirage",'Таблиця 1'!$J:$J,"AGM-88")+SUMIFS('Таблиця 1'!$K:$K,'Таблиця 1'!$B:$B,$A339,'Таблиця 1'!$I:$I,"F-16",'Таблиця 1'!$J:$J,"AGM-88")+SUMIFS('Таблиця 1'!$K:$K,'Таблиця 1'!$B:$B,$A339,'Таблиця 1'!$I:$I,"МіГ-29",'Таблиця 1'!$J:$J,"AGM-88")+SUMIFS('Таблиця 1'!$K:$K,'Таблиця 1'!$B:$B,$A339,'Таблиця 1'!$I:$I,"Су-25",'Таблиця 1'!$J:$J,"AGM-88")+SUMIFS('Таблиця 1'!$K:$K,'Таблиця 1'!$B:$B,$A339,'Таблиця 1'!$I:$I,"Су-27",'Таблиця 1'!$J:$J,"AGM-88"))</f>
        <v/>
      </c>
      <c r="I339">
        <f>IF($A339="","",SUMIFS('Таблиця 1'!$K:$K,'Таблиця 1'!$B:$B,$A339,'Таблиця 1'!$I:$I,"Mirage",'Таблиця 1'!$J:$J,"AASM-250")+SUMIFS('Таблиця 1'!$K:$K,'Таблиця 1'!$B:$B,$A339,'Таблиця 1'!$I:$I,"F-16",'Таблиця 1'!$J:$J,"AASM-250")+SUMIFS('Таблиця 1'!$K:$K,'Таблиця 1'!$B:$B,$A339,'Таблиця 1'!$I:$I,"МіГ-29",'Таблиця 1'!$J:$J,"AASM-250")+SUMIFS('Таблиця 1'!$K:$K,'Таблиця 1'!$B:$B,$A339,'Таблиця 1'!$I:$I,"Су-25",'Таблиця 1'!$J:$J,"AASM-250")+SUMIFS('Таблиця 1'!$K:$K,'Таблиця 1'!$B:$B,$A339,'Таблиця 1'!$I:$I,"Су-27",'Таблиця 1'!$J:$J,"AASM-250"))</f>
        <v/>
      </c>
      <c r="J339">
        <f>IF($A339="","",SUMIFS('Таблиця 1'!$K:$K,'Таблиця 1'!$B:$B,$A339,'Таблиця 1'!$I:$I,"Mirage",'Таблиця 1'!$J:$J,"GBU-39")+SUMIFS('Таблиця 1'!$K:$K,'Таблиця 1'!$B:$B,$A339,'Таблиця 1'!$I:$I,"F-16",'Таблиця 1'!$J:$J,"GBU-39")+SUMIFS('Таблиця 1'!$K:$K,'Таблиця 1'!$B:$B,$A339,'Таблиця 1'!$I:$I,"МіГ-29",'Таблиця 1'!$J:$J,"GBU-39")+SUMIFS('Таблиця 1'!$K:$K,'Таблиця 1'!$B:$B,$A339,'Таблиця 1'!$I:$I,"Су-25",'Таблиця 1'!$J:$J,"GBU-39")+SUMIFS('Таблиця 1'!$K:$K,'Таблиця 1'!$B:$B,$A339,'Таблиця 1'!$I:$I,"Су-27",'Таблиця 1'!$J:$J,"GBU-39"))</f>
        <v/>
      </c>
      <c r="K339">
        <f>IF($A339="","",SUMIFS('Таблиця 1'!$K:$K,'Таблиця 1'!$B:$B,$A339,'Таблиця 1'!$I:$I,"Mirage",'Таблиця 1'!$J:$J,"BLU-140")+SUMIFS('Таблиця 1'!$K:$K,'Таблиця 1'!$B:$B,$A339,'Таблиця 1'!$I:$I,"F-16",'Таблиця 1'!$J:$J,"BLU-140")+SUMIFS('Таблиця 1'!$K:$K,'Таблиця 1'!$B:$B,$A339,'Таблиця 1'!$I:$I,"МіГ-29",'Таблиця 1'!$J:$J,"BLU-140")+SUMIFS('Таблиця 1'!$K:$K,'Таблиця 1'!$B:$B,$A339,'Таблиця 1'!$I:$I,"Су-25",'Таблиця 1'!$J:$J,"BLU-140")+SUMIFS('Таблиця 1'!$K:$K,'Таблиця 1'!$B:$B,$A339,'Таблиця 1'!$I:$I,"Су-27",'Таблиця 1'!$J:$J,"BLU-140"))</f>
        <v/>
      </c>
      <c r="L339">
        <f>IF($A339="","",SUMIFS('Таблиця 1'!$K:$K,'Таблиця 1'!$B:$B,$A339,'Таблиця 1'!$I:$I,"Mirage",'Таблиця 1'!$J:$J,"GBU-65")+SUMIFS('Таблиця 1'!$K:$K,'Таблиця 1'!$B:$B,$A339,'Таблиця 1'!$I:$I,"F-16",'Таблиця 1'!$J:$J,"GBU-65")+SUMIFS('Таблиця 1'!$K:$K,'Таблиця 1'!$B:$B,$A339,'Таблиця 1'!$I:$I,"МіГ-29",'Таблиця 1'!$J:$J,"GBU-65")+SUMIFS('Таблиця 1'!$K:$K,'Таблиця 1'!$B:$B,$A339,'Таблиця 1'!$I:$I,"Су-25",'Таблиця 1'!$J:$J,"GBU-65")+SUMIFS('Таблиця 1'!$K:$K,'Таблиця 1'!$B:$B,$A339,'Таблиця 1'!$I:$I,"Су-27",'Таблиця 1'!$J:$J,"GBU-65"))</f>
        <v/>
      </c>
      <c r="M339">
        <f>IF($A339="","",SUMIFS('Таблиця 1'!$K:$K,'Таблиця 1'!$B:$B,$A339,'Таблиця 1'!$I:$I,"Mirage",'Таблиця 1'!$J:$J,"GBU-62")+SUMIFS('Таблиця 1'!$K:$K,'Таблиця 1'!$B:$B,$A339,'Таблиця 1'!$I:$I,"F-16",'Таблиця 1'!$J:$J,"GBU-62")+SUMIFS('Таблиця 1'!$K:$K,'Таблиця 1'!$B:$B,$A339,'Таблиця 1'!$I:$I,"МіГ-29",'Таблиця 1'!$J:$J,"GBU-62")+SUMIFS('Таблиця 1'!$K:$K,'Таблиця 1'!$B:$B,$A339,'Таблиця 1'!$I:$I,"Су-25",'Таблиця 1'!$J:$J,"GBU-62")+SUMIFS('Таблиця 1'!$K:$K,'Таблиця 1'!$B:$B,$A339,'Таблиця 1'!$I:$I,"Су-27",'Таблиця 1'!$J:$J,"GBU-62"))</f>
        <v/>
      </c>
      <c r="N339">
        <f>IF($A339="","",SUMIFS('Таблиця 1'!$K:$K,'Таблиця 1'!$B:$B,$A339,'Таблиця 1'!$I:$I,"Mirage",'Таблиця 1'!$J:$J,"GBU-64")+SUMIFS('Таблиця 1'!$K:$K,'Таблиця 1'!$B:$B,$A339,'Таблиця 1'!$I:$I,"F-16",'Таблиця 1'!$J:$J,"GBU-64")+SUMIFS('Таблиця 1'!$K:$K,'Таблиця 1'!$B:$B,$A339,'Таблиця 1'!$I:$I,"МіГ-29",'Таблиця 1'!$J:$J,"GBU-64")+SUMIFS('Таблиця 1'!$K:$K,'Таблиця 1'!$B:$B,$A339,'Таблиця 1'!$I:$I,"Су-25",'Таблиця 1'!$J:$J,"GBU-64")+SUMIFS('Таблиця 1'!$K:$K,'Таблиця 1'!$B:$B,$A339,'Таблиця 1'!$I:$I,"Су-27",'Таблиця 1'!$J:$J,"GBU-64"))</f>
        <v/>
      </c>
      <c r="O339">
        <f>IF($A339="","",SUMIFS('Таблиця 1'!$K:$K,'Таблиця 1'!$B:$B,$A339,'Таблиця 1'!$I:$I,"Mirage",'Таблиця 1'!$J:$J,"C-13")+SUMIFS('Таблиця 1'!$K:$K,'Таблиця 1'!$B:$B,$A339,'Таблиця 1'!$I:$I,"F-16",'Таблиця 1'!$J:$J,"C-13")+SUMIFS('Таблиця 1'!$K:$K,'Таблиця 1'!$B:$B,$A339,'Таблиця 1'!$I:$I,"МіГ-29",'Таблиця 1'!$J:$J,"C-13")+SUMIFS('Таблиця 1'!$K:$K,'Таблиця 1'!$B:$B,$A339,'Таблиця 1'!$I:$I,"Су-25",'Таблиця 1'!$J:$J,"C-13")+SUMIFS('Таблиця 1'!$K:$K,'Таблиця 1'!$B:$B,$A339,'Таблиця 1'!$I:$I,"Су-27",'Таблиця 1'!$J:$J,"C-13"))</f>
        <v/>
      </c>
      <c r="P339">
        <f>IF($A339="","",SUMIFS('Таблиця 1'!$K:$K,'Таблиця 1'!$B:$B,$A339,'Таблиця 1'!$I:$I,"Mirage",'Таблиця 1'!$J:$J,"MK-32")+SUMIFS('Таблиця 1'!$K:$K,'Таблиця 1'!$B:$B,$A339,'Таблиця 1'!$I:$I,"F-16",'Таблиця 1'!$J:$J,"MK-32")+SUMIFS('Таблиця 1'!$K:$K,'Таблиця 1'!$B:$B,$A339,'Таблиця 1'!$I:$I,"МіГ-29",'Таблиця 1'!$J:$J,"MK-32")+SUMIFS('Таблиця 1'!$K:$K,'Таблиця 1'!$B:$B,$A339,'Таблиця 1'!$I:$I,"Су-25",'Таблиця 1'!$J:$J,"MK-32")+SUMIFS('Таблиця 1'!$K:$K,'Таблиця 1'!$B:$B,$A339,'Таблиця 1'!$I:$I,"Су-27",'Таблиця 1'!$J:$J,"MK-32"))</f>
        <v/>
      </c>
      <c r="Q339">
        <f>IF($A339="","",SUMIFS('Таблиця 1'!$K:$K,'Таблиця 1'!$B:$B,$A339,'Таблиця 1'!$I:$I,"Mirage",'Таблиця 1'!$J:$J,"MK-24")+SUMIFS('Таблиця 1'!$K:$K,'Таблиця 1'!$B:$B,$A339,'Таблиця 1'!$I:$I,"F-16",'Таблиця 1'!$J:$J,"MK-24")+SUMIFS('Таблиця 1'!$K:$K,'Таблиця 1'!$B:$B,$A339,'Таблиця 1'!$I:$I,"МіГ-29",'Таблиця 1'!$J:$J,"MK-24")+SUMIFS('Таблиця 1'!$K:$K,'Таблиця 1'!$B:$B,$A339,'Таблиця 1'!$I:$I,"Су-25",'Таблиця 1'!$J:$J,"MK-24")+SUMIFS('Таблиця 1'!$K:$K,'Таблиця 1'!$B:$B,$A339,'Таблиця 1'!$I:$I,"Су-27",'Таблиця 1'!$J:$J,"MK-24"))</f>
        <v/>
      </c>
      <c r="R339">
        <f>IF($A339="","",COUNTIFS('Таблиця 1'!$B:$B,$A339,'Таблиця 1'!$I:$I,"Mirage",'Таблиця 1'!$L:$L,"Уражено")+COUNTIFS('Таблиця 1'!$B:$B,$A339,'Таблиця 1'!$I:$I,"F-16",'Таблиця 1'!$L:$L,"Уражено")+COUNTIFS('Таблиця 1'!$B:$B,$A339,'Таблиця 1'!$I:$I,"МіГ-29",'Таблиця 1'!$L:$L,"Уражено")+COUNTIFS('Таблиця 1'!$B:$B,$A339,'Таблиця 1'!$I:$I,"Су-25",'Таблиця 1'!$L:$L,"Уражено")+COUNTIFS('Таблиця 1'!$B:$B,$A339,'Таблиця 1'!$I:$I,"Су-27",'Таблиця 1'!$L:$L,"Уражено"))</f>
        <v/>
      </c>
      <c r="S339">
        <f>IF($A339="","",COUNTIFS('Таблиця 1'!$B:$B,$A339,'Таблиця 1'!$I:$I,"Mirage",'Таблиця 1'!$L:$L,"НЕ уражено")+COUNTIFS('Таблиця 1'!$B:$B,$A339,'Таблиця 1'!$I:$I,"F-16",'Таблиця 1'!$L:$L,"НЕ уражено")+COUNTIFS('Таблиця 1'!$B:$B,$A339,'Таблиця 1'!$I:$I,"МіГ-29",'Таблиця 1'!$L:$L,"НЕ уражено")+COUNTIFS('Таблиця 1'!$B:$B,$A339,'Таблиця 1'!$I:$I,"Су-25",'Таблиця 1'!$L:$L,"НЕ уражено")+COUNTIFS('Таблиця 1'!$B:$B,$A339,'Таблиця 1'!$I:$I,"Су-27",'Таблиця 1'!$L:$L,"НЕ уражено"))</f>
        <v/>
      </c>
      <c r="T339">
        <f>IF($A339="","",COUNTIFS('Таблиця 1'!$B:$B,$A339,'Таблиця 1'!$I:$I,"Mirage",'Таблиця 1'!$L:$L,"Дорозвідується")+COUNTIFS('Таблиця 1'!$B:$B,$A339,'Таблиця 1'!$I:$I,"F-16",'Таблиця 1'!$L:$L,"Дорозвідується")+COUNTIFS('Таблиця 1'!$B:$B,$A339,'Таблиця 1'!$I:$I,"МіГ-29",'Таблиця 1'!$L:$L,"Дорозвідується")+COUNTIFS('Таблиця 1'!$B:$B,$A339,'Таблиця 1'!$I:$I,"Су-25",'Таблиця 1'!$L:$L,"Дорозвідується")+COUNTIFS('Таблиця 1'!$B:$B,$A339,'Таблиця 1'!$I:$I,"Су-27",'Таблиця 1'!$L:$L,"Дорозвідується"))</f>
        <v/>
      </c>
    </row>
    <row r="340">
      <c r="A340" s="273">
        <f>IF(A339="","",IF(A339+1&gt;MAX('Таблиця 1'!$B:$B),"",A339+1))</f>
        <v/>
      </c>
      <c r="B340">
        <f>IF($A340="","",COUNTIFS('Таблиця 1'!$B:$B,$A340,'Таблиця 1'!$I:$I,"Mirage")+COUNTIFS('Таблиця 1'!$B:$B,$A340,'Таблиця 1'!$I:$I,"F-16")+COUNTIFS('Таблиця 1'!$B:$B,$A340,'Таблиця 1'!$I:$I,"МіГ-29")+COUNTIFS('Таблиця 1'!$B:$B,$A340,'Таблиця 1'!$I:$I,"Су-25")+COUNTIFS('Таблиця 1'!$B:$B,$A340,'Таблиця 1'!$I:$I,"Су-27"))</f>
        <v/>
      </c>
      <c r="C340">
        <f>IF($A340="","",COUNTIFS('Таблиця 1'!$B:$B,$A340,'Таблиця 1'!$I:$I,"Mirage"))</f>
        <v/>
      </c>
      <c r="D340">
        <f>IF($A340="","",COUNTIFS('Таблиця 1'!$B:$B,$A340,'Таблиця 1'!$I:$I,"F-16"))</f>
        <v/>
      </c>
      <c r="E340">
        <f>IF($A340="","",COUNTIFS('Таблиця 1'!$B:$B,$A340,'Таблиця 1'!$I:$I,"МіГ-29"))</f>
        <v/>
      </c>
      <c r="F340">
        <f>IF($A340="","",COUNTIFS('Таблиця 1'!$B:$B,$A340,'Таблиця 1'!$I:$I,"Су-25"))</f>
        <v/>
      </c>
      <c r="G340">
        <f>IF($A340="","",COUNTIFS('Таблиця 1'!$B:$B,$A340,'Таблиця 1'!$I:$I,"Су-27"))</f>
        <v/>
      </c>
      <c r="H340">
        <f>IF($A340="","",SUMIFS('Таблиця 1'!$K:$K,'Таблиця 1'!$B:$B,$A340,'Таблиця 1'!$I:$I,"Mirage",'Таблиця 1'!$J:$J,"AGM-88")+SUMIFS('Таблиця 1'!$K:$K,'Таблиця 1'!$B:$B,$A340,'Таблиця 1'!$I:$I,"F-16",'Таблиця 1'!$J:$J,"AGM-88")+SUMIFS('Таблиця 1'!$K:$K,'Таблиця 1'!$B:$B,$A340,'Таблиця 1'!$I:$I,"МіГ-29",'Таблиця 1'!$J:$J,"AGM-88")+SUMIFS('Таблиця 1'!$K:$K,'Таблиця 1'!$B:$B,$A340,'Таблиця 1'!$I:$I,"Су-25",'Таблиця 1'!$J:$J,"AGM-88")+SUMIFS('Таблиця 1'!$K:$K,'Таблиця 1'!$B:$B,$A340,'Таблиця 1'!$I:$I,"Су-27",'Таблиця 1'!$J:$J,"AGM-88"))</f>
        <v/>
      </c>
      <c r="I340">
        <f>IF($A340="","",SUMIFS('Таблиця 1'!$K:$K,'Таблиця 1'!$B:$B,$A340,'Таблиця 1'!$I:$I,"Mirage",'Таблиця 1'!$J:$J,"AASM-250")+SUMIFS('Таблиця 1'!$K:$K,'Таблиця 1'!$B:$B,$A340,'Таблиця 1'!$I:$I,"F-16",'Таблиця 1'!$J:$J,"AASM-250")+SUMIFS('Таблиця 1'!$K:$K,'Таблиця 1'!$B:$B,$A340,'Таблиця 1'!$I:$I,"МіГ-29",'Таблиця 1'!$J:$J,"AASM-250")+SUMIFS('Таблиця 1'!$K:$K,'Таблиця 1'!$B:$B,$A340,'Таблиця 1'!$I:$I,"Су-25",'Таблиця 1'!$J:$J,"AASM-250")+SUMIFS('Таблиця 1'!$K:$K,'Таблиця 1'!$B:$B,$A340,'Таблиця 1'!$I:$I,"Су-27",'Таблиця 1'!$J:$J,"AASM-250"))</f>
        <v/>
      </c>
      <c r="J340">
        <f>IF($A340="","",SUMIFS('Таблиця 1'!$K:$K,'Таблиця 1'!$B:$B,$A340,'Таблиця 1'!$I:$I,"Mirage",'Таблиця 1'!$J:$J,"GBU-39")+SUMIFS('Таблиця 1'!$K:$K,'Таблиця 1'!$B:$B,$A340,'Таблиця 1'!$I:$I,"F-16",'Таблиця 1'!$J:$J,"GBU-39")+SUMIFS('Таблиця 1'!$K:$K,'Таблиця 1'!$B:$B,$A340,'Таблиця 1'!$I:$I,"МіГ-29",'Таблиця 1'!$J:$J,"GBU-39")+SUMIFS('Таблиця 1'!$K:$K,'Таблиця 1'!$B:$B,$A340,'Таблиця 1'!$I:$I,"Су-25",'Таблиця 1'!$J:$J,"GBU-39")+SUMIFS('Таблиця 1'!$K:$K,'Таблиця 1'!$B:$B,$A340,'Таблиця 1'!$I:$I,"Су-27",'Таблиця 1'!$J:$J,"GBU-39"))</f>
        <v/>
      </c>
      <c r="K340">
        <f>IF($A340="","",SUMIFS('Таблиця 1'!$K:$K,'Таблиця 1'!$B:$B,$A340,'Таблиця 1'!$I:$I,"Mirage",'Таблиця 1'!$J:$J,"BLU-140")+SUMIFS('Таблиця 1'!$K:$K,'Таблиця 1'!$B:$B,$A340,'Таблиця 1'!$I:$I,"F-16",'Таблиця 1'!$J:$J,"BLU-140")+SUMIFS('Таблиця 1'!$K:$K,'Таблиця 1'!$B:$B,$A340,'Таблиця 1'!$I:$I,"МіГ-29",'Таблиця 1'!$J:$J,"BLU-140")+SUMIFS('Таблиця 1'!$K:$K,'Таблиця 1'!$B:$B,$A340,'Таблиця 1'!$I:$I,"Су-25",'Таблиця 1'!$J:$J,"BLU-140")+SUMIFS('Таблиця 1'!$K:$K,'Таблиця 1'!$B:$B,$A340,'Таблиця 1'!$I:$I,"Су-27",'Таблиця 1'!$J:$J,"BLU-140"))</f>
        <v/>
      </c>
      <c r="L340">
        <f>IF($A340="","",SUMIFS('Таблиця 1'!$K:$K,'Таблиця 1'!$B:$B,$A340,'Таблиця 1'!$I:$I,"Mirage",'Таблиця 1'!$J:$J,"GBU-65")+SUMIFS('Таблиця 1'!$K:$K,'Таблиця 1'!$B:$B,$A340,'Таблиця 1'!$I:$I,"F-16",'Таблиця 1'!$J:$J,"GBU-65")+SUMIFS('Таблиця 1'!$K:$K,'Таблиця 1'!$B:$B,$A340,'Таблиця 1'!$I:$I,"МіГ-29",'Таблиця 1'!$J:$J,"GBU-65")+SUMIFS('Таблиця 1'!$K:$K,'Таблиця 1'!$B:$B,$A340,'Таблиця 1'!$I:$I,"Су-25",'Таблиця 1'!$J:$J,"GBU-65")+SUMIFS('Таблиця 1'!$K:$K,'Таблиця 1'!$B:$B,$A340,'Таблиця 1'!$I:$I,"Су-27",'Таблиця 1'!$J:$J,"GBU-65"))</f>
        <v/>
      </c>
      <c r="M340">
        <f>IF($A340="","",SUMIFS('Таблиця 1'!$K:$K,'Таблиця 1'!$B:$B,$A340,'Таблиця 1'!$I:$I,"Mirage",'Таблиця 1'!$J:$J,"GBU-62")+SUMIFS('Таблиця 1'!$K:$K,'Таблиця 1'!$B:$B,$A340,'Таблиця 1'!$I:$I,"F-16",'Таблиця 1'!$J:$J,"GBU-62")+SUMIFS('Таблиця 1'!$K:$K,'Таблиця 1'!$B:$B,$A340,'Таблиця 1'!$I:$I,"МіГ-29",'Таблиця 1'!$J:$J,"GBU-62")+SUMIFS('Таблиця 1'!$K:$K,'Таблиця 1'!$B:$B,$A340,'Таблиця 1'!$I:$I,"Су-25",'Таблиця 1'!$J:$J,"GBU-62")+SUMIFS('Таблиця 1'!$K:$K,'Таблиця 1'!$B:$B,$A340,'Таблиця 1'!$I:$I,"Су-27",'Таблиця 1'!$J:$J,"GBU-62"))</f>
        <v/>
      </c>
      <c r="N340">
        <f>IF($A340="","",SUMIFS('Таблиця 1'!$K:$K,'Таблиця 1'!$B:$B,$A340,'Таблиця 1'!$I:$I,"Mirage",'Таблиця 1'!$J:$J,"GBU-64")+SUMIFS('Таблиця 1'!$K:$K,'Таблиця 1'!$B:$B,$A340,'Таблиця 1'!$I:$I,"F-16",'Таблиця 1'!$J:$J,"GBU-64")+SUMIFS('Таблиця 1'!$K:$K,'Таблиця 1'!$B:$B,$A340,'Таблиця 1'!$I:$I,"МіГ-29",'Таблиця 1'!$J:$J,"GBU-64")+SUMIFS('Таблиця 1'!$K:$K,'Таблиця 1'!$B:$B,$A340,'Таблиця 1'!$I:$I,"Су-25",'Таблиця 1'!$J:$J,"GBU-64")+SUMIFS('Таблиця 1'!$K:$K,'Таблиця 1'!$B:$B,$A340,'Таблиця 1'!$I:$I,"Су-27",'Таблиця 1'!$J:$J,"GBU-64"))</f>
        <v/>
      </c>
      <c r="O340">
        <f>IF($A340="","",SUMIFS('Таблиця 1'!$K:$K,'Таблиця 1'!$B:$B,$A340,'Таблиця 1'!$I:$I,"Mirage",'Таблиця 1'!$J:$J,"C-13")+SUMIFS('Таблиця 1'!$K:$K,'Таблиця 1'!$B:$B,$A340,'Таблиця 1'!$I:$I,"F-16",'Таблиця 1'!$J:$J,"C-13")+SUMIFS('Таблиця 1'!$K:$K,'Таблиця 1'!$B:$B,$A340,'Таблиця 1'!$I:$I,"МіГ-29",'Таблиця 1'!$J:$J,"C-13")+SUMIFS('Таблиця 1'!$K:$K,'Таблиця 1'!$B:$B,$A340,'Таблиця 1'!$I:$I,"Су-25",'Таблиця 1'!$J:$J,"C-13")+SUMIFS('Таблиця 1'!$K:$K,'Таблиця 1'!$B:$B,$A340,'Таблиця 1'!$I:$I,"Су-27",'Таблиця 1'!$J:$J,"C-13"))</f>
        <v/>
      </c>
      <c r="P340">
        <f>IF($A340="","",SUMIFS('Таблиця 1'!$K:$K,'Таблиця 1'!$B:$B,$A340,'Таблиця 1'!$I:$I,"Mirage",'Таблиця 1'!$J:$J,"MK-32")+SUMIFS('Таблиця 1'!$K:$K,'Таблиця 1'!$B:$B,$A340,'Таблиця 1'!$I:$I,"F-16",'Таблиця 1'!$J:$J,"MK-32")+SUMIFS('Таблиця 1'!$K:$K,'Таблиця 1'!$B:$B,$A340,'Таблиця 1'!$I:$I,"МіГ-29",'Таблиця 1'!$J:$J,"MK-32")+SUMIFS('Таблиця 1'!$K:$K,'Таблиця 1'!$B:$B,$A340,'Таблиця 1'!$I:$I,"Су-25",'Таблиця 1'!$J:$J,"MK-32")+SUMIFS('Таблиця 1'!$K:$K,'Таблиця 1'!$B:$B,$A340,'Таблиця 1'!$I:$I,"Су-27",'Таблиця 1'!$J:$J,"MK-32"))</f>
        <v/>
      </c>
      <c r="Q340">
        <f>IF($A340="","",SUMIFS('Таблиця 1'!$K:$K,'Таблиця 1'!$B:$B,$A340,'Таблиця 1'!$I:$I,"Mirage",'Таблиця 1'!$J:$J,"MK-24")+SUMIFS('Таблиця 1'!$K:$K,'Таблиця 1'!$B:$B,$A340,'Таблиця 1'!$I:$I,"F-16",'Таблиця 1'!$J:$J,"MK-24")+SUMIFS('Таблиця 1'!$K:$K,'Таблиця 1'!$B:$B,$A340,'Таблиця 1'!$I:$I,"МіГ-29",'Таблиця 1'!$J:$J,"MK-24")+SUMIFS('Таблиця 1'!$K:$K,'Таблиця 1'!$B:$B,$A340,'Таблиця 1'!$I:$I,"Су-25",'Таблиця 1'!$J:$J,"MK-24")+SUMIFS('Таблиця 1'!$K:$K,'Таблиця 1'!$B:$B,$A340,'Таблиця 1'!$I:$I,"Су-27",'Таблиця 1'!$J:$J,"MK-24"))</f>
        <v/>
      </c>
      <c r="R340">
        <f>IF($A340="","",COUNTIFS('Таблиця 1'!$B:$B,$A340,'Таблиця 1'!$I:$I,"Mirage",'Таблиця 1'!$L:$L,"Уражено")+COUNTIFS('Таблиця 1'!$B:$B,$A340,'Таблиця 1'!$I:$I,"F-16",'Таблиця 1'!$L:$L,"Уражено")+COUNTIFS('Таблиця 1'!$B:$B,$A340,'Таблиця 1'!$I:$I,"МіГ-29",'Таблиця 1'!$L:$L,"Уражено")+COUNTIFS('Таблиця 1'!$B:$B,$A340,'Таблиця 1'!$I:$I,"Су-25",'Таблиця 1'!$L:$L,"Уражено")+COUNTIFS('Таблиця 1'!$B:$B,$A340,'Таблиця 1'!$I:$I,"Су-27",'Таблиця 1'!$L:$L,"Уражено"))</f>
        <v/>
      </c>
      <c r="S340">
        <f>IF($A340="","",COUNTIFS('Таблиця 1'!$B:$B,$A340,'Таблиця 1'!$I:$I,"Mirage",'Таблиця 1'!$L:$L,"НЕ уражено")+COUNTIFS('Таблиця 1'!$B:$B,$A340,'Таблиця 1'!$I:$I,"F-16",'Таблиця 1'!$L:$L,"НЕ уражено")+COUNTIFS('Таблиця 1'!$B:$B,$A340,'Таблиця 1'!$I:$I,"МіГ-29",'Таблиця 1'!$L:$L,"НЕ уражено")+COUNTIFS('Таблиця 1'!$B:$B,$A340,'Таблиця 1'!$I:$I,"Су-25",'Таблиця 1'!$L:$L,"НЕ уражено")+COUNTIFS('Таблиця 1'!$B:$B,$A340,'Таблиця 1'!$I:$I,"Су-27",'Таблиця 1'!$L:$L,"НЕ уражено"))</f>
        <v/>
      </c>
      <c r="T340">
        <f>IF($A340="","",COUNTIFS('Таблиця 1'!$B:$B,$A340,'Таблиця 1'!$I:$I,"Mirage",'Таблиця 1'!$L:$L,"Дорозвідується")+COUNTIFS('Таблиця 1'!$B:$B,$A340,'Таблиця 1'!$I:$I,"F-16",'Таблиця 1'!$L:$L,"Дорозвідується")+COUNTIFS('Таблиця 1'!$B:$B,$A340,'Таблиця 1'!$I:$I,"МіГ-29",'Таблиця 1'!$L:$L,"Дорозвідується")+COUNTIFS('Таблиця 1'!$B:$B,$A340,'Таблиця 1'!$I:$I,"Су-25",'Таблиця 1'!$L:$L,"Дорозвідується")+COUNTIFS('Таблиця 1'!$B:$B,$A340,'Таблиця 1'!$I:$I,"Су-27",'Таблиця 1'!$L:$L,"Дорозвідується"))</f>
        <v/>
      </c>
    </row>
    <row r="341">
      <c r="A341" s="273">
        <f>IF(A340="","",IF(A340+1&gt;MAX('Таблиця 1'!$B:$B),"",A340+1))</f>
        <v/>
      </c>
      <c r="B341">
        <f>IF($A341="","",COUNTIFS('Таблиця 1'!$B:$B,$A341,'Таблиця 1'!$I:$I,"Mirage")+COUNTIFS('Таблиця 1'!$B:$B,$A341,'Таблиця 1'!$I:$I,"F-16")+COUNTIFS('Таблиця 1'!$B:$B,$A341,'Таблиця 1'!$I:$I,"МіГ-29")+COUNTIFS('Таблиця 1'!$B:$B,$A341,'Таблиця 1'!$I:$I,"Су-25")+COUNTIFS('Таблиця 1'!$B:$B,$A341,'Таблиця 1'!$I:$I,"Су-27"))</f>
        <v/>
      </c>
      <c r="C341">
        <f>IF($A341="","",COUNTIFS('Таблиця 1'!$B:$B,$A341,'Таблиця 1'!$I:$I,"Mirage"))</f>
        <v/>
      </c>
      <c r="D341">
        <f>IF($A341="","",COUNTIFS('Таблиця 1'!$B:$B,$A341,'Таблиця 1'!$I:$I,"F-16"))</f>
        <v/>
      </c>
      <c r="E341">
        <f>IF($A341="","",COUNTIFS('Таблиця 1'!$B:$B,$A341,'Таблиця 1'!$I:$I,"МіГ-29"))</f>
        <v/>
      </c>
      <c r="F341">
        <f>IF($A341="","",COUNTIFS('Таблиця 1'!$B:$B,$A341,'Таблиця 1'!$I:$I,"Су-25"))</f>
        <v/>
      </c>
      <c r="G341">
        <f>IF($A341="","",COUNTIFS('Таблиця 1'!$B:$B,$A341,'Таблиця 1'!$I:$I,"Су-27"))</f>
        <v/>
      </c>
      <c r="H341">
        <f>IF($A341="","",SUMIFS('Таблиця 1'!$K:$K,'Таблиця 1'!$B:$B,$A341,'Таблиця 1'!$I:$I,"Mirage",'Таблиця 1'!$J:$J,"AGM-88")+SUMIFS('Таблиця 1'!$K:$K,'Таблиця 1'!$B:$B,$A341,'Таблиця 1'!$I:$I,"F-16",'Таблиця 1'!$J:$J,"AGM-88")+SUMIFS('Таблиця 1'!$K:$K,'Таблиця 1'!$B:$B,$A341,'Таблиця 1'!$I:$I,"МіГ-29",'Таблиця 1'!$J:$J,"AGM-88")+SUMIFS('Таблиця 1'!$K:$K,'Таблиця 1'!$B:$B,$A341,'Таблиця 1'!$I:$I,"Су-25",'Таблиця 1'!$J:$J,"AGM-88")+SUMIFS('Таблиця 1'!$K:$K,'Таблиця 1'!$B:$B,$A341,'Таблиця 1'!$I:$I,"Су-27",'Таблиця 1'!$J:$J,"AGM-88"))</f>
        <v/>
      </c>
      <c r="I341">
        <f>IF($A341="","",SUMIFS('Таблиця 1'!$K:$K,'Таблиця 1'!$B:$B,$A341,'Таблиця 1'!$I:$I,"Mirage",'Таблиця 1'!$J:$J,"AASM-250")+SUMIFS('Таблиця 1'!$K:$K,'Таблиця 1'!$B:$B,$A341,'Таблиця 1'!$I:$I,"F-16",'Таблиця 1'!$J:$J,"AASM-250")+SUMIFS('Таблиця 1'!$K:$K,'Таблиця 1'!$B:$B,$A341,'Таблиця 1'!$I:$I,"МіГ-29",'Таблиця 1'!$J:$J,"AASM-250")+SUMIFS('Таблиця 1'!$K:$K,'Таблиця 1'!$B:$B,$A341,'Таблиця 1'!$I:$I,"Су-25",'Таблиця 1'!$J:$J,"AASM-250")+SUMIFS('Таблиця 1'!$K:$K,'Таблиця 1'!$B:$B,$A341,'Таблиця 1'!$I:$I,"Су-27",'Таблиця 1'!$J:$J,"AASM-250"))</f>
        <v/>
      </c>
      <c r="J341">
        <f>IF($A341="","",SUMIFS('Таблиця 1'!$K:$K,'Таблиця 1'!$B:$B,$A341,'Таблиця 1'!$I:$I,"Mirage",'Таблиця 1'!$J:$J,"GBU-39")+SUMIFS('Таблиця 1'!$K:$K,'Таблиця 1'!$B:$B,$A341,'Таблиця 1'!$I:$I,"F-16",'Таблиця 1'!$J:$J,"GBU-39")+SUMIFS('Таблиця 1'!$K:$K,'Таблиця 1'!$B:$B,$A341,'Таблиця 1'!$I:$I,"МіГ-29",'Таблиця 1'!$J:$J,"GBU-39")+SUMIFS('Таблиця 1'!$K:$K,'Таблиця 1'!$B:$B,$A341,'Таблиця 1'!$I:$I,"Су-25",'Таблиця 1'!$J:$J,"GBU-39")+SUMIFS('Таблиця 1'!$K:$K,'Таблиця 1'!$B:$B,$A341,'Таблиця 1'!$I:$I,"Су-27",'Таблиця 1'!$J:$J,"GBU-39"))</f>
        <v/>
      </c>
      <c r="K341">
        <f>IF($A341="","",SUMIFS('Таблиця 1'!$K:$K,'Таблиця 1'!$B:$B,$A341,'Таблиця 1'!$I:$I,"Mirage",'Таблиця 1'!$J:$J,"BLU-140")+SUMIFS('Таблиця 1'!$K:$K,'Таблиця 1'!$B:$B,$A341,'Таблиця 1'!$I:$I,"F-16",'Таблиця 1'!$J:$J,"BLU-140")+SUMIFS('Таблиця 1'!$K:$K,'Таблиця 1'!$B:$B,$A341,'Таблиця 1'!$I:$I,"МіГ-29",'Таблиця 1'!$J:$J,"BLU-140")+SUMIFS('Таблиця 1'!$K:$K,'Таблиця 1'!$B:$B,$A341,'Таблиця 1'!$I:$I,"Су-25",'Таблиця 1'!$J:$J,"BLU-140")+SUMIFS('Таблиця 1'!$K:$K,'Таблиця 1'!$B:$B,$A341,'Таблиця 1'!$I:$I,"Су-27",'Таблиця 1'!$J:$J,"BLU-140"))</f>
        <v/>
      </c>
      <c r="L341">
        <f>IF($A341="","",SUMIFS('Таблиця 1'!$K:$K,'Таблиця 1'!$B:$B,$A341,'Таблиця 1'!$I:$I,"Mirage",'Таблиця 1'!$J:$J,"GBU-65")+SUMIFS('Таблиця 1'!$K:$K,'Таблиця 1'!$B:$B,$A341,'Таблиця 1'!$I:$I,"F-16",'Таблиця 1'!$J:$J,"GBU-65")+SUMIFS('Таблиця 1'!$K:$K,'Таблиця 1'!$B:$B,$A341,'Таблиця 1'!$I:$I,"МіГ-29",'Таблиця 1'!$J:$J,"GBU-65")+SUMIFS('Таблиця 1'!$K:$K,'Таблиця 1'!$B:$B,$A341,'Таблиця 1'!$I:$I,"Су-25",'Таблиця 1'!$J:$J,"GBU-65")+SUMIFS('Таблиця 1'!$K:$K,'Таблиця 1'!$B:$B,$A341,'Таблиця 1'!$I:$I,"Су-27",'Таблиця 1'!$J:$J,"GBU-65"))</f>
        <v/>
      </c>
      <c r="M341">
        <f>IF($A341="","",SUMIFS('Таблиця 1'!$K:$K,'Таблиця 1'!$B:$B,$A341,'Таблиця 1'!$I:$I,"Mirage",'Таблиця 1'!$J:$J,"GBU-62")+SUMIFS('Таблиця 1'!$K:$K,'Таблиця 1'!$B:$B,$A341,'Таблиця 1'!$I:$I,"F-16",'Таблиця 1'!$J:$J,"GBU-62")+SUMIFS('Таблиця 1'!$K:$K,'Таблиця 1'!$B:$B,$A341,'Таблиця 1'!$I:$I,"МіГ-29",'Таблиця 1'!$J:$J,"GBU-62")+SUMIFS('Таблиця 1'!$K:$K,'Таблиця 1'!$B:$B,$A341,'Таблиця 1'!$I:$I,"Су-25",'Таблиця 1'!$J:$J,"GBU-62")+SUMIFS('Таблиця 1'!$K:$K,'Таблиця 1'!$B:$B,$A341,'Таблиця 1'!$I:$I,"Су-27",'Таблиця 1'!$J:$J,"GBU-62"))</f>
        <v/>
      </c>
      <c r="N341">
        <f>IF($A341="","",SUMIFS('Таблиця 1'!$K:$K,'Таблиця 1'!$B:$B,$A341,'Таблиця 1'!$I:$I,"Mirage",'Таблиця 1'!$J:$J,"GBU-64")+SUMIFS('Таблиця 1'!$K:$K,'Таблиця 1'!$B:$B,$A341,'Таблиця 1'!$I:$I,"F-16",'Таблиця 1'!$J:$J,"GBU-64")+SUMIFS('Таблиця 1'!$K:$K,'Таблиця 1'!$B:$B,$A341,'Таблиця 1'!$I:$I,"МіГ-29",'Таблиця 1'!$J:$J,"GBU-64")+SUMIFS('Таблиця 1'!$K:$K,'Таблиця 1'!$B:$B,$A341,'Таблиця 1'!$I:$I,"Су-25",'Таблиця 1'!$J:$J,"GBU-64")+SUMIFS('Таблиця 1'!$K:$K,'Таблиця 1'!$B:$B,$A341,'Таблиця 1'!$I:$I,"Су-27",'Таблиця 1'!$J:$J,"GBU-64"))</f>
        <v/>
      </c>
      <c r="O341">
        <f>IF($A341="","",SUMIFS('Таблиця 1'!$K:$K,'Таблиця 1'!$B:$B,$A341,'Таблиця 1'!$I:$I,"Mirage",'Таблиця 1'!$J:$J,"C-13")+SUMIFS('Таблиця 1'!$K:$K,'Таблиця 1'!$B:$B,$A341,'Таблиця 1'!$I:$I,"F-16",'Таблиця 1'!$J:$J,"C-13")+SUMIFS('Таблиця 1'!$K:$K,'Таблиця 1'!$B:$B,$A341,'Таблиця 1'!$I:$I,"МіГ-29",'Таблиця 1'!$J:$J,"C-13")+SUMIFS('Таблиця 1'!$K:$K,'Таблиця 1'!$B:$B,$A341,'Таблиця 1'!$I:$I,"Су-25",'Таблиця 1'!$J:$J,"C-13")+SUMIFS('Таблиця 1'!$K:$K,'Таблиця 1'!$B:$B,$A341,'Таблиця 1'!$I:$I,"Су-27",'Таблиця 1'!$J:$J,"C-13"))</f>
        <v/>
      </c>
      <c r="P341">
        <f>IF($A341="","",SUMIFS('Таблиця 1'!$K:$K,'Таблиця 1'!$B:$B,$A341,'Таблиця 1'!$I:$I,"Mirage",'Таблиця 1'!$J:$J,"MK-32")+SUMIFS('Таблиця 1'!$K:$K,'Таблиця 1'!$B:$B,$A341,'Таблиця 1'!$I:$I,"F-16",'Таблиця 1'!$J:$J,"MK-32")+SUMIFS('Таблиця 1'!$K:$K,'Таблиця 1'!$B:$B,$A341,'Таблиця 1'!$I:$I,"МіГ-29",'Таблиця 1'!$J:$J,"MK-32")+SUMIFS('Таблиця 1'!$K:$K,'Таблиця 1'!$B:$B,$A341,'Таблиця 1'!$I:$I,"Су-25",'Таблиця 1'!$J:$J,"MK-32")+SUMIFS('Таблиця 1'!$K:$K,'Таблиця 1'!$B:$B,$A341,'Таблиця 1'!$I:$I,"Су-27",'Таблиця 1'!$J:$J,"MK-32"))</f>
        <v/>
      </c>
      <c r="Q341">
        <f>IF($A341="","",SUMIFS('Таблиця 1'!$K:$K,'Таблиця 1'!$B:$B,$A341,'Таблиця 1'!$I:$I,"Mirage",'Таблиця 1'!$J:$J,"MK-24")+SUMIFS('Таблиця 1'!$K:$K,'Таблиця 1'!$B:$B,$A341,'Таблиця 1'!$I:$I,"F-16",'Таблиця 1'!$J:$J,"MK-24")+SUMIFS('Таблиця 1'!$K:$K,'Таблиця 1'!$B:$B,$A341,'Таблиця 1'!$I:$I,"МіГ-29",'Таблиця 1'!$J:$J,"MK-24")+SUMIFS('Таблиця 1'!$K:$K,'Таблиця 1'!$B:$B,$A341,'Таблиця 1'!$I:$I,"Су-25",'Таблиця 1'!$J:$J,"MK-24")+SUMIFS('Таблиця 1'!$K:$K,'Таблиця 1'!$B:$B,$A341,'Таблиця 1'!$I:$I,"Су-27",'Таблиця 1'!$J:$J,"MK-24"))</f>
        <v/>
      </c>
      <c r="R341">
        <f>IF($A341="","",COUNTIFS('Таблиця 1'!$B:$B,$A341,'Таблиця 1'!$I:$I,"Mirage",'Таблиця 1'!$L:$L,"Уражено")+COUNTIFS('Таблиця 1'!$B:$B,$A341,'Таблиця 1'!$I:$I,"F-16",'Таблиця 1'!$L:$L,"Уражено")+COUNTIFS('Таблиця 1'!$B:$B,$A341,'Таблиця 1'!$I:$I,"МіГ-29",'Таблиця 1'!$L:$L,"Уражено")+COUNTIFS('Таблиця 1'!$B:$B,$A341,'Таблиця 1'!$I:$I,"Су-25",'Таблиця 1'!$L:$L,"Уражено")+COUNTIFS('Таблиця 1'!$B:$B,$A341,'Таблиця 1'!$I:$I,"Су-27",'Таблиця 1'!$L:$L,"Уражено"))</f>
        <v/>
      </c>
      <c r="S341">
        <f>IF($A341="","",COUNTIFS('Таблиця 1'!$B:$B,$A341,'Таблиця 1'!$I:$I,"Mirage",'Таблиця 1'!$L:$L,"НЕ уражено")+COUNTIFS('Таблиця 1'!$B:$B,$A341,'Таблиця 1'!$I:$I,"F-16",'Таблиця 1'!$L:$L,"НЕ уражено")+COUNTIFS('Таблиця 1'!$B:$B,$A341,'Таблиця 1'!$I:$I,"МіГ-29",'Таблиця 1'!$L:$L,"НЕ уражено")+COUNTIFS('Таблиця 1'!$B:$B,$A341,'Таблиця 1'!$I:$I,"Су-25",'Таблиця 1'!$L:$L,"НЕ уражено")+COUNTIFS('Таблиця 1'!$B:$B,$A341,'Таблиця 1'!$I:$I,"Су-27",'Таблиця 1'!$L:$L,"НЕ уражено"))</f>
        <v/>
      </c>
      <c r="T341">
        <f>IF($A341="","",COUNTIFS('Таблиця 1'!$B:$B,$A341,'Таблиця 1'!$I:$I,"Mirage",'Таблиця 1'!$L:$L,"Дорозвідується")+COUNTIFS('Таблиця 1'!$B:$B,$A341,'Таблиця 1'!$I:$I,"F-16",'Таблиця 1'!$L:$L,"Дорозвідується")+COUNTIFS('Таблиця 1'!$B:$B,$A341,'Таблиця 1'!$I:$I,"МіГ-29",'Таблиця 1'!$L:$L,"Дорозвідується")+COUNTIFS('Таблиця 1'!$B:$B,$A341,'Таблиця 1'!$I:$I,"Су-25",'Таблиця 1'!$L:$L,"Дорозвідується")+COUNTIFS('Таблиця 1'!$B:$B,$A341,'Таблиця 1'!$I:$I,"Су-27",'Таблиця 1'!$L:$L,"Дорозвідується"))</f>
        <v/>
      </c>
    </row>
    <row r="342">
      <c r="A342" s="273">
        <f>IF(A341="","",IF(A341+1&gt;MAX('Таблиця 1'!$B:$B),"",A341+1))</f>
        <v/>
      </c>
      <c r="B342">
        <f>IF($A342="","",COUNTIFS('Таблиця 1'!$B:$B,$A342,'Таблиця 1'!$I:$I,"Mirage")+COUNTIFS('Таблиця 1'!$B:$B,$A342,'Таблиця 1'!$I:$I,"F-16")+COUNTIFS('Таблиця 1'!$B:$B,$A342,'Таблиця 1'!$I:$I,"МіГ-29")+COUNTIFS('Таблиця 1'!$B:$B,$A342,'Таблиця 1'!$I:$I,"Су-25")+COUNTIFS('Таблиця 1'!$B:$B,$A342,'Таблиця 1'!$I:$I,"Су-27"))</f>
        <v/>
      </c>
      <c r="C342">
        <f>IF($A342="","",COUNTIFS('Таблиця 1'!$B:$B,$A342,'Таблиця 1'!$I:$I,"Mirage"))</f>
        <v/>
      </c>
      <c r="D342">
        <f>IF($A342="","",COUNTIFS('Таблиця 1'!$B:$B,$A342,'Таблиця 1'!$I:$I,"F-16"))</f>
        <v/>
      </c>
      <c r="E342">
        <f>IF($A342="","",COUNTIFS('Таблиця 1'!$B:$B,$A342,'Таблиця 1'!$I:$I,"МіГ-29"))</f>
        <v/>
      </c>
      <c r="F342">
        <f>IF($A342="","",COUNTIFS('Таблиця 1'!$B:$B,$A342,'Таблиця 1'!$I:$I,"Су-25"))</f>
        <v/>
      </c>
      <c r="G342">
        <f>IF($A342="","",COUNTIFS('Таблиця 1'!$B:$B,$A342,'Таблиця 1'!$I:$I,"Су-27"))</f>
        <v/>
      </c>
      <c r="H342">
        <f>IF($A342="","",SUMIFS('Таблиця 1'!$K:$K,'Таблиця 1'!$B:$B,$A342,'Таблиця 1'!$I:$I,"Mirage",'Таблиця 1'!$J:$J,"AGM-88")+SUMIFS('Таблиця 1'!$K:$K,'Таблиця 1'!$B:$B,$A342,'Таблиця 1'!$I:$I,"F-16",'Таблиця 1'!$J:$J,"AGM-88")+SUMIFS('Таблиця 1'!$K:$K,'Таблиця 1'!$B:$B,$A342,'Таблиця 1'!$I:$I,"МіГ-29",'Таблиця 1'!$J:$J,"AGM-88")+SUMIFS('Таблиця 1'!$K:$K,'Таблиця 1'!$B:$B,$A342,'Таблиця 1'!$I:$I,"Су-25",'Таблиця 1'!$J:$J,"AGM-88")+SUMIFS('Таблиця 1'!$K:$K,'Таблиця 1'!$B:$B,$A342,'Таблиця 1'!$I:$I,"Су-27",'Таблиця 1'!$J:$J,"AGM-88"))</f>
        <v/>
      </c>
      <c r="I342">
        <f>IF($A342="","",SUMIFS('Таблиця 1'!$K:$K,'Таблиця 1'!$B:$B,$A342,'Таблиця 1'!$I:$I,"Mirage",'Таблиця 1'!$J:$J,"AASM-250")+SUMIFS('Таблиця 1'!$K:$K,'Таблиця 1'!$B:$B,$A342,'Таблиця 1'!$I:$I,"F-16",'Таблиця 1'!$J:$J,"AASM-250")+SUMIFS('Таблиця 1'!$K:$K,'Таблиця 1'!$B:$B,$A342,'Таблиця 1'!$I:$I,"МіГ-29",'Таблиця 1'!$J:$J,"AASM-250")+SUMIFS('Таблиця 1'!$K:$K,'Таблиця 1'!$B:$B,$A342,'Таблиця 1'!$I:$I,"Су-25",'Таблиця 1'!$J:$J,"AASM-250")+SUMIFS('Таблиця 1'!$K:$K,'Таблиця 1'!$B:$B,$A342,'Таблиця 1'!$I:$I,"Су-27",'Таблиця 1'!$J:$J,"AASM-250"))</f>
        <v/>
      </c>
      <c r="J342">
        <f>IF($A342="","",SUMIFS('Таблиця 1'!$K:$K,'Таблиця 1'!$B:$B,$A342,'Таблиця 1'!$I:$I,"Mirage",'Таблиця 1'!$J:$J,"GBU-39")+SUMIFS('Таблиця 1'!$K:$K,'Таблиця 1'!$B:$B,$A342,'Таблиця 1'!$I:$I,"F-16",'Таблиця 1'!$J:$J,"GBU-39")+SUMIFS('Таблиця 1'!$K:$K,'Таблиця 1'!$B:$B,$A342,'Таблиця 1'!$I:$I,"МіГ-29",'Таблиця 1'!$J:$J,"GBU-39")+SUMIFS('Таблиця 1'!$K:$K,'Таблиця 1'!$B:$B,$A342,'Таблиця 1'!$I:$I,"Су-25",'Таблиця 1'!$J:$J,"GBU-39")+SUMIFS('Таблиця 1'!$K:$K,'Таблиця 1'!$B:$B,$A342,'Таблиця 1'!$I:$I,"Су-27",'Таблиця 1'!$J:$J,"GBU-39"))</f>
        <v/>
      </c>
      <c r="K342">
        <f>IF($A342="","",SUMIFS('Таблиця 1'!$K:$K,'Таблиця 1'!$B:$B,$A342,'Таблиця 1'!$I:$I,"Mirage",'Таблиця 1'!$J:$J,"BLU-140")+SUMIFS('Таблиця 1'!$K:$K,'Таблиця 1'!$B:$B,$A342,'Таблиця 1'!$I:$I,"F-16",'Таблиця 1'!$J:$J,"BLU-140")+SUMIFS('Таблиця 1'!$K:$K,'Таблиця 1'!$B:$B,$A342,'Таблиця 1'!$I:$I,"МіГ-29",'Таблиця 1'!$J:$J,"BLU-140")+SUMIFS('Таблиця 1'!$K:$K,'Таблиця 1'!$B:$B,$A342,'Таблиця 1'!$I:$I,"Су-25",'Таблиця 1'!$J:$J,"BLU-140")+SUMIFS('Таблиця 1'!$K:$K,'Таблиця 1'!$B:$B,$A342,'Таблиця 1'!$I:$I,"Су-27",'Таблиця 1'!$J:$J,"BLU-140"))</f>
        <v/>
      </c>
      <c r="L342">
        <f>IF($A342="","",SUMIFS('Таблиця 1'!$K:$K,'Таблиця 1'!$B:$B,$A342,'Таблиця 1'!$I:$I,"Mirage",'Таблиця 1'!$J:$J,"GBU-65")+SUMIFS('Таблиця 1'!$K:$K,'Таблиця 1'!$B:$B,$A342,'Таблиця 1'!$I:$I,"F-16",'Таблиця 1'!$J:$J,"GBU-65")+SUMIFS('Таблиця 1'!$K:$K,'Таблиця 1'!$B:$B,$A342,'Таблиця 1'!$I:$I,"МіГ-29",'Таблиця 1'!$J:$J,"GBU-65")+SUMIFS('Таблиця 1'!$K:$K,'Таблиця 1'!$B:$B,$A342,'Таблиця 1'!$I:$I,"Су-25",'Таблиця 1'!$J:$J,"GBU-65")+SUMIFS('Таблиця 1'!$K:$K,'Таблиця 1'!$B:$B,$A342,'Таблиця 1'!$I:$I,"Су-27",'Таблиця 1'!$J:$J,"GBU-65"))</f>
        <v/>
      </c>
      <c r="M342">
        <f>IF($A342="","",SUMIFS('Таблиця 1'!$K:$K,'Таблиця 1'!$B:$B,$A342,'Таблиця 1'!$I:$I,"Mirage",'Таблиця 1'!$J:$J,"GBU-62")+SUMIFS('Таблиця 1'!$K:$K,'Таблиця 1'!$B:$B,$A342,'Таблиця 1'!$I:$I,"F-16",'Таблиця 1'!$J:$J,"GBU-62")+SUMIFS('Таблиця 1'!$K:$K,'Таблиця 1'!$B:$B,$A342,'Таблиця 1'!$I:$I,"МіГ-29",'Таблиця 1'!$J:$J,"GBU-62")+SUMIFS('Таблиця 1'!$K:$K,'Таблиця 1'!$B:$B,$A342,'Таблиця 1'!$I:$I,"Су-25",'Таблиця 1'!$J:$J,"GBU-62")+SUMIFS('Таблиця 1'!$K:$K,'Таблиця 1'!$B:$B,$A342,'Таблиця 1'!$I:$I,"Су-27",'Таблиця 1'!$J:$J,"GBU-62"))</f>
        <v/>
      </c>
      <c r="N342">
        <f>IF($A342="","",SUMIFS('Таблиця 1'!$K:$K,'Таблиця 1'!$B:$B,$A342,'Таблиця 1'!$I:$I,"Mirage",'Таблиця 1'!$J:$J,"GBU-64")+SUMIFS('Таблиця 1'!$K:$K,'Таблиця 1'!$B:$B,$A342,'Таблиця 1'!$I:$I,"F-16",'Таблиця 1'!$J:$J,"GBU-64")+SUMIFS('Таблиця 1'!$K:$K,'Таблиця 1'!$B:$B,$A342,'Таблиця 1'!$I:$I,"МіГ-29",'Таблиця 1'!$J:$J,"GBU-64")+SUMIFS('Таблиця 1'!$K:$K,'Таблиця 1'!$B:$B,$A342,'Таблиця 1'!$I:$I,"Су-25",'Таблиця 1'!$J:$J,"GBU-64")+SUMIFS('Таблиця 1'!$K:$K,'Таблиця 1'!$B:$B,$A342,'Таблиця 1'!$I:$I,"Су-27",'Таблиця 1'!$J:$J,"GBU-64"))</f>
        <v/>
      </c>
      <c r="O342">
        <f>IF($A342="","",SUMIFS('Таблиця 1'!$K:$K,'Таблиця 1'!$B:$B,$A342,'Таблиця 1'!$I:$I,"Mirage",'Таблиця 1'!$J:$J,"C-13")+SUMIFS('Таблиця 1'!$K:$K,'Таблиця 1'!$B:$B,$A342,'Таблиця 1'!$I:$I,"F-16",'Таблиця 1'!$J:$J,"C-13")+SUMIFS('Таблиця 1'!$K:$K,'Таблиця 1'!$B:$B,$A342,'Таблиця 1'!$I:$I,"МіГ-29",'Таблиця 1'!$J:$J,"C-13")+SUMIFS('Таблиця 1'!$K:$K,'Таблиця 1'!$B:$B,$A342,'Таблиця 1'!$I:$I,"Су-25",'Таблиця 1'!$J:$J,"C-13")+SUMIFS('Таблиця 1'!$K:$K,'Таблиця 1'!$B:$B,$A342,'Таблиця 1'!$I:$I,"Су-27",'Таблиця 1'!$J:$J,"C-13"))</f>
        <v/>
      </c>
      <c r="P342">
        <f>IF($A342="","",SUMIFS('Таблиця 1'!$K:$K,'Таблиця 1'!$B:$B,$A342,'Таблиця 1'!$I:$I,"Mirage",'Таблиця 1'!$J:$J,"MK-32")+SUMIFS('Таблиця 1'!$K:$K,'Таблиця 1'!$B:$B,$A342,'Таблиця 1'!$I:$I,"F-16",'Таблиця 1'!$J:$J,"MK-32")+SUMIFS('Таблиця 1'!$K:$K,'Таблиця 1'!$B:$B,$A342,'Таблиця 1'!$I:$I,"МіГ-29",'Таблиця 1'!$J:$J,"MK-32")+SUMIFS('Таблиця 1'!$K:$K,'Таблиця 1'!$B:$B,$A342,'Таблиця 1'!$I:$I,"Су-25",'Таблиця 1'!$J:$J,"MK-32")+SUMIFS('Таблиця 1'!$K:$K,'Таблиця 1'!$B:$B,$A342,'Таблиця 1'!$I:$I,"Су-27",'Таблиця 1'!$J:$J,"MK-32"))</f>
        <v/>
      </c>
      <c r="Q342">
        <f>IF($A342="","",SUMIFS('Таблиця 1'!$K:$K,'Таблиця 1'!$B:$B,$A342,'Таблиця 1'!$I:$I,"Mirage",'Таблиця 1'!$J:$J,"MK-24")+SUMIFS('Таблиця 1'!$K:$K,'Таблиця 1'!$B:$B,$A342,'Таблиця 1'!$I:$I,"F-16",'Таблиця 1'!$J:$J,"MK-24")+SUMIFS('Таблиця 1'!$K:$K,'Таблиця 1'!$B:$B,$A342,'Таблиця 1'!$I:$I,"МіГ-29",'Таблиця 1'!$J:$J,"MK-24")+SUMIFS('Таблиця 1'!$K:$K,'Таблиця 1'!$B:$B,$A342,'Таблиця 1'!$I:$I,"Су-25",'Таблиця 1'!$J:$J,"MK-24")+SUMIFS('Таблиця 1'!$K:$K,'Таблиця 1'!$B:$B,$A342,'Таблиця 1'!$I:$I,"Су-27",'Таблиця 1'!$J:$J,"MK-24"))</f>
        <v/>
      </c>
      <c r="R342">
        <f>IF($A342="","",COUNTIFS('Таблиця 1'!$B:$B,$A342,'Таблиця 1'!$I:$I,"Mirage",'Таблиця 1'!$L:$L,"Уражено")+COUNTIFS('Таблиця 1'!$B:$B,$A342,'Таблиця 1'!$I:$I,"F-16",'Таблиця 1'!$L:$L,"Уражено")+COUNTIFS('Таблиця 1'!$B:$B,$A342,'Таблиця 1'!$I:$I,"МіГ-29",'Таблиця 1'!$L:$L,"Уражено")+COUNTIFS('Таблиця 1'!$B:$B,$A342,'Таблиця 1'!$I:$I,"Су-25",'Таблиця 1'!$L:$L,"Уражено")+COUNTIFS('Таблиця 1'!$B:$B,$A342,'Таблиця 1'!$I:$I,"Су-27",'Таблиця 1'!$L:$L,"Уражено"))</f>
        <v/>
      </c>
      <c r="S342">
        <f>IF($A342="","",COUNTIFS('Таблиця 1'!$B:$B,$A342,'Таблиця 1'!$I:$I,"Mirage",'Таблиця 1'!$L:$L,"НЕ уражено")+COUNTIFS('Таблиця 1'!$B:$B,$A342,'Таблиця 1'!$I:$I,"F-16",'Таблиця 1'!$L:$L,"НЕ уражено")+COUNTIFS('Таблиця 1'!$B:$B,$A342,'Таблиця 1'!$I:$I,"МіГ-29",'Таблиця 1'!$L:$L,"НЕ уражено")+COUNTIFS('Таблиця 1'!$B:$B,$A342,'Таблиця 1'!$I:$I,"Су-25",'Таблиця 1'!$L:$L,"НЕ уражено")+COUNTIFS('Таблиця 1'!$B:$B,$A342,'Таблиця 1'!$I:$I,"Су-27",'Таблиця 1'!$L:$L,"НЕ уражено"))</f>
        <v/>
      </c>
      <c r="T342">
        <f>IF($A342="","",COUNTIFS('Таблиця 1'!$B:$B,$A342,'Таблиця 1'!$I:$I,"Mirage",'Таблиця 1'!$L:$L,"Дорозвідується")+COUNTIFS('Таблиця 1'!$B:$B,$A342,'Таблиця 1'!$I:$I,"F-16",'Таблиця 1'!$L:$L,"Дорозвідується")+COUNTIFS('Таблиця 1'!$B:$B,$A342,'Таблиця 1'!$I:$I,"МіГ-29",'Таблиця 1'!$L:$L,"Дорозвідується")+COUNTIFS('Таблиця 1'!$B:$B,$A342,'Таблиця 1'!$I:$I,"Су-25",'Таблиця 1'!$L:$L,"Дорозвідується")+COUNTIFS('Таблиця 1'!$B:$B,$A342,'Таблиця 1'!$I:$I,"Су-27",'Таблиця 1'!$L:$L,"Дорозвідується"))</f>
        <v/>
      </c>
    </row>
    <row r="343">
      <c r="A343" s="273">
        <f>IF(A342="","",IF(A342+1&gt;MAX('Таблиця 1'!$B:$B),"",A342+1))</f>
        <v/>
      </c>
      <c r="B343">
        <f>IF($A343="","",COUNTIFS('Таблиця 1'!$B:$B,$A343,'Таблиця 1'!$I:$I,"Mirage")+COUNTIFS('Таблиця 1'!$B:$B,$A343,'Таблиця 1'!$I:$I,"F-16")+COUNTIFS('Таблиця 1'!$B:$B,$A343,'Таблиця 1'!$I:$I,"МіГ-29")+COUNTIFS('Таблиця 1'!$B:$B,$A343,'Таблиця 1'!$I:$I,"Су-25")+COUNTIFS('Таблиця 1'!$B:$B,$A343,'Таблиця 1'!$I:$I,"Су-27"))</f>
        <v/>
      </c>
      <c r="C343">
        <f>IF($A343="","",COUNTIFS('Таблиця 1'!$B:$B,$A343,'Таблиця 1'!$I:$I,"Mirage"))</f>
        <v/>
      </c>
      <c r="D343">
        <f>IF($A343="","",COUNTIFS('Таблиця 1'!$B:$B,$A343,'Таблиця 1'!$I:$I,"F-16"))</f>
        <v/>
      </c>
      <c r="E343">
        <f>IF($A343="","",COUNTIFS('Таблиця 1'!$B:$B,$A343,'Таблиця 1'!$I:$I,"МіГ-29"))</f>
        <v/>
      </c>
      <c r="F343">
        <f>IF($A343="","",COUNTIFS('Таблиця 1'!$B:$B,$A343,'Таблиця 1'!$I:$I,"Су-25"))</f>
        <v/>
      </c>
      <c r="G343">
        <f>IF($A343="","",COUNTIFS('Таблиця 1'!$B:$B,$A343,'Таблиця 1'!$I:$I,"Су-27"))</f>
        <v/>
      </c>
      <c r="H343">
        <f>IF($A343="","",SUMIFS('Таблиця 1'!$K:$K,'Таблиця 1'!$B:$B,$A343,'Таблиця 1'!$I:$I,"Mirage",'Таблиця 1'!$J:$J,"AGM-88")+SUMIFS('Таблиця 1'!$K:$K,'Таблиця 1'!$B:$B,$A343,'Таблиця 1'!$I:$I,"F-16",'Таблиця 1'!$J:$J,"AGM-88")+SUMIFS('Таблиця 1'!$K:$K,'Таблиця 1'!$B:$B,$A343,'Таблиця 1'!$I:$I,"МіГ-29",'Таблиця 1'!$J:$J,"AGM-88")+SUMIFS('Таблиця 1'!$K:$K,'Таблиця 1'!$B:$B,$A343,'Таблиця 1'!$I:$I,"Су-25",'Таблиця 1'!$J:$J,"AGM-88")+SUMIFS('Таблиця 1'!$K:$K,'Таблиця 1'!$B:$B,$A343,'Таблиця 1'!$I:$I,"Су-27",'Таблиця 1'!$J:$J,"AGM-88"))</f>
        <v/>
      </c>
      <c r="I343">
        <f>IF($A343="","",SUMIFS('Таблиця 1'!$K:$K,'Таблиця 1'!$B:$B,$A343,'Таблиця 1'!$I:$I,"Mirage",'Таблиця 1'!$J:$J,"AASM-250")+SUMIFS('Таблиця 1'!$K:$K,'Таблиця 1'!$B:$B,$A343,'Таблиця 1'!$I:$I,"F-16",'Таблиця 1'!$J:$J,"AASM-250")+SUMIFS('Таблиця 1'!$K:$K,'Таблиця 1'!$B:$B,$A343,'Таблиця 1'!$I:$I,"МіГ-29",'Таблиця 1'!$J:$J,"AASM-250")+SUMIFS('Таблиця 1'!$K:$K,'Таблиця 1'!$B:$B,$A343,'Таблиця 1'!$I:$I,"Су-25",'Таблиця 1'!$J:$J,"AASM-250")+SUMIFS('Таблиця 1'!$K:$K,'Таблиця 1'!$B:$B,$A343,'Таблиця 1'!$I:$I,"Су-27",'Таблиця 1'!$J:$J,"AASM-250"))</f>
        <v/>
      </c>
      <c r="J343">
        <f>IF($A343="","",SUMIFS('Таблиця 1'!$K:$K,'Таблиця 1'!$B:$B,$A343,'Таблиця 1'!$I:$I,"Mirage",'Таблиця 1'!$J:$J,"GBU-39")+SUMIFS('Таблиця 1'!$K:$K,'Таблиця 1'!$B:$B,$A343,'Таблиця 1'!$I:$I,"F-16",'Таблиця 1'!$J:$J,"GBU-39")+SUMIFS('Таблиця 1'!$K:$K,'Таблиця 1'!$B:$B,$A343,'Таблиця 1'!$I:$I,"МіГ-29",'Таблиця 1'!$J:$J,"GBU-39")+SUMIFS('Таблиця 1'!$K:$K,'Таблиця 1'!$B:$B,$A343,'Таблиця 1'!$I:$I,"Су-25",'Таблиця 1'!$J:$J,"GBU-39")+SUMIFS('Таблиця 1'!$K:$K,'Таблиця 1'!$B:$B,$A343,'Таблиця 1'!$I:$I,"Су-27",'Таблиця 1'!$J:$J,"GBU-39"))</f>
        <v/>
      </c>
      <c r="K343">
        <f>IF($A343="","",SUMIFS('Таблиця 1'!$K:$K,'Таблиця 1'!$B:$B,$A343,'Таблиця 1'!$I:$I,"Mirage",'Таблиця 1'!$J:$J,"BLU-140")+SUMIFS('Таблиця 1'!$K:$K,'Таблиця 1'!$B:$B,$A343,'Таблиця 1'!$I:$I,"F-16",'Таблиця 1'!$J:$J,"BLU-140")+SUMIFS('Таблиця 1'!$K:$K,'Таблиця 1'!$B:$B,$A343,'Таблиця 1'!$I:$I,"МіГ-29",'Таблиця 1'!$J:$J,"BLU-140")+SUMIFS('Таблиця 1'!$K:$K,'Таблиця 1'!$B:$B,$A343,'Таблиця 1'!$I:$I,"Су-25",'Таблиця 1'!$J:$J,"BLU-140")+SUMIFS('Таблиця 1'!$K:$K,'Таблиця 1'!$B:$B,$A343,'Таблиця 1'!$I:$I,"Су-27",'Таблиця 1'!$J:$J,"BLU-140"))</f>
        <v/>
      </c>
      <c r="L343">
        <f>IF($A343="","",SUMIFS('Таблиця 1'!$K:$K,'Таблиця 1'!$B:$B,$A343,'Таблиця 1'!$I:$I,"Mirage",'Таблиця 1'!$J:$J,"GBU-65")+SUMIFS('Таблиця 1'!$K:$K,'Таблиця 1'!$B:$B,$A343,'Таблиця 1'!$I:$I,"F-16",'Таблиця 1'!$J:$J,"GBU-65")+SUMIFS('Таблиця 1'!$K:$K,'Таблиця 1'!$B:$B,$A343,'Таблиця 1'!$I:$I,"МіГ-29",'Таблиця 1'!$J:$J,"GBU-65")+SUMIFS('Таблиця 1'!$K:$K,'Таблиця 1'!$B:$B,$A343,'Таблиця 1'!$I:$I,"Су-25",'Таблиця 1'!$J:$J,"GBU-65")+SUMIFS('Таблиця 1'!$K:$K,'Таблиця 1'!$B:$B,$A343,'Таблиця 1'!$I:$I,"Су-27",'Таблиця 1'!$J:$J,"GBU-65"))</f>
        <v/>
      </c>
      <c r="M343">
        <f>IF($A343="","",SUMIFS('Таблиця 1'!$K:$K,'Таблиця 1'!$B:$B,$A343,'Таблиця 1'!$I:$I,"Mirage",'Таблиця 1'!$J:$J,"GBU-62")+SUMIFS('Таблиця 1'!$K:$K,'Таблиця 1'!$B:$B,$A343,'Таблиця 1'!$I:$I,"F-16",'Таблиця 1'!$J:$J,"GBU-62")+SUMIFS('Таблиця 1'!$K:$K,'Таблиця 1'!$B:$B,$A343,'Таблиця 1'!$I:$I,"МіГ-29",'Таблиця 1'!$J:$J,"GBU-62")+SUMIFS('Таблиця 1'!$K:$K,'Таблиця 1'!$B:$B,$A343,'Таблиця 1'!$I:$I,"Су-25",'Таблиця 1'!$J:$J,"GBU-62")+SUMIFS('Таблиця 1'!$K:$K,'Таблиця 1'!$B:$B,$A343,'Таблиця 1'!$I:$I,"Су-27",'Таблиця 1'!$J:$J,"GBU-62"))</f>
        <v/>
      </c>
      <c r="N343">
        <f>IF($A343="","",SUMIFS('Таблиця 1'!$K:$K,'Таблиця 1'!$B:$B,$A343,'Таблиця 1'!$I:$I,"Mirage",'Таблиця 1'!$J:$J,"GBU-64")+SUMIFS('Таблиця 1'!$K:$K,'Таблиця 1'!$B:$B,$A343,'Таблиця 1'!$I:$I,"F-16",'Таблиця 1'!$J:$J,"GBU-64")+SUMIFS('Таблиця 1'!$K:$K,'Таблиця 1'!$B:$B,$A343,'Таблиця 1'!$I:$I,"МіГ-29",'Таблиця 1'!$J:$J,"GBU-64")+SUMIFS('Таблиця 1'!$K:$K,'Таблиця 1'!$B:$B,$A343,'Таблиця 1'!$I:$I,"Су-25",'Таблиця 1'!$J:$J,"GBU-64")+SUMIFS('Таблиця 1'!$K:$K,'Таблиця 1'!$B:$B,$A343,'Таблиця 1'!$I:$I,"Су-27",'Таблиця 1'!$J:$J,"GBU-64"))</f>
        <v/>
      </c>
      <c r="O343">
        <f>IF($A343="","",SUMIFS('Таблиця 1'!$K:$K,'Таблиця 1'!$B:$B,$A343,'Таблиця 1'!$I:$I,"Mirage",'Таблиця 1'!$J:$J,"C-13")+SUMIFS('Таблиця 1'!$K:$K,'Таблиця 1'!$B:$B,$A343,'Таблиця 1'!$I:$I,"F-16",'Таблиця 1'!$J:$J,"C-13")+SUMIFS('Таблиця 1'!$K:$K,'Таблиця 1'!$B:$B,$A343,'Таблиця 1'!$I:$I,"МіГ-29",'Таблиця 1'!$J:$J,"C-13")+SUMIFS('Таблиця 1'!$K:$K,'Таблиця 1'!$B:$B,$A343,'Таблиця 1'!$I:$I,"Су-25",'Таблиця 1'!$J:$J,"C-13")+SUMIFS('Таблиця 1'!$K:$K,'Таблиця 1'!$B:$B,$A343,'Таблиця 1'!$I:$I,"Су-27",'Таблиця 1'!$J:$J,"C-13"))</f>
        <v/>
      </c>
      <c r="P343">
        <f>IF($A343="","",SUMIFS('Таблиця 1'!$K:$K,'Таблиця 1'!$B:$B,$A343,'Таблиця 1'!$I:$I,"Mirage",'Таблиця 1'!$J:$J,"MK-32")+SUMIFS('Таблиця 1'!$K:$K,'Таблиця 1'!$B:$B,$A343,'Таблиця 1'!$I:$I,"F-16",'Таблиця 1'!$J:$J,"MK-32")+SUMIFS('Таблиця 1'!$K:$K,'Таблиця 1'!$B:$B,$A343,'Таблиця 1'!$I:$I,"МіГ-29",'Таблиця 1'!$J:$J,"MK-32")+SUMIFS('Таблиця 1'!$K:$K,'Таблиця 1'!$B:$B,$A343,'Таблиця 1'!$I:$I,"Су-25",'Таблиця 1'!$J:$J,"MK-32")+SUMIFS('Таблиця 1'!$K:$K,'Таблиця 1'!$B:$B,$A343,'Таблиця 1'!$I:$I,"Су-27",'Таблиця 1'!$J:$J,"MK-32"))</f>
        <v/>
      </c>
      <c r="Q343">
        <f>IF($A343="","",SUMIFS('Таблиця 1'!$K:$K,'Таблиця 1'!$B:$B,$A343,'Таблиця 1'!$I:$I,"Mirage",'Таблиця 1'!$J:$J,"MK-24")+SUMIFS('Таблиця 1'!$K:$K,'Таблиця 1'!$B:$B,$A343,'Таблиця 1'!$I:$I,"F-16",'Таблиця 1'!$J:$J,"MK-24")+SUMIFS('Таблиця 1'!$K:$K,'Таблиця 1'!$B:$B,$A343,'Таблиця 1'!$I:$I,"МіГ-29",'Таблиця 1'!$J:$J,"MK-24")+SUMIFS('Таблиця 1'!$K:$K,'Таблиця 1'!$B:$B,$A343,'Таблиця 1'!$I:$I,"Су-25",'Таблиця 1'!$J:$J,"MK-24")+SUMIFS('Таблиця 1'!$K:$K,'Таблиця 1'!$B:$B,$A343,'Таблиця 1'!$I:$I,"Су-27",'Таблиця 1'!$J:$J,"MK-24"))</f>
        <v/>
      </c>
      <c r="R343">
        <f>IF($A343="","",COUNTIFS('Таблиця 1'!$B:$B,$A343,'Таблиця 1'!$I:$I,"Mirage",'Таблиця 1'!$L:$L,"Уражено")+COUNTIFS('Таблиця 1'!$B:$B,$A343,'Таблиця 1'!$I:$I,"F-16",'Таблиця 1'!$L:$L,"Уражено")+COUNTIFS('Таблиця 1'!$B:$B,$A343,'Таблиця 1'!$I:$I,"МіГ-29",'Таблиця 1'!$L:$L,"Уражено")+COUNTIFS('Таблиця 1'!$B:$B,$A343,'Таблиця 1'!$I:$I,"Су-25",'Таблиця 1'!$L:$L,"Уражено")+COUNTIFS('Таблиця 1'!$B:$B,$A343,'Таблиця 1'!$I:$I,"Су-27",'Таблиця 1'!$L:$L,"Уражено"))</f>
        <v/>
      </c>
      <c r="S343">
        <f>IF($A343="","",COUNTIFS('Таблиця 1'!$B:$B,$A343,'Таблиця 1'!$I:$I,"Mirage",'Таблиця 1'!$L:$L,"НЕ уражено")+COUNTIFS('Таблиця 1'!$B:$B,$A343,'Таблиця 1'!$I:$I,"F-16",'Таблиця 1'!$L:$L,"НЕ уражено")+COUNTIFS('Таблиця 1'!$B:$B,$A343,'Таблиця 1'!$I:$I,"МіГ-29",'Таблиця 1'!$L:$L,"НЕ уражено")+COUNTIFS('Таблиця 1'!$B:$B,$A343,'Таблиця 1'!$I:$I,"Су-25",'Таблиця 1'!$L:$L,"НЕ уражено")+COUNTIFS('Таблиця 1'!$B:$B,$A343,'Таблиця 1'!$I:$I,"Су-27",'Таблиця 1'!$L:$L,"НЕ уражено"))</f>
        <v/>
      </c>
      <c r="T343">
        <f>IF($A343="","",COUNTIFS('Таблиця 1'!$B:$B,$A343,'Таблиця 1'!$I:$I,"Mirage",'Таблиця 1'!$L:$L,"Дорозвідується")+COUNTIFS('Таблиця 1'!$B:$B,$A343,'Таблиця 1'!$I:$I,"F-16",'Таблиця 1'!$L:$L,"Дорозвідується")+COUNTIFS('Таблиця 1'!$B:$B,$A343,'Таблиця 1'!$I:$I,"МіГ-29",'Таблиця 1'!$L:$L,"Дорозвідується")+COUNTIFS('Таблиця 1'!$B:$B,$A343,'Таблиця 1'!$I:$I,"Су-25",'Таблиця 1'!$L:$L,"Дорозвідується")+COUNTIFS('Таблиця 1'!$B:$B,$A343,'Таблиця 1'!$I:$I,"Су-27",'Таблиця 1'!$L:$L,"Дорозвідується"))</f>
        <v/>
      </c>
    </row>
    <row r="344">
      <c r="A344" s="273">
        <f>IF(A343="","",IF(A343+1&gt;MAX('Таблиця 1'!$B:$B),"",A343+1))</f>
        <v/>
      </c>
      <c r="B344">
        <f>IF($A344="","",COUNTIFS('Таблиця 1'!$B:$B,$A344,'Таблиця 1'!$I:$I,"Mirage")+COUNTIFS('Таблиця 1'!$B:$B,$A344,'Таблиця 1'!$I:$I,"F-16")+COUNTIFS('Таблиця 1'!$B:$B,$A344,'Таблиця 1'!$I:$I,"МіГ-29")+COUNTIFS('Таблиця 1'!$B:$B,$A344,'Таблиця 1'!$I:$I,"Су-25")+COUNTIFS('Таблиця 1'!$B:$B,$A344,'Таблиця 1'!$I:$I,"Су-27"))</f>
        <v/>
      </c>
      <c r="C344">
        <f>IF($A344="","",COUNTIFS('Таблиця 1'!$B:$B,$A344,'Таблиця 1'!$I:$I,"Mirage"))</f>
        <v/>
      </c>
      <c r="D344">
        <f>IF($A344="","",COUNTIFS('Таблиця 1'!$B:$B,$A344,'Таблиця 1'!$I:$I,"F-16"))</f>
        <v/>
      </c>
      <c r="E344">
        <f>IF($A344="","",COUNTIFS('Таблиця 1'!$B:$B,$A344,'Таблиця 1'!$I:$I,"МіГ-29"))</f>
        <v/>
      </c>
      <c r="F344">
        <f>IF($A344="","",COUNTIFS('Таблиця 1'!$B:$B,$A344,'Таблиця 1'!$I:$I,"Су-25"))</f>
        <v/>
      </c>
      <c r="G344">
        <f>IF($A344="","",COUNTIFS('Таблиця 1'!$B:$B,$A344,'Таблиця 1'!$I:$I,"Су-27"))</f>
        <v/>
      </c>
      <c r="H344">
        <f>IF($A344="","",SUMIFS('Таблиця 1'!$K:$K,'Таблиця 1'!$B:$B,$A344,'Таблиця 1'!$I:$I,"Mirage",'Таблиця 1'!$J:$J,"AGM-88")+SUMIFS('Таблиця 1'!$K:$K,'Таблиця 1'!$B:$B,$A344,'Таблиця 1'!$I:$I,"F-16",'Таблиця 1'!$J:$J,"AGM-88")+SUMIFS('Таблиця 1'!$K:$K,'Таблиця 1'!$B:$B,$A344,'Таблиця 1'!$I:$I,"МіГ-29",'Таблиця 1'!$J:$J,"AGM-88")+SUMIFS('Таблиця 1'!$K:$K,'Таблиця 1'!$B:$B,$A344,'Таблиця 1'!$I:$I,"Су-25",'Таблиця 1'!$J:$J,"AGM-88")+SUMIFS('Таблиця 1'!$K:$K,'Таблиця 1'!$B:$B,$A344,'Таблиця 1'!$I:$I,"Су-27",'Таблиця 1'!$J:$J,"AGM-88"))</f>
        <v/>
      </c>
      <c r="I344">
        <f>IF($A344="","",SUMIFS('Таблиця 1'!$K:$K,'Таблиця 1'!$B:$B,$A344,'Таблиця 1'!$I:$I,"Mirage",'Таблиця 1'!$J:$J,"AASM-250")+SUMIFS('Таблиця 1'!$K:$K,'Таблиця 1'!$B:$B,$A344,'Таблиця 1'!$I:$I,"F-16",'Таблиця 1'!$J:$J,"AASM-250")+SUMIFS('Таблиця 1'!$K:$K,'Таблиця 1'!$B:$B,$A344,'Таблиця 1'!$I:$I,"МіГ-29",'Таблиця 1'!$J:$J,"AASM-250")+SUMIFS('Таблиця 1'!$K:$K,'Таблиця 1'!$B:$B,$A344,'Таблиця 1'!$I:$I,"Су-25",'Таблиця 1'!$J:$J,"AASM-250")+SUMIFS('Таблиця 1'!$K:$K,'Таблиця 1'!$B:$B,$A344,'Таблиця 1'!$I:$I,"Су-27",'Таблиця 1'!$J:$J,"AASM-250"))</f>
        <v/>
      </c>
      <c r="J344">
        <f>IF($A344="","",SUMIFS('Таблиця 1'!$K:$K,'Таблиця 1'!$B:$B,$A344,'Таблиця 1'!$I:$I,"Mirage",'Таблиця 1'!$J:$J,"GBU-39")+SUMIFS('Таблиця 1'!$K:$K,'Таблиця 1'!$B:$B,$A344,'Таблиця 1'!$I:$I,"F-16",'Таблиця 1'!$J:$J,"GBU-39")+SUMIFS('Таблиця 1'!$K:$K,'Таблиця 1'!$B:$B,$A344,'Таблиця 1'!$I:$I,"МіГ-29",'Таблиця 1'!$J:$J,"GBU-39")+SUMIFS('Таблиця 1'!$K:$K,'Таблиця 1'!$B:$B,$A344,'Таблиця 1'!$I:$I,"Су-25",'Таблиця 1'!$J:$J,"GBU-39")+SUMIFS('Таблиця 1'!$K:$K,'Таблиця 1'!$B:$B,$A344,'Таблиця 1'!$I:$I,"Су-27",'Таблиця 1'!$J:$J,"GBU-39"))</f>
        <v/>
      </c>
      <c r="K344">
        <f>IF($A344="","",SUMIFS('Таблиця 1'!$K:$K,'Таблиця 1'!$B:$B,$A344,'Таблиця 1'!$I:$I,"Mirage",'Таблиця 1'!$J:$J,"BLU-140")+SUMIFS('Таблиця 1'!$K:$K,'Таблиця 1'!$B:$B,$A344,'Таблиця 1'!$I:$I,"F-16",'Таблиця 1'!$J:$J,"BLU-140")+SUMIFS('Таблиця 1'!$K:$K,'Таблиця 1'!$B:$B,$A344,'Таблиця 1'!$I:$I,"МіГ-29",'Таблиця 1'!$J:$J,"BLU-140")+SUMIFS('Таблиця 1'!$K:$K,'Таблиця 1'!$B:$B,$A344,'Таблиця 1'!$I:$I,"Су-25",'Таблиця 1'!$J:$J,"BLU-140")+SUMIFS('Таблиця 1'!$K:$K,'Таблиця 1'!$B:$B,$A344,'Таблиця 1'!$I:$I,"Су-27",'Таблиця 1'!$J:$J,"BLU-140"))</f>
        <v/>
      </c>
      <c r="L344">
        <f>IF($A344="","",SUMIFS('Таблиця 1'!$K:$K,'Таблиця 1'!$B:$B,$A344,'Таблиця 1'!$I:$I,"Mirage",'Таблиця 1'!$J:$J,"GBU-65")+SUMIFS('Таблиця 1'!$K:$K,'Таблиця 1'!$B:$B,$A344,'Таблиця 1'!$I:$I,"F-16",'Таблиця 1'!$J:$J,"GBU-65")+SUMIFS('Таблиця 1'!$K:$K,'Таблиця 1'!$B:$B,$A344,'Таблиця 1'!$I:$I,"МіГ-29",'Таблиця 1'!$J:$J,"GBU-65")+SUMIFS('Таблиця 1'!$K:$K,'Таблиця 1'!$B:$B,$A344,'Таблиця 1'!$I:$I,"Су-25",'Таблиця 1'!$J:$J,"GBU-65")+SUMIFS('Таблиця 1'!$K:$K,'Таблиця 1'!$B:$B,$A344,'Таблиця 1'!$I:$I,"Су-27",'Таблиця 1'!$J:$J,"GBU-65"))</f>
        <v/>
      </c>
      <c r="M344">
        <f>IF($A344="","",SUMIFS('Таблиця 1'!$K:$K,'Таблиця 1'!$B:$B,$A344,'Таблиця 1'!$I:$I,"Mirage",'Таблиця 1'!$J:$J,"GBU-62")+SUMIFS('Таблиця 1'!$K:$K,'Таблиця 1'!$B:$B,$A344,'Таблиця 1'!$I:$I,"F-16",'Таблиця 1'!$J:$J,"GBU-62")+SUMIFS('Таблиця 1'!$K:$K,'Таблиця 1'!$B:$B,$A344,'Таблиця 1'!$I:$I,"МіГ-29",'Таблиця 1'!$J:$J,"GBU-62")+SUMIFS('Таблиця 1'!$K:$K,'Таблиця 1'!$B:$B,$A344,'Таблиця 1'!$I:$I,"Су-25",'Таблиця 1'!$J:$J,"GBU-62")+SUMIFS('Таблиця 1'!$K:$K,'Таблиця 1'!$B:$B,$A344,'Таблиця 1'!$I:$I,"Су-27",'Таблиця 1'!$J:$J,"GBU-62"))</f>
        <v/>
      </c>
      <c r="N344">
        <f>IF($A344="","",SUMIFS('Таблиця 1'!$K:$K,'Таблиця 1'!$B:$B,$A344,'Таблиця 1'!$I:$I,"Mirage",'Таблиця 1'!$J:$J,"GBU-64")+SUMIFS('Таблиця 1'!$K:$K,'Таблиця 1'!$B:$B,$A344,'Таблиця 1'!$I:$I,"F-16",'Таблиця 1'!$J:$J,"GBU-64")+SUMIFS('Таблиця 1'!$K:$K,'Таблиця 1'!$B:$B,$A344,'Таблиця 1'!$I:$I,"МіГ-29",'Таблиця 1'!$J:$J,"GBU-64")+SUMIFS('Таблиця 1'!$K:$K,'Таблиця 1'!$B:$B,$A344,'Таблиця 1'!$I:$I,"Су-25",'Таблиця 1'!$J:$J,"GBU-64")+SUMIFS('Таблиця 1'!$K:$K,'Таблиця 1'!$B:$B,$A344,'Таблиця 1'!$I:$I,"Су-27",'Таблиця 1'!$J:$J,"GBU-64"))</f>
        <v/>
      </c>
      <c r="O344">
        <f>IF($A344="","",SUMIFS('Таблиця 1'!$K:$K,'Таблиця 1'!$B:$B,$A344,'Таблиця 1'!$I:$I,"Mirage",'Таблиця 1'!$J:$J,"C-13")+SUMIFS('Таблиця 1'!$K:$K,'Таблиця 1'!$B:$B,$A344,'Таблиця 1'!$I:$I,"F-16",'Таблиця 1'!$J:$J,"C-13")+SUMIFS('Таблиця 1'!$K:$K,'Таблиця 1'!$B:$B,$A344,'Таблиця 1'!$I:$I,"МіГ-29",'Таблиця 1'!$J:$J,"C-13")+SUMIFS('Таблиця 1'!$K:$K,'Таблиця 1'!$B:$B,$A344,'Таблиця 1'!$I:$I,"Су-25",'Таблиця 1'!$J:$J,"C-13")+SUMIFS('Таблиця 1'!$K:$K,'Таблиця 1'!$B:$B,$A344,'Таблиця 1'!$I:$I,"Су-27",'Таблиця 1'!$J:$J,"C-13"))</f>
        <v/>
      </c>
      <c r="P344">
        <f>IF($A344="","",SUMIFS('Таблиця 1'!$K:$K,'Таблиця 1'!$B:$B,$A344,'Таблиця 1'!$I:$I,"Mirage",'Таблиця 1'!$J:$J,"MK-32")+SUMIFS('Таблиця 1'!$K:$K,'Таблиця 1'!$B:$B,$A344,'Таблиця 1'!$I:$I,"F-16",'Таблиця 1'!$J:$J,"MK-32")+SUMIFS('Таблиця 1'!$K:$K,'Таблиця 1'!$B:$B,$A344,'Таблиця 1'!$I:$I,"МіГ-29",'Таблиця 1'!$J:$J,"MK-32")+SUMIFS('Таблиця 1'!$K:$K,'Таблиця 1'!$B:$B,$A344,'Таблиця 1'!$I:$I,"Су-25",'Таблиця 1'!$J:$J,"MK-32")+SUMIFS('Таблиця 1'!$K:$K,'Таблиця 1'!$B:$B,$A344,'Таблиця 1'!$I:$I,"Су-27",'Таблиця 1'!$J:$J,"MK-32"))</f>
        <v/>
      </c>
      <c r="Q344">
        <f>IF($A344="","",SUMIFS('Таблиця 1'!$K:$K,'Таблиця 1'!$B:$B,$A344,'Таблиця 1'!$I:$I,"Mirage",'Таблиця 1'!$J:$J,"MK-24")+SUMIFS('Таблиця 1'!$K:$K,'Таблиця 1'!$B:$B,$A344,'Таблиця 1'!$I:$I,"F-16",'Таблиця 1'!$J:$J,"MK-24")+SUMIFS('Таблиця 1'!$K:$K,'Таблиця 1'!$B:$B,$A344,'Таблиця 1'!$I:$I,"МіГ-29",'Таблиця 1'!$J:$J,"MK-24")+SUMIFS('Таблиця 1'!$K:$K,'Таблиця 1'!$B:$B,$A344,'Таблиця 1'!$I:$I,"Су-25",'Таблиця 1'!$J:$J,"MK-24")+SUMIFS('Таблиця 1'!$K:$K,'Таблиця 1'!$B:$B,$A344,'Таблиця 1'!$I:$I,"Су-27",'Таблиця 1'!$J:$J,"MK-24"))</f>
        <v/>
      </c>
      <c r="R344">
        <f>IF($A344="","",COUNTIFS('Таблиця 1'!$B:$B,$A344,'Таблиця 1'!$I:$I,"Mirage",'Таблиця 1'!$L:$L,"Уражено")+COUNTIFS('Таблиця 1'!$B:$B,$A344,'Таблиця 1'!$I:$I,"F-16",'Таблиця 1'!$L:$L,"Уражено")+COUNTIFS('Таблиця 1'!$B:$B,$A344,'Таблиця 1'!$I:$I,"МіГ-29",'Таблиця 1'!$L:$L,"Уражено")+COUNTIFS('Таблиця 1'!$B:$B,$A344,'Таблиця 1'!$I:$I,"Су-25",'Таблиця 1'!$L:$L,"Уражено")+COUNTIFS('Таблиця 1'!$B:$B,$A344,'Таблиця 1'!$I:$I,"Су-27",'Таблиця 1'!$L:$L,"Уражено"))</f>
        <v/>
      </c>
      <c r="S344">
        <f>IF($A344="","",COUNTIFS('Таблиця 1'!$B:$B,$A344,'Таблиця 1'!$I:$I,"Mirage",'Таблиця 1'!$L:$L,"НЕ уражено")+COUNTIFS('Таблиця 1'!$B:$B,$A344,'Таблиця 1'!$I:$I,"F-16",'Таблиця 1'!$L:$L,"НЕ уражено")+COUNTIFS('Таблиця 1'!$B:$B,$A344,'Таблиця 1'!$I:$I,"МіГ-29",'Таблиця 1'!$L:$L,"НЕ уражено")+COUNTIFS('Таблиця 1'!$B:$B,$A344,'Таблиця 1'!$I:$I,"Су-25",'Таблиця 1'!$L:$L,"НЕ уражено")+COUNTIFS('Таблиця 1'!$B:$B,$A344,'Таблиця 1'!$I:$I,"Су-27",'Таблиця 1'!$L:$L,"НЕ уражено"))</f>
        <v/>
      </c>
      <c r="T344">
        <f>IF($A344="","",COUNTIFS('Таблиця 1'!$B:$B,$A344,'Таблиця 1'!$I:$I,"Mirage",'Таблиця 1'!$L:$L,"Дорозвідується")+COUNTIFS('Таблиця 1'!$B:$B,$A344,'Таблиця 1'!$I:$I,"F-16",'Таблиця 1'!$L:$L,"Дорозвідується")+COUNTIFS('Таблиця 1'!$B:$B,$A344,'Таблиця 1'!$I:$I,"МіГ-29",'Таблиця 1'!$L:$L,"Дорозвідується")+COUNTIFS('Таблиця 1'!$B:$B,$A344,'Таблиця 1'!$I:$I,"Су-25",'Таблиця 1'!$L:$L,"Дорозвідується")+COUNTIFS('Таблиця 1'!$B:$B,$A344,'Таблиця 1'!$I:$I,"Су-27",'Таблиця 1'!$L:$L,"Дорозвідується"))</f>
        <v/>
      </c>
    </row>
    <row r="345">
      <c r="A345" s="273">
        <f>IF(A344="","",IF(A344+1&gt;MAX('Таблиця 1'!$B:$B),"",A344+1))</f>
        <v/>
      </c>
      <c r="B345">
        <f>IF($A345="","",COUNTIFS('Таблиця 1'!$B:$B,$A345,'Таблиця 1'!$I:$I,"Mirage")+COUNTIFS('Таблиця 1'!$B:$B,$A345,'Таблиця 1'!$I:$I,"F-16")+COUNTIFS('Таблиця 1'!$B:$B,$A345,'Таблиця 1'!$I:$I,"МіГ-29")+COUNTIFS('Таблиця 1'!$B:$B,$A345,'Таблиця 1'!$I:$I,"Су-25")+COUNTIFS('Таблиця 1'!$B:$B,$A345,'Таблиця 1'!$I:$I,"Су-27"))</f>
        <v/>
      </c>
      <c r="C345">
        <f>IF($A345="","",COUNTIFS('Таблиця 1'!$B:$B,$A345,'Таблиця 1'!$I:$I,"Mirage"))</f>
        <v/>
      </c>
      <c r="D345">
        <f>IF($A345="","",COUNTIFS('Таблиця 1'!$B:$B,$A345,'Таблиця 1'!$I:$I,"F-16"))</f>
        <v/>
      </c>
      <c r="E345">
        <f>IF($A345="","",COUNTIFS('Таблиця 1'!$B:$B,$A345,'Таблиця 1'!$I:$I,"МіГ-29"))</f>
        <v/>
      </c>
      <c r="F345">
        <f>IF($A345="","",COUNTIFS('Таблиця 1'!$B:$B,$A345,'Таблиця 1'!$I:$I,"Су-25"))</f>
        <v/>
      </c>
      <c r="G345">
        <f>IF($A345="","",COUNTIFS('Таблиця 1'!$B:$B,$A345,'Таблиця 1'!$I:$I,"Су-27"))</f>
        <v/>
      </c>
      <c r="H345">
        <f>IF($A345="","",SUMIFS('Таблиця 1'!$K:$K,'Таблиця 1'!$B:$B,$A345,'Таблиця 1'!$I:$I,"Mirage",'Таблиця 1'!$J:$J,"AGM-88")+SUMIFS('Таблиця 1'!$K:$K,'Таблиця 1'!$B:$B,$A345,'Таблиця 1'!$I:$I,"F-16",'Таблиця 1'!$J:$J,"AGM-88")+SUMIFS('Таблиця 1'!$K:$K,'Таблиця 1'!$B:$B,$A345,'Таблиця 1'!$I:$I,"МіГ-29",'Таблиця 1'!$J:$J,"AGM-88")+SUMIFS('Таблиця 1'!$K:$K,'Таблиця 1'!$B:$B,$A345,'Таблиця 1'!$I:$I,"Су-25",'Таблиця 1'!$J:$J,"AGM-88")+SUMIFS('Таблиця 1'!$K:$K,'Таблиця 1'!$B:$B,$A345,'Таблиця 1'!$I:$I,"Су-27",'Таблиця 1'!$J:$J,"AGM-88"))</f>
        <v/>
      </c>
      <c r="I345">
        <f>IF($A345="","",SUMIFS('Таблиця 1'!$K:$K,'Таблиця 1'!$B:$B,$A345,'Таблиця 1'!$I:$I,"Mirage",'Таблиця 1'!$J:$J,"AASM-250")+SUMIFS('Таблиця 1'!$K:$K,'Таблиця 1'!$B:$B,$A345,'Таблиця 1'!$I:$I,"F-16",'Таблиця 1'!$J:$J,"AASM-250")+SUMIFS('Таблиця 1'!$K:$K,'Таблиця 1'!$B:$B,$A345,'Таблиця 1'!$I:$I,"МіГ-29",'Таблиця 1'!$J:$J,"AASM-250")+SUMIFS('Таблиця 1'!$K:$K,'Таблиця 1'!$B:$B,$A345,'Таблиця 1'!$I:$I,"Су-25",'Таблиця 1'!$J:$J,"AASM-250")+SUMIFS('Таблиця 1'!$K:$K,'Таблиця 1'!$B:$B,$A345,'Таблиця 1'!$I:$I,"Су-27",'Таблиця 1'!$J:$J,"AASM-250"))</f>
        <v/>
      </c>
      <c r="J345">
        <f>IF($A345="","",SUMIFS('Таблиця 1'!$K:$K,'Таблиця 1'!$B:$B,$A345,'Таблиця 1'!$I:$I,"Mirage",'Таблиця 1'!$J:$J,"GBU-39")+SUMIFS('Таблиця 1'!$K:$K,'Таблиця 1'!$B:$B,$A345,'Таблиця 1'!$I:$I,"F-16",'Таблиця 1'!$J:$J,"GBU-39")+SUMIFS('Таблиця 1'!$K:$K,'Таблиця 1'!$B:$B,$A345,'Таблиця 1'!$I:$I,"МіГ-29",'Таблиця 1'!$J:$J,"GBU-39")+SUMIFS('Таблиця 1'!$K:$K,'Таблиця 1'!$B:$B,$A345,'Таблиця 1'!$I:$I,"Су-25",'Таблиця 1'!$J:$J,"GBU-39")+SUMIFS('Таблиця 1'!$K:$K,'Таблиця 1'!$B:$B,$A345,'Таблиця 1'!$I:$I,"Су-27",'Таблиця 1'!$J:$J,"GBU-39"))</f>
        <v/>
      </c>
      <c r="K345">
        <f>IF($A345="","",SUMIFS('Таблиця 1'!$K:$K,'Таблиця 1'!$B:$B,$A345,'Таблиця 1'!$I:$I,"Mirage",'Таблиця 1'!$J:$J,"BLU-140")+SUMIFS('Таблиця 1'!$K:$K,'Таблиця 1'!$B:$B,$A345,'Таблиця 1'!$I:$I,"F-16",'Таблиця 1'!$J:$J,"BLU-140")+SUMIFS('Таблиця 1'!$K:$K,'Таблиця 1'!$B:$B,$A345,'Таблиця 1'!$I:$I,"МіГ-29",'Таблиця 1'!$J:$J,"BLU-140")+SUMIFS('Таблиця 1'!$K:$K,'Таблиця 1'!$B:$B,$A345,'Таблиця 1'!$I:$I,"Су-25",'Таблиця 1'!$J:$J,"BLU-140")+SUMIFS('Таблиця 1'!$K:$K,'Таблиця 1'!$B:$B,$A345,'Таблиця 1'!$I:$I,"Су-27",'Таблиця 1'!$J:$J,"BLU-140"))</f>
        <v/>
      </c>
      <c r="L345">
        <f>IF($A345="","",SUMIFS('Таблиця 1'!$K:$K,'Таблиця 1'!$B:$B,$A345,'Таблиця 1'!$I:$I,"Mirage",'Таблиця 1'!$J:$J,"GBU-65")+SUMIFS('Таблиця 1'!$K:$K,'Таблиця 1'!$B:$B,$A345,'Таблиця 1'!$I:$I,"F-16",'Таблиця 1'!$J:$J,"GBU-65")+SUMIFS('Таблиця 1'!$K:$K,'Таблиця 1'!$B:$B,$A345,'Таблиця 1'!$I:$I,"МіГ-29",'Таблиця 1'!$J:$J,"GBU-65")+SUMIFS('Таблиця 1'!$K:$K,'Таблиця 1'!$B:$B,$A345,'Таблиця 1'!$I:$I,"Су-25",'Таблиця 1'!$J:$J,"GBU-65")+SUMIFS('Таблиця 1'!$K:$K,'Таблиця 1'!$B:$B,$A345,'Таблиця 1'!$I:$I,"Су-27",'Таблиця 1'!$J:$J,"GBU-65"))</f>
        <v/>
      </c>
      <c r="M345">
        <f>IF($A345="","",SUMIFS('Таблиця 1'!$K:$K,'Таблиця 1'!$B:$B,$A345,'Таблиця 1'!$I:$I,"Mirage",'Таблиця 1'!$J:$J,"GBU-62")+SUMIFS('Таблиця 1'!$K:$K,'Таблиця 1'!$B:$B,$A345,'Таблиця 1'!$I:$I,"F-16",'Таблиця 1'!$J:$J,"GBU-62")+SUMIFS('Таблиця 1'!$K:$K,'Таблиця 1'!$B:$B,$A345,'Таблиця 1'!$I:$I,"МіГ-29",'Таблиця 1'!$J:$J,"GBU-62")+SUMIFS('Таблиця 1'!$K:$K,'Таблиця 1'!$B:$B,$A345,'Таблиця 1'!$I:$I,"Су-25",'Таблиця 1'!$J:$J,"GBU-62")+SUMIFS('Таблиця 1'!$K:$K,'Таблиця 1'!$B:$B,$A345,'Таблиця 1'!$I:$I,"Су-27",'Таблиця 1'!$J:$J,"GBU-62"))</f>
        <v/>
      </c>
      <c r="N345">
        <f>IF($A345="","",SUMIFS('Таблиця 1'!$K:$K,'Таблиця 1'!$B:$B,$A345,'Таблиця 1'!$I:$I,"Mirage",'Таблиця 1'!$J:$J,"GBU-64")+SUMIFS('Таблиця 1'!$K:$K,'Таблиця 1'!$B:$B,$A345,'Таблиця 1'!$I:$I,"F-16",'Таблиця 1'!$J:$J,"GBU-64")+SUMIFS('Таблиця 1'!$K:$K,'Таблиця 1'!$B:$B,$A345,'Таблиця 1'!$I:$I,"МіГ-29",'Таблиця 1'!$J:$J,"GBU-64")+SUMIFS('Таблиця 1'!$K:$K,'Таблиця 1'!$B:$B,$A345,'Таблиця 1'!$I:$I,"Су-25",'Таблиця 1'!$J:$J,"GBU-64")+SUMIFS('Таблиця 1'!$K:$K,'Таблиця 1'!$B:$B,$A345,'Таблиця 1'!$I:$I,"Су-27",'Таблиця 1'!$J:$J,"GBU-64"))</f>
        <v/>
      </c>
      <c r="O345">
        <f>IF($A345="","",SUMIFS('Таблиця 1'!$K:$K,'Таблиця 1'!$B:$B,$A345,'Таблиця 1'!$I:$I,"Mirage",'Таблиця 1'!$J:$J,"C-13")+SUMIFS('Таблиця 1'!$K:$K,'Таблиця 1'!$B:$B,$A345,'Таблиця 1'!$I:$I,"F-16",'Таблиця 1'!$J:$J,"C-13")+SUMIFS('Таблиця 1'!$K:$K,'Таблиця 1'!$B:$B,$A345,'Таблиця 1'!$I:$I,"МіГ-29",'Таблиця 1'!$J:$J,"C-13")+SUMIFS('Таблиця 1'!$K:$K,'Таблиця 1'!$B:$B,$A345,'Таблиця 1'!$I:$I,"Су-25",'Таблиця 1'!$J:$J,"C-13")+SUMIFS('Таблиця 1'!$K:$K,'Таблиця 1'!$B:$B,$A345,'Таблиця 1'!$I:$I,"Су-27",'Таблиця 1'!$J:$J,"C-13"))</f>
        <v/>
      </c>
      <c r="P345">
        <f>IF($A345="","",SUMIFS('Таблиця 1'!$K:$K,'Таблиця 1'!$B:$B,$A345,'Таблиця 1'!$I:$I,"Mirage",'Таблиця 1'!$J:$J,"MK-32")+SUMIFS('Таблиця 1'!$K:$K,'Таблиця 1'!$B:$B,$A345,'Таблиця 1'!$I:$I,"F-16",'Таблиця 1'!$J:$J,"MK-32")+SUMIFS('Таблиця 1'!$K:$K,'Таблиця 1'!$B:$B,$A345,'Таблиця 1'!$I:$I,"МіГ-29",'Таблиця 1'!$J:$J,"MK-32")+SUMIFS('Таблиця 1'!$K:$K,'Таблиця 1'!$B:$B,$A345,'Таблиця 1'!$I:$I,"Су-25",'Таблиця 1'!$J:$J,"MK-32")+SUMIFS('Таблиця 1'!$K:$K,'Таблиця 1'!$B:$B,$A345,'Таблиця 1'!$I:$I,"Су-27",'Таблиця 1'!$J:$J,"MK-32"))</f>
        <v/>
      </c>
      <c r="Q345">
        <f>IF($A345="","",SUMIFS('Таблиця 1'!$K:$K,'Таблиця 1'!$B:$B,$A345,'Таблиця 1'!$I:$I,"Mirage",'Таблиця 1'!$J:$J,"MK-24")+SUMIFS('Таблиця 1'!$K:$K,'Таблиця 1'!$B:$B,$A345,'Таблиця 1'!$I:$I,"F-16",'Таблиця 1'!$J:$J,"MK-24")+SUMIFS('Таблиця 1'!$K:$K,'Таблиця 1'!$B:$B,$A345,'Таблиця 1'!$I:$I,"МіГ-29",'Таблиця 1'!$J:$J,"MK-24")+SUMIFS('Таблиця 1'!$K:$K,'Таблиця 1'!$B:$B,$A345,'Таблиця 1'!$I:$I,"Су-25",'Таблиця 1'!$J:$J,"MK-24")+SUMIFS('Таблиця 1'!$K:$K,'Таблиця 1'!$B:$B,$A345,'Таблиця 1'!$I:$I,"Су-27",'Таблиця 1'!$J:$J,"MK-24"))</f>
        <v/>
      </c>
      <c r="R345">
        <f>IF($A345="","",COUNTIFS('Таблиця 1'!$B:$B,$A345,'Таблиця 1'!$I:$I,"Mirage",'Таблиця 1'!$L:$L,"Уражено")+COUNTIFS('Таблиця 1'!$B:$B,$A345,'Таблиця 1'!$I:$I,"F-16",'Таблиця 1'!$L:$L,"Уражено")+COUNTIFS('Таблиця 1'!$B:$B,$A345,'Таблиця 1'!$I:$I,"МіГ-29",'Таблиця 1'!$L:$L,"Уражено")+COUNTIFS('Таблиця 1'!$B:$B,$A345,'Таблиця 1'!$I:$I,"Су-25",'Таблиця 1'!$L:$L,"Уражено")+COUNTIFS('Таблиця 1'!$B:$B,$A345,'Таблиця 1'!$I:$I,"Су-27",'Таблиця 1'!$L:$L,"Уражено"))</f>
        <v/>
      </c>
      <c r="S345">
        <f>IF($A345="","",COUNTIFS('Таблиця 1'!$B:$B,$A345,'Таблиця 1'!$I:$I,"Mirage",'Таблиця 1'!$L:$L,"НЕ уражено")+COUNTIFS('Таблиця 1'!$B:$B,$A345,'Таблиця 1'!$I:$I,"F-16",'Таблиця 1'!$L:$L,"НЕ уражено")+COUNTIFS('Таблиця 1'!$B:$B,$A345,'Таблиця 1'!$I:$I,"МіГ-29",'Таблиця 1'!$L:$L,"НЕ уражено")+COUNTIFS('Таблиця 1'!$B:$B,$A345,'Таблиця 1'!$I:$I,"Су-25",'Таблиця 1'!$L:$L,"НЕ уражено")+COUNTIFS('Таблиця 1'!$B:$B,$A345,'Таблиця 1'!$I:$I,"Су-27",'Таблиця 1'!$L:$L,"НЕ уражено"))</f>
        <v/>
      </c>
      <c r="T345">
        <f>IF($A345="","",COUNTIFS('Таблиця 1'!$B:$B,$A345,'Таблиця 1'!$I:$I,"Mirage",'Таблиця 1'!$L:$L,"Дорозвідується")+COUNTIFS('Таблиця 1'!$B:$B,$A345,'Таблиця 1'!$I:$I,"F-16",'Таблиця 1'!$L:$L,"Дорозвідується")+COUNTIFS('Таблиця 1'!$B:$B,$A345,'Таблиця 1'!$I:$I,"МіГ-29",'Таблиця 1'!$L:$L,"Дорозвідується")+COUNTIFS('Таблиця 1'!$B:$B,$A345,'Таблиця 1'!$I:$I,"Су-25",'Таблиця 1'!$L:$L,"Дорозвідується")+COUNTIFS('Таблиця 1'!$B:$B,$A345,'Таблиця 1'!$I:$I,"Су-27",'Таблиця 1'!$L:$L,"Дорозвідується"))</f>
        <v/>
      </c>
    </row>
    <row r="346">
      <c r="A346" s="273">
        <f>IF(A345="","",IF(A345+1&gt;MAX('Таблиця 1'!$B:$B),"",A345+1))</f>
        <v/>
      </c>
      <c r="B346">
        <f>IF($A346="","",COUNTIFS('Таблиця 1'!$B:$B,$A346,'Таблиця 1'!$I:$I,"Mirage")+COUNTIFS('Таблиця 1'!$B:$B,$A346,'Таблиця 1'!$I:$I,"F-16")+COUNTIFS('Таблиця 1'!$B:$B,$A346,'Таблиця 1'!$I:$I,"МіГ-29")+COUNTIFS('Таблиця 1'!$B:$B,$A346,'Таблиця 1'!$I:$I,"Су-25")+COUNTIFS('Таблиця 1'!$B:$B,$A346,'Таблиця 1'!$I:$I,"Су-27"))</f>
        <v/>
      </c>
      <c r="C346">
        <f>IF($A346="","",COUNTIFS('Таблиця 1'!$B:$B,$A346,'Таблиця 1'!$I:$I,"Mirage"))</f>
        <v/>
      </c>
      <c r="D346">
        <f>IF($A346="","",COUNTIFS('Таблиця 1'!$B:$B,$A346,'Таблиця 1'!$I:$I,"F-16"))</f>
        <v/>
      </c>
      <c r="E346">
        <f>IF($A346="","",COUNTIFS('Таблиця 1'!$B:$B,$A346,'Таблиця 1'!$I:$I,"МіГ-29"))</f>
        <v/>
      </c>
      <c r="F346">
        <f>IF($A346="","",COUNTIFS('Таблиця 1'!$B:$B,$A346,'Таблиця 1'!$I:$I,"Су-25"))</f>
        <v/>
      </c>
      <c r="G346">
        <f>IF($A346="","",COUNTIFS('Таблиця 1'!$B:$B,$A346,'Таблиця 1'!$I:$I,"Су-27"))</f>
        <v/>
      </c>
      <c r="H346">
        <f>IF($A346="","",SUMIFS('Таблиця 1'!$K:$K,'Таблиця 1'!$B:$B,$A346,'Таблиця 1'!$I:$I,"Mirage",'Таблиця 1'!$J:$J,"AGM-88")+SUMIFS('Таблиця 1'!$K:$K,'Таблиця 1'!$B:$B,$A346,'Таблиця 1'!$I:$I,"F-16",'Таблиця 1'!$J:$J,"AGM-88")+SUMIFS('Таблиця 1'!$K:$K,'Таблиця 1'!$B:$B,$A346,'Таблиця 1'!$I:$I,"МіГ-29",'Таблиця 1'!$J:$J,"AGM-88")+SUMIFS('Таблиця 1'!$K:$K,'Таблиця 1'!$B:$B,$A346,'Таблиця 1'!$I:$I,"Су-25",'Таблиця 1'!$J:$J,"AGM-88")+SUMIFS('Таблиця 1'!$K:$K,'Таблиця 1'!$B:$B,$A346,'Таблиця 1'!$I:$I,"Су-27",'Таблиця 1'!$J:$J,"AGM-88"))</f>
        <v/>
      </c>
      <c r="I346">
        <f>IF($A346="","",SUMIFS('Таблиця 1'!$K:$K,'Таблиця 1'!$B:$B,$A346,'Таблиця 1'!$I:$I,"Mirage",'Таблиця 1'!$J:$J,"AASM-250")+SUMIFS('Таблиця 1'!$K:$K,'Таблиця 1'!$B:$B,$A346,'Таблиця 1'!$I:$I,"F-16",'Таблиця 1'!$J:$J,"AASM-250")+SUMIFS('Таблиця 1'!$K:$K,'Таблиця 1'!$B:$B,$A346,'Таблиця 1'!$I:$I,"МіГ-29",'Таблиця 1'!$J:$J,"AASM-250")+SUMIFS('Таблиця 1'!$K:$K,'Таблиця 1'!$B:$B,$A346,'Таблиця 1'!$I:$I,"Су-25",'Таблиця 1'!$J:$J,"AASM-250")+SUMIFS('Таблиця 1'!$K:$K,'Таблиця 1'!$B:$B,$A346,'Таблиця 1'!$I:$I,"Су-27",'Таблиця 1'!$J:$J,"AASM-250"))</f>
        <v/>
      </c>
      <c r="J346">
        <f>IF($A346="","",SUMIFS('Таблиця 1'!$K:$K,'Таблиця 1'!$B:$B,$A346,'Таблиця 1'!$I:$I,"Mirage",'Таблиця 1'!$J:$J,"GBU-39")+SUMIFS('Таблиця 1'!$K:$K,'Таблиця 1'!$B:$B,$A346,'Таблиця 1'!$I:$I,"F-16",'Таблиця 1'!$J:$J,"GBU-39")+SUMIFS('Таблиця 1'!$K:$K,'Таблиця 1'!$B:$B,$A346,'Таблиця 1'!$I:$I,"МіГ-29",'Таблиця 1'!$J:$J,"GBU-39")+SUMIFS('Таблиця 1'!$K:$K,'Таблиця 1'!$B:$B,$A346,'Таблиця 1'!$I:$I,"Су-25",'Таблиця 1'!$J:$J,"GBU-39")+SUMIFS('Таблиця 1'!$K:$K,'Таблиця 1'!$B:$B,$A346,'Таблиця 1'!$I:$I,"Су-27",'Таблиця 1'!$J:$J,"GBU-39"))</f>
        <v/>
      </c>
      <c r="K346">
        <f>IF($A346="","",SUMIFS('Таблиця 1'!$K:$K,'Таблиця 1'!$B:$B,$A346,'Таблиця 1'!$I:$I,"Mirage",'Таблиця 1'!$J:$J,"BLU-140")+SUMIFS('Таблиця 1'!$K:$K,'Таблиця 1'!$B:$B,$A346,'Таблиця 1'!$I:$I,"F-16",'Таблиця 1'!$J:$J,"BLU-140")+SUMIFS('Таблиця 1'!$K:$K,'Таблиця 1'!$B:$B,$A346,'Таблиця 1'!$I:$I,"МіГ-29",'Таблиця 1'!$J:$J,"BLU-140")+SUMIFS('Таблиця 1'!$K:$K,'Таблиця 1'!$B:$B,$A346,'Таблиця 1'!$I:$I,"Су-25",'Таблиця 1'!$J:$J,"BLU-140")+SUMIFS('Таблиця 1'!$K:$K,'Таблиця 1'!$B:$B,$A346,'Таблиця 1'!$I:$I,"Су-27",'Таблиця 1'!$J:$J,"BLU-140"))</f>
        <v/>
      </c>
      <c r="L346">
        <f>IF($A346="","",SUMIFS('Таблиця 1'!$K:$K,'Таблиця 1'!$B:$B,$A346,'Таблиця 1'!$I:$I,"Mirage",'Таблиця 1'!$J:$J,"GBU-65")+SUMIFS('Таблиця 1'!$K:$K,'Таблиця 1'!$B:$B,$A346,'Таблиця 1'!$I:$I,"F-16",'Таблиця 1'!$J:$J,"GBU-65")+SUMIFS('Таблиця 1'!$K:$K,'Таблиця 1'!$B:$B,$A346,'Таблиця 1'!$I:$I,"МіГ-29",'Таблиця 1'!$J:$J,"GBU-65")+SUMIFS('Таблиця 1'!$K:$K,'Таблиця 1'!$B:$B,$A346,'Таблиця 1'!$I:$I,"Су-25",'Таблиця 1'!$J:$J,"GBU-65")+SUMIFS('Таблиця 1'!$K:$K,'Таблиця 1'!$B:$B,$A346,'Таблиця 1'!$I:$I,"Су-27",'Таблиця 1'!$J:$J,"GBU-65"))</f>
        <v/>
      </c>
      <c r="M346">
        <f>IF($A346="","",SUMIFS('Таблиця 1'!$K:$K,'Таблиця 1'!$B:$B,$A346,'Таблиця 1'!$I:$I,"Mirage",'Таблиця 1'!$J:$J,"GBU-62")+SUMIFS('Таблиця 1'!$K:$K,'Таблиця 1'!$B:$B,$A346,'Таблиця 1'!$I:$I,"F-16",'Таблиця 1'!$J:$J,"GBU-62")+SUMIFS('Таблиця 1'!$K:$K,'Таблиця 1'!$B:$B,$A346,'Таблиця 1'!$I:$I,"МіГ-29",'Таблиця 1'!$J:$J,"GBU-62")+SUMIFS('Таблиця 1'!$K:$K,'Таблиця 1'!$B:$B,$A346,'Таблиця 1'!$I:$I,"Су-25",'Таблиця 1'!$J:$J,"GBU-62")+SUMIFS('Таблиця 1'!$K:$K,'Таблиця 1'!$B:$B,$A346,'Таблиця 1'!$I:$I,"Су-27",'Таблиця 1'!$J:$J,"GBU-62"))</f>
        <v/>
      </c>
      <c r="N346">
        <f>IF($A346="","",SUMIFS('Таблиця 1'!$K:$K,'Таблиця 1'!$B:$B,$A346,'Таблиця 1'!$I:$I,"Mirage",'Таблиця 1'!$J:$J,"GBU-64")+SUMIFS('Таблиця 1'!$K:$K,'Таблиця 1'!$B:$B,$A346,'Таблиця 1'!$I:$I,"F-16",'Таблиця 1'!$J:$J,"GBU-64")+SUMIFS('Таблиця 1'!$K:$K,'Таблиця 1'!$B:$B,$A346,'Таблиця 1'!$I:$I,"МіГ-29",'Таблиця 1'!$J:$J,"GBU-64")+SUMIFS('Таблиця 1'!$K:$K,'Таблиця 1'!$B:$B,$A346,'Таблиця 1'!$I:$I,"Су-25",'Таблиця 1'!$J:$J,"GBU-64")+SUMIFS('Таблиця 1'!$K:$K,'Таблиця 1'!$B:$B,$A346,'Таблиця 1'!$I:$I,"Су-27",'Таблиця 1'!$J:$J,"GBU-64"))</f>
        <v/>
      </c>
      <c r="O346">
        <f>IF($A346="","",SUMIFS('Таблиця 1'!$K:$K,'Таблиця 1'!$B:$B,$A346,'Таблиця 1'!$I:$I,"Mirage",'Таблиця 1'!$J:$J,"C-13")+SUMIFS('Таблиця 1'!$K:$K,'Таблиця 1'!$B:$B,$A346,'Таблиця 1'!$I:$I,"F-16",'Таблиця 1'!$J:$J,"C-13")+SUMIFS('Таблиця 1'!$K:$K,'Таблиця 1'!$B:$B,$A346,'Таблиця 1'!$I:$I,"МіГ-29",'Таблиця 1'!$J:$J,"C-13")+SUMIFS('Таблиця 1'!$K:$K,'Таблиця 1'!$B:$B,$A346,'Таблиця 1'!$I:$I,"Су-25",'Таблиця 1'!$J:$J,"C-13")+SUMIFS('Таблиця 1'!$K:$K,'Таблиця 1'!$B:$B,$A346,'Таблиця 1'!$I:$I,"Су-27",'Таблиця 1'!$J:$J,"C-13"))</f>
        <v/>
      </c>
      <c r="P346">
        <f>IF($A346="","",SUMIFS('Таблиця 1'!$K:$K,'Таблиця 1'!$B:$B,$A346,'Таблиця 1'!$I:$I,"Mirage",'Таблиця 1'!$J:$J,"MK-32")+SUMIFS('Таблиця 1'!$K:$K,'Таблиця 1'!$B:$B,$A346,'Таблиця 1'!$I:$I,"F-16",'Таблиця 1'!$J:$J,"MK-32")+SUMIFS('Таблиця 1'!$K:$K,'Таблиця 1'!$B:$B,$A346,'Таблиця 1'!$I:$I,"МіГ-29",'Таблиця 1'!$J:$J,"MK-32")+SUMIFS('Таблиця 1'!$K:$K,'Таблиця 1'!$B:$B,$A346,'Таблиця 1'!$I:$I,"Су-25",'Таблиця 1'!$J:$J,"MK-32")+SUMIFS('Таблиця 1'!$K:$K,'Таблиця 1'!$B:$B,$A346,'Таблиця 1'!$I:$I,"Су-27",'Таблиця 1'!$J:$J,"MK-32"))</f>
        <v/>
      </c>
      <c r="Q346">
        <f>IF($A346="","",SUMIFS('Таблиця 1'!$K:$K,'Таблиця 1'!$B:$B,$A346,'Таблиця 1'!$I:$I,"Mirage",'Таблиця 1'!$J:$J,"MK-24")+SUMIFS('Таблиця 1'!$K:$K,'Таблиця 1'!$B:$B,$A346,'Таблиця 1'!$I:$I,"F-16",'Таблиця 1'!$J:$J,"MK-24")+SUMIFS('Таблиця 1'!$K:$K,'Таблиця 1'!$B:$B,$A346,'Таблиця 1'!$I:$I,"МіГ-29",'Таблиця 1'!$J:$J,"MK-24")+SUMIFS('Таблиця 1'!$K:$K,'Таблиця 1'!$B:$B,$A346,'Таблиця 1'!$I:$I,"Су-25",'Таблиця 1'!$J:$J,"MK-24")+SUMIFS('Таблиця 1'!$K:$K,'Таблиця 1'!$B:$B,$A346,'Таблиця 1'!$I:$I,"Су-27",'Таблиця 1'!$J:$J,"MK-24"))</f>
        <v/>
      </c>
      <c r="R346">
        <f>IF($A346="","",COUNTIFS('Таблиця 1'!$B:$B,$A346,'Таблиця 1'!$I:$I,"Mirage",'Таблиця 1'!$L:$L,"Уражено")+COUNTIFS('Таблиця 1'!$B:$B,$A346,'Таблиця 1'!$I:$I,"F-16",'Таблиця 1'!$L:$L,"Уражено")+COUNTIFS('Таблиця 1'!$B:$B,$A346,'Таблиця 1'!$I:$I,"МіГ-29",'Таблиця 1'!$L:$L,"Уражено")+COUNTIFS('Таблиця 1'!$B:$B,$A346,'Таблиця 1'!$I:$I,"Су-25",'Таблиця 1'!$L:$L,"Уражено")+COUNTIFS('Таблиця 1'!$B:$B,$A346,'Таблиця 1'!$I:$I,"Су-27",'Таблиця 1'!$L:$L,"Уражено"))</f>
        <v/>
      </c>
      <c r="S346">
        <f>IF($A346="","",COUNTIFS('Таблиця 1'!$B:$B,$A346,'Таблиця 1'!$I:$I,"Mirage",'Таблиця 1'!$L:$L,"НЕ уражено")+COUNTIFS('Таблиця 1'!$B:$B,$A346,'Таблиця 1'!$I:$I,"F-16",'Таблиця 1'!$L:$L,"НЕ уражено")+COUNTIFS('Таблиця 1'!$B:$B,$A346,'Таблиця 1'!$I:$I,"МіГ-29",'Таблиця 1'!$L:$L,"НЕ уражено")+COUNTIFS('Таблиця 1'!$B:$B,$A346,'Таблиця 1'!$I:$I,"Су-25",'Таблиця 1'!$L:$L,"НЕ уражено")+COUNTIFS('Таблиця 1'!$B:$B,$A346,'Таблиця 1'!$I:$I,"Су-27",'Таблиця 1'!$L:$L,"НЕ уражено"))</f>
        <v/>
      </c>
      <c r="T346">
        <f>IF($A346="","",COUNTIFS('Таблиця 1'!$B:$B,$A346,'Таблиця 1'!$I:$I,"Mirage",'Таблиця 1'!$L:$L,"Дорозвідується")+COUNTIFS('Таблиця 1'!$B:$B,$A346,'Таблиця 1'!$I:$I,"F-16",'Таблиця 1'!$L:$L,"Дорозвідується")+COUNTIFS('Таблиця 1'!$B:$B,$A346,'Таблиця 1'!$I:$I,"МіГ-29",'Таблиця 1'!$L:$L,"Дорозвідується")+COUNTIFS('Таблиця 1'!$B:$B,$A346,'Таблиця 1'!$I:$I,"Су-25",'Таблиця 1'!$L:$L,"Дорозвідується")+COUNTIFS('Таблиця 1'!$B:$B,$A346,'Таблиця 1'!$I:$I,"Су-27",'Таблиця 1'!$L:$L,"Дорозвідується"))</f>
        <v/>
      </c>
    </row>
    <row r="347">
      <c r="A347" s="273">
        <f>IF(A346="","",IF(A346+1&gt;MAX('Таблиця 1'!$B:$B),"",A346+1))</f>
        <v/>
      </c>
      <c r="B347">
        <f>IF($A347="","",COUNTIFS('Таблиця 1'!$B:$B,$A347,'Таблиця 1'!$I:$I,"Mirage")+COUNTIFS('Таблиця 1'!$B:$B,$A347,'Таблиця 1'!$I:$I,"F-16")+COUNTIFS('Таблиця 1'!$B:$B,$A347,'Таблиця 1'!$I:$I,"МіГ-29")+COUNTIFS('Таблиця 1'!$B:$B,$A347,'Таблиця 1'!$I:$I,"Су-25")+COUNTIFS('Таблиця 1'!$B:$B,$A347,'Таблиця 1'!$I:$I,"Су-27"))</f>
        <v/>
      </c>
      <c r="C347">
        <f>IF($A347="","",COUNTIFS('Таблиця 1'!$B:$B,$A347,'Таблиця 1'!$I:$I,"Mirage"))</f>
        <v/>
      </c>
      <c r="D347">
        <f>IF($A347="","",COUNTIFS('Таблиця 1'!$B:$B,$A347,'Таблиця 1'!$I:$I,"F-16"))</f>
        <v/>
      </c>
      <c r="E347">
        <f>IF($A347="","",COUNTIFS('Таблиця 1'!$B:$B,$A347,'Таблиця 1'!$I:$I,"МіГ-29"))</f>
        <v/>
      </c>
      <c r="F347">
        <f>IF($A347="","",COUNTIFS('Таблиця 1'!$B:$B,$A347,'Таблиця 1'!$I:$I,"Су-25"))</f>
        <v/>
      </c>
      <c r="G347">
        <f>IF($A347="","",COUNTIFS('Таблиця 1'!$B:$B,$A347,'Таблиця 1'!$I:$I,"Су-27"))</f>
        <v/>
      </c>
      <c r="H347">
        <f>IF($A347="","",SUMIFS('Таблиця 1'!$K:$K,'Таблиця 1'!$B:$B,$A347,'Таблиця 1'!$I:$I,"Mirage",'Таблиця 1'!$J:$J,"AGM-88")+SUMIFS('Таблиця 1'!$K:$K,'Таблиця 1'!$B:$B,$A347,'Таблиця 1'!$I:$I,"F-16",'Таблиця 1'!$J:$J,"AGM-88")+SUMIFS('Таблиця 1'!$K:$K,'Таблиця 1'!$B:$B,$A347,'Таблиця 1'!$I:$I,"МіГ-29",'Таблиця 1'!$J:$J,"AGM-88")+SUMIFS('Таблиця 1'!$K:$K,'Таблиця 1'!$B:$B,$A347,'Таблиця 1'!$I:$I,"Су-25",'Таблиця 1'!$J:$J,"AGM-88")+SUMIFS('Таблиця 1'!$K:$K,'Таблиця 1'!$B:$B,$A347,'Таблиця 1'!$I:$I,"Су-27",'Таблиця 1'!$J:$J,"AGM-88"))</f>
        <v/>
      </c>
      <c r="I347">
        <f>IF($A347="","",SUMIFS('Таблиця 1'!$K:$K,'Таблиця 1'!$B:$B,$A347,'Таблиця 1'!$I:$I,"Mirage",'Таблиця 1'!$J:$J,"AASM-250")+SUMIFS('Таблиця 1'!$K:$K,'Таблиця 1'!$B:$B,$A347,'Таблиця 1'!$I:$I,"F-16",'Таблиця 1'!$J:$J,"AASM-250")+SUMIFS('Таблиця 1'!$K:$K,'Таблиця 1'!$B:$B,$A347,'Таблиця 1'!$I:$I,"МіГ-29",'Таблиця 1'!$J:$J,"AASM-250")+SUMIFS('Таблиця 1'!$K:$K,'Таблиця 1'!$B:$B,$A347,'Таблиця 1'!$I:$I,"Су-25",'Таблиця 1'!$J:$J,"AASM-250")+SUMIFS('Таблиця 1'!$K:$K,'Таблиця 1'!$B:$B,$A347,'Таблиця 1'!$I:$I,"Су-27",'Таблиця 1'!$J:$J,"AASM-250"))</f>
        <v/>
      </c>
      <c r="J347">
        <f>IF($A347="","",SUMIFS('Таблиця 1'!$K:$K,'Таблиця 1'!$B:$B,$A347,'Таблиця 1'!$I:$I,"Mirage",'Таблиця 1'!$J:$J,"GBU-39")+SUMIFS('Таблиця 1'!$K:$K,'Таблиця 1'!$B:$B,$A347,'Таблиця 1'!$I:$I,"F-16",'Таблиця 1'!$J:$J,"GBU-39")+SUMIFS('Таблиця 1'!$K:$K,'Таблиця 1'!$B:$B,$A347,'Таблиця 1'!$I:$I,"МіГ-29",'Таблиця 1'!$J:$J,"GBU-39")+SUMIFS('Таблиця 1'!$K:$K,'Таблиця 1'!$B:$B,$A347,'Таблиця 1'!$I:$I,"Су-25",'Таблиця 1'!$J:$J,"GBU-39")+SUMIFS('Таблиця 1'!$K:$K,'Таблиця 1'!$B:$B,$A347,'Таблиця 1'!$I:$I,"Су-27",'Таблиця 1'!$J:$J,"GBU-39"))</f>
        <v/>
      </c>
      <c r="K347">
        <f>IF($A347="","",SUMIFS('Таблиця 1'!$K:$K,'Таблиця 1'!$B:$B,$A347,'Таблиця 1'!$I:$I,"Mirage",'Таблиця 1'!$J:$J,"BLU-140")+SUMIFS('Таблиця 1'!$K:$K,'Таблиця 1'!$B:$B,$A347,'Таблиця 1'!$I:$I,"F-16",'Таблиця 1'!$J:$J,"BLU-140")+SUMIFS('Таблиця 1'!$K:$K,'Таблиця 1'!$B:$B,$A347,'Таблиця 1'!$I:$I,"МіГ-29",'Таблиця 1'!$J:$J,"BLU-140")+SUMIFS('Таблиця 1'!$K:$K,'Таблиця 1'!$B:$B,$A347,'Таблиця 1'!$I:$I,"Су-25",'Таблиця 1'!$J:$J,"BLU-140")+SUMIFS('Таблиця 1'!$K:$K,'Таблиця 1'!$B:$B,$A347,'Таблиця 1'!$I:$I,"Су-27",'Таблиця 1'!$J:$J,"BLU-140"))</f>
        <v/>
      </c>
      <c r="L347">
        <f>IF($A347="","",SUMIFS('Таблиця 1'!$K:$K,'Таблиця 1'!$B:$B,$A347,'Таблиця 1'!$I:$I,"Mirage",'Таблиця 1'!$J:$J,"GBU-65")+SUMIFS('Таблиця 1'!$K:$K,'Таблиця 1'!$B:$B,$A347,'Таблиця 1'!$I:$I,"F-16",'Таблиця 1'!$J:$J,"GBU-65")+SUMIFS('Таблиця 1'!$K:$K,'Таблиця 1'!$B:$B,$A347,'Таблиця 1'!$I:$I,"МіГ-29",'Таблиця 1'!$J:$J,"GBU-65")+SUMIFS('Таблиця 1'!$K:$K,'Таблиця 1'!$B:$B,$A347,'Таблиця 1'!$I:$I,"Су-25",'Таблиця 1'!$J:$J,"GBU-65")+SUMIFS('Таблиця 1'!$K:$K,'Таблиця 1'!$B:$B,$A347,'Таблиця 1'!$I:$I,"Су-27",'Таблиця 1'!$J:$J,"GBU-65"))</f>
        <v/>
      </c>
      <c r="M347">
        <f>IF($A347="","",SUMIFS('Таблиця 1'!$K:$K,'Таблиця 1'!$B:$B,$A347,'Таблиця 1'!$I:$I,"Mirage",'Таблиця 1'!$J:$J,"GBU-62")+SUMIFS('Таблиця 1'!$K:$K,'Таблиця 1'!$B:$B,$A347,'Таблиця 1'!$I:$I,"F-16",'Таблиця 1'!$J:$J,"GBU-62")+SUMIFS('Таблиця 1'!$K:$K,'Таблиця 1'!$B:$B,$A347,'Таблиця 1'!$I:$I,"МіГ-29",'Таблиця 1'!$J:$J,"GBU-62")+SUMIFS('Таблиця 1'!$K:$K,'Таблиця 1'!$B:$B,$A347,'Таблиця 1'!$I:$I,"Су-25",'Таблиця 1'!$J:$J,"GBU-62")+SUMIFS('Таблиця 1'!$K:$K,'Таблиця 1'!$B:$B,$A347,'Таблиця 1'!$I:$I,"Су-27",'Таблиця 1'!$J:$J,"GBU-62"))</f>
        <v/>
      </c>
      <c r="N347">
        <f>IF($A347="","",SUMIFS('Таблиця 1'!$K:$K,'Таблиця 1'!$B:$B,$A347,'Таблиця 1'!$I:$I,"Mirage",'Таблиця 1'!$J:$J,"GBU-64")+SUMIFS('Таблиця 1'!$K:$K,'Таблиця 1'!$B:$B,$A347,'Таблиця 1'!$I:$I,"F-16",'Таблиця 1'!$J:$J,"GBU-64")+SUMIFS('Таблиця 1'!$K:$K,'Таблиця 1'!$B:$B,$A347,'Таблиця 1'!$I:$I,"МіГ-29",'Таблиця 1'!$J:$J,"GBU-64")+SUMIFS('Таблиця 1'!$K:$K,'Таблиця 1'!$B:$B,$A347,'Таблиця 1'!$I:$I,"Су-25",'Таблиця 1'!$J:$J,"GBU-64")+SUMIFS('Таблиця 1'!$K:$K,'Таблиця 1'!$B:$B,$A347,'Таблиця 1'!$I:$I,"Су-27",'Таблиця 1'!$J:$J,"GBU-64"))</f>
        <v/>
      </c>
      <c r="O347">
        <f>IF($A347="","",SUMIFS('Таблиця 1'!$K:$K,'Таблиця 1'!$B:$B,$A347,'Таблиця 1'!$I:$I,"Mirage",'Таблиця 1'!$J:$J,"C-13")+SUMIFS('Таблиця 1'!$K:$K,'Таблиця 1'!$B:$B,$A347,'Таблиця 1'!$I:$I,"F-16",'Таблиця 1'!$J:$J,"C-13")+SUMIFS('Таблиця 1'!$K:$K,'Таблиця 1'!$B:$B,$A347,'Таблиця 1'!$I:$I,"МіГ-29",'Таблиця 1'!$J:$J,"C-13")+SUMIFS('Таблиця 1'!$K:$K,'Таблиця 1'!$B:$B,$A347,'Таблиця 1'!$I:$I,"Су-25",'Таблиця 1'!$J:$J,"C-13")+SUMIFS('Таблиця 1'!$K:$K,'Таблиця 1'!$B:$B,$A347,'Таблиця 1'!$I:$I,"Су-27",'Таблиця 1'!$J:$J,"C-13"))</f>
        <v/>
      </c>
      <c r="P347">
        <f>IF($A347="","",SUMIFS('Таблиця 1'!$K:$K,'Таблиця 1'!$B:$B,$A347,'Таблиця 1'!$I:$I,"Mirage",'Таблиця 1'!$J:$J,"MK-32")+SUMIFS('Таблиця 1'!$K:$K,'Таблиця 1'!$B:$B,$A347,'Таблиця 1'!$I:$I,"F-16",'Таблиця 1'!$J:$J,"MK-32")+SUMIFS('Таблиця 1'!$K:$K,'Таблиця 1'!$B:$B,$A347,'Таблиця 1'!$I:$I,"МіГ-29",'Таблиця 1'!$J:$J,"MK-32")+SUMIFS('Таблиця 1'!$K:$K,'Таблиця 1'!$B:$B,$A347,'Таблиця 1'!$I:$I,"Су-25",'Таблиця 1'!$J:$J,"MK-32")+SUMIFS('Таблиця 1'!$K:$K,'Таблиця 1'!$B:$B,$A347,'Таблиця 1'!$I:$I,"Су-27",'Таблиця 1'!$J:$J,"MK-32"))</f>
        <v/>
      </c>
      <c r="Q347">
        <f>IF($A347="","",SUMIFS('Таблиця 1'!$K:$K,'Таблиця 1'!$B:$B,$A347,'Таблиця 1'!$I:$I,"Mirage",'Таблиця 1'!$J:$J,"MK-24")+SUMIFS('Таблиця 1'!$K:$K,'Таблиця 1'!$B:$B,$A347,'Таблиця 1'!$I:$I,"F-16",'Таблиця 1'!$J:$J,"MK-24")+SUMIFS('Таблиця 1'!$K:$K,'Таблиця 1'!$B:$B,$A347,'Таблиця 1'!$I:$I,"МіГ-29",'Таблиця 1'!$J:$J,"MK-24")+SUMIFS('Таблиця 1'!$K:$K,'Таблиця 1'!$B:$B,$A347,'Таблиця 1'!$I:$I,"Су-25",'Таблиця 1'!$J:$J,"MK-24")+SUMIFS('Таблиця 1'!$K:$K,'Таблиця 1'!$B:$B,$A347,'Таблиця 1'!$I:$I,"Су-27",'Таблиця 1'!$J:$J,"MK-24"))</f>
        <v/>
      </c>
      <c r="R347">
        <f>IF($A347="","",COUNTIFS('Таблиця 1'!$B:$B,$A347,'Таблиця 1'!$I:$I,"Mirage",'Таблиця 1'!$L:$L,"Уражено")+COUNTIFS('Таблиця 1'!$B:$B,$A347,'Таблиця 1'!$I:$I,"F-16",'Таблиця 1'!$L:$L,"Уражено")+COUNTIFS('Таблиця 1'!$B:$B,$A347,'Таблиця 1'!$I:$I,"МіГ-29",'Таблиця 1'!$L:$L,"Уражено")+COUNTIFS('Таблиця 1'!$B:$B,$A347,'Таблиця 1'!$I:$I,"Су-25",'Таблиця 1'!$L:$L,"Уражено")+COUNTIFS('Таблиця 1'!$B:$B,$A347,'Таблиця 1'!$I:$I,"Су-27",'Таблиця 1'!$L:$L,"Уражено"))</f>
        <v/>
      </c>
      <c r="S347">
        <f>IF($A347="","",COUNTIFS('Таблиця 1'!$B:$B,$A347,'Таблиця 1'!$I:$I,"Mirage",'Таблиця 1'!$L:$L,"НЕ уражено")+COUNTIFS('Таблиця 1'!$B:$B,$A347,'Таблиця 1'!$I:$I,"F-16",'Таблиця 1'!$L:$L,"НЕ уражено")+COUNTIFS('Таблиця 1'!$B:$B,$A347,'Таблиця 1'!$I:$I,"МіГ-29",'Таблиця 1'!$L:$L,"НЕ уражено")+COUNTIFS('Таблиця 1'!$B:$B,$A347,'Таблиця 1'!$I:$I,"Су-25",'Таблиця 1'!$L:$L,"НЕ уражено")+COUNTIFS('Таблиця 1'!$B:$B,$A347,'Таблиця 1'!$I:$I,"Су-27",'Таблиця 1'!$L:$L,"НЕ уражено"))</f>
        <v/>
      </c>
      <c r="T347">
        <f>IF($A347="","",COUNTIFS('Таблиця 1'!$B:$B,$A347,'Таблиця 1'!$I:$I,"Mirage",'Таблиця 1'!$L:$L,"Дорозвідується")+COUNTIFS('Таблиця 1'!$B:$B,$A347,'Таблиця 1'!$I:$I,"F-16",'Таблиця 1'!$L:$L,"Дорозвідується")+COUNTIFS('Таблиця 1'!$B:$B,$A347,'Таблиця 1'!$I:$I,"МіГ-29",'Таблиця 1'!$L:$L,"Дорозвідується")+COUNTIFS('Таблиця 1'!$B:$B,$A347,'Таблиця 1'!$I:$I,"Су-25",'Таблиця 1'!$L:$L,"Дорозвідується")+COUNTIFS('Таблиця 1'!$B:$B,$A347,'Таблиця 1'!$I:$I,"Су-27",'Таблиця 1'!$L:$L,"Дорозвідується"))</f>
        <v/>
      </c>
    </row>
    <row r="348">
      <c r="A348" s="273">
        <f>IF(A347="","",IF(A347+1&gt;MAX('Таблиця 1'!$B:$B),"",A347+1))</f>
        <v/>
      </c>
      <c r="B348">
        <f>IF($A348="","",COUNTIFS('Таблиця 1'!$B:$B,$A348,'Таблиця 1'!$I:$I,"Mirage")+COUNTIFS('Таблиця 1'!$B:$B,$A348,'Таблиця 1'!$I:$I,"F-16")+COUNTIFS('Таблиця 1'!$B:$B,$A348,'Таблиця 1'!$I:$I,"МіГ-29")+COUNTIFS('Таблиця 1'!$B:$B,$A348,'Таблиця 1'!$I:$I,"Су-25")+COUNTIFS('Таблиця 1'!$B:$B,$A348,'Таблиця 1'!$I:$I,"Су-27"))</f>
        <v/>
      </c>
      <c r="C348">
        <f>IF($A348="","",COUNTIFS('Таблиця 1'!$B:$B,$A348,'Таблиця 1'!$I:$I,"Mirage"))</f>
        <v/>
      </c>
      <c r="D348">
        <f>IF($A348="","",COUNTIFS('Таблиця 1'!$B:$B,$A348,'Таблиця 1'!$I:$I,"F-16"))</f>
        <v/>
      </c>
      <c r="E348">
        <f>IF($A348="","",COUNTIFS('Таблиця 1'!$B:$B,$A348,'Таблиця 1'!$I:$I,"МіГ-29"))</f>
        <v/>
      </c>
      <c r="F348">
        <f>IF($A348="","",COUNTIFS('Таблиця 1'!$B:$B,$A348,'Таблиця 1'!$I:$I,"Су-25"))</f>
        <v/>
      </c>
      <c r="G348">
        <f>IF($A348="","",COUNTIFS('Таблиця 1'!$B:$B,$A348,'Таблиця 1'!$I:$I,"Су-27"))</f>
        <v/>
      </c>
      <c r="H348">
        <f>IF($A348="","",SUMIFS('Таблиця 1'!$K:$K,'Таблиця 1'!$B:$B,$A348,'Таблиця 1'!$I:$I,"Mirage",'Таблиця 1'!$J:$J,"AGM-88")+SUMIFS('Таблиця 1'!$K:$K,'Таблиця 1'!$B:$B,$A348,'Таблиця 1'!$I:$I,"F-16",'Таблиця 1'!$J:$J,"AGM-88")+SUMIFS('Таблиця 1'!$K:$K,'Таблиця 1'!$B:$B,$A348,'Таблиця 1'!$I:$I,"МіГ-29",'Таблиця 1'!$J:$J,"AGM-88")+SUMIFS('Таблиця 1'!$K:$K,'Таблиця 1'!$B:$B,$A348,'Таблиця 1'!$I:$I,"Су-25",'Таблиця 1'!$J:$J,"AGM-88")+SUMIFS('Таблиця 1'!$K:$K,'Таблиця 1'!$B:$B,$A348,'Таблиця 1'!$I:$I,"Су-27",'Таблиця 1'!$J:$J,"AGM-88"))</f>
        <v/>
      </c>
      <c r="I348">
        <f>IF($A348="","",SUMIFS('Таблиця 1'!$K:$K,'Таблиця 1'!$B:$B,$A348,'Таблиця 1'!$I:$I,"Mirage",'Таблиця 1'!$J:$J,"AASM-250")+SUMIFS('Таблиця 1'!$K:$K,'Таблиця 1'!$B:$B,$A348,'Таблиця 1'!$I:$I,"F-16",'Таблиця 1'!$J:$J,"AASM-250")+SUMIFS('Таблиця 1'!$K:$K,'Таблиця 1'!$B:$B,$A348,'Таблиця 1'!$I:$I,"МіГ-29",'Таблиця 1'!$J:$J,"AASM-250")+SUMIFS('Таблиця 1'!$K:$K,'Таблиця 1'!$B:$B,$A348,'Таблиця 1'!$I:$I,"Су-25",'Таблиця 1'!$J:$J,"AASM-250")+SUMIFS('Таблиця 1'!$K:$K,'Таблиця 1'!$B:$B,$A348,'Таблиця 1'!$I:$I,"Су-27",'Таблиця 1'!$J:$J,"AASM-250"))</f>
        <v/>
      </c>
      <c r="J348">
        <f>IF($A348="","",SUMIFS('Таблиця 1'!$K:$K,'Таблиця 1'!$B:$B,$A348,'Таблиця 1'!$I:$I,"Mirage",'Таблиця 1'!$J:$J,"GBU-39")+SUMIFS('Таблиця 1'!$K:$K,'Таблиця 1'!$B:$B,$A348,'Таблиця 1'!$I:$I,"F-16",'Таблиця 1'!$J:$J,"GBU-39")+SUMIFS('Таблиця 1'!$K:$K,'Таблиця 1'!$B:$B,$A348,'Таблиця 1'!$I:$I,"МіГ-29",'Таблиця 1'!$J:$J,"GBU-39")+SUMIFS('Таблиця 1'!$K:$K,'Таблиця 1'!$B:$B,$A348,'Таблиця 1'!$I:$I,"Су-25",'Таблиця 1'!$J:$J,"GBU-39")+SUMIFS('Таблиця 1'!$K:$K,'Таблиця 1'!$B:$B,$A348,'Таблиця 1'!$I:$I,"Су-27",'Таблиця 1'!$J:$J,"GBU-39"))</f>
        <v/>
      </c>
      <c r="K348">
        <f>IF($A348="","",SUMIFS('Таблиця 1'!$K:$K,'Таблиця 1'!$B:$B,$A348,'Таблиця 1'!$I:$I,"Mirage",'Таблиця 1'!$J:$J,"BLU-140")+SUMIFS('Таблиця 1'!$K:$K,'Таблиця 1'!$B:$B,$A348,'Таблиця 1'!$I:$I,"F-16",'Таблиця 1'!$J:$J,"BLU-140")+SUMIFS('Таблиця 1'!$K:$K,'Таблиця 1'!$B:$B,$A348,'Таблиця 1'!$I:$I,"МіГ-29",'Таблиця 1'!$J:$J,"BLU-140")+SUMIFS('Таблиця 1'!$K:$K,'Таблиця 1'!$B:$B,$A348,'Таблиця 1'!$I:$I,"Су-25",'Таблиця 1'!$J:$J,"BLU-140")+SUMIFS('Таблиця 1'!$K:$K,'Таблиця 1'!$B:$B,$A348,'Таблиця 1'!$I:$I,"Су-27",'Таблиця 1'!$J:$J,"BLU-140"))</f>
        <v/>
      </c>
      <c r="L348">
        <f>IF($A348="","",SUMIFS('Таблиця 1'!$K:$K,'Таблиця 1'!$B:$B,$A348,'Таблиця 1'!$I:$I,"Mirage",'Таблиця 1'!$J:$J,"GBU-65")+SUMIFS('Таблиця 1'!$K:$K,'Таблиця 1'!$B:$B,$A348,'Таблиця 1'!$I:$I,"F-16",'Таблиця 1'!$J:$J,"GBU-65")+SUMIFS('Таблиця 1'!$K:$K,'Таблиця 1'!$B:$B,$A348,'Таблиця 1'!$I:$I,"МіГ-29",'Таблиця 1'!$J:$J,"GBU-65")+SUMIFS('Таблиця 1'!$K:$K,'Таблиця 1'!$B:$B,$A348,'Таблиця 1'!$I:$I,"Су-25",'Таблиця 1'!$J:$J,"GBU-65")+SUMIFS('Таблиця 1'!$K:$K,'Таблиця 1'!$B:$B,$A348,'Таблиця 1'!$I:$I,"Су-27",'Таблиця 1'!$J:$J,"GBU-65"))</f>
        <v/>
      </c>
      <c r="M348">
        <f>IF($A348="","",SUMIFS('Таблиця 1'!$K:$K,'Таблиця 1'!$B:$B,$A348,'Таблиця 1'!$I:$I,"Mirage",'Таблиця 1'!$J:$J,"GBU-62")+SUMIFS('Таблиця 1'!$K:$K,'Таблиця 1'!$B:$B,$A348,'Таблиця 1'!$I:$I,"F-16",'Таблиця 1'!$J:$J,"GBU-62")+SUMIFS('Таблиця 1'!$K:$K,'Таблиця 1'!$B:$B,$A348,'Таблиця 1'!$I:$I,"МіГ-29",'Таблиця 1'!$J:$J,"GBU-62")+SUMIFS('Таблиця 1'!$K:$K,'Таблиця 1'!$B:$B,$A348,'Таблиця 1'!$I:$I,"Су-25",'Таблиця 1'!$J:$J,"GBU-62")+SUMIFS('Таблиця 1'!$K:$K,'Таблиця 1'!$B:$B,$A348,'Таблиця 1'!$I:$I,"Су-27",'Таблиця 1'!$J:$J,"GBU-62"))</f>
        <v/>
      </c>
      <c r="N348">
        <f>IF($A348="","",SUMIFS('Таблиця 1'!$K:$K,'Таблиця 1'!$B:$B,$A348,'Таблиця 1'!$I:$I,"Mirage",'Таблиця 1'!$J:$J,"GBU-64")+SUMIFS('Таблиця 1'!$K:$K,'Таблиця 1'!$B:$B,$A348,'Таблиця 1'!$I:$I,"F-16",'Таблиця 1'!$J:$J,"GBU-64")+SUMIFS('Таблиця 1'!$K:$K,'Таблиця 1'!$B:$B,$A348,'Таблиця 1'!$I:$I,"МіГ-29",'Таблиця 1'!$J:$J,"GBU-64")+SUMIFS('Таблиця 1'!$K:$K,'Таблиця 1'!$B:$B,$A348,'Таблиця 1'!$I:$I,"Су-25",'Таблиця 1'!$J:$J,"GBU-64")+SUMIFS('Таблиця 1'!$K:$K,'Таблиця 1'!$B:$B,$A348,'Таблиця 1'!$I:$I,"Су-27",'Таблиця 1'!$J:$J,"GBU-64"))</f>
        <v/>
      </c>
      <c r="O348">
        <f>IF($A348="","",SUMIFS('Таблиця 1'!$K:$K,'Таблиця 1'!$B:$B,$A348,'Таблиця 1'!$I:$I,"Mirage",'Таблиця 1'!$J:$J,"C-13")+SUMIFS('Таблиця 1'!$K:$K,'Таблиця 1'!$B:$B,$A348,'Таблиця 1'!$I:$I,"F-16",'Таблиця 1'!$J:$J,"C-13")+SUMIFS('Таблиця 1'!$K:$K,'Таблиця 1'!$B:$B,$A348,'Таблиця 1'!$I:$I,"МіГ-29",'Таблиця 1'!$J:$J,"C-13")+SUMIFS('Таблиця 1'!$K:$K,'Таблиця 1'!$B:$B,$A348,'Таблиця 1'!$I:$I,"Су-25",'Таблиця 1'!$J:$J,"C-13")+SUMIFS('Таблиця 1'!$K:$K,'Таблиця 1'!$B:$B,$A348,'Таблиця 1'!$I:$I,"Су-27",'Таблиця 1'!$J:$J,"C-13"))</f>
        <v/>
      </c>
      <c r="P348">
        <f>IF($A348="","",SUMIFS('Таблиця 1'!$K:$K,'Таблиця 1'!$B:$B,$A348,'Таблиця 1'!$I:$I,"Mirage",'Таблиця 1'!$J:$J,"MK-32")+SUMIFS('Таблиця 1'!$K:$K,'Таблиця 1'!$B:$B,$A348,'Таблиця 1'!$I:$I,"F-16",'Таблиця 1'!$J:$J,"MK-32")+SUMIFS('Таблиця 1'!$K:$K,'Таблиця 1'!$B:$B,$A348,'Таблиця 1'!$I:$I,"МіГ-29",'Таблиця 1'!$J:$J,"MK-32")+SUMIFS('Таблиця 1'!$K:$K,'Таблиця 1'!$B:$B,$A348,'Таблиця 1'!$I:$I,"Су-25",'Таблиця 1'!$J:$J,"MK-32")+SUMIFS('Таблиця 1'!$K:$K,'Таблиця 1'!$B:$B,$A348,'Таблиця 1'!$I:$I,"Су-27",'Таблиця 1'!$J:$J,"MK-32"))</f>
        <v/>
      </c>
      <c r="Q348">
        <f>IF($A348="","",SUMIFS('Таблиця 1'!$K:$K,'Таблиця 1'!$B:$B,$A348,'Таблиця 1'!$I:$I,"Mirage",'Таблиця 1'!$J:$J,"MK-24")+SUMIFS('Таблиця 1'!$K:$K,'Таблиця 1'!$B:$B,$A348,'Таблиця 1'!$I:$I,"F-16",'Таблиця 1'!$J:$J,"MK-24")+SUMIFS('Таблиця 1'!$K:$K,'Таблиця 1'!$B:$B,$A348,'Таблиця 1'!$I:$I,"МіГ-29",'Таблиця 1'!$J:$J,"MK-24")+SUMIFS('Таблиця 1'!$K:$K,'Таблиця 1'!$B:$B,$A348,'Таблиця 1'!$I:$I,"Су-25",'Таблиця 1'!$J:$J,"MK-24")+SUMIFS('Таблиця 1'!$K:$K,'Таблиця 1'!$B:$B,$A348,'Таблиця 1'!$I:$I,"Су-27",'Таблиця 1'!$J:$J,"MK-24"))</f>
        <v/>
      </c>
      <c r="R348">
        <f>IF($A348="","",COUNTIFS('Таблиця 1'!$B:$B,$A348,'Таблиця 1'!$I:$I,"Mirage",'Таблиця 1'!$L:$L,"Уражено")+COUNTIFS('Таблиця 1'!$B:$B,$A348,'Таблиця 1'!$I:$I,"F-16",'Таблиця 1'!$L:$L,"Уражено")+COUNTIFS('Таблиця 1'!$B:$B,$A348,'Таблиця 1'!$I:$I,"МіГ-29",'Таблиця 1'!$L:$L,"Уражено")+COUNTIFS('Таблиця 1'!$B:$B,$A348,'Таблиця 1'!$I:$I,"Су-25",'Таблиця 1'!$L:$L,"Уражено")+COUNTIFS('Таблиця 1'!$B:$B,$A348,'Таблиця 1'!$I:$I,"Су-27",'Таблиця 1'!$L:$L,"Уражено"))</f>
        <v/>
      </c>
      <c r="S348">
        <f>IF($A348="","",COUNTIFS('Таблиця 1'!$B:$B,$A348,'Таблиця 1'!$I:$I,"Mirage",'Таблиця 1'!$L:$L,"НЕ уражено")+COUNTIFS('Таблиця 1'!$B:$B,$A348,'Таблиця 1'!$I:$I,"F-16",'Таблиця 1'!$L:$L,"НЕ уражено")+COUNTIFS('Таблиця 1'!$B:$B,$A348,'Таблиця 1'!$I:$I,"МіГ-29",'Таблиця 1'!$L:$L,"НЕ уражено")+COUNTIFS('Таблиця 1'!$B:$B,$A348,'Таблиця 1'!$I:$I,"Су-25",'Таблиця 1'!$L:$L,"НЕ уражено")+COUNTIFS('Таблиця 1'!$B:$B,$A348,'Таблиця 1'!$I:$I,"Су-27",'Таблиця 1'!$L:$L,"НЕ уражено"))</f>
        <v/>
      </c>
      <c r="T348">
        <f>IF($A348="","",COUNTIFS('Таблиця 1'!$B:$B,$A348,'Таблиця 1'!$I:$I,"Mirage",'Таблиця 1'!$L:$L,"Дорозвідується")+COUNTIFS('Таблиця 1'!$B:$B,$A348,'Таблиця 1'!$I:$I,"F-16",'Таблиця 1'!$L:$L,"Дорозвідується")+COUNTIFS('Таблиця 1'!$B:$B,$A348,'Таблиця 1'!$I:$I,"МіГ-29",'Таблиця 1'!$L:$L,"Дорозвідується")+COUNTIFS('Таблиця 1'!$B:$B,$A348,'Таблиця 1'!$I:$I,"Су-25",'Таблиця 1'!$L:$L,"Дорозвідується")+COUNTIFS('Таблиця 1'!$B:$B,$A348,'Таблиця 1'!$I:$I,"Су-27",'Таблиця 1'!$L:$L,"Дорозвідується"))</f>
        <v/>
      </c>
    </row>
    <row r="349">
      <c r="A349" s="273">
        <f>IF(A348="","",IF(A348+1&gt;MAX('Таблиця 1'!$B:$B),"",A348+1))</f>
        <v/>
      </c>
      <c r="B349">
        <f>IF($A349="","",COUNTIFS('Таблиця 1'!$B:$B,$A349,'Таблиця 1'!$I:$I,"Mirage")+COUNTIFS('Таблиця 1'!$B:$B,$A349,'Таблиця 1'!$I:$I,"F-16")+COUNTIFS('Таблиця 1'!$B:$B,$A349,'Таблиця 1'!$I:$I,"МіГ-29")+COUNTIFS('Таблиця 1'!$B:$B,$A349,'Таблиця 1'!$I:$I,"Су-25")+COUNTIFS('Таблиця 1'!$B:$B,$A349,'Таблиця 1'!$I:$I,"Су-27"))</f>
        <v/>
      </c>
      <c r="C349">
        <f>IF($A349="","",COUNTIFS('Таблиця 1'!$B:$B,$A349,'Таблиця 1'!$I:$I,"Mirage"))</f>
        <v/>
      </c>
      <c r="D349">
        <f>IF($A349="","",COUNTIFS('Таблиця 1'!$B:$B,$A349,'Таблиця 1'!$I:$I,"F-16"))</f>
        <v/>
      </c>
      <c r="E349">
        <f>IF($A349="","",COUNTIFS('Таблиця 1'!$B:$B,$A349,'Таблиця 1'!$I:$I,"МіГ-29"))</f>
        <v/>
      </c>
      <c r="F349">
        <f>IF($A349="","",COUNTIFS('Таблиця 1'!$B:$B,$A349,'Таблиця 1'!$I:$I,"Су-25"))</f>
        <v/>
      </c>
      <c r="G349">
        <f>IF($A349="","",COUNTIFS('Таблиця 1'!$B:$B,$A349,'Таблиця 1'!$I:$I,"Су-27"))</f>
        <v/>
      </c>
      <c r="H349">
        <f>IF($A349="","",SUMIFS('Таблиця 1'!$K:$K,'Таблиця 1'!$B:$B,$A349,'Таблиця 1'!$I:$I,"Mirage",'Таблиця 1'!$J:$J,"AGM-88")+SUMIFS('Таблиця 1'!$K:$K,'Таблиця 1'!$B:$B,$A349,'Таблиця 1'!$I:$I,"F-16",'Таблиця 1'!$J:$J,"AGM-88")+SUMIFS('Таблиця 1'!$K:$K,'Таблиця 1'!$B:$B,$A349,'Таблиця 1'!$I:$I,"МіГ-29",'Таблиця 1'!$J:$J,"AGM-88")+SUMIFS('Таблиця 1'!$K:$K,'Таблиця 1'!$B:$B,$A349,'Таблиця 1'!$I:$I,"Су-25",'Таблиця 1'!$J:$J,"AGM-88")+SUMIFS('Таблиця 1'!$K:$K,'Таблиця 1'!$B:$B,$A349,'Таблиця 1'!$I:$I,"Су-27",'Таблиця 1'!$J:$J,"AGM-88"))</f>
        <v/>
      </c>
      <c r="I349">
        <f>IF($A349="","",SUMIFS('Таблиця 1'!$K:$K,'Таблиця 1'!$B:$B,$A349,'Таблиця 1'!$I:$I,"Mirage",'Таблиця 1'!$J:$J,"AASM-250")+SUMIFS('Таблиця 1'!$K:$K,'Таблиця 1'!$B:$B,$A349,'Таблиця 1'!$I:$I,"F-16",'Таблиця 1'!$J:$J,"AASM-250")+SUMIFS('Таблиця 1'!$K:$K,'Таблиця 1'!$B:$B,$A349,'Таблиця 1'!$I:$I,"МіГ-29",'Таблиця 1'!$J:$J,"AASM-250")+SUMIFS('Таблиця 1'!$K:$K,'Таблиця 1'!$B:$B,$A349,'Таблиця 1'!$I:$I,"Су-25",'Таблиця 1'!$J:$J,"AASM-250")+SUMIFS('Таблиця 1'!$K:$K,'Таблиця 1'!$B:$B,$A349,'Таблиця 1'!$I:$I,"Су-27",'Таблиця 1'!$J:$J,"AASM-250"))</f>
        <v/>
      </c>
      <c r="J349">
        <f>IF($A349="","",SUMIFS('Таблиця 1'!$K:$K,'Таблиця 1'!$B:$B,$A349,'Таблиця 1'!$I:$I,"Mirage",'Таблиця 1'!$J:$J,"GBU-39")+SUMIFS('Таблиця 1'!$K:$K,'Таблиця 1'!$B:$B,$A349,'Таблиця 1'!$I:$I,"F-16",'Таблиця 1'!$J:$J,"GBU-39")+SUMIFS('Таблиця 1'!$K:$K,'Таблиця 1'!$B:$B,$A349,'Таблиця 1'!$I:$I,"МіГ-29",'Таблиця 1'!$J:$J,"GBU-39")+SUMIFS('Таблиця 1'!$K:$K,'Таблиця 1'!$B:$B,$A349,'Таблиця 1'!$I:$I,"Су-25",'Таблиця 1'!$J:$J,"GBU-39")+SUMIFS('Таблиця 1'!$K:$K,'Таблиця 1'!$B:$B,$A349,'Таблиця 1'!$I:$I,"Су-27",'Таблиця 1'!$J:$J,"GBU-39"))</f>
        <v/>
      </c>
      <c r="K349">
        <f>IF($A349="","",SUMIFS('Таблиця 1'!$K:$K,'Таблиця 1'!$B:$B,$A349,'Таблиця 1'!$I:$I,"Mirage",'Таблиця 1'!$J:$J,"BLU-140")+SUMIFS('Таблиця 1'!$K:$K,'Таблиця 1'!$B:$B,$A349,'Таблиця 1'!$I:$I,"F-16",'Таблиця 1'!$J:$J,"BLU-140")+SUMIFS('Таблиця 1'!$K:$K,'Таблиця 1'!$B:$B,$A349,'Таблиця 1'!$I:$I,"МіГ-29",'Таблиця 1'!$J:$J,"BLU-140")+SUMIFS('Таблиця 1'!$K:$K,'Таблиця 1'!$B:$B,$A349,'Таблиця 1'!$I:$I,"Су-25",'Таблиця 1'!$J:$J,"BLU-140")+SUMIFS('Таблиця 1'!$K:$K,'Таблиця 1'!$B:$B,$A349,'Таблиця 1'!$I:$I,"Су-27",'Таблиця 1'!$J:$J,"BLU-140"))</f>
        <v/>
      </c>
      <c r="L349">
        <f>IF($A349="","",SUMIFS('Таблиця 1'!$K:$K,'Таблиця 1'!$B:$B,$A349,'Таблиця 1'!$I:$I,"Mirage",'Таблиця 1'!$J:$J,"GBU-65")+SUMIFS('Таблиця 1'!$K:$K,'Таблиця 1'!$B:$B,$A349,'Таблиця 1'!$I:$I,"F-16",'Таблиця 1'!$J:$J,"GBU-65")+SUMIFS('Таблиця 1'!$K:$K,'Таблиця 1'!$B:$B,$A349,'Таблиця 1'!$I:$I,"МіГ-29",'Таблиця 1'!$J:$J,"GBU-65")+SUMIFS('Таблиця 1'!$K:$K,'Таблиця 1'!$B:$B,$A349,'Таблиця 1'!$I:$I,"Су-25",'Таблиця 1'!$J:$J,"GBU-65")+SUMIFS('Таблиця 1'!$K:$K,'Таблиця 1'!$B:$B,$A349,'Таблиця 1'!$I:$I,"Су-27",'Таблиця 1'!$J:$J,"GBU-65"))</f>
        <v/>
      </c>
      <c r="M349">
        <f>IF($A349="","",SUMIFS('Таблиця 1'!$K:$K,'Таблиця 1'!$B:$B,$A349,'Таблиця 1'!$I:$I,"Mirage",'Таблиця 1'!$J:$J,"GBU-62")+SUMIFS('Таблиця 1'!$K:$K,'Таблиця 1'!$B:$B,$A349,'Таблиця 1'!$I:$I,"F-16",'Таблиця 1'!$J:$J,"GBU-62")+SUMIFS('Таблиця 1'!$K:$K,'Таблиця 1'!$B:$B,$A349,'Таблиця 1'!$I:$I,"МіГ-29",'Таблиця 1'!$J:$J,"GBU-62")+SUMIFS('Таблиця 1'!$K:$K,'Таблиця 1'!$B:$B,$A349,'Таблиця 1'!$I:$I,"Су-25",'Таблиця 1'!$J:$J,"GBU-62")+SUMIFS('Таблиця 1'!$K:$K,'Таблиця 1'!$B:$B,$A349,'Таблиця 1'!$I:$I,"Су-27",'Таблиця 1'!$J:$J,"GBU-62"))</f>
        <v/>
      </c>
      <c r="N349">
        <f>IF($A349="","",SUMIFS('Таблиця 1'!$K:$K,'Таблиця 1'!$B:$B,$A349,'Таблиця 1'!$I:$I,"Mirage",'Таблиця 1'!$J:$J,"GBU-64")+SUMIFS('Таблиця 1'!$K:$K,'Таблиця 1'!$B:$B,$A349,'Таблиця 1'!$I:$I,"F-16",'Таблиця 1'!$J:$J,"GBU-64")+SUMIFS('Таблиця 1'!$K:$K,'Таблиця 1'!$B:$B,$A349,'Таблиця 1'!$I:$I,"МіГ-29",'Таблиця 1'!$J:$J,"GBU-64")+SUMIFS('Таблиця 1'!$K:$K,'Таблиця 1'!$B:$B,$A349,'Таблиця 1'!$I:$I,"Су-25",'Таблиця 1'!$J:$J,"GBU-64")+SUMIFS('Таблиця 1'!$K:$K,'Таблиця 1'!$B:$B,$A349,'Таблиця 1'!$I:$I,"Су-27",'Таблиця 1'!$J:$J,"GBU-64"))</f>
        <v/>
      </c>
      <c r="O349">
        <f>IF($A349="","",SUMIFS('Таблиця 1'!$K:$K,'Таблиця 1'!$B:$B,$A349,'Таблиця 1'!$I:$I,"Mirage",'Таблиця 1'!$J:$J,"C-13")+SUMIFS('Таблиця 1'!$K:$K,'Таблиця 1'!$B:$B,$A349,'Таблиця 1'!$I:$I,"F-16",'Таблиця 1'!$J:$J,"C-13")+SUMIFS('Таблиця 1'!$K:$K,'Таблиця 1'!$B:$B,$A349,'Таблиця 1'!$I:$I,"МіГ-29",'Таблиця 1'!$J:$J,"C-13")+SUMIFS('Таблиця 1'!$K:$K,'Таблиця 1'!$B:$B,$A349,'Таблиця 1'!$I:$I,"Су-25",'Таблиця 1'!$J:$J,"C-13")+SUMIFS('Таблиця 1'!$K:$K,'Таблиця 1'!$B:$B,$A349,'Таблиця 1'!$I:$I,"Су-27",'Таблиця 1'!$J:$J,"C-13"))</f>
        <v/>
      </c>
      <c r="P349">
        <f>IF($A349="","",SUMIFS('Таблиця 1'!$K:$K,'Таблиця 1'!$B:$B,$A349,'Таблиця 1'!$I:$I,"Mirage",'Таблиця 1'!$J:$J,"MK-32")+SUMIFS('Таблиця 1'!$K:$K,'Таблиця 1'!$B:$B,$A349,'Таблиця 1'!$I:$I,"F-16",'Таблиця 1'!$J:$J,"MK-32")+SUMIFS('Таблиця 1'!$K:$K,'Таблиця 1'!$B:$B,$A349,'Таблиця 1'!$I:$I,"МіГ-29",'Таблиця 1'!$J:$J,"MK-32")+SUMIFS('Таблиця 1'!$K:$K,'Таблиця 1'!$B:$B,$A349,'Таблиця 1'!$I:$I,"Су-25",'Таблиця 1'!$J:$J,"MK-32")+SUMIFS('Таблиця 1'!$K:$K,'Таблиця 1'!$B:$B,$A349,'Таблиця 1'!$I:$I,"Су-27",'Таблиця 1'!$J:$J,"MK-32"))</f>
        <v/>
      </c>
      <c r="Q349">
        <f>IF($A349="","",SUMIFS('Таблиця 1'!$K:$K,'Таблиця 1'!$B:$B,$A349,'Таблиця 1'!$I:$I,"Mirage",'Таблиця 1'!$J:$J,"MK-24")+SUMIFS('Таблиця 1'!$K:$K,'Таблиця 1'!$B:$B,$A349,'Таблиця 1'!$I:$I,"F-16",'Таблиця 1'!$J:$J,"MK-24")+SUMIFS('Таблиця 1'!$K:$K,'Таблиця 1'!$B:$B,$A349,'Таблиця 1'!$I:$I,"МіГ-29",'Таблиця 1'!$J:$J,"MK-24")+SUMIFS('Таблиця 1'!$K:$K,'Таблиця 1'!$B:$B,$A349,'Таблиця 1'!$I:$I,"Су-25",'Таблиця 1'!$J:$J,"MK-24")+SUMIFS('Таблиця 1'!$K:$K,'Таблиця 1'!$B:$B,$A349,'Таблиця 1'!$I:$I,"Су-27",'Таблиця 1'!$J:$J,"MK-24"))</f>
        <v/>
      </c>
      <c r="R349">
        <f>IF($A349="","",COUNTIFS('Таблиця 1'!$B:$B,$A349,'Таблиця 1'!$I:$I,"Mirage",'Таблиця 1'!$L:$L,"Уражено")+COUNTIFS('Таблиця 1'!$B:$B,$A349,'Таблиця 1'!$I:$I,"F-16",'Таблиця 1'!$L:$L,"Уражено")+COUNTIFS('Таблиця 1'!$B:$B,$A349,'Таблиця 1'!$I:$I,"МіГ-29",'Таблиця 1'!$L:$L,"Уражено")+COUNTIFS('Таблиця 1'!$B:$B,$A349,'Таблиця 1'!$I:$I,"Су-25",'Таблиця 1'!$L:$L,"Уражено")+COUNTIFS('Таблиця 1'!$B:$B,$A349,'Таблиця 1'!$I:$I,"Су-27",'Таблиця 1'!$L:$L,"Уражено"))</f>
        <v/>
      </c>
      <c r="S349">
        <f>IF($A349="","",COUNTIFS('Таблиця 1'!$B:$B,$A349,'Таблиця 1'!$I:$I,"Mirage",'Таблиця 1'!$L:$L,"НЕ уражено")+COUNTIFS('Таблиця 1'!$B:$B,$A349,'Таблиця 1'!$I:$I,"F-16",'Таблиця 1'!$L:$L,"НЕ уражено")+COUNTIFS('Таблиця 1'!$B:$B,$A349,'Таблиця 1'!$I:$I,"МіГ-29",'Таблиця 1'!$L:$L,"НЕ уражено")+COUNTIFS('Таблиця 1'!$B:$B,$A349,'Таблиця 1'!$I:$I,"Су-25",'Таблиця 1'!$L:$L,"НЕ уражено")+COUNTIFS('Таблиця 1'!$B:$B,$A349,'Таблиця 1'!$I:$I,"Су-27",'Таблиця 1'!$L:$L,"НЕ уражено"))</f>
        <v/>
      </c>
      <c r="T349">
        <f>IF($A349="","",COUNTIFS('Таблиця 1'!$B:$B,$A349,'Таблиця 1'!$I:$I,"Mirage",'Таблиця 1'!$L:$L,"Дорозвідується")+COUNTIFS('Таблиця 1'!$B:$B,$A349,'Таблиця 1'!$I:$I,"F-16",'Таблиця 1'!$L:$L,"Дорозвідується")+COUNTIFS('Таблиця 1'!$B:$B,$A349,'Таблиця 1'!$I:$I,"МіГ-29",'Таблиця 1'!$L:$L,"Дорозвідується")+COUNTIFS('Таблиця 1'!$B:$B,$A349,'Таблиця 1'!$I:$I,"Су-25",'Таблиця 1'!$L:$L,"Дорозвідується")+COUNTIFS('Таблиця 1'!$B:$B,$A349,'Таблиця 1'!$I:$I,"Су-27",'Таблиця 1'!$L:$L,"Дорозвідується"))</f>
        <v/>
      </c>
    </row>
    <row r="350">
      <c r="A350" s="273">
        <f>IF(A349="","",IF(A349+1&gt;MAX('Таблиця 1'!$B:$B),"",A349+1))</f>
        <v/>
      </c>
      <c r="B350">
        <f>IF($A350="","",COUNTIFS('Таблиця 1'!$B:$B,$A350,'Таблиця 1'!$I:$I,"Mirage")+COUNTIFS('Таблиця 1'!$B:$B,$A350,'Таблиця 1'!$I:$I,"F-16")+COUNTIFS('Таблиця 1'!$B:$B,$A350,'Таблиця 1'!$I:$I,"МіГ-29")+COUNTIFS('Таблиця 1'!$B:$B,$A350,'Таблиця 1'!$I:$I,"Су-25")+COUNTIFS('Таблиця 1'!$B:$B,$A350,'Таблиця 1'!$I:$I,"Су-27"))</f>
        <v/>
      </c>
      <c r="C350">
        <f>IF($A350="","",COUNTIFS('Таблиця 1'!$B:$B,$A350,'Таблиця 1'!$I:$I,"Mirage"))</f>
        <v/>
      </c>
      <c r="D350">
        <f>IF($A350="","",COUNTIFS('Таблиця 1'!$B:$B,$A350,'Таблиця 1'!$I:$I,"F-16"))</f>
        <v/>
      </c>
      <c r="E350">
        <f>IF($A350="","",COUNTIFS('Таблиця 1'!$B:$B,$A350,'Таблиця 1'!$I:$I,"МіГ-29"))</f>
        <v/>
      </c>
      <c r="F350">
        <f>IF($A350="","",COUNTIFS('Таблиця 1'!$B:$B,$A350,'Таблиця 1'!$I:$I,"Су-25"))</f>
        <v/>
      </c>
      <c r="G350">
        <f>IF($A350="","",COUNTIFS('Таблиця 1'!$B:$B,$A350,'Таблиця 1'!$I:$I,"Су-27"))</f>
        <v/>
      </c>
      <c r="H350">
        <f>IF($A350="","",SUMIFS('Таблиця 1'!$K:$K,'Таблиця 1'!$B:$B,$A350,'Таблиця 1'!$I:$I,"Mirage",'Таблиця 1'!$J:$J,"AGM-88")+SUMIFS('Таблиця 1'!$K:$K,'Таблиця 1'!$B:$B,$A350,'Таблиця 1'!$I:$I,"F-16",'Таблиця 1'!$J:$J,"AGM-88")+SUMIFS('Таблиця 1'!$K:$K,'Таблиця 1'!$B:$B,$A350,'Таблиця 1'!$I:$I,"МіГ-29",'Таблиця 1'!$J:$J,"AGM-88")+SUMIFS('Таблиця 1'!$K:$K,'Таблиця 1'!$B:$B,$A350,'Таблиця 1'!$I:$I,"Су-25",'Таблиця 1'!$J:$J,"AGM-88")+SUMIFS('Таблиця 1'!$K:$K,'Таблиця 1'!$B:$B,$A350,'Таблиця 1'!$I:$I,"Су-27",'Таблиця 1'!$J:$J,"AGM-88"))</f>
        <v/>
      </c>
      <c r="I350">
        <f>IF($A350="","",SUMIFS('Таблиця 1'!$K:$K,'Таблиця 1'!$B:$B,$A350,'Таблиця 1'!$I:$I,"Mirage",'Таблиця 1'!$J:$J,"AASM-250")+SUMIFS('Таблиця 1'!$K:$K,'Таблиця 1'!$B:$B,$A350,'Таблиця 1'!$I:$I,"F-16",'Таблиця 1'!$J:$J,"AASM-250")+SUMIFS('Таблиця 1'!$K:$K,'Таблиця 1'!$B:$B,$A350,'Таблиця 1'!$I:$I,"МіГ-29",'Таблиця 1'!$J:$J,"AASM-250")+SUMIFS('Таблиця 1'!$K:$K,'Таблиця 1'!$B:$B,$A350,'Таблиця 1'!$I:$I,"Су-25",'Таблиця 1'!$J:$J,"AASM-250")+SUMIFS('Таблиця 1'!$K:$K,'Таблиця 1'!$B:$B,$A350,'Таблиця 1'!$I:$I,"Су-27",'Таблиця 1'!$J:$J,"AASM-250"))</f>
        <v/>
      </c>
      <c r="J350">
        <f>IF($A350="","",SUMIFS('Таблиця 1'!$K:$K,'Таблиця 1'!$B:$B,$A350,'Таблиця 1'!$I:$I,"Mirage",'Таблиця 1'!$J:$J,"GBU-39")+SUMIFS('Таблиця 1'!$K:$K,'Таблиця 1'!$B:$B,$A350,'Таблиця 1'!$I:$I,"F-16",'Таблиця 1'!$J:$J,"GBU-39")+SUMIFS('Таблиця 1'!$K:$K,'Таблиця 1'!$B:$B,$A350,'Таблиця 1'!$I:$I,"МіГ-29",'Таблиця 1'!$J:$J,"GBU-39")+SUMIFS('Таблиця 1'!$K:$K,'Таблиця 1'!$B:$B,$A350,'Таблиця 1'!$I:$I,"Су-25",'Таблиця 1'!$J:$J,"GBU-39")+SUMIFS('Таблиця 1'!$K:$K,'Таблиця 1'!$B:$B,$A350,'Таблиця 1'!$I:$I,"Су-27",'Таблиця 1'!$J:$J,"GBU-39"))</f>
        <v/>
      </c>
      <c r="K350">
        <f>IF($A350="","",SUMIFS('Таблиця 1'!$K:$K,'Таблиця 1'!$B:$B,$A350,'Таблиця 1'!$I:$I,"Mirage",'Таблиця 1'!$J:$J,"BLU-140")+SUMIFS('Таблиця 1'!$K:$K,'Таблиця 1'!$B:$B,$A350,'Таблиця 1'!$I:$I,"F-16",'Таблиця 1'!$J:$J,"BLU-140")+SUMIFS('Таблиця 1'!$K:$K,'Таблиця 1'!$B:$B,$A350,'Таблиця 1'!$I:$I,"МіГ-29",'Таблиця 1'!$J:$J,"BLU-140")+SUMIFS('Таблиця 1'!$K:$K,'Таблиця 1'!$B:$B,$A350,'Таблиця 1'!$I:$I,"Су-25",'Таблиця 1'!$J:$J,"BLU-140")+SUMIFS('Таблиця 1'!$K:$K,'Таблиця 1'!$B:$B,$A350,'Таблиця 1'!$I:$I,"Су-27",'Таблиця 1'!$J:$J,"BLU-140"))</f>
        <v/>
      </c>
      <c r="L350">
        <f>IF($A350="","",SUMIFS('Таблиця 1'!$K:$K,'Таблиця 1'!$B:$B,$A350,'Таблиця 1'!$I:$I,"Mirage",'Таблиця 1'!$J:$J,"GBU-65")+SUMIFS('Таблиця 1'!$K:$K,'Таблиця 1'!$B:$B,$A350,'Таблиця 1'!$I:$I,"F-16",'Таблиця 1'!$J:$J,"GBU-65")+SUMIFS('Таблиця 1'!$K:$K,'Таблиця 1'!$B:$B,$A350,'Таблиця 1'!$I:$I,"МіГ-29",'Таблиця 1'!$J:$J,"GBU-65")+SUMIFS('Таблиця 1'!$K:$K,'Таблиця 1'!$B:$B,$A350,'Таблиця 1'!$I:$I,"Су-25",'Таблиця 1'!$J:$J,"GBU-65")+SUMIFS('Таблиця 1'!$K:$K,'Таблиця 1'!$B:$B,$A350,'Таблиця 1'!$I:$I,"Су-27",'Таблиця 1'!$J:$J,"GBU-65"))</f>
        <v/>
      </c>
      <c r="M350">
        <f>IF($A350="","",SUMIFS('Таблиця 1'!$K:$K,'Таблиця 1'!$B:$B,$A350,'Таблиця 1'!$I:$I,"Mirage",'Таблиця 1'!$J:$J,"GBU-62")+SUMIFS('Таблиця 1'!$K:$K,'Таблиця 1'!$B:$B,$A350,'Таблиця 1'!$I:$I,"F-16",'Таблиця 1'!$J:$J,"GBU-62")+SUMIFS('Таблиця 1'!$K:$K,'Таблиця 1'!$B:$B,$A350,'Таблиця 1'!$I:$I,"МіГ-29",'Таблиця 1'!$J:$J,"GBU-62")+SUMIFS('Таблиця 1'!$K:$K,'Таблиця 1'!$B:$B,$A350,'Таблиця 1'!$I:$I,"Су-25",'Таблиця 1'!$J:$J,"GBU-62")+SUMIFS('Таблиця 1'!$K:$K,'Таблиця 1'!$B:$B,$A350,'Таблиця 1'!$I:$I,"Су-27",'Таблиця 1'!$J:$J,"GBU-62"))</f>
        <v/>
      </c>
      <c r="N350">
        <f>IF($A350="","",SUMIFS('Таблиця 1'!$K:$K,'Таблиця 1'!$B:$B,$A350,'Таблиця 1'!$I:$I,"Mirage",'Таблиця 1'!$J:$J,"GBU-64")+SUMIFS('Таблиця 1'!$K:$K,'Таблиця 1'!$B:$B,$A350,'Таблиця 1'!$I:$I,"F-16",'Таблиця 1'!$J:$J,"GBU-64")+SUMIFS('Таблиця 1'!$K:$K,'Таблиця 1'!$B:$B,$A350,'Таблиця 1'!$I:$I,"МіГ-29",'Таблиця 1'!$J:$J,"GBU-64")+SUMIFS('Таблиця 1'!$K:$K,'Таблиця 1'!$B:$B,$A350,'Таблиця 1'!$I:$I,"Су-25",'Таблиця 1'!$J:$J,"GBU-64")+SUMIFS('Таблиця 1'!$K:$K,'Таблиця 1'!$B:$B,$A350,'Таблиця 1'!$I:$I,"Су-27",'Таблиця 1'!$J:$J,"GBU-64"))</f>
        <v/>
      </c>
      <c r="O350">
        <f>IF($A350="","",SUMIFS('Таблиця 1'!$K:$K,'Таблиця 1'!$B:$B,$A350,'Таблиця 1'!$I:$I,"Mirage",'Таблиця 1'!$J:$J,"C-13")+SUMIFS('Таблиця 1'!$K:$K,'Таблиця 1'!$B:$B,$A350,'Таблиця 1'!$I:$I,"F-16",'Таблиця 1'!$J:$J,"C-13")+SUMIFS('Таблиця 1'!$K:$K,'Таблиця 1'!$B:$B,$A350,'Таблиця 1'!$I:$I,"МіГ-29",'Таблиця 1'!$J:$J,"C-13")+SUMIFS('Таблиця 1'!$K:$K,'Таблиця 1'!$B:$B,$A350,'Таблиця 1'!$I:$I,"Су-25",'Таблиця 1'!$J:$J,"C-13")+SUMIFS('Таблиця 1'!$K:$K,'Таблиця 1'!$B:$B,$A350,'Таблиця 1'!$I:$I,"Су-27",'Таблиця 1'!$J:$J,"C-13"))</f>
        <v/>
      </c>
      <c r="P350">
        <f>IF($A350="","",SUMIFS('Таблиця 1'!$K:$K,'Таблиця 1'!$B:$B,$A350,'Таблиця 1'!$I:$I,"Mirage",'Таблиця 1'!$J:$J,"MK-32")+SUMIFS('Таблиця 1'!$K:$K,'Таблиця 1'!$B:$B,$A350,'Таблиця 1'!$I:$I,"F-16",'Таблиця 1'!$J:$J,"MK-32")+SUMIFS('Таблиця 1'!$K:$K,'Таблиця 1'!$B:$B,$A350,'Таблиця 1'!$I:$I,"МіГ-29",'Таблиця 1'!$J:$J,"MK-32")+SUMIFS('Таблиця 1'!$K:$K,'Таблиця 1'!$B:$B,$A350,'Таблиця 1'!$I:$I,"Су-25",'Таблиця 1'!$J:$J,"MK-32")+SUMIFS('Таблиця 1'!$K:$K,'Таблиця 1'!$B:$B,$A350,'Таблиця 1'!$I:$I,"Су-27",'Таблиця 1'!$J:$J,"MK-32"))</f>
        <v/>
      </c>
      <c r="Q350">
        <f>IF($A350="","",SUMIFS('Таблиця 1'!$K:$K,'Таблиця 1'!$B:$B,$A350,'Таблиця 1'!$I:$I,"Mirage",'Таблиця 1'!$J:$J,"MK-24")+SUMIFS('Таблиця 1'!$K:$K,'Таблиця 1'!$B:$B,$A350,'Таблиця 1'!$I:$I,"F-16",'Таблиця 1'!$J:$J,"MK-24")+SUMIFS('Таблиця 1'!$K:$K,'Таблиця 1'!$B:$B,$A350,'Таблиця 1'!$I:$I,"МіГ-29",'Таблиця 1'!$J:$J,"MK-24")+SUMIFS('Таблиця 1'!$K:$K,'Таблиця 1'!$B:$B,$A350,'Таблиця 1'!$I:$I,"Су-25",'Таблиця 1'!$J:$J,"MK-24")+SUMIFS('Таблиця 1'!$K:$K,'Таблиця 1'!$B:$B,$A350,'Таблиця 1'!$I:$I,"Су-27",'Таблиця 1'!$J:$J,"MK-24"))</f>
        <v/>
      </c>
      <c r="R350">
        <f>IF($A350="","",COUNTIFS('Таблиця 1'!$B:$B,$A350,'Таблиця 1'!$I:$I,"Mirage",'Таблиця 1'!$L:$L,"Уражено")+COUNTIFS('Таблиця 1'!$B:$B,$A350,'Таблиця 1'!$I:$I,"F-16",'Таблиця 1'!$L:$L,"Уражено")+COUNTIFS('Таблиця 1'!$B:$B,$A350,'Таблиця 1'!$I:$I,"МіГ-29",'Таблиця 1'!$L:$L,"Уражено")+COUNTIFS('Таблиця 1'!$B:$B,$A350,'Таблиця 1'!$I:$I,"Су-25",'Таблиця 1'!$L:$L,"Уражено")+COUNTIFS('Таблиця 1'!$B:$B,$A350,'Таблиця 1'!$I:$I,"Су-27",'Таблиця 1'!$L:$L,"Уражено"))</f>
        <v/>
      </c>
      <c r="S350">
        <f>IF($A350="","",COUNTIFS('Таблиця 1'!$B:$B,$A350,'Таблиця 1'!$I:$I,"Mirage",'Таблиця 1'!$L:$L,"НЕ уражено")+COUNTIFS('Таблиця 1'!$B:$B,$A350,'Таблиця 1'!$I:$I,"F-16",'Таблиця 1'!$L:$L,"НЕ уражено")+COUNTIFS('Таблиця 1'!$B:$B,$A350,'Таблиця 1'!$I:$I,"МіГ-29",'Таблиця 1'!$L:$L,"НЕ уражено")+COUNTIFS('Таблиця 1'!$B:$B,$A350,'Таблиця 1'!$I:$I,"Су-25",'Таблиця 1'!$L:$L,"НЕ уражено")+COUNTIFS('Таблиця 1'!$B:$B,$A350,'Таблиця 1'!$I:$I,"Су-27",'Таблиця 1'!$L:$L,"НЕ уражено"))</f>
        <v/>
      </c>
      <c r="T350">
        <f>IF($A350="","",COUNTIFS('Таблиця 1'!$B:$B,$A350,'Таблиця 1'!$I:$I,"Mirage",'Таблиця 1'!$L:$L,"Дорозвідується")+COUNTIFS('Таблиця 1'!$B:$B,$A350,'Таблиця 1'!$I:$I,"F-16",'Таблиця 1'!$L:$L,"Дорозвідується")+COUNTIFS('Таблиця 1'!$B:$B,$A350,'Таблиця 1'!$I:$I,"МіГ-29",'Таблиця 1'!$L:$L,"Дорозвідується")+COUNTIFS('Таблиця 1'!$B:$B,$A350,'Таблиця 1'!$I:$I,"Су-25",'Таблиця 1'!$L:$L,"Дорозвідується")+COUNTIFS('Таблиця 1'!$B:$B,$A350,'Таблиця 1'!$I:$I,"Су-27",'Таблиця 1'!$L:$L,"Дорозвідується"))</f>
        <v/>
      </c>
    </row>
    <row r="351">
      <c r="A351" s="273">
        <f>IF(A350="","",IF(A350+1&gt;MAX('Таблиця 1'!$B:$B),"",A350+1))</f>
        <v/>
      </c>
      <c r="B351">
        <f>IF($A351="","",COUNTIFS('Таблиця 1'!$B:$B,$A351,'Таблиця 1'!$I:$I,"Mirage")+COUNTIFS('Таблиця 1'!$B:$B,$A351,'Таблиця 1'!$I:$I,"F-16")+COUNTIFS('Таблиця 1'!$B:$B,$A351,'Таблиця 1'!$I:$I,"МіГ-29")+COUNTIFS('Таблиця 1'!$B:$B,$A351,'Таблиця 1'!$I:$I,"Су-25")+COUNTIFS('Таблиця 1'!$B:$B,$A351,'Таблиця 1'!$I:$I,"Су-27"))</f>
        <v/>
      </c>
      <c r="C351">
        <f>IF($A351="","",COUNTIFS('Таблиця 1'!$B:$B,$A351,'Таблиця 1'!$I:$I,"Mirage"))</f>
        <v/>
      </c>
      <c r="D351">
        <f>IF($A351="","",COUNTIFS('Таблиця 1'!$B:$B,$A351,'Таблиця 1'!$I:$I,"F-16"))</f>
        <v/>
      </c>
      <c r="E351">
        <f>IF($A351="","",COUNTIFS('Таблиця 1'!$B:$B,$A351,'Таблиця 1'!$I:$I,"МіГ-29"))</f>
        <v/>
      </c>
      <c r="F351">
        <f>IF($A351="","",COUNTIFS('Таблиця 1'!$B:$B,$A351,'Таблиця 1'!$I:$I,"Су-25"))</f>
        <v/>
      </c>
      <c r="G351">
        <f>IF($A351="","",COUNTIFS('Таблиця 1'!$B:$B,$A351,'Таблиця 1'!$I:$I,"Су-27"))</f>
        <v/>
      </c>
      <c r="H351">
        <f>IF($A351="","",SUMIFS('Таблиця 1'!$K:$K,'Таблиця 1'!$B:$B,$A351,'Таблиця 1'!$I:$I,"Mirage",'Таблиця 1'!$J:$J,"AGM-88")+SUMIFS('Таблиця 1'!$K:$K,'Таблиця 1'!$B:$B,$A351,'Таблиця 1'!$I:$I,"F-16",'Таблиця 1'!$J:$J,"AGM-88")+SUMIFS('Таблиця 1'!$K:$K,'Таблиця 1'!$B:$B,$A351,'Таблиця 1'!$I:$I,"МіГ-29",'Таблиця 1'!$J:$J,"AGM-88")+SUMIFS('Таблиця 1'!$K:$K,'Таблиця 1'!$B:$B,$A351,'Таблиця 1'!$I:$I,"Су-25",'Таблиця 1'!$J:$J,"AGM-88")+SUMIFS('Таблиця 1'!$K:$K,'Таблиця 1'!$B:$B,$A351,'Таблиця 1'!$I:$I,"Су-27",'Таблиця 1'!$J:$J,"AGM-88"))</f>
        <v/>
      </c>
      <c r="I351">
        <f>IF($A351="","",SUMIFS('Таблиця 1'!$K:$K,'Таблиця 1'!$B:$B,$A351,'Таблиця 1'!$I:$I,"Mirage",'Таблиця 1'!$J:$J,"AASM-250")+SUMIFS('Таблиця 1'!$K:$K,'Таблиця 1'!$B:$B,$A351,'Таблиця 1'!$I:$I,"F-16",'Таблиця 1'!$J:$J,"AASM-250")+SUMIFS('Таблиця 1'!$K:$K,'Таблиця 1'!$B:$B,$A351,'Таблиця 1'!$I:$I,"МіГ-29",'Таблиця 1'!$J:$J,"AASM-250")+SUMIFS('Таблиця 1'!$K:$K,'Таблиця 1'!$B:$B,$A351,'Таблиця 1'!$I:$I,"Су-25",'Таблиця 1'!$J:$J,"AASM-250")+SUMIFS('Таблиця 1'!$K:$K,'Таблиця 1'!$B:$B,$A351,'Таблиця 1'!$I:$I,"Су-27",'Таблиця 1'!$J:$J,"AASM-250"))</f>
        <v/>
      </c>
      <c r="J351">
        <f>IF($A351="","",SUMIFS('Таблиця 1'!$K:$K,'Таблиця 1'!$B:$B,$A351,'Таблиця 1'!$I:$I,"Mirage",'Таблиця 1'!$J:$J,"GBU-39")+SUMIFS('Таблиця 1'!$K:$K,'Таблиця 1'!$B:$B,$A351,'Таблиця 1'!$I:$I,"F-16",'Таблиця 1'!$J:$J,"GBU-39")+SUMIFS('Таблиця 1'!$K:$K,'Таблиця 1'!$B:$B,$A351,'Таблиця 1'!$I:$I,"МіГ-29",'Таблиця 1'!$J:$J,"GBU-39")+SUMIFS('Таблиця 1'!$K:$K,'Таблиця 1'!$B:$B,$A351,'Таблиця 1'!$I:$I,"Су-25",'Таблиця 1'!$J:$J,"GBU-39")+SUMIFS('Таблиця 1'!$K:$K,'Таблиця 1'!$B:$B,$A351,'Таблиця 1'!$I:$I,"Су-27",'Таблиця 1'!$J:$J,"GBU-39"))</f>
        <v/>
      </c>
      <c r="K351">
        <f>IF($A351="","",SUMIFS('Таблиця 1'!$K:$K,'Таблиця 1'!$B:$B,$A351,'Таблиця 1'!$I:$I,"Mirage",'Таблиця 1'!$J:$J,"BLU-140")+SUMIFS('Таблиця 1'!$K:$K,'Таблиця 1'!$B:$B,$A351,'Таблиця 1'!$I:$I,"F-16",'Таблиця 1'!$J:$J,"BLU-140")+SUMIFS('Таблиця 1'!$K:$K,'Таблиця 1'!$B:$B,$A351,'Таблиця 1'!$I:$I,"МіГ-29",'Таблиця 1'!$J:$J,"BLU-140")+SUMIFS('Таблиця 1'!$K:$K,'Таблиця 1'!$B:$B,$A351,'Таблиця 1'!$I:$I,"Су-25",'Таблиця 1'!$J:$J,"BLU-140")+SUMIFS('Таблиця 1'!$K:$K,'Таблиця 1'!$B:$B,$A351,'Таблиця 1'!$I:$I,"Су-27",'Таблиця 1'!$J:$J,"BLU-140"))</f>
        <v/>
      </c>
      <c r="L351">
        <f>IF($A351="","",SUMIFS('Таблиця 1'!$K:$K,'Таблиця 1'!$B:$B,$A351,'Таблиця 1'!$I:$I,"Mirage",'Таблиця 1'!$J:$J,"GBU-65")+SUMIFS('Таблиця 1'!$K:$K,'Таблиця 1'!$B:$B,$A351,'Таблиця 1'!$I:$I,"F-16",'Таблиця 1'!$J:$J,"GBU-65")+SUMIFS('Таблиця 1'!$K:$K,'Таблиця 1'!$B:$B,$A351,'Таблиця 1'!$I:$I,"МіГ-29",'Таблиця 1'!$J:$J,"GBU-65")+SUMIFS('Таблиця 1'!$K:$K,'Таблиця 1'!$B:$B,$A351,'Таблиця 1'!$I:$I,"Су-25",'Таблиця 1'!$J:$J,"GBU-65")+SUMIFS('Таблиця 1'!$K:$K,'Таблиця 1'!$B:$B,$A351,'Таблиця 1'!$I:$I,"Су-27",'Таблиця 1'!$J:$J,"GBU-65"))</f>
        <v/>
      </c>
      <c r="M351">
        <f>IF($A351="","",SUMIFS('Таблиця 1'!$K:$K,'Таблиця 1'!$B:$B,$A351,'Таблиця 1'!$I:$I,"Mirage",'Таблиця 1'!$J:$J,"GBU-62")+SUMIFS('Таблиця 1'!$K:$K,'Таблиця 1'!$B:$B,$A351,'Таблиця 1'!$I:$I,"F-16",'Таблиця 1'!$J:$J,"GBU-62")+SUMIFS('Таблиця 1'!$K:$K,'Таблиця 1'!$B:$B,$A351,'Таблиця 1'!$I:$I,"МіГ-29",'Таблиця 1'!$J:$J,"GBU-62")+SUMIFS('Таблиця 1'!$K:$K,'Таблиця 1'!$B:$B,$A351,'Таблиця 1'!$I:$I,"Су-25",'Таблиця 1'!$J:$J,"GBU-62")+SUMIFS('Таблиця 1'!$K:$K,'Таблиця 1'!$B:$B,$A351,'Таблиця 1'!$I:$I,"Су-27",'Таблиця 1'!$J:$J,"GBU-62"))</f>
        <v/>
      </c>
      <c r="N351">
        <f>IF($A351="","",SUMIFS('Таблиця 1'!$K:$K,'Таблиця 1'!$B:$B,$A351,'Таблиця 1'!$I:$I,"Mirage",'Таблиця 1'!$J:$J,"GBU-64")+SUMIFS('Таблиця 1'!$K:$K,'Таблиця 1'!$B:$B,$A351,'Таблиця 1'!$I:$I,"F-16",'Таблиця 1'!$J:$J,"GBU-64")+SUMIFS('Таблиця 1'!$K:$K,'Таблиця 1'!$B:$B,$A351,'Таблиця 1'!$I:$I,"МіГ-29",'Таблиця 1'!$J:$J,"GBU-64")+SUMIFS('Таблиця 1'!$K:$K,'Таблиця 1'!$B:$B,$A351,'Таблиця 1'!$I:$I,"Су-25",'Таблиця 1'!$J:$J,"GBU-64")+SUMIFS('Таблиця 1'!$K:$K,'Таблиця 1'!$B:$B,$A351,'Таблиця 1'!$I:$I,"Су-27",'Таблиця 1'!$J:$J,"GBU-64"))</f>
        <v/>
      </c>
      <c r="O351">
        <f>IF($A351="","",SUMIFS('Таблиця 1'!$K:$K,'Таблиця 1'!$B:$B,$A351,'Таблиця 1'!$I:$I,"Mirage",'Таблиця 1'!$J:$J,"C-13")+SUMIFS('Таблиця 1'!$K:$K,'Таблиця 1'!$B:$B,$A351,'Таблиця 1'!$I:$I,"F-16",'Таблиця 1'!$J:$J,"C-13")+SUMIFS('Таблиця 1'!$K:$K,'Таблиця 1'!$B:$B,$A351,'Таблиця 1'!$I:$I,"МіГ-29",'Таблиця 1'!$J:$J,"C-13")+SUMIFS('Таблиця 1'!$K:$K,'Таблиця 1'!$B:$B,$A351,'Таблиця 1'!$I:$I,"Су-25",'Таблиця 1'!$J:$J,"C-13")+SUMIFS('Таблиця 1'!$K:$K,'Таблиця 1'!$B:$B,$A351,'Таблиця 1'!$I:$I,"Су-27",'Таблиця 1'!$J:$J,"C-13"))</f>
        <v/>
      </c>
      <c r="P351">
        <f>IF($A351="","",SUMIFS('Таблиця 1'!$K:$K,'Таблиця 1'!$B:$B,$A351,'Таблиця 1'!$I:$I,"Mirage",'Таблиця 1'!$J:$J,"MK-32")+SUMIFS('Таблиця 1'!$K:$K,'Таблиця 1'!$B:$B,$A351,'Таблиця 1'!$I:$I,"F-16",'Таблиця 1'!$J:$J,"MK-32")+SUMIFS('Таблиця 1'!$K:$K,'Таблиця 1'!$B:$B,$A351,'Таблиця 1'!$I:$I,"МіГ-29",'Таблиця 1'!$J:$J,"MK-32")+SUMIFS('Таблиця 1'!$K:$K,'Таблиця 1'!$B:$B,$A351,'Таблиця 1'!$I:$I,"Су-25",'Таблиця 1'!$J:$J,"MK-32")+SUMIFS('Таблиця 1'!$K:$K,'Таблиця 1'!$B:$B,$A351,'Таблиця 1'!$I:$I,"Су-27",'Таблиця 1'!$J:$J,"MK-32"))</f>
        <v/>
      </c>
      <c r="Q351">
        <f>IF($A351="","",SUMIFS('Таблиця 1'!$K:$K,'Таблиця 1'!$B:$B,$A351,'Таблиця 1'!$I:$I,"Mirage",'Таблиця 1'!$J:$J,"MK-24")+SUMIFS('Таблиця 1'!$K:$K,'Таблиця 1'!$B:$B,$A351,'Таблиця 1'!$I:$I,"F-16",'Таблиця 1'!$J:$J,"MK-24")+SUMIFS('Таблиця 1'!$K:$K,'Таблиця 1'!$B:$B,$A351,'Таблиця 1'!$I:$I,"МіГ-29",'Таблиця 1'!$J:$J,"MK-24")+SUMIFS('Таблиця 1'!$K:$K,'Таблиця 1'!$B:$B,$A351,'Таблиця 1'!$I:$I,"Су-25",'Таблиця 1'!$J:$J,"MK-24")+SUMIFS('Таблиця 1'!$K:$K,'Таблиця 1'!$B:$B,$A351,'Таблиця 1'!$I:$I,"Су-27",'Таблиця 1'!$J:$J,"MK-24"))</f>
        <v/>
      </c>
      <c r="R351">
        <f>IF($A351="","",COUNTIFS('Таблиця 1'!$B:$B,$A351,'Таблиця 1'!$I:$I,"Mirage",'Таблиця 1'!$L:$L,"Уражено")+COUNTIFS('Таблиця 1'!$B:$B,$A351,'Таблиця 1'!$I:$I,"F-16",'Таблиця 1'!$L:$L,"Уражено")+COUNTIFS('Таблиця 1'!$B:$B,$A351,'Таблиця 1'!$I:$I,"МіГ-29",'Таблиця 1'!$L:$L,"Уражено")+COUNTIFS('Таблиця 1'!$B:$B,$A351,'Таблиця 1'!$I:$I,"Су-25",'Таблиця 1'!$L:$L,"Уражено")+COUNTIFS('Таблиця 1'!$B:$B,$A351,'Таблиця 1'!$I:$I,"Су-27",'Таблиця 1'!$L:$L,"Уражено"))</f>
        <v/>
      </c>
      <c r="S351">
        <f>IF($A351="","",COUNTIFS('Таблиця 1'!$B:$B,$A351,'Таблиця 1'!$I:$I,"Mirage",'Таблиця 1'!$L:$L,"НЕ уражено")+COUNTIFS('Таблиця 1'!$B:$B,$A351,'Таблиця 1'!$I:$I,"F-16",'Таблиця 1'!$L:$L,"НЕ уражено")+COUNTIFS('Таблиця 1'!$B:$B,$A351,'Таблиця 1'!$I:$I,"МіГ-29",'Таблиця 1'!$L:$L,"НЕ уражено")+COUNTIFS('Таблиця 1'!$B:$B,$A351,'Таблиця 1'!$I:$I,"Су-25",'Таблиця 1'!$L:$L,"НЕ уражено")+COUNTIFS('Таблиця 1'!$B:$B,$A351,'Таблиця 1'!$I:$I,"Су-27",'Таблиця 1'!$L:$L,"НЕ уражено"))</f>
        <v/>
      </c>
      <c r="T351">
        <f>IF($A351="","",COUNTIFS('Таблиця 1'!$B:$B,$A351,'Таблиця 1'!$I:$I,"Mirage",'Таблиця 1'!$L:$L,"Дорозвідується")+COUNTIFS('Таблиця 1'!$B:$B,$A351,'Таблиця 1'!$I:$I,"F-16",'Таблиця 1'!$L:$L,"Дорозвідується")+COUNTIFS('Таблиця 1'!$B:$B,$A351,'Таблиця 1'!$I:$I,"МіГ-29",'Таблиця 1'!$L:$L,"Дорозвідується")+COUNTIFS('Таблиця 1'!$B:$B,$A351,'Таблиця 1'!$I:$I,"Су-25",'Таблиця 1'!$L:$L,"Дорозвідується")+COUNTIFS('Таблиця 1'!$B:$B,$A351,'Таблиця 1'!$I:$I,"Су-27",'Таблиця 1'!$L:$L,"Дорозвідується"))</f>
        <v/>
      </c>
    </row>
    <row r="352">
      <c r="A352" s="273">
        <f>IF(A351="","",IF(A351+1&gt;MAX('Таблиця 1'!$B:$B),"",A351+1))</f>
        <v/>
      </c>
      <c r="B352">
        <f>IF($A352="","",COUNTIFS('Таблиця 1'!$B:$B,$A352,'Таблиця 1'!$I:$I,"Mirage")+COUNTIFS('Таблиця 1'!$B:$B,$A352,'Таблиця 1'!$I:$I,"F-16")+COUNTIFS('Таблиця 1'!$B:$B,$A352,'Таблиця 1'!$I:$I,"МіГ-29")+COUNTIFS('Таблиця 1'!$B:$B,$A352,'Таблиця 1'!$I:$I,"Су-25")+COUNTIFS('Таблиця 1'!$B:$B,$A352,'Таблиця 1'!$I:$I,"Су-27"))</f>
        <v/>
      </c>
      <c r="C352">
        <f>IF($A352="","",COUNTIFS('Таблиця 1'!$B:$B,$A352,'Таблиця 1'!$I:$I,"Mirage"))</f>
        <v/>
      </c>
      <c r="D352">
        <f>IF($A352="","",COUNTIFS('Таблиця 1'!$B:$B,$A352,'Таблиця 1'!$I:$I,"F-16"))</f>
        <v/>
      </c>
      <c r="E352">
        <f>IF($A352="","",COUNTIFS('Таблиця 1'!$B:$B,$A352,'Таблиця 1'!$I:$I,"МіГ-29"))</f>
        <v/>
      </c>
      <c r="F352">
        <f>IF($A352="","",COUNTIFS('Таблиця 1'!$B:$B,$A352,'Таблиця 1'!$I:$I,"Су-25"))</f>
        <v/>
      </c>
      <c r="G352">
        <f>IF($A352="","",COUNTIFS('Таблиця 1'!$B:$B,$A352,'Таблиця 1'!$I:$I,"Су-27"))</f>
        <v/>
      </c>
      <c r="H352">
        <f>IF($A352="","",SUMIFS('Таблиця 1'!$K:$K,'Таблиця 1'!$B:$B,$A352,'Таблиця 1'!$I:$I,"Mirage",'Таблиця 1'!$J:$J,"AGM-88")+SUMIFS('Таблиця 1'!$K:$K,'Таблиця 1'!$B:$B,$A352,'Таблиця 1'!$I:$I,"F-16",'Таблиця 1'!$J:$J,"AGM-88")+SUMIFS('Таблиця 1'!$K:$K,'Таблиця 1'!$B:$B,$A352,'Таблиця 1'!$I:$I,"МіГ-29",'Таблиця 1'!$J:$J,"AGM-88")+SUMIFS('Таблиця 1'!$K:$K,'Таблиця 1'!$B:$B,$A352,'Таблиця 1'!$I:$I,"Су-25",'Таблиця 1'!$J:$J,"AGM-88")+SUMIFS('Таблиця 1'!$K:$K,'Таблиця 1'!$B:$B,$A352,'Таблиця 1'!$I:$I,"Су-27",'Таблиця 1'!$J:$J,"AGM-88"))</f>
        <v/>
      </c>
      <c r="I352">
        <f>IF($A352="","",SUMIFS('Таблиця 1'!$K:$K,'Таблиця 1'!$B:$B,$A352,'Таблиця 1'!$I:$I,"Mirage",'Таблиця 1'!$J:$J,"AASM-250")+SUMIFS('Таблиця 1'!$K:$K,'Таблиця 1'!$B:$B,$A352,'Таблиця 1'!$I:$I,"F-16",'Таблиця 1'!$J:$J,"AASM-250")+SUMIFS('Таблиця 1'!$K:$K,'Таблиця 1'!$B:$B,$A352,'Таблиця 1'!$I:$I,"МіГ-29",'Таблиця 1'!$J:$J,"AASM-250")+SUMIFS('Таблиця 1'!$K:$K,'Таблиця 1'!$B:$B,$A352,'Таблиця 1'!$I:$I,"Су-25",'Таблиця 1'!$J:$J,"AASM-250")+SUMIFS('Таблиця 1'!$K:$K,'Таблиця 1'!$B:$B,$A352,'Таблиця 1'!$I:$I,"Су-27",'Таблиця 1'!$J:$J,"AASM-250"))</f>
        <v/>
      </c>
      <c r="J352">
        <f>IF($A352="","",SUMIFS('Таблиця 1'!$K:$K,'Таблиця 1'!$B:$B,$A352,'Таблиця 1'!$I:$I,"Mirage",'Таблиця 1'!$J:$J,"GBU-39")+SUMIFS('Таблиця 1'!$K:$K,'Таблиця 1'!$B:$B,$A352,'Таблиця 1'!$I:$I,"F-16",'Таблиця 1'!$J:$J,"GBU-39")+SUMIFS('Таблиця 1'!$K:$K,'Таблиця 1'!$B:$B,$A352,'Таблиця 1'!$I:$I,"МіГ-29",'Таблиця 1'!$J:$J,"GBU-39")+SUMIFS('Таблиця 1'!$K:$K,'Таблиця 1'!$B:$B,$A352,'Таблиця 1'!$I:$I,"Су-25",'Таблиця 1'!$J:$J,"GBU-39")+SUMIFS('Таблиця 1'!$K:$K,'Таблиця 1'!$B:$B,$A352,'Таблиця 1'!$I:$I,"Су-27",'Таблиця 1'!$J:$J,"GBU-39"))</f>
        <v/>
      </c>
      <c r="K352">
        <f>IF($A352="","",SUMIFS('Таблиця 1'!$K:$K,'Таблиця 1'!$B:$B,$A352,'Таблиця 1'!$I:$I,"Mirage",'Таблиця 1'!$J:$J,"BLU-140")+SUMIFS('Таблиця 1'!$K:$K,'Таблиця 1'!$B:$B,$A352,'Таблиця 1'!$I:$I,"F-16",'Таблиця 1'!$J:$J,"BLU-140")+SUMIFS('Таблиця 1'!$K:$K,'Таблиця 1'!$B:$B,$A352,'Таблиця 1'!$I:$I,"МіГ-29",'Таблиця 1'!$J:$J,"BLU-140")+SUMIFS('Таблиця 1'!$K:$K,'Таблиця 1'!$B:$B,$A352,'Таблиця 1'!$I:$I,"Су-25",'Таблиця 1'!$J:$J,"BLU-140")+SUMIFS('Таблиця 1'!$K:$K,'Таблиця 1'!$B:$B,$A352,'Таблиця 1'!$I:$I,"Су-27",'Таблиця 1'!$J:$J,"BLU-140"))</f>
        <v/>
      </c>
      <c r="L352">
        <f>IF($A352="","",SUMIFS('Таблиця 1'!$K:$K,'Таблиця 1'!$B:$B,$A352,'Таблиця 1'!$I:$I,"Mirage",'Таблиця 1'!$J:$J,"GBU-65")+SUMIFS('Таблиця 1'!$K:$K,'Таблиця 1'!$B:$B,$A352,'Таблиця 1'!$I:$I,"F-16",'Таблиця 1'!$J:$J,"GBU-65")+SUMIFS('Таблиця 1'!$K:$K,'Таблиця 1'!$B:$B,$A352,'Таблиця 1'!$I:$I,"МіГ-29",'Таблиця 1'!$J:$J,"GBU-65")+SUMIFS('Таблиця 1'!$K:$K,'Таблиця 1'!$B:$B,$A352,'Таблиця 1'!$I:$I,"Су-25",'Таблиця 1'!$J:$J,"GBU-65")+SUMIFS('Таблиця 1'!$K:$K,'Таблиця 1'!$B:$B,$A352,'Таблиця 1'!$I:$I,"Су-27",'Таблиця 1'!$J:$J,"GBU-65"))</f>
        <v/>
      </c>
      <c r="M352">
        <f>IF($A352="","",SUMIFS('Таблиця 1'!$K:$K,'Таблиця 1'!$B:$B,$A352,'Таблиця 1'!$I:$I,"Mirage",'Таблиця 1'!$J:$J,"GBU-62")+SUMIFS('Таблиця 1'!$K:$K,'Таблиця 1'!$B:$B,$A352,'Таблиця 1'!$I:$I,"F-16",'Таблиця 1'!$J:$J,"GBU-62")+SUMIFS('Таблиця 1'!$K:$K,'Таблиця 1'!$B:$B,$A352,'Таблиця 1'!$I:$I,"МіГ-29",'Таблиця 1'!$J:$J,"GBU-62")+SUMIFS('Таблиця 1'!$K:$K,'Таблиця 1'!$B:$B,$A352,'Таблиця 1'!$I:$I,"Су-25",'Таблиця 1'!$J:$J,"GBU-62")+SUMIFS('Таблиця 1'!$K:$K,'Таблиця 1'!$B:$B,$A352,'Таблиця 1'!$I:$I,"Су-27",'Таблиця 1'!$J:$J,"GBU-62"))</f>
        <v/>
      </c>
      <c r="N352">
        <f>IF($A352="","",SUMIFS('Таблиця 1'!$K:$K,'Таблиця 1'!$B:$B,$A352,'Таблиця 1'!$I:$I,"Mirage",'Таблиця 1'!$J:$J,"GBU-64")+SUMIFS('Таблиця 1'!$K:$K,'Таблиця 1'!$B:$B,$A352,'Таблиця 1'!$I:$I,"F-16",'Таблиця 1'!$J:$J,"GBU-64")+SUMIFS('Таблиця 1'!$K:$K,'Таблиця 1'!$B:$B,$A352,'Таблиця 1'!$I:$I,"МіГ-29",'Таблиця 1'!$J:$J,"GBU-64")+SUMIFS('Таблиця 1'!$K:$K,'Таблиця 1'!$B:$B,$A352,'Таблиця 1'!$I:$I,"Су-25",'Таблиця 1'!$J:$J,"GBU-64")+SUMIFS('Таблиця 1'!$K:$K,'Таблиця 1'!$B:$B,$A352,'Таблиця 1'!$I:$I,"Су-27",'Таблиця 1'!$J:$J,"GBU-64"))</f>
        <v/>
      </c>
      <c r="O352">
        <f>IF($A352="","",SUMIFS('Таблиця 1'!$K:$K,'Таблиця 1'!$B:$B,$A352,'Таблиця 1'!$I:$I,"Mirage",'Таблиця 1'!$J:$J,"C-13")+SUMIFS('Таблиця 1'!$K:$K,'Таблиця 1'!$B:$B,$A352,'Таблиця 1'!$I:$I,"F-16",'Таблиця 1'!$J:$J,"C-13")+SUMIFS('Таблиця 1'!$K:$K,'Таблиця 1'!$B:$B,$A352,'Таблиця 1'!$I:$I,"МіГ-29",'Таблиця 1'!$J:$J,"C-13")+SUMIFS('Таблиця 1'!$K:$K,'Таблиця 1'!$B:$B,$A352,'Таблиця 1'!$I:$I,"Су-25",'Таблиця 1'!$J:$J,"C-13")+SUMIFS('Таблиця 1'!$K:$K,'Таблиця 1'!$B:$B,$A352,'Таблиця 1'!$I:$I,"Су-27",'Таблиця 1'!$J:$J,"C-13"))</f>
        <v/>
      </c>
      <c r="P352">
        <f>IF($A352="","",SUMIFS('Таблиця 1'!$K:$K,'Таблиця 1'!$B:$B,$A352,'Таблиця 1'!$I:$I,"Mirage",'Таблиця 1'!$J:$J,"MK-32")+SUMIFS('Таблиця 1'!$K:$K,'Таблиця 1'!$B:$B,$A352,'Таблиця 1'!$I:$I,"F-16",'Таблиця 1'!$J:$J,"MK-32")+SUMIFS('Таблиця 1'!$K:$K,'Таблиця 1'!$B:$B,$A352,'Таблиця 1'!$I:$I,"МіГ-29",'Таблиця 1'!$J:$J,"MK-32")+SUMIFS('Таблиця 1'!$K:$K,'Таблиця 1'!$B:$B,$A352,'Таблиця 1'!$I:$I,"Су-25",'Таблиця 1'!$J:$J,"MK-32")+SUMIFS('Таблиця 1'!$K:$K,'Таблиця 1'!$B:$B,$A352,'Таблиця 1'!$I:$I,"Су-27",'Таблиця 1'!$J:$J,"MK-32"))</f>
        <v/>
      </c>
      <c r="Q352">
        <f>IF($A352="","",SUMIFS('Таблиця 1'!$K:$K,'Таблиця 1'!$B:$B,$A352,'Таблиця 1'!$I:$I,"Mirage",'Таблиця 1'!$J:$J,"MK-24")+SUMIFS('Таблиця 1'!$K:$K,'Таблиця 1'!$B:$B,$A352,'Таблиця 1'!$I:$I,"F-16",'Таблиця 1'!$J:$J,"MK-24")+SUMIFS('Таблиця 1'!$K:$K,'Таблиця 1'!$B:$B,$A352,'Таблиця 1'!$I:$I,"МіГ-29",'Таблиця 1'!$J:$J,"MK-24")+SUMIFS('Таблиця 1'!$K:$K,'Таблиця 1'!$B:$B,$A352,'Таблиця 1'!$I:$I,"Су-25",'Таблиця 1'!$J:$J,"MK-24")+SUMIFS('Таблиця 1'!$K:$K,'Таблиця 1'!$B:$B,$A352,'Таблиця 1'!$I:$I,"Су-27",'Таблиця 1'!$J:$J,"MK-24"))</f>
        <v/>
      </c>
      <c r="R352">
        <f>IF($A352="","",COUNTIFS('Таблиця 1'!$B:$B,$A352,'Таблиця 1'!$I:$I,"Mirage",'Таблиця 1'!$L:$L,"Уражено")+COUNTIFS('Таблиця 1'!$B:$B,$A352,'Таблиця 1'!$I:$I,"F-16",'Таблиця 1'!$L:$L,"Уражено")+COUNTIFS('Таблиця 1'!$B:$B,$A352,'Таблиця 1'!$I:$I,"МіГ-29",'Таблиця 1'!$L:$L,"Уражено")+COUNTIFS('Таблиця 1'!$B:$B,$A352,'Таблиця 1'!$I:$I,"Су-25",'Таблиця 1'!$L:$L,"Уражено")+COUNTIFS('Таблиця 1'!$B:$B,$A352,'Таблиця 1'!$I:$I,"Су-27",'Таблиця 1'!$L:$L,"Уражено"))</f>
        <v/>
      </c>
      <c r="S352">
        <f>IF($A352="","",COUNTIFS('Таблиця 1'!$B:$B,$A352,'Таблиця 1'!$I:$I,"Mirage",'Таблиця 1'!$L:$L,"НЕ уражено")+COUNTIFS('Таблиця 1'!$B:$B,$A352,'Таблиця 1'!$I:$I,"F-16",'Таблиця 1'!$L:$L,"НЕ уражено")+COUNTIFS('Таблиця 1'!$B:$B,$A352,'Таблиця 1'!$I:$I,"МіГ-29",'Таблиця 1'!$L:$L,"НЕ уражено")+COUNTIFS('Таблиця 1'!$B:$B,$A352,'Таблиця 1'!$I:$I,"Су-25",'Таблиця 1'!$L:$L,"НЕ уражено")+COUNTIFS('Таблиця 1'!$B:$B,$A352,'Таблиця 1'!$I:$I,"Су-27",'Таблиця 1'!$L:$L,"НЕ уражено"))</f>
        <v/>
      </c>
      <c r="T352">
        <f>IF($A352="","",COUNTIFS('Таблиця 1'!$B:$B,$A352,'Таблиця 1'!$I:$I,"Mirage",'Таблиця 1'!$L:$L,"Дорозвідується")+COUNTIFS('Таблиця 1'!$B:$B,$A352,'Таблиця 1'!$I:$I,"F-16",'Таблиця 1'!$L:$L,"Дорозвідується")+COUNTIFS('Таблиця 1'!$B:$B,$A352,'Таблиця 1'!$I:$I,"МіГ-29",'Таблиця 1'!$L:$L,"Дорозвідується")+COUNTIFS('Таблиця 1'!$B:$B,$A352,'Таблиця 1'!$I:$I,"Су-25",'Таблиця 1'!$L:$L,"Дорозвідується")+COUNTIFS('Таблиця 1'!$B:$B,$A352,'Таблиця 1'!$I:$I,"Су-27",'Таблиця 1'!$L:$L,"Дорозвідується"))</f>
        <v/>
      </c>
    </row>
    <row r="353">
      <c r="A353" s="273">
        <f>IF(A352="","",IF(A352+1&gt;MAX('Таблиця 1'!$B:$B),"",A352+1))</f>
        <v/>
      </c>
      <c r="B353">
        <f>IF($A353="","",COUNTIFS('Таблиця 1'!$B:$B,$A353,'Таблиця 1'!$I:$I,"Mirage")+COUNTIFS('Таблиця 1'!$B:$B,$A353,'Таблиця 1'!$I:$I,"F-16")+COUNTIFS('Таблиця 1'!$B:$B,$A353,'Таблиця 1'!$I:$I,"МіГ-29")+COUNTIFS('Таблиця 1'!$B:$B,$A353,'Таблиця 1'!$I:$I,"Су-25")+COUNTIFS('Таблиця 1'!$B:$B,$A353,'Таблиця 1'!$I:$I,"Су-27"))</f>
        <v/>
      </c>
      <c r="C353">
        <f>IF($A353="","",COUNTIFS('Таблиця 1'!$B:$B,$A353,'Таблиця 1'!$I:$I,"Mirage"))</f>
        <v/>
      </c>
      <c r="D353">
        <f>IF($A353="","",COUNTIFS('Таблиця 1'!$B:$B,$A353,'Таблиця 1'!$I:$I,"F-16"))</f>
        <v/>
      </c>
      <c r="E353">
        <f>IF($A353="","",COUNTIFS('Таблиця 1'!$B:$B,$A353,'Таблиця 1'!$I:$I,"МіГ-29"))</f>
        <v/>
      </c>
      <c r="F353">
        <f>IF($A353="","",COUNTIFS('Таблиця 1'!$B:$B,$A353,'Таблиця 1'!$I:$I,"Су-25"))</f>
        <v/>
      </c>
      <c r="G353">
        <f>IF($A353="","",COUNTIFS('Таблиця 1'!$B:$B,$A353,'Таблиця 1'!$I:$I,"Су-27"))</f>
        <v/>
      </c>
      <c r="H353">
        <f>IF($A353="","",SUMIFS('Таблиця 1'!$K:$K,'Таблиця 1'!$B:$B,$A353,'Таблиця 1'!$I:$I,"Mirage",'Таблиця 1'!$J:$J,"AGM-88")+SUMIFS('Таблиця 1'!$K:$K,'Таблиця 1'!$B:$B,$A353,'Таблиця 1'!$I:$I,"F-16",'Таблиця 1'!$J:$J,"AGM-88")+SUMIFS('Таблиця 1'!$K:$K,'Таблиця 1'!$B:$B,$A353,'Таблиця 1'!$I:$I,"МіГ-29",'Таблиця 1'!$J:$J,"AGM-88")+SUMIFS('Таблиця 1'!$K:$K,'Таблиця 1'!$B:$B,$A353,'Таблиця 1'!$I:$I,"Су-25",'Таблиця 1'!$J:$J,"AGM-88")+SUMIFS('Таблиця 1'!$K:$K,'Таблиця 1'!$B:$B,$A353,'Таблиця 1'!$I:$I,"Су-27",'Таблиця 1'!$J:$J,"AGM-88"))</f>
        <v/>
      </c>
      <c r="I353">
        <f>IF($A353="","",SUMIFS('Таблиця 1'!$K:$K,'Таблиця 1'!$B:$B,$A353,'Таблиця 1'!$I:$I,"Mirage",'Таблиця 1'!$J:$J,"AASM-250")+SUMIFS('Таблиця 1'!$K:$K,'Таблиця 1'!$B:$B,$A353,'Таблиця 1'!$I:$I,"F-16",'Таблиця 1'!$J:$J,"AASM-250")+SUMIFS('Таблиця 1'!$K:$K,'Таблиця 1'!$B:$B,$A353,'Таблиця 1'!$I:$I,"МіГ-29",'Таблиця 1'!$J:$J,"AASM-250")+SUMIFS('Таблиця 1'!$K:$K,'Таблиця 1'!$B:$B,$A353,'Таблиця 1'!$I:$I,"Су-25",'Таблиця 1'!$J:$J,"AASM-250")+SUMIFS('Таблиця 1'!$K:$K,'Таблиця 1'!$B:$B,$A353,'Таблиця 1'!$I:$I,"Су-27",'Таблиця 1'!$J:$J,"AASM-250"))</f>
        <v/>
      </c>
      <c r="J353">
        <f>IF($A353="","",SUMIFS('Таблиця 1'!$K:$K,'Таблиця 1'!$B:$B,$A353,'Таблиця 1'!$I:$I,"Mirage",'Таблиця 1'!$J:$J,"GBU-39")+SUMIFS('Таблиця 1'!$K:$K,'Таблиця 1'!$B:$B,$A353,'Таблиця 1'!$I:$I,"F-16",'Таблиця 1'!$J:$J,"GBU-39")+SUMIFS('Таблиця 1'!$K:$K,'Таблиця 1'!$B:$B,$A353,'Таблиця 1'!$I:$I,"МіГ-29",'Таблиця 1'!$J:$J,"GBU-39")+SUMIFS('Таблиця 1'!$K:$K,'Таблиця 1'!$B:$B,$A353,'Таблиця 1'!$I:$I,"Су-25",'Таблиця 1'!$J:$J,"GBU-39")+SUMIFS('Таблиця 1'!$K:$K,'Таблиця 1'!$B:$B,$A353,'Таблиця 1'!$I:$I,"Су-27",'Таблиця 1'!$J:$J,"GBU-39"))</f>
        <v/>
      </c>
      <c r="K353">
        <f>IF($A353="","",SUMIFS('Таблиця 1'!$K:$K,'Таблиця 1'!$B:$B,$A353,'Таблиця 1'!$I:$I,"Mirage",'Таблиця 1'!$J:$J,"BLU-140")+SUMIFS('Таблиця 1'!$K:$K,'Таблиця 1'!$B:$B,$A353,'Таблиця 1'!$I:$I,"F-16",'Таблиця 1'!$J:$J,"BLU-140")+SUMIFS('Таблиця 1'!$K:$K,'Таблиця 1'!$B:$B,$A353,'Таблиця 1'!$I:$I,"МіГ-29",'Таблиця 1'!$J:$J,"BLU-140")+SUMIFS('Таблиця 1'!$K:$K,'Таблиця 1'!$B:$B,$A353,'Таблиця 1'!$I:$I,"Су-25",'Таблиця 1'!$J:$J,"BLU-140")+SUMIFS('Таблиця 1'!$K:$K,'Таблиця 1'!$B:$B,$A353,'Таблиця 1'!$I:$I,"Су-27",'Таблиця 1'!$J:$J,"BLU-140"))</f>
        <v/>
      </c>
      <c r="L353">
        <f>IF($A353="","",SUMIFS('Таблиця 1'!$K:$K,'Таблиця 1'!$B:$B,$A353,'Таблиця 1'!$I:$I,"Mirage",'Таблиця 1'!$J:$J,"GBU-65")+SUMIFS('Таблиця 1'!$K:$K,'Таблиця 1'!$B:$B,$A353,'Таблиця 1'!$I:$I,"F-16",'Таблиця 1'!$J:$J,"GBU-65")+SUMIFS('Таблиця 1'!$K:$K,'Таблиця 1'!$B:$B,$A353,'Таблиця 1'!$I:$I,"МіГ-29",'Таблиця 1'!$J:$J,"GBU-65")+SUMIFS('Таблиця 1'!$K:$K,'Таблиця 1'!$B:$B,$A353,'Таблиця 1'!$I:$I,"Су-25",'Таблиця 1'!$J:$J,"GBU-65")+SUMIFS('Таблиця 1'!$K:$K,'Таблиця 1'!$B:$B,$A353,'Таблиця 1'!$I:$I,"Су-27",'Таблиця 1'!$J:$J,"GBU-65"))</f>
        <v/>
      </c>
      <c r="M353">
        <f>IF($A353="","",SUMIFS('Таблиця 1'!$K:$K,'Таблиця 1'!$B:$B,$A353,'Таблиця 1'!$I:$I,"Mirage",'Таблиця 1'!$J:$J,"GBU-62")+SUMIFS('Таблиця 1'!$K:$K,'Таблиця 1'!$B:$B,$A353,'Таблиця 1'!$I:$I,"F-16",'Таблиця 1'!$J:$J,"GBU-62")+SUMIFS('Таблиця 1'!$K:$K,'Таблиця 1'!$B:$B,$A353,'Таблиця 1'!$I:$I,"МіГ-29",'Таблиця 1'!$J:$J,"GBU-62")+SUMIFS('Таблиця 1'!$K:$K,'Таблиця 1'!$B:$B,$A353,'Таблиця 1'!$I:$I,"Су-25",'Таблиця 1'!$J:$J,"GBU-62")+SUMIFS('Таблиця 1'!$K:$K,'Таблиця 1'!$B:$B,$A353,'Таблиця 1'!$I:$I,"Су-27",'Таблиця 1'!$J:$J,"GBU-62"))</f>
        <v/>
      </c>
      <c r="N353">
        <f>IF($A353="","",SUMIFS('Таблиця 1'!$K:$K,'Таблиця 1'!$B:$B,$A353,'Таблиця 1'!$I:$I,"Mirage",'Таблиця 1'!$J:$J,"GBU-64")+SUMIFS('Таблиця 1'!$K:$K,'Таблиця 1'!$B:$B,$A353,'Таблиця 1'!$I:$I,"F-16",'Таблиця 1'!$J:$J,"GBU-64")+SUMIFS('Таблиця 1'!$K:$K,'Таблиця 1'!$B:$B,$A353,'Таблиця 1'!$I:$I,"МіГ-29",'Таблиця 1'!$J:$J,"GBU-64")+SUMIFS('Таблиця 1'!$K:$K,'Таблиця 1'!$B:$B,$A353,'Таблиця 1'!$I:$I,"Су-25",'Таблиця 1'!$J:$J,"GBU-64")+SUMIFS('Таблиця 1'!$K:$K,'Таблиця 1'!$B:$B,$A353,'Таблиця 1'!$I:$I,"Су-27",'Таблиця 1'!$J:$J,"GBU-64"))</f>
        <v/>
      </c>
      <c r="O353">
        <f>IF($A353="","",SUMIFS('Таблиця 1'!$K:$K,'Таблиця 1'!$B:$B,$A353,'Таблиця 1'!$I:$I,"Mirage",'Таблиця 1'!$J:$J,"C-13")+SUMIFS('Таблиця 1'!$K:$K,'Таблиця 1'!$B:$B,$A353,'Таблиця 1'!$I:$I,"F-16",'Таблиця 1'!$J:$J,"C-13")+SUMIFS('Таблиця 1'!$K:$K,'Таблиця 1'!$B:$B,$A353,'Таблиця 1'!$I:$I,"МіГ-29",'Таблиця 1'!$J:$J,"C-13")+SUMIFS('Таблиця 1'!$K:$K,'Таблиця 1'!$B:$B,$A353,'Таблиця 1'!$I:$I,"Су-25",'Таблиця 1'!$J:$J,"C-13")+SUMIFS('Таблиця 1'!$K:$K,'Таблиця 1'!$B:$B,$A353,'Таблиця 1'!$I:$I,"Су-27",'Таблиця 1'!$J:$J,"C-13"))</f>
        <v/>
      </c>
      <c r="P353">
        <f>IF($A353="","",SUMIFS('Таблиця 1'!$K:$K,'Таблиця 1'!$B:$B,$A353,'Таблиця 1'!$I:$I,"Mirage",'Таблиця 1'!$J:$J,"MK-32")+SUMIFS('Таблиця 1'!$K:$K,'Таблиця 1'!$B:$B,$A353,'Таблиця 1'!$I:$I,"F-16",'Таблиця 1'!$J:$J,"MK-32")+SUMIFS('Таблиця 1'!$K:$K,'Таблиця 1'!$B:$B,$A353,'Таблиця 1'!$I:$I,"МіГ-29",'Таблиця 1'!$J:$J,"MK-32")+SUMIFS('Таблиця 1'!$K:$K,'Таблиця 1'!$B:$B,$A353,'Таблиця 1'!$I:$I,"Су-25",'Таблиця 1'!$J:$J,"MK-32")+SUMIFS('Таблиця 1'!$K:$K,'Таблиця 1'!$B:$B,$A353,'Таблиця 1'!$I:$I,"Су-27",'Таблиця 1'!$J:$J,"MK-32"))</f>
        <v/>
      </c>
      <c r="Q353">
        <f>IF($A353="","",SUMIFS('Таблиця 1'!$K:$K,'Таблиця 1'!$B:$B,$A353,'Таблиця 1'!$I:$I,"Mirage",'Таблиця 1'!$J:$J,"MK-24")+SUMIFS('Таблиця 1'!$K:$K,'Таблиця 1'!$B:$B,$A353,'Таблиця 1'!$I:$I,"F-16",'Таблиця 1'!$J:$J,"MK-24")+SUMIFS('Таблиця 1'!$K:$K,'Таблиця 1'!$B:$B,$A353,'Таблиця 1'!$I:$I,"МіГ-29",'Таблиця 1'!$J:$J,"MK-24")+SUMIFS('Таблиця 1'!$K:$K,'Таблиця 1'!$B:$B,$A353,'Таблиця 1'!$I:$I,"Су-25",'Таблиця 1'!$J:$J,"MK-24")+SUMIFS('Таблиця 1'!$K:$K,'Таблиця 1'!$B:$B,$A353,'Таблиця 1'!$I:$I,"Су-27",'Таблиця 1'!$J:$J,"MK-24"))</f>
        <v/>
      </c>
      <c r="R353">
        <f>IF($A353="","",COUNTIFS('Таблиця 1'!$B:$B,$A353,'Таблиця 1'!$I:$I,"Mirage",'Таблиця 1'!$L:$L,"Уражено")+COUNTIFS('Таблиця 1'!$B:$B,$A353,'Таблиця 1'!$I:$I,"F-16",'Таблиця 1'!$L:$L,"Уражено")+COUNTIFS('Таблиця 1'!$B:$B,$A353,'Таблиця 1'!$I:$I,"МіГ-29",'Таблиця 1'!$L:$L,"Уражено")+COUNTIFS('Таблиця 1'!$B:$B,$A353,'Таблиця 1'!$I:$I,"Су-25",'Таблиця 1'!$L:$L,"Уражено")+COUNTIFS('Таблиця 1'!$B:$B,$A353,'Таблиця 1'!$I:$I,"Су-27",'Таблиця 1'!$L:$L,"Уражено"))</f>
        <v/>
      </c>
      <c r="S353">
        <f>IF($A353="","",COUNTIFS('Таблиця 1'!$B:$B,$A353,'Таблиця 1'!$I:$I,"Mirage",'Таблиця 1'!$L:$L,"НЕ уражено")+COUNTIFS('Таблиця 1'!$B:$B,$A353,'Таблиця 1'!$I:$I,"F-16",'Таблиця 1'!$L:$L,"НЕ уражено")+COUNTIFS('Таблиця 1'!$B:$B,$A353,'Таблиця 1'!$I:$I,"МіГ-29",'Таблиця 1'!$L:$L,"НЕ уражено")+COUNTIFS('Таблиця 1'!$B:$B,$A353,'Таблиця 1'!$I:$I,"Су-25",'Таблиця 1'!$L:$L,"НЕ уражено")+COUNTIFS('Таблиця 1'!$B:$B,$A353,'Таблиця 1'!$I:$I,"Су-27",'Таблиця 1'!$L:$L,"НЕ уражено"))</f>
        <v/>
      </c>
      <c r="T353">
        <f>IF($A353="","",COUNTIFS('Таблиця 1'!$B:$B,$A353,'Таблиця 1'!$I:$I,"Mirage",'Таблиця 1'!$L:$L,"Дорозвідується")+COUNTIFS('Таблиця 1'!$B:$B,$A353,'Таблиця 1'!$I:$I,"F-16",'Таблиця 1'!$L:$L,"Дорозвідується")+COUNTIFS('Таблиця 1'!$B:$B,$A353,'Таблиця 1'!$I:$I,"МіГ-29",'Таблиця 1'!$L:$L,"Дорозвідується")+COUNTIFS('Таблиця 1'!$B:$B,$A353,'Таблиця 1'!$I:$I,"Су-25",'Таблиця 1'!$L:$L,"Дорозвідується")+COUNTIFS('Таблиця 1'!$B:$B,$A353,'Таблиця 1'!$I:$I,"Су-27",'Таблиця 1'!$L:$L,"Дорозвідується"))</f>
        <v/>
      </c>
    </row>
    <row r="354">
      <c r="A354" s="273">
        <f>IF(A353="","",IF(A353+1&gt;MAX('Таблиця 1'!$B:$B),"",A353+1))</f>
        <v/>
      </c>
      <c r="B354">
        <f>IF($A354="","",COUNTIFS('Таблиця 1'!$B:$B,$A354,'Таблиця 1'!$I:$I,"Mirage")+COUNTIFS('Таблиця 1'!$B:$B,$A354,'Таблиця 1'!$I:$I,"F-16")+COUNTIFS('Таблиця 1'!$B:$B,$A354,'Таблиця 1'!$I:$I,"МіГ-29")+COUNTIFS('Таблиця 1'!$B:$B,$A354,'Таблиця 1'!$I:$I,"Су-25")+COUNTIFS('Таблиця 1'!$B:$B,$A354,'Таблиця 1'!$I:$I,"Су-27"))</f>
        <v/>
      </c>
      <c r="C354">
        <f>IF($A354="","",COUNTIFS('Таблиця 1'!$B:$B,$A354,'Таблиця 1'!$I:$I,"Mirage"))</f>
        <v/>
      </c>
      <c r="D354">
        <f>IF($A354="","",COUNTIFS('Таблиця 1'!$B:$B,$A354,'Таблиця 1'!$I:$I,"F-16"))</f>
        <v/>
      </c>
      <c r="E354">
        <f>IF($A354="","",COUNTIFS('Таблиця 1'!$B:$B,$A354,'Таблиця 1'!$I:$I,"МіГ-29"))</f>
        <v/>
      </c>
      <c r="F354">
        <f>IF($A354="","",COUNTIFS('Таблиця 1'!$B:$B,$A354,'Таблиця 1'!$I:$I,"Су-25"))</f>
        <v/>
      </c>
      <c r="G354">
        <f>IF($A354="","",COUNTIFS('Таблиця 1'!$B:$B,$A354,'Таблиця 1'!$I:$I,"Су-27"))</f>
        <v/>
      </c>
      <c r="H354">
        <f>IF($A354="","",SUMIFS('Таблиця 1'!$K:$K,'Таблиця 1'!$B:$B,$A354,'Таблиця 1'!$I:$I,"Mirage",'Таблиця 1'!$J:$J,"AGM-88")+SUMIFS('Таблиця 1'!$K:$K,'Таблиця 1'!$B:$B,$A354,'Таблиця 1'!$I:$I,"F-16",'Таблиця 1'!$J:$J,"AGM-88")+SUMIFS('Таблиця 1'!$K:$K,'Таблиця 1'!$B:$B,$A354,'Таблиця 1'!$I:$I,"МіГ-29",'Таблиця 1'!$J:$J,"AGM-88")+SUMIFS('Таблиця 1'!$K:$K,'Таблиця 1'!$B:$B,$A354,'Таблиця 1'!$I:$I,"Су-25",'Таблиця 1'!$J:$J,"AGM-88")+SUMIFS('Таблиця 1'!$K:$K,'Таблиця 1'!$B:$B,$A354,'Таблиця 1'!$I:$I,"Су-27",'Таблиця 1'!$J:$J,"AGM-88"))</f>
        <v/>
      </c>
      <c r="I354">
        <f>IF($A354="","",SUMIFS('Таблиця 1'!$K:$K,'Таблиця 1'!$B:$B,$A354,'Таблиця 1'!$I:$I,"Mirage",'Таблиця 1'!$J:$J,"AASM-250")+SUMIFS('Таблиця 1'!$K:$K,'Таблиця 1'!$B:$B,$A354,'Таблиця 1'!$I:$I,"F-16",'Таблиця 1'!$J:$J,"AASM-250")+SUMIFS('Таблиця 1'!$K:$K,'Таблиця 1'!$B:$B,$A354,'Таблиця 1'!$I:$I,"МіГ-29",'Таблиця 1'!$J:$J,"AASM-250")+SUMIFS('Таблиця 1'!$K:$K,'Таблиця 1'!$B:$B,$A354,'Таблиця 1'!$I:$I,"Су-25",'Таблиця 1'!$J:$J,"AASM-250")+SUMIFS('Таблиця 1'!$K:$K,'Таблиця 1'!$B:$B,$A354,'Таблиця 1'!$I:$I,"Су-27",'Таблиця 1'!$J:$J,"AASM-250"))</f>
        <v/>
      </c>
      <c r="J354">
        <f>IF($A354="","",SUMIFS('Таблиця 1'!$K:$K,'Таблиця 1'!$B:$B,$A354,'Таблиця 1'!$I:$I,"Mirage",'Таблиця 1'!$J:$J,"GBU-39")+SUMIFS('Таблиця 1'!$K:$K,'Таблиця 1'!$B:$B,$A354,'Таблиця 1'!$I:$I,"F-16",'Таблиця 1'!$J:$J,"GBU-39")+SUMIFS('Таблиця 1'!$K:$K,'Таблиця 1'!$B:$B,$A354,'Таблиця 1'!$I:$I,"МіГ-29",'Таблиця 1'!$J:$J,"GBU-39")+SUMIFS('Таблиця 1'!$K:$K,'Таблиця 1'!$B:$B,$A354,'Таблиця 1'!$I:$I,"Су-25",'Таблиця 1'!$J:$J,"GBU-39")+SUMIFS('Таблиця 1'!$K:$K,'Таблиця 1'!$B:$B,$A354,'Таблиця 1'!$I:$I,"Су-27",'Таблиця 1'!$J:$J,"GBU-39"))</f>
        <v/>
      </c>
      <c r="K354">
        <f>IF($A354="","",SUMIFS('Таблиця 1'!$K:$K,'Таблиця 1'!$B:$B,$A354,'Таблиця 1'!$I:$I,"Mirage",'Таблиця 1'!$J:$J,"BLU-140")+SUMIFS('Таблиця 1'!$K:$K,'Таблиця 1'!$B:$B,$A354,'Таблиця 1'!$I:$I,"F-16",'Таблиця 1'!$J:$J,"BLU-140")+SUMIFS('Таблиця 1'!$K:$K,'Таблиця 1'!$B:$B,$A354,'Таблиця 1'!$I:$I,"МіГ-29",'Таблиця 1'!$J:$J,"BLU-140")+SUMIFS('Таблиця 1'!$K:$K,'Таблиця 1'!$B:$B,$A354,'Таблиця 1'!$I:$I,"Су-25",'Таблиця 1'!$J:$J,"BLU-140")+SUMIFS('Таблиця 1'!$K:$K,'Таблиця 1'!$B:$B,$A354,'Таблиця 1'!$I:$I,"Су-27",'Таблиця 1'!$J:$J,"BLU-140"))</f>
        <v/>
      </c>
      <c r="L354">
        <f>IF($A354="","",SUMIFS('Таблиця 1'!$K:$K,'Таблиця 1'!$B:$B,$A354,'Таблиця 1'!$I:$I,"Mirage",'Таблиця 1'!$J:$J,"GBU-65")+SUMIFS('Таблиця 1'!$K:$K,'Таблиця 1'!$B:$B,$A354,'Таблиця 1'!$I:$I,"F-16",'Таблиця 1'!$J:$J,"GBU-65")+SUMIFS('Таблиця 1'!$K:$K,'Таблиця 1'!$B:$B,$A354,'Таблиця 1'!$I:$I,"МіГ-29",'Таблиця 1'!$J:$J,"GBU-65")+SUMIFS('Таблиця 1'!$K:$K,'Таблиця 1'!$B:$B,$A354,'Таблиця 1'!$I:$I,"Су-25",'Таблиця 1'!$J:$J,"GBU-65")+SUMIFS('Таблиця 1'!$K:$K,'Таблиця 1'!$B:$B,$A354,'Таблиця 1'!$I:$I,"Су-27",'Таблиця 1'!$J:$J,"GBU-65"))</f>
        <v/>
      </c>
      <c r="M354">
        <f>IF($A354="","",SUMIFS('Таблиця 1'!$K:$K,'Таблиця 1'!$B:$B,$A354,'Таблиця 1'!$I:$I,"Mirage",'Таблиця 1'!$J:$J,"GBU-62")+SUMIFS('Таблиця 1'!$K:$K,'Таблиця 1'!$B:$B,$A354,'Таблиця 1'!$I:$I,"F-16",'Таблиця 1'!$J:$J,"GBU-62")+SUMIFS('Таблиця 1'!$K:$K,'Таблиця 1'!$B:$B,$A354,'Таблиця 1'!$I:$I,"МіГ-29",'Таблиця 1'!$J:$J,"GBU-62")+SUMIFS('Таблиця 1'!$K:$K,'Таблиця 1'!$B:$B,$A354,'Таблиця 1'!$I:$I,"Су-25",'Таблиця 1'!$J:$J,"GBU-62")+SUMIFS('Таблиця 1'!$K:$K,'Таблиця 1'!$B:$B,$A354,'Таблиця 1'!$I:$I,"Су-27",'Таблиця 1'!$J:$J,"GBU-62"))</f>
        <v/>
      </c>
      <c r="N354">
        <f>IF($A354="","",SUMIFS('Таблиця 1'!$K:$K,'Таблиця 1'!$B:$B,$A354,'Таблиця 1'!$I:$I,"Mirage",'Таблиця 1'!$J:$J,"GBU-64")+SUMIFS('Таблиця 1'!$K:$K,'Таблиця 1'!$B:$B,$A354,'Таблиця 1'!$I:$I,"F-16",'Таблиця 1'!$J:$J,"GBU-64")+SUMIFS('Таблиця 1'!$K:$K,'Таблиця 1'!$B:$B,$A354,'Таблиця 1'!$I:$I,"МіГ-29",'Таблиця 1'!$J:$J,"GBU-64")+SUMIFS('Таблиця 1'!$K:$K,'Таблиця 1'!$B:$B,$A354,'Таблиця 1'!$I:$I,"Су-25",'Таблиця 1'!$J:$J,"GBU-64")+SUMIFS('Таблиця 1'!$K:$K,'Таблиця 1'!$B:$B,$A354,'Таблиця 1'!$I:$I,"Су-27",'Таблиця 1'!$J:$J,"GBU-64"))</f>
        <v/>
      </c>
      <c r="O354">
        <f>IF($A354="","",SUMIFS('Таблиця 1'!$K:$K,'Таблиця 1'!$B:$B,$A354,'Таблиця 1'!$I:$I,"Mirage",'Таблиця 1'!$J:$J,"C-13")+SUMIFS('Таблиця 1'!$K:$K,'Таблиця 1'!$B:$B,$A354,'Таблиця 1'!$I:$I,"F-16",'Таблиця 1'!$J:$J,"C-13")+SUMIFS('Таблиця 1'!$K:$K,'Таблиця 1'!$B:$B,$A354,'Таблиця 1'!$I:$I,"МіГ-29",'Таблиця 1'!$J:$J,"C-13")+SUMIFS('Таблиця 1'!$K:$K,'Таблиця 1'!$B:$B,$A354,'Таблиця 1'!$I:$I,"Су-25",'Таблиця 1'!$J:$J,"C-13")+SUMIFS('Таблиця 1'!$K:$K,'Таблиця 1'!$B:$B,$A354,'Таблиця 1'!$I:$I,"Су-27",'Таблиця 1'!$J:$J,"C-13"))</f>
        <v/>
      </c>
      <c r="P354">
        <f>IF($A354="","",SUMIFS('Таблиця 1'!$K:$K,'Таблиця 1'!$B:$B,$A354,'Таблиця 1'!$I:$I,"Mirage",'Таблиця 1'!$J:$J,"MK-32")+SUMIFS('Таблиця 1'!$K:$K,'Таблиця 1'!$B:$B,$A354,'Таблиця 1'!$I:$I,"F-16",'Таблиця 1'!$J:$J,"MK-32")+SUMIFS('Таблиця 1'!$K:$K,'Таблиця 1'!$B:$B,$A354,'Таблиця 1'!$I:$I,"МіГ-29",'Таблиця 1'!$J:$J,"MK-32")+SUMIFS('Таблиця 1'!$K:$K,'Таблиця 1'!$B:$B,$A354,'Таблиця 1'!$I:$I,"Су-25",'Таблиця 1'!$J:$J,"MK-32")+SUMIFS('Таблиця 1'!$K:$K,'Таблиця 1'!$B:$B,$A354,'Таблиця 1'!$I:$I,"Су-27",'Таблиця 1'!$J:$J,"MK-32"))</f>
        <v/>
      </c>
      <c r="Q354">
        <f>IF($A354="","",SUMIFS('Таблиця 1'!$K:$K,'Таблиця 1'!$B:$B,$A354,'Таблиця 1'!$I:$I,"Mirage",'Таблиця 1'!$J:$J,"MK-24")+SUMIFS('Таблиця 1'!$K:$K,'Таблиця 1'!$B:$B,$A354,'Таблиця 1'!$I:$I,"F-16",'Таблиця 1'!$J:$J,"MK-24")+SUMIFS('Таблиця 1'!$K:$K,'Таблиця 1'!$B:$B,$A354,'Таблиця 1'!$I:$I,"МіГ-29",'Таблиця 1'!$J:$J,"MK-24")+SUMIFS('Таблиця 1'!$K:$K,'Таблиця 1'!$B:$B,$A354,'Таблиця 1'!$I:$I,"Су-25",'Таблиця 1'!$J:$J,"MK-24")+SUMIFS('Таблиця 1'!$K:$K,'Таблиця 1'!$B:$B,$A354,'Таблиця 1'!$I:$I,"Су-27",'Таблиця 1'!$J:$J,"MK-24"))</f>
        <v/>
      </c>
      <c r="R354">
        <f>IF($A354="","",COUNTIFS('Таблиця 1'!$B:$B,$A354,'Таблиця 1'!$I:$I,"Mirage",'Таблиця 1'!$L:$L,"Уражено")+COUNTIFS('Таблиця 1'!$B:$B,$A354,'Таблиця 1'!$I:$I,"F-16",'Таблиця 1'!$L:$L,"Уражено")+COUNTIFS('Таблиця 1'!$B:$B,$A354,'Таблиця 1'!$I:$I,"МіГ-29",'Таблиця 1'!$L:$L,"Уражено")+COUNTIFS('Таблиця 1'!$B:$B,$A354,'Таблиця 1'!$I:$I,"Су-25",'Таблиця 1'!$L:$L,"Уражено")+COUNTIFS('Таблиця 1'!$B:$B,$A354,'Таблиця 1'!$I:$I,"Су-27",'Таблиця 1'!$L:$L,"Уражено"))</f>
        <v/>
      </c>
      <c r="S354">
        <f>IF($A354="","",COUNTIFS('Таблиця 1'!$B:$B,$A354,'Таблиця 1'!$I:$I,"Mirage",'Таблиця 1'!$L:$L,"НЕ уражено")+COUNTIFS('Таблиця 1'!$B:$B,$A354,'Таблиця 1'!$I:$I,"F-16",'Таблиця 1'!$L:$L,"НЕ уражено")+COUNTIFS('Таблиця 1'!$B:$B,$A354,'Таблиця 1'!$I:$I,"МіГ-29",'Таблиця 1'!$L:$L,"НЕ уражено")+COUNTIFS('Таблиця 1'!$B:$B,$A354,'Таблиця 1'!$I:$I,"Су-25",'Таблиця 1'!$L:$L,"НЕ уражено")+COUNTIFS('Таблиця 1'!$B:$B,$A354,'Таблиця 1'!$I:$I,"Су-27",'Таблиця 1'!$L:$L,"НЕ уражено"))</f>
        <v/>
      </c>
      <c r="T354">
        <f>IF($A354="","",COUNTIFS('Таблиця 1'!$B:$B,$A354,'Таблиця 1'!$I:$I,"Mirage",'Таблиця 1'!$L:$L,"Дорозвідується")+COUNTIFS('Таблиця 1'!$B:$B,$A354,'Таблиця 1'!$I:$I,"F-16",'Таблиця 1'!$L:$L,"Дорозвідується")+COUNTIFS('Таблиця 1'!$B:$B,$A354,'Таблиця 1'!$I:$I,"МіГ-29",'Таблиця 1'!$L:$L,"Дорозвідується")+COUNTIFS('Таблиця 1'!$B:$B,$A354,'Таблиця 1'!$I:$I,"Су-25",'Таблиця 1'!$L:$L,"Дорозвідується")+COUNTIFS('Таблиця 1'!$B:$B,$A354,'Таблиця 1'!$I:$I,"Су-27",'Таблиця 1'!$L:$L,"Дорозвідується"))</f>
        <v/>
      </c>
    </row>
    <row r="355">
      <c r="A355" s="273">
        <f>IF(A354="","",IF(A354+1&gt;MAX('Таблиця 1'!$B:$B),"",A354+1))</f>
        <v/>
      </c>
      <c r="B355">
        <f>IF($A355="","",COUNTIFS('Таблиця 1'!$B:$B,$A355,'Таблиця 1'!$I:$I,"Mirage")+COUNTIFS('Таблиця 1'!$B:$B,$A355,'Таблиця 1'!$I:$I,"F-16")+COUNTIFS('Таблиця 1'!$B:$B,$A355,'Таблиця 1'!$I:$I,"МіГ-29")+COUNTIFS('Таблиця 1'!$B:$B,$A355,'Таблиця 1'!$I:$I,"Су-25")+COUNTIFS('Таблиця 1'!$B:$B,$A355,'Таблиця 1'!$I:$I,"Су-27"))</f>
        <v/>
      </c>
      <c r="C355">
        <f>IF($A355="","",COUNTIFS('Таблиця 1'!$B:$B,$A355,'Таблиця 1'!$I:$I,"Mirage"))</f>
        <v/>
      </c>
      <c r="D355">
        <f>IF($A355="","",COUNTIFS('Таблиця 1'!$B:$B,$A355,'Таблиця 1'!$I:$I,"F-16"))</f>
        <v/>
      </c>
      <c r="E355">
        <f>IF($A355="","",COUNTIFS('Таблиця 1'!$B:$B,$A355,'Таблиця 1'!$I:$I,"МіГ-29"))</f>
        <v/>
      </c>
      <c r="F355">
        <f>IF($A355="","",COUNTIFS('Таблиця 1'!$B:$B,$A355,'Таблиця 1'!$I:$I,"Су-25"))</f>
        <v/>
      </c>
      <c r="G355">
        <f>IF($A355="","",COUNTIFS('Таблиця 1'!$B:$B,$A355,'Таблиця 1'!$I:$I,"Су-27"))</f>
        <v/>
      </c>
      <c r="H355">
        <f>IF($A355="","",SUMIFS('Таблиця 1'!$K:$K,'Таблиця 1'!$B:$B,$A355,'Таблиця 1'!$I:$I,"Mirage",'Таблиця 1'!$J:$J,"AGM-88")+SUMIFS('Таблиця 1'!$K:$K,'Таблиця 1'!$B:$B,$A355,'Таблиця 1'!$I:$I,"F-16",'Таблиця 1'!$J:$J,"AGM-88")+SUMIFS('Таблиця 1'!$K:$K,'Таблиця 1'!$B:$B,$A355,'Таблиця 1'!$I:$I,"МіГ-29",'Таблиця 1'!$J:$J,"AGM-88")+SUMIFS('Таблиця 1'!$K:$K,'Таблиця 1'!$B:$B,$A355,'Таблиця 1'!$I:$I,"Су-25",'Таблиця 1'!$J:$J,"AGM-88")+SUMIFS('Таблиця 1'!$K:$K,'Таблиця 1'!$B:$B,$A355,'Таблиця 1'!$I:$I,"Су-27",'Таблиця 1'!$J:$J,"AGM-88"))</f>
        <v/>
      </c>
      <c r="I355">
        <f>IF($A355="","",SUMIFS('Таблиця 1'!$K:$K,'Таблиця 1'!$B:$B,$A355,'Таблиця 1'!$I:$I,"Mirage",'Таблиця 1'!$J:$J,"AASM-250")+SUMIFS('Таблиця 1'!$K:$K,'Таблиця 1'!$B:$B,$A355,'Таблиця 1'!$I:$I,"F-16",'Таблиця 1'!$J:$J,"AASM-250")+SUMIFS('Таблиця 1'!$K:$K,'Таблиця 1'!$B:$B,$A355,'Таблиця 1'!$I:$I,"МіГ-29",'Таблиця 1'!$J:$J,"AASM-250")+SUMIFS('Таблиця 1'!$K:$K,'Таблиця 1'!$B:$B,$A355,'Таблиця 1'!$I:$I,"Су-25",'Таблиця 1'!$J:$J,"AASM-250")+SUMIFS('Таблиця 1'!$K:$K,'Таблиця 1'!$B:$B,$A355,'Таблиця 1'!$I:$I,"Су-27",'Таблиця 1'!$J:$J,"AASM-250"))</f>
        <v/>
      </c>
      <c r="J355">
        <f>IF($A355="","",SUMIFS('Таблиця 1'!$K:$K,'Таблиця 1'!$B:$B,$A355,'Таблиця 1'!$I:$I,"Mirage",'Таблиця 1'!$J:$J,"GBU-39")+SUMIFS('Таблиця 1'!$K:$K,'Таблиця 1'!$B:$B,$A355,'Таблиця 1'!$I:$I,"F-16",'Таблиця 1'!$J:$J,"GBU-39")+SUMIFS('Таблиця 1'!$K:$K,'Таблиця 1'!$B:$B,$A355,'Таблиця 1'!$I:$I,"МіГ-29",'Таблиця 1'!$J:$J,"GBU-39")+SUMIFS('Таблиця 1'!$K:$K,'Таблиця 1'!$B:$B,$A355,'Таблиця 1'!$I:$I,"Су-25",'Таблиця 1'!$J:$J,"GBU-39")+SUMIFS('Таблиця 1'!$K:$K,'Таблиця 1'!$B:$B,$A355,'Таблиця 1'!$I:$I,"Су-27",'Таблиця 1'!$J:$J,"GBU-39"))</f>
        <v/>
      </c>
      <c r="K355">
        <f>IF($A355="","",SUMIFS('Таблиця 1'!$K:$K,'Таблиця 1'!$B:$B,$A355,'Таблиця 1'!$I:$I,"Mirage",'Таблиця 1'!$J:$J,"BLU-140")+SUMIFS('Таблиця 1'!$K:$K,'Таблиця 1'!$B:$B,$A355,'Таблиця 1'!$I:$I,"F-16",'Таблиця 1'!$J:$J,"BLU-140")+SUMIFS('Таблиця 1'!$K:$K,'Таблиця 1'!$B:$B,$A355,'Таблиця 1'!$I:$I,"МіГ-29",'Таблиця 1'!$J:$J,"BLU-140")+SUMIFS('Таблиця 1'!$K:$K,'Таблиця 1'!$B:$B,$A355,'Таблиця 1'!$I:$I,"Су-25",'Таблиця 1'!$J:$J,"BLU-140")+SUMIFS('Таблиця 1'!$K:$K,'Таблиця 1'!$B:$B,$A355,'Таблиця 1'!$I:$I,"Су-27",'Таблиця 1'!$J:$J,"BLU-140"))</f>
        <v/>
      </c>
      <c r="L355">
        <f>IF($A355="","",SUMIFS('Таблиця 1'!$K:$K,'Таблиця 1'!$B:$B,$A355,'Таблиця 1'!$I:$I,"Mirage",'Таблиця 1'!$J:$J,"GBU-65")+SUMIFS('Таблиця 1'!$K:$K,'Таблиця 1'!$B:$B,$A355,'Таблиця 1'!$I:$I,"F-16",'Таблиця 1'!$J:$J,"GBU-65")+SUMIFS('Таблиця 1'!$K:$K,'Таблиця 1'!$B:$B,$A355,'Таблиця 1'!$I:$I,"МіГ-29",'Таблиця 1'!$J:$J,"GBU-65")+SUMIFS('Таблиця 1'!$K:$K,'Таблиця 1'!$B:$B,$A355,'Таблиця 1'!$I:$I,"Су-25",'Таблиця 1'!$J:$J,"GBU-65")+SUMIFS('Таблиця 1'!$K:$K,'Таблиця 1'!$B:$B,$A355,'Таблиця 1'!$I:$I,"Су-27",'Таблиця 1'!$J:$J,"GBU-65"))</f>
        <v/>
      </c>
      <c r="M355">
        <f>IF($A355="","",SUMIFS('Таблиця 1'!$K:$K,'Таблиця 1'!$B:$B,$A355,'Таблиця 1'!$I:$I,"Mirage",'Таблиця 1'!$J:$J,"GBU-62")+SUMIFS('Таблиця 1'!$K:$K,'Таблиця 1'!$B:$B,$A355,'Таблиця 1'!$I:$I,"F-16",'Таблиця 1'!$J:$J,"GBU-62")+SUMIFS('Таблиця 1'!$K:$K,'Таблиця 1'!$B:$B,$A355,'Таблиця 1'!$I:$I,"МіГ-29",'Таблиця 1'!$J:$J,"GBU-62")+SUMIFS('Таблиця 1'!$K:$K,'Таблиця 1'!$B:$B,$A355,'Таблиця 1'!$I:$I,"Су-25",'Таблиця 1'!$J:$J,"GBU-62")+SUMIFS('Таблиця 1'!$K:$K,'Таблиця 1'!$B:$B,$A355,'Таблиця 1'!$I:$I,"Су-27",'Таблиця 1'!$J:$J,"GBU-62"))</f>
        <v/>
      </c>
      <c r="N355">
        <f>IF($A355="","",SUMIFS('Таблиця 1'!$K:$K,'Таблиця 1'!$B:$B,$A355,'Таблиця 1'!$I:$I,"Mirage",'Таблиця 1'!$J:$J,"GBU-64")+SUMIFS('Таблиця 1'!$K:$K,'Таблиця 1'!$B:$B,$A355,'Таблиця 1'!$I:$I,"F-16",'Таблиця 1'!$J:$J,"GBU-64")+SUMIFS('Таблиця 1'!$K:$K,'Таблиця 1'!$B:$B,$A355,'Таблиця 1'!$I:$I,"МіГ-29",'Таблиця 1'!$J:$J,"GBU-64")+SUMIFS('Таблиця 1'!$K:$K,'Таблиця 1'!$B:$B,$A355,'Таблиця 1'!$I:$I,"Су-25",'Таблиця 1'!$J:$J,"GBU-64")+SUMIFS('Таблиця 1'!$K:$K,'Таблиця 1'!$B:$B,$A355,'Таблиця 1'!$I:$I,"Су-27",'Таблиця 1'!$J:$J,"GBU-64"))</f>
        <v/>
      </c>
      <c r="O355">
        <f>IF($A355="","",SUMIFS('Таблиця 1'!$K:$K,'Таблиця 1'!$B:$B,$A355,'Таблиця 1'!$I:$I,"Mirage",'Таблиця 1'!$J:$J,"C-13")+SUMIFS('Таблиця 1'!$K:$K,'Таблиця 1'!$B:$B,$A355,'Таблиця 1'!$I:$I,"F-16",'Таблиця 1'!$J:$J,"C-13")+SUMIFS('Таблиця 1'!$K:$K,'Таблиця 1'!$B:$B,$A355,'Таблиця 1'!$I:$I,"МіГ-29",'Таблиця 1'!$J:$J,"C-13")+SUMIFS('Таблиця 1'!$K:$K,'Таблиця 1'!$B:$B,$A355,'Таблиця 1'!$I:$I,"Су-25",'Таблиця 1'!$J:$J,"C-13")+SUMIFS('Таблиця 1'!$K:$K,'Таблиця 1'!$B:$B,$A355,'Таблиця 1'!$I:$I,"Су-27",'Таблиця 1'!$J:$J,"C-13"))</f>
        <v/>
      </c>
      <c r="P355">
        <f>IF($A355="","",SUMIFS('Таблиця 1'!$K:$K,'Таблиця 1'!$B:$B,$A355,'Таблиця 1'!$I:$I,"Mirage",'Таблиця 1'!$J:$J,"MK-32")+SUMIFS('Таблиця 1'!$K:$K,'Таблиця 1'!$B:$B,$A355,'Таблиця 1'!$I:$I,"F-16",'Таблиця 1'!$J:$J,"MK-32")+SUMIFS('Таблиця 1'!$K:$K,'Таблиця 1'!$B:$B,$A355,'Таблиця 1'!$I:$I,"МіГ-29",'Таблиця 1'!$J:$J,"MK-32")+SUMIFS('Таблиця 1'!$K:$K,'Таблиця 1'!$B:$B,$A355,'Таблиця 1'!$I:$I,"Су-25",'Таблиця 1'!$J:$J,"MK-32")+SUMIFS('Таблиця 1'!$K:$K,'Таблиця 1'!$B:$B,$A355,'Таблиця 1'!$I:$I,"Су-27",'Таблиця 1'!$J:$J,"MK-32"))</f>
        <v/>
      </c>
      <c r="Q355">
        <f>IF($A355="","",SUMIFS('Таблиця 1'!$K:$K,'Таблиця 1'!$B:$B,$A355,'Таблиця 1'!$I:$I,"Mirage",'Таблиця 1'!$J:$J,"MK-24")+SUMIFS('Таблиця 1'!$K:$K,'Таблиця 1'!$B:$B,$A355,'Таблиця 1'!$I:$I,"F-16",'Таблиця 1'!$J:$J,"MK-24")+SUMIFS('Таблиця 1'!$K:$K,'Таблиця 1'!$B:$B,$A355,'Таблиця 1'!$I:$I,"МіГ-29",'Таблиця 1'!$J:$J,"MK-24")+SUMIFS('Таблиця 1'!$K:$K,'Таблиця 1'!$B:$B,$A355,'Таблиця 1'!$I:$I,"Су-25",'Таблиця 1'!$J:$J,"MK-24")+SUMIFS('Таблиця 1'!$K:$K,'Таблиця 1'!$B:$B,$A355,'Таблиця 1'!$I:$I,"Су-27",'Таблиця 1'!$J:$J,"MK-24"))</f>
        <v/>
      </c>
      <c r="R355">
        <f>IF($A355="","",COUNTIFS('Таблиця 1'!$B:$B,$A355,'Таблиця 1'!$I:$I,"Mirage",'Таблиця 1'!$L:$L,"Уражено")+COUNTIFS('Таблиця 1'!$B:$B,$A355,'Таблиця 1'!$I:$I,"F-16",'Таблиця 1'!$L:$L,"Уражено")+COUNTIFS('Таблиця 1'!$B:$B,$A355,'Таблиця 1'!$I:$I,"МіГ-29",'Таблиця 1'!$L:$L,"Уражено")+COUNTIFS('Таблиця 1'!$B:$B,$A355,'Таблиця 1'!$I:$I,"Су-25",'Таблиця 1'!$L:$L,"Уражено")+COUNTIFS('Таблиця 1'!$B:$B,$A355,'Таблиця 1'!$I:$I,"Су-27",'Таблиця 1'!$L:$L,"Уражено"))</f>
        <v/>
      </c>
      <c r="S355">
        <f>IF($A355="","",COUNTIFS('Таблиця 1'!$B:$B,$A355,'Таблиця 1'!$I:$I,"Mirage",'Таблиця 1'!$L:$L,"НЕ уражено")+COUNTIFS('Таблиця 1'!$B:$B,$A355,'Таблиця 1'!$I:$I,"F-16",'Таблиця 1'!$L:$L,"НЕ уражено")+COUNTIFS('Таблиця 1'!$B:$B,$A355,'Таблиця 1'!$I:$I,"МіГ-29",'Таблиця 1'!$L:$L,"НЕ уражено")+COUNTIFS('Таблиця 1'!$B:$B,$A355,'Таблиця 1'!$I:$I,"Су-25",'Таблиця 1'!$L:$L,"НЕ уражено")+COUNTIFS('Таблиця 1'!$B:$B,$A355,'Таблиця 1'!$I:$I,"Су-27",'Таблиця 1'!$L:$L,"НЕ уражено"))</f>
        <v/>
      </c>
      <c r="T355">
        <f>IF($A355="","",COUNTIFS('Таблиця 1'!$B:$B,$A355,'Таблиця 1'!$I:$I,"Mirage",'Таблиця 1'!$L:$L,"Дорозвідується")+COUNTIFS('Таблиця 1'!$B:$B,$A355,'Таблиця 1'!$I:$I,"F-16",'Таблиця 1'!$L:$L,"Дорозвідується")+COUNTIFS('Таблиця 1'!$B:$B,$A355,'Таблиця 1'!$I:$I,"МіГ-29",'Таблиця 1'!$L:$L,"Дорозвідується")+COUNTIFS('Таблиця 1'!$B:$B,$A355,'Таблиця 1'!$I:$I,"Су-25",'Таблиця 1'!$L:$L,"Дорозвідується")+COUNTIFS('Таблиця 1'!$B:$B,$A355,'Таблиця 1'!$I:$I,"Су-27",'Таблиця 1'!$L:$L,"Дорозвідується"))</f>
        <v/>
      </c>
    </row>
    <row r="356">
      <c r="A356" s="273">
        <f>IF(A355="","",IF(A355+1&gt;MAX('Таблиця 1'!$B:$B),"",A355+1))</f>
        <v/>
      </c>
      <c r="B356">
        <f>IF($A356="","",COUNTIFS('Таблиця 1'!$B:$B,$A356,'Таблиця 1'!$I:$I,"Mirage")+COUNTIFS('Таблиця 1'!$B:$B,$A356,'Таблиця 1'!$I:$I,"F-16")+COUNTIFS('Таблиця 1'!$B:$B,$A356,'Таблиця 1'!$I:$I,"МіГ-29")+COUNTIFS('Таблиця 1'!$B:$B,$A356,'Таблиця 1'!$I:$I,"Су-25")+COUNTIFS('Таблиця 1'!$B:$B,$A356,'Таблиця 1'!$I:$I,"Су-27"))</f>
        <v/>
      </c>
      <c r="C356">
        <f>IF($A356="","",COUNTIFS('Таблиця 1'!$B:$B,$A356,'Таблиця 1'!$I:$I,"Mirage"))</f>
        <v/>
      </c>
      <c r="D356">
        <f>IF($A356="","",COUNTIFS('Таблиця 1'!$B:$B,$A356,'Таблиця 1'!$I:$I,"F-16"))</f>
        <v/>
      </c>
      <c r="E356">
        <f>IF($A356="","",COUNTIFS('Таблиця 1'!$B:$B,$A356,'Таблиця 1'!$I:$I,"МіГ-29"))</f>
        <v/>
      </c>
      <c r="F356">
        <f>IF($A356="","",COUNTIFS('Таблиця 1'!$B:$B,$A356,'Таблиця 1'!$I:$I,"Су-25"))</f>
        <v/>
      </c>
      <c r="G356">
        <f>IF($A356="","",COUNTIFS('Таблиця 1'!$B:$B,$A356,'Таблиця 1'!$I:$I,"Су-27"))</f>
        <v/>
      </c>
      <c r="H356">
        <f>IF($A356="","",SUMIFS('Таблиця 1'!$K:$K,'Таблиця 1'!$B:$B,$A356,'Таблиця 1'!$I:$I,"Mirage",'Таблиця 1'!$J:$J,"AGM-88")+SUMIFS('Таблиця 1'!$K:$K,'Таблиця 1'!$B:$B,$A356,'Таблиця 1'!$I:$I,"F-16",'Таблиця 1'!$J:$J,"AGM-88")+SUMIFS('Таблиця 1'!$K:$K,'Таблиця 1'!$B:$B,$A356,'Таблиця 1'!$I:$I,"МіГ-29",'Таблиця 1'!$J:$J,"AGM-88")+SUMIFS('Таблиця 1'!$K:$K,'Таблиця 1'!$B:$B,$A356,'Таблиця 1'!$I:$I,"Су-25",'Таблиця 1'!$J:$J,"AGM-88")+SUMIFS('Таблиця 1'!$K:$K,'Таблиця 1'!$B:$B,$A356,'Таблиця 1'!$I:$I,"Су-27",'Таблиця 1'!$J:$J,"AGM-88"))</f>
        <v/>
      </c>
      <c r="I356">
        <f>IF($A356="","",SUMIFS('Таблиця 1'!$K:$K,'Таблиця 1'!$B:$B,$A356,'Таблиця 1'!$I:$I,"Mirage",'Таблиця 1'!$J:$J,"AASM-250")+SUMIFS('Таблиця 1'!$K:$K,'Таблиця 1'!$B:$B,$A356,'Таблиця 1'!$I:$I,"F-16",'Таблиця 1'!$J:$J,"AASM-250")+SUMIFS('Таблиця 1'!$K:$K,'Таблиця 1'!$B:$B,$A356,'Таблиця 1'!$I:$I,"МіГ-29",'Таблиця 1'!$J:$J,"AASM-250")+SUMIFS('Таблиця 1'!$K:$K,'Таблиця 1'!$B:$B,$A356,'Таблиця 1'!$I:$I,"Су-25",'Таблиця 1'!$J:$J,"AASM-250")+SUMIFS('Таблиця 1'!$K:$K,'Таблиця 1'!$B:$B,$A356,'Таблиця 1'!$I:$I,"Су-27",'Таблиця 1'!$J:$J,"AASM-250"))</f>
        <v/>
      </c>
      <c r="J356">
        <f>IF($A356="","",SUMIFS('Таблиця 1'!$K:$K,'Таблиця 1'!$B:$B,$A356,'Таблиця 1'!$I:$I,"Mirage",'Таблиця 1'!$J:$J,"GBU-39")+SUMIFS('Таблиця 1'!$K:$K,'Таблиця 1'!$B:$B,$A356,'Таблиця 1'!$I:$I,"F-16",'Таблиця 1'!$J:$J,"GBU-39")+SUMIFS('Таблиця 1'!$K:$K,'Таблиця 1'!$B:$B,$A356,'Таблиця 1'!$I:$I,"МіГ-29",'Таблиця 1'!$J:$J,"GBU-39")+SUMIFS('Таблиця 1'!$K:$K,'Таблиця 1'!$B:$B,$A356,'Таблиця 1'!$I:$I,"Су-25",'Таблиця 1'!$J:$J,"GBU-39")+SUMIFS('Таблиця 1'!$K:$K,'Таблиця 1'!$B:$B,$A356,'Таблиця 1'!$I:$I,"Су-27",'Таблиця 1'!$J:$J,"GBU-39"))</f>
        <v/>
      </c>
      <c r="K356">
        <f>IF($A356="","",SUMIFS('Таблиця 1'!$K:$K,'Таблиця 1'!$B:$B,$A356,'Таблиця 1'!$I:$I,"Mirage",'Таблиця 1'!$J:$J,"BLU-140")+SUMIFS('Таблиця 1'!$K:$K,'Таблиця 1'!$B:$B,$A356,'Таблиця 1'!$I:$I,"F-16",'Таблиця 1'!$J:$J,"BLU-140")+SUMIFS('Таблиця 1'!$K:$K,'Таблиця 1'!$B:$B,$A356,'Таблиця 1'!$I:$I,"МіГ-29",'Таблиця 1'!$J:$J,"BLU-140")+SUMIFS('Таблиця 1'!$K:$K,'Таблиця 1'!$B:$B,$A356,'Таблиця 1'!$I:$I,"Су-25",'Таблиця 1'!$J:$J,"BLU-140")+SUMIFS('Таблиця 1'!$K:$K,'Таблиця 1'!$B:$B,$A356,'Таблиця 1'!$I:$I,"Су-27",'Таблиця 1'!$J:$J,"BLU-140"))</f>
        <v/>
      </c>
      <c r="L356">
        <f>IF($A356="","",SUMIFS('Таблиця 1'!$K:$K,'Таблиця 1'!$B:$B,$A356,'Таблиця 1'!$I:$I,"Mirage",'Таблиця 1'!$J:$J,"GBU-65")+SUMIFS('Таблиця 1'!$K:$K,'Таблиця 1'!$B:$B,$A356,'Таблиця 1'!$I:$I,"F-16",'Таблиця 1'!$J:$J,"GBU-65")+SUMIFS('Таблиця 1'!$K:$K,'Таблиця 1'!$B:$B,$A356,'Таблиця 1'!$I:$I,"МіГ-29",'Таблиця 1'!$J:$J,"GBU-65")+SUMIFS('Таблиця 1'!$K:$K,'Таблиця 1'!$B:$B,$A356,'Таблиця 1'!$I:$I,"Су-25",'Таблиця 1'!$J:$J,"GBU-65")+SUMIFS('Таблиця 1'!$K:$K,'Таблиця 1'!$B:$B,$A356,'Таблиця 1'!$I:$I,"Су-27",'Таблиця 1'!$J:$J,"GBU-65"))</f>
        <v/>
      </c>
      <c r="M356">
        <f>IF($A356="","",SUMIFS('Таблиця 1'!$K:$K,'Таблиця 1'!$B:$B,$A356,'Таблиця 1'!$I:$I,"Mirage",'Таблиця 1'!$J:$J,"GBU-62")+SUMIFS('Таблиця 1'!$K:$K,'Таблиця 1'!$B:$B,$A356,'Таблиця 1'!$I:$I,"F-16",'Таблиця 1'!$J:$J,"GBU-62")+SUMIFS('Таблиця 1'!$K:$K,'Таблиця 1'!$B:$B,$A356,'Таблиця 1'!$I:$I,"МіГ-29",'Таблиця 1'!$J:$J,"GBU-62")+SUMIFS('Таблиця 1'!$K:$K,'Таблиця 1'!$B:$B,$A356,'Таблиця 1'!$I:$I,"Су-25",'Таблиця 1'!$J:$J,"GBU-62")+SUMIFS('Таблиця 1'!$K:$K,'Таблиця 1'!$B:$B,$A356,'Таблиця 1'!$I:$I,"Су-27",'Таблиця 1'!$J:$J,"GBU-62"))</f>
        <v/>
      </c>
      <c r="N356">
        <f>IF($A356="","",SUMIFS('Таблиця 1'!$K:$K,'Таблиця 1'!$B:$B,$A356,'Таблиця 1'!$I:$I,"Mirage",'Таблиця 1'!$J:$J,"GBU-64")+SUMIFS('Таблиця 1'!$K:$K,'Таблиця 1'!$B:$B,$A356,'Таблиця 1'!$I:$I,"F-16",'Таблиця 1'!$J:$J,"GBU-64")+SUMIFS('Таблиця 1'!$K:$K,'Таблиця 1'!$B:$B,$A356,'Таблиця 1'!$I:$I,"МіГ-29",'Таблиця 1'!$J:$J,"GBU-64")+SUMIFS('Таблиця 1'!$K:$K,'Таблиця 1'!$B:$B,$A356,'Таблиця 1'!$I:$I,"Су-25",'Таблиця 1'!$J:$J,"GBU-64")+SUMIFS('Таблиця 1'!$K:$K,'Таблиця 1'!$B:$B,$A356,'Таблиця 1'!$I:$I,"Су-27",'Таблиця 1'!$J:$J,"GBU-64"))</f>
        <v/>
      </c>
      <c r="O356">
        <f>IF($A356="","",SUMIFS('Таблиця 1'!$K:$K,'Таблиця 1'!$B:$B,$A356,'Таблиця 1'!$I:$I,"Mirage",'Таблиця 1'!$J:$J,"C-13")+SUMIFS('Таблиця 1'!$K:$K,'Таблиця 1'!$B:$B,$A356,'Таблиця 1'!$I:$I,"F-16",'Таблиця 1'!$J:$J,"C-13")+SUMIFS('Таблиця 1'!$K:$K,'Таблиця 1'!$B:$B,$A356,'Таблиця 1'!$I:$I,"МіГ-29",'Таблиця 1'!$J:$J,"C-13")+SUMIFS('Таблиця 1'!$K:$K,'Таблиця 1'!$B:$B,$A356,'Таблиця 1'!$I:$I,"Су-25",'Таблиця 1'!$J:$J,"C-13")+SUMIFS('Таблиця 1'!$K:$K,'Таблиця 1'!$B:$B,$A356,'Таблиця 1'!$I:$I,"Су-27",'Таблиця 1'!$J:$J,"C-13"))</f>
        <v/>
      </c>
      <c r="P356">
        <f>IF($A356="","",SUMIFS('Таблиця 1'!$K:$K,'Таблиця 1'!$B:$B,$A356,'Таблиця 1'!$I:$I,"Mirage",'Таблиця 1'!$J:$J,"MK-32")+SUMIFS('Таблиця 1'!$K:$K,'Таблиця 1'!$B:$B,$A356,'Таблиця 1'!$I:$I,"F-16",'Таблиця 1'!$J:$J,"MK-32")+SUMIFS('Таблиця 1'!$K:$K,'Таблиця 1'!$B:$B,$A356,'Таблиця 1'!$I:$I,"МіГ-29",'Таблиця 1'!$J:$J,"MK-32")+SUMIFS('Таблиця 1'!$K:$K,'Таблиця 1'!$B:$B,$A356,'Таблиця 1'!$I:$I,"Су-25",'Таблиця 1'!$J:$J,"MK-32")+SUMIFS('Таблиця 1'!$K:$K,'Таблиця 1'!$B:$B,$A356,'Таблиця 1'!$I:$I,"Су-27",'Таблиця 1'!$J:$J,"MK-32"))</f>
        <v/>
      </c>
      <c r="Q356">
        <f>IF($A356="","",SUMIFS('Таблиця 1'!$K:$K,'Таблиця 1'!$B:$B,$A356,'Таблиця 1'!$I:$I,"Mirage",'Таблиця 1'!$J:$J,"MK-24")+SUMIFS('Таблиця 1'!$K:$K,'Таблиця 1'!$B:$B,$A356,'Таблиця 1'!$I:$I,"F-16",'Таблиця 1'!$J:$J,"MK-24")+SUMIFS('Таблиця 1'!$K:$K,'Таблиця 1'!$B:$B,$A356,'Таблиця 1'!$I:$I,"МіГ-29",'Таблиця 1'!$J:$J,"MK-24")+SUMIFS('Таблиця 1'!$K:$K,'Таблиця 1'!$B:$B,$A356,'Таблиця 1'!$I:$I,"Су-25",'Таблиця 1'!$J:$J,"MK-24")+SUMIFS('Таблиця 1'!$K:$K,'Таблиця 1'!$B:$B,$A356,'Таблиця 1'!$I:$I,"Су-27",'Таблиця 1'!$J:$J,"MK-24"))</f>
        <v/>
      </c>
      <c r="R356">
        <f>IF($A356="","",COUNTIFS('Таблиця 1'!$B:$B,$A356,'Таблиця 1'!$I:$I,"Mirage",'Таблиця 1'!$L:$L,"Уражено")+COUNTIFS('Таблиця 1'!$B:$B,$A356,'Таблиця 1'!$I:$I,"F-16",'Таблиця 1'!$L:$L,"Уражено")+COUNTIFS('Таблиця 1'!$B:$B,$A356,'Таблиця 1'!$I:$I,"МіГ-29",'Таблиця 1'!$L:$L,"Уражено")+COUNTIFS('Таблиця 1'!$B:$B,$A356,'Таблиця 1'!$I:$I,"Су-25",'Таблиця 1'!$L:$L,"Уражено")+COUNTIFS('Таблиця 1'!$B:$B,$A356,'Таблиця 1'!$I:$I,"Су-27",'Таблиця 1'!$L:$L,"Уражено"))</f>
        <v/>
      </c>
      <c r="S356">
        <f>IF($A356="","",COUNTIFS('Таблиця 1'!$B:$B,$A356,'Таблиця 1'!$I:$I,"Mirage",'Таблиця 1'!$L:$L,"НЕ уражено")+COUNTIFS('Таблиця 1'!$B:$B,$A356,'Таблиця 1'!$I:$I,"F-16",'Таблиця 1'!$L:$L,"НЕ уражено")+COUNTIFS('Таблиця 1'!$B:$B,$A356,'Таблиця 1'!$I:$I,"МіГ-29",'Таблиця 1'!$L:$L,"НЕ уражено")+COUNTIFS('Таблиця 1'!$B:$B,$A356,'Таблиця 1'!$I:$I,"Су-25",'Таблиця 1'!$L:$L,"НЕ уражено")+COUNTIFS('Таблиця 1'!$B:$B,$A356,'Таблиця 1'!$I:$I,"Су-27",'Таблиця 1'!$L:$L,"НЕ уражено"))</f>
        <v/>
      </c>
      <c r="T356">
        <f>IF($A356="","",COUNTIFS('Таблиця 1'!$B:$B,$A356,'Таблиця 1'!$I:$I,"Mirage",'Таблиця 1'!$L:$L,"Дорозвідується")+COUNTIFS('Таблиця 1'!$B:$B,$A356,'Таблиця 1'!$I:$I,"F-16",'Таблиця 1'!$L:$L,"Дорозвідується")+COUNTIFS('Таблиця 1'!$B:$B,$A356,'Таблиця 1'!$I:$I,"МіГ-29",'Таблиця 1'!$L:$L,"Дорозвідується")+COUNTIFS('Таблиця 1'!$B:$B,$A356,'Таблиця 1'!$I:$I,"Су-25",'Таблиця 1'!$L:$L,"Дорозвідується")+COUNTIFS('Таблиця 1'!$B:$B,$A356,'Таблиця 1'!$I:$I,"Су-27",'Таблиця 1'!$L:$L,"Дорозвідується"))</f>
        <v/>
      </c>
    </row>
    <row r="357">
      <c r="A357" s="273">
        <f>IF(A356="","",IF(A356+1&gt;MAX('Таблиця 1'!$B:$B),"",A356+1))</f>
        <v/>
      </c>
      <c r="B357">
        <f>IF($A357="","",COUNTIFS('Таблиця 1'!$B:$B,$A357,'Таблиця 1'!$I:$I,"Mirage")+COUNTIFS('Таблиця 1'!$B:$B,$A357,'Таблиця 1'!$I:$I,"F-16")+COUNTIFS('Таблиця 1'!$B:$B,$A357,'Таблиця 1'!$I:$I,"МіГ-29")+COUNTIFS('Таблиця 1'!$B:$B,$A357,'Таблиця 1'!$I:$I,"Су-25")+COUNTIFS('Таблиця 1'!$B:$B,$A357,'Таблиця 1'!$I:$I,"Су-27"))</f>
        <v/>
      </c>
      <c r="C357">
        <f>IF($A357="","",COUNTIFS('Таблиця 1'!$B:$B,$A357,'Таблиця 1'!$I:$I,"Mirage"))</f>
        <v/>
      </c>
      <c r="D357">
        <f>IF($A357="","",COUNTIFS('Таблиця 1'!$B:$B,$A357,'Таблиця 1'!$I:$I,"F-16"))</f>
        <v/>
      </c>
      <c r="E357">
        <f>IF($A357="","",COUNTIFS('Таблиця 1'!$B:$B,$A357,'Таблиця 1'!$I:$I,"МіГ-29"))</f>
        <v/>
      </c>
      <c r="F357">
        <f>IF($A357="","",COUNTIFS('Таблиця 1'!$B:$B,$A357,'Таблиця 1'!$I:$I,"Су-25"))</f>
        <v/>
      </c>
      <c r="G357">
        <f>IF($A357="","",COUNTIFS('Таблиця 1'!$B:$B,$A357,'Таблиця 1'!$I:$I,"Су-27"))</f>
        <v/>
      </c>
      <c r="H357">
        <f>IF($A357="","",SUMIFS('Таблиця 1'!$K:$K,'Таблиця 1'!$B:$B,$A357,'Таблиця 1'!$I:$I,"Mirage",'Таблиця 1'!$J:$J,"AGM-88")+SUMIFS('Таблиця 1'!$K:$K,'Таблиця 1'!$B:$B,$A357,'Таблиця 1'!$I:$I,"F-16",'Таблиця 1'!$J:$J,"AGM-88")+SUMIFS('Таблиця 1'!$K:$K,'Таблиця 1'!$B:$B,$A357,'Таблиця 1'!$I:$I,"МіГ-29",'Таблиця 1'!$J:$J,"AGM-88")+SUMIFS('Таблиця 1'!$K:$K,'Таблиця 1'!$B:$B,$A357,'Таблиця 1'!$I:$I,"Су-25",'Таблиця 1'!$J:$J,"AGM-88")+SUMIFS('Таблиця 1'!$K:$K,'Таблиця 1'!$B:$B,$A357,'Таблиця 1'!$I:$I,"Су-27",'Таблиця 1'!$J:$J,"AGM-88"))</f>
        <v/>
      </c>
      <c r="I357">
        <f>IF($A357="","",SUMIFS('Таблиця 1'!$K:$K,'Таблиця 1'!$B:$B,$A357,'Таблиця 1'!$I:$I,"Mirage",'Таблиця 1'!$J:$J,"AASM-250")+SUMIFS('Таблиця 1'!$K:$K,'Таблиця 1'!$B:$B,$A357,'Таблиця 1'!$I:$I,"F-16",'Таблиця 1'!$J:$J,"AASM-250")+SUMIFS('Таблиця 1'!$K:$K,'Таблиця 1'!$B:$B,$A357,'Таблиця 1'!$I:$I,"МіГ-29",'Таблиця 1'!$J:$J,"AASM-250")+SUMIFS('Таблиця 1'!$K:$K,'Таблиця 1'!$B:$B,$A357,'Таблиця 1'!$I:$I,"Су-25",'Таблиця 1'!$J:$J,"AASM-250")+SUMIFS('Таблиця 1'!$K:$K,'Таблиця 1'!$B:$B,$A357,'Таблиця 1'!$I:$I,"Су-27",'Таблиця 1'!$J:$J,"AASM-250"))</f>
        <v/>
      </c>
      <c r="J357">
        <f>IF($A357="","",SUMIFS('Таблиця 1'!$K:$K,'Таблиця 1'!$B:$B,$A357,'Таблиця 1'!$I:$I,"Mirage",'Таблиця 1'!$J:$J,"GBU-39")+SUMIFS('Таблиця 1'!$K:$K,'Таблиця 1'!$B:$B,$A357,'Таблиця 1'!$I:$I,"F-16",'Таблиця 1'!$J:$J,"GBU-39")+SUMIFS('Таблиця 1'!$K:$K,'Таблиця 1'!$B:$B,$A357,'Таблиця 1'!$I:$I,"МіГ-29",'Таблиця 1'!$J:$J,"GBU-39")+SUMIFS('Таблиця 1'!$K:$K,'Таблиця 1'!$B:$B,$A357,'Таблиця 1'!$I:$I,"Су-25",'Таблиця 1'!$J:$J,"GBU-39")+SUMIFS('Таблиця 1'!$K:$K,'Таблиця 1'!$B:$B,$A357,'Таблиця 1'!$I:$I,"Су-27",'Таблиця 1'!$J:$J,"GBU-39"))</f>
        <v/>
      </c>
      <c r="K357">
        <f>IF($A357="","",SUMIFS('Таблиця 1'!$K:$K,'Таблиця 1'!$B:$B,$A357,'Таблиця 1'!$I:$I,"Mirage",'Таблиця 1'!$J:$J,"BLU-140")+SUMIFS('Таблиця 1'!$K:$K,'Таблиця 1'!$B:$B,$A357,'Таблиця 1'!$I:$I,"F-16",'Таблиця 1'!$J:$J,"BLU-140")+SUMIFS('Таблиця 1'!$K:$K,'Таблиця 1'!$B:$B,$A357,'Таблиця 1'!$I:$I,"МіГ-29",'Таблиця 1'!$J:$J,"BLU-140")+SUMIFS('Таблиця 1'!$K:$K,'Таблиця 1'!$B:$B,$A357,'Таблиця 1'!$I:$I,"Су-25",'Таблиця 1'!$J:$J,"BLU-140")+SUMIFS('Таблиця 1'!$K:$K,'Таблиця 1'!$B:$B,$A357,'Таблиця 1'!$I:$I,"Су-27",'Таблиця 1'!$J:$J,"BLU-140"))</f>
        <v/>
      </c>
      <c r="L357">
        <f>IF($A357="","",SUMIFS('Таблиця 1'!$K:$K,'Таблиця 1'!$B:$B,$A357,'Таблиця 1'!$I:$I,"Mirage",'Таблиця 1'!$J:$J,"GBU-65")+SUMIFS('Таблиця 1'!$K:$K,'Таблиця 1'!$B:$B,$A357,'Таблиця 1'!$I:$I,"F-16",'Таблиця 1'!$J:$J,"GBU-65")+SUMIFS('Таблиця 1'!$K:$K,'Таблиця 1'!$B:$B,$A357,'Таблиця 1'!$I:$I,"МіГ-29",'Таблиця 1'!$J:$J,"GBU-65")+SUMIFS('Таблиця 1'!$K:$K,'Таблиця 1'!$B:$B,$A357,'Таблиця 1'!$I:$I,"Су-25",'Таблиця 1'!$J:$J,"GBU-65")+SUMIFS('Таблиця 1'!$K:$K,'Таблиця 1'!$B:$B,$A357,'Таблиця 1'!$I:$I,"Су-27",'Таблиця 1'!$J:$J,"GBU-65"))</f>
        <v/>
      </c>
      <c r="M357">
        <f>IF($A357="","",SUMIFS('Таблиця 1'!$K:$K,'Таблиця 1'!$B:$B,$A357,'Таблиця 1'!$I:$I,"Mirage",'Таблиця 1'!$J:$J,"GBU-62")+SUMIFS('Таблиця 1'!$K:$K,'Таблиця 1'!$B:$B,$A357,'Таблиця 1'!$I:$I,"F-16",'Таблиця 1'!$J:$J,"GBU-62")+SUMIFS('Таблиця 1'!$K:$K,'Таблиця 1'!$B:$B,$A357,'Таблиця 1'!$I:$I,"МіГ-29",'Таблиця 1'!$J:$J,"GBU-62")+SUMIFS('Таблиця 1'!$K:$K,'Таблиця 1'!$B:$B,$A357,'Таблиця 1'!$I:$I,"Су-25",'Таблиця 1'!$J:$J,"GBU-62")+SUMIFS('Таблиця 1'!$K:$K,'Таблиця 1'!$B:$B,$A357,'Таблиця 1'!$I:$I,"Су-27",'Таблиця 1'!$J:$J,"GBU-62"))</f>
        <v/>
      </c>
      <c r="N357">
        <f>IF($A357="","",SUMIFS('Таблиця 1'!$K:$K,'Таблиця 1'!$B:$B,$A357,'Таблиця 1'!$I:$I,"Mirage",'Таблиця 1'!$J:$J,"GBU-64")+SUMIFS('Таблиця 1'!$K:$K,'Таблиця 1'!$B:$B,$A357,'Таблиця 1'!$I:$I,"F-16",'Таблиця 1'!$J:$J,"GBU-64")+SUMIFS('Таблиця 1'!$K:$K,'Таблиця 1'!$B:$B,$A357,'Таблиця 1'!$I:$I,"МіГ-29",'Таблиця 1'!$J:$J,"GBU-64")+SUMIFS('Таблиця 1'!$K:$K,'Таблиця 1'!$B:$B,$A357,'Таблиця 1'!$I:$I,"Су-25",'Таблиця 1'!$J:$J,"GBU-64")+SUMIFS('Таблиця 1'!$K:$K,'Таблиця 1'!$B:$B,$A357,'Таблиця 1'!$I:$I,"Су-27",'Таблиця 1'!$J:$J,"GBU-64"))</f>
        <v/>
      </c>
      <c r="O357">
        <f>IF($A357="","",SUMIFS('Таблиця 1'!$K:$K,'Таблиця 1'!$B:$B,$A357,'Таблиця 1'!$I:$I,"Mirage",'Таблиця 1'!$J:$J,"C-13")+SUMIFS('Таблиця 1'!$K:$K,'Таблиця 1'!$B:$B,$A357,'Таблиця 1'!$I:$I,"F-16",'Таблиця 1'!$J:$J,"C-13")+SUMIFS('Таблиця 1'!$K:$K,'Таблиця 1'!$B:$B,$A357,'Таблиця 1'!$I:$I,"МіГ-29",'Таблиця 1'!$J:$J,"C-13")+SUMIFS('Таблиця 1'!$K:$K,'Таблиця 1'!$B:$B,$A357,'Таблиця 1'!$I:$I,"Су-25",'Таблиця 1'!$J:$J,"C-13")+SUMIFS('Таблиця 1'!$K:$K,'Таблиця 1'!$B:$B,$A357,'Таблиця 1'!$I:$I,"Су-27",'Таблиця 1'!$J:$J,"C-13"))</f>
        <v/>
      </c>
      <c r="P357">
        <f>IF($A357="","",SUMIFS('Таблиця 1'!$K:$K,'Таблиця 1'!$B:$B,$A357,'Таблиця 1'!$I:$I,"Mirage",'Таблиця 1'!$J:$J,"MK-32")+SUMIFS('Таблиця 1'!$K:$K,'Таблиця 1'!$B:$B,$A357,'Таблиця 1'!$I:$I,"F-16",'Таблиця 1'!$J:$J,"MK-32")+SUMIFS('Таблиця 1'!$K:$K,'Таблиця 1'!$B:$B,$A357,'Таблиця 1'!$I:$I,"МіГ-29",'Таблиця 1'!$J:$J,"MK-32")+SUMIFS('Таблиця 1'!$K:$K,'Таблиця 1'!$B:$B,$A357,'Таблиця 1'!$I:$I,"Су-25",'Таблиця 1'!$J:$J,"MK-32")+SUMIFS('Таблиця 1'!$K:$K,'Таблиця 1'!$B:$B,$A357,'Таблиця 1'!$I:$I,"Су-27",'Таблиця 1'!$J:$J,"MK-32"))</f>
        <v/>
      </c>
      <c r="Q357">
        <f>IF($A357="","",SUMIFS('Таблиця 1'!$K:$K,'Таблиця 1'!$B:$B,$A357,'Таблиця 1'!$I:$I,"Mirage",'Таблиця 1'!$J:$J,"MK-24")+SUMIFS('Таблиця 1'!$K:$K,'Таблиця 1'!$B:$B,$A357,'Таблиця 1'!$I:$I,"F-16",'Таблиця 1'!$J:$J,"MK-24")+SUMIFS('Таблиця 1'!$K:$K,'Таблиця 1'!$B:$B,$A357,'Таблиця 1'!$I:$I,"МіГ-29",'Таблиця 1'!$J:$J,"MK-24")+SUMIFS('Таблиця 1'!$K:$K,'Таблиця 1'!$B:$B,$A357,'Таблиця 1'!$I:$I,"Су-25",'Таблиця 1'!$J:$J,"MK-24")+SUMIFS('Таблиця 1'!$K:$K,'Таблиця 1'!$B:$B,$A357,'Таблиця 1'!$I:$I,"Су-27",'Таблиця 1'!$J:$J,"MK-24"))</f>
        <v/>
      </c>
      <c r="R357">
        <f>IF($A357="","",COUNTIFS('Таблиця 1'!$B:$B,$A357,'Таблиця 1'!$I:$I,"Mirage",'Таблиця 1'!$L:$L,"Уражено")+COUNTIFS('Таблиця 1'!$B:$B,$A357,'Таблиця 1'!$I:$I,"F-16",'Таблиця 1'!$L:$L,"Уражено")+COUNTIFS('Таблиця 1'!$B:$B,$A357,'Таблиця 1'!$I:$I,"МіГ-29",'Таблиця 1'!$L:$L,"Уражено")+COUNTIFS('Таблиця 1'!$B:$B,$A357,'Таблиця 1'!$I:$I,"Су-25",'Таблиця 1'!$L:$L,"Уражено")+COUNTIFS('Таблиця 1'!$B:$B,$A357,'Таблиця 1'!$I:$I,"Су-27",'Таблиця 1'!$L:$L,"Уражено"))</f>
        <v/>
      </c>
      <c r="S357">
        <f>IF($A357="","",COUNTIFS('Таблиця 1'!$B:$B,$A357,'Таблиця 1'!$I:$I,"Mirage",'Таблиця 1'!$L:$L,"НЕ уражено")+COUNTIFS('Таблиця 1'!$B:$B,$A357,'Таблиця 1'!$I:$I,"F-16",'Таблиця 1'!$L:$L,"НЕ уражено")+COUNTIFS('Таблиця 1'!$B:$B,$A357,'Таблиця 1'!$I:$I,"МіГ-29",'Таблиця 1'!$L:$L,"НЕ уражено")+COUNTIFS('Таблиця 1'!$B:$B,$A357,'Таблиця 1'!$I:$I,"Су-25",'Таблиця 1'!$L:$L,"НЕ уражено")+COUNTIFS('Таблиця 1'!$B:$B,$A357,'Таблиця 1'!$I:$I,"Су-27",'Таблиця 1'!$L:$L,"НЕ уражено"))</f>
        <v/>
      </c>
      <c r="T357">
        <f>IF($A357="","",COUNTIFS('Таблиця 1'!$B:$B,$A357,'Таблиця 1'!$I:$I,"Mirage",'Таблиця 1'!$L:$L,"Дорозвідується")+COUNTIFS('Таблиця 1'!$B:$B,$A357,'Таблиця 1'!$I:$I,"F-16",'Таблиця 1'!$L:$L,"Дорозвідується")+COUNTIFS('Таблиця 1'!$B:$B,$A357,'Таблиця 1'!$I:$I,"МіГ-29",'Таблиця 1'!$L:$L,"Дорозвідується")+COUNTIFS('Таблиця 1'!$B:$B,$A357,'Таблиця 1'!$I:$I,"Су-25",'Таблиця 1'!$L:$L,"Дорозвідується")+COUNTIFS('Таблиця 1'!$B:$B,$A357,'Таблиця 1'!$I:$I,"Су-27",'Таблиця 1'!$L:$L,"Дорозвідується"))</f>
        <v/>
      </c>
    </row>
    <row r="358">
      <c r="A358" s="273">
        <f>IF(A357="","",IF(A357+1&gt;MAX('Таблиця 1'!$B:$B),"",A357+1))</f>
        <v/>
      </c>
      <c r="B358">
        <f>IF($A358="","",COUNTIFS('Таблиця 1'!$B:$B,$A358,'Таблиця 1'!$I:$I,"Mirage")+COUNTIFS('Таблиця 1'!$B:$B,$A358,'Таблиця 1'!$I:$I,"F-16")+COUNTIFS('Таблиця 1'!$B:$B,$A358,'Таблиця 1'!$I:$I,"МіГ-29")+COUNTIFS('Таблиця 1'!$B:$B,$A358,'Таблиця 1'!$I:$I,"Су-25")+COUNTIFS('Таблиця 1'!$B:$B,$A358,'Таблиця 1'!$I:$I,"Су-27"))</f>
        <v/>
      </c>
      <c r="C358">
        <f>IF($A358="","",COUNTIFS('Таблиця 1'!$B:$B,$A358,'Таблиця 1'!$I:$I,"Mirage"))</f>
        <v/>
      </c>
      <c r="D358">
        <f>IF($A358="","",COUNTIFS('Таблиця 1'!$B:$B,$A358,'Таблиця 1'!$I:$I,"F-16"))</f>
        <v/>
      </c>
      <c r="E358">
        <f>IF($A358="","",COUNTIFS('Таблиця 1'!$B:$B,$A358,'Таблиця 1'!$I:$I,"МіГ-29"))</f>
        <v/>
      </c>
      <c r="F358">
        <f>IF($A358="","",COUNTIFS('Таблиця 1'!$B:$B,$A358,'Таблиця 1'!$I:$I,"Су-25"))</f>
        <v/>
      </c>
      <c r="G358">
        <f>IF($A358="","",COUNTIFS('Таблиця 1'!$B:$B,$A358,'Таблиця 1'!$I:$I,"Су-27"))</f>
        <v/>
      </c>
      <c r="H358">
        <f>IF($A358="","",SUMIFS('Таблиця 1'!$K:$K,'Таблиця 1'!$B:$B,$A358,'Таблиця 1'!$I:$I,"Mirage",'Таблиця 1'!$J:$J,"AGM-88")+SUMIFS('Таблиця 1'!$K:$K,'Таблиця 1'!$B:$B,$A358,'Таблиця 1'!$I:$I,"F-16",'Таблиця 1'!$J:$J,"AGM-88")+SUMIFS('Таблиця 1'!$K:$K,'Таблиця 1'!$B:$B,$A358,'Таблиця 1'!$I:$I,"МіГ-29",'Таблиця 1'!$J:$J,"AGM-88")+SUMIFS('Таблиця 1'!$K:$K,'Таблиця 1'!$B:$B,$A358,'Таблиця 1'!$I:$I,"Су-25",'Таблиця 1'!$J:$J,"AGM-88")+SUMIFS('Таблиця 1'!$K:$K,'Таблиця 1'!$B:$B,$A358,'Таблиця 1'!$I:$I,"Су-27",'Таблиця 1'!$J:$J,"AGM-88"))</f>
        <v/>
      </c>
      <c r="I358">
        <f>IF($A358="","",SUMIFS('Таблиця 1'!$K:$K,'Таблиця 1'!$B:$B,$A358,'Таблиця 1'!$I:$I,"Mirage",'Таблиця 1'!$J:$J,"AASM-250")+SUMIFS('Таблиця 1'!$K:$K,'Таблиця 1'!$B:$B,$A358,'Таблиця 1'!$I:$I,"F-16",'Таблиця 1'!$J:$J,"AASM-250")+SUMIFS('Таблиця 1'!$K:$K,'Таблиця 1'!$B:$B,$A358,'Таблиця 1'!$I:$I,"МіГ-29",'Таблиця 1'!$J:$J,"AASM-250")+SUMIFS('Таблиця 1'!$K:$K,'Таблиця 1'!$B:$B,$A358,'Таблиця 1'!$I:$I,"Су-25",'Таблиця 1'!$J:$J,"AASM-250")+SUMIFS('Таблиця 1'!$K:$K,'Таблиця 1'!$B:$B,$A358,'Таблиця 1'!$I:$I,"Су-27",'Таблиця 1'!$J:$J,"AASM-250"))</f>
        <v/>
      </c>
      <c r="J358">
        <f>IF($A358="","",SUMIFS('Таблиця 1'!$K:$K,'Таблиця 1'!$B:$B,$A358,'Таблиця 1'!$I:$I,"Mirage",'Таблиця 1'!$J:$J,"GBU-39")+SUMIFS('Таблиця 1'!$K:$K,'Таблиця 1'!$B:$B,$A358,'Таблиця 1'!$I:$I,"F-16",'Таблиця 1'!$J:$J,"GBU-39")+SUMIFS('Таблиця 1'!$K:$K,'Таблиця 1'!$B:$B,$A358,'Таблиця 1'!$I:$I,"МіГ-29",'Таблиця 1'!$J:$J,"GBU-39")+SUMIFS('Таблиця 1'!$K:$K,'Таблиця 1'!$B:$B,$A358,'Таблиця 1'!$I:$I,"Су-25",'Таблиця 1'!$J:$J,"GBU-39")+SUMIFS('Таблиця 1'!$K:$K,'Таблиця 1'!$B:$B,$A358,'Таблиця 1'!$I:$I,"Су-27",'Таблиця 1'!$J:$J,"GBU-39"))</f>
        <v/>
      </c>
      <c r="K358">
        <f>IF($A358="","",SUMIFS('Таблиця 1'!$K:$K,'Таблиця 1'!$B:$B,$A358,'Таблиця 1'!$I:$I,"Mirage",'Таблиця 1'!$J:$J,"BLU-140")+SUMIFS('Таблиця 1'!$K:$K,'Таблиця 1'!$B:$B,$A358,'Таблиця 1'!$I:$I,"F-16",'Таблиця 1'!$J:$J,"BLU-140")+SUMIFS('Таблиця 1'!$K:$K,'Таблиця 1'!$B:$B,$A358,'Таблиця 1'!$I:$I,"МіГ-29",'Таблиця 1'!$J:$J,"BLU-140")+SUMIFS('Таблиця 1'!$K:$K,'Таблиця 1'!$B:$B,$A358,'Таблиця 1'!$I:$I,"Су-25",'Таблиця 1'!$J:$J,"BLU-140")+SUMIFS('Таблиця 1'!$K:$K,'Таблиця 1'!$B:$B,$A358,'Таблиця 1'!$I:$I,"Су-27",'Таблиця 1'!$J:$J,"BLU-140"))</f>
        <v/>
      </c>
      <c r="L358">
        <f>IF($A358="","",SUMIFS('Таблиця 1'!$K:$K,'Таблиця 1'!$B:$B,$A358,'Таблиця 1'!$I:$I,"Mirage",'Таблиця 1'!$J:$J,"GBU-65")+SUMIFS('Таблиця 1'!$K:$K,'Таблиця 1'!$B:$B,$A358,'Таблиця 1'!$I:$I,"F-16",'Таблиця 1'!$J:$J,"GBU-65")+SUMIFS('Таблиця 1'!$K:$K,'Таблиця 1'!$B:$B,$A358,'Таблиця 1'!$I:$I,"МіГ-29",'Таблиця 1'!$J:$J,"GBU-65")+SUMIFS('Таблиця 1'!$K:$K,'Таблиця 1'!$B:$B,$A358,'Таблиця 1'!$I:$I,"Су-25",'Таблиця 1'!$J:$J,"GBU-65")+SUMIFS('Таблиця 1'!$K:$K,'Таблиця 1'!$B:$B,$A358,'Таблиця 1'!$I:$I,"Су-27",'Таблиця 1'!$J:$J,"GBU-65"))</f>
        <v/>
      </c>
      <c r="M358">
        <f>IF($A358="","",SUMIFS('Таблиця 1'!$K:$K,'Таблиця 1'!$B:$B,$A358,'Таблиця 1'!$I:$I,"Mirage",'Таблиця 1'!$J:$J,"GBU-62")+SUMIFS('Таблиця 1'!$K:$K,'Таблиця 1'!$B:$B,$A358,'Таблиця 1'!$I:$I,"F-16",'Таблиця 1'!$J:$J,"GBU-62")+SUMIFS('Таблиця 1'!$K:$K,'Таблиця 1'!$B:$B,$A358,'Таблиця 1'!$I:$I,"МіГ-29",'Таблиця 1'!$J:$J,"GBU-62")+SUMIFS('Таблиця 1'!$K:$K,'Таблиця 1'!$B:$B,$A358,'Таблиця 1'!$I:$I,"Су-25",'Таблиця 1'!$J:$J,"GBU-62")+SUMIFS('Таблиця 1'!$K:$K,'Таблиця 1'!$B:$B,$A358,'Таблиця 1'!$I:$I,"Су-27",'Таблиця 1'!$J:$J,"GBU-62"))</f>
        <v/>
      </c>
      <c r="N358">
        <f>IF($A358="","",SUMIFS('Таблиця 1'!$K:$K,'Таблиця 1'!$B:$B,$A358,'Таблиця 1'!$I:$I,"Mirage",'Таблиця 1'!$J:$J,"GBU-64")+SUMIFS('Таблиця 1'!$K:$K,'Таблиця 1'!$B:$B,$A358,'Таблиця 1'!$I:$I,"F-16",'Таблиця 1'!$J:$J,"GBU-64")+SUMIFS('Таблиця 1'!$K:$K,'Таблиця 1'!$B:$B,$A358,'Таблиця 1'!$I:$I,"МіГ-29",'Таблиця 1'!$J:$J,"GBU-64")+SUMIFS('Таблиця 1'!$K:$K,'Таблиця 1'!$B:$B,$A358,'Таблиця 1'!$I:$I,"Су-25",'Таблиця 1'!$J:$J,"GBU-64")+SUMIFS('Таблиця 1'!$K:$K,'Таблиця 1'!$B:$B,$A358,'Таблиця 1'!$I:$I,"Су-27",'Таблиця 1'!$J:$J,"GBU-64"))</f>
        <v/>
      </c>
      <c r="O358">
        <f>IF($A358="","",SUMIFS('Таблиця 1'!$K:$K,'Таблиця 1'!$B:$B,$A358,'Таблиця 1'!$I:$I,"Mirage",'Таблиця 1'!$J:$J,"C-13")+SUMIFS('Таблиця 1'!$K:$K,'Таблиця 1'!$B:$B,$A358,'Таблиця 1'!$I:$I,"F-16",'Таблиця 1'!$J:$J,"C-13")+SUMIFS('Таблиця 1'!$K:$K,'Таблиця 1'!$B:$B,$A358,'Таблиця 1'!$I:$I,"МіГ-29",'Таблиця 1'!$J:$J,"C-13")+SUMIFS('Таблиця 1'!$K:$K,'Таблиця 1'!$B:$B,$A358,'Таблиця 1'!$I:$I,"Су-25",'Таблиця 1'!$J:$J,"C-13")+SUMIFS('Таблиця 1'!$K:$K,'Таблиця 1'!$B:$B,$A358,'Таблиця 1'!$I:$I,"Су-27",'Таблиця 1'!$J:$J,"C-13"))</f>
        <v/>
      </c>
      <c r="P358">
        <f>IF($A358="","",SUMIFS('Таблиця 1'!$K:$K,'Таблиця 1'!$B:$B,$A358,'Таблиця 1'!$I:$I,"Mirage",'Таблиця 1'!$J:$J,"MK-32")+SUMIFS('Таблиця 1'!$K:$K,'Таблиця 1'!$B:$B,$A358,'Таблиця 1'!$I:$I,"F-16",'Таблиця 1'!$J:$J,"MK-32")+SUMIFS('Таблиця 1'!$K:$K,'Таблиця 1'!$B:$B,$A358,'Таблиця 1'!$I:$I,"МіГ-29",'Таблиця 1'!$J:$J,"MK-32")+SUMIFS('Таблиця 1'!$K:$K,'Таблиця 1'!$B:$B,$A358,'Таблиця 1'!$I:$I,"Су-25",'Таблиця 1'!$J:$J,"MK-32")+SUMIFS('Таблиця 1'!$K:$K,'Таблиця 1'!$B:$B,$A358,'Таблиця 1'!$I:$I,"Су-27",'Таблиця 1'!$J:$J,"MK-32"))</f>
        <v/>
      </c>
      <c r="Q358">
        <f>IF($A358="","",SUMIFS('Таблиця 1'!$K:$K,'Таблиця 1'!$B:$B,$A358,'Таблиця 1'!$I:$I,"Mirage",'Таблиця 1'!$J:$J,"MK-24")+SUMIFS('Таблиця 1'!$K:$K,'Таблиця 1'!$B:$B,$A358,'Таблиця 1'!$I:$I,"F-16",'Таблиця 1'!$J:$J,"MK-24")+SUMIFS('Таблиця 1'!$K:$K,'Таблиця 1'!$B:$B,$A358,'Таблиця 1'!$I:$I,"МіГ-29",'Таблиця 1'!$J:$J,"MK-24")+SUMIFS('Таблиця 1'!$K:$K,'Таблиця 1'!$B:$B,$A358,'Таблиця 1'!$I:$I,"Су-25",'Таблиця 1'!$J:$J,"MK-24")+SUMIFS('Таблиця 1'!$K:$K,'Таблиця 1'!$B:$B,$A358,'Таблиця 1'!$I:$I,"Су-27",'Таблиця 1'!$J:$J,"MK-24"))</f>
        <v/>
      </c>
      <c r="R358">
        <f>IF($A358="","",COUNTIFS('Таблиця 1'!$B:$B,$A358,'Таблиця 1'!$I:$I,"Mirage",'Таблиця 1'!$L:$L,"Уражено")+COUNTIFS('Таблиця 1'!$B:$B,$A358,'Таблиця 1'!$I:$I,"F-16",'Таблиця 1'!$L:$L,"Уражено")+COUNTIFS('Таблиця 1'!$B:$B,$A358,'Таблиця 1'!$I:$I,"МіГ-29",'Таблиця 1'!$L:$L,"Уражено")+COUNTIFS('Таблиця 1'!$B:$B,$A358,'Таблиця 1'!$I:$I,"Су-25",'Таблиця 1'!$L:$L,"Уражено")+COUNTIFS('Таблиця 1'!$B:$B,$A358,'Таблиця 1'!$I:$I,"Су-27",'Таблиця 1'!$L:$L,"Уражено"))</f>
        <v/>
      </c>
      <c r="S358">
        <f>IF($A358="","",COUNTIFS('Таблиця 1'!$B:$B,$A358,'Таблиця 1'!$I:$I,"Mirage",'Таблиця 1'!$L:$L,"НЕ уражено")+COUNTIFS('Таблиця 1'!$B:$B,$A358,'Таблиця 1'!$I:$I,"F-16",'Таблиця 1'!$L:$L,"НЕ уражено")+COUNTIFS('Таблиця 1'!$B:$B,$A358,'Таблиця 1'!$I:$I,"МіГ-29",'Таблиця 1'!$L:$L,"НЕ уражено")+COUNTIFS('Таблиця 1'!$B:$B,$A358,'Таблиця 1'!$I:$I,"Су-25",'Таблиця 1'!$L:$L,"НЕ уражено")+COUNTIFS('Таблиця 1'!$B:$B,$A358,'Таблиця 1'!$I:$I,"Су-27",'Таблиця 1'!$L:$L,"НЕ уражено"))</f>
        <v/>
      </c>
      <c r="T358">
        <f>IF($A358="","",COUNTIFS('Таблиця 1'!$B:$B,$A358,'Таблиця 1'!$I:$I,"Mirage",'Таблиця 1'!$L:$L,"Дорозвідується")+COUNTIFS('Таблиця 1'!$B:$B,$A358,'Таблиця 1'!$I:$I,"F-16",'Таблиця 1'!$L:$L,"Дорозвідується")+COUNTIFS('Таблиця 1'!$B:$B,$A358,'Таблиця 1'!$I:$I,"МіГ-29",'Таблиця 1'!$L:$L,"Дорозвідується")+COUNTIFS('Таблиця 1'!$B:$B,$A358,'Таблиця 1'!$I:$I,"Су-25",'Таблиця 1'!$L:$L,"Дорозвідується")+COUNTIFS('Таблиця 1'!$B:$B,$A358,'Таблиця 1'!$I:$I,"Су-27",'Таблиця 1'!$L:$L,"Дорозвідується"))</f>
        <v/>
      </c>
    </row>
    <row r="359">
      <c r="A359" s="273">
        <f>IF(A358="","",IF(A358+1&gt;MAX('Таблиця 1'!$B:$B),"",A358+1))</f>
        <v/>
      </c>
      <c r="B359">
        <f>IF($A359="","",COUNTIFS('Таблиця 1'!$B:$B,$A359,'Таблиця 1'!$I:$I,"Mirage")+COUNTIFS('Таблиця 1'!$B:$B,$A359,'Таблиця 1'!$I:$I,"F-16")+COUNTIFS('Таблиця 1'!$B:$B,$A359,'Таблиця 1'!$I:$I,"МіГ-29")+COUNTIFS('Таблиця 1'!$B:$B,$A359,'Таблиця 1'!$I:$I,"Су-25")+COUNTIFS('Таблиця 1'!$B:$B,$A359,'Таблиця 1'!$I:$I,"Су-27"))</f>
        <v/>
      </c>
      <c r="C359">
        <f>IF($A359="","",COUNTIFS('Таблиця 1'!$B:$B,$A359,'Таблиця 1'!$I:$I,"Mirage"))</f>
        <v/>
      </c>
      <c r="D359">
        <f>IF($A359="","",COUNTIFS('Таблиця 1'!$B:$B,$A359,'Таблиця 1'!$I:$I,"F-16"))</f>
        <v/>
      </c>
      <c r="E359">
        <f>IF($A359="","",COUNTIFS('Таблиця 1'!$B:$B,$A359,'Таблиця 1'!$I:$I,"МіГ-29"))</f>
        <v/>
      </c>
      <c r="F359">
        <f>IF($A359="","",COUNTIFS('Таблиця 1'!$B:$B,$A359,'Таблиця 1'!$I:$I,"Су-25"))</f>
        <v/>
      </c>
      <c r="G359">
        <f>IF($A359="","",COUNTIFS('Таблиця 1'!$B:$B,$A359,'Таблиця 1'!$I:$I,"Су-27"))</f>
        <v/>
      </c>
      <c r="H359">
        <f>IF($A359="","",SUMIFS('Таблиця 1'!$K:$K,'Таблиця 1'!$B:$B,$A359,'Таблиця 1'!$I:$I,"Mirage",'Таблиця 1'!$J:$J,"AGM-88")+SUMIFS('Таблиця 1'!$K:$K,'Таблиця 1'!$B:$B,$A359,'Таблиця 1'!$I:$I,"F-16",'Таблиця 1'!$J:$J,"AGM-88")+SUMIFS('Таблиця 1'!$K:$K,'Таблиця 1'!$B:$B,$A359,'Таблиця 1'!$I:$I,"МіГ-29",'Таблиця 1'!$J:$J,"AGM-88")+SUMIFS('Таблиця 1'!$K:$K,'Таблиця 1'!$B:$B,$A359,'Таблиця 1'!$I:$I,"Су-25",'Таблиця 1'!$J:$J,"AGM-88")+SUMIFS('Таблиця 1'!$K:$K,'Таблиця 1'!$B:$B,$A359,'Таблиця 1'!$I:$I,"Су-27",'Таблиця 1'!$J:$J,"AGM-88"))</f>
        <v/>
      </c>
      <c r="I359">
        <f>IF($A359="","",SUMIFS('Таблиця 1'!$K:$K,'Таблиця 1'!$B:$B,$A359,'Таблиця 1'!$I:$I,"Mirage",'Таблиця 1'!$J:$J,"AASM-250")+SUMIFS('Таблиця 1'!$K:$K,'Таблиця 1'!$B:$B,$A359,'Таблиця 1'!$I:$I,"F-16",'Таблиця 1'!$J:$J,"AASM-250")+SUMIFS('Таблиця 1'!$K:$K,'Таблиця 1'!$B:$B,$A359,'Таблиця 1'!$I:$I,"МіГ-29",'Таблиця 1'!$J:$J,"AASM-250")+SUMIFS('Таблиця 1'!$K:$K,'Таблиця 1'!$B:$B,$A359,'Таблиця 1'!$I:$I,"Су-25",'Таблиця 1'!$J:$J,"AASM-250")+SUMIFS('Таблиця 1'!$K:$K,'Таблиця 1'!$B:$B,$A359,'Таблиця 1'!$I:$I,"Су-27",'Таблиця 1'!$J:$J,"AASM-250"))</f>
        <v/>
      </c>
      <c r="J359">
        <f>IF($A359="","",SUMIFS('Таблиця 1'!$K:$K,'Таблиця 1'!$B:$B,$A359,'Таблиця 1'!$I:$I,"Mirage",'Таблиця 1'!$J:$J,"GBU-39")+SUMIFS('Таблиця 1'!$K:$K,'Таблиця 1'!$B:$B,$A359,'Таблиця 1'!$I:$I,"F-16",'Таблиця 1'!$J:$J,"GBU-39")+SUMIFS('Таблиця 1'!$K:$K,'Таблиця 1'!$B:$B,$A359,'Таблиця 1'!$I:$I,"МіГ-29",'Таблиця 1'!$J:$J,"GBU-39")+SUMIFS('Таблиця 1'!$K:$K,'Таблиця 1'!$B:$B,$A359,'Таблиця 1'!$I:$I,"Су-25",'Таблиця 1'!$J:$J,"GBU-39")+SUMIFS('Таблиця 1'!$K:$K,'Таблиця 1'!$B:$B,$A359,'Таблиця 1'!$I:$I,"Су-27",'Таблиця 1'!$J:$J,"GBU-39"))</f>
        <v/>
      </c>
      <c r="K359">
        <f>IF($A359="","",SUMIFS('Таблиця 1'!$K:$K,'Таблиця 1'!$B:$B,$A359,'Таблиця 1'!$I:$I,"Mirage",'Таблиця 1'!$J:$J,"BLU-140")+SUMIFS('Таблиця 1'!$K:$K,'Таблиця 1'!$B:$B,$A359,'Таблиця 1'!$I:$I,"F-16",'Таблиця 1'!$J:$J,"BLU-140")+SUMIFS('Таблиця 1'!$K:$K,'Таблиця 1'!$B:$B,$A359,'Таблиця 1'!$I:$I,"МіГ-29",'Таблиця 1'!$J:$J,"BLU-140")+SUMIFS('Таблиця 1'!$K:$K,'Таблиця 1'!$B:$B,$A359,'Таблиця 1'!$I:$I,"Су-25",'Таблиця 1'!$J:$J,"BLU-140")+SUMIFS('Таблиця 1'!$K:$K,'Таблиця 1'!$B:$B,$A359,'Таблиця 1'!$I:$I,"Су-27",'Таблиця 1'!$J:$J,"BLU-140"))</f>
        <v/>
      </c>
      <c r="L359">
        <f>IF($A359="","",SUMIFS('Таблиця 1'!$K:$K,'Таблиця 1'!$B:$B,$A359,'Таблиця 1'!$I:$I,"Mirage",'Таблиця 1'!$J:$J,"GBU-65")+SUMIFS('Таблиця 1'!$K:$K,'Таблиця 1'!$B:$B,$A359,'Таблиця 1'!$I:$I,"F-16",'Таблиця 1'!$J:$J,"GBU-65")+SUMIFS('Таблиця 1'!$K:$K,'Таблиця 1'!$B:$B,$A359,'Таблиця 1'!$I:$I,"МіГ-29",'Таблиця 1'!$J:$J,"GBU-65")+SUMIFS('Таблиця 1'!$K:$K,'Таблиця 1'!$B:$B,$A359,'Таблиця 1'!$I:$I,"Су-25",'Таблиця 1'!$J:$J,"GBU-65")+SUMIFS('Таблиця 1'!$K:$K,'Таблиця 1'!$B:$B,$A359,'Таблиця 1'!$I:$I,"Су-27",'Таблиця 1'!$J:$J,"GBU-65"))</f>
        <v/>
      </c>
      <c r="M359">
        <f>IF($A359="","",SUMIFS('Таблиця 1'!$K:$K,'Таблиця 1'!$B:$B,$A359,'Таблиця 1'!$I:$I,"Mirage",'Таблиця 1'!$J:$J,"GBU-62")+SUMIFS('Таблиця 1'!$K:$K,'Таблиця 1'!$B:$B,$A359,'Таблиця 1'!$I:$I,"F-16",'Таблиця 1'!$J:$J,"GBU-62")+SUMIFS('Таблиця 1'!$K:$K,'Таблиця 1'!$B:$B,$A359,'Таблиця 1'!$I:$I,"МіГ-29",'Таблиця 1'!$J:$J,"GBU-62")+SUMIFS('Таблиця 1'!$K:$K,'Таблиця 1'!$B:$B,$A359,'Таблиця 1'!$I:$I,"Су-25",'Таблиця 1'!$J:$J,"GBU-62")+SUMIFS('Таблиця 1'!$K:$K,'Таблиця 1'!$B:$B,$A359,'Таблиця 1'!$I:$I,"Су-27",'Таблиця 1'!$J:$J,"GBU-62"))</f>
        <v/>
      </c>
      <c r="N359">
        <f>IF($A359="","",SUMIFS('Таблиця 1'!$K:$K,'Таблиця 1'!$B:$B,$A359,'Таблиця 1'!$I:$I,"Mirage",'Таблиця 1'!$J:$J,"GBU-64")+SUMIFS('Таблиця 1'!$K:$K,'Таблиця 1'!$B:$B,$A359,'Таблиця 1'!$I:$I,"F-16",'Таблиця 1'!$J:$J,"GBU-64")+SUMIFS('Таблиця 1'!$K:$K,'Таблиця 1'!$B:$B,$A359,'Таблиця 1'!$I:$I,"МіГ-29",'Таблиця 1'!$J:$J,"GBU-64")+SUMIFS('Таблиця 1'!$K:$K,'Таблиця 1'!$B:$B,$A359,'Таблиця 1'!$I:$I,"Су-25",'Таблиця 1'!$J:$J,"GBU-64")+SUMIFS('Таблиця 1'!$K:$K,'Таблиця 1'!$B:$B,$A359,'Таблиця 1'!$I:$I,"Су-27",'Таблиця 1'!$J:$J,"GBU-64"))</f>
        <v/>
      </c>
      <c r="O359">
        <f>IF($A359="","",SUMIFS('Таблиця 1'!$K:$K,'Таблиця 1'!$B:$B,$A359,'Таблиця 1'!$I:$I,"Mirage",'Таблиця 1'!$J:$J,"C-13")+SUMIFS('Таблиця 1'!$K:$K,'Таблиця 1'!$B:$B,$A359,'Таблиця 1'!$I:$I,"F-16",'Таблиця 1'!$J:$J,"C-13")+SUMIFS('Таблиця 1'!$K:$K,'Таблиця 1'!$B:$B,$A359,'Таблиця 1'!$I:$I,"МіГ-29",'Таблиця 1'!$J:$J,"C-13")+SUMIFS('Таблиця 1'!$K:$K,'Таблиця 1'!$B:$B,$A359,'Таблиця 1'!$I:$I,"Су-25",'Таблиця 1'!$J:$J,"C-13")+SUMIFS('Таблиця 1'!$K:$K,'Таблиця 1'!$B:$B,$A359,'Таблиця 1'!$I:$I,"Су-27",'Таблиця 1'!$J:$J,"C-13"))</f>
        <v/>
      </c>
      <c r="P359">
        <f>IF($A359="","",SUMIFS('Таблиця 1'!$K:$K,'Таблиця 1'!$B:$B,$A359,'Таблиця 1'!$I:$I,"Mirage",'Таблиця 1'!$J:$J,"MK-32")+SUMIFS('Таблиця 1'!$K:$K,'Таблиця 1'!$B:$B,$A359,'Таблиця 1'!$I:$I,"F-16",'Таблиця 1'!$J:$J,"MK-32")+SUMIFS('Таблиця 1'!$K:$K,'Таблиця 1'!$B:$B,$A359,'Таблиця 1'!$I:$I,"МіГ-29",'Таблиця 1'!$J:$J,"MK-32")+SUMIFS('Таблиця 1'!$K:$K,'Таблиця 1'!$B:$B,$A359,'Таблиця 1'!$I:$I,"Су-25",'Таблиця 1'!$J:$J,"MK-32")+SUMIFS('Таблиця 1'!$K:$K,'Таблиця 1'!$B:$B,$A359,'Таблиця 1'!$I:$I,"Су-27",'Таблиця 1'!$J:$J,"MK-32"))</f>
        <v/>
      </c>
      <c r="Q359">
        <f>IF($A359="","",SUMIFS('Таблиця 1'!$K:$K,'Таблиця 1'!$B:$B,$A359,'Таблиця 1'!$I:$I,"Mirage",'Таблиця 1'!$J:$J,"MK-24")+SUMIFS('Таблиця 1'!$K:$K,'Таблиця 1'!$B:$B,$A359,'Таблиця 1'!$I:$I,"F-16",'Таблиця 1'!$J:$J,"MK-24")+SUMIFS('Таблиця 1'!$K:$K,'Таблиця 1'!$B:$B,$A359,'Таблиця 1'!$I:$I,"МіГ-29",'Таблиця 1'!$J:$J,"MK-24")+SUMIFS('Таблиця 1'!$K:$K,'Таблиця 1'!$B:$B,$A359,'Таблиця 1'!$I:$I,"Су-25",'Таблиця 1'!$J:$J,"MK-24")+SUMIFS('Таблиця 1'!$K:$K,'Таблиця 1'!$B:$B,$A359,'Таблиця 1'!$I:$I,"Су-27",'Таблиця 1'!$J:$J,"MK-24"))</f>
        <v/>
      </c>
      <c r="R359">
        <f>IF($A359="","",COUNTIFS('Таблиця 1'!$B:$B,$A359,'Таблиця 1'!$I:$I,"Mirage",'Таблиця 1'!$L:$L,"Уражено")+COUNTIFS('Таблиця 1'!$B:$B,$A359,'Таблиця 1'!$I:$I,"F-16",'Таблиця 1'!$L:$L,"Уражено")+COUNTIFS('Таблиця 1'!$B:$B,$A359,'Таблиця 1'!$I:$I,"МіГ-29",'Таблиця 1'!$L:$L,"Уражено")+COUNTIFS('Таблиця 1'!$B:$B,$A359,'Таблиця 1'!$I:$I,"Су-25",'Таблиця 1'!$L:$L,"Уражено")+COUNTIFS('Таблиця 1'!$B:$B,$A359,'Таблиця 1'!$I:$I,"Су-27",'Таблиця 1'!$L:$L,"Уражено"))</f>
        <v/>
      </c>
      <c r="S359">
        <f>IF($A359="","",COUNTIFS('Таблиця 1'!$B:$B,$A359,'Таблиця 1'!$I:$I,"Mirage",'Таблиця 1'!$L:$L,"НЕ уражено")+COUNTIFS('Таблиця 1'!$B:$B,$A359,'Таблиця 1'!$I:$I,"F-16",'Таблиця 1'!$L:$L,"НЕ уражено")+COUNTIFS('Таблиця 1'!$B:$B,$A359,'Таблиця 1'!$I:$I,"МіГ-29",'Таблиця 1'!$L:$L,"НЕ уражено")+COUNTIFS('Таблиця 1'!$B:$B,$A359,'Таблиця 1'!$I:$I,"Су-25",'Таблиця 1'!$L:$L,"НЕ уражено")+COUNTIFS('Таблиця 1'!$B:$B,$A359,'Таблиця 1'!$I:$I,"Су-27",'Таблиця 1'!$L:$L,"НЕ уражено"))</f>
        <v/>
      </c>
      <c r="T359">
        <f>IF($A359="","",COUNTIFS('Таблиця 1'!$B:$B,$A359,'Таблиця 1'!$I:$I,"Mirage",'Таблиця 1'!$L:$L,"Дорозвідується")+COUNTIFS('Таблиця 1'!$B:$B,$A359,'Таблиця 1'!$I:$I,"F-16",'Таблиця 1'!$L:$L,"Дорозвідується")+COUNTIFS('Таблиця 1'!$B:$B,$A359,'Таблиця 1'!$I:$I,"МіГ-29",'Таблиця 1'!$L:$L,"Дорозвідується")+COUNTIFS('Таблиця 1'!$B:$B,$A359,'Таблиця 1'!$I:$I,"Су-25",'Таблиця 1'!$L:$L,"Дорозвідується")+COUNTIFS('Таблиця 1'!$B:$B,$A359,'Таблиця 1'!$I:$I,"Су-27",'Таблиця 1'!$L:$L,"Дорозвідується"))</f>
        <v/>
      </c>
    </row>
    <row r="360">
      <c r="A360" s="273">
        <f>IF(A359="","",IF(A359+1&gt;MAX('Таблиця 1'!$B:$B),"",A359+1))</f>
        <v/>
      </c>
      <c r="B360">
        <f>IF($A360="","",COUNTIFS('Таблиця 1'!$B:$B,$A360,'Таблиця 1'!$I:$I,"Mirage")+COUNTIFS('Таблиця 1'!$B:$B,$A360,'Таблиця 1'!$I:$I,"F-16")+COUNTIFS('Таблиця 1'!$B:$B,$A360,'Таблиця 1'!$I:$I,"МіГ-29")+COUNTIFS('Таблиця 1'!$B:$B,$A360,'Таблиця 1'!$I:$I,"Су-25")+COUNTIFS('Таблиця 1'!$B:$B,$A360,'Таблиця 1'!$I:$I,"Су-27"))</f>
        <v/>
      </c>
      <c r="C360">
        <f>IF($A360="","",COUNTIFS('Таблиця 1'!$B:$B,$A360,'Таблиця 1'!$I:$I,"Mirage"))</f>
        <v/>
      </c>
      <c r="D360">
        <f>IF($A360="","",COUNTIFS('Таблиця 1'!$B:$B,$A360,'Таблиця 1'!$I:$I,"F-16"))</f>
        <v/>
      </c>
      <c r="E360">
        <f>IF($A360="","",COUNTIFS('Таблиця 1'!$B:$B,$A360,'Таблиця 1'!$I:$I,"МіГ-29"))</f>
        <v/>
      </c>
      <c r="F360">
        <f>IF($A360="","",COUNTIFS('Таблиця 1'!$B:$B,$A360,'Таблиця 1'!$I:$I,"Су-25"))</f>
        <v/>
      </c>
      <c r="G360">
        <f>IF($A360="","",COUNTIFS('Таблиця 1'!$B:$B,$A360,'Таблиця 1'!$I:$I,"Су-27"))</f>
        <v/>
      </c>
      <c r="H360">
        <f>IF($A360="","",SUMIFS('Таблиця 1'!$K:$K,'Таблиця 1'!$B:$B,$A360,'Таблиця 1'!$I:$I,"Mirage",'Таблиця 1'!$J:$J,"AGM-88")+SUMIFS('Таблиця 1'!$K:$K,'Таблиця 1'!$B:$B,$A360,'Таблиця 1'!$I:$I,"F-16",'Таблиця 1'!$J:$J,"AGM-88")+SUMIFS('Таблиця 1'!$K:$K,'Таблиця 1'!$B:$B,$A360,'Таблиця 1'!$I:$I,"МіГ-29",'Таблиця 1'!$J:$J,"AGM-88")+SUMIFS('Таблиця 1'!$K:$K,'Таблиця 1'!$B:$B,$A360,'Таблиця 1'!$I:$I,"Су-25",'Таблиця 1'!$J:$J,"AGM-88")+SUMIFS('Таблиця 1'!$K:$K,'Таблиця 1'!$B:$B,$A360,'Таблиця 1'!$I:$I,"Су-27",'Таблиця 1'!$J:$J,"AGM-88"))</f>
        <v/>
      </c>
      <c r="I360">
        <f>IF($A360="","",SUMIFS('Таблиця 1'!$K:$K,'Таблиця 1'!$B:$B,$A360,'Таблиця 1'!$I:$I,"Mirage",'Таблиця 1'!$J:$J,"AASM-250")+SUMIFS('Таблиця 1'!$K:$K,'Таблиця 1'!$B:$B,$A360,'Таблиця 1'!$I:$I,"F-16",'Таблиця 1'!$J:$J,"AASM-250")+SUMIFS('Таблиця 1'!$K:$K,'Таблиця 1'!$B:$B,$A360,'Таблиця 1'!$I:$I,"МіГ-29",'Таблиця 1'!$J:$J,"AASM-250")+SUMIFS('Таблиця 1'!$K:$K,'Таблиця 1'!$B:$B,$A360,'Таблиця 1'!$I:$I,"Су-25",'Таблиця 1'!$J:$J,"AASM-250")+SUMIFS('Таблиця 1'!$K:$K,'Таблиця 1'!$B:$B,$A360,'Таблиця 1'!$I:$I,"Су-27",'Таблиця 1'!$J:$J,"AASM-250"))</f>
        <v/>
      </c>
      <c r="J360">
        <f>IF($A360="","",SUMIFS('Таблиця 1'!$K:$K,'Таблиця 1'!$B:$B,$A360,'Таблиця 1'!$I:$I,"Mirage",'Таблиця 1'!$J:$J,"GBU-39")+SUMIFS('Таблиця 1'!$K:$K,'Таблиця 1'!$B:$B,$A360,'Таблиця 1'!$I:$I,"F-16",'Таблиця 1'!$J:$J,"GBU-39")+SUMIFS('Таблиця 1'!$K:$K,'Таблиця 1'!$B:$B,$A360,'Таблиця 1'!$I:$I,"МіГ-29",'Таблиця 1'!$J:$J,"GBU-39")+SUMIFS('Таблиця 1'!$K:$K,'Таблиця 1'!$B:$B,$A360,'Таблиця 1'!$I:$I,"Су-25",'Таблиця 1'!$J:$J,"GBU-39")+SUMIFS('Таблиця 1'!$K:$K,'Таблиця 1'!$B:$B,$A360,'Таблиця 1'!$I:$I,"Су-27",'Таблиця 1'!$J:$J,"GBU-39"))</f>
        <v/>
      </c>
      <c r="K360">
        <f>IF($A360="","",SUMIFS('Таблиця 1'!$K:$K,'Таблиця 1'!$B:$B,$A360,'Таблиця 1'!$I:$I,"Mirage",'Таблиця 1'!$J:$J,"BLU-140")+SUMIFS('Таблиця 1'!$K:$K,'Таблиця 1'!$B:$B,$A360,'Таблиця 1'!$I:$I,"F-16",'Таблиця 1'!$J:$J,"BLU-140")+SUMIFS('Таблиця 1'!$K:$K,'Таблиця 1'!$B:$B,$A360,'Таблиця 1'!$I:$I,"МіГ-29",'Таблиця 1'!$J:$J,"BLU-140")+SUMIFS('Таблиця 1'!$K:$K,'Таблиця 1'!$B:$B,$A360,'Таблиця 1'!$I:$I,"Су-25",'Таблиця 1'!$J:$J,"BLU-140")+SUMIFS('Таблиця 1'!$K:$K,'Таблиця 1'!$B:$B,$A360,'Таблиця 1'!$I:$I,"Су-27",'Таблиця 1'!$J:$J,"BLU-140"))</f>
        <v/>
      </c>
      <c r="L360">
        <f>IF($A360="","",SUMIFS('Таблиця 1'!$K:$K,'Таблиця 1'!$B:$B,$A360,'Таблиця 1'!$I:$I,"Mirage",'Таблиця 1'!$J:$J,"GBU-65")+SUMIFS('Таблиця 1'!$K:$K,'Таблиця 1'!$B:$B,$A360,'Таблиця 1'!$I:$I,"F-16",'Таблиця 1'!$J:$J,"GBU-65")+SUMIFS('Таблиця 1'!$K:$K,'Таблиця 1'!$B:$B,$A360,'Таблиця 1'!$I:$I,"МіГ-29",'Таблиця 1'!$J:$J,"GBU-65")+SUMIFS('Таблиця 1'!$K:$K,'Таблиця 1'!$B:$B,$A360,'Таблиця 1'!$I:$I,"Су-25",'Таблиця 1'!$J:$J,"GBU-65")+SUMIFS('Таблиця 1'!$K:$K,'Таблиця 1'!$B:$B,$A360,'Таблиця 1'!$I:$I,"Су-27",'Таблиця 1'!$J:$J,"GBU-65"))</f>
        <v/>
      </c>
      <c r="M360">
        <f>IF($A360="","",SUMIFS('Таблиця 1'!$K:$K,'Таблиця 1'!$B:$B,$A360,'Таблиця 1'!$I:$I,"Mirage",'Таблиця 1'!$J:$J,"GBU-62")+SUMIFS('Таблиця 1'!$K:$K,'Таблиця 1'!$B:$B,$A360,'Таблиця 1'!$I:$I,"F-16",'Таблиця 1'!$J:$J,"GBU-62")+SUMIFS('Таблиця 1'!$K:$K,'Таблиця 1'!$B:$B,$A360,'Таблиця 1'!$I:$I,"МіГ-29",'Таблиця 1'!$J:$J,"GBU-62")+SUMIFS('Таблиця 1'!$K:$K,'Таблиця 1'!$B:$B,$A360,'Таблиця 1'!$I:$I,"Су-25",'Таблиця 1'!$J:$J,"GBU-62")+SUMIFS('Таблиця 1'!$K:$K,'Таблиця 1'!$B:$B,$A360,'Таблиця 1'!$I:$I,"Су-27",'Таблиця 1'!$J:$J,"GBU-62"))</f>
        <v/>
      </c>
      <c r="N360">
        <f>IF($A360="","",SUMIFS('Таблиця 1'!$K:$K,'Таблиця 1'!$B:$B,$A360,'Таблиця 1'!$I:$I,"Mirage",'Таблиця 1'!$J:$J,"GBU-64")+SUMIFS('Таблиця 1'!$K:$K,'Таблиця 1'!$B:$B,$A360,'Таблиця 1'!$I:$I,"F-16",'Таблиця 1'!$J:$J,"GBU-64")+SUMIFS('Таблиця 1'!$K:$K,'Таблиця 1'!$B:$B,$A360,'Таблиця 1'!$I:$I,"МіГ-29",'Таблиця 1'!$J:$J,"GBU-64")+SUMIFS('Таблиця 1'!$K:$K,'Таблиця 1'!$B:$B,$A360,'Таблиця 1'!$I:$I,"Су-25",'Таблиця 1'!$J:$J,"GBU-64")+SUMIFS('Таблиця 1'!$K:$K,'Таблиця 1'!$B:$B,$A360,'Таблиця 1'!$I:$I,"Су-27",'Таблиця 1'!$J:$J,"GBU-64"))</f>
        <v/>
      </c>
      <c r="O360">
        <f>IF($A360="","",SUMIFS('Таблиця 1'!$K:$K,'Таблиця 1'!$B:$B,$A360,'Таблиця 1'!$I:$I,"Mirage",'Таблиця 1'!$J:$J,"C-13")+SUMIFS('Таблиця 1'!$K:$K,'Таблиця 1'!$B:$B,$A360,'Таблиця 1'!$I:$I,"F-16",'Таблиця 1'!$J:$J,"C-13")+SUMIFS('Таблиця 1'!$K:$K,'Таблиця 1'!$B:$B,$A360,'Таблиця 1'!$I:$I,"МіГ-29",'Таблиця 1'!$J:$J,"C-13")+SUMIFS('Таблиця 1'!$K:$K,'Таблиця 1'!$B:$B,$A360,'Таблиця 1'!$I:$I,"Су-25",'Таблиця 1'!$J:$J,"C-13")+SUMIFS('Таблиця 1'!$K:$K,'Таблиця 1'!$B:$B,$A360,'Таблиця 1'!$I:$I,"Су-27",'Таблиця 1'!$J:$J,"C-13"))</f>
        <v/>
      </c>
      <c r="P360">
        <f>IF($A360="","",SUMIFS('Таблиця 1'!$K:$K,'Таблиця 1'!$B:$B,$A360,'Таблиця 1'!$I:$I,"Mirage",'Таблиця 1'!$J:$J,"MK-32")+SUMIFS('Таблиця 1'!$K:$K,'Таблиця 1'!$B:$B,$A360,'Таблиця 1'!$I:$I,"F-16",'Таблиця 1'!$J:$J,"MK-32")+SUMIFS('Таблиця 1'!$K:$K,'Таблиця 1'!$B:$B,$A360,'Таблиця 1'!$I:$I,"МіГ-29",'Таблиця 1'!$J:$J,"MK-32")+SUMIFS('Таблиця 1'!$K:$K,'Таблиця 1'!$B:$B,$A360,'Таблиця 1'!$I:$I,"Су-25",'Таблиця 1'!$J:$J,"MK-32")+SUMIFS('Таблиця 1'!$K:$K,'Таблиця 1'!$B:$B,$A360,'Таблиця 1'!$I:$I,"Су-27",'Таблиця 1'!$J:$J,"MK-32"))</f>
        <v/>
      </c>
      <c r="Q360">
        <f>IF($A360="","",SUMIFS('Таблиця 1'!$K:$K,'Таблиця 1'!$B:$B,$A360,'Таблиця 1'!$I:$I,"Mirage",'Таблиця 1'!$J:$J,"MK-24")+SUMIFS('Таблиця 1'!$K:$K,'Таблиця 1'!$B:$B,$A360,'Таблиця 1'!$I:$I,"F-16",'Таблиця 1'!$J:$J,"MK-24")+SUMIFS('Таблиця 1'!$K:$K,'Таблиця 1'!$B:$B,$A360,'Таблиця 1'!$I:$I,"МіГ-29",'Таблиця 1'!$J:$J,"MK-24")+SUMIFS('Таблиця 1'!$K:$K,'Таблиця 1'!$B:$B,$A360,'Таблиця 1'!$I:$I,"Су-25",'Таблиця 1'!$J:$J,"MK-24")+SUMIFS('Таблиця 1'!$K:$K,'Таблиця 1'!$B:$B,$A360,'Таблиця 1'!$I:$I,"Су-27",'Таблиця 1'!$J:$J,"MK-24"))</f>
        <v/>
      </c>
      <c r="R360">
        <f>IF($A360="","",COUNTIFS('Таблиця 1'!$B:$B,$A360,'Таблиця 1'!$I:$I,"Mirage",'Таблиця 1'!$L:$L,"Уражено")+COUNTIFS('Таблиця 1'!$B:$B,$A360,'Таблиця 1'!$I:$I,"F-16",'Таблиця 1'!$L:$L,"Уражено")+COUNTIFS('Таблиця 1'!$B:$B,$A360,'Таблиця 1'!$I:$I,"МіГ-29",'Таблиця 1'!$L:$L,"Уражено")+COUNTIFS('Таблиця 1'!$B:$B,$A360,'Таблиця 1'!$I:$I,"Су-25",'Таблиця 1'!$L:$L,"Уражено")+COUNTIFS('Таблиця 1'!$B:$B,$A360,'Таблиця 1'!$I:$I,"Су-27",'Таблиця 1'!$L:$L,"Уражено"))</f>
        <v/>
      </c>
      <c r="S360">
        <f>IF($A360="","",COUNTIFS('Таблиця 1'!$B:$B,$A360,'Таблиця 1'!$I:$I,"Mirage",'Таблиця 1'!$L:$L,"НЕ уражено")+COUNTIFS('Таблиця 1'!$B:$B,$A360,'Таблиця 1'!$I:$I,"F-16",'Таблиця 1'!$L:$L,"НЕ уражено")+COUNTIFS('Таблиця 1'!$B:$B,$A360,'Таблиця 1'!$I:$I,"МіГ-29",'Таблиця 1'!$L:$L,"НЕ уражено")+COUNTIFS('Таблиця 1'!$B:$B,$A360,'Таблиця 1'!$I:$I,"Су-25",'Таблиця 1'!$L:$L,"НЕ уражено")+COUNTIFS('Таблиця 1'!$B:$B,$A360,'Таблиця 1'!$I:$I,"Су-27",'Таблиця 1'!$L:$L,"НЕ уражено"))</f>
        <v/>
      </c>
      <c r="T360">
        <f>IF($A360="","",COUNTIFS('Таблиця 1'!$B:$B,$A360,'Таблиця 1'!$I:$I,"Mirage",'Таблиця 1'!$L:$L,"Дорозвідується")+COUNTIFS('Таблиця 1'!$B:$B,$A360,'Таблиця 1'!$I:$I,"F-16",'Таблиця 1'!$L:$L,"Дорозвідується")+COUNTIFS('Таблиця 1'!$B:$B,$A360,'Таблиця 1'!$I:$I,"МіГ-29",'Таблиця 1'!$L:$L,"Дорозвідується")+COUNTIFS('Таблиця 1'!$B:$B,$A360,'Таблиця 1'!$I:$I,"Су-25",'Таблиця 1'!$L:$L,"Дорозвідується")+COUNTIFS('Таблиця 1'!$B:$B,$A360,'Таблиця 1'!$I:$I,"Су-27",'Таблиця 1'!$L:$L,"Дорозвідується"))</f>
        <v/>
      </c>
    </row>
    <row r="361">
      <c r="A361" s="273">
        <f>IF(A360="","",IF(A360+1&gt;MAX('Таблиця 1'!$B:$B),"",A360+1))</f>
        <v/>
      </c>
      <c r="B361">
        <f>IF($A361="","",COUNTIFS('Таблиця 1'!$B:$B,$A361,'Таблиця 1'!$I:$I,"Mirage")+COUNTIFS('Таблиця 1'!$B:$B,$A361,'Таблиця 1'!$I:$I,"F-16")+COUNTIFS('Таблиця 1'!$B:$B,$A361,'Таблиця 1'!$I:$I,"МіГ-29")+COUNTIFS('Таблиця 1'!$B:$B,$A361,'Таблиця 1'!$I:$I,"Су-25")+COUNTIFS('Таблиця 1'!$B:$B,$A361,'Таблиця 1'!$I:$I,"Су-27"))</f>
        <v/>
      </c>
      <c r="C361">
        <f>IF($A361="","",COUNTIFS('Таблиця 1'!$B:$B,$A361,'Таблиця 1'!$I:$I,"Mirage"))</f>
        <v/>
      </c>
      <c r="D361">
        <f>IF($A361="","",COUNTIFS('Таблиця 1'!$B:$B,$A361,'Таблиця 1'!$I:$I,"F-16"))</f>
        <v/>
      </c>
      <c r="E361">
        <f>IF($A361="","",COUNTIFS('Таблиця 1'!$B:$B,$A361,'Таблиця 1'!$I:$I,"МіГ-29"))</f>
        <v/>
      </c>
      <c r="F361">
        <f>IF($A361="","",COUNTIFS('Таблиця 1'!$B:$B,$A361,'Таблиця 1'!$I:$I,"Су-25"))</f>
        <v/>
      </c>
      <c r="G361">
        <f>IF($A361="","",COUNTIFS('Таблиця 1'!$B:$B,$A361,'Таблиця 1'!$I:$I,"Су-27"))</f>
        <v/>
      </c>
      <c r="H361">
        <f>IF($A361="","",SUMIFS('Таблиця 1'!$K:$K,'Таблиця 1'!$B:$B,$A361,'Таблиця 1'!$I:$I,"Mirage",'Таблиця 1'!$J:$J,"AGM-88")+SUMIFS('Таблиця 1'!$K:$K,'Таблиця 1'!$B:$B,$A361,'Таблиця 1'!$I:$I,"F-16",'Таблиця 1'!$J:$J,"AGM-88")+SUMIFS('Таблиця 1'!$K:$K,'Таблиця 1'!$B:$B,$A361,'Таблиця 1'!$I:$I,"МіГ-29",'Таблиця 1'!$J:$J,"AGM-88")+SUMIFS('Таблиця 1'!$K:$K,'Таблиця 1'!$B:$B,$A361,'Таблиця 1'!$I:$I,"Су-25",'Таблиця 1'!$J:$J,"AGM-88")+SUMIFS('Таблиця 1'!$K:$K,'Таблиця 1'!$B:$B,$A361,'Таблиця 1'!$I:$I,"Су-27",'Таблиця 1'!$J:$J,"AGM-88"))</f>
        <v/>
      </c>
      <c r="I361">
        <f>IF($A361="","",SUMIFS('Таблиця 1'!$K:$K,'Таблиця 1'!$B:$B,$A361,'Таблиця 1'!$I:$I,"Mirage",'Таблиця 1'!$J:$J,"AASM-250")+SUMIFS('Таблиця 1'!$K:$K,'Таблиця 1'!$B:$B,$A361,'Таблиця 1'!$I:$I,"F-16",'Таблиця 1'!$J:$J,"AASM-250")+SUMIFS('Таблиця 1'!$K:$K,'Таблиця 1'!$B:$B,$A361,'Таблиця 1'!$I:$I,"МіГ-29",'Таблиця 1'!$J:$J,"AASM-250")+SUMIFS('Таблиця 1'!$K:$K,'Таблиця 1'!$B:$B,$A361,'Таблиця 1'!$I:$I,"Су-25",'Таблиця 1'!$J:$J,"AASM-250")+SUMIFS('Таблиця 1'!$K:$K,'Таблиця 1'!$B:$B,$A361,'Таблиця 1'!$I:$I,"Су-27",'Таблиця 1'!$J:$J,"AASM-250"))</f>
        <v/>
      </c>
      <c r="J361">
        <f>IF($A361="","",SUMIFS('Таблиця 1'!$K:$K,'Таблиця 1'!$B:$B,$A361,'Таблиця 1'!$I:$I,"Mirage",'Таблиця 1'!$J:$J,"GBU-39")+SUMIFS('Таблиця 1'!$K:$K,'Таблиця 1'!$B:$B,$A361,'Таблиця 1'!$I:$I,"F-16",'Таблиця 1'!$J:$J,"GBU-39")+SUMIFS('Таблиця 1'!$K:$K,'Таблиця 1'!$B:$B,$A361,'Таблиця 1'!$I:$I,"МіГ-29",'Таблиця 1'!$J:$J,"GBU-39")+SUMIFS('Таблиця 1'!$K:$K,'Таблиця 1'!$B:$B,$A361,'Таблиця 1'!$I:$I,"Су-25",'Таблиця 1'!$J:$J,"GBU-39")+SUMIFS('Таблиця 1'!$K:$K,'Таблиця 1'!$B:$B,$A361,'Таблиця 1'!$I:$I,"Су-27",'Таблиця 1'!$J:$J,"GBU-39"))</f>
        <v/>
      </c>
      <c r="K361">
        <f>IF($A361="","",SUMIFS('Таблиця 1'!$K:$K,'Таблиця 1'!$B:$B,$A361,'Таблиця 1'!$I:$I,"Mirage",'Таблиця 1'!$J:$J,"BLU-140")+SUMIFS('Таблиця 1'!$K:$K,'Таблиця 1'!$B:$B,$A361,'Таблиця 1'!$I:$I,"F-16",'Таблиця 1'!$J:$J,"BLU-140")+SUMIFS('Таблиця 1'!$K:$K,'Таблиця 1'!$B:$B,$A361,'Таблиця 1'!$I:$I,"МіГ-29",'Таблиця 1'!$J:$J,"BLU-140")+SUMIFS('Таблиця 1'!$K:$K,'Таблиця 1'!$B:$B,$A361,'Таблиця 1'!$I:$I,"Су-25",'Таблиця 1'!$J:$J,"BLU-140")+SUMIFS('Таблиця 1'!$K:$K,'Таблиця 1'!$B:$B,$A361,'Таблиця 1'!$I:$I,"Су-27",'Таблиця 1'!$J:$J,"BLU-140"))</f>
        <v/>
      </c>
      <c r="L361">
        <f>IF($A361="","",SUMIFS('Таблиця 1'!$K:$K,'Таблиця 1'!$B:$B,$A361,'Таблиця 1'!$I:$I,"Mirage",'Таблиця 1'!$J:$J,"GBU-65")+SUMIFS('Таблиця 1'!$K:$K,'Таблиця 1'!$B:$B,$A361,'Таблиця 1'!$I:$I,"F-16",'Таблиця 1'!$J:$J,"GBU-65")+SUMIFS('Таблиця 1'!$K:$K,'Таблиця 1'!$B:$B,$A361,'Таблиця 1'!$I:$I,"МіГ-29",'Таблиця 1'!$J:$J,"GBU-65")+SUMIFS('Таблиця 1'!$K:$K,'Таблиця 1'!$B:$B,$A361,'Таблиця 1'!$I:$I,"Су-25",'Таблиця 1'!$J:$J,"GBU-65")+SUMIFS('Таблиця 1'!$K:$K,'Таблиця 1'!$B:$B,$A361,'Таблиця 1'!$I:$I,"Су-27",'Таблиця 1'!$J:$J,"GBU-65"))</f>
        <v/>
      </c>
      <c r="M361">
        <f>IF($A361="","",SUMIFS('Таблиця 1'!$K:$K,'Таблиця 1'!$B:$B,$A361,'Таблиця 1'!$I:$I,"Mirage",'Таблиця 1'!$J:$J,"GBU-62")+SUMIFS('Таблиця 1'!$K:$K,'Таблиця 1'!$B:$B,$A361,'Таблиця 1'!$I:$I,"F-16",'Таблиця 1'!$J:$J,"GBU-62")+SUMIFS('Таблиця 1'!$K:$K,'Таблиця 1'!$B:$B,$A361,'Таблиця 1'!$I:$I,"МіГ-29",'Таблиця 1'!$J:$J,"GBU-62")+SUMIFS('Таблиця 1'!$K:$K,'Таблиця 1'!$B:$B,$A361,'Таблиця 1'!$I:$I,"Су-25",'Таблиця 1'!$J:$J,"GBU-62")+SUMIFS('Таблиця 1'!$K:$K,'Таблиця 1'!$B:$B,$A361,'Таблиця 1'!$I:$I,"Су-27",'Таблиця 1'!$J:$J,"GBU-62"))</f>
        <v/>
      </c>
      <c r="N361">
        <f>IF($A361="","",SUMIFS('Таблиця 1'!$K:$K,'Таблиця 1'!$B:$B,$A361,'Таблиця 1'!$I:$I,"Mirage",'Таблиця 1'!$J:$J,"GBU-64")+SUMIFS('Таблиця 1'!$K:$K,'Таблиця 1'!$B:$B,$A361,'Таблиця 1'!$I:$I,"F-16",'Таблиця 1'!$J:$J,"GBU-64")+SUMIFS('Таблиця 1'!$K:$K,'Таблиця 1'!$B:$B,$A361,'Таблиця 1'!$I:$I,"МіГ-29",'Таблиця 1'!$J:$J,"GBU-64")+SUMIFS('Таблиця 1'!$K:$K,'Таблиця 1'!$B:$B,$A361,'Таблиця 1'!$I:$I,"Су-25",'Таблиця 1'!$J:$J,"GBU-64")+SUMIFS('Таблиця 1'!$K:$K,'Таблиця 1'!$B:$B,$A361,'Таблиця 1'!$I:$I,"Су-27",'Таблиця 1'!$J:$J,"GBU-64"))</f>
        <v/>
      </c>
      <c r="O361">
        <f>IF($A361="","",SUMIFS('Таблиця 1'!$K:$K,'Таблиця 1'!$B:$B,$A361,'Таблиця 1'!$I:$I,"Mirage",'Таблиця 1'!$J:$J,"C-13")+SUMIFS('Таблиця 1'!$K:$K,'Таблиця 1'!$B:$B,$A361,'Таблиця 1'!$I:$I,"F-16",'Таблиця 1'!$J:$J,"C-13")+SUMIFS('Таблиця 1'!$K:$K,'Таблиця 1'!$B:$B,$A361,'Таблиця 1'!$I:$I,"МіГ-29",'Таблиця 1'!$J:$J,"C-13")+SUMIFS('Таблиця 1'!$K:$K,'Таблиця 1'!$B:$B,$A361,'Таблиця 1'!$I:$I,"Су-25",'Таблиця 1'!$J:$J,"C-13")+SUMIFS('Таблиця 1'!$K:$K,'Таблиця 1'!$B:$B,$A361,'Таблиця 1'!$I:$I,"Су-27",'Таблиця 1'!$J:$J,"C-13"))</f>
        <v/>
      </c>
      <c r="P361">
        <f>IF($A361="","",SUMIFS('Таблиця 1'!$K:$K,'Таблиця 1'!$B:$B,$A361,'Таблиця 1'!$I:$I,"Mirage",'Таблиця 1'!$J:$J,"MK-32")+SUMIFS('Таблиця 1'!$K:$K,'Таблиця 1'!$B:$B,$A361,'Таблиця 1'!$I:$I,"F-16",'Таблиця 1'!$J:$J,"MK-32")+SUMIFS('Таблиця 1'!$K:$K,'Таблиця 1'!$B:$B,$A361,'Таблиця 1'!$I:$I,"МіГ-29",'Таблиця 1'!$J:$J,"MK-32")+SUMIFS('Таблиця 1'!$K:$K,'Таблиця 1'!$B:$B,$A361,'Таблиця 1'!$I:$I,"Су-25",'Таблиця 1'!$J:$J,"MK-32")+SUMIFS('Таблиця 1'!$K:$K,'Таблиця 1'!$B:$B,$A361,'Таблиця 1'!$I:$I,"Су-27",'Таблиця 1'!$J:$J,"MK-32"))</f>
        <v/>
      </c>
      <c r="Q361">
        <f>IF($A361="","",SUMIFS('Таблиця 1'!$K:$K,'Таблиця 1'!$B:$B,$A361,'Таблиця 1'!$I:$I,"Mirage",'Таблиця 1'!$J:$J,"MK-24")+SUMIFS('Таблиця 1'!$K:$K,'Таблиця 1'!$B:$B,$A361,'Таблиця 1'!$I:$I,"F-16",'Таблиця 1'!$J:$J,"MK-24")+SUMIFS('Таблиця 1'!$K:$K,'Таблиця 1'!$B:$B,$A361,'Таблиця 1'!$I:$I,"МіГ-29",'Таблиця 1'!$J:$J,"MK-24")+SUMIFS('Таблиця 1'!$K:$K,'Таблиця 1'!$B:$B,$A361,'Таблиця 1'!$I:$I,"Су-25",'Таблиця 1'!$J:$J,"MK-24")+SUMIFS('Таблиця 1'!$K:$K,'Таблиця 1'!$B:$B,$A361,'Таблиця 1'!$I:$I,"Су-27",'Таблиця 1'!$J:$J,"MK-24"))</f>
        <v/>
      </c>
      <c r="R361">
        <f>IF($A361="","",COUNTIFS('Таблиця 1'!$B:$B,$A361,'Таблиця 1'!$I:$I,"Mirage",'Таблиця 1'!$L:$L,"Уражено")+COUNTIFS('Таблиця 1'!$B:$B,$A361,'Таблиця 1'!$I:$I,"F-16",'Таблиця 1'!$L:$L,"Уражено")+COUNTIFS('Таблиця 1'!$B:$B,$A361,'Таблиця 1'!$I:$I,"МіГ-29",'Таблиця 1'!$L:$L,"Уражено")+COUNTIFS('Таблиця 1'!$B:$B,$A361,'Таблиця 1'!$I:$I,"Су-25",'Таблиця 1'!$L:$L,"Уражено")+COUNTIFS('Таблиця 1'!$B:$B,$A361,'Таблиця 1'!$I:$I,"Су-27",'Таблиця 1'!$L:$L,"Уражено"))</f>
        <v/>
      </c>
      <c r="S361">
        <f>IF($A361="","",COUNTIFS('Таблиця 1'!$B:$B,$A361,'Таблиця 1'!$I:$I,"Mirage",'Таблиця 1'!$L:$L,"НЕ уражено")+COUNTIFS('Таблиця 1'!$B:$B,$A361,'Таблиця 1'!$I:$I,"F-16",'Таблиця 1'!$L:$L,"НЕ уражено")+COUNTIFS('Таблиця 1'!$B:$B,$A361,'Таблиця 1'!$I:$I,"МіГ-29",'Таблиця 1'!$L:$L,"НЕ уражено")+COUNTIFS('Таблиця 1'!$B:$B,$A361,'Таблиця 1'!$I:$I,"Су-25",'Таблиця 1'!$L:$L,"НЕ уражено")+COUNTIFS('Таблиця 1'!$B:$B,$A361,'Таблиця 1'!$I:$I,"Су-27",'Таблиця 1'!$L:$L,"НЕ уражено"))</f>
        <v/>
      </c>
      <c r="T361">
        <f>IF($A361="","",COUNTIFS('Таблиця 1'!$B:$B,$A361,'Таблиця 1'!$I:$I,"Mirage",'Таблиця 1'!$L:$L,"Дорозвідується")+COUNTIFS('Таблиця 1'!$B:$B,$A361,'Таблиця 1'!$I:$I,"F-16",'Таблиця 1'!$L:$L,"Дорозвідується")+COUNTIFS('Таблиця 1'!$B:$B,$A361,'Таблиця 1'!$I:$I,"МіГ-29",'Таблиця 1'!$L:$L,"Дорозвідується")+COUNTIFS('Таблиця 1'!$B:$B,$A361,'Таблиця 1'!$I:$I,"Су-25",'Таблиця 1'!$L:$L,"Дорозвідується")+COUNTIFS('Таблиця 1'!$B:$B,$A361,'Таблиця 1'!$I:$I,"Су-27",'Таблиця 1'!$L:$L,"Дорозвідується"))</f>
        <v/>
      </c>
    </row>
    <row r="362">
      <c r="A362" s="273">
        <f>IF(A361="","",IF(A361+1&gt;MAX('Таблиця 1'!$B:$B),"",A361+1))</f>
        <v/>
      </c>
      <c r="B362">
        <f>IF($A362="","",COUNTIFS('Таблиця 1'!$B:$B,$A362,'Таблиця 1'!$I:$I,"Mirage")+COUNTIFS('Таблиця 1'!$B:$B,$A362,'Таблиця 1'!$I:$I,"F-16")+COUNTIFS('Таблиця 1'!$B:$B,$A362,'Таблиця 1'!$I:$I,"МіГ-29")+COUNTIFS('Таблиця 1'!$B:$B,$A362,'Таблиця 1'!$I:$I,"Су-25")+COUNTIFS('Таблиця 1'!$B:$B,$A362,'Таблиця 1'!$I:$I,"Су-27"))</f>
        <v/>
      </c>
      <c r="C362">
        <f>IF($A362="","",COUNTIFS('Таблиця 1'!$B:$B,$A362,'Таблиця 1'!$I:$I,"Mirage"))</f>
        <v/>
      </c>
      <c r="D362">
        <f>IF($A362="","",COUNTIFS('Таблиця 1'!$B:$B,$A362,'Таблиця 1'!$I:$I,"F-16"))</f>
        <v/>
      </c>
      <c r="E362">
        <f>IF($A362="","",COUNTIFS('Таблиця 1'!$B:$B,$A362,'Таблиця 1'!$I:$I,"МіГ-29"))</f>
        <v/>
      </c>
      <c r="F362">
        <f>IF($A362="","",COUNTIFS('Таблиця 1'!$B:$B,$A362,'Таблиця 1'!$I:$I,"Су-25"))</f>
        <v/>
      </c>
      <c r="G362">
        <f>IF($A362="","",COUNTIFS('Таблиця 1'!$B:$B,$A362,'Таблиця 1'!$I:$I,"Су-27"))</f>
        <v/>
      </c>
      <c r="H362">
        <f>IF($A362="","",SUMIFS('Таблиця 1'!$K:$K,'Таблиця 1'!$B:$B,$A362,'Таблиця 1'!$I:$I,"Mirage",'Таблиця 1'!$J:$J,"AGM-88")+SUMIFS('Таблиця 1'!$K:$K,'Таблиця 1'!$B:$B,$A362,'Таблиця 1'!$I:$I,"F-16",'Таблиця 1'!$J:$J,"AGM-88")+SUMIFS('Таблиця 1'!$K:$K,'Таблиця 1'!$B:$B,$A362,'Таблиця 1'!$I:$I,"МіГ-29",'Таблиця 1'!$J:$J,"AGM-88")+SUMIFS('Таблиця 1'!$K:$K,'Таблиця 1'!$B:$B,$A362,'Таблиця 1'!$I:$I,"Су-25",'Таблиця 1'!$J:$J,"AGM-88")+SUMIFS('Таблиця 1'!$K:$K,'Таблиця 1'!$B:$B,$A362,'Таблиця 1'!$I:$I,"Су-27",'Таблиця 1'!$J:$J,"AGM-88"))</f>
        <v/>
      </c>
      <c r="I362">
        <f>IF($A362="","",SUMIFS('Таблиця 1'!$K:$K,'Таблиця 1'!$B:$B,$A362,'Таблиця 1'!$I:$I,"Mirage",'Таблиця 1'!$J:$J,"AASM-250")+SUMIFS('Таблиця 1'!$K:$K,'Таблиця 1'!$B:$B,$A362,'Таблиця 1'!$I:$I,"F-16",'Таблиця 1'!$J:$J,"AASM-250")+SUMIFS('Таблиця 1'!$K:$K,'Таблиця 1'!$B:$B,$A362,'Таблиця 1'!$I:$I,"МіГ-29",'Таблиця 1'!$J:$J,"AASM-250")+SUMIFS('Таблиця 1'!$K:$K,'Таблиця 1'!$B:$B,$A362,'Таблиця 1'!$I:$I,"Су-25",'Таблиця 1'!$J:$J,"AASM-250")+SUMIFS('Таблиця 1'!$K:$K,'Таблиця 1'!$B:$B,$A362,'Таблиця 1'!$I:$I,"Су-27",'Таблиця 1'!$J:$J,"AASM-250"))</f>
        <v/>
      </c>
      <c r="J362">
        <f>IF($A362="","",SUMIFS('Таблиця 1'!$K:$K,'Таблиця 1'!$B:$B,$A362,'Таблиця 1'!$I:$I,"Mirage",'Таблиця 1'!$J:$J,"GBU-39")+SUMIFS('Таблиця 1'!$K:$K,'Таблиця 1'!$B:$B,$A362,'Таблиця 1'!$I:$I,"F-16",'Таблиця 1'!$J:$J,"GBU-39")+SUMIFS('Таблиця 1'!$K:$K,'Таблиця 1'!$B:$B,$A362,'Таблиця 1'!$I:$I,"МіГ-29",'Таблиця 1'!$J:$J,"GBU-39")+SUMIFS('Таблиця 1'!$K:$K,'Таблиця 1'!$B:$B,$A362,'Таблиця 1'!$I:$I,"Су-25",'Таблиця 1'!$J:$J,"GBU-39")+SUMIFS('Таблиця 1'!$K:$K,'Таблиця 1'!$B:$B,$A362,'Таблиця 1'!$I:$I,"Су-27",'Таблиця 1'!$J:$J,"GBU-39"))</f>
        <v/>
      </c>
      <c r="K362">
        <f>IF($A362="","",SUMIFS('Таблиця 1'!$K:$K,'Таблиця 1'!$B:$B,$A362,'Таблиця 1'!$I:$I,"Mirage",'Таблиця 1'!$J:$J,"BLU-140")+SUMIFS('Таблиця 1'!$K:$K,'Таблиця 1'!$B:$B,$A362,'Таблиця 1'!$I:$I,"F-16",'Таблиця 1'!$J:$J,"BLU-140")+SUMIFS('Таблиця 1'!$K:$K,'Таблиця 1'!$B:$B,$A362,'Таблиця 1'!$I:$I,"МіГ-29",'Таблиця 1'!$J:$J,"BLU-140")+SUMIFS('Таблиця 1'!$K:$K,'Таблиця 1'!$B:$B,$A362,'Таблиця 1'!$I:$I,"Су-25",'Таблиця 1'!$J:$J,"BLU-140")+SUMIFS('Таблиця 1'!$K:$K,'Таблиця 1'!$B:$B,$A362,'Таблиця 1'!$I:$I,"Су-27",'Таблиця 1'!$J:$J,"BLU-140"))</f>
        <v/>
      </c>
      <c r="L362">
        <f>IF($A362="","",SUMIFS('Таблиця 1'!$K:$K,'Таблиця 1'!$B:$B,$A362,'Таблиця 1'!$I:$I,"Mirage",'Таблиця 1'!$J:$J,"GBU-65")+SUMIFS('Таблиця 1'!$K:$K,'Таблиця 1'!$B:$B,$A362,'Таблиця 1'!$I:$I,"F-16",'Таблиця 1'!$J:$J,"GBU-65")+SUMIFS('Таблиця 1'!$K:$K,'Таблиця 1'!$B:$B,$A362,'Таблиця 1'!$I:$I,"МіГ-29",'Таблиця 1'!$J:$J,"GBU-65")+SUMIFS('Таблиця 1'!$K:$K,'Таблиця 1'!$B:$B,$A362,'Таблиця 1'!$I:$I,"Су-25",'Таблиця 1'!$J:$J,"GBU-65")+SUMIFS('Таблиця 1'!$K:$K,'Таблиця 1'!$B:$B,$A362,'Таблиця 1'!$I:$I,"Су-27",'Таблиця 1'!$J:$J,"GBU-65"))</f>
        <v/>
      </c>
      <c r="M362">
        <f>IF($A362="","",SUMIFS('Таблиця 1'!$K:$K,'Таблиця 1'!$B:$B,$A362,'Таблиця 1'!$I:$I,"Mirage",'Таблиця 1'!$J:$J,"GBU-62")+SUMIFS('Таблиця 1'!$K:$K,'Таблиця 1'!$B:$B,$A362,'Таблиця 1'!$I:$I,"F-16",'Таблиця 1'!$J:$J,"GBU-62")+SUMIFS('Таблиця 1'!$K:$K,'Таблиця 1'!$B:$B,$A362,'Таблиця 1'!$I:$I,"МіГ-29",'Таблиця 1'!$J:$J,"GBU-62")+SUMIFS('Таблиця 1'!$K:$K,'Таблиця 1'!$B:$B,$A362,'Таблиця 1'!$I:$I,"Су-25",'Таблиця 1'!$J:$J,"GBU-62")+SUMIFS('Таблиця 1'!$K:$K,'Таблиця 1'!$B:$B,$A362,'Таблиця 1'!$I:$I,"Су-27",'Таблиця 1'!$J:$J,"GBU-62"))</f>
        <v/>
      </c>
      <c r="N362">
        <f>IF($A362="","",SUMIFS('Таблиця 1'!$K:$K,'Таблиця 1'!$B:$B,$A362,'Таблиця 1'!$I:$I,"Mirage",'Таблиця 1'!$J:$J,"GBU-64")+SUMIFS('Таблиця 1'!$K:$K,'Таблиця 1'!$B:$B,$A362,'Таблиця 1'!$I:$I,"F-16",'Таблиця 1'!$J:$J,"GBU-64")+SUMIFS('Таблиця 1'!$K:$K,'Таблиця 1'!$B:$B,$A362,'Таблиця 1'!$I:$I,"МіГ-29",'Таблиця 1'!$J:$J,"GBU-64")+SUMIFS('Таблиця 1'!$K:$K,'Таблиця 1'!$B:$B,$A362,'Таблиця 1'!$I:$I,"Су-25",'Таблиця 1'!$J:$J,"GBU-64")+SUMIFS('Таблиця 1'!$K:$K,'Таблиця 1'!$B:$B,$A362,'Таблиця 1'!$I:$I,"Су-27",'Таблиця 1'!$J:$J,"GBU-64"))</f>
        <v/>
      </c>
      <c r="O362">
        <f>IF($A362="","",SUMIFS('Таблиця 1'!$K:$K,'Таблиця 1'!$B:$B,$A362,'Таблиця 1'!$I:$I,"Mirage",'Таблиця 1'!$J:$J,"C-13")+SUMIFS('Таблиця 1'!$K:$K,'Таблиця 1'!$B:$B,$A362,'Таблиця 1'!$I:$I,"F-16",'Таблиця 1'!$J:$J,"C-13")+SUMIFS('Таблиця 1'!$K:$K,'Таблиця 1'!$B:$B,$A362,'Таблиця 1'!$I:$I,"МіГ-29",'Таблиця 1'!$J:$J,"C-13")+SUMIFS('Таблиця 1'!$K:$K,'Таблиця 1'!$B:$B,$A362,'Таблиця 1'!$I:$I,"Су-25",'Таблиця 1'!$J:$J,"C-13")+SUMIFS('Таблиця 1'!$K:$K,'Таблиця 1'!$B:$B,$A362,'Таблиця 1'!$I:$I,"Су-27",'Таблиця 1'!$J:$J,"C-13"))</f>
        <v/>
      </c>
      <c r="P362">
        <f>IF($A362="","",SUMIFS('Таблиця 1'!$K:$K,'Таблиця 1'!$B:$B,$A362,'Таблиця 1'!$I:$I,"Mirage",'Таблиця 1'!$J:$J,"MK-32")+SUMIFS('Таблиця 1'!$K:$K,'Таблиця 1'!$B:$B,$A362,'Таблиця 1'!$I:$I,"F-16",'Таблиця 1'!$J:$J,"MK-32")+SUMIFS('Таблиця 1'!$K:$K,'Таблиця 1'!$B:$B,$A362,'Таблиця 1'!$I:$I,"МіГ-29",'Таблиця 1'!$J:$J,"MK-32")+SUMIFS('Таблиця 1'!$K:$K,'Таблиця 1'!$B:$B,$A362,'Таблиця 1'!$I:$I,"Су-25",'Таблиця 1'!$J:$J,"MK-32")+SUMIFS('Таблиця 1'!$K:$K,'Таблиця 1'!$B:$B,$A362,'Таблиця 1'!$I:$I,"Су-27",'Таблиця 1'!$J:$J,"MK-32"))</f>
        <v/>
      </c>
      <c r="Q362">
        <f>IF($A362="","",SUMIFS('Таблиця 1'!$K:$K,'Таблиця 1'!$B:$B,$A362,'Таблиця 1'!$I:$I,"Mirage",'Таблиця 1'!$J:$J,"MK-24")+SUMIFS('Таблиця 1'!$K:$K,'Таблиця 1'!$B:$B,$A362,'Таблиця 1'!$I:$I,"F-16",'Таблиця 1'!$J:$J,"MK-24")+SUMIFS('Таблиця 1'!$K:$K,'Таблиця 1'!$B:$B,$A362,'Таблиця 1'!$I:$I,"МіГ-29",'Таблиця 1'!$J:$J,"MK-24")+SUMIFS('Таблиця 1'!$K:$K,'Таблиця 1'!$B:$B,$A362,'Таблиця 1'!$I:$I,"Су-25",'Таблиця 1'!$J:$J,"MK-24")+SUMIFS('Таблиця 1'!$K:$K,'Таблиця 1'!$B:$B,$A362,'Таблиця 1'!$I:$I,"Су-27",'Таблиця 1'!$J:$J,"MK-24"))</f>
        <v/>
      </c>
      <c r="R362">
        <f>IF($A362="","",COUNTIFS('Таблиця 1'!$B:$B,$A362,'Таблиця 1'!$I:$I,"Mirage",'Таблиця 1'!$L:$L,"Уражено")+COUNTIFS('Таблиця 1'!$B:$B,$A362,'Таблиця 1'!$I:$I,"F-16",'Таблиця 1'!$L:$L,"Уражено")+COUNTIFS('Таблиця 1'!$B:$B,$A362,'Таблиця 1'!$I:$I,"МіГ-29",'Таблиця 1'!$L:$L,"Уражено")+COUNTIFS('Таблиця 1'!$B:$B,$A362,'Таблиця 1'!$I:$I,"Су-25",'Таблиця 1'!$L:$L,"Уражено")+COUNTIFS('Таблиця 1'!$B:$B,$A362,'Таблиця 1'!$I:$I,"Су-27",'Таблиця 1'!$L:$L,"Уражено"))</f>
        <v/>
      </c>
      <c r="S362">
        <f>IF($A362="","",COUNTIFS('Таблиця 1'!$B:$B,$A362,'Таблиця 1'!$I:$I,"Mirage",'Таблиця 1'!$L:$L,"НЕ уражено")+COUNTIFS('Таблиця 1'!$B:$B,$A362,'Таблиця 1'!$I:$I,"F-16",'Таблиця 1'!$L:$L,"НЕ уражено")+COUNTIFS('Таблиця 1'!$B:$B,$A362,'Таблиця 1'!$I:$I,"МіГ-29",'Таблиця 1'!$L:$L,"НЕ уражено")+COUNTIFS('Таблиця 1'!$B:$B,$A362,'Таблиця 1'!$I:$I,"Су-25",'Таблиця 1'!$L:$L,"НЕ уражено")+COUNTIFS('Таблиця 1'!$B:$B,$A362,'Таблиця 1'!$I:$I,"Су-27",'Таблиця 1'!$L:$L,"НЕ уражено"))</f>
        <v/>
      </c>
      <c r="T362">
        <f>IF($A362="","",COUNTIFS('Таблиця 1'!$B:$B,$A362,'Таблиця 1'!$I:$I,"Mirage",'Таблиця 1'!$L:$L,"Дорозвідується")+COUNTIFS('Таблиця 1'!$B:$B,$A362,'Таблиця 1'!$I:$I,"F-16",'Таблиця 1'!$L:$L,"Дорозвідується")+COUNTIFS('Таблиця 1'!$B:$B,$A362,'Таблиця 1'!$I:$I,"МіГ-29",'Таблиця 1'!$L:$L,"Дорозвідується")+COUNTIFS('Таблиця 1'!$B:$B,$A362,'Таблиця 1'!$I:$I,"Су-25",'Таблиця 1'!$L:$L,"Дорозвідується")+COUNTIFS('Таблиця 1'!$B:$B,$A362,'Таблиця 1'!$I:$I,"Су-27",'Таблиця 1'!$L:$L,"Дорозвідується"))</f>
        <v/>
      </c>
    </row>
    <row r="363">
      <c r="A363" s="273">
        <f>IF(A362="","",IF(A362+1&gt;MAX('Таблиця 1'!$B:$B),"",A362+1))</f>
        <v/>
      </c>
      <c r="B363">
        <f>IF($A363="","",COUNTIFS('Таблиця 1'!$B:$B,$A363,'Таблиця 1'!$I:$I,"Mirage")+COUNTIFS('Таблиця 1'!$B:$B,$A363,'Таблиця 1'!$I:$I,"F-16")+COUNTIFS('Таблиця 1'!$B:$B,$A363,'Таблиця 1'!$I:$I,"МіГ-29")+COUNTIFS('Таблиця 1'!$B:$B,$A363,'Таблиця 1'!$I:$I,"Су-25")+COUNTIFS('Таблиця 1'!$B:$B,$A363,'Таблиця 1'!$I:$I,"Су-27"))</f>
        <v/>
      </c>
      <c r="C363">
        <f>IF($A363="","",COUNTIFS('Таблиця 1'!$B:$B,$A363,'Таблиця 1'!$I:$I,"Mirage"))</f>
        <v/>
      </c>
      <c r="D363">
        <f>IF($A363="","",COUNTIFS('Таблиця 1'!$B:$B,$A363,'Таблиця 1'!$I:$I,"F-16"))</f>
        <v/>
      </c>
      <c r="E363">
        <f>IF($A363="","",COUNTIFS('Таблиця 1'!$B:$B,$A363,'Таблиця 1'!$I:$I,"МіГ-29"))</f>
        <v/>
      </c>
      <c r="F363">
        <f>IF($A363="","",COUNTIFS('Таблиця 1'!$B:$B,$A363,'Таблиця 1'!$I:$I,"Су-25"))</f>
        <v/>
      </c>
      <c r="G363">
        <f>IF($A363="","",COUNTIFS('Таблиця 1'!$B:$B,$A363,'Таблиця 1'!$I:$I,"Су-27"))</f>
        <v/>
      </c>
      <c r="H363">
        <f>IF($A363="","",SUMIFS('Таблиця 1'!$K:$K,'Таблиця 1'!$B:$B,$A363,'Таблиця 1'!$I:$I,"Mirage",'Таблиця 1'!$J:$J,"AGM-88")+SUMIFS('Таблиця 1'!$K:$K,'Таблиця 1'!$B:$B,$A363,'Таблиця 1'!$I:$I,"F-16",'Таблиця 1'!$J:$J,"AGM-88")+SUMIFS('Таблиця 1'!$K:$K,'Таблиця 1'!$B:$B,$A363,'Таблиця 1'!$I:$I,"МіГ-29",'Таблиця 1'!$J:$J,"AGM-88")+SUMIFS('Таблиця 1'!$K:$K,'Таблиця 1'!$B:$B,$A363,'Таблиця 1'!$I:$I,"Су-25",'Таблиця 1'!$J:$J,"AGM-88")+SUMIFS('Таблиця 1'!$K:$K,'Таблиця 1'!$B:$B,$A363,'Таблиця 1'!$I:$I,"Су-27",'Таблиця 1'!$J:$J,"AGM-88"))</f>
        <v/>
      </c>
      <c r="I363">
        <f>IF($A363="","",SUMIFS('Таблиця 1'!$K:$K,'Таблиця 1'!$B:$B,$A363,'Таблиця 1'!$I:$I,"Mirage",'Таблиця 1'!$J:$J,"AASM-250")+SUMIFS('Таблиця 1'!$K:$K,'Таблиця 1'!$B:$B,$A363,'Таблиця 1'!$I:$I,"F-16",'Таблиця 1'!$J:$J,"AASM-250")+SUMIFS('Таблиця 1'!$K:$K,'Таблиця 1'!$B:$B,$A363,'Таблиця 1'!$I:$I,"МіГ-29",'Таблиця 1'!$J:$J,"AASM-250")+SUMIFS('Таблиця 1'!$K:$K,'Таблиця 1'!$B:$B,$A363,'Таблиця 1'!$I:$I,"Су-25",'Таблиця 1'!$J:$J,"AASM-250")+SUMIFS('Таблиця 1'!$K:$K,'Таблиця 1'!$B:$B,$A363,'Таблиця 1'!$I:$I,"Су-27",'Таблиця 1'!$J:$J,"AASM-250"))</f>
        <v/>
      </c>
      <c r="J363">
        <f>IF($A363="","",SUMIFS('Таблиця 1'!$K:$K,'Таблиця 1'!$B:$B,$A363,'Таблиця 1'!$I:$I,"Mirage",'Таблиця 1'!$J:$J,"GBU-39")+SUMIFS('Таблиця 1'!$K:$K,'Таблиця 1'!$B:$B,$A363,'Таблиця 1'!$I:$I,"F-16",'Таблиця 1'!$J:$J,"GBU-39")+SUMIFS('Таблиця 1'!$K:$K,'Таблиця 1'!$B:$B,$A363,'Таблиця 1'!$I:$I,"МіГ-29",'Таблиця 1'!$J:$J,"GBU-39")+SUMIFS('Таблиця 1'!$K:$K,'Таблиця 1'!$B:$B,$A363,'Таблиця 1'!$I:$I,"Су-25",'Таблиця 1'!$J:$J,"GBU-39")+SUMIFS('Таблиця 1'!$K:$K,'Таблиця 1'!$B:$B,$A363,'Таблиця 1'!$I:$I,"Су-27",'Таблиця 1'!$J:$J,"GBU-39"))</f>
        <v/>
      </c>
      <c r="K363">
        <f>IF($A363="","",SUMIFS('Таблиця 1'!$K:$K,'Таблиця 1'!$B:$B,$A363,'Таблиця 1'!$I:$I,"Mirage",'Таблиця 1'!$J:$J,"BLU-140")+SUMIFS('Таблиця 1'!$K:$K,'Таблиця 1'!$B:$B,$A363,'Таблиця 1'!$I:$I,"F-16",'Таблиця 1'!$J:$J,"BLU-140")+SUMIFS('Таблиця 1'!$K:$K,'Таблиця 1'!$B:$B,$A363,'Таблиця 1'!$I:$I,"МіГ-29",'Таблиця 1'!$J:$J,"BLU-140")+SUMIFS('Таблиця 1'!$K:$K,'Таблиця 1'!$B:$B,$A363,'Таблиця 1'!$I:$I,"Су-25",'Таблиця 1'!$J:$J,"BLU-140")+SUMIFS('Таблиця 1'!$K:$K,'Таблиця 1'!$B:$B,$A363,'Таблиця 1'!$I:$I,"Су-27",'Таблиця 1'!$J:$J,"BLU-140"))</f>
        <v/>
      </c>
      <c r="L363">
        <f>IF($A363="","",SUMIFS('Таблиця 1'!$K:$K,'Таблиця 1'!$B:$B,$A363,'Таблиця 1'!$I:$I,"Mirage",'Таблиця 1'!$J:$J,"GBU-65")+SUMIFS('Таблиця 1'!$K:$K,'Таблиця 1'!$B:$B,$A363,'Таблиця 1'!$I:$I,"F-16",'Таблиця 1'!$J:$J,"GBU-65")+SUMIFS('Таблиця 1'!$K:$K,'Таблиця 1'!$B:$B,$A363,'Таблиця 1'!$I:$I,"МіГ-29",'Таблиця 1'!$J:$J,"GBU-65")+SUMIFS('Таблиця 1'!$K:$K,'Таблиця 1'!$B:$B,$A363,'Таблиця 1'!$I:$I,"Су-25",'Таблиця 1'!$J:$J,"GBU-65")+SUMIFS('Таблиця 1'!$K:$K,'Таблиця 1'!$B:$B,$A363,'Таблиця 1'!$I:$I,"Су-27",'Таблиця 1'!$J:$J,"GBU-65"))</f>
        <v/>
      </c>
      <c r="M363">
        <f>IF($A363="","",SUMIFS('Таблиця 1'!$K:$K,'Таблиця 1'!$B:$B,$A363,'Таблиця 1'!$I:$I,"Mirage",'Таблиця 1'!$J:$J,"GBU-62")+SUMIFS('Таблиця 1'!$K:$K,'Таблиця 1'!$B:$B,$A363,'Таблиця 1'!$I:$I,"F-16",'Таблиця 1'!$J:$J,"GBU-62")+SUMIFS('Таблиця 1'!$K:$K,'Таблиця 1'!$B:$B,$A363,'Таблиця 1'!$I:$I,"МіГ-29",'Таблиця 1'!$J:$J,"GBU-62")+SUMIFS('Таблиця 1'!$K:$K,'Таблиця 1'!$B:$B,$A363,'Таблиця 1'!$I:$I,"Су-25",'Таблиця 1'!$J:$J,"GBU-62")+SUMIFS('Таблиця 1'!$K:$K,'Таблиця 1'!$B:$B,$A363,'Таблиця 1'!$I:$I,"Су-27",'Таблиця 1'!$J:$J,"GBU-62"))</f>
        <v/>
      </c>
      <c r="N363">
        <f>IF($A363="","",SUMIFS('Таблиця 1'!$K:$K,'Таблиця 1'!$B:$B,$A363,'Таблиця 1'!$I:$I,"Mirage",'Таблиця 1'!$J:$J,"GBU-64")+SUMIFS('Таблиця 1'!$K:$K,'Таблиця 1'!$B:$B,$A363,'Таблиця 1'!$I:$I,"F-16",'Таблиця 1'!$J:$J,"GBU-64")+SUMIFS('Таблиця 1'!$K:$K,'Таблиця 1'!$B:$B,$A363,'Таблиця 1'!$I:$I,"МіГ-29",'Таблиця 1'!$J:$J,"GBU-64")+SUMIFS('Таблиця 1'!$K:$K,'Таблиця 1'!$B:$B,$A363,'Таблиця 1'!$I:$I,"Су-25",'Таблиця 1'!$J:$J,"GBU-64")+SUMIFS('Таблиця 1'!$K:$K,'Таблиця 1'!$B:$B,$A363,'Таблиця 1'!$I:$I,"Су-27",'Таблиця 1'!$J:$J,"GBU-64"))</f>
        <v/>
      </c>
      <c r="O363">
        <f>IF($A363="","",SUMIFS('Таблиця 1'!$K:$K,'Таблиця 1'!$B:$B,$A363,'Таблиця 1'!$I:$I,"Mirage",'Таблиця 1'!$J:$J,"C-13")+SUMIFS('Таблиця 1'!$K:$K,'Таблиця 1'!$B:$B,$A363,'Таблиця 1'!$I:$I,"F-16",'Таблиця 1'!$J:$J,"C-13")+SUMIFS('Таблиця 1'!$K:$K,'Таблиця 1'!$B:$B,$A363,'Таблиця 1'!$I:$I,"МіГ-29",'Таблиця 1'!$J:$J,"C-13")+SUMIFS('Таблиця 1'!$K:$K,'Таблиця 1'!$B:$B,$A363,'Таблиця 1'!$I:$I,"Су-25",'Таблиця 1'!$J:$J,"C-13")+SUMIFS('Таблиця 1'!$K:$K,'Таблиця 1'!$B:$B,$A363,'Таблиця 1'!$I:$I,"Су-27",'Таблиця 1'!$J:$J,"C-13"))</f>
        <v/>
      </c>
      <c r="P363">
        <f>IF($A363="","",SUMIFS('Таблиця 1'!$K:$K,'Таблиця 1'!$B:$B,$A363,'Таблиця 1'!$I:$I,"Mirage",'Таблиця 1'!$J:$J,"MK-32")+SUMIFS('Таблиця 1'!$K:$K,'Таблиця 1'!$B:$B,$A363,'Таблиця 1'!$I:$I,"F-16",'Таблиця 1'!$J:$J,"MK-32")+SUMIFS('Таблиця 1'!$K:$K,'Таблиця 1'!$B:$B,$A363,'Таблиця 1'!$I:$I,"МіГ-29",'Таблиця 1'!$J:$J,"MK-32")+SUMIFS('Таблиця 1'!$K:$K,'Таблиця 1'!$B:$B,$A363,'Таблиця 1'!$I:$I,"Су-25",'Таблиця 1'!$J:$J,"MK-32")+SUMIFS('Таблиця 1'!$K:$K,'Таблиця 1'!$B:$B,$A363,'Таблиця 1'!$I:$I,"Су-27",'Таблиця 1'!$J:$J,"MK-32"))</f>
        <v/>
      </c>
      <c r="Q363">
        <f>IF($A363="","",SUMIFS('Таблиця 1'!$K:$K,'Таблиця 1'!$B:$B,$A363,'Таблиця 1'!$I:$I,"Mirage",'Таблиця 1'!$J:$J,"MK-24")+SUMIFS('Таблиця 1'!$K:$K,'Таблиця 1'!$B:$B,$A363,'Таблиця 1'!$I:$I,"F-16",'Таблиця 1'!$J:$J,"MK-24")+SUMIFS('Таблиця 1'!$K:$K,'Таблиця 1'!$B:$B,$A363,'Таблиця 1'!$I:$I,"МіГ-29",'Таблиця 1'!$J:$J,"MK-24")+SUMIFS('Таблиця 1'!$K:$K,'Таблиця 1'!$B:$B,$A363,'Таблиця 1'!$I:$I,"Су-25",'Таблиця 1'!$J:$J,"MK-24")+SUMIFS('Таблиця 1'!$K:$K,'Таблиця 1'!$B:$B,$A363,'Таблиця 1'!$I:$I,"Су-27",'Таблиця 1'!$J:$J,"MK-24"))</f>
        <v/>
      </c>
      <c r="R363">
        <f>IF($A363="","",COUNTIFS('Таблиця 1'!$B:$B,$A363,'Таблиця 1'!$I:$I,"Mirage",'Таблиця 1'!$L:$L,"Уражено")+COUNTIFS('Таблиця 1'!$B:$B,$A363,'Таблиця 1'!$I:$I,"F-16",'Таблиця 1'!$L:$L,"Уражено")+COUNTIFS('Таблиця 1'!$B:$B,$A363,'Таблиця 1'!$I:$I,"МіГ-29",'Таблиця 1'!$L:$L,"Уражено")+COUNTIFS('Таблиця 1'!$B:$B,$A363,'Таблиця 1'!$I:$I,"Су-25",'Таблиця 1'!$L:$L,"Уражено")+COUNTIFS('Таблиця 1'!$B:$B,$A363,'Таблиця 1'!$I:$I,"Су-27",'Таблиця 1'!$L:$L,"Уражено"))</f>
        <v/>
      </c>
      <c r="S363">
        <f>IF($A363="","",COUNTIFS('Таблиця 1'!$B:$B,$A363,'Таблиця 1'!$I:$I,"Mirage",'Таблиця 1'!$L:$L,"НЕ уражено")+COUNTIFS('Таблиця 1'!$B:$B,$A363,'Таблиця 1'!$I:$I,"F-16",'Таблиця 1'!$L:$L,"НЕ уражено")+COUNTIFS('Таблиця 1'!$B:$B,$A363,'Таблиця 1'!$I:$I,"МіГ-29",'Таблиця 1'!$L:$L,"НЕ уражено")+COUNTIFS('Таблиця 1'!$B:$B,$A363,'Таблиця 1'!$I:$I,"Су-25",'Таблиця 1'!$L:$L,"НЕ уражено")+COUNTIFS('Таблиця 1'!$B:$B,$A363,'Таблиця 1'!$I:$I,"Су-27",'Таблиця 1'!$L:$L,"НЕ уражено"))</f>
        <v/>
      </c>
      <c r="T363">
        <f>IF($A363="","",COUNTIFS('Таблиця 1'!$B:$B,$A363,'Таблиця 1'!$I:$I,"Mirage",'Таблиця 1'!$L:$L,"Дорозвідується")+COUNTIFS('Таблиця 1'!$B:$B,$A363,'Таблиця 1'!$I:$I,"F-16",'Таблиця 1'!$L:$L,"Дорозвідується")+COUNTIFS('Таблиця 1'!$B:$B,$A363,'Таблиця 1'!$I:$I,"МіГ-29",'Таблиця 1'!$L:$L,"Дорозвідується")+COUNTIFS('Таблиця 1'!$B:$B,$A363,'Таблиця 1'!$I:$I,"Су-25",'Таблиця 1'!$L:$L,"Дорозвідується")+COUNTIFS('Таблиця 1'!$B:$B,$A363,'Таблиця 1'!$I:$I,"Су-27",'Таблиця 1'!$L:$L,"Дорозвідується"))</f>
        <v/>
      </c>
    </row>
    <row r="364">
      <c r="A364" s="273">
        <f>IF(A363="","",IF(A363+1&gt;MAX('Таблиця 1'!$B:$B),"",A363+1))</f>
        <v/>
      </c>
      <c r="B364">
        <f>IF($A364="","",COUNTIFS('Таблиця 1'!$B:$B,$A364,'Таблиця 1'!$I:$I,"Mirage")+COUNTIFS('Таблиця 1'!$B:$B,$A364,'Таблиця 1'!$I:$I,"F-16")+COUNTIFS('Таблиця 1'!$B:$B,$A364,'Таблиця 1'!$I:$I,"МіГ-29")+COUNTIFS('Таблиця 1'!$B:$B,$A364,'Таблиця 1'!$I:$I,"Су-25")+COUNTIFS('Таблиця 1'!$B:$B,$A364,'Таблиця 1'!$I:$I,"Су-27"))</f>
        <v/>
      </c>
      <c r="C364">
        <f>IF($A364="","",COUNTIFS('Таблиця 1'!$B:$B,$A364,'Таблиця 1'!$I:$I,"Mirage"))</f>
        <v/>
      </c>
      <c r="D364">
        <f>IF($A364="","",COUNTIFS('Таблиця 1'!$B:$B,$A364,'Таблиця 1'!$I:$I,"F-16"))</f>
        <v/>
      </c>
      <c r="E364">
        <f>IF($A364="","",COUNTIFS('Таблиця 1'!$B:$B,$A364,'Таблиця 1'!$I:$I,"МіГ-29"))</f>
        <v/>
      </c>
      <c r="F364">
        <f>IF($A364="","",COUNTIFS('Таблиця 1'!$B:$B,$A364,'Таблиця 1'!$I:$I,"Су-25"))</f>
        <v/>
      </c>
      <c r="G364">
        <f>IF($A364="","",COUNTIFS('Таблиця 1'!$B:$B,$A364,'Таблиця 1'!$I:$I,"Су-27"))</f>
        <v/>
      </c>
      <c r="H364">
        <f>IF($A364="","",SUMIFS('Таблиця 1'!$K:$K,'Таблиця 1'!$B:$B,$A364,'Таблиця 1'!$I:$I,"Mirage",'Таблиця 1'!$J:$J,"AGM-88")+SUMIFS('Таблиця 1'!$K:$K,'Таблиця 1'!$B:$B,$A364,'Таблиця 1'!$I:$I,"F-16",'Таблиця 1'!$J:$J,"AGM-88")+SUMIFS('Таблиця 1'!$K:$K,'Таблиця 1'!$B:$B,$A364,'Таблиця 1'!$I:$I,"МіГ-29",'Таблиця 1'!$J:$J,"AGM-88")+SUMIFS('Таблиця 1'!$K:$K,'Таблиця 1'!$B:$B,$A364,'Таблиця 1'!$I:$I,"Су-25",'Таблиця 1'!$J:$J,"AGM-88")+SUMIFS('Таблиця 1'!$K:$K,'Таблиця 1'!$B:$B,$A364,'Таблиця 1'!$I:$I,"Су-27",'Таблиця 1'!$J:$J,"AGM-88"))</f>
        <v/>
      </c>
      <c r="I364">
        <f>IF($A364="","",SUMIFS('Таблиця 1'!$K:$K,'Таблиця 1'!$B:$B,$A364,'Таблиця 1'!$I:$I,"Mirage",'Таблиця 1'!$J:$J,"AASM-250")+SUMIFS('Таблиця 1'!$K:$K,'Таблиця 1'!$B:$B,$A364,'Таблиця 1'!$I:$I,"F-16",'Таблиця 1'!$J:$J,"AASM-250")+SUMIFS('Таблиця 1'!$K:$K,'Таблиця 1'!$B:$B,$A364,'Таблиця 1'!$I:$I,"МіГ-29",'Таблиця 1'!$J:$J,"AASM-250")+SUMIFS('Таблиця 1'!$K:$K,'Таблиця 1'!$B:$B,$A364,'Таблиця 1'!$I:$I,"Су-25",'Таблиця 1'!$J:$J,"AASM-250")+SUMIFS('Таблиця 1'!$K:$K,'Таблиця 1'!$B:$B,$A364,'Таблиця 1'!$I:$I,"Су-27",'Таблиця 1'!$J:$J,"AASM-250"))</f>
        <v/>
      </c>
      <c r="J364">
        <f>IF($A364="","",SUMIFS('Таблиця 1'!$K:$K,'Таблиця 1'!$B:$B,$A364,'Таблиця 1'!$I:$I,"Mirage",'Таблиця 1'!$J:$J,"GBU-39")+SUMIFS('Таблиця 1'!$K:$K,'Таблиця 1'!$B:$B,$A364,'Таблиця 1'!$I:$I,"F-16",'Таблиця 1'!$J:$J,"GBU-39")+SUMIFS('Таблиця 1'!$K:$K,'Таблиця 1'!$B:$B,$A364,'Таблиця 1'!$I:$I,"МіГ-29",'Таблиця 1'!$J:$J,"GBU-39")+SUMIFS('Таблиця 1'!$K:$K,'Таблиця 1'!$B:$B,$A364,'Таблиця 1'!$I:$I,"Су-25",'Таблиця 1'!$J:$J,"GBU-39")+SUMIFS('Таблиця 1'!$K:$K,'Таблиця 1'!$B:$B,$A364,'Таблиця 1'!$I:$I,"Су-27",'Таблиця 1'!$J:$J,"GBU-39"))</f>
        <v/>
      </c>
      <c r="K364">
        <f>IF($A364="","",SUMIFS('Таблиця 1'!$K:$K,'Таблиця 1'!$B:$B,$A364,'Таблиця 1'!$I:$I,"Mirage",'Таблиця 1'!$J:$J,"BLU-140")+SUMIFS('Таблиця 1'!$K:$K,'Таблиця 1'!$B:$B,$A364,'Таблиця 1'!$I:$I,"F-16",'Таблиця 1'!$J:$J,"BLU-140")+SUMIFS('Таблиця 1'!$K:$K,'Таблиця 1'!$B:$B,$A364,'Таблиця 1'!$I:$I,"МіГ-29",'Таблиця 1'!$J:$J,"BLU-140")+SUMIFS('Таблиця 1'!$K:$K,'Таблиця 1'!$B:$B,$A364,'Таблиця 1'!$I:$I,"Су-25",'Таблиця 1'!$J:$J,"BLU-140")+SUMIFS('Таблиця 1'!$K:$K,'Таблиця 1'!$B:$B,$A364,'Таблиця 1'!$I:$I,"Су-27",'Таблиця 1'!$J:$J,"BLU-140"))</f>
        <v/>
      </c>
      <c r="L364">
        <f>IF($A364="","",SUMIFS('Таблиця 1'!$K:$K,'Таблиця 1'!$B:$B,$A364,'Таблиця 1'!$I:$I,"Mirage",'Таблиця 1'!$J:$J,"GBU-65")+SUMIFS('Таблиця 1'!$K:$K,'Таблиця 1'!$B:$B,$A364,'Таблиця 1'!$I:$I,"F-16",'Таблиця 1'!$J:$J,"GBU-65")+SUMIFS('Таблиця 1'!$K:$K,'Таблиця 1'!$B:$B,$A364,'Таблиця 1'!$I:$I,"МіГ-29",'Таблиця 1'!$J:$J,"GBU-65")+SUMIFS('Таблиця 1'!$K:$K,'Таблиця 1'!$B:$B,$A364,'Таблиця 1'!$I:$I,"Су-25",'Таблиця 1'!$J:$J,"GBU-65")+SUMIFS('Таблиця 1'!$K:$K,'Таблиця 1'!$B:$B,$A364,'Таблиця 1'!$I:$I,"Су-27",'Таблиця 1'!$J:$J,"GBU-65"))</f>
        <v/>
      </c>
      <c r="M364">
        <f>IF($A364="","",SUMIFS('Таблиця 1'!$K:$K,'Таблиця 1'!$B:$B,$A364,'Таблиця 1'!$I:$I,"Mirage",'Таблиця 1'!$J:$J,"GBU-62")+SUMIFS('Таблиця 1'!$K:$K,'Таблиця 1'!$B:$B,$A364,'Таблиця 1'!$I:$I,"F-16",'Таблиця 1'!$J:$J,"GBU-62")+SUMIFS('Таблиця 1'!$K:$K,'Таблиця 1'!$B:$B,$A364,'Таблиця 1'!$I:$I,"МіГ-29",'Таблиця 1'!$J:$J,"GBU-62")+SUMIFS('Таблиця 1'!$K:$K,'Таблиця 1'!$B:$B,$A364,'Таблиця 1'!$I:$I,"Су-25",'Таблиця 1'!$J:$J,"GBU-62")+SUMIFS('Таблиця 1'!$K:$K,'Таблиця 1'!$B:$B,$A364,'Таблиця 1'!$I:$I,"Су-27",'Таблиця 1'!$J:$J,"GBU-62"))</f>
        <v/>
      </c>
      <c r="N364">
        <f>IF($A364="","",SUMIFS('Таблиця 1'!$K:$K,'Таблиця 1'!$B:$B,$A364,'Таблиця 1'!$I:$I,"Mirage",'Таблиця 1'!$J:$J,"GBU-64")+SUMIFS('Таблиця 1'!$K:$K,'Таблиця 1'!$B:$B,$A364,'Таблиця 1'!$I:$I,"F-16",'Таблиця 1'!$J:$J,"GBU-64")+SUMIFS('Таблиця 1'!$K:$K,'Таблиця 1'!$B:$B,$A364,'Таблиця 1'!$I:$I,"МіГ-29",'Таблиця 1'!$J:$J,"GBU-64")+SUMIFS('Таблиця 1'!$K:$K,'Таблиця 1'!$B:$B,$A364,'Таблиця 1'!$I:$I,"Су-25",'Таблиця 1'!$J:$J,"GBU-64")+SUMIFS('Таблиця 1'!$K:$K,'Таблиця 1'!$B:$B,$A364,'Таблиця 1'!$I:$I,"Су-27",'Таблиця 1'!$J:$J,"GBU-64"))</f>
        <v/>
      </c>
      <c r="O364">
        <f>IF($A364="","",SUMIFS('Таблиця 1'!$K:$K,'Таблиця 1'!$B:$B,$A364,'Таблиця 1'!$I:$I,"Mirage",'Таблиця 1'!$J:$J,"C-13")+SUMIFS('Таблиця 1'!$K:$K,'Таблиця 1'!$B:$B,$A364,'Таблиця 1'!$I:$I,"F-16",'Таблиця 1'!$J:$J,"C-13")+SUMIFS('Таблиця 1'!$K:$K,'Таблиця 1'!$B:$B,$A364,'Таблиця 1'!$I:$I,"МіГ-29",'Таблиця 1'!$J:$J,"C-13")+SUMIFS('Таблиця 1'!$K:$K,'Таблиця 1'!$B:$B,$A364,'Таблиця 1'!$I:$I,"Су-25",'Таблиця 1'!$J:$J,"C-13")+SUMIFS('Таблиця 1'!$K:$K,'Таблиця 1'!$B:$B,$A364,'Таблиця 1'!$I:$I,"Су-27",'Таблиця 1'!$J:$J,"C-13"))</f>
        <v/>
      </c>
      <c r="P364">
        <f>IF($A364="","",SUMIFS('Таблиця 1'!$K:$K,'Таблиця 1'!$B:$B,$A364,'Таблиця 1'!$I:$I,"Mirage",'Таблиця 1'!$J:$J,"MK-32")+SUMIFS('Таблиця 1'!$K:$K,'Таблиця 1'!$B:$B,$A364,'Таблиця 1'!$I:$I,"F-16",'Таблиця 1'!$J:$J,"MK-32")+SUMIFS('Таблиця 1'!$K:$K,'Таблиця 1'!$B:$B,$A364,'Таблиця 1'!$I:$I,"МіГ-29",'Таблиця 1'!$J:$J,"MK-32")+SUMIFS('Таблиця 1'!$K:$K,'Таблиця 1'!$B:$B,$A364,'Таблиця 1'!$I:$I,"Су-25",'Таблиця 1'!$J:$J,"MK-32")+SUMIFS('Таблиця 1'!$K:$K,'Таблиця 1'!$B:$B,$A364,'Таблиця 1'!$I:$I,"Су-27",'Таблиця 1'!$J:$J,"MK-32"))</f>
        <v/>
      </c>
      <c r="Q364">
        <f>IF($A364="","",SUMIFS('Таблиця 1'!$K:$K,'Таблиця 1'!$B:$B,$A364,'Таблиця 1'!$I:$I,"Mirage",'Таблиця 1'!$J:$J,"MK-24")+SUMIFS('Таблиця 1'!$K:$K,'Таблиця 1'!$B:$B,$A364,'Таблиця 1'!$I:$I,"F-16",'Таблиця 1'!$J:$J,"MK-24")+SUMIFS('Таблиця 1'!$K:$K,'Таблиця 1'!$B:$B,$A364,'Таблиця 1'!$I:$I,"МіГ-29",'Таблиця 1'!$J:$J,"MK-24")+SUMIFS('Таблиця 1'!$K:$K,'Таблиця 1'!$B:$B,$A364,'Таблиця 1'!$I:$I,"Су-25",'Таблиця 1'!$J:$J,"MK-24")+SUMIFS('Таблиця 1'!$K:$K,'Таблиця 1'!$B:$B,$A364,'Таблиця 1'!$I:$I,"Су-27",'Таблиця 1'!$J:$J,"MK-24"))</f>
        <v/>
      </c>
      <c r="R364">
        <f>IF($A364="","",COUNTIFS('Таблиця 1'!$B:$B,$A364,'Таблиця 1'!$I:$I,"Mirage",'Таблиця 1'!$L:$L,"Уражено")+COUNTIFS('Таблиця 1'!$B:$B,$A364,'Таблиця 1'!$I:$I,"F-16",'Таблиця 1'!$L:$L,"Уражено")+COUNTIFS('Таблиця 1'!$B:$B,$A364,'Таблиця 1'!$I:$I,"МіГ-29",'Таблиця 1'!$L:$L,"Уражено")+COUNTIFS('Таблиця 1'!$B:$B,$A364,'Таблиця 1'!$I:$I,"Су-25",'Таблиця 1'!$L:$L,"Уражено")+COUNTIFS('Таблиця 1'!$B:$B,$A364,'Таблиця 1'!$I:$I,"Су-27",'Таблиця 1'!$L:$L,"Уражено"))</f>
        <v/>
      </c>
      <c r="S364">
        <f>IF($A364="","",COUNTIFS('Таблиця 1'!$B:$B,$A364,'Таблиця 1'!$I:$I,"Mirage",'Таблиця 1'!$L:$L,"НЕ уражено")+COUNTIFS('Таблиця 1'!$B:$B,$A364,'Таблиця 1'!$I:$I,"F-16",'Таблиця 1'!$L:$L,"НЕ уражено")+COUNTIFS('Таблиця 1'!$B:$B,$A364,'Таблиця 1'!$I:$I,"МіГ-29",'Таблиця 1'!$L:$L,"НЕ уражено")+COUNTIFS('Таблиця 1'!$B:$B,$A364,'Таблиця 1'!$I:$I,"Су-25",'Таблиця 1'!$L:$L,"НЕ уражено")+COUNTIFS('Таблиця 1'!$B:$B,$A364,'Таблиця 1'!$I:$I,"Су-27",'Таблиця 1'!$L:$L,"НЕ уражено"))</f>
        <v/>
      </c>
      <c r="T364">
        <f>IF($A364="","",COUNTIFS('Таблиця 1'!$B:$B,$A364,'Таблиця 1'!$I:$I,"Mirage",'Таблиця 1'!$L:$L,"Дорозвідується")+COUNTIFS('Таблиця 1'!$B:$B,$A364,'Таблиця 1'!$I:$I,"F-16",'Таблиця 1'!$L:$L,"Дорозвідується")+COUNTIFS('Таблиця 1'!$B:$B,$A364,'Таблиця 1'!$I:$I,"МіГ-29",'Таблиця 1'!$L:$L,"Дорозвідується")+COUNTIFS('Таблиця 1'!$B:$B,$A364,'Таблиця 1'!$I:$I,"Су-25",'Таблиця 1'!$L:$L,"Дорозвідується")+COUNTIFS('Таблиця 1'!$B:$B,$A364,'Таблиця 1'!$I:$I,"Су-27",'Таблиця 1'!$L:$L,"Дорозвідується"))</f>
        <v/>
      </c>
    </row>
    <row r="365">
      <c r="A365" s="273">
        <f>IF(A364="","",IF(A364+1&gt;MAX('Таблиця 1'!$B:$B),"",A364+1))</f>
        <v/>
      </c>
      <c r="B365">
        <f>IF($A365="","",COUNTIFS('Таблиця 1'!$B:$B,$A365,'Таблиця 1'!$I:$I,"Mirage")+COUNTIFS('Таблиця 1'!$B:$B,$A365,'Таблиця 1'!$I:$I,"F-16")+COUNTIFS('Таблиця 1'!$B:$B,$A365,'Таблиця 1'!$I:$I,"МіГ-29")+COUNTIFS('Таблиця 1'!$B:$B,$A365,'Таблиця 1'!$I:$I,"Су-25")+COUNTIFS('Таблиця 1'!$B:$B,$A365,'Таблиця 1'!$I:$I,"Су-27"))</f>
        <v/>
      </c>
      <c r="C365">
        <f>IF($A365="","",COUNTIFS('Таблиця 1'!$B:$B,$A365,'Таблиця 1'!$I:$I,"Mirage"))</f>
        <v/>
      </c>
      <c r="D365">
        <f>IF($A365="","",COUNTIFS('Таблиця 1'!$B:$B,$A365,'Таблиця 1'!$I:$I,"F-16"))</f>
        <v/>
      </c>
      <c r="E365">
        <f>IF($A365="","",COUNTIFS('Таблиця 1'!$B:$B,$A365,'Таблиця 1'!$I:$I,"МіГ-29"))</f>
        <v/>
      </c>
      <c r="F365">
        <f>IF($A365="","",COUNTIFS('Таблиця 1'!$B:$B,$A365,'Таблиця 1'!$I:$I,"Су-25"))</f>
        <v/>
      </c>
      <c r="G365">
        <f>IF($A365="","",COUNTIFS('Таблиця 1'!$B:$B,$A365,'Таблиця 1'!$I:$I,"Су-27"))</f>
        <v/>
      </c>
      <c r="H365">
        <f>IF($A365="","",SUMIFS('Таблиця 1'!$K:$K,'Таблиця 1'!$B:$B,$A365,'Таблиця 1'!$I:$I,"Mirage",'Таблиця 1'!$J:$J,"AGM-88")+SUMIFS('Таблиця 1'!$K:$K,'Таблиця 1'!$B:$B,$A365,'Таблиця 1'!$I:$I,"F-16",'Таблиця 1'!$J:$J,"AGM-88")+SUMIFS('Таблиця 1'!$K:$K,'Таблиця 1'!$B:$B,$A365,'Таблиця 1'!$I:$I,"МіГ-29",'Таблиця 1'!$J:$J,"AGM-88")+SUMIFS('Таблиця 1'!$K:$K,'Таблиця 1'!$B:$B,$A365,'Таблиця 1'!$I:$I,"Су-25",'Таблиця 1'!$J:$J,"AGM-88")+SUMIFS('Таблиця 1'!$K:$K,'Таблиця 1'!$B:$B,$A365,'Таблиця 1'!$I:$I,"Су-27",'Таблиця 1'!$J:$J,"AGM-88"))</f>
        <v/>
      </c>
      <c r="I365">
        <f>IF($A365="","",SUMIFS('Таблиця 1'!$K:$K,'Таблиця 1'!$B:$B,$A365,'Таблиця 1'!$I:$I,"Mirage",'Таблиця 1'!$J:$J,"AASM-250")+SUMIFS('Таблиця 1'!$K:$K,'Таблиця 1'!$B:$B,$A365,'Таблиця 1'!$I:$I,"F-16",'Таблиця 1'!$J:$J,"AASM-250")+SUMIFS('Таблиця 1'!$K:$K,'Таблиця 1'!$B:$B,$A365,'Таблиця 1'!$I:$I,"МіГ-29",'Таблиця 1'!$J:$J,"AASM-250")+SUMIFS('Таблиця 1'!$K:$K,'Таблиця 1'!$B:$B,$A365,'Таблиця 1'!$I:$I,"Су-25",'Таблиця 1'!$J:$J,"AASM-250")+SUMIFS('Таблиця 1'!$K:$K,'Таблиця 1'!$B:$B,$A365,'Таблиця 1'!$I:$I,"Су-27",'Таблиця 1'!$J:$J,"AASM-250"))</f>
        <v/>
      </c>
      <c r="J365">
        <f>IF($A365="","",SUMIFS('Таблиця 1'!$K:$K,'Таблиця 1'!$B:$B,$A365,'Таблиця 1'!$I:$I,"Mirage",'Таблиця 1'!$J:$J,"GBU-39")+SUMIFS('Таблиця 1'!$K:$K,'Таблиця 1'!$B:$B,$A365,'Таблиця 1'!$I:$I,"F-16",'Таблиця 1'!$J:$J,"GBU-39")+SUMIFS('Таблиця 1'!$K:$K,'Таблиця 1'!$B:$B,$A365,'Таблиця 1'!$I:$I,"МіГ-29",'Таблиця 1'!$J:$J,"GBU-39")+SUMIFS('Таблиця 1'!$K:$K,'Таблиця 1'!$B:$B,$A365,'Таблиця 1'!$I:$I,"Су-25",'Таблиця 1'!$J:$J,"GBU-39")+SUMIFS('Таблиця 1'!$K:$K,'Таблиця 1'!$B:$B,$A365,'Таблиця 1'!$I:$I,"Су-27",'Таблиця 1'!$J:$J,"GBU-39"))</f>
        <v/>
      </c>
      <c r="K365">
        <f>IF($A365="","",SUMIFS('Таблиця 1'!$K:$K,'Таблиця 1'!$B:$B,$A365,'Таблиця 1'!$I:$I,"Mirage",'Таблиця 1'!$J:$J,"BLU-140")+SUMIFS('Таблиця 1'!$K:$K,'Таблиця 1'!$B:$B,$A365,'Таблиця 1'!$I:$I,"F-16",'Таблиця 1'!$J:$J,"BLU-140")+SUMIFS('Таблиця 1'!$K:$K,'Таблиця 1'!$B:$B,$A365,'Таблиця 1'!$I:$I,"МіГ-29",'Таблиця 1'!$J:$J,"BLU-140")+SUMIFS('Таблиця 1'!$K:$K,'Таблиця 1'!$B:$B,$A365,'Таблиця 1'!$I:$I,"Су-25",'Таблиця 1'!$J:$J,"BLU-140")+SUMIFS('Таблиця 1'!$K:$K,'Таблиця 1'!$B:$B,$A365,'Таблиця 1'!$I:$I,"Су-27",'Таблиця 1'!$J:$J,"BLU-140"))</f>
        <v/>
      </c>
      <c r="L365">
        <f>IF($A365="","",SUMIFS('Таблиця 1'!$K:$K,'Таблиця 1'!$B:$B,$A365,'Таблиця 1'!$I:$I,"Mirage",'Таблиця 1'!$J:$J,"GBU-65")+SUMIFS('Таблиця 1'!$K:$K,'Таблиця 1'!$B:$B,$A365,'Таблиця 1'!$I:$I,"F-16",'Таблиця 1'!$J:$J,"GBU-65")+SUMIFS('Таблиця 1'!$K:$K,'Таблиця 1'!$B:$B,$A365,'Таблиця 1'!$I:$I,"МіГ-29",'Таблиця 1'!$J:$J,"GBU-65")+SUMIFS('Таблиця 1'!$K:$K,'Таблиця 1'!$B:$B,$A365,'Таблиця 1'!$I:$I,"Су-25",'Таблиця 1'!$J:$J,"GBU-65")+SUMIFS('Таблиця 1'!$K:$K,'Таблиця 1'!$B:$B,$A365,'Таблиця 1'!$I:$I,"Су-27",'Таблиця 1'!$J:$J,"GBU-65"))</f>
        <v/>
      </c>
      <c r="M365">
        <f>IF($A365="","",SUMIFS('Таблиця 1'!$K:$K,'Таблиця 1'!$B:$B,$A365,'Таблиця 1'!$I:$I,"Mirage",'Таблиця 1'!$J:$J,"GBU-62")+SUMIFS('Таблиця 1'!$K:$K,'Таблиця 1'!$B:$B,$A365,'Таблиця 1'!$I:$I,"F-16",'Таблиця 1'!$J:$J,"GBU-62")+SUMIFS('Таблиця 1'!$K:$K,'Таблиця 1'!$B:$B,$A365,'Таблиця 1'!$I:$I,"МіГ-29",'Таблиця 1'!$J:$J,"GBU-62")+SUMIFS('Таблиця 1'!$K:$K,'Таблиця 1'!$B:$B,$A365,'Таблиця 1'!$I:$I,"Су-25",'Таблиця 1'!$J:$J,"GBU-62")+SUMIFS('Таблиця 1'!$K:$K,'Таблиця 1'!$B:$B,$A365,'Таблиця 1'!$I:$I,"Су-27",'Таблиця 1'!$J:$J,"GBU-62"))</f>
        <v/>
      </c>
      <c r="N365">
        <f>IF($A365="","",SUMIFS('Таблиця 1'!$K:$K,'Таблиця 1'!$B:$B,$A365,'Таблиця 1'!$I:$I,"Mirage",'Таблиця 1'!$J:$J,"GBU-64")+SUMIFS('Таблиця 1'!$K:$K,'Таблиця 1'!$B:$B,$A365,'Таблиця 1'!$I:$I,"F-16",'Таблиця 1'!$J:$J,"GBU-64")+SUMIFS('Таблиця 1'!$K:$K,'Таблиця 1'!$B:$B,$A365,'Таблиця 1'!$I:$I,"МіГ-29",'Таблиця 1'!$J:$J,"GBU-64")+SUMIFS('Таблиця 1'!$K:$K,'Таблиця 1'!$B:$B,$A365,'Таблиця 1'!$I:$I,"Су-25",'Таблиця 1'!$J:$J,"GBU-64")+SUMIFS('Таблиця 1'!$K:$K,'Таблиця 1'!$B:$B,$A365,'Таблиця 1'!$I:$I,"Су-27",'Таблиця 1'!$J:$J,"GBU-64"))</f>
        <v/>
      </c>
      <c r="O365">
        <f>IF($A365="","",SUMIFS('Таблиця 1'!$K:$K,'Таблиця 1'!$B:$B,$A365,'Таблиця 1'!$I:$I,"Mirage",'Таблиця 1'!$J:$J,"C-13")+SUMIFS('Таблиця 1'!$K:$K,'Таблиця 1'!$B:$B,$A365,'Таблиця 1'!$I:$I,"F-16",'Таблиця 1'!$J:$J,"C-13")+SUMIFS('Таблиця 1'!$K:$K,'Таблиця 1'!$B:$B,$A365,'Таблиця 1'!$I:$I,"МіГ-29",'Таблиця 1'!$J:$J,"C-13")+SUMIFS('Таблиця 1'!$K:$K,'Таблиця 1'!$B:$B,$A365,'Таблиця 1'!$I:$I,"Су-25",'Таблиця 1'!$J:$J,"C-13")+SUMIFS('Таблиця 1'!$K:$K,'Таблиця 1'!$B:$B,$A365,'Таблиця 1'!$I:$I,"Су-27",'Таблиця 1'!$J:$J,"C-13"))</f>
        <v/>
      </c>
      <c r="P365">
        <f>IF($A365="","",SUMIFS('Таблиця 1'!$K:$K,'Таблиця 1'!$B:$B,$A365,'Таблиця 1'!$I:$I,"Mirage",'Таблиця 1'!$J:$J,"MK-32")+SUMIFS('Таблиця 1'!$K:$K,'Таблиця 1'!$B:$B,$A365,'Таблиця 1'!$I:$I,"F-16",'Таблиця 1'!$J:$J,"MK-32")+SUMIFS('Таблиця 1'!$K:$K,'Таблиця 1'!$B:$B,$A365,'Таблиця 1'!$I:$I,"МіГ-29",'Таблиця 1'!$J:$J,"MK-32")+SUMIFS('Таблиця 1'!$K:$K,'Таблиця 1'!$B:$B,$A365,'Таблиця 1'!$I:$I,"Су-25",'Таблиця 1'!$J:$J,"MK-32")+SUMIFS('Таблиця 1'!$K:$K,'Таблиця 1'!$B:$B,$A365,'Таблиця 1'!$I:$I,"Су-27",'Таблиця 1'!$J:$J,"MK-32"))</f>
        <v/>
      </c>
      <c r="Q365">
        <f>IF($A365="","",SUMIFS('Таблиця 1'!$K:$K,'Таблиця 1'!$B:$B,$A365,'Таблиця 1'!$I:$I,"Mirage",'Таблиця 1'!$J:$J,"MK-24")+SUMIFS('Таблиця 1'!$K:$K,'Таблиця 1'!$B:$B,$A365,'Таблиця 1'!$I:$I,"F-16",'Таблиця 1'!$J:$J,"MK-24")+SUMIFS('Таблиця 1'!$K:$K,'Таблиця 1'!$B:$B,$A365,'Таблиця 1'!$I:$I,"МіГ-29",'Таблиця 1'!$J:$J,"MK-24")+SUMIFS('Таблиця 1'!$K:$K,'Таблиця 1'!$B:$B,$A365,'Таблиця 1'!$I:$I,"Су-25",'Таблиця 1'!$J:$J,"MK-24")+SUMIFS('Таблиця 1'!$K:$K,'Таблиця 1'!$B:$B,$A365,'Таблиця 1'!$I:$I,"Су-27",'Таблиця 1'!$J:$J,"MK-24"))</f>
        <v/>
      </c>
      <c r="R365">
        <f>IF($A365="","",COUNTIFS('Таблиця 1'!$B:$B,$A365,'Таблиця 1'!$I:$I,"Mirage",'Таблиця 1'!$L:$L,"Уражено")+COUNTIFS('Таблиця 1'!$B:$B,$A365,'Таблиця 1'!$I:$I,"F-16",'Таблиця 1'!$L:$L,"Уражено")+COUNTIFS('Таблиця 1'!$B:$B,$A365,'Таблиця 1'!$I:$I,"МіГ-29",'Таблиця 1'!$L:$L,"Уражено")+COUNTIFS('Таблиця 1'!$B:$B,$A365,'Таблиця 1'!$I:$I,"Су-25",'Таблиця 1'!$L:$L,"Уражено")+COUNTIFS('Таблиця 1'!$B:$B,$A365,'Таблиця 1'!$I:$I,"Су-27",'Таблиця 1'!$L:$L,"Уражено"))</f>
        <v/>
      </c>
      <c r="S365">
        <f>IF($A365="","",COUNTIFS('Таблиця 1'!$B:$B,$A365,'Таблиця 1'!$I:$I,"Mirage",'Таблиця 1'!$L:$L,"НЕ уражено")+COUNTIFS('Таблиця 1'!$B:$B,$A365,'Таблиця 1'!$I:$I,"F-16",'Таблиця 1'!$L:$L,"НЕ уражено")+COUNTIFS('Таблиця 1'!$B:$B,$A365,'Таблиця 1'!$I:$I,"МіГ-29",'Таблиця 1'!$L:$L,"НЕ уражено")+COUNTIFS('Таблиця 1'!$B:$B,$A365,'Таблиця 1'!$I:$I,"Су-25",'Таблиця 1'!$L:$L,"НЕ уражено")+COUNTIFS('Таблиця 1'!$B:$B,$A365,'Таблиця 1'!$I:$I,"Су-27",'Таблиця 1'!$L:$L,"НЕ уражено"))</f>
        <v/>
      </c>
      <c r="T365">
        <f>IF($A365="","",COUNTIFS('Таблиця 1'!$B:$B,$A365,'Таблиця 1'!$I:$I,"Mirage",'Таблиця 1'!$L:$L,"Дорозвідується")+COUNTIFS('Таблиця 1'!$B:$B,$A365,'Таблиця 1'!$I:$I,"F-16",'Таблиця 1'!$L:$L,"Дорозвідується")+COUNTIFS('Таблиця 1'!$B:$B,$A365,'Таблиця 1'!$I:$I,"МіГ-29",'Таблиця 1'!$L:$L,"Дорозвідується")+COUNTIFS('Таблиця 1'!$B:$B,$A365,'Таблиця 1'!$I:$I,"Су-25",'Таблиця 1'!$L:$L,"Дорозвідується")+COUNTIFS('Таблиця 1'!$B:$B,$A365,'Таблиця 1'!$I:$I,"Су-27",'Таблиця 1'!$L:$L,"Дорозвідується"))</f>
        <v/>
      </c>
    </row>
    <row r="366">
      <c r="A366" s="273">
        <f>IF(A365="","",IF(A365+1&gt;MAX('Таблиця 1'!$B:$B),"",A365+1))</f>
        <v/>
      </c>
      <c r="B366">
        <f>IF($A366="","",COUNTIFS('Таблиця 1'!$B:$B,$A366,'Таблиця 1'!$I:$I,"Mirage")+COUNTIFS('Таблиця 1'!$B:$B,$A366,'Таблиця 1'!$I:$I,"F-16")+COUNTIFS('Таблиця 1'!$B:$B,$A366,'Таблиця 1'!$I:$I,"МіГ-29")+COUNTIFS('Таблиця 1'!$B:$B,$A366,'Таблиця 1'!$I:$I,"Су-25")+COUNTIFS('Таблиця 1'!$B:$B,$A366,'Таблиця 1'!$I:$I,"Су-27"))</f>
        <v/>
      </c>
      <c r="C366">
        <f>IF($A366="","",COUNTIFS('Таблиця 1'!$B:$B,$A366,'Таблиця 1'!$I:$I,"Mirage"))</f>
        <v/>
      </c>
      <c r="D366">
        <f>IF($A366="","",COUNTIFS('Таблиця 1'!$B:$B,$A366,'Таблиця 1'!$I:$I,"F-16"))</f>
        <v/>
      </c>
      <c r="E366">
        <f>IF($A366="","",COUNTIFS('Таблиця 1'!$B:$B,$A366,'Таблиця 1'!$I:$I,"МіГ-29"))</f>
        <v/>
      </c>
      <c r="F366">
        <f>IF($A366="","",COUNTIFS('Таблиця 1'!$B:$B,$A366,'Таблиця 1'!$I:$I,"Су-25"))</f>
        <v/>
      </c>
      <c r="G366">
        <f>IF($A366="","",COUNTIFS('Таблиця 1'!$B:$B,$A366,'Таблиця 1'!$I:$I,"Су-27"))</f>
        <v/>
      </c>
      <c r="H366">
        <f>IF($A366="","",SUMIFS('Таблиця 1'!$K:$K,'Таблиця 1'!$B:$B,$A366,'Таблиця 1'!$I:$I,"Mirage",'Таблиця 1'!$J:$J,"AGM-88")+SUMIFS('Таблиця 1'!$K:$K,'Таблиця 1'!$B:$B,$A366,'Таблиця 1'!$I:$I,"F-16",'Таблиця 1'!$J:$J,"AGM-88")+SUMIFS('Таблиця 1'!$K:$K,'Таблиця 1'!$B:$B,$A366,'Таблиця 1'!$I:$I,"МіГ-29",'Таблиця 1'!$J:$J,"AGM-88")+SUMIFS('Таблиця 1'!$K:$K,'Таблиця 1'!$B:$B,$A366,'Таблиця 1'!$I:$I,"Су-25",'Таблиця 1'!$J:$J,"AGM-88")+SUMIFS('Таблиця 1'!$K:$K,'Таблиця 1'!$B:$B,$A366,'Таблиця 1'!$I:$I,"Су-27",'Таблиця 1'!$J:$J,"AGM-88"))</f>
        <v/>
      </c>
      <c r="I366">
        <f>IF($A366="","",SUMIFS('Таблиця 1'!$K:$K,'Таблиця 1'!$B:$B,$A366,'Таблиця 1'!$I:$I,"Mirage",'Таблиця 1'!$J:$J,"AASM-250")+SUMIFS('Таблиця 1'!$K:$K,'Таблиця 1'!$B:$B,$A366,'Таблиця 1'!$I:$I,"F-16",'Таблиця 1'!$J:$J,"AASM-250")+SUMIFS('Таблиця 1'!$K:$K,'Таблиця 1'!$B:$B,$A366,'Таблиця 1'!$I:$I,"МіГ-29",'Таблиця 1'!$J:$J,"AASM-250")+SUMIFS('Таблиця 1'!$K:$K,'Таблиця 1'!$B:$B,$A366,'Таблиця 1'!$I:$I,"Су-25",'Таблиця 1'!$J:$J,"AASM-250")+SUMIFS('Таблиця 1'!$K:$K,'Таблиця 1'!$B:$B,$A366,'Таблиця 1'!$I:$I,"Су-27",'Таблиця 1'!$J:$J,"AASM-250"))</f>
        <v/>
      </c>
      <c r="J366">
        <f>IF($A366="","",SUMIFS('Таблиця 1'!$K:$K,'Таблиця 1'!$B:$B,$A366,'Таблиця 1'!$I:$I,"Mirage",'Таблиця 1'!$J:$J,"GBU-39")+SUMIFS('Таблиця 1'!$K:$K,'Таблиця 1'!$B:$B,$A366,'Таблиця 1'!$I:$I,"F-16",'Таблиця 1'!$J:$J,"GBU-39")+SUMIFS('Таблиця 1'!$K:$K,'Таблиця 1'!$B:$B,$A366,'Таблиця 1'!$I:$I,"МіГ-29",'Таблиця 1'!$J:$J,"GBU-39")+SUMIFS('Таблиця 1'!$K:$K,'Таблиця 1'!$B:$B,$A366,'Таблиця 1'!$I:$I,"Су-25",'Таблиця 1'!$J:$J,"GBU-39")+SUMIFS('Таблиця 1'!$K:$K,'Таблиця 1'!$B:$B,$A366,'Таблиця 1'!$I:$I,"Су-27",'Таблиця 1'!$J:$J,"GBU-39"))</f>
        <v/>
      </c>
      <c r="K366">
        <f>IF($A366="","",SUMIFS('Таблиця 1'!$K:$K,'Таблиця 1'!$B:$B,$A366,'Таблиця 1'!$I:$I,"Mirage",'Таблиця 1'!$J:$J,"BLU-140")+SUMIFS('Таблиця 1'!$K:$K,'Таблиця 1'!$B:$B,$A366,'Таблиця 1'!$I:$I,"F-16",'Таблиця 1'!$J:$J,"BLU-140")+SUMIFS('Таблиця 1'!$K:$K,'Таблиця 1'!$B:$B,$A366,'Таблиця 1'!$I:$I,"МіГ-29",'Таблиця 1'!$J:$J,"BLU-140")+SUMIFS('Таблиця 1'!$K:$K,'Таблиця 1'!$B:$B,$A366,'Таблиця 1'!$I:$I,"Су-25",'Таблиця 1'!$J:$J,"BLU-140")+SUMIFS('Таблиця 1'!$K:$K,'Таблиця 1'!$B:$B,$A366,'Таблиця 1'!$I:$I,"Су-27",'Таблиця 1'!$J:$J,"BLU-140"))</f>
        <v/>
      </c>
      <c r="L366">
        <f>IF($A366="","",SUMIFS('Таблиця 1'!$K:$K,'Таблиця 1'!$B:$B,$A366,'Таблиця 1'!$I:$I,"Mirage",'Таблиця 1'!$J:$J,"GBU-65")+SUMIFS('Таблиця 1'!$K:$K,'Таблиця 1'!$B:$B,$A366,'Таблиця 1'!$I:$I,"F-16",'Таблиця 1'!$J:$J,"GBU-65")+SUMIFS('Таблиця 1'!$K:$K,'Таблиця 1'!$B:$B,$A366,'Таблиця 1'!$I:$I,"МіГ-29",'Таблиця 1'!$J:$J,"GBU-65")+SUMIFS('Таблиця 1'!$K:$K,'Таблиця 1'!$B:$B,$A366,'Таблиця 1'!$I:$I,"Су-25",'Таблиця 1'!$J:$J,"GBU-65")+SUMIFS('Таблиця 1'!$K:$K,'Таблиця 1'!$B:$B,$A366,'Таблиця 1'!$I:$I,"Су-27",'Таблиця 1'!$J:$J,"GBU-65"))</f>
        <v/>
      </c>
      <c r="M366">
        <f>IF($A366="","",SUMIFS('Таблиця 1'!$K:$K,'Таблиця 1'!$B:$B,$A366,'Таблиця 1'!$I:$I,"Mirage",'Таблиця 1'!$J:$J,"GBU-62")+SUMIFS('Таблиця 1'!$K:$K,'Таблиця 1'!$B:$B,$A366,'Таблиця 1'!$I:$I,"F-16",'Таблиця 1'!$J:$J,"GBU-62")+SUMIFS('Таблиця 1'!$K:$K,'Таблиця 1'!$B:$B,$A366,'Таблиця 1'!$I:$I,"МіГ-29",'Таблиця 1'!$J:$J,"GBU-62")+SUMIFS('Таблиця 1'!$K:$K,'Таблиця 1'!$B:$B,$A366,'Таблиця 1'!$I:$I,"Су-25",'Таблиця 1'!$J:$J,"GBU-62")+SUMIFS('Таблиця 1'!$K:$K,'Таблиця 1'!$B:$B,$A366,'Таблиця 1'!$I:$I,"Су-27",'Таблиця 1'!$J:$J,"GBU-62"))</f>
        <v/>
      </c>
      <c r="N366">
        <f>IF($A366="","",SUMIFS('Таблиця 1'!$K:$K,'Таблиця 1'!$B:$B,$A366,'Таблиця 1'!$I:$I,"Mirage",'Таблиця 1'!$J:$J,"GBU-64")+SUMIFS('Таблиця 1'!$K:$K,'Таблиця 1'!$B:$B,$A366,'Таблиця 1'!$I:$I,"F-16",'Таблиця 1'!$J:$J,"GBU-64")+SUMIFS('Таблиця 1'!$K:$K,'Таблиця 1'!$B:$B,$A366,'Таблиця 1'!$I:$I,"МіГ-29",'Таблиця 1'!$J:$J,"GBU-64")+SUMIFS('Таблиця 1'!$K:$K,'Таблиця 1'!$B:$B,$A366,'Таблиця 1'!$I:$I,"Су-25",'Таблиця 1'!$J:$J,"GBU-64")+SUMIFS('Таблиця 1'!$K:$K,'Таблиця 1'!$B:$B,$A366,'Таблиця 1'!$I:$I,"Су-27",'Таблиця 1'!$J:$J,"GBU-64"))</f>
        <v/>
      </c>
      <c r="O366">
        <f>IF($A366="","",SUMIFS('Таблиця 1'!$K:$K,'Таблиця 1'!$B:$B,$A366,'Таблиця 1'!$I:$I,"Mirage",'Таблиця 1'!$J:$J,"C-13")+SUMIFS('Таблиця 1'!$K:$K,'Таблиця 1'!$B:$B,$A366,'Таблиця 1'!$I:$I,"F-16",'Таблиця 1'!$J:$J,"C-13")+SUMIFS('Таблиця 1'!$K:$K,'Таблиця 1'!$B:$B,$A366,'Таблиця 1'!$I:$I,"МіГ-29",'Таблиця 1'!$J:$J,"C-13")+SUMIFS('Таблиця 1'!$K:$K,'Таблиця 1'!$B:$B,$A366,'Таблиця 1'!$I:$I,"Су-25",'Таблиця 1'!$J:$J,"C-13")+SUMIFS('Таблиця 1'!$K:$K,'Таблиця 1'!$B:$B,$A366,'Таблиця 1'!$I:$I,"Су-27",'Таблиця 1'!$J:$J,"C-13"))</f>
        <v/>
      </c>
      <c r="P366">
        <f>IF($A366="","",SUMIFS('Таблиця 1'!$K:$K,'Таблиця 1'!$B:$B,$A366,'Таблиця 1'!$I:$I,"Mirage",'Таблиця 1'!$J:$J,"MK-32")+SUMIFS('Таблиця 1'!$K:$K,'Таблиця 1'!$B:$B,$A366,'Таблиця 1'!$I:$I,"F-16",'Таблиця 1'!$J:$J,"MK-32")+SUMIFS('Таблиця 1'!$K:$K,'Таблиця 1'!$B:$B,$A366,'Таблиця 1'!$I:$I,"МіГ-29",'Таблиця 1'!$J:$J,"MK-32")+SUMIFS('Таблиця 1'!$K:$K,'Таблиця 1'!$B:$B,$A366,'Таблиця 1'!$I:$I,"Су-25",'Таблиця 1'!$J:$J,"MK-32")+SUMIFS('Таблиця 1'!$K:$K,'Таблиця 1'!$B:$B,$A366,'Таблиця 1'!$I:$I,"Су-27",'Таблиця 1'!$J:$J,"MK-32"))</f>
        <v/>
      </c>
      <c r="Q366">
        <f>IF($A366="","",SUMIFS('Таблиця 1'!$K:$K,'Таблиця 1'!$B:$B,$A366,'Таблиця 1'!$I:$I,"Mirage",'Таблиця 1'!$J:$J,"MK-24")+SUMIFS('Таблиця 1'!$K:$K,'Таблиця 1'!$B:$B,$A366,'Таблиця 1'!$I:$I,"F-16",'Таблиця 1'!$J:$J,"MK-24")+SUMIFS('Таблиця 1'!$K:$K,'Таблиця 1'!$B:$B,$A366,'Таблиця 1'!$I:$I,"МіГ-29",'Таблиця 1'!$J:$J,"MK-24")+SUMIFS('Таблиця 1'!$K:$K,'Таблиця 1'!$B:$B,$A366,'Таблиця 1'!$I:$I,"Су-25",'Таблиця 1'!$J:$J,"MK-24")+SUMIFS('Таблиця 1'!$K:$K,'Таблиця 1'!$B:$B,$A366,'Таблиця 1'!$I:$I,"Су-27",'Таблиця 1'!$J:$J,"MK-24"))</f>
        <v/>
      </c>
      <c r="R366">
        <f>IF($A366="","",COUNTIFS('Таблиця 1'!$B:$B,$A366,'Таблиця 1'!$I:$I,"Mirage",'Таблиця 1'!$L:$L,"Уражено")+COUNTIFS('Таблиця 1'!$B:$B,$A366,'Таблиця 1'!$I:$I,"F-16",'Таблиця 1'!$L:$L,"Уражено")+COUNTIFS('Таблиця 1'!$B:$B,$A366,'Таблиця 1'!$I:$I,"МіГ-29",'Таблиця 1'!$L:$L,"Уражено")+COUNTIFS('Таблиця 1'!$B:$B,$A366,'Таблиця 1'!$I:$I,"Су-25",'Таблиця 1'!$L:$L,"Уражено")+COUNTIFS('Таблиця 1'!$B:$B,$A366,'Таблиця 1'!$I:$I,"Су-27",'Таблиця 1'!$L:$L,"Уражено"))</f>
        <v/>
      </c>
      <c r="S366">
        <f>IF($A366="","",COUNTIFS('Таблиця 1'!$B:$B,$A366,'Таблиця 1'!$I:$I,"Mirage",'Таблиця 1'!$L:$L,"НЕ уражено")+COUNTIFS('Таблиця 1'!$B:$B,$A366,'Таблиця 1'!$I:$I,"F-16",'Таблиця 1'!$L:$L,"НЕ уражено")+COUNTIFS('Таблиця 1'!$B:$B,$A366,'Таблиця 1'!$I:$I,"МіГ-29",'Таблиця 1'!$L:$L,"НЕ уражено")+COUNTIFS('Таблиця 1'!$B:$B,$A366,'Таблиця 1'!$I:$I,"Су-25",'Таблиця 1'!$L:$L,"НЕ уражено")+COUNTIFS('Таблиця 1'!$B:$B,$A366,'Таблиця 1'!$I:$I,"Су-27",'Таблиця 1'!$L:$L,"НЕ уражено"))</f>
        <v/>
      </c>
      <c r="T366">
        <f>IF($A366="","",COUNTIFS('Таблиця 1'!$B:$B,$A366,'Таблиця 1'!$I:$I,"Mirage",'Таблиця 1'!$L:$L,"Дорозвідується")+COUNTIFS('Таблиця 1'!$B:$B,$A366,'Таблиця 1'!$I:$I,"F-16",'Таблиця 1'!$L:$L,"Дорозвідується")+COUNTIFS('Таблиця 1'!$B:$B,$A366,'Таблиця 1'!$I:$I,"МіГ-29",'Таблиця 1'!$L:$L,"Дорозвідується")+COUNTIFS('Таблиця 1'!$B:$B,$A366,'Таблиця 1'!$I:$I,"Су-25",'Таблиця 1'!$L:$L,"Дорозвідується")+COUNTIFS('Таблиця 1'!$B:$B,$A366,'Таблиця 1'!$I:$I,"Су-27",'Таблиця 1'!$L:$L,"Дорозвідується"))</f>
        <v/>
      </c>
    </row>
    <row r="367">
      <c r="A367" s="273">
        <f>IF(A366="","",IF(A366+1&gt;MAX('Таблиця 1'!$B:$B),"",A366+1))</f>
        <v/>
      </c>
      <c r="B367">
        <f>IF($A367="","",COUNTIFS('Таблиця 1'!$B:$B,$A367,'Таблиця 1'!$I:$I,"Mirage")+COUNTIFS('Таблиця 1'!$B:$B,$A367,'Таблиця 1'!$I:$I,"F-16")+COUNTIFS('Таблиця 1'!$B:$B,$A367,'Таблиця 1'!$I:$I,"МіГ-29")+COUNTIFS('Таблиця 1'!$B:$B,$A367,'Таблиця 1'!$I:$I,"Су-25")+COUNTIFS('Таблиця 1'!$B:$B,$A367,'Таблиця 1'!$I:$I,"Су-27"))</f>
        <v/>
      </c>
      <c r="C367">
        <f>IF($A367="","",COUNTIFS('Таблиця 1'!$B:$B,$A367,'Таблиця 1'!$I:$I,"Mirage"))</f>
        <v/>
      </c>
      <c r="D367">
        <f>IF($A367="","",COUNTIFS('Таблиця 1'!$B:$B,$A367,'Таблиця 1'!$I:$I,"F-16"))</f>
        <v/>
      </c>
      <c r="E367">
        <f>IF($A367="","",COUNTIFS('Таблиця 1'!$B:$B,$A367,'Таблиця 1'!$I:$I,"МіГ-29"))</f>
        <v/>
      </c>
      <c r="F367">
        <f>IF($A367="","",COUNTIFS('Таблиця 1'!$B:$B,$A367,'Таблиця 1'!$I:$I,"Су-25"))</f>
        <v/>
      </c>
      <c r="G367">
        <f>IF($A367="","",COUNTIFS('Таблиця 1'!$B:$B,$A367,'Таблиця 1'!$I:$I,"Су-27"))</f>
        <v/>
      </c>
      <c r="H367">
        <f>IF($A367="","",SUMIFS('Таблиця 1'!$K:$K,'Таблиця 1'!$B:$B,$A367,'Таблиця 1'!$I:$I,"Mirage",'Таблиця 1'!$J:$J,"AGM-88")+SUMIFS('Таблиця 1'!$K:$K,'Таблиця 1'!$B:$B,$A367,'Таблиця 1'!$I:$I,"F-16",'Таблиця 1'!$J:$J,"AGM-88")+SUMIFS('Таблиця 1'!$K:$K,'Таблиця 1'!$B:$B,$A367,'Таблиця 1'!$I:$I,"МіГ-29",'Таблиця 1'!$J:$J,"AGM-88")+SUMIFS('Таблиця 1'!$K:$K,'Таблиця 1'!$B:$B,$A367,'Таблиця 1'!$I:$I,"Су-25",'Таблиця 1'!$J:$J,"AGM-88")+SUMIFS('Таблиця 1'!$K:$K,'Таблиця 1'!$B:$B,$A367,'Таблиця 1'!$I:$I,"Су-27",'Таблиця 1'!$J:$J,"AGM-88"))</f>
        <v/>
      </c>
      <c r="I367">
        <f>IF($A367="","",SUMIFS('Таблиця 1'!$K:$K,'Таблиця 1'!$B:$B,$A367,'Таблиця 1'!$I:$I,"Mirage",'Таблиця 1'!$J:$J,"AASM-250")+SUMIFS('Таблиця 1'!$K:$K,'Таблиця 1'!$B:$B,$A367,'Таблиця 1'!$I:$I,"F-16",'Таблиця 1'!$J:$J,"AASM-250")+SUMIFS('Таблиця 1'!$K:$K,'Таблиця 1'!$B:$B,$A367,'Таблиця 1'!$I:$I,"МіГ-29",'Таблиця 1'!$J:$J,"AASM-250")+SUMIFS('Таблиця 1'!$K:$K,'Таблиця 1'!$B:$B,$A367,'Таблиця 1'!$I:$I,"Су-25",'Таблиця 1'!$J:$J,"AASM-250")+SUMIFS('Таблиця 1'!$K:$K,'Таблиця 1'!$B:$B,$A367,'Таблиця 1'!$I:$I,"Су-27",'Таблиця 1'!$J:$J,"AASM-250"))</f>
        <v/>
      </c>
      <c r="J367">
        <f>IF($A367="","",SUMIFS('Таблиця 1'!$K:$K,'Таблиця 1'!$B:$B,$A367,'Таблиця 1'!$I:$I,"Mirage",'Таблиця 1'!$J:$J,"GBU-39")+SUMIFS('Таблиця 1'!$K:$K,'Таблиця 1'!$B:$B,$A367,'Таблиця 1'!$I:$I,"F-16",'Таблиця 1'!$J:$J,"GBU-39")+SUMIFS('Таблиця 1'!$K:$K,'Таблиця 1'!$B:$B,$A367,'Таблиця 1'!$I:$I,"МіГ-29",'Таблиця 1'!$J:$J,"GBU-39")+SUMIFS('Таблиця 1'!$K:$K,'Таблиця 1'!$B:$B,$A367,'Таблиця 1'!$I:$I,"Су-25",'Таблиця 1'!$J:$J,"GBU-39")+SUMIFS('Таблиця 1'!$K:$K,'Таблиця 1'!$B:$B,$A367,'Таблиця 1'!$I:$I,"Су-27",'Таблиця 1'!$J:$J,"GBU-39"))</f>
        <v/>
      </c>
      <c r="K367">
        <f>IF($A367="","",SUMIFS('Таблиця 1'!$K:$K,'Таблиця 1'!$B:$B,$A367,'Таблиця 1'!$I:$I,"Mirage",'Таблиця 1'!$J:$J,"BLU-140")+SUMIFS('Таблиця 1'!$K:$K,'Таблиця 1'!$B:$B,$A367,'Таблиця 1'!$I:$I,"F-16",'Таблиця 1'!$J:$J,"BLU-140")+SUMIFS('Таблиця 1'!$K:$K,'Таблиця 1'!$B:$B,$A367,'Таблиця 1'!$I:$I,"МіГ-29",'Таблиця 1'!$J:$J,"BLU-140")+SUMIFS('Таблиця 1'!$K:$K,'Таблиця 1'!$B:$B,$A367,'Таблиця 1'!$I:$I,"Су-25",'Таблиця 1'!$J:$J,"BLU-140")+SUMIFS('Таблиця 1'!$K:$K,'Таблиця 1'!$B:$B,$A367,'Таблиця 1'!$I:$I,"Су-27",'Таблиця 1'!$J:$J,"BLU-140"))</f>
        <v/>
      </c>
      <c r="L367">
        <f>IF($A367="","",SUMIFS('Таблиця 1'!$K:$K,'Таблиця 1'!$B:$B,$A367,'Таблиця 1'!$I:$I,"Mirage",'Таблиця 1'!$J:$J,"GBU-65")+SUMIFS('Таблиця 1'!$K:$K,'Таблиця 1'!$B:$B,$A367,'Таблиця 1'!$I:$I,"F-16",'Таблиця 1'!$J:$J,"GBU-65")+SUMIFS('Таблиця 1'!$K:$K,'Таблиця 1'!$B:$B,$A367,'Таблиця 1'!$I:$I,"МіГ-29",'Таблиця 1'!$J:$J,"GBU-65")+SUMIFS('Таблиця 1'!$K:$K,'Таблиця 1'!$B:$B,$A367,'Таблиця 1'!$I:$I,"Су-25",'Таблиця 1'!$J:$J,"GBU-65")+SUMIFS('Таблиця 1'!$K:$K,'Таблиця 1'!$B:$B,$A367,'Таблиця 1'!$I:$I,"Су-27",'Таблиця 1'!$J:$J,"GBU-65"))</f>
        <v/>
      </c>
      <c r="M367">
        <f>IF($A367="","",SUMIFS('Таблиця 1'!$K:$K,'Таблиця 1'!$B:$B,$A367,'Таблиця 1'!$I:$I,"Mirage",'Таблиця 1'!$J:$J,"GBU-62")+SUMIFS('Таблиця 1'!$K:$K,'Таблиця 1'!$B:$B,$A367,'Таблиця 1'!$I:$I,"F-16",'Таблиця 1'!$J:$J,"GBU-62")+SUMIFS('Таблиця 1'!$K:$K,'Таблиця 1'!$B:$B,$A367,'Таблиця 1'!$I:$I,"МіГ-29",'Таблиця 1'!$J:$J,"GBU-62")+SUMIFS('Таблиця 1'!$K:$K,'Таблиця 1'!$B:$B,$A367,'Таблиця 1'!$I:$I,"Су-25",'Таблиця 1'!$J:$J,"GBU-62")+SUMIFS('Таблиця 1'!$K:$K,'Таблиця 1'!$B:$B,$A367,'Таблиця 1'!$I:$I,"Су-27",'Таблиця 1'!$J:$J,"GBU-62"))</f>
        <v/>
      </c>
      <c r="N367">
        <f>IF($A367="","",SUMIFS('Таблиця 1'!$K:$K,'Таблиця 1'!$B:$B,$A367,'Таблиця 1'!$I:$I,"Mirage",'Таблиця 1'!$J:$J,"GBU-64")+SUMIFS('Таблиця 1'!$K:$K,'Таблиця 1'!$B:$B,$A367,'Таблиця 1'!$I:$I,"F-16",'Таблиця 1'!$J:$J,"GBU-64")+SUMIFS('Таблиця 1'!$K:$K,'Таблиця 1'!$B:$B,$A367,'Таблиця 1'!$I:$I,"МіГ-29",'Таблиця 1'!$J:$J,"GBU-64")+SUMIFS('Таблиця 1'!$K:$K,'Таблиця 1'!$B:$B,$A367,'Таблиця 1'!$I:$I,"Су-25",'Таблиця 1'!$J:$J,"GBU-64")+SUMIFS('Таблиця 1'!$K:$K,'Таблиця 1'!$B:$B,$A367,'Таблиця 1'!$I:$I,"Су-27",'Таблиця 1'!$J:$J,"GBU-64"))</f>
        <v/>
      </c>
      <c r="O367">
        <f>IF($A367="","",SUMIFS('Таблиця 1'!$K:$K,'Таблиця 1'!$B:$B,$A367,'Таблиця 1'!$I:$I,"Mirage",'Таблиця 1'!$J:$J,"C-13")+SUMIFS('Таблиця 1'!$K:$K,'Таблиця 1'!$B:$B,$A367,'Таблиця 1'!$I:$I,"F-16",'Таблиця 1'!$J:$J,"C-13")+SUMIFS('Таблиця 1'!$K:$K,'Таблиця 1'!$B:$B,$A367,'Таблиця 1'!$I:$I,"МіГ-29",'Таблиця 1'!$J:$J,"C-13")+SUMIFS('Таблиця 1'!$K:$K,'Таблиця 1'!$B:$B,$A367,'Таблиця 1'!$I:$I,"Су-25",'Таблиця 1'!$J:$J,"C-13")+SUMIFS('Таблиця 1'!$K:$K,'Таблиця 1'!$B:$B,$A367,'Таблиця 1'!$I:$I,"Су-27",'Таблиця 1'!$J:$J,"C-13"))</f>
        <v/>
      </c>
      <c r="P367">
        <f>IF($A367="","",SUMIFS('Таблиця 1'!$K:$K,'Таблиця 1'!$B:$B,$A367,'Таблиця 1'!$I:$I,"Mirage",'Таблиця 1'!$J:$J,"MK-32")+SUMIFS('Таблиця 1'!$K:$K,'Таблиця 1'!$B:$B,$A367,'Таблиця 1'!$I:$I,"F-16",'Таблиця 1'!$J:$J,"MK-32")+SUMIFS('Таблиця 1'!$K:$K,'Таблиця 1'!$B:$B,$A367,'Таблиця 1'!$I:$I,"МіГ-29",'Таблиця 1'!$J:$J,"MK-32")+SUMIFS('Таблиця 1'!$K:$K,'Таблиця 1'!$B:$B,$A367,'Таблиця 1'!$I:$I,"Су-25",'Таблиця 1'!$J:$J,"MK-32")+SUMIFS('Таблиця 1'!$K:$K,'Таблиця 1'!$B:$B,$A367,'Таблиця 1'!$I:$I,"Су-27",'Таблиця 1'!$J:$J,"MK-32"))</f>
        <v/>
      </c>
      <c r="Q367">
        <f>IF($A367="","",SUMIFS('Таблиця 1'!$K:$K,'Таблиця 1'!$B:$B,$A367,'Таблиця 1'!$I:$I,"Mirage",'Таблиця 1'!$J:$J,"MK-24")+SUMIFS('Таблиця 1'!$K:$K,'Таблиця 1'!$B:$B,$A367,'Таблиця 1'!$I:$I,"F-16",'Таблиця 1'!$J:$J,"MK-24")+SUMIFS('Таблиця 1'!$K:$K,'Таблиця 1'!$B:$B,$A367,'Таблиця 1'!$I:$I,"МіГ-29",'Таблиця 1'!$J:$J,"MK-24")+SUMIFS('Таблиця 1'!$K:$K,'Таблиця 1'!$B:$B,$A367,'Таблиця 1'!$I:$I,"Су-25",'Таблиця 1'!$J:$J,"MK-24")+SUMIFS('Таблиця 1'!$K:$K,'Таблиця 1'!$B:$B,$A367,'Таблиця 1'!$I:$I,"Су-27",'Таблиця 1'!$J:$J,"MK-24"))</f>
        <v/>
      </c>
      <c r="R367">
        <f>IF($A367="","",COUNTIFS('Таблиця 1'!$B:$B,$A367,'Таблиця 1'!$I:$I,"Mirage",'Таблиця 1'!$L:$L,"Уражено")+COUNTIFS('Таблиця 1'!$B:$B,$A367,'Таблиця 1'!$I:$I,"F-16",'Таблиця 1'!$L:$L,"Уражено")+COUNTIFS('Таблиця 1'!$B:$B,$A367,'Таблиця 1'!$I:$I,"МіГ-29",'Таблиця 1'!$L:$L,"Уражено")+COUNTIFS('Таблиця 1'!$B:$B,$A367,'Таблиця 1'!$I:$I,"Су-25",'Таблиця 1'!$L:$L,"Уражено")+COUNTIFS('Таблиця 1'!$B:$B,$A367,'Таблиця 1'!$I:$I,"Су-27",'Таблиця 1'!$L:$L,"Уражено"))</f>
        <v/>
      </c>
      <c r="S367">
        <f>IF($A367="","",COUNTIFS('Таблиця 1'!$B:$B,$A367,'Таблиця 1'!$I:$I,"Mirage",'Таблиця 1'!$L:$L,"НЕ уражено")+COUNTIFS('Таблиця 1'!$B:$B,$A367,'Таблиця 1'!$I:$I,"F-16",'Таблиця 1'!$L:$L,"НЕ уражено")+COUNTIFS('Таблиця 1'!$B:$B,$A367,'Таблиця 1'!$I:$I,"МіГ-29",'Таблиця 1'!$L:$L,"НЕ уражено")+COUNTIFS('Таблиця 1'!$B:$B,$A367,'Таблиця 1'!$I:$I,"Су-25",'Таблиця 1'!$L:$L,"НЕ уражено")+COUNTIFS('Таблиця 1'!$B:$B,$A367,'Таблиця 1'!$I:$I,"Су-27",'Таблиця 1'!$L:$L,"НЕ уражено"))</f>
        <v/>
      </c>
      <c r="T367">
        <f>IF($A367="","",COUNTIFS('Таблиця 1'!$B:$B,$A367,'Таблиця 1'!$I:$I,"Mirage",'Таблиця 1'!$L:$L,"Дорозвідується")+COUNTIFS('Таблиця 1'!$B:$B,$A367,'Таблиця 1'!$I:$I,"F-16",'Таблиця 1'!$L:$L,"Дорозвідується")+COUNTIFS('Таблиця 1'!$B:$B,$A367,'Таблиця 1'!$I:$I,"МіГ-29",'Таблиця 1'!$L:$L,"Дорозвідується")+COUNTIFS('Таблиця 1'!$B:$B,$A367,'Таблиця 1'!$I:$I,"Су-25",'Таблиця 1'!$L:$L,"Дорозвідується")+COUNTIFS('Таблиця 1'!$B:$B,$A367,'Таблиця 1'!$I:$I,"Су-27",'Таблиця 1'!$L:$L,"Дорозвідується"))</f>
        <v/>
      </c>
    </row>
    <row r="368">
      <c r="A368" s="273">
        <f>IF(A367="","",IF(A367+1&gt;MAX('Таблиця 1'!$B:$B),"",A367+1))</f>
        <v/>
      </c>
      <c r="B368">
        <f>IF($A368="","",COUNTIFS('Таблиця 1'!$B:$B,$A368,'Таблиця 1'!$I:$I,"Mirage")+COUNTIFS('Таблиця 1'!$B:$B,$A368,'Таблиця 1'!$I:$I,"F-16")+COUNTIFS('Таблиця 1'!$B:$B,$A368,'Таблиця 1'!$I:$I,"МіГ-29")+COUNTIFS('Таблиця 1'!$B:$B,$A368,'Таблиця 1'!$I:$I,"Су-25")+COUNTIFS('Таблиця 1'!$B:$B,$A368,'Таблиця 1'!$I:$I,"Су-27"))</f>
        <v/>
      </c>
      <c r="C368">
        <f>IF($A368="","",COUNTIFS('Таблиця 1'!$B:$B,$A368,'Таблиця 1'!$I:$I,"Mirage"))</f>
        <v/>
      </c>
      <c r="D368">
        <f>IF($A368="","",COUNTIFS('Таблиця 1'!$B:$B,$A368,'Таблиця 1'!$I:$I,"F-16"))</f>
        <v/>
      </c>
      <c r="E368">
        <f>IF($A368="","",COUNTIFS('Таблиця 1'!$B:$B,$A368,'Таблиця 1'!$I:$I,"МіГ-29"))</f>
        <v/>
      </c>
      <c r="F368">
        <f>IF($A368="","",COUNTIFS('Таблиця 1'!$B:$B,$A368,'Таблиця 1'!$I:$I,"Су-25"))</f>
        <v/>
      </c>
      <c r="G368">
        <f>IF($A368="","",COUNTIFS('Таблиця 1'!$B:$B,$A368,'Таблиця 1'!$I:$I,"Су-27"))</f>
        <v/>
      </c>
      <c r="H368">
        <f>IF($A368="","",SUMIFS('Таблиця 1'!$K:$K,'Таблиця 1'!$B:$B,$A368,'Таблиця 1'!$I:$I,"Mirage",'Таблиця 1'!$J:$J,"AGM-88")+SUMIFS('Таблиця 1'!$K:$K,'Таблиця 1'!$B:$B,$A368,'Таблиця 1'!$I:$I,"F-16",'Таблиця 1'!$J:$J,"AGM-88")+SUMIFS('Таблиця 1'!$K:$K,'Таблиця 1'!$B:$B,$A368,'Таблиця 1'!$I:$I,"МіГ-29",'Таблиця 1'!$J:$J,"AGM-88")+SUMIFS('Таблиця 1'!$K:$K,'Таблиця 1'!$B:$B,$A368,'Таблиця 1'!$I:$I,"Су-25",'Таблиця 1'!$J:$J,"AGM-88")+SUMIFS('Таблиця 1'!$K:$K,'Таблиця 1'!$B:$B,$A368,'Таблиця 1'!$I:$I,"Су-27",'Таблиця 1'!$J:$J,"AGM-88"))</f>
        <v/>
      </c>
      <c r="I368">
        <f>IF($A368="","",SUMIFS('Таблиця 1'!$K:$K,'Таблиця 1'!$B:$B,$A368,'Таблиця 1'!$I:$I,"Mirage",'Таблиця 1'!$J:$J,"AASM-250")+SUMIFS('Таблиця 1'!$K:$K,'Таблиця 1'!$B:$B,$A368,'Таблиця 1'!$I:$I,"F-16",'Таблиця 1'!$J:$J,"AASM-250")+SUMIFS('Таблиця 1'!$K:$K,'Таблиця 1'!$B:$B,$A368,'Таблиця 1'!$I:$I,"МіГ-29",'Таблиця 1'!$J:$J,"AASM-250")+SUMIFS('Таблиця 1'!$K:$K,'Таблиця 1'!$B:$B,$A368,'Таблиця 1'!$I:$I,"Су-25",'Таблиця 1'!$J:$J,"AASM-250")+SUMIFS('Таблиця 1'!$K:$K,'Таблиця 1'!$B:$B,$A368,'Таблиця 1'!$I:$I,"Су-27",'Таблиця 1'!$J:$J,"AASM-250"))</f>
        <v/>
      </c>
      <c r="J368">
        <f>IF($A368="","",SUMIFS('Таблиця 1'!$K:$K,'Таблиця 1'!$B:$B,$A368,'Таблиця 1'!$I:$I,"Mirage",'Таблиця 1'!$J:$J,"GBU-39")+SUMIFS('Таблиця 1'!$K:$K,'Таблиця 1'!$B:$B,$A368,'Таблиця 1'!$I:$I,"F-16",'Таблиця 1'!$J:$J,"GBU-39")+SUMIFS('Таблиця 1'!$K:$K,'Таблиця 1'!$B:$B,$A368,'Таблиця 1'!$I:$I,"МіГ-29",'Таблиця 1'!$J:$J,"GBU-39")+SUMIFS('Таблиця 1'!$K:$K,'Таблиця 1'!$B:$B,$A368,'Таблиця 1'!$I:$I,"Су-25",'Таблиця 1'!$J:$J,"GBU-39")+SUMIFS('Таблиця 1'!$K:$K,'Таблиця 1'!$B:$B,$A368,'Таблиця 1'!$I:$I,"Су-27",'Таблиця 1'!$J:$J,"GBU-39"))</f>
        <v/>
      </c>
      <c r="K368">
        <f>IF($A368="","",SUMIFS('Таблиця 1'!$K:$K,'Таблиця 1'!$B:$B,$A368,'Таблиця 1'!$I:$I,"Mirage",'Таблиця 1'!$J:$J,"BLU-140")+SUMIFS('Таблиця 1'!$K:$K,'Таблиця 1'!$B:$B,$A368,'Таблиця 1'!$I:$I,"F-16",'Таблиця 1'!$J:$J,"BLU-140")+SUMIFS('Таблиця 1'!$K:$K,'Таблиця 1'!$B:$B,$A368,'Таблиця 1'!$I:$I,"МіГ-29",'Таблиця 1'!$J:$J,"BLU-140")+SUMIFS('Таблиця 1'!$K:$K,'Таблиця 1'!$B:$B,$A368,'Таблиця 1'!$I:$I,"Су-25",'Таблиця 1'!$J:$J,"BLU-140")+SUMIFS('Таблиця 1'!$K:$K,'Таблиця 1'!$B:$B,$A368,'Таблиця 1'!$I:$I,"Су-27",'Таблиця 1'!$J:$J,"BLU-140"))</f>
        <v/>
      </c>
      <c r="L368">
        <f>IF($A368="","",SUMIFS('Таблиця 1'!$K:$K,'Таблиця 1'!$B:$B,$A368,'Таблиця 1'!$I:$I,"Mirage",'Таблиця 1'!$J:$J,"GBU-65")+SUMIFS('Таблиця 1'!$K:$K,'Таблиця 1'!$B:$B,$A368,'Таблиця 1'!$I:$I,"F-16",'Таблиця 1'!$J:$J,"GBU-65")+SUMIFS('Таблиця 1'!$K:$K,'Таблиця 1'!$B:$B,$A368,'Таблиця 1'!$I:$I,"МіГ-29",'Таблиця 1'!$J:$J,"GBU-65")+SUMIFS('Таблиця 1'!$K:$K,'Таблиця 1'!$B:$B,$A368,'Таблиця 1'!$I:$I,"Су-25",'Таблиця 1'!$J:$J,"GBU-65")+SUMIFS('Таблиця 1'!$K:$K,'Таблиця 1'!$B:$B,$A368,'Таблиця 1'!$I:$I,"Су-27",'Таблиця 1'!$J:$J,"GBU-65"))</f>
        <v/>
      </c>
      <c r="M368">
        <f>IF($A368="","",SUMIFS('Таблиця 1'!$K:$K,'Таблиця 1'!$B:$B,$A368,'Таблиця 1'!$I:$I,"Mirage",'Таблиця 1'!$J:$J,"GBU-62")+SUMIFS('Таблиця 1'!$K:$K,'Таблиця 1'!$B:$B,$A368,'Таблиця 1'!$I:$I,"F-16",'Таблиця 1'!$J:$J,"GBU-62")+SUMIFS('Таблиця 1'!$K:$K,'Таблиця 1'!$B:$B,$A368,'Таблиця 1'!$I:$I,"МіГ-29",'Таблиця 1'!$J:$J,"GBU-62")+SUMIFS('Таблиця 1'!$K:$K,'Таблиця 1'!$B:$B,$A368,'Таблиця 1'!$I:$I,"Су-25",'Таблиця 1'!$J:$J,"GBU-62")+SUMIFS('Таблиця 1'!$K:$K,'Таблиця 1'!$B:$B,$A368,'Таблиця 1'!$I:$I,"Су-27",'Таблиця 1'!$J:$J,"GBU-62"))</f>
        <v/>
      </c>
      <c r="N368">
        <f>IF($A368="","",SUMIFS('Таблиця 1'!$K:$K,'Таблиця 1'!$B:$B,$A368,'Таблиця 1'!$I:$I,"Mirage",'Таблиця 1'!$J:$J,"GBU-64")+SUMIFS('Таблиця 1'!$K:$K,'Таблиця 1'!$B:$B,$A368,'Таблиця 1'!$I:$I,"F-16",'Таблиця 1'!$J:$J,"GBU-64")+SUMIFS('Таблиця 1'!$K:$K,'Таблиця 1'!$B:$B,$A368,'Таблиця 1'!$I:$I,"МіГ-29",'Таблиця 1'!$J:$J,"GBU-64")+SUMIFS('Таблиця 1'!$K:$K,'Таблиця 1'!$B:$B,$A368,'Таблиця 1'!$I:$I,"Су-25",'Таблиця 1'!$J:$J,"GBU-64")+SUMIFS('Таблиця 1'!$K:$K,'Таблиця 1'!$B:$B,$A368,'Таблиця 1'!$I:$I,"Су-27",'Таблиця 1'!$J:$J,"GBU-64"))</f>
        <v/>
      </c>
      <c r="O368">
        <f>IF($A368="","",SUMIFS('Таблиця 1'!$K:$K,'Таблиця 1'!$B:$B,$A368,'Таблиця 1'!$I:$I,"Mirage",'Таблиця 1'!$J:$J,"C-13")+SUMIFS('Таблиця 1'!$K:$K,'Таблиця 1'!$B:$B,$A368,'Таблиця 1'!$I:$I,"F-16",'Таблиця 1'!$J:$J,"C-13")+SUMIFS('Таблиця 1'!$K:$K,'Таблиця 1'!$B:$B,$A368,'Таблиця 1'!$I:$I,"МіГ-29",'Таблиця 1'!$J:$J,"C-13")+SUMIFS('Таблиця 1'!$K:$K,'Таблиця 1'!$B:$B,$A368,'Таблиця 1'!$I:$I,"Су-25",'Таблиця 1'!$J:$J,"C-13")+SUMIFS('Таблиця 1'!$K:$K,'Таблиця 1'!$B:$B,$A368,'Таблиця 1'!$I:$I,"Су-27",'Таблиця 1'!$J:$J,"C-13"))</f>
        <v/>
      </c>
      <c r="P368">
        <f>IF($A368="","",SUMIFS('Таблиця 1'!$K:$K,'Таблиця 1'!$B:$B,$A368,'Таблиця 1'!$I:$I,"Mirage",'Таблиця 1'!$J:$J,"MK-32")+SUMIFS('Таблиця 1'!$K:$K,'Таблиця 1'!$B:$B,$A368,'Таблиця 1'!$I:$I,"F-16",'Таблиця 1'!$J:$J,"MK-32")+SUMIFS('Таблиця 1'!$K:$K,'Таблиця 1'!$B:$B,$A368,'Таблиця 1'!$I:$I,"МіГ-29",'Таблиця 1'!$J:$J,"MK-32")+SUMIFS('Таблиця 1'!$K:$K,'Таблиця 1'!$B:$B,$A368,'Таблиця 1'!$I:$I,"Су-25",'Таблиця 1'!$J:$J,"MK-32")+SUMIFS('Таблиця 1'!$K:$K,'Таблиця 1'!$B:$B,$A368,'Таблиця 1'!$I:$I,"Су-27",'Таблиця 1'!$J:$J,"MK-32"))</f>
        <v/>
      </c>
      <c r="Q368">
        <f>IF($A368="","",SUMIFS('Таблиця 1'!$K:$K,'Таблиця 1'!$B:$B,$A368,'Таблиця 1'!$I:$I,"Mirage",'Таблиця 1'!$J:$J,"MK-24")+SUMIFS('Таблиця 1'!$K:$K,'Таблиця 1'!$B:$B,$A368,'Таблиця 1'!$I:$I,"F-16",'Таблиця 1'!$J:$J,"MK-24")+SUMIFS('Таблиця 1'!$K:$K,'Таблиця 1'!$B:$B,$A368,'Таблиця 1'!$I:$I,"МіГ-29",'Таблиця 1'!$J:$J,"MK-24")+SUMIFS('Таблиця 1'!$K:$K,'Таблиця 1'!$B:$B,$A368,'Таблиця 1'!$I:$I,"Су-25",'Таблиця 1'!$J:$J,"MK-24")+SUMIFS('Таблиця 1'!$K:$K,'Таблиця 1'!$B:$B,$A368,'Таблиця 1'!$I:$I,"Су-27",'Таблиця 1'!$J:$J,"MK-24"))</f>
        <v/>
      </c>
      <c r="R368">
        <f>IF($A368="","",COUNTIFS('Таблиця 1'!$B:$B,$A368,'Таблиця 1'!$I:$I,"Mirage",'Таблиця 1'!$L:$L,"Уражено")+COUNTIFS('Таблиця 1'!$B:$B,$A368,'Таблиця 1'!$I:$I,"F-16",'Таблиця 1'!$L:$L,"Уражено")+COUNTIFS('Таблиця 1'!$B:$B,$A368,'Таблиця 1'!$I:$I,"МіГ-29",'Таблиця 1'!$L:$L,"Уражено")+COUNTIFS('Таблиця 1'!$B:$B,$A368,'Таблиця 1'!$I:$I,"Су-25",'Таблиця 1'!$L:$L,"Уражено")+COUNTIFS('Таблиця 1'!$B:$B,$A368,'Таблиця 1'!$I:$I,"Су-27",'Таблиця 1'!$L:$L,"Уражено"))</f>
        <v/>
      </c>
      <c r="S368">
        <f>IF($A368="","",COUNTIFS('Таблиця 1'!$B:$B,$A368,'Таблиця 1'!$I:$I,"Mirage",'Таблиця 1'!$L:$L,"НЕ уражено")+COUNTIFS('Таблиця 1'!$B:$B,$A368,'Таблиця 1'!$I:$I,"F-16",'Таблиця 1'!$L:$L,"НЕ уражено")+COUNTIFS('Таблиця 1'!$B:$B,$A368,'Таблиця 1'!$I:$I,"МіГ-29",'Таблиця 1'!$L:$L,"НЕ уражено")+COUNTIFS('Таблиця 1'!$B:$B,$A368,'Таблиця 1'!$I:$I,"Су-25",'Таблиця 1'!$L:$L,"НЕ уражено")+COUNTIFS('Таблиця 1'!$B:$B,$A368,'Таблиця 1'!$I:$I,"Су-27",'Таблиця 1'!$L:$L,"НЕ уражено"))</f>
        <v/>
      </c>
      <c r="T368">
        <f>IF($A368="","",COUNTIFS('Таблиця 1'!$B:$B,$A368,'Таблиця 1'!$I:$I,"Mirage",'Таблиця 1'!$L:$L,"Дорозвідується")+COUNTIFS('Таблиця 1'!$B:$B,$A368,'Таблиця 1'!$I:$I,"F-16",'Таблиця 1'!$L:$L,"Дорозвідується")+COUNTIFS('Таблиця 1'!$B:$B,$A368,'Таблиця 1'!$I:$I,"МіГ-29",'Таблиця 1'!$L:$L,"Дорозвідується")+COUNTIFS('Таблиця 1'!$B:$B,$A368,'Таблиця 1'!$I:$I,"Су-25",'Таблиця 1'!$L:$L,"Дорозвідується")+COUNTIFS('Таблиця 1'!$B:$B,$A368,'Таблиця 1'!$I:$I,"Су-27",'Таблиця 1'!$L:$L,"Дорозвідується"))</f>
        <v/>
      </c>
    </row>
    <row r="369">
      <c r="A369" s="273">
        <f>IF(A368="","",IF(A368+1&gt;MAX('Таблиця 1'!$B:$B),"",A368+1))</f>
        <v/>
      </c>
      <c r="B369">
        <f>IF($A369="","",COUNTIFS('Таблиця 1'!$B:$B,$A369,'Таблиця 1'!$I:$I,"Mirage")+COUNTIFS('Таблиця 1'!$B:$B,$A369,'Таблиця 1'!$I:$I,"F-16")+COUNTIFS('Таблиця 1'!$B:$B,$A369,'Таблиця 1'!$I:$I,"МіГ-29")+COUNTIFS('Таблиця 1'!$B:$B,$A369,'Таблиця 1'!$I:$I,"Су-25")+COUNTIFS('Таблиця 1'!$B:$B,$A369,'Таблиця 1'!$I:$I,"Су-27"))</f>
        <v/>
      </c>
      <c r="C369">
        <f>IF($A369="","",COUNTIFS('Таблиця 1'!$B:$B,$A369,'Таблиця 1'!$I:$I,"Mirage"))</f>
        <v/>
      </c>
      <c r="D369">
        <f>IF($A369="","",COUNTIFS('Таблиця 1'!$B:$B,$A369,'Таблиця 1'!$I:$I,"F-16"))</f>
        <v/>
      </c>
      <c r="E369">
        <f>IF($A369="","",COUNTIFS('Таблиця 1'!$B:$B,$A369,'Таблиця 1'!$I:$I,"МіГ-29"))</f>
        <v/>
      </c>
      <c r="F369">
        <f>IF($A369="","",COUNTIFS('Таблиця 1'!$B:$B,$A369,'Таблиця 1'!$I:$I,"Су-25"))</f>
        <v/>
      </c>
      <c r="G369">
        <f>IF($A369="","",COUNTIFS('Таблиця 1'!$B:$B,$A369,'Таблиця 1'!$I:$I,"Су-27"))</f>
        <v/>
      </c>
      <c r="H369">
        <f>IF($A369="","",SUMIFS('Таблиця 1'!$K:$K,'Таблиця 1'!$B:$B,$A369,'Таблиця 1'!$I:$I,"Mirage",'Таблиця 1'!$J:$J,"AGM-88")+SUMIFS('Таблиця 1'!$K:$K,'Таблиця 1'!$B:$B,$A369,'Таблиця 1'!$I:$I,"F-16",'Таблиця 1'!$J:$J,"AGM-88")+SUMIFS('Таблиця 1'!$K:$K,'Таблиця 1'!$B:$B,$A369,'Таблиця 1'!$I:$I,"МіГ-29",'Таблиця 1'!$J:$J,"AGM-88")+SUMIFS('Таблиця 1'!$K:$K,'Таблиця 1'!$B:$B,$A369,'Таблиця 1'!$I:$I,"Су-25",'Таблиця 1'!$J:$J,"AGM-88")+SUMIFS('Таблиця 1'!$K:$K,'Таблиця 1'!$B:$B,$A369,'Таблиця 1'!$I:$I,"Су-27",'Таблиця 1'!$J:$J,"AGM-88"))</f>
        <v/>
      </c>
      <c r="I369">
        <f>IF($A369="","",SUMIFS('Таблиця 1'!$K:$K,'Таблиця 1'!$B:$B,$A369,'Таблиця 1'!$I:$I,"Mirage",'Таблиця 1'!$J:$J,"AASM-250")+SUMIFS('Таблиця 1'!$K:$K,'Таблиця 1'!$B:$B,$A369,'Таблиця 1'!$I:$I,"F-16",'Таблиця 1'!$J:$J,"AASM-250")+SUMIFS('Таблиця 1'!$K:$K,'Таблиця 1'!$B:$B,$A369,'Таблиця 1'!$I:$I,"МіГ-29",'Таблиця 1'!$J:$J,"AASM-250")+SUMIFS('Таблиця 1'!$K:$K,'Таблиця 1'!$B:$B,$A369,'Таблиця 1'!$I:$I,"Су-25",'Таблиця 1'!$J:$J,"AASM-250")+SUMIFS('Таблиця 1'!$K:$K,'Таблиця 1'!$B:$B,$A369,'Таблиця 1'!$I:$I,"Су-27",'Таблиця 1'!$J:$J,"AASM-250"))</f>
        <v/>
      </c>
      <c r="J369">
        <f>IF($A369="","",SUMIFS('Таблиця 1'!$K:$K,'Таблиця 1'!$B:$B,$A369,'Таблиця 1'!$I:$I,"Mirage",'Таблиця 1'!$J:$J,"GBU-39")+SUMIFS('Таблиця 1'!$K:$K,'Таблиця 1'!$B:$B,$A369,'Таблиця 1'!$I:$I,"F-16",'Таблиця 1'!$J:$J,"GBU-39")+SUMIFS('Таблиця 1'!$K:$K,'Таблиця 1'!$B:$B,$A369,'Таблиця 1'!$I:$I,"МіГ-29",'Таблиця 1'!$J:$J,"GBU-39")+SUMIFS('Таблиця 1'!$K:$K,'Таблиця 1'!$B:$B,$A369,'Таблиця 1'!$I:$I,"Су-25",'Таблиця 1'!$J:$J,"GBU-39")+SUMIFS('Таблиця 1'!$K:$K,'Таблиця 1'!$B:$B,$A369,'Таблиця 1'!$I:$I,"Су-27",'Таблиця 1'!$J:$J,"GBU-39"))</f>
        <v/>
      </c>
      <c r="K369">
        <f>IF($A369="","",SUMIFS('Таблиця 1'!$K:$K,'Таблиця 1'!$B:$B,$A369,'Таблиця 1'!$I:$I,"Mirage",'Таблиця 1'!$J:$J,"BLU-140")+SUMIFS('Таблиця 1'!$K:$K,'Таблиця 1'!$B:$B,$A369,'Таблиця 1'!$I:$I,"F-16",'Таблиця 1'!$J:$J,"BLU-140")+SUMIFS('Таблиця 1'!$K:$K,'Таблиця 1'!$B:$B,$A369,'Таблиця 1'!$I:$I,"МіГ-29",'Таблиця 1'!$J:$J,"BLU-140")+SUMIFS('Таблиця 1'!$K:$K,'Таблиця 1'!$B:$B,$A369,'Таблиця 1'!$I:$I,"Су-25",'Таблиця 1'!$J:$J,"BLU-140")+SUMIFS('Таблиця 1'!$K:$K,'Таблиця 1'!$B:$B,$A369,'Таблиця 1'!$I:$I,"Су-27",'Таблиця 1'!$J:$J,"BLU-140"))</f>
        <v/>
      </c>
      <c r="L369">
        <f>IF($A369="","",SUMIFS('Таблиця 1'!$K:$K,'Таблиця 1'!$B:$B,$A369,'Таблиця 1'!$I:$I,"Mirage",'Таблиця 1'!$J:$J,"GBU-65")+SUMIFS('Таблиця 1'!$K:$K,'Таблиця 1'!$B:$B,$A369,'Таблиця 1'!$I:$I,"F-16",'Таблиця 1'!$J:$J,"GBU-65")+SUMIFS('Таблиця 1'!$K:$K,'Таблиця 1'!$B:$B,$A369,'Таблиця 1'!$I:$I,"МіГ-29",'Таблиця 1'!$J:$J,"GBU-65")+SUMIFS('Таблиця 1'!$K:$K,'Таблиця 1'!$B:$B,$A369,'Таблиця 1'!$I:$I,"Су-25",'Таблиця 1'!$J:$J,"GBU-65")+SUMIFS('Таблиця 1'!$K:$K,'Таблиця 1'!$B:$B,$A369,'Таблиця 1'!$I:$I,"Су-27",'Таблиця 1'!$J:$J,"GBU-65"))</f>
        <v/>
      </c>
      <c r="M369">
        <f>IF($A369="","",SUMIFS('Таблиця 1'!$K:$K,'Таблиця 1'!$B:$B,$A369,'Таблиця 1'!$I:$I,"Mirage",'Таблиця 1'!$J:$J,"GBU-62")+SUMIFS('Таблиця 1'!$K:$K,'Таблиця 1'!$B:$B,$A369,'Таблиця 1'!$I:$I,"F-16",'Таблиця 1'!$J:$J,"GBU-62")+SUMIFS('Таблиця 1'!$K:$K,'Таблиця 1'!$B:$B,$A369,'Таблиця 1'!$I:$I,"МіГ-29",'Таблиця 1'!$J:$J,"GBU-62")+SUMIFS('Таблиця 1'!$K:$K,'Таблиця 1'!$B:$B,$A369,'Таблиця 1'!$I:$I,"Су-25",'Таблиця 1'!$J:$J,"GBU-62")+SUMIFS('Таблиця 1'!$K:$K,'Таблиця 1'!$B:$B,$A369,'Таблиця 1'!$I:$I,"Су-27",'Таблиця 1'!$J:$J,"GBU-62"))</f>
        <v/>
      </c>
      <c r="N369">
        <f>IF($A369="","",SUMIFS('Таблиця 1'!$K:$K,'Таблиця 1'!$B:$B,$A369,'Таблиця 1'!$I:$I,"Mirage",'Таблиця 1'!$J:$J,"GBU-64")+SUMIFS('Таблиця 1'!$K:$K,'Таблиця 1'!$B:$B,$A369,'Таблиця 1'!$I:$I,"F-16",'Таблиця 1'!$J:$J,"GBU-64")+SUMIFS('Таблиця 1'!$K:$K,'Таблиця 1'!$B:$B,$A369,'Таблиця 1'!$I:$I,"МіГ-29",'Таблиця 1'!$J:$J,"GBU-64")+SUMIFS('Таблиця 1'!$K:$K,'Таблиця 1'!$B:$B,$A369,'Таблиця 1'!$I:$I,"Су-25",'Таблиця 1'!$J:$J,"GBU-64")+SUMIFS('Таблиця 1'!$K:$K,'Таблиця 1'!$B:$B,$A369,'Таблиця 1'!$I:$I,"Су-27",'Таблиця 1'!$J:$J,"GBU-64"))</f>
        <v/>
      </c>
      <c r="O369">
        <f>IF($A369="","",SUMIFS('Таблиця 1'!$K:$K,'Таблиця 1'!$B:$B,$A369,'Таблиця 1'!$I:$I,"Mirage",'Таблиця 1'!$J:$J,"C-13")+SUMIFS('Таблиця 1'!$K:$K,'Таблиця 1'!$B:$B,$A369,'Таблиця 1'!$I:$I,"F-16",'Таблиця 1'!$J:$J,"C-13")+SUMIFS('Таблиця 1'!$K:$K,'Таблиця 1'!$B:$B,$A369,'Таблиця 1'!$I:$I,"МіГ-29",'Таблиця 1'!$J:$J,"C-13")+SUMIFS('Таблиця 1'!$K:$K,'Таблиця 1'!$B:$B,$A369,'Таблиця 1'!$I:$I,"Су-25",'Таблиця 1'!$J:$J,"C-13")+SUMIFS('Таблиця 1'!$K:$K,'Таблиця 1'!$B:$B,$A369,'Таблиця 1'!$I:$I,"Су-27",'Таблиця 1'!$J:$J,"C-13"))</f>
        <v/>
      </c>
      <c r="P369">
        <f>IF($A369="","",SUMIFS('Таблиця 1'!$K:$K,'Таблиця 1'!$B:$B,$A369,'Таблиця 1'!$I:$I,"Mirage",'Таблиця 1'!$J:$J,"MK-32")+SUMIFS('Таблиця 1'!$K:$K,'Таблиця 1'!$B:$B,$A369,'Таблиця 1'!$I:$I,"F-16",'Таблиця 1'!$J:$J,"MK-32")+SUMIFS('Таблиця 1'!$K:$K,'Таблиця 1'!$B:$B,$A369,'Таблиця 1'!$I:$I,"МіГ-29",'Таблиця 1'!$J:$J,"MK-32")+SUMIFS('Таблиця 1'!$K:$K,'Таблиця 1'!$B:$B,$A369,'Таблиця 1'!$I:$I,"Су-25",'Таблиця 1'!$J:$J,"MK-32")+SUMIFS('Таблиця 1'!$K:$K,'Таблиця 1'!$B:$B,$A369,'Таблиця 1'!$I:$I,"Су-27",'Таблиця 1'!$J:$J,"MK-32"))</f>
        <v/>
      </c>
      <c r="Q369">
        <f>IF($A369="","",SUMIFS('Таблиця 1'!$K:$K,'Таблиця 1'!$B:$B,$A369,'Таблиця 1'!$I:$I,"Mirage",'Таблиця 1'!$J:$J,"MK-24")+SUMIFS('Таблиця 1'!$K:$K,'Таблиця 1'!$B:$B,$A369,'Таблиця 1'!$I:$I,"F-16",'Таблиця 1'!$J:$J,"MK-24")+SUMIFS('Таблиця 1'!$K:$K,'Таблиця 1'!$B:$B,$A369,'Таблиця 1'!$I:$I,"МіГ-29",'Таблиця 1'!$J:$J,"MK-24")+SUMIFS('Таблиця 1'!$K:$K,'Таблиця 1'!$B:$B,$A369,'Таблиця 1'!$I:$I,"Су-25",'Таблиця 1'!$J:$J,"MK-24")+SUMIFS('Таблиця 1'!$K:$K,'Таблиця 1'!$B:$B,$A369,'Таблиця 1'!$I:$I,"Су-27",'Таблиця 1'!$J:$J,"MK-24"))</f>
        <v/>
      </c>
      <c r="R369">
        <f>IF($A369="","",COUNTIFS('Таблиця 1'!$B:$B,$A369,'Таблиця 1'!$I:$I,"Mirage",'Таблиця 1'!$L:$L,"Уражено")+COUNTIFS('Таблиця 1'!$B:$B,$A369,'Таблиця 1'!$I:$I,"F-16",'Таблиця 1'!$L:$L,"Уражено")+COUNTIFS('Таблиця 1'!$B:$B,$A369,'Таблиця 1'!$I:$I,"МіГ-29",'Таблиця 1'!$L:$L,"Уражено")+COUNTIFS('Таблиця 1'!$B:$B,$A369,'Таблиця 1'!$I:$I,"Су-25",'Таблиця 1'!$L:$L,"Уражено")+COUNTIFS('Таблиця 1'!$B:$B,$A369,'Таблиця 1'!$I:$I,"Су-27",'Таблиця 1'!$L:$L,"Уражено"))</f>
        <v/>
      </c>
      <c r="S369">
        <f>IF($A369="","",COUNTIFS('Таблиця 1'!$B:$B,$A369,'Таблиця 1'!$I:$I,"Mirage",'Таблиця 1'!$L:$L,"НЕ уражено")+COUNTIFS('Таблиця 1'!$B:$B,$A369,'Таблиця 1'!$I:$I,"F-16",'Таблиця 1'!$L:$L,"НЕ уражено")+COUNTIFS('Таблиця 1'!$B:$B,$A369,'Таблиця 1'!$I:$I,"МіГ-29",'Таблиця 1'!$L:$L,"НЕ уражено")+COUNTIFS('Таблиця 1'!$B:$B,$A369,'Таблиця 1'!$I:$I,"Су-25",'Таблиця 1'!$L:$L,"НЕ уражено")+COUNTIFS('Таблиця 1'!$B:$B,$A369,'Таблиця 1'!$I:$I,"Су-27",'Таблиця 1'!$L:$L,"НЕ уражено"))</f>
        <v/>
      </c>
      <c r="T369">
        <f>IF($A369="","",COUNTIFS('Таблиця 1'!$B:$B,$A369,'Таблиця 1'!$I:$I,"Mirage",'Таблиця 1'!$L:$L,"Дорозвідується")+COUNTIFS('Таблиця 1'!$B:$B,$A369,'Таблиця 1'!$I:$I,"F-16",'Таблиця 1'!$L:$L,"Дорозвідується")+COUNTIFS('Таблиця 1'!$B:$B,$A369,'Таблиця 1'!$I:$I,"МіГ-29",'Таблиця 1'!$L:$L,"Дорозвідується")+COUNTIFS('Таблиця 1'!$B:$B,$A369,'Таблиця 1'!$I:$I,"Су-25",'Таблиця 1'!$L:$L,"Дорозвідується")+COUNTIFS('Таблиця 1'!$B:$B,$A369,'Таблиця 1'!$I:$I,"Су-27",'Таблиця 1'!$L:$L,"Дорозвідується"))</f>
        <v/>
      </c>
    </row>
    <row r="370">
      <c r="A370" s="273">
        <f>IF(A369="","",IF(A369+1&gt;MAX('Таблиця 1'!$B:$B),"",A369+1))</f>
        <v/>
      </c>
      <c r="B370">
        <f>IF($A370="","",COUNTIFS('Таблиця 1'!$B:$B,$A370,'Таблиця 1'!$I:$I,"Mirage")+COUNTIFS('Таблиця 1'!$B:$B,$A370,'Таблиця 1'!$I:$I,"F-16")+COUNTIFS('Таблиця 1'!$B:$B,$A370,'Таблиця 1'!$I:$I,"МіГ-29")+COUNTIFS('Таблиця 1'!$B:$B,$A370,'Таблиця 1'!$I:$I,"Су-25")+COUNTIFS('Таблиця 1'!$B:$B,$A370,'Таблиця 1'!$I:$I,"Су-27"))</f>
        <v/>
      </c>
      <c r="C370">
        <f>IF($A370="","",COUNTIFS('Таблиця 1'!$B:$B,$A370,'Таблиця 1'!$I:$I,"Mirage"))</f>
        <v/>
      </c>
      <c r="D370">
        <f>IF($A370="","",COUNTIFS('Таблиця 1'!$B:$B,$A370,'Таблиця 1'!$I:$I,"F-16"))</f>
        <v/>
      </c>
      <c r="E370">
        <f>IF($A370="","",COUNTIFS('Таблиця 1'!$B:$B,$A370,'Таблиця 1'!$I:$I,"МіГ-29"))</f>
        <v/>
      </c>
      <c r="F370">
        <f>IF($A370="","",COUNTIFS('Таблиця 1'!$B:$B,$A370,'Таблиця 1'!$I:$I,"Су-25"))</f>
        <v/>
      </c>
      <c r="G370">
        <f>IF($A370="","",COUNTIFS('Таблиця 1'!$B:$B,$A370,'Таблиця 1'!$I:$I,"Су-27"))</f>
        <v/>
      </c>
      <c r="H370">
        <f>IF($A370="","",SUMIFS('Таблиця 1'!$K:$K,'Таблиця 1'!$B:$B,$A370,'Таблиця 1'!$I:$I,"Mirage",'Таблиця 1'!$J:$J,"AGM-88")+SUMIFS('Таблиця 1'!$K:$K,'Таблиця 1'!$B:$B,$A370,'Таблиця 1'!$I:$I,"F-16",'Таблиця 1'!$J:$J,"AGM-88")+SUMIFS('Таблиця 1'!$K:$K,'Таблиця 1'!$B:$B,$A370,'Таблиця 1'!$I:$I,"МіГ-29",'Таблиця 1'!$J:$J,"AGM-88")+SUMIFS('Таблиця 1'!$K:$K,'Таблиця 1'!$B:$B,$A370,'Таблиця 1'!$I:$I,"Су-25",'Таблиця 1'!$J:$J,"AGM-88")+SUMIFS('Таблиця 1'!$K:$K,'Таблиця 1'!$B:$B,$A370,'Таблиця 1'!$I:$I,"Су-27",'Таблиця 1'!$J:$J,"AGM-88"))</f>
        <v/>
      </c>
      <c r="I370">
        <f>IF($A370="","",SUMIFS('Таблиця 1'!$K:$K,'Таблиця 1'!$B:$B,$A370,'Таблиця 1'!$I:$I,"Mirage",'Таблиця 1'!$J:$J,"AASM-250")+SUMIFS('Таблиця 1'!$K:$K,'Таблиця 1'!$B:$B,$A370,'Таблиця 1'!$I:$I,"F-16",'Таблиця 1'!$J:$J,"AASM-250")+SUMIFS('Таблиця 1'!$K:$K,'Таблиця 1'!$B:$B,$A370,'Таблиця 1'!$I:$I,"МіГ-29",'Таблиця 1'!$J:$J,"AASM-250")+SUMIFS('Таблиця 1'!$K:$K,'Таблиця 1'!$B:$B,$A370,'Таблиця 1'!$I:$I,"Су-25",'Таблиця 1'!$J:$J,"AASM-250")+SUMIFS('Таблиця 1'!$K:$K,'Таблиця 1'!$B:$B,$A370,'Таблиця 1'!$I:$I,"Су-27",'Таблиця 1'!$J:$J,"AASM-250"))</f>
        <v/>
      </c>
      <c r="J370">
        <f>IF($A370="","",SUMIFS('Таблиця 1'!$K:$K,'Таблиця 1'!$B:$B,$A370,'Таблиця 1'!$I:$I,"Mirage",'Таблиця 1'!$J:$J,"GBU-39")+SUMIFS('Таблиця 1'!$K:$K,'Таблиця 1'!$B:$B,$A370,'Таблиця 1'!$I:$I,"F-16",'Таблиця 1'!$J:$J,"GBU-39")+SUMIFS('Таблиця 1'!$K:$K,'Таблиця 1'!$B:$B,$A370,'Таблиця 1'!$I:$I,"МіГ-29",'Таблиця 1'!$J:$J,"GBU-39")+SUMIFS('Таблиця 1'!$K:$K,'Таблиця 1'!$B:$B,$A370,'Таблиця 1'!$I:$I,"Су-25",'Таблиця 1'!$J:$J,"GBU-39")+SUMIFS('Таблиця 1'!$K:$K,'Таблиця 1'!$B:$B,$A370,'Таблиця 1'!$I:$I,"Су-27",'Таблиця 1'!$J:$J,"GBU-39"))</f>
        <v/>
      </c>
      <c r="K370">
        <f>IF($A370="","",SUMIFS('Таблиця 1'!$K:$K,'Таблиця 1'!$B:$B,$A370,'Таблиця 1'!$I:$I,"Mirage",'Таблиця 1'!$J:$J,"BLU-140")+SUMIFS('Таблиця 1'!$K:$K,'Таблиця 1'!$B:$B,$A370,'Таблиця 1'!$I:$I,"F-16",'Таблиця 1'!$J:$J,"BLU-140")+SUMIFS('Таблиця 1'!$K:$K,'Таблиця 1'!$B:$B,$A370,'Таблиця 1'!$I:$I,"МіГ-29",'Таблиця 1'!$J:$J,"BLU-140")+SUMIFS('Таблиця 1'!$K:$K,'Таблиця 1'!$B:$B,$A370,'Таблиця 1'!$I:$I,"Су-25",'Таблиця 1'!$J:$J,"BLU-140")+SUMIFS('Таблиця 1'!$K:$K,'Таблиця 1'!$B:$B,$A370,'Таблиця 1'!$I:$I,"Су-27",'Таблиця 1'!$J:$J,"BLU-140"))</f>
        <v/>
      </c>
      <c r="L370">
        <f>IF($A370="","",SUMIFS('Таблиця 1'!$K:$K,'Таблиця 1'!$B:$B,$A370,'Таблиця 1'!$I:$I,"Mirage",'Таблиця 1'!$J:$J,"GBU-65")+SUMIFS('Таблиця 1'!$K:$K,'Таблиця 1'!$B:$B,$A370,'Таблиця 1'!$I:$I,"F-16",'Таблиця 1'!$J:$J,"GBU-65")+SUMIFS('Таблиця 1'!$K:$K,'Таблиця 1'!$B:$B,$A370,'Таблиця 1'!$I:$I,"МіГ-29",'Таблиця 1'!$J:$J,"GBU-65")+SUMIFS('Таблиця 1'!$K:$K,'Таблиця 1'!$B:$B,$A370,'Таблиця 1'!$I:$I,"Су-25",'Таблиця 1'!$J:$J,"GBU-65")+SUMIFS('Таблиця 1'!$K:$K,'Таблиця 1'!$B:$B,$A370,'Таблиця 1'!$I:$I,"Су-27",'Таблиця 1'!$J:$J,"GBU-65"))</f>
        <v/>
      </c>
      <c r="M370">
        <f>IF($A370="","",SUMIFS('Таблиця 1'!$K:$K,'Таблиця 1'!$B:$B,$A370,'Таблиця 1'!$I:$I,"Mirage",'Таблиця 1'!$J:$J,"GBU-62")+SUMIFS('Таблиця 1'!$K:$K,'Таблиця 1'!$B:$B,$A370,'Таблиця 1'!$I:$I,"F-16",'Таблиця 1'!$J:$J,"GBU-62")+SUMIFS('Таблиця 1'!$K:$K,'Таблиця 1'!$B:$B,$A370,'Таблиця 1'!$I:$I,"МіГ-29",'Таблиця 1'!$J:$J,"GBU-62")+SUMIFS('Таблиця 1'!$K:$K,'Таблиця 1'!$B:$B,$A370,'Таблиця 1'!$I:$I,"Су-25",'Таблиця 1'!$J:$J,"GBU-62")+SUMIFS('Таблиця 1'!$K:$K,'Таблиця 1'!$B:$B,$A370,'Таблиця 1'!$I:$I,"Су-27",'Таблиця 1'!$J:$J,"GBU-62"))</f>
        <v/>
      </c>
      <c r="N370">
        <f>IF($A370="","",SUMIFS('Таблиця 1'!$K:$K,'Таблиця 1'!$B:$B,$A370,'Таблиця 1'!$I:$I,"Mirage",'Таблиця 1'!$J:$J,"GBU-64")+SUMIFS('Таблиця 1'!$K:$K,'Таблиця 1'!$B:$B,$A370,'Таблиця 1'!$I:$I,"F-16",'Таблиця 1'!$J:$J,"GBU-64")+SUMIFS('Таблиця 1'!$K:$K,'Таблиця 1'!$B:$B,$A370,'Таблиця 1'!$I:$I,"МіГ-29",'Таблиця 1'!$J:$J,"GBU-64")+SUMIFS('Таблиця 1'!$K:$K,'Таблиця 1'!$B:$B,$A370,'Таблиця 1'!$I:$I,"Су-25",'Таблиця 1'!$J:$J,"GBU-64")+SUMIFS('Таблиця 1'!$K:$K,'Таблиця 1'!$B:$B,$A370,'Таблиця 1'!$I:$I,"Су-27",'Таблиця 1'!$J:$J,"GBU-64"))</f>
        <v/>
      </c>
      <c r="O370">
        <f>IF($A370="","",SUMIFS('Таблиця 1'!$K:$K,'Таблиця 1'!$B:$B,$A370,'Таблиця 1'!$I:$I,"Mirage",'Таблиця 1'!$J:$J,"C-13")+SUMIFS('Таблиця 1'!$K:$K,'Таблиця 1'!$B:$B,$A370,'Таблиця 1'!$I:$I,"F-16",'Таблиця 1'!$J:$J,"C-13")+SUMIFS('Таблиця 1'!$K:$K,'Таблиця 1'!$B:$B,$A370,'Таблиця 1'!$I:$I,"МіГ-29",'Таблиця 1'!$J:$J,"C-13")+SUMIFS('Таблиця 1'!$K:$K,'Таблиця 1'!$B:$B,$A370,'Таблиця 1'!$I:$I,"Су-25",'Таблиця 1'!$J:$J,"C-13")+SUMIFS('Таблиця 1'!$K:$K,'Таблиця 1'!$B:$B,$A370,'Таблиця 1'!$I:$I,"Су-27",'Таблиця 1'!$J:$J,"C-13"))</f>
        <v/>
      </c>
      <c r="P370">
        <f>IF($A370="","",SUMIFS('Таблиця 1'!$K:$K,'Таблиця 1'!$B:$B,$A370,'Таблиця 1'!$I:$I,"Mirage",'Таблиця 1'!$J:$J,"MK-32")+SUMIFS('Таблиця 1'!$K:$K,'Таблиця 1'!$B:$B,$A370,'Таблиця 1'!$I:$I,"F-16",'Таблиця 1'!$J:$J,"MK-32")+SUMIFS('Таблиця 1'!$K:$K,'Таблиця 1'!$B:$B,$A370,'Таблиця 1'!$I:$I,"МіГ-29",'Таблиця 1'!$J:$J,"MK-32")+SUMIFS('Таблиця 1'!$K:$K,'Таблиця 1'!$B:$B,$A370,'Таблиця 1'!$I:$I,"Су-25",'Таблиця 1'!$J:$J,"MK-32")+SUMIFS('Таблиця 1'!$K:$K,'Таблиця 1'!$B:$B,$A370,'Таблиця 1'!$I:$I,"Су-27",'Таблиця 1'!$J:$J,"MK-32"))</f>
        <v/>
      </c>
      <c r="Q370">
        <f>IF($A370="","",SUMIFS('Таблиця 1'!$K:$K,'Таблиця 1'!$B:$B,$A370,'Таблиця 1'!$I:$I,"Mirage",'Таблиця 1'!$J:$J,"MK-24")+SUMIFS('Таблиця 1'!$K:$K,'Таблиця 1'!$B:$B,$A370,'Таблиця 1'!$I:$I,"F-16",'Таблиця 1'!$J:$J,"MK-24")+SUMIFS('Таблиця 1'!$K:$K,'Таблиця 1'!$B:$B,$A370,'Таблиця 1'!$I:$I,"МіГ-29",'Таблиця 1'!$J:$J,"MK-24")+SUMIFS('Таблиця 1'!$K:$K,'Таблиця 1'!$B:$B,$A370,'Таблиця 1'!$I:$I,"Су-25",'Таблиця 1'!$J:$J,"MK-24")+SUMIFS('Таблиця 1'!$K:$K,'Таблиця 1'!$B:$B,$A370,'Таблиця 1'!$I:$I,"Су-27",'Таблиця 1'!$J:$J,"MK-24"))</f>
        <v/>
      </c>
      <c r="R370">
        <f>IF($A370="","",COUNTIFS('Таблиця 1'!$B:$B,$A370,'Таблиця 1'!$I:$I,"Mirage",'Таблиця 1'!$L:$L,"Уражено")+COUNTIFS('Таблиця 1'!$B:$B,$A370,'Таблиця 1'!$I:$I,"F-16",'Таблиця 1'!$L:$L,"Уражено")+COUNTIFS('Таблиця 1'!$B:$B,$A370,'Таблиця 1'!$I:$I,"МіГ-29",'Таблиця 1'!$L:$L,"Уражено")+COUNTIFS('Таблиця 1'!$B:$B,$A370,'Таблиця 1'!$I:$I,"Су-25",'Таблиця 1'!$L:$L,"Уражено")+COUNTIFS('Таблиця 1'!$B:$B,$A370,'Таблиця 1'!$I:$I,"Су-27",'Таблиця 1'!$L:$L,"Уражено"))</f>
        <v/>
      </c>
      <c r="S370">
        <f>IF($A370="","",COUNTIFS('Таблиця 1'!$B:$B,$A370,'Таблиця 1'!$I:$I,"Mirage",'Таблиця 1'!$L:$L,"НЕ уражено")+COUNTIFS('Таблиця 1'!$B:$B,$A370,'Таблиця 1'!$I:$I,"F-16",'Таблиця 1'!$L:$L,"НЕ уражено")+COUNTIFS('Таблиця 1'!$B:$B,$A370,'Таблиця 1'!$I:$I,"МіГ-29",'Таблиця 1'!$L:$L,"НЕ уражено")+COUNTIFS('Таблиця 1'!$B:$B,$A370,'Таблиця 1'!$I:$I,"Су-25",'Таблиця 1'!$L:$L,"НЕ уражено")+COUNTIFS('Таблиця 1'!$B:$B,$A370,'Таблиця 1'!$I:$I,"Су-27",'Таблиця 1'!$L:$L,"НЕ уражено"))</f>
        <v/>
      </c>
      <c r="T370">
        <f>IF($A370="","",COUNTIFS('Таблиця 1'!$B:$B,$A370,'Таблиця 1'!$I:$I,"Mirage",'Таблиця 1'!$L:$L,"Дорозвідується")+COUNTIFS('Таблиця 1'!$B:$B,$A370,'Таблиця 1'!$I:$I,"F-16",'Таблиця 1'!$L:$L,"Дорозвідується")+COUNTIFS('Таблиця 1'!$B:$B,$A370,'Таблиця 1'!$I:$I,"МіГ-29",'Таблиця 1'!$L:$L,"Дорозвідується")+COUNTIFS('Таблиця 1'!$B:$B,$A370,'Таблиця 1'!$I:$I,"Су-25",'Таблиця 1'!$L:$L,"Дорозвідується")+COUNTIFS('Таблиця 1'!$B:$B,$A370,'Таблиця 1'!$I:$I,"Су-27",'Таблиця 1'!$L:$L,"Дорозвідується"))</f>
        <v/>
      </c>
    </row>
    <row r="371">
      <c r="A371" s="273">
        <f>IF(A370="","",IF(A370+1&gt;MAX('Таблиця 1'!$B:$B),"",A370+1))</f>
        <v/>
      </c>
      <c r="B371">
        <f>IF($A371="","",COUNTIFS('Таблиця 1'!$B:$B,$A371,'Таблиця 1'!$I:$I,"Mirage")+COUNTIFS('Таблиця 1'!$B:$B,$A371,'Таблиця 1'!$I:$I,"F-16")+COUNTIFS('Таблиця 1'!$B:$B,$A371,'Таблиця 1'!$I:$I,"МіГ-29")+COUNTIFS('Таблиця 1'!$B:$B,$A371,'Таблиця 1'!$I:$I,"Су-25")+COUNTIFS('Таблиця 1'!$B:$B,$A371,'Таблиця 1'!$I:$I,"Су-27"))</f>
        <v/>
      </c>
      <c r="C371">
        <f>IF($A371="","",COUNTIFS('Таблиця 1'!$B:$B,$A371,'Таблиця 1'!$I:$I,"Mirage"))</f>
        <v/>
      </c>
      <c r="D371">
        <f>IF($A371="","",COUNTIFS('Таблиця 1'!$B:$B,$A371,'Таблиця 1'!$I:$I,"F-16"))</f>
        <v/>
      </c>
      <c r="E371">
        <f>IF($A371="","",COUNTIFS('Таблиця 1'!$B:$B,$A371,'Таблиця 1'!$I:$I,"МіГ-29"))</f>
        <v/>
      </c>
      <c r="F371">
        <f>IF($A371="","",COUNTIFS('Таблиця 1'!$B:$B,$A371,'Таблиця 1'!$I:$I,"Су-25"))</f>
        <v/>
      </c>
      <c r="G371">
        <f>IF($A371="","",COUNTIFS('Таблиця 1'!$B:$B,$A371,'Таблиця 1'!$I:$I,"Су-27"))</f>
        <v/>
      </c>
      <c r="H371">
        <f>IF($A371="","",SUMIFS('Таблиця 1'!$K:$K,'Таблиця 1'!$B:$B,$A371,'Таблиця 1'!$I:$I,"Mirage",'Таблиця 1'!$J:$J,"AGM-88")+SUMIFS('Таблиця 1'!$K:$K,'Таблиця 1'!$B:$B,$A371,'Таблиця 1'!$I:$I,"F-16",'Таблиця 1'!$J:$J,"AGM-88")+SUMIFS('Таблиця 1'!$K:$K,'Таблиця 1'!$B:$B,$A371,'Таблиця 1'!$I:$I,"МіГ-29",'Таблиця 1'!$J:$J,"AGM-88")+SUMIFS('Таблиця 1'!$K:$K,'Таблиця 1'!$B:$B,$A371,'Таблиця 1'!$I:$I,"Су-25",'Таблиця 1'!$J:$J,"AGM-88")+SUMIFS('Таблиця 1'!$K:$K,'Таблиця 1'!$B:$B,$A371,'Таблиця 1'!$I:$I,"Су-27",'Таблиця 1'!$J:$J,"AGM-88"))</f>
        <v/>
      </c>
      <c r="I371">
        <f>IF($A371="","",SUMIFS('Таблиця 1'!$K:$K,'Таблиця 1'!$B:$B,$A371,'Таблиця 1'!$I:$I,"Mirage",'Таблиця 1'!$J:$J,"AASM-250")+SUMIFS('Таблиця 1'!$K:$K,'Таблиця 1'!$B:$B,$A371,'Таблиця 1'!$I:$I,"F-16",'Таблиця 1'!$J:$J,"AASM-250")+SUMIFS('Таблиця 1'!$K:$K,'Таблиця 1'!$B:$B,$A371,'Таблиця 1'!$I:$I,"МіГ-29",'Таблиця 1'!$J:$J,"AASM-250")+SUMIFS('Таблиця 1'!$K:$K,'Таблиця 1'!$B:$B,$A371,'Таблиця 1'!$I:$I,"Су-25",'Таблиця 1'!$J:$J,"AASM-250")+SUMIFS('Таблиця 1'!$K:$K,'Таблиця 1'!$B:$B,$A371,'Таблиця 1'!$I:$I,"Су-27",'Таблиця 1'!$J:$J,"AASM-250"))</f>
        <v/>
      </c>
      <c r="J371">
        <f>IF($A371="","",SUMIFS('Таблиця 1'!$K:$K,'Таблиця 1'!$B:$B,$A371,'Таблиця 1'!$I:$I,"Mirage",'Таблиця 1'!$J:$J,"GBU-39")+SUMIFS('Таблиця 1'!$K:$K,'Таблиця 1'!$B:$B,$A371,'Таблиця 1'!$I:$I,"F-16",'Таблиця 1'!$J:$J,"GBU-39")+SUMIFS('Таблиця 1'!$K:$K,'Таблиця 1'!$B:$B,$A371,'Таблиця 1'!$I:$I,"МіГ-29",'Таблиця 1'!$J:$J,"GBU-39")+SUMIFS('Таблиця 1'!$K:$K,'Таблиця 1'!$B:$B,$A371,'Таблиця 1'!$I:$I,"Су-25",'Таблиця 1'!$J:$J,"GBU-39")+SUMIFS('Таблиця 1'!$K:$K,'Таблиця 1'!$B:$B,$A371,'Таблиця 1'!$I:$I,"Су-27",'Таблиця 1'!$J:$J,"GBU-39"))</f>
        <v/>
      </c>
      <c r="K371">
        <f>IF($A371="","",SUMIFS('Таблиця 1'!$K:$K,'Таблиця 1'!$B:$B,$A371,'Таблиця 1'!$I:$I,"Mirage",'Таблиця 1'!$J:$J,"BLU-140")+SUMIFS('Таблиця 1'!$K:$K,'Таблиця 1'!$B:$B,$A371,'Таблиця 1'!$I:$I,"F-16",'Таблиця 1'!$J:$J,"BLU-140")+SUMIFS('Таблиця 1'!$K:$K,'Таблиця 1'!$B:$B,$A371,'Таблиця 1'!$I:$I,"МіГ-29",'Таблиця 1'!$J:$J,"BLU-140")+SUMIFS('Таблиця 1'!$K:$K,'Таблиця 1'!$B:$B,$A371,'Таблиця 1'!$I:$I,"Су-25",'Таблиця 1'!$J:$J,"BLU-140")+SUMIFS('Таблиця 1'!$K:$K,'Таблиця 1'!$B:$B,$A371,'Таблиця 1'!$I:$I,"Су-27",'Таблиця 1'!$J:$J,"BLU-140"))</f>
        <v/>
      </c>
      <c r="L371">
        <f>IF($A371="","",SUMIFS('Таблиця 1'!$K:$K,'Таблиця 1'!$B:$B,$A371,'Таблиця 1'!$I:$I,"Mirage",'Таблиця 1'!$J:$J,"GBU-65")+SUMIFS('Таблиця 1'!$K:$K,'Таблиця 1'!$B:$B,$A371,'Таблиця 1'!$I:$I,"F-16",'Таблиця 1'!$J:$J,"GBU-65")+SUMIFS('Таблиця 1'!$K:$K,'Таблиця 1'!$B:$B,$A371,'Таблиця 1'!$I:$I,"МіГ-29",'Таблиця 1'!$J:$J,"GBU-65")+SUMIFS('Таблиця 1'!$K:$K,'Таблиця 1'!$B:$B,$A371,'Таблиця 1'!$I:$I,"Су-25",'Таблиця 1'!$J:$J,"GBU-65")+SUMIFS('Таблиця 1'!$K:$K,'Таблиця 1'!$B:$B,$A371,'Таблиця 1'!$I:$I,"Су-27",'Таблиця 1'!$J:$J,"GBU-65"))</f>
        <v/>
      </c>
      <c r="M371">
        <f>IF($A371="","",SUMIFS('Таблиця 1'!$K:$K,'Таблиця 1'!$B:$B,$A371,'Таблиця 1'!$I:$I,"Mirage",'Таблиця 1'!$J:$J,"GBU-62")+SUMIFS('Таблиця 1'!$K:$K,'Таблиця 1'!$B:$B,$A371,'Таблиця 1'!$I:$I,"F-16",'Таблиця 1'!$J:$J,"GBU-62")+SUMIFS('Таблиця 1'!$K:$K,'Таблиця 1'!$B:$B,$A371,'Таблиця 1'!$I:$I,"МіГ-29",'Таблиця 1'!$J:$J,"GBU-62")+SUMIFS('Таблиця 1'!$K:$K,'Таблиця 1'!$B:$B,$A371,'Таблиця 1'!$I:$I,"Су-25",'Таблиця 1'!$J:$J,"GBU-62")+SUMIFS('Таблиця 1'!$K:$K,'Таблиця 1'!$B:$B,$A371,'Таблиця 1'!$I:$I,"Су-27",'Таблиця 1'!$J:$J,"GBU-62"))</f>
        <v/>
      </c>
      <c r="N371">
        <f>IF($A371="","",SUMIFS('Таблиця 1'!$K:$K,'Таблиця 1'!$B:$B,$A371,'Таблиця 1'!$I:$I,"Mirage",'Таблиця 1'!$J:$J,"GBU-64")+SUMIFS('Таблиця 1'!$K:$K,'Таблиця 1'!$B:$B,$A371,'Таблиця 1'!$I:$I,"F-16",'Таблиця 1'!$J:$J,"GBU-64")+SUMIFS('Таблиця 1'!$K:$K,'Таблиця 1'!$B:$B,$A371,'Таблиця 1'!$I:$I,"МіГ-29",'Таблиця 1'!$J:$J,"GBU-64")+SUMIFS('Таблиця 1'!$K:$K,'Таблиця 1'!$B:$B,$A371,'Таблиця 1'!$I:$I,"Су-25",'Таблиця 1'!$J:$J,"GBU-64")+SUMIFS('Таблиця 1'!$K:$K,'Таблиця 1'!$B:$B,$A371,'Таблиця 1'!$I:$I,"Су-27",'Таблиця 1'!$J:$J,"GBU-64"))</f>
        <v/>
      </c>
      <c r="O371">
        <f>IF($A371="","",SUMIFS('Таблиця 1'!$K:$K,'Таблиця 1'!$B:$B,$A371,'Таблиця 1'!$I:$I,"Mirage",'Таблиця 1'!$J:$J,"C-13")+SUMIFS('Таблиця 1'!$K:$K,'Таблиця 1'!$B:$B,$A371,'Таблиця 1'!$I:$I,"F-16",'Таблиця 1'!$J:$J,"C-13")+SUMIFS('Таблиця 1'!$K:$K,'Таблиця 1'!$B:$B,$A371,'Таблиця 1'!$I:$I,"МіГ-29",'Таблиця 1'!$J:$J,"C-13")+SUMIFS('Таблиця 1'!$K:$K,'Таблиця 1'!$B:$B,$A371,'Таблиця 1'!$I:$I,"Су-25",'Таблиця 1'!$J:$J,"C-13")+SUMIFS('Таблиця 1'!$K:$K,'Таблиця 1'!$B:$B,$A371,'Таблиця 1'!$I:$I,"Су-27",'Таблиця 1'!$J:$J,"C-13"))</f>
        <v/>
      </c>
      <c r="P371">
        <f>IF($A371="","",SUMIFS('Таблиця 1'!$K:$K,'Таблиця 1'!$B:$B,$A371,'Таблиця 1'!$I:$I,"Mirage",'Таблиця 1'!$J:$J,"MK-32")+SUMIFS('Таблиця 1'!$K:$K,'Таблиця 1'!$B:$B,$A371,'Таблиця 1'!$I:$I,"F-16",'Таблиця 1'!$J:$J,"MK-32")+SUMIFS('Таблиця 1'!$K:$K,'Таблиця 1'!$B:$B,$A371,'Таблиця 1'!$I:$I,"МіГ-29",'Таблиця 1'!$J:$J,"MK-32")+SUMIFS('Таблиця 1'!$K:$K,'Таблиця 1'!$B:$B,$A371,'Таблиця 1'!$I:$I,"Су-25",'Таблиця 1'!$J:$J,"MK-32")+SUMIFS('Таблиця 1'!$K:$K,'Таблиця 1'!$B:$B,$A371,'Таблиця 1'!$I:$I,"Су-27",'Таблиця 1'!$J:$J,"MK-32"))</f>
        <v/>
      </c>
      <c r="Q371">
        <f>IF($A371="","",SUMIFS('Таблиця 1'!$K:$K,'Таблиця 1'!$B:$B,$A371,'Таблиця 1'!$I:$I,"Mirage",'Таблиця 1'!$J:$J,"MK-24")+SUMIFS('Таблиця 1'!$K:$K,'Таблиця 1'!$B:$B,$A371,'Таблиця 1'!$I:$I,"F-16",'Таблиця 1'!$J:$J,"MK-24")+SUMIFS('Таблиця 1'!$K:$K,'Таблиця 1'!$B:$B,$A371,'Таблиця 1'!$I:$I,"МіГ-29",'Таблиця 1'!$J:$J,"MK-24")+SUMIFS('Таблиця 1'!$K:$K,'Таблиця 1'!$B:$B,$A371,'Таблиця 1'!$I:$I,"Су-25",'Таблиця 1'!$J:$J,"MK-24")+SUMIFS('Таблиця 1'!$K:$K,'Таблиця 1'!$B:$B,$A371,'Таблиця 1'!$I:$I,"Су-27",'Таблиця 1'!$J:$J,"MK-24"))</f>
        <v/>
      </c>
      <c r="R371">
        <f>IF($A371="","",COUNTIFS('Таблиця 1'!$B:$B,$A371,'Таблиця 1'!$I:$I,"Mirage",'Таблиця 1'!$L:$L,"Уражено")+COUNTIFS('Таблиця 1'!$B:$B,$A371,'Таблиця 1'!$I:$I,"F-16",'Таблиця 1'!$L:$L,"Уражено")+COUNTIFS('Таблиця 1'!$B:$B,$A371,'Таблиця 1'!$I:$I,"МіГ-29",'Таблиця 1'!$L:$L,"Уражено")+COUNTIFS('Таблиця 1'!$B:$B,$A371,'Таблиця 1'!$I:$I,"Су-25",'Таблиця 1'!$L:$L,"Уражено")+COUNTIFS('Таблиця 1'!$B:$B,$A371,'Таблиця 1'!$I:$I,"Су-27",'Таблиця 1'!$L:$L,"Уражено"))</f>
        <v/>
      </c>
      <c r="S371">
        <f>IF($A371="","",COUNTIFS('Таблиця 1'!$B:$B,$A371,'Таблиця 1'!$I:$I,"Mirage",'Таблиця 1'!$L:$L,"НЕ уражено")+COUNTIFS('Таблиця 1'!$B:$B,$A371,'Таблиця 1'!$I:$I,"F-16",'Таблиця 1'!$L:$L,"НЕ уражено")+COUNTIFS('Таблиця 1'!$B:$B,$A371,'Таблиця 1'!$I:$I,"МіГ-29",'Таблиця 1'!$L:$L,"НЕ уражено")+COUNTIFS('Таблиця 1'!$B:$B,$A371,'Таблиця 1'!$I:$I,"Су-25",'Таблиця 1'!$L:$L,"НЕ уражено")+COUNTIFS('Таблиця 1'!$B:$B,$A371,'Таблиця 1'!$I:$I,"Су-27",'Таблиця 1'!$L:$L,"НЕ уражено"))</f>
        <v/>
      </c>
      <c r="T371">
        <f>IF($A371="","",COUNTIFS('Таблиця 1'!$B:$B,$A371,'Таблиця 1'!$I:$I,"Mirage",'Таблиця 1'!$L:$L,"Дорозвідується")+COUNTIFS('Таблиця 1'!$B:$B,$A371,'Таблиця 1'!$I:$I,"F-16",'Таблиця 1'!$L:$L,"Дорозвідується")+COUNTIFS('Таблиця 1'!$B:$B,$A371,'Таблиця 1'!$I:$I,"МіГ-29",'Таблиця 1'!$L:$L,"Дорозвідується")+COUNTIFS('Таблиця 1'!$B:$B,$A371,'Таблиця 1'!$I:$I,"Су-25",'Таблиця 1'!$L:$L,"Дорозвідується")+COUNTIFS('Таблиця 1'!$B:$B,$A371,'Таблиця 1'!$I:$I,"Су-27",'Таблиця 1'!$L:$L,"Дорозвідується"))</f>
        <v/>
      </c>
    </row>
    <row r="372">
      <c r="A372" s="273">
        <f>IF(A371="","",IF(A371+1&gt;MAX('Таблиця 1'!$B:$B),"",A371+1))</f>
        <v/>
      </c>
      <c r="B372">
        <f>IF($A372="","",COUNTIFS('Таблиця 1'!$B:$B,$A372,'Таблиця 1'!$I:$I,"Mirage")+COUNTIFS('Таблиця 1'!$B:$B,$A372,'Таблиця 1'!$I:$I,"F-16")+COUNTIFS('Таблиця 1'!$B:$B,$A372,'Таблиця 1'!$I:$I,"МіГ-29")+COUNTIFS('Таблиця 1'!$B:$B,$A372,'Таблиця 1'!$I:$I,"Су-25")+COUNTIFS('Таблиця 1'!$B:$B,$A372,'Таблиця 1'!$I:$I,"Су-27"))</f>
        <v/>
      </c>
      <c r="C372">
        <f>IF($A372="","",COUNTIFS('Таблиця 1'!$B:$B,$A372,'Таблиця 1'!$I:$I,"Mirage"))</f>
        <v/>
      </c>
      <c r="D372">
        <f>IF($A372="","",COUNTIFS('Таблиця 1'!$B:$B,$A372,'Таблиця 1'!$I:$I,"F-16"))</f>
        <v/>
      </c>
      <c r="E372">
        <f>IF($A372="","",COUNTIFS('Таблиця 1'!$B:$B,$A372,'Таблиця 1'!$I:$I,"МіГ-29"))</f>
        <v/>
      </c>
      <c r="F372">
        <f>IF($A372="","",COUNTIFS('Таблиця 1'!$B:$B,$A372,'Таблиця 1'!$I:$I,"Су-25"))</f>
        <v/>
      </c>
      <c r="G372">
        <f>IF($A372="","",COUNTIFS('Таблиця 1'!$B:$B,$A372,'Таблиця 1'!$I:$I,"Су-27"))</f>
        <v/>
      </c>
      <c r="H372">
        <f>IF($A372="","",SUMIFS('Таблиця 1'!$K:$K,'Таблиця 1'!$B:$B,$A372,'Таблиця 1'!$I:$I,"Mirage",'Таблиця 1'!$J:$J,"AGM-88")+SUMIFS('Таблиця 1'!$K:$K,'Таблиця 1'!$B:$B,$A372,'Таблиця 1'!$I:$I,"F-16",'Таблиця 1'!$J:$J,"AGM-88")+SUMIFS('Таблиця 1'!$K:$K,'Таблиця 1'!$B:$B,$A372,'Таблиця 1'!$I:$I,"МіГ-29",'Таблиця 1'!$J:$J,"AGM-88")+SUMIFS('Таблиця 1'!$K:$K,'Таблиця 1'!$B:$B,$A372,'Таблиця 1'!$I:$I,"Су-25",'Таблиця 1'!$J:$J,"AGM-88")+SUMIFS('Таблиця 1'!$K:$K,'Таблиця 1'!$B:$B,$A372,'Таблиця 1'!$I:$I,"Су-27",'Таблиця 1'!$J:$J,"AGM-88"))</f>
        <v/>
      </c>
      <c r="I372">
        <f>IF($A372="","",SUMIFS('Таблиця 1'!$K:$K,'Таблиця 1'!$B:$B,$A372,'Таблиця 1'!$I:$I,"Mirage",'Таблиця 1'!$J:$J,"AASM-250")+SUMIFS('Таблиця 1'!$K:$K,'Таблиця 1'!$B:$B,$A372,'Таблиця 1'!$I:$I,"F-16",'Таблиця 1'!$J:$J,"AASM-250")+SUMIFS('Таблиця 1'!$K:$K,'Таблиця 1'!$B:$B,$A372,'Таблиця 1'!$I:$I,"МіГ-29",'Таблиця 1'!$J:$J,"AASM-250")+SUMIFS('Таблиця 1'!$K:$K,'Таблиця 1'!$B:$B,$A372,'Таблиця 1'!$I:$I,"Су-25",'Таблиця 1'!$J:$J,"AASM-250")+SUMIFS('Таблиця 1'!$K:$K,'Таблиця 1'!$B:$B,$A372,'Таблиця 1'!$I:$I,"Су-27",'Таблиця 1'!$J:$J,"AASM-250"))</f>
        <v/>
      </c>
      <c r="J372">
        <f>IF($A372="","",SUMIFS('Таблиця 1'!$K:$K,'Таблиця 1'!$B:$B,$A372,'Таблиця 1'!$I:$I,"Mirage",'Таблиця 1'!$J:$J,"GBU-39")+SUMIFS('Таблиця 1'!$K:$K,'Таблиця 1'!$B:$B,$A372,'Таблиця 1'!$I:$I,"F-16",'Таблиця 1'!$J:$J,"GBU-39")+SUMIFS('Таблиця 1'!$K:$K,'Таблиця 1'!$B:$B,$A372,'Таблиця 1'!$I:$I,"МіГ-29",'Таблиця 1'!$J:$J,"GBU-39")+SUMIFS('Таблиця 1'!$K:$K,'Таблиця 1'!$B:$B,$A372,'Таблиця 1'!$I:$I,"Су-25",'Таблиця 1'!$J:$J,"GBU-39")+SUMIFS('Таблиця 1'!$K:$K,'Таблиця 1'!$B:$B,$A372,'Таблиця 1'!$I:$I,"Су-27",'Таблиця 1'!$J:$J,"GBU-39"))</f>
        <v/>
      </c>
      <c r="K372">
        <f>IF($A372="","",SUMIFS('Таблиця 1'!$K:$K,'Таблиця 1'!$B:$B,$A372,'Таблиця 1'!$I:$I,"Mirage",'Таблиця 1'!$J:$J,"BLU-140")+SUMIFS('Таблиця 1'!$K:$K,'Таблиця 1'!$B:$B,$A372,'Таблиця 1'!$I:$I,"F-16",'Таблиця 1'!$J:$J,"BLU-140")+SUMIFS('Таблиця 1'!$K:$K,'Таблиця 1'!$B:$B,$A372,'Таблиця 1'!$I:$I,"МіГ-29",'Таблиця 1'!$J:$J,"BLU-140")+SUMIFS('Таблиця 1'!$K:$K,'Таблиця 1'!$B:$B,$A372,'Таблиця 1'!$I:$I,"Су-25",'Таблиця 1'!$J:$J,"BLU-140")+SUMIFS('Таблиця 1'!$K:$K,'Таблиця 1'!$B:$B,$A372,'Таблиця 1'!$I:$I,"Су-27",'Таблиця 1'!$J:$J,"BLU-140"))</f>
        <v/>
      </c>
      <c r="L372">
        <f>IF($A372="","",SUMIFS('Таблиця 1'!$K:$K,'Таблиця 1'!$B:$B,$A372,'Таблиця 1'!$I:$I,"Mirage",'Таблиця 1'!$J:$J,"GBU-65")+SUMIFS('Таблиця 1'!$K:$K,'Таблиця 1'!$B:$B,$A372,'Таблиця 1'!$I:$I,"F-16",'Таблиця 1'!$J:$J,"GBU-65")+SUMIFS('Таблиця 1'!$K:$K,'Таблиця 1'!$B:$B,$A372,'Таблиця 1'!$I:$I,"МіГ-29",'Таблиця 1'!$J:$J,"GBU-65")+SUMIFS('Таблиця 1'!$K:$K,'Таблиця 1'!$B:$B,$A372,'Таблиця 1'!$I:$I,"Су-25",'Таблиця 1'!$J:$J,"GBU-65")+SUMIFS('Таблиця 1'!$K:$K,'Таблиця 1'!$B:$B,$A372,'Таблиця 1'!$I:$I,"Су-27",'Таблиця 1'!$J:$J,"GBU-65"))</f>
        <v/>
      </c>
      <c r="M372">
        <f>IF($A372="","",SUMIFS('Таблиця 1'!$K:$K,'Таблиця 1'!$B:$B,$A372,'Таблиця 1'!$I:$I,"Mirage",'Таблиця 1'!$J:$J,"GBU-62")+SUMIFS('Таблиця 1'!$K:$K,'Таблиця 1'!$B:$B,$A372,'Таблиця 1'!$I:$I,"F-16",'Таблиця 1'!$J:$J,"GBU-62")+SUMIFS('Таблиця 1'!$K:$K,'Таблиця 1'!$B:$B,$A372,'Таблиця 1'!$I:$I,"МіГ-29",'Таблиця 1'!$J:$J,"GBU-62")+SUMIFS('Таблиця 1'!$K:$K,'Таблиця 1'!$B:$B,$A372,'Таблиця 1'!$I:$I,"Су-25",'Таблиця 1'!$J:$J,"GBU-62")+SUMIFS('Таблиця 1'!$K:$K,'Таблиця 1'!$B:$B,$A372,'Таблиця 1'!$I:$I,"Су-27",'Таблиця 1'!$J:$J,"GBU-62"))</f>
        <v/>
      </c>
      <c r="N372">
        <f>IF($A372="","",SUMIFS('Таблиця 1'!$K:$K,'Таблиця 1'!$B:$B,$A372,'Таблиця 1'!$I:$I,"Mirage",'Таблиця 1'!$J:$J,"GBU-64")+SUMIFS('Таблиця 1'!$K:$K,'Таблиця 1'!$B:$B,$A372,'Таблиця 1'!$I:$I,"F-16",'Таблиця 1'!$J:$J,"GBU-64")+SUMIFS('Таблиця 1'!$K:$K,'Таблиця 1'!$B:$B,$A372,'Таблиця 1'!$I:$I,"МіГ-29",'Таблиця 1'!$J:$J,"GBU-64")+SUMIFS('Таблиця 1'!$K:$K,'Таблиця 1'!$B:$B,$A372,'Таблиця 1'!$I:$I,"Су-25",'Таблиця 1'!$J:$J,"GBU-64")+SUMIFS('Таблиця 1'!$K:$K,'Таблиця 1'!$B:$B,$A372,'Таблиця 1'!$I:$I,"Су-27",'Таблиця 1'!$J:$J,"GBU-64"))</f>
        <v/>
      </c>
      <c r="O372">
        <f>IF($A372="","",SUMIFS('Таблиця 1'!$K:$K,'Таблиця 1'!$B:$B,$A372,'Таблиця 1'!$I:$I,"Mirage",'Таблиця 1'!$J:$J,"C-13")+SUMIFS('Таблиця 1'!$K:$K,'Таблиця 1'!$B:$B,$A372,'Таблиця 1'!$I:$I,"F-16",'Таблиця 1'!$J:$J,"C-13")+SUMIFS('Таблиця 1'!$K:$K,'Таблиця 1'!$B:$B,$A372,'Таблиця 1'!$I:$I,"МіГ-29",'Таблиця 1'!$J:$J,"C-13")+SUMIFS('Таблиця 1'!$K:$K,'Таблиця 1'!$B:$B,$A372,'Таблиця 1'!$I:$I,"Су-25",'Таблиця 1'!$J:$J,"C-13")+SUMIFS('Таблиця 1'!$K:$K,'Таблиця 1'!$B:$B,$A372,'Таблиця 1'!$I:$I,"Су-27",'Таблиця 1'!$J:$J,"C-13"))</f>
        <v/>
      </c>
      <c r="P372">
        <f>IF($A372="","",SUMIFS('Таблиця 1'!$K:$K,'Таблиця 1'!$B:$B,$A372,'Таблиця 1'!$I:$I,"Mirage",'Таблиця 1'!$J:$J,"MK-32")+SUMIFS('Таблиця 1'!$K:$K,'Таблиця 1'!$B:$B,$A372,'Таблиця 1'!$I:$I,"F-16",'Таблиця 1'!$J:$J,"MK-32")+SUMIFS('Таблиця 1'!$K:$K,'Таблиця 1'!$B:$B,$A372,'Таблиця 1'!$I:$I,"МіГ-29",'Таблиця 1'!$J:$J,"MK-32")+SUMIFS('Таблиця 1'!$K:$K,'Таблиця 1'!$B:$B,$A372,'Таблиця 1'!$I:$I,"Су-25",'Таблиця 1'!$J:$J,"MK-32")+SUMIFS('Таблиця 1'!$K:$K,'Таблиця 1'!$B:$B,$A372,'Таблиця 1'!$I:$I,"Су-27",'Таблиця 1'!$J:$J,"MK-32"))</f>
        <v/>
      </c>
      <c r="Q372">
        <f>IF($A372="","",SUMIFS('Таблиця 1'!$K:$K,'Таблиця 1'!$B:$B,$A372,'Таблиця 1'!$I:$I,"Mirage",'Таблиця 1'!$J:$J,"MK-24")+SUMIFS('Таблиця 1'!$K:$K,'Таблиця 1'!$B:$B,$A372,'Таблиця 1'!$I:$I,"F-16",'Таблиця 1'!$J:$J,"MK-24")+SUMIFS('Таблиця 1'!$K:$K,'Таблиця 1'!$B:$B,$A372,'Таблиця 1'!$I:$I,"МіГ-29",'Таблиця 1'!$J:$J,"MK-24")+SUMIFS('Таблиця 1'!$K:$K,'Таблиця 1'!$B:$B,$A372,'Таблиця 1'!$I:$I,"Су-25",'Таблиця 1'!$J:$J,"MK-24")+SUMIFS('Таблиця 1'!$K:$K,'Таблиця 1'!$B:$B,$A372,'Таблиця 1'!$I:$I,"Су-27",'Таблиця 1'!$J:$J,"MK-24"))</f>
        <v/>
      </c>
      <c r="R372">
        <f>IF($A372="","",COUNTIFS('Таблиця 1'!$B:$B,$A372,'Таблиця 1'!$I:$I,"Mirage",'Таблиця 1'!$L:$L,"Уражено")+COUNTIFS('Таблиця 1'!$B:$B,$A372,'Таблиця 1'!$I:$I,"F-16",'Таблиця 1'!$L:$L,"Уражено")+COUNTIFS('Таблиця 1'!$B:$B,$A372,'Таблиця 1'!$I:$I,"МіГ-29",'Таблиця 1'!$L:$L,"Уражено")+COUNTIFS('Таблиця 1'!$B:$B,$A372,'Таблиця 1'!$I:$I,"Су-25",'Таблиця 1'!$L:$L,"Уражено")+COUNTIFS('Таблиця 1'!$B:$B,$A372,'Таблиця 1'!$I:$I,"Су-27",'Таблиця 1'!$L:$L,"Уражено"))</f>
        <v/>
      </c>
      <c r="S372">
        <f>IF($A372="","",COUNTIFS('Таблиця 1'!$B:$B,$A372,'Таблиця 1'!$I:$I,"Mirage",'Таблиця 1'!$L:$L,"НЕ уражено")+COUNTIFS('Таблиця 1'!$B:$B,$A372,'Таблиця 1'!$I:$I,"F-16",'Таблиця 1'!$L:$L,"НЕ уражено")+COUNTIFS('Таблиця 1'!$B:$B,$A372,'Таблиця 1'!$I:$I,"МіГ-29",'Таблиця 1'!$L:$L,"НЕ уражено")+COUNTIFS('Таблиця 1'!$B:$B,$A372,'Таблиця 1'!$I:$I,"Су-25",'Таблиця 1'!$L:$L,"НЕ уражено")+COUNTIFS('Таблиця 1'!$B:$B,$A372,'Таблиця 1'!$I:$I,"Су-27",'Таблиця 1'!$L:$L,"НЕ уражено"))</f>
        <v/>
      </c>
      <c r="T372">
        <f>IF($A372="","",COUNTIFS('Таблиця 1'!$B:$B,$A372,'Таблиця 1'!$I:$I,"Mirage",'Таблиця 1'!$L:$L,"Дорозвідується")+COUNTIFS('Таблиця 1'!$B:$B,$A372,'Таблиця 1'!$I:$I,"F-16",'Таблиця 1'!$L:$L,"Дорозвідується")+COUNTIFS('Таблиця 1'!$B:$B,$A372,'Таблиця 1'!$I:$I,"МіГ-29",'Таблиця 1'!$L:$L,"Дорозвідується")+COUNTIFS('Таблиця 1'!$B:$B,$A372,'Таблиця 1'!$I:$I,"Су-25",'Таблиця 1'!$L:$L,"Дорозвідується")+COUNTIFS('Таблиця 1'!$B:$B,$A372,'Таблиця 1'!$I:$I,"Су-27",'Таблиця 1'!$L:$L,"Дорозвідується"))</f>
        <v/>
      </c>
    </row>
    <row r="373">
      <c r="A373" s="273">
        <f>IF(A372="","",IF(A372+1&gt;MAX('Таблиця 1'!$B:$B),"",A372+1))</f>
        <v/>
      </c>
      <c r="B373">
        <f>IF($A373="","",COUNTIFS('Таблиця 1'!$B:$B,$A373,'Таблиця 1'!$I:$I,"Mirage")+COUNTIFS('Таблиця 1'!$B:$B,$A373,'Таблиця 1'!$I:$I,"F-16")+COUNTIFS('Таблиця 1'!$B:$B,$A373,'Таблиця 1'!$I:$I,"МіГ-29")+COUNTIFS('Таблиця 1'!$B:$B,$A373,'Таблиця 1'!$I:$I,"Су-25")+COUNTIFS('Таблиця 1'!$B:$B,$A373,'Таблиця 1'!$I:$I,"Су-27"))</f>
        <v/>
      </c>
      <c r="C373">
        <f>IF($A373="","",COUNTIFS('Таблиця 1'!$B:$B,$A373,'Таблиця 1'!$I:$I,"Mirage"))</f>
        <v/>
      </c>
      <c r="D373">
        <f>IF($A373="","",COUNTIFS('Таблиця 1'!$B:$B,$A373,'Таблиця 1'!$I:$I,"F-16"))</f>
        <v/>
      </c>
      <c r="E373">
        <f>IF($A373="","",COUNTIFS('Таблиця 1'!$B:$B,$A373,'Таблиця 1'!$I:$I,"МіГ-29"))</f>
        <v/>
      </c>
      <c r="F373">
        <f>IF($A373="","",COUNTIFS('Таблиця 1'!$B:$B,$A373,'Таблиця 1'!$I:$I,"Су-25"))</f>
        <v/>
      </c>
      <c r="G373">
        <f>IF($A373="","",COUNTIFS('Таблиця 1'!$B:$B,$A373,'Таблиця 1'!$I:$I,"Су-27"))</f>
        <v/>
      </c>
      <c r="H373">
        <f>IF($A373="","",SUMIFS('Таблиця 1'!$K:$K,'Таблиця 1'!$B:$B,$A373,'Таблиця 1'!$I:$I,"Mirage",'Таблиця 1'!$J:$J,"AGM-88")+SUMIFS('Таблиця 1'!$K:$K,'Таблиця 1'!$B:$B,$A373,'Таблиця 1'!$I:$I,"F-16",'Таблиця 1'!$J:$J,"AGM-88")+SUMIFS('Таблиця 1'!$K:$K,'Таблиця 1'!$B:$B,$A373,'Таблиця 1'!$I:$I,"МіГ-29",'Таблиця 1'!$J:$J,"AGM-88")+SUMIFS('Таблиця 1'!$K:$K,'Таблиця 1'!$B:$B,$A373,'Таблиця 1'!$I:$I,"Су-25",'Таблиця 1'!$J:$J,"AGM-88")+SUMIFS('Таблиця 1'!$K:$K,'Таблиця 1'!$B:$B,$A373,'Таблиця 1'!$I:$I,"Су-27",'Таблиця 1'!$J:$J,"AGM-88"))</f>
        <v/>
      </c>
      <c r="I373">
        <f>IF($A373="","",SUMIFS('Таблиця 1'!$K:$K,'Таблиця 1'!$B:$B,$A373,'Таблиця 1'!$I:$I,"Mirage",'Таблиця 1'!$J:$J,"AASM-250")+SUMIFS('Таблиця 1'!$K:$K,'Таблиця 1'!$B:$B,$A373,'Таблиця 1'!$I:$I,"F-16",'Таблиця 1'!$J:$J,"AASM-250")+SUMIFS('Таблиця 1'!$K:$K,'Таблиця 1'!$B:$B,$A373,'Таблиця 1'!$I:$I,"МіГ-29",'Таблиця 1'!$J:$J,"AASM-250")+SUMIFS('Таблиця 1'!$K:$K,'Таблиця 1'!$B:$B,$A373,'Таблиця 1'!$I:$I,"Су-25",'Таблиця 1'!$J:$J,"AASM-250")+SUMIFS('Таблиця 1'!$K:$K,'Таблиця 1'!$B:$B,$A373,'Таблиця 1'!$I:$I,"Су-27",'Таблиця 1'!$J:$J,"AASM-250"))</f>
        <v/>
      </c>
      <c r="J373">
        <f>IF($A373="","",SUMIFS('Таблиця 1'!$K:$K,'Таблиця 1'!$B:$B,$A373,'Таблиця 1'!$I:$I,"Mirage",'Таблиця 1'!$J:$J,"GBU-39")+SUMIFS('Таблиця 1'!$K:$K,'Таблиця 1'!$B:$B,$A373,'Таблиця 1'!$I:$I,"F-16",'Таблиця 1'!$J:$J,"GBU-39")+SUMIFS('Таблиця 1'!$K:$K,'Таблиця 1'!$B:$B,$A373,'Таблиця 1'!$I:$I,"МіГ-29",'Таблиця 1'!$J:$J,"GBU-39")+SUMIFS('Таблиця 1'!$K:$K,'Таблиця 1'!$B:$B,$A373,'Таблиця 1'!$I:$I,"Су-25",'Таблиця 1'!$J:$J,"GBU-39")+SUMIFS('Таблиця 1'!$K:$K,'Таблиця 1'!$B:$B,$A373,'Таблиця 1'!$I:$I,"Су-27",'Таблиця 1'!$J:$J,"GBU-39"))</f>
        <v/>
      </c>
      <c r="K373">
        <f>IF($A373="","",SUMIFS('Таблиця 1'!$K:$K,'Таблиця 1'!$B:$B,$A373,'Таблиця 1'!$I:$I,"Mirage",'Таблиця 1'!$J:$J,"BLU-140")+SUMIFS('Таблиця 1'!$K:$K,'Таблиця 1'!$B:$B,$A373,'Таблиця 1'!$I:$I,"F-16",'Таблиця 1'!$J:$J,"BLU-140")+SUMIFS('Таблиця 1'!$K:$K,'Таблиця 1'!$B:$B,$A373,'Таблиця 1'!$I:$I,"МіГ-29",'Таблиця 1'!$J:$J,"BLU-140")+SUMIFS('Таблиця 1'!$K:$K,'Таблиця 1'!$B:$B,$A373,'Таблиця 1'!$I:$I,"Су-25",'Таблиця 1'!$J:$J,"BLU-140")+SUMIFS('Таблиця 1'!$K:$K,'Таблиця 1'!$B:$B,$A373,'Таблиця 1'!$I:$I,"Су-27",'Таблиця 1'!$J:$J,"BLU-140"))</f>
        <v/>
      </c>
      <c r="L373">
        <f>IF($A373="","",SUMIFS('Таблиця 1'!$K:$K,'Таблиця 1'!$B:$B,$A373,'Таблиця 1'!$I:$I,"Mirage",'Таблиця 1'!$J:$J,"GBU-65")+SUMIFS('Таблиця 1'!$K:$K,'Таблиця 1'!$B:$B,$A373,'Таблиця 1'!$I:$I,"F-16",'Таблиця 1'!$J:$J,"GBU-65")+SUMIFS('Таблиця 1'!$K:$K,'Таблиця 1'!$B:$B,$A373,'Таблиця 1'!$I:$I,"МіГ-29",'Таблиця 1'!$J:$J,"GBU-65")+SUMIFS('Таблиця 1'!$K:$K,'Таблиця 1'!$B:$B,$A373,'Таблиця 1'!$I:$I,"Су-25",'Таблиця 1'!$J:$J,"GBU-65")+SUMIFS('Таблиця 1'!$K:$K,'Таблиця 1'!$B:$B,$A373,'Таблиця 1'!$I:$I,"Су-27",'Таблиця 1'!$J:$J,"GBU-65"))</f>
        <v/>
      </c>
      <c r="M373">
        <f>IF($A373="","",SUMIFS('Таблиця 1'!$K:$K,'Таблиця 1'!$B:$B,$A373,'Таблиця 1'!$I:$I,"Mirage",'Таблиця 1'!$J:$J,"GBU-62")+SUMIFS('Таблиця 1'!$K:$K,'Таблиця 1'!$B:$B,$A373,'Таблиця 1'!$I:$I,"F-16",'Таблиця 1'!$J:$J,"GBU-62")+SUMIFS('Таблиця 1'!$K:$K,'Таблиця 1'!$B:$B,$A373,'Таблиця 1'!$I:$I,"МіГ-29",'Таблиця 1'!$J:$J,"GBU-62")+SUMIFS('Таблиця 1'!$K:$K,'Таблиця 1'!$B:$B,$A373,'Таблиця 1'!$I:$I,"Су-25",'Таблиця 1'!$J:$J,"GBU-62")+SUMIFS('Таблиця 1'!$K:$K,'Таблиця 1'!$B:$B,$A373,'Таблиця 1'!$I:$I,"Су-27",'Таблиця 1'!$J:$J,"GBU-62"))</f>
        <v/>
      </c>
      <c r="N373">
        <f>IF($A373="","",SUMIFS('Таблиця 1'!$K:$K,'Таблиця 1'!$B:$B,$A373,'Таблиця 1'!$I:$I,"Mirage",'Таблиця 1'!$J:$J,"GBU-64")+SUMIFS('Таблиця 1'!$K:$K,'Таблиця 1'!$B:$B,$A373,'Таблиця 1'!$I:$I,"F-16",'Таблиця 1'!$J:$J,"GBU-64")+SUMIFS('Таблиця 1'!$K:$K,'Таблиця 1'!$B:$B,$A373,'Таблиця 1'!$I:$I,"МіГ-29",'Таблиця 1'!$J:$J,"GBU-64")+SUMIFS('Таблиця 1'!$K:$K,'Таблиця 1'!$B:$B,$A373,'Таблиця 1'!$I:$I,"Су-25",'Таблиця 1'!$J:$J,"GBU-64")+SUMIFS('Таблиця 1'!$K:$K,'Таблиця 1'!$B:$B,$A373,'Таблиця 1'!$I:$I,"Су-27",'Таблиця 1'!$J:$J,"GBU-64"))</f>
        <v/>
      </c>
      <c r="O373">
        <f>IF($A373="","",SUMIFS('Таблиця 1'!$K:$K,'Таблиця 1'!$B:$B,$A373,'Таблиця 1'!$I:$I,"Mirage",'Таблиця 1'!$J:$J,"C-13")+SUMIFS('Таблиця 1'!$K:$K,'Таблиця 1'!$B:$B,$A373,'Таблиця 1'!$I:$I,"F-16",'Таблиця 1'!$J:$J,"C-13")+SUMIFS('Таблиця 1'!$K:$K,'Таблиця 1'!$B:$B,$A373,'Таблиця 1'!$I:$I,"МіГ-29",'Таблиця 1'!$J:$J,"C-13")+SUMIFS('Таблиця 1'!$K:$K,'Таблиця 1'!$B:$B,$A373,'Таблиця 1'!$I:$I,"Су-25",'Таблиця 1'!$J:$J,"C-13")+SUMIFS('Таблиця 1'!$K:$K,'Таблиця 1'!$B:$B,$A373,'Таблиця 1'!$I:$I,"Су-27",'Таблиця 1'!$J:$J,"C-13"))</f>
        <v/>
      </c>
      <c r="P373">
        <f>IF($A373="","",SUMIFS('Таблиця 1'!$K:$K,'Таблиця 1'!$B:$B,$A373,'Таблиця 1'!$I:$I,"Mirage",'Таблиця 1'!$J:$J,"MK-32")+SUMIFS('Таблиця 1'!$K:$K,'Таблиця 1'!$B:$B,$A373,'Таблиця 1'!$I:$I,"F-16",'Таблиця 1'!$J:$J,"MK-32")+SUMIFS('Таблиця 1'!$K:$K,'Таблиця 1'!$B:$B,$A373,'Таблиця 1'!$I:$I,"МіГ-29",'Таблиця 1'!$J:$J,"MK-32")+SUMIFS('Таблиця 1'!$K:$K,'Таблиця 1'!$B:$B,$A373,'Таблиця 1'!$I:$I,"Су-25",'Таблиця 1'!$J:$J,"MK-32")+SUMIFS('Таблиця 1'!$K:$K,'Таблиця 1'!$B:$B,$A373,'Таблиця 1'!$I:$I,"Су-27",'Таблиця 1'!$J:$J,"MK-32"))</f>
        <v/>
      </c>
      <c r="Q373">
        <f>IF($A373="","",SUMIFS('Таблиця 1'!$K:$K,'Таблиця 1'!$B:$B,$A373,'Таблиця 1'!$I:$I,"Mirage",'Таблиця 1'!$J:$J,"MK-24")+SUMIFS('Таблиця 1'!$K:$K,'Таблиця 1'!$B:$B,$A373,'Таблиця 1'!$I:$I,"F-16",'Таблиця 1'!$J:$J,"MK-24")+SUMIFS('Таблиця 1'!$K:$K,'Таблиця 1'!$B:$B,$A373,'Таблиця 1'!$I:$I,"МіГ-29",'Таблиця 1'!$J:$J,"MK-24")+SUMIFS('Таблиця 1'!$K:$K,'Таблиця 1'!$B:$B,$A373,'Таблиця 1'!$I:$I,"Су-25",'Таблиця 1'!$J:$J,"MK-24")+SUMIFS('Таблиця 1'!$K:$K,'Таблиця 1'!$B:$B,$A373,'Таблиця 1'!$I:$I,"Су-27",'Таблиця 1'!$J:$J,"MK-24"))</f>
        <v/>
      </c>
      <c r="R373">
        <f>IF($A373="","",COUNTIFS('Таблиця 1'!$B:$B,$A373,'Таблиця 1'!$I:$I,"Mirage",'Таблиця 1'!$L:$L,"Уражено")+COUNTIFS('Таблиця 1'!$B:$B,$A373,'Таблиця 1'!$I:$I,"F-16",'Таблиця 1'!$L:$L,"Уражено")+COUNTIFS('Таблиця 1'!$B:$B,$A373,'Таблиця 1'!$I:$I,"МіГ-29",'Таблиця 1'!$L:$L,"Уражено")+COUNTIFS('Таблиця 1'!$B:$B,$A373,'Таблиця 1'!$I:$I,"Су-25",'Таблиця 1'!$L:$L,"Уражено")+COUNTIFS('Таблиця 1'!$B:$B,$A373,'Таблиця 1'!$I:$I,"Су-27",'Таблиця 1'!$L:$L,"Уражено"))</f>
        <v/>
      </c>
      <c r="S373">
        <f>IF($A373="","",COUNTIFS('Таблиця 1'!$B:$B,$A373,'Таблиця 1'!$I:$I,"Mirage",'Таблиця 1'!$L:$L,"НЕ уражено")+COUNTIFS('Таблиця 1'!$B:$B,$A373,'Таблиця 1'!$I:$I,"F-16",'Таблиця 1'!$L:$L,"НЕ уражено")+COUNTIFS('Таблиця 1'!$B:$B,$A373,'Таблиця 1'!$I:$I,"МіГ-29",'Таблиця 1'!$L:$L,"НЕ уражено")+COUNTIFS('Таблиця 1'!$B:$B,$A373,'Таблиця 1'!$I:$I,"Су-25",'Таблиця 1'!$L:$L,"НЕ уражено")+COUNTIFS('Таблиця 1'!$B:$B,$A373,'Таблиця 1'!$I:$I,"Су-27",'Таблиця 1'!$L:$L,"НЕ уражено"))</f>
        <v/>
      </c>
      <c r="T373">
        <f>IF($A373="","",COUNTIFS('Таблиця 1'!$B:$B,$A373,'Таблиця 1'!$I:$I,"Mirage",'Таблиця 1'!$L:$L,"Дорозвідується")+COUNTIFS('Таблиця 1'!$B:$B,$A373,'Таблиця 1'!$I:$I,"F-16",'Таблиця 1'!$L:$L,"Дорозвідується")+COUNTIFS('Таблиця 1'!$B:$B,$A373,'Таблиця 1'!$I:$I,"МіГ-29",'Таблиця 1'!$L:$L,"Дорозвідується")+COUNTIFS('Таблиця 1'!$B:$B,$A373,'Таблиця 1'!$I:$I,"Су-25",'Таблиця 1'!$L:$L,"Дорозвідується")+COUNTIFS('Таблиця 1'!$B:$B,$A373,'Таблиця 1'!$I:$I,"Су-27",'Таблиця 1'!$L:$L,"Дорозвідується"))</f>
        <v/>
      </c>
    </row>
    <row r="374">
      <c r="A374" s="273">
        <f>IF(A373="","",IF(A373+1&gt;MAX('Таблиця 1'!$B:$B),"",A373+1))</f>
        <v/>
      </c>
      <c r="B374">
        <f>IF($A374="","",COUNTIFS('Таблиця 1'!$B:$B,$A374,'Таблиця 1'!$I:$I,"Mirage")+COUNTIFS('Таблиця 1'!$B:$B,$A374,'Таблиця 1'!$I:$I,"F-16")+COUNTIFS('Таблиця 1'!$B:$B,$A374,'Таблиця 1'!$I:$I,"МіГ-29")+COUNTIFS('Таблиця 1'!$B:$B,$A374,'Таблиця 1'!$I:$I,"Су-25")+COUNTIFS('Таблиця 1'!$B:$B,$A374,'Таблиця 1'!$I:$I,"Су-27"))</f>
        <v/>
      </c>
      <c r="C374">
        <f>IF($A374="","",COUNTIFS('Таблиця 1'!$B:$B,$A374,'Таблиця 1'!$I:$I,"Mirage"))</f>
        <v/>
      </c>
      <c r="D374">
        <f>IF($A374="","",COUNTIFS('Таблиця 1'!$B:$B,$A374,'Таблиця 1'!$I:$I,"F-16"))</f>
        <v/>
      </c>
      <c r="E374">
        <f>IF($A374="","",COUNTIFS('Таблиця 1'!$B:$B,$A374,'Таблиця 1'!$I:$I,"МіГ-29"))</f>
        <v/>
      </c>
      <c r="F374">
        <f>IF($A374="","",COUNTIFS('Таблиця 1'!$B:$B,$A374,'Таблиця 1'!$I:$I,"Су-25"))</f>
        <v/>
      </c>
      <c r="G374">
        <f>IF($A374="","",COUNTIFS('Таблиця 1'!$B:$B,$A374,'Таблиця 1'!$I:$I,"Су-27"))</f>
        <v/>
      </c>
      <c r="H374">
        <f>IF($A374="","",SUMIFS('Таблиця 1'!$K:$K,'Таблиця 1'!$B:$B,$A374,'Таблиця 1'!$I:$I,"Mirage",'Таблиця 1'!$J:$J,"AGM-88")+SUMIFS('Таблиця 1'!$K:$K,'Таблиця 1'!$B:$B,$A374,'Таблиця 1'!$I:$I,"F-16",'Таблиця 1'!$J:$J,"AGM-88")+SUMIFS('Таблиця 1'!$K:$K,'Таблиця 1'!$B:$B,$A374,'Таблиця 1'!$I:$I,"МіГ-29",'Таблиця 1'!$J:$J,"AGM-88")+SUMIFS('Таблиця 1'!$K:$K,'Таблиця 1'!$B:$B,$A374,'Таблиця 1'!$I:$I,"Су-25",'Таблиця 1'!$J:$J,"AGM-88")+SUMIFS('Таблиця 1'!$K:$K,'Таблиця 1'!$B:$B,$A374,'Таблиця 1'!$I:$I,"Су-27",'Таблиця 1'!$J:$J,"AGM-88"))</f>
        <v/>
      </c>
      <c r="I374">
        <f>IF($A374="","",SUMIFS('Таблиця 1'!$K:$K,'Таблиця 1'!$B:$B,$A374,'Таблиця 1'!$I:$I,"Mirage",'Таблиця 1'!$J:$J,"AASM-250")+SUMIFS('Таблиця 1'!$K:$K,'Таблиця 1'!$B:$B,$A374,'Таблиця 1'!$I:$I,"F-16",'Таблиця 1'!$J:$J,"AASM-250")+SUMIFS('Таблиця 1'!$K:$K,'Таблиця 1'!$B:$B,$A374,'Таблиця 1'!$I:$I,"МіГ-29",'Таблиця 1'!$J:$J,"AASM-250")+SUMIFS('Таблиця 1'!$K:$K,'Таблиця 1'!$B:$B,$A374,'Таблиця 1'!$I:$I,"Су-25",'Таблиця 1'!$J:$J,"AASM-250")+SUMIFS('Таблиця 1'!$K:$K,'Таблиця 1'!$B:$B,$A374,'Таблиця 1'!$I:$I,"Су-27",'Таблиця 1'!$J:$J,"AASM-250"))</f>
        <v/>
      </c>
      <c r="J374">
        <f>IF($A374="","",SUMIFS('Таблиця 1'!$K:$K,'Таблиця 1'!$B:$B,$A374,'Таблиця 1'!$I:$I,"Mirage",'Таблиця 1'!$J:$J,"GBU-39")+SUMIFS('Таблиця 1'!$K:$K,'Таблиця 1'!$B:$B,$A374,'Таблиця 1'!$I:$I,"F-16",'Таблиця 1'!$J:$J,"GBU-39")+SUMIFS('Таблиця 1'!$K:$K,'Таблиця 1'!$B:$B,$A374,'Таблиця 1'!$I:$I,"МіГ-29",'Таблиця 1'!$J:$J,"GBU-39")+SUMIFS('Таблиця 1'!$K:$K,'Таблиця 1'!$B:$B,$A374,'Таблиця 1'!$I:$I,"Су-25",'Таблиця 1'!$J:$J,"GBU-39")+SUMIFS('Таблиця 1'!$K:$K,'Таблиця 1'!$B:$B,$A374,'Таблиця 1'!$I:$I,"Су-27",'Таблиця 1'!$J:$J,"GBU-39"))</f>
        <v/>
      </c>
      <c r="K374">
        <f>IF($A374="","",SUMIFS('Таблиця 1'!$K:$K,'Таблиця 1'!$B:$B,$A374,'Таблиця 1'!$I:$I,"Mirage",'Таблиця 1'!$J:$J,"BLU-140")+SUMIFS('Таблиця 1'!$K:$K,'Таблиця 1'!$B:$B,$A374,'Таблиця 1'!$I:$I,"F-16",'Таблиця 1'!$J:$J,"BLU-140")+SUMIFS('Таблиця 1'!$K:$K,'Таблиця 1'!$B:$B,$A374,'Таблиця 1'!$I:$I,"МіГ-29",'Таблиця 1'!$J:$J,"BLU-140")+SUMIFS('Таблиця 1'!$K:$K,'Таблиця 1'!$B:$B,$A374,'Таблиця 1'!$I:$I,"Су-25",'Таблиця 1'!$J:$J,"BLU-140")+SUMIFS('Таблиця 1'!$K:$K,'Таблиця 1'!$B:$B,$A374,'Таблиця 1'!$I:$I,"Су-27",'Таблиця 1'!$J:$J,"BLU-140"))</f>
        <v/>
      </c>
      <c r="L374">
        <f>IF($A374="","",SUMIFS('Таблиця 1'!$K:$K,'Таблиця 1'!$B:$B,$A374,'Таблиця 1'!$I:$I,"Mirage",'Таблиця 1'!$J:$J,"GBU-65")+SUMIFS('Таблиця 1'!$K:$K,'Таблиця 1'!$B:$B,$A374,'Таблиця 1'!$I:$I,"F-16",'Таблиця 1'!$J:$J,"GBU-65")+SUMIFS('Таблиця 1'!$K:$K,'Таблиця 1'!$B:$B,$A374,'Таблиця 1'!$I:$I,"МіГ-29",'Таблиця 1'!$J:$J,"GBU-65")+SUMIFS('Таблиця 1'!$K:$K,'Таблиця 1'!$B:$B,$A374,'Таблиця 1'!$I:$I,"Су-25",'Таблиця 1'!$J:$J,"GBU-65")+SUMIFS('Таблиця 1'!$K:$K,'Таблиця 1'!$B:$B,$A374,'Таблиця 1'!$I:$I,"Су-27",'Таблиця 1'!$J:$J,"GBU-65"))</f>
        <v/>
      </c>
      <c r="M374">
        <f>IF($A374="","",SUMIFS('Таблиця 1'!$K:$K,'Таблиця 1'!$B:$B,$A374,'Таблиця 1'!$I:$I,"Mirage",'Таблиця 1'!$J:$J,"GBU-62")+SUMIFS('Таблиця 1'!$K:$K,'Таблиця 1'!$B:$B,$A374,'Таблиця 1'!$I:$I,"F-16",'Таблиця 1'!$J:$J,"GBU-62")+SUMIFS('Таблиця 1'!$K:$K,'Таблиця 1'!$B:$B,$A374,'Таблиця 1'!$I:$I,"МіГ-29",'Таблиця 1'!$J:$J,"GBU-62")+SUMIFS('Таблиця 1'!$K:$K,'Таблиця 1'!$B:$B,$A374,'Таблиця 1'!$I:$I,"Су-25",'Таблиця 1'!$J:$J,"GBU-62")+SUMIFS('Таблиця 1'!$K:$K,'Таблиця 1'!$B:$B,$A374,'Таблиця 1'!$I:$I,"Су-27",'Таблиця 1'!$J:$J,"GBU-62"))</f>
        <v/>
      </c>
      <c r="N374">
        <f>IF($A374="","",SUMIFS('Таблиця 1'!$K:$K,'Таблиця 1'!$B:$B,$A374,'Таблиця 1'!$I:$I,"Mirage",'Таблиця 1'!$J:$J,"GBU-64")+SUMIFS('Таблиця 1'!$K:$K,'Таблиця 1'!$B:$B,$A374,'Таблиця 1'!$I:$I,"F-16",'Таблиця 1'!$J:$J,"GBU-64")+SUMIFS('Таблиця 1'!$K:$K,'Таблиця 1'!$B:$B,$A374,'Таблиця 1'!$I:$I,"МіГ-29",'Таблиця 1'!$J:$J,"GBU-64")+SUMIFS('Таблиця 1'!$K:$K,'Таблиця 1'!$B:$B,$A374,'Таблиця 1'!$I:$I,"Су-25",'Таблиця 1'!$J:$J,"GBU-64")+SUMIFS('Таблиця 1'!$K:$K,'Таблиця 1'!$B:$B,$A374,'Таблиця 1'!$I:$I,"Су-27",'Таблиця 1'!$J:$J,"GBU-64"))</f>
        <v/>
      </c>
      <c r="O374">
        <f>IF($A374="","",SUMIFS('Таблиця 1'!$K:$K,'Таблиця 1'!$B:$B,$A374,'Таблиця 1'!$I:$I,"Mirage",'Таблиця 1'!$J:$J,"C-13")+SUMIFS('Таблиця 1'!$K:$K,'Таблиця 1'!$B:$B,$A374,'Таблиця 1'!$I:$I,"F-16",'Таблиця 1'!$J:$J,"C-13")+SUMIFS('Таблиця 1'!$K:$K,'Таблиця 1'!$B:$B,$A374,'Таблиця 1'!$I:$I,"МіГ-29",'Таблиця 1'!$J:$J,"C-13")+SUMIFS('Таблиця 1'!$K:$K,'Таблиця 1'!$B:$B,$A374,'Таблиця 1'!$I:$I,"Су-25",'Таблиця 1'!$J:$J,"C-13")+SUMIFS('Таблиця 1'!$K:$K,'Таблиця 1'!$B:$B,$A374,'Таблиця 1'!$I:$I,"Су-27",'Таблиця 1'!$J:$J,"C-13"))</f>
        <v/>
      </c>
      <c r="P374">
        <f>IF($A374="","",SUMIFS('Таблиця 1'!$K:$K,'Таблиця 1'!$B:$B,$A374,'Таблиця 1'!$I:$I,"Mirage",'Таблиця 1'!$J:$J,"MK-32")+SUMIFS('Таблиця 1'!$K:$K,'Таблиця 1'!$B:$B,$A374,'Таблиця 1'!$I:$I,"F-16",'Таблиця 1'!$J:$J,"MK-32")+SUMIFS('Таблиця 1'!$K:$K,'Таблиця 1'!$B:$B,$A374,'Таблиця 1'!$I:$I,"МіГ-29",'Таблиця 1'!$J:$J,"MK-32")+SUMIFS('Таблиця 1'!$K:$K,'Таблиця 1'!$B:$B,$A374,'Таблиця 1'!$I:$I,"Су-25",'Таблиця 1'!$J:$J,"MK-32")+SUMIFS('Таблиця 1'!$K:$K,'Таблиця 1'!$B:$B,$A374,'Таблиця 1'!$I:$I,"Су-27",'Таблиця 1'!$J:$J,"MK-32"))</f>
        <v/>
      </c>
      <c r="Q374">
        <f>IF($A374="","",SUMIFS('Таблиця 1'!$K:$K,'Таблиця 1'!$B:$B,$A374,'Таблиця 1'!$I:$I,"Mirage",'Таблиця 1'!$J:$J,"MK-24")+SUMIFS('Таблиця 1'!$K:$K,'Таблиця 1'!$B:$B,$A374,'Таблиця 1'!$I:$I,"F-16",'Таблиця 1'!$J:$J,"MK-24")+SUMIFS('Таблиця 1'!$K:$K,'Таблиця 1'!$B:$B,$A374,'Таблиця 1'!$I:$I,"МіГ-29",'Таблиця 1'!$J:$J,"MK-24")+SUMIFS('Таблиця 1'!$K:$K,'Таблиця 1'!$B:$B,$A374,'Таблиця 1'!$I:$I,"Су-25",'Таблиця 1'!$J:$J,"MK-24")+SUMIFS('Таблиця 1'!$K:$K,'Таблиця 1'!$B:$B,$A374,'Таблиця 1'!$I:$I,"Су-27",'Таблиця 1'!$J:$J,"MK-24"))</f>
        <v/>
      </c>
      <c r="R374">
        <f>IF($A374="","",COUNTIFS('Таблиця 1'!$B:$B,$A374,'Таблиця 1'!$I:$I,"Mirage",'Таблиця 1'!$L:$L,"Уражено")+COUNTIFS('Таблиця 1'!$B:$B,$A374,'Таблиця 1'!$I:$I,"F-16",'Таблиця 1'!$L:$L,"Уражено")+COUNTIFS('Таблиця 1'!$B:$B,$A374,'Таблиця 1'!$I:$I,"МіГ-29",'Таблиця 1'!$L:$L,"Уражено")+COUNTIFS('Таблиця 1'!$B:$B,$A374,'Таблиця 1'!$I:$I,"Су-25",'Таблиця 1'!$L:$L,"Уражено")+COUNTIFS('Таблиця 1'!$B:$B,$A374,'Таблиця 1'!$I:$I,"Су-27",'Таблиця 1'!$L:$L,"Уражено"))</f>
        <v/>
      </c>
      <c r="S374">
        <f>IF($A374="","",COUNTIFS('Таблиця 1'!$B:$B,$A374,'Таблиця 1'!$I:$I,"Mirage",'Таблиця 1'!$L:$L,"НЕ уражено")+COUNTIFS('Таблиця 1'!$B:$B,$A374,'Таблиця 1'!$I:$I,"F-16",'Таблиця 1'!$L:$L,"НЕ уражено")+COUNTIFS('Таблиця 1'!$B:$B,$A374,'Таблиця 1'!$I:$I,"МіГ-29",'Таблиця 1'!$L:$L,"НЕ уражено")+COUNTIFS('Таблиця 1'!$B:$B,$A374,'Таблиця 1'!$I:$I,"Су-25",'Таблиця 1'!$L:$L,"НЕ уражено")+COUNTIFS('Таблиця 1'!$B:$B,$A374,'Таблиця 1'!$I:$I,"Су-27",'Таблиця 1'!$L:$L,"НЕ уражено"))</f>
        <v/>
      </c>
      <c r="T374">
        <f>IF($A374="","",COUNTIFS('Таблиця 1'!$B:$B,$A374,'Таблиця 1'!$I:$I,"Mirage",'Таблиця 1'!$L:$L,"Дорозвідується")+COUNTIFS('Таблиця 1'!$B:$B,$A374,'Таблиця 1'!$I:$I,"F-16",'Таблиця 1'!$L:$L,"Дорозвідується")+COUNTIFS('Таблиця 1'!$B:$B,$A374,'Таблиця 1'!$I:$I,"МіГ-29",'Таблиця 1'!$L:$L,"Дорозвідується")+COUNTIFS('Таблиця 1'!$B:$B,$A374,'Таблиця 1'!$I:$I,"Су-25",'Таблиця 1'!$L:$L,"Дорозвідується")+COUNTIFS('Таблиця 1'!$B:$B,$A374,'Таблиця 1'!$I:$I,"Су-27",'Таблиця 1'!$L:$L,"Дорозвідується"))</f>
        <v/>
      </c>
    </row>
    <row r="375">
      <c r="A375" s="273">
        <f>IF(A374="","",IF(A374+1&gt;MAX('Таблиця 1'!$B:$B),"",A374+1))</f>
        <v/>
      </c>
      <c r="B375">
        <f>IF($A375="","",COUNTIFS('Таблиця 1'!$B:$B,$A375,'Таблиця 1'!$I:$I,"Mirage")+COUNTIFS('Таблиця 1'!$B:$B,$A375,'Таблиця 1'!$I:$I,"F-16")+COUNTIFS('Таблиця 1'!$B:$B,$A375,'Таблиця 1'!$I:$I,"МіГ-29")+COUNTIFS('Таблиця 1'!$B:$B,$A375,'Таблиця 1'!$I:$I,"Су-25")+COUNTIFS('Таблиця 1'!$B:$B,$A375,'Таблиця 1'!$I:$I,"Су-27"))</f>
        <v/>
      </c>
      <c r="C375">
        <f>IF($A375="","",COUNTIFS('Таблиця 1'!$B:$B,$A375,'Таблиця 1'!$I:$I,"Mirage"))</f>
        <v/>
      </c>
      <c r="D375">
        <f>IF($A375="","",COUNTIFS('Таблиця 1'!$B:$B,$A375,'Таблиця 1'!$I:$I,"F-16"))</f>
        <v/>
      </c>
      <c r="E375">
        <f>IF($A375="","",COUNTIFS('Таблиця 1'!$B:$B,$A375,'Таблиця 1'!$I:$I,"МіГ-29"))</f>
        <v/>
      </c>
      <c r="F375">
        <f>IF($A375="","",COUNTIFS('Таблиця 1'!$B:$B,$A375,'Таблиця 1'!$I:$I,"Су-25"))</f>
        <v/>
      </c>
      <c r="G375">
        <f>IF($A375="","",COUNTIFS('Таблиця 1'!$B:$B,$A375,'Таблиця 1'!$I:$I,"Су-27"))</f>
        <v/>
      </c>
      <c r="H375">
        <f>IF($A375="","",SUMIFS('Таблиця 1'!$K:$K,'Таблиця 1'!$B:$B,$A375,'Таблиця 1'!$I:$I,"Mirage",'Таблиця 1'!$J:$J,"AGM-88")+SUMIFS('Таблиця 1'!$K:$K,'Таблиця 1'!$B:$B,$A375,'Таблиця 1'!$I:$I,"F-16",'Таблиця 1'!$J:$J,"AGM-88")+SUMIFS('Таблиця 1'!$K:$K,'Таблиця 1'!$B:$B,$A375,'Таблиця 1'!$I:$I,"МіГ-29",'Таблиця 1'!$J:$J,"AGM-88")+SUMIFS('Таблиця 1'!$K:$K,'Таблиця 1'!$B:$B,$A375,'Таблиця 1'!$I:$I,"Су-25",'Таблиця 1'!$J:$J,"AGM-88")+SUMIFS('Таблиця 1'!$K:$K,'Таблиця 1'!$B:$B,$A375,'Таблиця 1'!$I:$I,"Су-27",'Таблиця 1'!$J:$J,"AGM-88"))</f>
        <v/>
      </c>
      <c r="I375">
        <f>IF($A375="","",SUMIFS('Таблиця 1'!$K:$K,'Таблиця 1'!$B:$B,$A375,'Таблиця 1'!$I:$I,"Mirage",'Таблиця 1'!$J:$J,"AASM-250")+SUMIFS('Таблиця 1'!$K:$K,'Таблиця 1'!$B:$B,$A375,'Таблиця 1'!$I:$I,"F-16",'Таблиця 1'!$J:$J,"AASM-250")+SUMIFS('Таблиця 1'!$K:$K,'Таблиця 1'!$B:$B,$A375,'Таблиця 1'!$I:$I,"МіГ-29",'Таблиця 1'!$J:$J,"AASM-250")+SUMIFS('Таблиця 1'!$K:$K,'Таблиця 1'!$B:$B,$A375,'Таблиця 1'!$I:$I,"Су-25",'Таблиця 1'!$J:$J,"AASM-250")+SUMIFS('Таблиця 1'!$K:$K,'Таблиця 1'!$B:$B,$A375,'Таблиця 1'!$I:$I,"Су-27",'Таблиця 1'!$J:$J,"AASM-250"))</f>
        <v/>
      </c>
      <c r="J375">
        <f>IF($A375="","",SUMIFS('Таблиця 1'!$K:$K,'Таблиця 1'!$B:$B,$A375,'Таблиця 1'!$I:$I,"Mirage",'Таблиця 1'!$J:$J,"GBU-39")+SUMIFS('Таблиця 1'!$K:$K,'Таблиця 1'!$B:$B,$A375,'Таблиця 1'!$I:$I,"F-16",'Таблиця 1'!$J:$J,"GBU-39")+SUMIFS('Таблиця 1'!$K:$K,'Таблиця 1'!$B:$B,$A375,'Таблиця 1'!$I:$I,"МіГ-29",'Таблиця 1'!$J:$J,"GBU-39")+SUMIFS('Таблиця 1'!$K:$K,'Таблиця 1'!$B:$B,$A375,'Таблиця 1'!$I:$I,"Су-25",'Таблиця 1'!$J:$J,"GBU-39")+SUMIFS('Таблиця 1'!$K:$K,'Таблиця 1'!$B:$B,$A375,'Таблиця 1'!$I:$I,"Су-27",'Таблиця 1'!$J:$J,"GBU-39"))</f>
        <v/>
      </c>
      <c r="K375">
        <f>IF($A375="","",SUMIFS('Таблиця 1'!$K:$K,'Таблиця 1'!$B:$B,$A375,'Таблиця 1'!$I:$I,"Mirage",'Таблиця 1'!$J:$J,"BLU-140")+SUMIFS('Таблиця 1'!$K:$K,'Таблиця 1'!$B:$B,$A375,'Таблиця 1'!$I:$I,"F-16",'Таблиця 1'!$J:$J,"BLU-140")+SUMIFS('Таблиця 1'!$K:$K,'Таблиця 1'!$B:$B,$A375,'Таблиця 1'!$I:$I,"МіГ-29",'Таблиця 1'!$J:$J,"BLU-140")+SUMIFS('Таблиця 1'!$K:$K,'Таблиця 1'!$B:$B,$A375,'Таблиця 1'!$I:$I,"Су-25",'Таблиця 1'!$J:$J,"BLU-140")+SUMIFS('Таблиця 1'!$K:$K,'Таблиця 1'!$B:$B,$A375,'Таблиця 1'!$I:$I,"Су-27",'Таблиця 1'!$J:$J,"BLU-140"))</f>
        <v/>
      </c>
      <c r="L375">
        <f>IF($A375="","",SUMIFS('Таблиця 1'!$K:$K,'Таблиця 1'!$B:$B,$A375,'Таблиця 1'!$I:$I,"Mirage",'Таблиця 1'!$J:$J,"GBU-65")+SUMIFS('Таблиця 1'!$K:$K,'Таблиця 1'!$B:$B,$A375,'Таблиця 1'!$I:$I,"F-16",'Таблиця 1'!$J:$J,"GBU-65")+SUMIFS('Таблиця 1'!$K:$K,'Таблиця 1'!$B:$B,$A375,'Таблиця 1'!$I:$I,"МіГ-29",'Таблиця 1'!$J:$J,"GBU-65")+SUMIFS('Таблиця 1'!$K:$K,'Таблиця 1'!$B:$B,$A375,'Таблиця 1'!$I:$I,"Су-25",'Таблиця 1'!$J:$J,"GBU-65")+SUMIFS('Таблиця 1'!$K:$K,'Таблиця 1'!$B:$B,$A375,'Таблиця 1'!$I:$I,"Су-27",'Таблиця 1'!$J:$J,"GBU-65"))</f>
        <v/>
      </c>
      <c r="M375">
        <f>IF($A375="","",SUMIFS('Таблиця 1'!$K:$K,'Таблиця 1'!$B:$B,$A375,'Таблиця 1'!$I:$I,"Mirage",'Таблиця 1'!$J:$J,"GBU-62")+SUMIFS('Таблиця 1'!$K:$K,'Таблиця 1'!$B:$B,$A375,'Таблиця 1'!$I:$I,"F-16",'Таблиця 1'!$J:$J,"GBU-62")+SUMIFS('Таблиця 1'!$K:$K,'Таблиця 1'!$B:$B,$A375,'Таблиця 1'!$I:$I,"МіГ-29",'Таблиця 1'!$J:$J,"GBU-62")+SUMIFS('Таблиця 1'!$K:$K,'Таблиця 1'!$B:$B,$A375,'Таблиця 1'!$I:$I,"Су-25",'Таблиця 1'!$J:$J,"GBU-62")+SUMIFS('Таблиця 1'!$K:$K,'Таблиця 1'!$B:$B,$A375,'Таблиця 1'!$I:$I,"Су-27",'Таблиця 1'!$J:$J,"GBU-62"))</f>
        <v/>
      </c>
      <c r="N375">
        <f>IF($A375="","",SUMIFS('Таблиця 1'!$K:$K,'Таблиця 1'!$B:$B,$A375,'Таблиця 1'!$I:$I,"Mirage",'Таблиця 1'!$J:$J,"GBU-64")+SUMIFS('Таблиця 1'!$K:$K,'Таблиця 1'!$B:$B,$A375,'Таблиця 1'!$I:$I,"F-16",'Таблиця 1'!$J:$J,"GBU-64")+SUMIFS('Таблиця 1'!$K:$K,'Таблиця 1'!$B:$B,$A375,'Таблиця 1'!$I:$I,"МіГ-29",'Таблиця 1'!$J:$J,"GBU-64")+SUMIFS('Таблиця 1'!$K:$K,'Таблиця 1'!$B:$B,$A375,'Таблиця 1'!$I:$I,"Су-25",'Таблиця 1'!$J:$J,"GBU-64")+SUMIFS('Таблиця 1'!$K:$K,'Таблиця 1'!$B:$B,$A375,'Таблиця 1'!$I:$I,"Су-27",'Таблиця 1'!$J:$J,"GBU-64"))</f>
        <v/>
      </c>
      <c r="O375">
        <f>IF($A375="","",SUMIFS('Таблиця 1'!$K:$K,'Таблиця 1'!$B:$B,$A375,'Таблиця 1'!$I:$I,"Mirage",'Таблиця 1'!$J:$J,"C-13")+SUMIFS('Таблиця 1'!$K:$K,'Таблиця 1'!$B:$B,$A375,'Таблиця 1'!$I:$I,"F-16",'Таблиця 1'!$J:$J,"C-13")+SUMIFS('Таблиця 1'!$K:$K,'Таблиця 1'!$B:$B,$A375,'Таблиця 1'!$I:$I,"МіГ-29",'Таблиця 1'!$J:$J,"C-13")+SUMIFS('Таблиця 1'!$K:$K,'Таблиця 1'!$B:$B,$A375,'Таблиця 1'!$I:$I,"Су-25",'Таблиця 1'!$J:$J,"C-13")+SUMIFS('Таблиця 1'!$K:$K,'Таблиця 1'!$B:$B,$A375,'Таблиця 1'!$I:$I,"Су-27",'Таблиця 1'!$J:$J,"C-13"))</f>
        <v/>
      </c>
      <c r="P375">
        <f>IF($A375="","",SUMIFS('Таблиця 1'!$K:$K,'Таблиця 1'!$B:$B,$A375,'Таблиця 1'!$I:$I,"Mirage",'Таблиця 1'!$J:$J,"MK-32")+SUMIFS('Таблиця 1'!$K:$K,'Таблиця 1'!$B:$B,$A375,'Таблиця 1'!$I:$I,"F-16",'Таблиця 1'!$J:$J,"MK-32")+SUMIFS('Таблиця 1'!$K:$K,'Таблиця 1'!$B:$B,$A375,'Таблиця 1'!$I:$I,"МіГ-29",'Таблиця 1'!$J:$J,"MK-32")+SUMIFS('Таблиця 1'!$K:$K,'Таблиця 1'!$B:$B,$A375,'Таблиця 1'!$I:$I,"Су-25",'Таблиця 1'!$J:$J,"MK-32")+SUMIFS('Таблиця 1'!$K:$K,'Таблиця 1'!$B:$B,$A375,'Таблиця 1'!$I:$I,"Су-27",'Таблиця 1'!$J:$J,"MK-32"))</f>
        <v/>
      </c>
      <c r="Q375">
        <f>IF($A375="","",SUMIFS('Таблиця 1'!$K:$K,'Таблиця 1'!$B:$B,$A375,'Таблиця 1'!$I:$I,"Mirage",'Таблиця 1'!$J:$J,"MK-24")+SUMIFS('Таблиця 1'!$K:$K,'Таблиця 1'!$B:$B,$A375,'Таблиця 1'!$I:$I,"F-16",'Таблиця 1'!$J:$J,"MK-24")+SUMIFS('Таблиця 1'!$K:$K,'Таблиця 1'!$B:$B,$A375,'Таблиця 1'!$I:$I,"МіГ-29",'Таблиця 1'!$J:$J,"MK-24")+SUMIFS('Таблиця 1'!$K:$K,'Таблиця 1'!$B:$B,$A375,'Таблиця 1'!$I:$I,"Су-25",'Таблиця 1'!$J:$J,"MK-24")+SUMIFS('Таблиця 1'!$K:$K,'Таблиця 1'!$B:$B,$A375,'Таблиця 1'!$I:$I,"Су-27",'Таблиця 1'!$J:$J,"MK-24"))</f>
        <v/>
      </c>
      <c r="R375">
        <f>IF($A375="","",COUNTIFS('Таблиця 1'!$B:$B,$A375,'Таблиця 1'!$I:$I,"Mirage",'Таблиця 1'!$L:$L,"Уражено")+COUNTIFS('Таблиця 1'!$B:$B,$A375,'Таблиця 1'!$I:$I,"F-16",'Таблиця 1'!$L:$L,"Уражено")+COUNTIFS('Таблиця 1'!$B:$B,$A375,'Таблиця 1'!$I:$I,"МіГ-29",'Таблиця 1'!$L:$L,"Уражено")+COUNTIFS('Таблиця 1'!$B:$B,$A375,'Таблиця 1'!$I:$I,"Су-25",'Таблиця 1'!$L:$L,"Уражено")+COUNTIFS('Таблиця 1'!$B:$B,$A375,'Таблиця 1'!$I:$I,"Су-27",'Таблиця 1'!$L:$L,"Уражено"))</f>
        <v/>
      </c>
      <c r="S375">
        <f>IF($A375="","",COUNTIFS('Таблиця 1'!$B:$B,$A375,'Таблиця 1'!$I:$I,"Mirage",'Таблиця 1'!$L:$L,"НЕ уражено")+COUNTIFS('Таблиця 1'!$B:$B,$A375,'Таблиця 1'!$I:$I,"F-16",'Таблиця 1'!$L:$L,"НЕ уражено")+COUNTIFS('Таблиця 1'!$B:$B,$A375,'Таблиця 1'!$I:$I,"МіГ-29",'Таблиця 1'!$L:$L,"НЕ уражено")+COUNTIFS('Таблиця 1'!$B:$B,$A375,'Таблиця 1'!$I:$I,"Су-25",'Таблиця 1'!$L:$L,"НЕ уражено")+COUNTIFS('Таблиця 1'!$B:$B,$A375,'Таблиця 1'!$I:$I,"Су-27",'Таблиця 1'!$L:$L,"НЕ уражено"))</f>
        <v/>
      </c>
      <c r="T375">
        <f>IF($A375="","",COUNTIFS('Таблиця 1'!$B:$B,$A375,'Таблиця 1'!$I:$I,"Mirage",'Таблиця 1'!$L:$L,"Дорозвідується")+COUNTIFS('Таблиця 1'!$B:$B,$A375,'Таблиця 1'!$I:$I,"F-16",'Таблиця 1'!$L:$L,"Дорозвідується")+COUNTIFS('Таблиця 1'!$B:$B,$A375,'Таблиця 1'!$I:$I,"МіГ-29",'Таблиця 1'!$L:$L,"Дорозвідується")+COUNTIFS('Таблиця 1'!$B:$B,$A375,'Таблиця 1'!$I:$I,"Су-25",'Таблиця 1'!$L:$L,"Дорозвідується")+COUNTIFS('Таблиця 1'!$B:$B,$A375,'Таблиця 1'!$I:$I,"Су-27",'Таблиця 1'!$L:$L,"Дорозвідується"))</f>
        <v/>
      </c>
    </row>
    <row r="376">
      <c r="A376" s="273">
        <f>IF(A375="","",IF(A375+1&gt;MAX('Таблиця 1'!$B:$B),"",A375+1))</f>
        <v/>
      </c>
      <c r="B376">
        <f>IF($A376="","",COUNTIFS('Таблиця 1'!$B:$B,$A376,'Таблиця 1'!$I:$I,"Mirage")+COUNTIFS('Таблиця 1'!$B:$B,$A376,'Таблиця 1'!$I:$I,"F-16")+COUNTIFS('Таблиця 1'!$B:$B,$A376,'Таблиця 1'!$I:$I,"МіГ-29")+COUNTIFS('Таблиця 1'!$B:$B,$A376,'Таблиця 1'!$I:$I,"Су-25")+COUNTIFS('Таблиця 1'!$B:$B,$A376,'Таблиця 1'!$I:$I,"Су-27"))</f>
        <v/>
      </c>
      <c r="C376">
        <f>IF($A376="","",COUNTIFS('Таблиця 1'!$B:$B,$A376,'Таблиця 1'!$I:$I,"Mirage"))</f>
        <v/>
      </c>
      <c r="D376">
        <f>IF($A376="","",COUNTIFS('Таблиця 1'!$B:$B,$A376,'Таблиця 1'!$I:$I,"F-16"))</f>
        <v/>
      </c>
      <c r="E376">
        <f>IF($A376="","",COUNTIFS('Таблиця 1'!$B:$B,$A376,'Таблиця 1'!$I:$I,"МіГ-29"))</f>
        <v/>
      </c>
      <c r="F376">
        <f>IF($A376="","",COUNTIFS('Таблиця 1'!$B:$B,$A376,'Таблиця 1'!$I:$I,"Су-25"))</f>
        <v/>
      </c>
      <c r="G376">
        <f>IF($A376="","",COUNTIFS('Таблиця 1'!$B:$B,$A376,'Таблиця 1'!$I:$I,"Су-27"))</f>
        <v/>
      </c>
      <c r="H376">
        <f>IF($A376="","",SUMIFS('Таблиця 1'!$K:$K,'Таблиця 1'!$B:$B,$A376,'Таблиця 1'!$I:$I,"Mirage",'Таблиця 1'!$J:$J,"AGM-88")+SUMIFS('Таблиця 1'!$K:$K,'Таблиця 1'!$B:$B,$A376,'Таблиця 1'!$I:$I,"F-16",'Таблиця 1'!$J:$J,"AGM-88")+SUMIFS('Таблиця 1'!$K:$K,'Таблиця 1'!$B:$B,$A376,'Таблиця 1'!$I:$I,"МіГ-29",'Таблиця 1'!$J:$J,"AGM-88")+SUMIFS('Таблиця 1'!$K:$K,'Таблиця 1'!$B:$B,$A376,'Таблиця 1'!$I:$I,"Су-25",'Таблиця 1'!$J:$J,"AGM-88")+SUMIFS('Таблиця 1'!$K:$K,'Таблиця 1'!$B:$B,$A376,'Таблиця 1'!$I:$I,"Су-27",'Таблиця 1'!$J:$J,"AGM-88"))</f>
        <v/>
      </c>
      <c r="I376">
        <f>IF($A376="","",SUMIFS('Таблиця 1'!$K:$K,'Таблиця 1'!$B:$B,$A376,'Таблиця 1'!$I:$I,"Mirage",'Таблиця 1'!$J:$J,"AASM-250")+SUMIFS('Таблиця 1'!$K:$K,'Таблиця 1'!$B:$B,$A376,'Таблиця 1'!$I:$I,"F-16",'Таблиця 1'!$J:$J,"AASM-250")+SUMIFS('Таблиця 1'!$K:$K,'Таблиця 1'!$B:$B,$A376,'Таблиця 1'!$I:$I,"МіГ-29",'Таблиця 1'!$J:$J,"AASM-250")+SUMIFS('Таблиця 1'!$K:$K,'Таблиця 1'!$B:$B,$A376,'Таблиця 1'!$I:$I,"Су-25",'Таблиця 1'!$J:$J,"AASM-250")+SUMIFS('Таблиця 1'!$K:$K,'Таблиця 1'!$B:$B,$A376,'Таблиця 1'!$I:$I,"Су-27",'Таблиця 1'!$J:$J,"AASM-250"))</f>
        <v/>
      </c>
      <c r="J376">
        <f>IF($A376="","",SUMIFS('Таблиця 1'!$K:$K,'Таблиця 1'!$B:$B,$A376,'Таблиця 1'!$I:$I,"Mirage",'Таблиця 1'!$J:$J,"GBU-39")+SUMIFS('Таблиця 1'!$K:$K,'Таблиця 1'!$B:$B,$A376,'Таблиця 1'!$I:$I,"F-16",'Таблиця 1'!$J:$J,"GBU-39")+SUMIFS('Таблиця 1'!$K:$K,'Таблиця 1'!$B:$B,$A376,'Таблиця 1'!$I:$I,"МіГ-29",'Таблиця 1'!$J:$J,"GBU-39")+SUMIFS('Таблиця 1'!$K:$K,'Таблиця 1'!$B:$B,$A376,'Таблиця 1'!$I:$I,"Су-25",'Таблиця 1'!$J:$J,"GBU-39")+SUMIFS('Таблиця 1'!$K:$K,'Таблиця 1'!$B:$B,$A376,'Таблиця 1'!$I:$I,"Су-27",'Таблиця 1'!$J:$J,"GBU-39"))</f>
        <v/>
      </c>
      <c r="K376">
        <f>IF($A376="","",SUMIFS('Таблиця 1'!$K:$K,'Таблиця 1'!$B:$B,$A376,'Таблиця 1'!$I:$I,"Mirage",'Таблиця 1'!$J:$J,"BLU-140")+SUMIFS('Таблиця 1'!$K:$K,'Таблиця 1'!$B:$B,$A376,'Таблиця 1'!$I:$I,"F-16",'Таблиця 1'!$J:$J,"BLU-140")+SUMIFS('Таблиця 1'!$K:$K,'Таблиця 1'!$B:$B,$A376,'Таблиця 1'!$I:$I,"МіГ-29",'Таблиця 1'!$J:$J,"BLU-140")+SUMIFS('Таблиця 1'!$K:$K,'Таблиця 1'!$B:$B,$A376,'Таблиця 1'!$I:$I,"Су-25",'Таблиця 1'!$J:$J,"BLU-140")+SUMIFS('Таблиця 1'!$K:$K,'Таблиця 1'!$B:$B,$A376,'Таблиця 1'!$I:$I,"Су-27",'Таблиця 1'!$J:$J,"BLU-140"))</f>
        <v/>
      </c>
      <c r="L376">
        <f>IF($A376="","",SUMIFS('Таблиця 1'!$K:$K,'Таблиця 1'!$B:$B,$A376,'Таблиця 1'!$I:$I,"Mirage",'Таблиця 1'!$J:$J,"GBU-65")+SUMIFS('Таблиця 1'!$K:$K,'Таблиця 1'!$B:$B,$A376,'Таблиця 1'!$I:$I,"F-16",'Таблиця 1'!$J:$J,"GBU-65")+SUMIFS('Таблиця 1'!$K:$K,'Таблиця 1'!$B:$B,$A376,'Таблиця 1'!$I:$I,"МіГ-29",'Таблиця 1'!$J:$J,"GBU-65")+SUMIFS('Таблиця 1'!$K:$K,'Таблиця 1'!$B:$B,$A376,'Таблиця 1'!$I:$I,"Су-25",'Таблиця 1'!$J:$J,"GBU-65")+SUMIFS('Таблиця 1'!$K:$K,'Таблиця 1'!$B:$B,$A376,'Таблиця 1'!$I:$I,"Су-27",'Таблиця 1'!$J:$J,"GBU-65"))</f>
        <v/>
      </c>
      <c r="M376">
        <f>IF($A376="","",SUMIFS('Таблиця 1'!$K:$K,'Таблиця 1'!$B:$B,$A376,'Таблиця 1'!$I:$I,"Mirage",'Таблиця 1'!$J:$J,"GBU-62")+SUMIFS('Таблиця 1'!$K:$K,'Таблиця 1'!$B:$B,$A376,'Таблиця 1'!$I:$I,"F-16",'Таблиця 1'!$J:$J,"GBU-62")+SUMIFS('Таблиця 1'!$K:$K,'Таблиця 1'!$B:$B,$A376,'Таблиця 1'!$I:$I,"МіГ-29",'Таблиця 1'!$J:$J,"GBU-62")+SUMIFS('Таблиця 1'!$K:$K,'Таблиця 1'!$B:$B,$A376,'Таблиця 1'!$I:$I,"Су-25",'Таблиця 1'!$J:$J,"GBU-62")+SUMIFS('Таблиця 1'!$K:$K,'Таблиця 1'!$B:$B,$A376,'Таблиця 1'!$I:$I,"Су-27",'Таблиця 1'!$J:$J,"GBU-62"))</f>
        <v/>
      </c>
      <c r="N376">
        <f>IF($A376="","",SUMIFS('Таблиця 1'!$K:$K,'Таблиця 1'!$B:$B,$A376,'Таблиця 1'!$I:$I,"Mirage",'Таблиця 1'!$J:$J,"GBU-64")+SUMIFS('Таблиця 1'!$K:$K,'Таблиця 1'!$B:$B,$A376,'Таблиця 1'!$I:$I,"F-16",'Таблиця 1'!$J:$J,"GBU-64")+SUMIFS('Таблиця 1'!$K:$K,'Таблиця 1'!$B:$B,$A376,'Таблиця 1'!$I:$I,"МіГ-29",'Таблиця 1'!$J:$J,"GBU-64")+SUMIFS('Таблиця 1'!$K:$K,'Таблиця 1'!$B:$B,$A376,'Таблиця 1'!$I:$I,"Су-25",'Таблиця 1'!$J:$J,"GBU-64")+SUMIFS('Таблиця 1'!$K:$K,'Таблиця 1'!$B:$B,$A376,'Таблиця 1'!$I:$I,"Су-27",'Таблиця 1'!$J:$J,"GBU-64"))</f>
        <v/>
      </c>
      <c r="O376">
        <f>IF($A376="","",SUMIFS('Таблиця 1'!$K:$K,'Таблиця 1'!$B:$B,$A376,'Таблиця 1'!$I:$I,"Mirage",'Таблиця 1'!$J:$J,"C-13")+SUMIFS('Таблиця 1'!$K:$K,'Таблиця 1'!$B:$B,$A376,'Таблиця 1'!$I:$I,"F-16",'Таблиця 1'!$J:$J,"C-13")+SUMIFS('Таблиця 1'!$K:$K,'Таблиця 1'!$B:$B,$A376,'Таблиця 1'!$I:$I,"МіГ-29",'Таблиця 1'!$J:$J,"C-13")+SUMIFS('Таблиця 1'!$K:$K,'Таблиця 1'!$B:$B,$A376,'Таблиця 1'!$I:$I,"Су-25",'Таблиця 1'!$J:$J,"C-13")+SUMIFS('Таблиця 1'!$K:$K,'Таблиця 1'!$B:$B,$A376,'Таблиця 1'!$I:$I,"Су-27",'Таблиця 1'!$J:$J,"C-13"))</f>
        <v/>
      </c>
      <c r="P376">
        <f>IF($A376="","",SUMIFS('Таблиця 1'!$K:$K,'Таблиця 1'!$B:$B,$A376,'Таблиця 1'!$I:$I,"Mirage",'Таблиця 1'!$J:$J,"MK-32")+SUMIFS('Таблиця 1'!$K:$K,'Таблиця 1'!$B:$B,$A376,'Таблиця 1'!$I:$I,"F-16",'Таблиця 1'!$J:$J,"MK-32")+SUMIFS('Таблиця 1'!$K:$K,'Таблиця 1'!$B:$B,$A376,'Таблиця 1'!$I:$I,"МіГ-29",'Таблиця 1'!$J:$J,"MK-32")+SUMIFS('Таблиця 1'!$K:$K,'Таблиця 1'!$B:$B,$A376,'Таблиця 1'!$I:$I,"Су-25",'Таблиця 1'!$J:$J,"MK-32")+SUMIFS('Таблиця 1'!$K:$K,'Таблиця 1'!$B:$B,$A376,'Таблиця 1'!$I:$I,"Су-27",'Таблиця 1'!$J:$J,"MK-32"))</f>
        <v/>
      </c>
      <c r="Q376">
        <f>IF($A376="","",SUMIFS('Таблиця 1'!$K:$K,'Таблиця 1'!$B:$B,$A376,'Таблиця 1'!$I:$I,"Mirage",'Таблиця 1'!$J:$J,"MK-24")+SUMIFS('Таблиця 1'!$K:$K,'Таблиця 1'!$B:$B,$A376,'Таблиця 1'!$I:$I,"F-16",'Таблиця 1'!$J:$J,"MK-24")+SUMIFS('Таблиця 1'!$K:$K,'Таблиця 1'!$B:$B,$A376,'Таблиця 1'!$I:$I,"МіГ-29",'Таблиця 1'!$J:$J,"MK-24")+SUMIFS('Таблиця 1'!$K:$K,'Таблиця 1'!$B:$B,$A376,'Таблиця 1'!$I:$I,"Су-25",'Таблиця 1'!$J:$J,"MK-24")+SUMIFS('Таблиця 1'!$K:$K,'Таблиця 1'!$B:$B,$A376,'Таблиця 1'!$I:$I,"Су-27",'Таблиця 1'!$J:$J,"MK-24"))</f>
        <v/>
      </c>
      <c r="R376">
        <f>IF($A376="","",COUNTIFS('Таблиця 1'!$B:$B,$A376,'Таблиця 1'!$I:$I,"Mirage",'Таблиця 1'!$L:$L,"Уражено")+COUNTIFS('Таблиця 1'!$B:$B,$A376,'Таблиця 1'!$I:$I,"F-16",'Таблиця 1'!$L:$L,"Уражено")+COUNTIFS('Таблиця 1'!$B:$B,$A376,'Таблиця 1'!$I:$I,"МіГ-29",'Таблиця 1'!$L:$L,"Уражено")+COUNTIFS('Таблиця 1'!$B:$B,$A376,'Таблиця 1'!$I:$I,"Су-25",'Таблиця 1'!$L:$L,"Уражено")+COUNTIFS('Таблиця 1'!$B:$B,$A376,'Таблиця 1'!$I:$I,"Су-27",'Таблиця 1'!$L:$L,"Уражено"))</f>
        <v/>
      </c>
      <c r="S376">
        <f>IF($A376="","",COUNTIFS('Таблиця 1'!$B:$B,$A376,'Таблиця 1'!$I:$I,"Mirage",'Таблиця 1'!$L:$L,"НЕ уражено")+COUNTIFS('Таблиця 1'!$B:$B,$A376,'Таблиця 1'!$I:$I,"F-16",'Таблиця 1'!$L:$L,"НЕ уражено")+COUNTIFS('Таблиця 1'!$B:$B,$A376,'Таблиця 1'!$I:$I,"МіГ-29",'Таблиця 1'!$L:$L,"НЕ уражено")+COUNTIFS('Таблиця 1'!$B:$B,$A376,'Таблиця 1'!$I:$I,"Су-25",'Таблиця 1'!$L:$L,"НЕ уражено")+COUNTIFS('Таблиця 1'!$B:$B,$A376,'Таблиця 1'!$I:$I,"Су-27",'Таблиця 1'!$L:$L,"НЕ уражено"))</f>
        <v/>
      </c>
      <c r="T376">
        <f>IF($A376="","",COUNTIFS('Таблиця 1'!$B:$B,$A376,'Таблиця 1'!$I:$I,"Mirage",'Таблиця 1'!$L:$L,"Дорозвідується")+COUNTIFS('Таблиця 1'!$B:$B,$A376,'Таблиця 1'!$I:$I,"F-16",'Таблиця 1'!$L:$L,"Дорозвідується")+COUNTIFS('Таблиця 1'!$B:$B,$A376,'Таблиця 1'!$I:$I,"МіГ-29",'Таблиця 1'!$L:$L,"Дорозвідується")+COUNTIFS('Таблиця 1'!$B:$B,$A376,'Таблиця 1'!$I:$I,"Су-25",'Таблиця 1'!$L:$L,"Дорозвідується")+COUNTIFS('Таблиця 1'!$B:$B,$A376,'Таблиця 1'!$I:$I,"Су-27",'Таблиця 1'!$L:$L,"Дорозвідується"))</f>
        <v/>
      </c>
    </row>
    <row r="377">
      <c r="A377" s="273">
        <f>IF(A376="","",IF(A376+1&gt;MAX('Таблиця 1'!$B:$B),"",A376+1))</f>
        <v/>
      </c>
      <c r="B377">
        <f>IF($A377="","",COUNTIFS('Таблиця 1'!$B:$B,$A377,'Таблиця 1'!$I:$I,"Mirage")+COUNTIFS('Таблиця 1'!$B:$B,$A377,'Таблиця 1'!$I:$I,"F-16")+COUNTIFS('Таблиця 1'!$B:$B,$A377,'Таблиця 1'!$I:$I,"МіГ-29")+COUNTIFS('Таблиця 1'!$B:$B,$A377,'Таблиця 1'!$I:$I,"Су-25")+COUNTIFS('Таблиця 1'!$B:$B,$A377,'Таблиця 1'!$I:$I,"Су-27"))</f>
        <v/>
      </c>
      <c r="C377">
        <f>IF($A377="","",COUNTIFS('Таблиця 1'!$B:$B,$A377,'Таблиця 1'!$I:$I,"Mirage"))</f>
        <v/>
      </c>
      <c r="D377">
        <f>IF($A377="","",COUNTIFS('Таблиця 1'!$B:$B,$A377,'Таблиця 1'!$I:$I,"F-16"))</f>
        <v/>
      </c>
      <c r="E377">
        <f>IF($A377="","",COUNTIFS('Таблиця 1'!$B:$B,$A377,'Таблиця 1'!$I:$I,"МіГ-29"))</f>
        <v/>
      </c>
      <c r="F377">
        <f>IF($A377="","",COUNTIFS('Таблиця 1'!$B:$B,$A377,'Таблиця 1'!$I:$I,"Су-25"))</f>
        <v/>
      </c>
      <c r="G377">
        <f>IF($A377="","",COUNTIFS('Таблиця 1'!$B:$B,$A377,'Таблиця 1'!$I:$I,"Су-27"))</f>
        <v/>
      </c>
      <c r="H377">
        <f>IF($A377="","",SUMIFS('Таблиця 1'!$K:$K,'Таблиця 1'!$B:$B,$A377,'Таблиця 1'!$I:$I,"Mirage",'Таблиця 1'!$J:$J,"AGM-88")+SUMIFS('Таблиця 1'!$K:$K,'Таблиця 1'!$B:$B,$A377,'Таблиця 1'!$I:$I,"F-16",'Таблиця 1'!$J:$J,"AGM-88")+SUMIFS('Таблиця 1'!$K:$K,'Таблиця 1'!$B:$B,$A377,'Таблиця 1'!$I:$I,"МіГ-29",'Таблиця 1'!$J:$J,"AGM-88")+SUMIFS('Таблиця 1'!$K:$K,'Таблиця 1'!$B:$B,$A377,'Таблиця 1'!$I:$I,"Су-25",'Таблиця 1'!$J:$J,"AGM-88")+SUMIFS('Таблиця 1'!$K:$K,'Таблиця 1'!$B:$B,$A377,'Таблиця 1'!$I:$I,"Су-27",'Таблиця 1'!$J:$J,"AGM-88"))</f>
        <v/>
      </c>
      <c r="I377">
        <f>IF($A377="","",SUMIFS('Таблиця 1'!$K:$K,'Таблиця 1'!$B:$B,$A377,'Таблиця 1'!$I:$I,"Mirage",'Таблиця 1'!$J:$J,"AASM-250")+SUMIFS('Таблиця 1'!$K:$K,'Таблиця 1'!$B:$B,$A377,'Таблиця 1'!$I:$I,"F-16",'Таблиця 1'!$J:$J,"AASM-250")+SUMIFS('Таблиця 1'!$K:$K,'Таблиця 1'!$B:$B,$A377,'Таблиця 1'!$I:$I,"МіГ-29",'Таблиця 1'!$J:$J,"AASM-250")+SUMIFS('Таблиця 1'!$K:$K,'Таблиця 1'!$B:$B,$A377,'Таблиця 1'!$I:$I,"Су-25",'Таблиця 1'!$J:$J,"AASM-250")+SUMIFS('Таблиця 1'!$K:$K,'Таблиця 1'!$B:$B,$A377,'Таблиця 1'!$I:$I,"Су-27",'Таблиця 1'!$J:$J,"AASM-250"))</f>
        <v/>
      </c>
      <c r="J377">
        <f>IF($A377="","",SUMIFS('Таблиця 1'!$K:$K,'Таблиця 1'!$B:$B,$A377,'Таблиця 1'!$I:$I,"Mirage",'Таблиця 1'!$J:$J,"GBU-39")+SUMIFS('Таблиця 1'!$K:$K,'Таблиця 1'!$B:$B,$A377,'Таблиця 1'!$I:$I,"F-16",'Таблиця 1'!$J:$J,"GBU-39")+SUMIFS('Таблиця 1'!$K:$K,'Таблиця 1'!$B:$B,$A377,'Таблиця 1'!$I:$I,"МіГ-29",'Таблиця 1'!$J:$J,"GBU-39")+SUMIFS('Таблиця 1'!$K:$K,'Таблиця 1'!$B:$B,$A377,'Таблиця 1'!$I:$I,"Су-25",'Таблиця 1'!$J:$J,"GBU-39")+SUMIFS('Таблиця 1'!$K:$K,'Таблиця 1'!$B:$B,$A377,'Таблиця 1'!$I:$I,"Су-27",'Таблиця 1'!$J:$J,"GBU-39"))</f>
        <v/>
      </c>
      <c r="K377">
        <f>IF($A377="","",SUMIFS('Таблиця 1'!$K:$K,'Таблиця 1'!$B:$B,$A377,'Таблиця 1'!$I:$I,"Mirage",'Таблиця 1'!$J:$J,"BLU-140")+SUMIFS('Таблиця 1'!$K:$K,'Таблиця 1'!$B:$B,$A377,'Таблиця 1'!$I:$I,"F-16",'Таблиця 1'!$J:$J,"BLU-140")+SUMIFS('Таблиця 1'!$K:$K,'Таблиця 1'!$B:$B,$A377,'Таблиця 1'!$I:$I,"МіГ-29",'Таблиця 1'!$J:$J,"BLU-140")+SUMIFS('Таблиця 1'!$K:$K,'Таблиця 1'!$B:$B,$A377,'Таблиця 1'!$I:$I,"Су-25",'Таблиця 1'!$J:$J,"BLU-140")+SUMIFS('Таблиця 1'!$K:$K,'Таблиця 1'!$B:$B,$A377,'Таблиця 1'!$I:$I,"Су-27",'Таблиця 1'!$J:$J,"BLU-140"))</f>
        <v/>
      </c>
      <c r="L377">
        <f>IF($A377="","",SUMIFS('Таблиця 1'!$K:$K,'Таблиця 1'!$B:$B,$A377,'Таблиця 1'!$I:$I,"Mirage",'Таблиця 1'!$J:$J,"GBU-65")+SUMIFS('Таблиця 1'!$K:$K,'Таблиця 1'!$B:$B,$A377,'Таблиця 1'!$I:$I,"F-16",'Таблиця 1'!$J:$J,"GBU-65")+SUMIFS('Таблиця 1'!$K:$K,'Таблиця 1'!$B:$B,$A377,'Таблиця 1'!$I:$I,"МіГ-29",'Таблиця 1'!$J:$J,"GBU-65")+SUMIFS('Таблиця 1'!$K:$K,'Таблиця 1'!$B:$B,$A377,'Таблиця 1'!$I:$I,"Су-25",'Таблиця 1'!$J:$J,"GBU-65")+SUMIFS('Таблиця 1'!$K:$K,'Таблиця 1'!$B:$B,$A377,'Таблиця 1'!$I:$I,"Су-27",'Таблиця 1'!$J:$J,"GBU-65"))</f>
        <v/>
      </c>
      <c r="M377">
        <f>IF($A377="","",SUMIFS('Таблиця 1'!$K:$K,'Таблиця 1'!$B:$B,$A377,'Таблиця 1'!$I:$I,"Mirage",'Таблиця 1'!$J:$J,"GBU-62")+SUMIFS('Таблиця 1'!$K:$K,'Таблиця 1'!$B:$B,$A377,'Таблиця 1'!$I:$I,"F-16",'Таблиця 1'!$J:$J,"GBU-62")+SUMIFS('Таблиця 1'!$K:$K,'Таблиця 1'!$B:$B,$A377,'Таблиця 1'!$I:$I,"МіГ-29",'Таблиця 1'!$J:$J,"GBU-62")+SUMIFS('Таблиця 1'!$K:$K,'Таблиця 1'!$B:$B,$A377,'Таблиця 1'!$I:$I,"Су-25",'Таблиця 1'!$J:$J,"GBU-62")+SUMIFS('Таблиця 1'!$K:$K,'Таблиця 1'!$B:$B,$A377,'Таблиця 1'!$I:$I,"Су-27",'Таблиця 1'!$J:$J,"GBU-62"))</f>
        <v/>
      </c>
      <c r="N377">
        <f>IF($A377="","",SUMIFS('Таблиця 1'!$K:$K,'Таблиця 1'!$B:$B,$A377,'Таблиця 1'!$I:$I,"Mirage",'Таблиця 1'!$J:$J,"GBU-64")+SUMIFS('Таблиця 1'!$K:$K,'Таблиця 1'!$B:$B,$A377,'Таблиця 1'!$I:$I,"F-16",'Таблиця 1'!$J:$J,"GBU-64")+SUMIFS('Таблиця 1'!$K:$K,'Таблиця 1'!$B:$B,$A377,'Таблиця 1'!$I:$I,"МіГ-29",'Таблиця 1'!$J:$J,"GBU-64")+SUMIFS('Таблиця 1'!$K:$K,'Таблиця 1'!$B:$B,$A377,'Таблиця 1'!$I:$I,"Су-25",'Таблиця 1'!$J:$J,"GBU-64")+SUMIFS('Таблиця 1'!$K:$K,'Таблиця 1'!$B:$B,$A377,'Таблиця 1'!$I:$I,"Су-27",'Таблиця 1'!$J:$J,"GBU-64"))</f>
        <v/>
      </c>
      <c r="O377">
        <f>IF($A377="","",SUMIFS('Таблиця 1'!$K:$K,'Таблиця 1'!$B:$B,$A377,'Таблиця 1'!$I:$I,"Mirage",'Таблиця 1'!$J:$J,"C-13")+SUMIFS('Таблиця 1'!$K:$K,'Таблиця 1'!$B:$B,$A377,'Таблиця 1'!$I:$I,"F-16",'Таблиця 1'!$J:$J,"C-13")+SUMIFS('Таблиця 1'!$K:$K,'Таблиця 1'!$B:$B,$A377,'Таблиця 1'!$I:$I,"МіГ-29",'Таблиця 1'!$J:$J,"C-13")+SUMIFS('Таблиця 1'!$K:$K,'Таблиця 1'!$B:$B,$A377,'Таблиця 1'!$I:$I,"Су-25",'Таблиця 1'!$J:$J,"C-13")+SUMIFS('Таблиця 1'!$K:$K,'Таблиця 1'!$B:$B,$A377,'Таблиця 1'!$I:$I,"Су-27",'Таблиця 1'!$J:$J,"C-13"))</f>
        <v/>
      </c>
      <c r="P377">
        <f>IF($A377="","",SUMIFS('Таблиця 1'!$K:$K,'Таблиця 1'!$B:$B,$A377,'Таблиця 1'!$I:$I,"Mirage",'Таблиця 1'!$J:$J,"MK-32")+SUMIFS('Таблиця 1'!$K:$K,'Таблиця 1'!$B:$B,$A377,'Таблиця 1'!$I:$I,"F-16",'Таблиця 1'!$J:$J,"MK-32")+SUMIFS('Таблиця 1'!$K:$K,'Таблиця 1'!$B:$B,$A377,'Таблиця 1'!$I:$I,"МіГ-29",'Таблиця 1'!$J:$J,"MK-32")+SUMIFS('Таблиця 1'!$K:$K,'Таблиця 1'!$B:$B,$A377,'Таблиця 1'!$I:$I,"Су-25",'Таблиця 1'!$J:$J,"MK-32")+SUMIFS('Таблиця 1'!$K:$K,'Таблиця 1'!$B:$B,$A377,'Таблиця 1'!$I:$I,"Су-27",'Таблиця 1'!$J:$J,"MK-32"))</f>
        <v/>
      </c>
      <c r="Q377">
        <f>IF($A377="","",SUMIFS('Таблиця 1'!$K:$K,'Таблиця 1'!$B:$B,$A377,'Таблиця 1'!$I:$I,"Mirage",'Таблиця 1'!$J:$J,"MK-24")+SUMIFS('Таблиця 1'!$K:$K,'Таблиця 1'!$B:$B,$A377,'Таблиця 1'!$I:$I,"F-16",'Таблиця 1'!$J:$J,"MK-24")+SUMIFS('Таблиця 1'!$K:$K,'Таблиця 1'!$B:$B,$A377,'Таблиця 1'!$I:$I,"МіГ-29",'Таблиця 1'!$J:$J,"MK-24")+SUMIFS('Таблиця 1'!$K:$K,'Таблиця 1'!$B:$B,$A377,'Таблиця 1'!$I:$I,"Су-25",'Таблиця 1'!$J:$J,"MK-24")+SUMIFS('Таблиця 1'!$K:$K,'Таблиця 1'!$B:$B,$A377,'Таблиця 1'!$I:$I,"Су-27",'Таблиця 1'!$J:$J,"MK-24"))</f>
        <v/>
      </c>
      <c r="R377">
        <f>IF($A377="","",COUNTIFS('Таблиця 1'!$B:$B,$A377,'Таблиця 1'!$I:$I,"Mirage",'Таблиця 1'!$L:$L,"Уражено")+COUNTIFS('Таблиця 1'!$B:$B,$A377,'Таблиця 1'!$I:$I,"F-16",'Таблиця 1'!$L:$L,"Уражено")+COUNTIFS('Таблиця 1'!$B:$B,$A377,'Таблиця 1'!$I:$I,"МіГ-29",'Таблиця 1'!$L:$L,"Уражено")+COUNTIFS('Таблиця 1'!$B:$B,$A377,'Таблиця 1'!$I:$I,"Су-25",'Таблиця 1'!$L:$L,"Уражено")+COUNTIFS('Таблиця 1'!$B:$B,$A377,'Таблиця 1'!$I:$I,"Су-27",'Таблиця 1'!$L:$L,"Уражено"))</f>
        <v/>
      </c>
      <c r="S377">
        <f>IF($A377="","",COUNTIFS('Таблиця 1'!$B:$B,$A377,'Таблиця 1'!$I:$I,"Mirage",'Таблиця 1'!$L:$L,"НЕ уражено")+COUNTIFS('Таблиця 1'!$B:$B,$A377,'Таблиця 1'!$I:$I,"F-16",'Таблиця 1'!$L:$L,"НЕ уражено")+COUNTIFS('Таблиця 1'!$B:$B,$A377,'Таблиця 1'!$I:$I,"МіГ-29",'Таблиця 1'!$L:$L,"НЕ уражено")+COUNTIFS('Таблиця 1'!$B:$B,$A377,'Таблиця 1'!$I:$I,"Су-25",'Таблиця 1'!$L:$L,"НЕ уражено")+COUNTIFS('Таблиця 1'!$B:$B,$A377,'Таблиця 1'!$I:$I,"Су-27",'Таблиця 1'!$L:$L,"НЕ уражено"))</f>
        <v/>
      </c>
      <c r="T377">
        <f>IF($A377="","",COUNTIFS('Таблиця 1'!$B:$B,$A377,'Таблиця 1'!$I:$I,"Mirage",'Таблиця 1'!$L:$L,"Дорозвідується")+COUNTIFS('Таблиця 1'!$B:$B,$A377,'Таблиця 1'!$I:$I,"F-16",'Таблиця 1'!$L:$L,"Дорозвідується")+COUNTIFS('Таблиця 1'!$B:$B,$A377,'Таблиця 1'!$I:$I,"МіГ-29",'Таблиця 1'!$L:$L,"Дорозвідується")+COUNTIFS('Таблиця 1'!$B:$B,$A377,'Таблиця 1'!$I:$I,"Су-25",'Таблиця 1'!$L:$L,"Дорозвідується")+COUNTIFS('Таблиця 1'!$B:$B,$A377,'Таблиця 1'!$I:$I,"Су-27",'Таблиця 1'!$L:$L,"Дорозвідується"))</f>
        <v/>
      </c>
    </row>
    <row r="378">
      <c r="A378" s="273">
        <f>IF(A377="","",IF(A377+1&gt;MAX('Таблиця 1'!$B:$B),"",A377+1))</f>
        <v/>
      </c>
      <c r="B378">
        <f>IF($A378="","",COUNTIFS('Таблиця 1'!$B:$B,$A378,'Таблиця 1'!$I:$I,"Mirage")+COUNTIFS('Таблиця 1'!$B:$B,$A378,'Таблиця 1'!$I:$I,"F-16")+COUNTIFS('Таблиця 1'!$B:$B,$A378,'Таблиця 1'!$I:$I,"МіГ-29")+COUNTIFS('Таблиця 1'!$B:$B,$A378,'Таблиця 1'!$I:$I,"Су-25")+COUNTIFS('Таблиця 1'!$B:$B,$A378,'Таблиця 1'!$I:$I,"Су-27"))</f>
        <v/>
      </c>
      <c r="C378">
        <f>IF($A378="","",COUNTIFS('Таблиця 1'!$B:$B,$A378,'Таблиця 1'!$I:$I,"Mirage"))</f>
        <v/>
      </c>
      <c r="D378">
        <f>IF($A378="","",COUNTIFS('Таблиця 1'!$B:$B,$A378,'Таблиця 1'!$I:$I,"F-16"))</f>
        <v/>
      </c>
      <c r="E378">
        <f>IF($A378="","",COUNTIFS('Таблиця 1'!$B:$B,$A378,'Таблиця 1'!$I:$I,"МіГ-29"))</f>
        <v/>
      </c>
      <c r="F378">
        <f>IF($A378="","",COUNTIFS('Таблиця 1'!$B:$B,$A378,'Таблиця 1'!$I:$I,"Су-25"))</f>
        <v/>
      </c>
      <c r="G378">
        <f>IF($A378="","",COUNTIFS('Таблиця 1'!$B:$B,$A378,'Таблиця 1'!$I:$I,"Су-27"))</f>
        <v/>
      </c>
      <c r="H378">
        <f>IF($A378="","",SUMIFS('Таблиця 1'!$K:$K,'Таблиця 1'!$B:$B,$A378,'Таблиця 1'!$I:$I,"Mirage",'Таблиця 1'!$J:$J,"AGM-88")+SUMIFS('Таблиця 1'!$K:$K,'Таблиця 1'!$B:$B,$A378,'Таблиця 1'!$I:$I,"F-16",'Таблиця 1'!$J:$J,"AGM-88")+SUMIFS('Таблиця 1'!$K:$K,'Таблиця 1'!$B:$B,$A378,'Таблиця 1'!$I:$I,"МіГ-29",'Таблиця 1'!$J:$J,"AGM-88")+SUMIFS('Таблиця 1'!$K:$K,'Таблиця 1'!$B:$B,$A378,'Таблиця 1'!$I:$I,"Су-25",'Таблиця 1'!$J:$J,"AGM-88")+SUMIFS('Таблиця 1'!$K:$K,'Таблиця 1'!$B:$B,$A378,'Таблиця 1'!$I:$I,"Су-27",'Таблиця 1'!$J:$J,"AGM-88"))</f>
        <v/>
      </c>
      <c r="I378">
        <f>IF($A378="","",SUMIFS('Таблиця 1'!$K:$K,'Таблиця 1'!$B:$B,$A378,'Таблиця 1'!$I:$I,"Mirage",'Таблиця 1'!$J:$J,"AASM-250")+SUMIFS('Таблиця 1'!$K:$K,'Таблиця 1'!$B:$B,$A378,'Таблиця 1'!$I:$I,"F-16",'Таблиця 1'!$J:$J,"AASM-250")+SUMIFS('Таблиця 1'!$K:$K,'Таблиця 1'!$B:$B,$A378,'Таблиця 1'!$I:$I,"МіГ-29",'Таблиця 1'!$J:$J,"AASM-250")+SUMIFS('Таблиця 1'!$K:$K,'Таблиця 1'!$B:$B,$A378,'Таблиця 1'!$I:$I,"Су-25",'Таблиця 1'!$J:$J,"AASM-250")+SUMIFS('Таблиця 1'!$K:$K,'Таблиця 1'!$B:$B,$A378,'Таблиця 1'!$I:$I,"Су-27",'Таблиця 1'!$J:$J,"AASM-250"))</f>
        <v/>
      </c>
      <c r="J378">
        <f>IF($A378="","",SUMIFS('Таблиця 1'!$K:$K,'Таблиця 1'!$B:$B,$A378,'Таблиця 1'!$I:$I,"Mirage",'Таблиця 1'!$J:$J,"GBU-39")+SUMIFS('Таблиця 1'!$K:$K,'Таблиця 1'!$B:$B,$A378,'Таблиця 1'!$I:$I,"F-16",'Таблиця 1'!$J:$J,"GBU-39")+SUMIFS('Таблиця 1'!$K:$K,'Таблиця 1'!$B:$B,$A378,'Таблиця 1'!$I:$I,"МіГ-29",'Таблиця 1'!$J:$J,"GBU-39")+SUMIFS('Таблиця 1'!$K:$K,'Таблиця 1'!$B:$B,$A378,'Таблиця 1'!$I:$I,"Су-25",'Таблиця 1'!$J:$J,"GBU-39")+SUMIFS('Таблиця 1'!$K:$K,'Таблиця 1'!$B:$B,$A378,'Таблиця 1'!$I:$I,"Су-27",'Таблиця 1'!$J:$J,"GBU-39"))</f>
        <v/>
      </c>
      <c r="K378">
        <f>IF($A378="","",SUMIFS('Таблиця 1'!$K:$K,'Таблиця 1'!$B:$B,$A378,'Таблиця 1'!$I:$I,"Mirage",'Таблиця 1'!$J:$J,"BLU-140")+SUMIFS('Таблиця 1'!$K:$K,'Таблиця 1'!$B:$B,$A378,'Таблиця 1'!$I:$I,"F-16",'Таблиця 1'!$J:$J,"BLU-140")+SUMIFS('Таблиця 1'!$K:$K,'Таблиця 1'!$B:$B,$A378,'Таблиця 1'!$I:$I,"МіГ-29",'Таблиця 1'!$J:$J,"BLU-140")+SUMIFS('Таблиця 1'!$K:$K,'Таблиця 1'!$B:$B,$A378,'Таблиця 1'!$I:$I,"Су-25",'Таблиця 1'!$J:$J,"BLU-140")+SUMIFS('Таблиця 1'!$K:$K,'Таблиця 1'!$B:$B,$A378,'Таблиця 1'!$I:$I,"Су-27",'Таблиця 1'!$J:$J,"BLU-140"))</f>
        <v/>
      </c>
      <c r="L378">
        <f>IF($A378="","",SUMIFS('Таблиця 1'!$K:$K,'Таблиця 1'!$B:$B,$A378,'Таблиця 1'!$I:$I,"Mirage",'Таблиця 1'!$J:$J,"GBU-65")+SUMIFS('Таблиця 1'!$K:$K,'Таблиця 1'!$B:$B,$A378,'Таблиця 1'!$I:$I,"F-16",'Таблиця 1'!$J:$J,"GBU-65")+SUMIFS('Таблиця 1'!$K:$K,'Таблиця 1'!$B:$B,$A378,'Таблиця 1'!$I:$I,"МіГ-29",'Таблиця 1'!$J:$J,"GBU-65")+SUMIFS('Таблиця 1'!$K:$K,'Таблиця 1'!$B:$B,$A378,'Таблиця 1'!$I:$I,"Су-25",'Таблиця 1'!$J:$J,"GBU-65")+SUMIFS('Таблиця 1'!$K:$K,'Таблиця 1'!$B:$B,$A378,'Таблиця 1'!$I:$I,"Су-27",'Таблиця 1'!$J:$J,"GBU-65"))</f>
        <v/>
      </c>
      <c r="M378">
        <f>IF($A378="","",SUMIFS('Таблиця 1'!$K:$K,'Таблиця 1'!$B:$B,$A378,'Таблиця 1'!$I:$I,"Mirage",'Таблиця 1'!$J:$J,"GBU-62")+SUMIFS('Таблиця 1'!$K:$K,'Таблиця 1'!$B:$B,$A378,'Таблиця 1'!$I:$I,"F-16",'Таблиця 1'!$J:$J,"GBU-62")+SUMIFS('Таблиця 1'!$K:$K,'Таблиця 1'!$B:$B,$A378,'Таблиця 1'!$I:$I,"МіГ-29",'Таблиця 1'!$J:$J,"GBU-62")+SUMIFS('Таблиця 1'!$K:$K,'Таблиця 1'!$B:$B,$A378,'Таблиця 1'!$I:$I,"Су-25",'Таблиця 1'!$J:$J,"GBU-62")+SUMIFS('Таблиця 1'!$K:$K,'Таблиця 1'!$B:$B,$A378,'Таблиця 1'!$I:$I,"Су-27",'Таблиця 1'!$J:$J,"GBU-62"))</f>
        <v/>
      </c>
      <c r="N378">
        <f>IF($A378="","",SUMIFS('Таблиця 1'!$K:$K,'Таблиця 1'!$B:$B,$A378,'Таблиця 1'!$I:$I,"Mirage",'Таблиця 1'!$J:$J,"GBU-64")+SUMIFS('Таблиця 1'!$K:$K,'Таблиця 1'!$B:$B,$A378,'Таблиця 1'!$I:$I,"F-16",'Таблиця 1'!$J:$J,"GBU-64")+SUMIFS('Таблиця 1'!$K:$K,'Таблиця 1'!$B:$B,$A378,'Таблиця 1'!$I:$I,"МіГ-29",'Таблиця 1'!$J:$J,"GBU-64")+SUMIFS('Таблиця 1'!$K:$K,'Таблиця 1'!$B:$B,$A378,'Таблиця 1'!$I:$I,"Су-25",'Таблиця 1'!$J:$J,"GBU-64")+SUMIFS('Таблиця 1'!$K:$K,'Таблиця 1'!$B:$B,$A378,'Таблиця 1'!$I:$I,"Су-27",'Таблиця 1'!$J:$J,"GBU-64"))</f>
        <v/>
      </c>
      <c r="O378">
        <f>IF($A378="","",SUMIFS('Таблиця 1'!$K:$K,'Таблиця 1'!$B:$B,$A378,'Таблиця 1'!$I:$I,"Mirage",'Таблиця 1'!$J:$J,"C-13")+SUMIFS('Таблиця 1'!$K:$K,'Таблиця 1'!$B:$B,$A378,'Таблиця 1'!$I:$I,"F-16",'Таблиця 1'!$J:$J,"C-13")+SUMIFS('Таблиця 1'!$K:$K,'Таблиця 1'!$B:$B,$A378,'Таблиця 1'!$I:$I,"МіГ-29",'Таблиця 1'!$J:$J,"C-13")+SUMIFS('Таблиця 1'!$K:$K,'Таблиця 1'!$B:$B,$A378,'Таблиця 1'!$I:$I,"Су-25",'Таблиця 1'!$J:$J,"C-13")+SUMIFS('Таблиця 1'!$K:$K,'Таблиця 1'!$B:$B,$A378,'Таблиця 1'!$I:$I,"Су-27",'Таблиця 1'!$J:$J,"C-13"))</f>
        <v/>
      </c>
      <c r="P378">
        <f>IF($A378="","",SUMIFS('Таблиця 1'!$K:$K,'Таблиця 1'!$B:$B,$A378,'Таблиця 1'!$I:$I,"Mirage",'Таблиця 1'!$J:$J,"MK-32")+SUMIFS('Таблиця 1'!$K:$K,'Таблиця 1'!$B:$B,$A378,'Таблиця 1'!$I:$I,"F-16",'Таблиця 1'!$J:$J,"MK-32")+SUMIFS('Таблиця 1'!$K:$K,'Таблиця 1'!$B:$B,$A378,'Таблиця 1'!$I:$I,"МіГ-29",'Таблиця 1'!$J:$J,"MK-32")+SUMIFS('Таблиця 1'!$K:$K,'Таблиця 1'!$B:$B,$A378,'Таблиця 1'!$I:$I,"Су-25",'Таблиця 1'!$J:$J,"MK-32")+SUMIFS('Таблиця 1'!$K:$K,'Таблиця 1'!$B:$B,$A378,'Таблиця 1'!$I:$I,"Су-27",'Таблиця 1'!$J:$J,"MK-32"))</f>
        <v/>
      </c>
      <c r="Q378">
        <f>IF($A378="","",SUMIFS('Таблиця 1'!$K:$K,'Таблиця 1'!$B:$B,$A378,'Таблиця 1'!$I:$I,"Mirage",'Таблиця 1'!$J:$J,"MK-24")+SUMIFS('Таблиця 1'!$K:$K,'Таблиця 1'!$B:$B,$A378,'Таблиця 1'!$I:$I,"F-16",'Таблиця 1'!$J:$J,"MK-24")+SUMIFS('Таблиця 1'!$K:$K,'Таблиця 1'!$B:$B,$A378,'Таблиця 1'!$I:$I,"МіГ-29",'Таблиця 1'!$J:$J,"MK-24")+SUMIFS('Таблиця 1'!$K:$K,'Таблиця 1'!$B:$B,$A378,'Таблиця 1'!$I:$I,"Су-25",'Таблиця 1'!$J:$J,"MK-24")+SUMIFS('Таблиця 1'!$K:$K,'Таблиця 1'!$B:$B,$A378,'Таблиця 1'!$I:$I,"Су-27",'Таблиця 1'!$J:$J,"MK-24"))</f>
        <v/>
      </c>
      <c r="R378">
        <f>IF($A378="","",COUNTIFS('Таблиця 1'!$B:$B,$A378,'Таблиця 1'!$I:$I,"Mirage",'Таблиця 1'!$L:$L,"Уражено")+COUNTIFS('Таблиця 1'!$B:$B,$A378,'Таблиця 1'!$I:$I,"F-16",'Таблиця 1'!$L:$L,"Уражено")+COUNTIFS('Таблиця 1'!$B:$B,$A378,'Таблиця 1'!$I:$I,"МіГ-29",'Таблиця 1'!$L:$L,"Уражено")+COUNTIFS('Таблиця 1'!$B:$B,$A378,'Таблиця 1'!$I:$I,"Су-25",'Таблиця 1'!$L:$L,"Уражено")+COUNTIFS('Таблиця 1'!$B:$B,$A378,'Таблиця 1'!$I:$I,"Су-27",'Таблиця 1'!$L:$L,"Уражено"))</f>
        <v/>
      </c>
      <c r="S378">
        <f>IF($A378="","",COUNTIFS('Таблиця 1'!$B:$B,$A378,'Таблиця 1'!$I:$I,"Mirage",'Таблиця 1'!$L:$L,"НЕ уражено")+COUNTIFS('Таблиця 1'!$B:$B,$A378,'Таблиця 1'!$I:$I,"F-16",'Таблиця 1'!$L:$L,"НЕ уражено")+COUNTIFS('Таблиця 1'!$B:$B,$A378,'Таблиця 1'!$I:$I,"МіГ-29",'Таблиця 1'!$L:$L,"НЕ уражено")+COUNTIFS('Таблиця 1'!$B:$B,$A378,'Таблиця 1'!$I:$I,"Су-25",'Таблиця 1'!$L:$L,"НЕ уражено")+COUNTIFS('Таблиця 1'!$B:$B,$A378,'Таблиця 1'!$I:$I,"Су-27",'Таблиця 1'!$L:$L,"НЕ уражено"))</f>
        <v/>
      </c>
      <c r="T378">
        <f>IF($A378="","",COUNTIFS('Таблиця 1'!$B:$B,$A378,'Таблиця 1'!$I:$I,"Mirage",'Таблиця 1'!$L:$L,"Дорозвідується")+COUNTIFS('Таблиця 1'!$B:$B,$A378,'Таблиця 1'!$I:$I,"F-16",'Таблиця 1'!$L:$L,"Дорозвідується")+COUNTIFS('Таблиця 1'!$B:$B,$A378,'Таблиця 1'!$I:$I,"МіГ-29",'Таблиця 1'!$L:$L,"Дорозвідується")+COUNTIFS('Таблиця 1'!$B:$B,$A378,'Таблиця 1'!$I:$I,"Су-25",'Таблиця 1'!$L:$L,"Дорозвідується")+COUNTIFS('Таблиця 1'!$B:$B,$A378,'Таблиця 1'!$I:$I,"Су-27",'Таблиця 1'!$L:$L,"Дорозвідується"))</f>
        <v/>
      </c>
    </row>
    <row r="379">
      <c r="A379" s="273">
        <f>IF(A378="","",IF(A378+1&gt;MAX('Таблиця 1'!$B:$B),"",A378+1))</f>
        <v/>
      </c>
      <c r="B379">
        <f>IF($A379="","",COUNTIFS('Таблиця 1'!$B:$B,$A379,'Таблиця 1'!$I:$I,"Mirage")+COUNTIFS('Таблиця 1'!$B:$B,$A379,'Таблиця 1'!$I:$I,"F-16")+COUNTIFS('Таблиця 1'!$B:$B,$A379,'Таблиця 1'!$I:$I,"МіГ-29")+COUNTIFS('Таблиця 1'!$B:$B,$A379,'Таблиця 1'!$I:$I,"Су-25")+COUNTIFS('Таблиця 1'!$B:$B,$A379,'Таблиця 1'!$I:$I,"Су-27"))</f>
        <v/>
      </c>
      <c r="C379">
        <f>IF($A379="","",COUNTIFS('Таблиця 1'!$B:$B,$A379,'Таблиця 1'!$I:$I,"Mirage"))</f>
        <v/>
      </c>
      <c r="D379">
        <f>IF($A379="","",COUNTIFS('Таблиця 1'!$B:$B,$A379,'Таблиця 1'!$I:$I,"F-16"))</f>
        <v/>
      </c>
      <c r="E379">
        <f>IF($A379="","",COUNTIFS('Таблиця 1'!$B:$B,$A379,'Таблиця 1'!$I:$I,"МіГ-29"))</f>
        <v/>
      </c>
      <c r="F379">
        <f>IF($A379="","",COUNTIFS('Таблиця 1'!$B:$B,$A379,'Таблиця 1'!$I:$I,"Су-25"))</f>
        <v/>
      </c>
      <c r="G379">
        <f>IF($A379="","",COUNTIFS('Таблиця 1'!$B:$B,$A379,'Таблиця 1'!$I:$I,"Су-27"))</f>
        <v/>
      </c>
      <c r="H379">
        <f>IF($A379="","",SUMIFS('Таблиця 1'!$K:$K,'Таблиця 1'!$B:$B,$A379,'Таблиця 1'!$I:$I,"Mirage",'Таблиця 1'!$J:$J,"AGM-88")+SUMIFS('Таблиця 1'!$K:$K,'Таблиця 1'!$B:$B,$A379,'Таблиця 1'!$I:$I,"F-16",'Таблиця 1'!$J:$J,"AGM-88")+SUMIFS('Таблиця 1'!$K:$K,'Таблиця 1'!$B:$B,$A379,'Таблиця 1'!$I:$I,"МіГ-29",'Таблиця 1'!$J:$J,"AGM-88")+SUMIFS('Таблиця 1'!$K:$K,'Таблиця 1'!$B:$B,$A379,'Таблиця 1'!$I:$I,"Су-25",'Таблиця 1'!$J:$J,"AGM-88")+SUMIFS('Таблиця 1'!$K:$K,'Таблиця 1'!$B:$B,$A379,'Таблиця 1'!$I:$I,"Су-27",'Таблиця 1'!$J:$J,"AGM-88"))</f>
        <v/>
      </c>
      <c r="I379">
        <f>IF($A379="","",SUMIFS('Таблиця 1'!$K:$K,'Таблиця 1'!$B:$B,$A379,'Таблиця 1'!$I:$I,"Mirage",'Таблиця 1'!$J:$J,"AASM-250")+SUMIFS('Таблиця 1'!$K:$K,'Таблиця 1'!$B:$B,$A379,'Таблиця 1'!$I:$I,"F-16",'Таблиця 1'!$J:$J,"AASM-250")+SUMIFS('Таблиця 1'!$K:$K,'Таблиця 1'!$B:$B,$A379,'Таблиця 1'!$I:$I,"МіГ-29",'Таблиця 1'!$J:$J,"AASM-250")+SUMIFS('Таблиця 1'!$K:$K,'Таблиця 1'!$B:$B,$A379,'Таблиця 1'!$I:$I,"Су-25",'Таблиця 1'!$J:$J,"AASM-250")+SUMIFS('Таблиця 1'!$K:$K,'Таблиця 1'!$B:$B,$A379,'Таблиця 1'!$I:$I,"Су-27",'Таблиця 1'!$J:$J,"AASM-250"))</f>
        <v/>
      </c>
      <c r="J379">
        <f>IF($A379="","",SUMIFS('Таблиця 1'!$K:$K,'Таблиця 1'!$B:$B,$A379,'Таблиця 1'!$I:$I,"Mirage",'Таблиця 1'!$J:$J,"GBU-39")+SUMIFS('Таблиця 1'!$K:$K,'Таблиця 1'!$B:$B,$A379,'Таблиця 1'!$I:$I,"F-16",'Таблиця 1'!$J:$J,"GBU-39")+SUMIFS('Таблиця 1'!$K:$K,'Таблиця 1'!$B:$B,$A379,'Таблиця 1'!$I:$I,"МіГ-29",'Таблиця 1'!$J:$J,"GBU-39")+SUMIFS('Таблиця 1'!$K:$K,'Таблиця 1'!$B:$B,$A379,'Таблиця 1'!$I:$I,"Су-25",'Таблиця 1'!$J:$J,"GBU-39")+SUMIFS('Таблиця 1'!$K:$K,'Таблиця 1'!$B:$B,$A379,'Таблиця 1'!$I:$I,"Су-27",'Таблиця 1'!$J:$J,"GBU-39"))</f>
        <v/>
      </c>
      <c r="K379">
        <f>IF($A379="","",SUMIFS('Таблиця 1'!$K:$K,'Таблиця 1'!$B:$B,$A379,'Таблиця 1'!$I:$I,"Mirage",'Таблиця 1'!$J:$J,"BLU-140")+SUMIFS('Таблиця 1'!$K:$K,'Таблиця 1'!$B:$B,$A379,'Таблиця 1'!$I:$I,"F-16",'Таблиця 1'!$J:$J,"BLU-140")+SUMIFS('Таблиця 1'!$K:$K,'Таблиця 1'!$B:$B,$A379,'Таблиця 1'!$I:$I,"МіГ-29",'Таблиця 1'!$J:$J,"BLU-140")+SUMIFS('Таблиця 1'!$K:$K,'Таблиця 1'!$B:$B,$A379,'Таблиця 1'!$I:$I,"Су-25",'Таблиця 1'!$J:$J,"BLU-140")+SUMIFS('Таблиця 1'!$K:$K,'Таблиця 1'!$B:$B,$A379,'Таблиця 1'!$I:$I,"Су-27",'Таблиця 1'!$J:$J,"BLU-140"))</f>
        <v/>
      </c>
      <c r="L379">
        <f>IF($A379="","",SUMIFS('Таблиця 1'!$K:$K,'Таблиця 1'!$B:$B,$A379,'Таблиця 1'!$I:$I,"Mirage",'Таблиця 1'!$J:$J,"GBU-65")+SUMIFS('Таблиця 1'!$K:$K,'Таблиця 1'!$B:$B,$A379,'Таблиця 1'!$I:$I,"F-16",'Таблиця 1'!$J:$J,"GBU-65")+SUMIFS('Таблиця 1'!$K:$K,'Таблиця 1'!$B:$B,$A379,'Таблиця 1'!$I:$I,"МіГ-29",'Таблиця 1'!$J:$J,"GBU-65")+SUMIFS('Таблиця 1'!$K:$K,'Таблиця 1'!$B:$B,$A379,'Таблиця 1'!$I:$I,"Су-25",'Таблиця 1'!$J:$J,"GBU-65")+SUMIFS('Таблиця 1'!$K:$K,'Таблиця 1'!$B:$B,$A379,'Таблиця 1'!$I:$I,"Су-27",'Таблиця 1'!$J:$J,"GBU-65"))</f>
        <v/>
      </c>
      <c r="M379">
        <f>IF($A379="","",SUMIFS('Таблиця 1'!$K:$K,'Таблиця 1'!$B:$B,$A379,'Таблиця 1'!$I:$I,"Mirage",'Таблиця 1'!$J:$J,"GBU-62")+SUMIFS('Таблиця 1'!$K:$K,'Таблиця 1'!$B:$B,$A379,'Таблиця 1'!$I:$I,"F-16",'Таблиця 1'!$J:$J,"GBU-62")+SUMIFS('Таблиця 1'!$K:$K,'Таблиця 1'!$B:$B,$A379,'Таблиця 1'!$I:$I,"МіГ-29",'Таблиця 1'!$J:$J,"GBU-62")+SUMIFS('Таблиця 1'!$K:$K,'Таблиця 1'!$B:$B,$A379,'Таблиця 1'!$I:$I,"Су-25",'Таблиця 1'!$J:$J,"GBU-62")+SUMIFS('Таблиця 1'!$K:$K,'Таблиця 1'!$B:$B,$A379,'Таблиця 1'!$I:$I,"Су-27",'Таблиця 1'!$J:$J,"GBU-62"))</f>
        <v/>
      </c>
      <c r="N379">
        <f>IF($A379="","",SUMIFS('Таблиця 1'!$K:$K,'Таблиця 1'!$B:$B,$A379,'Таблиця 1'!$I:$I,"Mirage",'Таблиця 1'!$J:$J,"GBU-64")+SUMIFS('Таблиця 1'!$K:$K,'Таблиця 1'!$B:$B,$A379,'Таблиця 1'!$I:$I,"F-16",'Таблиця 1'!$J:$J,"GBU-64")+SUMIFS('Таблиця 1'!$K:$K,'Таблиця 1'!$B:$B,$A379,'Таблиця 1'!$I:$I,"МіГ-29",'Таблиця 1'!$J:$J,"GBU-64")+SUMIFS('Таблиця 1'!$K:$K,'Таблиця 1'!$B:$B,$A379,'Таблиця 1'!$I:$I,"Су-25",'Таблиця 1'!$J:$J,"GBU-64")+SUMIFS('Таблиця 1'!$K:$K,'Таблиця 1'!$B:$B,$A379,'Таблиця 1'!$I:$I,"Су-27",'Таблиця 1'!$J:$J,"GBU-64"))</f>
        <v/>
      </c>
      <c r="O379">
        <f>IF($A379="","",SUMIFS('Таблиця 1'!$K:$K,'Таблиця 1'!$B:$B,$A379,'Таблиця 1'!$I:$I,"Mirage",'Таблиця 1'!$J:$J,"C-13")+SUMIFS('Таблиця 1'!$K:$K,'Таблиця 1'!$B:$B,$A379,'Таблиця 1'!$I:$I,"F-16",'Таблиця 1'!$J:$J,"C-13")+SUMIFS('Таблиця 1'!$K:$K,'Таблиця 1'!$B:$B,$A379,'Таблиця 1'!$I:$I,"МіГ-29",'Таблиця 1'!$J:$J,"C-13")+SUMIFS('Таблиця 1'!$K:$K,'Таблиця 1'!$B:$B,$A379,'Таблиця 1'!$I:$I,"Су-25",'Таблиця 1'!$J:$J,"C-13")+SUMIFS('Таблиця 1'!$K:$K,'Таблиця 1'!$B:$B,$A379,'Таблиця 1'!$I:$I,"Су-27",'Таблиця 1'!$J:$J,"C-13"))</f>
        <v/>
      </c>
      <c r="P379">
        <f>IF($A379="","",SUMIFS('Таблиця 1'!$K:$K,'Таблиця 1'!$B:$B,$A379,'Таблиця 1'!$I:$I,"Mirage",'Таблиця 1'!$J:$J,"MK-32")+SUMIFS('Таблиця 1'!$K:$K,'Таблиця 1'!$B:$B,$A379,'Таблиця 1'!$I:$I,"F-16",'Таблиця 1'!$J:$J,"MK-32")+SUMIFS('Таблиця 1'!$K:$K,'Таблиця 1'!$B:$B,$A379,'Таблиця 1'!$I:$I,"МіГ-29",'Таблиця 1'!$J:$J,"MK-32")+SUMIFS('Таблиця 1'!$K:$K,'Таблиця 1'!$B:$B,$A379,'Таблиця 1'!$I:$I,"Су-25",'Таблиця 1'!$J:$J,"MK-32")+SUMIFS('Таблиця 1'!$K:$K,'Таблиця 1'!$B:$B,$A379,'Таблиця 1'!$I:$I,"Су-27",'Таблиця 1'!$J:$J,"MK-32"))</f>
        <v/>
      </c>
      <c r="Q379">
        <f>IF($A379="","",SUMIFS('Таблиця 1'!$K:$K,'Таблиця 1'!$B:$B,$A379,'Таблиця 1'!$I:$I,"Mirage",'Таблиця 1'!$J:$J,"MK-24")+SUMIFS('Таблиця 1'!$K:$K,'Таблиця 1'!$B:$B,$A379,'Таблиця 1'!$I:$I,"F-16",'Таблиця 1'!$J:$J,"MK-24")+SUMIFS('Таблиця 1'!$K:$K,'Таблиця 1'!$B:$B,$A379,'Таблиця 1'!$I:$I,"МіГ-29",'Таблиця 1'!$J:$J,"MK-24")+SUMIFS('Таблиця 1'!$K:$K,'Таблиця 1'!$B:$B,$A379,'Таблиця 1'!$I:$I,"Су-25",'Таблиця 1'!$J:$J,"MK-24")+SUMIFS('Таблиця 1'!$K:$K,'Таблиця 1'!$B:$B,$A379,'Таблиця 1'!$I:$I,"Су-27",'Таблиця 1'!$J:$J,"MK-24"))</f>
        <v/>
      </c>
      <c r="R379">
        <f>IF($A379="","",COUNTIFS('Таблиця 1'!$B:$B,$A379,'Таблиця 1'!$I:$I,"Mirage",'Таблиця 1'!$L:$L,"Уражено")+COUNTIFS('Таблиця 1'!$B:$B,$A379,'Таблиця 1'!$I:$I,"F-16",'Таблиця 1'!$L:$L,"Уражено")+COUNTIFS('Таблиця 1'!$B:$B,$A379,'Таблиця 1'!$I:$I,"МіГ-29",'Таблиця 1'!$L:$L,"Уражено")+COUNTIFS('Таблиця 1'!$B:$B,$A379,'Таблиця 1'!$I:$I,"Су-25",'Таблиця 1'!$L:$L,"Уражено")+COUNTIFS('Таблиця 1'!$B:$B,$A379,'Таблиця 1'!$I:$I,"Су-27",'Таблиця 1'!$L:$L,"Уражено"))</f>
        <v/>
      </c>
      <c r="S379">
        <f>IF($A379="","",COUNTIFS('Таблиця 1'!$B:$B,$A379,'Таблиця 1'!$I:$I,"Mirage",'Таблиця 1'!$L:$L,"НЕ уражено")+COUNTIFS('Таблиця 1'!$B:$B,$A379,'Таблиця 1'!$I:$I,"F-16",'Таблиця 1'!$L:$L,"НЕ уражено")+COUNTIFS('Таблиця 1'!$B:$B,$A379,'Таблиця 1'!$I:$I,"МіГ-29",'Таблиця 1'!$L:$L,"НЕ уражено")+COUNTIFS('Таблиця 1'!$B:$B,$A379,'Таблиця 1'!$I:$I,"Су-25",'Таблиця 1'!$L:$L,"НЕ уражено")+COUNTIFS('Таблиця 1'!$B:$B,$A379,'Таблиця 1'!$I:$I,"Су-27",'Таблиця 1'!$L:$L,"НЕ уражено"))</f>
        <v/>
      </c>
      <c r="T379">
        <f>IF($A379="","",COUNTIFS('Таблиця 1'!$B:$B,$A379,'Таблиця 1'!$I:$I,"Mirage",'Таблиця 1'!$L:$L,"Дорозвідується")+COUNTIFS('Таблиця 1'!$B:$B,$A379,'Таблиця 1'!$I:$I,"F-16",'Таблиця 1'!$L:$L,"Дорозвідується")+COUNTIFS('Таблиця 1'!$B:$B,$A379,'Таблиця 1'!$I:$I,"МіГ-29",'Таблиця 1'!$L:$L,"Дорозвідується")+COUNTIFS('Таблиця 1'!$B:$B,$A379,'Таблиця 1'!$I:$I,"Су-25",'Таблиця 1'!$L:$L,"Дорозвідується")+COUNTIFS('Таблиця 1'!$B:$B,$A379,'Таблиця 1'!$I:$I,"Су-27",'Таблиця 1'!$L:$L,"Дорозвідується"))</f>
        <v/>
      </c>
    </row>
    <row r="380">
      <c r="A380" s="273">
        <f>IF(A379="","",IF(A379+1&gt;MAX('Таблиця 1'!$B:$B),"",A379+1))</f>
        <v/>
      </c>
      <c r="B380">
        <f>IF($A380="","",COUNTIFS('Таблиця 1'!$B:$B,$A380,'Таблиця 1'!$I:$I,"Mirage")+COUNTIFS('Таблиця 1'!$B:$B,$A380,'Таблиця 1'!$I:$I,"F-16")+COUNTIFS('Таблиця 1'!$B:$B,$A380,'Таблиця 1'!$I:$I,"МіГ-29")+COUNTIFS('Таблиця 1'!$B:$B,$A380,'Таблиця 1'!$I:$I,"Су-25")+COUNTIFS('Таблиця 1'!$B:$B,$A380,'Таблиця 1'!$I:$I,"Су-27"))</f>
        <v/>
      </c>
      <c r="C380">
        <f>IF($A380="","",COUNTIFS('Таблиця 1'!$B:$B,$A380,'Таблиця 1'!$I:$I,"Mirage"))</f>
        <v/>
      </c>
      <c r="D380">
        <f>IF($A380="","",COUNTIFS('Таблиця 1'!$B:$B,$A380,'Таблиця 1'!$I:$I,"F-16"))</f>
        <v/>
      </c>
      <c r="E380">
        <f>IF($A380="","",COUNTIFS('Таблиця 1'!$B:$B,$A380,'Таблиця 1'!$I:$I,"МіГ-29"))</f>
        <v/>
      </c>
      <c r="F380">
        <f>IF($A380="","",COUNTIFS('Таблиця 1'!$B:$B,$A380,'Таблиця 1'!$I:$I,"Су-25"))</f>
        <v/>
      </c>
      <c r="G380">
        <f>IF($A380="","",COUNTIFS('Таблиця 1'!$B:$B,$A380,'Таблиця 1'!$I:$I,"Су-27"))</f>
        <v/>
      </c>
      <c r="H380">
        <f>IF($A380="","",SUMIFS('Таблиця 1'!$K:$K,'Таблиця 1'!$B:$B,$A380,'Таблиця 1'!$I:$I,"Mirage",'Таблиця 1'!$J:$J,"AGM-88")+SUMIFS('Таблиця 1'!$K:$K,'Таблиця 1'!$B:$B,$A380,'Таблиця 1'!$I:$I,"F-16",'Таблиця 1'!$J:$J,"AGM-88")+SUMIFS('Таблиця 1'!$K:$K,'Таблиця 1'!$B:$B,$A380,'Таблиця 1'!$I:$I,"МіГ-29",'Таблиця 1'!$J:$J,"AGM-88")+SUMIFS('Таблиця 1'!$K:$K,'Таблиця 1'!$B:$B,$A380,'Таблиця 1'!$I:$I,"Су-25",'Таблиця 1'!$J:$J,"AGM-88")+SUMIFS('Таблиця 1'!$K:$K,'Таблиця 1'!$B:$B,$A380,'Таблиця 1'!$I:$I,"Су-27",'Таблиця 1'!$J:$J,"AGM-88"))</f>
        <v/>
      </c>
      <c r="I380">
        <f>IF($A380="","",SUMIFS('Таблиця 1'!$K:$K,'Таблиця 1'!$B:$B,$A380,'Таблиця 1'!$I:$I,"Mirage",'Таблиця 1'!$J:$J,"AASM-250")+SUMIFS('Таблиця 1'!$K:$K,'Таблиця 1'!$B:$B,$A380,'Таблиця 1'!$I:$I,"F-16",'Таблиця 1'!$J:$J,"AASM-250")+SUMIFS('Таблиця 1'!$K:$K,'Таблиця 1'!$B:$B,$A380,'Таблиця 1'!$I:$I,"МіГ-29",'Таблиця 1'!$J:$J,"AASM-250")+SUMIFS('Таблиця 1'!$K:$K,'Таблиця 1'!$B:$B,$A380,'Таблиця 1'!$I:$I,"Су-25",'Таблиця 1'!$J:$J,"AASM-250")+SUMIFS('Таблиця 1'!$K:$K,'Таблиця 1'!$B:$B,$A380,'Таблиця 1'!$I:$I,"Су-27",'Таблиця 1'!$J:$J,"AASM-250"))</f>
        <v/>
      </c>
      <c r="J380">
        <f>IF($A380="","",SUMIFS('Таблиця 1'!$K:$K,'Таблиця 1'!$B:$B,$A380,'Таблиця 1'!$I:$I,"Mirage",'Таблиця 1'!$J:$J,"GBU-39")+SUMIFS('Таблиця 1'!$K:$K,'Таблиця 1'!$B:$B,$A380,'Таблиця 1'!$I:$I,"F-16",'Таблиця 1'!$J:$J,"GBU-39")+SUMIFS('Таблиця 1'!$K:$K,'Таблиця 1'!$B:$B,$A380,'Таблиця 1'!$I:$I,"МіГ-29",'Таблиця 1'!$J:$J,"GBU-39")+SUMIFS('Таблиця 1'!$K:$K,'Таблиця 1'!$B:$B,$A380,'Таблиця 1'!$I:$I,"Су-25",'Таблиця 1'!$J:$J,"GBU-39")+SUMIFS('Таблиця 1'!$K:$K,'Таблиця 1'!$B:$B,$A380,'Таблиця 1'!$I:$I,"Су-27",'Таблиця 1'!$J:$J,"GBU-39"))</f>
        <v/>
      </c>
      <c r="K380">
        <f>IF($A380="","",SUMIFS('Таблиця 1'!$K:$K,'Таблиця 1'!$B:$B,$A380,'Таблиця 1'!$I:$I,"Mirage",'Таблиця 1'!$J:$J,"BLU-140")+SUMIFS('Таблиця 1'!$K:$K,'Таблиця 1'!$B:$B,$A380,'Таблиця 1'!$I:$I,"F-16",'Таблиця 1'!$J:$J,"BLU-140")+SUMIFS('Таблиця 1'!$K:$K,'Таблиця 1'!$B:$B,$A380,'Таблиця 1'!$I:$I,"МіГ-29",'Таблиця 1'!$J:$J,"BLU-140")+SUMIFS('Таблиця 1'!$K:$K,'Таблиця 1'!$B:$B,$A380,'Таблиця 1'!$I:$I,"Су-25",'Таблиця 1'!$J:$J,"BLU-140")+SUMIFS('Таблиця 1'!$K:$K,'Таблиця 1'!$B:$B,$A380,'Таблиця 1'!$I:$I,"Су-27",'Таблиця 1'!$J:$J,"BLU-140"))</f>
        <v/>
      </c>
      <c r="L380">
        <f>IF($A380="","",SUMIFS('Таблиця 1'!$K:$K,'Таблиця 1'!$B:$B,$A380,'Таблиця 1'!$I:$I,"Mirage",'Таблиця 1'!$J:$J,"GBU-65")+SUMIFS('Таблиця 1'!$K:$K,'Таблиця 1'!$B:$B,$A380,'Таблиця 1'!$I:$I,"F-16",'Таблиця 1'!$J:$J,"GBU-65")+SUMIFS('Таблиця 1'!$K:$K,'Таблиця 1'!$B:$B,$A380,'Таблиця 1'!$I:$I,"МіГ-29",'Таблиця 1'!$J:$J,"GBU-65")+SUMIFS('Таблиця 1'!$K:$K,'Таблиця 1'!$B:$B,$A380,'Таблиця 1'!$I:$I,"Су-25",'Таблиця 1'!$J:$J,"GBU-65")+SUMIFS('Таблиця 1'!$K:$K,'Таблиця 1'!$B:$B,$A380,'Таблиця 1'!$I:$I,"Су-27",'Таблиця 1'!$J:$J,"GBU-65"))</f>
        <v/>
      </c>
      <c r="M380">
        <f>IF($A380="","",SUMIFS('Таблиця 1'!$K:$K,'Таблиця 1'!$B:$B,$A380,'Таблиця 1'!$I:$I,"Mirage",'Таблиця 1'!$J:$J,"GBU-62")+SUMIFS('Таблиця 1'!$K:$K,'Таблиця 1'!$B:$B,$A380,'Таблиця 1'!$I:$I,"F-16",'Таблиця 1'!$J:$J,"GBU-62")+SUMIFS('Таблиця 1'!$K:$K,'Таблиця 1'!$B:$B,$A380,'Таблиця 1'!$I:$I,"МіГ-29",'Таблиця 1'!$J:$J,"GBU-62")+SUMIFS('Таблиця 1'!$K:$K,'Таблиця 1'!$B:$B,$A380,'Таблиця 1'!$I:$I,"Су-25",'Таблиця 1'!$J:$J,"GBU-62")+SUMIFS('Таблиця 1'!$K:$K,'Таблиця 1'!$B:$B,$A380,'Таблиця 1'!$I:$I,"Су-27",'Таблиця 1'!$J:$J,"GBU-62"))</f>
        <v/>
      </c>
      <c r="N380">
        <f>IF($A380="","",SUMIFS('Таблиця 1'!$K:$K,'Таблиця 1'!$B:$B,$A380,'Таблиця 1'!$I:$I,"Mirage",'Таблиця 1'!$J:$J,"GBU-64")+SUMIFS('Таблиця 1'!$K:$K,'Таблиця 1'!$B:$B,$A380,'Таблиця 1'!$I:$I,"F-16",'Таблиця 1'!$J:$J,"GBU-64")+SUMIFS('Таблиця 1'!$K:$K,'Таблиця 1'!$B:$B,$A380,'Таблиця 1'!$I:$I,"МіГ-29",'Таблиця 1'!$J:$J,"GBU-64")+SUMIFS('Таблиця 1'!$K:$K,'Таблиця 1'!$B:$B,$A380,'Таблиця 1'!$I:$I,"Су-25",'Таблиця 1'!$J:$J,"GBU-64")+SUMIFS('Таблиця 1'!$K:$K,'Таблиця 1'!$B:$B,$A380,'Таблиця 1'!$I:$I,"Су-27",'Таблиця 1'!$J:$J,"GBU-64"))</f>
        <v/>
      </c>
      <c r="O380">
        <f>IF($A380="","",SUMIFS('Таблиця 1'!$K:$K,'Таблиця 1'!$B:$B,$A380,'Таблиця 1'!$I:$I,"Mirage",'Таблиця 1'!$J:$J,"C-13")+SUMIFS('Таблиця 1'!$K:$K,'Таблиця 1'!$B:$B,$A380,'Таблиця 1'!$I:$I,"F-16",'Таблиця 1'!$J:$J,"C-13")+SUMIFS('Таблиця 1'!$K:$K,'Таблиця 1'!$B:$B,$A380,'Таблиця 1'!$I:$I,"МіГ-29",'Таблиця 1'!$J:$J,"C-13")+SUMIFS('Таблиця 1'!$K:$K,'Таблиця 1'!$B:$B,$A380,'Таблиця 1'!$I:$I,"Су-25",'Таблиця 1'!$J:$J,"C-13")+SUMIFS('Таблиця 1'!$K:$K,'Таблиця 1'!$B:$B,$A380,'Таблиця 1'!$I:$I,"Су-27",'Таблиця 1'!$J:$J,"C-13"))</f>
        <v/>
      </c>
      <c r="P380">
        <f>IF($A380="","",SUMIFS('Таблиця 1'!$K:$K,'Таблиця 1'!$B:$B,$A380,'Таблиця 1'!$I:$I,"Mirage",'Таблиця 1'!$J:$J,"MK-32")+SUMIFS('Таблиця 1'!$K:$K,'Таблиця 1'!$B:$B,$A380,'Таблиця 1'!$I:$I,"F-16",'Таблиця 1'!$J:$J,"MK-32")+SUMIFS('Таблиця 1'!$K:$K,'Таблиця 1'!$B:$B,$A380,'Таблиця 1'!$I:$I,"МіГ-29",'Таблиця 1'!$J:$J,"MK-32")+SUMIFS('Таблиця 1'!$K:$K,'Таблиця 1'!$B:$B,$A380,'Таблиця 1'!$I:$I,"Су-25",'Таблиця 1'!$J:$J,"MK-32")+SUMIFS('Таблиця 1'!$K:$K,'Таблиця 1'!$B:$B,$A380,'Таблиця 1'!$I:$I,"Су-27",'Таблиця 1'!$J:$J,"MK-32"))</f>
        <v/>
      </c>
      <c r="Q380">
        <f>IF($A380="","",SUMIFS('Таблиця 1'!$K:$K,'Таблиця 1'!$B:$B,$A380,'Таблиця 1'!$I:$I,"Mirage",'Таблиця 1'!$J:$J,"MK-24")+SUMIFS('Таблиця 1'!$K:$K,'Таблиця 1'!$B:$B,$A380,'Таблиця 1'!$I:$I,"F-16",'Таблиця 1'!$J:$J,"MK-24")+SUMIFS('Таблиця 1'!$K:$K,'Таблиця 1'!$B:$B,$A380,'Таблиця 1'!$I:$I,"МіГ-29",'Таблиця 1'!$J:$J,"MK-24")+SUMIFS('Таблиця 1'!$K:$K,'Таблиця 1'!$B:$B,$A380,'Таблиця 1'!$I:$I,"Су-25",'Таблиця 1'!$J:$J,"MK-24")+SUMIFS('Таблиця 1'!$K:$K,'Таблиця 1'!$B:$B,$A380,'Таблиця 1'!$I:$I,"Су-27",'Таблиця 1'!$J:$J,"MK-24"))</f>
        <v/>
      </c>
      <c r="R380">
        <f>IF($A380="","",COUNTIFS('Таблиця 1'!$B:$B,$A380,'Таблиця 1'!$I:$I,"Mirage",'Таблиця 1'!$L:$L,"Уражено")+COUNTIFS('Таблиця 1'!$B:$B,$A380,'Таблиця 1'!$I:$I,"F-16",'Таблиця 1'!$L:$L,"Уражено")+COUNTIFS('Таблиця 1'!$B:$B,$A380,'Таблиця 1'!$I:$I,"МіГ-29",'Таблиця 1'!$L:$L,"Уражено")+COUNTIFS('Таблиця 1'!$B:$B,$A380,'Таблиця 1'!$I:$I,"Су-25",'Таблиця 1'!$L:$L,"Уражено")+COUNTIFS('Таблиця 1'!$B:$B,$A380,'Таблиця 1'!$I:$I,"Су-27",'Таблиця 1'!$L:$L,"Уражено"))</f>
        <v/>
      </c>
      <c r="S380">
        <f>IF($A380="","",COUNTIFS('Таблиця 1'!$B:$B,$A380,'Таблиця 1'!$I:$I,"Mirage",'Таблиця 1'!$L:$L,"НЕ уражено")+COUNTIFS('Таблиця 1'!$B:$B,$A380,'Таблиця 1'!$I:$I,"F-16",'Таблиця 1'!$L:$L,"НЕ уражено")+COUNTIFS('Таблиця 1'!$B:$B,$A380,'Таблиця 1'!$I:$I,"МіГ-29",'Таблиця 1'!$L:$L,"НЕ уражено")+COUNTIFS('Таблиця 1'!$B:$B,$A380,'Таблиця 1'!$I:$I,"Су-25",'Таблиця 1'!$L:$L,"НЕ уражено")+COUNTIFS('Таблиця 1'!$B:$B,$A380,'Таблиця 1'!$I:$I,"Су-27",'Таблиця 1'!$L:$L,"НЕ уражено"))</f>
        <v/>
      </c>
      <c r="T380">
        <f>IF($A380="","",COUNTIFS('Таблиця 1'!$B:$B,$A380,'Таблиця 1'!$I:$I,"Mirage",'Таблиця 1'!$L:$L,"Дорозвідується")+COUNTIFS('Таблиця 1'!$B:$B,$A380,'Таблиця 1'!$I:$I,"F-16",'Таблиця 1'!$L:$L,"Дорозвідується")+COUNTIFS('Таблиця 1'!$B:$B,$A380,'Таблиця 1'!$I:$I,"МіГ-29",'Таблиця 1'!$L:$L,"Дорозвідується")+COUNTIFS('Таблиця 1'!$B:$B,$A380,'Таблиця 1'!$I:$I,"Су-25",'Таблиця 1'!$L:$L,"Дорозвідується")+COUNTIFS('Таблиця 1'!$B:$B,$A380,'Таблиця 1'!$I:$I,"Су-27",'Таблиця 1'!$L:$L,"Дорозвідується"))</f>
        <v/>
      </c>
    </row>
    <row r="381">
      <c r="A381" s="273">
        <f>IF(A380="","",IF(A380+1&gt;MAX('Таблиця 1'!$B:$B),"",A380+1))</f>
        <v/>
      </c>
      <c r="B381">
        <f>IF($A381="","",COUNTIFS('Таблиця 1'!$B:$B,$A381,'Таблиця 1'!$I:$I,"Mirage")+COUNTIFS('Таблиця 1'!$B:$B,$A381,'Таблиця 1'!$I:$I,"F-16")+COUNTIFS('Таблиця 1'!$B:$B,$A381,'Таблиця 1'!$I:$I,"МіГ-29")+COUNTIFS('Таблиця 1'!$B:$B,$A381,'Таблиця 1'!$I:$I,"Су-25")+COUNTIFS('Таблиця 1'!$B:$B,$A381,'Таблиця 1'!$I:$I,"Су-27"))</f>
        <v/>
      </c>
      <c r="C381">
        <f>IF($A381="","",COUNTIFS('Таблиця 1'!$B:$B,$A381,'Таблиця 1'!$I:$I,"Mirage"))</f>
        <v/>
      </c>
      <c r="D381">
        <f>IF($A381="","",COUNTIFS('Таблиця 1'!$B:$B,$A381,'Таблиця 1'!$I:$I,"F-16"))</f>
        <v/>
      </c>
      <c r="E381">
        <f>IF($A381="","",COUNTIFS('Таблиця 1'!$B:$B,$A381,'Таблиця 1'!$I:$I,"МіГ-29"))</f>
        <v/>
      </c>
      <c r="F381">
        <f>IF($A381="","",COUNTIFS('Таблиця 1'!$B:$B,$A381,'Таблиця 1'!$I:$I,"Су-25"))</f>
        <v/>
      </c>
      <c r="G381">
        <f>IF($A381="","",COUNTIFS('Таблиця 1'!$B:$B,$A381,'Таблиця 1'!$I:$I,"Су-27"))</f>
        <v/>
      </c>
      <c r="H381">
        <f>IF($A381="","",SUMIFS('Таблиця 1'!$K:$K,'Таблиця 1'!$B:$B,$A381,'Таблиця 1'!$I:$I,"Mirage",'Таблиця 1'!$J:$J,"AGM-88")+SUMIFS('Таблиця 1'!$K:$K,'Таблиця 1'!$B:$B,$A381,'Таблиця 1'!$I:$I,"F-16",'Таблиця 1'!$J:$J,"AGM-88")+SUMIFS('Таблиця 1'!$K:$K,'Таблиця 1'!$B:$B,$A381,'Таблиця 1'!$I:$I,"МіГ-29",'Таблиця 1'!$J:$J,"AGM-88")+SUMIFS('Таблиця 1'!$K:$K,'Таблиця 1'!$B:$B,$A381,'Таблиця 1'!$I:$I,"Су-25",'Таблиця 1'!$J:$J,"AGM-88")+SUMIFS('Таблиця 1'!$K:$K,'Таблиця 1'!$B:$B,$A381,'Таблиця 1'!$I:$I,"Су-27",'Таблиця 1'!$J:$J,"AGM-88"))</f>
        <v/>
      </c>
      <c r="I381">
        <f>IF($A381="","",SUMIFS('Таблиця 1'!$K:$K,'Таблиця 1'!$B:$B,$A381,'Таблиця 1'!$I:$I,"Mirage",'Таблиця 1'!$J:$J,"AASM-250")+SUMIFS('Таблиця 1'!$K:$K,'Таблиця 1'!$B:$B,$A381,'Таблиця 1'!$I:$I,"F-16",'Таблиця 1'!$J:$J,"AASM-250")+SUMIFS('Таблиця 1'!$K:$K,'Таблиця 1'!$B:$B,$A381,'Таблиця 1'!$I:$I,"МіГ-29",'Таблиця 1'!$J:$J,"AASM-250")+SUMIFS('Таблиця 1'!$K:$K,'Таблиця 1'!$B:$B,$A381,'Таблиця 1'!$I:$I,"Су-25",'Таблиця 1'!$J:$J,"AASM-250")+SUMIFS('Таблиця 1'!$K:$K,'Таблиця 1'!$B:$B,$A381,'Таблиця 1'!$I:$I,"Су-27",'Таблиця 1'!$J:$J,"AASM-250"))</f>
        <v/>
      </c>
      <c r="J381">
        <f>IF($A381="","",SUMIFS('Таблиця 1'!$K:$K,'Таблиця 1'!$B:$B,$A381,'Таблиця 1'!$I:$I,"Mirage",'Таблиця 1'!$J:$J,"GBU-39")+SUMIFS('Таблиця 1'!$K:$K,'Таблиця 1'!$B:$B,$A381,'Таблиця 1'!$I:$I,"F-16",'Таблиця 1'!$J:$J,"GBU-39")+SUMIFS('Таблиця 1'!$K:$K,'Таблиця 1'!$B:$B,$A381,'Таблиця 1'!$I:$I,"МіГ-29",'Таблиця 1'!$J:$J,"GBU-39")+SUMIFS('Таблиця 1'!$K:$K,'Таблиця 1'!$B:$B,$A381,'Таблиця 1'!$I:$I,"Су-25",'Таблиця 1'!$J:$J,"GBU-39")+SUMIFS('Таблиця 1'!$K:$K,'Таблиця 1'!$B:$B,$A381,'Таблиця 1'!$I:$I,"Су-27",'Таблиця 1'!$J:$J,"GBU-39"))</f>
        <v/>
      </c>
      <c r="K381">
        <f>IF($A381="","",SUMIFS('Таблиця 1'!$K:$K,'Таблиця 1'!$B:$B,$A381,'Таблиця 1'!$I:$I,"Mirage",'Таблиця 1'!$J:$J,"BLU-140")+SUMIFS('Таблиця 1'!$K:$K,'Таблиця 1'!$B:$B,$A381,'Таблиця 1'!$I:$I,"F-16",'Таблиця 1'!$J:$J,"BLU-140")+SUMIFS('Таблиця 1'!$K:$K,'Таблиця 1'!$B:$B,$A381,'Таблиця 1'!$I:$I,"МіГ-29",'Таблиця 1'!$J:$J,"BLU-140")+SUMIFS('Таблиця 1'!$K:$K,'Таблиця 1'!$B:$B,$A381,'Таблиця 1'!$I:$I,"Су-25",'Таблиця 1'!$J:$J,"BLU-140")+SUMIFS('Таблиця 1'!$K:$K,'Таблиця 1'!$B:$B,$A381,'Таблиця 1'!$I:$I,"Су-27",'Таблиця 1'!$J:$J,"BLU-140"))</f>
        <v/>
      </c>
      <c r="L381">
        <f>IF($A381="","",SUMIFS('Таблиця 1'!$K:$K,'Таблиця 1'!$B:$B,$A381,'Таблиця 1'!$I:$I,"Mirage",'Таблиця 1'!$J:$J,"GBU-65")+SUMIFS('Таблиця 1'!$K:$K,'Таблиця 1'!$B:$B,$A381,'Таблиця 1'!$I:$I,"F-16",'Таблиця 1'!$J:$J,"GBU-65")+SUMIFS('Таблиця 1'!$K:$K,'Таблиця 1'!$B:$B,$A381,'Таблиця 1'!$I:$I,"МіГ-29",'Таблиця 1'!$J:$J,"GBU-65")+SUMIFS('Таблиця 1'!$K:$K,'Таблиця 1'!$B:$B,$A381,'Таблиця 1'!$I:$I,"Су-25",'Таблиця 1'!$J:$J,"GBU-65")+SUMIFS('Таблиця 1'!$K:$K,'Таблиця 1'!$B:$B,$A381,'Таблиця 1'!$I:$I,"Су-27",'Таблиця 1'!$J:$J,"GBU-65"))</f>
        <v/>
      </c>
      <c r="M381">
        <f>IF($A381="","",SUMIFS('Таблиця 1'!$K:$K,'Таблиця 1'!$B:$B,$A381,'Таблиця 1'!$I:$I,"Mirage",'Таблиця 1'!$J:$J,"GBU-62")+SUMIFS('Таблиця 1'!$K:$K,'Таблиця 1'!$B:$B,$A381,'Таблиця 1'!$I:$I,"F-16",'Таблиця 1'!$J:$J,"GBU-62")+SUMIFS('Таблиця 1'!$K:$K,'Таблиця 1'!$B:$B,$A381,'Таблиця 1'!$I:$I,"МіГ-29",'Таблиця 1'!$J:$J,"GBU-62")+SUMIFS('Таблиця 1'!$K:$K,'Таблиця 1'!$B:$B,$A381,'Таблиця 1'!$I:$I,"Су-25",'Таблиця 1'!$J:$J,"GBU-62")+SUMIFS('Таблиця 1'!$K:$K,'Таблиця 1'!$B:$B,$A381,'Таблиця 1'!$I:$I,"Су-27",'Таблиця 1'!$J:$J,"GBU-62"))</f>
        <v/>
      </c>
      <c r="N381">
        <f>IF($A381="","",SUMIFS('Таблиця 1'!$K:$K,'Таблиця 1'!$B:$B,$A381,'Таблиця 1'!$I:$I,"Mirage",'Таблиця 1'!$J:$J,"GBU-64")+SUMIFS('Таблиця 1'!$K:$K,'Таблиця 1'!$B:$B,$A381,'Таблиця 1'!$I:$I,"F-16",'Таблиця 1'!$J:$J,"GBU-64")+SUMIFS('Таблиця 1'!$K:$K,'Таблиця 1'!$B:$B,$A381,'Таблиця 1'!$I:$I,"МіГ-29",'Таблиця 1'!$J:$J,"GBU-64")+SUMIFS('Таблиця 1'!$K:$K,'Таблиця 1'!$B:$B,$A381,'Таблиця 1'!$I:$I,"Су-25",'Таблиця 1'!$J:$J,"GBU-64")+SUMIFS('Таблиця 1'!$K:$K,'Таблиця 1'!$B:$B,$A381,'Таблиця 1'!$I:$I,"Су-27",'Таблиця 1'!$J:$J,"GBU-64"))</f>
        <v/>
      </c>
      <c r="O381">
        <f>IF($A381="","",SUMIFS('Таблиця 1'!$K:$K,'Таблиця 1'!$B:$B,$A381,'Таблиця 1'!$I:$I,"Mirage",'Таблиця 1'!$J:$J,"C-13")+SUMIFS('Таблиця 1'!$K:$K,'Таблиця 1'!$B:$B,$A381,'Таблиця 1'!$I:$I,"F-16",'Таблиця 1'!$J:$J,"C-13")+SUMIFS('Таблиця 1'!$K:$K,'Таблиця 1'!$B:$B,$A381,'Таблиця 1'!$I:$I,"МіГ-29",'Таблиця 1'!$J:$J,"C-13")+SUMIFS('Таблиця 1'!$K:$K,'Таблиця 1'!$B:$B,$A381,'Таблиця 1'!$I:$I,"Су-25",'Таблиця 1'!$J:$J,"C-13")+SUMIFS('Таблиця 1'!$K:$K,'Таблиця 1'!$B:$B,$A381,'Таблиця 1'!$I:$I,"Су-27",'Таблиця 1'!$J:$J,"C-13"))</f>
        <v/>
      </c>
      <c r="P381">
        <f>IF($A381="","",SUMIFS('Таблиця 1'!$K:$K,'Таблиця 1'!$B:$B,$A381,'Таблиця 1'!$I:$I,"Mirage",'Таблиця 1'!$J:$J,"MK-32")+SUMIFS('Таблиця 1'!$K:$K,'Таблиця 1'!$B:$B,$A381,'Таблиця 1'!$I:$I,"F-16",'Таблиця 1'!$J:$J,"MK-32")+SUMIFS('Таблиця 1'!$K:$K,'Таблиця 1'!$B:$B,$A381,'Таблиця 1'!$I:$I,"МіГ-29",'Таблиця 1'!$J:$J,"MK-32")+SUMIFS('Таблиця 1'!$K:$K,'Таблиця 1'!$B:$B,$A381,'Таблиця 1'!$I:$I,"Су-25",'Таблиця 1'!$J:$J,"MK-32")+SUMIFS('Таблиця 1'!$K:$K,'Таблиця 1'!$B:$B,$A381,'Таблиця 1'!$I:$I,"Су-27",'Таблиця 1'!$J:$J,"MK-32"))</f>
        <v/>
      </c>
      <c r="Q381">
        <f>IF($A381="","",SUMIFS('Таблиця 1'!$K:$K,'Таблиця 1'!$B:$B,$A381,'Таблиця 1'!$I:$I,"Mirage",'Таблиця 1'!$J:$J,"MK-24")+SUMIFS('Таблиця 1'!$K:$K,'Таблиця 1'!$B:$B,$A381,'Таблиця 1'!$I:$I,"F-16",'Таблиця 1'!$J:$J,"MK-24")+SUMIFS('Таблиця 1'!$K:$K,'Таблиця 1'!$B:$B,$A381,'Таблиця 1'!$I:$I,"МіГ-29",'Таблиця 1'!$J:$J,"MK-24")+SUMIFS('Таблиця 1'!$K:$K,'Таблиця 1'!$B:$B,$A381,'Таблиця 1'!$I:$I,"Су-25",'Таблиця 1'!$J:$J,"MK-24")+SUMIFS('Таблиця 1'!$K:$K,'Таблиця 1'!$B:$B,$A381,'Таблиця 1'!$I:$I,"Су-27",'Таблиця 1'!$J:$J,"MK-24"))</f>
        <v/>
      </c>
      <c r="R381">
        <f>IF($A381="","",COUNTIFS('Таблиця 1'!$B:$B,$A381,'Таблиця 1'!$I:$I,"Mirage",'Таблиця 1'!$L:$L,"Уражено")+COUNTIFS('Таблиця 1'!$B:$B,$A381,'Таблиця 1'!$I:$I,"F-16",'Таблиця 1'!$L:$L,"Уражено")+COUNTIFS('Таблиця 1'!$B:$B,$A381,'Таблиця 1'!$I:$I,"МіГ-29",'Таблиця 1'!$L:$L,"Уражено")+COUNTIFS('Таблиця 1'!$B:$B,$A381,'Таблиця 1'!$I:$I,"Су-25",'Таблиця 1'!$L:$L,"Уражено")+COUNTIFS('Таблиця 1'!$B:$B,$A381,'Таблиця 1'!$I:$I,"Су-27",'Таблиця 1'!$L:$L,"Уражено"))</f>
        <v/>
      </c>
      <c r="S381">
        <f>IF($A381="","",COUNTIFS('Таблиця 1'!$B:$B,$A381,'Таблиця 1'!$I:$I,"Mirage",'Таблиця 1'!$L:$L,"НЕ уражено")+COUNTIFS('Таблиця 1'!$B:$B,$A381,'Таблиця 1'!$I:$I,"F-16",'Таблиця 1'!$L:$L,"НЕ уражено")+COUNTIFS('Таблиця 1'!$B:$B,$A381,'Таблиця 1'!$I:$I,"МіГ-29",'Таблиця 1'!$L:$L,"НЕ уражено")+COUNTIFS('Таблиця 1'!$B:$B,$A381,'Таблиця 1'!$I:$I,"Су-25",'Таблиця 1'!$L:$L,"НЕ уражено")+COUNTIFS('Таблиця 1'!$B:$B,$A381,'Таблиця 1'!$I:$I,"Су-27",'Таблиця 1'!$L:$L,"НЕ уражено"))</f>
        <v/>
      </c>
      <c r="T381">
        <f>IF($A381="","",COUNTIFS('Таблиця 1'!$B:$B,$A381,'Таблиця 1'!$I:$I,"Mirage",'Таблиця 1'!$L:$L,"Дорозвідується")+COUNTIFS('Таблиця 1'!$B:$B,$A381,'Таблиця 1'!$I:$I,"F-16",'Таблиця 1'!$L:$L,"Дорозвідується")+COUNTIFS('Таблиця 1'!$B:$B,$A381,'Таблиця 1'!$I:$I,"МіГ-29",'Таблиця 1'!$L:$L,"Дорозвідується")+COUNTIFS('Таблиця 1'!$B:$B,$A381,'Таблиця 1'!$I:$I,"Су-25",'Таблиця 1'!$L:$L,"Дорозвідується")+COUNTIFS('Таблиця 1'!$B:$B,$A381,'Таблиця 1'!$I:$I,"Су-27",'Таблиця 1'!$L:$L,"Дорозвідується"))</f>
        <v/>
      </c>
    </row>
    <row r="382">
      <c r="A382" s="273">
        <f>IF(A381="","",IF(A381+1&gt;MAX('Таблиця 1'!$B:$B),"",A381+1))</f>
        <v/>
      </c>
      <c r="B382">
        <f>IF($A382="","",COUNTIFS('Таблиця 1'!$B:$B,$A382,'Таблиця 1'!$I:$I,"Mirage")+COUNTIFS('Таблиця 1'!$B:$B,$A382,'Таблиця 1'!$I:$I,"F-16")+COUNTIFS('Таблиця 1'!$B:$B,$A382,'Таблиця 1'!$I:$I,"МіГ-29")+COUNTIFS('Таблиця 1'!$B:$B,$A382,'Таблиця 1'!$I:$I,"Су-25")+COUNTIFS('Таблиця 1'!$B:$B,$A382,'Таблиця 1'!$I:$I,"Су-27"))</f>
        <v/>
      </c>
      <c r="C382">
        <f>IF($A382="","",COUNTIFS('Таблиця 1'!$B:$B,$A382,'Таблиця 1'!$I:$I,"Mirage"))</f>
        <v/>
      </c>
      <c r="D382">
        <f>IF($A382="","",COUNTIFS('Таблиця 1'!$B:$B,$A382,'Таблиця 1'!$I:$I,"F-16"))</f>
        <v/>
      </c>
      <c r="E382">
        <f>IF($A382="","",COUNTIFS('Таблиця 1'!$B:$B,$A382,'Таблиця 1'!$I:$I,"МіГ-29"))</f>
        <v/>
      </c>
      <c r="F382">
        <f>IF($A382="","",COUNTIFS('Таблиця 1'!$B:$B,$A382,'Таблиця 1'!$I:$I,"Су-25"))</f>
        <v/>
      </c>
      <c r="G382">
        <f>IF($A382="","",COUNTIFS('Таблиця 1'!$B:$B,$A382,'Таблиця 1'!$I:$I,"Су-27"))</f>
        <v/>
      </c>
      <c r="H382">
        <f>IF($A382="","",SUMIFS('Таблиця 1'!$K:$K,'Таблиця 1'!$B:$B,$A382,'Таблиця 1'!$I:$I,"Mirage",'Таблиця 1'!$J:$J,"AGM-88")+SUMIFS('Таблиця 1'!$K:$K,'Таблиця 1'!$B:$B,$A382,'Таблиця 1'!$I:$I,"F-16",'Таблиця 1'!$J:$J,"AGM-88")+SUMIFS('Таблиця 1'!$K:$K,'Таблиця 1'!$B:$B,$A382,'Таблиця 1'!$I:$I,"МіГ-29",'Таблиця 1'!$J:$J,"AGM-88")+SUMIFS('Таблиця 1'!$K:$K,'Таблиця 1'!$B:$B,$A382,'Таблиця 1'!$I:$I,"Су-25",'Таблиця 1'!$J:$J,"AGM-88")+SUMIFS('Таблиця 1'!$K:$K,'Таблиця 1'!$B:$B,$A382,'Таблиця 1'!$I:$I,"Су-27",'Таблиця 1'!$J:$J,"AGM-88"))</f>
        <v/>
      </c>
      <c r="I382">
        <f>IF($A382="","",SUMIFS('Таблиця 1'!$K:$K,'Таблиця 1'!$B:$B,$A382,'Таблиця 1'!$I:$I,"Mirage",'Таблиця 1'!$J:$J,"AASM-250")+SUMIFS('Таблиця 1'!$K:$K,'Таблиця 1'!$B:$B,$A382,'Таблиця 1'!$I:$I,"F-16",'Таблиця 1'!$J:$J,"AASM-250")+SUMIFS('Таблиця 1'!$K:$K,'Таблиця 1'!$B:$B,$A382,'Таблиця 1'!$I:$I,"МіГ-29",'Таблиця 1'!$J:$J,"AASM-250")+SUMIFS('Таблиця 1'!$K:$K,'Таблиця 1'!$B:$B,$A382,'Таблиця 1'!$I:$I,"Су-25",'Таблиця 1'!$J:$J,"AASM-250")+SUMIFS('Таблиця 1'!$K:$K,'Таблиця 1'!$B:$B,$A382,'Таблиця 1'!$I:$I,"Су-27",'Таблиця 1'!$J:$J,"AASM-250"))</f>
        <v/>
      </c>
      <c r="J382">
        <f>IF($A382="","",SUMIFS('Таблиця 1'!$K:$K,'Таблиця 1'!$B:$B,$A382,'Таблиця 1'!$I:$I,"Mirage",'Таблиця 1'!$J:$J,"GBU-39")+SUMIFS('Таблиця 1'!$K:$K,'Таблиця 1'!$B:$B,$A382,'Таблиця 1'!$I:$I,"F-16",'Таблиця 1'!$J:$J,"GBU-39")+SUMIFS('Таблиця 1'!$K:$K,'Таблиця 1'!$B:$B,$A382,'Таблиця 1'!$I:$I,"МіГ-29",'Таблиця 1'!$J:$J,"GBU-39")+SUMIFS('Таблиця 1'!$K:$K,'Таблиця 1'!$B:$B,$A382,'Таблиця 1'!$I:$I,"Су-25",'Таблиця 1'!$J:$J,"GBU-39")+SUMIFS('Таблиця 1'!$K:$K,'Таблиця 1'!$B:$B,$A382,'Таблиця 1'!$I:$I,"Су-27",'Таблиця 1'!$J:$J,"GBU-39"))</f>
        <v/>
      </c>
      <c r="K382">
        <f>IF($A382="","",SUMIFS('Таблиця 1'!$K:$K,'Таблиця 1'!$B:$B,$A382,'Таблиця 1'!$I:$I,"Mirage",'Таблиця 1'!$J:$J,"BLU-140")+SUMIFS('Таблиця 1'!$K:$K,'Таблиця 1'!$B:$B,$A382,'Таблиця 1'!$I:$I,"F-16",'Таблиця 1'!$J:$J,"BLU-140")+SUMIFS('Таблиця 1'!$K:$K,'Таблиця 1'!$B:$B,$A382,'Таблиця 1'!$I:$I,"МіГ-29",'Таблиця 1'!$J:$J,"BLU-140")+SUMIFS('Таблиця 1'!$K:$K,'Таблиця 1'!$B:$B,$A382,'Таблиця 1'!$I:$I,"Су-25",'Таблиця 1'!$J:$J,"BLU-140")+SUMIFS('Таблиця 1'!$K:$K,'Таблиця 1'!$B:$B,$A382,'Таблиця 1'!$I:$I,"Су-27",'Таблиця 1'!$J:$J,"BLU-140"))</f>
        <v/>
      </c>
      <c r="L382">
        <f>IF($A382="","",SUMIFS('Таблиця 1'!$K:$K,'Таблиця 1'!$B:$B,$A382,'Таблиця 1'!$I:$I,"Mirage",'Таблиця 1'!$J:$J,"GBU-65")+SUMIFS('Таблиця 1'!$K:$K,'Таблиця 1'!$B:$B,$A382,'Таблиця 1'!$I:$I,"F-16",'Таблиця 1'!$J:$J,"GBU-65")+SUMIFS('Таблиця 1'!$K:$K,'Таблиця 1'!$B:$B,$A382,'Таблиця 1'!$I:$I,"МіГ-29",'Таблиця 1'!$J:$J,"GBU-65")+SUMIFS('Таблиця 1'!$K:$K,'Таблиця 1'!$B:$B,$A382,'Таблиця 1'!$I:$I,"Су-25",'Таблиця 1'!$J:$J,"GBU-65")+SUMIFS('Таблиця 1'!$K:$K,'Таблиця 1'!$B:$B,$A382,'Таблиця 1'!$I:$I,"Су-27",'Таблиця 1'!$J:$J,"GBU-65"))</f>
        <v/>
      </c>
      <c r="M382">
        <f>IF($A382="","",SUMIFS('Таблиця 1'!$K:$K,'Таблиця 1'!$B:$B,$A382,'Таблиця 1'!$I:$I,"Mirage",'Таблиця 1'!$J:$J,"GBU-62")+SUMIFS('Таблиця 1'!$K:$K,'Таблиця 1'!$B:$B,$A382,'Таблиця 1'!$I:$I,"F-16",'Таблиця 1'!$J:$J,"GBU-62")+SUMIFS('Таблиця 1'!$K:$K,'Таблиця 1'!$B:$B,$A382,'Таблиця 1'!$I:$I,"МіГ-29",'Таблиця 1'!$J:$J,"GBU-62")+SUMIFS('Таблиця 1'!$K:$K,'Таблиця 1'!$B:$B,$A382,'Таблиця 1'!$I:$I,"Су-25",'Таблиця 1'!$J:$J,"GBU-62")+SUMIFS('Таблиця 1'!$K:$K,'Таблиця 1'!$B:$B,$A382,'Таблиця 1'!$I:$I,"Су-27",'Таблиця 1'!$J:$J,"GBU-62"))</f>
        <v/>
      </c>
      <c r="N382">
        <f>IF($A382="","",SUMIFS('Таблиця 1'!$K:$K,'Таблиця 1'!$B:$B,$A382,'Таблиця 1'!$I:$I,"Mirage",'Таблиця 1'!$J:$J,"GBU-64")+SUMIFS('Таблиця 1'!$K:$K,'Таблиця 1'!$B:$B,$A382,'Таблиця 1'!$I:$I,"F-16",'Таблиця 1'!$J:$J,"GBU-64")+SUMIFS('Таблиця 1'!$K:$K,'Таблиця 1'!$B:$B,$A382,'Таблиця 1'!$I:$I,"МіГ-29",'Таблиця 1'!$J:$J,"GBU-64")+SUMIFS('Таблиця 1'!$K:$K,'Таблиця 1'!$B:$B,$A382,'Таблиця 1'!$I:$I,"Су-25",'Таблиця 1'!$J:$J,"GBU-64")+SUMIFS('Таблиця 1'!$K:$K,'Таблиця 1'!$B:$B,$A382,'Таблиця 1'!$I:$I,"Су-27",'Таблиця 1'!$J:$J,"GBU-64"))</f>
        <v/>
      </c>
      <c r="O382">
        <f>IF($A382="","",SUMIFS('Таблиця 1'!$K:$K,'Таблиця 1'!$B:$B,$A382,'Таблиця 1'!$I:$I,"Mirage",'Таблиця 1'!$J:$J,"C-13")+SUMIFS('Таблиця 1'!$K:$K,'Таблиця 1'!$B:$B,$A382,'Таблиця 1'!$I:$I,"F-16",'Таблиця 1'!$J:$J,"C-13")+SUMIFS('Таблиця 1'!$K:$K,'Таблиця 1'!$B:$B,$A382,'Таблиця 1'!$I:$I,"МіГ-29",'Таблиця 1'!$J:$J,"C-13")+SUMIFS('Таблиця 1'!$K:$K,'Таблиця 1'!$B:$B,$A382,'Таблиця 1'!$I:$I,"Су-25",'Таблиця 1'!$J:$J,"C-13")+SUMIFS('Таблиця 1'!$K:$K,'Таблиця 1'!$B:$B,$A382,'Таблиця 1'!$I:$I,"Су-27",'Таблиця 1'!$J:$J,"C-13"))</f>
        <v/>
      </c>
      <c r="P382">
        <f>IF($A382="","",SUMIFS('Таблиця 1'!$K:$K,'Таблиця 1'!$B:$B,$A382,'Таблиця 1'!$I:$I,"Mirage",'Таблиця 1'!$J:$J,"MK-32")+SUMIFS('Таблиця 1'!$K:$K,'Таблиця 1'!$B:$B,$A382,'Таблиця 1'!$I:$I,"F-16",'Таблиця 1'!$J:$J,"MK-32")+SUMIFS('Таблиця 1'!$K:$K,'Таблиця 1'!$B:$B,$A382,'Таблиця 1'!$I:$I,"МіГ-29",'Таблиця 1'!$J:$J,"MK-32")+SUMIFS('Таблиця 1'!$K:$K,'Таблиця 1'!$B:$B,$A382,'Таблиця 1'!$I:$I,"Су-25",'Таблиця 1'!$J:$J,"MK-32")+SUMIFS('Таблиця 1'!$K:$K,'Таблиця 1'!$B:$B,$A382,'Таблиця 1'!$I:$I,"Су-27",'Таблиця 1'!$J:$J,"MK-32"))</f>
        <v/>
      </c>
      <c r="Q382">
        <f>IF($A382="","",SUMIFS('Таблиця 1'!$K:$K,'Таблиця 1'!$B:$B,$A382,'Таблиця 1'!$I:$I,"Mirage",'Таблиця 1'!$J:$J,"MK-24")+SUMIFS('Таблиця 1'!$K:$K,'Таблиця 1'!$B:$B,$A382,'Таблиця 1'!$I:$I,"F-16",'Таблиця 1'!$J:$J,"MK-24")+SUMIFS('Таблиця 1'!$K:$K,'Таблиця 1'!$B:$B,$A382,'Таблиця 1'!$I:$I,"МіГ-29",'Таблиця 1'!$J:$J,"MK-24")+SUMIFS('Таблиця 1'!$K:$K,'Таблиця 1'!$B:$B,$A382,'Таблиця 1'!$I:$I,"Су-25",'Таблиця 1'!$J:$J,"MK-24")+SUMIFS('Таблиця 1'!$K:$K,'Таблиця 1'!$B:$B,$A382,'Таблиця 1'!$I:$I,"Су-27",'Таблиця 1'!$J:$J,"MK-24"))</f>
        <v/>
      </c>
      <c r="R382">
        <f>IF($A382="","",COUNTIFS('Таблиця 1'!$B:$B,$A382,'Таблиця 1'!$I:$I,"Mirage",'Таблиця 1'!$L:$L,"Уражено")+COUNTIFS('Таблиця 1'!$B:$B,$A382,'Таблиця 1'!$I:$I,"F-16",'Таблиця 1'!$L:$L,"Уражено")+COUNTIFS('Таблиця 1'!$B:$B,$A382,'Таблиця 1'!$I:$I,"МіГ-29",'Таблиця 1'!$L:$L,"Уражено")+COUNTIFS('Таблиця 1'!$B:$B,$A382,'Таблиця 1'!$I:$I,"Су-25",'Таблиця 1'!$L:$L,"Уражено")+COUNTIFS('Таблиця 1'!$B:$B,$A382,'Таблиця 1'!$I:$I,"Су-27",'Таблиця 1'!$L:$L,"Уражено"))</f>
        <v/>
      </c>
      <c r="S382">
        <f>IF($A382="","",COUNTIFS('Таблиця 1'!$B:$B,$A382,'Таблиця 1'!$I:$I,"Mirage",'Таблиця 1'!$L:$L,"НЕ уражено")+COUNTIFS('Таблиця 1'!$B:$B,$A382,'Таблиця 1'!$I:$I,"F-16",'Таблиця 1'!$L:$L,"НЕ уражено")+COUNTIFS('Таблиця 1'!$B:$B,$A382,'Таблиця 1'!$I:$I,"МіГ-29",'Таблиця 1'!$L:$L,"НЕ уражено")+COUNTIFS('Таблиця 1'!$B:$B,$A382,'Таблиця 1'!$I:$I,"Су-25",'Таблиця 1'!$L:$L,"НЕ уражено")+COUNTIFS('Таблиця 1'!$B:$B,$A382,'Таблиця 1'!$I:$I,"Су-27",'Таблиця 1'!$L:$L,"НЕ уражено"))</f>
        <v/>
      </c>
      <c r="T382">
        <f>IF($A382="","",COUNTIFS('Таблиця 1'!$B:$B,$A382,'Таблиця 1'!$I:$I,"Mirage",'Таблиця 1'!$L:$L,"Дорозвідується")+COUNTIFS('Таблиця 1'!$B:$B,$A382,'Таблиця 1'!$I:$I,"F-16",'Таблиця 1'!$L:$L,"Дорозвідується")+COUNTIFS('Таблиця 1'!$B:$B,$A382,'Таблиця 1'!$I:$I,"МіГ-29",'Таблиця 1'!$L:$L,"Дорозвідується")+COUNTIFS('Таблиця 1'!$B:$B,$A382,'Таблиця 1'!$I:$I,"Су-25",'Таблиця 1'!$L:$L,"Дорозвідується")+COUNTIFS('Таблиця 1'!$B:$B,$A382,'Таблиця 1'!$I:$I,"Су-27",'Таблиця 1'!$L:$L,"Дорозвідується"))</f>
        <v/>
      </c>
    </row>
    <row r="383">
      <c r="A383" s="273">
        <f>IF(A382="","",IF(A382+1&gt;MAX('Таблиця 1'!$B:$B),"",A382+1))</f>
        <v/>
      </c>
      <c r="B383">
        <f>IF($A383="","",COUNTIFS('Таблиця 1'!$B:$B,$A383,'Таблиця 1'!$I:$I,"Mirage")+COUNTIFS('Таблиця 1'!$B:$B,$A383,'Таблиця 1'!$I:$I,"F-16")+COUNTIFS('Таблиця 1'!$B:$B,$A383,'Таблиця 1'!$I:$I,"МіГ-29")+COUNTIFS('Таблиця 1'!$B:$B,$A383,'Таблиця 1'!$I:$I,"Су-25")+COUNTIFS('Таблиця 1'!$B:$B,$A383,'Таблиця 1'!$I:$I,"Су-27"))</f>
        <v/>
      </c>
      <c r="C383">
        <f>IF($A383="","",COUNTIFS('Таблиця 1'!$B:$B,$A383,'Таблиця 1'!$I:$I,"Mirage"))</f>
        <v/>
      </c>
      <c r="D383">
        <f>IF($A383="","",COUNTIFS('Таблиця 1'!$B:$B,$A383,'Таблиця 1'!$I:$I,"F-16"))</f>
        <v/>
      </c>
      <c r="E383">
        <f>IF($A383="","",COUNTIFS('Таблиця 1'!$B:$B,$A383,'Таблиця 1'!$I:$I,"МіГ-29"))</f>
        <v/>
      </c>
      <c r="F383">
        <f>IF($A383="","",COUNTIFS('Таблиця 1'!$B:$B,$A383,'Таблиця 1'!$I:$I,"Су-25"))</f>
        <v/>
      </c>
      <c r="G383">
        <f>IF($A383="","",COUNTIFS('Таблиця 1'!$B:$B,$A383,'Таблиця 1'!$I:$I,"Су-27"))</f>
        <v/>
      </c>
      <c r="H383">
        <f>IF($A383="","",SUMIFS('Таблиця 1'!$K:$K,'Таблиця 1'!$B:$B,$A383,'Таблиця 1'!$I:$I,"Mirage",'Таблиця 1'!$J:$J,"AGM-88")+SUMIFS('Таблиця 1'!$K:$K,'Таблиця 1'!$B:$B,$A383,'Таблиця 1'!$I:$I,"F-16",'Таблиця 1'!$J:$J,"AGM-88")+SUMIFS('Таблиця 1'!$K:$K,'Таблиця 1'!$B:$B,$A383,'Таблиця 1'!$I:$I,"МіГ-29",'Таблиця 1'!$J:$J,"AGM-88")+SUMIFS('Таблиця 1'!$K:$K,'Таблиця 1'!$B:$B,$A383,'Таблиця 1'!$I:$I,"Су-25",'Таблиця 1'!$J:$J,"AGM-88")+SUMIFS('Таблиця 1'!$K:$K,'Таблиця 1'!$B:$B,$A383,'Таблиця 1'!$I:$I,"Су-27",'Таблиця 1'!$J:$J,"AGM-88"))</f>
        <v/>
      </c>
      <c r="I383">
        <f>IF($A383="","",SUMIFS('Таблиця 1'!$K:$K,'Таблиця 1'!$B:$B,$A383,'Таблиця 1'!$I:$I,"Mirage",'Таблиця 1'!$J:$J,"AASM-250")+SUMIFS('Таблиця 1'!$K:$K,'Таблиця 1'!$B:$B,$A383,'Таблиця 1'!$I:$I,"F-16",'Таблиця 1'!$J:$J,"AASM-250")+SUMIFS('Таблиця 1'!$K:$K,'Таблиця 1'!$B:$B,$A383,'Таблиця 1'!$I:$I,"МіГ-29",'Таблиця 1'!$J:$J,"AASM-250")+SUMIFS('Таблиця 1'!$K:$K,'Таблиця 1'!$B:$B,$A383,'Таблиця 1'!$I:$I,"Су-25",'Таблиця 1'!$J:$J,"AASM-250")+SUMIFS('Таблиця 1'!$K:$K,'Таблиця 1'!$B:$B,$A383,'Таблиця 1'!$I:$I,"Су-27",'Таблиця 1'!$J:$J,"AASM-250"))</f>
        <v/>
      </c>
      <c r="J383">
        <f>IF($A383="","",SUMIFS('Таблиця 1'!$K:$K,'Таблиця 1'!$B:$B,$A383,'Таблиця 1'!$I:$I,"Mirage",'Таблиця 1'!$J:$J,"GBU-39")+SUMIFS('Таблиця 1'!$K:$K,'Таблиця 1'!$B:$B,$A383,'Таблиця 1'!$I:$I,"F-16",'Таблиця 1'!$J:$J,"GBU-39")+SUMIFS('Таблиця 1'!$K:$K,'Таблиця 1'!$B:$B,$A383,'Таблиця 1'!$I:$I,"МіГ-29",'Таблиця 1'!$J:$J,"GBU-39")+SUMIFS('Таблиця 1'!$K:$K,'Таблиця 1'!$B:$B,$A383,'Таблиця 1'!$I:$I,"Су-25",'Таблиця 1'!$J:$J,"GBU-39")+SUMIFS('Таблиця 1'!$K:$K,'Таблиця 1'!$B:$B,$A383,'Таблиця 1'!$I:$I,"Су-27",'Таблиця 1'!$J:$J,"GBU-39"))</f>
        <v/>
      </c>
      <c r="K383">
        <f>IF($A383="","",SUMIFS('Таблиця 1'!$K:$K,'Таблиця 1'!$B:$B,$A383,'Таблиця 1'!$I:$I,"Mirage",'Таблиця 1'!$J:$J,"BLU-140")+SUMIFS('Таблиця 1'!$K:$K,'Таблиця 1'!$B:$B,$A383,'Таблиця 1'!$I:$I,"F-16",'Таблиця 1'!$J:$J,"BLU-140")+SUMIFS('Таблиця 1'!$K:$K,'Таблиця 1'!$B:$B,$A383,'Таблиця 1'!$I:$I,"МіГ-29",'Таблиця 1'!$J:$J,"BLU-140")+SUMIFS('Таблиця 1'!$K:$K,'Таблиця 1'!$B:$B,$A383,'Таблиця 1'!$I:$I,"Су-25",'Таблиця 1'!$J:$J,"BLU-140")+SUMIFS('Таблиця 1'!$K:$K,'Таблиця 1'!$B:$B,$A383,'Таблиця 1'!$I:$I,"Су-27",'Таблиця 1'!$J:$J,"BLU-140"))</f>
        <v/>
      </c>
      <c r="L383">
        <f>IF($A383="","",SUMIFS('Таблиця 1'!$K:$K,'Таблиця 1'!$B:$B,$A383,'Таблиця 1'!$I:$I,"Mirage",'Таблиця 1'!$J:$J,"GBU-65")+SUMIFS('Таблиця 1'!$K:$K,'Таблиця 1'!$B:$B,$A383,'Таблиця 1'!$I:$I,"F-16",'Таблиця 1'!$J:$J,"GBU-65")+SUMIFS('Таблиця 1'!$K:$K,'Таблиця 1'!$B:$B,$A383,'Таблиця 1'!$I:$I,"МіГ-29",'Таблиця 1'!$J:$J,"GBU-65")+SUMIFS('Таблиця 1'!$K:$K,'Таблиця 1'!$B:$B,$A383,'Таблиця 1'!$I:$I,"Су-25",'Таблиця 1'!$J:$J,"GBU-65")+SUMIFS('Таблиця 1'!$K:$K,'Таблиця 1'!$B:$B,$A383,'Таблиця 1'!$I:$I,"Су-27",'Таблиця 1'!$J:$J,"GBU-65"))</f>
        <v/>
      </c>
      <c r="M383">
        <f>IF($A383="","",SUMIFS('Таблиця 1'!$K:$K,'Таблиця 1'!$B:$B,$A383,'Таблиця 1'!$I:$I,"Mirage",'Таблиця 1'!$J:$J,"GBU-62")+SUMIFS('Таблиця 1'!$K:$K,'Таблиця 1'!$B:$B,$A383,'Таблиця 1'!$I:$I,"F-16",'Таблиця 1'!$J:$J,"GBU-62")+SUMIFS('Таблиця 1'!$K:$K,'Таблиця 1'!$B:$B,$A383,'Таблиця 1'!$I:$I,"МіГ-29",'Таблиця 1'!$J:$J,"GBU-62")+SUMIFS('Таблиця 1'!$K:$K,'Таблиця 1'!$B:$B,$A383,'Таблиця 1'!$I:$I,"Су-25",'Таблиця 1'!$J:$J,"GBU-62")+SUMIFS('Таблиця 1'!$K:$K,'Таблиця 1'!$B:$B,$A383,'Таблиця 1'!$I:$I,"Су-27",'Таблиця 1'!$J:$J,"GBU-62"))</f>
        <v/>
      </c>
      <c r="N383">
        <f>IF($A383="","",SUMIFS('Таблиця 1'!$K:$K,'Таблиця 1'!$B:$B,$A383,'Таблиця 1'!$I:$I,"Mirage",'Таблиця 1'!$J:$J,"GBU-64")+SUMIFS('Таблиця 1'!$K:$K,'Таблиця 1'!$B:$B,$A383,'Таблиця 1'!$I:$I,"F-16",'Таблиця 1'!$J:$J,"GBU-64")+SUMIFS('Таблиця 1'!$K:$K,'Таблиця 1'!$B:$B,$A383,'Таблиця 1'!$I:$I,"МіГ-29",'Таблиця 1'!$J:$J,"GBU-64")+SUMIFS('Таблиця 1'!$K:$K,'Таблиця 1'!$B:$B,$A383,'Таблиця 1'!$I:$I,"Су-25",'Таблиця 1'!$J:$J,"GBU-64")+SUMIFS('Таблиця 1'!$K:$K,'Таблиця 1'!$B:$B,$A383,'Таблиця 1'!$I:$I,"Су-27",'Таблиця 1'!$J:$J,"GBU-64"))</f>
        <v/>
      </c>
      <c r="O383">
        <f>IF($A383="","",SUMIFS('Таблиця 1'!$K:$K,'Таблиця 1'!$B:$B,$A383,'Таблиця 1'!$I:$I,"Mirage",'Таблиця 1'!$J:$J,"C-13")+SUMIFS('Таблиця 1'!$K:$K,'Таблиця 1'!$B:$B,$A383,'Таблиця 1'!$I:$I,"F-16",'Таблиця 1'!$J:$J,"C-13")+SUMIFS('Таблиця 1'!$K:$K,'Таблиця 1'!$B:$B,$A383,'Таблиця 1'!$I:$I,"МіГ-29",'Таблиця 1'!$J:$J,"C-13")+SUMIFS('Таблиця 1'!$K:$K,'Таблиця 1'!$B:$B,$A383,'Таблиця 1'!$I:$I,"Су-25",'Таблиця 1'!$J:$J,"C-13")+SUMIFS('Таблиця 1'!$K:$K,'Таблиця 1'!$B:$B,$A383,'Таблиця 1'!$I:$I,"Су-27",'Таблиця 1'!$J:$J,"C-13"))</f>
        <v/>
      </c>
      <c r="P383">
        <f>IF($A383="","",SUMIFS('Таблиця 1'!$K:$K,'Таблиця 1'!$B:$B,$A383,'Таблиця 1'!$I:$I,"Mirage",'Таблиця 1'!$J:$J,"MK-32")+SUMIFS('Таблиця 1'!$K:$K,'Таблиця 1'!$B:$B,$A383,'Таблиця 1'!$I:$I,"F-16",'Таблиця 1'!$J:$J,"MK-32")+SUMIFS('Таблиця 1'!$K:$K,'Таблиця 1'!$B:$B,$A383,'Таблиця 1'!$I:$I,"МіГ-29",'Таблиця 1'!$J:$J,"MK-32")+SUMIFS('Таблиця 1'!$K:$K,'Таблиця 1'!$B:$B,$A383,'Таблиця 1'!$I:$I,"Су-25",'Таблиця 1'!$J:$J,"MK-32")+SUMIFS('Таблиця 1'!$K:$K,'Таблиця 1'!$B:$B,$A383,'Таблиця 1'!$I:$I,"Су-27",'Таблиця 1'!$J:$J,"MK-32"))</f>
        <v/>
      </c>
      <c r="Q383">
        <f>IF($A383="","",SUMIFS('Таблиця 1'!$K:$K,'Таблиця 1'!$B:$B,$A383,'Таблиця 1'!$I:$I,"Mirage",'Таблиця 1'!$J:$J,"MK-24")+SUMIFS('Таблиця 1'!$K:$K,'Таблиця 1'!$B:$B,$A383,'Таблиця 1'!$I:$I,"F-16",'Таблиця 1'!$J:$J,"MK-24")+SUMIFS('Таблиця 1'!$K:$K,'Таблиця 1'!$B:$B,$A383,'Таблиця 1'!$I:$I,"МіГ-29",'Таблиця 1'!$J:$J,"MK-24")+SUMIFS('Таблиця 1'!$K:$K,'Таблиця 1'!$B:$B,$A383,'Таблиця 1'!$I:$I,"Су-25",'Таблиця 1'!$J:$J,"MK-24")+SUMIFS('Таблиця 1'!$K:$K,'Таблиця 1'!$B:$B,$A383,'Таблиця 1'!$I:$I,"Су-27",'Таблиця 1'!$J:$J,"MK-24"))</f>
        <v/>
      </c>
      <c r="R383">
        <f>IF($A383="","",COUNTIFS('Таблиця 1'!$B:$B,$A383,'Таблиця 1'!$I:$I,"Mirage",'Таблиця 1'!$L:$L,"Уражено")+COUNTIFS('Таблиця 1'!$B:$B,$A383,'Таблиця 1'!$I:$I,"F-16",'Таблиця 1'!$L:$L,"Уражено")+COUNTIFS('Таблиця 1'!$B:$B,$A383,'Таблиця 1'!$I:$I,"МіГ-29",'Таблиця 1'!$L:$L,"Уражено")+COUNTIFS('Таблиця 1'!$B:$B,$A383,'Таблиця 1'!$I:$I,"Су-25",'Таблиця 1'!$L:$L,"Уражено")+COUNTIFS('Таблиця 1'!$B:$B,$A383,'Таблиця 1'!$I:$I,"Су-27",'Таблиця 1'!$L:$L,"Уражено"))</f>
        <v/>
      </c>
      <c r="S383">
        <f>IF($A383="","",COUNTIFS('Таблиця 1'!$B:$B,$A383,'Таблиця 1'!$I:$I,"Mirage",'Таблиця 1'!$L:$L,"НЕ уражено")+COUNTIFS('Таблиця 1'!$B:$B,$A383,'Таблиця 1'!$I:$I,"F-16",'Таблиця 1'!$L:$L,"НЕ уражено")+COUNTIFS('Таблиця 1'!$B:$B,$A383,'Таблиця 1'!$I:$I,"МіГ-29",'Таблиця 1'!$L:$L,"НЕ уражено")+COUNTIFS('Таблиця 1'!$B:$B,$A383,'Таблиця 1'!$I:$I,"Су-25",'Таблиця 1'!$L:$L,"НЕ уражено")+COUNTIFS('Таблиця 1'!$B:$B,$A383,'Таблиця 1'!$I:$I,"Су-27",'Таблиця 1'!$L:$L,"НЕ уражено"))</f>
        <v/>
      </c>
      <c r="T383">
        <f>IF($A383="","",COUNTIFS('Таблиця 1'!$B:$B,$A383,'Таблиця 1'!$I:$I,"Mirage",'Таблиця 1'!$L:$L,"Дорозвідується")+COUNTIFS('Таблиця 1'!$B:$B,$A383,'Таблиця 1'!$I:$I,"F-16",'Таблиця 1'!$L:$L,"Дорозвідується")+COUNTIFS('Таблиця 1'!$B:$B,$A383,'Таблиця 1'!$I:$I,"МіГ-29",'Таблиця 1'!$L:$L,"Дорозвідується")+COUNTIFS('Таблиця 1'!$B:$B,$A383,'Таблиця 1'!$I:$I,"Су-25",'Таблиця 1'!$L:$L,"Дорозвідується")+COUNTIFS('Таблиця 1'!$B:$B,$A383,'Таблиця 1'!$I:$I,"Су-27",'Таблиця 1'!$L:$L,"Дорозвідується"))</f>
        <v/>
      </c>
    </row>
    <row r="384">
      <c r="A384" s="273">
        <f>IF(A383="","",IF(A383+1&gt;MAX('Таблиця 1'!$B:$B),"",A383+1))</f>
        <v/>
      </c>
      <c r="B384">
        <f>IF($A384="","",COUNTIFS('Таблиця 1'!$B:$B,$A384,'Таблиця 1'!$I:$I,"Mirage")+COUNTIFS('Таблиця 1'!$B:$B,$A384,'Таблиця 1'!$I:$I,"F-16")+COUNTIFS('Таблиця 1'!$B:$B,$A384,'Таблиця 1'!$I:$I,"МіГ-29")+COUNTIFS('Таблиця 1'!$B:$B,$A384,'Таблиця 1'!$I:$I,"Су-25")+COUNTIFS('Таблиця 1'!$B:$B,$A384,'Таблиця 1'!$I:$I,"Су-27"))</f>
        <v/>
      </c>
      <c r="C384">
        <f>IF($A384="","",COUNTIFS('Таблиця 1'!$B:$B,$A384,'Таблиця 1'!$I:$I,"Mirage"))</f>
        <v/>
      </c>
      <c r="D384">
        <f>IF($A384="","",COUNTIFS('Таблиця 1'!$B:$B,$A384,'Таблиця 1'!$I:$I,"F-16"))</f>
        <v/>
      </c>
      <c r="E384">
        <f>IF($A384="","",COUNTIFS('Таблиця 1'!$B:$B,$A384,'Таблиця 1'!$I:$I,"МіГ-29"))</f>
        <v/>
      </c>
      <c r="F384">
        <f>IF($A384="","",COUNTIFS('Таблиця 1'!$B:$B,$A384,'Таблиця 1'!$I:$I,"Су-25"))</f>
        <v/>
      </c>
      <c r="G384">
        <f>IF($A384="","",COUNTIFS('Таблиця 1'!$B:$B,$A384,'Таблиця 1'!$I:$I,"Су-27"))</f>
        <v/>
      </c>
      <c r="H384">
        <f>IF($A384="","",SUMIFS('Таблиця 1'!$K:$K,'Таблиця 1'!$B:$B,$A384,'Таблиця 1'!$I:$I,"Mirage",'Таблиця 1'!$J:$J,"AGM-88")+SUMIFS('Таблиця 1'!$K:$K,'Таблиця 1'!$B:$B,$A384,'Таблиця 1'!$I:$I,"F-16",'Таблиця 1'!$J:$J,"AGM-88")+SUMIFS('Таблиця 1'!$K:$K,'Таблиця 1'!$B:$B,$A384,'Таблиця 1'!$I:$I,"МіГ-29",'Таблиця 1'!$J:$J,"AGM-88")+SUMIFS('Таблиця 1'!$K:$K,'Таблиця 1'!$B:$B,$A384,'Таблиця 1'!$I:$I,"Су-25",'Таблиця 1'!$J:$J,"AGM-88")+SUMIFS('Таблиця 1'!$K:$K,'Таблиця 1'!$B:$B,$A384,'Таблиця 1'!$I:$I,"Су-27",'Таблиця 1'!$J:$J,"AGM-88"))</f>
        <v/>
      </c>
      <c r="I384">
        <f>IF($A384="","",SUMIFS('Таблиця 1'!$K:$K,'Таблиця 1'!$B:$B,$A384,'Таблиця 1'!$I:$I,"Mirage",'Таблиця 1'!$J:$J,"AASM-250")+SUMIFS('Таблиця 1'!$K:$K,'Таблиця 1'!$B:$B,$A384,'Таблиця 1'!$I:$I,"F-16",'Таблиця 1'!$J:$J,"AASM-250")+SUMIFS('Таблиця 1'!$K:$K,'Таблиця 1'!$B:$B,$A384,'Таблиця 1'!$I:$I,"МіГ-29",'Таблиця 1'!$J:$J,"AASM-250")+SUMIFS('Таблиця 1'!$K:$K,'Таблиця 1'!$B:$B,$A384,'Таблиця 1'!$I:$I,"Су-25",'Таблиця 1'!$J:$J,"AASM-250")+SUMIFS('Таблиця 1'!$K:$K,'Таблиця 1'!$B:$B,$A384,'Таблиця 1'!$I:$I,"Су-27",'Таблиця 1'!$J:$J,"AASM-250"))</f>
        <v/>
      </c>
      <c r="J384">
        <f>IF($A384="","",SUMIFS('Таблиця 1'!$K:$K,'Таблиця 1'!$B:$B,$A384,'Таблиця 1'!$I:$I,"Mirage",'Таблиця 1'!$J:$J,"GBU-39")+SUMIFS('Таблиця 1'!$K:$K,'Таблиця 1'!$B:$B,$A384,'Таблиця 1'!$I:$I,"F-16",'Таблиця 1'!$J:$J,"GBU-39")+SUMIFS('Таблиця 1'!$K:$K,'Таблиця 1'!$B:$B,$A384,'Таблиця 1'!$I:$I,"МіГ-29",'Таблиця 1'!$J:$J,"GBU-39")+SUMIFS('Таблиця 1'!$K:$K,'Таблиця 1'!$B:$B,$A384,'Таблиця 1'!$I:$I,"Су-25",'Таблиця 1'!$J:$J,"GBU-39")+SUMIFS('Таблиця 1'!$K:$K,'Таблиця 1'!$B:$B,$A384,'Таблиця 1'!$I:$I,"Су-27",'Таблиця 1'!$J:$J,"GBU-39"))</f>
        <v/>
      </c>
      <c r="K384">
        <f>IF($A384="","",SUMIFS('Таблиця 1'!$K:$K,'Таблиця 1'!$B:$B,$A384,'Таблиця 1'!$I:$I,"Mirage",'Таблиця 1'!$J:$J,"BLU-140")+SUMIFS('Таблиця 1'!$K:$K,'Таблиця 1'!$B:$B,$A384,'Таблиця 1'!$I:$I,"F-16",'Таблиця 1'!$J:$J,"BLU-140")+SUMIFS('Таблиця 1'!$K:$K,'Таблиця 1'!$B:$B,$A384,'Таблиця 1'!$I:$I,"МіГ-29",'Таблиця 1'!$J:$J,"BLU-140")+SUMIFS('Таблиця 1'!$K:$K,'Таблиця 1'!$B:$B,$A384,'Таблиця 1'!$I:$I,"Су-25",'Таблиця 1'!$J:$J,"BLU-140")+SUMIFS('Таблиця 1'!$K:$K,'Таблиця 1'!$B:$B,$A384,'Таблиця 1'!$I:$I,"Су-27",'Таблиця 1'!$J:$J,"BLU-140"))</f>
        <v/>
      </c>
      <c r="L384">
        <f>IF($A384="","",SUMIFS('Таблиця 1'!$K:$K,'Таблиця 1'!$B:$B,$A384,'Таблиця 1'!$I:$I,"Mirage",'Таблиця 1'!$J:$J,"GBU-65")+SUMIFS('Таблиця 1'!$K:$K,'Таблиця 1'!$B:$B,$A384,'Таблиця 1'!$I:$I,"F-16",'Таблиця 1'!$J:$J,"GBU-65")+SUMIFS('Таблиця 1'!$K:$K,'Таблиця 1'!$B:$B,$A384,'Таблиця 1'!$I:$I,"МіГ-29",'Таблиця 1'!$J:$J,"GBU-65")+SUMIFS('Таблиця 1'!$K:$K,'Таблиця 1'!$B:$B,$A384,'Таблиця 1'!$I:$I,"Су-25",'Таблиця 1'!$J:$J,"GBU-65")+SUMIFS('Таблиця 1'!$K:$K,'Таблиця 1'!$B:$B,$A384,'Таблиця 1'!$I:$I,"Су-27",'Таблиця 1'!$J:$J,"GBU-65"))</f>
        <v/>
      </c>
      <c r="M384">
        <f>IF($A384="","",SUMIFS('Таблиця 1'!$K:$K,'Таблиця 1'!$B:$B,$A384,'Таблиця 1'!$I:$I,"Mirage",'Таблиця 1'!$J:$J,"GBU-62")+SUMIFS('Таблиця 1'!$K:$K,'Таблиця 1'!$B:$B,$A384,'Таблиця 1'!$I:$I,"F-16",'Таблиця 1'!$J:$J,"GBU-62")+SUMIFS('Таблиця 1'!$K:$K,'Таблиця 1'!$B:$B,$A384,'Таблиця 1'!$I:$I,"МіГ-29",'Таблиця 1'!$J:$J,"GBU-62")+SUMIFS('Таблиця 1'!$K:$K,'Таблиця 1'!$B:$B,$A384,'Таблиця 1'!$I:$I,"Су-25",'Таблиця 1'!$J:$J,"GBU-62")+SUMIFS('Таблиця 1'!$K:$K,'Таблиця 1'!$B:$B,$A384,'Таблиця 1'!$I:$I,"Су-27",'Таблиця 1'!$J:$J,"GBU-62"))</f>
        <v/>
      </c>
      <c r="N384">
        <f>IF($A384="","",SUMIFS('Таблиця 1'!$K:$K,'Таблиця 1'!$B:$B,$A384,'Таблиця 1'!$I:$I,"Mirage",'Таблиця 1'!$J:$J,"GBU-64")+SUMIFS('Таблиця 1'!$K:$K,'Таблиця 1'!$B:$B,$A384,'Таблиця 1'!$I:$I,"F-16",'Таблиця 1'!$J:$J,"GBU-64")+SUMIFS('Таблиця 1'!$K:$K,'Таблиця 1'!$B:$B,$A384,'Таблиця 1'!$I:$I,"МіГ-29",'Таблиця 1'!$J:$J,"GBU-64")+SUMIFS('Таблиця 1'!$K:$K,'Таблиця 1'!$B:$B,$A384,'Таблиця 1'!$I:$I,"Су-25",'Таблиця 1'!$J:$J,"GBU-64")+SUMIFS('Таблиця 1'!$K:$K,'Таблиця 1'!$B:$B,$A384,'Таблиця 1'!$I:$I,"Су-27",'Таблиця 1'!$J:$J,"GBU-64"))</f>
        <v/>
      </c>
      <c r="O384">
        <f>IF($A384="","",SUMIFS('Таблиця 1'!$K:$K,'Таблиця 1'!$B:$B,$A384,'Таблиця 1'!$I:$I,"Mirage",'Таблиця 1'!$J:$J,"C-13")+SUMIFS('Таблиця 1'!$K:$K,'Таблиця 1'!$B:$B,$A384,'Таблиця 1'!$I:$I,"F-16",'Таблиця 1'!$J:$J,"C-13")+SUMIFS('Таблиця 1'!$K:$K,'Таблиця 1'!$B:$B,$A384,'Таблиця 1'!$I:$I,"МіГ-29",'Таблиця 1'!$J:$J,"C-13")+SUMIFS('Таблиця 1'!$K:$K,'Таблиця 1'!$B:$B,$A384,'Таблиця 1'!$I:$I,"Су-25",'Таблиця 1'!$J:$J,"C-13")+SUMIFS('Таблиця 1'!$K:$K,'Таблиця 1'!$B:$B,$A384,'Таблиця 1'!$I:$I,"Су-27",'Таблиця 1'!$J:$J,"C-13"))</f>
        <v/>
      </c>
      <c r="P384">
        <f>IF($A384="","",SUMIFS('Таблиця 1'!$K:$K,'Таблиця 1'!$B:$B,$A384,'Таблиця 1'!$I:$I,"Mirage",'Таблиця 1'!$J:$J,"MK-32")+SUMIFS('Таблиця 1'!$K:$K,'Таблиця 1'!$B:$B,$A384,'Таблиця 1'!$I:$I,"F-16",'Таблиця 1'!$J:$J,"MK-32")+SUMIFS('Таблиця 1'!$K:$K,'Таблиця 1'!$B:$B,$A384,'Таблиця 1'!$I:$I,"МіГ-29",'Таблиця 1'!$J:$J,"MK-32")+SUMIFS('Таблиця 1'!$K:$K,'Таблиця 1'!$B:$B,$A384,'Таблиця 1'!$I:$I,"Су-25",'Таблиця 1'!$J:$J,"MK-32")+SUMIFS('Таблиця 1'!$K:$K,'Таблиця 1'!$B:$B,$A384,'Таблиця 1'!$I:$I,"Су-27",'Таблиця 1'!$J:$J,"MK-32"))</f>
        <v/>
      </c>
      <c r="Q384">
        <f>IF($A384="","",SUMIFS('Таблиця 1'!$K:$K,'Таблиця 1'!$B:$B,$A384,'Таблиця 1'!$I:$I,"Mirage",'Таблиця 1'!$J:$J,"MK-24")+SUMIFS('Таблиця 1'!$K:$K,'Таблиця 1'!$B:$B,$A384,'Таблиця 1'!$I:$I,"F-16",'Таблиця 1'!$J:$J,"MK-24")+SUMIFS('Таблиця 1'!$K:$K,'Таблиця 1'!$B:$B,$A384,'Таблиця 1'!$I:$I,"МіГ-29",'Таблиця 1'!$J:$J,"MK-24")+SUMIFS('Таблиця 1'!$K:$K,'Таблиця 1'!$B:$B,$A384,'Таблиця 1'!$I:$I,"Су-25",'Таблиця 1'!$J:$J,"MK-24")+SUMIFS('Таблиця 1'!$K:$K,'Таблиця 1'!$B:$B,$A384,'Таблиця 1'!$I:$I,"Су-27",'Таблиця 1'!$J:$J,"MK-24"))</f>
        <v/>
      </c>
      <c r="R384">
        <f>IF($A384="","",COUNTIFS('Таблиця 1'!$B:$B,$A384,'Таблиця 1'!$I:$I,"Mirage",'Таблиця 1'!$L:$L,"Уражено")+COUNTIFS('Таблиця 1'!$B:$B,$A384,'Таблиця 1'!$I:$I,"F-16",'Таблиця 1'!$L:$L,"Уражено")+COUNTIFS('Таблиця 1'!$B:$B,$A384,'Таблиця 1'!$I:$I,"МіГ-29",'Таблиця 1'!$L:$L,"Уражено")+COUNTIFS('Таблиця 1'!$B:$B,$A384,'Таблиця 1'!$I:$I,"Су-25",'Таблиця 1'!$L:$L,"Уражено")+COUNTIFS('Таблиця 1'!$B:$B,$A384,'Таблиця 1'!$I:$I,"Су-27",'Таблиця 1'!$L:$L,"Уражено"))</f>
        <v/>
      </c>
      <c r="S384">
        <f>IF($A384="","",COUNTIFS('Таблиця 1'!$B:$B,$A384,'Таблиця 1'!$I:$I,"Mirage",'Таблиця 1'!$L:$L,"НЕ уражено")+COUNTIFS('Таблиця 1'!$B:$B,$A384,'Таблиця 1'!$I:$I,"F-16",'Таблиця 1'!$L:$L,"НЕ уражено")+COUNTIFS('Таблиця 1'!$B:$B,$A384,'Таблиця 1'!$I:$I,"МіГ-29",'Таблиця 1'!$L:$L,"НЕ уражено")+COUNTIFS('Таблиця 1'!$B:$B,$A384,'Таблиця 1'!$I:$I,"Су-25",'Таблиця 1'!$L:$L,"НЕ уражено")+COUNTIFS('Таблиця 1'!$B:$B,$A384,'Таблиця 1'!$I:$I,"Су-27",'Таблиця 1'!$L:$L,"НЕ уражено"))</f>
        <v/>
      </c>
      <c r="T384">
        <f>IF($A384="","",COUNTIFS('Таблиця 1'!$B:$B,$A384,'Таблиця 1'!$I:$I,"Mirage",'Таблиця 1'!$L:$L,"Дорозвідується")+COUNTIFS('Таблиця 1'!$B:$B,$A384,'Таблиця 1'!$I:$I,"F-16",'Таблиця 1'!$L:$L,"Дорозвідується")+COUNTIFS('Таблиця 1'!$B:$B,$A384,'Таблиця 1'!$I:$I,"МіГ-29",'Таблиця 1'!$L:$L,"Дорозвідується")+COUNTIFS('Таблиця 1'!$B:$B,$A384,'Таблиця 1'!$I:$I,"Су-25",'Таблиця 1'!$L:$L,"Дорозвідується")+COUNTIFS('Таблиця 1'!$B:$B,$A384,'Таблиця 1'!$I:$I,"Су-27",'Таблиця 1'!$L:$L,"Дорозвідується"))</f>
        <v/>
      </c>
    </row>
    <row r="385">
      <c r="A385" s="273">
        <f>IF(A384="","",IF(A384+1&gt;MAX('Таблиця 1'!$B:$B),"",A384+1))</f>
        <v/>
      </c>
      <c r="B385">
        <f>IF($A385="","",COUNTIFS('Таблиця 1'!$B:$B,$A385,'Таблиця 1'!$I:$I,"Mirage")+COUNTIFS('Таблиця 1'!$B:$B,$A385,'Таблиця 1'!$I:$I,"F-16")+COUNTIFS('Таблиця 1'!$B:$B,$A385,'Таблиця 1'!$I:$I,"МіГ-29")+COUNTIFS('Таблиця 1'!$B:$B,$A385,'Таблиця 1'!$I:$I,"Су-25")+COUNTIFS('Таблиця 1'!$B:$B,$A385,'Таблиця 1'!$I:$I,"Су-27"))</f>
        <v/>
      </c>
      <c r="C385">
        <f>IF($A385="","",COUNTIFS('Таблиця 1'!$B:$B,$A385,'Таблиця 1'!$I:$I,"Mirage"))</f>
        <v/>
      </c>
      <c r="D385">
        <f>IF($A385="","",COUNTIFS('Таблиця 1'!$B:$B,$A385,'Таблиця 1'!$I:$I,"F-16"))</f>
        <v/>
      </c>
      <c r="E385">
        <f>IF($A385="","",COUNTIFS('Таблиця 1'!$B:$B,$A385,'Таблиця 1'!$I:$I,"МіГ-29"))</f>
        <v/>
      </c>
      <c r="F385">
        <f>IF($A385="","",COUNTIFS('Таблиця 1'!$B:$B,$A385,'Таблиця 1'!$I:$I,"Су-25"))</f>
        <v/>
      </c>
      <c r="G385">
        <f>IF($A385="","",COUNTIFS('Таблиця 1'!$B:$B,$A385,'Таблиця 1'!$I:$I,"Су-27"))</f>
        <v/>
      </c>
      <c r="H385">
        <f>IF($A385="","",SUMIFS('Таблиця 1'!$K:$K,'Таблиця 1'!$B:$B,$A385,'Таблиця 1'!$I:$I,"Mirage",'Таблиця 1'!$J:$J,"AGM-88")+SUMIFS('Таблиця 1'!$K:$K,'Таблиця 1'!$B:$B,$A385,'Таблиця 1'!$I:$I,"F-16",'Таблиця 1'!$J:$J,"AGM-88")+SUMIFS('Таблиця 1'!$K:$K,'Таблиця 1'!$B:$B,$A385,'Таблиця 1'!$I:$I,"МіГ-29",'Таблиця 1'!$J:$J,"AGM-88")+SUMIFS('Таблиця 1'!$K:$K,'Таблиця 1'!$B:$B,$A385,'Таблиця 1'!$I:$I,"Су-25",'Таблиця 1'!$J:$J,"AGM-88")+SUMIFS('Таблиця 1'!$K:$K,'Таблиця 1'!$B:$B,$A385,'Таблиця 1'!$I:$I,"Су-27",'Таблиця 1'!$J:$J,"AGM-88"))</f>
        <v/>
      </c>
      <c r="I385">
        <f>IF($A385="","",SUMIFS('Таблиця 1'!$K:$K,'Таблиця 1'!$B:$B,$A385,'Таблиця 1'!$I:$I,"Mirage",'Таблиця 1'!$J:$J,"AASM-250")+SUMIFS('Таблиця 1'!$K:$K,'Таблиця 1'!$B:$B,$A385,'Таблиця 1'!$I:$I,"F-16",'Таблиця 1'!$J:$J,"AASM-250")+SUMIFS('Таблиця 1'!$K:$K,'Таблиця 1'!$B:$B,$A385,'Таблиця 1'!$I:$I,"МіГ-29",'Таблиця 1'!$J:$J,"AASM-250")+SUMIFS('Таблиця 1'!$K:$K,'Таблиця 1'!$B:$B,$A385,'Таблиця 1'!$I:$I,"Су-25",'Таблиця 1'!$J:$J,"AASM-250")+SUMIFS('Таблиця 1'!$K:$K,'Таблиця 1'!$B:$B,$A385,'Таблиця 1'!$I:$I,"Су-27",'Таблиця 1'!$J:$J,"AASM-250"))</f>
        <v/>
      </c>
      <c r="J385">
        <f>IF($A385="","",SUMIFS('Таблиця 1'!$K:$K,'Таблиця 1'!$B:$B,$A385,'Таблиця 1'!$I:$I,"Mirage",'Таблиця 1'!$J:$J,"GBU-39")+SUMIFS('Таблиця 1'!$K:$K,'Таблиця 1'!$B:$B,$A385,'Таблиця 1'!$I:$I,"F-16",'Таблиця 1'!$J:$J,"GBU-39")+SUMIFS('Таблиця 1'!$K:$K,'Таблиця 1'!$B:$B,$A385,'Таблиця 1'!$I:$I,"МіГ-29",'Таблиця 1'!$J:$J,"GBU-39")+SUMIFS('Таблиця 1'!$K:$K,'Таблиця 1'!$B:$B,$A385,'Таблиця 1'!$I:$I,"Су-25",'Таблиця 1'!$J:$J,"GBU-39")+SUMIFS('Таблиця 1'!$K:$K,'Таблиця 1'!$B:$B,$A385,'Таблиця 1'!$I:$I,"Су-27",'Таблиця 1'!$J:$J,"GBU-39"))</f>
        <v/>
      </c>
      <c r="K385">
        <f>IF($A385="","",SUMIFS('Таблиця 1'!$K:$K,'Таблиця 1'!$B:$B,$A385,'Таблиця 1'!$I:$I,"Mirage",'Таблиця 1'!$J:$J,"BLU-140")+SUMIFS('Таблиця 1'!$K:$K,'Таблиця 1'!$B:$B,$A385,'Таблиця 1'!$I:$I,"F-16",'Таблиця 1'!$J:$J,"BLU-140")+SUMIFS('Таблиця 1'!$K:$K,'Таблиця 1'!$B:$B,$A385,'Таблиця 1'!$I:$I,"МіГ-29",'Таблиця 1'!$J:$J,"BLU-140")+SUMIFS('Таблиця 1'!$K:$K,'Таблиця 1'!$B:$B,$A385,'Таблиця 1'!$I:$I,"Су-25",'Таблиця 1'!$J:$J,"BLU-140")+SUMIFS('Таблиця 1'!$K:$K,'Таблиця 1'!$B:$B,$A385,'Таблиця 1'!$I:$I,"Су-27",'Таблиця 1'!$J:$J,"BLU-140"))</f>
        <v/>
      </c>
      <c r="L385">
        <f>IF($A385="","",SUMIFS('Таблиця 1'!$K:$K,'Таблиця 1'!$B:$B,$A385,'Таблиця 1'!$I:$I,"Mirage",'Таблиця 1'!$J:$J,"GBU-65")+SUMIFS('Таблиця 1'!$K:$K,'Таблиця 1'!$B:$B,$A385,'Таблиця 1'!$I:$I,"F-16",'Таблиця 1'!$J:$J,"GBU-65")+SUMIFS('Таблиця 1'!$K:$K,'Таблиця 1'!$B:$B,$A385,'Таблиця 1'!$I:$I,"МіГ-29",'Таблиця 1'!$J:$J,"GBU-65")+SUMIFS('Таблиця 1'!$K:$K,'Таблиця 1'!$B:$B,$A385,'Таблиця 1'!$I:$I,"Су-25",'Таблиця 1'!$J:$J,"GBU-65")+SUMIFS('Таблиця 1'!$K:$K,'Таблиця 1'!$B:$B,$A385,'Таблиця 1'!$I:$I,"Су-27",'Таблиця 1'!$J:$J,"GBU-65"))</f>
        <v/>
      </c>
      <c r="M385">
        <f>IF($A385="","",SUMIFS('Таблиця 1'!$K:$K,'Таблиця 1'!$B:$B,$A385,'Таблиця 1'!$I:$I,"Mirage",'Таблиця 1'!$J:$J,"GBU-62")+SUMIFS('Таблиця 1'!$K:$K,'Таблиця 1'!$B:$B,$A385,'Таблиця 1'!$I:$I,"F-16",'Таблиця 1'!$J:$J,"GBU-62")+SUMIFS('Таблиця 1'!$K:$K,'Таблиця 1'!$B:$B,$A385,'Таблиця 1'!$I:$I,"МіГ-29",'Таблиця 1'!$J:$J,"GBU-62")+SUMIFS('Таблиця 1'!$K:$K,'Таблиця 1'!$B:$B,$A385,'Таблиця 1'!$I:$I,"Су-25",'Таблиця 1'!$J:$J,"GBU-62")+SUMIFS('Таблиця 1'!$K:$K,'Таблиця 1'!$B:$B,$A385,'Таблиця 1'!$I:$I,"Су-27",'Таблиця 1'!$J:$J,"GBU-62"))</f>
        <v/>
      </c>
      <c r="N385">
        <f>IF($A385="","",SUMIFS('Таблиця 1'!$K:$K,'Таблиця 1'!$B:$B,$A385,'Таблиця 1'!$I:$I,"Mirage",'Таблиця 1'!$J:$J,"GBU-64")+SUMIFS('Таблиця 1'!$K:$K,'Таблиця 1'!$B:$B,$A385,'Таблиця 1'!$I:$I,"F-16",'Таблиця 1'!$J:$J,"GBU-64")+SUMIFS('Таблиця 1'!$K:$K,'Таблиця 1'!$B:$B,$A385,'Таблиця 1'!$I:$I,"МіГ-29",'Таблиця 1'!$J:$J,"GBU-64")+SUMIFS('Таблиця 1'!$K:$K,'Таблиця 1'!$B:$B,$A385,'Таблиця 1'!$I:$I,"Су-25",'Таблиця 1'!$J:$J,"GBU-64")+SUMIFS('Таблиця 1'!$K:$K,'Таблиця 1'!$B:$B,$A385,'Таблиця 1'!$I:$I,"Су-27",'Таблиця 1'!$J:$J,"GBU-64"))</f>
        <v/>
      </c>
      <c r="O385">
        <f>IF($A385="","",SUMIFS('Таблиця 1'!$K:$K,'Таблиця 1'!$B:$B,$A385,'Таблиця 1'!$I:$I,"Mirage",'Таблиця 1'!$J:$J,"C-13")+SUMIFS('Таблиця 1'!$K:$K,'Таблиця 1'!$B:$B,$A385,'Таблиця 1'!$I:$I,"F-16",'Таблиця 1'!$J:$J,"C-13")+SUMIFS('Таблиця 1'!$K:$K,'Таблиця 1'!$B:$B,$A385,'Таблиця 1'!$I:$I,"МіГ-29",'Таблиця 1'!$J:$J,"C-13")+SUMIFS('Таблиця 1'!$K:$K,'Таблиця 1'!$B:$B,$A385,'Таблиця 1'!$I:$I,"Су-25",'Таблиця 1'!$J:$J,"C-13")+SUMIFS('Таблиця 1'!$K:$K,'Таблиця 1'!$B:$B,$A385,'Таблиця 1'!$I:$I,"Су-27",'Таблиця 1'!$J:$J,"C-13"))</f>
        <v/>
      </c>
      <c r="P385">
        <f>IF($A385="","",SUMIFS('Таблиця 1'!$K:$K,'Таблиця 1'!$B:$B,$A385,'Таблиця 1'!$I:$I,"Mirage",'Таблиця 1'!$J:$J,"MK-32")+SUMIFS('Таблиця 1'!$K:$K,'Таблиця 1'!$B:$B,$A385,'Таблиця 1'!$I:$I,"F-16",'Таблиця 1'!$J:$J,"MK-32")+SUMIFS('Таблиця 1'!$K:$K,'Таблиця 1'!$B:$B,$A385,'Таблиця 1'!$I:$I,"МіГ-29",'Таблиця 1'!$J:$J,"MK-32")+SUMIFS('Таблиця 1'!$K:$K,'Таблиця 1'!$B:$B,$A385,'Таблиця 1'!$I:$I,"Су-25",'Таблиця 1'!$J:$J,"MK-32")+SUMIFS('Таблиця 1'!$K:$K,'Таблиця 1'!$B:$B,$A385,'Таблиця 1'!$I:$I,"Су-27",'Таблиця 1'!$J:$J,"MK-32"))</f>
        <v/>
      </c>
      <c r="Q385">
        <f>IF($A385="","",SUMIFS('Таблиця 1'!$K:$K,'Таблиця 1'!$B:$B,$A385,'Таблиця 1'!$I:$I,"Mirage",'Таблиця 1'!$J:$J,"MK-24")+SUMIFS('Таблиця 1'!$K:$K,'Таблиця 1'!$B:$B,$A385,'Таблиця 1'!$I:$I,"F-16",'Таблиця 1'!$J:$J,"MK-24")+SUMIFS('Таблиця 1'!$K:$K,'Таблиця 1'!$B:$B,$A385,'Таблиця 1'!$I:$I,"МіГ-29",'Таблиця 1'!$J:$J,"MK-24")+SUMIFS('Таблиця 1'!$K:$K,'Таблиця 1'!$B:$B,$A385,'Таблиця 1'!$I:$I,"Су-25",'Таблиця 1'!$J:$J,"MK-24")+SUMIFS('Таблиця 1'!$K:$K,'Таблиця 1'!$B:$B,$A385,'Таблиця 1'!$I:$I,"Су-27",'Таблиця 1'!$J:$J,"MK-24"))</f>
        <v/>
      </c>
      <c r="R385">
        <f>IF($A385="","",COUNTIFS('Таблиця 1'!$B:$B,$A385,'Таблиця 1'!$I:$I,"Mirage",'Таблиця 1'!$L:$L,"Уражено")+COUNTIFS('Таблиця 1'!$B:$B,$A385,'Таблиця 1'!$I:$I,"F-16",'Таблиця 1'!$L:$L,"Уражено")+COUNTIFS('Таблиця 1'!$B:$B,$A385,'Таблиця 1'!$I:$I,"МіГ-29",'Таблиця 1'!$L:$L,"Уражено")+COUNTIFS('Таблиця 1'!$B:$B,$A385,'Таблиця 1'!$I:$I,"Су-25",'Таблиця 1'!$L:$L,"Уражено")+COUNTIFS('Таблиця 1'!$B:$B,$A385,'Таблиця 1'!$I:$I,"Су-27",'Таблиця 1'!$L:$L,"Уражено"))</f>
        <v/>
      </c>
      <c r="S385">
        <f>IF($A385="","",COUNTIFS('Таблиця 1'!$B:$B,$A385,'Таблиця 1'!$I:$I,"Mirage",'Таблиця 1'!$L:$L,"НЕ уражено")+COUNTIFS('Таблиця 1'!$B:$B,$A385,'Таблиця 1'!$I:$I,"F-16",'Таблиця 1'!$L:$L,"НЕ уражено")+COUNTIFS('Таблиця 1'!$B:$B,$A385,'Таблиця 1'!$I:$I,"МіГ-29",'Таблиця 1'!$L:$L,"НЕ уражено")+COUNTIFS('Таблиця 1'!$B:$B,$A385,'Таблиця 1'!$I:$I,"Су-25",'Таблиця 1'!$L:$L,"НЕ уражено")+COUNTIFS('Таблиця 1'!$B:$B,$A385,'Таблиця 1'!$I:$I,"Су-27",'Таблиця 1'!$L:$L,"НЕ уражено"))</f>
        <v/>
      </c>
      <c r="T385">
        <f>IF($A385="","",COUNTIFS('Таблиця 1'!$B:$B,$A385,'Таблиця 1'!$I:$I,"Mirage",'Таблиця 1'!$L:$L,"Дорозвідується")+COUNTIFS('Таблиця 1'!$B:$B,$A385,'Таблиця 1'!$I:$I,"F-16",'Таблиця 1'!$L:$L,"Дорозвідується")+COUNTIFS('Таблиця 1'!$B:$B,$A385,'Таблиця 1'!$I:$I,"МіГ-29",'Таблиця 1'!$L:$L,"Дорозвідується")+COUNTIFS('Таблиця 1'!$B:$B,$A385,'Таблиця 1'!$I:$I,"Су-25",'Таблиця 1'!$L:$L,"Дорозвідується")+COUNTIFS('Таблиця 1'!$B:$B,$A385,'Таблиця 1'!$I:$I,"Су-27",'Таблиця 1'!$L:$L,"Дорозвідується"))</f>
        <v/>
      </c>
    </row>
    <row r="386">
      <c r="A386" s="273">
        <f>IF(A385="","",IF(A385+1&gt;MAX('Таблиця 1'!$B:$B),"",A385+1))</f>
        <v/>
      </c>
      <c r="B386">
        <f>IF($A386="","",COUNTIFS('Таблиця 1'!$B:$B,$A386,'Таблиця 1'!$I:$I,"Mirage")+COUNTIFS('Таблиця 1'!$B:$B,$A386,'Таблиця 1'!$I:$I,"F-16")+COUNTIFS('Таблиця 1'!$B:$B,$A386,'Таблиця 1'!$I:$I,"МіГ-29")+COUNTIFS('Таблиця 1'!$B:$B,$A386,'Таблиця 1'!$I:$I,"Су-25")+COUNTIFS('Таблиця 1'!$B:$B,$A386,'Таблиця 1'!$I:$I,"Су-27"))</f>
        <v/>
      </c>
      <c r="C386">
        <f>IF($A386="","",COUNTIFS('Таблиця 1'!$B:$B,$A386,'Таблиця 1'!$I:$I,"Mirage"))</f>
        <v/>
      </c>
      <c r="D386">
        <f>IF($A386="","",COUNTIFS('Таблиця 1'!$B:$B,$A386,'Таблиця 1'!$I:$I,"F-16"))</f>
        <v/>
      </c>
      <c r="E386">
        <f>IF($A386="","",COUNTIFS('Таблиця 1'!$B:$B,$A386,'Таблиця 1'!$I:$I,"МіГ-29"))</f>
        <v/>
      </c>
      <c r="F386">
        <f>IF($A386="","",COUNTIFS('Таблиця 1'!$B:$B,$A386,'Таблиця 1'!$I:$I,"Су-25"))</f>
        <v/>
      </c>
      <c r="G386">
        <f>IF($A386="","",COUNTIFS('Таблиця 1'!$B:$B,$A386,'Таблиця 1'!$I:$I,"Су-27"))</f>
        <v/>
      </c>
      <c r="H386">
        <f>IF($A386="","",SUMIFS('Таблиця 1'!$K:$K,'Таблиця 1'!$B:$B,$A386,'Таблиця 1'!$I:$I,"Mirage",'Таблиця 1'!$J:$J,"AGM-88")+SUMIFS('Таблиця 1'!$K:$K,'Таблиця 1'!$B:$B,$A386,'Таблиця 1'!$I:$I,"F-16",'Таблиця 1'!$J:$J,"AGM-88")+SUMIFS('Таблиця 1'!$K:$K,'Таблиця 1'!$B:$B,$A386,'Таблиця 1'!$I:$I,"МіГ-29",'Таблиця 1'!$J:$J,"AGM-88")+SUMIFS('Таблиця 1'!$K:$K,'Таблиця 1'!$B:$B,$A386,'Таблиця 1'!$I:$I,"Су-25",'Таблиця 1'!$J:$J,"AGM-88")+SUMIFS('Таблиця 1'!$K:$K,'Таблиця 1'!$B:$B,$A386,'Таблиця 1'!$I:$I,"Су-27",'Таблиця 1'!$J:$J,"AGM-88"))</f>
        <v/>
      </c>
      <c r="I386">
        <f>IF($A386="","",SUMIFS('Таблиця 1'!$K:$K,'Таблиця 1'!$B:$B,$A386,'Таблиця 1'!$I:$I,"Mirage",'Таблиця 1'!$J:$J,"AASM-250")+SUMIFS('Таблиця 1'!$K:$K,'Таблиця 1'!$B:$B,$A386,'Таблиця 1'!$I:$I,"F-16",'Таблиця 1'!$J:$J,"AASM-250")+SUMIFS('Таблиця 1'!$K:$K,'Таблиця 1'!$B:$B,$A386,'Таблиця 1'!$I:$I,"МіГ-29",'Таблиця 1'!$J:$J,"AASM-250")+SUMIFS('Таблиця 1'!$K:$K,'Таблиця 1'!$B:$B,$A386,'Таблиця 1'!$I:$I,"Су-25",'Таблиця 1'!$J:$J,"AASM-250")+SUMIFS('Таблиця 1'!$K:$K,'Таблиця 1'!$B:$B,$A386,'Таблиця 1'!$I:$I,"Су-27",'Таблиця 1'!$J:$J,"AASM-250"))</f>
        <v/>
      </c>
      <c r="J386">
        <f>IF($A386="","",SUMIFS('Таблиця 1'!$K:$K,'Таблиця 1'!$B:$B,$A386,'Таблиця 1'!$I:$I,"Mirage",'Таблиця 1'!$J:$J,"GBU-39")+SUMIFS('Таблиця 1'!$K:$K,'Таблиця 1'!$B:$B,$A386,'Таблиця 1'!$I:$I,"F-16",'Таблиця 1'!$J:$J,"GBU-39")+SUMIFS('Таблиця 1'!$K:$K,'Таблиця 1'!$B:$B,$A386,'Таблиця 1'!$I:$I,"МіГ-29",'Таблиця 1'!$J:$J,"GBU-39")+SUMIFS('Таблиця 1'!$K:$K,'Таблиця 1'!$B:$B,$A386,'Таблиця 1'!$I:$I,"Су-25",'Таблиця 1'!$J:$J,"GBU-39")+SUMIFS('Таблиця 1'!$K:$K,'Таблиця 1'!$B:$B,$A386,'Таблиця 1'!$I:$I,"Су-27",'Таблиця 1'!$J:$J,"GBU-39"))</f>
        <v/>
      </c>
      <c r="K386">
        <f>IF($A386="","",SUMIFS('Таблиця 1'!$K:$K,'Таблиця 1'!$B:$B,$A386,'Таблиця 1'!$I:$I,"Mirage",'Таблиця 1'!$J:$J,"BLU-140")+SUMIFS('Таблиця 1'!$K:$K,'Таблиця 1'!$B:$B,$A386,'Таблиця 1'!$I:$I,"F-16",'Таблиця 1'!$J:$J,"BLU-140")+SUMIFS('Таблиця 1'!$K:$K,'Таблиця 1'!$B:$B,$A386,'Таблиця 1'!$I:$I,"МіГ-29",'Таблиця 1'!$J:$J,"BLU-140")+SUMIFS('Таблиця 1'!$K:$K,'Таблиця 1'!$B:$B,$A386,'Таблиця 1'!$I:$I,"Су-25",'Таблиця 1'!$J:$J,"BLU-140")+SUMIFS('Таблиця 1'!$K:$K,'Таблиця 1'!$B:$B,$A386,'Таблиця 1'!$I:$I,"Су-27",'Таблиця 1'!$J:$J,"BLU-140"))</f>
        <v/>
      </c>
      <c r="L386">
        <f>IF($A386="","",SUMIFS('Таблиця 1'!$K:$K,'Таблиця 1'!$B:$B,$A386,'Таблиця 1'!$I:$I,"Mirage",'Таблиця 1'!$J:$J,"GBU-65")+SUMIFS('Таблиця 1'!$K:$K,'Таблиця 1'!$B:$B,$A386,'Таблиця 1'!$I:$I,"F-16",'Таблиця 1'!$J:$J,"GBU-65")+SUMIFS('Таблиця 1'!$K:$K,'Таблиця 1'!$B:$B,$A386,'Таблиця 1'!$I:$I,"МіГ-29",'Таблиця 1'!$J:$J,"GBU-65")+SUMIFS('Таблиця 1'!$K:$K,'Таблиця 1'!$B:$B,$A386,'Таблиця 1'!$I:$I,"Су-25",'Таблиця 1'!$J:$J,"GBU-65")+SUMIFS('Таблиця 1'!$K:$K,'Таблиця 1'!$B:$B,$A386,'Таблиця 1'!$I:$I,"Су-27",'Таблиця 1'!$J:$J,"GBU-65"))</f>
        <v/>
      </c>
      <c r="M386">
        <f>IF($A386="","",SUMIFS('Таблиця 1'!$K:$K,'Таблиця 1'!$B:$B,$A386,'Таблиця 1'!$I:$I,"Mirage",'Таблиця 1'!$J:$J,"GBU-62")+SUMIFS('Таблиця 1'!$K:$K,'Таблиця 1'!$B:$B,$A386,'Таблиця 1'!$I:$I,"F-16",'Таблиця 1'!$J:$J,"GBU-62")+SUMIFS('Таблиця 1'!$K:$K,'Таблиця 1'!$B:$B,$A386,'Таблиця 1'!$I:$I,"МіГ-29",'Таблиця 1'!$J:$J,"GBU-62")+SUMIFS('Таблиця 1'!$K:$K,'Таблиця 1'!$B:$B,$A386,'Таблиця 1'!$I:$I,"Су-25",'Таблиця 1'!$J:$J,"GBU-62")+SUMIFS('Таблиця 1'!$K:$K,'Таблиця 1'!$B:$B,$A386,'Таблиця 1'!$I:$I,"Су-27",'Таблиця 1'!$J:$J,"GBU-62"))</f>
        <v/>
      </c>
      <c r="N386">
        <f>IF($A386="","",SUMIFS('Таблиця 1'!$K:$K,'Таблиця 1'!$B:$B,$A386,'Таблиця 1'!$I:$I,"Mirage",'Таблиця 1'!$J:$J,"GBU-64")+SUMIFS('Таблиця 1'!$K:$K,'Таблиця 1'!$B:$B,$A386,'Таблиця 1'!$I:$I,"F-16",'Таблиця 1'!$J:$J,"GBU-64")+SUMIFS('Таблиця 1'!$K:$K,'Таблиця 1'!$B:$B,$A386,'Таблиця 1'!$I:$I,"МіГ-29",'Таблиця 1'!$J:$J,"GBU-64")+SUMIFS('Таблиця 1'!$K:$K,'Таблиця 1'!$B:$B,$A386,'Таблиця 1'!$I:$I,"Су-25",'Таблиця 1'!$J:$J,"GBU-64")+SUMIFS('Таблиця 1'!$K:$K,'Таблиця 1'!$B:$B,$A386,'Таблиця 1'!$I:$I,"Су-27",'Таблиця 1'!$J:$J,"GBU-64"))</f>
        <v/>
      </c>
      <c r="O386">
        <f>IF($A386="","",SUMIFS('Таблиця 1'!$K:$K,'Таблиця 1'!$B:$B,$A386,'Таблиця 1'!$I:$I,"Mirage",'Таблиця 1'!$J:$J,"C-13")+SUMIFS('Таблиця 1'!$K:$K,'Таблиця 1'!$B:$B,$A386,'Таблиця 1'!$I:$I,"F-16",'Таблиця 1'!$J:$J,"C-13")+SUMIFS('Таблиця 1'!$K:$K,'Таблиця 1'!$B:$B,$A386,'Таблиця 1'!$I:$I,"МіГ-29",'Таблиця 1'!$J:$J,"C-13")+SUMIFS('Таблиця 1'!$K:$K,'Таблиця 1'!$B:$B,$A386,'Таблиця 1'!$I:$I,"Су-25",'Таблиця 1'!$J:$J,"C-13")+SUMIFS('Таблиця 1'!$K:$K,'Таблиця 1'!$B:$B,$A386,'Таблиця 1'!$I:$I,"Су-27",'Таблиця 1'!$J:$J,"C-13"))</f>
        <v/>
      </c>
      <c r="P386">
        <f>IF($A386="","",SUMIFS('Таблиця 1'!$K:$K,'Таблиця 1'!$B:$B,$A386,'Таблиця 1'!$I:$I,"Mirage",'Таблиця 1'!$J:$J,"MK-32")+SUMIFS('Таблиця 1'!$K:$K,'Таблиця 1'!$B:$B,$A386,'Таблиця 1'!$I:$I,"F-16",'Таблиця 1'!$J:$J,"MK-32")+SUMIFS('Таблиця 1'!$K:$K,'Таблиця 1'!$B:$B,$A386,'Таблиця 1'!$I:$I,"МіГ-29",'Таблиця 1'!$J:$J,"MK-32")+SUMIFS('Таблиця 1'!$K:$K,'Таблиця 1'!$B:$B,$A386,'Таблиця 1'!$I:$I,"Су-25",'Таблиця 1'!$J:$J,"MK-32")+SUMIFS('Таблиця 1'!$K:$K,'Таблиця 1'!$B:$B,$A386,'Таблиця 1'!$I:$I,"Су-27",'Таблиця 1'!$J:$J,"MK-32"))</f>
        <v/>
      </c>
      <c r="Q386">
        <f>IF($A386="","",SUMIFS('Таблиця 1'!$K:$K,'Таблиця 1'!$B:$B,$A386,'Таблиця 1'!$I:$I,"Mirage",'Таблиця 1'!$J:$J,"MK-24")+SUMIFS('Таблиця 1'!$K:$K,'Таблиця 1'!$B:$B,$A386,'Таблиця 1'!$I:$I,"F-16",'Таблиця 1'!$J:$J,"MK-24")+SUMIFS('Таблиця 1'!$K:$K,'Таблиця 1'!$B:$B,$A386,'Таблиця 1'!$I:$I,"МіГ-29",'Таблиця 1'!$J:$J,"MK-24")+SUMIFS('Таблиця 1'!$K:$K,'Таблиця 1'!$B:$B,$A386,'Таблиця 1'!$I:$I,"Су-25",'Таблиця 1'!$J:$J,"MK-24")+SUMIFS('Таблиця 1'!$K:$K,'Таблиця 1'!$B:$B,$A386,'Таблиця 1'!$I:$I,"Су-27",'Таблиця 1'!$J:$J,"MK-24"))</f>
        <v/>
      </c>
      <c r="R386">
        <f>IF($A386="","",COUNTIFS('Таблиця 1'!$B:$B,$A386,'Таблиця 1'!$I:$I,"Mirage",'Таблиця 1'!$L:$L,"Уражено")+COUNTIFS('Таблиця 1'!$B:$B,$A386,'Таблиця 1'!$I:$I,"F-16",'Таблиця 1'!$L:$L,"Уражено")+COUNTIFS('Таблиця 1'!$B:$B,$A386,'Таблиця 1'!$I:$I,"МіГ-29",'Таблиця 1'!$L:$L,"Уражено")+COUNTIFS('Таблиця 1'!$B:$B,$A386,'Таблиця 1'!$I:$I,"Су-25",'Таблиця 1'!$L:$L,"Уражено")+COUNTIFS('Таблиця 1'!$B:$B,$A386,'Таблиця 1'!$I:$I,"Су-27",'Таблиця 1'!$L:$L,"Уражено"))</f>
        <v/>
      </c>
      <c r="S386">
        <f>IF($A386="","",COUNTIFS('Таблиця 1'!$B:$B,$A386,'Таблиця 1'!$I:$I,"Mirage",'Таблиця 1'!$L:$L,"НЕ уражено")+COUNTIFS('Таблиця 1'!$B:$B,$A386,'Таблиця 1'!$I:$I,"F-16",'Таблиця 1'!$L:$L,"НЕ уражено")+COUNTIFS('Таблиця 1'!$B:$B,$A386,'Таблиця 1'!$I:$I,"МіГ-29",'Таблиця 1'!$L:$L,"НЕ уражено")+COUNTIFS('Таблиця 1'!$B:$B,$A386,'Таблиця 1'!$I:$I,"Су-25",'Таблиця 1'!$L:$L,"НЕ уражено")+COUNTIFS('Таблиця 1'!$B:$B,$A386,'Таблиця 1'!$I:$I,"Су-27",'Таблиця 1'!$L:$L,"НЕ уражено"))</f>
        <v/>
      </c>
      <c r="T386">
        <f>IF($A386="","",COUNTIFS('Таблиця 1'!$B:$B,$A386,'Таблиця 1'!$I:$I,"Mirage",'Таблиця 1'!$L:$L,"Дорозвідується")+COUNTIFS('Таблиця 1'!$B:$B,$A386,'Таблиця 1'!$I:$I,"F-16",'Таблиця 1'!$L:$L,"Дорозвідується")+COUNTIFS('Таблиця 1'!$B:$B,$A386,'Таблиця 1'!$I:$I,"МіГ-29",'Таблиця 1'!$L:$L,"Дорозвідується")+COUNTIFS('Таблиця 1'!$B:$B,$A386,'Таблиця 1'!$I:$I,"Су-25",'Таблиця 1'!$L:$L,"Дорозвідується")+COUNTIFS('Таблиця 1'!$B:$B,$A386,'Таблиця 1'!$I:$I,"Су-27",'Таблиця 1'!$L:$L,"Дорозвідується"))</f>
        <v/>
      </c>
    </row>
    <row r="387">
      <c r="A387" s="273">
        <f>IF(A386="","",IF(A386+1&gt;MAX('Таблиця 1'!$B:$B),"",A386+1))</f>
        <v/>
      </c>
      <c r="B387">
        <f>IF($A387="","",COUNTIFS('Таблиця 1'!$B:$B,$A387,'Таблиця 1'!$I:$I,"Mirage")+COUNTIFS('Таблиця 1'!$B:$B,$A387,'Таблиця 1'!$I:$I,"F-16")+COUNTIFS('Таблиця 1'!$B:$B,$A387,'Таблиця 1'!$I:$I,"МіГ-29")+COUNTIFS('Таблиця 1'!$B:$B,$A387,'Таблиця 1'!$I:$I,"Су-25")+COUNTIFS('Таблиця 1'!$B:$B,$A387,'Таблиця 1'!$I:$I,"Су-27"))</f>
        <v/>
      </c>
      <c r="C387">
        <f>IF($A387="","",COUNTIFS('Таблиця 1'!$B:$B,$A387,'Таблиця 1'!$I:$I,"Mirage"))</f>
        <v/>
      </c>
      <c r="D387">
        <f>IF($A387="","",COUNTIFS('Таблиця 1'!$B:$B,$A387,'Таблиця 1'!$I:$I,"F-16"))</f>
        <v/>
      </c>
      <c r="E387">
        <f>IF($A387="","",COUNTIFS('Таблиця 1'!$B:$B,$A387,'Таблиця 1'!$I:$I,"МіГ-29"))</f>
        <v/>
      </c>
      <c r="F387">
        <f>IF($A387="","",COUNTIFS('Таблиця 1'!$B:$B,$A387,'Таблиця 1'!$I:$I,"Су-25"))</f>
        <v/>
      </c>
      <c r="G387">
        <f>IF($A387="","",COUNTIFS('Таблиця 1'!$B:$B,$A387,'Таблиця 1'!$I:$I,"Су-27"))</f>
        <v/>
      </c>
      <c r="H387">
        <f>IF($A387="","",SUMIFS('Таблиця 1'!$K:$K,'Таблиця 1'!$B:$B,$A387,'Таблиця 1'!$I:$I,"Mirage",'Таблиця 1'!$J:$J,"AGM-88")+SUMIFS('Таблиця 1'!$K:$K,'Таблиця 1'!$B:$B,$A387,'Таблиця 1'!$I:$I,"F-16",'Таблиця 1'!$J:$J,"AGM-88")+SUMIFS('Таблиця 1'!$K:$K,'Таблиця 1'!$B:$B,$A387,'Таблиця 1'!$I:$I,"МіГ-29",'Таблиця 1'!$J:$J,"AGM-88")+SUMIFS('Таблиця 1'!$K:$K,'Таблиця 1'!$B:$B,$A387,'Таблиця 1'!$I:$I,"Су-25",'Таблиця 1'!$J:$J,"AGM-88")+SUMIFS('Таблиця 1'!$K:$K,'Таблиця 1'!$B:$B,$A387,'Таблиця 1'!$I:$I,"Су-27",'Таблиця 1'!$J:$J,"AGM-88"))</f>
        <v/>
      </c>
      <c r="I387">
        <f>IF($A387="","",SUMIFS('Таблиця 1'!$K:$K,'Таблиця 1'!$B:$B,$A387,'Таблиця 1'!$I:$I,"Mirage",'Таблиця 1'!$J:$J,"AASM-250")+SUMIFS('Таблиця 1'!$K:$K,'Таблиця 1'!$B:$B,$A387,'Таблиця 1'!$I:$I,"F-16",'Таблиця 1'!$J:$J,"AASM-250")+SUMIFS('Таблиця 1'!$K:$K,'Таблиця 1'!$B:$B,$A387,'Таблиця 1'!$I:$I,"МіГ-29",'Таблиця 1'!$J:$J,"AASM-250")+SUMIFS('Таблиця 1'!$K:$K,'Таблиця 1'!$B:$B,$A387,'Таблиця 1'!$I:$I,"Су-25",'Таблиця 1'!$J:$J,"AASM-250")+SUMIFS('Таблиця 1'!$K:$K,'Таблиця 1'!$B:$B,$A387,'Таблиця 1'!$I:$I,"Су-27",'Таблиця 1'!$J:$J,"AASM-250"))</f>
        <v/>
      </c>
      <c r="J387">
        <f>IF($A387="","",SUMIFS('Таблиця 1'!$K:$K,'Таблиця 1'!$B:$B,$A387,'Таблиця 1'!$I:$I,"Mirage",'Таблиця 1'!$J:$J,"GBU-39")+SUMIFS('Таблиця 1'!$K:$K,'Таблиця 1'!$B:$B,$A387,'Таблиця 1'!$I:$I,"F-16",'Таблиця 1'!$J:$J,"GBU-39")+SUMIFS('Таблиця 1'!$K:$K,'Таблиця 1'!$B:$B,$A387,'Таблиця 1'!$I:$I,"МіГ-29",'Таблиця 1'!$J:$J,"GBU-39")+SUMIFS('Таблиця 1'!$K:$K,'Таблиця 1'!$B:$B,$A387,'Таблиця 1'!$I:$I,"Су-25",'Таблиця 1'!$J:$J,"GBU-39")+SUMIFS('Таблиця 1'!$K:$K,'Таблиця 1'!$B:$B,$A387,'Таблиця 1'!$I:$I,"Су-27",'Таблиця 1'!$J:$J,"GBU-39"))</f>
        <v/>
      </c>
      <c r="K387">
        <f>IF($A387="","",SUMIFS('Таблиця 1'!$K:$K,'Таблиця 1'!$B:$B,$A387,'Таблиця 1'!$I:$I,"Mirage",'Таблиця 1'!$J:$J,"BLU-140")+SUMIFS('Таблиця 1'!$K:$K,'Таблиця 1'!$B:$B,$A387,'Таблиця 1'!$I:$I,"F-16",'Таблиця 1'!$J:$J,"BLU-140")+SUMIFS('Таблиця 1'!$K:$K,'Таблиця 1'!$B:$B,$A387,'Таблиця 1'!$I:$I,"МіГ-29",'Таблиця 1'!$J:$J,"BLU-140")+SUMIFS('Таблиця 1'!$K:$K,'Таблиця 1'!$B:$B,$A387,'Таблиця 1'!$I:$I,"Су-25",'Таблиця 1'!$J:$J,"BLU-140")+SUMIFS('Таблиця 1'!$K:$K,'Таблиця 1'!$B:$B,$A387,'Таблиця 1'!$I:$I,"Су-27",'Таблиця 1'!$J:$J,"BLU-140"))</f>
        <v/>
      </c>
      <c r="L387">
        <f>IF($A387="","",SUMIFS('Таблиця 1'!$K:$K,'Таблиця 1'!$B:$B,$A387,'Таблиця 1'!$I:$I,"Mirage",'Таблиця 1'!$J:$J,"GBU-65")+SUMIFS('Таблиця 1'!$K:$K,'Таблиця 1'!$B:$B,$A387,'Таблиця 1'!$I:$I,"F-16",'Таблиця 1'!$J:$J,"GBU-65")+SUMIFS('Таблиця 1'!$K:$K,'Таблиця 1'!$B:$B,$A387,'Таблиця 1'!$I:$I,"МіГ-29",'Таблиця 1'!$J:$J,"GBU-65")+SUMIFS('Таблиця 1'!$K:$K,'Таблиця 1'!$B:$B,$A387,'Таблиця 1'!$I:$I,"Су-25",'Таблиця 1'!$J:$J,"GBU-65")+SUMIFS('Таблиця 1'!$K:$K,'Таблиця 1'!$B:$B,$A387,'Таблиця 1'!$I:$I,"Су-27",'Таблиця 1'!$J:$J,"GBU-65"))</f>
        <v/>
      </c>
      <c r="M387">
        <f>IF($A387="","",SUMIFS('Таблиця 1'!$K:$K,'Таблиця 1'!$B:$B,$A387,'Таблиця 1'!$I:$I,"Mirage",'Таблиця 1'!$J:$J,"GBU-62")+SUMIFS('Таблиця 1'!$K:$K,'Таблиця 1'!$B:$B,$A387,'Таблиця 1'!$I:$I,"F-16",'Таблиця 1'!$J:$J,"GBU-62")+SUMIFS('Таблиця 1'!$K:$K,'Таблиця 1'!$B:$B,$A387,'Таблиця 1'!$I:$I,"МіГ-29",'Таблиця 1'!$J:$J,"GBU-62")+SUMIFS('Таблиця 1'!$K:$K,'Таблиця 1'!$B:$B,$A387,'Таблиця 1'!$I:$I,"Су-25",'Таблиця 1'!$J:$J,"GBU-62")+SUMIFS('Таблиця 1'!$K:$K,'Таблиця 1'!$B:$B,$A387,'Таблиця 1'!$I:$I,"Су-27",'Таблиця 1'!$J:$J,"GBU-62"))</f>
        <v/>
      </c>
      <c r="N387">
        <f>IF($A387="","",SUMIFS('Таблиця 1'!$K:$K,'Таблиця 1'!$B:$B,$A387,'Таблиця 1'!$I:$I,"Mirage",'Таблиця 1'!$J:$J,"GBU-64")+SUMIFS('Таблиця 1'!$K:$K,'Таблиця 1'!$B:$B,$A387,'Таблиця 1'!$I:$I,"F-16",'Таблиця 1'!$J:$J,"GBU-64")+SUMIFS('Таблиця 1'!$K:$K,'Таблиця 1'!$B:$B,$A387,'Таблиця 1'!$I:$I,"МіГ-29",'Таблиця 1'!$J:$J,"GBU-64")+SUMIFS('Таблиця 1'!$K:$K,'Таблиця 1'!$B:$B,$A387,'Таблиця 1'!$I:$I,"Су-25",'Таблиця 1'!$J:$J,"GBU-64")+SUMIFS('Таблиця 1'!$K:$K,'Таблиця 1'!$B:$B,$A387,'Таблиця 1'!$I:$I,"Су-27",'Таблиця 1'!$J:$J,"GBU-64"))</f>
        <v/>
      </c>
      <c r="O387">
        <f>IF($A387="","",SUMIFS('Таблиця 1'!$K:$K,'Таблиця 1'!$B:$B,$A387,'Таблиця 1'!$I:$I,"Mirage",'Таблиця 1'!$J:$J,"C-13")+SUMIFS('Таблиця 1'!$K:$K,'Таблиця 1'!$B:$B,$A387,'Таблиця 1'!$I:$I,"F-16",'Таблиця 1'!$J:$J,"C-13")+SUMIFS('Таблиця 1'!$K:$K,'Таблиця 1'!$B:$B,$A387,'Таблиця 1'!$I:$I,"МіГ-29",'Таблиця 1'!$J:$J,"C-13")+SUMIFS('Таблиця 1'!$K:$K,'Таблиця 1'!$B:$B,$A387,'Таблиця 1'!$I:$I,"Су-25",'Таблиця 1'!$J:$J,"C-13")+SUMIFS('Таблиця 1'!$K:$K,'Таблиця 1'!$B:$B,$A387,'Таблиця 1'!$I:$I,"Су-27",'Таблиця 1'!$J:$J,"C-13"))</f>
        <v/>
      </c>
      <c r="P387">
        <f>IF($A387="","",SUMIFS('Таблиця 1'!$K:$K,'Таблиця 1'!$B:$B,$A387,'Таблиця 1'!$I:$I,"Mirage",'Таблиця 1'!$J:$J,"MK-32")+SUMIFS('Таблиця 1'!$K:$K,'Таблиця 1'!$B:$B,$A387,'Таблиця 1'!$I:$I,"F-16",'Таблиця 1'!$J:$J,"MK-32")+SUMIFS('Таблиця 1'!$K:$K,'Таблиця 1'!$B:$B,$A387,'Таблиця 1'!$I:$I,"МіГ-29",'Таблиця 1'!$J:$J,"MK-32")+SUMIFS('Таблиця 1'!$K:$K,'Таблиця 1'!$B:$B,$A387,'Таблиця 1'!$I:$I,"Су-25",'Таблиця 1'!$J:$J,"MK-32")+SUMIFS('Таблиця 1'!$K:$K,'Таблиця 1'!$B:$B,$A387,'Таблиця 1'!$I:$I,"Су-27",'Таблиця 1'!$J:$J,"MK-32"))</f>
        <v/>
      </c>
      <c r="Q387">
        <f>IF($A387="","",SUMIFS('Таблиця 1'!$K:$K,'Таблиця 1'!$B:$B,$A387,'Таблиця 1'!$I:$I,"Mirage",'Таблиця 1'!$J:$J,"MK-24")+SUMIFS('Таблиця 1'!$K:$K,'Таблиця 1'!$B:$B,$A387,'Таблиця 1'!$I:$I,"F-16",'Таблиця 1'!$J:$J,"MK-24")+SUMIFS('Таблиця 1'!$K:$K,'Таблиця 1'!$B:$B,$A387,'Таблиця 1'!$I:$I,"МіГ-29",'Таблиця 1'!$J:$J,"MK-24")+SUMIFS('Таблиця 1'!$K:$K,'Таблиця 1'!$B:$B,$A387,'Таблиця 1'!$I:$I,"Су-25",'Таблиця 1'!$J:$J,"MK-24")+SUMIFS('Таблиця 1'!$K:$K,'Таблиця 1'!$B:$B,$A387,'Таблиця 1'!$I:$I,"Су-27",'Таблиця 1'!$J:$J,"MK-24"))</f>
        <v/>
      </c>
      <c r="R387">
        <f>IF($A387="","",COUNTIFS('Таблиця 1'!$B:$B,$A387,'Таблиця 1'!$I:$I,"Mirage",'Таблиця 1'!$L:$L,"Уражено")+COUNTIFS('Таблиця 1'!$B:$B,$A387,'Таблиця 1'!$I:$I,"F-16",'Таблиця 1'!$L:$L,"Уражено")+COUNTIFS('Таблиця 1'!$B:$B,$A387,'Таблиця 1'!$I:$I,"МіГ-29",'Таблиця 1'!$L:$L,"Уражено")+COUNTIFS('Таблиця 1'!$B:$B,$A387,'Таблиця 1'!$I:$I,"Су-25",'Таблиця 1'!$L:$L,"Уражено")+COUNTIFS('Таблиця 1'!$B:$B,$A387,'Таблиця 1'!$I:$I,"Су-27",'Таблиця 1'!$L:$L,"Уражено"))</f>
        <v/>
      </c>
      <c r="S387">
        <f>IF($A387="","",COUNTIFS('Таблиця 1'!$B:$B,$A387,'Таблиця 1'!$I:$I,"Mirage",'Таблиця 1'!$L:$L,"НЕ уражено")+COUNTIFS('Таблиця 1'!$B:$B,$A387,'Таблиця 1'!$I:$I,"F-16",'Таблиця 1'!$L:$L,"НЕ уражено")+COUNTIFS('Таблиця 1'!$B:$B,$A387,'Таблиця 1'!$I:$I,"МіГ-29",'Таблиця 1'!$L:$L,"НЕ уражено")+COUNTIFS('Таблиця 1'!$B:$B,$A387,'Таблиця 1'!$I:$I,"Су-25",'Таблиця 1'!$L:$L,"НЕ уражено")+COUNTIFS('Таблиця 1'!$B:$B,$A387,'Таблиця 1'!$I:$I,"Су-27",'Таблиця 1'!$L:$L,"НЕ уражено"))</f>
        <v/>
      </c>
      <c r="T387">
        <f>IF($A387="","",COUNTIFS('Таблиця 1'!$B:$B,$A387,'Таблиця 1'!$I:$I,"Mirage",'Таблиця 1'!$L:$L,"Дорозвідується")+COUNTIFS('Таблиця 1'!$B:$B,$A387,'Таблиця 1'!$I:$I,"F-16",'Таблиця 1'!$L:$L,"Дорозвідується")+COUNTIFS('Таблиця 1'!$B:$B,$A387,'Таблиця 1'!$I:$I,"МіГ-29",'Таблиця 1'!$L:$L,"Дорозвідується")+COUNTIFS('Таблиця 1'!$B:$B,$A387,'Таблиця 1'!$I:$I,"Су-25",'Таблиця 1'!$L:$L,"Дорозвідується")+COUNTIFS('Таблиця 1'!$B:$B,$A387,'Таблиця 1'!$I:$I,"Су-27",'Таблиця 1'!$L:$L,"Дорозвідується"))</f>
        <v/>
      </c>
    </row>
    <row r="388">
      <c r="A388" s="273">
        <f>IF(A387="","",IF(A387+1&gt;MAX('Таблиця 1'!$B:$B),"",A387+1))</f>
        <v/>
      </c>
      <c r="B388">
        <f>IF($A388="","",COUNTIFS('Таблиця 1'!$B:$B,$A388,'Таблиця 1'!$I:$I,"Mirage")+COUNTIFS('Таблиця 1'!$B:$B,$A388,'Таблиця 1'!$I:$I,"F-16")+COUNTIFS('Таблиця 1'!$B:$B,$A388,'Таблиця 1'!$I:$I,"МіГ-29")+COUNTIFS('Таблиця 1'!$B:$B,$A388,'Таблиця 1'!$I:$I,"Су-25")+COUNTIFS('Таблиця 1'!$B:$B,$A388,'Таблиця 1'!$I:$I,"Су-27"))</f>
        <v/>
      </c>
      <c r="C388">
        <f>IF($A388="","",COUNTIFS('Таблиця 1'!$B:$B,$A388,'Таблиця 1'!$I:$I,"Mirage"))</f>
        <v/>
      </c>
      <c r="D388">
        <f>IF($A388="","",COUNTIFS('Таблиця 1'!$B:$B,$A388,'Таблиця 1'!$I:$I,"F-16"))</f>
        <v/>
      </c>
      <c r="E388">
        <f>IF($A388="","",COUNTIFS('Таблиця 1'!$B:$B,$A388,'Таблиця 1'!$I:$I,"МіГ-29"))</f>
        <v/>
      </c>
      <c r="F388">
        <f>IF($A388="","",COUNTIFS('Таблиця 1'!$B:$B,$A388,'Таблиця 1'!$I:$I,"Су-25"))</f>
        <v/>
      </c>
      <c r="G388">
        <f>IF($A388="","",COUNTIFS('Таблиця 1'!$B:$B,$A388,'Таблиця 1'!$I:$I,"Су-27"))</f>
        <v/>
      </c>
      <c r="H388">
        <f>IF($A388="","",SUMIFS('Таблиця 1'!$K:$K,'Таблиця 1'!$B:$B,$A388,'Таблиця 1'!$I:$I,"Mirage",'Таблиця 1'!$J:$J,"AGM-88")+SUMIFS('Таблиця 1'!$K:$K,'Таблиця 1'!$B:$B,$A388,'Таблиця 1'!$I:$I,"F-16",'Таблиця 1'!$J:$J,"AGM-88")+SUMIFS('Таблиця 1'!$K:$K,'Таблиця 1'!$B:$B,$A388,'Таблиця 1'!$I:$I,"МіГ-29",'Таблиця 1'!$J:$J,"AGM-88")+SUMIFS('Таблиця 1'!$K:$K,'Таблиця 1'!$B:$B,$A388,'Таблиця 1'!$I:$I,"Су-25",'Таблиця 1'!$J:$J,"AGM-88")+SUMIFS('Таблиця 1'!$K:$K,'Таблиця 1'!$B:$B,$A388,'Таблиця 1'!$I:$I,"Су-27",'Таблиця 1'!$J:$J,"AGM-88"))</f>
        <v/>
      </c>
      <c r="I388">
        <f>IF($A388="","",SUMIFS('Таблиця 1'!$K:$K,'Таблиця 1'!$B:$B,$A388,'Таблиця 1'!$I:$I,"Mirage",'Таблиця 1'!$J:$J,"AASM-250")+SUMIFS('Таблиця 1'!$K:$K,'Таблиця 1'!$B:$B,$A388,'Таблиця 1'!$I:$I,"F-16",'Таблиця 1'!$J:$J,"AASM-250")+SUMIFS('Таблиця 1'!$K:$K,'Таблиця 1'!$B:$B,$A388,'Таблиця 1'!$I:$I,"МіГ-29",'Таблиця 1'!$J:$J,"AASM-250")+SUMIFS('Таблиця 1'!$K:$K,'Таблиця 1'!$B:$B,$A388,'Таблиця 1'!$I:$I,"Су-25",'Таблиця 1'!$J:$J,"AASM-250")+SUMIFS('Таблиця 1'!$K:$K,'Таблиця 1'!$B:$B,$A388,'Таблиця 1'!$I:$I,"Су-27",'Таблиця 1'!$J:$J,"AASM-250"))</f>
        <v/>
      </c>
      <c r="J388">
        <f>IF($A388="","",SUMIFS('Таблиця 1'!$K:$K,'Таблиця 1'!$B:$B,$A388,'Таблиця 1'!$I:$I,"Mirage",'Таблиця 1'!$J:$J,"GBU-39")+SUMIFS('Таблиця 1'!$K:$K,'Таблиця 1'!$B:$B,$A388,'Таблиця 1'!$I:$I,"F-16",'Таблиця 1'!$J:$J,"GBU-39")+SUMIFS('Таблиця 1'!$K:$K,'Таблиця 1'!$B:$B,$A388,'Таблиця 1'!$I:$I,"МіГ-29",'Таблиця 1'!$J:$J,"GBU-39")+SUMIFS('Таблиця 1'!$K:$K,'Таблиця 1'!$B:$B,$A388,'Таблиця 1'!$I:$I,"Су-25",'Таблиця 1'!$J:$J,"GBU-39")+SUMIFS('Таблиця 1'!$K:$K,'Таблиця 1'!$B:$B,$A388,'Таблиця 1'!$I:$I,"Су-27",'Таблиця 1'!$J:$J,"GBU-39"))</f>
        <v/>
      </c>
      <c r="K388">
        <f>IF($A388="","",SUMIFS('Таблиця 1'!$K:$K,'Таблиця 1'!$B:$B,$A388,'Таблиця 1'!$I:$I,"Mirage",'Таблиця 1'!$J:$J,"BLU-140")+SUMIFS('Таблиця 1'!$K:$K,'Таблиця 1'!$B:$B,$A388,'Таблиця 1'!$I:$I,"F-16",'Таблиця 1'!$J:$J,"BLU-140")+SUMIFS('Таблиця 1'!$K:$K,'Таблиця 1'!$B:$B,$A388,'Таблиця 1'!$I:$I,"МіГ-29",'Таблиця 1'!$J:$J,"BLU-140")+SUMIFS('Таблиця 1'!$K:$K,'Таблиця 1'!$B:$B,$A388,'Таблиця 1'!$I:$I,"Су-25",'Таблиця 1'!$J:$J,"BLU-140")+SUMIFS('Таблиця 1'!$K:$K,'Таблиця 1'!$B:$B,$A388,'Таблиця 1'!$I:$I,"Су-27",'Таблиця 1'!$J:$J,"BLU-140"))</f>
        <v/>
      </c>
      <c r="L388">
        <f>IF($A388="","",SUMIFS('Таблиця 1'!$K:$K,'Таблиця 1'!$B:$B,$A388,'Таблиця 1'!$I:$I,"Mirage",'Таблиця 1'!$J:$J,"GBU-65")+SUMIFS('Таблиця 1'!$K:$K,'Таблиця 1'!$B:$B,$A388,'Таблиця 1'!$I:$I,"F-16",'Таблиця 1'!$J:$J,"GBU-65")+SUMIFS('Таблиця 1'!$K:$K,'Таблиця 1'!$B:$B,$A388,'Таблиця 1'!$I:$I,"МіГ-29",'Таблиця 1'!$J:$J,"GBU-65")+SUMIFS('Таблиця 1'!$K:$K,'Таблиця 1'!$B:$B,$A388,'Таблиця 1'!$I:$I,"Су-25",'Таблиця 1'!$J:$J,"GBU-65")+SUMIFS('Таблиця 1'!$K:$K,'Таблиця 1'!$B:$B,$A388,'Таблиця 1'!$I:$I,"Су-27",'Таблиця 1'!$J:$J,"GBU-65"))</f>
        <v/>
      </c>
      <c r="M388">
        <f>IF($A388="","",SUMIFS('Таблиця 1'!$K:$K,'Таблиця 1'!$B:$B,$A388,'Таблиця 1'!$I:$I,"Mirage",'Таблиця 1'!$J:$J,"GBU-62")+SUMIFS('Таблиця 1'!$K:$K,'Таблиця 1'!$B:$B,$A388,'Таблиця 1'!$I:$I,"F-16",'Таблиця 1'!$J:$J,"GBU-62")+SUMIFS('Таблиця 1'!$K:$K,'Таблиця 1'!$B:$B,$A388,'Таблиця 1'!$I:$I,"МіГ-29",'Таблиця 1'!$J:$J,"GBU-62")+SUMIFS('Таблиця 1'!$K:$K,'Таблиця 1'!$B:$B,$A388,'Таблиця 1'!$I:$I,"Су-25",'Таблиця 1'!$J:$J,"GBU-62")+SUMIFS('Таблиця 1'!$K:$K,'Таблиця 1'!$B:$B,$A388,'Таблиця 1'!$I:$I,"Су-27",'Таблиця 1'!$J:$J,"GBU-62"))</f>
        <v/>
      </c>
      <c r="N388">
        <f>IF($A388="","",SUMIFS('Таблиця 1'!$K:$K,'Таблиця 1'!$B:$B,$A388,'Таблиця 1'!$I:$I,"Mirage",'Таблиця 1'!$J:$J,"GBU-64")+SUMIFS('Таблиця 1'!$K:$K,'Таблиця 1'!$B:$B,$A388,'Таблиця 1'!$I:$I,"F-16",'Таблиця 1'!$J:$J,"GBU-64")+SUMIFS('Таблиця 1'!$K:$K,'Таблиця 1'!$B:$B,$A388,'Таблиця 1'!$I:$I,"МіГ-29",'Таблиця 1'!$J:$J,"GBU-64")+SUMIFS('Таблиця 1'!$K:$K,'Таблиця 1'!$B:$B,$A388,'Таблиця 1'!$I:$I,"Су-25",'Таблиця 1'!$J:$J,"GBU-64")+SUMIFS('Таблиця 1'!$K:$K,'Таблиця 1'!$B:$B,$A388,'Таблиця 1'!$I:$I,"Су-27",'Таблиця 1'!$J:$J,"GBU-64"))</f>
        <v/>
      </c>
      <c r="O388">
        <f>IF($A388="","",SUMIFS('Таблиця 1'!$K:$K,'Таблиця 1'!$B:$B,$A388,'Таблиця 1'!$I:$I,"Mirage",'Таблиця 1'!$J:$J,"C-13")+SUMIFS('Таблиця 1'!$K:$K,'Таблиця 1'!$B:$B,$A388,'Таблиця 1'!$I:$I,"F-16",'Таблиця 1'!$J:$J,"C-13")+SUMIFS('Таблиця 1'!$K:$K,'Таблиця 1'!$B:$B,$A388,'Таблиця 1'!$I:$I,"МіГ-29",'Таблиця 1'!$J:$J,"C-13")+SUMIFS('Таблиця 1'!$K:$K,'Таблиця 1'!$B:$B,$A388,'Таблиця 1'!$I:$I,"Су-25",'Таблиця 1'!$J:$J,"C-13")+SUMIFS('Таблиця 1'!$K:$K,'Таблиця 1'!$B:$B,$A388,'Таблиця 1'!$I:$I,"Су-27",'Таблиця 1'!$J:$J,"C-13"))</f>
        <v/>
      </c>
      <c r="P388">
        <f>IF($A388="","",SUMIFS('Таблиця 1'!$K:$K,'Таблиця 1'!$B:$B,$A388,'Таблиця 1'!$I:$I,"Mirage",'Таблиця 1'!$J:$J,"MK-32")+SUMIFS('Таблиця 1'!$K:$K,'Таблиця 1'!$B:$B,$A388,'Таблиця 1'!$I:$I,"F-16",'Таблиця 1'!$J:$J,"MK-32")+SUMIFS('Таблиця 1'!$K:$K,'Таблиця 1'!$B:$B,$A388,'Таблиця 1'!$I:$I,"МіГ-29",'Таблиця 1'!$J:$J,"MK-32")+SUMIFS('Таблиця 1'!$K:$K,'Таблиця 1'!$B:$B,$A388,'Таблиця 1'!$I:$I,"Су-25",'Таблиця 1'!$J:$J,"MK-32")+SUMIFS('Таблиця 1'!$K:$K,'Таблиця 1'!$B:$B,$A388,'Таблиця 1'!$I:$I,"Су-27",'Таблиця 1'!$J:$J,"MK-32"))</f>
        <v/>
      </c>
      <c r="Q388">
        <f>IF($A388="","",SUMIFS('Таблиця 1'!$K:$K,'Таблиця 1'!$B:$B,$A388,'Таблиця 1'!$I:$I,"Mirage",'Таблиця 1'!$J:$J,"MK-24")+SUMIFS('Таблиця 1'!$K:$K,'Таблиця 1'!$B:$B,$A388,'Таблиця 1'!$I:$I,"F-16",'Таблиця 1'!$J:$J,"MK-24")+SUMIFS('Таблиця 1'!$K:$K,'Таблиця 1'!$B:$B,$A388,'Таблиця 1'!$I:$I,"МіГ-29",'Таблиця 1'!$J:$J,"MK-24")+SUMIFS('Таблиця 1'!$K:$K,'Таблиця 1'!$B:$B,$A388,'Таблиця 1'!$I:$I,"Су-25",'Таблиця 1'!$J:$J,"MK-24")+SUMIFS('Таблиця 1'!$K:$K,'Таблиця 1'!$B:$B,$A388,'Таблиця 1'!$I:$I,"Су-27",'Таблиця 1'!$J:$J,"MK-24"))</f>
        <v/>
      </c>
      <c r="R388">
        <f>IF($A388="","",COUNTIFS('Таблиця 1'!$B:$B,$A388,'Таблиця 1'!$I:$I,"Mirage",'Таблиця 1'!$L:$L,"Уражено")+COUNTIFS('Таблиця 1'!$B:$B,$A388,'Таблиця 1'!$I:$I,"F-16",'Таблиця 1'!$L:$L,"Уражено")+COUNTIFS('Таблиця 1'!$B:$B,$A388,'Таблиця 1'!$I:$I,"МіГ-29",'Таблиця 1'!$L:$L,"Уражено")+COUNTIFS('Таблиця 1'!$B:$B,$A388,'Таблиця 1'!$I:$I,"Су-25",'Таблиця 1'!$L:$L,"Уражено")+COUNTIFS('Таблиця 1'!$B:$B,$A388,'Таблиця 1'!$I:$I,"Су-27",'Таблиця 1'!$L:$L,"Уражено"))</f>
        <v/>
      </c>
      <c r="S388">
        <f>IF($A388="","",COUNTIFS('Таблиця 1'!$B:$B,$A388,'Таблиця 1'!$I:$I,"Mirage",'Таблиця 1'!$L:$L,"НЕ уражено")+COUNTIFS('Таблиця 1'!$B:$B,$A388,'Таблиця 1'!$I:$I,"F-16",'Таблиця 1'!$L:$L,"НЕ уражено")+COUNTIFS('Таблиця 1'!$B:$B,$A388,'Таблиця 1'!$I:$I,"МіГ-29",'Таблиця 1'!$L:$L,"НЕ уражено")+COUNTIFS('Таблиця 1'!$B:$B,$A388,'Таблиця 1'!$I:$I,"Су-25",'Таблиця 1'!$L:$L,"НЕ уражено")+COUNTIFS('Таблиця 1'!$B:$B,$A388,'Таблиця 1'!$I:$I,"Су-27",'Таблиця 1'!$L:$L,"НЕ уражено"))</f>
        <v/>
      </c>
      <c r="T388">
        <f>IF($A388="","",COUNTIFS('Таблиця 1'!$B:$B,$A388,'Таблиця 1'!$I:$I,"Mirage",'Таблиця 1'!$L:$L,"Дорозвідується")+COUNTIFS('Таблиця 1'!$B:$B,$A388,'Таблиця 1'!$I:$I,"F-16",'Таблиця 1'!$L:$L,"Дорозвідується")+COUNTIFS('Таблиця 1'!$B:$B,$A388,'Таблиця 1'!$I:$I,"МіГ-29",'Таблиця 1'!$L:$L,"Дорозвідується")+COUNTIFS('Таблиця 1'!$B:$B,$A388,'Таблиця 1'!$I:$I,"Су-25",'Таблиця 1'!$L:$L,"Дорозвідується")+COUNTIFS('Таблиця 1'!$B:$B,$A388,'Таблиця 1'!$I:$I,"Су-27",'Таблиця 1'!$L:$L,"Дорозвідується"))</f>
        <v/>
      </c>
    </row>
    <row r="389">
      <c r="A389" s="273">
        <f>IF(A388="","",IF(A388+1&gt;MAX('Таблиця 1'!$B:$B),"",A388+1))</f>
        <v/>
      </c>
      <c r="B389">
        <f>IF($A389="","",COUNTIFS('Таблиця 1'!$B:$B,$A389,'Таблиця 1'!$I:$I,"Mirage")+COUNTIFS('Таблиця 1'!$B:$B,$A389,'Таблиця 1'!$I:$I,"F-16")+COUNTIFS('Таблиця 1'!$B:$B,$A389,'Таблиця 1'!$I:$I,"МіГ-29")+COUNTIFS('Таблиця 1'!$B:$B,$A389,'Таблиця 1'!$I:$I,"Су-25")+COUNTIFS('Таблиця 1'!$B:$B,$A389,'Таблиця 1'!$I:$I,"Су-27"))</f>
        <v/>
      </c>
      <c r="C389">
        <f>IF($A389="","",COUNTIFS('Таблиця 1'!$B:$B,$A389,'Таблиця 1'!$I:$I,"Mirage"))</f>
        <v/>
      </c>
      <c r="D389">
        <f>IF($A389="","",COUNTIFS('Таблиця 1'!$B:$B,$A389,'Таблиця 1'!$I:$I,"F-16"))</f>
        <v/>
      </c>
      <c r="E389">
        <f>IF($A389="","",COUNTIFS('Таблиця 1'!$B:$B,$A389,'Таблиця 1'!$I:$I,"МіГ-29"))</f>
        <v/>
      </c>
      <c r="F389">
        <f>IF($A389="","",COUNTIFS('Таблиця 1'!$B:$B,$A389,'Таблиця 1'!$I:$I,"Су-25"))</f>
        <v/>
      </c>
      <c r="G389">
        <f>IF($A389="","",COUNTIFS('Таблиця 1'!$B:$B,$A389,'Таблиця 1'!$I:$I,"Су-27"))</f>
        <v/>
      </c>
      <c r="H389">
        <f>IF($A389="","",SUMIFS('Таблиця 1'!$K:$K,'Таблиця 1'!$B:$B,$A389,'Таблиця 1'!$I:$I,"Mirage",'Таблиця 1'!$J:$J,"AGM-88")+SUMIFS('Таблиця 1'!$K:$K,'Таблиця 1'!$B:$B,$A389,'Таблиця 1'!$I:$I,"F-16",'Таблиця 1'!$J:$J,"AGM-88")+SUMIFS('Таблиця 1'!$K:$K,'Таблиця 1'!$B:$B,$A389,'Таблиця 1'!$I:$I,"МіГ-29",'Таблиця 1'!$J:$J,"AGM-88")+SUMIFS('Таблиця 1'!$K:$K,'Таблиця 1'!$B:$B,$A389,'Таблиця 1'!$I:$I,"Су-25",'Таблиця 1'!$J:$J,"AGM-88")+SUMIFS('Таблиця 1'!$K:$K,'Таблиця 1'!$B:$B,$A389,'Таблиця 1'!$I:$I,"Су-27",'Таблиця 1'!$J:$J,"AGM-88"))</f>
        <v/>
      </c>
      <c r="I389">
        <f>IF($A389="","",SUMIFS('Таблиця 1'!$K:$K,'Таблиця 1'!$B:$B,$A389,'Таблиця 1'!$I:$I,"Mirage",'Таблиця 1'!$J:$J,"AASM-250")+SUMIFS('Таблиця 1'!$K:$K,'Таблиця 1'!$B:$B,$A389,'Таблиця 1'!$I:$I,"F-16",'Таблиця 1'!$J:$J,"AASM-250")+SUMIFS('Таблиця 1'!$K:$K,'Таблиця 1'!$B:$B,$A389,'Таблиця 1'!$I:$I,"МіГ-29",'Таблиця 1'!$J:$J,"AASM-250")+SUMIFS('Таблиця 1'!$K:$K,'Таблиця 1'!$B:$B,$A389,'Таблиця 1'!$I:$I,"Су-25",'Таблиця 1'!$J:$J,"AASM-250")+SUMIFS('Таблиця 1'!$K:$K,'Таблиця 1'!$B:$B,$A389,'Таблиця 1'!$I:$I,"Су-27",'Таблиця 1'!$J:$J,"AASM-250"))</f>
        <v/>
      </c>
      <c r="J389">
        <f>IF($A389="","",SUMIFS('Таблиця 1'!$K:$K,'Таблиця 1'!$B:$B,$A389,'Таблиця 1'!$I:$I,"Mirage",'Таблиця 1'!$J:$J,"GBU-39")+SUMIFS('Таблиця 1'!$K:$K,'Таблиця 1'!$B:$B,$A389,'Таблиця 1'!$I:$I,"F-16",'Таблиця 1'!$J:$J,"GBU-39")+SUMIFS('Таблиця 1'!$K:$K,'Таблиця 1'!$B:$B,$A389,'Таблиця 1'!$I:$I,"МіГ-29",'Таблиця 1'!$J:$J,"GBU-39")+SUMIFS('Таблиця 1'!$K:$K,'Таблиця 1'!$B:$B,$A389,'Таблиця 1'!$I:$I,"Су-25",'Таблиця 1'!$J:$J,"GBU-39")+SUMIFS('Таблиця 1'!$K:$K,'Таблиця 1'!$B:$B,$A389,'Таблиця 1'!$I:$I,"Су-27",'Таблиця 1'!$J:$J,"GBU-39"))</f>
        <v/>
      </c>
      <c r="K389">
        <f>IF($A389="","",SUMIFS('Таблиця 1'!$K:$K,'Таблиця 1'!$B:$B,$A389,'Таблиця 1'!$I:$I,"Mirage",'Таблиця 1'!$J:$J,"BLU-140")+SUMIFS('Таблиця 1'!$K:$K,'Таблиця 1'!$B:$B,$A389,'Таблиця 1'!$I:$I,"F-16",'Таблиця 1'!$J:$J,"BLU-140")+SUMIFS('Таблиця 1'!$K:$K,'Таблиця 1'!$B:$B,$A389,'Таблиця 1'!$I:$I,"МіГ-29",'Таблиця 1'!$J:$J,"BLU-140")+SUMIFS('Таблиця 1'!$K:$K,'Таблиця 1'!$B:$B,$A389,'Таблиця 1'!$I:$I,"Су-25",'Таблиця 1'!$J:$J,"BLU-140")+SUMIFS('Таблиця 1'!$K:$K,'Таблиця 1'!$B:$B,$A389,'Таблиця 1'!$I:$I,"Су-27",'Таблиця 1'!$J:$J,"BLU-140"))</f>
        <v/>
      </c>
      <c r="L389">
        <f>IF($A389="","",SUMIFS('Таблиця 1'!$K:$K,'Таблиця 1'!$B:$B,$A389,'Таблиця 1'!$I:$I,"Mirage",'Таблиця 1'!$J:$J,"GBU-65")+SUMIFS('Таблиця 1'!$K:$K,'Таблиця 1'!$B:$B,$A389,'Таблиця 1'!$I:$I,"F-16",'Таблиця 1'!$J:$J,"GBU-65")+SUMIFS('Таблиця 1'!$K:$K,'Таблиця 1'!$B:$B,$A389,'Таблиця 1'!$I:$I,"МіГ-29",'Таблиця 1'!$J:$J,"GBU-65")+SUMIFS('Таблиця 1'!$K:$K,'Таблиця 1'!$B:$B,$A389,'Таблиця 1'!$I:$I,"Су-25",'Таблиця 1'!$J:$J,"GBU-65")+SUMIFS('Таблиця 1'!$K:$K,'Таблиця 1'!$B:$B,$A389,'Таблиця 1'!$I:$I,"Су-27",'Таблиця 1'!$J:$J,"GBU-65"))</f>
        <v/>
      </c>
      <c r="M389">
        <f>IF($A389="","",SUMIFS('Таблиця 1'!$K:$K,'Таблиця 1'!$B:$B,$A389,'Таблиця 1'!$I:$I,"Mirage",'Таблиця 1'!$J:$J,"GBU-62")+SUMIFS('Таблиця 1'!$K:$K,'Таблиця 1'!$B:$B,$A389,'Таблиця 1'!$I:$I,"F-16",'Таблиця 1'!$J:$J,"GBU-62")+SUMIFS('Таблиця 1'!$K:$K,'Таблиця 1'!$B:$B,$A389,'Таблиця 1'!$I:$I,"МіГ-29",'Таблиця 1'!$J:$J,"GBU-62")+SUMIFS('Таблиця 1'!$K:$K,'Таблиця 1'!$B:$B,$A389,'Таблиця 1'!$I:$I,"Су-25",'Таблиця 1'!$J:$J,"GBU-62")+SUMIFS('Таблиця 1'!$K:$K,'Таблиця 1'!$B:$B,$A389,'Таблиця 1'!$I:$I,"Су-27",'Таблиця 1'!$J:$J,"GBU-62"))</f>
        <v/>
      </c>
      <c r="N389">
        <f>IF($A389="","",SUMIFS('Таблиця 1'!$K:$K,'Таблиця 1'!$B:$B,$A389,'Таблиця 1'!$I:$I,"Mirage",'Таблиця 1'!$J:$J,"GBU-64")+SUMIFS('Таблиця 1'!$K:$K,'Таблиця 1'!$B:$B,$A389,'Таблиця 1'!$I:$I,"F-16",'Таблиця 1'!$J:$J,"GBU-64")+SUMIFS('Таблиця 1'!$K:$K,'Таблиця 1'!$B:$B,$A389,'Таблиця 1'!$I:$I,"МіГ-29",'Таблиця 1'!$J:$J,"GBU-64")+SUMIFS('Таблиця 1'!$K:$K,'Таблиця 1'!$B:$B,$A389,'Таблиця 1'!$I:$I,"Су-25",'Таблиця 1'!$J:$J,"GBU-64")+SUMIFS('Таблиця 1'!$K:$K,'Таблиця 1'!$B:$B,$A389,'Таблиця 1'!$I:$I,"Су-27",'Таблиця 1'!$J:$J,"GBU-64"))</f>
        <v/>
      </c>
      <c r="O389">
        <f>IF($A389="","",SUMIFS('Таблиця 1'!$K:$K,'Таблиця 1'!$B:$B,$A389,'Таблиця 1'!$I:$I,"Mirage",'Таблиця 1'!$J:$J,"C-13")+SUMIFS('Таблиця 1'!$K:$K,'Таблиця 1'!$B:$B,$A389,'Таблиця 1'!$I:$I,"F-16",'Таблиця 1'!$J:$J,"C-13")+SUMIFS('Таблиця 1'!$K:$K,'Таблиця 1'!$B:$B,$A389,'Таблиця 1'!$I:$I,"МіГ-29",'Таблиця 1'!$J:$J,"C-13")+SUMIFS('Таблиця 1'!$K:$K,'Таблиця 1'!$B:$B,$A389,'Таблиця 1'!$I:$I,"Су-25",'Таблиця 1'!$J:$J,"C-13")+SUMIFS('Таблиця 1'!$K:$K,'Таблиця 1'!$B:$B,$A389,'Таблиця 1'!$I:$I,"Су-27",'Таблиця 1'!$J:$J,"C-13"))</f>
        <v/>
      </c>
      <c r="P389">
        <f>IF($A389="","",SUMIFS('Таблиця 1'!$K:$K,'Таблиця 1'!$B:$B,$A389,'Таблиця 1'!$I:$I,"Mirage",'Таблиця 1'!$J:$J,"MK-32")+SUMIFS('Таблиця 1'!$K:$K,'Таблиця 1'!$B:$B,$A389,'Таблиця 1'!$I:$I,"F-16",'Таблиця 1'!$J:$J,"MK-32")+SUMIFS('Таблиця 1'!$K:$K,'Таблиця 1'!$B:$B,$A389,'Таблиця 1'!$I:$I,"МіГ-29",'Таблиця 1'!$J:$J,"MK-32")+SUMIFS('Таблиця 1'!$K:$K,'Таблиця 1'!$B:$B,$A389,'Таблиця 1'!$I:$I,"Су-25",'Таблиця 1'!$J:$J,"MK-32")+SUMIFS('Таблиця 1'!$K:$K,'Таблиця 1'!$B:$B,$A389,'Таблиця 1'!$I:$I,"Су-27",'Таблиця 1'!$J:$J,"MK-32"))</f>
        <v/>
      </c>
      <c r="Q389">
        <f>IF($A389="","",SUMIFS('Таблиця 1'!$K:$K,'Таблиця 1'!$B:$B,$A389,'Таблиця 1'!$I:$I,"Mirage",'Таблиця 1'!$J:$J,"MK-24")+SUMIFS('Таблиця 1'!$K:$K,'Таблиця 1'!$B:$B,$A389,'Таблиця 1'!$I:$I,"F-16",'Таблиця 1'!$J:$J,"MK-24")+SUMIFS('Таблиця 1'!$K:$K,'Таблиця 1'!$B:$B,$A389,'Таблиця 1'!$I:$I,"МіГ-29",'Таблиця 1'!$J:$J,"MK-24")+SUMIFS('Таблиця 1'!$K:$K,'Таблиця 1'!$B:$B,$A389,'Таблиця 1'!$I:$I,"Су-25",'Таблиця 1'!$J:$J,"MK-24")+SUMIFS('Таблиця 1'!$K:$K,'Таблиця 1'!$B:$B,$A389,'Таблиця 1'!$I:$I,"Су-27",'Таблиця 1'!$J:$J,"MK-24"))</f>
        <v/>
      </c>
      <c r="R389">
        <f>IF($A389="","",COUNTIFS('Таблиця 1'!$B:$B,$A389,'Таблиця 1'!$I:$I,"Mirage",'Таблиця 1'!$L:$L,"Уражено")+COUNTIFS('Таблиця 1'!$B:$B,$A389,'Таблиця 1'!$I:$I,"F-16",'Таблиця 1'!$L:$L,"Уражено")+COUNTIFS('Таблиця 1'!$B:$B,$A389,'Таблиця 1'!$I:$I,"МіГ-29",'Таблиця 1'!$L:$L,"Уражено")+COUNTIFS('Таблиця 1'!$B:$B,$A389,'Таблиця 1'!$I:$I,"Су-25",'Таблиця 1'!$L:$L,"Уражено")+COUNTIFS('Таблиця 1'!$B:$B,$A389,'Таблиця 1'!$I:$I,"Су-27",'Таблиця 1'!$L:$L,"Уражено"))</f>
        <v/>
      </c>
      <c r="S389">
        <f>IF($A389="","",COUNTIFS('Таблиця 1'!$B:$B,$A389,'Таблиця 1'!$I:$I,"Mirage",'Таблиця 1'!$L:$L,"НЕ уражено")+COUNTIFS('Таблиця 1'!$B:$B,$A389,'Таблиця 1'!$I:$I,"F-16",'Таблиця 1'!$L:$L,"НЕ уражено")+COUNTIFS('Таблиця 1'!$B:$B,$A389,'Таблиця 1'!$I:$I,"МіГ-29",'Таблиця 1'!$L:$L,"НЕ уражено")+COUNTIFS('Таблиця 1'!$B:$B,$A389,'Таблиця 1'!$I:$I,"Су-25",'Таблиця 1'!$L:$L,"НЕ уражено")+COUNTIFS('Таблиця 1'!$B:$B,$A389,'Таблиця 1'!$I:$I,"Су-27",'Таблиця 1'!$L:$L,"НЕ уражено"))</f>
        <v/>
      </c>
      <c r="T389">
        <f>IF($A389="","",COUNTIFS('Таблиця 1'!$B:$B,$A389,'Таблиця 1'!$I:$I,"Mirage",'Таблиця 1'!$L:$L,"Дорозвідується")+COUNTIFS('Таблиця 1'!$B:$B,$A389,'Таблиця 1'!$I:$I,"F-16",'Таблиця 1'!$L:$L,"Дорозвідується")+COUNTIFS('Таблиця 1'!$B:$B,$A389,'Таблиця 1'!$I:$I,"МіГ-29",'Таблиця 1'!$L:$L,"Дорозвідується")+COUNTIFS('Таблиця 1'!$B:$B,$A389,'Таблиця 1'!$I:$I,"Су-25",'Таблиця 1'!$L:$L,"Дорозвідується")+COUNTIFS('Таблиця 1'!$B:$B,$A389,'Таблиця 1'!$I:$I,"Су-27",'Таблиця 1'!$L:$L,"Дорозвідується"))</f>
        <v/>
      </c>
    </row>
    <row r="390">
      <c r="A390" s="273">
        <f>IF(A389="","",IF(A389+1&gt;MAX('Таблиця 1'!$B:$B),"",A389+1))</f>
        <v/>
      </c>
      <c r="B390">
        <f>IF($A390="","",COUNTIFS('Таблиця 1'!$B:$B,$A390,'Таблиця 1'!$I:$I,"Mirage")+COUNTIFS('Таблиця 1'!$B:$B,$A390,'Таблиця 1'!$I:$I,"F-16")+COUNTIFS('Таблиця 1'!$B:$B,$A390,'Таблиця 1'!$I:$I,"МіГ-29")+COUNTIFS('Таблиця 1'!$B:$B,$A390,'Таблиця 1'!$I:$I,"Су-25")+COUNTIFS('Таблиця 1'!$B:$B,$A390,'Таблиця 1'!$I:$I,"Су-27"))</f>
        <v/>
      </c>
      <c r="C390">
        <f>IF($A390="","",COUNTIFS('Таблиця 1'!$B:$B,$A390,'Таблиця 1'!$I:$I,"Mirage"))</f>
        <v/>
      </c>
      <c r="D390">
        <f>IF($A390="","",COUNTIFS('Таблиця 1'!$B:$B,$A390,'Таблиця 1'!$I:$I,"F-16"))</f>
        <v/>
      </c>
      <c r="E390">
        <f>IF($A390="","",COUNTIFS('Таблиця 1'!$B:$B,$A390,'Таблиця 1'!$I:$I,"МіГ-29"))</f>
        <v/>
      </c>
      <c r="F390">
        <f>IF($A390="","",COUNTIFS('Таблиця 1'!$B:$B,$A390,'Таблиця 1'!$I:$I,"Су-25"))</f>
        <v/>
      </c>
      <c r="G390">
        <f>IF($A390="","",COUNTIFS('Таблиця 1'!$B:$B,$A390,'Таблиця 1'!$I:$I,"Су-27"))</f>
        <v/>
      </c>
      <c r="H390">
        <f>IF($A390="","",SUMIFS('Таблиця 1'!$K:$K,'Таблиця 1'!$B:$B,$A390,'Таблиця 1'!$I:$I,"Mirage",'Таблиця 1'!$J:$J,"AGM-88")+SUMIFS('Таблиця 1'!$K:$K,'Таблиця 1'!$B:$B,$A390,'Таблиця 1'!$I:$I,"F-16",'Таблиця 1'!$J:$J,"AGM-88")+SUMIFS('Таблиця 1'!$K:$K,'Таблиця 1'!$B:$B,$A390,'Таблиця 1'!$I:$I,"МіГ-29",'Таблиця 1'!$J:$J,"AGM-88")+SUMIFS('Таблиця 1'!$K:$K,'Таблиця 1'!$B:$B,$A390,'Таблиця 1'!$I:$I,"Су-25",'Таблиця 1'!$J:$J,"AGM-88")+SUMIFS('Таблиця 1'!$K:$K,'Таблиця 1'!$B:$B,$A390,'Таблиця 1'!$I:$I,"Су-27",'Таблиця 1'!$J:$J,"AGM-88"))</f>
        <v/>
      </c>
      <c r="I390">
        <f>IF($A390="","",SUMIFS('Таблиця 1'!$K:$K,'Таблиця 1'!$B:$B,$A390,'Таблиця 1'!$I:$I,"Mirage",'Таблиця 1'!$J:$J,"AASM-250")+SUMIFS('Таблиця 1'!$K:$K,'Таблиця 1'!$B:$B,$A390,'Таблиця 1'!$I:$I,"F-16",'Таблиця 1'!$J:$J,"AASM-250")+SUMIFS('Таблиця 1'!$K:$K,'Таблиця 1'!$B:$B,$A390,'Таблиця 1'!$I:$I,"МіГ-29",'Таблиця 1'!$J:$J,"AASM-250")+SUMIFS('Таблиця 1'!$K:$K,'Таблиця 1'!$B:$B,$A390,'Таблиця 1'!$I:$I,"Су-25",'Таблиця 1'!$J:$J,"AASM-250")+SUMIFS('Таблиця 1'!$K:$K,'Таблиця 1'!$B:$B,$A390,'Таблиця 1'!$I:$I,"Су-27",'Таблиця 1'!$J:$J,"AASM-250"))</f>
        <v/>
      </c>
      <c r="J390">
        <f>IF($A390="","",SUMIFS('Таблиця 1'!$K:$K,'Таблиця 1'!$B:$B,$A390,'Таблиця 1'!$I:$I,"Mirage",'Таблиця 1'!$J:$J,"GBU-39")+SUMIFS('Таблиця 1'!$K:$K,'Таблиця 1'!$B:$B,$A390,'Таблиця 1'!$I:$I,"F-16",'Таблиця 1'!$J:$J,"GBU-39")+SUMIFS('Таблиця 1'!$K:$K,'Таблиця 1'!$B:$B,$A390,'Таблиця 1'!$I:$I,"МіГ-29",'Таблиця 1'!$J:$J,"GBU-39")+SUMIFS('Таблиця 1'!$K:$K,'Таблиця 1'!$B:$B,$A390,'Таблиця 1'!$I:$I,"Су-25",'Таблиця 1'!$J:$J,"GBU-39")+SUMIFS('Таблиця 1'!$K:$K,'Таблиця 1'!$B:$B,$A390,'Таблиця 1'!$I:$I,"Су-27",'Таблиця 1'!$J:$J,"GBU-39"))</f>
        <v/>
      </c>
      <c r="K390">
        <f>IF($A390="","",SUMIFS('Таблиця 1'!$K:$K,'Таблиця 1'!$B:$B,$A390,'Таблиця 1'!$I:$I,"Mirage",'Таблиця 1'!$J:$J,"BLU-140")+SUMIFS('Таблиця 1'!$K:$K,'Таблиця 1'!$B:$B,$A390,'Таблиця 1'!$I:$I,"F-16",'Таблиця 1'!$J:$J,"BLU-140")+SUMIFS('Таблиця 1'!$K:$K,'Таблиця 1'!$B:$B,$A390,'Таблиця 1'!$I:$I,"МіГ-29",'Таблиця 1'!$J:$J,"BLU-140")+SUMIFS('Таблиця 1'!$K:$K,'Таблиця 1'!$B:$B,$A390,'Таблиця 1'!$I:$I,"Су-25",'Таблиця 1'!$J:$J,"BLU-140")+SUMIFS('Таблиця 1'!$K:$K,'Таблиця 1'!$B:$B,$A390,'Таблиця 1'!$I:$I,"Су-27",'Таблиця 1'!$J:$J,"BLU-140"))</f>
        <v/>
      </c>
      <c r="L390">
        <f>IF($A390="","",SUMIFS('Таблиця 1'!$K:$K,'Таблиця 1'!$B:$B,$A390,'Таблиця 1'!$I:$I,"Mirage",'Таблиця 1'!$J:$J,"GBU-65")+SUMIFS('Таблиця 1'!$K:$K,'Таблиця 1'!$B:$B,$A390,'Таблиця 1'!$I:$I,"F-16",'Таблиця 1'!$J:$J,"GBU-65")+SUMIFS('Таблиця 1'!$K:$K,'Таблиця 1'!$B:$B,$A390,'Таблиця 1'!$I:$I,"МіГ-29",'Таблиця 1'!$J:$J,"GBU-65")+SUMIFS('Таблиця 1'!$K:$K,'Таблиця 1'!$B:$B,$A390,'Таблиця 1'!$I:$I,"Су-25",'Таблиця 1'!$J:$J,"GBU-65")+SUMIFS('Таблиця 1'!$K:$K,'Таблиця 1'!$B:$B,$A390,'Таблиця 1'!$I:$I,"Су-27",'Таблиця 1'!$J:$J,"GBU-65"))</f>
        <v/>
      </c>
      <c r="M390">
        <f>IF($A390="","",SUMIFS('Таблиця 1'!$K:$K,'Таблиця 1'!$B:$B,$A390,'Таблиця 1'!$I:$I,"Mirage",'Таблиця 1'!$J:$J,"GBU-62")+SUMIFS('Таблиця 1'!$K:$K,'Таблиця 1'!$B:$B,$A390,'Таблиця 1'!$I:$I,"F-16",'Таблиця 1'!$J:$J,"GBU-62")+SUMIFS('Таблиця 1'!$K:$K,'Таблиця 1'!$B:$B,$A390,'Таблиця 1'!$I:$I,"МіГ-29",'Таблиця 1'!$J:$J,"GBU-62")+SUMIFS('Таблиця 1'!$K:$K,'Таблиця 1'!$B:$B,$A390,'Таблиця 1'!$I:$I,"Су-25",'Таблиця 1'!$J:$J,"GBU-62")+SUMIFS('Таблиця 1'!$K:$K,'Таблиця 1'!$B:$B,$A390,'Таблиця 1'!$I:$I,"Су-27",'Таблиця 1'!$J:$J,"GBU-62"))</f>
        <v/>
      </c>
      <c r="N390">
        <f>IF($A390="","",SUMIFS('Таблиця 1'!$K:$K,'Таблиця 1'!$B:$B,$A390,'Таблиця 1'!$I:$I,"Mirage",'Таблиця 1'!$J:$J,"GBU-64")+SUMIFS('Таблиця 1'!$K:$K,'Таблиця 1'!$B:$B,$A390,'Таблиця 1'!$I:$I,"F-16",'Таблиця 1'!$J:$J,"GBU-64")+SUMIFS('Таблиця 1'!$K:$K,'Таблиця 1'!$B:$B,$A390,'Таблиця 1'!$I:$I,"МіГ-29",'Таблиця 1'!$J:$J,"GBU-64")+SUMIFS('Таблиця 1'!$K:$K,'Таблиця 1'!$B:$B,$A390,'Таблиця 1'!$I:$I,"Су-25",'Таблиця 1'!$J:$J,"GBU-64")+SUMIFS('Таблиця 1'!$K:$K,'Таблиця 1'!$B:$B,$A390,'Таблиця 1'!$I:$I,"Су-27",'Таблиця 1'!$J:$J,"GBU-64"))</f>
        <v/>
      </c>
      <c r="O390">
        <f>IF($A390="","",SUMIFS('Таблиця 1'!$K:$K,'Таблиця 1'!$B:$B,$A390,'Таблиця 1'!$I:$I,"Mirage",'Таблиця 1'!$J:$J,"C-13")+SUMIFS('Таблиця 1'!$K:$K,'Таблиця 1'!$B:$B,$A390,'Таблиця 1'!$I:$I,"F-16",'Таблиця 1'!$J:$J,"C-13")+SUMIFS('Таблиця 1'!$K:$K,'Таблиця 1'!$B:$B,$A390,'Таблиця 1'!$I:$I,"МіГ-29",'Таблиця 1'!$J:$J,"C-13")+SUMIFS('Таблиця 1'!$K:$K,'Таблиця 1'!$B:$B,$A390,'Таблиця 1'!$I:$I,"Су-25",'Таблиця 1'!$J:$J,"C-13")+SUMIFS('Таблиця 1'!$K:$K,'Таблиця 1'!$B:$B,$A390,'Таблиця 1'!$I:$I,"Су-27",'Таблиця 1'!$J:$J,"C-13"))</f>
        <v/>
      </c>
      <c r="P390">
        <f>IF($A390="","",SUMIFS('Таблиця 1'!$K:$K,'Таблиця 1'!$B:$B,$A390,'Таблиця 1'!$I:$I,"Mirage",'Таблиця 1'!$J:$J,"MK-32")+SUMIFS('Таблиця 1'!$K:$K,'Таблиця 1'!$B:$B,$A390,'Таблиця 1'!$I:$I,"F-16",'Таблиця 1'!$J:$J,"MK-32")+SUMIFS('Таблиця 1'!$K:$K,'Таблиця 1'!$B:$B,$A390,'Таблиця 1'!$I:$I,"МіГ-29",'Таблиця 1'!$J:$J,"MK-32")+SUMIFS('Таблиця 1'!$K:$K,'Таблиця 1'!$B:$B,$A390,'Таблиця 1'!$I:$I,"Су-25",'Таблиця 1'!$J:$J,"MK-32")+SUMIFS('Таблиця 1'!$K:$K,'Таблиця 1'!$B:$B,$A390,'Таблиця 1'!$I:$I,"Су-27",'Таблиця 1'!$J:$J,"MK-32"))</f>
        <v/>
      </c>
      <c r="Q390">
        <f>IF($A390="","",SUMIFS('Таблиця 1'!$K:$K,'Таблиця 1'!$B:$B,$A390,'Таблиця 1'!$I:$I,"Mirage",'Таблиця 1'!$J:$J,"MK-24")+SUMIFS('Таблиця 1'!$K:$K,'Таблиця 1'!$B:$B,$A390,'Таблиця 1'!$I:$I,"F-16",'Таблиця 1'!$J:$J,"MK-24")+SUMIFS('Таблиця 1'!$K:$K,'Таблиця 1'!$B:$B,$A390,'Таблиця 1'!$I:$I,"МіГ-29",'Таблиця 1'!$J:$J,"MK-24")+SUMIFS('Таблиця 1'!$K:$K,'Таблиця 1'!$B:$B,$A390,'Таблиця 1'!$I:$I,"Су-25",'Таблиця 1'!$J:$J,"MK-24")+SUMIFS('Таблиця 1'!$K:$K,'Таблиця 1'!$B:$B,$A390,'Таблиця 1'!$I:$I,"Су-27",'Таблиця 1'!$J:$J,"MK-24"))</f>
        <v/>
      </c>
      <c r="R390">
        <f>IF($A390="","",COUNTIFS('Таблиця 1'!$B:$B,$A390,'Таблиця 1'!$I:$I,"Mirage",'Таблиця 1'!$L:$L,"Уражено")+COUNTIFS('Таблиця 1'!$B:$B,$A390,'Таблиця 1'!$I:$I,"F-16",'Таблиця 1'!$L:$L,"Уражено")+COUNTIFS('Таблиця 1'!$B:$B,$A390,'Таблиця 1'!$I:$I,"МіГ-29",'Таблиця 1'!$L:$L,"Уражено")+COUNTIFS('Таблиця 1'!$B:$B,$A390,'Таблиця 1'!$I:$I,"Су-25",'Таблиця 1'!$L:$L,"Уражено")+COUNTIFS('Таблиця 1'!$B:$B,$A390,'Таблиця 1'!$I:$I,"Су-27",'Таблиця 1'!$L:$L,"Уражено"))</f>
        <v/>
      </c>
      <c r="S390">
        <f>IF($A390="","",COUNTIFS('Таблиця 1'!$B:$B,$A390,'Таблиця 1'!$I:$I,"Mirage",'Таблиця 1'!$L:$L,"НЕ уражено")+COUNTIFS('Таблиця 1'!$B:$B,$A390,'Таблиця 1'!$I:$I,"F-16",'Таблиця 1'!$L:$L,"НЕ уражено")+COUNTIFS('Таблиця 1'!$B:$B,$A390,'Таблиця 1'!$I:$I,"МіГ-29",'Таблиця 1'!$L:$L,"НЕ уражено")+COUNTIFS('Таблиця 1'!$B:$B,$A390,'Таблиця 1'!$I:$I,"Су-25",'Таблиця 1'!$L:$L,"НЕ уражено")+COUNTIFS('Таблиця 1'!$B:$B,$A390,'Таблиця 1'!$I:$I,"Су-27",'Таблиця 1'!$L:$L,"НЕ уражено"))</f>
        <v/>
      </c>
      <c r="T390">
        <f>IF($A390="","",COUNTIFS('Таблиця 1'!$B:$B,$A390,'Таблиця 1'!$I:$I,"Mirage",'Таблиця 1'!$L:$L,"Дорозвідується")+COUNTIFS('Таблиця 1'!$B:$B,$A390,'Таблиця 1'!$I:$I,"F-16",'Таблиця 1'!$L:$L,"Дорозвідується")+COUNTIFS('Таблиця 1'!$B:$B,$A390,'Таблиця 1'!$I:$I,"МіГ-29",'Таблиця 1'!$L:$L,"Дорозвідується")+COUNTIFS('Таблиця 1'!$B:$B,$A390,'Таблиця 1'!$I:$I,"Су-25",'Таблиця 1'!$L:$L,"Дорозвідується")+COUNTIFS('Таблиця 1'!$B:$B,$A390,'Таблиця 1'!$I:$I,"Су-27",'Таблиця 1'!$L:$L,"Дорозвідується"))</f>
        <v/>
      </c>
    </row>
    <row r="391">
      <c r="A391" s="273">
        <f>IF(A390="","",IF(A390+1&gt;MAX('Таблиця 1'!$B:$B),"",A390+1))</f>
        <v/>
      </c>
      <c r="B391">
        <f>IF($A391="","",COUNTIFS('Таблиця 1'!$B:$B,$A391,'Таблиця 1'!$I:$I,"Mirage")+COUNTIFS('Таблиця 1'!$B:$B,$A391,'Таблиця 1'!$I:$I,"F-16")+COUNTIFS('Таблиця 1'!$B:$B,$A391,'Таблиця 1'!$I:$I,"МіГ-29")+COUNTIFS('Таблиця 1'!$B:$B,$A391,'Таблиця 1'!$I:$I,"Су-25")+COUNTIFS('Таблиця 1'!$B:$B,$A391,'Таблиця 1'!$I:$I,"Су-27"))</f>
        <v/>
      </c>
      <c r="C391">
        <f>IF($A391="","",COUNTIFS('Таблиця 1'!$B:$B,$A391,'Таблиця 1'!$I:$I,"Mirage"))</f>
        <v/>
      </c>
      <c r="D391">
        <f>IF($A391="","",COUNTIFS('Таблиця 1'!$B:$B,$A391,'Таблиця 1'!$I:$I,"F-16"))</f>
        <v/>
      </c>
      <c r="E391">
        <f>IF($A391="","",COUNTIFS('Таблиця 1'!$B:$B,$A391,'Таблиця 1'!$I:$I,"МіГ-29"))</f>
        <v/>
      </c>
      <c r="F391">
        <f>IF($A391="","",COUNTIFS('Таблиця 1'!$B:$B,$A391,'Таблиця 1'!$I:$I,"Су-25"))</f>
        <v/>
      </c>
      <c r="G391">
        <f>IF($A391="","",COUNTIFS('Таблиця 1'!$B:$B,$A391,'Таблиця 1'!$I:$I,"Су-27"))</f>
        <v/>
      </c>
      <c r="H391">
        <f>IF($A391="","",SUMIFS('Таблиця 1'!$K:$K,'Таблиця 1'!$B:$B,$A391,'Таблиця 1'!$I:$I,"Mirage",'Таблиця 1'!$J:$J,"AGM-88")+SUMIFS('Таблиця 1'!$K:$K,'Таблиця 1'!$B:$B,$A391,'Таблиця 1'!$I:$I,"F-16",'Таблиця 1'!$J:$J,"AGM-88")+SUMIFS('Таблиця 1'!$K:$K,'Таблиця 1'!$B:$B,$A391,'Таблиця 1'!$I:$I,"МіГ-29",'Таблиця 1'!$J:$J,"AGM-88")+SUMIFS('Таблиця 1'!$K:$K,'Таблиця 1'!$B:$B,$A391,'Таблиця 1'!$I:$I,"Су-25",'Таблиця 1'!$J:$J,"AGM-88")+SUMIFS('Таблиця 1'!$K:$K,'Таблиця 1'!$B:$B,$A391,'Таблиця 1'!$I:$I,"Су-27",'Таблиця 1'!$J:$J,"AGM-88"))</f>
        <v/>
      </c>
      <c r="I391">
        <f>IF($A391="","",SUMIFS('Таблиця 1'!$K:$K,'Таблиця 1'!$B:$B,$A391,'Таблиця 1'!$I:$I,"Mirage",'Таблиця 1'!$J:$J,"AASM-250")+SUMIFS('Таблиця 1'!$K:$K,'Таблиця 1'!$B:$B,$A391,'Таблиця 1'!$I:$I,"F-16",'Таблиця 1'!$J:$J,"AASM-250")+SUMIFS('Таблиця 1'!$K:$K,'Таблиця 1'!$B:$B,$A391,'Таблиця 1'!$I:$I,"МіГ-29",'Таблиця 1'!$J:$J,"AASM-250")+SUMIFS('Таблиця 1'!$K:$K,'Таблиця 1'!$B:$B,$A391,'Таблиця 1'!$I:$I,"Су-25",'Таблиця 1'!$J:$J,"AASM-250")+SUMIFS('Таблиця 1'!$K:$K,'Таблиця 1'!$B:$B,$A391,'Таблиця 1'!$I:$I,"Су-27",'Таблиця 1'!$J:$J,"AASM-250"))</f>
        <v/>
      </c>
      <c r="J391">
        <f>IF($A391="","",SUMIFS('Таблиця 1'!$K:$K,'Таблиця 1'!$B:$B,$A391,'Таблиця 1'!$I:$I,"Mirage",'Таблиця 1'!$J:$J,"GBU-39")+SUMIFS('Таблиця 1'!$K:$K,'Таблиця 1'!$B:$B,$A391,'Таблиця 1'!$I:$I,"F-16",'Таблиця 1'!$J:$J,"GBU-39")+SUMIFS('Таблиця 1'!$K:$K,'Таблиця 1'!$B:$B,$A391,'Таблиця 1'!$I:$I,"МіГ-29",'Таблиця 1'!$J:$J,"GBU-39")+SUMIFS('Таблиця 1'!$K:$K,'Таблиця 1'!$B:$B,$A391,'Таблиця 1'!$I:$I,"Су-25",'Таблиця 1'!$J:$J,"GBU-39")+SUMIFS('Таблиця 1'!$K:$K,'Таблиця 1'!$B:$B,$A391,'Таблиця 1'!$I:$I,"Су-27",'Таблиця 1'!$J:$J,"GBU-39"))</f>
        <v/>
      </c>
      <c r="K391">
        <f>IF($A391="","",SUMIFS('Таблиця 1'!$K:$K,'Таблиця 1'!$B:$B,$A391,'Таблиця 1'!$I:$I,"Mirage",'Таблиця 1'!$J:$J,"BLU-140")+SUMIFS('Таблиця 1'!$K:$K,'Таблиця 1'!$B:$B,$A391,'Таблиця 1'!$I:$I,"F-16",'Таблиця 1'!$J:$J,"BLU-140")+SUMIFS('Таблиця 1'!$K:$K,'Таблиця 1'!$B:$B,$A391,'Таблиця 1'!$I:$I,"МіГ-29",'Таблиця 1'!$J:$J,"BLU-140")+SUMIFS('Таблиця 1'!$K:$K,'Таблиця 1'!$B:$B,$A391,'Таблиця 1'!$I:$I,"Су-25",'Таблиця 1'!$J:$J,"BLU-140")+SUMIFS('Таблиця 1'!$K:$K,'Таблиця 1'!$B:$B,$A391,'Таблиця 1'!$I:$I,"Су-27",'Таблиця 1'!$J:$J,"BLU-140"))</f>
        <v/>
      </c>
      <c r="L391">
        <f>IF($A391="","",SUMIFS('Таблиця 1'!$K:$K,'Таблиця 1'!$B:$B,$A391,'Таблиця 1'!$I:$I,"Mirage",'Таблиця 1'!$J:$J,"GBU-65")+SUMIFS('Таблиця 1'!$K:$K,'Таблиця 1'!$B:$B,$A391,'Таблиця 1'!$I:$I,"F-16",'Таблиця 1'!$J:$J,"GBU-65")+SUMIFS('Таблиця 1'!$K:$K,'Таблиця 1'!$B:$B,$A391,'Таблиця 1'!$I:$I,"МіГ-29",'Таблиця 1'!$J:$J,"GBU-65")+SUMIFS('Таблиця 1'!$K:$K,'Таблиця 1'!$B:$B,$A391,'Таблиця 1'!$I:$I,"Су-25",'Таблиця 1'!$J:$J,"GBU-65")+SUMIFS('Таблиця 1'!$K:$K,'Таблиця 1'!$B:$B,$A391,'Таблиця 1'!$I:$I,"Су-27",'Таблиця 1'!$J:$J,"GBU-65"))</f>
        <v/>
      </c>
      <c r="M391">
        <f>IF($A391="","",SUMIFS('Таблиця 1'!$K:$K,'Таблиця 1'!$B:$B,$A391,'Таблиця 1'!$I:$I,"Mirage",'Таблиця 1'!$J:$J,"GBU-62")+SUMIFS('Таблиця 1'!$K:$K,'Таблиця 1'!$B:$B,$A391,'Таблиця 1'!$I:$I,"F-16",'Таблиця 1'!$J:$J,"GBU-62")+SUMIFS('Таблиця 1'!$K:$K,'Таблиця 1'!$B:$B,$A391,'Таблиця 1'!$I:$I,"МіГ-29",'Таблиця 1'!$J:$J,"GBU-62")+SUMIFS('Таблиця 1'!$K:$K,'Таблиця 1'!$B:$B,$A391,'Таблиця 1'!$I:$I,"Су-25",'Таблиця 1'!$J:$J,"GBU-62")+SUMIFS('Таблиця 1'!$K:$K,'Таблиця 1'!$B:$B,$A391,'Таблиця 1'!$I:$I,"Су-27",'Таблиця 1'!$J:$J,"GBU-62"))</f>
        <v/>
      </c>
      <c r="N391">
        <f>IF($A391="","",SUMIFS('Таблиця 1'!$K:$K,'Таблиця 1'!$B:$B,$A391,'Таблиця 1'!$I:$I,"Mirage",'Таблиця 1'!$J:$J,"GBU-64")+SUMIFS('Таблиця 1'!$K:$K,'Таблиця 1'!$B:$B,$A391,'Таблиця 1'!$I:$I,"F-16",'Таблиця 1'!$J:$J,"GBU-64")+SUMIFS('Таблиця 1'!$K:$K,'Таблиця 1'!$B:$B,$A391,'Таблиця 1'!$I:$I,"МіГ-29",'Таблиця 1'!$J:$J,"GBU-64")+SUMIFS('Таблиця 1'!$K:$K,'Таблиця 1'!$B:$B,$A391,'Таблиця 1'!$I:$I,"Су-25",'Таблиця 1'!$J:$J,"GBU-64")+SUMIFS('Таблиця 1'!$K:$K,'Таблиця 1'!$B:$B,$A391,'Таблиця 1'!$I:$I,"Су-27",'Таблиця 1'!$J:$J,"GBU-64"))</f>
        <v/>
      </c>
      <c r="O391">
        <f>IF($A391="","",SUMIFS('Таблиця 1'!$K:$K,'Таблиця 1'!$B:$B,$A391,'Таблиця 1'!$I:$I,"Mirage",'Таблиця 1'!$J:$J,"C-13")+SUMIFS('Таблиця 1'!$K:$K,'Таблиця 1'!$B:$B,$A391,'Таблиця 1'!$I:$I,"F-16",'Таблиця 1'!$J:$J,"C-13")+SUMIFS('Таблиця 1'!$K:$K,'Таблиця 1'!$B:$B,$A391,'Таблиця 1'!$I:$I,"МіГ-29",'Таблиця 1'!$J:$J,"C-13")+SUMIFS('Таблиця 1'!$K:$K,'Таблиця 1'!$B:$B,$A391,'Таблиця 1'!$I:$I,"Су-25",'Таблиця 1'!$J:$J,"C-13")+SUMIFS('Таблиця 1'!$K:$K,'Таблиця 1'!$B:$B,$A391,'Таблиця 1'!$I:$I,"Су-27",'Таблиця 1'!$J:$J,"C-13"))</f>
        <v/>
      </c>
      <c r="P391">
        <f>IF($A391="","",SUMIFS('Таблиця 1'!$K:$K,'Таблиця 1'!$B:$B,$A391,'Таблиця 1'!$I:$I,"Mirage",'Таблиця 1'!$J:$J,"MK-32")+SUMIFS('Таблиця 1'!$K:$K,'Таблиця 1'!$B:$B,$A391,'Таблиця 1'!$I:$I,"F-16",'Таблиця 1'!$J:$J,"MK-32")+SUMIFS('Таблиця 1'!$K:$K,'Таблиця 1'!$B:$B,$A391,'Таблиця 1'!$I:$I,"МіГ-29",'Таблиця 1'!$J:$J,"MK-32")+SUMIFS('Таблиця 1'!$K:$K,'Таблиця 1'!$B:$B,$A391,'Таблиця 1'!$I:$I,"Су-25",'Таблиця 1'!$J:$J,"MK-32")+SUMIFS('Таблиця 1'!$K:$K,'Таблиця 1'!$B:$B,$A391,'Таблиця 1'!$I:$I,"Су-27",'Таблиця 1'!$J:$J,"MK-32"))</f>
        <v/>
      </c>
      <c r="Q391">
        <f>IF($A391="","",SUMIFS('Таблиця 1'!$K:$K,'Таблиця 1'!$B:$B,$A391,'Таблиця 1'!$I:$I,"Mirage",'Таблиця 1'!$J:$J,"MK-24")+SUMIFS('Таблиця 1'!$K:$K,'Таблиця 1'!$B:$B,$A391,'Таблиця 1'!$I:$I,"F-16",'Таблиця 1'!$J:$J,"MK-24")+SUMIFS('Таблиця 1'!$K:$K,'Таблиця 1'!$B:$B,$A391,'Таблиця 1'!$I:$I,"МіГ-29",'Таблиця 1'!$J:$J,"MK-24")+SUMIFS('Таблиця 1'!$K:$K,'Таблиця 1'!$B:$B,$A391,'Таблиця 1'!$I:$I,"Су-25",'Таблиця 1'!$J:$J,"MK-24")+SUMIFS('Таблиця 1'!$K:$K,'Таблиця 1'!$B:$B,$A391,'Таблиця 1'!$I:$I,"Су-27",'Таблиця 1'!$J:$J,"MK-24"))</f>
        <v/>
      </c>
      <c r="R391">
        <f>IF($A391="","",COUNTIFS('Таблиця 1'!$B:$B,$A391,'Таблиця 1'!$I:$I,"Mirage",'Таблиця 1'!$L:$L,"Уражено")+COUNTIFS('Таблиця 1'!$B:$B,$A391,'Таблиця 1'!$I:$I,"F-16",'Таблиця 1'!$L:$L,"Уражено")+COUNTIFS('Таблиця 1'!$B:$B,$A391,'Таблиця 1'!$I:$I,"МіГ-29",'Таблиця 1'!$L:$L,"Уражено")+COUNTIFS('Таблиця 1'!$B:$B,$A391,'Таблиця 1'!$I:$I,"Су-25",'Таблиця 1'!$L:$L,"Уражено")+COUNTIFS('Таблиця 1'!$B:$B,$A391,'Таблиця 1'!$I:$I,"Су-27",'Таблиця 1'!$L:$L,"Уражено"))</f>
        <v/>
      </c>
      <c r="S391">
        <f>IF($A391="","",COUNTIFS('Таблиця 1'!$B:$B,$A391,'Таблиця 1'!$I:$I,"Mirage",'Таблиця 1'!$L:$L,"НЕ уражено")+COUNTIFS('Таблиця 1'!$B:$B,$A391,'Таблиця 1'!$I:$I,"F-16",'Таблиця 1'!$L:$L,"НЕ уражено")+COUNTIFS('Таблиця 1'!$B:$B,$A391,'Таблиця 1'!$I:$I,"МіГ-29",'Таблиця 1'!$L:$L,"НЕ уражено")+COUNTIFS('Таблиця 1'!$B:$B,$A391,'Таблиця 1'!$I:$I,"Су-25",'Таблиця 1'!$L:$L,"НЕ уражено")+COUNTIFS('Таблиця 1'!$B:$B,$A391,'Таблиця 1'!$I:$I,"Су-27",'Таблиця 1'!$L:$L,"НЕ уражено"))</f>
        <v/>
      </c>
      <c r="T391">
        <f>IF($A391="","",COUNTIFS('Таблиця 1'!$B:$B,$A391,'Таблиця 1'!$I:$I,"Mirage",'Таблиця 1'!$L:$L,"Дорозвідується")+COUNTIFS('Таблиця 1'!$B:$B,$A391,'Таблиця 1'!$I:$I,"F-16",'Таблиця 1'!$L:$L,"Дорозвідується")+COUNTIFS('Таблиця 1'!$B:$B,$A391,'Таблиця 1'!$I:$I,"МіГ-29",'Таблиця 1'!$L:$L,"Дорозвідується")+COUNTIFS('Таблиця 1'!$B:$B,$A391,'Таблиця 1'!$I:$I,"Су-25",'Таблиця 1'!$L:$L,"Дорозвідується")+COUNTIFS('Таблиця 1'!$B:$B,$A391,'Таблиця 1'!$I:$I,"Су-27",'Таблиця 1'!$L:$L,"Дорозвідується"))</f>
        <v/>
      </c>
    </row>
    <row r="392">
      <c r="A392" s="273">
        <f>IF(A391="","",IF(A391+1&gt;MAX('Таблиця 1'!$B:$B),"",A391+1))</f>
        <v/>
      </c>
      <c r="B392">
        <f>IF($A392="","",COUNTIFS('Таблиця 1'!$B:$B,$A392,'Таблиця 1'!$I:$I,"Mirage")+COUNTIFS('Таблиця 1'!$B:$B,$A392,'Таблиця 1'!$I:$I,"F-16")+COUNTIFS('Таблиця 1'!$B:$B,$A392,'Таблиця 1'!$I:$I,"МіГ-29")+COUNTIFS('Таблиця 1'!$B:$B,$A392,'Таблиця 1'!$I:$I,"Су-25")+COUNTIFS('Таблиця 1'!$B:$B,$A392,'Таблиця 1'!$I:$I,"Су-27"))</f>
        <v/>
      </c>
      <c r="C392">
        <f>IF($A392="","",COUNTIFS('Таблиця 1'!$B:$B,$A392,'Таблиця 1'!$I:$I,"Mirage"))</f>
        <v/>
      </c>
      <c r="D392">
        <f>IF($A392="","",COUNTIFS('Таблиця 1'!$B:$B,$A392,'Таблиця 1'!$I:$I,"F-16"))</f>
        <v/>
      </c>
      <c r="E392">
        <f>IF($A392="","",COUNTIFS('Таблиця 1'!$B:$B,$A392,'Таблиця 1'!$I:$I,"МіГ-29"))</f>
        <v/>
      </c>
      <c r="F392">
        <f>IF($A392="","",COUNTIFS('Таблиця 1'!$B:$B,$A392,'Таблиця 1'!$I:$I,"Су-25"))</f>
        <v/>
      </c>
      <c r="G392">
        <f>IF($A392="","",COUNTIFS('Таблиця 1'!$B:$B,$A392,'Таблиця 1'!$I:$I,"Су-27"))</f>
        <v/>
      </c>
      <c r="H392">
        <f>IF($A392="","",SUMIFS('Таблиця 1'!$K:$K,'Таблиця 1'!$B:$B,$A392,'Таблиця 1'!$I:$I,"Mirage",'Таблиця 1'!$J:$J,"AGM-88")+SUMIFS('Таблиця 1'!$K:$K,'Таблиця 1'!$B:$B,$A392,'Таблиця 1'!$I:$I,"F-16",'Таблиця 1'!$J:$J,"AGM-88")+SUMIFS('Таблиця 1'!$K:$K,'Таблиця 1'!$B:$B,$A392,'Таблиця 1'!$I:$I,"МіГ-29",'Таблиця 1'!$J:$J,"AGM-88")+SUMIFS('Таблиця 1'!$K:$K,'Таблиця 1'!$B:$B,$A392,'Таблиця 1'!$I:$I,"Су-25",'Таблиця 1'!$J:$J,"AGM-88")+SUMIFS('Таблиця 1'!$K:$K,'Таблиця 1'!$B:$B,$A392,'Таблиця 1'!$I:$I,"Су-27",'Таблиця 1'!$J:$J,"AGM-88"))</f>
        <v/>
      </c>
      <c r="I392">
        <f>IF($A392="","",SUMIFS('Таблиця 1'!$K:$K,'Таблиця 1'!$B:$B,$A392,'Таблиця 1'!$I:$I,"Mirage",'Таблиця 1'!$J:$J,"AASM-250")+SUMIFS('Таблиця 1'!$K:$K,'Таблиця 1'!$B:$B,$A392,'Таблиця 1'!$I:$I,"F-16",'Таблиця 1'!$J:$J,"AASM-250")+SUMIFS('Таблиця 1'!$K:$K,'Таблиця 1'!$B:$B,$A392,'Таблиця 1'!$I:$I,"МіГ-29",'Таблиця 1'!$J:$J,"AASM-250")+SUMIFS('Таблиця 1'!$K:$K,'Таблиця 1'!$B:$B,$A392,'Таблиця 1'!$I:$I,"Су-25",'Таблиця 1'!$J:$J,"AASM-250")+SUMIFS('Таблиця 1'!$K:$K,'Таблиця 1'!$B:$B,$A392,'Таблиця 1'!$I:$I,"Су-27",'Таблиця 1'!$J:$J,"AASM-250"))</f>
        <v/>
      </c>
      <c r="J392">
        <f>IF($A392="","",SUMIFS('Таблиця 1'!$K:$K,'Таблиця 1'!$B:$B,$A392,'Таблиця 1'!$I:$I,"Mirage",'Таблиця 1'!$J:$J,"GBU-39")+SUMIFS('Таблиця 1'!$K:$K,'Таблиця 1'!$B:$B,$A392,'Таблиця 1'!$I:$I,"F-16",'Таблиця 1'!$J:$J,"GBU-39")+SUMIFS('Таблиця 1'!$K:$K,'Таблиця 1'!$B:$B,$A392,'Таблиця 1'!$I:$I,"МіГ-29",'Таблиця 1'!$J:$J,"GBU-39")+SUMIFS('Таблиця 1'!$K:$K,'Таблиця 1'!$B:$B,$A392,'Таблиця 1'!$I:$I,"Су-25",'Таблиця 1'!$J:$J,"GBU-39")+SUMIFS('Таблиця 1'!$K:$K,'Таблиця 1'!$B:$B,$A392,'Таблиця 1'!$I:$I,"Су-27",'Таблиця 1'!$J:$J,"GBU-39"))</f>
        <v/>
      </c>
      <c r="K392">
        <f>IF($A392="","",SUMIFS('Таблиця 1'!$K:$K,'Таблиця 1'!$B:$B,$A392,'Таблиця 1'!$I:$I,"Mirage",'Таблиця 1'!$J:$J,"BLU-140")+SUMIFS('Таблиця 1'!$K:$K,'Таблиця 1'!$B:$B,$A392,'Таблиця 1'!$I:$I,"F-16",'Таблиця 1'!$J:$J,"BLU-140")+SUMIFS('Таблиця 1'!$K:$K,'Таблиця 1'!$B:$B,$A392,'Таблиця 1'!$I:$I,"МіГ-29",'Таблиця 1'!$J:$J,"BLU-140")+SUMIFS('Таблиця 1'!$K:$K,'Таблиця 1'!$B:$B,$A392,'Таблиця 1'!$I:$I,"Су-25",'Таблиця 1'!$J:$J,"BLU-140")+SUMIFS('Таблиця 1'!$K:$K,'Таблиця 1'!$B:$B,$A392,'Таблиця 1'!$I:$I,"Су-27",'Таблиця 1'!$J:$J,"BLU-140"))</f>
        <v/>
      </c>
      <c r="L392">
        <f>IF($A392="","",SUMIFS('Таблиця 1'!$K:$K,'Таблиця 1'!$B:$B,$A392,'Таблиця 1'!$I:$I,"Mirage",'Таблиця 1'!$J:$J,"GBU-65")+SUMIFS('Таблиця 1'!$K:$K,'Таблиця 1'!$B:$B,$A392,'Таблиця 1'!$I:$I,"F-16",'Таблиця 1'!$J:$J,"GBU-65")+SUMIFS('Таблиця 1'!$K:$K,'Таблиця 1'!$B:$B,$A392,'Таблиця 1'!$I:$I,"МіГ-29",'Таблиця 1'!$J:$J,"GBU-65")+SUMIFS('Таблиця 1'!$K:$K,'Таблиця 1'!$B:$B,$A392,'Таблиця 1'!$I:$I,"Су-25",'Таблиця 1'!$J:$J,"GBU-65")+SUMIFS('Таблиця 1'!$K:$K,'Таблиця 1'!$B:$B,$A392,'Таблиця 1'!$I:$I,"Су-27",'Таблиця 1'!$J:$J,"GBU-65"))</f>
        <v/>
      </c>
      <c r="M392">
        <f>IF($A392="","",SUMIFS('Таблиця 1'!$K:$K,'Таблиця 1'!$B:$B,$A392,'Таблиця 1'!$I:$I,"Mirage",'Таблиця 1'!$J:$J,"GBU-62")+SUMIFS('Таблиця 1'!$K:$K,'Таблиця 1'!$B:$B,$A392,'Таблиця 1'!$I:$I,"F-16",'Таблиця 1'!$J:$J,"GBU-62")+SUMIFS('Таблиця 1'!$K:$K,'Таблиця 1'!$B:$B,$A392,'Таблиця 1'!$I:$I,"МіГ-29",'Таблиця 1'!$J:$J,"GBU-62")+SUMIFS('Таблиця 1'!$K:$K,'Таблиця 1'!$B:$B,$A392,'Таблиця 1'!$I:$I,"Су-25",'Таблиця 1'!$J:$J,"GBU-62")+SUMIFS('Таблиця 1'!$K:$K,'Таблиця 1'!$B:$B,$A392,'Таблиця 1'!$I:$I,"Су-27",'Таблиця 1'!$J:$J,"GBU-62"))</f>
        <v/>
      </c>
      <c r="N392">
        <f>IF($A392="","",SUMIFS('Таблиця 1'!$K:$K,'Таблиця 1'!$B:$B,$A392,'Таблиця 1'!$I:$I,"Mirage",'Таблиця 1'!$J:$J,"GBU-64")+SUMIFS('Таблиця 1'!$K:$K,'Таблиця 1'!$B:$B,$A392,'Таблиця 1'!$I:$I,"F-16",'Таблиця 1'!$J:$J,"GBU-64")+SUMIFS('Таблиця 1'!$K:$K,'Таблиця 1'!$B:$B,$A392,'Таблиця 1'!$I:$I,"МіГ-29",'Таблиця 1'!$J:$J,"GBU-64")+SUMIFS('Таблиця 1'!$K:$K,'Таблиця 1'!$B:$B,$A392,'Таблиця 1'!$I:$I,"Су-25",'Таблиця 1'!$J:$J,"GBU-64")+SUMIFS('Таблиця 1'!$K:$K,'Таблиця 1'!$B:$B,$A392,'Таблиця 1'!$I:$I,"Су-27",'Таблиця 1'!$J:$J,"GBU-64"))</f>
        <v/>
      </c>
      <c r="O392">
        <f>IF($A392="","",SUMIFS('Таблиця 1'!$K:$K,'Таблиця 1'!$B:$B,$A392,'Таблиця 1'!$I:$I,"Mirage",'Таблиця 1'!$J:$J,"C-13")+SUMIFS('Таблиця 1'!$K:$K,'Таблиця 1'!$B:$B,$A392,'Таблиця 1'!$I:$I,"F-16",'Таблиця 1'!$J:$J,"C-13")+SUMIFS('Таблиця 1'!$K:$K,'Таблиця 1'!$B:$B,$A392,'Таблиця 1'!$I:$I,"МіГ-29",'Таблиця 1'!$J:$J,"C-13")+SUMIFS('Таблиця 1'!$K:$K,'Таблиця 1'!$B:$B,$A392,'Таблиця 1'!$I:$I,"Су-25",'Таблиця 1'!$J:$J,"C-13")+SUMIFS('Таблиця 1'!$K:$K,'Таблиця 1'!$B:$B,$A392,'Таблиця 1'!$I:$I,"Су-27",'Таблиця 1'!$J:$J,"C-13"))</f>
        <v/>
      </c>
      <c r="P392">
        <f>IF($A392="","",SUMIFS('Таблиця 1'!$K:$K,'Таблиця 1'!$B:$B,$A392,'Таблиця 1'!$I:$I,"Mirage",'Таблиця 1'!$J:$J,"MK-32")+SUMIFS('Таблиця 1'!$K:$K,'Таблиця 1'!$B:$B,$A392,'Таблиця 1'!$I:$I,"F-16",'Таблиця 1'!$J:$J,"MK-32")+SUMIFS('Таблиця 1'!$K:$K,'Таблиця 1'!$B:$B,$A392,'Таблиця 1'!$I:$I,"МіГ-29",'Таблиця 1'!$J:$J,"MK-32")+SUMIFS('Таблиця 1'!$K:$K,'Таблиця 1'!$B:$B,$A392,'Таблиця 1'!$I:$I,"Су-25",'Таблиця 1'!$J:$J,"MK-32")+SUMIFS('Таблиця 1'!$K:$K,'Таблиця 1'!$B:$B,$A392,'Таблиця 1'!$I:$I,"Су-27",'Таблиця 1'!$J:$J,"MK-32"))</f>
        <v/>
      </c>
      <c r="Q392">
        <f>IF($A392="","",SUMIFS('Таблиця 1'!$K:$K,'Таблиця 1'!$B:$B,$A392,'Таблиця 1'!$I:$I,"Mirage",'Таблиця 1'!$J:$J,"MK-24")+SUMIFS('Таблиця 1'!$K:$K,'Таблиця 1'!$B:$B,$A392,'Таблиця 1'!$I:$I,"F-16",'Таблиця 1'!$J:$J,"MK-24")+SUMIFS('Таблиця 1'!$K:$K,'Таблиця 1'!$B:$B,$A392,'Таблиця 1'!$I:$I,"МіГ-29",'Таблиця 1'!$J:$J,"MK-24")+SUMIFS('Таблиця 1'!$K:$K,'Таблиця 1'!$B:$B,$A392,'Таблиця 1'!$I:$I,"Су-25",'Таблиця 1'!$J:$J,"MK-24")+SUMIFS('Таблиця 1'!$K:$K,'Таблиця 1'!$B:$B,$A392,'Таблиця 1'!$I:$I,"Су-27",'Таблиця 1'!$J:$J,"MK-24"))</f>
        <v/>
      </c>
      <c r="R392">
        <f>IF($A392="","",COUNTIFS('Таблиця 1'!$B:$B,$A392,'Таблиця 1'!$I:$I,"Mirage",'Таблиця 1'!$L:$L,"Уражено")+COUNTIFS('Таблиця 1'!$B:$B,$A392,'Таблиця 1'!$I:$I,"F-16",'Таблиця 1'!$L:$L,"Уражено")+COUNTIFS('Таблиця 1'!$B:$B,$A392,'Таблиця 1'!$I:$I,"МіГ-29",'Таблиця 1'!$L:$L,"Уражено")+COUNTIFS('Таблиця 1'!$B:$B,$A392,'Таблиця 1'!$I:$I,"Су-25",'Таблиця 1'!$L:$L,"Уражено")+COUNTIFS('Таблиця 1'!$B:$B,$A392,'Таблиця 1'!$I:$I,"Су-27",'Таблиця 1'!$L:$L,"Уражено"))</f>
        <v/>
      </c>
      <c r="S392">
        <f>IF($A392="","",COUNTIFS('Таблиця 1'!$B:$B,$A392,'Таблиця 1'!$I:$I,"Mirage",'Таблиця 1'!$L:$L,"НЕ уражено")+COUNTIFS('Таблиця 1'!$B:$B,$A392,'Таблиця 1'!$I:$I,"F-16",'Таблиця 1'!$L:$L,"НЕ уражено")+COUNTIFS('Таблиця 1'!$B:$B,$A392,'Таблиця 1'!$I:$I,"МіГ-29",'Таблиця 1'!$L:$L,"НЕ уражено")+COUNTIFS('Таблиця 1'!$B:$B,$A392,'Таблиця 1'!$I:$I,"Су-25",'Таблиця 1'!$L:$L,"НЕ уражено")+COUNTIFS('Таблиця 1'!$B:$B,$A392,'Таблиця 1'!$I:$I,"Су-27",'Таблиця 1'!$L:$L,"НЕ уражено"))</f>
        <v/>
      </c>
      <c r="T392">
        <f>IF($A392="","",COUNTIFS('Таблиця 1'!$B:$B,$A392,'Таблиця 1'!$I:$I,"Mirage",'Таблиця 1'!$L:$L,"Дорозвідується")+COUNTIFS('Таблиця 1'!$B:$B,$A392,'Таблиця 1'!$I:$I,"F-16",'Таблиця 1'!$L:$L,"Дорозвідується")+COUNTIFS('Таблиця 1'!$B:$B,$A392,'Таблиця 1'!$I:$I,"МіГ-29",'Таблиця 1'!$L:$L,"Дорозвідується")+COUNTIFS('Таблиця 1'!$B:$B,$A392,'Таблиця 1'!$I:$I,"Су-25",'Таблиця 1'!$L:$L,"Дорозвідується")+COUNTIFS('Таблиця 1'!$B:$B,$A392,'Таблиця 1'!$I:$I,"Су-27",'Таблиця 1'!$L:$L,"Дорозвідується"))</f>
        <v/>
      </c>
    </row>
    <row r="393">
      <c r="A393" s="273">
        <f>IF(A392="","",IF(A392+1&gt;MAX('Таблиця 1'!$B:$B),"",A392+1))</f>
        <v/>
      </c>
      <c r="B393">
        <f>IF($A393="","",COUNTIFS('Таблиця 1'!$B:$B,$A393,'Таблиця 1'!$I:$I,"Mirage")+COUNTIFS('Таблиця 1'!$B:$B,$A393,'Таблиця 1'!$I:$I,"F-16")+COUNTIFS('Таблиця 1'!$B:$B,$A393,'Таблиця 1'!$I:$I,"МіГ-29")+COUNTIFS('Таблиця 1'!$B:$B,$A393,'Таблиця 1'!$I:$I,"Су-25")+COUNTIFS('Таблиця 1'!$B:$B,$A393,'Таблиця 1'!$I:$I,"Су-27"))</f>
        <v/>
      </c>
      <c r="C393">
        <f>IF($A393="","",COUNTIFS('Таблиця 1'!$B:$B,$A393,'Таблиця 1'!$I:$I,"Mirage"))</f>
        <v/>
      </c>
      <c r="D393">
        <f>IF($A393="","",COUNTIFS('Таблиця 1'!$B:$B,$A393,'Таблиця 1'!$I:$I,"F-16"))</f>
        <v/>
      </c>
      <c r="E393">
        <f>IF($A393="","",COUNTIFS('Таблиця 1'!$B:$B,$A393,'Таблиця 1'!$I:$I,"МіГ-29"))</f>
        <v/>
      </c>
      <c r="F393">
        <f>IF($A393="","",COUNTIFS('Таблиця 1'!$B:$B,$A393,'Таблиця 1'!$I:$I,"Су-25"))</f>
        <v/>
      </c>
      <c r="G393">
        <f>IF($A393="","",COUNTIFS('Таблиця 1'!$B:$B,$A393,'Таблиця 1'!$I:$I,"Су-27"))</f>
        <v/>
      </c>
      <c r="H393">
        <f>IF($A393="","",SUMIFS('Таблиця 1'!$K:$K,'Таблиця 1'!$B:$B,$A393,'Таблиця 1'!$I:$I,"Mirage",'Таблиця 1'!$J:$J,"AGM-88")+SUMIFS('Таблиця 1'!$K:$K,'Таблиця 1'!$B:$B,$A393,'Таблиця 1'!$I:$I,"F-16",'Таблиця 1'!$J:$J,"AGM-88")+SUMIFS('Таблиця 1'!$K:$K,'Таблиця 1'!$B:$B,$A393,'Таблиця 1'!$I:$I,"МіГ-29",'Таблиця 1'!$J:$J,"AGM-88")+SUMIFS('Таблиця 1'!$K:$K,'Таблиця 1'!$B:$B,$A393,'Таблиця 1'!$I:$I,"Су-25",'Таблиця 1'!$J:$J,"AGM-88")+SUMIFS('Таблиця 1'!$K:$K,'Таблиця 1'!$B:$B,$A393,'Таблиця 1'!$I:$I,"Су-27",'Таблиця 1'!$J:$J,"AGM-88"))</f>
        <v/>
      </c>
      <c r="I393">
        <f>IF($A393="","",SUMIFS('Таблиця 1'!$K:$K,'Таблиця 1'!$B:$B,$A393,'Таблиця 1'!$I:$I,"Mirage",'Таблиця 1'!$J:$J,"AASM-250")+SUMIFS('Таблиця 1'!$K:$K,'Таблиця 1'!$B:$B,$A393,'Таблиця 1'!$I:$I,"F-16",'Таблиця 1'!$J:$J,"AASM-250")+SUMIFS('Таблиця 1'!$K:$K,'Таблиця 1'!$B:$B,$A393,'Таблиця 1'!$I:$I,"МіГ-29",'Таблиця 1'!$J:$J,"AASM-250")+SUMIFS('Таблиця 1'!$K:$K,'Таблиця 1'!$B:$B,$A393,'Таблиця 1'!$I:$I,"Су-25",'Таблиця 1'!$J:$J,"AASM-250")+SUMIFS('Таблиця 1'!$K:$K,'Таблиця 1'!$B:$B,$A393,'Таблиця 1'!$I:$I,"Су-27",'Таблиця 1'!$J:$J,"AASM-250"))</f>
        <v/>
      </c>
      <c r="J393">
        <f>IF($A393="","",SUMIFS('Таблиця 1'!$K:$K,'Таблиця 1'!$B:$B,$A393,'Таблиця 1'!$I:$I,"Mirage",'Таблиця 1'!$J:$J,"GBU-39")+SUMIFS('Таблиця 1'!$K:$K,'Таблиця 1'!$B:$B,$A393,'Таблиця 1'!$I:$I,"F-16",'Таблиця 1'!$J:$J,"GBU-39")+SUMIFS('Таблиця 1'!$K:$K,'Таблиця 1'!$B:$B,$A393,'Таблиця 1'!$I:$I,"МіГ-29",'Таблиця 1'!$J:$J,"GBU-39")+SUMIFS('Таблиця 1'!$K:$K,'Таблиця 1'!$B:$B,$A393,'Таблиця 1'!$I:$I,"Су-25",'Таблиця 1'!$J:$J,"GBU-39")+SUMIFS('Таблиця 1'!$K:$K,'Таблиця 1'!$B:$B,$A393,'Таблиця 1'!$I:$I,"Су-27",'Таблиця 1'!$J:$J,"GBU-39"))</f>
        <v/>
      </c>
      <c r="K393">
        <f>IF($A393="","",SUMIFS('Таблиця 1'!$K:$K,'Таблиця 1'!$B:$B,$A393,'Таблиця 1'!$I:$I,"Mirage",'Таблиця 1'!$J:$J,"BLU-140")+SUMIFS('Таблиця 1'!$K:$K,'Таблиця 1'!$B:$B,$A393,'Таблиця 1'!$I:$I,"F-16",'Таблиця 1'!$J:$J,"BLU-140")+SUMIFS('Таблиця 1'!$K:$K,'Таблиця 1'!$B:$B,$A393,'Таблиця 1'!$I:$I,"МіГ-29",'Таблиця 1'!$J:$J,"BLU-140")+SUMIFS('Таблиця 1'!$K:$K,'Таблиця 1'!$B:$B,$A393,'Таблиця 1'!$I:$I,"Су-25",'Таблиця 1'!$J:$J,"BLU-140")+SUMIFS('Таблиця 1'!$K:$K,'Таблиця 1'!$B:$B,$A393,'Таблиця 1'!$I:$I,"Су-27",'Таблиця 1'!$J:$J,"BLU-140"))</f>
        <v/>
      </c>
      <c r="L393">
        <f>IF($A393="","",SUMIFS('Таблиця 1'!$K:$K,'Таблиця 1'!$B:$B,$A393,'Таблиця 1'!$I:$I,"Mirage",'Таблиця 1'!$J:$J,"GBU-65")+SUMIFS('Таблиця 1'!$K:$K,'Таблиця 1'!$B:$B,$A393,'Таблиця 1'!$I:$I,"F-16",'Таблиця 1'!$J:$J,"GBU-65")+SUMIFS('Таблиця 1'!$K:$K,'Таблиця 1'!$B:$B,$A393,'Таблиця 1'!$I:$I,"МіГ-29",'Таблиця 1'!$J:$J,"GBU-65")+SUMIFS('Таблиця 1'!$K:$K,'Таблиця 1'!$B:$B,$A393,'Таблиця 1'!$I:$I,"Су-25",'Таблиця 1'!$J:$J,"GBU-65")+SUMIFS('Таблиця 1'!$K:$K,'Таблиця 1'!$B:$B,$A393,'Таблиця 1'!$I:$I,"Су-27",'Таблиця 1'!$J:$J,"GBU-65"))</f>
        <v/>
      </c>
      <c r="M393">
        <f>IF($A393="","",SUMIFS('Таблиця 1'!$K:$K,'Таблиця 1'!$B:$B,$A393,'Таблиця 1'!$I:$I,"Mirage",'Таблиця 1'!$J:$J,"GBU-62")+SUMIFS('Таблиця 1'!$K:$K,'Таблиця 1'!$B:$B,$A393,'Таблиця 1'!$I:$I,"F-16",'Таблиця 1'!$J:$J,"GBU-62")+SUMIFS('Таблиця 1'!$K:$K,'Таблиця 1'!$B:$B,$A393,'Таблиця 1'!$I:$I,"МіГ-29",'Таблиця 1'!$J:$J,"GBU-62")+SUMIFS('Таблиця 1'!$K:$K,'Таблиця 1'!$B:$B,$A393,'Таблиця 1'!$I:$I,"Су-25",'Таблиця 1'!$J:$J,"GBU-62")+SUMIFS('Таблиця 1'!$K:$K,'Таблиця 1'!$B:$B,$A393,'Таблиця 1'!$I:$I,"Су-27",'Таблиця 1'!$J:$J,"GBU-62"))</f>
        <v/>
      </c>
      <c r="N393">
        <f>IF($A393="","",SUMIFS('Таблиця 1'!$K:$K,'Таблиця 1'!$B:$B,$A393,'Таблиця 1'!$I:$I,"Mirage",'Таблиця 1'!$J:$J,"GBU-64")+SUMIFS('Таблиця 1'!$K:$K,'Таблиця 1'!$B:$B,$A393,'Таблиця 1'!$I:$I,"F-16",'Таблиця 1'!$J:$J,"GBU-64")+SUMIFS('Таблиця 1'!$K:$K,'Таблиця 1'!$B:$B,$A393,'Таблиця 1'!$I:$I,"МіГ-29",'Таблиця 1'!$J:$J,"GBU-64")+SUMIFS('Таблиця 1'!$K:$K,'Таблиця 1'!$B:$B,$A393,'Таблиця 1'!$I:$I,"Су-25",'Таблиця 1'!$J:$J,"GBU-64")+SUMIFS('Таблиця 1'!$K:$K,'Таблиця 1'!$B:$B,$A393,'Таблиця 1'!$I:$I,"Су-27",'Таблиця 1'!$J:$J,"GBU-64"))</f>
        <v/>
      </c>
      <c r="O393">
        <f>IF($A393="","",SUMIFS('Таблиця 1'!$K:$K,'Таблиця 1'!$B:$B,$A393,'Таблиця 1'!$I:$I,"Mirage",'Таблиця 1'!$J:$J,"C-13")+SUMIFS('Таблиця 1'!$K:$K,'Таблиця 1'!$B:$B,$A393,'Таблиця 1'!$I:$I,"F-16",'Таблиця 1'!$J:$J,"C-13")+SUMIFS('Таблиця 1'!$K:$K,'Таблиця 1'!$B:$B,$A393,'Таблиця 1'!$I:$I,"МіГ-29",'Таблиця 1'!$J:$J,"C-13")+SUMIFS('Таблиця 1'!$K:$K,'Таблиця 1'!$B:$B,$A393,'Таблиця 1'!$I:$I,"Су-25",'Таблиця 1'!$J:$J,"C-13")+SUMIFS('Таблиця 1'!$K:$K,'Таблиця 1'!$B:$B,$A393,'Таблиця 1'!$I:$I,"Су-27",'Таблиця 1'!$J:$J,"C-13"))</f>
        <v/>
      </c>
      <c r="P393">
        <f>IF($A393="","",SUMIFS('Таблиця 1'!$K:$K,'Таблиця 1'!$B:$B,$A393,'Таблиця 1'!$I:$I,"Mirage",'Таблиця 1'!$J:$J,"MK-32")+SUMIFS('Таблиця 1'!$K:$K,'Таблиця 1'!$B:$B,$A393,'Таблиця 1'!$I:$I,"F-16",'Таблиця 1'!$J:$J,"MK-32")+SUMIFS('Таблиця 1'!$K:$K,'Таблиця 1'!$B:$B,$A393,'Таблиця 1'!$I:$I,"МіГ-29",'Таблиця 1'!$J:$J,"MK-32")+SUMIFS('Таблиця 1'!$K:$K,'Таблиця 1'!$B:$B,$A393,'Таблиця 1'!$I:$I,"Су-25",'Таблиця 1'!$J:$J,"MK-32")+SUMIFS('Таблиця 1'!$K:$K,'Таблиця 1'!$B:$B,$A393,'Таблиця 1'!$I:$I,"Су-27",'Таблиця 1'!$J:$J,"MK-32"))</f>
        <v/>
      </c>
      <c r="Q393">
        <f>IF($A393="","",SUMIFS('Таблиця 1'!$K:$K,'Таблиця 1'!$B:$B,$A393,'Таблиця 1'!$I:$I,"Mirage",'Таблиця 1'!$J:$J,"MK-24")+SUMIFS('Таблиця 1'!$K:$K,'Таблиця 1'!$B:$B,$A393,'Таблиця 1'!$I:$I,"F-16",'Таблиця 1'!$J:$J,"MK-24")+SUMIFS('Таблиця 1'!$K:$K,'Таблиця 1'!$B:$B,$A393,'Таблиця 1'!$I:$I,"МіГ-29",'Таблиця 1'!$J:$J,"MK-24")+SUMIFS('Таблиця 1'!$K:$K,'Таблиця 1'!$B:$B,$A393,'Таблиця 1'!$I:$I,"Су-25",'Таблиця 1'!$J:$J,"MK-24")+SUMIFS('Таблиця 1'!$K:$K,'Таблиця 1'!$B:$B,$A393,'Таблиця 1'!$I:$I,"Су-27",'Таблиця 1'!$J:$J,"MK-24"))</f>
        <v/>
      </c>
      <c r="R393">
        <f>IF($A393="","",COUNTIFS('Таблиця 1'!$B:$B,$A393,'Таблиця 1'!$I:$I,"Mirage",'Таблиця 1'!$L:$L,"Уражено")+COUNTIFS('Таблиця 1'!$B:$B,$A393,'Таблиця 1'!$I:$I,"F-16",'Таблиця 1'!$L:$L,"Уражено")+COUNTIFS('Таблиця 1'!$B:$B,$A393,'Таблиця 1'!$I:$I,"МіГ-29",'Таблиця 1'!$L:$L,"Уражено")+COUNTIFS('Таблиця 1'!$B:$B,$A393,'Таблиця 1'!$I:$I,"Су-25",'Таблиця 1'!$L:$L,"Уражено")+COUNTIFS('Таблиця 1'!$B:$B,$A393,'Таблиця 1'!$I:$I,"Су-27",'Таблиця 1'!$L:$L,"Уражено"))</f>
        <v/>
      </c>
      <c r="S393">
        <f>IF($A393="","",COUNTIFS('Таблиця 1'!$B:$B,$A393,'Таблиця 1'!$I:$I,"Mirage",'Таблиця 1'!$L:$L,"НЕ уражено")+COUNTIFS('Таблиця 1'!$B:$B,$A393,'Таблиця 1'!$I:$I,"F-16",'Таблиця 1'!$L:$L,"НЕ уражено")+COUNTIFS('Таблиця 1'!$B:$B,$A393,'Таблиця 1'!$I:$I,"МіГ-29",'Таблиця 1'!$L:$L,"НЕ уражено")+COUNTIFS('Таблиця 1'!$B:$B,$A393,'Таблиця 1'!$I:$I,"Су-25",'Таблиця 1'!$L:$L,"НЕ уражено")+COUNTIFS('Таблиця 1'!$B:$B,$A393,'Таблиця 1'!$I:$I,"Су-27",'Таблиця 1'!$L:$L,"НЕ уражено"))</f>
        <v/>
      </c>
      <c r="T393">
        <f>IF($A393="","",COUNTIFS('Таблиця 1'!$B:$B,$A393,'Таблиця 1'!$I:$I,"Mirage",'Таблиця 1'!$L:$L,"Дорозвідується")+COUNTIFS('Таблиця 1'!$B:$B,$A393,'Таблиця 1'!$I:$I,"F-16",'Таблиця 1'!$L:$L,"Дорозвідується")+COUNTIFS('Таблиця 1'!$B:$B,$A393,'Таблиця 1'!$I:$I,"МіГ-29",'Таблиця 1'!$L:$L,"Дорозвідується")+COUNTIFS('Таблиця 1'!$B:$B,$A393,'Таблиця 1'!$I:$I,"Су-25",'Таблиця 1'!$L:$L,"Дорозвідується")+COUNTIFS('Таблиця 1'!$B:$B,$A393,'Таблиця 1'!$I:$I,"Су-27",'Таблиця 1'!$L:$L,"Дорозвідується"))</f>
        <v/>
      </c>
    </row>
    <row r="394">
      <c r="A394" s="273">
        <f>IF(A393="","",IF(A393+1&gt;MAX('Таблиця 1'!$B:$B),"",A393+1))</f>
        <v/>
      </c>
      <c r="B394">
        <f>IF($A394="","",COUNTIFS('Таблиця 1'!$B:$B,$A394,'Таблиця 1'!$I:$I,"Mirage")+COUNTIFS('Таблиця 1'!$B:$B,$A394,'Таблиця 1'!$I:$I,"F-16")+COUNTIFS('Таблиця 1'!$B:$B,$A394,'Таблиця 1'!$I:$I,"МіГ-29")+COUNTIFS('Таблиця 1'!$B:$B,$A394,'Таблиця 1'!$I:$I,"Су-25")+COUNTIFS('Таблиця 1'!$B:$B,$A394,'Таблиця 1'!$I:$I,"Су-27"))</f>
        <v/>
      </c>
      <c r="C394">
        <f>IF($A394="","",COUNTIFS('Таблиця 1'!$B:$B,$A394,'Таблиця 1'!$I:$I,"Mirage"))</f>
        <v/>
      </c>
      <c r="D394">
        <f>IF($A394="","",COUNTIFS('Таблиця 1'!$B:$B,$A394,'Таблиця 1'!$I:$I,"F-16"))</f>
        <v/>
      </c>
      <c r="E394">
        <f>IF($A394="","",COUNTIFS('Таблиця 1'!$B:$B,$A394,'Таблиця 1'!$I:$I,"МіГ-29"))</f>
        <v/>
      </c>
      <c r="F394">
        <f>IF($A394="","",COUNTIFS('Таблиця 1'!$B:$B,$A394,'Таблиця 1'!$I:$I,"Су-25"))</f>
        <v/>
      </c>
      <c r="G394">
        <f>IF($A394="","",COUNTIFS('Таблиця 1'!$B:$B,$A394,'Таблиця 1'!$I:$I,"Су-27"))</f>
        <v/>
      </c>
      <c r="H394">
        <f>IF($A394="","",SUMIFS('Таблиця 1'!$K:$K,'Таблиця 1'!$B:$B,$A394,'Таблиця 1'!$I:$I,"Mirage",'Таблиця 1'!$J:$J,"AGM-88")+SUMIFS('Таблиця 1'!$K:$K,'Таблиця 1'!$B:$B,$A394,'Таблиця 1'!$I:$I,"F-16",'Таблиця 1'!$J:$J,"AGM-88")+SUMIFS('Таблиця 1'!$K:$K,'Таблиця 1'!$B:$B,$A394,'Таблиця 1'!$I:$I,"МіГ-29",'Таблиця 1'!$J:$J,"AGM-88")+SUMIFS('Таблиця 1'!$K:$K,'Таблиця 1'!$B:$B,$A394,'Таблиця 1'!$I:$I,"Су-25",'Таблиця 1'!$J:$J,"AGM-88")+SUMIFS('Таблиця 1'!$K:$K,'Таблиця 1'!$B:$B,$A394,'Таблиця 1'!$I:$I,"Су-27",'Таблиця 1'!$J:$J,"AGM-88"))</f>
        <v/>
      </c>
      <c r="I394">
        <f>IF($A394="","",SUMIFS('Таблиця 1'!$K:$K,'Таблиця 1'!$B:$B,$A394,'Таблиця 1'!$I:$I,"Mirage",'Таблиця 1'!$J:$J,"AASM-250")+SUMIFS('Таблиця 1'!$K:$K,'Таблиця 1'!$B:$B,$A394,'Таблиця 1'!$I:$I,"F-16",'Таблиця 1'!$J:$J,"AASM-250")+SUMIFS('Таблиця 1'!$K:$K,'Таблиця 1'!$B:$B,$A394,'Таблиця 1'!$I:$I,"МіГ-29",'Таблиця 1'!$J:$J,"AASM-250")+SUMIFS('Таблиця 1'!$K:$K,'Таблиця 1'!$B:$B,$A394,'Таблиця 1'!$I:$I,"Су-25",'Таблиця 1'!$J:$J,"AASM-250")+SUMIFS('Таблиця 1'!$K:$K,'Таблиця 1'!$B:$B,$A394,'Таблиця 1'!$I:$I,"Су-27",'Таблиця 1'!$J:$J,"AASM-250"))</f>
        <v/>
      </c>
      <c r="J394">
        <f>IF($A394="","",SUMIFS('Таблиця 1'!$K:$K,'Таблиця 1'!$B:$B,$A394,'Таблиця 1'!$I:$I,"Mirage",'Таблиця 1'!$J:$J,"GBU-39")+SUMIFS('Таблиця 1'!$K:$K,'Таблиця 1'!$B:$B,$A394,'Таблиця 1'!$I:$I,"F-16",'Таблиця 1'!$J:$J,"GBU-39")+SUMIFS('Таблиця 1'!$K:$K,'Таблиця 1'!$B:$B,$A394,'Таблиця 1'!$I:$I,"МіГ-29",'Таблиця 1'!$J:$J,"GBU-39")+SUMIFS('Таблиця 1'!$K:$K,'Таблиця 1'!$B:$B,$A394,'Таблиця 1'!$I:$I,"Су-25",'Таблиця 1'!$J:$J,"GBU-39")+SUMIFS('Таблиця 1'!$K:$K,'Таблиця 1'!$B:$B,$A394,'Таблиця 1'!$I:$I,"Су-27",'Таблиця 1'!$J:$J,"GBU-39"))</f>
        <v/>
      </c>
      <c r="K394">
        <f>IF($A394="","",SUMIFS('Таблиця 1'!$K:$K,'Таблиця 1'!$B:$B,$A394,'Таблиця 1'!$I:$I,"Mirage",'Таблиця 1'!$J:$J,"BLU-140")+SUMIFS('Таблиця 1'!$K:$K,'Таблиця 1'!$B:$B,$A394,'Таблиця 1'!$I:$I,"F-16",'Таблиця 1'!$J:$J,"BLU-140")+SUMIFS('Таблиця 1'!$K:$K,'Таблиця 1'!$B:$B,$A394,'Таблиця 1'!$I:$I,"МіГ-29",'Таблиця 1'!$J:$J,"BLU-140")+SUMIFS('Таблиця 1'!$K:$K,'Таблиця 1'!$B:$B,$A394,'Таблиця 1'!$I:$I,"Су-25",'Таблиця 1'!$J:$J,"BLU-140")+SUMIFS('Таблиця 1'!$K:$K,'Таблиця 1'!$B:$B,$A394,'Таблиця 1'!$I:$I,"Су-27",'Таблиця 1'!$J:$J,"BLU-140"))</f>
        <v/>
      </c>
      <c r="L394">
        <f>IF($A394="","",SUMIFS('Таблиця 1'!$K:$K,'Таблиця 1'!$B:$B,$A394,'Таблиця 1'!$I:$I,"Mirage",'Таблиця 1'!$J:$J,"GBU-65")+SUMIFS('Таблиця 1'!$K:$K,'Таблиця 1'!$B:$B,$A394,'Таблиця 1'!$I:$I,"F-16",'Таблиця 1'!$J:$J,"GBU-65")+SUMIFS('Таблиця 1'!$K:$K,'Таблиця 1'!$B:$B,$A394,'Таблиця 1'!$I:$I,"МіГ-29",'Таблиця 1'!$J:$J,"GBU-65")+SUMIFS('Таблиця 1'!$K:$K,'Таблиця 1'!$B:$B,$A394,'Таблиця 1'!$I:$I,"Су-25",'Таблиця 1'!$J:$J,"GBU-65")+SUMIFS('Таблиця 1'!$K:$K,'Таблиця 1'!$B:$B,$A394,'Таблиця 1'!$I:$I,"Су-27",'Таблиця 1'!$J:$J,"GBU-65"))</f>
        <v/>
      </c>
      <c r="M394">
        <f>IF($A394="","",SUMIFS('Таблиця 1'!$K:$K,'Таблиця 1'!$B:$B,$A394,'Таблиця 1'!$I:$I,"Mirage",'Таблиця 1'!$J:$J,"GBU-62")+SUMIFS('Таблиця 1'!$K:$K,'Таблиця 1'!$B:$B,$A394,'Таблиця 1'!$I:$I,"F-16",'Таблиця 1'!$J:$J,"GBU-62")+SUMIFS('Таблиця 1'!$K:$K,'Таблиця 1'!$B:$B,$A394,'Таблиця 1'!$I:$I,"МіГ-29",'Таблиця 1'!$J:$J,"GBU-62")+SUMIFS('Таблиця 1'!$K:$K,'Таблиця 1'!$B:$B,$A394,'Таблиця 1'!$I:$I,"Су-25",'Таблиця 1'!$J:$J,"GBU-62")+SUMIFS('Таблиця 1'!$K:$K,'Таблиця 1'!$B:$B,$A394,'Таблиця 1'!$I:$I,"Су-27",'Таблиця 1'!$J:$J,"GBU-62"))</f>
        <v/>
      </c>
      <c r="N394">
        <f>IF($A394="","",SUMIFS('Таблиця 1'!$K:$K,'Таблиця 1'!$B:$B,$A394,'Таблиця 1'!$I:$I,"Mirage",'Таблиця 1'!$J:$J,"GBU-64")+SUMIFS('Таблиця 1'!$K:$K,'Таблиця 1'!$B:$B,$A394,'Таблиця 1'!$I:$I,"F-16",'Таблиця 1'!$J:$J,"GBU-64")+SUMIFS('Таблиця 1'!$K:$K,'Таблиця 1'!$B:$B,$A394,'Таблиця 1'!$I:$I,"МіГ-29",'Таблиця 1'!$J:$J,"GBU-64")+SUMIFS('Таблиця 1'!$K:$K,'Таблиця 1'!$B:$B,$A394,'Таблиця 1'!$I:$I,"Су-25",'Таблиця 1'!$J:$J,"GBU-64")+SUMIFS('Таблиця 1'!$K:$K,'Таблиця 1'!$B:$B,$A394,'Таблиця 1'!$I:$I,"Су-27",'Таблиця 1'!$J:$J,"GBU-64"))</f>
        <v/>
      </c>
      <c r="O394">
        <f>IF($A394="","",SUMIFS('Таблиця 1'!$K:$K,'Таблиця 1'!$B:$B,$A394,'Таблиця 1'!$I:$I,"Mirage",'Таблиця 1'!$J:$J,"C-13")+SUMIFS('Таблиця 1'!$K:$K,'Таблиця 1'!$B:$B,$A394,'Таблиця 1'!$I:$I,"F-16",'Таблиця 1'!$J:$J,"C-13")+SUMIFS('Таблиця 1'!$K:$K,'Таблиця 1'!$B:$B,$A394,'Таблиця 1'!$I:$I,"МіГ-29",'Таблиця 1'!$J:$J,"C-13")+SUMIFS('Таблиця 1'!$K:$K,'Таблиця 1'!$B:$B,$A394,'Таблиця 1'!$I:$I,"Су-25",'Таблиця 1'!$J:$J,"C-13")+SUMIFS('Таблиця 1'!$K:$K,'Таблиця 1'!$B:$B,$A394,'Таблиця 1'!$I:$I,"Су-27",'Таблиця 1'!$J:$J,"C-13"))</f>
        <v/>
      </c>
      <c r="P394">
        <f>IF($A394="","",SUMIFS('Таблиця 1'!$K:$K,'Таблиця 1'!$B:$B,$A394,'Таблиця 1'!$I:$I,"Mirage",'Таблиця 1'!$J:$J,"MK-32")+SUMIFS('Таблиця 1'!$K:$K,'Таблиця 1'!$B:$B,$A394,'Таблиця 1'!$I:$I,"F-16",'Таблиця 1'!$J:$J,"MK-32")+SUMIFS('Таблиця 1'!$K:$K,'Таблиця 1'!$B:$B,$A394,'Таблиця 1'!$I:$I,"МіГ-29",'Таблиця 1'!$J:$J,"MK-32")+SUMIFS('Таблиця 1'!$K:$K,'Таблиця 1'!$B:$B,$A394,'Таблиця 1'!$I:$I,"Су-25",'Таблиця 1'!$J:$J,"MK-32")+SUMIFS('Таблиця 1'!$K:$K,'Таблиця 1'!$B:$B,$A394,'Таблиця 1'!$I:$I,"Су-27",'Таблиця 1'!$J:$J,"MK-32"))</f>
        <v/>
      </c>
      <c r="Q394">
        <f>IF($A394="","",SUMIFS('Таблиця 1'!$K:$K,'Таблиця 1'!$B:$B,$A394,'Таблиця 1'!$I:$I,"Mirage",'Таблиця 1'!$J:$J,"MK-24")+SUMIFS('Таблиця 1'!$K:$K,'Таблиця 1'!$B:$B,$A394,'Таблиця 1'!$I:$I,"F-16",'Таблиця 1'!$J:$J,"MK-24")+SUMIFS('Таблиця 1'!$K:$K,'Таблиця 1'!$B:$B,$A394,'Таблиця 1'!$I:$I,"МіГ-29",'Таблиця 1'!$J:$J,"MK-24")+SUMIFS('Таблиця 1'!$K:$K,'Таблиця 1'!$B:$B,$A394,'Таблиця 1'!$I:$I,"Су-25",'Таблиця 1'!$J:$J,"MK-24")+SUMIFS('Таблиця 1'!$K:$K,'Таблиця 1'!$B:$B,$A394,'Таблиця 1'!$I:$I,"Су-27",'Таблиця 1'!$J:$J,"MK-24"))</f>
        <v/>
      </c>
      <c r="R394">
        <f>IF($A394="","",COUNTIFS('Таблиця 1'!$B:$B,$A394,'Таблиця 1'!$I:$I,"Mirage",'Таблиця 1'!$L:$L,"Уражено")+COUNTIFS('Таблиця 1'!$B:$B,$A394,'Таблиця 1'!$I:$I,"F-16",'Таблиця 1'!$L:$L,"Уражено")+COUNTIFS('Таблиця 1'!$B:$B,$A394,'Таблиця 1'!$I:$I,"МіГ-29",'Таблиця 1'!$L:$L,"Уражено")+COUNTIFS('Таблиця 1'!$B:$B,$A394,'Таблиця 1'!$I:$I,"Су-25",'Таблиця 1'!$L:$L,"Уражено")+COUNTIFS('Таблиця 1'!$B:$B,$A394,'Таблиця 1'!$I:$I,"Су-27",'Таблиця 1'!$L:$L,"Уражено"))</f>
        <v/>
      </c>
      <c r="S394">
        <f>IF($A394="","",COUNTIFS('Таблиця 1'!$B:$B,$A394,'Таблиця 1'!$I:$I,"Mirage",'Таблиця 1'!$L:$L,"НЕ уражено")+COUNTIFS('Таблиця 1'!$B:$B,$A394,'Таблиця 1'!$I:$I,"F-16",'Таблиця 1'!$L:$L,"НЕ уражено")+COUNTIFS('Таблиця 1'!$B:$B,$A394,'Таблиця 1'!$I:$I,"МіГ-29",'Таблиця 1'!$L:$L,"НЕ уражено")+COUNTIFS('Таблиця 1'!$B:$B,$A394,'Таблиця 1'!$I:$I,"Су-25",'Таблиця 1'!$L:$L,"НЕ уражено")+COUNTIFS('Таблиця 1'!$B:$B,$A394,'Таблиця 1'!$I:$I,"Су-27",'Таблиця 1'!$L:$L,"НЕ уражено"))</f>
        <v/>
      </c>
      <c r="T394">
        <f>IF($A394="","",COUNTIFS('Таблиця 1'!$B:$B,$A394,'Таблиця 1'!$I:$I,"Mirage",'Таблиця 1'!$L:$L,"Дорозвідується")+COUNTIFS('Таблиця 1'!$B:$B,$A394,'Таблиця 1'!$I:$I,"F-16",'Таблиця 1'!$L:$L,"Дорозвідується")+COUNTIFS('Таблиця 1'!$B:$B,$A394,'Таблиця 1'!$I:$I,"МіГ-29",'Таблиця 1'!$L:$L,"Дорозвідується")+COUNTIFS('Таблиця 1'!$B:$B,$A394,'Таблиця 1'!$I:$I,"Су-25",'Таблиця 1'!$L:$L,"Дорозвідується")+COUNTIFS('Таблиця 1'!$B:$B,$A394,'Таблиця 1'!$I:$I,"Су-27",'Таблиця 1'!$L:$L,"Дорозвідується"))</f>
        <v/>
      </c>
    </row>
    <row r="395">
      <c r="A395" s="273">
        <f>IF(A394="","",IF(A394+1&gt;MAX('Таблиця 1'!$B:$B),"",A394+1))</f>
        <v/>
      </c>
      <c r="B395">
        <f>IF($A395="","",COUNTIFS('Таблиця 1'!$B:$B,$A395,'Таблиця 1'!$I:$I,"Mirage")+COUNTIFS('Таблиця 1'!$B:$B,$A395,'Таблиця 1'!$I:$I,"F-16")+COUNTIFS('Таблиця 1'!$B:$B,$A395,'Таблиця 1'!$I:$I,"МіГ-29")+COUNTIFS('Таблиця 1'!$B:$B,$A395,'Таблиця 1'!$I:$I,"Су-25")+COUNTIFS('Таблиця 1'!$B:$B,$A395,'Таблиця 1'!$I:$I,"Су-27"))</f>
        <v/>
      </c>
      <c r="C395">
        <f>IF($A395="","",COUNTIFS('Таблиця 1'!$B:$B,$A395,'Таблиця 1'!$I:$I,"Mirage"))</f>
        <v/>
      </c>
      <c r="D395">
        <f>IF($A395="","",COUNTIFS('Таблиця 1'!$B:$B,$A395,'Таблиця 1'!$I:$I,"F-16"))</f>
        <v/>
      </c>
      <c r="E395">
        <f>IF($A395="","",COUNTIFS('Таблиця 1'!$B:$B,$A395,'Таблиця 1'!$I:$I,"МіГ-29"))</f>
        <v/>
      </c>
      <c r="F395">
        <f>IF($A395="","",COUNTIFS('Таблиця 1'!$B:$B,$A395,'Таблиця 1'!$I:$I,"Су-25"))</f>
        <v/>
      </c>
      <c r="G395">
        <f>IF($A395="","",COUNTIFS('Таблиця 1'!$B:$B,$A395,'Таблиця 1'!$I:$I,"Су-27"))</f>
        <v/>
      </c>
      <c r="H395">
        <f>IF($A395="","",SUMIFS('Таблиця 1'!$K:$K,'Таблиця 1'!$B:$B,$A395,'Таблиця 1'!$I:$I,"Mirage",'Таблиця 1'!$J:$J,"AGM-88")+SUMIFS('Таблиця 1'!$K:$K,'Таблиця 1'!$B:$B,$A395,'Таблиця 1'!$I:$I,"F-16",'Таблиця 1'!$J:$J,"AGM-88")+SUMIFS('Таблиця 1'!$K:$K,'Таблиця 1'!$B:$B,$A395,'Таблиця 1'!$I:$I,"МіГ-29",'Таблиця 1'!$J:$J,"AGM-88")+SUMIFS('Таблиця 1'!$K:$K,'Таблиця 1'!$B:$B,$A395,'Таблиця 1'!$I:$I,"Су-25",'Таблиця 1'!$J:$J,"AGM-88")+SUMIFS('Таблиця 1'!$K:$K,'Таблиця 1'!$B:$B,$A395,'Таблиця 1'!$I:$I,"Су-27",'Таблиця 1'!$J:$J,"AGM-88"))</f>
        <v/>
      </c>
      <c r="I395">
        <f>IF($A395="","",SUMIFS('Таблиця 1'!$K:$K,'Таблиця 1'!$B:$B,$A395,'Таблиця 1'!$I:$I,"Mirage",'Таблиця 1'!$J:$J,"AASM-250")+SUMIFS('Таблиця 1'!$K:$K,'Таблиця 1'!$B:$B,$A395,'Таблиця 1'!$I:$I,"F-16",'Таблиця 1'!$J:$J,"AASM-250")+SUMIFS('Таблиця 1'!$K:$K,'Таблиця 1'!$B:$B,$A395,'Таблиця 1'!$I:$I,"МіГ-29",'Таблиця 1'!$J:$J,"AASM-250")+SUMIFS('Таблиця 1'!$K:$K,'Таблиця 1'!$B:$B,$A395,'Таблиця 1'!$I:$I,"Су-25",'Таблиця 1'!$J:$J,"AASM-250")+SUMIFS('Таблиця 1'!$K:$K,'Таблиця 1'!$B:$B,$A395,'Таблиця 1'!$I:$I,"Су-27",'Таблиця 1'!$J:$J,"AASM-250"))</f>
        <v/>
      </c>
      <c r="J395">
        <f>IF($A395="","",SUMIFS('Таблиця 1'!$K:$K,'Таблиця 1'!$B:$B,$A395,'Таблиця 1'!$I:$I,"Mirage",'Таблиця 1'!$J:$J,"GBU-39")+SUMIFS('Таблиця 1'!$K:$K,'Таблиця 1'!$B:$B,$A395,'Таблиця 1'!$I:$I,"F-16",'Таблиця 1'!$J:$J,"GBU-39")+SUMIFS('Таблиця 1'!$K:$K,'Таблиця 1'!$B:$B,$A395,'Таблиця 1'!$I:$I,"МіГ-29",'Таблиця 1'!$J:$J,"GBU-39")+SUMIFS('Таблиця 1'!$K:$K,'Таблиця 1'!$B:$B,$A395,'Таблиця 1'!$I:$I,"Су-25",'Таблиця 1'!$J:$J,"GBU-39")+SUMIFS('Таблиця 1'!$K:$K,'Таблиця 1'!$B:$B,$A395,'Таблиця 1'!$I:$I,"Су-27",'Таблиця 1'!$J:$J,"GBU-39"))</f>
        <v/>
      </c>
      <c r="K395">
        <f>IF($A395="","",SUMIFS('Таблиця 1'!$K:$K,'Таблиця 1'!$B:$B,$A395,'Таблиця 1'!$I:$I,"Mirage",'Таблиця 1'!$J:$J,"BLU-140")+SUMIFS('Таблиця 1'!$K:$K,'Таблиця 1'!$B:$B,$A395,'Таблиця 1'!$I:$I,"F-16",'Таблиця 1'!$J:$J,"BLU-140")+SUMIFS('Таблиця 1'!$K:$K,'Таблиця 1'!$B:$B,$A395,'Таблиця 1'!$I:$I,"МіГ-29",'Таблиця 1'!$J:$J,"BLU-140")+SUMIFS('Таблиця 1'!$K:$K,'Таблиця 1'!$B:$B,$A395,'Таблиця 1'!$I:$I,"Су-25",'Таблиця 1'!$J:$J,"BLU-140")+SUMIFS('Таблиця 1'!$K:$K,'Таблиця 1'!$B:$B,$A395,'Таблиця 1'!$I:$I,"Су-27",'Таблиця 1'!$J:$J,"BLU-140"))</f>
        <v/>
      </c>
      <c r="L395">
        <f>IF($A395="","",SUMIFS('Таблиця 1'!$K:$K,'Таблиця 1'!$B:$B,$A395,'Таблиця 1'!$I:$I,"Mirage",'Таблиця 1'!$J:$J,"GBU-65")+SUMIFS('Таблиця 1'!$K:$K,'Таблиця 1'!$B:$B,$A395,'Таблиця 1'!$I:$I,"F-16",'Таблиця 1'!$J:$J,"GBU-65")+SUMIFS('Таблиця 1'!$K:$K,'Таблиця 1'!$B:$B,$A395,'Таблиця 1'!$I:$I,"МіГ-29",'Таблиця 1'!$J:$J,"GBU-65")+SUMIFS('Таблиця 1'!$K:$K,'Таблиця 1'!$B:$B,$A395,'Таблиця 1'!$I:$I,"Су-25",'Таблиця 1'!$J:$J,"GBU-65")+SUMIFS('Таблиця 1'!$K:$K,'Таблиця 1'!$B:$B,$A395,'Таблиця 1'!$I:$I,"Су-27",'Таблиця 1'!$J:$J,"GBU-65"))</f>
        <v/>
      </c>
      <c r="M395">
        <f>IF($A395="","",SUMIFS('Таблиця 1'!$K:$K,'Таблиця 1'!$B:$B,$A395,'Таблиця 1'!$I:$I,"Mirage",'Таблиця 1'!$J:$J,"GBU-62")+SUMIFS('Таблиця 1'!$K:$K,'Таблиця 1'!$B:$B,$A395,'Таблиця 1'!$I:$I,"F-16",'Таблиця 1'!$J:$J,"GBU-62")+SUMIFS('Таблиця 1'!$K:$K,'Таблиця 1'!$B:$B,$A395,'Таблиця 1'!$I:$I,"МіГ-29",'Таблиця 1'!$J:$J,"GBU-62")+SUMIFS('Таблиця 1'!$K:$K,'Таблиця 1'!$B:$B,$A395,'Таблиця 1'!$I:$I,"Су-25",'Таблиця 1'!$J:$J,"GBU-62")+SUMIFS('Таблиця 1'!$K:$K,'Таблиця 1'!$B:$B,$A395,'Таблиця 1'!$I:$I,"Су-27",'Таблиця 1'!$J:$J,"GBU-62"))</f>
        <v/>
      </c>
      <c r="N395">
        <f>IF($A395="","",SUMIFS('Таблиця 1'!$K:$K,'Таблиця 1'!$B:$B,$A395,'Таблиця 1'!$I:$I,"Mirage",'Таблиця 1'!$J:$J,"GBU-64")+SUMIFS('Таблиця 1'!$K:$K,'Таблиця 1'!$B:$B,$A395,'Таблиця 1'!$I:$I,"F-16",'Таблиця 1'!$J:$J,"GBU-64")+SUMIFS('Таблиця 1'!$K:$K,'Таблиця 1'!$B:$B,$A395,'Таблиця 1'!$I:$I,"МіГ-29",'Таблиця 1'!$J:$J,"GBU-64")+SUMIFS('Таблиця 1'!$K:$K,'Таблиця 1'!$B:$B,$A395,'Таблиця 1'!$I:$I,"Су-25",'Таблиця 1'!$J:$J,"GBU-64")+SUMIFS('Таблиця 1'!$K:$K,'Таблиця 1'!$B:$B,$A395,'Таблиця 1'!$I:$I,"Су-27",'Таблиця 1'!$J:$J,"GBU-64"))</f>
        <v/>
      </c>
      <c r="O395">
        <f>IF($A395="","",SUMIFS('Таблиця 1'!$K:$K,'Таблиця 1'!$B:$B,$A395,'Таблиця 1'!$I:$I,"Mirage",'Таблиця 1'!$J:$J,"C-13")+SUMIFS('Таблиця 1'!$K:$K,'Таблиця 1'!$B:$B,$A395,'Таблиця 1'!$I:$I,"F-16",'Таблиця 1'!$J:$J,"C-13")+SUMIFS('Таблиця 1'!$K:$K,'Таблиця 1'!$B:$B,$A395,'Таблиця 1'!$I:$I,"МіГ-29",'Таблиця 1'!$J:$J,"C-13")+SUMIFS('Таблиця 1'!$K:$K,'Таблиця 1'!$B:$B,$A395,'Таблиця 1'!$I:$I,"Су-25",'Таблиця 1'!$J:$J,"C-13")+SUMIFS('Таблиця 1'!$K:$K,'Таблиця 1'!$B:$B,$A395,'Таблиця 1'!$I:$I,"Су-27",'Таблиця 1'!$J:$J,"C-13"))</f>
        <v/>
      </c>
      <c r="P395">
        <f>IF($A395="","",SUMIFS('Таблиця 1'!$K:$K,'Таблиця 1'!$B:$B,$A395,'Таблиця 1'!$I:$I,"Mirage",'Таблиця 1'!$J:$J,"MK-32")+SUMIFS('Таблиця 1'!$K:$K,'Таблиця 1'!$B:$B,$A395,'Таблиця 1'!$I:$I,"F-16",'Таблиця 1'!$J:$J,"MK-32")+SUMIFS('Таблиця 1'!$K:$K,'Таблиця 1'!$B:$B,$A395,'Таблиця 1'!$I:$I,"МіГ-29",'Таблиця 1'!$J:$J,"MK-32")+SUMIFS('Таблиця 1'!$K:$K,'Таблиця 1'!$B:$B,$A395,'Таблиця 1'!$I:$I,"Су-25",'Таблиця 1'!$J:$J,"MK-32")+SUMIFS('Таблиця 1'!$K:$K,'Таблиця 1'!$B:$B,$A395,'Таблиця 1'!$I:$I,"Су-27",'Таблиця 1'!$J:$J,"MK-32"))</f>
        <v/>
      </c>
      <c r="Q395">
        <f>IF($A395="","",SUMIFS('Таблиця 1'!$K:$K,'Таблиця 1'!$B:$B,$A395,'Таблиця 1'!$I:$I,"Mirage",'Таблиця 1'!$J:$J,"MK-24")+SUMIFS('Таблиця 1'!$K:$K,'Таблиця 1'!$B:$B,$A395,'Таблиця 1'!$I:$I,"F-16",'Таблиця 1'!$J:$J,"MK-24")+SUMIFS('Таблиця 1'!$K:$K,'Таблиця 1'!$B:$B,$A395,'Таблиця 1'!$I:$I,"МіГ-29",'Таблиця 1'!$J:$J,"MK-24")+SUMIFS('Таблиця 1'!$K:$K,'Таблиця 1'!$B:$B,$A395,'Таблиця 1'!$I:$I,"Су-25",'Таблиця 1'!$J:$J,"MK-24")+SUMIFS('Таблиця 1'!$K:$K,'Таблиця 1'!$B:$B,$A395,'Таблиця 1'!$I:$I,"Су-27",'Таблиця 1'!$J:$J,"MK-24"))</f>
        <v/>
      </c>
      <c r="R395">
        <f>IF($A395="","",COUNTIFS('Таблиця 1'!$B:$B,$A395,'Таблиця 1'!$I:$I,"Mirage",'Таблиця 1'!$L:$L,"Уражено")+COUNTIFS('Таблиця 1'!$B:$B,$A395,'Таблиця 1'!$I:$I,"F-16",'Таблиця 1'!$L:$L,"Уражено")+COUNTIFS('Таблиця 1'!$B:$B,$A395,'Таблиця 1'!$I:$I,"МіГ-29",'Таблиця 1'!$L:$L,"Уражено")+COUNTIFS('Таблиця 1'!$B:$B,$A395,'Таблиця 1'!$I:$I,"Су-25",'Таблиця 1'!$L:$L,"Уражено")+COUNTIFS('Таблиця 1'!$B:$B,$A395,'Таблиця 1'!$I:$I,"Су-27",'Таблиця 1'!$L:$L,"Уражено"))</f>
        <v/>
      </c>
      <c r="S395">
        <f>IF($A395="","",COUNTIFS('Таблиця 1'!$B:$B,$A395,'Таблиця 1'!$I:$I,"Mirage",'Таблиця 1'!$L:$L,"НЕ уражено")+COUNTIFS('Таблиця 1'!$B:$B,$A395,'Таблиця 1'!$I:$I,"F-16",'Таблиця 1'!$L:$L,"НЕ уражено")+COUNTIFS('Таблиця 1'!$B:$B,$A395,'Таблиця 1'!$I:$I,"МіГ-29",'Таблиця 1'!$L:$L,"НЕ уражено")+COUNTIFS('Таблиця 1'!$B:$B,$A395,'Таблиця 1'!$I:$I,"Су-25",'Таблиця 1'!$L:$L,"НЕ уражено")+COUNTIFS('Таблиця 1'!$B:$B,$A395,'Таблиця 1'!$I:$I,"Су-27",'Таблиця 1'!$L:$L,"НЕ уражено"))</f>
        <v/>
      </c>
      <c r="T395">
        <f>IF($A395="","",COUNTIFS('Таблиця 1'!$B:$B,$A395,'Таблиця 1'!$I:$I,"Mirage",'Таблиця 1'!$L:$L,"Дорозвідується")+COUNTIFS('Таблиця 1'!$B:$B,$A395,'Таблиця 1'!$I:$I,"F-16",'Таблиця 1'!$L:$L,"Дорозвідується")+COUNTIFS('Таблиця 1'!$B:$B,$A395,'Таблиця 1'!$I:$I,"МіГ-29",'Таблиця 1'!$L:$L,"Дорозвідується")+COUNTIFS('Таблиця 1'!$B:$B,$A395,'Таблиця 1'!$I:$I,"Су-25",'Таблиця 1'!$L:$L,"Дорозвідується")+COUNTIFS('Таблиця 1'!$B:$B,$A395,'Таблиця 1'!$I:$I,"Су-27",'Таблиця 1'!$L:$L,"Дорозвідується"))</f>
        <v/>
      </c>
    </row>
    <row r="396">
      <c r="A396" s="273">
        <f>IF(A395="","",IF(A395+1&gt;MAX('Таблиця 1'!$B:$B),"",A395+1))</f>
        <v/>
      </c>
      <c r="B396">
        <f>IF($A396="","",COUNTIFS('Таблиця 1'!$B:$B,$A396,'Таблиця 1'!$I:$I,"Mirage")+COUNTIFS('Таблиця 1'!$B:$B,$A396,'Таблиця 1'!$I:$I,"F-16")+COUNTIFS('Таблиця 1'!$B:$B,$A396,'Таблиця 1'!$I:$I,"МіГ-29")+COUNTIFS('Таблиця 1'!$B:$B,$A396,'Таблиця 1'!$I:$I,"Су-25")+COUNTIFS('Таблиця 1'!$B:$B,$A396,'Таблиця 1'!$I:$I,"Су-27"))</f>
        <v/>
      </c>
      <c r="C396">
        <f>IF($A396="","",COUNTIFS('Таблиця 1'!$B:$B,$A396,'Таблиця 1'!$I:$I,"Mirage"))</f>
        <v/>
      </c>
      <c r="D396">
        <f>IF($A396="","",COUNTIFS('Таблиця 1'!$B:$B,$A396,'Таблиця 1'!$I:$I,"F-16"))</f>
        <v/>
      </c>
      <c r="E396">
        <f>IF($A396="","",COUNTIFS('Таблиця 1'!$B:$B,$A396,'Таблиця 1'!$I:$I,"МіГ-29"))</f>
        <v/>
      </c>
      <c r="F396">
        <f>IF($A396="","",COUNTIFS('Таблиця 1'!$B:$B,$A396,'Таблиця 1'!$I:$I,"Су-25"))</f>
        <v/>
      </c>
      <c r="G396">
        <f>IF($A396="","",COUNTIFS('Таблиця 1'!$B:$B,$A396,'Таблиця 1'!$I:$I,"Су-27"))</f>
        <v/>
      </c>
      <c r="H396">
        <f>IF($A396="","",SUMIFS('Таблиця 1'!$K:$K,'Таблиця 1'!$B:$B,$A396,'Таблиця 1'!$I:$I,"Mirage",'Таблиця 1'!$J:$J,"AGM-88")+SUMIFS('Таблиця 1'!$K:$K,'Таблиця 1'!$B:$B,$A396,'Таблиця 1'!$I:$I,"F-16",'Таблиця 1'!$J:$J,"AGM-88")+SUMIFS('Таблиця 1'!$K:$K,'Таблиця 1'!$B:$B,$A396,'Таблиця 1'!$I:$I,"МіГ-29",'Таблиця 1'!$J:$J,"AGM-88")+SUMIFS('Таблиця 1'!$K:$K,'Таблиця 1'!$B:$B,$A396,'Таблиця 1'!$I:$I,"Су-25",'Таблиця 1'!$J:$J,"AGM-88")+SUMIFS('Таблиця 1'!$K:$K,'Таблиця 1'!$B:$B,$A396,'Таблиця 1'!$I:$I,"Су-27",'Таблиця 1'!$J:$J,"AGM-88"))</f>
        <v/>
      </c>
      <c r="I396">
        <f>IF($A396="","",SUMIFS('Таблиця 1'!$K:$K,'Таблиця 1'!$B:$B,$A396,'Таблиця 1'!$I:$I,"Mirage",'Таблиця 1'!$J:$J,"AASM-250")+SUMIFS('Таблиця 1'!$K:$K,'Таблиця 1'!$B:$B,$A396,'Таблиця 1'!$I:$I,"F-16",'Таблиця 1'!$J:$J,"AASM-250")+SUMIFS('Таблиця 1'!$K:$K,'Таблиця 1'!$B:$B,$A396,'Таблиця 1'!$I:$I,"МіГ-29",'Таблиця 1'!$J:$J,"AASM-250")+SUMIFS('Таблиця 1'!$K:$K,'Таблиця 1'!$B:$B,$A396,'Таблиця 1'!$I:$I,"Су-25",'Таблиця 1'!$J:$J,"AASM-250")+SUMIFS('Таблиця 1'!$K:$K,'Таблиця 1'!$B:$B,$A396,'Таблиця 1'!$I:$I,"Су-27",'Таблиця 1'!$J:$J,"AASM-250"))</f>
        <v/>
      </c>
      <c r="J396">
        <f>IF($A396="","",SUMIFS('Таблиця 1'!$K:$K,'Таблиця 1'!$B:$B,$A396,'Таблиця 1'!$I:$I,"Mirage",'Таблиця 1'!$J:$J,"GBU-39")+SUMIFS('Таблиця 1'!$K:$K,'Таблиця 1'!$B:$B,$A396,'Таблиця 1'!$I:$I,"F-16",'Таблиця 1'!$J:$J,"GBU-39")+SUMIFS('Таблиця 1'!$K:$K,'Таблиця 1'!$B:$B,$A396,'Таблиця 1'!$I:$I,"МіГ-29",'Таблиця 1'!$J:$J,"GBU-39")+SUMIFS('Таблиця 1'!$K:$K,'Таблиця 1'!$B:$B,$A396,'Таблиця 1'!$I:$I,"Су-25",'Таблиця 1'!$J:$J,"GBU-39")+SUMIFS('Таблиця 1'!$K:$K,'Таблиця 1'!$B:$B,$A396,'Таблиця 1'!$I:$I,"Су-27",'Таблиця 1'!$J:$J,"GBU-39"))</f>
        <v/>
      </c>
      <c r="K396">
        <f>IF($A396="","",SUMIFS('Таблиця 1'!$K:$K,'Таблиця 1'!$B:$B,$A396,'Таблиця 1'!$I:$I,"Mirage",'Таблиця 1'!$J:$J,"BLU-140")+SUMIFS('Таблиця 1'!$K:$K,'Таблиця 1'!$B:$B,$A396,'Таблиця 1'!$I:$I,"F-16",'Таблиця 1'!$J:$J,"BLU-140")+SUMIFS('Таблиця 1'!$K:$K,'Таблиця 1'!$B:$B,$A396,'Таблиця 1'!$I:$I,"МіГ-29",'Таблиця 1'!$J:$J,"BLU-140")+SUMIFS('Таблиця 1'!$K:$K,'Таблиця 1'!$B:$B,$A396,'Таблиця 1'!$I:$I,"Су-25",'Таблиця 1'!$J:$J,"BLU-140")+SUMIFS('Таблиця 1'!$K:$K,'Таблиця 1'!$B:$B,$A396,'Таблиця 1'!$I:$I,"Су-27",'Таблиця 1'!$J:$J,"BLU-140"))</f>
        <v/>
      </c>
      <c r="L396">
        <f>IF($A396="","",SUMIFS('Таблиця 1'!$K:$K,'Таблиця 1'!$B:$B,$A396,'Таблиця 1'!$I:$I,"Mirage",'Таблиця 1'!$J:$J,"GBU-65")+SUMIFS('Таблиця 1'!$K:$K,'Таблиця 1'!$B:$B,$A396,'Таблиця 1'!$I:$I,"F-16",'Таблиця 1'!$J:$J,"GBU-65")+SUMIFS('Таблиця 1'!$K:$K,'Таблиця 1'!$B:$B,$A396,'Таблиця 1'!$I:$I,"МіГ-29",'Таблиця 1'!$J:$J,"GBU-65")+SUMIFS('Таблиця 1'!$K:$K,'Таблиця 1'!$B:$B,$A396,'Таблиця 1'!$I:$I,"Су-25",'Таблиця 1'!$J:$J,"GBU-65")+SUMIFS('Таблиця 1'!$K:$K,'Таблиця 1'!$B:$B,$A396,'Таблиця 1'!$I:$I,"Су-27",'Таблиця 1'!$J:$J,"GBU-65"))</f>
        <v/>
      </c>
      <c r="M396">
        <f>IF($A396="","",SUMIFS('Таблиця 1'!$K:$K,'Таблиця 1'!$B:$B,$A396,'Таблиця 1'!$I:$I,"Mirage",'Таблиця 1'!$J:$J,"GBU-62")+SUMIFS('Таблиця 1'!$K:$K,'Таблиця 1'!$B:$B,$A396,'Таблиця 1'!$I:$I,"F-16",'Таблиця 1'!$J:$J,"GBU-62")+SUMIFS('Таблиця 1'!$K:$K,'Таблиця 1'!$B:$B,$A396,'Таблиця 1'!$I:$I,"МіГ-29",'Таблиця 1'!$J:$J,"GBU-62")+SUMIFS('Таблиця 1'!$K:$K,'Таблиця 1'!$B:$B,$A396,'Таблиця 1'!$I:$I,"Су-25",'Таблиця 1'!$J:$J,"GBU-62")+SUMIFS('Таблиця 1'!$K:$K,'Таблиця 1'!$B:$B,$A396,'Таблиця 1'!$I:$I,"Су-27",'Таблиця 1'!$J:$J,"GBU-62"))</f>
        <v/>
      </c>
      <c r="N396">
        <f>IF($A396="","",SUMIFS('Таблиця 1'!$K:$K,'Таблиця 1'!$B:$B,$A396,'Таблиця 1'!$I:$I,"Mirage",'Таблиця 1'!$J:$J,"GBU-64")+SUMIFS('Таблиця 1'!$K:$K,'Таблиця 1'!$B:$B,$A396,'Таблиця 1'!$I:$I,"F-16",'Таблиця 1'!$J:$J,"GBU-64")+SUMIFS('Таблиця 1'!$K:$K,'Таблиця 1'!$B:$B,$A396,'Таблиця 1'!$I:$I,"МіГ-29",'Таблиця 1'!$J:$J,"GBU-64")+SUMIFS('Таблиця 1'!$K:$K,'Таблиця 1'!$B:$B,$A396,'Таблиця 1'!$I:$I,"Су-25",'Таблиця 1'!$J:$J,"GBU-64")+SUMIFS('Таблиця 1'!$K:$K,'Таблиця 1'!$B:$B,$A396,'Таблиця 1'!$I:$I,"Су-27",'Таблиця 1'!$J:$J,"GBU-64"))</f>
        <v/>
      </c>
      <c r="O396">
        <f>IF($A396="","",SUMIFS('Таблиця 1'!$K:$K,'Таблиця 1'!$B:$B,$A396,'Таблиця 1'!$I:$I,"Mirage",'Таблиця 1'!$J:$J,"C-13")+SUMIFS('Таблиця 1'!$K:$K,'Таблиця 1'!$B:$B,$A396,'Таблиця 1'!$I:$I,"F-16",'Таблиця 1'!$J:$J,"C-13")+SUMIFS('Таблиця 1'!$K:$K,'Таблиця 1'!$B:$B,$A396,'Таблиця 1'!$I:$I,"МіГ-29",'Таблиця 1'!$J:$J,"C-13")+SUMIFS('Таблиця 1'!$K:$K,'Таблиця 1'!$B:$B,$A396,'Таблиця 1'!$I:$I,"Су-25",'Таблиця 1'!$J:$J,"C-13")+SUMIFS('Таблиця 1'!$K:$K,'Таблиця 1'!$B:$B,$A396,'Таблиця 1'!$I:$I,"Су-27",'Таблиця 1'!$J:$J,"C-13"))</f>
        <v/>
      </c>
      <c r="P396">
        <f>IF($A396="","",SUMIFS('Таблиця 1'!$K:$K,'Таблиця 1'!$B:$B,$A396,'Таблиця 1'!$I:$I,"Mirage",'Таблиця 1'!$J:$J,"MK-32")+SUMIFS('Таблиця 1'!$K:$K,'Таблиця 1'!$B:$B,$A396,'Таблиця 1'!$I:$I,"F-16",'Таблиця 1'!$J:$J,"MK-32")+SUMIFS('Таблиця 1'!$K:$K,'Таблиця 1'!$B:$B,$A396,'Таблиця 1'!$I:$I,"МіГ-29",'Таблиця 1'!$J:$J,"MK-32")+SUMIFS('Таблиця 1'!$K:$K,'Таблиця 1'!$B:$B,$A396,'Таблиця 1'!$I:$I,"Су-25",'Таблиця 1'!$J:$J,"MK-32")+SUMIFS('Таблиця 1'!$K:$K,'Таблиця 1'!$B:$B,$A396,'Таблиця 1'!$I:$I,"Су-27",'Таблиця 1'!$J:$J,"MK-32"))</f>
        <v/>
      </c>
      <c r="Q396">
        <f>IF($A396="","",SUMIFS('Таблиця 1'!$K:$K,'Таблиця 1'!$B:$B,$A396,'Таблиця 1'!$I:$I,"Mirage",'Таблиця 1'!$J:$J,"MK-24")+SUMIFS('Таблиця 1'!$K:$K,'Таблиця 1'!$B:$B,$A396,'Таблиця 1'!$I:$I,"F-16",'Таблиця 1'!$J:$J,"MK-24")+SUMIFS('Таблиця 1'!$K:$K,'Таблиця 1'!$B:$B,$A396,'Таблиця 1'!$I:$I,"МіГ-29",'Таблиця 1'!$J:$J,"MK-24")+SUMIFS('Таблиця 1'!$K:$K,'Таблиця 1'!$B:$B,$A396,'Таблиця 1'!$I:$I,"Су-25",'Таблиця 1'!$J:$J,"MK-24")+SUMIFS('Таблиця 1'!$K:$K,'Таблиця 1'!$B:$B,$A396,'Таблиця 1'!$I:$I,"Су-27",'Таблиця 1'!$J:$J,"MK-24"))</f>
        <v/>
      </c>
      <c r="R396">
        <f>IF($A396="","",COUNTIFS('Таблиця 1'!$B:$B,$A396,'Таблиця 1'!$I:$I,"Mirage",'Таблиця 1'!$L:$L,"Уражено")+COUNTIFS('Таблиця 1'!$B:$B,$A396,'Таблиця 1'!$I:$I,"F-16",'Таблиця 1'!$L:$L,"Уражено")+COUNTIFS('Таблиця 1'!$B:$B,$A396,'Таблиця 1'!$I:$I,"МіГ-29",'Таблиця 1'!$L:$L,"Уражено")+COUNTIFS('Таблиця 1'!$B:$B,$A396,'Таблиця 1'!$I:$I,"Су-25",'Таблиця 1'!$L:$L,"Уражено")+COUNTIFS('Таблиця 1'!$B:$B,$A396,'Таблиця 1'!$I:$I,"Су-27",'Таблиця 1'!$L:$L,"Уражено"))</f>
        <v/>
      </c>
      <c r="S396">
        <f>IF($A396="","",COUNTIFS('Таблиця 1'!$B:$B,$A396,'Таблиця 1'!$I:$I,"Mirage",'Таблиця 1'!$L:$L,"НЕ уражено")+COUNTIFS('Таблиця 1'!$B:$B,$A396,'Таблиця 1'!$I:$I,"F-16",'Таблиця 1'!$L:$L,"НЕ уражено")+COUNTIFS('Таблиця 1'!$B:$B,$A396,'Таблиця 1'!$I:$I,"МіГ-29",'Таблиця 1'!$L:$L,"НЕ уражено")+COUNTIFS('Таблиця 1'!$B:$B,$A396,'Таблиця 1'!$I:$I,"Су-25",'Таблиця 1'!$L:$L,"НЕ уражено")+COUNTIFS('Таблиця 1'!$B:$B,$A396,'Таблиця 1'!$I:$I,"Су-27",'Таблиця 1'!$L:$L,"НЕ уражено"))</f>
        <v/>
      </c>
      <c r="T396">
        <f>IF($A396="","",COUNTIFS('Таблиця 1'!$B:$B,$A396,'Таблиця 1'!$I:$I,"Mirage",'Таблиця 1'!$L:$L,"Дорозвідується")+COUNTIFS('Таблиця 1'!$B:$B,$A396,'Таблиця 1'!$I:$I,"F-16",'Таблиця 1'!$L:$L,"Дорозвідується")+COUNTIFS('Таблиця 1'!$B:$B,$A396,'Таблиця 1'!$I:$I,"МіГ-29",'Таблиця 1'!$L:$L,"Дорозвідується")+COUNTIFS('Таблиця 1'!$B:$B,$A396,'Таблиця 1'!$I:$I,"Су-25",'Таблиця 1'!$L:$L,"Дорозвідується")+COUNTIFS('Таблиця 1'!$B:$B,$A396,'Таблиця 1'!$I:$I,"Су-27",'Таблиця 1'!$L:$L,"Дорозвідується"))</f>
        <v/>
      </c>
    </row>
    <row r="397">
      <c r="A397" s="273">
        <f>IF(A396="","",IF(A396+1&gt;MAX('Таблиця 1'!$B:$B),"",A396+1))</f>
        <v/>
      </c>
      <c r="B397">
        <f>IF($A397="","",COUNTIFS('Таблиця 1'!$B:$B,$A397,'Таблиця 1'!$I:$I,"Mirage")+COUNTIFS('Таблиця 1'!$B:$B,$A397,'Таблиця 1'!$I:$I,"F-16")+COUNTIFS('Таблиця 1'!$B:$B,$A397,'Таблиця 1'!$I:$I,"МіГ-29")+COUNTIFS('Таблиця 1'!$B:$B,$A397,'Таблиця 1'!$I:$I,"Су-25")+COUNTIFS('Таблиця 1'!$B:$B,$A397,'Таблиця 1'!$I:$I,"Су-27"))</f>
        <v/>
      </c>
      <c r="C397">
        <f>IF($A397="","",COUNTIFS('Таблиця 1'!$B:$B,$A397,'Таблиця 1'!$I:$I,"Mirage"))</f>
        <v/>
      </c>
      <c r="D397">
        <f>IF($A397="","",COUNTIFS('Таблиця 1'!$B:$B,$A397,'Таблиця 1'!$I:$I,"F-16"))</f>
        <v/>
      </c>
      <c r="E397">
        <f>IF($A397="","",COUNTIFS('Таблиця 1'!$B:$B,$A397,'Таблиця 1'!$I:$I,"МіГ-29"))</f>
        <v/>
      </c>
      <c r="F397">
        <f>IF($A397="","",COUNTIFS('Таблиця 1'!$B:$B,$A397,'Таблиця 1'!$I:$I,"Су-25"))</f>
        <v/>
      </c>
      <c r="G397">
        <f>IF($A397="","",COUNTIFS('Таблиця 1'!$B:$B,$A397,'Таблиця 1'!$I:$I,"Су-27"))</f>
        <v/>
      </c>
      <c r="H397">
        <f>IF($A397="","",SUMIFS('Таблиця 1'!$K:$K,'Таблиця 1'!$B:$B,$A397,'Таблиця 1'!$I:$I,"Mirage",'Таблиця 1'!$J:$J,"AGM-88")+SUMIFS('Таблиця 1'!$K:$K,'Таблиця 1'!$B:$B,$A397,'Таблиця 1'!$I:$I,"F-16",'Таблиця 1'!$J:$J,"AGM-88")+SUMIFS('Таблиця 1'!$K:$K,'Таблиця 1'!$B:$B,$A397,'Таблиця 1'!$I:$I,"МіГ-29",'Таблиця 1'!$J:$J,"AGM-88")+SUMIFS('Таблиця 1'!$K:$K,'Таблиця 1'!$B:$B,$A397,'Таблиця 1'!$I:$I,"Су-25",'Таблиця 1'!$J:$J,"AGM-88")+SUMIFS('Таблиця 1'!$K:$K,'Таблиця 1'!$B:$B,$A397,'Таблиця 1'!$I:$I,"Су-27",'Таблиця 1'!$J:$J,"AGM-88"))</f>
        <v/>
      </c>
      <c r="I397">
        <f>IF($A397="","",SUMIFS('Таблиця 1'!$K:$K,'Таблиця 1'!$B:$B,$A397,'Таблиця 1'!$I:$I,"Mirage",'Таблиця 1'!$J:$J,"AASM-250")+SUMIFS('Таблиця 1'!$K:$K,'Таблиця 1'!$B:$B,$A397,'Таблиця 1'!$I:$I,"F-16",'Таблиця 1'!$J:$J,"AASM-250")+SUMIFS('Таблиця 1'!$K:$K,'Таблиця 1'!$B:$B,$A397,'Таблиця 1'!$I:$I,"МіГ-29",'Таблиця 1'!$J:$J,"AASM-250")+SUMIFS('Таблиця 1'!$K:$K,'Таблиця 1'!$B:$B,$A397,'Таблиця 1'!$I:$I,"Су-25",'Таблиця 1'!$J:$J,"AASM-250")+SUMIFS('Таблиця 1'!$K:$K,'Таблиця 1'!$B:$B,$A397,'Таблиця 1'!$I:$I,"Су-27",'Таблиця 1'!$J:$J,"AASM-250"))</f>
        <v/>
      </c>
      <c r="J397">
        <f>IF($A397="","",SUMIFS('Таблиця 1'!$K:$K,'Таблиця 1'!$B:$B,$A397,'Таблиця 1'!$I:$I,"Mirage",'Таблиця 1'!$J:$J,"GBU-39")+SUMIFS('Таблиця 1'!$K:$K,'Таблиця 1'!$B:$B,$A397,'Таблиця 1'!$I:$I,"F-16",'Таблиця 1'!$J:$J,"GBU-39")+SUMIFS('Таблиця 1'!$K:$K,'Таблиця 1'!$B:$B,$A397,'Таблиця 1'!$I:$I,"МіГ-29",'Таблиця 1'!$J:$J,"GBU-39")+SUMIFS('Таблиця 1'!$K:$K,'Таблиця 1'!$B:$B,$A397,'Таблиця 1'!$I:$I,"Су-25",'Таблиця 1'!$J:$J,"GBU-39")+SUMIFS('Таблиця 1'!$K:$K,'Таблиця 1'!$B:$B,$A397,'Таблиця 1'!$I:$I,"Су-27",'Таблиця 1'!$J:$J,"GBU-39"))</f>
        <v/>
      </c>
      <c r="K397">
        <f>IF($A397="","",SUMIFS('Таблиця 1'!$K:$K,'Таблиця 1'!$B:$B,$A397,'Таблиця 1'!$I:$I,"Mirage",'Таблиця 1'!$J:$J,"BLU-140")+SUMIFS('Таблиця 1'!$K:$K,'Таблиця 1'!$B:$B,$A397,'Таблиця 1'!$I:$I,"F-16",'Таблиця 1'!$J:$J,"BLU-140")+SUMIFS('Таблиця 1'!$K:$K,'Таблиця 1'!$B:$B,$A397,'Таблиця 1'!$I:$I,"МіГ-29",'Таблиця 1'!$J:$J,"BLU-140")+SUMIFS('Таблиця 1'!$K:$K,'Таблиця 1'!$B:$B,$A397,'Таблиця 1'!$I:$I,"Су-25",'Таблиця 1'!$J:$J,"BLU-140")+SUMIFS('Таблиця 1'!$K:$K,'Таблиця 1'!$B:$B,$A397,'Таблиця 1'!$I:$I,"Су-27",'Таблиця 1'!$J:$J,"BLU-140"))</f>
        <v/>
      </c>
      <c r="L397">
        <f>IF($A397="","",SUMIFS('Таблиця 1'!$K:$K,'Таблиця 1'!$B:$B,$A397,'Таблиця 1'!$I:$I,"Mirage",'Таблиця 1'!$J:$J,"GBU-65")+SUMIFS('Таблиця 1'!$K:$K,'Таблиця 1'!$B:$B,$A397,'Таблиця 1'!$I:$I,"F-16",'Таблиця 1'!$J:$J,"GBU-65")+SUMIFS('Таблиця 1'!$K:$K,'Таблиця 1'!$B:$B,$A397,'Таблиця 1'!$I:$I,"МіГ-29",'Таблиця 1'!$J:$J,"GBU-65")+SUMIFS('Таблиця 1'!$K:$K,'Таблиця 1'!$B:$B,$A397,'Таблиця 1'!$I:$I,"Су-25",'Таблиця 1'!$J:$J,"GBU-65")+SUMIFS('Таблиця 1'!$K:$K,'Таблиця 1'!$B:$B,$A397,'Таблиця 1'!$I:$I,"Су-27",'Таблиця 1'!$J:$J,"GBU-65"))</f>
        <v/>
      </c>
      <c r="M397">
        <f>IF($A397="","",SUMIFS('Таблиця 1'!$K:$K,'Таблиця 1'!$B:$B,$A397,'Таблиця 1'!$I:$I,"Mirage",'Таблиця 1'!$J:$J,"GBU-62")+SUMIFS('Таблиця 1'!$K:$K,'Таблиця 1'!$B:$B,$A397,'Таблиця 1'!$I:$I,"F-16",'Таблиця 1'!$J:$J,"GBU-62")+SUMIFS('Таблиця 1'!$K:$K,'Таблиця 1'!$B:$B,$A397,'Таблиця 1'!$I:$I,"МіГ-29",'Таблиця 1'!$J:$J,"GBU-62")+SUMIFS('Таблиця 1'!$K:$K,'Таблиця 1'!$B:$B,$A397,'Таблиця 1'!$I:$I,"Су-25",'Таблиця 1'!$J:$J,"GBU-62")+SUMIFS('Таблиця 1'!$K:$K,'Таблиця 1'!$B:$B,$A397,'Таблиця 1'!$I:$I,"Су-27",'Таблиця 1'!$J:$J,"GBU-62"))</f>
        <v/>
      </c>
      <c r="N397">
        <f>IF($A397="","",SUMIFS('Таблиця 1'!$K:$K,'Таблиця 1'!$B:$B,$A397,'Таблиця 1'!$I:$I,"Mirage",'Таблиця 1'!$J:$J,"GBU-64")+SUMIFS('Таблиця 1'!$K:$K,'Таблиця 1'!$B:$B,$A397,'Таблиця 1'!$I:$I,"F-16",'Таблиця 1'!$J:$J,"GBU-64")+SUMIFS('Таблиця 1'!$K:$K,'Таблиця 1'!$B:$B,$A397,'Таблиця 1'!$I:$I,"МіГ-29",'Таблиця 1'!$J:$J,"GBU-64")+SUMIFS('Таблиця 1'!$K:$K,'Таблиця 1'!$B:$B,$A397,'Таблиця 1'!$I:$I,"Су-25",'Таблиця 1'!$J:$J,"GBU-64")+SUMIFS('Таблиця 1'!$K:$K,'Таблиця 1'!$B:$B,$A397,'Таблиця 1'!$I:$I,"Су-27",'Таблиця 1'!$J:$J,"GBU-64"))</f>
        <v/>
      </c>
      <c r="O397">
        <f>IF($A397="","",SUMIFS('Таблиця 1'!$K:$K,'Таблиця 1'!$B:$B,$A397,'Таблиця 1'!$I:$I,"Mirage",'Таблиця 1'!$J:$J,"C-13")+SUMIFS('Таблиця 1'!$K:$K,'Таблиця 1'!$B:$B,$A397,'Таблиця 1'!$I:$I,"F-16",'Таблиця 1'!$J:$J,"C-13")+SUMIFS('Таблиця 1'!$K:$K,'Таблиця 1'!$B:$B,$A397,'Таблиця 1'!$I:$I,"МіГ-29",'Таблиця 1'!$J:$J,"C-13")+SUMIFS('Таблиця 1'!$K:$K,'Таблиця 1'!$B:$B,$A397,'Таблиця 1'!$I:$I,"Су-25",'Таблиця 1'!$J:$J,"C-13")+SUMIFS('Таблиця 1'!$K:$K,'Таблиця 1'!$B:$B,$A397,'Таблиця 1'!$I:$I,"Су-27",'Таблиця 1'!$J:$J,"C-13"))</f>
        <v/>
      </c>
      <c r="P397">
        <f>IF($A397="","",SUMIFS('Таблиця 1'!$K:$K,'Таблиця 1'!$B:$B,$A397,'Таблиця 1'!$I:$I,"Mirage",'Таблиця 1'!$J:$J,"MK-32")+SUMIFS('Таблиця 1'!$K:$K,'Таблиця 1'!$B:$B,$A397,'Таблиця 1'!$I:$I,"F-16",'Таблиця 1'!$J:$J,"MK-32")+SUMIFS('Таблиця 1'!$K:$K,'Таблиця 1'!$B:$B,$A397,'Таблиця 1'!$I:$I,"МіГ-29",'Таблиця 1'!$J:$J,"MK-32")+SUMIFS('Таблиця 1'!$K:$K,'Таблиця 1'!$B:$B,$A397,'Таблиця 1'!$I:$I,"Су-25",'Таблиця 1'!$J:$J,"MK-32")+SUMIFS('Таблиця 1'!$K:$K,'Таблиця 1'!$B:$B,$A397,'Таблиця 1'!$I:$I,"Су-27",'Таблиця 1'!$J:$J,"MK-32"))</f>
        <v/>
      </c>
      <c r="Q397">
        <f>IF($A397="","",SUMIFS('Таблиця 1'!$K:$K,'Таблиця 1'!$B:$B,$A397,'Таблиця 1'!$I:$I,"Mirage",'Таблиця 1'!$J:$J,"MK-24")+SUMIFS('Таблиця 1'!$K:$K,'Таблиця 1'!$B:$B,$A397,'Таблиця 1'!$I:$I,"F-16",'Таблиця 1'!$J:$J,"MK-24")+SUMIFS('Таблиця 1'!$K:$K,'Таблиця 1'!$B:$B,$A397,'Таблиця 1'!$I:$I,"МіГ-29",'Таблиця 1'!$J:$J,"MK-24")+SUMIFS('Таблиця 1'!$K:$K,'Таблиця 1'!$B:$B,$A397,'Таблиця 1'!$I:$I,"Су-25",'Таблиця 1'!$J:$J,"MK-24")+SUMIFS('Таблиця 1'!$K:$K,'Таблиця 1'!$B:$B,$A397,'Таблиця 1'!$I:$I,"Су-27",'Таблиця 1'!$J:$J,"MK-24"))</f>
        <v/>
      </c>
      <c r="R397">
        <f>IF($A397="","",COUNTIFS('Таблиця 1'!$B:$B,$A397,'Таблиця 1'!$I:$I,"Mirage",'Таблиця 1'!$L:$L,"Уражено")+COUNTIFS('Таблиця 1'!$B:$B,$A397,'Таблиця 1'!$I:$I,"F-16",'Таблиця 1'!$L:$L,"Уражено")+COUNTIFS('Таблиця 1'!$B:$B,$A397,'Таблиця 1'!$I:$I,"МіГ-29",'Таблиця 1'!$L:$L,"Уражено")+COUNTIFS('Таблиця 1'!$B:$B,$A397,'Таблиця 1'!$I:$I,"Су-25",'Таблиця 1'!$L:$L,"Уражено")+COUNTIFS('Таблиця 1'!$B:$B,$A397,'Таблиця 1'!$I:$I,"Су-27",'Таблиця 1'!$L:$L,"Уражено"))</f>
        <v/>
      </c>
      <c r="S397">
        <f>IF($A397="","",COUNTIFS('Таблиця 1'!$B:$B,$A397,'Таблиця 1'!$I:$I,"Mirage",'Таблиця 1'!$L:$L,"НЕ уражено")+COUNTIFS('Таблиця 1'!$B:$B,$A397,'Таблиця 1'!$I:$I,"F-16",'Таблиця 1'!$L:$L,"НЕ уражено")+COUNTIFS('Таблиця 1'!$B:$B,$A397,'Таблиця 1'!$I:$I,"МіГ-29",'Таблиця 1'!$L:$L,"НЕ уражено")+COUNTIFS('Таблиця 1'!$B:$B,$A397,'Таблиця 1'!$I:$I,"Су-25",'Таблиця 1'!$L:$L,"НЕ уражено")+COUNTIFS('Таблиця 1'!$B:$B,$A397,'Таблиця 1'!$I:$I,"Су-27",'Таблиця 1'!$L:$L,"НЕ уражено"))</f>
        <v/>
      </c>
      <c r="T397">
        <f>IF($A397="","",COUNTIFS('Таблиця 1'!$B:$B,$A397,'Таблиця 1'!$I:$I,"Mirage",'Таблиця 1'!$L:$L,"Дорозвідується")+COUNTIFS('Таблиця 1'!$B:$B,$A397,'Таблиця 1'!$I:$I,"F-16",'Таблиця 1'!$L:$L,"Дорозвідується")+COUNTIFS('Таблиця 1'!$B:$B,$A397,'Таблиця 1'!$I:$I,"МіГ-29",'Таблиця 1'!$L:$L,"Дорозвідується")+COUNTIFS('Таблиця 1'!$B:$B,$A397,'Таблиця 1'!$I:$I,"Су-25",'Таблиця 1'!$L:$L,"Дорозвідується")+COUNTIFS('Таблиця 1'!$B:$B,$A397,'Таблиця 1'!$I:$I,"Су-27",'Таблиця 1'!$L:$L,"Дорозвідується"))</f>
        <v/>
      </c>
    </row>
    <row r="398">
      <c r="A398" s="273">
        <f>IF(A397="","",IF(A397+1&gt;MAX('Таблиця 1'!$B:$B),"",A397+1))</f>
        <v/>
      </c>
      <c r="B398">
        <f>IF($A398="","",COUNTIFS('Таблиця 1'!$B:$B,$A398,'Таблиця 1'!$I:$I,"Mirage")+COUNTIFS('Таблиця 1'!$B:$B,$A398,'Таблиця 1'!$I:$I,"F-16")+COUNTIFS('Таблиця 1'!$B:$B,$A398,'Таблиця 1'!$I:$I,"МіГ-29")+COUNTIFS('Таблиця 1'!$B:$B,$A398,'Таблиця 1'!$I:$I,"Су-25")+COUNTIFS('Таблиця 1'!$B:$B,$A398,'Таблиця 1'!$I:$I,"Су-27"))</f>
        <v/>
      </c>
      <c r="C398">
        <f>IF($A398="","",COUNTIFS('Таблиця 1'!$B:$B,$A398,'Таблиця 1'!$I:$I,"Mirage"))</f>
        <v/>
      </c>
      <c r="D398">
        <f>IF($A398="","",COUNTIFS('Таблиця 1'!$B:$B,$A398,'Таблиця 1'!$I:$I,"F-16"))</f>
        <v/>
      </c>
      <c r="E398">
        <f>IF($A398="","",COUNTIFS('Таблиця 1'!$B:$B,$A398,'Таблиця 1'!$I:$I,"МіГ-29"))</f>
        <v/>
      </c>
      <c r="F398">
        <f>IF($A398="","",COUNTIFS('Таблиця 1'!$B:$B,$A398,'Таблиця 1'!$I:$I,"Су-25"))</f>
        <v/>
      </c>
      <c r="G398">
        <f>IF($A398="","",COUNTIFS('Таблиця 1'!$B:$B,$A398,'Таблиця 1'!$I:$I,"Су-27"))</f>
        <v/>
      </c>
      <c r="H398">
        <f>IF($A398="","",SUMIFS('Таблиця 1'!$K:$K,'Таблиця 1'!$B:$B,$A398,'Таблиця 1'!$I:$I,"Mirage",'Таблиця 1'!$J:$J,"AGM-88")+SUMIFS('Таблиця 1'!$K:$K,'Таблиця 1'!$B:$B,$A398,'Таблиця 1'!$I:$I,"F-16",'Таблиця 1'!$J:$J,"AGM-88")+SUMIFS('Таблиця 1'!$K:$K,'Таблиця 1'!$B:$B,$A398,'Таблиця 1'!$I:$I,"МіГ-29",'Таблиця 1'!$J:$J,"AGM-88")+SUMIFS('Таблиця 1'!$K:$K,'Таблиця 1'!$B:$B,$A398,'Таблиця 1'!$I:$I,"Су-25",'Таблиця 1'!$J:$J,"AGM-88")+SUMIFS('Таблиця 1'!$K:$K,'Таблиця 1'!$B:$B,$A398,'Таблиця 1'!$I:$I,"Су-27",'Таблиця 1'!$J:$J,"AGM-88"))</f>
        <v/>
      </c>
      <c r="I398">
        <f>IF($A398="","",SUMIFS('Таблиця 1'!$K:$K,'Таблиця 1'!$B:$B,$A398,'Таблиця 1'!$I:$I,"Mirage",'Таблиця 1'!$J:$J,"AASM-250")+SUMIFS('Таблиця 1'!$K:$K,'Таблиця 1'!$B:$B,$A398,'Таблиця 1'!$I:$I,"F-16",'Таблиця 1'!$J:$J,"AASM-250")+SUMIFS('Таблиця 1'!$K:$K,'Таблиця 1'!$B:$B,$A398,'Таблиця 1'!$I:$I,"МіГ-29",'Таблиця 1'!$J:$J,"AASM-250")+SUMIFS('Таблиця 1'!$K:$K,'Таблиця 1'!$B:$B,$A398,'Таблиця 1'!$I:$I,"Су-25",'Таблиця 1'!$J:$J,"AASM-250")+SUMIFS('Таблиця 1'!$K:$K,'Таблиця 1'!$B:$B,$A398,'Таблиця 1'!$I:$I,"Су-27",'Таблиця 1'!$J:$J,"AASM-250"))</f>
        <v/>
      </c>
      <c r="J398">
        <f>IF($A398="","",SUMIFS('Таблиця 1'!$K:$K,'Таблиця 1'!$B:$B,$A398,'Таблиця 1'!$I:$I,"Mirage",'Таблиця 1'!$J:$J,"GBU-39")+SUMIFS('Таблиця 1'!$K:$K,'Таблиця 1'!$B:$B,$A398,'Таблиця 1'!$I:$I,"F-16",'Таблиця 1'!$J:$J,"GBU-39")+SUMIFS('Таблиця 1'!$K:$K,'Таблиця 1'!$B:$B,$A398,'Таблиця 1'!$I:$I,"МіГ-29",'Таблиця 1'!$J:$J,"GBU-39")+SUMIFS('Таблиця 1'!$K:$K,'Таблиця 1'!$B:$B,$A398,'Таблиця 1'!$I:$I,"Су-25",'Таблиця 1'!$J:$J,"GBU-39")+SUMIFS('Таблиця 1'!$K:$K,'Таблиця 1'!$B:$B,$A398,'Таблиця 1'!$I:$I,"Су-27",'Таблиця 1'!$J:$J,"GBU-39"))</f>
        <v/>
      </c>
      <c r="K398">
        <f>IF($A398="","",SUMIFS('Таблиця 1'!$K:$K,'Таблиця 1'!$B:$B,$A398,'Таблиця 1'!$I:$I,"Mirage",'Таблиця 1'!$J:$J,"BLU-140")+SUMIFS('Таблиця 1'!$K:$K,'Таблиця 1'!$B:$B,$A398,'Таблиця 1'!$I:$I,"F-16",'Таблиця 1'!$J:$J,"BLU-140")+SUMIFS('Таблиця 1'!$K:$K,'Таблиця 1'!$B:$B,$A398,'Таблиця 1'!$I:$I,"МіГ-29",'Таблиця 1'!$J:$J,"BLU-140")+SUMIFS('Таблиця 1'!$K:$K,'Таблиця 1'!$B:$B,$A398,'Таблиця 1'!$I:$I,"Су-25",'Таблиця 1'!$J:$J,"BLU-140")+SUMIFS('Таблиця 1'!$K:$K,'Таблиця 1'!$B:$B,$A398,'Таблиця 1'!$I:$I,"Су-27",'Таблиця 1'!$J:$J,"BLU-140"))</f>
        <v/>
      </c>
      <c r="L398">
        <f>IF($A398="","",SUMIFS('Таблиця 1'!$K:$K,'Таблиця 1'!$B:$B,$A398,'Таблиця 1'!$I:$I,"Mirage",'Таблиця 1'!$J:$J,"GBU-65")+SUMIFS('Таблиця 1'!$K:$K,'Таблиця 1'!$B:$B,$A398,'Таблиця 1'!$I:$I,"F-16",'Таблиця 1'!$J:$J,"GBU-65")+SUMIFS('Таблиця 1'!$K:$K,'Таблиця 1'!$B:$B,$A398,'Таблиця 1'!$I:$I,"МіГ-29",'Таблиця 1'!$J:$J,"GBU-65")+SUMIFS('Таблиця 1'!$K:$K,'Таблиця 1'!$B:$B,$A398,'Таблиця 1'!$I:$I,"Су-25",'Таблиця 1'!$J:$J,"GBU-65")+SUMIFS('Таблиця 1'!$K:$K,'Таблиця 1'!$B:$B,$A398,'Таблиця 1'!$I:$I,"Су-27",'Таблиця 1'!$J:$J,"GBU-65"))</f>
        <v/>
      </c>
      <c r="M398">
        <f>IF($A398="","",SUMIFS('Таблиця 1'!$K:$K,'Таблиця 1'!$B:$B,$A398,'Таблиця 1'!$I:$I,"Mirage",'Таблиця 1'!$J:$J,"GBU-62")+SUMIFS('Таблиця 1'!$K:$K,'Таблиця 1'!$B:$B,$A398,'Таблиця 1'!$I:$I,"F-16",'Таблиця 1'!$J:$J,"GBU-62")+SUMIFS('Таблиця 1'!$K:$K,'Таблиця 1'!$B:$B,$A398,'Таблиця 1'!$I:$I,"МіГ-29",'Таблиця 1'!$J:$J,"GBU-62")+SUMIFS('Таблиця 1'!$K:$K,'Таблиця 1'!$B:$B,$A398,'Таблиця 1'!$I:$I,"Су-25",'Таблиця 1'!$J:$J,"GBU-62")+SUMIFS('Таблиця 1'!$K:$K,'Таблиця 1'!$B:$B,$A398,'Таблиця 1'!$I:$I,"Су-27",'Таблиця 1'!$J:$J,"GBU-62"))</f>
        <v/>
      </c>
      <c r="N398">
        <f>IF($A398="","",SUMIFS('Таблиця 1'!$K:$K,'Таблиця 1'!$B:$B,$A398,'Таблиця 1'!$I:$I,"Mirage",'Таблиця 1'!$J:$J,"GBU-64")+SUMIFS('Таблиця 1'!$K:$K,'Таблиця 1'!$B:$B,$A398,'Таблиця 1'!$I:$I,"F-16",'Таблиця 1'!$J:$J,"GBU-64")+SUMIFS('Таблиця 1'!$K:$K,'Таблиця 1'!$B:$B,$A398,'Таблиця 1'!$I:$I,"МіГ-29",'Таблиця 1'!$J:$J,"GBU-64")+SUMIFS('Таблиця 1'!$K:$K,'Таблиця 1'!$B:$B,$A398,'Таблиця 1'!$I:$I,"Су-25",'Таблиця 1'!$J:$J,"GBU-64")+SUMIFS('Таблиця 1'!$K:$K,'Таблиця 1'!$B:$B,$A398,'Таблиця 1'!$I:$I,"Су-27",'Таблиця 1'!$J:$J,"GBU-64"))</f>
        <v/>
      </c>
      <c r="O398">
        <f>IF($A398="","",SUMIFS('Таблиця 1'!$K:$K,'Таблиця 1'!$B:$B,$A398,'Таблиця 1'!$I:$I,"Mirage",'Таблиця 1'!$J:$J,"C-13")+SUMIFS('Таблиця 1'!$K:$K,'Таблиця 1'!$B:$B,$A398,'Таблиця 1'!$I:$I,"F-16",'Таблиця 1'!$J:$J,"C-13")+SUMIFS('Таблиця 1'!$K:$K,'Таблиця 1'!$B:$B,$A398,'Таблиця 1'!$I:$I,"МіГ-29",'Таблиця 1'!$J:$J,"C-13")+SUMIFS('Таблиця 1'!$K:$K,'Таблиця 1'!$B:$B,$A398,'Таблиця 1'!$I:$I,"Су-25",'Таблиця 1'!$J:$J,"C-13")+SUMIFS('Таблиця 1'!$K:$K,'Таблиця 1'!$B:$B,$A398,'Таблиця 1'!$I:$I,"Су-27",'Таблиця 1'!$J:$J,"C-13"))</f>
        <v/>
      </c>
      <c r="P398">
        <f>IF($A398="","",SUMIFS('Таблиця 1'!$K:$K,'Таблиця 1'!$B:$B,$A398,'Таблиця 1'!$I:$I,"Mirage",'Таблиця 1'!$J:$J,"MK-32")+SUMIFS('Таблиця 1'!$K:$K,'Таблиця 1'!$B:$B,$A398,'Таблиця 1'!$I:$I,"F-16",'Таблиця 1'!$J:$J,"MK-32")+SUMIFS('Таблиця 1'!$K:$K,'Таблиця 1'!$B:$B,$A398,'Таблиця 1'!$I:$I,"МіГ-29",'Таблиця 1'!$J:$J,"MK-32")+SUMIFS('Таблиця 1'!$K:$K,'Таблиця 1'!$B:$B,$A398,'Таблиця 1'!$I:$I,"Су-25",'Таблиця 1'!$J:$J,"MK-32")+SUMIFS('Таблиця 1'!$K:$K,'Таблиця 1'!$B:$B,$A398,'Таблиця 1'!$I:$I,"Су-27",'Таблиця 1'!$J:$J,"MK-32"))</f>
        <v/>
      </c>
      <c r="Q398">
        <f>IF($A398="","",SUMIFS('Таблиця 1'!$K:$K,'Таблиця 1'!$B:$B,$A398,'Таблиця 1'!$I:$I,"Mirage",'Таблиця 1'!$J:$J,"MK-24")+SUMIFS('Таблиця 1'!$K:$K,'Таблиця 1'!$B:$B,$A398,'Таблиця 1'!$I:$I,"F-16",'Таблиця 1'!$J:$J,"MK-24")+SUMIFS('Таблиця 1'!$K:$K,'Таблиця 1'!$B:$B,$A398,'Таблиця 1'!$I:$I,"МіГ-29",'Таблиця 1'!$J:$J,"MK-24")+SUMIFS('Таблиця 1'!$K:$K,'Таблиця 1'!$B:$B,$A398,'Таблиця 1'!$I:$I,"Су-25",'Таблиця 1'!$J:$J,"MK-24")+SUMIFS('Таблиця 1'!$K:$K,'Таблиця 1'!$B:$B,$A398,'Таблиця 1'!$I:$I,"Су-27",'Таблиця 1'!$J:$J,"MK-24"))</f>
        <v/>
      </c>
      <c r="R398">
        <f>IF($A398="","",COUNTIFS('Таблиця 1'!$B:$B,$A398,'Таблиця 1'!$I:$I,"Mirage",'Таблиця 1'!$L:$L,"Уражено")+COUNTIFS('Таблиця 1'!$B:$B,$A398,'Таблиця 1'!$I:$I,"F-16",'Таблиця 1'!$L:$L,"Уражено")+COUNTIFS('Таблиця 1'!$B:$B,$A398,'Таблиця 1'!$I:$I,"МіГ-29",'Таблиця 1'!$L:$L,"Уражено")+COUNTIFS('Таблиця 1'!$B:$B,$A398,'Таблиця 1'!$I:$I,"Су-25",'Таблиця 1'!$L:$L,"Уражено")+COUNTIFS('Таблиця 1'!$B:$B,$A398,'Таблиця 1'!$I:$I,"Су-27",'Таблиця 1'!$L:$L,"Уражено"))</f>
        <v/>
      </c>
      <c r="S398">
        <f>IF($A398="","",COUNTIFS('Таблиця 1'!$B:$B,$A398,'Таблиця 1'!$I:$I,"Mirage",'Таблиця 1'!$L:$L,"НЕ уражено")+COUNTIFS('Таблиця 1'!$B:$B,$A398,'Таблиця 1'!$I:$I,"F-16",'Таблиця 1'!$L:$L,"НЕ уражено")+COUNTIFS('Таблиця 1'!$B:$B,$A398,'Таблиця 1'!$I:$I,"МіГ-29",'Таблиця 1'!$L:$L,"НЕ уражено")+COUNTIFS('Таблиця 1'!$B:$B,$A398,'Таблиця 1'!$I:$I,"Су-25",'Таблиця 1'!$L:$L,"НЕ уражено")+COUNTIFS('Таблиця 1'!$B:$B,$A398,'Таблиця 1'!$I:$I,"Су-27",'Таблиця 1'!$L:$L,"НЕ уражено"))</f>
        <v/>
      </c>
      <c r="T398">
        <f>IF($A398="","",COUNTIFS('Таблиця 1'!$B:$B,$A398,'Таблиця 1'!$I:$I,"Mirage",'Таблиця 1'!$L:$L,"Дорозвідується")+COUNTIFS('Таблиця 1'!$B:$B,$A398,'Таблиця 1'!$I:$I,"F-16",'Таблиця 1'!$L:$L,"Дорозвідується")+COUNTIFS('Таблиця 1'!$B:$B,$A398,'Таблиця 1'!$I:$I,"МіГ-29",'Таблиця 1'!$L:$L,"Дорозвідується")+COUNTIFS('Таблиця 1'!$B:$B,$A398,'Таблиця 1'!$I:$I,"Су-25",'Таблиця 1'!$L:$L,"Дорозвідується")+COUNTIFS('Таблиця 1'!$B:$B,$A398,'Таблиця 1'!$I:$I,"Су-27",'Таблиця 1'!$L:$L,"Дорозвідується"))</f>
        <v/>
      </c>
    </row>
    <row r="399">
      <c r="A399" s="273">
        <f>IF(A398="","",IF(A398+1&gt;MAX('Таблиця 1'!$B:$B),"",A398+1))</f>
        <v/>
      </c>
      <c r="B399">
        <f>IF($A399="","",COUNTIFS('Таблиця 1'!$B:$B,$A399,'Таблиця 1'!$I:$I,"Mirage")+COUNTIFS('Таблиця 1'!$B:$B,$A399,'Таблиця 1'!$I:$I,"F-16")+COUNTIFS('Таблиця 1'!$B:$B,$A399,'Таблиця 1'!$I:$I,"МіГ-29")+COUNTIFS('Таблиця 1'!$B:$B,$A399,'Таблиця 1'!$I:$I,"Су-25")+COUNTIFS('Таблиця 1'!$B:$B,$A399,'Таблиця 1'!$I:$I,"Су-27"))</f>
        <v/>
      </c>
      <c r="C399">
        <f>IF($A399="","",COUNTIFS('Таблиця 1'!$B:$B,$A399,'Таблиця 1'!$I:$I,"Mirage"))</f>
        <v/>
      </c>
      <c r="D399">
        <f>IF($A399="","",COUNTIFS('Таблиця 1'!$B:$B,$A399,'Таблиця 1'!$I:$I,"F-16"))</f>
        <v/>
      </c>
      <c r="E399">
        <f>IF($A399="","",COUNTIFS('Таблиця 1'!$B:$B,$A399,'Таблиця 1'!$I:$I,"МіГ-29"))</f>
        <v/>
      </c>
      <c r="F399">
        <f>IF($A399="","",COUNTIFS('Таблиця 1'!$B:$B,$A399,'Таблиця 1'!$I:$I,"Су-25"))</f>
        <v/>
      </c>
      <c r="G399">
        <f>IF($A399="","",COUNTIFS('Таблиця 1'!$B:$B,$A399,'Таблиця 1'!$I:$I,"Су-27"))</f>
        <v/>
      </c>
      <c r="H399">
        <f>IF($A399="","",SUMIFS('Таблиця 1'!$K:$K,'Таблиця 1'!$B:$B,$A399,'Таблиця 1'!$I:$I,"Mirage",'Таблиця 1'!$J:$J,"AGM-88")+SUMIFS('Таблиця 1'!$K:$K,'Таблиця 1'!$B:$B,$A399,'Таблиця 1'!$I:$I,"F-16",'Таблиця 1'!$J:$J,"AGM-88")+SUMIFS('Таблиця 1'!$K:$K,'Таблиця 1'!$B:$B,$A399,'Таблиця 1'!$I:$I,"МіГ-29",'Таблиця 1'!$J:$J,"AGM-88")+SUMIFS('Таблиця 1'!$K:$K,'Таблиця 1'!$B:$B,$A399,'Таблиця 1'!$I:$I,"Су-25",'Таблиця 1'!$J:$J,"AGM-88")+SUMIFS('Таблиця 1'!$K:$K,'Таблиця 1'!$B:$B,$A399,'Таблиця 1'!$I:$I,"Су-27",'Таблиця 1'!$J:$J,"AGM-88"))</f>
        <v/>
      </c>
      <c r="I399">
        <f>IF($A399="","",SUMIFS('Таблиця 1'!$K:$K,'Таблиця 1'!$B:$B,$A399,'Таблиця 1'!$I:$I,"Mirage",'Таблиця 1'!$J:$J,"AASM-250")+SUMIFS('Таблиця 1'!$K:$K,'Таблиця 1'!$B:$B,$A399,'Таблиця 1'!$I:$I,"F-16",'Таблиця 1'!$J:$J,"AASM-250")+SUMIFS('Таблиця 1'!$K:$K,'Таблиця 1'!$B:$B,$A399,'Таблиця 1'!$I:$I,"МіГ-29",'Таблиця 1'!$J:$J,"AASM-250")+SUMIFS('Таблиця 1'!$K:$K,'Таблиця 1'!$B:$B,$A399,'Таблиця 1'!$I:$I,"Су-25",'Таблиця 1'!$J:$J,"AASM-250")+SUMIFS('Таблиця 1'!$K:$K,'Таблиця 1'!$B:$B,$A399,'Таблиця 1'!$I:$I,"Су-27",'Таблиця 1'!$J:$J,"AASM-250"))</f>
        <v/>
      </c>
      <c r="J399">
        <f>IF($A399="","",SUMIFS('Таблиця 1'!$K:$K,'Таблиця 1'!$B:$B,$A399,'Таблиця 1'!$I:$I,"Mirage",'Таблиця 1'!$J:$J,"GBU-39")+SUMIFS('Таблиця 1'!$K:$K,'Таблиця 1'!$B:$B,$A399,'Таблиця 1'!$I:$I,"F-16",'Таблиця 1'!$J:$J,"GBU-39")+SUMIFS('Таблиця 1'!$K:$K,'Таблиця 1'!$B:$B,$A399,'Таблиця 1'!$I:$I,"МіГ-29",'Таблиця 1'!$J:$J,"GBU-39")+SUMIFS('Таблиця 1'!$K:$K,'Таблиця 1'!$B:$B,$A399,'Таблиця 1'!$I:$I,"Су-25",'Таблиця 1'!$J:$J,"GBU-39")+SUMIFS('Таблиця 1'!$K:$K,'Таблиця 1'!$B:$B,$A399,'Таблиця 1'!$I:$I,"Су-27",'Таблиця 1'!$J:$J,"GBU-39"))</f>
        <v/>
      </c>
      <c r="K399">
        <f>IF($A399="","",SUMIFS('Таблиця 1'!$K:$K,'Таблиця 1'!$B:$B,$A399,'Таблиця 1'!$I:$I,"Mirage",'Таблиця 1'!$J:$J,"BLU-140")+SUMIFS('Таблиця 1'!$K:$K,'Таблиця 1'!$B:$B,$A399,'Таблиця 1'!$I:$I,"F-16",'Таблиця 1'!$J:$J,"BLU-140")+SUMIFS('Таблиця 1'!$K:$K,'Таблиця 1'!$B:$B,$A399,'Таблиця 1'!$I:$I,"МіГ-29",'Таблиця 1'!$J:$J,"BLU-140")+SUMIFS('Таблиця 1'!$K:$K,'Таблиця 1'!$B:$B,$A399,'Таблиця 1'!$I:$I,"Су-25",'Таблиця 1'!$J:$J,"BLU-140")+SUMIFS('Таблиця 1'!$K:$K,'Таблиця 1'!$B:$B,$A399,'Таблиця 1'!$I:$I,"Су-27",'Таблиця 1'!$J:$J,"BLU-140"))</f>
        <v/>
      </c>
      <c r="L399">
        <f>IF($A399="","",SUMIFS('Таблиця 1'!$K:$K,'Таблиця 1'!$B:$B,$A399,'Таблиця 1'!$I:$I,"Mirage",'Таблиця 1'!$J:$J,"GBU-65")+SUMIFS('Таблиця 1'!$K:$K,'Таблиця 1'!$B:$B,$A399,'Таблиця 1'!$I:$I,"F-16",'Таблиця 1'!$J:$J,"GBU-65")+SUMIFS('Таблиця 1'!$K:$K,'Таблиця 1'!$B:$B,$A399,'Таблиця 1'!$I:$I,"МіГ-29",'Таблиця 1'!$J:$J,"GBU-65")+SUMIFS('Таблиця 1'!$K:$K,'Таблиця 1'!$B:$B,$A399,'Таблиця 1'!$I:$I,"Су-25",'Таблиця 1'!$J:$J,"GBU-65")+SUMIFS('Таблиця 1'!$K:$K,'Таблиця 1'!$B:$B,$A399,'Таблиця 1'!$I:$I,"Су-27",'Таблиця 1'!$J:$J,"GBU-65"))</f>
        <v/>
      </c>
      <c r="M399">
        <f>IF($A399="","",SUMIFS('Таблиця 1'!$K:$K,'Таблиця 1'!$B:$B,$A399,'Таблиця 1'!$I:$I,"Mirage",'Таблиця 1'!$J:$J,"GBU-62")+SUMIFS('Таблиця 1'!$K:$K,'Таблиця 1'!$B:$B,$A399,'Таблиця 1'!$I:$I,"F-16",'Таблиця 1'!$J:$J,"GBU-62")+SUMIFS('Таблиця 1'!$K:$K,'Таблиця 1'!$B:$B,$A399,'Таблиця 1'!$I:$I,"МіГ-29",'Таблиця 1'!$J:$J,"GBU-62")+SUMIFS('Таблиця 1'!$K:$K,'Таблиця 1'!$B:$B,$A399,'Таблиця 1'!$I:$I,"Су-25",'Таблиця 1'!$J:$J,"GBU-62")+SUMIFS('Таблиця 1'!$K:$K,'Таблиця 1'!$B:$B,$A399,'Таблиця 1'!$I:$I,"Су-27",'Таблиця 1'!$J:$J,"GBU-62"))</f>
        <v/>
      </c>
      <c r="N399">
        <f>IF($A399="","",SUMIFS('Таблиця 1'!$K:$K,'Таблиця 1'!$B:$B,$A399,'Таблиця 1'!$I:$I,"Mirage",'Таблиця 1'!$J:$J,"GBU-64")+SUMIFS('Таблиця 1'!$K:$K,'Таблиця 1'!$B:$B,$A399,'Таблиця 1'!$I:$I,"F-16",'Таблиця 1'!$J:$J,"GBU-64")+SUMIFS('Таблиця 1'!$K:$K,'Таблиця 1'!$B:$B,$A399,'Таблиця 1'!$I:$I,"МіГ-29",'Таблиця 1'!$J:$J,"GBU-64")+SUMIFS('Таблиця 1'!$K:$K,'Таблиця 1'!$B:$B,$A399,'Таблиця 1'!$I:$I,"Су-25",'Таблиця 1'!$J:$J,"GBU-64")+SUMIFS('Таблиця 1'!$K:$K,'Таблиця 1'!$B:$B,$A399,'Таблиця 1'!$I:$I,"Су-27",'Таблиця 1'!$J:$J,"GBU-64"))</f>
        <v/>
      </c>
      <c r="O399">
        <f>IF($A399="","",SUMIFS('Таблиця 1'!$K:$K,'Таблиця 1'!$B:$B,$A399,'Таблиця 1'!$I:$I,"Mirage",'Таблиця 1'!$J:$J,"C-13")+SUMIFS('Таблиця 1'!$K:$K,'Таблиця 1'!$B:$B,$A399,'Таблиця 1'!$I:$I,"F-16",'Таблиця 1'!$J:$J,"C-13")+SUMIFS('Таблиця 1'!$K:$K,'Таблиця 1'!$B:$B,$A399,'Таблиця 1'!$I:$I,"МіГ-29",'Таблиця 1'!$J:$J,"C-13")+SUMIFS('Таблиця 1'!$K:$K,'Таблиця 1'!$B:$B,$A399,'Таблиця 1'!$I:$I,"Су-25",'Таблиця 1'!$J:$J,"C-13")+SUMIFS('Таблиця 1'!$K:$K,'Таблиця 1'!$B:$B,$A399,'Таблиця 1'!$I:$I,"Су-27",'Таблиця 1'!$J:$J,"C-13"))</f>
        <v/>
      </c>
      <c r="P399">
        <f>IF($A399="","",SUMIFS('Таблиця 1'!$K:$K,'Таблиця 1'!$B:$B,$A399,'Таблиця 1'!$I:$I,"Mirage",'Таблиця 1'!$J:$J,"MK-32")+SUMIFS('Таблиця 1'!$K:$K,'Таблиця 1'!$B:$B,$A399,'Таблиця 1'!$I:$I,"F-16",'Таблиця 1'!$J:$J,"MK-32")+SUMIFS('Таблиця 1'!$K:$K,'Таблиця 1'!$B:$B,$A399,'Таблиця 1'!$I:$I,"МіГ-29",'Таблиця 1'!$J:$J,"MK-32")+SUMIFS('Таблиця 1'!$K:$K,'Таблиця 1'!$B:$B,$A399,'Таблиця 1'!$I:$I,"Су-25",'Таблиця 1'!$J:$J,"MK-32")+SUMIFS('Таблиця 1'!$K:$K,'Таблиця 1'!$B:$B,$A399,'Таблиця 1'!$I:$I,"Су-27",'Таблиця 1'!$J:$J,"MK-32"))</f>
        <v/>
      </c>
      <c r="Q399">
        <f>IF($A399="","",SUMIFS('Таблиця 1'!$K:$K,'Таблиця 1'!$B:$B,$A399,'Таблиця 1'!$I:$I,"Mirage",'Таблиця 1'!$J:$J,"MK-24")+SUMIFS('Таблиця 1'!$K:$K,'Таблиця 1'!$B:$B,$A399,'Таблиця 1'!$I:$I,"F-16",'Таблиця 1'!$J:$J,"MK-24")+SUMIFS('Таблиця 1'!$K:$K,'Таблиця 1'!$B:$B,$A399,'Таблиця 1'!$I:$I,"МіГ-29",'Таблиця 1'!$J:$J,"MK-24")+SUMIFS('Таблиця 1'!$K:$K,'Таблиця 1'!$B:$B,$A399,'Таблиця 1'!$I:$I,"Су-25",'Таблиця 1'!$J:$J,"MK-24")+SUMIFS('Таблиця 1'!$K:$K,'Таблиця 1'!$B:$B,$A399,'Таблиця 1'!$I:$I,"Су-27",'Таблиця 1'!$J:$J,"MK-24"))</f>
        <v/>
      </c>
      <c r="R399">
        <f>IF($A399="","",COUNTIFS('Таблиця 1'!$B:$B,$A399,'Таблиця 1'!$I:$I,"Mirage",'Таблиця 1'!$L:$L,"Уражено")+COUNTIFS('Таблиця 1'!$B:$B,$A399,'Таблиця 1'!$I:$I,"F-16",'Таблиця 1'!$L:$L,"Уражено")+COUNTIFS('Таблиця 1'!$B:$B,$A399,'Таблиця 1'!$I:$I,"МіГ-29",'Таблиця 1'!$L:$L,"Уражено")+COUNTIFS('Таблиця 1'!$B:$B,$A399,'Таблиця 1'!$I:$I,"Су-25",'Таблиця 1'!$L:$L,"Уражено")+COUNTIFS('Таблиця 1'!$B:$B,$A399,'Таблиця 1'!$I:$I,"Су-27",'Таблиця 1'!$L:$L,"Уражено"))</f>
        <v/>
      </c>
      <c r="S399">
        <f>IF($A399="","",COUNTIFS('Таблиця 1'!$B:$B,$A399,'Таблиця 1'!$I:$I,"Mirage",'Таблиця 1'!$L:$L,"НЕ уражено")+COUNTIFS('Таблиця 1'!$B:$B,$A399,'Таблиця 1'!$I:$I,"F-16",'Таблиця 1'!$L:$L,"НЕ уражено")+COUNTIFS('Таблиця 1'!$B:$B,$A399,'Таблиця 1'!$I:$I,"МіГ-29",'Таблиця 1'!$L:$L,"НЕ уражено")+COUNTIFS('Таблиця 1'!$B:$B,$A399,'Таблиця 1'!$I:$I,"Су-25",'Таблиця 1'!$L:$L,"НЕ уражено")+COUNTIFS('Таблиця 1'!$B:$B,$A399,'Таблиця 1'!$I:$I,"Су-27",'Таблиця 1'!$L:$L,"НЕ уражено"))</f>
        <v/>
      </c>
      <c r="T399">
        <f>IF($A399="","",COUNTIFS('Таблиця 1'!$B:$B,$A399,'Таблиця 1'!$I:$I,"Mirage",'Таблиця 1'!$L:$L,"Дорозвідується")+COUNTIFS('Таблиця 1'!$B:$B,$A399,'Таблиця 1'!$I:$I,"F-16",'Таблиця 1'!$L:$L,"Дорозвідується")+COUNTIFS('Таблиця 1'!$B:$B,$A399,'Таблиця 1'!$I:$I,"МіГ-29",'Таблиця 1'!$L:$L,"Дорозвідується")+COUNTIFS('Таблиця 1'!$B:$B,$A399,'Таблиця 1'!$I:$I,"Су-25",'Таблиця 1'!$L:$L,"Дорозвідується")+COUNTIFS('Таблиця 1'!$B:$B,$A399,'Таблиця 1'!$I:$I,"Су-27",'Таблиця 1'!$L:$L,"Дорозвідується"))</f>
        <v/>
      </c>
    </row>
    <row r="400">
      <c r="A400" s="273">
        <f>IF(A399="","",IF(A399+1&gt;MAX('Таблиця 1'!$B:$B),"",A399+1))</f>
        <v/>
      </c>
      <c r="B400">
        <f>IF($A400="","",COUNTIFS('Таблиця 1'!$B:$B,$A400,'Таблиця 1'!$I:$I,"Mirage")+COUNTIFS('Таблиця 1'!$B:$B,$A400,'Таблиця 1'!$I:$I,"F-16")+COUNTIFS('Таблиця 1'!$B:$B,$A400,'Таблиця 1'!$I:$I,"МіГ-29")+COUNTIFS('Таблиця 1'!$B:$B,$A400,'Таблиця 1'!$I:$I,"Су-25")+COUNTIFS('Таблиця 1'!$B:$B,$A400,'Таблиця 1'!$I:$I,"Су-27"))</f>
        <v/>
      </c>
      <c r="C400">
        <f>IF($A400="","",COUNTIFS('Таблиця 1'!$B:$B,$A400,'Таблиця 1'!$I:$I,"Mirage"))</f>
        <v/>
      </c>
      <c r="D400">
        <f>IF($A400="","",COUNTIFS('Таблиця 1'!$B:$B,$A400,'Таблиця 1'!$I:$I,"F-16"))</f>
        <v/>
      </c>
      <c r="E400">
        <f>IF($A400="","",COUNTIFS('Таблиця 1'!$B:$B,$A400,'Таблиця 1'!$I:$I,"МіГ-29"))</f>
        <v/>
      </c>
      <c r="F400">
        <f>IF($A400="","",COUNTIFS('Таблиця 1'!$B:$B,$A400,'Таблиця 1'!$I:$I,"Су-25"))</f>
        <v/>
      </c>
      <c r="G400">
        <f>IF($A400="","",COUNTIFS('Таблиця 1'!$B:$B,$A400,'Таблиця 1'!$I:$I,"Су-27"))</f>
        <v/>
      </c>
      <c r="H400">
        <f>IF($A400="","",SUMIFS('Таблиця 1'!$K:$K,'Таблиця 1'!$B:$B,$A400,'Таблиця 1'!$I:$I,"Mirage",'Таблиця 1'!$J:$J,"AGM-88")+SUMIFS('Таблиця 1'!$K:$K,'Таблиця 1'!$B:$B,$A400,'Таблиця 1'!$I:$I,"F-16",'Таблиця 1'!$J:$J,"AGM-88")+SUMIFS('Таблиця 1'!$K:$K,'Таблиця 1'!$B:$B,$A400,'Таблиця 1'!$I:$I,"МіГ-29",'Таблиця 1'!$J:$J,"AGM-88")+SUMIFS('Таблиця 1'!$K:$K,'Таблиця 1'!$B:$B,$A400,'Таблиця 1'!$I:$I,"Су-25",'Таблиця 1'!$J:$J,"AGM-88")+SUMIFS('Таблиця 1'!$K:$K,'Таблиця 1'!$B:$B,$A400,'Таблиця 1'!$I:$I,"Су-27",'Таблиця 1'!$J:$J,"AGM-88"))</f>
        <v/>
      </c>
      <c r="I400">
        <f>IF($A400="","",SUMIFS('Таблиця 1'!$K:$K,'Таблиця 1'!$B:$B,$A400,'Таблиця 1'!$I:$I,"Mirage",'Таблиця 1'!$J:$J,"AASM-250")+SUMIFS('Таблиця 1'!$K:$K,'Таблиця 1'!$B:$B,$A400,'Таблиця 1'!$I:$I,"F-16",'Таблиця 1'!$J:$J,"AASM-250")+SUMIFS('Таблиця 1'!$K:$K,'Таблиця 1'!$B:$B,$A400,'Таблиця 1'!$I:$I,"МіГ-29",'Таблиця 1'!$J:$J,"AASM-250")+SUMIFS('Таблиця 1'!$K:$K,'Таблиця 1'!$B:$B,$A400,'Таблиця 1'!$I:$I,"Су-25",'Таблиця 1'!$J:$J,"AASM-250")+SUMIFS('Таблиця 1'!$K:$K,'Таблиця 1'!$B:$B,$A400,'Таблиця 1'!$I:$I,"Су-27",'Таблиця 1'!$J:$J,"AASM-250"))</f>
        <v/>
      </c>
      <c r="J400">
        <f>IF($A400="","",SUMIFS('Таблиця 1'!$K:$K,'Таблиця 1'!$B:$B,$A400,'Таблиця 1'!$I:$I,"Mirage",'Таблиця 1'!$J:$J,"GBU-39")+SUMIFS('Таблиця 1'!$K:$K,'Таблиця 1'!$B:$B,$A400,'Таблиця 1'!$I:$I,"F-16",'Таблиця 1'!$J:$J,"GBU-39")+SUMIFS('Таблиця 1'!$K:$K,'Таблиця 1'!$B:$B,$A400,'Таблиця 1'!$I:$I,"МіГ-29",'Таблиця 1'!$J:$J,"GBU-39")+SUMIFS('Таблиця 1'!$K:$K,'Таблиця 1'!$B:$B,$A400,'Таблиця 1'!$I:$I,"Су-25",'Таблиця 1'!$J:$J,"GBU-39")+SUMIFS('Таблиця 1'!$K:$K,'Таблиця 1'!$B:$B,$A400,'Таблиця 1'!$I:$I,"Су-27",'Таблиця 1'!$J:$J,"GBU-39"))</f>
        <v/>
      </c>
      <c r="K400">
        <f>IF($A400="","",SUMIFS('Таблиця 1'!$K:$K,'Таблиця 1'!$B:$B,$A400,'Таблиця 1'!$I:$I,"Mirage",'Таблиця 1'!$J:$J,"BLU-140")+SUMIFS('Таблиця 1'!$K:$K,'Таблиця 1'!$B:$B,$A400,'Таблиця 1'!$I:$I,"F-16",'Таблиця 1'!$J:$J,"BLU-140")+SUMIFS('Таблиця 1'!$K:$K,'Таблиця 1'!$B:$B,$A400,'Таблиця 1'!$I:$I,"МіГ-29",'Таблиця 1'!$J:$J,"BLU-140")+SUMIFS('Таблиця 1'!$K:$K,'Таблиця 1'!$B:$B,$A400,'Таблиця 1'!$I:$I,"Су-25",'Таблиця 1'!$J:$J,"BLU-140")+SUMIFS('Таблиця 1'!$K:$K,'Таблиця 1'!$B:$B,$A400,'Таблиця 1'!$I:$I,"Су-27",'Таблиця 1'!$J:$J,"BLU-140"))</f>
        <v/>
      </c>
      <c r="L400">
        <f>IF($A400="","",SUMIFS('Таблиця 1'!$K:$K,'Таблиця 1'!$B:$B,$A400,'Таблиця 1'!$I:$I,"Mirage",'Таблиця 1'!$J:$J,"GBU-65")+SUMIFS('Таблиця 1'!$K:$K,'Таблиця 1'!$B:$B,$A400,'Таблиця 1'!$I:$I,"F-16",'Таблиця 1'!$J:$J,"GBU-65")+SUMIFS('Таблиця 1'!$K:$K,'Таблиця 1'!$B:$B,$A400,'Таблиця 1'!$I:$I,"МіГ-29",'Таблиця 1'!$J:$J,"GBU-65")+SUMIFS('Таблиця 1'!$K:$K,'Таблиця 1'!$B:$B,$A400,'Таблиця 1'!$I:$I,"Су-25",'Таблиця 1'!$J:$J,"GBU-65")+SUMIFS('Таблиця 1'!$K:$K,'Таблиця 1'!$B:$B,$A400,'Таблиця 1'!$I:$I,"Су-27",'Таблиця 1'!$J:$J,"GBU-65"))</f>
        <v/>
      </c>
      <c r="M400">
        <f>IF($A400="","",SUMIFS('Таблиця 1'!$K:$K,'Таблиця 1'!$B:$B,$A400,'Таблиця 1'!$I:$I,"Mirage",'Таблиця 1'!$J:$J,"GBU-62")+SUMIFS('Таблиця 1'!$K:$K,'Таблиця 1'!$B:$B,$A400,'Таблиця 1'!$I:$I,"F-16",'Таблиця 1'!$J:$J,"GBU-62")+SUMIFS('Таблиця 1'!$K:$K,'Таблиця 1'!$B:$B,$A400,'Таблиця 1'!$I:$I,"МіГ-29",'Таблиця 1'!$J:$J,"GBU-62")+SUMIFS('Таблиця 1'!$K:$K,'Таблиця 1'!$B:$B,$A400,'Таблиця 1'!$I:$I,"Су-25",'Таблиця 1'!$J:$J,"GBU-62")+SUMIFS('Таблиця 1'!$K:$K,'Таблиця 1'!$B:$B,$A400,'Таблиця 1'!$I:$I,"Су-27",'Таблиця 1'!$J:$J,"GBU-62"))</f>
        <v/>
      </c>
      <c r="N400">
        <f>IF($A400="","",SUMIFS('Таблиця 1'!$K:$K,'Таблиця 1'!$B:$B,$A400,'Таблиця 1'!$I:$I,"Mirage",'Таблиця 1'!$J:$J,"GBU-64")+SUMIFS('Таблиця 1'!$K:$K,'Таблиця 1'!$B:$B,$A400,'Таблиця 1'!$I:$I,"F-16",'Таблиця 1'!$J:$J,"GBU-64")+SUMIFS('Таблиця 1'!$K:$K,'Таблиця 1'!$B:$B,$A400,'Таблиця 1'!$I:$I,"МіГ-29",'Таблиця 1'!$J:$J,"GBU-64")+SUMIFS('Таблиця 1'!$K:$K,'Таблиця 1'!$B:$B,$A400,'Таблиця 1'!$I:$I,"Су-25",'Таблиця 1'!$J:$J,"GBU-64")+SUMIFS('Таблиця 1'!$K:$K,'Таблиця 1'!$B:$B,$A400,'Таблиця 1'!$I:$I,"Су-27",'Таблиця 1'!$J:$J,"GBU-64"))</f>
        <v/>
      </c>
      <c r="O400">
        <f>IF($A400="","",SUMIFS('Таблиця 1'!$K:$K,'Таблиця 1'!$B:$B,$A400,'Таблиця 1'!$I:$I,"Mirage",'Таблиця 1'!$J:$J,"C-13")+SUMIFS('Таблиця 1'!$K:$K,'Таблиця 1'!$B:$B,$A400,'Таблиця 1'!$I:$I,"F-16",'Таблиця 1'!$J:$J,"C-13")+SUMIFS('Таблиця 1'!$K:$K,'Таблиця 1'!$B:$B,$A400,'Таблиця 1'!$I:$I,"МіГ-29",'Таблиця 1'!$J:$J,"C-13")+SUMIFS('Таблиця 1'!$K:$K,'Таблиця 1'!$B:$B,$A400,'Таблиця 1'!$I:$I,"Су-25",'Таблиця 1'!$J:$J,"C-13")+SUMIFS('Таблиця 1'!$K:$K,'Таблиця 1'!$B:$B,$A400,'Таблиця 1'!$I:$I,"Су-27",'Таблиця 1'!$J:$J,"C-13"))</f>
        <v/>
      </c>
      <c r="P400">
        <f>IF($A400="","",SUMIFS('Таблиця 1'!$K:$K,'Таблиця 1'!$B:$B,$A400,'Таблиця 1'!$I:$I,"Mirage",'Таблиця 1'!$J:$J,"MK-32")+SUMIFS('Таблиця 1'!$K:$K,'Таблиця 1'!$B:$B,$A400,'Таблиця 1'!$I:$I,"F-16",'Таблиця 1'!$J:$J,"MK-32")+SUMIFS('Таблиця 1'!$K:$K,'Таблиця 1'!$B:$B,$A400,'Таблиця 1'!$I:$I,"МіГ-29",'Таблиця 1'!$J:$J,"MK-32")+SUMIFS('Таблиця 1'!$K:$K,'Таблиця 1'!$B:$B,$A400,'Таблиця 1'!$I:$I,"Су-25",'Таблиця 1'!$J:$J,"MK-32")+SUMIFS('Таблиця 1'!$K:$K,'Таблиця 1'!$B:$B,$A400,'Таблиця 1'!$I:$I,"Су-27",'Таблиця 1'!$J:$J,"MK-32"))</f>
        <v/>
      </c>
      <c r="Q400">
        <f>IF($A400="","",SUMIFS('Таблиця 1'!$K:$K,'Таблиця 1'!$B:$B,$A400,'Таблиця 1'!$I:$I,"Mirage",'Таблиця 1'!$J:$J,"MK-24")+SUMIFS('Таблиця 1'!$K:$K,'Таблиця 1'!$B:$B,$A400,'Таблиця 1'!$I:$I,"F-16",'Таблиця 1'!$J:$J,"MK-24")+SUMIFS('Таблиця 1'!$K:$K,'Таблиця 1'!$B:$B,$A400,'Таблиця 1'!$I:$I,"МіГ-29",'Таблиця 1'!$J:$J,"MK-24")+SUMIFS('Таблиця 1'!$K:$K,'Таблиця 1'!$B:$B,$A400,'Таблиця 1'!$I:$I,"Су-25",'Таблиця 1'!$J:$J,"MK-24")+SUMIFS('Таблиця 1'!$K:$K,'Таблиця 1'!$B:$B,$A400,'Таблиця 1'!$I:$I,"Су-27",'Таблиця 1'!$J:$J,"MK-24"))</f>
        <v/>
      </c>
      <c r="R400">
        <f>IF($A400="","",COUNTIFS('Таблиця 1'!$B:$B,$A400,'Таблиця 1'!$I:$I,"Mirage",'Таблиця 1'!$L:$L,"Уражено")+COUNTIFS('Таблиця 1'!$B:$B,$A400,'Таблиця 1'!$I:$I,"F-16",'Таблиця 1'!$L:$L,"Уражено")+COUNTIFS('Таблиця 1'!$B:$B,$A400,'Таблиця 1'!$I:$I,"МіГ-29",'Таблиця 1'!$L:$L,"Уражено")+COUNTIFS('Таблиця 1'!$B:$B,$A400,'Таблиця 1'!$I:$I,"Су-25",'Таблиця 1'!$L:$L,"Уражено")+COUNTIFS('Таблиця 1'!$B:$B,$A400,'Таблиця 1'!$I:$I,"Су-27",'Таблиця 1'!$L:$L,"Уражено"))</f>
        <v/>
      </c>
      <c r="S400">
        <f>IF($A400="","",COUNTIFS('Таблиця 1'!$B:$B,$A400,'Таблиця 1'!$I:$I,"Mirage",'Таблиця 1'!$L:$L,"НЕ уражено")+COUNTIFS('Таблиця 1'!$B:$B,$A400,'Таблиця 1'!$I:$I,"F-16",'Таблиця 1'!$L:$L,"НЕ уражено")+COUNTIFS('Таблиця 1'!$B:$B,$A400,'Таблиця 1'!$I:$I,"МіГ-29",'Таблиця 1'!$L:$L,"НЕ уражено")+COUNTIFS('Таблиця 1'!$B:$B,$A400,'Таблиця 1'!$I:$I,"Су-25",'Таблиця 1'!$L:$L,"НЕ уражено")+COUNTIFS('Таблиця 1'!$B:$B,$A400,'Таблиця 1'!$I:$I,"Су-27",'Таблиця 1'!$L:$L,"НЕ уражено"))</f>
        <v/>
      </c>
      <c r="T400">
        <f>IF($A400="","",COUNTIFS('Таблиця 1'!$B:$B,$A400,'Таблиця 1'!$I:$I,"Mirage",'Таблиця 1'!$L:$L,"Дорозвідується")+COUNTIFS('Таблиця 1'!$B:$B,$A400,'Таблиця 1'!$I:$I,"F-16",'Таблиця 1'!$L:$L,"Дорозвідується")+COUNTIFS('Таблиця 1'!$B:$B,$A400,'Таблиця 1'!$I:$I,"МіГ-29",'Таблиця 1'!$L:$L,"Дорозвідується")+COUNTIFS('Таблиця 1'!$B:$B,$A400,'Таблиця 1'!$I:$I,"Су-25",'Таблиця 1'!$L:$L,"Дорозвідується")+COUNTIFS('Таблиця 1'!$B:$B,$A400,'Таблиця 1'!$I:$I,"Су-27",'Таблиця 1'!$L:$L,"Дорозвідується"))</f>
        <v/>
      </c>
    </row>
    <row r="401">
      <c r="A401" s="273">
        <f>IF(A400="","",IF(A400+1&gt;MAX('Таблиця 1'!$B:$B),"",A400+1))</f>
        <v/>
      </c>
      <c r="B401">
        <f>IF($A401="","",COUNTIFS('Таблиця 1'!$B:$B,$A401,'Таблиця 1'!$I:$I,"Mirage")+COUNTIFS('Таблиця 1'!$B:$B,$A401,'Таблиця 1'!$I:$I,"F-16")+COUNTIFS('Таблиця 1'!$B:$B,$A401,'Таблиця 1'!$I:$I,"МіГ-29")+COUNTIFS('Таблиця 1'!$B:$B,$A401,'Таблиця 1'!$I:$I,"Су-25")+COUNTIFS('Таблиця 1'!$B:$B,$A401,'Таблиця 1'!$I:$I,"Су-27"))</f>
        <v/>
      </c>
      <c r="C401">
        <f>IF($A401="","",COUNTIFS('Таблиця 1'!$B:$B,$A401,'Таблиця 1'!$I:$I,"Mirage"))</f>
        <v/>
      </c>
      <c r="D401">
        <f>IF($A401="","",COUNTIFS('Таблиця 1'!$B:$B,$A401,'Таблиця 1'!$I:$I,"F-16"))</f>
        <v/>
      </c>
      <c r="E401">
        <f>IF($A401="","",COUNTIFS('Таблиця 1'!$B:$B,$A401,'Таблиця 1'!$I:$I,"МіГ-29"))</f>
        <v/>
      </c>
      <c r="F401">
        <f>IF($A401="","",COUNTIFS('Таблиця 1'!$B:$B,$A401,'Таблиця 1'!$I:$I,"Су-25"))</f>
        <v/>
      </c>
      <c r="G401">
        <f>IF($A401="","",COUNTIFS('Таблиця 1'!$B:$B,$A401,'Таблиця 1'!$I:$I,"Су-27"))</f>
        <v/>
      </c>
      <c r="H401">
        <f>IF($A401="","",SUMIFS('Таблиця 1'!$K:$K,'Таблиця 1'!$B:$B,$A401,'Таблиця 1'!$I:$I,"Mirage",'Таблиця 1'!$J:$J,"AGM-88")+SUMIFS('Таблиця 1'!$K:$K,'Таблиця 1'!$B:$B,$A401,'Таблиця 1'!$I:$I,"F-16",'Таблиця 1'!$J:$J,"AGM-88")+SUMIFS('Таблиця 1'!$K:$K,'Таблиця 1'!$B:$B,$A401,'Таблиця 1'!$I:$I,"МіГ-29",'Таблиця 1'!$J:$J,"AGM-88")+SUMIFS('Таблиця 1'!$K:$K,'Таблиця 1'!$B:$B,$A401,'Таблиця 1'!$I:$I,"Су-25",'Таблиця 1'!$J:$J,"AGM-88")+SUMIFS('Таблиця 1'!$K:$K,'Таблиця 1'!$B:$B,$A401,'Таблиця 1'!$I:$I,"Су-27",'Таблиця 1'!$J:$J,"AGM-88"))</f>
        <v/>
      </c>
      <c r="I401">
        <f>IF($A401="","",SUMIFS('Таблиця 1'!$K:$K,'Таблиця 1'!$B:$B,$A401,'Таблиця 1'!$I:$I,"Mirage",'Таблиця 1'!$J:$J,"AASM-250")+SUMIFS('Таблиця 1'!$K:$K,'Таблиця 1'!$B:$B,$A401,'Таблиця 1'!$I:$I,"F-16",'Таблиця 1'!$J:$J,"AASM-250")+SUMIFS('Таблиця 1'!$K:$K,'Таблиця 1'!$B:$B,$A401,'Таблиця 1'!$I:$I,"МіГ-29",'Таблиця 1'!$J:$J,"AASM-250")+SUMIFS('Таблиця 1'!$K:$K,'Таблиця 1'!$B:$B,$A401,'Таблиця 1'!$I:$I,"Су-25",'Таблиця 1'!$J:$J,"AASM-250")+SUMIFS('Таблиця 1'!$K:$K,'Таблиця 1'!$B:$B,$A401,'Таблиця 1'!$I:$I,"Су-27",'Таблиця 1'!$J:$J,"AASM-250"))</f>
        <v/>
      </c>
      <c r="J401">
        <f>IF($A401="","",SUMIFS('Таблиця 1'!$K:$K,'Таблиця 1'!$B:$B,$A401,'Таблиця 1'!$I:$I,"Mirage",'Таблиця 1'!$J:$J,"GBU-39")+SUMIFS('Таблиця 1'!$K:$K,'Таблиця 1'!$B:$B,$A401,'Таблиця 1'!$I:$I,"F-16",'Таблиця 1'!$J:$J,"GBU-39")+SUMIFS('Таблиця 1'!$K:$K,'Таблиця 1'!$B:$B,$A401,'Таблиця 1'!$I:$I,"МіГ-29",'Таблиця 1'!$J:$J,"GBU-39")+SUMIFS('Таблиця 1'!$K:$K,'Таблиця 1'!$B:$B,$A401,'Таблиця 1'!$I:$I,"Су-25",'Таблиця 1'!$J:$J,"GBU-39")+SUMIFS('Таблиця 1'!$K:$K,'Таблиця 1'!$B:$B,$A401,'Таблиця 1'!$I:$I,"Су-27",'Таблиця 1'!$J:$J,"GBU-39"))</f>
        <v/>
      </c>
      <c r="K401">
        <f>IF($A401="","",SUMIFS('Таблиця 1'!$K:$K,'Таблиця 1'!$B:$B,$A401,'Таблиця 1'!$I:$I,"Mirage",'Таблиця 1'!$J:$J,"BLU-140")+SUMIFS('Таблиця 1'!$K:$K,'Таблиця 1'!$B:$B,$A401,'Таблиця 1'!$I:$I,"F-16",'Таблиця 1'!$J:$J,"BLU-140")+SUMIFS('Таблиця 1'!$K:$K,'Таблиця 1'!$B:$B,$A401,'Таблиця 1'!$I:$I,"МіГ-29",'Таблиця 1'!$J:$J,"BLU-140")+SUMIFS('Таблиця 1'!$K:$K,'Таблиця 1'!$B:$B,$A401,'Таблиця 1'!$I:$I,"Су-25",'Таблиця 1'!$J:$J,"BLU-140")+SUMIFS('Таблиця 1'!$K:$K,'Таблиця 1'!$B:$B,$A401,'Таблиця 1'!$I:$I,"Су-27",'Таблиця 1'!$J:$J,"BLU-140"))</f>
        <v/>
      </c>
      <c r="L401">
        <f>IF($A401="","",SUMIFS('Таблиця 1'!$K:$K,'Таблиця 1'!$B:$B,$A401,'Таблиця 1'!$I:$I,"Mirage",'Таблиця 1'!$J:$J,"GBU-65")+SUMIFS('Таблиця 1'!$K:$K,'Таблиця 1'!$B:$B,$A401,'Таблиця 1'!$I:$I,"F-16",'Таблиця 1'!$J:$J,"GBU-65")+SUMIFS('Таблиця 1'!$K:$K,'Таблиця 1'!$B:$B,$A401,'Таблиця 1'!$I:$I,"МіГ-29",'Таблиця 1'!$J:$J,"GBU-65")+SUMIFS('Таблиця 1'!$K:$K,'Таблиця 1'!$B:$B,$A401,'Таблиця 1'!$I:$I,"Су-25",'Таблиця 1'!$J:$J,"GBU-65")+SUMIFS('Таблиця 1'!$K:$K,'Таблиця 1'!$B:$B,$A401,'Таблиця 1'!$I:$I,"Су-27",'Таблиця 1'!$J:$J,"GBU-65"))</f>
        <v/>
      </c>
      <c r="M401">
        <f>IF($A401="","",SUMIFS('Таблиця 1'!$K:$K,'Таблиця 1'!$B:$B,$A401,'Таблиця 1'!$I:$I,"Mirage",'Таблиця 1'!$J:$J,"GBU-62")+SUMIFS('Таблиця 1'!$K:$K,'Таблиця 1'!$B:$B,$A401,'Таблиця 1'!$I:$I,"F-16",'Таблиця 1'!$J:$J,"GBU-62")+SUMIFS('Таблиця 1'!$K:$K,'Таблиця 1'!$B:$B,$A401,'Таблиця 1'!$I:$I,"МіГ-29",'Таблиця 1'!$J:$J,"GBU-62")+SUMIFS('Таблиця 1'!$K:$K,'Таблиця 1'!$B:$B,$A401,'Таблиця 1'!$I:$I,"Су-25",'Таблиця 1'!$J:$J,"GBU-62")+SUMIFS('Таблиця 1'!$K:$K,'Таблиця 1'!$B:$B,$A401,'Таблиця 1'!$I:$I,"Су-27",'Таблиця 1'!$J:$J,"GBU-62"))</f>
        <v/>
      </c>
      <c r="N401">
        <f>IF($A401="","",SUMIFS('Таблиця 1'!$K:$K,'Таблиця 1'!$B:$B,$A401,'Таблиця 1'!$I:$I,"Mirage",'Таблиця 1'!$J:$J,"GBU-64")+SUMIFS('Таблиця 1'!$K:$K,'Таблиця 1'!$B:$B,$A401,'Таблиця 1'!$I:$I,"F-16",'Таблиця 1'!$J:$J,"GBU-64")+SUMIFS('Таблиця 1'!$K:$K,'Таблиця 1'!$B:$B,$A401,'Таблиця 1'!$I:$I,"МіГ-29",'Таблиця 1'!$J:$J,"GBU-64")+SUMIFS('Таблиця 1'!$K:$K,'Таблиця 1'!$B:$B,$A401,'Таблиця 1'!$I:$I,"Су-25",'Таблиця 1'!$J:$J,"GBU-64")+SUMIFS('Таблиця 1'!$K:$K,'Таблиця 1'!$B:$B,$A401,'Таблиця 1'!$I:$I,"Су-27",'Таблиця 1'!$J:$J,"GBU-64"))</f>
        <v/>
      </c>
      <c r="O401">
        <f>IF($A401="","",SUMIFS('Таблиця 1'!$K:$K,'Таблиця 1'!$B:$B,$A401,'Таблиця 1'!$I:$I,"Mirage",'Таблиця 1'!$J:$J,"C-13")+SUMIFS('Таблиця 1'!$K:$K,'Таблиця 1'!$B:$B,$A401,'Таблиця 1'!$I:$I,"F-16",'Таблиця 1'!$J:$J,"C-13")+SUMIFS('Таблиця 1'!$K:$K,'Таблиця 1'!$B:$B,$A401,'Таблиця 1'!$I:$I,"МіГ-29",'Таблиця 1'!$J:$J,"C-13")+SUMIFS('Таблиця 1'!$K:$K,'Таблиця 1'!$B:$B,$A401,'Таблиця 1'!$I:$I,"Су-25",'Таблиця 1'!$J:$J,"C-13")+SUMIFS('Таблиця 1'!$K:$K,'Таблиця 1'!$B:$B,$A401,'Таблиця 1'!$I:$I,"Су-27",'Таблиця 1'!$J:$J,"C-13"))</f>
        <v/>
      </c>
      <c r="P401">
        <f>IF($A401="","",SUMIFS('Таблиця 1'!$K:$K,'Таблиця 1'!$B:$B,$A401,'Таблиця 1'!$I:$I,"Mirage",'Таблиця 1'!$J:$J,"MK-32")+SUMIFS('Таблиця 1'!$K:$K,'Таблиця 1'!$B:$B,$A401,'Таблиця 1'!$I:$I,"F-16",'Таблиця 1'!$J:$J,"MK-32")+SUMIFS('Таблиця 1'!$K:$K,'Таблиця 1'!$B:$B,$A401,'Таблиця 1'!$I:$I,"МіГ-29",'Таблиця 1'!$J:$J,"MK-32")+SUMIFS('Таблиця 1'!$K:$K,'Таблиця 1'!$B:$B,$A401,'Таблиця 1'!$I:$I,"Су-25",'Таблиця 1'!$J:$J,"MK-32")+SUMIFS('Таблиця 1'!$K:$K,'Таблиця 1'!$B:$B,$A401,'Таблиця 1'!$I:$I,"Су-27",'Таблиця 1'!$J:$J,"MK-32"))</f>
        <v/>
      </c>
      <c r="Q401">
        <f>IF($A401="","",SUMIFS('Таблиця 1'!$K:$K,'Таблиця 1'!$B:$B,$A401,'Таблиця 1'!$I:$I,"Mirage",'Таблиця 1'!$J:$J,"MK-24")+SUMIFS('Таблиця 1'!$K:$K,'Таблиця 1'!$B:$B,$A401,'Таблиця 1'!$I:$I,"F-16",'Таблиця 1'!$J:$J,"MK-24")+SUMIFS('Таблиця 1'!$K:$K,'Таблиця 1'!$B:$B,$A401,'Таблиця 1'!$I:$I,"МіГ-29",'Таблиця 1'!$J:$J,"MK-24")+SUMIFS('Таблиця 1'!$K:$K,'Таблиця 1'!$B:$B,$A401,'Таблиця 1'!$I:$I,"Су-25",'Таблиця 1'!$J:$J,"MK-24")+SUMIFS('Таблиця 1'!$K:$K,'Таблиця 1'!$B:$B,$A401,'Таблиця 1'!$I:$I,"Су-27",'Таблиця 1'!$J:$J,"MK-24"))</f>
        <v/>
      </c>
      <c r="R401">
        <f>IF($A401="","",COUNTIFS('Таблиця 1'!$B:$B,$A401,'Таблиця 1'!$I:$I,"Mirage",'Таблиця 1'!$L:$L,"Уражено")+COUNTIFS('Таблиця 1'!$B:$B,$A401,'Таблиця 1'!$I:$I,"F-16",'Таблиця 1'!$L:$L,"Уражено")+COUNTIFS('Таблиця 1'!$B:$B,$A401,'Таблиця 1'!$I:$I,"МіГ-29",'Таблиця 1'!$L:$L,"Уражено")+COUNTIFS('Таблиця 1'!$B:$B,$A401,'Таблиця 1'!$I:$I,"Су-25",'Таблиця 1'!$L:$L,"Уражено")+COUNTIFS('Таблиця 1'!$B:$B,$A401,'Таблиця 1'!$I:$I,"Су-27",'Таблиця 1'!$L:$L,"Уражено"))</f>
        <v/>
      </c>
      <c r="S401">
        <f>IF($A401="","",COUNTIFS('Таблиця 1'!$B:$B,$A401,'Таблиця 1'!$I:$I,"Mirage",'Таблиця 1'!$L:$L,"НЕ уражено")+COUNTIFS('Таблиця 1'!$B:$B,$A401,'Таблиця 1'!$I:$I,"F-16",'Таблиця 1'!$L:$L,"НЕ уражено")+COUNTIFS('Таблиця 1'!$B:$B,$A401,'Таблиця 1'!$I:$I,"МіГ-29",'Таблиця 1'!$L:$L,"НЕ уражено")+COUNTIFS('Таблиця 1'!$B:$B,$A401,'Таблиця 1'!$I:$I,"Су-25",'Таблиця 1'!$L:$L,"НЕ уражено")+COUNTIFS('Таблиця 1'!$B:$B,$A401,'Таблиця 1'!$I:$I,"Су-27",'Таблиця 1'!$L:$L,"НЕ уражено"))</f>
        <v/>
      </c>
      <c r="T401">
        <f>IF($A401="","",COUNTIFS('Таблиця 1'!$B:$B,$A401,'Таблиця 1'!$I:$I,"Mirage",'Таблиця 1'!$L:$L,"Дорозвідується")+COUNTIFS('Таблиця 1'!$B:$B,$A401,'Таблиця 1'!$I:$I,"F-16",'Таблиця 1'!$L:$L,"Дорозвідується")+COUNTIFS('Таблиця 1'!$B:$B,$A401,'Таблиця 1'!$I:$I,"МіГ-29",'Таблиця 1'!$L:$L,"Дорозвідується")+COUNTIFS('Таблиця 1'!$B:$B,$A401,'Таблиця 1'!$I:$I,"Су-25",'Таблиця 1'!$L:$L,"Дорозвідується")+COUNTIFS('Таблиця 1'!$B:$B,$A401,'Таблиця 1'!$I:$I,"Су-27",'Таблиця 1'!$L:$L,"Дорозвідується"))</f>
        <v/>
      </c>
    </row>
    <row r="402">
      <c r="A402" s="273">
        <f>IF(A401="","",IF(A401+1&gt;MAX('Таблиця 1'!$B:$B),"",A401+1))</f>
        <v/>
      </c>
      <c r="B402">
        <f>IF($A402="","",COUNTIFS('Таблиця 1'!$B:$B,$A402,'Таблиця 1'!$I:$I,"Mirage")+COUNTIFS('Таблиця 1'!$B:$B,$A402,'Таблиця 1'!$I:$I,"F-16")+COUNTIFS('Таблиця 1'!$B:$B,$A402,'Таблиця 1'!$I:$I,"МіГ-29")+COUNTIFS('Таблиця 1'!$B:$B,$A402,'Таблиця 1'!$I:$I,"Су-25")+COUNTIFS('Таблиця 1'!$B:$B,$A402,'Таблиця 1'!$I:$I,"Су-27"))</f>
        <v/>
      </c>
      <c r="C402">
        <f>IF($A402="","",COUNTIFS('Таблиця 1'!$B:$B,$A402,'Таблиця 1'!$I:$I,"Mirage"))</f>
        <v/>
      </c>
      <c r="D402">
        <f>IF($A402="","",COUNTIFS('Таблиця 1'!$B:$B,$A402,'Таблиця 1'!$I:$I,"F-16"))</f>
        <v/>
      </c>
      <c r="E402">
        <f>IF($A402="","",COUNTIFS('Таблиця 1'!$B:$B,$A402,'Таблиця 1'!$I:$I,"МіГ-29"))</f>
        <v/>
      </c>
      <c r="F402">
        <f>IF($A402="","",COUNTIFS('Таблиця 1'!$B:$B,$A402,'Таблиця 1'!$I:$I,"Су-25"))</f>
        <v/>
      </c>
      <c r="G402">
        <f>IF($A402="","",COUNTIFS('Таблиця 1'!$B:$B,$A402,'Таблиця 1'!$I:$I,"Су-27"))</f>
        <v/>
      </c>
      <c r="H402">
        <f>IF($A402="","",SUMIFS('Таблиця 1'!$K:$K,'Таблиця 1'!$B:$B,$A402,'Таблиця 1'!$I:$I,"Mirage",'Таблиця 1'!$J:$J,"AGM-88")+SUMIFS('Таблиця 1'!$K:$K,'Таблиця 1'!$B:$B,$A402,'Таблиця 1'!$I:$I,"F-16",'Таблиця 1'!$J:$J,"AGM-88")+SUMIFS('Таблиця 1'!$K:$K,'Таблиця 1'!$B:$B,$A402,'Таблиця 1'!$I:$I,"МіГ-29",'Таблиця 1'!$J:$J,"AGM-88")+SUMIFS('Таблиця 1'!$K:$K,'Таблиця 1'!$B:$B,$A402,'Таблиця 1'!$I:$I,"Су-25",'Таблиця 1'!$J:$J,"AGM-88")+SUMIFS('Таблиця 1'!$K:$K,'Таблиця 1'!$B:$B,$A402,'Таблиця 1'!$I:$I,"Су-27",'Таблиця 1'!$J:$J,"AGM-88"))</f>
        <v/>
      </c>
      <c r="I402">
        <f>IF($A402="","",SUMIFS('Таблиця 1'!$K:$K,'Таблиця 1'!$B:$B,$A402,'Таблиця 1'!$I:$I,"Mirage",'Таблиця 1'!$J:$J,"AASM-250")+SUMIFS('Таблиця 1'!$K:$K,'Таблиця 1'!$B:$B,$A402,'Таблиця 1'!$I:$I,"F-16",'Таблиця 1'!$J:$J,"AASM-250")+SUMIFS('Таблиця 1'!$K:$K,'Таблиця 1'!$B:$B,$A402,'Таблиця 1'!$I:$I,"МіГ-29",'Таблиця 1'!$J:$J,"AASM-250")+SUMIFS('Таблиця 1'!$K:$K,'Таблиця 1'!$B:$B,$A402,'Таблиця 1'!$I:$I,"Су-25",'Таблиця 1'!$J:$J,"AASM-250")+SUMIFS('Таблиця 1'!$K:$K,'Таблиця 1'!$B:$B,$A402,'Таблиця 1'!$I:$I,"Су-27",'Таблиця 1'!$J:$J,"AASM-250"))</f>
        <v/>
      </c>
      <c r="J402">
        <f>IF($A402="","",SUMIFS('Таблиця 1'!$K:$K,'Таблиця 1'!$B:$B,$A402,'Таблиця 1'!$I:$I,"Mirage",'Таблиця 1'!$J:$J,"GBU-39")+SUMIFS('Таблиця 1'!$K:$K,'Таблиця 1'!$B:$B,$A402,'Таблиця 1'!$I:$I,"F-16",'Таблиця 1'!$J:$J,"GBU-39")+SUMIFS('Таблиця 1'!$K:$K,'Таблиця 1'!$B:$B,$A402,'Таблиця 1'!$I:$I,"МіГ-29",'Таблиця 1'!$J:$J,"GBU-39")+SUMIFS('Таблиця 1'!$K:$K,'Таблиця 1'!$B:$B,$A402,'Таблиця 1'!$I:$I,"Су-25",'Таблиця 1'!$J:$J,"GBU-39")+SUMIFS('Таблиця 1'!$K:$K,'Таблиця 1'!$B:$B,$A402,'Таблиця 1'!$I:$I,"Су-27",'Таблиця 1'!$J:$J,"GBU-39"))</f>
        <v/>
      </c>
      <c r="K402">
        <f>IF($A402="","",SUMIFS('Таблиця 1'!$K:$K,'Таблиця 1'!$B:$B,$A402,'Таблиця 1'!$I:$I,"Mirage",'Таблиця 1'!$J:$J,"BLU-140")+SUMIFS('Таблиця 1'!$K:$K,'Таблиця 1'!$B:$B,$A402,'Таблиця 1'!$I:$I,"F-16",'Таблиця 1'!$J:$J,"BLU-140")+SUMIFS('Таблиця 1'!$K:$K,'Таблиця 1'!$B:$B,$A402,'Таблиця 1'!$I:$I,"МіГ-29",'Таблиця 1'!$J:$J,"BLU-140")+SUMIFS('Таблиця 1'!$K:$K,'Таблиця 1'!$B:$B,$A402,'Таблиця 1'!$I:$I,"Су-25",'Таблиця 1'!$J:$J,"BLU-140")+SUMIFS('Таблиця 1'!$K:$K,'Таблиця 1'!$B:$B,$A402,'Таблиця 1'!$I:$I,"Су-27",'Таблиця 1'!$J:$J,"BLU-140"))</f>
        <v/>
      </c>
      <c r="L402">
        <f>IF($A402="","",SUMIFS('Таблиця 1'!$K:$K,'Таблиця 1'!$B:$B,$A402,'Таблиця 1'!$I:$I,"Mirage",'Таблиця 1'!$J:$J,"GBU-65")+SUMIFS('Таблиця 1'!$K:$K,'Таблиця 1'!$B:$B,$A402,'Таблиця 1'!$I:$I,"F-16",'Таблиця 1'!$J:$J,"GBU-65")+SUMIFS('Таблиця 1'!$K:$K,'Таблиця 1'!$B:$B,$A402,'Таблиця 1'!$I:$I,"МіГ-29",'Таблиця 1'!$J:$J,"GBU-65")+SUMIFS('Таблиця 1'!$K:$K,'Таблиця 1'!$B:$B,$A402,'Таблиця 1'!$I:$I,"Су-25",'Таблиця 1'!$J:$J,"GBU-65")+SUMIFS('Таблиця 1'!$K:$K,'Таблиця 1'!$B:$B,$A402,'Таблиця 1'!$I:$I,"Су-27",'Таблиця 1'!$J:$J,"GBU-65"))</f>
        <v/>
      </c>
      <c r="M402">
        <f>IF($A402="","",SUMIFS('Таблиця 1'!$K:$K,'Таблиця 1'!$B:$B,$A402,'Таблиця 1'!$I:$I,"Mirage",'Таблиця 1'!$J:$J,"GBU-62")+SUMIFS('Таблиця 1'!$K:$K,'Таблиця 1'!$B:$B,$A402,'Таблиця 1'!$I:$I,"F-16",'Таблиця 1'!$J:$J,"GBU-62")+SUMIFS('Таблиця 1'!$K:$K,'Таблиця 1'!$B:$B,$A402,'Таблиця 1'!$I:$I,"МіГ-29",'Таблиця 1'!$J:$J,"GBU-62")+SUMIFS('Таблиця 1'!$K:$K,'Таблиця 1'!$B:$B,$A402,'Таблиця 1'!$I:$I,"Су-25",'Таблиця 1'!$J:$J,"GBU-62")+SUMIFS('Таблиця 1'!$K:$K,'Таблиця 1'!$B:$B,$A402,'Таблиця 1'!$I:$I,"Су-27",'Таблиця 1'!$J:$J,"GBU-62"))</f>
        <v/>
      </c>
      <c r="N402">
        <f>IF($A402="","",SUMIFS('Таблиця 1'!$K:$K,'Таблиця 1'!$B:$B,$A402,'Таблиця 1'!$I:$I,"Mirage",'Таблиця 1'!$J:$J,"GBU-64")+SUMIFS('Таблиця 1'!$K:$K,'Таблиця 1'!$B:$B,$A402,'Таблиця 1'!$I:$I,"F-16",'Таблиця 1'!$J:$J,"GBU-64")+SUMIFS('Таблиця 1'!$K:$K,'Таблиця 1'!$B:$B,$A402,'Таблиця 1'!$I:$I,"МіГ-29",'Таблиця 1'!$J:$J,"GBU-64")+SUMIFS('Таблиця 1'!$K:$K,'Таблиця 1'!$B:$B,$A402,'Таблиця 1'!$I:$I,"Су-25",'Таблиця 1'!$J:$J,"GBU-64")+SUMIFS('Таблиця 1'!$K:$K,'Таблиця 1'!$B:$B,$A402,'Таблиця 1'!$I:$I,"Су-27",'Таблиця 1'!$J:$J,"GBU-64"))</f>
        <v/>
      </c>
      <c r="O402">
        <f>IF($A402="","",SUMIFS('Таблиця 1'!$K:$K,'Таблиця 1'!$B:$B,$A402,'Таблиця 1'!$I:$I,"Mirage",'Таблиця 1'!$J:$J,"C-13")+SUMIFS('Таблиця 1'!$K:$K,'Таблиця 1'!$B:$B,$A402,'Таблиця 1'!$I:$I,"F-16",'Таблиця 1'!$J:$J,"C-13")+SUMIFS('Таблиця 1'!$K:$K,'Таблиця 1'!$B:$B,$A402,'Таблиця 1'!$I:$I,"МіГ-29",'Таблиця 1'!$J:$J,"C-13")+SUMIFS('Таблиця 1'!$K:$K,'Таблиця 1'!$B:$B,$A402,'Таблиця 1'!$I:$I,"Су-25",'Таблиця 1'!$J:$J,"C-13")+SUMIFS('Таблиця 1'!$K:$K,'Таблиця 1'!$B:$B,$A402,'Таблиця 1'!$I:$I,"Су-27",'Таблиця 1'!$J:$J,"C-13"))</f>
        <v/>
      </c>
      <c r="P402">
        <f>IF($A402="","",SUMIFS('Таблиця 1'!$K:$K,'Таблиця 1'!$B:$B,$A402,'Таблиця 1'!$I:$I,"Mirage",'Таблиця 1'!$J:$J,"MK-32")+SUMIFS('Таблиця 1'!$K:$K,'Таблиця 1'!$B:$B,$A402,'Таблиця 1'!$I:$I,"F-16",'Таблиця 1'!$J:$J,"MK-32")+SUMIFS('Таблиця 1'!$K:$K,'Таблиця 1'!$B:$B,$A402,'Таблиця 1'!$I:$I,"МіГ-29",'Таблиця 1'!$J:$J,"MK-32")+SUMIFS('Таблиця 1'!$K:$K,'Таблиця 1'!$B:$B,$A402,'Таблиця 1'!$I:$I,"Су-25",'Таблиця 1'!$J:$J,"MK-32")+SUMIFS('Таблиця 1'!$K:$K,'Таблиця 1'!$B:$B,$A402,'Таблиця 1'!$I:$I,"Су-27",'Таблиця 1'!$J:$J,"MK-32"))</f>
        <v/>
      </c>
      <c r="Q402">
        <f>IF($A402="","",SUMIFS('Таблиця 1'!$K:$K,'Таблиця 1'!$B:$B,$A402,'Таблиця 1'!$I:$I,"Mirage",'Таблиця 1'!$J:$J,"MK-24")+SUMIFS('Таблиця 1'!$K:$K,'Таблиця 1'!$B:$B,$A402,'Таблиця 1'!$I:$I,"F-16",'Таблиця 1'!$J:$J,"MK-24")+SUMIFS('Таблиця 1'!$K:$K,'Таблиця 1'!$B:$B,$A402,'Таблиця 1'!$I:$I,"МіГ-29",'Таблиця 1'!$J:$J,"MK-24")+SUMIFS('Таблиця 1'!$K:$K,'Таблиця 1'!$B:$B,$A402,'Таблиця 1'!$I:$I,"Су-25",'Таблиця 1'!$J:$J,"MK-24")+SUMIFS('Таблиця 1'!$K:$K,'Таблиця 1'!$B:$B,$A402,'Таблиця 1'!$I:$I,"Су-27",'Таблиця 1'!$J:$J,"MK-24"))</f>
        <v/>
      </c>
      <c r="R402">
        <f>IF($A402="","",COUNTIFS('Таблиця 1'!$B:$B,$A402,'Таблиця 1'!$I:$I,"Mirage",'Таблиця 1'!$L:$L,"Уражено")+COUNTIFS('Таблиця 1'!$B:$B,$A402,'Таблиця 1'!$I:$I,"F-16",'Таблиця 1'!$L:$L,"Уражено")+COUNTIFS('Таблиця 1'!$B:$B,$A402,'Таблиця 1'!$I:$I,"МіГ-29",'Таблиця 1'!$L:$L,"Уражено")+COUNTIFS('Таблиця 1'!$B:$B,$A402,'Таблиця 1'!$I:$I,"Су-25",'Таблиця 1'!$L:$L,"Уражено")+COUNTIFS('Таблиця 1'!$B:$B,$A402,'Таблиця 1'!$I:$I,"Су-27",'Таблиця 1'!$L:$L,"Уражено"))</f>
        <v/>
      </c>
      <c r="S402">
        <f>IF($A402="","",COUNTIFS('Таблиця 1'!$B:$B,$A402,'Таблиця 1'!$I:$I,"Mirage",'Таблиця 1'!$L:$L,"НЕ уражено")+COUNTIFS('Таблиця 1'!$B:$B,$A402,'Таблиця 1'!$I:$I,"F-16",'Таблиця 1'!$L:$L,"НЕ уражено")+COUNTIFS('Таблиця 1'!$B:$B,$A402,'Таблиця 1'!$I:$I,"МіГ-29",'Таблиця 1'!$L:$L,"НЕ уражено")+COUNTIFS('Таблиця 1'!$B:$B,$A402,'Таблиця 1'!$I:$I,"Су-25",'Таблиця 1'!$L:$L,"НЕ уражено")+COUNTIFS('Таблиця 1'!$B:$B,$A402,'Таблиця 1'!$I:$I,"Су-27",'Таблиця 1'!$L:$L,"НЕ уражено"))</f>
        <v/>
      </c>
      <c r="T402">
        <f>IF($A402="","",COUNTIFS('Таблиця 1'!$B:$B,$A402,'Таблиця 1'!$I:$I,"Mirage",'Таблиця 1'!$L:$L,"Дорозвідується")+COUNTIFS('Таблиця 1'!$B:$B,$A402,'Таблиця 1'!$I:$I,"F-16",'Таблиця 1'!$L:$L,"Дорозвідується")+COUNTIFS('Таблиця 1'!$B:$B,$A402,'Таблиця 1'!$I:$I,"МіГ-29",'Таблиця 1'!$L:$L,"Дорозвідується")+COUNTIFS('Таблиця 1'!$B:$B,$A402,'Таблиця 1'!$I:$I,"Су-25",'Таблиця 1'!$L:$L,"Дорозвідується")+COUNTIFS('Таблиця 1'!$B:$B,$A402,'Таблиця 1'!$I:$I,"Су-27",'Таблиця 1'!$L:$L,"Дорозвідується"))</f>
        <v/>
      </c>
    </row>
    <row r="403">
      <c r="A403" s="273">
        <f>IF(A402="","",IF(A402+1&gt;MAX('Таблиця 1'!$B:$B),"",A402+1))</f>
        <v/>
      </c>
      <c r="B403">
        <f>IF($A403="","",COUNTIFS('Таблиця 1'!$B:$B,$A403,'Таблиця 1'!$I:$I,"Mirage")+COUNTIFS('Таблиця 1'!$B:$B,$A403,'Таблиця 1'!$I:$I,"F-16")+COUNTIFS('Таблиця 1'!$B:$B,$A403,'Таблиця 1'!$I:$I,"МіГ-29")+COUNTIFS('Таблиця 1'!$B:$B,$A403,'Таблиця 1'!$I:$I,"Су-25")+COUNTIFS('Таблиця 1'!$B:$B,$A403,'Таблиця 1'!$I:$I,"Су-27"))</f>
        <v/>
      </c>
      <c r="C403">
        <f>IF($A403="","",COUNTIFS('Таблиця 1'!$B:$B,$A403,'Таблиця 1'!$I:$I,"Mirage"))</f>
        <v/>
      </c>
      <c r="D403">
        <f>IF($A403="","",COUNTIFS('Таблиця 1'!$B:$B,$A403,'Таблиця 1'!$I:$I,"F-16"))</f>
        <v/>
      </c>
      <c r="E403">
        <f>IF($A403="","",COUNTIFS('Таблиця 1'!$B:$B,$A403,'Таблиця 1'!$I:$I,"МіГ-29"))</f>
        <v/>
      </c>
      <c r="F403">
        <f>IF($A403="","",COUNTIFS('Таблиця 1'!$B:$B,$A403,'Таблиця 1'!$I:$I,"Су-25"))</f>
        <v/>
      </c>
      <c r="G403">
        <f>IF($A403="","",COUNTIFS('Таблиця 1'!$B:$B,$A403,'Таблиця 1'!$I:$I,"Су-27"))</f>
        <v/>
      </c>
      <c r="H403">
        <f>IF($A403="","",SUMIFS('Таблиця 1'!$K:$K,'Таблиця 1'!$B:$B,$A403,'Таблиця 1'!$I:$I,"Mirage",'Таблиця 1'!$J:$J,"AGM-88")+SUMIFS('Таблиця 1'!$K:$K,'Таблиця 1'!$B:$B,$A403,'Таблиця 1'!$I:$I,"F-16",'Таблиця 1'!$J:$J,"AGM-88")+SUMIFS('Таблиця 1'!$K:$K,'Таблиця 1'!$B:$B,$A403,'Таблиця 1'!$I:$I,"МіГ-29",'Таблиця 1'!$J:$J,"AGM-88")+SUMIFS('Таблиця 1'!$K:$K,'Таблиця 1'!$B:$B,$A403,'Таблиця 1'!$I:$I,"Су-25",'Таблиця 1'!$J:$J,"AGM-88")+SUMIFS('Таблиця 1'!$K:$K,'Таблиця 1'!$B:$B,$A403,'Таблиця 1'!$I:$I,"Су-27",'Таблиця 1'!$J:$J,"AGM-88"))</f>
        <v/>
      </c>
      <c r="I403">
        <f>IF($A403="","",SUMIFS('Таблиця 1'!$K:$K,'Таблиця 1'!$B:$B,$A403,'Таблиця 1'!$I:$I,"Mirage",'Таблиця 1'!$J:$J,"AASM-250")+SUMIFS('Таблиця 1'!$K:$K,'Таблиця 1'!$B:$B,$A403,'Таблиця 1'!$I:$I,"F-16",'Таблиця 1'!$J:$J,"AASM-250")+SUMIFS('Таблиця 1'!$K:$K,'Таблиця 1'!$B:$B,$A403,'Таблиця 1'!$I:$I,"МіГ-29",'Таблиця 1'!$J:$J,"AASM-250")+SUMIFS('Таблиця 1'!$K:$K,'Таблиця 1'!$B:$B,$A403,'Таблиця 1'!$I:$I,"Су-25",'Таблиця 1'!$J:$J,"AASM-250")+SUMIFS('Таблиця 1'!$K:$K,'Таблиця 1'!$B:$B,$A403,'Таблиця 1'!$I:$I,"Су-27",'Таблиця 1'!$J:$J,"AASM-250"))</f>
        <v/>
      </c>
      <c r="J403">
        <f>IF($A403="","",SUMIFS('Таблиця 1'!$K:$K,'Таблиця 1'!$B:$B,$A403,'Таблиця 1'!$I:$I,"Mirage",'Таблиця 1'!$J:$J,"GBU-39")+SUMIFS('Таблиця 1'!$K:$K,'Таблиця 1'!$B:$B,$A403,'Таблиця 1'!$I:$I,"F-16",'Таблиця 1'!$J:$J,"GBU-39")+SUMIFS('Таблиця 1'!$K:$K,'Таблиця 1'!$B:$B,$A403,'Таблиця 1'!$I:$I,"МіГ-29",'Таблиця 1'!$J:$J,"GBU-39")+SUMIFS('Таблиця 1'!$K:$K,'Таблиця 1'!$B:$B,$A403,'Таблиця 1'!$I:$I,"Су-25",'Таблиця 1'!$J:$J,"GBU-39")+SUMIFS('Таблиця 1'!$K:$K,'Таблиця 1'!$B:$B,$A403,'Таблиця 1'!$I:$I,"Су-27",'Таблиця 1'!$J:$J,"GBU-39"))</f>
        <v/>
      </c>
      <c r="K403">
        <f>IF($A403="","",SUMIFS('Таблиця 1'!$K:$K,'Таблиця 1'!$B:$B,$A403,'Таблиця 1'!$I:$I,"Mirage",'Таблиця 1'!$J:$J,"BLU-140")+SUMIFS('Таблиця 1'!$K:$K,'Таблиця 1'!$B:$B,$A403,'Таблиця 1'!$I:$I,"F-16",'Таблиця 1'!$J:$J,"BLU-140")+SUMIFS('Таблиця 1'!$K:$K,'Таблиця 1'!$B:$B,$A403,'Таблиця 1'!$I:$I,"МіГ-29",'Таблиця 1'!$J:$J,"BLU-140")+SUMIFS('Таблиця 1'!$K:$K,'Таблиця 1'!$B:$B,$A403,'Таблиця 1'!$I:$I,"Су-25",'Таблиця 1'!$J:$J,"BLU-140")+SUMIFS('Таблиця 1'!$K:$K,'Таблиця 1'!$B:$B,$A403,'Таблиця 1'!$I:$I,"Су-27",'Таблиця 1'!$J:$J,"BLU-140"))</f>
        <v/>
      </c>
      <c r="L403">
        <f>IF($A403="","",SUMIFS('Таблиця 1'!$K:$K,'Таблиця 1'!$B:$B,$A403,'Таблиця 1'!$I:$I,"Mirage",'Таблиця 1'!$J:$J,"GBU-65")+SUMIFS('Таблиця 1'!$K:$K,'Таблиця 1'!$B:$B,$A403,'Таблиця 1'!$I:$I,"F-16",'Таблиця 1'!$J:$J,"GBU-65")+SUMIFS('Таблиця 1'!$K:$K,'Таблиця 1'!$B:$B,$A403,'Таблиця 1'!$I:$I,"МіГ-29",'Таблиця 1'!$J:$J,"GBU-65")+SUMIFS('Таблиця 1'!$K:$K,'Таблиця 1'!$B:$B,$A403,'Таблиця 1'!$I:$I,"Су-25",'Таблиця 1'!$J:$J,"GBU-65")+SUMIFS('Таблиця 1'!$K:$K,'Таблиця 1'!$B:$B,$A403,'Таблиця 1'!$I:$I,"Су-27",'Таблиця 1'!$J:$J,"GBU-65"))</f>
        <v/>
      </c>
      <c r="M403">
        <f>IF($A403="","",SUMIFS('Таблиця 1'!$K:$K,'Таблиця 1'!$B:$B,$A403,'Таблиця 1'!$I:$I,"Mirage",'Таблиця 1'!$J:$J,"GBU-62")+SUMIFS('Таблиця 1'!$K:$K,'Таблиця 1'!$B:$B,$A403,'Таблиця 1'!$I:$I,"F-16",'Таблиця 1'!$J:$J,"GBU-62")+SUMIFS('Таблиця 1'!$K:$K,'Таблиця 1'!$B:$B,$A403,'Таблиця 1'!$I:$I,"МіГ-29",'Таблиця 1'!$J:$J,"GBU-62")+SUMIFS('Таблиця 1'!$K:$K,'Таблиця 1'!$B:$B,$A403,'Таблиця 1'!$I:$I,"Су-25",'Таблиця 1'!$J:$J,"GBU-62")+SUMIFS('Таблиця 1'!$K:$K,'Таблиця 1'!$B:$B,$A403,'Таблиця 1'!$I:$I,"Су-27",'Таблиця 1'!$J:$J,"GBU-62"))</f>
        <v/>
      </c>
      <c r="N403">
        <f>IF($A403="","",SUMIFS('Таблиця 1'!$K:$K,'Таблиця 1'!$B:$B,$A403,'Таблиця 1'!$I:$I,"Mirage",'Таблиця 1'!$J:$J,"GBU-64")+SUMIFS('Таблиця 1'!$K:$K,'Таблиця 1'!$B:$B,$A403,'Таблиця 1'!$I:$I,"F-16",'Таблиця 1'!$J:$J,"GBU-64")+SUMIFS('Таблиця 1'!$K:$K,'Таблиця 1'!$B:$B,$A403,'Таблиця 1'!$I:$I,"МіГ-29",'Таблиця 1'!$J:$J,"GBU-64")+SUMIFS('Таблиця 1'!$K:$K,'Таблиця 1'!$B:$B,$A403,'Таблиця 1'!$I:$I,"Су-25",'Таблиця 1'!$J:$J,"GBU-64")+SUMIFS('Таблиця 1'!$K:$K,'Таблиця 1'!$B:$B,$A403,'Таблиця 1'!$I:$I,"Су-27",'Таблиця 1'!$J:$J,"GBU-64"))</f>
        <v/>
      </c>
      <c r="O403">
        <f>IF($A403="","",SUMIFS('Таблиця 1'!$K:$K,'Таблиця 1'!$B:$B,$A403,'Таблиця 1'!$I:$I,"Mirage",'Таблиця 1'!$J:$J,"C-13")+SUMIFS('Таблиця 1'!$K:$K,'Таблиця 1'!$B:$B,$A403,'Таблиця 1'!$I:$I,"F-16",'Таблиця 1'!$J:$J,"C-13")+SUMIFS('Таблиця 1'!$K:$K,'Таблиця 1'!$B:$B,$A403,'Таблиця 1'!$I:$I,"МіГ-29",'Таблиця 1'!$J:$J,"C-13")+SUMIFS('Таблиця 1'!$K:$K,'Таблиця 1'!$B:$B,$A403,'Таблиця 1'!$I:$I,"Су-25",'Таблиця 1'!$J:$J,"C-13")+SUMIFS('Таблиця 1'!$K:$K,'Таблиця 1'!$B:$B,$A403,'Таблиця 1'!$I:$I,"Су-27",'Таблиця 1'!$J:$J,"C-13"))</f>
        <v/>
      </c>
      <c r="P403">
        <f>IF($A403="","",SUMIFS('Таблиця 1'!$K:$K,'Таблиця 1'!$B:$B,$A403,'Таблиця 1'!$I:$I,"Mirage",'Таблиця 1'!$J:$J,"MK-32")+SUMIFS('Таблиця 1'!$K:$K,'Таблиця 1'!$B:$B,$A403,'Таблиця 1'!$I:$I,"F-16",'Таблиця 1'!$J:$J,"MK-32")+SUMIFS('Таблиця 1'!$K:$K,'Таблиця 1'!$B:$B,$A403,'Таблиця 1'!$I:$I,"МіГ-29",'Таблиця 1'!$J:$J,"MK-32")+SUMIFS('Таблиця 1'!$K:$K,'Таблиця 1'!$B:$B,$A403,'Таблиця 1'!$I:$I,"Су-25",'Таблиця 1'!$J:$J,"MK-32")+SUMIFS('Таблиця 1'!$K:$K,'Таблиця 1'!$B:$B,$A403,'Таблиця 1'!$I:$I,"Су-27",'Таблиця 1'!$J:$J,"MK-32"))</f>
        <v/>
      </c>
      <c r="Q403">
        <f>IF($A403="","",SUMIFS('Таблиця 1'!$K:$K,'Таблиця 1'!$B:$B,$A403,'Таблиця 1'!$I:$I,"Mirage",'Таблиця 1'!$J:$J,"MK-24")+SUMIFS('Таблиця 1'!$K:$K,'Таблиця 1'!$B:$B,$A403,'Таблиця 1'!$I:$I,"F-16",'Таблиця 1'!$J:$J,"MK-24")+SUMIFS('Таблиця 1'!$K:$K,'Таблиця 1'!$B:$B,$A403,'Таблиця 1'!$I:$I,"МіГ-29",'Таблиця 1'!$J:$J,"MK-24")+SUMIFS('Таблиця 1'!$K:$K,'Таблиця 1'!$B:$B,$A403,'Таблиця 1'!$I:$I,"Су-25",'Таблиця 1'!$J:$J,"MK-24")+SUMIFS('Таблиця 1'!$K:$K,'Таблиця 1'!$B:$B,$A403,'Таблиця 1'!$I:$I,"Су-27",'Таблиця 1'!$J:$J,"MK-24"))</f>
        <v/>
      </c>
      <c r="R403">
        <f>IF($A403="","",COUNTIFS('Таблиця 1'!$B:$B,$A403,'Таблиця 1'!$I:$I,"Mirage",'Таблиця 1'!$L:$L,"Уражено")+COUNTIFS('Таблиця 1'!$B:$B,$A403,'Таблиця 1'!$I:$I,"F-16",'Таблиця 1'!$L:$L,"Уражено")+COUNTIFS('Таблиця 1'!$B:$B,$A403,'Таблиця 1'!$I:$I,"МіГ-29",'Таблиця 1'!$L:$L,"Уражено")+COUNTIFS('Таблиця 1'!$B:$B,$A403,'Таблиця 1'!$I:$I,"Су-25",'Таблиця 1'!$L:$L,"Уражено")+COUNTIFS('Таблиця 1'!$B:$B,$A403,'Таблиця 1'!$I:$I,"Су-27",'Таблиця 1'!$L:$L,"Уражено"))</f>
        <v/>
      </c>
      <c r="S403">
        <f>IF($A403="","",COUNTIFS('Таблиця 1'!$B:$B,$A403,'Таблиця 1'!$I:$I,"Mirage",'Таблиця 1'!$L:$L,"НЕ уражено")+COUNTIFS('Таблиця 1'!$B:$B,$A403,'Таблиця 1'!$I:$I,"F-16",'Таблиця 1'!$L:$L,"НЕ уражено")+COUNTIFS('Таблиця 1'!$B:$B,$A403,'Таблиця 1'!$I:$I,"МіГ-29",'Таблиця 1'!$L:$L,"НЕ уражено")+COUNTIFS('Таблиця 1'!$B:$B,$A403,'Таблиця 1'!$I:$I,"Су-25",'Таблиця 1'!$L:$L,"НЕ уражено")+COUNTIFS('Таблиця 1'!$B:$B,$A403,'Таблиця 1'!$I:$I,"Су-27",'Таблиця 1'!$L:$L,"НЕ уражено"))</f>
        <v/>
      </c>
      <c r="T403">
        <f>IF($A403="","",COUNTIFS('Таблиця 1'!$B:$B,$A403,'Таблиця 1'!$I:$I,"Mirage",'Таблиця 1'!$L:$L,"Дорозвідується")+COUNTIFS('Таблиця 1'!$B:$B,$A403,'Таблиця 1'!$I:$I,"F-16",'Таблиця 1'!$L:$L,"Дорозвідується")+COUNTIFS('Таблиця 1'!$B:$B,$A403,'Таблиця 1'!$I:$I,"МіГ-29",'Таблиця 1'!$L:$L,"Дорозвідується")+COUNTIFS('Таблиця 1'!$B:$B,$A403,'Таблиця 1'!$I:$I,"Су-25",'Таблиця 1'!$L:$L,"Дорозвідується")+COUNTIFS('Таблиця 1'!$B:$B,$A403,'Таблиця 1'!$I:$I,"Су-27",'Таблиця 1'!$L:$L,"Дорозвідується"))</f>
        <v/>
      </c>
    </row>
    <row r="404">
      <c r="A404" s="273">
        <f>IF(A403="","",IF(A403+1&gt;MAX('Таблиця 1'!$B:$B),"",A403+1))</f>
        <v/>
      </c>
      <c r="B404">
        <f>IF($A404="","",COUNTIFS('Таблиця 1'!$B:$B,$A404,'Таблиця 1'!$I:$I,"Mirage")+COUNTIFS('Таблиця 1'!$B:$B,$A404,'Таблиця 1'!$I:$I,"F-16")+COUNTIFS('Таблиця 1'!$B:$B,$A404,'Таблиця 1'!$I:$I,"МіГ-29")+COUNTIFS('Таблиця 1'!$B:$B,$A404,'Таблиця 1'!$I:$I,"Су-25")+COUNTIFS('Таблиця 1'!$B:$B,$A404,'Таблиця 1'!$I:$I,"Су-27"))</f>
        <v/>
      </c>
      <c r="C404">
        <f>IF($A404="","",COUNTIFS('Таблиця 1'!$B:$B,$A404,'Таблиця 1'!$I:$I,"Mirage"))</f>
        <v/>
      </c>
      <c r="D404">
        <f>IF($A404="","",COUNTIFS('Таблиця 1'!$B:$B,$A404,'Таблиця 1'!$I:$I,"F-16"))</f>
        <v/>
      </c>
      <c r="E404">
        <f>IF($A404="","",COUNTIFS('Таблиця 1'!$B:$B,$A404,'Таблиця 1'!$I:$I,"МіГ-29"))</f>
        <v/>
      </c>
      <c r="F404">
        <f>IF($A404="","",COUNTIFS('Таблиця 1'!$B:$B,$A404,'Таблиця 1'!$I:$I,"Су-25"))</f>
        <v/>
      </c>
      <c r="G404">
        <f>IF($A404="","",COUNTIFS('Таблиця 1'!$B:$B,$A404,'Таблиця 1'!$I:$I,"Су-27"))</f>
        <v/>
      </c>
      <c r="H404">
        <f>IF($A404="","",SUMIFS('Таблиця 1'!$K:$K,'Таблиця 1'!$B:$B,$A404,'Таблиця 1'!$I:$I,"Mirage",'Таблиця 1'!$J:$J,"AGM-88")+SUMIFS('Таблиця 1'!$K:$K,'Таблиця 1'!$B:$B,$A404,'Таблиця 1'!$I:$I,"F-16",'Таблиця 1'!$J:$J,"AGM-88")+SUMIFS('Таблиця 1'!$K:$K,'Таблиця 1'!$B:$B,$A404,'Таблиця 1'!$I:$I,"МіГ-29",'Таблиця 1'!$J:$J,"AGM-88")+SUMIFS('Таблиця 1'!$K:$K,'Таблиця 1'!$B:$B,$A404,'Таблиця 1'!$I:$I,"Су-25",'Таблиця 1'!$J:$J,"AGM-88")+SUMIFS('Таблиця 1'!$K:$K,'Таблиця 1'!$B:$B,$A404,'Таблиця 1'!$I:$I,"Су-27",'Таблиця 1'!$J:$J,"AGM-88"))</f>
        <v/>
      </c>
      <c r="I404">
        <f>IF($A404="","",SUMIFS('Таблиця 1'!$K:$K,'Таблиця 1'!$B:$B,$A404,'Таблиця 1'!$I:$I,"Mirage",'Таблиця 1'!$J:$J,"AASM-250")+SUMIFS('Таблиця 1'!$K:$K,'Таблиця 1'!$B:$B,$A404,'Таблиця 1'!$I:$I,"F-16",'Таблиця 1'!$J:$J,"AASM-250")+SUMIFS('Таблиця 1'!$K:$K,'Таблиця 1'!$B:$B,$A404,'Таблиця 1'!$I:$I,"МіГ-29",'Таблиця 1'!$J:$J,"AASM-250")+SUMIFS('Таблиця 1'!$K:$K,'Таблиця 1'!$B:$B,$A404,'Таблиця 1'!$I:$I,"Су-25",'Таблиця 1'!$J:$J,"AASM-250")+SUMIFS('Таблиця 1'!$K:$K,'Таблиця 1'!$B:$B,$A404,'Таблиця 1'!$I:$I,"Су-27",'Таблиця 1'!$J:$J,"AASM-250"))</f>
        <v/>
      </c>
      <c r="J404">
        <f>IF($A404="","",SUMIFS('Таблиця 1'!$K:$K,'Таблиця 1'!$B:$B,$A404,'Таблиця 1'!$I:$I,"Mirage",'Таблиця 1'!$J:$J,"GBU-39")+SUMIFS('Таблиця 1'!$K:$K,'Таблиця 1'!$B:$B,$A404,'Таблиця 1'!$I:$I,"F-16",'Таблиця 1'!$J:$J,"GBU-39")+SUMIFS('Таблиця 1'!$K:$K,'Таблиця 1'!$B:$B,$A404,'Таблиця 1'!$I:$I,"МіГ-29",'Таблиця 1'!$J:$J,"GBU-39")+SUMIFS('Таблиця 1'!$K:$K,'Таблиця 1'!$B:$B,$A404,'Таблиця 1'!$I:$I,"Су-25",'Таблиця 1'!$J:$J,"GBU-39")+SUMIFS('Таблиця 1'!$K:$K,'Таблиця 1'!$B:$B,$A404,'Таблиця 1'!$I:$I,"Су-27",'Таблиця 1'!$J:$J,"GBU-39"))</f>
        <v/>
      </c>
      <c r="K404">
        <f>IF($A404="","",SUMIFS('Таблиця 1'!$K:$K,'Таблиця 1'!$B:$B,$A404,'Таблиця 1'!$I:$I,"Mirage",'Таблиця 1'!$J:$J,"BLU-140")+SUMIFS('Таблиця 1'!$K:$K,'Таблиця 1'!$B:$B,$A404,'Таблиця 1'!$I:$I,"F-16",'Таблиця 1'!$J:$J,"BLU-140")+SUMIFS('Таблиця 1'!$K:$K,'Таблиця 1'!$B:$B,$A404,'Таблиця 1'!$I:$I,"МіГ-29",'Таблиця 1'!$J:$J,"BLU-140")+SUMIFS('Таблиця 1'!$K:$K,'Таблиця 1'!$B:$B,$A404,'Таблиця 1'!$I:$I,"Су-25",'Таблиця 1'!$J:$J,"BLU-140")+SUMIFS('Таблиця 1'!$K:$K,'Таблиця 1'!$B:$B,$A404,'Таблиця 1'!$I:$I,"Су-27",'Таблиця 1'!$J:$J,"BLU-140"))</f>
        <v/>
      </c>
      <c r="L404">
        <f>IF($A404="","",SUMIFS('Таблиця 1'!$K:$K,'Таблиця 1'!$B:$B,$A404,'Таблиця 1'!$I:$I,"Mirage",'Таблиця 1'!$J:$J,"GBU-65")+SUMIFS('Таблиця 1'!$K:$K,'Таблиця 1'!$B:$B,$A404,'Таблиця 1'!$I:$I,"F-16",'Таблиця 1'!$J:$J,"GBU-65")+SUMIFS('Таблиця 1'!$K:$K,'Таблиця 1'!$B:$B,$A404,'Таблиця 1'!$I:$I,"МіГ-29",'Таблиця 1'!$J:$J,"GBU-65")+SUMIFS('Таблиця 1'!$K:$K,'Таблиця 1'!$B:$B,$A404,'Таблиця 1'!$I:$I,"Су-25",'Таблиця 1'!$J:$J,"GBU-65")+SUMIFS('Таблиця 1'!$K:$K,'Таблиця 1'!$B:$B,$A404,'Таблиця 1'!$I:$I,"Су-27",'Таблиця 1'!$J:$J,"GBU-65"))</f>
        <v/>
      </c>
      <c r="M404">
        <f>IF($A404="","",SUMIFS('Таблиця 1'!$K:$K,'Таблиця 1'!$B:$B,$A404,'Таблиця 1'!$I:$I,"Mirage",'Таблиця 1'!$J:$J,"GBU-62")+SUMIFS('Таблиця 1'!$K:$K,'Таблиця 1'!$B:$B,$A404,'Таблиця 1'!$I:$I,"F-16",'Таблиця 1'!$J:$J,"GBU-62")+SUMIFS('Таблиця 1'!$K:$K,'Таблиця 1'!$B:$B,$A404,'Таблиця 1'!$I:$I,"МіГ-29",'Таблиця 1'!$J:$J,"GBU-62")+SUMIFS('Таблиця 1'!$K:$K,'Таблиця 1'!$B:$B,$A404,'Таблиця 1'!$I:$I,"Су-25",'Таблиця 1'!$J:$J,"GBU-62")+SUMIFS('Таблиця 1'!$K:$K,'Таблиця 1'!$B:$B,$A404,'Таблиця 1'!$I:$I,"Су-27",'Таблиця 1'!$J:$J,"GBU-62"))</f>
        <v/>
      </c>
      <c r="N404">
        <f>IF($A404="","",SUMIFS('Таблиця 1'!$K:$K,'Таблиця 1'!$B:$B,$A404,'Таблиця 1'!$I:$I,"Mirage",'Таблиця 1'!$J:$J,"GBU-64")+SUMIFS('Таблиця 1'!$K:$K,'Таблиця 1'!$B:$B,$A404,'Таблиця 1'!$I:$I,"F-16",'Таблиця 1'!$J:$J,"GBU-64")+SUMIFS('Таблиця 1'!$K:$K,'Таблиця 1'!$B:$B,$A404,'Таблиця 1'!$I:$I,"МіГ-29",'Таблиця 1'!$J:$J,"GBU-64")+SUMIFS('Таблиця 1'!$K:$K,'Таблиця 1'!$B:$B,$A404,'Таблиця 1'!$I:$I,"Су-25",'Таблиця 1'!$J:$J,"GBU-64")+SUMIFS('Таблиця 1'!$K:$K,'Таблиця 1'!$B:$B,$A404,'Таблиця 1'!$I:$I,"Су-27",'Таблиця 1'!$J:$J,"GBU-64"))</f>
        <v/>
      </c>
      <c r="O404">
        <f>IF($A404="","",SUMIFS('Таблиця 1'!$K:$K,'Таблиця 1'!$B:$B,$A404,'Таблиця 1'!$I:$I,"Mirage",'Таблиця 1'!$J:$J,"C-13")+SUMIFS('Таблиця 1'!$K:$K,'Таблиця 1'!$B:$B,$A404,'Таблиця 1'!$I:$I,"F-16",'Таблиця 1'!$J:$J,"C-13")+SUMIFS('Таблиця 1'!$K:$K,'Таблиця 1'!$B:$B,$A404,'Таблиця 1'!$I:$I,"МіГ-29",'Таблиця 1'!$J:$J,"C-13")+SUMIFS('Таблиця 1'!$K:$K,'Таблиця 1'!$B:$B,$A404,'Таблиця 1'!$I:$I,"Су-25",'Таблиця 1'!$J:$J,"C-13")+SUMIFS('Таблиця 1'!$K:$K,'Таблиця 1'!$B:$B,$A404,'Таблиця 1'!$I:$I,"Су-27",'Таблиця 1'!$J:$J,"C-13"))</f>
        <v/>
      </c>
      <c r="P404">
        <f>IF($A404="","",SUMIFS('Таблиця 1'!$K:$K,'Таблиця 1'!$B:$B,$A404,'Таблиця 1'!$I:$I,"Mirage",'Таблиця 1'!$J:$J,"MK-32")+SUMIFS('Таблиця 1'!$K:$K,'Таблиця 1'!$B:$B,$A404,'Таблиця 1'!$I:$I,"F-16",'Таблиця 1'!$J:$J,"MK-32")+SUMIFS('Таблиця 1'!$K:$K,'Таблиця 1'!$B:$B,$A404,'Таблиця 1'!$I:$I,"МіГ-29",'Таблиця 1'!$J:$J,"MK-32")+SUMIFS('Таблиця 1'!$K:$K,'Таблиця 1'!$B:$B,$A404,'Таблиця 1'!$I:$I,"Су-25",'Таблиця 1'!$J:$J,"MK-32")+SUMIFS('Таблиця 1'!$K:$K,'Таблиця 1'!$B:$B,$A404,'Таблиця 1'!$I:$I,"Су-27",'Таблиця 1'!$J:$J,"MK-32"))</f>
        <v/>
      </c>
      <c r="Q404">
        <f>IF($A404="","",SUMIFS('Таблиця 1'!$K:$K,'Таблиця 1'!$B:$B,$A404,'Таблиця 1'!$I:$I,"Mirage",'Таблиця 1'!$J:$J,"MK-24")+SUMIFS('Таблиця 1'!$K:$K,'Таблиця 1'!$B:$B,$A404,'Таблиця 1'!$I:$I,"F-16",'Таблиця 1'!$J:$J,"MK-24")+SUMIFS('Таблиця 1'!$K:$K,'Таблиця 1'!$B:$B,$A404,'Таблиця 1'!$I:$I,"МіГ-29",'Таблиця 1'!$J:$J,"MK-24")+SUMIFS('Таблиця 1'!$K:$K,'Таблиця 1'!$B:$B,$A404,'Таблиця 1'!$I:$I,"Су-25",'Таблиця 1'!$J:$J,"MK-24")+SUMIFS('Таблиця 1'!$K:$K,'Таблиця 1'!$B:$B,$A404,'Таблиця 1'!$I:$I,"Су-27",'Таблиця 1'!$J:$J,"MK-24"))</f>
        <v/>
      </c>
      <c r="R404">
        <f>IF($A404="","",COUNTIFS('Таблиця 1'!$B:$B,$A404,'Таблиця 1'!$I:$I,"Mirage",'Таблиця 1'!$L:$L,"Уражено")+COUNTIFS('Таблиця 1'!$B:$B,$A404,'Таблиця 1'!$I:$I,"F-16",'Таблиця 1'!$L:$L,"Уражено")+COUNTIFS('Таблиця 1'!$B:$B,$A404,'Таблиця 1'!$I:$I,"МіГ-29",'Таблиця 1'!$L:$L,"Уражено")+COUNTIFS('Таблиця 1'!$B:$B,$A404,'Таблиця 1'!$I:$I,"Су-25",'Таблиця 1'!$L:$L,"Уражено")+COUNTIFS('Таблиця 1'!$B:$B,$A404,'Таблиця 1'!$I:$I,"Су-27",'Таблиця 1'!$L:$L,"Уражено"))</f>
        <v/>
      </c>
      <c r="S404">
        <f>IF($A404="","",COUNTIFS('Таблиця 1'!$B:$B,$A404,'Таблиця 1'!$I:$I,"Mirage",'Таблиця 1'!$L:$L,"НЕ уражено")+COUNTIFS('Таблиця 1'!$B:$B,$A404,'Таблиця 1'!$I:$I,"F-16",'Таблиця 1'!$L:$L,"НЕ уражено")+COUNTIFS('Таблиця 1'!$B:$B,$A404,'Таблиця 1'!$I:$I,"МіГ-29",'Таблиця 1'!$L:$L,"НЕ уражено")+COUNTIFS('Таблиця 1'!$B:$B,$A404,'Таблиця 1'!$I:$I,"Су-25",'Таблиця 1'!$L:$L,"НЕ уражено")+COUNTIFS('Таблиця 1'!$B:$B,$A404,'Таблиця 1'!$I:$I,"Су-27",'Таблиця 1'!$L:$L,"НЕ уражено"))</f>
        <v/>
      </c>
      <c r="T404">
        <f>IF($A404="","",COUNTIFS('Таблиця 1'!$B:$B,$A404,'Таблиця 1'!$I:$I,"Mirage",'Таблиця 1'!$L:$L,"Дорозвідується")+COUNTIFS('Таблиця 1'!$B:$B,$A404,'Таблиця 1'!$I:$I,"F-16",'Таблиця 1'!$L:$L,"Дорозвідується")+COUNTIFS('Таблиця 1'!$B:$B,$A404,'Таблиця 1'!$I:$I,"МіГ-29",'Таблиця 1'!$L:$L,"Дорозвідується")+COUNTIFS('Таблиця 1'!$B:$B,$A404,'Таблиця 1'!$I:$I,"Су-25",'Таблиця 1'!$L:$L,"Дорозвідується")+COUNTIFS('Таблиця 1'!$B:$B,$A404,'Таблиця 1'!$I:$I,"Су-27",'Таблиця 1'!$L:$L,"Дорозвідується"))</f>
        <v/>
      </c>
    </row>
    <row r="405">
      <c r="A405" s="273">
        <f>IF(A404="","",IF(A404+1&gt;MAX('Таблиця 1'!$B:$B),"",A404+1))</f>
        <v/>
      </c>
      <c r="B405">
        <f>IF($A405="","",COUNTIFS('Таблиця 1'!$B:$B,$A405,'Таблиця 1'!$I:$I,"Mirage")+COUNTIFS('Таблиця 1'!$B:$B,$A405,'Таблиця 1'!$I:$I,"F-16")+COUNTIFS('Таблиця 1'!$B:$B,$A405,'Таблиця 1'!$I:$I,"МіГ-29")+COUNTIFS('Таблиця 1'!$B:$B,$A405,'Таблиця 1'!$I:$I,"Су-25")+COUNTIFS('Таблиця 1'!$B:$B,$A405,'Таблиця 1'!$I:$I,"Су-27"))</f>
        <v/>
      </c>
      <c r="C405">
        <f>IF($A405="","",COUNTIFS('Таблиця 1'!$B:$B,$A405,'Таблиця 1'!$I:$I,"Mirage"))</f>
        <v/>
      </c>
      <c r="D405">
        <f>IF($A405="","",COUNTIFS('Таблиця 1'!$B:$B,$A405,'Таблиця 1'!$I:$I,"F-16"))</f>
        <v/>
      </c>
      <c r="E405">
        <f>IF($A405="","",COUNTIFS('Таблиця 1'!$B:$B,$A405,'Таблиця 1'!$I:$I,"МіГ-29"))</f>
        <v/>
      </c>
      <c r="F405">
        <f>IF($A405="","",COUNTIFS('Таблиця 1'!$B:$B,$A405,'Таблиця 1'!$I:$I,"Су-25"))</f>
        <v/>
      </c>
      <c r="G405">
        <f>IF($A405="","",COUNTIFS('Таблиця 1'!$B:$B,$A405,'Таблиця 1'!$I:$I,"Су-27"))</f>
        <v/>
      </c>
      <c r="H405">
        <f>IF($A405="","",SUMIFS('Таблиця 1'!$K:$K,'Таблиця 1'!$B:$B,$A405,'Таблиця 1'!$I:$I,"Mirage",'Таблиця 1'!$J:$J,"AGM-88")+SUMIFS('Таблиця 1'!$K:$K,'Таблиця 1'!$B:$B,$A405,'Таблиця 1'!$I:$I,"F-16",'Таблиця 1'!$J:$J,"AGM-88")+SUMIFS('Таблиця 1'!$K:$K,'Таблиця 1'!$B:$B,$A405,'Таблиця 1'!$I:$I,"МіГ-29",'Таблиця 1'!$J:$J,"AGM-88")+SUMIFS('Таблиця 1'!$K:$K,'Таблиця 1'!$B:$B,$A405,'Таблиця 1'!$I:$I,"Су-25",'Таблиця 1'!$J:$J,"AGM-88")+SUMIFS('Таблиця 1'!$K:$K,'Таблиця 1'!$B:$B,$A405,'Таблиця 1'!$I:$I,"Су-27",'Таблиця 1'!$J:$J,"AGM-88"))</f>
        <v/>
      </c>
      <c r="I405">
        <f>IF($A405="","",SUMIFS('Таблиця 1'!$K:$K,'Таблиця 1'!$B:$B,$A405,'Таблиця 1'!$I:$I,"Mirage",'Таблиця 1'!$J:$J,"AASM-250")+SUMIFS('Таблиця 1'!$K:$K,'Таблиця 1'!$B:$B,$A405,'Таблиця 1'!$I:$I,"F-16",'Таблиця 1'!$J:$J,"AASM-250")+SUMIFS('Таблиця 1'!$K:$K,'Таблиця 1'!$B:$B,$A405,'Таблиця 1'!$I:$I,"МіГ-29",'Таблиця 1'!$J:$J,"AASM-250")+SUMIFS('Таблиця 1'!$K:$K,'Таблиця 1'!$B:$B,$A405,'Таблиця 1'!$I:$I,"Су-25",'Таблиця 1'!$J:$J,"AASM-250")+SUMIFS('Таблиця 1'!$K:$K,'Таблиця 1'!$B:$B,$A405,'Таблиця 1'!$I:$I,"Су-27",'Таблиця 1'!$J:$J,"AASM-250"))</f>
        <v/>
      </c>
      <c r="J405">
        <f>IF($A405="","",SUMIFS('Таблиця 1'!$K:$K,'Таблиця 1'!$B:$B,$A405,'Таблиця 1'!$I:$I,"Mirage",'Таблиця 1'!$J:$J,"GBU-39")+SUMIFS('Таблиця 1'!$K:$K,'Таблиця 1'!$B:$B,$A405,'Таблиця 1'!$I:$I,"F-16",'Таблиця 1'!$J:$J,"GBU-39")+SUMIFS('Таблиця 1'!$K:$K,'Таблиця 1'!$B:$B,$A405,'Таблиця 1'!$I:$I,"МіГ-29",'Таблиця 1'!$J:$J,"GBU-39")+SUMIFS('Таблиця 1'!$K:$K,'Таблиця 1'!$B:$B,$A405,'Таблиця 1'!$I:$I,"Су-25",'Таблиця 1'!$J:$J,"GBU-39")+SUMIFS('Таблиця 1'!$K:$K,'Таблиця 1'!$B:$B,$A405,'Таблиця 1'!$I:$I,"Су-27",'Таблиця 1'!$J:$J,"GBU-39"))</f>
        <v/>
      </c>
      <c r="K405">
        <f>IF($A405="","",SUMIFS('Таблиця 1'!$K:$K,'Таблиця 1'!$B:$B,$A405,'Таблиця 1'!$I:$I,"Mirage",'Таблиця 1'!$J:$J,"BLU-140")+SUMIFS('Таблиця 1'!$K:$K,'Таблиця 1'!$B:$B,$A405,'Таблиця 1'!$I:$I,"F-16",'Таблиця 1'!$J:$J,"BLU-140")+SUMIFS('Таблиця 1'!$K:$K,'Таблиця 1'!$B:$B,$A405,'Таблиця 1'!$I:$I,"МіГ-29",'Таблиця 1'!$J:$J,"BLU-140")+SUMIFS('Таблиця 1'!$K:$K,'Таблиця 1'!$B:$B,$A405,'Таблиця 1'!$I:$I,"Су-25",'Таблиця 1'!$J:$J,"BLU-140")+SUMIFS('Таблиця 1'!$K:$K,'Таблиця 1'!$B:$B,$A405,'Таблиця 1'!$I:$I,"Су-27",'Таблиця 1'!$J:$J,"BLU-140"))</f>
        <v/>
      </c>
      <c r="L405">
        <f>IF($A405="","",SUMIFS('Таблиця 1'!$K:$K,'Таблиця 1'!$B:$B,$A405,'Таблиця 1'!$I:$I,"Mirage",'Таблиця 1'!$J:$J,"GBU-65")+SUMIFS('Таблиця 1'!$K:$K,'Таблиця 1'!$B:$B,$A405,'Таблиця 1'!$I:$I,"F-16",'Таблиця 1'!$J:$J,"GBU-65")+SUMIFS('Таблиця 1'!$K:$K,'Таблиця 1'!$B:$B,$A405,'Таблиця 1'!$I:$I,"МіГ-29",'Таблиця 1'!$J:$J,"GBU-65")+SUMIFS('Таблиця 1'!$K:$K,'Таблиця 1'!$B:$B,$A405,'Таблиця 1'!$I:$I,"Су-25",'Таблиця 1'!$J:$J,"GBU-65")+SUMIFS('Таблиця 1'!$K:$K,'Таблиця 1'!$B:$B,$A405,'Таблиця 1'!$I:$I,"Су-27",'Таблиця 1'!$J:$J,"GBU-65"))</f>
        <v/>
      </c>
      <c r="M405">
        <f>IF($A405="","",SUMIFS('Таблиця 1'!$K:$K,'Таблиця 1'!$B:$B,$A405,'Таблиця 1'!$I:$I,"Mirage",'Таблиця 1'!$J:$J,"GBU-62")+SUMIFS('Таблиця 1'!$K:$K,'Таблиця 1'!$B:$B,$A405,'Таблиця 1'!$I:$I,"F-16",'Таблиця 1'!$J:$J,"GBU-62")+SUMIFS('Таблиця 1'!$K:$K,'Таблиця 1'!$B:$B,$A405,'Таблиця 1'!$I:$I,"МіГ-29",'Таблиця 1'!$J:$J,"GBU-62")+SUMIFS('Таблиця 1'!$K:$K,'Таблиця 1'!$B:$B,$A405,'Таблиця 1'!$I:$I,"Су-25",'Таблиця 1'!$J:$J,"GBU-62")+SUMIFS('Таблиця 1'!$K:$K,'Таблиця 1'!$B:$B,$A405,'Таблиця 1'!$I:$I,"Су-27",'Таблиця 1'!$J:$J,"GBU-62"))</f>
        <v/>
      </c>
      <c r="N405">
        <f>IF($A405="","",SUMIFS('Таблиця 1'!$K:$K,'Таблиця 1'!$B:$B,$A405,'Таблиця 1'!$I:$I,"Mirage",'Таблиця 1'!$J:$J,"GBU-64")+SUMIFS('Таблиця 1'!$K:$K,'Таблиця 1'!$B:$B,$A405,'Таблиця 1'!$I:$I,"F-16",'Таблиця 1'!$J:$J,"GBU-64")+SUMIFS('Таблиця 1'!$K:$K,'Таблиця 1'!$B:$B,$A405,'Таблиця 1'!$I:$I,"МіГ-29",'Таблиця 1'!$J:$J,"GBU-64")+SUMIFS('Таблиця 1'!$K:$K,'Таблиця 1'!$B:$B,$A405,'Таблиця 1'!$I:$I,"Су-25",'Таблиця 1'!$J:$J,"GBU-64")+SUMIFS('Таблиця 1'!$K:$K,'Таблиця 1'!$B:$B,$A405,'Таблиця 1'!$I:$I,"Су-27",'Таблиця 1'!$J:$J,"GBU-64"))</f>
        <v/>
      </c>
      <c r="O405">
        <f>IF($A405="","",SUMIFS('Таблиця 1'!$K:$K,'Таблиця 1'!$B:$B,$A405,'Таблиця 1'!$I:$I,"Mirage",'Таблиця 1'!$J:$J,"C-13")+SUMIFS('Таблиця 1'!$K:$K,'Таблиця 1'!$B:$B,$A405,'Таблиця 1'!$I:$I,"F-16",'Таблиця 1'!$J:$J,"C-13")+SUMIFS('Таблиця 1'!$K:$K,'Таблиця 1'!$B:$B,$A405,'Таблиця 1'!$I:$I,"МіГ-29",'Таблиця 1'!$J:$J,"C-13")+SUMIFS('Таблиця 1'!$K:$K,'Таблиця 1'!$B:$B,$A405,'Таблиця 1'!$I:$I,"Су-25",'Таблиця 1'!$J:$J,"C-13")+SUMIFS('Таблиця 1'!$K:$K,'Таблиця 1'!$B:$B,$A405,'Таблиця 1'!$I:$I,"Су-27",'Таблиця 1'!$J:$J,"C-13"))</f>
        <v/>
      </c>
      <c r="P405">
        <f>IF($A405="","",SUMIFS('Таблиця 1'!$K:$K,'Таблиця 1'!$B:$B,$A405,'Таблиця 1'!$I:$I,"Mirage",'Таблиця 1'!$J:$J,"MK-32")+SUMIFS('Таблиця 1'!$K:$K,'Таблиця 1'!$B:$B,$A405,'Таблиця 1'!$I:$I,"F-16",'Таблиця 1'!$J:$J,"MK-32")+SUMIFS('Таблиця 1'!$K:$K,'Таблиця 1'!$B:$B,$A405,'Таблиця 1'!$I:$I,"МіГ-29",'Таблиця 1'!$J:$J,"MK-32")+SUMIFS('Таблиця 1'!$K:$K,'Таблиця 1'!$B:$B,$A405,'Таблиця 1'!$I:$I,"Су-25",'Таблиця 1'!$J:$J,"MK-32")+SUMIFS('Таблиця 1'!$K:$K,'Таблиця 1'!$B:$B,$A405,'Таблиця 1'!$I:$I,"Су-27",'Таблиця 1'!$J:$J,"MK-32"))</f>
        <v/>
      </c>
      <c r="Q405">
        <f>IF($A405="","",SUMIFS('Таблиця 1'!$K:$K,'Таблиця 1'!$B:$B,$A405,'Таблиця 1'!$I:$I,"Mirage",'Таблиця 1'!$J:$J,"MK-24")+SUMIFS('Таблиця 1'!$K:$K,'Таблиця 1'!$B:$B,$A405,'Таблиця 1'!$I:$I,"F-16",'Таблиця 1'!$J:$J,"MK-24")+SUMIFS('Таблиця 1'!$K:$K,'Таблиця 1'!$B:$B,$A405,'Таблиця 1'!$I:$I,"МіГ-29",'Таблиця 1'!$J:$J,"MK-24")+SUMIFS('Таблиця 1'!$K:$K,'Таблиця 1'!$B:$B,$A405,'Таблиця 1'!$I:$I,"Су-25",'Таблиця 1'!$J:$J,"MK-24")+SUMIFS('Таблиця 1'!$K:$K,'Таблиця 1'!$B:$B,$A405,'Таблиця 1'!$I:$I,"Су-27",'Таблиця 1'!$J:$J,"MK-24"))</f>
        <v/>
      </c>
      <c r="R405">
        <f>IF($A405="","",COUNTIFS('Таблиця 1'!$B:$B,$A405,'Таблиця 1'!$I:$I,"Mirage",'Таблиця 1'!$L:$L,"Уражено")+COUNTIFS('Таблиця 1'!$B:$B,$A405,'Таблиця 1'!$I:$I,"F-16",'Таблиця 1'!$L:$L,"Уражено")+COUNTIFS('Таблиця 1'!$B:$B,$A405,'Таблиця 1'!$I:$I,"МіГ-29",'Таблиця 1'!$L:$L,"Уражено")+COUNTIFS('Таблиця 1'!$B:$B,$A405,'Таблиця 1'!$I:$I,"Су-25",'Таблиця 1'!$L:$L,"Уражено")+COUNTIFS('Таблиця 1'!$B:$B,$A405,'Таблиця 1'!$I:$I,"Су-27",'Таблиця 1'!$L:$L,"Уражено"))</f>
        <v/>
      </c>
      <c r="S405">
        <f>IF($A405="","",COUNTIFS('Таблиця 1'!$B:$B,$A405,'Таблиця 1'!$I:$I,"Mirage",'Таблиця 1'!$L:$L,"НЕ уражено")+COUNTIFS('Таблиця 1'!$B:$B,$A405,'Таблиця 1'!$I:$I,"F-16",'Таблиця 1'!$L:$L,"НЕ уражено")+COUNTIFS('Таблиця 1'!$B:$B,$A405,'Таблиця 1'!$I:$I,"МіГ-29",'Таблиця 1'!$L:$L,"НЕ уражено")+COUNTIFS('Таблиця 1'!$B:$B,$A405,'Таблиця 1'!$I:$I,"Су-25",'Таблиця 1'!$L:$L,"НЕ уражено")+COUNTIFS('Таблиця 1'!$B:$B,$A405,'Таблиця 1'!$I:$I,"Су-27",'Таблиця 1'!$L:$L,"НЕ уражено"))</f>
        <v/>
      </c>
      <c r="T405">
        <f>IF($A405="","",COUNTIFS('Таблиця 1'!$B:$B,$A405,'Таблиця 1'!$I:$I,"Mirage",'Таблиця 1'!$L:$L,"Дорозвідується")+COUNTIFS('Таблиця 1'!$B:$B,$A405,'Таблиця 1'!$I:$I,"F-16",'Таблиця 1'!$L:$L,"Дорозвідується")+COUNTIFS('Таблиця 1'!$B:$B,$A405,'Таблиця 1'!$I:$I,"МіГ-29",'Таблиця 1'!$L:$L,"Дорозвідується")+COUNTIFS('Таблиця 1'!$B:$B,$A405,'Таблиця 1'!$I:$I,"Су-25",'Таблиця 1'!$L:$L,"Дорозвідується")+COUNTIFS('Таблиця 1'!$B:$B,$A405,'Таблиця 1'!$I:$I,"Су-27",'Таблиця 1'!$L:$L,"Дорозвідується"))</f>
        <v/>
      </c>
    </row>
    <row r="406">
      <c r="A406" s="273">
        <f>IF(A405="","",IF(A405+1&gt;MAX('Таблиця 1'!$B:$B),"",A405+1))</f>
        <v/>
      </c>
      <c r="B406">
        <f>IF($A406="","",COUNTIFS('Таблиця 1'!$B:$B,$A406,'Таблиця 1'!$I:$I,"Mirage")+COUNTIFS('Таблиця 1'!$B:$B,$A406,'Таблиця 1'!$I:$I,"F-16")+COUNTIFS('Таблиця 1'!$B:$B,$A406,'Таблиця 1'!$I:$I,"МіГ-29")+COUNTIFS('Таблиця 1'!$B:$B,$A406,'Таблиця 1'!$I:$I,"Су-25")+COUNTIFS('Таблиця 1'!$B:$B,$A406,'Таблиця 1'!$I:$I,"Су-27"))</f>
        <v/>
      </c>
      <c r="C406">
        <f>IF($A406="","",COUNTIFS('Таблиця 1'!$B:$B,$A406,'Таблиця 1'!$I:$I,"Mirage"))</f>
        <v/>
      </c>
      <c r="D406">
        <f>IF($A406="","",COUNTIFS('Таблиця 1'!$B:$B,$A406,'Таблиця 1'!$I:$I,"F-16"))</f>
        <v/>
      </c>
      <c r="E406">
        <f>IF($A406="","",COUNTIFS('Таблиця 1'!$B:$B,$A406,'Таблиця 1'!$I:$I,"МіГ-29"))</f>
        <v/>
      </c>
      <c r="F406">
        <f>IF($A406="","",COUNTIFS('Таблиця 1'!$B:$B,$A406,'Таблиця 1'!$I:$I,"Су-25"))</f>
        <v/>
      </c>
      <c r="G406">
        <f>IF($A406="","",COUNTIFS('Таблиця 1'!$B:$B,$A406,'Таблиця 1'!$I:$I,"Су-27"))</f>
        <v/>
      </c>
      <c r="H406">
        <f>IF($A406="","",SUMIFS('Таблиця 1'!$K:$K,'Таблиця 1'!$B:$B,$A406,'Таблиця 1'!$I:$I,"Mirage",'Таблиця 1'!$J:$J,"AGM-88")+SUMIFS('Таблиця 1'!$K:$K,'Таблиця 1'!$B:$B,$A406,'Таблиця 1'!$I:$I,"F-16",'Таблиця 1'!$J:$J,"AGM-88")+SUMIFS('Таблиця 1'!$K:$K,'Таблиця 1'!$B:$B,$A406,'Таблиця 1'!$I:$I,"МіГ-29",'Таблиця 1'!$J:$J,"AGM-88")+SUMIFS('Таблиця 1'!$K:$K,'Таблиця 1'!$B:$B,$A406,'Таблиця 1'!$I:$I,"Су-25",'Таблиця 1'!$J:$J,"AGM-88")+SUMIFS('Таблиця 1'!$K:$K,'Таблиця 1'!$B:$B,$A406,'Таблиця 1'!$I:$I,"Су-27",'Таблиця 1'!$J:$J,"AGM-88"))</f>
        <v/>
      </c>
      <c r="I406">
        <f>IF($A406="","",SUMIFS('Таблиця 1'!$K:$K,'Таблиця 1'!$B:$B,$A406,'Таблиця 1'!$I:$I,"Mirage",'Таблиця 1'!$J:$J,"AASM-250")+SUMIFS('Таблиця 1'!$K:$K,'Таблиця 1'!$B:$B,$A406,'Таблиця 1'!$I:$I,"F-16",'Таблиця 1'!$J:$J,"AASM-250")+SUMIFS('Таблиця 1'!$K:$K,'Таблиця 1'!$B:$B,$A406,'Таблиця 1'!$I:$I,"МіГ-29",'Таблиця 1'!$J:$J,"AASM-250")+SUMIFS('Таблиця 1'!$K:$K,'Таблиця 1'!$B:$B,$A406,'Таблиця 1'!$I:$I,"Су-25",'Таблиця 1'!$J:$J,"AASM-250")+SUMIFS('Таблиця 1'!$K:$K,'Таблиця 1'!$B:$B,$A406,'Таблиця 1'!$I:$I,"Су-27",'Таблиця 1'!$J:$J,"AASM-250"))</f>
        <v/>
      </c>
      <c r="J406">
        <f>IF($A406="","",SUMIFS('Таблиця 1'!$K:$K,'Таблиця 1'!$B:$B,$A406,'Таблиця 1'!$I:$I,"Mirage",'Таблиця 1'!$J:$J,"GBU-39")+SUMIFS('Таблиця 1'!$K:$K,'Таблиця 1'!$B:$B,$A406,'Таблиця 1'!$I:$I,"F-16",'Таблиця 1'!$J:$J,"GBU-39")+SUMIFS('Таблиця 1'!$K:$K,'Таблиця 1'!$B:$B,$A406,'Таблиця 1'!$I:$I,"МіГ-29",'Таблиця 1'!$J:$J,"GBU-39")+SUMIFS('Таблиця 1'!$K:$K,'Таблиця 1'!$B:$B,$A406,'Таблиця 1'!$I:$I,"Су-25",'Таблиця 1'!$J:$J,"GBU-39")+SUMIFS('Таблиця 1'!$K:$K,'Таблиця 1'!$B:$B,$A406,'Таблиця 1'!$I:$I,"Су-27",'Таблиця 1'!$J:$J,"GBU-39"))</f>
        <v/>
      </c>
      <c r="K406">
        <f>IF($A406="","",SUMIFS('Таблиця 1'!$K:$K,'Таблиця 1'!$B:$B,$A406,'Таблиця 1'!$I:$I,"Mirage",'Таблиця 1'!$J:$J,"BLU-140")+SUMIFS('Таблиця 1'!$K:$K,'Таблиця 1'!$B:$B,$A406,'Таблиця 1'!$I:$I,"F-16",'Таблиця 1'!$J:$J,"BLU-140")+SUMIFS('Таблиця 1'!$K:$K,'Таблиця 1'!$B:$B,$A406,'Таблиця 1'!$I:$I,"МіГ-29",'Таблиця 1'!$J:$J,"BLU-140")+SUMIFS('Таблиця 1'!$K:$K,'Таблиця 1'!$B:$B,$A406,'Таблиця 1'!$I:$I,"Су-25",'Таблиця 1'!$J:$J,"BLU-140")+SUMIFS('Таблиця 1'!$K:$K,'Таблиця 1'!$B:$B,$A406,'Таблиця 1'!$I:$I,"Су-27",'Таблиця 1'!$J:$J,"BLU-140"))</f>
        <v/>
      </c>
      <c r="L406">
        <f>IF($A406="","",SUMIFS('Таблиця 1'!$K:$K,'Таблиця 1'!$B:$B,$A406,'Таблиця 1'!$I:$I,"Mirage",'Таблиця 1'!$J:$J,"GBU-65")+SUMIFS('Таблиця 1'!$K:$K,'Таблиця 1'!$B:$B,$A406,'Таблиця 1'!$I:$I,"F-16",'Таблиця 1'!$J:$J,"GBU-65")+SUMIFS('Таблиця 1'!$K:$K,'Таблиця 1'!$B:$B,$A406,'Таблиця 1'!$I:$I,"МіГ-29",'Таблиця 1'!$J:$J,"GBU-65")+SUMIFS('Таблиця 1'!$K:$K,'Таблиця 1'!$B:$B,$A406,'Таблиця 1'!$I:$I,"Су-25",'Таблиця 1'!$J:$J,"GBU-65")+SUMIFS('Таблиця 1'!$K:$K,'Таблиця 1'!$B:$B,$A406,'Таблиця 1'!$I:$I,"Су-27",'Таблиця 1'!$J:$J,"GBU-65"))</f>
        <v/>
      </c>
      <c r="M406">
        <f>IF($A406="","",SUMIFS('Таблиця 1'!$K:$K,'Таблиця 1'!$B:$B,$A406,'Таблиця 1'!$I:$I,"Mirage",'Таблиця 1'!$J:$J,"GBU-62")+SUMIFS('Таблиця 1'!$K:$K,'Таблиця 1'!$B:$B,$A406,'Таблиця 1'!$I:$I,"F-16",'Таблиця 1'!$J:$J,"GBU-62")+SUMIFS('Таблиця 1'!$K:$K,'Таблиця 1'!$B:$B,$A406,'Таблиця 1'!$I:$I,"МіГ-29",'Таблиця 1'!$J:$J,"GBU-62")+SUMIFS('Таблиця 1'!$K:$K,'Таблиця 1'!$B:$B,$A406,'Таблиця 1'!$I:$I,"Су-25",'Таблиця 1'!$J:$J,"GBU-62")+SUMIFS('Таблиця 1'!$K:$K,'Таблиця 1'!$B:$B,$A406,'Таблиця 1'!$I:$I,"Су-27",'Таблиця 1'!$J:$J,"GBU-62"))</f>
        <v/>
      </c>
      <c r="N406">
        <f>IF($A406="","",SUMIFS('Таблиця 1'!$K:$K,'Таблиця 1'!$B:$B,$A406,'Таблиця 1'!$I:$I,"Mirage",'Таблиця 1'!$J:$J,"GBU-64")+SUMIFS('Таблиця 1'!$K:$K,'Таблиця 1'!$B:$B,$A406,'Таблиця 1'!$I:$I,"F-16",'Таблиця 1'!$J:$J,"GBU-64")+SUMIFS('Таблиця 1'!$K:$K,'Таблиця 1'!$B:$B,$A406,'Таблиця 1'!$I:$I,"МіГ-29",'Таблиця 1'!$J:$J,"GBU-64")+SUMIFS('Таблиця 1'!$K:$K,'Таблиця 1'!$B:$B,$A406,'Таблиця 1'!$I:$I,"Су-25",'Таблиця 1'!$J:$J,"GBU-64")+SUMIFS('Таблиця 1'!$K:$K,'Таблиця 1'!$B:$B,$A406,'Таблиця 1'!$I:$I,"Су-27",'Таблиця 1'!$J:$J,"GBU-64"))</f>
        <v/>
      </c>
      <c r="O406">
        <f>IF($A406="","",SUMIFS('Таблиця 1'!$K:$K,'Таблиця 1'!$B:$B,$A406,'Таблиця 1'!$I:$I,"Mirage",'Таблиця 1'!$J:$J,"C-13")+SUMIFS('Таблиця 1'!$K:$K,'Таблиця 1'!$B:$B,$A406,'Таблиця 1'!$I:$I,"F-16",'Таблиця 1'!$J:$J,"C-13")+SUMIFS('Таблиця 1'!$K:$K,'Таблиця 1'!$B:$B,$A406,'Таблиця 1'!$I:$I,"МіГ-29",'Таблиця 1'!$J:$J,"C-13")+SUMIFS('Таблиця 1'!$K:$K,'Таблиця 1'!$B:$B,$A406,'Таблиця 1'!$I:$I,"Су-25",'Таблиця 1'!$J:$J,"C-13")+SUMIFS('Таблиця 1'!$K:$K,'Таблиця 1'!$B:$B,$A406,'Таблиця 1'!$I:$I,"Су-27",'Таблиця 1'!$J:$J,"C-13"))</f>
        <v/>
      </c>
      <c r="P406">
        <f>IF($A406="","",SUMIFS('Таблиця 1'!$K:$K,'Таблиця 1'!$B:$B,$A406,'Таблиця 1'!$I:$I,"Mirage",'Таблиця 1'!$J:$J,"MK-32")+SUMIFS('Таблиця 1'!$K:$K,'Таблиця 1'!$B:$B,$A406,'Таблиця 1'!$I:$I,"F-16",'Таблиця 1'!$J:$J,"MK-32")+SUMIFS('Таблиця 1'!$K:$K,'Таблиця 1'!$B:$B,$A406,'Таблиця 1'!$I:$I,"МіГ-29",'Таблиця 1'!$J:$J,"MK-32")+SUMIFS('Таблиця 1'!$K:$K,'Таблиця 1'!$B:$B,$A406,'Таблиця 1'!$I:$I,"Су-25",'Таблиця 1'!$J:$J,"MK-32")+SUMIFS('Таблиця 1'!$K:$K,'Таблиця 1'!$B:$B,$A406,'Таблиця 1'!$I:$I,"Су-27",'Таблиця 1'!$J:$J,"MK-32"))</f>
        <v/>
      </c>
      <c r="Q406">
        <f>IF($A406="","",SUMIFS('Таблиця 1'!$K:$K,'Таблиця 1'!$B:$B,$A406,'Таблиця 1'!$I:$I,"Mirage",'Таблиця 1'!$J:$J,"MK-24")+SUMIFS('Таблиця 1'!$K:$K,'Таблиця 1'!$B:$B,$A406,'Таблиця 1'!$I:$I,"F-16",'Таблиця 1'!$J:$J,"MK-24")+SUMIFS('Таблиця 1'!$K:$K,'Таблиця 1'!$B:$B,$A406,'Таблиця 1'!$I:$I,"МіГ-29",'Таблиця 1'!$J:$J,"MK-24")+SUMIFS('Таблиця 1'!$K:$K,'Таблиця 1'!$B:$B,$A406,'Таблиця 1'!$I:$I,"Су-25",'Таблиця 1'!$J:$J,"MK-24")+SUMIFS('Таблиця 1'!$K:$K,'Таблиця 1'!$B:$B,$A406,'Таблиця 1'!$I:$I,"Су-27",'Таблиця 1'!$J:$J,"MK-24"))</f>
        <v/>
      </c>
      <c r="R406">
        <f>IF($A406="","",COUNTIFS('Таблиця 1'!$B:$B,$A406,'Таблиця 1'!$I:$I,"Mirage",'Таблиця 1'!$L:$L,"Уражено")+COUNTIFS('Таблиця 1'!$B:$B,$A406,'Таблиця 1'!$I:$I,"F-16",'Таблиця 1'!$L:$L,"Уражено")+COUNTIFS('Таблиця 1'!$B:$B,$A406,'Таблиця 1'!$I:$I,"МіГ-29",'Таблиця 1'!$L:$L,"Уражено")+COUNTIFS('Таблиця 1'!$B:$B,$A406,'Таблиця 1'!$I:$I,"Су-25",'Таблиця 1'!$L:$L,"Уражено")+COUNTIFS('Таблиця 1'!$B:$B,$A406,'Таблиця 1'!$I:$I,"Су-27",'Таблиця 1'!$L:$L,"Уражено"))</f>
        <v/>
      </c>
      <c r="S406">
        <f>IF($A406="","",COUNTIFS('Таблиця 1'!$B:$B,$A406,'Таблиця 1'!$I:$I,"Mirage",'Таблиця 1'!$L:$L,"НЕ уражено")+COUNTIFS('Таблиця 1'!$B:$B,$A406,'Таблиця 1'!$I:$I,"F-16",'Таблиця 1'!$L:$L,"НЕ уражено")+COUNTIFS('Таблиця 1'!$B:$B,$A406,'Таблиця 1'!$I:$I,"МіГ-29",'Таблиця 1'!$L:$L,"НЕ уражено")+COUNTIFS('Таблиця 1'!$B:$B,$A406,'Таблиця 1'!$I:$I,"Су-25",'Таблиця 1'!$L:$L,"НЕ уражено")+COUNTIFS('Таблиця 1'!$B:$B,$A406,'Таблиця 1'!$I:$I,"Су-27",'Таблиця 1'!$L:$L,"НЕ уражено"))</f>
        <v/>
      </c>
      <c r="T406">
        <f>IF($A406="","",COUNTIFS('Таблиця 1'!$B:$B,$A406,'Таблиця 1'!$I:$I,"Mirage",'Таблиця 1'!$L:$L,"Дорозвідується")+COUNTIFS('Таблиця 1'!$B:$B,$A406,'Таблиця 1'!$I:$I,"F-16",'Таблиця 1'!$L:$L,"Дорозвідується")+COUNTIFS('Таблиця 1'!$B:$B,$A406,'Таблиця 1'!$I:$I,"МіГ-29",'Таблиця 1'!$L:$L,"Дорозвідується")+COUNTIFS('Таблиця 1'!$B:$B,$A406,'Таблиця 1'!$I:$I,"Су-25",'Таблиця 1'!$L:$L,"Дорозвідується")+COUNTIFS('Таблиця 1'!$B:$B,$A406,'Таблиця 1'!$I:$I,"Су-27",'Таблиця 1'!$L:$L,"Дорозвідується"))</f>
        <v/>
      </c>
    </row>
    <row r="407">
      <c r="A407" s="273">
        <f>IF(A406="","",IF(A406+1&gt;MAX('Таблиця 1'!$B:$B),"",A406+1))</f>
        <v/>
      </c>
      <c r="B407">
        <f>IF($A407="","",COUNTIFS('Таблиця 1'!$B:$B,$A407,'Таблиця 1'!$I:$I,"Mirage")+COUNTIFS('Таблиця 1'!$B:$B,$A407,'Таблиця 1'!$I:$I,"F-16")+COUNTIFS('Таблиця 1'!$B:$B,$A407,'Таблиця 1'!$I:$I,"МіГ-29")+COUNTIFS('Таблиця 1'!$B:$B,$A407,'Таблиця 1'!$I:$I,"Су-25")+COUNTIFS('Таблиця 1'!$B:$B,$A407,'Таблиця 1'!$I:$I,"Су-27"))</f>
        <v/>
      </c>
      <c r="C407">
        <f>IF($A407="","",COUNTIFS('Таблиця 1'!$B:$B,$A407,'Таблиця 1'!$I:$I,"Mirage"))</f>
        <v/>
      </c>
      <c r="D407">
        <f>IF($A407="","",COUNTIFS('Таблиця 1'!$B:$B,$A407,'Таблиця 1'!$I:$I,"F-16"))</f>
        <v/>
      </c>
      <c r="E407">
        <f>IF($A407="","",COUNTIFS('Таблиця 1'!$B:$B,$A407,'Таблиця 1'!$I:$I,"МіГ-29"))</f>
        <v/>
      </c>
      <c r="F407">
        <f>IF($A407="","",COUNTIFS('Таблиця 1'!$B:$B,$A407,'Таблиця 1'!$I:$I,"Су-25"))</f>
        <v/>
      </c>
      <c r="G407">
        <f>IF($A407="","",COUNTIFS('Таблиця 1'!$B:$B,$A407,'Таблиця 1'!$I:$I,"Су-27"))</f>
        <v/>
      </c>
      <c r="H407">
        <f>IF($A407="","",SUMIFS('Таблиця 1'!$K:$K,'Таблиця 1'!$B:$B,$A407,'Таблиця 1'!$I:$I,"Mirage",'Таблиця 1'!$J:$J,"AGM-88")+SUMIFS('Таблиця 1'!$K:$K,'Таблиця 1'!$B:$B,$A407,'Таблиця 1'!$I:$I,"F-16",'Таблиця 1'!$J:$J,"AGM-88")+SUMIFS('Таблиця 1'!$K:$K,'Таблиця 1'!$B:$B,$A407,'Таблиця 1'!$I:$I,"МіГ-29",'Таблиця 1'!$J:$J,"AGM-88")+SUMIFS('Таблиця 1'!$K:$K,'Таблиця 1'!$B:$B,$A407,'Таблиця 1'!$I:$I,"Су-25",'Таблиця 1'!$J:$J,"AGM-88")+SUMIFS('Таблиця 1'!$K:$K,'Таблиця 1'!$B:$B,$A407,'Таблиця 1'!$I:$I,"Су-27",'Таблиця 1'!$J:$J,"AGM-88"))</f>
        <v/>
      </c>
      <c r="I407">
        <f>IF($A407="","",SUMIFS('Таблиця 1'!$K:$K,'Таблиця 1'!$B:$B,$A407,'Таблиця 1'!$I:$I,"Mirage",'Таблиця 1'!$J:$J,"AASM-250")+SUMIFS('Таблиця 1'!$K:$K,'Таблиця 1'!$B:$B,$A407,'Таблиця 1'!$I:$I,"F-16",'Таблиця 1'!$J:$J,"AASM-250")+SUMIFS('Таблиця 1'!$K:$K,'Таблиця 1'!$B:$B,$A407,'Таблиця 1'!$I:$I,"МіГ-29",'Таблиця 1'!$J:$J,"AASM-250")+SUMIFS('Таблиця 1'!$K:$K,'Таблиця 1'!$B:$B,$A407,'Таблиця 1'!$I:$I,"Су-25",'Таблиця 1'!$J:$J,"AASM-250")+SUMIFS('Таблиця 1'!$K:$K,'Таблиця 1'!$B:$B,$A407,'Таблиця 1'!$I:$I,"Су-27",'Таблиця 1'!$J:$J,"AASM-250"))</f>
        <v/>
      </c>
      <c r="J407">
        <f>IF($A407="","",SUMIFS('Таблиця 1'!$K:$K,'Таблиця 1'!$B:$B,$A407,'Таблиця 1'!$I:$I,"Mirage",'Таблиця 1'!$J:$J,"GBU-39")+SUMIFS('Таблиця 1'!$K:$K,'Таблиця 1'!$B:$B,$A407,'Таблиця 1'!$I:$I,"F-16",'Таблиця 1'!$J:$J,"GBU-39")+SUMIFS('Таблиця 1'!$K:$K,'Таблиця 1'!$B:$B,$A407,'Таблиця 1'!$I:$I,"МіГ-29",'Таблиця 1'!$J:$J,"GBU-39")+SUMIFS('Таблиця 1'!$K:$K,'Таблиця 1'!$B:$B,$A407,'Таблиця 1'!$I:$I,"Су-25",'Таблиця 1'!$J:$J,"GBU-39")+SUMIFS('Таблиця 1'!$K:$K,'Таблиця 1'!$B:$B,$A407,'Таблиця 1'!$I:$I,"Су-27",'Таблиця 1'!$J:$J,"GBU-39"))</f>
        <v/>
      </c>
      <c r="K407">
        <f>IF($A407="","",SUMIFS('Таблиця 1'!$K:$K,'Таблиця 1'!$B:$B,$A407,'Таблиця 1'!$I:$I,"Mirage",'Таблиця 1'!$J:$J,"BLU-140")+SUMIFS('Таблиця 1'!$K:$K,'Таблиця 1'!$B:$B,$A407,'Таблиця 1'!$I:$I,"F-16",'Таблиця 1'!$J:$J,"BLU-140")+SUMIFS('Таблиця 1'!$K:$K,'Таблиця 1'!$B:$B,$A407,'Таблиця 1'!$I:$I,"МіГ-29",'Таблиця 1'!$J:$J,"BLU-140")+SUMIFS('Таблиця 1'!$K:$K,'Таблиця 1'!$B:$B,$A407,'Таблиця 1'!$I:$I,"Су-25",'Таблиця 1'!$J:$J,"BLU-140")+SUMIFS('Таблиця 1'!$K:$K,'Таблиця 1'!$B:$B,$A407,'Таблиця 1'!$I:$I,"Су-27",'Таблиця 1'!$J:$J,"BLU-140"))</f>
        <v/>
      </c>
      <c r="L407">
        <f>IF($A407="","",SUMIFS('Таблиця 1'!$K:$K,'Таблиця 1'!$B:$B,$A407,'Таблиця 1'!$I:$I,"Mirage",'Таблиця 1'!$J:$J,"GBU-65")+SUMIFS('Таблиця 1'!$K:$K,'Таблиця 1'!$B:$B,$A407,'Таблиця 1'!$I:$I,"F-16",'Таблиця 1'!$J:$J,"GBU-65")+SUMIFS('Таблиця 1'!$K:$K,'Таблиця 1'!$B:$B,$A407,'Таблиця 1'!$I:$I,"МіГ-29",'Таблиця 1'!$J:$J,"GBU-65")+SUMIFS('Таблиця 1'!$K:$K,'Таблиця 1'!$B:$B,$A407,'Таблиця 1'!$I:$I,"Су-25",'Таблиця 1'!$J:$J,"GBU-65")+SUMIFS('Таблиця 1'!$K:$K,'Таблиця 1'!$B:$B,$A407,'Таблиця 1'!$I:$I,"Су-27",'Таблиця 1'!$J:$J,"GBU-65"))</f>
        <v/>
      </c>
      <c r="M407">
        <f>IF($A407="","",SUMIFS('Таблиця 1'!$K:$K,'Таблиця 1'!$B:$B,$A407,'Таблиця 1'!$I:$I,"Mirage",'Таблиця 1'!$J:$J,"GBU-62")+SUMIFS('Таблиця 1'!$K:$K,'Таблиця 1'!$B:$B,$A407,'Таблиця 1'!$I:$I,"F-16",'Таблиця 1'!$J:$J,"GBU-62")+SUMIFS('Таблиця 1'!$K:$K,'Таблиця 1'!$B:$B,$A407,'Таблиця 1'!$I:$I,"МіГ-29",'Таблиця 1'!$J:$J,"GBU-62")+SUMIFS('Таблиця 1'!$K:$K,'Таблиця 1'!$B:$B,$A407,'Таблиця 1'!$I:$I,"Су-25",'Таблиця 1'!$J:$J,"GBU-62")+SUMIFS('Таблиця 1'!$K:$K,'Таблиця 1'!$B:$B,$A407,'Таблиця 1'!$I:$I,"Су-27",'Таблиця 1'!$J:$J,"GBU-62"))</f>
        <v/>
      </c>
      <c r="N407">
        <f>IF($A407="","",SUMIFS('Таблиця 1'!$K:$K,'Таблиця 1'!$B:$B,$A407,'Таблиця 1'!$I:$I,"Mirage",'Таблиця 1'!$J:$J,"GBU-64")+SUMIFS('Таблиця 1'!$K:$K,'Таблиця 1'!$B:$B,$A407,'Таблиця 1'!$I:$I,"F-16",'Таблиця 1'!$J:$J,"GBU-64")+SUMIFS('Таблиця 1'!$K:$K,'Таблиця 1'!$B:$B,$A407,'Таблиця 1'!$I:$I,"МіГ-29",'Таблиця 1'!$J:$J,"GBU-64")+SUMIFS('Таблиця 1'!$K:$K,'Таблиця 1'!$B:$B,$A407,'Таблиця 1'!$I:$I,"Су-25",'Таблиця 1'!$J:$J,"GBU-64")+SUMIFS('Таблиця 1'!$K:$K,'Таблиця 1'!$B:$B,$A407,'Таблиця 1'!$I:$I,"Су-27",'Таблиця 1'!$J:$J,"GBU-64"))</f>
        <v/>
      </c>
      <c r="O407">
        <f>IF($A407="","",SUMIFS('Таблиця 1'!$K:$K,'Таблиця 1'!$B:$B,$A407,'Таблиця 1'!$I:$I,"Mirage",'Таблиця 1'!$J:$J,"C-13")+SUMIFS('Таблиця 1'!$K:$K,'Таблиця 1'!$B:$B,$A407,'Таблиця 1'!$I:$I,"F-16",'Таблиця 1'!$J:$J,"C-13")+SUMIFS('Таблиця 1'!$K:$K,'Таблиця 1'!$B:$B,$A407,'Таблиця 1'!$I:$I,"МіГ-29",'Таблиця 1'!$J:$J,"C-13")+SUMIFS('Таблиця 1'!$K:$K,'Таблиця 1'!$B:$B,$A407,'Таблиця 1'!$I:$I,"Су-25",'Таблиця 1'!$J:$J,"C-13")+SUMIFS('Таблиця 1'!$K:$K,'Таблиця 1'!$B:$B,$A407,'Таблиця 1'!$I:$I,"Су-27",'Таблиця 1'!$J:$J,"C-13"))</f>
        <v/>
      </c>
      <c r="P407">
        <f>IF($A407="","",SUMIFS('Таблиця 1'!$K:$K,'Таблиця 1'!$B:$B,$A407,'Таблиця 1'!$I:$I,"Mirage",'Таблиця 1'!$J:$J,"MK-32")+SUMIFS('Таблиця 1'!$K:$K,'Таблиця 1'!$B:$B,$A407,'Таблиця 1'!$I:$I,"F-16",'Таблиця 1'!$J:$J,"MK-32")+SUMIFS('Таблиця 1'!$K:$K,'Таблиця 1'!$B:$B,$A407,'Таблиця 1'!$I:$I,"МіГ-29",'Таблиця 1'!$J:$J,"MK-32")+SUMIFS('Таблиця 1'!$K:$K,'Таблиця 1'!$B:$B,$A407,'Таблиця 1'!$I:$I,"Су-25",'Таблиця 1'!$J:$J,"MK-32")+SUMIFS('Таблиця 1'!$K:$K,'Таблиця 1'!$B:$B,$A407,'Таблиця 1'!$I:$I,"Су-27",'Таблиця 1'!$J:$J,"MK-32"))</f>
        <v/>
      </c>
      <c r="Q407">
        <f>IF($A407="","",SUMIFS('Таблиця 1'!$K:$K,'Таблиця 1'!$B:$B,$A407,'Таблиця 1'!$I:$I,"Mirage",'Таблиця 1'!$J:$J,"MK-24")+SUMIFS('Таблиця 1'!$K:$K,'Таблиця 1'!$B:$B,$A407,'Таблиця 1'!$I:$I,"F-16",'Таблиця 1'!$J:$J,"MK-24")+SUMIFS('Таблиця 1'!$K:$K,'Таблиця 1'!$B:$B,$A407,'Таблиця 1'!$I:$I,"МіГ-29",'Таблиця 1'!$J:$J,"MK-24")+SUMIFS('Таблиця 1'!$K:$K,'Таблиця 1'!$B:$B,$A407,'Таблиця 1'!$I:$I,"Су-25",'Таблиця 1'!$J:$J,"MK-24")+SUMIFS('Таблиця 1'!$K:$K,'Таблиця 1'!$B:$B,$A407,'Таблиця 1'!$I:$I,"Су-27",'Таблиця 1'!$J:$J,"MK-24"))</f>
        <v/>
      </c>
      <c r="R407">
        <f>IF($A407="","",COUNTIFS('Таблиця 1'!$B:$B,$A407,'Таблиця 1'!$I:$I,"Mirage",'Таблиця 1'!$L:$L,"Уражено")+COUNTIFS('Таблиця 1'!$B:$B,$A407,'Таблиця 1'!$I:$I,"F-16",'Таблиця 1'!$L:$L,"Уражено")+COUNTIFS('Таблиця 1'!$B:$B,$A407,'Таблиця 1'!$I:$I,"МіГ-29",'Таблиця 1'!$L:$L,"Уражено")+COUNTIFS('Таблиця 1'!$B:$B,$A407,'Таблиця 1'!$I:$I,"Су-25",'Таблиця 1'!$L:$L,"Уражено")+COUNTIFS('Таблиця 1'!$B:$B,$A407,'Таблиця 1'!$I:$I,"Су-27",'Таблиця 1'!$L:$L,"Уражено"))</f>
        <v/>
      </c>
      <c r="S407">
        <f>IF($A407="","",COUNTIFS('Таблиця 1'!$B:$B,$A407,'Таблиця 1'!$I:$I,"Mirage",'Таблиця 1'!$L:$L,"НЕ уражено")+COUNTIFS('Таблиця 1'!$B:$B,$A407,'Таблиця 1'!$I:$I,"F-16",'Таблиця 1'!$L:$L,"НЕ уражено")+COUNTIFS('Таблиця 1'!$B:$B,$A407,'Таблиця 1'!$I:$I,"МіГ-29",'Таблиця 1'!$L:$L,"НЕ уражено")+COUNTIFS('Таблиця 1'!$B:$B,$A407,'Таблиця 1'!$I:$I,"Су-25",'Таблиця 1'!$L:$L,"НЕ уражено")+COUNTIFS('Таблиця 1'!$B:$B,$A407,'Таблиця 1'!$I:$I,"Су-27",'Таблиця 1'!$L:$L,"НЕ уражено"))</f>
        <v/>
      </c>
      <c r="T407">
        <f>IF($A407="","",COUNTIFS('Таблиця 1'!$B:$B,$A407,'Таблиця 1'!$I:$I,"Mirage",'Таблиця 1'!$L:$L,"Дорозвідується")+COUNTIFS('Таблиця 1'!$B:$B,$A407,'Таблиця 1'!$I:$I,"F-16",'Таблиця 1'!$L:$L,"Дорозвідується")+COUNTIFS('Таблиця 1'!$B:$B,$A407,'Таблиця 1'!$I:$I,"МіГ-29",'Таблиця 1'!$L:$L,"Дорозвідується")+COUNTIFS('Таблиця 1'!$B:$B,$A407,'Таблиця 1'!$I:$I,"Су-25",'Таблиця 1'!$L:$L,"Дорозвідується")+COUNTIFS('Таблиця 1'!$B:$B,$A407,'Таблиця 1'!$I:$I,"Су-27",'Таблиця 1'!$L:$L,"Дорозвідується"))</f>
        <v/>
      </c>
    </row>
    <row r="408">
      <c r="A408" s="273">
        <f>IF(A407="","",IF(A407+1&gt;MAX('Таблиця 1'!$B:$B),"",A407+1))</f>
        <v/>
      </c>
      <c r="B408">
        <f>IF($A408="","",COUNTIFS('Таблиця 1'!$B:$B,$A408,'Таблиця 1'!$I:$I,"Mirage")+COUNTIFS('Таблиця 1'!$B:$B,$A408,'Таблиця 1'!$I:$I,"F-16")+COUNTIFS('Таблиця 1'!$B:$B,$A408,'Таблиця 1'!$I:$I,"МіГ-29")+COUNTIFS('Таблиця 1'!$B:$B,$A408,'Таблиця 1'!$I:$I,"Су-25")+COUNTIFS('Таблиця 1'!$B:$B,$A408,'Таблиця 1'!$I:$I,"Су-27"))</f>
        <v/>
      </c>
      <c r="C408">
        <f>IF($A408="","",COUNTIFS('Таблиця 1'!$B:$B,$A408,'Таблиця 1'!$I:$I,"Mirage"))</f>
        <v/>
      </c>
      <c r="D408">
        <f>IF($A408="","",COUNTIFS('Таблиця 1'!$B:$B,$A408,'Таблиця 1'!$I:$I,"F-16"))</f>
        <v/>
      </c>
      <c r="E408">
        <f>IF($A408="","",COUNTIFS('Таблиця 1'!$B:$B,$A408,'Таблиця 1'!$I:$I,"МіГ-29"))</f>
        <v/>
      </c>
      <c r="F408">
        <f>IF($A408="","",COUNTIFS('Таблиця 1'!$B:$B,$A408,'Таблиця 1'!$I:$I,"Су-25"))</f>
        <v/>
      </c>
      <c r="G408">
        <f>IF($A408="","",COUNTIFS('Таблиця 1'!$B:$B,$A408,'Таблиця 1'!$I:$I,"Су-27"))</f>
        <v/>
      </c>
      <c r="H408">
        <f>IF($A408="","",SUMIFS('Таблиця 1'!$K:$K,'Таблиця 1'!$B:$B,$A408,'Таблиця 1'!$I:$I,"Mirage",'Таблиця 1'!$J:$J,"AGM-88")+SUMIFS('Таблиця 1'!$K:$K,'Таблиця 1'!$B:$B,$A408,'Таблиця 1'!$I:$I,"F-16",'Таблиця 1'!$J:$J,"AGM-88")+SUMIFS('Таблиця 1'!$K:$K,'Таблиця 1'!$B:$B,$A408,'Таблиця 1'!$I:$I,"МіГ-29",'Таблиця 1'!$J:$J,"AGM-88")+SUMIFS('Таблиця 1'!$K:$K,'Таблиця 1'!$B:$B,$A408,'Таблиця 1'!$I:$I,"Су-25",'Таблиця 1'!$J:$J,"AGM-88")+SUMIFS('Таблиця 1'!$K:$K,'Таблиця 1'!$B:$B,$A408,'Таблиця 1'!$I:$I,"Су-27",'Таблиця 1'!$J:$J,"AGM-88"))</f>
        <v/>
      </c>
      <c r="I408">
        <f>IF($A408="","",SUMIFS('Таблиця 1'!$K:$K,'Таблиця 1'!$B:$B,$A408,'Таблиця 1'!$I:$I,"Mirage",'Таблиця 1'!$J:$J,"AASM-250")+SUMIFS('Таблиця 1'!$K:$K,'Таблиця 1'!$B:$B,$A408,'Таблиця 1'!$I:$I,"F-16",'Таблиця 1'!$J:$J,"AASM-250")+SUMIFS('Таблиця 1'!$K:$K,'Таблиця 1'!$B:$B,$A408,'Таблиця 1'!$I:$I,"МіГ-29",'Таблиця 1'!$J:$J,"AASM-250")+SUMIFS('Таблиця 1'!$K:$K,'Таблиця 1'!$B:$B,$A408,'Таблиця 1'!$I:$I,"Су-25",'Таблиця 1'!$J:$J,"AASM-250")+SUMIFS('Таблиця 1'!$K:$K,'Таблиця 1'!$B:$B,$A408,'Таблиця 1'!$I:$I,"Су-27",'Таблиця 1'!$J:$J,"AASM-250"))</f>
        <v/>
      </c>
      <c r="J408">
        <f>IF($A408="","",SUMIFS('Таблиця 1'!$K:$K,'Таблиця 1'!$B:$B,$A408,'Таблиця 1'!$I:$I,"Mirage",'Таблиця 1'!$J:$J,"GBU-39")+SUMIFS('Таблиця 1'!$K:$K,'Таблиця 1'!$B:$B,$A408,'Таблиця 1'!$I:$I,"F-16",'Таблиця 1'!$J:$J,"GBU-39")+SUMIFS('Таблиця 1'!$K:$K,'Таблиця 1'!$B:$B,$A408,'Таблиця 1'!$I:$I,"МіГ-29",'Таблиця 1'!$J:$J,"GBU-39")+SUMIFS('Таблиця 1'!$K:$K,'Таблиця 1'!$B:$B,$A408,'Таблиця 1'!$I:$I,"Су-25",'Таблиця 1'!$J:$J,"GBU-39")+SUMIFS('Таблиця 1'!$K:$K,'Таблиця 1'!$B:$B,$A408,'Таблиця 1'!$I:$I,"Су-27",'Таблиця 1'!$J:$J,"GBU-39"))</f>
        <v/>
      </c>
      <c r="K408">
        <f>IF($A408="","",SUMIFS('Таблиця 1'!$K:$K,'Таблиця 1'!$B:$B,$A408,'Таблиця 1'!$I:$I,"Mirage",'Таблиця 1'!$J:$J,"BLU-140")+SUMIFS('Таблиця 1'!$K:$K,'Таблиця 1'!$B:$B,$A408,'Таблиця 1'!$I:$I,"F-16",'Таблиця 1'!$J:$J,"BLU-140")+SUMIFS('Таблиця 1'!$K:$K,'Таблиця 1'!$B:$B,$A408,'Таблиця 1'!$I:$I,"МіГ-29",'Таблиця 1'!$J:$J,"BLU-140")+SUMIFS('Таблиця 1'!$K:$K,'Таблиця 1'!$B:$B,$A408,'Таблиця 1'!$I:$I,"Су-25",'Таблиця 1'!$J:$J,"BLU-140")+SUMIFS('Таблиця 1'!$K:$K,'Таблиця 1'!$B:$B,$A408,'Таблиця 1'!$I:$I,"Су-27",'Таблиця 1'!$J:$J,"BLU-140"))</f>
        <v/>
      </c>
      <c r="L408">
        <f>IF($A408="","",SUMIFS('Таблиця 1'!$K:$K,'Таблиця 1'!$B:$B,$A408,'Таблиця 1'!$I:$I,"Mirage",'Таблиця 1'!$J:$J,"GBU-65")+SUMIFS('Таблиця 1'!$K:$K,'Таблиця 1'!$B:$B,$A408,'Таблиця 1'!$I:$I,"F-16",'Таблиця 1'!$J:$J,"GBU-65")+SUMIFS('Таблиця 1'!$K:$K,'Таблиця 1'!$B:$B,$A408,'Таблиця 1'!$I:$I,"МіГ-29",'Таблиця 1'!$J:$J,"GBU-65")+SUMIFS('Таблиця 1'!$K:$K,'Таблиця 1'!$B:$B,$A408,'Таблиця 1'!$I:$I,"Су-25",'Таблиця 1'!$J:$J,"GBU-65")+SUMIFS('Таблиця 1'!$K:$K,'Таблиця 1'!$B:$B,$A408,'Таблиця 1'!$I:$I,"Су-27",'Таблиця 1'!$J:$J,"GBU-65"))</f>
        <v/>
      </c>
      <c r="M408">
        <f>IF($A408="","",SUMIFS('Таблиця 1'!$K:$K,'Таблиця 1'!$B:$B,$A408,'Таблиця 1'!$I:$I,"Mirage",'Таблиця 1'!$J:$J,"GBU-62")+SUMIFS('Таблиця 1'!$K:$K,'Таблиця 1'!$B:$B,$A408,'Таблиця 1'!$I:$I,"F-16",'Таблиця 1'!$J:$J,"GBU-62")+SUMIFS('Таблиця 1'!$K:$K,'Таблиця 1'!$B:$B,$A408,'Таблиця 1'!$I:$I,"МіГ-29",'Таблиця 1'!$J:$J,"GBU-62")+SUMIFS('Таблиця 1'!$K:$K,'Таблиця 1'!$B:$B,$A408,'Таблиця 1'!$I:$I,"Су-25",'Таблиця 1'!$J:$J,"GBU-62")+SUMIFS('Таблиця 1'!$K:$K,'Таблиця 1'!$B:$B,$A408,'Таблиця 1'!$I:$I,"Су-27",'Таблиця 1'!$J:$J,"GBU-62"))</f>
        <v/>
      </c>
      <c r="N408">
        <f>IF($A408="","",SUMIFS('Таблиця 1'!$K:$K,'Таблиця 1'!$B:$B,$A408,'Таблиця 1'!$I:$I,"Mirage",'Таблиця 1'!$J:$J,"GBU-64")+SUMIFS('Таблиця 1'!$K:$K,'Таблиця 1'!$B:$B,$A408,'Таблиця 1'!$I:$I,"F-16",'Таблиця 1'!$J:$J,"GBU-64")+SUMIFS('Таблиця 1'!$K:$K,'Таблиця 1'!$B:$B,$A408,'Таблиця 1'!$I:$I,"МіГ-29",'Таблиця 1'!$J:$J,"GBU-64")+SUMIFS('Таблиця 1'!$K:$K,'Таблиця 1'!$B:$B,$A408,'Таблиця 1'!$I:$I,"Су-25",'Таблиця 1'!$J:$J,"GBU-64")+SUMIFS('Таблиця 1'!$K:$K,'Таблиця 1'!$B:$B,$A408,'Таблиця 1'!$I:$I,"Су-27",'Таблиця 1'!$J:$J,"GBU-64"))</f>
        <v/>
      </c>
      <c r="O408">
        <f>IF($A408="","",SUMIFS('Таблиця 1'!$K:$K,'Таблиця 1'!$B:$B,$A408,'Таблиця 1'!$I:$I,"Mirage",'Таблиця 1'!$J:$J,"C-13")+SUMIFS('Таблиця 1'!$K:$K,'Таблиця 1'!$B:$B,$A408,'Таблиця 1'!$I:$I,"F-16",'Таблиця 1'!$J:$J,"C-13")+SUMIFS('Таблиця 1'!$K:$K,'Таблиця 1'!$B:$B,$A408,'Таблиця 1'!$I:$I,"МіГ-29",'Таблиця 1'!$J:$J,"C-13")+SUMIFS('Таблиця 1'!$K:$K,'Таблиця 1'!$B:$B,$A408,'Таблиця 1'!$I:$I,"Су-25",'Таблиця 1'!$J:$J,"C-13")+SUMIFS('Таблиця 1'!$K:$K,'Таблиця 1'!$B:$B,$A408,'Таблиця 1'!$I:$I,"Су-27",'Таблиця 1'!$J:$J,"C-13"))</f>
        <v/>
      </c>
      <c r="P408">
        <f>IF($A408="","",SUMIFS('Таблиця 1'!$K:$K,'Таблиця 1'!$B:$B,$A408,'Таблиця 1'!$I:$I,"Mirage",'Таблиця 1'!$J:$J,"MK-32")+SUMIFS('Таблиця 1'!$K:$K,'Таблиця 1'!$B:$B,$A408,'Таблиця 1'!$I:$I,"F-16",'Таблиця 1'!$J:$J,"MK-32")+SUMIFS('Таблиця 1'!$K:$K,'Таблиця 1'!$B:$B,$A408,'Таблиця 1'!$I:$I,"МіГ-29",'Таблиця 1'!$J:$J,"MK-32")+SUMIFS('Таблиця 1'!$K:$K,'Таблиця 1'!$B:$B,$A408,'Таблиця 1'!$I:$I,"Су-25",'Таблиця 1'!$J:$J,"MK-32")+SUMIFS('Таблиця 1'!$K:$K,'Таблиця 1'!$B:$B,$A408,'Таблиця 1'!$I:$I,"Су-27",'Таблиця 1'!$J:$J,"MK-32"))</f>
        <v/>
      </c>
      <c r="Q408">
        <f>IF($A408="","",SUMIFS('Таблиця 1'!$K:$K,'Таблиця 1'!$B:$B,$A408,'Таблиця 1'!$I:$I,"Mirage",'Таблиця 1'!$J:$J,"MK-24")+SUMIFS('Таблиця 1'!$K:$K,'Таблиця 1'!$B:$B,$A408,'Таблиця 1'!$I:$I,"F-16",'Таблиця 1'!$J:$J,"MK-24")+SUMIFS('Таблиця 1'!$K:$K,'Таблиця 1'!$B:$B,$A408,'Таблиця 1'!$I:$I,"МіГ-29",'Таблиця 1'!$J:$J,"MK-24")+SUMIFS('Таблиця 1'!$K:$K,'Таблиця 1'!$B:$B,$A408,'Таблиця 1'!$I:$I,"Су-25",'Таблиця 1'!$J:$J,"MK-24")+SUMIFS('Таблиця 1'!$K:$K,'Таблиця 1'!$B:$B,$A408,'Таблиця 1'!$I:$I,"Су-27",'Таблиця 1'!$J:$J,"MK-24"))</f>
        <v/>
      </c>
      <c r="R408">
        <f>IF($A408="","",COUNTIFS('Таблиця 1'!$B:$B,$A408,'Таблиця 1'!$I:$I,"Mirage",'Таблиця 1'!$L:$L,"Уражено")+COUNTIFS('Таблиця 1'!$B:$B,$A408,'Таблиця 1'!$I:$I,"F-16",'Таблиця 1'!$L:$L,"Уражено")+COUNTIFS('Таблиця 1'!$B:$B,$A408,'Таблиця 1'!$I:$I,"МіГ-29",'Таблиця 1'!$L:$L,"Уражено")+COUNTIFS('Таблиця 1'!$B:$B,$A408,'Таблиця 1'!$I:$I,"Су-25",'Таблиця 1'!$L:$L,"Уражено")+COUNTIFS('Таблиця 1'!$B:$B,$A408,'Таблиця 1'!$I:$I,"Су-27",'Таблиця 1'!$L:$L,"Уражено"))</f>
        <v/>
      </c>
      <c r="S408">
        <f>IF($A408="","",COUNTIFS('Таблиця 1'!$B:$B,$A408,'Таблиця 1'!$I:$I,"Mirage",'Таблиця 1'!$L:$L,"НЕ уражено")+COUNTIFS('Таблиця 1'!$B:$B,$A408,'Таблиця 1'!$I:$I,"F-16",'Таблиця 1'!$L:$L,"НЕ уражено")+COUNTIFS('Таблиця 1'!$B:$B,$A408,'Таблиця 1'!$I:$I,"МіГ-29",'Таблиця 1'!$L:$L,"НЕ уражено")+COUNTIFS('Таблиця 1'!$B:$B,$A408,'Таблиця 1'!$I:$I,"Су-25",'Таблиця 1'!$L:$L,"НЕ уражено")+COUNTIFS('Таблиця 1'!$B:$B,$A408,'Таблиця 1'!$I:$I,"Су-27",'Таблиця 1'!$L:$L,"НЕ уражено"))</f>
        <v/>
      </c>
      <c r="T408">
        <f>IF($A408="","",COUNTIFS('Таблиця 1'!$B:$B,$A408,'Таблиця 1'!$I:$I,"Mirage",'Таблиця 1'!$L:$L,"Дорозвідується")+COUNTIFS('Таблиця 1'!$B:$B,$A408,'Таблиця 1'!$I:$I,"F-16",'Таблиця 1'!$L:$L,"Дорозвідується")+COUNTIFS('Таблиця 1'!$B:$B,$A408,'Таблиця 1'!$I:$I,"МіГ-29",'Таблиця 1'!$L:$L,"Дорозвідується")+COUNTIFS('Таблиця 1'!$B:$B,$A408,'Таблиця 1'!$I:$I,"Су-25",'Таблиця 1'!$L:$L,"Дорозвідується")+COUNTIFS('Таблиця 1'!$B:$B,$A408,'Таблиця 1'!$I:$I,"Су-27",'Таблиця 1'!$L:$L,"Дорозвідується"))</f>
        <v/>
      </c>
    </row>
    <row r="409">
      <c r="A409" s="273">
        <f>IF(A408="","",IF(A408+1&gt;MAX('Таблиця 1'!$B:$B),"",A408+1))</f>
        <v/>
      </c>
      <c r="B409">
        <f>IF($A409="","",COUNTIFS('Таблиця 1'!$B:$B,$A409,'Таблиця 1'!$I:$I,"Mirage")+COUNTIFS('Таблиця 1'!$B:$B,$A409,'Таблиця 1'!$I:$I,"F-16")+COUNTIFS('Таблиця 1'!$B:$B,$A409,'Таблиця 1'!$I:$I,"МіГ-29")+COUNTIFS('Таблиця 1'!$B:$B,$A409,'Таблиця 1'!$I:$I,"Су-25")+COUNTIFS('Таблиця 1'!$B:$B,$A409,'Таблиця 1'!$I:$I,"Су-27"))</f>
        <v/>
      </c>
      <c r="C409">
        <f>IF($A409="","",COUNTIFS('Таблиця 1'!$B:$B,$A409,'Таблиця 1'!$I:$I,"Mirage"))</f>
        <v/>
      </c>
      <c r="D409">
        <f>IF($A409="","",COUNTIFS('Таблиця 1'!$B:$B,$A409,'Таблиця 1'!$I:$I,"F-16"))</f>
        <v/>
      </c>
      <c r="E409">
        <f>IF($A409="","",COUNTIFS('Таблиця 1'!$B:$B,$A409,'Таблиця 1'!$I:$I,"МіГ-29"))</f>
        <v/>
      </c>
      <c r="F409">
        <f>IF($A409="","",COUNTIFS('Таблиця 1'!$B:$B,$A409,'Таблиця 1'!$I:$I,"Су-25"))</f>
        <v/>
      </c>
      <c r="G409">
        <f>IF($A409="","",COUNTIFS('Таблиця 1'!$B:$B,$A409,'Таблиця 1'!$I:$I,"Су-27"))</f>
        <v/>
      </c>
      <c r="H409">
        <f>IF($A409="","",SUMIFS('Таблиця 1'!$K:$K,'Таблиця 1'!$B:$B,$A409,'Таблиця 1'!$I:$I,"Mirage",'Таблиця 1'!$J:$J,"AGM-88")+SUMIFS('Таблиця 1'!$K:$K,'Таблиця 1'!$B:$B,$A409,'Таблиця 1'!$I:$I,"F-16",'Таблиця 1'!$J:$J,"AGM-88")+SUMIFS('Таблиця 1'!$K:$K,'Таблиця 1'!$B:$B,$A409,'Таблиця 1'!$I:$I,"МіГ-29",'Таблиця 1'!$J:$J,"AGM-88")+SUMIFS('Таблиця 1'!$K:$K,'Таблиця 1'!$B:$B,$A409,'Таблиця 1'!$I:$I,"Су-25",'Таблиця 1'!$J:$J,"AGM-88")+SUMIFS('Таблиця 1'!$K:$K,'Таблиця 1'!$B:$B,$A409,'Таблиця 1'!$I:$I,"Су-27",'Таблиця 1'!$J:$J,"AGM-88"))</f>
        <v/>
      </c>
      <c r="I409">
        <f>IF($A409="","",SUMIFS('Таблиця 1'!$K:$K,'Таблиця 1'!$B:$B,$A409,'Таблиця 1'!$I:$I,"Mirage",'Таблиця 1'!$J:$J,"AASM-250")+SUMIFS('Таблиця 1'!$K:$K,'Таблиця 1'!$B:$B,$A409,'Таблиця 1'!$I:$I,"F-16",'Таблиця 1'!$J:$J,"AASM-250")+SUMIFS('Таблиця 1'!$K:$K,'Таблиця 1'!$B:$B,$A409,'Таблиця 1'!$I:$I,"МіГ-29",'Таблиця 1'!$J:$J,"AASM-250")+SUMIFS('Таблиця 1'!$K:$K,'Таблиця 1'!$B:$B,$A409,'Таблиця 1'!$I:$I,"Су-25",'Таблиця 1'!$J:$J,"AASM-250")+SUMIFS('Таблиця 1'!$K:$K,'Таблиця 1'!$B:$B,$A409,'Таблиця 1'!$I:$I,"Су-27",'Таблиця 1'!$J:$J,"AASM-250"))</f>
        <v/>
      </c>
      <c r="J409">
        <f>IF($A409="","",SUMIFS('Таблиця 1'!$K:$K,'Таблиця 1'!$B:$B,$A409,'Таблиця 1'!$I:$I,"Mirage",'Таблиця 1'!$J:$J,"GBU-39")+SUMIFS('Таблиця 1'!$K:$K,'Таблиця 1'!$B:$B,$A409,'Таблиця 1'!$I:$I,"F-16",'Таблиця 1'!$J:$J,"GBU-39")+SUMIFS('Таблиця 1'!$K:$K,'Таблиця 1'!$B:$B,$A409,'Таблиця 1'!$I:$I,"МіГ-29",'Таблиця 1'!$J:$J,"GBU-39")+SUMIFS('Таблиця 1'!$K:$K,'Таблиця 1'!$B:$B,$A409,'Таблиця 1'!$I:$I,"Су-25",'Таблиця 1'!$J:$J,"GBU-39")+SUMIFS('Таблиця 1'!$K:$K,'Таблиця 1'!$B:$B,$A409,'Таблиця 1'!$I:$I,"Су-27",'Таблиця 1'!$J:$J,"GBU-39"))</f>
        <v/>
      </c>
      <c r="K409">
        <f>IF($A409="","",SUMIFS('Таблиця 1'!$K:$K,'Таблиця 1'!$B:$B,$A409,'Таблиця 1'!$I:$I,"Mirage",'Таблиця 1'!$J:$J,"BLU-140")+SUMIFS('Таблиця 1'!$K:$K,'Таблиця 1'!$B:$B,$A409,'Таблиця 1'!$I:$I,"F-16",'Таблиця 1'!$J:$J,"BLU-140")+SUMIFS('Таблиця 1'!$K:$K,'Таблиця 1'!$B:$B,$A409,'Таблиця 1'!$I:$I,"МіГ-29",'Таблиця 1'!$J:$J,"BLU-140")+SUMIFS('Таблиця 1'!$K:$K,'Таблиця 1'!$B:$B,$A409,'Таблиця 1'!$I:$I,"Су-25",'Таблиця 1'!$J:$J,"BLU-140")+SUMIFS('Таблиця 1'!$K:$K,'Таблиця 1'!$B:$B,$A409,'Таблиця 1'!$I:$I,"Су-27",'Таблиця 1'!$J:$J,"BLU-140"))</f>
        <v/>
      </c>
      <c r="L409">
        <f>IF($A409="","",SUMIFS('Таблиця 1'!$K:$K,'Таблиця 1'!$B:$B,$A409,'Таблиця 1'!$I:$I,"Mirage",'Таблиця 1'!$J:$J,"GBU-65")+SUMIFS('Таблиця 1'!$K:$K,'Таблиця 1'!$B:$B,$A409,'Таблиця 1'!$I:$I,"F-16",'Таблиця 1'!$J:$J,"GBU-65")+SUMIFS('Таблиця 1'!$K:$K,'Таблиця 1'!$B:$B,$A409,'Таблиця 1'!$I:$I,"МіГ-29",'Таблиця 1'!$J:$J,"GBU-65")+SUMIFS('Таблиця 1'!$K:$K,'Таблиця 1'!$B:$B,$A409,'Таблиця 1'!$I:$I,"Су-25",'Таблиця 1'!$J:$J,"GBU-65")+SUMIFS('Таблиця 1'!$K:$K,'Таблиця 1'!$B:$B,$A409,'Таблиця 1'!$I:$I,"Су-27",'Таблиця 1'!$J:$J,"GBU-65"))</f>
        <v/>
      </c>
      <c r="M409">
        <f>IF($A409="","",SUMIFS('Таблиця 1'!$K:$K,'Таблиця 1'!$B:$B,$A409,'Таблиця 1'!$I:$I,"Mirage",'Таблиця 1'!$J:$J,"GBU-62")+SUMIFS('Таблиця 1'!$K:$K,'Таблиця 1'!$B:$B,$A409,'Таблиця 1'!$I:$I,"F-16",'Таблиця 1'!$J:$J,"GBU-62")+SUMIFS('Таблиця 1'!$K:$K,'Таблиця 1'!$B:$B,$A409,'Таблиця 1'!$I:$I,"МіГ-29",'Таблиця 1'!$J:$J,"GBU-62")+SUMIFS('Таблиця 1'!$K:$K,'Таблиця 1'!$B:$B,$A409,'Таблиця 1'!$I:$I,"Су-25",'Таблиця 1'!$J:$J,"GBU-62")+SUMIFS('Таблиця 1'!$K:$K,'Таблиця 1'!$B:$B,$A409,'Таблиця 1'!$I:$I,"Су-27",'Таблиця 1'!$J:$J,"GBU-62"))</f>
        <v/>
      </c>
      <c r="N409">
        <f>IF($A409="","",SUMIFS('Таблиця 1'!$K:$K,'Таблиця 1'!$B:$B,$A409,'Таблиця 1'!$I:$I,"Mirage",'Таблиця 1'!$J:$J,"GBU-64")+SUMIFS('Таблиця 1'!$K:$K,'Таблиця 1'!$B:$B,$A409,'Таблиця 1'!$I:$I,"F-16",'Таблиця 1'!$J:$J,"GBU-64")+SUMIFS('Таблиця 1'!$K:$K,'Таблиця 1'!$B:$B,$A409,'Таблиця 1'!$I:$I,"МіГ-29",'Таблиця 1'!$J:$J,"GBU-64")+SUMIFS('Таблиця 1'!$K:$K,'Таблиця 1'!$B:$B,$A409,'Таблиця 1'!$I:$I,"Су-25",'Таблиця 1'!$J:$J,"GBU-64")+SUMIFS('Таблиця 1'!$K:$K,'Таблиця 1'!$B:$B,$A409,'Таблиця 1'!$I:$I,"Су-27",'Таблиця 1'!$J:$J,"GBU-64"))</f>
        <v/>
      </c>
      <c r="O409">
        <f>IF($A409="","",SUMIFS('Таблиця 1'!$K:$K,'Таблиця 1'!$B:$B,$A409,'Таблиця 1'!$I:$I,"Mirage",'Таблиця 1'!$J:$J,"C-13")+SUMIFS('Таблиця 1'!$K:$K,'Таблиця 1'!$B:$B,$A409,'Таблиця 1'!$I:$I,"F-16",'Таблиця 1'!$J:$J,"C-13")+SUMIFS('Таблиця 1'!$K:$K,'Таблиця 1'!$B:$B,$A409,'Таблиця 1'!$I:$I,"МіГ-29",'Таблиця 1'!$J:$J,"C-13")+SUMIFS('Таблиця 1'!$K:$K,'Таблиця 1'!$B:$B,$A409,'Таблиця 1'!$I:$I,"Су-25",'Таблиця 1'!$J:$J,"C-13")+SUMIFS('Таблиця 1'!$K:$K,'Таблиця 1'!$B:$B,$A409,'Таблиця 1'!$I:$I,"Су-27",'Таблиця 1'!$J:$J,"C-13"))</f>
        <v/>
      </c>
      <c r="P409">
        <f>IF($A409="","",SUMIFS('Таблиця 1'!$K:$K,'Таблиця 1'!$B:$B,$A409,'Таблиця 1'!$I:$I,"Mirage",'Таблиця 1'!$J:$J,"MK-32")+SUMIFS('Таблиця 1'!$K:$K,'Таблиця 1'!$B:$B,$A409,'Таблиця 1'!$I:$I,"F-16",'Таблиця 1'!$J:$J,"MK-32")+SUMIFS('Таблиця 1'!$K:$K,'Таблиця 1'!$B:$B,$A409,'Таблиця 1'!$I:$I,"МіГ-29",'Таблиця 1'!$J:$J,"MK-32")+SUMIFS('Таблиця 1'!$K:$K,'Таблиця 1'!$B:$B,$A409,'Таблиця 1'!$I:$I,"Су-25",'Таблиця 1'!$J:$J,"MK-32")+SUMIFS('Таблиця 1'!$K:$K,'Таблиця 1'!$B:$B,$A409,'Таблиця 1'!$I:$I,"Су-27",'Таблиця 1'!$J:$J,"MK-32"))</f>
        <v/>
      </c>
      <c r="Q409">
        <f>IF($A409="","",SUMIFS('Таблиця 1'!$K:$K,'Таблиця 1'!$B:$B,$A409,'Таблиця 1'!$I:$I,"Mirage",'Таблиця 1'!$J:$J,"MK-24")+SUMIFS('Таблиця 1'!$K:$K,'Таблиця 1'!$B:$B,$A409,'Таблиця 1'!$I:$I,"F-16",'Таблиця 1'!$J:$J,"MK-24")+SUMIFS('Таблиця 1'!$K:$K,'Таблиця 1'!$B:$B,$A409,'Таблиця 1'!$I:$I,"МіГ-29",'Таблиця 1'!$J:$J,"MK-24")+SUMIFS('Таблиця 1'!$K:$K,'Таблиця 1'!$B:$B,$A409,'Таблиця 1'!$I:$I,"Су-25",'Таблиця 1'!$J:$J,"MK-24")+SUMIFS('Таблиця 1'!$K:$K,'Таблиця 1'!$B:$B,$A409,'Таблиця 1'!$I:$I,"Су-27",'Таблиця 1'!$J:$J,"MK-24"))</f>
        <v/>
      </c>
      <c r="R409">
        <f>IF($A409="","",COUNTIFS('Таблиця 1'!$B:$B,$A409,'Таблиця 1'!$I:$I,"Mirage",'Таблиця 1'!$L:$L,"Уражено")+COUNTIFS('Таблиця 1'!$B:$B,$A409,'Таблиця 1'!$I:$I,"F-16",'Таблиця 1'!$L:$L,"Уражено")+COUNTIFS('Таблиця 1'!$B:$B,$A409,'Таблиця 1'!$I:$I,"МіГ-29",'Таблиця 1'!$L:$L,"Уражено")+COUNTIFS('Таблиця 1'!$B:$B,$A409,'Таблиця 1'!$I:$I,"Су-25",'Таблиця 1'!$L:$L,"Уражено")+COUNTIFS('Таблиця 1'!$B:$B,$A409,'Таблиця 1'!$I:$I,"Су-27",'Таблиця 1'!$L:$L,"Уражено"))</f>
        <v/>
      </c>
      <c r="S409">
        <f>IF($A409="","",COUNTIFS('Таблиця 1'!$B:$B,$A409,'Таблиця 1'!$I:$I,"Mirage",'Таблиця 1'!$L:$L,"НЕ уражено")+COUNTIFS('Таблиця 1'!$B:$B,$A409,'Таблиця 1'!$I:$I,"F-16",'Таблиця 1'!$L:$L,"НЕ уражено")+COUNTIFS('Таблиця 1'!$B:$B,$A409,'Таблиця 1'!$I:$I,"МіГ-29",'Таблиця 1'!$L:$L,"НЕ уражено")+COUNTIFS('Таблиця 1'!$B:$B,$A409,'Таблиця 1'!$I:$I,"Су-25",'Таблиця 1'!$L:$L,"НЕ уражено")+COUNTIFS('Таблиця 1'!$B:$B,$A409,'Таблиця 1'!$I:$I,"Су-27",'Таблиця 1'!$L:$L,"НЕ уражено"))</f>
        <v/>
      </c>
      <c r="T409">
        <f>IF($A409="","",COUNTIFS('Таблиця 1'!$B:$B,$A409,'Таблиця 1'!$I:$I,"Mirage",'Таблиця 1'!$L:$L,"Дорозвідується")+COUNTIFS('Таблиця 1'!$B:$B,$A409,'Таблиця 1'!$I:$I,"F-16",'Таблиця 1'!$L:$L,"Дорозвідується")+COUNTIFS('Таблиця 1'!$B:$B,$A409,'Таблиця 1'!$I:$I,"МіГ-29",'Таблиця 1'!$L:$L,"Дорозвідується")+COUNTIFS('Таблиця 1'!$B:$B,$A409,'Таблиця 1'!$I:$I,"Су-25",'Таблиця 1'!$L:$L,"Дорозвідується")+COUNTIFS('Таблиця 1'!$B:$B,$A409,'Таблиця 1'!$I:$I,"Су-27",'Таблиця 1'!$L:$L,"Дорозвідується"))</f>
        <v/>
      </c>
    </row>
    <row r="410">
      <c r="A410" s="273">
        <f>IF(A409="","",IF(A409+1&gt;MAX('Таблиця 1'!$B:$B),"",A409+1))</f>
        <v/>
      </c>
      <c r="B410">
        <f>IF($A410="","",COUNTIFS('Таблиця 1'!$B:$B,$A410,'Таблиця 1'!$I:$I,"Mirage")+COUNTIFS('Таблиця 1'!$B:$B,$A410,'Таблиця 1'!$I:$I,"F-16")+COUNTIFS('Таблиця 1'!$B:$B,$A410,'Таблиця 1'!$I:$I,"МіГ-29")+COUNTIFS('Таблиця 1'!$B:$B,$A410,'Таблиця 1'!$I:$I,"Су-25")+COUNTIFS('Таблиця 1'!$B:$B,$A410,'Таблиця 1'!$I:$I,"Су-27"))</f>
        <v/>
      </c>
      <c r="C410">
        <f>IF($A410="","",COUNTIFS('Таблиця 1'!$B:$B,$A410,'Таблиця 1'!$I:$I,"Mirage"))</f>
        <v/>
      </c>
      <c r="D410">
        <f>IF($A410="","",COUNTIFS('Таблиця 1'!$B:$B,$A410,'Таблиця 1'!$I:$I,"F-16"))</f>
        <v/>
      </c>
      <c r="E410">
        <f>IF($A410="","",COUNTIFS('Таблиця 1'!$B:$B,$A410,'Таблиця 1'!$I:$I,"МіГ-29"))</f>
        <v/>
      </c>
      <c r="F410">
        <f>IF($A410="","",COUNTIFS('Таблиця 1'!$B:$B,$A410,'Таблиця 1'!$I:$I,"Су-25"))</f>
        <v/>
      </c>
      <c r="G410">
        <f>IF($A410="","",COUNTIFS('Таблиця 1'!$B:$B,$A410,'Таблиця 1'!$I:$I,"Су-27"))</f>
        <v/>
      </c>
      <c r="H410">
        <f>IF($A410="","",SUMIFS('Таблиця 1'!$K:$K,'Таблиця 1'!$B:$B,$A410,'Таблиця 1'!$I:$I,"Mirage",'Таблиця 1'!$J:$J,"AGM-88")+SUMIFS('Таблиця 1'!$K:$K,'Таблиця 1'!$B:$B,$A410,'Таблиця 1'!$I:$I,"F-16",'Таблиця 1'!$J:$J,"AGM-88")+SUMIFS('Таблиця 1'!$K:$K,'Таблиця 1'!$B:$B,$A410,'Таблиця 1'!$I:$I,"МіГ-29",'Таблиця 1'!$J:$J,"AGM-88")+SUMIFS('Таблиця 1'!$K:$K,'Таблиця 1'!$B:$B,$A410,'Таблиця 1'!$I:$I,"Су-25",'Таблиця 1'!$J:$J,"AGM-88")+SUMIFS('Таблиця 1'!$K:$K,'Таблиця 1'!$B:$B,$A410,'Таблиця 1'!$I:$I,"Су-27",'Таблиця 1'!$J:$J,"AGM-88"))</f>
        <v/>
      </c>
      <c r="I410">
        <f>IF($A410="","",SUMIFS('Таблиця 1'!$K:$K,'Таблиця 1'!$B:$B,$A410,'Таблиця 1'!$I:$I,"Mirage",'Таблиця 1'!$J:$J,"AASM-250")+SUMIFS('Таблиця 1'!$K:$K,'Таблиця 1'!$B:$B,$A410,'Таблиця 1'!$I:$I,"F-16",'Таблиця 1'!$J:$J,"AASM-250")+SUMIFS('Таблиця 1'!$K:$K,'Таблиця 1'!$B:$B,$A410,'Таблиця 1'!$I:$I,"МіГ-29",'Таблиця 1'!$J:$J,"AASM-250")+SUMIFS('Таблиця 1'!$K:$K,'Таблиця 1'!$B:$B,$A410,'Таблиця 1'!$I:$I,"Су-25",'Таблиця 1'!$J:$J,"AASM-250")+SUMIFS('Таблиця 1'!$K:$K,'Таблиця 1'!$B:$B,$A410,'Таблиця 1'!$I:$I,"Су-27",'Таблиця 1'!$J:$J,"AASM-250"))</f>
        <v/>
      </c>
      <c r="J410">
        <f>IF($A410="","",SUMIFS('Таблиця 1'!$K:$K,'Таблиця 1'!$B:$B,$A410,'Таблиця 1'!$I:$I,"Mirage",'Таблиця 1'!$J:$J,"GBU-39")+SUMIFS('Таблиця 1'!$K:$K,'Таблиця 1'!$B:$B,$A410,'Таблиця 1'!$I:$I,"F-16",'Таблиця 1'!$J:$J,"GBU-39")+SUMIFS('Таблиця 1'!$K:$K,'Таблиця 1'!$B:$B,$A410,'Таблиця 1'!$I:$I,"МіГ-29",'Таблиця 1'!$J:$J,"GBU-39")+SUMIFS('Таблиця 1'!$K:$K,'Таблиця 1'!$B:$B,$A410,'Таблиця 1'!$I:$I,"Су-25",'Таблиця 1'!$J:$J,"GBU-39")+SUMIFS('Таблиця 1'!$K:$K,'Таблиця 1'!$B:$B,$A410,'Таблиця 1'!$I:$I,"Су-27",'Таблиця 1'!$J:$J,"GBU-39"))</f>
        <v/>
      </c>
      <c r="K410">
        <f>IF($A410="","",SUMIFS('Таблиця 1'!$K:$K,'Таблиця 1'!$B:$B,$A410,'Таблиця 1'!$I:$I,"Mirage",'Таблиця 1'!$J:$J,"BLU-140")+SUMIFS('Таблиця 1'!$K:$K,'Таблиця 1'!$B:$B,$A410,'Таблиця 1'!$I:$I,"F-16",'Таблиця 1'!$J:$J,"BLU-140")+SUMIFS('Таблиця 1'!$K:$K,'Таблиця 1'!$B:$B,$A410,'Таблиця 1'!$I:$I,"МіГ-29",'Таблиця 1'!$J:$J,"BLU-140")+SUMIFS('Таблиця 1'!$K:$K,'Таблиця 1'!$B:$B,$A410,'Таблиця 1'!$I:$I,"Су-25",'Таблиця 1'!$J:$J,"BLU-140")+SUMIFS('Таблиця 1'!$K:$K,'Таблиця 1'!$B:$B,$A410,'Таблиця 1'!$I:$I,"Су-27",'Таблиця 1'!$J:$J,"BLU-140"))</f>
        <v/>
      </c>
      <c r="L410">
        <f>IF($A410="","",SUMIFS('Таблиця 1'!$K:$K,'Таблиця 1'!$B:$B,$A410,'Таблиця 1'!$I:$I,"Mirage",'Таблиця 1'!$J:$J,"GBU-65")+SUMIFS('Таблиця 1'!$K:$K,'Таблиця 1'!$B:$B,$A410,'Таблиця 1'!$I:$I,"F-16",'Таблиця 1'!$J:$J,"GBU-65")+SUMIFS('Таблиця 1'!$K:$K,'Таблиця 1'!$B:$B,$A410,'Таблиця 1'!$I:$I,"МіГ-29",'Таблиця 1'!$J:$J,"GBU-65")+SUMIFS('Таблиця 1'!$K:$K,'Таблиця 1'!$B:$B,$A410,'Таблиця 1'!$I:$I,"Су-25",'Таблиця 1'!$J:$J,"GBU-65")+SUMIFS('Таблиця 1'!$K:$K,'Таблиця 1'!$B:$B,$A410,'Таблиця 1'!$I:$I,"Су-27",'Таблиця 1'!$J:$J,"GBU-65"))</f>
        <v/>
      </c>
      <c r="M410">
        <f>IF($A410="","",SUMIFS('Таблиця 1'!$K:$K,'Таблиця 1'!$B:$B,$A410,'Таблиця 1'!$I:$I,"Mirage",'Таблиця 1'!$J:$J,"GBU-62")+SUMIFS('Таблиця 1'!$K:$K,'Таблиця 1'!$B:$B,$A410,'Таблиця 1'!$I:$I,"F-16",'Таблиця 1'!$J:$J,"GBU-62")+SUMIFS('Таблиця 1'!$K:$K,'Таблиця 1'!$B:$B,$A410,'Таблиця 1'!$I:$I,"МіГ-29",'Таблиця 1'!$J:$J,"GBU-62")+SUMIFS('Таблиця 1'!$K:$K,'Таблиця 1'!$B:$B,$A410,'Таблиця 1'!$I:$I,"Су-25",'Таблиця 1'!$J:$J,"GBU-62")+SUMIFS('Таблиця 1'!$K:$K,'Таблиця 1'!$B:$B,$A410,'Таблиця 1'!$I:$I,"Су-27",'Таблиця 1'!$J:$J,"GBU-62"))</f>
        <v/>
      </c>
      <c r="N410">
        <f>IF($A410="","",SUMIFS('Таблиця 1'!$K:$K,'Таблиця 1'!$B:$B,$A410,'Таблиця 1'!$I:$I,"Mirage",'Таблиця 1'!$J:$J,"GBU-64")+SUMIFS('Таблиця 1'!$K:$K,'Таблиця 1'!$B:$B,$A410,'Таблиця 1'!$I:$I,"F-16",'Таблиця 1'!$J:$J,"GBU-64")+SUMIFS('Таблиця 1'!$K:$K,'Таблиця 1'!$B:$B,$A410,'Таблиця 1'!$I:$I,"МіГ-29",'Таблиця 1'!$J:$J,"GBU-64")+SUMIFS('Таблиця 1'!$K:$K,'Таблиця 1'!$B:$B,$A410,'Таблиця 1'!$I:$I,"Су-25",'Таблиця 1'!$J:$J,"GBU-64")+SUMIFS('Таблиця 1'!$K:$K,'Таблиця 1'!$B:$B,$A410,'Таблиця 1'!$I:$I,"Су-27",'Таблиця 1'!$J:$J,"GBU-64"))</f>
        <v/>
      </c>
      <c r="O410">
        <f>IF($A410="","",SUMIFS('Таблиця 1'!$K:$K,'Таблиця 1'!$B:$B,$A410,'Таблиця 1'!$I:$I,"Mirage",'Таблиця 1'!$J:$J,"C-13")+SUMIFS('Таблиця 1'!$K:$K,'Таблиця 1'!$B:$B,$A410,'Таблиця 1'!$I:$I,"F-16",'Таблиця 1'!$J:$J,"C-13")+SUMIFS('Таблиця 1'!$K:$K,'Таблиця 1'!$B:$B,$A410,'Таблиця 1'!$I:$I,"МіГ-29",'Таблиця 1'!$J:$J,"C-13")+SUMIFS('Таблиця 1'!$K:$K,'Таблиця 1'!$B:$B,$A410,'Таблиця 1'!$I:$I,"Су-25",'Таблиця 1'!$J:$J,"C-13")+SUMIFS('Таблиця 1'!$K:$K,'Таблиця 1'!$B:$B,$A410,'Таблиця 1'!$I:$I,"Су-27",'Таблиця 1'!$J:$J,"C-13"))</f>
        <v/>
      </c>
      <c r="P410">
        <f>IF($A410="","",SUMIFS('Таблиця 1'!$K:$K,'Таблиця 1'!$B:$B,$A410,'Таблиця 1'!$I:$I,"Mirage",'Таблиця 1'!$J:$J,"MK-32")+SUMIFS('Таблиця 1'!$K:$K,'Таблиця 1'!$B:$B,$A410,'Таблиця 1'!$I:$I,"F-16",'Таблиця 1'!$J:$J,"MK-32")+SUMIFS('Таблиця 1'!$K:$K,'Таблиця 1'!$B:$B,$A410,'Таблиця 1'!$I:$I,"МіГ-29",'Таблиця 1'!$J:$J,"MK-32")+SUMIFS('Таблиця 1'!$K:$K,'Таблиця 1'!$B:$B,$A410,'Таблиця 1'!$I:$I,"Су-25",'Таблиця 1'!$J:$J,"MK-32")+SUMIFS('Таблиця 1'!$K:$K,'Таблиця 1'!$B:$B,$A410,'Таблиця 1'!$I:$I,"Су-27",'Таблиця 1'!$J:$J,"MK-32"))</f>
        <v/>
      </c>
      <c r="Q410">
        <f>IF($A410="","",SUMIFS('Таблиця 1'!$K:$K,'Таблиця 1'!$B:$B,$A410,'Таблиця 1'!$I:$I,"Mirage",'Таблиця 1'!$J:$J,"MK-24")+SUMIFS('Таблиця 1'!$K:$K,'Таблиця 1'!$B:$B,$A410,'Таблиця 1'!$I:$I,"F-16",'Таблиця 1'!$J:$J,"MK-24")+SUMIFS('Таблиця 1'!$K:$K,'Таблиця 1'!$B:$B,$A410,'Таблиця 1'!$I:$I,"МіГ-29",'Таблиця 1'!$J:$J,"MK-24")+SUMIFS('Таблиця 1'!$K:$K,'Таблиця 1'!$B:$B,$A410,'Таблиця 1'!$I:$I,"Су-25",'Таблиця 1'!$J:$J,"MK-24")+SUMIFS('Таблиця 1'!$K:$K,'Таблиця 1'!$B:$B,$A410,'Таблиця 1'!$I:$I,"Су-27",'Таблиця 1'!$J:$J,"MK-24"))</f>
        <v/>
      </c>
      <c r="R410">
        <f>IF($A410="","",COUNTIFS('Таблиця 1'!$B:$B,$A410,'Таблиця 1'!$I:$I,"Mirage",'Таблиця 1'!$L:$L,"Уражено")+COUNTIFS('Таблиця 1'!$B:$B,$A410,'Таблиця 1'!$I:$I,"F-16",'Таблиця 1'!$L:$L,"Уражено")+COUNTIFS('Таблиця 1'!$B:$B,$A410,'Таблиця 1'!$I:$I,"МіГ-29",'Таблиця 1'!$L:$L,"Уражено")+COUNTIFS('Таблиця 1'!$B:$B,$A410,'Таблиця 1'!$I:$I,"Су-25",'Таблиця 1'!$L:$L,"Уражено")+COUNTIFS('Таблиця 1'!$B:$B,$A410,'Таблиця 1'!$I:$I,"Су-27",'Таблиця 1'!$L:$L,"Уражено"))</f>
        <v/>
      </c>
      <c r="S410">
        <f>IF($A410="","",COUNTIFS('Таблиця 1'!$B:$B,$A410,'Таблиця 1'!$I:$I,"Mirage",'Таблиця 1'!$L:$L,"НЕ уражено")+COUNTIFS('Таблиця 1'!$B:$B,$A410,'Таблиця 1'!$I:$I,"F-16",'Таблиця 1'!$L:$L,"НЕ уражено")+COUNTIFS('Таблиця 1'!$B:$B,$A410,'Таблиця 1'!$I:$I,"МіГ-29",'Таблиця 1'!$L:$L,"НЕ уражено")+COUNTIFS('Таблиця 1'!$B:$B,$A410,'Таблиця 1'!$I:$I,"Су-25",'Таблиця 1'!$L:$L,"НЕ уражено")+COUNTIFS('Таблиця 1'!$B:$B,$A410,'Таблиця 1'!$I:$I,"Су-27",'Таблиця 1'!$L:$L,"НЕ уражено"))</f>
        <v/>
      </c>
      <c r="T410">
        <f>IF($A410="","",COUNTIFS('Таблиця 1'!$B:$B,$A410,'Таблиця 1'!$I:$I,"Mirage",'Таблиця 1'!$L:$L,"Дорозвідується")+COUNTIFS('Таблиця 1'!$B:$B,$A410,'Таблиця 1'!$I:$I,"F-16",'Таблиця 1'!$L:$L,"Дорозвідується")+COUNTIFS('Таблиця 1'!$B:$B,$A410,'Таблиця 1'!$I:$I,"МіГ-29",'Таблиця 1'!$L:$L,"Дорозвідується")+COUNTIFS('Таблиця 1'!$B:$B,$A410,'Таблиця 1'!$I:$I,"Су-25",'Таблиця 1'!$L:$L,"Дорозвідується")+COUNTIFS('Таблиця 1'!$B:$B,$A410,'Таблиця 1'!$I:$I,"Су-27",'Таблиця 1'!$L:$L,"Дорозвідується"))</f>
        <v/>
      </c>
    </row>
    <row r="411">
      <c r="A411" s="273">
        <f>IF(A410="","",IF(A410+1&gt;MAX('Таблиця 1'!$B:$B),"",A410+1))</f>
        <v/>
      </c>
      <c r="B411">
        <f>IF($A411="","",COUNTIFS('Таблиця 1'!$B:$B,$A411,'Таблиця 1'!$I:$I,"Mirage")+COUNTIFS('Таблиця 1'!$B:$B,$A411,'Таблиця 1'!$I:$I,"F-16")+COUNTIFS('Таблиця 1'!$B:$B,$A411,'Таблиця 1'!$I:$I,"МіГ-29")+COUNTIFS('Таблиця 1'!$B:$B,$A411,'Таблиця 1'!$I:$I,"Су-25")+COUNTIFS('Таблиця 1'!$B:$B,$A411,'Таблиця 1'!$I:$I,"Су-27"))</f>
        <v/>
      </c>
      <c r="C411">
        <f>IF($A411="","",COUNTIFS('Таблиця 1'!$B:$B,$A411,'Таблиця 1'!$I:$I,"Mirage"))</f>
        <v/>
      </c>
      <c r="D411">
        <f>IF($A411="","",COUNTIFS('Таблиця 1'!$B:$B,$A411,'Таблиця 1'!$I:$I,"F-16"))</f>
        <v/>
      </c>
      <c r="E411">
        <f>IF($A411="","",COUNTIFS('Таблиця 1'!$B:$B,$A411,'Таблиця 1'!$I:$I,"МіГ-29"))</f>
        <v/>
      </c>
      <c r="F411">
        <f>IF($A411="","",COUNTIFS('Таблиця 1'!$B:$B,$A411,'Таблиця 1'!$I:$I,"Су-25"))</f>
        <v/>
      </c>
      <c r="G411">
        <f>IF($A411="","",COUNTIFS('Таблиця 1'!$B:$B,$A411,'Таблиця 1'!$I:$I,"Су-27"))</f>
        <v/>
      </c>
      <c r="H411">
        <f>IF($A411="","",SUMIFS('Таблиця 1'!$K:$K,'Таблиця 1'!$B:$B,$A411,'Таблиця 1'!$I:$I,"Mirage",'Таблиця 1'!$J:$J,"AGM-88")+SUMIFS('Таблиця 1'!$K:$K,'Таблиця 1'!$B:$B,$A411,'Таблиця 1'!$I:$I,"F-16",'Таблиця 1'!$J:$J,"AGM-88")+SUMIFS('Таблиця 1'!$K:$K,'Таблиця 1'!$B:$B,$A411,'Таблиця 1'!$I:$I,"МіГ-29",'Таблиця 1'!$J:$J,"AGM-88")+SUMIFS('Таблиця 1'!$K:$K,'Таблиця 1'!$B:$B,$A411,'Таблиця 1'!$I:$I,"Су-25",'Таблиця 1'!$J:$J,"AGM-88")+SUMIFS('Таблиця 1'!$K:$K,'Таблиця 1'!$B:$B,$A411,'Таблиця 1'!$I:$I,"Су-27",'Таблиця 1'!$J:$J,"AGM-88"))</f>
        <v/>
      </c>
      <c r="I411">
        <f>IF($A411="","",SUMIFS('Таблиця 1'!$K:$K,'Таблиця 1'!$B:$B,$A411,'Таблиця 1'!$I:$I,"Mirage",'Таблиця 1'!$J:$J,"AASM-250")+SUMIFS('Таблиця 1'!$K:$K,'Таблиця 1'!$B:$B,$A411,'Таблиця 1'!$I:$I,"F-16",'Таблиця 1'!$J:$J,"AASM-250")+SUMIFS('Таблиця 1'!$K:$K,'Таблиця 1'!$B:$B,$A411,'Таблиця 1'!$I:$I,"МіГ-29",'Таблиця 1'!$J:$J,"AASM-250")+SUMIFS('Таблиця 1'!$K:$K,'Таблиця 1'!$B:$B,$A411,'Таблиця 1'!$I:$I,"Су-25",'Таблиця 1'!$J:$J,"AASM-250")+SUMIFS('Таблиця 1'!$K:$K,'Таблиця 1'!$B:$B,$A411,'Таблиця 1'!$I:$I,"Су-27",'Таблиця 1'!$J:$J,"AASM-250"))</f>
        <v/>
      </c>
      <c r="J411">
        <f>IF($A411="","",SUMIFS('Таблиця 1'!$K:$K,'Таблиця 1'!$B:$B,$A411,'Таблиця 1'!$I:$I,"Mirage",'Таблиця 1'!$J:$J,"GBU-39")+SUMIFS('Таблиця 1'!$K:$K,'Таблиця 1'!$B:$B,$A411,'Таблиця 1'!$I:$I,"F-16",'Таблиця 1'!$J:$J,"GBU-39")+SUMIFS('Таблиця 1'!$K:$K,'Таблиця 1'!$B:$B,$A411,'Таблиця 1'!$I:$I,"МіГ-29",'Таблиця 1'!$J:$J,"GBU-39")+SUMIFS('Таблиця 1'!$K:$K,'Таблиця 1'!$B:$B,$A411,'Таблиця 1'!$I:$I,"Су-25",'Таблиця 1'!$J:$J,"GBU-39")+SUMIFS('Таблиця 1'!$K:$K,'Таблиця 1'!$B:$B,$A411,'Таблиця 1'!$I:$I,"Су-27",'Таблиця 1'!$J:$J,"GBU-39"))</f>
        <v/>
      </c>
      <c r="K411">
        <f>IF($A411="","",SUMIFS('Таблиця 1'!$K:$K,'Таблиця 1'!$B:$B,$A411,'Таблиця 1'!$I:$I,"Mirage",'Таблиця 1'!$J:$J,"BLU-140")+SUMIFS('Таблиця 1'!$K:$K,'Таблиця 1'!$B:$B,$A411,'Таблиця 1'!$I:$I,"F-16",'Таблиця 1'!$J:$J,"BLU-140")+SUMIFS('Таблиця 1'!$K:$K,'Таблиця 1'!$B:$B,$A411,'Таблиця 1'!$I:$I,"МіГ-29",'Таблиця 1'!$J:$J,"BLU-140")+SUMIFS('Таблиця 1'!$K:$K,'Таблиця 1'!$B:$B,$A411,'Таблиця 1'!$I:$I,"Су-25",'Таблиця 1'!$J:$J,"BLU-140")+SUMIFS('Таблиця 1'!$K:$K,'Таблиця 1'!$B:$B,$A411,'Таблиця 1'!$I:$I,"Су-27",'Таблиця 1'!$J:$J,"BLU-140"))</f>
        <v/>
      </c>
      <c r="L411">
        <f>IF($A411="","",SUMIFS('Таблиця 1'!$K:$K,'Таблиця 1'!$B:$B,$A411,'Таблиця 1'!$I:$I,"Mirage",'Таблиця 1'!$J:$J,"GBU-65")+SUMIFS('Таблиця 1'!$K:$K,'Таблиця 1'!$B:$B,$A411,'Таблиця 1'!$I:$I,"F-16",'Таблиця 1'!$J:$J,"GBU-65")+SUMIFS('Таблиця 1'!$K:$K,'Таблиця 1'!$B:$B,$A411,'Таблиця 1'!$I:$I,"МіГ-29",'Таблиця 1'!$J:$J,"GBU-65")+SUMIFS('Таблиця 1'!$K:$K,'Таблиця 1'!$B:$B,$A411,'Таблиця 1'!$I:$I,"Су-25",'Таблиця 1'!$J:$J,"GBU-65")+SUMIFS('Таблиця 1'!$K:$K,'Таблиця 1'!$B:$B,$A411,'Таблиця 1'!$I:$I,"Су-27",'Таблиця 1'!$J:$J,"GBU-65"))</f>
        <v/>
      </c>
      <c r="M411">
        <f>IF($A411="","",SUMIFS('Таблиця 1'!$K:$K,'Таблиця 1'!$B:$B,$A411,'Таблиця 1'!$I:$I,"Mirage",'Таблиця 1'!$J:$J,"GBU-62")+SUMIFS('Таблиця 1'!$K:$K,'Таблиця 1'!$B:$B,$A411,'Таблиця 1'!$I:$I,"F-16",'Таблиця 1'!$J:$J,"GBU-62")+SUMIFS('Таблиця 1'!$K:$K,'Таблиця 1'!$B:$B,$A411,'Таблиця 1'!$I:$I,"МіГ-29",'Таблиця 1'!$J:$J,"GBU-62")+SUMIFS('Таблиця 1'!$K:$K,'Таблиця 1'!$B:$B,$A411,'Таблиця 1'!$I:$I,"Су-25",'Таблиця 1'!$J:$J,"GBU-62")+SUMIFS('Таблиця 1'!$K:$K,'Таблиця 1'!$B:$B,$A411,'Таблиця 1'!$I:$I,"Су-27",'Таблиця 1'!$J:$J,"GBU-62"))</f>
        <v/>
      </c>
      <c r="N411">
        <f>IF($A411="","",SUMIFS('Таблиця 1'!$K:$K,'Таблиця 1'!$B:$B,$A411,'Таблиця 1'!$I:$I,"Mirage",'Таблиця 1'!$J:$J,"GBU-64")+SUMIFS('Таблиця 1'!$K:$K,'Таблиця 1'!$B:$B,$A411,'Таблиця 1'!$I:$I,"F-16",'Таблиця 1'!$J:$J,"GBU-64")+SUMIFS('Таблиця 1'!$K:$K,'Таблиця 1'!$B:$B,$A411,'Таблиця 1'!$I:$I,"МіГ-29",'Таблиця 1'!$J:$J,"GBU-64")+SUMIFS('Таблиця 1'!$K:$K,'Таблиця 1'!$B:$B,$A411,'Таблиця 1'!$I:$I,"Су-25",'Таблиця 1'!$J:$J,"GBU-64")+SUMIFS('Таблиця 1'!$K:$K,'Таблиця 1'!$B:$B,$A411,'Таблиця 1'!$I:$I,"Су-27",'Таблиця 1'!$J:$J,"GBU-64"))</f>
        <v/>
      </c>
      <c r="O411">
        <f>IF($A411="","",SUMIFS('Таблиця 1'!$K:$K,'Таблиця 1'!$B:$B,$A411,'Таблиця 1'!$I:$I,"Mirage",'Таблиця 1'!$J:$J,"C-13")+SUMIFS('Таблиця 1'!$K:$K,'Таблиця 1'!$B:$B,$A411,'Таблиця 1'!$I:$I,"F-16",'Таблиця 1'!$J:$J,"C-13")+SUMIFS('Таблиця 1'!$K:$K,'Таблиця 1'!$B:$B,$A411,'Таблиця 1'!$I:$I,"МіГ-29",'Таблиця 1'!$J:$J,"C-13")+SUMIFS('Таблиця 1'!$K:$K,'Таблиця 1'!$B:$B,$A411,'Таблиця 1'!$I:$I,"Су-25",'Таблиця 1'!$J:$J,"C-13")+SUMIFS('Таблиця 1'!$K:$K,'Таблиця 1'!$B:$B,$A411,'Таблиця 1'!$I:$I,"Су-27",'Таблиця 1'!$J:$J,"C-13"))</f>
        <v/>
      </c>
      <c r="P411">
        <f>IF($A411="","",SUMIFS('Таблиця 1'!$K:$K,'Таблиця 1'!$B:$B,$A411,'Таблиця 1'!$I:$I,"Mirage",'Таблиця 1'!$J:$J,"MK-32")+SUMIFS('Таблиця 1'!$K:$K,'Таблиця 1'!$B:$B,$A411,'Таблиця 1'!$I:$I,"F-16",'Таблиця 1'!$J:$J,"MK-32")+SUMIFS('Таблиця 1'!$K:$K,'Таблиця 1'!$B:$B,$A411,'Таблиця 1'!$I:$I,"МіГ-29",'Таблиця 1'!$J:$J,"MK-32")+SUMIFS('Таблиця 1'!$K:$K,'Таблиця 1'!$B:$B,$A411,'Таблиця 1'!$I:$I,"Су-25",'Таблиця 1'!$J:$J,"MK-32")+SUMIFS('Таблиця 1'!$K:$K,'Таблиця 1'!$B:$B,$A411,'Таблиця 1'!$I:$I,"Су-27",'Таблиця 1'!$J:$J,"MK-32"))</f>
        <v/>
      </c>
      <c r="Q411">
        <f>IF($A411="","",SUMIFS('Таблиця 1'!$K:$K,'Таблиця 1'!$B:$B,$A411,'Таблиця 1'!$I:$I,"Mirage",'Таблиця 1'!$J:$J,"MK-24")+SUMIFS('Таблиця 1'!$K:$K,'Таблиця 1'!$B:$B,$A411,'Таблиця 1'!$I:$I,"F-16",'Таблиця 1'!$J:$J,"MK-24")+SUMIFS('Таблиця 1'!$K:$K,'Таблиця 1'!$B:$B,$A411,'Таблиця 1'!$I:$I,"МіГ-29",'Таблиця 1'!$J:$J,"MK-24")+SUMIFS('Таблиця 1'!$K:$K,'Таблиця 1'!$B:$B,$A411,'Таблиця 1'!$I:$I,"Су-25",'Таблиця 1'!$J:$J,"MK-24")+SUMIFS('Таблиця 1'!$K:$K,'Таблиця 1'!$B:$B,$A411,'Таблиця 1'!$I:$I,"Су-27",'Таблиця 1'!$J:$J,"MK-24"))</f>
        <v/>
      </c>
      <c r="R411">
        <f>IF($A411="","",COUNTIFS('Таблиця 1'!$B:$B,$A411,'Таблиця 1'!$I:$I,"Mirage",'Таблиця 1'!$L:$L,"Уражено")+COUNTIFS('Таблиця 1'!$B:$B,$A411,'Таблиця 1'!$I:$I,"F-16",'Таблиця 1'!$L:$L,"Уражено")+COUNTIFS('Таблиця 1'!$B:$B,$A411,'Таблиця 1'!$I:$I,"МіГ-29",'Таблиця 1'!$L:$L,"Уражено")+COUNTIFS('Таблиця 1'!$B:$B,$A411,'Таблиця 1'!$I:$I,"Су-25",'Таблиця 1'!$L:$L,"Уражено")+COUNTIFS('Таблиця 1'!$B:$B,$A411,'Таблиця 1'!$I:$I,"Су-27",'Таблиця 1'!$L:$L,"Уражено"))</f>
        <v/>
      </c>
      <c r="S411">
        <f>IF($A411="","",COUNTIFS('Таблиця 1'!$B:$B,$A411,'Таблиця 1'!$I:$I,"Mirage",'Таблиця 1'!$L:$L,"НЕ уражено")+COUNTIFS('Таблиця 1'!$B:$B,$A411,'Таблиця 1'!$I:$I,"F-16",'Таблиця 1'!$L:$L,"НЕ уражено")+COUNTIFS('Таблиця 1'!$B:$B,$A411,'Таблиця 1'!$I:$I,"МіГ-29",'Таблиця 1'!$L:$L,"НЕ уражено")+COUNTIFS('Таблиця 1'!$B:$B,$A411,'Таблиця 1'!$I:$I,"Су-25",'Таблиця 1'!$L:$L,"НЕ уражено")+COUNTIFS('Таблиця 1'!$B:$B,$A411,'Таблиця 1'!$I:$I,"Су-27",'Таблиця 1'!$L:$L,"НЕ уражено"))</f>
        <v/>
      </c>
      <c r="T411">
        <f>IF($A411="","",COUNTIFS('Таблиця 1'!$B:$B,$A411,'Таблиця 1'!$I:$I,"Mirage",'Таблиця 1'!$L:$L,"Дорозвідується")+COUNTIFS('Таблиця 1'!$B:$B,$A411,'Таблиця 1'!$I:$I,"F-16",'Таблиця 1'!$L:$L,"Дорозвідується")+COUNTIFS('Таблиця 1'!$B:$B,$A411,'Таблиця 1'!$I:$I,"МіГ-29",'Таблиця 1'!$L:$L,"Дорозвідується")+COUNTIFS('Таблиця 1'!$B:$B,$A411,'Таблиця 1'!$I:$I,"Су-25",'Таблиця 1'!$L:$L,"Дорозвідується")+COUNTIFS('Таблиця 1'!$B:$B,$A411,'Таблиця 1'!$I:$I,"Су-27",'Таблиця 1'!$L:$L,"Дорозвідується"))</f>
        <v/>
      </c>
    </row>
    <row r="412">
      <c r="A412" s="273">
        <f>IF(A411="","",IF(A411+1&gt;MAX('Таблиця 1'!$B:$B),"",A411+1))</f>
        <v/>
      </c>
      <c r="B412">
        <f>IF($A412="","",COUNTIFS('Таблиця 1'!$B:$B,$A412,'Таблиця 1'!$I:$I,"Mirage")+COUNTIFS('Таблиця 1'!$B:$B,$A412,'Таблиця 1'!$I:$I,"F-16")+COUNTIFS('Таблиця 1'!$B:$B,$A412,'Таблиця 1'!$I:$I,"МіГ-29")+COUNTIFS('Таблиця 1'!$B:$B,$A412,'Таблиця 1'!$I:$I,"Су-25")+COUNTIFS('Таблиця 1'!$B:$B,$A412,'Таблиця 1'!$I:$I,"Су-27"))</f>
        <v/>
      </c>
      <c r="C412">
        <f>IF($A412="","",COUNTIFS('Таблиця 1'!$B:$B,$A412,'Таблиця 1'!$I:$I,"Mirage"))</f>
        <v/>
      </c>
      <c r="D412">
        <f>IF($A412="","",COUNTIFS('Таблиця 1'!$B:$B,$A412,'Таблиця 1'!$I:$I,"F-16"))</f>
        <v/>
      </c>
      <c r="E412">
        <f>IF($A412="","",COUNTIFS('Таблиця 1'!$B:$B,$A412,'Таблиця 1'!$I:$I,"МіГ-29"))</f>
        <v/>
      </c>
      <c r="F412">
        <f>IF($A412="","",COUNTIFS('Таблиця 1'!$B:$B,$A412,'Таблиця 1'!$I:$I,"Су-25"))</f>
        <v/>
      </c>
      <c r="G412">
        <f>IF($A412="","",COUNTIFS('Таблиця 1'!$B:$B,$A412,'Таблиця 1'!$I:$I,"Су-27"))</f>
        <v/>
      </c>
      <c r="H412">
        <f>IF($A412="","",SUMIFS('Таблиця 1'!$K:$K,'Таблиця 1'!$B:$B,$A412,'Таблиця 1'!$I:$I,"Mirage",'Таблиця 1'!$J:$J,"AGM-88")+SUMIFS('Таблиця 1'!$K:$K,'Таблиця 1'!$B:$B,$A412,'Таблиця 1'!$I:$I,"F-16",'Таблиця 1'!$J:$J,"AGM-88")+SUMIFS('Таблиця 1'!$K:$K,'Таблиця 1'!$B:$B,$A412,'Таблиця 1'!$I:$I,"МіГ-29",'Таблиця 1'!$J:$J,"AGM-88")+SUMIFS('Таблиця 1'!$K:$K,'Таблиця 1'!$B:$B,$A412,'Таблиця 1'!$I:$I,"Су-25",'Таблиця 1'!$J:$J,"AGM-88")+SUMIFS('Таблиця 1'!$K:$K,'Таблиця 1'!$B:$B,$A412,'Таблиця 1'!$I:$I,"Су-27",'Таблиця 1'!$J:$J,"AGM-88"))</f>
        <v/>
      </c>
      <c r="I412">
        <f>IF($A412="","",SUMIFS('Таблиця 1'!$K:$K,'Таблиця 1'!$B:$B,$A412,'Таблиця 1'!$I:$I,"Mirage",'Таблиця 1'!$J:$J,"AASM-250")+SUMIFS('Таблиця 1'!$K:$K,'Таблиця 1'!$B:$B,$A412,'Таблиця 1'!$I:$I,"F-16",'Таблиця 1'!$J:$J,"AASM-250")+SUMIFS('Таблиця 1'!$K:$K,'Таблиця 1'!$B:$B,$A412,'Таблиця 1'!$I:$I,"МіГ-29",'Таблиця 1'!$J:$J,"AASM-250")+SUMIFS('Таблиця 1'!$K:$K,'Таблиця 1'!$B:$B,$A412,'Таблиця 1'!$I:$I,"Су-25",'Таблиця 1'!$J:$J,"AASM-250")+SUMIFS('Таблиця 1'!$K:$K,'Таблиця 1'!$B:$B,$A412,'Таблиця 1'!$I:$I,"Су-27",'Таблиця 1'!$J:$J,"AASM-250"))</f>
        <v/>
      </c>
      <c r="J412">
        <f>IF($A412="","",SUMIFS('Таблиця 1'!$K:$K,'Таблиця 1'!$B:$B,$A412,'Таблиця 1'!$I:$I,"Mirage",'Таблиця 1'!$J:$J,"GBU-39")+SUMIFS('Таблиця 1'!$K:$K,'Таблиця 1'!$B:$B,$A412,'Таблиця 1'!$I:$I,"F-16",'Таблиця 1'!$J:$J,"GBU-39")+SUMIFS('Таблиця 1'!$K:$K,'Таблиця 1'!$B:$B,$A412,'Таблиця 1'!$I:$I,"МіГ-29",'Таблиця 1'!$J:$J,"GBU-39")+SUMIFS('Таблиця 1'!$K:$K,'Таблиця 1'!$B:$B,$A412,'Таблиця 1'!$I:$I,"Су-25",'Таблиця 1'!$J:$J,"GBU-39")+SUMIFS('Таблиця 1'!$K:$K,'Таблиця 1'!$B:$B,$A412,'Таблиця 1'!$I:$I,"Су-27",'Таблиця 1'!$J:$J,"GBU-39"))</f>
        <v/>
      </c>
      <c r="K412">
        <f>IF($A412="","",SUMIFS('Таблиця 1'!$K:$K,'Таблиця 1'!$B:$B,$A412,'Таблиця 1'!$I:$I,"Mirage",'Таблиця 1'!$J:$J,"BLU-140")+SUMIFS('Таблиця 1'!$K:$K,'Таблиця 1'!$B:$B,$A412,'Таблиця 1'!$I:$I,"F-16",'Таблиця 1'!$J:$J,"BLU-140")+SUMIFS('Таблиця 1'!$K:$K,'Таблиця 1'!$B:$B,$A412,'Таблиця 1'!$I:$I,"МіГ-29",'Таблиця 1'!$J:$J,"BLU-140")+SUMIFS('Таблиця 1'!$K:$K,'Таблиця 1'!$B:$B,$A412,'Таблиця 1'!$I:$I,"Су-25",'Таблиця 1'!$J:$J,"BLU-140")+SUMIFS('Таблиця 1'!$K:$K,'Таблиця 1'!$B:$B,$A412,'Таблиця 1'!$I:$I,"Су-27",'Таблиця 1'!$J:$J,"BLU-140"))</f>
        <v/>
      </c>
      <c r="L412">
        <f>IF($A412="","",SUMIFS('Таблиця 1'!$K:$K,'Таблиця 1'!$B:$B,$A412,'Таблиця 1'!$I:$I,"Mirage",'Таблиця 1'!$J:$J,"GBU-65")+SUMIFS('Таблиця 1'!$K:$K,'Таблиця 1'!$B:$B,$A412,'Таблиця 1'!$I:$I,"F-16",'Таблиця 1'!$J:$J,"GBU-65")+SUMIFS('Таблиця 1'!$K:$K,'Таблиця 1'!$B:$B,$A412,'Таблиця 1'!$I:$I,"МіГ-29",'Таблиця 1'!$J:$J,"GBU-65")+SUMIFS('Таблиця 1'!$K:$K,'Таблиця 1'!$B:$B,$A412,'Таблиця 1'!$I:$I,"Су-25",'Таблиця 1'!$J:$J,"GBU-65")+SUMIFS('Таблиця 1'!$K:$K,'Таблиця 1'!$B:$B,$A412,'Таблиця 1'!$I:$I,"Су-27",'Таблиця 1'!$J:$J,"GBU-65"))</f>
        <v/>
      </c>
      <c r="M412">
        <f>IF($A412="","",SUMIFS('Таблиця 1'!$K:$K,'Таблиця 1'!$B:$B,$A412,'Таблиця 1'!$I:$I,"Mirage",'Таблиця 1'!$J:$J,"GBU-62")+SUMIFS('Таблиця 1'!$K:$K,'Таблиця 1'!$B:$B,$A412,'Таблиця 1'!$I:$I,"F-16",'Таблиця 1'!$J:$J,"GBU-62")+SUMIFS('Таблиця 1'!$K:$K,'Таблиця 1'!$B:$B,$A412,'Таблиця 1'!$I:$I,"МіГ-29",'Таблиця 1'!$J:$J,"GBU-62")+SUMIFS('Таблиця 1'!$K:$K,'Таблиця 1'!$B:$B,$A412,'Таблиця 1'!$I:$I,"Су-25",'Таблиця 1'!$J:$J,"GBU-62")+SUMIFS('Таблиця 1'!$K:$K,'Таблиця 1'!$B:$B,$A412,'Таблиця 1'!$I:$I,"Су-27",'Таблиця 1'!$J:$J,"GBU-62"))</f>
        <v/>
      </c>
      <c r="N412">
        <f>IF($A412="","",SUMIFS('Таблиця 1'!$K:$K,'Таблиця 1'!$B:$B,$A412,'Таблиця 1'!$I:$I,"Mirage",'Таблиця 1'!$J:$J,"GBU-64")+SUMIFS('Таблиця 1'!$K:$K,'Таблиця 1'!$B:$B,$A412,'Таблиця 1'!$I:$I,"F-16",'Таблиця 1'!$J:$J,"GBU-64")+SUMIFS('Таблиця 1'!$K:$K,'Таблиця 1'!$B:$B,$A412,'Таблиця 1'!$I:$I,"МіГ-29",'Таблиця 1'!$J:$J,"GBU-64")+SUMIFS('Таблиця 1'!$K:$K,'Таблиця 1'!$B:$B,$A412,'Таблиця 1'!$I:$I,"Су-25",'Таблиця 1'!$J:$J,"GBU-64")+SUMIFS('Таблиця 1'!$K:$K,'Таблиця 1'!$B:$B,$A412,'Таблиця 1'!$I:$I,"Су-27",'Таблиця 1'!$J:$J,"GBU-64"))</f>
        <v/>
      </c>
      <c r="O412">
        <f>IF($A412="","",SUMIFS('Таблиця 1'!$K:$K,'Таблиця 1'!$B:$B,$A412,'Таблиця 1'!$I:$I,"Mirage",'Таблиця 1'!$J:$J,"C-13")+SUMIFS('Таблиця 1'!$K:$K,'Таблиця 1'!$B:$B,$A412,'Таблиця 1'!$I:$I,"F-16",'Таблиця 1'!$J:$J,"C-13")+SUMIFS('Таблиця 1'!$K:$K,'Таблиця 1'!$B:$B,$A412,'Таблиця 1'!$I:$I,"МіГ-29",'Таблиця 1'!$J:$J,"C-13")+SUMIFS('Таблиця 1'!$K:$K,'Таблиця 1'!$B:$B,$A412,'Таблиця 1'!$I:$I,"Су-25",'Таблиця 1'!$J:$J,"C-13")+SUMIFS('Таблиця 1'!$K:$K,'Таблиця 1'!$B:$B,$A412,'Таблиця 1'!$I:$I,"Су-27",'Таблиця 1'!$J:$J,"C-13"))</f>
        <v/>
      </c>
      <c r="P412">
        <f>IF($A412="","",SUMIFS('Таблиця 1'!$K:$K,'Таблиця 1'!$B:$B,$A412,'Таблиця 1'!$I:$I,"Mirage",'Таблиця 1'!$J:$J,"MK-32")+SUMIFS('Таблиця 1'!$K:$K,'Таблиця 1'!$B:$B,$A412,'Таблиця 1'!$I:$I,"F-16",'Таблиця 1'!$J:$J,"MK-32")+SUMIFS('Таблиця 1'!$K:$K,'Таблиця 1'!$B:$B,$A412,'Таблиця 1'!$I:$I,"МіГ-29",'Таблиця 1'!$J:$J,"MK-32")+SUMIFS('Таблиця 1'!$K:$K,'Таблиця 1'!$B:$B,$A412,'Таблиця 1'!$I:$I,"Су-25",'Таблиця 1'!$J:$J,"MK-32")+SUMIFS('Таблиця 1'!$K:$K,'Таблиця 1'!$B:$B,$A412,'Таблиця 1'!$I:$I,"Су-27",'Таблиця 1'!$J:$J,"MK-32"))</f>
        <v/>
      </c>
      <c r="Q412">
        <f>IF($A412="","",SUMIFS('Таблиця 1'!$K:$K,'Таблиця 1'!$B:$B,$A412,'Таблиця 1'!$I:$I,"Mirage",'Таблиця 1'!$J:$J,"MK-24")+SUMIFS('Таблиця 1'!$K:$K,'Таблиця 1'!$B:$B,$A412,'Таблиця 1'!$I:$I,"F-16",'Таблиця 1'!$J:$J,"MK-24")+SUMIFS('Таблиця 1'!$K:$K,'Таблиця 1'!$B:$B,$A412,'Таблиця 1'!$I:$I,"МіГ-29",'Таблиця 1'!$J:$J,"MK-24")+SUMIFS('Таблиця 1'!$K:$K,'Таблиця 1'!$B:$B,$A412,'Таблиця 1'!$I:$I,"Су-25",'Таблиця 1'!$J:$J,"MK-24")+SUMIFS('Таблиця 1'!$K:$K,'Таблиця 1'!$B:$B,$A412,'Таблиця 1'!$I:$I,"Су-27",'Таблиця 1'!$J:$J,"MK-24"))</f>
        <v/>
      </c>
      <c r="R412">
        <f>IF($A412="","",COUNTIFS('Таблиця 1'!$B:$B,$A412,'Таблиця 1'!$I:$I,"Mirage",'Таблиця 1'!$L:$L,"Уражено")+COUNTIFS('Таблиця 1'!$B:$B,$A412,'Таблиця 1'!$I:$I,"F-16",'Таблиця 1'!$L:$L,"Уражено")+COUNTIFS('Таблиця 1'!$B:$B,$A412,'Таблиця 1'!$I:$I,"МіГ-29",'Таблиця 1'!$L:$L,"Уражено")+COUNTIFS('Таблиця 1'!$B:$B,$A412,'Таблиця 1'!$I:$I,"Су-25",'Таблиця 1'!$L:$L,"Уражено")+COUNTIFS('Таблиця 1'!$B:$B,$A412,'Таблиця 1'!$I:$I,"Су-27",'Таблиця 1'!$L:$L,"Уражено"))</f>
        <v/>
      </c>
      <c r="S412">
        <f>IF($A412="","",COUNTIFS('Таблиця 1'!$B:$B,$A412,'Таблиця 1'!$I:$I,"Mirage",'Таблиця 1'!$L:$L,"НЕ уражено")+COUNTIFS('Таблиця 1'!$B:$B,$A412,'Таблиця 1'!$I:$I,"F-16",'Таблиця 1'!$L:$L,"НЕ уражено")+COUNTIFS('Таблиця 1'!$B:$B,$A412,'Таблиця 1'!$I:$I,"МіГ-29",'Таблиця 1'!$L:$L,"НЕ уражено")+COUNTIFS('Таблиця 1'!$B:$B,$A412,'Таблиця 1'!$I:$I,"Су-25",'Таблиця 1'!$L:$L,"НЕ уражено")+COUNTIFS('Таблиця 1'!$B:$B,$A412,'Таблиця 1'!$I:$I,"Су-27",'Таблиця 1'!$L:$L,"НЕ уражено"))</f>
        <v/>
      </c>
      <c r="T412">
        <f>IF($A412="","",COUNTIFS('Таблиця 1'!$B:$B,$A412,'Таблиця 1'!$I:$I,"Mirage",'Таблиця 1'!$L:$L,"Дорозвідується")+COUNTIFS('Таблиця 1'!$B:$B,$A412,'Таблиця 1'!$I:$I,"F-16",'Таблиця 1'!$L:$L,"Дорозвідується")+COUNTIFS('Таблиця 1'!$B:$B,$A412,'Таблиця 1'!$I:$I,"МіГ-29",'Таблиця 1'!$L:$L,"Дорозвідується")+COUNTIFS('Таблиця 1'!$B:$B,$A412,'Таблиця 1'!$I:$I,"Су-25",'Таблиця 1'!$L:$L,"Дорозвідується")+COUNTIFS('Таблиця 1'!$B:$B,$A412,'Таблиця 1'!$I:$I,"Су-27",'Таблиця 1'!$L:$L,"Дорозвідується"))</f>
        <v/>
      </c>
    </row>
    <row r="413">
      <c r="A413" s="273">
        <f>IF(A412="","",IF(A412+1&gt;MAX('Таблиця 1'!$B:$B),"",A412+1))</f>
        <v/>
      </c>
      <c r="B413">
        <f>IF($A413="","",COUNTIFS('Таблиця 1'!$B:$B,$A413,'Таблиця 1'!$I:$I,"Mirage")+COUNTIFS('Таблиця 1'!$B:$B,$A413,'Таблиця 1'!$I:$I,"F-16")+COUNTIFS('Таблиця 1'!$B:$B,$A413,'Таблиця 1'!$I:$I,"МіГ-29")+COUNTIFS('Таблиця 1'!$B:$B,$A413,'Таблиця 1'!$I:$I,"Су-25")+COUNTIFS('Таблиця 1'!$B:$B,$A413,'Таблиця 1'!$I:$I,"Су-27"))</f>
        <v/>
      </c>
      <c r="C413">
        <f>IF($A413="","",COUNTIFS('Таблиця 1'!$B:$B,$A413,'Таблиця 1'!$I:$I,"Mirage"))</f>
        <v/>
      </c>
      <c r="D413">
        <f>IF($A413="","",COUNTIFS('Таблиця 1'!$B:$B,$A413,'Таблиця 1'!$I:$I,"F-16"))</f>
        <v/>
      </c>
      <c r="E413">
        <f>IF($A413="","",COUNTIFS('Таблиця 1'!$B:$B,$A413,'Таблиця 1'!$I:$I,"МіГ-29"))</f>
        <v/>
      </c>
      <c r="F413">
        <f>IF($A413="","",COUNTIFS('Таблиця 1'!$B:$B,$A413,'Таблиця 1'!$I:$I,"Су-25"))</f>
        <v/>
      </c>
      <c r="G413">
        <f>IF($A413="","",COUNTIFS('Таблиця 1'!$B:$B,$A413,'Таблиця 1'!$I:$I,"Су-27"))</f>
        <v/>
      </c>
      <c r="H413">
        <f>IF($A413="","",SUMIFS('Таблиця 1'!$K:$K,'Таблиця 1'!$B:$B,$A413,'Таблиця 1'!$I:$I,"Mirage",'Таблиця 1'!$J:$J,"AGM-88")+SUMIFS('Таблиця 1'!$K:$K,'Таблиця 1'!$B:$B,$A413,'Таблиця 1'!$I:$I,"F-16",'Таблиця 1'!$J:$J,"AGM-88")+SUMIFS('Таблиця 1'!$K:$K,'Таблиця 1'!$B:$B,$A413,'Таблиця 1'!$I:$I,"МіГ-29",'Таблиця 1'!$J:$J,"AGM-88")+SUMIFS('Таблиця 1'!$K:$K,'Таблиця 1'!$B:$B,$A413,'Таблиця 1'!$I:$I,"Су-25",'Таблиця 1'!$J:$J,"AGM-88")+SUMIFS('Таблиця 1'!$K:$K,'Таблиця 1'!$B:$B,$A413,'Таблиця 1'!$I:$I,"Су-27",'Таблиця 1'!$J:$J,"AGM-88"))</f>
        <v/>
      </c>
      <c r="I413">
        <f>IF($A413="","",SUMIFS('Таблиця 1'!$K:$K,'Таблиця 1'!$B:$B,$A413,'Таблиця 1'!$I:$I,"Mirage",'Таблиця 1'!$J:$J,"AASM-250")+SUMIFS('Таблиця 1'!$K:$K,'Таблиця 1'!$B:$B,$A413,'Таблиця 1'!$I:$I,"F-16",'Таблиця 1'!$J:$J,"AASM-250")+SUMIFS('Таблиця 1'!$K:$K,'Таблиця 1'!$B:$B,$A413,'Таблиця 1'!$I:$I,"МіГ-29",'Таблиця 1'!$J:$J,"AASM-250")+SUMIFS('Таблиця 1'!$K:$K,'Таблиця 1'!$B:$B,$A413,'Таблиця 1'!$I:$I,"Су-25",'Таблиця 1'!$J:$J,"AASM-250")+SUMIFS('Таблиця 1'!$K:$K,'Таблиця 1'!$B:$B,$A413,'Таблиця 1'!$I:$I,"Су-27",'Таблиця 1'!$J:$J,"AASM-250"))</f>
        <v/>
      </c>
      <c r="J413">
        <f>IF($A413="","",SUMIFS('Таблиця 1'!$K:$K,'Таблиця 1'!$B:$B,$A413,'Таблиця 1'!$I:$I,"Mirage",'Таблиця 1'!$J:$J,"GBU-39")+SUMIFS('Таблиця 1'!$K:$K,'Таблиця 1'!$B:$B,$A413,'Таблиця 1'!$I:$I,"F-16",'Таблиця 1'!$J:$J,"GBU-39")+SUMIFS('Таблиця 1'!$K:$K,'Таблиця 1'!$B:$B,$A413,'Таблиця 1'!$I:$I,"МіГ-29",'Таблиця 1'!$J:$J,"GBU-39")+SUMIFS('Таблиця 1'!$K:$K,'Таблиця 1'!$B:$B,$A413,'Таблиця 1'!$I:$I,"Су-25",'Таблиця 1'!$J:$J,"GBU-39")+SUMIFS('Таблиця 1'!$K:$K,'Таблиця 1'!$B:$B,$A413,'Таблиця 1'!$I:$I,"Су-27",'Таблиця 1'!$J:$J,"GBU-39"))</f>
        <v/>
      </c>
      <c r="K413">
        <f>IF($A413="","",SUMIFS('Таблиця 1'!$K:$K,'Таблиця 1'!$B:$B,$A413,'Таблиця 1'!$I:$I,"Mirage",'Таблиця 1'!$J:$J,"BLU-140")+SUMIFS('Таблиця 1'!$K:$K,'Таблиця 1'!$B:$B,$A413,'Таблиця 1'!$I:$I,"F-16",'Таблиця 1'!$J:$J,"BLU-140")+SUMIFS('Таблиця 1'!$K:$K,'Таблиця 1'!$B:$B,$A413,'Таблиця 1'!$I:$I,"МіГ-29",'Таблиця 1'!$J:$J,"BLU-140")+SUMIFS('Таблиця 1'!$K:$K,'Таблиця 1'!$B:$B,$A413,'Таблиця 1'!$I:$I,"Су-25",'Таблиця 1'!$J:$J,"BLU-140")+SUMIFS('Таблиця 1'!$K:$K,'Таблиця 1'!$B:$B,$A413,'Таблиця 1'!$I:$I,"Су-27",'Таблиця 1'!$J:$J,"BLU-140"))</f>
        <v/>
      </c>
      <c r="L413">
        <f>IF($A413="","",SUMIFS('Таблиця 1'!$K:$K,'Таблиця 1'!$B:$B,$A413,'Таблиця 1'!$I:$I,"Mirage",'Таблиця 1'!$J:$J,"GBU-65")+SUMIFS('Таблиця 1'!$K:$K,'Таблиця 1'!$B:$B,$A413,'Таблиця 1'!$I:$I,"F-16",'Таблиця 1'!$J:$J,"GBU-65")+SUMIFS('Таблиця 1'!$K:$K,'Таблиця 1'!$B:$B,$A413,'Таблиця 1'!$I:$I,"МіГ-29",'Таблиця 1'!$J:$J,"GBU-65")+SUMIFS('Таблиця 1'!$K:$K,'Таблиця 1'!$B:$B,$A413,'Таблиця 1'!$I:$I,"Су-25",'Таблиця 1'!$J:$J,"GBU-65")+SUMIFS('Таблиця 1'!$K:$K,'Таблиця 1'!$B:$B,$A413,'Таблиця 1'!$I:$I,"Су-27",'Таблиця 1'!$J:$J,"GBU-65"))</f>
        <v/>
      </c>
      <c r="M413">
        <f>IF($A413="","",SUMIFS('Таблиця 1'!$K:$K,'Таблиця 1'!$B:$B,$A413,'Таблиця 1'!$I:$I,"Mirage",'Таблиця 1'!$J:$J,"GBU-62")+SUMIFS('Таблиця 1'!$K:$K,'Таблиця 1'!$B:$B,$A413,'Таблиця 1'!$I:$I,"F-16",'Таблиця 1'!$J:$J,"GBU-62")+SUMIFS('Таблиця 1'!$K:$K,'Таблиця 1'!$B:$B,$A413,'Таблиця 1'!$I:$I,"МіГ-29",'Таблиця 1'!$J:$J,"GBU-62")+SUMIFS('Таблиця 1'!$K:$K,'Таблиця 1'!$B:$B,$A413,'Таблиця 1'!$I:$I,"Су-25",'Таблиця 1'!$J:$J,"GBU-62")+SUMIFS('Таблиця 1'!$K:$K,'Таблиця 1'!$B:$B,$A413,'Таблиця 1'!$I:$I,"Су-27",'Таблиця 1'!$J:$J,"GBU-62"))</f>
        <v/>
      </c>
      <c r="N413">
        <f>IF($A413="","",SUMIFS('Таблиця 1'!$K:$K,'Таблиця 1'!$B:$B,$A413,'Таблиця 1'!$I:$I,"Mirage",'Таблиця 1'!$J:$J,"GBU-64")+SUMIFS('Таблиця 1'!$K:$K,'Таблиця 1'!$B:$B,$A413,'Таблиця 1'!$I:$I,"F-16",'Таблиця 1'!$J:$J,"GBU-64")+SUMIFS('Таблиця 1'!$K:$K,'Таблиця 1'!$B:$B,$A413,'Таблиця 1'!$I:$I,"МіГ-29",'Таблиця 1'!$J:$J,"GBU-64")+SUMIFS('Таблиця 1'!$K:$K,'Таблиця 1'!$B:$B,$A413,'Таблиця 1'!$I:$I,"Су-25",'Таблиця 1'!$J:$J,"GBU-64")+SUMIFS('Таблиця 1'!$K:$K,'Таблиця 1'!$B:$B,$A413,'Таблиця 1'!$I:$I,"Су-27",'Таблиця 1'!$J:$J,"GBU-64"))</f>
        <v/>
      </c>
      <c r="O413">
        <f>IF($A413="","",SUMIFS('Таблиця 1'!$K:$K,'Таблиця 1'!$B:$B,$A413,'Таблиця 1'!$I:$I,"Mirage",'Таблиця 1'!$J:$J,"C-13")+SUMIFS('Таблиця 1'!$K:$K,'Таблиця 1'!$B:$B,$A413,'Таблиця 1'!$I:$I,"F-16",'Таблиця 1'!$J:$J,"C-13")+SUMIFS('Таблиця 1'!$K:$K,'Таблиця 1'!$B:$B,$A413,'Таблиця 1'!$I:$I,"МіГ-29",'Таблиця 1'!$J:$J,"C-13")+SUMIFS('Таблиця 1'!$K:$K,'Таблиця 1'!$B:$B,$A413,'Таблиця 1'!$I:$I,"Су-25",'Таблиця 1'!$J:$J,"C-13")+SUMIFS('Таблиця 1'!$K:$K,'Таблиця 1'!$B:$B,$A413,'Таблиця 1'!$I:$I,"Су-27",'Таблиця 1'!$J:$J,"C-13"))</f>
        <v/>
      </c>
      <c r="P413">
        <f>IF($A413="","",SUMIFS('Таблиця 1'!$K:$K,'Таблиця 1'!$B:$B,$A413,'Таблиця 1'!$I:$I,"Mirage",'Таблиця 1'!$J:$J,"MK-32")+SUMIFS('Таблиця 1'!$K:$K,'Таблиця 1'!$B:$B,$A413,'Таблиця 1'!$I:$I,"F-16",'Таблиця 1'!$J:$J,"MK-32")+SUMIFS('Таблиця 1'!$K:$K,'Таблиця 1'!$B:$B,$A413,'Таблиця 1'!$I:$I,"МіГ-29",'Таблиця 1'!$J:$J,"MK-32")+SUMIFS('Таблиця 1'!$K:$K,'Таблиця 1'!$B:$B,$A413,'Таблиця 1'!$I:$I,"Су-25",'Таблиця 1'!$J:$J,"MK-32")+SUMIFS('Таблиця 1'!$K:$K,'Таблиця 1'!$B:$B,$A413,'Таблиця 1'!$I:$I,"Су-27",'Таблиця 1'!$J:$J,"MK-32"))</f>
        <v/>
      </c>
      <c r="Q413">
        <f>IF($A413="","",SUMIFS('Таблиця 1'!$K:$K,'Таблиця 1'!$B:$B,$A413,'Таблиця 1'!$I:$I,"Mirage",'Таблиця 1'!$J:$J,"MK-24")+SUMIFS('Таблиця 1'!$K:$K,'Таблиця 1'!$B:$B,$A413,'Таблиця 1'!$I:$I,"F-16",'Таблиця 1'!$J:$J,"MK-24")+SUMIFS('Таблиця 1'!$K:$K,'Таблиця 1'!$B:$B,$A413,'Таблиця 1'!$I:$I,"МіГ-29",'Таблиця 1'!$J:$J,"MK-24")+SUMIFS('Таблиця 1'!$K:$K,'Таблиця 1'!$B:$B,$A413,'Таблиця 1'!$I:$I,"Су-25",'Таблиця 1'!$J:$J,"MK-24")+SUMIFS('Таблиця 1'!$K:$K,'Таблиця 1'!$B:$B,$A413,'Таблиця 1'!$I:$I,"Су-27",'Таблиця 1'!$J:$J,"MK-24"))</f>
        <v/>
      </c>
      <c r="R413">
        <f>IF($A413="","",COUNTIFS('Таблиця 1'!$B:$B,$A413,'Таблиця 1'!$I:$I,"Mirage",'Таблиця 1'!$L:$L,"Уражено")+COUNTIFS('Таблиця 1'!$B:$B,$A413,'Таблиця 1'!$I:$I,"F-16",'Таблиця 1'!$L:$L,"Уражено")+COUNTIFS('Таблиця 1'!$B:$B,$A413,'Таблиця 1'!$I:$I,"МіГ-29",'Таблиця 1'!$L:$L,"Уражено")+COUNTIFS('Таблиця 1'!$B:$B,$A413,'Таблиця 1'!$I:$I,"Су-25",'Таблиця 1'!$L:$L,"Уражено")+COUNTIFS('Таблиця 1'!$B:$B,$A413,'Таблиця 1'!$I:$I,"Су-27",'Таблиця 1'!$L:$L,"Уражено"))</f>
        <v/>
      </c>
      <c r="S413">
        <f>IF($A413="","",COUNTIFS('Таблиця 1'!$B:$B,$A413,'Таблиця 1'!$I:$I,"Mirage",'Таблиця 1'!$L:$L,"НЕ уражено")+COUNTIFS('Таблиця 1'!$B:$B,$A413,'Таблиця 1'!$I:$I,"F-16",'Таблиця 1'!$L:$L,"НЕ уражено")+COUNTIFS('Таблиця 1'!$B:$B,$A413,'Таблиця 1'!$I:$I,"МіГ-29",'Таблиця 1'!$L:$L,"НЕ уражено")+COUNTIFS('Таблиця 1'!$B:$B,$A413,'Таблиця 1'!$I:$I,"Су-25",'Таблиця 1'!$L:$L,"НЕ уражено")+COUNTIFS('Таблиця 1'!$B:$B,$A413,'Таблиця 1'!$I:$I,"Су-27",'Таблиця 1'!$L:$L,"НЕ уражено"))</f>
        <v/>
      </c>
      <c r="T413">
        <f>IF($A413="","",COUNTIFS('Таблиця 1'!$B:$B,$A413,'Таблиця 1'!$I:$I,"Mirage",'Таблиця 1'!$L:$L,"Дорозвідується")+COUNTIFS('Таблиця 1'!$B:$B,$A413,'Таблиця 1'!$I:$I,"F-16",'Таблиця 1'!$L:$L,"Дорозвідується")+COUNTIFS('Таблиця 1'!$B:$B,$A413,'Таблиця 1'!$I:$I,"МіГ-29",'Таблиця 1'!$L:$L,"Дорозвідується")+COUNTIFS('Таблиця 1'!$B:$B,$A413,'Таблиця 1'!$I:$I,"Су-25",'Таблиця 1'!$L:$L,"Дорозвідується")+COUNTIFS('Таблиця 1'!$B:$B,$A413,'Таблиця 1'!$I:$I,"Су-27",'Таблиця 1'!$L:$L,"Дорозвідується"))</f>
        <v/>
      </c>
    </row>
    <row r="414">
      <c r="A414" s="273">
        <f>IF(A413="","",IF(A413+1&gt;MAX('Таблиця 1'!$B:$B),"",A413+1))</f>
        <v/>
      </c>
      <c r="B414">
        <f>IF($A414="","",COUNTIFS('Таблиця 1'!$B:$B,$A414,'Таблиця 1'!$I:$I,"Mirage")+COUNTIFS('Таблиця 1'!$B:$B,$A414,'Таблиця 1'!$I:$I,"F-16")+COUNTIFS('Таблиця 1'!$B:$B,$A414,'Таблиця 1'!$I:$I,"МіГ-29")+COUNTIFS('Таблиця 1'!$B:$B,$A414,'Таблиця 1'!$I:$I,"Су-25")+COUNTIFS('Таблиця 1'!$B:$B,$A414,'Таблиця 1'!$I:$I,"Су-27"))</f>
        <v/>
      </c>
      <c r="C414">
        <f>IF($A414="","",COUNTIFS('Таблиця 1'!$B:$B,$A414,'Таблиця 1'!$I:$I,"Mirage"))</f>
        <v/>
      </c>
      <c r="D414">
        <f>IF($A414="","",COUNTIFS('Таблиця 1'!$B:$B,$A414,'Таблиця 1'!$I:$I,"F-16"))</f>
        <v/>
      </c>
      <c r="E414">
        <f>IF($A414="","",COUNTIFS('Таблиця 1'!$B:$B,$A414,'Таблиця 1'!$I:$I,"МіГ-29"))</f>
        <v/>
      </c>
      <c r="F414">
        <f>IF($A414="","",COUNTIFS('Таблиця 1'!$B:$B,$A414,'Таблиця 1'!$I:$I,"Су-25"))</f>
        <v/>
      </c>
      <c r="G414">
        <f>IF($A414="","",COUNTIFS('Таблиця 1'!$B:$B,$A414,'Таблиця 1'!$I:$I,"Су-27"))</f>
        <v/>
      </c>
      <c r="H414">
        <f>IF($A414="","",SUMIFS('Таблиця 1'!$K:$K,'Таблиця 1'!$B:$B,$A414,'Таблиця 1'!$I:$I,"Mirage",'Таблиця 1'!$J:$J,"AGM-88")+SUMIFS('Таблиця 1'!$K:$K,'Таблиця 1'!$B:$B,$A414,'Таблиця 1'!$I:$I,"F-16",'Таблиця 1'!$J:$J,"AGM-88")+SUMIFS('Таблиця 1'!$K:$K,'Таблиця 1'!$B:$B,$A414,'Таблиця 1'!$I:$I,"МіГ-29",'Таблиця 1'!$J:$J,"AGM-88")+SUMIFS('Таблиця 1'!$K:$K,'Таблиця 1'!$B:$B,$A414,'Таблиця 1'!$I:$I,"Су-25",'Таблиця 1'!$J:$J,"AGM-88")+SUMIFS('Таблиця 1'!$K:$K,'Таблиця 1'!$B:$B,$A414,'Таблиця 1'!$I:$I,"Су-27",'Таблиця 1'!$J:$J,"AGM-88"))</f>
        <v/>
      </c>
      <c r="I414">
        <f>IF($A414="","",SUMIFS('Таблиця 1'!$K:$K,'Таблиця 1'!$B:$B,$A414,'Таблиця 1'!$I:$I,"Mirage",'Таблиця 1'!$J:$J,"AASM-250")+SUMIFS('Таблиця 1'!$K:$K,'Таблиця 1'!$B:$B,$A414,'Таблиця 1'!$I:$I,"F-16",'Таблиця 1'!$J:$J,"AASM-250")+SUMIFS('Таблиця 1'!$K:$K,'Таблиця 1'!$B:$B,$A414,'Таблиця 1'!$I:$I,"МіГ-29",'Таблиця 1'!$J:$J,"AASM-250")+SUMIFS('Таблиця 1'!$K:$K,'Таблиця 1'!$B:$B,$A414,'Таблиця 1'!$I:$I,"Су-25",'Таблиця 1'!$J:$J,"AASM-250")+SUMIFS('Таблиця 1'!$K:$K,'Таблиця 1'!$B:$B,$A414,'Таблиця 1'!$I:$I,"Су-27",'Таблиця 1'!$J:$J,"AASM-250"))</f>
        <v/>
      </c>
      <c r="J414">
        <f>IF($A414="","",SUMIFS('Таблиця 1'!$K:$K,'Таблиця 1'!$B:$B,$A414,'Таблиця 1'!$I:$I,"Mirage",'Таблиця 1'!$J:$J,"GBU-39")+SUMIFS('Таблиця 1'!$K:$K,'Таблиця 1'!$B:$B,$A414,'Таблиця 1'!$I:$I,"F-16",'Таблиця 1'!$J:$J,"GBU-39")+SUMIFS('Таблиця 1'!$K:$K,'Таблиця 1'!$B:$B,$A414,'Таблиця 1'!$I:$I,"МіГ-29",'Таблиця 1'!$J:$J,"GBU-39")+SUMIFS('Таблиця 1'!$K:$K,'Таблиця 1'!$B:$B,$A414,'Таблиця 1'!$I:$I,"Су-25",'Таблиця 1'!$J:$J,"GBU-39")+SUMIFS('Таблиця 1'!$K:$K,'Таблиця 1'!$B:$B,$A414,'Таблиця 1'!$I:$I,"Су-27",'Таблиця 1'!$J:$J,"GBU-39"))</f>
        <v/>
      </c>
      <c r="K414">
        <f>IF($A414="","",SUMIFS('Таблиця 1'!$K:$K,'Таблиця 1'!$B:$B,$A414,'Таблиця 1'!$I:$I,"Mirage",'Таблиця 1'!$J:$J,"BLU-140")+SUMIFS('Таблиця 1'!$K:$K,'Таблиця 1'!$B:$B,$A414,'Таблиця 1'!$I:$I,"F-16",'Таблиця 1'!$J:$J,"BLU-140")+SUMIFS('Таблиця 1'!$K:$K,'Таблиця 1'!$B:$B,$A414,'Таблиця 1'!$I:$I,"МіГ-29",'Таблиця 1'!$J:$J,"BLU-140")+SUMIFS('Таблиця 1'!$K:$K,'Таблиця 1'!$B:$B,$A414,'Таблиця 1'!$I:$I,"Су-25",'Таблиця 1'!$J:$J,"BLU-140")+SUMIFS('Таблиця 1'!$K:$K,'Таблиця 1'!$B:$B,$A414,'Таблиця 1'!$I:$I,"Су-27",'Таблиця 1'!$J:$J,"BLU-140"))</f>
        <v/>
      </c>
      <c r="L414">
        <f>IF($A414="","",SUMIFS('Таблиця 1'!$K:$K,'Таблиця 1'!$B:$B,$A414,'Таблиця 1'!$I:$I,"Mirage",'Таблиця 1'!$J:$J,"GBU-65")+SUMIFS('Таблиця 1'!$K:$K,'Таблиця 1'!$B:$B,$A414,'Таблиця 1'!$I:$I,"F-16",'Таблиця 1'!$J:$J,"GBU-65")+SUMIFS('Таблиця 1'!$K:$K,'Таблиця 1'!$B:$B,$A414,'Таблиця 1'!$I:$I,"МіГ-29",'Таблиця 1'!$J:$J,"GBU-65")+SUMIFS('Таблиця 1'!$K:$K,'Таблиця 1'!$B:$B,$A414,'Таблиця 1'!$I:$I,"Су-25",'Таблиця 1'!$J:$J,"GBU-65")+SUMIFS('Таблиця 1'!$K:$K,'Таблиця 1'!$B:$B,$A414,'Таблиця 1'!$I:$I,"Су-27",'Таблиця 1'!$J:$J,"GBU-65"))</f>
        <v/>
      </c>
      <c r="M414">
        <f>IF($A414="","",SUMIFS('Таблиця 1'!$K:$K,'Таблиця 1'!$B:$B,$A414,'Таблиця 1'!$I:$I,"Mirage",'Таблиця 1'!$J:$J,"GBU-62")+SUMIFS('Таблиця 1'!$K:$K,'Таблиця 1'!$B:$B,$A414,'Таблиця 1'!$I:$I,"F-16",'Таблиця 1'!$J:$J,"GBU-62")+SUMIFS('Таблиця 1'!$K:$K,'Таблиця 1'!$B:$B,$A414,'Таблиця 1'!$I:$I,"МіГ-29",'Таблиця 1'!$J:$J,"GBU-62")+SUMIFS('Таблиця 1'!$K:$K,'Таблиця 1'!$B:$B,$A414,'Таблиця 1'!$I:$I,"Су-25",'Таблиця 1'!$J:$J,"GBU-62")+SUMIFS('Таблиця 1'!$K:$K,'Таблиця 1'!$B:$B,$A414,'Таблиця 1'!$I:$I,"Су-27",'Таблиця 1'!$J:$J,"GBU-62"))</f>
        <v/>
      </c>
      <c r="N414">
        <f>IF($A414="","",SUMIFS('Таблиця 1'!$K:$K,'Таблиця 1'!$B:$B,$A414,'Таблиця 1'!$I:$I,"Mirage",'Таблиця 1'!$J:$J,"GBU-64")+SUMIFS('Таблиця 1'!$K:$K,'Таблиця 1'!$B:$B,$A414,'Таблиця 1'!$I:$I,"F-16",'Таблиця 1'!$J:$J,"GBU-64")+SUMIFS('Таблиця 1'!$K:$K,'Таблиця 1'!$B:$B,$A414,'Таблиця 1'!$I:$I,"МіГ-29",'Таблиця 1'!$J:$J,"GBU-64")+SUMIFS('Таблиця 1'!$K:$K,'Таблиця 1'!$B:$B,$A414,'Таблиця 1'!$I:$I,"Су-25",'Таблиця 1'!$J:$J,"GBU-64")+SUMIFS('Таблиця 1'!$K:$K,'Таблиця 1'!$B:$B,$A414,'Таблиця 1'!$I:$I,"Су-27",'Таблиця 1'!$J:$J,"GBU-64"))</f>
        <v/>
      </c>
      <c r="O414">
        <f>IF($A414="","",SUMIFS('Таблиця 1'!$K:$K,'Таблиця 1'!$B:$B,$A414,'Таблиця 1'!$I:$I,"Mirage",'Таблиця 1'!$J:$J,"C-13")+SUMIFS('Таблиця 1'!$K:$K,'Таблиця 1'!$B:$B,$A414,'Таблиця 1'!$I:$I,"F-16",'Таблиця 1'!$J:$J,"C-13")+SUMIFS('Таблиця 1'!$K:$K,'Таблиця 1'!$B:$B,$A414,'Таблиця 1'!$I:$I,"МіГ-29",'Таблиця 1'!$J:$J,"C-13")+SUMIFS('Таблиця 1'!$K:$K,'Таблиця 1'!$B:$B,$A414,'Таблиця 1'!$I:$I,"Су-25",'Таблиця 1'!$J:$J,"C-13")+SUMIFS('Таблиця 1'!$K:$K,'Таблиця 1'!$B:$B,$A414,'Таблиця 1'!$I:$I,"Су-27",'Таблиця 1'!$J:$J,"C-13"))</f>
        <v/>
      </c>
      <c r="P414">
        <f>IF($A414="","",SUMIFS('Таблиця 1'!$K:$K,'Таблиця 1'!$B:$B,$A414,'Таблиця 1'!$I:$I,"Mirage",'Таблиця 1'!$J:$J,"MK-32")+SUMIFS('Таблиця 1'!$K:$K,'Таблиця 1'!$B:$B,$A414,'Таблиця 1'!$I:$I,"F-16",'Таблиця 1'!$J:$J,"MK-32")+SUMIFS('Таблиця 1'!$K:$K,'Таблиця 1'!$B:$B,$A414,'Таблиця 1'!$I:$I,"МіГ-29",'Таблиця 1'!$J:$J,"MK-32")+SUMIFS('Таблиця 1'!$K:$K,'Таблиця 1'!$B:$B,$A414,'Таблиця 1'!$I:$I,"Су-25",'Таблиця 1'!$J:$J,"MK-32")+SUMIFS('Таблиця 1'!$K:$K,'Таблиця 1'!$B:$B,$A414,'Таблиця 1'!$I:$I,"Су-27",'Таблиця 1'!$J:$J,"MK-32"))</f>
        <v/>
      </c>
      <c r="Q414">
        <f>IF($A414="","",SUMIFS('Таблиця 1'!$K:$K,'Таблиця 1'!$B:$B,$A414,'Таблиця 1'!$I:$I,"Mirage",'Таблиця 1'!$J:$J,"MK-24")+SUMIFS('Таблиця 1'!$K:$K,'Таблиця 1'!$B:$B,$A414,'Таблиця 1'!$I:$I,"F-16",'Таблиця 1'!$J:$J,"MK-24")+SUMIFS('Таблиця 1'!$K:$K,'Таблиця 1'!$B:$B,$A414,'Таблиця 1'!$I:$I,"МіГ-29",'Таблиця 1'!$J:$J,"MK-24")+SUMIFS('Таблиця 1'!$K:$K,'Таблиця 1'!$B:$B,$A414,'Таблиця 1'!$I:$I,"Су-25",'Таблиця 1'!$J:$J,"MK-24")+SUMIFS('Таблиця 1'!$K:$K,'Таблиця 1'!$B:$B,$A414,'Таблиця 1'!$I:$I,"Су-27",'Таблиця 1'!$J:$J,"MK-24"))</f>
        <v/>
      </c>
      <c r="R414">
        <f>IF($A414="","",COUNTIFS('Таблиця 1'!$B:$B,$A414,'Таблиця 1'!$I:$I,"Mirage",'Таблиця 1'!$L:$L,"Уражено")+COUNTIFS('Таблиця 1'!$B:$B,$A414,'Таблиця 1'!$I:$I,"F-16",'Таблиця 1'!$L:$L,"Уражено")+COUNTIFS('Таблиця 1'!$B:$B,$A414,'Таблиця 1'!$I:$I,"МіГ-29",'Таблиця 1'!$L:$L,"Уражено")+COUNTIFS('Таблиця 1'!$B:$B,$A414,'Таблиця 1'!$I:$I,"Су-25",'Таблиця 1'!$L:$L,"Уражено")+COUNTIFS('Таблиця 1'!$B:$B,$A414,'Таблиця 1'!$I:$I,"Су-27",'Таблиця 1'!$L:$L,"Уражено"))</f>
        <v/>
      </c>
      <c r="S414">
        <f>IF($A414="","",COUNTIFS('Таблиця 1'!$B:$B,$A414,'Таблиця 1'!$I:$I,"Mirage",'Таблиця 1'!$L:$L,"НЕ уражено")+COUNTIFS('Таблиця 1'!$B:$B,$A414,'Таблиця 1'!$I:$I,"F-16",'Таблиця 1'!$L:$L,"НЕ уражено")+COUNTIFS('Таблиця 1'!$B:$B,$A414,'Таблиця 1'!$I:$I,"МіГ-29",'Таблиця 1'!$L:$L,"НЕ уражено")+COUNTIFS('Таблиця 1'!$B:$B,$A414,'Таблиця 1'!$I:$I,"Су-25",'Таблиця 1'!$L:$L,"НЕ уражено")+COUNTIFS('Таблиця 1'!$B:$B,$A414,'Таблиця 1'!$I:$I,"Су-27",'Таблиця 1'!$L:$L,"НЕ уражено"))</f>
        <v/>
      </c>
      <c r="T414">
        <f>IF($A414="","",COUNTIFS('Таблиця 1'!$B:$B,$A414,'Таблиця 1'!$I:$I,"Mirage",'Таблиця 1'!$L:$L,"Дорозвідується")+COUNTIFS('Таблиця 1'!$B:$B,$A414,'Таблиця 1'!$I:$I,"F-16",'Таблиця 1'!$L:$L,"Дорозвідується")+COUNTIFS('Таблиця 1'!$B:$B,$A414,'Таблиця 1'!$I:$I,"МіГ-29",'Таблиця 1'!$L:$L,"Дорозвідується")+COUNTIFS('Таблиця 1'!$B:$B,$A414,'Таблиця 1'!$I:$I,"Су-25",'Таблиця 1'!$L:$L,"Дорозвідується")+COUNTIFS('Таблиця 1'!$B:$B,$A414,'Таблиця 1'!$I:$I,"Су-27",'Таблиця 1'!$L:$L,"Дорозвідується"))</f>
        <v/>
      </c>
    </row>
    <row r="415">
      <c r="A415" s="273">
        <f>IF(A414="","",IF(A414+1&gt;MAX('Таблиця 1'!$B:$B),"",A414+1))</f>
        <v/>
      </c>
      <c r="B415">
        <f>IF($A415="","",COUNTIFS('Таблиця 1'!$B:$B,$A415,'Таблиця 1'!$I:$I,"Mirage")+COUNTIFS('Таблиця 1'!$B:$B,$A415,'Таблиця 1'!$I:$I,"F-16")+COUNTIFS('Таблиця 1'!$B:$B,$A415,'Таблиця 1'!$I:$I,"МіГ-29")+COUNTIFS('Таблиця 1'!$B:$B,$A415,'Таблиця 1'!$I:$I,"Су-25")+COUNTIFS('Таблиця 1'!$B:$B,$A415,'Таблиця 1'!$I:$I,"Су-27"))</f>
        <v/>
      </c>
      <c r="C415">
        <f>IF($A415="","",COUNTIFS('Таблиця 1'!$B:$B,$A415,'Таблиця 1'!$I:$I,"Mirage"))</f>
        <v/>
      </c>
      <c r="D415">
        <f>IF($A415="","",COUNTIFS('Таблиця 1'!$B:$B,$A415,'Таблиця 1'!$I:$I,"F-16"))</f>
        <v/>
      </c>
      <c r="E415">
        <f>IF($A415="","",COUNTIFS('Таблиця 1'!$B:$B,$A415,'Таблиця 1'!$I:$I,"МіГ-29"))</f>
        <v/>
      </c>
      <c r="F415">
        <f>IF($A415="","",COUNTIFS('Таблиця 1'!$B:$B,$A415,'Таблиця 1'!$I:$I,"Су-25"))</f>
        <v/>
      </c>
      <c r="G415">
        <f>IF($A415="","",COUNTIFS('Таблиця 1'!$B:$B,$A415,'Таблиця 1'!$I:$I,"Су-27"))</f>
        <v/>
      </c>
      <c r="H415">
        <f>IF($A415="","",SUMIFS('Таблиця 1'!$K:$K,'Таблиця 1'!$B:$B,$A415,'Таблиця 1'!$I:$I,"Mirage",'Таблиця 1'!$J:$J,"AGM-88")+SUMIFS('Таблиця 1'!$K:$K,'Таблиця 1'!$B:$B,$A415,'Таблиця 1'!$I:$I,"F-16",'Таблиця 1'!$J:$J,"AGM-88")+SUMIFS('Таблиця 1'!$K:$K,'Таблиця 1'!$B:$B,$A415,'Таблиця 1'!$I:$I,"МіГ-29",'Таблиця 1'!$J:$J,"AGM-88")+SUMIFS('Таблиця 1'!$K:$K,'Таблиця 1'!$B:$B,$A415,'Таблиця 1'!$I:$I,"Су-25",'Таблиця 1'!$J:$J,"AGM-88")+SUMIFS('Таблиця 1'!$K:$K,'Таблиця 1'!$B:$B,$A415,'Таблиця 1'!$I:$I,"Су-27",'Таблиця 1'!$J:$J,"AGM-88"))</f>
        <v/>
      </c>
      <c r="I415">
        <f>IF($A415="","",SUMIFS('Таблиця 1'!$K:$K,'Таблиця 1'!$B:$B,$A415,'Таблиця 1'!$I:$I,"Mirage",'Таблиця 1'!$J:$J,"AASM-250")+SUMIFS('Таблиця 1'!$K:$K,'Таблиця 1'!$B:$B,$A415,'Таблиця 1'!$I:$I,"F-16",'Таблиця 1'!$J:$J,"AASM-250")+SUMIFS('Таблиця 1'!$K:$K,'Таблиця 1'!$B:$B,$A415,'Таблиця 1'!$I:$I,"МіГ-29",'Таблиця 1'!$J:$J,"AASM-250")+SUMIFS('Таблиця 1'!$K:$K,'Таблиця 1'!$B:$B,$A415,'Таблиця 1'!$I:$I,"Су-25",'Таблиця 1'!$J:$J,"AASM-250")+SUMIFS('Таблиця 1'!$K:$K,'Таблиця 1'!$B:$B,$A415,'Таблиця 1'!$I:$I,"Су-27",'Таблиця 1'!$J:$J,"AASM-250"))</f>
        <v/>
      </c>
      <c r="J415">
        <f>IF($A415="","",SUMIFS('Таблиця 1'!$K:$K,'Таблиця 1'!$B:$B,$A415,'Таблиця 1'!$I:$I,"Mirage",'Таблиця 1'!$J:$J,"GBU-39")+SUMIFS('Таблиця 1'!$K:$K,'Таблиця 1'!$B:$B,$A415,'Таблиця 1'!$I:$I,"F-16",'Таблиця 1'!$J:$J,"GBU-39")+SUMIFS('Таблиця 1'!$K:$K,'Таблиця 1'!$B:$B,$A415,'Таблиця 1'!$I:$I,"МіГ-29",'Таблиця 1'!$J:$J,"GBU-39")+SUMIFS('Таблиця 1'!$K:$K,'Таблиця 1'!$B:$B,$A415,'Таблиця 1'!$I:$I,"Су-25",'Таблиця 1'!$J:$J,"GBU-39")+SUMIFS('Таблиця 1'!$K:$K,'Таблиця 1'!$B:$B,$A415,'Таблиця 1'!$I:$I,"Су-27",'Таблиця 1'!$J:$J,"GBU-39"))</f>
        <v/>
      </c>
      <c r="K415">
        <f>IF($A415="","",SUMIFS('Таблиця 1'!$K:$K,'Таблиця 1'!$B:$B,$A415,'Таблиця 1'!$I:$I,"Mirage",'Таблиця 1'!$J:$J,"BLU-140")+SUMIFS('Таблиця 1'!$K:$K,'Таблиця 1'!$B:$B,$A415,'Таблиця 1'!$I:$I,"F-16",'Таблиця 1'!$J:$J,"BLU-140")+SUMIFS('Таблиця 1'!$K:$K,'Таблиця 1'!$B:$B,$A415,'Таблиця 1'!$I:$I,"МіГ-29",'Таблиця 1'!$J:$J,"BLU-140")+SUMIFS('Таблиця 1'!$K:$K,'Таблиця 1'!$B:$B,$A415,'Таблиця 1'!$I:$I,"Су-25",'Таблиця 1'!$J:$J,"BLU-140")+SUMIFS('Таблиця 1'!$K:$K,'Таблиця 1'!$B:$B,$A415,'Таблиця 1'!$I:$I,"Су-27",'Таблиця 1'!$J:$J,"BLU-140"))</f>
        <v/>
      </c>
      <c r="L415">
        <f>IF($A415="","",SUMIFS('Таблиця 1'!$K:$K,'Таблиця 1'!$B:$B,$A415,'Таблиця 1'!$I:$I,"Mirage",'Таблиця 1'!$J:$J,"GBU-65")+SUMIFS('Таблиця 1'!$K:$K,'Таблиця 1'!$B:$B,$A415,'Таблиця 1'!$I:$I,"F-16",'Таблиця 1'!$J:$J,"GBU-65")+SUMIFS('Таблиця 1'!$K:$K,'Таблиця 1'!$B:$B,$A415,'Таблиця 1'!$I:$I,"МіГ-29",'Таблиця 1'!$J:$J,"GBU-65")+SUMIFS('Таблиця 1'!$K:$K,'Таблиця 1'!$B:$B,$A415,'Таблиця 1'!$I:$I,"Су-25",'Таблиця 1'!$J:$J,"GBU-65")+SUMIFS('Таблиця 1'!$K:$K,'Таблиця 1'!$B:$B,$A415,'Таблиця 1'!$I:$I,"Су-27",'Таблиця 1'!$J:$J,"GBU-65"))</f>
        <v/>
      </c>
      <c r="M415">
        <f>IF($A415="","",SUMIFS('Таблиця 1'!$K:$K,'Таблиця 1'!$B:$B,$A415,'Таблиця 1'!$I:$I,"Mirage",'Таблиця 1'!$J:$J,"GBU-62")+SUMIFS('Таблиця 1'!$K:$K,'Таблиця 1'!$B:$B,$A415,'Таблиця 1'!$I:$I,"F-16",'Таблиця 1'!$J:$J,"GBU-62")+SUMIFS('Таблиця 1'!$K:$K,'Таблиця 1'!$B:$B,$A415,'Таблиця 1'!$I:$I,"МіГ-29",'Таблиця 1'!$J:$J,"GBU-62")+SUMIFS('Таблиця 1'!$K:$K,'Таблиця 1'!$B:$B,$A415,'Таблиця 1'!$I:$I,"Су-25",'Таблиця 1'!$J:$J,"GBU-62")+SUMIFS('Таблиця 1'!$K:$K,'Таблиця 1'!$B:$B,$A415,'Таблиця 1'!$I:$I,"Су-27",'Таблиця 1'!$J:$J,"GBU-62"))</f>
        <v/>
      </c>
      <c r="N415">
        <f>IF($A415="","",SUMIFS('Таблиця 1'!$K:$K,'Таблиця 1'!$B:$B,$A415,'Таблиця 1'!$I:$I,"Mirage",'Таблиця 1'!$J:$J,"GBU-64")+SUMIFS('Таблиця 1'!$K:$K,'Таблиця 1'!$B:$B,$A415,'Таблиця 1'!$I:$I,"F-16",'Таблиця 1'!$J:$J,"GBU-64")+SUMIFS('Таблиця 1'!$K:$K,'Таблиця 1'!$B:$B,$A415,'Таблиця 1'!$I:$I,"МіГ-29",'Таблиця 1'!$J:$J,"GBU-64")+SUMIFS('Таблиця 1'!$K:$K,'Таблиця 1'!$B:$B,$A415,'Таблиця 1'!$I:$I,"Су-25",'Таблиця 1'!$J:$J,"GBU-64")+SUMIFS('Таблиця 1'!$K:$K,'Таблиця 1'!$B:$B,$A415,'Таблиця 1'!$I:$I,"Су-27",'Таблиця 1'!$J:$J,"GBU-64"))</f>
        <v/>
      </c>
      <c r="O415">
        <f>IF($A415="","",SUMIFS('Таблиця 1'!$K:$K,'Таблиця 1'!$B:$B,$A415,'Таблиця 1'!$I:$I,"Mirage",'Таблиця 1'!$J:$J,"C-13")+SUMIFS('Таблиця 1'!$K:$K,'Таблиця 1'!$B:$B,$A415,'Таблиця 1'!$I:$I,"F-16",'Таблиця 1'!$J:$J,"C-13")+SUMIFS('Таблиця 1'!$K:$K,'Таблиця 1'!$B:$B,$A415,'Таблиця 1'!$I:$I,"МіГ-29",'Таблиця 1'!$J:$J,"C-13")+SUMIFS('Таблиця 1'!$K:$K,'Таблиця 1'!$B:$B,$A415,'Таблиця 1'!$I:$I,"Су-25",'Таблиця 1'!$J:$J,"C-13")+SUMIFS('Таблиця 1'!$K:$K,'Таблиця 1'!$B:$B,$A415,'Таблиця 1'!$I:$I,"Су-27",'Таблиця 1'!$J:$J,"C-13"))</f>
        <v/>
      </c>
      <c r="P415">
        <f>IF($A415="","",SUMIFS('Таблиця 1'!$K:$K,'Таблиця 1'!$B:$B,$A415,'Таблиця 1'!$I:$I,"Mirage",'Таблиця 1'!$J:$J,"MK-32")+SUMIFS('Таблиця 1'!$K:$K,'Таблиця 1'!$B:$B,$A415,'Таблиця 1'!$I:$I,"F-16",'Таблиця 1'!$J:$J,"MK-32")+SUMIFS('Таблиця 1'!$K:$K,'Таблиця 1'!$B:$B,$A415,'Таблиця 1'!$I:$I,"МіГ-29",'Таблиця 1'!$J:$J,"MK-32")+SUMIFS('Таблиця 1'!$K:$K,'Таблиця 1'!$B:$B,$A415,'Таблиця 1'!$I:$I,"Су-25",'Таблиця 1'!$J:$J,"MK-32")+SUMIFS('Таблиця 1'!$K:$K,'Таблиця 1'!$B:$B,$A415,'Таблиця 1'!$I:$I,"Су-27",'Таблиця 1'!$J:$J,"MK-32"))</f>
        <v/>
      </c>
      <c r="Q415">
        <f>IF($A415="","",SUMIFS('Таблиця 1'!$K:$K,'Таблиця 1'!$B:$B,$A415,'Таблиця 1'!$I:$I,"Mirage",'Таблиця 1'!$J:$J,"MK-24")+SUMIFS('Таблиця 1'!$K:$K,'Таблиця 1'!$B:$B,$A415,'Таблиця 1'!$I:$I,"F-16",'Таблиця 1'!$J:$J,"MK-24")+SUMIFS('Таблиця 1'!$K:$K,'Таблиця 1'!$B:$B,$A415,'Таблиця 1'!$I:$I,"МіГ-29",'Таблиця 1'!$J:$J,"MK-24")+SUMIFS('Таблиця 1'!$K:$K,'Таблиця 1'!$B:$B,$A415,'Таблиця 1'!$I:$I,"Су-25",'Таблиця 1'!$J:$J,"MK-24")+SUMIFS('Таблиця 1'!$K:$K,'Таблиця 1'!$B:$B,$A415,'Таблиця 1'!$I:$I,"Су-27",'Таблиця 1'!$J:$J,"MK-24"))</f>
        <v/>
      </c>
      <c r="R415">
        <f>IF($A415="","",COUNTIFS('Таблиця 1'!$B:$B,$A415,'Таблиця 1'!$I:$I,"Mirage",'Таблиця 1'!$L:$L,"Уражено")+COUNTIFS('Таблиця 1'!$B:$B,$A415,'Таблиця 1'!$I:$I,"F-16",'Таблиця 1'!$L:$L,"Уражено")+COUNTIFS('Таблиця 1'!$B:$B,$A415,'Таблиця 1'!$I:$I,"МіГ-29",'Таблиця 1'!$L:$L,"Уражено")+COUNTIFS('Таблиця 1'!$B:$B,$A415,'Таблиця 1'!$I:$I,"Су-25",'Таблиця 1'!$L:$L,"Уражено")+COUNTIFS('Таблиця 1'!$B:$B,$A415,'Таблиця 1'!$I:$I,"Су-27",'Таблиця 1'!$L:$L,"Уражено"))</f>
        <v/>
      </c>
      <c r="S415">
        <f>IF($A415="","",COUNTIFS('Таблиця 1'!$B:$B,$A415,'Таблиця 1'!$I:$I,"Mirage",'Таблиця 1'!$L:$L,"НЕ уражено")+COUNTIFS('Таблиця 1'!$B:$B,$A415,'Таблиця 1'!$I:$I,"F-16",'Таблиця 1'!$L:$L,"НЕ уражено")+COUNTIFS('Таблиця 1'!$B:$B,$A415,'Таблиця 1'!$I:$I,"МіГ-29",'Таблиця 1'!$L:$L,"НЕ уражено")+COUNTIFS('Таблиця 1'!$B:$B,$A415,'Таблиця 1'!$I:$I,"Су-25",'Таблиця 1'!$L:$L,"НЕ уражено")+COUNTIFS('Таблиця 1'!$B:$B,$A415,'Таблиця 1'!$I:$I,"Су-27",'Таблиця 1'!$L:$L,"НЕ уражено"))</f>
        <v/>
      </c>
      <c r="T415">
        <f>IF($A415="","",COUNTIFS('Таблиця 1'!$B:$B,$A415,'Таблиця 1'!$I:$I,"Mirage",'Таблиця 1'!$L:$L,"Дорозвідується")+COUNTIFS('Таблиця 1'!$B:$B,$A415,'Таблиця 1'!$I:$I,"F-16",'Таблиця 1'!$L:$L,"Дорозвідується")+COUNTIFS('Таблиця 1'!$B:$B,$A415,'Таблиця 1'!$I:$I,"МіГ-29",'Таблиця 1'!$L:$L,"Дорозвідується")+COUNTIFS('Таблиця 1'!$B:$B,$A415,'Таблиця 1'!$I:$I,"Су-25",'Таблиця 1'!$L:$L,"Дорозвідується")+COUNTIFS('Таблиця 1'!$B:$B,$A415,'Таблиця 1'!$I:$I,"Су-27",'Таблиця 1'!$L:$L,"Дорозвідується"))</f>
        <v/>
      </c>
    </row>
    <row r="416">
      <c r="A416" s="273">
        <f>IF(A415="","",IF(A415+1&gt;MAX('Таблиця 1'!$B:$B),"",A415+1))</f>
        <v/>
      </c>
      <c r="B416">
        <f>IF($A416="","",COUNTIFS('Таблиця 1'!$B:$B,$A416,'Таблиця 1'!$I:$I,"Mirage")+COUNTIFS('Таблиця 1'!$B:$B,$A416,'Таблиця 1'!$I:$I,"F-16")+COUNTIFS('Таблиця 1'!$B:$B,$A416,'Таблиця 1'!$I:$I,"МіГ-29")+COUNTIFS('Таблиця 1'!$B:$B,$A416,'Таблиця 1'!$I:$I,"Су-25")+COUNTIFS('Таблиця 1'!$B:$B,$A416,'Таблиця 1'!$I:$I,"Су-27"))</f>
        <v/>
      </c>
      <c r="C416">
        <f>IF($A416="","",COUNTIFS('Таблиця 1'!$B:$B,$A416,'Таблиця 1'!$I:$I,"Mirage"))</f>
        <v/>
      </c>
      <c r="D416">
        <f>IF($A416="","",COUNTIFS('Таблиця 1'!$B:$B,$A416,'Таблиця 1'!$I:$I,"F-16"))</f>
        <v/>
      </c>
      <c r="E416">
        <f>IF($A416="","",COUNTIFS('Таблиця 1'!$B:$B,$A416,'Таблиця 1'!$I:$I,"МіГ-29"))</f>
        <v/>
      </c>
      <c r="F416">
        <f>IF($A416="","",COUNTIFS('Таблиця 1'!$B:$B,$A416,'Таблиця 1'!$I:$I,"Су-25"))</f>
        <v/>
      </c>
      <c r="G416">
        <f>IF($A416="","",COUNTIFS('Таблиця 1'!$B:$B,$A416,'Таблиця 1'!$I:$I,"Су-27"))</f>
        <v/>
      </c>
      <c r="H416">
        <f>IF($A416="","",SUMIFS('Таблиця 1'!$K:$K,'Таблиця 1'!$B:$B,$A416,'Таблиця 1'!$I:$I,"Mirage",'Таблиця 1'!$J:$J,"AGM-88")+SUMIFS('Таблиця 1'!$K:$K,'Таблиця 1'!$B:$B,$A416,'Таблиця 1'!$I:$I,"F-16",'Таблиця 1'!$J:$J,"AGM-88")+SUMIFS('Таблиця 1'!$K:$K,'Таблиця 1'!$B:$B,$A416,'Таблиця 1'!$I:$I,"МіГ-29",'Таблиця 1'!$J:$J,"AGM-88")+SUMIFS('Таблиця 1'!$K:$K,'Таблиця 1'!$B:$B,$A416,'Таблиця 1'!$I:$I,"Су-25",'Таблиця 1'!$J:$J,"AGM-88")+SUMIFS('Таблиця 1'!$K:$K,'Таблиця 1'!$B:$B,$A416,'Таблиця 1'!$I:$I,"Су-27",'Таблиця 1'!$J:$J,"AGM-88"))</f>
        <v/>
      </c>
      <c r="I416">
        <f>IF($A416="","",SUMIFS('Таблиця 1'!$K:$K,'Таблиця 1'!$B:$B,$A416,'Таблиця 1'!$I:$I,"Mirage",'Таблиця 1'!$J:$J,"AASM-250")+SUMIFS('Таблиця 1'!$K:$K,'Таблиця 1'!$B:$B,$A416,'Таблиця 1'!$I:$I,"F-16",'Таблиця 1'!$J:$J,"AASM-250")+SUMIFS('Таблиця 1'!$K:$K,'Таблиця 1'!$B:$B,$A416,'Таблиця 1'!$I:$I,"МіГ-29",'Таблиця 1'!$J:$J,"AASM-250")+SUMIFS('Таблиця 1'!$K:$K,'Таблиця 1'!$B:$B,$A416,'Таблиця 1'!$I:$I,"Су-25",'Таблиця 1'!$J:$J,"AASM-250")+SUMIFS('Таблиця 1'!$K:$K,'Таблиця 1'!$B:$B,$A416,'Таблиця 1'!$I:$I,"Су-27",'Таблиця 1'!$J:$J,"AASM-250"))</f>
        <v/>
      </c>
      <c r="J416">
        <f>IF($A416="","",SUMIFS('Таблиця 1'!$K:$K,'Таблиця 1'!$B:$B,$A416,'Таблиця 1'!$I:$I,"Mirage",'Таблиця 1'!$J:$J,"GBU-39")+SUMIFS('Таблиця 1'!$K:$K,'Таблиця 1'!$B:$B,$A416,'Таблиця 1'!$I:$I,"F-16",'Таблиця 1'!$J:$J,"GBU-39")+SUMIFS('Таблиця 1'!$K:$K,'Таблиця 1'!$B:$B,$A416,'Таблиця 1'!$I:$I,"МіГ-29",'Таблиця 1'!$J:$J,"GBU-39")+SUMIFS('Таблиця 1'!$K:$K,'Таблиця 1'!$B:$B,$A416,'Таблиця 1'!$I:$I,"Су-25",'Таблиця 1'!$J:$J,"GBU-39")+SUMIFS('Таблиця 1'!$K:$K,'Таблиця 1'!$B:$B,$A416,'Таблиця 1'!$I:$I,"Су-27",'Таблиця 1'!$J:$J,"GBU-39"))</f>
        <v/>
      </c>
      <c r="K416">
        <f>IF($A416="","",SUMIFS('Таблиця 1'!$K:$K,'Таблиця 1'!$B:$B,$A416,'Таблиця 1'!$I:$I,"Mirage",'Таблиця 1'!$J:$J,"BLU-140")+SUMIFS('Таблиця 1'!$K:$K,'Таблиця 1'!$B:$B,$A416,'Таблиця 1'!$I:$I,"F-16",'Таблиця 1'!$J:$J,"BLU-140")+SUMIFS('Таблиця 1'!$K:$K,'Таблиця 1'!$B:$B,$A416,'Таблиця 1'!$I:$I,"МіГ-29",'Таблиця 1'!$J:$J,"BLU-140")+SUMIFS('Таблиця 1'!$K:$K,'Таблиця 1'!$B:$B,$A416,'Таблиця 1'!$I:$I,"Су-25",'Таблиця 1'!$J:$J,"BLU-140")+SUMIFS('Таблиця 1'!$K:$K,'Таблиця 1'!$B:$B,$A416,'Таблиця 1'!$I:$I,"Су-27",'Таблиця 1'!$J:$J,"BLU-140"))</f>
        <v/>
      </c>
      <c r="L416">
        <f>IF($A416="","",SUMIFS('Таблиця 1'!$K:$K,'Таблиця 1'!$B:$B,$A416,'Таблиця 1'!$I:$I,"Mirage",'Таблиця 1'!$J:$J,"GBU-65")+SUMIFS('Таблиця 1'!$K:$K,'Таблиця 1'!$B:$B,$A416,'Таблиця 1'!$I:$I,"F-16",'Таблиця 1'!$J:$J,"GBU-65")+SUMIFS('Таблиця 1'!$K:$K,'Таблиця 1'!$B:$B,$A416,'Таблиця 1'!$I:$I,"МіГ-29",'Таблиця 1'!$J:$J,"GBU-65")+SUMIFS('Таблиця 1'!$K:$K,'Таблиця 1'!$B:$B,$A416,'Таблиця 1'!$I:$I,"Су-25",'Таблиця 1'!$J:$J,"GBU-65")+SUMIFS('Таблиця 1'!$K:$K,'Таблиця 1'!$B:$B,$A416,'Таблиця 1'!$I:$I,"Су-27",'Таблиця 1'!$J:$J,"GBU-65"))</f>
        <v/>
      </c>
      <c r="M416">
        <f>IF($A416="","",SUMIFS('Таблиця 1'!$K:$K,'Таблиця 1'!$B:$B,$A416,'Таблиця 1'!$I:$I,"Mirage",'Таблиця 1'!$J:$J,"GBU-62")+SUMIFS('Таблиця 1'!$K:$K,'Таблиця 1'!$B:$B,$A416,'Таблиця 1'!$I:$I,"F-16",'Таблиця 1'!$J:$J,"GBU-62")+SUMIFS('Таблиця 1'!$K:$K,'Таблиця 1'!$B:$B,$A416,'Таблиця 1'!$I:$I,"МіГ-29",'Таблиця 1'!$J:$J,"GBU-62")+SUMIFS('Таблиця 1'!$K:$K,'Таблиця 1'!$B:$B,$A416,'Таблиця 1'!$I:$I,"Су-25",'Таблиця 1'!$J:$J,"GBU-62")+SUMIFS('Таблиця 1'!$K:$K,'Таблиця 1'!$B:$B,$A416,'Таблиця 1'!$I:$I,"Су-27",'Таблиця 1'!$J:$J,"GBU-62"))</f>
        <v/>
      </c>
      <c r="N416">
        <f>IF($A416="","",SUMIFS('Таблиця 1'!$K:$K,'Таблиця 1'!$B:$B,$A416,'Таблиця 1'!$I:$I,"Mirage",'Таблиця 1'!$J:$J,"GBU-64")+SUMIFS('Таблиця 1'!$K:$K,'Таблиця 1'!$B:$B,$A416,'Таблиця 1'!$I:$I,"F-16",'Таблиця 1'!$J:$J,"GBU-64")+SUMIFS('Таблиця 1'!$K:$K,'Таблиця 1'!$B:$B,$A416,'Таблиця 1'!$I:$I,"МіГ-29",'Таблиця 1'!$J:$J,"GBU-64")+SUMIFS('Таблиця 1'!$K:$K,'Таблиця 1'!$B:$B,$A416,'Таблиця 1'!$I:$I,"Су-25",'Таблиця 1'!$J:$J,"GBU-64")+SUMIFS('Таблиця 1'!$K:$K,'Таблиця 1'!$B:$B,$A416,'Таблиця 1'!$I:$I,"Су-27",'Таблиця 1'!$J:$J,"GBU-64"))</f>
        <v/>
      </c>
      <c r="O416">
        <f>IF($A416="","",SUMIFS('Таблиця 1'!$K:$K,'Таблиця 1'!$B:$B,$A416,'Таблиця 1'!$I:$I,"Mirage",'Таблиця 1'!$J:$J,"C-13")+SUMIFS('Таблиця 1'!$K:$K,'Таблиця 1'!$B:$B,$A416,'Таблиця 1'!$I:$I,"F-16",'Таблиця 1'!$J:$J,"C-13")+SUMIFS('Таблиця 1'!$K:$K,'Таблиця 1'!$B:$B,$A416,'Таблиця 1'!$I:$I,"МіГ-29",'Таблиця 1'!$J:$J,"C-13")+SUMIFS('Таблиця 1'!$K:$K,'Таблиця 1'!$B:$B,$A416,'Таблиця 1'!$I:$I,"Су-25",'Таблиця 1'!$J:$J,"C-13")+SUMIFS('Таблиця 1'!$K:$K,'Таблиця 1'!$B:$B,$A416,'Таблиця 1'!$I:$I,"Су-27",'Таблиця 1'!$J:$J,"C-13"))</f>
        <v/>
      </c>
      <c r="P416">
        <f>IF($A416="","",SUMIFS('Таблиця 1'!$K:$K,'Таблиця 1'!$B:$B,$A416,'Таблиця 1'!$I:$I,"Mirage",'Таблиця 1'!$J:$J,"MK-32")+SUMIFS('Таблиця 1'!$K:$K,'Таблиця 1'!$B:$B,$A416,'Таблиця 1'!$I:$I,"F-16",'Таблиця 1'!$J:$J,"MK-32")+SUMIFS('Таблиця 1'!$K:$K,'Таблиця 1'!$B:$B,$A416,'Таблиця 1'!$I:$I,"МіГ-29",'Таблиця 1'!$J:$J,"MK-32")+SUMIFS('Таблиця 1'!$K:$K,'Таблиця 1'!$B:$B,$A416,'Таблиця 1'!$I:$I,"Су-25",'Таблиця 1'!$J:$J,"MK-32")+SUMIFS('Таблиця 1'!$K:$K,'Таблиця 1'!$B:$B,$A416,'Таблиця 1'!$I:$I,"Су-27",'Таблиця 1'!$J:$J,"MK-32"))</f>
        <v/>
      </c>
      <c r="Q416">
        <f>IF($A416="","",SUMIFS('Таблиця 1'!$K:$K,'Таблиця 1'!$B:$B,$A416,'Таблиця 1'!$I:$I,"Mirage",'Таблиця 1'!$J:$J,"MK-24")+SUMIFS('Таблиця 1'!$K:$K,'Таблиця 1'!$B:$B,$A416,'Таблиця 1'!$I:$I,"F-16",'Таблиця 1'!$J:$J,"MK-24")+SUMIFS('Таблиця 1'!$K:$K,'Таблиця 1'!$B:$B,$A416,'Таблиця 1'!$I:$I,"МіГ-29",'Таблиця 1'!$J:$J,"MK-24")+SUMIFS('Таблиця 1'!$K:$K,'Таблиця 1'!$B:$B,$A416,'Таблиця 1'!$I:$I,"Су-25",'Таблиця 1'!$J:$J,"MK-24")+SUMIFS('Таблиця 1'!$K:$K,'Таблиця 1'!$B:$B,$A416,'Таблиця 1'!$I:$I,"Су-27",'Таблиця 1'!$J:$J,"MK-24"))</f>
        <v/>
      </c>
      <c r="R416">
        <f>IF($A416="","",COUNTIFS('Таблиця 1'!$B:$B,$A416,'Таблиця 1'!$I:$I,"Mirage",'Таблиця 1'!$L:$L,"Уражено")+COUNTIFS('Таблиця 1'!$B:$B,$A416,'Таблиця 1'!$I:$I,"F-16",'Таблиця 1'!$L:$L,"Уражено")+COUNTIFS('Таблиця 1'!$B:$B,$A416,'Таблиця 1'!$I:$I,"МіГ-29",'Таблиця 1'!$L:$L,"Уражено")+COUNTIFS('Таблиця 1'!$B:$B,$A416,'Таблиця 1'!$I:$I,"Су-25",'Таблиця 1'!$L:$L,"Уражено")+COUNTIFS('Таблиця 1'!$B:$B,$A416,'Таблиця 1'!$I:$I,"Су-27",'Таблиця 1'!$L:$L,"Уражено"))</f>
        <v/>
      </c>
      <c r="S416">
        <f>IF($A416="","",COUNTIFS('Таблиця 1'!$B:$B,$A416,'Таблиця 1'!$I:$I,"Mirage",'Таблиця 1'!$L:$L,"НЕ уражено")+COUNTIFS('Таблиця 1'!$B:$B,$A416,'Таблиця 1'!$I:$I,"F-16",'Таблиця 1'!$L:$L,"НЕ уражено")+COUNTIFS('Таблиця 1'!$B:$B,$A416,'Таблиця 1'!$I:$I,"МіГ-29",'Таблиця 1'!$L:$L,"НЕ уражено")+COUNTIFS('Таблиця 1'!$B:$B,$A416,'Таблиця 1'!$I:$I,"Су-25",'Таблиця 1'!$L:$L,"НЕ уражено")+COUNTIFS('Таблиця 1'!$B:$B,$A416,'Таблиця 1'!$I:$I,"Су-27",'Таблиця 1'!$L:$L,"НЕ уражено"))</f>
        <v/>
      </c>
      <c r="T416">
        <f>IF($A416="","",COUNTIFS('Таблиця 1'!$B:$B,$A416,'Таблиця 1'!$I:$I,"Mirage",'Таблиця 1'!$L:$L,"Дорозвідується")+COUNTIFS('Таблиця 1'!$B:$B,$A416,'Таблиця 1'!$I:$I,"F-16",'Таблиця 1'!$L:$L,"Дорозвідується")+COUNTIFS('Таблиця 1'!$B:$B,$A416,'Таблиця 1'!$I:$I,"МіГ-29",'Таблиця 1'!$L:$L,"Дорозвідується")+COUNTIFS('Таблиця 1'!$B:$B,$A416,'Таблиця 1'!$I:$I,"Су-25",'Таблиця 1'!$L:$L,"Дорозвідується")+COUNTIFS('Таблиця 1'!$B:$B,$A416,'Таблиця 1'!$I:$I,"Су-27",'Таблиця 1'!$L:$L,"Дорозвідується"))</f>
        <v/>
      </c>
    </row>
    <row r="417">
      <c r="A417" s="273">
        <f>IF(A416="","",IF(A416+1&gt;MAX('Таблиця 1'!$B:$B),"",A416+1))</f>
        <v/>
      </c>
      <c r="B417">
        <f>IF($A417="","",COUNTIFS('Таблиця 1'!$B:$B,$A417,'Таблиця 1'!$I:$I,"Mirage")+COUNTIFS('Таблиця 1'!$B:$B,$A417,'Таблиця 1'!$I:$I,"F-16")+COUNTIFS('Таблиця 1'!$B:$B,$A417,'Таблиця 1'!$I:$I,"МіГ-29")+COUNTIFS('Таблиця 1'!$B:$B,$A417,'Таблиця 1'!$I:$I,"Су-25")+COUNTIFS('Таблиця 1'!$B:$B,$A417,'Таблиця 1'!$I:$I,"Су-27"))</f>
        <v/>
      </c>
      <c r="C417">
        <f>IF($A417="","",COUNTIFS('Таблиця 1'!$B:$B,$A417,'Таблиця 1'!$I:$I,"Mirage"))</f>
        <v/>
      </c>
      <c r="D417">
        <f>IF($A417="","",COUNTIFS('Таблиця 1'!$B:$B,$A417,'Таблиця 1'!$I:$I,"F-16"))</f>
        <v/>
      </c>
      <c r="E417">
        <f>IF($A417="","",COUNTIFS('Таблиця 1'!$B:$B,$A417,'Таблиця 1'!$I:$I,"МіГ-29"))</f>
        <v/>
      </c>
      <c r="F417">
        <f>IF($A417="","",COUNTIFS('Таблиця 1'!$B:$B,$A417,'Таблиця 1'!$I:$I,"Су-25"))</f>
        <v/>
      </c>
      <c r="G417">
        <f>IF($A417="","",COUNTIFS('Таблиця 1'!$B:$B,$A417,'Таблиця 1'!$I:$I,"Су-27"))</f>
        <v/>
      </c>
      <c r="H417">
        <f>IF($A417="","",SUMIFS('Таблиця 1'!$K:$K,'Таблиця 1'!$B:$B,$A417,'Таблиця 1'!$I:$I,"Mirage",'Таблиця 1'!$J:$J,"AGM-88")+SUMIFS('Таблиця 1'!$K:$K,'Таблиця 1'!$B:$B,$A417,'Таблиця 1'!$I:$I,"F-16",'Таблиця 1'!$J:$J,"AGM-88")+SUMIFS('Таблиця 1'!$K:$K,'Таблиця 1'!$B:$B,$A417,'Таблиця 1'!$I:$I,"МіГ-29",'Таблиця 1'!$J:$J,"AGM-88")+SUMIFS('Таблиця 1'!$K:$K,'Таблиця 1'!$B:$B,$A417,'Таблиця 1'!$I:$I,"Су-25",'Таблиця 1'!$J:$J,"AGM-88")+SUMIFS('Таблиця 1'!$K:$K,'Таблиця 1'!$B:$B,$A417,'Таблиця 1'!$I:$I,"Су-27",'Таблиця 1'!$J:$J,"AGM-88"))</f>
        <v/>
      </c>
      <c r="I417">
        <f>IF($A417="","",SUMIFS('Таблиця 1'!$K:$K,'Таблиця 1'!$B:$B,$A417,'Таблиця 1'!$I:$I,"Mirage",'Таблиця 1'!$J:$J,"AASM-250")+SUMIFS('Таблиця 1'!$K:$K,'Таблиця 1'!$B:$B,$A417,'Таблиця 1'!$I:$I,"F-16",'Таблиця 1'!$J:$J,"AASM-250")+SUMIFS('Таблиця 1'!$K:$K,'Таблиця 1'!$B:$B,$A417,'Таблиця 1'!$I:$I,"МіГ-29",'Таблиця 1'!$J:$J,"AASM-250")+SUMIFS('Таблиця 1'!$K:$K,'Таблиця 1'!$B:$B,$A417,'Таблиця 1'!$I:$I,"Су-25",'Таблиця 1'!$J:$J,"AASM-250")+SUMIFS('Таблиця 1'!$K:$K,'Таблиця 1'!$B:$B,$A417,'Таблиця 1'!$I:$I,"Су-27",'Таблиця 1'!$J:$J,"AASM-250"))</f>
        <v/>
      </c>
      <c r="J417">
        <f>IF($A417="","",SUMIFS('Таблиця 1'!$K:$K,'Таблиця 1'!$B:$B,$A417,'Таблиця 1'!$I:$I,"Mirage",'Таблиця 1'!$J:$J,"GBU-39")+SUMIFS('Таблиця 1'!$K:$K,'Таблиця 1'!$B:$B,$A417,'Таблиця 1'!$I:$I,"F-16",'Таблиця 1'!$J:$J,"GBU-39")+SUMIFS('Таблиця 1'!$K:$K,'Таблиця 1'!$B:$B,$A417,'Таблиця 1'!$I:$I,"МіГ-29",'Таблиця 1'!$J:$J,"GBU-39")+SUMIFS('Таблиця 1'!$K:$K,'Таблиця 1'!$B:$B,$A417,'Таблиця 1'!$I:$I,"Су-25",'Таблиця 1'!$J:$J,"GBU-39")+SUMIFS('Таблиця 1'!$K:$K,'Таблиця 1'!$B:$B,$A417,'Таблиця 1'!$I:$I,"Су-27",'Таблиця 1'!$J:$J,"GBU-39"))</f>
        <v/>
      </c>
      <c r="K417">
        <f>IF($A417="","",SUMIFS('Таблиця 1'!$K:$K,'Таблиця 1'!$B:$B,$A417,'Таблиця 1'!$I:$I,"Mirage",'Таблиця 1'!$J:$J,"BLU-140")+SUMIFS('Таблиця 1'!$K:$K,'Таблиця 1'!$B:$B,$A417,'Таблиця 1'!$I:$I,"F-16",'Таблиця 1'!$J:$J,"BLU-140")+SUMIFS('Таблиця 1'!$K:$K,'Таблиця 1'!$B:$B,$A417,'Таблиця 1'!$I:$I,"МіГ-29",'Таблиця 1'!$J:$J,"BLU-140")+SUMIFS('Таблиця 1'!$K:$K,'Таблиця 1'!$B:$B,$A417,'Таблиця 1'!$I:$I,"Су-25",'Таблиця 1'!$J:$J,"BLU-140")+SUMIFS('Таблиця 1'!$K:$K,'Таблиця 1'!$B:$B,$A417,'Таблиця 1'!$I:$I,"Су-27",'Таблиця 1'!$J:$J,"BLU-140"))</f>
        <v/>
      </c>
      <c r="L417">
        <f>IF($A417="","",SUMIFS('Таблиця 1'!$K:$K,'Таблиця 1'!$B:$B,$A417,'Таблиця 1'!$I:$I,"Mirage",'Таблиця 1'!$J:$J,"GBU-65")+SUMIFS('Таблиця 1'!$K:$K,'Таблиця 1'!$B:$B,$A417,'Таблиця 1'!$I:$I,"F-16",'Таблиця 1'!$J:$J,"GBU-65")+SUMIFS('Таблиця 1'!$K:$K,'Таблиця 1'!$B:$B,$A417,'Таблиця 1'!$I:$I,"МіГ-29",'Таблиця 1'!$J:$J,"GBU-65")+SUMIFS('Таблиця 1'!$K:$K,'Таблиця 1'!$B:$B,$A417,'Таблиця 1'!$I:$I,"Су-25",'Таблиця 1'!$J:$J,"GBU-65")+SUMIFS('Таблиця 1'!$K:$K,'Таблиця 1'!$B:$B,$A417,'Таблиця 1'!$I:$I,"Су-27",'Таблиця 1'!$J:$J,"GBU-65"))</f>
        <v/>
      </c>
      <c r="M417">
        <f>IF($A417="","",SUMIFS('Таблиця 1'!$K:$K,'Таблиця 1'!$B:$B,$A417,'Таблиця 1'!$I:$I,"Mirage",'Таблиця 1'!$J:$J,"GBU-62")+SUMIFS('Таблиця 1'!$K:$K,'Таблиця 1'!$B:$B,$A417,'Таблиця 1'!$I:$I,"F-16",'Таблиця 1'!$J:$J,"GBU-62")+SUMIFS('Таблиця 1'!$K:$K,'Таблиця 1'!$B:$B,$A417,'Таблиця 1'!$I:$I,"МіГ-29",'Таблиця 1'!$J:$J,"GBU-62")+SUMIFS('Таблиця 1'!$K:$K,'Таблиця 1'!$B:$B,$A417,'Таблиця 1'!$I:$I,"Су-25",'Таблиця 1'!$J:$J,"GBU-62")+SUMIFS('Таблиця 1'!$K:$K,'Таблиця 1'!$B:$B,$A417,'Таблиця 1'!$I:$I,"Су-27",'Таблиця 1'!$J:$J,"GBU-62"))</f>
        <v/>
      </c>
      <c r="N417">
        <f>IF($A417="","",SUMIFS('Таблиця 1'!$K:$K,'Таблиця 1'!$B:$B,$A417,'Таблиця 1'!$I:$I,"Mirage",'Таблиця 1'!$J:$J,"GBU-64")+SUMIFS('Таблиця 1'!$K:$K,'Таблиця 1'!$B:$B,$A417,'Таблиця 1'!$I:$I,"F-16",'Таблиця 1'!$J:$J,"GBU-64")+SUMIFS('Таблиця 1'!$K:$K,'Таблиця 1'!$B:$B,$A417,'Таблиця 1'!$I:$I,"МіГ-29",'Таблиця 1'!$J:$J,"GBU-64")+SUMIFS('Таблиця 1'!$K:$K,'Таблиця 1'!$B:$B,$A417,'Таблиця 1'!$I:$I,"Су-25",'Таблиця 1'!$J:$J,"GBU-64")+SUMIFS('Таблиця 1'!$K:$K,'Таблиця 1'!$B:$B,$A417,'Таблиця 1'!$I:$I,"Су-27",'Таблиця 1'!$J:$J,"GBU-64"))</f>
        <v/>
      </c>
      <c r="O417">
        <f>IF($A417="","",SUMIFS('Таблиця 1'!$K:$K,'Таблиця 1'!$B:$B,$A417,'Таблиця 1'!$I:$I,"Mirage",'Таблиця 1'!$J:$J,"C-13")+SUMIFS('Таблиця 1'!$K:$K,'Таблиця 1'!$B:$B,$A417,'Таблиця 1'!$I:$I,"F-16",'Таблиця 1'!$J:$J,"C-13")+SUMIFS('Таблиця 1'!$K:$K,'Таблиця 1'!$B:$B,$A417,'Таблиця 1'!$I:$I,"МіГ-29",'Таблиця 1'!$J:$J,"C-13")+SUMIFS('Таблиця 1'!$K:$K,'Таблиця 1'!$B:$B,$A417,'Таблиця 1'!$I:$I,"Су-25",'Таблиця 1'!$J:$J,"C-13")+SUMIFS('Таблиця 1'!$K:$K,'Таблиця 1'!$B:$B,$A417,'Таблиця 1'!$I:$I,"Су-27",'Таблиця 1'!$J:$J,"C-13"))</f>
        <v/>
      </c>
      <c r="P417">
        <f>IF($A417="","",SUMIFS('Таблиця 1'!$K:$K,'Таблиця 1'!$B:$B,$A417,'Таблиця 1'!$I:$I,"Mirage",'Таблиця 1'!$J:$J,"MK-32")+SUMIFS('Таблиця 1'!$K:$K,'Таблиця 1'!$B:$B,$A417,'Таблиця 1'!$I:$I,"F-16",'Таблиця 1'!$J:$J,"MK-32")+SUMIFS('Таблиця 1'!$K:$K,'Таблиця 1'!$B:$B,$A417,'Таблиця 1'!$I:$I,"МіГ-29",'Таблиця 1'!$J:$J,"MK-32")+SUMIFS('Таблиця 1'!$K:$K,'Таблиця 1'!$B:$B,$A417,'Таблиця 1'!$I:$I,"Су-25",'Таблиця 1'!$J:$J,"MK-32")+SUMIFS('Таблиця 1'!$K:$K,'Таблиця 1'!$B:$B,$A417,'Таблиця 1'!$I:$I,"Су-27",'Таблиця 1'!$J:$J,"MK-32"))</f>
        <v/>
      </c>
      <c r="Q417">
        <f>IF($A417="","",SUMIFS('Таблиця 1'!$K:$K,'Таблиця 1'!$B:$B,$A417,'Таблиця 1'!$I:$I,"Mirage",'Таблиця 1'!$J:$J,"MK-24")+SUMIFS('Таблиця 1'!$K:$K,'Таблиця 1'!$B:$B,$A417,'Таблиця 1'!$I:$I,"F-16",'Таблиця 1'!$J:$J,"MK-24")+SUMIFS('Таблиця 1'!$K:$K,'Таблиця 1'!$B:$B,$A417,'Таблиця 1'!$I:$I,"МіГ-29",'Таблиця 1'!$J:$J,"MK-24")+SUMIFS('Таблиця 1'!$K:$K,'Таблиця 1'!$B:$B,$A417,'Таблиця 1'!$I:$I,"Су-25",'Таблиця 1'!$J:$J,"MK-24")+SUMIFS('Таблиця 1'!$K:$K,'Таблиця 1'!$B:$B,$A417,'Таблиця 1'!$I:$I,"Су-27",'Таблиця 1'!$J:$J,"MK-24"))</f>
        <v/>
      </c>
      <c r="R417">
        <f>IF($A417="","",COUNTIFS('Таблиця 1'!$B:$B,$A417,'Таблиця 1'!$I:$I,"Mirage",'Таблиця 1'!$L:$L,"Уражено")+COUNTIFS('Таблиця 1'!$B:$B,$A417,'Таблиця 1'!$I:$I,"F-16",'Таблиця 1'!$L:$L,"Уражено")+COUNTIFS('Таблиця 1'!$B:$B,$A417,'Таблиця 1'!$I:$I,"МіГ-29",'Таблиця 1'!$L:$L,"Уражено")+COUNTIFS('Таблиця 1'!$B:$B,$A417,'Таблиця 1'!$I:$I,"Су-25",'Таблиця 1'!$L:$L,"Уражено")+COUNTIFS('Таблиця 1'!$B:$B,$A417,'Таблиця 1'!$I:$I,"Су-27",'Таблиця 1'!$L:$L,"Уражено"))</f>
        <v/>
      </c>
      <c r="S417">
        <f>IF($A417="","",COUNTIFS('Таблиця 1'!$B:$B,$A417,'Таблиця 1'!$I:$I,"Mirage",'Таблиця 1'!$L:$L,"НЕ уражено")+COUNTIFS('Таблиця 1'!$B:$B,$A417,'Таблиця 1'!$I:$I,"F-16",'Таблиця 1'!$L:$L,"НЕ уражено")+COUNTIFS('Таблиця 1'!$B:$B,$A417,'Таблиця 1'!$I:$I,"МіГ-29",'Таблиця 1'!$L:$L,"НЕ уражено")+COUNTIFS('Таблиця 1'!$B:$B,$A417,'Таблиця 1'!$I:$I,"Су-25",'Таблиця 1'!$L:$L,"НЕ уражено")+COUNTIFS('Таблиця 1'!$B:$B,$A417,'Таблиця 1'!$I:$I,"Су-27",'Таблиця 1'!$L:$L,"НЕ уражено"))</f>
        <v/>
      </c>
      <c r="T417">
        <f>IF($A417="","",COUNTIFS('Таблиця 1'!$B:$B,$A417,'Таблиця 1'!$I:$I,"Mirage",'Таблиця 1'!$L:$L,"Дорозвідується")+COUNTIFS('Таблиця 1'!$B:$B,$A417,'Таблиця 1'!$I:$I,"F-16",'Таблиця 1'!$L:$L,"Дорозвідується")+COUNTIFS('Таблиця 1'!$B:$B,$A417,'Таблиця 1'!$I:$I,"МіГ-29",'Таблиця 1'!$L:$L,"Дорозвідується")+COUNTIFS('Таблиця 1'!$B:$B,$A417,'Таблиця 1'!$I:$I,"Су-25",'Таблиця 1'!$L:$L,"Дорозвідується")+COUNTIFS('Таблиця 1'!$B:$B,$A417,'Таблиця 1'!$I:$I,"Су-27",'Таблиця 1'!$L:$L,"Дорозвідується"))</f>
        <v/>
      </c>
    </row>
    <row r="418">
      <c r="A418" s="273">
        <f>IF(A417="","",IF(A417+1&gt;MAX('Таблиця 1'!$B:$B),"",A417+1))</f>
        <v/>
      </c>
      <c r="B418">
        <f>IF($A418="","",COUNTIFS('Таблиця 1'!$B:$B,$A418,'Таблиця 1'!$I:$I,"Mirage")+COUNTIFS('Таблиця 1'!$B:$B,$A418,'Таблиця 1'!$I:$I,"F-16")+COUNTIFS('Таблиця 1'!$B:$B,$A418,'Таблиця 1'!$I:$I,"МіГ-29")+COUNTIFS('Таблиця 1'!$B:$B,$A418,'Таблиця 1'!$I:$I,"Су-25")+COUNTIFS('Таблиця 1'!$B:$B,$A418,'Таблиця 1'!$I:$I,"Су-27"))</f>
        <v/>
      </c>
      <c r="C418">
        <f>IF($A418="","",COUNTIFS('Таблиця 1'!$B:$B,$A418,'Таблиця 1'!$I:$I,"Mirage"))</f>
        <v/>
      </c>
      <c r="D418">
        <f>IF($A418="","",COUNTIFS('Таблиця 1'!$B:$B,$A418,'Таблиця 1'!$I:$I,"F-16"))</f>
        <v/>
      </c>
      <c r="E418">
        <f>IF($A418="","",COUNTIFS('Таблиця 1'!$B:$B,$A418,'Таблиця 1'!$I:$I,"МіГ-29"))</f>
        <v/>
      </c>
      <c r="F418">
        <f>IF($A418="","",COUNTIFS('Таблиця 1'!$B:$B,$A418,'Таблиця 1'!$I:$I,"Су-25"))</f>
        <v/>
      </c>
      <c r="G418">
        <f>IF($A418="","",COUNTIFS('Таблиця 1'!$B:$B,$A418,'Таблиця 1'!$I:$I,"Су-27"))</f>
        <v/>
      </c>
      <c r="H418">
        <f>IF($A418="","",SUMIFS('Таблиця 1'!$K:$K,'Таблиця 1'!$B:$B,$A418,'Таблиця 1'!$I:$I,"Mirage",'Таблиця 1'!$J:$J,"AGM-88")+SUMIFS('Таблиця 1'!$K:$K,'Таблиця 1'!$B:$B,$A418,'Таблиця 1'!$I:$I,"F-16",'Таблиця 1'!$J:$J,"AGM-88")+SUMIFS('Таблиця 1'!$K:$K,'Таблиця 1'!$B:$B,$A418,'Таблиця 1'!$I:$I,"МіГ-29",'Таблиця 1'!$J:$J,"AGM-88")+SUMIFS('Таблиця 1'!$K:$K,'Таблиця 1'!$B:$B,$A418,'Таблиця 1'!$I:$I,"Су-25",'Таблиця 1'!$J:$J,"AGM-88")+SUMIFS('Таблиця 1'!$K:$K,'Таблиця 1'!$B:$B,$A418,'Таблиця 1'!$I:$I,"Су-27",'Таблиця 1'!$J:$J,"AGM-88"))</f>
        <v/>
      </c>
      <c r="I418">
        <f>IF($A418="","",SUMIFS('Таблиця 1'!$K:$K,'Таблиця 1'!$B:$B,$A418,'Таблиця 1'!$I:$I,"Mirage",'Таблиця 1'!$J:$J,"AASM-250")+SUMIFS('Таблиця 1'!$K:$K,'Таблиця 1'!$B:$B,$A418,'Таблиця 1'!$I:$I,"F-16",'Таблиця 1'!$J:$J,"AASM-250")+SUMIFS('Таблиця 1'!$K:$K,'Таблиця 1'!$B:$B,$A418,'Таблиця 1'!$I:$I,"МіГ-29",'Таблиця 1'!$J:$J,"AASM-250")+SUMIFS('Таблиця 1'!$K:$K,'Таблиця 1'!$B:$B,$A418,'Таблиця 1'!$I:$I,"Су-25",'Таблиця 1'!$J:$J,"AASM-250")+SUMIFS('Таблиця 1'!$K:$K,'Таблиця 1'!$B:$B,$A418,'Таблиця 1'!$I:$I,"Су-27",'Таблиця 1'!$J:$J,"AASM-250"))</f>
        <v/>
      </c>
      <c r="J418">
        <f>IF($A418="","",SUMIFS('Таблиця 1'!$K:$K,'Таблиця 1'!$B:$B,$A418,'Таблиця 1'!$I:$I,"Mirage",'Таблиця 1'!$J:$J,"GBU-39")+SUMIFS('Таблиця 1'!$K:$K,'Таблиця 1'!$B:$B,$A418,'Таблиця 1'!$I:$I,"F-16",'Таблиця 1'!$J:$J,"GBU-39")+SUMIFS('Таблиця 1'!$K:$K,'Таблиця 1'!$B:$B,$A418,'Таблиця 1'!$I:$I,"МіГ-29",'Таблиця 1'!$J:$J,"GBU-39")+SUMIFS('Таблиця 1'!$K:$K,'Таблиця 1'!$B:$B,$A418,'Таблиця 1'!$I:$I,"Су-25",'Таблиця 1'!$J:$J,"GBU-39")+SUMIFS('Таблиця 1'!$K:$K,'Таблиця 1'!$B:$B,$A418,'Таблиця 1'!$I:$I,"Су-27",'Таблиця 1'!$J:$J,"GBU-39"))</f>
        <v/>
      </c>
      <c r="K418">
        <f>IF($A418="","",SUMIFS('Таблиця 1'!$K:$K,'Таблиця 1'!$B:$B,$A418,'Таблиця 1'!$I:$I,"Mirage",'Таблиця 1'!$J:$J,"BLU-140")+SUMIFS('Таблиця 1'!$K:$K,'Таблиця 1'!$B:$B,$A418,'Таблиця 1'!$I:$I,"F-16",'Таблиця 1'!$J:$J,"BLU-140")+SUMIFS('Таблиця 1'!$K:$K,'Таблиця 1'!$B:$B,$A418,'Таблиця 1'!$I:$I,"МіГ-29",'Таблиця 1'!$J:$J,"BLU-140")+SUMIFS('Таблиця 1'!$K:$K,'Таблиця 1'!$B:$B,$A418,'Таблиця 1'!$I:$I,"Су-25",'Таблиця 1'!$J:$J,"BLU-140")+SUMIFS('Таблиця 1'!$K:$K,'Таблиця 1'!$B:$B,$A418,'Таблиця 1'!$I:$I,"Су-27",'Таблиця 1'!$J:$J,"BLU-140"))</f>
        <v/>
      </c>
      <c r="L418">
        <f>IF($A418="","",SUMIFS('Таблиця 1'!$K:$K,'Таблиця 1'!$B:$B,$A418,'Таблиця 1'!$I:$I,"Mirage",'Таблиця 1'!$J:$J,"GBU-65")+SUMIFS('Таблиця 1'!$K:$K,'Таблиця 1'!$B:$B,$A418,'Таблиця 1'!$I:$I,"F-16",'Таблиця 1'!$J:$J,"GBU-65")+SUMIFS('Таблиця 1'!$K:$K,'Таблиця 1'!$B:$B,$A418,'Таблиця 1'!$I:$I,"МіГ-29",'Таблиця 1'!$J:$J,"GBU-65")+SUMIFS('Таблиця 1'!$K:$K,'Таблиця 1'!$B:$B,$A418,'Таблиця 1'!$I:$I,"Су-25",'Таблиця 1'!$J:$J,"GBU-65")+SUMIFS('Таблиця 1'!$K:$K,'Таблиця 1'!$B:$B,$A418,'Таблиця 1'!$I:$I,"Су-27",'Таблиця 1'!$J:$J,"GBU-65"))</f>
        <v/>
      </c>
      <c r="M418">
        <f>IF($A418="","",SUMIFS('Таблиця 1'!$K:$K,'Таблиця 1'!$B:$B,$A418,'Таблиця 1'!$I:$I,"Mirage",'Таблиця 1'!$J:$J,"GBU-62")+SUMIFS('Таблиця 1'!$K:$K,'Таблиця 1'!$B:$B,$A418,'Таблиця 1'!$I:$I,"F-16",'Таблиця 1'!$J:$J,"GBU-62")+SUMIFS('Таблиця 1'!$K:$K,'Таблиця 1'!$B:$B,$A418,'Таблиця 1'!$I:$I,"МіГ-29",'Таблиця 1'!$J:$J,"GBU-62")+SUMIFS('Таблиця 1'!$K:$K,'Таблиця 1'!$B:$B,$A418,'Таблиця 1'!$I:$I,"Су-25",'Таблиця 1'!$J:$J,"GBU-62")+SUMIFS('Таблиця 1'!$K:$K,'Таблиця 1'!$B:$B,$A418,'Таблиця 1'!$I:$I,"Су-27",'Таблиця 1'!$J:$J,"GBU-62"))</f>
        <v/>
      </c>
      <c r="N418">
        <f>IF($A418="","",SUMIFS('Таблиця 1'!$K:$K,'Таблиця 1'!$B:$B,$A418,'Таблиця 1'!$I:$I,"Mirage",'Таблиця 1'!$J:$J,"GBU-64")+SUMIFS('Таблиця 1'!$K:$K,'Таблиця 1'!$B:$B,$A418,'Таблиця 1'!$I:$I,"F-16",'Таблиця 1'!$J:$J,"GBU-64")+SUMIFS('Таблиця 1'!$K:$K,'Таблиця 1'!$B:$B,$A418,'Таблиця 1'!$I:$I,"МіГ-29",'Таблиця 1'!$J:$J,"GBU-64")+SUMIFS('Таблиця 1'!$K:$K,'Таблиця 1'!$B:$B,$A418,'Таблиця 1'!$I:$I,"Су-25",'Таблиця 1'!$J:$J,"GBU-64")+SUMIFS('Таблиця 1'!$K:$K,'Таблиця 1'!$B:$B,$A418,'Таблиця 1'!$I:$I,"Су-27",'Таблиця 1'!$J:$J,"GBU-64"))</f>
        <v/>
      </c>
      <c r="O418">
        <f>IF($A418="","",SUMIFS('Таблиця 1'!$K:$K,'Таблиця 1'!$B:$B,$A418,'Таблиця 1'!$I:$I,"Mirage",'Таблиця 1'!$J:$J,"C-13")+SUMIFS('Таблиця 1'!$K:$K,'Таблиця 1'!$B:$B,$A418,'Таблиця 1'!$I:$I,"F-16",'Таблиця 1'!$J:$J,"C-13")+SUMIFS('Таблиця 1'!$K:$K,'Таблиця 1'!$B:$B,$A418,'Таблиця 1'!$I:$I,"МіГ-29",'Таблиця 1'!$J:$J,"C-13")+SUMIFS('Таблиця 1'!$K:$K,'Таблиця 1'!$B:$B,$A418,'Таблиця 1'!$I:$I,"Су-25",'Таблиця 1'!$J:$J,"C-13")+SUMIFS('Таблиця 1'!$K:$K,'Таблиця 1'!$B:$B,$A418,'Таблиця 1'!$I:$I,"Су-27",'Таблиця 1'!$J:$J,"C-13"))</f>
        <v/>
      </c>
      <c r="P418">
        <f>IF($A418="","",SUMIFS('Таблиця 1'!$K:$K,'Таблиця 1'!$B:$B,$A418,'Таблиця 1'!$I:$I,"Mirage",'Таблиця 1'!$J:$J,"MK-32")+SUMIFS('Таблиця 1'!$K:$K,'Таблиця 1'!$B:$B,$A418,'Таблиця 1'!$I:$I,"F-16",'Таблиця 1'!$J:$J,"MK-32")+SUMIFS('Таблиця 1'!$K:$K,'Таблиця 1'!$B:$B,$A418,'Таблиця 1'!$I:$I,"МіГ-29",'Таблиця 1'!$J:$J,"MK-32")+SUMIFS('Таблиця 1'!$K:$K,'Таблиця 1'!$B:$B,$A418,'Таблиця 1'!$I:$I,"Су-25",'Таблиця 1'!$J:$J,"MK-32")+SUMIFS('Таблиця 1'!$K:$K,'Таблиця 1'!$B:$B,$A418,'Таблиця 1'!$I:$I,"Су-27",'Таблиця 1'!$J:$J,"MK-32"))</f>
        <v/>
      </c>
      <c r="Q418">
        <f>IF($A418="","",SUMIFS('Таблиця 1'!$K:$K,'Таблиця 1'!$B:$B,$A418,'Таблиця 1'!$I:$I,"Mirage",'Таблиця 1'!$J:$J,"MK-24")+SUMIFS('Таблиця 1'!$K:$K,'Таблиця 1'!$B:$B,$A418,'Таблиця 1'!$I:$I,"F-16",'Таблиця 1'!$J:$J,"MK-24")+SUMIFS('Таблиця 1'!$K:$K,'Таблиця 1'!$B:$B,$A418,'Таблиця 1'!$I:$I,"МіГ-29",'Таблиця 1'!$J:$J,"MK-24")+SUMIFS('Таблиця 1'!$K:$K,'Таблиця 1'!$B:$B,$A418,'Таблиця 1'!$I:$I,"Су-25",'Таблиця 1'!$J:$J,"MK-24")+SUMIFS('Таблиця 1'!$K:$K,'Таблиця 1'!$B:$B,$A418,'Таблиця 1'!$I:$I,"Су-27",'Таблиця 1'!$J:$J,"MK-24"))</f>
        <v/>
      </c>
      <c r="R418">
        <f>IF($A418="","",COUNTIFS('Таблиця 1'!$B:$B,$A418,'Таблиця 1'!$I:$I,"Mirage",'Таблиця 1'!$L:$L,"Уражено")+COUNTIFS('Таблиця 1'!$B:$B,$A418,'Таблиця 1'!$I:$I,"F-16",'Таблиця 1'!$L:$L,"Уражено")+COUNTIFS('Таблиця 1'!$B:$B,$A418,'Таблиця 1'!$I:$I,"МіГ-29",'Таблиця 1'!$L:$L,"Уражено")+COUNTIFS('Таблиця 1'!$B:$B,$A418,'Таблиця 1'!$I:$I,"Су-25",'Таблиця 1'!$L:$L,"Уражено")+COUNTIFS('Таблиця 1'!$B:$B,$A418,'Таблиця 1'!$I:$I,"Су-27",'Таблиця 1'!$L:$L,"Уражено"))</f>
        <v/>
      </c>
      <c r="S418">
        <f>IF($A418="","",COUNTIFS('Таблиця 1'!$B:$B,$A418,'Таблиця 1'!$I:$I,"Mirage",'Таблиця 1'!$L:$L,"НЕ уражено")+COUNTIFS('Таблиця 1'!$B:$B,$A418,'Таблиця 1'!$I:$I,"F-16",'Таблиця 1'!$L:$L,"НЕ уражено")+COUNTIFS('Таблиця 1'!$B:$B,$A418,'Таблиця 1'!$I:$I,"МіГ-29",'Таблиця 1'!$L:$L,"НЕ уражено")+COUNTIFS('Таблиця 1'!$B:$B,$A418,'Таблиця 1'!$I:$I,"Су-25",'Таблиця 1'!$L:$L,"НЕ уражено")+COUNTIFS('Таблиця 1'!$B:$B,$A418,'Таблиця 1'!$I:$I,"Су-27",'Таблиця 1'!$L:$L,"НЕ уражено"))</f>
        <v/>
      </c>
      <c r="T418">
        <f>IF($A418="","",COUNTIFS('Таблиця 1'!$B:$B,$A418,'Таблиця 1'!$I:$I,"Mirage",'Таблиця 1'!$L:$L,"Дорозвідується")+COUNTIFS('Таблиця 1'!$B:$B,$A418,'Таблиця 1'!$I:$I,"F-16",'Таблиця 1'!$L:$L,"Дорозвідується")+COUNTIFS('Таблиця 1'!$B:$B,$A418,'Таблиця 1'!$I:$I,"МіГ-29",'Таблиця 1'!$L:$L,"Дорозвідується")+COUNTIFS('Таблиця 1'!$B:$B,$A418,'Таблиця 1'!$I:$I,"Су-25",'Таблиця 1'!$L:$L,"Дорозвідується")+COUNTIFS('Таблиця 1'!$B:$B,$A418,'Таблиця 1'!$I:$I,"Су-27",'Таблиця 1'!$L:$L,"Дорозвідується"))</f>
        <v/>
      </c>
    </row>
    <row r="419">
      <c r="A419" s="273">
        <f>IF(A418="","",IF(A418+1&gt;MAX('Таблиця 1'!$B:$B),"",A418+1))</f>
        <v/>
      </c>
      <c r="B419">
        <f>IF($A419="","",COUNTIFS('Таблиця 1'!$B:$B,$A419,'Таблиця 1'!$I:$I,"Mirage")+COUNTIFS('Таблиця 1'!$B:$B,$A419,'Таблиця 1'!$I:$I,"F-16")+COUNTIFS('Таблиця 1'!$B:$B,$A419,'Таблиця 1'!$I:$I,"МіГ-29")+COUNTIFS('Таблиця 1'!$B:$B,$A419,'Таблиця 1'!$I:$I,"Су-25")+COUNTIFS('Таблиця 1'!$B:$B,$A419,'Таблиця 1'!$I:$I,"Су-27"))</f>
        <v/>
      </c>
      <c r="C419">
        <f>IF($A419="","",COUNTIFS('Таблиця 1'!$B:$B,$A419,'Таблиця 1'!$I:$I,"Mirage"))</f>
        <v/>
      </c>
      <c r="D419">
        <f>IF($A419="","",COUNTIFS('Таблиця 1'!$B:$B,$A419,'Таблиця 1'!$I:$I,"F-16"))</f>
        <v/>
      </c>
      <c r="E419">
        <f>IF($A419="","",COUNTIFS('Таблиця 1'!$B:$B,$A419,'Таблиця 1'!$I:$I,"МіГ-29"))</f>
        <v/>
      </c>
      <c r="F419">
        <f>IF($A419="","",COUNTIFS('Таблиця 1'!$B:$B,$A419,'Таблиця 1'!$I:$I,"Су-25"))</f>
        <v/>
      </c>
      <c r="G419">
        <f>IF($A419="","",COUNTIFS('Таблиця 1'!$B:$B,$A419,'Таблиця 1'!$I:$I,"Су-27"))</f>
        <v/>
      </c>
      <c r="H419">
        <f>IF($A419="","",SUMIFS('Таблиця 1'!$K:$K,'Таблиця 1'!$B:$B,$A419,'Таблиця 1'!$I:$I,"Mirage",'Таблиця 1'!$J:$J,"AGM-88")+SUMIFS('Таблиця 1'!$K:$K,'Таблиця 1'!$B:$B,$A419,'Таблиця 1'!$I:$I,"F-16",'Таблиця 1'!$J:$J,"AGM-88")+SUMIFS('Таблиця 1'!$K:$K,'Таблиця 1'!$B:$B,$A419,'Таблиця 1'!$I:$I,"МіГ-29",'Таблиця 1'!$J:$J,"AGM-88")+SUMIFS('Таблиця 1'!$K:$K,'Таблиця 1'!$B:$B,$A419,'Таблиця 1'!$I:$I,"Су-25",'Таблиця 1'!$J:$J,"AGM-88")+SUMIFS('Таблиця 1'!$K:$K,'Таблиця 1'!$B:$B,$A419,'Таблиця 1'!$I:$I,"Су-27",'Таблиця 1'!$J:$J,"AGM-88"))</f>
        <v/>
      </c>
      <c r="I419">
        <f>IF($A419="","",SUMIFS('Таблиця 1'!$K:$K,'Таблиця 1'!$B:$B,$A419,'Таблиця 1'!$I:$I,"Mirage",'Таблиця 1'!$J:$J,"AASM-250")+SUMIFS('Таблиця 1'!$K:$K,'Таблиця 1'!$B:$B,$A419,'Таблиця 1'!$I:$I,"F-16",'Таблиця 1'!$J:$J,"AASM-250")+SUMIFS('Таблиця 1'!$K:$K,'Таблиця 1'!$B:$B,$A419,'Таблиця 1'!$I:$I,"МіГ-29",'Таблиця 1'!$J:$J,"AASM-250")+SUMIFS('Таблиця 1'!$K:$K,'Таблиця 1'!$B:$B,$A419,'Таблиця 1'!$I:$I,"Су-25",'Таблиця 1'!$J:$J,"AASM-250")+SUMIFS('Таблиця 1'!$K:$K,'Таблиця 1'!$B:$B,$A419,'Таблиця 1'!$I:$I,"Су-27",'Таблиця 1'!$J:$J,"AASM-250"))</f>
        <v/>
      </c>
      <c r="J419">
        <f>IF($A419="","",SUMIFS('Таблиця 1'!$K:$K,'Таблиця 1'!$B:$B,$A419,'Таблиця 1'!$I:$I,"Mirage",'Таблиця 1'!$J:$J,"GBU-39")+SUMIFS('Таблиця 1'!$K:$K,'Таблиця 1'!$B:$B,$A419,'Таблиця 1'!$I:$I,"F-16",'Таблиця 1'!$J:$J,"GBU-39")+SUMIFS('Таблиця 1'!$K:$K,'Таблиця 1'!$B:$B,$A419,'Таблиця 1'!$I:$I,"МіГ-29",'Таблиця 1'!$J:$J,"GBU-39")+SUMIFS('Таблиця 1'!$K:$K,'Таблиця 1'!$B:$B,$A419,'Таблиця 1'!$I:$I,"Су-25",'Таблиця 1'!$J:$J,"GBU-39")+SUMIFS('Таблиця 1'!$K:$K,'Таблиця 1'!$B:$B,$A419,'Таблиця 1'!$I:$I,"Су-27",'Таблиця 1'!$J:$J,"GBU-39"))</f>
        <v/>
      </c>
      <c r="K419">
        <f>IF($A419="","",SUMIFS('Таблиця 1'!$K:$K,'Таблиця 1'!$B:$B,$A419,'Таблиця 1'!$I:$I,"Mirage",'Таблиця 1'!$J:$J,"BLU-140")+SUMIFS('Таблиця 1'!$K:$K,'Таблиця 1'!$B:$B,$A419,'Таблиця 1'!$I:$I,"F-16",'Таблиця 1'!$J:$J,"BLU-140")+SUMIFS('Таблиця 1'!$K:$K,'Таблиця 1'!$B:$B,$A419,'Таблиця 1'!$I:$I,"МіГ-29",'Таблиця 1'!$J:$J,"BLU-140")+SUMIFS('Таблиця 1'!$K:$K,'Таблиця 1'!$B:$B,$A419,'Таблиця 1'!$I:$I,"Су-25",'Таблиця 1'!$J:$J,"BLU-140")+SUMIFS('Таблиця 1'!$K:$K,'Таблиця 1'!$B:$B,$A419,'Таблиця 1'!$I:$I,"Су-27",'Таблиця 1'!$J:$J,"BLU-140"))</f>
        <v/>
      </c>
      <c r="L419">
        <f>IF($A419="","",SUMIFS('Таблиця 1'!$K:$K,'Таблиця 1'!$B:$B,$A419,'Таблиця 1'!$I:$I,"Mirage",'Таблиця 1'!$J:$J,"GBU-65")+SUMIFS('Таблиця 1'!$K:$K,'Таблиця 1'!$B:$B,$A419,'Таблиця 1'!$I:$I,"F-16",'Таблиця 1'!$J:$J,"GBU-65")+SUMIFS('Таблиця 1'!$K:$K,'Таблиця 1'!$B:$B,$A419,'Таблиця 1'!$I:$I,"МіГ-29",'Таблиця 1'!$J:$J,"GBU-65")+SUMIFS('Таблиця 1'!$K:$K,'Таблиця 1'!$B:$B,$A419,'Таблиця 1'!$I:$I,"Су-25",'Таблиця 1'!$J:$J,"GBU-65")+SUMIFS('Таблиця 1'!$K:$K,'Таблиця 1'!$B:$B,$A419,'Таблиця 1'!$I:$I,"Су-27",'Таблиця 1'!$J:$J,"GBU-65"))</f>
        <v/>
      </c>
      <c r="M419">
        <f>IF($A419="","",SUMIFS('Таблиця 1'!$K:$K,'Таблиця 1'!$B:$B,$A419,'Таблиця 1'!$I:$I,"Mirage",'Таблиця 1'!$J:$J,"GBU-62")+SUMIFS('Таблиця 1'!$K:$K,'Таблиця 1'!$B:$B,$A419,'Таблиця 1'!$I:$I,"F-16",'Таблиця 1'!$J:$J,"GBU-62")+SUMIFS('Таблиця 1'!$K:$K,'Таблиця 1'!$B:$B,$A419,'Таблиця 1'!$I:$I,"МіГ-29",'Таблиця 1'!$J:$J,"GBU-62")+SUMIFS('Таблиця 1'!$K:$K,'Таблиця 1'!$B:$B,$A419,'Таблиця 1'!$I:$I,"Су-25",'Таблиця 1'!$J:$J,"GBU-62")+SUMIFS('Таблиця 1'!$K:$K,'Таблиця 1'!$B:$B,$A419,'Таблиця 1'!$I:$I,"Су-27",'Таблиця 1'!$J:$J,"GBU-62"))</f>
        <v/>
      </c>
      <c r="N419">
        <f>IF($A419="","",SUMIFS('Таблиця 1'!$K:$K,'Таблиця 1'!$B:$B,$A419,'Таблиця 1'!$I:$I,"Mirage",'Таблиця 1'!$J:$J,"GBU-64")+SUMIFS('Таблиця 1'!$K:$K,'Таблиця 1'!$B:$B,$A419,'Таблиця 1'!$I:$I,"F-16",'Таблиця 1'!$J:$J,"GBU-64")+SUMIFS('Таблиця 1'!$K:$K,'Таблиця 1'!$B:$B,$A419,'Таблиця 1'!$I:$I,"МіГ-29",'Таблиця 1'!$J:$J,"GBU-64")+SUMIFS('Таблиця 1'!$K:$K,'Таблиця 1'!$B:$B,$A419,'Таблиця 1'!$I:$I,"Су-25",'Таблиця 1'!$J:$J,"GBU-64")+SUMIFS('Таблиця 1'!$K:$K,'Таблиця 1'!$B:$B,$A419,'Таблиця 1'!$I:$I,"Су-27",'Таблиця 1'!$J:$J,"GBU-64"))</f>
        <v/>
      </c>
      <c r="O419">
        <f>IF($A419="","",SUMIFS('Таблиця 1'!$K:$K,'Таблиця 1'!$B:$B,$A419,'Таблиця 1'!$I:$I,"Mirage",'Таблиця 1'!$J:$J,"C-13")+SUMIFS('Таблиця 1'!$K:$K,'Таблиця 1'!$B:$B,$A419,'Таблиця 1'!$I:$I,"F-16",'Таблиця 1'!$J:$J,"C-13")+SUMIFS('Таблиця 1'!$K:$K,'Таблиця 1'!$B:$B,$A419,'Таблиця 1'!$I:$I,"МіГ-29",'Таблиця 1'!$J:$J,"C-13")+SUMIFS('Таблиця 1'!$K:$K,'Таблиця 1'!$B:$B,$A419,'Таблиця 1'!$I:$I,"Су-25",'Таблиця 1'!$J:$J,"C-13")+SUMIFS('Таблиця 1'!$K:$K,'Таблиця 1'!$B:$B,$A419,'Таблиця 1'!$I:$I,"Су-27",'Таблиця 1'!$J:$J,"C-13"))</f>
        <v/>
      </c>
      <c r="P419">
        <f>IF($A419="","",SUMIFS('Таблиця 1'!$K:$K,'Таблиця 1'!$B:$B,$A419,'Таблиця 1'!$I:$I,"Mirage",'Таблиця 1'!$J:$J,"MK-32")+SUMIFS('Таблиця 1'!$K:$K,'Таблиця 1'!$B:$B,$A419,'Таблиця 1'!$I:$I,"F-16",'Таблиця 1'!$J:$J,"MK-32")+SUMIFS('Таблиця 1'!$K:$K,'Таблиця 1'!$B:$B,$A419,'Таблиця 1'!$I:$I,"МіГ-29",'Таблиця 1'!$J:$J,"MK-32")+SUMIFS('Таблиця 1'!$K:$K,'Таблиця 1'!$B:$B,$A419,'Таблиця 1'!$I:$I,"Су-25",'Таблиця 1'!$J:$J,"MK-32")+SUMIFS('Таблиця 1'!$K:$K,'Таблиця 1'!$B:$B,$A419,'Таблиця 1'!$I:$I,"Су-27",'Таблиця 1'!$J:$J,"MK-32"))</f>
        <v/>
      </c>
      <c r="Q419">
        <f>IF($A419="","",SUMIFS('Таблиця 1'!$K:$K,'Таблиця 1'!$B:$B,$A419,'Таблиця 1'!$I:$I,"Mirage",'Таблиця 1'!$J:$J,"MK-24")+SUMIFS('Таблиця 1'!$K:$K,'Таблиця 1'!$B:$B,$A419,'Таблиця 1'!$I:$I,"F-16",'Таблиця 1'!$J:$J,"MK-24")+SUMIFS('Таблиця 1'!$K:$K,'Таблиця 1'!$B:$B,$A419,'Таблиця 1'!$I:$I,"МіГ-29",'Таблиця 1'!$J:$J,"MK-24")+SUMIFS('Таблиця 1'!$K:$K,'Таблиця 1'!$B:$B,$A419,'Таблиця 1'!$I:$I,"Су-25",'Таблиця 1'!$J:$J,"MK-24")+SUMIFS('Таблиця 1'!$K:$K,'Таблиця 1'!$B:$B,$A419,'Таблиця 1'!$I:$I,"Су-27",'Таблиця 1'!$J:$J,"MK-24"))</f>
        <v/>
      </c>
      <c r="R419">
        <f>IF($A419="","",COUNTIFS('Таблиця 1'!$B:$B,$A419,'Таблиця 1'!$I:$I,"Mirage",'Таблиця 1'!$L:$L,"Уражено")+COUNTIFS('Таблиця 1'!$B:$B,$A419,'Таблиця 1'!$I:$I,"F-16",'Таблиця 1'!$L:$L,"Уражено")+COUNTIFS('Таблиця 1'!$B:$B,$A419,'Таблиця 1'!$I:$I,"МіГ-29",'Таблиця 1'!$L:$L,"Уражено")+COUNTIFS('Таблиця 1'!$B:$B,$A419,'Таблиця 1'!$I:$I,"Су-25",'Таблиця 1'!$L:$L,"Уражено")+COUNTIFS('Таблиця 1'!$B:$B,$A419,'Таблиця 1'!$I:$I,"Су-27",'Таблиця 1'!$L:$L,"Уражено"))</f>
        <v/>
      </c>
      <c r="S419">
        <f>IF($A419="","",COUNTIFS('Таблиця 1'!$B:$B,$A419,'Таблиця 1'!$I:$I,"Mirage",'Таблиця 1'!$L:$L,"НЕ уражено")+COUNTIFS('Таблиця 1'!$B:$B,$A419,'Таблиця 1'!$I:$I,"F-16",'Таблиця 1'!$L:$L,"НЕ уражено")+COUNTIFS('Таблиця 1'!$B:$B,$A419,'Таблиця 1'!$I:$I,"МіГ-29",'Таблиця 1'!$L:$L,"НЕ уражено")+COUNTIFS('Таблиця 1'!$B:$B,$A419,'Таблиця 1'!$I:$I,"Су-25",'Таблиця 1'!$L:$L,"НЕ уражено")+COUNTIFS('Таблиця 1'!$B:$B,$A419,'Таблиця 1'!$I:$I,"Су-27",'Таблиця 1'!$L:$L,"НЕ уражено"))</f>
        <v/>
      </c>
      <c r="T419">
        <f>IF($A419="","",COUNTIFS('Таблиця 1'!$B:$B,$A419,'Таблиця 1'!$I:$I,"Mirage",'Таблиця 1'!$L:$L,"Дорозвідується")+COUNTIFS('Таблиця 1'!$B:$B,$A419,'Таблиця 1'!$I:$I,"F-16",'Таблиця 1'!$L:$L,"Дорозвідується")+COUNTIFS('Таблиця 1'!$B:$B,$A419,'Таблиця 1'!$I:$I,"МіГ-29",'Таблиця 1'!$L:$L,"Дорозвідується")+COUNTIFS('Таблиця 1'!$B:$B,$A419,'Таблиця 1'!$I:$I,"Су-25",'Таблиця 1'!$L:$L,"Дорозвідується")+COUNTIFS('Таблиця 1'!$B:$B,$A419,'Таблиця 1'!$I:$I,"Су-27",'Таблиця 1'!$L:$L,"Дорозвідується"))</f>
        <v/>
      </c>
    </row>
    <row r="420">
      <c r="A420" s="273">
        <f>IF(A419="","",IF(A419+1&gt;MAX('Таблиця 1'!$B:$B),"",A419+1))</f>
        <v/>
      </c>
      <c r="B420">
        <f>IF($A420="","",COUNTIFS('Таблиця 1'!$B:$B,$A420,'Таблиця 1'!$I:$I,"Mirage")+COUNTIFS('Таблиця 1'!$B:$B,$A420,'Таблиця 1'!$I:$I,"F-16")+COUNTIFS('Таблиця 1'!$B:$B,$A420,'Таблиця 1'!$I:$I,"МіГ-29")+COUNTIFS('Таблиця 1'!$B:$B,$A420,'Таблиця 1'!$I:$I,"Су-25")+COUNTIFS('Таблиця 1'!$B:$B,$A420,'Таблиця 1'!$I:$I,"Су-27"))</f>
        <v/>
      </c>
      <c r="C420">
        <f>IF($A420="","",COUNTIFS('Таблиця 1'!$B:$B,$A420,'Таблиця 1'!$I:$I,"Mirage"))</f>
        <v/>
      </c>
      <c r="D420">
        <f>IF($A420="","",COUNTIFS('Таблиця 1'!$B:$B,$A420,'Таблиця 1'!$I:$I,"F-16"))</f>
        <v/>
      </c>
      <c r="E420">
        <f>IF($A420="","",COUNTIFS('Таблиця 1'!$B:$B,$A420,'Таблиця 1'!$I:$I,"МіГ-29"))</f>
        <v/>
      </c>
      <c r="F420">
        <f>IF($A420="","",COUNTIFS('Таблиця 1'!$B:$B,$A420,'Таблиця 1'!$I:$I,"Су-25"))</f>
        <v/>
      </c>
      <c r="G420">
        <f>IF($A420="","",COUNTIFS('Таблиця 1'!$B:$B,$A420,'Таблиця 1'!$I:$I,"Су-27"))</f>
        <v/>
      </c>
      <c r="H420">
        <f>IF($A420="","",SUMIFS('Таблиця 1'!$K:$K,'Таблиця 1'!$B:$B,$A420,'Таблиця 1'!$I:$I,"Mirage",'Таблиця 1'!$J:$J,"AGM-88")+SUMIFS('Таблиця 1'!$K:$K,'Таблиця 1'!$B:$B,$A420,'Таблиця 1'!$I:$I,"F-16",'Таблиця 1'!$J:$J,"AGM-88")+SUMIFS('Таблиця 1'!$K:$K,'Таблиця 1'!$B:$B,$A420,'Таблиця 1'!$I:$I,"МіГ-29",'Таблиця 1'!$J:$J,"AGM-88")+SUMIFS('Таблиця 1'!$K:$K,'Таблиця 1'!$B:$B,$A420,'Таблиця 1'!$I:$I,"Су-25",'Таблиця 1'!$J:$J,"AGM-88")+SUMIFS('Таблиця 1'!$K:$K,'Таблиця 1'!$B:$B,$A420,'Таблиця 1'!$I:$I,"Су-27",'Таблиця 1'!$J:$J,"AGM-88"))</f>
        <v/>
      </c>
      <c r="I420">
        <f>IF($A420="","",SUMIFS('Таблиця 1'!$K:$K,'Таблиця 1'!$B:$B,$A420,'Таблиця 1'!$I:$I,"Mirage",'Таблиця 1'!$J:$J,"AASM-250")+SUMIFS('Таблиця 1'!$K:$K,'Таблиця 1'!$B:$B,$A420,'Таблиця 1'!$I:$I,"F-16",'Таблиця 1'!$J:$J,"AASM-250")+SUMIFS('Таблиця 1'!$K:$K,'Таблиця 1'!$B:$B,$A420,'Таблиця 1'!$I:$I,"МіГ-29",'Таблиця 1'!$J:$J,"AASM-250")+SUMIFS('Таблиця 1'!$K:$K,'Таблиця 1'!$B:$B,$A420,'Таблиця 1'!$I:$I,"Су-25",'Таблиця 1'!$J:$J,"AASM-250")+SUMIFS('Таблиця 1'!$K:$K,'Таблиця 1'!$B:$B,$A420,'Таблиця 1'!$I:$I,"Су-27",'Таблиця 1'!$J:$J,"AASM-250"))</f>
        <v/>
      </c>
      <c r="J420">
        <f>IF($A420="","",SUMIFS('Таблиця 1'!$K:$K,'Таблиця 1'!$B:$B,$A420,'Таблиця 1'!$I:$I,"Mirage",'Таблиця 1'!$J:$J,"GBU-39")+SUMIFS('Таблиця 1'!$K:$K,'Таблиця 1'!$B:$B,$A420,'Таблиця 1'!$I:$I,"F-16",'Таблиця 1'!$J:$J,"GBU-39")+SUMIFS('Таблиця 1'!$K:$K,'Таблиця 1'!$B:$B,$A420,'Таблиця 1'!$I:$I,"МіГ-29",'Таблиця 1'!$J:$J,"GBU-39")+SUMIFS('Таблиця 1'!$K:$K,'Таблиця 1'!$B:$B,$A420,'Таблиця 1'!$I:$I,"Су-25",'Таблиця 1'!$J:$J,"GBU-39")+SUMIFS('Таблиця 1'!$K:$K,'Таблиця 1'!$B:$B,$A420,'Таблиця 1'!$I:$I,"Су-27",'Таблиця 1'!$J:$J,"GBU-39"))</f>
        <v/>
      </c>
      <c r="K420">
        <f>IF($A420="","",SUMIFS('Таблиця 1'!$K:$K,'Таблиця 1'!$B:$B,$A420,'Таблиця 1'!$I:$I,"Mirage",'Таблиця 1'!$J:$J,"BLU-140")+SUMIFS('Таблиця 1'!$K:$K,'Таблиця 1'!$B:$B,$A420,'Таблиця 1'!$I:$I,"F-16",'Таблиця 1'!$J:$J,"BLU-140")+SUMIFS('Таблиця 1'!$K:$K,'Таблиця 1'!$B:$B,$A420,'Таблиця 1'!$I:$I,"МіГ-29",'Таблиця 1'!$J:$J,"BLU-140")+SUMIFS('Таблиця 1'!$K:$K,'Таблиця 1'!$B:$B,$A420,'Таблиця 1'!$I:$I,"Су-25",'Таблиця 1'!$J:$J,"BLU-140")+SUMIFS('Таблиця 1'!$K:$K,'Таблиця 1'!$B:$B,$A420,'Таблиця 1'!$I:$I,"Су-27",'Таблиця 1'!$J:$J,"BLU-140"))</f>
        <v/>
      </c>
      <c r="L420">
        <f>IF($A420="","",SUMIFS('Таблиця 1'!$K:$K,'Таблиця 1'!$B:$B,$A420,'Таблиця 1'!$I:$I,"Mirage",'Таблиця 1'!$J:$J,"GBU-65")+SUMIFS('Таблиця 1'!$K:$K,'Таблиця 1'!$B:$B,$A420,'Таблиця 1'!$I:$I,"F-16",'Таблиця 1'!$J:$J,"GBU-65")+SUMIFS('Таблиця 1'!$K:$K,'Таблиця 1'!$B:$B,$A420,'Таблиця 1'!$I:$I,"МіГ-29",'Таблиця 1'!$J:$J,"GBU-65")+SUMIFS('Таблиця 1'!$K:$K,'Таблиця 1'!$B:$B,$A420,'Таблиця 1'!$I:$I,"Су-25",'Таблиця 1'!$J:$J,"GBU-65")+SUMIFS('Таблиця 1'!$K:$K,'Таблиця 1'!$B:$B,$A420,'Таблиця 1'!$I:$I,"Су-27",'Таблиця 1'!$J:$J,"GBU-65"))</f>
        <v/>
      </c>
      <c r="M420">
        <f>IF($A420="","",SUMIFS('Таблиця 1'!$K:$K,'Таблиця 1'!$B:$B,$A420,'Таблиця 1'!$I:$I,"Mirage",'Таблиця 1'!$J:$J,"GBU-62")+SUMIFS('Таблиця 1'!$K:$K,'Таблиця 1'!$B:$B,$A420,'Таблиця 1'!$I:$I,"F-16",'Таблиця 1'!$J:$J,"GBU-62")+SUMIFS('Таблиця 1'!$K:$K,'Таблиця 1'!$B:$B,$A420,'Таблиця 1'!$I:$I,"МіГ-29",'Таблиця 1'!$J:$J,"GBU-62")+SUMIFS('Таблиця 1'!$K:$K,'Таблиця 1'!$B:$B,$A420,'Таблиця 1'!$I:$I,"Су-25",'Таблиця 1'!$J:$J,"GBU-62")+SUMIFS('Таблиця 1'!$K:$K,'Таблиця 1'!$B:$B,$A420,'Таблиця 1'!$I:$I,"Су-27",'Таблиця 1'!$J:$J,"GBU-62"))</f>
        <v/>
      </c>
      <c r="N420">
        <f>IF($A420="","",SUMIFS('Таблиця 1'!$K:$K,'Таблиця 1'!$B:$B,$A420,'Таблиця 1'!$I:$I,"Mirage",'Таблиця 1'!$J:$J,"GBU-64")+SUMIFS('Таблиця 1'!$K:$K,'Таблиця 1'!$B:$B,$A420,'Таблиця 1'!$I:$I,"F-16",'Таблиця 1'!$J:$J,"GBU-64")+SUMIFS('Таблиця 1'!$K:$K,'Таблиця 1'!$B:$B,$A420,'Таблиця 1'!$I:$I,"МіГ-29",'Таблиця 1'!$J:$J,"GBU-64")+SUMIFS('Таблиця 1'!$K:$K,'Таблиця 1'!$B:$B,$A420,'Таблиця 1'!$I:$I,"Су-25",'Таблиця 1'!$J:$J,"GBU-64")+SUMIFS('Таблиця 1'!$K:$K,'Таблиця 1'!$B:$B,$A420,'Таблиця 1'!$I:$I,"Су-27",'Таблиця 1'!$J:$J,"GBU-64"))</f>
        <v/>
      </c>
      <c r="O420">
        <f>IF($A420="","",SUMIFS('Таблиця 1'!$K:$K,'Таблиця 1'!$B:$B,$A420,'Таблиця 1'!$I:$I,"Mirage",'Таблиця 1'!$J:$J,"C-13")+SUMIFS('Таблиця 1'!$K:$K,'Таблиця 1'!$B:$B,$A420,'Таблиця 1'!$I:$I,"F-16",'Таблиця 1'!$J:$J,"C-13")+SUMIFS('Таблиця 1'!$K:$K,'Таблиця 1'!$B:$B,$A420,'Таблиця 1'!$I:$I,"МіГ-29",'Таблиця 1'!$J:$J,"C-13")+SUMIFS('Таблиця 1'!$K:$K,'Таблиця 1'!$B:$B,$A420,'Таблиця 1'!$I:$I,"Су-25",'Таблиця 1'!$J:$J,"C-13")+SUMIFS('Таблиця 1'!$K:$K,'Таблиця 1'!$B:$B,$A420,'Таблиця 1'!$I:$I,"Су-27",'Таблиця 1'!$J:$J,"C-13"))</f>
        <v/>
      </c>
      <c r="P420">
        <f>IF($A420="","",SUMIFS('Таблиця 1'!$K:$K,'Таблиця 1'!$B:$B,$A420,'Таблиця 1'!$I:$I,"Mirage",'Таблиця 1'!$J:$J,"MK-32")+SUMIFS('Таблиця 1'!$K:$K,'Таблиця 1'!$B:$B,$A420,'Таблиця 1'!$I:$I,"F-16",'Таблиця 1'!$J:$J,"MK-32")+SUMIFS('Таблиця 1'!$K:$K,'Таблиця 1'!$B:$B,$A420,'Таблиця 1'!$I:$I,"МіГ-29",'Таблиця 1'!$J:$J,"MK-32")+SUMIFS('Таблиця 1'!$K:$K,'Таблиця 1'!$B:$B,$A420,'Таблиця 1'!$I:$I,"Су-25",'Таблиця 1'!$J:$J,"MK-32")+SUMIFS('Таблиця 1'!$K:$K,'Таблиця 1'!$B:$B,$A420,'Таблиця 1'!$I:$I,"Су-27",'Таблиця 1'!$J:$J,"MK-32"))</f>
        <v/>
      </c>
      <c r="Q420">
        <f>IF($A420="","",SUMIFS('Таблиця 1'!$K:$K,'Таблиця 1'!$B:$B,$A420,'Таблиця 1'!$I:$I,"Mirage",'Таблиця 1'!$J:$J,"MK-24")+SUMIFS('Таблиця 1'!$K:$K,'Таблиця 1'!$B:$B,$A420,'Таблиця 1'!$I:$I,"F-16",'Таблиця 1'!$J:$J,"MK-24")+SUMIFS('Таблиця 1'!$K:$K,'Таблиця 1'!$B:$B,$A420,'Таблиця 1'!$I:$I,"МіГ-29",'Таблиця 1'!$J:$J,"MK-24")+SUMIFS('Таблиця 1'!$K:$K,'Таблиця 1'!$B:$B,$A420,'Таблиця 1'!$I:$I,"Су-25",'Таблиця 1'!$J:$J,"MK-24")+SUMIFS('Таблиця 1'!$K:$K,'Таблиця 1'!$B:$B,$A420,'Таблиця 1'!$I:$I,"Су-27",'Таблиця 1'!$J:$J,"MK-24"))</f>
        <v/>
      </c>
      <c r="R420">
        <f>IF($A420="","",COUNTIFS('Таблиця 1'!$B:$B,$A420,'Таблиця 1'!$I:$I,"Mirage",'Таблиця 1'!$L:$L,"Уражено")+COUNTIFS('Таблиця 1'!$B:$B,$A420,'Таблиця 1'!$I:$I,"F-16",'Таблиця 1'!$L:$L,"Уражено")+COUNTIFS('Таблиця 1'!$B:$B,$A420,'Таблиця 1'!$I:$I,"МіГ-29",'Таблиця 1'!$L:$L,"Уражено")+COUNTIFS('Таблиця 1'!$B:$B,$A420,'Таблиця 1'!$I:$I,"Су-25",'Таблиця 1'!$L:$L,"Уражено")+COUNTIFS('Таблиця 1'!$B:$B,$A420,'Таблиця 1'!$I:$I,"Су-27",'Таблиця 1'!$L:$L,"Уражено"))</f>
        <v/>
      </c>
      <c r="S420">
        <f>IF($A420="","",COUNTIFS('Таблиця 1'!$B:$B,$A420,'Таблиця 1'!$I:$I,"Mirage",'Таблиця 1'!$L:$L,"НЕ уражено")+COUNTIFS('Таблиця 1'!$B:$B,$A420,'Таблиця 1'!$I:$I,"F-16",'Таблиця 1'!$L:$L,"НЕ уражено")+COUNTIFS('Таблиця 1'!$B:$B,$A420,'Таблиця 1'!$I:$I,"МіГ-29",'Таблиця 1'!$L:$L,"НЕ уражено")+COUNTIFS('Таблиця 1'!$B:$B,$A420,'Таблиця 1'!$I:$I,"Су-25",'Таблиця 1'!$L:$L,"НЕ уражено")+COUNTIFS('Таблиця 1'!$B:$B,$A420,'Таблиця 1'!$I:$I,"Су-27",'Таблиця 1'!$L:$L,"НЕ уражено"))</f>
        <v/>
      </c>
      <c r="T420">
        <f>IF($A420="","",COUNTIFS('Таблиця 1'!$B:$B,$A420,'Таблиця 1'!$I:$I,"Mirage",'Таблиця 1'!$L:$L,"Дорозвідується")+COUNTIFS('Таблиця 1'!$B:$B,$A420,'Таблиця 1'!$I:$I,"F-16",'Таблиця 1'!$L:$L,"Дорозвідується")+COUNTIFS('Таблиця 1'!$B:$B,$A420,'Таблиця 1'!$I:$I,"МіГ-29",'Таблиця 1'!$L:$L,"Дорозвідується")+COUNTIFS('Таблиця 1'!$B:$B,$A420,'Таблиця 1'!$I:$I,"Су-25",'Таблиця 1'!$L:$L,"Дорозвідується")+COUNTIFS('Таблиця 1'!$B:$B,$A420,'Таблиця 1'!$I:$I,"Су-27",'Таблиця 1'!$L:$L,"Дорозвідується"))</f>
        <v/>
      </c>
    </row>
    <row r="421">
      <c r="A421" s="273">
        <f>IF(A420="","",IF(A420+1&gt;MAX('Таблиця 1'!$B:$B),"",A420+1))</f>
        <v/>
      </c>
      <c r="B421">
        <f>IF($A421="","",COUNTIFS('Таблиця 1'!$B:$B,$A421,'Таблиця 1'!$I:$I,"Mirage")+COUNTIFS('Таблиця 1'!$B:$B,$A421,'Таблиця 1'!$I:$I,"F-16")+COUNTIFS('Таблиця 1'!$B:$B,$A421,'Таблиця 1'!$I:$I,"МіГ-29")+COUNTIFS('Таблиця 1'!$B:$B,$A421,'Таблиця 1'!$I:$I,"Су-25")+COUNTIFS('Таблиця 1'!$B:$B,$A421,'Таблиця 1'!$I:$I,"Су-27"))</f>
        <v/>
      </c>
      <c r="C421">
        <f>IF($A421="","",COUNTIFS('Таблиця 1'!$B:$B,$A421,'Таблиця 1'!$I:$I,"Mirage"))</f>
        <v/>
      </c>
      <c r="D421">
        <f>IF($A421="","",COUNTIFS('Таблиця 1'!$B:$B,$A421,'Таблиця 1'!$I:$I,"F-16"))</f>
        <v/>
      </c>
      <c r="E421">
        <f>IF($A421="","",COUNTIFS('Таблиця 1'!$B:$B,$A421,'Таблиця 1'!$I:$I,"МіГ-29"))</f>
        <v/>
      </c>
      <c r="F421">
        <f>IF($A421="","",COUNTIFS('Таблиця 1'!$B:$B,$A421,'Таблиця 1'!$I:$I,"Су-25"))</f>
        <v/>
      </c>
      <c r="G421">
        <f>IF($A421="","",COUNTIFS('Таблиця 1'!$B:$B,$A421,'Таблиця 1'!$I:$I,"Су-27"))</f>
        <v/>
      </c>
      <c r="H421">
        <f>IF($A421="","",SUMIFS('Таблиця 1'!$K:$K,'Таблиця 1'!$B:$B,$A421,'Таблиця 1'!$I:$I,"Mirage",'Таблиця 1'!$J:$J,"AGM-88")+SUMIFS('Таблиця 1'!$K:$K,'Таблиця 1'!$B:$B,$A421,'Таблиця 1'!$I:$I,"F-16",'Таблиця 1'!$J:$J,"AGM-88")+SUMIFS('Таблиця 1'!$K:$K,'Таблиця 1'!$B:$B,$A421,'Таблиця 1'!$I:$I,"МіГ-29",'Таблиця 1'!$J:$J,"AGM-88")+SUMIFS('Таблиця 1'!$K:$K,'Таблиця 1'!$B:$B,$A421,'Таблиця 1'!$I:$I,"Су-25",'Таблиця 1'!$J:$J,"AGM-88")+SUMIFS('Таблиця 1'!$K:$K,'Таблиця 1'!$B:$B,$A421,'Таблиця 1'!$I:$I,"Су-27",'Таблиця 1'!$J:$J,"AGM-88"))</f>
        <v/>
      </c>
      <c r="I421">
        <f>IF($A421="","",SUMIFS('Таблиця 1'!$K:$K,'Таблиця 1'!$B:$B,$A421,'Таблиця 1'!$I:$I,"Mirage",'Таблиця 1'!$J:$J,"AASM-250")+SUMIFS('Таблиця 1'!$K:$K,'Таблиця 1'!$B:$B,$A421,'Таблиця 1'!$I:$I,"F-16",'Таблиця 1'!$J:$J,"AASM-250")+SUMIFS('Таблиця 1'!$K:$K,'Таблиця 1'!$B:$B,$A421,'Таблиця 1'!$I:$I,"МіГ-29",'Таблиця 1'!$J:$J,"AASM-250")+SUMIFS('Таблиця 1'!$K:$K,'Таблиця 1'!$B:$B,$A421,'Таблиця 1'!$I:$I,"Су-25",'Таблиця 1'!$J:$J,"AASM-250")+SUMIFS('Таблиця 1'!$K:$K,'Таблиця 1'!$B:$B,$A421,'Таблиця 1'!$I:$I,"Су-27",'Таблиця 1'!$J:$J,"AASM-250"))</f>
        <v/>
      </c>
      <c r="J421">
        <f>IF($A421="","",SUMIFS('Таблиця 1'!$K:$K,'Таблиця 1'!$B:$B,$A421,'Таблиця 1'!$I:$I,"Mirage",'Таблиця 1'!$J:$J,"GBU-39")+SUMIFS('Таблиця 1'!$K:$K,'Таблиця 1'!$B:$B,$A421,'Таблиця 1'!$I:$I,"F-16",'Таблиця 1'!$J:$J,"GBU-39")+SUMIFS('Таблиця 1'!$K:$K,'Таблиця 1'!$B:$B,$A421,'Таблиця 1'!$I:$I,"МіГ-29",'Таблиця 1'!$J:$J,"GBU-39")+SUMIFS('Таблиця 1'!$K:$K,'Таблиця 1'!$B:$B,$A421,'Таблиця 1'!$I:$I,"Су-25",'Таблиця 1'!$J:$J,"GBU-39")+SUMIFS('Таблиця 1'!$K:$K,'Таблиця 1'!$B:$B,$A421,'Таблиця 1'!$I:$I,"Су-27",'Таблиця 1'!$J:$J,"GBU-39"))</f>
        <v/>
      </c>
      <c r="K421">
        <f>IF($A421="","",SUMIFS('Таблиця 1'!$K:$K,'Таблиця 1'!$B:$B,$A421,'Таблиця 1'!$I:$I,"Mirage",'Таблиця 1'!$J:$J,"BLU-140")+SUMIFS('Таблиця 1'!$K:$K,'Таблиця 1'!$B:$B,$A421,'Таблиця 1'!$I:$I,"F-16",'Таблиця 1'!$J:$J,"BLU-140")+SUMIFS('Таблиця 1'!$K:$K,'Таблиця 1'!$B:$B,$A421,'Таблиця 1'!$I:$I,"МіГ-29",'Таблиця 1'!$J:$J,"BLU-140")+SUMIFS('Таблиця 1'!$K:$K,'Таблиця 1'!$B:$B,$A421,'Таблиця 1'!$I:$I,"Су-25",'Таблиця 1'!$J:$J,"BLU-140")+SUMIFS('Таблиця 1'!$K:$K,'Таблиця 1'!$B:$B,$A421,'Таблиця 1'!$I:$I,"Су-27",'Таблиця 1'!$J:$J,"BLU-140"))</f>
        <v/>
      </c>
      <c r="L421">
        <f>IF($A421="","",SUMIFS('Таблиця 1'!$K:$K,'Таблиця 1'!$B:$B,$A421,'Таблиця 1'!$I:$I,"Mirage",'Таблиця 1'!$J:$J,"GBU-65")+SUMIFS('Таблиця 1'!$K:$K,'Таблиця 1'!$B:$B,$A421,'Таблиця 1'!$I:$I,"F-16",'Таблиця 1'!$J:$J,"GBU-65")+SUMIFS('Таблиця 1'!$K:$K,'Таблиця 1'!$B:$B,$A421,'Таблиця 1'!$I:$I,"МіГ-29",'Таблиця 1'!$J:$J,"GBU-65")+SUMIFS('Таблиця 1'!$K:$K,'Таблиця 1'!$B:$B,$A421,'Таблиця 1'!$I:$I,"Су-25",'Таблиця 1'!$J:$J,"GBU-65")+SUMIFS('Таблиця 1'!$K:$K,'Таблиця 1'!$B:$B,$A421,'Таблиця 1'!$I:$I,"Су-27",'Таблиця 1'!$J:$J,"GBU-65"))</f>
        <v/>
      </c>
      <c r="M421">
        <f>IF($A421="","",SUMIFS('Таблиця 1'!$K:$K,'Таблиця 1'!$B:$B,$A421,'Таблиця 1'!$I:$I,"Mirage",'Таблиця 1'!$J:$J,"GBU-62")+SUMIFS('Таблиця 1'!$K:$K,'Таблиця 1'!$B:$B,$A421,'Таблиця 1'!$I:$I,"F-16",'Таблиця 1'!$J:$J,"GBU-62")+SUMIFS('Таблиця 1'!$K:$K,'Таблиця 1'!$B:$B,$A421,'Таблиця 1'!$I:$I,"МіГ-29",'Таблиця 1'!$J:$J,"GBU-62")+SUMIFS('Таблиця 1'!$K:$K,'Таблиця 1'!$B:$B,$A421,'Таблиця 1'!$I:$I,"Су-25",'Таблиця 1'!$J:$J,"GBU-62")+SUMIFS('Таблиця 1'!$K:$K,'Таблиця 1'!$B:$B,$A421,'Таблиця 1'!$I:$I,"Су-27",'Таблиця 1'!$J:$J,"GBU-62"))</f>
        <v/>
      </c>
      <c r="N421">
        <f>IF($A421="","",SUMIFS('Таблиця 1'!$K:$K,'Таблиця 1'!$B:$B,$A421,'Таблиця 1'!$I:$I,"Mirage",'Таблиця 1'!$J:$J,"GBU-64")+SUMIFS('Таблиця 1'!$K:$K,'Таблиця 1'!$B:$B,$A421,'Таблиця 1'!$I:$I,"F-16",'Таблиця 1'!$J:$J,"GBU-64")+SUMIFS('Таблиця 1'!$K:$K,'Таблиця 1'!$B:$B,$A421,'Таблиця 1'!$I:$I,"МіГ-29",'Таблиця 1'!$J:$J,"GBU-64")+SUMIFS('Таблиця 1'!$K:$K,'Таблиця 1'!$B:$B,$A421,'Таблиця 1'!$I:$I,"Су-25",'Таблиця 1'!$J:$J,"GBU-64")+SUMIFS('Таблиця 1'!$K:$K,'Таблиця 1'!$B:$B,$A421,'Таблиця 1'!$I:$I,"Су-27",'Таблиця 1'!$J:$J,"GBU-64"))</f>
        <v/>
      </c>
      <c r="O421">
        <f>IF($A421="","",SUMIFS('Таблиця 1'!$K:$K,'Таблиця 1'!$B:$B,$A421,'Таблиця 1'!$I:$I,"Mirage",'Таблиця 1'!$J:$J,"C-13")+SUMIFS('Таблиця 1'!$K:$K,'Таблиця 1'!$B:$B,$A421,'Таблиця 1'!$I:$I,"F-16",'Таблиця 1'!$J:$J,"C-13")+SUMIFS('Таблиця 1'!$K:$K,'Таблиця 1'!$B:$B,$A421,'Таблиця 1'!$I:$I,"МіГ-29",'Таблиця 1'!$J:$J,"C-13")+SUMIFS('Таблиця 1'!$K:$K,'Таблиця 1'!$B:$B,$A421,'Таблиця 1'!$I:$I,"Су-25",'Таблиця 1'!$J:$J,"C-13")+SUMIFS('Таблиця 1'!$K:$K,'Таблиця 1'!$B:$B,$A421,'Таблиця 1'!$I:$I,"Су-27",'Таблиця 1'!$J:$J,"C-13"))</f>
        <v/>
      </c>
      <c r="P421">
        <f>IF($A421="","",SUMIFS('Таблиця 1'!$K:$K,'Таблиця 1'!$B:$B,$A421,'Таблиця 1'!$I:$I,"Mirage",'Таблиця 1'!$J:$J,"MK-32")+SUMIFS('Таблиця 1'!$K:$K,'Таблиця 1'!$B:$B,$A421,'Таблиця 1'!$I:$I,"F-16",'Таблиця 1'!$J:$J,"MK-32")+SUMIFS('Таблиця 1'!$K:$K,'Таблиця 1'!$B:$B,$A421,'Таблиця 1'!$I:$I,"МіГ-29",'Таблиця 1'!$J:$J,"MK-32")+SUMIFS('Таблиця 1'!$K:$K,'Таблиця 1'!$B:$B,$A421,'Таблиця 1'!$I:$I,"Су-25",'Таблиця 1'!$J:$J,"MK-32")+SUMIFS('Таблиця 1'!$K:$K,'Таблиця 1'!$B:$B,$A421,'Таблиця 1'!$I:$I,"Су-27",'Таблиця 1'!$J:$J,"MK-32"))</f>
        <v/>
      </c>
      <c r="Q421">
        <f>IF($A421="","",SUMIFS('Таблиця 1'!$K:$K,'Таблиця 1'!$B:$B,$A421,'Таблиця 1'!$I:$I,"Mirage",'Таблиця 1'!$J:$J,"MK-24")+SUMIFS('Таблиця 1'!$K:$K,'Таблиця 1'!$B:$B,$A421,'Таблиця 1'!$I:$I,"F-16",'Таблиця 1'!$J:$J,"MK-24")+SUMIFS('Таблиця 1'!$K:$K,'Таблиця 1'!$B:$B,$A421,'Таблиця 1'!$I:$I,"МіГ-29",'Таблиця 1'!$J:$J,"MK-24")+SUMIFS('Таблиця 1'!$K:$K,'Таблиця 1'!$B:$B,$A421,'Таблиця 1'!$I:$I,"Су-25",'Таблиця 1'!$J:$J,"MK-24")+SUMIFS('Таблиця 1'!$K:$K,'Таблиця 1'!$B:$B,$A421,'Таблиця 1'!$I:$I,"Су-27",'Таблиця 1'!$J:$J,"MK-24"))</f>
        <v/>
      </c>
      <c r="R421">
        <f>IF($A421="","",COUNTIFS('Таблиця 1'!$B:$B,$A421,'Таблиця 1'!$I:$I,"Mirage",'Таблиця 1'!$L:$L,"Уражено")+COUNTIFS('Таблиця 1'!$B:$B,$A421,'Таблиця 1'!$I:$I,"F-16",'Таблиця 1'!$L:$L,"Уражено")+COUNTIFS('Таблиця 1'!$B:$B,$A421,'Таблиця 1'!$I:$I,"МіГ-29",'Таблиця 1'!$L:$L,"Уражено")+COUNTIFS('Таблиця 1'!$B:$B,$A421,'Таблиця 1'!$I:$I,"Су-25",'Таблиця 1'!$L:$L,"Уражено")+COUNTIFS('Таблиця 1'!$B:$B,$A421,'Таблиця 1'!$I:$I,"Су-27",'Таблиця 1'!$L:$L,"Уражено"))</f>
        <v/>
      </c>
      <c r="S421">
        <f>IF($A421="","",COUNTIFS('Таблиця 1'!$B:$B,$A421,'Таблиця 1'!$I:$I,"Mirage",'Таблиця 1'!$L:$L,"НЕ уражено")+COUNTIFS('Таблиця 1'!$B:$B,$A421,'Таблиця 1'!$I:$I,"F-16",'Таблиця 1'!$L:$L,"НЕ уражено")+COUNTIFS('Таблиця 1'!$B:$B,$A421,'Таблиця 1'!$I:$I,"МіГ-29",'Таблиця 1'!$L:$L,"НЕ уражено")+COUNTIFS('Таблиця 1'!$B:$B,$A421,'Таблиця 1'!$I:$I,"Су-25",'Таблиця 1'!$L:$L,"НЕ уражено")+COUNTIFS('Таблиця 1'!$B:$B,$A421,'Таблиця 1'!$I:$I,"Су-27",'Таблиця 1'!$L:$L,"НЕ уражено"))</f>
        <v/>
      </c>
      <c r="T421">
        <f>IF($A421="","",COUNTIFS('Таблиця 1'!$B:$B,$A421,'Таблиця 1'!$I:$I,"Mirage",'Таблиця 1'!$L:$L,"Дорозвідується")+COUNTIFS('Таблиця 1'!$B:$B,$A421,'Таблиця 1'!$I:$I,"F-16",'Таблиця 1'!$L:$L,"Дорозвідується")+COUNTIFS('Таблиця 1'!$B:$B,$A421,'Таблиця 1'!$I:$I,"МіГ-29",'Таблиця 1'!$L:$L,"Дорозвідується")+COUNTIFS('Таблиця 1'!$B:$B,$A421,'Таблиця 1'!$I:$I,"Су-25",'Таблиця 1'!$L:$L,"Дорозвідується")+COUNTIFS('Таблиця 1'!$B:$B,$A421,'Таблиця 1'!$I:$I,"Су-27",'Таблиця 1'!$L:$L,"Дорозвідується"))</f>
        <v/>
      </c>
    </row>
    <row r="422">
      <c r="A422" s="273">
        <f>IF(A421="","",IF(A421+1&gt;MAX('Таблиця 1'!$B:$B),"",A421+1))</f>
        <v/>
      </c>
      <c r="B422">
        <f>IF($A422="","",COUNTIFS('Таблиця 1'!$B:$B,$A422,'Таблиця 1'!$I:$I,"Mirage")+COUNTIFS('Таблиця 1'!$B:$B,$A422,'Таблиця 1'!$I:$I,"F-16")+COUNTIFS('Таблиця 1'!$B:$B,$A422,'Таблиця 1'!$I:$I,"МіГ-29")+COUNTIFS('Таблиця 1'!$B:$B,$A422,'Таблиця 1'!$I:$I,"Су-25")+COUNTIFS('Таблиця 1'!$B:$B,$A422,'Таблиця 1'!$I:$I,"Су-27"))</f>
        <v/>
      </c>
      <c r="C422">
        <f>IF($A422="","",COUNTIFS('Таблиця 1'!$B:$B,$A422,'Таблиця 1'!$I:$I,"Mirage"))</f>
        <v/>
      </c>
      <c r="D422">
        <f>IF($A422="","",COUNTIFS('Таблиця 1'!$B:$B,$A422,'Таблиця 1'!$I:$I,"F-16"))</f>
        <v/>
      </c>
      <c r="E422">
        <f>IF($A422="","",COUNTIFS('Таблиця 1'!$B:$B,$A422,'Таблиця 1'!$I:$I,"МіГ-29"))</f>
        <v/>
      </c>
      <c r="F422">
        <f>IF($A422="","",COUNTIFS('Таблиця 1'!$B:$B,$A422,'Таблиця 1'!$I:$I,"Су-25"))</f>
        <v/>
      </c>
      <c r="G422">
        <f>IF($A422="","",COUNTIFS('Таблиця 1'!$B:$B,$A422,'Таблиця 1'!$I:$I,"Су-27"))</f>
        <v/>
      </c>
      <c r="H422">
        <f>IF($A422="","",SUMIFS('Таблиця 1'!$K:$K,'Таблиця 1'!$B:$B,$A422,'Таблиця 1'!$I:$I,"Mirage",'Таблиця 1'!$J:$J,"AGM-88")+SUMIFS('Таблиця 1'!$K:$K,'Таблиця 1'!$B:$B,$A422,'Таблиця 1'!$I:$I,"F-16",'Таблиця 1'!$J:$J,"AGM-88")+SUMIFS('Таблиця 1'!$K:$K,'Таблиця 1'!$B:$B,$A422,'Таблиця 1'!$I:$I,"МіГ-29",'Таблиця 1'!$J:$J,"AGM-88")+SUMIFS('Таблиця 1'!$K:$K,'Таблиця 1'!$B:$B,$A422,'Таблиця 1'!$I:$I,"Су-25",'Таблиця 1'!$J:$J,"AGM-88")+SUMIFS('Таблиця 1'!$K:$K,'Таблиця 1'!$B:$B,$A422,'Таблиця 1'!$I:$I,"Су-27",'Таблиця 1'!$J:$J,"AGM-88"))</f>
        <v/>
      </c>
      <c r="I422">
        <f>IF($A422="","",SUMIFS('Таблиця 1'!$K:$K,'Таблиця 1'!$B:$B,$A422,'Таблиця 1'!$I:$I,"Mirage",'Таблиця 1'!$J:$J,"AASM-250")+SUMIFS('Таблиця 1'!$K:$K,'Таблиця 1'!$B:$B,$A422,'Таблиця 1'!$I:$I,"F-16",'Таблиця 1'!$J:$J,"AASM-250")+SUMIFS('Таблиця 1'!$K:$K,'Таблиця 1'!$B:$B,$A422,'Таблиця 1'!$I:$I,"МіГ-29",'Таблиця 1'!$J:$J,"AASM-250")+SUMIFS('Таблиця 1'!$K:$K,'Таблиця 1'!$B:$B,$A422,'Таблиця 1'!$I:$I,"Су-25",'Таблиця 1'!$J:$J,"AASM-250")+SUMIFS('Таблиця 1'!$K:$K,'Таблиця 1'!$B:$B,$A422,'Таблиця 1'!$I:$I,"Су-27",'Таблиця 1'!$J:$J,"AASM-250"))</f>
        <v/>
      </c>
      <c r="J422">
        <f>IF($A422="","",SUMIFS('Таблиця 1'!$K:$K,'Таблиця 1'!$B:$B,$A422,'Таблиця 1'!$I:$I,"Mirage",'Таблиця 1'!$J:$J,"GBU-39")+SUMIFS('Таблиця 1'!$K:$K,'Таблиця 1'!$B:$B,$A422,'Таблиця 1'!$I:$I,"F-16",'Таблиця 1'!$J:$J,"GBU-39")+SUMIFS('Таблиця 1'!$K:$K,'Таблиця 1'!$B:$B,$A422,'Таблиця 1'!$I:$I,"МіГ-29",'Таблиця 1'!$J:$J,"GBU-39")+SUMIFS('Таблиця 1'!$K:$K,'Таблиця 1'!$B:$B,$A422,'Таблиця 1'!$I:$I,"Су-25",'Таблиця 1'!$J:$J,"GBU-39")+SUMIFS('Таблиця 1'!$K:$K,'Таблиця 1'!$B:$B,$A422,'Таблиця 1'!$I:$I,"Су-27",'Таблиця 1'!$J:$J,"GBU-39"))</f>
        <v/>
      </c>
      <c r="K422">
        <f>IF($A422="","",SUMIFS('Таблиця 1'!$K:$K,'Таблиця 1'!$B:$B,$A422,'Таблиця 1'!$I:$I,"Mirage",'Таблиця 1'!$J:$J,"BLU-140")+SUMIFS('Таблиця 1'!$K:$K,'Таблиця 1'!$B:$B,$A422,'Таблиця 1'!$I:$I,"F-16",'Таблиця 1'!$J:$J,"BLU-140")+SUMIFS('Таблиця 1'!$K:$K,'Таблиця 1'!$B:$B,$A422,'Таблиця 1'!$I:$I,"МіГ-29",'Таблиця 1'!$J:$J,"BLU-140")+SUMIFS('Таблиця 1'!$K:$K,'Таблиця 1'!$B:$B,$A422,'Таблиця 1'!$I:$I,"Су-25",'Таблиця 1'!$J:$J,"BLU-140")+SUMIFS('Таблиця 1'!$K:$K,'Таблиця 1'!$B:$B,$A422,'Таблиця 1'!$I:$I,"Су-27",'Таблиця 1'!$J:$J,"BLU-140"))</f>
        <v/>
      </c>
      <c r="L422">
        <f>IF($A422="","",SUMIFS('Таблиця 1'!$K:$K,'Таблиця 1'!$B:$B,$A422,'Таблиця 1'!$I:$I,"Mirage",'Таблиця 1'!$J:$J,"GBU-65")+SUMIFS('Таблиця 1'!$K:$K,'Таблиця 1'!$B:$B,$A422,'Таблиця 1'!$I:$I,"F-16",'Таблиця 1'!$J:$J,"GBU-65")+SUMIFS('Таблиця 1'!$K:$K,'Таблиця 1'!$B:$B,$A422,'Таблиця 1'!$I:$I,"МіГ-29",'Таблиця 1'!$J:$J,"GBU-65")+SUMIFS('Таблиця 1'!$K:$K,'Таблиця 1'!$B:$B,$A422,'Таблиця 1'!$I:$I,"Су-25",'Таблиця 1'!$J:$J,"GBU-65")+SUMIFS('Таблиця 1'!$K:$K,'Таблиця 1'!$B:$B,$A422,'Таблиця 1'!$I:$I,"Су-27",'Таблиця 1'!$J:$J,"GBU-65"))</f>
        <v/>
      </c>
      <c r="M422">
        <f>IF($A422="","",SUMIFS('Таблиця 1'!$K:$K,'Таблиця 1'!$B:$B,$A422,'Таблиця 1'!$I:$I,"Mirage",'Таблиця 1'!$J:$J,"GBU-62")+SUMIFS('Таблиця 1'!$K:$K,'Таблиця 1'!$B:$B,$A422,'Таблиця 1'!$I:$I,"F-16",'Таблиця 1'!$J:$J,"GBU-62")+SUMIFS('Таблиця 1'!$K:$K,'Таблиця 1'!$B:$B,$A422,'Таблиця 1'!$I:$I,"МіГ-29",'Таблиця 1'!$J:$J,"GBU-62")+SUMIFS('Таблиця 1'!$K:$K,'Таблиця 1'!$B:$B,$A422,'Таблиця 1'!$I:$I,"Су-25",'Таблиця 1'!$J:$J,"GBU-62")+SUMIFS('Таблиця 1'!$K:$K,'Таблиця 1'!$B:$B,$A422,'Таблиця 1'!$I:$I,"Су-27",'Таблиця 1'!$J:$J,"GBU-62"))</f>
        <v/>
      </c>
      <c r="N422">
        <f>IF($A422="","",SUMIFS('Таблиця 1'!$K:$K,'Таблиця 1'!$B:$B,$A422,'Таблиця 1'!$I:$I,"Mirage",'Таблиця 1'!$J:$J,"GBU-64")+SUMIFS('Таблиця 1'!$K:$K,'Таблиця 1'!$B:$B,$A422,'Таблиця 1'!$I:$I,"F-16",'Таблиця 1'!$J:$J,"GBU-64")+SUMIFS('Таблиця 1'!$K:$K,'Таблиця 1'!$B:$B,$A422,'Таблиця 1'!$I:$I,"МіГ-29",'Таблиця 1'!$J:$J,"GBU-64")+SUMIFS('Таблиця 1'!$K:$K,'Таблиця 1'!$B:$B,$A422,'Таблиця 1'!$I:$I,"Су-25",'Таблиця 1'!$J:$J,"GBU-64")+SUMIFS('Таблиця 1'!$K:$K,'Таблиця 1'!$B:$B,$A422,'Таблиця 1'!$I:$I,"Су-27",'Таблиця 1'!$J:$J,"GBU-64"))</f>
        <v/>
      </c>
      <c r="O422">
        <f>IF($A422="","",SUMIFS('Таблиця 1'!$K:$K,'Таблиця 1'!$B:$B,$A422,'Таблиця 1'!$I:$I,"Mirage",'Таблиця 1'!$J:$J,"C-13")+SUMIFS('Таблиця 1'!$K:$K,'Таблиця 1'!$B:$B,$A422,'Таблиця 1'!$I:$I,"F-16",'Таблиця 1'!$J:$J,"C-13")+SUMIFS('Таблиця 1'!$K:$K,'Таблиця 1'!$B:$B,$A422,'Таблиця 1'!$I:$I,"МіГ-29",'Таблиця 1'!$J:$J,"C-13")+SUMIFS('Таблиця 1'!$K:$K,'Таблиця 1'!$B:$B,$A422,'Таблиця 1'!$I:$I,"Су-25",'Таблиця 1'!$J:$J,"C-13")+SUMIFS('Таблиця 1'!$K:$K,'Таблиця 1'!$B:$B,$A422,'Таблиця 1'!$I:$I,"Су-27",'Таблиця 1'!$J:$J,"C-13"))</f>
        <v/>
      </c>
      <c r="P422">
        <f>IF($A422="","",SUMIFS('Таблиця 1'!$K:$K,'Таблиця 1'!$B:$B,$A422,'Таблиця 1'!$I:$I,"Mirage",'Таблиця 1'!$J:$J,"MK-32")+SUMIFS('Таблиця 1'!$K:$K,'Таблиця 1'!$B:$B,$A422,'Таблиця 1'!$I:$I,"F-16",'Таблиця 1'!$J:$J,"MK-32")+SUMIFS('Таблиця 1'!$K:$K,'Таблиця 1'!$B:$B,$A422,'Таблиця 1'!$I:$I,"МіГ-29",'Таблиця 1'!$J:$J,"MK-32")+SUMIFS('Таблиця 1'!$K:$K,'Таблиця 1'!$B:$B,$A422,'Таблиця 1'!$I:$I,"Су-25",'Таблиця 1'!$J:$J,"MK-32")+SUMIFS('Таблиця 1'!$K:$K,'Таблиця 1'!$B:$B,$A422,'Таблиця 1'!$I:$I,"Су-27",'Таблиця 1'!$J:$J,"MK-32"))</f>
        <v/>
      </c>
      <c r="Q422">
        <f>IF($A422="","",SUMIFS('Таблиця 1'!$K:$K,'Таблиця 1'!$B:$B,$A422,'Таблиця 1'!$I:$I,"Mirage",'Таблиця 1'!$J:$J,"MK-24")+SUMIFS('Таблиця 1'!$K:$K,'Таблиця 1'!$B:$B,$A422,'Таблиця 1'!$I:$I,"F-16",'Таблиця 1'!$J:$J,"MK-24")+SUMIFS('Таблиця 1'!$K:$K,'Таблиця 1'!$B:$B,$A422,'Таблиця 1'!$I:$I,"МіГ-29",'Таблиця 1'!$J:$J,"MK-24")+SUMIFS('Таблиця 1'!$K:$K,'Таблиця 1'!$B:$B,$A422,'Таблиця 1'!$I:$I,"Су-25",'Таблиця 1'!$J:$J,"MK-24")+SUMIFS('Таблиця 1'!$K:$K,'Таблиця 1'!$B:$B,$A422,'Таблиця 1'!$I:$I,"Су-27",'Таблиця 1'!$J:$J,"MK-24"))</f>
        <v/>
      </c>
      <c r="R422">
        <f>IF($A422="","",COUNTIFS('Таблиця 1'!$B:$B,$A422,'Таблиця 1'!$I:$I,"Mirage",'Таблиця 1'!$L:$L,"Уражено")+COUNTIFS('Таблиця 1'!$B:$B,$A422,'Таблиця 1'!$I:$I,"F-16",'Таблиця 1'!$L:$L,"Уражено")+COUNTIFS('Таблиця 1'!$B:$B,$A422,'Таблиця 1'!$I:$I,"МіГ-29",'Таблиця 1'!$L:$L,"Уражено")+COUNTIFS('Таблиця 1'!$B:$B,$A422,'Таблиця 1'!$I:$I,"Су-25",'Таблиця 1'!$L:$L,"Уражено")+COUNTIFS('Таблиця 1'!$B:$B,$A422,'Таблиця 1'!$I:$I,"Су-27",'Таблиця 1'!$L:$L,"Уражено"))</f>
        <v/>
      </c>
      <c r="S422">
        <f>IF($A422="","",COUNTIFS('Таблиця 1'!$B:$B,$A422,'Таблиця 1'!$I:$I,"Mirage",'Таблиця 1'!$L:$L,"НЕ уражено")+COUNTIFS('Таблиця 1'!$B:$B,$A422,'Таблиця 1'!$I:$I,"F-16",'Таблиця 1'!$L:$L,"НЕ уражено")+COUNTIFS('Таблиця 1'!$B:$B,$A422,'Таблиця 1'!$I:$I,"МіГ-29",'Таблиця 1'!$L:$L,"НЕ уражено")+COUNTIFS('Таблиця 1'!$B:$B,$A422,'Таблиця 1'!$I:$I,"Су-25",'Таблиця 1'!$L:$L,"НЕ уражено")+COUNTIFS('Таблиця 1'!$B:$B,$A422,'Таблиця 1'!$I:$I,"Су-27",'Таблиця 1'!$L:$L,"НЕ уражено"))</f>
        <v/>
      </c>
      <c r="T422">
        <f>IF($A422="","",COUNTIFS('Таблиця 1'!$B:$B,$A422,'Таблиця 1'!$I:$I,"Mirage",'Таблиця 1'!$L:$L,"Дорозвідується")+COUNTIFS('Таблиця 1'!$B:$B,$A422,'Таблиця 1'!$I:$I,"F-16",'Таблиця 1'!$L:$L,"Дорозвідується")+COUNTIFS('Таблиця 1'!$B:$B,$A422,'Таблиця 1'!$I:$I,"МіГ-29",'Таблиця 1'!$L:$L,"Дорозвідується")+COUNTIFS('Таблиця 1'!$B:$B,$A422,'Таблиця 1'!$I:$I,"Су-25",'Таблиця 1'!$L:$L,"Дорозвідується")+COUNTIFS('Таблиця 1'!$B:$B,$A422,'Таблиця 1'!$I:$I,"Су-27",'Таблиця 1'!$L:$L,"Дорозвідується"))</f>
        <v/>
      </c>
    </row>
    <row r="423">
      <c r="A423" s="273">
        <f>IF(A422="","",IF(A422+1&gt;MAX('Таблиця 1'!$B:$B),"",A422+1))</f>
        <v/>
      </c>
      <c r="B423">
        <f>IF($A423="","",COUNTIFS('Таблиця 1'!$B:$B,$A423,'Таблиця 1'!$I:$I,"Mirage")+COUNTIFS('Таблиця 1'!$B:$B,$A423,'Таблиця 1'!$I:$I,"F-16")+COUNTIFS('Таблиця 1'!$B:$B,$A423,'Таблиця 1'!$I:$I,"МіГ-29")+COUNTIFS('Таблиця 1'!$B:$B,$A423,'Таблиця 1'!$I:$I,"Су-25")+COUNTIFS('Таблиця 1'!$B:$B,$A423,'Таблиця 1'!$I:$I,"Су-27"))</f>
        <v/>
      </c>
      <c r="C423">
        <f>IF($A423="","",COUNTIFS('Таблиця 1'!$B:$B,$A423,'Таблиця 1'!$I:$I,"Mirage"))</f>
        <v/>
      </c>
      <c r="D423">
        <f>IF($A423="","",COUNTIFS('Таблиця 1'!$B:$B,$A423,'Таблиця 1'!$I:$I,"F-16"))</f>
        <v/>
      </c>
      <c r="E423">
        <f>IF($A423="","",COUNTIFS('Таблиця 1'!$B:$B,$A423,'Таблиця 1'!$I:$I,"МіГ-29"))</f>
        <v/>
      </c>
      <c r="F423">
        <f>IF($A423="","",COUNTIFS('Таблиця 1'!$B:$B,$A423,'Таблиця 1'!$I:$I,"Су-25"))</f>
        <v/>
      </c>
      <c r="G423">
        <f>IF($A423="","",COUNTIFS('Таблиця 1'!$B:$B,$A423,'Таблиця 1'!$I:$I,"Су-27"))</f>
        <v/>
      </c>
      <c r="H423">
        <f>IF($A423="","",SUMIFS('Таблиця 1'!$K:$K,'Таблиця 1'!$B:$B,$A423,'Таблиця 1'!$I:$I,"Mirage",'Таблиця 1'!$J:$J,"AGM-88")+SUMIFS('Таблиця 1'!$K:$K,'Таблиця 1'!$B:$B,$A423,'Таблиця 1'!$I:$I,"F-16",'Таблиця 1'!$J:$J,"AGM-88")+SUMIFS('Таблиця 1'!$K:$K,'Таблиця 1'!$B:$B,$A423,'Таблиця 1'!$I:$I,"МіГ-29",'Таблиця 1'!$J:$J,"AGM-88")+SUMIFS('Таблиця 1'!$K:$K,'Таблиця 1'!$B:$B,$A423,'Таблиця 1'!$I:$I,"Су-25",'Таблиця 1'!$J:$J,"AGM-88")+SUMIFS('Таблиця 1'!$K:$K,'Таблиця 1'!$B:$B,$A423,'Таблиця 1'!$I:$I,"Су-27",'Таблиця 1'!$J:$J,"AGM-88"))</f>
        <v/>
      </c>
      <c r="I423">
        <f>IF($A423="","",SUMIFS('Таблиця 1'!$K:$K,'Таблиця 1'!$B:$B,$A423,'Таблиця 1'!$I:$I,"Mirage",'Таблиця 1'!$J:$J,"AASM-250")+SUMIFS('Таблиця 1'!$K:$K,'Таблиця 1'!$B:$B,$A423,'Таблиця 1'!$I:$I,"F-16",'Таблиця 1'!$J:$J,"AASM-250")+SUMIFS('Таблиця 1'!$K:$K,'Таблиця 1'!$B:$B,$A423,'Таблиця 1'!$I:$I,"МіГ-29",'Таблиця 1'!$J:$J,"AASM-250")+SUMIFS('Таблиця 1'!$K:$K,'Таблиця 1'!$B:$B,$A423,'Таблиця 1'!$I:$I,"Су-25",'Таблиця 1'!$J:$J,"AASM-250")+SUMIFS('Таблиця 1'!$K:$K,'Таблиця 1'!$B:$B,$A423,'Таблиця 1'!$I:$I,"Су-27",'Таблиця 1'!$J:$J,"AASM-250"))</f>
        <v/>
      </c>
      <c r="J423">
        <f>IF($A423="","",SUMIFS('Таблиця 1'!$K:$K,'Таблиця 1'!$B:$B,$A423,'Таблиця 1'!$I:$I,"Mirage",'Таблиця 1'!$J:$J,"GBU-39")+SUMIFS('Таблиця 1'!$K:$K,'Таблиця 1'!$B:$B,$A423,'Таблиця 1'!$I:$I,"F-16",'Таблиця 1'!$J:$J,"GBU-39")+SUMIFS('Таблиця 1'!$K:$K,'Таблиця 1'!$B:$B,$A423,'Таблиця 1'!$I:$I,"МіГ-29",'Таблиця 1'!$J:$J,"GBU-39")+SUMIFS('Таблиця 1'!$K:$K,'Таблиця 1'!$B:$B,$A423,'Таблиця 1'!$I:$I,"Су-25",'Таблиця 1'!$J:$J,"GBU-39")+SUMIFS('Таблиця 1'!$K:$K,'Таблиця 1'!$B:$B,$A423,'Таблиця 1'!$I:$I,"Су-27",'Таблиця 1'!$J:$J,"GBU-39"))</f>
        <v/>
      </c>
      <c r="K423">
        <f>IF($A423="","",SUMIFS('Таблиця 1'!$K:$K,'Таблиця 1'!$B:$B,$A423,'Таблиця 1'!$I:$I,"Mirage",'Таблиця 1'!$J:$J,"BLU-140")+SUMIFS('Таблиця 1'!$K:$K,'Таблиця 1'!$B:$B,$A423,'Таблиця 1'!$I:$I,"F-16",'Таблиця 1'!$J:$J,"BLU-140")+SUMIFS('Таблиця 1'!$K:$K,'Таблиця 1'!$B:$B,$A423,'Таблиця 1'!$I:$I,"МіГ-29",'Таблиця 1'!$J:$J,"BLU-140")+SUMIFS('Таблиця 1'!$K:$K,'Таблиця 1'!$B:$B,$A423,'Таблиця 1'!$I:$I,"Су-25",'Таблиця 1'!$J:$J,"BLU-140")+SUMIFS('Таблиця 1'!$K:$K,'Таблиця 1'!$B:$B,$A423,'Таблиця 1'!$I:$I,"Су-27",'Таблиця 1'!$J:$J,"BLU-140"))</f>
        <v/>
      </c>
      <c r="L423">
        <f>IF($A423="","",SUMIFS('Таблиця 1'!$K:$K,'Таблиця 1'!$B:$B,$A423,'Таблиця 1'!$I:$I,"Mirage",'Таблиця 1'!$J:$J,"GBU-65")+SUMIFS('Таблиця 1'!$K:$K,'Таблиця 1'!$B:$B,$A423,'Таблиця 1'!$I:$I,"F-16",'Таблиця 1'!$J:$J,"GBU-65")+SUMIFS('Таблиця 1'!$K:$K,'Таблиця 1'!$B:$B,$A423,'Таблиця 1'!$I:$I,"МіГ-29",'Таблиця 1'!$J:$J,"GBU-65")+SUMIFS('Таблиця 1'!$K:$K,'Таблиця 1'!$B:$B,$A423,'Таблиця 1'!$I:$I,"Су-25",'Таблиця 1'!$J:$J,"GBU-65")+SUMIFS('Таблиця 1'!$K:$K,'Таблиця 1'!$B:$B,$A423,'Таблиця 1'!$I:$I,"Су-27",'Таблиця 1'!$J:$J,"GBU-65"))</f>
        <v/>
      </c>
      <c r="M423">
        <f>IF($A423="","",SUMIFS('Таблиця 1'!$K:$K,'Таблиця 1'!$B:$B,$A423,'Таблиця 1'!$I:$I,"Mirage",'Таблиця 1'!$J:$J,"GBU-62")+SUMIFS('Таблиця 1'!$K:$K,'Таблиця 1'!$B:$B,$A423,'Таблиця 1'!$I:$I,"F-16",'Таблиця 1'!$J:$J,"GBU-62")+SUMIFS('Таблиця 1'!$K:$K,'Таблиця 1'!$B:$B,$A423,'Таблиця 1'!$I:$I,"МіГ-29",'Таблиця 1'!$J:$J,"GBU-62")+SUMIFS('Таблиця 1'!$K:$K,'Таблиця 1'!$B:$B,$A423,'Таблиця 1'!$I:$I,"Су-25",'Таблиця 1'!$J:$J,"GBU-62")+SUMIFS('Таблиця 1'!$K:$K,'Таблиця 1'!$B:$B,$A423,'Таблиця 1'!$I:$I,"Су-27",'Таблиця 1'!$J:$J,"GBU-62"))</f>
        <v/>
      </c>
      <c r="N423">
        <f>IF($A423="","",SUMIFS('Таблиця 1'!$K:$K,'Таблиця 1'!$B:$B,$A423,'Таблиця 1'!$I:$I,"Mirage",'Таблиця 1'!$J:$J,"GBU-64")+SUMIFS('Таблиця 1'!$K:$K,'Таблиця 1'!$B:$B,$A423,'Таблиця 1'!$I:$I,"F-16",'Таблиця 1'!$J:$J,"GBU-64")+SUMIFS('Таблиця 1'!$K:$K,'Таблиця 1'!$B:$B,$A423,'Таблиця 1'!$I:$I,"МіГ-29",'Таблиця 1'!$J:$J,"GBU-64")+SUMIFS('Таблиця 1'!$K:$K,'Таблиця 1'!$B:$B,$A423,'Таблиця 1'!$I:$I,"Су-25",'Таблиця 1'!$J:$J,"GBU-64")+SUMIFS('Таблиця 1'!$K:$K,'Таблиця 1'!$B:$B,$A423,'Таблиця 1'!$I:$I,"Су-27",'Таблиця 1'!$J:$J,"GBU-64"))</f>
        <v/>
      </c>
      <c r="O423">
        <f>IF($A423="","",SUMIFS('Таблиця 1'!$K:$K,'Таблиця 1'!$B:$B,$A423,'Таблиця 1'!$I:$I,"Mirage",'Таблиця 1'!$J:$J,"C-13")+SUMIFS('Таблиця 1'!$K:$K,'Таблиця 1'!$B:$B,$A423,'Таблиця 1'!$I:$I,"F-16",'Таблиця 1'!$J:$J,"C-13")+SUMIFS('Таблиця 1'!$K:$K,'Таблиця 1'!$B:$B,$A423,'Таблиця 1'!$I:$I,"МіГ-29",'Таблиця 1'!$J:$J,"C-13")+SUMIFS('Таблиця 1'!$K:$K,'Таблиця 1'!$B:$B,$A423,'Таблиця 1'!$I:$I,"Су-25",'Таблиця 1'!$J:$J,"C-13")+SUMIFS('Таблиця 1'!$K:$K,'Таблиця 1'!$B:$B,$A423,'Таблиця 1'!$I:$I,"Су-27",'Таблиця 1'!$J:$J,"C-13"))</f>
        <v/>
      </c>
      <c r="P423">
        <f>IF($A423="","",SUMIFS('Таблиця 1'!$K:$K,'Таблиця 1'!$B:$B,$A423,'Таблиця 1'!$I:$I,"Mirage",'Таблиця 1'!$J:$J,"MK-32")+SUMIFS('Таблиця 1'!$K:$K,'Таблиця 1'!$B:$B,$A423,'Таблиця 1'!$I:$I,"F-16",'Таблиця 1'!$J:$J,"MK-32")+SUMIFS('Таблиця 1'!$K:$K,'Таблиця 1'!$B:$B,$A423,'Таблиця 1'!$I:$I,"МіГ-29",'Таблиця 1'!$J:$J,"MK-32")+SUMIFS('Таблиця 1'!$K:$K,'Таблиця 1'!$B:$B,$A423,'Таблиця 1'!$I:$I,"Су-25",'Таблиця 1'!$J:$J,"MK-32")+SUMIFS('Таблиця 1'!$K:$K,'Таблиця 1'!$B:$B,$A423,'Таблиця 1'!$I:$I,"Су-27",'Таблиця 1'!$J:$J,"MK-32"))</f>
        <v/>
      </c>
      <c r="Q423">
        <f>IF($A423="","",SUMIFS('Таблиця 1'!$K:$K,'Таблиця 1'!$B:$B,$A423,'Таблиця 1'!$I:$I,"Mirage",'Таблиця 1'!$J:$J,"MK-24")+SUMIFS('Таблиця 1'!$K:$K,'Таблиця 1'!$B:$B,$A423,'Таблиця 1'!$I:$I,"F-16",'Таблиця 1'!$J:$J,"MK-24")+SUMIFS('Таблиця 1'!$K:$K,'Таблиця 1'!$B:$B,$A423,'Таблиця 1'!$I:$I,"МіГ-29",'Таблиця 1'!$J:$J,"MK-24")+SUMIFS('Таблиця 1'!$K:$K,'Таблиця 1'!$B:$B,$A423,'Таблиця 1'!$I:$I,"Су-25",'Таблиця 1'!$J:$J,"MK-24")+SUMIFS('Таблиця 1'!$K:$K,'Таблиця 1'!$B:$B,$A423,'Таблиця 1'!$I:$I,"Су-27",'Таблиця 1'!$J:$J,"MK-24"))</f>
        <v/>
      </c>
      <c r="R423">
        <f>IF($A423="","",COUNTIFS('Таблиця 1'!$B:$B,$A423,'Таблиця 1'!$I:$I,"Mirage",'Таблиця 1'!$L:$L,"Уражено")+COUNTIFS('Таблиця 1'!$B:$B,$A423,'Таблиця 1'!$I:$I,"F-16",'Таблиця 1'!$L:$L,"Уражено")+COUNTIFS('Таблиця 1'!$B:$B,$A423,'Таблиця 1'!$I:$I,"МіГ-29",'Таблиця 1'!$L:$L,"Уражено")+COUNTIFS('Таблиця 1'!$B:$B,$A423,'Таблиця 1'!$I:$I,"Су-25",'Таблиця 1'!$L:$L,"Уражено")+COUNTIFS('Таблиця 1'!$B:$B,$A423,'Таблиця 1'!$I:$I,"Су-27",'Таблиця 1'!$L:$L,"Уражено"))</f>
        <v/>
      </c>
      <c r="S423">
        <f>IF($A423="","",COUNTIFS('Таблиця 1'!$B:$B,$A423,'Таблиця 1'!$I:$I,"Mirage",'Таблиця 1'!$L:$L,"НЕ уражено")+COUNTIFS('Таблиця 1'!$B:$B,$A423,'Таблиця 1'!$I:$I,"F-16",'Таблиця 1'!$L:$L,"НЕ уражено")+COUNTIFS('Таблиця 1'!$B:$B,$A423,'Таблиця 1'!$I:$I,"МіГ-29",'Таблиця 1'!$L:$L,"НЕ уражено")+COUNTIFS('Таблиця 1'!$B:$B,$A423,'Таблиця 1'!$I:$I,"Су-25",'Таблиця 1'!$L:$L,"НЕ уражено")+COUNTIFS('Таблиця 1'!$B:$B,$A423,'Таблиця 1'!$I:$I,"Су-27",'Таблиця 1'!$L:$L,"НЕ уражено"))</f>
        <v/>
      </c>
      <c r="T423">
        <f>IF($A423="","",COUNTIFS('Таблиця 1'!$B:$B,$A423,'Таблиця 1'!$I:$I,"Mirage",'Таблиця 1'!$L:$L,"Дорозвідується")+COUNTIFS('Таблиця 1'!$B:$B,$A423,'Таблиця 1'!$I:$I,"F-16",'Таблиця 1'!$L:$L,"Дорозвідується")+COUNTIFS('Таблиця 1'!$B:$B,$A423,'Таблиця 1'!$I:$I,"МіГ-29",'Таблиця 1'!$L:$L,"Дорозвідується")+COUNTIFS('Таблиця 1'!$B:$B,$A423,'Таблиця 1'!$I:$I,"Су-25",'Таблиця 1'!$L:$L,"Дорозвідується")+COUNTIFS('Таблиця 1'!$B:$B,$A423,'Таблиця 1'!$I:$I,"Су-27",'Таблиця 1'!$L:$L,"Дорозвідується"))</f>
        <v/>
      </c>
    </row>
    <row r="424">
      <c r="A424" s="273">
        <f>IF(A423="","",IF(A423+1&gt;MAX('Таблиця 1'!$B:$B),"",A423+1))</f>
        <v/>
      </c>
      <c r="B424">
        <f>IF($A424="","",COUNTIFS('Таблиця 1'!$B:$B,$A424,'Таблиця 1'!$I:$I,"Mirage")+COUNTIFS('Таблиця 1'!$B:$B,$A424,'Таблиця 1'!$I:$I,"F-16")+COUNTIFS('Таблиця 1'!$B:$B,$A424,'Таблиця 1'!$I:$I,"МіГ-29")+COUNTIFS('Таблиця 1'!$B:$B,$A424,'Таблиця 1'!$I:$I,"Су-25")+COUNTIFS('Таблиця 1'!$B:$B,$A424,'Таблиця 1'!$I:$I,"Су-27"))</f>
        <v/>
      </c>
      <c r="C424">
        <f>IF($A424="","",COUNTIFS('Таблиця 1'!$B:$B,$A424,'Таблиця 1'!$I:$I,"Mirage"))</f>
        <v/>
      </c>
      <c r="D424">
        <f>IF($A424="","",COUNTIFS('Таблиця 1'!$B:$B,$A424,'Таблиця 1'!$I:$I,"F-16"))</f>
        <v/>
      </c>
      <c r="E424">
        <f>IF($A424="","",COUNTIFS('Таблиця 1'!$B:$B,$A424,'Таблиця 1'!$I:$I,"МіГ-29"))</f>
        <v/>
      </c>
      <c r="F424">
        <f>IF($A424="","",COUNTIFS('Таблиця 1'!$B:$B,$A424,'Таблиця 1'!$I:$I,"Су-25"))</f>
        <v/>
      </c>
      <c r="G424">
        <f>IF($A424="","",COUNTIFS('Таблиця 1'!$B:$B,$A424,'Таблиця 1'!$I:$I,"Су-27"))</f>
        <v/>
      </c>
      <c r="H424">
        <f>IF($A424="","",SUMIFS('Таблиця 1'!$K:$K,'Таблиця 1'!$B:$B,$A424,'Таблиця 1'!$I:$I,"Mirage",'Таблиця 1'!$J:$J,"AGM-88")+SUMIFS('Таблиця 1'!$K:$K,'Таблиця 1'!$B:$B,$A424,'Таблиця 1'!$I:$I,"F-16",'Таблиця 1'!$J:$J,"AGM-88")+SUMIFS('Таблиця 1'!$K:$K,'Таблиця 1'!$B:$B,$A424,'Таблиця 1'!$I:$I,"МіГ-29",'Таблиця 1'!$J:$J,"AGM-88")+SUMIFS('Таблиця 1'!$K:$K,'Таблиця 1'!$B:$B,$A424,'Таблиця 1'!$I:$I,"Су-25",'Таблиця 1'!$J:$J,"AGM-88")+SUMIFS('Таблиця 1'!$K:$K,'Таблиця 1'!$B:$B,$A424,'Таблиця 1'!$I:$I,"Су-27",'Таблиця 1'!$J:$J,"AGM-88"))</f>
        <v/>
      </c>
      <c r="I424">
        <f>IF($A424="","",SUMIFS('Таблиця 1'!$K:$K,'Таблиця 1'!$B:$B,$A424,'Таблиця 1'!$I:$I,"Mirage",'Таблиця 1'!$J:$J,"AASM-250")+SUMIFS('Таблиця 1'!$K:$K,'Таблиця 1'!$B:$B,$A424,'Таблиця 1'!$I:$I,"F-16",'Таблиця 1'!$J:$J,"AASM-250")+SUMIFS('Таблиця 1'!$K:$K,'Таблиця 1'!$B:$B,$A424,'Таблиця 1'!$I:$I,"МіГ-29",'Таблиця 1'!$J:$J,"AASM-250")+SUMIFS('Таблиця 1'!$K:$K,'Таблиця 1'!$B:$B,$A424,'Таблиця 1'!$I:$I,"Су-25",'Таблиця 1'!$J:$J,"AASM-250")+SUMIFS('Таблиця 1'!$K:$K,'Таблиця 1'!$B:$B,$A424,'Таблиця 1'!$I:$I,"Су-27",'Таблиця 1'!$J:$J,"AASM-250"))</f>
        <v/>
      </c>
      <c r="J424">
        <f>IF($A424="","",SUMIFS('Таблиця 1'!$K:$K,'Таблиця 1'!$B:$B,$A424,'Таблиця 1'!$I:$I,"Mirage",'Таблиця 1'!$J:$J,"GBU-39")+SUMIFS('Таблиця 1'!$K:$K,'Таблиця 1'!$B:$B,$A424,'Таблиця 1'!$I:$I,"F-16",'Таблиця 1'!$J:$J,"GBU-39")+SUMIFS('Таблиця 1'!$K:$K,'Таблиця 1'!$B:$B,$A424,'Таблиця 1'!$I:$I,"МіГ-29",'Таблиця 1'!$J:$J,"GBU-39")+SUMIFS('Таблиця 1'!$K:$K,'Таблиця 1'!$B:$B,$A424,'Таблиця 1'!$I:$I,"Су-25",'Таблиця 1'!$J:$J,"GBU-39")+SUMIFS('Таблиця 1'!$K:$K,'Таблиця 1'!$B:$B,$A424,'Таблиця 1'!$I:$I,"Су-27",'Таблиця 1'!$J:$J,"GBU-39"))</f>
        <v/>
      </c>
      <c r="K424">
        <f>IF($A424="","",SUMIFS('Таблиця 1'!$K:$K,'Таблиця 1'!$B:$B,$A424,'Таблиця 1'!$I:$I,"Mirage",'Таблиця 1'!$J:$J,"BLU-140")+SUMIFS('Таблиця 1'!$K:$K,'Таблиця 1'!$B:$B,$A424,'Таблиця 1'!$I:$I,"F-16",'Таблиця 1'!$J:$J,"BLU-140")+SUMIFS('Таблиця 1'!$K:$K,'Таблиця 1'!$B:$B,$A424,'Таблиця 1'!$I:$I,"МіГ-29",'Таблиця 1'!$J:$J,"BLU-140")+SUMIFS('Таблиця 1'!$K:$K,'Таблиця 1'!$B:$B,$A424,'Таблиця 1'!$I:$I,"Су-25",'Таблиця 1'!$J:$J,"BLU-140")+SUMIFS('Таблиця 1'!$K:$K,'Таблиця 1'!$B:$B,$A424,'Таблиця 1'!$I:$I,"Су-27",'Таблиця 1'!$J:$J,"BLU-140"))</f>
        <v/>
      </c>
      <c r="L424">
        <f>IF($A424="","",SUMIFS('Таблиця 1'!$K:$K,'Таблиця 1'!$B:$B,$A424,'Таблиця 1'!$I:$I,"Mirage",'Таблиця 1'!$J:$J,"GBU-65")+SUMIFS('Таблиця 1'!$K:$K,'Таблиця 1'!$B:$B,$A424,'Таблиця 1'!$I:$I,"F-16",'Таблиця 1'!$J:$J,"GBU-65")+SUMIFS('Таблиця 1'!$K:$K,'Таблиця 1'!$B:$B,$A424,'Таблиця 1'!$I:$I,"МіГ-29",'Таблиця 1'!$J:$J,"GBU-65")+SUMIFS('Таблиця 1'!$K:$K,'Таблиця 1'!$B:$B,$A424,'Таблиця 1'!$I:$I,"Су-25",'Таблиця 1'!$J:$J,"GBU-65")+SUMIFS('Таблиця 1'!$K:$K,'Таблиця 1'!$B:$B,$A424,'Таблиця 1'!$I:$I,"Су-27",'Таблиця 1'!$J:$J,"GBU-65"))</f>
        <v/>
      </c>
      <c r="M424">
        <f>IF($A424="","",SUMIFS('Таблиця 1'!$K:$K,'Таблиця 1'!$B:$B,$A424,'Таблиця 1'!$I:$I,"Mirage",'Таблиця 1'!$J:$J,"GBU-62")+SUMIFS('Таблиця 1'!$K:$K,'Таблиця 1'!$B:$B,$A424,'Таблиця 1'!$I:$I,"F-16",'Таблиця 1'!$J:$J,"GBU-62")+SUMIFS('Таблиця 1'!$K:$K,'Таблиця 1'!$B:$B,$A424,'Таблиця 1'!$I:$I,"МіГ-29",'Таблиця 1'!$J:$J,"GBU-62")+SUMIFS('Таблиця 1'!$K:$K,'Таблиця 1'!$B:$B,$A424,'Таблиця 1'!$I:$I,"Су-25",'Таблиця 1'!$J:$J,"GBU-62")+SUMIFS('Таблиця 1'!$K:$K,'Таблиця 1'!$B:$B,$A424,'Таблиця 1'!$I:$I,"Су-27",'Таблиця 1'!$J:$J,"GBU-62"))</f>
        <v/>
      </c>
      <c r="N424">
        <f>IF($A424="","",SUMIFS('Таблиця 1'!$K:$K,'Таблиця 1'!$B:$B,$A424,'Таблиця 1'!$I:$I,"Mirage",'Таблиця 1'!$J:$J,"GBU-64")+SUMIFS('Таблиця 1'!$K:$K,'Таблиця 1'!$B:$B,$A424,'Таблиця 1'!$I:$I,"F-16",'Таблиця 1'!$J:$J,"GBU-64")+SUMIFS('Таблиця 1'!$K:$K,'Таблиця 1'!$B:$B,$A424,'Таблиця 1'!$I:$I,"МіГ-29",'Таблиця 1'!$J:$J,"GBU-64")+SUMIFS('Таблиця 1'!$K:$K,'Таблиця 1'!$B:$B,$A424,'Таблиця 1'!$I:$I,"Су-25",'Таблиця 1'!$J:$J,"GBU-64")+SUMIFS('Таблиця 1'!$K:$K,'Таблиця 1'!$B:$B,$A424,'Таблиця 1'!$I:$I,"Су-27",'Таблиця 1'!$J:$J,"GBU-64"))</f>
        <v/>
      </c>
      <c r="O424">
        <f>IF($A424="","",SUMIFS('Таблиця 1'!$K:$K,'Таблиця 1'!$B:$B,$A424,'Таблиця 1'!$I:$I,"Mirage",'Таблиця 1'!$J:$J,"C-13")+SUMIFS('Таблиця 1'!$K:$K,'Таблиця 1'!$B:$B,$A424,'Таблиця 1'!$I:$I,"F-16",'Таблиця 1'!$J:$J,"C-13")+SUMIFS('Таблиця 1'!$K:$K,'Таблиця 1'!$B:$B,$A424,'Таблиця 1'!$I:$I,"МіГ-29",'Таблиця 1'!$J:$J,"C-13")+SUMIFS('Таблиця 1'!$K:$K,'Таблиця 1'!$B:$B,$A424,'Таблиця 1'!$I:$I,"Су-25",'Таблиця 1'!$J:$J,"C-13")+SUMIFS('Таблиця 1'!$K:$K,'Таблиця 1'!$B:$B,$A424,'Таблиця 1'!$I:$I,"Су-27",'Таблиця 1'!$J:$J,"C-13"))</f>
        <v/>
      </c>
      <c r="P424">
        <f>IF($A424="","",SUMIFS('Таблиця 1'!$K:$K,'Таблиця 1'!$B:$B,$A424,'Таблиця 1'!$I:$I,"Mirage",'Таблиця 1'!$J:$J,"MK-32")+SUMIFS('Таблиця 1'!$K:$K,'Таблиця 1'!$B:$B,$A424,'Таблиця 1'!$I:$I,"F-16",'Таблиця 1'!$J:$J,"MK-32")+SUMIFS('Таблиця 1'!$K:$K,'Таблиця 1'!$B:$B,$A424,'Таблиця 1'!$I:$I,"МіГ-29",'Таблиця 1'!$J:$J,"MK-32")+SUMIFS('Таблиця 1'!$K:$K,'Таблиця 1'!$B:$B,$A424,'Таблиця 1'!$I:$I,"Су-25",'Таблиця 1'!$J:$J,"MK-32")+SUMIFS('Таблиця 1'!$K:$K,'Таблиця 1'!$B:$B,$A424,'Таблиця 1'!$I:$I,"Су-27",'Таблиця 1'!$J:$J,"MK-32"))</f>
        <v/>
      </c>
      <c r="Q424">
        <f>IF($A424="","",SUMIFS('Таблиця 1'!$K:$K,'Таблиця 1'!$B:$B,$A424,'Таблиця 1'!$I:$I,"Mirage",'Таблиця 1'!$J:$J,"MK-24")+SUMIFS('Таблиця 1'!$K:$K,'Таблиця 1'!$B:$B,$A424,'Таблиця 1'!$I:$I,"F-16",'Таблиця 1'!$J:$J,"MK-24")+SUMIFS('Таблиця 1'!$K:$K,'Таблиця 1'!$B:$B,$A424,'Таблиця 1'!$I:$I,"МіГ-29",'Таблиця 1'!$J:$J,"MK-24")+SUMIFS('Таблиця 1'!$K:$K,'Таблиця 1'!$B:$B,$A424,'Таблиця 1'!$I:$I,"Су-25",'Таблиця 1'!$J:$J,"MK-24")+SUMIFS('Таблиця 1'!$K:$K,'Таблиця 1'!$B:$B,$A424,'Таблиця 1'!$I:$I,"Су-27",'Таблиця 1'!$J:$J,"MK-24"))</f>
        <v/>
      </c>
      <c r="R424">
        <f>IF($A424="","",COUNTIFS('Таблиця 1'!$B:$B,$A424,'Таблиця 1'!$I:$I,"Mirage",'Таблиця 1'!$L:$L,"Уражено")+COUNTIFS('Таблиця 1'!$B:$B,$A424,'Таблиця 1'!$I:$I,"F-16",'Таблиця 1'!$L:$L,"Уражено")+COUNTIFS('Таблиця 1'!$B:$B,$A424,'Таблиця 1'!$I:$I,"МіГ-29",'Таблиця 1'!$L:$L,"Уражено")+COUNTIFS('Таблиця 1'!$B:$B,$A424,'Таблиця 1'!$I:$I,"Су-25",'Таблиця 1'!$L:$L,"Уражено")+COUNTIFS('Таблиця 1'!$B:$B,$A424,'Таблиця 1'!$I:$I,"Су-27",'Таблиця 1'!$L:$L,"Уражено"))</f>
        <v/>
      </c>
      <c r="S424">
        <f>IF($A424="","",COUNTIFS('Таблиця 1'!$B:$B,$A424,'Таблиця 1'!$I:$I,"Mirage",'Таблиця 1'!$L:$L,"НЕ уражено")+COUNTIFS('Таблиця 1'!$B:$B,$A424,'Таблиця 1'!$I:$I,"F-16",'Таблиця 1'!$L:$L,"НЕ уражено")+COUNTIFS('Таблиця 1'!$B:$B,$A424,'Таблиця 1'!$I:$I,"МіГ-29",'Таблиця 1'!$L:$L,"НЕ уражено")+COUNTIFS('Таблиця 1'!$B:$B,$A424,'Таблиця 1'!$I:$I,"Су-25",'Таблиця 1'!$L:$L,"НЕ уражено")+COUNTIFS('Таблиця 1'!$B:$B,$A424,'Таблиця 1'!$I:$I,"Су-27",'Таблиця 1'!$L:$L,"НЕ уражено"))</f>
        <v/>
      </c>
      <c r="T424">
        <f>IF($A424="","",COUNTIFS('Таблиця 1'!$B:$B,$A424,'Таблиця 1'!$I:$I,"Mirage",'Таблиця 1'!$L:$L,"Дорозвідується")+COUNTIFS('Таблиця 1'!$B:$B,$A424,'Таблиця 1'!$I:$I,"F-16",'Таблиця 1'!$L:$L,"Дорозвідується")+COUNTIFS('Таблиця 1'!$B:$B,$A424,'Таблиця 1'!$I:$I,"МіГ-29",'Таблиця 1'!$L:$L,"Дорозвідується")+COUNTIFS('Таблиця 1'!$B:$B,$A424,'Таблиця 1'!$I:$I,"Су-25",'Таблиця 1'!$L:$L,"Дорозвідується")+COUNTIFS('Таблиця 1'!$B:$B,$A424,'Таблиця 1'!$I:$I,"Су-27",'Таблиця 1'!$L:$L,"Дорозвідується"))</f>
        <v/>
      </c>
    </row>
    <row r="425">
      <c r="A425" s="273">
        <f>IF(A424="","",IF(A424+1&gt;MAX('Таблиця 1'!$B:$B),"",A424+1))</f>
        <v/>
      </c>
      <c r="B425">
        <f>IF($A425="","",COUNTIFS('Таблиця 1'!$B:$B,$A425,'Таблиця 1'!$I:$I,"Mirage")+COUNTIFS('Таблиця 1'!$B:$B,$A425,'Таблиця 1'!$I:$I,"F-16")+COUNTIFS('Таблиця 1'!$B:$B,$A425,'Таблиця 1'!$I:$I,"МіГ-29")+COUNTIFS('Таблиця 1'!$B:$B,$A425,'Таблиця 1'!$I:$I,"Су-25")+COUNTIFS('Таблиця 1'!$B:$B,$A425,'Таблиця 1'!$I:$I,"Су-27"))</f>
        <v/>
      </c>
      <c r="C425">
        <f>IF($A425="","",COUNTIFS('Таблиця 1'!$B:$B,$A425,'Таблиця 1'!$I:$I,"Mirage"))</f>
        <v/>
      </c>
      <c r="D425">
        <f>IF($A425="","",COUNTIFS('Таблиця 1'!$B:$B,$A425,'Таблиця 1'!$I:$I,"F-16"))</f>
        <v/>
      </c>
      <c r="E425">
        <f>IF($A425="","",COUNTIFS('Таблиця 1'!$B:$B,$A425,'Таблиця 1'!$I:$I,"МіГ-29"))</f>
        <v/>
      </c>
      <c r="F425">
        <f>IF($A425="","",COUNTIFS('Таблиця 1'!$B:$B,$A425,'Таблиця 1'!$I:$I,"Су-25"))</f>
        <v/>
      </c>
      <c r="G425">
        <f>IF($A425="","",COUNTIFS('Таблиця 1'!$B:$B,$A425,'Таблиця 1'!$I:$I,"Су-27"))</f>
        <v/>
      </c>
      <c r="H425">
        <f>IF($A425="","",SUMIFS('Таблиця 1'!$K:$K,'Таблиця 1'!$B:$B,$A425,'Таблиця 1'!$I:$I,"Mirage",'Таблиця 1'!$J:$J,"AGM-88")+SUMIFS('Таблиця 1'!$K:$K,'Таблиця 1'!$B:$B,$A425,'Таблиця 1'!$I:$I,"F-16",'Таблиця 1'!$J:$J,"AGM-88")+SUMIFS('Таблиця 1'!$K:$K,'Таблиця 1'!$B:$B,$A425,'Таблиця 1'!$I:$I,"МіГ-29",'Таблиця 1'!$J:$J,"AGM-88")+SUMIFS('Таблиця 1'!$K:$K,'Таблиця 1'!$B:$B,$A425,'Таблиця 1'!$I:$I,"Су-25",'Таблиця 1'!$J:$J,"AGM-88")+SUMIFS('Таблиця 1'!$K:$K,'Таблиця 1'!$B:$B,$A425,'Таблиця 1'!$I:$I,"Су-27",'Таблиця 1'!$J:$J,"AGM-88"))</f>
        <v/>
      </c>
      <c r="I425">
        <f>IF($A425="","",SUMIFS('Таблиця 1'!$K:$K,'Таблиця 1'!$B:$B,$A425,'Таблиця 1'!$I:$I,"Mirage",'Таблиця 1'!$J:$J,"AASM-250")+SUMIFS('Таблиця 1'!$K:$K,'Таблиця 1'!$B:$B,$A425,'Таблиця 1'!$I:$I,"F-16",'Таблиця 1'!$J:$J,"AASM-250")+SUMIFS('Таблиця 1'!$K:$K,'Таблиця 1'!$B:$B,$A425,'Таблиця 1'!$I:$I,"МіГ-29",'Таблиця 1'!$J:$J,"AASM-250")+SUMIFS('Таблиця 1'!$K:$K,'Таблиця 1'!$B:$B,$A425,'Таблиця 1'!$I:$I,"Су-25",'Таблиця 1'!$J:$J,"AASM-250")+SUMIFS('Таблиця 1'!$K:$K,'Таблиця 1'!$B:$B,$A425,'Таблиця 1'!$I:$I,"Су-27",'Таблиця 1'!$J:$J,"AASM-250"))</f>
        <v/>
      </c>
      <c r="J425">
        <f>IF($A425="","",SUMIFS('Таблиця 1'!$K:$K,'Таблиця 1'!$B:$B,$A425,'Таблиця 1'!$I:$I,"Mirage",'Таблиця 1'!$J:$J,"GBU-39")+SUMIFS('Таблиця 1'!$K:$K,'Таблиця 1'!$B:$B,$A425,'Таблиця 1'!$I:$I,"F-16",'Таблиця 1'!$J:$J,"GBU-39")+SUMIFS('Таблиця 1'!$K:$K,'Таблиця 1'!$B:$B,$A425,'Таблиця 1'!$I:$I,"МіГ-29",'Таблиця 1'!$J:$J,"GBU-39")+SUMIFS('Таблиця 1'!$K:$K,'Таблиця 1'!$B:$B,$A425,'Таблиця 1'!$I:$I,"Су-25",'Таблиця 1'!$J:$J,"GBU-39")+SUMIFS('Таблиця 1'!$K:$K,'Таблиця 1'!$B:$B,$A425,'Таблиця 1'!$I:$I,"Су-27",'Таблиця 1'!$J:$J,"GBU-39"))</f>
        <v/>
      </c>
      <c r="K425">
        <f>IF($A425="","",SUMIFS('Таблиця 1'!$K:$K,'Таблиця 1'!$B:$B,$A425,'Таблиця 1'!$I:$I,"Mirage",'Таблиця 1'!$J:$J,"BLU-140")+SUMIFS('Таблиця 1'!$K:$K,'Таблиця 1'!$B:$B,$A425,'Таблиця 1'!$I:$I,"F-16",'Таблиця 1'!$J:$J,"BLU-140")+SUMIFS('Таблиця 1'!$K:$K,'Таблиця 1'!$B:$B,$A425,'Таблиця 1'!$I:$I,"МіГ-29",'Таблиця 1'!$J:$J,"BLU-140")+SUMIFS('Таблиця 1'!$K:$K,'Таблиця 1'!$B:$B,$A425,'Таблиця 1'!$I:$I,"Су-25",'Таблиця 1'!$J:$J,"BLU-140")+SUMIFS('Таблиця 1'!$K:$K,'Таблиця 1'!$B:$B,$A425,'Таблиця 1'!$I:$I,"Су-27",'Таблиця 1'!$J:$J,"BLU-140"))</f>
        <v/>
      </c>
      <c r="L425">
        <f>IF($A425="","",SUMIFS('Таблиця 1'!$K:$K,'Таблиця 1'!$B:$B,$A425,'Таблиця 1'!$I:$I,"Mirage",'Таблиця 1'!$J:$J,"GBU-65")+SUMIFS('Таблиця 1'!$K:$K,'Таблиця 1'!$B:$B,$A425,'Таблиця 1'!$I:$I,"F-16",'Таблиця 1'!$J:$J,"GBU-65")+SUMIFS('Таблиця 1'!$K:$K,'Таблиця 1'!$B:$B,$A425,'Таблиця 1'!$I:$I,"МіГ-29",'Таблиця 1'!$J:$J,"GBU-65")+SUMIFS('Таблиця 1'!$K:$K,'Таблиця 1'!$B:$B,$A425,'Таблиця 1'!$I:$I,"Су-25",'Таблиця 1'!$J:$J,"GBU-65")+SUMIFS('Таблиця 1'!$K:$K,'Таблиця 1'!$B:$B,$A425,'Таблиця 1'!$I:$I,"Су-27",'Таблиця 1'!$J:$J,"GBU-65"))</f>
        <v/>
      </c>
      <c r="M425">
        <f>IF($A425="","",SUMIFS('Таблиця 1'!$K:$K,'Таблиця 1'!$B:$B,$A425,'Таблиця 1'!$I:$I,"Mirage",'Таблиця 1'!$J:$J,"GBU-62")+SUMIFS('Таблиця 1'!$K:$K,'Таблиця 1'!$B:$B,$A425,'Таблиця 1'!$I:$I,"F-16",'Таблиця 1'!$J:$J,"GBU-62")+SUMIFS('Таблиця 1'!$K:$K,'Таблиця 1'!$B:$B,$A425,'Таблиця 1'!$I:$I,"МіГ-29",'Таблиця 1'!$J:$J,"GBU-62")+SUMIFS('Таблиця 1'!$K:$K,'Таблиця 1'!$B:$B,$A425,'Таблиця 1'!$I:$I,"Су-25",'Таблиця 1'!$J:$J,"GBU-62")+SUMIFS('Таблиця 1'!$K:$K,'Таблиця 1'!$B:$B,$A425,'Таблиця 1'!$I:$I,"Су-27",'Таблиця 1'!$J:$J,"GBU-62"))</f>
        <v/>
      </c>
      <c r="N425">
        <f>IF($A425="","",SUMIFS('Таблиця 1'!$K:$K,'Таблиця 1'!$B:$B,$A425,'Таблиця 1'!$I:$I,"Mirage",'Таблиця 1'!$J:$J,"GBU-64")+SUMIFS('Таблиця 1'!$K:$K,'Таблиця 1'!$B:$B,$A425,'Таблиця 1'!$I:$I,"F-16",'Таблиця 1'!$J:$J,"GBU-64")+SUMIFS('Таблиця 1'!$K:$K,'Таблиця 1'!$B:$B,$A425,'Таблиця 1'!$I:$I,"МіГ-29",'Таблиця 1'!$J:$J,"GBU-64")+SUMIFS('Таблиця 1'!$K:$K,'Таблиця 1'!$B:$B,$A425,'Таблиця 1'!$I:$I,"Су-25",'Таблиця 1'!$J:$J,"GBU-64")+SUMIFS('Таблиця 1'!$K:$K,'Таблиця 1'!$B:$B,$A425,'Таблиця 1'!$I:$I,"Су-27",'Таблиця 1'!$J:$J,"GBU-64"))</f>
        <v/>
      </c>
      <c r="O425">
        <f>IF($A425="","",SUMIFS('Таблиця 1'!$K:$K,'Таблиця 1'!$B:$B,$A425,'Таблиця 1'!$I:$I,"Mirage",'Таблиця 1'!$J:$J,"C-13")+SUMIFS('Таблиця 1'!$K:$K,'Таблиця 1'!$B:$B,$A425,'Таблиця 1'!$I:$I,"F-16",'Таблиця 1'!$J:$J,"C-13")+SUMIFS('Таблиця 1'!$K:$K,'Таблиця 1'!$B:$B,$A425,'Таблиця 1'!$I:$I,"МіГ-29",'Таблиця 1'!$J:$J,"C-13")+SUMIFS('Таблиця 1'!$K:$K,'Таблиця 1'!$B:$B,$A425,'Таблиця 1'!$I:$I,"Су-25",'Таблиця 1'!$J:$J,"C-13")+SUMIFS('Таблиця 1'!$K:$K,'Таблиця 1'!$B:$B,$A425,'Таблиця 1'!$I:$I,"Су-27",'Таблиця 1'!$J:$J,"C-13"))</f>
        <v/>
      </c>
      <c r="P425">
        <f>IF($A425="","",SUMIFS('Таблиця 1'!$K:$K,'Таблиця 1'!$B:$B,$A425,'Таблиця 1'!$I:$I,"Mirage",'Таблиця 1'!$J:$J,"MK-32")+SUMIFS('Таблиця 1'!$K:$K,'Таблиця 1'!$B:$B,$A425,'Таблиця 1'!$I:$I,"F-16",'Таблиця 1'!$J:$J,"MK-32")+SUMIFS('Таблиця 1'!$K:$K,'Таблиця 1'!$B:$B,$A425,'Таблиця 1'!$I:$I,"МіГ-29",'Таблиця 1'!$J:$J,"MK-32")+SUMIFS('Таблиця 1'!$K:$K,'Таблиця 1'!$B:$B,$A425,'Таблиця 1'!$I:$I,"Су-25",'Таблиця 1'!$J:$J,"MK-32")+SUMIFS('Таблиця 1'!$K:$K,'Таблиця 1'!$B:$B,$A425,'Таблиця 1'!$I:$I,"Су-27",'Таблиця 1'!$J:$J,"MK-32"))</f>
        <v/>
      </c>
      <c r="Q425">
        <f>IF($A425="","",SUMIFS('Таблиця 1'!$K:$K,'Таблиця 1'!$B:$B,$A425,'Таблиця 1'!$I:$I,"Mirage",'Таблиця 1'!$J:$J,"MK-24")+SUMIFS('Таблиця 1'!$K:$K,'Таблиця 1'!$B:$B,$A425,'Таблиця 1'!$I:$I,"F-16",'Таблиця 1'!$J:$J,"MK-24")+SUMIFS('Таблиця 1'!$K:$K,'Таблиця 1'!$B:$B,$A425,'Таблиця 1'!$I:$I,"МіГ-29",'Таблиця 1'!$J:$J,"MK-24")+SUMIFS('Таблиця 1'!$K:$K,'Таблиця 1'!$B:$B,$A425,'Таблиця 1'!$I:$I,"Су-25",'Таблиця 1'!$J:$J,"MK-24")+SUMIFS('Таблиця 1'!$K:$K,'Таблиця 1'!$B:$B,$A425,'Таблиця 1'!$I:$I,"Су-27",'Таблиця 1'!$J:$J,"MK-24"))</f>
        <v/>
      </c>
      <c r="R425">
        <f>IF($A425="","",COUNTIFS('Таблиця 1'!$B:$B,$A425,'Таблиця 1'!$I:$I,"Mirage",'Таблиця 1'!$L:$L,"Уражено")+COUNTIFS('Таблиця 1'!$B:$B,$A425,'Таблиця 1'!$I:$I,"F-16",'Таблиця 1'!$L:$L,"Уражено")+COUNTIFS('Таблиця 1'!$B:$B,$A425,'Таблиця 1'!$I:$I,"МіГ-29",'Таблиця 1'!$L:$L,"Уражено")+COUNTIFS('Таблиця 1'!$B:$B,$A425,'Таблиця 1'!$I:$I,"Су-25",'Таблиця 1'!$L:$L,"Уражено")+COUNTIFS('Таблиця 1'!$B:$B,$A425,'Таблиця 1'!$I:$I,"Су-27",'Таблиця 1'!$L:$L,"Уражено"))</f>
        <v/>
      </c>
      <c r="S425">
        <f>IF($A425="","",COUNTIFS('Таблиця 1'!$B:$B,$A425,'Таблиця 1'!$I:$I,"Mirage",'Таблиця 1'!$L:$L,"НЕ уражено")+COUNTIFS('Таблиця 1'!$B:$B,$A425,'Таблиця 1'!$I:$I,"F-16",'Таблиця 1'!$L:$L,"НЕ уражено")+COUNTIFS('Таблиця 1'!$B:$B,$A425,'Таблиця 1'!$I:$I,"МіГ-29",'Таблиця 1'!$L:$L,"НЕ уражено")+COUNTIFS('Таблиця 1'!$B:$B,$A425,'Таблиця 1'!$I:$I,"Су-25",'Таблиця 1'!$L:$L,"НЕ уражено")+COUNTIFS('Таблиця 1'!$B:$B,$A425,'Таблиця 1'!$I:$I,"Су-27",'Таблиця 1'!$L:$L,"НЕ уражено"))</f>
        <v/>
      </c>
      <c r="T425">
        <f>IF($A425="","",COUNTIFS('Таблиця 1'!$B:$B,$A425,'Таблиця 1'!$I:$I,"Mirage",'Таблиця 1'!$L:$L,"Дорозвідується")+COUNTIFS('Таблиця 1'!$B:$B,$A425,'Таблиця 1'!$I:$I,"F-16",'Таблиця 1'!$L:$L,"Дорозвідується")+COUNTIFS('Таблиця 1'!$B:$B,$A425,'Таблиця 1'!$I:$I,"МіГ-29",'Таблиця 1'!$L:$L,"Дорозвідується")+COUNTIFS('Таблиця 1'!$B:$B,$A425,'Таблиця 1'!$I:$I,"Су-25",'Таблиця 1'!$L:$L,"Дорозвідується")+COUNTIFS('Таблиця 1'!$B:$B,$A425,'Таблиця 1'!$I:$I,"Су-27",'Таблиця 1'!$L:$L,"Дорозвідується"))</f>
        <v/>
      </c>
    </row>
    <row r="426">
      <c r="A426" s="273">
        <f>IF(A425="","",IF(A425+1&gt;MAX('Таблиця 1'!$B:$B),"",A425+1))</f>
        <v/>
      </c>
      <c r="B426">
        <f>IF($A426="","",COUNTIFS('Таблиця 1'!$B:$B,$A426,'Таблиця 1'!$I:$I,"Mirage")+COUNTIFS('Таблиця 1'!$B:$B,$A426,'Таблиця 1'!$I:$I,"F-16")+COUNTIFS('Таблиця 1'!$B:$B,$A426,'Таблиця 1'!$I:$I,"МіГ-29")+COUNTIFS('Таблиця 1'!$B:$B,$A426,'Таблиця 1'!$I:$I,"Су-25")+COUNTIFS('Таблиця 1'!$B:$B,$A426,'Таблиця 1'!$I:$I,"Су-27"))</f>
        <v/>
      </c>
      <c r="C426">
        <f>IF($A426="","",COUNTIFS('Таблиця 1'!$B:$B,$A426,'Таблиця 1'!$I:$I,"Mirage"))</f>
        <v/>
      </c>
      <c r="D426">
        <f>IF($A426="","",COUNTIFS('Таблиця 1'!$B:$B,$A426,'Таблиця 1'!$I:$I,"F-16"))</f>
        <v/>
      </c>
      <c r="E426">
        <f>IF($A426="","",COUNTIFS('Таблиця 1'!$B:$B,$A426,'Таблиця 1'!$I:$I,"МіГ-29"))</f>
        <v/>
      </c>
      <c r="F426">
        <f>IF($A426="","",COUNTIFS('Таблиця 1'!$B:$B,$A426,'Таблиця 1'!$I:$I,"Су-25"))</f>
        <v/>
      </c>
      <c r="G426">
        <f>IF($A426="","",COUNTIFS('Таблиця 1'!$B:$B,$A426,'Таблиця 1'!$I:$I,"Су-27"))</f>
        <v/>
      </c>
      <c r="H426">
        <f>IF($A426="","",SUMIFS('Таблиця 1'!$K:$K,'Таблиця 1'!$B:$B,$A426,'Таблиця 1'!$I:$I,"Mirage",'Таблиця 1'!$J:$J,"AGM-88")+SUMIFS('Таблиця 1'!$K:$K,'Таблиця 1'!$B:$B,$A426,'Таблиця 1'!$I:$I,"F-16",'Таблиця 1'!$J:$J,"AGM-88")+SUMIFS('Таблиця 1'!$K:$K,'Таблиця 1'!$B:$B,$A426,'Таблиця 1'!$I:$I,"МіГ-29",'Таблиця 1'!$J:$J,"AGM-88")+SUMIFS('Таблиця 1'!$K:$K,'Таблиця 1'!$B:$B,$A426,'Таблиця 1'!$I:$I,"Су-25",'Таблиця 1'!$J:$J,"AGM-88")+SUMIFS('Таблиця 1'!$K:$K,'Таблиця 1'!$B:$B,$A426,'Таблиця 1'!$I:$I,"Су-27",'Таблиця 1'!$J:$J,"AGM-88"))</f>
        <v/>
      </c>
      <c r="I426">
        <f>IF($A426="","",SUMIFS('Таблиця 1'!$K:$K,'Таблиця 1'!$B:$B,$A426,'Таблиця 1'!$I:$I,"Mirage",'Таблиця 1'!$J:$J,"AASM-250")+SUMIFS('Таблиця 1'!$K:$K,'Таблиця 1'!$B:$B,$A426,'Таблиця 1'!$I:$I,"F-16",'Таблиця 1'!$J:$J,"AASM-250")+SUMIFS('Таблиця 1'!$K:$K,'Таблиця 1'!$B:$B,$A426,'Таблиця 1'!$I:$I,"МіГ-29",'Таблиця 1'!$J:$J,"AASM-250")+SUMIFS('Таблиця 1'!$K:$K,'Таблиця 1'!$B:$B,$A426,'Таблиця 1'!$I:$I,"Су-25",'Таблиця 1'!$J:$J,"AASM-250")+SUMIFS('Таблиця 1'!$K:$K,'Таблиця 1'!$B:$B,$A426,'Таблиця 1'!$I:$I,"Су-27",'Таблиця 1'!$J:$J,"AASM-250"))</f>
        <v/>
      </c>
      <c r="J426">
        <f>IF($A426="","",SUMIFS('Таблиця 1'!$K:$K,'Таблиця 1'!$B:$B,$A426,'Таблиця 1'!$I:$I,"Mirage",'Таблиця 1'!$J:$J,"GBU-39")+SUMIFS('Таблиця 1'!$K:$K,'Таблиця 1'!$B:$B,$A426,'Таблиця 1'!$I:$I,"F-16",'Таблиця 1'!$J:$J,"GBU-39")+SUMIFS('Таблиця 1'!$K:$K,'Таблиця 1'!$B:$B,$A426,'Таблиця 1'!$I:$I,"МіГ-29",'Таблиця 1'!$J:$J,"GBU-39")+SUMIFS('Таблиця 1'!$K:$K,'Таблиця 1'!$B:$B,$A426,'Таблиця 1'!$I:$I,"Су-25",'Таблиця 1'!$J:$J,"GBU-39")+SUMIFS('Таблиця 1'!$K:$K,'Таблиця 1'!$B:$B,$A426,'Таблиця 1'!$I:$I,"Су-27",'Таблиця 1'!$J:$J,"GBU-39"))</f>
        <v/>
      </c>
      <c r="K426">
        <f>IF($A426="","",SUMIFS('Таблиця 1'!$K:$K,'Таблиця 1'!$B:$B,$A426,'Таблиця 1'!$I:$I,"Mirage",'Таблиця 1'!$J:$J,"BLU-140")+SUMIFS('Таблиця 1'!$K:$K,'Таблиця 1'!$B:$B,$A426,'Таблиця 1'!$I:$I,"F-16",'Таблиця 1'!$J:$J,"BLU-140")+SUMIFS('Таблиця 1'!$K:$K,'Таблиця 1'!$B:$B,$A426,'Таблиця 1'!$I:$I,"МіГ-29",'Таблиця 1'!$J:$J,"BLU-140")+SUMIFS('Таблиця 1'!$K:$K,'Таблиця 1'!$B:$B,$A426,'Таблиця 1'!$I:$I,"Су-25",'Таблиця 1'!$J:$J,"BLU-140")+SUMIFS('Таблиця 1'!$K:$K,'Таблиця 1'!$B:$B,$A426,'Таблиця 1'!$I:$I,"Су-27",'Таблиця 1'!$J:$J,"BLU-140"))</f>
        <v/>
      </c>
      <c r="L426">
        <f>IF($A426="","",SUMIFS('Таблиця 1'!$K:$K,'Таблиця 1'!$B:$B,$A426,'Таблиця 1'!$I:$I,"Mirage",'Таблиця 1'!$J:$J,"GBU-65")+SUMIFS('Таблиця 1'!$K:$K,'Таблиця 1'!$B:$B,$A426,'Таблиця 1'!$I:$I,"F-16",'Таблиця 1'!$J:$J,"GBU-65")+SUMIFS('Таблиця 1'!$K:$K,'Таблиця 1'!$B:$B,$A426,'Таблиця 1'!$I:$I,"МіГ-29",'Таблиця 1'!$J:$J,"GBU-65")+SUMIFS('Таблиця 1'!$K:$K,'Таблиця 1'!$B:$B,$A426,'Таблиця 1'!$I:$I,"Су-25",'Таблиця 1'!$J:$J,"GBU-65")+SUMIFS('Таблиця 1'!$K:$K,'Таблиця 1'!$B:$B,$A426,'Таблиця 1'!$I:$I,"Су-27",'Таблиця 1'!$J:$J,"GBU-65"))</f>
        <v/>
      </c>
      <c r="M426">
        <f>IF($A426="","",SUMIFS('Таблиця 1'!$K:$K,'Таблиця 1'!$B:$B,$A426,'Таблиця 1'!$I:$I,"Mirage",'Таблиця 1'!$J:$J,"GBU-62")+SUMIFS('Таблиця 1'!$K:$K,'Таблиця 1'!$B:$B,$A426,'Таблиця 1'!$I:$I,"F-16",'Таблиця 1'!$J:$J,"GBU-62")+SUMIFS('Таблиця 1'!$K:$K,'Таблиця 1'!$B:$B,$A426,'Таблиця 1'!$I:$I,"МіГ-29",'Таблиця 1'!$J:$J,"GBU-62")+SUMIFS('Таблиця 1'!$K:$K,'Таблиця 1'!$B:$B,$A426,'Таблиця 1'!$I:$I,"Су-25",'Таблиця 1'!$J:$J,"GBU-62")+SUMIFS('Таблиця 1'!$K:$K,'Таблиця 1'!$B:$B,$A426,'Таблиця 1'!$I:$I,"Су-27",'Таблиця 1'!$J:$J,"GBU-62"))</f>
        <v/>
      </c>
      <c r="N426">
        <f>IF($A426="","",SUMIFS('Таблиця 1'!$K:$K,'Таблиця 1'!$B:$B,$A426,'Таблиця 1'!$I:$I,"Mirage",'Таблиця 1'!$J:$J,"GBU-64")+SUMIFS('Таблиця 1'!$K:$K,'Таблиця 1'!$B:$B,$A426,'Таблиця 1'!$I:$I,"F-16",'Таблиця 1'!$J:$J,"GBU-64")+SUMIFS('Таблиця 1'!$K:$K,'Таблиця 1'!$B:$B,$A426,'Таблиця 1'!$I:$I,"МіГ-29",'Таблиця 1'!$J:$J,"GBU-64")+SUMIFS('Таблиця 1'!$K:$K,'Таблиця 1'!$B:$B,$A426,'Таблиця 1'!$I:$I,"Су-25",'Таблиця 1'!$J:$J,"GBU-64")+SUMIFS('Таблиця 1'!$K:$K,'Таблиця 1'!$B:$B,$A426,'Таблиця 1'!$I:$I,"Су-27",'Таблиця 1'!$J:$J,"GBU-64"))</f>
        <v/>
      </c>
      <c r="O426">
        <f>IF($A426="","",SUMIFS('Таблиця 1'!$K:$K,'Таблиця 1'!$B:$B,$A426,'Таблиця 1'!$I:$I,"Mirage",'Таблиця 1'!$J:$J,"C-13")+SUMIFS('Таблиця 1'!$K:$K,'Таблиця 1'!$B:$B,$A426,'Таблиця 1'!$I:$I,"F-16",'Таблиця 1'!$J:$J,"C-13")+SUMIFS('Таблиця 1'!$K:$K,'Таблиця 1'!$B:$B,$A426,'Таблиця 1'!$I:$I,"МіГ-29",'Таблиця 1'!$J:$J,"C-13")+SUMIFS('Таблиця 1'!$K:$K,'Таблиця 1'!$B:$B,$A426,'Таблиця 1'!$I:$I,"Су-25",'Таблиця 1'!$J:$J,"C-13")+SUMIFS('Таблиця 1'!$K:$K,'Таблиця 1'!$B:$B,$A426,'Таблиця 1'!$I:$I,"Су-27",'Таблиця 1'!$J:$J,"C-13"))</f>
        <v/>
      </c>
      <c r="P426">
        <f>IF($A426="","",SUMIFS('Таблиця 1'!$K:$K,'Таблиця 1'!$B:$B,$A426,'Таблиця 1'!$I:$I,"Mirage",'Таблиця 1'!$J:$J,"MK-32")+SUMIFS('Таблиця 1'!$K:$K,'Таблиця 1'!$B:$B,$A426,'Таблиця 1'!$I:$I,"F-16",'Таблиця 1'!$J:$J,"MK-32")+SUMIFS('Таблиця 1'!$K:$K,'Таблиця 1'!$B:$B,$A426,'Таблиця 1'!$I:$I,"МіГ-29",'Таблиця 1'!$J:$J,"MK-32")+SUMIFS('Таблиця 1'!$K:$K,'Таблиця 1'!$B:$B,$A426,'Таблиця 1'!$I:$I,"Су-25",'Таблиця 1'!$J:$J,"MK-32")+SUMIFS('Таблиця 1'!$K:$K,'Таблиця 1'!$B:$B,$A426,'Таблиця 1'!$I:$I,"Су-27",'Таблиця 1'!$J:$J,"MK-32"))</f>
        <v/>
      </c>
      <c r="Q426">
        <f>IF($A426="","",SUMIFS('Таблиця 1'!$K:$K,'Таблиця 1'!$B:$B,$A426,'Таблиця 1'!$I:$I,"Mirage",'Таблиця 1'!$J:$J,"MK-24")+SUMIFS('Таблиця 1'!$K:$K,'Таблиця 1'!$B:$B,$A426,'Таблиця 1'!$I:$I,"F-16",'Таблиця 1'!$J:$J,"MK-24")+SUMIFS('Таблиця 1'!$K:$K,'Таблиця 1'!$B:$B,$A426,'Таблиця 1'!$I:$I,"МіГ-29",'Таблиця 1'!$J:$J,"MK-24")+SUMIFS('Таблиця 1'!$K:$K,'Таблиця 1'!$B:$B,$A426,'Таблиця 1'!$I:$I,"Су-25",'Таблиця 1'!$J:$J,"MK-24")+SUMIFS('Таблиця 1'!$K:$K,'Таблиця 1'!$B:$B,$A426,'Таблиця 1'!$I:$I,"Су-27",'Таблиця 1'!$J:$J,"MK-24"))</f>
        <v/>
      </c>
      <c r="R426">
        <f>IF($A426="","",COUNTIFS('Таблиця 1'!$B:$B,$A426,'Таблиця 1'!$I:$I,"Mirage",'Таблиця 1'!$L:$L,"Уражено")+COUNTIFS('Таблиця 1'!$B:$B,$A426,'Таблиця 1'!$I:$I,"F-16",'Таблиця 1'!$L:$L,"Уражено")+COUNTIFS('Таблиця 1'!$B:$B,$A426,'Таблиця 1'!$I:$I,"МіГ-29",'Таблиця 1'!$L:$L,"Уражено")+COUNTIFS('Таблиця 1'!$B:$B,$A426,'Таблиця 1'!$I:$I,"Су-25",'Таблиця 1'!$L:$L,"Уражено")+COUNTIFS('Таблиця 1'!$B:$B,$A426,'Таблиця 1'!$I:$I,"Су-27",'Таблиця 1'!$L:$L,"Уражено"))</f>
        <v/>
      </c>
      <c r="S426">
        <f>IF($A426="","",COUNTIFS('Таблиця 1'!$B:$B,$A426,'Таблиця 1'!$I:$I,"Mirage",'Таблиця 1'!$L:$L,"НЕ уражено")+COUNTIFS('Таблиця 1'!$B:$B,$A426,'Таблиця 1'!$I:$I,"F-16",'Таблиця 1'!$L:$L,"НЕ уражено")+COUNTIFS('Таблиця 1'!$B:$B,$A426,'Таблиця 1'!$I:$I,"МіГ-29",'Таблиця 1'!$L:$L,"НЕ уражено")+COUNTIFS('Таблиця 1'!$B:$B,$A426,'Таблиця 1'!$I:$I,"Су-25",'Таблиця 1'!$L:$L,"НЕ уражено")+COUNTIFS('Таблиця 1'!$B:$B,$A426,'Таблиця 1'!$I:$I,"Су-27",'Таблиця 1'!$L:$L,"НЕ уражено"))</f>
        <v/>
      </c>
      <c r="T426">
        <f>IF($A426="","",COUNTIFS('Таблиця 1'!$B:$B,$A426,'Таблиця 1'!$I:$I,"Mirage",'Таблиця 1'!$L:$L,"Дорозвідується")+COUNTIFS('Таблиця 1'!$B:$B,$A426,'Таблиця 1'!$I:$I,"F-16",'Таблиця 1'!$L:$L,"Дорозвідується")+COUNTIFS('Таблиця 1'!$B:$B,$A426,'Таблиця 1'!$I:$I,"МіГ-29",'Таблиця 1'!$L:$L,"Дорозвідується")+COUNTIFS('Таблиця 1'!$B:$B,$A426,'Таблиця 1'!$I:$I,"Су-25",'Таблиця 1'!$L:$L,"Дорозвідується")+COUNTIFS('Таблиця 1'!$B:$B,$A426,'Таблиця 1'!$I:$I,"Су-27",'Таблиця 1'!$L:$L,"Дорозвідується"))</f>
        <v/>
      </c>
    </row>
    <row r="427">
      <c r="A427" s="273">
        <f>IF(A426="","",IF(A426+1&gt;MAX('Таблиця 1'!$B:$B),"",A426+1))</f>
        <v/>
      </c>
      <c r="B427">
        <f>IF($A427="","",COUNTIFS('Таблиця 1'!$B:$B,$A427,'Таблиця 1'!$I:$I,"Mirage")+COUNTIFS('Таблиця 1'!$B:$B,$A427,'Таблиця 1'!$I:$I,"F-16")+COUNTIFS('Таблиця 1'!$B:$B,$A427,'Таблиця 1'!$I:$I,"МіГ-29")+COUNTIFS('Таблиця 1'!$B:$B,$A427,'Таблиця 1'!$I:$I,"Су-25")+COUNTIFS('Таблиця 1'!$B:$B,$A427,'Таблиця 1'!$I:$I,"Су-27"))</f>
        <v/>
      </c>
      <c r="C427">
        <f>IF($A427="","",COUNTIFS('Таблиця 1'!$B:$B,$A427,'Таблиця 1'!$I:$I,"Mirage"))</f>
        <v/>
      </c>
      <c r="D427">
        <f>IF($A427="","",COUNTIFS('Таблиця 1'!$B:$B,$A427,'Таблиця 1'!$I:$I,"F-16"))</f>
        <v/>
      </c>
      <c r="E427">
        <f>IF($A427="","",COUNTIFS('Таблиця 1'!$B:$B,$A427,'Таблиця 1'!$I:$I,"МіГ-29"))</f>
        <v/>
      </c>
      <c r="F427">
        <f>IF($A427="","",COUNTIFS('Таблиця 1'!$B:$B,$A427,'Таблиця 1'!$I:$I,"Су-25"))</f>
        <v/>
      </c>
      <c r="G427">
        <f>IF($A427="","",COUNTIFS('Таблиця 1'!$B:$B,$A427,'Таблиця 1'!$I:$I,"Су-27"))</f>
        <v/>
      </c>
      <c r="H427">
        <f>IF($A427="","",SUMIFS('Таблиця 1'!$K:$K,'Таблиця 1'!$B:$B,$A427,'Таблиця 1'!$I:$I,"Mirage",'Таблиця 1'!$J:$J,"AGM-88")+SUMIFS('Таблиця 1'!$K:$K,'Таблиця 1'!$B:$B,$A427,'Таблиця 1'!$I:$I,"F-16",'Таблиця 1'!$J:$J,"AGM-88")+SUMIFS('Таблиця 1'!$K:$K,'Таблиця 1'!$B:$B,$A427,'Таблиця 1'!$I:$I,"МіГ-29",'Таблиця 1'!$J:$J,"AGM-88")+SUMIFS('Таблиця 1'!$K:$K,'Таблиця 1'!$B:$B,$A427,'Таблиця 1'!$I:$I,"Су-25",'Таблиця 1'!$J:$J,"AGM-88")+SUMIFS('Таблиця 1'!$K:$K,'Таблиця 1'!$B:$B,$A427,'Таблиця 1'!$I:$I,"Су-27",'Таблиця 1'!$J:$J,"AGM-88"))</f>
        <v/>
      </c>
      <c r="I427">
        <f>IF($A427="","",SUMIFS('Таблиця 1'!$K:$K,'Таблиця 1'!$B:$B,$A427,'Таблиця 1'!$I:$I,"Mirage",'Таблиця 1'!$J:$J,"AASM-250")+SUMIFS('Таблиця 1'!$K:$K,'Таблиця 1'!$B:$B,$A427,'Таблиця 1'!$I:$I,"F-16",'Таблиця 1'!$J:$J,"AASM-250")+SUMIFS('Таблиця 1'!$K:$K,'Таблиця 1'!$B:$B,$A427,'Таблиця 1'!$I:$I,"МіГ-29",'Таблиця 1'!$J:$J,"AASM-250")+SUMIFS('Таблиця 1'!$K:$K,'Таблиця 1'!$B:$B,$A427,'Таблиця 1'!$I:$I,"Су-25",'Таблиця 1'!$J:$J,"AASM-250")+SUMIFS('Таблиця 1'!$K:$K,'Таблиця 1'!$B:$B,$A427,'Таблиця 1'!$I:$I,"Су-27",'Таблиця 1'!$J:$J,"AASM-250"))</f>
        <v/>
      </c>
      <c r="J427">
        <f>IF($A427="","",SUMIFS('Таблиця 1'!$K:$K,'Таблиця 1'!$B:$B,$A427,'Таблиця 1'!$I:$I,"Mirage",'Таблиця 1'!$J:$J,"GBU-39")+SUMIFS('Таблиця 1'!$K:$K,'Таблиця 1'!$B:$B,$A427,'Таблиця 1'!$I:$I,"F-16",'Таблиця 1'!$J:$J,"GBU-39")+SUMIFS('Таблиця 1'!$K:$K,'Таблиця 1'!$B:$B,$A427,'Таблиця 1'!$I:$I,"МіГ-29",'Таблиця 1'!$J:$J,"GBU-39")+SUMIFS('Таблиця 1'!$K:$K,'Таблиця 1'!$B:$B,$A427,'Таблиця 1'!$I:$I,"Су-25",'Таблиця 1'!$J:$J,"GBU-39")+SUMIFS('Таблиця 1'!$K:$K,'Таблиця 1'!$B:$B,$A427,'Таблиця 1'!$I:$I,"Су-27",'Таблиця 1'!$J:$J,"GBU-39"))</f>
        <v/>
      </c>
      <c r="K427">
        <f>IF($A427="","",SUMIFS('Таблиця 1'!$K:$K,'Таблиця 1'!$B:$B,$A427,'Таблиця 1'!$I:$I,"Mirage",'Таблиця 1'!$J:$J,"BLU-140")+SUMIFS('Таблиця 1'!$K:$K,'Таблиця 1'!$B:$B,$A427,'Таблиця 1'!$I:$I,"F-16",'Таблиця 1'!$J:$J,"BLU-140")+SUMIFS('Таблиця 1'!$K:$K,'Таблиця 1'!$B:$B,$A427,'Таблиця 1'!$I:$I,"МіГ-29",'Таблиця 1'!$J:$J,"BLU-140")+SUMIFS('Таблиця 1'!$K:$K,'Таблиця 1'!$B:$B,$A427,'Таблиця 1'!$I:$I,"Су-25",'Таблиця 1'!$J:$J,"BLU-140")+SUMIFS('Таблиця 1'!$K:$K,'Таблиця 1'!$B:$B,$A427,'Таблиця 1'!$I:$I,"Су-27",'Таблиця 1'!$J:$J,"BLU-140"))</f>
        <v/>
      </c>
      <c r="L427">
        <f>IF($A427="","",SUMIFS('Таблиця 1'!$K:$K,'Таблиця 1'!$B:$B,$A427,'Таблиця 1'!$I:$I,"Mirage",'Таблиця 1'!$J:$J,"GBU-65")+SUMIFS('Таблиця 1'!$K:$K,'Таблиця 1'!$B:$B,$A427,'Таблиця 1'!$I:$I,"F-16",'Таблиця 1'!$J:$J,"GBU-65")+SUMIFS('Таблиця 1'!$K:$K,'Таблиця 1'!$B:$B,$A427,'Таблиця 1'!$I:$I,"МіГ-29",'Таблиця 1'!$J:$J,"GBU-65")+SUMIFS('Таблиця 1'!$K:$K,'Таблиця 1'!$B:$B,$A427,'Таблиця 1'!$I:$I,"Су-25",'Таблиця 1'!$J:$J,"GBU-65")+SUMIFS('Таблиця 1'!$K:$K,'Таблиця 1'!$B:$B,$A427,'Таблиця 1'!$I:$I,"Су-27",'Таблиця 1'!$J:$J,"GBU-65"))</f>
        <v/>
      </c>
      <c r="M427">
        <f>IF($A427="","",SUMIFS('Таблиця 1'!$K:$K,'Таблиця 1'!$B:$B,$A427,'Таблиця 1'!$I:$I,"Mirage",'Таблиця 1'!$J:$J,"GBU-62")+SUMIFS('Таблиця 1'!$K:$K,'Таблиця 1'!$B:$B,$A427,'Таблиця 1'!$I:$I,"F-16",'Таблиця 1'!$J:$J,"GBU-62")+SUMIFS('Таблиця 1'!$K:$K,'Таблиця 1'!$B:$B,$A427,'Таблиця 1'!$I:$I,"МіГ-29",'Таблиця 1'!$J:$J,"GBU-62")+SUMIFS('Таблиця 1'!$K:$K,'Таблиця 1'!$B:$B,$A427,'Таблиця 1'!$I:$I,"Су-25",'Таблиця 1'!$J:$J,"GBU-62")+SUMIFS('Таблиця 1'!$K:$K,'Таблиця 1'!$B:$B,$A427,'Таблиця 1'!$I:$I,"Су-27",'Таблиця 1'!$J:$J,"GBU-62"))</f>
        <v/>
      </c>
      <c r="N427">
        <f>IF($A427="","",SUMIFS('Таблиця 1'!$K:$K,'Таблиця 1'!$B:$B,$A427,'Таблиця 1'!$I:$I,"Mirage",'Таблиця 1'!$J:$J,"GBU-64")+SUMIFS('Таблиця 1'!$K:$K,'Таблиця 1'!$B:$B,$A427,'Таблиця 1'!$I:$I,"F-16",'Таблиця 1'!$J:$J,"GBU-64")+SUMIFS('Таблиця 1'!$K:$K,'Таблиця 1'!$B:$B,$A427,'Таблиця 1'!$I:$I,"МіГ-29",'Таблиця 1'!$J:$J,"GBU-64")+SUMIFS('Таблиця 1'!$K:$K,'Таблиця 1'!$B:$B,$A427,'Таблиця 1'!$I:$I,"Су-25",'Таблиця 1'!$J:$J,"GBU-64")+SUMIFS('Таблиця 1'!$K:$K,'Таблиця 1'!$B:$B,$A427,'Таблиця 1'!$I:$I,"Су-27",'Таблиця 1'!$J:$J,"GBU-64"))</f>
        <v/>
      </c>
      <c r="O427">
        <f>IF($A427="","",SUMIFS('Таблиця 1'!$K:$K,'Таблиця 1'!$B:$B,$A427,'Таблиця 1'!$I:$I,"Mirage",'Таблиця 1'!$J:$J,"C-13")+SUMIFS('Таблиця 1'!$K:$K,'Таблиця 1'!$B:$B,$A427,'Таблиця 1'!$I:$I,"F-16",'Таблиця 1'!$J:$J,"C-13")+SUMIFS('Таблиця 1'!$K:$K,'Таблиця 1'!$B:$B,$A427,'Таблиця 1'!$I:$I,"МіГ-29",'Таблиця 1'!$J:$J,"C-13")+SUMIFS('Таблиця 1'!$K:$K,'Таблиця 1'!$B:$B,$A427,'Таблиця 1'!$I:$I,"Су-25",'Таблиця 1'!$J:$J,"C-13")+SUMIFS('Таблиця 1'!$K:$K,'Таблиця 1'!$B:$B,$A427,'Таблиця 1'!$I:$I,"Су-27",'Таблиця 1'!$J:$J,"C-13"))</f>
        <v/>
      </c>
      <c r="P427">
        <f>IF($A427="","",SUMIFS('Таблиця 1'!$K:$K,'Таблиця 1'!$B:$B,$A427,'Таблиця 1'!$I:$I,"Mirage",'Таблиця 1'!$J:$J,"MK-32")+SUMIFS('Таблиця 1'!$K:$K,'Таблиця 1'!$B:$B,$A427,'Таблиця 1'!$I:$I,"F-16",'Таблиця 1'!$J:$J,"MK-32")+SUMIFS('Таблиця 1'!$K:$K,'Таблиця 1'!$B:$B,$A427,'Таблиця 1'!$I:$I,"МіГ-29",'Таблиця 1'!$J:$J,"MK-32")+SUMIFS('Таблиця 1'!$K:$K,'Таблиця 1'!$B:$B,$A427,'Таблиця 1'!$I:$I,"Су-25",'Таблиця 1'!$J:$J,"MK-32")+SUMIFS('Таблиця 1'!$K:$K,'Таблиця 1'!$B:$B,$A427,'Таблиця 1'!$I:$I,"Су-27",'Таблиця 1'!$J:$J,"MK-32"))</f>
        <v/>
      </c>
      <c r="Q427">
        <f>IF($A427="","",SUMIFS('Таблиця 1'!$K:$K,'Таблиця 1'!$B:$B,$A427,'Таблиця 1'!$I:$I,"Mirage",'Таблиця 1'!$J:$J,"MK-24")+SUMIFS('Таблиця 1'!$K:$K,'Таблиця 1'!$B:$B,$A427,'Таблиця 1'!$I:$I,"F-16",'Таблиця 1'!$J:$J,"MK-24")+SUMIFS('Таблиця 1'!$K:$K,'Таблиця 1'!$B:$B,$A427,'Таблиця 1'!$I:$I,"МіГ-29",'Таблиця 1'!$J:$J,"MK-24")+SUMIFS('Таблиця 1'!$K:$K,'Таблиця 1'!$B:$B,$A427,'Таблиця 1'!$I:$I,"Су-25",'Таблиця 1'!$J:$J,"MK-24")+SUMIFS('Таблиця 1'!$K:$K,'Таблиця 1'!$B:$B,$A427,'Таблиця 1'!$I:$I,"Су-27",'Таблиця 1'!$J:$J,"MK-24"))</f>
        <v/>
      </c>
      <c r="R427">
        <f>IF($A427="","",COUNTIFS('Таблиця 1'!$B:$B,$A427,'Таблиця 1'!$I:$I,"Mirage",'Таблиця 1'!$L:$L,"Уражено")+COUNTIFS('Таблиця 1'!$B:$B,$A427,'Таблиця 1'!$I:$I,"F-16",'Таблиця 1'!$L:$L,"Уражено")+COUNTIFS('Таблиця 1'!$B:$B,$A427,'Таблиця 1'!$I:$I,"МіГ-29",'Таблиця 1'!$L:$L,"Уражено")+COUNTIFS('Таблиця 1'!$B:$B,$A427,'Таблиця 1'!$I:$I,"Су-25",'Таблиця 1'!$L:$L,"Уражено")+COUNTIFS('Таблиця 1'!$B:$B,$A427,'Таблиця 1'!$I:$I,"Су-27",'Таблиця 1'!$L:$L,"Уражено"))</f>
        <v/>
      </c>
      <c r="S427">
        <f>IF($A427="","",COUNTIFS('Таблиця 1'!$B:$B,$A427,'Таблиця 1'!$I:$I,"Mirage",'Таблиця 1'!$L:$L,"НЕ уражено")+COUNTIFS('Таблиця 1'!$B:$B,$A427,'Таблиця 1'!$I:$I,"F-16",'Таблиця 1'!$L:$L,"НЕ уражено")+COUNTIFS('Таблиця 1'!$B:$B,$A427,'Таблиця 1'!$I:$I,"МіГ-29",'Таблиця 1'!$L:$L,"НЕ уражено")+COUNTIFS('Таблиця 1'!$B:$B,$A427,'Таблиця 1'!$I:$I,"Су-25",'Таблиця 1'!$L:$L,"НЕ уражено")+COUNTIFS('Таблиця 1'!$B:$B,$A427,'Таблиця 1'!$I:$I,"Су-27",'Таблиця 1'!$L:$L,"НЕ уражено"))</f>
        <v/>
      </c>
      <c r="T427">
        <f>IF($A427="","",COUNTIFS('Таблиця 1'!$B:$B,$A427,'Таблиця 1'!$I:$I,"Mirage",'Таблиця 1'!$L:$L,"Дорозвідується")+COUNTIFS('Таблиця 1'!$B:$B,$A427,'Таблиця 1'!$I:$I,"F-16",'Таблиця 1'!$L:$L,"Дорозвідується")+COUNTIFS('Таблиця 1'!$B:$B,$A427,'Таблиця 1'!$I:$I,"МіГ-29",'Таблиця 1'!$L:$L,"Дорозвідується")+COUNTIFS('Таблиця 1'!$B:$B,$A427,'Таблиця 1'!$I:$I,"Су-25",'Таблиця 1'!$L:$L,"Дорозвідується")+COUNTIFS('Таблиця 1'!$B:$B,$A427,'Таблиця 1'!$I:$I,"Су-27",'Таблиця 1'!$L:$L,"Дорозвідується"))</f>
        <v/>
      </c>
    </row>
    <row r="428">
      <c r="A428" s="273">
        <f>IF(A427="","",IF(A427+1&gt;MAX('Таблиця 1'!$B:$B),"",A427+1))</f>
        <v/>
      </c>
      <c r="B428">
        <f>IF($A428="","",COUNTIFS('Таблиця 1'!$B:$B,$A428,'Таблиця 1'!$I:$I,"Mirage")+COUNTIFS('Таблиця 1'!$B:$B,$A428,'Таблиця 1'!$I:$I,"F-16")+COUNTIFS('Таблиця 1'!$B:$B,$A428,'Таблиця 1'!$I:$I,"МіГ-29")+COUNTIFS('Таблиця 1'!$B:$B,$A428,'Таблиця 1'!$I:$I,"Су-25")+COUNTIFS('Таблиця 1'!$B:$B,$A428,'Таблиця 1'!$I:$I,"Су-27"))</f>
        <v/>
      </c>
      <c r="C428">
        <f>IF($A428="","",COUNTIFS('Таблиця 1'!$B:$B,$A428,'Таблиця 1'!$I:$I,"Mirage"))</f>
        <v/>
      </c>
      <c r="D428">
        <f>IF($A428="","",COUNTIFS('Таблиця 1'!$B:$B,$A428,'Таблиця 1'!$I:$I,"F-16"))</f>
        <v/>
      </c>
      <c r="E428">
        <f>IF($A428="","",COUNTIFS('Таблиця 1'!$B:$B,$A428,'Таблиця 1'!$I:$I,"МіГ-29"))</f>
        <v/>
      </c>
      <c r="F428">
        <f>IF($A428="","",COUNTIFS('Таблиця 1'!$B:$B,$A428,'Таблиця 1'!$I:$I,"Су-25"))</f>
        <v/>
      </c>
      <c r="G428">
        <f>IF($A428="","",COUNTIFS('Таблиця 1'!$B:$B,$A428,'Таблиця 1'!$I:$I,"Су-27"))</f>
        <v/>
      </c>
      <c r="H428">
        <f>IF($A428="","",SUMIFS('Таблиця 1'!$K:$K,'Таблиця 1'!$B:$B,$A428,'Таблиця 1'!$I:$I,"Mirage",'Таблиця 1'!$J:$J,"AGM-88")+SUMIFS('Таблиця 1'!$K:$K,'Таблиця 1'!$B:$B,$A428,'Таблиця 1'!$I:$I,"F-16",'Таблиця 1'!$J:$J,"AGM-88")+SUMIFS('Таблиця 1'!$K:$K,'Таблиця 1'!$B:$B,$A428,'Таблиця 1'!$I:$I,"МіГ-29",'Таблиця 1'!$J:$J,"AGM-88")+SUMIFS('Таблиця 1'!$K:$K,'Таблиця 1'!$B:$B,$A428,'Таблиця 1'!$I:$I,"Су-25",'Таблиця 1'!$J:$J,"AGM-88")+SUMIFS('Таблиця 1'!$K:$K,'Таблиця 1'!$B:$B,$A428,'Таблиця 1'!$I:$I,"Су-27",'Таблиця 1'!$J:$J,"AGM-88"))</f>
        <v/>
      </c>
      <c r="I428">
        <f>IF($A428="","",SUMIFS('Таблиця 1'!$K:$K,'Таблиця 1'!$B:$B,$A428,'Таблиця 1'!$I:$I,"Mirage",'Таблиця 1'!$J:$J,"AASM-250")+SUMIFS('Таблиця 1'!$K:$K,'Таблиця 1'!$B:$B,$A428,'Таблиця 1'!$I:$I,"F-16",'Таблиця 1'!$J:$J,"AASM-250")+SUMIFS('Таблиця 1'!$K:$K,'Таблиця 1'!$B:$B,$A428,'Таблиця 1'!$I:$I,"МіГ-29",'Таблиця 1'!$J:$J,"AASM-250")+SUMIFS('Таблиця 1'!$K:$K,'Таблиця 1'!$B:$B,$A428,'Таблиця 1'!$I:$I,"Су-25",'Таблиця 1'!$J:$J,"AASM-250")+SUMIFS('Таблиця 1'!$K:$K,'Таблиця 1'!$B:$B,$A428,'Таблиця 1'!$I:$I,"Су-27",'Таблиця 1'!$J:$J,"AASM-250"))</f>
        <v/>
      </c>
      <c r="J428">
        <f>IF($A428="","",SUMIFS('Таблиця 1'!$K:$K,'Таблиця 1'!$B:$B,$A428,'Таблиця 1'!$I:$I,"Mirage",'Таблиця 1'!$J:$J,"GBU-39")+SUMIFS('Таблиця 1'!$K:$K,'Таблиця 1'!$B:$B,$A428,'Таблиця 1'!$I:$I,"F-16",'Таблиця 1'!$J:$J,"GBU-39")+SUMIFS('Таблиця 1'!$K:$K,'Таблиця 1'!$B:$B,$A428,'Таблиця 1'!$I:$I,"МіГ-29",'Таблиця 1'!$J:$J,"GBU-39")+SUMIFS('Таблиця 1'!$K:$K,'Таблиця 1'!$B:$B,$A428,'Таблиця 1'!$I:$I,"Су-25",'Таблиця 1'!$J:$J,"GBU-39")+SUMIFS('Таблиця 1'!$K:$K,'Таблиця 1'!$B:$B,$A428,'Таблиця 1'!$I:$I,"Су-27",'Таблиця 1'!$J:$J,"GBU-39"))</f>
        <v/>
      </c>
      <c r="K428">
        <f>IF($A428="","",SUMIFS('Таблиця 1'!$K:$K,'Таблиця 1'!$B:$B,$A428,'Таблиця 1'!$I:$I,"Mirage",'Таблиця 1'!$J:$J,"BLU-140")+SUMIFS('Таблиця 1'!$K:$K,'Таблиця 1'!$B:$B,$A428,'Таблиця 1'!$I:$I,"F-16",'Таблиця 1'!$J:$J,"BLU-140")+SUMIFS('Таблиця 1'!$K:$K,'Таблиця 1'!$B:$B,$A428,'Таблиця 1'!$I:$I,"МіГ-29",'Таблиця 1'!$J:$J,"BLU-140")+SUMIFS('Таблиця 1'!$K:$K,'Таблиця 1'!$B:$B,$A428,'Таблиця 1'!$I:$I,"Су-25",'Таблиця 1'!$J:$J,"BLU-140")+SUMIFS('Таблиця 1'!$K:$K,'Таблиця 1'!$B:$B,$A428,'Таблиця 1'!$I:$I,"Су-27",'Таблиця 1'!$J:$J,"BLU-140"))</f>
        <v/>
      </c>
      <c r="L428">
        <f>IF($A428="","",SUMIFS('Таблиця 1'!$K:$K,'Таблиця 1'!$B:$B,$A428,'Таблиця 1'!$I:$I,"Mirage",'Таблиця 1'!$J:$J,"GBU-65")+SUMIFS('Таблиця 1'!$K:$K,'Таблиця 1'!$B:$B,$A428,'Таблиця 1'!$I:$I,"F-16",'Таблиця 1'!$J:$J,"GBU-65")+SUMIFS('Таблиця 1'!$K:$K,'Таблиця 1'!$B:$B,$A428,'Таблиця 1'!$I:$I,"МіГ-29",'Таблиця 1'!$J:$J,"GBU-65")+SUMIFS('Таблиця 1'!$K:$K,'Таблиця 1'!$B:$B,$A428,'Таблиця 1'!$I:$I,"Су-25",'Таблиця 1'!$J:$J,"GBU-65")+SUMIFS('Таблиця 1'!$K:$K,'Таблиця 1'!$B:$B,$A428,'Таблиця 1'!$I:$I,"Су-27",'Таблиця 1'!$J:$J,"GBU-65"))</f>
        <v/>
      </c>
      <c r="M428">
        <f>IF($A428="","",SUMIFS('Таблиця 1'!$K:$K,'Таблиця 1'!$B:$B,$A428,'Таблиця 1'!$I:$I,"Mirage",'Таблиця 1'!$J:$J,"GBU-62")+SUMIFS('Таблиця 1'!$K:$K,'Таблиця 1'!$B:$B,$A428,'Таблиця 1'!$I:$I,"F-16",'Таблиця 1'!$J:$J,"GBU-62")+SUMIFS('Таблиця 1'!$K:$K,'Таблиця 1'!$B:$B,$A428,'Таблиця 1'!$I:$I,"МіГ-29",'Таблиця 1'!$J:$J,"GBU-62")+SUMIFS('Таблиця 1'!$K:$K,'Таблиця 1'!$B:$B,$A428,'Таблиця 1'!$I:$I,"Су-25",'Таблиця 1'!$J:$J,"GBU-62")+SUMIFS('Таблиця 1'!$K:$K,'Таблиця 1'!$B:$B,$A428,'Таблиця 1'!$I:$I,"Су-27",'Таблиця 1'!$J:$J,"GBU-62"))</f>
        <v/>
      </c>
      <c r="N428">
        <f>IF($A428="","",SUMIFS('Таблиця 1'!$K:$K,'Таблиця 1'!$B:$B,$A428,'Таблиця 1'!$I:$I,"Mirage",'Таблиця 1'!$J:$J,"GBU-64")+SUMIFS('Таблиця 1'!$K:$K,'Таблиця 1'!$B:$B,$A428,'Таблиця 1'!$I:$I,"F-16",'Таблиця 1'!$J:$J,"GBU-64")+SUMIFS('Таблиця 1'!$K:$K,'Таблиця 1'!$B:$B,$A428,'Таблиця 1'!$I:$I,"МіГ-29",'Таблиця 1'!$J:$J,"GBU-64")+SUMIFS('Таблиця 1'!$K:$K,'Таблиця 1'!$B:$B,$A428,'Таблиця 1'!$I:$I,"Су-25",'Таблиця 1'!$J:$J,"GBU-64")+SUMIFS('Таблиця 1'!$K:$K,'Таблиця 1'!$B:$B,$A428,'Таблиця 1'!$I:$I,"Су-27",'Таблиця 1'!$J:$J,"GBU-64"))</f>
        <v/>
      </c>
      <c r="O428">
        <f>IF($A428="","",SUMIFS('Таблиця 1'!$K:$K,'Таблиця 1'!$B:$B,$A428,'Таблиця 1'!$I:$I,"Mirage",'Таблиця 1'!$J:$J,"C-13")+SUMIFS('Таблиця 1'!$K:$K,'Таблиця 1'!$B:$B,$A428,'Таблиця 1'!$I:$I,"F-16",'Таблиця 1'!$J:$J,"C-13")+SUMIFS('Таблиця 1'!$K:$K,'Таблиця 1'!$B:$B,$A428,'Таблиця 1'!$I:$I,"МіГ-29",'Таблиця 1'!$J:$J,"C-13")+SUMIFS('Таблиця 1'!$K:$K,'Таблиця 1'!$B:$B,$A428,'Таблиця 1'!$I:$I,"Су-25",'Таблиця 1'!$J:$J,"C-13")+SUMIFS('Таблиця 1'!$K:$K,'Таблиця 1'!$B:$B,$A428,'Таблиця 1'!$I:$I,"Су-27",'Таблиця 1'!$J:$J,"C-13"))</f>
        <v/>
      </c>
      <c r="P428">
        <f>IF($A428="","",SUMIFS('Таблиця 1'!$K:$K,'Таблиця 1'!$B:$B,$A428,'Таблиця 1'!$I:$I,"Mirage",'Таблиця 1'!$J:$J,"MK-32")+SUMIFS('Таблиця 1'!$K:$K,'Таблиця 1'!$B:$B,$A428,'Таблиця 1'!$I:$I,"F-16",'Таблиця 1'!$J:$J,"MK-32")+SUMIFS('Таблиця 1'!$K:$K,'Таблиця 1'!$B:$B,$A428,'Таблиця 1'!$I:$I,"МіГ-29",'Таблиця 1'!$J:$J,"MK-32")+SUMIFS('Таблиця 1'!$K:$K,'Таблиця 1'!$B:$B,$A428,'Таблиця 1'!$I:$I,"Су-25",'Таблиця 1'!$J:$J,"MK-32")+SUMIFS('Таблиця 1'!$K:$K,'Таблиця 1'!$B:$B,$A428,'Таблиця 1'!$I:$I,"Су-27",'Таблиця 1'!$J:$J,"MK-32"))</f>
        <v/>
      </c>
      <c r="Q428">
        <f>IF($A428="","",SUMIFS('Таблиця 1'!$K:$K,'Таблиця 1'!$B:$B,$A428,'Таблиця 1'!$I:$I,"Mirage",'Таблиця 1'!$J:$J,"MK-24")+SUMIFS('Таблиця 1'!$K:$K,'Таблиця 1'!$B:$B,$A428,'Таблиця 1'!$I:$I,"F-16",'Таблиця 1'!$J:$J,"MK-24")+SUMIFS('Таблиця 1'!$K:$K,'Таблиця 1'!$B:$B,$A428,'Таблиця 1'!$I:$I,"МіГ-29",'Таблиця 1'!$J:$J,"MK-24")+SUMIFS('Таблиця 1'!$K:$K,'Таблиця 1'!$B:$B,$A428,'Таблиця 1'!$I:$I,"Су-25",'Таблиця 1'!$J:$J,"MK-24")+SUMIFS('Таблиця 1'!$K:$K,'Таблиця 1'!$B:$B,$A428,'Таблиця 1'!$I:$I,"Су-27",'Таблиця 1'!$J:$J,"MK-24"))</f>
        <v/>
      </c>
      <c r="R428">
        <f>IF($A428="","",COUNTIFS('Таблиця 1'!$B:$B,$A428,'Таблиця 1'!$I:$I,"Mirage",'Таблиця 1'!$L:$L,"Уражено")+COUNTIFS('Таблиця 1'!$B:$B,$A428,'Таблиця 1'!$I:$I,"F-16",'Таблиця 1'!$L:$L,"Уражено")+COUNTIFS('Таблиця 1'!$B:$B,$A428,'Таблиця 1'!$I:$I,"МіГ-29",'Таблиця 1'!$L:$L,"Уражено")+COUNTIFS('Таблиця 1'!$B:$B,$A428,'Таблиця 1'!$I:$I,"Су-25",'Таблиця 1'!$L:$L,"Уражено")+COUNTIFS('Таблиця 1'!$B:$B,$A428,'Таблиця 1'!$I:$I,"Су-27",'Таблиця 1'!$L:$L,"Уражено"))</f>
        <v/>
      </c>
      <c r="S428">
        <f>IF($A428="","",COUNTIFS('Таблиця 1'!$B:$B,$A428,'Таблиця 1'!$I:$I,"Mirage",'Таблиця 1'!$L:$L,"НЕ уражено")+COUNTIFS('Таблиця 1'!$B:$B,$A428,'Таблиця 1'!$I:$I,"F-16",'Таблиця 1'!$L:$L,"НЕ уражено")+COUNTIFS('Таблиця 1'!$B:$B,$A428,'Таблиця 1'!$I:$I,"МіГ-29",'Таблиця 1'!$L:$L,"НЕ уражено")+COUNTIFS('Таблиця 1'!$B:$B,$A428,'Таблиця 1'!$I:$I,"Су-25",'Таблиця 1'!$L:$L,"НЕ уражено")+COUNTIFS('Таблиця 1'!$B:$B,$A428,'Таблиця 1'!$I:$I,"Су-27",'Таблиця 1'!$L:$L,"НЕ уражено"))</f>
        <v/>
      </c>
      <c r="T428">
        <f>IF($A428="","",COUNTIFS('Таблиця 1'!$B:$B,$A428,'Таблиця 1'!$I:$I,"Mirage",'Таблиця 1'!$L:$L,"Дорозвідується")+COUNTIFS('Таблиця 1'!$B:$B,$A428,'Таблиця 1'!$I:$I,"F-16",'Таблиця 1'!$L:$L,"Дорозвідується")+COUNTIFS('Таблиця 1'!$B:$B,$A428,'Таблиця 1'!$I:$I,"МіГ-29",'Таблиця 1'!$L:$L,"Дорозвідується")+COUNTIFS('Таблиця 1'!$B:$B,$A428,'Таблиця 1'!$I:$I,"Су-25",'Таблиця 1'!$L:$L,"Дорозвідується")+COUNTIFS('Таблиця 1'!$B:$B,$A428,'Таблиця 1'!$I:$I,"Су-27",'Таблиця 1'!$L:$L,"Дорозвідується"))</f>
        <v/>
      </c>
    </row>
    <row r="429">
      <c r="A429" s="273">
        <f>IF(A428="","",IF(A428+1&gt;MAX('Таблиця 1'!$B:$B),"",A428+1))</f>
        <v/>
      </c>
      <c r="B429">
        <f>IF($A429="","",COUNTIFS('Таблиця 1'!$B:$B,$A429,'Таблиця 1'!$I:$I,"Mirage")+COUNTIFS('Таблиця 1'!$B:$B,$A429,'Таблиця 1'!$I:$I,"F-16")+COUNTIFS('Таблиця 1'!$B:$B,$A429,'Таблиця 1'!$I:$I,"МіГ-29")+COUNTIFS('Таблиця 1'!$B:$B,$A429,'Таблиця 1'!$I:$I,"Су-25")+COUNTIFS('Таблиця 1'!$B:$B,$A429,'Таблиця 1'!$I:$I,"Су-27"))</f>
        <v/>
      </c>
      <c r="C429">
        <f>IF($A429="","",COUNTIFS('Таблиця 1'!$B:$B,$A429,'Таблиця 1'!$I:$I,"Mirage"))</f>
        <v/>
      </c>
      <c r="D429">
        <f>IF($A429="","",COUNTIFS('Таблиця 1'!$B:$B,$A429,'Таблиця 1'!$I:$I,"F-16"))</f>
        <v/>
      </c>
      <c r="E429">
        <f>IF($A429="","",COUNTIFS('Таблиця 1'!$B:$B,$A429,'Таблиця 1'!$I:$I,"МіГ-29"))</f>
        <v/>
      </c>
      <c r="F429">
        <f>IF($A429="","",COUNTIFS('Таблиця 1'!$B:$B,$A429,'Таблиця 1'!$I:$I,"Су-25"))</f>
        <v/>
      </c>
      <c r="G429">
        <f>IF($A429="","",COUNTIFS('Таблиця 1'!$B:$B,$A429,'Таблиця 1'!$I:$I,"Су-27"))</f>
        <v/>
      </c>
      <c r="H429">
        <f>IF($A429="","",SUMIFS('Таблиця 1'!$K:$K,'Таблиця 1'!$B:$B,$A429,'Таблиця 1'!$I:$I,"Mirage",'Таблиця 1'!$J:$J,"AGM-88")+SUMIFS('Таблиця 1'!$K:$K,'Таблиця 1'!$B:$B,$A429,'Таблиця 1'!$I:$I,"F-16",'Таблиця 1'!$J:$J,"AGM-88")+SUMIFS('Таблиця 1'!$K:$K,'Таблиця 1'!$B:$B,$A429,'Таблиця 1'!$I:$I,"МіГ-29",'Таблиця 1'!$J:$J,"AGM-88")+SUMIFS('Таблиця 1'!$K:$K,'Таблиця 1'!$B:$B,$A429,'Таблиця 1'!$I:$I,"Су-25",'Таблиця 1'!$J:$J,"AGM-88")+SUMIFS('Таблиця 1'!$K:$K,'Таблиця 1'!$B:$B,$A429,'Таблиця 1'!$I:$I,"Су-27",'Таблиця 1'!$J:$J,"AGM-88"))</f>
        <v/>
      </c>
      <c r="I429">
        <f>IF($A429="","",SUMIFS('Таблиця 1'!$K:$K,'Таблиця 1'!$B:$B,$A429,'Таблиця 1'!$I:$I,"Mirage",'Таблиця 1'!$J:$J,"AASM-250")+SUMIFS('Таблиця 1'!$K:$K,'Таблиця 1'!$B:$B,$A429,'Таблиця 1'!$I:$I,"F-16",'Таблиця 1'!$J:$J,"AASM-250")+SUMIFS('Таблиця 1'!$K:$K,'Таблиця 1'!$B:$B,$A429,'Таблиця 1'!$I:$I,"МіГ-29",'Таблиця 1'!$J:$J,"AASM-250")+SUMIFS('Таблиця 1'!$K:$K,'Таблиця 1'!$B:$B,$A429,'Таблиця 1'!$I:$I,"Су-25",'Таблиця 1'!$J:$J,"AASM-250")+SUMIFS('Таблиця 1'!$K:$K,'Таблиця 1'!$B:$B,$A429,'Таблиця 1'!$I:$I,"Су-27",'Таблиця 1'!$J:$J,"AASM-250"))</f>
        <v/>
      </c>
      <c r="J429">
        <f>IF($A429="","",SUMIFS('Таблиця 1'!$K:$K,'Таблиця 1'!$B:$B,$A429,'Таблиця 1'!$I:$I,"Mirage",'Таблиця 1'!$J:$J,"GBU-39")+SUMIFS('Таблиця 1'!$K:$K,'Таблиця 1'!$B:$B,$A429,'Таблиця 1'!$I:$I,"F-16",'Таблиця 1'!$J:$J,"GBU-39")+SUMIFS('Таблиця 1'!$K:$K,'Таблиця 1'!$B:$B,$A429,'Таблиця 1'!$I:$I,"МіГ-29",'Таблиця 1'!$J:$J,"GBU-39")+SUMIFS('Таблиця 1'!$K:$K,'Таблиця 1'!$B:$B,$A429,'Таблиця 1'!$I:$I,"Су-25",'Таблиця 1'!$J:$J,"GBU-39")+SUMIFS('Таблиця 1'!$K:$K,'Таблиця 1'!$B:$B,$A429,'Таблиця 1'!$I:$I,"Су-27",'Таблиця 1'!$J:$J,"GBU-39"))</f>
        <v/>
      </c>
      <c r="K429">
        <f>IF($A429="","",SUMIFS('Таблиця 1'!$K:$K,'Таблиця 1'!$B:$B,$A429,'Таблиця 1'!$I:$I,"Mirage",'Таблиця 1'!$J:$J,"BLU-140")+SUMIFS('Таблиця 1'!$K:$K,'Таблиця 1'!$B:$B,$A429,'Таблиця 1'!$I:$I,"F-16",'Таблиця 1'!$J:$J,"BLU-140")+SUMIFS('Таблиця 1'!$K:$K,'Таблиця 1'!$B:$B,$A429,'Таблиця 1'!$I:$I,"МіГ-29",'Таблиця 1'!$J:$J,"BLU-140")+SUMIFS('Таблиця 1'!$K:$K,'Таблиця 1'!$B:$B,$A429,'Таблиця 1'!$I:$I,"Су-25",'Таблиця 1'!$J:$J,"BLU-140")+SUMIFS('Таблиця 1'!$K:$K,'Таблиця 1'!$B:$B,$A429,'Таблиця 1'!$I:$I,"Су-27",'Таблиця 1'!$J:$J,"BLU-140"))</f>
        <v/>
      </c>
      <c r="L429">
        <f>IF($A429="","",SUMIFS('Таблиця 1'!$K:$K,'Таблиця 1'!$B:$B,$A429,'Таблиця 1'!$I:$I,"Mirage",'Таблиця 1'!$J:$J,"GBU-65")+SUMIFS('Таблиця 1'!$K:$K,'Таблиця 1'!$B:$B,$A429,'Таблиця 1'!$I:$I,"F-16",'Таблиця 1'!$J:$J,"GBU-65")+SUMIFS('Таблиця 1'!$K:$K,'Таблиця 1'!$B:$B,$A429,'Таблиця 1'!$I:$I,"МіГ-29",'Таблиця 1'!$J:$J,"GBU-65")+SUMIFS('Таблиця 1'!$K:$K,'Таблиця 1'!$B:$B,$A429,'Таблиця 1'!$I:$I,"Су-25",'Таблиця 1'!$J:$J,"GBU-65")+SUMIFS('Таблиця 1'!$K:$K,'Таблиця 1'!$B:$B,$A429,'Таблиця 1'!$I:$I,"Су-27",'Таблиця 1'!$J:$J,"GBU-65"))</f>
        <v/>
      </c>
      <c r="M429">
        <f>IF($A429="","",SUMIFS('Таблиця 1'!$K:$K,'Таблиця 1'!$B:$B,$A429,'Таблиця 1'!$I:$I,"Mirage",'Таблиця 1'!$J:$J,"GBU-62")+SUMIFS('Таблиця 1'!$K:$K,'Таблиця 1'!$B:$B,$A429,'Таблиця 1'!$I:$I,"F-16",'Таблиця 1'!$J:$J,"GBU-62")+SUMIFS('Таблиця 1'!$K:$K,'Таблиця 1'!$B:$B,$A429,'Таблиця 1'!$I:$I,"МіГ-29",'Таблиця 1'!$J:$J,"GBU-62")+SUMIFS('Таблиця 1'!$K:$K,'Таблиця 1'!$B:$B,$A429,'Таблиця 1'!$I:$I,"Су-25",'Таблиця 1'!$J:$J,"GBU-62")+SUMIFS('Таблиця 1'!$K:$K,'Таблиця 1'!$B:$B,$A429,'Таблиця 1'!$I:$I,"Су-27",'Таблиця 1'!$J:$J,"GBU-62"))</f>
        <v/>
      </c>
      <c r="N429">
        <f>IF($A429="","",SUMIFS('Таблиця 1'!$K:$K,'Таблиця 1'!$B:$B,$A429,'Таблиця 1'!$I:$I,"Mirage",'Таблиця 1'!$J:$J,"GBU-64")+SUMIFS('Таблиця 1'!$K:$K,'Таблиця 1'!$B:$B,$A429,'Таблиця 1'!$I:$I,"F-16",'Таблиця 1'!$J:$J,"GBU-64")+SUMIFS('Таблиця 1'!$K:$K,'Таблиця 1'!$B:$B,$A429,'Таблиця 1'!$I:$I,"МіГ-29",'Таблиця 1'!$J:$J,"GBU-64")+SUMIFS('Таблиця 1'!$K:$K,'Таблиця 1'!$B:$B,$A429,'Таблиця 1'!$I:$I,"Су-25",'Таблиця 1'!$J:$J,"GBU-64")+SUMIFS('Таблиця 1'!$K:$K,'Таблиця 1'!$B:$B,$A429,'Таблиця 1'!$I:$I,"Су-27",'Таблиця 1'!$J:$J,"GBU-64"))</f>
        <v/>
      </c>
      <c r="O429">
        <f>IF($A429="","",SUMIFS('Таблиця 1'!$K:$K,'Таблиця 1'!$B:$B,$A429,'Таблиця 1'!$I:$I,"Mirage",'Таблиця 1'!$J:$J,"C-13")+SUMIFS('Таблиця 1'!$K:$K,'Таблиця 1'!$B:$B,$A429,'Таблиця 1'!$I:$I,"F-16",'Таблиця 1'!$J:$J,"C-13")+SUMIFS('Таблиця 1'!$K:$K,'Таблиця 1'!$B:$B,$A429,'Таблиця 1'!$I:$I,"МіГ-29",'Таблиця 1'!$J:$J,"C-13")+SUMIFS('Таблиця 1'!$K:$K,'Таблиця 1'!$B:$B,$A429,'Таблиця 1'!$I:$I,"Су-25",'Таблиця 1'!$J:$J,"C-13")+SUMIFS('Таблиця 1'!$K:$K,'Таблиця 1'!$B:$B,$A429,'Таблиця 1'!$I:$I,"Су-27",'Таблиця 1'!$J:$J,"C-13"))</f>
        <v/>
      </c>
      <c r="P429">
        <f>IF($A429="","",SUMIFS('Таблиця 1'!$K:$K,'Таблиця 1'!$B:$B,$A429,'Таблиця 1'!$I:$I,"Mirage",'Таблиця 1'!$J:$J,"MK-32")+SUMIFS('Таблиця 1'!$K:$K,'Таблиця 1'!$B:$B,$A429,'Таблиця 1'!$I:$I,"F-16",'Таблиця 1'!$J:$J,"MK-32")+SUMIFS('Таблиця 1'!$K:$K,'Таблиця 1'!$B:$B,$A429,'Таблиця 1'!$I:$I,"МіГ-29",'Таблиця 1'!$J:$J,"MK-32")+SUMIFS('Таблиця 1'!$K:$K,'Таблиця 1'!$B:$B,$A429,'Таблиця 1'!$I:$I,"Су-25",'Таблиця 1'!$J:$J,"MK-32")+SUMIFS('Таблиця 1'!$K:$K,'Таблиця 1'!$B:$B,$A429,'Таблиця 1'!$I:$I,"Су-27",'Таблиця 1'!$J:$J,"MK-32"))</f>
        <v/>
      </c>
      <c r="Q429">
        <f>IF($A429="","",SUMIFS('Таблиця 1'!$K:$K,'Таблиця 1'!$B:$B,$A429,'Таблиця 1'!$I:$I,"Mirage",'Таблиця 1'!$J:$J,"MK-24")+SUMIFS('Таблиця 1'!$K:$K,'Таблиця 1'!$B:$B,$A429,'Таблиця 1'!$I:$I,"F-16",'Таблиця 1'!$J:$J,"MK-24")+SUMIFS('Таблиця 1'!$K:$K,'Таблиця 1'!$B:$B,$A429,'Таблиця 1'!$I:$I,"МіГ-29",'Таблиця 1'!$J:$J,"MK-24")+SUMIFS('Таблиця 1'!$K:$K,'Таблиця 1'!$B:$B,$A429,'Таблиця 1'!$I:$I,"Су-25",'Таблиця 1'!$J:$J,"MK-24")+SUMIFS('Таблиця 1'!$K:$K,'Таблиця 1'!$B:$B,$A429,'Таблиця 1'!$I:$I,"Су-27",'Таблиця 1'!$J:$J,"MK-24"))</f>
        <v/>
      </c>
      <c r="R429">
        <f>IF($A429="","",COUNTIFS('Таблиця 1'!$B:$B,$A429,'Таблиця 1'!$I:$I,"Mirage",'Таблиця 1'!$L:$L,"Уражено")+COUNTIFS('Таблиця 1'!$B:$B,$A429,'Таблиця 1'!$I:$I,"F-16",'Таблиця 1'!$L:$L,"Уражено")+COUNTIFS('Таблиця 1'!$B:$B,$A429,'Таблиця 1'!$I:$I,"МіГ-29",'Таблиця 1'!$L:$L,"Уражено")+COUNTIFS('Таблиця 1'!$B:$B,$A429,'Таблиця 1'!$I:$I,"Су-25",'Таблиця 1'!$L:$L,"Уражено")+COUNTIFS('Таблиця 1'!$B:$B,$A429,'Таблиця 1'!$I:$I,"Су-27",'Таблиця 1'!$L:$L,"Уражено"))</f>
        <v/>
      </c>
      <c r="S429">
        <f>IF($A429="","",COUNTIFS('Таблиця 1'!$B:$B,$A429,'Таблиця 1'!$I:$I,"Mirage",'Таблиця 1'!$L:$L,"НЕ уражено")+COUNTIFS('Таблиця 1'!$B:$B,$A429,'Таблиця 1'!$I:$I,"F-16",'Таблиця 1'!$L:$L,"НЕ уражено")+COUNTIFS('Таблиця 1'!$B:$B,$A429,'Таблиця 1'!$I:$I,"МіГ-29",'Таблиця 1'!$L:$L,"НЕ уражено")+COUNTIFS('Таблиця 1'!$B:$B,$A429,'Таблиця 1'!$I:$I,"Су-25",'Таблиця 1'!$L:$L,"НЕ уражено")+COUNTIFS('Таблиця 1'!$B:$B,$A429,'Таблиця 1'!$I:$I,"Су-27",'Таблиця 1'!$L:$L,"НЕ уражено"))</f>
        <v/>
      </c>
      <c r="T429">
        <f>IF($A429="","",COUNTIFS('Таблиця 1'!$B:$B,$A429,'Таблиця 1'!$I:$I,"Mirage",'Таблиця 1'!$L:$L,"Дорозвідується")+COUNTIFS('Таблиця 1'!$B:$B,$A429,'Таблиця 1'!$I:$I,"F-16",'Таблиця 1'!$L:$L,"Дорозвідується")+COUNTIFS('Таблиця 1'!$B:$B,$A429,'Таблиця 1'!$I:$I,"МіГ-29",'Таблиця 1'!$L:$L,"Дорозвідується")+COUNTIFS('Таблиця 1'!$B:$B,$A429,'Таблиця 1'!$I:$I,"Су-25",'Таблиця 1'!$L:$L,"Дорозвідується")+COUNTIFS('Таблиця 1'!$B:$B,$A429,'Таблиця 1'!$I:$I,"Су-27",'Таблиця 1'!$L:$L,"Дорозвідується"))</f>
        <v/>
      </c>
    </row>
    <row r="430">
      <c r="A430" s="273">
        <f>IF(A429="","",IF(A429+1&gt;MAX('Таблиця 1'!$B:$B),"",A429+1))</f>
        <v/>
      </c>
      <c r="B430">
        <f>IF($A430="","",COUNTIFS('Таблиця 1'!$B:$B,$A430,'Таблиця 1'!$I:$I,"Mirage")+COUNTIFS('Таблиця 1'!$B:$B,$A430,'Таблиця 1'!$I:$I,"F-16")+COUNTIFS('Таблиця 1'!$B:$B,$A430,'Таблиця 1'!$I:$I,"МіГ-29")+COUNTIFS('Таблиця 1'!$B:$B,$A430,'Таблиця 1'!$I:$I,"Су-25")+COUNTIFS('Таблиця 1'!$B:$B,$A430,'Таблиця 1'!$I:$I,"Су-27"))</f>
        <v/>
      </c>
      <c r="C430">
        <f>IF($A430="","",COUNTIFS('Таблиця 1'!$B:$B,$A430,'Таблиця 1'!$I:$I,"Mirage"))</f>
        <v/>
      </c>
      <c r="D430">
        <f>IF($A430="","",COUNTIFS('Таблиця 1'!$B:$B,$A430,'Таблиця 1'!$I:$I,"F-16"))</f>
        <v/>
      </c>
      <c r="E430">
        <f>IF($A430="","",COUNTIFS('Таблиця 1'!$B:$B,$A430,'Таблиця 1'!$I:$I,"МіГ-29"))</f>
        <v/>
      </c>
      <c r="F430">
        <f>IF($A430="","",COUNTIFS('Таблиця 1'!$B:$B,$A430,'Таблиця 1'!$I:$I,"Су-25"))</f>
        <v/>
      </c>
      <c r="G430">
        <f>IF($A430="","",COUNTIFS('Таблиця 1'!$B:$B,$A430,'Таблиця 1'!$I:$I,"Су-27"))</f>
        <v/>
      </c>
      <c r="H430">
        <f>IF($A430="","",SUMIFS('Таблиця 1'!$K:$K,'Таблиця 1'!$B:$B,$A430,'Таблиця 1'!$I:$I,"Mirage",'Таблиця 1'!$J:$J,"AGM-88")+SUMIFS('Таблиця 1'!$K:$K,'Таблиця 1'!$B:$B,$A430,'Таблиця 1'!$I:$I,"F-16",'Таблиця 1'!$J:$J,"AGM-88")+SUMIFS('Таблиця 1'!$K:$K,'Таблиця 1'!$B:$B,$A430,'Таблиця 1'!$I:$I,"МіГ-29",'Таблиця 1'!$J:$J,"AGM-88")+SUMIFS('Таблиця 1'!$K:$K,'Таблиця 1'!$B:$B,$A430,'Таблиця 1'!$I:$I,"Су-25",'Таблиця 1'!$J:$J,"AGM-88")+SUMIFS('Таблиця 1'!$K:$K,'Таблиця 1'!$B:$B,$A430,'Таблиця 1'!$I:$I,"Су-27",'Таблиця 1'!$J:$J,"AGM-88"))</f>
        <v/>
      </c>
      <c r="I430">
        <f>IF($A430="","",SUMIFS('Таблиця 1'!$K:$K,'Таблиця 1'!$B:$B,$A430,'Таблиця 1'!$I:$I,"Mirage",'Таблиця 1'!$J:$J,"AASM-250")+SUMIFS('Таблиця 1'!$K:$K,'Таблиця 1'!$B:$B,$A430,'Таблиця 1'!$I:$I,"F-16",'Таблиця 1'!$J:$J,"AASM-250")+SUMIFS('Таблиця 1'!$K:$K,'Таблиця 1'!$B:$B,$A430,'Таблиця 1'!$I:$I,"МіГ-29",'Таблиця 1'!$J:$J,"AASM-250")+SUMIFS('Таблиця 1'!$K:$K,'Таблиця 1'!$B:$B,$A430,'Таблиця 1'!$I:$I,"Су-25",'Таблиця 1'!$J:$J,"AASM-250")+SUMIFS('Таблиця 1'!$K:$K,'Таблиця 1'!$B:$B,$A430,'Таблиця 1'!$I:$I,"Су-27",'Таблиця 1'!$J:$J,"AASM-250"))</f>
        <v/>
      </c>
      <c r="J430">
        <f>IF($A430="","",SUMIFS('Таблиця 1'!$K:$K,'Таблиця 1'!$B:$B,$A430,'Таблиця 1'!$I:$I,"Mirage",'Таблиця 1'!$J:$J,"GBU-39")+SUMIFS('Таблиця 1'!$K:$K,'Таблиця 1'!$B:$B,$A430,'Таблиця 1'!$I:$I,"F-16",'Таблиця 1'!$J:$J,"GBU-39")+SUMIFS('Таблиця 1'!$K:$K,'Таблиця 1'!$B:$B,$A430,'Таблиця 1'!$I:$I,"МіГ-29",'Таблиця 1'!$J:$J,"GBU-39")+SUMIFS('Таблиця 1'!$K:$K,'Таблиця 1'!$B:$B,$A430,'Таблиця 1'!$I:$I,"Су-25",'Таблиця 1'!$J:$J,"GBU-39")+SUMIFS('Таблиця 1'!$K:$K,'Таблиця 1'!$B:$B,$A430,'Таблиця 1'!$I:$I,"Су-27",'Таблиця 1'!$J:$J,"GBU-39"))</f>
        <v/>
      </c>
      <c r="K430">
        <f>IF($A430="","",SUMIFS('Таблиця 1'!$K:$K,'Таблиця 1'!$B:$B,$A430,'Таблиця 1'!$I:$I,"Mirage",'Таблиця 1'!$J:$J,"BLU-140")+SUMIFS('Таблиця 1'!$K:$K,'Таблиця 1'!$B:$B,$A430,'Таблиця 1'!$I:$I,"F-16",'Таблиця 1'!$J:$J,"BLU-140")+SUMIFS('Таблиця 1'!$K:$K,'Таблиця 1'!$B:$B,$A430,'Таблиця 1'!$I:$I,"МіГ-29",'Таблиця 1'!$J:$J,"BLU-140")+SUMIFS('Таблиця 1'!$K:$K,'Таблиця 1'!$B:$B,$A430,'Таблиця 1'!$I:$I,"Су-25",'Таблиця 1'!$J:$J,"BLU-140")+SUMIFS('Таблиця 1'!$K:$K,'Таблиця 1'!$B:$B,$A430,'Таблиця 1'!$I:$I,"Су-27",'Таблиця 1'!$J:$J,"BLU-140"))</f>
        <v/>
      </c>
      <c r="L430">
        <f>IF($A430="","",SUMIFS('Таблиця 1'!$K:$K,'Таблиця 1'!$B:$B,$A430,'Таблиця 1'!$I:$I,"Mirage",'Таблиця 1'!$J:$J,"GBU-65")+SUMIFS('Таблиця 1'!$K:$K,'Таблиця 1'!$B:$B,$A430,'Таблиця 1'!$I:$I,"F-16",'Таблиця 1'!$J:$J,"GBU-65")+SUMIFS('Таблиця 1'!$K:$K,'Таблиця 1'!$B:$B,$A430,'Таблиця 1'!$I:$I,"МіГ-29",'Таблиця 1'!$J:$J,"GBU-65")+SUMIFS('Таблиця 1'!$K:$K,'Таблиця 1'!$B:$B,$A430,'Таблиця 1'!$I:$I,"Су-25",'Таблиця 1'!$J:$J,"GBU-65")+SUMIFS('Таблиця 1'!$K:$K,'Таблиця 1'!$B:$B,$A430,'Таблиця 1'!$I:$I,"Су-27",'Таблиця 1'!$J:$J,"GBU-65"))</f>
        <v/>
      </c>
      <c r="M430">
        <f>IF($A430="","",SUMIFS('Таблиця 1'!$K:$K,'Таблиця 1'!$B:$B,$A430,'Таблиця 1'!$I:$I,"Mirage",'Таблиця 1'!$J:$J,"GBU-62")+SUMIFS('Таблиця 1'!$K:$K,'Таблиця 1'!$B:$B,$A430,'Таблиця 1'!$I:$I,"F-16",'Таблиця 1'!$J:$J,"GBU-62")+SUMIFS('Таблиця 1'!$K:$K,'Таблиця 1'!$B:$B,$A430,'Таблиця 1'!$I:$I,"МіГ-29",'Таблиця 1'!$J:$J,"GBU-62")+SUMIFS('Таблиця 1'!$K:$K,'Таблиця 1'!$B:$B,$A430,'Таблиця 1'!$I:$I,"Су-25",'Таблиця 1'!$J:$J,"GBU-62")+SUMIFS('Таблиця 1'!$K:$K,'Таблиця 1'!$B:$B,$A430,'Таблиця 1'!$I:$I,"Су-27",'Таблиця 1'!$J:$J,"GBU-62"))</f>
        <v/>
      </c>
      <c r="N430">
        <f>IF($A430="","",SUMIFS('Таблиця 1'!$K:$K,'Таблиця 1'!$B:$B,$A430,'Таблиця 1'!$I:$I,"Mirage",'Таблиця 1'!$J:$J,"GBU-64")+SUMIFS('Таблиця 1'!$K:$K,'Таблиця 1'!$B:$B,$A430,'Таблиця 1'!$I:$I,"F-16",'Таблиця 1'!$J:$J,"GBU-64")+SUMIFS('Таблиця 1'!$K:$K,'Таблиця 1'!$B:$B,$A430,'Таблиця 1'!$I:$I,"МіГ-29",'Таблиця 1'!$J:$J,"GBU-64")+SUMIFS('Таблиця 1'!$K:$K,'Таблиця 1'!$B:$B,$A430,'Таблиця 1'!$I:$I,"Су-25",'Таблиця 1'!$J:$J,"GBU-64")+SUMIFS('Таблиця 1'!$K:$K,'Таблиця 1'!$B:$B,$A430,'Таблиця 1'!$I:$I,"Су-27",'Таблиця 1'!$J:$J,"GBU-64"))</f>
        <v/>
      </c>
      <c r="O430">
        <f>IF($A430="","",SUMIFS('Таблиця 1'!$K:$K,'Таблиця 1'!$B:$B,$A430,'Таблиця 1'!$I:$I,"Mirage",'Таблиця 1'!$J:$J,"C-13")+SUMIFS('Таблиця 1'!$K:$K,'Таблиця 1'!$B:$B,$A430,'Таблиця 1'!$I:$I,"F-16",'Таблиця 1'!$J:$J,"C-13")+SUMIFS('Таблиця 1'!$K:$K,'Таблиця 1'!$B:$B,$A430,'Таблиця 1'!$I:$I,"МіГ-29",'Таблиця 1'!$J:$J,"C-13")+SUMIFS('Таблиця 1'!$K:$K,'Таблиця 1'!$B:$B,$A430,'Таблиця 1'!$I:$I,"Су-25",'Таблиця 1'!$J:$J,"C-13")+SUMIFS('Таблиця 1'!$K:$K,'Таблиця 1'!$B:$B,$A430,'Таблиця 1'!$I:$I,"Су-27",'Таблиця 1'!$J:$J,"C-13"))</f>
        <v/>
      </c>
      <c r="P430">
        <f>IF($A430="","",SUMIFS('Таблиця 1'!$K:$K,'Таблиця 1'!$B:$B,$A430,'Таблиця 1'!$I:$I,"Mirage",'Таблиця 1'!$J:$J,"MK-32")+SUMIFS('Таблиця 1'!$K:$K,'Таблиця 1'!$B:$B,$A430,'Таблиця 1'!$I:$I,"F-16",'Таблиця 1'!$J:$J,"MK-32")+SUMIFS('Таблиця 1'!$K:$K,'Таблиця 1'!$B:$B,$A430,'Таблиця 1'!$I:$I,"МіГ-29",'Таблиця 1'!$J:$J,"MK-32")+SUMIFS('Таблиця 1'!$K:$K,'Таблиця 1'!$B:$B,$A430,'Таблиця 1'!$I:$I,"Су-25",'Таблиця 1'!$J:$J,"MK-32")+SUMIFS('Таблиця 1'!$K:$K,'Таблиця 1'!$B:$B,$A430,'Таблиця 1'!$I:$I,"Су-27",'Таблиця 1'!$J:$J,"MK-32"))</f>
        <v/>
      </c>
      <c r="Q430">
        <f>IF($A430="","",SUMIFS('Таблиця 1'!$K:$K,'Таблиця 1'!$B:$B,$A430,'Таблиця 1'!$I:$I,"Mirage",'Таблиця 1'!$J:$J,"MK-24")+SUMIFS('Таблиця 1'!$K:$K,'Таблиця 1'!$B:$B,$A430,'Таблиця 1'!$I:$I,"F-16",'Таблиця 1'!$J:$J,"MK-24")+SUMIFS('Таблиця 1'!$K:$K,'Таблиця 1'!$B:$B,$A430,'Таблиця 1'!$I:$I,"МіГ-29",'Таблиця 1'!$J:$J,"MK-24")+SUMIFS('Таблиця 1'!$K:$K,'Таблиця 1'!$B:$B,$A430,'Таблиця 1'!$I:$I,"Су-25",'Таблиця 1'!$J:$J,"MK-24")+SUMIFS('Таблиця 1'!$K:$K,'Таблиця 1'!$B:$B,$A430,'Таблиця 1'!$I:$I,"Су-27",'Таблиця 1'!$J:$J,"MK-24"))</f>
        <v/>
      </c>
      <c r="R430">
        <f>IF($A430="","",COUNTIFS('Таблиця 1'!$B:$B,$A430,'Таблиця 1'!$I:$I,"Mirage",'Таблиця 1'!$L:$L,"Уражено")+COUNTIFS('Таблиця 1'!$B:$B,$A430,'Таблиця 1'!$I:$I,"F-16",'Таблиця 1'!$L:$L,"Уражено")+COUNTIFS('Таблиця 1'!$B:$B,$A430,'Таблиця 1'!$I:$I,"МіГ-29",'Таблиця 1'!$L:$L,"Уражено")+COUNTIFS('Таблиця 1'!$B:$B,$A430,'Таблиця 1'!$I:$I,"Су-25",'Таблиця 1'!$L:$L,"Уражено")+COUNTIFS('Таблиця 1'!$B:$B,$A430,'Таблиця 1'!$I:$I,"Су-27",'Таблиця 1'!$L:$L,"Уражено"))</f>
        <v/>
      </c>
      <c r="S430">
        <f>IF($A430="","",COUNTIFS('Таблиця 1'!$B:$B,$A430,'Таблиця 1'!$I:$I,"Mirage",'Таблиця 1'!$L:$L,"НЕ уражено")+COUNTIFS('Таблиця 1'!$B:$B,$A430,'Таблиця 1'!$I:$I,"F-16",'Таблиця 1'!$L:$L,"НЕ уражено")+COUNTIFS('Таблиця 1'!$B:$B,$A430,'Таблиця 1'!$I:$I,"МіГ-29",'Таблиця 1'!$L:$L,"НЕ уражено")+COUNTIFS('Таблиця 1'!$B:$B,$A430,'Таблиця 1'!$I:$I,"Су-25",'Таблиця 1'!$L:$L,"НЕ уражено")+COUNTIFS('Таблиця 1'!$B:$B,$A430,'Таблиця 1'!$I:$I,"Су-27",'Таблиця 1'!$L:$L,"НЕ уражено"))</f>
        <v/>
      </c>
      <c r="T430">
        <f>IF($A430="","",COUNTIFS('Таблиця 1'!$B:$B,$A430,'Таблиця 1'!$I:$I,"Mirage",'Таблиця 1'!$L:$L,"Дорозвідується")+COUNTIFS('Таблиця 1'!$B:$B,$A430,'Таблиця 1'!$I:$I,"F-16",'Таблиця 1'!$L:$L,"Дорозвідується")+COUNTIFS('Таблиця 1'!$B:$B,$A430,'Таблиця 1'!$I:$I,"МіГ-29",'Таблиця 1'!$L:$L,"Дорозвідується")+COUNTIFS('Таблиця 1'!$B:$B,$A430,'Таблиця 1'!$I:$I,"Су-25",'Таблиця 1'!$L:$L,"Дорозвідується")+COUNTIFS('Таблиця 1'!$B:$B,$A430,'Таблиця 1'!$I:$I,"Су-27",'Таблиця 1'!$L:$L,"Дорозвідується"))</f>
        <v/>
      </c>
    </row>
    <row r="431">
      <c r="A431" s="273">
        <f>IF(A430="","",IF(A430+1&gt;MAX('Таблиця 1'!$B:$B),"",A430+1))</f>
        <v/>
      </c>
      <c r="B431">
        <f>IF($A431="","",COUNTIFS('Таблиця 1'!$B:$B,$A431,'Таблиця 1'!$I:$I,"Mirage")+COUNTIFS('Таблиця 1'!$B:$B,$A431,'Таблиця 1'!$I:$I,"F-16")+COUNTIFS('Таблиця 1'!$B:$B,$A431,'Таблиця 1'!$I:$I,"МіГ-29")+COUNTIFS('Таблиця 1'!$B:$B,$A431,'Таблиця 1'!$I:$I,"Су-25")+COUNTIFS('Таблиця 1'!$B:$B,$A431,'Таблиця 1'!$I:$I,"Су-27"))</f>
        <v/>
      </c>
      <c r="C431">
        <f>IF($A431="","",COUNTIFS('Таблиця 1'!$B:$B,$A431,'Таблиця 1'!$I:$I,"Mirage"))</f>
        <v/>
      </c>
      <c r="D431">
        <f>IF($A431="","",COUNTIFS('Таблиця 1'!$B:$B,$A431,'Таблиця 1'!$I:$I,"F-16"))</f>
        <v/>
      </c>
      <c r="E431">
        <f>IF($A431="","",COUNTIFS('Таблиця 1'!$B:$B,$A431,'Таблиця 1'!$I:$I,"МіГ-29"))</f>
        <v/>
      </c>
      <c r="F431">
        <f>IF($A431="","",COUNTIFS('Таблиця 1'!$B:$B,$A431,'Таблиця 1'!$I:$I,"Су-25"))</f>
        <v/>
      </c>
      <c r="G431">
        <f>IF($A431="","",COUNTIFS('Таблиця 1'!$B:$B,$A431,'Таблиця 1'!$I:$I,"Су-27"))</f>
        <v/>
      </c>
      <c r="H431">
        <f>IF($A431="","",SUMIFS('Таблиця 1'!$K:$K,'Таблиця 1'!$B:$B,$A431,'Таблиця 1'!$I:$I,"Mirage",'Таблиця 1'!$J:$J,"AGM-88")+SUMIFS('Таблиця 1'!$K:$K,'Таблиця 1'!$B:$B,$A431,'Таблиця 1'!$I:$I,"F-16",'Таблиця 1'!$J:$J,"AGM-88")+SUMIFS('Таблиця 1'!$K:$K,'Таблиця 1'!$B:$B,$A431,'Таблиця 1'!$I:$I,"МіГ-29",'Таблиця 1'!$J:$J,"AGM-88")+SUMIFS('Таблиця 1'!$K:$K,'Таблиця 1'!$B:$B,$A431,'Таблиця 1'!$I:$I,"Су-25",'Таблиця 1'!$J:$J,"AGM-88")+SUMIFS('Таблиця 1'!$K:$K,'Таблиця 1'!$B:$B,$A431,'Таблиця 1'!$I:$I,"Су-27",'Таблиця 1'!$J:$J,"AGM-88"))</f>
        <v/>
      </c>
      <c r="I431">
        <f>IF($A431="","",SUMIFS('Таблиця 1'!$K:$K,'Таблиця 1'!$B:$B,$A431,'Таблиця 1'!$I:$I,"Mirage",'Таблиця 1'!$J:$J,"AASM-250")+SUMIFS('Таблиця 1'!$K:$K,'Таблиця 1'!$B:$B,$A431,'Таблиця 1'!$I:$I,"F-16",'Таблиця 1'!$J:$J,"AASM-250")+SUMIFS('Таблиця 1'!$K:$K,'Таблиця 1'!$B:$B,$A431,'Таблиця 1'!$I:$I,"МіГ-29",'Таблиця 1'!$J:$J,"AASM-250")+SUMIFS('Таблиця 1'!$K:$K,'Таблиця 1'!$B:$B,$A431,'Таблиця 1'!$I:$I,"Су-25",'Таблиця 1'!$J:$J,"AASM-250")+SUMIFS('Таблиця 1'!$K:$K,'Таблиця 1'!$B:$B,$A431,'Таблиця 1'!$I:$I,"Су-27",'Таблиця 1'!$J:$J,"AASM-250"))</f>
        <v/>
      </c>
      <c r="J431">
        <f>IF($A431="","",SUMIFS('Таблиця 1'!$K:$K,'Таблиця 1'!$B:$B,$A431,'Таблиця 1'!$I:$I,"Mirage",'Таблиця 1'!$J:$J,"GBU-39")+SUMIFS('Таблиця 1'!$K:$K,'Таблиця 1'!$B:$B,$A431,'Таблиця 1'!$I:$I,"F-16",'Таблиця 1'!$J:$J,"GBU-39")+SUMIFS('Таблиця 1'!$K:$K,'Таблиця 1'!$B:$B,$A431,'Таблиця 1'!$I:$I,"МіГ-29",'Таблиця 1'!$J:$J,"GBU-39")+SUMIFS('Таблиця 1'!$K:$K,'Таблиця 1'!$B:$B,$A431,'Таблиця 1'!$I:$I,"Су-25",'Таблиця 1'!$J:$J,"GBU-39")+SUMIFS('Таблиця 1'!$K:$K,'Таблиця 1'!$B:$B,$A431,'Таблиця 1'!$I:$I,"Су-27",'Таблиця 1'!$J:$J,"GBU-39"))</f>
        <v/>
      </c>
      <c r="K431">
        <f>IF($A431="","",SUMIFS('Таблиця 1'!$K:$K,'Таблиця 1'!$B:$B,$A431,'Таблиця 1'!$I:$I,"Mirage",'Таблиця 1'!$J:$J,"BLU-140")+SUMIFS('Таблиця 1'!$K:$K,'Таблиця 1'!$B:$B,$A431,'Таблиця 1'!$I:$I,"F-16",'Таблиця 1'!$J:$J,"BLU-140")+SUMIFS('Таблиця 1'!$K:$K,'Таблиця 1'!$B:$B,$A431,'Таблиця 1'!$I:$I,"МіГ-29",'Таблиця 1'!$J:$J,"BLU-140")+SUMIFS('Таблиця 1'!$K:$K,'Таблиця 1'!$B:$B,$A431,'Таблиця 1'!$I:$I,"Су-25",'Таблиця 1'!$J:$J,"BLU-140")+SUMIFS('Таблиця 1'!$K:$K,'Таблиця 1'!$B:$B,$A431,'Таблиця 1'!$I:$I,"Су-27",'Таблиця 1'!$J:$J,"BLU-140"))</f>
        <v/>
      </c>
      <c r="L431">
        <f>IF($A431="","",SUMIFS('Таблиця 1'!$K:$K,'Таблиця 1'!$B:$B,$A431,'Таблиця 1'!$I:$I,"Mirage",'Таблиця 1'!$J:$J,"GBU-65")+SUMIFS('Таблиця 1'!$K:$K,'Таблиця 1'!$B:$B,$A431,'Таблиця 1'!$I:$I,"F-16",'Таблиця 1'!$J:$J,"GBU-65")+SUMIFS('Таблиця 1'!$K:$K,'Таблиця 1'!$B:$B,$A431,'Таблиця 1'!$I:$I,"МіГ-29",'Таблиця 1'!$J:$J,"GBU-65")+SUMIFS('Таблиця 1'!$K:$K,'Таблиця 1'!$B:$B,$A431,'Таблиця 1'!$I:$I,"Су-25",'Таблиця 1'!$J:$J,"GBU-65")+SUMIFS('Таблиця 1'!$K:$K,'Таблиця 1'!$B:$B,$A431,'Таблиця 1'!$I:$I,"Су-27",'Таблиця 1'!$J:$J,"GBU-65"))</f>
        <v/>
      </c>
      <c r="M431">
        <f>IF($A431="","",SUMIFS('Таблиця 1'!$K:$K,'Таблиця 1'!$B:$B,$A431,'Таблиця 1'!$I:$I,"Mirage",'Таблиця 1'!$J:$J,"GBU-62")+SUMIFS('Таблиця 1'!$K:$K,'Таблиця 1'!$B:$B,$A431,'Таблиця 1'!$I:$I,"F-16",'Таблиця 1'!$J:$J,"GBU-62")+SUMIFS('Таблиця 1'!$K:$K,'Таблиця 1'!$B:$B,$A431,'Таблиця 1'!$I:$I,"МіГ-29",'Таблиця 1'!$J:$J,"GBU-62")+SUMIFS('Таблиця 1'!$K:$K,'Таблиця 1'!$B:$B,$A431,'Таблиця 1'!$I:$I,"Су-25",'Таблиця 1'!$J:$J,"GBU-62")+SUMIFS('Таблиця 1'!$K:$K,'Таблиця 1'!$B:$B,$A431,'Таблиця 1'!$I:$I,"Су-27",'Таблиця 1'!$J:$J,"GBU-62"))</f>
        <v/>
      </c>
      <c r="N431">
        <f>IF($A431="","",SUMIFS('Таблиця 1'!$K:$K,'Таблиця 1'!$B:$B,$A431,'Таблиця 1'!$I:$I,"Mirage",'Таблиця 1'!$J:$J,"GBU-64")+SUMIFS('Таблиця 1'!$K:$K,'Таблиця 1'!$B:$B,$A431,'Таблиця 1'!$I:$I,"F-16",'Таблиця 1'!$J:$J,"GBU-64")+SUMIFS('Таблиця 1'!$K:$K,'Таблиця 1'!$B:$B,$A431,'Таблиця 1'!$I:$I,"МіГ-29",'Таблиця 1'!$J:$J,"GBU-64")+SUMIFS('Таблиця 1'!$K:$K,'Таблиця 1'!$B:$B,$A431,'Таблиця 1'!$I:$I,"Су-25",'Таблиця 1'!$J:$J,"GBU-64")+SUMIFS('Таблиця 1'!$K:$K,'Таблиця 1'!$B:$B,$A431,'Таблиця 1'!$I:$I,"Су-27",'Таблиця 1'!$J:$J,"GBU-64"))</f>
        <v/>
      </c>
      <c r="O431">
        <f>IF($A431="","",SUMIFS('Таблиця 1'!$K:$K,'Таблиця 1'!$B:$B,$A431,'Таблиця 1'!$I:$I,"Mirage",'Таблиця 1'!$J:$J,"C-13")+SUMIFS('Таблиця 1'!$K:$K,'Таблиця 1'!$B:$B,$A431,'Таблиця 1'!$I:$I,"F-16",'Таблиця 1'!$J:$J,"C-13")+SUMIFS('Таблиця 1'!$K:$K,'Таблиця 1'!$B:$B,$A431,'Таблиця 1'!$I:$I,"МіГ-29",'Таблиця 1'!$J:$J,"C-13")+SUMIFS('Таблиця 1'!$K:$K,'Таблиця 1'!$B:$B,$A431,'Таблиця 1'!$I:$I,"Су-25",'Таблиця 1'!$J:$J,"C-13")+SUMIFS('Таблиця 1'!$K:$K,'Таблиця 1'!$B:$B,$A431,'Таблиця 1'!$I:$I,"Су-27",'Таблиця 1'!$J:$J,"C-13"))</f>
        <v/>
      </c>
      <c r="P431">
        <f>IF($A431="","",SUMIFS('Таблиця 1'!$K:$K,'Таблиця 1'!$B:$B,$A431,'Таблиця 1'!$I:$I,"Mirage",'Таблиця 1'!$J:$J,"MK-32")+SUMIFS('Таблиця 1'!$K:$K,'Таблиця 1'!$B:$B,$A431,'Таблиця 1'!$I:$I,"F-16",'Таблиця 1'!$J:$J,"MK-32")+SUMIFS('Таблиця 1'!$K:$K,'Таблиця 1'!$B:$B,$A431,'Таблиця 1'!$I:$I,"МіГ-29",'Таблиця 1'!$J:$J,"MK-32")+SUMIFS('Таблиця 1'!$K:$K,'Таблиця 1'!$B:$B,$A431,'Таблиця 1'!$I:$I,"Су-25",'Таблиця 1'!$J:$J,"MK-32")+SUMIFS('Таблиця 1'!$K:$K,'Таблиця 1'!$B:$B,$A431,'Таблиця 1'!$I:$I,"Су-27",'Таблиця 1'!$J:$J,"MK-32"))</f>
        <v/>
      </c>
      <c r="Q431">
        <f>IF($A431="","",SUMIFS('Таблиця 1'!$K:$K,'Таблиця 1'!$B:$B,$A431,'Таблиця 1'!$I:$I,"Mirage",'Таблиця 1'!$J:$J,"MK-24")+SUMIFS('Таблиця 1'!$K:$K,'Таблиця 1'!$B:$B,$A431,'Таблиця 1'!$I:$I,"F-16",'Таблиця 1'!$J:$J,"MK-24")+SUMIFS('Таблиця 1'!$K:$K,'Таблиця 1'!$B:$B,$A431,'Таблиця 1'!$I:$I,"МіГ-29",'Таблиця 1'!$J:$J,"MK-24")+SUMIFS('Таблиця 1'!$K:$K,'Таблиця 1'!$B:$B,$A431,'Таблиця 1'!$I:$I,"Су-25",'Таблиця 1'!$J:$J,"MK-24")+SUMIFS('Таблиця 1'!$K:$K,'Таблиця 1'!$B:$B,$A431,'Таблиця 1'!$I:$I,"Су-27",'Таблиця 1'!$J:$J,"MK-24"))</f>
        <v/>
      </c>
      <c r="R431">
        <f>IF($A431="","",COUNTIFS('Таблиця 1'!$B:$B,$A431,'Таблиця 1'!$I:$I,"Mirage",'Таблиця 1'!$L:$L,"Уражено")+COUNTIFS('Таблиця 1'!$B:$B,$A431,'Таблиця 1'!$I:$I,"F-16",'Таблиця 1'!$L:$L,"Уражено")+COUNTIFS('Таблиця 1'!$B:$B,$A431,'Таблиця 1'!$I:$I,"МіГ-29",'Таблиця 1'!$L:$L,"Уражено")+COUNTIFS('Таблиця 1'!$B:$B,$A431,'Таблиця 1'!$I:$I,"Су-25",'Таблиця 1'!$L:$L,"Уражено")+COUNTIFS('Таблиця 1'!$B:$B,$A431,'Таблиця 1'!$I:$I,"Су-27",'Таблиця 1'!$L:$L,"Уражено"))</f>
        <v/>
      </c>
      <c r="S431">
        <f>IF($A431="","",COUNTIFS('Таблиця 1'!$B:$B,$A431,'Таблиця 1'!$I:$I,"Mirage",'Таблиця 1'!$L:$L,"НЕ уражено")+COUNTIFS('Таблиця 1'!$B:$B,$A431,'Таблиця 1'!$I:$I,"F-16",'Таблиця 1'!$L:$L,"НЕ уражено")+COUNTIFS('Таблиця 1'!$B:$B,$A431,'Таблиця 1'!$I:$I,"МіГ-29",'Таблиця 1'!$L:$L,"НЕ уражено")+COUNTIFS('Таблиця 1'!$B:$B,$A431,'Таблиця 1'!$I:$I,"Су-25",'Таблиця 1'!$L:$L,"НЕ уражено")+COUNTIFS('Таблиця 1'!$B:$B,$A431,'Таблиця 1'!$I:$I,"Су-27",'Таблиця 1'!$L:$L,"НЕ уражено"))</f>
        <v/>
      </c>
      <c r="T431">
        <f>IF($A431="","",COUNTIFS('Таблиця 1'!$B:$B,$A431,'Таблиця 1'!$I:$I,"Mirage",'Таблиця 1'!$L:$L,"Дорозвідується")+COUNTIFS('Таблиця 1'!$B:$B,$A431,'Таблиця 1'!$I:$I,"F-16",'Таблиця 1'!$L:$L,"Дорозвідується")+COUNTIFS('Таблиця 1'!$B:$B,$A431,'Таблиця 1'!$I:$I,"МіГ-29",'Таблиця 1'!$L:$L,"Дорозвідується")+COUNTIFS('Таблиця 1'!$B:$B,$A431,'Таблиця 1'!$I:$I,"Су-25",'Таблиця 1'!$L:$L,"Дорозвідується")+COUNTIFS('Таблиця 1'!$B:$B,$A431,'Таблиця 1'!$I:$I,"Су-27",'Таблиця 1'!$L:$L,"Дорозвідується"))</f>
        <v/>
      </c>
    </row>
    <row r="432">
      <c r="A432" s="273">
        <f>IF(A431="","",IF(A431+1&gt;MAX('Таблиця 1'!$B:$B),"",A431+1))</f>
        <v/>
      </c>
      <c r="B432">
        <f>IF($A432="","",COUNTIFS('Таблиця 1'!$B:$B,$A432,'Таблиця 1'!$I:$I,"Mirage")+COUNTIFS('Таблиця 1'!$B:$B,$A432,'Таблиця 1'!$I:$I,"F-16")+COUNTIFS('Таблиця 1'!$B:$B,$A432,'Таблиця 1'!$I:$I,"МіГ-29")+COUNTIFS('Таблиця 1'!$B:$B,$A432,'Таблиця 1'!$I:$I,"Су-25")+COUNTIFS('Таблиця 1'!$B:$B,$A432,'Таблиця 1'!$I:$I,"Су-27"))</f>
        <v/>
      </c>
      <c r="C432">
        <f>IF($A432="","",COUNTIFS('Таблиця 1'!$B:$B,$A432,'Таблиця 1'!$I:$I,"Mirage"))</f>
        <v/>
      </c>
      <c r="D432">
        <f>IF($A432="","",COUNTIFS('Таблиця 1'!$B:$B,$A432,'Таблиця 1'!$I:$I,"F-16"))</f>
        <v/>
      </c>
      <c r="E432">
        <f>IF($A432="","",COUNTIFS('Таблиця 1'!$B:$B,$A432,'Таблиця 1'!$I:$I,"МіГ-29"))</f>
        <v/>
      </c>
      <c r="F432">
        <f>IF($A432="","",COUNTIFS('Таблиця 1'!$B:$B,$A432,'Таблиця 1'!$I:$I,"Су-25"))</f>
        <v/>
      </c>
      <c r="G432">
        <f>IF($A432="","",COUNTIFS('Таблиця 1'!$B:$B,$A432,'Таблиця 1'!$I:$I,"Су-27"))</f>
        <v/>
      </c>
      <c r="H432">
        <f>IF($A432="","",SUMIFS('Таблиця 1'!$K:$K,'Таблиця 1'!$B:$B,$A432,'Таблиця 1'!$I:$I,"Mirage",'Таблиця 1'!$J:$J,"AGM-88")+SUMIFS('Таблиця 1'!$K:$K,'Таблиця 1'!$B:$B,$A432,'Таблиця 1'!$I:$I,"F-16",'Таблиця 1'!$J:$J,"AGM-88")+SUMIFS('Таблиця 1'!$K:$K,'Таблиця 1'!$B:$B,$A432,'Таблиця 1'!$I:$I,"МіГ-29",'Таблиця 1'!$J:$J,"AGM-88")+SUMIFS('Таблиця 1'!$K:$K,'Таблиця 1'!$B:$B,$A432,'Таблиця 1'!$I:$I,"Су-25",'Таблиця 1'!$J:$J,"AGM-88")+SUMIFS('Таблиця 1'!$K:$K,'Таблиця 1'!$B:$B,$A432,'Таблиця 1'!$I:$I,"Су-27",'Таблиця 1'!$J:$J,"AGM-88"))</f>
        <v/>
      </c>
      <c r="I432">
        <f>IF($A432="","",SUMIFS('Таблиця 1'!$K:$K,'Таблиця 1'!$B:$B,$A432,'Таблиця 1'!$I:$I,"Mirage",'Таблиця 1'!$J:$J,"AASM-250")+SUMIFS('Таблиця 1'!$K:$K,'Таблиця 1'!$B:$B,$A432,'Таблиця 1'!$I:$I,"F-16",'Таблиця 1'!$J:$J,"AASM-250")+SUMIFS('Таблиця 1'!$K:$K,'Таблиця 1'!$B:$B,$A432,'Таблиця 1'!$I:$I,"МіГ-29",'Таблиця 1'!$J:$J,"AASM-250")+SUMIFS('Таблиця 1'!$K:$K,'Таблиця 1'!$B:$B,$A432,'Таблиця 1'!$I:$I,"Су-25",'Таблиця 1'!$J:$J,"AASM-250")+SUMIFS('Таблиця 1'!$K:$K,'Таблиця 1'!$B:$B,$A432,'Таблиця 1'!$I:$I,"Су-27",'Таблиця 1'!$J:$J,"AASM-250"))</f>
        <v/>
      </c>
      <c r="J432">
        <f>IF($A432="","",SUMIFS('Таблиця 1'!$K:$K,'Таблиця 1'!$B:$B,$A432,'Таблиця 1'!$I:$I,"Mirage",'Таблиця 1'!$J:$J,"GBU-39")+SUMIFS('Таблиця 1'!$K:$K,'Таблиця 1'!$B:$B,$A432,'Таблиця 1'!$I:$I,"F-16",'Таблиця 1'!$J:$J,"GBU-39")+SUMIFS('Таблиця 1'!$K:$K,'Таблиця 1'!$B:$B,$A432,'Таблиця 1'!$I:$I,"МіГ-29",'Таблиця 1'!$J:$J,"GBU-39")+SUMIFS('Таблиця 1'!$K:$K,'Таблиця 1'!$B:$B,$A432,'Таблиця 1'!$I:$I,"Су-25",'Таблиця 1'!$J:$J,"GBU-39")+SUMIFS('Таблиця 1'!$K:$K,'Таблиця 1'!$B:$B,$A432,'Таблиця 1'!$I:$I,"Су-27",'Таблиця 1'!$J:$J,"GBU-39"))</f>
        <v/>
      </c>
      <c r="K432">
        <f>IF($A432="","",SUMIFS('Таблиця 1'!$K:$K,'Таблиця 1'!$B:$B,$A432,'Таблиця 1'!$I:$I,"Mirage",'Таблиця 1'!$J:$J,"BLU-140")+SUMIFS('Таблиця 1'!$K:$K,'Таблиця 1'!$B:$B,$A432,'Таблиця 1'!$I:$I,"F-16",'Таблиця 1'!$J:$J,"BLU-140")+SUMIFS('Таблиця 1'!$K:$K,'Таблиця 1'!$B:$B,$A432,'Таблиця 1'!$I:$I,"МіГ-29",'Таблиця 1'!$J:$J,"BLU-140")+SUMIFS('Таблиця 1'!$K:$K,'Таблиця 1'!$B:$B,$A432,'Таблиця 1'!$I:$I,"Су-25",'Таблиця 1'!$J:$J,"BLU-140")+SUMIFS('Таблиця 1'!$K:$K,'Таблиця 1'!$B:$B,$A432,'Таблиця 1'!$I:$I,"Су-27",'Таблиця 1'!$J:$J,"BLU-140"))</f>
        <v/>
      </c>
      <c r="L432">
        <f>IF($A432="","",SUMIFS('Таблиця 1'!$K:$K,'Таблиця 1'!$B:$B,$A432,'Таблиця 1'!$I:$I,"Mirage",'Таблиця 1'!$J:$J,"GBU-65")+SUMIFS('Таблиця 1'!$K:$K,'Таблиця 1'!$B:$B,$A432,'Таблиця 1'!$I:$I,"F-16",'Таблиця 1'!$J:$J,"GBU-65")+SUMIFS('Таблиця 1'!$K:$K,'Таблиця 1'!$B:$B,$A432,'Таблиця 1'!$I:$I,"МіГ-29",'Таблиця 1'!$J:$J,"GBU-65")+SUMIFS('Таблиця 1'!$K:$K,'Таблиця 1'!$B:$B,$A432,'Таблиця 1'!$I:$I,"Су-25",'Таблиця 1'!$J:$J,"GBU-65")+SUMIFS('Таблиця 1'!$K:$K,'Таблиця 1'!$B:$B,$A432,'Таблиця 1'!$I:$I,"Су-27",'Таблиця 1'!$J:$J,"GBU-65"))</f>
        <v/>
      </c>
      <c r="M432">
        <f>IF($A432="","",SUMIFS('Таблиця 1'!$K:$K,'Таблиця 1'!$B:$B,$A432,'Таблиця 1'!$I:$I,"Mirage",'Таблиця 1'!$J:$J,"GBU-62")+SUMIFS('Таблиця 1'!$K:$K,'Таблиця 1'!$B:$B,$A432,'Таблиця 1'!$I:$I,"F-16",'Таблиця 1'!$J:$J,"GBU-62")+SUMIFS('Таблиця 1'!$K:$K,'Таблиця 1'!$B:$B,$A432,'Таблиця 1'!$I:$I,"МіГ-29",'Таблиця 1'!$J:$J,"GBU-62")+SUMIFS('Таблиця 1'!$K:$K,'Таблиця 1'!$B:$B,$A432,'Таблиця 1'!$I:$I,"Су-25",'Таблиця 1'!$J:$J,"GBU-62")+SUMIFS('Таблиця 1'!$K:$K,'Таблиця 1'!$B:$B,$A432,'Таблиця 1'!$I:$I,"Су-27",'Таблиця 1'!$J:$J,"GBU-62"))</f>
        <v/>
      </c>
      <c r="N432">
        <f>IF($A432="","",SUMIFS('Таблиця 1'!$K:$K,'Таблиця 1'!$B:$B,$A432,'Таблиця 1'!$I:$I,"Mirage",'Таблиця 1'!$J:$J,"GBU-64")+SUMIFS('Таблиця 1'!$K:$K,'Таблиця 1'!$B:$B,$A432,'Таблиця 1'!$I:$I,"F-16",'Таблиця 1'!$J:$J,"GBU-64")+SUMIFS('Таблиця 1'!$K:$K,'Таблиця 1'!$B:$B,$A432,'Таблиця 1'!$I:$I,"МіГ-29",'Таблиця 1'!$J:$J,"GBU-64")+SUMIFS('Таблиця 1'!$K:$K,'Таблиця 1'!$B:$B,$A432,'Таблиця 1'!$I:$I,"Су-25",'Таблиця 1'!$J:$J,"GBU-64")+SUMIFS('Таблиця 1'!$K:$K,'Таблиця 1'!$B:$B,$A432,'Таблиця 1'!$I:$I,"Су-27",'Таблиця 1'!$J:$J,"GBU-64"))</f>
        <v/>
      </c>
      <c r="O432">
        <f>IF($A432="","",SUMIFS('Таблиця 1'!$K:$K,'Таблиця 1'!$B:$B,$A432,'Таблиця 1'!$I:$I,"Mirage",'Таблиця 1'!$J:$J,"C-13")+SUMIFS('Таблиця 1'!$K:$K,'Таблиця 1'!$B:$B,$A432,'Таблиця 1'!$I:$I,"F-16",'Таблиця 1'!$J:$J,"C-13")+SUMIFS('Таблиця 1'!$K:$K,'Таблиця 1'!$B:$B,$A432,'Таблиця 1'!$I:$I,"МіГ-29",'Таблиця 1'!$J:$J,"C-13")+SUMIFS('Таблиця 1'!$K:$K,'Таблиця 1'!$B:$B,$A432,'Таблиця 1'!$I:$I,"Су-25",'Таблиця 1'!$J:$J,"C-13")+SUMIFS('Таблиця 1'!$K:$K,'Таблиця 1'!$B:$B,$A432,'Таблиця 1'!$I:$I,"Су-27",'Таблиця 1'!$J:$J,"C-13"))</f>
        <v/>
      </c>
      <c r="P432">
        <f>IF($A432="","",SUMIFS('Таблиця 1'!$K:$K,'Таблиця 1'!$B:$B,$A432,'Таблиця 1'!$I:$I,"Mirage",'Таблиця 1'!$J:$J,"MK-32")+SUMIFS('Таблиця 1'!$K:$K,'Таблиця 1'!$B:$B,$A432,'Таблиця 1'!$I:$I,"F-16",'Таблиця 1'!$J:$J,"MK-32")+SUMIFS('Таблиця 1'!$K:$K,'Таблиця 1'!$B:$B,$A432,'Таблиця 1'!$I:$I,"МіГ-29",'Таблиця 1'!$J:$J,"MK-32")+SUMIFS('Таблиця 1'!$K:$K,'Таблиця 1'!$B:$B,$A432,'Таблиця 1'!$I:$I,"Су-25",'Таблиця 1'!$J:$J,"MK-32")+SUMIFS('Таблиця 1'!$K:$K,'Таблиця 1'!$B:$B,$A432,'Таблиця 1'!$I:$I,"Су-27",'Таблиця 1'!$J:$J,"MK-32"))</f>
        <v/>
      </c>
      <c r="Q432">
        <f>IF($A432="","",SUMIFS('Таблиця 1'!$K:$K,'Таблиця 1'!$B:$B,$A432,'Таблиця 1'!$I:$I,"Mirage",'Таблиця 1'!$J:$J,"MK-24")+SUMIFS('Таблиця 1'!$K:$K,'Таблиця 1'!$B:$B,$A432,'Таблиця 1'!$I:$I,"F-16",'Таблиця 1'!$J:$J,"MK-24")+SUMIFS('Таблиця 1'!$K:$K,'Таблиця 1'!$B:$B,$A432,'Таблиця 1'!$I:$I,"МіГ-29",'Таблиця 1'!$J:$J,"MK-24")+SUMIFS('Таблиця 1'!$K:$K,'Таблиця 1'!$B:$B,$A432,'Таблиця 1'!$I:$I,"Су-25",'Таблиця 1'!$J:$J,"MK-24")+SUMIFS('Таблиця 1'!$K:$K,'Таблиця 1'!$B:$B,$A432,'Таблиця 1'!$I:$I,"Су-27",'Таблиця 1'!$J:$J,"MK-24"))</f>
        <v/>
      </c>
      <c r="R432">
        <f>IF($A432="","",COUNTIFS('Таблиця 1'!$B:$B,$A432,'Таблиця 1'!$I:$I,"Mirage",'Таблиця 1'!$L:$L,"Уражено")+COUNTIFS('Таблиця 1'!$B:$B,$A432,'Таблиця 1'!$I:$I,"F-16",'Таблиця 1'!$L:$L,"Уражено")+COUNTIFS('Таблиця 1'!$B:$B,$A432,'Таблиця 1'!$I:$I,"МіГ-29",'Таблиця 1'!$L:$L,"Уражено")+COUNTIFS('Таблиця 1'!$B:$B,$A432,'Таблиця 1'!$I:$I,"Су-25",'Таблиця 1'!$L:$L,"Уражено")+COUNTIFS('Таблиця 1'!$B:$B,$A432,'Таблиця 1'!$I:$I,"Су-27",'Таблиця 1'!$L:$L,"Уражено"))</f>
        <v/>
      </c>
      <c r="S432">
        <f>IF($A432="","",COUNTIFS('Таблиця 1'!$B:$B,$A432,'Таблиця 1'!$I:$I,"Mirage",'Таблиця 1'!$L:$L,"НЕ уражено")+COUNTIFS('Таблиця 1'!$B:$B,$A432,'Таблиця 1'!$I:$I,"F-16",'Таблиця 1'!$L:$L,"НЕ уражено")+COUNTIFS('Таблиця 1'!$B:$B,$A432,'Таблиця 1'!$I:$I,"МіГ-29",'Таблиця 1'!$L:$L,"НЕ уражено")+COUNTIFS('Таблиця 1'!$B:$B,$A432,'Таблиця 1'!$I:$I,"Су-25",'Таблиця 1'!$L:$L,"НЕ уражено")+COUNTIFS('Таблиця 1'!$B:$B,$A432,'Таблиця 1'!$I:$I,"Су-27",'Таблиця 1'!$L:$L,"НЕ уражено"))</f>
        <v/>
      </c>
      <c r="T432">
        <f>IF($A432="","",COUNTIFS('Таблиця 1'!$B:$B,$A432,'Таблиця 1'!$I:$I,"Mirage",'Таблиця 1'!$L:$L,"Дорозвідується")+COUNTIFS('Таблиця 1'!$B:$B,$A432,'Таблиця 1'!$I:$I,"F-16",'Таблиця 1'!$L:$L,"Дорозвідується")+COUNTIFS('Таблиця 1'!$B:$B,$A432,'Таблиця 1'!$I:$I,"МіГ-29",'Таблиця 1'!$L:$L,"Дорозвідується")+COUNTIFS('Таблиця 1'!$B:$B,$A432,'Таблиця 1'!$I:$I,"Су-25",'Таблиця 1'!$L:$L,"Дорозвідується")+COUNTIFS('Таблиця 1'!$B:$B,$A432,'Таблиця 1'!$I:$I,"Су-27",'Таблиця 1'!$L:$L,"Дорозвідується"))</f>
        <v/>
      </c>
    </row>
    <row r="433">
      <c r="A433" s="273">
        <f>IF(A432="","",IF(A432+1&gt;MAX('Таблиця 1'!$B:$B),"",A432+1))</f>
        <v/>
      </c>
      <c r="B433">
        <f>IF($A433="","",COUNTIFS('Таблиця 1'!$B:$B,$A433,'Таблиця 1'!$I:$I,"Mirage")+COUNTIFS('Таблиця 1'!$B:$B,$A433,'Таблиця 1'!$I:$I,"F-16")+COUNTIFS('Таблиця 1'!$B:$B,$A433,'Таблиця 1'!$I:$I,"МіГ-29")+COUNTIFS('Таблиця 1'!$B:$B,$A433,'Таблиця 1'!$I:$I,"Су-25")+COUNTIFS('Таблиця 1'!$B:$B,$A433,'Таблиця 1'!$I:$I,"Су-27"))</f>
        <v/>
      </c>
      <c r="C433">
        <f>IF($A433="","",COUNTIFS('Таблиця 1'!$B:$B,$A433,'Таблиця 1'!$I:$I,"Mirage"))</f>
        <v/>
      </c>
      <c r="D433">
        <f>IF($A433="","",COUNTIFS('Таблиця 1'!$B:$B,$A433,'Таблиця 1'!$I:$I,"F-16"))</f>
        <v/>
      </c>
      <c r="E433">
        <f>IF($A433="","",COUNTIFS('Таблиця 1'!$B:$B,$A433,'Таблиця 1'!$I:$I,"МіГ-29"))</f>
        <v/>
      </c>
      <c r="F433">
        <f>IF($A433="","",COUNTIFS('Таблиця 1'!$B:$B,$A433,'Таблиця 1'!$I:$I,"Су-25"))</f>
        <v/>
      </c>
      <c r="G433">
        <f>IF($A433="","",COUNTIFS('Таблиця 1'!$B:$B,$A433,'Таблиця 1'!$I:$I,"Су-27"))</f>
        <v/>
      </c>
      <c r="H433">
        <f>IF($A433="","",SUMIFS('Таблиця 1'!$K:$K,'Таблиця 1'!$B:$B,$A433,'Таблиця 1'!$I:$I,"Mirage",'Таблиця 1'!$J:$J,"AGM-88")+SUMIFS('Таблиця 1'!$K:$K,'Таблиця 1'!$B:$B,$A433,'Таблиця 1'!$I:$I,"F-16",'Таблиця 1'!$J:$J,"AGM-88")+SUMIFS('Таблиця 1'!$K:$K,'Таблиця 1'!$B:$B,$A433,'Таблиця 1'!$I:$I,"МіГ-29",'Таблиця 1'!$J:$J,"AGM-88")+SUMIFS('Таблиця 1'!$K:$K,'Таблиця 1'!$B:$B,$A433,'Таблиця 1'!$I:$I,"Су-25",'Таблиця 1'!$J:$J,"AGM-88")+SUMIFS('Таблиця 1'!$K:$K,'Таблиця 1'!$B:$B,$A433,'Таблиця 1'!$I:$I,"Су-27",'Таблиця 1'!$J:$J,"AGM-88"))</f>
        <v/>
      </c>
      <c r="I433">
        <f>IF($A433="","",SUMIFS('Таблиця 1'!$K:$K,'Таблиця 1'!$B:$B,$A433,'Таблиця 1'!$I:$I,"Mirage",'Таблиця 1'!$J:$J,"AASM-250")+SUMIFS('Таблиця 1'!$K:$K,'Таблиця 1'!$B:$B,$A433,'Таблиця 1'!$I:$I,"F-16",'Таблиця 1'!$J:$J,"AASM-250")+SUMIFS('Таблиця 1'!$K:$K,'Таблиця 1'!$B:$B,$A433,'Таблиця 1'!$I:$I,"МіГ-29",'Таблиця 1'!$J:$J,"AASM-250")+SUMIFS('Таблиця 1'!$K:$K,'Таблиця 1'!$B:$B,$A433,'Таблиця 1'!$I:$I,"Су-25",'Таблиця 1'!$J:$J,"AASM-250")+SUMIFS('Таблиця 1'!$K:$K,'Таблиця 1'!$B:$B,$A433,'Таблиця 1'!$I:$I,"Су-27",'Таблиця 1'!$J:$J,"AASM-250"))</f>
        <v/>
      </c>
      <c r="J433">
        <f>IF($A433="","",SUMIFS('Таблиця 1'!$K:$K,'Таблиця 1'!$B:$B,$A433,'Таблиця 1'!$I:$I,"Mirage",'Таблиця 1'!$J:$J,"GBU-39")+SUMIFS('Таблиця 1'!$K:$K,'Таблиця 1'!$B:$B,$A433,'Таблиця 1'!$I:$I,"F-16",'Таблиця 1'!$J:$J,"GBU-39")+SUMIFS('Таблиця 1'!$K:$K,'Таблиця 1'!$B:$B,$A433,'Таблиця 1'!$I:$I,"МіГ-29",'Таблиця 1'!$J:$J,"GBU-39")+SUMIFS('Таблиця 1'!$K:$K,'Таблиця 1'!$B:$B,$A433,'Таблиця 1'!$I:$I,"Су-25",'Таблиця 1'!$J:$J,"GBU-39")+SUMIFS('Таблиця 1'!$K:$K,'Таблиця 1'!$B:$B,$A433,'Таблиця 1'!$I:$I,"Су-27",'Таблиця 1'!$J:$J,"GBU-39"))</f>
        <v/>
      </c>
      <c r="K433">
        <f>IF($A433="","",SUMIFS('Таблиця 1'!$K:$K,'Таблиця 1'!$B:$B,$A433,'Таблиця 1'!$I:$I,"Mirage",'Таблиця 1'!$J:$J,"BLU-140")+SUMIFS('Таблиця 1'!$K:$K,'Таблиця 1'!$B:$B,$A433,'Таблиця 1'!$I:$I,"F-16",'Таблиця 1'!$J:$J,"BLU-140")+SUMIFS('Таблиця 1'!$K:$K,'Таблиця 1'!$B:$B,$A433,'Таблиця 1'!$I:$I,"МіГ-29",'Таблиця 1'!$J:$J,"BLU-140")+SUMIFS('Таблиця 1'!$K:$K,'Таблиця 1'!$B:$B,$A433,'Таблиця 1'!$I:$I,"Су-25",'Таблиця 1'!$J:$J,"BLU-140")+SUMIFS('Таблиця 1'!$K:$K,'Таблиця 1'!$B:$B,$A433,'Таблиця 1'!$I:$I,"Су-27",'Таблиця 1'!$J:$J,"BLU-140"))</f>
        <v/>
      </c>
      <c r="L433">
        <f>IF($A433="","",SUMIFS('Таблиця 1'!$K:$K,'Таблиця 1'!$B:$B,$A433,'Таблиця 1'!$I:$I,"Mirage",'Таблиця 1'!$J:$J,"GBU-65")+SUMIFS('Таблиця 1'!$K:$K,'Таблиця 1'!$B:$B,$A433,'Таблиця 1'!$I:$I,"F-16",'Таблиця 1'!$J:$J,"GBU-65")+SUMIFS('Таблиця 1'!$K:$K,'Таблиця 1'!$B:$B,$A433,'Таблиця 1'!$I:$I,"МіГ-29",'Таблиця 1'!$J:$J,"GBU-65")+SUMIFS('Таблиця 1'!$K:$K,'Таблиця 1'!$B:$B,$A433,'Таблиця 1'!$I:$I,"Су-25",'Таблиця 1'!$J:$J,"GBU-65")+SUMIFS('Таблиця 1'!$K:$K,'Таблиця 1'!$B:$B,$A433,'Таблиця 1'!$I:$I,"Су-27",'Таблиця 1'!$J:$J,"GBU-65"))</f>
        <v/>
      </c>
      <c r="M433">
        <f>IF($A433="","",SUMIFS('Таблиця 1'!$K:$K,'Таблиця 1'!$B:$B,$A433,'Таблиця 1'!$I:$I,"Mirage",'Таблиця 1'!$J:$J,"GBU-62")+SUMIFS('Таблиця 1'!$K:$K,'Таблиця 1'!$B:$B,$A433,'Таблиця 1'!$I:$I,"F-16",'Таблиця 1'!$J:$J,"GBU-62")+SUMIFS('Таблиця 1'!$K:$K,'Таблиця 1'!$B:$B,$A433,'Таблиця 1'!$I:$I,"МіГ-29",'Таблиця 1'!$J:$J,"GBU-62")+SUMIFS('Таблиця 1'!$K:$K,'Таблиця 1'!$B:$B,$A433,'Таблиця 1'!$I:$I,"Су-25",'Таблиця 1'!$J:$J,"GBU-62")+SUMIFS('Таблиця 1'!$K:$K,'Таблиця 1'!$B:$B,$A433,'Таблиця 1'!$I:$I,"Су-27",'Таблиця 1'!$J:$J,"GBU-62"))</f>
        <v/>
      </c>
      <c r="N433">
        <f>IF($A433="","",SUMIFS('Таблиця 1'!$K:$K,'Таблиця 1'!$B:$B,$A433,'Таблиця 1'!$I:$I,"Mirage",'Таблиця 1'!$J:$J,"GBU-64")+SUMIFS('Таблиця 1'!$K:$K,'Таблиця 1'!$B:$B,$A433,'Таблиця 1'!$I:$I,"F-16",'Таблиця 1'!$J:$J,"GBU-64")+SUMIFS('Таблиця 1'!$K:$K,'Таблиця 1'!$B:$B,$A433,'Таблиця 1'!$I:$I,"МіГ-29",'Таблиця 1'!$J:$J,"GBU-64")+SUMIFS('Таблиця 1'!$K:$K,'Таблиця 1'!$B:$B,$A433,'Таблиця 1'!$I:$I,"Су-25",'Таблиця 1'!$J:$J,"GBU-64")+SUMIFS('Таблиця 1'!$K:$K,'Таблиця 1'!$B:$B,$A433,'Таблиця 1'!$I:$I,"Су-27",'Таблиця 1'!$J:$J,"GBU-64"))</f>
        <v/>
      </c>
      <c r="O433">
        <f>IF($A433="","",SUMIFS('Таблиця 1'!$K:$K,'Таблиця 1'!$B:$B,$A433,'Таблиця 1'!$I:$I,"Mirage",'Таблиця 1'!$J:$J,"C-13")+SUMIFS('Таблиця 1'!$K:$K,'Таблиця 1'!$B:$B,$A433,'Таблиця 1'!$I:$I,"F-16",'Таблиця 1'!$J:$J,"C-13")+SUMIFS('Таблиця 1'!$K:$K,'Таблиця 1'!$B:$B,$A433,'Таблиця 1'!$I:$I,"МіГ-29",'Таблиця 1'!$J:$J,"C-13")+SUMIFS('Таблиця 1'!$K:$K,'Таблиця 1'!$B:$B,$A433,'Таблиця 1'!$I:$I,"Су-25",'Таблиця 1'!$J:$J,"C-13")+SUMIFS('Таблиця 1'!$K:$K,'Таблиця 1'!$B:$B,$A433,'Таблиця 1'!$I:$I,"Су-27",'Таблиця 1'!$J:$J,"C-13"))</f>
        <v/>
      </c>
      <c r="P433">
        <f>IF($A433="","",SUMIFS('Таблиця 1'!$K:$K,'Таблиця 1'!$B:$B,$A433,'Таблиця 1'!$I:$I,"Mirage",'Таблиця 1'!$J:$J,"MK-32")+SUMIFS('Таблиця 1'!$K:$K,'Таблиця 1'!$B:$B,$A433,'Таблиця 1'!$I:$I,"F-16",'Таблиця 1'!$J:$J,"MK-32")+SUMIFS('Таблиця 1'!$K:$K,'Таблиця 1'!$B:$B,$A433,'Таблиця 1'!$I:$I,"МіГ-29",'Таблиця 1'!$J:$J,"MK-32")+SUMIFS('Таблиця 1'!$K:$K,'Таблиця 1'!$B:$B,$A433,'Таблиця 1'!$I:$I,"Су-25",'Таблиця 1'!$J:$J,"MK-32")+SUMIFS('Таблиця 1'!$K:$K,'Таблиця 1'!$B:$B,$A433,'Таблиця 1'!$I:$I,"Су-27",'Таблиця 1'!$J:$J,"MK-32"))</f>
        <v/>
      </c>
      <c r="Q433">
        <f>IF($A433="","",SUMIFS('Таблиця 1'!$K:$K,'Таблиця 1'!$B:$B,$A433,'Таблиця 1'!$I:$I,"Mirage",'Таблиця 1'!$J:$J,"MK-24")+SUMIFS('Таблиця 1'!$K:$K,'Таблиця 1'!$B:$B,$A433,'Таблиця 1'!$I:$I,"F-16",'Таблиця 1'!$J:$J,"MK-24")+SUMIFS('Таблиця 1'!$K:$K,'Таблиця 1'!$B:$B,$A433,'Таблиця 1'!$I:$I,"МіГ-29",'Таблиця 1'!$J:$J,"MK-24")+SUMIFS('Таблиця 1'!$K:$K,'Таблиця 1'!$B:$B,$A433,'Таблиця 1'!$I:$I,"Су-25",'Таблиця 1'!$J:$J,"MK-24")+SUMIFS('Таблиця 1'!$K:$K,'Таблиця 1'!$B:$B,$A433,'Таблиця 1'!$I:$I,"Су-27",'Таблиця 1'!$J:$J,"MK-24"))</f>
        <v/>
      </c>
      <c r="R433">
        <f>IF($A433="","",COUNTIFS('Таблиця 1'!$B:$B,$A433,'Таблиця 1'!$I:$I,"Mirage",'Таблиця 1'!$L:$L,"Уражено")+COUNTIFS('Таблиця 1'!$B:$B,$A433,'Таблиця 1'!$I:$I,"F-16",'Таблиця 1'!$L:$L,"Уражено")+COUNTIFS('Таблиця 1'!$B:$B,$A433,'Таблиця 1'!$I:$I,"МіГ-29",'Таблиця 1'!$L:$L,"Уражено")+COUNTIFS('Таблиця 1'!$B:$B,$A433,'Таблиця 1'!$I:$I,"Су-25",'Таблиця 1'!$L:$L,"Уражено")+COUNTIFS('Таблиця 1'!$B:$B,$A433,'Таблиця 1'!$I:$I,"Су-27",'Таблиця 1'!$L:$L,"Уражено"))</f>
        <v/>
      </c>
      <c r="S433">
        <f>IF($A433="","",COUNTIFS('Таблиця 1'!$B:$B,$A433,'Таблиця 1'!$I:$I,"Mirage",'Таблиця 1'!$L:$L,"НЕ уражено")+COUNTIFS('Таблиця 1'!$B:$B,$A433,'Таблиця 1'!$I:$I,"F-16",'Таблиця 1'!$L:$L,"НЕ уражено")+COUNTIFS('Таблиця 1'!$B:$B,$A433,'Таблиця 1'!$I:$I,"МіГ-29",'Таблиця 1'!$L:$L,"НЕ уражено")+COUNTIFS('Таблиця 1'!$B:$B,$A433,'Таблиця 1'!$I:$I,"Су-25",'Таблиця 1'!$L:$L,"НЕ уражено")+COUNTIFS('Таблиця 1'!$B:$B,$A433,'Таблиця 1'!$I:$I,"Су-27",'Таблиця 1'!$L:$L,"НЕ уражено"))</f>
        <v/>
      </c>
      <c r="T433">
        <f>IF($A433="","",COUNTIFS('Таблиця 1'!$B:$B,$A433,'Таблиця 1'!$I:$I,"Mirage",'Таблиця 1'!$L:$L,"Дорозвідується")+COUNTIFS('Таблиця 1'!$B:$B,$A433,'Таблиця 1'!$I:$I,"F-16",'Таблиця 1'!$L:$L,"Дорозвідується")+COUNTIFS('Таблиця 1'!$B:$B,$A433,'Таблиця 1'!$I:$I,"МіГ-29",'Таблиця 1'!$L:$L,"Дорозвідується")+COUNTIFS('Таблиця 1'!$B:$B,$A433,'Таблиця 1'!$I:$I,"Су-25",'Таблиця 1'!$L:$L,"Дорозвідується")+COUNTIFS('Таблиця 1'!$B:$B,$A433,'Таблиця 1'!$I:$I,"Су-27",'Таблиця 1'!$L:$L,"Дорозвідується"))</f>
        <v/>
      </c>
    </row>
    <row r="434">
      <c r="A434" s="273">
        <f>IF(A433="","",IF(A433+1&gt;MAX('Таблиця 1'!$B:$B),"",A433+1))</f>
        <v/>
      </c>
      <c r="B434">
        <f>IF($A434="","",COUNTIFS('Таблиця 1'!$B:$B,$A434,'Таблиця 1'!$I:$I,"Mirage")+COUNTIFS('Таблиця 1'!$B:$B,$A434,'Таблиця 1'!$I:$I,"F-16")+COUNTIFS('Таблиця 1'!$B:$B,$A434,'Таблиця 1'!$I:$I,"МіГ-29")+COUNTIFS('Таблиця 1'!$B:$B,$A434,'Таблиця 1'!$I:$I,"Су-25")+COUNTIFS('Таблиця 1'!$B:$B,$A434,'Таблиця 1'!$I:$I,"Су-27"))</f>
        <v/>
      </c>
      <c r="C434">
        <f>IF($A434="","",COUNTIFS('Таблиця 1'!$B:$B,$A434,'Таблиця 1'!$I:$I,"Mirage"))</f>
        <v/>
      </c>
      <c r="D434">
        <f>IF($A434="","",COUNTIFS('Таблиця 1'!$B:$B,$A434,'Таблиця 1'!$I:$I,"F-16"))</f>
        <v/>
      </c>
      <c r="E434">
        <f>IF($A434="","",COUNTIFS('Таблиця 1'!$B:$B,$A434,'Таблиця 1'!$I:$I,"МіГ-29"))</f>
        <v/>
      </c>
      <c r="F434">
        <f>IF($A434="","",COUNTIFS('Таблиця 1'!$B:$B,$A434,'Таблиця 1'!$I:$I,"Су-25"))</f>
        <v/>
      </c>
      <c r="G434">
        <f>IF($A434="","",COUNTIFS('Таблиця 1'!$B:$B,$A434,'Таблиця 1'!$I:$I,"Су-27"))</f>
        <v/>
      </c>
      <c r="H434">
        <f>IF($A434="","",SUMIFS('Таблиця 1'!$K:$K,'Таблиця 1'!$B:$B,$A434,'Таблиця 1'!$I:$I,"Mirage",'Таблиця 1'!$J:$J,"AGM-88")+SUMIFS('Таблиця 1'!$K:$K,'Таблиця 1'!$B:$B,$A434,'Таблиця 1'!$I:$I,"F-16",'Таблиця 1'!$J:$J,"AGM-88")+SUMIFS('Таблиця 1'!$K:$K,'Таблиця 1'!$B:$B,$A434,'Таблиця 1'!$I:$I,"МіГ-29",'Таблиця 1'!$J:$J,"AGM-88")+SUMIFS('Таблиця 1'!$K:$K,'Таблиця 1'!$B:$B,$A434,'Таблиця 1'!$I:$I,"Су-25",'Таблиця 1'!$J:$J,"AGM-88")+SUMIFS('Таблиця 1'!$K:$K,'Таблиця 1'!$B:$B,$A434,'Таблиця 1'!$I:$I,"Су-27",'Таблиця 1'!$J:$J,"AGM-88"))</f>
        <v/>
      </c>
      <c r="I434">
        <f>IF($A434="","",SUMIFS('Таблиця 1'!$K:$K,'Таблиця 1'!$B:$B,$A434,'Таблиця 1'!$I:$I,"Mirage",'Таблиця 1'!$J:$J,"AASM-250")+SUMIFS('Таблиця 1'!$K:$K,'Таблиця 1'!$B:$B,$A434,'Таблиця 1'!$I:$I,"F-16",'Таблиця 1'!$J:$J,"AASM-250")+SUMIFS('Таблиця 1'!$K:$K,'Таблиця 1'!$B:$B,$A434,'Таблиця 1'!$I:$I,"МіГ-29",'Таблиця 1'!$J:$J,"AASM-250")+SUMIFS('Таблиця 1'!$K:$K,'Таблиця 1'!$B:$B,$A434,'Таблиця 1'!$I:$I,"Су-25",'Таблиця 1'!$J:$J,"AASM-250")+SUMIFS('Таблиця 1'!$K:$K,'Таблиця 1'!$B:$B,$A434,'Таблиця 1'!$I:$I,"Су-27",'Таблиця 1'!$J:$J,"AASM-250"))</f>
        <v/>
      </c>
      <c r="J434">
        <f>IF($A434="","",SUMIFS('Таблиця 1'!$K:$K,'Таблиця 1'!$B:$B,$A434,'Таблиця 1'!$I:$I,"Mirage",'Таблиця 1'!$J:$J,"GBU-39")+SUMIFS('Таблиця 1'!$K:$K,'Таблиця 1'!$B:$B,$A434,'Таблиця 1'!$I:$I,"F-16",'Таблиця 1'!$J:$J,"GBU-39")+SUMIFS('Таблиця 1'!$K:$K,'Таблиця 1'!$B:$B,$A434,'Таблиця 1'!$I:$I,"МіГ-29",'Таблиця 1'!$J:$J,"GBU-39")+SUMIFS('Таблиця 1'!$K:$K,'Таблиця 1'!$B:$B,$A434,'Таблиця 1'!$I:$I,"Су-25",'Таблиця 1'!$J:$J,"GBU-39")+SUMIFS('Таблиця 1'!$K:$K,'Таблиця 1'!$B:$B,$A434,'Таблиця 1'!$I:$I,"Су-27",'Таблиця 1'!$J:$J,"GBU-39"))</f>
        <v/>
      </c>
      <c r="K434">
        <f>IF($A434="","",SUMIFS('Таблиця 1'!$K:$K,'Таблиця 1'!$B:$B,$A434,'Таблиця 1'!$I:$I,"Mirage",'Таблиця 1'!$J:$J,"BLU-140")+SUMIFS('Таблиця 1'!$K:$K,'Таблиця 1'!$B:$B,$A434,'Таблиця 1'!$I:$I,"F-16",'Таблиця 1'!$J:$J,"BLU-140")+SUMIFS('Таблиця 1'!$K:$K,'Таблиця 1'!$B:$B,$A434,'Таблиця 1'!$I:$I,"МіГ-29",'Таблиця 1'!$J:$J,"BLU-140")+SUMIFS('Таблиця 1'!$K:$K,'Таблиця 1'!$B:$B,$A434,'Таблиця 1'!$I:$I,"Су-25",'Таблиця 1'!$J:$J,"BLU-140")+SUMIFS('Таблиця 1'!$K:$K,'Таблиця 1'!$B:$B,$A434,'Таблиця 1'!$I:$I,"Су-27",'Таблиця 1'!$J:$J,"BLU-140"))</f>
        <v/>
      </c>
      <c r="L434">
        <f>IF($A434="","",SUMIFS('Таблиця 1'!$K:$K,'Таблиця 1'!$B:$B,$A434,'Таблиця 1'!$I:$I,"Mirage",'Таблиця 1'!$J:$J,"GBU-65")+SUMIFS('Таблиця 1'!$K:$K,'Таблиця 1'!$B:$B,$A434,'Таблиця 1'!$I:$I,"F-16",'Таблиця 1'!$J:$J,"GBU-65")+SUMIFS('Таблиця 1'!$K:$K,'Таблиця 1'!$B:$B,$A434,'Таблиця 1'!$I:$I,"МіГ-29",'Таблиця 1'!$J:$J,"GBU-65")+SUMIFS('Таблиця 1'!$K:$K,'Таблиця 1'!$B:$B,$A434,'Таблиця 1'!$I:$I,"Су-25",'Таблиця 1'!$J:$J,"GBU-65")+SUMIFS('Таблиця 1'!$K:$K,'Таблиця 1'!$B:$B,$A434,'Таблиця 1'!$I:$I,"Су-27",'Таблиця 1'!$J:$J,"GBU-65"))</f>
        <v/>
      </c>
      <c r="M434">
        <f>IF($A434="","",SUMIFS('Таблиця 1'!$K:$K,'Таблиця 1'!$B:$B,$A434,'Таблиця 1'!$I:$I,"Mirage",'Таблиця 1'!$J:$J,"GBU-62")+SUMIFS('Таблиця 1'!$K:$K,'Таблиця 1'!$B:$B,$A434,'Таблиця 1'!$I:$I,"F-16",'Таблиця 1'!$J:$J,"GBU-62")+SUMIFS('Таблиця 1'!$K:$K,'Таблиця 1'!$B:$B,$A434,'Таблиця 1'!$I:$I,"МіГ-29",'Таблиця 1'!$J:$J,"GBU-62")+SUMIFS('Таблиця 1'!$K:$K,'Таблиця 1'!$B:$B,$A434,'Таблиця 1'!$I:$I,"Су-25",'Таблиця 1'!$J:$J,"GBU-62")+SUMIFS('Таблиця 1'!$K:$K,'Таблиця 1'!$B:$B,$A434,'Таблиця 1'!$I:$I,"Су-27",'Таблиця 1'!$J:$J,"GBU-62"))</f>
        <v/>
      </c>
      <c r="N434">
        <f>IF($A434="","",SUMIFS('Таблиця 1'!$K:$K,'Таблиця 1'!$B:$B,$A434,'Таблиця 1'!$I:$I,"Mirage",'Таблиця 1'!$J:$J,"GBU-64")+SUMIFS('Таблиця 1'!$K:$K,'Таблиця 1'!$B:$B,$A434,'Таблиця 1'!$I:$I,"F-16",'Таблиця 1'!$J:$J,"GBU-64")+SUMIFS('Таблиця 1'!$K:$K,'Таблиця 1'!$B:$B,$A434,'Таблиця 1'!$I:$I,"МіГ-29",'Таблиця 1'!$J:$J,"GBU-64")+SUMIFS('Таблиця 1'!$K:$K,'Таблиця 1'!$B:$B,$A434,'Таблиця 1'!$I:$I,"Су-25",'Таблиця 1'!$J:$J,"GBU-64")+SUMIFS('Таблиця 1'!$K:$K,'Таблиця 1'!$B:$B,$A434,'Таблиця 1'!$I:$I,"Су-27",'Таблиця 1'!$J:$J,"GBU-64"))</f>
        <v/>
      </c>
      <c r="O434">
        <f>IF($A434="","",SUMIFS('Таблиця 1'!$K:$K,'Таблиця 1'!$B:$B,$A434,'Таблиця 1'!$I:$I,"Mirage",'Таблиця 1'!$J:$J,"C-13")+SUMIFS('Таблиця 1'!$K:$K,'Таблиця 1'!$B:$B,$A434,'Таблиця 1'!$I:$I,"F-16",'Таблиця 1'!$J:$J,"C-13")+SUMIFS('Таблиця 1'!$K:$K,'Таблиця 1'!$B:$B,$A434,'Таблиця 1'!$I:$I,"МіГ-29",'Таблиця 1'!$J:$J,"C-13")+SUMIFS('Таблиця 1'!$K:$K,'Таблиця 1'!$B:$B,$A434,'Таблиця 1'!$I:$I,"Су-25",'Таблиця 1'!$J:$J,"C-13")+SUMIFS('Таблиця 1'!$K:$K,'Таблиця 1'!$B:$B,$A434,'Таблиця 1'!$I:$I,"Су-27",'Таблиця 1'!$J:$J,"C-13"))</f>
        <v/>
      </c>
      <c r="P434">
        <f>IF($A434="","",SUMIFS('Таблиця 1'!$K:$K,'Таблиця 1'!$B:$B,$A434,'Таблиця 1'!$I:$I,"Mirage",'Таблиця 1'!$J:$J,"MK-32")+SUMIFS('Таблиця 1'!$K:$K,'Таблиця 1'!$B:$B,$A434,'Таблиця 1'!$I:$I,"F-16",'Таблиця 1'!$J:$J,"MK-32")+SUMIFS('Таблиця 1'!$K:$K,'Таблиця 1'!$B:$B,$A434,'Таблиця 1'!$I:$I,"МіГ-29",'Таблиця 1'!$J:$J,"MK-32")+SUMIFS('Таблиця 1'!$K:$K,'Таблиця 1'!$B:$B,$A434,'Таблиця 1'!$I:$I,"Су-25",'Таблиця 1'!$J:$J,"MK-32")+SUMIFS('Таблиця 1'!$K:$K,'Таблиця 1'!$B:$B,$A434,'Таблиця 1'!$I:$I,"Су-27",'Таблиця 1'!$J:$J,"MK-32"))</f>
        <v/>
      </c>
      <c r="Q434">
        <f>IF($A434="","",SUMIFS('Таблиця 1'!$K:$K,'Таблиця 1'!$B:$B,$A434,'Таблиця 1'!$I:$I,"Mirage",'Таблиця 1'!$J:$J,"MK-24")+SUMIFS('Таблиця 1'!$K:$K,'Таблиця 1'!$B:$B,$A434,'Таблиця 1'!$I:$I,"F-16",'Таблиця 1'!$J:$J,"MK-24")+SUMIFS('Таблиця 1'!$K:$K,'Таблиця 1'!$B:$B,$A434,'Таблиця 1'!$I:$I,"МіГ-29",'Таблиця 1'!$J:$J,"MK-24")+SUMIFS('Таблиця 1'!$K:$K,'Таблиця 1'!$B:$B,$A434,'Таблиця 1'!$I:$I,"Су-25",'Таблиця 1'!$J:$J,"MK-24")+SUMIFS('Таблиця 1'!$K:$K,'Таблиця 1'!$B:$B,$A434,'Таблиця 1'!$I:$I,"Су-27",'Таблиця 1'!$J:$J,"MK-24"))</f>
        <v/>
      </c>
      <c r="R434">
        <f>IF($A434="","",COUNTIFS('Таблиця 1'!$B:$B,$A434,'Таблиця 1'!$I:$I,"Mirage",'Таблиця 1'!$L:$L,"Уражено")+COUNTIFS('Таблиця 1'!$B:$B,$A434,'Таблиця 1'!$I:$I,"F-16",'Таблиця 1'!$L:$L,"Уражено")+COUNTIFS('Таблиця 1'!$B:$B,$A434,'Таблиця 1'!$I:$I,"МіГ-29",'Таблиця 1'!$L:$L,"Уражено")+COUNTIFS('Таблиця 1'!$B:$B,$A434,'Таблиця 1'!$I:$I,"Су-25",'Таблиця 1'!$L:$L,"Уражено")+COUNTIFS('Таблиця 1'!$B:$B,$A434,'Таблиця 1'!$I:$I,"Су-27",'Таблиця 1'!$L:$L,"Уражено"))</f>
        <v/>
      </c>
      <c r="S434">
        <f>IF($A434="","",COUNTIFS('Таблиця 1'!$B:$B,$A434,'Таблиця 1'!$I:$I,"Mirage",'Таблиця 1'!$L:$L,"НЕ уражено")+COUNTIFS('Таблиця 1'!$B:$B,$A434,'Таблиця 1'!$I:$I,"F-16",'Таблиця 1'!$L:$L,"НЕ уражено")+COUNTIFS('Таблиця 1'!$B:$B,$A434,'Таблиця 1'!$I:$I,"МіГ-29",'Таблиця 1'!$L:$L,"НЕ уражено")+COUNTIFS('Таблиця 1'!$B:$B,$A434,'Таблиця 1'!$I:$I,"Су-25",'Таблиця 1'!$L:$L,"НЕ уражено")+COUNTIFS('Таблиця 1'!$B:$B,$A434,'Таблиця 1'!$I:$I,"Су-27",'Таблиця 1'!$L:$L,"НЕ уражено"))</f>
        <v/>
      </c>
      <c r="T434">
        <f>IF($A434="","",COUNTIFS('Таблиця 1'!$B:$B,$A434,'Таблиця 1'!$I:$I,"Mirage",'Таблиця 1'!$L:$L,"Дорозвідується")+COUNTIFS('Таблиця 1'!$B:$B,$A434,'Таблиця 1'!$I:$I,"F-16",'Таблиця 1'!$L:$L,"Дорозвідується")+COUNTIFS('Таблиця 1'!$B:$B,$A434,'Таблиця 1'!$I:$I,"МіГ-29",'Таблиця 1'!$L:$L,"Дорозвідується")+COUNTIFS('Таблиця 1'!$B:$B,$A434,'Таблиця 1'!$I:$I,"Су-25",'Таблиця 1'!$L:$L,"Дорозвідується")+COUNTIFS('Таблиця 1'!$B:$B,$A434,'Таблиця 1'!$I:$I,"Су-27",'Таблиця 1'!$L:$L,"Дорозвідується"))</f>
        <v/>
      </c>
    </row>
    <row r="435">
      <c r="A435" s="273">
        <f>IF(A434="","",IF(A434+1&gt;MAX('Таблиця 1'!$B:$B),"",A434+1))</f>
        <v/>
      </c>
      <c r="B435">
        <f>IF($A435="","",COUNTIFS('Таблиця 1'!$B:$B,$A435,'Таблиця 1'!$I:$I,"Mirage")+COUNTIFS('Таблиця 1'!$B:$B,$A435,'Таблиця 1'!$I:$I,"F-16")+COUNTIFS('Таблиця 1'!$B:$B,$A435,'Таблиця 1'!$I:$I,"МіГ-29")+COUNTIFS('Таблиця 1'!$B:$B,$A435,'Таблиця 1'!$I:$I,"Су-25")+COUNTIFS('Таблиця 1'!$B:$B,$A435,'Таблиця 1'!$I:$I,"Су-27"))</f>
        <v/>
      </c>
      <c r="C435">
        <f>IF($A435="","",COUNTIFS('Таблиця 1'!$B:$B,$A435,'Таблиця 1'!$I:$I,"Mirage"))</f>
        <v/>
      </c>
      <c r="D435">
        <f>IF($A435="","",COUNTIFS('Таблиця 1'!$B:$B,$A435,'Таблиця 1'!$I:$I,"F-16"))</f>
        <v/>
      </c>
      <c r="E435">
        <f>IF($A435="","",COUNTIFS('Таблиця 1'!$B:$B,$A435,'Таблиця 1'!$I:$I,"МіГ-29"))</f>
        <v/>
      </c>
      <c r="F435">
        <f>IF($A435="","",COUNTIFS('Таблиця 1'!$B:$B,$A435,'Таблиця 1'!$I:$I,"Су-25"))</f>
        <v/>
      </c>
      <c r="G435">
        <f>IF($A435="","",COUNTIFS('Таблиця 1'!$B:$B,$A435,'Таблиця 1'!$I:$I,"Су-27"))</f>
        <v/>
      </c>
      <c r="H435">
        <f>IF($A435="","",SUMIFS('Таблиця 1'!$K:$K,'Таблиця 1'!$B:$B,$A435,'Таблиця 1'!$I:$I,"Mirage",'Таблиця 1'!$J:$J,"AGM-88")+SUMIFS('Таблиця 1'!$K:$K,'Таблиця 1'!$B:$B,$A435,'Таблиця 1'!$I:$I,"F-16",'Таблиця 1'!$J:$J,"AGM-88")+SUMIFS('Таблиця 1'!$K:$K,'Таблиця 1'!$B:$B,$A435,'Таблиця 1'!$I:$I,"МіГ-29",'Таблиця 1'!$J:$J,"AGM-88")+SUMIFS('Таблиця 1'!$K:$K,'Таблиця 1'!$B:$B,$A435,'Таблиця 1'!$I:$I,"Су-25",'Таблиця 1'!$J:$J,"AGM-88")+SUMIFS('Таблиця 1'!$K:$K,'Таблиця 1'!$B:$B,$A435,'Таблиця 1'!$I:$I,"Су-27",'Таблиця 1'!$J:$J,"AGM-88"))</f>
        <v/>
      </c>
      <c r="I435">
        <f>IF($A435="","",SUMIFS('Таблиця 1'!$K:$K,'Таблиця 1'!$B:$B,$A435,'Таблиця 1'!$I:$I,"Mirage",'Таблиця 1'!$J:$J,"AASM-250")+SUMIFS('Таблиця 1'!$K:$K,'Таблиця 1'!$B:$B,$A435,'Таблиця 1'!$I:$I,"F-16",'Таблиця 1'!$J:$J,"AASM-250")+SUMIFS('Таблиця 1'!$K:$K,'Таблиця 1'!$B:$B,$A435,'Таблиця 1'!$I:$I,"МіГ-29",'Таблиця 1'!$J:$J,"AASM-250")+SUMIFS('Таблиця 1'!$K:$K,'Таблиця 1'!$B:$B,$A435,'Таблиця 1'!$I:$I,"Су-25",'Таблиця 1'!$J:$J,"AASM-250")+SUMIFS('Таблиця 1'!$K:$K,'Таблиця 1'!$B:$B,$A435,'Таблиця 1'!$I:$I,"Су-27",'Таблиця 1'!$J:$J,"AASM-250"))</f>
        <v/>
      </c>
      <c r="J435">
        <f>IF($A435="","",SUMIFS('Таблиця 1'!$K:$K,'Таблиця 1'!$B:$B,$A435,'Таблиця 1'!$I:$I,"Mirage",'Таблиця 1'!$J:$J,"GBU-39")+SUMIFS('Таблиця 1'!$K:$K,'Таблиця 1'!$B:$B,$A435,'Таблиця 1'!$I:$I,"F-16",'Таблиця 1'!$J:$J,"GBU-39")+SUMIFS('Таблиця 1'!$K:$K,'Таблиця 1'!$B:$B,$A435,'Таблиця 1'!$I:$I,"МіГ-29",'Таблиця 1'!$J:$J,"GBU-39")+SUMIFS('Таблиця 1'!$K:$K,'Таблиця 1'!$B:$B,$A435,'Таблиця 1'!$I:$I,"Су-25",'Таблиця 1'!$J:$J,"GBU-39")+SUMIFS('Таблиця 1'!$K:$K,'Таблиця 1'!$B:$B,$A435,'Таблиця 1'!$I:$I,"Су-27",'Таблиця 1'!$J:$J,"GBU-39"))</f>
        <v/>
      </c>
      <c r="K435">
        <f>IF($A435="","",SUMIFS('Таблиця 1'!$K:$K,'Таблиця 1'!$B:$B,$A435,'Таблиця 1'!$I:$I,"Mirage",'Таблиця 1'!$J:$J,"BLU-140")+SUMIFS('Таблиця 1'!$K:$K,'Таблиця 1'!$B:$B,$A435,'Таблиця 1'!$I:$I,"F-16",'Таблиця 1'!$J:$J,"BLU-140")+SUMIFS('Таблиця 1'!$K:$K,'Таблиця 1'!$B:$B,$A435,'Таблиця 1'!$I:$I,"МіГ-29",'Таблиця 1'!$J:$J,"BLU-140")+SUMIFS('Таблиця 1'!$K:$K,'Таблиця 1'!$B:$B,$A435,'Таблиця 1'!$I:$I,"Су-25",'Таблиця 1'!$J:$J,"BLU-140")+SUMIFS('Таблиця 1'!$K:$K,'Таблиця 1'!$B:$B,$A435,'Таблиця 1'!$I:$I,"Су-27",'Таблиця 1'!$J:$J,"BLU-140"))</f>
        <v/>
      </c>
      <c r="L435">
        <f>IF($A435="","",SUMIFS('Таблиця 1'!$K:$K,'Таблиця 1'!$B:$B,$A435,'Таблиця 1'!$I:$I,"Mirage",'Таблиця 1'!$J:$J,"GBU-65")+SUMIFS('Таблиця 1'!$K:$K,'Таблиця 1'!$B:$B,$A435,'Таблиця 1'!$I:$I,"F-16",'Таблиця 1'!$J:$J,"GBU-65")+SUMIFS('Таблиця 1'!$K:$K,'Таблиця 1'!$B:$B,$A435,'Таблиця 1'!$I:$I,"МіГ-29",'Таблиця 1'!$J:$J,"GBU-65")+SUMIFS('Таблиця 1'!$K:$K,'Таблиця 1'!$B:$B,$A435,'Таблиця 1'!$I:$I,"Су-25",'Таблиця 1'!$J:$J,"GBU-65")+SUMIFS('Таблиця 1'!$K:$K,'Таблиця 1'!$B:$B,$A435,'Таблиця 1'!$I:$I,"Су-27",'Таблиця 1'!$J:$J,"GBU-65"))</f>
        <v/>
      </c>
      <c r="M435">
        <f>IF($A435="","",SUMIFS('Таблиця 1'!$K:$K,'Таблиця 1'!$B:$B,$A435,'Таблиця 1'!$I:$I,"Mirage",'Таблиця 1'!$J:$J,"GBU-62")+SUMIFS('Таблиця 1'!$K:$K,'Таблиця 1'!$B:$B,$A435,'Таблиця 1'!$I:$I,"F-16",'Таблиця 1'!$J:$J,"GBU-62")+SUMIFS('Таблиця 1'!$K:$K,'Таблиця 1'!$B:$B,$A435,'Таблиця 1'!$I:$I,"МіГ-29",'Таблиця 1'!$J:$J,"GBU-62")+SUMIFS('Таблиця 1'!$K:$K,'Таблиця 1'!$B:$B,$A435,'Таблиця 1'!$I:$I,"Су-25",'Таблиця 1'!$J:$J,"GBU-62")+SUMIFS('Таблиця 1'!$K:$K,'Таблиця 1'!$B:$B,$A435,'Таблиця 1'!$I:$I,"Су-27",'Таблиця 1'!$J:$J,"GBU-62"))</f>
        <v/>
      </c>
      <c r="N435">
        <f>IF($A435="","",SUMIFS('Таблиця 1'!$K:$K,'Таблиця 1'!$B:$B,$A435,'Таблиця 1'!$I:$I,"Mirage",'Таблиця 1'!$J:$J,"GBU-64")+SUMIFS('Таблиця 1'!$K:$K,'Таблиця 1'!$B:$B,$A435,'Таблиця 1'!$I:$I,"F-16",'Таблиця 1'!$J:$J,"GBU-64")+SUMIFS('Таблиця 1'!$K:$K,'Таблиця 1'!$B:$B,$A435,'Таблиця 1'!$I:$I,"МіГ-29",'Таблиця 1'!$J:$J,"GBU-64")+SUMIFS('Таблиця 1'!$K:$K,'Таблиця 1'!$B:$B,$A435,'Таблиця 1'!$I:$I,"Су-25",'Таблиця 1'!$J:$J,"GBU-64")+SUMIFS('Таблиця 1'!$K:$K,'Таблиця 1'!$B:$B,$A435,'Таблиця 1'!$I:$I,"Су-27",'Таблиця 1'!$J:$J,"GBU-64"))</f>
        <v/>
      </c>
      <c r="O435">
        <f>IF($A435="","",SUMIFS('Таблиця 1'!$K:$K,'Таблиця 1'!$B:$B,$A435,'Таблиця 1'!$I:$I,"Mirage",'Таблиця 1'!$J:$J,"C-13")+SUMIFS('Таблиця 1'!$K:$K,'Таблиця 1'!$B:$B,$A435,'Таблиця 1'!$I:$I,"F-16",'Таблиця 1'!$J:$J,"C-13")+SUMIFS('Таблиця 1'!$K:$K,'Таблиця 1'!$B:$B,$A435,'Таблиця 1'!$I:$I,"МіГ-29",'Таблиця 1'!$J:$J,"C-13")+SUMIFS('Таблиця 1'!$K:$K,'Таблиця 1'!$B:$B,$A435,'Таблиця 1'!$I:$I,"Су-25",'Таблиця 1'!$J:$J,"C-13")+SUMIFS('Таблиця 1'!$K:$K,'Таблиця 1'!$B:$B,$A435,'Таблиця 1'!$I:$I,"Су-27",'Таблиця 1'!$J:$J,"C-13"))</f>
        <v/>
      </c>
      <c r="P435">
        <f>IF($A435="","",SUMIFS('Таблиця 1'!$K:$K,'Таблиця 1'!$B:$B,$A435,'Таблиця 1'!$I:$I,"Mirage",'Таблиця 1'!$J:$J,"MK-32")+SUMIFS('Таблиця 1'!$K:$K,'Таблиця 1'!$B:$B,$A435,'Таблиця 1'!$I:$I,"F-16",'Таблиця 1'!$J:$J,"MK-32")+SUMIFS('Таблиця 1'!$K:$K,'Таблиця 1'!$B:$B,$A435,'Таблиця 1'!$I:$I,"МіГ-29",'Таблиця 1'!$J:$J,"MK-32")+SUMIFS('Таблиця 1'!$K:$K,'Таблиця 1'!$B:$B,$A435,'Таблиця 1'!$I:$I,"Су-25",'Таблиця 1'!$J:$J,"MK-32")+SUMIFS('Таблиця 1'!$K:$K,'Таблиця 1'!$B:$B,$A435,'Таблиця 1'!$I:$I,"Су-27",'Таблиця 1'!$J:$J,"MK-32"))</f>
        <v/>
      </c>
      <c r="Q435">
        <f>IF($A435="","",SUMIFS('Таблиця 1'!$K:$K,'Таблиця 1'!$B:$B,$A435,'Таблиця 1'!$I:$I,"Mirage",'Таблиця 1'!$J:$J,"MK-24")+SUMIFS('Таблиця 1'!$K:$K,'Таблиця 1'!$B:$B,$A435,'Таблиця 1'!$I:$I,"F-16",'Таблиця 1'!$J:$J,"MK-24")+SUMIFS('Таблиця 1'!$K:$K,'Таблиця 1'!$B:$B,$A435,'Таблиця 1'!$I:$I,"МіГ-29",'Таблиця 1'!$J:$J,"MK-24")+SUMIFS('Таблиця 1'!$K:$K,'Таблиця 1'!$B:$B,$A435,'Таблиця 1'!$I:$I,"Су-25",'Таблиця 1'!$J:$J,"MK-24")+SUMIFS('Таблиця 1'!$K:$K,'Таблиця 1'!$B:$B,$A435,'Таблиця 1'!$I:$I,"Су-27",'Таблиця 1'!$J:$J,"MK-24"))</f>
        <v/>
      </c>
      <c r="R435">
        <f>IF($A435="","",COUNTIFS('Таблиця 1'!$B:$B,$A435,'Таблиця 1'!$I:$I,"Mirage",'Таблиця 1'!$L:$L,"Уражено")+COUNTIFS('Таблиця 1'!$B:$B,$A435,'Таблиця 1'!$I:$I,"F-16",'Таблиця 1'!$L:$L,"Уражено")+COUNTIFS('Таблиця 1'!$B:$B,$A435,'Таблиця 1'!$I:$I,"МіГ-29",'Таблиця 1'!$L:$L,"Уражено")+COUNTIFS('Таблиця 1'!$B:$B,$A435,'Таблиця 1'!$I:$I,"Су-25",'Таблиця 1'!$L:$L,"Уражено")+COUNTIFS('Таблиця 1'!$B:$B,$A435,'Таблиця 1'!$I:$I,"Су-27",'Таблиця 1'!$L:$L,"Уражено"))</f>
        <v/>
      </c>
      <c r="S435">
        <f>IF($A435="","",COUNTIFS('Таблиця 1'!$B:$B,$A435,'Таблиця 1'!$I:$I,"Mirage",'Таблиця 1'!$L:$L,"НЕ уражено")+COUNTIFS('Таблиця 1'!$B:$B,$A435,'Таблиця 1'!$I:$I,"F-16",'Таблиця 1'!$L:$L,"НЕ уражено")+COUNTIFS('Таблиця 1'!$B:$B,$A435,'Таблиця 1'!$I:$I,"МіГ-29",'Таблиця 1'!$L:$L,"НЕ уражено")+COUNTIFS('Таблиця 1'!$B:$B,$A435,'Таблиця 1'!$I:$I,"Су-25",'Таблиця 1'!$L:$L,"НЕ уражено")+COUNTIFS('Таблиця 1'!$B:$B,$A435,'Таблиця 1'!$I:$I,"Су-27",'Таблиця 1'!$L:$L,"НЕ уражено"))</f>
        <v/>
      </c>
      <c r="T435">
        <f>IF($A435="","",COUNTIFS('Таблиця 1'!$B:$B,$A435,'Таблиця 1'!$I:$I,"Mirage",'Таблиця 1'!$L:$L,"Дорозвідується")+COUNTIFS('Таблиця 1'!$B:$B,$A435,'Таблиця 1'!$I:$I,"F-16",'Таблиця 1'!$L:$L,"Дорозвідується")+COUNTIFS('Таблиця 1'!$B:$B,$A435,'Таблиця 1'!$I:$I,"МіГ-29",'Таблиця 1'!$L:$L,"Дорозвідується")+COUNTIFS('Таблиця 1'!$B:$B,$A435,'Таблиця 1'!$I:$I,"Су-25",'Таблиця 1'!$L:$L,"Дорозвідується")+COUNTIFS('Таблиця 1'!$B:$B,$A435,'Таблиця 1'!$I:$I,"Су-27",'Таблиця 1'!$L:$L,"Дорозвідується"))</f>
        <v/>
      </c>
    </row>
    <row r="436">
      <c r="A436" s="273">
        <f>IF(A435="","",IF(A435+1&gt;MAX('Таблиця 1'!$B:$B),"",A435+1))</f>
        <v/>
      </c>
      <c r="B436">
        <f>IF($A436="","",COUNTIFS('Таблиця 1'!$B:$B,$A436,'Таблиця 1'!$I:$I,"Mirage")+COUNTIFS('Таблиця 1'!$B:$B,$A436,'Таблиця 1'!$I:$I,"F-16")+COUNTIFS('Таблиця 1'!$B:$B,$A436,'Таблиця 1'!$I:$I,"МіГ-29")+COUNTIFS('Таблиця 1'!$B:$B,$A436,'Таблиця 1'!$I:$I,"Су-25")+COUNTIFS('Таблиця 1'!$B:$B,$A436,'Таблиця 1'!$I:$I,"Су-27"))</f>
        <v/>
      </c>
      <c r="C436">
        <f>IF($A436="","",COUNTIFS('Таблиця 1'!$B:$B,$A436,'Таблиця 1'!$I:$I,"Mirage"))</f>
        <v/>
      </c>
      <c r="D436">
        <f>IF($A436="","",COUNTIFS('Таблиця 1'!$B:$B,$A436,'Таблиця 1'!$I:$I,"F-16"))</f>
        <v/>
      </c>
      <c r="E436">
        <f>IF($A436="","",COUNTIFS('Таблиця 1'!$B:$B,$A436,'Таблиця 1'!$I:$I,"МіГ-29"))</f>
        <v/>
      </c>
      <c r="F436">
        <f>IF($A436="","",COUNTIFS('Таблиця 1'!$B:$B,$A436,'Таблиця 1'!$I:$I,"Су-25"))</f>
        <v/>
      </c>
      <c r="G436">
        <f>IF($A436="","",COUNTIFS('Таблиця 1'!$B:$B,$A436,'Таблиця 1'!$I:$I,"Су-27"))</f>
        <v/>
      </c>
      <c r="H436">
        <f>IF($A436="","",SUMIFS('Таблиця 1'!$K:$K,'Таблиця 1'!$B:$B,$A436,'Таблиця 1'!$I:$I,"Mirage",'Таблиця 1'!$J:$J,"AGM-88")+SUMIFS('Таблиця 1'!$K:$K,'Таблиця 1'!$B:$B,$A436,'Таблиця 1'!$I:$I,"F-16",'Таблиця 1'!$J:$J,"AGM-88")+SUMIFS('Таблиця 1'!$K:$K,'Таблиця 1'!$B:$B,$A436,'Таблиця 1'!$I:$I,"МіГ-29",'Таблиця 1'!$J:$J,"AGM-88")+SUMIFS('Таблиця 1'!$K:$K,'Таблиця 1'!$B:$B,$A436,'Таблиця 1'!$I:$I,"Су-25",'Таблиця 1'!$J:$J,"AGM-88")+SUMIFS('Таблиця 1'!$K:$K,'Таблиця 1'!$B:$B,$A436,'Таблиця 1'!$I:$I,"Су-27",'Таблиця 1'!$J:$J,"AGM-88"))</f>
        <v/>
      </c>
      <c r="I436">
        <f>IF($A436="","",SUMIFS('Таблиця 1'!$K:$K,'Таблиця 1'!$B:$B,$A436,'Таблиця 1'!$I:$I,"Mirage",'Таблиця 1'!$J:$J,"AASM-250")+SUMIFS('Таблиця 1'!$K:$K,'Таблиця 1'!$B:$B,$A436,'Таблиця 1'!$I:$I,"F-16",'Таблиця 1'!$J:$J,"AASM-250")+SUMIFS('Таблиця 1'!$K:$K,'Таблиця 1'!$B:$B,$A436,'Таблиця 1'!$I:$I,"МіГ-29",'Таблиця 1'!$J:$J,"AASM-250")+SUMIFS('Таблиця 1'!$K:$K,'Таблиця 1'!$B:$B,$A436,'Таблиця 1'!$I:$I,"Су-25",'Таблиця 1'!$J:$J,"AASM-250")+SUMIFS('Таблиця 1'!$K:$K,'Таблиця 1'!$B:$B,$A436,'Таблиця 1'!$I:$I,"Су-27",'Таблиця 1'!$J:$J,"AASM-250"))</f>
        <v/>
      </c>
      <c r="J436">
        <f>IF($A436="","",SUMIFS('Таблиця 1'!$K:$K,'Таблиця 1'!$B:$B,$A436,'Таблиця 1'!$I:$I,"Mirage",'Таблиця 1'!$J:$J,"GBU-39")+SUMIFS('Таблиця 1'!$K:$K,'Таблиця 1'!$B:$B,$A436,'Таблиця 1'!$I:$I,"F-16",'Таблиця 1'!$J:$J,"GBU-39")+SUMIFS('Таблиця 1'!$K:$K,'Таблиця 1'!$B:$B,$A436,'Таблиця 1'!$I:$I,"МіГ-29",'Таблиця 1'!$J:$J,"GBU-39")+SUMIFS('Таблиця 1'!$K:$K,'Таблиця 1'!$B:$B,$A436,'Таблиця 1'!$I:$I,"Су-25",'Таблиця 1'!$J:$J,"GBU-39")+SUMIFS('Таблиця 1'!$K:$K,'Таблиця 1'!$B:$B,$A436,'Таблиця 1'!$I:$I,"Су-27",'Таблиця 1'!$J:$J,"GBU-39"))</f>
        <v/>
      </c>
      <c r="K436">
        <f>IF($A436="","",SUMIFS('Таблиця 1'!$K:$K,'Таблиця 1'!$B:$B,$A436,'Таблиця 1'!$I:$I,"Mirage",'Таблиця 1'!$J:$J,"BLU-140")+SUMIFS('Таблиця 1'!$K:$K,'Таблиця 1'!$B:$B,$A436,'Таблиця 1'!$I:$I,"F-16",'Таблиця 1'!$J:$J,"BLU-140")+SUMIFS('Таблиця 1'!$K:$K,'Таблиця 1'!$B:$B,$A436,'Таблиця 1'!$I:$I,"МіГ-29",'Таблиця 1'!$J:$J,"BLU-140")+SUMIFS('Таблиця 1'!$K:$K,'Таблиця 1'!$B:$B,$A436,'Таблиця 1'!$I:$I,"Су-25",'Таблиця 1'!$J:$J,"BLU-140")+SUMIFS('Таблиця 1'!$K:$K,'Таблиця 1'!$B:$B,$A436,'Таблиця 1'!$I:$I,"Су-27",'Таблиця 1'!$J:$J,"BLU-140"))</f>
        <v/>
      </c>
      <c r="L436">
        <f>IF($A436="","",SUMIFS('Таблиця 1'!$K:$K,'Таблиця 1'!$B:$B,$A436,'Таблиця 1'!$I:$I,"Mirage",'Таблиця 1'!$J:$J,"GBU-65")+SUMIFS('Таблиця 1'!$K:$K,'Таблиця 1'!$B:$B,$A436,'Таблиця 1'!$I:$I,"F-16",'Таблиця 1'!$J:$J,"GBU-65")+SUMIFS('Таблиця 1'!$K:$K,'Таблиця 1'!$B:$B,$A436,'Таблиця 1'!$I:$I,"МіГ-29",'Таблиця 1'!$J:$J,"GBU-65")+SUMIFS('Таблиця 1'!$K:$K,'Таблиця 1'!$B:$B,$A436,'Таблиця 1'!$I:$I,"Су-25",'Таблиця 1'!$J:$J,"GBU-65")+SUMIFS('Таблиця 1'!$K:$K,'Таблиця 1'!$B:$B,$A436,'Таблиця 1'!$I:$I,"Су-27",'Таблиця 1'!$J:$J,"GBU-65"))</f>
        <v/>
      </c>
      <c r="M436">
        <f>IF($A436="","",SUMIFS('Таблиця 1'!$K:$K,'Таблиця 1'!$B:$B,$A436,'Таблиця 1'!$I:$I,"Mirage",'Таблиця 1'!$J:$J,"GBU-62")+SUMIFS('Таблиця 1'!$K:$K,'Таблиця 1'!$B:$B,$A436,'Таблиця 1'!$I:$I,"F-16",'Таблиця 1'!$J:$J,"GBU-62")+SUMIFS('Таблиця 1'!$K:$K,'Таблиця 1'!$B:$B,$A436,'Таблиця 1'!$I:$I,"МіГ-29",'Таблиця 1'!$J:$J,"GBU-62")+SUMIFS('Таблиця 1'!$K:$K,'Таблиця 1'!$B:$B,$A436,'Таблиця 1'!$I:$I,"Су-25",'Таблиця 1'!$J:$J,"GBU-62")+SUMIFS('Таблиця 1'!$K:$K,'Таблиця 1'!$B:$B,$A436,'Таблиця 1'!$I:$I,"Су-27",'Таблиця 1'!$J:$J,"GBU-62"))</f>
        <v/>
      </c>
      <c r="N436">
        <f>IF($A436="","",SUMIFS('Таблиця 1'!$K:$K,'Таблиця 1'!$B:$B,$A436,'Таблиця 1'!$I:$I,"Mirage",'Таблиця 1'!$J:$J,"GBU-64")+SUMIFS('Таблиця 1'!$K:$K,'Таблиця 1'!$B:$B,$A436,'Таблиця 1'!$I:$I,"F-16",'Таблиця 1'!$J:$J,"GBU-64")+SUMIFS('Таблиця 1'!$K:$K,'Таблиця 1'!$B:$B,$A436,'Таблиця 1'!$I:$I,"МіГ-29",'Таблиця 1'!$J:$J,"GBU-64")+SUMIFS('Таблиця 1'!$K:$K,'Таблиця 1'!$B:$B,$A436,'Таблиця 1'!$I:$I,"Су-25",'Таблиця 1'!$J:$J,"GBU-64")+SUMIFS('Таблиця 1'!$K:$K,'Таблиця 1'!$B:$B,$A436,'Таблиця 1'!$I:$I,"Су-27",'Таблиця 1'!$J:$J,"GBU-64"))</f>
        <v/>
      </c>
      <c r="O436">
        <f>IF($A436="","",SUMIFS('Таблиця 1'!$K:$K,'Таблиця 1'!$B:$B,$A436,'Таблиця 1'!$I:$I,"Mirage",'Таблиця 1'!$J:$J,"C-13")+SUMIFS('Таблиця 1'!$K:$K,'Таблиця 1'!$B:$B,$A436,'Таблиця 1'!$I:$I,"F-16",'Таблиця 1'!$J:$J,"C-13")+SUMIFS('Таблиця 1'!$K:$K,'Таблиця 1'!$B:$B,$A436,'Таблиця 1'!$I:$I,"МіГ-29",'Таблиця 1'!$J:$J,"C-13")+SUMIFS('Таблиця 1'!$K:$K,'Таблиця 1'!$B:$B,$A436,'Таблиця 1'!$I:$I,"Су-25",'Таблиця 1'!$J:$J,"C-13")+SUMIFS('Таблиця 1'!$K:$K,'Таблиця 1'!$B:$B,$A436,'Таблиця 1'!$I:$I,"Су-27",'Таблиця 1'!$J:$J,"C-13"))</f>
        <v/>
      </c>
      <c r="P436">
        <f>IF($A436="","",SUMIFS('Таблиця 1'!$K:$K,'Таблиця 1'!$B:$B,$A436,'Таблиця 1'!$I:$I,"Mirage",'Таблиця 1'!$J:$J,"MK-32")+SUMIFS('Таблиця 1'!$K:$K,'Таблиця 1'!$B:$B,$A436,'Таблиця 1'!$I:$I,"F-16",'Таблиця 1'!$J:$J,"MK-32")+SUMIFS('Таблиця 1'!$K:$K,'Таблиця 1'!$B:$B,$A436,'Таблиця 1'!$I:$I,"МіГ-29",'Таблиця 1'!$J:$J,"MK-32")+SUMIFS('Таблиця 1'!$K:$K,'Таблиця 1'!$B:$B,$A436,'Таблиця 1'!$I:$I,"Су-25",'Таблиця 1'!$J:$J,"MK-32")+SUMIFS('Таблиця 1'!$K:$K,'Таблиця 1'!$B:$B,$A436,'Таблиця 1'!$I:$I,"Су-27",'Таблиця 1'!$J:$J,"MK-32"))</f>
        <v/>
      </c>
      <c r="Q436">
        <f>IF($A436="","",SUMIFS('Таблиця 1'!$K:$K,'Таблиця 1'!$B:$B,$A436,'Таблиця 1'!$I:$I,"Mirage",'Таблиця 1'!$J:$J,"MK-24")+SUMIFS('Таблиця 1'!$K:$K,'Таблиця 1'!$B:$B,$A436,'Таблиця 1'!$I:$I,"F-16",'Таблиця 1'!$J:$J,"MK-24")+SUMIFS('Таблиця 1'!$K:$K,'Таблиця 1'!$B:$B,$A436,'Таблиця 1'!$I:$I,"МіГ-29",'Таблиця 1'!$J:$J,"MK-24")+SUMIFS('Таблиця 1'!$K:$K,'Таблиця 1'!$B:$B,$A436,'Таблиця 1'!$I:$I,"Су-25",'Таблиця 1'!$J:$J,"MK-24")+SUMIFS('Таблиця 1'!$K:$K,'Таблиця 1'!$B:$B,$A436,'Таблиця 1'!$I:$I,"Су-27",'Таблиця 1'!$J:$J,"MK-24"))</f>
        <v/>
      </c>
      <c r="R436">
        <f>IF($A436="","",COUNTIFS('Таблиця 1'!$B:$B,$A436,'Таблиця 1'!$I:$I,"Mirage",'Таблиця 1'!$L:$L,"Уражено")+COUNTIFS('Таблиця 1'!$B:$B,$A436,'Таблиця 1'!$I:$I,"F-16",'Таблиця 1'!$L:$L,"Уражено")+COUNTIFS('Таблиця 1'!$B:$B,$A436,'Таблиця 1'!$I:$I,"МіГ-29",'Таблиця 1'!$L:$L,"Уражено")+COUNTIFS('Таблиця 1'!$B:$B,$A436,'Таблиця 1'!$I:$I,"Су-25",'Таблиця 1'!$L:$L,"Уражено")+COUNTIFS('Таблиця 1'!$B:$B,$A436,'Таблиця 1'!$I:$I,"Су-27",'Таблиця 1'!$L:$L,"Уражено"))</f>
        <v/>
      </c>
      <c r="S436">
        <f>IF($A436="","",COUNTIFS('Таблиця 1'!$B:$B,$A436,'Таблиця 1'!$I:$I,"Mirage",'Таблиця 1'!$L:$L,"НЕ уражено")+COUNTIFS('Таблиця 1'!$B:$B,$A436,'Таблиця 1'!$I:$I,"F-16",'Таблиця 1'!$L:$L,"НЕ уражено")+COUNTIFS('Таблиця 1'!$B:$B,$A436,'Таблиця 1'!$I:$I,"МіГ-29",'Таблиця 1'!$L:$L,"НЕ уражено")+COUNTIFS('Таблиця 1'!$B:$B,$A436,'Таблиця 1'!$I:$I,"Су-25",'Таблиця 1'!$L:$L,"НЕ уражено")+COUNTIFS('Таблиця 1'!$B:$B,$A436,'Таблиця 1'!$I:$I,"Су-27",'Таблиця 1'!$L:$L,"НЕ уражено"))</f>
        <v/>
      </c>
      <c r="T436">
        <f>IF($A436="","",COUNTIFS('Таблиця 1'!$B:$B,$A436,'Таблиця 1'!$I:$I,"Mirage",'Таблиця 1'!$L:$L,"Дорозвідується")+COUNTIFS('Таблиця 1'!$B:$B,$A436,'Таблиця 1'!$I:$I,"F-16",'Таблиця 1'!$L:$L,"Дорозвідується")+COUNTIFS('Таблиця 1'!$B:$B,$A436,'Таблиця 1'!$I:$I,"МіГ-29",'Таблиця 1'!$L:$L,"Дорозвідується")+COUNTIFS('Таблиця 1'!$B:$B,$A436,'Таблиця 1'!$I:$I,"Су-25",'Таблиця 1'!$L:$L,"Дорозвідується")+COUNTIFS('Таблиця 1'!$B:$B,$A436,'Таблиця 1'!$I:$I,"Су-27",'Таблиця 1'!$L:$L,"Дорозвідується"))</f>
        <v/>
      </c>
    </row>
    <row r="437">
      <c r="A437" s="273">
        <f>IF(A436="","",IF(A436+1&gt;MAX('Таблиця 1'!$B:$B),"",A436+1))</f>
        <v/>
      </c>
      <c r="B437">
        <f>IF($A437="","",COUNTIFS('Таблиця 1'!$B:$B,$A437,'Таблиця 1'!$I:$I,"Mirage")+COUNTIFS('Таблиця 1'!$B:$B,$A437,'Таблиця 1'!$I:$I,"F-16")+COUNTIFS('Таблиця 1'!$B:$B,$A437,'Таблиця 1'!$I:$I,"МіГ-29")+COUNTIFS('Таблиця 1'!$B:$B,$A437,'Таблиця 1'!$I:$I,"Су-25")+COUNTIFS('Таблиця 1'!$B:$B,$A437,'Таблиця 1'!$I:$I,"Су-27"))</f>
        <v/>
      </c>
      <c r="C437">
        <f>IF($A437="","",COUNTIFS('Таблиця 1'!$B:$B,$A437,'Таблиця 1'!$I:$I,"Mirage"))</f>
        <v/>
      </c>
      <c r="D437">
        <f>IF($A437="","",COUNTIFS('Таблиця 1'!$B:$B,$A437,'Таблиця 1'!$I:$I,"F-16"))</f>
        <v/>
      </c>
      <c r="E437">
        <f>IF($A437="","",COUNTIFS('Таблиця 1'!$B:$B,$A437,'Таблиця 1'!$I:$I,"МіГ-29"))</f>
        <v/>
      </c>
      <c r="F437">
        <f>IF($A437="","",COUNTIFS('Таблиця 1'!$B:$B,$A437,'Таблиця 1'!$I:$I,"Су-25"))</f>
        <v/>
      </c>
      <c r="G437">
        <f>IF($A437="","",COUNTIFS('Таблиця 1'!$B:$B,$A437,'Таблиця 1'!$I:$I,"Су-27"))</f>
        <v/>
      </c>
      <c r="H437">
        <f>IF($A437="","",SUMIFS('Таблиця 1'!$K:$K,'Таблиця 1'!$B:$B,$A437,'Таблиця 1'!$I:$I,"Mirage",'Таблиця 1'!$J:$J,"AGM-88")+SUMIFS('Таблиця 1'!$K:$K,'Таблиця 1'!$B:$B,$A437,'Таблиця 1'!$I:$I,"F-16",'Таблиця 1'!$J:$J,"AGM-88")+SUMIFS('Таблиця 1'!$K:$K,'Таблиця 1'!$B:$B,$A437,'Таблиця 1'!$I:$I,"МіГ-29",'Таблиця 1'!$J:$J,"AGM-88")+SUMIFS('Таблиця 1'!$K:$K,'Таблиця 1'!$B:$B,$A437,'Таблиця 1'!$I:$I,"Су-25",'Таблиця 1'!$J:$J,"AGM-88")+SUMIFS('Таблиця 1'!$K:$K,'Таблиця 1'!$B:$B,$A437,'Таблиця 1'!$I:$I,"Су-27",'Таблиця 1'!$J:$J,"AGM-88"))</f>
        <v/>
      </c>
      <c r="I437">
        <f>IF($A437="","",SUMIFS('Таблиця 1'!$K:$K,'Таблиця 1'!$B:$B,$A437,'Таблиця 1'!$I:$I,"Mirage",'Таблиця 1'!$J:$J,"AASM-250")+SUMIFS('Таблиця 1'!$K:$K,'Таблиця 1'!$B:$B,$A437,'Таблиця 1'!$I:$I,"F-16",'Таблиця 1'!$J:$J,"AASM-250")+SUMIFS('Таблиця 1'!$K:$K,'Таблиця 1'!$B:$B,$A437,'Таблиця 1'!$I:$I,"МіГ-29",'Таблиця 1'!$J:$J,"AASM-250")+SUMIFS('Таблиця 1'!$K:$K,'Таблиця 1'!$B:$B,$A437,'Таблиця 1'!$I:$I,"Су-25",'Таблиця 1'!$J:$J,"AASM-250")+SUMIFS('Таблиця 1'!$K:$K,'Таблиця 1'!$B:$B,$A437,'Таблиця 1'!$I:$I,"Су-27",'Таблиця 1'!$J:$J,"AASM-250"))</f>
        <v/>
      </c>
      <c r="J437">
        <f>IF($A437="","",SUMIFS('Таблиця 1'!$K:$K,'Таблиця 1'!$B:$B,$A437,'Таблиця 1'!$I:$I,"Mirage",'Таблиця 1'!$J:$J,"GBU-39")+SUMIFS('Таблиця 1'!$K:$K,'Таблиця 1'!$B:$B,$A437,'Таблиця 1'!$I:$I,"F-16",'Таблиця 1'!$J:$J,"GBU-39")+SUMIFS('Таблиця 1'!$K:$K,'Таблиця 1'!$B:$B,$A437,'Таблиця 1'!$I:$I,"МіГ-29",'Таблиця 1'!$J:$J,"GBU-39")+SUMIFS('Таблиця 1'!$K:$K,'Таблиця 1'!$B:$B,$A437,'Таблиця 1'!$I:$I,"Су-25",'Таблиця 1'!$J:$J,"GBU-39")+SUMIFS('Таблиця 1'!$K:$K,'Таблиця 1'!$B:$B,$A437,'Таблиця 1'!$I:$I,"Су-27",'Таблиця 1'!$J:$J,"GBU-39"))</f>
        <v/>
      </c>
      <c r="K437">
        <f>IF($A437="","",SUMIFS('Таблиця 1'!$K:$K,'Таблиця 1'!$B:$B,$A437,'Таблиця 1'!$I:$I,"Mirage",'Таблиця 1'!$J:$J,"BLU-140")+SUMIFS('Таблиця 1'!$K:$K,'Таблиця 1'!$B:$B,$A437,'Таблиця 1'!$I:$I,"F-16",'Таблиця 1'!$J:$J,"BLU-140")+SUMIFS('Таблиця 1'!$K:$K,'Таблиця 1'!$B:$B,$A437,'Таблиця 1'!$I:$I,"МіГ-29",'Таблиця 1'!$J:$J,"BLU-140")+SUMIFS('Таблиця 1'!$K:$K,'Таблиця 1'!$B:$B,$A437,'Таблиця 1'!$I:$I,"Су-25",'Таблиця 1'!$J:$J,"BLU-140")+SUMIFS('Таблиця 1'!$K:$K,'Таблиця 1'!$B:$B,$A437,'Таблиця 1'!$I:$I,"Су-27",'Таблиця 1'!$J:$J,"BLU-140"))</f>
        <v/>
      </c>
      <c r="L437">
        <f>IF($A437="","",SUMIFS('Таблиця 1'!$K:$K,'Таблиця 1'!$B:$B,$A437,'Таблиця 1'!$I:$I,"Mirage",'Таблиця 1'!$J:$J,"GBU-65")+SUMIFS('Таблиця 1'!$K:$K,'Таблиця 1'!$B:$B,$A437,'Таблиця 1'!$I:$I,"F-16",'Таблиця 1'!$J:$J,"GBU-65")+SUMIFS('Таблиця 1'!$K:$K,'Таблиця 1'!$B:$B,$A437,'Таблиця 1'!$I:$I,"МіГ-29",'Таблиця 1'!$J:$J,"GBU-65")+SUMIFS('Таблиця 1'!$K:$K,'Таблиця 1'!$B:$B,$A437,'Таблиця 1'!$I:$I,"Су-25",'Таблиця 1'!$J:$J,"GBU-65")+SUMIFS('Таблиця 1'!$K:$K,'Таблиця 1'!$B:$B,$A437,'Таблиця 1'!$I:$I,"Су-27",'Таблиця 1'!$J:$J,"GBU-65"))</f>
        <v/>
      </c>
      <c r="M437">
        <f>IF($A437="","",SUMIFS('Таблиця 1'!$K:$K,'Таблиця 1'!$B:$B,$A437,'Таблиця 1'!$I:$I,"Mirage",'Таблиця 1'!$J:$J,"GBU-62")+SUMIFS('Таблиця 1'!$K:$K,'Таблиця 1'!$B:$B,$A437,'Таблиця 1'!$I:$I,"F-16",'Таблиця 1'!$J:$J,"GBU-62")+SUMIFS('Таблиця 1'!$K:$K,'Таблиця 1'!$B:$B,$A437,'Таблиця 1'!$I:$I,"МіГ-29",'Таблиця 1'!$J:$J,"GBU-62")+SUMIFS('Таблиця 1'!$K:$K,'Таблиця 1'!$B:$B,$A437,'Таблиця 1'!$I:$I,"Су-25",'Таблиця 1'!$J:$J,"GBU-62")+SUMIFS('Таблиця 1'!$K:$K,'Таблиця 1'!$B:$B,$A437,'Таблиця 1'!$I:$I,"Су-27",'Таблиця 1'!$J:$J,"GBU-62"))</f>
        <v/>
      </c>
      <c r="N437">
        <f>IF($A437="","",SUMIFS('Таблиця 1'!$K:$K,'Таблиця 1'!$B:$B,$A437,'Таблиця 1'!$I:$I,"Mirage",'Таблиця 1'!$J:$J,"GBU-64")+SUMIFS('Таблиця 1'!$K:$K,'Таблиця 1'!$B:$B,$A437,'Таблиця 1'!$I:$I,"F-16",'Таблиця 1'!$J:$J,"GBU-64")+SUMIFS('Таблиця 1'!$K:$K,'Таблиця 1'!$B:$B,$A437,'Таблиця 1'!$I:$I,"МіГ-29",'Таблиця 1'!$J:$J,"GBU-64")+SUMIFS('Таблиця 1'!$K:$K,'Таблиця 1'!$B:$B,$A437,'Таблиця 1'!$I:$I,"Су-25",'Таблиця 1'!$J:$J,"GBU-64")+SUMIFS('Таблиця 1'!$K:$K,'Таблиця 1'!$B:$B,$A437,'Таблиця 1'!$I:$I,"Су-27",'Таблиця 1'!$J:$J,"GBU-64"))</f>
        <v/>
      </c>
      <c r="O437">
        <f>IF($A437="","",SUMIFS('Таблиця 1'!$K:$K,'Таблиця 1'!$B:$B,$A437,'Таблиця 1'!$I:$I,"Mirage",'Таблиця 1'!$J:$J,"C-13")+SUMIFS('Таблиця 1'!$K:$K,'Таблиця 1'!$B:$B,$A437,'Таблиця 1'!$I:$I,"F-16",'Таблиця 1'!$J:$J,"C-13")+SUMIFS('Таблиця 1'!$K:$K,'Таблиця 1'!$B:$B,$A437,'Таблиця 1'!$I:$I,"МіГ-29",'Таблиця 1'!$J:$J,"C-13")+SUMIFS('Таблиця 1'!$K:$K,'Таблиця 1'!$B:$B,$A437,'Таблиця 1'!$I:$I,"Су-25",'Таблиця 1'!$J:$J,"C-13")+SUMIFS('Таблиця 1'!$K:$K,'Таблиця 1'!$B:$B,$A437,'Таблиця 1'!$I:$I,"Су-27",'Таблиця 1'!$J:$J,"C-13"))</f>
        <v/>
      </c>
      <c r="P437">
        <f>IF($A437="","",SUMIFS('Таблиця 1'!$K:$K,'Таблиця 1'!$B:$B,$A437,'Таблиця 1'!$I:$I,"Mirage",'Таблиця 1'!$J:$J,"MK-32")+SUMIFS('Таблиця 1'!$K:$K,'Таблиця 1'!$B:$B,$A437,'Таблиця 1'!$I:$I,"F-16",'Таблиця 1'!$J:$J,"MK-32")+SUMIFS('Таблиця 1'!$K:$K,'Таблиця 1'!$B:$B,$A437,'Таблиця 1'!$I:$I,"МіГ-29",'Таблиця 1'!$J:$J,"MK-32")+SUMIFS('Таблиця 1'!$K:$K,'Таблиця 1'!$B:$B,$A437,'Таблиця 1'!$I:$I,"Су-25",'Таблиця 1'!$J:$J,"MK-32")+SUMIFS('Таблиця 1'!$K:$K,'Таблиця 1'!$B:$B,$A437,'Таблиця 1'!$I:$I,"Су-27",'Таблиця 1'!$J:$J,"MK-32"))</f>
        <v/>
      </c>
      <c r="Q437">
        <f>IF($A437="","",SUMIFS('Таблиця 1'!$K:$K,'Таблиця 1'!$B:$B,$A437,'Таблиця 1'!$I:$I,"Mirage",'Таблиця 1'!$J:$J,"MK-24")+SUMIFS('Таблиця 1'!$K:$K,'Таблиця 1'!$B:$B,$A437,'Таблиця 1'!$I:$I,"F-16",'Таблиця 1'!$J:$J,"MK-24")+SUMIFS('Таблиця 1'!$K:$K,'Таблиця 1'!$B:$B,$A437,'Таблиця 1'!$I:$I,"МіГ-29",'Таблиця 1'!$J:$J,"MK-24")+SUMIFS('Таблиця 1'!$K:$K,'Таблиця 1'!$B:$B,$A437,'Таблиця 1'!$I:$I,"Су-25",'Таблиця 1'!$J:$J,"MK-24")+SUMIFS('Таблиця 1'!$K:$K,'Таблиця 1'!$B:$B,$A437,'Таблиця 1'!$I:$I,"Су-27",'Таблиця 1'!$J:$J,"MK-24"))</f>
        <v/>
      </c>
      <c r="R437">
        <f>IF($A437="","",COUNTIFS('Таблиця 1'!$B:$B,$A437,'Таблиця 1'!$I:$I,"Mirage",'Таблиця 1'!$L:$L,"Уражено")+COUNTIFS('Таблиця 1'!$B:$B,$A437,'Таблиця 1'!$I:$I,"F-16",'Таблиця 1'!$L:$L,"Уражено")+COUNTIFS('Таблиця 1'!$B:$B,$A437,'Таблиця 1'!$I:$I,"МіГ-29",'Таблиця 1'!$L:$L,"Уражено")+COUNTIFS('Таблиця 1'!$B:$B,$A437,'Таблиця 1'!$I:$I,"Су-25",'Таблиця 1'!$L:$L,"Уражено")+COUNTIFS('Таблиця 1'!$B:$B,$A437,'Таблиця 1'!$I:$I,"Су-27",'Таблиця 1'!$L:$L,"Уражено"))</f>
        <v/>
      </c>
      <c r="S437">
        <f>IF($A437="","",COUNTIFS('Таблиця 1'!$B:$B,$A437,'Таблиця 1'!$I:$I,"Mirage",'Таблиця 1'!$L:$L,"НЕ уражено")+COUNTIFS('Таблиця 1'!$B:$B,$A437,'Таблиця 1'!$I:$I,"F-16",'Таблиця 1'!$L:$L,"НЕ уражено")+COUNTIFS('Таблиця 1'!$B:$B,$A437,'Таблиця 1'!$I:$I,"МіГ-29",'Таблиця 1'!$L:$L,"НЕ уражено")+COUNTIFS('Таблиця 1'!$B:$B,$A437,'Таблиця 1'!$I:$I,"Су-25",'Таблиця 1'!$L:$L,"НЕ уражено")+COUNTIFS('Таблиця 1'!$B:$B,$A437,'Таблиця 1'!$I:$I,"Су-27",'Таблиця 1'!$L:$L,"НЕ уражено"))</f>
        <v/>
      </c>
      <c r="T437">
        <f>IF($A437="","",COUNTIFS('Таблиця 1'!$B:$B,$A437,'Таблиця 1'!$I:$I,"Mirage",'Таблиця 1'!$L:$L,"Дорозвідується")+COUNTIFS('Таблиця 1'!$B:$B,$A437,'Таблиця 1'!$I:$I,"F-16",'Таблиця 1'!$L:$L,"Дорозвідується")+COUNTIFS('Таблиця 1'!$B:$B,$A437,'Таблиця 1'!$I:$I,"МіГ-29",'Таблиця 1'!$L:$L,"Дорозвідується")+COUNTIFS('Таблиця 1'!$B:$B,$A437,'Таблиця 1'!$I:$I,"Су-25",'Таблиця 1'!$L:$L,"Дорозвідується")+COUNTIFS('Таблиця 1'!$B:$B,$A437,'Таблиця 1'!$I:$I,"Су-27",'Таблиця 1'!$L:$L,"Дорозвідується"))</f>
        <v/>
      </c>
    </row>
    <row r="438">
      <c r="A438" s="273">
        <f>IF(A437="","",IF(A437+1&gt;MAX('Таблиця 1'!$B:$B),"",A437+1))</f>
        <v/>
      </c>
      <c r="B438">
        <f>IF($A438="","",COUNTIFS('Таблиця 1'!$B:$B,$A438,'Таблиця 1'!$I:$I,"Mirage")+COUNTIFS('Таблиця 1'!$B:$B,$A438,'Таблиця 1'!$I:$I,"F-16")+COUNTIFS('Таблиця 1'!$B:$B,$A438,'Таблиця 1'!$I:$I,"МіГ-29")+COUNTIFS('Таблиця 1'!$B:$B,$A438,'Таблиця 1'!$I:$I,"Су-25")+COUNTIFS('Таблиця 1'!$B:$B,$A438,'Таблиця 1'!$I:$I,"Су-27"))</f>
        <v/>
      </c>
      <c r="C438">
        <f>IF($A438="","",COUNTIFS('Таблиця 1'!$B:$B,$A438,'Таблиця 1'!$I:$I,"Mirage"))</f>
        <v/>
      </c>
      <c r="D438">
        <f>IF($A438="","",COUNTIFS('Таблиця 1'!$B:$B,$A438,'Таблиця 1'!$I:$I,"F-16"))</f>
        <v/>
      </c>
      <c r="E438">
        <f>IF($A438="","",COUNTIFS('Таблиця 1'!$B:$B,$A438,'Таблиця 1'!$I:$I,"МіГ-29"))</f>
        <v/>
      </c>
      <c r="F438">
        <f>IF($A438="","",COUNTIFS('Таблиця 1'!$B:$B,$A438,'Таблиця 1'!$I:$I,"Су-25"))</f>
        <v/>
      </c>
      <c r="G438">
        <f>IF($A438="","",COUNTIFS('Таблиця 1'!$B:$B,$A438,'Таблиця 1'!$I:$I,"Су-27"))</f>
        <v/>
      </c>
      <c r="H438">
        <f>IF($A438="","",SUMIFS('Таблиця 1'!$K:$K,'Таблиця 1'!$B:$B,$A438,'Таблиця 1'!$I:$I,"Mirage",'Таблиця 1'!$J:$J,"AGM-88")+SUMIFS('Таблиця 1'!$K:$K,'Таблиця 1'!$B:$B,$A438,'Таблиця 1'!$I:$I,"F-16",'Таблиця 1'!$J:$J,"AGM-88")+SUMIFS('Таблиця 1'!$K:$K,'Таблиця 1'!$B:$B,$A438,'Таблиця 1'!$I:$I,"МіГ-29",'Таблиця 1'!$J:$J,"AGM-88")+SUMIFS('Таблиця 1'!$K:$K,'Таблиця 1'!$B:$B,$A438,'Таблиця 1'!$I:$I,"Су-25",'Таблиця 1'!$J:$J,"AGM-88")+SUMIFS('Таблиця 1'!$K:$K,'Таблиця 1'!$B:$B,$A438,'Таблиця 1'!$I:$I,"Су-27",'Таблиця 1'!$J:$J,"AGM-88"))</f>
        <v/>
      </c>
      <c r="I438">
        <f>IF($A438="","",SUMIFS('Таблиця 1'!$K:$K,'Таблиця 1'!$B:$B,$A438,'Таблиця 1'!$I:$I,"Mirage",'Таблиця 1'!$J:$J,"AASM-250")+SUMIFS('Таблиця 1'!$K:$K,'Таблиця 1'!$B:$B,$A438,'Таблиця 1'!$I:$I,"F-16",'Таблиця 1'!$J:$J,"AASM-250")+SUMIFS('Таблиця 1'!$K:$K,'Таблиця 1'!$B:$B,$A438,'Таблиця 1'!$I:$I,"МіГ-29",'Таблиця 1'!$J:$J,"AASM-250")+SUMIFS('Таблиця 1'!$K:$K,'Таблиця 1'!$B:$B,$A438,'Таблиця 1'!$I:$I,"Су-25",'Таблиця 1'!$J:$J,"AASM-250")+SUMIFS('Таблиця 1'!$K:$K,'Таблиця 1'!$B:$B,$A438,'Таблиця 1'!$I:$I,"Су-27",'Таблиця 1'!$J:$J,"AASM-250"))</f>
        <v/>
      </c>
      <c r="J438">
        <f>IF($A438="","",SUMIFS('Таблиця 1'!$K:$K,'Таблиця 1'!$B:$B,$A438,'Таблиця 1'!$I:$I,"Mirage",'Таблиця 1'!$J:$J,"GBU-39")+SUMIFS('Таблиця 1'!$K:$K,'Таблиця 1'!$B:$B,$A438,'Таблиця 1'!$I:$I,"F-16",'Таблиця 1'!$J:$J,"GBU-39")+SUMIFS('Таблиця 1'!$K:$K,'Таблиця 1'!$B:$B,$A438,'Таблиця 1'!$I:$I,"МіГ-29",'Таблиця 1'!$J:$J,"GBU-39")+SUMIFS('Таблиця 1'!$K:$K,'Таблиця 1'!$B:$B,$A438,'Таблиця 1'!$I:$I,"Су-25",'Таблиця 1'!$J:$J,"GBU-39")+SUMIFS('Таблиця 1'!$K:$K,'Таблиця 1'!$B:$B,$A438,'Таблиця 1'!$I:$I,"Су-27",'Таблиця 1'!$J:$J,"GBU-39"))</f>
        <v/>
      </c>
      <c r="K438">
        <f>IF($A438="","",SUMIFS('Таблиця 1'!$K:$K,'Таблиця 1'!$B:$B,$A438,'Таблиця 1'!$I:$I,"Mirage",'Таблиця 1'!$J:$J,"BLU-140")+SUMIFS('Таблиця 1'!$K:$K,'Таблиця 1'!$B:$B,$A438,'Таблиця 1'!$I:$I,"F-16",'Таблиця 1'!$J:$J,"BLU-140")+SUMIFS('Таблиця 1'!$K:$K,'Таблиця 1'!$B:$B,$A438,'Таблиця 1'!$I:$I,"МіГ-29",'Таблиця 1'!$J:$J,"BLU-140")+SUMIFS('Таблиця 1'!$K:$K,'Таблиця 1'!$B:$B,$A438,'Таблиця 1'!$I:$I,"Су-25",'Таблиця 1'!$J:$J,"BLU-140")+SUMIFS('Таблиця 1'!$K:$K,'Таблиця 1'!$B:$B,$A438,'Таблиця 1'!$I:$I,"Су-27",'Таблиця 1'!$J:$J,"BLU-140"))</f>
        <v/>
      </c>
      <c r="L438">
        <f>IF($A438="","",SUMIFS('Таблиця 1'!$K:$K,'Таблиця 1'!$B:$B,$A438,'Таблиця 1'!$I:$I,"Mirage",'Таблиця 1'!$J:$J,"GBU-65")+SUMIFS('Таблиця 1'!$K:$K,'Таблиця 1'!$B:$B,$A438,'Таблиця 1'!$I:$I,"F-16",'Таблиця 1'!$J:$J,"GBU-65")+SUMIFS('Таблиця 1'!$K:$K,'Таблиця 1'!$B:$B,$A438,'Таблиця 1'!$I:$I,"МіГ-29",'Таблиця 1'!$J:$J,"GBU-65")+SUMIFS('Таблиця 1'!$K:$K,'Таблиця 1'!$B:$B,$A438,'Таблиця 1'!$I:$I,"Су-25",'Таблиця 1'!$J:$J,"GBU-65")+SUMIFS('Таблиця 1'!$K:$K,'Таблиця 1'!$B:$B,$A438,'Таблиця 1'!$I:$I,"Су-27",'Таблиця 1'!$J:$J,"GBU-65"))</f>
        <v/>
      </c>
      <c r="M438">
        <f>IF($A438="","",SUMIFS('Таблиця 1'!$K:$K,'Таблиця 1'!$B:$B,$A438,'Таблиця 1'!$I:$I,"Mirage",'Таблиця 1'!$J:$J,"GBU-62")+SUMIFS('Таблиця 1'!$K:$K,'Таблиця 1'!$B:$B,$A438,'Таблиця 1'!$I:$I,"F-16",'Таблиця 1'!$J:$J,"GBU-62")+SUMIFS('Таблиця 1'!$K:$K,'Таблиця 1'!$B:$B,$A438,'Таблиця 1'!$I:$I,"МіГ-29",'Таблиця 1'!$J:$J,"GBU-62")+SUMIFS('Таблиця 1'!$K:$K,'Таблиця 1'!$B:$B,$A438,'Таблиця 1'!$I:$I,"Су-25",'Таблиця 1'!$J:$J,"GBU-62")+SUMIFS('Таблиця 1'!$K:$K,'Таблиця 1'!$B:$B,$A438,'Таблиця 1'!$I:$I,"Су-27",'Таблиця 1'!$J:$J,"GBU-62"))</f>
        <v/>
      </c>
      <c r="N438">
        <f>IF($A438="","",SUMIFS('Таблиця 1'!$K:$K,'Таблиця 1'!$B:$B,$A438,'Таблиця 1'!$I:$I,"Mirage",'Таблиця 1'!$J:$J,"GBU-64")+SUMIFS('Таблиця 1'!$K:$K,'Таблиця 1'!$B:$B,$A438,'Таблиця 1'!$I:$I,"F-16",'Таблиця 1'!$J:$J,"GBU-64")+SUMIFS('Таблиця 1'!$K:$K,'Таблиця 1'!$B:$B,$A438,'Таблиця 1'!$I:$I,"МіГ-29",'Таблиця 1'!$J:$J,"GBU-64")+SUMIFS('Таблиця 1'!$K:$K,'Таблиця 1'!$B:$B,$A438,'Таблиця 1'!$I:$I,"Су-25",'Таблиця 1'!$J:$J,"GBU-64")+SUMIFS('Таблиця 1'!$K:$K,'Таблиця 1'!$B:$B,$A438,'Таблиця 1'!$I:$I,"Су-27",'Таблиця 1'!$J:$J,"GBU-64"))</f>
        <v/>
      </c>
      <c r="O438">
        <f>IF($A438="","",SUMIFS('Таблиця 1'!$K:$K,'Таблиця 1'!$B:$B,$A438,'Таблиця 1'!$I:$I,"Mirage",'Таблиця 1'!$J:$J,"C-13")+SUMIFS('Таблиця 1'!$K:$K,'Таблиця 1'!$B:$B,$A438,'Таблиця 1'!$I:$I,"F-16",'Таблиця 1'!$J:$J,"C-13")+SUMIFS('Таблиця 1'!$K:$K,'Таблиця 1'!$B:$B,$A438,'Таблиця 1'!$I:$I,"МіГ-29",'Таблиця 1'!$J:$J,"C-13")+SUMIFS('Таблиця 1'!$K:$K,'Таблиця 1'!$B:$B,$A438,'Таблиця 1'!$I:$I,"Су-25",'Таблиця 1'!$J:$J,"C-13")+SUMIFS('Таблиця 1'!$K:$K,'Таблиця 1'!$B:$B,$A438,'Таблиця 1'!$I:$I,"Су-27",'Таблиця 1'!$J:$J,"C-13"))</f>
        <v/>
      </c>
      <c r="P438">
        <f>IF($A438="","",SUMIFS('Таблиця 1'!$K:$K,'Таблиця 1'!$B:$B,$A438,'Таблиця 1'!$I:$I,"Mirage",'Таблиця 1'!$J:$J,"MK-32")+SUMIFS('Таблиця 1'!$K:$K,'Таблиця 1'!$B:$B,$A438,'Таблиця 1'!$I:$I,"F-16",'Таблиця 1'!$J:$J,"MK-32")+SUMIFS('Таблиця 1'!$K:$K,'Таблиця 1'!$B:$B,$A438,'Таблиця 1'!$I:$I,"МіГ-29",'Таблиця 1'!$J:$J,"MK-32")+SUMIFS('Таблиця 1'!$K:$K,'Таблиця 1'!$B:$B,$A438,'Таблиця 1'!$I:$I,"Су-25",'Таблиця 1'!$J:$J,"MK-32")+SUMIFS('Таблиця 1'!$K:$K,'Таблиця 1'!$B:$B,$A438,'Таблиця 1'!$I:$I,"Су-27",'Таблиця 1'!$J:$J,"MK-32"))</f>
        <v/>
      </c>
      <c r="Q438">
        <f>IF($A438="","",SUMIFS('Таблиця 1'!$K:$K,'Таблиця 1'!$B:$B,$A438,'Таблиця 1'!$I:$I,"Mirage",'Таблиця 1'!$J:$J,"MK-24")+SUMIFS('Таблиця 1'!$K:$K,'Таблиця 1'!$B:$B,$A438,'Таблиця 1'!$I:$I,"F-16",'Таблиця 1'!$J:$J,"MK-24")+SUMIFS('Таблиця 1'!$K:$K,'Таблиця 1'!$B:$B,$A438,'Таблиця 1'!$I:$I,"МіГ-29",'Таблиця 1'!$J:$J,"MK-24")+SUMIFS('Таблиця 1'!$K:$K,'Таблиця 1'!$B:$B,$A438,'Таблиця 1'!$I:$I,"Су-25",'Таблиця 1'!$J:$J,"MK-24")+SUMIFS('Таблиця 1'!$K:$K,'Таблиця 1'!$B:$B,$A438,'Таблиця 1'!$I:$I,"Су-27",'Таблиця 1'!$J:$J,"MK-24"))</f>
        <v/>
      </c>
      <c r="R438">
        <f>IF($A438="","",COUNTIFS('Таблиця 1'!$B:$B,$A438,'Таблиця 1'!$I:$I,"Mirage",'Таблиця 1'!$L:$L,"Уражено")+COUNTIFS('Таблиця 1'!$B:$B,$A438,'Таблиця 1'!$I:$I,"F-16",'Таблиця 1'!$L:$L,"Уражено")+COUNTIFS('Таблиця 1'!$B:$B,$A438,'Таблиця 1'!$I:$I,"МіГ-29",'Таблиця 1'!$L:$L,"Уражено")+COUNTIFS('Таблиця 1'!$B:$B,$A438,'Таблиця 1'!$I:$I,"Су-25",'Таблиця 1'!$L:$L,"Уражено")+COUNTIFS('Таблиця 1'!$B:$B,$A438,'Таблиця 1'!$I:$I,"Су-27",'Таблиця 1'!$L:$L,"Уражено"))</f>
        <v/>
      </c>
      <c r="S438">
        <f>IF($A438="","",COUNTIFS('Таблиця 1'!$B:$B,$A438,'Таблиця 1'!$I:$I,"Mirage",'Таблиця 1'!$L:$L,"НЕ уражено")+COUNTIFS('Таблиця 1'!$B:$B,$A438,'Таблиця 1'!$I:$I,"F-16",'Таблиця 1'!$L:$L,"НЕ уражено")+COUNTIFS('Таблиця 1'!$B:$B,$A438,'Таблиця 1'!$I:$I,"МіГ-29",'Таблиця 1'!$L:$L,"НЕ уражено")+COUNTIFS('Таблиця 1'!$B:$B,$A438,'Таблиця 1'!$I:$I,"Су-25",'Таблиця 1'!$L:$L,"НЕ уражено")+COUNTIFS('Таблиця 1'!$B:$B,$A438,'Таблиця 1'!$I:$I,"Су-27",'Таблиця 1'!$L:$L,"НЕ уражено"))</f>
        <v/>
      </c>
      <c r="T438">
        <f>IF($A438="","",COUNTIFS('Таблиця 1'!$B:$B,$A438,'Таблиця 1'!$I:$I,"Mirage",'Таблиця 1'!$L:$L,"Дорозвідується")+COUNTIFS('Таблиця 1'!$B:$B,$A438,'Таблиця 1'!$I:$I,"F-16",'Таблиця 1'!$L:$L,"Дорозвідується")+COUNTIFS('Таблиця 1'!$B:$B,$A438,'Таблиця 1'!$I:$I,"МіГ-29",'Таблиця 1'!$L:$L,"Дорозвідується")+COUNTIFS('Таблиця 1'!$B:$B,$A438,'Таблиця 1'!$I:$I,"Су-25",'Таблиця 1'!$L:$L,"Дорозвідується")+COUNTIFS('Таблиця 1'!$B:$B,$A438,'Таблиця 1'!$I:$I,"Су-27",'Таблиця 1'!$L:$L,"Дорозвідується"))</f>
        <v/>
      </c>
    </row>
    <row r="439">
      <c r="A439" s="273">
        <f>IF(A438="","",IF(A438+1&gt;MAX('Таблиця 1'!$B:$B),"",A438+1))</f>
        <v/>
      </c>
      <c r="B439">
        <f>IF($A439="","",COUNTIFS('Таблиця 1'!$B:$B,$A439,'Таблиця 1'!$I:$I,"Mirage")+COUNTIFS('Таблиця 1'!$B:$B,$A439,'Таблиця 1'!$I:$I,"F-16")+COUNTIFS('Таблиця 1'!$B:$B,$A439,'Таблиця 1'!$I:$I,"МіГ-29")+COUNTIFS('Таблиця 1'!$B:$B,$A439,'Таблиця 1'!$I:$I,"Су-25")+COUNTIFS('Таблиця 1'!$B:$B,$A439,'Таблиця 1'!$I:$I,"Су-27"))</f>
        <v/>
      </c>
      <c r="C439">
        <f>IF($A439="","",COUNTIFS('Таблиця 1'!$B:$B,$A439,'Таблиця 1'!$I:$I,"Mirage"))</f>
        <v/>
      </c>
      <c r="D439">
        <f>IF($A439="","",COUNTIFS('Таблиця 1'!$B:$B,$A439,'Таблиця 1'!$I:$I,"F-16"))</f>
        <v/>
      </c>
      <c r="E439">
        <f>IF($A439="","",COUNTIFS('Таблиця 1'!$B:$B,$A439,'Таблиця 1'!$I:$I,"МіГ-29"))</f>
        <v/>
      </c>
      <c r="F439">
        <f>IF($A439="","",COUNTIFS('Таблиця 1'!$B:$B,$A439,'Таблиця 1'!$I:$I,"Су-25"))</f>
        <v/>
      </c>
      <c r="G439">
        <f>IF($A439="","",COUNTIFS('Таблиця 1'!$B:$B,$A439,'Таблиця 1'!$I:$I,"Су-27"))</f>
        <v/>
      </c>
      <c r="H439">
        <f>IF($A439="","",SUMIFS('Таблиця 1'!$K:$K,'Таблиця 1'!$B:$B,$A439,'Таблиця 1'!$I:$I,"Mirage",'Таблиця 1'!$J:$J,"AGM-88")+SUMIFS('Таблиця 1'!$K:$K,'Таблиця 1'!$B:$B,$A439,'Таблиця 1'!$I:$I,"F-16",'Таблиця 1'!$J:$J,"AGM-88")+SUMIFS('Таблиця 1'!$K:$K,'Таблиця 1'!$B:$B,$A439,'Таблиця 1'!$I:$I,"МіГ-29",'Таблиця 1'!$J:$J,"AGM-88")+SUMIFS('Таблиця 1'!$K:$K,'Таблиця 1'!$B:$B,$A439,'Таблиця 1'!$I:$I,"Су-25",'Таблиця 1'!$J:$J,"AGM-88")+SUMIFS('Таблиця 1'!$K:$K,'Таблиця 1'!$B:$B,$A439,'Таблиця 1'!$I:$I,"Су-27",'Таблиця 1'!$J:$J,"AGM-88"))</f>
        <v/>
      </c>
      <c r="I439">
        <f>IF($A439="","",SUMIFS('Таблиця 1'!$K:$K,'Таблиця 1'!$B:$B,$A439,'Таблиця 1'!$I:$I,"Mirage",'Таблиця 1'!$J:$J,"AASM-250")+SUMIFS('Таблиця 1'!$K:$K,'Таблиця 1'!$B:$B,$A439,'Таблиця 1'!$I:$I,"F-16",'Таблиця 1'!$J:$J,"AASM-250")+SUMIFS('Таблиця 1'!$K:$K,'Таблиця 1'!$B:$B,$A439,'Таблиця 1'!$I:$I,"МіГ-29",'Таблиця 1'!$J:$J,"AASM-250")+SUMIFS('Таблиця 1'!$K:$K,'Таблиця 1'!$B:$B,$A439,'Таблиця 1'!$I:$I,"Су-25",'Таблиця 1'!$J:$J,"AASM-250")+SUMIFS('Таблиця 1'!$K:$K,'Таблиця 1'!$B:$B,$A439,'Таблиця 1'!$I:$I,"Су-27",'Таблиця 1'!$J:$J,"AASM-250"))</f>
        <v/>
      </c>
      <c r="J439">
        <f>IF($A439="","",SUMIFS('Таблиця 1'!$K:$K,'Таблиця 1'!$B:$B,$A439,'Таблиця 1'!$I:$I,"Mirage",'Таблиця 1'!$J:$J,"GBU-39")+SUMIFS('Таблиця 1'!$K:$K,'Таблиця 1'!$B:$B,$A439,'Таблиця 1'!$I:$I,"F-16",'Таблиця 1'!$J:$J,"GBU-39")+SUMIFS('Таблиця 1'!$K:$K,'Таблиця 1'!$B:$B,$A439,'Таблиця 1'!$I:$I,"МіГ-29",'Таблиця 1'!$J:$J,"GBU-39")+SUMIFS('Таблиця 1'!$K:$K,'Таблиця 1'!$B:$B,$A439,'Таблиця 1'!$I:$I,"Су-25",'Таблиця 1'!$J:$J,"GBU-39")+SUMIFS('Таблиця 1'!$K:$K,'Таблиця 1'!$B:$B,$A439,'Таблиця 1'!$I:$I,"Су-27",'Таблиця 1'!$J:$J,"GBU-39"))</f>
        <v/>
      </c>
      <c r="K439">
        <f>IF($A439="","",SUMIFS('Таблиця 1'!$K:$K,'Таблиця 1'!$B:$B,$A439,'Таблиця 1'!$I:$I,"Mirage",'Таблиця 1'!$J:$J,"BLU-140")+SUMIFS('Таблиця 1'!$K:$K,'Таблиця 1'!$B:$B,$A439,'Таблиця 1'!$I:$I,"F-16",'Таблиця 1'!$J:$J,"BLU-140")+SUMIFS('Таблиця 1'!$K:$K,'Таблиця 1'!$B:$B,$A439,'Таблиця 1'!$I:$I,"МіГ-29",'Таблиця 1'!$J:$J,"BLU-140")+SUMIFS('Таблиця 1'!$K:$K,'Таблиця 1'!$B:$B,$A439,'Таблиця 1'!$I:$I,"Су-25",'Таблиця 1'!$J:$J,"BLU-140")+SUMIFS('Таблиця 1'!$K:$K,'Таблиця 1'!$B:$B,$A439,'Таблиця 1'!$I:$I,"Су-27",'Таблиця 1'!$J:$J,"BLU-140"))</f>
        <v/>
      </c>
      <c r="L439">
        <f>IF($A439="","",SUMIFS('Таблиця 1'!$K:$K,'Таблиця 1'!$B:$B,$A439,'Таблиця 1'!$I:$I,"Mirage",'Таблиця 1'!$J:$J,"GBU-65")+SUMIFS('Таблиця 1'!$K:$K,'Таблиця 1'!$B:$B,$A439,'Таблиця 1'!$I:$I,"F-16",'Таблиця 1'!$J:$J,"GBU-65")+SUMIFS('Таблиця 1'!$K:$K,'Таблиця 1'!$B:$B,$A439,'Таблиця 1'!$I:$I,"МіГ-29",'Таблиця 1'!$J:$J,"GBU-65")+SUMIFS('Таблиця 1'!$K:$K,'Таблиця 1'!$B:$B,$A439,'Таблиця 1'!$I:$I,"Су-25",'Таблиця 1'!$J:$J,"GBU-65")+SUMIFS('Таблиця 1'!$K:$K,'Таблиця 1'!$B:$B,$A439,'Таблиця 1'!$I:$I,"Су-27",'Таблиця 1'!$J:$J,"GBU-65"))</f>
        <v/>
      </c>
      <c r="M439">
        <f>IF($A439="","",SUMIFS('Таблиця 1'!$K:$K,'Таблиця 1'!$B:$B,$A439,'Таблиця 1'!$I:$I,"Mirage",'Таблиця 1'!$J:$J,"GBU-62")+SUMIFS('Таблиця 1'!$K:$K,'Таблиця 1'!$B:$B,$A439,'Таблиця 1'!$I:$I,"F-16",'Таблиця 1'!$J:$J,"GBU-62")+SUMIFS('Таблиця 1'!$K:$K,'Таблиця 1'!$B:$B,$A439,'Таблиця 1'!$I:$I,"МіГ-29",'Таблиця 1'!$J:$J,"GBU-62")+SUMIFS('Таблиця 1'!$K:$K,'Таблиця 1'!$B:$B,$A439,'Таблиця 1'!$I:$I,"Су-25",'Таблиця 1'!$J:$J,"GBU-62")+SUMIFS('Таблиця 1'!$K:$K,'Таблиця 1'!$B:$B,$A439,'Таблиця 1'!$I:$I,"Су-27",'Таблиця 1'!$J:$J,"GBU-62"))</f>
        <v/>
      </c>
      <c r="N439">
        <f>IF($A439="","",SUMIFS('Таблиця 1'!$K:$K,'Таблиця 1'!$B:$B,$A439,'Таблиця 1'!$I:$I,"Mirage",'Таблиця 1'!$J:$J,"GBU-64")+SUMIFS('Таблиця 1'!$K:$K,'Таблиця 1'!$B:$B,$A439,'Таблиця 1'!$I:$I,"F-16",'Таблиця 1'!$J:$J,"GBU-64")+SUMIFS('Таблиця 1'!$K:$K,'Таблиця 1'!$B:$B,$A439,'Таблиця 1'!$I:$I,"МіГ-29",'Таблиця 1'!$J:$J,"GBU-64")+SUMIFS('Таблиця 1'!$K:$K,'Таблиця 1'!$B:$B,$A439,'Таблиця 1'!$I:$I,"Су-25",'Таблиця 1'!$J:$J,"GBU-64")+SUMIFS('Таблиця 1'!$K:$K,'Таблиця 1'!$B:$B,$A439,'Таблиця 1'!$I:$I,"Су-27",'Таблиця 1'!$J:$J,"GBU-64"))</f>
        <v/>
      </c>
      <c r="O439">
        <f>IF($A439="","",SUMIFS('Таблиця 1'!$K:$K,'Таблиця 1'!$B:$B,$A439,'Таблиця 1'!$I:$I,"Mirage",'Таблиця 1'!$J:$J,"C-13")+SUMIFS('Таблиця 1'!$K:$K,'Таблиця 1'!$B:$B,$A439,'Таблиця 1'!$I:$I,"F-16",'Таблиця 1'!$J:$J,"C-13")+SUMIFS('Таблиця 1'!$K:$K,'Таблиця 1'!$B:$B,$A439,'Таблиця 1'!$I:$I,"МіГ-29",'Таблиця 1'!$J:$J,"C-13")+SUMIFS('Таблиця 1'!$K:$K,'Таблиця 1'!$B:$B,$A439,'Таблиця 1'!$I:$I,"Су-25",'Таблиця 1'!$J:$J,"C-13")+SUMIFS('Таблиця 1'!$K:$K,'Таблиця 1'!$B:$B,$A439,'Таблиця 1'!$I:$I,"Су-27",'Таблиця 1'!$J:$J,"C-13"))</f>
        <v/>
      </c>
      <c r="P439">
        <f>IF($A439="","",SUMIFS('Таблиця 1'!$K:$K,'Таблиця 1'!$B:$B,$A439,'Таблиця 1'!$I:$I,"Mirage",'Таблиця 1'!$J:$J,"MK-32")+SUMIFS('Таблиця 1'!$K:$K,'Таблиця 1'!$B:$B,$A439,'Таблиця 1'!$I:$I,"F-16",'Таблиця 1'!$J:$J,"MK-32")+SUMIFS('Таблиця 1'!$K:$K,'Таблиця 1'!$B:$B,$A439,'Таблиця 1'!$I:$I,"МіГ-29",'Таблиця 1'!$J:$J,"MK-32")+SUMIFS('Таблиця 1'!$K:$K,'Таблиця 1'!$B:$B,$A439,'Таблиця 1'!$I:$I,"Су-25",'Таблиця 1'!$J:$J,"MK-32")+SUMIFS('Таблиця 1'!$K:$K,'Таблиця 1'!$B:$B,$A439,'Таблиця 1'!$I:$I,"Су-27",'Таблиця 1'!$J:$J,"MK-32"))</f>
        <v/>
      </c>
      <c r="Q439">
        <f>IF($A439="","",SUMIFS('Таблиця 1'!$K:$K,'Таблиця 1'!$B:$B,$A439,'Таблиця 1'!$I:$I,"Mirage",'Таблиця 1'!$J:$J,"MK-24")+SUMIFS('Таблиця 1'!$K:$K,'Таблиця 1'!$B:$B,$A439,'Таблиця 1'!$I:$I,"F-16",'Таблиця 1'!$J:$J,"MK-24")+SUMIFS('Таблиця 1'!$K:$K,'Таблиця 1'!$B:$B,$A439,'Таблиця 1'!$I:$I,"МіГ-29",'Таблиця 1'!$J:$J,"MK-24")+SUMIFS('Таблиця 1'!$K:$K,'Таблиця 1'!$B:$B,$A439,'Таблиця 1'!$I:$I,"Су-25",'Таблиця 1'!$J:$J,"MK-24")+SUMIFS('Таблиця 1'!$K:$K,'Таблиця 1'!$B:$B,$A439,'Таблиця 1'!$I:$I,"Су-27",'Таблиця 1'!$J:$J,"MK-24"))</f>
        <v/>
      </c>
      <c r="R439">
        <f>IF($A439="","",COUNTIFS('Таблиця 1'!$B:$B,$A439,'Таблиця 1'!$I:$I,"Mirage",'Таблиця 1'!$L:$L,"Уражено")+COUNTIFS('Таблиця 1'!$B:$B,$A439,'Таблиця 1'!$I:$I,"F-16",'Таблиця 1'!$L:$L,"Уражено")+COUNTIFS('Таблиця 1'!$B:$B,$A439,'Таблиця 1'!$I:$I,"МіГ-29",'Таблиця 1'!$L:$L,"Уражено")+COUNTIFS('Таблиця 1'!$B:$B,$A439,'Таблиця 1'!$I:$I,"Су-25",'Таблиця 1'!$L:$L,"Уражено")+COUNTIFS('Таблиця 1'!$B:$B,$A439,'Таблиця 1'!$I:$I,"Су-27",'Таблиця 1'!$L:$L,"Уражено"))</f>
        <v/>
      </c>
      <c r="S439">
        <f>IF($A439="","",COUNTIFS('Таблиця 1'!$B:$B,$A439,'Таблиця 1'!$I:$I,"Mirage",'Таблиця 1'!$L:$L,"НЕ уражено")+COUNTIFS('Таблиця 1'!$B:$B,$A439,'Таблиця 1'!$I:$I,"F-16",'Таблиця 1'!$L:$L,"НЕ уражено")+COUNTIFS('Таблиця 1'!$B:$B,$A439,'Таблиця 1'!$I:$I,"МіГ-29",'Таблиця 1'!$L:$L,"НЕ уражено")+COUNTIFS('Таблиця 1'!$B:$B,$A439,'Таблиця 1'!$I:$I,"Су-25",'Таблиця 1'!$L:$L,"НЕ уражено")+COUNTIFS('Таблиця 1'!$B:$B,$A439,'Таблиця 1'!$I:$I,"Су-27",'Таблиця 1'!$L:$L,"НЕ уражено"))</f>
        <v/>
      </c>
      <c r="T439">
        <f>IF($A439="","",COUNTIFS('Таблиця 1'!$B:$B,$A439,'Таблиця 1'!$I:$I,"Mirage",'Таблиця 1'!$L:$L,"Дорозвідується")+COUNTIFS('Таблиця 1'!$B:$B,$A439,'Таблиця 1'!$I:$I,"F-16",'Таблиця 1'!$L:$L,"Дорозвідується")+COUNTIFS('Таблиця 1'!$B:$B,$A439,'Таблиця 1'!$I:$I,"МіГ-29",'Таблиця 1'!$L:$L,"Дорозвідується")+COUNTIFS('Таблиця 1'!$B:$B,$A439,'Таблиця 1'!$I:$I,"Су-25",'Таблиця 1'!$L:$L,"Дорозвідується")+COUNTIFS('Таблиця 1'!$B:$B,$A439,'Таблиця 1'!$I:$I,"Су-27",'Таблиця 1'!$L:$L,"Дорозвідується"))</f>
        <v/>
      </c>
    </row>
    <row r="440">
      <c r="A440" s="273">
        <f>IF(A439="","",IF(A439+1&gt;MAX('Таблиця 1'!$B:$B),"",A439+1))</f>
        <v/>
      </c>
      <c r="B440">
        <f>IF($A440="","",COUNTIFS('Таблиця 1'!$B:$B,$A440,'Таблиця 1'!$I:$I,"Mirage")+COUNTIFS('Таблиця 1'!$B:$B,$A440,'Таблиця 1'!$I:$I,"F-16")+COUNTIFS('Таблиця 1'!$B:$B,$A440,'Таблиця 1'!$I:$I,"МіГ-29")+COUNTIFS('Таблиця 1'!$B:$B,$A440,'Таблиця 1'!$I:$I,"Су-25")+COUNTIFS('Таблиця 1'!$B:$B,$A440,'Таблиця 1'!$I:$I,"Су-27"))</f>
        <v/>
      </c>
      <c r="C440">
        <f>IF($A440="","",COUNTIFS('Таблиця 1'!$B:$B,$A440,'Таблиця 1'!$I:$I,"Mirage"))</f>
        <v/>
      </c>
      <c r="D440">
        <f>IF($A440="","",COUNTIFS('Таблиця 1'!$B:$B,$A440,'Таблиця 1'!$I:$I,"F-16"))</f>
        <v/>
      </c>
      <c r="E440">
        <f>IF($A440="","",COUNTIFS('Таблиця 1'!$B:$B,$A440,'Таблиця 1'!$I:$I,"МіГ-29"))</f>
        <v/>
      </c>
      <c r="F440">
        <f>IF($A440="","",COUNTIFS('Таблиця 1'!$B:$B,$A440,'Таблиця 1'!$I:$I,"Су-25"))</f>
        <v/>
      </c>
      <c r="G440">
        <f>IF($A440="","",COUNTIFS('Таблиця 1'!$B:$B,$A440,'Таблиця 1'!$I:$I,"Су-27"))</f>
        <v/>
      </c>
      <c r="H440">
        <f>IF($A440="","",SUMIFS('Таблиця 1'!$K:$K,'Таблиця 1'!$B:$B,$A440,'Таблиця 1'!$I:$I,"Mirage",'Таблиця 1'!$J:$J,"AGM-88")+SUMIFS('Таблиця 1'!$K:$K,'Таблиця 1'!$B:$B,$A440,'Таблиця 1'!$I:$I,"F-16",'Таблиця 1'!$J:$J,"AGM-88")+SUMIFS('Таблиця 1'!$K:$K,'Таблиця 1'!$B:$B,$A440,'Таблиця 1'!$I:$I,"МіГ-29",'Таблиця 1'!$J:$J,"AGM-88")+SUMIFS('Таблиця 1'!$K:$K,'Таблиця 1'!$B:$B,$A440,'Таблиця 1'!$I:$I,"Су-25",'Таблиця 1'!$J:$J,"AGM-88")+SUMIFS('Таблиця 1'!$K:$K,'Таблиця 1'!$B:$B,$A440,'Таблиця 1'!$I:$I,"Су-27",'Таблиця 1'!$J:$J,"AGM-88"))</f>
        <v/>
      </c>
      <c r="I440">
        <f>IF($A440="","",SUMIFS('Таблиця 1'!$K:$K,'Таблиця 1'!$B:$B,$A440,'Таблиця 1'!$I:$I,"Mirage",'Таблиця 1'!$J:$J,"AASM-250")+SUMIFS('Таблиця 1'!$K:$K,'Таблиця 1'!$B:$B,$A440,'Таблиця 1'!$I:$I,"F-16",'Таблиця 1'!$J:$J,"AASM-250")+SUMIFS('Таблиця 1'!$K:$K,'Таблиця 1'!$B:$B,$A440,'Таблиця 1'!$I:$I,"МіГ-29",'Таблиця 1'!$J:$J,"AASM-250")+SUMIFS('Таблиця 1'!$K:$K,'Таблиця 1'!$B:$B,$A440,'Таблиця 1'!$I:$I,"Су-25",'Таблиця 1'!$J:$J,"AASM-250")+SUMIFS('Таблиця 1'!$K:$K,'Таблиця 1'!$B:$B,$A440,'Таблиця 1'!$I:$I,"Су-27",'Таблиця 1'!$J:$J,"AASM-250"))</f>
        <v/>
      </c>
      <c r="J440">
        <f>IF($A440="","",SUMIFS('Таблиця 1'!$K:$K,'Таблиця 1'!$B:$B,$A440,'Таблиця 1'!$I:$I,"Mirage",'Таблиця 1'!$J:$J,"GBU-39")+SUMIFS('Таблиця 1'!$K:$K,'Таблиця 1'!$B:$B,$A440,'Таблиця 1'!$I:$I,"F-16",'Таблиця 1'!$J:$J,"GBU-39")+SUMIFS('Таблиця 1'!$K:$K,'Таблиця 1'!$B:$B,$A440,'Таблиця 1'!$I:$I,"МіГ-29",'Таблиця 1'!$J:$J,"GBU-39")+SUMIFS('Таблиця 1'!$K:$K,'Таблиця 1'!$B:$B,$A440,'Таблиця 1'!$I:$I,"Су-25",'Таблиця 1'!$J:$J,"GBU-39")+SUMIFS('Таблиця 1'!$K:$K,'Таблиця 1'!$B:$B,$A440,'Таблиця 1'!$I:$I,"Су-27",'Таблиця 1'!$J:$J,"GBU-39"))</f>
        <v/>
      </c>
      <c r="K440">
        <f>IF($A440="","",SUMIFS('Таблиця 1'!$K:$K,'Таблиця 1'!$B:$B,$A440,'Таблиця 1'!$I:$I,"Mirage",'Таблиця 1'!$J:$J,"BLU-140")+SUMIFS('Таблиця 1'!$K:$K,'Таблиця 1'!$B:$B,$A440,'Таблиця 1'!$I:$I,"F-16",'Таблиця 1'!$J:$J,"BLU-140")+SUMIFS('Таблиця 1'!$K:$K,'Таблиця 1'!$B:$B,$A440,'Таблиця 1'!$I:$I,"МіГ-29",'Таблиця 1'!$J:$J,"BLU-140")+SUMIFS('Таблиця 1'!$K:$K,'Таблиця 1'!$B:$B,$A440,'Таблиця 1'!$I:$I,"Су-25",'Таблиця 1'!$J:$J,"BLU-140")+SUMIFS('Таблиця 1'!$K:$K,'Таблиця 1'!$B:$B,$A440,'Таблиця 1'!$I:$I,"Су-27",'Таблиця 1'!$J:$J,"BLU-140"))</f>
        <v/>
      </c>
      <c r="L440">
        <f>IF($A440="","",SUMIFS('Таблиця 1'!$K:$K,'Таблиця 1'!$B:$B,$A440,'Таблиця 1'!$I:$I,"Mirage",'Таблиця 1'!$J:$J,"GBU-65")+SUMIFS('Таблиця 1'!$K:$K,'Таблиця 1'!$B:$B,$A440,'Таблиця 1'!$I:$I,"F-16",'Таблиця 1'!$J:$J,"GBU-65")+SUMIFS('Таблиця 1'!$K:$K,'Таблиця 1'!$B:$B,$A440,'Таблиця 1'!$I:$I,"МіГ-29",'Таблиця 1'!$J:$J,"GBU-65")+SUMIFS('Таблиця 1'!$K:$K,'Таблиця 1'!$B:$B,$A440,'Таблиця 1'!$I:$I,"Су-25",'Таблиця 1'!$J:$J,"GBU-65")+SUMIFS('Таблиця 1'!$K:$K,'Таблиця 1'!$B:$B,$A440,'Таблиця 1'!$I:$I,"Су-27",'Таблиця 1'!$J:$J,"GBU-65"))</f>
        <v/>
      </c>
      <c r="M440">
        <f>IF($A440="","",SUMIFS('Таблиця 1'!$K:$K,'Таблиця 1'!$B:$B,$A440,'Таблиця 1'!$I:$I,"Mirage",'Таблиця 1'!$J:$J,"GBU-62")+SUMIFS('Таблиця 1'!$K:$K,'Таблиця 1'!$B:$B,$A440,'Таблиця 1'!$I:$I,"F-16",'Таблиця 1'!$J:$J,"GBU-62")+SUMIFS('Таблиця 1'!$K:$K,'Таблиця 1'!$B:$B,$A440,'Таблиця 1'!$I:$I,"МіГ-29",'Таблиця 1'!$J:$J,"GBU-62")+SUMIFS('Таблиця 1'!$K:$K,'Таблиця 1'!$B:$B,$A440,'Таблиця 1'!$I:$I,"Су-25",'Таблиця 1'!$J:$J,"GBU-62")+SUMIFS('Таблиця 1'!$K:$K,'Таблиця 1'!$B:$B,$A440,'Таблиця 1'!$I:$I,"Су-27",'Таблиця 1'!$J:$J,"GBU-62"))</f>
        <v/>
      </c>
      <c r="N440">
        <f>IF($A440="","",SUMIFS('Таблиця 1'!$K:$K,'Таблиця 1'!$B:$B,$A440,'Таблиця 1'!$I:$I,"Mirage",'Таблиця 1'!$J:$J,"GBU-64")+SUMIFS('Таблиця 1'!$K:$K,'Таблиця 1'!$B:$B,$A440,'Таблиця 1'!$I:$I,"F-16",'Таблиця 1'!$J:$J,"GBU-64")+SUMIFS('Таблиця 1'!$K:$K,'Таблиця 1'!$B:$B,$A440,'Таблиця 1'!$I:$I,"МіГ-29",'Таблиця 1'!$J:$J,"GBU-64")+SUMIFS('Таблиця 1'!$K:$K,'Таблиця 1'!$B:$B,$A440,'Таблиця 1'!$I:$I,"Су-25",'Таблиця 1'!$J:$J,"GBU-64")+SUMIFS('Таблиця 1'!$K:$K,'Таблиця 1'!$B:$B,$A440,'Таблиця 1'!$I:$I,"Су-27",'Таблиця 1'!$J:$J,"GBU-64"))</f>
        <v/>
      </c>
      <c r="O440">
        <f>IF($A440="","",SUMIFS('Таблиця 1'!$K:$K,'Таблиця 1'!$B:$B,$A440,'Таблиця 1'!$I:$I,"Mirage",'Таблиця 1'!$J:$J,"C-13")+SUMIFS('Таблиця 1'!$K:$K,'Таблиця 1'!$B:$B,$A440,'Таблиця 1'!$I:$I,"F-16",'Таблиця 1'!$J:$J,"C-13")+SUMIFS('Таблиця 1'!$K:$K,'Таблиця 1'!$B:$B,$A440,'Таблиця 1'!$I:$I,"МіГ-29",'Таблиця 1'!$J:$J,"C-13")+SUMIFS('Таблиця 1'!$K:$K,'Таблиця 1'!$B:$B,$A440,'Таблиця 1'!$I:$I,"Су-25",'Таблиця 1'!$J:$J,"C-13")+SUMIFS('Таблиця 1'!$K:$K,'Таблиця 1'!$B:$B,$A440,'Таблиця 1'!$I:$I,"Су-27",'Таблиця 1'!$J:$J,"C-13"))</f>
        <v/>
      </c>
      <c r="P440">
        <f>IF($A440="","",SUMIFS('Таблиця 1'!$K:$K,'Таблиця 1'!$B:$B,$A440,'Таблиця 1'!$I:$I,"Mirage",'Таблиця 1'!$J:$J,"MK-32")+SUMIFS('Таблиця 1'!$K:$K,'Таблиця 1'!$B:$B,$A440,'Таблиця 1'!$I:$I,"F-16",'Таблиця 1'!$J:$J,"MK-32")+SUMIFS('Таблиця 1'!$K:$K,'Таблиця 1'!$B:$B,$A440,'Таблиця 1'!$I:$I,"МіГ-29",'Таблиця 1'!$J:$J,"MK-32")+SUMIFS('Таблиця 1'!$K:$K,'Таблиця 1'!$B:$B,$A440,'Таблиця 1'!$I:$I,"Су-25",'Таблиця 1'!$J:$J,"MK-32")+SUMIFS('Таблиця 1'!$K:$K,'Таблиця 1'!$B:$B,$A440,'Таблиця 1'!$I:$I,"Су-27",'Таблиця 1'!$J:$J,"MK-32"))</f>
        <v/>
      </c>
      <c r="Q440">
        <f>IF($A440="","",SUMIFS('Таблиця 1'!$K:$K,'Таблиця 1'!$B:$B,$A440,'Таблиця 1'!$I:$I,"Mirage",'Таблиця 1'!$J:$J,"MK-24")+SUMIFS('Таблиця 1'!$K:$K,'Таблиця 1'!$B:$B,$A440,'Таблиця 1'!$I:$I,"F-16",'Таблиця 1'!$J:$J,"MK-24")+SUMIFS('Таблиця 1'!$K:$K,'Таблиця 1'!$B:$B,$A440,'Таблиця 1'!$I:$I,"МіГ-29",'Таблиця 1'!$J:$J,"MK-24")+SUMIFS('Таблиця 1'!$K:$K,'Таблиця 1'!$B:$B,$A440,'Таблиця 1'!$I:$I,"Су-25",'Таблиця 1'!$J:$J,"MK-24")+SUMIFS('Таблиця 1'!$K:$K,'Таблиця 1'!$B:$B,$A440,'Таблиця 1'!$I:$I,"Су-27",'Таблиця 1'!$J:$J,"MK-24"))</f>
        <v/>
      </c>
      <c r="R440">
        <f>IF($A440="","",COUNTIFS('Таблиця 1'!$B:$B,$A440,'Таблиця 1'!$I:$I,"Mirage",'Таблиця 1'!$L:$L,"Уражено")+COUNTIFS('Таблиця 1'!$B:$B,$A440,'Таблиця 1'!$I:$I,"F-16",'Таблиця 1'!$L:$L,"Уражено")+COUNTIFS('Таблиця 1'!$B:$B,$A440,'Таблиця 1'!$I:$I,"МіГ-29",'Таблиця 1'!$L:$L,"Уражено")+COUNTIFS('Таблиця 1'!$B:$B,$A440,'Таблиця 1'!$I:$I,"Су-25",'Таблиця 1'!$L:$L,"Уражено")+COUNTIFS('Таблиця 1'!$B:$B,$A440,'Таблиця 1'!$I:$I,"Су-27",'Таблиця 1'!$L:$L,"Уражено"))</f>
        <v/>
      </c>
      <c r="S440">
        <f>IF($A440="","",COUNTIFS('Таблиця 1'!$B:$B,$A440,'Таблиця 1'!$I:$I,"Mirage",'Таблиця 1'!$L:$L,"НЕ уражено")+COUNTIFS('Таблиця 1'!$B:$B,$A440,'Таблиця 1'!$I:$I,"F-16",'Таблиця 1'!$L:$L,"НЕ уражено")+COUNTIFS('Таблиця 1'!$B:$B,$A440,'Таблиця 1'!$I:$I,"МіГ-29",'Таблиця 1'!$L:$L,"НЕ уражено")+COUNTIFS('Таблиця 1'!$B:$B,$A440,'Таблиця 1'!$I:$I,"Су-25",'Таблиця 1'!$L:$L,"НЕ уражено")+COUNTIFS('Таблиця 1'!$B:$B,$A440,'Таблиця 1'!$I:$I,"Су-27",'Таблиця 1'!$L:$L,"НЕ уражено"))</f>
        <v/>
      </c>
      <c r="T440">
        <f>IF($A440="","",COUNTIFS('Таблиця 1'!$B:$B,$A440,'Таблиця 1'!$I:$I,"Mirage",'Таблиця 1'!$L:$L,"Дорозвідується")+COUNTIFS('Таблиця 1'!$B:$B,$A440,'Таблиця 1'!$I:$I,"F-16",'Таблиця 1'!$L:$L,"Дорозвідується")+COUNTIFS('Таблиця 1'!$B:$B,$A440,'Таблиця 1'!$I:$I,"МіГ-29",'Таблиця 1'!$L:$L,"Дорозвідується")+COUNTIFS('Таблиця 1'!$B:$B,$A440,'Таблиця 1'!$I:$I,"Су-25",'Таблиця 1'!$L:$L,"Дорозвідується")+COUNTIFS('Таблиця 1'!$B:$B,$A440,'Таблиця 1'!$I:$I,"Су-27",'Таблиця 1'!$L:$L,"Дорозвідується"))</f>
        <v/>
      </c>
    </row>
    <row r="441">
      <c r="A441" s="273">
        <f>IF(A440="","",IF(A440+1&gt;MAX('Таблиця 1'!$B:$B),"",A440+1))</f>
        <v/>
      </c>
      <c r="B441">
        <f>IF($A441="","",COUNTIFS('Таблиця 1'!$B:$B,$A441,'Таблиця 1'!$I:$I,"Mirage")+COUNTIFS('Таблиця 1'!$B:$B,$A441,'Таблиця 1'!$I:$I,"F-16")+COUNTIFS('Таблиця 1'!$B:$B,$A441,'Таблиця 1'!$I:$I,"МіГ-29")+COUNTIFS('Таблиця 1'!$B:$B,$A441,'Таблиця 1'!$I:$I,"Су-25")+COUNTIFS('Таблиця 1'!$B:$B,$A441,'Таблиця 1'!$I:$I,"Су-27"))</f>
        <v/>
      </c>
      <c r="C441">
        <f>IF($A441="","",COUNTIFS('Таблиця 1'!$B:$B,$A441,'Таблиця 1'!$I:$I,"Mirage"))</f>
        <v/>
      </c>
      <c r="D441">
        <f>IF($A441="","",COUNTIFS('Таблиця 1'!$B:$B,$A441,'Таблиця 1'!$I:$I,"F-16"))</f>
        <v/>
      </c>
      <c r="E441">
        <f>IF($A441="","",COUNTIFS('Таблиця 1'!$B:$B,$A441,'Таблиця 1'!$I:$I,"МіГ-29"))</f>
        <v/>
      </c>
      <c r="F441">
        <f>IF($A441="","",COUNTIFS('Таблиця 1'!$B:$B,$A441,'Таблиця 1'!$I:$I,"Су-25"))</f>
        <v/>
      </c>
      <c r="G441">
        <f>IF($A441="","",COUNTIFS('Таблиця 1'!$B:$B,$A441,'Таблиця 1'!$I:$I,"Су-27"))</f>
        <v/>
      </c>
      <c r="H441">
        <f>IF($A441="","",SUMIFS('Таблиця 1'!$K:$K,'Таблиця 1'!$B:$B,$A441,'Таблиця 1'!$I:$I,"Mirage",'Таблиця 1'!$J:$J,"AGM-88")+SUMIFS('Таблиця 1'!$K:$K,'Таблиця 1'!$B:$B,$A441,'Таблиця 1'!$I:$I,"F-16",'Таблиця 1'!$J:$J,"AGM-88")+SUMIFS('Таблиця 1'!$K:$K,'Таблиця 1'!$B:$B,$A441,'Таблиця 1'!$I:$I,"МіГ-29",'Таблиця 1'!$J:$J,"AGM-88")+SUMIFS('Таблиця 1'!$K:$K,'Таблиця 1'!$B:$B,$A441,'Таблиця 1'!$I:$I,"Су-25",'Таблиця 1'!$J:$J,"AGM-88")+SUMIFS('Таблиця 1'!$K:$K,'Таблиця 1'!$B:$B,$A441,'Таблиця 1'!$I:$I,"Су-27",'Таблиця 1'!$J:$J,"AGM-88"))</f>
        <v/>
      </c>
      <c r="I441">
        <f>IF($A441="","",SUMIFS('Таблиця 1'!$K:$K,'Таблиця 1'!$B:$B,$A441,'Таблиця 1'!$I:$I,"Mirage",'Таблиця 1'!$J:$J,"AASM-250")+SUMIFS('Таблиця 1'!$K:$K,'Таблиця 1'!$B:$B,$A441,'Таблиця 1'!$I:$I,"F-16",'Таблиця 1'!$J:$J,"AASM-250")+SUMIFS('Таблиця 1'!$K:$K,'Таблиця 1'!$B:$B,$A441,'Таблиця 1'!$I:$I,"МіГ-29",'Таблиця 1'!$J:$J,"AASM-250")+SUMIFS('Таблиця 1'!$K:$K,'Таблиця 1'!$B:$B,$A441,'Таблиця 1'!$I:$I,"Су-25",'Таблиця 1'!$J:$J,"AASM-250")+SUMIFS('Таблиця 1'!$K:$K,'Таблиця 1'!$B:$B,$A441,'Таблиця 1'!$I:$I,"Су-27",'Таблиця 1'!$J:$J,"AASM-250"))</f>
        <v/>
      </c>
      <c r="J441">
        <f>IF($A441="","",SUMIFS('Таблиця 1'!$K:$K,'Таблиця 1'!$B:$B,$A441,'Таблиця 1'!$I:$I,"Mirage",'Таблиця 1'!$J:$J,"GBU-39")+SUMIFS('Таблиця 1'!$K:$K,'Таблиця 1'!$B:$B,$A441,'Таблиця 1'!$I:$I,"F-16",'Таблиця 1'!$J:$J,"GBU-39")+SUMIFS('Таблиця 1'!$K:$K,'Таблиця 1'!$B:$B,$A441,'Таблиця 1'!$I:$I,"МіГ-29",'Таблиця 1'!$J:$J,"GBU-39")+SUMIFS('Таблиця 1'!$K:$K,'Таблиця 1'!$B:$B,$A441,'Таблиця 1'!$I:$I,"Су-25",'Таблиця 1'!$J:$J,"GBU-39")+SUMIFS('Таблиця 1'!$K:$K,'Таблиця 1'!$B:$B,$A441,'Таблиця 1'!$I:$I,"Су-27",'Таблиця 1'!$J:$J,"GBU-39"))</f>
        <v/>
      </c>
      <c r="K441">
        <f>IF($A441="","",SUMIFS('Таблиця 1'!$K:$K,'Таблиця 1'!$B:$B,$A441,'Таблиця 1'!$I:$I,"Mirage",'Таблиця 1'!$J:$J,"BLU-140")+SUMIFS('Таблиця 1'!$K:$K,'Таблиця 1'!$B:$B,$A441,'Таблиця 1'!$I:$I,"F-16",'Таблиця 1'!$J:$J,"BLU-140")+SUMIFS('Таблиця 1'!$K:$K,'Таблиця 1'!$B:$B,$A441,'Таблиця 1'!$I:$I,"МіГ-29",'Таблиця 1'!$J:$J,"BLU-140")+SUMIFS('Таблиця 1'!$K:$K,'Таблиця 1'!$B:$B,$A441,'Таблиця 1'!$I:$I,"Су-25",'Таблиця 1'!$J:$J,"BLU-140")+SUMIFS('Таблиця 1'!$K:$K,'Таблиця 1'!$B:$B,$A441,'Таблиця 1'!$I:$I,"Су-27",'Таблиця 1'!$J:$J,"BLU-140"))</f>
        <v/>
      </c>
      <c r="L441">
        <f>IF($A441="","",SUMIFS('Таблиця 1'!$K:$K,'Таблиця 1'!$B:$B,$A441,'Таблиця 1'!$I:$I,"Mirage",'Таблиця 1'!$J:$J,"GBU-65")+SUMIFS('Таблиця 1'!$K:$K,'Таблиця 1'!$B:$B,$A441,'Таблиця 1'!$I:$I,"F-16",'Таблиця 1'!$J:$J,"GBU-65")+SUMIFS('Таблиця 1'!$K:$K,'Таблиця 1'!$B:$B,$A441,'Таблиця 1'!$I:$I,"МіГ-29",'Таблиця 1'!$J:$J,"GBU-65")+SUMIFS('Таблиця 1'!$K:$K,'Таблиця 1'!$B:$B,$A441,'Таблиця 1'!$I:$I,"Су-25",'Таблиця 1'!$J:$J,"GBU-65")+SUMIFS('Таблиця 1'!$K:$K,'Таблиця 1'!$B:$B,$A441,'Таблиця 1'!$I:$I,"Су-27",'Таблиця 1'!$J:$J,"GBU-65"))</f>
        <v/>
      </c>
      <c r="M441">
        <f>IF($A441="","",SUMIFS('Таблиця 1'!$K:$K,'Таблиця 1'!$B:$B,$A441,'Таблиця 1'!$I:$I,"Mirage",'Таблиця 1'!$J:$J,"GBU-62")+SUMIFS('Таблиця 1'!$K:$K,'Таблиця 1'!$B:$B,$A441,'Таблиця 1'!$I:$I,"F-16",'Таблиця 1'!$J:$J,"GBU-62")+SUMIFS('Таблиця 1'!$K:$K,'Таблиця 1'!$B:$B,$A441,'Таблиця 1'!$I:$I,"МіГ-29",'Таблиця 1'!$J:$J,"GBU-62")+SUMIFS('Таблиця 1'!$K:$K,'Таблиця 1'!$B:$B,$A441,'Таблиця 1'!$I:$I,"Су-25",'Таблиця 1'!$J:$J,"GBU-62")+SUMIFS('Таблиця 1'!$K:$K,'Таблиця 1'!$B:$B,$A441,'Таблиця 1'!$I:$I,"Су-27",'Таблиця 1'!$J:$J,"GBU-62"))</f>
        <v/>
      </c>
      <c r="N441">
        <f>IF($A441="","",SUMIFS('Таблиця 1'!$K:$K,'Таблиця 1'!$B:$B,$A441,'Таблиця 1'!$I:$I,"Mirage",'Таблиця 1'!$J:$J,"GBU-64")+SUMIFS('Таблиця 1'!$K:$K,'Таблиця 1'!$B:$B,$A441,'Таблиця 1'!$I:$I,"F-16",'Таблиця 1'!$J:$J,"GBU-64")+SUMIFS('Таблиця 1'!$K:$K,'Таблиця 1'!$B:$B,$A441,'Таблиця 1'!$I:$I,"МіГ-29",'Таблиця 1'!$J:$J,"GBU-64")+SUMIFS('Таблиця 1'!$K:$K,'Таблиця 1'!$B:$B,$A441,'Таблиця 1'!$I:$I,"Су-25",'Таблиця 1'!$J:$J,"GBU-64")+SUMIFS('Таблиця 1'!$K:$K,'Таблиця 1'!$B:$B,$A441,'Таблиця 1'!$I:$I,"Су-27",'Таблиця 1'!$J:$J,"GBU-64"))</f>
        <v/>
      </c>
      <c r="O441">
        <f>IF($A441="","",SUMIFS('Таблиця 1'!$K:$K,'Таблиця 1'!$B:$B,$A441,'Таблиця 1'!$I:$I,"Mirage",'Таблиця 1'!$J:$J,"C-13")+SUMIFS('Таблиця 1'!$K:$K,'Таблиця 1'!$B:$B,$A441,'Таблиця 1'!$I:$I,"F-16",'Таблиця 1'!$J:$J,"C-13")+SUMIFS('Таблиця 1'!$K:$K,'Таблиця 1'!$B:$B,$A441,'Таблиця 1'!$I:$I,"МіГ-29",'Таблиця 1'!$J:$J,"C-13")+SUMIFS('Таблиця 1'!$K:$K,'Таблиця 1'!$B:$B,$A441,'Таблиця 1'!$I:$I,"Су-25",'Таблиця 1'!$J:$J,"C-13")+SUMIFS('Таблиця 1'!$K:$K,'Таблиця 1'!$B:$B,$A441,'Таблиця 1'!$I:$I,"Су-27",'Таблиця 1'!$J:$J,"C-13"))</f>
        <v/>
      </c>
      <c r="P441">
        <f>IF($A441="","",SUMIFS('Таблиця 1'!$K:$K,'Таблиця 1'!$B:$B,$A441,'Таблиця 1'!$I:$I,"Mirage",'Таблиця 1'!$J:$J,"MK-32")+SUMIFS('Таблиця 1'!$K:$K,'Таблиця 1'!$B:$B,$A441,'Таблиця 1'!$I:$I,"F-16",'Таблиця 1'!$J:$J,"MK-32")+SUMIFS('Таблиця 1'!$K:$K,'Таблиця 1'!$B:$B,$A441,'Таблиця 1'!$I:$I,"МіГ-29",'Таблиця 1'!$J:$J,"MK-32")+SUMIFS('Таблиця 1'!$K:$K,'Таблиця 1'!$B:$B,$A441,'Таблиця 1'!$I:$I,"Су-25",'Таблиця 1'!$J:$J,"MK-32")+SUMIFS('Таблиця 1'!$K:$K,'Таблиця 1'!$B:$B,$A441,'Таблиця 1'!$I:$I,"Су-27",'Таблиця 1'!$J:$J,"MK-32"))</f>
        <v/>
      </c>
      <c r="Q441">
        <f>IF($A441="","",SUMIFS('Таблиця 1'!$K:$K,'Таблиця 1'!$B:$B,$A441,'Таблиця 1'!$I:$I,"Mirage",'Таблиця 1'!$J:$J,"MK-24")+SUMIFS('Таблиця 1'!$K:$K,'Таблиця 1'!$B:$B,$A441,'Таблиця 1'!$I:$I,"F-16",'Таблиця 1'!$J:$J,"MK-24")+SUMIFS('Таблиця 1'!$K:$K,'Таблиця 1'!$B:$B,$A441,'Таблиця 1'!$I:$I,"МіГ-29",'Таблиця 1'!$J:$J,"MK-24")+SUMIFS('Таблиця 1'!$K:$K,'Таблиця 1'!$B:$B,$A441,'Таблиця 1'!$I:$I,"Су-25",'Таблиця 1'!$J:$J,"MK-24")+SUMIFS('Таблиця 1'!$K:$K,'Таблиця 1'!$B:$B,$A441,'Таблиця 1'!$I:$I,"Су-27",'Таблиця 1'!$J:$J,"MK-24"))</f>
        <v/>
      </c>
      <c r="R441">
        <f>IF($A441="","",COUNTIFS('Таблиця 1'!$B:$B,$A441,'Таблиця 1'!$I:$I,"Mirage",'Таблиця 1'!$L:$L,"Уражено")+COUNTIFS('Таблиця 1'!$B:$B,$A441,'Таблиця 1'!$I:$I,"F-16",'Таблиця 1'!$L:$L,"Уражено")+COUNTIFS('Таблиця 1'!$B:$B,$A441,'Таблиця 1'!$I:$I,"МіГ-29",'Таблиця 1'!$L:$L,"Уражено")+COUNTIFS('Таблиця 1'!$B:$B,$A441,'Таблиця 1'!$I:$I,"Су-25",'Таблиця 1'!$L:$L,"Уражено")+COUNTIFS('Таблиця 1'!$B:$B,$A441,'Таблиця 1'!$I:$I,"Су-27",'Таблиця 1'!$L:$L,"Уражено"))</f>
        <v/>
      </c>
      <c r="S441">
        <f>IF($A441="","",COUNTIFS('Таблиця 1'!$B:$B,$A441,'Таблиця 1'!$I:$I,"Mirage",'Таблиця 1'!$L:$L,"НЕ уражено")+COUNTIFS('Таблиця 1'!$B:$B,$A441,'Таблиця 1'!$I:$I,"F-16",'Таблиця 1'!$L:$L,"НЕ уражено")+COUNTIFS('Таблиця 1'!$B:$B,$A441,'Таблиця 1'!$I:$I,"МіГ-29",'Таблиця 1'!$L:$L,"НЕ уражено")+COUNTIFS('Таблиця 1'!$B:$B,$A441,'Таблиця 1'!$I:$I,"Су-25",'Таблиця 1'!$L:$L,"НЕ уражено")+COUNTIFS('Таблиця 1'!$B:$B,$A441,'Таблиця 1'!$I:$I,"Су-27",'Таблиця 1'!$L:$L,"НЕ уражено"))</f>
        <v/>
      </c>
      <c r="T441">
        <f>IF($A441="","",COUNTIFS('Таблиця 1'!$B:$B,$A441,'Таблиця 1'!$I:$I,"Mirage",'Таблиця 1'!$L:$L,"Дорозвідується")+COUNTIFS('Таблиця 1'!$B:$B,$A441,'Таблиця 1'!$I:$I,"F-16",'Таблиця 1'!$L:$L,"Дорозвідується")+COUNTIFS('Таблиця 1'!$B:$B,$A441,'Таблиця 1'!$I:$I,"МіГ-29",'Таблиця 1'!$L:$L,"Дорозвідується")+COUNTIFS('Таблиця 1'!$B:$B,$A441,'Таблиця 1'!$I:$I,"Су-25",'Таблиця 1'!$L:$L,"Дорозвідується")+COUNTIFS('Таблиця 1'!$B:$B,$A441,'Таблиця 1'!$I:$I,"Су-27",'Таблиця 1'!$L:$L,"Дорозвідується"))</f>
        <v/>
      </c>
    </row>
    <row r="442">
      <c r="A442" s="273">
        <f>IF(A441="","",IF(A441+1&gt;MAX('Таблиця 1'!$B:$B),"",A441+1))</f>
        <v/>
      </c>
      <c r="B442">
        <f>IF($A442="","",COUNTIFS('Таблиця 1'!$B:$B,$A442,'Таблиця 1'!$I:$I,"Mirage")+COUNTIFS('Таблиця 1'!$B:$B,$A442,'Таблиця 1'!$I:$I,"F-16")+COUNTIFS('Таблиця 1'!$B:$B,$A442,'Таблиця 1'!$I:$I,"МіГ-29")+COUNTIFS('Таблиця 1'!$B:$B,$A442,'Таблиця 1'!$I:$I,"Су-25")+COUNTIFS('Таблиця 1'!$B:$B,$A442,'Таблиця 1'!$I:$I,"Су-27"))</f>
        <v/>
      </c>
      <c r="C442">
        <f>IF($A442="","",COUNTIFS('Таблиця 1'!$B:$B,$A442,'Таблиця 1'!$I:$I,"Mirage"))</f>
        <v/>
      </c>
      <c r="D442">
        <f>IF($A442="","",COUNTIFS('Таблиця 1'!$B:$B,$A442,'Таблиця 1'!$I:$I,"F-16"))</f>
        <v/>
      </c>
      <c r="E442">
        <f>IF($A442="","",COUNTIFS('Таблиця 1'!$B:$B,$A442,'Таблиця 1'!$I:$I,"МіГ-29"))</f>
        <v/>
      </c>
      <c r="F442">
        <f>IF($A442="","",COUNTIFS('Таблиця 1'!$B:$B,$A442,'Таблиця 1'!$I:$I,"Су-25"))</f>
        <v/>
      </c>
      <c r="G442">
        <f>IF($A442="","",COUNTIFS('Таблиця 1'!$B:$B,$A442,'Таблиця 1'!$I:$I,"Су-27"))</f>
        <v/>
      </c>
      <c r="H442">
        <f>IF($A442="","",SUMIFS('Таблиця 1'!$K:$K,'Таблиця 1'!$B:$B,$A442,'Таблиця 1'!$I:$I,"Mirage",'Таблиця 1'!$J:$J,"AGM-88")+SUMIFS('Таблиця 1'!$K:$K,'Таблиця 1'!$B:$B,$A442,'Таблиця 1'!$I:$I,"F-16",'Таблиця 1'!$J:$J,"AGM-88")+SUMIFS('Таблиця 1'!$K:$K,'Таблиця 1'!$B:$B,$A442,'Таблиця 1'!$I:$I,"МіГ-29",'Таблиця 1'!$J:$J,"AGM-88")+SUMIFS('Таблиця 1'!$K:$K,'Таблиця 1'!$B:$B,$A442,'Таблиця 1'!$I:$I,"Су-25",'Таблиця 1'!$J:$J,"AGM-88")+SUMIFS('Таблиця 1'!$K:$K,'Таблиця 1'!$B:$B,$A442,'Таблиця 1'!$I:$I,"Су-27",'Таблиця 1'!$J:$J,"AGM-88"))</f>
        <v/>
      </c>
      <c r="I442">
        <f>IF($A442="","",SUMIFS('Таблиця 1'!$K:$K,'Таблиця 1'!$B:$B,$A442,'Таблиця 1'!$I:$I,"Mirage",'Таблиця 1'!$J:$J,"AASM-250")+SUMIFS('Таблиця 1'!$K:$K,'Таблиця 1'!$B:$B,$A442,'Таблиця 1'!$I:$I,"F-16",'Таблиця 1'!$J:$J,"AASM-250")+SUMIFS('Таблиця 1'!$K:$K,'Таблиця 1'!$B:$B,$A442,'Таблиця 1'!$I:$I,"МіГ-29",'Таблиця 1'!$J:$J,"AASM-250")+SUMIFS('Таблиця 1'!$K:$K,'Таблиця 1'!$B:$B,$A442,'Таблиця 1'!$I:$I,"Су-25",'Таблиця 1'!$J:$J,"AASM-250")+SUMIFS('Таблиця 1'!$K:$K,'Таблиця 1'!$B:$B,$A442,'Таблиця 1'!$I:$I,"Су-27",'Таблиця 1'!$J:$J,"AASM-250"))</f>
        <v/>
      </c>
      <c r="J442">
        <f>IF($A442="","",SUMIFS('Таблиця 1'!$K:$K,'Таблиця 1'!$B:$B,$A442,'Таблиця 1'!$I:$I,"Mirage",'Таблиця 1'!$J:$J,"GBU-39")+SUMIFS('Таблиця 1'!$K:$K,'Таблиця 1'!$B:$B,$A442,'Таблиця 1'!$I:$I,"F-16",'Таблиця 1'!$J:$J,"GBU-39")+SUMIFS('Таблиця 1'!$K:$K,'Таблиця 1'!$B:$B,$A442,'Таблиця 1'!$I:$I,"МіГ-29",'Таблиця 1'!$J:$J,"GBU-39")+SUMIFS('Таблиця 1'!$K:$K,'Таблиця 1'!$B:$B,$A442,'Таблиця 1'!$I:$I,"Су-25",'Таблиця 1'!$J:$J,"GBU-39")+SUMIFS('Таблиця 1'!$K:$K,'Таблиця 1'!$B:$B,$A442,'Таблиця 1'!$I:$I,"Су-27",'Таблиця 1'!$J:$J,"GBU-39"))</f>
        <v/>
      </c>
      <c r="K442">
        <f>IF($A442="","",SUMIFS('Таблиця 1'!$K:$K,'Таблиця 1'!$B:$B,$A442,'Таблиця 1'!$I:$I,"Mirage",'Таблиця 1'!$J:$J,"BLU-140")+SUMIFS('Таблиця 1'!$K:$K,'Таблиця 1'!$B:$B,$A442,'Таблиця 1'!$I:$I,"F-16",'Таблиця 1'!$J:$J,"BLU-140")+SUMIFS('Таблиця 1'!$K:$K,'Таблиця 1'!$B:$B,$A442,'Таблиця 1'!$I:$I,"МіГ-29",'Таблиця 1'!$J:$J,"BLU-140")+SUMIFS('Таблиця 1'!$K:$K,'Таблиця 1'!$B:$B,$A442,'Таблиця 1'!$I:$I,"Су-25",'Таблиця 1'!$J:$J,"BLU-140")+SUMIFS('Таблиця 1'!$K:$K,'Таблиця 1'!$B:$B,$A442,'Таблиця 1'!$I:$I,"Су-27",'Таблиця 1'!$J:$J,"BLU-140"))</f>
        <v/>
      </c>
      <c r="L442">
        <f>IF($A442="","",SUMIFS('Таблиця 1'!$K:$K,'Таблиця 1'!$B:$B,$A442,'Таблиця 1'!$I:$I,"Mirage",'Таблиця 1'!$J:$J,"GBU-65")+SUMIFS('Таблиця 1'!$K:$K,'Таблиця 1'!$B:$B,$A442,'Таблиця 1'!$I:$I,"F-16",'Таблиця 1'!$J:$J,"GBU-65")+SUMIFS('Таблиця 1'!$K:$K,'Таблиця 1'!$B:$B,$A442,'Таблиця 1'!$I:$I,"МіГ-29",'Таблиця 1'!$J:$J,"GBU-65")+SUMIFS('Таблиця 1'!$K:$K,'Таблиця 1'!$B:$B,$A442,'Таблиця 1'!$I:$I,"Су-25",'Таблиця 1'!$J:$J,"GBU-65")+SUMIFS('Таблиця 1'!$K:$K,'Таблиця 1'!$B:$B,$A442,'Таблиця 1'!$I:$I,"Су-27",'Таблиця 1'!$J:$J,"GBU-65"))</f>
        <v/>
      </c>
      <c r="M442">
        <f>IF($A442="","",SUMIFS('Таблиця 1'!$K:$K,'Таблиця 1'!$B:$B,$A442,'Таблиця 1'!$I:$I,"Mirage",'Таблиця 1'!$J:$J,"GBU-62")+SUMIFS('Таблиця 1'!$K:$K,'Таблиця 1'!$B:$B,$A442,'Таблиця 1'!$I:$I,"F-16",'Таблиця 1'!$J:$J,"GBU-62")+SUMIFS('Таблиця 1'!$K:$K,'Таблиця 1'!$B:$B,$A442,'Таблиця 1'!$I:$I,"МіГ-29",'Таблиця 1'!$J:$J,"GBU-62")+SUMIFS('Таблиця 1'!$K:$K,'Таблиця 1'!$B:$B,$A442,'Таблиця 1'!$I:$I,"Су-25",'Таблиця 1'!$J:$J,"GBU-62")+SUMIFS('Таблиця 1'!$K:$K,'Таблиця 1'!$B:$B,$A442,'Таблиця 1'!$I:$I,"Су-27",'Таблиця 1'!$J:$J,"GBU-62"))</f>
        <v/>
      </c>
      <c r="N442">
        <f>IF($A442="","",SUMIFS('Таблиця 1'!$K:$K,'Таблиця 1'!$B:$B,$A442,'Таблиця 1'!$I:$I,"Mirage",'Таблиця 1'!$J:$J,"GBU-64")+SUMIFS('Таблиця 1'!$K:$K,'Таблиця 1'!$B:$B,$A442,'Таблиця 1'!$I:$I,"F-16",'Таблиця 1'!$J:$J,"GBU-64")+SUMIFS('Таблиця 1'!$K:$K,'Таблиця 1'!$B:$B,$A442,'Таблиця 1'!$I:$I,"МіГ-29",'Таблиця 1'!$J:$J,"GBU-64")+SUMIFS('Таблиця 1'!$K:$K,'Таблиця 1'!$B:$B,$A442,'Таблиця 1'!$I:$I,"Су-25",'Таблиця 1'!$J:$J,"GBU-64")+SUMIFS('Таблиця 1'!$K:$K,'Таблиця 1'!$B:$B,$A442,'Таблиця 1'!$I:$I,"Су-27",'Таблиця 1'!$J:$J,"GBU-64"))</f>
        <v/>
      </c>
      <c r="O442">
        <f>IF($A442="","",SUMIFS('Таблиця 1'!$K:$K,'Таблиця 1'!$B:$B,$A442,'Таблиця 1'!$I:$I,"Mirage",'Таблиця 1'!$J:$J,"C-13")+SUMIFS('Таблиця 1'!$K:$K,'Таблиця 1'!$B:$B,$A442,'Таблиця 1'!$I:$I,"F-16",'Таблиця 1'!$J:$J,"C-13")+SUMIFS('Таблиця 1'!$K:$K,'Таблиця 1'!$B:$B,$A442,'Таблиця 1'!$I:$I,"МіГ-29",'Таблиця 1'!$J:$J,"C-13")+SUMIFS('Таблиця 1'!$K:$K,'Таблиця 1'!$B:$B,$A442,'Таблиця 1'!$I:$I,"Су-25",'Таблиця 1'!$J:$J,"C-13")+SUMIFS('Таблиця 1'!$K:$K,'Таблиця 1'!$B:$B,$A442,'Таблиця 1'!$I:$I,"Су-27",'Таблиця 1'!$J:$J,"C-13"))</f>
        <v/>
      </c>
      <c r="P442">
        <f>IF($A442="","",SUMIFS('Таблиця 1'!$K:$K,'Таблиця 1'!$B:$B,$A442,'Таблиця 1'!$I:$I,"Mirage",'Таблиця 1'!$J:$J,"MK-32")+SUMIFS('Таблиця 1'!$K:$K,'Таблиця 1'!$B:$B,$A442,'Таблиця 1'!$I:$I,"F-16",'Таблиця 1'!$J:$J,"MK-32")+SUMIFS('Таблиця 1'!$K:$K,'Таблиця 1'!$B:$B,$A442,'Таблиця 1'!$I:$I,"МіГ-29",'Таблиця 1'!$J:$J,"MK-32")+SUMIFS('Таблиця 1'!$K:$K,'Таблиця 1'!$B:$B,$A442,'Таблиця 1'!$I:$I,"Су-25",'Таблиця 1'!$J:$J,"MK-32")+SUMIFS('Таблиця 1'!$K:$K,'Таблиця 1'!$B:$B,$A442,'Таблиця 1'!$I:$I,"Су-27",'Таблиця 1'!$J:$J,"MK-32"))</f>
        <v/>
      </c>
      <c r="Q442">
        <f>IF($A442="","",SUMIFS('Таблиця 1'!$K:$K,'Таблиця 1'!$B:$B,$A442,'Таблиця 1'!$I:$I,"Mirage",'Таблиця 1'!$J:$J,"MK-24")+SUMIFS('Таблиця 1'!$K:$K,'Таблиця 1'!$B:$B,$A442,'Таблиця 1'!$I:$I,"F-16",'Таблиця 1'!$J:$J,"MK-24")+SUMIFS('Таблиця 1'!$K:$K,'Таблиця 1'!$B:$B,$A442,'Таблиця 1'!$I:$I,"МіГ-29",'Таблиця 1'!$J:$J,"MK-24")+SUMIFS('Таблиця 1'!$K:$K,'Таблиця 1'!$B:$B,$A442,'Таблиця 1'!$I:$I,"Су-25",'Таблиця 1'!$J:$J,"MK-24")+SUMIFS('Таблиця 1'!$K:$K,'Таблиця 1'!$B:$B,$A442,'Таблиця 1'!$I:$I,"Су-27",'Таблиця 1'!$J:$J,"MK-24"))</f>
        <v/>
      </c>
      <c r="R442">
        <f>IF($A442="","",COUNTIFS('Таблиця 1'!$B:$B,$A442,'Таблиця 1'!$I:$I,"Mirage",'Таблиця 1'!$L:$L,"Уражено")+COUNTIFS('Таблиця 1'!$B:$B,$A442,'Таблиця 1'!$I:$I,"F-16",'Таблиця 1'!$L:$L,"Уражено")+COUNTIFS('Таблиця 1'!$B:$B,$A442,'Таблиця 1'!$I:$I,"МіГ-29",'Таблиця 1'!$L:$L,"Уражено")+COUNTIFS('Таблиця 1'!$B:$B,$A442,'Таблиця 1'!$I:$I,"Су-25",'Таблиця 1'!$L:$L,"Уражено")+COUNTIFS('Таблиця 1'!$B:$B,$A442,'Таблиця 1'!$I:$I,"Су-27",'Таблиця 1'!$L:$L,"Уражено"))</f>
        <v/>
      </c>
      <c r="S442">
        <f>IF($A442="","",COUNTIFS('Таблиця 1'!$B:$B,$A442,'Таблиця 1'!$I:$I,"Mirage",'Таблиця 1'!$L:$L,"НЕ уражено")+COUNTIFS('Таблиця 1'!$B:$B,$A442,'Таблиця 1'!$I:$I,"F-16",'Таблиця 1'!$L:$L,"НЕ уражено")+COUNTIFS('Таблиця 1'!$B:$B,$A442,'Таблиця 1'!$I:$I,"МіГ-29",'Таблиця 1'!$L:$L,"НЕ уражено")+COUNTIFS('Таблиця 1'!$B:$B,$A442,'Таблиця 1'!$I:$I,"Су-25",'Таблиця 1'!$L:$L,"НЕ уражено")+COUNTIFS('Таблиця 1'!$B:$B,$A442,'Таблиця 1'!$I:$I,"Су-27",'Таблиця 1'!$L:$L,"НЕ уражено"))</f>
        <v/>
      </c>
      <c r="T442">
        <f>IF($A442="","",COUNTIFS('Таблиця 1'!$B:$B,$A442,'Таблиця 1'!$I:$I,"Mirage",'Таблиця 1'!$L:$L,"Дорозвідується")+COUNTIFS('Таблиця 1'!$B:$B,$A442,'Таблиця 1'!$I:$I,"F-16",'Таблиця 1'!$L:$L,"Дорозвідується")+COUNTIFS('Таблиця 1'!$B:$B,$A442,'Таблиця 1'!$I:$I,"МіГ-29",'Таблиця 1'!$L:$L,"Дорозвідується")+COUNTIFS('Таблиця 1'!$B:$B,$A442,'Таблиця 1'!$I:$I,"Су-25",'Таблиця 1'!$L:$L,"Дорозвідується")+COUNTIFS('Таблиця 1'!$B:$B,$A442,'Таблиця 1'!$I:$I,"Су-27",'Таблиця 1'!$L:$L,"Дорозвідується"))</f>
        <v/>
      </c>
    </row>
    <row r="443">
      <c r="A443" s="273">
        <f>IF(A442="","",IF(A442+1&gt;MAX('Таблиця 1'!$B:$B),"",A442+1))</f>
        <v/>
      </c>
      <c r="B443">
        <f>IF($A443="","",COUNTIFS('Таблиця 1'!$B:$B,$A443,'Таблиця 1'!$I:$I,"Mirage")+COUNTIFS('Таблиця 1'!$B:$B,$A443,'Таблиця 1'!$I:$I,"F-16")+COUNTIFS('Таблиця 1'!$B:$B,$A443,'Таблиця 1'!$I:$I,"МіГ-29")+COUNTIFS('Таблиця 1'!$B:$B,$A443,'Таблиця 1'!$I:$I,"Су-25")+COUNTIFS('Таблиця 1'!$B:$B,$A443,'Таблиця 1'!$I:$I,"Су-27"))</f>
        <v/>
      </c>
      <c r="C443">
        <f>IF($A443="","",COUNTIFS('Таблиця 1'!$B:$B,$A443,'Таблиця 1'!$I:$I,"Mirage"))</f>
        <v/>
      </c>
      <c r="D443">
        <f>IF($A443="","",COUNTIFS('Таблиця 1'!$B:$B,$A443,'Таблиця 1'!$I:$I,"F-16"))</f>
        <v/>
      </c>
      <c r="E443">
        <f>IF($A443="","",COUNTIFS('Таблиця 1'!$B:$B,$A443,'Таблиця 1'!$I:$I,"МіГ-29"))</f>
        <v/>
      </c>
      <c r="F443">
        <f>IF($A443="","",COUNTIFS('Таблиця 1'!$B:$B,$A443,'Таблиця 1'!$I:$I,"Су-25"))</f>
        <v/>
      </c>
      <c r="G443">
        <f>IF($A443="","",COUNTIFS('Таблиця 1'!$B:$B,$A443,'Таблиця 1'!$I:$I,"Су-27"))</f>
        <v/>
      </c>
      <c r="H443">
        <f>IF($A443="","",SUMIFS('Таблиця 1'!$K:$K,'Таблиця 1'!$B:$B,$A443,'Таблиця 1'!$I:$I,"Mirage",'Таблиця 1'!$J:$J,"AGM-88")+SUMIFS('Таблиця 1'!$K:$K,'Таблиця 1'!$B:$B,$A443,'Таблиця 1'!$I:$I,"F-16",'Таблиця 1'!$J:$J,"AGM-88")+SUMIFS('Таблиця 1'!$K:$K,'Таблиця 1'!$B:$B,$A443,'Таблиця 1'!$I:$I,"МіГ-29",'Таблиця 1'!$J:$J,"AGM-88")+SUMIFS('Таблиця 1'!$K:$K,'Таблиця 1'!$B:$B,$A443,'Таблиця 1'!$I:$I,"Су-25",'Таблиця 1'!$J:$J,"AGM-88")+SUMIFS('Таблиця 1'!$K:$K,'Таблиця 1'!$B:$B,$A443,'Таблиця 1'!$I:$I,"Су-27",'Таблиця 1'!$J:$J,"AGM-88"))</f>
        <v/>
      </c>
      <c r="I443">
        <f>IF($A443="","",SUMIFS('Таблиця 1'!$K:$K,'Таблиця 1'!$B:$B,$A443,'Таблиця 1'!$I:$I,"Mirage",'Таблиця 1'!$J:$J,"AASM-250")+SUMIFS('Таблиця 1'!$K:$K,'Таблиця 1'!$B:$B,$A443,'Таблиця 1'!$I:$I,"F-16",'Таблиця 1'!$J:$J,"AASM-250")+SUMIFS('Таблиця 1'!$K:$K,'Таблиця 1'!$B:$B,$A443,'Таблиця 1'!$I:$I,"МіГ-29",'Таблиця 1'!$J:$J,"AASM-250")+SUMIFS('Таблиця 1'!$K:$K,'Таблиця 1'!$B:$B,$A443,'Таблиця 1'!$I:$I,"Су-25",'Таблиця 1'!$J:$J,"AASM-250")+SUMIFS('Таблиця 1'!$K:$K,'Таблиця 1'!$B:$B,$A443,'Таблиця 1'!$I:$I,"Су-27",'Таблиця 1'!$J:$J,"AASM-250"))</f>
        <v/>
      </c>
      <c r="J443">
        <f>IF($A443="","",SUMIFS('Таблиця 1'!$K:$K,'Таблиця 1'!$B:$B,$A443,'Таблиця 1'!$I:$I,"Mirage",'Таблиця 1'!$J:$J,"GBU-39")+SUMIFS('Таблиця 1'!$K:$K,'Таблиця 1'!$B:$B,$A443,'Таблиця 1'!$I:$I,"F-16",'Таблиця 1'!$J:$J,"GBU-39")+SUMIFS('Таблиця 1'!$K:$K,'Таблиця 1'!$B:$B,$A443,'Таблиця 1'!$I:$I,"МіГ-29",'Таблиця 1'!$J:$J,"GBU-39")+SUMIFS('Таблиця 1'!$K:$K,'Таблиця 1'!$B:$B,$A443,'Таблиця 1'!$I:$I,"Су-25",'Таблиця 1'!$J:$J,"GBU-39")+SUMIFS('Таблиця 1'!$K:$K,'Таблиця 1'!$B:$B,$A443,'Таблиця 1'!$I:$I,"Су-27",'Таблиця 1'!$J:$J,"GBU-39"))</f>
        <v/>
      </c>
      <c r="K443">
        <f>IF($A443="","",SUMIFS('Таблиця 1'!$K:$K,'Таблиця 1'!$B:$B,$A443,'Таблиця 1'!$I:$I,"Mirage",'Таблиця 1'!$J:$J,"BLU-140")+SUMIFS('Таблиця 1'!$K:$K,'Таблиця 1'!$B:$B,$A443,'Таблиця 1'!$I:$I,"F-16",'Таблиця 1'!$J:$J,"BLU-140")+SUMIFS('Таблиця 1'!$K:$K,'Таблиця 1'!$B:$B,$A443,'Таблиця 1'!$I:$I,"МіГ-29",'Таблиця 1'!$J:$J,"BLU-140")+SUMIFS('Таблиця 1'!$K:$K,'Таблиця 1'!$B:$B,$A443,'Таблиця 1'!$I:$I,"Су-25",'Таблиця 1'!$J:$J,"BLU-140")+SUMIFS('Таблиця 1'!$K:$K,'Таблиця 1'!$B:$B,$A443,'Таблиця 1'!$I:$I,"Су-27",'Таблиця 1'!$J:$J,"BLU-140"))</f>
        <v/>
      </c>
      <c r="L443">
        <f>IF($A443="","",SUMIFS('Таблиця 1'!$K:$K,'Таблиця 1'!$B:$B,$A443,'Таблиця 1'!$I:$I,"Mirage",'Таблиця 1'!$J:$J,"GBU-65")+SUMIFS('Таблиця 1'!$K:$K,'Таблиця 1'!$B:$B,$A443,'Таблиця 1'!$I:$I,"F-16",'Таблиця 1'!$J:$J,"GBU-65")+SUMIFS('Таблиця 1'!$K:$K,'Таблиця 1'!$B:$B,$A443,'Таблиця 1'!$I:$I,"МіГ-29",'Таблиця 1'!$J:$J,"GBU-65")+SUMIFS('Таблиця 1'!$K:$K,'Таблиця 1'!$B:$B,$A443,'Таблиця 1'!$I:$I,"Су-25",'Таблиця 1'!$J:$J,"GBU-65")+SUMIFS('Таблиця 1'!$K:$K,'Таблиця 1'!$B:$B,$A443,'Таблиця 1'!$I:$I,"Су-27",'Таблиця 1'!$J:$J,"GBU-65"))</f>
        <v/>
      </c>
      <c r="M443">
        <f>IF($A443="","",SUMIFS('Таблиця 1'!$K:$K,'Таблиця 1'!$B:$B,$A443,'Таблиця 1'!$I:$I,"Mirage",'Таблиця 1'!$J:$J,"GBU-62")+SUMIFS('Таблиця 1'!$K:$K,'Таблиця 1'!$B:$B,$A443,'Таблиця 1'!$I:$I,"F-16",'Таблиця 1'!$J:$J,"GBU-62")+SUMIFS('Таблиця 1'!$K:$K,'Таблиця 1'!$B:$B,$A443,'Таблиця 1'!$I:$I,"МіГ-29",'Таблиця 1'!$J:$J,"GBU-62")+SUMIFS('Таблиця 1'!$K:$K,'Таблиця 1'!$B:$B,$A443,'Таблиця 1'!$I:$I,"Су-25",'Таблиця 1'!$J:$J,"GBU-62")+SUMIFS('Таблиця 1'!$K:$K,'Таблиця 1'!$B:$B,$A443,'Таблиця 1'!$I:$I,"Су-27",'Таблиця 1'!$J:$J,"GBU-62"))</f>
        <v/>
      </c>
      <c r="N443">
        <f>IF($A443="","",SUMIFS('Таблиця 1'!$K:$K,'Таблиця 1'!$B:$B,$A443,'Таблиця 1'!$I:$I,"Mirage",'Таблиця 1'!$J:$J,"GBU-64")+SUMIFS('Таблиця 1'!$K:$K,'Таблиця 1'!$B:$B,$A443,'Таблиця 1'!$I:$I,"F-16",'Таблиця 1'!$J:$J,"GBU-64")+SUMIFS('Таблиця 1'!$K:$K,'Таблиця 1'!$B:$B,$A443,'Таблиця 1'!$I:$I,"МіГ-29",'Таблиця 1'!$J:$J,"GBU-64")+SUMIFS('Таблиця 1'!$K:$K,'Таблиця 1'!$B:$B,$A443,'Таблиця 1'!$I:$I,"Су-25",'Таблиця 1'!$J:$J,"GBU-64")+SUMIFS('Таблиця 1'!$K:$K,'Таблиця 1'!$B:$B,$A443,'Таблиця 1'!$I:$I,"Су-27",'Таблиця 1'!$J:$J,"GBU-64"))</f>
        <v/>
      </c>
      <c r="O443">
        <f>IF($A443="","",SUMIFS('Таблиця 1'!$K:$K,'Таблиця 1'!$B:$B,$A443,'Таблиця 1'!$I:$I,"Mirage",'Таблиця 1'!$J:$J,"C-13")+SUMIFS('Таблиця 1'!$K:$K,'Таблиця 1'!$B:$B,$A443,'Таблиця 1'!$I:$I,"F-16",'Таблиця 1'!$J:$J,"C-13")+SUMIFS('Таблиця 1'!$K:$K,'Таблиця 1'!$B:$B,$A443,'Таблиця 1'!$I:$I,"МіГ-29",'Таблиця 1'!$J:$J,"C-13")+SUMIFS('Таблиця 1'!$K:$K,'Таблиця 1'!$B:$B,$A443,'Таблиця 1'!$I:$I,"Су-25",'Таблиця 1'!$J:$J,"C-13")+SUMIFS('Таблиця 1'!$K:$K,'Таблиця 1'!$B:$B,$A443,'Таблиця 1'!$I:$I,"Су-27",'Таблиця 1'!$J:$J,"C-13"))</f>
        <v/>
      </c>
      <c r="P443">
        <f>IF($A443="","",SUMIFS('Таблиця 1'!$K:$K,'Таблиця 1'!$B:$B,$A443,'Таблиця 1'!$I:$I,"Mirage",'Таблиця 1'!$J:$J,"MK-32")+SUMIFS('Таблиця 1'!$K:$K,'Таблиця 1'!$B:$B,$A443,'Таблиця 1'!$I:$I,"F-16",'Таблиця 1'!$J:$J,"MK-32")+SUMIFS('Таблиця 1'!$K:$K,'Таблиця 1'!$B:$B,$A443,'Таблиця 1'!$I:$I,"МіГ-29",'Таблиця 1'!$J:$J,"MK-32")+SUMIFS('Таблиця 1'!$K:$K,'Таблиця 1'!$B:$B,$A443,'Таблиця 1'!$I:$I,"Су-25",'Таблиця 1'!$J:$J,"MK-32")+SUMIFS('Таблиця 1'!$K:$K,'Таблиця 1'!$B:$B,$A443,'Таблиця 1'!$I:$I,"Су-27",'Таблиця 1'!$J:$J,"MK-32"))</f>
        <v/>
      </c>
      <c r="Q443">
        <f>IF($A443="","",SUMIFS('Таблиця 1'!$K:$K,'Таблиця 1'!$B:$B,$A443,'Таблиця 1'!$I:$I,"Mirage",'Таблиця 1'!$J:$J,"MK-24")+SUMIFS('Таблиця 1'!$K:$K,'Таблиця 1'!$B:$B,$A443,'Таблиця 1'!$I:$I,"F-16",'Таблиця 1'!$J:$J,"MK-24")+SUMIFS('Таблиця 1'!$K:$K,'Таблиця 1'!$B:$B,$A443,'Таблиця 1'!$I:$I,"МіГ-29",'Таблиця 1'!$J:$J,"MK-24")+SUMIFS('Таблиця 1'!$K:$K,'Таблиця 1'!$B:$B,$A443,'Таблиця 1'!$I:$I,"Су-25",'Таблиця 1'!$J:$J,"MK-24")+SUMIFS('Таблиця 1'!$K:$K,'Таблиця 1'!$B:$B,$A443,'Таблиця 1'!$I:$I,"Су-27",'Таблиця 1'!$J:$J,"MK-24"))</f>
        <v/>
      </c>
      <c r="R443">
        <f>IF($A443="","",COUNTIFS('Таблиця 1'!$B:$B,$A443,'Таблиця 1'!$I:$I,"Mirage",'Таблиця 1'!$L:$L,"Уражено")+COUNTIFS('Таблиця 1'!$B:$B,$A443,'Таблиця 1'!$I:$I,"F-16",'Таблиця 1'!$L:$L,"Уражено")+COUNTIFS('Таблиця 1'!$B:$B,$A443,'Таблиця 1'!$I:$I,"МіГ-29",'Таблиця 1'!$L:$L,"Уражено")+COUNTIFS('Таблиця 1'!$B:$B,$A443,'Таблиця 1'!$I:$I,"Су-25",'Таблиця 1'!$L:$L,"Уражено")+COUNTIFS('Таблиця 1'!$B:$B,$A443,'Таблиця 1'!$I:$I,"Су-27",'Таблиця 1'!$L:$L,"Уражено"))</f>
        <v/>
      </c>
      <c r="S443">
        <f>IF($A443="","",COUNTIFS('Таблиця 1'!$B:$B,$A443,'Таблиця 1'!$I:$I,"Mirage",'Таблиця 1'!$L:$L,"НЕ уражено")+COUNTIFS('Таблиця 1'!$B:$B,$A443,'Таблиця 1'!$I:$I,"F-16",'Таблиця 1'!$L:$L,"НЕ уражено")+COUNTIFS('Таблиця 1'!$B:$B,$A443,'Таблиця 1'!$I:$I,"МіГ-29",'Таблиця 1'!$L:$L,"НЕ уражено")+COUNTIFS('Таблиця 1'!$B:$B,$A443,'Таблиця 1'!$I:$I,"Су-25",'Таблиця 1'!$L:$L,"НЕ уражено")+COUNTIFS('Таблиця 1'!$B:$B,$A443,'Таблиця 1'!$I:$I,"Су-27",'Таблиця 1'!$L:$L,"НЕ уражено"))</f>
        <v/>
      </c>
      <c r="T443">
        <f>IF($A443="","",COUNTIFS('Таблиця 1'!$B:$B,$A443,'Таблиця 1'!$I:$I,"Mirage",'Таблиця 1'!$L:$L,"Дорозвідується")+COUNTIFS('Таблиця 1'!$B:$B,$A443,'Таблиця 1'!$I:$I,"F-16",'Таблиця 1'!$L:$L,"Дорозвідується")+COUNTIFS('Таблиця 1'!$B:$B,$A443,'Таблиця 1'!$I:$I,"МіГ-29",'Таблиця 1'!$L:$L,"Дорозвідується")+COUNTIFS('Таблиця 1'!$B:$B,$A443,'Таблиця 1'!$I:$I,"Су-25",'Таблиця 1'!$L:$L,"Дорозвідується")+COUNTIFS('Таблиця 1'!$B:$B,$A443,'Таблиця 1'!$I:$I,"Су-27",'Таблиця 1'!$L:$L,"Дорозвідується"))</f>
        <v/>
      </c>
    </row>
    <row r="444">
      <c r="A444" s="273">
        <f>IF(A443="","",IF(A443+1&gt;MAX('Таблиця 1'!$B:$B),"",A443+1))</f>
        <v/>
      </c>
      <c r="B444">
        <f>IF($A444="","",COUNTIFS('Таблиця 1'!$B:$B,$A444,'Таблиця 1'!$I:$I,"Mirage")+COUNTIFS('Таблиця 1'!$B:$B,$A444,'Таблиця 1'!$I:$I,"F-16")+COUNTIFS('Таблиця 1'!$B:$B,$A444,'Таблиця 1'!$I:$I,"МіГ-29")+COUNTIFS('Таблиця 1'!$B:$B,$A444,'Таблиця 1'!$I:$I,"Су-25")+COUNTIFS('Таблиця 1'!$B:$B,$A444,'Таблиця 1'!$I:$I,"Су-27"))</f>
        <v/>
      </c>
      <c r="C444">
        <f>IF($A444="","",COUNTIFS('Таблиця 1'!$B:$B,$A444,'Таблиця 1'!$I:$I,"Mirage"))</f>
        <v/>
      </c>
      <c r="D444">
        <f>IF($A444="","",COUNTIFS('Таблиця 1'!$B:$B,$A444,'Таблиця 1'!$I:$I,"F-16"))</f>
        <v/>
      </c>
      <c r="E444">
        <f>IF($A444="","",COUNTIFS('Таблиця 1'!$B:$B,$A444,'Таблиця 1'!$I:$I,"МіГ-29"))</f>
        <v/>
      </c>
      <c r="F444">
        <f>IF($A444="","",COUNTIFS('Таблиця 1'!$B:$B,$A444,'Таблиця 1'!$I:$I,"Су-25"))</f>
        <v/>
      </c>
      <c r="G444">
        <f>IF($A444="","",COUNTIFS('Таблиця 1'!$B:$B,$A444,'Таблиця 1'!$I:$I,"Су-27"))</f>
        <v/>
      </c>
      <c r="H444">
        <f>IF($A444="","",SUMIFS('Таблиця 1'!$K:$K,'Таблиця 1'!$B:$B,$A444,'Таблиця 1'!$I:$I,"Mirage",'Таблиця 1'!$J:$J,"AGM-88")+SUMIFS('Таблиця 1'!$K:$K,'Таблиця 1'!$B:$B,$A444,'Таблиця 1'!$I:$I,"F-16",'Таблиця 1'!$J:$J,"AGM-88")+SUMIFS('Таблиця 1'!$K:$K,'Таблиця 1'!$B:$B,$A444,'Таблиця 1'!$I:$I,"МіГ-29",'Таблиця 1'!$J:$J,"AGM-88")+SUMIFS('Таблиця 1'!$K:$K,'Таблиця 1'!$B:$B,$A444,'Таблиця 1'!$I:$I,"Су-25",'Таблиця 1'!$J:$J,"AGM-88")+SUMIFS('Таблиця 1'!$K:$K,'Таблиця 1'!$B:$B,$A444,'Таблиця 1'!$I:$I,"Су-27",'Таблиця 1'!$J:$J,"AGM-88"))</f>
        <v/>
      </c>
      <c r="I444">
        <f>IF($A444="","",SUMIFS('Таблиця 1'!$K:$K,'Таблиця 1'!$B:$B,$A444,'Таблиця 1'!$I:$I,"Mirage",'Таблиця 1'!$J:$J,"AASM-250")+SUMIFS('Таблиця 1'!$K:$K,'Таблиця 1'!$B:$B,$A444,'Таблиця 1'!$I:$I,"F-16",'Таблиця 1'!$J:$J,"AASM-250")+SUMIFS('Таблиця 1'!$K:$K,'Таблиця 1'!$B:$B,$A444,'Таблиця 1'!$I:$I,"МіГ-29",'Таблиця 1'!$J:$J,"AASM-250")+SUMIFS('Таблиця 1'!$K:$K,'Таблиця 1'!$B:$B,$A444,'Таблиця 1'!$I:$I,"Су-25",'Таблиця 1'!$J:$J,"AASM-250")+SUMIFS('Таблиця 1'!$K:$K,'Таблиця 1'!$B:$B,$A444,'Таблиця 1'!$I:$I,"Су-27",'Таблиця 1'!$J:$J,"AASM-250"))</f>
        <v/>
      </c>
      <c r="J444">
        <f>IF($A444="","",SUMIFS('Таблиця 1'!$K:$K,'Таблиця 1'!$B:$B,$A444,'Таблиця 1'!$I:$I,"Mirage",'Таблиця 1'!$J:$J,"GBU-39")+SUMIFS('Таблиця 1'!$K:$K,'Таблиця 1'!$B:$B,$A444,'Таблиця 1'!$I:$I,"F-16",'Таблиця 1'!$J:$J,"GBU-39")+SUMIFS('Таблиця 1'!$K:$K,'Таблиця 1'!$B:$B,$A444,'Таблиця 1'!$I:$I,"МіГ-29",'Таблиця 1'!$J:$J,"GBU-39")+SUMIFS('Таблиця 1'!$K:$K,'Таблиця 1'!$B:$B,$A444,'Таблиця 1'!$I:$I,"Су-25",'Таблиця 1'!$J:$J,"GBU-39")+SUMIFS('Таблиця 1'!$K:$K,'Таблиця 1'!$B:$B,$A444,'Таблиця 1'!$I:$I,"Су-27",'Таблиця 1'!$J:$J,"GBU-39"))</f>
        <v/>
      </c>
      <c r="K444">
        <f>IF($A444="","",SUMIFS('Таблиця 1'!$K:$K,'Таблиця 1'!$B:$B,$A444,'Таблиця 1'!$I:$I,"Mirage",'Таблиця 1'!$J:$J,"BLU-140")+SUMIFS('Таблиця 1'!$K:$K,'Таблиця 1'!$B:$B,$A444,'Таблиця 1'!$I:$I,"F-16",'Таблиця 1'!$J:$J,"BLU-140")+SUMIFS('Таблиця 1'!$K:$K,'Таблиця 1'!$B:$B,$A444,'Таблиця 1'!$I:$I,"МіГ-29",'Таблиця 1'!$J:$J,"BLU-140")+SUMIFS('Таблиця 1'!$K:$K,'Таблиця 1'!$B:$B,$A444,'Таблиця 1'!$I:$I,"Су-25",'Таблиця 1'!$J:$J,"BLU-140")+SUMIFS('Таблиця 1'!$K:$K,'Таблиця 1'!$B:$B,$A444,'Таблиця 1'!$I:$I,"Су-27",'Таблиця 1'!$J:$J,"BLU-140"))</f>
        <v/>
      </c>
      <c r="L444">
        <f>IF($A444="","",SUMIFS('Таблиця 1'!$K:$K,'Таблиця 1'!$B:$B,$A444,'Таблиця 1'!$I:$I,"Mirage",'Таблиця 1'!$J:$J,"GBU-65")+SUMIFS('Таблиця 1'!$K:$K,'Таблиця 1'!$B:$B,$A444,'Таблиця 1'!$I:$I,"F-16",'Таблиця 1'!$J:$J,"GBU-65")+SUMIFS('Таблиця 1'!$K:$K,'Таблиця 1'!$B:$B,$A444,'Таблиця 1'!$I:$I,"МіГ-29",'Таблиця 1'!$J:$J,"GBU-65")+SUMIFS('Таблиця 1'!$K:$K,'Таблиця 1'!$B:$B,$A444,'Таблиця 1'!$I:$I,"Су-25",'Таблиця 1'!$J:$J,"GBU-65")+SUMIFS('Таблиця 1'!$K:$K,'Таблиця 1'!$B:$B,$A444,'Таблиця 1'!$I:$I,"Су-27",'Таблиця 1'!$J:$J,"GBU-65"))</f>
        <v/>
      </c>
      <c r="M444">
        <f>IF($A444="","",SUMIFS('Таблиця 1'!$K:$K,'Таблиця 1'!$B:$B,$A444,'Таблиця 1'!$I:$I,"Mirage",'Таблиця 1'!$J:$J,"GBU-62")+SUMIFS('Таблиця 1'!$K:$K,'Таблиця 1'!$B:$B,$A444,'Таблиця 1'!$I:$I,"F-16",'Таблиця 1'!$J:$J,"GBU-62")+SUMIFS('Таблиця 1'!$K:$K,'Таблиця 1'!$B:$B,$A444,'Таблиця 1'!$I:$I,"МіГ-29",'Таблиця 1'!$J:$J,"GBU-62")+SUMIFS('Таблиця 1'!$K:$K,'Таблиця 1'!$B:$B,$A444,'Таблиця 1'!$I:$I,"Су-25",'Таблиця 1'!$J:$J,"GBU-62")+SUMIFS('Таблиця 1'!$K:$K,'Таблиця 1'!$B:$B,$A444,'Таблиця 1'!$I:$I,"Су-27",'Таблиця 1'!$J:$J,"GBU-62"))</f>
        <v/>
      </c>
      <c r="N444">
        <f>IF($A444="","",SUMIFS('Таблиця 1'!$K:$K,'Таблиця 1'!$B:$B,$A444,'Таблиця 1'!$I:$I,"Mirage",'Таблиця 1'!$J:$J,"GBU-64")+SUMIFS('Таблиця 1'!$K:$K,'Таблиця 1'!$B:$B,$A444,'Таблиця 1'!$I:$I,"F-16",'Таблиця 1'!$J:$J,"GBU-64")+SUMIFS('Таблиця 1'!$K:$K,'Таблиця 1'!$B:$B,$A444,'Таблиця 1'!$I:$I,"МіГ-29",'Таблиця 1'!$J:$J,"GBU-64")+SUMIFS('Таблиця 1'!$K:$K,'Таблиця 1'!$B:$B,$A444,'Таблиця 1'!$I:$I,"Су-25",'Таблиця 1'!$J:$J,"GBU-64")+SUMIFS('Таблиця 1'!$K:$K,'Таблиця 1'!$B:$B,$A444,'Таблиця 1'!$I:$I,"Су-27",'Таблиця 1'!$J:$J,"GBU-64"))</f>
        <v/>
      </c>
      <c r="O444">
        <f>IF($A444="","",SUMIFS('Таблиця 1'!$K:$K,'Таблиця 1'!$B:$B,$A444,'Таблиця 1'!$I:$I,"Mirage",'Таблиця 1'!$J:$J,"C-13")+SUMIFS('Таблиця 1'!$K:$K,'Таблиця 1'!$B:$B,$A444,'Таблиця 1'!$I:$I,"F-16",'Таблиця 1'!$J:$J,"C-13")+SUMIFS('Таблиця 1'!$K:$K,'Таблиця 1'!$B:$B,$A444,'Таблиця 1'!$I:$I,"МіГ-29",'Таблиця 1'!$J:$J,"C-13")+SUMIFS('Таблиця 1'!$K:$K,'Таблиця 1'!$B:$B,$A444,'Таблиця 1'!$I:$I,"Су-25",'Таблиця 1'!$J:$J,"C-13")+SUMIFS('Таблиця 1'!$K:$K,'Таблиця 1'!$B:$B,$A444,'Таблиця 1'!$I:$I,"Су-27",'Таблиця 1'!$J:$J,"C-13"))</f>
        <v/>
      </c>
      <c r="P444">
        <f>IF($A444="","",SUMIFS('Таблиця 1'!$K:$K,'Таблиця 1'!$B:$B,$A444,'Таблиця 1'!$I:$I,"Mirage",'Таблиця 1'!$J:$J,"MK-32")+SUMIFS('Таблиця 1'!$K:$K,'Таблиця 1'!$B:$B,$A444,'Таблиця 1'!$I:$I,"F-16",'Таблиця 1'!$J:$J,"MK-32")+SUMIFS('Таблиця 1'!$K:$K,'Таблиця 1'!$B:$B,$A444,'Таблиця 1'!$I:$I,"МіГ-29",'Таблиця 1'!$J:$J,"MK-32")+SUMIFS('Таблиця 1'!$K:$K,'Таблиця 1'!$B:$B,$A444,'Таблиця 1'!$I:$I,"Су-25",'Таблиця 1'!$J:$J,"MK-32")+SUMIFS('Таблиця 1'!$K:$K,'Таблиця 1'!$B:$B,$A444,'Таблиця 1'!$I:$I,"Су-27",'Таблиця 1'!$J:$J,"MK-32"))</f>
        <v/>
      </c>
      <c r="Q444">
        <f>IF($A444="","",SUMIFS('Таблиця 1'!$K:$K,'Таблиця 1'!$B:$B,$A444,'Таблиця 1'!$I:$I,"Mirage",'Таблиця 1'!$J:$J,"MK-24")+SUMIFS('Таблиця 1'!$K:$K,'Таблиця 1'!$B:$B,$A444,'Таблиця 1'!$I:$I,"F-16",'Таблиця 1'!$J:$J,"MK-24")+SUMIFS('Таблиця 1'!$K:$K,'Таблиця 1'!$B:$B,$A444,'Таблиця 1'!$I:$I,"МіГ-29",'Таблиця 1'!$J:$J,"MK-24")+SUMIFS('Таблиця 1'!$K:$K,'Таблиця 1'!$B:$B,$A444,'Таблиця 1'!$I:$I,"Су-25",'Таблиця 1'!$J:$J,"MK-24")+SUMIFS('Таблиця 1'!$K:$K,'Таблиця 1'!$B:$B,$A444,'Таблиця 1'!$I:$I,"Су-27",'Таблиця 1'!$J:$J,"MK-24"))</f>
        <v/>
      </c>
      <c r="R444">
        <f>IF($A444="","",COUNTIFS('Таблиця 1'!$B:$B,$A444,'Таблиця 1'!$I:$I,"Mirage",'Таблиця 1'!$L:$L,"Уражено")+COUNTIFS('Таблиця 1'!$B:$B,$A444,'Таблиця 1'!$I:$I,"F-16",'Таблиця 1'!$L:$L,"Уражено")+COUNTIFS('Таблиця 1'!$B:$B,$A444,'Таблиця 1'!$I:$I,"МіГ-29",'Таблиця 1'!$L:$L,"Уражено")+COUNTIFS('Таблиця 1'!$B:$B,$A444,'Таблиця 1'!$I:$I,"Су-25",'Таблиця 1'!$L:$L,"Уражено")+COUNTIFS('Таблиця 1'!$B:$B,$A444,'Таблиця 1'!$I:$I,"Су-27",'Таблиця 1'!$L:$L,"Уражено"))</f>
        <v/>
      </c>
      <c r="S444">
        <f>IF($A444="","",COUNTIFS('Таблиця 1'!$B:$B,$A444,'Таблиця 1'!$I:$I,"Mirage",'Таблиця 1'!$L:$L,"НЕ уражено")+COUNTIFS('Таблиця 1'!$B:$B,$A444,'Таблиця 1'!$I:$I,"F-16",'Таблиця 1'!$L:$L,"НЕ уражено")+COUNTIFS('Таблиця 1'!$B:$B,$A444,'Таблиця 1'!$I:$I,"МіГ-29",'Таблиця 1'!$L:$L,"НЕ уражено")+COUNTIFS('Таблиця 1'!$B:$B,$A444,'Таблиця 1'!$I:$I,"Су-25",'Таблиця 1'!$L:$L,"НЕ уражено")+COUNTIFS('Таблиця 1'!$B:$B,$A444,'Таблиця 1'!$I:$I,"Су-27",'Таблиця 1'!$L:$L,"НЕ уражено"))</f>
        <v/>
      </c>
      <c r="T444">
        <f>IF($A444="","",COUNTIFS('Таблиця 1'!$B:$B,$A444,'Таблиця 1'!$I:$I,"Mirage",'Таблиця 1'!$L:$L,"Дорозвідується")+COUNTIFS('Таблиця 1'!$B:$B,$A444,'Таблиця 1'!$I:$I,"F-16",'Таблиця 1'!$L:$L,"Дорозвідується")+COUNTIFS('Таблиця 1'!$B:$B,$A444,'Таблиця 1'!$I:$I,"МіГ-29",'Таблиця 1'!$L:$L,"Дорозвідується")+COUNTIFS('Таблиця 1'!$B:$B,$A444,'Таблиця 1'!$I:$I,"Су-25",'Таблиця 1'!$L:$L,"Дорозвідується")+COUNTIFS('Таблиця 1'!$B:$B,$A444,'Таблиця 1'!$I:$I,"Су-27",'Таблиця 1'!$L:$L,"Дорозвідується"))</f>
        <v/>
      </c>
    </row>
    <row r="445">
      <c r="A445" s="273">
        <f>IF(A444="","",IF(A444+1&gt;MAX('Таблиця 1'!$B:$B),"",A444+1))</f>
        <v/>
      </c>
      <c r="B445">
        <f>IF($A445="","",COUNTIFS('Таблиця 1'!$B:$B,$A445,'Таблиця 1'!$I:$I,"Mirage")+COUNTIFS('Таблиця 1'!$B:$B,$A445,'Таблиця 1'!$I:$I,"F-16")+COUNTIFS('Таблиця 1'!$B:$B,$A445,'Таблиця 1'!$I:$I,"МіГ-29")+COUNTIFS('Таблиця 1'!$B:$B,$A445,'Таблиця 1'!$I:$I,"Су-25")+COUNTIFS('Таблиця 1'!$B:$B,$A445,'Таблиця 1'!$I:$I,"Су-27"))</f>
        <v/>
      </c>
      <c r="C445">
        <f>IF($A445="","",COUNTIFS('Таблиця 1'!$B:$B,$A445,'Таблиця 1'!$I:$I,"Mirage"))</f>
        <v/>
      </c>
      <c r="D445">
        <f>IF($A445="","",COUNTIFS('Таблиця 1'!$B:$B,$A445,'Таблиця 1'!$I:$I,"F-16"))</f>
        <v/>
      </c>
      <c r="E445">
        <f>IF($A445="","",COUNTIFS('Таблиця 1'!$B:$B,$A445,'Таблиця 1'!$I:$I,"МіГ-29"))</f>
        <v/>
      </c>
      <c r="F445">
        <f>IF($A445="","",COUNTIFS('Таблиця 1'!$B:$B,$A445,'Таблиця 1'!$I:$I,"Су-25"))</f>
        <v/>
      </c>
      <c r="G445">
        <f>IF($A445="","",COUNTIFS('Таблиця 1'!$B:$B,$A445,'Таблиця 1'!$I:$I,"Су-27"))</f>
        <v/>
      </c>
      <c r="H445">
        <f>IF($A445="","",SUMIFS('Таблиця 1'!$K:$K,'Таблиця 1'!$B:$B,$A445,'Таблиця 1'!$I:$I,"Mirage",'Таблиця 1'!$J:$J,"AGM-88")+SUMIFS('Таблиця 1'!$K:$K,'Таблиця 1'!$B:$B,$A445,'Таблиця 1'!$I:$I,"F-16",'Таблиця 1'!$J:$J,"AGM-88")+SUMIFS('Таблиця 1'!$K:$K,'Таблиця 1'!$B:$B,$A445,'Таблиця 1'!$I:$I,"МіГ-29",'Таблиця 1'!$J:$J,"AGM-88")+SUMIFS('Таблиця 1'!$K:$K,'Таблиця 1'!$B:$B,$A445,'Таблиця 1'!$I:$I,"Су-25",'Таблиця 1'!$J:$J,"AGM-88")+SUMIFS('Таблиця 1'!$K:$K,'Таблиця 1'!$B:$B,$A445,'Таблиця 1'!$I:$I,"Су-27",'Таблиця 1'!$J:$J,"AGM-88"))</f>
        <v/>
      </c>
      <c r="I445">
        <f>IF($A445="","",SUMIFS('Таблиця 1'!$K:$K,'Таблиця 1'!$B:$B,$A445,'Таблиця 1'!$I:$I,"Mirage",'Таблиця 1'!$J:$J,"AASM-250")+SUMIFS('Таблиця 1'!$K:$K,'Таблиця 1'!$B:$B,$A445,'Таблиця 1'!$I:$I,"F-16",'Таблиця 1'!$J:$J,"AASM-250")+SUMIFS('Таблиця 1'!$K:$K,'Таблиця 1'!$B:$B,$A445,'Таблиця 1'!$I:$I,"МіГ-29",'Таблиця 1'!$J:$J,"AASM-250")+SUMIFS('Таблиця 1'!$K:$K,'Таблиця 1'!$B:$B,$A445,'Таблиця 1'!$I:$I,"Су-25",'Таблиця 1'!$J:$J,"AASM-250")+SUMIFS('Таблиця 1'!$K:$K,'Таблиця 1'!$B:$B,$A445,'Таблиця 1'!$I:$I,"Су-27",'Таблиця 1'!$J:$J,"AASM-250"))</f>
        <v/>
      </c>
      <c r="J445">
        <f>IF($A445="","",SUMIFS('Таблиця 1'!$K:$K,'Таблиця 1'!$B:$B,$A445,'Таблиця 1'!$I:$I,"Mirage",'Таблиця 1'!$J:$J,"GBU-39")+SUMIFS('Таблиця 1'!$K:$K,'Таблиця 1'!$B:$B,$A445,'Таблиця 1'!$I:$I,"F-16",'Таблиця 1'!$J:$J,"GBU-39")+SUMIFS('Таблиця 1'!$K:$K,'Таблиця 1'!$B:$B,$A445,'Таблиця 1'!$I:$I,"МіГ-29",'Таблиця 1'!$J:$J,"GBU-39")+SUMIFS('Таблиця 1'!$K:$K,'Таблиця 1'!$B:$B,$A445,'Таблиця 1'!$I:$I,"Су-25",'Таблиця 1'!$J:$J,"GBU-39")+SUMIFS('Таблиця 1'!$K:$K,'Таблиця 1'!$B:$B,$A445,'Таблиця 1'!$I:$I,"Су-27",'Таблиця 1'!$J:$J,"GBU-39"))</f>
        <v/>
      </c>
      <c r="K445">
        <f>IF($A445="","",SUMIFS('Таблиця 1'!$K:$K,'Таблиця 1'!$B:$B,$A445,'Таблиця 1'!$I:$I,"Mirage",'Таблиця 1'!$J:$J,"BLU-140")+SUMIFS('Таблиця 1'!$K:$K,'Таблиця 1'!$B:$B,$A445,'Таблиця 1'!$I:$I,"F-16",'Таблиця 1'!$J:$J,"BLU-140")+SUMIFS('Таблиця 1'!$K:$K,'Таблиця 1'!$B:$B,$A445,'Таблиця 1'!$I:$I,"МіГ-29",'Таблиця 1'!$J:$J,"BLU-140")+SUMIFS('Таблиця 1'!$K:$K,'Таблиця 1'!$B:$B,$A445,'Таблиця 1'!$I:$I,"Су-25",'Таблиця 1'!$J:$J,"BLU-140")+SUMIFS('Таблиця 1'!$K:$K,'Таблиця 1'!$B:$B,$A445,'Таблиця 1'!$I:$I,"Су-27",'Таблиця 1'!$J:$J,"BLU-140"))</f>
        <v/>
      </c>
      <c r="L445">
        <f>IF($A445="","",SUMIFS('Таблиця 1'!$K:$K,'Таблиця 1'!$B:$B,$A445,'Таблиця 1'!$I:$I,"Mirage",'Таблиця 1'!$J:$J,"GBU-65")+SUMIFS('Таблиця 1'!$K:$K,'Таблиця 1'!$B:$B,$A445,'Таблиця 1'!$I:$I,"F-16",'Таблиця 1'!$J:$J,"GBU-65")+SUMIFS('Таблиця 1'!$K:$K,'Таблиця 1'!$B:$B,$A445,'Таблиця 1'!$I:$I,"МіГ-29",'Таблиця 1'!$J:$J,"GBU-65")+SUMIFS('Таблиця 1'!$K:$K,'Таблиця 1'!$B:$B,$A445,'Таблиця 1'!$I:$I,"Су-25",'Таблиця 1'!$J:$J,"GBU-65")+SUMIFS('Таблиця 1'!$K:$K,'Таблиця 1'!$B:$B,$A445,'Таблиця 1'!$I:$I,"Су-27",'Таблиця 1'!$J:$J,"GBU-65"))</f>
        <v/>
      </c>
      <c r="M445">
        <f>IF($A445="","",SUMIFS('Таблиця 1'!$K:$K,'Таблиця 1'!$B:$B,$A445,'Таблиця 1'!$I:$I,"Mirage",'Таблиця 1'!$J:$J,"GBU-62")+SUMIFS('Таблиця 1'!$K:$K,'Таблиця 1'!$B:$B,$A445,'Таблиця 1'!$I:$I,"F-16",'Таблиця 1'!$J:$J,"GBU-62")+SUMIFS('Таблиця 1'!$K:$K,'Таблиця 1'!$B:$B,$A445,'Таблиця 1'!$I:$I,"МіГ-29",'Таблиця 1'!$J:$J,"GBU-62")+SUMIFS('Таблиця 1'!$K:$K,'Таблиця 1'!$B:$B,$A445,'Таблиця 1'!$I:$I,"Су-25",'Таблиця 1'!$J:$J,"GBU-62")+SUMIFS('Таблиця 1'!$K:$K,'Таблиця 1'!$B:$B,$A445,'Таблиця 1'!$I:$I,"Су-27",'Таблиця 1'!$J:$J,"GBU-62"))</f>
        <v/>
      </c>
      <c r="N445">
        <f>IF($A445="","",SUMIFS('Таблиця 1'!$K:$K,'Таблиця 1'!$B:$B,$A445,'Таблиця 1'!$I:$I,"Mirage",'Таблиця 1'!$J:$J,"GBU-64")+SUMIFS('Таблиця 1'!$K:$K,'Таблиця 1'!$B:$B,$A445,'Таблиця 1'!$I:$I,"F-16",'Таблиця 1'!$J:$J,"GBU-64")+SUMIFS('Таблиця 1'!$K:$K,'Таблиця 1'!$B:$B,$A445,'Таблиця 1'!$I:$I,"МіГ-29",'Таблиця 1'!$J:$J,"GBU-64")+SUMIFS('Таблиця 1'!$K:$K,'Таблиця 1'!$B:$B,$A445,'Таблиця 1'!$I:$I,"Су-25",'Таблиця 1'!$J:$J,"GBU-64")+SUMIFS('Таблиця 1'!$K:$K,'Таблиця 1'!$B:$B,$A445,'Таблиця 1'!$I:$I,"Су-27",'Таблиця 1'!$J:$J,"GBU-64"))</f>
        <v/>
      </c>
      <c r="O445">
        <f>IF($A445="","",SUMIFS('Таблиця 1'!$K:$K,'Таблиця 1'!$B:$B,$A445,'Таблиця 1'!$I:$I,"Mirage",'Таблиця 1'!$J:$J,"C-13")+SUMIFS('Таблиця 1'!$K:$K,'Таблиця 1'!$B:$B,$A445,'Таблиця 1'!$I:$I,"F-16",'Таблиця 1'!$J:$J,"C-13")+SUMIFS('Таблиця 1'!$K:$K,'Таблиця 1'!$B:$B,$A445,'Таблиця 1'!$I:$I,"МіГ-29",'Таблиця 1'!$J:$J,"C-13")+SUMIFS('Таблиця 1'!$K:$K,'Таблиця 1'!$B:$B,$A445,'Таблиця 1'!$I:$I,"Су-25",'Таблиця 1'!$J:$J,"C-13")+SUMIFS('Таблиця 1'!$K:$K,'Таблиця 1'!$B:$B,$A445,'Таблиця 1'!$I:$I,"Су-27",'Таблиця 1'!$J:$J,"C-13"))</f>
        <v/>
      </c>
      <c r="P445">
        <f>IF($A445="","",SUMIFS('Таблиця 1'!$K:$K,'Таблиця 1'!$B:$B,$A445,'Таблиця 1'!$I:$I,"Mirage",'Таблиця 1'!$J:$J,"MK-32")+SUMIFS('Таблиця 1'!$K:$K,'Таблиця 1'!$B:$B,$A445,'Таблиця 1'!$I:$I,"F-16",'Таблиця 1'!$J:$J,"MK-32")+SUMIFS('Таблиця 1'!$K:$K,'Таблиця 1'!$B:$B,$A445,'Таблиця 1'!$I:$I,"МіГ-29",'Таблиця 1'!$J:$J,"MK-32")+SUMIFS('Таблиця 1'!$K:$K,'Таблиця 1'!$B:$B,$A445,'Таблиця 1'!$I:$I,"Су-25",'Таблиця 1'!$J:$J,"MK-32")+SUMIFS('Таблиця 1'!$K:$K,'Таблиця 1'!$B:$B,$A445,'Таблиця 1'!$I:$I,"Су-27",'Таблиця 1'!$J:$J,"MK-32"))</f>
        <v/>
      </c>
      <c r="Q445">
        <f>IF($A445="","",SUMIFS('Таблиця 1'!$K:$K,'Таблиця 1'!$B:$B,$A445,'Таблиця 1'!$I:$I,"Mirage",'Таблиця 1'!$J:$J,"MK-24")+SUMIFS('Таблиця 1'!$K:$K,'Таблиця 1'!$B:$B,$A445,'Таблиця 1'!$I:$I,"F-16",'Таблиця 1'!$J:$J,"MK-24")+SUMIFS('Таблиця 1'!$K:$K,'Таблиця 1'!$B:$B,$A445,'Таблиця 1'!$I:$I,"МіГ-29",'Таблиця 1'!$J:$J,"MK-24")+SUMIFS('Таблиця 1'!$K:$K,'Таблиця 1'!$B:$B,$A445,'Таблиця 1'!$I:$I,"Су-25",'Таблиця 1'!$J:$J,"MK-24")+SUMIFS('Таблиця 1'!$K:$K,'Таблиця 1'!$B:$B,$A445,'Таблиця 1'!$I:$I,"Су-27",'Таблиця 1'!$J:$J,"MK-24"))</f>
        <v/>
      </c>
      <c r="R445">
        <f>IF($A445="","",COUNTIFS('Таблиця 1'!$B:$B,$A445,'Таблиця 1'!$I:$I,"Mirage",'Таблиця 1'!$L:$L,"Уражено")+COUNTIFS('Таблиця 1'!$B:$B,$A445,'Таблиця 1'!$I:$I,"F-16",'Таблиця 1'!$L:$L,"Уражено")+COUNTIFS('Таблиця 1'!$B:$B,$A445,'Таблиця 1'!$I:$I,"МіГ-29",'Таблиця 1'!$L:$L,"Уражено")+COUNTIFS('Таблиця 1'!$B:$B,$A445,'Таблиця 1'!$I:$I,"Су-25",'Таблиця 1'!$L:$L,"Уражено")+COUNTIFS('Таблиця 1'!$B:$B,$A445,'Таблиця 1'!$I:$I,"Су-27",'Таблиця 1'!$L:$L,"Уражено"))</f>
        <v/>
      </c>
      <c r="S445">
        <f>IF($A445="","",COUNTIFS('Таблиця 1'!$B:$B,$A445,'Таблиця 1'!$I:$I,"Mirage",'Таблиця 1'!$L:$L,"НЕ уражено")+COUNTIFS('Таблиця 1'!$B:$B,$A445,'Таблиця 1'!$I:$I,"F-16",'Таблиця 1'!$L:$L,"НЕ уражено")+COUNTIFS('Таблиця 1'!$B:$B,$A445,'Таблиця 1'!$I:$I,"МіГ-29",'Таблиця 1'!$L:$L,"НЕ уражено")+COUNTIFS('Таблиця 1'!$B:$B,$A445,'Таблиця 1'!$I:$I,"Су-25",'Таблиця 1'!$L:$L,"НЕ уражено")+COUNTIFS('Таблиця 1'!$B:$B,$A445,'Таблиця 1'!$I:$I,"Су-27",'Таблиця 1'!$L:$L,"НЕ уражено"))</f>
        <v/>
      </c>
      <c r="T445">
        <f>IF($A445="","",COUNTIFS('Таблиця 1'!$B:$B,$A445,'Таблиця 1'!$I:$I,"Mirage",'Таблиця 1'!$L:$L,"Дорозвідується")+COUNTIFS('Таблиця 1'!$B:$B,$A445,'Таблиця 1'!$I:$I,"F-16",'Таблиця 1'!$L:$L,"Дорозвідується")+COUNTIFS('Таблиця 1'!$B:$B,$A445,'Таблиця 1'!$I:$I,"МіГ-29",'Таблиця 1'!$L:$L,"Дорозвідується")+COUNTIFS('Таблиця 1'!$B:$B,$A445,'Таблиця 1'!$I:$I,"Су-25",'Таблиця 1'!$L:$L,"Дорозвідується")+COUNTIFS('Таблиця 1'!$B:$B,$A445,'Таблиця 1'!$I:$I,"Су-27",'Таблиця 1'!$L:$L,"Дорозвідується"))</f>
        <v/>
      </c>
    </row>
    <row r="446">
      <c r="A446" s="273">
        <f>IF(A445="","",IF(A445+1&gt;MAX('Таблиця 1'!$B:$B),"",A445+1))</f>
        <v/>
      </c>
      <c r="B446">
        <f>IF($A446="","",COUNTIFS('Таблиця 1'!$B:$B,$A446,'Таблиця 1'!$I:$I,"Mirage")+COUNTIFS('Таблиця 1'!$B:$B,$A446,'Таблиця 1'!$I:$I,"F-16")+COUNTIFS('Таблиця 1'!$B:$B,$A446,'Таблиця 1'!$I:$I,"МіГ-29")+COUNTIFS('Таблиця 1'!$B:$B,$A446,'Таблиця 1'!$I:$I,"Су-25")+COUNTIFS('Таблиця 1'!$B:$B,$A446,'Таблиця 1'!$I:$I,"Су-27"))</f>
        <v/>
      </c>
      <c r="C446">
        <f>IF($A446="","",COUNTIFS('Таблиця 1'!$B:$B,$A446,'Таблиця 1'!$I:$I,"Mirage"))</f>
        <v/>
      </c>
      <c r="D446">
        <f>IF($A446="","",COUNTIFS('Таблиця 1'!$B:$B,$A446,'Таблиця 1'!$I:$I,"F-16"))</f>
        <v/>
      </c>
      <c r="E446">
        <f>IF($A446="","",COUNTIFS('Таблиця 1'!$B:$B,$A446,'Таблиця 1'!$I:$I,"МіГ-29"))</f>
        <v/>
      </c>
      <c r="F446">
        <f>IF($A446="","",COUNTIFS('Таблиця 1'!$B:$B,$A446,'Таблиця 1'!$I:$I,"Су-25"))</f>
        <v/>
      </c>
      <c r="G446">
        <f>IF($A446="","",COUNTIFS('Таблиця 1'!$B:$B,$A446,'Таблиця 1'!$I:$I,"Су-27"))</f>
        <v/>
      </c>
      <c r="H446">
        <f>IF($A446="","",SUMIFS('Таблиця 1'!$K:$K,'Таблиця 1'!$B:$B,$A446,'Таблиця 1'!$I:$I,"Mirage",'Таблиця 1'!$J:$J,"AGM-88")+SUMIFS('Таблиця 1'!$K:$K,'Таблиця 1'!$B:$B,$A446,'Таблиця 1'!$I:$I,"F-16",'Таблиця 1'!$J:$J,"AGM-88")+SUMIFS('Таблиця 1'!$K:$K,'Таблиця 1'!$B:$B,$A446,'Таблиця 1'!$I:$I,"МіГ-29",'Таблиця 1'!$J:$J,"AGM-88")+SUMIFS('Таблиця 1'!$K:$K,'Таблиця 1'!$B:$B,$A446,'Таблиця 1'!$I:$I,"Су-25",'Таблиця 1'!$J:$J,"AGM-88")+SUMIFS('Таблиця 1'!$K:$K,'Таблиця 1'!$B:$B,$A446,'Таблиця 1'!$I:$I,"Су-27",'Таблиця 1'!$J:$J,"AGM-88"))</f>
        <v/>
      </c>
      <c r="I446">
        <f>IF($A446="","",SUMIFS('Таблиця 1'!$K:$K,'Таблиця 1'!$B:$B,$A446,'Таблиця 1'!$I:$I,"Mirage",'Таблиця 1'!$J:$J,"AASM-250")+SUMIFS('Таблиця 1'!$K:$K,'Таблиця 1'!$B:$B,$A446,'Таблиця 1'!$I:$I,"F-16",'Таблиця 1'!$J:$J,"AASM-250")+SUMIFS('Таблиця 1'!$K:$K,'Таблиця 1'!$B:$B,$A446,'Таблиця 1'!$I:$I,"МіГ-29",'Таблиця 1'!$J:$J,"AASM-250")+SUMIFS('Таблиця 1'!$K:$K,'Таблиця 1'!$B:$B,$A446,'Таблиця 1'!$I:$I,"Су-25",'Таблиця 1'!$J:$J,"AASM-250")+SUMIFS('Таблиця 1'!$K:$K,'Таблиця 1'!$B:$B,$A446,'Таблиця 1'!$I:$I,"Су-27",'Таблиця 1'!$J:$J,"AASM-250"))</f>
        <v/>
      </c>
      <c r="J446">
        <f>IF($A446="","",SUMIFS('Таблиця 1'!$K:$K,'Таблиця 1'!$B:$B,$A446,'Таблиця 1'!$I:$I,"Mirage",'Таблиця 1'!$J:$J,"GBU-39")+SUMIFS('Таблиця 1'!$K:$K,'Таблиця 1'!$B:$B,$A446,'Таблиця 1'!$I:$I,"F-16",'Таблиця 1'!$J:$J,"GBU-39")+SUMIFS('Таблиця 1'!$K:$K,'Таблиця 1'!$B:$B,$A446,'Таблиця 1'!$I:$I,"МіГ-29",'Таблиця 1'!$J:$J,"GBU-39")+SUMIFS('Таблиця 1'!$K:$K,'Таблиця 1'!$B:$B,$A446,'Таблиця 1'!$I:$I,"Су-25",'Таблиця 1'!$J:$J,"GBU-39")+SUMIFS('Таблиця 1'!$K:$K,'Таблиця 1'!$B:$B,$A446,'Таблиця 1'!$I:$I,"Су-27",'Таблиця 1'!$J:$J,"GBU-39"))</f>
        <v/>
      </c>
      <c r="K446">
        <f>IF($A446="","",SUMIFS('Таблиця 1'!$K:$K,'Таблиця 1'!$B:$B,$A446,'Таблиця 1'!$I:$I,"Mirage",'Таблиця 1'!$J:$J,"BLU-140")+SUMIFS('Таблиця 1'!$K:$K,'Таблиця 1'!$B:$B,$A446,'Таблиця 1'!$I:$I,"F-16",'Таблиця 1'!$J:$J,"BLU-140")+SUMIFS('Таблиця 1'!$K:$K,'Таблиця 1'!$B:$B,$A446,'Таблиця 1'!$I:$I,"МіГ-29",'Таблиця 1'!$J:$J,"BLU-140")+SUMIFS('Таблиця 1'!$K:$K,'Таблиця 1'!$B:$B,$A446,'Таблиця 1'!$I:$I,"Су-25",'Таблиця 1'!$J:$J,"BLU-140")+SUMIFS('Таблиця 1'!$K:$K,'Таблиця 1'!$B:$B,$A446,'Таблиця 1'!$I:$I,"Су-27",'Таблиця 1'!$J:$J,"BLU-140"))</f>
        <v/>
      </c>
      <c r="L446">
        <f>IF($A446="","",SUMIFS('Таблиця 1'!$K:$K,'Таблиця 1'!$B:$B,$A446,'Таблиця 1'!$I:$I,"Mirage",'Таблиця 1'!$J:$J,"GBU-65")+SUMIFS('Таблиця 1'!$K:$K,'Таблиця 1'!$B:$B,$A446,'Таблиця 1'!$I:$I,"F-16",'Таблиця 1'!$J:$J,"GBU-65")+SUMIFS('Таблиця 1'!$K:$K,'Таблиця 1'!$B:$B,$A446,'Таблиця 1'!$I:$I,"МіГ-29",'Таблиця 1'!$J:$J,"GBU-65")+SUMIFS('Таблиця 1'!$K:$K,'Таблиця 1'!$B:$B,$A446,'Таблиця 1'!$I:$I,"Су-25",'Таблиця 1'!$J:$J,"GBU-65")+SUMIFS('Таблиця 1'!$K:$K,'Таблиця 1'!$B:$B,$A446,'Таблиця 1'!$I:$I,"Су-27",'Таблиця 1'!$J:$J,"GBU-65"))</f>
        <v/>
      </c>
      <c r="M446">
        <f>IF($A446="","",SUMIFS('Таблиця 1'!$K:$K,'Таблиця 1'!$B:$B,$A446,'Таблиця 1'!$I:$I,"Mirage",'Таблиця 1'!$J:$J,"GBU-62")+SUMIFS('Таблиця 1'!$K:$K,'Таблиця 1'!$B:$B,$A446,'Таблиця 1'!$I:$I,"F-16",'Таблиця 1'!$J:$J,"GBU-62")+SUMIFS('Таблиця 1'!$K:$K,'Таблиця 1'!$B:$B,$A446,'Таблиця 1'!$I:$I,"МіГ-29",'Таблиця 1'!$J:$J,"GBU-62")+SUMIFS('Таблиця 1'!$K:$K,'Таблиця 1'!$B:$B,$A446,'Таблиця 1'!$I:$I,"Су-25",'Таблиця 1'!$J:$J,"GBU-62")+SUMIFS('Таблиця 1'!$K:$K,'Таблиця 1'!$B:$B,$A446,'Таблиця 1'!$I:$I,"Су-27",'Таблиця 1'!$J:$J,"GBU-62"))</f>
        <v/>
      </c>
      <c r="N446">
        <f>IF($A446="","",SUMIFS('Таблиця 1'!$K:$K,'Таблиця 1'!$B:$B,$A446,'Таблиця 1'!$I:$I,"Mirage",'Таблиця 1'!$J:$J,"GBU-64")+SUMIFS('Таблиця 1'!$K:$K,'Таблиця 1'!$B:$B,$A446,'Таблиця 1'!$I:$I,"F-16",'Таблиця 1'!$J:$J,"GBU-64")+SUMIFS('Таблиця 1'!$K:$K,'Таблиця 1'!$B:$B,$A446,'Таблиця 1'!$I:$I,"МіГ-29",'Таблиця 1'!$J:$J,"GBU-64")+SUMIFS('Таблиця 1'!$K:$K,'Таблиця 1'!$B:$B,$A446,'Таблиця 1'!$I:$I,"Су-25",'Таблиця 1'!$J:$J,"GBU-64")+SUMIFS('Таблиця 1'!$K:$K,'Таблиця 1'!$B:$B,$A446,'Таблиця 1'!$I:$I,"Су-27",'Таблиця 1'!$J:$J,"GBU-64"))</f>
        <v/>
      </c>
      <c r="O446">
        <f>IF($A446="","",SUMIFS('Таблиця 1'!$K:$K,'Таблиця 1'!$B:$B,$A446,'Таблиця 1'!$I:$I,"Mirage",'Таблиця 1'!$J:$J,"C-13")+SUMIFS('Таблиця 1'!$K:$K,'Таблиця 1'!$B:$B,$A446,'Таблиця 1'!$I:$I,"F-16",'Таблиця 1'!$J:$J,"C-13")+SUMIFS('Таблиця 1'!$K:$K,'Таблиця 1'!$B:$B,$A446,'Таблиця 1'!$I:$I,"МіГ-29",'Таблиця 1'!$J:$J,"C-13")+SUMIFS('Таблиця 1'!$K:$K,'Таблиця 1'!$B:$B,$A446,'Таблиця 1'!$I:$I,"Су-25",'Таблиця 1'!$J:$J,"C-13")+SUMIFS('Таблиця 1'!$K:$K,'Таблиця 1'!$B:$B,$A446,'Таблиця 1'!$I:$I,"Су-27",'Таблиця 1'!$J:$J,"C-13"))</f>
        <v/>
      </c>
      <c r="P446">
        <f>IF($A446="","",SUMIFS('Таблиця 1'!$K:$K,'Таблиця 1'!$B:$B,$A446,'Таблиця 1'!$I:$I,"Mirage",'Таблиця 1'!$J:$J,"MK-32")+SUMIFS('Таблиця 1'!$K:$K,'Таблиця 1'!$B:$B,$A446,'Таблиця 1'!$I:$I,"F-16",'Таблиця 1'!$J:$J,"MK-32")+SUMIFS('Таблиця 1'!$K:$K,'Таблиця 1'!$B:$B,$A446,'Таблиця 1'!$I:$I,"МіГ-29",'Таблиця 1'!$J:$J,"MK-32")+SUMIFS('Таблиця 1'!$K:$K,'Таблиця 1'!$B:$B,$A446,'Таблиця 1'!$I:$I,"Су-25",'Таблиця 1'!$J:$J,"MK-32")+SUMIFS('Таблиця 1'!$K:$K,'Таблиця 1'!$B:$B,$A446,'Таблиця 1'!$I:$I,"Су-27",'Таблиця 1'!$J:$J,"MK-32"))</f>
        <v/>
      </c>
      <c r="Q446">
        <f>IF($A446="","",SUMIFS('Таблиця 1'!$K:$K,'Таблиця 1'!$B:$B,$A446,'Таблиця 1'!$I:$I,"Mirage",'Таблиця 1'!$J:$J,"MK-24")+SUMIFS('Таблиця 1'!$K:$K,'Таблиця 1'!$B:$B,$A446,'Таблиця 1'!$I:$I,"F-16",'Таблиця 1'!$J:$J,"MK-24")+SUMIFS('Таблиця 1'!$K:$K,'Таблиця 1'!$B:$B,$A446,'Таблиця 1'!$I:$I,"МіГ-29",'Таблиця 1'!$J:$J,"MK-24")+SUMIFS('Таблиця 1'!$K:$K,'Таблиця 1'!$B:$B,$A446,'Таблиця 1'!$I:$I,"Су-25",'Таблиця 1'!$J:$J,"MK-24")+SUMIFS('Таблиця 1'!$K:$K,'Таблиця 1'!$B:$B,$A446,'Таблиця 1'!$I:$I,"Су-27",'Таблиця 1'!$J:$J,"MK-24"))</f>
        <v/>
      </c>
      <c r="R446">
        <f>IF($A446="","",COUNTIFS('Таблиця 1'!$B:$B,$A446,'Таблиця 1'!$I:$I,"Mirage",'Таблиця 1'!$L:$L,"Уражено")+COUNTIFS('Таблиця 1'!$B:$B,$A446,'Таблиця 1'!$I:$I,"F-16",'Таблиця 1'!$L:$L,"Уражено")+COUNTIFS('Таблиця 1'!$B:$B,$A446,'Таблиця 1'!$I:$I,"МіГ-29",'Таблиця 1'!$L:$L,"Уражено")+COUNTIFS('Таблиця 1'!$B:$B,$A446,'Таблиця 1'!$I:$I,"Су-25",'Таблиця 1'!$L:$L,"Уражено")+COUNTIFS('Таблиця 1'!$B:$B,$A446,'Таблиця 1'!$I:$I,"Су-27",'Таблиця 1'!$L:$L,"Уражено"))</f>
        <v/>
      </c>
      <c r="S446">
        <f>IF($A446="","",COUNTIFS('Таблиця 1'!$B:$B,$A446,'Таблиця 1'!$I:$I,"Mirage",'Таблиця 1'!$L:$L,"НЕ уражено")+COUNTIFS('Таблиця 1'!$B:$B,$A446,'Таблиця 1'!$I:$I,"F-16",'Таблиця 1'!$L:$L,"НЕ уражено")+COUNTIFS('Таблиця 1'!$B:$B,$A446,'Таблиця 1'!$I:$I,"МіГ-29",'Таблиця 1'!$L:$L,"НЕ уражено")+COUNTIFS('Таблиця 1'!$B:$B,$A446,'Таблиця 1'!$I:$I,"Су-25",'Таблиця 1'!$L:$L,"НЕ уражено")+COUNTIFS('Таблиця 1'!$B:$B,$A446,'Таблиця 1'!$I:$I,"Су-27",'Таблиця 1'!$L:$L,"НЕ уражено"))</f>
        <v/>
      </c>
      <c r="T446">
        <f>IF($A446="","",COUNTIFS('Таблиця 1'!$B:$B,$A446,'Таблиця 1'!$I:$I,"Mirage",'Таблиця 1'!$L:$L,"Дорозвідується")+COUNTIFS('Таблиця 1'!$B:$B,$A446,'Таблиця 1'!$I:$I,"F-16",'Таблиця 1'!$L:$L,"Дорозвідується")+COUNTIFS('Таблиця 1'!$B:$B,$A446,'Таблиця 1'!$I:$I,"МіГ-29",'Таблиця 1'!$L:$L,"Дорозвідується")+COUNTIFS('Таблиця 1'!$B:$B,$A446,'Таблиця 1'!$I:$I,"Су-25",'Таблиця 1'!$L:$L,"Дорозвідується")+COUNTIFS('Таблиця 1'!$B:$B,$A446,'Таблиця 1'!$I:$I,"Су-27",'Таблиця 1'!$L:$L,"Дорозвідується"))</f>
        <v/>
      </c>
    </row>
    <row r="447">
      <c r="A447" s="273">
        <f>IF(A446="","",IF(A446+1&gt;MAX('Таблиця 1'!$B:$B),"",A446+1))</f>
        <v/>
      </c>
      <c r="B447">
        <f>IF($A447="","",COUNTIFS('Таблиця 1'!$B:$B,$A447,'Таблиця 1'!$I:$I,"Mirage")+COUNTIFS('Таблиця 1'!$B:$B,$A447,'Таблиця 1'!$I:$I,"F-16")+COUNTIFS('Таблиця 1'!$B:$B,$A447,'Таблиця 1'!$I:$I,"МіГ-29")+COUNTIFS('Таблиця 1'!$B:$B,$A447,'Таблиця 1'!$I:$I,"Су-25")+COUNTIFS('Таблиця 1'!$B:$B,$A447,'Таблиця 1'!$I:$I,"Су-27"))</f>
        <v/>
      </c>
      <c r="C447">
        <f>IF($A447="","",COUNTIFS('Таблиця 1'!$B:$B,$A447,'Таблиця 1'!$I:$I,"Mirage"))</f>
        <v/>
      </c>
      <c r="D447">
        <f>IF($A447="","",COUNTIFS('Таблиця 1'!$B:$B,$A447,'Таблиця 1'!$I:$I,"F-16"))</f>
        <v/>
      </c>
      <c r="E447">
        <f>IF($A447="","",COUNTIFS('Таблиця 1'!$B:$B,$A447,'Таблиця 1'!$I:$I,"МіГ-29"))</f>
        <v/>
      </c>
      <c r="F447">
        <f>IF($A447="","",COUNTIFS('Таблиця 1'!$B:$B,$A447,'Таблиця 1'!$I:$I,"Су-25"))</f>
        <v/>
      </c>
      <c r="G447">
        <f>IF($A447="","",COUNTIFS('Таблиця 1'!$B:$B,$A447,'Таблиця 1'!$I:$I,"Су-27"))</f>
        <v/>
      </c>
      <c r="H447">
        <f>IF($A447="","",SUMIFS('Таблиця 1'!$K:$K,'Таблиця 1'!$B:$B,$A447,'Таблиця 1'!$I:$I,"Mirage",'Таблиця 1'!$J:$J,"AGM-88")+SUMIFS('Таблиця 1'!$K:$K,'Таблиця 1'!$B:$B,$A447,'Таблиця 1'!$I:$I,"F-16",'Таблиця 1'!$J:$J,"AGM-88")+SUMIFS('Таблиця 1'!$K:$K,'Таблиця 1'!$B:$B,$A447,'Таблиця 1'!$I:$I,"МіГ-29",'Таблиця 1'!$J:$J,"AGM-88")+SUMIFS('Таблиця 1'!$K:$K,'Таблиця 1'!$B:$B,$A447,'Таблиця 1'!$I:$I,"Су-25",'Таблиця 1'!$J:$J,"AGM-88")+SUMIFS('Таблиця 1'!$K:$K,'Таблиця 1'!$B:$B,$A447,'Таблиця 1'!$I:$I,"Су-27",'Таблиця 1'!$J:$J,"AGM-88"))</f>
        <v/>
      </c>
      <c r="I447">
        <f>IF($A447="","",SUMIFS('Таблиця 1'!$K:$K,'Таблиця 1'!$B:$B,$A447,'Таблиця 1'!$I:$I,"Mirage",'Таблиця 1'!$J:$J,"AASM-250")+SUMIFS('Таблиця 1'!$K:$K,'Таблиця 1'!$B:$B,$A447,'Таблиця 1'!$I:$I,"F-16",'Таблиця 1'!$J:$J,"AASM-250")+SUMIFS('Таблиця 1'!$K:$K,'Таблиця 1'!$B:$B,$A447,'Таблиця 1'!$I:$I,"МіГ-29",'Таблиця 1'!$J:$J,"AASM-250")+SUMIFS('Таблиця 1'!$K:$K,'Таблиця 1'!$B:$B,$A447,'Таблиця 1'!$I:$I,"Су-25",'Таблиця 1'!$J:$J,"AASM-250")+SUMIFS('Таблиця 1'!$K:$K,'Таблиця 1'!$B:$B,$A447,'Таблиця 1'!$I:$I,"Су-27",'Таблиця 1'!$J:$J,"AASM-250"))</f>
        <v/>
      </c>
      <c r="J447">
        <f>IF($A447="","",SUMIFS('Таблиця 1'!$K:$K,'Таблиця 1'!$B:$B,$A447,'Таблиця 1'!$I:$I,"Mirage",'Таблиця 1'!$J:$J,"GBU-39")+SUMIFS('Таблиця 1'!$K:$K,'Таблиця 1'!$B:$B,$A447,'Таблиця 1'!$I:$I,"F-16",'Таблиця 1'!$J:$J,"GBU-39")+SUMIFS('Таблиця 1'!$K:$K,'Таблиця 1'!$B:$B,$A447,'Таблиця 1'!$I:$I,"МіГ-29",'Таблиця 1'!$J:$J,"GBU-39")+SUMIFS('Таблиця 1'!$K:$K,'Таблиця 1'!$B:$B,$A447,'Таблиця 1'!$I:$I,"Су-25",'Таблиця 1'!$J:$J,"GBU-39")+SUMIFS('Таблиця 1'!$K:$K,'Таблиця 1'!$B:$B,$A447,'Таблиця 1'!$I:$I,"Су-27",'Таблиця 1'!$J:$J,"GBU-39"))</f>
        <v/>
      </c>
      <c r="K447">
        <f>IF($A447="","",SUMIFS('Таблиця 1'!$K:$K,'Таблиця 1'!$B:$B,$A447,'Таблиця 1'!$I:$I,"Mirage",'Таблиця 1'!$J:$J,"BLU-140")+SUMIFS('Таблиця 1'!$K:$K,'Таблиця 1'!$B:$B,$A447,'Таблиця 1'!$I:$I,"F-16",'Таблиця 1'!$J:$J,"BLU-140")+SUMIFS('Таблиця 1'!$K:$K,'Таблиця 1'!$B:$B,$A447,'Таблиця 1'!$I:$I,"МіГ-29",'Таблиця 1'!$J:$J,"BLU-140")+SUMIFS('Таблиця 1'!$K:$K,'Таблиця 1'!$B:$B,$A447,'Таблиця 1'!$I:$I,"Су-25",'Таблиця 1'!$J:$J,"BLU-140")+SUMIFS('Таблиця 1'!$K:$K,'Таблиця 1'!$B:$B,$A447,'Таблиця 1'!$I:$I,"Су-27",'Таблиця 1'!$J:$J,"BLU-140"))</f>
        <v/>
      </c>
      <c r="L447">
        <f>IF($A447="","",SUMIFS('Таблиця 1'!$K:$K,'Таблиця 1'!$B:$B,$A447,'Таблиця 1'!$I:$I,"Mirage",'Таблиця 1'!$J:$J,"GBU-65")+SUMIFS('Таблиця 1'!$K:$K,'Таблиця 1'!$B:$B,$A447,'Таблиця 1'!$I:$I,"F-16",'Таблиця 1'!$J:$J,"GBU-65")+SUMIFS('Таблиця 1'!$K:$K,'Таблиця 1'!$B:$B,$A447,'Таблиця 1'!$I:$I,"МіГ-29",'Таблиця 1'!$J:$J,"GBU-65")+SUMIFS('Таблиця 1'!$K:$K,'Таблиця 1'!$B:$B,$A447,'Таблиця 1'!$I:$I,"Су-25",'Таблиця 1'!$J:$J,"GBU-65")+SUMIFS('Таблиця 1'!$K:$K,'Таблиця 1'!$B:$B,$A447,'Таблиця 1'!$I:$I,"Су-27",'Таблиця 1'!$J:$J,"GBU-65"))</f>
        <v/>
      </c>
      <c r="M447">
        <f>IF($A447="","",SUMIFS('Таблиця 1'!$K:$K,'Таблиця 1'!$B:$B,$A447,'Таблиця 1'!$I:$I,"Mirage",'Таблиця 1'!$J:$J,"GBU-62")+SUMIFS('Таблиця 1'!$K:$K,'Таблиця 1'!$B:$B,$A447,'Таблиця 1'!$I:$I,"F-16",'Таблиця 1'!$J:$J,"GBU-62")+SUMIFS('Таблиця 1'!$K:$K,'Таблиця 1'!$B:$B,$A447,'Таблиця 1'!$I:$I,"МіГ-29",'Таблиця 1'!$J:$J,"GBU-62")+SUMIFS('Таблиця 1'!$K:$K,'Таблиця 1'!$B:$B,$A447,'Таблиця 1'!$I:$I,"Су-25",'Таблиця 1'!$J:$J,"GBU-62")+SUMIFS('Таблиця 1'!$K:$K,'Таблиця 1'!$B:$B,$A447,'Таблиця 1'!$I:$I,"Су-27",'Таблиця 1'!$J:$J,"GBU-62"))</f>
        <v/>
      </c>
      <c r="N447">
        <f>IF($A447="","",SUMIFS('Таблиця 1'!$K:$K,'Таблиця 1'!$B:$B,$A447,'Таблиця 1'!$I:$I,"Mirage",'Таблиця 1'!$J:$J,"GBU-64")+SUMIFS('Таблиця 1'!$K:$K,'Таблиця 1'!$B:$B,$A447,'Таблиця 1'!$I:$I,"F-16",'Таблиця 1'!$J:$J,"GBU-64")+SUMIFS('Таблиця 1'!$K:$K,'Таблиця 1'!$B:$B,$A447,'Таблиця 1'!$I:$I,"МіГ-29",'Таблиця 1'!$J:$J,"GBU-64")+SUMIFS('Таблиця 1'!$K:$K,'Таблиця 1'!$B:$B,$A447,'Таблиця 1'!$I:$I,"Су-25",'Таблиця 1'!$J:$J,"GBU-64")+SUMIFS('Таблиця 1'!$K:$K,'Таблиця 1'!$B:$B,$A447,'Таблиця 1'!$I:$I,"Су-27",'Таблиця 1'!$J:$J,"GBU-64"))</f>
        <v/>
      </c>
      <c r="O447">
        <f>IF($A447="","",SUMIFS('Таблиця 1'!$K:$K,'Таблиця 1'!$B:$B,$A447,'Таблиця 1'!$I:$I,"Mirage",'Таблиця 1'!$J:$J,"C-13")+SUMIFS('Таблиця 1'!$K:$K,'Таблиця 1'!$B:$B,$A447,'Таблиця 1'!$I:$I,"F-16",'Таблиця 1'!$J:$J,"C-13")+SUMIFS('Таблиця 1'!$K:$K,'Таблиця 1'!$B:$B,$A447,'Таблиця 1'!$I:$I,"МіГ-29",'Таблиця 1'!$J:$J,"C-13")+SUMIFS('Таблиця 1'!$K:$K,'Таблиця 1'!$B:$B,$A447,'Таблиця 1'!$I:$I,"Су-25",'Таблиця 1'!$J:$J,"C-13")+SUMIFS('Таблиця 1'!$K:$K,'Таблиця 1'!$B:$B,$A447,'Таблиця 1'!$I:$I,"Су-27",'Таблиця 1'!$J:$J,"C-13"))</f>
        <v/>
      </c>
      <c r="P447">
        <f>IF($A447="","",SUMIFS('Таблиця 1'!$K:$K,'Таблиця 1'!$B:$B,$A447,'Таблиця 1'!$I:$I,"Mirage",'Таблиця 1'!$J:$J,"MK-32")+SUMIFS('Таблиця 1'!$K:$K,'Таблиця 1'!$B:$B,$A447,'Таблиця 1'!$I:$I,"F-16",'Таблиця 1'!$J:$J,"MK-32")+SUMIFS('Таблиця 1'!$K:$K,'Таблиця 1'!$B:$B,$A447,'Таблиця 1'!$I:$I,"МіГ-29",'Таблиця 1'!$J:$J,"MK-32")+SUMIFS('Таблиця 1'!$K:$K,'Таблиця 1'!$B:$B,$A447,'Таблиця 1'!$I:$I,"Су-25",'Таблиця 1'!$J:$J,"MK-32")+SUMIFS('Таблиця 1'!$K:$K,'Таблиця 1'!$B:$B,$A447,'Таблиця 1'!$I:$I,"Су-27",'Таблиця 1'!$J:$J,"MK-32"))</f>
        <v/>
      </c>
      <c r="Q447">
        <f>IF($A447="","",SUMIFS('Таблиця 1'!$K:$K,'Таблиця 1'!$B:$B,$A447,'Таблиця 1'!$I:$I,"Mirage",'Таблиця 1'!$J:$J,"MK-24")+SUMIFS('Таблиця 1'!$K:$K,'Таблиця 1'!$B:$B,$A447,'Таблиця 1'!$I:$I,"F-16",'Таблиця 1'!$J:$J,"MK-24")+SUMIFS('Таблиця 1'!$K:$K,'Таблиця 1'!$B:$B,$A447,'Таблиця 1'!$I:$I,"МіГ-29",'Таблиця 1'!$J:$J,"MK-24")+SUMIFS('Таблиця 1'!$K:$K,'Таблиця 1'!$B:$B,$A447,'Таблиця 1'!$I:$I,"Су-25",'Таблиця 1'!$J:$J,"MK-24")+SUMIFS('Таблиця 1'!$K:$K,'Таблиця 1'!$B:$B,$A447,'Таблиця 1'!$I:$I,"Су-27",'Таблиця 1'!$J:$J,"MK-24"))</f>
        <v/>
      </c>
      <c r="R447">
        <f>IF($A447="","",COUNTIFS('Таблиця 1'!$B:$B,$A447,'Таблиця 1'!$I:$I,"Mirage",'Таблиця 1'!$L:$L,"Уражено")+COUNTIFS('Таблиця 1'!$B:$B,$A447,'Таблиця 1'!$I:$I,"F-16",'Таблиця 1'!$L:$L,"Уражено")+COUNTIFS('Таблиця 1'!$B:$B,$A447,'Таблиця 1'!$I:$I,"МіГ-29",'Таблиця 1'!$L:$L,"Уражено")+COUNTIFS('Таблиця 1'!$B:$B,$A447,'Таблиця 1'!$I:$I,"Су-25",'Таблиця 1'!$L:$L,"Уражено")+COUNTIFS('Таблиця 1'!$B:$B,$A447,'Таблиця 1'!$I:$I,"Су-27",'Таблиця 1'!$L:$L,"Уражено"))</f>
        <v/>
      </c>
      <c r="S447">
        <f>IF($A447="","",COUNTIFS('Таблиця 1'!$B:$B,$A447,'Таблиця 1'!$I:$I,"Mirage",'Таблиця 1'!$L:$L,"НЕ уражено")+COUNTIFS('Таблиця 1'!$B:$B,$A447,'Таблиця 1'!$I:$I,"F-16",'Таблиця 1'!$L:$L,"НЕ уражено")+COUNTIFS('Таблиця 1'!$B:$B,$A447,'Таблиця 1'!$I:$I,"МіГ-29",'Таблиця 1'!$L:$L,"НЕ уражено")+COUNTIFS('Таблиця 1'!$B:$B,$A447,'Таблиця 1'!$I:$I,"Су-25",'Таблиця 1'!$L:$L,"НЕ уражено")+COUNTIFS('Таблиця 1'!$B:$B,$A447,'Таблиця 1'!$I:$I,"Су-27",'Таблиця 1'!$L:$L,"НЕ уражено"))</f>
        <v/>
      </c>
      <c r="T447">
        <f>IF($A447="","",COUNTIFS('Таблиця 1'!$B:$B,$A447,'Таблиця 1'!$I:$I,"Mirage",'Таблиця 1'!$L:$L,"Дорозвідується")+COUNTIFS('Таблиця 1'!$B:$B,$A447,'Таблиця 1'!$I:$I,"F-16",'Таблиця 1'!$L:$L,"Дорозвідується")+COUNTIFS('Таблиця 1'!$B:$B,$A447,'Таблиця 1'!$I:$I,"МіГ-29",'Таблиця 1'!$L:$L,"Дорозвідується")+COUNTIFS('Таблиця 1'!$B:$B,$A447,'Таблиця 1'!$I:$I,"Су-25",'Таблиця 1'!$L:$L,"Дорозвідується")+COUNTIFS('Таблиця 1'!$B:$B,$A447,'Таблиця 1'!$I:$I,"Су-27",'Таблиця 1'!$L:$L,"Дорозвідується"))</f>
        <v/>
      </c>
    </row>
    <row r="448">
      <c r="A448" s="273">
        <f>IF(A447="","",IF(A447+1&gt;MAX('Таблиця 1'!$B:$B),"",A447+1))</f>
        <v/>
      </c>
      <c r="B448">
        <f>IF($A448="","",COUNTIFS('Таблиця 1'!$B:$B,$A448,'Таблиця 1'!$I:$I,"Mirage")+COUNTIFS('Таблиця 1'!$B:$B,$A448,'Таблиця 1'!$I:$I,"F-16")+COUNTIFS('Таблиця 1'!$B:$B,$A448,'Таблиця 1'!$I:$I,"МіГ-29")+COUNTIFS('Таблиця 1'!$B:$B,$A448,'Таблиця 1'!$I:$I,"Су-25")+COUNTIFS('Таблиця 1'!$B:$B,$A448,'Таблиця 1'!$I:$I,"Су-27"))</f>
        <v/>
      </c>
      <c r="C448">
        <f>IF($A448="","",COUNTIFS('Таблиця 1'!$B:$B,$A448,'Таблиця 1'!$I:$I,"Mirage"))</f>
        <v/>
      </c>
      <c r="D448">
        <f>IF($A448="","",COUNTIFS('Таблиця 1'!$B:$B,$A448,'Таблиця 1'!$I:$I,"F-16"))</f>
        <v/>
      </c>
      <c r="E448">
        <f>IF($A448="","",COUNTIFS('Таблиця 1'!$B:$B,$A448,'Таблиця 1'!$I:$I,"МіГ-29"))</f>
        <v/>
      </c>
      <c r="F448">
        <f>IF($A448="","",COUNTIFS('Таблиця 1'!$B:$B,$A448,'Таблиця 1'!$I:$I,"Су-25"))</f>
        <v/>
      </c>
      <c r="G448">
        <f>IF($A448="","",COUNTIFS('Таблиця 1'!$B:$B,$A448,'Таблиця 1'!$I:$I,"Су-27"))</f>
        <v/>
      </c>
      <c r="H448">
        <f>IF($A448="","",SUMIFS('Таблиця 1'!$K:$K,'Таблиця 1'!$B:$B,$A448,'Таблиця 1'!$I:$I,"Mirage",'Таблиця 1'!$J:$J,"AGM-88")+SUMIFS('Таблиця 1'!$K:$K,'Таблиця 1'!$B:$B,$A448,'Таблиця 1'!$I:$I,"F-16",'Таблиця 1'!$J:$J,"AGM-88")+SUMIFS('Таблиця 1'!$K:$K,'Таблиця 1'!$B:$B,$A448,'Таблиця 1'!$I:$I,"МіГ-29",'Таблиця 1'!$J:$J,"AGM-88")+SUMIFS('Таблиця 1'!$K:$K,'Таблиця 1'!$B:$B,$A448,'Таблиця 1'!$I:$I,"Су-25",'Таблиця 1'!$J:$J,"AGM-88")+SUMIFS('Таблиця 1'!$K:$K,'Таблиця 1'!$B:$B,$A448,'Таблиця 1'!$I:$I,"Су-27",'Таблиця 1'!$J:$J,"AGM-88"))</f>
        <v/>
      </c>
      <c r="I448">
        <f>IF($A448="","",SUMIFS('Таблиця 1'!$K:$K,'Таблиця 1'!$B:$B,$A448,'Таблиця 1'!$I:$I,"Mirage",'Таблиця 1'!$J:$J,"AASM-250")+SUMIFS('Таблиця 1'!$K:$K,'Таблиця 1'!$B:$B,$A448,'Таблиця 1'!$I:$I,"F-16",'Таблиця 1'!$J:$J,"AASM-250")+SUMIFS('Таблиця 1'!$K:$K,'Таблиця 1'!$B:$B,$A448,'Таблиця 1'!$I:$I,"МіГ-29",'Таблиця 1'!$J:$J,"AASM-250")+SUMIFS('Таблиця 1'!$K:$K,'Таблиця 1'!$B:$B,$A448,'Таблиця 1'!$I:$I,"Су-25",'Таблиця 1'!$J:$J,"AASM-250")+SUMIFS('Таблиця 1'!$K:$K,'Таблиця 1'!$B:$B,$A448,'Таблиця 1'!$I:$I,"Су-27",'Таблиця 1'!$J:$J,"AASM-250"))</f>
        <v/>
      </c>
      <c r="J448">
        <f>IF($A448="","",SUMIFS('Таблиця 1'!$K:$K,'Таблиця 1'!$B:$B,$A448,'Таблиця 1'!$I:$I,"Mirage",'Таблиця 1'!$J:$J,"GBU-39")+SUMIFS('Таблиця 1'!$K:$K,'Таблиця 1'!$B:$B,$A448,'Таблиця 1'!$I:$I,"F-16",'Таблиця 1'!$J:$J,"GBU-39")+SUMIFS('Таблиця 1'!$K:$K,'Таблиця 1'!$B:$B,$A448,'Таблиця 1'!$I:$I,"МіГ-29",'Таблиця 1'!$J:$J,"GBU-39")+SUMIFS('Таблиця 1'!$K:$K,'Таблиця 1'!$B:$B,$A448,'Таблиця 1'!$I:$I,"Су-25",'Таблиця 1'!$J:$J,"GBU-39")+SUMIFS('Таблиця 1'!$K:$K,'Таблиця 1'!$B:$B,$A448,'Таблиця 1'!$I:$I,"Су-27",'Таблиця 1'!$J:$J,"GBU-39"))</f>
        <v/>
      </c>
      <c r="K448">
        <f>IF($A448="","",SUMIFS('Таблиця 1'!$K:$K,'Таблиця 1'!$B:$B,$A448,'Таблиця 1'!$I:$I,"Mirage",'Таблиця 1'!$J:$J,"BLU-140")+SUMIFS('Таблиця 1'!$K:$K,'Таблиця 1'!$B:$B,$A448,'Таблиця 1'!$I:$I,"F-16",'Таблиця 1'!$J:$J,"BLU-140")+SUMIFS('Таблиця 1'!$K:$K,'Таблиця 1'!$B:$B,$A448,'Таблиця 1'!$I:$I,"МіГ-29",'Таблиця 1'!$J:$J,"BLU-140")+SUMIFS('Таблиця 1'!$K:$K,'Таблиця 1'!$B:$B,$A448,'Таблиця 1'!$I:$I,"Су-25",'Таблиця 1'!$J:$J,"BLU-140")+SUMIFS('Таблиця 1'!$K:$K,'Таблиця 1'!$B:$B,$A448,'Таблиця 1'!$I:$I,"Су-27",'Таблиця 1'!$J:$J,"BLU-140"))</f>
        <v/>
      </c>
      <c r="L448">
        <f>IF($A448="","",SUMIFS('Таблиця 1'!$K:$K,'Таблиця 1'!$B:$B,$A448,'Таблиця 1'!$I:$I,"Mirage",'Таблиця 1'!$J:$J,"GBU-65")+SUMIFS('Таблиця 1'!$K:$K,'Таблиця 1'!$B:$B,$A448,'Таблиця 1'!$I:$I,"F-16",'Таблиця 1'!$J:$J,"GBU-65")+SUMIFS('Таблиця 1'!$K:$K,'Таблиця 1'!$B:$B,$A448,'Таблиця 1'!$I:$I,"МіГ-29",'Таблиця 1'!$J:$J,"GBU-65")+SUMIFS('Таблиця 1'!$K:$K,'Таблиця 1'!$B:$B,$A448,'Таблиця 1'!$I:$I,"Су-25",'Таблиця 1'!$J:$J,"GBU-65")+SUMIFS('Таблиця 1'!$K:$K,'Таблиця 1'!$B:$B,$A448,'Таблиця 1'!$I:$I,"Су-27",'Таблиця 1'!$J:$J,"GBU-65"))</f>
        <v/>
      </c>
      <c r="M448">
        <f>IF($A448="","",SUMIFS('Таблиця 1'!$K:$K,'Таблиця 1'!$B:$B,$A448,'Таблиця 1'!$I:$I,"Mirage",'Таблиця 1'!$J:$J,"GBU-62")+SUMIFS('Таблиця 1'!$K:$K,'Таблиця 1'!$B:$B,$A448,'Таблиця 1'!$I:$I,"F-16",'Таблиця 1'!$J:$J,"GBU-62")+SUMIFS('Таблиця 1'!$K:$K,'Таблиця 1'!$B:$B,$A448,'Таблиця 1'!$I:$I,"МіГ-29",'Таблиця 1'!$J:$J,"GBU-62")+SUMIFS('Таблиця 1'!$K:$K,'Таблиця 1'!$B:$B,$A448,'Таблиця 1'!$I:$I,"Су-25",'Таблиця 1'!$J:$J,"GBU-62")+SUMIFS('Таблиця 1'!$K:$K,'Таблиця 1'!$B:$B,$A448,'Таблиця 1'!$I:$I,"Су-27",'Таблиця 1'!$J:$J,"GBU-62"))</f>
        <v/>
      </c>
      <c r="N448">
        <f>IF($A448="","",SUMIFS('Таблиця 1'!$K:$K,'Таблиця 1'!$B:$B,$A448,'Таблиця 1'!$I:$I,"Mirage",'Таблиця 1'!$J:$J,"GBU-64")+SUMIFS('Таблиця 1'!$K:$K,'Таблиця 1'!$B:$B,$A448,'Таблиця 1'!$I:$I,"F-16",'Таблиця 1'!$J:$J,"GBU-64")+SUMIFS('Таблиця 1'!$K:$K,'Таблиця 1'!$B:$B,$A448,'Таблиця 1'!$I:$I,"МіГ-29",'Таблиця 1'!$J:$J,"GBU-64")+SUMIFS('Таблиця 1'!$K:$K,'Таблиця 1'!$B:$B,$A448,'Таблиця 1'!$I:$I,"Су-25",'Таблиця 1'!$J:$J,"GBU-64")+SUMIFS('Таблиця 1'!$K:$K,'Таблиця 1'!$B:$B,$A448,'Таблиця 1'!$I:$I,"Су-27",'Таблиця 1'!$J:$J,"GBU-64"))</f>
        <v/>
      </c>
      <c r="O448">
        <f>IF($A448="","",SUMIFS('Таблиця 1'!$K:$K,'Таблиця 1'!$B:$B,$A448,'Таблиця 1'!$I:$I,"Mirage",'Таблиця 1'!$J:$J,"C-13")+SUMIFS('Таблиця 1'!$K:$K,'Таблиця 1'!$B:$B,$A448,'Таблиця 1'!$I:$I,"F-16",'Таблиця 1'!$J:$J,"C-13")+SUMIFS('Таблиця 1'!$K:$K,'Таблиця 1'!$B:$B,$A448,'Таблиця 1'!$I:$I,"МіГ-29",'Таблиця 1'!$J:$J,"C-13")+SUMIFS('Таблиця 1'!$K:$K,'Таблиця 1'!$B:$B,$A448,'Таблиця 1'!$I:$I,"Су-25",'Таблиця 1'!$J:$J,"C-13")+SUMIFS('Таблиця 1'!$K:$K,'Таблиця 1'!$B:$B,$A448,'Таблиця 1'!$I:$I,"Су-27",'Таблиця 1'!$J:$J,"C-13"))</f>
        <v/>
      </c>
      <c r="P448">
        <f>IF($A448="","",SUMIFS('Таблиця 1'!$K:$K,'Таблиця 1'!$B:$B,$A448,'Таблиця 1'!$I:$I,"Mirage",'Таблиця 1'!$J:$J,"MK-32")+SUMIFS('Таблиця 1'!$K:$K,'Таблиця 1'!$B:$B,$A448,'Таблиця 1'!$I:$I,"F-16",'Таблиця 1'!$J:$J,"MK-32")+SUMIFS('Таблиця 1'!$K:$K,'Таблиця 1'!$B:$B,$A448,'Таблиця 1'!$I:$I,"МіГ-29",'Таблиця 1'!$J:$J,"MK-32")+SUMIFS('Таблиця 1'!$K:$K,'Таблиця 1'!$B:$B,$A448,'Таблиця 1'!$I:$I,"Су-25",'Таблиця 1'!$J:$J,"MK-32")+SUMIFS('Таблиця 1'!$K:$K,'Таблиця 1'!$B:$B,$A448,'Таблиця 1'!$I:$I,"Су-27",'Таблиця 1'!$J:$J,"MK-32"))</f>
        <v/>
      </c>
      <c r="Q448">
        <f>IF($A448="","",SUMIFS('Таблиця 1'!$K:$K,'Таблиця 1'!$B:$B,$A448,'Таблиця 1'!$I:$I,"Mirage",'Таблиця 1'!$J:$J,"MK-24")+SUMIFS('Таблиця 1'!$K:$K,'Таблиця 1'!$B:$B,$A448,'Таблиця 1'!$I:$I,"F-16",'Таблиця 1'!$J:$J,"MK-24")+SUMIFS('Таблиця 1'!$K:$K,'Таблиця 1'!$B:$B,$A448,'Таблиця 1'!$I:$I,"МіГ-29",'Таблиця 1'!$J:$J,"MK-24")+SUMIFS('Таблиця 1'!$K:$K,'Таблиця 1'!$B:$B,$A448,'Таблиця 1'!$I:$I,"Су-25",'Таблиця 1'!$J:$J,"MK-24")+SUMIFS('Таблиця 1'!$K:$K,'Таблиця 1'!$B:$B,$A448,'Таблиця 1'!$I:$I,"Су-27",'Таблиця 1'!$J:$J,"MK-24"))</f>
        <v/>
      </c>
      <c r="R448">
        <f>IF($A448="","",COUNTIFS('Таблиця 1'!$B:$B,$A448,'Таблиця 1'!$I:$I,"Mirage",'Таблиця 1'!$L:$L,"Уражено")+COUNTIFS('Таблиця 1'!$B:$B,$A448,'Таблиця 1'!$I:$I,"F-16",'Таблиця 1'!$L:$L,"Уражено")+COUNTIFS('Таблиця 1'!$B:$B,$A448,'Таблиця 1'!$I:$I,"МіГ-29",'Таблиця 1'!$L:$L,"Уражено")+COUNTIFS('Таблиця 1'!$B:$B,$A448,'Таблиця 1'!$I:$I,"Су-25",'Таблиця 1'!$L:$L,"Уражено")+COUNTIFS('Таблиця 1'!$B:$B,$A448,'Таблиця 1'!$I:$I,"Су-27",'Таблиця 1'!$L:$L,"Уражено"))</f>
        <v/>
      </c>
      <c r="S448">
        <f>IF($A448="","",COUNTIFS('Таблиця 1'!$B:$B,$A448,'Таблиця 1'!$I:$I,"Mirage",'Таблиця 1'!$L:$L,"НЕ уражено")+COUNTIFS('Таблиця 1'!$B:$B,$A448,'Таблиця 1'!$I:$I,"F-16",'Таблиця 1'!$L:$L,"НЕ уражено")+COUNTIFS('Таблиця 1'!$B:$B,$A448,'Таблиця 1'!$I:$I,"МіГ-29",'Таблиця 1'!$L:$L,"НЕ уражено")+COUNTIFS('Таблиця 1'!$B:$B,$A448,'Таблиця 1'!$I:$I,"Су-25",'Таблиця 1'!$L:$L,"НЕ уражено")+COUNTIFS('Таблиця 1'!$B:$B,$A448,'Таблиця 1'!$I:$I,"Су-27",'Таблиця 1'!$L:$L,"НЕ уражено"))</f>
        <v/>
      </c>
      <c r="T448">
        <f>IF($A448="","",COUNTIFS('Таблиця 1'!$B:$B,$A448,'Таблиця 1'!$I:$I,"Mirage",'Таблиця 1'!$L:$L,"Дорозвідується")+COUNTIFS('Таблиця 1'!$B:$B,$A448,'Таблиця 1'!$I:$I,"F-16",'Таблиця 1'!$L:$L,"Дорозвідується")+COUNTIFS('Таблиця 1'!$B:$B,$A448,'Таблиця 1'!$I:$I,"МіГ-29",'Таблиця 1'!$L:$L,"Дорозвідується")+COUNTIFS('Таблиця 1'!$B:$B,$A448,'Таблиця 1'!$I:$I,"Су-25",'Таблиця 1'!$L:$L,"Дорозвідується")+COUNTIFS('Таблиця 1'!$B:$B,$A448,'Таблиця 1'!$I:$I,"Су-27",'Таблиця 1'!$L:$L,"Дорозвідується"))</f>
        <v/>
      </c>
    </row>
    <row r="449">
      <c r="A449" s="273">
        <f>IF(A448="","",IF(A448+1&gt;MAX('Таблиця 1'!$B:$B),"",A448+1))</f>
        <v/>
      </c>
      <c r="B449">
        <f>IF($A449="","",COUNTIFS('Таблиця 1'!$B:$B,$A449,'Таблиця 1'!$I:$I,"Mirage")+COUNTIFS('Таблиця 1'!$B:$B,$A449,'Таблиця 1'!$I:$I,"F-16")+COUNTIFS('Таблиця 1'!$B:$B,$A449,'Таблиця 1'!$I:$I,"МіГ-29")+COUNTIFS('Таблиця 1'!$B:$B,$A449,'Таблиця 1'!$I:$I,"Су-25")+COUNTIFS('Таблиця 1'!$B:$B,$A449,'Таблиця 1'!$I:$I,"Су-27"))</f>
        <v/>
      </c>
      <c r="C449">
        <f>IF($A449="","",COUNTIFS('Таблиця 1'!$B:$B,$A449,'Таблиця 1'!$I:$I,"Mirage"))</f>
        <v/>
      </c>
      <c r="D449">
        <f>IF($A449="","",COUNTIFS('Таблиця 1'!$B:$B,$A449,'Таблиця 1'!$I:$I,"F-16"))</f>
        <v/>
      </c>
      <c r="E449">
        <f>IF($A449="","",COUNTIFS('Таблиця 1'!$B:$B,$A449,'Таблиця 1'!$I:$I,"МіГ-29"))</f>
        <v/>
      </c>
      <c r="F449">
        <f>IF($A449="","",COUNTIFS('Таблиця 1'!$B:$B,$A449,'Таблиця 1'!$I:$I,"Су-25"))</f>
        <v/>
      </c>
      <c r="G449">
        <f>IF($A449="","",COUNTIFS('Таблиця 1'!$B:$B,$A449,'Таблиця 1'!$I:$I,"Су-27"))</f>
        <v/>
      </c>
      <c r="H449">
        <f>IF($A449="","",SUMIFS('Таблиця 1'!$K:$K,'Таблиця 1'!$B:$B,$A449,'Таблиця 1'!$I:$I,"Mirage",'Таблиця 1'!$J:$J,"AGM-88")+SUMIFS('Таблиця 1'!$K:$K,'Таблиця 1'!$B:$B,$A449,'Таблиця 1'!$I:$I,"F-16",'Таблиця 1'!$J:$J,"AGM-88")+SUMIFS('Таблиця 1'!$K:$K,'Таблиця 1'!$B:$B,$A449,'Таблиця 1'!$I:$I,"МіГ-29",'Таблиця 1'!$J:$J,"AGM-88")+SUMIFS('Таблиця 1'!$K:$K,'Таблиця 1'!$B:$B,$A449,'Таблиця 1'!$I:$I,"Су-25",'Таблиця 1'!$J:$J,"AGM-88")+SUMIFS('Таблиця 1'!$K:$K,'Таблиця 1'!$B:$B,$A449,'Таблиця 1'!$I:$I,"Су-27",'Таблиця 1'!$J:$J,"AGM-88"))</f>
        <v/>
      </c>
      <c r="I449">
        <f>IF($A449="","",SUMIFS('Таблиця 1'!$K:$K,'Таблиця 1'!$B:$B,$A449,'Таблиця 1'!$I:$I,"Mirage",'Таблиця 1'!$J:$J,"AASM-250")+SUMIFS('Таблиця 1'!$K:$K,'Таблиця 1'!$B:$B,$A449,'Таблиця 1'!$I:$I,"F-16",'Таблиця 1'!$J:$J,"AASM-250")+SUMIFS('Таблиця 1'!$K:$K,'Таблиця 1'!$B:$B,$A449,'Таблиця 1'!$I:$I,"МіГ-29",'Таблиця 1'!$J:$J,"AASM-250")+SUMIFS('Таблиця 1'!$K:$K,'Таблиця 1'!$B:$B,$A449,'Таблиця 1'!$I:$I,"Су-25",'Таблиця 1'!$J:$J,"AASM-250")+SUMIFS('Таблиця 1'!$K:$K,'Таблиця 1'!$B:$B,$A449,'Таблиця 1'!$I:$I,"Су-27",'Таблиця 1'!$J:$J,"AASM-250"))</f>
        <v/>
      </c>
      <c r="J449">
        <f>IF($A449="","",SUMIFS('Таблиця 1'!$K:$K,'Таблиця 1'!$B:$B,$A449,'Таблиця 1'!$I:$I,"Mirage",'Таблиця 1'!$J:$J,"GBU-39")+SUMIFS('Таблиця 1'!$K:$K,'Таблиця 1'!$B:$B,$A449,'Таблиця 1'!$I:$I,"F-16",'Таблиця 1'!$J:$J,"GBU-39")+SUMIFS('Таблиця 1'!$K:$K,'Таблиця 1'!$B:$B,$A449,'Таблиця 1'!$I:$I,"МіГ-29",'Таблиця 1'!$J:$J,"GBU-39")+SUMIFS('Таблиця 1'!$K:$K,'Таблиця 1'!$B:$B,$A449,'Таблиця 1'!$I:$I,"Су-25",'Таблиця 1'!$J:$J,"GBU-39")+SUMIFS('Таблиця 1'!$K:$K,'Таблиця 1'!$B:$B,$A449,'Таблиця 1'!$I:$I,"Су-27",'Таблиця 1'!$J:$J,"GBU-39"))</f>
        <v/>
      </c>
      <c r="K449">
        <f>IF($A449="","",SUMIFS('Таблиця 1'!$K:$K,'Таблиця 1'!$B:$B,$A449,'Таблиця 1'!$I:$I,"Mirage",'Таблиця 1'!$J:$J,"BLU-140")+SUMIFS('Таблиця 1'!$K:$K,'Таблиця 1'!$B:$B,$A449,'Таблиця 1'!$I:$I,"F-16",'Таблиця 1'!$J:$J,"BLU-140")+SUMIFS('Таблиця 1'!$K:$K,'Таблиця 1'!$B:$B,$A449,'Таблиця 1'!$I:$I,"МіГ-29",'Таблиця 1'!$J:$J,"BLU-140")+SUMIFS('Таблиця 1'!$K:$K,'Таблиця 1'!$B:$B,$A449,'Таблиця 1'!$I:$I,"Су-25",'Таблиця 1'!$J:$J,"BLU-140")+SUMIFS('Таблиця 1'!$K:$K,'Таблиця 1'!$B:$B,$A449,'Таблиця 1'!$I:$I,"Су-27",'Таблиця 1'!$J:$J,"BLU-140"))</f>
        <v/>
      </c>
      <c r="L449">
        <f>IF($A449="","",SUMIFS('Таблиця 1'!$K:$K,'Таблиця 1'!$B:$B,$A449,'Таблиця 1'!$I:$I,"Mirage",'Таблиця 1'!$J:$J,"GBU-65")+SUMIFS('Таблиця 1'!$K:$K,'Таблиця 1'!$B:$B,$A449,'Таблиця 1'!$I:$I,"F-16",'Таблиця 1'!$J:$J,"GBU-65")+SUMIFS('Таблиця 1'!$K:$K,'Таблиця 1'!$B:$B,$A449,'Таблиця 1'!$I:$I,"МіГ-29",'Таблиця 1'!$J:$J,"GBU-65")+SUMIFS('Таблиця 1'!$K:$K,'Таблиця 1'!$B:$B,$A449,'Таблиця 1'!$I:$I,"Су-25",'Таблиця 1'!$J:$J,"GBU-65")+SUMIFS('Таблиця 1'!$K:$K,'Таблиця 1'!$B:$B,$A449,'Таблиця 1'!$I:$I,"Су-27",'Таблиця 1'!$J:$J,"GBU-65"))</f>
        <v/>
      </c>
      <c r="M449">
        <f>IF($A449="","",SUMIFS('Таблиця 1'!$K:$K,'Таблиця 1'!$B:$B,$A449,'Таблиця 1'!$I:$I,"Mirage",'Таблиця 1'!$J:$J,"GBU-62")+SUMIFS('Таблиця 1'!$K:$K,'Таблиця 1'!$B:$B,$A449,'Таблиця 1'!$I:$I,"F-16",'Таблиця 1'!$J:$J,"GBU-62")+SUMIFS('Таблиця 1'!$K:$K,'Таблиця 1'!$B:$B,$A449,'Таблиця 1'!$I:$I,"МіГ-29",'Таблиця 1'!$J:$J,"GBU-62")+SUMIFS('Таблиця 1'!$K:$K,'Таблиця 1'!$B:$B,$A449,'Таблиця 1'!$I:$I,"Су-25",'Таблиця 1'!$J:$J,"GBU-62")+SUMIFS('Таблиця 1'!$K:$K,'Таблиця 1'!$B:$B,$A449,'Таблиця 1'!$I:$I,"Су-27",'Таблиця 1'!$J:$J,"GBU-62"))</f>
        <v/>
      </c>
      <c r="N449">
        <f>IF($A449="","",SUMIFS('Таблиця 1'!$K:$K,'Таблиця 1'!$B:$B,$A449,'Таблиця 1'!$I:$I,"Mirage",'Таблиця 1'!$J:$J,"GBU-64")+SUMIFS('Таблиця 1'!$K:$K,'Таблиця 1'!$B:$B,$A449,'Таблиця 1'!$I:$I,"F-16",'Таблиця 1'!$J:$J,"GBU-64")+SUMIFS('Таблиця 1'!$K:$K,'Таблиця 1'!$B:$B,$A449,'Таблиця 1'!$I:$I,"МіГ-29",'Таблиця 1'!$J:$J,"GBU-64")+SUMIFS('Таблиця 1'!$K:$K,'Таблиця 1'!$B:$B,$A449,'Таблиця 1'!$I:$I,"Су-25",'Таблиця 1'!$J:$J,"GBU-64")+SUMIFS('Таблиця 1'!$K:$K,'Таблиця 1'!$B:$B,$A449,'Таблиця 1'!$I:$I,"Су-27",'Таблиця 1'!$J:$J,"GBU-64"))</f>
        <v/>
      </c>
      <c r="O449">
        <f>IF($A449="","",SUMIFS('Таблиця 1'!$K:$K,'Таблиця 1'!$B:$B,$A449,'Таблиця 1'!$I:$I,"Mirage",'Таблиця 1'!$J:$J,"C-13")+SUMIFS('Таблиця 1'!$K:$K,'Таблиця 1'!$B:$B,$A449,'Таблиця 1'!$I:$I,"F-16",'Таблиця 1'!$J:$J,"C-13")+SUMIFS('Таблиця 1'!$K:$K,'Таблиця 1'!$B:$B,$A449,'Таблиця 1'!$I:$I,"МіГ-29",'Таблиця 1'!$J:$J,"C-13")+SUMIFS('Таблиця 1'!$K:$K,'Таблиця 1'!$B:$B,$A449,'Таблиця 1'!$I:$I,"Су-25",'Таблиця 1'!$J:$J,"C-13")+SUMIFS('Таблиця 1'!$K:$K,'Таблиця 1'!$B:$B,$A449,'Таблиця 1'!$I:$I,"Су-27",'Таблиця 1'!$J:$J,"C-13"))</f>
        <v/>
      </c>
      <c r="P449">
        <f>IF($A449="","",SUMIFS('Таблиця 1'!$K:$K,'Таблиця 1'!$B:$B,$A449,'Таблиця 1'!$I:$I,"Mirage",'Таблиця 1'!$J:$J,"MK-32")+SUMIFS('Таблиця 1'!$K:$K,'Таблиця 1'!$B:$B,$A449,'Таблиця 1'!$I:$I,"F-16",'Таблиця 1'!$J:$J,"MK-32")+SUMIFS('Таблиця 1'!$K:$K,'Таблиця 1'!$B:$B,$A449,'Таблиця 1'!$I:$I,"МіГ-29",'Таблиця 1'!$J:$J,"MK-32")+SUMIFS('Таблиця 1'!$K:$K,'Таблиця 1'!$B:$B,$A449,'Таблиця 1'!$I:$I,"Су-25",'Таблиця 1'!$J:$J,"MK-32")+SUMIFS('Таблиця 1'!$K:$K,'Таблиця 1'!$B:$B,$A449,'Таблиця 1'!$I:$I,"Су-27",'Таблиця 1'!$J:$J,"MK-32"))</f>
        <v/>
      </c>
      <c r="Q449">
        <f>IF($A449="","",SUMIFS('Таблиця 1'!$K:$K,'Таблиця 1'!$B:$B,$A449,'Таблиця 1'!$I:$I,"Mirage",'Таблиця 1'!$J:$J,"MK-24")+SUMIFS('Таблиця 1'!$K:$K,'Таблиця 1'!$B:$B,$A449,'Таблиця 1'!$I:$I,"F-16",'Таблиця 1'!$J:$J,"MK-24")+SUMIFS('Таблиця 1'!$K:$K,'Таблиця 1'!$B:$B,$A449,'Таблиця 1'!$I:$I,"МіГ-29",'Таблиця 1'!$J:$J,"MK-24")+SUMIFS('Таблиця 1'!$K:$K,'Таблиця 1'!$B:$B,$A449,'Таблиця 1'!$I:$I,"Су-25",'Таблиця 1'!$J:$J,"MK-24")+SUMIFS('Таблиця 1'!$K:$K,'Таблиця 1'!$B:$B,$A449,'Таблиця 1'!$I:$I,"Су-27",'Таблиця 1'!$J:$J,"MK-24"))</f>
        <v/>
      </c>
      <c r="R449">
        <f>IF($A449="","",COUNTIFS('Таблиця 1'!$B:$B,$A449,'Таблиця 1'!$I:$I,"Mirage",'Таблиця 1'!$L:$L,"Уражено")+COUNTIFS('Таблиця 1'!$B:$B,$A449,'Таблиця 1'!$I:$I,"F-16",'Таблиця 1'!$L:$L,"Уражено")+COUNTIFS('Таблиця 1'!$B:$B,$A449,'Таблиця 1'!$I:$I,"МіГ-29",'Таблиця 1'!$L:$L,"Уражено")+COUNTIFS('Таблиця 1'!$B:$B,$A449,'Таблиця 1'!$I:$I,"Су-25",'Таблиця 1'!$L:$L,"Уражено")+COUNTIFS('Таблиця 1'!$B:$B,$A449,'Таблиця 1'!$I:$I,"Су-27",'Таблиця 1'!$L:$L,"Уражено"))</f>
        <v/>
      </c>
      <c r="S449">
        <f>IF($A449="","",COUNTIFS('Таблиця 1'!$B:$B,$A449,'Таблиця 1'!$I:$I,"Mirage",'Таблиця 1'!$L:$L,"НЕ уражено")+COUNTIFS('Таблиця 1'!$B:$B,$A449,'Таблиця 1'!$I:$I,"F-16",'Таблиця 1'!$L:$L,"НЕ уражено")+COUNTIFS('Таблиця 1'!$B:$B,$A449,'Таблиця 1'!$I:$I,"МіГ-29",'Таблиця 1'!$L:$L,"НЕ уражено")+COUNTIFS('Таблиця 1'!$B:$B,$A449,'Таблиця 1'!$I:$I,"Су-25",'Таблиця 1'!$L:$L,"НЕ уражено")+COUNTIFS('Таблиця 1'!$B:$B,$A449,'Таблиця 1'!$I:$I,"Су-27",'Таблиця 1'!$L:$L,"НЕ уражено"))</f>
        <v/>
      </c>
      <c r="T449">
        <f>IF($A449="","",COUNTIFS('Таблиця 1'!$B:$B,$A449,'Таблиця 1'!$I:$I,"Mirage",'Таблиця 1'!$L:$L,"Дорозвідується")+COUNTIFS('Таблиця 1'!$B:$B,$A449,'Таблиця 1'!$I:$I,"F-16",'Таблиця 1'!$L:$L,"Дорозвідується")+COUNTIFS('Таблиця 1'!$B:$B,$A449,'Таблиця 1'!$I:$I,"МіГ-29",'Таблиця 1'!$L:$L,"Дорозвідується")+COUNTIFS('Таблиця 1'!$B:$B,$A449,'Таблиця 1'!$I:$I,"Су-25",'Таблиця 1'!$L:$L,"Дорозвідується")+COUNTIFS('Таблиця 1'!$B:$B,$A449,'Таблиця 1'!$I:$I,"Су-27",'Таблиця 1'!$L:$L,"Дорозвідується"))</f>
        <v/>
      </c>
    </row>
    <row r="450">
      <c r="A450" s="273">
        <f>IF(A449="","",IF(A449+1&gt;MAX('Таблиця 1'!$B:$B),"",A449+1))</f>
        <v/>
      </c>
      <c r="B450">
        <f>IF($A450="","",COUNTIFS('Таблиця 1'!$B:$B,$A450,'Таблиця 1'!$I:$I,"Mirage")+COUNTIFS('Таблиця 1'!$B:$B,$A450,'Таблиця 1'!$I:$I,"F-16")+COUNTIFS('Таблиця 1'!$B:$B,$A450,'Таблиця 1'!$I:$I,"МіГ-29")+COUNTIFS('Таблиця 1'!$B:$B,$A450,'Таблиця 1'!$I:$I,"Су-25")+COUNTIFS('Таблиця 1'!$B:$B,$A450,'Таблиця 1'!$I:$I,"Су-27"))</f>
        <v/>
      </c>
      <c r="C450">
        <f>IF($A450="","",COUNTIFS('Таблиця 1'!$B:$B,$A450,'Таблиця 1'!$I:$I,"Mirage"))</f>
        <v/>
      </c>
      <c r="D450">
        <f>IF($A450="","",COUNTIFS('Таблиця 1'!$B:$B,$A450,'Таблиця 1'!$I:$I,"F-16"))</f>
        <v/>
      </c>
      <c r="E450">
        <f>IF($A450="","",COUNTIFS('Таблиця 1'!$B:$B,$A450,'Таблиця 1'!$I:$I,"МіГ-29"))</f>
        <v/>
      </c>
      <c r="F450">
        <f>IF($A450="","",COUNTIFS('Таблиця 1'!$B:$B,$A450,'Таблиця 1'!$I:$I,"Су-25"))</f>
        <v/>
      </c>
      <c r="G450">
        <f>IF($A450="","",COUNTIFS('Таблиця 1'!$B:$B,$A450,'Таблиця 1'!$I:$I,"Су-27"))</f>
        <v/>
      </c>
      <c r="H450">
        <f>IF($A450="","",SUMIFS('Таблиця 1'!$K:$K,'Таблиця 1'!$B:$B,$A450,'Таблиця 1'!$I:$I,"Mirage",'Таблиця 1'!$J:$J,"AGM-88")+SUMIFS('Таблиця 1'!$K:$K,'Таблиця 1'!$B:$B,$A450,'Таблиця 1'!$I:$I,"F-16",'Таблиця 1'!$J:$J,"AGM-88")+SUMIFS('Таблиця 1'!$K:$K,'Таблиця 1'!$B:$B,$A450,'Таблиця 1'!$I:$I,"МіГ-29",'Таблиця 1'!$J:$J,"AGM-88")+SUMIFS('Таблиця 1'!$K:$K,'Таблиця 1'!$B:$B,$A450,'Таблиця 1'!$I:$I,"Су-25",'Таблиця 1'!$J:$J,"AGM-88")+SUMIFS('Таблиця 1'!$K:$K,'Таблиця 1'!$B:$B,$A450,'Таблиця 1'!$I:$I,"Су-27",'Таблиця 1'!$J:$J,"AGM-88"))</f>
        <v/>
      </c>
      <c r="I450">
        <f>IF($A450="","",SUMIFS('Таблиця 1'!$K:$K,'Таблиця 1'!$B:$B,$A450,'Таблиця 1'!$I:$I,"Mirage",'Таблиця 1'!$J:$J,"AASM-250")+SUMIFS('Таблиця 1'!$K:$K,'Таблиця 1'!$B:$B,$A450,'Таблиця 1'!$I:$I,"F-16",'Таблиця 1'!$J:$J,"AASM-250")+SUMIFS('Таблиця 1'!$K:$K,'Таблиця 1'!$B:$B,$A450,'Таблиця 1'!$I:$I,"МіГ-29",'Таблиця 1'!$J:$J,"AASM-250")+SUMIFS('Таблиця 1'!$K:$K,'Таблиця 1'!$B:$B,$A450,'Таблиця 1'!$I:$I,"Су-25",'Таблиця 1'!$J:$J,"AASM-250")+SUMIFS('Таблиця 1'!$K:$K,'Таблиця 1'!$B:$B,$A450,'Таблиця 1'!$I:$I,"Су-27",'Таблиця 1'!$J:$J,"AASM-250"))</f>
        <v/>
      </c>
      <c r="J450">
        <f>IF($A450="","",SUMIFS('Таблиця 1'!$K:$K,'Таблиця 1'!$B:$B,$A450,'Таблиця 1'!$I:$I,"Mirage",'Таблиця 1'!$J:$J,"GBU-39")+SUMIFS('Таблиця 1'!$K:$K,'Таблиця 1'!$B:$B,$A450,'Таблиця 1'!$I:$I,"F-16",'Таблиця 1'!$J:$J,"GBU-39")+SUMIFS('Таблиця 1'!$K:$K,'Таблиця 1'!$B:$B,$A450,'Таблиця 1'!$I:$I,"МіГ-29",'Таблиця 1'!$J:$J,"GBU-39")+SUMIFS('Таблиця 1'!$K:$K,'Таблиця 1'!$B:$B,$A450,'Таблиця 1'!$I:$I,"Су-25",'Таблиця 1'!$J:$J,"GBU-39")+SUMIFS('Таблиця 1'!$K:$K,'Таблиця 1'!$B:$B,$A450,'Таблиця 1'!$I:$I,"Су-27",'Таблиця 1'!$J:$J,"GBU-39"))</f>
        <v/>
      </c>
      <c r="K450">
        <f>IF($A450="","",SUMIFS('Таблиця 1'!$K:$K,'Таблиця 1'!$B:$B,$A450,'Таблиця 1'!$I:$I,"Mirage",'Таблиця 1'!$J:$J,"BLU-140")+SUMIFS('Таблиця 1'!$K:$K,'Таблиця 1'!$B:$B,$A450,'Таблиця 1'!$I:$I,"F-16",'Таблиця 1'!$J:$J,"BLU-140")+SUMIFS('Таблиця 1'!$K:$K,'Таблиця 1'!$B:$B,$A450,'Таблиця 1'!$I:$I,"МіГ-29",'Таблиця 1'!$J:$J,"BLU-140")+SUMIFS('Таблиця 1'!$K:$K,'Таблиця 1'!$B:$B,$A450,'Таблиця 1'!$I:$I,"Су-25",'Таблиця 1'!$J:$J,"BLU-140")+SUMIFS('Таблиця 1'!$K:$K,'Таблиця 1'!$B:$B,$A450,'Таблиця 1'!$I:$I,"Су-27",'Таблиця 1'!$J:$J,"BLU-140"))</f>
        <v/>
      </c>
      <c r="L450">
        <f>IF($A450="","",SUMIFS('Таблиця 1'!$K:$K,'Таблиця 1'!$B:$B,$A450,'Таблиця 1'!$I:$I,"Mirage",'Таблиця 1'!$J:$J,"GBU-65")+SUMIFS('Таблиця 1'!$K:$K,'Таблиця 1'!$B:$B,$A450,'Таблиця 1'!$I:$I,"F-16",'Таблиця 1'!$J:$J,"GBU-65")+SUMIFS('Таблиця 1'!$K:$K,'Таблиця 1'!$B:$B,$A450,'Таблиця 1'!$I:$I,"МіГ-29",'Таблиця 1'!$J:$J,"GBU-65")+SUMIFS('Таблиця 1'!$K:$K,'Таблиця 1'!$B:$B,$A450,'Таблиця 1'!$I:$I,"Су-25",'Таблиця 1'!$J:$J,"GBU-65")+SUMIFS('Таблиця 1'!$K:$K,'Таблиця 1'!$B:$B,$A450,'Таблиця 1'!$I:$I,"Су-27",'Таблиця 1'!$J:$J,"GBU-65"))</f>
        <v/>
      </c>
      <c r="M450">
        <f>IF($A450="","",SUMIFS('Таблиця 1'!$K:$K,'Таблиця 1'!$B:$B,$A450,'Таблиця 1'!$I:$I,"Mirage",'Таблиця 1'!$J:$J,"GBU-62")+SUMIFS('Таблиця 1'!$K:$K,'Таблиця 1'!$B:$B,$A450,'Таблиця 1'!$I:$I,"F-16",'Таблиця 1'!$J:$J,"GBU-62")+SUMIFS('Таблиця 1'!$K:$K,'Таблиця 1'!$B:$B,$A450,'Таблиця 1'!$I:$I,"МіГ-29",'Таблиця 1'!$J:$J,"GBU-62")+SUMIFS('Таблиця 1'!$K:$K,'Таблиця 1'!$B:$B,$A450,'Таблиця 1'!$I:$I,"Су-25",'Таблиця 1'!$J:$J,"GBU-62")+SUMIFS('Таблиця 1'!$K:$K,'Таблиця 1'!$B:$B,$A450,'Таблиця 1'!$I:$I,"Су-27",'Таблиця 1'!$J:$J,"GBU-62"))</f>
        <v/>
      </c>
      <c r="N450">
        <f>IF($A450="","",SUMIFS('Таблиця 1'!$K:$K,'Таблиця 1'!$B:$B,$A450,'Таблиця 1'!$I:$I,"Mirage",'Таблиця 1'!$J:$J,"GBU-64")+SUMIFS('Таблиця 1'!$K:$K,'Таблиця 1'!$B:$B,$A450,'Таблиця 1'!$I:$I,"F-16",'Таблиця 1'!$J:$J,"GBU-64")+SUMIFS('Таблиця 1'!$K:$K,'Таблиця 1'!$B:$B,$A450,'Таблиця 1'!$I:$I,"МіГ-29",'Таблиця 1'!$J:$J,"GBU-64")+SUMIFS('Таблиця 1'!$K:$K,'Таблиця 1'!$B:$B,$A450,'Таблиця 1'!$I:$I,"Су-25",'Таблиця 1'!$J:$J,"GBU-64")+SUMIFS('Таблиця 1'!$K:$K,'Таблиця 1'!$B:$B,$A450,'Таблиця 1'!$I:$I,"Су-27",'Таблиця 1'!$J:$J,"GBU-64"))</f>
        <v/>
      </c>
      <c r="O450">
        <f>IF($A450="","",SUMIFS('Таблиця 1'!$K:$K,'Таблиця 1'!$B:$B,$A450,'Таблиця 1'!$I:$I,"Mirage",'Таблиця 1'!$J:$J,"C-13")+SUMIFS('Таблиця 1'!$K:$K,'Таблиця 1'!$B:$B,$A450,'Таблиця 1'!$I:$I,"F-16",'Таблиця 1'!$J:$J,"C-13")+SUMIFS('Таблиця 1'!$K:$K,'Таблиця 1'!$B:$B,$A450,'Таблиця 1'!$I:$I,"МіГ-29",'Таблиця 1'!$J:$J,"C-13")+SUMIFS('Таблиця 1'!$K:$K,'Таблиця 1'!$B:$B,$A450,'Таблиця 1'!$I:$I,"Су-25",'Таблиця 1'!$J:$J,"C-13")+SUMIFS('Таблиця 1'!$K:$K,'Таблиця 1'!$B:$B,$A450,'Таблиця 1'!$I:$I,"Су-27",'Таблиця 1'!$J:$J,"C-13"))</f>
        <v/>
      </c>
      <c r="P450">
        <f>IF($A450="","",SUMIFS('Таблиця 1'!$K:$K,'Таблиця 1'!$B:$B,$A450,'Таблиця 1'!$I:$I,"Mirage",'Таблиця 1'!$J:$J,"MK-32")+SUMIFS('Таблиця 1'!$K:$K,'Таблиця 1'!$B:$B,$A450,'Таблиця 1'!$I:$I,"F-16",'Таблиця 1'!$J:$J,"MK-32")+SUMIFS('Таблиця 1'!$K:$K,'Таблиця 1'!$B:$B,$A450,'Таблиця 1'!$I:$I,"МіГ-29",'Таблиця 1'!$J:$J,"MK-32")+SUMIFS('Таблиця 1'!$K:$K,'Таблиця 1'!$B:$B,$A450,'Таблиця 1'!$I:$I,"Су-25",'Таблиця 1'!$J:$J,"MK-32")+SUMIFS('Таблиця 1'!$K:$K,'Таблиця 1'!$B:$B,$A450,'Таблиця 1'!$I:$I,"Су-27",'Таблиця 1'!$J:$J,"MK-32"))</f>
        <v/>
      </c>
      <c r="Q450">
        <f>IF($A450="","",SUMIFS('Таблиця 1'!$K:$K,'Таблиця 1'!$B:$B,$A450,'Таблиця 1'!$I:$I,"Mirage",'Таблиця 1'!$J:$J,"MK-24")+SUMIFS('Таблиця 1'!$K:$K,'Таблиця 1'!$B:$B,$A450,'Таблиця 1'!$I:$I,"F-16",'Таблиця 1'!$J:$J,"MK-24")+SUMIFS('Таблиця 1'!$K:$K,'Таблиця 1'!$B:$B,$A450,'Таблиця 1'!$I:$I,"МіГ-29",'Таблиця 1'!$J:$J,"MK-24")+SUMIFS('Таблиця 1'!$K:$K,'Таблиця 1'!$B:$B,$A450,'Таблиця 1'!$I:$I,"Су-25",'Таблиця 1'!$J:$J,"MK-24")+SUMIFS('Таблиця 1'!$K:$K,'Таблиця 1'!$B:$B,$A450,'Таблиця 1'!$I:$I,"Су-27",'Таблиця 1'!$J:$J,"MK-24"))</f>
        <v/>
      </c>
      <c r="R450">
        <f>IF($A450="","",COUNTIFS('Таблиця 1'!$B:$B,$A450,'Таблиця 1'!$I:$I,"Mirage",'Таблиця 1'!$L:$L,"Уражено")+COUNTIFS('Таблиця 1'!$B:$B,$A450,'Таблиця 1'!$I:$I,"F-16",'Таблиця 1'!$L:$L,"Уражено")+COUNTIFS('Таблиця 1'!$B:$B,$A450,'Таблиця 1'!$I:$I,"МіГ-29",'Таблиця 1'!$L:$L,"Уражено")+COUNTIFS('Таблиця 1'!$B:$B,$A450,'Таблиця 1'!$I:$I,"Су-25",'Таблиця 1'!$L:$L,"Уражено")+COUNTIFS('Таблиця 1'!$B:$B,$A450,'Таблиця 1'!$I:$I,"Су-27",'Таблиця 1'!$L:$L,"Уражено"))</f>
        <v/>
      </c>
      <c r="S450">
        <f>IF($A450="","",COUNTIFS('Таблиця 1'!$B:$B,$A450,'Таблиця 1'!$I:$I,"Mirage",'Таблиця 1'!$L:$L,"НЕ уражено")+COUNTIFS('Таблиця 1'!$B:$B,$A450,'Таблиця 1'!$I:$I,"F-16",'Таблиця 1'!$L:$L,"НЕ уражено")+COUNTIFS('Таблиця 1'!$B:$B,$A450,'Таблиця 1'!$I:$I,"МіГ-29",'Таблиця 1'!$L:$L,"НЕ уражено")+COUNTIFS('Таблиця 1'!$B:$B,$A450,'Таблиця 1'!$I:$I,"Су-25",'Таблиця 1'!$L:$L,"НЕ уражено")+COUNTIFS('Таблиця 1'!$B:$B,$A450,'Таблиця 1'!$I:$I,"Су-27",'Таблиця 1'!$L:$L,"НЕ уражено"))</f>
        <v/>
      </c>
      <c r="T450">
        <f>IF($A450="","",COUNTIFS('Таблиця 1'!$B:$B,$A450,'Таблиця 1'!$I:$I,"Mirage",'Таблиця 1'!$L:$L,"Дорозвідується")+COUNTIFS('Таблиця 1'!$B:$B,$A450,'Таблиця 1'!$I:$I,"F-16",'Таблиця 1'!$L:$L,"Дорозвідується")+COUNTIFS('Таблиця 1'!$B:$B,$A450,'Таблиця 1'!$I:$I,"МіГ-29",'Таблиця 1'!$L:$L,"Дорозвідується")+COUNTIFS('Таблиця 1'!$B:$B,$A450,'Таблиця 1'!$I:$I,"Су-25",'Таблиця 1'!$L:$L,"Дорозвідується")+COUNTIFS('Таблиця 1'!$B:$B,$A450,'Таблиця 1'!$I:$I,"Су-27",'Таблиця 1'!$L:$L,"Дорозвідується"))</f>
        <v/>
      </c>
    </row>
    <row r="451">
      <c r="A451" s="273">
        <f>IF(A450="","",IF(A450+1&gt;MAX('Таблиця 1'!$B:$B),"",A450+1))</f>
        <v/>
      </c>
      <c r="B451">
        <f>IF($A451="","",COUNTIFS('Таблиця 1'!$B:$B,$A451,'Таблиця 1'!$I:$I,"Mirage")+COUNTIFS('Таблиця 1'!$B:$B,$A451,'Таблиця 1'!$I:$I,"F-16")+COUNTIFS('Таблиця 1'!$B:$B,$A451,'Таблиця 1'!$I:$I,"МіГ-29")+COUNTIFS('Таблиця 1'!$B:$B,$A451,'Таблиця 1'!$I:$I,"Су-25")+COUNTIFS('Таблиця 1'!$B:$B,$A451,'Таблиця 1'!$I:$I,"Су-27"))</f>
        <v/>
      </c>
      <c r="C451">
        <f>IF($A451="","",COUNTIFS('Таблиця 1'!$B:$B,$A451,'Таблиця 1'!$I:$I,"Mirage"))</f>
        <v/>
      </c>
      <c r="D451">
        <f>IF($A451="","",COUNTIFS('Таблиця 1'!$B:$B,$A451,'Таблиця 1'!$I:$I,"F-16"))</f>
        <v/>
      </c>
      <c r="E451">
        <f>IF($A451="","",COUNTIFS('Таблиця 1'!$B:$B,$A451,'Таблиця 1'!$I:$I,"МіГ-29"))</f>
        <v/>
      </c>
      <c r="F451">
        <f>IF($A451="","",COUNTIFS('Таблиця 1'!$B:$B,$A451,'Таблиця 1'!$I:$I,"Су-25"))</f>
        <v/>
      </c>
      <c r="G451">
        <f>IF($A451="","",COUNTIFS('Таблиця 1'!$B:$B,$A451,'Таблиця 1'!$I:$I,"Су-27"))</f>
        <v/>
      </c>
      <c r="H451">
        <f>IF($A451="","",SUMIFS('Таблиця 1'!$K:$K,'Таблиця 1'!$B:$B,$A451,'Таблиця 1'!$I:$I,"Mirage",'Таблиця 1'!$J:$J,"AGM-88")+SUMIFS('Таблиця 1'!$K:$K,'Таблиця 1'!$B:$B,$A451,'Таблиця 1'!$I:$I,"F-16",'Таблиця 1'!$J:$J,"AGM-88")+SUMIFS('Таблиця 1'!$K:$K,'Таблиця 1'!$B:$B,$A451,'Таблиця 1'!$I:$I,"МіГ-29",'Таблиця 1'!$J:$J,"AGM-88")+SUMIFS('Таблиця 1'!$K:$K,'Таблиця 1'!$B:$B,$A451,'Таблиця 1'!$I:$I,"Су-25",'Таблиця 1'!$J:$J,"AGM-88")+SUMIFS('Таблиця 1'!$K:$K,'Таблиця 1'!$B:$B,$A451,'Таблиця 1'!$I:$I,"Су-27",'Таблиця 1'!$J:$J,"AGM-88"))</f>
        <v/>
      </c>
      <c r="I451">
        <f>IF($A451="","",SUMIFS('Таблиця 1'!$K:$K,'Таблиця 1'!$B:$B,$A451,'Таблиця 1'!$I:$I,"Mirage",'Таблиця 1'!$J:$J,"AASM-250")+SUMIFS('Таблиця 1'!$K:$K,'Таблиця 1'!$B:$B,$A451,'Таблиця 1'!$I:$I,"F-16",'Таблиця 1'!$J:$J,"AASM-250")+SUMIFS('Таблиця 1'!$K:$K,'Таблиця 1'!$B:$B,$A451,'Таблиця 1'!$I:$I,"МіГ-29",'Таблиця 1'!$J:$J,"AASM-250")+SUMIFS('Таблиця 1'!$K:$K,'Таблиця 1'!$B:$B,$A451,'Таблиця 1'!$I:$I,"Су-25",'Таблиця 1'!$J:$J,"AASM-250")+SUMIFS('Таблиця 1'!$K:$K,'Таблиця 1'!$B:$B,$A451,'Таблиця 1'!$I:$I,"Су-27",'Таблиця 1'!$J:$J,"AASM-250"))</f>
        <v/>
      </c>
      <c r="J451">
        <f>IF($A451="","",SUMIFS('Таблиця 1'!$K:$K,'Таблиця 1'!$B:$B,$A451,'Таблиця 1'!$I:$I,"Mirage",'Таблиця 1'!$J:$J,"GBU-39")+SUMIFS('Таблиця 1'!$K:$K,'Таблиця 1'!$B:$B,$A451,'Таблиця 1'!$I:$I,"F-16",'Таблиця 1'!$J:$J,"GBU-39")+SUMIFS('Таблиця 1'!$K:$K,'Таблиця 1'!$B:$B,$A451,'Таблиця 1'!$I:$I,"МіГ-29",'Таблиця 1'!$J:$J,"GBU-39")+SUMIFS('Таблиця 1'!$K:$K,'Таблиця 1'!$B:$B,$A451,'Таблиця 1'!$I:$I,"Су-25",'Таблиця 1'!$J:$J,"GBU-39")+SUMIFS('Таблиця 1'!$K:$K,'Таблиця 1'!$B:$B,$A451,'Таблиця 1'!$I:$I,"Су-27",'Таблиця 1'!$J:$J,"GBU-39"))</f>
        <v/>
      </c>
      <c r="K451">
        <f>IF($A451="","",SUMIFS('Таблиця 1'!$K:$K,'Таблиця 1'!$B:$B,$A451,'Таблиця 1'!$I:$I,"Mirage",'Таблиця 1'!$J:$J,"BLU-140")+SUMIFS('Таблиця 1'!$K:$K,'Таблиця 1'!$B:$B,$A451,'Таблиця 1'!$I:$I,"F-16",'Таблиця 1'!$J:$J,"BLU-140")+SUMIFS('Таблиця 1'!$K:$K,'Таблиця 1'!$B:$B,$A451,'Таблиця 1'!$I:$I,"МіГ-29",'Таблиця 1'!$J:$J,"BLU-140")+SUMIFS('Таблиця 1'!$K:$K,'Таблиця 1'!$B:$B,$A451,'Таблиця 1'!$I:$I,"Су-25",'Таблиця 1'!$J:$J,"BLU-140")+SUMIFS('Таблиця 1'!$K:$K,'Таблиця 1'!$B:$B,$A451,'Таблиця 1'!$I:$I,"Су-27",'Таблиця 1'!$J:$J,"BLU-140"))</f>
        <v/>
      </c>
      <c r="L451">
        <f>IF($A451="","",SUMIFS('Таблиця 1'!$K:$K,'Таблиця 1'!$B:$B,$A451,'Таблиця 1'!$I:$I,"Mirage",'Таблиця 1'!$J:$J,"GBU-65")+SUMIFS('Таблиця 1'!$K:$K,'Таблиця 1'!$B:$B,$A451,'Таблиця 1'!$I:$I,"F-16",'Таблиця 1'!$J:$J,"GBU-65")+SUMIFS('Таблиця 1'!$K:$K,'Таблиця 1'!$B:$B,$A451,'Таблиця 1'!$I:$I,"МіГ-29",'Таблиця 1'!$J:$J,"GBU-65")+SUMIFS('Таблиця 1'!$K:$K,'Таблиця 1'!$B:$B,$A451,'Таблиця 1'!$I:$I,"Су-25",'Таблиця 1'!$J:$J,"GBU-65")+SUMIFS('Таблиця 1'!$K:$K,'Таблиця 1'!$B:$B,$A451,'Таблиця 1'!$I:$I,"Су-27",'Таблиця 1'!$J:$J,"GBU-65"))</f>
        <v/>
      </c>
      <c r="M451">
        <f>IF($A451="","",SUMIFS('Таблиця 1'!$K:$K,'Таблиця 1'!$B:$B,$A451,'Таблиця 1'!$I:$I,"Mirage",'Таблиця 1'!$J:$J,"GBU-62")+SUMIFS('Таблиця 1'!$K:$K,'Таблиця 1'!$B:$B,$A451,'Таблиця 1'!$I:$I,"F-16",'Таблиця 1'!$J:$J,"GBU-62")+SUMIFS('Таблиця 1'!$K:$K,'Таблиця 1'!$B:$B,$A451,'Таблиця 1'!$I:$I,"МіГ-29",'Таблиця 1'!$J:$J,"GBU-62")+SUMIFS('Таблиця 1'!$K:$K,'Таблиця 1'!$B:$B,$A451,'Таблиця 1'!$I:$I,"Су-25",'Таблиця 1'!$J:$J,"GBU-62")+SUMIFS('Таблиця 1'!$K:$K,'Таблиця 1'!$B:$B,$A451,'Таблиця 1'!$I:$I,"Су-27",'Таблиця 1'!$J:$J,"GBU-62"))</f>
        <v/>
      </c>
      <c r="N451">
        <f>IF($A451="","",SUMIFS('Таблиця 1'!$K:$K,'Таблиця 1'!$B:$B,$A451,'Таблиця 1'!$I:$I,"Mirage",'Таблиця 1'!$J:$J,"GBU-64")+SUMIFS('Таблиця 1'!$K:$K,'Таблиця 1'!$B:$B,$A451,'Таблиця 1'!$I:$I,"F-16",'Таблиця 1'!$J:$J,"GBU-64")+SUMIFS('Таблиця 1'!$K:$K,'Таблиця 1'!$B:$B,$A451,'Таблиця 1'!$I:$I,"МіГ-29",'Таблиця 1'!$J:$J,"GBU-64")+SUMIFS('Таблиця 1'!$K:$K,'Таблиця 1'!$B:$B,$A451,'Таблиця 1'!$I:$I,"Су-25",'Таблиця 1'!$J:$J,"GBU-64")+SUMIFS('Таблиця 1'!$K:$K,'Таблиця 1'!$B:$B,$A451,'Таблиця 1'!$I:$I,"Су-27",'Таблиця 1'!$J:$J,"GBU-64"))</f>
        <v/>
      </c>
      <c r="O451">
        <f>IF($A451="","",SUMIFS('Таблиця 1'!$K:$K,'Таблиця 1'!$B:$B,$A451,'Таблиця 1'!$I:$I,"Mirage",'Таблиця 1'!$J:$J,"C-13")+SUMIFS('Таблиця 1'!$K:$K,'Таблиця 1'!$B:$B,$A451,'Таблиця 1'!$I:$I,"F-16",'Таблиця 1'!$J:$J,"C-13")+SUMIFS('Таблиця 1'!$K:$K,'Таблиця 1'!$B:$B,$A451,'Таблиця 1'!$I:$I,"МіГ-29",'Таблиця 1'!$J:$J,"C-13")+SUMIFS('Таблиця 1'!$K:$K,'Таблиця 1'!$B:$B,$A451,'Таблиця 1'!$I:$I,"Су-25",'Таблиця 1'!$J:$J,"C-13")+SUMIFS('Таблиця 1'!$K:$K,'Таблиця 1'!$B:$B,$A451,'Таблиця 1'!$I:$I,"Су-27",'Таблиця 1'!$J:$J,"C-13"))</f>
        <v/>
      </c>
      <c r="P451">
        <f>IF($A451="","",SUMIFS('Таблиця 1'!$K:$K,'Таблиця 1'!$B:$B,$A451,'Таблиця 1'!$I:$I,"Mirage",'Таблиця 1'!$J:$J,"MK-32")+SUMIFS('Таблиця 1'!$K:$K,'Таблиця 1'!$B:$B,$A451,'Таблиця 1'!$I:$I,"F-16",'Таблиця 1'!$J:$J,"MK-32")+SUMIFS('Таблиця 1'!$K:$K,'Таблиця 1'!$B:$B,$A451,'Таблиця 1'!$I:$I,"МіГ-29",'Таблиця 1'!$J:$J,"MK-32")+SUMIFS('Таблиця 1'!$K:$K,'Таблиця 1'!$B:$B,$A451,'Таблиця 1'!$I:$I,"Су-25",'Таблиця 1'!$J:$J,"MK-32")+SUMIFS('Таблиця 1'!$K:$K,'Таблиця 1'!$B:$B,$A451,'Таблиця 1'!$I:$I,"Су-27",'Таблиця 1'!$J:$J,"MK-32"))</f>
        <v/>
      </c>
      <c r="Q451">
        <f>IF($A451="","",SUMIFS('Таблиця 1'!$K:$K,'Таблиця 1'!$B:$B,$A451,'Таблиця 1'!$I:$I,"Mirage",'Таблиця 1'!$J:$J,"MK-24")+SUMIFS('Таблиця 1'!$K:$K,'Таблиця 1'!$B:$B,$A451,'Таблиця 1'!$I:$I,"F-16",'Таблиця 1'!$J:$J,"MK-24")+SUMIFS('Таблиця 1'!$K:$K,'Таблиця 1'!$B:$B,$A451,'Таблиця 1'!$I:$I,"МіГ-29",'Таблиця 1'!$J:$J,"MK-24")+SUMIFS('Таблиця 1'!$K:$K,'Таблиця 1'!$B:$B,$A451,'Таблиця 1'!$I:$I,"Су-25",'Таблиця 1'!$J:$J,"MK-24")+SUMIFS('Таблиця 1'!$K:$K,'Таблиця 1'!$B:$B,$A451,'Таблиця 1'!$I:$I,"Су-27",'Таблиця 1'!$J:$J,"MK-24"))</f>
        <v/>
      </c>
      <c r="R451">
        <f>IF($A451="","",COUNTIFS('Таблиця 1'!$B:$B,$A451,'Таблиця 1'!$I:$I,"Mirage",'Таблиця 1'!$L:$L,"Уражено")+COUNTIFS('Таблиця 1'!$B:$B,$A451,'Таблиця 1'!$I:$I,"F-16",'Таблиця 1'!$L:$L,"Уражено")+COUNTIFS('Таблиця 1'!$B:$B,$A451,'Таблиця 1'!$I:$I,"МіГ-29",'Таблиця 1'!$L:$L,"Уражено")+COUNTIFS('Таблиця 1'!$B:$B,$A451,'Таблиця 1'!$I:$I,"Су-25",'Таблиця 1'!$L:$L,"Уражено")+COUNTIFS('Таблиця 1'!$B:$B,$A451,'Таблиця 1'!$I:$I,"Су-27",'Таблиця 1'!$L:$L,"Уражено"))</f>
        <v/>
      </c>
      <c r="S451">
        <f>IF($A451="","",COUNTIFS('Таблиця 1'!$B:$B,$A451,'Таблиця 1'!$I:$I,"Mirage",'Таблиця 1'!$L:$L,"НЕ уражено")+COUNTIFS('Таблиця 1'!$B:$B,$A451,'Таблиця 1'!$I:$I,"F-16",'Таблиця 1'!$L:$L,"НЕ уражено")+COUNTIFS('Таблиця 1'!$B:$B,$A451,'Таблиця 1'!$I:$I,"МіГ-29",'Таблиця 1'!$L:$L,"НЕ уражено")+COUNTIFS('Таблиця 1'!$B:$B,$A451,'Таблиця 1'!$I:$I,"Су-25",'Таблиця 1'!$L:$L,"НЕ уражено")+COUNTIFS('Таблиця 1'!$B:$B,$A451,'Таблиця 1'!$I:$I,"Су-27",'Таблиця 1'!$L:$L,"НЕ уражено"))</f>
        <v/>
      </c>
      <c r="T451">
        <f>IF($A451="","",COUNTIFS('Таблиця 1'!$B:$B,$A451,'Таблиця 1'!$I:$I,"Mirage",'Таблиця 1'!$L:$L,"Дорозвідується")+COUNTIFS('Таблиця 1'!$B:$B,$A451,'Таблиця 1'!$I:$I,"F-16",'Таблиця 1'!$L:$L,"Дорозвідується")+COUNTIFS('Таблиця 1'!$B:$B,$A451,'Таблиця 1'!$I:$I,"МіГ-29",'Таблиця 1'!$L:$L,"Дорозвідується")+COUNTIFS('Таблиця 1'!$B:$B,$A451,'Таблиця 1'!$I:$I,"Су-25",'Таблиця 1'!$L:$L,"Дорозвідується")+COUNTIFS('Таблиця 1'!$B:$B,$A451,'Таблиця 1'!$I:$I,"Су-27",'Таблиця 1'!$L:$L,"Дорозвідується"))</f>
        <v/>
      </c>
    </row>
    <row r="452">
      <c r="A452" s="273">
        <f>IF(A451="","",IF(A451+1&gt;MAX('Таблиця 1'!$B:$B),"",A451+1))</f>
        <v/>
      </c>
      <c r="B452">
        <f>IF($A452="","",COUNTIFS('Таблиця 1'!$B:$B,$A452,'Таблиця 1'!$I:$I,"Mirage")+COUNTIFS('Таблиця 1'!$B:$B,$A452,'Таблиця 1'!$I:$I,"F-16")+COUNTIFS('Таблиця 1'!$B:$B,$A452,'Таблиця 1'!$I:$I,"МіГ-29")+COUNTIFS('Таблиця 1'!$B:$B,$A452,'Таблиця 1'!$I:$I,"Су-25")+COUNTIFS('Таблиця 1'!$B:$B,$A452,'Таблиця 1'!$I:$I,"Су-27"))</f>
        <v/>
      </c>
      <c r="C452">
        <f>IF($A452="","",COUNTIFS('Таблиця 1'!$B:$B,$A452,'Таблиця 1'!$I:$I,"Mirage"))</f>
        <v/>
      </c>
      <c r="D452">
        <f>IF($A452="","",COUNTIFS('Таблиця 1'!$B:$B,$A452,'Таблиця 1'!$I:$I,"F-16"))</f>
        <v/>
      </c>
      <c r="E452">
        <f>IF($A452="","",COUNTIFS('Таблиця 1'!$B:$B,$A452,'Таблиця 1'!$I:$I,"МіГ-29"))</f>
        <v/>
      </c>
      <c r="F452">
        <f>IF($A452="","",COUNTIFS('Таблиця 1'!$B:$B,$A452,'Таблиця 1'!$I:$I,"Су-25"))</f>
        <v/>
      </c>
      <c r="G452">
        <f>IF($A452="","",COUNTIFS('Таблиця 1'!$B:$B,$A452,'Таблиця 1'!$I:$I,"Су-27"))</f>
        <v/>
      </c>
      <c r="H452">
        <f>IF($A452="","",SUMIFS('Таблиця 1'!$K:$K,'Таблиця 1'!$B:$B,$A452,'Таблиця 1'!$I:$I,"Mirage",'Таблиця 1'!$J:$J,"AGM-88")+SUMIFS('Таблиця 1'!$K:$K,'Таблиця 1'!$B:$B,$A452,'Таблиця 1'!$I:$I,"F-16",'Таблиця 1'!$J:$J,"AGM-88")+SUMIFS('Таблиця 1'!$K:$K,'Таблиця 1'!$B:$B,$A452,'Таблиця 1'!$I:$I,"МіГ-29",'Таблиця 1'!$J:$J,"AGM-88")+SUMIFS('Таблиця 1'!$K:$K,'Таблиця 1'!$B:$B,$A452,'Таблиця 1'!$I:$I,"Су-25",'Таблиця 1'!$J:$J,"AGM-88")+SUMIFS('Таблиця 1'!$K:$K,'Таблиця 1'!$B:$B,$A452,'Таблиця 1'!$I:$I,"Су-27",'Таблиця 1'!$J:$J,"AGM-88"))</f>
        <v/>
      </c>
      <c r="I452">
        <f>IF($A452="","",SUMIFS('Таблиця 1'!$K:$K,'Таблиця 1'!$B:$B,$A452,'Таблиця 1'!$I:$I,"Mirage",'Таблиця 1'!$J:$J,"AASM-250")+SUMIFS('Таблиця 1'!$K:$K,'Таблиця 1'!$B:$B,$A452,'Таблиця 1'!$I:$I,"F-16",'Таблиця 1'!$J:$J,"AASM-250")+SUMIFS('Таблиця 1'!$K:$K,'Таблиця 1'!$B:$B,$A452,'Таблиця 1'!$I:$I,"МіГ-29",'Таблиця 1'!$J:$J,"AASM-250")+SUMIFS('Таблиця 1'!$K:$K,'Таблиця 1'!$B:$B,$A452,'Таблиця 1'!$I:$I,"Су-25",'Таблиця 1'!$J:$J,"AASM-250")+SUMIFS('Таблиця 1'!$K:$K,'Таблиця 1'!$B:$B,$A452,'Таблиця 1'!$I:$I,"Су-27",'Таблиця 1'!$J:$J,"AASM-250"))</f>
        <v/>
      </c>
      <c r="J452">
        <f>IF($A452="","",SUMIFS('Таблиця 1'!$K:$K,'Таблиця 1'!$B:$B,$A452,'Таблиця 1'!$I:$I,"Mirage",'Таблиця 1'!$J:$J,"GBU-39")+SUMIFS('Таблиця 1'!$K:$K,'Таблиця 1'!$B:$B,$A452,'Таблиця 1'!$I:$I,"F-16",'Таблиця 1'!$J:$J,"GBU-39")+SUMIFS('Таблиця 1'!$K:$K,'Таблиця 1'!$B:$B,$A452,'Таблиця 1'!$I:$I,"МіГ-29",'Таблиця 1'!$J:$J,"GBU-39")+SUMIFS('Таблиця 1'!$K:$K,'Таблиця 1'!$B:$B,$A452,'Таблиця 1'!$I:$I,"Су-25",'Таблиця 1'!$J:$J,"GBU-39")+SUMIFS('Таблиця 1'!$K:$K,'Таблиця 1'!$B:$B,$A452,'Таблиця 1'!$I:$I,"Су-27",'Таблиця 1'!$J:$J,"GBU-39"))</f>
        <v/>
      </c>
      <c r="K452">
        <f>IF($A452="","",SUMIFS('Таблиця 1'!$K:$K,'Таблиця 1'!$B:$B,$A452,'Таблиця 1'!$I:$I,"Mirage",'Таблиця 1'!$J:$J,"BLU-140")+SUMIFS('Таблиця 1'!$K:$K,'Таблиця 1'!$B:$B,$A452,'Таблиця 1'!$I:$I,"F-16",'Таблиця 1'!$J:$J,"BLU-140")+SUMIFS('Таблиця 1'!$K:$K,'Таблиця 1'!$B:$B,$A452,'Таблиця 1'!$I:$I,"МіГ-29",'Таблиця 1'!$J:$J,"BLU-140")+SUMIFS('Таблиця 1'!$K:$K,'Таблиця 1'!$B:$B,$A452,'Таблиця 1'!$I:$I,"Су-25",'Таблиця 1'!$J:$J,"BLU-140")+SUMIFS('Таблиця 1'!$K:$K,'Таблиця 1'!$B:$B,$A452,'Таблиця 1'!$I:$I,"Су-27",'Таблиця 1'!$J:$J,"BLU-140"))</f>
        <v/>
      </c>
      <c r="L452">
        <f>IF($A452="","",SUMIFS('Таблиця 1'!$K:$K,'Таблиця 1'!$B:$B,$A452,'Таблиця 1'!$I:$I,"Mirage",'Таблиця 1'!$J:$J,"GBU-65")+SUMIFS('Таблиця 1'!$K:$K,'Таблиця 1'!$B:$B,$A452,'Таблиця 1'!$I:$I,"F-16",'Таблиця 1'!$J:$J,"GBU-65")+SUMIFS('Таблиця 1'!$K:$K,'Таблиця 1'!$B:$B,$A452,'Таблиця 1'!$I:$I,"МіГ-29",'Таблиця 1'!$J:$J,"GBU-65")+SUMIFS('Таблиця 1'!$K:$K,'Таблиця 1'!$B:$B,$A452,'Таблиця 1'!$I:$I,"Су-25",'Таблиця 1'!$J:$J,"GBU-65")+SUMIFS('Таблиця 1'!$K:$K,'Таблиця 1'!$B:$B,$A452,'Таблиця 1'!$I:$I,"Су-27",'Таблиця 1'!$J:$J,"GBU-65"))</f>
        <v/>
      </c>
      <c r="M452">
        <f>IF($A452="","",SUMIFS('Таблиця 1'!$K:$K,'Таблиця 1'!$B:$B,$A452,'Таблиця 1'!$I:$I,"Mirage",'Таблиця 1'!$J:$J,"GBU-62")+SUMIFS('Таблиця 1'!$K:$K,'Таблиця 1'!$B:$B,$A452,'Таблиця 1'!$I:$I,"F-16",'Таблиця 1'!$J:$J,"GBU-62")+SUMIFS('Таблиця 1'!$K:$K,'Таблиця 1'!$B:$B,$A452,'Таблиця 1'!$I:$I,"МіГ-29",'Таблиця 1'!$J:$J,"GBU-62")+SUMIFS('Таблиця 1'!$K:$K,'Таблиця 1'!$B:$B,$A452,'Таблиця 1'!$I:$I,"Су-25",'Таблиця 1'!$J:$J,"GBU-62")+SUMIFS('Таблиця 1'!$K:$K,'Таблиця 1'!$B:$B,$A452,'Таблиця 1'!$I:$I,"Су-27",'Таблиця 1'!$J:$J,"GBU-62"))</f>
        <v/>
      </c>
      <c r="N452">
        <f>IF($A452="","",SUMIFS('Таблиця 1'!$K:$K,'Таблиця 1'!$B:$B,$A452,'Таблиця 1'!$I:$I,"Mirage",'Таблиця 1'!$J:$J,"GBU-64")+SUMIFS('Таблиця 1'!$K:$K,'Таблиця 1'!$B:$B,$A452,'Таблиця 1'!$I:$I,"F-16",'Таблиця 1'!$J:$J,"GBU-64")+SUMIFS('Таблиця 1'!$K:$K,'Таблиця 1'!$B:$B,$A452,'Таблиця 1'!$I:$I,"МіГ-29",'Таблиця 1'!$J:$J,"GBU-64")+SUMIFS('Таблиця 1'!$K:$K,'Таблиця 1'!$B:$B,$A452,'Таблиця 1'!$I:$I,"Су-25",'Таблиця 1'!$J:$J,"GBU-64")+SUMIFS('Таблиця 1'!$K:$K,'Таблиця 1'!$B:$B,$A452,'Таблиця 1'!$I:$I,"Су-27",'Таблиця 1'!$J:$J,"GBU-64"))</f>
        <v/>
      </c>
      <c r="O452">
        <f>IF($A452="","",SUMIFS('Таблиця 1'!$K:$K,'Таблиця 1'!$B:$B,$A452,'Таблиця 1'!$I:$I,"Mirage",'Таблиця 1'!$J:$J,"C-13")+SUMIFS('Таблиця 1'!$K:$K,'Таблиця 1'!$B:$B,$A452,'Таблиця 1'!$I:$I,"F-16",'Таблиця 1'!$J:$J,"C-13")+SUMIFS('Таблиця 1'!$K:$K,'Таблиця 1'!$B:$B,$A452,'Таблиця 1'!$I:$I,"МіГ-29",'Таблиця 1'!$J:$J,"C-13")+SUMIFS('Таблиця 1'!$K:$K,'Таблиця 1'!$B:$B,$A452,'Таблиця 1'!$I:$I,"Су-25",'Таблиця 1'!$J:$J,"C-13")+SUMIFS('Таблиця 1'!$K:$K,'Таблиця 1'!$B:$B,$A452,'Таблиця 1'!$I:$I,"Су-27",'Таблиця 1'!$J:$J,"C-13"))</f>
        <v/>
      </c>
      <c r="P452">
        <f>IF($A452="","",SUMIFS('Таблиця 1'!$K:$K,'Таблиця 1'!$B:$B,$A452,'Таблиця 1'!$I:$I,"Mirage",'Таблиця 1'!$J:$J,"MK-32")+SUMIFS('Таблиця 1'!$K:$K,'Таблиця 1'!$B:$B,$A452,'Таблиця 1'!$I:$I,"F-16",'Таблиця 1'!$J:$J,"MK-32")+SUMIFS('Таблиця 1'!$K:$K,'Таблиця 1'!$B:$B,$A452,'Таблиця 1'!$I:$I,"МіГ-29",'Таблиця 1'!$J:$J,"MK-32")+SUMIFS('Таблиця 1'!$K:$K,'Таблиця 1'!$B:$B,$A452,'Таблиця 1'!$I:$I,"Су-25",'Таблиця 1'!$J:$J,"MK-32")+SUMIFS('Таблиця 1'!$K:$K,'Таблиця 1'!$B:$B,$A452,'Таблиця 1'!$I:$I,"Су-27",'Таблиця 1'!$J:$J,"MK-32"))</f>
        <v/>
      </c>
      <c r="Q452">
        <f>IF($A452="","",SUMIFS('Таблиця 1'!$K:$K,'Таблиця 1'!$B:$B,$A452,'Таблиця 1'!$I:$I,"Mirage",'Таблиця 1'!$J:$J,"MK-24")+SUMIFS('Таблиця 1'!$K:$K,'Таблиця 1'!$B:$B,$A452,'Таблиця 1'!$I:$I,"F-16",'Таблиця 1'!$J:$J,"MK-24")+SUMIFS('Таблиця 1'!$K:$K,'Таблиця 1'!$B:$B,$A452,'Таблиця 1'!$I:$I,"МіГ-29",'Таблиця 1'!$J:$J,"MK-24")+SUMIFS('Таблиця 1'!$K:$K,'Таблиця 1'!$B:$B,$A452,'Таблиця 1'!$I:$I,"Су-25",'Таблиця 1'!$J:$J,"MK-24")+SUMIFS('Таблиця 1'!$K:$K,'Таблиця 1'!$B:$B,$A452,'Таблиця 1'!$I:$I,"Су-27",'Таблиця 1'!$J:$J,"MK-24"))</f>
        <v/>
      </c>
      <c r="R452">
        <f>IF($A452="","",COUNTIFS('Таблиця 1'!$B:$B,$A452,'Таблиця 1'!$I:$I,"Mirage",'Таблиця 1'!$L:$L,"Уражено")+COUNTIFS('Таблиця 1'!$B:$B,$A452,'Таблиця 1'!$I:$I,"F-16",'Таблиця 1'!$L:$L,"Уражено")+COUNTIFS('Таблиця 1'!$B:$B,$A452,'Таблиця 1'!$I:$I,"МіГ-29",'Таблиця 1'!$L:$L,"Уражено")+COUNTIFS('Таблиця 1'!$B:$B,$A452,'Таблиця 1'!$I:$I,"Су-25",'Таблиця 1'!$L:$L,"Уражено")+COUNTIFS('Таблиця 1'!$B:$B,$A452,'Таблиця 1'!$I:$I,"Су-27",'Таблиця 1'!$L:$L,"Уражено"))</f>
        <v/>
      </c>
      <c r="S452">
        <f>IF($A452="","",COUNTIFS('Таблиця 1'!$B:$B,$A452,'Таблиця 1'!$I:$I,"Mirage",'Таблиця 1'!$L:$L,"НЕ уражено")+COUNTIFS('Таблиця 1'!$B:$B,$A452,'Таблиця 1'!$I:$I,"F-16",'Таблиця 1'!$L:$L,"НЕ уражено")+COUNTIFS('Таблиця 1'!$B:$B,$A452,'Таблиця 1'!$I:$I,"МіГ-29",'Таблиця 1'!$L:$L,"НЕ уражено")+COUNTIFS('Таблиця 1'!$B:$B,$A452,'Таблиця 1'!$I:$I,"Су-25",'Таблиця 1'!$L:$L,"НЕ уражено")+COUNTIFS('Таблиця 1'!$B:$B,$A452,'Таблиця 1'!$I:$I,"Су-27",'Таблиця 1'!$L:$L,"НЕ уражено"))</f>
        <v/>
      </c>
      <c r="T452">
        <f>IF($A452="","",COUNTIFS('Таблиця 1'!$B:$B,$A452,'Таблиця 1'!$I:$I,"Mirage",'Таблиця 1'!$L:$L,"Дорозвідується")+COUNTIFS('Таблиця 1'!$B:$B,$A452,'Таблиця 1'!$I:$I,"F-16",'Таблиця 1'!$L:$L,"Дорозвідується")+COUNTIFS('Таблиця 1'!$B:$B,$A452,'Таблиця 1'!$I:$I,"МіГ-29",'Таблиця 1'!$L:$L,"Дорозвідується")+COUNTIFS('Таблиця 1'!$B:$B,$A452,'Таблиця 1'!$I:$I,"Су-25",'Таблиця 1'!$L:$L,"Дорозвідується")+COUNTIFS('Таблиця 1'!$B:$B,$A452,'Таблиця 1'!$I:$I,"Су-27",'Таблиця 1'!$L:$L,"Дорозвідується"))</f>
        <v/>
      </c>
    </row>
    <row r="453">
      <c r="A453" s="273">
        <f>IF(A452="","",IF(A452+1&gt;MAX('Таблиця 1'!$B:$B),"",A452+1))</f>
        <v/>
      </c>
      <c r="B453">
        <f>IF($A453="","",COUNTIFS('Таблиця 1'!$B:$B,$A453,'Таблиця 1'!$I:$I,"Mirage")+COUNTIFS('Таблиця 1'!$B:$B,$A453,'Таблиця 1'!$I:$I,"F-16")+COUNTIFS('Таблиця 1'!$B:$B,$A453,'Таблиця 1'!$I:$I,"МіГ-29")+COUNTIFS('Таблиця 1'!$B:$B,$A453,'Таблиця 1'!$I:$I,"Су-25")+COUNTIFS('Таблиця 1'!$B:$B,$A453,'Таблиця 1'!$I:$I,"Су-27"))</f>
        <v/>
      </c>
      <c r="C453">
        <f>IF($A453="","",COUNTIFS('Таблиця 1'!$B:$B,$A453,'Таблиця 1'!$I:$I,"Mirage"))</f>
        <v/>
      </c>
      <c r="D453">
        <f>IF($A453="","",COUNTIFS('Таблиця 1'!$B:$B,$A453,'Таблиця 1'!$I:$I,"F-16"))</f>
        <v/>
      </c>
      <c r="E453">
        <f>IF($A453="","",COUNTIFS('Таблиця 1'!$B:$B,$A453,'Таблиця 1'!$I:$I,"МіГ-29"))</f>
        <v/>
      </c>
      <c r="F453">
        <f>IF($A453="","",COUNTIFS('Таблиця 1'!$B:$B,$A453,'Таблиця 1'!$I:$I,"Су-25"))</f>
        <v/>
      </c>
      <c r="G453">
        <f>IF($A453="","",COUNTIFS('Таблиця 1'!$B:$B,$A453,'Таблиця 1'!$I:$I,"Су-27"))</f>
        <v/>
      </c>
      <c r="H453">
        <f>IF($A453="","",SUMIFS('Таблиця 1'!$K:$K,'Таблиця 1'!$B:$B,$A453,'Таблиця 1'!$I:$I,"Mirage",'Таблиця 1'!$J:$J,"AGM-88")+SUMIFS('Таблиця 1'!$K:$K,'Таблиця 1'!$B:$B,$A453,'Таблиця 1'!$I:$I,"F-16",'Таблиця 1'!$J:$J,"AGM-88")+SUMIFS('Таблиця 1'!$K:$K,'Таблиця 1'!$B:$B,$A453,'Таблиця 1'!$I:$I,"МіГ-29",'Таблиця 1'!$J:$J,"AGM-88")+SUMIFS('Таблиця 1'!$K:$K,'Таблиця 1'!$B:$B,$A453,'Таблиця 1'!$I:$I,"Су-25",'Таблиця 1'!$J:$J,"AGM-88")+SUMIFS('Таблиця 1'!$K:$K,'Таблиця 1'!$B:$B,$A453,'Таблиця 1'!$I:$I,"Су-27",'Таблиця 1'!$J:$J,"AGM-88"))</f>
        <v/>
      </c>
      <c r="I453">
        <f>IF($A453="","",SUMIFS('Таблиця 1'!$K:$K,'Таблиця 1'!$B:$B,$A453,'Таблиця 1'!$I:$I,"Mirage",'Таблиця 1'!$J:$J,"AASM-250")+SUMIFS('Таблиця 1'!$K:$K,'Таблиця 1'!$B:$B,$A453,'Таблиця 1'!$I:$I,"F-16",'Таблиця 1'!$J:$J,"AASM-250")+SUMIFS('Таблиця 1'!$K:$K,'Таблиця 1'!$B:$B,$A453,'Таблиця 1'!$I:$I,"МіГ-29",'Таблиця 1'!$J:$J,"AASM-250")+SUMIFS('Таблиця 1'!$K:$K,'Таблиця 1'!$B:$B,$A453,'Таблиця 1'!$I:$I,"Су-25",'Таблиця 1'!$J:$J,"AASM-250")+SUMIFS('Таблиця 1'!$K:$K,'Таблиця 1'!$B:$B,$A453,'Таблиця 1'!$I:$I,"Су-27",'Таблиця 1'!$J:$J,"AASM-250"))</f>
        <v/>
      </c>
      <c r="J453">
        <f>IF($A453="","",SUMIFS('Таблиця 1'!$K:$K,'Таблиця 1'!$B:$B,$A453,'Таблиця 1'!$I:$I,"Mirage",'Таблиця 1'!$J:$J,"GBU-39")+SUMIFS('Таблиця 1'!$K:$K,'Таблиця 1'!$B:$B,$A453,'Таблиця 1'!$I:$I,"F-16",'Таблиця 1'!$J:$J,"GBU-39")+SUMIFS('Таблиця 1'!$K:$K,'Таблиця 1'!$B:$B,$A453,'Таблиця 1'!$I:$I,"МіГ-29",'Таблиця 1'!$J:$J,"GBU-39")+SUMIFS('Таблиця 1'!$K:$K,'Таблиця 1'!$B:$B,$A453,'Таблиця 1'!$I:$I,"Су-25",'Таблиця 1'!$J:$J,"GBU-39")+SUMIFS('Таблиця 1'!$K:$K,'Таблиця 1'!$B:$B,$A453,'Таблиця 1'!$I:$I,"Су-27",'Таблиця 1'!$J:$J,"GBU-39"))</f>
        <v/>
      </c>
      <c r="K453">
        <f>IF($A453="","",SUMIFS('Таблиця 1'!$K:$K,'Таблиця 1'!$B:$B,$A453,'Таблиця 1'!$I:$I,"Mirage",'Таблиця 1'!$J:$J,"BLU-140")+SUMIFS('Таблиця 1'!$K:$K,'Таблиця 1'!$B:$B,$A453,'Таблиця 1'!$I:$I,"F-16",'Таблиця 1'!$J:$J,"BLU-140")+SUMIFS('Таблиця 1'!$K:$K,'Таблиця 1'!$B:$B,$A453,'Таблиця 1'!$I:$I,"МіГ-29",'Таблиця 1'!$J:$J,"BLU-140")+SUMIFS('Таблиця 1'!$K:$K,'Таблиця 1'!$B:$B,$A453,'Таблиця 1'!$I:$I,"Су-25",'Таблиця 1'!$J:$J,"BLU-140")+SUMIFS('Таблиця 1'!$K:$K,'Таблиця 1'!$B:$B,$A453,'Таблиця 1'!$I:$I,"Су-27",'Таблиця 1'!$J:$J,"BLU-140"))</f>
        <v/>
      </c>
      <c r="L453">
        <f>IF($A453="","",SUMIFS('Таблиця 1'!$K:$K,'Таблиця 1'!$B:$B,$A453,'Таблиця 1'!$I:$I,"Mirage",'Таблиця 1'!$J:$J,"GBU-65")+SUMIFS('Таблиця 1'!$K:$K,'Таблиця 1'!$B:$B,$A453,'Таблиця 1'!$I:$I,"F-16",'Таблиця 1'!$J:$J,"GBU-65")+SUMIFS('Таблиця 1'!$K:$K,'Таблиця 1'!$B:$B,$A453,'Таблиця 1'!$I:$I,"МіГ-29",'Таблиця 1'!$J:$J,"GBU-65")+SUMIFS('Таблиця 1'!$K:$K,'Таблиця 1'!$B:$B,$A453,'Таблиця 1'!$I:$I,"Су-25",'Таблиця 1'!$J:$J,"GBU-65")+SUMIFS('Таблиця 1'!$K:$K,'Таблиця 1'!$B:$B,$A453,'Таблиця 1'!$I:$I,"Су-27",'Таблиця 1'!$J:$J,"GBU-65"))</f>
        <v/>
      </c>
      <c r="M453">
        <f>IF($A453="","",SUMIFS('Таблиця 1'!$K:$K,'Таблиця 1'!$B:$B,$A453,'Таблиця 1'!$I:$I,"Mirage",'Таблиця 1'!$J:$J,"GBU-62")+SUMIFS('Таблиця 1'!$K:$K,'Таблиця 1'!$B:$B,$A453,'Таблиця 1'!$I:$I,"F-16",'Таблиця 1'!$J:$J,"GBU-62")+SUMIFS('Таблиця 1'!$K:$K,'Таблиця 1'!$B:$B,$A453,'Таблиця 1'!$I:$I,"МіГ-29",'Таблиця 1'!$J:$J,"GBU-62")+SUMIFS('Таблиця 1'!$K:$K,'Таблиця 1'!$B:$B,$A453,'Таблиця 1'!$I:$I,"Су-25",'Таблиця 1'!$J:$J,"GBU-62")+SUMIFS('Таблиця 1'!$K:$K,'Таблиця 1'!$B:$B,$A453,'Таблиця 1'!$I:$I,"Су-27",'Таблиця 1'!$J:$J,"GBU-62"))</f>
        <v/>
      </c>
      <c r="N453">
        <f>IF($A453="","",SUMIFS('Таблиця 1'!$K:$K,'Таблиця 1'!$B:$B,$A453,'Таблиця 1'!$I:$I,"Mirage",'Таблиця 1'!$J:$J,"GBU-64")+SUMIFS('Таблиця 1'!$K:$K,'Таблиця 1'!$B:$B,$A453,'Таблиця 1'!$I:$I,"F-16",'Таблиця 1'!$J:$J,"GBU-64")+SUMIFS('Таблиця 1'!$K:$K,'Таблиця 1'!$B:$B,$A453,'Таблиця 1'!$I:$I,"МіГ-29",'Таблиця 1'!$J:$J,"GBU-64")+SUMIFS('Таблиця 1'!$K:$K,'Таблиця 1'!$B:$B,$A453,'Таблиця 1'!$I:$I,"Су-25",'Таблиця 1'!$J:$J,"GBU-64")+SUMIFS('Таблиця 1'!$K:$K,'Таблиця 1'!$B:$B,$A453,'Таблиця 1'!$I:$I,"Су-27",'Таблиця 1'!$J:$J,"GBU-64"))</f>
        <v/>
      </c>
      <c r="O453">
        <f>IF($A453="","",SUMIFS('Таблиця 1'!$K:$K,'Таблиця 1'!$B:$B,$A453,'Таблиця 1'!$I:$I,"Mirage",'Таблиця 1'!$J:$J,"C-13")+SUMIFS('Таблиця 1'!$K:$K,'Таблиця 1'!$B:$B,$A453,'Таблиця 1'!$I:$I,"F-16",'Таблиця 1'!$J:$J,"C-13")+SUMIFS('Таблиця 1'!$K:$K,'Таблиця 1'!$B:$B,$A453,'Таблиця 1'!$I:$I,"МіГ-29",'Таблиця 1'!$J:$J,"C-13")+SUMIFS('Таблиця 1'!$K:$K,'Таблиця 1'!$B:$B,$A453,'Таблиця 1'!$I:$I,"Су-25",'Таблиця 1'!$J:$J,"C-13")+SUMIFS('Таблиця 1'!$K:$K,'Таблиця 1'!$B:$B,$A453,'Таблиця 1'!$I:$I,"Су-27",'Таблиця 1'!$J:$J,"C-13"))</f>
        <v/>
      </c>
      <c r="P453">
        <f>IF($A453="","",SUMIFS('Таблиця 1'!$K:$K,'Таблиця 1'!$B:$B,$A453,'Таблиця 1'!$I:$I,"Mirage",'Таблиця 1'!$J:$J,"MK-32")+SUMIFS('Таблиця 1'!$K:$K,'Таблиця 1'!$B:$B,$A453,'Таблиця 1'!$I:$I,"F-16",'Таблиця 1'!$J:$J,"MK-32")+SUMIFS('Таблиця 1'!$K:$K,'Таблиця 1'!$B:$B,$A453,'Таблиця 1'!$I:$I,"МіГ-29",'Таблиця 1'!$J:$J,"MK-32")+SUMIFS('Таблиця 1'!$K:$K,'Таблиця 1'!$B:$B,$A453,'Таблиця 1'!$I:$I,"Су-25",'Таблиця 1'!$J:$J,"MK-32")+SUMIFS('Таблиця 1'!$K:$K,'Таблиця 1'!$B:$B,$A453,'Таблиця 1'!$I:$I,"Су-27",'Таблиця 1'!$J:$J,"MK-32"))</f>
        <v/>
      </c>
      <c r="Q453">
        <f>IF($A453="","",SUMIFS('Таблиця 1'!$K:$K,'Таблиця 1'!$B:$B,$A453,'Таблиця 1'!$I:$I,"Mirage",'Таблиця 1'!$J:$J,"MK-24")+SUMIFS('Таблиця 1'!$K:$K,'Таблиця 1'!$B:$B,$A453,'Таблиця 1'!$I:$I,"F-16",'Таблиця 1'!$J:$J,"MK-24")+SUMIFS('Таблиця 1'!$K:$K,'Таблиця 1'!$B:$B,$A453,'Таблиця 1'!$I:$I,"МіГ-29",'Таблиця 1'!$J:$J,"MK-24")+SUMIFS('Таблиця 1'!$K:$K,'Таблиця 1'!$B:$B,$A453,'Таблиця 1'!$I:$I,"Су-25",'Таблиця 1'!$J:$J,"MK-24")+SUMIFS('Таблиця 1'!$K:$K,'Таблиця 1'!$B:$B,$A453,'Таблиця 1'!$I:$I,"Су-27",'Таблиця 1'!$J:$J,"MK-24"))</f>
        <v/>
      </c>
      <c r="R453">
        <f>IF($A453="","",COUNTIFS('Таблиця 1'!$B:$B,$A453,'Таблиця 1'!$I:$I,"Mirage",'Таблиця 1'!$L:$L,"Уражено")+COUNTIFS('Таблиця 1'!$B:$B,$A453,'Таблиця 1'!$I:$I,"F-16",'Таблиця 1'!$L:$L,"Уражено")+COUNTIFS('Таблиця 1'!$B:$B,$A453,'Таблиця 1'!$I:$I,"МіГ-29",'Таблиця 1'!$L:$L,"Уражено")+COUNTIFS('Таблиця 1'!$B:$B,$A453,'Таблиця 1'!$I:$I,"Су-25",'Таблиця 1'!$L:$L,"Уражено")+COUNTIFS('Таблиця 1'!$B:$B,$A453,'Таблиця 1'!$I:$I,"Су-27",'Таблиця 1'!$L:$L,"Уражено"))</f>
        <v/>
      </c>
      <c r="S453">
        <f>IF($A453="","",COUNTIFS('Таблиця 1'!$B:$B,$A453,'Таблиця 1'!$I:$I,"Mirage",'Таблиця 1'!$L:$L,"НЕ уражено")+COUNTIFS('Таблиця 1'!$B:$B,$A453,'Таблиця 1'!$I:$I,"F-16",'Таблиця 1'!$L:$L,"НЕ уражено")+COUNTIFS('Таблиця 1'!$B:$B,$A453,'Таблиця 1'!$I:$I,"МіГ-29",'Таблиця 1'!$L:$L,"НЕ уражено")+COUNTIFS('Таблиця 1'!$B:$B,$A453,'Таблиця 1'!$I:$I,"Су-25",'Таблиця 1'!$L:$L,"НЕ уражено")+COUNTIFS('Таблиця 1'!$B:$B,$A453,'Таблиця 1'!$I:$I,"Су-27",'Таблиця 1'!$L:$L,"НЕ уражено"))</f>
        <v/>
      </c>
      <c r="T453">
        <f>IF($A453="","",COUNTIFS('Таблиця 1'!$B:$B,$A453,'Таблиця 1'!$I:$I,"Mirage",'Таблиця 1'!$L:$L,"Дорозвідується")+COUNTIFS('Таблиця 1'!$B:$B,$A453,'Таблиця 1'!$I:$I,"F-16",'Таблиця 1'!$L:$L,"Дорозвідується")+COUNTIFS('Таблиця 1'!$B:$B,$A453,'Таблиця 1'!$I:$I,"МіГ-29",'Таблиця 1'!$L:$L,"Дорозвідується")+COUNTIFS('Таблиця 1'!$B:$B,$A453,'Таблиця 1'!$I:$I,"Су-25",'Таблиця 1'!$L:$L,"Дорозвідується")+COUNTIFS('Таблиця 1'!$B:$B,$A453,'Таблиця 1'!$I:$I,"Су-27",'Таблиця 1'!$L:$L,"Дорозвідується"))</f>
        <v/>
      </c>
    </row>
    <row r="454">
      <c r="A454" s="273">
        <f>IF(A453="","",IF(A453+1&gt;MAX('Таблиця 1'!$B:$B),"",A453+1))</f>
        <v/>
      </c>
      <c r="B454">
        <f>IF($A454="","",COUNTIFS('Таблиця 1'!$B:$B,$A454,'Таблиця 1'!$I:$I,"Mirage")+COUNTIFS('Таблиця 1'!$B:$B,$A454,'Таблиця 1'!$I:$I,"F-16")+COUNTIFS('Таблиця 1'!$B:$B,$A454,'Таблиця 1'!$I:$I,"МіГ-29")+COUNTIFS('Таблиця 1'!$B:$B,$A454,'Таблиця 1'!$I:$I,"Су-25")+COUNTIFS('Таблиця 1'!$B:$B,$A454,'Таблиця 1'!$I:$I,"Су-27"))</f>
        <v/>
      </c>
      <c r="C454">
        <f>IF($A454="","",COUNTIFS('Таблиця 1'!$B:$B,$A454,'Таблиця 1'!$I:$I,"Mirage"))</f>
        <v/>
      </c>
      <c r="D454">
        <f>IF($A454="","",COUNTIFS('Таблиця 1'!$B:$B,$A454,'Таблиця 1'!$I:$I,"F-16"))</f>
        <v/>
      </c>
      <c r="E454">
        <f>IF($A454="","",COUNTIFS('Таблиця 1'!$B:$B,$A454,'Таблиця 1'!$I:$I,"МіГ-29"))</f>
        <v/>
      </c>
      <c r="F454">
        <f>IF($A454="","",COUNTIFS('Таблиця 1'!$B:$B,$A454,'Таблиця 1'!$I:$I,"Су-25"))</f>
        <v/>
      </c>
      <c r="G454">
        <f>IF($A454="","",COUNTIFS('Таблиця 1'!$B:$B,$A454,'Таблиця 1'!$I:$I,"Су-27"))</f>
        <v/>
      </c>
      <c r="H454">
        <f>IF($A454="","",SUMIFS('Таблиця 1'!$K:$K,'Таблиця 1'!$B:$B,$A454,'Таблиця 1'!$I:$I,"Mirage",'Таблиця 1'!$J:$J,"AGM-88")+SUMIFS('Таблиця 1'!$K:$K,'Таблиця 1'!$B:$B,$A454,'Таблиця 1'!$I:$I,"F-16",'Таблиця 1'!$J:$J,"AGM-88")+SUMIFS('Таблиця 1'!$K:$K,'Таблиця 1'!$B:$B,$A454,'Таблиця 1'!$I:$I,"МіГ-29",'Таблиця 1'!$J:$J,"AGM-88")+SUMIFS('Таблиця 1'!$K:$K,'Таблиця 1'!$B:$B,$A454,'Таблиця 1'!$I:$I,"Су-25",'Таблиця 1'!$J:$J,"AGM-88")+SUMIFS('Таблиця 1'!$K:$K,'Таблиця 1'!$B:$B,$A454,'Таблиця 1'!$I:$I,"Су-27",'Таблиця 1'!$J:$J,"AGM-88"))</f>
        <v/>
      </c>
      <c r="I454">
        <f>IF($A454="","",SUMIFS('Таблиця 1'!$K:$K,'Таблиця 1'!$B:$B,$A454,'Таблиця 1'!$I:$I,"Mirage",'Таблиця 1'!$J:$J,"AASM-250")+SUMIFS('Таблиця 1'!$K:$K,'Таблиця 1'!$B:$B,$A454,'Таблиця 1'!$I:$I,"F-16",'Таблиця 1'!$J:$J,"AASM-250")+SUMIFS('Таблиця 1'!$K:$K,'Таблиця 1'!$B:$B,$A454,'Таблиця 1'!$I:$I,"МіГ-29",'Таблиця 1'!$J:$J,"AASM-250")+SUMIFS('Таблиця 1'!$K:$K,'Таблиця 1'!$B:$B,$A454,'Таблиця 1'!$I:$I,"Су-25",'Таблиця 1'!$J:$J,"AASM-250")+SUMIFS('Таблиця 1'!$K:$K,'Таблиця 1'!$B:$B,$A454,'Таблиця 1'!$I:$I,"Су-27",'Таблиця 1'!$J:$J,"AASM-250"))</f>
        <v/>
      </c>
      <c r="J454">
        <f>IF($A454="","",SUMIFS('Таблиця 1'!$K:$K,'Таблиця 1'!$B:$B,$A454,'Таблиця 1'!$I:$I,"Mirage",'Таблиця 1'!$J:$J,"GBU-39")+SUMIFS('Таблиця 1'!$K:$K,'Таблиця 1'!$B:$B,$A454,'Таблиця 1'!$I:$I,"F-16",'Таблиця 1'!$J:$J,"GBU-39")+SUMIFS('Таблиця 1'!$K:$K,'Таблиця 1'!$B:$B,$A454,'Таблиця 1'!$I:$I,"МіГ-29",'Таблиця 1'!$J:$J,"GBU-39")+SUMIFS('Таблиця 1'!$K:$K,'Таблиця 1'!$B:$B,$A454,'Таблиця 1'!$I:$I,"Су-25",'Таблиця 1'!$J:$J,"GBU-39")+SUMIFS('Таблиця 1'!$K:$K,'Таблиця 1'!$B:$B,$A454,'Таблиця 1'!$I:$I,"Су-27",'Таблиця 1'!$J:$J,"GBU-39"))</f>
        <v/>
      </c>
      <c r="K454">
        <f>IF($A454="","",SUMIFS('Таблиця 1'!$K:$K,'Таблиця 1'!$B:$B,$A454,'Таблиця 1'!$I:$I,"Mirage",'Таблиця 1'!$J:$J,"BLU-140")+SUMIFS('Таблиця 1'!$K:$K,'Таблиця 1'!$B:$B,$A454,'Таблиця 1'!$I:$I,"F-16",'Таблиця 1'!$J:$J,"BLU-140")+SUMIFS('Таблиця 1'!$K:$K,'Таблиця 1'!$B:$B,$A454,'Таблиця 1'!$I:$I,"МіГ-29",'Таблиця 1'!$J:$J,"BLU-140")+SUMIFS('Таблиця 1'!$K:$K,'Таблиця 1'!$B:$B,$A454,'Таблиця 1'!$I:$I,"Су-25",'Таблиця 1'!$J:$J,"BLU-140")+SUMIFS('Таблиця 1'!$K:$K,'Таблиця 1'!$B:$B,$A454,'Таблиця 1'!$I:$I,"Су-27",'Таблиця 1'!$J:$J,"BLU-140"))</f>
        <v/>
      </c>
      <c r="L454">
        <f>IF($A454="","",SUMIFS('Таблиця 1'!$K:$K,'Таблиця 1'!$B:$B,$A454,'Таблиця 1'!$I:$I,"Mirage",'Таблиця 1'!$J:$J,"GBU-65")+SUMIFS('Таблиця 1'!$K:$K,'Таблиця 1'!$B:$B,$A454,'Таблиця 1'!$I:$I,"F-16",'Таблиця 1'!$J:$J,"GBU-65")+SUMIFS('Таблиця 1'!$K:$K,'Таблиця 1'!$B:$B,$A454,'Таблиця 1'!$I:$I,"МіГ-29",'Таблиця 1'!$J:$J,"GBU-65")+SUMIFS('Таблиця 1'!$K:$K,'Таблиця 1'!$B:$B,$A454,'Таблиця 1'!$I:$I,"Су-25",'Таблиця 1'!$J:$J,"GBU-65")+SUMIFS('Таблиця 1'!$K:$K,'Таблиця 1'!$B:$B,$A454,'Таблиця 1'!$I:$I,"Су-27",'Таблиця 1'!$J:$J,"GBU-65"))</f>
        <v/>
      </c>
      <c r="M454">
        <f>IF($A454="","",SUMIFS('Таблиця 1'!$K:$K,'Таблиця 1'!$B:$B,$A454,'Таблиця 1'!$I:$I,"Mirage",'Таблиця 1'!$J:$J,"GBU-62")+SUMIFS('Таблиця 1'!$K:$K,'Таблиця 1'!$B:$B,$A454,'Таблиця 1'!$I:$I,"F-16",'Таблиця 1'!$J:$J,"GBU-62")+SUMIFS('Таблиця 1'!$K:$K,'Таблиця 1'!$B:$B,$A454,'Таблиця 1'!$I:$I,"МіГ-29",'Таблиця 1'!$J:$J,"GBU-62")+SUMIFS('Таблиця 1'!$K:$K,'Таблиця 1'!$B:$B,$A454,'Таблиця 1'!$I:$I,"Су-25",'Таблиця 1'!$J:$J,"GBU-62")+SUMIFS('Таблиця 1'!$K:$K,'Таблиця 1'!$B:$B,$A454,'Таблиця 1'!$I:$I,"Су-27",'Таблиця 1'!$J:$J,"GBU-62"))</f>
        <v/>
      </c>
      <c r="N454">
        <f>IF($A454="","",SUMIFS('Таблиця 1'!$K:$K,'Таблиця 1'!$B:$B,$A454,'Таблиця 1'!$I:$I,"Mirage",'Таблиця 1'!$J:$J,"GBU-64")+SUMIFS('Таблиця 1'!$K:$K,'Таблиця 1'!$B:$B,$A454,'Таблиця 1'!$I:$I,"F-16",'Таблиця 1'!$J:$J,"GBU-64")+SUMIFS('Таблиця 1'!$K:$K,'Таблиця 1'!$B:$B,$A454,'Таблиця 1'!$I:$I,"МіГ-29",'Таблиця 1'!$J:$J,"GBU-64")+SUMIFS('Таблиця 1'!$K:$K,'Таблиця 1'!$B:$B,$A454,'Таблиця 1'!$I:$I,"Су-25",'Таблиця 1'!$J:$J,"GBU-64")+SUMIFS('Таблиця 1'!$K:$K,'Таблиця 1'!$B:$B,$A454,'Таблиця 1'!$I:$I,"Су-27",'Таблиця 1'!$J:$J,"GBU-64"))</f>
        <v/>
      </c>
      <c r="O454">
        <f>IF($A454="","",SUMIFS('Таблиця 1'!$K:$K,'Таблиця 1'!$B:$B,$A454,'Таблиця 1'!$I:$I,"Mirage",'Таблиця 1'!$J:$J,"C-13")+SUMIFS('Таблиця 1'!$K:$K,'Таблиця 1'!$B:$B,$A454,'Таблиця 1'!$I:$I,"F-16",'Таблиця 1'!$J:$J,"C-13")+SUMIFS('Таблиця 1'!$K:$K,'Таблиця 1'!$B:$B,$A454,'Таблиця 1'!$I:$I,"МіГ-29",'Таблиця 1'!$J:$J,"C-13")+SUMIFS('Таблиця 1'!$K:$K,'Таблиця 1'!$B:$B,$A454,'Таблиця 1'!$I:$I,"Су-25",'Таблиця 1'!$J:$J,"C-13")+SUMIFS('Таблиця 1'!$K:$K,'Таблиця 1'!$B:$B,$A454,'Таблиця 1'!$I:$I,"Су-27",'Таблиця 1'!$J:$J,"C-13"))</f>
        <v/>
      </c>
      <c r="P454">
        <f>IF($A454="","",SUMIFS('Таблиця 1'!$K:$K,'Таблиця 1'!$B:$B,$A454,'Таблиця 1'!$I:$I,"Mirage",'Таблиця 1'!$J:$J,"MK-32")+SUMIFS('Таблиця 1'!$K:$K,'Таблиця 1'!$B:$B,$A454,'Таблиця 1'!$I:$I,"F-16",'Таблиця 1'!$J:$J,"MK-32")+SUMIFS('Таблиця 1'!$K:$K,'Таблиця 1'!$B:$B,$A454,'Таблиця 1'!$I:$I,"МіГ-29",'Таблиця 1'!$J:$J,"MK-32")+SUMIFS('Таблиця 1'!$K:$K,'Таблиця 1'!$B:$B,$A454,'Таблиця 1'!$I:$I,"Су-25",'Таблиця 1'!$J:$J,"MK-32")+SUMIFS('Таблиця 1'!$K:$K,'Таблиця 1'!$B:$B,$A454,'Таблиця 1'!$I:$I,"Су-27",'Таблиця 1'!$J:$J,"MK-32"))</f>
        <v/>
      </c>
      <c r="Q454">
        <f>IF($A454="","",SUMIFS('Таблиця 1'!$K:$K,'Таблиця 1'!$B:$B,$A454,'Таблиця 1'!$I:$I,"Mirage",'Таблиця 1'!$J:$J,"MK-24")+SUMIFS('Таблиця 1'!$K:$K,'Таблиця 1'!$B:$B,$A454,'Таблиця 1'!$I:$I,"F-16",'Таблиця 1'!$J:$J,"MK-24")+SUMIFS('Таблиця 1'!$K:$K,'Таблиця 1'!$B:$B,$A454,'Таблиця 1'!$I:$I,"МіГ-29",'Таблиця 1'!$J:$J,"MK-24")+SUMIFS('Таблиця 1'!$K:$K,'Таблиця 1'!$B:$B,$A454,'Таблиця 1'!$I:$I,"Су-25",'Таблиця 1'!$J:$J,"MK-24")+SUMIFS('Таблиця 1'!$K:$K,'Таблиця 1'!$B:$B,$A454,'Таблиця 1'!$I:$I,"Су-27",'Таблиця 1'!$J:$J,"MK-24"))</f>
        <v/>
      </c>
      <c r="R454">
        <f>IF($A454="","",COUNTIFS('Таблиця 1'!$B:$B,$A454,'Таблиця 1'!$I:$I,"Mirage",'Таблиця 1'!$L:$L,"Уражено")+COUNTIFS('Таблиця 1'!$B:$B,$A454,'Таблиця 1'!$I:$I,"F-16",'Таблиця 1'!$L:$L,"Уражено")+COUNTIFS('Таблиця 1'!$B:$B,$A454,'Таблиця 1'!$I:$I,"МіГ-29",'Таблиця 1'!$L:$L,"Уражено")+COUNTIFS('Таблиця 1'!$B:$B,$A454,'Таблиця 1'!$I:$I,"Су-25",'Таблиця 1'!$L:$L,"Уражено")+COUNTIFS('Таблиця 1'!$B:$B,$A454,'Таблиця 1'!$I:$I,"Су-27",'Таблиця 1'!$L:$L,"Уражено"))</f>
        <v/>
      </c>
      <c r="S454">
        <f>IF($A454="","",COUNTIFS('Таблиця 1'!$B:$B,$A454,'Таблиця 1'!$I:$I,"Mirage",'Таблиця 1'!$L:$L,"НЕ уражено")+COUNTIFS('Таблиця 1'!$B:$B,$A454,'Таблиця 1'!$I:$I,"F-16",'Таблиця 1'!$L:$L,"НЕ уражено")+COUNTIFS('Таблиця 1'!$B:$B,$A454,'Таблиця 1'!$I:$I,"МіГ-29",'Таблиця 1'!$L:$L,"НЕ уражено")+COUNTIFS('Таблиця 1'!$B:$B,$A454,'Таблиця 1'!$I:$I,"Су-25",'Таблиця 1'!$L:$L,"НЕ уражено")+COUNTIFS('Таблиця 1'!$B:$B,$A454,'Таблиця 1'!$I:$I,"Су-27",'Таблиця 1'!$L:$L,"НЕ уражено"))</f>
        <v/>
      </c>
      <c r="T454">
        <f>IF($A454="","",COUNTIFS('Таблиця 1'!$B:$B,$A454,'Таблиця 1'!$I:$I,"Mirage",'Таблиця 1'!$L:$L,"Дорозвідується")+COUNTIFS('Таблиця 1'!$B:$B,$A454,'Таблиця 1'!$I:$I,"F-16",'Таблиця 1'!$L:$L,"Дорозвідується")+COUNTIFS('Таблиця 1'!$B:$B,$A454,'Таблиця 1'!$I:$I,"МіГ-29",'Таблиця 1'!$L:$L,"Дорозвідується")+COUNTIFS('Таблиця 1'!$B:$B,$A454,'Таблиця 1'!$I:$I,"Су-25",'Таблиця 1'!$L:$L,"Дорозвідується")+COUNTIFS('Таблиця 1'!$B:$B,$A454,'Таблиця 1'!$I:$I,"Су-27",'Таблиця 1'!$L:$L,"Дорозвідується"))</f>
        <v/>
      </c>
    </row>
    <row r="455">
      <c r="A455" s="273">
        <f>IF(A454="","",IF(A454+1&gt;MAX('Таблиця 1'!$B:$B),"",A454+1))</f>
        <v/>
      </c>
      <c r="B455">
        <f>IF($A455="","",COUNTIFS('Таблиця 1'!$B:$B,$A455,'Таблиця 1'!$I:$I,"Mirage")+COUNTIFS('Таблиця 1'!$B:$B,$A455,'Таблиця 1'!$I:$I,"F-16")+COUNTIFS('Таблиця 1'!$B:$B,$A455,'Таблиця 1'!$I:$I,"МіГ-29")+COUNTIFS('Таблиця 1'!$B:$B,$A455,'Таблиця 1'!$I:$I,"Су-25")+COUNTIFS('Таблиця 1'!$B:$B,$A455,'Таблиця 1'!$I:$I,"Су-27"))</f>
        <v/>
      </c>
      <c r="C455">
        <f>IF($A455="","",COUNTIFS('Таблиця 1'!$B:$B,$A455,'Таблиця 1'!$I:$I,"Mirage"))</f>
        <v/>
      </c>
      <c r="D455">
        <f>IF($A455="","",COUNTIFS('Таблиця 1'!$B:$B,$A455,'Таблиця 1'!$I:$I,"F-16"))</f>
        <v/>
      </c>
      <c r="E455">
        <f>IF($A455="","",COUNTIFS('Таблиця 1'!$B:$B,$A455,'Таблиця 1'!$I:$I,"МіГ-29"))</f>
        <v/>
      </c>
      <c r="F455">
        <f>IF($A455="","",COUNTIFS('Таблиця 1'!$B:$B,$A455,'Таблиця 1'!$I:$I,"Су-25"))</f>
        <v/>
      </c>
      <c r="G455">
        <f>IF($A455="","",COUNTIFS('Таблиця 1'!$B:$B,$A455,'Таблиця 1'!$I:$I,"Су-27"))</f>
        <v/>
      </c>
      <c r="H455">
        <f>IF($A455="","",SUMIFS('Таблиця 1'!$K:$K,'Таблиця 1'!$B:$B,$A455,'Таблиця 1'!$I:$I,"Mirage",'Таблиця 1'!$J:$J,"AGM-88")+SUMIFS('Таблиця 1'!$K:$K,'Таблиця 1'!$B:$B,$A455,'Таблиця 1'!$I:$I,"F-16",'Таблиця 1'!$J:$J,"AGM-88")+SUMIFS('Таблиця 1'!$K:$K,'Таблиця 1'!$B:$B,$A455,'Таблиця 1'!$I:$I,"МіГ-29",'Таблиця 1'!$J:$J,"AGM-88")+SUMIFS('Таблиця 1'!$K:$K,'Таблиця 1'!$B:$B,$A455,'Таблиця 1'!$I:$I,"Су-25",'Таблиця 1'!$J:$J,"AGM-88")+SUMIFS('Таблиця 1'!$K:$K,'Таблиця 1'!$B:$B,$A455,'Таблиця 1'!$I:$I,"Су-27",'Таблиця 1'!$J:$J,"AGM-88"))</f>
        <v/>
      </c>
      <c r="I455">
        <f>IF($A455="","",SUMIFS('Таблиця 1'!$K:$K,'Таблиця 1'!$B:$B,$A455,'Таблиця 1'!$I:$I,"Mirage",'Таблиця 1'!$J:$J,"AASM-250")+SUMIFS('Таблиця 1'!$K:$K,'Таблиця 1'!$B:$B,$A455,'Таблиця 1'!$I:$I,"F-16",'Таблиця 1'!$J:$J,"AASM-250")+SUMIFS('Таблиця 1'!$K:$K,'Таблиця 1'!$B:$B,$A455,'Таблиця 1'!$I:$I,"МіГ-29",'Таблиця 1'!$J:$J,"AASM-250")+SUMIFS('Таблиця 1'!$K:$K,'Таблиця 1'!$B:$B,$A455,'Таблиця 1'!$I:$I,"Су-25",'Таблиця 1'!$J:$J,"AASM-250")+SUMIFS('Таблиця 1'!$K:$K,'Таблиця 1'!$B:$B,$A455,'Таблиця 1'!$I:$I,"Су-27",'Таблиця 1'!$J:$J,"AASM-250"))</f>
        <v/>
      </c>
      <c r="J455">
        <f>IF($A455="","",SUMIFS('Таблиця 1'!$K:$K,'Таблиця 1'!$B:$B,$A455,'Таблиця 1'!$I:$I,"Mirage",'Таблиця 1'!$J:$J,"GBU-39")+SUMIFS('Таблиця 1'!$K:$K,'Таблиця 1'!$B:$B,$A455,'Таблиця 1'!$I:$I,"F-16",'Таблиця 1'!$J:$J,"GBU-39")+SUMIFS('Таблиця 1'!$K:$K,'Таблиця 1'!$B:$B,$A455,'Таблиця 1'!$I:$I,"МіГ-29",'Таблиця 1'!$J:$J,"GBU-39")+SUMIFS('Таблиця 1'!$K:$K,'Таблиця 1'!$B:$B,$A455,'Таблиця 1'!$I:$I,"Су-25",'Таблиця 1'!$J:$J,"GBU-39")+SUMIFS('Таблиця 1'!$K:$K,'Таблиця 1'!$B:$B,$A455,'Таблиця 1'!$I:$I,"Су-27",'Таблиця 1'!$J:$J,"GBU-39"))</f>
        <v/>
      </c>
      <c r="K455">
        <f>IF($A455="","",SUMIFS('Таблиця 1'!$K:$K,'Таблиця 1'!$B:$B,$A455,'Таблиця 1'!$I:$I,"Mirage",'Таблиця 1'!$J:$J,"BLU-140")+SUMIFS('Таблиця 1'!$K:$K,'Таблиця 1'!$B:$B,$A455,'Таблиця 1'!$I:$I,"F-16",'Таблиця 1'!$J:$J,"BLU-140")+SUMIFS('Таблиця 1'!$K:$K,'Таблиця 1'!$B:$B,$A455,'Таблиця 1'!$I:$I,"МіГ-29",'Таблиця 1'!$J:$J,"BLU-140")+SUMIFS('Таблиця 1'!$K:$K,'Таблиця 1'!$B:$B,$A455,'Таблиця 1'!$I:$I,"Су-25",'Таблиця 1'!$J:$J,"BLU-140")+SUMIFS('Таблиця 1'!$K:$K,'Таблиця 1'!$B:$B,$A455,'Таблиця 1'!$I:$I,"Су-27",'Таблиця 1'!$J:$J,"BLU-140"))</f>
        <v/>
      </c>
      <c r="L455">
        <f>IF($A455="","",SUMIFS('Таблиця 1'!$K:$K,'Таблиця 1'!$B:$B,$A455,'Таблиця 1'!$I:$I,"Mirage",'Таблиця 1'!$J:$J,"GBU-65")+SUMIFS('Таблиця 1'!$K:$K,'Таблиця 1'!$B:$B,$A455,'Таблиця 1'!$I:$I,"F-16",'Таблиця 1'!$J:$J,"GBU-65")+SUMIFS('Таблиця 1'!$K:$K,'Таблиця 1'!$B:$B,$A455,'Таблиця 1'!$I:$I,"МіГ-29",'Таблиця 1'!$J:$J,"GBU-65")+SUMIFS('Таблиця 1'!$K:$K,'Таблиця 1'!$B:$B,$A455,'Таблиця 1'!$I:$I,"Су-25",'Таблиця 1'!$J:$J,"GBU-65")+SUMIFS('Таблиця 1'!$K:$K,'Таблиця 1'!$B:$B,$A455,'Таблиця 1'!$I:$I,"Су-27",'Таблиця 1'!$J:$J,"GBU-65"))</f>
        <v/>
      </c>
      <c r="M455">
        <f>IF($A455="","",SUMIFS('Таблиця 1'!$K:$K,'Таблиця 1'!$B:$B,$A455,'Таблиця 1'!$I:$I,"Mirage",'Таблиця 1'!$J:$J,"GBU-62")+SUMIFS('Таблиця 1'!$K:$K,'Таблиця 1'!$B:$B,$A455,'Таблиця 1'!$I:$I,"F-16",'Таблиця 1'!$J:$J,"GBU-62")+SUMIFS('Таблиця 1'!$K:$K,'Таблиця 1'!$B:$B,$A455,'Таблиця 1'!$I:$I,"МіГ-29",'Таблиця 1'!$J:$J,"GBU-62")+SUMIFS('Таблиця 1'!$K:$K,'Таблиця 1'!$B:$B,$A455,'Таблиця 1'!$I:$I,"Су-25",'Таблиця 1'!$J:$J,"GBU-62")+SUMIFS('Таблиця 1'!$K:$K,'Таблиця 1'!$B:$B,$A455,'Таблиця 1'!$I:$I,"Су-27",'Таблиця 1'!$J:$J,"GBU-62"))</f>
        <v/>
      </c>
      <c r="N455">
        <f>IF($A455="","",SUMIFS('Таблиця 1'!$K:$K,'Таблиця 1'!$B:$B,$A455,'Таблиця 1'!$I:$I,"Mirage",'Таблиця 1'!$J:$J,"GBU-64")+SUMIFS('Таблиця 1'!$K:$K,'Таблиця 1'!$B:$B,$A455,'Таблиця 1'!$I:$I,"F-16",'Таблиця 1'!$J:$J,"GBU-64")+SUMIFS('Таблиця 1'!$K:$K,'Таблиця 1'!$B:$B,$A455,'Таблиця 1'!$I:$I,"МіГ-29",'Таблиця 1'!$J:$J,"GBU-64")+SUMIFS('Таблиця 1'!$K:$K,'Таблиця 1'!$B:$B,$A455,'Таблиця 1'!$I:$I,"Су-25",'Таблиця 1'!$J:$J,"GBU-64")+SUMIFS('Таблиця 1'!$K:$K,'Таблиця 1'!$B:$B,$A455,'Таблиця 1'!$I:$I,"Су-27",'Таблиця 1'!$J:$J,"GBU-64"))</f>
        <v/>
      </c>
      <c r="O455">
        <f>IF($A455="","",SUMIFS('Таблиця 1'!$K:$K,'Таблиця 1'!$B:$B,$A455,'Таблиця 1'!$I:$I,"Mirage",'Таблиця 1'!$J:$J,"C-13")+SUMIFS('Таблиця 1'!$K:$K,'Таблиця 1'!$B:$B,$A455,'Таблиця 1'!$I:$I,"F-16",'Таблиця 1'!$J:$J,"C-13")+SUMIFS('Таблиця 1'!$K:$K,'Таблиця 1'!$B:$B,$A455,'Таблиця 1'!$I:$I,"МіГ-29",'Таблиця 1'!$J:$J,"C-13")+SUMIFS('Таблиця 1'!$K:$K,'Таблиця 1'!$B:$B,$A455,'Таблиця 1'!$I:$I,"Су-25",'Таблиця 1'!$J:$J,"C-13")+SUMIFS('Таблиця 1'!$K:$K,'Таблиця 1'!$B:$B,$A455,'Таблиця 1'!$I:$I,"Су-27",'Таблиця 1'!$J:$J,"C-13"))</f>
        <v/>
      </c>
      <c r="P455">
        <f>IF($A455="","",SUMIFS('Таблиця 1'!$K:$K,'Таблиця 1'!$B:$B,$A455,'Таблиця 1'!$I:$I,"Mirage",'Таблиця 1'!$J:$J,"MK-32")+SUMIFS('Таблиця 1'!$K:$K,'Таблиця 1'!$B:$B,$A455,'Таблиця 1'!$I:$I,"F-16",'Таблиця 1'!$J:$J,"MK-32")+SUMIFS('Таблиця 1'!$K:$K,'Таблиця 1'!$B:$B,$A455,'Таблиця 1'!$I:$I,"МіГ-29",'Таблиця 1'!$J:$J,"MK-32")+SUMIFS('Таблиця 1'!$K:$K,'Таблиця 1'!$B:$B,$A455,'Таблиця 1'!$I:$I,"Су-25",'Таблиця 1'!$J:$J,"MK-32")+SUMIFS('Таблиця 1'!$K:$K,'Таблиця 1'!$B:$B,$A455,'Таблиця 1'!$I:$I,"Су-27",'Таблиця 1'!$J:$J,"MK-32"))</f>
        <v/>
      </c>
      <c r="Q455">
        <f>IF($A455="","",SUMIFS('Таблиця 1'!$K:$K,'Таблиця 1'!$B:$B,$A455,'Таблиця 1'!$I:$I,"Mirage",'Таблиця 1'!$J:$J,"MK-24")+SUMIFS('Таблиця 1'!$K:$K,'Таблиця 1'!$B:$B,$A455,'Таблиця 1'!$I:$I,"F-16",'Таблиця 1'!$J:$J,"MK-24")+SUMIFS('Таблиця 1'!$K:$K,'Таблиця 1'!$B:$B,$A455,'Таблиця 1'!$I:$I,"МіГ-29",'Таблиця 1'!$J:$J,"MK-24")+SUMIFS('Таблиця 1'!$K:$K,'Таблиця 1'!$B:$B,$A455,'Таблиця 1'!$I:$I,"Су-25",'Таблиця 1'!$J:$J,"MK-24")+SUMIFS('Таблиця 1'!$K:$K,'Таблиця 1'!$B:$B,$A455,'Таблиця 1'!$I:$I,"Су-27",'Таблиця 1'!$J:$J,"MK-24"))</f>
        <v/>
      </c>
      <c r="R455">
        <f>IF($A455="","",COUNTIFS('Таблиця 1'!$B:$B,$A455,'Таблиця 1'!$I:$I,"Mirage",'Таблиця 1'!$L:$L,"Уражено")+COUNTIFS('Таблиця 1'!$B:$B,$A455,'Таблиця 1'!$I:$I,"F-16",'Таблиця 1'!$L:$L,"Уражено")+COUNTIFS('Таблиця 1'!$B:$B,$A455,'Таблиця 1'!$I:$I,"МіГ-29",'Таблиця 1'!$L:$L,"Уражено")+COUNTIFS('Таблиця 1'!$B:$B,$A455,'Таблиця 1'!$I:$I,"Су-25",'Таблиця 1'!$L:$L,"Уражено")+COUNTIFS('Таблиця 1'!$B:$B,$A455,'Таблиця 1'!$I:$I,"Су-27",'Таблиця 1'!$L:$L,"Уражено"))</f>
        <v/>
      </c>
      <c r="S455">
        <f>IF($A455="","",COUNTIFS('Таблиця 1'!$B:$B,$A455,'Таблиця 1'!$I:$I,"Mirage",'Таблиця 1'!$L:$L,"НЕ уражено")+COUNTIFS('Таблиця 1'!$B:$B,$A455,'Таблиця 1'!$I:$I,"F-16",'Таблиця 1'!$L:$L,"НЕ уражено")+COUNTIFS('Таблиця 1'!$B:$B,$A455,'Таблиця 1'!$I:$I,"МіГ-29",'Таблиця 1'!$L:$L,"НЕ уражено")+COUNTIFS('Таблиця 1'!$B:$B,$A455,'Таблиця 1'!$I:$I,"Су-25",'Таблиця 1'!$L:$L,"НЕ уражено")+COUNTIFS('Таблиця 1'!$B:$B,$A455,'Таблиця 1'!$I:$I,"Су-27",'Таблиця 1'!$L:$L,"НЕ уражено"))</f>
        <v/>
      </c>
      <c r="T455">
        <f>IF($A455="","",COUNTIFS('Таблиця 1'!$B:$B,$A455,'Таблиця 1'!$I:$I,"Mirage",'Таблиця 1'!$L:$L,"Дорозвідується")+COUNTIFS('Таблиця 1'!$B:$B,$A455,'Таблиця 1'!$I:$I,"F-16",'Таблиця 1'!$L:$L,"Дорозвідується")+COUNTIFS('Таблиця 1'!$B:$B,$A455,'Таблиця 1'!$I:$I,"МіГ-29",'Таблиця 1'!$L:$L,"Дорозвідується")+COUNTIFS('Таблиця 1'!$B:$B,$A455,'Таблиця 1'!$I:$I,"Су-25",'Таблиця 1'!$L:$L,"Дорозвідується")+COUNTIFS('Таблиця 1'!$B:$B,$A455,'Таблиця 1'!$I:$I,"Су-27",'Таблиця 1'!$L:$L,"Дорозвідується"))</f>
        <v/>
      </c>
    </row>
    <row r="456">
      <c r="A456" s="273">
        <f>IF(A455="","",IF(A455+1&gt;MAX('Таблиця 1'!$B:$B),"",A455+1))</f>
        <v/>
      </c>
      <c r="B456">
        <f>IF($A456="","",COUNTIFS('Таблиця 1'!$B:$B,$A456,'Таблиця 1'!$I:$I,"Mirage")+COUNTIFS('Таблиця 1'!$B:$B,$A456,'Таблиця 1'!$I:$I,"F-16")+COUNTIFS('Таблиця 1'!$B:$B,$A456,'Таблиця 1'!$I:$I,"МіГ-29")+COUNTIFS('Таблиця 1'!$B:$B,$A456,'Таблиця 1'!$I:$I,"Су-25")+COUNTIFS('Таблиця 1'!$B:$B,$A456,'Таблиця 1'!$I:$I,"Су-27"))</f>
        <v/>
      </c>
      <c r="C456">
        <f>IF($A456="","",COUNTIFS('Таблиця 1'!$B:$B,$A456,'Таблиця 1'!$I:$I,"Mirage"))</f>
        <v/>
      </c>
      <c r="D456">
        <f>IF($A456="","",COUNTIFS('Таблиця 1'!$B:$B,$A456,'Таблиця 1'!$I:$I,"F-16"))</f>
        <v/>
      </c>
      <c r="E456">
        <f>IF($A456="","",COUNTIFS('Таблиця 1'!$B:$B,$A456,'Таблиця 1'!$I:$I,"МіГ-29"))</f>
        <v/>
      </c>
      <c r="F456">
        <f>IF($A456="","",COUNTIFS('Таблиця 1'!$B:$B,$A456,'Таблиця 1'!$I:$I,"Су-25"))</f>
        <v/>
      </c>
      <c r="G456">
        <f>IF($A456="","",COUNTIFS('Таблиця 1'!$B:$B,$A456,'Таблиця 1'!$I:$I,"Су-27"))</f>
        <v/>
      </c>
      <c r="H456">
        <f>IF($A456="","",SUMIFS('Таблиця 1'!$K:$K,'Таблиця 1'!$B:$B,$A456,'Таблиця 1'!$I:$I,"Mirage",'Таблиця 1'!$J:$J,"AGM-88")+SUMIFS('Таблиця 1'!$K:$K,'Таблиця 1'!$B:$B,$A456,'Таблиця 1'!$I:$I,"F-16",'Таблиця 1'!$J:$J,"AGM-88")+SUMIFS('Таблиця 1'!$K:$K,'Таблиця 1'!$B:$B,$A456,'Таблиця 1'!$I:$I,"МіГ-29",'Таблиця 1'!$J:$J,"AGM-88")+SUMIFS('Таблиця 1'!$K:$K,'Таблиця 1'!$B:$B,$A456,'Таблиця 1'!$I:$I,"Су-25",'Таблиця 1'!$J:$J,"AGM-88")+SUMIFS('Таблиця 1'!$K:$K,'Таблиця 1'!$B:$B,$A456,'Таблиця 1'!$I:$I,"Су-27",'Таблиця 1'!$J:$J,"AGM-88"))</f>
        <v/>
      </c>
      <c r="I456">
        <f>IF($A456="","",SUMIFS('Таблиця 1'!$K:$K,'Таблиця 1'!$B:$B,$A456,'Таблиця 1'!$I:$I,"Mirage",'Таблиця 1'!$J:$J,"AASM-250")+SUMIFS('Таблиця 1'!$K:$K,'Таблиця 1'!$B:$B,$A456,'Таблиця 1'!$I:$I,"F-16",'Таблиця 1'!$J:$J,"AASM-250")+SUMIFS('Таблиця 1'!$K:$K,'Таблиця 1'!$B:$B,$A456,'Таблиця 1'!$I:$I,"МіГ-29",'Таблиця 1'!$J:$J,"AASM-250")+SUMIFS('Таблиця 1'!$K:$K,'Таблиця 1'!$B:$B,$A456,'Таблиця 1'!$I:$I,"Су-25",'Таблиця 1'!$J:$J,"AASM-250")+SUMIFS('Таблиця 1'!$K:$K,'Таблиця 1'!$B:$B,$A456,'Таблиця 1'!$I:$I,"Су-27",'Таблиця 1'!$J:$J,"AASM-250"))</f>
        <v/>
      </c>
      <c r="J456">
        <f>IF($A456="","",SUMIFS('Таблиця 1'!$K:$K,'Таблиця 1'!$B:$B,$A456,'Таблиця 1'!$I:$I,"Mirage",'Таблиця 1'!$J:$J,"GBU-39")+SUMIFS('Таблиця 1'!$K:$K,'Таблиця 1'!$B:$B,$A456,'Таблиця 1'!$I:$I,"F-16",'Таблиця 1'!$J:$J,"GBU-39")+SUMIFS('Таблиця 1'!$K:$K,'Таблиця 1'!$B:$B,$A456,'Таблиця 1'!$I:$I,"МіГ-29",'Таблиця 1'!$J:$J,"GBU-39")+SUMIFS('Таблиця 1'!$K:$K,'Таблиця 1'!$B:$B,$A456,'Таблиця 1'!$I:$I,"Су-25",'Таблиця 1'!$J:$J,"GBU-39")+SUMIFS('Таблиця 1'!$K:$K,'Таблиця 1'!$B:$B,$A456,'Таблиця 1'!$I:$I,"Су-27",'Таблиця 1'!$J:$J,"GBU-39"))</f>
        <v/>
      </c>
      <c r="K456">
        <f>IF($A456="","",SUMIFS('Таблиця 1'!$K:$K,'Таблиця 1'!$B:$B,$A456,'Таблиця 1'!$I:$I,"Mirage",'Таблиця 1'!$J:$J,"BLU-140")+SUMIFS('Таблиця 1'!$K:$K,'Таблиця 1'!$B:$B,$A456,'Таблиця 1'!$I:$I,"F-16",'Таблиця 1'!$J:$J,"BLU-140")+SUMIFS('Таблиця 1'!$K:$K,'Таблиця 1'!$B:$B,$A456,'Таблиця 1'!$I:$I,"МіГ-29",'Таблиця 1'!$J:$J,"BLU-140")+SUMIFS('Таблиця 1'!$K:$K,'Таблиця 1'!$B:$B,$A456,'Таблиця 1'!$I:$I,"Су-25",'Таблиця 1'!$J:$J,"BLU-140")+SUMIFS('Таблиця 1'!$K:$K,'Таблиця 1'!$B:$B,$A456,'Таблиця 1'!$I:$I,"Су-27",'Таблиця 1'!$J:$J,"BLU-140"))</f>
        <v/>
      </c>
      <c r="L456">
        <f>IF($A456="","",SUMIFS('Таблиця 1'!$K:$K,'Таблиця 1'!$B:$B,$A456,'Таблиця 1'!$I:$I,"Mirage",'Таблиця 1'!$J:$J,"GBU-65")+SUMIFS('Таблиця 1'!$K:$K,'Таблиця 1'!$B:$B,$A456,'Таблиця 1'!$I:$I,"F-16",'Таблиця 1'!$J:$J,"GBU-65")+SUMIFS('Таблиця 1'!$K:$K,'Таблиця 1'!$B:$B,$A456,'Таблиця 1'!$I:$I,"МіГ-29",'Таблиця 1'!$J:$J,"GBU-65")+SUMIFS('Таблиця 1'!$K:$K,'Таблиця 1'!$B:$B,$A456,'Таблиця 1'!$I:$I,"Су-25",'Таблиця 1'!$J:$J,"GBU-65")+SUMIFS('Таблиця 1'!$K:$K,'Таблиця 1'!$B:$B,$A456,'Таблиця 1'!$I:$I,"Су-27",'Таблиця 1'!$J:$J,"GBU-65"))</f>
        <v/>
      </c>
      <c r="M456">
        <f>IF($A456="","",SUMIFS('Таблиця 1'!$K:$K,'Таблиця 1'!$B:$B,$A456,'Таблиця 1'!$I:$I,"Mirage",'Таблиця 1'!$J:$J,"GBU-62")+SUMIFS('Таблиця 1'!$K:$K,'Таблиця 1'!$B:$B,$A456,'Таблиця 1'!$I:$I,"F-16",'Таблиця 1'!$J:$J,"GBU-62")+SUMIFS('Таблиця 1'!$K:$K,'Таблиця 1'!$B:$B,$A456,'Таблиця 1'!$I:$I,"МіГ-29",'Таблиця 1'!$J:$J,"GBU-62")+SUMIFS('Таблиця 1'!$K:$K,'Таблиця 1'!$B:$B,$A456,'Таблиця 1'!$I:$I,"Су-25",'Таблиця 1'!$J:$J,"GBU-62")+SUMIFS('Таблиця 1'!$K:$K,'Таблиця 1'!$B:$B,$A456,'Таблиця 1'!$I:$I,"Су-27",'Таблиця 1'!$J:$J,"GBU-62"))</f>
        <v/>
      </c>
      <c r="N456">
        <f>IF($A456="","",SUMIFS('Таблиця 1'!$K:$K,'Таблиця 1'!$B:$B,$A456,'Таблиця 1'!$I:$I,"Mirage",'Таблиця 1'!$J:$J,"GBU-64")+SUMIFS('Таблиця 1'!$K:$K,'Таблиця 1'!$B:$B,$A456,'Таблиця 1'!$I:$I,"F-16",'Таблиця 1'!$J:$J,"GBU-64")+SUMIFS('Таблиця 1'!$K:$K,'Таблиця 1'!$B:$B,$A456,'Таблиця 1'!$I:$I,"МіГ-29",'Таблиця 1'!$J:$J,"GBU-64")+SUMIFS('Таблиця 1'!$K:$K,'Таблиця 1'!$B:$B,$A456,'Таблиця 1'!$I:$I,"Су-25",'Таблиця 1'!$J:$J,"GBU-64")+SUMIFS('Таблиця 1'!$K:$K,'Таблиця 1'!$B:$B,$A456,'Таблиця 1'!$I:$I,"Су-27",'Таблиця 1'!$J:$J,"GBU-64"))</f>
        <v/>
      </c>
      <c r="O456">
        <f>IF($A456="","",SUMIFS('Таблиця 1'!$K:$K,'Таблиця 1'!$B:$B,$A456,'Таблиця 1'!$I:$I,"Mirage",'Таблиця 1'!$J:$J,"C-13")+SUMIFS('Таблиця 1'!$K:$K,'Таблиця 1'!$B:$B,$A456,'Таблиця 1'!$I:$I,"F-16",'Таблиця 1'!$J:$J,"C-13")+SUMIFS('Таблиця 1'!$K:$K,'Таблиця 1'!$B:$B,$A456,'Таблиця 1'!$I:$I,"МіГ-29",'Таблиця 1'!$J:$J,"C-13")+SUMIFS('Таблиця 1'!$K:$K,'Таблиця 1'!$B:$B,$A456,'Таблиця 1'!$I:$I,"Су-25",'Таблиця 1'!$J:$J,"C-13")+SUMIFS('Таблиця 1'!$K:$K,'Таблиця 1'!$B:$B,$A456,'Таблиця 1'!$I:$I,"Су-27",'Таблиця 1'!$J:$J,"C-13"))</f>
        <v/>
      </c>
      <c r="P456">
        <f>IF($A456="","",SUMIFS('Таблиця 1'!$K:$K,'Таблиця 1'!$B:$B,$A456,'Таблиця 1'!$I:$I,"Mirage",'Таблиця 1'!$J:$J,"MK-32")+SUMIFS('Таблиця 1'!$K:$K,'Таблиця 1'!$B:$B,$A456,'Таблиця 1'!$I:$I,"F-16",'Таблиця 1'!$J:$J,"MK-32")+SUMIFS('Таблиця 1'!$K:$K,'Таблиця 1'!$B:$B,$A456,'Таблиця 1'!$I:$I,"МіГ-29",'Таблиця 1'!$J:$J,"MK-32")+SUMIFS('Таблиця 1'!$K:$K,'Таблиця 1'!$B:$B,$A456,'Таблиця 1'!$I:$I,"Су-25",'Таблиця 1'!$J:$J,"MK-32")+SUMIFS('Таблиця 1'!$K:$K,'Таблиця 1'!$B:$B,$A456,'Таблиця 1'!$I:$I,"Су-27",'Таблиця 1'!$J:$J,"MK-32"))</f>
        <v/>
      </c>
      <c r="Q456">
        <f>IF($A456="","",SUMIFS('Таблиця 1'!$K:$K,'Таблиця 1'!$B:$B,$A456,'Таблиця 1'!$I:$I,"Mirage",'Таблиця 1'!$J:$J,"MK-24")+SUMIFS('Таблиця 1'!$K:$K,'Таблиця 1'!$B:$B,$A456,'Таблиця 1'!$I:$I,"F-16",'Таблиця 1'!$J:$J,"MK-24")+SUMIFS('Таблиця 1'!$K:$K,'Таблиця 1'!$B:$B,$A456,'Таблиця 1'!$I:$I,"МіГ-29",'Таблиця 1'!$J:$J,"MK-24")+SUMIFS('Таблиця 1'!$K:$K,'Таблиця 1'!$B:$B,$A456,'Таблиця 1'!$I:$I,"Су-25",'Таблиця 1'!$J:$J,"MK-24")+SUMIFS('Таблиця 1'!$K:$K,'Таблиця 1'!$B:$B,$A456,'Таблиця 1'!$I:$I,"Су-27",'Таблиця 1'!$J:$J,"MK-24"))</f>
        <v/>
      </c>
      <c r="R456">
        <f>IF($A456="","",COUNTIFS('Таблиця 1'!$B:$B,$A456,'Таблиця 1'!$I:$I,"Mirage",'Таблиця 1'!$L:$L,"Уражено")+COUNTIFS('Таблиця 1'!$B:$B,$A456,'Таблиця 1'!$I:$I,"F-16",'Таблиця 1'!$L:$L,"Уражено")+COUNTIFS('Таблиця 1'!$B:$B,$A456,'Таблиця 1'!$I:$I,"МіГ-29",'Таблиця 1'!$L:$L,"Уражено")+COUNTIFS('Таблиця 1'!$B:$B,$A456,'Таблиця 1'!$I:$I,"Су-25",'Таблиця 1'!$L:$L,"Уражено")+COUNTIFS('Таблиця 1'!$B:$B,$A456,'Таблиця 1'!$I:$I,"Су-27",'Таблиця 1'!$L:$L,"Уражено"))</f>
        <v/>
      </c>
      <c r="S456">
        <f>IF($A456="","",COUNTIFS('Таблиця 1'!$B:$B,$A456,'Таблиця 1'!$I:$I,"Mirage",'Таблиця 1'!$L:$L,"НЕ уражено")+COUNTIFS('Таблиця 1'!$B:$B,$A456,'Таблиця 1'!$I:$I,"F-16",'Таблиця 1'!$L:$L,"НЕ уражено")+COUNTIFS('Таблиця 1'!$B:$B,$A456,'Таблиця 1'!$I:$I,"МіГ-29",'Таблиця 1'!$L:$L,"НЕ уражено")+COUNTIFS('Таблиця 1'!$B:$B,$A456,'Таблиця 1'!$I:$I,"Су-25",'Таблиця 1'!$L:$L,"НЕ уражено")+COUNTIFS('Таблиця 1'!$B:$B,$A456,'Таблиця 1'!$I:$I,"Су-27",'Таблиця 1'!$L:$L,"НЕ уражено"))</f>
        <v/>
      </c>
      <c r="T456">
        <f>IF($A456="","",COUNTIFS('Таблиця 1'!$B:$B,$A456,'Таблиця 1'!$I:$I,"Mirage",'Таблиця 1'!$L:$L,"Дорозвідується")+COUNTIFS('Таблиця 1'!$B:$B,$A456,'Таблиця 1'!$I:$I,"F-16",'Таблиця 1'!$L:$L,"Дорозвідується")+COUNTIFS('Таблиця 1'!$B:$B,$A456,'Таблиця 1'!$I:$I,"МіГ-29",'Таблиця 1'!$L:$L,"Дорозвідується")+COUNTIFS('Таблиця 1'!$B:$B,$A456,'Таблиця 1'!$I:$I,"Су-25",'Таблиця 1'!$L:$L,"Дорозвідується")+COUNTIFS('Таблиця 1'!$B:$B,$A456,'Таблиця 1'!$I:$I,"Су-27",'Таблиця 1'!$L:$L,"Дорозвідується"))</f>
        <v/>
      </c>
    </row>
    <row r="457">
      <c r="A457" s="273">
        <f>IF(A456="","",IF(A456+1&gt;MAX('Таблиця 1'!$B:$B),"",A456+1))</f>
        <v/>
      </c>
      <c r="B457">
        <f>IF($A457="","",COUNTIFS('Таблиця 1'!$B:$B,$A457,'Таблиця 1'!$I:$I,"Mirage")+COUNTIFS('Таблиця 1'!$B:$B,$A457,'Таблиця 1'!$I:$I,"F-16")+COUNTIFS('Таблиця 1'!$B:$B,$A457,'Таблиця 1'!$I:$I,"МіГ-29")+COUNTIFS('Таблиця 1'!$B:$B,$A457,'Таблиця 1'!$I:$I,"Су-25")+COUNTIFS('Таблиця 1'!$B:$B,$A457,'Таблиця 1'!$I:$I,"Су-27"))</f>
        <v/>
      </c>
      <c r="C457">
        <f>IF($A457="","",COUNTIFS('Таблиця 1'!$B:$B,$A457,'Таблиця 1'!$I:$I,"Mirage"))</f>
        <v/>
      </c>
      <c r="D457">
        <f>IF($A457="","",COUNTIFS('Таблиця 1'!$B:$B,$A457,'Таблиця 1'!$I:$I,"F-16"))</f>
        <v/>
      </c>
      <c r="E457">
        <f>IF($A457="","",COUNTIFS('Таблиця 1'!$B:$B,$A457,'Таблиця 1'!$I:$I,"МіГ-29"))</f>
        <v/>
      </c>
      <c r="F457">
        <f>IF($A457="","",COUNTIFS('Таблиця 1'!$B:$B,$A457,'Таблиця 1'!$I:$I,"Су-25"))</f>
        <v/>
      </c>
      <c r="G457">
        <f>IF($A457="","",COUNTIFS('Таблиця 1'!$B:$B,$A457,'Таблиця 1'!$I:$I,"Су-27"))</f>
        <v/>
      </c>
      <c r="H457">
        <f>IF($A457="","",SUMIFS('Таблиця 1'!$K:$K,'Таблиця 1'!$B:$B,$A457,'Таблиця 1'!$I:$I,"Mirage",'Таблиця 1'!$J:$J,"AGM-88")+SUMIFS('Таблиця 1'!$K:$K,'Таблиця 1'!$B:$B,$A457,'Таблиця 1'!$I:$I,"F-16",'Таблиця 1'!$J:$J,"AGM-88")+SUMIFS('Таблиця 1'!$K:$K,'Таблиця 1'!$B:$B,$A457,'Таблиця 1'!$I:$I,"МіГ-29",'Таблиця 1'!$J:$J,"AGM-88")+SUMIFS('Таблиця 1'!$K:$K,'Таблиця 1'!$B:$B,$A457,'Таблиця 1'!$I:$I,"Су-25",'Таблиця 1'!$J:$J,"AGM-88")+SUMIFS('Таблиця 1'!$K:$K,'Таблиця 1'!$B:$B,$A457,'Таблиця 1'!$I:$I,"Су-27",'Таблиця 1'!$J:$J,"AGM-88"))</f>
        <v/>
      </c>
      <c r="I457">
        <f>IF($A457="","",SUMIFS('Таблиця 1'!$K:$K,'Таблиця 1'!$B:$B,$A457,'Таблиця 1'!$I:$I,"Mirage",'Таблиця 1'!$J:$J,"AASM-250")+SUMIFS('Таблиця 1'!$K:$K,'Таблиця 1'!$B:$B,$A457,'Таблиця 1'!$I:$I,"F-16",'Таблиця 1'!$J:$J,"AASM-250")+SUMIFS('Таблиця 1'!$K:$K,'Таблиця 1'!$B:$B,$A457,'Таблиця 1'!$I:$I,"МіГ-29",'Таблиця 1'!$J:$J,"AASM-250")+SUMIFS('Таблиця 1'!$K:$K,'Таблиця 1'!$B:$B,$A457,'Таблиця 1'!$I:$I,"Су-25",'Таблиця 1'!$J:$J,"AASM-250")+SUMIFS('Таблиця 1'!$K:$K,'Таблиця 1'!$B:$B,$A457,'Таблиця 1'!$I:$I,"Су-27",'Таблиця 1'!$J:$J,"AASM-250"))</f>
        <v/>
      </c>
      <c r="J457">
        <f>IF($A457="","",SUMIFS('Таблиця 1'!$K:$K,'Таблиця 1'!$B:$B,$A457,'Таблиця 1'!$I:$I,"Mirage",'Таблиця 1'!$J:$J,"GBU-39")+SUMIFS('Таблиця 1'!$K:$K,'Таблиця 1'!$B:$B,$A457,'Таблиця 1'!$I:$I,"F-16",'Таблиця 1'!$J:$J,"GBU-39")+SUMIFS('Таблиця 1'!$K:$K,'Таблиця 1'!$B:$B,$A457,'Таблиця 1'!$I:$I,"МіГ-29",'Таблиця 1'!$J:$J,"GBU-39")+SUMIFS('Таблиця 1'!$K:$K,'Таблиця 1'!$B:$B,$A457,'Таблиця 1'!$I:$I,"Су-25",'Таблиця 1'!$J:$J,"GBU-39")+SUMIFS('Таблиця 1'!$K:$K,'Таблиця 1'!$B:$B,$A457,'Таблиця 1'!$I:$I,"Су-27",'Таблиця 1'!$J:$J,"GBU-39"))</f>
        <v/>
      </c>
      <c r="K457">
        <f>IF($A457="","",SUMIFS('Таблиця 1'!$K:$K,'Таблиця 1'!$B:$B,$A457,'Таблиця 1'!$I:$I,"Mirage",'Таблиця 1'!$J:$J,"BLU-140")+SUMIFS('Таблиця 1'!$K:$K,'Таблиця 1'!$B:$B,$A457,'Таблиця 1'!$I:$I,"F-16",'Таблиця 1'!$J:$J,"BLU-140")+SUMIFS('Таблиця 1'!$K:$K,'Таблиця 1'!$B:$B,$A457,'Таблиця 1'!$I:$I,"МіГ-29",'Таблиця 1'!$J:$J,"BLU-140")+SUMIFS('Таблиця 1'!$K:$K,'Таблиця 1'!$B:$B,$A457,'Таблиця 1'!$I:$I,"Су-25",'Таблиця 1'!$J:$J,"BLU-140")+SUMIFS('Таблиця 1'!$K:$K,'Таблиця 1'!$B:$B,$A457,'Таблиця 1'!$I:$I,"Су-27",'Таблиця 1'!$J:$J,"BLU-140"))</f>
        <v/>
      </c>
      <c r="L457">
        <f>IF($A457="","",SUMIFS('Таблиця 1'!$K:$K,'Таблиця 1'!$B:$B,$A457,'Таблиця 1'!$I:$I,"Mirage",'Таблиця 1'!$J:$J,"GBU-65")+SUMIFS('Таблиця 1'!$K:$K,'Таблиця 1'!$B:$B,$A457,'Таблиця 1'!$I:$I,"F-16",'Таблиця 1'!$J:$J,"GBU-65")+SUMIFS('Таблиця 1'!$K:$K,'Таблиця 1'!$B:$B,$A457,'Таблиця 1'!$I:$I,"МіГ-29",'Таблиця 1'!$J:$J,"GBU-65")+SUMIFS('Таблиця 1'!$K:$K,'Таблиця 1'!$B:$B,$A457,'Таблиця 1'!$I:$I,"Су-25",'Таблиця 1'!$J:$J,"GBU-65")+SUMIFS('Таблиця 1'!$K:$K,'Таблиця 1'!$B:$B,$A457,'Таблиця 1'!$I:$I,"Су-27",'Таблиця 1'!$J:$J,"GBU-65"))</f>
        <v/>
      </c>
      <c r="M457">
        <f>IF($A457="","",SUMIFS('Таблиця 1'!$K:$K,'Таблиця 1'!$B:$B,$A457,'Таблиця 1'!$I:$I,"Mirage",'Таблиця 1'!$J:$J,"GBU-62")+SUMIFS('Таблиця 1'!$K:$K,'Таблиця 1'!$B:$B,$A457,'Таблиця 1'!$I:$I,"F-16",'Таблиця 1'!$J:$J,"GBU-62")+SUMIFS('Таблиця 1'!$K:$K,'Таблиця 1'!$B:$B,$A457,'Таблиця 1'!$I:$I,"МіГ-29",'Таблиця 1'!$J:$J,"GBU-62")+SUMIFS('Таблиця 1'!$K:$K,'Таблиця 1'!$B:$B,$A457,'Таблиця 1'!$I:$I,"Су-25",'Таблиця 1'!$J:$J,"GBU-62")+SUMIFS('Таблиця 1'!$K:$K,'Таблиця 1'!$B:$B,$A457,'Таблиця 1'!$I:$I,"Су-27",'Таблиця 1'!$J:$J,"GBU-62"))</f>
        <v/>
      </c>
      <c r="N457">
        <f>IF($A457="","",SUMIFS('Таблиця 1'!$K:$K,'Таблиця 1'!$B:$B,$A457,'Таблиця 1'!$I:$I,"Mirage",'Таблиця 1'!$J:$J,"GBU-64")+SUMIFS('Таблиця 1'!$K:$K,'Таблиця 1'!$B:$B,$A457,'Таблиця 1'!$I:$I,"F-16",'Таблиця 1'!$J:$J,"GBU-64")+SUMIFS('Таблиця 1'!$K:$K,'Таблиця 1'!$B:$B,$A457,'Таблиця 1'!$I:$I,"МіГ-29",'Таблиця 1'!$J:$J,"GBU-64")+SUMIFS('Таблиця 1'!$K:$K,'Таблиця 1'!$B:$B,$A457,'Таблиця 1'!$I:$I,"Су-25",'Таблиця 1'!$J:$J,"GBU-64")+SUMIFS('Таблиця 1'!$K:$K,'Таблиця 1'!$B:$B,$A457,'Таблиця 1'!$I:$I,"Су-27",'Таблиця 1'!$J:$J,"GBU-64"))</f>
        <v/>
      </c>
      <c r="O457">
        <f>IF($A457="","",SUMIFS('Таблиця 1'!$K:$K,'Таблиця 1'!$B:$B,$A457,'Таблиця 1'!$I:$I,"Mirage",'Таблиця 1'!$J:$J,"C-13")+SUMIFS('Таблиця 1'!$K:$K,'Таблиця 1'!$B:$B,$A457,'Таблиця 1'!$I:$I,"F-16",'Таблиця 1'!$J:$J,"C-13")+SUMIFS('Таблиця 1'!$K:$K,'Таблиця 1'!$B:$B,$A457,'Таблиця 1'!$I:$I,"МіГ-29",'Таблиця 1'!$J:$J,"C-13")+SUMIFS('Таблиця 1'!$K:$K,'Таблиця 1'!$B:$B,$A457,'Таблиця 1'!$I:$I,"Су-25",'Таблиця 1'!$J:$J,"C-13")+SUMIFS('Таблиця 1'!$K:$K,'Таблиця 1'!$B:$B,$A457,'Таблиця 1'!$I:$I,"Су-27",'Таблиця 1'!$J:$J,"C-13"))</f>
        <v/>
      </c>
      <c r="P457">
        <f>IF($A457="","",SUMIFS('Таблиця 1'!$K:$K,'Таблиця 1'!$B:$B,$A457,'Таблиця 1'!$I:$I,"Mirage",'Таблиця 1'!$J:$J,"MK-32")+SUMIFS('Таблиця 1'!$K:$K,'Таблиця 1'!$B:$B,$A457,'Таблиця 1'!$I:$I,"F-16",'Таблиця 1'!$J:$J,"MK-32")+SUMIFS('Таблиця 1'!$K:$K,'Таблиця 1'!$B:$B,$A457,'Таблиця 1'!$I:$I,"МіГ-29",'Таблиця 1'!$J:$J,"MK-32")+SUMIFS('Таблиця 1'!$K:$K,'Таблиця 1'!$B:$B,$A457,'Таблиця 1'!$I:$I,"Су-25",'Таблиця 1'!$J:$J,"MK-32")+SUMIFS('Таблиця 1'!$K:$K,'Таблиця 1'!$B:$B,$A457,'Таблиця 1'!$I:$I,"Су-27",'Таблиця 1'!$J:$J,"MK-32"))</f>
        <v/>
      </c>
      <c r="Q457">
        <f>IF($A457="","",SUMIFS('Таблиця 1'!$K:$K,'Таблиця 1'!$B:$B,$A457,'Таблиця 1'!$I:$I,"Mirage",'Таблиця 1'!$J:$J,"MK-24")+SUMIFS('Таблиця 1'!$K:$K,'Таблиця 1'!$B:$B,$A457,'Таблиця 1'!$I:$I,"F-16",'Таблиця 1'!$J:$J,"MK-24")+SUMIFS('Таблиця 1'!$K:$K,'Таблиця 1'!$B:$B,$A457,'Таблиця 1'!$I:$I,"МіГ-29",'Таблиця 1'!$J:$J,"MK-24")+SUMIFS('Таблиця 1'!$K:$K,'Таблиця 1'!$B:$B,$A457,'Таблиця 1'!$I:$I,"Су-25",'Таблиця 1'!$J:$J,"MK-24")+SUMIFS('Таблиця 1'!$K:$K,'Таблиця 1'!$B:$B,$A457,'Таблиця 1'!$I:$I,"Су-27",'Таблиця 1'!$J:$J,"MK-24"))</f>
        <v/>
      </c>
      <c r="R457">
        <f>IF($A457="","",COUNTIFS('Таблиця 1'!$B:$B,$A457,'Таблиця 1'!$I:$I,"Mirage",'Таблиця 1'!$L:$L,"Уражено")+COUNTIFS('Таблиця 1'!$B:$B,$A457,'Таблиця 1'!$I:$I,"F-16",'Таблиця 1'!$L:$L,"Уражено")+COUNTIFS('Таблиця 1'!$B:$B,$A457,'Таблиця 1'!$I:$I,"МіГ-29",'Таблиця 1'!$L:$L,"Уражено")+COUNTIFS('Таблиця 1'!$B:$B,$A457,'Таблиця 1'!$I:$I,"Су-25",'Таблиця 1'!$L:$L,"Уражено")+COUNTIFS('Таблиця 1'!$B:$B,$A457,'Таблиця 1'!$I:$I,"Су-27",'Таблиця 1'!$L:$L,"Уражено"))</f>
        <v/>
      </c>
      <c r="S457">
        <f>IF($A457="","",COUNTIFS('Таблиця 1'!$B:$B,$A457,'Таблиця 1'!$I:$I,"Mirage",'Таблиця 1'!$L:$L,"НЕ уражено")+COUNTIFS('Таблиця 1'!$B:$B,$A457,'Таблиця 1'!$I:$I,"F-16",'Таблиця 1'!$L:$L,"НЕ уражено")+COUNTIFS('Таблиця 1'!$B:$B,$A457,'Таблиця 1'!$I:$I,"МіГ-29",'Таблиця 1'!$L:$L,"НЕ уражено")+COUNTIFS('Таблиця 1'!$B:$B,$A457,'Таблиця 1'!$I:$I,"Су-25",'Таблиця 1'!$L:$L,"НЕ уражено")+COUNTIFS('Таблиця 1'!$B:$B,$A457,'Таблиця 1'!$I:$I,"Су-27",'Таблиця 1'!$L:$L,"НЕ уражено"))</f>
        <v/>
      </c>
      <c r="T457">
        <f>IF($A457="","",COUNTIFS('Таблиця 1'!$B:$B,$A457,'Таблиця 1'!$I:$I,"Mirage",'Таблиця 1'!$L:$L,"Дорозвідується")+COUNTIFS('Таблиця 1'!$B:$B,$A457,'Таблиця 1'!$I:$I,"F-16",'Таблиця 1'!$L:$L,"Дорозвідується")+COUNTIFS('Таблиця 1'!$B:$B,$A457,'Таблиця 1'!$I:$I,"МіГ-29",'Таблиця 1'!$L:$L,"Дорозвідується")+COUNTIFS('Таблиця 1'!$B:$B,$A457,'Таблиця 1'!$I:$I,"Су-25",'Таблиця 1'!$L:$L,"Дорозвідується")+COUNTIFS('Таблиця 1'!$B:$B,$A457,'Таблиця 1'!$I:$I,"Су-27",'Таблиця 1'!$L:$L,"Дорозвідується"))</f>
        <v/>
      </c>
    </row>
    <row r="458">
      <c r="A458" s="273">
        <f>IF(A457="","",IF(A457+1&gt;MAX('Таблиця 1'!$B:$B),"",A457+1))</f>
        <v/>
      </c>
      <c r="B458">
        <f>IF($A458="","",COUNTIFS('Таблиця 1'!$B:$B,$A458,'Таблиця 1'!$I:$I,"Mirage")+COUNTIFS('Таблиця 1'!$B:$B,$A458,'Таблиця 1'!$I:$I,"F-16")+COUNTIFS('Таблиця 1'!$B:$B,$A458,'Таблиця 1'!$I:$I,"МіГ-29")+COUNTIFS('Таблиця 1'!$B:$B,$A458,'Таблиця 1'!$I:$I,"Су-25")+COUNTIFS('Таблиця 1'!$B:$B,$A458,'Таблиця 1'!$I:$I,"Су-27"))</f>
        <v/>
      </c>
      <c r="C458">
        <f>IF($A458="","",COUNTIFS('Таблиця 1'!$B:$B,$A458,'Таблиця 1'!$I:$I,"Mirage"))</f>
        <v/>
      </c>
      <c r="D458">
        <f>IF($A458="","",COUNTIFS('Таблиця 1'!$B:$B,$A458,'Таблиця 1'!$I:$I,"F-16"))</f>
        <v/>
      </c>
      <c r="E458">
        <f>IF($A458="","",COUNTIFS('Таблиця 1'!$B:$B,$A458,'Таблиця 1'!$I:$I,"МіГ-29"))</f>
        <v/>
      </c>
      <c r="F458">
        <f>IF($A458="","",COUNTIFS('Таблиця 1'!$B:$B,$A458,'Таблиця 1'!$I:$I,"Су-25"))</f>
        <v/>
      </c>
      <c r="G458">
        <f>IF($A458="","",COUNTIFS('Таблиця 1'!$B:$B,$A458,'Таблиця 1'!$I:$I,"Су-27"))</f>
        <v/>
      </c>
      <c r="H458">
        <f>IF($A458="","",SUMIFS('Таблиця 1'!$K:$K,'Таблиця 1'!$B:$B,$A458,'Таблиця 1'!$I:$I,"Mirage",'Таблиця 1'!$J:$J,"AGM-88")+SUMIFS('Таблиця 1'!$K:$K,'Таблиця 1'!$B:$B,$A458,'Таблиця 1'!$I:$I,"F-16",'Таблиця 1'!$J:$J,"AGM-88")+SUMIFS('Таблиця 1'!$K:$K,'Таблиця 1'!$B:$B,$A458,'Таблиця 1'!$I:$I,"МіГ-29",'Таблиця 1'!$J:$J,"AGM-88")+SUMIFS('Таблиця 1'!$K:$K,'Таблиця 1'!$B:$B,$A458,'Таблиця 1'!$I:$I,"Су-25",'Таблиця 1'!$J:$J,"AGM-88")+SUMIFS('Таблиця 1'!$K:$K,'Таблиця 1'!$B:$B,$A458,'Таблиця 1'!$I:$I,"Су-27",'Таблиця 1'!$J:$J,"AGM-88"))</f>
        <v/>
      </c>
      <c r="I458">
        <f>IF($A458="","",SUMIFS('Таблиця 1'!$K:$K,'Таблиця 1'!$B:$B,$A458,'Таблиця 1'!$I:$I,"Mirage",'Таблиця 1'!$J:$J,"AASM-250")+SUMIFS('Таблиця 1'!$K:$K,'Таблиця 1'!$B:$B,$A458,'Таблиця 1'!$I:$I,"F-16",'Таблиця 1'!$J:$J,"AASM-250")+SUMIFS('Таблиця 1'!$K:$K,'Таблиця 1'!$B:$B,$A458,'Таблиця 1'!$I:$I,"МіГ-29",'Таблиця 1'!$J:$J,"AASM-250")+SUMIFS('Таблиця 1'!$K:$K,'Таблиця 1'!$B:$B,$A458,'Таблиця 1'!$I:$I,"Су-25",'Таблиця 1'!$J:$J,"AASM-250")+SUMIFS('Таблиця 1'!$K:$K,'Таблиця 1'!$B:$B,$A458,'Таблиця 1'!$I:$I,"Су-27",'Таблиця 1'!$J:$J,"AASM-250"))</f>
        <v/>
      </c>
      <c r="J458">
        <f>IF($A458="","",SUMIFS('Таблиця 1'!$K:$K,'Таблиця 1'!$B:$B,$A458,'Таблиця 1'!$I:$I,"Mirage",'Таблиця 1'!$J:$J,"GBU-39")+SUMIFS('Таблиця 1'!$K:$K,'Таблиця 1'!$B:$B,$A458,'Таблиця 1'!$I:$I,"F-16",'Таблиця 1'!$J:$J,"GBU-39")+SUMIFS('Таблиця 1'!$K:$K,'Таблиця 1'!$B:$B,$A458,'Таблиця 1'!$I:$I,"МіГ-29",'Таблиця 1'!$J:$J,"GBU-39")+SUMIFS('Таблиця 1'!$K:$K,'Таблиця 1'!$B:$B,$A458,'Таблиця 1'!$I:$I,"Су-25",'Таблиця 1'!$J:$J,"GBU-39")+SUMIFS('Таблиця 1'!$K:$K,'Таблиця 1'!$B:$B,$A458,'Таблиця 1'!$I:$I,"Су-27",'Таблиця 1'!$J:$J,"GBU-39"))</f>
        <v/>
      </c>
      <c r="K458">
        <f>IF($A458="","",SUMIFS('Таблиця 1'!$K:$K,'Таблиця 1'!$B:$B,$A458,'Таблиця 1'!$I:$I,"Mirage",'Таблиця 1'!$J:$J,"BLU-140")+SUMIFS('Таблиця 1'!$K:$K,'Таблиця 1'!$B:$B,$A458,'Таблиця 1'!$I:$I,"F-16",'Таблиця 1'!$J:$J,"BLU-140")+SUMIFS('Таблиця 1'!$K:$K,'Таблиця 1'!$B:$B,$A458,'Таблиця 1'!$I:$I,"МіГ-29",'Таблиця 1'!$J:$J,"BLU-140")+SUMIFS('Таблиця 1'!$K:$K,'Таблиця 1'!$B:$B,$A458,'Таблиця 1'!$I:$I,"Су-25",'Таблиця 1'!$J:$J,"BLU-140")+SUMIFS('Таблиця 1'!$K:$K,'Таблиця 1'!$B:$B,$A458,'Таблиця 1'!$I:$I,"Су-27",'Таблиця 1'!$J:$J,"BLU-140"))</f>
        <v/>
      </c>
      <c r="L458">
        <f>IF($A458="","",SUMIFS('Таблиця 1'!$K:$K,'Таблиця 1'!$B:$B,$A458,'Таблиця 1'!$I:$I,"Mirage",'Таблиця 1'!$J:$J,"GBU-65")+SUMIFS('Таблиця 1'!$K:$K,'Таблиця 1'!$B:$B,$A458,'Таблиця 1'!$I:$I,"F-16",'Таблиця 1'!$J:$J,"GBU-65")+SUMIFS('Таблиця 1'!$K:$K,'Таблиця 1'!$B:$B,$A458,'Таблиця 1'!$I:$I,"МіГ-29",'Таблиця 1'!$J:$J,"GBU-65")+SUMIFS('Таблиця 1'!$K:$K,'Таблиця 1'!$B:$B,$A458,'Таблиця 1'!$I:$I,"Су-25",'Таблиця 1'!$J:$J,"GBU-65")+SUMIFS('Таблиця 1'!$K:$K,'Таблиця 1'!$B:$B,$A458,'Таблиця 1'!$I:$I,"Су-27",'Таблиця 1'!$J:$J,"GBU-65"))</f>
        <v/>
      </c>
      <c r="M458">
        <f>IF($A458="","",SUMIFS('Таблиця 1'!$K:$K,'Таблиця 1'!$B:$B,$A458,'Таблиця 1'!$I:$I,"Mirage",'Таблиця 1'!$J:$J,"GBU-62")+SUMIFS('Таблиця 1'!$K:$K,'Таблиця 1'!$B:$B,$A458,'Таблиця 1'!$I:$I,"F-16",'Таблиця 1'!$J:$J,"GBU-62")+SUMIFS('Таблиця 1'!$K:$K,'Таблиця 1'!$B:$B,$A458,'Таблиця 1'!$I:$I,"МіГ-29",'Таблиця 1'!$J:$J,"GBU-62")+SUMIFS('Таблиця 1'!$K:$K,'Таблиця 1'!$B:$B,$A458,'Таблиця 1'!$I:$I,"Су-25",'Таблиця 1'!$J:$J,"GBU-62")+SUMIFS('Таблиця 1'!$K:$K,'Таблиця 1'!$B:$B,$A458,'Таблиця 1'!$I:$I,"Су-27",'Таблиця 1'!$J:$J,"GBU-62"))</f>
        <v/>
      </c>
      <c r="N458">
        <f>IF($A458="","",SUMIFS('Таблиця 1'!$K:$K,'Таблиця 1'!$B:$B,$A458,'Таблиця 1'!$I:$I,"Mirage",'Таблиця 1'!$J:$J,"GBU-64")+SUMIFS('Таблиця 1'!$K:$K,'Таблиця 1'!$B:$B,$A458,'Таблиця 1'!$I:$I,"F-16",'Таблиця 1'!$J:$J,"GBU-64")+SUMIFS('Таблиця 1'!$K:$K,'Таблиця 1'!$B:$B,$A458,'Таблиця 1'!$I:$I,"МіГ-29",'Таблиця 1'!$J:$J,"GBU-64")+SUMIFS('Таблиця 1'!$K:$K,'Таблиця 1'!$B:$B,$A458,'Таблиця 1'!$I:$I,"Су-25",'Таблиця 1'!$J:$J,"GBU-64")+SUMIFS('Таблиця 1'!$K:$K,'Таблиця 1'!$B:$B,$A458,'Таблиця 1'!$I:$I,"Су-27",'Таблиця 1'!$J:$J,"GBU-64"))</f>
        <v/>
      </c>
      <c r="O458">
        <f>IF($A458="","",SUMIFS('Таблиця 1'!$K:$K,'Таблиця 1'!$B:$B,$A458,'Таблиця 1'!$I:$I,"Mirage",'Таблиця 1'!$J:$J,"C-13")+SUMIFS('Таблиця 1'!$K:$K,'Таблиця 1'!$B:$B,$A458,'Таблиця 1'!$I:$I,"F-16",'Таблиця 1'!$J:$J,"C-13")+SUMIFS('Таблиця 1'!$K:$K,'Таблиця 1'!$B:$B,$A458,'Таблиця 1'!$I:$I,"МіГ-29",'Таблиця 1'!$J:$J,"C-13")+SUMIFS('Таблиця 1'!$K:$K,'Таблиця 1'!$B:$B,$A458,'Таблиця 1'!$I:$I,"Су-25",'Таблиця 1'!$J:$J,"C-13")+SUMIFS('Таблиця 1'!$K:$K,'Таблиця 1'!$B:$B,$A458,'Таблиця 1'!$I:$I,"Су-27",'Таблиця 1'!$J:$J,"C-13"))</f>
        <v/>
      </c>
      <c r="P458">
        <f>IF($A458="","",SUMIFS('Таблиця 1'!$K:$K,'Таблиця 1'!$B:$B,$A458,'Таблиця 1'!$I:$I,"Mirage",'Таблиця 1'!$J:$J,"MK-32")+SUMIFS('Таблиця 1'!$K:$K,'Таблиця 1'!$B:$B,$A458,'Таблиця 1'!$I:$I,"F-16",'Таблиця 1'!$J:$J,"MK-32")+SUMIFS('Таблиця 1'!$K:$K,'Таблиця 1'!$B:$B,$A458,'Таблиця 1'!$I:$I,"МіГ-29",'Таблиця 1'!$J:$J,"MK-32")+SUMIFS('Таблиця 1'!$K:$K,'Таблиця 1'!$B:$B,$A458,'Таблиця 1'!$I:$I,"Су-25",'Таблиця 1'!$J:$J,"MK-32")+SUMIFS('Таблиця 1'!$K:$K,'Таблиця 1'!$B:$B,$A458,'Таблиця 1'!$I:$I,"Су-27",'Таблиця 1'!$J:$J,"MK-32"))</f>
        <v/>
      </c>
      <c r="Q458">
        <f>IF($A458="","",SUMIFS('Таблиця 1'!$K:$K,'Таблиця 1'!$B:$B,$A458,'Таблиця 1'!$I:$I,"Mirage",'Таблиця 1'!$J:$J,"MK-24")+SUMIFS('Таблиця 1'!$K:$K,'Таблиця 1'!$B:$B,$A458,'Таблиця 1'!$I:$I,"F-16",'Таблиця 1'!$J:$J,"MK-24")+SUMIFS('Таблиця 1'!$K:$K,'Таблиця 1'!$B:$B,$A458,'Таблиця 1'!$I:$I,"МіГ-29",'Таблиця 1'!$J:$J,"MK-24")+SUMIFS('Таблиця 1'!$K:$K,'Таблиця 1'!$B:$B,$A458,'Таблиця 1'!$I:$I,"Су-25",'Таблиця 1'!$J:$J,"MK-24")+SUMIFS('Таблиця 1'!$K:$K,'Таблиця 1'!$B:$B,$A458,'Таблиця 1'!$I:$I,"Су-27",'Таблиця 1'!$J:$J,"MK-24"))</f>
        <v/>
      </c>
      <c r="R458">
        <f>IF($A458="","",COUNTIFS('Таблиця 1'!$B:$B,$A458,'Таблиця 1'!$I:$I,"Mirage",'Таблиця 1'!$L:$L,"Уражено")+COUNTIFS('Таблиця 1'!$B:$B,$A458,'Таблиця 1'!$I:$I,"F-16",'Таблиця 1'!$L:$L,"Уражено")+COUNTIFS('Таблиця 1'!$B:$B,$A458,'Таблиця 1'!$I:$I,"МіГ-29",'Таблиця 1'!$L:$L,"Уражено")+COUNTIFS('Таблиця 1'!$B:$B,$A458,'Таблиця 1'!$I:$I,"Су-25",'Таблиця 1'!$L:$L,"Уражено")+COUNTIFS('Таблиця 1'!$B:$B,$A458,'Таблиця 1'!$I:$I,"Су-27",'Таблиця 1'!$L:$L,"Уражено"))</f>
        <v/>
      </c>
      <c r="S458">
        <f>IF($A458="","",COUNTIFS('Таблиця 1'!$B:$B,$A458,'Таблиця 1'!$I:$I,"Mirage",'Таблиця 1'!$L:$L,"НЕ уражено")+COUNTIFS('Таблиця 1'!$B:$B,$A458,'Таблиця 1'!$I:$I,"F-16",'Таблиця 1'!$L:$L,"НЕ уражено")+COUNTIFS('Таблиця 1'!$B:$B,$A458,'Таблиця 1'!$I:$I,"МіГ-29",'Таблиця 1'!$L:$L,"НЕ уражено")+COUNTIFS('Таблиця 1'!$B:$B,$A458,'Таблиця 1'!$I:$I,"Су-25",'Таблиця 1'!$L:$L,"НЕ уражено")+COUNTIFS('Таблиця 1'!$B:$B,$A458,'Таблиця 1'!$I:$I,"Су-27",'Таблиця 1'!$L:$L,"НЕ уражено"))</f>
        <v/>
      </c>
      <c r="T458">
        <f>IF($A458="","",COUNTIFS('Таблиця 1'!$B:$B,$A458,'Таблиця 1'!$I:$I,"Mirage",'Таблиця 1'!$L:$L,"Дорозвідується")+COUNTIFS('Таблиця 1'!$B:$B,$A458,'Таблиця 1'!$I:$I,"F-16",'Таблиця 1'!$L:$L,"Дорозвідується")+COUNTIFS('Таблиця 1'!$B:$B,$A458,'Таблиця 1'!$I:$I,"МіГ-29",'Таблиця 1'!$L:$L,"Дорозвідується")+COUNTIFS('Таблиця 1'!$B:$B,$A458,'Таблиця 1'!$I:$I,"Су-25",'Таблиця 1'!$L:$L,"Дорозвідується")+COUNTIFS('Таблиця 1'!$B:$B,$A458,'Таблиця 1'!$I:$I,"Су-27",'Таблиця 1'!$L:$L,"Дорозвідується"))</f>
        <v/>
      </c>
    </row>
    <row r="459">
      <c r="A459" s="273">
        <f>IF(A458="","",IF(A458+1&gt;MAX('Таблиця 1'!$B:$B),"",A458+1))</f>
        <v/>
      </c>
      <c r="B459">
        <f>IF($A459="","",COUNTIFS('Таблиця 1'!$B:$B,$A459,'Таблиця 1'!$I:$I,"Mirage")+COUNTIFS('Таблиця 1'!$B:$B,$A459,'Таблиця 1'!$I:$I,"F-16")+COUNTIFS('Таблиця 1'!$B:$B,$A459,'Таблиця 1'!$I:$I,"МіГ-29")+COUNTIFS('Таблиця 1'!$B:$B,$A459,'Таблиця 1'!$I:$I,"Су-25")+COUNTIFS('Таблиця 1'!$B:$B,$A459,'Таблиця 1'!$I:$I,"Су-27"))</f>
        <v/>
      </c>
      <c r="C459">
        <f>IF($A459="","",COUNTIFS('Таблиця 1'!$B:$B,$A459,'Таблиця 1'!$I:$I,"Mirage"))</f>
        <v/>
      </c>
      <c r="D459">
        <f>IF($A459="","",COUNTIFS('Таблиця 1'!$B:$B,$A459,'Таблиця 1'!$I:$I,"F-16"))</f>
        <v/>
      </c>
      <c r="E459">
        <f>IF($A459="","",COUNTIFS('Таблиця 1'!$B:$B,$A459,'Таблиця 1'!$I:$I,"МіГ-29"))</f>
        <v/>
      </c>
      <c r="F459">
        <f>IF($A459="","",COUNTIFS('Таблиця 1'!$B:$B,$A459,'Таблиця 1'!$I:$I,"Су-25"))</f>
        <v/>
      </c>
      <c r="G459">
        <f>IF($A459="","",COUNTIFS('Таблиця 1'!$B:$B,$A459,'Таблиця 1'!$I:$I,"Су-27"))</f>
        <v/>
      </c>
      <c r="H459">
        <f>IF($A459="","",SUMIFS('Таблиця 1'!$K:$K,'Таблиця 1'!$B:$B,$A459,'Таблиця 1'!$I:$I,"Mirage",'Таблиця 1'!$J:$J,"AGM-88")+SUMIFS('Таблиця 1'!$K:$K,'Таблиця 1'!$B:$B,$A459,'Таблиця 1'!$I:$I,"F-16",'Таблиця 1'!$J:$J,"AGM-88")+SUMIFS('Таблиця 1'!$K:$K,'Таблиця 1'!$B:$B,$A459,'Таблиця 1'!$I:$I,"МіГ-29",'Таблиця 1'!$J:$J,"AGM-88")+SUMIFS('Таблиця 1'!$K:$K,'Таблиця 1'!$B:$B,$A459,'Таблиця 1'!$I:$I,"Су-25",'Таблиця 1'!$J:$J,"AGM-88")+SUMIFS('Таблиця 1'!$K:$K,'Таблиця 1'!$B:$B,$A459,'Таблиця 1'!$I:$I,"Су-27",'Таблиця 1'!$J:$J,"AGM-88"))</f>
        <v/>
      </c>
      <c r="I459">
        <f>IF($A459="","",SUMIFS('Таблиця 1'!$K:$K,'Таблиця 1'!$B:$B,$A459,'Таблиця 1'!$I:$I,"Mirage",'Таблиця 1'!$J:$J,"AASM-250")+SUMIFS('Таблиця 1'!$K:$K,'Таблиця 1'!$B:$B,$A459,'Таблиця 1'!$I:$I,"F-16",'Таблиця 1'!$J:$J,"AASM-250")+SUMIFS('Таблиця 1'!$K:$K,'Таблиця 1'!$B:$B,$A459,'Таблиця 1'!$I:$I,"МіГ-29",'Таблиця 1'!$J:$J,"AASM-250")+SUMIFS('Таблиця 1'!$K:$K,'Таблиця 1'!$B:$B,$A459,'Таблиця 1'!$I:$I,"Су-25",'Таблиця 1'!$J:$J,"AASM-250")+SUMIFS('Таблиця 1'!$K:$K,'Таблиця 1'!$B:$B,$A459,'Таблиця 1'!$I:$I,"Су-27",'Таблиця 1'!$J:$J,"AASM-250"))</f>
        <v/>
      </c>
      <c r="J459">
        <f>IF($A459="","",SUMIFS('Таблиця 1'!$K:$K,'Таблиця 1'!$B:$B,$A459,'Таблиця 1'!$I:$I,"Mirage",'Таблиця 1'!$J:$J,"GBU-39")+SUMIFS('Таблиця 1'!$K:$K,'Таблиця 1'!$B:$B,$A459,'Таблиця 1'!$I:$I,"F-16",'Таблиця 1'!$J:$J,"GBU-39")+SUMIFS('Таблиця 1'!$K:$K,'Таблиця 1'!$B:$B,$A459,'Таблиця 1'!$I:$I,"МіГ-29",'Таблиця 1'!$J:$J,"GBU-39")+SUMIFS('Таблиця 1'!$K:$K,'Таблиця 1'!$B:$B,$A459,'Таблиця 1'!$I:$I,"Су-25",'Таблиця 1'!$J:$J,"GBU-39")+SUMIFS('Таблиця 1'!$K:$K,'Таблиця 1'!$B:$B,$A459,'Таблиця 1'!$I:$I,"Су-27",'Таблиця 1'!$J:$J,"GBU-39"))</f>
        <v/>
      </c>
      <c r="K459">
        <f>IF($A459="","",SUMIFS('Таблиця 1'!$K:$K,'Таблиця 1'!$B:$B,$A459,'Таблиця 1'!$I:$I,"Mirage",'Таблиця 1'!$J:$J,"BLU-140")+SUMIFS('Таблиця 1'!$K:$K,'Таблиця 1'!$B:$B,$A459,'Таблиця 1'!$I:$I,"F-16",'Таблиця 1'!$J:$J,"BLU-140")+SUMIFS('Таблиця 1'!$K:$K,'Таблиця 1'!$B:$B,$A459,'Таблиця 1'!$I:$I,"МіГ-29",'Таблиця 1'!$J:$J,"BLU-140")+SUMIFS('Таблиця 1'!$K:$K,'Таблиця 1'!$B:$B,$A459,'Таблиця 1'!$I:$I,"Су-25",'Таблиця 1'!$J:$J,"BLU-140")+SUMIFS('Таблиця 1'!$K:$K,'Таблиця 1'!$B:$B,$A459,'Таблиця 1'!$I:$I,"Су-27",'Таблиця 1'!$J:$J,"BLU-140"))</f>
        <v/>
      </c>
      <c r="L459">
        <f>IF($A459="","",SUMIFS('Таблиця 1'!$K:$K,'Таблиця 1'!$B:$B,$A459,'Таблиця 1'!$I:$I,"Mirage",'Таблиця 1'!$J:$J,"GBU-65")+SUMIFS('Таблиця 1'!$K:$K,'Таблиця 1'!$B:$B,$A459,'Таблиця 1'!$I:$I,"F-16",'Таблиця 1'!$J:$J,"GBU-65")+SUMIFS('Таблиця 1'!$K:$K,'Таблиця 1'!$B:$B,$A459,'Таблиця 1'!$I:$I,"МіГ-29",'Таблиця 1'!$J:$J,"GBU-65")+SUMIFS('Таблиця 1'!$K:$K,'Таблиця 1'!$B:$B,$A459,'Таблиця 1'!$I:$I,"Су-25",'Таблиця 1'!$J:$J,"GBU-65")+SUMIFS('Таблиця 1'!$K:$K,'Таблиця 1'!$B:$B,$A459,'Таблиця 1'!$I:$I,"Су-27",'Таблиця 1'!$J:$J,"GBU-65"))</f>
        <v/>
      </c>
      <c r="M459">
        <f>IF($A459="","",SUMIFS('Таблиця 1'!$K:$K,'Таблиця 1'!$B:$B,$A459,'Таблиця 1'!$I:$I,"Mirage",'Таблиця 1'!$J:$J,"GBU-62")+SUMIFS('Таблиця 1'!$K:$K,'Таблиця 1'!$B:$B,$A459,'Таблиця 1'!$I:$I,"F-16",'Таблиця 1'!$J:$J,"GBU-62")+SUMIFS('Таблиця 1'!$K:$K,'Таблиця 1'!$B:$B,$A459,'Таблиця 1'!$I:$I,"МіГ-29",'Таблиця 1'!$J:$J,"GBU-62")+SUMIFS('Таблиця 1'!$K:$K,'Таблиця 1'!$B:$B,$A459,'Таблиця 1'!$I:$I,"Су-25",'Таблиця 1'!$J:$J,"GBU-62")+SUMIFS('Таблиця 1'!$K:$K,'Таблиця 1'!$B:$B,$A459,'Таблиця 1'!$I:$I,"Су-27",'Таблиця 1'!$J:$J,"GBU-62"))</f>
        <v/>
      </c>
      <c r="N459">
        <f>IF($A459="","",SUMIFS('Таблиця 1'!$K:$K,'Таблиця 1'!$B:$B,$A459,'Таблиця 1'!$I:$I,"Mirage",'Таблиця 1'!$J:$J,"GBU-64")+SUMIFS('Таблиця 1'!$K:$K,'Таблиця 1'!$B:$B,$A459,'Таблиця 1'!$I:$I,"F-16",'Таблиця 1'!$J:$J,"GBU-64")+SUMIFS('Таблиця 1'!$K:$K,'Таблиця 1'!$B:$B,$A459,'Таблиця 1'!$I:$I,"МіГ-29",'Таблиця 1'!$J:$J,"GBU-64")+SUMIFS('Таблиця 1'!$K:$K,'Таблиця 1'!$B:$B,$A459,'Таблиця 1'!$I:$I,"Су-25",'Таблиця 1'!$J:$J,"GBU-64")+SUMIFS('Таблиця 1'!$K:$K,'Таблиця 1'!$B:$B,$A459,'Таблиця 1'!$I:$I,"Су-27",'Таблиця 1'!$J:$J,"GBU-64"))</f>
        <v/>
      </c>
      <c r="O459">
        <f>IF($A459="","",SUMIFS('Таблиця 1'!$K:$K,'Таблиця 1'!$B:$B,$A459,'Таблиця 1'!$I:$I,"Mirage",'Таблиця 1'!$J:$J,"C-13")+SUMIFS('Таблиця 1'!$K:$K,'Таблиця 1'!$B:$B,$A459,'Таблиця 1'!$I:$I,"F-16",'Таблиця 1'!$J:$J,"C-13")+SUMIFS('Таблиця 1'!$K:$K,'Таблиця 1'!$B:$B,$A459,'Таблиця 1'!$I:$I,"МіГ-29",'Таблиця 1'!$J:$J,"C-13")+SUMIFS('Таблиця 1'!$K:$K,'Таблиця 1'!$B:$B,$A459,'Таблиця 1'!$I:$I,"Су-25",'Таблиця 1'!$J:$J,"C-13")+SUMIFS('Таблиця 1'!$K:$K,'Таблиця 1'!$B:$B,$A459,'Таблиця 1'!$I:$I,"Су-27",'Таблиця 1'!$J:$J,"C-13"))</f>
        <v/>
      </c>
      <c r="P459">
        <f>IF($A459="","",SUMIFS('Таблиця 1'!$K:$K,'Таблиця 1'!$B:$B,$A459,'Таблиця 1'!$I:$I,"Mirage",'Таблиця 1'!$J:$J,"MK-32")+SUMIFS('Таблиця 1'!$K:$K,'Таблиця 1'!$B:$B,$A459,'Таблиця 1'!$I:$I,"F-16",'Таблиця 1'!$J:$J,"MK-32")+SUMIFS('Таблиця 1'!$K:$K,'Таблиця 1'!$B:$B,$A459,'Таблиця 1'!$I:$I,"МіГ-29",'Таблиця 1'!$J:$J,"MK-32")+SUMIFS('Таблиця 1'!$K:$K,'Таблиця 1'!$B:$B,$A459,'Таблиця 1'!$I:$I,"Су-25",'Таблиця 1'!$J:$J,"MK-32")+SUMIFS('Таблиця 1'!$K:$K,'Таблиця 1'!$B:$B,$A459,'Таблиця 1'!$I:$I,"Су-27",'Таблиця 1'!$J:$J,"MK-32"))</f>
        <v/>
      </c>
      <c r="Q459">
        <f>IF($A459="","",SUMIFS('Таблиця 1'!$K:$K,'Таблиця 1'!$B:$B,$A459,'Таблиця 1'!$I:$I,"Mirage",'Таблиця 1'!$J:$J,"MK-24")+SUMIFS('Таблиця 1'!$K:$K,'Таблиця 1'!$B:$B,$A459,'Таблиця 1'!$I:$I,"F-16",'Таблиця 1'!$J:$J,"MK-24")+SUMIFS('Таблиця 1'!$K:$K,'Таблиця 1'!$B:$B,$A459,'Таблиця 1'!$I:$I,"МіГ-29",'Таблиця 1'!$J:$J,"MK-24")+SUMIFS('Таблиця 1'!$K:$K,'Таблиця 1'!$B:$B,$A459,'Таблиця 1'!$I:$I,"Су-25",'Таблиця 1'!$J:$J,"MK-24")+SUMIFS('Таблиця 1'!$K:$K,'Таблиця 1'!$B:$B,$A459,'Таблиця 1'!$I:$I,"Су-27",'Таблиця 1'!$J:$J,"MK-24"))</f>
        <v/>
      </c>
      <c r="R459">
        <f>IF($A459="","",COUNTIFS('Таблиця 1'!$B:$B,$A459,'Таблиця 1'!$I:$I,"Mirage",'Таблиця 1'!$L:$L,"Уражено")+COUNTIFS('Таблиця 1'!$B:$B,$A459,'Таблиця 1'!$I:$I,"F-16",'Таблиця 1'!$L:$L,"Уражено")+COUNTIFS('Таблиця 1'!$B:$B,$A459,'Таблиця 1'!$I:$I,"МіГ-29",'Таблиця 1'!$L:$L,"Уражено")+COUNTIFS('Таблиця 1'!$B:$B,$A459,'Таблиця 1'!$I:$I,"Су-25",'Таблиця 1'!$L:$L,"Уражено")+COUNTIFS('Таблиця 1'!$B:$B,$A459,'Таблиця 1'!$I:$I,"Су-27",'Таблиця 1'!$L:$L,"Уражено"))</f>
        <v/>
      </c>
      <c r="S459">
        <f>IF($A459="","",COUNTIFS('Таблиця 1'!$B:$B,$A459,'Таблиця 1'!$I:$I,"Mirage",'Таблиця 1'!$L:$L,"НЕ уражено")+COUNTIFS('Таблиця 1'!$B:$B,$A459,'Таблиця 1'!$I:$I,"F-16",'Таблиця 1'!$L:$L,"НЕ уражено")+COUNTIFS('Таблиця 1'!$B:$B,$A459,'Таблиця 1'!$I:$I,"МіГ-29",'Таблиця 1'!$L:$L,"НЕ уражено")+COUNTIFS('Таблиця 1'!$B:$B,$A459,'Таблиця 1'!$I:$I,"Су-25",'Таблиця 1'!$L:$L,"НЕ уражено")+COUNTIFS('Таблиця 1'!$B:$B,$A459,'Таблиця 1'!$I:$I,"Су-27",'Таблиця 1'!$L:$L,"НЕ уражено"))</f>
        <v/>
      </c>
      <c r="T459">
        <f>IF($A459="","",COUNTIFS('Таблиця 1'!$B:$B,$A459,'Таблиця 1'!$I:$I,"Mirage",'Таблиця 1'!$L:$L,"Дорозвідується")+COUNTIFS('Таблиця 1'!$B:$B,$A459,'Таблиця 1'!$I:$I,"F-16",'Таблиця 1'!$L:$L,"Дорозвідується")+COUNTIFS('Таблиця 1'!$B:$B,$A459,'Таблиця 1'!$I:$I,"МіГ-29",'Таблиця 1'!$L:$L,"Дорозвідується")+COUNTIFS('Таблиця 1'!$B:$B,$A459,'Таблиця 1'!$I:$I,"Су-25",'Таблиця 1'!$L:$L,"Дорозвідується")+COUNTIFS('Таблиця 1'!$B:$B,$A459,'Таблиця 1'!$I:$I,"Су-27",'Таблиця 1'!$L:$L,"Дорозвідується"))</f>
        <v/>
      </c>
    </row>
    <row r="460">
      <c r="A460" s="273">
        <f>IF(A459="","",IF(A459+1&gt;MAX('Таблиця 1'!$B:$B),"",A459+1))</f>
        <v/>
      </c>
      <c r="B460">
        <f>IF($A460="","",COUNTIFS('Таблиця 1'!$B:$B,$A460,'Таблиця 1'!$I:$I,"Mirage")+COUNTIFS('Таблиця 1'!$B:$B,$A460,'Таблиця 1'!$I:$I,"F-16")+COUNTIFS('Таблиця 1'!$B:$B,$A460,'Таблиця 1'!$I:$I,"МіГ-29")+COUNTIFS('Таблиця 1'!$B:$B,$A460,'Таблиця 1'!$I:$I,"Су-25")+COUNTIFS('Таблиця 1'!$B:$B,$A460,'Таблиця 1'!$I:$I,"Су-27"))</f>
        <v/>
      </c>
      <c r="C460">
        <f>IF($A460="","",COUNTIFS('Таблиця 1'!$B:$B,$A460,'Таблиця 1'!$I:$I,"Mirage"))</f>
        <v/>
      </c>
      <c r="D460">
        <f>IF($A460="","",COUNTIFS('Таблиця 1'!$B:$B,$A460,'Таблиця 1'!$I:$I,"F-16"))</f>
        <v/>
      </c>
      <c r="E460">
        <f>IF($A460="","",COUNTIFS('Таблиця 1'!$B:$B,$A460,'Таблиця 1'!$I:$I,"МіГ-29"))</f>
        <v/>
      </c>
      <c r="F460">
        <f>IF($A460="","",COUNTIFS('Таблиця 1'!$B:$B,$A460,'Таблиця 1'!$I:$I,"Су-25"))</f>
        <v/>
      </c>
      <c r="G460">
        <f>IF($A460="","",COUNTIFS('Таблиця 1'!$B:$B,$A460,'Таблиця 1'!$I:$I,"Су-27"))</f>
        <v/>
      </c>
      <c r="H460">
        <f>IF($A460="","",SUMIFS('Таблиця 1'!$K:$K,'Таблиця 1'!$B:$B,$A460,'Таблиця 1'!$I:$I,"Mirage",'Таблиця 1'!$J:$J,"AGM-88")+SUMIFS('Таблиця 1'!$K:$K,'Таблиця 1'!$B:$B,$A460,'Таблиця 1'!$I:$I,"F-16",'Таблиця 1'!$J:$J,"AGM-88")+SUMIFS('Таблиця 1'!$K:$K,'Таблиця 1'!$B:$B,$A460,'Таблиця 1'!$I:$I,"МіГ-29",'Таблиця 1'!$J:$J,"AGM-88")+SUMIFS('Таблиця 1'!$K:$K,'Таблиця 1'!$B:$B,$A460,'Таблиця 1'!$I:$I,"Су-25",'Таблиця 1'!$J:$J,"AGM-88")+SUMIFS('Таблиця 1'!$K:$K,'Таблиця 1'!$B:$B,$A460,'Таблиця 1'!$I:$I,"Су-27",'Таблиця 1'!$J:$J,"AGM-88"))</f>
        <v/>
      </c>
      <c r="I460">
        <f>IF($A460="","",SUMIFS('Таблиця 1'!$K:$K,'Таблиця 1'!$B:$B,$A460,'Таблиця 1'!$I:$I,"Mirage",'Таблиця 1'!$J:$J,"AASM-250")+SUMIFS('Таблиця 1'!$K:$K,'Таблиця 1'!$B:$B,$A460,'Таблиця 1'!$I:$I,"F-16",'Таблиця 1'!$J:$J,"AASM-250")+SUMIFS('Таблиця 1'!$K:$K,'Таблиця 1'!$B:$B,$A460,'Таблиця 1'!$I:$I,"МіГ-29",'Таблиця 1'!$J:$J,"AASM-250")+SUMIFS('Таблиця 1'!$K:$K,'Таблиця 1'!$B:$B,$A460,'Таблиця 1'!$I:$I,"Су-25",'Таблиця 1'!$J:$J,"AASM-250")+SUMIFS('Таблиця 1'!$K:$K,'Таблиця 1'!$B:$B,$A460,'Таблиця 1'!$I:$I,"Су-27",'Таблиця 1'!$J:$J,"AASM-250"))</f>
        <v/>
      </c>
      <c r="J460">
        <f>IF($A460="","",SUMIFS('Таблиця 1'!$K:$K,'Таблиця 1'!$B:$B,$A460,'Таблиця 1'!$I:$I,"Mirage",'Таблиця 1'!$J:$J,"GBU-39")+SUMIFS('Таблиця 1'!$K:$K,'Таблиця 1'!$B:$B,$A460,'Таблиця 1'!$I:$I,"F-16",'Таблиця 1'!$J:$J,"GBU-39")+SUMIFS('Таблиця 1'!$K:$K,'Таблиця 1'!$B:$B,$A460,'Таблиця 1'!$I:$I,"МіГ-29",'Таблиця 1'!$J:$J,"GBU-39")+SUMIFS('Таблиця 1'!$K:$K,'Таблиця 1'!$B:$B,$A460,'Таблиця 1'!$I:$I,"Су-25",'Таблиця 1'!$J:$J,"GBU-39")+SUMIFS('Таблиця 1'!$K:$K,'Таблиця 1'!$B:$B,$A460,'Таблиця 1'!$I:$I,"Су-27",'Таблиця 1'!$J:$J,"GBU-39"))</f>
        <v/>
      </c>
      <c r="K460">
        <f>IF($A460="","",SUMIFS('Таблиця 1'!$K:$K,'Таблиця 1'!$B:$B,$A460,'Таблиця 1'!$I:$I,"Mirage",'Таблиця 1'!$J:$J,"BLU-140")+SUMIFS('Таблиця 1'!$K:$K,'Таблиця 1'!$B:$B,$A460,'Таблиця 1'!$I:$I,"F-16",'Таблиця 1'!$J:$J,"BLU-140")+SUMIFS('Таблиця 1'!$K:$K,'Таблиця 1'!$B:$B,$A460,'Таблиця 1'!$I:$I,"МіГ-29",'Таблиця 1'!$J:$J,"BLU-140")+SUMIFS('Таблиця 1'!$K:$K,'Таблиця 1'!$B:$B,$A460,'Таблиця 1'!$I:$I,"Су-25",'Таблиця 1'!$J:$J,"BLU-140")+SUMIFS('Таблиця 1'!$K:$K,'Таблиця 1'!$B:$B,$A460,'Таблиця 1'!$I:$I,"Су-27",'Таблиця 1'!$J:$J,"BLU-140"))</f>
        <v/>
      </c>
      <c r="L460">
        <f>IF($A460="","",SUMIFS('Таблиця 1'!$K:$K,'Таблиця 1'!$B:$B,$A460,'Таблиця 1'!$I:$I,"Mirage",'Таблиця 1'!$J:$J,"GBU-65")+SUMIFS('Таблиця 1'!$K:$K,'Таблиця 1'!$B:$B,$A460,'Таблиця 1'!$I:$I,"F-16",'Таблиця 1'!$J:$J,"GBU-65")+SUMIFS('Таблиця 1'!$K:$K,'Таблиця 1'!$B:$B,$A460,'Таблиця 1'!$I:$I,"МіГ-29",'Таблиця 1'!$J:$J,"GBU-65")+SUMIFS('Таблиця 1'!$K:$K,'Таблиця 1'!$B:$B,$A460,'Таблиця 1'!$I:$I,"Су-25",'Таблиця 1'!$J:$J,"GBU-65")+SUMIFS('Таблиця 1'!$K:$K,'Таблиця 1'!$B:$B,$A460,'Таблиця 1'!$I:$I,"Су-27",'Таблиця 1'!$J:$J,"GBU-65"))</f>
        <v/>
      </c>
      <c r="M460">
        <f>IF($A460="","",SUMIFS('Таблиця 1'!$K:$K,'Таблиця 1'!$B:$B,$A460,'Таблиця 1'!$I:$I,"Mirage",'Таблиця 1'!$J:$J,"GBU-62")+SUMIFS('Таблиця 1'!$K:$K,'Таблиця 1'!$B:$B,$A460,'Таблиця 1'!$I:$I,"F-16",'Таблиця 1'!$J:$J,"GBU-62")+SUMIFS('Таблиця 1'!$K:$K,'Таблиця 1'!$B:$B,$A460,'Таблиця 1'!$I:$I,"МіГ-29",'Таблиця 1'!$J:$J,"GBU-62")+SUMIFS('Таблиця 1'!$K:$K,'Таблиця 1'!$B:$B,$A460,'Таблиця 1'!$I:$I,"Су-25",'Таблиця 1'!$J:$J,"GBU-62")+SUMIFS('Таблиця 1'!$K:$K,'Таблиця 1'!$B:$B,$A460,'Таблиця 1'!$I:$I,"Су-27",'Таблиця 1'!$J:$J,"GBU-62"))</f>
        <v/>
      </c>
      <c r="N460">
        <f>IF($A460="","",SUMIFS('Таблиця 1'!$K:$K,'Таблиця 1'!$B:$B,$A460,'Таблиця 1'!$I:$I,"Mirage",'Таблиця 1'!$J:$J,"GBU-64")+SUMIFS('Таблиця 1'!$K:$K,'Таблиця 1'!$B:$B,$A460,'Таблиця 1'!$I:$I,"F-16",'Таблиця 1'!$J:$J,"GBU-64")+SUMIFS('Таблиця 1'!$K:$K,'Таблиця 1'!$B:$B,$A460,'Таблиця 1'!$I:$I,"МіГ-29",'Таблиця 1'!$J:$J,"GBU-64")+SUMIFS('Таблиця 1'!$K:$K,'Таблиця 1'!$B:$B,$A460,'Таблиця 1'!$I:$I,"Су-25",'Таблиця 1'!$J:$J,"GBU-64")+SUMIFS('Таблиця 1'!$K:$K,'Таблиця 1'!$B:$B,$A460,'Таблиця 1'!$I:$I,"Су-27",'Таблиця 1'!$J:$J,"GBU-64"))</f>
        <v/>
      </c>
      <c r="O460">
        <f>IF($A460="","",SUMIFS('Таблиця 1'!$K:$K,'Таблиця 1'!$B:$B,$A460,'Таблиця 1'!$I:$I,"Mirage",'Таблиця 1'!$J:$J,"C-13")+SUMIFS('Таблиця 1'!$K:$K,'Таблиця 1'!$B:$B,$A460,'Таблиця 1'!$I:$I,"F-16",'Таблиця 1'!$J:$J,"C-13")+SUMIFS('Таблиця 1'!$K:$K,'Таблиця 1'!$B:$B,$A460,'Таблиця 1'!$I:$I,"МіГ-29",'Таблиця 1'!$J:$J,"C-13")+SUMIFS('Таблиця 1'!$K:$K,'Таблиця 1'!$B:$B,$A460,'Таблиця 1'!$I:$I,"Су-25",'Таблиця 1'!$J:$J,"C-13")+SUMIFS('Таблиця 1'!$K:$K,'Таблиця 1'!$B:$B,$A460,'Таблиця 1'!$I:$I,"Су-27",'Таблиця 1'!$J:$J,"C-13"))</f>
        <v/>
      </c>
      <c r="P460">
        <f>IF($A460="","",SUMIFS('Таблиця 1'!$K:$K,'Таблиця 1'!$B:$B,$A460,'Таблиця 1'!$I:$I,"Mirage",'Таблиця 1'!$J:$J,"MK-32")+SUMIFS('Таблиця 1'!$K:$K,'Таблиця 1'!$B:$B,$A460,'Таблиця 1'!$I:$I,"F-16",'Таблиця 1'!$J:$J,"MK-32")+SUMIFS('Таблиця 1'!$K:$K,'Таблиця 1'!$B:$B,$A460,'Таблиця 1'!$I:$I,"МіГ-29",'Таблиця 1'!$J:$J,"MK-32")+SUMIFS('Таблиця 1'!$K:$K,'Таблиця 1'!$B:$B,$A460,'Таблиця 1'!$I:$I,"Су-25",'Таблиця 1'!$J:$J,"MK-32")+SUMIFS('Таблиця 1'!$K:$K,'Таблиця 1'!$B:$B,$A460,'Таблиця 1'!$I:$I,"Су-27",'Таблиця 1'!$J:$J,"MK-32"))</f>
        <v/>
      </c>
      <c r="Q460">
        <f>IF($A460="","",SUMIFS('Таблиця 1'!$K:$K,'Таблиця 1'!$B:$B,$A460,'Таблиця 1'!$I:$I,"Mirage",'Таблиця 1'!$J:$J,"MK-24")+SUMIFS('Таблиця 1'!$K:$K,'Таблиця 1'!$B:$B,$A460,'Таблиця 1'!$I:$I,"F-16",'Таблиця 1'!$J:$J,"MK-24")+SUMIFS('Таблиця 1'!$K:$K,'Таблиця 1'!$B:$B,$A460,'Таблиця 1'!$I:$I,"МіГ-29",'Таблиця 1'!$J:$J,"MK-24")+SUMIFS('Таблиця 1'!$K:$K,'Таблиця 1'!$B:$B,$A460,'Таблиця 1'!$I:$I,"Су-25",'Таблиця 1'!$J:$J,"MK-24")+SUMIFS('Таблиця 1'!$K:$K,'Таблиця 1'!$B:$B,$A460,'Таблиця 1'!$I:$I,"Су-27",'Таблиця 1'!$J:$J,"MK-24"))</f>
        <v/>
      </c>
      <c r="R460">
        <f>IF($A460="","",COUNTIFS('Таблиця 1'!$B:$B,$A460,'Таблиця 1'!$I:$I,"Mirage",'Таблиця 1'!$L:$L,"Уражено")+COUNTIFS('Таблиця 1'!$B:$B,$A460,'Таблиця 1'!$I:$I,"F-16",'Таблиця 1'!$L:$L,"Уражено")+COUNTIFS('Таблиця 1'!$B:$B,$A460,'Таблиця 1'!$I:$I,"МіГ-29",'Таблиця 1'!$L:$L,"Уражено")+COUNTIFS('Таблиця 1'!$B:$B,$A460,'Таблиця 1'!$I:$I,"Су-25",'Таблиця 1'!$L:$L,"Уражено")+COUNTIFS('Таблиця 1'!$B:$B,$A460,'Таблиця 1'!$I:$I,"Су-27",'Таблиця 1'!$L:$L,"Уражено"))</f>
        <v/>
      </c>
      <c r="S460">
        <f>IF($A460="","",COUNTIFS('Таблиця 1'!$B:$B,$A460,'Таблиця 1'!$I:$I,"Mirage",'Таблиця 1'!$L:$L,"НЕ уражено")+COUNTIFS('Таблиця 1'!$B:$B,$A460,'Таблиця 1'!$I:$I,"F-16",'Таблиця 1'!$L:$L,"НЕ уражено")+COUNTIFS('Таблиця 1'!$B:$B,$A460,'Таблиця 1'!$I:$I,"МіГ-29",'Таблиця 1'!$L:$L,"НЕ уражено")+COUNTIFS('Таблиця 1'!$B:$B,$A460,'Таблиця 1'!$I:$I,"Су-25",'Таблиця 1'!$L:$L,"НЕ уражено")+COUNTIFS('Таблиця 1'!$B:$B,$A460,'Таблиця 1'!$I:$I,"Су-27",'Таблиця 1'!$L:$L,"НЕ уражено"))</f>
        <v/>
      </c>
      <c r="T460">
        <f>IF($A460="","",COUNTIFS('Таблиця 1'!$B:$B,$A460,'Таблиця 1'!$I:$I,"Mirage",'Таблиця 1'!$L:$L,"Дорозвідується")+COUNTIFS('Таблиця 1'!$B:$B,$A460,'Таблиця 1'!$I:$I,"F-16",'Таблиця 1'!$L:$L,"Дорозвідується")+COUNTIFS('Таблиця 1'!$B:$B,$A460,'Таблиця 1'!$I:$I,"МіГ-29",'Таблиця 1'!$L:$L,"Дорозвідується")+COUNTIFS('Таблиця 1'!$B:$B,$A460,'Таблиця 1'!$I:$I,"Су-25",'Таблиця 1'!$L:$L,"Дорозвідується")+COUNTIFS('Таблиця 1'!$B:$B,$A460,'Таблиця 1'!$I:$I,"Су-27",'Таблиця 1'!$L:$L,"Дорозвідується"))</f>
        <v/>
      </c>
    </row>
    <row r="461">
      <c r="A461" s="273">
        <f>IF(A460="","",IF(A460+1&gt;MAX('Таблиця 1'!$B:$B),"",A460+1))</f>
        <v/>
      </c>
      <c r="B461">
        <f>IF($A461="","",COUNTIFS('Таблиця 1'!$B:$B,$A461,'Таблиця 1'!$I:$I,"Mirage")+COUNTIFS('Таблиця 1'!$B:$B,$A461,'Таблиця 1'!$I:$I,"F-16")+COUNTIFS('Таблиця 1'!$B:$B,$A461,'Таблиця 1'!$I:$I,"МіГ-29")+COUNTIFS('Таблиця 1'!$B:$B,$A461,'Таблиця 1'!$I:$I,"Су-25")+COUNTIFS('Таблиця 1'!$B:$B,$A461,'Таблиця 1'!$I:$I,"Су-27"))</f>
        <v/>
      </c>
      <c r="C461">
        <f>IF($A461="","",COUNTIFS('Таблиця 1'!$B:$B,$A461,'Таблиця 1'!$I:$I,"Mirage"))</f>
        <v/>
      </c>
      <c r="D461">
        <f>IF($A461="","",COUNTIFS('Таблиця 1'!$B:$B,$A461,'Таблиця 1'!$I:$I,"F-16"))</f>
        <v/>
      </c>
      <c r="E461">
        <f>IF($A461="","",COUNTIFS('Таблиця 1'!$B:$B,$A461,'Таблиця 1'!$I:$I,"МіГ-29"))</f>
        <v/>
      </c>
      <c r="F461">
        <f>IF($A461="","",COUNTIFS('Таблиця 1'!$B:$B,$A461,'Таблиця 1'!$I:$I,"Су-25"))</f>
        <v/>
      </c>
      <c r="G461">
        <f>IF($A461="","",COUNTIFS('Таблиця 1'!$B:$B,$A461,'Таблиця 1'!$I:$I,"Су-27"))</f>
        <v/>
      </c>
      <c r="H461">
        <f>IF($A461="","",SUMIFS('Таблиця 1'!$K:$K,'Таблиця 1'!$B:$B,$A461,'Таблиця 1'!$I:$I,"Mirage",'Таблиця 1'!$J:$J,"AGM-88")+SUMIFS('Таблиця 1'!$K:$K,'Таблиця 1'!$B:$B,$A461,'Таблиця 1'!$I:$I,"F-16",'Таблиця 1'!$J:$J,"AGM-88")+SUMIFS('Таблиця 1'!$K:$K,'Таблиця 1'!$B:$B,$A461,'Таблиця 1'!$I:$I,"МіГ-29",'Таблиця 1'!$J:$J,"AGM-88")+SUMIFS('Таблиця 1'!$K:$K,'Таблиця 1'!$B:$B,$A461,'Таблиця 1'!$I:$I,"Су-25",'Таблиця 1'!$J:$J,"AGM-88")+SUMIFS('Таблиця 1'!$K:$K,'Таблиця 1'!$B:$B,$A461,'Таблиця 1'!$I:$I,"Су-27",'Таблиця 1'!$J:$J,"AGM-88"))</f>
        <v/>
      </c>
      <c r="I461">
        <f>IF($A461="","",SUMIFS('Таблиця 1'!$K:$K,'Таблиця 1'!$B:$B,$A461,'Таблиця 1'!$I:$I,"Mirage",'Таблиця 1'!$J:$J,"AASM-250")+SUMIFS('Таблиця 1'!$K:$K,'Таблиця 1'!$B:$B,$A461,'Таблиця 1'!$I:$I,"F-16",'Таблиця 1'!$J:$J,"AASM-250")+SUMIFS('Таблиця 1'!$K:$K,'Таблиця 1'!$B:$B,$A461,'Таблиця 1'!$I:$I,"МіГ-29",'Таблиця 1'!$J:$J,"AASM-250")+SUMIFS('Таблиця 1'!$K:$K,'Таблиця 1'!$B:$B,$A461,'Таблиця 1'!$I:$I,"Су-25",'Таблиця 1'!$J:$J,"AASM-250")+SUMIFS('Таблиця 1'!$K:$K,'Таблиця 1'!$B:$B,$A461,'Таблиця 1'!$I:$I,"Су-27",'Таблиця 1'!$J:$J,"AASM-250"))</f>
        <v/>
      </c>
      <c r="J461">
        <f>IF($A461="","",SUMIFS('Таблиця 1'!$K:$K,'Таблиця 1'!$B:$B,$A461,'Таблиця 1'!$I:$I,"Mirage",'Таблиця 1'!$J:$J,"GBU-39")+SUMIFS('Таблиця 1'!$K:$K,'Таблиця 1'!$B:$B,$A461,'Таблиця 1'!$I:$I,"F-16",'Таблиця 1'!$J:$J,"GBU-39")+SUMIFS('Таблиця 1'!$K:$K,'Таблиця 1'!$B:$B,$A461,'Таблиця 1'!$I:$I,"МіГ-29",'Таблиця 1'!$J:$J,"GBU-39")+SUMIFS('Таблиця 1'!$K:$K,'Таблиця 1'!$B:$B,$A461,'Таблиця 1'!$I:$I,"Су-25",'Таблиця 1'!$J:$J,"GBU-39")+SUMIFS('Таблиця 1'!$K:$K,'Таблиця 1'!$B:$B,$A461,'Таблиця 1'!$I:$I,"Су-27",'Таблиця 1'!$J:$J,"GBU-39"))</f>
        <v/>
      </c>
      <c r="K461">
        <f>IF($A461="","",SUMIFS('Таблиця 1'!$K:$K,'Таблиця 1'!$B:$B,$A461,'Таблиця 1'!$I:$I,"Mirage",'Таблиця 1'!$J:$J,"BLU-140")+SUMIFS('Таблиця 1'!$K:$K,'Таблиця 1'!$B:$B,$A461,'Таблиця 1'!$I:$I,"F-16",'Таблиця 1'!$J:$J,"BLU-140")+SUMIFS('Таблиця 1'!$K:$K,'Таблиця 1'!$B:$B,$A461,'Таблиця 1'!$I:$I,"МіГ-29",'Таблиця 1'!$J:$J,"BLU-140")+SUMIFS('Таблиця 1'!$K:$K,'Таблиця 1'!$B:$B,$A461,'Таблиця 1'!$I:$I,"Су-25",'Таблиця 1'!$J:$J,"BLU-140")+SUMIFS('Таблиця 1'!$K:$K,'Таблиця 1'!$B:$B,$A461,'Таблиця 1'!$I:$I,"Су-27",'Таблиця 1'!$J:$J,"BLU-140"))</f>
        <v/>
      </c>
      <c r="L461">
        <f>IF($A461="","",SUMIFS('Таблиця 1'!$K:$K,'Таблиця 1'!$B:$B,$A461,'Таблиця 1'!$I:$I,"Mirage",'Таблиця 1'!$J:$J,"GBU-65")+SUMIFS('Таблиця 1'!$K:$K,'Таблиця 1'!$B:$B,$A461,'Таблиця 1'!$I:$I,"F-16",'Таблиця 1'!$J:$J,"GBU-65")+SUMIFS('Таблиця 1'!$K:$K,'Таблиця 1'!$B:$B,$A461,'Таблиця 1'!$I:$I,"МіГ-29",'Таблиця 1'!$J:$J,"GBU-65")+SUMIFS('Таблиця 1'!$K:$K,'Таблиця 1'!$B:$B,$A461,'Таблиця 1'!$I:$I,"Су-25",'Таблиця 1'!$J:$J,"GBU-65")+SUMIFS('Таблиця 1'!$K:$K,'Таблиця 1'!$B:$B,$A461,'Таблиця 1'!$I:$I,"Су-27",'Таблиця 1'!$J:$J,"GBU-65"))</f>
        <v/>
      </c>
      <c r="M461">
        <f>IF($A461="","",SUMIFS('Таблиця 1'!$K:$K,'Таблиця 1'!$B:$B,$A461,'Таблиця 1'!$I:$I,"Mirage",'Таблиця 1'!$J:$J,"GBU-62")+SUMIFS('Таблиця 1'!$K:$K,'Таблиця 1'!$B:$B,$A461,'Таблиця 1'!$I:$I,"F-16",'Таблиця 1'!$J:$J,"GBU-62")+SUMIFS('Таблиця 1'!$K:$K,'Таблиця 1'!$B:$B,$A461,'Таблиця 1'!$I:$I,"МіГ-29",'Таблиця 1'!$J:$J,"GBU-62")+SUMIFS('Таблиця 1'!$K:$K,'Таблиця 1'!$B:$B,$A461,'Таблиця 1'!$I:$I,"Су-25",'Таблиця 1'!$J:$J,"GBU-62")+SUMIFS('Таблиця 1'!$K:$K,'Таблиця 1'!$B:$B,$A461,'Таблиця 1'!$I:$I,"Су-27",'Таблиця 1'!$J:$J,"GBU-62"))</f>
        <v/>
      </c>
      <c r="N461">
        <f>IF($A461="","",SUMIFS('Таблиця 1'!$K:$K,'Таблиця 1'!$B:$B,$A461,'Таблиця 1'!$I:$I,"Mirage",'Таблиця 1'!$J:$J,"GBU-64")+SUMIFS('Таблиця 1'!$K:$K,'Таблиця 1'!$B:$B,$A461,'Таблиця 1'!$I:$I,"F-16",'Таблиця 1'!$J:$J,"GBU-64")+SUMIFS('Таблиця 1'!$K:$K,'Таблиця 1'!$B:$B,$A461,'Таблиця 1'!$I:$I,"МіГ-29",'Таблиця 1'!$J:$J,"GBU-64")+SUMIFS('Таблиця 1'!$K:$K,'Таблиця 1'!$B:$B,$A461,'Таблиця 1'!$I:$I,"Су-25",'Таблиця 1'!$J:$J,"GBU-64")+SUMIFS('Таблиця 1'!$K:$K,'Таблиця 1'!$B:$B,$A461,'Таблиця 1'!$I:$I,"Су-27",'Таблиця 1'!$J:$J,"GBU-64"))</f>
        <v/>
      </c>
      <c r="O461">
        <f>IF($A461="","",SUMIFS('Таблиця 1'!$K:$K,'Таблиця 1'!$B:$B,$A461,'Таблиця 1'!$I:$I,"Mirage",'Таблиця 1'!$J:$J,"C-13")+SUMIFS('Таблиця 1'!$K:$K,'Таблиця 1'!$B:$B,$A461,'Таблиця 1'!$I:$I,"F-16",'Таблиця 1'!$J:$J,"C-13")+SUMIFS('Таблиця 1'!$K:$K,'Таблиця 1'!$B:$B,$A461,'Таблиця 1'!$I:$I,"МіГ-29",'Таблиця 1'!$J:$J,"C-13")+SUMIFS('Таблиця 1'!$K:$K,'Таблиця 1'!$B:$B,$A461,'Таблиця 1'!$I:$I,"Су-25",'Таблиця 1'!$J:$J,"C-13")+SUMIFS('Таблиця 1'!$K:$K,'Таблиця 1'!$B:$B,$A461,'Таблиця 1'!$I:$I,"Су-27",'Таблиця 1'!$J:$J,"C-13"))</f>
        <v/>
      </c>
      <c r="P461">
        <f>IF($A461="","",SUMIFS('Таблиця 1'!$K:$K,'Таблиця 1'!$B:$B,$A461,'Таблиця 1'!$I:$I,"Mirage",'Таблиця 1'!$J:$J,"MK-32")+SUMIFS('Таблиця 1'!$K:$K,'Таблиця 1'!$B:$B,$A461,'Таблиця 1'!$I:$I,"F-16",'Таблиця 1'!$J:$J,"MK-32")+SUMIFS('Таблиця 1'!$K:$K,'Таблиця 1'!$B:$B,$A461,'Таблиця 1'!$I:$I,"МіГ-29",'Таблиця 1'!$J:$J,"MK-32")+SUMIFS('Таблиця 1'!$K:$K,'Таблиця 1'!$B:$B,$A461,'Таблиця 1'!$I:$I,"Су-25",'Таблиця 1'!$J:$J,"MK-32")+SUMIFS('Таблиця 1'!$K:$K,'Таблиця 1'!$B:$B,$A461,'Таблиця 1'!$I:$I,"Су-27",'Таблиця 1'!$J:$J,"MK-32"))</f>
        <v/>
      </c>
      <c r="Q461">
        <f>IF($A461="","",SUMIFS('Таблиця 1'!$K:$K,'Таблиця 1'!$B:$B,$A461,'Таблиця 1'!$I:$I,"Mirage",'Таблиця 1'!$J:$J,"MK-24")+SUMIFS('Таблиця 1'!$K:$K,'Таблиця 1'!$B:$B,$A461,'Таблиця 1'!$I:$I,"F-16",'Таблиця 1'!$J:$J,"MK-24")+SUMIFS('Таблиця 1'!$K:$K,'Таблиця 1'!$B:$B,$A461,'Таблиця 1'!$I:$I,"МіГ-29",'Таблиця 1'!$J:$J,"MK-24")+SUMIFS('Таблиця 1'!$K:$K,'Таблиця 1'!$B:$B,$A461,'Таблиця 1'!$I:$I,"Су-25",'Таблиця 1'!$J:$J,"MK-24")+SUMIFS('Таблиця 1'!$K:$K,'Таблиця 1'!$B:$B,$A461,'Таблиця 1'!$I:$I,"Су-27",'Таблиця 1'!$J:$J,"MK-24"))</f>
        <v/>
      </c>
      <c r="R461">
        <f>IF($A461="","",COUNTIFS('Таблиця 1'!$B:$B,$A461,'Таблиця 1'!$I:$I,"Mirage",'Таблиця 1'!$L:$L,"Уражено")+COUNTIFS('Таблиця 1'!$B:$B,$A461,'Таблиця 1'!$I:$I,"F-16",'Таблиця 1'!$L:$L,"Уражено")+COUNTIFS('Таблиця 1'!$B:$B,$A461,'Таблиця 1'!$I:$I,"МіГ-29",'Таблиця 1'!$L:$L,"Уражено")+COUNTIFS('Таблиця 1'!$B:$B,$A461,'Таблиця 1'!$I:$I,"Су-25",'Таблиця 1'!$L:$L,"Уражено")+COUNTIFS('Таблиця 1'!$B:$B,$A461,'Таблиця 1'!$I:$I,"Су-27",'Таблиця 1'!$L:$L,"Уражено"))</f>
        <v/>
      </c>
      <c r="S461">
        <f>IF($A461="","",COUNTIFS('Таблиця 1'!$B:$B,$A461,'Таблиця 1'!$I:$I,"Mirage",'Таблиця 1'!$L:$L,"НЕ уражено")+COUNTIFS('Таблиця 1'!$B:$B,$A461,'Таблиця 1'!$I:$I,"F-16",'Таблиця 1'!$L:$L,"НЕ уражено")+COUNTIFS('Таблиця 1'!$B:$B,$A461,'Таблиця 1'!$I:$I,"МіГ-29",'Таблиця 1'!$L:$L,"НЕ уражено")+COUNTIFS('Таблиця 1'!$B:$B,$A461,'Таблиця 1'!$I:$I,"Су-25",'Таблиця 1'!$L:$L,"НЕ уражено")+COUNTIFS('Таблиця 1'!$B:$B,$A461,'Таблиця 1'!$I:$I,"Су-27",'Таблиця 1'!$L:$L,"НЕ уражено"))</f>
        <v/>
      </c>
      <c r="T461">
        <f>IF($A461="","",COUNTIFS('Таблиця 1'!$B:$B,$A461,'Таблиця 1'!$I:$I,"Mirage",'Таблиця 1'!$L:$L,"Дорозвідується")+COUNTIFS('Таблиця 1'!$B:$B,$A461,'Таблиця 1'!$I:$I,"F-16",'Таблиця 1'!$L:$L,"Дорозвідується")+COUNTIFS('Таблиця 1'!$B:$B,$A461,'Таблиця 1'!$I:$I,"МіГ-29",'Таблиця 1'!$L:$L,"Дорозвідується")+COUNTIFS('Таблиця 1'!$B:$B,$A461,'Таблиця 1'!$I:$I,"Су-25",'Таблиця 1'!$L:$L,"Дорозвідується")+COUNTIFS('Таблиця 1'!$B:$B,$A461,'Таблиця 1'!$I:$I,"Су-27",'Таблиця 1'!$L:$L,"Дорозвідується"))</f>
        <v/>
      </c>
    </row>
    <row r="462">
      <c r="A462" s="273">
        <f>IF(A461="","",IF(A461+1&gt;MAX('Таблиця 1'!$B:$B),"",A461+1))</f>
        <v/>
      </c>
      <c r="B462">
        <f>IF($A462="","",COUNTIFS('Таблиця 1'!$B:$B,$A462,'Таблиця 1'!$I:$I,"Mirage")+COUNTIFS('Таблиця 1'!$B:$B,$A462,'Таблиця 1'!$I:$I,"F-16")+COUNTIFS('Таблиця 1'!$B:$B,$A462,'Таблиця 1'!$I:$I,"МіГ-29")+COUNTIFS('Таблиця 1'!$B:$B,$A462,'Таблиця 1'!$I:$I,"Су-25")+COUNTIFS('Таблиця 1'!$B:$B,$A462,'Таблиця 1'!$I:$I,"Су-27"))</f>
        <v/>
      </c>
      <c r="C462">
        <f>IF($A462="","",COUNTIFS('Таблиця 1'!$B:$B,$A462,'Таблиця 1'!$I:$I,"Mirage"))</f>
        <v/>
      </c>
      <c r="D462">
        <f>IF($A462="","",COUNTIFS('Таблиця 1'!$B:$B,$A462,'Таблиця 1'!$I:$I,"F-16"))</f>
        <v/>
      </c>
      <c r="E462">
        <f>IF($A462="","",COUNTIFS('Таблиця 1'!$B:$B,$A462,'Таблиця 1'!$I:$I,"МіГ-29"))</f>
        <v/>
      </c>
      <c r="F462">
        <f>IF($A462="","",COUNTIFS('Таблиця 1'!$B:$B,$A462,'Таблиця 1'!$I:$I,"Су-25"))</f>
        <v/>
      </c>
      <c r="G462">
        <f>IF($A462="","",COUNTIFS('Таблиця 1'!$B:$B,$A462,'Таблиця 1'!$I:$I,"Су-27"))</f>
        <v/>
      </c>
      <c r="H462">
        <f>IF($A462="","",SUMIFS('Таблиця 1'!$K:$K,'Таблиця 1'!$B:$B,$A462,'Таблиця 1'!$I:$I,"Mirage",'Таблиця 1'!$J:$J,"AGM-88")+SUMIFS('Таблиця 1'!$K:$K,'Таблиця 1'!$B:$B,$A462,'Таблиця 1'!$I:$I,"F-16",'Таблиця 1'!$J:$J,"AGM-88")+SUMIFS('Таблиця 1'!$K:$K,'Таблиця 1'!$B:$B,$A462,'Таблиця 1'!$I:$I,"МіГ-29",'Таблиця 1'!$J:$J,"AGM-88")+SUMIFS('Таблиця 1'!$K:$K,'Таблиця 1'!$B:$B,$A462,'Таблиця 1'!$I:$I,"Су-25",'Таблиця 1'!$J:$J,"AGM-88")+SUMIFS('Таблиця 1'!$K:$K,'Таблиця 1'!$B:$B,$A462,'Таблиця 1'!$I:$I,"Су-27",'Таблиця 1'!$J:$J,"AGM-88"))</f>
        <v/>
      </c>
      <c r="I462">
        <f>IF($A462="","",SUMIFS('Таблиця 1'!$K:$K,'Таблиця 1'!$B:$B,$A462,'Таблиця 1'!$I:$I,"Mirage",'Таблиця 1'!$J:$J,"AASM-250")+SUMIFS('Таблиця 1'!$K:$K,'Таблиця 1'!$B:$B,$A462,'Таблиця 1'!$I:$I,"F-16",'Таблиця 1'!$J:$J,"AASM-250")+SUMIFS('Таблиця 1'!$K:$K,'Таблиця 1'!$B:$B,$A462,'Таблиця 1'!$I:$I,"МіГ-29",'Таблиця 1'!$J:$J,"AASM-250")+SUMIFS('Таблиця 1'!$K:$K,'Таблиця 1'!$B:$B,$A462,'Таблиця 1'!$I:$I,"Су-25",'Таблиця 1'!$J:$J,"AASM-250")+SUMIFS('Таблиця 1'!$K:$K,'Таблиця 1'!$B:$B,$A462,'Таблиця 1'!$I:$I,"Су-27",'Таблиця 1'!$J:$J,"AASM-250"))</f>
        <v/>
      </c>
      <c r="J462">
        <f>IF($A462="","",SUMIFS('Таблиця 1'!$K:$K,'Таблиця 1'!$B:$B,$A462,'Таблиця 1'!$I:$I,"Mirage",'Таблиця 1'!$J:$J,"GBU-39")+SUMIFS('Таблиця 1'!$K:$K,'Таблиця 1'!$B:$B,$A462,'Таблиця 1'!$I:$I,"F-16",'Таблиця 1'!$J:$J,"GBU-39")+SUMIFS('Таблиця 1'!$K:$K,'Таблиця 1'!$B:$B,$A462,'Таблиця 1'!$I:$I,"МіГ-29",'Таблиця 1'!$J:$J,"GBU-39")+SUMIFS('Таблиця 1'!$K:$K,'Таблиця 1'!$B:$B,$A462,'Таблиця 1'!$I:$I,"Су-25",'Таблиця 1'!$J:$J,"GBU-39")+SUMIFS('Таблиця 1'!$K:$K,'Таблиця 1'!$B:$B,$A462,'Таблиця 1'!$I:$I,"Су-27",'Таблиця 1'!$J:$J,"GBU-39"))</f>
        <v/>
      </c>
      <c r="K462">
        <f>IF($A462="","",SUMIFS('Таблиця 1'!$K:$K,'Таблиця 1'!$B:$B,$A462,'Таблиця 1'!$I:$I,"Mirage",'Таблиця 1'!$J:$J,"BLU-140")+SUMIFS('Таблиця 1'!$K:$K,'Таблиця 1'!$B:$B,$A462,'Таблиця 1'!$I:$I,"F-16",'Таблиця 1'!$J:$J,"BLU-140")+SUMIFS('Таблиця 1'!$K:$K,'Таблиця 1'!$B:$B,$A462,'Таблиця 1'!$I:$I,"МіГ-29",'Таблиця 1'!$J:$J,"BLU-140")+SUMIFS('Таблиця 1'!$K:$K,'Таблиця 1'!$B:$B,$A462,'Таблиця 1'!$I:$I,"Су-25",'Таблиця 1'!$J:$J,"BLU-140")+SUMIFS('Таблиця 1'!$K:$K,'Таблиця 1'!$B:$B,$A462,'Таблиця 1'!$I:$I,"Су-27",'Таблиця 1'!$J:$J,"BLU-140"))</f>
        <v/>
      </c>
      <c r="L462">
        <f>IF($A462="","",SUMIFS('Таблиця 1'!$K:$K,'Таблиця 1'!$B:$B,$A462,'Таблиця 1'!$I:$I,"Mirage",'Таблиця 1'!$J:$J,"GBU-65")+SUMIFS('Таблиця 1'!$K:$K,'Таблиця 1'!$B:$B,$A462,'Таблиця 1'!$I:$I,"F-16",'Таблиця 1'!$J:$J,"GBU-65")+SUMIFS('Таблиця 1'!$K:$K,'Таблиця 1'!$B:$B,$A462,'Таблиця 1'!$I:$I,"МіГ-29",'Таблиця 1'!$J:$J,"GBU-65")+SUMIFS('Таблиця 1'!$K:$K,'Таблиця 1'!$B:$B,$A462,'Таблиця 1'!$I:$I,"Су-25",'Таблиця 1'!$J:$J,"GBU-65")+SUMIFS('Таблиця 1'!$K:$K,'Таблиця 1'!$B:$B,$A462,'Таблиця 1'!$I:$I,"Су-27",'Таблиця 1'!$J:$J,"GBU-65"))</f>
        <v/>
      </c>
      <c r="M462">
        <f>IF($A462="","",SUMIFS('Таблиця 1'!$K:$K,'Таблиця 1'!$B:$B,$A462,'Таблиця 1'!$I:$I,"Mirage",'Таблиця 1'!$J:$J,"GBU-62")+SUMIFS('Таблиця 1'!$K:$K,'Таблиця 1'!$B:$B,$A462,'Таблиця 1'!$I:$I,"F-16",'Таблиця 1'!$J:$J,"GBU-62")+SUMIFS('Таблиця 1'!$K:$K,'Таблиця 1'!$B:$B,$A462,'Таблиця 1'!$I:$I,"МіГ-29",'Таблиця 1'!$J:$J,"GBU-62")+SUMIFS('Таблиця 1'!$K:$K,'Таблиця 1'!$B:$B,$A462,'Таблиця 1'!$I:$I,"Су-25",'Таблиця 1'!$J:$J,"GBU-62")+SUMIFS('Таблиця 1'!$K:$K,'Таблиця 1'!$B:$B,$A462,'Таблиця 1'!$I:$I,"Су-27",'Таблиця 1'!$J:$J,"GBU-62"))</f>
        <v/>
      </c>
      <c r="N462">
        <f>IF($A462="","",SUMIFS('Таблиця 1'!$K:$K,'Таблиця 1'!$B:$B,$A462,'Таблиця 1'!$I:$I,"Mirage",'Таблиця 1'!$J:$J,"GBU-64")+SUMIFS('Таблиця 1'!$K:$K,'Таблиця 1'!$B:$B,$A462,'Таблиця 1'!$I:$I,"F-16",'Таблиця 1'!$J:$J,"GBU-64")+SUMIFS('Таблиця 1'!$K:$K,'Таблиця 1'!$B:$B,$A462,'Таблиця 1'!$I:$I,"МіГ-29",'Таблиця 1'!$J:$J,"GBU-64")+SUMIFS('Таблиця 1'!$K:$K,'Таблиця 1'!$B:$B,$A462,'Таблиця 1'!$I:$I,"Су-25",'Таблиця 1'!$J:$J,"GBU-64")+SUMIFS('Таблиця 1'!$K:$K,'Таблиця 1'!$B:$B,$A462,'Таблиця 1'!$I:$I,"Су-27",'Таблиця 1'!$J:$J,"GBU-64"))</f>
        <v/>
      </c>
      <c r="O462">
        <f>IF($A462="","",SUMIFS('Таблиця 1'!$K:$K,'Таблиця 1'!$B:$B,$A462,'Таблиця 1'!$I:$I,"Mirage",'Таблиця 1'!$J:$J,"C-13")+SUMIFS('Таблиця 1'!$K:$K,'Таблиця 1'!$B:$B,$A462,'Таблиця 1'!$I:$I,"F-16",'Таблиця 1'!$J:$J,"C-13")+SUMIFS('Таблиця 1'!$K:$K,'Таблиця 1'!$B:$B,$A462,'Таблиця 1'!$I:$I,"МіГ-29",'Таблиця 1'!$J:$J,"C-13")+SUMIFS('Таблиця 1'!$K:$K,'Таблиця 1'!$B:$B,$A462,'Таблиця 1'!$I:$I,"Су-25",'Таблиця 1'!$J:$J,"C-13")+SUMIFS('Таблиця 1'!$K:$K,'Таблиця 1'!$B:$B,$A462,'Таблиця 1'!$I:$I,"Су-27",'Таблиця 1'!$J:$J,"C-13"))</f>
        <v/>
      </c>
      <c r="P462">
        <f>IF($A462="","",SUMIFS('Таблиця 1'!$K:$K,'Таблиця 1'!$B:$B,$A462,'Таблиця 1'!$I:$I,"Mirage",'Таблиця 1'!$J:$J,"MK-32")+SUMIFS('Таблиця 1'!$K:$K,'Таблиця 1'!$B:$B,$A462,'Таблиця 1'!$I:$I,"F-16",'Таблиця 1'!$J:$J,"MK-32")+SUMIFS('Таблиця 1'!$K:$K,'Таблиця 1'!$B:$B,$A462,'Таблиця 1'!$I:$I,"МіГ-29",'Таблиця 1'!$J:$J,"MK-32")+SUMIFS('Таблиця 1'!$K:$K,'Таблиця 1'!$B:$B,$A462,'Таблиця 1'!$I:$I,"Су-25",'Таблиця 1'!$J:$J,"MK-32")+SUMIFS('Таблиця 1'!$K:$K,'Таблиця 1'!$B:$B,$A462,'Таблиця 1'!$I:$I,"Су-27",'Таблиця 1'!$J:$J,"MK-32"))</f>
        <v/>
      </c>
      <c r="Q462">
        <f>IF($A462="","",SUMIFS('Таблиця 1'!$K:$K,'Таблиця 1'!$B:$B,$A462,'Таблиця 1'!$I:$I,"Mirage",'Таблиця 1'!$J:$J,"MK-24")+SUMIFS('Таблиця 1'!$K:$K,'Таблиця 1'!$B:$B,$A462,'Таблиця 1'!$I:$I,"F-16",'Таблиця 1'!$J:$J,"MK-24")+SUMIFS('Таблиця 1'!$K:$K,'Таблиця 1'!$B:$B,$A462,'Таблиця 1'!$I:$I,"МіГ-29",'Таблиця 1'!$J:$J,"MK-24")+SUMIFS('Таблиця 1'!$K:$K,'Таблиця 1'!$B:$B,$A462,'Таблиця 1'!$I:$I,"Су-25",'Таблиця 1'!$J:$J,"MK-24")+SUMIFS('Таблиця 1'!$K:$K,'Таблиця 1'!$B:$B,$A462,'Таблиця 1'!$I:$I,"Су-27",'Таблиця 1'!$J:$J,"MK-24"))</f>
        <v/>
      </c>
      <c r="R462">
        <f>IF($A462="","",COUNTIFS('Таблиця 1'!$B:$B,$A462,'Таблиця 1'!$I:$I,"Mirage",'Таблиця 1'!$L:$L,"Уражено")+COUNTIFS('Таблиця 1'!$B:$B,$A462,'Таблиця 1'!$I:$I,"F-16",'Таблиця 1'!$L:$L,"Уражено")+COUNTIFS('Таблиця 1'!$B:$B,$A462,'Таблиця 1'!$I:$I,"МіГ-29",'Таблиця 1'!$L:$L,"Уражено")+COUNTIFS('Таблиця 1'!$B:$B,$A462,'Таблиця 1'!$I:$I,"Су-25",'Таблиця 1'!$L:$L,"Уражено")+COUNTIFS('Таблиця 1'!$B:$B,$A462,'Таблиця 1'!$I:$I,"Су-27",'Таблиця 1'!$L:$L,"Уражено"))</f>
        <v/>
      </c>
      <c r="S462">
        <f>IF($A462="","",COUNTIFS('Таблиця 1'!$B:$B,$A462,'Таблиця 1'!$I:$I,"Mirage",'Таблиця 1'!$L:$L,"НЕ уражено")+COUNTIFS('Таблиця 1'!$B:$B,$A462,'Таблиця 1'!$I:$I,"F-16",'Таблиця 1'!$L:$L,"НЕ уражено")+COUNTIFS('Таблиця 1'!$B:$B,$A462,'Таблиця 1'!$I:$I,"МіГ-29",'Таблиця 1'!$L:$L,"НЕ уражено")+COUNTIFS('Таблиця 1'!$B:$B,$A462,'Таблиця 1'!$I:$I,"Су-25",'Таблиця 1'!$L:$L,"НЕ уражено")+COUNTIFS('Таблиця 1'!$B:$B,$A462,'Таблиця 1'!$I:$I,"Су-27",'Таблиця 1'!$L:$L,"НЕ уражено"))</f>
        <v/>
      </c>
      <c r="T462">
        <f>IF($A462="","",COUNTIFS('Таблиця 1'!$B:$B,$A462,'Таблиця 1'!$I:$I,"Mirage",'Таблиця 1'!$L:$L,"Дорозвідується")+COUNTIFS('Таблиця 1'!$B:$B,$A462,'Таблиця 1'!$I:$I,"F-16",'Таблиця 1'!$L:$L,"Дорозвідується")+COUNTIFS('Таблиця 1'!$B:$B,$A462,'Таблиця 1'!$I:$I,"МіГ-29",'Таблиця 1'!$L:$L,"Дорозвідується")+COUNTIFS('Таблиця 1'!$B:$B,$A462,'Таблиця 1'!$I:$I,"Су-25",'Таблиця 1'!$L:$L,"Дорозвідується")+COUNTIFS('Таблиця 1'!$B:$B,$A462,'Таблиця 1'!$I:$I,"Су-27",'Таблиця 1'!$L:$L,"Дорозвідується"))</f>
        <v/>
      </c>
    </row>
    <row r="463">
      <c r="A463" s="273">
        <f>IF(A462="","",IF(A462+1&gt;MAX('Таблиця 1'!$B:$B),"",A462+1))</f>
        <v/>
      </c>
      <c r="B463">
        <f>IF($A463="","",COUNTIFS('Таблиця 1'!$B:$B,$A463,'Таблиця 1'!$I:$I,"Mirage")+COUNTIFS('Таблиця 1'!$B:$B,$A463,'Таблиця 1'!$I:$I,"F-16")+COUNTIFS('Таблиця 1'!$B:$B,$A463,'Таблиця 1'!$I:$I,"МіГ-29")+COUNTIFS('Таблиця 1'!$B:$B,$A463,'Таблиця 1'!$I:$I,"Су-25")+COUNTIFS('Таблиця 1'!$B:$B,$A463,'Таблиця 1'!$I:$I,"Су-27"))</f>
        <v/>
      </c>
      <c r="C463">
        <f>IF($A463="","",COUNTIFS('Таблиця 1'!$B:$B,$A463,'Таблиця 1'!$I:$I,"Mirage"))</f>
        <v/>
      </c>
      <c r="D463">
        <f>IF($A463="","",COUNTIFS('Таблиця 1'!$B:$B,$A463,'Таблиця 1'!$I:$I,"F-16"))</f>
        <v/>
      </c>
      <c r="E463">
        <f>IF($A463="","",COUNTIFS('Таблиця 1'!$B:$B,$A463,'Таблиця 1'!$I:$I,"МіГ-29"))</f>
        <v/>
      </c>
      <c r="F463">
        <f>IF($A463="","",COUNTIFS('Таблиця 1'!$B:$B,$A463,'Таблиця 1'!$I:$I,"Су-25"))</f>
        <v/>
      </c>
      <c r="G463">
        <f>IF($A463="","",COUNTIFS('Таблиця 1'!$B:$B,$A463,'Таблиця 1'!$I:$I,"Су-27"))</f>
        <v/>
      </c>
      <c r="H463">
        <f>IF($A463="","",SUMIFS('Таблиця 1'!$K:$K,'Таблиця 1'!$B:$B,$A463,'Таблиця 1'!$I:$I,"Mirage",'Таблиця 1'!$J:$J,"AGM-88")+SUMIFS('Таблиця 1'!$K:$K,'Таблиця 1'!$B:$B,$A463,'Таблиця 1'!$I:$I,"F-16",'Таблиця 1'!$J:$J,"AGM-88")+SUMIFS('Таблиця 1'!$K:$K,'Таблиця 1'!$B:$B,$A463,'Таблиця 1'!$I:$I,"МіГ-29",'Таблиця 1'!$J:$J,"AGM-88")+SUMIFS('Таблиця 1'!$K:$K,'Таблиця 1'!$B:$B,$A463,'Таблиця 1'!$I:$I,"Су-25",'Таблиця 1'!$J:$J,"AGM-88")+SUMIFS('Таблиця 1'!$K:$K,'Таблиця 1'!$B:$B,$A463,'Таблиця 1'!$I:$I,"Су-27",'Таблиця 1'!$J:$J,"AGM-88"))</f>
        <v/>
      </c>
      <c r="I463">
        <f>IF($A463="","",SUMIFS('Таблиця 1'!$K:$K,'Таблиця 1'!$B:$B,$A463,'Таблиця 1'!$I:$I,"Mirage",'Таблиця 1'!$J:$J,"AASM-250")+SUMIFS('Таблиця 1'!$K:$K,'Таблиця 1'!$B:$B,$A463,'Таблиця 1'!$I:$I,"F-16",'Таблиця 1'!$J:$J,"AASM-250")+SUMIFS('Таблиця 1'!$K:$K,'Таблиця 1'!$B:$B,$A463,'Таблиця 1'!$I:$I,"МіГ-29",'Таблиця 1'!$J:$J,"AASM-250")+SUMIFS('Таблиця 1'!$K:$K,'Таблиця 1'!$B:$B,$A463,'Таблиця 1'!$I:$I,"Су-25",'Таблиця 1'!$J:$J,"AASM-250")+SUMIFS('Таблиця 1'!$K:$K,'Таблиця 1'!$B:$B,$A463,'Таблиця 1'!$I:$I,"Су-27",'Таблиця 1'!$J:$J,"AASM-250"))</f>
        <v/>
      </c>
      <c r="J463">
        <f>IF($A463="","",SUMIFS('Таблиця 1'!$K:$K,'Таблиця 1'!$B:$B,$A463,'Таблиця 1'!$I:$I,"Mirage",'Таблиця 1'!$J:$J,"GBU-39")+SUMIFS('Таблиця 1'!$K:$K,'Таблиця 1'!$B:$B,$A463,'Таблиця 1'!$I:$I,"F-16",'Таблиця 1'!$J:$J,"GBU-39")+SUMIFS('Таблиця 1'!$K:$K,'Таблиця 1'!$B:$B,$A463,'Таблиця 1'!$I:$I,"МіГ-29",'Таблиця 1'!$J:$J,"GBU-39")+SUMIFS('Таблиця 1'!$K:$K,'Таблиця 1'!$B:$B,$A463,'Таблиця 1'!$I:$I,"Су-25",'Таблиця 1'!$J:$J,"GBU-39")+SUMIFS('Таблиця 1'!$K:$K,'Таблиця 1'!$B:$B,$A463,'Таблиця 1'!$I:$I,"Су-27",'Таблиця 1'!$J:$J,"GBU-39"))</f>
        <v/>
      </c>
      <c r="K463">
        <f>IF($A463="","",SUMIFS('Таблиця 1'!$K:$K,'Таблиця 1'!$B:$B,$A463,'Таблиця 1'!$I:$I,"Mirage",'Таблиця 1'!$J:$J,"BLU-140")+SUMIFS('Таблиця 1'!$K:$K,'Таблиця 1'!$B:$B,$A463,'Таблиця 1'!$I:$I,"F-16",'Таблиця 1'!$J:$J,"BLU-140")+SUMIFS('Таблиця 1'!$K:$K,'Таблиця 1'!$B:$B,$A463,'Таблиця 1'!$I:$I,"МіГ-29",'Таблиця 1'!$J:$J,"BLU-140")+SUMIFS('Таблиця 1'!$K:$K,'Таблиця 1'!$B:$B,$A463,'Таблиця 1'!$I:$I,"Су-25",'Таблиця 1'!$J:$J,"BLU-140")+SUMIFS('Таблиця 1'!$K:$K,'Таблиця 1'!$B:$B,$A463,'Таблиця 1'!$I:$I,"Су-27",'Таблиця 1'!$J:$J,"BLU-140"))</f>
        <v/>
      </c>
      <c r="L463">
        <f>IF($A463="","",SUMIFS('Таблиця 1'!$K:$K,'Таблиця 1'!$B:$B,$A463,'Таблиця 1'!$I:$I,"Mirage",'Таблиця 1'!$J:$J,"GBU-65")+SUMIFS('Таблиця 1'!$K:$K,'Таблиця 1'!$B:$B,$A463,'Таблиця 1'!$I:$I,"F-16",'Таблиця 1'!$J:$J,"GBU-65")+SUMIFS('Таблиця 1'!$K:$K,'Таблиця 1'!$B:$B,$A463,'Таблиця 1'!$I:$I,"МіГ-29",'Таблиця 1'!$J:$J,"GBU-65")+SUMIFS('Таблиця 1'!$K:$K,'Таблиця 1'!$B:$B,$A463,'Таблиця 1'!$I:$I,"Су-25",'Таблиця 1'!$J:$J,"GBU-65")+SUMIFS('Таблиця 1'!$K:$K,'Таблиця 1'!$B:$B,$A463,'Таблиця 1'!$I:$I,"Су-27",'Таблиця 1'!$J:$J,"GBU-65"))</f>
        <v/>
      </c>
      <c r="M463">
        <f>IF($A463="","",SUMIFS('Таблиця 1'!$K:$K,'Таблиця 1'!$B:$B,$A463,'Таблиця 1'!$I:$I,"Mirage",'Таблиця 1'!$J:$J,"GBU-62")+SUMIFS('Таблиця 1'!$K:$K,'Таблиця 1'!$B:$B,$A463,'Таблиця 1'!$I:$I,"F-16",'Таблиця 1'!$J:$J,"GBU-62")+SUMIFS('Таблиця 1'!$K:$K,'Таблиця 1'!$B:$B,$A463,'Таблиця 1'!$I:$I,"МіГ-29",'Таблиця 1'!$J:$J,"GBU-62")+SUMIFS('Таблиця 1'!$K:$K,'Таблиця 1'!$B:$B,$A463,'Таблиця 1'!$I:$I,"Су-25",'Таблиця 1'!$J:$J,"GBU-62")+SUMIFS('Таблиця 1'!$K:$K,'Таблиця 1'!$B:$B,$A463,'Таблиця 1'!$I:$I,"Су-27",'Таблиця 1'!$J:$J,"GBU-62"))</f>
        <v/>
      </c>
      <c r="N463">
        <f>IF($A463="","",SUMIFS('Таблиця 1'!$K:$K,'Таблиця 1'!$B:$B,$A463,'Таблиця 1'!$I:$I,"Mirage",'Таблиця 1'!$J:$J,"GBU-64")+SUMIFS('Таблиця 1'!$K:$K,'Таблиця 1'!$B:$B,$A463,'Таблиця 1'!$I:$I,"F-16",'Таблиця 1'!$J:$J,"GBU-64")+SUMIFS('Таблиця 1'!$K:$K,'Таблиця 1'!$B:$B,$A463,'Таблиця 1'!$I:$I,"МіГ-29",'Таблиця 1'!$J:$J,"GBU-64")+SUMIFS('Таблиця 1'!$K:$K,'Таблиця 1'!$B:$B,$A463,'Таблиця 1'!$I:$I,"Су-25",'Таблиця 1'!$J:$J,"GBU-64")+SUMIFS('Таблиця 1'!$K:$K,'Таблиця 1'!$B:$B,$A463,'Таблиця 1'!$I:$I,"Су-27",'Таблиця 1'!$J:$J,"GBU-64"))</f>
        <v/>
      </c>
      <c r="O463">
        <f>IF($A463="","",SUMIFS('Таблиця 1'!$K:$K,'Таблиця 1'!$B:$B,$A463,'Таблиця 1'!$I:$I,"Mirage",'Таблиця 1'!$J:$J,"C-13")+SUMIFS('Таблиця 1'!$K:$K,'Таблиця 1'!$B:$B,$A463,'Таблиця 1'!$I:$I,"F-16",'Таблиця 1'!$J:$J,"C-13")+SUMIFS('Таблиця 1'!$K:$K,'Таблиця 1'!$B:$B,$A463,'Таблиця 1'!$I:$I,"МіГ-29",'Таблиця 1'!$J:$J,"C-13")+SUMIFS('Таблиця 1'!$K:$K,'Таблиця 1'!$B:$B,$A463,'Таблиця 1'!$I:$I,"Су-25",'Таблиця 1'!$J:$J,"C-13")+SUMIFS('Таблиця 1'!$K:$K,'Таблиця 1'!$B:$B,$A463,'Таблиця 1'!$I:$I,"Су-27",'Таблиця 1'!$J:$J,"C-13"))</f>
        <v/>
      </c>
      <c r="P463">
        <f>IF($A463="","",SUMIFS('Таблиця 1'!$K:$K,'Таблиця 1'!$B:$B,$A463,'Таблиця 1'!$I:$I,"Mirage",'Таблиця 1'!$J:$J,"MK-32")+SUMIFS('Таблиця 1'!$K:$K,'Таблиця 1'!$B:$B,$A463,'Таблиця 1'!$I:$I,"F-16",'Таблиця 1'!$J:$J,"MK-32")+SUMIFS('Таблиця 1'!$K:$K,'Таблиця 1'!$B:$B,$A463,'Таблиця 1'!$I:$I,"МіГ-29",'Таблиця 1'!$J:$J,"MK-32")+SUMIFS('Таблиця 1'!$K:$K,'Таблиця 1'!$B:$B,$A463,'Таблиця 1'!$I:$I,"Су-25",'Таблиця 1'!$J:$J,"MK-32")+SUMIFS('Таблиця 1'!$K:$K,'Таблиця 1'!$B:$B,$A463,'Таблиця 1'!$I:$I,"Су-27",'Таблиця 1'!$J:$J,"MK-32"))</f>
        <v/>
      </c>
      <c r="Q463">
        <f>IF($A463="","",SUMIFS('Таблиця 1'!$K:$K,'Таблиця 1'!$B:$B,$A463,'Таблиця 1'!$I:$I,"Mirage",'Таблиця 1'!$J:$J,"MK-24")+SUMIFS('Таблиця 1'!$K:$K,'Таблиця 1'!$B:$B,$A463,'Таблиця 1'!$I:$I,"F-16",'Таблиця 1'!$J:$J,"MK-24")+SUMIFS('Таблиця 1'!$K:$K,'Таблиця 1'!$B:$B,$A463,'Таблиця 1'!$I:$I,"МіГ-29",'Таблиця 1'!$J:$J,"MK-24")+SUMIFS('Таблиця 1'!$K:$K,'Таблиця 1'!$B:$B,$A463,'Таблиця 1'!$I:$I,"Су-25",'Таблиця 1'!$J:$J,"MK-24")+SUMIFS('Таблиця 1'!$K:$K,'Таблиця 1'!$B:$B,$A463,'Таблиця 1'!$I:$I,"Су-27",'Таблиця 1'!$J:$J,"MK-24"))</f>
        <v/>
      </c>
      <c r="R463">
        <f>IF($A463="","",COUNTIFS('Таблиця 1'!$B:$B,$A463,'Таблиця 1'!$I:$I,"Mirage",'Таблиця 1'!$L:$L,"Уражено")+COUNTIFS('Таблиця 1'!$B:$B,$A463,'Таблиця 1'!$I:$I,"F-16",'Таблиця 1'!$L:$L,"Уражено")+COUNTIFS('Таблиця 1'!$B:$B,$A463,'Таблиця 1'!$I:$I,"МіГ-29",'Таблиця 1'!$L:$L,"Уражено")+COUNTIFS('Таблиця 1'!$B:$B,$A463,'Таблиця 1'!$I:$I,"Су-25",'Таблиця 1'!$L:$L,"Уражено")+COUNTIFS('Таблиця 1'!$B:$B,$A463,'Таблиця 1'!$I:$I,"Су-27",'Таблиця 1'!$L:$L,"Уражено"))</f>
        <v/>
      </c>
      <c r="S463">
        <f>IF($A463="","",COUNTIFS('Таблиця 1'!$B:$B,$A463,'Таблиця 1'!$I:$I,"Mirage",'Таблиця 1'!$L:$L,"НЕ уражено")+COUNTIFS('Таблиця 1'!$B:$B,$A463,'Таблиця 1'!$I:$I,"F-16",'Таблиця 1'!$L:$L,"НЕ уражено")+COUNTIFS('Таблиця 1'!$B:$B,$A463,'Таблиця 1'!$I:$I,"МіГ-29",'Таблиця 1'!$L:$L,"НЕ уражено")+COUNTIFS('Таблиця 1'!$B:$B,$A463,'Таблиця 1'!$I:$I,"Су-25",'Таблиця 1'!$L:$L,"НЕ уражено")+COUNTIFS('Таблиця 1'!$B:$B,$A463,'Таблиця 1'!$I:$I,"Су-27",'Таблиця 1'!$L:$L,"НЕ уражено"))</f>
        <v/>
      </c>
      <c r="T463">
        <f>IF($A463="","",COUNTIFS('Таблиця 1'!$B:$B,$A463,'Таблиця 1'!$I:$I,"Mirage",'Таблиця 1'!$L:$L,"Дорозвідується")+COUNTIFS('Таблиця 1'!$B:$B,$A463,'Таблиця 1'!$I:$I,"F-16",'Таблиця 1'!$L:$L,"Дорозвідується")+COUNTIFS('Таблиця 1'!$B:$B,$A463,'Таблиця 1'!$I:$I,"МіГ-29",'Таблиця 1'!$L:$L,"Дорозвідується")+COUNTIFS('Таблиця 1'!$B:$B,$A463,'Таблиця 1'!$I:$I,"Су-25",'Таблиця 1'!$L:$L,"Дорозвідується")+COUNTIFS('Таблиця 1'!$B:$B,$A463,'Таблиця 1'!$I:$I,"Су-27",'Таблиця 1'!$L:$L,"Дорозвідується"))</f>
        <v/>
      </c>
    </row>
    <row r="464">
      <c r="A464" s="273">
        <f>IF(A463="","",IF(A463+1&gt;MAX('Таблиця 1'!$B:$B),"",A463+1))</f>
        <v/>
      </c>
      <c r="B464">
        <f>IF($A464="","",COUNTIFS('Таблиця 1'!$B:$B,$A464,'Таблиця 1'!$I:$I,"Mirage")+COUNTIFS('Таблиця 1'!$B:$B,$A464,'Таблиця 1'!$I:$I,"F-16")+COUNTIFS('Таблиця 1'!$B:$B,$A464,'Таблиця 1'!$I:$I,"МіГ-29")+COUNTIFS('Таблиця 1'!$B:$B,$A464,'Таблиця 1'!$I:$I,"Су-25")+COUNTIFS('Таблиця 1'!$B:$B,$A464,'Таблиця 1'!$I:$I,"Су-27"))</f>
        <v/>
      </c>
      <c r="C464">
        <f>IF($A464="","",COUNTIFS('Таблиця 1'!$B:$B,$A464,'Таблиця 1'!$I:$I,"Mirage"))</f>
        <v/>
      </c>
      <c r="D464">
        <f>IF($A464="","",COUNTIFS('Таблиця 1'!$B:$B,$A464,'Таблиця 1'!$I:$I,"F-16"))</f>
        <v/>
      </c>
      <c r="E464">
        <f>IF($A464="","",COUNTIFS('Таблиця 1'!$B:$B,$A464,'Таблиця 1'!$I:$I,"МіГ-29"))</f>
        <v/>
      </c>
      <c r="F464">
        <f>IF($A464="","",COUNTIFS('Таблиця 1'!$B:$B,$A464,'Таблиця 1'!$I:$I,"Су-25"))</f>
        <v/>
      </c>
      <c r="G464">
        <f>IF($A464="","",COUNTIFS('Таблиця 1'!$B:$B,$A464,'Таблиця 1'!$I:$I,"Су-27"))</f>
        <v/>
      </c>
      <c r="H464">
        <f>IF($A464="","",SUMIFS('Таблиця 1'!$K:$K,'Таблиця 1'!$B:$B,$A464,'Таблиця 1'!$I:$I,"Mirage",'Таблиця 1'!$J:$J,"AGM-88")+SUMIFS('Таблиця 1'!$K:$K,'Таблиця 1'!$B:$B,$A464,'Таблиця 1'!$I:$I,"F-16",'Таблиця 1'!$J:$J,"AGM-88")+SUMIFS('Таблиця 1'!$K:$K,'Таблиця 1'!$B:$B,$A464,'Таблиця 1'!$I:$I,"МіГ-29",'Таблиця 1'!$J:$J,"AGM-88")+SUMIFS('Таблиця 1'!$K:$K,'Таблиця 1'!$B:$B,$A464,'Таблиця 1'!$I:$I,"Су-25",'Таблиця 1'!$J:$J,"AGM-88")+SUMIFS('Таблиця 1'!$K:$K,'Таблиця 1'!$B:$B,$A464,'Таблиця 1'!$I:$I,"Су-27",'Таблиця 1'!$J:$J,"AGM-88"))</f>
        <v/>
      </c>
      <c r="I464">
        <f>IF($A464="","",SUMIFS('Таблиця 1'!$K:$K,'Таблиця 1'!$B:$B,$A464,'Таблиця 1'!$I:$I,"Mirage",'Таблиця 1'!$J:$J,"AASM-250")+SUMIFS('Таблиця 1'!$K:$K,'Таблиця 1'!$B:$B,$A464,'Таблиця 1'!$I:$I,"F-16",'Таблиця 1'!$J:$J,"AASM-250")+SUMIFS('Таблиця 1'!$K:$K,'Таблиця 1'!$B:$B,$A464,'Таблиця 1'!$I:$I,"МіГ-29",'Таблиця 1'!$J:$J,"AASM-250")+SUMIFS('Таблиця 1'!$K:$K,'Таблиця 1'!$B:$B,$A464,'Таблиця 1'!$I:$I,"Су-25",'Таблиця 1'!$J:$J,"AASM-250")+SUMIFS('Таблиця 1'!$K:$K,'Таблиця 1'!$B:$B,$A464,'Таблиця 1'!$I:$I,"Су-27",'Таблиця 1'!$J:$J,"AASM-250"))</f>
        <v/>
      </c>
      <c r="J464">
        <f>IF($A464="","",SUMIFS('Таблиця 1'!$K:$K,'Таблиця 1'!$B:$B,$A464,'Таблиця 1'!$I:$I,"Mirage",'Таблиця 1'!$J:$J,"GBU-39")+SUMIFS('Таблиця 1'!$K:$K,'Таблиця 1'!$B:$B,$A464,'Таблиця 1'!$I:$I,"F-16",'Таблиця 1'!$J:$J,"GBU-39")+SUMIFS('Таблиця 1'!$K:$K,'Таблиця 1'!$B:$B,$A464,'Таблиця 1'!$I:$I,"МіГ-29",'Таблиця 1'!$J:$J,"GBU-39")+SUMIFS('Таблиця 1'!$K:$K,'Таблиця 1'!$B:$B,$A464,'Таблиця 1'!$I:$I,"Су-25",'Таблиця 1'!$J:$J,"GBU-39")+SUMIFS('Таблиця 1'!$K:$K,'Таблиця 1'!$B:$B,$A464,'Таблиця 1'!$I:$I,"Су-27",'Таблиця 1'!$J:$J,"GBU-39"))</f>
        <v/>
      </c>
      <c r="K464">
        <f>IF($A464="","",SUMIFS('Таблиця 1'!$K:$K,'Таблиця 1'!$B:$B,$A464,'Таблиця 1'!$I:$I,"Mirage",'Таблиця 1'!$J:$J,"BLU-140")+SUMIFS('Таблиця 1'!$K:$K,'Таблиця 1'!$B:$B,$A464,'Таблиця 1'!$I:$I,"F-16",'Таблиця 1'!$J:$J,"BLU-140")+SUMIFS('Таблиця 1'!$K:$K,'Таблиця 1'!$B:$B,$A464,'Таблиця 1'!$I:$I,"МіГ-29",'Таблиця 1'!$J:$J,"BLU-140")+SUMIFS('Таблиця 1'!$K:$K,'Таблиця 1'!$B:$B,$A464,'Таблиця 1'!$I:$I,"Су-25",'Таблиця 1'!$J:$J,"BLU-140")+SUMIFS('Таблиця 1'!$K:$K,'Таблиця 1'!$B:$B,$A464,'Таблиця 1'!$I:$I,"Су-27",'Таблиця 1'!$J:$J,"BLU-140"))</f>
        <v/>
      </c>
      <c r="L464">
        <f>IF($A464="","",SUMIFS('Таблиця 1'!$K:$K,'Таблиця 1'!$B:$B,$A464,'Таблиця 1'!$I:$I,"Mirage",'Таблиця 1'!$J:$J,"GBU-65")+SUMIFS('Таблиця 1'!$K:$K,'Таблиця 1'!$B:$B,$A464,'Таблиця 1'!$I:$I,"F-16",'Таблиця 1'!$J:$J,"GBU-65")+SUMIFS('Таблиця 1'!$K:$K,'Таблиця 1'!$B:$B,$A464,'Таблиця 1'!$I:$I,"МіГ-29",'Таблиця 1'!$J:$J,"GBU-65")+SUMIFS('Таблиця 1'!$K:$K,'Таблиця 1'!$B:$B,$A464,'Таблиця 1'!$I:$I,"Су-25",'Таблиця 1'!$J:$J,"GBU-65")+SUMIFS('Таблиця 1'!$K:$K,'Таблиця 1'!$B:$B,$A464,'Таблиця 1'!$I:$I,"Су-27",'Таблиця 1'!$J:$J,"GBU-65"))</f>
        <v/>
      </c>
      <c r="M464">
        <f>IF($A464="","",SUMIFS('Таблиця 1'!$K:$K,'Таблиця 1'!$B:$B,$A464,'Таблиця 1'!$I:$I,"Mirage",'Таблиця 1'!$J:$J,"GBU-62")+SUMIFS('Таблиця 1'!$K:$K,'Таблиця 1'!$B:$B,$A464,'Таблиця 1'!$I:$I,"F-16",'Таблиця 1'!$J:$J,"GBU-62")+SUMIFS('Таблиця 1'!$K:$K,'Таблиця 1'!$B:$B,$A464,'Таблиця 1'!$I:$I,"МіГ-29",'Таблиця 1'!$J:$J,"GBU-62")+SUMIFS('Таблиця 1'!$K:$K,'Таблиця 1'!$B:$B,$A464,'Таблиця 1'!$I:$I,"Су-25",'Таблиця 1'!$J:$J,"GBU-62")+SUMIFS('Таблиця 1'!$K:$K,'Таблиця 1'!$B:$B,$A464,'Таблиця 1'!$I:$I,"Су-27",'Таблиця 1'!$J:$J,"GBU-62"))</f>
        <v/>
      </c>
      <c r="N464">
        <f>IF($A464="","",SUMIFS('Таблиця 1'!$K:$K,'Таблиця 1'!$B:$B,$A464,'Таблиця 1'!$I:$I,"Mirage",'Таблиця 1'!$J:$J,"GBU-64")+SUMIFS('Таблиця 1'!$K:$K,'Таблиця 1'!$B:$B,$A464,'Таблиця 1'!$I:$I,"F-16",'Таблиця 1'!$J:$J,"GBU-64")+SUMIFS('Таблиця 1'!$K:$K,'Таблиця 1'!$B:$B,$A464,'Таблиця 1'!$I:$I,"МіГ-29",'Таблиця 1'!$J:$J,"GBU-64")+SUMIFS('Таблиця 1'!$K:$K,'Таблиця 1'!$B:$B,$A464,'Таблиця 1'!$I:$I,"Су-25",'Таблиця 1'!$J:$J,"GBU-64")+SUMIFS('Таблиця 1'!$K:$K,'Таблиця 1'!$B:$B,$A464,'Таблиця 1'!$I:$I,"Су-27",'Таблиця 1'!$J:$J,"GBU-64"))</f>
        <v/>
      </c>
      <c r="O464">
        <f>IF($A464="","",SUMIFS('Таблиця 1'!$K:$K,'Таблиця 1'!$B:$B,$A464,'Таблиця 1'!$I:$I,"Mirage",'Таблиця 1'!$J:$J,"C-13")+SUMIFS('Таблиця 1'!$K:$K,'Таблиця 1'!$B:$B,$A464,'Таблиця 1'!$I:$I,"F-16",'Таблиця 1'!$J:$J,"C-13")+SUMIFS('Таблиця 1'!$K:$K,'Таблиця 1'!$B:$B,$A464,'Таблиця 1'!$I:$I,"МіГ-29",'Таблиця 1'!$J:$J,"C-13")+SUMIFS('Таблиця 1'!$K:$K,'Таблиця 1'!$B:$B,$A464,'Таблиця 1'!$I:$I,"Су-25",'Таблиця 1'!$J:$J,"C-13")+SUMIFS('Таблиця 1'!$K:$K,'Таблиця 1'!$B:$B,$A464,'Таблиця 1'!$I:$I,"Су-27",'Таблиця 1'!$J:$J,"C-13"))</f>
        <v/>
      </c>
      <c r="P464">
        <f>IF($A464="","",SUMIFS('Таблиця 1'!$K:$K,'Таблиця 1'!$B:$B,$A464,'Таблиця 1'!$I:$I,"Mirage",'Таблиця 1'!$J:$J,"MK-32")+SUMIFS('Таблиця 1'!$K:$K,'Таблиця 1'!$B:$B,$A464,'Таблиця 1'!$I:$I,"F-16",'Таблиця 1'!$J:$J,"MK-32")+SUMIFS('Таблиця 1'!$K:$K,'Таблиця 1'!$B:$B,$A464,'Таблиця 1'!$I:$I,"МіГ-29",'Таблиця 1'!$J:$J,"MK-32")+SUMIFS('Таблиця 1'!$K:$K,'Таблиця 1'!$B:$B,$A464,'Таблиця 1'!$I:$I,"Су-25",'Таблиця 1'!$J:$J,"MK-32")+SUMIFS('Таблиця 1'!$K:$K,'Таблиця 1'!$B:$B,$A464,'Таблиця 1'!$I:$I,"Су-27",'Таблиця 1'!$J:$J,"MK-32"))</f>
        <v/>
      </c>
      <c r="Q464">
        <f>IF($A464="","",SUMIFS('Таблиця 1'!$K:$K,'Таблиця 1'!$B:$B,$A464,'Таблиця 1'!$I:$I,"Mirage",'Таблиця 1'!$J:$J,"MK-24")+SUMIFS('Таблиця 1'!$K:$K,'Таблиця 1'!$B:$B,$A464,'Таблиця 1'!$I:$I,"F-16",'Таблиця 1'!$J:$J,"MK-24")+SUMIFS('Таблиця 1'!$K:$K,'Таблиця 1'!$B:$B,$A464,'Таблиця 1'!$I:$I,"МіГ-29",'Таблиця 1'!$J:$J,"MK-24")+SUMIFS('Таблиця 1'!$K:$K,'Таблиця 1'!$B:$B,$A464,'Таблиця 1'!$I:$I,"Су-25",'Таблиця 1'!$J:$J,"MK-24")+SUMIFS('Таблиця 1'!$K:$K,'Таблиця 1'!$B:$B,$A464,'Таблиця 1'!$I:$I,"Су-27",'Таблиця 1'!$J:$J,"MK-24"))</f>
        <v/>
      </c>
      <c r="R464">
        <f>IF($A464="","",COUNTIFS('Таблиця 1'!$B:$B,$A464,'Таблиця 1'!$I:$I,"Mirage",'Таблиця 1'!$L:$L,"Уражено")+COUNTIFS('Таблиця 1'!$B:$B,$A464,'Таблиця 1'!$I:$I,"F-16",'Таблиця 1'!$L:$L,"Уражено")+COUNTIFS('Таблиця 1'!$B:$B,$A464,'Таблиця 1'!$I:$I,"МіГ-29",'Таблиця 1'!$L:$L,"Уражено")+COUNTIFS('Таблиця 1'!$B:$B,$A464,'Таблиця 1'!$I:$I,"Су-25",'Таблиця 1'!$L:$L,"Уражено")+COUNTIFS('Таблиця 1'!$B:$B,$A464,'Таблиця 1'!$I:$I,"Су-27",'Таблиця 1'!$L:$L,"Уражено"))</f>
        <v/>
      </c>
      <c r="S464">
        <f>IF($A464="","",COUNTIFS('Таблиця 1'!$B:$B,$A464,'Таблиця 1'!$I:$I,"Mirage",'Таблиця 1'!$L:$L,"НЕ уражено")+COUNTIFS('Таблиця 1'!$B:$B,$A464,'Таблиця 1'!$I:$I,"F-16",'Таблиця 1'!$L:$L,"НЕ уражено")+COUNTIFS('Таблиця 1'!$B:$B,$A464,'Таблиця 1'!$I:$I,"МіГ-29",'Таблиця 1'!$L:$L,"НЕ уражено")+COUNTIFS('Таблиця 1'!$B:$B,$A464,'Таблиця 1'!$I:$I,"Су-25",'Таблиця 1'!$L:$L,"НЕ уражено")+COUNTIFS('Таблиця 1'!$B:$B,$A464,'Таблиця 1'!$I:$I,"Су-27",'Таблиця 1'!$L:$L,"НЕ уражено"))</f>
        <v/>
      </c>
      <c r="T464">
        <f>IF($A464="","",COUNTIFS('Таблиця 1'!$B:$B,$A464,'Таблиця 1'!$I:$I,"Mirage",'Таблиця 1'!$L:$L,"Дорозвідується")+COUNTIFS('Таблиця 1'!$B:$B,$A464,'Таблиця 1'!$I:$I,"F-16",'Таблиця 1'!$L:$L,"Дорозвідується")+COUNTIFS('Таблиця 1'!$B:$B,$A464,'Таблиця 1'!$I:$I,"МіГ-29",'Таблиця 1'!$L:$L,"Дорозвідується")+COUNTIFS('Таблиця 1'!$B:$B,$A464,'Таблиця 1'!$I:$I,"Су-25",'Таблиця 1'!$L:$L,"Дорозвідується")+COUNTIFS('Таблиця 1'!$B:$B,$A464,'Таблиця 1'!$I:$I,"Су-27",'Таблиця 1'!$L:$L,"Дорозвідується"))</f>
        <v/>
      </c>
    </row>
    <row r="465">
      <c r="A465" s="273">
        <f>IF(A464="","",IF(A464+1&gt;MAX('Таблиця 1'!$B:$B),"",A464+1))</f>
        <v/>
      </c>
      <c r="B465">
        <f>IF($A465="","",COUNTIFS('Таблиця 1'!$B:$B,$A465,'Таблиця 1'!$I:$I,"Mirage")+COUNTIFS('Таблиця 1'!$B:$B,$A465,'Таблиця 1'!$I:$I,"F-16")+COUNTIFS('Таблиця 1'!$B:$B,$A465,'Таблиця 1'!$I:$I,"МіГ-29")+COUNTIFS('Таблиця 1'!$B:$B,$A465,'Таблиця 1'!$I:$I,"Су-25")+COUNTIFS('Таблиця 1'!$B:$B,$A465,'Таблиця 1'!$I:$I,"Су-27"))</f>
        <v/>
      </c>
      <c r="C465">
        <f>IF($A465="","",COUNTIFS('Таблиця 1'!$B:$B,$A465,'Таблиця 1'!$I:$I,"Mirage"))</f>
        <v/>
      </c>
      <c r="D465">
        <f>IF($A465="","",COUNTIFS('Таблиця 1'!$B:$B,$A465,'Таблиця 1'!$I:$I,"F-16"))</f>
        <v/>
      </c>
      <c r="E465">
        <f>IF($A465="","",COUNTIFS('Таблиця 1'!$B:$B,$A465,'Таблиця 1'!$I:$I,"МіГ-29"))</f>
        <v/>
      </c>
      <c r="F465">
        <f>IF($A465="","",COUNTIFS('Таблиця 1'!$B:$B,$A465,'Таблиця 1'!$I:$I,"Су-25"))</f>
        <v/>
      </c>
      <c r="G465">
        <f>IF($A465="","",COUNTIFS('Таблиця 1'!$B:$B,$A465,'Таблиця 1'!$I:$I,"Су-27"))</f>
        <v/>
      </c>
      <c r="H465">
        <f>IF($A465="","",SUMIFS('Таблиця 1'!$K:$K,'Таблиця 1'!$B:$B,$A465,'Таблиця 1'!$I:$I,"Mirage",'Таблиця 1'!$J:$J,"AGM-88")+SUMIFS('Таблиця 1'!$K:$K,'Таблиця 1'!$B:$B,$A465,'Таблиця 1'!$I:$I,"F-16",'Таблиця 1'!$J:$J,"AGM-88")+SUMIFS('Таблиця 1'!$K:$K,'Таблиця 1'!$B:$B,$A465,'Таблиця 1'!$I:$I,"МіГ-29",'Таблиця 1'!$J:$J,"AGM-88")+SUMIFS('Таблиця 1'!$K:$K,'Таблиця 1'!$B:$B,$A465,'Таблиця 1'!$I:$I,"Су-25",'Таблиця 1'!$J:$J,"AGM-88")+SUMIFS('Таблиця 1'!$K:$K,'Таблиця 1'!$B:$B,$A465,'Таблиця 1'!$I:$I,"Су-27",'Таблиця 1'!$J:$J,"AGM-88"))</f>
        <v/>
      </c>
      <c r="I465">
        <f>IF($A465="","",SUMIFS('Таблиця 1'!$K:$K,'Таблиця 1'!$B:$B,$A465,'Таблиця 1'!$I:$I,"Mirage",'Таблиця 1'!$J:$J,"AASM-250")+SUMIFS('Таблиця 1'!$K:$K,'Таблиця 1'!$B:$B,$A465,'Таблиця 1'!$I:$I,"F-16",'Таблиця 1'!$J:$J,"AASM-250")+SUMIFS('Таблиця 1'!$K:$K,'Таблиця 1'!$B:$B,$A465,'Таблиця 1'!$I:$I,"МіГ-29",'Таблиця 1'!$J:$J,"AASM-250")+SUMIFS('Таблиця 1'!$K:$K,'Таблиця 1'!$B:$B,$A465,'Таблиця 1'!$I:$I,"Су-25",'Таблиця 1'!$J:$J,"AASM-250")+SUMIFS('Таблиця 1'!$K:$K,'Таблиця 1'!$B:$B,$A465,'Таблиця 1'!$I:$I,"Су-27",'Таблиця 1'!$J:$J,"AASM-250"))</f>
        <v/>
      </c>
      <c r="J465">
        <f>IF($A465="","",SUMIFS('Таблиця 1'!$K:$K,'Таблиця 1'!$B:$B,$A465,'Таблиця 1'!$I:$I,"Mirage",'Таблиця 1'!$J:$J,"GBU-39")+SUMIFS('Таблиця 1'!$K:$K,'Таблиця 1'!$B:$B,$A465,'Таблиця 1'!$I:$I,"F-16",'Таблиця 1'!$J:$J,"GBU-39")+SUMIFS('Таблиця 1'!$K:$K,'Таблиця 1'!$B:$B,$A465,'Таблиця 1'!$I:$I,"МіГ-29",'Таблиця 1'!$J:$J,"GBU-39")+SUMIFS('Таблиця 1'!$K:$K,'Таблиця 1'!$B:$B,$A465,'Таблиця 1'!$I:$I,"Су-25",'Таблиця 1'!$J:$J,"GBU-39")+SUMIFS('Таблиця 1'!$K:$K,'Таблиця 1'!$B:$B,$A465,'Таблиця 1'!$I:$I,"Су-27",'Таблиця 1'!$J:$J,"GBU-39"))</f>
        <v/>
      </c>
      <c r="K465">
        <f>IF($A465="","",SUMIFS('Таблиця 1'!$K:$K,'Таблиця 1'!$B:$B,$A465,'Таблиця 1'!$I:$I,"Mirage",'Таблиця 1'!$J:$J,"BLU-140")+SUMIFS('Таблиця 1'!$K:$K,'Таблиця 1'!$B:$B,$A465,'Таблиця 1'!$I:$I,"F-16",'Таблиця 1'!$J:$J,"BLU-140")+SUMIFS('Таблиця 1'!$K:$K,'Таблиця 1'!$B:$B,$A465,'Таблиця 1'!$I:$I,"МіГ-29",'Таблиця 1'!$J:$J,"BLU-140")+SUMIFS('Таблиця 1'!$K:$K,'Таблиця 1'!$B:$B,$A465,'Таблиця 1'!$I:$I,"Су-25",'Таблиця 1'!$J:$J,"BLU-140")+SUMIFS('Таблиця 1'!$K:$K,'Таблиця 1'!$B:$B,$A465,'Таблиця 1'!$I:$I,"Су-27",'Таблиця 1'!$J:$J,"BLU-140"))</f>
        <v/>
      </c>
      <c r="L465">
        <f>IF($A465="","",SUMIFS('Таблиця 1'!$K:$K,'Таблиця 1'!$B:$B,$A465,'Таблиця 1'!$I:$I,"Mirage",'Таблиця 1'!$J:$J,"GBU-65")+SUMIFS('Таблиця 1'!$K:$K,'Таблиця 1'!$B:$B,$A465,'Таблиця 1'!$I:$I,"F-16",'Таблиця 1'!$J:$J,"GBU-65")+SUMIFS('Таблиця 1'!$K:$K,'Таблиця 1'!$B:$B,$A465,'Таблиця 1'!$I:$I,"МіГ-29",'Таблиця 1'!$J:$J,"GBU-65")+SUMIFS('Таблиця 1'!$K:$K,'Таблиця 1'!$B:$B,$A465,'Таблиця 1'!$I:$I,"Су-25",'Таблиця 1'!$J:$J,"GBU-65")+SUMIFS('Таблиця 1'!$K:$K,'Таблиця 1'!$B:$B,$A465,'Таблиця 1'!$I:$I,"Су-27",'Таблиця 1'!$J:$J,"GBU-65"))</f>
        <v/>
      </c>
      <c r="M465">
        <f>IF($A465="","",SUMIFS('Таблиця 1'!$K:$K,'Таблиця 1'!$B:$B,$A465,'Таблиця 1'!$I:$I,"Mirage",'Таблиця 1'!$J:$J,"GBU-62")+SUMIFS('Таблиця 1'!$K:$K,'Таблиця 1'!$B:$B,$A465,'Таблиця 1'!$I:$I,"F-16",'Таблиця 1'!$J:$J,"GBU-62")+SUMIFS('Таблиця 1'!$K:$K,'Таблиця 1'!$B:$B,$A465,'Таблиця 1'!$I:$I,"МіГ-29",'Таблиця 1'!$J:$J,"GBU-62")+SUMIFS('Таблиця 1'!$K:$K,'Таблиця 1'!$B:$B,$A465,'Таблиця 1'!$I:$I,"Су-25",'Таблиця 1'!$J:$J,"GBU-62")+SUMIFS('Таблиця 1'!$K:$K,'Таблиця 1'!$B:$B,$A465,'Таблиця 1'!$I:$I,"Су-27",'Таблиця 1'!$J:$J,"GBU-62"))</f>
        <v/>
      </c>
      <c r="N465">
        <f>IF($A465="","",SUMIFS('Таблиця 1'!$K:$K,'Таблиця 1'!$B:$B,$A465,'Таблиця 1'!$I:$I,"Mirage",'Таблиця 1'!$J:$J,"GBU-64")+SUMIFS('Таблиця 1'!$K:$K,'Таблиця 1'!$B:$B,$A465,'Таблиця 1'!$I:$I,"F-16",'Таблиця 1'!$J:$J,"GBU-64")+SUMIFS('Таблиця 1'!$K:$K,'Таблиця 1'!$B:$B,$A465,'Таблиця 1'!$I:$I,"МіГ-29",'Таблиця 1'!$J:$J,"GBU-64")+SUMIFS('Таблиця 1'!$K:$K,'Таблиця 1'!$B:$B,$A465,'Таблиця 1'!$I:$I,"Су-25",'Таблиця 1'!$J:$J,"GBU-64")+SUMIFS('Таблиця 1'!$K:$K,'Таблиця 1'!$B:$B,$A465,'Таблиця 1'!$I:$I,"Су-27",'Таблиця 1'!$J:$J,"GBU-64"))</f>
        <v/>
      </c>
      <c r="O465">
        <f>IF($A465="","",SUMIFS('Таблиця 1'!$K:$K,'Таблиця 1'!$B:$B,$A465,'Таблиця 1'!$I:$I,"Mirage",'Таблиця 1'!$J:$J,"C-13")+SUMIFS('Таблиця 1'!$K:$K,'Таблиця 1'!$B:$B,$A465,'Таблиця 1'!$I:$I,"F-16",'Таблиця 1'!$J:$J,"C-13")+SUMIFS('Таблиця 1'!$K:$K,'Таблиця 1'!$B:$B,$A465,'Таблиця 1'!$I:$I,"МіГ-29",'Таблиця 1'!$J:$J,"C-13")+SUMIFS('Таблиця 1'!$K:$K,'Таблиця 1'!$B:$B,$A465,'Таблиця 1'!$I:$I,"Су-25",'Таблиця 1'!$J:$J,"C-13")+SUMIFS('Таблиця 1'!$K:$K,'Таблиця 1'!$B:$B,$A465,'Таблиця 1'!$I:$I,"Су-27",'Таблиця 1'!$J:$J,"C-13"))</f>
        <v/>
      </c>
      <c r="P465">
        <f>IF($A465="","",SUMIFS('Таблиця 1'!$K:$K,'Таблиця 1'!$B:$B,$A465,'Таблиця 1'!$I:$I,"Mirage",'Таблиця 1'!$J:$J,"MK-32")+SUMIFS('Таблиця 1'!$K:$K,'Таблиця 1'!$B:$B,$A465,'Таблиця 1'!$I:$I,"F-16",'Таблиця 1'!$J:$J,"MK-32")+SUMIFS('Таблиця 1'!$K:$K,'Таблиця 1'!$B:$B,$A465,'Таблиця 1'!$I:$I,"МіГ-29",'Таблиця 1'!$J:$J,"MK-32")+SUMIFS('Таблиця 1'!$K:$K,'Таблиця 1'!$B:$B,$A465,'Таблиця 1'!$I:$I,"Су-25",'Таблиця 1'!$J:$J,"MK-32")+SUMIFS('Таблиця 1'!$K:$K,'Таблиця 1'!$B:$B,$A465,'Таблиця 1'!$I:$I,"Су-27",'Таблиця 1'!$J:$J,"MK-32"))</f>
        <v/>
      </c>
      <c r="Q465">
        <f>IF($A465="","",SUMIFS('Таблиця 1'!$K:$K,'Таблиця 1'!$B:$B,$A465,'Таблиця 1'!$I:$I,"Mirage",'Таблиця 1'!$J:$J,"MK-24")+SUMIFS('Таблиця 1'!$K:$K,'Таблиця 1'!$B:$B,$A465,'Таблиця 1'!$I:$I,"F-16",'Таблиця 1'!$J:$J,"MK-24")+SUMIFS('Таблиця 1'!$K:$K,'Таблиця 1'!$B:$B,$A465,'Таблиця 1'!$I:$I,"МіГ-29",'Таблиця 1'!$J:$J,"MK-24")+SUMIFS('Таблиця 1'!$K:$K,'Таблиця 1'!$B:$B,$A465,'Таблиця 1'!$I:$I,"Су-25",'Таблиця 1'!$J:$J,"MK-24")+SUMIFS('Таблиця 1'!$K:$K,'Таблиця 1'!$B:$B,$A465,'Таблиця 1'!$I:$I,"Су-27",'Таблиця 1'!$J:$J,"MK-24"))</f>
        <v/>
      </c>
      <c r="R465">
        <f>IF($A465="","",COUNTIFS('Таблиця 1'!$B:$B,$A465,'Таблиця 1'!$I:$I,"Mirage",'Таблиця 1'!$L:$L,"Уражено")+COUNTIFS('Таблиця 1'!$B:$B,$A465,'Таблиця 1'!$I:$I,"F-16",'Таблиця 1'!$L:$L,"Уражено")+COUNTIFS('Таблиця 1'!$B:$B,$A465,'Таблиця 1'!$I:$I,"МіГ-29",'Таблиця 1'!$L:$L,"Уражено")+COUNTIFS('Таблиця 1'!$B:$B,$A465,'Таблиця 1'!$I:$I,"Су-25",'Таблиця 1'!$L:$L,"Уражено")+COUNTIFS('Таблиця 1'!$B:$B,$A465,'Таблиця 1'!$I:$I,"Су-27",'Таблиця 1'!$L:$L,"Уражено"))</f>
        <v/>
      </c>
      <c r="S465">
        <f>IF($A465="","",COUNTIFS('Таблиця 1'!$B:$B,$A465,'Таблиця 1'!$I:$I,"Mirage",'Таблиця 1'!$L:$L,"НЕ уражено")+COUNTIFS('Таблиця 1'!$B:$B,$A465,'Таблиця 1'!$I:$I,"F-16",'Таблиця 1'!$L:$L,"НЕ уражено")+COUNTIFS('Таблиця 1'!$B:$B,$A465,'Таблиця 1'!$I:$I,"МіГ-29",'Таблиця 1'!$L:$L,"НЕ уражено")+COUNTIFS('Таблиця 1'!$B:$B,$A465,'Таблиця 1'!$I:$I,"Су-25",'Таблиця 1'!$L:$L,"НЕ уражено")+COUNTIFS('Таблиця 1'!$B:$B,$A465,'Таблиця 1'!$I:$I,"Су-27",'Таблиця 1'!$L:$L,"НЕ уражено"))</f>
        <v/>
      </c>
      <c r="T465">
        <f>IF($A465="","",COUNTIFS('Таблиця 1'!$B:$B,$A465,'Таблиця 1'!$I:$I,"Mirage",'Таблиця 1'!$L:$L,"Дорозвідується")+COUNTIFS('Таблиця 1'!$B:$B,$A465,'Таблиця 1'!$I:$I,"F-16",'Таблиця 1'!$L:$L,"Дорозвідується")+COUNTIFS('Таблиця 1'!$B:$B,$A465,'Таблиця 1'!$I:$I,"МіГ-29",'Таблиця 1'!$L:$L,"Дорозвідується")+COUNTIFS('Таблиця 1'!$B:$B,$A465,'Таблиця 1'!$I:$I,"Су-25",'Таблиця 1'!$L:$L,"Дорозвідується")+COUNTIFS('Таблиця 1'!$B:$B,$A465,'Таблиця 1'!$I:$I,"Су-27",'Таблиця 1'!$L:$L,"Дорозвідується"))</f>
        <v/>
      </c>
    </row>
    <row r="466">
      <c r="A466" s="273">
        <f>IF(A465="","",IF(A465+1&gt;MAX('Таблиця 1'!$B:$B),"",A465+1))</f>
        <v/>
      </c>
      <c r="B466">
        <f>IF($A466="","",COUNTIFS('Таблиця 1'!$B:$B,$A466,'Таблиця 1'!$I:$I,"Mirage")+COUNTIFS('Таблиця 1'!$B:$B,$A466,'Таблиця 1'!$I:$I,"F-16")+COUNTIFS('Таблиця 1'!$B:$B,$A466,'Таблиця 1'!$I:$I,"МіГ-29")+COUNTIFS('Таблиця 1'!$B:$B,$A466,'Таблиця 1'!$I:$I,"Су-25")+COUNTIFS('Таблиця 1'!$B:$B,$A466,'Таблиця 1'!$I:$I,"Су-27"))</f>
        <v/>
      </c>
      <c r="C466">
        <f>IF($A466="","",COUNTIFS('Таблиця 1'!$B:$B,$A466,'Таблиця 1'!$I:$I,"Mirage"))</f>
        <v/>
      </c>
      <c r="D466">
        <f>IF($A466="","",COUNTIFS('Таблиця 1'!$B:$B,$A466,'Таблиця 1'!$I:$I,"F-16"))</f>
        <v/>
      </c>
      <c r="E466">
        <f>IF($A466="","",COUNTIFS('Таблиця 1'!$B:$B,$A466,'Таблиця 1'!$I:$I,"МіГ-29"))</f>
        <v/>
      </c>
      <c r="F466">
        <f>IF($A466="","",COUNTIFS('Таблиця 1'!$B:$B,$A466,'Таблиця 1'!$I:$I,"Су-25"))</f>
        <v/>
      </c>
      <c r="G466">
        <f>IF($A466="","",COUNTIFS('Таблиця 1'!$B:$B,$A466,'Таблиця 1'!$I:$I,"Су-27"))</f>
        <v/>
      </c>
      <c r="H466">
        <f>IF($A466="","",SUMIFS('Таблиця 1'!$K:$K,'Таблиця 1'!$B:$B,$A466,'Таблиця 1'!$I:$I,"Mirage",'Таблиця 1'!$J:$J,"AGM-88")+SUMIFS('Таблиця 1'!$K:$K,'Таблиця 1'!$B:$B,$A466,'Таблиця 1'!$I:$I,"F-16",'Таблиця 1'!$J:$J,"AGM-88")+SUMIFS('Таблиця 1'!$K:$K,'Таблиця 1'!$B:$B,$A466,'Таблиця 1'!$I:$I,"МіГ-29",'Таблиця 1'!$J:$J,"AGM-88")+SUMIFS('Таблиця 1'!$K:$K,'Таблиця 1'!$B:$B,$A466,'Таблиця 1'!$I:$I,"Су-25",'Таблиця 1'!$J:$J,"AGM-88")+SUMIFS('Таблиця 1'!$K:$K,'Таблиця 1'!$B:$B,$A466,'Таблиця 1'!$I:$I,"Су-27",'Таблиця 1'!$J:$J,"AGM-88"))</f>
        <v/>
      </c>
      <c r="I466">
        <f>IF($A466="","",SUMIFS('Таблиця 1'!$K:$K,'Таблиця 1'!$B:$B,$A466,'Таблиця 1'!$I:$I,"Mirage",'Таблиця 1'!$J:$J,"AASM-250")+SUMIFS('Таблиця 1'!$K:$K,'Таблиця 1'!$B:$B,$A466,'Таблиця 1'!$I:$I,"F-16",'Таблиця 1'!$J:$J,"AASM-250")+SUMIFS('Таблиця 1'!$K:$K,'Таблиця 1'!$B:$B,$A466,'Таблиця 1'!$I:$I,"МіГ-29",'Таблиця 1'!$J:$J,"AASM-250")+SUMIFS('Таблиця 1'!$K:$K,'Таблиця 1'!$B:$B,$A466,'Таблиця 1'!$I:$I,"Су-25",'Таблиця 1'!$J:$J,"AASM-250")+SUMIFS('Таблиця 1'!$K:$K,'Таблиця 1'!$B:$B,$A466,'Таблиця 1'!$I:$I,"Су-27",'Таблиця 1'!$J:$J,"AASM-250"))</f>
        <v/>
      </c>
      <c r="J466">
        <f>IF($A466="","",SUMIFS('Таблиця 1'!$K:$K,'Таблиця 1'!$B:$B,$A466,'Таблиця 1'!$I:$I,"Mirage",'Таблиця 1'!$J:$J,"GBU-39")+SUMIFS('Таблиця 1'!$K:$K,'Таблиця 1'!$B:$B,$A466,'Таблиця 1'!$I:$I,"F-16",'Таблиця 1'!$J:$J,"GBU-39")+SUMIFS('Таблиця 1'!$K:$K,'Таблиця 1'!$B:$B,$A466,'Таблиця 1'!$I:$I,"МіГ-29",'Таблиця 1'!$J:$J,"GBU-39")+SUMIFS('Таблиця 1'!$K:$K,'Таблиця 1'!$B:$B,$A466,'Таблиця 1'!$I:$I,"Су-25",'Таблиця 1'!$J:$J,"GBU-39")+SUMIFS('Таблиця 1'!$K:$K,'Таблиця 1'!$B:$B,$A466,'Таблиця 1'!$I:$I,"Су-27",'Таблиця 1'!$J:$J,"GBU-39"))</f>
        <v/>
      </c>
      <c r="K466">
        <f>IF($A466="","",SUMIFS('Таблиця 1'!$K:$K,'Таблиця 1'!$B:$B,$A466,'Таблиця 1'!$I:$I,"Mirage",'Таблиця 1'!$J:$J,"BLU-140")+SUMIFS('Таблиця 1'!$K:$K,'Таблиця 1'!$B:$B,$A466,'Таблиця 1'!$I:$I,"F-16",'Таблиця 1'!$J:$J,"BLU-140")+SUMIFS('Таблиця 1'!$K:$K,'Таблиця 1'!$B:$B,$A466,'Таблиця 1'!$I:$I,"МіГ-29",'Таблиця 1'!$J:$J,"BLU-140")+SUMIFS('Таблиця 1'!$K:$K,'Таблиця 1'!$B:$B,$A466,'Таблиця 1'!$I:$I,"Су-25",'Таблиця 1'!$J:$J,"BLU-140")+SUMIFS('Таблиця 1'!$K:$K,'Таблиця 1'!$B:$B,$A466,'Таблиця 1'!$I:$I,"Су-27",'Таблиця 1'!$J:$J,"BLU-140"))</f>
        <v/>
      </c>
      <c r="L466">
        <f>IF($A466="","",SUMIFS('Таблиця 1'!$K:$K,'Таблиця 1'!$B:$B,$A466,'Таблиця 1'!$I:$I,"Mirage",'Таблиця 1'!$J:$J,"GBU-65")+SUMIFS('Таблиця 1'!$K:$K,'Таблиця 1'!$B:$B,$A466,'Таблиця 1'!$I:$I,"F-16",'Таблиця 1'!$J:$J,"GBU-65")+SUMIFS('Таблиця 1'!$K:$K,'Таблиця 1'!$B:$B,$A466,'Таблиця 1'!$I:$I,"МіГ-29",'Таблиця 1'!$J:$J,"GBU-65")+SUMIFS('Таблиця 1'!$K:$K,'Таблиця 1'!$B:$B,$A466,'Таблиця 1'!$I:$I,"Су-25",'Таблиця 1'!$J:$J,"GBU-65")+SUMIFS('Таблиця 1'!$K:$K,'Таблиця 1'!$B:$B,$A466,'Таблиця 1'!$I:$I,"Су-27",'Таблиця 1'!$J:$J,"GBU-65"))</f>
        <v/>
      </c>
      <c r="M466">
        <f>IF($A466="","",SUMIFS('Таблиця 1'!$K:$K,'Таблиця 1'!$B:$B,$A466,'Таблиця 1'!$I:$I,"Mirage",'Таблиця 1'!$J:$J,"GBU-62")+SUMIFS('Таблиця 1'!$K:$K,'Таблиця 1'!$B:$B,$A466,'Таблиця 1'!$I:$I,"F-16",'Таблиця 1'!$J:$J,"GBU-62")+SUMIFS('Таблиця 1'!$K:$K,'Таблиця 1'!$B:$B,$A466,'Таблиця 1'!$I:$I,"МіГ-29",'Таблиця 1'!$J:$J,"GBU-62")+SUMIFS('Таблиця 1'!$K:$K,'Таблиця 1'!$B:$B,$A466,'Таблиця 1'!$I:$I,"Су-25",'Таблиця 1'!$J:$J,"GBU-62")+SUMIFS('Таблиця 1'!$K:$K,'Таблиця 1'!$B:$B,$A466,'Таблиця 1'!$I:$I,"Су-27",'Таблиця 1'!$J:$J,"GBU-62"))</f>
        <v/>
      </c>
      <c r="N466">
        <f>IF($A466="","",SUMIFS('Таблиця 1'!$K:$K,'Таблиця 1'!$B:$B,$A466,'Таблиця 1'!$I:$I,"Mirage",'Таблиця 1'!$J:$J,"GBU-64")+SUMIFS('Таблиця 1'!$K:$K,'Таблиця 1'!$B:$B,$A466,'Таблиця 1'!$I:$I,"F-16",'Таблиця 1'!$J:$J,"GBU-64")+SUMIFS('Таблиця 1'!$K:$K,'Таблиця 1'!$B:$B,$A466,'Таблиця 1'!$I:$I,"МіГ-29",'Таблиця 1'!$J:$J,"GBU-64")+SUMIFS('Таблиця 1'!$K:$K,'Таблиця 1'!$B:$B,$A466,'Таблиця 1'!$I:$I,"Су-25",'Таблиця 1'!$J:$J,"GBU-64")+SUMIFS('Таблиця 1'!$K:$K,'Таблиця 1'!$B:$B,$A466,'Таблиця 1'!$I:$I,"Су-27",'Таблиця 1'!$J:$J,"GBU-64"))</f>
        <v/>
      </c>
      <c r="O466">
        <f>IF($A466="","",SUMIFS('Таблиця 1'!$K:$K,'Таблиця 1'!$B:$B,$A466,'Таблиця 1'!$I:$I,"Mirage",'Таблиця 1'!$J:$J,"C-13")+SUMIFS('Таблиця 1'!$K:$K,'Таблиця 1'!$B:$B,$A466,'Таблиця 1'!$I:$I,"F-16",'Таблиця 1'!$J:$J,"C-13")+SUMIFS('Таблиця 1'!$K:$K,'Таблиця 1'!$B:$B,$A466,'Таблиця 1'!$I:$I,"МіГ-29",'Таблиця 1'!$J:$J,"C-13")+SUMIFS('Таблиця 1'!$K:$K,'Таблиця 1'!$B:$B,$A466,'Таблиця 1'!$I:$I,"Су-25",'Таблиця 1'!$J:$J,"C-13")+SUMIFS('Таблиця 1'!$K:$K,'Таблиця 1'!$B:$B,$A466,'Таблиця 1'!$I:$I,"Су-27",'Таблиця 1'!$J:$J,"C-13"))</f>
        <v/>
      </c>
      <c r="P466">
        <f>IF($A466="","",SUMIFS('Таблиця 1'!$K:$K,'Таблиця 1'!$B:$B,$A466,'Таблиця 1'!$I:$I,"Mirage",'Таблиця 1'!$J:$J,"MK-32")+SUMIFS('Таблиця 1'!$K:$K,'Таблиця 1'!$B:$B,$A466,'Таблиця 1'!$I:$I,"F-16",'Таблиця 1'!$J:$J,"MK-32")+SUMIFS('Таблиця 1'!$K:$K,'Таблиця 1'!$B:$B,$A466,'Таблиця 1'!$I:$I,"МіГ-29",'Таблиця 1'!$J:$J,"MK-32")+SUMIFS('Таблиця 1'!$K:$K,'Таблиця 1'!$B:$B,$A466,'Таблиця 1'!$I:$I,"Су-25",'Таблиця 1'!$J:$J,"MK-32")+SUMIFS('Таблиця 1'!$K:$K,'Таблиця 1'!$B:$B,$A466,'Таблиця 1'!$I:$I,"Су-27",'Таблиця 1'!$J:$J,"MK-32"))</f>
        <v/>
      </c>
      <c r="Q466">
        <f>IF($A466="","",SUMIFS('Таблиця 1'!$K:$K,'Таблиця 1'!$B:$B,$A466,'Таблиця 1'!$I:$I,"Mirage",'Таблиця 1'!$J:$J,"MK-24")+SUMIFS('Таблиця 1'!$K:$K,'Таблиця 1'!$B:$B,$A466,'Таблиця 1'!$I:$I,"F-16",'Таблиця 1'!$J:$J,"MK-24")+SUMIFS('Таблиця 1'!$K:$K,'Таблиця 1'!$B:$B,$A466,'Таблиця 1'!$I:$I,"МіГ-29",'Таблиця 1'!$J:$J,"MK-24")+SUMIFS('Таблиця 1'!$K:$K,'Таблиця 1'!$B:$B,$A466,'Таблиця 1'!$I:$I,"Су-25",'Таблиця 1'!$J:$J,"MK-24")+SUMIFS('Таблиця 1'!$K:$K,'Таблиця 1'!$B:$B,$A466,'Таблиця 1'!$I:$I,"Су-27",'Таблиця 1'!$J:$J,"MK-24"))</f>
        <v/>
      </c>
      <c r="R466">
        <f>IF($A466="","",COUNTIFS('Таблиця 1'!$B:$B,$A466,'Таблиця 1'!$I:$I,"Mirage",'Таблиця 1'!$L:$L,"Уражено")+COUNTIFS('Таблиця 1'!$B:$B,$A466,'Таблиця 1'!$I:$I,"F-16",'Таблиця 1'!$L:$L,"Уражено")+COUNTIFS('Таблиця 1'!$B:$B,$A466,'Таблиця 1'!$I:$I,"МіГ-29",'Таблиця 1'!$L:$L,"Уражено")+COUNTIFS('Таблиця 1'!$B:$B,$A466,'Таблиця 1'!$I:$I,"Су-25",'Таблиця 1'!$L:$L,"Уражено")+COUNTIFS('Таблиця 1'!$B:$B,$A466,'Таблиця 1'!$I:$I,"Су-27",'Таблиця 1'!$L:$L,"Уражено"))</f>
        <v/>
      </c>
      <c r="S466">
        <f>IF($A466="","",COUNTIFS('Таблиця 1'!$B:$B,$A466,'Таблиця 1'!$I:$I,"Mirage",'Таблиця 1'!$L:$L,"НЕ уражено")+COUNTIFS('Таблиця 1'!$B:$B,$A466,'Таблиця 1'!$I:$I,"F-16",'Таблиця 1'!$L:$L,"НЕ уражено")+COUNTIFS('Таблиця 1'!$B:$B,$A466,'Таблиця 1'!$I:$I,"МіГ-29",'Таблиця 1'!$L:$L,"НЕ уражено")+COUNTIFS('Таблиця 1'!$B:$B,$A466,'Таблиця 1'!$I:$I,"Су-25",'Таблиця 1'!$L:$L,"НЕ уражено")+COUNTIFS('Таблиця 1'!$B:$B,$A466,'Таблиця 1'!$I:$I,"Су-27",'Таблиця 1'!$L:$L,"НЕ уражено"))</f>
        <v/>
      </c>
      <c r="T466">
        <f>IF($A466="","",COUNTIFS('Таблиця 1'!$B:$B,$A466,'Таблиця 1'!$I:$I,"Mirage",'Таблиця 1'!$L:$L,"Дорозвідується")+COUNTIFS('Таблиця 1'!$B:$B,$A466,'Таблиця 1'!$I:$I,"F-16",'Таблиця 1'!$L:$L,"Дорозвідується")+COUNTIFS('Таблиця 1'!$B:$B,$A466,'Таблиця 1'!$I:$I,"МіГ-29",'Таблиця 1'!$L:$L,"Дорозвідується")+COUNTIFS('Таблиця 1'!$B:$B,$A466,'Таблиця 1'!$I:$I,"Су-25",'Таблиця 1'!$L:$L,"Дорозвідується")+COUNTIFS('Таблиця 1'!$B:$B,$A466,'Таблиця 1'!$I:$I,"Су-27",'Таблиця 1'!$L:$L,"Дорозвідується"))</f>
        <v/>
      </c>
    </row>
    <row r="467">
      <c r="A467" s="273">
        <f>IF(A466="","",IF(A466+1&gt;MAX('Таблиця 1'!$B:$B),"",A466+1))</f>
        <v/>
      </c>
      <c r="B467">
        <f>IF($A467="","",COUNTIFS('Таблиця 1'!$B:$B,$A467,'Таблиця 1'!$I:$I,"Mirage")+COUNTIFS('Таблиця 1'!$B:$B,$A467,'Таблиця 1'!$I:$I,"F-16")+COUNTIFS('Таблиця 1'!$B:$B,$A467,'Таблиця 1'!$I:$I,"МіГ-29")+COUNTIFS('Таблиця 1'!$B:$B,$A467,'Таблиця 1'!$I:$I,"Су-25")+COUNTIFS('Таблиця 1'!$B:$B,$A467,'Таблиця 1'!$I:$I,"Су-27"))</f>
        <v/>
      </c>
      <c r="C467">
        <f>IF($A467="","",COUNTIFS('Таблиця 1'!$B:$B,$A467,'Таблиця 1'!$I:$I,"Mirage"))</f>
        <v/>
      </c>
      <c r="D467">
        <f>IF($A467="","",COUNTIFS('Таблиця 1'!$B:$B,$A467,'Таблиця 1'!$I:$I,"F-16"))</f>
        <v/>
      </c>
      <c r="E467">
        <f>IF($A467="","",COUNTIFS('Таблиця 1'!$B:$B,$A467,'Таблиця 1'!$I:$I,"МіГ-29"))</f>
        <v/>
      </c>
      <c r="F467">
        <f>IF($A467="","",COUNTIFS('Таблиця 1'!$B:$B,$A467,'Таблиця 1'!$I:$I,"Су-25"))</f>
        <v/>
      </c>
      <c r="G467">
        <f>IF($A467="","",COUNTIFS('Таблиця 1'!$B:$B,$A467,'Таблиця 1'!$I:$I,"Су-27"))</f>
        <v/>
      </c>
      <c r="H467">
        <f>IF($A467="","",SUMIFS('Таблиця 1'!$K:$K,'Таблиця 1'!$B:$B,$A467,'Таблиця 1'!$I:$I,"Mirage",'Таблиця 1'!$J:$J,"AGM-88")+SUMIFS('Таблиця 1'!$K:$K,'Таблиця 1'!$B:$B,$A467,'Таблиця 1'!$I:$I,"F-16",'Таблиця 1'!$J:$J,"AGM-88")+SUMIFS('Таблиця 1'!$K:$K,'Таблиця 1'!$B:$B,$A467,'Таблиця 1'!$I:$I,"МіГ-29",'Таблиця 1'!$J:$J,"AGM-88")+SUMIFS('Таблиця 1'!$K:$K,'Таблиця 1'!$B:$B,$A467,'Таблиця 1'!$I:$I,"Су-25",'Таблиця 1'!$J:$J,"AGM-88")+SUMIFS('Таблиця 1'!$K:$K,'Таблиця 1'!$B:$B,$A467,'Таблиця 1'!$I:$I,"Су-27",'Таблиця 1'!$J:$J,"AGM-88"))</f>
        <v/>
      </c>
      <c r="I467">
        <f>IF($A467="","",SUMIFS('Таблиця 1'!$K:$K,'Таблиця 1'!$B:$B,$A467,'Таблиця 1'!$I:$I,"Mirage",'Таблиця 1'!$J:$J,"AASM-250")+SUMIFS('Таблиця 1'!$K:$K,'Таблиця 1'!$B:$B,$A467,'Таблиця 1'!$I:$I,"F-16",'Таблиця 1'!$J:$J,"AASM-250")+SUMIFS('Таблиця 1'!$K:$K,'Таблиця 1'!$B:$B,$A467,'Таблиця 1'!$I:$I,"МіГ-29",'Таблиця 1'!$J:$J,"AASM-250")+SUMIFS('Таблиця 1'!$K:$K,'Таблиця 1'!$B:$B,$A467,'Таблиця 1'!$I:$I,"Су-25",'Таблиця 1'!$J:$J,"AASM-250")+SUMIFS('Таблиця 1'!$K:$K,'Таблиця 1'!$B:$B,$A467,'Таблиця 1'!$I:$I,"Су-27",'Таблиця 1'!$J:$J,"AASM-250"))</f>
        <v/>
      </c>
      <c r="J467">
        <f>IF($A467="","",SUMIFS('Таблиця 1'!$K:$K,'Таблиця 1'!$B:$B,$A467,'Таблиця 1'!$I:$I,"Mirage",'Таблиця 1'!$J:$J,"GBU-39")+SUMIFS('Таблиця 1'!$K:$K,'Таблиця 1'!$B:$B,$A467,'Таблиця 1'!$I:$I,"F-16",'Таблиця 1'!$J:$J,"GBU-39")+SUMIFS('Таблиця 1'!$K:$K,'Таблиця 1'!$B:$B,$A467,'Таблиця 1'!$I:$I,"МіГ-29",'Таблиця 1'!$J:$J,"GBU-39")+SUMIFS('Таблиця 1'!$K:$K,'Таблиця 1'!$B:$B,$A467,'Таблиця 1'!$I:$I,"Су-25",'Таблиця 1'!$J:$J,"GBU-39")+SUMIFS('Таблиця 1'!$K:$K,'Таблиця 1'!$B:$B,$A467,'Таблиця 1'!$I:$I,"Су-27",'Таблиця 1'!$J:$J,"GBU-39"))</f>
        <v/>
      </c>
      <c r="K467">
        <f>IF($A467="","",SUMIFS('Таблиця 1'!$K:$K,'Таблиця 1'!$B:$B,$A467,'Таблиця 1'!$I:$I,"Mirage",'Таблиця 1'!$J:$J,"BLU-140")+SUMIFS('Таблиця 1'!$K:$K,'Таблиця 1'!$B:$B,$A467,'Таблиця 1'!$I:$I,"F-16",'Таблиця 1'!$J:$J,"BLU-140")+SUMIFS('Таблиця 1'!$K:$K,'Таблиця 1'!$B:$B,$A467,'Таблиця 1'!$I:$I,"МіГ-29",'Таблиця 1'!$J:$J,"BLU-140")+SUMIFS('Таблиця 1'!$K:$K,'Таблиця 1'!$B:$B,$A467,'Таблиця 1'!$I:$I,"Су-25",'Таблиця 1'!$J:$J,"BLU-140")+SUMIFS('Таблиця 1'!$K:$K,'Таблиця 1'!$B:$B,$A467,'Таблиця 1'!$I:$I,"Су-27",'Таблиця 1'!$J:$J,"BLU-140"))</f>
        <v/>
      </c>
      <c r="L467">
        <f>IF($A467="","",SUMIFS('Таблиця 1'!$K:$K,'Таблиця 1'!$B:$B,$A467,'Таблиця 1'!$I:$I,"Mirage",'Таблиця 1'!$J:$J,"GBU-65")+SUMIFS('Таблиця 1'!$K:$K,'Таблиця 1'!$B:$B,$A467,'Таблиця 1'!$I:$I,"F-16",'Таблиця 1'!$J:$J,"GBU-65")+SUMIFS('Таблиця 1'!$K:$K,'Таблиця 1'!$B:$B,$A467,'Таблиця 1'!$I:$I,"МіГ-29",'Таблиця 1'!$J:$J,"GBU-65")+SUMIFS('Таблиця 1'!$K:$K,'Таблиця 1'!$B:$B,$A467,'Таблиця 1'!$I:$I,"Су-25",'Таблиця 1'!$J:$J,"GBU-65")+SUMIFS('Таблиця 1'!$K:$K,'Таблиця 1'!$B:$B,$A467,'Таблиця 1'!$I:$I,"Су-27",'Таблиця 1'!$J:$J,"GBU-65"))</f>
        <v/>
      </c>
      <c r="M467">
        <f>IF($A467="","",SUMIFS('Таблиця 1'!$K:$K,'Таблиця 1'!$B:$B,$A467,'Таблиця 1'!$I:$I,"Mirage",'Таблиця 1'!$J:$J,"GBU-62")+SUMIFS('Таблиця 1'!$K:$K,'Таблиця 1'!$B:$B,$A467,'Таблиця 1'!$I:$I,"F-16",'Таблиця 1'!$J:$J,"GBU-62")+SUMIFS('Таблиця 1'!$K:$K,'Таблиця 1'!$B:$B,$A467,'Таблиця 1'!$I:$I,"МіГ-29",'Таблиця 1'!$J:$J,"GBU-62")+SUMIFS('Таблиця 1'!$K:$K,'Таблиця 1'!$B:$B,$A467,'Таблиця 1'!$I:$I,"Су-25",'Таблиця 1'!$J:$J,"GBU-62")+SUMIFS('Таблиця 1'!$K:$K,'Таблиця 1'!$B:$B,$A467,'Таблиця 1'!$I:$I,"Су-27",'Таблиця 1'!$J:$J,"GBU-62"))</f>
        <v/>
      </c>
      <c r="N467">
        <f>IF($A467="","",SUMIFS('Таблиця 1'!$K:$K,'Таблиця 1'!$B:$B,$A467,'Таблиця 1'!$I:$I,"Mirage",'Таблиця 1'!$J:$J,"GBU-64")+SUMIFS('Таблиця 1'!$K:$K,'Таблиця 1'!$B:$B,$A467,'Таблиця 1'!$I:$I,"F-16",'Таблиця 1'!$J:$J,"GBU-64")+SUMIFS('Таблиця 1'!$K:$K,'Таблиця 1'!$B:$B,$A467,'Таблиця 1'!$I:$I,"МіГ-29",'Таблиця 1'!$J:$J,"GBU-64")+SUMIFS('Таблиця 1'!$K:$K,'Таблиця 1'!$B:$B,$A467,'Таблиця 1'!$I:$I,"Су-25",'Таблиця 1'!$J:$J,"GBU-64")+SUMIFS('Таблиця 1'!$K:$K,'Таблиця 1'!$B:$B,$A467,'Таблиця 1'!$I:$I,"Су-27",'Таблиця 1'!$J:$J,"GBU-64"))</f>
        <v/>
      </c>
      <c r="O467">
        <f>IF($A467="","",SUMIFS('Таблиця 1'!$K:$K,'Таблиця 1'!$B:$B,$A467,'Таблиця 1'!$I:$I,"Mirage",'Таблиця 1'!$J:$J,"C-13")+SUMIFS('Таблиця 1'!$K:$K,'Таблиця 1'!$B:$B,$A467,'Таблиця 1'!$I:$I,"F-16",'Таблиця 1'!$J:$J,"C-13")+SUMIFS('Таблиця 1'!$K:$K,'Таблиця 1'!$B:$B,$A467,'Таблиця 1'!$I:$I,"МіГ-29",'Таблиця 1'!$J:$J,"C-13")+SUMIFS('Таблиця 1'!$K:$K,'Таблиця 1'!$B:$B,$A467,'Таблиця 1'!$I:$I,"Су-25",'Таблиця 1'!$J:$J,"C-13")+SUMIFS('Таблиця 1'!$K:$K,'Таблиця 1'!$B:$B,$A467,'Таблиця 1'!$I:$I,"Су-27",'Таблиця 1'!$J:$J,"C-13"))</f>
        <v/>
      </c>
      <c r="P467">
        <f>IF($A467="","",SUMIFS('Таблиця 1'!$K:$K,'Таблиця 1'!$B:$B,$A467,'Таблиця 1'!$I:$I,"Mirage",'Таблиця 1'!$J:$J,"MK-32")+SUMIFS('Таблиця 1'!$K:$K,'Таблиця 1'!$B:$B,$A467,'Таблиця 1'!$I:$I,"F-16",'Таблиця 1'!$J:$J,"MK-32")+SUMIFS('Таблиця 1'!$K:$K,'Таблиця 1'!$B:$B,$A467,'Таблиця 1'!$I:$I,"МіГ-29",'Таблиця 1'!$J:$J,"MK-32")+SUMIFS('Таблиця 1'!$K:$K,'Таблиця 1'!$B:$B,$A467,'Таблиця 1'!$I:$I,"Су-25",'Таблиця 1'!$J:$J,"MK-32")+SUMIFS('Таблиця 1'!$K:$K,'Таблиця 1'!$B:$B,$A467,'Таблиця 1'!$I:$I,"Су-27",'Таблиця 1'!$J:$J,"MK-32"))</f>
        <v/>
      </c>
      <c r="Q467">
        <f>IF($A467="","",SUMIFS('Таблиця 1'!$K:$K,'Таблиця 1'!$B:$B,$A467,'Таблиця 1'!$I:$I,"Mirage",'Таблиця 1'!$J:$J,"MK-24")+SUMIFS('Таблиця 1'!$K:$K,'Таблиця 1'!$B:$B,$A467,'Таблиця 1'!$I:$I,"F-16",'Таблиця 1'!$J:$J,"MK-24")+SUMIFS('Таблиця 1'!$K:$K,'Таблиця 1'!$B:$B,$A467,'Таблиця 1'!$I:$I,"МіГ-29",'Таблиця 1'!$J:$J,"MK-24")+SUMIFS('Таблиця 1'!$K:$K,'Таблиця 1'!$B:$B,$A467,'Таблиця 1'!$I:$I,"Су-25",'Таблиця 1'!$J:$J,"MK-24")+SUMIFS('Таблиця 1'!$K:$K,'Таблиця 1'!$B:$B,$A467,'Таблиця 1'!$I:$I,"Су-27",'Таблиця 1'!$J:$J,"MK-24"))</f>
        <v/>
      </c>
      <c r="R467">
        <f>IF($A467="","",COUNTIFS('Таблиця 1'!$B:$B,$A467,'Таблиця 1'!$I:$I,"Mirage",'Таблиця 1'!$L:$L,"Уражено")+COUNTIFS('Таблиця 1'!$B:$B,$A467,'Таблиця 1'!$I:$I,"F-16",'Таблиця 1'!$L:$L,"Уражено")+COUNTIFS('Таблиця 1'!$B:$B,$A467,'Таблиця 1'!$I:$I,"МіГ-29",'Таблиця 1'!$L:$L,"Уражено")+COUNTIFS('Таблиця 1'!$B:$B,$A467,'Таблиця 1'!$I:$I,"Су-25",'Таблиця 1'!$L:$L,"Уражено")+COUNTIFS('Таблиця 1'!$B:$B,$A467,'Таблиця 1'!$I:$I,"Су-27",'Таблиця 1'!$L:$L,"Уражено"))</f>
        <v/>
      </c>
      <c r="S467">
        <f>IF($A467="","",COUNTIFS('Таблиця 1'!$B:$B,$A467,'Таблиця 1'!$I:$I,"Mirage",'Таблиця 1'!$L:$L,"НЕ уражено")+COUNTIFS('Таблиця 1'!$B:$B,$A467,'Таблиця 1'!$I:$I,"F-16",'Таблиця 1'!$L:$L,"НЕ уражено")+COUNTIFS('Таблиця 1'!$B:$B,$A467,'Таблиця 1'!$I:$I,"МіГ-29",'Таблиця 1'!$L:$L,"НЕ уражено")+COUNTIFS('Таблиця 1'!$B:$B,$A467,'Таблиця 1'!$I:$I,"Су-25",'Таблиця 1'!$L:$L,"НЕ уражено")+COUNTIFS('Таблиця 1'!$B:$B,$A467,'Таблиця 1'!$I:$I,"Су-27",'Таблиця 1'!$L:$L,"НЕ уражено"))</f>
        <v/>
      </c>
      <c r="T467">
        <f>IF($A467="","",COUNTIFS('Таблиця 1'!$B:$B,$A467,'Таблиця 1'!$I:$I,"Mirage",'Таблиця 1'!$L:$L,"Дорозвідується")+COUNTIFS('Таблиця 1'!$B:$B,$A467,'Таблиця 1'!$I:$I,"F-16",'Таблиця 1'!$L:$L,"Дорозвідується")+COUNTIFS('Таблиця 1'!$B:$B,$A467,'Таблиця 1'!$I:$I,"МіГ-29",'Таблиця 1'!$L:$L,"Дорозвідується")+COUNTIFS('Таблиця 1'!$B:$B,$A467,'Таблиця 1'!$I:$I,"Су-25",'Таблиця 1'!$L:$L,"Дорозвідується")+COUNTIFS('Таблиця 1'!$B:$B,$A467,'Таблиця 1'!$I:$I,"Су-27",'Таблиця 1'!$L:$L,"Дорозвідується"))</f>
        <v/>
      </c>
    </row>
    <row r="468">
      <c r="A468" s="273">
        <f>IF(A467="","",IF(A467+1&gt;MAX('Таблиця 1'!$B:$B),"",A467+1))</f>
        <v/>
      </c>
      <c r="B468">
        <f>IF($A468="","",COUNTIFS('Таблиця 1'!$B:$B,$A468,'Таблиця 1'!$I:$I,"Mirage")+COUNTIFS('Таблиця 1'!$B:$B,$A468,'Таблиця 1'!$I:$I,"F-16")+COUNTIFS('Таблиця 1'!$B:$B,$A468,'Таблиця 1'!$I:$I,"МіГ-29")+COUNTIFS('Таблиця 1'!$B:$B,$A468,'Таблиця 1'!$I:$I,"Су-25")+COUNTIFS('Таблиця 1'!$B:$B,$A468,'Таблиця 1'!$I:$I,"Су-27"))</f>
        <v/>
      </c>
      <c r="C468">
        <f>IF($A468="","",COUNTIFS('Таблиця 1'!$B:$B,$A468,'Таблиця 1'!$I:$I,"Mirage"))</f>
        <v/>
      </c>
      <c r="D468">
        <f>IF($A468="","",COUNTIFS('Таблиця 1'!$B:$B,$A468,'Таблиця 1'!$I:$I,"F-16"))</f>
        <v/>
      </c>
      <c r="E468">
        <f>IF($A468="","",COUNTIFS('Таблиця 1'!$B:$B,$A468,'Таблиця 1'!$I:$I,"МіГ-29"))</f>
        <v/>
      </c>
      <c r="F468">
        <f>IF($A468="","",COUNTIFS('Таблиця 1'!$B:$B,$A468,'Таблиця 1'!$I:$I,"Су-25"))</f>
        <v/>
      </c>
      <c r="G468">
        <f>IF($A468="","",COUNTIFS('Таблиця 1'!$B:$B,$A468,'Таблиця 1'!$I:$I,"Су-27"))</f>
        <v/>
      </c>
      <c r="H468">
        <f>IF($A468="","",SUMIFS('Таблиця 1'!$K:$K,'Таблиця 1'!$B:$B,$A468,'Таблиця 1'!$I:$I,"Mirage",'Таблиця 1'!$J:$J,"AGM-88")+SUMIFS('Таблиця 1'!$K:$K,'Таблиця 1'!$B:$B,$A468,'Таблиця 1'!$I:$I,"F-16",'Таблиця 1'!$J:$J,"AGM-88")+SUMIFS('Таблиця 1'!$K:$K,'Таблиця 1'!$B:$B,$A468,'Таблиця 1'!$I:$I,"МіГ-29",'Таблиця 1'!$J:$J,"AGM-88")+SUMIFS('Таблиця 1'!$K:$K,'Таблиця 1'!$B:$B,$A468,'Таблиця 1'!$I:$I,"Су-25",'Таблиця 1'!$J:$J,"AGM-88")+SUMIFS('Таблиця 1'!$K:$K,'Таблиця 1'!$B:$B,$A468,'Таблиця 1'!$I:$I,"Су-27",'Таблиця 1'!$J:$J,"AGM-88"))</f>
        <v/>
      </c>
      <c r="I468">
        <f>IF($A468="","",SUMIFS('Таблиця 1'!$K:$K,'Таблиця 1'!$B:$B,$A468,'Таблиця 1'!$I:$I,"Mirage",'Таблиця 1'!$J:$J,"AASM-250")+SUMIFS('Таблиця 1'!$K:$K,'Таблиця 1'!$B:$B,$A468,'Таблиця 1'!$I:$I,"F-16",'Таблиця 1'!$J:$J,"AASM-250")+SUMIFS('Таблиця 1'!$K:$K,'Таблиця 1'!$B:$B,$A468,'Таблиця 1'!$I:$I,"МіГ-29",'Таблиця 1'!$J:$J,"AASM-250")+SUMIFS('Таблиця 1'!$K:$K,'Таблиця 1'!$B:$B,$A468,'Таблиця 1'!$I:$I,"Су-25",'Таблиця 1'!$J:$J,"AASM-250")+SUMIFS('Таблиця 1'!$K:$K,'Таблиця 1'!$B:$B,$A468,'Таблиця 1'!$I:$I,"Су-27",'Таблиця 1'!$J:$J,"AASM-250"))</f>
        <v/>
      </c>
      <c r="J468">
        <f>IF($A468="","",SUMIFS('Таблиця 1'!$K:$K,'Таблиця 1'!$B:$B,$A468,'Таблиця 1'!$I:$I,"Mirage",'Таблиця 1'!$J:$J,"GBU-39")+SUMIFS('Таблиця 1'!$K:$K,'Таблиця 1'!$B:$B,$A468,'Таблиця 1'!$I:$I,"F-16",'Таблиця 1'!$J:$J,"GBU-39")+SUMIFS('Таблиця 1'!$K:$K,'Таблиця 1'!$B:$B,$A468,'Таблиця 1'!$I:$I,"МіГ-29",'Таблиця 1'!$J:$J,"GBU-39")+SUMIFS('Таблиця 1'!$K:$K,'Таблиця 1'!$B:$B,$A468,'Таблиця 1'!$I:$I,"Су-25",'Таблиця 1'!$J:$J,"GBU-39")+SUMIFS('Таблиця 1'!$K:$K,'Таблиця 1'!$B:$B,$A468,'Таблиця 1'!$I:$I,"Су-27",'Таблиця 1'!$J:$J,"GBU-39"))</f>
        <v/>
      </c>
      <c r="K468">
        <f>IF($A468="","",SUMIFS('Таблиця 1'!$K:$K,'Таблиця 1'!$B:$B,$A468,'Таблиця 1'!$I:$I,"Mirage",'Таблиця 1'!$J:$J,"BLU-140")+SUMIFS('Таблиця 1'!$K:$K,'Таблиця 1'!$B:$B,$A468,'Таблиця 1'!$I:$I,"F-16",'Таблиця 1'!$J:$J,"BLU-140")+SUMIFS('Таблиця 1'!$K:$K,'Таблиця 1'!$B:$B,$A468,'Таблиця 1'!$I:$I,"МіГ-29",'Таблиця 1'!$J:$J,"BLU-140")+SUMIFS('Таблиця 1'!$K:$K,'Таблиця 1'!$B:$B,$A468,'Таблиця 1'!$I:$I,"Су-25",'Таблиця 1'!$J:$J,"BLU-140")+SUMIFS('Таблиця 1'!$K:$K,'Таблиця 1'!$B:$B,$A468,'Таблиця 1'!$I:$I,"Су-27",'Таблиця 1'!$J:$J,"BLU-140"))</f>
        <v/>
      </c>
      <c r="L468">
        <f>IF($A468="","",SUMIFS('Таблиця 1'!$K:$K,'Таблиця 1'!$B:$B,$A468,'Таблиця 1'!$I:$I,"Mirage",'Таблиця 1'!$J:$J,"GBU-65")+SUMIFS('Таблиця 1'!$K:$K,'Таблиця 1'!$B:$B,$A468,'Таблиця 1'!$I:$I,"F-16",'Таблиця 1'!$J:$J,"GBU-65")+SUMIFS('Таблиця 1'!$K:$K,'Таблиця 1'!$B:$B,$A468,'Таблиця 1'!$I:$I,"МіГ-29",'Таблиця 1'!$J:$J,"GBU-65")+SUMIFS('Таблиця 1'!$K:$K,'Таблиця 1'!$B:$B,$A468,'Таблиця 1'!$I:$I,"Су-25",'Таблиця 1'!$J:$J,"GBU-65")+SUMIFS('Таблиця 1'!$K:$K,'Таблиця 1'!$B:$B,$A468,'Таблиця 1'!$I:$I,"Су-27",'Таблиця 1'!$J:$J,"GBU-65"))</f>
        <v/>
      </c>
      <c r="M468">
        <f>IF($A468="","",SUMIFS('Таблиця 1'!$K:$K,'Таблиця 1'!$B:$B,$A468,'Таблиця 1'!$I:$I,"Mirage",'Таблиця 1'!$J:$J,"GBU-62")+SUMIFS('Таблиця 1'!$K:$K,'Таблиця 1'!$B:$B,$A468,'Таблиця 1'!$I:$I,"F-16",'Таблиця 1'!$J:$J,"GBU-62")+SUMIFS('Таблиця 1'!$K:$K,'Таблиця 1'!$B:$B,$A468,'Таблиця 1'!$I:$I,"МіГ-29",'Таблиця 1'!$J:$J,"GBU-62")+SUMIFS('Таблиця 1'!$K:$K,'Таблиця 1'!$B:$B,$A468,'Таблиця 1'!$I:$I,"Су-25",'Таблиця 1'!$J:$J,"GBU-62")+SUMIFS('Таблиця 1'!$K:$K,'Таблиця 1'!$B:$B,$A468,'Таблиця 1'!$I:$I,"Су-27",'Таблиця 1'!$J:$J,"GBU-62"))</f>
        <v/>
      </c>
      <c r="N468">
        <f>IF($A468="","",SUMIFS('Таблиця 1'!$K:$K,'Таблиця 1'!$B:$B,$A468,'Таблиця 1'!$I:$I,"Mirage",'Таблиця 1'!$J:$J,"GBU-64")+SUMIFS('Таблиця 1'!$K:$K,'Таблиця 1'!$B:$B,$A468,'Таблиця 1'!$I:$I,"F-16",'Таблиця 1'!$J:$J,"GBU-64")+SUMIFS('Таблиця 1'!$K:$K,'Таблиця 1'!$B:$B,$A468,'Таблиця 1'!$I:$I,"МіГ-29",'Таблиця 1'!$J:$J,"GBU-64")+SUMIFS('Таблиця 1'!$K:$K,'Таблиця 1'!$B:$B,$A468,'Таблиця 1'!$I:$I,"Су-25",'Таблиця 1'!$J:$J,"GBU-64")+SUMIFS('Таблиця 1'!$K:$K,'Таблиця 1'!$B:$B,$A468,'Таблиця 1'!$I:$I,"Су-27",'Таблиця 1'!$J:$J,"GBU-64"))</f>
        <v/>
      </c>
      <c r="O468">
        <f>IF($A468="","",SUMIFS('Таблиця 1'!$K:$K,'Таблиця 1'!$B:$B,$A468,'Таблиця 1'!$I:$I,"Mirage",'Таблиця 1'!$J:$J,"C-13")+SUMIFS('Таблиця 1'!$K:$K,'Таблиця 1'!$B:$B,$A468,'Таблиця 1'!$I:$I,"F-16",'Таблиця 1'!$J:$J,"C-13")+SUMIFS('Таблиця 1'!$K:$K,'Таблиця 1'!$B:$B,$A468,'Таблиця 1'!$I:$I,"МіГ-29",'Таблиця 1'!$J:$J,"C-13")+SUMIFS('Таблиця 1'!$K:$K,'Таблиця 1'!$B:$B,$A468,'Таблиця 1'!$I:$I,"Су-25",'Таблиця 1'!$J:$J,"C-13")+SUMIFS('Таблиця 1'!$K:$K,'Таблиця 1'!$B:$B,$A468,'Таблиця 1'!$I:$I,"Су-27",'Таблиця 1'!$J:$J,"C-13"))</f>
        <v/>
      </c>
      <c r="P468">
        <f>IF($A468="","",SUMIFS('Таблиця 1'!$K:$K,'Таблиця 1'!$B:$B,$A468,'Таблиця 1'!$I:$I,"Mirage",'Таблиця 1'!$J:$J,"MK-32")+SUMIFS('Таблиця 1'!$K:$K,'Таблиця 1'!$B:$B,$A468,'Таблиця 1'!$I:$I,"F-16",'Таблиця 1'!$J:$J,"MK-32")+SUMIFS('Таблиця 1'!$K:$K,'Таблиця 1'!$B:$B,$A468,'Таблиця 1'!$I:$I,"МіГ-29",'Таблиця 1'!$J:$J,"MK-32")+SUMIFS('Таблиця 1'!$K:$K,'Таблиця 1'!$B:$B,$A468,'Таблиця 1'!$I:$I,"Су-25",'Таблиця 1'!$J:$J,"MK-32")+SUMIFS('Таблиця 1'!$K:$K,'Таблиця 1'!$B:$B,$A468,'Таблиця 1'!$I:$I,"Су-27",'Таблиця 1'!$J:$J,"MK-32"))</f>
        <v/>
      </c>
      <c r="Q468">
        <f>IF($A468="","",SUMIFS('Таблиця 1'!$K:$K,'Таблиця 1'!$B:$B,$A468,'Таблиця 1'!$I:$I,"Mirage",'Таблиця 1'!$J:$J,"MK-24")+SUMIFS('Таблиця 1'!$K:$K,'Таблиця 1'!$B:$B,$A468,'Таблиця 1'!$I:$I,"F-16",'Таблиця 1'!$J:$J,"MK-24")+SUMIFS('Таблиця 1'!$K:$K,'Таблиця 1'!$B:$B,$A468,'Таблиця 1'!$I:$I,"МіГ-29",'Таблиця 1'!$J:$J,"MK-24")+SUMIFS('Таблиця 1'!$K:$K,'Таблиця 1'!$B:$B,$A468,'Таблиця 1'!$I:$I,"Су-25",'Таблиця 1'!$J:$J,"MK-24")+SUMIFS('Таблиця 1'!$K:$K,'Таблиця 1'!$B:$B,$A468,'Таблиця 1'!$I:$I,"Су-27",'Таблиця 1'!$J:$J,"MK-24"))</f>
        <v/>
      </c>
      <c r="R468">
        <f>IF($A468="","",COUNTIFS('Таблиця 1'!$B:$B,$A468,'Таблиця 1'!$I:$I,"Mirage",'Таблиця 1'!$L:$L,"Уражено")+COUNTIFS('Таблиця 1'!$B:$B,$A468,'Таблиця 1'!$I:$I,"F-16",'Таблиця 1'!$L:$L,"Уражено")+COUNTIFS('Таблиця 1'!$B:$B,$A468,'Таблиця 1'!$I:$I,"МіГ-29",'Таблиця 1'!$L:$L,"Уражено")+COUNTIFS('Таблиця 1'!$B:$B,$A468,'Таблиця 1'!$I:$I,"Су-25",'Таблиця 1'!$L:$L,"Уражено")+COUNTIFS('Таблиця 1'!$B:$B,$A468,'Таблиця 1'!$I:$I,"Су-27",'Таблиця 1'!$L:$L,"Уражено"))</f>
        <v/>
      </c>
      <c r="S468">
        <f>IF($A468="","",COUNTIFS('Таблиця 1'!$B:$B,$A468,'Таблиця 1'!$I:$I,"Mirage",'Таблиця 1'!$L:$L,"НЕ уражено")+COUNTIFS('Таблиця 1'!$B:$B,$A468,'Таблиця 1'!$I:$I,"F-16",'Таблиця 1'!$L:$L,"НЕ уражено")+COUNTIFS('Таблиця 1'!$B:$B,$A468,'Таблиця 1'!$I:$I,"МіГ-29",'Таблиця 1'!$L:$L,"НЕ уражено")+COUNTIFS('Таблиця 1'!$B:$B,$A468,'Таблиця 1'!$I:$I,"Су-25",'Таблиця 1'!$L:$L,"НЕ уражено")+COUNTIFS('Таблиця 1'!$B:$B,$A468,'Таблиця 1'!$I:$I,"Су-27",'Таблиця 1'!$L:$L,"НЕ уражено"))</f>
        <v/>
      </c>
      <c r="T468">
        <f>IF($A468="","",COUNTIFS('Таблиця 1'!$B:$B,$A468,'Таблиця 1'!$I:$I,"Mirage",'Таблиця 1'!$L:$L,"Дорозвідується")+COUNTIFS('Таблиця 1'!$B:$B,$A468,'Таблиця 1'!$I:$I,"F-16",'Таблиця 1'!$L:$L,"Дорозвідується")+COUNTIFS('Таблиця 1'!$B:$B,$A468,'Таблиця 1'!$I:$I,"МіГ-29",'Таблиця 1'!$L:$L,"Дорозвідується")+COUNTIFS('Таблиця 1'!$B:$B,$A468,'Таблиця 1'!$I:$I,"Су-25",'Таблиця 1'!$L:$L,"Дорозвідується")+COUNTIFS('Таблиця 1'!$B:$B,$A468,'Таблиця 1'!$I:$I,"Су-27",'Таблиця 1'!$L:$L,"Дорозвідується"))</f>
        <v/>
      </c>
    </row>
    <row r="469">
      <c r="A469" s="273">
        <f>IF(A468="","",IF(A468+1&gt;MAX('Таблиця 1'!$B:$B),"",A468+1))</f>
        <v/>
      </c>
      <c r="B469">
        <f>IF($A469="","",COUNTIFS('Таблиця 1'!$B:$B,$A469,'Таблиця 1'!$I:$I,"Mirage")+COUNTIFS('Таблиця 1'!$B:$B,$A469,'Таблиця 1'!$I:$I,"F-16")+COUNTIFS('Таблиця 1'!$B:$B,$A469,'Таблиця 1'!$I:$I,"МіГ-29")+COUNTIFS('Таблиця 1'!$B:$B,$A469,'Таблиця 1'!$I:$I,"Су-25")+COUNTIFS('Таблиця 1'!$B:$B,$A469,'Таблиця 1'!$I:$I,"Су-27"))</f>
        <v/>
      </c>
      <c r="C469">
        <f>IF($A469="","",COUNTIFS('Таблиця 1'!$B:$B,$A469,'Таблиця 1'!$I:$I,"Mirage"))</f>
        <v/>
      </c>
      <c r="D469">
        <f>IF($A469="","",COUNTIFS('Таблиця 1'!$B:$B,$A469,'Таблиця 1'!$I:$I,"F-16"))</f>
        <v/>
      </c>
      <c r="E469">
        <f>IF($A469="","",COUNTIFS('Таблиця 1'!$B:$B,$A469,'Таблиця 1'!$I:$I,"МіГ-29"))</f>
        <v/>
      </c>
      <c r="F469">
        <f>IF($A469="","",COUNTIFS('Таблиця 1'!$B:$B,$A469,'Таблиця 1'!$I:$I,"Су-25"))</f>
        <v/>
      </c>
      <c r="G469">
        <f>IF($A469="","",COUNTIFS('Таблиця 1'!$B:$B,$A469,'Таблиця 1'!$I:$I,"Су-27"))</f>
        <v/>
      </c>
      <c r="H469">
        <f>IF($A469="","",SUMIFS('Таблиця 1'!$K:$K,'Таблиця 1'!$B:$B,$A469,'Таблиця 1'!$I:$I,"Mirage",'Таблиця 1'!$J:$J,"AGM-88")+SUMIFS('Таблиця 1'!$K:$K,'Таблиця 1'!$B:$B,$A469,'Таблиця 1'!$I:$I,"F-16",'Таблиця 1'!$J:$J,"AGM-88")+SUMIFS('Таблиця 1'!$K:$K,'Таблиця 1'!$B:$B,$A469,'Таблиця 1'!$I:$I,"МіГ-29",'Таблиця 1'!$J:$J,"AGM-88")+SUMIFS('Таблиця 1'!$K:$K,'Таблиця 1'!$B:$B,$A469,'Таблиця 1'!$I:$I,"Су-25",'Таблиця 1'!$J:$J,"AGM-88")+SUMIFS('Таблиця 1'!$K:$K,'Таблиця 1'!$B:$B,$A469,'Таблиця 1'!$I:$I,"Су-27",'Таблиця 1'!$J:$J,"AGM-88"))</f>
        <v/>
      </c>
      <c r="I469">
        <f>IF($A469="","",SUMIFS('Таблиця 1'!$K:$K,'Таблиця 1'!$B:$B,$A469,'Таблиця 1'!$I:$I,"Mirage",'Таблиця 1'!$J:$J,"AASM-250")+SUMIFS('Таблиця 1'!$K:$K,'Таблиця 1'!$B:$B,$A469,'Таблиця 1'!$I:$I,"F-16",'Таблиця 1'!$J:$J,"AASM-250")+SUMIFS('Таблиця 1'!$K:$K,'Таблиця 1'!$B:$B,$A469,'Таблиця 1'!$I:$I,"МіГ-29",'Таблиця 1'!$J:$J,"AASM-250")+SUMIFS('Таблиця 1'!$K:$K,'Таблиця 1'!$B:$B,$A469,'Таблиця 1'!$I:$I,"Су-25",'Таблиця 1'!$J:$J,"AASM-250")+SUMIFS('Таблиця 1'!$K:$K,'Таблиця 1'!$B:$B,$A469,'Таблиця 1'!$I:$I,"Су-27",'Таблиця 1'!$J:$J,"AASM-250"))</f>
        <v/>
      </c>
      <c r="J469">
        <f>IF($A469="","",SUMIFS('Таблиця 1'!$K:$K,'Таблиця 1'!$B:$B,$A469,'Таблиця 1'!$I:$I,"Mirage",'Таблиця 1'!$J:$J,"GBU-39")+SUMIFS('Таблиця 1'!$K:$K,'Таблиця 1'!$B:$B,$A469,'Таблиця 1'!$I:$I,"F-16",'Таблиця 1'!$J:$J,"GBU-39")+SUMIFS('Таблиця 1'!$K:$K,'Таблиця 1'!$B:$B,$A469,'Таблиця 1'!$I:$I,"МіГ-29",'Таблиця 1'!$J:$J,"GBU-39")+SUMIFS('Таблиця 1'!$K:$K,'Таблиця 1'!$B:$B,$A469,'Таблиця 1'!$I:$I,"Су-25",'Таблиця 1'!$J:$J,"GBU-39")+SUMIFS('Таблиця 1'!$K:$K,'Таблиця 1'!$B:$B,$A469,'Таблиця 1'!$I:$I,"Су-27",'Таблиця 1'!$J:$J,"GBU-39"))</f>
        <v/>
      </c>
      <c r="K469">
        <f>IF($A469="","",SUMIFS('Таблиця 1'!$K:$K,'Таблиця 1'!$B:$B,$A469,'Таблиця 1'!$I:$I,"Mirage",'Таблиця 1'!$J:$J,"BLU-140")+SUMIFS('Таблиця 1'!$K:$K,'Таблиця 1'!$B:$B,$A469,'Таблиця 1'!$I:$I,"F-16",'Таблиця 1'!$J:$J,"BLU-140")+SUMIFS('Таблиця 1'!$K:$K,'Таблиця 1'!$B:$B,$A469,'Таблиця 1'!$I:$I,"МіГ-29",'Таблиця 1'!$J:$J,"BLU-140")+SUMIFS('Таблиця 1'!$K:$K,'Таблиця 1'!$B:$B,$A469,'Таблиця 1'!$I:$I,"Су-25",'Таблиця 1'!$J:$J,"BLU-140")+SUMIFS('Таблиця 1'!$K:$K,'Таблиця 1'!$B:$B,$A469,'Таблиця 1'!$I:$I,"Су-27",'Таблиця 1'!$J:$J,"BLU-140"))</f>
        <v/>
      </c>
      <c r="L469">
        <f>IF($A469="","",SUMIFS('Таблиця 1'!$K:$K,'Таблиця 1'!$B:$B,$A469,'Таблиця 1'!$I:$I,"Mirage",'Таблиця 1'!$J:$J,"GBU-65")+SUMIFS('Таблиця 1'!$K:$K,'Таблиця 1'!$B:$B,$A469,'Таблиця 1'!$I:$I,"F-16",'Таблиця 1'!$J:$J,"GBU-65")+SUMIFS('Таблиця 1'!$K:$K,'Таблиця 1'!$B:$B,$A469,'Таблиця 1'!$I:$I,"МіГ-29",'Таблиця 1'!$J:$J,"GBU-65")+SUMIFS('Таблиця 1'!$K:$K,'Таблиця 1'!$B:$B,$A469,'Таблиця 1'!$I:$I,"Су-25",'Таблиця 1'!$J:$J,"GBU-65")+SUMIFS('Таблиця 1'!$K:$K,'Таблиця 1'!$B:$B,$A469,'Таблиця 1'!$I:$I,"Су-27",'Таблиця 1'!$J:$J,"GBU-65"))</f>
        <v/>
      </c>
      <c r="M469">
        <f>IF($A469="","",SUMIFS('Таблиця 1'!$K:$K,'Таблиця 1'!$B:$B,$A469,'Таблиця 1'!$I:$I,"Mirage",'Таблиця 1'!$J:$J,"GBU-62")+SUMIFS('Таблиця 1'!$K:$K,'Таблиця 1'!$B:$B,$A469,'Таблиця 1'!$I:$I,"F-16",'Таблиця 1'!$J:$J,"GBU-62")+SUMIFS('Таблиця 1'!$K:$K,'Таблиця 1'!$B:$B,$A469,'Таблиця 1'!$I:$I,"МіГ-29",'Таблиця 1'!$J:$J,"GBU-62")+SUMIFS('Таблиця 1'!$K:$K,'Таблиця 1'!$B:$B,$A469,'Таблиця 1'!$I:$I,"Су-25",'Таблиця 1'!$J:$J,"GBU-62")+SUMIFS('Таблиця 1'!$K:$K,'Таблиця 1'!$B:$B,$A469,'Таблиця 1'!$I:$I,"Су-27",'Таблиця 1'!$J:$J,"GBU-62"))</f>
        <v/>
      </c>
      <c r="N469">
        <f>IF($A469="","",SUMIFS('Таблиця 1'!$K:$K,'Таблиця 1'!$B:$B,$A469,'Таблиця 1'!$I:$I,"Mirage",'Таблиця 1'!$J:$J,"GBU-64")+SUMIFS('Таблиця 1'!$K:$K,'Таблиця 1'!$B:$B,$A469,'Таблиця 1'!$I:$I,"F-16",'Таблиця 1'!$J:$J,"GBU-64")+SUMIFS('Таблиця 1'!$K:$K,'Таблиця 1'!$B:$B,$A469,'Таблиця 1'!$I:$I,"МіГ-29",'Таблиця 1'!$J:$J,"GBU-64")+SUMIFS('Таблиця 1'!$K:$K,'Таблиця 1'!$B:$B,$A469,'Таблиця 1'!$I:$I,"Су-25",'Таблиця 1'!$J:$J,"GBU-64")+SUMIFS('Таблиця 1'!$K:$K,'Таблиця 1'!$B:$B,$A469,'Таблиця 1'!$I:$I,"Су-27",'Таблиця 1'!$J:$J,"GBU-64"))</f>
        <v/>
      </c>
      <c r="O469">
        <f>IF($A469="","",SUMIFS('Таблиця 1'!$K:$K,'Таблиця 1'!$B:$B,$A469,'Таблиця 1'!$I:$I,"Mirage",'Таблиця 1'!$J:$J,"C-13")+SUMIFS('Таблиця 1'!$K:$K,'Таблиця 1'!$B:$B,$A469,'Таблиця 1'!$I:$I,"F-16",'Таблиця 1'!$J:$J,"C-13")+SUMIFS('Таблиця 1'!$K:$K,'Таблиця 1'!$B:$B,$A469,'Таблиця 1'!$I:$I,"МіГ-29",'Таблиця 1'!$J:$J,"C-13")+SUMIFS('Таблиця 1'!$K:$K,'Таблиця 1'!$B:$B,$A469,'Таблиця 1'!$I:$I,"Су-25",'Таблиця 1'!$J:$J,"C-13")+SUMIFS('Таблиця 1'!$K:$K,'Таблиця 1'!$B:$B,$A469,'Таблиця 1'!$I:$I,"Су-27",'Таблиця 1'!$J:$J,"C-13"))</f>
        <v/>
      </c>
      <c r="P469">
        <f>IF($A469="","",SUMIFS('Таблиця 1'!$K:$K,'Таблиця 1'!$B:$B,$A469,'Таблиця 1'!$I:$I,"Mirage",'Таблиця 1'!$J:$J,"MK-32")+SUMIFS('Таблиця 1'!$K:$K,'Таблиця 1'!$B:$B,$A469,'Таблиця 1'!$I:$I,"F-16",'Таблиця 1'!$J:$J,"MK-32")+SUMIFS('Таблиця 1'!$K:$K,'Таблиця 1'!$B:$B,$A469,'Таблиця 1'!$I:$I,"МіГ-29",'Таблиця 1'!$J:$J,"MK-32")+SUMIFS('Таблиця 1'!$K:$K,'Таблиця 1'!$B:$B,$A469,'Таблиця 1'!$I:$I,"Су-25",'Таблиця 1'!$J:$J,"MK-32")+SUMIFS('Таблиця 1'!$K:$K,'Таблиця 1'!$B:$B,$A469,'Таблиця 1'!$I:$I,"Су-27",'Таблиця 1'!$J:$J,"MK-32"))</f>
        <v/>
      </c>
      <c r="Q469">
        <f>IF($A469="","",SUMIFS('Таблиця 1'!$K:$K,'Таблиця 1'!$B:$B,$A469,'Таблиця 1'!$I:$I,"Mirage",'Таблиця 1'!$J:$J,"MK-24")+SUMIFS('Таблиця 1'!$K:$K,'Таблиця 1'!$B:$B,$A469,'Таблиця 1'!$I:$I,"F-16",'Таблиця 1'!$J:$J,"MK-24")+SUMIFS('Таблиця 1'!$K:$K,'Таблиця 1'!$B:$B,$A469,'Таблиця 1'!$I:$I,"МіГ-29",'Таблиця 1'!$J:$J,"MK-24")+SUMIFS('Таблиця 1'!$K:$K,'Таблиця 1'!$B:$B,$A469,'Таблиця 1'!$I:$I,"Су-25",'Таблиця 1'!$J:$J,"MK-24")+SUMIFS('Таблиця 1'!$K:$K,'Таблиця 1'!$B:$B,$A469,'Таблиця 1'!$I:$I,"Су-27",'Таблиця 1'!$J:$J,"MK-24"))</f>
        <v/>
      </c>
      <c r="R469">
        <f>IF($A469="","",COUNTIFS('Таблиця 1'!$B:$B,$A469,'Таблиця 1'!$I:$I,"Mirage",'Таблиця 1'!$L:$L,"Уражено")+COUNTIFS('Таблиця 1'!$B:$B,$A469,'Таблиця 1'!$I:$I,"F-16",'Таблиця 1'!$L:$L,"Уражено")+COUNTIFS('Таблиця 1'!$B:$B,$A469,'Таблиця 1'!$I:$I,"МіГ-29",'Таблиця 1'!$L:$L,"Уражено")+COUNTIFS('Таблиця 1'!$B:$B,$A469,'Таблиця 1'!$I:$I,"Су-25",'Таблиця 1'!$L:$L,"Уражено")+COUNTIFS('Таблиця 1'!$B:$B,$A469,'Таблиця 1'!$I:$I,"Су-27",'Таблиця 1'!$L:$L,"Уражено"))</f>
        <v/>
      </c>
      <c r="S469">
        <f>IF($A469="","",COUNTIFS('Таблиця 1'!$B:$B,$A469,'Таблиця 1'!$I:$I,"Mirage",'Таблиця 1'!$L:$L,"НЕ уражено")+COUNTIFS('Таблиця 1'!$B:$B,$A469,'Таблиця 1'!$I:$I,"F-16",'Таблиця 1'!$L:$L,"НЕ уражено")+COUNTIFS('Таблиця 1'!$B:$B,$A469,'Таблиця 1'!$I:$I,"МіГ-29",'Таблиця 1'!$L:$L,"НЕ уражено")+COUNTIFS('Таблиця 1'!$B:$B,$A469,'Таблиця 1'!$I:$I,"Су-25",'Таблиця 1'!$L:$L,"НЕ уражено")+COUNTIFS('Таблиця 1'!$B:$B,$A469,'Таблиця 1'!$I:$I,"Су-27",'Таблиця 1'!$L:$L,"НЕ уражено"))</f>
        <v/>
      </c>
      <c r="T469">
        <f>IF($A469="","",COUNTIFS('Таблиця 1'!$B:$B,$A469,'Таблиця 1'!$I:$I,"Mirage",'Таблиця 1'!$L:$L,"Дорозвідується")+COUNTIFS('Таблиця 1'!$B:$B,$A469,'Таблиця 1'!$I:$I,"F-16",'Таблиця 1'!$L:$L,"Дорозвідується")+COUNTIFS('Таблиця 1'!$B:$B,$A469,'Таблиця 1'!$I:$I,"МіГ-29",'Таблиця 1'!$L:$L,"Дорозвідується")+COUNTIFS('Таблиця 1'!$B:$B,$A469,'Таблиця 1'!$I:$I,"Су-25",'Таблиця 1'!$L:$L,"Дорозвідується")+COUNTIFS('Таблиця 1'!$B:$B,$A469,'Таблиця 1'!$I:$I,"Су-27",'Таблиця 1'!$L:$L,"Дорозвідується"))</f>
        <v/>
      </c>
    </row>
    <row r="470">
      <c r="A470" s="273">
        <f>IF(A469="","",IF(A469+1&gt;MAX('Таблиця 1'!$B:$B),"",A469+1))</f>
        <v/>
      </c>
      <c r="B470">
        <f>IF($A470="","",COUNTIFS('Таблиця 1'!$B:$B,$A470,'Таблиця 1'!$I:$I,"Mirage")+COUNTIFS('Таблиця 1'!$B:$B,$A470,'Таблиця 1'!$I:$I,"F-16")+COUNTIFS('Таблиця 1'!$B:$B,$A470,'Таблиця 1'!$I:$I,"МіГ-29")+COUNTIFS('Таблиця 1'!$B:$B,$A470,'Таблиця 1'!$I:$I,"Су-25")+COUNTIFS('Таблиця 1'!$B:$B,$A470,'Таблиця 1'!$I:$I,"Су-27"))</f>
        <v/>
      </c>
      <c r="C470">
        <f>IF($A470="","",COUNTIFS('Таблиця 1'!$B:$B,$A470,'Таблиця 1'!$I:$I,"Mirage"))</f>
        <v/>
      </c>
      <c r="D470">
        <f>IF($A470="","",COUNTIFS('Таблиця 1'!$B:$B,$A470,'Таблиця 1'!$I:$I,"F-16"))</f>
        <v/>
      </c>
      <c r="E470">
        <f>IF($A470="","",COUNTIFS('Таблиця 1'!$B:$B,$A470,'Таблиця 1'!$I:$I,"МіГ-29"))</f>
        <v/>
      </c>
      <c r="F470">
        <f>IF($A470="","",COUNTIFS('Таблиця 1'!$B:$B,$A470,'Таблиця 1'!$I:$I,"Су-25"))</f>
        <v/>
      </c>
      <c r="G470">
        <f>IF($A470="","",COUNTIFS('Таблиця 1'!$B:$B,$A470,'Таблиця 1'!$I:$I,"Су-27"))</f>
        <v/>
      </c>
      <c r="H470">
        <f>IF($A470="","",SUMIFS('Таблиця 1'!$K:$K,'Таблиця 1'!$B:$B,$A470,'Таблиця 1'!$I:$I,"Mirage",'Таблиця 1'!$J:$J,"AGM-88")+SUMIFS('Таблиця 1'!$K:$K,'Таблиця 1'!$B:$B,$A470,'Таблиця 1'!$I:$I,"F-16",'Таблиця 1'!$J:$J,"AGM-88")+SUMIFS('Таблиця 1'!$K:$K,'Таблиця 1'!$B:$B,$A470,'Таблиця 1'!$I:$I,"МіГ-29",'Таблиця 1'!$J:$J,"AGM-88")+SUMIFS('Таблиця 1'!$K:$K,'Таблиця 1'!$B:$B,$A470,'Таблиця 1'!$I:$I,"Су-25",'Таблиця 1'!$J:$J,"AGM-88")+SUMIFS('Таблиця 1'!$K:$K,'Таблиця 1'!$B:$B,$A470,'Таблиця 1'!$I:$I,"Су-27",'Таблиця 1'!$J:$J,"AGM-88"))</f>
        <v/>
      </c>
      <c r="I470">
        <f>IF($A470="","",SUMIFS('Таблиця 1'!$K:$K,'Таблиця 1'!$B:$B,$A470,'Таблиця 1'!$I:$I,"Mirage",'Таблиця 1'!$J:$J,"AASM-250")+SUMIFS('Таблиця 1'!$K:$K,'Таблиця 1'!$B:$B,$A470,'Таблиця 1'!$I:$I,"F-16",'Таблиця 1'!$J:$J,"AASM-250")+SUMIFS('Таблиця 1'!$K:$K,'Таблиця 1'!$B:$B,$A470,'Таблиця 1'!$I:$I,"МіГ-29",'Таблиця 1'!$J:$J,"AASM-250")+SUMIFS('Таблиця 1'!$K:$K,'Таблиця 1'!$B:$B,$A470,'Таблиця 1'!$I:$I,"Су-25",'Таблиця 1'!$J:$J,"AASM-250")+SUMIFS('Таблиця 1'!$K:$K,'Таблиця 1'!$B:$B,$A470,'Таблиця 1'!$I:$I,"Су-27",'Таблиця 1'!$J:$J,"AASM-250"))</f>
        <v/>
      </c>
      <c r="J470">
        <f>IF($A470="","",SUMIFS('Таблиця 1'!$K:$K,'Таблиця 1'!$B:$B,$A470,'Таблиця 1'!$I:$I,"Mirage",'Таблиця 1'!$J:$J,"GBU-39")+SUMIFS('Таблиця 1'!$K:$K,'Таблиця 1'!$B:$B,$A470,'Таблиця 1'!$I:$I,"F-16",'Таблиця 1'!$J:$J,"GBU-39")+SUMIFS('Таблиця 1'!$K:$K,'Таблиця 1'!$B:$B,$A470,'Таблиця 1'!$I:$I,"МіГ-29",'Таблиця 1'!$J:$J,"GBU-39")+SUMIFS('Таблиця 1'!$K:$K,'Таблиця 1'!$B:$B,$A470,'Таблиця 1'!$I:$I,"Су-25",'Таблиця 1'!$J:$J,"GBU-39")+SUMIFS('Таблиця 1'!$K:$K,'Таблиця 1'!$B:$B,$A470,'Таблиця 1'!$I:$I,"Су-27",'Таблиця 1'!$J:$J,"GBU-39"))</f>
        <v/>
      </c>
      <c r="K470">
        <f>IF($A470="","",SUMIFS('Таблиця 1'!$K:$K,'Таблиця 1'!$B:$B,$A470,'Таблиця 1'!$I:$I,"Mirage",'Таблиця 1'!$J:$J,"BLU-140")+SUMIFS('Таблиця 1'!$K:$K,'Таблиця 1'!$B:$B,$A470,'Таблиця 1'!$I:$I,"F-16",'Таблиця 1'!$J:$J,"BLU-140")+SUMIFS('Таблиця 1'!$K:$K,'Таблиця 1'!$B:$B,$A470,'Таблиця 1'!$I:$I,"МіГ-29",'Таблиця 1'!$J:$J,"BLU-140")+SUMIFS('Таблиця 1'!$K:$K,'Таблиця 1'!$B:$B,$A470,'Таблиця 1'!$I:$I,"Су-25",'Таблиця 1'!$J:$J,"BLU-140")+SUMIFS('Таблиця 1'!$K:$K,'Таблиця 1'!$B:$B,$A470,'Таблиця 1'!$I:$I,"Су-27",'Таблиця 1'!$J:$J,"BLU-140"))</f>
        <v/>
      </c>
      <c r="L470">
        <f>IF($A470="","",SUMIFS('Таблиця 1'!$K:$K,'Таблиця 1'!$B:$B,$A470,'Таблиця 1'!$I:$I,"Mirage",'Таблиця 1'!$J:$J,"GBU-65")+SUMIFS('Таблиця 1'!$K:$K,'Таблиця 1'!$B:$B,$A470,'Таблиця 1'!$I:$I,"F-16",'Таблиця 1'!$J:$J,"GBU-65")+SUMIFS('Таблиця 1'!$K:$K,'Таблиця 1'!$B:$B,$A470,'Таблиця 1'!$I:$I,"МіГ-29",'Таблиця 1'!$J:$J,"GBU-65")+SUMIFS('Таблиця 1'!$K:$K,'Таблиця 1'!$B:$B,$A470,'Таблиця 1'!$I:$I,"Су-25",'Таблиця 1'!$J:$J,"GBU-65")+SUMIFS('Таблиця 1'!$K:$K,'Таблиця 1'!$B:$B,$A470,'Таблиця 1'!$I:$I,"Су-27",'Таблиця 1'!$J:$J,"GBU-65"))</f>
        <v/>
      </c>
      <c r="M470">
        <f>IF($A470="","",SUMIFS('Таблиця 1'!$K:$K,'Таблиця 1'!$B:$B,$A470,'Таблиця 1'!$I:$I,"Mirage",'Таблиця 1'!$J:$J,"GBU-62")+SUMIFS('Таблиця 1'!$K:$K,'Таблиця 1'!$B:$B,$A470,'Таблиця 1'!$I:$I,"F-16",'Таблиця 1'!$J:$J,"GBU-62")+SUMIFS('Таблиця 1'!$K:$K,'Таблиця 1'!$B:$B,$A470,'Таблиця 1'!$I:$I,"МіГ-29",'Таблиця 1'!$J:$J,"GBU-62")+SUMIFS('Таблиця 1'!$K:$K,'Таблиця 1'!$B:$B,$A470,'Таблиця 1'!$I:$I,"Су-25",'Таблиця 1'!$J:$J,"GBU-62")+SUMIFS('Таблиця 1'!$K:$K,'Таблиця 1'!$B:$B,$A470,'Таблиця 1'!$I:$I,"Су-27",'Таблиця 1'!$J:$J,"GBU-62"))</f>
        <v/>
      </c>
      <c r="N470">
        <f>IF($A470="","",SUMIFS('Таблиця 1'!$K:$K,'Таблиця 1'!$B:$B,$A470,'Таблиця 1'!$I:$I,"Mirage",'Таблиця 1'!$J:$J,"GBU-64")+SUMIFS('Таблиця 1'!$K:$K,'Таблиця 1'!$B:$B,$A470,'Таблиця 1'!$I:$I,"F-16",'Таблиця 1'!$J:$J,"GBU-64")+SUMIFS('Таблиця 1'!$K:$K,'Таблиця 1'!$B:$B,$A470,'Таблиця 1'!$I:$I,"МіГ-29",'Таблиця 1'!$J:$J,"GBU-64")+SUMIFS('Таблиця 1'!$K:$K,'Таблиця 1'!$B:$B,$A470,'Таблиця 1'!$I:$I,"Су-25",'Таблиця 1'!$J:$J,"GBU-64")+SUMIFS('Таблиця 1'!$K:$K,'Таблиця 1'!$B:$B,$A470,'Таблиця 1'!$I:$I,"Су-27",'Таблиця 1'!$J:$J,"GBU-64"))</f>
        <v/>
      </c>
      <c r="O470">
        <f>IF($A470="","",SUMIFS('Таблиця 1'!$K:$K,'Таблиця 1'!$B:$B,$A470,'Таблиця 1'!$I:$I,"Mirage",'Таблиця 1'!$J:$J,"C-13")+SUMIFS('Таблиця 1'!$K:$K,'Таблиця 1'!$B:$B,$A470,'Таблиця 1'!$I:$I,"F-16",'Таблиця 1'!$J:$J,"C-13")+SUMIFS('Таблиця 1'!$K:$K,'Таблиця 1'!$B:$B,$A470,'Таблиця 1'!$I:$I,"МіГ-29",'Таблиця 1'!$J:$J,"C-13")+SUMIFS('Таблиця 1'!$K:$K,'Таблиця 1'!$B:$B,$A470,'Таблиця 1'!$I:$I,"Су-25",'Таблиця 1'!$J:$J,"C-13")+SUMIFS('Таблиця 1'!$K:$K,'Таблиця 1'!$B:$B,$A470,'Таблиця 1'!$I:$I,"Су-27",'Таблиця 1'!$J:$J,"C-13"))</f>
        <v/>
      </c>
      <c r="P470">
        <f>IF($A470="","",SUMIFS('Таблиця 1'!$K:$K,'Таблиця 1'!$B:$B,$A470,'Таблиця 1'!$I:$I,"Mirage",'Таблиця 1'!$J:$J,"MK-32")+SUMIFS('Таблиця 1'!$K:$K,'Таблиця 1'!$B:$B,$A470,'Таблиця 1'!$I:$I,"F-16",'Таблиця 1'!$J:$J,"MK-32")+SUMIFS('Таблиця 1'!$K:$K,'Таблиця 1'!$B:$B,$A470,'Таблиця 1'!$I:$I,"МіГ-29",'Таблиця 1'!$J:$J,"MK-32")+SUMIFS('Таблиця 1'!$K:$K,'Таблиця 1'!$B:$B,$A470,'Таблиця 1'!$I:$I,"Су-25",'Таблиця 1'!$J:$J,"MK-32")+SUMIFS('Таблиця 1'!$K:$K,'Таблиця 1'!$B:$B,$A470,'Таблиця 1'!$I:$I,"Су-27",'Таблиця 1'!$J:$J,"MK-32"))</f>
        <v/>
      </c>
      <c r="Q470">
        <f>IF($A470="","",SUMIFS('Таблиця 1'!$K:$K,'Таблиця 1'!$B:$B,$A470,'Таблиця 1'!$I:$I,"Mirage",'Таблиця 1'!$J:$J,"MK-24")+SUMIFS('Таблиця 1'!$K:$K,'Таблиця 1'!$B:$B,$A470,'Таблиця 1'!$I:$I,"F-16",'Таблиця 1'!$J:$J,"MK-24")+SUMIFS('Таблиця 1'!$K:$K,'Таблиця 1'!$B:$B,$A470,'Таблиця 1'!$I:$I,"МіГ-29",'Таблиця 1'!$J:$J,"MK-24")+SUMIFS('Таблиця 1'!$K:$K,'Таблиця 1'!$B:$B,$A470,'Таблиця 1'!$I:$I,"Су-25",'Таблиця 1'!$J:$J,"MK-24")+SUMIFS('Таблиця 1'!$K:$K,'Таблиця 1'!$B:$B,$A470,'Таблиця 1'!$I:$I,"Су-27",'Таблиця 1'!$J:$J,"MK-24"))</f>
        <v/>
      </c>
      <c r="R470">
        <f>IF($A470="","",COUNTIFS('Таблиця 1'!$B:$B,$A470,'Таблиця 1'!$I:$I,"Mirage",'Таблиця 1'!$L:$L,"Уражено")+COUNTIFS('Таблиця 1'!$B:$B,$A470,'Таблиця 1'!$I:$I,"F-16",'Таблиця 1'!$L:$L,"Уражено")+COUNTIFS('Таблиця 1'!$B:$B,$A470,'Таблиця 1'!$I:$I,"МіГ-29",'Таблиця 1'!$L:$L,"Уражено")+COUNTIFS('Таблиця 1'!$B:$B,$A470,'Таблиця 1'!$I:$I,"Су-25",'Таблиця 1'!$L:$L,"Уражено")+COUNTIFS('Таблиця 1'!$B:$B,$A470,'Таблиця 1'!$I:$I,"Су-27",'Таблиця 1'!$L:$L,"Уражено"))</f>
        <v/>
      </c>
      <c r="S470">
        <f>IF($A470="","",COUNTIFS('Таблиця 1'!$B:$B,$A470,'Таблиця 1'!$I:$I,"Mirage",'Таблиця 1'!$L:$L,"НЕ уражено")+COUNTIFS('Таблиця 1'!$B:$B,$A470,'Таблиця 1'!$I:$I,"F-16",'Таблиця 1'!$L:$L,"НЕ уражено")+COUNTIFS('Таблиця 1'!$B:$B,$A470,'Таблиця 1'!$I:$I,"МіГ-29",'Таблиця 1'!$L:$L,"НЕ уражено")+COUNTIFS('Таблиця 1'!$B:$B,$A470,'Таблиця 1'!$I:$I,"Су-25",'Таблиця 1'!$L:$L,"НЕ уражено")+COUNTIFS('Таблиця 1'!$B:$B,$A470,'Таблиця 1'!$I:$I,"Су-27",'Таблиця 1'!$L:$L,"НЕ уражено"))</f>
        <v/>
      </c>
      <c r="T470">
        <f>IF($A470="","",COUNTIFS('Таблиця 1'!$B:$B,$A470,'Таблиця 1'!$I:$I,"Mirage",'Таблиця 1'!$L:$L,"Дорозвідується")+COUNTIFS('Таблиця 1'!$B:$B,$A470,'Таблиця 1'!$I:$I,"F-16",'Таблиця 1'!$L:$L,"Дорозвідується")+COUNTIFS('Таблиця 1'!$B:$B,$A470,'Таблиця 1'!$I:$I,"МіГ-29",'Таблиця 1'!$L:$L,"Дорозвідується")+COUNTIFS('Таблиця 1'!$B:$B,$A470,'Таблиця 1'!$I:$I,"Су-25",'Таблиця 1'!$L:$L,"Дорозвідується")+COUNTIFS('Таблиця 1'!$B:$B,$A470,'Таблиця 1'!$I:$I,"Су-27",'Таблиця 1'!$L:$L,"Дорозвідується"))</f>
        <v/>
      </c>
    </row>
    <row r="471">
      <c r="A471" s="273">
        <f>IF(A470="","",IF(A470+1&gt;MAX('Таблиця 1'!$B:$B),"",A470+1))</f>
        <v/>
      </c>
      <c r="B471">
        <f>IF($A471="","",COUNTIFS('Таблиця 1'!$B:$B,$A471,'Таблиця 1'!$I:$I,"Mirage")+COUNTIFS('Таблиця 1'!$B:$B,$A471,'Таблиця 1'!$I:$I,"F-16")+COUNTIFS('Таблиця 1'!$B:$B,$A471,'Таблиця 1'!$I:$I,"МіГ-29")+COUNTIFS('Таблиця 1'!$B:$B,$A471,'Таблиця 1'!$I:$I,"Су-25")+COUNTIFS('Таблиця 1'!$B:$B,$A471,'Таблиця 1'!$I:$I,"Су-27"))</f>
        <v/>
      </c>
      <c r="C471">
        <f>IF($A471="","",COUNTIFS('Таблиця 1'!$B:$B,$A471,'Таблиця 1'!$I:$I,"Mirage"))</f>
        <v/>
      </c>
      <c r="D471">
        <f>IF($A471="","",COUNTIFS('Таблиця 1'!$B:$B,$A471,'Таблиця 1'!$I:$I,"F-16"))</f>
        <v/>
      </c>
      <c r="E471">
        <f>IF($A471="","",COUNTIFS('Таблиця 1'!$B:$B,$A471,'Таблиця 1'!$I:$I,"МіГ-29"))</f>
        <v/>
      </c>
      <c r="F471">
        <f>IF($A471="","",COUNTIFS('Таблиця 1'!$B:$B,$A471,'Таблиця 1'!$I:$I,"Су-25"))</f>
        <v/>
      </c>
      <c r="G471">
        <f>IF($A471="","",COUNTIFS('Таблиця 1'!$B:$B,$A471,'Таблиця 1'!$I:$I,"Су-27"))</f>
        <v/>
      </c>
      <c r="H471">
        <f>IF($A471="","",SUMIFS('Таблиця 1'!$K:$K,'Таблиця 1'!$B:$B,$A471,'Таблиця 1'!$I:$I,"Mirage",'Таблиця 1'!$J:$J,"AGM-88")+SUMIFS('Таблиця 1'!$K:$K,'Таблиця 1'!$B:$B,$A471,'Таблиця 1'!$I:$I,"F-16",'Таблиця 1'!$J:$J,"AGM-88")+SUMIFS('Таблиця 1'!$K:$K,'Таблиця 1'!$B:$B,$A471,'Таблиця 1'!$I:$I,"МіГ-29",'Таблиця 1'!$J:$J,"AGM-88")+SUMIFS('Таблиця 1'!$K:$K,'Таблиця 1'!$B:$B,$A471,'Таблиця 1'!$I:$I,"Су-25",'Таблиця 1'!$J:$J,"AGM-88")+SUMIFS('Таблиця 1'!$K:$K,'Таблиця 1'!$B:$B,$A471,'Таблиця 1'!$I:$I,"Су-27",'Таблиця 1'!$J:$J,"AGM-88"))</f>
        <v/>
      </c>
      <c r="I471">
        <f>IF($A471="","",SUMIFS('Таблиця 1'!$K:$K,'Таблиця 1'!$B:$B,$A471,'Таблиця 1'!$I:$I,"Mirage",'Таблиця 1'!$J:$J,"AASM-250")+SUMIFS('Таблиця 1'!$K:$K,'Таблиця 1'!$B:$B,$A471,'Таблиця 1'!$I:$I,"F-16",'Таблиця 1'!$J:$J,"AASM-250")+SUMIFS('Таблиця 1'!$K:$K,'Таблиця 1'!$B:$B,$A471,'Таблиця 1'!$I:$I,"МіГ-29",'Таблиця 1'!$J:$J,"AASM-250")+SUMIFS('Таблиця 1'!$K:$K,'Таблиця 1'!$B:$B,$A471,'Таблиця 1'!$I:$I,"Су-25",'Таблиця 1'!$J:$J,"AASM-250")+SUMIFS('Таблиця 1'!$K:$K,'Таблиця 1'!$B:$B,$A471,'Таблиця 1'!$I:$I,"Су-27",'Таблиця 1'!$J:$J,"AASM-250"))</f>
        <v/>
      </c>
      <c r="J471">
        <f>IF($A471="","",SUMIFS('Таблиця 1'!$K:$K,'Таблиця 1'!$B:$B,$A471,'Таблиця 1'!$I:$I,"Mirage",'Таблиця 1'!$J:$J,"GBU-39")+SUMIFS('Таблиця 1'!$K:$K,'Таблиця 1'!$B:$B,$A471,'Таблиця 1'!$I:$I,"F-16",'Таблиця 1'!$J:$J,"GBU-39")+SUMIFS('Таблиця 1'!$K:$K,'Таблиця 1'!$B:$B,$A471,'Таблиця 1'!$I:$I,"МіГ-29",'Таблиця 1'!$J:$J,"GBU-39")+SUMIFS('Таблиця 1'!$K:$K,'Таблиця 1'!$B:$B,$A471,'Таблиця 1'!$I:$I,"Су-25",'Таблиця 1'!$J:$J,"GBU-39")+SUMIFS('Таблиця 1'!$K:$K,'Таблиця 1'!$B:$B,$A471,'Таблиця 1'!$I:$I,"Су-27",'Таблиця 1'!$J:$J,"GBU-39"))</f>
        <v/>
      </c>
      <c r="K471">
        <f>IF($A471="","",SUMIFS('Таблиця 1'!$K:$K,'Таблиця 1'!$B:$B,$A471,'Таблиця 1'!$I:$I,"Mirage",'Таблиця 1'!$J:$J,"BLU-140")+SUMIFS('Таблиця 1'!$K:$K,'Таблиця 1'!$B:$B,$A471,'Таблиця 1'!$I:$I,"F-16",'Таблиця 1'!$J:$J,"BLU-140")+SUMIFS('Таблиця 1'!$K:$K,'Таблиця 1'!$B:$B,$A471,'Таблиця 1'!$I:$I,"МіГ-29",'Таблиця 1'!$J:$J,"BLU-140")+SUMIFS('Таблиця 1'!$K:$K,'Таблиця 1'!$B:$B,$A471,'Таблиця 1'!$I:$I,"Су-25",'Таблиця 1'!$J:$J,"BLU-140")+SUMIFS('Таблиця 1'!$K:$K,'Таблиця 1'!$B:$B,$A471,'Таблиця 1'!$I:$I,"Су-27",'Таблиця 1'!$J:$J,"BLU-140"))</f>
        <v/>
      </c>
      <c r="L471">
        <f>IF($A471="","",SUMIFS('Таблиця 1'!$K:$K,'Таблиця 1'!$B:$B,$A471,'Таблиця 1'!$I:$I,"Mirage",'Таблиця 1'!$J:$J,"GBU-65")+SUMIFS('Таблиця 1'!$K:$K,'Таблиця 1'!$B:$B,$A471,'Таблиця 1'!$I:$I,"F-16",'Таблиця 1'!$J:$J,"GBU-65")+SUMIFS('Таблиця 1'!$K:$K,'Таблиця 1'!$B:$B,$A471,'Таблиця 1'!$I:$I,"МіГ-29",'Таблиця 1'!$J:$J,"GBU-65")+SUMIFS('Таблиця 1'!$K:$K,'Таблиця 1'!$B:$B,$A471,'Таблиця 1'!$I:$I,"Су-25",'Таблиця 1'!$J:$J,"GBU-65")+SUMIFS('Таблиця 1'!$K:$K,'Таблиця 1'!$B:$B,$A471,'Таблиця 1'!$I:$I,"Су-27",'Таблиця 1'!$J:$J,"GBU-65"))</f>
        <v/>
      </c>
      <c r="M471">
        <f>IF($A471="","",SUMIFS('Таблиця 1'!$K:$K,'Таблиця 1'!$B:$B,$A471,'Таблиця 1'!$I:$I,"Mirage",'Таблиця 1'!$J:$J,"GBU-62")+SUMIFS('Таблиця 1'!$K:$K,'Таблиця 1'!$B:$B,$A471,'Таблиця 1'!$I:$I,"F-16",'Таблиця 1'!$J:$J,"GBU-62")+SUMIFS('Таблиця 1'!$K:$K,'Таблиця 1'!$B:$B,$A471,'Таблиця 1'!$I:$I,"МіГ-29",'Таблиця 1'!$J:$J,"GBU-62")+SUMIFS('Таблиця 1'!$K:$K,'Таблиця 1'!$B:$B,$A471,'Таблиця 1'!$I:$I,"Су-25",'Таблиця 1'!$J:$J,"GBU-62")+SUMIFS('Таблиця 1'!$K:$K,'Таблиця 1'!$B:$B,$A471,'Таблиця 1'!$I:$I,"Су-27",'Таблиця 1'!$J:$J,"GBU-62"))</f>
        <v/>
      </c>
      <c r="N471">
        <f>IF($A471="","",SUMIFS('Таблиця 1'!$K:$K,'Таблиця 1'!$B:$B,$A471,'Таблиця 1'!$I:$I,"Mirage",'Таблиця 1'!$J:$J,"GBU-64")+SUMIFS('Таблиця 1'!$K:$K,'Таблиця 1'!$B:$B,$A471,'Таблиця 1'!$I:$I,"F-16",'Таблиця 1'!$J:$J,"GBU-64")+SUMIFS('Таблиця 1'!$K:$K,'Таблиця 1'!$B:$B,$A471,'Таблиця 1'!$I:$I,"МіГ-29",'Таблиця 1'!$J:$J,"GBU-64")+SUMIFS('Таблиця 1'!$K:$K,'Таблиця 1'!$B:$B,$A471,'Таблиця 1'!$I:$I,"Су-25",'Таблиця 1'!$J:$J,"GBU-64")+SUMIFS('Таблиця 1'!$K:$K,'Таблиця 1'!$B:$B,$A471,'Таблиця 1'!$I:$I,"Су-27",'Таблиця 1'!$J:$J,"GBU-64"))</f>
        <v/>
      </c>
      <c r="O471">
        <f>IF($A471="","",SUMIFS('Таблиця 1'!$K:$K,'Таблиця 1'!$B:$B,$A471,'Таблиця 1'!$I:$I,"Mirage",'Таблиця 1'!$J:$J,"C-13")+SUMIFS('Таблиця 1'!$K:$K,'Таблиця 1'!$B:$B,$A471,'Таблиця 1'!$I:$I,"F-16",'Таблиця 1'!$J:$J,"C-13")+SUMIFS('Таблиця 1'!$K:$K,'Таблиця 1'!$B:$B,$A471,'Таблиця 1'!$I:$I,"МіГ-29",'Таблиця 1'!$J:$J,"C-13")+SUMIFS('Таблиця 1'!$K:$K,'Таблиця 1'!$B:$B,$A471,'Таблиця 1'!$I:$I,"Су-25",'Таблиця 1'!$J:$J,"C-13")+SUMIFS('Таблиця 1'!$K:$K,'Таблиця 1'!$B:$B,$A471,'Таблиця 1'!$I:$I,"Су-27",'Таблиця 1'!$J:$J,"C-13"))</f>
        <v/>
      </c>
      <c r="P471">
        <f>IF($A471="","",SUMIFS('Таблиця 1'!$K:$K,'Таблиця 1'!$B:$B,$A471,'Таблиця 1'!$I:$I,"Mirage",'Таблиця 1'!$J:$J,"MK-32")+SUMIFS('Таблиця 1'!$K:$K,'Таблиця 1'!$B:$B,$A471,'Таблиця 1'!$I:$I,"F-16",'Таблиця 1'!$J:$J,"MK-32")+SUMIFS('Таблиця 1'!$K:$K,'Таблиця 1'!$B:$B,$A471,'Таблиця 1'!$I:$I,"МіГ-29",'Таблиця 1'!$J:$J,"MK-32")+SUMIFS('Таблиця 1'!$K:$K,'Таблиця 1'!$B:$B,$A471,'Таблиця 1'!$I:$I,"Су-25",'Таблиця 1'!$J:$J,"MK-32")+SUMIFS('Таблиця 1'!$K:$K,'Таблиця 1'!$B:$B,$A471,'Таблиця 1'!$I:$I,"Су-27",'Таблиця 1'!$J:$J,"MK-32"))</f>
        <v/>
      </c>
      <c r="Q471">
        <f>IF($A471="","",SUMIFS('Таблиця 1'!$K:$K,'Таблиця 1'!$B:$B,$A471,'Таблиця 1'!$I:$I,"Mirage",'Таблиця 1'!$J:$J,"MK-24")+SUMIFS('Таблиця 1'!$K:$K,'Таблиця 1'!$B:$B,$A471,'Таблиця 1'!$I:$I,"F-16",'Таблиця 1'!$J:$J,"MK-24")+SUMIFS('Таблиця 1'!$K:$K,'Таблиця 1'!$B:$B,$A471,'Таблиця 1'!$I:$I,"МіГ-29",'Таблиця 1'!$J:$J,"MK-24")+SUMIFS('Таблиця 1'!$K:$K,'Таблиця 1'!$B:$B,$A471,'Таблиця 1'!$I:$I,"Су-25",'Таблиця 1'!$J:$J,"MK-24")+SUMIFS('Таблиця 1'!$K:$K,'Таблиця 1'!$B:$B,$A471,'Таблиця 1'!$I:$I,"Су-27",'Таблиця 1'!$J:$J,"MK-24"))</f>
        <v/>
      </c>
      <c r="R471">
        <f>IF($A471="","",COUNTIFS('Таблиця 1'!$B:$B,$A471,'Таблиця 1'!$I:$I,"Mirage",'Таблиця 1'!$L:$L,"Уражено")+COUNTIFS('Таблиця 1'!$B:$B,$A471,'Таблиця 1'!$I:$I,"F-16",'Таблиця 1'!$L:$L,"Уражено")+COUNTIFS('Таблиця 1'!$B:$B,$A471,'Таблиця 1'!$I:$I,"МіГ-29",'Таблиця 1'!$L:$L,"Уражено")+COUNTIFS('Таблиця 1'!$B:$B,$A471,'Таблиця 1'!$I:$I,"Су-25",'Таблиця 1'!$L:$L,"Уражено")+COUNTIFS('Таблиця 1'!$B:$B,$A471,'Таблиця 1'!$I:$I,"Су-27",'Таблиця 1'!$L:$L,"Уражено"))</f>
        <v/>
      </c>
      <c r="S471">
        <f>IF($A471="","",COUNTIFS('Таблиця 1'!$B:$B,$A471,'Таблиця 1'!$I:$I,"Mirage",'Таблиця 1'!$L:$L,"НЕ уражено")+COUNTIFS('Таблиця 1'!$B:$B,$A471,'Таблиця 1'!$I:$I,"F-16",'Таблиця 1'!$L:$L,"НЕ уражено")+COUNTIFS('Таблиця 1'!$B:$B,$A471,'Таблиця 1'!$I:$I,"МіГ-29",'Таблиця 1'!$L:$L,"НЕ уражено")+COUNTIFS('Таблиця 1'!$B:$B,$A471,'Таблиця 1'!$I:$I,"Су-25",'Таблиця 1'!$L:$L,"НЕ уражено")+COUNTIFS('Таблиця 1'!$B:$B,$A471,'Таблиця 1'!$I:$I,"Су-27",'Таблиця 1'!$L:$L,"НЕ уражено"))</f>
        <v/>
      </c>
      <c r="T471">
        <f>IF($A471="","",COUNTIFS('Таблиця 1'!$B:$B,$A471,'Таблиця 1'!$I:$I,"Mirage",'Таблиця 1'!$L:$L,"Дорозвідується")+COUNTIFS('Таблиця 1'!$B:$B,$A471,'Таблиця 1'!$I:$I,"F-16",'Таблиця 1'!$L:$L,"Дорозвідується")+COUNTIFS('Таблиця 1'!$B:$B,$A471,'Таблиця 1'!$I:$I,"МіГ-29",'Таблиця 1'!$L:$L,"Дорозвідується")+COUNTIFS('Таблиця 1'!$B:$B,$A471,'Таблиця 1'!$I:$I,"Су-25",'Таблиця 1'!$L:$L,"Дорозвідується")+COUNTIFS('Таблиця 1'!$B:$B,$A471,'Таблиця 1'!$I:$I,"Су-27",'Таблиця 1'!$L:$L,"Дорозвідується"))</f>
        <v/>
      </c>
    </row>
    <row r="472">
      <c r="A472" s="273">
        <f>IF(A471="","",IF(A471+1&gt;MAX('Таблиця 1'!$B:$B),"",A471+1))</f>
        <v/>
      </c>
      <c r="B472">
        <f>IF($A472="","",COUNTIFS('Таблиця 1'!$B:$B,$A472,'Таблиця 1'!$I:$I,"Mirage")+COUNTIFS('Таблиця 1'!$B:$B,$A472,'Таблиця 1'!$I:$I,"F-16")+COUNTIFS('Таблиця 1'!$B:$B,$A472,'Таблиця 1'!$I:$I,"МіГ-29")+COUNTIFS('Таблиця 1'!$B:$B,$A472,'Таблиця 1'!$I:$I,"Су-25")+COUNTIFS('Таблиця 1'!$B:$B,$A472,'Таблиця 1'!$I:$I,"Су-27"))</f>
        <v/>
      </c>
      <c r="C472">
        <f>IF($A472="","",COUNTIFS('Таблиця 1'!$B:$B,$A472,'Таблиця 1'!$I:$I,"Mirage"))</f>
        <v/>
      </c>
      <c r="D472">
        <f>IF($A472="","",COUNTIFS('Таблиця 1'!$B:$B,$A472,'Таблиця 1'!$I:$I,"F-16"))</f>
        <v/>
      </c>
      <c r="E472">
        <f>IF($A472="","",COUNTIFS('Таблиця 1'!$B:$B,$A472,'Таблиця 1'!$I:$I,"МіГ-29"))</f>
        <v/>
      </c>
      <c r="F472">
        <f>IF($A472="","",COUNTIFS('Таблиця 1'!$B:$B,$A472,'Таблиця 1'!$I:$I,"Су-25"))</f>
        <v/>
      </c>
      <c r="G472">
        <f>IF($A472="","",COUNTIFS('Таблиця 1'!$B:$B,$A472,'Таблиця 1'!$I:$I,"Су-27"))</f>
        <v/>
      </c>
      <c r="H472">
        <f>IF($A472="","",SUMIFS('Таблиця 1'!$K:$K,'Таблиця 1'!$B:$B,$A472,'Таблиця 1'!$I:$I,"Mirage",'Таблиця 1'!$J:$J,"AGM-88")+SUMIFS('Таблиця 1'!$K:$K,'Таблиця 1'!$B:$B,$A472,'Таблиця 1'!$I:$I,"F-16",'Таблиця 1'!$J:$J,"AGM-88")+SUMIFS('Таблиця 1'!$K:$K,'Таблиця 1'!$B:$B,$A472,'Таблиця 1'!$I:$I,"МіГ-29",'Таблиця 1'!$J:$J,"AGM-88")+SUMIFS('Таблиця 1'!$K:$K,'Таблиця 1'!$B:$B,$A472,'Таблиця 1'!$I:$I,"Су-25",'Таблиця 1'!$J:$J,"AGM-88")+SUMIFS('Таблиця 1'!$K:$K,'Таблиця 1'!$B:$B,$A472,'Таблиця 1'!$I:$I,"Су-27",'Таблиця 1'!$J:$J,"AGM-88"))</f>
        <v/>
      </c>
      <c r="I472">
        <f>IF($A472="","",SUMIFS('Таблиця 1'!$K:$K,'Таблиця 1'!$B:$B,$A472,'Таблиця 1'!$I:$I,"Mirage",'Таблиця 1'!$J:$J,"AASM-250")+SUMIFS('Таблиця 1'!$K:$K,'Таблиця 1'!$B:$B,$A472,'Таблиця 1'!$I:$I,"F-16",'Таблиця 1'!$J:$J,"AASM-250")+SUMIFS('Таблиця 1'!$K:$K,'Таблиця 1'!$B:$B,$A472,'Таблиця 1'!$I:$I,"МіГ-29",'Таблиця 1'!$J:$J,"AASM-250")+SUMIFS('Таблиця 1'!$K:$K,'Таблиця 1'!$B:$B,$A472,'Таблиця 1'!$I:$I,"Су-25",'Таблиця 1'!$J:$J,"AASM-250")+SUMIFS('Таблиця 1'!$K:$K,'Таблиця 1'!$B:$B,$A472,'Таблиця 1'!$I:$I,"Су-27",'Таблиця 1'!$J:$J,"AASM-250"))</f>
        <v/>
      </c>
      <c r="J472">
        <f>IF($A472="","",SUMIFS('Таблиця 1'!$K:$K,'Таблиця 1'!$B:$B,$A472,'Таблиця 1'!$I:$I,"Mirage",'Таблиця 1'!$J:$J,"GBU-39")+SUMIFS('Таблиця 1'!$K:$K,'Таблиця 1'!$B:$B,$A472,'Таблиця 1'!$I:$I,"F-16",'Таблиця 1'!$J:$J,"GBU-39")+SUMIFS('Таблиця 1'!$K:$K,'Таблиця 1'!$B:$B,$A472,'Таблиця 1'!$I:$I,"МіГ-29",'Таблиця 1'!$J:$J,"GBU-39")+SUMIFS('Таблиця 1'!$K:$K,'Таблиця 1'!$B:$B,$A472,'Таблиця 1'!$I:$I,"Су-25",'Таблиця 1'!$J:$J,"GBU-39")+SUMIFS('Таблиця 1'!$K:$K,'Таблиця 1'!$B:$B,$A472,'Таблиця 1'!$I:$I,"Су-27",'Таблиця 1'!$J:$J,"GBU-39"))</f>
        <v/>
      </c>
      <c r="K472">
        <f>IF($A472="","",SUMIFS('Таблиця 1'!$K:$K,'Таблиця 1'!$B:$B,$A472,'Таблиця 1'!$I:$I,"Mirage",'Таблиця 1'!$J:$J,"BLU-140")+SUMIFS('Таблиця 1'!$K:$K,'Таблиця 1'!$B:$B,$A472,'Таблиця 1'!$I:$I,"F-16",'Таблиця 1'!$J:$J,"BLU-140")+SUMIFS('Таблиця 1'!$K:$K,'Таблиця 1'!$B:$B,$A472,'Таблиця 1'!$I:$I,"МіГ-29",'Таблиця 1'!$J:$J,"BLU-140")+SUMIFS('Таблиця 1'!$K:$K,'Таблиця 1'!$B:$B,$A472,'Таблиця 1'!$I:$I,"Су-25",'Таблиця 1'!$J:$J,"BLU-140")+SUMIFS('Таблиця 1'!$K:$K,'Таблиця 1'!$B:$B,$A472,'Таблиця 1'!$I:$I,"Су-27",'Таблиця 1'!$J:$J,"BLU-140"))</f>
        <v/>
      </c>
      <c r="L472">
        <f>IF($A472="","",SUMIFS('Таблиця 1'!$K:$K,'Таблиця 1'!$B:$B,$A472,'Таблиця 1'!$I:$I,"Mirage",'Таблиця 1'!$J:$J,"GBU-65")+SUMIFS('Таблиця 1'!$K:$K,'Таблиця 1'!$B:$B,$A472,'Таблиця 1'!$I:$I,"F-16",'Таблиця 1'!$J:$J,"GBU-65")+SUMIFS('Таблиця 1'!$K:$K,'Таблиця 1'!$B:$B,$A472,'Таблиця 1'!$I:$I,"МіГ-29",'Таблиця 1'!$J:$J,"GBU-65")+SUMIFS('Таблиця 1'!$K:$K,'Таблиця 1'!$B:$B,$A472,'Таблиця 1'!$I:$I,"Су-25",'Таблиця 1'!$J:$J,"GBU-65")+SUMIFS('Таблиця 1'!$K:$K,'Таблиця 1'!$B:$B,$A472,'Таблиця 1'!$I:$I,"Су-27",'Таблиця 1'!$J:$J,"GBU-65"))</f>
        <v/>
      </c>
      <c r="M472">
        <f>IF($A472="","",SUMIFS('Таблиця 1'!$K:$K,'Таблиця 1'!$B:$B,$A472,'Таблиця 1'!$I:$I,"Mirage",'Таблиця 1'!$J:$J,"GBU-62")+SUMIFS('Таблиця 1'!$K:$K,'Таблиця 1'!$B:$B,$A472,'Таблиця 1'!$I:$I,"F-16",'Таблиця 1'!$J:$J,"GBU-62")+SUMIFS('Таблиця 1'!$K:$K,'Таблиця 1'!$B:$B,$A472,'Таблиця 1'!$I:$I,"МіГ-29",'Таблиця 1'!$J:$J,"GBU-62")+SUMIFS('Таблиця 1'!$K:$K,'Таблиця 1'!$B:$B,$A472,'Таблиця 1'!$I:$I,"Су-25",'Таблиця 1'!$J:$J,"GBU-62")+SUMIFS('Таблиця 1'!$K:$K,'Таблиця 1'!$B:$B,$A472,'Таблиця 1'!$I:$I,"Су-27",'Таблиця 1'!$J:$J,"GBU-62"))</f>
        <v/>
      </c>
      <c r="N472">
        <f>IF($A472="","",SUMIFS('Таблиця 1'!$K:$K,'Таблиця 1'!$B:$B,$A472,'Таблиця 1'!$I:$I,"Mirage",'Таблиця 1'!$J:$J,"GBU-64")+SUMIFS('Таблиця 1'!$K:$K,'Таблиця 1'!$B:$B,$A472,'Таблиця 1'!$I:$I,"F-16",'Таблиця 1'!$J:$J,"GBU-64")+SUMIFS('Таблиця 1'!$K:$K,'Таблиця 1'!$B:$B,$A472,'Таблиця 1'!$I:$I,"МіГ-29",'Таблиця 1'!$J:$J,"GBU-64")+SUMIFS('Таблиця 1'!$K:$K,'Таблиця 1'!$B:$B,$A472,'Таблиця 1'!$I:$I,"Су-25",'Таблиця 1'!$J:$J,"GBU-64")+SUMIFS('Таблиця 1'!$K:$K,'Таблиця 1'!$B:$B,$A472,'Таблиця 1'!$I:$I,"Су-27",'Таблиця 1'!$J:$J,"GBU-64"))</f>
        <v/>
      </c>
      <c r="O472">
        <f>IF($A472="","",SUMIFS('Таблиця 1'!$K:$K,'Таблиця 1'!$B:$B,$A472,'Таблиця 1'!$I:$I,"Mirage",'Таблиця 1'!$J:$J,"C-13")+SUMIFS('Таблиця 1'!$K:$K,'Таблиця 1'!$B:$B,$A472,'Таблиця 1'!$I:$I,"F-16",'Таблиця 1'!$J:$J,"C-13")+SUMIFS('Таблиця 1'!$K:$K,'Таблиця 1'!$B:$B,$A472,'Таблиця 1'!$I:$I,"МіГ-29",'Таблиця 1'!$J:$J,"C-13")+SUMIFS('Таблиця 1'!$K:$K,'Таблиця 1'!$B:$B,$A472,'Таблиця 1'!$I:$I,"Су-25",'Таблиця 1'!$J:$J,"C-13")+SUMIFS('Таблиця 1'!$K:$K,'Таблиця 1'!$B:$B,$A472,'Таблиця 1'!$I:$I,"Су-27",'Таблиця 1'!$J:$J,"C-13"))</f>
        <v/>
      </c>
      <c r="P472">
        <f>IF($A472="","",SUMIFS('Таблиця 1'!$K:$K,'Таблиця 1'!$B:$B,$A472,'Таблиця 1'!$I:$I,"Mirage",'Таблиця 1'!$J:$J,"MK-32")+SUMIFS('Таблиця 1'!$K:$K,'Таблиця 1'!$B:$B,$A472,'Таблиця 1'!$I:$I,"F-16",'Таблиця 1'!$J:$J,"MK-32")+SUMIFS('Таблиця 1'!$K:$K,'Таблиця 1'!$B:$B,$A472,'Таблиця 1'!$I:$I,"МіГ-29",'Таблиця 1'!$J:$J,"MK-32")+SUMIFS('Таблиця 1'!$K:$K,'Таблиця 1'!$B:$B,$A472,'Таблиця 1'!$I:$I,"Су-25",'Таблиця 1'!$J:$J,"MK-32")+SUMIFS('Таблиця 1'!$K:$K,'Таблиця 1'!$B:$B,$A472,'Таблиця 1'!$I:$I,"Су-27",'Таблиця 1'!$J:$J,"MK-32"))</f>
        <v/>
      </c>
      <c r="Q472">
        <f>IF($A472="","",SUMIFS('Таблиця 1'!$K:$K,'Таблиця 1'!$B:$B,$A472,'Таблиця 1'!$I:$I,"Mirage",'Таблиця 1'!$J:$J,"MK-24")+SUMIFS('Таблиця 1'!$K:$K,'Таблиця 1'!$B:$B,$A472,'Таблиця 1'!$I:$I,"F-16",'Таблиця 1'!$J:$J,"MK-24")+SUMIFS('Таблиця 1'!$K:$K,'Таблиця 1'!$B:$B,$A472,'Таблиця 1'!$I:$I,"МіГ-29",'Таблиця 1'!$J:$J,"MK-24")+SUMIFS('Таблиця 1'!$K:$K,'Таблиця 1'!$B:$B,$A472,'Таблиця 1'!$I:$I,"Су-25",'Таблиця 1'!$J:$J,"MK-24")+SUMIFS('Таблиця 1'!$K:$K,'Таблиця 1'!$B:$B,$A472,'Таблиця 1'!$I:$I,"Су-27",'Таблиця 1'!$J:$J,"MK-24"))</f>
        <v/>
      </c>
      <c r="R472">
        <f>IF($A472="","",COUNTIFS('Таблиця 1'!$B:$B,$A472,'Таблиця 1'!$I:$I,"Mirage",'Таблиця 1'!$L:$L,"Уражено")+COUNTIFS('Таблиця 1'!$B:$B,$A472,'Таблиця 1'!$I:$I,"F-16",'Таблиця 1'!$L:$L,"Уражено")+COUNTIFS('Таблиця 1'!$B:$B,$A472,'Таблиця 1'!$I:$I,"МіГ-29",'Таблиця 1'!$L:$L,"Уражено")+COUNTIFS('Таблиця 1'!$B:$B,$A472,'Таблиця 1'!$I:$I,"Су-25",'Таблиця 1'!$L:$L,"Уражено")+COUNTIFS('Таблиця 1'!$B:$B,$A472,'Таблиця 1'!$I:$I,"Су-27",'Таблиця 1'!$L:$L,"Уражено"))</f>
        <v/>
      </c>
      <c r="S472">
        <f>IF($A472="","",COUNTIFS('Таблиця 1'!$B:$B,$A472,'Таблиця 1'!$I:$I,"Mirage",'Таблиця 1'!$L:$L,"НЕ уражено")+COUNTIFS('Таблиця 1'!$B:$B,$A472,'Таблиця 1'!$I:$I,"F-16",'Таблиця 1'!$L:$L,"НЕ уражено")+COUNTIFS('Таблиця 1'!$B:$B,$A472,'Таблиця 1'!$I:$I,"МіГ-29",'Таблиця 1'!$L:$L,"НЕ уражено")+COUNTIFS('Таблиця 1'!$B:$B,$A472,'Таблиця 1'!$I:$I,"Су-25",'Таблиця 1'!$L:$L,"НЕ уражено")+COUNTIFS('Таблиця 1'!$B:$B,$A472,'Таблиця 1'!$I:$I,"Су-27",'Таблиця 1'!$L:$L,"НЕ уражено"))</f>
        <v/>
      </c>
      <c r="T472">
        <f>IF($A472="","",COUNTIFS('Таблиця 1'!$B:$B,$A472,'Таблиця 1'!$I:$I,"Mirage",'Таблиця 1'!$L:$L,"Дорозвідується")+COUNTIFS('Таблиця 1'!$B:$B,$A472,'Таблиця 1'!$I:$I,"F-16",'Таблиця 1'!$L:$L,"Дорозвідується")+COUNTIFS('Таблиця 1'!$B:$B,$A472,'Таблиця 1'!$I:$I,"МіГ-29",'Таблиця 1'!$L:$L,"Дорозвідується")+COUNTIFS('Таблиця 1'!$B:$B,$A472,'Таблиця 1'!$I:$I,"Су-25",'Таблиця 1'!$L:$L,"Дорозвідується")+COUNTIFS('Таблиця 1'!$B:$B,$A472,'Таблиця 1'!$I:$I,"Су-27",'Таблиця 1'!$L:$L,"Дорозвідується"))</f>
        <v/>
      </c>
    </row>
    <row r="473">
      <c r="A473" s="273">
        <f>IF(A472="","",IF(A472+1&gt;MAX('Таблиця 1'!$B:$B),"",A472+1))</f>
        <v/>
      </c>
      <c r="B473">
        <f>IF($A473="","",COUNTIFS('Таблиця 1'!$B:$B,$A473,'Таблиця 1'!$I:$I,"Mirage")+COUNTIFS('Таблиця 1'!$B:$B,$A473,'Таблиця 1'!$I:$I,"F-16")+COUNTIFS('Таблиця 1'!$B:$B,$A473,'Таблиця 1'!$I:$I,"МіГ-29")+COUNTIFS('Таблиця 1'!$B:$B,$A473,'Таблиця 1'!$I:$I,"Су-25")+COUNTIFS('Таблиця 1'!$B:$B,$A473,'Таблиця 1'!$I:$I,"Су-27"))</f>
        <v/>
      </c>
      <c r="C473">
        <f>IF($A473="","",COUNTIFS('Таблиця 1'!$B:$B,$A473,'Таблиця 1'!$I:$I,"Mirage"))</f>
        <v/>
      </c>
      <c r="D473">
        <f>IF($A473="","",COUNTIFS('Таблиця 1'!$B:$B,$A473,'Таблиця 1'!$I:$I,"F-16"))</f>
        <v/>
      </c>
      <c r="E473">
        <f>IF($A473="","",COUNTIFS('Таблиця 1'!$B:$B,$A473,'Таблиця 1'!$I:$I,"МіГ-29"))</f>
        <v/>
      </c>
      <c r="F473">
        <f>IF($A473="","",COUNTIFS('Таблиця 1'!$B:$B,$A473,'Таблиця 1'!$I:$I,"Су-25"))</f>
        <v/>
      </c>
      <c r="G473">
        <f>IF($A473="","",COUNTIFS('Таблиця 1'!$B:$B,$A473,'Таблиця 1'!$I:$I,"Су-27"))</f>
        <v/>
      </c>
      <c r="H473">
        <f>IF($A473="","",SUMIFS('Таблиця 1'!$K:$K,'Таблиця 1'!$B:$B,$A473,'Таблиця 1'!$I:$I,"Mirage",'Таблиця 1'!$J:$J,"AGM-88")+SUMIFS('Таблиця 1'!$K:$K,'Таблиця 1'!$B:$B,$A473,'Таблиця 1'!$I:$I,"F-16",'Таблиця 1'!$J:$J,"AGM-88")+SUMIFS('Таблиця 1'!$K:$K,'Таблиця 1'!$B:$B,$A473,'Таблиця 1'!$I:$I,"МіГ-29",'Таблиця 1'!$J:$J,"AGM-88")+SUMIFS('Таблиця 1'!$K:$K,'Таблиця 1'!$B:$B,$A473,'Таблиця 1'!$I:$I,"Су-25",'Таблиця 1'!$J:$J,"AGM-88")+SUMIFS('Таблиця 1'!$K:$K,'Таблиця 1'!$B:$B,$A473,'Таблиця 1'!$I:$I,"Су-27",'Таблиця 1'!$J:$J,"AGM-88"))</f>
        <v/>
      </c>
      <c r="I473">
        <f>IF($A473="","",SUMIFS('Таблиця 1'!$K:$K,'Таблиця 1'!$B:$B,$A473,'Таблиця 1'!$I:$I,"Mirage",'Таблиця 1'!$J:$J,"AASM-250")+SUMIFS('Таблиця 1'!$K:$K,'Таблиця 1'!$B:$B,$A473,'Таблиця 1'!$I:$I,"F-16",'Таблиця 1'!$J:$J,"AASM-250")+SUMIFS('Таблиця 1'!$K:$K,'Таблиця 1'!$B:$B,$A473,'Таблиця 1'!$I:$I,"МіГ-29",'Таблиця 1'!$J:$J,"AASM-250")+SUMIFS('Таблиця 1'!$K:$K,'Таблиця 1'!$B:$B,$A473,'Таблиця 1'!$I:$I,"Су-25",'Таблиця 1'!$J:$J,"AASM-250")+SUMIFS('Таблиця 1'!$K:$K,'Таблиця 1'!$B:$B,$A473,'Таблиця 1'!$I:$I,"Су-27",'Таблиця 1'!$J:$J,"AASM-250"))</f>
        <v/>
      </c>
      <c r="J473">
        <f>IF($A473="","",SUMIFS('Таблиця 1'!$K:$K,'Таблиця 1'!$B:$B,$A473,'Таблиця 1'!$I:$I,"Mirage",'Таблиця 1'!$J:$J,"GBU-39")+SUMIFS('Таблиця 1'!$K:$K,'Таблиця 1'!$B:$B,$A473,'Таблиця 1'!$I:$I,"F-16",'Таблиця 1'!$J:$J,"GBU-39")+SUMIFS('Таблиця 1'!$K:$K,'Таблиця 1'!$B:$B,$A473,'Таблиця 1'!$I:$I,"МіГ-29",'Таблиця 1'!$J:$J,"GBU-39")+SUMIFS('Таблиця 1'!$K:$K,'Таблиця 1'!$B:$B,$A473,'Таблиця 1'!$I:$I,"Су-25",'Таблиця 1'!$J:$J,"GBU-39")+SUMIFS('Таблиця 1'!$K:$K,'Таблиця 1'!$B:$B,$A473,'Таблиця 1'!$I:$I,"Су-27",'Таблиця 1'!$J:$J,"GBU-39"))</f>
        <v/>
      </c>
      <c r="K473">
        <f>IF($A473="","",SUMIFS('Таблиця 1'!$K:$K,'Таблиця 1'!$B:$B,$A473,'Таблиця 1'!$I:$I,"Mirage",'Таблиця 1'!$J:$J,"BLU-140")+SUMIFS('Таблиця 1'!$K:$K,'Таблиця 1'!$B:$B,$A473,'Таблиця 1'!$I:$I,"F-16",'Таблиця 1'!$J:$J,"BLU-140")+SUMIFS('Таблиця 1'!$K:$K,'Таблиця 1'!$B:$B,$A473,'Таблиця 1'!$I:$I,"МіГ-29",'Таблиця 1'!$J:$J,"BLU-140")+SUMIFS('Таблиця 1'!$K:$K,'Таблиця 1'!$B:$B,$A473,'Таблиця 1'!$I:$I,"Су-25",'Таблиця 1'!$J:$J,"BLU-140")+SUMIFS('Таблиця 1'!$K:$K,'Таблиця 1'!$B:$B,$A473,'Таблиця 1'!$I:$I,"Су-27",'Таблиця 1'!$J:$J,"BLU-140"))</f>
        <v/>
      </c>
      <c r="L473">
        <f>IF($A473="","",SUMIFS('Таблиця 1'!$K:$K,'Таблиця 1'!$B:$B,$A473,'Таблиця 1'!$I:$I,"Mirage",'Таблиця 1'!$J:$J,"GBU-65")+SUMIFS('Таблиця 1'!$K:$K,'Таблиця 1'!$B:$B,$A473,'Таблиця 1'!$I:$I,"F-16",'Таблиця 1'!$J:$J,"GBU-65")+SUMIFS('Таблиця 1'!$K:$K,'Таблиця 1'!$B:$B,$A473,'Таблиця 1'!$I:$I,"МіГ-29",'Таблиця 1'!$J:$J,"GBU-65")+SUMIFS('Таблиця 1'!$K:$K,'Таблиця 1'!$B:$B,$A473,'Таблиця 1'!$I:$I,"Су-25",'Таблиця 1'!$J:$J,"GBU-65")+SUMIFS('Таблиця 1'!$K:$K,'Таблиця 1'!$B:$B,$A473,'Таблиця 1'!$I:$I,"Су-27",'Таблиця 1'!$J:$J,"GBU-65"))</f>
        <v/>
      </c>
      <c r="M473">
        <f>IF($A473="","",SUMIFS('Таблиця 1'!$K:$K,'Таблиця 1'!$B:$B,$A473,'Таблиця 1'!$I:$I,"Mirage",'Таблиця 1'!$J:$J,"GBU-62")+SUMIFS('Таблиця 1'!$K:$K,'Таблиця 1'!$B:$B,$A473,'Таблиця 1'!$I:$I,"F-16",'Таблиця 1'!$J:$J,"GBU-62")+SUMIFS('Таблиця 1'!$K:$K,'Таблиця 1'!$B:$B,$A473,'Таблиця 1'!$I:$I,"МіГ-29",'Таблиця 1'!$J:$J,"GBU-62")+SUMIFS('Таблиця 1'!$K:$K,'Таблиця 1'!$B:$B,$A473,'Таблиця 1'!$I:$I,"Су-25",'Таблиця 1'!$J:$J,"GBU-62")+SUMIFS('Таблиця 1'!$K:$K,'Таблиця 1'!$B:$B,$A473,'Таблиця 1'!$I:$I,"Су-27",'Таблиця 1'!$J:$J,"GBU-62"))</f>
        <v/>
      </c>
      <c r="N473">
        <f>IF($A473="","",SUMIFS('Таблиця 1'!$K:$K,'Таблиця 1'!$B:$B,$A473,'Таблиця 1'!$I:$I,"Mirage",'Таблиця 1'!$J:$J,"GBU-64")+SUMIFS('Таблиця 1'!$K:$K,'Таблиця 1'!$B:$B,$A473,'Таблиця 1'!$I:$I,"F-16",'Таблиця 1'!$J:$J,"GBU-64")+SUMIFS('Таблиця 1'!$K:$K,'Таблиця 1'!$B:$B,$A473,'Таблиця 1'!$I:$I,"МіГ-29",'Таблиця 1'!$J:$J,"GBU-64")+SUMIFS('Таблиця 1'!$K:$K,'Таблиця 1'!$B:$B,$A473,'Таблиця 1'!$I:$I,"Су-25",'Таблиця 1'!$J:$J,"GBU-64")+SUMIFS('Таблиця 1'!$K:$K,'Таблиця 1'!$B:$B,$A473,'Таблиця 1'!$I:$I,"Су-27",'Таблиця 1'!$J:$J,"GBU-64"))</f>
        <v/>
      </c>
      <c r="O473">
        <f>IF($A473="","",SUMIFS('Таблиця 1'!$K:$K,'Таблиця 1'!$B:$B,$A473,'Таблиця 1'!$I:$I,"Mirage",'Таблиця 1'!$J:$J,"C-13")+SUMIFS('Таблиця 1'!$K:$K,'Таблиця 1'!$B:$B,$A473,'Таблиця 1'!$I:$I,"F-16",'Таблиця 1'!$J:$J,"C-13")+SUMIFS('Таблиця 1'!$K:$K,'Таблиця 1'!$B:$B,$A473,'Таблиця 1'!$I:$I,"МіГ-29",'Таблиця 1'!$J:$J,"C-13")+SUMIFS('Таблиця 1'!$K:$K,'Таблиця 1'!$B:$B,$A473,'Таблиця 1'!$I:$I,"Су-25",'Таблиця 1'!$J:$J,"C-13")+SUMIFS('Таблиця 1'!$K:$K,'Таблиця 1'!$B:$B,$A473,'Таблиця 1'!$I:$I,"Су-27",'Таблиця 1'!$J:$J,"C-13"))</f>
        <v/>
      </c>
      <c r="P473">
        <f>IF($A473="","",SUMIFS('Таблиця 1'!$K:$K,'Таблиця 1'!$B:$B,$A473,'Таблиця 1'!$I:$I,"Mirage",'Таблиця 1'!$J:$J,"MK-32")+SUMIFS('Таблиця 1'!$K:$K,'Таблиця 1'!$B:$B,$A473,'Таблиця 1'!$I:$I,"F-16",'Таблиця 1'!$J:$J,"MK-32")+SUMIFS('Таблиця 1'!$K:$K,'Таблиця 1'!$B:$B,$A473,'Таблиця 1'!$I:$I,"МіГ-29",'Таблиця 1'!$J:$J,"MK-32")+SUMIFS('Таблиця 1'!$K:$K,'Таблиця 1'!$B:$B,$A473,'Таблиця 1'!$I:$I,"Су-25",'Таблиця 1'!$J:$J,"MK-32")+SUMIFS('Таблиця 1'!$K:$K,'Таблиця 1'!$B:$B,$A473,'Таблиця 1'!$I:$I,"Су-27",'Таблиця 1'!$J:$J,"MK-32"))</f>
        <v/>
      </c>
      <c r="Q473">
        <f>IF($A473="","",SUMIFS('Таблиця 1'!$K:$K,'Таблиця 1'!$B:$B,$A473,'Таблиця 1'!$I:$I,"Mirage",'Таблиця 1'!$J:$J,"MK-24")+SUMIFS('Таблиця 1'!$K:$K,'Таблиця 1'!$B:$B,$A473,'Таблиця 1'!$I:$I,"F-16",'Таблиця 1'!$J:$J,"MK-24")+SUMIFS('Таблиця 1'!$K:$K,'Таблиця 1'!$B:$B,$A473,'Таблиця 1'!$I:$I,"МіГ-29",'Таблиця 1'!$J:$J,"MK-24")+SUMIFS('Таблиця 1'!$K:$K,'Таблиця 1'!$B:$B,$A473,'Таблиця 1'!$I:$I,"Су-25",'Таблиця 1'!$J:$J,"MK-24")+SUMIFS('Таблиця 1'!$K:$K,'Таблиця 1'!$B:$B,$A473,'Таблиця 1'!$I:$I,"Су-27",'Таблиця 1'!$J:$J,"MK-24"))</f>
        <v/>
      </c>
      <c r="R473">
        <f>IF($A473="","",COUNTIFS('Таблиця 1'!$B:$B,$A473,'Таблиця 1'!$I:$I,"Mirage",'Таблиця 1'!$L:$L,"Уражено")+COUNTIFS('Таблиця 1'!$B:$B,$A473,'Таблиця 1'!$I:$I,"F-16",'Таблиця 1'!$L:$L,"Уражено")+COUNTIFS('Таблиця 1'!$B:$B,$A473,'Таблиця 1'!$I:$I,"МіГ-29",'Таблиця 1'!$L:$L,"Уражено")+COUNTIFS('Таблиця 1'!$B:$B,$A473,'Таблиця 1'!$I:$I,"Су-25",'Таблиця 1'!$L:$L,"Уражено")+COUNTIFS('Таблиця 1'!$B:$B,$A473,'Таблиця 1'!$I:$I,"Су-27",'Таблиця 1'!$L:$L,"Уражено"))</f>
        <v/>
      </c>
      <c r="S473">
        <f>IF($A473="","",COUNTIFS('Таблиця 1'!$B:$B,$A473,'Таблиця 1'!$I:$I,"Mirage",'Таблиця 1'!$L:$L,"НЕ уражено")+COUNTIFS('Таблиця 1'!$B:$B,$A473,'Таблиця 1'!$I:$I,"F-16",'Таблиця 1'!$L:$L,"НЕ уражено")+COUNTIFS('Таблиця 1'!$B:$B,$A473,'Таблиця 1'!$I:$I,"МіГ-29",'Таблиця 1'!$L:$L,"НЕ уражено")+COUNTIFS('Таблиця 1'!$B:$B,$A473,'Таблиця 1'!$I:$I,"Су-25",'Таблиця 1'!$L:$L,"НЕ уражено")+COUNTIFS('Таблиця 1'!$B:$B,$A473,'Таблиця 1'!$I:$I,"Су-27",'Таблиця 1'!$L:$L,"НЕ уражено"))</f>
        <v/>
      </c>
      <c r="T473">
        <f>IF($A473="","",COUNTIFS('Таблиця 1'!$B:$B,$A473,'Таблиця 1'!$I:$I,"Mirage",'Таблиця 1'!$L:$L,"Дорозвідується")+COUNTIFS('Таблиця 1'!$B:$B,$A473,'Таблиця 1'!$I:$I,"F-16",'Таблиця 1'!$L:$L,"Дорозвідується")+COUNTIFS('Таблиця 1'!$B:$B,$A473,'Таблиця 1'!$I:$I,"МіГ-29",'Таблиця 1'!$L:$L,"Дорозвідується")+COUNTIFS('Таблиця 1'!$B:$B,$A473,'Таблиця 1'!$I:$I,"Су-25",'Таблиця 1'!$L:$L,"Дорозвідується")+COUNTIFS('Таблиця 1'!$B:$B,$A473,'Таблиця 1'!$I:$I,"Су-27",'Таблиця 1'!$L:$L,"Дорозвідується"))</f>
        <v/>
      </c>
    </row>
    <row r="474">
      <c r="A474" s="273">
        <f>IF(A473="","",IF(A473+1&gt;MAX('Таблиця 1'!$B:$B),"",A473+1))</f>
        <v/>
      </c>
      <c r="B474">
        <f>IF($A474="","",COUNTIFS('Таблиця 1'!$B:$B,$A474,'Таблиця 1'!$I:$I,"Mirage")+COUNTIFS('Таблиця 1'!$B:$B,$A474,'Таблиця 1'!$I:$I,"F-16")+COUNTIFS('Таблиця 1'!$B:$B,$A474,'Таблиця 1'!$I:$I,"МіГ-29")+COUNTIFS('Таблиця 1'!$B:$B,$A474,'Таблиця 1'!$I:$I,"Су-25")+COUNTIFS('Таблиця 1'!$B:$B,$A474,'Таблиця 1'!$I:$I,"Су-27"))</f>
        <v/>
      </c>
      <c r="C474">
        <f>IF($A474="","",COUNTIFS('Таблиця 1'!$B:$B,$A474,'Таблиця 1'!$I:$I,"Mirage"))</f>
        <v/>
      </c>
      <c r="D474">
        <f>IF($A474="","",COUNTIFS('Таблиця 1'!$B:$B,$A474,'Таблиця 1'!$I:$I,"F-16"))</f>
        <v/>
      </c>
      <c r="E474">
        <f>IF($A474="","",COUNTIFS('Таблиця 1'!$B:$B,$A474,'Таблиця 1'!$I:$I,"МіГ-29"))</f>
        <v/>
      </c>
      <c r="F474">
        <f>IF($A474="","",COUNTIFS('Таблиця 1'!$B:$B,$A474,'Таблиця 1'!$I:$I,"Су-25"))</f>
        <v/>
      </c>
      <c r="G474">
        <f>IF($A474="","",COUNTIFS('Таблиця 1'!$B:$B,$A474,'Таблиця 1'!$I:$I,"Су-27"))</f>
        <v/>
      </c>
      <c r="H474">
        <f>IF($A474="","",SUMIFS('Таблиця 1'!$K:$K,'Таблиця 1'!$B:$B,$A474,'Таблиця 1'!$I:$I,"Mirage",'Таблиця 1'!$J:$J,"AGM-88")+SUMIFS('Таблиця 1'!$K:$K,'Таблиця 1'!$B:$B,$A474,'Таблиця 1'!$I:$I,"F-16",'Таблиця 1'!$J:$J,"AGM-88")+SUMIFS('Таблиця 1'!$K:$K,'Таблиця 1'!$B:$B,$A474,'Таблиця 1'!$I:$I,"МіГ-29",'Таблиця 1'!$J:$J,"AGM-88")+SUMIFS('Таблиця 1'!$K:$K,'Таблиця 1'!$B:$B,$A474,'Таблиця 1'!$I:$I,"Су-25",'Таблиця 1'!$J:$J,"AGM-88")+SUMIFS('Таблиця 1'!$K:$K,'Таблиця 1'!$B:$B,$A474,'Таблиця 1'!$I:$I,"Су-27",'Таблиця 1'!$J:$J,"AGM-88"))</f>
        <v/>
      </c>
      <c r="I474">
        <f>IF($A474="","",SUMIFS('Таблиця 1'!$K:$K,'Таблиця 1'!$B:$B,$A474,'Таблиця 1'!$I:$I,"Mirage",'Таблиця 1'!$J:$J,"AASM-250")+SUMIFS('Таблиця 1'!$K:$K,'Таблиця 1'!$B:$B,$A474,'Таблиця 1'!$I:$I,"F-16",'Таблиця 1'!$J:$J,"AASM-250")+SUMIFS('Таблиця 1'!$K:$K,'Таблиця 1'!$B:$B,$A474,'Таблиця 1'!$I:$I,"МіГ-29",'Таблиця 1'!$J:$J,"AASM-250")+SUMIFS('Таблиця 1'!$K:$K,'Таблиця 1'!$B:$B,$A474,'Таблиця 1'!$I:$I,"Су-25",'Таблиця 1'!$J:$J,"AASM-250")+SUMIFS('Таблиця 1'!$K:$K,'Таблиця 1'!$B:$B,$A474,'Таблиця 1'!$I:$I,"Су-27",'Таблиця 1'!$J:$J,"AASM-250"))</f>
        <v/>
      </c>
      <c r="J474">
        <f>IF($A474="","",SUMIFS('Таблиця 1'!$K:$K,'Таблиця 1'!$B:$B,$A474,'Таблиця 1'!$I:$I,"Mirage",'Таблиця 1'!$J:$J,"GBU-39")+SUMIFS('Таблиця 1'!$K:$K,'Таблиця 1'!$B:$B,$A474,'Таблиця 1'!$I:$I,"F-16",'Таблиця 1'!$J:$J,"GBU-39")+SUMIFS('Таблиця 1'!$K:$K,'Таблиця 1'!$B:$B,$A474,'Таблиця 1'!$I:$I,"МіГ-29",'Таблиця 1'!$J:$J,"GBU-39")+SUMIFS('Таблиця 1'!$K:$K,'Таблиця 1'!$B:$B,$A474,'Таблиця 1'!$I:$I,"Су-25",'Таблиця 1'!$J:$J,"GBU-39")+SUMIFS('Таблиця 1'!$K:$K,'Таблиця 1'!$B:$B,$A474,'Таблиця 1'!$I:$I,"Су-27",'Таблиця 1'!$J:$J,"GBU-39"))</f>
        <v/>
      </c>
      <c r="K474">
        <f>IF($A474="","",SUMIFS('Таблиця 1'!$K:$K,'Таблиця 1'!$B:$B,$A474,'Таблиця 1'!$I:$I,"Mirage",'Таблиця 1'!$J:$J,"BLU-140")+SUMIFS('Таблиця 1'!$K:$K,'Таблиця 1'!$B:$B,$A474,'Таблиця 1'!$I:$I,"F-16",'Таблиця 1'!$J:$J,"BLU-140")+SUMIFS('Таблиця 1'!$K:$K,'Таблиця 1'!$B:$B,$A474,'Таблиця 1'!$I:$I,"МіГ-29",'Таблиця 1'!$J:$J,"BLU-140")+SUMIFS('Таблиця 1'!$K:$K,'Таблиця 1'!$B:$B,$A474,'Таблиця 1'!$I:$I,"Су-25",'Таблиця 1'!$J:$J,"BLU-140")+SUMIFS('Таблиця 1'!$K:$K,'Таблиця 1'!$B:$B,$A474,'Таблиця 1'!$I:$I,"Су-27",'Таблиця 1'!$J:$J,"BLU-140"))</f>
        <v/>
      </c>
      <c r="L474">
        <f>IF($A474="","",SUMIFS('Таблиця 1'!$K:$K,'Таблиця 1'!$B:$B,$A474,'Таблиця 1'!$I:$I,"Mirage",'Таблиця 1'!$J:$J,"GBU-65")+SUMIFS('Таблиця 1'!$K:$K,'Таблиця 1'!$B:$B,$A474,'Таблиця 1'!$I:$I,"F-16",'Таблиця 1'!$J:$J,"GBU-65")+SUMIFS('Таблиця 1'!$K:$K,'Таблиця 1'!$B:$B,$A474,'Таблиця 1'!$I:$I,"МіГ-29",'Таблиця 1'!$J:$J,"GBU-65")+SUMIFS('Таблиця 1'!$K:$K,'Таблиця 1'!$B:$B,$A474,'Таблиця 1'!$I:$I,"Су-25",'Таблиця 1'!$J:$J,"GBU-65")+SUMIFS('Таблиця 1'!$K:$K,'Таблиця 1'!$B:$B,$A474,'Таблиця 1'!$I:$I,"Су-27",'Таблиця 1'!$J:$J,"GBU-65"))</f>
        <v/>
      </c>
      <c r="M474">
        <f>IF($A474="","",SUMIFS('Таблиця 1'!$K:$K,'Таблиця 1'!$B:$B,$A474,'Таблиця 1'!$I:$I,"Mirage",'Таблиця 1'!$J:$J,"GBU-62")+SUMIFS('Таблиця 1'!$K:$K,'Таблиця 1'!$B:$B,$A474,'Таблиця 1'!$I:$I,"F-16",'Таблиця 1'!$J:$J,"GBU-62")+SUMIFS('Таблиця 1'!$K:$K,'Таблиця 1'!$B:$B,$A474,'Таблиця 1'!$I:$I,"МіГ-29",'Таблиця 1'!$J:$J,"GBU-62")+SUMIFS('Таблиця 1'!$K:$K,'Таблиця 1'!$B:$B,$A474,'Таблиця 1'!$I:$I,"Су-25",'Таблиця 1'!$J:$J,"GBU-62")+SUMIFS('Таблиця 1'!$K:$K,'Таблиця 1'!$B:$B,$A474,'Таблиця 1'!$I:$I,"Су-27",'Таблиця 1'!$J:$J,"GBU-62"))</f>
        <v/>
      </c>
      <c r="N474">
        <f>IF($A474="","",SUMIFS('Таблиця 1'!$K:$K,'Таблиця 1'!$B:$B,$A474,'Таблиця 1'!$I:$I,"Mirage",'Таблиця 1'!$J:$J,"GBU-64")+SUMIFS('Таблиця 1'!$K:$K,'Таблиця 1'!$B:$B,$A474,'Таблиця 1'!$I:$I,"F-16",'Таблиця 1'!$J:$J,"GBU-64")+SUMIFS('Таблиця 1'!$K:$K,'Таблиця 1'!$B:$B,$A474,'Таблиця 1'!$I:$I,"МіГ-29",'Таблиця 1'!$J:$J,"GBU-64")+SUMIFS('Таблиця 1'!$K:$K,'Таблиця 1'!$B:$B,$A474,'Таблиця 1'!$I:$I,"Су-25",'Таблиця 1'!$J:$J,"GBU-64")+SUMIFS('Таблиця 1'!$K:$K,'Таблиця 1'!$B:$B,$A474,'Таблиця 1'!$I:$I,"Су-27",'Таблиця 1'!$J:$J,"GBU-64"))</f>
        <v/>
      </c>
      <c r="O474">
        <f>IF($A474="","",SUMIFS('Таблиця 1'!$K:$K,'Таблиця 1'!$B:$B,$A474,'Таблиця 1'!$I:$I,"Mirage",'Таблиця 1'!$J:$J,"C-13")+SUMIFS('Таблиця 1'!$K:$K,'Таблиця 1'!$B:$B,$A474,'Таблиця 1'!$I:$I,"F-16",'Таблиця 1'!$J:$J,"C-13")+SUMIFS('Таблиця 1'!$K:$K,'Таблиця 1'!$B:$B,$A474,'Таблиця 1'!$I:$I,"МіГ-29",'Таблиця 1'!$J:$J,"C-13")+SUMIFS('Таблиця 1'!$K:$K,'Таблиця 1'!$B:$B,$A474,'Таблиця 1'!$I:$I,"Су-25",'Таблиця 1'!$J:$J,"C-13")+SUMIFS('Таблиця 1'!$K:$K,'Таблиця 1'!$B:$B,$A474,'Таблиця 1'!$I:$I,"Су-27",'Таблиця 1'!$J:$J,"C-13"))</f>
        <v/>
      </c>
      <c r="P474">
        <f>IF($A474="","",SUMIFS('Таблиця 1'!$K:$K,'Таблиця 1'!$B:$B,$A474,'Таблиця 1'!$I:$I,"Mirage",'Таблиця 1'!$J:$J,"MK-32")+SUMIFS('Таблиця 1'!$K:$K,'Таблиця 1'!$B:$B,$A474,'Таблиця 1'!$I:$I,"F-16",'Таблиця 1'!$J:$J,"MK-32")+SUMIFS('Таблиця 1'!$K:$K,'Таблиця 1'!$B:$B,$A474,'Таблиця 1'!$I:$I,"МіГ-29",'Таблиця 1'!$J:$J,"MK-32")+SUMIFS('Таблиця 1'!$K:$K,'Таблиця 1'!$B:$B,$A474,'Таблиця 1'!$I:$I,"Су-25",'Таблиця 1'!$J:$J,"MK-32")+SUMIFS('Таблиця 1'!$K:$K,'Таблиця 1'!$B:$B,$A474,'Таблиця 1'!$I:$I,"Су-27",'Таблиця 1'!$J:$J,"MK-32"))</f>
        <v/>
      </c>
      <c r="Q474">
        <f>IF($A474="","",SUMIFS('Таблиця 1'!$K:$K,'Таблиця 1'!$B:$B,$A474,'Таблиця 1'!$I:$I,"Mirage",'Таблиця 1'!$J:$J,"MK-24")+SUMIFS('Таблиця 1'!$K:$K,'Таблиця 1'!$B:$B,$A474,'Таблиця 1'!$I:$I,"F-16",'Таблиця 1'!$J:$J,"MK-24")+SUMIFS('Таблиця 1'!$K:$K,'Таблиця 1'!$B:$B,$A474,'Таблиця 1'!$I:$I,"МіГ-29",'Таблиця 1'!$J:$J,"MK-24")+SUMIFS('Таблиця 1'!$K:$K,'Таблиця 1'!$B:$B,$A474,'Таблиця 1'!$I:$I,"Су-25",'Таблиця 1'!$J:$J,"MK-24")+SUMIFS('Таблиця 1'!$K:$K,'Таблиця 1'!$B:$B,$A474,'Таблиця 1'!$I:$I,"Су-27",'Таблиця 1'!$J:$J,"MK-24"))</f>
        <v/>
      </c>
      <c r="R474">
        <f>IF($A474="","",COUNTIFS('Таблиця 1'!$B:$B,$A474,'Таблиця 1'!$I:$I,"Mirage",'Таблиця 1'!$L:$L,"Уражено")+COUNTIFS('Таблиця 1'!$B:$B,$A474,'Таблиця 1'!$I:$I,"F-16",'Таблиця 1'!$L:$L,"Уражено")+COUNTIFS('Таблиця 1'!$B:$B,$A474,'Таблиця 1'!$I:$I,"МіГ-29",'Таблиця 1'!$L:$L,"Уражено")+COUNTIFS('Таблиця 1'!$B:$B,$A474,'Таблиця 1'!$I:$I,"Су-25",'Таблиця 1'!$L:$L,"Уражено")+COUNTIFS('Таблиця 1'!$B:$B,$A474,'Таблиця 1'!$I:$I,"Су-27",'Таблиця 1'!$L:$L,"Уражено"))</f>
        <v/>
      </c>
      <c r="S474">
        <f>IF($A474="","",COUNTIFS('Таблиця 1'!$B:$B,$A474,'Таблиця 1'!$I:$I,"Mirage",'Таблиця 1'!$L:$L,"НЕ уражено")+COUNTIFS('Таблиця 1'!$B:$B,$A474,'Таблиця 1'!$I:$I,"F-16",'Таблиця 1'!$L:$L,"НЕ уражено")+COUNTIFS('Таблиця 1'!$B:$B,$A474,'Таблиця 1'!$I:$I,"МіГ-29",'Таблиця 1'!$L:$L,"НЕ уражено")+COUNTIFS('Таблиця 1'!$B:$B,$A474,'Таблиця 1'!$I:$I,"Су-25",'Таблиця 1'!$L:$L,"НЕ уражено")+COUNTIFS('Таблиця 1'!$B:$B,$A474,'Таблиця 1'!$I:$I,"Су-27",'Таблиця 1'!$L:$L,"НЕ уражено"))</f>
        <v/>
      </c>
      <c r="T474">
        <f>IF($A474="","",COUNTIFS('Таблиця 1'!$B:$B,$A474,'Таблиця 1'!$I:$I,"Mirage",'Таблиця 1'!$L:$L,"Дорозвідується")+COUNTIFS('Таблиця 1'!$B:$B,$A474,'Таблиця 1'!$I:$I,"F-16",'Таблиця 1'!$L:$L,"Дорозвідується")+COUNTIFS('Таблиця 1'!$B:$B,$A474,'Таблиця 1'!$I:$I,"МіГ-29",'Таблиця 1'!$L:$L,"Дорозвідується")+COUNTIFS('Таблиця 1'!$B:$B,$A474,'Таблиця 1'!$I:$I,"Су-25",'Таблиця 1'!$L:$L,"Дорозвідується")+COUNTIFS('Таблиця 1'!$B:$B,$A474,'Таблиця 1'!$I:$I,"Су-27",'Таблиця 1'!$L:$L,"Дорозвідується"))</f>
        <v/>
      </c>
    </row>
    <row r="475">
      <c r="A475" s="273">
        <f>IF(A474="","",IF(A474+1&gt;MAX('Таблиця 1'!$B:$B),"",A474+1))</f>
        <v/>
      </c>
      <c r="B475">
        <f>IF($A475="","",COUNTIFS('Таблиця 1'!$B:$B,$A475,'Таблиця 1'!$I:$I,"Mirage")+COUNTIFS('Таблиця 1'!$B:$B,$A475,'Таблиця 1'!$I:$I,"F-16")+COUNTIFS('Таблиця 1'!$B:$B,$A475,'Таблиця 1'!$I:$I,"МіГ-29")+COUNTIFS('Таблиця 1'!$B:$B,$A475,'Таблиця 1'!$I:$I,"Су-25")+COUNTIFS('Таблиця 1'!$B:$B,$A475,'Таблиця 1'!$I:$I,"Су-27"))</f>
        <v/>
      </c>
      <c r="C475">
        <f>IF($A475="","",COUNTIFS('Таблиця 1'!$B:$B,$A475,'Таблиця 1'!$I:$I,"Mirage"))</f>
        <v/>
      </c>
      <c r="D475">
        <f>IF($A475="","",COUNTIFS('Таблиця 1'!$B:$B,$A475,'Таблиця 1'!$I:$I,"F-16"))</f>
        <v/>
      </c>
      <c r="E475">
        <f>IF($A475="","",COUNTIFS('Таблиця 1'!$B:$B,$A475,'Таблиця 1'!$I:$I,"МіГ-29"))</f>
        <v/>
      </c>
      <c r="F475">
        <f>IF($A475="","",COUNTIFS('Таблиця 1'!$B:$B,$A475,'Таблиця 1'!$I:$I,"Су-25"))</f>
        <v/>
      </c>
      <c r="G475">
        <f>IF($A475="","",COUNTIFS('Таблиця 1'!$B:$B,$A475,'Таблиця 1'!$I:$I,"Су-27"))</f>
        <v/>
      </c>
      <c r="H475">
        <f>IF($A475="","",SUMIFS('Таблиця 1'!$K:$K,'Таблиця 1'!$B:$B,$A475,'Таблиця 1'!$I:$I,"Mirage",'Таблиця 1'!$J:$J,"AGM-88")+SUMIFS('Таблиця 1'!$K:$K,'Таблиця 1'!$B:$B,$A475,'Таблиця 1'!$I:$I,"F-16",'Таблиця 1'!$J:$J,"AGM-88")+SUMIFS('Таблиця 1'!$K:$K,'Таблиця 1'!$B:$B,$A475,'Таблиця 1'!$I:$I,"МіГ-29",'Таблиця 1'!$J:$J,"AGM-88")+SUMIFS('Таблиця 1'!$K:$K,'Таблиця 1'!$B:$B,$A475,'Таблиця 1'!$I:$I,"Су-25",'Таблиця 1'!$J:$J,"AGM-88")+SUMIFS('Таблиця 1'!$K:$K,'Таблиця 1'!$B:$B,$A475,'Таблиця 1'!$I:$I,"Су-27",'Таблиця 1'!$J:$J,"AGM-88"))</f>
        <v/>
      </c>
      <c r="I475">
        <f>IF($A475="","",SUMIFS('Таблиця 1'!$K:$K,'Таблиця 1'!$B:$B,$A475,'Таблиця 1'!$I:$I,"Mirage",'Таблиця 1'!$J:$J,"AASM-250")+SUMIFS('Таблиця 1'!$K:$K,'Таблиця 1'!$B:$B,$A475,'Таблиця 1'!$I:$I,"F-16",'Таблиця 1'!$J:$J,"AASM-250")+SUMIFS('Таблиця 1'!$K:$K,'Таблиця 1'!$B:$B,$A475,'Таблиця 1'!$I:$I,"МіГ-29",'Таблиця 1'!$J:$J,"AASM-250")+SUMIFS('Таблиця 1'!$K:$K,'Таблиця 1'!$B:$B,$A475,'Таблиця 1'!$I:$I,"Су-25",'Таблиця 1'!$J:$J,"AASM-250")+SUMIFS('Таблиця 1'!$K:$K,'Таблиця 1'!$B:$B,$A475,'Таблиця 1'!$I:$I,"Су-27",'Таблиця 1'!$J:$J,"AASM-250"))</f>
        <v/>
      </c>
      <c r="J475">
        <f>IF($A475="","",SUMIFS('Таблиця 1'!$K:$K,'Таблиця 1'!$B:$B,$A475,'Таблиця 1'!$I:$I,"Mirage",'Таблиця 1'!$J:$J,"GBU-39")+SUMIFS('Таблиця 1'!$K:$K,'Таблиця 1'!$B:$B,$A475,'Таблиця 1'!$I:$I,"F-16",'Таблиця 1'!$J:$J,"GBU-39")+SUMIFS('Таблиця 1'!$K:$K,'Таблиця 1'!$B:$B,$A475,'Таблиця 1'!$I:$I,"МіГ-29",'Таблиця 1'!$J:$J,"GBU-39")+SUMIFS('Таблиця 1'!$K:$K,'Таблиця 1'!$B:$B,$A475,'Таблиця 1'!$I:$I,"Су-25",'Таблиця 1'!$J:$J,"GBU-39")+SUMIFS('Таблиця 1'!$K:$K,'Таблиця 1'!$B:$B,$A475,'Таблиця 1'!$I:$I,"Су-27",'Таблиця 1'!$J:$J,"GBU-39"))</f>
        <v/>
      </c>
      <c r="K475">
        <f>IF($A475="","",SUMIFS('Таблиця 1'!$K:$K,'Таблиця 1'!$B:$B,$A475,'Таблиця 1'!$I:$I,"Mirage",'Таблиця 1'!$J:$J,"BLU-140")+SUMIFS('Таблиця 1'!$K:$K,'Таблиця 1'!$B:$B,$A475,'Таблиця 1'!$I:$I,"F-16",'Таблиця 1'!$J:$J,"BLU-140")+SUMIFS('Таблиця 1'!$K:$K,'Таблиця 1'!$B:$B,$A475,'Таблиця 1'!$I:$I,"МіГ-29",'Таблиця 1'!$J:$J,"BLU-140")+SUMIFS('Таблиця 1'!$K:$K,'Таблиця 1'!$B:$B,$A475,'Таблиця 1'!$I:$I,"Су-25",'Таблиця 1'!$J:$J,"BLU-140")+SUMIFS('Таблиця 1'!$K:$K,'Таблиця 1'!$B:$B,$A475,'Таблиця 1'!$I:$I,"Су-27",'Таблиця 1'!$J:$J,"BLU-140"))</f>
        <v/>
      </c>
      <c r="L475">
        <f>IF($A475="","",SUMIFS('Таблиця 1'!$K:$K,'Таблиця 1'!$B:$B,$A475,'Таблиця 1'!$I:$I,"Mirage",'Таблиця 1'!$J:$J,"GBU-65")+SUMIFS('Таблиця 1'!$K:$K,'Таблиця 1'!$B:$B,$A475,'Таблиця 1'!$I:$I,"F-16",'Таблиця 1'!$J:$J,"GBU-65")+SUMIFS('Таблиця 1'!$K:$K,'Таблиця 1'!$B:$B,$A475,'Таблиця 1'!$I:$I,"МіГ-29",'Таблиця 1'!$J:$J,"GBU-65")+SUMIFS('Таблиця 1'!$K:$K,'Таблиця 1'!$B:$B,$A475,'Таблиця 1'!$I:$I,"Су-25",'Таблиця 1'!$J:$J,"GBU-65")+SUMIFS('Таблиця 1'!$K:$K,'Таблиця 1'!$B:$B,$A475,'Таблиця 1'!$I:$I,"Су-27",'Таблиця 1'!$J:$J,"GBU-65"))</f>
        <v/>
      </c>
      <c r="M475">
        <f>IF($A475="","",SUMIFS('Таблиця 1'!$K:$K,'Таблиця 1'!$B:$B,$A475,'Таблиця 1'!$I:$I,"Mirage",'Таблиця 1'!$J:$J,"GBU-62")+SUMIFS('Таблиця 1'!$K:$K,'Таблиця 1'!$B:$B,$A475,'Таблиця 1'!$I:$I,"F-16",'Таблиця 1'!$J:$J,"GBU-62")+SUMIFS('Таблиця 1'!$K:$K,'Таблиця 1'!$B:$B,$A475,'Таблиця 1'!$I:$I,"МіГ-29",'Таблиця 1'!$J:$J,"GBU-62")+SUMIFS('Таблиця 1'!$K:$K,'Таблиця 1'!$B:$B,$A475,'Таблиця 1'!$I:$I,"Су-25",'Таблиця 1'!$J:$J,"GBU-62")+SUMIFS('Таблиця 1'!$K:$K,'Таблиця 1'!$B:$B,$A475,'Таблиця 1'!$I:$I,"Су-27",'Таблиця 1'!$J:$J,"GBU-62"))</f>
        <v/>
      </c>
      <c r="N475">
        <f>IF($A475="","",SUMIFS('Таблиця 1'!$K:$K,'Таблиця 1'!$B:$B,$A475,'Таблиця 1'!$I:$I,"Mirage",'Таблиця 1'!$J:$J,"GBU-64")+SUMIFS('Таблиця 1'!$K:$K,'Таблиця 1'!$B:$B,$A475,'Таблиця 1'!$I:$I,"F-16",'Таблиця 1'!$J:$J,"GBU-64")+SUMIFS('Таблиця 1'!$K:$K,'Таблиця 1'!$B:$B,$A475,'Таблиця 1'!$I:$I,"МіГ-29",'Таблиця 1'!$J:$J,"GBU-64")+SUMIFS('Таблиця 1'!$K:$K,'Таблиця 1'!$B:$B,$A475,'Таблиця 1'!$I:$I,"Су-25",'Таблиця 1'!$J:$J,"GBU-64")+SUMIFS('Таблиця 1'!$K:$K,'Таблиця 1'!$B:$B,$A475,'Таблиця 1'!$I:$I,"Су-27",'Таблиця 1'!$J:$J,"GBU-64"))</f>
        <v/>
      </c>
      <c r="O475">
        <f>IF($A475="","",SUMIFS('Таблиця 1'!$K:$K,'Таблиця 1'!$B:$B,$A475,'Таблиця 1'!$I:$I,"Mirage",'Таблиця 1'!$J:$J,"C-13")+SUMIFS('Таблиця 1'!$K:$K,'Таблиця 1'!$B:$B,$A475,'Таблиця 1'!$I:$I,"F-16",'Таблиця 1'!$J:$J,"C-13")+SUMIFS('Таблиця 1'!$K:$K,'Таблиця 1'!$B:$B,$A475,'Таблиця 1'!$I:$I,"МіГ-29",'Таблиця 1'!$J:$J,"C-13")+SUMIFS('Таблиця 1'!$K:$K,'Таблиця 1'!$B:$B,$A475,'Таблиця 1'!$I:$I,"Су-25",'Таблиця 1'!$J:$J,"C-13")+SUMIFS('Таблиця 1'!$K:$K,'Таблиця 1'!$B:$B,$A475,'Таблиця 1'!$I:$I,"Су-27",'Таблиця 1'!$J:$J,"C-13"))</f>
        <v/>
      </c>
      <c r="P475">
        <f>IF($A475="","",SUMIFS('Таблиця 1'!$K:$K,'Таблиця 1'!$B:$B,$A475,'Таблиця 1'!$I:$I,"Mirage",'Таблиця 1'!$J:$J,"MK-32")+SUMIFS('Таблиця 1'!$K:$K,'Таблиця 1'!$B:$B,$A475,'Таблиця 1'!$I:$I,"F-16",'Таблиця 1'!$J:$J,"MK-32")+SUMIFS('Таблиця 1'!$K:$K,'Таблиця 1'!$B:$B,$A475,'Таблиця 1'!$I:$I,"МіГ-29",'Таблиця 1'!$J:$J,"MK-32")+SUMIFS('Таблиця 1'!$K:$K,'Таблиця 1'!$B:$B,$A475,'Таблиця 1'!$I:$I,"Су-25",'Таблиця 1'!$J:$J,"MK-32")+SUMIFS('Таблиця 1'!$K:$K,'Таблиця 1'!$B:$B,$A475,'Таблиця 1'!$I:$I,"Су-27",'Таблиця 1'!$J:$J,"MK-32"))</f>
        <v/>
      </c>
      <c r="Q475">
        <f>IF($A475="","",SUMIFS('Таблиця 1'!$K:$K,'Таблиця 1'!$B:$B,$A475,'Таблиця 1'!$I:$I,"Mirage",'Таблиця 1'!$J:$J,"MK-24")+SUMIFS('Таблиця 1'!$K:$K,'Таблиця 1'!$B:$B,$A475,'Таблиця 1'!$I:$I,"F-16",'Таблиця 1'!$J:$J,"MK-24")+SUMIFS('Таблиця 1'!$K:$K,'Таблиця 1'!$B:$B,$A475,'Таблиця 1'!$I:$I,"МіГ-29",'Таблиця 1'!$J:$J,"MK-24")+SUMIFS('Таблиця 1'!$K:$K,'Таблиця 1'!$B:$B,$A475,'Таблиця 1'!$I:$I,"Су-25",'Таблиця 1'!$J:$J,"MK-24")+SUMIFS('Таблиця 1'!$K:$K,'Таблиця 1'!$B:$B,$A475,'Таблиця 1'!$I:$I,"Су-27",'Таблиця 1'!$J:$J,"MK-24"))</f>
        <v/>
      </c>
      <c r="R475">
        <f>IF($A475="","",COUNTIFS('Таблиця 1'!$B:$B,$A475,'Таблиця 1'!$I:$I,"Mirage",'Таблиця 1'!$L:$L,"Уражено")+COUNTIFS('Таблиця 1'!$B:$B,$A475,'Таблиця 1'!$I:$I,"F-16",'Таблиця 1'!$L:$L,"Уражено")+COUNTIFS('Таблиця 1'!$B:$B,$A475,'Таблиця 1'!$I:$I,"МіГ-29",'Таблиця 1'!$L:$L,"Уражено")+COUNTIFS('Таблиця 1'!$B:$B,$A475,'Таблиця 1'!$I:$I,"Су-25",'Таблиця 1'!$L:$L,"Уражено")+COUNTIFS('Таблиця 1'!$B:$B,$A475,'Таблиця 1'!$I:$I,"Су-27",'Таблиця 1'!$L:$L,"Уражено"))</f>
        <v/>
      </c>
      <c r="S475">
        <f>IF($A475="","",COUNTIFS('Таблиця 1'!$B:$B,$A475,'Таблиця 1'!$I:$I,"Mirage",'Таблиця 1'!$L:$L,"НЕ уражено")+COUNTIFS('Таблиця 1'!$B:$B,$A475,'Таблиця 1'!$I:$I,"F-16",'Таблиця 1'!$L:$L,"НЕ уражено")+COUNTIFS('Таблиця 1'!$B:$B,$A475,'Таблиця 1'!$I:$I,"МіГ-29",'Таблиця 1'!$L:$L,"НЕ уражено")+COUNTIFS('Таблиця 1'!$B:$B,$A475,'Таблиця 1'!$I:$I,"Су-25",'Таблиця 1'!$L:$L,"НЕ уражено")+COUNTIFS('Таблиця 1'!$B:$B,$A475,'Таблиця 1'!$I:$I,"Су-27",'Таблиця 1'!$L:$L,"НЕ уражено"))</f>
        <v/>
      </c>
      <c r="T475">
        <f>IF($A475="","",COUNTIFS('Таблиця 1'!$B:$B,$A475,'Таблиця 1'!$I:$I,"Mirage",'Таблиця 1'!$L:$L,"Дорозвідується")+COUNTIFS('Таблиця 1'!$B:$B,$A475,'Таблиця 1'!$I:$I,"F-16",'Таблиця 1'!$L:$L,"Дорозвідується")+COUNTIFS('Таблиця 1'!$B:$B,$A475,'Таблиця 1'!$I:$I,"МіГ-29",'Таблиця 1'!$L:$L,"Дорозвідується")+COUNTIFS('Таблиця 1'!$B:$B,$A475,'Таблиця 1'!$I:$I,"Су-25",'Таблиця 1'!$L:$L,"Дорозвідується")+COUNTIFS('Таблиця 1'!$B:$B,$A475,'Таблиця 1'!$I:$I,"Су-27",'Таблиця 1'!$L:$L,"Дорозвідується"))</f>
        <v/>
      </c>
    </row>
    <row r="476">
      <c r="A476" s="273">
        <f>IF(A475="","",IF(A475+1&gt;MAX('Таблиця 1'!$B:$B),"",A475+1))</f>
        <v/>
      </c>
      <c r="B476">
        <f>IF($A476="","",COUNTIFS('Таблиця 1'!$B:$B,$A476,'Таблиця 1'!$I:$I,"Mirage")+COUNTIFS('Таблиця 1'!$B:$B,$A476,'Таблиця 1'!$I:$I,"F-16")+COUNTIFS('Таблиця 1'!$B:$B,$A476,'Таблиця 1'!$I:$I,"МіГ-29")+COUNTIFS('Таблиця 1'!$B:$B,$A476,'Таблиця 1'!$I:$I,"Су-25")+COUNTIFS('Таблиця 1'!$B:$B,$A476,'Таблиця 1'!$I:$I,"Су-27"))</f>
        <v/>
      </c>
      <c r="C476">
        <f>IF($A476="","",COUNTIFS('Таблиця 1'!$B:$B,$A476,'Таблиця 1'!$I:$I,"Mirage"))</f>
        <v/>
      </c>
      <c r="D476">
        <f>IF($A476="","",COUNTIFS('Таблиця 1'!$B:$B,$A476,'Таблиця 1'!$I:$I,"F-16"))</f>
        <v/>
      </c>
      <c r="E476">
        <f>IF($A476="","",COUNTIFS('Таблиця 1'!$B:$B,$A476,'Таблиця 1'!$I:$I,"МіГ-29"))</f>
        <v/>
      </c>
      <c r="F476">
        <f>IF($A476="","",COUNTIFS('Таблиця 1'!$B:$B,$A476,'Таблиця 1'!$I:$I,"Су-25"))</f>
        <v/>
      </c>
      <c r="G476">
        <f>IF($A476="","",COUNTIFS('Таблиця 1'!$B:$B,$A476,'Таблиця 1'!$I:$I,"Су-27"))</f>
        <v/>
      </c>
      <c r="H476">
        <f>IF($A476="","",SUMIFS('Таблиця 1'!$K:$K,'Таблиця 1'!$B:$B,$A476,'Таблиця 1'!$I:$I,"Mirage",'Таблиця 1'!$J:$J,"AGM-88")+SUMIFS('Таблиця 1'!$K:$K,'Таблиця 1'!$B:$B,$A476,'Таблиця 1'!$I:$I,"F-16",'Таблиця 1'!$J:$J,"AGM-88")+SUMIFS('Таблиця 1'!$K:$K,'Таблиця 1'!$B:$B,$A476,'Таблиця 1'!$I:$I,"МіГ-29",'Таблиця 1'!$J:$J,"AGM-88")+SUMIFS('Таблиця 1'!$K:$K,'Таблиця 1'!$B:$B,$A476,'Таблиця 1'!$I:$I,"Су-25",'Таблиця 1'!$J:$J,"AGM-88")+SUMIFS('Таблиця 1'!$K:$K,'Таблиця 1'!$B:$B,$A476,'Таблиця 1'!$I:$I,"Су-27",'Таблиця 1'!$J:$J,"AGM-88"))</f>
        <v/>
      </c>
      <c r="I476">
        <f>IF($A476="","",SUMIFS('Таблиця 1'!$K:$K,'Таблиця 1'!$B:$B,$A476,'Таблиця 1'!$I:$I,"Mirage",'Таблиця 1'!$J:$J,"AASM-250")+SUMIFS('Таблиця 1'!$K:$K,'Таблиця 1'!$B:$B,$A476,'Таблиця 1'!$I:$I,"F-16",'Таблиця 1'!$J:$J,"AASM-250")+SUMIFS('Таблиця 1'!$K:$K,'Таблиця 1'!$B:$B,$A476,'Таблиця 1'!$I:$I,"МіГ-29",'Таблиця 1'!$J:$J,"AASM-250")+SUMIFS('Таблиця 1'!$K:$K,'Таблиця 1'!$B:$B,$A476,'Таблиця 1'!$I:$I,"Су-25",'Таблиця 1'!$J:$J,"AASM-250")+SUMIFS('Таблиця 1'!$K:$K,'Таблиця 1'!$B:$B,$A476,'Таблиця 1'!$I:$I,"Су-27",'Таблиця 1'!$J:$J,"AASM-250"))</f>
        <v/>
      </c>
      <c r="J476">
        <f>IF($A476="","",SUMIFS('Таблиця 1'!$K:$K,'Таблиця 1'!$B:$B,$A476,'Таблиця 1'!$I:$I,"Mirage",'Таблиця 1'!$J:$J,"GBU-39")+SUMIFS('Таблиця 1'!$K:$K,'Таблиця 1'!$B:$B,$A476,'Таблиця 1'!$I:$I,"F-16",'Таблиця 1'!$J:$J,"GBU-39")+SUMIFS('Таблиця 1'!$K:$K,'Таблиця 1'!$B:$B,$A476,'Таблиця 1'!$I:$I,"МіГ-29",'Таблиця 1'!$J:$J,"GBU-39")+SUMIFS('Таблиця 1'!$K:$K,'Таблиця 1'!$B:$B,$A476,'Таблиця 1'!$I:$I,"Су-25",'Таблиця 1'!$J:$J,"GBU-39")+SUMIFS('Таблиця 1'!$K:$K,'Таблиця 1'!$B:$B,$A476,'Таблиця 1'!$I:$I,"Су-27",'Таблиця 1'!$J:$J,"GBU-39"))</f>
        <v/>
      </c>
      <c r="K476">
        <f>IF($A476="","",SUMIFS('Таблиця 1'!$K:$K,'Таблиця 1'!$B:$B,$A476,'Таблиця 1'!$I:$I,"Mirage",'Таблиця 1'!$J:$J,"BLU-140")+SUMIFS('Таблиця 1'!$K:$K,'Таблиця 1'!$B:$B,$A476,'Таблиця 1'!$I:$I,"F-16",'Таблиця 1'!$J:$J,"BLU-140")+SUMIFS('Таблиця 1'!$K:$K,'Таблиця 1'!$B:$B,$A476,'Таблиця 1'!$I:$I,"МіГ-29",'Таблиця 1'!$J:$J,"BLU-140")+SUMIFS('Таблиця 1'!$K:$K,'Таблиця 1'!$B:$B,$A476,'Таблиця 1'!$I:$I,"Су-25",'Таблиця 1'!$J:$J,"BLU-140")+SUMIFS('Таблиця 1'!$K:$K,'Таблиця 1'!$B:$B,$A476,'Таблиця 1'!$I:$I,"Су-27",'Таблиця 1'!$J:$J,"BLU-140"))</f>
        <v/>
      </c>
      <c r="L476">
        <f>IF($A476="","",SUMIFS('Таблиця 1'!$K:$K,'Таблиця 1'!$B:$B,$A476,'Таблиця 1'!$I:$I,"Mirage",'Таблиця 1'!$J:$J,"GBU-65")+SUMIFS('Таблиця 1'!$K:$K,'Таблиця 1'!$B:$B,$A476,'Таблиця 1'!$I:$I,"F-16",'Таблиця 1'!$J:$J,"GBU-65")+SUMIFS('Таблиця 1'!$K:$K,'Таблиця 1'!$B:$B,$A476,'Таблиця 1'!$I:$I,"МіГ-29",'Таблиця 1'!$J:$J,"GBU-65")+SUMIFS('Таблиця 1'!$K:$K,'Таблиця 1'!$B:$B,$A476,'Таблиця 1'!$I:$I,"Су-25",'Таблиця 1'!$J:$J,"GBU-65")+SUMIFS('Таблиця 1'!$K:$K,'Таблиця 1'!$B:$B,$A476,'Таблиця 1'!$I:$I,"Су-27",'Таблиця 1'!$J:$J,"GBU-65"))</f>
        <v/>
      </c>
      <c r="M476">
        <f>IF($A476="","",SUMIFS('Таблиця 1'!$K:$K,'Таблиця 1'!$B:$B,$A476,'Таблиця 1'!$I:$I,"Mirage",'Таблиця 1'!$J:$J,"GBU-62")+SUMIFS('Таблиця 1'!$K:$K,'Таблиця 1'!$B:$B,$A476,'Таблиця 1'!$I:$I,"F-16",'Таблиця 1'!$J:$J,"GBU-62")+SUMIFS('Таблиця 1'!$K:$K,'Таблиця 1'!$B:$B,$A476,'Таблиця 1'!$I:$I,"МіГ-29",'Таблиця 1'!$J:$J,"GBU-62")+SUMIFS('Таблиця 1'!$K:$K,'Таблиця 1'!$B:$B,$A476,'Таблиця 1'!$I:$I,"Су-25",'Таблиця 1'!$J:$J,"GBU-62")+SUMIFS('Таблиця 1'!$K:$K,'Таблиця 1'!$B:$B,$A476,'Таблиця 1'!$I:$I,"Су-27",'Таблиця 1'!$J:$J,"GBU-62"))</f>
        <v/>
      </c>
      <c r="N476">
        <f>IF($A476="","",SUMIFS('Таблиця 1'!$K:$K,'Таблиця 1'!$B:$B,$A476,'Таблиця 1'!$I:$I,"Mirage",'Таблиця 1'!$J:$J,"GBU-64")+SUMIFS('Таблиця 1'!$K:$K,'Таблиця 1'!$B:$B,$A476,'Таблиця 1'!$I:$I,"F-16",'Таблиця 1'!$J:$J,"GBU-64")+SUMIFS('Таблиця 1'!$K:$K,'Таблиця 1'!$B:$B,$A476,'Таблиця 1'!$I:$I,"МіГ-29",'Таблиця 1'!$J:$J,"GBU-64")+SUMIFS('Таблиця 1'!$K:$K,'Таблиця 1'!$B:$B,$A476,'Таблиця 1'!$I:$I,"Су-25",'Таблиця 1'!$J:$J,"GBU-64")+SUMIFS('Таблиця 1'!$K:$K,'Таблиця 1'!$B:$B,$A476,'Таблиця 1'!$I:$I,"Су-27",'Таблиця 1'!$J:$J,"GBU-64"))</f>
        <v/>
      </c>
      <c r="O476">
        <f>IF($A476="","",SUMIFS('Таблиця 1'!$K:$K,'Таблиця 1'!$B:$B,$A476,'Таблиця 1'!$I:$I,"Mirage",'Таблиця 1'!$J:$J,"C-13")+SUMIFS('Таблиця 1'!$K:$K,'Таблиця 1'!$B:$B,$A476,'Таблиця 1'!$I:$I,"F-16",'Таблиця 1'!$J:$J,"C-13")+SUMIFS('Таблиця 1'!$K:$K,'Таблиця 1'!$B:$B,$A476,'Таблиця 1'!$I:$I,"МіГ-29",'Таблиця 1'!$J:$J,"C-13")+SUMIFS('Таблиця 1'!$K:$K,'Таблиця 1'!$B:$B,$A476,'Таблиця 1'!$I:$I,"Су-25",'Таблиця 1'!$J:$J,"C-13")+SUMIFS('Таблиця 1'!$K:$K,'Таблиця 1'!$B:$B,$A476,'Таблиця 1'!$I:$I,"Су-27",'Таблиця 1'!$J:$J,"C-13"))</f>
        <v/>
      </c>
      <c r="P476">
        <f>IF($A476="","",SUMIFS('Таблиця 1'!$K:$K,'Таблиця 1'!$B:$B,$A476,'Таблиця 1'!$I:$I,"Mirage",'Таблиця 1'!$J:$J,"MK-32")+SUMIFS('Таблиця 1'!$K:$K,'Таблиця 1'!$B:$B,$A476,'Таблиця 1'!$I:$I,"F-16",'Таблиця 1'!$J:$J,"MK-32")+SUMIFS('Таблиця 1'!$K:$K,'Таблиця 1'!$B:$B,$A476,'Таблиця 1'!$I:$I,"МіГ-29",'Таблиця 1'!$J:$J,"MK-32")+SUMIFS('Таблиця 1'!$K:$K,'Таблиця 1'!$B:$B,$A476,'Таблиця 1'!$I:$I,"Су-25",'Таблиця 1'!$J:$J,"MK-32")+SUMIFS('Таблиця 1'!$K:$K,'Таблиця 1'!$B:$B,$A476,'Таблиця 1'!$I:$I,"Су-27",'Таблиця 1'!$J:$J,"MK-32"))</f>
        <v/>
      </c>
      <c r="Q476">
        <f>IF($A476="","",SUMIFS('Таблиця 1'!$K:$K,'Таблиця 1'!$B:$B,$A476,'Таблиця 1'!$I:$I,"Mirage",'Таблиця 1'!$J:$J,"MK-24")+SUMIFS('Таблиця 1'!$K:$K,'Таблиця 1'!$B:$B,$A476,'Таблиця 1'!$I:$I,"F-16",'Таблиця 1'!$J:$J,"MK-24")+SUMIFS('Таблиця 1'!$K:$K,'Таблиця 1'!$B:$B,$A476,'Таблиця 1'!$I:$I,"МіГ-29",'Таблиця 1'!$J:$J,"MK-24")+SUMIFS('Таблиця 1'!$K:$K,'Таблиця 1'!$B:$B,$A476,'Таблиця 1'!$I:$I,"Су-25",'Таблиця 1'!$J:$J,"MK-24")+SUMIFS('Таблиця 1'!$K:$K,'Таблиця 1'!$B:$B,$A476,'Таблиця 1'!$I:$I,"Су-27",'Таблиця 1'!$J:$J,"MK-24"))</f>
        <v/>
      </c>
      <c r="R476">
        <f>IF($A476="","",COUNTIFS('Таблиця 1'!$B:$B,$A476,'Таблиця 1'!$I:$I,"Mirage",'Таблиця 1'!$L:$L,"Уражено")+COUNTIFS('Таблиця 1'!$B:$B,$A476,'Таблиця 1'!$I:$I,"F-16",'Таблиця 1'!$L:$L,"Уражено")+COUNTIFS('Таблиця 1'!$B:$B,$A476,'Таблиця 1'!$I:$I,"МіГ-29",'Таблиця 1'!$L:$L,"Уражено")+COUNTIFS('Таблиця 1'!$B:$B,$A476,'Таблиця 1'!$I:$I,"Су-25",'Таблиця 1'!$L:$L,"Уражено")+COUNTIFS('Таблиця 1'!$B:$B,$A476,'Таблиця 1'!$I:$I,"Су-27",'Таблиця 1'!$L:$L,"Уражено"))</f>
        <v/>
      </c>
      <c r="S476">
        <f>IF($A476="","",COUNTIFS('Таблиця 1'!$B:$B,$A476,'Таблиця 1'!$I:$I,"Mirage",'Таблиця 1'!$L:$L,"НЕ уражено")+COUNTIFS('Таблиця 1'!$B:$B,$A476,'Таблиця 1'!$I:$I,"F-16",'Таблиця 1'!$L:$L,"НЕ уражено")+COUNTIFS('Таблиця 1'!$B:$B,$A476,'Таблиця 1'!$I:$I,"МіГ-29",'Таблиця 1'!$L:$L,"НЕ уражено")+COUNTIFS('Таблиця 1'!$B:$B,$A476,'Таблиця 1'!$I:$I,"Су-25",'Таблиця 1'!$L:$L,"НЕ уражено")+COUNTIFS('Таблиця 1'!$B:$B,$A476,'Таблиця 1'!$I:$I,"Су-27",'Таблиця 1'!$L:$L,"НЕ уражено"))</f>
        <v/>
      </c>
      <c r="T476">
        <f>IF($A476="","",COUNTIFS('Таблиця 1'!$B:$B,$A476,'Таблиця 1'!$I:$I,"Mirage",'Таблиця 1'!$L:$L,"Дорозвідується")+COUNTIFS('Таблиця 1'!$B:$B,$A476,'Таблиця 1'!$I:$I,"F-16",'Таблиця 1'!$L:$L,"Дорозвідується")+COUNTIFS('Таблиця 1'!$B:$B,$A476,'Таблиця 1'!$I:$I,"МіГ-29",'Таблиця 1'!$L:$L,"Дорозвідується")+COUNTIFS('Таблиця 1'!$B:$B,$A476,'Таблиця 1'!$I:$I,"Су-25",'Таблиця 1'!$L:$L,"Дорозвідується")+COUNTIFS('Таблиця 1'!$B:$B,$A476,'Таблиця 1'!$I:$I,"Су-27",'Таблиця 1'!$L:$L,"Дорозвідується"))</f>
        <v/>
      </c>
    </row>
    <row r="477">
      <c r="A477" s="273">
        <f>IF(A476="","",IF(A476+1&gt;MAX('Таблиця 1'!$B:$B),"",A476+1))</f>
        <v/>
      </c>
      <c r="B477">
        <f>IF($A477="","",COUNTIFS('Таблиця 1'!$B:$B,$A477,'Таблиця 1'!$I:$I,"Mirage")+COUNTIFS('Таблиця 1'!$B:$B,$A477,'Таблиця 1'!$I:$I,"F-16")+COUNTIFS('Таблиця 1'!$B:$B,$A477,'Таблиця 1'!$I:$I,"МіГ-29")+COUNTIFS('Таблиця 1'!$B:$B,$A477,'Таблиця 1'!$I:$I,"Су-25")+COUNTIFS('Таблиця 1'!$B:$B,$A477,'Таблиця 1'!$I:$I,"Су-27"))</f>
        <v/>
      </c>
      <c r="C477">
        <f>IF($A477="","",COUNTIFS('Таблиця 1'!$B:$B,$A477,'Таблиця 1'!$I:$I,"Mirage"))</f>
        <v/>
      </c>
      <c r="D477">
        <f>IF($A477="","",COUNTIFS('Таблиця 1'!$B:$B,$A477,'Таблиця 1'!$I:$I,"F-16"))</f>
        <v/>
      </c>
      <c r="E477">
        <f>IF($A477="","",COUNTIFS('Таблиця 1'!$B:$B,$A477,'Таблиця 1'!$I:$I,"МіГ-29"))</f>
        <v/>
      </c>
      <c r="F477">
        <f>IF($A477="","",COUNTIFS('Таблиця 1'!$B:$B,$A477,'Таблиця 1'!$I:$I,"Су-25"))</f>
        <v/>
      </c>
      <c r="G477">
        <f>IF($A477="","",COUNTIFS('Таблиця 1'!$B:$B,$A477,'Таблиця 1'!$I:$I,"Су-27"))</f>
        <v/>
      </c>
      <c r="H477">
        <f>IF($A477="","",SUMIFS('Таблиця 1'!$K:$K,'Таблиця 1'!$B:$B,$A477,'Таблиця 1'!$I:$I,"Mirage",'Таблиця 1'!$J:$J,"AGM-88")+SUMIFS('Таблиця 1'!$K:$K,'Таблиця 1'!$B:$B,$A477,'Таблиця 1'!$I:$I,"F-16",'Таблиця 1'!$J:$J,"AGM-88")+SUMIFS('Таблиця 1'!$K:$K,'Таблиця 1'!$B:$B,$A477,'Таблиця 1'!$I:$I,"МіГ-29",'Таблиця 1'!$J:$J,"AGM-88")+SUMIFS('Таблиця 1'!$K:$K,'Таблиця 1'!$B:$B,$A477,'Таблиця 1'!$I:$I,"Су-25",'Таблиця 1'!$J:$J,"AGM-88")+SUMIFS('Таблиця 1'!$K:$K,'Таблиця 1'!$B:$B,$A477,'Таблиця 1'!$I:$I,"Су-27",'Таблиця 1'!$J:$J,"AGM-88"))</f>
        <v/>
      </c>
      <c r="I477">
        <f>IF($A477="","",SUMIFS('Таблиця 1'!$K:$K,'Таблиця 1'!$B:$B,$A477,'Таблиця 1'!$I:$I,"Mirage",'Таблиця 1'!$J:$J,"AASM-250")+SUMIFS('Таблиця 1'!$K:$K,'Таблиця 1'!$B:$B,$A477,'Таблиця 1'!$I:$I,"F-16",'Таблиця 1'!$J:$J,"AASM-250")+SUMIFS('Таблиця 1'!$K:$K,'Таблиця 1'!$B:$B,$A477,'Таблиця 1'!$I:$I,"МіГ-29",'Таблиця 1'!$J:$J,"AASM-250")+SUMIFS('Таблиця 1'!$K:$K,'Таблиця 1'!$B:$B,$A477,'Таблиця 1'!$I:$I,"Су-25",'Таблиця 1'!$J:$J,"AASM-250")+SUMIFS('Таблиця 1'!$K:$K,'Таблиця 1'!$B:$B,$A477,'Таблиця 1'!$I:$I,"Су-27",'Таблиця 1'!$J:$J,"AASM-250"))</f>
        <v/>
      </c>
      <c r="J477">
        <f>IF($A477="","",SUMIFS('Таблиця 1'!$K:$K,'Таблиця 1'!$B:$B,$A477,'Таблиця 1'!$I:$I,"Mirage",'Таблиця 1'!$J:$J,"GBU-39")+SUMIFS('Таблиця 1'!$K:$K,'Таблиця 1'!$B:$B,$A477,'Таблиця 1'!$I:$I,"F-16",'Таблиця 1'!$J:$J,"GBU-39")+SUMIFS('Таблиця 1'!$K:$K,'Таблиця 1'!$B:$B,$A477,'Таблиця 1'!$I:$I,"МіГ-29",'Таблиця 1'!$J:$J,"GBU-39")+SUMIFS('Таблиця 1'!$K:$K,'Таблиця 1'!$B:$B,$A477,'Таблиця 1'!$I:$I,"Су-25",'Таблиця 1'!$J:$J,"GBU-39")+SUMIFS('Таблиця 1'!$K:$K,'Таблиця 1'!$B:$B,$A477,'Таблиця 1'!$I:$I,"Су-27",'Таблиця 1'!$J:$J,"GBU-39"))</f>
        <v/>
      </c>
      <c r="K477">
        <f>IF($A477="","",SUMIFS('Таблиця 1'!$K:$K,'Таблиця 1'!$B:$B,$A477,'Таблиця 1'!$I:$I,"Mirage",'Таблиця 1'!$J:$J,"BLU-140")+SUMIFS('Таблиця 1'!$K:$K,'Таблиця 1'!$B:$B,$A477,'Таблиця 1'!$I:$I,"F-16",'Таблиця 1'!$J:$J,"BLU-140")+SUMIFS('Таблиця 1'!$K:$K,'Таблиця 1'!$B:$B,$A477,'Таблиця 1'!$I:$I,"МіГ-29",'Таблиця 1'!$J:$J,"BLU-140")+SUMIFS('Таблиця 1'!$K:$K,'Таблиця 1'!$B:$B,$A477,'Таблиця 1'!$I:$I,"Су-25",'Таблиця 1'!$J:$J,"BLU-140")+SUMIFS('Таблиця 1'!$K:$K,'Таблиця 1'!$B:$B,$A477,'Таблиця 1'!$I:$I,"Су-27",'Таблиця 1'!$J:$J,"BLU-140"))</f>
        <v/>
      </c>
      <c r="L477">
        <f>IF($A477="","",SUMIFS('Таблиця 1'!$K:$K,'Таблиця 1'!$B:$B,$A477,'Таблиця 1'!$I:$I,"Mirage",'Таблиця 1'!$J:$J,"GBU-65")+SUMIFS('Таблиця 1'!$K:$K,'Таблиця 1'!$B:$B,$A477,'Таблиця 1'!$I:$I,"F-16",'Таблиця 1'!$J:$J,"GBU-65")+SUMIFS('Таблиця 1'!$K:$K,'Таблиця 1'!$B:$B,$A477,'Таблиця 1'!$I:$I,"МіГ-29",'Таблиця 1'!$J:$J,"GBU-65")+SUMIFS('Таблиця 1'!$K:$K,'Таблиця 1'!$B:$B,$A477,'Таблиця 1'!$I:$I,"Су-25",'Таблиця 1'!$J:$J,"GBU-65")+SUMIFS('Таблиця 1'!$K:$K,'Таблиця 1'!$B:$B,$A477,'Таблиця 1'!$I:$I,"Су-27",'Таблиця 1'!$J:$J,"GBU-65"))</f>
        <v/>
      </c>
      <c r="M477">
        <f>IF($A477="","",SUMIFS('Таблиця 1'!$K:$K,'Таблиця 1'!$B:$B,$A477,'Таблиця 1'!$I:$I,"Mirage",'Таблиця 1'!$J:$J,"GBU-62")+SUMIFS('Таблиця 1'!$K:$K,'Таблиця 1'!$B:$B,$A477,'Таблиця 1'!$I:$I,"F-16",'Таблиця 1'!$J:$J,"GBU-62")+SUMIFS('Таблиця 1'!$K:$K,'Таблиця 1'!$B:$B,$A477,'Таблиця 1'!$I:$I,"МіГ-29",'Таблиця 1'!$J:$J,"GBU-62")+SUMIFS('Таблиця 1'!$K:$K,'Таблиця 1'!$B:$B,$A477,'Таблиця 1'!$I:$I,"Су-25",'Таблиця 1'!$J:$J,"GBU-62")+SUMIFS('Таблиця 1'!$K:$K,'Таблиця 1'!$B:$B,$A477,'Таблиця 1'!$I:$I,"Су-27",'Таблиця 1'!$J:$J,"GBU-62"))</f>
        <v/>
      </c>
      <c r="N477">
        <f>IF($A477="","",SUMIFS('Таблиця 1'!$K:$K,'Таблиця 1'!$B:$B,$A477,'Таблиця 1'!$I:$I,"Mirage",'Таблиця 1'!$J:$J,"GBU-64")+SUMIFS('Таблиця 1'!$K:$K,'Таблиця 1'!$B:$B,$A477,'Таблиця 1'!$I:$I,"F-16",'Таблиця 1'!$J:$J,"GBU-64")+SUMIFS('Таблиця 1'!$K:$K,'Таблиця 1'!$B:$B,$A477,'Таблиця 1'!$I:$I,"МіГ-29",'Таблиця 1'!$J:$J,"GBU-64")+SUMIFS('Таблиця 1'!$K:$K,'Таблиця 1'!$B:$B,$A477,'Таблиця 1'!$I:$I,"Су-25",'Таблиця 1'!$J:$J,"GBU-64")+SUMIFS('Таблиця 1'!$K:$K,'Таблиця 1'!$B:$B,$A477,'Таблиця 1'!$I:$I,"Су-27",'Таблиця 1'!$J:$J,"GBU-64"))</f>
        <v/>
      </c>
      <c r="O477">
        <f>IF($A477="","",SUMIFS('Таблиця 1'!$K:$K,'Таблиця 1'!$B:$B,$A477,'Таблиця 1'!$I:$I,"Mirage",'Таблиця 1'!$J:$J,"C-13")+SUMIFS('Таблиця 1'!$K:$K,'Таблиця 1'!$B:$B,$A477,'Таблиця 1'!$I:$I,"F-16",'Таблиця 1'!$J:$J,"C-13")+SUMIFS('Таблиця 1'!$K:$K,'Таблиця 1'!$B:$B,$A477,'Таблиця 1'!$I:$I,"МіГ-29",'Таблиця 1'!$J:$J,"C-13")+SUMIFS('Таблиця 1'!$K:$K,'Таблиця 1'!$B:$B,$A477,'Таблиця 1'!$I:$I,"Су-25",'Таблиця 1'!$J:$J,"C-13")+SUMIFS('Таблиця 1'!$K:$K,'Таблиця 1'!$B:$B,$A477,'Таблиця 1'!$I:$I,"Су-27",'Таблиця 1'!$J:$J,"C-13"))</f>
        <v/>
      </c>
      <c r="P477">
        <f>IF($A477="","",SUMIFS('Таблиця 1'!$K:$K,'Таблиця 1'!$B:$B,$A477,'Таблиця 1'!$I:$I,"Mirage",'Таблиця 1'!$J:$J,"MK-32")+SUMIFS('Таблиця 1'!$K:$K,'Таблиця 1'!$B:$B,$A477,'Таблиця 1'!$I:$I,"F-16",'Таблиця 1'!$J:$J,"MK-32")+SUMIFS('Таблиця 1'!$K:$K,'Таблиця 1'!$B:$B,$A477,'Таблиця 1'!$I:$I,"МіГ-29",'Таблиця 1'!$J:$J,"MK-32")+SUMIFS('Таблиця 1'!$K:$K,'Таблиця 1'!$B:$B,$A477,'Таблиця 1'!$I:$I,"Су-25",'Таблиця 1'!$J:$J,"MK-32")+SUMIFS('Таблиця 1'!$K:$K,'Таблиця 1'!$B:$B,$A477,'Таблиця 1'!$I:$I,"Су-27",'Таблиця 1'!$J:$J,"MK-32"))</f>
        <v/>
      </c>
      <c r="Q477">
        <f>IF($A477="","",SUMIFS('Таблиця 1'!$K:$K,'Таблиця 1'!$B:$B,$A477,'Таблиця 1'!$I:$I,"Mirage",'Таблиця 1'!$J:$J,"MK-24")+SUMIFS('Таблиця 1'!$K:$K,'Таблиця 1'!$B:$B,$A477,'Таблиця 1'!$I:$I,"F-16",'Таблиця 1'!$J:$J,"MK-24")+SUMIFS('Таблиця 1'!$K:$K,'Таблиця 1'!$B:$B,$A477,'Таблиця 1'!$I:$I,"МіГ-29",'Таблиця 1'!$J:$J,"MK-24")+SUMIFS('Таблиця 1'!$K:$K,'Таблиця 1'!$B:$B,$A477,'Таблиця 1'!$I:$I,"Су-25",'Таблиця 1'!$J:$J,"MK-24")+SUMIFS('Таблиця 1'!$K:$K,'Таблиця 1'!$B:$B,$A477,'Таблиця 1'!$I:$I,"Су-27",'Таблиця 1'!$J:$J,"MK-24"))</f>
        <v/>
      </c>
      <c r="R477">
        <f>IF($A477="","",COUNTIFS('Таблиця 1'!$B:$B,$A477,'Таблиця 1'!$I:$I,"Mirage",'Таблиця 1'!$L:$L,"Уражено")+COUNTIFS('Таблиця 1'!$B:$B,$A477,'Таблиця 1'!$I:$I,"F-16",'Таблиця 1'!$L:$L,"Уражено")+COUNTIFS('Таблиця 1'!$B:$B,$A477,'Таблиця 1'!$I:$I,"МіГ-29",'Таблиця 1'!$L:$L,"Уражено")+COUNTIFS('Таблиця 1'!$B:$B,$A477,'Таблиця 1'!$I:$I,"Су-25",'Таблиця 1'!$L:$L,"Уражено")+COUNTIFS('Таблиця 1'!$B:$B,$A477,'Таблиця 1'!$I:$I,"Су-27",'Таблиця 1'!$L:$L,"Уражено"))</f>
        <v/>
      </c>
      <c r="S477">
        <f>IF($A477="","",COUNTIFS('Таблиця 1'!$B:$B,$A477,'Таблиця 1'!$I:$I,"Mirage",'Таблиця 1'!$L:$L,"НЕ уражено")+COUNTIFS('Таблиця 1'!$B:$B,$A477,'Таблиця 1'!$I:$I,"F-16",'Таблиця 1'!$L:$L,"НЕ уражено")+COUNTIFS('Таблиця 1'!$B:$B,$A477,'Таблиця 1'!$I:$I,"МіГ-29",'Таблиця 1'!$L:$L,"НЕ уражено")+COUNTIFS('Таблиця 1'!$B:$B,$A477,'Таблиця 1'!$I:$I,"Су-25",'Таблиця 1'!$L:$L,"НЕ уражено")+COUNTIFS('Таблиця 1'!$B:$B,$A477,'Таблиця 1'!$I:$I,"Су-27",'Таблиця 1'!$L:$L,"НЕ уражено"))</f>
        <v/>
      </c>
      <c r="T477">
        <f>IF($A477="","",COUNTIFS('Таблиця 1'!$B:$B,$A477,'Таблиця 1'!$I:$I,"Mirage",'Таблиця 1'!$L:$L,"Дорозвідується")+COUNTIFS('Таблиця 1'!$B:$B,$A477,'Таблиця 1'!$I:$I,"F-16",'Таблиця 1'!$L:$L,"Дорозвідується")+COUNTIFS('Таблиця 1'!$B:$B,$A477,'Таблиця 1'!$I:$I,"МіГ-29",'Таблиця 1'!$L:$L,"Дорозвідується")+COUNTIFS('Таблиця 1'!$B:$B,$A477,'Таблиця 1'!$I:$I,"Су-25",'Таблиця 1'!$L:$L,"Дорозвідується")+COUNTIFS('Таблиця 1'!$B:$B,$A477,'Таблиця 1'!$I:$I,"Су-27",'Таблиця 1'!$L:$L,"Дорозвідується"))</f>
        <v/>
      </c>
    </row>
    <row r="478">
      <c r="A478" s="273">
        <f>IF(A477="","",IF(A477+1&gt;MAX('Таблиця 1'!$B:$B),"",A477+1))</f>
        <v/>
      </c>
      <c r="B478">
        <f>IF($A478="","",COUNTIFS('Таблиця 1'!$B:$B,$A478,'Таблиця 1'!$I:$I,"Mirage")+COUNTIFS('Таблиця 1'!$B:$B,$A478,'Таблиця 1'!$I:$I,"F-16")+COUNTIFS('Таблиця 1'!$B:$B,$A478,'Таблиця 1'!$I:$I,"МіГ-29")+COUNTIFS('Таблиця 1'!$B:$B,$A478,'Таблиця 1'!$I:$I,"Су-25")+COUNTIFS('Таблиця 1'!$B:$B,$A478,'Таблиця 1'!$I:$I,"Су-27"))</f>
        <v/>
      </c>
      <c r="C478">
        <f>IF($A478="","",COUNTIFS('Таблиця 1'!$B:$B,$A478,'Таблиця 1'!$I:$I,"Mirage"))</f>
        <v/>
      </c>
      <c r="D478">
        <f>IF($A478="","",COUNTIFS('Таблиця 1'!$B:$B,$A478,'Таблиця 1'!$I:$I,"F-16"))</f>
        <v/>
      </c>
      <c r="E478">
        <f>IF($A478="","",COUNTIFS('Таблиця 1'!$B:$B,$A478,'Таблиця 1'!$I:$I,"МіГ-29"))</f>
        <v/>
      </c>
      <c r="F478">
        <f>IF($A478="","",COUNTIFS('Таблиця 1'!$B:$B,$A478,'Таблиця 1'!$I:$I,"Су-25"))</f>
        <v/>
      </c>
      <c r="G478">
        <f>IF($A478="","",COUNTIFS('Таблиця 1'!$B:$B,$A478,'Таблиця 1'!$I:$I,"Су-27"))</f>
        <v/>
      </c>
      <c r="H478">
        <f>IF($A478="","",SUMIFS('Таблиця 1'!$K:$K,'Таблиця 1'!$B:$B,$A478,'Таблиця 1'!$I:$I,"Mirage",'Таблиця 1'!$J:$J,"AGM-88")+SUMIFS('Таблиця 1'!$K:$K,'Таблиця 1'!$B:$B,$A478,'Таблиця 1'!$I:$I,"F-16",'Таблиця 1'!$J:$J,"AGM-88")+SUMIFS('Таблиця 1'!$K:$K,'Таблиця 1'!$B:$B,$A478,'Таблиця 1'!$I:$I,"МіГ-29",'Таблиця 1'!$J:$J,"AGM-88")+SUMIFS('Таблиця 1'!$K:$K,'Таблиця 1'!$B:$B,$A478,'Таблиця 1'!$I:$I,"Су-25",'Таблиця 1'!$J:$J,"AGM-88")+SUMIFS('Таблиця 1'!$K:$K,'Таблиця 1'!$B:$B,$A478,'Таблиця 1'!$I:$I,"Су-27",'Таблиця 1'!$J:$J,"AGM-88"))</f>
        <v/>
      </c>
      <c r="I478">
        <f>IF($A478="","",SUMIFS('Таблиця 1'!$K:$K,'Таблиця 1'!$B:$B,$A478,'Таблиця 1'!$I:$I,"Mirage",'Таблиця 1'!$J:$J,"AASM-250")+SUMIFS('Таблиця 1'!$K:$K,'Таблиця 1'!$B:$B,$A478,'Таблиця 1'!$I:$I,"F-16",'Таблиця 1'!$J:$J,"AASM-250")+SUMIFS('Таблиця 1'!$K:$K,'Таблиця 1'!$B:$B,$A478,'Таблиця 1'!$I:$I,"МіГ-29",'Таблиця 1'!$J:$J,"AASM-250")+SUMIFS('Таблиця 1'!$K:$K,'Таблиця 1'!$B:$B,$A478,'Таблиця 1'!$I:$I,"Су-25",'Таблиця 1'!$J:$J,"AASM-250")+SUMIFS('Таблиця 1'!$K:$K,'Таблиця 1'!$B:$B,$A478,'Таблиця 1'!$I:$I,"Су-27",'Таблиця 1'!$J:$J,"AASM-250"))</f>
        <v/>
      </c>
      <c r="J478">
        <f>IF($A478="","",SUMIFS('Таблиця 1'!$K:$K,'Таблиця 1'!$B:$B,$A478,'Таблиця 1'!$I:$I,"Mirage",'Таблиця 1'!$J:$J,"GBU-39")+SUMIFS('Таблиця 1'!$K:$K,'Таблиця 1'!$B:$B,$A478,'Таблиця 1'!$I:$I,"F-16",'Таблиця 1'!$J:$J,"GBU-39")+SUMIFS('Таблиця 1'!$K:$K,'Таблиця 1'!$B:$B,$A478,'Таблиця 1'!$I:$I,"МіГ-29",'Таблиця 1'!$J:$J,"GBU-39")+SUMIFS('Таблиця 1'!$K:$K,'Таблиця 1'!$B:$B,$A478,'Таблиця 1'!$I:$I,"Су-25",'Таблиця 1'!$J:$J,"GBU-39")+SUMIFS('Таблиця 1'!$K:$K,'Таблиця 1'!$B:$B,$A478,'Таблиця 1'!$I:$I,"Су-27",'Таблиця 1'!$J:$J,"GBU-39"))</f>
        <v/>
      </c>
      <c r="K478">
        <f>IF($A478="","",SUMIFS('Таблиця 1'!$K:$K,'Таблиця 1'!$B:$B,$A478,'Таблиця 1'!$I:$I,"Mirage",'Таблиця 1'!$J:$J,"BLU-140")+SUMIFS('Таблиця 1'!$K:$K,'Таблиця 1'!$B:$B,$A478,'Таблиця 1'!$I:$I,"F-16",'Таблиця 1'!$J:$J,"BLU-140")+SUMIFS('Таблиця 1'!$K:$K,'Таблиця 1'!$B:$B,$A478,'Таблиця 1'!$I:$I,"МіГ-29",'Таблиця 1'!$J:$J,"BLU-140")+SUMIFS('Таблиця 1'!$K:$K,'Таблиця 1'!$B:$B,$A478,'Таблиця 1'!$I:$I,"Су-25",'Таблиця 1'!$J:$J,"BLU-140")+SUMIFS('Таблиця 1'!$K:$K,'Таблиця 1'!$B:$B,$A478,'Таблиця 1'!$I:$I,"Су-27",'Таблиця 1'!$J:$J,"BLU-140"))</f>
        <v/>
      </c>
      <c r="L478">
        <f>IF($A478="","",SUMIFS('Таблиця 1'!$K:$K,'Таблиця 1'!$B:$B,$A478,'Таблиця 1'!$I:$I,"Mirage",'Таблиця 1'!$J:$J,"GBU-65")+SUMIFS('Таблиця 1'!$K:$K,'Таблиця 1'!$B:$B,$A478,'Таблиця 1'!$I:$I,"F-16",'Таблиця 1'!$J:$J,"GBU-65")+SUMIFS('Таблиця 1'!$K:$K,'Таблиця 1'!$B:$B,$A478,'Таблиця 1'!$I:$I,"МіГ-29",'Таблиця 1'!$J:$J,"GBU-65")+SUMIFS('Таблиця 1'!$K:$K,'Таблиця 1'!$B:$B,$A478,'Таблиця 1'!$I:$I,"Су-25",'Таблиця 1'!$J:$J,"GBU-65")+SUMIFS('Таблиця 1'!$K:$K,'Таблиця 1'!$B:$B,$A478,'Таблиця 1'!$I:$I,"Су-27",'Таблиця 1'!$J:$J,"GBU-65"))</f>
        <v/>
      </c>
      <c r="M478">
        <f>IF($A478="","",SUMIFS('Таблиця 1'!$K:$K,'Таблиця 1'!$B:$B,$A478,'Таблиця 1'!$I:$I,"Mirage",'Таблиця 1'!$J:$J,"GBU-62")+SUMIFS('Таблиця 1'!$K:$K,'Таблиця 1'!$B:$B,$A478,'Таблиця 1'!$I:$I,"F-16",'Таблиця 1'!$J:$J,"GBU-62")+SUMIFS('Таблиця 1'!$K:$K,'Таблиця 1'!$B:$B,$A478,'Таблиця 1'!$I:$I,"МіГ-29",'Таблиця 1'!$J:$J,"GBU-62")+SUMIFS('Таблиця 1'!$K:$K,'Таблиця 1'!$B:$B,$A478,'Таблиця 1'!$I:$I,"Су-25",'Таблиця 1'!$J:$J,"GBU-62")+SUMIFS('Таблиця 1'!$K:$K,'Таблиця 1'!$B:$B,$A478,'Таблиця 1'!$I:$I,"Су-27",'Таблиця 1'!$J:$J,"GBU-62"))</f>
        <v/>
      </c>
      <c r="N478">
        <f>IF($A478="","",SUMIFS('Таблиця 1'!$K:$K,'Таблиця 1'!$B:$B,$A478,'Таблиця 1'!$I:$I,"Mirage",'Таблиця 1'!$J:$J,"GBU-64")+SUMIFS('Таблиця 1'!$K:$K,'Таблиця 1'!$B:$B,$A478,'Таблиця 1'!$I:$I,"F-16",'Таблиця 1'!$J:$J,"GBU-64")+SUMIFS('Таблиця 1'!$K:$K,'Таблиця 1'!$B:$B,$A478,'Таблиця 1'!$I:$I,"МіГ-29",'Таблиця 1'!$J:$J,"GBU-64")+SUMIFS('Таблиця 1'!$K:$K,'Таблиця 1'!$B:$B,$A478,'Таблиця 1'!$I:$I,"Су-25",'Таблиця 1'!$J:$J,"GBU-64")+SUMIFS('Таблиця 1'!$K:$K,'Таблиця 1'!$B:$B,$A478,'Таблиця 1'!$I:$I,"Су-27",'Таблиця 1'!$J:$J,"GBU-64"))</f>
        <v/>
      </c>
      <c r="O478">
        <f>IF($A478="","",SUMIFS('Таблиця 1'!$K:$K,'Таблиця 1'!$B:$B,$A478,'Таблиця 1'!$I:$I,"Mirage",'Таблиця 1'!$J:$J,"C-13")+SUMIFS('Таблиця 1'!$K:$K,'Таблиця 1'!$B:$B,$A478,'Таблиця 1'!$I:$I,"F-16",'Таблиця 1'!$J:$J,"C-13")+SUMIFS('Таблиця 1'!$K:$K,'Таблиця 1'!$B:$B,$A478,'Таблиця 1'!$I:$I,"МіГ-29",'Таблиця 1'!$J:$J,"C-13")+SUMIFS('Таблиця 1'!$K:$K,'Таблиця 1'!$B:$B,$A478,'Таблиця 1'!$I:$I,"Су-25",'Таблиця 1'!$J:$J,"C-13")+SUMIFS('Таблиця 1'!$K:$K,'Таблиця 1'!$B:$B,$A478,'Таблиця 1'!$I:$I,"Су-27",'Таблиця 1'!$J:$J,"C-13"))</f>
        <v/>
      </c>
      <c r="P478">
        <f>IF($A478="","",SUMIFS('Таблиця 1'!$K:$K,'Таблиця 1'!$B:$B,$A478,'Таблиця 1'!$I:$I,"Mirage",'Таблиця 1'!$J:$J,"MK-32")+SUMIFS('Таблиця 1'!$K:$K,'Таблиця 1'!$B:$B,$A478,'Таблиця 1'!$I:$I,"F-16",'Таблиця 1'!$J:$J,"MK-32")+SUMIFS('Таблиця 1'!$K:$K,'Таблиця 1'!$B:$B,$A478,'Таблиця 1'!$I:$I,"МіГ-29",'Таблиця 1'!$J:$J,"MK-32")+SUMIFS('Таблиця 1'!$K:$K,'Таблиця 1'!$B:$B,$A478,'Таблиця 1'!$I:$I,"Су-25",'Таблиця 1'!$J:$J,"MK-32")+SUMIFS('Таблиця 1'!$K:$K,'Таблиця 1'!$B:$B,$A478,'Таблиця 1'!$I:$I,"Су-27",'Таблиця 1'!$J:$J,"MK-32"))</f>
        <v/>
      </c>
      <c r="Q478">
        <f>IF($A478="","",SUMIFS('Таблиця 1'!$K:$K,'Таблиця 1'!$B:$B,$A478,'Таблиця 1'!$I:$I,"Mirage",'Таблиця 1'!$J:$J,"MK-24")+SUMIFS('Таблиця 1'!$K:$K,'Таблиця 1'!$B:$B,$A478,'Таблиця 1'!$I:$I,"F-16",'Таблиця 1'!$J:$J,"MK-24")+SUMIFS('Таблиця 1'!$K:$K,'Таблиця 1'!$B:$B,$A478,'Таблиця 1'!$I:$I,"МіГ-29",'Таблиця 1'!$J:$J,"MK-24")+SUMIFS('Таблиця 1'!$K:$K,'Таблиця 1'!$B:$B,$A478,'Таблиця 1'!$I:$I,"Су-25",'Таблиця 1'!$J:$J,"MK-24")+SUMIFS('Таблиця 1'!$K:$K,'Таблиця 1'!$B:$B,$A478,'Таблиця 1'!$I:$I,"Су-27",'Таблиця 1'!$J:$J,"MK-24"))</f>
        <v/>
      </c>
      <c r="R478">
        <f>IF($A478="","",COUNTIFS('Таблиця 1'!$B:$B,$A478,'Таблиця 1'!$I:$I,"Mirage",'Таблиця 1'!$L:$L,"Уражено")+COUNTIFS('Таблиця 1'!$B:$B,$A478,'Таблиця 1'!$I:$I,"F-16",'Таблиця 1'!$L:$L,"Уражено")+COUNTIFS('Таблиця 1'!$B:$B,$A478,'Таблиця 1'!$I:$I,"МіГ-29",'Таблиця 1'!$L:$L,"Уражено")+COUNTIFS('Таблиця 1'!$B:$B,$A478,'Таблиця 1'!$I:$I,"Су-25",'Таблиця 1'!$L:$L,"Уражено")+COUNTIFS('Таблиця 1'!$B:$B,$A478,'Таблиця 1'!$I:$I,"Су-27",'Таблиця 1'!$L:$L,"Уражено"))</f>
        <v/>
      </c>
      <c r="S478">
        <f>IF($A478="","",COUNTIFS('Таблиця 1'!$B:$B,$A478,'Таблиця 1'!$I:$I,"Mirage",'Таблиця 1'!$L:$L,"НЕ уражено")+COUNTIFS('Таблиця 1'!$B:$B,$A478,'Таблиця 1'!$I:$I,"F-16",'Таблиця 1'!$L:$L,"НЕ уражено")+COUNTIFS('Таблиця 1'!$B:$B,$A478,'Таблиця 1'!$I:$I,"МіГ-29",'Таблиця 1'!$L:$L,"НЕ уражено")+COUNTIFS('Таблиця 1'!$B:$B,$A478,'Таблиця 1'!$I:$I,"Су-25",'Таблиця 1'!$L:$L,"НЕ уражено")+COUNTIFS('Таблиця 1'!$B:$B,$A478,'Таблиця 1'!$I:$I,"Су-27",'Таблиця 1'!$L:$L,"НЕ уражено"))</f>
        <v/>
      </c>
      <c r="T478">
        <f>IF($A478="","",COUNTIFS('Таблиця 1'!$B:$B,$A478,'Таблиця 1'!$I:$I,"Mirage",'Таблиця 1'!$L:$L,"Дорозвідується")+COUNTIFS('Таблиця 1'!$B:$B,$A478,'Таблиця 1'!$I:$I,"F-16",'Таблиця 1'!$L:$L,"Дорозвідується")+COUNTIFS('Таблиця 1'!$B:$B,$A478,'Таблиця 1'!$I:$I,"МіГ-29",'Таблиця 1'!$L:$L,"Дорозвідується")+COUNTIFS('Таблиця 1'!$B:$B,$A478,'Таблиця 1'!$I:$I,"Су-25",'Таблиця 1'!$L:$L,"Дорозвідується")+COUNTIFS('Таблиця 1'!$B:$B,$A478,'Таблиця 1'!$I:$I,"Су-27",'Таблиця 1'!$L:$L,"Дорозвідується"))</f>
        <v/>
      </c>
    </row>
    <row r="479">
      <c r="A479" s="273">
        <f>IF(A478="","",IF(A478+1&gt;MAX('Таблиця 1'!$B:$B),"",A478+1))</f>
        <v/>
      </c>
      <c r="B479">
        <f>IF($A479="","",COUNTIFS('Таблиця 1'!$B:$B,$A479,'Таблиця 1'!$I:$I,"Mirage")+COUNTIFS('Таблиця 1'!$B:$B,$A479,'Таблиця 1'!$I:$I,"F-16")+COUNTIFS('Таблиця 1'!$B:$B,$A479,'Таблиця 1'!$I:$I,"МіГ-29")+COUNTIFS('Таблиця 1'!$B:$B,$A479,'Таблиця 1'!$I:$I,"Су-25")+COUNTIFS('Таблиця 1'!$B:$B,$A479,'Таблиця 1'!$I:$I,"Су-27"))</f>
        <v/>
      </c>
      <c r="C479">
        <f>IF($A479="","",COUNTIFS('Таблиця 1'!$B:$B,$A479,'Таблиця 1'!$I:$I,"Mirage"))</f>
        <v/>
      </c>
      <c r="D479">
        <f>IF($A479="","",COUNTIFS('Таблиця 1'!$B:$B,$A479,'Таблиця 1'!$I:$I,"F-16"))</f>
        <v/>
      </c>
      <c r="E479">
        <f>IF($A479="","",COUNTIFS('Таблиця 1'!$B:$B,$A479,'Таблиця 1'!$I:$I,"МіГ-29"))</f>
        <v/>
      </c>
      <c r="F479">
        <f>IF($A479="","",COUNTIFS('Таблиця 1'!$B:$B,$A479,'Таблиця 1'!$I:$I,"Су-25"))</f>
        <v/>
      </c>
      <c r="G479">
        <f>IF($A479="","",COUNTIFS('Таблиця 1'!$B:$B,$A479,'Таблиця 1'!$I:$I,"Су-27"))</f>
        <v/>
      </c>
      <c r="H479">
        <f>IF($A479="","",SUMIFS('Таблиця 1'!$K:$K,'Таблиця 1'!$B:$B,$A479,'Таблиця 1'!$I:$I,"Mirage",'Таблиця 1'!$J:$J,"AGM-88")+SUMIFS('Таблиця 1'!$K:$K,'Таблиця 1'!$B:$B,$A479,'Таблиця 1'!$I:$I,"F-16",'Таблиця 1'!$J:$J,"AGM-88")+SUMIFS('Таблиця 1'!$K:$K,'Таблиця 1'!$B:$B,$A479,'Таблиця 1'!$I:$I,"МіГ-29",'Таблиця 1'!$J:$J,"AGM-88")+SUMIFS('Таблиця 1'!$K:$K,'Таблиця 1'!$B:$B,$A479,'Таблиця 1'!$I:$I,"Су-25",'Таблиця 1'!$J:$J,"AGM-88")+SUMIFS('Таблиця 1'!$K:$K,'Таблиця 1'!$B:$B,$A479,'Таблиця 1'!$I:$I,"Су-27",'Таблиця 1'!$J:$J,"AGM-88"))</f>
        <v/>
      </c>
      <c r="I479">
        <f>IF($A479="","",SUMIFS('Таблиця 1'!$K:$K,'Таблиця 1'!$B:$B,$A479,'Таблиця 1'!$I:$I,"Mirage",'Таблиця 1'!$J:$J,"AASM-250")+SUMIFS('Таблиця 1'!$K:$K,'Таблиця 1'!$B:$B,$A479,'Таблиця 1'!$I:$I,"F-16",'Таблиця 1'!$J:$J,"AASM-250")+SUMIFS('Таблиця 1'!$K:$K,'Таблиця 1'!$B:$B,$A479,'Таблиця 1'!$I:$I,"МіГ-29",'Таблиця 1'!$J:$J,"AASM-250")+SUMIFS('Таблиця 1'!$K:$K,'Таблиця 1'!$B:$B,$A479,'Таблиця 1'!$I:$I,"Су-25",'Таблиця 1'!$J:$J,"AASM-250")+SUMIFS('Таблиця 1'!$K:$K,'Таблиця 1'!$B:$B,$A479,'Таблиця 1'!$I:$I,"Су-27",'Таблиця 1'!$J:$J,"AASM-250"))</f>
        <v/>
      </c>
      <c r="J479">
        <f>IF($A479="","",SUMIFS('Таблиця 1'!$K:$K,'Таблиця 1'!$B:$B,$A479,'Таблиця 1'!$I:$I,"Mirage",'Таблиця 1'!$J:$J,"GBU-39")+SUMIFS('Таблиця 1'!$K:$K,'Таблиця 1'!$B:$B,$A479,'Таблиця 1'!$I:$I,"F-16",'Таблиця 1'!$J:$J,"GBU-39")+SUMIFS('Таблиця 1'!$K:$K,'Таблиця 1'!$B:$B,$A479,'Таблиця 1'!$I:$I,"МіГ-29",'Таблиця 1'!$J:$J,"GBU-39")+SUMIFS('Таблиця 1'!$K:$K,'Таблиця 1'!$B:$B,$A479,'Таблиця 1'!$I:$I,"Су-25",'Таблиця 1'!$J:$J,"GBU-39")+SUMIFS('Таблиця 1'!$K:$K,'Таблиця 1'!$B:$B,$A479,'Таблиця 1'!$I:$I,"Су-27",'Таблиця 1'!$J:$J,"GBU-39"))</f>
        <v/>
      </c>
      <c r="K479">
        <f>IF($A479="","",SUMIFS('Таблиця 1'!$K:$K,'Таблиця 1'!$B:$B,$A479,'Таблиця 1'!$I:$I,"Mirage",'Таблиця 1'!$J:$J,"BLU-140")+SUMIFS('Таблиця 1'!$K:$K,'Таблиця 1'!$B:$B,$A479,'Таблиця 1'!$I:$I,"F-16",'Таблиця 1'!$J:$J,"BLU-140")+SUMIFS('Таблиця 1'!$K:$K,'Таблиця 1'!$B:$B,$A479,'Таблиця 1'!$I:$I,"МіГ-29",'Таблиця 1'!$J:$J,"BLU-140")+SUMIFS('Таблиця 1'!$K:$K,'Таблиця 1'!$B:$B,$A479,'Таблиця 1'!$I:$I,"Су-25",'Таблиця 1'!$J:$J,"BLU-140")+SUMIFS('Таблиця 1'!$K:$K,'Таблиця 1'!$B:$B,$A479,'Таблиця 1'!$I:$I,"Су-27",'Таблиця 1'!$J:$J,"BLU-140"))</f>
        <v/>
      </c>
      <c r="L479">
        <f>IF($A479="","",SUMIFS('Таблиця 1'!$K:$K,'Таблиця 1'!$B:$B,$A479,'Таблиця 1'!$I:$I,"Mirage",'Таблиця 1'!$J:$J,"GBU-65")+SUMIFS('Таблиця 1'!$K:$K,'Таблиця 1'!$B:$B,$A479,'Таблиця 1'!$I:$I,"F-16",'Таблиця 1'!$J:$J,"GBU-65")+SUMIFS('Таблиця 1'!$K:$K,'Таблиця 1'!$B:$B,$A479,'Таблиця 1'!$I:$I,"МіГ-29",'Таблиця 1'!$J:$J,"GBU-65")+SUMIFS('Таблиця 1'!$K:$K,'Таблиця 1'!$B:$B,$A479,'Таблиця 1'!$I:$I,"Су-25",'Таблиця 1'!$J:$J,"GBU-65")+SUMIFS('Таблиця 1'!$K:$K,'Таблиця 1'!$B:$B,$A479,'Таблиця 1'!$I:$I,"Су-27",'Таблиця 1'!$J:$J,"GBU-65"))</f>
        <v/>
      </c>
      <c r="M479">
        <f>IF($A479="","",SUMIFS('Таблиця 1'!$K:$K,'Таблиця 1'!$B:$B,$A479,'Таблиця 1'!$I:$I,"Mirage",'Таблиця 1'!$J:$J,"GBU-62")+SUMIFS('Таблиця 1'!$K:$K,'Таблиця 1'!$B:$B,$A479,'Таблиця 1'!$I:$I,"F-16",'Таблиця 1'!$J:$J,"GBU-62")+SUMIFS('Таблиця 1'!$K:$K,'Таблиця 1'!$B:$B,$A479,'Таблиця 1'!$I:$I,"МіГ-29",'Таблиця 1'!$J:$J,"GBU-62")+SUMIFS('Таблиця 1'!$K:$K,'Таблиця 1'!$B:$B,$A479,'Таблиця 1'!$I:$I,"Су-25",'Таблиця 1'!$J:$J,"GBU-62")+SUMIFS('Таблиця 1'!$K:$K,'Таблиця 1'!$B:$B,$A479,'Таблиця 1'!$I:$I,"Су-27",'Таблиця 1'!$J:$J,"GBU-62"))</f>
        <v/>
      </c>
      <c r="N479">
        <f>IF($A479="","",SUMIFS('Таблиця 1'!$K:$K,'Таблиця 1'!$B:$B,$A479,'Таблиця 1'!$I:$I,"Mirage",'Таблиця 1'!$J:$J,"GBU-64")+SUMIFS('Таблиця 1'!$K:$K,'Таблиця 1'!$B:$B,$A479,'Таблиця 1'!$I:$I,"F-16",'Таблиця 1'!$J:$J,"GBU-64")+SUMIFS('Таблиця 1'!$K:$K,'Таблиця 1'!$B:$B,$A479,'Таблиця 1'!$I:$I,"МіГ-29",'Таблиця 1'!$J:$J,"GBU-64")+SUMIFS('Таблиця 1'!$K:$K,'Таблиця 1'!$B:$B,$A479,'Таблиця 1'!$I:$I,"Су-25",'Таблиця 1'!$J:$J,"GBU-64")+SUMIFS('Таблиця 1'!$K:$K,'Таблиця 1'!$B:$B,$A479,'Таблиця 1'!$I:$I,"Су-27",'Таблиця 1'!$J:$J,"GBU-64"))</f>
        <v/>
      </c>
      <c r="O479">
        <f>IF($A479="","",SUMIFS('Таблиця 1'!$K:$K,'Таблиця 1'!$B:$B,$A479,'Таблиця 1'!$I:$I,"Mirage",'Таблиця 1'!$J:$J,"C-13")+SUMIFS('Таблиця 1'!$K:$K,'Таблиця 1'!$B:$B,$A479,'Таблиця 1'!$I:$I,"F-16",'Таблиця 1'!$J:$J,"C-13")+SUMIFS('Таблиця 1'!$K:$K,'Таблиця 1'!$B:$B,$A479,'Таблиця 1'!$I:$I,"МіГ-29",'Таблиця 1'!$J:$J,"C-13")+SUMIFS('Таблиця 1'!$K:$K,'Таблиця 1'!$B:$B,$A479,'Таблиця 1'!$I:$I,"Су-25",'Таблиця 1'!$J:$J,"C-13")+SUMIFS('Таблиця 1'!$K:$K,'Таблиця 1'!$B:$B,$A479,'Таблиця 1'!$I:$I,"Су-27",'Таблиця 1'!$J:$J,"C-13"))</f>
        <v/>
      </c>
      <c r="P479">
        <f>IF($A479="","",SUMIFS('Таблиця 1'!$K:$K,'Таблиця 1'!$B:$B,$A479,'Таблиця 1'!$I:$I,"Mirage",'Таблиця 1'!$J:$J,"MK-32")+SUMIFS('Таблиця 1'!$K:$K,'Таблиця 1'!$B:$B,$A479,'Таблиця 1'!$I:$I,"F-16",'Таблиця 1'!$J:$J,"MK-32")+SUMIFS('Таблиця 1'!$K:$K,'Таблиця 1'!$B:$B,$A479,'Таблиця 1'!$I:$I,"МіГ-29",'Таблиця 1'!$J:$J,"MK-32")+SUMIFS('Таблиця 1'!$K:$K,'Таблиця 1'!$B:$B,$A479,'Таблиця 1'!$I:$I,"Су-25",'Таблиця 1'!$J:$J,"MK-32")+SUMIFS('Таблиця 1'!$K:$K,'Таблиця 1'!$B:$B,$A479,'Таблиця 1'!$I:$I,"Су-27",'Таблиця 1'!$J:$J,"MK-32"))</f>
        <v/>
      </c>
      <c r="Q479">
        <f>IF($A479="","",SUMIFS('Таблиця 1'!$K:$K,'Таблиця 1'!$B:$B,$A479,'Таблиця 1'!$I:$I,"Mirage",'Таблиця 1'!$J:$J,"MK-24")+SUMIFS('Таблиця 1'!$K:$K,'Таблиця 1'!$B:$B,$A479,'Таблиця 1'!$I:$I,"F-16",'Таблиця 1'!$J:$J,"MK-24")+SUMIFS('Таблиця 1'!$K:$K,'Таблиця 1'!$B:$B,$A479,'Таблиця 1'!$I:$I,"МіГ-29",'Таблиця 1'!$J:$J,"MK-24")+SUMIFS('Таблиця 1'!$K:$K,'Таблиця 1'!$B:$B,$A479,'Таблиця 1'!$I:$I,"Су-25",'Таблиця 1'!$J:$J,"MK-24")+SUMIFS('Таблиця 1'!$K:$K,'Таблиця 1'!$B:$B,$A479,'Таблиця 1'!$I:$I,"Су-27",'Таблиця 1'!$J:$J,"MK-24"))</f>
        <v/>
      </c>
      <c r="R479">
        <f>IF($A479="","",COUNTIFS('Таблиця 1'!$B:$B,$A479,'Таблиця 1'!$I:$I,"Mirage",'Таблиця 1'!$L:$L,"Уражено")+COUNTIFS('Таблиця 1'!$B:$B,$A479,'Таблиця 1'!$I:$I,"F-16",'Таблиця 1'!$L:$L,"Уражено")+COUNTIFS('Таблиця 1'!$B:$B,$A479,'Таблиця 1'!$I:$I,"МіГ-29",'Таблиця 1'!$L:$L,"Уражено")+COUNTIFS('Таблиця 1'!$B:$B,$A479,'Таблиця 1'!$I:$I,"Су-25",'Таблиця 1'!$L:$L,"Уражено")+COUNTIFS('Таблиця 1'!$B:$B,$A479,'Таблиця 1'!$I:$I,"Су-27",'Таблиця 1'!$L:$L,"Уражено"))</f>
        <v/>
      </c>
      <c r="S479">
        <f>IF($A479="","",COUNTIFS('Таблиця 1'!$B:$B,$A479,'Таблиця 1'!$I:$I,"Mirage",'Таблиця 1'!$L:$L,"НЕ уражено")+COUNTIFS('Таблиця 1'!$B:$B,$A479,'Таблиця 1'!$I:$I,"F-16",'Таблиця 1'!$L:$L,"НЕ уражено")+COUNTIFS('Таблиця 1'!$B:$B,$A479,'Таблиця 1'!$I:$I,"МіГ-29",'Таблиця 1'!$L:$L,"НЕ уражено")+COUNTIFS('Таблиця 1'!$B:$B,$A479,'Таблиця 1'!$I:$I,"Су-25",'Таблиця 1'!$L:$L,"НЕ уражено")+COUNTIFS('Таблиця 1'!$B:$B,$A479,'Таблиця 1'!$I:$I,"Су-27",'Таблиця 1'!$L:$L,"НЕ уражено"))</f>
        <v/>
      </c>
      <c r="T479">
        <f>IF($A479="","",COUNTIFS('Таблиця 1'!$B:$B,$A479,'Таблиця 1'!$I:$I,"Mirage",'Таблиця 1'!$L:$L,"Дорозвідується")+COUNTIFS('Таблиця 1'!$B:$B,$A479,'Таблиця 1'!$I:$I,"F-16",'Таблиця 1'!$L:$L,"Дорозвідується")+COUNTIFS('Таблиця 1'!$B:$B,$A479,'Таблиця 1'!$I:$I,"МіГ-29",'Таблиця 1'!$L:$L,"Дорозвідується")+COUNTIFS('Таблиця 1'!$B:$B,$A479,'Таблиця 1'!$I:$I,"Су-25",'Таблиця 1'!$L:$L,"Дорозвідується")+COUNTIFS('Таблиця 1'!$B:$B,$A479,'Таблиця 1'!$I:$I,"Су-27",'Таблиця 1'!$L:$L,"Дорозвідується"))</f>
        <v/>
      </c>
    </row>
    <row r="480">
      <c r="A480" s="273">
        <f>IF(A479="","",IF(A479+1&gt;MAX('Таблиця 1'!$B:$B),"",A479+1))</f>
        <v/>
      </c>
      <c r="B480">
        <f>IF($A480="","",COUNTIFS('Таблиця 1'!$B:$B,$A480,'Таблиця 1'!$I:$I,"Mirage")+COUNTIFS('Таблиця 1'!$B:$B,$A480,'Таблиця 1'!$I:$I,"F-16")+COUNTIFS('Таблиця 1'!$B:$B,$A480,'Таблиця 1'!$I:$I,"МіГ-29")+COUNTIFS('Таблиця 1'!$B:$B,$A480,'Таблиця 1'!$I:$I,"Су-25")+COUNTIFS('Таблиця 1'!$B:$B,$A480,'Таблиця 1'!$I:$I,"Су-27"))</f>
        <v/>
      </c>
      <c r="C480">
        <f>IF($A480="","",COUNTIFS('Таблиця 1'!$B:$B,$A480,'Таблиця 1'!$I:$I,"Mirage"))</f>
        <v/>
      </c>
      <c r="D480">
        <f>IF($A480="","",COUNTIFS('Таблиця 1'!$B:$B,$A480,'Таблиця 1'!$I:$I,"F-16"))</f>
        <v/>
      </c>
      <c r="E480">
        <f>IF($A480="","",COUNTIFS('Таблиця 1'!$B:$B,$A480,'Таблиця 1'!$I:$I,"МіГ-29"))</f>
        <v/>
      </c>
      <c r="F480">
        <f>IF($A480="","",COUNTIFS('Таблиця 1'!$B:$B,$A480,'Таблиця 1'!$I:$I,"Су-25"))</f>
        <v/>
      </c>
      <c r="G480">
        <f>IF($A480="","",COUNTIFS('Таблиця 1'!$B:$B,$A480,'Таблиця 1'!$I:$I,"Су-27"))</f>
        <v/>
      </c>
      <c r="H480">
        <f>IF($A480="","",SUMIFS('Таблиця 1'!$K:$K,'Таблиця 1'!$B:$B,$A480,'Таблиця 1'!$I:$I,"Mirage",'Таблиця 1'!$J:$J,"AGM-88")+SUMIFS('Таблиця 1'!$K:$K,'Таблиця 1'!$B:$B,$A480,'Таблиця 1'!$I:$I,"F-16",'Таблиця 1'!$J:$J,"AGM-88")+SUMIFS('Таблиця 1'!$K:$K,'Таблиця 1'!$B:$B,$A480,'Таблиця 1'!$I:$I,"МіГ-29",'Таблиця 1'!$J:$J,"AGM-88")+SUMIFS('Таблиця 1'!$K:$K,'Таблиця 1'!$B:$B,$A480,'Таблиця 1'!$I:$I,"Су-25",'Таблиця 1'!$J:$J,"AGM-88")+SUMIFS('Таблиця 1'!$K:$K,'Таблиця 1'!$B:$B,$A480,'Таблиця 1'!$I:$I,"Су-27",'Таблиця 1'!$J:$J,"AGM-88"))</f>
        <v/>
      </c>
      <c r="I480">
        <f>IF($A480="","",SUMIFS('Таблиця 1'!$K:$K,'Таблиця 1'!$B:$B,$A480,'Таблиця 1'!$I:$I,"Mirage",'Таблиця 1'!$J:$J,"AASM-250")+SUMIFS('Таблиця 1'!$K:$K,'Таблиця 1'!$B:$B,$A480,'Таблиця 1'!$I:$I,"F-16",'Таблиця 1'!$J:$J,"AASM-250")+SUMIFS('Таблиця 1'!$K:$K,'Таблиця 1'!$B:$B,$A480,'Таблиця 1'!$I:$I,"МіГ-29",'Таблиця 1'!$J:$J,"AASM-250")+SUMIFS('Таблиця 1'!$K:$K,'Таблиця 1'!$B:$B,$A480,'Таблиця 1'!$I:$I,"Су-25",'Таблиця 1'!$J:$J,"AASM-250")+SUMIFS('Таблиця 1'!$K:$K,'Таблиця 1'!$B:$B,$A480,'Таблиця 1'!$I:$I,"Су-27",'Таблиця 1'!$J:$J,"AASM-250"))</f>
        <v/>
      </c>
      <c r="J480">
        <f>IF($A480="","",SUMIFS('Таблиця 1'!$K:$K,'Таблиця 1'!$B:$B,$A480,'Таблиця 1'!$I:$I,"Mirage",'Таблиця 1'!$J:$J,"GBU-39")+SUMIFS('Таблиця 1'!$K:$K,'Таблиця 1'!$B:$B,$A480,'Таблиця 1'!$I:$I,"F-16",'Таблиця 1'!$J:$J,"GBU-39")+SUMIFS('Таблиця 1'!$K:$K,'Таблиця 1'!$B:$B,$A480,'Таблиця 1'!$I:$I,"МіГ-29",'Таблиця 1'!$J:$J,"GBU-39")+SUMIFS('Таблиця 1'!$K:$K,'Таблиця 1'!$B:$B,$A480,'Таблиця 1'!$I:$I,"Су-25",'Таблиця 1'!$J:$J,"GBU-39")+SUMIFS('Таблиця 1'!$K:$K,'Таблиця 1'!$B:$B,$A480,'Таблиця 1'!$I:$I,"Су-27",'Таблиця 1'!$J:$J,"GBU-39"))</f>
        <v/>
      </c>
      <c r="K480">
        <f>IF($A480="","",SUMIFS('Таблиця 1'!$K:$K,'Таблиця 1'!$B:$B,$A480,'Таблиця 1'!$I:$I,"Mirage",'Таблиця 1'!$J:$J,"BLU-140")+SUMIFS('Таблиця 1'!$K:$K,'Таблиця 1'!$B:$B,$A480,'Таблиця 1'!$I:$I,"F-16",'Таблиця 1'!$J:$J,"BLU-140")+SUMIFS('Таблиця 1'!$K:$K,'Таблиця 1'!$B:$B,$A480,'Таблиця 1'!$I:$I,"МіГ-29",'Таблиця 1'!$J:$J,"BLU-140")+SUMIFS('Таблиця 1'!$K:$K,'Таблиця 1'!$B:$B,$A480,'Таблиця 1'!$I:$I,"Су-25",'Таблиця 1'!$J:$J,"BLU-140")+SUMIFS('Таблиця 1'!$K:$K,'Таблиця 1'!$B:$B,$A480,'Таблиця 1'!$I:$I,"Су-27",'Таблиця 1'!$J:$J,"BLU-140"))</f>
        <v/>
      </c>
      <c r="L480">
        <f>IF($A480="","",SUMIFS('Таблиця 1'!$K:$K,'Таблиця 1'!$B:$B,$A480,'Таблиця 1'!$I:$I,"Mirage",'Таблиця 1'!$J:$J,"GBU-65")+SUMIFS('Таблиця 1'!$K:$K,'Таблиця 1'!$B:$B,$A480,'Таблиця 1'!$I:$I,"F-16",'Таблиця 1'!$J:$J,"GBU-65")+SUMIFS('Таблиця 1'!$K:$K,'Таблиця 1'!$B:$B,$A480,'Таблиця 1'!$I:$I,"МіГ-29",'Таблиця 1'!$J:$J,"GBU-65")+SUMIFS('Таблиця 1'!$K:$K,'Таблиця 1'!$B:$B,$A480,'Таблиця 1'!$I:$I,"Су-25",'Таблиця 1'!$J:$J,"GBU-65")+SUMIFS('Таблиця 1'!$K:$K,'Таблиця 1'!$B:$B,$A480,'Таблиця 1'!$I:$I,"Су-27",'Таблиця 1'!$J:$J,"GBU-65"))</f>
        <v/>
      </c>
      <c r="M480">
        <f>IF($A480="","",SUMIFS('Таблиця 1'!$K:$K,'Таблиця 1'!$B:$B,$A480,'Таблиця 1'!$I:$I,"Mirage",'Таблиця 1'!$J:$J,"GBU-62")+SUMIFS('Таблиця 1'!$K:$K,'Таблиця 1'!$B:$B,$A480,'Таблиця 1'!$I:$I,"F-16",'Таблиця 1'!$J:$J,"GBU-62")+SUMIFS('Таблиця 1'!$K:$K,'Таблиця 1'!$B:$B,$A480,'Таблиця 1'!$I:$I,"МіГ-29",'Таблиця 1'!$J:$J,"GBU-62")+SUMIFS('Таблиця 1'!$K:$K,'Таблиця 1'!$B:$B,$A480,'Таблиця 1'!$I:$I,"Су-25",'Таблиця 1'!$J:$J,"GBU-62")+SUMIFS('Таблиця 1'!$K:$K,'Таблиця 1'!$B:$B,$A480,'Таблиця 1'!$I:$I,"Су-27",'Таблиця 1'!$J:$J,"GBU-62"))</f>
        <v/>
      </c>
      <c r="N480">
        <f>IF($A480="","",SUMIFS('Таблиця 1'!$K:$K,'Таблиця 1'!$B:$B,$A480,'Таблиця 1'!$I:$I,"Mirage",'Таблиця 1'!$J:$J,"GBU-64")+SUMIFS('Таблиця 1'!$K:$K,'Таблиця 1'!$B:$B,$A480,'Таблиця 1'!$I:$I,"F-16",'Таблиця 1'!$J:$J,"GBU-64")+SUMIFS('Таблиця 1'!$K:$K,'Таблиця 1'!$B:$B,$A480,'Таблиця 1'!$I:$I,"МіГ-29",'Таблиця 1'!$J:$J,"GBU-64")+SUMIFS('Таблиця 1'!$K:$K,'Таблиця 1'!$B:$B,$A480,'Таблиця 1'!$I:$I,"Су-25",'Таблиця 1'!$J:$J,"GBU-64")+SUMIFS('Таблиця 1'!$K:$K,'Таблиця 1'!$B:$B,$A480,'Таблиця 1'!$I:$I,"Су-27",'Таблиця 1'!$J:$J,"GBU-64"))</f>
        <v/>
      </c>
      <c r="O480">
        <f>IF($A480="","",SUMIFS('Таблиця 1'!$K:$K,'Таблиця 1'!$B:$B,$A480,'Таблиця 1'!$I:$I,"Mirage",'Таблиця 1'!$J:$J,"C-13")+SUMIFS('Таблиця 1'!$K:$K,'Таблиця 1'!$B:$B,$A480,'Таблиця 1'!$I:$I,"F-16",'Таблиця 1'!$J:$J,"C-13")+SUMIFS('Таблиця 1'!$K:$K,'Таблиця 1'!$B:$B,$A480,'Таблиця 1'!$I:$I,"МіГ-29",'Таблиця 1'!$J:$J,"C-13")+SUMIFS('Таблиця 1'!$K:$K,'Таблиця 1'!$B:$B,$A480,'Таблиця 1'!$I:$I,"Су-25",'Таблиця 1'!$J:$J,"C-13")+SUMIFS('Таблиця 1'!$K:$K,'Таблиця 1'!$B:$B,$A480,'Таблиця 1'!$I:$I,"Су-27",'Таблиця 1'!$J:$J,"C-13"))</f>
        <v/>
      </c>
      <c r="P480">
        <f>IF($A480="","",SUMIFS('Таблиця 1'!$K:$K,'Таблиця 1'!$B:$B,$A480,'Таблиця 1'!$I:$I,"Mirage",'Таблиця 1'!$J:$J,"MK-32")+SUMIFS('Таблиця 1'!$K:$K,'Таблиця 1'!$B:$B,$A480,'Таблиця 1'!$I:$I,"F-16",'Таблиця 1'!$J:$J,"MK-32")+SUMIFS('Таблиця 1'!$K:$K,'Таблиця 1'!$B:$B,$A480,'Таблиця 1'!$I:$I,"МіГ-29",'Таблиця 1'!$J:$J,"MK-32")+SUMIFS('Таблиця 1'!$K:$K,'Таблиця 1'!$B:$B,$A480,'Таблиця 1'!$I:$I,"Су-25",'Таблиця 1'!$J:$J,"MK-32")+SUMIFS('Таблиця 1'!$K:$K,'Таблиця 1'!$B:$B,$A480,'Таблиця 1'!$I:$I,"Су-27",'Таблиця 1'!$J:$J,"MK-32"))</f>
        <v/>
      </c>
      <c r="Q480">
        <f>IF($A480="","",SUMIFS('Таблиця 1'!$K:$K,'Таблиця 1'!$B:$B,$A480,'Таблиця 1'!$I:$I,"Mirage",'Таблиця 1'!$J:$J,"MK-24")+SUMIFS('Таблиця 1'!$K:$K,'Таблиця 1'!$B:$B,$A480,'Таблиця 1'!$I:$I,"F-16",'Таблиця 1'!$J:$J,"MK-24")+SUMIFS('Таблиця 1'!$K:$K,'Таблиця 1'!$B:$B,$A480,'Таблиця 1'!$I:$I,"МіГ-29",'Таблиця 1'!$J:$J,"MK-24")+SUMIFS('Таблиця 1'!$K:$K,'Таблиця 1'!$B:$B,$A480,'Таблиця 1'!$I:$I,"Су-25",'Таблиця 1'!$J:$J,"MK-24")+SUMIFS('Таблиця 1'!$K:$K,'Таблиця 1'!$B:$B,$A480,'Таблиця 1'!$I:$I,"Су-27",'Таблиця 1'!$J:$J,"MK-24"))</f>
        <v/>
      </c>
      <c r="R480">
        <f>IF($A480="","",COUNTIFS('Таблиця 1'!$B:$B,$A480,'Таблиця 1'!$I:$I,"Mirage",'Таблиця 1'!$L:$L,"Уражено")+COUNTIFS('Таблиця 1'!$B:$B,$A480,'Таблиця 1'!$I:$I,"F-16",'Таблиця 1'!$L:$L,"Уражено")+COUNTIFS('Таблиця 1'!$B:$B,$A480,'Таблиця 1'!$I:$I,"МіГ-29",'Таблиця 1'!$L:$L,"Уражено")+COUNTIFS('Таблиця 1'!$B:$B,$A480,'Таблиця 1'!$I:$I,"Су-25",'Таблиця 1'!$L:$L,"Уражено")+COUNTIFS('Таблиця 1'!$B:$B,$A480,'Таблиця 1'!$I:$I,"Су-27",'Таблиця 1'!$L:$L,"Уражено"))</f>
        <v/>
      </c>
      <c r="S480">
        <f>IF($A480="","",COUNTIFS('Таблиця 1'!$B:$B,$A480,'Таблиця 1'!$I:$I,"Mirage",'Таблиця 1'!$L:$L,"НЕ уражено")+COUNTIFS('Таблиця 1'!$B:$B,$A480,'Таблиця 1'!$I:$I,"F-16",'Таблиця 1'!$L:$L,"НЕ уражено")+COUNTIFS('Таблиця 1'!$B:$B,$A480,'Таблиця 1'!$I:$I,"МіГ-29",'Таблиця 1'!$L:$L,"НЕ уражено")+COUNTIFS('Таблиця 1'!$B:$B,$A480,'Таблиця 1'!$I:$I,"Су-25",'Таблиця 1'!$L:$L,"НЕ уражено")+COUNTIFS('Таблиця 1'!$B:$B,$A480,'Таблиця 1'!$I:$I,"Су-27",'Таблиця 1'!$L:$L,"НЕ уражено"))</f>
        <v/>
      </c>
      <c r="T480">
        <f>IF($A480="","",COUNTIFS('Таблиця 1'!$B:$B,$A480,'Таблиця 1'!$I:$I,"Mirage",'Таблиця 1'!$L:$L,"Дорозвідується")+COUNTIFS('Таблиця 1'!$B:$B,$A480,'Таблиця 1'!$I:$I,"F-16",'Таблиця 1'!$L:$L,"Дорозвідується")+COUNTIFS('Таблиця 1'!$B:$B,$A480,'Таблиця 1'!$I:$I,"МіГ-29",'Таблиця 1'!$L:$L,"Дорозвідується")+COUNTIFS('Таблиця 1'!$B:$B,$A480,'Таблиця 1'!$I:$I,"Су-25",'Таблиця 1'!$L:$L,"Дорозвідується")+COUNTIFS('Таблиця 1'!$B:$B,$A480,'Таблиця 1'!$I:$I,"Су-27",'Таблиця 1'!$L:$L,"Дорозвідується"))</f>
        <v/>
      </c>
    </row>
    <row r="481">
      <c r="A481" s="273">
        <f>IF(A480="","",IF(A480+1&gt;MAX('Таблиця 1'!$B:$B),"",A480+1))</f>
        <v/>
      </c>
      <c r="B481">
        <f>IF($A481="","",COUNTIFS('Таблиця 1'!$B:$B,$A481,'Таблиця 1'!$I:$I,"Mirage")+COUNTIFS('Таблиця 1'!$B:$B,$A481,'Таблиця 1'!$I:$I,"F-16")+COUNTIFS('Таблиця 1'!$B:$B,$A481,'Таблиця 1'!$I:$I,"МіГ-29")+COUNTIFS('Таблиця 1'!$B:$B,$A481,'Таблиця 1'!$I:$I,"Су-25")+COUNTIFS('Таблиця 1'!$B:$B,$A481,'Таблиця 1'!$I:$I,"Су-27"))</f>
        <v/>
      </c>
      <c r="C481">
        <f>IF($A481="","",COUNTIFS('Таблиця 1'!$B:$B,$A481,'Таблиця 1'!$I:$I,"Mirage"))</f>
        <v/>
      </c>
      <c r="D481">
        <f>IF($A481="","",COUNTIFS('Таблиця 1'!$B:$B,$A481,'Таблиця 1'!$I:$I,"F-16"))</f>
        <v/>
      </c>
      <c r="E481">
        <f>IF($A481="","",COUNTIFS('Таблиця 1'!$B:$B,$A481,'Таблиця 1'!$I:$I,"МіГ-29"))</f>
        <v/>
      </c>
      <c r="F481">
        <f>IF($A481="","",COUNTIFS('Таблиця 1'!$B:$B,$A481,'Таблиця 1'!$I:$I,"Су-25"))</f>
        <v/>
      </c>
      <c r="G481">
        <f>IF($A481="","",COUNTIFS('Таблиця 1'!$B:$B,$A481,'Таблиця 1'!$I:$I,"Су-27"))</f>
        <v/>
      </c>
      <c r="H481">
        <f>IF($A481="","",SUMIFS('Таблиця 1'!$K:$K,'Таблиця 1'!$B:$B,$A481,'Таблиця 1'!$I:$I,"Mirage",'Таблиця 1'!$J:$J,"AGM-88")+SUMIFS('Таблиця 1'!$K:$K,'Таблиця 1'!$B:$B,$A481,'Таблиця 1'!$I:$I,"F-16",'Таблиця 1'!$J:$J,"AGM-88")+SUMIFS('Таблиця 1'!$K:$K,'Таблиця 1'!$B:$B,$A481,'Таблиця 1'!$I:$I,"МіГ-29",'Таблиця 1'!$J:$J,"AGM-88")+SUMIFS('Таблиця 1'!$K:$K,'Таблиця 1'!$B:$B,$A481,'Таблиця 1'!$I:$I,"Су-25",'Таблиця 1'!$J:$J,"AGM-88")+SUMIFS('Таблиця 1'!$K:$K,'Таблиця 1'!$B:$B,$A481,'Таблиця 1'!$I:$I,"Су-27",'Таблиця 1'!$J:$J,"AGM-88"))</f>
        <v/>
      </c>
      <c r="I481">
        <f>IF($A481="","",SUMIFS('Таблиця 1'!$K:$K,'Таблиця 1'!$B:$B,$A481,'Таблиця 1'!$I:$I,"Mirage",'Таблиця 1'!$J:$J,"AASM-250")+SUMIFS('Таблиця 1'!$K:$K,'Таблиця 1'!$B:$B,$A481,'Таблиця 1'!$I:$I,"F-16",'Таблиця 1'!$J:$J,"AASM-250")+SUMIFS('Таблиця 1'!$K:$K,'Таблиця 1'!$B:$B,$A481,'Таблиця 1'!$I:$I,"МіГ-29",'Таблиця 1'!$J:$J,"AASM-250")+SUMIFS('Таблиця 1'!$K:$K,'Таблиця 1'!$B:$B,$A481,'Таблиця 1'!$I:$I,"Су-25",'Таблиця 1'!$J:$J,"AASM-250")+SUMIFS('Таблиця 1'!$K:$K,'Таблиця 1'!$B:$B,$A481,'Таблиця 1'!$I:$I,"Су-27",'Таблиця 1'!$J:$J,"AASM-250"))</f>
        <v/>
      </c>
      <c r="J481">
        <f>IF($A481="","",SUMIFS('Таблиця 1'!$K:$K,'Таблиця 1'!$B:$B,$A481,'Таблиця 1'!$I:$I,"Mirage",'Таблиця 1'!$J:$J,"GBU-39")+SUMIFS('Таблиця 1'!$K:$K,'Таблиця 1'!$B:$B,$A481,'Таблиця 1'!$I:$I,"F-16",'Таблиця 1'!$J:$J,"GBU-39")+SUMIFS('Таблиця 1'!$K:$K,'Таблиця 1'!$B:$B,$A481,'Таблиця 1'!$I:$I,"МіГ-29",'Таблиця 1'!$J:$J,"GBU-39")+SUMIFS('Таблиця 1'!$K:$K,'Таблиця 1'!$B:$B,$A481,'Таблиця 1'!$I:$I,"Су-25",'Таблиця 1'!$J:$J,"GBU-39")+SUMIFS('Таблиця 1'!$K:$K,'Таблиця 1'!$B:$B,$A481,'Таблиця 1'!$I:$I,"Су-27",'Таблиця 1'!$J:$J,"GBU-39"))</f>
        <v/>
      </c>
      <c r="K481">
        <f>IF($A481="","",SUMIFS('Таблиця 1'!$K:$K,'Таблиця 1'!$B:$B,$A481,'Таблиця 1'!$I:$I,"Mirage",'Таблиця 1'!$J:$J,"BLU-140")+SUMIFS('Таблиця 1'!$K:$K,'Таблиця 1'!$B:$B,$A481,'Таблиця 1'!$I:$I,"F-16",'Таблиця 1'!$J:$J,"BLU-140")+SUMIFS('Таблиця 1'!$K:$K,'Таблиця 1'!$B:$B,$A481,'Таблиця 1'!$I:$I,"МіГ-29",'Таблиця 1'!$J:$J,"BLU-140")+SUMIFS('Таблиця 1'!$K:$K,'Таблиця 1'!$B:$B,$A481,'Таблиця 1'!$I:$I,"Су-25",'Таблиця 1'!$J:$J,"BLU-140")+SUMIFS('Таблиця 1'!$K:$K,'Таблиця 1'!$B:$B,$A481,'Таблиця 1'!$I:$I,"Су-27",'Таблиця 1'!$J:$J,"BLU-140"))</f>
        <v/>
      </c>
      <c r="L481">
        <f>IF($A481="","",SUMIFS('Таблиця 1'!$K:$K,'Таблиця 1'!$B:$B,$A481,'Таблиця 1'!$I:$I,"Mirage",'Таблиця 1'!$J:$J,"GBU-65")+SUMIFS('Таблиця 1'!$K:$K,'Таблиця 1'!$B:$B,$A481,'Таблиця 1'!$I:$I,"F-16",'Таблиця 1'!$J:$J,"GBU-65")+SUMIFS('Таблиця 1'!$K:$K,'Таблиця 1'!$B:$B,$A481,'Таблиця 1'!$I:$I,"МіГ-29",'Таблиця 1'!$J:$J,"GBU-65")+SUMIFS('Таблиця 1'!$K:$K,'Таблиця 1'!$B:$B,$A481,'Таблиця 1'!$I:$I,"Су-25",'Таблиця 1'!$J:$J,"GBU-65")+SUMIFS('Таблиця 1'!$K:$K,'Таблиця 1'!$B:$B,$A481,'Таблиця 1'!$I:$I,"Су-27",'Таблиця 1'!$J:$J,"GBU-65"))</f>
        <v/>
      </c>
      <c r="M481">
        <f>IF($A481="","",SUMIFS('Таблиця 1'!$K:$K,'Таблиця 1'!$B:$B,$A481,'Таблиця 1'!$I:$I,"Mirage",'Таблиця 1'!$J:$J,"GBU-62")+SUMIFS('Таблиця 1'!$K:$K,'Таблиця 1'!$B:$B,$A481,'Таблиця 1'!$I:$I,"F-16",'Таблиця 1'!$J:$J,"GBU-62")+SUMIFS('Таблиця 1'!$K:$K,'Таблиця 1'!$B:$B,$A481,'Таблиця 1'!$I:$I,"МіГ-29",'Таблиця 1'!$J:$J,"GBU-62")+SUMIFS('Таблиця 1'!$K:$K,'Таблиця 1'!$B:$B,$A481,'Таблиця 1'!$I:$I,"Су-25",'Таблиця 1'!$J:$J,"GBU-62")+SUMIFS('Таблиця 1'!$K:$K,'Таблиця 1'!$B:$B,$A481,'Таблиця 1'!$I:$I,"Су-27",'Таблиця 1'!$J:$J,"GBU-62"))</f>
        <v/>
      </c>
      <c r="N481">
        <f>IF($A481="","",SUMIFS('Таблиця 1'!$K:$K,'Таблиця 1'!$B:$B,$A481,'Таблиця 1'!$I:$I,"Mirage",'Таблиця 1'!$J:$J,"GBU-64")+SUMIFS('Таблиця 1'!$K:$K,'Таблиця 1'!$B:$B,$A481,'Таблиця 1'!$I:$I,"F-16",'Таблиця 1'!$J:$J,"GBU-64")+SUMIFS('Таблиця 1'!$K:$K,'Таблиця 1'!$B:$B,$A481,'Таблиця 1'!$I:$I,"МіГ-29",'Таблиця 1'!$J:$J,"GBU-64")+SUMIFS('Таблиця 1'!$K:$K,'Таблиця 1'!$B:$B,$A481,'Таблиця 1'!$I:$I,"Су-25",'Таблиця 1'!$J:$J,"GBU-64")+SUMIFS('Таблиця 1'!$K:$K,'Таблиця 1'!$B:$B,$A481,'Таблиця 1'!$I:$I,"Су-27",'Таблиця 1'!$J:$J,"GBU-64"))</f>
        <v/>
      </c>
      <c r="O481">
        <f>IF($A481="","",SUMIFS('Таблиця 1'!$K:$K,'Таблиця 1'!$B:$B,$A481,'Таблиця 1'!$I:$I,"Mirage",'Таблиця 1'!$J:$J,"C-13")+SUMIFS('Таблиця 1'!$K:$K,'Таблиця 1'!$B:$B,$A481,'Таблиця 1'!$I:$I,"F-16",'Таблиця 1'!$J:$J,"C-13")+SUMIFS('Таблиця 1'!$K:$K,'Таблиця 1'!$B:$B,$A481,'Таблиця 1'!$I:$I,"МіГ-29",'Таблиця 1'!$J:$J,"C-13")+SUMIFS('Таблиця 1'!$K:$K,'Таблиця 1'!$B:$B,$A481,'Таблиця 1'!$I:$I,"Су-25",'Таблиця 1'!$J:$J,"C-13")+SUMIFS('Таблиця 1'!$K:$K,'Таблиця 1'!$B:$B,$A481,'Таблиця 1'!$I:$I,"Су-27",'Таблиця 1'!$J:$J,"C-13"))</f>
        <v/>
      </c>
      <c r="P481">
        <f>IF($A481="","",SUMIFS('Таблиця 1'!$K:$K,'Таблиця 1'!$B:$B,$A481,'Таблиця 1'!$I:$I,"Mirage",'Таблиця 1'!$J:$J,"MK-32")+SUMIFS('Таблиця 1'!$K:$K,'Таблиця 1'!$B:$B,$A481,'Таблиця 1'!$I:$I,"F-16",'Таблиця 1'!$J:$J,"MK-32")+SUMIFS('Таблиця 1'!$K:$K,'Таблиця 1'!$B:$B,$A481,'Таблиця 1'!$I:$I,"МіГ-29",'Таблиця 1'!$J:$J,"MK-32")+SUMIFS('Таблиця 1'!$K:$K,'Таблиця 1'!$B:$B,$A481,'Таблиця 1'!$I:$I,"Су-25",'Таблиця 1'!$J:$J,"MK-32")+SUMIFS('Таблиця 1'!$K:$K,'Таблиця 1'!$B:$B,$A481,'Таблиця 1'!$I:$I,"Су-27",'Таблиця 1'!$J:$J,"MK-32"))</f>
        <v/>
      </c>
      <c r="Q481">
        <f>IF($A481="","",SUMIFS('Таблиця 1'!$K:$K,'Таблиця 1'!$B:$B,$A481,'Таблиця 1'!$I:$I,"Mirage",'Таблиця 1'!$J:$J,"MK-24")+SUMIFS('Таблиця 1'!$K:$K,'Таблиця 1'!$B:$B,$A481,'Таблиця 1'!$I:$I,"F-16",'Таблиця 1'!$J:$J,"MK-24")+SUMIFS('Таблиця 1'!$K:$K,'Таблиця 1'!$B:$B,$A481,'Таблиця 1'!$I:$I,"МіГ-29",'Таблиця 1'!$J:$J,"MK-24")+SUMIFS('Таблиця 1'!$K:$K,'Таблиця 1'!$B:$B,$A481,'Таблиця 1'!$I:$I,"Су-25",'Таблиця 1'!$J:$J,"MK-24")+SUMIFS('Таблиця 1'!$K:$K,'Таблиця 1'!$B:$B,$A481,'Таблиця 1'!$I:$I,"Су-27",'Таблиця 1'!$J:$J,"MK-24"))</f>
        <v/>
      </c>
      <c r="R481">
        <f>IF($A481="","",COUNTIFS('Таблиця 1'!$B:$B,$A481,'Таблиця 1'!$I:$I,"Mirage",'Таблиця 1'!$L:$L,"Уражено")+COUNTIFS('Таблиця 1'!$B:$B,$A481,'Таблиця 1'!$I:$I,"F-16",'Таблиця 1'!$L:$L,"Уражено")+COUNTIFS('Таблиця 1'!$B:$B,$A481,'Таблиця 1'!$I:$I,"МіГ-29",'Таблиця 1'!$L:$L,"Уражено")+COUNTIFS('Таблиця 1'!$B:$B,$A481,'Таблиця 1'!$I:$I,"Су-25",'Таблиця 1'!$L:$L,"Уражено")+COUNTIFS('Таблиця 1'!$B:$B,$A481,'Таблиця 1'!$I:$I,"Су-27",'Таблиця 1'!$L:$L,"Уражено"))</f>
        <v/>
      </c>
      <c r="S481">
        <f>IF($A481="","",COUNTIFS('Таблиця 1'!$B:$B,$A481,'Таблиця 1'!$I:$I,"Mirage",'Таблиця 1'!$L:$L,"НЕ уражено")+COUNTIFS('Таблиця 1'!$B:$B,$A481,'Таблиця 1'!$I:$I,"F-16",'Таблиця 1'!$L:$L,"НЕ уражено")+COUNTIFS('Таблиця 1'!$B:$B,$A481,'Таблиця 1'!$I:$I,"МіГ-29",'Таблиця 1'!$L:$L,"НЕ уражено")+COUNTIFS('Таблиця 1'!$B:$B,$A481,'Таблиця 1'!$I:$I,"Су-25",'Таблиця 1'!$L:$L,"НЕ уражено")+COUNTIFS('Таблиця 1'!$B:$B,$A481,'Таблиця 1'!$I:$I,"Су-27",'Таблиця 1'!$L:$L,"НЕ уражено"))</f>
        <v/>
      </c>
      <c r="T481">
        <f>IF($A481="","",COUNTIFS('Таблиця 1'!$B:$B,$A481,'Таблиця 1'!$I:$I,"Mirage",'Таблиця 1'!$L:$L,"Дорозвідується")+COUNTIFS('Таблиця 1'!$B:$B,$A481,'Таблиця 1'!$I:$I,"F-16",'Таблиця 1'!$L:$L,"Дорозвідується")+COUNTIFS('Таблиця 1'!$B:$B,$A481,'Таблиця 1'!$I:$I,"МіГ-29",'Таблиця 1'!$L:$L,"Дорозвідується")+COUNTIFS('Таблиця 1'!$B:$B,$A481,'Таблиця 1'!$I:$I,"Су-25",'Таблиця 1'!$L:$L,"Дорозвідується")+COUNTIFS('Таблиця 1'!$B:$B,$A481,'Таблиця 1'!$I:$I,"Су-27",'Таблиця 1'!$L:$L,"Дорозвідується"))</f>
        <v/>
      </c>
    </row>
    <row r="482">
      <c r="A482" s="273">
        <f>IF(A481="","",IF(A481+1&gt;MAX('Таблиця 1'!$B:$B),"",A481+1))</f>
        <v/>
      </c>
      <c r="B482">
        <f>IF($A482="","",COUNTIFS('Таблиця 1'!$B:$B,$A482,'Таблиця 1'!$I:$I,"Mirage")+COUNTIFS('Таблиця 1'!$B:$B,$A482,'Таблиця 1'!$I:$I,"F-16")+COUNTIFS('Таблиця 1'!$B:$B,$A482,'Таблиця 1'!$I:$I,"МіГ-29")+COUNTIFS('Таблиця 1'!$B:$B,$A482,'Таблиця 1'!$I:$I,"Су-25")+COUNTIFS('Таблиця 1'!$B:$B,$A482,'Таблиця 1'!$I:$I,"Су-27"))</f>
        <v/>
      </c>
      <c r="C482">
        <f>IF($A482="","",COUNTIFS('Таблиця 1'!$B:$B,$A482,'Таблиця 1'!$I:$I,"Mirage"))</f>
        <v/>
      </c>
      <c r="D482">
        <f>IF($A482="","",COUNTIFS('Таблиця 1'!$B:$B,$A482,'Таблиця 1'!$I:$I,"F-16"))</f>
        <v/>
      </c>
      <c r="E482">
        <f>IF($A482="","",COUNTIFS('Таблиця 1'!$B:$B,$A482,'Таблиця 1'!$I:$I,"МіГ-29"))</f>
        <v/>
      </c>
      <c r="F482">
        <f>IF($A482="","",COUNTIFS('Таблиця 1'!$B:$B,$A482,'Таблиця 1'!$I:$I,"Су-25"))</f>
        <v/>
      </c>
      <c r="G482">
        <f>IF($A482="","",COUNTIFS('Таблиця 1'!$B:$B,$A482,'Таблиця 1'!$I:$I,"Су-27"))</f>
        <v/>
      </c>
      <c r="H482">
        <f>IF($A482="","",SUMIFS('Таблиця 1'!$K:$K,'Таблиця 1'!$B:$B,$A482,'Таблиця 1'!$I:$I,"Mirage",'Таблиця 1'!$J:$J,"AGM-88")+SUMIFS('Таблиця 1'!$K:$K,'Таблиця 1'!$B:$B,$A482,'Таблиця 1'!$I:$I,"F-16",'Таблиця 1'!$J:$J,"AGM-88")+SUMIFS('Таблиця 1'!$K:$K,'Таблиця 1'!$B:$B,$A482,'Таблиця 1'!$I:$I,"МіГ-29",'Таблиця 1'!$J:$J,"AGM-88")+SUMIFS('Таблиця 1'!$K:$K,'Таблиця 1'!$B:$B,$A482,'Таблиця 1'!$I:$I,"Су-25",'Таблиця 1'!$J:$J,"AGM-88")+SUMIFS('Таблиця 1'!$K:$K,'Таблиця 1'!$B:$B,$A482,'Таблиця 1'!$I:$I,"Су-27",'Таблиця 1'!$J:$J,"AGM-88"))</f>
        <v/>
      </c>
      <c r="I482">
        <f>IF($A482="","",SUMIFS('Таблиця 1'!$K:$K,'Таблиця 1'!$B:$B,$A482,'Таблиця 1'!$I:$I,"Mirage",'Таблиця 1'!$J:$J,"AASM-250")+SUMIFS('Таблиця 1'!$K:$K,'Таблиця 1'!$B:$B,$A482,'Таблиця 1'!$I:$I,"F-16",'Таблиця 1'!$J:$J,"AASM-250")+SUMIFS('Таблиця 1'!$K:$K,'Таблиця 1'!$B:$B,$A482,'Таблиця 1'!$I:$I,"МіГ-29",'Таблиця 1'!$J:$J,"AASM-250")+SUMIFS('Таблиця 1'!$K:$K,'Таблиця 1'!$B:$B,$A482,'Таблиця 1'!$I:$I,"Су-25",'Таблиця 1'!$J:$J,"AASM-250")+SUMIFS('Таблиця 1'!$K:$K,'Таблиця 1'!$B:$B,$A482,'Таблиця 1'!$I:$I,"Су-27",'Таблиця 1'!$J:$J,"AASM-250"))</f>
        <v/>
      </c>
      <c r="J482">
        <f>IF($A482="","",SUMIFS('Таблиця 1'!$K:$K,'Таблиця 1'!$B:$B,$A482,'Таблиця 1'!$I:$I,"Mirage",'Таблиця 1'!$J:$J,"GBU-39")+SUMIFS('Таблиця 1'!$K:$K,'Таблиця 1'!$B:$B,$A482,'Таблиця 1'!$I:$I,"F-16",'Таблиця 1'!$J:$J,"GBU-39")+SUMIFS('Таблиця 1'!$K:$K,'Таблиця 1'!$B:$B,$A482,'Таблиця 1'!$I:$I,"МіГ-29",'Таблиця 1'!$J:$J,"GBU-39")+SUMIFS('Таблиця 1'!$K:$K,'Таблиця 1'!$B:$B,$A482,'Таблиця 1'!$I:$I,"Су-25",'Таблиця 1'!$J:$J,"GBU-39")+SUMIFS('Таблиця 1'!$K:$K,'Таблиця 1'!$B:$B,$A482,'Таблиця 1'!$I:$I,"Су-27",'Таблиця 1'!$J:$J,"GBU-39"))</f>
        <v/>
      </c>
      <c r="K482">
        <f>IF($A482="","",SUMIFS('Таблиця 1'!$K:$K,'Таблиця 1'!$B:$B,$A482,'Таблиця 1'!$I:$I,"Mirage",'Таблиця 1'!$J:$J,"BLU-140")+SUMIFS('Таблиця 1'!$K:$K,'Таблиця 1'!$B:$B,$A482,'Таблиця 1'!$I:$I,"F-16",'Таблиця 1'!$J:$J,"BLU-140")+SUMIFS('Таблиця 1'!$K:$K,'Таблиця 1'!$B:$B,$A482,'Таблиця 1'!$I:$I,"МіГ-29",'Таблиця 1'!$J:$J,"BLU-140")+SUMIFS('Таблиця 1'!$K:$K,'Таблиця 1'!$B:$B,$A482,'Таблиця 1'!$I:$I,"Су-25",'Таблиця 1'!$J:$J,"BLU-140")+SUMIFS('Таблиця 1'!$K:$K,'Таблиця 1'!$B:$B,$A482,'Таблиця 1'!$I:$I,"Су-27",'Таблиця 1'!$J:$J,"BLU-140"))</f>
        <v/>
      </c>
      <c r="L482">
        <f>IF($A482="","",SUMIFS('Таблиця 1'!$K:$K,'Таблиця 1'!$B:$B,$A482,'Таблиця 1'!$I:$I,"Mirage",'Таблиця 1'!$J:$J,"GBU-65")+SUMIFS('Таблиця 1'!$K:$K,'Таблиця 1'!$B:$B,$A482,'Таблиця 1'!$I:$I,"F-16",'Таблиця 1'!$J:$J,"GBU-65")+SUMIFS('Таблиця 1'!$K:$K,'Таблиця 1'!$B:$B,$A482,'Таблиця 1'!$I:$I,"МіГ-29",'Таблиця 1'!$J:$J,"GBU-65")+SUMIFS('Таблиця 1'!$K:$K,'Таблиця 1'!$B:$B,$A482,'Таблиця 1'!$I:$I,"Су-25",'Таблиця 1'!$J:$J,"GBU-65")+SUMIFS('Таблиця 1'!$K:$K,'Таблиця 1'!$B:$B,$A482,'Таблиця 1'!$I:$I,"Су-27",'Таблиця 1'!$J:$J,"GBU-65"))</f>
        <v/>
      </c>
      <c r="M482">
        <f>IF($A482="","",SUMIFS('Таблиця 1'!$K:$K,'Таблиця 1'!$B:$B,$A482,'Таблиця 1'!$I:$I,"Mirage",'Таблиця 1'!$J:$J,"GBU-62")+SUMIFS('Таблиця 1'!$K:$K,'Таблиця 1'!$B:$B,$A482,'Таблиця 1'!$I:$I,"F-16",'Таблиця 1'!$J:$J,"GBU-62")+SUMIFS('Таблиця 1'!$K:$K,'Таблиця 1'!$B:$B,$A482,'Таблиця 1'!$I:$I,"МіГ-29",'Таблиця 1'!$J:$J,"GBU-62")+SUMIFS('Таблиця 1'!$K:$K,'Таблиця 1'!$B:$B,$A482,'Таблиця 1'!$I:$I,"Су-25",'Таблиця 1'!$J:$J,"GBU-62")+SUMIFS('Таблиця 1'!$K:$K,'Таблиця 1'!$B:$B,$A482,'Таблиця 1'!$I:$I,"Су-27",'Таблиця 1'!$J:$J,"GBU-62"))</f>
        <v/>
      </c>
      <c r="N482">
        <f>IF($A482="","",SUMIFS('Таблиця 1'!$K:$K,'Таблиця 1'!$B:$B,$A482,'Таблиця 1'!$I:$I,"Mirage",'Таблиця 1'!$J:$J,"GBU-64")+SUMIFS('Таблиця 1'!$K:$K,'Таблиця 1'!$B:$B,$A482,'Таблиця 1'!$I:$I,"F-16",'Таблиця 1'!$J:$J,"GBU-64")+SUMIFS('Таблиця 1'!$K:$K,'Таблиця 1'!$B:$B,$A482,'Таблиця 1'!$I:$I,"МіГ-29",'Таблиця 1'!$J:$J,"GBU-64")+SUMIFS('Таблиця 1'!$K:$K,'Таблиця 1'!$B:$B,$A482,'Таблиця 1'!$I:$I,"Су-25",'Таблиця 1'!$J:$J,"GBU-64")+SUMIFS('Таблиця 1'!$K:$K,'Таблиця 1'!$B:$B,$A482,'Таблиця 1'!$I:$I,"Су-27",'Таблиця 1'!$J:$J,"GBU-64"))</f>
        <v/>
      </c>
      <c r="O482">
        <f>IF($A482="","",SUMIFS('Таблиця 1'!$K:$K,'Таблиця 1'!$B:$B,$A482,'Таблиця 1'!$I:$I,"Mirage",'Таблиця 1'!$J:$J,"C-13")+SUMIFS('Таблиця 1'!$K:$K,'Таблиця 1'!$B:$B,$A482,'Таблиця 1'!$I:$I,"F-16",'Таблиця 1'!$J:$J,"C-13")+SUMIFS('Таблиця 1'!$K:$K,'Таблиця 1'!$B:$B,$A482,'Таблиця 1'!$I:$I,"МіГ-29",'Таблиця 1'!$J:$J,"C-13")+SUMIFS('Таблиця 1'!$K:$K,'Таблиця 1'!$B:$B,$A482,'Таблиця 1'!$I:$I,"Су-25",'Таблиця 1'!$J:$J,"C-13")+SUMIFS('Таблиця 1'!$K:$K,'Таблиця 1'!$B:$B,$A482,'Таблиця 1'!$I:$I,"Су-27",'Таблиця 1'!$J:$J,"C-13"))</f>
        <v/>
      </c>
      <c r="P482">
        <f>IF($A482="","",SUMIFS('Таблиця 1'!$K:$K,'Таблиця 1'!$B:$B,$A482,'Таблиця 1'!$I:$I,"Mirage",'Таблиця 1'!$J:$J,"MK-32")+SUMIFS('Таблиця 1'!$K:$K,'Таблиця 1'!$B:$B,$A482,'Таблиця 1'!$I:$I,"F-16",'Таблиця 1'!$J:$J,"MK-32")+SUMIFS('Таблиця 1'!$K:$K,'Таблиця 1'!$B:$B,$A482,'Таблиця 1'!$I:$I,"МіГ-29",'Таблиця 1'!$J:$J,"MK-32")+SUMIFS('Таблиця 1'!$K:$K,'Таблиця 1'!$B:$B,$A482,'Таблиця 1'!$I:$I,"Су-25",'Таблиця 1'!$J:$J,"MK-32")+SUMIFS('Таблиця 1'!$K:$K,'Таблиця 1'!$B:$B,$A482,'Таблиця 1'!$I:$I,"Су-27",'Таблиця 1'!$J:$J,"MK-32"))</f>
        <v/>
      </c>
      <c r="Q482">
        <f>IF($A482="","",SUMIFS('Таблиця 1'!$K:$K,'Таблиця 1'!$B:$B,$A482,'Таблиця 1'!$I:$I,"Mirage",'Таблиця 1'!$J:$J,"MK-24")+SUMIFS('Таблиця 1'!$K:$K,'Таблиця 1'!$B:$B,$A482,'Таблиця 1'!$I:$I,"F-16",'Таблиця 1'!$J:$J,"MK-24")+SUMIFS('Таблиця 1'!$K:$K,'Таблиця 1'!$B:$B,$A482,'Таблиця 1'!$I:$I,"МіГ-29",'Таблиця 1'!$J:$J,"MK-24")+SUMIFS('Таблиця 1'!$K:$K,'Таблиця 1'!$B:$B,$A482,'Таблиця 1'!$I:$I,"Су-25",'Таблиця 1'!$J:$J,"MK-24")+SUMIFS('Таблиця 1'!$K:$K,'Таблиця 1'!$B:$B,$A482,'Таблиця 1'!$I:$I,"Су-27",'Таблиця 1'!$J:$J,"MK-24"))</f>
        <v/>
      </c>
      <c r="R482">
        <f>IF($A482="","",COUNTIFS('Таблиця 1'!$B:$B,$A482,'Таблиця 1'!$I:$I,"Mirage",'Таблиця 1'!$L:$L,"Уражено")+COUNTIFS('Таблиця 1'!$B:$B,$A482,'Таблиця 1'!$I:$I,"F-16",'Таблиця 1'!$L:$L,"Уражено")+COUNTIFS('Таблиця 1'!$B:$B,$A482,'Таблиця 1'!$I:$I,"МіГ-29",'Таблиця 1'!$L:$L,"Уражено")+COUNTIFS('Таблиця 1'!$B:$B,$A482,'Таблиця 1'!$I:$I,"Су-25",'Таблиця 1'!$L:$L,"Уражено")+COUNTIFS('Таблиця 1'!$B:$B,$A482,'Таблиця 1'!$I:$I,"Су-27",'Таблиця 1'!$L:$L,"Уражено"))</f>
        <v/>
      </c>
      <c r="S482">
        <f>IF($A482="","",COUNTIFS('Таблиця 1'!$B:$B,$A482,'Таблиця 1'!$I:$I,"Mirage",'Таблиця 1'!$L:$L,"НЕ уражено")+COUNTIFS('Таблиця 1'!$B:$B,$A482,'Таблиця 1'!$I:$I,"F-16",'Таблиця 1'!$L:$L,"НЕ уражено")+COUNTIFS('Таблиця 1'!$B:$B,$A482,'Таблиця 1'!$I:$I,"МіГ-29",'Таблиця 1'!$L:$L,"НЕ уражено")+COUNTIFS('Таблиця 1'!$B:$B,$A482,'Таблиця 1'!$I:$I,"Су-25",'Таблиця 1'!$L:$L,"НЕ уражено")+COUNTIFS('Таблиця 1'!$B:$B,$A482,'Таблиця 1'!$I:$I,"Су-27",'Таблиця 1'!$L:$L,"НЕ уражено"))</f>
        <v/>
      </c>
      <c r="T482">
        <f>IF($A482="","",COUNTIFS('Таблиця 1'!$B:$B,$A482,'Таблиця 1'!$I:$I,"Mirage",'Таблиця 1'!$L:$L,"Дорозвідується")+COUNTIFS('Таблиця 1'!$B:$B,$A482,'Таблиця 1'!$I:$I,"F-16",'Таблиця 1'!$L:$L,"Дорозвідується")+COUNTIFS('Таблиця 1'!$B:$B,$A482,'Таблиця 1'!$I:$I,"МіГ-29",'Таблиця 1'!$L:$L,"Дорозвідується")+COUNTIFS('Таблиця 1'!$B:$B,$A482,'Таблиця 1'!$I:$I,"Су-25",'Таблиця 1'!$L:$L,"Дорозвідується")+COUNTIFS('Таблиця 1'!$B:$B,$A482,'Таблиця 1'!$I:$I,"Су-27",'Таблиця 1'!$L:$L,"Дорозвідується"))</f>
        <v/>
      </c>
    </row>
    <row r="483">
      <c r="A483" s="273">
        <f>IF(A482="","",IF(A482+1&gt;MAX('Таблиця 1'!$B:$B),"",A482+1))</f>
        <v/>
      </c>
      <c r="B483">
        <f>IF($A483="","",COUNTIFS('Таблиця 1'!$B:$B,$A483,'Таблиця 1'!$I:$I,"Mirage")+COUNTIFS('Таблиця 1'!$B:$B,$A483,'Таблиця 1'!$I:$I,"F-16")+COUNTIFS('Таблиця 1'!$B:$B,$A483,'Таблиця 1'!$I:$I,"МіГ-29")+COUNTIFS('Таблиця 1'!$B:$B,$A483,'Таблиця 1'!$I:$I,"Су-25")+COUNTIFS('Таблиця 1'!$B:$B,$A483,'Таблиця 1'!$I:$I,"Су-27"))</f>
        <v/>
      </c>
      <c r="C483">
        <f>IF($A483="","",COUNTIFS('Таблиця 1'!$B:$B,$A483,'Таблиця 1'!$I:$I,"Mirage"))</f>
        <v/>
      </c>
      <c r="D483">
        <f>IF($A483="","",COUNTIFS('Таблиця 1'!$B:$B,$A483,'Таблиця 1'!$I:$I,"F-16"))</f>
        <v/>
      </c>
      <c r="E483">
        <f>IF($A483="","",COUNTIFS('Таблиця 1'!$B:$B,$A483,'Таблиця 1'!$I:$I,"МіГ-29"))</f>
        <v/>
      </c>
      <c r="F483">
        <f>IF($A483="","",COUNTIFS('Таблиця 1'!$B:$B,$A483,'Таблиця 1'!$I:$I,"Су-25"))</f>
        <v/>
      </c>
      <c r="G483">
        <f>IF($A483="","",COUNTIFS('Таблиця 1'!$B:$B,$A483,'Таблиця 1'!$I:$I,"Су-27"))</f>
        <v/>
      </c>
      <c r="H483">
        <f>IF($A483="","",SUMIFS('Таблиця 1'!$K:$K,'Таблиця 1'!$B:$B,$A483,'Таблиця 1'!$I:$I,"Mirage",'Таблиця 1'!$J:$J,"AGM-88")+SUMIFS('Таблиця 1'!$K:$K,'Таблиця 1'!$B:$B,$A483,'Таблиця 1'!$I:$I,"F-16",'Таблиця 1'!$J:$J,"AGM-88")+SUMIFS('Таблиця 1'!$K:$K,'Таблиця 1'!$B:$B,$A483,'Таблиця 1'!$I:$I,"МіГ-29",'Таблиця 1'!$J:$J,"AGM-88")+SUMIFS('Таблиця 1'!$K:$K,'Таблиця 1'!$B:$B,$A483,'Таблиця 1'!$I:$I,"Су-25",'Таблиця 1'!$J:$J,"AGM-88")+SUMIFS('Таблиця 1'!$K:$K,'Таблиця 1'!$B:$B,$A483,'Таблиця 1'!$I:$I,"Су-27",'Таблиця 1'!$J:$J,"AGM-88"))</f>
        <v/>
      </c>
      <c r="I483">
        <f>IF($A483="","",SUMIFS('Таблиця 1'!$K:$K,'Таблиця 1'!$B:$B,$A483,'Таблиця 1'!$I:$I,"Mirage",'Таблиця 1'!$J:$J,"AASM-250")+SUMIFS('Таблиця 1'!$K:$K,'Таблиця 1'!$B:$B,$A483,'Таблиця 1'!$I:$I,"F-16",'Таблиця 1'!$J:$J,"AASM-250")+SUMIFS('Таблиця 1'!$K:$K,'Таблиця 1'!$B:$B,$A483,'Таблиця 1'!$I:$I,"МіГ-29",'Таблиця 1'!$J:$J,"AASM-250")+SUMIFS('Таблиця 1'!$K:$K,'Таблиця 1'!$B:$B,$A483,'Таблиця 1'!$I:$I,"Су-25",'Таблиця 1'!$J:$J,"AASM-250")+SUMIFS('Таблиця 1'!$K:$K,'Таблиця 1'!$B:$B,$A483,'Таблиця 1'!$I:$I,"Су-27",'Таблиця 1'!$J:$J,"AASM-250"))</f>
        <v/>
      </c>
      <c r="J483">
        <f>IF($A483="","",SUMIFS('Таблиця 1'!$K:$K,'Таблиця 1'!$B:$B,$A483,'Таблиця 1'!$I:$I,"Mirage",'Таблиця 1'!$J:$J,"GBU-39")+SUMIFS('Таблиця 1'!$K:$K,'Таблиця 1'!$B:$B,$A483,'Таблиця 1'!$I:$I,"F-16",'Таблиця 1'!$J:$J,"GBU-39")+SUMIFS('Таблиця 1'!$K:$K,'Таблиця 1'!$B:$B,$A483,'Таблиця 1'!$I:$I,"МіГ-29",'Таблиця 1'!$J:$J,"GBU-39")+SUMIFS('Таблиця 1'!$K:$K,'Таблиця 1'!$B:$B,$A483,'Таблиця 1'!$I:$I,"Су-25",'Таблиця 1'!$J:$J,"GBU-39")+SUMIFS('Таблиця 1'!$K:$K,'Таблиця 1'!$B:$B,$A483,'Таблиця 1'!$I:$I,"Су-27",'Таблиця 1'!$J:$J,"GBU-39"))</f>
        <v/>
      </c>
      <c r="K483">
        <f>IF($A483="","",SUMIFS('Таблиця 1'!$K:$K,'Таблиця 1'!$B:$B,$A483,'Таблиця 1'!$I:$I,"Mirage",'Таблиця 1'!$J:$J,"BLU-140")+SUMIFS('Таблиця 1'!$K:$K,'Таблиця 1'!$B:$B,$A483,'Таблиця 1'!$I:$I,"F-16",'Таблиця 1'!$J:$J,"BLU-140")+SUMIFS('Таблиця 1'!$K:$K,'Таблиця 1'!$B:$B,$A483,'Таблиця 1'!$I:$I,"МіГ-29",'Таблиця 1'!$J:$J,"BLU-140")+SUMIFS('Таблиця 1'!$K:$K,'Таблиця 1'!$B:$B,$A483,'Таблиця 1'!$I:$I,"Су-25",'Таблиця 1'!$J:$J,"BLU-140")+SUMIFS('Таблиця 1'!$K:$K,'Таблиця 1'!$B:$B,$A483,'Таблиця 1'!$I:$I,"Су-27",'Таблиця 1'!$J:$J,"BLU-140"))</f>
        <v/>
      </c>
      <c r="L483">
        <f>IF($A483="","",SUMIFS('Таблиця 1'!$K:$K,'Таблиця 1'!$B:$B,$A483,'Таблиця 1'!$I:$I,"Mirage",'Таблиця 1'!$J:$J,"GBU-65")+SUMIFS('Таблиця 1'!$K:$K,'Таблиця 1'!$B:$B,$A483,'Таблиця 1'!$I:$I,"F-16",'Таблиця 1'!$J:$J,"GBU-65")+SUMIFS('Таблиця 1'!$K:$K,'Таблиця 1'!$B:$B,$A483,'Таблиця 1'!$I:$I,"МіГ-29",'Таблиця 1'!$J:$J,"GBU-65")+SUMIFS('Таблиця 1'!$K:$K,'Таблиця 1'!$B:$B,$A483,'Таблиця 1'!$I:$I,"Су-25",'Таблиця 1'!$J:$J,"GBU-65")+SUMIFS('Таблиця 1'!$K:$K,'Таблиця 1'!$B:$B,$A483,'Таблиця 1'!$I:$I,"Су-27",'Таблиця 1'!$J:$J,"GBU-65"))</f>
        <v/>
      </c>
      <c r="M483">
        <f>IF($A483="","",SUMIFS('Таблиця 1'!$K:$K,'Таблиця 1'!$B:$B,$A483,'Таблиця 1'!$I:$I,"Mirage",'Таблиця 1'!$J:$J,"GBU-62")+SUMIFS('Таблиця 1'!$K:$K,'Таблиця 1'!$B:$B,$A483,'Таблиця 1'!$I:$I,"F-16",'Таблиця 1'!$J:$J,"GBU-62")+SUMIFS('Таблиця 1'!$K:$K,'Таблиця 1'!$B:$B,$A483,'Таблиця 1'!$I:$I,"МіГ-29",'Таблиця 1'!$J:$J,"GBU-62")+SUMIFS('Таблиця 1'!$K:$K,'Таблиця 1'!$B:$B,$A483,'Таблиця 1'!$I:$I,"Су-25",'Таблиця 1'!$J:$J,"GBU-62")+SUMIFS('Таблиця 1'!$K:$K,'Таблиця 1'!$B:$B,$A483,'Таблиця 1'!$I:$I,"Су-27",'Таблиця 1'!$J:$J,"GBU-62"))</f>
        <v/>
      </c>
      <c r="N483">
        <f>IF($A483="","",SUMIFS('Таблиця 1'!$K:$K,'Таблиця 1'!$B:$B,$A483,'Таблиця 1'!$I:$I,"Mirage",'Таблиця 1'!$J:$J,"GBU-64")+SUMIFS('Таблиця 1'!$K:$K,'Таблиця 1'!$B:$B,$A483,'Таблиця 1'!$I:$I,"F-16",'Таблиця 1'!$J:$J,"GBU-64")+SUMIFS('Таблиця 1'!$K:$K,'Таблиця 1'!$B:$B,$A483,'Таблиця 1'!$I:$I,"МіГ-29",'Таблиця 1'!$J:$J,"GBU-64")+SUMIFS('Таблиця 1'!$K:$K,'Таблиця 1'!$B:$B,$A483,'Таблиця 1'!$I:$I,"Су-25",'Таблиця 1'!$J:$J,"GBU-64")+SUMIFS('Таблиця 1'!$K:$K,'Таблиця 1'!$B:$B,$A483,'Таблиця 1'!$I:$I,"Су-27",'Таблиця 1'!$J:$J,"GBU-64"))</f>
        <v/>
      </c>
      <c r="O483">
        <f>IF($A483="","",SUMIFS('Таблиця 1'!$K:$K,'Таблиця 1'!$B:$B,$A483,'Таблиця 1'!$I:$I,"Mirage",'Таблиця 1'!$J:$J,"C-13")+SUMIFS('Таблиця 1'!$K:$K,'Таблиця 1'!$B:$B,$A483,'Таблиця 1'!$I:$I,"F-16",'Таблиця 1'!$J:$J,"C-13")+SUMIFS('Таблиця 1'!$K:$K,'Таблиця 1'!$B:$B,$A483,'Таблиця 1'!$I:$I,"МіГ-29",'Таблиця 1'!$J:$J,"C-13")+SUMIFS('Таблиця 1'!$K:$K,'Таблиця 1'!$B:$B,$A483,'Таблиця 1'!$I:$I,"Су-25",'Таблиця 1'!$J:$J,"C-13")+SUMIFS('Таблиця 1'!$K:$K,'Таблиця 1'!$B:$B,$A483,'Таблиця 1'!$I:$I,"Су-27",'Таблиця 1'!$J:$J,"C-13"))</f>
        <v/>
      </c>
      <c r="P483">
        <f>IF($A483="","",SUMIFS('Таблиця 1'!$K:$K,'Таблиця 1'!$B:$B,$A483,'Таблиця 1'!$I:$I,"Mirage",'Таблиця 1'!$J:$J,"MK-32")+SUMIFS('Таблиця 1'!$K:$K,'Таблиця 1'!$B:$B,$A483,'Таблиця 1'!$I:$I,"F-16",'Таблиця 1'!$J:$J,"MK-32")+SUMIFS('Таблиця 1'!$K:$K,'Таблиця 1'!$B:$B,$A483,'Таблиця 1'!$I:$I,"МіГ-29",'Таблиця 1'!$J:$J,"MK-32")+SUMIFS('Таблиця 1'!$K:$K,'Таблиця 1'!$B:$B,$A483,'Таблиця 1'!$I:$I,"Су-25",'Таблиця 1'!$J:$J,"MK-32")+SUMIFS('Таблиця 1'!$K:$K,'Таблиця 1'!$B:$B,$A483,'Таблиця 1'!$I:$I,"Су-27",'Таблиця 1'!$J:$J,"MK-32"))</f>
        <v/>
      </c>
      <c r="Q483">
        <f>IF($A483="","",SUMIFS('Таблиця 1'!$K:$K,'Таблиця 1'!$B:$B,$A483,'Таблиця 1'!$I:$I,"Mirage",'Таблиця 1'!$J:$J,"MK-24")+SUMIFS('Таблиця 1'!$K:$K,'Таблиця 1'!$B:$B,$A483,'Таблиця 1'!$I:$I,"F-16",'Таблиця 1'!$J:$J,"MK-24")+SUMIFS('Таблиця 1'!$K:$K,'Таблиця 1'!$B:$B,$A483,'Таблиця 1'!$I:$I,"МіГ-29",'Таблиця 1'!$J:$J,"MK-24")+SUMIFS('Таблиця 1'!$K:$K,'Таблиця 1'!$B:$B,$A483,'Таблиця 1'!$I:$I,"Су-25",'Таблиця 1'!$J:$J,"MK-24")+SUMIFS('Таблиця 1'!$K:$K,'Таблиця 1'!$B:$B,$A483,'Таблиця 1'!$I:$I,"Су-27",'Таблиця 1'!$J:$J,"MK-24"))</f>
        <v/>
      </c>
      <c r="R483">
        <f>IF($A483="","",COUNTIFS('Таблиця 1'!$B:$B,$A483,'Таблиця 1'!$I:$I,"Mirage",'Таблиця 1'!$L:$L,"Уражено")+COUNTIFS('Таблиця 1'!$B:$B,$A483,'Таблиця 1'!$I:$I,"F-16",'Таблиця 1'!$L:$L,"Уражено")+COUNTIFS('Таблиця 1'!$B:$B,$A483,'Таблиця 1'!$I:$I,"МіГ-29",'Таблиця 1'!$L:$L,"Уражено")+COUNTIFS('Таблиця 1'!$B:$B,$A483,'Таблиця 1'!$I:$I,"Су-25",'Таблиця 1'!$L:$L,"Уражено")+COUNTIFS('Таблиця 1'!$B:$B,$A483,'Таблиця 1'!$I:$I,"Су-27",'Таблиця 1'!$L:$L,"Уражено"))</f>
        <v/>
      </c>
      <c r="S483">
        <f>IF($A483="","",COUNTIFS('Таблиця 1'!$B:$B,$A483,'Таблиця 1'!$I:$I,"Mirage",'Таблиця 1'!$L:$L,"НЕ уражено")+COUNTIFS('Таблиця 1'!$B:$B,$A483,'Таблиця 1'!$I:$I,"F-16",'Таблиця 1'!$L:$L,"НЕ уражено")+COUNTIFS('Таблиця 1'!$B:$B,$A483,'Таблиця 1'!$I:$I,"МіГ-29",'Таблиця 1'!$L:$L,"НЕ уражено")+COUNTIFS('Таблиця 1'!$B:$B,$A483,'Таблиця 1'!$I:$I,"Су-25",'Таблиця 1'!$L:$L,"НЕ уражено")+COUNTIFS('Таблиця 1'!$B:$B,$A483,'Таблиця 1'!$I:$I,"Су-27",'Таблиця 1'!$L:$L,"НЕ уражено"))</f>
        <v/>
      </c>
      <c r="T483">
        <f>IF($A483="","",COUNTIFS('Таблиця 1'!$B:$B,$A483,'Таблиця 1'!$I:$I,"Mirage",'Таблиця 1'!$L:$L,"Дорозвідується")+COUNTIFS('Таблиця 1'!$B:$B,$A483,'Таблиця 1'!$I:$I,"F-16",'Таблиця 1'!$L:$L,"Дорозвідується")+COUNTIFS('Таблиця 1'!$B:$B,$A483,'Таблиця 1'!$I:$I,"МіГ-29",'Таблиця 1'!$L:$L,"Дорозвідується")+COUNTIFS('Таблиця 1'!$B:$B,$A483,'Таблиця 1'!$I:$I,"Су-25",'Таблиця 1'!$L:$L,"Дорозвідується")+COUNTIFS('Таблиця 1'!$B:$B,$A483,'Таблиця 1'!$I:$I,"Су-27",'Таблиця 1'!$L:$L,"Дорозвідується"))</f>
        <v/>
      </c>
    </row>
    <row r="484">
      <c r="A484" s="273">
        <f>IF(A483="","",IF(A483+1&gt;MAX('Таблиця 1'!$B:$B),"",A483+1))</f>
        <v/>
      </c>
      <c r="B484">
        <f>IF($A484="","",COUNTIFS('Таблиця 1'!$B:$B,$A484,'Таблиця 1'!$I:$I,"Mirage")+COUNTIFS('Таблиця 1'!$B:$B,$A484,'Таблиця 1'!$I:$I,"F-16")+COUNTIFS('Таблиця 1'!$B:$B,$A484,'Таблиця 1'!$I:$I,"МіГ-29")+COUNTIFS('Таблиця 1'!$B:$B,$A484,'Таблиця 1'!$I:$I,"Су-25")+COUNTIFS('Таблиця 1'!$B:$B,$A484,'Таблиця 1'!$I:$I,"Су-27"))</f>
        <v/>
      </c>
      <c r="C484">
        <f>IF($A484="","",COUNTIFS('Таблиця 1'!$B:$B,$A484,'Таблиця 1'!$I:$I,"Mirage"))</f>
        <v/>
      </c>
      <c r="D484">
        <f>IF($A484="","",COUNTIFS('Таблиця 1'!$B:$B,$A484,'Таблиця 1'!$I:$I,"F-16"))</f>
        <v/>
      </c>
      <c r="E484">
        <f>IF($A484="","",COUNTIFS('Таблиця 1'!$B:$B,$A484,'Таблиця 1'!$I:$I,"МіГ-29"))</f>
        <v/>
      </c>
      <c r="F484">
        <f>IF($A484="","",COUNTIFS('Таблиця 1'!$B:$B,$A484,'Таблиця 1'!$I:$I,"Су-25"))</f>
        <v/>
      </c>
      <c r="G484">
        <f>IF($A484="","",COUNTIFS('Таблиця 1'!$B:$B,$A484,'Таблиця 1'!$I:$I,"Су-27"))</f>
        <v/>
      </c>
      <c r="H484">
        <f>IF($A484="","",SUMIFS('Таблиця 1'!$K:$K,'Таблиця 1'!$B:$B,$A484,'Таблиця 1'!$I:$I,"Mirage",'Таблиця 1'!$J:$J,"AGM-88")+SUMIFS('Таблиця 1'!$K:$K,'Таблиця 1'!$B:$B,$A484,'Таблиця 1'!$I:$I,"F-16",'Таблиця 1'!$J:$J,"AGM-88")+SUMIFS('Таблиця 1'!$K:$K,'Таблиця 1'!$B:$B,$A484,'Таблиця 1'!$I:$I,"МіГ-29",'Таблиця 1'!$J:$J,"AGM-88")+SUMIFS('Таблиця 1'!$K:$K,'Таблиця 1'!$B:$B,$A484,'Таблиця 1'!$I:$I,"Су-25",'Таблиця 1'!$J:$J,"AGM-88")+SUMIFS('Таблиця 1'!$K:$K,'Таблиця 1'!$B:$B,$A484,'Таблиця 1'!$I:$I,"Су-27",'Таблиця 1'!$J:$J,"AGM-88"))</f>
        <v/>
      </c>
      <c r="I484">
        <f>IF($A484="","",SUMIFS('Таблиця 1'!$K:$K,'Таблиця 1'!$B:$B,$A484,'Таблиця 1'!$I:$I,"Mirage",'Таблиця 1'!$J:$J,"AASM-250")+SUMIFS('Таблиця 1'!$K:$K,'Таблиця 1'!$B:$B,$A484,'Таблиця 1'!$I:$I,"F-16",'Таблиця 1'!$J:$J,"AASM-250")+SUMIFS('Таблиця 1'!$K:$K,'Таблиця 1'!$B:$B,$A484,'Таблиця 1'!$I:$I,"МіГ-29",'Таблиця 1'!$J:$J,"AASM-250")+SUMIFS('Таблиця 1'!$K:$K,'Таблиця 1'!$B:$B,$A484,'Таблиця 1'!$I:$I,"Су-25",'Таблиця 1'!$J:$J,"AASM-250")+SUMIFS('Таблиця 1'!$K:$K,'Таблиця 1'!$B:$B,$A484,'Таблиця 1'!$I:$I,"Су-27",'Таблиця 1'!$J:$J,"AASM-250"))</f>
        <v/>
      </c>
      <c r="J484">
        <f>IF($A484="","",SUMIFS('Таблиця 1'!$K:$K,'Таблиця 1'!$B:$B,$A484,'Таблиця 1'!$I:$I,"Mirage",'Таблиця 1'!$J:$J,"GBU-39")+SUMIFS('Таблиця 1'!$K:$K,'Таблиця 1'!$B:$B,$A484,'Таблиця 1'!$I:$I,"F-16",'Таблиця 1'!$J:$J,"GBU-39")+SUMIFS('Таблиця 1'!$K:$K,'Таблиця 1'!$B:$B,$A484,'Таблиця 1'!$I:$I,"МіГ-29",'Таблиця 1'!$J:$J,"GBU-39")+SUMIFS('Таблиця 1'!$K:$K,'Таблиця 1'!$B:$B,$A484,'Таблиця 1'!$I:$I,"Су-25",'Таблиця 1'!$J:$J,"GBU-39")+SUMIFS('Таблиця 1'!$K:$K,'Таблиця 1'!$B:$B,$A484,'Таблиця 1'!$I:$I,"Су-27",'Таблиця 1'!$J:$J,"GBU-39"))</f>
        <v/>
      </c>
      <c r="K484">
        <f>IF($A484="","",SUMIFS('Таблиця 1'!$K:$K,'Таблиця 1'!$B:$B,$A484,'Таблиця 1'!$I:$I,"Mirage",'Таблиця 1'!$J:$J,"BLU-140")+SUMIFS('Таблиця 1'!$K:$K,'Таблиця 1'!$B:$B,$A484,'Таблиця 1'!$I:$I,"F-16",'Таблиця 1'!$J:$J,"BLU-140")+SUMIFS('Таблиця 1'!$K:$K,'Таблиця 1'!$B:$B,$A484,'Таблиця 1'!$I:$I,"МіГ-29",'Таблиця 1'!$J:$J,"BLU-140")+SUMIFS('Таблиця 1'!$K:$K,'Таблиця 1'!$B:$B,$A484,'Таблиця 1'!$I:$I,"Су-25",'Таблиця 1'!$J:$J,"BLU-140")+SUMIFS('Таблиця 1'!$K:$K,'Таблиця 1'!$B:$B,$A484,'Таблиця 1'!$I:$I,"Су-27",'Таблиця 1'!$J:$J,"BLU-140"))</f>
        <v/>
      </c>
      <c r="L484">
        <f>IF($A484="","",SUMIFS('Таблиця 1'!$K:$K,'Таблиця 1'!$B:$B,$A484,'Таблиця 1'!$I:$I,"Mirage",'Таблиця 1'!$J:$J,"GBU-65")+SUMIFS('Таблиця 1'!$K:$K,'Таблиця 1'!$B:$B,$A484,'Таблиця 1'!$I:$I,"F-16",'Таблиця 1'!$J:$J,"GBU-65")+SUMIFS('Таблиця 1'!$K:$K,'Таблиця 1'!$B:$B,$A484,'Таблиця 1'!$I:$I,"МіГ-29",'Таблиця 1'!$J:$J,"GBU-65")+SUMIFS('Таблиця 1'!$K:$K,'Таблиця 1'!$B:$B,$A484,'Таблиця 1'!$I:$I,"Су-25",'Таблиця 1'!$J:$J,"GBU-65")+SUMIFS('Таблиця 1'!$K:$K,'Таблиця 1'!$B:$B,$A484,'Таблиця 1'!$I:$I,"Су-27",'Таблиця 1'!$J:$J,"GBU-65"))</f>
        <v/>
      </c>
      <c r="M484">
        <f>IF($A484="","",SUMIFS('Таблиця 1'!$K:$K,'Таблиця 1'!$B:$B,$A484,'Таблиця 1'!$I:$I,"Mirage",'Таблиця 1'!$J:$J,"GBU-62")+SUMIFS('Таблиця 1'!$K:$K,'Таблиця 1'!$B:$B,$A484,'Таблиця 1'!$I:$I,"F-16",'Таблиця 1'!$J:$J,"GBU-62")+SUMIFS('Таблиця 1'!$K:$K,'Таблиця 1'!$B:$B,$A484,'Таблиця 1'!$I:$I,"МіГ-29",'Таблиця 1'!$J:$J,"GBU-62")+SUMIFS('Таблиця 1'!$K:$K,'Таблиця 1'!$B:$B,$A484,'Таблиця 1'!$I:$I,"Су-25",'Таблиця 1'!$J:$J,"GBU-62")+SUMIFS('Таблиця 1'!$K:$K,'Таблиця 1'!$B:$B,$A484,'Таблиця 1'!$I:$I,"Су-27",'Таблиця 1'!$J:$J,"GBU-62"))</f>
        <v/>
      </c>
      <c r="N484">
        <f>IF($A484="","",SUMIFS('Таблиця 1'!$K:$K,'Таблиця 1'!$B:$B,$A484,'Таблиця 1'!$I:$I,"Mirage",'Таблиця 1'!$J:$J,"GBU-64")+SUMIFS('Таблиця 1'!$K:$K,'Таблиця 1'!$B:$B,$A484,'Таблиця 1'!$I:$I,"F-16",'Таблиця 1'!$J:$J,"GBU-64")+SUMIFS('Таблиця 1'!$K:$K,'Таблиця 1'!$B:$B,$A484,'Таблиця 1'!$I:$I,"МіГ-29",'Таблиця 1'!$J:$J,"GBU-64")+SUMIFS('Таблиця 1'!$K:$K,'Таблиця 1'!$B:$B,$A484,'Таблиця 1'!$I:$I,"Су-25",'Таблиця 1'!$J:$J,"GBU-64")+SUMIFS('Таблиця 1'!$K:$K,'Таблиця 1'!$B:$B,$A484,'Таблиця 1'!$I:$I,"Су-27",'Таблиця 1'!$J:$J,"GBU-64"))</f>
        <v/>
      </c>
      <c r="O484">
        <f>IF($A484="","",SUMIFS('Таблиця 1'!$K:$K,'Таблиця 1'!$B:$B,$A484,'Таблиця 1'!$I:$I,"Mirage",'Таблиця 1'!$J:$J,"C-13")+SUMIFS('Таблиця 1'!$K:$K,'Таблиця 1'!$B:$B,$A484,'Таблиця 1'!$I:$I,"F-16",'Таблиця 1'!$J:$J,"C-13")+SUMIFS('Таблиця 1'!$K:$K,'Таблиця 1'!$B:$B,$A484,'Таблиця 1'!$I:$I,"МіГ-29",'Таблиця 1'!$J:$J,"C-13")+SUMIFS('Таблиця 1'!$K:$K,'Таблиця 1'!$B:$B,$A484,'Таблиця 1'!$I:$I,"Су-25",'Таблиця 1'!$J:$J,"C-13")+SUMIFS('Таблиця 1'!$K:$K,'Таблиця 1'!$B:$B,$A484,'Таблиця 1'!$I:$I,"Су-27",'Таблиця 1'!$J:$J,"C-13"))</f>
        <v/>
      </c>
      <c r="P484">
        <f>IF($A484="","",SUMIFS('Таблиця 1'!$K:$K,'Таблиця 1'!$B:$B,$A484,'Таблиця 1'!$I:$I,"Mirage",'Таблиця 1'!$J:$J,"MK-32")+SUMIFS('Таблиця 1'!$K:$K,'Таблиця 1'!$B:$B,$A484,'Таблиця 1'!$I:$I,"F-16",'Таблиця 1'!$J:$J,"MK-32")+SUMIFS('Таблиця 1'!$K:$K,'Таблиця 1'!$B:$B,$A484,'Таблиця 1'!$I:$I,"МіГ-29",'Таблиця 1'!$J:$J,"MK-32")+SUMIFS('Таблиця 1'!$K:$K,'Таблиця 1'!$B:$B,$A484,'Таблиця 1'!$I:$I,"Су-25",'Таблиця 1'!$J:$J,"MK-32")+SUMIFS('Таблиця 1'!$K:$K,'Таблиця 1'!$B:$B,$A484,'Таблиця 1'!$I:$I,"Су-27",'Таблиця 1'!$J:$J,"MK-32"))</f>
        <v/>
      </c>
      <c r="Q484">
        <f>IF($A484="","",SUMIFS('Таблиця 1'!$K:$K,'Таблиця 1'!$B:$B,$A484,'Таблиця 1'!$I:$I,"Mirage",'Таблиця 1'!$J:$J,"MK-24")+SUMIFS('Таблиця 1'!$K:$K,'Таблиця 1'!$B:$B,$A484,'Таблиця 1'!$I:$I,"F-16",'Таблиця 1'!$J:$J,"MK-24")+SUMIFS('Таблиця 1'!$K:$K,'Таблиця 1'!$B:$B,$A484,'Таблиця 1'!$I:$I,"МіГ-29",'Таблиця 1'!$J:$J,"MK-24")+SUMIFS('Таблиця 1'!$K:$K,'Таблиця 1'!$B:$B,$A484,'Таблиця 1'!$I:$I,"Су-25",'Таблиця 1'!$J:$J,"MK-24")+SUMIFS('Таблиця 1'!$K:$K,'Таблиця 1'!$B:$B,$A484,'Таблиця 1'!$I:$I,"Су-27",'Таблиця 1'!$J:$J,"MK-24"))</f>
        <v/>
      </c>
      <c r="R484">
        <f>IF($A484="","",COUNTIFS('Таблиця 1'!$B:$B,$A484,'Таблиця 1'!$I:$I,"Mirage",'Таблиця 1'!$L:$L,"Уражено")+COUNTIFS('Таблиця 1'!$B:$B,$A484,'Таблиця 1'!$I:$I,"F-16",'Таблиця 1'!$L:$L,"Уражено")+COUNTIFS('Таблиця 1'!$B:$B,$A484,'Таблиця 1'!$I:$I,"МіГ-29",'Таблиця 1'!$L:$L,"Уражено")+COUNTIFS('Таблиця 1'!$B:$B,$A484,'Таблиця 1'!$I:$I,"Су-25",'Таблиця 1'!$L:$L,"Уражено")+COUNTIFS('Таблиця 1'!$B:$B,$A484,'Таблиця 1'!$I:$I,"Су-27",'Таблиця 1'!$L:$L,"Уражено"))</f>
        <v/>
      </c>
      <c r="S484">
        <f>IF($A484="","",COUNTIFS('Таблиця 1'!$B:$B,$A484,'Таблиця 1'!$I:$I,"Mirage",'Таблиця 1'!$L:$L,"НЕ уражено")+COUNTIFS('Таблиця 1'!$B:$B,$A484,'Таблиця 1'!$I:$I,"F-16",'Таблиця 1'!$L:$L,"НЕ уражено")+COUNTIFS('Таблиця 1'!$B:$B,$A484,'Таблиця 1'!$I:$I,"МіГ-29",'Таблиця 1'!$L:$L,"НЕ уражено")+COUNTIFS('Таблиця 1'!$B:$B,$A484,'Таблиця 1'!$I:$I,"Су-25",'Таблиця 1'!$L:$L,"НЕ уражено")+COUNTIFS('Таблиця 1'!$B:$B,$A484,'Таблиця 1'!$I:$I,"Су-27",'Таблиця 1'!$L:$L,"НЕ уражено"))</f>
        <v/>
      </c>
      <c r="T484">
        <f>IF($A484="","",COUNTIFS('Таблиця 1'!$B:$B,$A484,'Таблиця 1'!$I:$I,"Mirage",'Таблиця 1'!$L:$L,"Дорозвідується")+COUNTIFS('Таблиця 1'!$B:$B,$A484,'Таблиця 1'!$I:$I,"F-16",'Таблиця 1'!$L:$L,"Дорозвідується")+COUNTIFS('Таблиця 1'!$B:$B,$A484,'Таблиця 1'!$I:$I,"МіГ-29",'Таблиця 1'!$L:$L,"Дорозвідується")+COUNTIFS('Таблиця 1'!$B:$B,$A484,'Таблиця 1'!$I:$I,"Су-25",'Таблиця 1'!$L:$L,"Дорозвідується")+COUNTIFS('Таблиця 1'!$B:$B,$A484,'Таблиця 1'!$I:$I,"Су-27",'Таблиця 1'!$L:$L,"Дорозвідується"))</f>
        <v/>
      </c>
    </row>
    <row r="485">
      <c r="A485" s="273">
        <f>IF(A484="","",IF(A484+1&gt;MAX('Таблиця 1'!$B:$B),"",A484+1))</f>
        <v/>
      </c>
      <c r="B485">
        <f>IF($A485="","",COUNTIFS('Таблиця 1'!$B:$B,$A485,'Таблиця 1'!$I:$I,"Mirage")+COUNTIFS('Таблиця 1'!$B:$B,$A485,'Таблиця 1'!$I:$I,"F-16")+COUNTIFS('Таблиця 1'!$B:$B,$A485,'Таблиця 1'!$I:$I,"МіГ-29")+COUNTIFS('Таблиця 1'!$B:$B,$A485,'Таблиця 1'!$I:$I,"Су-25")+COUNTIFS('Таблиця 1'!$B:$B,$A485,'Таблиця 1'!$I:$I,"Су-27"))</f>
        <v/>
      </c>
      <c r="C485">
        <f>IF($A485="","",COUNTIFS('Таблиця 1'!$B:$B,$A485,'Таблиця 1'!$I:$I,"Mirage"))</f>
        <v/>
      </c>
      <c r="D485">
        <f>IF($A485="","",COUNTIFS('Таблиця 1'!$B:$B,$A485,'Таблиця 1'!$I:$I,"F-16"))</f>
        <v/>
      </c>
      <c r="E485">
        <f>IF($A485="","",COUNTIFS('Таблиця 1'!$B:$B,$A485,'Таблиця 1'!$I:$I,"МіГ-29"))</f>
        <v/>
      </c>
      <c r="F485">
        <f>IF($A485="","",COUNTIFS('Таблиця 1'!$B:$B,$A485,'Таблиця 1'!$I:$I,"Су-25"))</f>
        <v/>
      </c>
      <c r="G485">
        <f>IF($A485="","",COUNTIFS('Таблиця 1'!$B:$B,$A485,'Таблиця 1'!$I:$I,"Су-27"))</f>
        <v/>
      </c>
      <c r="H485">
        <f>IF($A485="","",SUMIFS('Таблиця 1'!$K:$K,'Таблиця 1'!$B:$B,$A485,'Таблиця 1'!$I:$I,"Mirage",'Таблиця 1'!$J:$J,"AGM-88")+SUMIFS('Таблиця 1'!$K:$K,'Таблиця 1'!$B:$B,$A485,'Таблиця 1'!$I:$I,"F-16",'Таблиця 1'!$J:$J,"AGM-88")+SUMIFS('Таблиця 1'!$K:$K,'Таблиця 1'!$B:$B,$A485,'Таблиця 1'!$I:$I,"МіГ-29",'Таблиця 1'!$J:$J,"AGM-88")+SUMIFS('Таблиця 1'!$K:$K,'Таблиця 1'!$B:$B,$A485,'Таблиця 1'!$I:$I,"Су-25",'Таблиця 1'!$J:$J,"AGM-88")+SUMIFS('Таблиця 1'!$K:$K,'Таблиця 1'!$B:$B,$A485,'Таблиця 1'!$I:$I,"Су-27",'Таблиця 1'!$J:$J,"AGM-88"))</f>
        <v/>
      </c>
      <c r="I485">
        <f>IF($A485="","",SUMIFS('Таблиця 1'!$K:$K,'Таблиця 1'!$B:$B,$A485,'Таблиця 1'!$I:$I,"Mirage",'Таблиця 1'!$J:$J,"AASM-250")+SUMIFS('Таблиця 1'!$K:$K,'Таблиця 1'!$B:$B,$A485,'Таблиця 1'!$I:$I,"F-16",'Таблиця 1'!$J:$J,"AASM-250")+SUMIFS('Таблиця 1'!$K:$K,'Таблиця 1'!$B:$B,$A485,'Таблиця 1'!$I:$I,"МіГ-29",'Таблиця 1'!$J:$J,"AASM-250")+SUMIFS('Таблиця 1'!$K:$K,'Таблиця 1'!$B:$B,$A485,'Таблиця 1'!$I:$I,"Су-25",'Таблиця 1'!$J:$J,"AASM-250")+SUMIFS('Таблиця 1'!$K:$K,'Таблиця 1'!$B:$B,$A485,'Таблиця 1'!$I:$I,"Су-27",'Таблиця 1'!$J:$J,"AASM-250"))</f>
        <v/>
      </c>
      <c r="J485">
        <f>IF($A485="","",SUMIFS('Таблиця 1'!$K:$K,'Таблиця 1'!$B:$B,$A485,'Таблиця 1'!$I:$I,"Mirage",'Таблиця 1'!$J:$J,"GBU-39")+SUMIFS('Таблиця 1'!$K:$K,'Таблиця 1'!$B:$B,$A485,'Таблиця 1'!$I:$I,"F-16",'Таблиця 1'!$J:$J,"GBU-39")+SUMIFS('Таблиця 1'!$K:$K,'Таблиця 1'!$B:$B,$A485,'Таблиця 1'!$I:$I,"МіГ-29",'Таблиця 1'!$J:$J,"GBU-39")+SUMIFS('Таблиця 1'!$K:$K,'Таблиця 1'!$B:$B,$A485,'Таблиця 1'!$I:$I,"Су-25",'Таблиця 1'!$J:$J,"GBU-39")+SUMIFS('Таблиця 1'!$K:$K,'Таблиця 1'!$B:$B,$A485,'Таблиця 1'!$I:$I,"Су-27",'Таблиця 1'!$J:$J,"GBU-39"))</f>
        <v/>
      </c>
      <c r="K485">
        <f>IF($A485="","",SUMIFS('Таблиця 1'!$K:$K,'Таблиця 1'!$B:$B,$A485,'Таблиця 1'!$I:$I,"Mirage",'Таблиця 1'!$J:$J,"BLU-140")+SUMIFS('Таблиця 1'!$K:$K,'Таблиця 1'!$B:$B,$A485,'Таблиця 1'!$I:$I,"F-16",'Таблиця 1'!$J:$J,"BLU-140")+SUMIFS('Таблиця 1'!$K:$K,'Таблиця 1'!$B:$B,$A485,'Таблиця 1'!$I:$I,"МіГ-29",'Таблиця 1'!$J:$J,"BLU-140")+SUMIFS('Таблиця 1'!$K:$K,'Таблиця 1'!$B:$B,$A485,'Таблиця 1'!$I:$I,"Су-25",'Таблиця 1'!$J:$J,"BLU-140")+SUMIFS('Таблиця 1'!$K:$K,'Таблиця 1'!$B:$B,$A485,'Таблиця 1'!$I:$I,"Су-27",'Таблиця 1'!$J:$J,"BLU-140"))</f>
        <v/>
      </c>
      <c r="L485">
        <f>IF($A485="","",SUMIFS('Таблиця 1'!$K:$K,'Таблиця 1'!$B:$B,$A485,'Таблиця 1'!$I:$I,"Mirage",'Таблиця 1'!$J:$J,"GBU-65")+SUMIFS('Таблиця 1'!$K:$K,'Таблиця 1'!$B:$B,$A485,'Таблиця 1'!$I:$I,"F-16",'Таблиця 1'!$J:$J,"GBU-65")+SUMIFS('Таблиця 1'!$K:$K,'Таблиця 1'!$B:$B,$A485,'Таблиця 1'!$I:$I,"МіГ-29",'Таблиця 1'!$J:$J,"GBU-65")+SUMIFS('Таблиця 1'!$K:$K,'Таблиця 1'!$B:$B,$A485,'Таблиця 1'!$I:$I,"Су-25",'Таблиця 1'!$J:$J,"GBU-65")+SUMIFS('Таблиця 1'!$K:$K,'Таблиця 1'!$B:$B,$A485,'Таблиця 1'!$I:$I,"Су-27",'Таблиця 1'!$J:$J,"GBU-65"))</f>
        <v/>
      </c>
      <c r="M485">
        <f>IF($A485="","",SUMIFS('Таблиця 1'!$K:$K,'Таблиця 1'!$B:$B,$A485,'Таблиця 1'!$I:$I,"Mirage",'Таблиця 1'!$J:$J,"GBU-62")+SUMIFS('Таблиця 1'!$K:$K,'Таблиця 1'!$B:$B,$A485,'Таблиця 1'!$I:$I,"F-16",'Таблиця 1'!$J:$J,"GBU-62")+SUMIFS('Таблиця 1'!$K:$K,'Таблиця 1'!$B:$B,$A485,'Таблиця 1'!$I:$I,"МіГ-29",'Таблиця 1'!$J:$J,"GBU-62")+SUMIFS('Таблиця 1'!$K:$K,'Таблиця 1'!$B:$B,$A485,'Таблиця 1'!$I:$I,"Су-25",'Таблиця 1'!$J:$J,"GBU-62")+SUMIFS('Таблиця 1'!$K:$K,'Таблиця 1'!$B:$B,$A485,'Таблиця 1'!$I:$I,"Су-27",'Таблиця 1'!$J:$J,"GBU-62"))</f>
        <v/>
      </c>
      <c r="N485">
        <f>IF($A485="","",SUMIFS('Таблиця 1'!$K:$K,'Таблиця 1'!$B:$B,$A485,'Таблиця 1'!$I:$I,"Mirage",'Таблиця 1'!$J:$J,"GBU-64")+SUMIFS('Таблиця 1'!$K:$K,'Таблиця 1'!$B:$B,$A485,'Таблиця 1'!$I:$I,"F-16",'Таблиця 1'!$J:$J,"GBU-64")+SUMIFS('Таблиця 1'!$K:$K,'Таблиця 1'!$B:$B,$A485,'Таблиця 1'!$I:$I,"МіГ-29",'Таблиця 1'!$J:$J,"GBU-64")+SUMIFS('Таблиця 1'!$K:$K,'Таблиця 1'!$B:$B,$A485,'Таблиця 1'!$I:$I,"Су-25",'Таблиця 1'!$J:$J,"GBU-64")+SUMIFS('Таблиця 1'!$K:$K,'Таблиця 1'!$B:$B,$A485,'Таблиця 1'!$I:$I,"Су-27",'Таблиця 1'!$J:$J,"GBU-64"))</f>
        <v/>
      </c>
      <c r="O485">
        <f>IF($A485="","",SUMIFS('Таблиця 1'!$K:$K,'Таблиця 1'!$B:$B,$A485,'Таблиця 1'!$I:$I,"Mirage",'Таблиця 1'!$J:$J,"C-13")+SUMIFS('Таблиця 1'!$K:$K,'Таблиця 1'!$B:$B,$A485,'Таблиця 1'!$I:$I,"F-16",'Таблиця 1'!$J:$J,"C-13")+SUMIFS('Таблиця 1'!$K:$K,'Таблиця 1'!$B:$B,$A485,'Таблиця 1'!$I:$I,"МіГ-29",'Таблиця 1'!$J:$J,"C-13")+SUMIFS('Таблиця 1'!$K:$K,'Таблиця 1'!$B:$B,$A485,'Таблиця 1'!$I:$I,"Су-25",'Таблиця 1'!$J:$J,"C-13")+SUMIFS('Таблиця 1'!$K:$K,'Таблиця 1'!$B:$B,$A485,'Таблиця 1'!$I:$I,"Су-27",'Таблиця 1'!$J:$J,"C-13"))</f>
        <v/>
      </c>
      <c r="P485">
        <f>IF($A485="","",SUMIFS('Таблиця 1'!$K:$K,'Таблиця 1'!$B:$B,$A485,'Таблиця 1'!$I:$I,"Mirage",'Таблиця 1'!$J:$J,"MK-32")+SUMIFS('Таблиця 1'!$K:$K,'Таблиця 1'!$B:$B,$A485,'Таблиця 1'!$I:$I,"F-16",'Таблиця 1'!$J:$J,"MK-32")+SUMIFS('Таблиця 1'!$K:$K,'Таблиця 1'!$B:$B,$A485,'Таблиця 1'!$I:$I,"МіГ-29",'Таблиця 1'!$J:$J,"MK-32")+SUMIFS('Таблиця 1'!$K:$K,'Таблиця 1'!$B:$B,$A485,'Таблиця 1'!$I:$I,"Су-25",'Таблиця 1'!$J:$J,"MK-32")+SUMIFS('Таблиця 1'!$K:$K,'Таблиця 1'!$B:$B,$A485,'Таблиця 1'!$I:$I,"Су-27",'Таблиця 1'!$J:$J,"MK-32"))</f>
        <v/>
      </c>
      <c r="Q485">
        <f>IF($A485="","",SUMIFS('Таблиця 1'!$K:$K,'Таблиця 1'!$B:$B,$A485,'Таблиця 1'!$I:$I,"Mirage",'Таблиця 1'!$J:$J,"MK-24")+SUMIFS('Таблиця 1'!$K:$K,'Таблиця 1'!$B:$B,$A485,'Таблиця 1'!$I:$I,"F-16",'Таблиця 1'!$J:$J,"MK-24")+SUMIFS('Таблиця 1'!$K:$K,'Таблиця 1'!$B:$B,$A485,'Таблиця 1'!$I:$I,"МіГ-29",'Таблиця 1'!$J:$J,"MK-24")+SUMIFS('Таблиця 1'!$K:$K,'Таблиця 1'!$B:$B,$A485,'Таблиця 1'!$I:$I,"Су-25",'Таблиця 1'!$J:$J,"MK-24")+SUMIFS('Таблиця 1'!$K:$K,'Таблиця 1'!$B:$B,$A485,'Таблиця 1'!$I:$I,"Су-27",'Таблиця 1'!$J:$J,"MK-24"))</f>
        <v/>
      </c>
      <c r="R485">
        <f>IF($A485="","",COUNTIFS('Таблиця 1'!$B:$B,$A485,'Таблиця 1'!$I:$I,"Mirage",'Таблиця 1'!$L:$L,"Уражено")+COUNTIFS('Таблиця 1'!$B:$B,$A485,'Таблиця 1'!$I:$I,"F-16",'Таблиця 1'!$L:$L,"Уражено")+COUNTIFS('Таблиця 1'!$B:$B,$A485,'Таблиця 1'!$I:$I,"МіГ-29",'Таблиця 1'!$L:$L,"Уражено")+COUNTIFS('Таблиця 1'!$B:$B,$A485,'Таблиця 1'!$I:$I,"Су-25",'Таблиця 1'!$L:$L,"Уражено")+COUNTIFS('Таблиця 1'!$B:$B,$A485,'Таблиця 1'!$I:$I,"Су-27",'Таблиця 1'!$L:$L,"Уражено"))</f>
        <v/>
      </c>
      <c r="S485">
        <f>IF($A485="","",COUNTIFS('Таблиця 1'!$B:$B,$A485,'Таблиця 1'!$I:$I,"Mirage",'Таблиця 1'!$L:$L,"НЕ уражено")+COUNTIFS('Таблиця 1'!$B:$B,$A485,'Таблиця 1'!$I:$I,"F-16",'Таблиця 1'!$L:$L,"НЕ уражено")+COUNTIFS('Таблиця 1'!$B:$B,$A485,'Таблиця 1'!$I:$I,"МіГ-29",'Таблиця 1'!$L:$L,"НЕ уражено")+COUNTIFS('Таблиця 1'!$B:$B,$A485,'Таблиця 1'!$I:$I,"Су-25",'Таблиця 1'!$L:$L,"НЕ уражено")+COUNTIFS('Таблиця 1'!$B:$B,$A485,'Таблиця 1'!$I:$I,"Су-27",'Таблиця 1'!$L:$L,"НЕ уражено"))</f>
        <v/>
      </c>
      <c r="T485">
        <f>IF($A485="","",COUNTIFS('Таблиця 1'!$B:$B,$A485,'Таблиця 1'!$I:$I,"Mirage",'Таблиця 1'!$L:$L,"Дорозвідується")+COUNTIFS('Таблиця 1'!$B:$B,$A485,'Таблиця 1'!$I:$I,"F-16",'Таблиця 1'!$L:$L,"Дорозвідується")+COUNTIFS('Таблиця 1'!$B:$B,$A485,'Таблиця 1'!$I:$I,"МіГ-29",'Таблиця 1'!$L:$L,"Дорозвідується")+COUNTIFS('Таблиця 1'!$B:$B,$A485,'Таблиця 1'!$I:$I,"Су-25",'Таблиця 1'!$L:$L,"Дорозвідується")+COUNTIFS('Таблиця 1'!$B:$B,$A485,'Таблиця 1'!$I:$I,"Су-27",'Таблиця 1'!$L:$L,"Дорозвідується"))</f>
        <v/>
      </c>
    </row>
    <row r="486">
      <c r="A486" s="273">
        <f>IF(A485="","",IF(A485+1&gt;MAX('Таблиця 1'!$B:$B),"",A485+1))</f>
        <v/>
      </c>
      <c r="B486">
        <f>IF($A486="","",COUNTIFS('Таблиця 1'!$B:$B,$A486,'Таблиця 1'!$I:$I,"Mirage")+COUNTIFS('Таблиця 1'!$B:$B,$A486,'Таблиця 1'!$I:$I,"F-16")+COUNTIFS('Таблиця 1'!$B:$B,$A486,'Таблиця 1'!$I:$I,"МіГ-29")+COUNTIFS('Таблиця 1'!$B:$B,$A486,'Таблиця 1'!$I:$I,"Су-25")+COUNTIFS('Таблиця 1'!$B:$B,$A486,'Таблиця 1'!$I:$I,"Су-27"))</f>
        <v/>
      </c>
      <c r="C486">
        <f>IF($A486="","",COUNTIFS('Таблиця 1'!$B:$B,$A486,'Таблиця 1'!$I:$I,"Mirage"))</f>
        <v/>
      </c>
      <c r="D486">
        <f>IF($A486="","",COUNTIFS('Таблиця 1'!$B:$B,$A486,'Таблиця 1'!$I:$I,"F-16"))</f>
        <v/>
      </c>
      <c r="E486">
        <f>IF($A486="","",COUNTIFS('Таблиця 1'!$B:$B,$A486,'Таблиця 1'!$I:$I,"МіГ-29"))</f>
        <v/>
      </c>
      <c r="F486">
        <f>IF($A486="","",COUNTIFS('Таблиця 1'!$B:$B,$A486,'Таблиця 1'!$I:$I,"Су-25"))</f>
        <v/>
      </c>
      <c r="G486">
        <f>IF($A486="","",COUNTIFS('Таблиця 1'!$B:$B,$A486,'Таблиця 1'!$I:$I,"Су-27"))</f>
        <v/>
      </c>
      <c r="H486">
        <f>IF($A486="","",SUMIFS('Таблиця 1'!$K:$K,'Таблиця 1'!$B:$B,$A486,'Таблиця 1'!$I:$I,"Mirage",'Таблиця 1'!$J:$J,"AGM-88")+SUMIFS('Таблиця 1'!$K:$K,'Таблиця 1'!$B:$B,$A486,'Таблиця 1'!$I:$I,"F-16",'Таблиця 1'!$J:$J,"AGM-88")+SUMIFS('Таблиця 1'!$K:$K,'Таблиця 1'!$B:$B,$A486,'Таблиця 1'!$I:$I,"МіГ-29",'Таблиця 1'!$J:$J,"AGM-88")+SUMIFS('Таблиця 1'!$K:$K,'Таблиця 1'!$B:$B,$A486,'Таблиця 1'!$I:$I,"Су-25",'Таблиця 1'!$J:$J,"AGM-88")+SUMIFS('Таблиця 1'!$K:$K,'Таблиця 1'!$B:$B,$A486,'Таблиця 1'!$I:$I,"Су-27",'Таблиця 1'!$J:$J,"AGM-88"))</f>
        <v/>
      </c>
      <c r="I486">
        <f>IF($A486="","",SUMIFS('Таблиця 1'!$K:$K,'Таблиця 1'!$B:$B,$A486,'Таблиця 1'!$I:$I,"Mirage",'Таблиця 1'!$J:$J,"AASM-250")+SUMIFS('Таблиця 1'!$K:$K,'Таблиця 1'!$B:$B,$A486,'Таблиця 1'!$I:$I,"F-16",'Таблиця 1'!$J:$J,"AASM-250")+SUMIFS('Таблиця 1'!$K:$K,'Таблиця 1'!$B:$B,$A486,'Таблиця 1'!$I:$I,"МіГ-29",'Таблиця 1'!$J:$J,"AASM-250")+SUMIFS('Таблиця 1'!$K:$K,'Таблиця 1'!$B:$B,$A486,'Таблиця 1'!$I:$I,"Су-25",'Таблиця 1'!$J:$J,"AASM-250")+SUMIFS('Таблиця 1'!$K:$K,'Таблиця 1'!$B:$B,$A486,'Таблиця 1'!$I:$I,"Су-27",'Таблиця 1'!$J:$J,"AASM-250"))</f>
        <v/>
      </c>
      <c r="J486">
        <f>IF($A486="","",SUMIFS('Таблиця 1'!$K:$K,'Таблиця 1'!$B:$B,$A486,'Таблиця 1'!$I:$I,"Mirage",'Таблиця 1'!$J:$J,"GBU-39")+SUMIFS('Таблиця 1'!$K:$K,'Таблиця 1'!$B:$B,$A486,'Таблиця 1'!$I:$I,"F-16",'Таблиця 1'!$J:$J,"GBU-39")+SUMIFS('Таблиця 1'!$K:$K,'Таблиця 1'!$B:$B,$A486,'Таблиця 1'!$I:$I,"МіГ-29",'Таблиця 1'!$J:$J,"GBU-39")+SUMIFS('Таблиця 1'!$K:$K,'Таблиця 1'!$B:$B,$A486,'Таблиця 1'!$I:$I,"Су-25",'Таблиця 1'!$J:$J,"GBU-39")+SUMIFS('Таблиця 1'!$K:$K,'Таблиця 1'!$B:$B,$A486,'Таблиця 1'!$I:$I,"Су-27",'Таблиця 1'!$J:$J,"GBU-39"))</f>
        <v/>
      </c>
      <c r="K486">
        <f>IF($A486="","",SUMIFS('Таблиця 1'!$K:$K,'Таблиця 1'!$B:$B,$A486,'Таблиця 1'!$I:$I,"Mirage",'Таблиця 1'!$J:$J,"BLU-140")+SUMIFS('Таблиця 1'!$K:$K,'Таблиця 1'!$B:$B,$A486,'Таблиця 1'!$I:$I,"F-16",'Таблиця 1'!$J:$J,"BLU-140")+SUMIFS('Таблиця 1'!$K:$K,'Таблиця 1'!$B:$B,$A486,'Таблиця 1'!$I:$I,"МіГ-29",'Таблиця 1'!$J:$J,"BLU-140")+SUMIFS('Таблиця 1'!$K:$K,'Таблиця 1'!$B:$B,$A486,'Таблиця 1'!$I:$I,"Су-25",'Таблиця 1'!$J:$J,"BLU-140")+SUMIFS('Таблиця 1'!$K:$K,'Таблиця 1'!$B:$B,$A486,'Таблиця 1'!$I:$I,"Су-27",'Таблиця 1'!$J:$J,"BLU-140"))</f>
        <v/>
      </c>
      <c r="L486">
        <f>IF($A486="","",SUMIFS('Таблиця 1'!$K:$K,'Таблиця 1'!$B:$B,$A486,'Таблиця 1'!$I:$I,"Mirage",'Таблиця 1'!$J:$J,"GBU-65")+SUMIFS('Таблиця 1'!$K:$K,'Таблиця 1'!$B:$B,$A486,'Таблиця 1'!$I:$I,"F-16",'Таблиця 1'!$J:$J,"GBU-65")+SUMIFS('Таблиця 1'!$K:$K,'Таблиця 1'!$B:$B,$A486,'Таблиця 1'!$I:$I,"МіГ-29",'Таблиця 1'!$J:$J,"GBU-65")+SUMIFS('Таблиця 1'!$K:$K,'Таблиця 1'!$B:$B,$A486,'Таблиця 1'!$I:$I,"Су-25",'Таблиця 1'!$J:$J,"GBU-65")+SUMIFS('Таблиця 1'!$K:$K,'Таблиця 1'!$B:$B,$A486,'Таблиця 1'!$I:$I,"Су-27",'Таблиця 1'!$J:$J,"GBU-65"))</f>
        <v/>
      </c>
      <c r="M486">
        <f>IF($A486="","",SUMIFS('Таблиця 1'!$K:$K,'Таблиця 1'!$B:$B,$A486,'Таблиця 1'!$I:$I,"Mirage",'Таблиця 1'!$J:$J,"GBU-62")+SUMIFS('Таблиця 1'!$K:$K,'Таблиця 1'!$B:$B,$A486,'Таблиця 1'!$I:$I,"F-16",'Таблиця 1'!$J:$J,"GBU-62")+SUMIFS('Таблиця 1'!$K:$K,'Таблиця 1'!$B:$B,$A486,'Таблиця 1'!$I:$I,"МіГ-29",'Таблиця 1'!$J:$J,"GBU-62")+SUMIFS('Таблиця 1'!$K:$K,'Таблиця 1'!$B:$B,$A486,'Таблиця 1'!$I:$I,"Су-25",'Таблиця 1'!$J:$J,"GBU-62")+SUMIFS('Таблиця 1'!$K:$K,'Таблиця 1'!$B:$B,$A486,'Таблиця 1'!$I:$I,"Су-27",'Таблиця 1'!$J:$J,"GBU-62"))</f>
        <v/>
      </c>
      <c r="N486">
        <f>IF($A486="","",SUMIFS('Таблиця 1'!$K:$K,'Таблиця 1'!$B:$B,$A486,'Таблиця 1'!$I:$I,"Mirage",'Таблиця 1'!$J:$J,"GBU-64")+SUMIFS('Таблиця 1'!$K:$K,'Таблиця 1'!$B:$B,$A486,'Таблиця 1'!$I:$I,"F-16",'Таблиця 1'!$J:$J,"GBU-64")+SUMIFS('Таблиця 1'!$K:$K,'Таблиця 1'!$B:$B,$A486,'Таблиця 1'!$I:$I,"МіГ-29",'Таблиця 1'!$J:$J,"GBU-64")+SUMIFS('Таблиця 1'!$K:$K,'Таблиця 1'!$B:$B,$A486,'Таблиця 1'!$I:$I,"Су-25",'Таблиця 1'!$J:$J,"GBU-64")+SUMIFS('Таблиця 1'!$K:$K,'Таблиця 1'!$B:$B,$A486,'Таблиця 1'!$I:$I,"Су-27",'Таблиця 1'!$J:$J,"GBU-64"))</f>
        <v/>
      </c>
      <c r="O486">
        <f>IF($A486="","",SUMIFS('Таблиця 1'!$K:$K,'Таблиця 1'!$B:$B,$A486,'Таблиця 1'!$I:$I,"Mirage",'Таблиця 1'!$J:$J,"C-13")+SUMIFS('Таблиця 1'!$K:$K,'Таблиця 1'!$B:$B,$A486,'Таблиця 1'!$I:$I,"F-16",'Таблиця 1'!$J:$J,"C-13")+SUMIFS('Таблиця 1'!$K:$K,'Таблиця 1'!$B:$B,$A486,'Таблиця 1'!$I:$I,"МіГ-29",'Таблиця 1'!$J:$J,"C-13")+SUMIFS('Таблиця 1'!$K:$K,'Таблиця 1'!$B:$B,$A486,'Таблиця 1'!$I:$I,"Су-25",'Таблиця 1'!$J:$J,"C-13")+SUMIFS('Таблиця 1'!$K:$K,'Таблиця 1'!$B:$B,$A486,'Таблиця 1'!$I:$I,"Су-27",'Таблиця 1'!$J:$J,"C-13"))</f>
        <v/>
      </c>
      <c r="P486">
        <f>IF($A486="","",SUMIFS('Таблиця 1'!$K:$K,'Таблиця 1'!$B:$B,$A486,'Таблиця 1'!$I:$I,"Mirage",'Таблиця 1'!$J:$J,"MK-32")+SUMIFS('Таблиця 1'!$K:$K,'Таблиця 1'!$B:$B,$A486,'Таблиця 1'!$I:$I,"F-16",'Таблиця 1'!$J:$J,"MK-32")+SUMIFS('Таблиця 1'!$K:$K,'Таблиця 1'!$B:$B,$A486,'Таблиця 1'!$I:$I,"МіГ-29",'Таблиця 1'!$J:$J,"MK-32")+SUMIFS('Таблиця 1'!$K:$K,'Таблиця 1'!$B:$B,$A486,'Таблиця 1'!$I:$I,"Су-25",'Таблиця 1'!$J:$J,"MK-32")+SUMIFS('Таблиця 1'!$K:$K,'Таблиця 1'!$B:$B,$A486,'Таблиця 1'!$I:$I,"Су-27",'Таблиця 1'!$J:$J,"MK-32"))</f>
        <v/>
      </c>
      <c r="Q486">
        <f>IF($A486="","",SUMIFS('Таблиця 1'!$K:$K,'Таблиця 1'!$B:$B,$A486,'Таблиця 1'!$I:$I,"Mirage",'Таблиця 1'!$J:$J,"MK-24")+SUMIFS('Таблиця 1'!$K:$K,'Таблиця 1'!$B:$B,$A486,'Таблиця 1'!$I:$I,"F-16",'Таблиця 1'!$J:$J,"MK-24")+SUMIFS('Таблиця 1'!$K:$K,'Таблиця 1'!$B:$B,$A486,'Таблиця 1'!$I:$I,"МіГ-29",'Таблиця 1'!$J:$J,"MK-24")+SUMIFS('Таблиця 1'!$K:$K,'Таблиця 1'!$B:$B,$A486,'Таблиця 1'!$I:$I,"Су-25",'Таблиця 1'!$J:$J,"MK-24")+SUMIFS('Таблиця 1'!$K:$K,'Таблиця 1'!$B:$B,$A486,'Таблиця 1'!$I:$I,"Су-27",'Таблиця 1'!$J:$J,"MK-24"))</f>
        <v/>
      </c>
      <c r="R486">
        <f>IF($A486="","",COUNTIFS('Таблиця 1'!$B:$B,$A486,'Таблиця 1'!$I:$I,"Mirage",'Таблиця 1'!$L:$L,"Уражено")+COUNTIFS('Таблиця 1'!$B:$B,$A486,'Таблиця 1'!$I:$I,"F-16",'Таблиця 1'!$L:$L,"Уражено")+COUNTIFS('Таблиця 1'!$B:$B,$A486,'Таблиця 1'!$I:$I,"МіГ-29",'Таблиця 1'!$L:$L,"Уражено")+COUNTIFS('Таблиця 1'!$B:$B,$A486,'Таблиця 1'!$I:$I,"Су-25",'Таблиця 1'!$L:$L,"Уражено")+COUNTIFS('Таблиця 1'!$B:$B,$A486,'Таблиця 1'!$I:$I,"Су-27",'Таблиця 1'!$L:$L,"Уражено"))</f>
        <v/>
      </c>
      <c r="S486">
        <f>IF($A486="","",COUNTIFS('Таблиця 1'!$B:$B,$A486,'Таблиця 1'!$I:$I,"Mirage",'Таблиця 1'!$L:$L,"НЕ уражено")+COUNTIFS('Таблиця 1'!$B:$B,$A486,'Таблиця 1'!$I:$I,"F-16",'Таблиця 1'!$L:$L,"НЕ уражено")+COUNTIFS('Таблиця 1'!$B:$B,$A486,'Таблиця 1'!$I:$I,"МіГ-29",'Таблиця 1'!$L:$L,"НЕ уражено")+COUNTIFS('Таблиця 1'!$B:$B,$A486,'Таблиця 1'!$I:$I,"Су-25",'Таблиця 1'!$L:$L,"НЕ уражено")+COUNTIFS('Таблиця 1'!$B:$B,$A486,'Таблиця 1'!$I:$I,"Су-27",'Таблиця 1'!$L:$L,"НЕ уражено"))</f>
        <v/>
      </c>
      <c r="T486">
        <f>IF($A486="","",COUNTIFS('Таблиця 1'!$B:$B,$A486,'Таблиця 1'!$I:$I,"Mirage",'Таблиця 1'!$L:$L,"Дорозвідується")+COUNTIFS('Таблиця 1'!$B:$B,$A486,'Таблиця 1'!$I:$I,"F-16",'Таблиця 1'!$L:$L,"Дорозвідується")+COUNTIFS('Таблиця 1'!$B:$B,$A486,'Таблиця 1'!$I:$I,"МіГ-29",'Таблиця 1'!$L:$L,"Дорозвідується")+COUNTIFS('Таблиця 1'!$B:$B,$A486,'Таблиця 1'!$I:$I,"Су-25",'Таблиця 1'!$L:$L,"Дорозвідується")+COUNTIFS('Таблиця 1'!$B:$B,$A486,'Таблиця 1'!$I:$I,"Су-27",'Таблиця 1'!$L:$L,"Дорозвідується"))</f>
        <v/>
      </c>
    </row>
    <row r="487">
      <c r="A487" s="273">
        <f>IF(A486="","",IF(A486+1&gt;MAX('Таблиця 1'!$B:$B),"",A486+1))</f>
        <v/>
      </c>
      <c r="B487">
        <f>IF($A487="","",COUNTIFS('Таблиця 1'!$B:$B,$A487,'Таблиця 1'!$I:$I,"Mirage")+COUNTIFS('Таблиця 1'!$B:$B,$A487,'Таблиця 1'!$I:$I,"F-16")+COUNTIFS('Таблиця 1'!$B:$B,$A487,'Таблиця 1'!$I:$I,"МіГ-29")+COUNTIFS('Таблиця 1'!$B:$B,$A487,'Таблиця 1'!$I:$I,"Су-25")+COUNTIFS('Таблиця 1'!$B:$B,$A487,'Таблиця 1'!$I:$I,"Су-27"))</f>
        <v/>
      </c>
      <c r="C487">
        <f>IF($A487="","",COUNTIFS('Таблиця 1'!$B:$B,$A487,'Таблиця 1'!$I:$I,"Mirage"))</f>
        <v/>
      </c>
      <c r="D487">
        <f>IF($A487="","",COUNTIFS('Таблиця 1'!$B:$B,$A487,'Таблиця 1'!$I:$I,"F-16"))</f>
        <v/>
      </c>
      <c r="E487">
        <f>IF($A487="","",COUNTIFS('Таблиця 1'!$B:$B,$A487,'Таблиця 1'!$I:$I,"МіГ-29"))</f>
        <v/>
      </c>
      <c r="F487">
        <f>IF($A487="","",COUNTIFS('Таблиця 1'!$B:$B,$A487,'Таблиця 1'!$I:$I,"Су-25"))</f>
        <v/>
      </c>
      <c r="G487">
        <f>IF($A487="","",COUNTIFS('Таблиця 1'!$B:$B,$A487,'Таблиця 1'!$I:$I,"Су-27"))</f>
        <v/>
      </c>
      <c r="H487">
        <f>IF($A487="","",SUMIFS('Таблиця 1'!$K:$K,'Таблиця 1'!$B:$B,$A487,'Таблиця 1'!$I:$I,"Mirage",'Таблиця 1'!$J:$J,"AGM-88")+SUMIFS('Таблиця 1'!$K:$K,'Таблиця 1'!$B:$B,$A487,'Таблиця 1'!$I:$I,"F-16",'Таблиця 1'!$J:$J,"AGM-88")+SUMIFS('Таблиця 1'!$K:$K,'Таблиця 1'!$B:$B,$A487,'Таблиця 1'!$I:$I,"МіГ-29",'Таблиця 1'!$J:$J,"AGM-88")+SUMIFS('Таблиця 1'!$K:$K,'Таблиця 1'!$B:$B,$A487,'Таблиця 1'!$I:$I,"Су-25",'Таблиця 1'!$J:$J,"AGM-88")+SUMIFS('Таблиця 1'!$K:$K,'Таблиця 1'!$B:$B,$A487,'Таблиця 1'!$I:$I,"Су-27",'Таблиця 1'!$J:$J,"AGM-88"))</f>
        <v/>
      </c>
      <c r="I487">
        <f>IF($A487="","",SUMIFS('Таблиця 1'!$K:$K,'Таблиця 1'!$B:$B,$A487,'Таблиця 1'!$I:$I,"Mirage",'Таблиця 1'!$J:$J,"AASM-250")+SUMIFS('Таблиця 1'!$K:$K,'Таблиця 1'!$B:$B,$A487,'Таблиця 1'!$I:$I,"F-16",'Таблиця 1'!$J:$J,"AASM-250")+SUMIFS('Таблиця 1'!$K:$K,'Таблиця 1'!$B:$B,$A487,'Таблиця 1'!$I:$I,"МіГ-29",'Таблиця 1'!$J:$J,"AASM-250")+SUMIFS('Таблиця 1'!$K:$K,'Таблиця 1'!$B:$B,$A487,'Таблиця 1'!$I:$I,"Су-25",'Таблиця 1'!$J:$J,"AASM-250")+SUMIFS('Таблиця 1'!$K:$K,'Таблиця 1'!$B:$B,$A487,'Таблиця 1'!$I:$I,"Су-27",'Таблиця 1'!$J:$J,"AASM-250"))</f>
        <v/>
      </c>
      <c r="J487">
        <f>IF($A487="","",SUMIFS('Таблиця 1'!$K:$K,'Таблиця 1'!$B:$B,$A487,'Таблиця 1'!$I:$I,"Mirage",'Таблиця 1'!$J:$J,"GBU-39")+SUMIFS('Таблиця 1'!$K:$K,'Таблиця 1'!$B:$B,$A487,'Таблиця 1'!$I:$I,"F-16",'Таблиця 1'!$J:$J,"GBU-39")+SUMIFS('Таблиця 1'!$K:$K,'Таблиця 1'!$B:$B,$A487,'Таблиця 1'!$I:$I,"МіГ-29",'Таблиця 1'!$J:$J,"GBU-39")+SUMIFS('Таблиця 1'!$K:$K,'Таблиця 1'!$B:$B,$A487,'Таблиця 1'!$I:$I,"Су-25",'Таблиця 1'!$J:$J,"GBU-39")+SUMIFS('Таблиця 1'!$K:$K,'Таблиця 1'!$B:$B,$A487,'Таблиця 1'!$I:$I,"Су-27",'Таблиця 1'!$J:$J,"GBU-39"))</f>
        <v/>
      </c>
      <c r="K487">
        <f>IF($A487="","",SUMIFS('Таблиця 1'!$K:$K,'Таблиця 1'!$B:$B,$A487,'Таблиця 1'!$I:$I,"Mirage",'Таблиця 1'!$J:$J,"BLU-140")+SUMIFS('Таблиця 1'!$K:$K,'Таблиця 1'!$B:$B,$A487,'Таблиця 1'!$I:$I,"F-16",'Таблиця 1'!$J:$J,"BLU-140")+SUMIFS('Таблиця 1'!$K:$K,'Таблиця 1'!$B:$B,$A487,'Таблиця 1'!$I:$I,"МіГ-29",'Таблиця 1'!$J:$J,"BLU-140")+SUMIFS('Таблиця 1'!$K:$K,'Таблиця 1'!$B:$B,$A487,'Таблиця 1'!$I:$I,"Су-25",'Таблиця 1'!$J:$J,"BLU-140")+SUMIFS('Таблиця 1'!$K:$K,'Таблиця 1'!$B:$B,$A487,'Таблиця 1'!$I:$I,"Су-27",'Таблиця 1'!$J:$J,"BLU-140"))</f>
        <v/>
      </c>
      <c r="L487">
        <f>IF($A487="","",SUMIFS('Таблиця 1'!$K:$K,'Таблиця 1'!$B:$B,$A487,'Таблиця 1'!$I:$I,"Mirage",'Таблиця 1'!$J:$J,"GBU-65")+SUMIFS('Таблиця 1'!$K:$K,'Таблиця 1'!$B:$B,$A487,'Таблиця 1'!$I:$I,"F-16",'Таблиця 1'!$J:$J,"GBU-65")+SUMIFS('Таблиця 1'!$K:$K,'Таблиця 1'!$B:$B,$A487,'Таблиця 1'!$I:$I,"МіГ-29",'Таблиця 1'!$J:$J,"GBU-65")+SUMIFS('Таблиця 1'!$K:$K,'Таблиця 1'!$B:$B,$A487,'Таблиця 1'!$I:$I,"Су-25",'Таблиця 1'!$J:$J,"GBU-65")+SUMIFS('Таблиця 1'!$K:$K,'Таблиця 1'!$B:$B,$A487,'Таблиця 1'!$I:$I,"Су-27",'Таблиця 1'!$J:$J,"GBU-65"))</f>
        <v/>
      </c>
      <c r="M487">
        <f>IF($A487="","",SUMIFS('Таблиця 1'!$K:$K,'Таблиця 1'!$B:$B,$A487,'Таблиця 1'!$I:$I,"Mirage",'Таблиця 1'!$J:$J,"GBU-62")+SUMIFS('Таблиця 1'!$K:$K,'Таблиця 1'!$B:$B,$A487,'Таблиця 1'!$I:$I,"F-16",'Таблиця 1'!$J:$J,"GBU-62")+SUMIFS('Таблиця 1'!$K:$K,'Таблиця 1'!$B:$B,$A487,'Таблиця 1'!$I:$I,"МіГ-29",'Таблиця 1'!$J:$J,"GBU-62")+SUMIFS('Таблиця 1'!$K:$K,'Таблиця 1'!$B:$B,$A487,'Таблиця 1'!$I:$I,"Су-25",'Таблиця 1'!$J:$J,"GBU-62")+SUMIFS('Таблиця 1'!$K:$K,'Таблиця 1'!$B:$B,$A487,'Таблиця 1'!$I:$I,"Су-27",'Таблиця 1'!$J:$J,"GBU-62"))</f>
        <v/>
      </c>
      <c r="N487">
        <f>IF($A487="","",SUMIFS('Таблиця 1'!$K:$K,'Таблиця 1'!$B:$B,$A487,'Таблиця 1'!$I:$I,"Mirage",'Таблиця 1'!$J:$J,"GBU-64")+SUMIFS('Таблиця 1'!$K:$K,'Таблиця 1'!$B:$B,$A487,'Таблиця 1'!$I:$I,"F-16",'Таблиця 1'!$J:$J,"GBU-64")+SUMIFS('Таблиця 1'!$K:$K,'Таблиця 1'!$B:$B,$A487,'Таблиця 1'!$I:$I,"МіГ-29",'Таблиця 1'!$J:$J,"GBU-64")+SUMIFS('Таблиця 1'!$K:$K,'Таблиця 1'!$B:$B,$A487,'Таблиця 1'!$I:$I,"Су-25",'Таблиця 1'!$J:$J,"GBU-64")+SUMIFS('Таблиця 1'!$K:$K,'Таблиця 1'!$B:$B,$A487,'Таблиця 1'!$I:$I,"Су-27",'Таблиця 1'!$J:$J,"GBU-64"))</f>
        <v/>
      </c>
      <c r="O487">
        <f>IF($A487="","",SUMIFS('Таблиця 1'!$K:$K,'Таблиця 1'!$B:$B,$A487,'Таблиця 1'!$I:$I,"Mirage",'Таблиця 1'!$J:$J,"C-13")+SUMIFS('Таблиця 1'!$K:$K,'Таблиця 1'!$B:$B,$A487,'Таблиця 1'!$I:$I,"F-16",'Таблиця 1'!$J:$J,"C-13")+SUMIFS('Таблиця 1'!$K:$K,'Таблиця 1'!$B:$B,$A487,'Таблиця 1'!$I:$I,"МіГ-29",'Таблиця 1'!$J:$J,"C-13")+SUMIFS('Таблиця 1'!$K:$K,'Таблиця 1'!$B:$B,$A487,'Таблиця 1'!$I:$I,"Су-25",'Таблиця 1'!$J:$J,"C-13")+SUMIFS('Таблиця 1'!$K:$K,'Таблиця 1'!$B:$B,$A487,'Таблиця 1'!$I:$I,"Су-27",'Таблиця 1'!$J:$J,"C-13"))</f>
        <v/>
      </c>
      <c r="P487">
        <f>IF($A487="","",SUMIFS('Таблиця 1'!$K:$K,'Таблиця 1'!$B:$B,$A487,'Таблиця 1'!$I:$I,"Mirage",'Таблиця 1'!$J:$J,"MK-32")+SUMIFS('Таблиця 1'!$K:$K,'Таблиця 1'!$B:$B,$A487,'Таблиця 1'!$I:$I,"F-16",'Таблиця 1'!$J:$J,"MK-32")+SUMIFS('Таблиця 1'!$K:$K,'Таблиця 1'!$B:$B,$A487,'Таблиця 1'!$I:$I,"МіГ-29",'Таблиця 1'!$J:$J,"MK-32")+SUMIFS('Таблиця 1'!$K:$K,'Таблиця 1'!$B:$B,$A487,'Таблиця 1'!$I:$I,"Су-25",'Таблиця 1'!$J:$J,"MK-32")+SUMIFS('Таблиця 1'!$K:$K,'Таблиця 1'!$B:$B,$A487,'Таблиця 1'!$I:$I,"Су-27",'Таблиця 1'!$J:$J,"MK-32"))</f>
        <v/>
      </c>
      <c r="Q487">
        <f>IF($A487="","",SUMIFS('Таблиця 1'!$K:$K,'Таблиця 1'!$B:$B,$A487,'Таблиця 1'!$I:$I,"Mirage",'Таблиця 1'!$J:$J,"MK-24")+SUMIFS('Таблиця 1'!$K:$K,'Таблиця 1'!$B:$B,$A487,'Таблиця 1'!$I:$I,"F-16",'Таблиця 1'!$J:$J,"MK-24")+SUMIFS('Таблиця 1'!$K:$K,'Таблиця 1'!$B:$B,$A487,'Таблиця 1'!$I:$I,"МіГ-29",'Таблиця 1'!$J:$J,"MK-24")+SUMIFS('Таблиця 1'!$K:$K,'Таблиця 1'!$B:$B,$A487,'Таблиця 1'!$I:$I,"Су-25",'Таблиця 1'!$J:$J,"MK-24")+SUMIFS('Таблиця 1'!$K:$K,'Таблиця 1'!$B:$B,$A487,'Таблиця 1'!$I:$I,"Су-27",'Таблиця 1'!$J:$J,"MK-24"))</f>
        <v/>
      </c>
      <c r="R487">
        <f>IF($A487="","",COUNTIFS('Таблиця 1'!$B:$B,$A487,'Таблиця 1'!$I:$I,"Mirage",'Таблиця 1'!$L:$L,"Уражено")+COUNTIFS('Таблиця 1'!$B:$B,$A487,'Таблиця 1'!$I:$I,"F-16",'Таблиця 1'!$L:$L,"Уражено")+COUNTIFS('Таблиця 1'!$B:$B,$A487,'Таблиця 1'!$I:$I,"МіГ-29",'Таблиця 1'!$L:$L,"Уражено")+COUNTIFS('Таблиця 1'!$B:$B,$A487,'Таблиця 1'!$I:$I,"Су-25",'Таблиця 1'!$L:$L,"Уражено")+COUNTIFS('Таблиця 1'!$B:$B,$A487,'Таблиця 1'!$I:$I,"Су-27",'Таблиця 1'!$L:$L,"Уражено"))</f>
        <v/>
      </c>
      <c r="S487">
        <f>IF($A487="","",COUNTIFS('Таблиця 1'!$B:$B,$A487,'Таблиця 1'!$I:$I,"Mirage",'Таблиця 1'!$L:$L,"НЕ уражено")+COUNTIFS('Таблиця 1'!$B:$B,$A487,'Таблиця 1'!$I:$I,"F-16",'Таблиця 1'!$L:$L,"НЕ уражено")+COUNTIFS('Таблиця 1'!$B:$B,$A487,'Таблиця 1'!$I:$I,"МіГ-29",'Таблиця 1'!$L:$L,"НЕ уражено")+COUNTIFS('Таблиця 1'!$B:$B,$A487,'Таблиця 1'!$I:$I,"Су-25",'Таблиця 1'!$L:$L,"НЕ уражено")+COUNTIFS('Таблиця 1'!$B:$B,$A487,'Таблиця 1'!$I:$I,"Су-27",'Таблиця 1'!$L:$L,"НЕ уражено"))</f>
        <v/>
      </c>
      <c r="T487">
        <f>IF($A487="","",COUNTIFS('Таблиця 1'!$B:$B,$A487,'Таблиця 1'!$I:$I,"Mirage",'Таблиця 1'!$L:$L,"Дорозвідується")+COUNTIFS('Таблиця 1'!$B:$B,$A487,'Таблиця 1'!$I:$I,"F-16",'Таблиця 1'!$L:$L,"Дорозвідується")+COUNTIFS('Таблиця 1'!$B:$B,$A487,'Таблиця 1'!$I:$I,"МіГ-29",'Таблиця 1'!$L:$L,"Дорозвідується")+COUNTIFS('Таблиця 1'!$B:$B,$A487,'Таблиця 1'!$I:$I,"Су-25",'Таблиця 1'!$L:$L,"Дорозвідується")+COUNTIFS('Таблиця 1'!$B:$B,$A487,'Таблиця 1'!$I:$I,"Су-27",'Таблиця 1'!$L:$L,"Дорозвідується"))</f>
        <v/>
      </c>
    </row>
    <row r="488">
      <c r="A488" s="273">
        <f>IF(A487="","",IF(A487+1&gt;MAX('Таблиця 1'!$B:$B),"",A487+1))</f>
        <v/>
      </c>
      <c r="B488">
        <f>IF($A488="","",COUNTIFS('Таблиця 1'!$B:$B,$A488,'Таблиця 1'!$I:$I,"Mirage")+COUNTIFS('Таблиця 1'!$B:$B,$A488,'Таблиця 1'!$I:$I,"F-16")+COUNTIFS('Таблиця 1'!$B:$B,$A488,'Таблиця 1'!$I:$I,"МіГ-29")+COUNTIFS('Таблиця 1'!$B:$B,$A488,'Таблиця 1'!$I:$I,"Су-25")+COUNTIFS('Таблиця 1'!$B:$B,$A488,'Таблиця 1'!$I:$I,"Су-27"))</f>
        <v/>
      </c>
      <c r="C488">
        <f>IF($A488="","",COUNTIFS('Таблиця 1'!$B:$B,$A488,'Таблиця 1'!$I:$I,"Mirage"))</f>
        <v/>
      </c>
      <c r="D488">
        <f>IF($A488="","",COUNTIFS('Таблиця 1'!$B:$B,$A488,'Таблиця 1'!$I:$I,"F-16"))</f>
        <v/>
      </c>
      <c r="E488">
        <f>IF($A488="","",COUNTIFS('Таблиця 1'!$B:$B,$A488,'Таблиця 1'!$I:$I,"МіГ-29"))</f>
        <v/>
      </c>
      <c r="F488">
        <f>IF($A488="","",COUNTIFS('Таблиця 1'!$B:$B,$A488,'Таблиця 1'!$I:$I,"Су-25"))</f>
        <v/>
      </c>
      <c r="G488">
        <f>IF($A488="","",COUNTIFS('Таблиця 1'!$B:$B,$A488,'Таблиця 1'!$I:$I,"Су-27"))</f>
        <v/>
      </c>
      <c r="H488">
        <f>IF($A488="","",SUMIFS('Таблиця 1'!$K:$K,'Таблиця 1'!$B:$B,$A488,'Таблиця 1'!$I:$I,"Mirage",'Таблиця 1'!$J:$J,"AGM-88")+SUMIFS('Таблиця 1'!$K:$K,'Таблиця 1'!$B:$B,$A488,'Таблиця 1'!$I:$I,"F-16",'Таблиця 1'!$J:$J,"AGM-88")+SUMIFS('Таблиця 1'!$K:$K,'Таблиця 1'!$B:$B,$A488,'Таблиця 1'!$I:$I,"МіГ-29",'Таблиця 1'!$J:$J,"AGM-88")+SUMIFS('Таблиця 1'!$K:$K,'Таблиця 1'!$B:$B,$A488,'Таблиця 1'!$I:$I,"Су-25",'Таблиця 1'!$J:$J,"AGM-88")+SUMIFS('Таблиця 1'!$K:$K,'Таблиця 1'!$B:$B,$A488,'Таблиця 1'!$I:$I,"Су-27",'Таблиця 1'!$J:$J,"AGM-88"))</f>
        <v/>
      </c>
      <c r="I488">
        <f>IF($A488="","",SUMIFS('Таблиця 1'!$K:$K,'Таблиця 1'!$B:$B,$A488,'Таблиця 1'!$I:$I,"Mirage",'Таблиця 1'!$J:$J,"AASM-250")+SUMIFS('Таблиця 1'!$K:$K,'Таблиця 1'!$B:$B,$A488,'Таблиця 1'!$I:$I,"F-16",'Таблиця 1'!$J:$J,"AASM-250")+SUMIFS('Таблиця 1'!$K:$K,'Таблиця 1'!$B:$B,$A488,'Таблиця 1'!$I:$I,"МіГ-29",'Таблиця 1'!$J:$J,"AASM-250")+SUMIFS('Таблиця 1'!$K:$K,'Таблиця 1'!$B:$B,$A488,'Таблиця 1'!$I:$I,"Су-25",'Таблиця 1'!$J:$J,"AASM-250")+SUMIFS('Таблиця 1'!$K:$K,'Таблиця 1'!$B:$B,$A488,'Таблиця 1'!$I:$I,"Су-27",'Таблиця 1'!$J:$J,"AASM-250"))</f>
        <v/>
      </c>
      <c r="J488">
        <f>IF($A488="","",SUMIFS('Таблиця 1'!$K:$K,'Таблиця 1'!$B:$B,$A488,'Таблиця 1'!$I:$I,"Mirage",'Таблиця 1'!$J:$J,"GBU-39")+SUMIFS('Таблиця 1'!$K:$K,'Таблиця 1'!$B:$B,$A488,'Таблиця 1'!$I:$I,"F-16",'Таблиця 1'!$J:$J,"GBU-39")+SUMIFS('Таблиця 1'!$K:$K,'Таблиця 1'!$B:$B,$A488,'Таблиця 1'!$I:$I,"МіГ-29",'Таблиця 1'!$J:$J,"GBU-39")+SUMIFS('Таблиця 1'!$K:$K,'Таблиця 1'!$B:$B,$A488,'Таблиця 1'!$I:$I,"Су-25",'Таблиця 1'!$J:$J,"GBU-39")+SUMIFS('Таблиця 1'!$K:$K,'Таблиця 1'!$B:$B,$A488,'Таблиця 1'!$I:$I,"Су-27",'Таблиця 1'!$J:$J,"GBU-39"))</f>
        <v/>
      </c>
      <c r="K488">
        <f>IF($A488="","",SUMIFS('Таблиця 1'!$K:$K,'Таблиця 1'!$B:$B,$A488,'Таблиця 1'!$I:$I,"Mirage",'Таблиця 1'!$J:$J,"BLU-140")+SUMIFS('Таблиця 1'!$K:$K,'Таблиця 1'!$B:$B,$A488,'Таблиця 1'!$I:$I,"F-16",'Таблиця 1'!$J:$J,"BLU-140")+SUMIFS('Таблиця 1'!$K:$K,'Таблиця 1'!$B:$B,$A488,'Таблиця 1'!$I:$I,"МіГ-29",'Таблиця 1'!$J:$J,"BLU-140")+SUMIFS('Таблиця 1'!$K:$K,'Таблиця 1'!$B:$B,$A488,'Таблиця 1'!$I:$I,"Су-25",'Таблиця 1'!$J:$J,"BLU-140")+SUMIFS('Таблиця 1'!$K:$K,'Таблиця 1'!$B:$B,$A488,'Таблиця 1'!$I:$I,"Су-27",'Таблиця 1'!$J:$J,"BLU-140"))</f>
        <v/>
      </c>
      <c r="L488">
        <f>IF($A488="","",SUMIFS('Таблиця 1'!$K:$K,'Таблиця 1'!$B:$B,$A488,'Таблиця 1'!$I:$I,"Mirage",'Таблиця 1'!$J:$J,"GBU-65")+SUMIFS('Таблиця 1'!$K:$K,'Таблиця 1'!$B:$B,$A488,'Таблиця 1'!$I:$I,"F-16",'Таблиця 1'!$J:$J,"GBU-65")+SUMIFS('Таблиця 1'!$K:$K,'Таблиця 1'!$B:$B,$A488,'Таблиця 1'!$I:$I,"МіГ-29",'Таблиця 1'!$J:$J,"GBU-65")+SUMIFS('Таблиця 1'!$K:$K,'Таблиця 1'!$B:$B,$A488,'Таблиця 1'!$I:$I,"Су-25",'Таблиця 1'!$J:$J,"GBU-65")+SUMIFS('Таблиця 1'!$K:$K,'Таблиця 1'!$B:$B,$A488,'Таблиця 1'!$I:$I,"Су-27",'Таблиця 1'!$J:$J,"GBU-65"))</f>
        <v/>
      </c>
      <c r="M488">
        <f>IF($A488="","",SUMIFS('Таблиця 1'!$K:$K,'Таблиця 1'!$B:$B,$A488,'Таблиця 1'!$I:$I,"Mirage",'Таблиця 1'!$J:$J,"GBU-62")+SUMIFS('Таблиця 1'!$K:$K,'Таблиця 1'!$B:$B,$A488,'Таблиця 1'!$I:$I,"F-16",'Таблиця 1'!$J:$J,"GBU-62")+SUMIFS('Таблиця 1'!$K:$K,'Таблиця 1'!$B:$B,$A488,'Таблиця 1'!$I:$I,"МіГ-29",'Таблиця 1'!$J:$J,"GBU-62")+SUMIFS('Таблиця 1'!$K:$K,'Таблиця 1'!$B:$B,$A488,'Таблиця 1'!$I:$I,"Су-25",'Таблиця 1'!$J:$J,"GBU-62")+SUMIFS('Таблиця 1'!$K:$K,'Таблиця 1'!$B:$B,$A488,'Таблиця 1'!$I:$I,"Су-27",'Таблиця 1'!$J:$J,"GBU-62"))</f>
        <v/>
      </c>
      <c r="N488">
        <f>IF($A488="","",SUMIFS('Таблиця 1'!$K:$K,'Таблиця 1'!$B:$B,$A488,'Таблиця 1'!$I:$I,"Mirage",'Таблиця 1'!$J:$J,"GBU-64")+SUMIFS('Таблиця 1'!$K:$K,'Таблиця 1'!$B:$B,$A488,'Таблиця 1'!$I:$I,"F-16",'Таблиця 1'!$J:$J,"GBU-64")+SUMIFS('Таблиця 1'!$K:$K,'Таблиця 1'!$B:$B,$A488,'Таблиця 1'!$I:$I,"МіГ-29",'Таблиця 1'!$J:$J,"GBU-64")+SUMIFS('Таблиця 1'!$K:$K,'Таблиця 1'!$B:$B,$A488,'Таблиця 1'!$I:$I,"Су-25",'Таблиця 1'!$J:$J,"GBU-64")+SUMIFS('Таблиця 1'!$K:$K,'Таблиця 1'!$B:$B,$A488,'Таблиця 1'!$I:$I,"Су-27",'Таблиця 1'!$J:$J,"GBU-64"))</f>
        <v/>
      </c>
      <c r="O488">
        <f>IF($A488="","",SUMIFS('Таблиця 1'!$K:$K,'Таблиця 1'!$B:$B,$A488,'Таблиця 1'!$I:$I,"Mirage",'Таблиця 1'!$J:$J,"C-13")+SUMIFS('Таблиця 1'!$K:$K,'Таблиця 1'!$B:$B,$A488,'Таблиця 1'!$I:$I,"F-16",'Таблиця 1'!$J:$J,"C-13")+SUMIFS('Таблиця 1'!$K:$K,'Таблиця 1'!$B:$B,$A488,'Таблиця 1'!$I:$I,"МіГ-29",'Таблиця 1'!$J:$J,"C-13")+SUMIFS('Таблиця 1'!$K:$K,'Таблиця 1'!$B:$B,$A488,'Таблиця 1'!$I:$I,"Су-25",'Таблиця 1'!$J:$J,"C-13")+SUMIFS('Таблиця 1'!$K:$K,'Таблиця 1'!$B:$B,$A488,'Таблиця 1'!$I:$I,"Су-27",'Таблиця 1'!$J:$J,"C-13"))</f>
        <v/>
      </c>
      <c r="P488">
        <f>IF($A488="","",SUMIFS('Таблиця 1'!$K:$K,'Таблиця 1'!$B:$B,$A488,'Таблиця 1'!$I:$I,"Mirage",'Таблиця 1'!$J:$J,"MK-32")+SUMIFS('Таблиця 1'!$K:$K,'Таблиця 1'!$B:$B,$A488,'Таблиця 1'!$I:$I,"F-16",'Таблиця 1'!$J:$J,"MK-32")+SUMIFS('Таблиця 1'!$K:$K,'Таблиця 1'!$B:$B,$A488,'Таблиця 1'!$I:$I,"МіГ-29",'Таблиця 1'!$J:$J,"MK-32")+SUMIFS('Таблиця 1'!$K:$K,'Таблиця 1'!$B:$B,$A488,'Таблиця 1'!$I:$I,"Су-25",'Таблиця 1'!$J:$J,"MK-32")+SUMIFS('Таблиця 1'!$K:$K,'Таблиця 1'!$B:$B,$A488,'Таблиця 1'!$I:$I,"Су-27",'Таблиця 1'!$J:$J,"MK-32"))</f>
        <v/>
      </c>
      <c r="Q488">
        <f>IF($A488="","",SUMIFS('Таблиця 1'!$K:$K,'Таблиця 1'!$B:$B,$A488,'Таблиця 1'!$I:$I,"Mirage",'Таблиця 1'!$J:$J,"MK-24")+SUMIFS('Таблиця 1'!$K:$K,'Таблиця 1'!$B:$B,$A488,'Таблиця 1'!$I:$I,"F-16",'Таблиця 1'!$J:$J,"MK-24")+SUMIFS('Таблиця 1'!$K:$K,'Таблиця 1'!$B:$B,$A488,'Таблиця 1'!$I:$I,"МіГ-29",'Таблиця 1'!$J:$J,"MK-24")+SUMIFS('Таблиця 1'!$K:$K,'Таблиця 1'!$B:$B,$A488,'Таблиця 1'!$I:$I,"Су-25",'Таблиця 1'!$J:$J,"MK-24")+SUMIFS('Таблиця 1'!$K:$K,'Таблиця 1'!$B:$B,$A488,'Таблиця 1'!$I:$I,"Су-27",'Таблиця 1'!$J:$J,"MK-24"))</f>
        <v/>
      </c>
      <c r="R488">
        <f>IF($A488="","",COUNTIFS('Таблиця 1'!$B:$B,$A488,'Таблиця 1'!$I:$I,"Mirage",'Таблиця 1'!$L:$L,"Уражено")+COUNTIFS('Таблиця 1'!$B:$B,$A488,'Таблиця 1'!$I:$I,"F-16",'Таблиця 1'!$L:$L,"Уражено")+COUNTIFS('Таблиця 1'!$B:$B,$A488,'Таблиця 1'!$I:$I,"МіГ-29",'Таблиця 1'!$L:$L,"Уражено")+COUNTIFS('Таблиця 1'!$B:$B,$A488,'Таблиця 1'!$I:$I,"Су-25",'Таблиця 1'!$L:$L,"Уражено")+COUNTIFS('Таблиця 1'!$B:$B,$A488,'Таблиця 1'!$I:$I,"Су-27",'Таблиця 1'!$L:$L,"Уражено"))</f>
        <v/>
      </c>
      <c r="S488">
        <f>IF($A488="","",COUNTIFS('Таблиця 1'!$B:$B,$A488,'Таблиця 1'!$I:$I,"Mirage",'Таблиця 1'!$L:$L,"НЕ уражено")+COUNTIFS('Таблиця 1'!$B:$B,$A488,'Таблиця 1'!$I:$I,"F-16",'Таблиця 1'!$L:$L,"НЕ уражено")+COUNTIFS('Таблиця 1'!$B:$B,$A488,'Таблиця 1'!$I:$I,"МіГ-29",'Таблиця 1'!$L:$L,"НЕ уражено")+COUNTIFS('Таблиця 1'!$B:$B,$A488,'Таблиця 1'!$I:$I,"Су-25",'Таблиця 1'!$L:$L,"НЕ уражено")+COUNTIFS('Таблиця 1'!$B:$B,$A488,'Таблиця 1'!$I:$I,"Су-27",'Таблиця 1'!$L:$L,"НЕ уражено"))</f>
        <v/>
      </c>
      <c r="T488">
        <f>IF($A488="","",COUNTIFS('Таблиця 1'!$B:$B,$A488,'Таблиця 1'!$I:$I,"Mirage",'Таблиця 1'!$L:$L,"Дорозвідується")+COUNTIFS('Таблиця 1'!$B:$B,$A488,'Таблиця 1'!$I:$I,"F-16",'Таблиця 1'!$L:$L,"Дорозвідується")+COUNTIFS('Таблиця 1'!$B:$B,$A488,'Таблиця 1'!$I:$I,"МіГ-29",'Таблиця 1'!$L:$L,"Дорозвідується")+COUNTIFS('Таблиця 1'!$B:$B,$A488,'Таблиця 1'!$I:$I,"Су-25",'Таблиця 1'!$L:$L,"Дорозвідується")+COUNTIFS('Таблиця 1'!$B:$B,$A488,'Таблиця 1'!$I:$I,"Су-27",'Таблиця 1'!$L:$L,"Дорозвідується"))</f>
        <v/>
      </c>
    </row>
    <row r="489">
      <c r="A489" s="273">
        <f>IF(A488="","",IF(A488+1&gt;MAX('Таблиця 1'!$B:$B),"",A488+1))</f>
        <v/>
      </c>
      <c r="B489">
        <f>IF($A489="","",COUNTIFS('Таблиця 1'!$B:$B,$A489,'Таблиця 1'!$I:$I,"Mirage")+COUNTIFS('Таблиця 1'!$B:$B,$A489,'Таблиця 1'!$I:$I,"F-16")+COUNTIFS('Таблиця 1'!$B:$B,$A489,'Таблиця 1'!$I:$I,"МіГ-29")+COUNTIFS('Таблиця 1'!$B:$B,$A489,'Таблиця 1'!$I:$I,"Су-25")+COUNTIFS('Таблиця 1'!$B:$B,$A489,'Таблиця 1'!$I:$I,"Су-27"))</f>
        <v/>
      </c>
      <c r="C489">
        <f>IF($A489="","",COUNTIFS('Таблиця 1'!$B:$B,$A489,'Таблиця 1'!$I:$I,"Mirage"))</f>
        <v/>
      </c>
      <c r="D489">
        <f>IF($A489="","",COUNTIFS('Таблиця 1'!$B:$B,$A489,'Таблиця 1'!$I:$I,"F-16"))</f>
        <v/>
      </c>
      <c r="E489">
        <f>IF($A489="","",COUNTIFS('Таблиця 1'!$B:$B,$A489,'Таблиця 1'!$I:$I,"МіГ-29"))</f>
        <v/>
      </c>
      <c r="F489">
        <f>IF($A489="","",COUNTIFS('Таблиця 1'!$B:$B,$A489,'Таблиця 1'!$I:$I,"Су-25"))</f>
        <v/>
      </c>
      <c r="G489">
        <f>IF($A489="","",COUNTIFS('Таблиця 1'!$B:$B,$A489,'Таблиця 1'!$I:$I,"Су-27"))</f>
        <v/>
      </c>
      <c r="H489">
        <f>IF($A489="","",SUMIFS('Таблиця 1'!$K:$K,'Таблиця 1'!$B:$B,$A489,'Таблиця 1'!$I:$I,"Mirage",'Таблиця 1'!$J:$J,"AGM-88")+SUMIFS('Таблиця 1'!$K:$K,'Таблиця 1'!$B:$B,$A489,'Таблиця 1'!$I:$I,"F-16",'Таблиця 1'!$J:$J,"AGM-88")+SUMIFS('Таблиця 1'!$K:$K,'Таблиця 1'!$B:$B,$A489,'Таблиця 1'!$I:$I,"МіГ-29",'Таблиця 1'!$J:$J,"AGM-88")+SUMIFS('Таблиця 1'!$K:$K,'Таблиця 1'!$B:$B,$A489,'Таблиця 1'!$I:$I,"Су-25",'Таблиця 1'!$J:$J,"AGM-88")+SUMIFS('Таблиця 1'!$K:$K,'Таблиця 1'!$B:$B,$A489,'Таблиця 1'!$I:$I,"Су-27",'Таблиця 1'!$J:$J,"AGM-88"))</f>
        <v/>
      </c>
      <c r="I489">
        <f>IF($A489="","",SUMIFS('Таблиця 1'!$K:$K,'Таблиця 1'!$B:$B,$A489,'Таблиця 1'!$I:$I,"Mirage",'Таблиця 1'!$J:$J,"AASM-250")+SUMIFS('Таблиця 1'!$K:$K,'Таблиця 1'!$B:$B,$A489,'Таблиця 1'!$I:$I,"F-16",'Таблиця 1'!$J:$J,"AASM-250")+SUMIFS('Таблиця 1'!$K:$K,'Таблиця 1'!$B:$B,$A489,'Таблиця 1'!$I:$I,"МіГ-29",'Таблиця 1'!$J:$J,"AASM-250")+SUMIFS('Таблиця 1'!$K:$K,'Таблиця 1'!$B:$B,$A489,'Таблиця 1'!$I:$I,"Су-25",'Таблиця 1'!$J:$J,"AASM-250")+SUMIFS('Таблиця 1'!$K:$K,'Таблиця 1'!$B:$B,$A489,'Таблиця 1'!$I:$I,"Су-27",'Таблиця 1'!$J:$J,"AASM-250"))</f>
        <v/>
      </c>
      <c r="J489">
        <f>IF($A489="","",SUMIFS('Таблиця 1'!$K:$K,'Таблиця 1'!$B:$B,$A489,'Таблиця 1'!$I:$I,"Mirage",'Таблиця 1'!$J:$J,"GBU-39")+SUMIFS('Таблиця 1'!$K:$K,'Таблиця 1'!$B:$B,$A489,'Таблиця 1'!$I:$I,"F-16",'Таблиця 1'!$J:$J,"GBU-39")+SUMIFS('Таблиця 1'!$K:$K,'Таблиця 1'!$B:$B,$A489,'Таблиця 1'!$I:$I,"МіГ-29",'Таблиця 1'!$J:$J,"GBU-39")+SUMIFS('Таблиця 1'!$K:$K,'Таблиця 1'!$B:$B,$A489,'Таблиця 1'!$I:$I,"Су-25",'Таблиця 1'!$J:$J,"GBU-39")+SUMIFS('Таблиця 1'!$K:$K,'Таблиця 1'!$B:$B,$A489,'Таблиця 1'!$I:$I,"Су-27",'Таблиця 1'!$J:$J,"GBU-39"))</f>
        <v/>
      </c>
      <c r="K489">
        <f>IF($A489="","",SUMIFS('Таблиця 1'!$K:$K,'Таблиця 1'!$B:$B,$A489,'Таблиця 1'!$I:$I,"Mirage",'Таблиця 1'!$J:$J,"BLU-140")+SUMIFS('Таблиця 1'!$K:$K,'Таблиця 1'!$B:$B,$A489,'Таблиця 1'!$I:$I,"F-16",'Таблиця 1'!$J:$J,"BLU-140")+SUMIFS('Таблиця 1'!$K:$K,'Таблиця 1'!$B:$B,$A489,'Таблиця 1'!$I:$I,"МіГ-29",'Таблиця 1'!$J:$J,"BLU-140")+SUMIFS('Таблиця 1'!$K:$K,'Таблиця 1'!$B:$B,$A489,'Таблиця 1'!$I:$I,"Су-25",'Таблиця 1'!$J:$J,"BLU-140")+SUMIFS('Таблиця 1'!$K:$K,'Таблиця 1'!$B:$B,$A489,'Таблиця 1'!$I:$I,"Су-27",'Таблиця 1'!$J:$J,"BLU-140"))</f>
        <v/>
      </c>
      <c r="L489">
        <f>IF($A489="","",SUMIFS('Таблиця 1'!$K:$K,'Таблиця 1'!$B:$B,$A489,'Таблиця 1'!$I:$I,"Mirage",'Таблиця 1'!$J:$J,"GBU-65")+SUMIFS('Таблиця 1'!$K:$K,'Таблиця 1'!$B:$B,$A489,'Таблиця 1'!$I:$I,"F-16",'Таблиця 1'!$J:$J,"GBU-65")+SUMIFS('Таблиця 1'!$K:$K,'Таблиця 1'!$B:$B,$A489,'Таблиця 1'!$I:$I,"МіГ-29",'Таблиця 1'!$J:$J,"GBU-65")+SUMIFS('Таблиця 1'!$K:$K,'Таблиця 1'!$B:$B,$A489,'Таблиця 1'!$I:$I,"Су-25",'Таблиця 1'!$J:$J,"GBU-65")+SUMIFS('Таблиця 1'!$K:$K,'Таблиця 1'!$B:$B,$A489,'Таблиця 1'!$I:$I,"Су-27",'Таблиця 1'!$J:$J,"GBU-65"))</f>
        <v/>
      </c>
      <c r="M489">
        <f>IF($A489="","",SUMIFS('Таблиця 1'!$K:$K,'Таблиця 1'!$B:$B,$A489,'Таблиця 1'!$I:$I,"Mirage",'Таблиця 1'!$J:$J,"GBU-62")+SUMIFS('Таблиця 1'!$K:$K,'Таблиця 1'!$B:$B,$A489,'Таблиця 1'!$I:$I,"F-16",'Таблиця 1'!$J:$J,"GBU-62")+SUMIFS('Таблиця 1'!$K:$K,'Таблиця 1'!$B:$B,$A489,'Таблиця 1'!$I:$I,"МіГ-29",'Таблиця 1'!$J:$J,"GBU-62")+SUMIFS('Таблиця 1'!$K:$K,'Таблиця 1'!$B:$B,$A489,'Таблиця 1'!$I:$I,"Су-25",'Таблиця 1'!$J:$J,"GBU-62")+SUMIFS('Таблиця 1'!$K:$K,'Таблиця 1'!$B:$B,$A489,'Таблиця 1'!$I:$I,"Су-27",'Таблиця 1'!$J:$J,"GBU-62"))</f>
        <v/>
      </c>
      <c r="N489">
        <f>IF($A489="","",SUMIFS('Таблиця 1'!$K:$K,'Таблиця 1'!$B:$B,$A489,'Таблиця 1'!$I:$I,"Mirage",'Таблиця 1'!$J:$J,"GBU-64")+SUMIFS('Таблиця 1'!$K:$K,'Таблиця 1'!$B:$B,$A489,'Таблиця 1'!$I:$I,"F-16",'Таблиця 1'!$J:$J,"GBU-64")+SUMIFS('Таблиця 1'!$K:$K,'Таблиця 1'!$B:$B,$A489,'Таблиця 1'!$I:$I,"МіГ-29",'Таблиця 1'!$J:$J,"GBU-64")+SUMIFS('Таблиця 1'!$K:$K,'Таблиця 1'!$B:$B,$A489,'Таблиця 1'!$I:$I,"Су-25",'Таблиця 1'!$J:$J,"GBU-64")+SUMIFS('Таблиця 1'!$K:$K,'Таблиця 1'!$B:$B,$A489,'Таблиця 1'!$I:$I,"Су-27",'Таблиця 1'!$J:$J,"GBU-64"))</f>
        <v/>
      </c>
      <c r="O489">
        <f>IF($A489="","",SUMIFS('Таблиця 1'!$K:$K,'Таблиця 1'!$B:$B,$A489,'Таблиця 1'!$I:$I,"Mirage",'Таблиця 1'!$J:$J,"C-13")+SUMIFS('Таблиця 1'!$K:$K,'Таблиця 1'!$B:$B,$A489,'Таблиця 1'!$I:$I,"F-16",'Таблиця 1'!$J:$J,"C-13")+SUMIFS('Таблиця 1'!$K:$K,'Таблиця 1'!$B:$B,$A489,'Таблиця 1'!$I:$I,"МіГ-29",'Таблиця 1'!$J:$J,"C-13")+SUMIFS('Таблиця 1'!$K:$K,'Таблиця 1'!$B:$B,$A489,'Таблиця 1'!$I:$I,"Су-25",'Таблиця 1'!$J:$J,"C-13")+SUMIFS('Таблиця 1'!$K:$K,'Таблиця 1'!$B:$B,$A489,'Таблиця 1'!$I:$I,"Су-27",'Таблиця 1'!$J:$J,"C-13"))</f>
        <v/>
      </c>
      <c r="P489">
        <f>IF($A489="","",SUMIFS('Таблиця 1'!$K:$K,'Таблиця 1'!$B:$B,$A489,'Таблиця 1'!$I:$I,"Mirage",'Таблиця 1'!$J:$J,"MK-32")+SUMIFS('Таблиця 1'!$K:$K,'Таблиця 1'!$B:$B,$A489,'Таблиця 1'!$I:$I,"F-16",'Таблиця 1'!$J:$J,"MK-32")+SUMIFS('Таблиця 1'!$K:$K,'Таблиця 1'!$B:$B,$A489,'Таблиця 1'!$I:$I,"МіГ-29",'Таблиця 1'!$J:$J,"MK-32")+SUMIFS('Таблиця 1'!$K:$K,'Таблиця 1'!$B:$B,$A489,'Таблиця 1'!$I:$I,"Су-25",'Таблиця 1'!$J:$J,"MK-32")+SUMIFS('Таблиця 1'!$K:$K,'Таблиця 1'!$B:$B,$A489,'Таблиця 1'!$I:$I,"Су-27",'Таблиця 1'!$J:$J,"MK-32"))</f>
        <v/>
      </c>
      <c r="Q489">
        <f>IF($A489="","",SUMIFS('Таблиця 1'!$K:$K,'Таблиця 1'!$B:$B,$A489,'Таблиця 1'!$I:$I,"Mirage",'Таблиця 1'!$J:$J,"MK-24")+SUMIFS('Таблиця 1'!$K:$K,'Таблиця 1'!$B:$B,$A489,'Таблиця 1'!$I:$I,"F-16",'Таблиця 1'!$J:$J,"MK-24")+SUMIFS('Таблиця 1'!$K:$K,'Таблиця 1'!$B:$B,$A489,'Таблиця 1'!$I:$I,"МіГ-29",'Таблиця 1'!$J:$J,"MK-24")+SUMIFS('Таблиця 1'!$K:$K,'Таблиця 1'!$B:$B,$A489,'Таблиця 1'!$I:$I,"Су-25",'Таблиця 1'!$J:$J,"MK-24")+SUMIFS('Таблиця 1'!$K:$K,'Таблиця 1'!$B:$B,$A489,'Таблиця 1'!$I:$I,"Су-27",'Таблиця 1'!$J:$J,"MK-24"))</f>
        <v/>
      </c>
      <c r="R489">
        <f>IF($A489="","",COUNTIFS('Таблиця 1'!$B:$B,$A489,'Таблиця 1'!$I:$I,"Mirage",'Таблиця 1'!$L:$L,"Уражено")+COUNTIFS('Таблиця 1'!$B:$B,$A489,'Таблиця 1'!$I:$I,"F-16",'Таблиця 1'!$L:$L,"Уражено")+COUNTIFS('Таблиця 1'!$B:$B,$A489,'Таблиця 1'!$I:$I,"МіГ-29",'Таблиця 1'!$L:$L,"Уражено")+COUNTIFS('Таблиця 1'!$B:$B,$A489,'Таблиця 1'!$I:$I,"Су-25",'Таблиця 1'!$L:$L,"Уражено")+COUNTIFS('Таблиця 1'!$B:$B,$A489,'Таблиця 1'!$I:$I,"Су-27",'Таблиця 1'!$L:$L,"Уражено"))</f>
        <v/>
      </c>
      <c r="S489">
        <f>IF($A489="","",COUNTIFS('Таблиця 1'!$B:$B,$A489,'Таблиця 1'!$I:$I,"Mirage",'Таблиця 1'!$L:$L,"НЕ уражено")+COUNTIFS('Таблиця 1'!$B:$B,$A489,'Таблиця 1'!$I:$I,"F-16",'Таблиця 1'!$L:$L,"НЕ уражено")+COUNTIFS('Таблиця 1'!$B:$B,$A489,'Таблиця 1'!$I:$I,"МіГ-29",'Таблиця 1'!$L:$L,"НЕ уражено")+COUNTIFS('Таблиця 1'!$B:$B,$A489,'Таблиця 1'!$I:$I,"Су-25",'Таблиця 1'!$L:$L,"НЕ уражено")+COUNTIFS('Таблиця 1'!$B:$B,$A489,'Таблиця 1'!$I:$I,"Су-27",'Таблиця 1'!$L:$L,"НЕ уражено"))</f>
        <v/>
      </c>
      <c r="T489">
        <f>IF($A489="","",COUNTIFS('Таблиця 1'!$B:$B,$A489,'Таблиця 1'!$I:$I,"Mirage",'Таблиця 1'!$L:$L,"Дорозвідується")+COUNTIFS('Таблиця 1'!$B:$B,$A489,'Таблиця 1'!$I:$I,"F-16",'Таблиця 1'!$L:$L,"Дорозвідується")+COUNTIFS('Таблиця 1'!$B:$B,$A489,'Таблиця 1'!$I:$I,"МіГ-29",'Таблиця 1'!$L:$L,"Дорозвідується")+COUNTIFS('Таблиця 1'!$B:$B,$A489,'Таблиця 1'!$I:$I,"Су-25",'Таблиця 1'!$L:$L,"Дорозвідується")+COUNTIFS('Таблиця 1'!$B:$B,$A489,'Таблиця 1'!$I:$I,"Су-27",'Таблиця 1'!$L:$L,"Дорозвідується"))</f>
        <v/>
      </c>
    </row>
    <row r="490">
      <c r="A490" s="273">
        <f>IF(A489="","",IF(A489+1&gt;MAX('Таблиця 1'!$B:$B),"",A489+1))</f>
        <v/>
      </c>
      <c r="B490">
        <f>IF($A490="","",COUNTIFS('Таблиця 1'!$B:$B,$A490,'Таблиця 1'!$I:$I,"Mirage")+COUNTIFS('Таблиця 1'!$B:$B,$A490,'Таблиця 1'!$I:$I,"F-16")+COUNTIFS('Таблиця 1'!$B:$B,$A490,'Таблиця 1'!$I:$I,"МіГ-29")+COUNTIFS('Таблиця 1'!$B:$B,$A490,'Таблиця 1'!$I:$I,"Су-25")+COUNTIFS('Таблиця 1'!$B:$B,$A490,'Таблиця 1'!$I:$I,"Су-27"))</f>
        <v/>
      </c>
      <c r="C490">
        <f>IF($A490="","",COUNTIFS('Таблиця 1'!$B:$B,$A490,'Таблиця 1'!$I:$I,"Mirage"))</f>
        <v/>
      </c>
      <c r="D490">
        <f>IF($A490="","",COUNTIFS('Таблиця 1'!$B:$B,$A490,'Таблиця 1'!$I:$I,"F-16"))</f>
        <v/>
      </c>
      <c r="E490">
        <f>IF($A490="","",COUNTIFS('Таблиця 1'!$B:$B,$A490,'Таблиця 1'!$I:$I,"МіГ-29"))</f>
        <v/>
      </c>
      <c r="F490">
        <f>IF($A490="","",COUNTIFS('Таблиця 1'!$B:$B,$A490,'Таблиця 1'!$I:$I,"Су-25"))</f>
        <v/>
      </c>
      <c r="G490">
        <f>IF($A490="","",COUNTIFS('Таблиця 1'!$B:$B,$A490,'Таблиця 1'!$I:$I,"Су-27"))</f>
        <v/>
      </c>
      <c r="H490">
        <f>IF($A490="","",SUMIFS('Таблиця 1'!$K:$K,'Таблиця 1'!$B:$B,$A490,'Таблиця 1'!$I:$I,"Mirage",'Таблиця 1'!$J:$J,"AGM-88")+SUMIFS('Таблиця 1'!$K:$K,'Таблиця 1'!$B:$B,$A490,'Таблиця 1'!$I:$I,"F-16",'Таблиця 1'!$J:$J,"AGM-88")+SUMIFS('Таблиця 1'!$K:$K,'Таблиця 1'!$B:$B,$A490,'Таблиця 1'!$I:$I,"МіГ-29",'Таблиця 1'!$J:$J,"AGM-88")+SUMIFS('Таблиця 1'!$K:$K,'Таблиця 1'!$B:$B,$A490,'Таблиця 1'!$I:$I,"Су-25",'Таблиця 1'!$J:$J,"AGM-88")+SUMIFS('Таблиця 1'!$K:$K,'Таблиця 1'!$B:$B,$A490,'Таблиця 1'!$I:$I,"Су-27",'Таблиця 1'!$J:$J,"AGM-88"))</f>
        <v/>
      </c>
      <c r="I490">
        <f>IF($A490="","",SUMIFS('Таблиця 1'!$K:$K,'Таблиця 1'!$B:$B,$A490,'Таблиця 1'!$I:$I,"Mirage",'Таблиця 1'!$J:$J,"AASM-250")+SUMIFS('Таблиця 1'!$K:$K,'Таблиця 1'!$B:$B,$A490,'Таблиця 1'!$I:$I,"F-16",'Таблиця 1'!$J:$J,"AASM-250")+SUMIFS('Таблиця 1'!$K:$K,'Таблиця 1'!$B:$B,$A490,'Таблиця 1'!$I:$I,"МіГ-29",'Таблиця 1'!$J:$J,"AASM-250")+SUMIFS('Таблиця 1'!$K:$K,'Таблиця 1'!$B:$B,$A490,'Таблиця 1'!$I:$I,"Су-25",'Таблиця 1'!$J:$J,"AASM-250")+SUMIFS('Таблиця 1'!$K:$K,'Таблиця 1'!$B:$B,$A490,'Таблиця 1'!$I:$I,"Су-27",'Таблиця 1'!$J:$J,"AASM-250"))</f>
        <v/>
      </c>
      <c r="J490">
        <f>IF($A490="","",SUMIFS('Таблиця 1'!$K:$K,'Таблиця 1'!$B:$B,$A490,'Таблиця 1'!$I:$I,"Mirage",'Таблиця 1'!$J:$J,"GBU-39")+SUMIFS('Таблиця 1'!$K:$K,'Таблиця 1'!$B:$B,$A490,'Таблиця 1'!$I:$I,"F-16",'Таблиця 1'!$J:$J,"GBU-39")+SUMIFS('Таблиця 1'!$K:$K,'Таблиця 1'!$B:$B,$A490,'Таблиця 1'!$I:$I,"МіГ-29",'Таблиця 1'!$J:$J,"GBU-39")+SUMIFS('Таблиця 1'!$K:$K,'Таблиця 1'!$B:$B,$A490,'Таблиця 1'!$I:$I,"Су-25",'Таблиця 1'!$J:$J,"GBU-39")+SUMIFS('Таблиця 1'!$K:$K,'Таблиця 1'!$B:$B,$A490,'Таблиця 1'!$I:$I,"Су-27",'Таблиця 1'!$J:$J,"GBU-39"))</f>
        <v/>
      </c>
      <c r="K490">
        <f>IF($A490="","",SUMIFS('Таблиця 1'!$K:$K,'Таблиця 1'!$B:$B,$A490,'Таблиця 1'!$I:$I,"Mirage",'Таблиця 1'!$J:$J,"BLU-140")+SUMIFS('Таблиця 1'!$K:$K,'Таблиця 1'!$B:$B,$A490,'Таблиця 1'!$I:$I,"F-16",'Таблиця 1'!$J:$J,"BLU-140")+SUMIFS('Таблиця 1'!$K:$K,'Таблиця 1'!$B:$B,$A490,'Таблиця 1'!$I:$I,"МіГ-29",'Таблиця 1'!$J:$J,"BLU-140")+SUMIFS('Таблиця 1'!$K:$K,'Таблиця 1'!$B:$B,$A490,'Таблиця 1'!$I:$I,"Су-25",'Таблиця 1'!$J:$J,"BLU-140")+SUMIFS('Таблиця 1'!$K:$K,'Таблиця 1'!$B:$B,$A490,'Таблиця 1'!$I:$I,"Су-27",'Таблиця 1'!$J:$J,"BLU-140"))</f>
        <v/>
      </c>
      <c r="L490">
        <f>IF($A490="","",SUMIFS('Таблиця 1'!$K:$K,'Таблиця 1'!$B:$B,$A490,'Таблиця 1'!$I:$I,"Mirage",'Таблиця 1'!$J:$J,"GBU-65")+SUMIFS('Таблиця 1'!$K:$K,'Таблиця 1'!$B:$B,$A490,'Таблиця 1'!$I:$I,"F-16",'Таблиця 1'!$J:$J,"GBU-65")+SUMIFS('Таблиця 1'!$K:$K,'Таблиця 1'!$B:$B,$A490,'Таблиця 1'!$I:$I,"МіГ-29",'Таблиця 1'!$J:$J,"GBU-65")+SUMIFS('Таблиця 1'!$K:$K,'Таблиця 1'!$B:$B,$A490,'Таблиця 1'!$I:$I,"Су-25",'Таблиця 1'!$J:$J,"GBU-65")+SUMIFS('Таблиця 1'!$K:$K,'Таблиця 1'!$B:$B,$A490,'Таблиця 1'!$I:$I,"Су-27",'Таблиця 1'!$J:$J,"GBU-65"))</f>
        <v/>
      </c>
      <c r="M490">
        <f>IF($A490="","",SUMIFS('Таблиця 1'!$K:$K,'Таблиця 1'!$B:$B,$A490,'Таблиця 1'!$I:$I,"Mirage",'Таблиця 1'!$J:$J,"GBU-62")+SUMIFS('Таблиця 1'!$K:$K,'Таблиця 1'!$B:$B,$A490,'Таблиця 1'!$I:$I,"F-16",'Таблиця 1'!$J:$J,"GBU-62")+SUMIFS('Таблиця 1'!$K:$K,'Таблиця 1'!$B:$B,$A490,'Таблиця 1'!$I:$I,"МіГ-29",'Таблиця 1'!$J:$J,"GBU-62")+SUMIFS('Таблиця 1'!$K:$K,'Таблиця 1'!$B:$B,$A490,'Таблиця 1'!$I:$I,"Су-25",'Таблиця 1'!$J:$J,"GBU-62")+SUMIFS('Таблиця 1'!$K:$K,'Таблиця 1'!$B:$B,$A490,'Таблиця 1'!$I:$I,"Су-27",'Таблиця 1'!$J:$J,"GBU-62"))</f>
        <v/>
      </c>
      <c r="N490">
        <f>IF($A490="","",SUMIFS('Таблиця 1'!$K:$K,'Таблиця 1'!$B:$B,$A490,'Таблиця 1'!$I:$I,"Mirage",'Таблиця 1'!$J:$J,"GBU-64")+SUMIFS('Таблиця 1'!$K:$K,'Таблиця 1'!$B:$B,$A490,'Таблиця 1'!$I:$I,"F-16",'Таблиця 1'!$J:$J,"GBU-64")+SUMIFS('Таблиця 1'!$K:$K,'Таблиця 1'!$B:$B,$A490,'Таблиця 1'!$I:$I,"МіГ-29",'Таблиця 1'!$J:$J,"GBU-64")+SUMIFS('Таблиця 1'!$K:$K,'Таблиця 1'!$B:$B,$A490,'Таблиця 1'!$I:$I,"Су-25",'Таблиця 1'!$J:$J,"GBU-64")+SUMIFS('Таблиця 1'!$K:$K,'Таблиця 1'!$B:$B,$A490,'Таблиця 1'!$I:$I,"Су-27",'Таблиця 1'!$J:$J,"GBU-64"))</f>
        <v/>
      </c>
      <c r="O490">
        <f>IF($A490="","",SUMIFS('Таблиця 1'!$K:$K,'Таблиця 1'!$B:$B,$A490,'Таблиця 1'!$I:$I,"Mirage",'Таблиця 1'!$J:$J,"C-13")+SUMIFS('Таблиця 1'!$K:$K,'Таблиця 1'!$B:$B,$A490,'Таблиця 1'!$I:$I,"F-16",'Таблиця 1'!$J:$J,"C-13")+SUMIFS('Таблиця 1'!$K:$K,'Таблиця 1'!$B:$B,$A490,'Таблиця 1'!$I:$I,"МіГ-29",'Таблиця 1'!$J:$J,"C-13")+SUMIFS('Таблиця 1'!$K:$K,'Таблиця 1'!$B:$B,$A490,'Таблиця 1'!$I:$I,"Су-25",'Таблиця 1'!$J:$J,"C-13")+SUMIFS('Таблиця 1'!$K:$K,'Таблиця 1'!$B:$B,$A490,'Таблиця 1'!$I:$I,"Су-27",'Таблиця 1'!$J:$J,"C-13"))</f>
        <v/>
      </c>
      <c r="P490">
        <f>IF($A490="","",SUMIFS('Таблиця 1'!$K:$K,'Таблиця 1'!$B:$B,$A490,'Таблиця 1'!$I:$I,"Mirage",'Таблиця 1'!$J:$J,"MK-32")+SUMIFS('Таблиця 1'!$K:$K,'Таблиця 1'!$B:$B,$A490,'Таблиця 1'!$I:$I,"F-16",'Таблиця 1'!$J:$J,"MK-32")+SUMIFS('Таблиця 1'!$K:$K,'Таблиця 1'!$B:$B,$A490,'Таблиця 1'!$I:$I,"МіГ-29",'Таблиця 1'!$J:$J,"MK-32")+SUMIFS('Таблиця 1'!$K:$K,'Таблиця 1'!$B:$B,$A490,'Таблиця 1'!$I:$I,"Су-25",'Таблиця 1'!$J:$J,"MK-32")+SUMIFS('Таблиця 1'!$K:$K,'Таблиця 1'!$B:$B,$A490,'Таблиця 1'!$I:$I,"Су-27",'Таблиця 1'!$J:$J,"MK-32"))</f>
        <v/>
      </c>
      <c r="Q490">
        <f>IF($A490="","",SUMIFS('Таблиця 1'!$K:$K,'Таблиця 1'!$B:$B,$A490,'Таблиця 1'!$I:$I,"Mirage",'Таблиця 1'!$J:$J,"MK-24")+SUMIFS('Таблиця 1'!$K:$K,'Таблиця 1'!$B:$B,$A490,'Таблиця 1'!$I:$I,"F-16",'Таблиця 1'!$J:$J,"MK-24")+SUMIFS('Таблиця 1'!$K:$K,'Таблиця 1'!$B:$B,$A490,'Таблиця 1'!$I:$I,"МіГ-29",'Таблиця 1'!$J:$J,"MK-24")+SUMIFS('Таблиця 1'!$K:$K,'Таблиця 1'!$B:$B,$A490,'Таблиця 1'!$I:$I,"Су-25",'Таблиця 1'!$J:$J,"MK-24")+SUMIFS('Таблиця 1'!$K:$K,'Таблиця 1'!$B:$B,$A490,'Таблиця 1'!$I:$I,"Су-27",'Таблиця 1'!$J:$J,"MK-24"))</f>
        <v/>
      </c>
      <c r="R490">
        <f>IF($A490="","",COUNTIFS('Таблиця 1'!$B:$B,$A490,'Таблиця 1'!$I:$I,"Mirage",'Таблиця 1'!$L:$L,"Уражено")+COUNTIFS('Таблиця 1'!$B:$B,$A490,'Таблиця 1'!$I:$I,"F-16",'Таблиця 1'!$L:$L,"Уражено")+COUNTIFS('Таблиця 1'!$B:$B,$A490,'Таблиця 1'!$I:$I,"МіГ-29",'Таблиця 1'!$L:$L,"Уражено")+COUNTIFS('Таблиця 1'!$B:$B,$A490,'Таблиця 1'!$I:$I,"Су-25",'Таблиця 1'!$L:$L,"Уражено")+COUNTIFS('Таблиця 1'!$B:$B,$A490,'Таблиця 1'!$I:$I,"Су-27",'Таблиця 1'!$L:$L,"Уражено"))</f>
        <v/>
      </c>
      <c r="S490">
        <f>IF($A490="","",COUNTIFS('Таблиця 1'!$B:$B,$A490,'Таблиця 1'!$I:$I,"Mirage",'Таблиця 1'!$L:$L,"НЕ уражено")+COUNTIFS('Таблиця 1'!$B:$B,$A490,'Таблиця 1'!$I:$I,"F-16",'Таблиця 1'!$L:$L,"НЕ уражено")+COUNTIFS('Таблиця 1'!$B:$B,$A490,'Таблиця 1'!$I:$I,"МіГ-29",'Таблиця 1'!$L:$L,"НЕ уражено")+COUNTIFS('Таблиця 1'!$B:$B,$A490,'Таблиця 1'!$I:$I,"Су-25",'Таблиця 1'!$L:$L,"НЕ уражено")+COUNTIFS('Таблиця 1'!$B:$B,$A490,'Таблиця 1'!$I:$I,"Су-27",'Таблиця 1'!$L:$L,"НЕ уражено"))</f>
        <v/>
      </c>
      <c r="T490">
        <f>IF($A490="","",COUNTIFS('Таблиця 1'!$B:$B,$A490,'Таблиця 1'!$I:$I,"Mirage",'Таблиця 1'!$L:$L,"Дорозвідується")+COUNTIFS('Таблиця 1'!$B:$B,$A490,'Таблиця 1'!$I:$I,"F-16",'Таблиця 1'!$L:$L,"Дорозвідується")+COUNTIFS('Таблиця 1'!$B:$B,$A490,'Таблиця 1'!$I:$I,"МіГ-29",'Таблиця 1'!$L:$L,"Дорозвідується")+COUNTIFS('Таблиця 1'!$B:$B,$A490,'Таблиця 1'!$I:$I,"Су-25",'Таблиця 1'!$L:$L,"Дорозвідується")+COUNTIFS('Таблиця 1'!$B:$B,$A490,'Таблиця 1'!$I:$I,"Су-27",'Таблиця 1'!$L:$L,"Дорозвідується"))</f>
        <v/>
      </c>
    </row>
    <row r="491">
      <c r="A491" s="273">
        <f>IF(A490="","",IF(A490+1&gt;MAX('Таблиця 1'!$B:$B),"",A490+1))</f>
        <v/>
      </c>
      <c r="B491">
        <f>IF($A491="","",COUNTIFS('Таблиця 1'!$B:$B,$A491,'Таблиця 1'!$I:$I,"Mirage")+COUNTIFS('Таблиця 1'!$B:$B,$A491,'Таблиця 1'!$I:$I,"F-16")+COUNTIFS('Таблиця 1'!$B:$B,$A491,'Таблиця 1'!$I:$I,"МіГ-29")+COUNTIFS('Таблиця 1'!$B:$B,$A491,'Таблиця 1'!$I:$I,"Су-25")+COUNTIFS('Таблиця 1'!$B:$B,$A491,'Таблиця 1'!$I:$I,"Су-27"))</f>
        <v/>
      </c>
      <c r="C491">
        <f>IF($A491="","",COUNTIFS('Таблиця 1'!$B:$B,$A491,'Таблиця 1'!$I:$I,"Mirage"))</f>
        <v/>
      </c>
      <c r="D491">
        <f>IF($A491="","",COUNTIFS('Таблиця 1'!$B:$B,$A491,'Таблиця 1'!$I:$I,"F-16"))</f>
        <v/>
      </c>
      <c r="E491">
        <f>IF($A491="","",COUNTIFS('Таблиця 1'!$B:$B,$A491,'Таблиця 1'!$I:$I,"МіГ-29"))</f>
        <v/>
      </c>
      <c r="F491">
        <f>IF($A491="","",COUNTIFS('Таблиця 1'!$B:$B,$A491,'Таблиця 1'!$I:$I,"Су-25"))</f>
        <v/>
      </c>
      <c r="G491">
        <f>IF($A491="","",COUNTIFS('Таблиця 1'!$B:$B,$A491,'Таблиця 1'!$I:$I,"Су-27"))</f>
        <v/>
      </c>
      <c r="H491">
        <f>IF($A491="","",SUMIFS('Таблиця 1'!$K:$K,'Таблиця 1'!$B:$B,$A491,'Таблиця 1'!$I:$I,"Mirage",'Таблиця 1'!$J:$J,"AGM-88")+SUMIFS('Таблиця 1'!$K:$K,'Таблиця 1'!$B:$B,$A491,'Таблиця 1'!$I:$I,"F-16",'Таблиця 1'!$J:$J,"AGM-88")+SUMIFS('Таблиця 1'!$K:$K,'Таблиця 1'!$B:$B,$A491,'Таблиця 1'!$I:$I,"МіГ-29",'Таблиця 1'!$J:$J,"AGM-88")+SUMIFS('Таблиця 1'!$K:$K,'Таблиця 1'!$B:$B,$A491,'Таблиця 1'!$I:$I,"Су-25",'Таблиця 1'!$J:$J,"AGM-88")+SUMIFS('Таблиця 1'!$K:$K,'Таблиця 1'!$B:$B,$A491,'Таблиця 1'!$I:$I,"Су-27",'Таблиця 1'!$J:$J,"AGM-88"))</f>
        <v/>
      </c>
      <c r="I491">
        <f>IF($A491="","",SUMIFS('Таблиця 1'!$K:$K,'Таблиця 1'!$B:$B,$A491,'Таблиця 1'!$I:$I,"Mirage",'Таблиця 1'!$J:$J,"AASM-250")+SUMIFS('Таблиця 1'!$K:$K,'Таблиця 1'!$B:$B,$A491,'Таблиця 1'!$I:$I,"F-16",'Таблиця 1'!$J:$J,"AASM-250")+SUMIFS('Таблиця 1'!$K:$K,'Таблиця 1'!$B:$B,$A491,'Таблиця 1'!$I:$I,"МіГ-29",'Таблиця 1'!$J:$J,"AASM-250")+SUMIFS('Таблиця 1'!$K:$K,'Таблиця 1'!$B:$B,$A491,'Таблиця 1'!$I:$I,"Су-25",'Таблиця 1'!$J:$J,"AASM-250")+SUMIFS('Таблиця 1'!$K:$K,'Таблиця 1'!$B:$B,$A491,'Таблиця 1'!$I:$I,"Су-27",'Таблиця 1'!$J:$J,"AASM-250"))</f>
        <v/>
      </c>
      <c r="J491">
        <f>IF($A491="","",SUMIFS('Таблиця 1'!$K:$K,'Таблиця 1'!$B:$B,$A491,'Таблиця 1'!$I:$I,"Mirage",'Таблиця 1'!$J:$J,"GBU-39")+SUMIFS('Таблиця 1'!$K:$K,'Таблиця 1'!$B:$B,$A491,'Таблиця 1'!$I:$I,"F-16",'Таблиця 1'!$J:$J,"GBU-39")+SUMIFS('Таблиця 1'!$K:$K,'Таблиця 1'!$B:$B,$A491,'Таблиця 1'!$I:$I,"МіГ-29",'Таблиця 1'!$J:$J,"GBU-39")+SUMIFS('Таблиця 1'!$K:$K,'Таблиця 1'!$B:$B,$A491,'Таблиця 1'!$I:$I,"Су-25",'Таблиця 1'!$J:$J,"GBU-39")+SUMIFS('Таблиця 1'!$K:$K,'Таблиця 1'!$B:$B,$A491,'Таблиця 1'!$I:$I,"Су-27",'Таблиця 1'!$J:$J,"GBU-39"))</f>
        <v/>
      </c>
      <c r="K491">
        <f>IF($A491="","",SUMIFS('Таблиця 1'!$K:$K,'Таблиця 1'!$B:$B,$A491,'Таблиця 1'!$I:$I,"Mirage",'Таблиця 1'!$J:$J,"BLU-140")+SUMIFS('Таблиця 1'!$K:$K,'Таблиця 1'!$B:$B,$A491,'Таблиця 1'!$I:$I,"F-16",'Таблиця 1'!$J:$J,"BLU-140")+SUMIFS('Таблиця 1'!$K:$K,'Таблиця 1'!$B:$B,$A491,'Таблиця 1'!$I:$I,"МіГ-29",'Таблиця 1'!$J:$J,"BLU-140")+SUMIFS('Таблиця 1'!$K:$K,'Таблиця 1'!$B:$B,$A491,'Таблиця 1'!$I:$I,"Су-25",'Таблиця 1'!$J:$J,"BLU-140")+SUMIFS('Таблиця 1'!$K:$K,'Таблиця 1'!$B:$B,$A491,'Таблиця 1'!$I:$I,"Су-27",'Таблиця 1'!$J:$J,"BLU-140"))</f>
        <v/>
      </c>
      <c r="L491">
        <f>IF($A491="","",SUMIFS('Таблиця 1'!$K:$K,'Таблиця 1'!$B:$B,$A491,'Таблиця 1'!$I:$I,"Mirage",'Таблиця 1'!$J:$J,"GBU-65")+SUMIFS('Таблиця 1'!$K:$K,'Таблиця 1'!$B:$B,$A491,'Таблиця 1'!$I:$I,"F-16",'Таблиця 1'!$J:$J,"GBU-65")+SUMIFS('Таблиця 1'!$K:$K,'Таблиця 1'!$B:$B,$A491,'Таблиця 1'!$I:$I,"МіГ-29",'Таблиця 1'!$J:$J,"GBU-65")+SUMIFS('Таблиця 1'!$K:$K,'Таблиця 1'!$B:$B,$A491,'Таблиця 1'!$I:$I,"Су-25",'Таблиця 1'!$J:$J,"GBU-65")+SUMIFS('Таблиця 1'!$K:$K,'Таблиця 1'!$B:$B,$A491,'Таблиця 1'!$I:$I,"Су-27",'Таблиця 1'!$J:$J,"GBU-65"))</f>
        <v/>
      </c>
      <c r="M491">
        <f>IF($A491="","",SUMIFS('Таблиця 1'!$K:$K,'Таблиця 1'!$B:$B,$A491,'Таблиця 1'!$I:$I,"Mirage",'Таблиця 1'!$J:$J,"GBU-62")+SUMIFS('Таблиця 1'!$K:$K,'Таблиця 1'!$B:$B,$A491,'Таблиця 1'!$I:$I,"F-16",'Таблиця 1'!$J:$J,"GBU-62")+SUMIFS('Таблиця 1'!$K:$K,'Таблиця 1'!$B:$B,$A491,'Таблиця 1'!$I:$I,"МіГ-29",'Таблиця 1'!$J:$J,"GBU-62")+SUMIFS('Таблиця 1'!$K:$K,'Таблиця 1'!$B:$B,$A491,'Таблиця 1'!$I:$I,"Су-25",'Таблиця 1'!$J:$J,"GBU-62")+SUMIFS('Таблиця 1'!$K:$K,'Таблиця 1'!$B:$B,$A491,'Таблиця 1'!$I:$I,"Су-27",'Таблиця 1'!$J:$J,"GBU-62"))</f>
        <v/>
      </c>
      <c r="N491">
        <f>IF($A491="","",SUMIFS('Таблиця 1'!$K:$K,'Таблиця 1'!$B:$B,$A491,'Таблиця 1'!$I:$I,"Mirage",'Таблиця 1'!$J:$J,"GBU-64")+SUMIFS('Таблиця 1'!$K:$K,'Таблиця 1'!$B:$B,$A491,'Таблиця 1'!$I:$I,"F-16",'Таблиця 1'!$J:$J,"GBU-64")+SUMIFS('Таблиця 1'!$K:$K,'Таблиця 1'!$B:$B,$A491,'Таблиця 1'!$I:$I,"МіГ-29",'Таблиця 1'!$J:$J,"GBU-64")+SUMIFS('Таблиця 1'!$K:$K,'Таблиця 1'!$B:$B,$A491,'Таблиця 1'!$I:$I,"Су-25",'Таблиця 1'!$J:$J,"GBU-64")+SUMIFS('Таблиця 1'!$K:$K,'Таблиця 1'!$B:$B,$A491,'Таблиця 1'!$I:$I,"Су-27",'Таблиця 1'!$J:$J,"GBU-64"))</f>
        <v/>
      </c>
      <c r="O491">
        <f>IF($A491="","",SUMIFS('Таблиця 1'!$K:$K,'Таблиця 1'!$B:$B,$A491,'Таблиця 1'!$I:$I,"Mirage",'Таблиця 1'!$J:$J,"C-13")+SUMIFS('Таблиця 1'!$K:$K,'Таблиця 1'!$B:$B,$A491,'Таблиця 1'!$I:$I,"F-16",'Таблиця 1'!$J:$J,"C-13")+SUMIFS('Таблиця 1'!$K:$K,'Таблиця 1'!$B:$B,$A491,'Таблиця 1'!$I:$I,"МіГ-29",'Таблиця 1'!$J:$J,"C-13")+SUMIFS('Таблиця 1'!$K:$K,'Таблиця 1'!$B:$B,$A491,'Таблиця 1'!$I:$I,"Су-25",'Таблиця 1'!$J:$J,"C-13")+SUMIFS('Таблиця 1'!$K:$K,'Таблиця 1'!$B:$B,$A491,'Таблиця 1'!$I:$I,"Су-27",'Таблиця 1'!$J:$J,"C-13"))</f>
        <v/>
      </c>
      <c r="P491">
        <f>IF($A491="","",SUMIFS('Таблиця 1'!$K:$K,'Таблиця 1'!$B:$B,$A491,'Таблиця 1'!$I:$I,"Mirage",'Таблиця 1'!$J:$J,"MK-32")+SUMIFS('Таблиця 1'!$K:$K,'Таблиця 1'!$B:$B,$A491,'Таблиця 1'!$I:$I,"F-16",'Таблиця 1'!$J:$J,"MK-32")+SUMIFS('Таблиця 1'!$K:$K,'Таблиця 1'!$B:$B,$A491,'Таблиця 1'!$I:$I,"МіГ-29",'Таблиця 1'!$J:$J,"MK-32")+SUMIFS('Таблиця 1'!$K:$K,'Таблиця 1'!$B:$B,$A491,'Таблиця 1'!$I:$I,"Су-25",'Таблиця 1'!$J:$J,"MK-32")+SUMIFS('Таблиця 1'!$K:$K,'Таблиця 1'!$B:$B,$A491,'Таблиця 1'!$I:$I,"Су-27",'Таблиця 1'!$J:$J,"MK-32"))</f>
        <v/>
      </c>
      <c r="Q491">
        <f>IF($A491="","",SUMIFS('Таблиця 1'!$K:$K,'Таблиця 1'!$B:$B,$A491,'Таблиця 1'!$I:$I,"Mirage",'Таблиця 1'!$J:$J,"MK-24")+SUMIFS('Таблиця 1'!$K:$K,'Таблиця 1'!$B:$B,$A491,'Таблиця 1'!$I:$I,"F-16",'Таблиця 1'!$J:$J,"MK-24")+SUMIFS('Таблиця 1'!$K:$K,'Таблиця 1'!$B:$B,$A491,'Таблиця 1'!$I:$I,"МіГ-29",'Таблиця 1'!$J:$J,"MK-24")+SUMIFS('Таблиця 1'!$K:$K,'Таблиця 1'!$B:$B,$A491,'Таблиця 1'!$I:$I,"Су-25",'Таблиця 1'!$J:$J,"MK-24")+SUMIFS('Таблиця 1'!$K:$K,'Таблиця 1'!$B:$B,$A491,'Таблиця 1'!$I:$I,"Су-27",'Таблиця 1'!$J:$J,"MK-24"))</f>
        <v/>
      </c>
      <c r="R491">
        <f>IF($A491="","",COUNTIFS('Таблиця 1'!$B:$B,$A491,'Таблиця 1'!$I:$I,"Mirage",'Таблиця 1'!$L:$L,"Уражено")+COUNTIFS('Таблиця 1'!$B:$B,$A491,'Таблиця 1'!$I:$I,"F-16",'Таблиця 1'!$L:$L,"Уражено")+COUNTIFS('Таблиця 1'!$B:$B,$A491,'Таблиця 1'!$I:$I,"МіГ-29",'Таблиця 1'!$L:$L,"Уражено")+COUNTIFS('Таблиця 1'!$B:$B,$A491,'Таблиця 1'!$I:$I,"Су-25",'Таблиця 1'!$L:$L,"Уражено")+COUNTIFS('Таблиця 1'!$B:$B,$A491,'Таблиця 1'!$I:$I,"Су-27",'Таблиця 1'!$L:$L,"Уражено"))</f>
        <v/>
      </c>
      <c r="S491">
        <f>IF($A491="","",COUNTIFS('Таблиця 1'!$B:$B,$A491,'Таблиця 1'!$I:$I,"Mirage",'Таблиця 1'!$L:$L,"НЕ уражено")+COUNTIFS('Таблиця 1'!$B:$B,$A491,'Таблиця 1'!$I:$I,"F-16",'Таблиця 1'!$L:$L,"НЕ уражено")+COUNTIFS('Таблиця 1'!$B:$B,$A491,'Таблиця 1'!$I:$I,"МіГ-29",'Таблиця 1'!$L:$L,"НЕ уражено")+COUNTIFS('Таблиця 1'!$B:$B,$A491,'Таблиця 1'!$I:$I,"Су-25",'Таблиця 1'!$L:$L,"НЕ уражено")+COUNTIFS('Таблиця 1'!$B:$B,$A491,'Таблиця 1'!$I:$I,"Су-27",'Таблиця 1'!$L:$L,"НЕ уражено"))</f>
        <v/>
      </c>
      <c r="T491">
        <f>IF($A491="","",COUNTIFS('Таблиця 1'!$B:$B,$A491,'Таблиця 1'!$I:$I,"Mirage",'Таблиця 1'!$L:$L,"Дорозвідується")+COUNTIFS('Таблиця 1'!$B:$B,$A491,'Таблиця 1'!$I:$I,"F-16",'Таблиця 1'!$L:$L,"Дорозвідується")+COUNTIFS('Таблиця 1'!$B:$B,$A491,'Таблиця 1'!$I:$I,"МіГ-29",'Таблиця 1'!$L:$L,"Дорозвідується")+COUNTIFS('Таблиця 1'!$B:$B,$A491,'Таблиця 1'!$I:$I,"Су-25",'Таблиця 1'!$L:$L,"Дорозвідується")+COUNTIFS('Таблиця 1'!$B:$B,$A491,'Таблиця 1'!$I:$I,"Су-27",'Таблиця 1'!$L:$L,"Дорозвідується"))</f>
        <v/>
      </c>
    </row>
    <row r="492">
      <c r="A492" s="273">
        <f>IF(A491="","",IF(A491+1&gt;MAX('Таблиця 1'!$B:$B),"",A491+1))</f>
        <v/>
      </c>
      <c r="B492">
        <f>IF($A492="","",COUNTIFS('Таблиця 1'!$B:$B,$A492,'Таблиця 1'!$I:$I,"Mirage")+COUNTIFS('Таблиця 1'!$B:$B,$A492,'Таблиця 1'!$I:$I,"F-16")+COUNTIFS('Таблиця 1'!$B:$B,$A492,'Таблиця 1'!$I:$I,"МіГ-29")+COUNTIFS('Таблиця 1'!$B:$B,$A492,'Таблиця 1'!$I:$I,"Су-25")+COUNTIFS('Таблиця 1'!$B:$B,$A492,'Таблиця 1'!$I:$I,"Су-27"))</f>
        <v/>
      </c>
      <c r="C492">
        <f>IF($A492="","",COUNTIFS('Таблиця 1'!$B:$B,$A492,'Таблиця 1'!$I:$I,"Mirage"))</f>
        <v/>
      </c>
      <c r="D492">
        <f>IF($A492="","",COUNTIFS('Таблиця 1'!$B:$B,$A492,'Таблиця 1'!$I:$I,"F-16"))</f>
        <v/>
      </c>
      <c r="E492">
        <f>IF($A492="","",COUNTIFS('Таблиця 1'!$B:$B,$A492,'Таблиця 1'!$I:$I,"МіГ-29"))</f>
        <v/>
      </c>
      <c r="F492">
        <f>IF($A492="","",COUNTIFS('Таблиця 1'!$B:$B,$A492,'Таблиця 1'!$I:$I,"Су-25"))</f>
        <v/>
      </c>
      <c r="G492">
        <f>IF($A492="","",COUNTIFS('Таблиця 1'!$B:$B,$A492,'Таблиця 1'!$I:$I,"Су-27"))</f>
        <v/>
      </c>
      <c r="H492">
        <f>IF($A492="","",SUMIFS('Таблиця 1'!$K:$K,'Таблиця 1'!$B:$B,$A492,'Таблиця 1'!$I:$I,"Mirage",'Таблиця 1'!$J:$J,"AGM-88")+SUMIFS('Таблиця 1'!$K:$K,'Таблиця 1'!$B:$B,$A492,'Таблиця 1'!$I:$I,"F-16",'Таблиця 1'!$J:$J,"AGM-88")+SUMIFS('Таблиця 1'!$K:$K,'Таблиця 1'!$B:$B,$A492,'Таблиця 1'!$I:$I,"МіГ-29",'Таблиця 1'!$J:$J,"AGM-88")+SUMIFS('Таблиця 1'!$K:$K,'Таблиця 1'!$B:$B,$A492,'Таблиця 1'!$I:$I,"Су-25",'Таблиця 1'!$J:$J,"AGM-88")+SUMIFS('Таблиця 1'!$K:$K,'Таблиця 1'!$B:$B,$A492,'Таблиця 1'!$I:$I,"Су-27",'Таблиця 1'!$J:$J,"AGM-88"))</f>
        <v/>
      </c>
      <c r="I492">
        <f>IF($A492="","",SUMIFS('Таблиця 1'!$K:$K,'Таблиця 1'!$B:$B,$A492,'Таблиця 1'!$I:$I,"Mirage",'Таблиця 1'!$J:$J,"AASM-250")+SUMIFS('Таблиця 1'!$K:$K,'Таблиця 1'!$B:$B,$A492,'Таблиця 1'!$I:$I,"F-16",'Таблиця 1'!$J:$J,"AASM-250")+SUMIFS('Таблиця 1'!$K:$K,'Таблиця 1'!$B:$B,$A492,'Таблиця 1'!$I:$I,"МіГ-29",'Таблиця 1'!$J:$J,"AASM-250")+SUMIFS('Таблиця 1'!$K:$K,'Таблиця 1'!$B:$B,$A492,'Таблиця 1'!$I:$I,"Су-25",'Таблиця 1'!$J:$J,"AASM-250")+SUMIFS('Таблиця 1'!$K:$K,'Таблиця 1'!$B:$B,$A492,'Таблиця 1'!$I:$I,"Су-27",'Таблиця 1'!$J:$J,"AASM-250"))</f>
        <v/>
      </c>
      <c r="J492">
        <f>IF($A492="","",SUMIFS('Таблиця 1'!$K:$K,'Таблиця 1'!$B:$B,$A492,'Таблиця 1'!$I:$I,"Mirage",'Таблиця 1'!$J:$J,"GBU-39")+SUMIFS('Таблиця 1'!$K:$K,'Таблиця 1'!$B:$B,$A492,'Таблиця 1'!$I:$I,"F-16",'Таблиця 1'!$J:$J,"GBU-39")+SUMIFS('Таблиця 1'!$K:$K,'Таблиця 1'!$B:$B,$A492,'Таблиця 1'!$I:$I,"МіГ-29",'Таблиця 1'!$J:$J,"GBU-39")+SUMIFS('Таблиця 1'!$K:$K,'Таблиця 1'!$B:$B,$A492,'Таблиця 1'!$I:$I,"Су-25",'Таблиця 1'!$J:$J,"GBU-39")+SUMIFS('Таблиця 1'!$K:$K,'Таблиця 1'!$B:$B,$A492,'Таблиця 1'!$I:$I,"Су-27",'Таблиця 1'!$J:$J,"GBU-39"))</f>
        <v/>
      </c>
      <c r="K492">
        <f>IF($A492="","",SUMIFS('Таблиця 1'!$K:$K,'Таблиця 1'!$B:$B,$A492,'Таблиця 1'!$I:$I,"Mirage",'Таблиця 1'!$J:$J,"BLU-140")+SUMIFS('Таблиця 1'!$K:$K,'Таблиця 1'!$B:$B,$A492,'Таблиця 1'!$I:$I,"F-16",'Таблиця 1'!$J:$J,"BLU-140")+SUMIFS('Таблиця 1'!$K:$K,'Таблиця 1'!$B:$B,$A492,'Таблиця 1'!$I:$I,"МіГ-29",'Таблиця 1'!$J:$J,"BLU-140")+SUMIFS('Таблиця 1'!$K:$K,'Таблиця 1'!$B:$B,$A492,'Таблиця 1'!$I:$I,"Су-25",'Таблиця 1'!$J:$J,"BLU-140")+SUMIFS('Таблиця 1'!$K:$K,'Таблиця 1'!$B:$B,$A492,'Таблиця 1'!$I:$I,"Су-27",'Таблиця 1'!$J:$J,"BLU-140"))</f>
        <v/>
      </c>
      <c r="L492">
        <f>IF($A492="","",SUMIFS('Таблиця 1'!$K:$K,'Таблиця 1'!$B:$B,$A492,'Таблиця 1'!$I:$I,"Mirage",'Таблиця 1'!$J:$J,"GBU-65")+SUMIFS('Таблиця 1'!$K:$K,'Таблиця 1'!$B:$B,$A492,'Таблиця 1'!$I:$I,"F-16",'Таблиця 1'!$J:$J,"GBU-65")+SUMIFS('Таблиця 1'!$K:$K,'Таблиця 1'!$B:$B,$A492,'Таблиця 1'!$I:$I,"МіГ-29",'Таблиця 1'!$J:$J,"GBU-65")+SUMIFS('Таблиця 1'!$K:$K,'Таблиця 1'!$B:$B,$A492,'Таблиця 1'!$I:$I,"Су-25",'Таблиця 1'!$J:$J,"GBU-65")+SUMIFS('Таблиця 1'!$K:$K,'Таблиця 1'!$B:$B,$A492,'Таблиця 1'!$I:$I,"Су-27",'Таблиця 1'!$J:$J,"GBU-65"))</f>
        <v/>
      </c>
      <c r="M492">
        <f>IF($A492="","",SUMIFS('Таблиця 1'!$K:$K,'Таблиця 1'!$B:$B,$A492,'Таблиця 1'!$I:$I,"Mirage",'Таблиця 1'!$J:$J,"GBU-62")+SUMIFS('Таблиця 1'!$K:$K,'Таблиця 1'!$B:$B,$A492,'Таблиця 1'!$I:$I,"F-16",'Таблиця 1'!$J:$J,"GBU-62")+SUMIFS('Таблиця 1'!$K:$K,'Таблиця 1'!$B:$B,$A492,'Таблиця 1'!$I:$I,"МіГ-29",'Таблиця 1'!$J:$J,"GBU-62")+SUMIFS('Таблиця 1'!$K:$K,'Таблиця 1'!$B:$B,$A492,'Таблиця 1'!$I:$I,"Су-25",'Таблиця 1'!$J:$J,"GBU-62")+SUMIFS('Таблиця 1'!$K:$K,'Таблиця 1'!$B:$B,$A492,'Таблиця 1'!$I:$I,"Су-27",'Таблиця 1'!$J:$J,"GBU-62"))</f>
        <v/>
      </c>
      <c r="N492">
        <f>IF($A492="","",SUMIFS('Таблиця 1'!$K:$K,'Таблиця 1'!$B:$B,$A492,'Таблиця 1'!$I:$I,"Mirage",'Таблиця 1'!$J:$J,"GBU-64")+SUMIFS('Таблиця 1'!$K:$K,'Таблиця 1'!$B:$B,$A492,'Таблиця 1'!$I:$I,"F-16",'Таблиця 1'!$J:$J,"GBU-64")+SUMIFS('Таблиця 1'!$K:$K,'Таблиця 1'!$B:$B,$A492,'Таблиця 1'!$I:$I,"МіГ-29",'Таблиця 1'!$J:$J,"GBU-64")+SUMIFS('Таблиця 1'!$K:$K,'Таблиця 1'!$B:$B,$A492,'Таблиця 1'!$I:$I,"Су-25",'Таблиця 1'!$J:$J,"GBU-64")+SUMIFS('Таблиця 1'!$K:$K,'Таблиця 1'!$B:$B,$A492,'Таблиця 1'!$I:$I,"Су-27",'Таблиця 1'!$J:$J,"GBU-64"))</f>
        <v/>
      </c>
      <c r="O492">
        <f>IF($A492="","",SUMIFS('Таблиця 1'!$K:$K,'Таблиця 1'!$B:$B,$A492,'Таблиця 1'!$I:$I,"Mirage",'Таблиця 1'!$J:$J,"C-13")+SUMIFS('Таблиця 1'!$K:$K,'Таблиця 1'!$B:$B,$A492,'Таблиця 1'!$I:$I,"F-16",'Таблиця 1'!$J:$J,"C-13")+SUMIFS('Таблиця 1'!$K:$K,'Таблиця 1'!$B:$B,$A492,'Таблиця 1'!$I:$I,"МіГ-29",'Таблиця 1'!$J:$J,"C-13")+SUMIFS('Таблиця 1'!$K:$K,'Таблиця 1'!$B:$B,$A492,'Таблиця 1'!$I:$I,"Су-25",'Таблиця 1'!$J:$J,"C-13")+SUMIFS('Таблиця 1'!$K:$K,'Таблиця 1'!$B:$B,$A492,'Таблиця 1'!$I:$I,"Су-27",'Таблиця 1'!$J:$J,"C-13"))</f>
        <v/>
      </c>
      <c r="P492">
        <f>IF($A492="","",SUMIFS('Таблиця 1'!$K:$K,'Таблиця 1'!$B:$B,$A492,'Таблиця 1'!$I:$I,"Mirage",'Таблиця 1'!$J:$J,"MK-32")+SUMIFS('Таблиця 1'!$K:$K,'Таблиця 1'!$B:$B,$A492,'Таблиця 1'!$I:$I,"F-16",'Таблиця 1'!$J:$J,"MK-32")+SUMIFS('Таблиця 1'!$K:$K,'Таблиця 1'!$B:$B,$A492,'Таблиця 1'!$I:$I,"МіГ-29",'Таблиця 1'!$J:$J,"MK-32")+SUMIFS('Таблиця 1'!$K:$K,'Таблиця 1'!$B:$B,$A492,'Таблиця 1'!$I:$I,"Су-25",'Таблиця 1'!$J:$J,"MK-32")+SUMIFS('Таблиця 1'!$K:$K,'Таблиця 1'!$B:$B,$A492,'Таблиця 1'!$I:$I,"Су-27",'Таблиця 1'!$J:$J,"MK-32"))</f>
        <v/>
      </c>
      <c r="Q492">
        <f>IF($A492="","",SUMIFS('Таблиця 1'!$K:$K,'Таблиця 1'!$B:$B,$A492,'Таблиця 1'!$I:$I,"Mirage",'Таблиця 1'!$J:$J,"MK-24")+SUMIFS('Таблиця 1'!$K:$K,'Таблиця 1'!$B:$B,$A492,'Таблиця 1'!$I:$I,"F-16",'Таблиця 1'!$J:$J,"MK-24")+SUMIFS('Таблиця 1'!$K:$K,'Таблиця 1'!$B:$B,$A492,'Таблиця 1'!$I:$I,"МіГ-29",'Таблиця 1'!$J:$J,"MK-24")+SUMIFS('Таблиця 1'!$K:$K,'Таблиця 1'!$B:$B,$A492,'Таблиця 1'!$I:$I,"Су-25",'Таблиця 1'!$J:$J,"MK-24")+SUMIFS('Таблиця 1'!$K:$K,'Таблиця 1'!$B:$B,$A492,'Таблиця 1'!$I:$I,"Су-27",'Таблиця 1'!$J:$J,"MK-24"))</f>
        <v/>
      </c>
      <c r="R492">
        <f>IF($A492="","",COUNTIFS('Таблиця 1'!$B:$B,$A492,'Таблиця 1'!$I:$I,"Mirage",'Таблиця 1'!$L:$L,"Уражено")+COUNTIFS('Таблиця 1'!$B:$B,$A492,'Таблиця 1'!$I:$I,"F-16",'Таблиця 1'!$L:$L,"Уражено")+COUNTIFS('Таблиця 1'!$B:$B,$A492,'Таблиця 1'!$I:$I,"МіГ-29",'Таблиця 1'!$L:$L,"Уражено")+COUNTIFS('Таблиця 1'!$B:$B,$A492,'Таблиця 1'!$I:$I,"Су-25",'Таблиця 1'!$L:$L,"Уражено")+COUNTIFS('Таблиця 1'!$B:$B,$A492,'Таблиця 1'!$I:$I,"Су-27",'Таблиця 1'!$L:$L,"Уражено"))</f>
        <v/>
      </c>
      <c r="S492">
        <f>IF($A492="","",COUNTIFS('Таблиця 1'!$B:$B,$A492,'Таблиця 1'!$I:$I,"Mirage",'Таблиця 1'!$L:$L,"НЕ уражено")+COUNTIFS('Таблиця 1'!$B:$B,$A492,'Таблиця 1'!$I:$I,"F-16",'Таблиця 1'!$L:$L,"НЕ уражено")+COUNTIFS('Таблиця 1'!$B:$B,$A492,'Таблиця 1'!$I:$I,"МіГ-29",'Таблиця 1'!$L:$L,"НЕ уражено")+COUNTIFS('Таблиця 1'!$B:$B,$A492,'Таблиця 1'!$I:$I,"Су-25",'Таблиця 1'!$L:$L,"НЕ уражено")+COUNTIFS('Таблиця 1'!$B:$B,$A492,'Таблиця 1'!$I:$I,"Су-27",'Таблиця 1'!$L:$L,"НЕ уражено"))</f>
        <v/>
      </c>
      <c r="T492">
        <f>IF($A492="","",COUNTIFS('Таблиця 1'!$B:$B,$A492,'Таблиця 1'!$I:$I,"Mirage",'Таблиця 1'!$L:$L,"Дорозвідується")+COUNTIFS('Таблиця 1'!$B:$B,$A492,'Таблиця 1'!$I:$I,"F-16",'Таблиця 1'!$L:$L,"Дорозвідується")+COUNTIFS('Таблиця 1'!$B:$B,$A492,'Таблиця 1'!$I:$I,"МіГ-29",'Таблиця 1'!$L:$L,"Дорозвідується")+COUNTIFS('Таблиця 1'!$B:$B,$A492,'Таблиця 1'!$I:$I,"Су-25",'Таблиця 1'!$L:$L,"Дорозвідується")+COUNTIFS('Таблиця 1'!$B:$B,$A492,'Таблиця 1'!$I:$I,"Су-27",'Таблиця 1'!$L:$L,"Дорозвідується"))</f>
        <v/>
      </c>
    </row>
    <row r="493">
      <c r="A493" s="273">
        <f>IF(A492="","",IF(A492+1&gt;MAX('Таблиця 1'!$B:$B),"",A492+1))</f>
        <v/>
      </c>
      <c r="B493">
        <f>IF($A493="","",COUNTIFS('Таблиця 1'!$B:$B,$A493,'Таблиця 1'!$I:$I,"Mirage")+COUNTIFS('Таблиця 1'!$B:$B,$A493,'Таблиця 1'!$I:$I,"F-16")+COUNTIFS('Таблиця 1'!$B:$B,$A493,'Таблиця 1'!$I:$I,"МіГ-29")+COUNTIFS('Таблиця 1'!$B:$B,$A493,'Таблиця 1'!$I:$I,"Су-25")+COUNTIFS('Таблиця 1'!$B:$B,$A493,'Таблиця 1'!$I:$I,"Су-27"))</f>
        <v/>
      </c>
      <c r="C493">
        <f>IF($A493="","",COUNTIFS('Таблиця 1'!$B:$B,$A493,'Таблиця 1'!$I:$I,"Mirage"))</f>
        <v/>
      </c>
      <c r="D493">
        <f>IF($A493="","",COUNTIFS('Таблиця 1'!$B:$B,$A493,'Таблиця 1'!$I:$I,"F-16"))</f>
        <v/>
      </c>
      <c r="E493">
        <f>IF($A493="","",COUNTIFS('Таблиця 1'!$B:$B,$A493,'Таблиця 1'!$I:$I,"МіГ-29"))</f>
        <v/>
      </c>
      <c r="F493">
        <f>IF($A493="","",COUNTIFS('Таблиця 1'!$B:$B,$A493,'Таблиця 1'!$I:$I,"Су-25"))</f>
        <v/>
      </c>
      <c r="G493">
        <f>IF($A493="","",COUNTIFS('Таблиця 1'!$B:$B,$A493,'Таблиця 1'!$I:$I,"Су-27"))</f>
        <v/>
      </c>
      <c r="H493">
        <f>IF($A493="","",SUMIFS('Таблиця 1'!$K:$K,'Таблиця 1'!$B:$B,$A493,'Таблиця 1'!$I:$I,"Mirage",'Таблиця 1'!$J:$J,"AGM-88")+SUMIFS('Таблиця 1'!$K:$K,'Таблиця 1'!$B:$B,$A493,'Таблиця 1'!$I:$I,"F-16",'Таблиця 1'!$J:$J,"AGM-88")+SUMIFS('Таблиця 1'!$K:$K,'Таблиця 1'!$B:$B,$A493,'Таблиця 1'!$I:$I,"МіГ-29",'Таблиця 1'!$J:$J,"AGM-88")+SUMIFS('Таблиця 1'!$K:$K,'Таблиця 1'!$B:$B,$A493,'Таблиця 1'!$I:$I,"Су-25",'Таблиця 1'!$J:$J,"AGM-88")+SUMIFS('Таблиця 1'!$K:$K,'Таблиця 1'!$B:$B,$A493,'Таблиця 1'!$I:$I,"Су-27",'Таблиця 1'!$J:$J,"AGM-88"))</f>
        <v/>
      </c>
      <c r="I493">
        <f>IF($A493="","",SUMIFS('Таблиця 1'!$K:$K,'Таблиця 1'!$B:$B,$A493,'Таблиця 1'!$I:$I,"Mirage",'Таблиця 1'!$J:$J,"AASM-250")+SUMIFS('Таблиця 1'!$K:$K,'Таблиця 1'!$B:$B,$A493,'Таблиця 1'!$I:$I,"F-16",'Таблиця 1'!$J:$J,"AASM-250")+SUMIFS('Таблиця 1'!$K:$K,'Таблиця 1'!$B:$B,$A493,'Таблиця 1'!$I:$I,"МіГ-29",'Таблиця 1'!$J:$J,"AASM-250")+SUMIFS('Таблиця 1'!$K:$K,'Таблиця 1'!$B:$B,$A493,'Таблиця 1'!$I:$I,"Су-25",'Таблиця 1'!$J:$J,"AASM-250")+SUMIFS('Таблиця 1'!$K:$K,'Таблиця 1'!$B:$B,$A493,'Таблиця 1'!$I:$I,"Су-27",'Таблиця 1'!$J:$J,"AASM-250"))</f>
        <v/>
      </c>
      <c r="J493">
        <f>IF($A493="","",SUMIFS('Таблиця 1'!$K:$K,'Таблиця 1'!$B:$B,$A493,'Таблиця 1'!$I:$I,"Mirage",'Таблиця 1'!$J:$J,"GBU-39")+SUMIFS('Таблиця 1'!$K:$K,'Таблиця 1'!$B:$B,$A493,'Таблиця 1'!$I:$I,"F-16",'Таблиця 1'!$J:$J,"GBU-39")+SUMIFS('Таблиця 1'!$K:$K,'Таблиця 1'!$B:$B,$A493,'Таблиця 1'!$I:$I,"МіГ-29",'Таблиця 1'!$J:$J,"GBU-39")+SUMIFS('Таблиця 1'!$K:$K,'Таблиця 1'!$B:$B,$A493,'Таблиця 1'!$I:$I,"Су-25",'Таблиця 1'!$J:$J,"GBU-39")+SUMIFS('Таблиця 1'!$K:$K,'Таблиця 1'!$B:$B,$A493,'Таблиця 1'!$I:$I,"Су-27",'Таблиця 1'!$J:$J,"GBU-39"))</f>
        <v/>
      </c>
      <c r="K493">
        <f>IF($A493="","",SUMIFS('Таблиця 1'!$K:$K,'Таблиця 1'!$B:$B,$A493,'Таблиця 1'!$I:$I,"Mirage",'Таблиця 1'!$J:$J,"BLU-140")+SUMIFS('Таблиця 1'!$K:$K,'Таблиця 1'!$B:$B,$A493,'Таблиця 1'!$I:$I,"F-16",'Таблиця 1'!$J:$J,"BLU-140")+SUMIFS('Таблиця 1'!$K:$K,'Таблиця 1'!$B:$B,$A493,'Таблиця 1'!$I:$I,"МіГ-29",'Таблиця 1'!$J:$J,"BLU-140")+SUMIFS('Таблиця 1'!$K:$K,'Таблиця 1'!$B:$B,$A493,'Таблиця 1'!$I:$I,"Су-25",'Таблиця 1'!$J:$J,"BLU-140")+SUMIFS('Таблиця 1'!$K:$K,'Таблиця 1'!$B:$B,$A493,'Таблиця 1'!$I:$I,"Су-27",'Таблиця 1'!$J:$J,"BLU-140"))</f>
        <v/>
      </c>
      <c r="L493">
        <f>IF($A493="","",SUMIFS('Таблиця 1'!$K:$K,'Таблиця 1'!$B:$B,$A493,'Таблиця 1'!$I:$I,"Mirage",'Таблиця 1'!$J:$J,"GBU-65")+SUMIFS('Таблиця 1'!$K:$K,'Таблиця 1'!$B:$B,$A493,'Таблиця 1'!$I:$I,"F-16",'Таблиця 1'!$J:$J,"GBU-65")+SUMIFS('Таблиця 1'!$K:$K,'Таблиця 1'!$B:$B,$A493,'Таблиця 1'!$I:$I,"МіГ-29",'Таблиця 1'!$J:$J,"GBU-65")+SUMIFS('Таблиця 1'!$K:$K,'Таблиця 1'!$B:$B,$A493,'Таблиця 1'!$I:$I,"Су-25",'Таблиця 1'!$J:$J,"GBU-65")+SUMIFS('Таблиця 1'!$K:$K,'Таблиця 1'!$B:$B,$A493,'Таблиця 1'!$I:$I,"Су-27",'Таблиця 1'!$J:$J,"GBU-65"))</f>
        <v/>
      </c>
      <c r="M493">
        <f>IF($A493="","",SUMIFS('Таблиця 1'!$K:$K,'Таблиця 1'!$B:$B,$A493,'Таблиця 1'!$I:$I,"Mirage",'Таблиця 1'!$J:$J,"GBU-62")+SUMIFS('Таблиця 1'!$K:$K,'Таблиця 1'!$B:$B,$A493,'Таблиця 1'!$I:$I,"F-16",'Таблиця 1'!$J:$J,"GBU-62")+SUMIFS('Таблиця 1'!$K:$K,'Таблиця 1'!$B:$B,$A493,'Таблиця 1'!$I:$I,"МіГ-29",'Таблиця 1'!$J:$J,"GBU-62")+SUMIFS('Таблиця 1'!$K:$K,'Таблиця 1'!$B:$B,$A493,'Таблиця 1'!$I:$I,"Су-25",'Таблиця 1'!$J:$J,"GBU-62")+SUMIFS('Таблиця 1'!$K:$K,'Таблиця 1'!$B:$B,$A493,'Таблиця 1'!$I:$I,"Су-27",'Таблиця 1'!$J:$J,"GBU-62"))</f>
        <v/>
      </c>
      <c r="N493">
        <f>IF($A493="","",SUMIFS('Таблиця 1'!$K:$K,'Таблиця 1'!$B:$B,$A493,'Таблиця 1'!$I:$I,"Mirage",'Таблиця 1'!$J:$J,"GBU-64")+SUMIFS('Таблиця 1'!$K:$K,'Таблиця 1'!$B:$B,$A493,'Таблиця 1'!$I:$I,"F-16",'Таблиця 1'!$J:$J,"GBU-64")+SUMIFS('Таблиця 1'!$K:$K,'Таблиця 1'!$B:$B,$A493,'Таблиця 1'!$I:$I,"МіГ-29",'Таблиця 1'!$J:$J,"GBU-64")+SUMIFS('Таблиця 1'!$K:$K,'Таблиця 1'!$B:$B,$A493,'Таблиця 1'!$I:$I,"Су-25",'Таблиця 1'!$J:$J,"GBU-64")+SUMIFS('Таблиця 1'!$K:$K,'Таблиця 1'!$B:$B,$A493,'Таблиця 1'!$I:$I,"Су-27",'Таблиця 1'!$J:$J,"GBU-64"))</f>
        <v/>
      </c>
      <c r="O493">
        <f>IF($A493="","",SUMIFS('Таблиця 1'!$K:$K,'Таблиця 1'!$B:$B,$A493,'Таблиця 1'!$I:$I,"Mirage",'Таблиця 1'!$J:$J,"C-13")+SUMIFS('Таблиця 1'!$K:$K,'Таблиця 1'!$B:$B,$A493,'Таблиця 1'!$I:$I,"F-16",'Таблиця 1'!$J:$J,"C-13")+SUMIFS('Таблиця 1'!$K:$K,'Таблиця 1'!$B:$B,$A493,'Таблиця 1'!$I:$I,"МіГ-29",'Таблиця 1'!$J:$J,"C-13")+SUMIFS('Таблиця 1'!$K:$K,'Таблиця 1'!$B:$B,$A493,'Таблиця 1'!$I:$I,"Су-25",'Таблиця 1'!$J:$J,"C-13")+SUMIFS('Таблиця 1'!$K:$K,'Таблиця 1'!$B:$B,$A493,'Таблиця 1'!$I:$I,"Су-27",'Таблиця 1'!$J:$J,"C-13"))</f>
        <v/>
      </c>
      <c r="P493">
        <f>IF($A493="","",SUMIFS('Таблиця 1'!$K:$K,'Таблиця 1'!$B:$B,$A493,'Таблиця 1'!$I:$I,"Mirage",'Таблиця 1'!$J:$J,"MK-32")+SUMIFS('Таблиця 1'!$K:$K,'Таблиця 1'!$B:$B,$A493,'Таблиця 1'!$I:$I,"F-16",'Таблиця 1'!$J:$J,"MK-32")+SUMIFS('Таблиця 1'!$K:$K,'Таблиця 1'!$B:$B,$A493,'Таблиця 1'!$I:$I,"МіГ-29",'Таблиця 1'!$J:$J,"MK-32")+SUMIFS('Таблиця 1'!$K:$K,'Таблиця 1'!$B:$B,$A493,'Таблиця 1'!$I:$I,"Су-25",'Таблиця 1'!$J:$J,"MK-32")+SUMIFS('Таблиця 1'!$K:$K,'Таблиця 1'!$B:$B,$A493,'Таблиця 1'!$I:$I,"Су-27",'Таблиця 1'!$J:$J,"MK-32"))</f>
        <v/>
      </c>
      <c r="Q493">
        <f>IF($A493="","",SUMIFS('Таблиця 1'!$K:$K,'Таблиця 1'!$B:$B,$A493,'Таблиця 1'!$I:$I,"Mirage",'Таблиця 1'!$J:$J,"MK-24")+SUMIFS('Таблиця 1'!$K:$K,'Таблиця 1'!$B:$B,$A493,'Таблиця 1'!$I:$I,"F-16",'Таблиця 1'!$J:$J,"MK-24")+SUMIFS('Таблиця 1'!$K:$K,'Таблиця 1'!$B:$B,$A493,'Таблиця 1'!$I:$I,"МіГ-29",'Таблиця 1'!$J:$J,"MK-24")+SUMIFS('Таблиця 1'!$K:$K,'Таблиця 1'!$B:$B,$A493,'Таблиця 1'!$I:$I,"Су-25",'Таблиця 1'!$J:$J,"MK-24")+SUMIFS('Таблиця 1'!$K:$K,'Таблиця 1'!$B:$B,$A493,'Таблиця 1'!$I:$I,"Су-27",'Таблиця 1'!$J:$J,"MK-24"))</f>
        <v/>
      </c>
      <c r="R493">
        <f>IF($A493="","",COUNTIFS('Таблиця 1'!$B:$B,$A493,'Таблиця 1'!$I:$I,"Mirage",'Таблиця 1'!$L:$L,"Уражено")+COUNTIFS('Таблиця 1'!$B:$B,$A493,'Таблиця 1'!$I:$I,"F-16",'Таблиця 1'!$L:$L,"Уражено")+COUNTIFS('Таблиця 1'!$B:$B,$A493,'Таблиця 1'!$I:$I,"МіГ-29",'Таблиця 1'!$L:$L,"Уражено")+COUNTIFS('Таблиця 1'!$B:$B,$A493,'Таблиця 1'!$I:$I,"Су-25",'Таблиця 1'!$L:$L,"Уражено")+COUNTIFS('Таблиця 1'!$B:$B,$A493,'Таблиця 1'!$I:$I,"Су-27",'Таблиця 1'!$L:$L,"Уражено"))</f>
        <v/>
      </c>
      <c r="S493">
        <f>IF($A493="","",COUNTIFS('Таблиця 1'!$B:$B,$A493,'Таблиця 1'!$I:$I,"Mirage",'Таблиця 1'!$L:$L,"НЕ уражено")+COUNTIFS('Таблиця 1'!$B:$B,$A493,'Таблиця 1'!$I:$I,"F-16",'Таблиця 1'!$L:$L,"НЕ уражено")+COUNTIFS('Таблиця 1'!$B:$B,$A493,'Таблиця 1'!$I:$I,"МіГ-29",'Таблиця 1'!$L:$L,"НЕ уражено")+COUNTIFS('Таблиця 1'!$B:$B,$A493,'Таблиця 1'!$I:$I,"Су-25",'Таблиця 1'!$L:$L,"НЕ уражено")+COUNTIFS('Таблиця 1'!$B:$B,$A493,'Таблиця 1'!$I:$I,"Су-27",'Таблиця 1'!$L:$L,"НЕ уражено"))</f>
        <v/>
      </c>
      <c r="T493">
        <f>IF($A493="","",COUNTIFS('Таблиця 1'!$B:$B,$A493,'Таблиця 1'!$I:$I,"Mirage",'Таблиця 1'!$L:$L,"Дорозвідується")+COUNTIFS('Таблиця 1'!$B:$B,$A493,'Таблиця 1'!$I:$I,"F-16",'Таблиця 1'!$L:$L,"Дорозвідується")+COUNTIFS('Таблиця 1'!$B:$B,$A493,'Таблиця 1'!$I:$I,"МіГ-29",'Таблиця 1'!$L:$L,"Дорозвідується")+COUNTIFS('Таблиця 1'!$B:$B,$A493,'Таблиця 1'!$I:$I,"Су-25",'Таблиця 1'!$L:$L,"Дорозвідується")+COUNTIFS('Таблиця 1'!$B:$B,$A493,'Таблиця 1'!$I:$I,"Су-27",'Таблиця 1'!$L:$L,"Дорозвідується"))</f>
        <v/>
      </c>
    </row>
    <row r="494">
      <c r="A494" s="273">
        <f>IF(A493="","",IF(A493+1&gt;MAX('Таблиця 1'!$B:$B),"",A493+1))</f>
        <v/>
      </c>
      <c r="B494">
        <f>IF($A494="","",COUNTIFS('Таблиця 1'!$B:$B,$A494,'Таблиця 1'!$I:$I,"Mirage")+COUNTIFS('Таблиця 1'!$B:$B,$A494,'Таблиця 1'!$I:$I,"F-16")+COUNTIFS('Таблиця 1'!$B:$B,$A494,'Таблиця 1'!$I:$I,"МіГ-29")+COUNTIFS('Таблиця 1'!$B:$B,$A494,'Таблиця 1'!$I:$I,"Су-25")+COUNTIFS('Таблиця 1'!$B:$B,$A494,'Таблиця 1'!$I:$I,"Су-27"))</f>
        <v/>
      </c>
      <c r="C494">
        <f>IF($A494="","",COUNTIFS('Таблиця 1'!$B:$B,$A494,'Таблиця 1'!$I:$I,"Mirage"))</f>
        <v/>
      </c>
      <c r="D494">
        <f>IF($A494="","",COUNTIFS('Таблиця 1'!$B:$B,$A494,'Таблиця 1'!$I:$I,"F-16"))</f>
        <v/>
      </c>
      <c r="E494">
        <f>IF($A494="","",COUNTIFS('Таблиця 1'!$B:$B,$A494,'Таблиця 1'!$I:$I,"МіГ-29"))</f>
        <v/>
      </c>
      <c r="F494">
        <f>IF($A494="","",COUNTIFS('Таблиця 1'!$B:$B,$A494,'Таблиця 1'!$I:$I,"Су-25"))</f>
        <v/>
      </c>
      <c r="G494">
        <f>IF($A494="","",COUNTIFS('Таблиця 1'!$B:$B,$A494,'Таблиця 1'!$I:$I,"Су-27"))</f>
        <v/>
      </c>
      <c r="H494">
        <f>IF($A494="","",SUMIFS('Таблиця 1'!$K:$K,'Таблиця 1'!$B:$B,$A494,'Таблиця 1'!$I:$I,"Mirage",'Таблиця 1'!$J:$J,"AGM-88")+SUMIFS('Таблиця 1'!$K:$K,'Таблиця 1'!$B:$B,$A494,'Таблиця 1'!$I:$I,"F-16",'Таблиця 1'!$J:$J,"AGM-88")+SUMIFS('Таблиця 1'!$K:$K,'Таблиця 1'!$B:$B,$A494,'Таблиця 1'!$I:$I,"МіГ-29",'Таблиця 1'!$J:$J,"AGM-88")+SUMIFS('Таблиця 1'!$K:$K,'Таблиця 1'!$B:$B,$A494,'Таблиця 1'!$I:$I,"Су-25",'Таблиця 1'!$J:$J,"AGM-88")+SUMIFS('Таблиця 1'!$K:$K,'Таблиця 1'!$B:$B,$A494,'Таблиця 1'!$I:$I,"Су-27",'Таблиця 1'!$J:$J,"AGM-88"))</f>
        <v/>
      </c>
      <c r="I494">
        <f>IF($A494="","",SUMIFS('Таблиця 1'!$K:$K,'Таблиця 1'!$B:$B,$A494,'Таблиця 1'!$I:$I,"Mirage",'Таблиця 1'!$J:$J,"AASM-250")+SUMIFS('Таблиця 1'!$K:$K,'Таблиця 1'!$B:$B,$A494,'Таблиця 1'!$I:$I,"F-16",'Таблиця 1'!$J:$J,"AASM-250")+SUMIFS('Таблиця 1'!$K:$K,'Таблиця 1'!$B:$B,$A494,'Таблиця 1'!$I:$I,"МіГ-29",'Таблиця 1'!$J:$J,"AASM-250")+SUMIFS('Таблиця 1'!$K:$K,'Таблиця 1'!$B:$B,$A494,'Таблиця 1'!$I:$I,"Су-25",'Таблиця 1'!$J:$J,"AASM-250")+SUMIFS('Таблиця 1'!$K:$K,'Таблиця 1'!$B:$B,$A494,'Таблиця 1'!$I:$I,"Су-27",'Таблиця 1'!$J:$J,"AASM-250"))</f>
        <v/>
      </c>
      <c r="J494">
        <f>IF($A494="","",SUMIFS('Таблиця 1'!$K:$K,'Таблиця 1'!$B:$B,$A494,'Таблиця 1'!$I:$I,"Mirage",'Таблиця 1'!$J:$J,"GBU-39")+SUMIFS('Таблиця 1'!$K:$K,'Таблиця 1'!$B:$B,$A494,'Таблиця 1'!$I:$I,"F-16",'Таблиця 1'!$J:$J,"GBU-39")+SUMIFS('Таблиця 1'!$K:$K,'Таблиця 1'!$B:$B,$A494,'Таблиця 1'!$I:$I,"МіГ-29",'Таблиця 1'!$J:$J,"GBU-39")+SUMIFS('Таблиця 1'!$K:$K,'Таблиця 1'!$B:$B,$A494,'Таблиця 1'!$I:$I,"Су-25",'Таблиця 1'!$J:$J,"GBU-39")+SUMIFS('Таблиця 1'!$K:$K,'Таблиця 1'!$B:$B,$A494,'Таблиця 1'!$I:$I,"Су-27",'Таблиця 1'!$J:$J,"GBU-39"))</f>
        <v/>
      </c>
      <c r="K494">
        <f>IF($A494="","",SUMIFS('Таблиця 1'!$K:$K,'Таблиця 1'!$B:$B,$A494,'Таблиця 1'!$I:$I,"Mirage",'Таблиця 1'!$J:$J,"BLU-140")+SUMIFS('Таблиця 1'!$K:$K,'Таблиця 1'!$B:$B,$A494,'Таблиця 1'!$I:$I,"F-16",'Таблиця 1'!$J:$J,"BLU-140")+SUMIFS('Таблиця 1'!$K:$K,'Таблиця 1'!$B:$B,$A494,'Таблиця 1'!$I:$I,"МіГ-29",'Таблиця 1'!$J:$J,"BLU-140")+SUMIFS('Таблиця 1'!$K:$K,'Таблиця 1'!$B:$B,$A494,'Таблиця 1'!$I:$I,"Су-25",'Таблиця 1'!$J:$J,"BLU-140")+SUMIFS('Таблиця 1'!$K:$K,'Таблиця 1'!$B:$B,$A494,'Таблиця 1'!$I:$I,"Су-27",'Таблиця 1'!$J:$J,"BLU-140"))</f>
        <v/>
      </c>
      <c r="L494">
        <f>IF($A494="","",SUMIFS('Таблиця 1'!$K:$K,'Таблиця 1'!$B:$B,$A494,'Таблиця 1'!$I:$I,"Mirage",'Таблиця 1'!$J:$J,"GBU-65")+SUMIFS('Таблиця 1'!$K:$K,'Таблиця 1'!$B:$B,$A494,'Таблиця 1'!$I:$I,"F-16",'Таблиця 1'!$J:$J,"GBU-65")+SUMIFS('Таблиця 1'!$K:$K,'Таблиця 1'!$B:$B,$A494,'Таблиця 1'!$I:$I,"МіГ-29",'Таблиця 1'!$J:$J,"GBU-65")+SUMIFS('Таблиця 1'!$K:$K,'Таблиця 1'!$B:$B,$A494,'Таблиця 1'!$I:$I,"Су-25",'Таблиця 1'!$J:$J,"GBU-65")+SUMIFS('Таблиця 1'!$K:$K,'Таблиця 1'!$B:$B,$A494,'Таблиця 1'!$I:$I,"Су-27",'Таблиця 1'!$J:$J,"GBU-65"))</f>
        <v/>
      </c>
      <c r="M494">
        <f>IF($A494="","",SUMIFS('Таблиця 1'!$K:$K,'Таблиця 1'!$B:$B,$A494,'Таблиця 1'!$I:$I,"Mirage",'Таблиця 1'!$J:$J,"GBU-62")+SUMIFS('Таблиця 1'!$K:$K,'Таблиця 1'!$B:$B,$A494,'Таблиця 1'!$I:$I,"F-16",'Таблиця 1'!$J:$J,"GBU-62")+SUMIFS('Таблиця 1'!$K:$K,'Таблиця 1'!$B:$B,$A494,'Таблиця 1'!$I:$I,"МіГ-29",'Таблиця 1'!$J:$J,"GBU-62")+SUMIFS('Таблиця 1'!$K:$K,'Таблиця 1'!$B:$B,$A494,'Таблиця 1'!$I:$I,"Су-25",'Таблиця 1'!$J:$J,"GBU-62")+SUMIFS('Таблиця 1'!$K:$K,'Таблиця 1'!$B:$B,$A494,'Таблиця 1'!$I:$I,"Су-27",'Таблиця 1'!$J:$J,"GBU-62"))</f>
        <v/>
      </c>
      <c r="N494">
        <f>IF($A494="","",SUMIFS('Таблиця 1'!$K:$K,'Таблиця 1'!$B:$B,$A494,'Таблиця 1'!$I:$I,"Mirage",'Таблиця 1'!$J:$J,"GBU-64")+SUMIFS('Таблиця 1'!$K:$K,'Таблиця 1'!$B:$B,$A494,'Таблиця 1'!$I:$I,"F-16",'Таблиця 1'!$J:$J,"GBU-64")+SUMIFS('Таблиця 1'!$K:$K,'Таблиця 1'!$B:$B,$A494,'Таблиця 1'!$I:$I,"МіГ-29",'Таблиця 1'!$J:$J,"GBU-64")+SUMIFS('Таблиця 1'!$K:$K,'Таблиця 1'!$B:$B,$A494,'Таблиця 1'!$I:$I,"Су-25",'Таблиця 1'!$J:$J,"GBU-64")+SUMIFS('Таблиця 1'!$K:$K,'Таблиця 1'!$B:$B,$A494,'Таблиця 1'!$I:$I,"Су-27",'Таблиця 1'!$J:$J,"GBU-64"))</f>
        <v/>
      </c>
      <c r="O494">
        <f>IF($A494="","",SUMIFS('Таблиця 1'!$K:$K,'Таблиця 1'!$B:$B,$A494,'Таблиця 1'!$I:$I,"Mirage",'Таблиця 1'!$J:$J,"C-13")+SUMIFS('Таблиця 1'!$K:$K,'Таблиця 1'!$B:$B,$A494,'Таблиця 1'!$I:$I,"F-16",'Таблиця 1'!$J:$J,"C-13")+SUMIFS('Таблиця 1'!$K:$K,'Таблиця 1'!$B:$B,$A494,'Таблиця 1'!$I:$I,"МіГ-29",'Таблиця 1'!$J:$J,"C-13")+SUMIFS('Таблиця 1'!$K:$K,'Таблиця 1'!$B:$B,$A494,'Таблиця 1'!$I:$I,"Су-25",'Таблиця 1'!$J:$J,"C-13")+SUMIFS('Таблиця 1'!$K:$K,'Таблиця 1'!$B:$B,$A494,'Таблиця 1'!$I:$I,"Су-27",'Таблиця 1'!$J:$J,"C-13"))</f>
        <v/>
      </c>
      <c r="P494">
        <f>IF($A494="","",SUMIFS('Таблиця 1'!$K:$K,'Таблиця 1'!$B:$B,$A494,'Таблиця 1'!$I:$I,"Mirage",'Таблиця 1'!$J:$J,"MK-32")+SUMIFS('Таблиця 1'!$K:$K,'Таблиця 1'!$B:$B,$A494,'Таблиця 1'!$I:$I,"F-16",'Таблиця 1'!$J:$J,"MK-32")+SUMIFS('Таблиця 1'!$K:$K,'Таблиця 1'!$B:$B,$A494,'Таблиця 1'!$I:$I,"МіГ-29",'Таблиця 1'!$J:$J,"MK-32")+SUMIFS('Таблиця 1'!$K:$K,'Таблиця 1'!$B:$B,$A494,'Таблиця 1'!$I:$I,"Су-25",'Таблиця 1'!$J:$J,"MK-32")+SUMIFS('Таблиця 1'!$K:$K,'Таблиця 1'!$B:$B,$A494,'Таблиця 1'!$I:$I,"Су-27",'Таблиця 1'!$J:$J,"MK-32"))</f>
        <v/>
      </c>
      <c r="Q494">
        <f>IF($A494="","",SUMIFS('Таблиця 1'!$K:$K,'Таблиця 1'!$B:$B,$A494,'Таблиця 1'!$I:$I,"Mirage",'Таблиця 1'!$J:$J,"MK-24")+SUMIFS('Таблиця 1'!$K:$K,'Таблиця 1'!$B:$B,$A494,'Таблиця 1'!$I:$I,"F-16",'Таблиця 1'!$J:$J,"MK-24")+SUMIFS('Таблиця 1'!$K:$K,'Таблиця 1'!$B:$B,$A494,'Таблиця 1'!$I:$I,"МіГ-29",'Таблиця 1'!$J:$J,"MK-24")+SUMIFS('Таблиця 1'!$K:$K,'Таблиця 1'!$B:$B,$A494,'Таблиця 1'!$I:$I,"Су-25",'Таблиця 1'!$J:$J,"MK-24")+SUMIFS('Таблиця 1'!$K:$K,'Таблиця 1'!$B:$B,$A494,'Таблиця 1'!$I:$I,"Су-27",'Таблиця 1'!$J:$J,"MK-24"))</f>
        <v/>
      </c>
      <c r="R494">
        <f>IF($A494="","",COUNTIFS('Таблиця 1'!$B:$B,$A494,'Таблиця 1'!$I:$I,"Mirage",'Таблиця 1'!$L:$L,"Уражено")+COUNTIFS('Таблиця 1'!$B:$B,$A494,'Таблиця 1'!$I:$I,"F-16",'Таблиця 1'!$L:$L,"Уражено")+COUNTIFS('Таблиця 1'!$B:$B,$A494,'Таблиця 1'!$I:$I,"МіГ-29",'Таблиця 1'!$L:$L,"Уражено")+COUNTIFS('Таблиця 1'!$B:$B,$A494,'Таблиця 1'!$I:$I,"Су-25",'Таблиця 1'!$L:$L,"Уражено")+COUNTIFS('Таблиця 1'!$B:$B,$A494,'Таблиця 1'!$I:$I,"Су-27",'Таблиця 1'!$L:$L,"Уражено"))</f>
        <v/>
      </c>
      <c r="S494">
        <f>IF($A494="","",COUNTIFS('Таблиця 1'!$B:$B,$A494,'Таблиця 1'!$I:$I,"Mirage",'Таблиця 1'!$L:$L,"НЕ уражено")+COUNTIFS('Таблиця 1'!$B:$B,$A494,'Таблиця 1'!$I:$I,"F-16",'Таблиця 1'!$L:$L,"НЕ уражено")+COUNTIFS('Таблиця 1'!$B:$B,$A494,'Таблиця 1'!$I:$I,"МіГ-29",'Таблиця 1'!$L:$L,"НЕ уражено")+COUNTIFS('Таблиця 1'!$B:$B,$A494,'Таблиця 1'!$I:$I,"Су-25",'Таблиця 1'!$L:$L,"НЕ уражено")+COUNTIFS('Таблиця 1'!$B:$B,$A494,'Таблиця 1'!$I:$I,"Су-27",'Таблиця 1'!$L:$L,"НЕ уражено"))</f>
        <v/>
      </c>
      <c r="T494">
        <f>IF($A494="","",COUNTIFS('Таблиця 1'!$B:$B,$A494,'Таблиця 1'!$I:$I,"Mirage",'Таблиця 1'!$L:$L,"Дорозвідується")+COUNTIFS('Таблиця 1'!$B:$B,$A494,'Таблиця 1'!$I:$I,"F-16",'Таблиця 1'!$L:$L,"Дорозвідується")+COUNTIFS('Таблиця 1'!$B:$B,$A494,'Таблиця 1'!$I:$I,"МіГ-29",'Таблиця 1'!$L:$L,"Дорозвідується")+COUNTIFS('Таблиця 1'!$B:$B,$A494,'Таблиця 1'!$I:$I,"Су-25",'Таблиця 1'!$L:$L,"Дорозвідується")+COUNTIFS('Таблиця 1'!$B:$B,$A494,'Таблиця 1'!$I:$I,"Су-27",'Таблиця 1'!$L:$L,"Дорозвідується"))</f>
        <v/>
      </c>
    </row>
    <row r="495">
      <c r="A495" s="273">
        <f>IF(A494="","",IF(A494+1&gt;MAX('Таблиця 1'!$B:$B),"",A494+1))</f>
        <v/>
      </c>
      <c r="B495">
        <f>IF($A495="","",COUNTIFS('Таблиця 1'!$B:$B,$A495,'Таблиця 1'!$I:$I,"Mirage")+COUNTIFS('Таблиця 1'!$B:$B,$A495,'Таблиця 1'!$I:$I,"F-16")+COUNTIFS('Таблиця 1'!$B:$B,$A495,'Таблиця 1'!$I:$I,"МіГ-29")+COUNTIFS('Таблиця 1'!$B:$B,$A495,'Таблиця 1'!$I:$I,"Су-25")+COUNTIFS('Таблиця 1'!$B:$B,$A495,'Таблиця 1'!$I:$I,"Су-27"))</f>
        <v/>
      </c>
      <c r="C495">
        <f>IF($A495="","",COUNTIFS('Таблиця 1'!$B:$B,$A495,'Таблиця 1'!$I:$I,"Mirage"))</f>
        <v/>
      </c>
      <c r="D495">
        <f>IF($A495="","",COUNTIFS('Таблиця 1'!$B:$B,$A495,'Таблиця 1'!$I:$I,"F-16"))</f>
        <v/>
      </c>
      <c r="E495">
        <f>IF($A495="","",COUNTIFS('Таблиця 1'!$B:$B,$A495,'Таблиця 1'!$I:$I,"МіГ-29"))</f>
        <v/>
      </c>
      <c r="F495">
        <f>IF($A495="","",COUNTIFS('Таблиця 1'!$B:$B,$A495,'Таблиця 1'!$I:$I,"Су-25"))</f>
        <v/>
      </c>
      <c r="G495">
        <f>IF($A495="","",COUNTIFS('Таблиця 1'!$B:$B,$A495,'Таблиця 1'!$I:$I,"Су-27"))</f>
        <v/>
      </c>
      <c r="H495">
        <f>IF($A495="","",SUMIFS('Таблиця 1'!$K:$K,'Таблиця 1'!$B:$B,$A495,'Таблиця 1'!$I:$I,"Mirage",'Таблиця 1'!$J:$J,"AGM-88")+SUMIFS('Таблиця 1'!$K:$K,'Таблиця 1'!$B:$B,$A495,'Таблиця 1'!$I:$I,"F-16",'Таблиця 1'!$J:$J,"AGM-88")+SUMIFS('Таблиця 1'!$K:$K,'Таблиця 1'!$B:$B,$A495,'Таблиця 1'!$I:$I,"МіГ-29",'Таблиця 1'!$J:$J,"AGM-88")+SUMIFS('Таблиця 1'!$K:$K,'Таблиця 1'!$B:$B,$A495,'Таблиця 1'!$I:$I,"Су-25",'Таблиця 1'!$J:$J,"AGM-88")+SUMIFS('Таблиця 1'!$K:$K,'Таблиця 1'!$B:$B,$A495,'Таблиця 1'!$I:$I,"Су-27",'Таблиця 1'!$J:$J,"AGM-88"))</f>
        <v/>
      </c>
      <c r="I495">
        <f>IF($A495="","",SUMIFS('Таблиця 1'!$K:$K,'Таблиця 1'!$B:$B,$A495,'Таблиця 1'!$I:$I,"Mirage",'Таблиця 1'!$J:$J,"AASM-250")+SUMIFS('Таблиця 1'!$K:$K,'Таблиця 1'!$B:$B,$A495,'Таблиця 1'!$I:$I,"F-16",'Таблиця 1'!$J:$J,"AASM-250")+SUMIFS('Таблиця 1'!$K:$K,'Таблиця 1'!$B:$B,$A495,'Таблиця 1'!$I:$I,"МіГ-29",'Таблиця 1'!$J:$J,"AASM-250")+SUMIFS('Таблиця 1'!$K:$K,'Таблиця 1'!$B:$B,$A495,'Таблиця 1'!$I:$I,"Су-25",'Таблиця 1'!$J:$J,"AASM-250")+SUMIFS('Таблиця 1'!$K:$K,'Таблиця 1'!$B:$B,$A495,'Таблиця 1'!$I:$I,"Су-27",'Таблиця 1'!$J:$J,"AASM-250"))</f>
        <v/>
      </c>
      <c r="J495">
        <f>IF($A495="","",SUMIFS('Таблиця 1'!$K:$K,'Таблиця 1'!$B:$B,$A495,'Таблиця 1'!$I:$I,"Mirage",'Таблиця 1'!$J:$J,"GBU-39")+SUMIFS('Таблиця 1'!$K:$K,'Таблиця 1'!$B:$B,$A495,'Таблиця 1'!$I:$I,"F-16",'Таблиця 1'!$J:$J,"GBU-39")+SUMIFS('Таблиця 1'!$K:$K,'Таблиця 1'!$B:$B,$A495,'Таблиця 1'!$I:$I,"МіГ-29",'Таблиця 1'!$J:$J,"GBU-39")+SUMIFS('Таблиця 1'!$K:$K,'Таблиця 1'!$B:$B,$A495,'Таблиця 1'!$I:$I,"Су-25",'Таблиця 1'!$J:$J,"GBU-39")+SUMIFS('Таблиця 1'!$K:$K,'Таблиця 1'!$B:$B,$A495,'Таблиця 1'!$I:$I,"Су-27",'Таблиця 1'!$J:$J,"GBU-39"))</f>
        <v/>
      </c>
      <c r="K495">
        <f>IF($A495="","",SUMIFS('Таблиця 1'!$K:$K,'Таблиця 1'!$B:$B,$A495,'Таблиця 1'!$I:$I,"Mirage",'Таблиця 1'!$J:$J,"BLU-140")+SUMIFS('Таблиця 1'!$K:$K,'Таблиця 1'!$B:$B,$A495,'Таблиця 1'!$I:$I,"F-16",'Таблиця 1'!$J:$J,"BLU-140")+SUMIFS('Таблиця 1'!$K:$K,'Таблиця 1'!$B:$B,$A495,'Таблиця 1'!$I:$I,"МіГ-29",'Таблиця 1'!$J:$J,"BLU-140")+SUMIFS('Таблиця 1'!$K:$K,'Таблиця 1'!$B:$B,$A495,'Таблиця 1'!$I:$I,"Су-25",'Таблиця 1'!$J:$J,"BLU-140")+SUMIFS('Таблиця 1'!$K:$K,'Таблиця 1'!$B:$B,$A495,'Таблиця 1'!$I:$I,"Су-27",'Таблиця 1'!$J:$J,"BLU-140"))</f>
        <v/>
      </c>
      <c r="L495">
        <f>IF($A495="","",SUMIFS('Таблиця 1'!$K:$K,'Таблиця 1'!$B:$B,$A495,'Таблиця 1'!$I:$I,"Mirage",'Таблиця 1'!$J:$J,"GBU-65")+SUMIFS('Таблиця 1'!$K:$K,'Таблиця 1'!$B:$B,$A495,'Таблиця 1'!$I:$I,"F-16",'Таблиця 1'!$J:$J,"GBU-65")+SUMIFS('Таблиця 1'!$K:$K,'Таблиця 1'!$B:$B,$A495,'Таблиця 1'!$I:$I,"МіГ-29",'Таблиця 1'!$J:$J,"GBU-65")+SUMIFS('Таблиця 1'!$K:$K,'Таблиця 1'!$B:$B,$A495,'Таблиця 1'!$I:$I,"Су-25",'Таблиця 1'!$J:$J,"GBU-65")+SUMIFS('Таблиця 1'!$K:$K,'Таблиця 1'!$B:$B,$A495,'Таблиця 1'!$I:$I,"Су-27",'Таблиця 1'!$J:$J,"GBU-65"))</f>
        <v/>
      </c>
      <c r="M495">
        <f>IF($A495="","",SUMIFS('Таблиця 1'!$K:$K,'Таблиця 1'!$B:$B,$A495,'Таблиця 1'!$I:$I,"Mirage",'Таблиця 1'!$J:$J,"GBU-62")+SUMIFS('Таблиця 1'!$K:$K,'Таблиця 1'!$B:$B,$A495,'Таблиця 1'!$I:$I,"F-16",'Таблиця 1'!$J:$J,"GBU-62")+SUMIFS('Таблиця 1'!$K:$K,'Таблиця 1'!$B:$B,$A495,'Таблиця 1'!$I:$I,"МіГ-29",'Таблиця 1'!$J:$J,"GBU-62")+SUMIFS('Таблиця 1'!$K:$K,'Таблиця 1'!$B:$B,$A495,'Таблиця 1'!$I:$I,"Су-25",'Таблиця 1'!$J:$J,"GBU-62")+SUMIFS('Таблиця 1'!$K:$K,'Таблиця 1'!$B:$B,$A495,'Таблиця 1'!$I:$I,"Су-27",'Таблиця 1'!$J:$J,"GBU-62"))</f>
        <v/>
      </c>
      <c r="N495">
        <f>IF($A495="","",SUMIFS('Таблиця 1'!$K:$K,'Таблиця 1'!$B:$B,$A495,'Таблиця 1'!$I:$I,"Mirage",'Таблиця 1'!$J:$J,"GBU-64")+SUMIFS('Таблиця 1'!$K:$K,'Таблиця 1'!$B:$B,$A495,'Таблиця 1'!$I:$I,"F-16",'Таблиця 1'!$J:$J,"GBU-64")+SUMIFS('Таблиця 1'!$K:$K,'Таблиця 1'!$B:$B,$A495,'Таблиця 1'!$I:$I,"МіГ-29",'Таблиця 1'!$J:$J,"GBU-64")+SUMIFS('Таблиця 1'!$K:$K,'Таблиця 1'!$B:$B,$A495,'Таблиця 1'!$I:$I,"Су-25",'Таблиця 1'!$J:$J,"GBU-64")+SUMIFS('Таблиця 1'!$K:$K,'Таблиця 1'!$B:$B,$A495,'Таблиця 1'!$I:$I,"Су-27",'Таблиця 1'!$J:$J,"GBU-64"))</f>
        <v/>
      </c>
      <c r="O495">
        <f>IF($A495="","",SUMIFS('Таблиця 1'!$K:$K,'Таблиця 1'!$B:$B,$A495,'Таблиця 1'!$I:$I,"Mirage",'Таблиця 1'!$J:$J,"C-13")+SUMIFS('Таблиця 1'!$K:$K,'Таблиця 1'!$B:$B,$A495,'Таблиця 1'!$I:$I,"F-16",'Таблиця 1'!$J:$J,"C-13")+SUMIFS('Таблиця 1'!$K:$K,'Таблиця 1'!$B:$B,$A495,'Таблиця 1'!$I:$I,"МіГ-29",'Таблиця 1'!$J:$J,"C-13")+SUMIFS('Таблиця 1'!$K:$K,'Таблиця 1'!$B:$B,$A495,'Таблиця 1'!$I:$I,"Су-25",'Таблиця 1'!$J:$J,"C-13")+SUMIFS('Таблиця 1'!$K:$K,'Таблиця 1'!$B:$B,$A495,'Таблиця 1'!$I:$I,"Су-27",'Таблиця 1'!$J:$J,"C-13"))</f>
        <v/>
      </c>
      <c r="P495">
        <f>IF($A495="","",SUMIFS('Таблиця 1'!$K:$K,'Таблиця 1'!$B:$B,$A495,'Таблиця 1'!$I:$I,"Mirage",'Таблиця 1'!$J:$J,"MK-32")+SUMIFS('Таблиця 1'!$K:$K,'Таблиця 1'!$B:$B,$A495,'Таблиця 1'!$I:$I,"F-16",'Таблиця 1'!$J:$J,"MK-32")+SUMIFS('Таблиця 1'!$K:$K,'Таблиця 1'!$B:$B,$A495,'Таблиця 1'!$I:$I,"МіГ-29",'Таблиця 1'!$J:$J,"MK-32")+SUMIFS('Таблиця 1'!$K:$K,'Таблиця 1'!$B:$B,$A495,'Таблиця 1'!$I:$I,"Су-25",'Таблиця 1'!$J:$J,"MK-32")+SUMIFS('Таблиця 1'!$K:$K,'Таблиця 1'!$B:$B,$A495,'Таблиця 1'!$I:$I,"Су-27",'Таблиця 1'!$J:$J,"MK-32"))</f>
        <v/>
      </c>
      <c r="Q495">
        <f>IF($A495="","",SUMIFS('Таблиця 1'!$K:$K,'Таблиця 1'!$B:$B,$A495,'Таблиця 1'!$I:$I,"Mirage",'Таблиця 1'!$J:$J,"MK-24")+SUMIFS('Таблиця 1'!$K:$K,'Таблиця 1'!$B:$B,$A495,'Таблиця 1'!$I:$I,"F-16",'Таблиця 1'!$J:$J,"MK-24")+SUMIFS('Таблиця 1'!$K:$K,'Таблиця 1'!$B:$B,$A495,'Таблиця 1'!$I:$I,"МіГ-29",'Таблиця 1'!$J:$J,"MK-24")+SUMIFS('Таблиця 1'!$K:$K,'Таблиця 1'!$B:$B,$A495,'Таблиця 1'!$I:$I,"Су-25",'Таблиця 1'!$J:$J,"MK-24")+SUMIFS('Таблиця 1'!$K:$K,'Таблиця 1'!$B:$B,$A495,'Таблиця 1'!$I:$I,"Су-27",'Таблиця 1'!$J:$J,"MK-24"))</f>
        <v/>
      </c>
      <c r="R495">
        <f>IF($A495="","",COUNTIFS('Таблиця 1'!$B:$B,$A495,'Таблиця 1'!$I:$I,"Mirage",'Таблиця 1'!$L:$L,"Уражено")+COUNTIFS('Таблиця 1'!$B:$B,$A495,'Таблиця 1'!$I:$I,"F-16",'Таблиця 1'!$L:$L,"Уражено")+COUNTIFS('Таблиця 1'!$B:$B,$A495,'Таблиця 1'!$I:$I,"МіГ-29",'Таблиця 1'!$L:$L,"Уражено")+COUNTIFS('Таблиця 1'!$B:$B,$A495,'Таблиця 1'!$I:$I,"Су-25",'Таблиця 1'!$L:$L,"Уражено")+COUNTIFS('Таблиця 1'!$B:$B,$A495,'Таблиця 1'!$I:$I,"Су-27",'Таблиця 1'!$L:$L,"Уражено"))</f>
        <v/>
      </c>
      <c r="S495">
        <f>IF($A495="","",COUNTIFS('Таблиця 1'!$B:$B,$A495,'Таблиця 1'!$I:$I,"Mirage",'Таблиця 1'!$L:$L,"НЕ уражено")+COUNTIFS('Таблиця 1'!$B:$B,$A495,'Таблиця 1'!$I:$I,"F-16",'Таблиця 1'!$L:$L,"НЕ уражено")+COUNTIFS('Таблиця 1'!$B:$B,$A495,'Таблиця 1'!$I:$I,"МіГ-29",'Таблиця 1'!$L:$L,"НЕ уражено")+COUNTIFS('Таблиця 1'!$B:$B,$A495,'Таблиця 1'!$I:$I,"Су-25",'Таблиця 1'!$L:$L,"НЕ уражено")+COUNTIFS('Таблиця 1'!$B:$B,$A495,'Таблиця 1'!$I:$I,"Су-27",'Таблиця 1'!$L:$L,"НЕ уражено"))</f>
        <v/>
      </c>
      <c r="T495">
        <f>IF($A495="","",COUNTIFS('Таблиця 1'!$B:$B,$A495,'Таблиця 1'!$I:$I,"Mirage",'Таблиця 1'!$L:$L,"Дорозвідується")+COUNTIFS('Таблиця 1'!$B:$B,$A495,'Таблиця 1'!$I:$I,"F-16",'Таблиця 1'!$L:$L,"Дорозвідується")+COUNTIFS('Таблиця 1'!$B:$B,$A495,'Таблиця 1'!$I:$I,"МіГ-29",'Таблиця 1'!$L:$L,"Дорозвідується")+COUNTIFS('Таблиця 1'!$B:$B,$A495,'Таблиця 1'!$I:$I,"Су-25",'Таблиця 1'!$L:$L,"Дорозвідується")+COUNTIFS('Таблиця 1'!$B:$B,$A495,'Таблиця 1'!$I:$I,"Су-27",'Таблиця 1'!$L:$L,"Дорозвідується"))</f>
        <v/>
      </c>
    </row>
    <row r="496">
      <c r="A496" s="273">
        <f>IF(A495="","",IF(A495+1&gt;MAX('Таблиця 1'!$B:$B),"",A495+1))</f>
        <v/>
      </c>
      <c r="B496">
        <f>IF($A496="","",COUNTIFS('Таблиця 1'!$B:$B,$A496,'Таблиця 1'!$I:$I,"Mirage")+COUNTIFS('Таблиця 1'!$B:$B,$A496,'Таблиця 1'!$I:$I,"F-16")+COUNTIFS('Таблиця 1'!$B:$B,$A496,'Таблиця 1'!$I:$I,"МіГ-29")+COUNTIFS('Таблиця 1'!$B:$B,$A496,'Таблиця 1'!$I:$I,"Су-25")+COUNTIFS('Таблиця 1'!$B:$B,$A496,'Таблиця 1'!$I:$I,"Су-27"))</f>
        <v/>
      </c>
      <c r="C496">
        <f>IF($A496="","",COUNTIFS('Таблиця 1'!$B:$B,$A496,'Таблиця 1'!$I:$I,"Mirage"))</f>
        <v/>
      </c>
      <c r="D496">
        <f>IF($A496="","",COUNTIFS('Таблиця 1'!$B:$B,$A496,'Таблиця 1'!$I:$I,"F-16"))</f>
        <v/>
      </c>
      <c r="E496">
        <f>IF($A496="","",COUNTIFS('Таблиця 1'!$B:$B,$A496,'Таблиця 1'!$I:$I,"МіГ-29"))</f>
        <v/>
      </c>
      <c r="F496">
        <f>IF($A496="","",COUNTIFS('Таблиця 1'!$B:$B,$A496,'Таблиця 1'!$I:$I,"Су-25"))</f>
        <v/>
      </c>
      <c r="G496">
        <f>IF($A496="","",COUNTIFS('Таблиця 1'!$B:$B,$A496,'Таблиця 1'!$I:$I,"Су-27"))</f>
        <v/>
      </c>
      <c r="H496">
        <f>IF($A496="","",SUMIFS('Таблиця 1'!$K:$K,'Таблиця 1'!$B:$B,$A496,'Таблиця 1'!$I:$I,"Mirage",'Таблиця 1'!$J:$J,"AGM-88")+SUMIFS('Таблиця 1'!$K:$K,'Таблиця 1'!$B:$B,$A496,'Таблиця 1'!$I:$I,"F-16",'Таблиця 1'!$J:$J,"AGM-88")+SUMIFS('Таблиця 1'!$K:$K,'Таблиця 1'!$B:$B,$A496,'Таблиця 1'!$I:$I,"МіГ-29",'Таблиця 1'!$J:$J,"AGM-88")+SUMIFS('Таблиця 1'!$K:$K,'Таблиця 1'!$B:$B,$A496,'Таблиця 1'!$I:$I,"Су-25",'Таблиця 1'!$J:$J,"AGM-88")+SUMIFS('Таблиця 1'!$K:$K,'Таблиця 1'!$B:$B,$A496,'Таблиця 1'!$I:$I,"Су-27",'Таблиця 1'!$J:$J,"AGM-88"))</f>
        <v/>
      </c>
      <c r="I496">
        <f>IF($A496="","",SUMIFS('Таблиця 1'!$K:$K,'Таблиця 1'!$B:$B,$A496,'Таблиця 1'!$I:$I,"Mirage",'Таблиця 1'!$J:$J,"AASM-250")+SUMIFS('Таблиця 1'!$K:$K,'Таблиця 1'!$B:$B,$A496,'Таблиця 1'!$I:$I,"F-16",'Таблиця 1'!$J:$J,"AASM-250")+SUMIFS('Таблиця 1'!$K:$K,'Таблиця 1'!$B:$B,$A496,'Таблиця 1'!$I:$I,"МіГ-29",'Таблиця 1'!$J:$J,"AASM-250")+SUMIFS('Таблиця 1'!$K:$K,'Таблиця 1'!$B:$B,$A496,'Таблиця 1'!$I:$I,"Су-25",'Таблиця 1'!$J:$J,"AASM-250")+SUMIFS('Таблиця 1'!$K:$K,'Таблиця 1'!$B:$B,$A496,'Таблиця 1'!$I:$I,"Су-27",'Таблиця 1'!$J:$J,"AASM-250"))</f>
        <v/>
      </c>
      <c r="J496">
        <f>IF($A496="","",SUMIFS('Таблиця 1'!$K:$K,'Таблиця 1'!$B:$B,$A496,'Таблиця 1'!$I:$I,"Mirage",'Таблиця 1'!$J:$J,"GBU-39")+SUMIFS('Таблиця 1'!$K:$K,'Таблиця 1'!$B:$B,$A496,'Таблиця 1'!$I:$I,"F-16",'Таблиця 1'!$J:$J,"GBU-39")+SUMIFS('Таблиця 1'!$K:$K,'Таблиця 1'!$B:$B,$A496,'Таблиця 1'!$I:$I,"МіГ-29",'Таблиця 1'!$J:$J,"GBU-39")+SUMIFS('Таблиця 1'!$K:$K,'Таблиця 1'!$B:$B,$A496,'Таблиця 1'!$I:$I,"Су-25",'Таблиця 1'!$J:$J,"GBU-39")+SUMIFS('Таблиця 1'!$K:$K,'Таблиця 1'!$B:$B,$A496,'Таблиця 1'!$I:$I,"Су-27",'Таблиця 1'!$J:$J,"GBU-39"))</f>
        <v/>
      </c>
      <c r="K496">
        <f>IF($A496="","",SUMIFS('Таблиця 1'!$K:$K,'Таблиця 1'!$B:$B,$A496,'Таблиця 1'!$I:$I,"Mirage",'Таблиця 1'!$J:$J,"BLU-140")+SUMIFS('Таблиця 1'!$K:$K,'Таблиця 1'!$B:$B,$A496,'Таблиця 1'!$I:$I,"F-16",'Таблиця 1'!$J:$J,"BLU-140")+SUMIFS('Таблиця 1'!$K:$K,'Таблиця 1'!$B:$B,$A496,'Таблиця 1'!$I:$I,"МіГ-29",'Таблиця 1'!$J:$J,"BLU-140")+SUMIFS('Таблиця 1'!$K:$K,'Таблиця 1'!$B:$B,$A496,'Таблиця 1'!$I:$I,"Су-25",'Таблиця 1'!$J:$J,"BLU-140")+SUMIFS('Таблиця 1'!$K:$K,'Таблиця 1'!$B:$B,$A496,'Таблиця 1'!$I:$I,"Су-27",'Таблиця 1'!$J:$J,"BLU-140"))</f>
        <v/>
      </c>
      <c r="L496">
        <f>IF($A496="","",SUMIFS('Таблиця 1'!$K:$K,'Таблиця 1'!$B:$B,$A496,'Таблиця 1'!$I:$I,"Mirage",'Таблиця 1'!$J:$J,"GBU-65")+SUMIFS('Таблиця 1'!$K:$K,'Таблиця 1'!$B:$B,$A496,'Таблиця 1'!$I:$I,"F-16",'Таблиця 1'!$J:$J,"GBU-65")+SUMIFS('Таблиця 1'!$K:$K,'Таблиця 1'!$B:$B,$A496,'Таблиця 1'!$I:$I,"МіГ-29",'Таблиця 1'!$J:$J,"GBU-65")+SUMIFS('Таблиця 1'!$K:$K,'Таблиця 1'!$B:$B,$A496,'Таблиця 1'!$I:$I,"Су-25",'Таблиця 1'!$J:$J,"GBU-65")+SUMIFS('Таблиця 1'!$K:$K,'Таблиця 1'!$B:$B,$A496,'Таблиця 1'!$I:$I,"Су-27",'Таблиця 1'!$J:$J,"GBU-65"))</f>
        <v/>
      </c>
      <c r="M496">
        <f>IF($A496="","",SUMIFS('Таблиця 1'!$K:$K,'Таблиця 1'!$B:$B,$A496,'Таблиця 1'!$I:$I,"Mirage",'Таблиця 1'!$J:$J,"GBU-62")+SUMIFS('Таблиця 1'!$K:$K,'Таблиця 1'!$B:$B,$A496,'Таблиця 1'!$I:$I,"F-16",'Таблиця 1'!$J:$J,"GBU-62")+SUMIFS('Таблиця 1'!$K:$K,'Таблиця 1'!$B:$B,$A496,'Таблиця 1'!$I:$I,"МіГ-29",'Таблиця 1'!$J:$J,"GBU-62")+SUMIFS('Таблиця 1'!$K:$K,'Таблиця 1'!$B:$B,$A496,'Таблиця 1'!$I:$I,"Су-25",'Таблиця 1'!$J:$J,"GBU-62")+SUMIFS('Таблиця 1'!$K:$K,'Таблиця 1'!$B:$B,$A496,'Таблиця 1'!$I:$I,"Су-27",'Таблиця 1'!$J:$J,"GBU-62"))</f>
        <v/>
      </c>
      <c r="N496">
        <f>IF($A496="","",SUMIFS('Таблиця 1'!$K:$K,'Таблиця 1'!$B:$B,$A496,'Таблиця 1'!$I:$I,"Mirage",'Таблиця 1'!$J:$J,"GBU-64")+SUMIFS('Таблиця 1'!$K:$K,'Таблиця 1'!$B:$B,$A496,'Таблиця 1'!$I:$I,"F-16",'Таблиця 1'!$J:$J,"GBU-64")+SUMIFS('Таблиця 1'!$K:$K,'Таблиця 1'!$B:$B,$A496,'Таблиця 1'!$I:$I,"МіГ-29",'Таблиця 1'!$J:$J,"GBU-64")+SUMIFS('Таблиця 1'!$K:$K,'Таблиця 1'!$B:$B,$A496,'Таблиця 1'!$I:$I,"Су-25",'Таблиця 1'!$J:$J,"GBU-64")+SUMIFS('Таблиця 1'!$K:$K,'Таблиця 1'!$B:$B,$A496,'Таблиця 1'!$I:$I,"Су-27",'Таблиця 1'!$J:$J,"GBU-64"))</f>
        <v/>
      </c>
      <c r="O496">
        <f>IF($A496="","",SUMIFS('Таблиця 1'!$K:$K,'Таблиця 1'!$B:$B,$A496,'Таблиця 1'!$I:$I,"Mirage",'Таблиця 1'!$J:$J,"C-13")+SUMIFS('Таблиця 1'!$K:$K,'Таблиця 1'!$B:$B,$A496,'Таблиця 1'!$I:$I,"F-16",'Таблиця 1'!$J:$J,"C-13")+SUMIFS('Таблиця 1'!$K:$K,'Таблиця 1'!$B:$B,$A496,'Таблиця 1'!$I:$I,"МіГ-29",'Таблиця 1'!$J:$J,"C-13")+SUMIFS('Таблиця 1'!$K:$K,'Таблиця 1'!$B:$B,$A496,'Таблиця 1'!$I:$I,"Су-25",'Таблиця 1'!$J:$J,"C-13")+SUMIFS('Таблиця 1'!$K:$K,'Таблиця 1'!$B:$B,$A496,'Таблиця 1'!$I:$I,"Су-27",'Таблиця 1'!$J:$J,"C-13"))</f>
        <v/>
      </c>
      <c r="P496">
        <f>IF($A496="","",SUMIFS('Таблиця 1'!$K:$K,'Таблиця 1'!$B:$B,$A496,'Таблиця 1'!$I:$I,"Mirage",'Таблиця 1'!$J:$J,"MK-32")+SUMIFS('Таблиця 1'!$K:$K,'Таблиця 1'!$B:$B,$A496,'Таблиця 1'!$I:$I,"F-16",'Таблиця 1'!$J:$J,"MK-32")+SUMIFS('Таблиця 1'!$K:$K,'Таблиця 1'!$B:$B,$A496,'Таблиця 1'!$I:$I,"МіГ-29",'Таблиця 1'!$J:$J,"MK-32")+SUMIFS('Таблиця 1'!$K:$K,'Таблиця 1'!$B:$B,$A496,'Таблиця 1'!$I:$I,"Су-25",'Таблиця 1'!$J:$J,"MK-32")+SUMIFS('Таблиця 1'!$K:$K,'Таблиця 1'!$B:$B,$A496,'Таблиця 1'!$I:$I,"Су-27",'Таблиця 1'!$J:$J,"MK-32"))</f>
        <v/>
      </c>
      <c r="Q496">
        <f>IF($A496="","",SUMIFS('Таблиця 1'!$K:$K,'Таблиця 1'!$B:$B,$A496,'Таблиця 1'!$I:$I,"Mirage",'Таблиця 1'!$J:$J,"MK-24")+SUMIFS('Таблиця 1'!$K:$K,'Таблиця 1'!$B:$B,$A496,'Таблиця 1'!$I:$I,"F-16",'Таблиця 1'!$J:$J,"MK-24")+SUMIFS('Таблиця 1'!$K:$K,'Таблиця 1'!$B:$B,$A496,'Таблиця 1'!$I:$I,"МіГ-29",'Таблиця 1'!$J:$J,"MK-24")+SUMIFS('Таблиця 1'!$K:$K,'Таблиця 1'!$B:$B,$A496,'Таблиця 1'!$I:$I,"Су-25",'Таблиця 1'!$J:$J,"MK-24")+SUMIFS('Таблиця 1'!$K:$K,'Таблиця 1'!$B:$B,$A496,'Таблиця 1'!$I:$I,"Су-27",'Таблиця 1'!$J:$J,"MK-24"))</f>
        <v/>
      </c>
      <c r="R496">
        <f>IF($A496="","",COUNTIFS('Таблиця 1'!$B:$B,$A496,'Таблиця 1'!$I:$I,"Mirage",'Таблиця 1'!$L:$L,"Уражено")+COUNTIFS('Таблиця 1'!$B:$B,$A496,'Таблиця 1'!$I:$I,"F-16",'Таблиця 1'!$L:$L,"Уражено")+COUNTIFS('Таблиця 1'!$B:$B,$A496,'Таблиця 1'!$I:$I,"МіГ-29",'Таблиця 1'!$L:$L,"Уражено")+COUNTIFS('Таблиця 1'!$B:$B,$A496,'Таблиця 1'!$I:$I,"Су-25",'Таблиця 1'!$L:$L,"Уражено")+COUNTIFS('Таблиця 1'!$B:$B,$A496,'Таблиця 1'!$I:$I,"Су-27",'Таблиця 1'!$L:$L,"Уражено"))</f>
        <v/>
      </c>
      <c r="S496">
        <f>IF($A496="","",COUNTIFS('Таблиця 1'!$B:$B,$A496,'Таблиця 1'!$I:$I,"Mirage",'Таблиця 1'!$L:$L,"НЕ уражено")+COUNTIFS('Таблиця 1'!$B:$B,$A496,'Таблиця 1'!$I:$I,"F-16",'Таблиця 1'!$L:$L,"НЕ уражено")+COUNTIFS('Таблиця 1'!$B:$B,$A496,'Таблиця 1'!$I:$I,"МіГ-29",'Таблиця 1'!$L:$L,"НЕ уражено")+COUNTIFS('Таблиця 1'!$B:$B,$A496,'Таблиця 1'!$I:$I,"Су-25",'Таблиця 1'!$L:$L,"НЕ уражено")+COUNTIFS('Таблиця 1'!$B:$B,$A496,'Таблиця 1'!$I:$I,"Су-27",'Таблиця 1'!$L:$L,"НЕ уражено"))</f>
        <v/>
      </c>
      <c r="T496">
        <f>IF($A496="","",COUNTIFS('Таблиця 1'!$B:$B,$A496,'Таблиця 1'!$I:$I,"Mirage",'Таблиця 1'!$L:$L,"Дорозвідується")+COUNTIFS('Таблиця 1'!$B:$B,$A496,'Таблиця 1'!$I:$I,"F-16",'Таблиця 1'!$L:$L,"Дорозвідується")+COUNTIFS('Таблиця 1'!$B:$B,$A496,'Таблиця 1'!$I:$I,"МіГ-29",'Таблиця 1'!$L:$L,"Дорозвідується")+COUNTIFS('Таблиця 1'!$B:$B,$A496,'Таблиця 1'!$I:$I,"Су-25",'Таблиця 1'!$L:$L,"Дорозвідується")+COUNTIFS('Таблиця 1'!$B:$B,$A496,'Таблиця 1'!$I:$I,"Су-27",'Таблиця 1'!$L:$L,"Дорозвідується"))</f>
        <v/>
      </c>
    </row>
    <row r="497">
      <c r="A497" s="273">
        <f>IF(A496="","",IF(A496+1&gt;MAX('Таблиця 1'!$B:$B),"",A496+1))</f>
        <v/>
      </c>
      <c r="B497">
        <f>IF($A497="","",COUNTIFS('Таблиця 1'!$B:$B,$A497,'Таблиця 1'!$I:$I,"Mirage")+COUNTIFS('Таблиця 1'!$B:$B,$A497,'Таблиця 1'!$I:$I,"F-16")+COUNTIFS('Таблиця 1'!$B:$B,$A497,'Таблиця 1'!$I:$I,"МіГ-29")+COUNTIFS('Таблиця 1'!$B:$B,$A497,'Таблиця 1'!$I:$I,"Су-25")+COUNTIFS('Таблиця 1'!$B:$B,$A497,'Таблиця 1'!$I:$I,"Су-27"))</f>
        <v/>
      </c>
      <c r="C497">
        <f>IF($A497="","",COUNTIFS('Таблиця 1'!$B:$B,$A497,'Таблиця 1'!$I:$I,"Mirage"))</f>
        <v/>
      </c>
      <c r="D497">
        <f>IF($A497="","",COUNTIFS('Таблиця 1'!$B:$B,$A497,'Таблиця 1'!$I:$I,"F-16"))</f>
        <v/>
      </c>
      <c r="E497">
        <f>IF($A497="","",COUNTIFS('Таблиця 1'!$B:$B,$A497,'Таблиця 1'!$I:$I,"МіГ-29"))</f>
        <v/>
      </c>
      <c r="F497">
        <f>IF($A497="","",COUNTIFS('Таблиця 1'!$B:$B,$A497,'Таблиця 1'!$I:$I,"Су-25"))</f>
        <v/>
      </c>
      <c r="G497">
        <f>IF($A497="","",COUNTIFS('Таблиця 1'!$B:$B,$A497,'Таблиця 1'!$I:$I,"Су-27"))</f>
        <v/>
      </c>
      <c r="H497">
        <f>IF($A497="","",SUMIFS('Таблиця 1'!$K:$K,'Таблиця 1'!$B:$B,$A497,'Таблиця 1'!$I:$I,"Mirage",'Таблиця 1'!$J:$J,"AGM-88")+SUMIFS('Таблиця 1'!$K:$K,'Таблиця 1'!$B:$B,$A497,'Таблиця 1'!$I:$I,"F-16",'Таблиця 1'!$J:$J,"AGM-88")+SUMIFS('Таблиця 1'!$K:$K,'Таблиця 1'!$B:$B,$A497,'Таблиця 1'!$I:$I,"МіГ-29",'Таблиця 1'!$J:$J,"AGM-88")+SUMIFS('Таблиця 1'!$K:$K,'Таблиця 1'!$B:$B,$A497,'Таблиця 1'!$I:$I,"Су-25",'Таблиця 1'!$J:$J,"AGM-88")+SUMIFS('Таблиця 1'!$K:$K,'Таблиця 1'!$B:$B,$A497,'Таблиця 1'!$I:$I,"Су-27",'Таблиця 1'!$J:$J,"AGM-88"))</f>
        <v/>
      </c>
      <c r="I497">
        <f>IF($A497="","",SUMIFS('Таблиця 1'!$K:$K,'Таблиця 1'!$B:$B,$A497,'Таблиця 1'!$I:$I,"Mirage",'Таблиця 1'!$J:$J,"AASM-250")+SUMIFS('Таблиця 1'!$K:$K,'Таблиця 1'!$B:$B,$A497,'Таблиця 1'!$I:$I,"F-16",'Таблиця 1'!$J:$J,"AASM-250")+SUMIFS('Таблиця 1'!$K:$K,'Таблиця 1'!$B:$B,$A497,'Таблиця 1'!$I:$I,"МіГ-29",'Таблиця 1'!$J:$J,"AASM-250")+SUMIFS('Таблиця 1'!$K:$K,'Таблиця 1'!$B:$B,$A497,'Таблиця 1'!$I:$I,"Су-25",'Таблиця 1'!$J:$J,"AASM-250")+SUMIFS('Таблиця 1'!$K:$K,'Таблиця 1'!$B:$B,$A497,'Таблиця 1'!$I:$I,"Су-27",'Таблиця 1'!$J:$J,"AASM-250"))</f>
        <v/>
      </c>
      <c r="J497">
        <f>IF($A497="","",SUMIFS('Таблиця 1'!$K:$K,'Таблиця 1'!$B:$B,$A497,'Таблиця 1'!$I:$I,"Mirage",'Таблиця 1'!$J:$J,"GBU-39")+SUMIFS('Таблиця 1'!$K:$K,'Таблиця 1'!$B:$B,$A497,'Таблиця 1'!$I:$I,"F-16",'Таблиця 1'!$J:$J,"GBU-39")+SUMIFS('Таблиця 1'!$K:$K,'Таблиця 1'!$B:$B,$A497,'Таблиця 1'!$I:$I,"МіГ-29",'Таблиця 1'!$J:$J,"GBU-39")+SUMIFS('Таблиця 1'!$K:$K,'Таблиця 1'!$B:$B,$A497,'Таблиця 1'!$I:$I,"Су-25",'Таблиця 1'!$J:$J,"GBU-39")+SUMIFS('Таблиця 1'!$K:$K,'Таблиця 1'!$B:$B,$A497,'Таблиця 1'!$I:$I,"Су-27",'Таблиця 1'!$J:$J,"GBU-39"))</f>
        <v/>
      </c>
      <c r="K497">
        <f>IF($A497="","",SUMIFS('Таблиця 1'!$K:$K,'Таблиця 1'!$B:$B,$A497,'Таблиця 1'!$I:$I,"Mirage",'Таблиця 1'!$J:$J,"BLU-140")+SUMIFS('Таблиця 1'!$K:$K,'Таблиця 1'!$B:$B,$A497,'Таблиця 1'!$I:$I,"F-16",'Таблиця 1'!$J:$J,"BLU-140")+SUMIFS('Таблиця 1'!$K:$K,'Таблиця 1'!$B:$B,$A497,'Таблиця 1'!$I:$I,"МіГ-29",'Таблиця 1'!$J:$J,"BLU-140")+SUMIFS('Таблиця 1'!$K:$K,'Таблиця 1'!$B:$B,$A497,'Таблиця 1'!$I:$I,"Су-25",'Таблиця 1'!$J:$J,"BLU-140")+SUMIFS('Таблиця 1'!$K:$K,'Таблиця 1'!$B:$B,$A497,'Таблиця 1'!$I:$I,"Су-27",'Таблиця 1'!$J:$J,"BLU-140"))</f>
        <v/>
      </c>
      <c r="L497">
        <f>IF($A497="","",SUMIFS('Таблиця 1'!$K:$K,'Таблиця 1'!$B:$B,$A497,'Таблиця 1'!$I:$I,"Mirage",'Таблиця 1'!$J:$J,"GBU-65")+SUMIFS('Таблиця 1'!$K:$K,'Таблиця 1'!$B:$B,$A497,'Таблиця 1'!$I:$I,"F-16",'Таблиця 1'!$J:$J,"GBU-65")+SUMIFS('Таблиця 1'!$K:$K,'Таблиця 1'!$B:$B,$A497,'Таблиця 1'!$I:$I,"МіГ-29",'Таблиця 1'!$J:$J,"GBU-65")+SUMIFS('Таблиця 1'!$K:$K,'Таблиця 1'!$B:$B,$A497,'Таблиця 1'!$I:$I,"Су-25",'Таблиця 1'!$J:$J,"GBU-65")+SUMIFS('Таблиця 1'!$K:$K,'Таблиця 1'!$B:$B,$A497,'Таблиця 1'!$I:$I,"Су-27",'Таблиця 1'!$J:$J,"GBU-65"))</f>
        <v/>
      </c>
      <c r="M497">
        <f>IF($A497="","",SUMIFS('Таблиця 1'!$K:$K,'Таблиця 1'!$B:$B,$A497,'Таблиця 1'!$I:$I,"Mirage",'Таблиця 1'!$J:$J,"GBU-62")+SUMIFS('Таблиця 1'!$K:$K,'Таблиця 1'!$B:$B,$A497,'Таблиця 1'!$I:$I,"F-16",'Таблиця 1'!$J:$J,"GBU-62")+SUMIFS('Таблиця 1'!$K:$K,'Таблиця 1'!$B:$B,$A497,'Таблиця 1'!$I:$I,"МіГ-29",'Таблиця 1'!$J:$J,"GBU-62")+SUMIFS('Таблиця 1'!$K:$K,'Таблиця 1'!$B:$B,$A497,'Таблиця 1'!$I:$I,"Су-25",'Таблиця 1'!$J:$J,"GBU-62")+SUMIFS('Таблиця 1'!$K:$K,'Таблиця 1'!$B:$B,$A497,'Таблиця 1'!$I:$I,"Су-27",'Таблиця 1'!$J:$J,"GBU-62"))</f>
        <v/>
      </c>
      <c r="N497">
        <f>IF($A497="","",SUMIFS('Таблиця 1'!$K:$K,'Таблиця 1'!$B:$B,$A497,'Таблиця 1'!$I:$I,"Mirage",'Таблиця 1'!$J:$J,"GBU-64")+SUMIFS('Таблиця 1'!$K:$K,'Таблиця 1'!$B:$B,$A497,'Таблиця 1'!$I:$I,"F-16",'Таблиця 1'!$J:$J,"GBU-64")+SUMIFS('Таблиця 1'!$K:$K,'Таблиця 1'!$B:$B,$A497,'Таблиця 1'!$I:$I,"МіГ-29",'Таблиця 1'!$J:$J,"GBU-64")+SUMIFS('Таблиця 1'!$K:$K,'Таблиця 1'!$B:$B,$A497,'Таблиця 1'!$I:$I,"Су-25",'Таблиця 1'!$J:$J,"GBU-64")+SUMIFS('Таблиця 1'!$K:$K,'Таблиця 1'!$B:$B,$A497,'Таблиця 1'!$I:$I,"Су-27",'Таблиця 1'!$J:$J,"GBU-64"))</f>
        <v/>
      </c>
      <c r="O497">
        <f>IF($A497="","",SUMIFS('Таблиця 1'!$K:$K,'Таблиця 1'!$B:$B,$A497,'Таблиця 1'!$I:$I,"Mirage",'Таблиця 1'!$J:$J,"C-13")+SUMIFS('Таблиця 1'!$K:$K,'Таблиця 1'!$B:$B,$A497,'Таблиця 1'!$I:$I,"F-16",'Таблиця 1'!$J:$J,"C-13")+SUMIFS('Таблиця 1'!$K:$K,'Таблиця 1'!$B:$B,$A497,'Таблиця 1'!$I:$I,"МіГ-29",'Таблиця 1'!$J:$J,"C-13")+SUMIFS('Таблиця 1'!$K:$K,'Таблиця 1'!$B:$B,$A497,'Таблиця 1'!$I:$I,"Су-25",'Таблиця 1'!$J:$J,"C-13")+SUMIFS('Таблиця 1'!$K:$K,'Таблиця 1'!$B:$B,$A497,'Таблиця 1'!$I:$I,"Су-27",'Таблиця 1'!$J:$J,"C-13"))</f>
        <v/>
      </c>
      <c r="P497">
        <f>IF($A497="","",SUMIFS('Таблиця 1'!$K:$K,'Таблиця 1'!$B:$B,$A497,'Таблиця 1'!$I:$I,"Mirage",'Таблиця 1'!$J:$J,"MK-32")+SUMIFS('Таблиця 1'!$K:$K,'Таблиця 1'!$B:$B,$A497,'Таблиця 1'!$I:$I,"F-16",'Таблиця 1'!$J:$J,"MK-32")+SUMIFS('Таблиця 1'!$K:$K,'Таблиця 1'!$B:$B,$A497,'Таблиця 1'!$I:$I,"МіГ-29",'Таблиця 1'!$J:$J,"MK-32")+SUMIFS('Таблиця 1'!$K:$K,'Таблиця 1'!$B:$B,$A497,'Таблиця 1'!$I:$I,"Су-25",'Таблиця 1'!$J:$J,"MK-32")+SUMIFS('Таблиця 1'!$K:$K,'Таблиця 1'!$B:$B,$A497,'Таблиця 1'!$I:$I,"Су-27",'Таблиця 1'!$J:$J,"MK-32"))</f>
        <v/>
      </c>
      <c r="Q497">
        <f>IF($A497="","",SUMIFS('Таблиця 1'!$K:$K,'Таблиця 1'!$B:$B,$A497,'Таблиця 1'!$I:$I,"Mirage",'Таблиця 1'!$J:$J,"MK-24")+SUMIFS('Таблиця 1'!$K:$K,'Таблиця 1'!$B:$B,$A497,'Таблиця 1'!$I:$I,"F-16",'Таблиця 1'!$J:$J,"MK-24")+SUMIFS('Таблиця 1'!$K:$K,'Таблиця 1'!$B:$B,$A497,'Таблиця 1'!$I:$I,"МіГ-29",'Таблиця 1'!$J:$J,"MK-24")+SUMIFS('Таблиця 1'!$K:$K,'Таблиця 1'!$B:$B,$A497,'Таблиця 1'!$I:$I,"Су-25",'Таблиця 1'!$J:$J,"MK-24")+SUMIFS('Таблиця 1'!$K:$K,'Таблиця 1'!$B:$B,$A497,'Таблиця 1'!$I:$I,"Су-27",'Таблиця 1'!$J:$J,"MK-24"))</f>
        <v/>
      </c>
      <c r="R497">
        <f>IF($A497="","",COUNTIFS('Таблиця 1'!$B:$B,$A497,'Таблиця 1'!$I:$I,"Mirage",'Таблиця 1'!$L:$L,"Уражено")+COUNTIFS('Таблиця 1'!$B:$B,$A497,'Таблиця 1'!$I:$I,"F-16",'Таблиця 1'!$L:$L,"Уражено")+COUNTIFS('Таблиця 1'!$B:$B,$A497,'Таблиця 1'!$I:$I,"МіГ-29",'Таблиця 1'!$L:$L,"Уражено")+COUNTIFS('Таблиця 1'!$B:$B,$A497,'Таблиця 1'!$I:$I,"Су-25",'Таблиця 1'!$L:$L,"Уражено")+COUNTIFS('Таблиця 1'!$B:$B,$A497,'Таблиця 1'!$I:$I,"Су-27",'Таблиця 1'!$L:$L,"Уражено"))</f>
        <v/>
      </c>
      <c r="S497">
        <f>IF($A497="","",COUNTIFS('Таблиця 1'!$B:$B,$A497,'Таблиця 1'!$I:$I,"Mirage",'Таблиця 1'!$L:$L,"НЕ уражено")+COUNTIFS('Таблиця 1'!$B:$B,$A497,'Таблиця 1'!$I:$I,"F-16",'Таблиця 1'!$L:$L,"НЕ уражено")+COUNTIFS('Таблиця 1'!$B:$B,$A497,'Таблиця 1'!$I:$I,"МіГ-29",'Таблиця 1'!$L:$L,"НЕ уражено")+COUNTIFS('Таблиця 1'!$B:$B,$A497,'Таблиця 1'!$I:$I,"Су-25",'Таблиця 1'!$L:$L,"НЕ уражено")+COUNTIFS('Таблиця 1'!$B:$B,$A497,'Таблиця 1'!$I:$I,"Су-27",'Таблиця 1'!$L:$L,"НЕ уражено"))</f>
        <v/>
      </c>
      <c r="T497">
        <f>IF($A497="","",COUNTIFS('Таблиця 1'!$B:$B,$A497,'Таблиця 1'!$I:$I,"Mirage",'Таблиця 1'!$L:$L,"Дорозвідується")+COUNTIFS('Таблиця 1'!$B:$B,$A497,'Таблиця 1'!$I:$I,"F-16",'Таблиця 1'!$L:$L,"Дорозвідується")+COUNTIFS('Таблиця 1'!$B:$B,$A497,'Таблиця 1'!$I:$I,"МіГ-29",'Таблиця 1'!$L:$L,"Дорозвідується")+COUNTIFS('Таблиця 1'!$B:$B,$A497,'Таблиця 1'!$I:$I,"Су-25",'Таблиця 1'!$L:$L,"Дорозвідується")+COUNTIFS('Таблиця 1'!$B:$B,$A497,'Таблиця 1'!$I:$I,"Су-27",'Таблиця 1'!$L:$L,"Дорозвідується"))</f>
        <v/>
      </c>
    </row>
    <row r="498">
      <c r="A498" s="273">
        <f>IF(A497="","",IF(A497+1&gt;MAX('Таблиця 1'!$B:$B),"",A497+1))</f>
        <v/>
      </c>
      <c r="B498">
        <f>IF($A498="","",COUNTIFS('Таблиця 1'!$B:$B,$A498,'Таблиця 1'!$I:$I,"Mirage")+COUNTIFS('Таблиця 1'!$B:$B,$A498,'Таблиця 1'!$I:$I,"F-16")+COUNTIFS('Таблиця 1'!$B:$B,$A498,'Таблиця 1'!$I:$I,"МіГ-29")+COUNTIFS('Таблиця 1'!$B:$B,$A498,'Таблиця 1'!$I:$I,"Су-25")+COUNTIFS('Таблиця 1'!$B:$B,$A498,'Таблиця 1'!$I:$I,"Су-27"))</f>
        <v/>
      </c>
      <c r="C498">
        <f>IF($A498="","",COUNTIFS('Таблиця 1'!$B:$B,$A498,'Таблиця 1'!$I:$I,"Mirage"))</f>
        <v/>
      </c>
      <c r="D498">
        <f>IF($A498="","",COUNTIFS('Таблиця 1'!$B:$B,$A498,'Таблиця 1'!$I:$I,"F-16"))</f>
        <v/>
      </c>
      <c r="E498">
        <f>IF($A498="","",COUNTIFS('Таблиця 1'!$B:$B,$A498,'Таблиця 1'!$I:$I,"МіГ-29"))</f>
        <v/>
      </c>
      <c r="F498">
        <f>IF($A498="","",COUNTIFS('Таблиця 1'!$B:$B,$A498,'Таблиця 1'!$I:$I,"Су-25"))</f>
        <v/>
      </c>
      <c r="G498">
        <f>IF($A498="","",COUNTIFS('Таблиця 1'!$B:$B,$A498,'Таблиця 1'!$I:$I,"Су-27"))</f>
        <v/>
      </c>
      <c r="H498">
        <f>IF($A498="","",SUMIFS('Таблиця 1'!$K:$K,'Таблиця 1'!$B:$B,$A498,'Таблиця 1'!$I:$I,"Mirage",'Таблиця 1'!$J:$J,"AGM-88")+SUMIFS('Таблиця 1'!$K:$K,'Таблиця 1'!$B:$B,$A498,'Таблиця 1'!$I:$I,"F-16",'Таблиця 1'!$J:$J,"AGM-88")+SUMIFS('Таблиця 1'!$K:$K,'Таблиця 1'!$B:$B,$A498,'Таблиця 1'!$I:$I,"МіГ-29",'Таблиця 1'!$J:$J,"AGM-88")+SUMIFS('Таблиця 1'!$K:$K,'Таблиця 1'!$B:$B,$A498,'Таблиця 1'!$I:$I,"Су-25",'Таблиця 1'!$J:$J,"AGM-88")+SUMIFS('Таблиця 1'!$K:$K,'Таблиця 1'!$B:$B,$A498,'Таблиця 1'!$I:$I,"Су-27",'Таблиця 1'!$J:$J,"AGM-88"))</f>
        <v/>
      </c>
      <c r="I498">
        <f>IF($A498="","",SUMIFS('Таблиця 1'!$K:$K,'Таблиця 1'!$B:$B,$A498,'Таблиця 1'!$I:$I,"Mirage",'Таблиця 1'!$J:$J,"AASM-250")+SUMIFS('Таблиця 1'!$K:$K,'Таблиця 1'!$B:$B,$A498,'Таблиця 1'!$I:$I,"F-16",'Таблиця 1'!$J:$J,"AASM-250")+SUMIFS('Таблиця 1'!$K:$K,'Таблиця 1'!$B:$B,$A498,'Таблиця 1'!$I:$I,"МіГ-29",'Таблиця 1'!$J:$J,"AASM-250")+SUMIFS('Таблиця 1'!$K:$K,'Таблиця 1'!$B:$B,$A498,'Таблиця 1'!$I:$I,"Су-25",'Таблиця 1'!$J:$J,"AASM-250")+SUMIFS('Таблиця 1'!$K:$K,'Таблиця 1'!$B:$B,$A498,'Таблиця 1'!$I:$I,"Су-27",'Таблиця 1'!$J:$J,"AASM-250"))</f>
        <v/>
      </c>
      <c r="J498">
        <f>IF($A498="","",SUMIFS('Таблиця 1'!$K:$K,'Таблиця 1'!$B:$B,$A498,'Таблиця 1'!$I:$I,"Mirage",'Таблиця 1'!$J:$J,"GBU-39")+SUMIFS('Таблиця 1'!$K:$K,'Таблиця 1'!$B:$B,$A498,'Таблиця 1'!$I:$I,"F-16",'Таблиця 1'!$J:$J,"GBU-39")+SUMIFS('Таблиця 1'!$K:$K,'Таблиця 1'!$B:$B,$A498,'Таблиця 1'!$I:$I,"МіГ-29",'Таблиця 1'!$J:$J,"GBU-39")+SUMIFS('Таблиця 1'!$K:$K,'Таблиця 1'!$B:$B,$A498,'Таблиця 1'!$I:$I,"Су-25",'Таблиця 1'!$J:$J,"GBU-39")+SUMIFS('Таблиця 1'!$K:$K,'Таблиця 1'!$B:$B,$A498,'Таблиця 1'!$I:$I,"Су-27",'Таблиця 1'!$J:$J,"GBU-39"))</f>
        <v/>
      </c>
      <c r="K498">
        <f>IF($A498="","",SUMIFS('Таблиця 1'!$K:$K,'Таблиця 1'!$B:$B,$A498,'Таблиця 1'!$I:$I,"Mirage",'Таблиця 1'!$J:$J,"BLU-140")+SUMIFS('Таблиця 1'!$K:$K,'Таблиця 1'!$B:$B,$A498,'Таблиця 1'!$I:$I,"F-16",'Таблиця 1'!$J:$J,"BLU-140")+SUMIFS('Таблиця 1'!$K:$K,'Таблиця 1'!$B:$B,$A498,'Таблиця 1'!$I:$I,"МіГ-29",'Таблиця 1'!$J:$J,"BLU-140")+SUMIFS('Таблиця 1'!$K:$K,'Таблиця 1'!$B:$B,$A498,'Таблиця 1'!$I:$I,"Су-25",'Таблиця 1'!$J:$J,"BLU-140")+SUMIFS('Таблиця 1'!$K:$K,'Таблиця 1'!$B:$B,$A498,'Таблиця 1'!$I:$I,"Су-27",'Таблиця 1'!$J:$J,"BLU-140"))</f>
        <v/>
      </c>
      <c r="L498">
        <f>IF($A498="","",SUMIFS('Таблиця 1'!$K:$K,'Таблиця 1'!$B:$B,$A498,'Таблиця 1'!$I:$I,"Mirage",'Таблиця 1'!$J:$J,"GBU-65")+SUMIFS('Таблиця 1'!$K:$K,'Таблиця 1'!$B:$B,$A498,'Таблиця 1'!$I:$I,"F-16",'Таблиця 1'!$J:$J,"GBU-65")+SUMIFS('Таблиця 1'!$K:$K,'Таблиця 1'!$B:$B,$A498,'Таблиця 1'!$I:$I,"МіГ-29",'Таблиця 1'!$J:$J,"GBU-65")+SUMIFS('Таблиця 1'!$K:$K,'Таблиця 1'!$B:$B,$A498,'Таблиця 1'!$I:$I,"Су-25",'Таблиця 1'!$J:$J,"GBU-65")+SUMIFS('Таблиця 1'!$K:$K,'Таблиця 1'!$B:$B,$A498,'Таблиця 1'!$I:$I,"Су-27",'Таблиця 1'!$J:$J,"GBU-65"))</f>
        <v/>
      </c>
      <c r="M498">
        <f>IF($A498="","",SUMIFS('Таблиця 1'!$K:$K,'Таблиця 1'!$B:$B,$A498,'Таблиця 1'!$I:$I,"Mirage",'Таблиця 1'!$J:$J,"GBU-62")+SUMIFS('Таблиця 1'!$K:$K,'Таблиця 1'!$B:$B,$A498,'Таблиця 1'!$I:$I,"F-16",'Таблиця 1'!$J:$J,"GBU-62")+SUMIFS('Таблиця 1'!$K:$K,'Таблиця 1'!$B:$B,$A498,'Таблиця 1'!$I:$I,"МіГ-29",'Таблиця 1'!$J:$J,"GBU-62")+SUMIFS('Таблиця 1'!$K:$K,'Таблиця 1'!$B:$B,$A498,'Таблиця 1'!$I:$I,"Су-25",'Таблиця 1'!$J:$J,"GBU-62")+SUMIFS('Таблиця 1'!$K:$K,'Таблиця 1'!$B:$B,$A498,'Таблиця 1'!$I:$I,"Су-27",'Таблиця 1'!$J:$J,"GBU-62"))</f>
        <v/>
      </c>
      <c r="N498">
        <f>IF($A498="","",SUMIFS('Таблиця 1'!$K:$K,'Таблиця 1'!$B:$B,$A498,'Таблиця 1'!$I:$I,"Mirage",'Таблиця 1'!$J:$J,"GBU-64")+SUMIFS('Таблиця 1'!$K:$K,'Таблиця 1'!$B:$B,$A498,'Таблиця 1'!$I:$I,"F-16",'Таблиця 1'!$J:$J,"GBU-64")+SUMIFS('Таблиця 1'!$K:$K,'Таблиця 1'!$B:$B,$A498,'Таблиця 1'!$I:$I,"МіГ-29",'Таблиця 1'!$J:$J,"GBU-64")+SUMIFS('Таблиця 1'!$K:$K,'Таблиця 1'!$B:$B,$A498,'Таблиця 1'!$I:$I,"Су-25",'Таблиця 1'!$J:$J,"GBU-64")+SUMIFS('Таблиця 1'!$K:$K,'Таблиця 1'!$B:$B,$A498,'Таблиця 1'!$I:$I,"Су-27",'Таблиця 1'!$J:$J,"GBU-64"))</f>
        <v/>
      </c>
      <c r="O498">
        <f>IF($A498="","",SUMIFS('Таблиця 1'!$K:$K,'Таблиця 1'!$B:$B,$A498,'Таблиця 1'!$I:$I,"Mirage",'Таблиця 1'!$J:$J,"C-13")+SUMIFS('Таблиця 1'!$K:$K,'Таблиця 1'!$B:$B,$A498,'Таблиця 1'!$I:$I,"F-16",'Таблиця 1'!$J:$J,"C-13")+SUMIFS('Таблиця 1'!$K:$K,'Таблиця 1'!$B:$B,$A498,'Таблиця 1'!$I:$I,"МіГ-29",'Таблиця 1'!$J:$J,"C-13")+SUMIFS('Таблиця 1'!$K:$K,'Таблиця 1'!$B:$B,$A498,'Таблиця 1'!$I:$I,"Су-25",'Таблиця 1'!$J:$J,"C-13")+SUMIFS('Таблиця 1'!$K:$K,'Таблиця 1'!$B:$B,$A498,'Таблиця 1'!$I:$I,"Су-27",'Таблиця 1'!$J:$J,"C-13"))</f>
        <v/>
      </c>
      <c r="P498">
        <f>IF($A498="","",SUMIFS('Таблиця 1'!$K:$K,'Таблиця 1'!$B:$B,$A498,'Таблиця 1'!$I:$I,"Mirage",'Таблиця 1'!$J:$J,"MK-32")+SUMIFS('Таблиця 1'!$K:$K,'Таблиця 1'!$B:$B,$A498,'Таблиця 1'!$I:$I,"F-16",'Таблиця 1'!$J:$J,"MK-32")+SUMIFS('Таблиця 1'!$K:$K,'Таблиця 1'!$B:$B,$A498,'Таблиця 1'!$I:$I,"МіГ-29",'Таблиця 1'!$J:$J,"MK-32")+SUMIFS('Таблиця 1'!$K:$K,'Таблиця 1'!$B:$B,$A498,'Таблиця 1'!$I:$I,"Су-25",'Таблиця 1'!$J:$J,"MK-32")+SUMIFS('Таблиця 1'!$K:$K,'Таблиця 1'!$B:$B,$A498,'Таблиця 1'!$I:$I,"Су-27",'Таблиця 1'!$J:$J,"MK-32"))</f>
        <v/>
      </c>
      <c r="Q498">
        <f>IF($A498="","",SUMIFS('Таблиця 1'!$K:$K,'Таблиця 1'!$B:$B,$A498,'Таблиця 1'!$I:$I,"Mirage",'Таблиця 1'!$J:$J,"MK-24")+SUMIFS('Таблиця 1'!$K:$K,'Таблиця 1'!$B:$B,$A498,'Таблиця 1'!$I:$I,"F-16",'Таблиця 1'!$J:$J,"MK-24")+SUMIFS('Таблиця 1'!$K:$K,'Таблиця 1'!$B:$B,$A498,'Таблиця 1'!$I:$I,"МіГ-29",'Таблиця 1'!$J:$J,"MK-24")+SUMIFS('Таблиця 1'!$K:$K,'Таблиця 1'!$B:$B,$A498,'Таблиця 1'!$I:$I,"Су-25",'Таблиця 1'!$J:$J,"MK-24")+SUMIFS('Таблиця 1'!$K:$K,'Таблиця 1'!$B:$B,$A498,'Таблиця 1'!$I:$I,"Су-27",'Таблиця 1'!$J:$J,"MK-24"))</f>
        <v/>
      </c>
      <c r="R498">
        <f>IF($A498="","",COUNTIFS('Таблиця 1'!$B:$B,$A498,'Таблиця 1'!$I:$I,"Mirage",'Таблиця 1'!$L:$L,"Уражено")+COUNTIFS('Таблиця 1'!$B:$B,$A498,'Таблиця 1'!$I:$I,"F-16",'Таблиця 1'!$L:$L,"Уражено")+COUNTIFS('Таблиця 1'!$B:$B,$A498,'Таблиця 1'!$I:$I,"МіГ-29",'Таблиця 1'!$L:$L,"Уражено")+COUNTIFS('Таблиця 1'!$B:$B,$A498,'Таблиця 1'!$I:$I,"Су-25",'Таблиця 1'!$L:$L,"Уражено")+COUNTIFS('Таблиця 1'!$B:$B,$A498,'Таблиця 1'!$I:$I,"Су-27",'Таблиця 1'!$L:$L,"Уражено"))</f>
        <v/>
      </c>
      <c r="S498">
        <f>IF($A498="","",COUNTIFS('Таблиця 1'!$B:$B,$A498,'Таблиця 1'!$I:$I,"Mirage",'Таблиця 1'!$L:$L,"НЕ уражено")+COUNTIFS('Таблиця 1'!$B:$B,$A498,'Таблиця 1'!$I:$I,"F-16",'Таблиця 1'!$L:$L,"НЕ уражено")+COUNTIFS('Таблиця 1'!$B:$B,$A498,'Таблиця 1'!$I:$I,"МіГ-29",'Таблиця 1'!$L:$L,"НЕ уражено")+COUNTIFS('Таблиця 1'!$B:$B,$A498,'Таблиця 1'!$I:$I,"Су-25",'Таблиця 1'!$L:$L,"НЕ уражено")+COUNTIFS('Таблиця 1'!$B:$B,$A498,'Таблиця 1'!$I:$I,"Су-27",'Таблиця 1'!$L:$L,"НЕ уражено"))</f>
        <v/>
      </c>
      <c r="T498">
        <f>IF($A498="","",COUNTIFS('Таблиця 1'!$B:$B,$A498,'Таблиця 1'!$I:$I,"Mirage",'Таблиця 1'!$L:$L,"Дорозвідується")+COUNTIFS('Таблиця 1'!$B:$B,$A498,'Таблиця 1'!$I:$I,"F-16",'Таблиця 1'!$L:$L,"Дорозвідується")+COUNTIFS('Таблиця 1'!$B:$B,$A498,'Таблиця 1'!$I:$I,"МіГ-29",'Таблиця 1'!$L:$L,"Дорозвідується")+COUNTIFS('Таблиця 1'!$B:$B,$A498,'Таблиця 1'!$I:$I,"Су-25",'Таблиця 1'!$L:$L,"Дорозвідується")+COUNTIFS('Таблиця 1'!$B:$B,$A498,'Таблиця 1'!$I:$I,"Су-27",'Таблиця 1'!$L:$L,"Дорозвідується"))</f>
        <v/>
      </c>
    </row>
    <row r="499">
      <c r="A499" s="273">
        <f>IF(A498="","",IF(A498+1&gt;MAX('Таблиця 1'!$B:$B),"",A498+1))</f>
        <v/>
      </c>
      <c r="B499">
        <f>IF($A499="","",COUNTIFS('Таблиця 1'!$B:$B,$A499,'Таблиця 1'!$I:$I,"Mirage")+COUNTIFS('Таблиця 1'!$B:$B,$A499,'Таблиця 1'!$I:$I,"F-16")+COUNTIFS('Таблиця 1'!$B:$B,$A499,'Таблиця 1'!$I:$I,"МіГ-29")+COUNTIFS('Таблиця 1'!$B:$B,$A499,'Таблиця 1'!$I:$I,"Су-25")+COUNTIFS('Таблиця 1'!$B:$B,$A499,'Таблиця 1'!$I:$I,"Су-27"))</f>
        <v/>
      </c>
      <c r="C499">
        <f>IF($A499="","",COUNTIFS('Таблиця 1'!$B:$B,$A499,'Таблиця 1'!$I:$I,"Mirage"))</f>
        <v/>
      </c>
      <c r="D499">
        <f>IF($A499="","",COUNTIFS('Таблиця 1'!$B:$B,$A499,'Таблиця 1'!$I:$I,"F-16"))</f>
        <v/>
      </c>
      <c r="E499">
        <f>IF($A499="","",COUNTIFS('Таблиця 1'!$B:$B,$A499,'Таблиця 1'!$I:$I,"МіГ-29"))</f>
        <v/>
      </c>
      <c r="F499">
        <f>IF($A499="","",COUNTIFS('Таблиця 1'!$B:$B,$A499,'Таблиця 1'!$I:$I,"Су-25"))</f>
        <v/>
      </c>
      <c r="G499">
        <f>IF($A499="","",COUNTIFS('Таблиця 1'!$B:$B,$A499,'Таблиця 1'!$I:$I,"Су-27"))</f>
        <v/>
      </c>
      <c r="H499">
        <f>IF($A499="","",SUMIFS('Таблиця 1'!$K:$K,'Таблиця 1'!$B:$B,$A499,'Таблиця 1'!$I:$I,"Mirage",'Таблиця 1'!$J:$J,"AGM-88")+SUMIFS('Таблиця 1'!$K:$K,'Таблиця 1'!$B:$B,$A499,'Таблиця 1'!$I:$I,"F-16",'Таблиця 1'!$J:$J,"AGM-88")+SUMIFS('Таблиця 1'!$K:$K,'Таблиця 1'!$B:$B,$A499,'Таблиця 1'!$I:$I,"МіГ-29",'Таблиця 1'!$J:$J,"AGM-88")+SUMIFS('Таблиця 1'!$K:$K,'Таблиця 1'!$B:$B,$A499,'Таблиця 1'!$I:$I,"Су-25",'Таблиця 1'!$J:$J,"AGM-88")+SUMIFS('Таблиця 1'!$K:$K,'Таблиця 1'!$B:$B,$A499,'Таблиця 1'!$I:$I,"Су-27",'Таблиця 1'!$J:$J,"AGM-88"))</f>
        <v/>
      </c>
      <c r="I499">
        <f>IF($A499="","",SUMIFS('Таблиця 1'!$K:$K,'Таблиця 1'!$B:$B,$A499,'Таблиця 1'!$I:$I,"Mirage",'Таблиця 1'!$J:$J,"AASM-250")+SUMIFS('Таблиця 1'!$K:$K,'Таблиця 1'!$B:$B,$A499,'Таблиця 1'!$I:$I,"F-16",'Таблиця 1'!$J:$J,"AASM-250")+SUMIFS('Таблиця 1'!$K:$K,'Таблиця 1'!$B:$B,$A499,'Таблиця 1'!$I:$I,"МіГ-29",'Таблиця 1'!$J:$J,"AASM-250")+SUMIFS('Таблиця 1'!$K:$K,'Таблиця 1'!$B:$B,$A499,'Таблиця 1'!$I:$I,"Су-25",'Таблиця 1'!$J:$J,"AASM-250")+SUMIFS('Таблиця 1'!$K:$K,'Таблиця 1'!$B:$B,$A499,'Таблиця 1'!$I:$I,"Су-27",'Таблиця 1'!$J:$J,"AASM-250"))</f>
        <v/>
      </c>
      <c r="J499">
        <f>IF($A499="","",SUMIFS('Таблиця 1'!$K:$K,'Таблиця 1'!$B:$B,$A499,'Таблиця 1'!$I:$I,"Mirage",'Таблиця 1'!$J:$J,"GBU-39")+SUMIFS('Таблиця 1'!$K:$K,'Таблиця 1'!$B:$B,$A499,'Таблиця 1'!$I:$I,"F-16",'Таблиця 1'!$J:$J,"GBU-39")+SUMIFS('Таблиця 1'!$K:$K,'Таблиця 1'!$B:$B,$A499,'Таблиця 1'!$I:$I,"МіГ-29",'Таблиця 1'!$J:$J,"GBU-39")+SUMIFS('Таблиця 1'!$K:$K,'Таблиця 1'!$B:$B,$A499,'Таблиця 1'!$I:$I,"Су-25",'Таблиця 1'!$J:$J,"GBU-39")+SUMIFS('Таблиця 1'!$K:$K,'Таблиця 1'!$B:$B,$A499,'Таблиця 1'!$I:$I,"Су-27",'Таблиця 1'!$J:$J,"GBU-39"))</f>
        <v/>
      </c>
      <c r="K499">
        <f>IF($A499="","",SUMIFS('Таблиця 1'!$K:$K,'Таблиця 1'!$B:$B,$A499,'Таблиця 1'!$I:$I,"Mirage",'Таблиця 1'!$J:$J,"BLU-140")+SUMIFS('Таблиця 1'!$K:$K,'Таблиця 1'!$B:$B,$A499,'Таблиця 1'!$I:$I,"F-16",'Таблиця 1'!$J:$J,"BLU-140")+SUMIFS('Таблиця 1'!$K:$K,'Таблиця 1'!$B:$B,$A499,'Таблиця 1'!$I:$I,"МіГ-29",'Таблиця 1'!$J:$J,"BLU-140")+SUMIFS('Таблиця 1'!$K:$K,'Таблиця 1'!$B:$B,$A499,'Таблиця 1'!$I:$I,"Су-25",'Таблиця 1'!$J:$J,"BLU-140")+SUMIFS('Таблиця 1'!$K:$K,'Таблиця 1'!$B:$B,$A499,'Таблиця 1'!$I:$I,"Су-27",'Таблиця 1'!$J:$J,"BLU-140"))</f>
        <v/>
      </c>
      <c r="L499">
        <f>IF($A499="","",SUMIFS('Таблиця 1'!$K:$K,'Таблиця 1'!$B:$B,$A499,'Таблиця 1'!$I:$I,"Mirage",'Таблиця 1'!$J:$J,"GBU-65")+SUMIFS('Таблиця 1'!$K:$K,'Таблиця 1'!$B:$B,$A499,'Таблиця 1'!$I:$I,"F-16",'Таблиця 1'!$J:$J,"GBU-65")+SUMIFS('Таблиця 1'!$K:$K,'Таблиця 1'!$B:$B,$A499,'Таблиця 1'!$I:$I,"МіГ-29",'Таблиця 1'!$J:$J,"GBU-65")+SUMIFS('Таблиця 1'!$K:$K,'Таблиця 1'!$B:$B,$A499,'Таблиця 1'!$I:$I,"Су-25",'Таблиця 1'!$J:$J,"GBU-65")+SUMIFS('Таблиця 1'!$K:$K,'Таблиця 1'!$B:$B,$A499,'Таблиця 1'!$I:$I,"Су-27",'Таблиця 1'!$J:$J,"GBU-65"))</f>
        <v/>
      </c>
      <c r="M499">
        <f>IF($A499="","",SUMIFS('Таблиця 1'!$K:$K,'Таблиця 1'!$B:$B,$A499,'Таблиця 1'!$I:$I,"Mirage",'Таблиця 1'!$J:$J,"GBU-62")+SUMIFS('Таблиця 1'!$K:$K,'Таблиця 1'!$B:$B,$A499,'Таблиця 1'!$I:$I,"F-16",'Таблиця 1'!$J:$J,"GBU-62")+SUMIFS('Таблиця 1'!$K:$K,'Таблиця 1'!$B:$B,$A499,'Таблиця 1'!$I:$I,"МіГ-29",'Таблиця 1'!$J:$J,"GBU-62")+SUMIFS('Таблиця 1'!$K:$K,'Таблиця 1'!$B:$B,$A499,'Таблиця 1'!$I:$I,"Су-25",'Таблиця 1'!$J:$J,"GBU-62")+SUMIFS('Таблиця 1'!$K:$K,'Таблиця 1'!$B:$B,$A499,'Таблиця 1'!$I:$I,"Су-27",'Таблиця 1'!$J:$J,"GBU-62"))</f>
        <v/>
      </c>
      <c r="N499">
        <f>IF($A499="","",SUMIFS('Таблиця 1'!$K:$K,'Таблиця 1'!$B:$B,$A499,'Таблиця 1'!$I:$I,"Mirage",'Таблиця 1'!$J:$J,"GBU-64")+SUMIFS('Таблиця 1'!$K:$K,'Таблиця 1'!$B:$B,$A499,'Таблиця 1'!$I:$I,"F-16",'Таблиця 1'!$J:$J,"GBU-64")+SUMIFS('Таблиця 1'!$K:$K,'Таблиця 1'!$B:$B,$A499,'Таблиця 1'!$I:$I,"МіГ-29",'Таблиця 1'!$J:$J,"GBU-64")+SUMIFS('Таблиця 1'!$K:$K,'Таблиця 1'!$B:$B,$A499,'Таблиця 1'!$I:$I,"Су-25",'Таблиця 1'!$J:$J,"GBU-64")+SUMIFS('Таблиця 1'!$K:$K,'Таблиця 1'!$B:$B,$A499,'Таблиця 1'!$I:$I,"Су-27",'Таблиця 1'!$J:$J,"GBU-64"))</f>
        <v/>
      </c>
      <c r="O499">
        <f>IF($A499="","",SUMIFS('Таблиця 1'!$K:$K,'Таблиця 1'!$B:$B,$A499,'Таблиця 1'!$I:$I,"Mirage",'Таблиця 1'!$J:$J,"C-13")+SUMIFS('Таблиця 1'!$K:$K,'Таблиця 1'!$B:$B,$A499,'Таблиця 1'!$I:$I,"F-16",'Таблиця 1'!$J:$J,"C-13")+SUMIFS('Таблиця 1'!$K:$K,'Таблиця 1'!$B:$B,$A499,'Таблиця 1'!$I:$I,"МіГ-29",'Таблиця 1'!$J:$J,"C-13")+SUMIFS('Таблиця 1'!$K:$K,'Таблиця 1'!$B:$B,$A499,'Таблиця 1'!$I:$I,"Су-25",'Таблиця 1'!$J:$J,"C-13")+SUMIFS('Таблиця 1'!$K:$K,'Таблиця 1'!$B:$B,$A499,'Таблиця 1'!$I:$I,"Су-27",'Таблиця 1'!$J:$J,"C-13"))</f>
        <v/>
      </c>
      <c r="P499">
        <f>IF($A499="","",SUMIFS('Таблиця 1'!$K:$K,'Таблиця 1'!$B:$B,$A499,'Таблиця 1'!$I:$I,"Mirage",'Таблиця 1'!$J:$J,"MK-32")+SUMIFS('Таблиця 1'!$K:$K,'Таблиця 1'!$B:$B,$A499,'Таблиця 1'!$I:$I,"F-16",'Таблиця 1'!$J:$J,"MK-32")+SUMIFS('Таблиця 1'!$K:$K,'Таблиця 1'!$B:$B,$A499,'Таблиця 1'!$I:$I,"МіГ-29",'Таблиця 1'!$J:$J,"MK-32")+SUMIFS('Таблиця 1'!$K:$K,'Таблиця 1'!$B:$B,$A499,'Таблиця 1'!$I:$I,"Су-25",'Таблиця 1'!$J:$J,"MK-32")+SUMIFS('Таблиця 1'!$K:$K,'Таблиця 1'!$B:$B,$A499,'Таблиця 1'!$I:$I,"Су-27",'Таблиця 1'!$J:$J,"MK-32"))</f>
        <v/>
      </c>
      <c r="Q499">
        <f>IF($A499="","",SUMIFS('Таблиця 1'!$K:$K,'Таблиця 1'!$B:$B,$A499,'Таблиця 1'!$I:$I,"Mirage",'Таблиця 1'!$J:$J,"MK-24")+SUMIFS('Таблиця 1'!$K:$K,'Таблиця 1'!$B:$B,$A499,'Таблиця 1'!$I:$I,"F-16",'Таблиця 1'!$J:$J,"MK-24")+SUMIFS('Таблиця 1'!$K:$K,'Таблиця 1'!$B:$B,$A499,'Таблиця 1'!$I:$I,"МіГ-29",'Таблиця 1'!$J:$J,"MK-24")+SUMIFS('Таблиця 1'!$K:$K,'Таблиця 1'!$B:$B,$A499,'Таблиця 1'!$I:$I,"Су-25",'Таблиця 1'!$J:$J,"MK-24")+SUMIFS('Таблиця 1'!$K:$K,'Таблиця 1'!$B:$B,$A499,'Таблиця 1'!$I:$I,"Су-27",'Таблиця 1'!$J:$J,"MK-24"))</f>
        <v/>
      </c>
      <c r="R499">
        <f>IF($A499="","",COUNTIFS('Таблиця 1'!$B:$B,$A499,'Таблиця 1'!$I:$I,"Mirage",'Таблиця 1'!$L:$L,"Уражено")+COUNTIFS('Таблиця 1'!$B:$B,$A499,'Таблиця 1'!$I:$I,"F-16",'Таблиця 1'!$L:$L,"Уражено")+COUNTIFS('Таблиця 1'!$B:$B,$A499,'Таблиця 1'!$I:$I,"МіГ-29",'Таблиця 1'!$L:$L,"Уражено")+COUNTIFS('Таблиця 1'!$B:$B,$A499,'Таблиця 1'!$I:$I,"Су-25",'Таблиця 1'!$L:$L,"Уражено")+COUNTIFS('Таблиця 1'!$B:$B,$A499,'Таблиця 1'!$I:$I,"Су-27",'Таблиця 1'!$L:$L,"Уражено"))</f>
        <v/>
      </c>
      <c r="S499">
        <f>IF($A499="","",COUNTIFS('Таблиця 1'!$B:$B,$A499,'Таблиця 1'!$I:$I,"Mirage",'Таблиця 1'!$L:$L,"НЕ уражено")+COUNTIFS('Таблиця 1'!$B:$B,$A499,'Таблиця 1'!$I:$I,"F-16",'Таблиця 1'!$L:$L,"НЕ уражено")+COUNTIFS('Таблиця 1'!$B:$B,$A499,'Таблиця 1'!$I:$I,"МіГ-29",'Таблиця 1'!$L:$L,"НЕ уражено")+COUNTIFS('Таблиця 1'!$B:$B,$A499,'Таблиця 1'!$I:$I,"Су-25",'Таблиця 1'!$L:$L,"НЕ уражено")+COUNTIFS('Таблиця 1'!$B:$B,$A499,'Таблиця 1'!$I:$I,"Су-27",'Таблиця 1'!$L:$L,"НЕ уражено"))</f>
        <v/>
      </c>
      <c r="T499">
        <f>IF($A499="","",COUNTIFS('Таблиця 1'!$B:$B,$A499,'Таблиця 1'!$I:$I,"Mirage",'Таблиця 1'!$L:$L,"Дорозвідується")+COUNTIFS('Таблиця 1'!$B:$B,$A499,'Таблиця 1'!$I:$I,"F-16",'Таблиця 1'!$L:$L,"Дорозвідується")+COUNTIFS('Таблиця 1'!$B:$B,$A499,'Таблиця 1'!$I:$I,"МіГ-29",'Таблиця 1'!$L:$L,"Дорозвідується")+COUNTIFS('Таблиця 1'!$B:$B,$A499,'Таблиця 1'!$I:$I,"Су-25",'Таблиця 1'!$L:$L,"Дорозвідується")+COUNTIFS('Таблиця 1'!$B:$B,$A499,'Таблиця 1'!$I:$I,"Су-27",'Таблиця 1'!$L:$L,"Дорозвідується"))</f>
        <v/>
      </c>
    </row>
    <row r="500">
      <c r="A500" s="273">
        <f>IF(A499="","",IF(A499+1&gt;MAX('Таблиця 1'!$B:$B),"",A499+1))</f>
        <v/>
      </c>
      <c r="B500">
        <f>IF($A500="","",COUNTIFS('Таблиця 1'!$B:$B,$A500,'Таблиця 1'!$I:$I,"Mirage")+COUNTIFS('Таблиця 1'!$B:$B,$A500,'Таблиця 1'!$I:$I,"F-16")+COUNTIFS('Таблиця 1'!$B:$B,$A500,'Таблиця 1'!$I:$I,"МіГ-29")+COUNTIFS('Таблиця 1'!$B:$B,$A500,'Таблиця 1'!$I:$I,"Су-25")+COUNTIFS('Таблиця 1'!$B:$B,$A500,'Таблиця 1'!$I:$I,"Су-27"))</f>
        <v/>
      </c>
      <c r="C500">
        <f>IF($A500="","",COUNTIFS('Таблиця 1'!$B:$B,$A500,'Таблиця 1'!$I:$I,"Mirage"))</f>
        <v/>
      </c>
      <c r="D500">
        <f>IF($A500="","",COUNTIFS('Таблиця 1'!$B:$B,$A500,'Таблиця 1'!$I:$I,"F-16"))</f>
        <v/>
      </c>
      <c r="E500">
        <f>IF($A500="","",COUNTIFS('Таблиця 1'!$B:$B,$A500,'Таблиця 1'!$I:$I,"МіГ-29"))</f>
        <v/>
      </c>
      <c r="F500">
        <f>IF($A500="","",COUNTIFS('Таблиця 1'!$B:$B,$A500,'Таблиця 1'!$I:$I,"Су-25"))</f>
        <v/>
      </c>
      <c r="G500">
        <f>IF($A500="","",COUNTIFS('Таблиця 1'!$B:$B,$A500,'Таблиця 1'!$I:$I,"Су-27"))</f>
        <v/>
      </c>
      <c r="H500">
        <f>IF($A500="","",SUMIFS('Таблиця 1'!$K:$K,'Таблиця 1'!$B:$B,$A500,'Таблиця 1'!$I:$I,"Mirage",'Таблиця 1'!$J:$J,"AGM-88")+SUMIFS('Таблиця 1'!$K:$K,'Таблиця 1'!$B:$B,$A500,'Таблиця 1'!$I:$I,"F-16",'Таблиця 1'!$J:$J,"AGM-88")+SUMIFS('Таблиця 1'!$K:$K,'Таблиця 1'!$B:$B,$A500,'Таблиця 1'!$I:$I,"МіГ-29",'Таблиця 1'!$J:$J,"AGM-88")+SUMIFS('Таблиця 1'!$K:$K,'Таблиця 1'!$B:$B,$A500,'Таблиця 1'!$I:$I,"Су-25",'Таблиця 1'!$J:$J,"AGM-88")+SUMIFS('Таблиця 1'!$K:$K,'Таблиця 1'!$B:$B,$A500,'Таблиця 1'!$I:$I,"Су-27",'Таблиця 1'!$J:$J,"AGM-88"))</f>
        <v/>
      </c>
      <c r="I500">
        <f>IF($A500="","",SUMIFS('Таблиця 1'!$K:$K,'Таблиця 1'!$B:$B,$A500,'Таблиця 1'!$I:$I,"Mirage",'Таблиця 1'!$J:$J,"AASM-250")+SUMIFS('Таблиця 1'!$K:$K,'Таблиця 1'!$B:$B,$A500,'Таблиця 1'!$I:$I,"F-16",'Таблиця 1'!$J:$J,"AASM-250")+SUMIFS('Таблиця 1'!$K:$K,'Таблиця 1'!$B:$B,$A500,'Таблиця 1'!$I:$I,"МіГ-29",'Таблиця 1'!$J:$J,"AASM-250")+SUMIFS('Таблиця 1'!$K:$K,'Таблиця 1'!$B:$B,$A500,'Таблиця 1'!$I:$I,"Су-25",'Таблиця 1'!$J:$J,"AASM-250")+SUMIFS('Таблиця 1'!$K:$K,'Таблиця 1'!$B:$B,$A500,'Таблиця 1'!$I:$I,"Су-27",'Таблиця 1'!$J:$J,"AASM-250"))</f>
        <v/>
      </c>
      <c r="J500">
        <f>IF($A500="","",SUMIFS('Таблиця 1'!$K:$K,'Таблиця 1'!$B:$B,$A500,'Таблиця 1'!$I:$I,"Mirage",'Таблиця 1'!$J:$J,"GBU-39")+SUMIFS('Таблиця 1'!$K:$K,'Таблиця 1'!$B:$B,$A500,'Таблиця 1'!$I:$I,"F-16",'Таблиця 1'!$J:$J,"GBU-39")+SUMIFS('Таблиця 1'!$K:$K,'Таблиця 1'!$B:$B,$A500,'Таблиця 1'!$I:$I,"МіГ-29",'Таблиця 1'!$J:$J,"GBU-39")+SUMIFS('Таблиця 1'!$K:$K,'Таблиця 1'!$B:$B,$A500,'Таблиця 1'!$I:$I,"Су-25",'Таблиця 1'!$J:$J,"GBU-39")+SUMIFS('Таблиця 1'!$K:$K,'Таблиця 1'!$B:$B,$A500,'Таблиця 1'!$I:$I,"Су-27",'Таблиця 1'!$J:$J,"GBU-39"))</f>
        <v/>
      </c>
      <c r="K500">
        <f>IF($A500="","",SUMIFS('Таблиця 1'!$K:$K,'Таблиця 1'!$B:$B,$A500,'Таблиця 1'!$I:$I,"Mirage",'Таблиця 1'!$J:$J,"BLU-140")+SUMIFS('Таблиця 1'!$K:$K,'Таблиця 1'!$B:$B,$A500,'Таблиця 1'!$I:$I,"F-16",'Таблиця 1'!$J:$J,"BLU-140")+SUMIFS('Таблиця 1'!$K:$K,'Таблиця 1'!$B:$B,$A500,'Таблиця 1'!$I:$I,"МіГ-29",'Таблиця 1'!$J:$J,"BLU-140")+SUMIFS('Таблиця 1'!$K:$K,'Таблиця 1'!$B:$B,$A500,'Таблиця 1'!$I:$I,"Су-25",'Таблиця 1'!$J:$J,"BLU-140")+SUMIFS('Таблиця 1'!$K:$K,'Таблиця 1'!$B:$B,$A500,'Таблиця 1'!$I:$I,"Су-27",'Таблиця 1'!$J:$J,"BLU-140"))</f>
        <v/>
      </c>
      <c r="L500">
        <f>IF($A500="","",SUMIFS('Таблиця 1'!$K:$K,'Таблиця 1'!$B:$B,$A500,'Таблиця 1'!$I:$I,"Mirage",'Таблиця 1'!$J:$J,"GBU-65")+SUMIFS('Таблиця 1'!$K:$K,'Таблиця 1'!$B:$B,$A500,'Таблиця 1'!$I:$I,"F-16",'Таблиця 1'!$J:$J,"GBU-65")+SUMIFS('Таблиця 1'!$K:$K,'Таблиця 1'!$B:$B,$A500,'Таблиця 1'!$I:$I,"МіГ-29",'Таблиця 1'!$J:$J,"GBU-65")+SUMIFS('Таблиця 1'!$K:$K,'Таблиця 1'!$B:$B,$A500,'Таблиця 1'!$I:$I,"Су-25",'Таблиця 1'!$J:$J,"GBU-65")+SUMIFS('Таблиця 1'!$K:$K,'Таблиця 1'!$B:$B,$A500,'Таблиця 1'!$I:$I,"Су-27",'Таблиця 1'!$J:$J,"GBU-65"))</f>
        <v/>
      </c>
      <c r="M500">
        <f>IF($A500="","",SUMIFS('Таблиця 1'!$K:$K,'Таблиця 1'!$B:$B,$A500,'Таблиця 1'!$I:$I,"Mirage",'Таблиця 1'!$J:$J,"GBU-62")+SUMIFS('Таблиця 1'!$K:$K,'Таблиця 1'!$B:$B,$A500,'Таблиця 1'!$I:$I,"F-16",'Таблиця 1'!$J:$J,"GBU-62")+SUMIFS('Таблиця 1'!$K:$K,'Таблиця 1'!$B:$B,$A500,'Таблиця 1'!$I:$I,"МіГ-29",'Таблиця 1'!$J:$J,"GBU-62")+SUMIFS('Таблиця 1'!$K:$K,'Таблиця 1'!$B:$B,$A500,'Таблиця 1'!$I:$I,"Су-25",'Таблиця 1'!$J:$J,"GBU-62")+SUMIFS('Таблиця 1'!$K:$K,'Таблиця 1'!$B:$B,$A500,'Таблиця 1'!$I:$I,"Су-27",'Таблиця 1'!$J:$J,"GBU-62"))</f>
        <v/>
      </c>
      <c r="N500">
        <f>IF($A500="","",SUMIFS('Таблиця 1'!$K:$K,'Таблиця 1'!$B:$B,$A500,'Таблиця 1'!$I:$I,"Mirage",'Таблиця 1'!$J:$J,"GBU-64")+SUMIFS('Таблиця 1'!$K:$K,'Таблиця 1'!$B:$B,$A500,'Таблиця 1'!$I:$I,"F-16",'Таблиця 1'!$J:$J,"GBU-64")+SUMIFS('Таблиця 1'!$K:$K,'Таблиця 1'!$B:$B,$A500,'Таблиця 1'!$I:$I,"МіГ-29",'Таблиця 1'!$J:$J,"GBU-64")+SUMIFS('Таблиця 1'!$K:$K,'Таблиця 1'!$B:$B,$A500,'Таблиця 1'!$I:$I,"Су-25",'Таблиця 1'!$J:$J,"GBU-64")+SUMIFS('Таблиця 1'!$K:$K,'Таблиця 1'!$B:$B,$A500,'Таблиця 1'!$I:$I,"Су-27",'Таблиця 1'!$J:$J,"GBU-64"))</f>
        <v/>
      </c>
      <c r="O500">
        <f>IF($A500="","",SUMIFS('Таблиця 1'!$K:$K,'Таблиця 1'!$B:$B,$A500,'Таблиця 1'!$I:$I,"Mirage",'Таблиця 1'!$J:$J,"C-13")+SUMIFS('Таблиця 1'!$K:$K,'Таблиця 1'!$B:$B,$A500,'Таблиця 1'!$I:$I,"F-16",'Таблиця 1'!$J:$J,"C-13")+SUMIFS('Таблиця 1'!$K:$K,'Таблиця 1'!$B:$B,$A500,'Таблиця 1'!$I:$I,"МіГ-29",'Таблиця 1'!$J:$J,"C-13")+SUMIFS('Таблиця 1'!$K:$K,'Таблиця 1'!$B:$B,$A500,'Таблиця 1'!$I:$I,"Су-25",'Таблиця 1'!$J:$J,"C-13")+SUMIFS('Таблиця 1'!$K:$K,'Таблиця 1'!$B:$B,$A500,'Таблиця 1'!$I:$I,"Су-27",'Таблиця 1'!$J:$J,"C-13"))</f>
        <v/>
      </c>
      <c r="P500">
        <f>IF($A500="","",SUMIFS('Таблиця 1'!$K:$K,'Таблиця 1'!$B:$B,$A500,'Таблиця 1'!$I:$I,"Mirage",'Таблиця 1'!$J:$J,"MK-32")+SUMIFS('Таблиця 1'!$K:$K,'Таблиця 1'!$B:$B,$A500,'Таблиця 1'!$I:$I,"F-16",'Таблиця 1'!$J:$J,"MK-32")+SUMIFS('Таблиця 1'!$K:$K,'Таблиця 1'!$B:$B,$A500,'Таблиця 1'!$I:$I,"МіГ-29",'Таблиця 1'!$J:$J,"MK-32")+SUMIFS('Таблиця 1'!$K:$K,'Таблиця 1'!$B:$B,$A500,'Таблиця 1'!$I:$I,"Су-25",'Таблиця 1'!$J:$J,"MK-32")+SUMIFS('Таблиця 1'!$K:$K,'Таблиця 1'!$B:$B,$A500,'Таблиця 1'!$I:$I,"Су-27",'Таблиця 1'!$J:$J,"MK-32"))</f>
        <v/>
      </c>
      <c r="Q500">
        <f>IF($A500="","",SUMIFS('Таблиця 1'!$K:$K,'Таблиця 1'!$B:$B,$A500,'Таблиця 1'!$I:$I,"Mirage",'Таблиця 1'!$J:$J,"MK-24")+SUMIFS('Таблиця 1'!$K:$K,'Таблиця 1'!$B:$B,$A500,'Таблиця 1'!$I:$I,"F-16",'Таблиця 1'!$J:$J,"MK-24")+SUMIFS('Таблиця 1'!$K:$K,'Таблиця 1'!$B:$B,$A500,'Таблиця 1'!$I:$I,"МіГ-29",'Таблиця 1'!$J:$J,"MK-24")+SUMIFS('Таблиця 1'!$K:$K,'Таблиця 1'!$B:$B,$A500,'Таблиця 1'!$I:$I,"Су-25",'Таблиця 1'!$J:$J,"MK-24")+SUMIFS('Таблиця 1'!$K:$K,'Таблиця 1'!$B:$B,$A500,'Таблиця 1'!$I:$I,"Су-27",'Таблиця 1'!$J:$J,"MK-24"))</f>
        <v/>
      </c>
      <c r="R500">
        <f>IF($A500="","",COUNTIFS('Таблиця 1'!$B:$B,$A500,'Таблиця 1'!$I:$I,"Mirage",'Таблиця 1'!$L:$L,"Уражено")+COUNTIFS('Таблиця 1'!$B:$B,$A500,'Таблиця 1'!$I:$I,"F-16",'Таблиця 1'!$L:$L,"Уражено")+COUNTIFS('Таблиця 1'!$B:$B,$A500,'Таблиця 1'!$I:$I,"МіГ-29",'Таблиця 1'!$L:$L,"Уражено")+COUNTIFS('Таблиця 1'!$B:$B,$A500,'Таблиця 1'!$I:$I,"Су-25",'Таблиця 1'!$L:$L,"Уражено")+COUNTIFS('Таблиця 1'!$B:$B,$A500,'Таблиця 1'!$I:$I,"Су-27",'Таблиця 1'!$L:$L,"Уражено"))</f>
        <v/>
      </c>
      <c r="S500">
        <f>IF($A500="","",COUNTIFS('Таблиця 1'!$B:$B,$A500,'Таблиця 1'!$I:$I,"Mirage",'Таблиця 1'!$L:$L,"НЕ уражено")+COUNTIFS('Таблиця 1'!$B:$B,$A500,'Таблиця 1'!$I:$I,"F-16",'Таблиця 1'!$L:$L,"НЕ уражено")+COUNTIFS('Таблиця 1'!$B:$B,$A500,'Таблиця 1'!$I:$I,"МіГ-29",'Таблиця 1'!$L:$L,"НЕ уражено")+COUNTIFS('Таблиця 1'!$B:$B,$A500,'Таблиця 1'!$I:$I,"Су-25",'Таблиця 1'!$L:$L,"НЕ уражено")+COUNTIFS('Таблиця 1'!$B:$B,$A500,'Таблиця 1'!$I:$I,"Су-27",'Таблиця 1'!$L:$L,"НЕ уражено"))</f>
        <v/>
      </c>
      <c r="T500">
        <f>IF($A500="","",COUNTIFS('Таблиця 1'!$B:$B,$A500,'Таблиця 1'!$I:$I,"Mirage",'Таблиця 1'!$L:$L,"Дорозвідується")+COUNTIFS('Таблиця 1'!$B:$B,$A500,'Таблиця 1'!$I:$I,"F-16",'Таблиця 1'!$L:$L,"Дорозвідується")+COUNTIFS('Таблиця 1'!$B:$B,$A500,'Таблиця 1'!$I:$I,"МіГ-29",'Таблиця 1'!$L:$L,"Дорозвідується")+COUNTIFS('Таблиця 1'!$B:$B,$A500,'Таблиця 1'!$I:$I,"Су-25",'Таблиця 1'!$L:$L,"Дорозвідується")+COUNTIFS('Таблиця 1'!$B:$B,$A500,'Таблиця 1'!$I:$I,"Су-27",'Таблиця 1'!$L:$L,"Дорозвідується"))</f>
        <v/>
      </c>
    </row>
    <row r="501">
      <c r="A501" s="273">
        <f>IF(A500="","",IF(A500+1&gt;MAX('Таблиця 1'!$B:$B),"",A500+1))</f>
        <v/>
      </c>
      <c r="B501">
        <f>IF($A501="","",COUNTIFS('Таблиця 1'!$B:$B,$A501,'Таблиця 1'!$I:$I,"Mirage")+COUNTIFS('Таблиця 1'!$B:$B,$A501,'Таблиця 1'!$I:$I,"F-16")+COUNTIFS('Таблиця 1'!$B:$B,$A501,'Таблиця 1'!$I:$I,"МіГ-29")+COUNTIFS('Таблиця 1'!$B:$B,$A501,'Таблиця 1'!$I:$I,"Су-25")+COUNTIFS('Таблиця 1'!$B:$B,$A501,'Таблиця 1'!$I:$I,"Су-27"))</f>
        <v/>
      </c>
      <c r="C501">
        <f>IF($A501="","",COUNTIFS('Таблиця 1'!$B:$B,$A501,'Таблиця 1'!$I:$I,"Mirage"))</f>
        <v/>
      </c>
      <c r="D501">
        <f>IF($A501="","",COUNTIFS('Таблиця 1'!$B:$B,$A501,'Таблиця 1'!$I:$I,"F-16"))</f>
        <v/>
      </c>
      <c r="E501">
        <f>IF($A501="","",COUNTIFS('Таблиця 1'!$B:$B,$A501,'Таблиця 1'!$I:$I,"МіГ-29"))</f>
        <v/>
      </c>
      <c r="F501">
        <f>IF($A501="","",COUNTIFS('Таблиця 1'!$B:$B,$A501,'Таблиця 1'!$I:$I,"Су-25"))</f>
        <v/>
      </c>
      <c r="G501">
        <f>IF($A501="","",COUNTIFS('Таблиця 1'!$B:$B,$A501,'Таблиця 1'!$I:$I,"Су-27"))</f>
        <v/>
      </c>
      <c r="H501">
        <f>IF($A501="","",SUMIFS('Таблиця 1'!$K:$K,'Таблиця 1'!$B:$B,$A501,'Таблиця 1'!$I:$I,"Mirage",'Таблиця 1'!$J:$J,"AGM-88")+SUMIFS('Таблиця 1'!$K:$K,'Таблиця 1'!$B:$B,$A501,'Таблиця 1'!$I:$I,"F-16",'Таблиця 1'!$J:$J,"AGM-88")+SUMIFS('Таблиця 1'!$K:$K,'Таблиця 1'!$B:$B,$A501,'Таблиця 1'!$I:$I,"МіГ-29",'Таблиця 1'!$J:$J,"AGM-88")+SUMIFS('Таблиця 1'!$K:$K,'Таблиця 1'!$B:$B,$A501,'Таблиця 1'!$I:$I,"Су-25",'Таблиця 1'!$J:$J,"AGM-88")+SUMIFS('Таблиця 1'!$K:$K,'Таблиця 1'!$B:$B,$A501,'Таблиця 1'!$I:$I,"Су-27",'Таблиця 1'!$J:$J,"AGM-88"))</f>
        <v/>
      </c>
      <c r="I501">
        <f>IF($A501="","",SUMIFS('Таблиця 1'!$K:$K,'Таблиця 1'!$B:$B,$A501,'Таблиця 1'!$I:$I,"Mirage",'Таблиця 1'!$J:$J,"AASM-250")+SUMIFS('Таблиця 1'!$K:$K,'Таблиця 1'!$B:$B,$A501,'Таблиця 1'!$I:$I,"F-16",'Таблиця 1'!$J:$J,"AASM-250")+SUMIFS('Таблиця 1'!$K:$K,'Таблиця 1'!$B:$B,$A501,'Таблиця 1'!$I:$I,"МіГ-29",'Таблиця 1'!$J:$J,"AASM-250")+SUMIFS('Таблиця 1'!$K:$K,'Таблиця 1'!$B:$B,$A501,'Таблиця 1'!$I:$I,"Су-25",'Таблиця 1'!$J:$J,"AASM-250")+SUMIFS('Таблиця 1'!$K:$K,'Таблиця 1'!$B:$B,$A501,'Таблиця 1'!$I:$I,"Су-27",'Таблиця 1'!$J:$J,"AASM-250"))</f>
        <v/>
      </c>
      <c r="J501">
        <f>IF($A501="","",SUMIFS('Таблиця 1'!$K:$K,'Таблиця 1'!$B:$B,$A501,'Таблиця 1'!$I:$I,"Mirage",'Таблиця 1'!$J:$J,"GBU-39")+SUMIFS('Таблиця 1'!$K:$K,'Таблиця 1'!$B:$B,$A501,'Таблиця 1'!$I:$I,"F-16",'Таблиця 1'!$J:$J,"GBU-39")+SUMIFS('Таблиця 1'!$K:$K,'Таблиця 1'!$B:$B,$A501,'Таблиця 1'!$I:$I,"МіГ-29",'Таблиця 1'!$J:$J,"GBU-39")+SUMIFS('Таблиця 1'!$K:$K,'Таблиця 1'!$B:$B,$A501,'Таблиця 1'!$I:$I,"Су-25",'Таблиця 1'!$J:$J,"GBU-39")+SUMIFS('Таблиця 1'!$K:$K,'Таблиця 1'!$B:$B,$A501,'Таблиця 1'!$I:$I,"Су-27",'Таблиця 1'!$J:$J,"GBU-39"))</f>
        <v/>
      </c>
      <c r="K501">
        <f>IF($A501="","",SUMIFS('Таблиця 1'!$K:$K,'Таблиця 1'!$B:$B,$A501,'Таблиця 1'!$I:$I,"Mirage",'Таблиця 1'!$J:$J,"BLU-140")+SUMIFS('Таблиця 1'!$K:$K,'Таблиця 1'!$B:$B,$A501,'Таблиця 1'!$I:$I,"F-16",'Таблиця 1'!$J:$J,"BLU-140")+SUMIFS('Таблиця 1'!$K:$K,'Таблиця 1'!$B:$B,$A501,'Таблиця 1'!$I:$I,"МіГ-29",'Таблиця 1'!$J:$J,"BLU-140")+SUMIFS('Таблиця 1'!$K:$K,'Таблиця 1'!$B:$B,$A501,'Таблиця 1'!$I:$I,"Су-25",'Таблиця 1'!$J:$J,"BLU-140")+SUMIFS('Таблиця 1'!$K:$K,'Таблиця 1'!$B:$B,$A501,'Таблиця 1'!$I:$I,"Су-27",'Таблиця 1'!$J:$J,"BLU-140"))</f>
        <v/>
      </c>
      <c r="L501">
        <f>IF($A501="","",SUMIFS('Таблиця 1'!$K:$K,'Таблиця 1'!$B:$B,$A501,'Таблиця 1'!$I:$I,"Mirage",'Таблиця 1'!$J:$J,"GBU-65")+SUMIFS('Таблиця 1'!$K:$K,'Таблиця 1'!$B:$B,$A501,'Таблиця 1'!$I:$I,"F-16",'Таблиця 1'!$J:$J,"GBU-65")+SUMIFS('Таблиця 1'!$K:$K,'Таблиця 1'!$B:$B,$A501,'Таблиця 1'!$I:$I,"МіГ-29",'Таблиця 1'!$J:$J,"GBU-65")+SUMIFS('Таблиця 1'!$K:$K,'Таблиця 1'!$B:$B,$A501,'Таблиця 1'!$I:$I,"Су-25",'Таблиця 1'!$J:$J,"GBU-65")+SUMIFS('Таблиця 1'!$K:$K,'Таблиця 1'!$B:$B,$A501,'Таблиця 1'!$I:$I,"Су-27",'Таблиця 1'!$J:$J,"GBU-65"))</f>
        <v/>
      </c>
      <c r="M501">
        <f>IF($A501="","",SUMIFS('Таблиця 1'!$K:$K,'Таблиця 1'!$B:$B,$A501,'Таблиця 1'!$I:$I,"Mirage",'Таблиця 1'!$J:$J,"GBU-62")+SUMIFS('Таблиця 1'!$K:$K,'Таблиця 1'!$B:$B,$A501,'Таблиця 1'!$I:$I,"F-16",'Таблиця 1'!$J:$J,"GBU-62")+SUMIFS('Таблиця 1'!$K:$K,'Таблиця 1'!$B:$B,$A501,'Таблиця 1'!$I:$I,"МіГ-29",'Таблиця 1'!$J:$J,"GBU-62")+SUMIFS('Таблиця 1'!$K:$K,'Таблиця 1'!$B:$B,$A501,'Таблиця 1'!$I:$I,"Су-25",'Таблиця 1'!$J:$J,"GBU-62")+SUMIFS('Таблиця 1'!$K:$K,'Таблиця 1'!$B:$B,$A501,'Таблиця 1'!$I:$I,"Су-27",'Таблиця 1'!$J:$J,"GBU-62"))</f>
        <v/>
      </c>
      <c r="N501">
        <f>IF($A501="","",SUMIFS('Таблиця 1'!$K:$K,'Таблиця 1'!$B:$B,$A501,'Таблиця 1'!$I:$I,"Mirage",'Таблиця 1'!$J:$J,"GBU-64")+SUMIFS('Таблиця 1'!$K:$K,'Таблиця 1'!$B:$B,$A501,'Таблиця 1'!$I:$I,"F-16",'Таблиця 1'!$J:$J,"GBU-64")+SUMIFS('Таблиця 1'!$K:$K,'Таблиця 1'!$B:$B,$A501,'Таблиця 1'!$I:$I,"МіГ-29",'Таблиця 1'!$J:$J,"GBU-64")+SUMIFS('Таблиця 1'!$K:$K,'Таблиця 1'!$B:$B,$A501,'Таблиця 1'!$I:$I,"Су-25",'Таблиця 1'!$J:$J,"GBU-64")+SUMIFS('Таблиця 1'!$K:$K,'Таблиця 1'!$B:$B,$A501,'Таблиця 1'!$I:$I,"Су-27",'Таблиця 1'!$J:$J,"GBU-64"))</f>
        <v/>
      </c>
      <c r="O501">
        <f>IF($A501="","",SUMIFS('Таблиця 1'!$K:$K,'Таблиця 1'!$B:$B,$A501,'Таблиця 1'!$I:$I,"Mirage",'Таблиця 1'!$J:$J,"C-13")+SUMIFS('Таблиця 1'!$K:$K,'Таблиця 1'!$B:$B,$A501,'Таблиця 1'!$I:$I,"F-16",'Таблиця 1'!$J:$J,"C-13")+SUMIFS('Таблиця 1'!$K:$K,'Таблиця 1'!$B:$B,$A501,'Таблиця 1'!$I:$I,"МіГ-29",'Таблиця 1'!$J:$J,"C-13")+SUMIFS('Таблиця 1'!$K:$K,'Таблиця 1'!$B:$B,$A501,'Таблиця 1'!$I:$I,"Су-25",'Таблиця 1'!$J:$J,"C-13")+SUMIFS('Таблиця 1'!$K:$K,'Таблиця 1'!$B:$B,$A501,'Таблиця 1'!$I:$I,"Су-27",'Таблиця 1'!$J:$J,"C-13"))</f>
        <v/>
      </c>
      <c r="P501">
        <f>IF($A501="","",SUMIFS('Таблиця 1'!$K:$K,'Таблиця 1'!$B:$B,$A501,'Таблиця 1'!$I:$I,"Mirage",'Таблиця 1'!$J:$J,"MK-32")+SUMIFS('Таблиця 1'!$K:$K,'Таблиця 1'!$B:$B,$A501,'Таблиця 1'!$I:$I,"F-16",'Таблиця 1'!$J:$J,"MK-32")+SUMIFS('Таблиця 1'!$K:$K,'Таблиця 1'!$B:$B,$A501,'Таблиця 1'!$I:$I,"МіГ-29",'Таблиця 1'!$J:$J,"MK-32")+SUMIFS('Таблиця 1'!$K:$K,'Таблиця 1'!$B:$B,$A501,'Таблиця 1'!$I:$I,"Су-25",'Таблиця 1'!$J:$J,"MK-32")+SUMIFS('Таблиця 1'!$K:$K,'Таблиця 1'!$B:$B,$A501,'Таблиця 1'!$I:$I,"Су-27",'Таблиця 1'!$J:$J,"MK-32"))</f>
        <v/>
      </c>
      <c r="Q501">
        <f>IF($A501="","",SUMIFS('Таблиця 1'!$K:$K,'Таблиця 1'!$B:$B,$A501,'Таблиця 1'!$I:$I,"Mirage",'Таблиця 1'!$J:$J,"MK-24")+SUMIFS('Таблиця 1'!$K:$K,'Таблиця 1'!$B:$B,$A501,'Таблиця 1'!$I:$I,"F-16",'Таблиця 1'!$J:$J,"MK-24")+SUMIFS('Таблиця 1'!$K:$K,'Таблиця 1'!$B:$B,$A501,'Таблиця 1'!$I:$I,"МіГ-29",'Таблиця 1'!$J:$J,"MK-24")+SUMIFS('Таблиця 1'!$K:$K,'Таблиця 1'!$B:$B,$A501,'Таблиця 1'!$I:$I,"Су-25",'Таблиця 1'!$J:$J,"MK-24")+SUMIFS('Таблиця 1'!$K:$K,'Таблиця 1'!$B:$B,$A501,'Таблиця 1'!$I:$I,"Су-27",'Таблиця 1'!$J:$J,"MK-24"))</f>
        <v/>
      </c>
      <c r="R501">
        <f>IF($A501="","",COUNTIFS('Таблиця 1'!$B:$B,$A501,'Таблиця 1'!$I:$I,"Mirage",'Таблиця 1'!$L:$L,"Уражено")+COUNTIFS('Таблиця 1'!$B:$B,$A501,'Таблиця 1'!$I:$I,"F-16",'Таблиця 1'!$L:$L,"Уражено")+COUNTIFS('Таблиця 1'!$B:$B,$A501,'Таблиця 1'!$I:$I,"МіГ-29",'Таблиця 1'!$L:$L,"Уражено")+COUNTIFS('Таблиця 1'!$B:$B,$A501,'Таблиця 1'!$I:$I,"Су-25",'Таблиця 1'!$L:$L,"Уражено")+COUNTIFS('Таблиця 1'!$B:$B,$A501,'Таблиця 1'!$I:$I,"Су-27",'Таблиця 1'!$L:$L,"Уражено"))</f>
        <v/>
      </c>
      <c r="S501">
        <f>IF($A501="","",COUNTIFS('Таблиця 1'!$B:$B,$A501,'Таблиця 1'!$I:$I,"Mirage",'Таблиця 1'!$L:$L,"НЕ уражено")+COUNTIFS('Таблиця 1'!$B:$B,$A501,'Таблиця 1'!$I:$I,"F-16",'Таблиця 1'!$L:$L,"НЕ уражено")+COUNTIFS('Таблиця 1'!$B:$B,$A501,'Таблиця 1'!$I:$I,"МіГ-29",'Таблиця 1'!$L:$L,"НЕ уражено")+COUNTIFS('Таблиця 1'!$B:$B,$A501,'Таблиця 1'!$I:$I,"Су-25",'Таблиця 1'!$L:$L,"НЕ уражено")+COUNTIFS('Таблиця 1'!$B:$B,$A501,'Таблиця 1'!$I:$I,"Су-27",'Таблиця 1'!$L:$L,"НЕ уражено"))</f>
        <v/>
      </c>
      <c r="T501">
        <f>IF($A501="","",COUNTIFS('Таблиця 1'!$B:$B,$A501,'Таблиця 1'!$I:$I,"Mirage",'Таблиця 1'!$L:$L,"Дорозвідується")+COUNTIFS('Таблиця 1'!$B:$B,$A501,'Таблиця 1'!$I:$I,"F-16",'Таблиця 1'!$L:$L,"Дорозвідується")+COUNTIFS('Таблиця 1'!$B:$B,$A501,'Таблиця 1'!$I:$I,"МіГ-29",'Таблиця 1'!$L:$L,"Дорозвідується")+COUNTIFS('Таблиця 1'!$B:$B,$A501,'Таблиця 1'!$I:$I,"Су-25",'Таблиця 1'!$L:$L,"Дорозвідується")+COUNTIFS('Таблиця 1'!$B:$B,$A501,'Таблиця 1'!$I:$I,"Су-27",'Таблиця 1'!$L:$L,"Дорозвідується"))</f>
        <v/>
      </c>
    </row>
    <row r="502">
      <c r="A502" s="273">
        <f>IF(A501="","",IF(A501+1&gt;MAX('Таблиця 1'!$B:$B),"",A501+1))</f>
        <v/>
      </c>
      <c r="B502">
        <f>IF($A502="","",COUNTIFS('Таблиця 1'!$B:$B,$A502,'Таблиця 1'!$I:$I,"Mirage")+COUNTIFS('Таблиця 1'!$B:$B,$A502,'Таблиця 1'!$I:$I,"F-16")+COUNTIFS('Таблиця 1'!$B:$B,$A502,'Таблиця 1'!$I:$I,"МіГ-29")+COUNTIFS('Таблиця 1'!$B:$B,$A502,'Таблиця 1'!$I:$I,"Су-25")+COUNTIFS('Таблиця 1'!$B:$B,$A502,'Таблиця 1'!$I:$I,"Су-27"))</f>
        <v/>
      </c>
      <c r="C502">
        <f>IF($A502="","",COUNTIFS('Таблиця 1'!$B:$B,$A502,'Таблиця 1'!$I:$I,"Mirage"))</f>
        <v/>
      </c>
      <c r="D502">
        <f>IF($A502="","",COUNTIFS('Таблиця 1'!$B:$B,$A502,'Таблиця 1'!$I:$I,"F-16"))</f>
        <v/>
      </c>
      <c r="E502">
        <f>IF($A502="","",COUNTIFS('Таблиця 1'!$B:$B,$A502,'Таблиця 1'!$I:$I,"МіГ-29"))</f>
        <v/>
      </c>
      <c r="F502">
        <f>IF($A502="","",COUNTIFS('Таблиця 1'!$B:$B,$A502,'Таблиця 1'!$I:$I,"Су-25"))</f>
        <v/>
      </c>
      <c r="G502">
        <f>IF($A502="","",COUNTIFS('Таблиця 1'!$B:$B,$A502,'Таблиця 1'!$I:$I,"Су-27"))</f>
        <v/>
      </c>
      <c r="H502">
        <f>IF($A502="","",SUMIFS('Таблиця 1'!$K:$K,'Таблиця 1'!$B:$B,$A502,'Таблиця 1'!$I:$I,"Mirage",'Таблиця 1'!$J:$J,"AGM-88")+SUMIFS('Таблиця 1'!$K:$K,'Таблиця 1'!$B:$B,$A502,'Таблиця 1'!$I:$I,"F-16",'Таблиця 1'!$J:$J,"AGM-88")+SUMIFS('Таблиця 1'!$K:$K,'Таблиця 1'!$B:$B,$A502,'Таблиця 1'!$I:$I,"МіГ-29",'Таблиця 1'!$J:$J,"AGM-88")+SUMIFS('Таблиця 1'!$K:$K,'Таблиця 1'!$B:$B,$A502,'Таблиця 1'!$I:$I,"Су-25",'Таблиця 1'!$J:$J,"AGM-88")+SUMIFS('Таблиця 1'!$K:$K,'Таблиця 1'!$B:$B,$A502,'Таблиця 1'!$I:$I,"Су-27",'Таблиця 1'!$J:$J,"AGM-88"))</f>
        <v/>
      </c>
      <c r="I502">
        <f>IF($A502="","",SUMIFS('Таблиця 1'!$K:$K,'Таблиця 1'!$B:$B,$A502,'Таблиця 1'!$I:$I,"Mirage",'Таблиця 1'!$J:$J,"AASM-250")+SUMIFS('Таблиця 1'!$K:$K,'Таблиця 1'!$B:$B,$A502,'Таблиця 1'!$I:$I,"F-16",'Таблиця 1'!$J:$J,"AASM-250")+SUMIFS('Таблиця 1'!$K:$K,'Таблиця 1'!$B:$B,$A502,'Таблиця 1'!$I:$I,"МіГ-29",'Таблиця 1'!$J:$J,"AASM-250")+SUMIFS('Таблиця 1'!$K:$K,'Таблиця 1'!$B:$B,$A502,'Таблиця 1'!$I:$I,"Су-25",'Таблиця 1'!$J:$J,"AASM-250")+SUMIFS('Таблиця 1'!$K:$K,'Таблиця 1'!$B:$B,$A502,'Таблиця 1'!$I:$I,"Су-27",'Таблиця 1'!$J:$J,"AASM-250"))</f>
        <v/>
      </c>
      <c r="J502">
        <f>IF($A502="","",SUMIFS('Таблиця 1'!$K:$K,'Таблиця 1'!$B:$B,$A502,'Таблиця 1'!$I:$I,"Mirage",'Таблиця 1'!$J:$J,"GBU-39")+SUMIFS('Таблиця 1'!$K:$K,'Таблиця 1'!$B:$B,$A502,'Таблиця 1'!$I:$I,"F-16",'Таблиця 1'!$J:$J,"GBU-39")+SUMIFS('Таблиця 1'!$K:$K,'Таблиця 1'!$B:$B,$A502,'Таблиця 1'!$I:$I,"МіГ-29",'Таблиця 1'!$J:$J,"GBU-39")+SUMIFS('Таблиця 1'!$K:$K,'Таблиця 1'!$B:$B,$A502,'Таблиця 1'!$I:$I,"Су-25",'Таблиця 1'!$J:$J,"GBU-39")+SUMIFS('Таблиця 1'!$K:$K,'Таблиця 1'!$B:$B,$A502,'Таблиця 1'!$I:$I,"Су-27",'Таблиця 1'!$J:$J,"GBU-39"))</f>
        <v/>
      </c>
      <c r="K502">
        <f>IF($A502="","",SUMIFS('Таблиця 1'!$K:$K,'Таблиця 1'!$B:$B,$A502,'Таблиця 1'!$I:$I,"Mirage",'Таблиця 1'!$J:$J,"BLU-140")+SUMIFS('Таблиця 1'!$K:$K,'Таблиця 1'!$B:$B,$A502,'Таблиця 1'!$I:$I,"F-16",'Таблиця 1'!$J:$J,"BLU-140")+SUMIFS('Таблиця 1'!$K:$K,'Таблиця 1'!$B:$B,$A502,'Таблиця 1'!$I:$I,"МіГ-29",'Таблиця 1'!$J:$J,"BLU-140")+SUMIFS('Таблиця 1'!$K:$K,'Таблиця 1'!$B:$B,$A502,'Таблиця 1'!$I:$I,"Су-25",'Таблиця 1'!$J:$J,"BLU-140")+SUMIFS('Таблиця 1'!$K:$K,'Таблиця 1'!$B:$B,$A502,'Таблиця 1'!$I:$I,"Су-27",'Таблиця 1'!$J:$J,"BLU-140"))</f>
        <v/>
      </c>
      <c r="L502">
        <f>IF($A502="","",SUMIFS('Таблиця 1'!$K:$K,'Таблиця 1'!$B:$B,$A502,'Таблиця 1'!$I:$I,"Mirage",'Таблиця 1'!$J:$J,"GBU-65")+SUMIFS('Таблиця 1'!$K:$K,'Таблиця 1'!$B:$B,$A502,'Таблиця 1'!$I:$I,"F-16",'Таблиця 1'!$J:$J,"GBU-65")+SUMIFS('Таблиця 1'!$K:$K,'Таблиця 1'!$B:$B,$A502,'Таблиця 1'!$I:$I,"МіГ-29",'Таблиця 1'!$J:$J,"GBU-65")+SUMIFS('Таблиця 1'!$K:$K,'Таблиця 1'!$B:$B,$A502,'Таблиця 1'!$I:$I,"Су-25",'Таблиця 1'!$J:$J,"GBU-65")+SUMIFS('Таблиця 1'!$K:$K,'Таблиця 1'!$B:$B,$A502,'Таблиця 1'!$I:$I,"Су-27",'Таблиця 1'!$J:$J,"GBU-65"))</f>
        <v/>
      </c>
      <c r="M502">
        <f>IF($A502="","",SUMIFS('Таблиця 1'!$K:$K,'Таблиця 1'!$B:$B,$A502,'Таблиця 1'!$I:$I,"Mirage",'Таблиця 1'!$J:$J,"GBU-62")+SUMIFS('Таблиця 1'!$K:$K,'Таблиця 1'!$B:$B,$A502,'Таблиця 1'!$I:$I,"F-16",'Таблиця 1'!$J:$J,"GBU-62")+SUMIFS('Таблиця 1'!$K:$K,'Таблиця 1'!$B:$B,$A502,'Таблиця 1'!$I:$I,"МіГ-29",'Таблиця 1'!$J:$J,"GBU-62")+SUMIFS('Таблиця 1'!$K:$K,'Таблиця 1'!$B:$B,$A502,'Таблиця 1'!$I:$I,"Су-25",'Таблиця 1'!$J:$J,"GBU-62")+SUMIFS('Таблиця 1'!$K:$K,'Таблиця 1'!$B:$B,$A502,'Таблиця 1'!$I:$I,"Су-27",'Таблиця 1'!$J:$J,"GBU-62"))</f>
        <v/>
      </c>
      <c r="N502">
        <f>IF($A502="","",SUMIFS('Таблиця 1'!$K:$K,'Таблиця 1'!$B:$B,$A502,'Таблиця 1'!$I:$I,"Mirage",'Таблиця 1'!$J:$J,"GBU-64")+SUMIFS('Таблиця 1'!$K:$K,'Таблиця 1'!$B:$B,$A502,'Таблиця 1'!$I:$I,"F-16",'Таблиця 1'!$J:$J,"GBU-64")+SUMIFS('Таблиця 1'!$K:$K,'Таблиця 1'!$B:$B,$A502,'Таблиця 1'!$I:$I,"МіГ-29",'Таблиця 1'!$J:$J,"GBU-64")+SUMIFS('Таблиця 1'!$K:$K,'Таблиця 1'!$B:$B,$A502,'Таблиця 1'!$I:$I,"Су-25",'Таблиця 1'!$J:$J,"GBU-64")+SUMIFS('Таблиця 1'!$K:$K,'Таблиця 1'!$B:$B,$A502,'Таблиця 1'!$I:$I,"Су-27",'Таблиця 1'!$J:$J,"GBU-64"))</f>
        <v/>
      </c>
      <c r="O502">
        <f>IF($A502="","",SUMIFS('Таблиця 1'!$K:$K,'Таблиця 1'!$B:$B,$A502,'Таблиця 1'!$I:$I,"Mirage",'Таблиця 1'!$J:$J,"C-13")+SUMIFS('Таблиця 1'!$K:$K,'Таблиця 1'!$B:$B,$A502,'Таблиця 1'!$I:$I,"F-16",'Таблиця 1'!$J:$J,"C-13")+SUMIFS('Таблиця 1'!$K:$K,'Таблиця 1'!$B:$B,$A502,'Таблиця 1'!$I:$I,"МіГ-29",'Таблиця 1'!$J:$J,"C-13")+SUMIFS('Таблиця 1'!$K:$K,'Таблиця 1'!$B:$B,$A502,'Таблиця 1'!$I:$I,"Су-25",'Таблиця 1'!$J:$J,"C-13")+SUMIFS('Таблиця 1'!$K:$K,'Таблиця 1'!$B:$B,$A502,'Таблиця 1'!$I:$I,"Су-27",'Таблиця 1'!$J:$J,"C-13"))</f>
        <v/>
      </c>
      <c r="P502">
        <f>IF($A502="","",SUMIFS('Таблиця 1'!$K:$K,'Таблиця 1'!$B:$B,$A502,'Таблиця 1'!$I:$I,"Mirage",'Таблиця 1'!$J:$J,"MK-32")+SUMIFS('Таблиця 1'!$K:$K,'Таблиця 1'!$B:$B,$A502,'Таблиця 1'!$I:$I,"F-16",'Таблиця 1'!$J:$J,"MK-32")+SUMIFS('Таблиця 1'!$K:$K,'Таблиця 1'!$B:$B,$A502,'Таблиця 1'!$I:$I,"МіГ-29",'Таблиця 1'!$J:$J,"MK-32")+SUMIFS('Таблиця 1'!$K:$K,'Таблиця 1'!$B:$B,$A502,'Таблиця 1'!$I:$I,"Су-25",'Таблиця 1'!$J:$J,"MK-32")+SUMIFS('Таблиця 1'!$K:$K,'Таблиця 1'!$B:$B,$A502,'Таблиця 1'!$I:$I,"Су-27",'Таблиця 1'!$J:$J,"MK-32"))</f>
        <v/>
      </c>
      <c r="Q502">
        <f>IF($A502="","",SUMIFS('Таблиця 1'!$K:$K,'Таблиця 1'!$B:$B,$A502,'Таблиця 1'!$I:$I,"Mirage",'Таблиця 1'!$J:$J,"MK-24")+SUMIFS('Таблиця 1'!$K:$K,'Таблиця 1'!$B:$B,$A502,'Таблиця 1'!$I:$I,"F-16",'Таблиця 1'!$J:$J,"MK-24")+SUMIFS('Таблиця 1'!$K:$K,'Таблиця 1'!$B:$B,$A502,'Таблиця 1'!$I:$I,"МіГ-29",'Таблиця 1'!$J:$J,"MK-24")+SUMIFS('Таблиця 1'!$K:$K,'Таблиця 1'!$B:$B,$A502,'Таблиця 1'!$I:$I,"Су-25",'Таблиця 1'!$J:$J,"MK-24")+SUMIFS('Таблиця 1'!$K:$K,'Таблиця 1'!$B:$B,$A502,'Таблиця 1'!$I:$I,"Су-27",'Таблиця 1'!$J:$J,"MK-24"))</f>
        <v/>
      </c>
      <c r="R502">
        <f>IF($A502="","",COUNTIFS('Таблиця 1'!$B:$B,$A502,'Таблиця 1'!$I:$I,"Mirage",'Таблиця 1'!$L:$L,"Уражено")+COUNTIFS('Таблиця 1'!$B:$B,$A502,'Таблиця 1'!$I:$I,"F-16",'Таблиця 1'!$L:$L,"Уражено")+COUNTIFS('Таблиця 1'!$B:$B,$A502,'Таблиця 1'!$I:$I,"МіГ-29",'Таблиця 1'!$L:$L,"Уражено")+COUNTIFS('Таблиця 1'!$B:$B,$A502,'Таблиця 1'!$I:$I,"Су-25",'Таблиця 1'!$L:$L,"Уражено")+COUNTIFS('Таблиця 1'!$B:$B,$A502,'Таблиця 1'!$I:$I,"Су-27",'Таблиця 1'!$L:$L,"Уражено"))</f>
        <v/>
      </c>
      <c r="S502">
        <f>IF($A502="","",COUNTIFS('Таблиця 1'!$B:$B,$A502,'Таблиця 1'!$I:$I,"Mirage",'Таблиця 1'!$L:$L,"НЕ уражено")+COUNTIFS('Таблиця 1'!$B:$B,$A502,'Таблиця 1'!$I:$I,"F-16",'Таблиця 1'!$L:$L,"НЕ уражено")+COUNTIFS('Таблиця 1'!$B:$B,$A502,'Таблиця 1'!$I:$I,"МіГ-29",'Таблиця 1'!$L:$L,"НЕ уражено")+COUNTIFS('Таблиця 1'!$B:$B,$A502,'Таблиця 1'!$I:$I,"Су-25",'Таблиця 1'!$L:$L,"НЕ уражено")+COUNTIFS('Таблиця 1'!$B:$B,$A502,'Таблиця 1'!$I:$I,"Су-27",'Таблиця 1'!$L:$L,"НЕ уражено"))</f>
        <v/>
      </c>
      <c r="T502">
        <f>IF($A502="","",COUNTIFS('Таблиця 1'!$B:$B,$A502,'Таблиця 1'!$I:$I,"Mirage",'Таблиця 1'!$L:$L,"Дорозвідується")+COUNTIFS('Таблиця 1'!$B:$B,$A502,'Таблиця 1'!$I:$I,"F-16",'Таблиця 1'!$L:$L,"Дорозвідується")+COUNTIFS('Таблиця 1'!$B:$B,$A502,'Таблиця 1'!$I:$I,"МіГ-29",'Таблиця 1'!$L:$L,"Дорозвідується")+COUNTIFS('Таблиця 1'!$B:$B,$A502,'Таблиця 1'!$I:$I,"Су-25",'Таблиця 1'!$L:$L,"Дорозвідується")+COUNTIFS('Таблиця 1'!$B:$B,$A502,'Таблиця 1'!$I:$I,"Су-27",'Таблиця 1'!$L:$L,"Дорозвідується"))</f>
        <v/>
      </c>
    </row>
    <row r="503">
      <c r="A503" s="273">
        <f>IF(A502="","",IF(A502+1&gt;MAX('Таблиця 1'!$B:$B),"",A502+1))</f>
        <v/>
      </c>
      <c r="B503">
        <f>IF($A503="","",COUNTIFS('Таблиця 1'!$B:$B,$A503,'Таблиця 1'!$I:$I,"Mirage")+COUNTIFS('Таблиця 1'!$B:$B,$A503,'Таблиця 1'!$I:$I,"F-16")+COUNTIFS('Таблиця 1'!$B:$B,$A503,'Таблиця 1'!$I:$I,"МіГ-29")+COUNTIFS('Таблиця 1'!$B:$B,$A503,'Таблиця 1'!$I:$I,"Су-25")+COUNTIFS('Таблиця 1'!$B:$B,$A503,'Таблиця 1'!$I:$I,"Су-27"))</f>
        <v/>
      </c>
      <c r="C503">
        <f>IF($A503="","",COUNTIFS('Таблиця 1'!$B:$B,$A503,'Таблиця 1'!$I:$I,"Mirage"))</f>
        <v/>
      </c>
      <c r="D503">
        <f>IF($A503="","",COUNTIFS('Таблиця 1'!$B:$B,$A503,'Таблиця 1'!$I:$I,"F-16"))</f>
        <v/>
      </c>
      <c r="E503">
        <f>IF($A503="","",COUNTIFS('Таблиця 1'!$B:$B,$A503,'Таблиця 1'!$I:$I,"МіГ-29"))</f>
        <v/>
      </c>
      <c r="F503">
        <f>IF($A503="","",COUNTIFS('Таблиця 1'!$B:$B,$A503,'Таблиця 1'!$I:$I,"Су-25"))</f>
        <v/>
      </c>
      <c r="G503">
        <f>IF($A503="","",COUNTIFS('Таблиця 1'!$B:$B,$A503,'Таблиця 1'!$I:$I,"Су-27"))</f>
        <v/>
      </c>
      <c r="H503">
        <f>IF($A503="","",SUMIFS('Таблиця 1'!$K:$K,'Таблиця 1'!$B:$B,$A503,'Таблиця 1'!$I:$I,"Mirage",'Таблиця 1'!$J:$J,"AGM-88")+SUMIFS('Таблиця 1'!$K:$K,'Таблиця 1'!$B:$B,$A503,'Таблиця 1'!$I:$I,"F-16",'Таблиця 1'!$J:$J,"AGM-88")+SUMIFS('Таблиця 1'!$K:$K,'Таблиця 1'!$B:$B,$A503,'Таблиця 1'!$I:$I,"МіГ-29",'Таблиця 1'!$J:$J,"AGM-88")+SUMIFS('Таблиця 1'!$K:$K,'Таблиця 1'!$B:$B,$A503,'Таблиця 1'!$I:$I,"Су-25",'Таблиця 1'!$J:$J,"AGM-88")+SUMIFS('Таблиця 1'!$K:$K,'Таблиця 1'!$B:$B,$A503,'Таблиця 1'!$I:$I,"Су-27",'Таблиця 1'!$J:$J,"AGM-88"))</f>
        <v/>
      </c>
      <c r="I503">
        <f>IF($A503="","",SUMIFS('Таблиця 1'!$K:$K,'Таблиця 1'!$B:$B,$A503,'Таблиця 1'!$I:$I,"Mirage",'Таблиця 1'!$J:$J,"AASM-250")+SUMIFS('Таблиця 1'!$K:$K,'Таблиця 1'!$B:$B,$A503,'Таблиця 1'!$I:$I,"F-16",'Таблиця 1'!$J:$J,"AASM-250")+SUMIFS('Таблиця 1'!$K:$K,'Таблиця 1'!$B:$B,$A503,'Таблиця 1'!$I:$I,"МіГ-29",'Таблиця 1'!$J:$J,"AASM-250")+SUMIFS('Таблиця 1'!$K:$K,'Таблиця 1'!$B:$B,$A503,'Таблиця 1'!$I:$I,"Су-25",'Таблиця 1'!$J:$J,"AASM-250")+SUMIFS('Таблиця 1'!$K:$K,'Таблиця 1'!$B:$B,$A503,'Таблиця 1'!$I:$I,"Су-27",'Таблиця 1'!$J:$J,"AASM-250"))</f>
        <v/>
      </c>
      <c r="J503">
        <f>IF($A503="","",SUMIFS('Таблиця 1'!$K:$K,'Таблиця 1'!$B:$B,$A503,'Таблиця 1'!$I:$I,"Mirage",'Таблиця 1'!$J:$J,"GBU-39")+SUMIFS('Таблиця 1'!$K:$K,'Таблиця 1'!$B:$B,$A503,'Таблиця 1'!$I:$I,"F-16",'Таблиця 1'!$J:$J,"GBU-39")+SUMIFS('Таблиця 1'!$K:$K,'Таблиця 1'!$B:$B,$A503,'Таблиця 1'!$I:$I,"МіГ-29",'Таблиця 1'!$J:$J,"GBU-39")+SUMIFS('Таблиця 1'!$K:$K,'Таблиця 1'!$B:$B,$A503,'Таблиця 1'!$I:$I,"Су-25",'Таблиця 1'!$J:$J,"GBU-39")+SUMIFS('Таблиця 1'!$K:$K,'Таблиця 1'!$B:$B,$A503,'Таблиця 1'!$I:$I,"Су-27",'Таблиця 1'!$J:$J,"GBU-39"))</f>
        <v/>
      </c>
      <c r="K503">
        <f>IF($A503="","",SUMIFS('Таблиця 1'!$K:$K,'Таблиця 1'!$B:$B,$A503,'Таблиця 1'!$I:$I,"Mirage",'Таблиця 1'!$J:$J,"BLU-140")+SUMIFS('Таблиця 1'!$K:$K,'Таблиця 1'!$B:$B,$A503,'Таблиця 1'!$I:$I,"F-16",'Таблиця 1'!$J:$J,"BLU-140")+SUMIFS('Таблиця 1'!$K:$K,'Таблиця 1'!$B:$B,$A503,'Таблиця 1'!$I:$I,"МіГ-29",'Таблиця 1'!$J:$J,"BLU-140")+SUMIFS('Таблиця 1'!$K:$K,'Таблиця 1'!$B:$B,$A503,'Таблиця 1'!$I:$I,"Су-25",'Таблиця 1'!$J:$J,"BLU-140")+SUMIFS('Таблиця 1'!$K:$K,'Таблиця 1'!$B:$B,$A503,'Таблиця 1'!$I:$I,"Су-27",'Таблиця 1'!$J:$J,"BLU-140"))</f>
        <v/>
      </c>
      <c r="L503">
        <f>IF($A503="","",SUMIFS('Таблиця 1'!$K:$K,'Таблиця 1'!$B:$B,$A503,'Таблиця 1'!$I:$I,"Mirage",'Таблиця 1'!$J:$J,"GBU-65")+SUMIFS('Таблиця 1'!$K:$K,'Таблиця 1'!$B:$B,$A503,'Таблиця 1'!$I:$I,"F-16",'Таблиця 1'!$J:$J,"GBU-65")+SUMIFS('Таблиця 1'!$K:$K,'Таблиця 1'!$B:$B,$A503,'Таблиця 1'!$I:$I,"МіГ-29",'Таблиця 1'!$J:$J,"GBU-65")+SUMIFS('Таблиця 1'!$K:$K,'Таблиця 1'!$B:$B,$A503,'Таблиця 1'!$I:$I,"Су-25",'Таблиця 1'!$J:$J,"GBU-65")+SUMIFS('Таблиця 1'!$K:$K,'Таблиця 1'!$B:$B,$A503,'Таблиця 1'!$I:$I,"Су-27",'Таблиця 1'!$J:$J,"GBU-65"))</f>
        <v/>
      </c>
      <c r="M503">
        <f>IF($A503="","",SUMIFS('Таблиця 1'!$K:$K,'Таблиця 1'!$B:$B,$A503,'Таблиця 1'!$I:$I,"Mirage",'Таблиця 1'!$J:$J,"GBU-62")+SUMIFS('Таблиця 1'!$K:$K,'Таблиця 1'!$B:$B,$A503,'Таблиця 1'!$I:$I,"F-16",'Таблиця 1'!$J:$J,"GBU-62")+SUMIFS('Таблиця 1'!$K:$K,'Таблиця 1'!$B:$B,$A503,'Таблиця 1'!$I:$I,"МіГ-29",'Таблиця 1'!$J:$J,"GBU-62")+SUMIFS('Таблиця 1'!$K:$K,'Таблиця 1'!$B:$B,$A503,'Таблиця 1'!$I:$I,"Су-25",'Таблиця 1'!$J:$J,"GBU-62")+SUMIFS('Таблиця 1'!$K:$K,'Таблиця 1'!$B:$B,$A503,'Таблиця 1'!$I:$I,"Су-27",'Таблиця 1'!$J:$J,"GBU-62"))</f>
        <v/>
      </c>
      <c r="N503">
        <f>IF($A503="","",SUMIFS('Таблиця 1'!$K:$K,'Таблиця 1'!$B:$B,$A503,'Таблиця 1'!$I:$I,"Mirage",'Таблиця 1'!$J:$J,"GBU-64")+SUMIFS('Таблиця 1'!$K:$K,'Таблиця 1'!$B:$B,$A503,'Таблиця 1'!$I:$I,"F-16",'Таблиця 1'!$J:$J,"GBU-64")+SUMIFS('Таблиця 1'!$K:$K,'Таблиця 1'!$B:$B,$A503,'Таблиця 1'!$I:$I,"МіГ-29",'Таблиця 1'!$J:$J,"GBU-64")+SUMIFS('Таблиця 1'!$K:$K,'Таблиця 1'!$B:$B,$A503,'Таблиця 1'!$I:$I,"Су-25",'Таблиця 1'!$J:$J,"GBU-64")+SUMIFS('Таблиця 1'!$K:$K,'Таблиця 1'!$B:$B,$A503,'Таблиця 1'!$I:$I,"Су-27",'Таблиця 1'!$J:$J,"GBU-64"))</f>
        <v/>
      </c>
      <c r="O503">
        <f>IF($A503="","",SUMIFS('Таблиця 1'!$K:$K,'Таблиця 1'!$B:$B,$A503,'Таблиця 1'!$I:$I,"Mirage",'Таблиця 1'!$J:$J,"C-13")+SUMIFS('Таблиця 1'!$K:$K,'Таблиця 1'!$B:$B,$A503,'Таблиця 1'!$I:$I,"F-16",'Таблиця 1'!$J:$J,"C-13")+SUMIFS('Таблиця 1'!$K:$K,'Таблиця 1'!$B:$B,$A503,'Таблиця 1'!$I:$I,"МіГ-29",'Таблиця 1'!$J:$J,"C-13")+SUMIFS('Таблиця 1'!$K:$K,'Таблиця 1'!$B:$B,$A503,'Таблиця 1'!$I:$I,"Су-25",'Таблиця 1'!$J:$J,"C-13")+SUMIFS('Таблиця 1'!$K:$K,'Таблиця 1'!$B:$B,$A503,'Таблиця 1'!$I:$I,"Су-27",'Таблиця 1'!$J:$J,"C-13"))</f>
        <v/>
      </c>
      <c r="P503">
        <f>IF($A503="","",SUMIFS('Таблиця 1'!$K:$K,'Таблиця 1'!$B:$B,$A503,'Таблиця 1'!$I:$I,"Mirage",'Таблиця 1'!$J:$J,"MK-32")+SUMIFS('Таблиця 1'!$K:$K,'Таблиця 1'!$B:$B,$A503,'Таблиця 1'!$I:$I,"F-16",'Таблиця 1'!$J:$J,"MK-32")+SUMIFS('Таблиця 1'!$K:$K,'Таблиця 1'!$B:$B,$A503,'Таблиця 1'!$I:$I,"МіГ-29",'Таблиця 1'!$J:$J,"MK-32")+SUMIFS('Таблиця 1'!$K:$K,'Таблиця 1'!$B:$B,$A503,'Таблиця 1'!$I:$I,"Су-25",'Таблиця 1'!$J:$J,"MK-32")+SUMIFS('Таблиця 1'!$K:$K,'Таблиця 1'!$B:$B,$A503,'Таблиця 1'!$I:$I,"Су-27",'Таблиця 1'!$J:$J,"MK-32"))</f>
        <v/>
      </c>
      <c r="Q503">
        <f>IF($A503="","",SUMIFS('Таблиця 1'!$K:$K,'Таблиця 1'!$B:$B,$A503,'Таблиця 1'!$I:$I,"Mirage",'Таблиця 1'!$J:$J,"MK-24")+SUMIFS('Таблиця 1'!$K:$K,'Таблиця 1'!$B:$B,$A503,'Таблиця 1'!$I:$I,"F-16",'Таблиця 1'!$J:$J,"MK-24")+SUMIFS('Таблиця 1'!$K:$K,'Таблиця 1'!$B:$B,$A503,'Таблиця 1'!$I:$I,"МіГ-29",'Таблиця 1'!$J:$J,"MK-24")+SUMIFS('Таблиця 1'!$K:$K,'Таблиця 1'!$B:$B,$A503,'Таблиця 1'!$I:$I,"Су-25",'Таблиця 1'!$J:$J,"MK-24")+SUMIFS('Таблиця 1'!$K:$K,'Таблиця 1'!$B:$B,$A503,'Таблиця 1'!$I:$I,"Су-27",'Таблиця 1'!$J:$J,"MK-24"))</f>
        <v/>
      </c>
      <c r="R503">
        <f>IF($A503="","",COUNTIFS('Таблиця 1'!$B:$B,$A503,'Таблиця 1'!$I:$I,"Mirage",'Таблиця 1'!$L:$L,"Уражено")+COUNTIFS('Таблиця 1'!$B:$B,$A503,'Таблиця 1'!$I:$I,"F-16",'Таблиця 1'!$L:$L,"Уражено")+COUNTIFS('Таблиця 1'!$B:$B,$A503,'Таблиця 1'!$I:$I,"МіГ-29",'Таблиця 1'!$L:$L,"Уражено")+COUNTIFS('Таблиця 1'!$B:$B,$A503,'Таблиця 1'!$I:$I,"Су-25",'Таблиця 1'!$L:$L,"Уражено")+COUNTIFS('Таблиця 1'!$B:$B,$A503,'Таблиця 1'!$I:$I,"Су-27",'Таблиця 1'!$L:$L,"Уражено"))</f>
        <v/>
      </c>
      <c r="S503">
        <f>IF($A503="","",COUNTIFS('Таблиця 1'!$B:$B,$A503,'Таблиця 1'!$I:$I,"Mirage",'Таблиця 1'!$L:$L,"НЕ уражено")+COUNTIFS('Таблиця 1'!$B:$B,$A503,'Таблиця 1'!$I:$I,"F-16",'Таблиця 1'!$L:$L,"НЕ уражено")+COUNTIFS('Таблиця 1'!$B:$B,$A503,'Таблиця 1'!$I:$I,"МіГ-29",'Таблиця 1'!$L:$L,"НЕ уражено")+COUNTIFS('Таблиця 1'!$B:$B,$A503,'Таблиця 1'!$I:$I,"Су-25",'Таблиця 1'!$L:$L,"НЕ уражено")+COUNTIFS('Таблиця 1'!$B:$B,$A503,'Таблиця 1'!$I:$I,"Су-27",'Таблиця 1'!$L:$L,"НЕ уражено"))</f>
        <v/>
      </c>
      <c r="T503">
        <f>IF($A503="","",COUNTIFS('Таблиця 1'!$B:$B,$A503,'Таблиця 1'!$I:$I,"Mirage",'Таблиця 1'!$L:$L,"Дорозвідується")+COUNTIFS('Таблиця 1'!$B:$B,$A503,'Таблиця 1'!$I:$I,"F-16",'Таблиця 1'!$L:$L,"Дорозвідується")+COUNTIFS('Таблиця 1'!$B:$B,$A503,'Таблиця 1'!$I:$I,"МіГ-29",'Таблиця 1'!$L:$L,"Дорозвідується")+COUNTIFS('Таблиця 1'!$B:$B,$A503,'Таблиця 1'!$I:$I,"Су-25",'Таблиця 1'!$L:$L,"Дорозвідується")+COUNTIFS('Таблиця 1'!$B:$B,$A503,'Таблиця 1'!$I:$I,"Су-27",'Таблиця 1'!$L:$L,"Дорозвідується"))</f>
        <v/>
      </c>
    </row>
    <row r="504">
      <c r="A504" s="273">
        <f>IF(A503="","",IF(A503+1&gt;MAX('Таблиця 1'!$B:$B),"",A503+1))</f>
        <v/>
      </c>
      <c r="B504">
        <f>IF($A504="","",COUNTIFS('Таблиця 1'!$B:$B,$A504,'Таблиця 1'!$I:$I,"Mirage")+COUNTIFS('Таблиця 1'!$B:$B,$A504,'Таблиця 1'!$I:$I,"F-16")+COUNTIFS('Таблиця 1'!$B:$B,$A504,'Таблиця 1'!$I:$I,"МіГ-29")+COUNTIFS('Таблиця 1'!$B:$B,$A504,'Таблиця 1'!$I:$I,"Су-25")+COUNTIFS('Таблиця 1'!$B:$B,$A504,'Таблиця 1'!$I:$I,"Су-27"))</f>
        <v/>
      </c>
      <c r="C504">
        <f>IF($A504="","",COUNTIFS('Таблиця 1'!$B:$B,$A504,'Таблиця 1'!$I:$I,"Mirage"))</f>
        <v/>
      </c>
      <c r="D504">
        <f>IF($A504="","",COUNTIFS('Таблиця 1'!$B:$B,$A504,'Таблиця 1'!$I:$I,"F-16"))</f>
        <v/>
      </c>
      <c r="E504">
        <f>IF($A504="","",COUNTIFS('Таблиця 1'!$B:$B,$A504,'Таблиця 1'!$I:$I,"МіГ-29"))</f>
        <v/>
      </c>
      <c r="F504">
        <f>IF($A504="","",COUNTIFS('Таблиця 1'!$B:$B,$A504,'Таблиця 1'!$I:$I,"Су-25"))</f>
        <v/>
      </c>
      <c r="G504">
        <f>IF($A504="","",COUNTIFS('Таблиця 1'!$B:$B,$A504,'Таблиця 1'!$I:$I,"Су-27"))</f>
        <v/>
      </c>
      <c r="H504">
        <f>IF($A504="","",SUMIFS('Таблиця 1'!$K:$K,'Таблиця 1'!$B:$B,$A504,'Таблиця 1'!$I:$I,"Mirage",'Таблиця 1'!$J:$J,"AGM-88")+SUMIFS('Таблиця 1'!$K:$K,'Таблиця 1'!$B:$B,$A504,'Таблиця 1'!$I:$I,"F-16",'Таблиця 1'!$J:$J,"AGM-88")+SUMIFS('Таблиця 1'!$K:$K,'Таблиця 1'!$B:$B,$A504,'Таблиця 1'!$I:$I,"МіГ-29",'Таблиця 1'!$J:$J,"AGM-88")+SUMIFS('Таблиця 1'!$K:$K,'Таблиця 1'!$B:$B,$A504,'Таблиця 1'!$I:$I,"Су-25",'Таблиця 1'!$J:$J,"AGM-88")+SUMIFS('Таблиця 1'!$K:$K,'Таблиця 1'!$B:$B,$A504,'Таблиця 1'!$I:$I,"Су-27",'Таблиця 1'!$J:$J,"AGM-88"))</f>
        <v/>
      </c>
      <c r="I504">
        <f>IF($A504="","",SUMIFS('Таблиця 1'!$K:$K,'Таблиця 1'!$B:$B,$A504,'Таблиця 1'!$I:$I,"Mirage",'Таблиця 1'!$J:$J,"AASM-250")+SUMIFS('Таблиця 1'!$K:$K,'Таблиця 1'!$B:$B,$A504,'Таблиця 1'!$I:$I,"F-16",'Таблиця 1'!$J:$J,"AASM-250")+SUMIFS('Таблиця 1'!$K:$K,'Таблиця 1'!$B:$B,$A504,'Таблиця 1'!$I:$I,"МіГ-29",'Таблиця 1'!$J:$J,"AASM-250")+SUMIFS('Таблиця 1'!$K:$K,'Таблиця 1'!$B:$B,$A504,'Таблиця 1'!$I:$I,"Су-25",'Таблиця 1'!$J:$J,"AASM-250")+SUMIFS('Таблиця 1'!$K:$K,'Таблиця 1'!$B:$B,$A504,'Таблиця 1'!$I:$I,"Су-27",'Таблиця 1'!$J:$J,"AASM-250"))</f>
        <v/>
      </c>
      <c r="J504">
        <f>IF($A504="","",SUMIFS('Таблиця 1'!$K:$K,'Таблиця 1'!$B:$B,$A504,'Таблиця 1'!$I:$I,"Mirage",'Таблиця 1'!$J:$J,"GBU-39")+SUMIFS('Таблиця 1'!$K:$K,'Таблиця 1'!$B:$B,$A504,'Таблиця 1'!$I:$I,"F-16",'Таблиця 1'!$J:$J,"GBU-39")+SUMIFS('Таблиця 1'!$K:$K,'Таблиця 1'!$B:$B,$A504,'Таблиця 1'!$I:$I,"МіГ-29",'Таблиця 1'!$J:$J,"GBU-39")+SUMIFS('Таблиця 1'!$K:$K,'Таблиця 1'!$B:$B,$A504,'Таблиця 1'!$I:$I,"Су-25",'Таблиця 1'!$J:$J,"GBU-39")+SUMIFS('Таблиця 1'!$K:$K,'Таблиця 1'!$B:$B,$A504,'Таблиця 1'!$I:$I,"Су-27",'Таблиця 1'!$J:$J,"GBU-39"))</f>
        <v/>
      </c>
      <c r="K504">
        <f>IF($A504="","",SUMIFS('Таблиця 1'!$K:$K,'Таблиця 1'!$B:$B,$A504,'Таблиця 1'!$I:$I,"Mirage",'Таблиця 1'!$J:$J,"BLU-140")+SUMIFS('Таблиця 1'!$K:$K,'Таблиця 1'!$B:$B,$A504,'Таблиця 1'!$I:$I,"F-16",'Таблиця 1'!$J:$J,"BLU-140")+SUMIFS('Таблиця 1'!$K:$K,'Таблиця 1'!$B:$B,$A504,'Таблиця 1'!$I:$I,"МіГ-29",'Таблиця 1'!$J:$J,"BLU-140")+SUMIFS('Таблиця 1'!$K:$K,'Таблиця 1'!$B:$B,$A504,'Таблиця 1'!$I:$I,"Су-25",'Таблиця 1'!$J:$J,"BLU-140")+SUMIFS('Таблиця 1'!$K:$K,'Таблиця 1'!$B:$B,$A504,'Таблиця 1'!$I:$I,"Су-27",'Таблиця 1'!$J:$J,"BLU-140"))</f>
        <v/>
      </c>
      <c r="L504">
        <f>IF($A504="","",SUMIFS('Таблиця 1'!$K:$K,'Таблиця 1'!$B:$B,$A504,'Таблиця 1'!$I:$I,"Mirage",'Таблиця 1'!$J:$J,"GBU-65")+SUMIFS('Таблиця 1'!$K:$K,'Таблиця 1'!$B:$B,$A504,'Таблиця 1'!$I:$I,"F-16",'Таблиця 1'!$J:$J,"GBU-65")+SUMIFS('Таблиця 1'!$K:$K,'Таблиця 1'!$B:$B,$A504,'Таблиця 1'!$I:$I,"МіГ-29",'Таблиця 1'!$J:$J,"GBU-65")+SUMIFS('Таблиця 1'!$K:$K,'Таблиця 1'!$B:$B,$A504,'Таблиця 1'!$I:$I,"Су-25",'Таблиця 1'!$J:$J,"GBU-65")+SUMIFS('Таблиця 1'!$K:$K,'Таблиця 1'!$B:$B,$A504,'Таблиця 1'!$I:$I,"Су-27",'Таблиця 1'!$J:$J,"GBU-65"))</f>
        <v/>
      </c>
      <c r="M504">
        <f>IF($A504="","",SUMIFS('Таблиця 1'!$K:$K,'Таблиця 1'!$B:$B,$A504,'Таблиця 1'!$I:$I,"Mirage",'Таблиця 1'!$J:$J,"GBU-62")+SUMIFS('Таблиця 1'!$K:$K,'Таблиця 1'!$B:$B,$A504,'Таблиця 1'!$I:$I,"F-16",'Таблиця 1'!$J:$J,"GBU-62")+SUMIFS('Таблиця 1'!$K:$K,'Таблиця 1'!$B:$B,$A504,'Таблиця 1'!$I:$I,"МіГ-29",'Таблиця 1'!$J:$J,"GBU-62")+SUMIFS('Таблиця 1'!$K:$K,'Таблиця 1'!$B:$B,$A504,'Таблиця 1'!$I:$I,"Су-25",'Таблиця 1'!$J:$J,"GBU-62")+SUMIFS('Таблиця 1'!$K:$K,'Таблиця 1'!$B:$B,$A504,'Таблиця 1'!$I:$I,"Су-27",'Таблиця 1'!$J:$J,"GBU-62"))</f>
        <v/>
      </c>
      <c r="N504">
        <f>IF($A504="","",SUMIFS('Таблиця 1'!$K:$K,'Таблиця 1'!$B:$B,$A504,'Таблиця 1'!$I:$I,"Mirage",'Таблиця 1'!$J:$J,"GBU-64")+SUMIFS('Таблиця 1'!$K:$K,'Таблиця 1'!$B:$B,$A504,'Таблиця 1'!$I:$I,"F-16",'Таблиця 1'!$J:$J,"GBU-64")+SUMIFS('Таблиця 1'!$K:$K,'Таблиця 1'!$B:$B,$A504,'Таблиця 1'!$I:$I,"МіГ-29",'Таблиця 1'!$J:$J,"GBU-64")+SUMIFS('Таблиця 1'!$K:$K,'Таблиця 1'!$B:$B,$A504,'Таблиця 1'!$I:$I,"Су-25",'Таблиця 1'!$J:$J,"GBU-64")+SUMIFS('Таблиця 1'!$K:$K,'Таблиця 1'!$B:$B,$A504,'Таблиця 1'!$I:$I,"Су-27",'Таблиця 1'!$J:$J,"GBU-64"))</f>
        <v/>
      </c>
      <c r="O504">
        <f>IF($A504="","",SUMIFS('Таблиця 1'!$K:$K,'Таблиця 1'!$B:$B,$A504,'Таблиця 1'!$I:$I,"Mirage",'Таблиця 1'!$J:$J,"C-13")+SUMIFS('Таблиця 1'!$K:$K,'Таблиця 1'!$B:$B,$A504,'Таблиця 1'!$I:$I,"F-16",'Таблиця 1'!$J:$J,"C-13")+SUMIFS('Таблиця 1'!$K:$K,'Таблиця 1'!$B:$B,$A504,'Таблиця 1'!$I:$I,"МіГ-29",'Таблиця 1'!$J:$J,"C-13")+SUMIFS('Таблиця 1'!$K:$K,'Таблиця 1'!$B:$B,$A504,'Таблиця 1'!$I:$I,"Су-25",'Таблиця 1'!$J:$J,"C-13")+SUMIFS('Таблиця 1'!$K:$K,'Таблиця 1'!$B:$B,$A504,'Таблиця 1'!$I:$I,"Су-27",'Таблиця 1'!$J:$J,"C-13"))</f>
        <v/>
      </c>
      <c r="P504">
        <f>IF($A504="","",SUMIFS('Таблиця 1'!$K:$K,'Таблиця 1'!$B:$B,$A504,'Таблиця 1'!$I:$I,"Mirage",'Таблиця 1'!$J:$J,"MK-32")+SUMIFS('Таблиця 1'!$K:$K,'Таблиця 1'!$B:$B,$A504,'Таблиця 1'!$I:$I,"F-16",'Таблиця 1'!$J:$J,"MK-32")+SUMIFS('Таблиця 1'!$K:$K,'Таблиця 1'!$B:$B,$A504,'Таблиця 1'!$I:$I,"МіГ-29",'Таблиця 1'!$J:$J,"MK-32")+SUMIFS('Таблиця 1'!$K:$K,'Таблиця 1'!$B:$B,$A504,'Таблиця 1'!$I:$I,"Су-25",'Таблиця 1'!$J:$J,"MK-32")+SUMIFS('Таблиця 1'!$K:$K,'Таблиця 1'!$B:$B,$A504,'Таблиця 1'!$I:$I,"Су-27",'Таблиця 1'!$J:$J,"MK-32"))</f>
        <v/>
      </c>
      <c r="Q504">
        <f>IF($A504="","",SUMIFS('Таблиця 1'!$K:$K,'Таблиця 1'!$B:$B,$A504,'Таблиця 1'!$I:$I,"Mirage",'Таблиця 1'!$J:$J,"MK-24")+SUMIFS('Таблиця 1'!$K:$K,'Таблиця 1'!$B:$B,$A504,'Таблиця 1'!$I:$I,"F-16",'Таблиця 1'!$J:$J,"MK-24")+SUMIFS('Таблиця 1'!$K:$K,'Таблиця 1'!$B:$B,$A504,'Таблиця 1'!$I:$I,"МіГ-29",'Таблиця 1'!$J:$J,"MK-24")+SUMIFS('Таблиця 1'!$K:$K,'Таблиця 1'!$B:$B,$A504,'Таблиця 1'!$I:$I,"Су-25",'Таблиця 1'!$J:$J,"MK-24")+SUMIFS('Таблиця 1'!$K:$K,'Таблиця 1'!$B:$B,$A504,'Таблиця 1'!$I:$I,"Су-27",'Таблиця 1'!$J:$J,"MK-24"))</f>
        <v/>
      </c>
      <c r="R504">
        <f>IF($A504="","",COUNTIFS('Таблиця 1'!$B:$B,$A504,'Таблиця 1'!$I:$I,"Mirage",'Таблиця 1'!$L:$L,"Уражено")+COUNTIFS('Таблиця 1'!$B:$B,$A504,'Таблиця 1'!$I:$I,"F-16",'Таблиця 1'!$L:$L,"Уражено")+COUNTIFS('Таблиця 1'!$B:$B,$A504,'Таблиця 1'!$I:$I,"МіГ-29",'Таблиця 1'!$L:$L,"Уражено")+COUNTIFS('Таблиця 1'!$B:$B,$A504,'Таблиця 1'!$I:$I,"Су-25",'Таблиця 1'!$L:$L,"Уражено")+COUNTIFS('Таблиця 1'!$B:$B,$A504,'Таблиця 1'!$I:$I,"Су-27",'Таблиця 1'!$L:$L,"Уражено"))</f>
        <v/>
      </c>
      <c r="S504">
        <f>IF($A504="","",COUNTIFS('Таблиця 1'!$B:$B,$A504,'Таблиця 1'!$I:$I,"Mirage",'Таблиця 1'!$L:$L,"НЕ уражено")+COUNTIFS('Таблиця 1'!$B:$B,$A504,'Таблиця 1'!$I:$I,"F-16",'Таблиця 1'!$L:$L,"НЕ уражено")+COUNTIFS('Таблиця 1'!$B:$B,$A504,'Таблиця 1'!$I:$I,"МіГ-29",'Таблиця 1'!$L:$L,"НЕ уражено")+COUNTIFS('Таблиця 1'!$B:$B,$A504,'Таблиця 1'!$I:$I,"Су-25",'Таблиця 1'!$L:$L,"НЕ уражено")+COUNTIFS('Таблиця 1'!$B:$B,$A504,'Таблиця 1'!$I:$I,"Су-27",'Таблиця 1'!$L:$L,"НЕ уражено"))</f>
        <v/>
      </c>
      <c r="T504">
        <f>IF($A504="","",COUNTIFS('Таблиця 1'!$B:$B,$A504,'Таблиця 1'!$I:$I,"Mirage",'Таблиця 1'!$L:$L,"Дорозвідується")+COUNTIFS('Таблиця 1'!$B:$B,$A504,'Таблиця 1'!$I:$I,"F-16",'Таблиця 1'!$L:$L,"Дорозвідується")+COUNTIFS('Таблиця 1'!$B:$B,$A504,'Таблиця 1'!$I:$I,"МіГ-29",'Таблиця 1'!$L:$L,"Дорозвідується")+COUNTIFS('Таблиця 1'!$B:$B,$A504,'Таблиця 1'!$I:$I,"Су-25",'Таблиця 1'!$L:$L,"Дорозвідується")+COUNTIFS('Таблиця 1'!$B:$B,$A504,'Таблиця 1'!$I:$I,"Су-27",'Таблиця 1'!$L:$L,"Дорозвідується"))</f>
        <v/>
      </c>
    </row>
    <row r="505">
      <c r="A505" s="273">
        <f>IF(A504="","",IF(A504+1&gt;MAX('Таблиця 1'!$B:$B),"",A504+1))</f>
        <v/>
      </c>
      <c r="B505">
        <f>IF($A505="","",COUNTIFS('Таблиця 1'!$B:$B,$A505,'Таблиця 1'!$I:$I,"Mirage")+COUNTIFS('Таблиця 1'!$B:$B,$A505,'Таблиця 1'!$I:$I,"F-16")+COUNTIFS('Таблиця 1'!$B:$B,$A505,'Таблиця 1'!$I:$I,"МіГ-29")+COUNTIFS('Таблиця 1'!$B:$B,$A505,'Таблиця 1'!$I:$I,"Су-25")+COUNTIFS('Таблиця 1'!$B:$B,$A505,'Таблиця 1'!$I:$I,"Су-27"))</f>
        <v/>
      </c>
      <c r="C505">
        <f>IF($A505="","",COUNTIFS('Таблиця 1'!$B:$B,$A505,'Таблиця 1'!$I:$I,"Mirage"))</f>
        <v/>
      </c>
      <c r="D505">
        <f>IF($A505="","",COUNTIFS('Таблиця 1'!$B:$B,$A505,'Таблиця 1'!$I:$I,"F-16"))</f>
        <v/>
      </c>
      <c r="E505">
        <f>IF($A505="","",COUNTIFS('Таблиця 1'!$B:$B,$A505,'Таблиця 1'!$I:$I,"МіГ-29"))</f>
        <v/>
      </c>
      <c r="F505">
        <f>IF($A505="","",COUNTIFS('Таблиця 1'!$B:$B,$A505,'Таблиця 1'!$I:$I,"Су-25"))</f>
        <v/>
      </c>
      <c r="G505">
        <f>IF($A505="","",COUNTIFS('Таблиця 1'!$B:$B,$A505,'Таблиця 1'!$I:$I,"Су-27"))</f>
        <v/>
      </c>
      <c r="H505">
        <f>IF($A505="","",SUMIFS('Таблиця 1'!$K:$K,'Таблиця 1'!$B:$B,$A505,'Таблиця 1'!$I:$I,"Mirage",'Таблиця 1'!$J:$J,"AGM-88")+SUMIFS('Таблиця 1'!$K:$K,'Таблиця 1'!$B:$B,$A505,'Таблиця 1'!$I:$I,"F-16",'Таблиця 1'!$J:$J,"AGM-88")+SUMIFS('Таблиця 1'!$K:$K,'Таблиця 1'!$B:$B,$A505,'Таблиця 1'!$I:$I,"МіГ-29",'Таблиця 1'!$J:$J,"AGM-88")+SUMIFS('Таблиця 1'!$K:$K,'Таблиця 1'!$B:$B,$A505,'Таблиця 1'!$I:$I,"Су-25",'Таблиця 1'!$J:$J,"AGM-88")+SUMIFS('Таблиця 1'!$K:$K,'Таблиця 1'!$B:$B,$A505,'Таблиця 1'!$I:$I,"Су-27",'Таблиця 1'!$J:$J,"AGM-88"))</f>
        <v/>
      </c>
      <c r="I505">
        <f>IF($A505="","",SUMIFS('Таблиця 1'!$K:$K,'Таблиця 1'!$B:$B,$A505,'Таблиця 1'!$I:$I,"Mirage",'Таблиця 1'!$J:$J,"AASM-250")+SUMIFS('Таблиця 1'!$K:$K,'Таблиця 1'!$B:$B,$A505,'Таблиця 1'!$I:$I,"F-16",'Таблиця 1'!$J:$J,"AASM-250")+SUMIFS('Таблиця 1'!$K:$K,'Таблиця 1'!$B:$B,$A505,'Таблиця 1'!$I:$I,"МіГ-29",'Таблиця 1'!$J:$J,"AASM-250")+SUMIFS('Таблиця 1'!$K:$K,'Таблиця 1'!$B:$B,$A505,'Таблиця 1'!$I:$I,"Су-25",'Таблиця 1'!$J:$J,"AASM-250")+SUMIFS('Таблиця 1'!$K:$K,'Таблиця 1'!$B:$B,$A505,'Таблиця 1'!$I:$I,"Су-27",'Таблиця 1'!$J:$J,"AASM-250"))</f>
        <v/>
      </c>
      <c r="J505">
        <f>IF($A505="","",SUMIFS('Таблиця 1'!$K:$K,'Таблиця 1'!$B:$B,$A505,'Таблиця 1'!$I:$I,"Mirage",'Таблиця 1'!$J:$J,"GBU-39")+SUMIFS('Таблиця 1'!$K:$K,'Таблиця 1'!$B:$B,$A505,'Таблиця 1'!$I:$I,"F-16",'Таблиця 1'!$J:$J,"GBU-39")+SUMIFS('Таблиця 1'!$K:$K,'Таблиця 1'!$B:$B,$A505,'Таблиця 1'!$I:$I,"МіГ-29",'Таблиця 1'!$J:$J,"GBU-39")+SUMIFS('Таблиця 1'!$K:$K,'Таблиця 1'!$B:$B,$A505,'Таблиця 1'!$I:$I,"Су-25",'Таблиця 1'!$J:$J,"GBU-39")+SUMIFS('Таблиця 1'!$K:$K,'Таблиця 1'!$B:$B,$A505,'Таблиця 1'!$I:$I,"Су-27",'Таблиця 1'!$J:$J,"GBU-39"))</f>
        <v/>
      </c>
      <c r="K505">
        <f>IF($A505="","",SUMIFS('Таблиця 1'!$K:$K,'Таблиця 1'!$B:$B,$A505,'Таблиця 1'!$I:$I,"Mirage",'Таблиця 1'!$J:$J,"BLU-140")+SUMIFS('Таблиця 1'!$K:$K,'Таблиця 1'!$B:$B,$A505,'Таблиця 1'!$I:$I,"F-16",'Таблиця 1'!$J:$J,"BLU-140")+SUMIFS('Таблиця 1'!$K:$K,'Таблиця 1'!$B:$B,$A505,'Таблиця 1'!$I:$I,"МіГ-29",'Таблиця 1'!$J:$J,"BLU-140")+SUMIFS('Таблиця 1'!$K:$K,'Таблиця 1'!$B:$B,$A505,'Таблиця 1'!$I:$I,"Су-25",'Таблиця 1'!$J:$J,"BLU-140")+SUMIFS('Таблиця 1'!$K:$K,'Таблиця 1'!$B:$B,$A505,'Таблиця 1'!$I:$I,"Су-27",'Таблиця 1'!$J:$J,"BLU-140"))</f>
        <v/>
      </c>
      <c r="L505">
        <f>IF($A505="","",SUMIFS('Таблиця 1'!$K:$K,'Таблиця 1'!$B:$B,$A505,'Таблиця 1'!$I:$I,"Mirage",'Таблиця 1'!$J:$J,"GBU-65")+SUMIFS('Таблиця 1'!$K:$K,'Таблиця 1'!$B:$B,$A505,'Таблиця 1'!$I:$I,"F-16",'Таблиця 1'!$J:$J,"GBU-65")+SUMIFS('Таблиця 1'!$K:$K,'Таблиця 1'!$B:$B,$A505,'Таблиця 1'!$I:$I,"МіГ-29",'Таблиця 1'!$J:$J,"GBU-65")+SUMIFS('Таблиця 1'!$K:$K,'Таблиця 1'!$B:$B,$A505,'Таблиця 1'!$I:$I,"Су-25",'Таблиця 1'!$J:$J,"GBU-65")+SUMIFS('Таблиця 1'!$K:$K,'Таблиця 1'!$B:$B,$A505,'Таблиця 1'!$I:$I,"Су-27",'Таблиця 1'!$J:$J,"GBU-65"))</f>
        <v/>
      </c>
      <c r="M505">
        <f>IF($A505="","",SUMIFS('Таблиця 1'!$K:$K,'Таблиця 1'!$B:$B,$A505,'Таблиця 1'!$I:$I,"Mirage",'Таблиця 1'!$J:$J,"GBU-62")+SUMIFS('Таблиця 1'!$K:$K,'Таблиця 1'!$B:$B,$A505,'Таблиця 1'!$I:$I,"F-16",'Таблиця 1'!$J:$J,"GBU-62")+SUMIFS('Таблиця 1'!$K:$K,'Таблиця 1'!$B:$B,$A505,'Таблиця 1'!$I:$I,"МіГ-29",'Таблиця 1'!$J:$J,"GBU-62")+SUMIFS('Таблиця 1'!$K:$K,'Таблиця 1'!$B:$B,$A505,'Таблиця 1'!$I:$I,"Су-25",'Таблиця 1'!$J:$J,"GBU-62")+SUMIFS('Таблиця 1'!$K:$K,'Таблиця 1'!$B:$B,$A505,'Таблиця 1'!$I:$I,"Су-27",'Таблиця 1'!$J:$J,"GBU-62"))</f>
        <v/>
      </c>
      <c r="N505">
        <f>IF($A505="","",SUMIFS('Таблиця 1'!$K:$K,'Таблиця 1'!$B:$B,$A505,'Таблиця 1'!$I:$I,"Mirage",'Таблиця 1'!$J:$J,"GBU-64")+SUMIFS('Таблиця 1'!$K:$K,'Таблиця 1'!$B:$B,$A505,'Таблиця 1'!$I:$I,"F-16",'Таблиця 1'!$J:$J,"GBU-64")+SUMIFS('Таблиця 1'!$K:$K,'Таблиця 1'!$B:$B,$A505,'Таблиця 1'!$I:$I,"МіГ-29",'Таблиця 1'!$J:$J,"GBU-64")+SUMIFS('Таблиця 1'!$K:$K,'Таблиця 1'!$B:$B,$A505,'Таблиця 1'!$I:$I,"Су-25",'Таблиця 1'!$J:$J,"GBU-64")+SUMIFS('Таблиця 1'!$K:$K,'Таблиця 1'!$B:$B,$A505,'Таблиця 1'!$I:$I,"Су-27",'Таблиця 1'!$J:$J,"GBU-64"))</f>
        <v/>
      </c>
      <c r="O505">
        <f>IF($A505="","",SUMIFS('Таблиця 1'!$K:$K,'Таблиця 1'!$B:$B,$A505,'Таблиця 1'!$I:$I,"Mirage",'Таблиця 1'!$J:$J,"C-13")+SUMIFS('Таблиця 1'!$K:$K,'Таблиця 1'!$B:$B,$A505,'Таблиця 1'!$I:$I,"F-16",'Таблиця 1'!$J:$J,"C-13")+SUMIFS('Таблиця 1'!$K:$K,'Таблиця 1'!$B:$B,$A505,'Таблиця 1'!$I:$I,"МіГ-29",'Таблиця 1'!$J:$J,"C-13")+SUMIFS('Таблиця 1'!$K:$K,'Таблиця 1'!$B:$B,$A505,'Таблиця 1'!$I:$I,"Су-25",'Таблиця 1'!$J:$J,"C-13")+SUMIFS('Таблиця 1'!$K:$K,'Таблиця 1'!$B:$B,$A505,'Таблиця 1'!$I:$I,"Су-27",'Таблиця 1'!$J:$J,"C-13"))</f>
        <v/>
      </c>
      <c r="P505">
        <f>IF($A505="","",SUMIFS('Таблиця 1'!$K:$K,'Таблиця 1'!$B:$B,$A505,'Таблиця 1'!$I:$I,"Mirage",'Таблиця 1'!$J:$J,"MK-32")+SUMIFS('Таблиця 1'!$K:$K,'Таблиця 1'!$B:$B,$A505,'Таблиця 1'!$I:$I,"F-16",'Таблиця 1'!$J:$J,"MK-32")+SUMIFS('Таблиця 1'!$K:$K,'Таблиця 1'!$B:$B,$A505,'Таблиця 1'!$I:$I,"МіГ-29",'Таблиця 1'!$J:$J,"MK-32")+SUMIFS('Таблиця 1'!$K:$K,'Таблиця 1'!$B:$B,$A505,'Таблиця 1'!$I:$I,"Су-25",'Таблиця 1'!$J:$J,"MK-32")+SUMIFS('Таблиця 1'!$K:$K,'Таблиця 1'!$B:$B,$A505,'Таблиця 1'!$I:$I,"Су-27",'Таблиця 1'!$J:$J,"MK-32"))</f>
        <v/>
      </c>
      <c r="Q505">
        <f>IF($A505="","",SUMIFS('Таблиця 1'!$K:$K,'Таблиця 1'!$B:$B,$A505,'Таблиця 1'!$I:$I,"Mirage",'Таблиця 1'!$J:$J,"MK-24")+SUMIFS('Таблиця 1'!$K:$K,'Таблиця 1'!$B:$B,$A505,'Таблиця 1'!$I:$I,"F-16",'Таблиця 1'!$J:$J,"MK-24")+SUMIFS('Таблиця 1'!$K:$K,'Таблиця 1'!$B:$B,$A505,'Таблиця 1'!$I:$I,"МіГ-29",'Таблиця 1'!$J:$J,"MK-24")+SUMIFS('Таблиця 1'!$K:$K,'Таблиця 1'!$B:$B,$A505,'Таблиця 1'!$I:$I,"Су-25",'Таблиця 1'!$J:$J,"MK-24")+SUMIFS('Таблиця 1'!$K:$K,'Таблиця 1'!$B:$B,$A505,'Таблиця 1'!$I:$I,"Су-27",'Таблиця 1'!$J:$J,"MK-24"))</f>
        <v/>
      </c>
      <c r="R505">
        <f>IF($A505="","",COUNTIFS('Таблиця 1'!$B:$B,$A505,'Таблиця 1'!$I:$I,"Mirage",'Таблиця 1'!$L:$L,"Уражено")+COUNTIFS('Таблиця 1'!$B:$B,$A505,'Таблиця 1'!$I:$I,"F-16",'Таблиця 1'!$L:$L,"Уражено")+COUNTIFS('Таблиця 1'!$B:$B,$A505,'Таблиця 1'!$I:$I,"МіГ-29",'Таблиця 1'!$L:$L,"Уражено")+COUNTIFS('Таблиця 1'!$B:$B,$A505,'Таблиця 1'!$I:$I,"Су-25",'Таблиця 1'!$L:$L,"Уражено")+COUNTIFS('Таблиця 1'!$B:$B,$A505,'Таблиця 1'!$I:$I,"Су-27",'Таблиця 1'!$L:$L,"Уражено"))</f>
        <v/>
      </c>
      <c r="S505">
        <f>IF($A505="","",COUNTIFS('Таблиця 1'!$B:$B,$A505,'Таблиця 1'!$I:$I,"Mirage",'Таблиця 1'!$L:$L,"НЕ уражено")+COUNTIFS('Таблиця 1'!$B:$B,$A505,'Таблиця 1'!$I:$I,"F-16",'Таблиця 1'!$L:$L,"НЕ уражено")+COUNTIFS('Таблиця 1'!$B:$B,$A505,'Таблиця 1'!$I:$I,"МіГ-29",'Таблиця 1'!$L:$L,"НЕ уражено")+COUNTIFS('Таблиця 1'!$B:$B,$A505,'Таблиця 1'!$I:$I,"Су-25",'Таблиця 1'!$L:$L,"НЕ уражено")+COUNTIFS('Таблиця 1'!$B:$B,$A505,'Таблиця 1'!$I:$I,"Су-27",'Таблиця 1'!$L:$L,"НЕ уражено"))</f>
        <v/>
      </c>
      <c r="T505">
        <f>IF($A505="","",COUNTIFS('Таблиця 1'!$B:$B,$A505,'Таблиця 1'!$I:$I,"Mirage",'Таблиця 1'!$L:$L,"Дорозвідується")+COUNTIFS('Таблиця 1'!$B:$B,$A505,'Таблиця 1'!$I:$I,"F-16",'Таблиця 1'!$L:$L,"Дорозвідується")+COUNTIFS('Таблиця 1'!$B:$B,$A505,'Таблиця 1'!$I:$I,"МіГ-29",'Таблиця 1'!$L:$L,"Дорозвідується")+COUNTIFS('Таблиця 1'!$B:$B,$A505,'Таблиця 1'!$I:$I,"Су-25",'Таблиця 1'!$L:$L,"Дорозвідується")+COUNTIFS('Таблиця 1'!$B:$B,$A505,'Таблиця 1'!$I:$I,"Су-27",'Таблиця 1'!$L:$L,"Дорозвідується"))</f>
        <v/>
      </c>
    </row>
    <row r="506">
      <c r="A506" s="273">
        <f>IF(A505="","",IF(A505+1&gt;MAX('Таблиця 1'!$B:$B),"",A505+1))</f>
        <v/>
      </c>
      <c r="B506">
        <f>IF($A506="","",COUNTIFS('Таблиця 1'!$B:$B,$A506,'Таблиця 1'!$I:$I,"Mirage")+COUNTIFS('Таблиця 1'!$B:$B,$A506,'Таблиця 1'!$I:$I,"F-16")+COUNTIFS('Таблиця 1'!$B:$B,$A506,'Таблиця 1'!$I:$I,"МіГ-29")+COUNTIFS('Таблиця 1'!$B:$B,$A506,'Таблиця 1'!$I:$I,"Су-25")+COUNTIFS('Таблиця 1'!$B:$B,$A506,'Таблиця 1'!$I:$I,"Су-27"))</f>
        <v/>
      </c>
      <c r="C506">
        <f>IF($A506="","",COUNTIFS('Таблиця 1'!$B:$B,$A506,'Таблиця 1'!$I:$I,"Mirage"))</f>
        <v/>
      </c>
      <c r="D506">
        <f>IF($A506="","",COUNTIFS('Таблиця 1'!$B:$B,$A506,'Таблиця 1'!$I:$I,"F-16"))</f>
        <v/>
      </c>
      <c r="E506">
        <f>IF($A506="","",COUNTIFS('Таблиця 1'!$B:$B,$A506,'Таблиця 1'!$I:$I,"МіГ-29"))</f>
        <v/>
      </c>
      <c r="F506">
        <f>IF($A506="","",COUNTIFS('Таблиця 1'!$B:$B,$A506,'Таблиця 1'!$I:$I,"Су-25"))</f>
        <v/>
      </c>
      <c r="G506">
        <f>IF($A506="","",COUNTIFS('Таблиця 1'!$B:$B,$A506,'Таблиця 1'!$I:$I,"Су-27"))</f>
        <v/>
      </c>
      <c r="H506">
        <f>IF($A506="","",SUMIFS('Таблиця 1'!$K:$K,'Таблиця 1'!$B:$B,$A506,'Таблиця 1'!$I:$I,"Mirage",'Таблиця 1'!$J:$J,"AGM-88")+SUMIFS('Таблиця 1'!$K:$K,'Таблиця 1'!$B:$B,$A506,'Таблиця 1'!$I:$I,"F-16",'Таблиця 1'!$J:$J,"AGM-88")+SUMIFS('Таблиця 1'!$K:$K,'Таблиця 1'!$B:$B,$A506,'Таблиця 1'!$I:$I,"МіГ-29",'Таблиця 1'!$J:$J,"AGM-88")+SUMIFS('Таблиця 1'!$K:$K,'Таблиця 1'!$B:$B,$A506,'Таблиця 1'!$I:$I,"Су-25",'Таблиця 1'!$J:$J,"AGM-88")+SUMIFS('Таблиця 1'!$K:$K,'Таблиця 1'!$B:$B,$A506,'Таблиця 1'!$I:$I,"Су-27",'Таблиця 1'!$J:$J,"AGM-88"))</f>
        <v/>
      </c>
      <c r="I506">
        <f>IF($A506="","",SUMIFS('Таблиця 1'!$K:$K,'Таблиця 1'!$B:$B,$A506,'Таблиця 1'!$I:$I,"Mirage",'Таблиця 1'!$J:$J,"AASM-250")+SUMIFS('Таблиця 1'!$K:$K,'Таблиця 1'!$B:$B,$A506,'Таблиця 1'!$I:$I,"F-16",'Таблиця 1'!$J:$J,"AASM-250")+SUMIFS('Таблиця 1'!$K:$K,'Таблиця 1'!$B:$B,$A506,'Таблиця 1'!$I:$I,"МіГ-29",'Таблиця 1'!$J:$J,"AASM-250")+SUMIFS('Таблиця 1'!$K:$K,'Таблиця 1'!$B:$B,$A506,'Таблиця 1'!$I:$I,"Су-25",'Таблиця 1'!$J:$J,"AASM-250")+SUMIFS('Таблиця 1'!$K:$K,'Таблиця 1'!$B:$B,$A506,'Таблиця 1'!$I:$I,"Су-27",'Таблиця 1'!$J:$J,"AASM-250"))</f>
        <v/>
      </c>
      <c r="J506">
        <f>IF($A506="","",SUMIFS('Таблиця 1'!$K:$K,'Таблиця 1'!$B:$B,$A506,'Таблиця 1'!$I:$I,"Mirage",'Таблиця 1'!$J:$J,"GBU-39")+SUMIFS('Таблиця 1'!$K:$K,'Таблиця 1'!$B:$B,$A506,'Таблиця 1'!$I:$I,"F-16",'Таблиця 1'!$J:$J,"GBU-39")+SUMIFS('Таблиця 1'!$K:$K,'Таблиця 1'!$B:$B,$A506,'Таблиця 1'!$I:$I,"МіГ-29",'Таблиця 1'!$J:$J,"GBU-39")+SUMIFS('Таблиця 1'!$K:$K,'Таблиця 1'!$B:$B,$A506,'Таблиця 1'!$I:$I,"Су-25",'Таблиця 1'!$J:$J,"GBU-39")+SUMIFS('Таблиця 1'!$K:$K,'Таблиця 1'!$B:$B,$A506,'Таблиця 1'!$I:$I,"Су-27",'Таблиця 1'!$J:$J,"GBU-39"))</f>
        <v/>
      </c>
      <c r="K506">
        <f>IF($A506="","",SUMIFS('Таблиця 1'!$K:$K,'Таблиця 1'!$B:$B,$A506,'Таблиця 1'!$I:$I,"Mirage",'Таблиця 1'!$J:$J,"BLU-140")+SUMIFS('Таблиця 1'!$K:$K,'Таблиця 1'!$B:$B,$A506,'Таблиця 1'!$I:$I,"F-16",'Таблиця 1'!$J:$J,"BLU-140")+SUMIFS('Таблиця 1'!$K:$K,'Таблиця 1'!$B:$B,$A506,'Таблиця 1'!$I:$I,"МіГ-29",'Таблиця 1'!$J:$J,"BLU-140")+SUMIFS('Таблиця 1'!$K:$K,'Таблиця 1'!$B:$B,$A506,'Таблиця 1'!$I:$I,"Су-25",'Таблиця 1'!$J:$J,"BLU-140")+SUMIFS('Таблиця 1'!$K:$K,'Таблиця 1'!$B:$B,$A506,'Таблиця 1'!$I:$I,"Су-27",'Таблиця 1'!$J:$J,"BLU-140"))</f>
        <v/>
      </c>
      <c r="L506">
        <f>IF($A506="","",SUMIFS('Таблиця 1'!$K:$K,'Таблиця 1'!$B:$B,$A506,'Таблиця 1'!$I:$I,"Mirage",'Таблиця 1'!$J:$J,"GBU-65")+SUMIFS('Таблиця 1'!$K:$K,'Таблиця 1'!$B:$B,$A506,'Таблиця 1'!$I:$I,"F-16",'Таблиця 1'!$J:$J,"GBU-65")+SUMIFS('Таблиця 1'!$K:$K,'Таблиця 1'!$B:$B,$A506,'Таблиця 1'!$I:$I,"МіГ-29",'Таблиця 1'!$J:$J,"GBU-65")+SUMIFS('Таблиця 1'!$K:$K,'Таблиця 1'!$B:$B,$A506,'Таблиця 1'!$I:$I,"Су-25",'Таблиця 1'!$J:$J,"GBU-65")+SUMIFS('Таблиця 1'!$K:$K,'Таблиця 1'!$B:$B,$A506,'Таблиця 1'!$I:$I,"Су-27",'Таблиця 1'!$J:$J,"GBU-65"))</f>
        <v/>
      </c>
      <c r="M506">
        <f>IF($A506="","",SUMIFS('Таблиця 1'!$K:$K,'Таблиця 1'!$B:$B,$A506,'Таблиця 1'!$I:$I,"Mirage",'Таблиця 1'!$J:$J,"GBU-62")+SUMIFS('Таблиця 1'!$K:$K,'Таблиця 1'!$B:$B,$A506,'Таблиця 1'!$I:$I,"F-16",'Таблиця 1'!$J:$J,"GBU-62")+SUMIFS('Таблиця 1'!$K:$K,'Таблиця 1'!$B:$B,$A506,'Таблиця 1'!$I:$I,"МіГ-29",'Таблиця 1'!$J:$J,"GBU-62")+SUMIFS('Таблиця 1'!$K:$K,'Таблиця 1'!$B:$B,$A506,'Таблиця 1'!$I:$I,"Су-25",'Таблиця 1'!$J:$J,"GBU-62")+SUMIFS('Таблиця 1'!$K:$K,'Таблиця 1'!$B:$B,$A506,'Таблиця 1'!$I:$I,"Су-27",'Таблиця 1'!$J:$J,"GBU-62"))</f>
        <v/>
      </c>
      <c r="N506">
        <f>IF($A506="","",SUMIFS('Таблиця 1'!$K:$K,'Таблиця 1'!$B:$B,$A506,'Таблиця 1'!$I:$I,"Mirage",'Таблиця 1'!$J:$J,"GBU-64")+SUMIFS('Таблиця 1'!$K:$K,'Таблиця 1'!$B:$B,$A506,'Таблиця 1'!$I:$I,"F-16",'Таблиця 1'!$J:$J,"GBU-64")+SUMIFS('Таблиця 1'!$K:$K,'Таблиця 1'!$B:$B,$A506,'Таблиця 1'!$I:$I,"МіГ-29",'Таблиця 1'!$J:$J,"GBU-64")+SUMIFS('Таблиця 1'!$K:$K,'Таблиця 1'!$B:$B,$A506,'Таблиця 1'!$I:$I,"Су-25",'Таблиця 1'!$J:$J,"GBU-64")+SUMIFS('Таблиця 1'!$K:$K,'Таблиця 1'!$B:$B,$A506,'Таблиця 1'!$I:$I,"Су-27",'Таблиця 1'!$J:$J,"GBU-64"))</f>
        <v/>
      </c>
      <c r="O506">
        <f>IF($A506="","",SUMIFS('Таблиця 1'!$K:$K,'Таблиця 1'!$B:$B,$A506,'Таблиця 1'!$I:$I,"Mirage",'Таблиця 1'!$J:$J,"C-13")+SUMIFS('Таблиця 1'!$K:$K,'Таблиця 1'!$B:$B,$A506,'Таблиця 1'!$I:$I,"F-16",'Таблиця 1'!$J:$J,"C-13")+SUMIFS('Таблиця 1'!$K:$K,'Таблиця 1'!$B:$B,$A506,'Таблиця 1'!$I:$I,"МіГ-29",'Таблиця 1'!$J:$J,"C-13")+SUMIFS('Таблиця 1'!$K:$K,'Таблиця 1'!$B:$B,$A506,'Таблиця 1'!$I:$I,"Су-25",'Таблиця 1'!$J:$J,"C-13")+SUMIFS('Таблиця 1'!$K:$K,'Таблиця 1'!$B:$B,$A506,'Таблиця 1'!$I:$I,"Су-27",'Таблиця 1'!$J:$J,"C-13"))</f>
        <v/>
      </c>
      <c r="P506">
        <f>IF($A506="","",SUMIFS('Таблиця 1'!$K:$K,'Таблиця 1'!$B:$B,$A506,'Таблиця 1'!$I:$I,"Mirage",'Таблиця 1'!$J:$J,"MK-32")+SUMIFS('Таблиця 1'!$K:$K,'Таблиця 1'!$B:$B,$A506,'Таблиця 1'!$I:$I,"F-16",'Таблиця 1'!$J:$J,"MK-32")+SUMIFS('Таблиця 1'!$K:$K,'Таблиця 1'!$B:$B,$A506,'Таблиця 1'!$I:$I,"МіГ-29",'Таблиця 1'!$J:$J,"MK-32")+SUMIFS('Таблиця 1'!$K:$K,'Таблиця 1'!$B:$B,$A506,'Таблиця 1'!$I:$I,"Су-25",'Таблиця 1'!$J:$J,"MK-32")+SUMIFS('Таблиця 1'!$K:$K,'Таблиця 1'!$B:$B,$A506,'Таблиця 1'!$I:$I,"Су-27",'Таблиця 1'!$J:$J,"MK-32"))</f>
        <v/>
      </c>
      <c r="Q506">
        <f>IF($A506="","",SUMIFS('Таблиця 1'!$K:$K,'Таблиця 1'!$B:$B,$A506,'Таблиця 1'!$I:$I,"Mirage",'Таблиця 1'!$J:$J,"MK-24")+SUMIFS('Таблиця 1'!$K:$K,'Таблиця 1'!$B:$B,$A506,'Таблиця 1'!$I:$I,"F-16",'Таблиця 1'!$J:$J,"MK-24")+SUMIFS('Таблиця 1'!$K:$K,'Таблиця 1'!$B:$B,$A506,'Таблиця 1'!$I:$I,"МіГ-29",'Таблиця 1'!$J:$J,"MK-24")+SUMIFS('Таблиця 1'!$K:$K,'Таблиця 1'!$B:$B,$A506,'Таблиця 1'!$I:$I,"Су-25",'Таблиця 1'!$J:$J,"MK-24")+SUMIFS('Таблиця 1'!$K:$K,'Таблиця 1'!$B:$B,$A506,'Таблиця 1'!$I:$I,"Су-27",'Таблиця 1'!$J:$J,"MK-24"))</f>
        <v/>
      </c>
      <c r="R506">
        <f>IF($A506="","",COUNTIFS('Таблиця 1'!$B:$B,$A506,'Таблиця 1'!$I:$I,"Mirage",'Таблиця 1'!$L:$L,"Уражено")+COUNTIFS('Таблиця 1'!$B:$B,$A506,'Таблиця 1'!$I:$I,"F-16",'Таблиця 1'!$L:$L,"Уражено")+COUNTIFS('Таблиця 1'!$B:$B,$A506,'Таблиця 1'!$I:$I,"МіГ-29",'Таблиця 1'!$L:$L,"Уражено")+COUNTIFS('Таблиця 1'!$B:$B,$A506,'Таблиця 1'!$I:$I,"Су-25",'Таблиця 1'!$L:$L,"Уражено")+COUNTIFS('Таблиця 1'!$B:$B,$A506,'Таблиця 1'!$I:$I,"Су-27",'Таблиця 1'!$L:$L,"Уражено"))</f>
        <v/>
      </c>
      <c r="S506">
        <f>IF($A506="","",COUNTIFS('Таблиця 1'!$B:$B,$A506,'Таблиця 1'!$I:$I,"Mirage",'Таблиця 1'!$L:$L,"НЕ уражено")+COUNTIFS('Таблиця 1'!$B:$B,$A506,'Таблиця 1'!$I:$I,"F-16",'Таблиця 1'!$L:$L,"НЕ уражено")+COUNTIFS('Таблиця 1'!$B:$B,$A506,'Таблиця 1'!$I:$I,"МіГ-29",'Таблиця 1'!$L:$L,"НЕ уражено")+COUNTIFS('Таблиця 1'!$B:$B,$A506,'Таблиця 1'!$I:$I,"Су-25",'Таблиця 1'!$L:$L,"НЕ уражено")+COUNTIFS('Таблиця 1'!$B:$B,$A506,'Таблиця 1'!$I:$I,"Су-27",'Таблиця 1'!$L:$L,"НЕ уражено"))</f>
        <v/>
      </c>
      <c r="T506">
        <f>IF($A506="","",COUNTIFS('Таблиця 1'!$B:$B,$A506,'Таблиця 1'!$I:$I,"Mirage",'Таблиця 1'!$L:$L,"Дорозвідується")+COUNTIFS('Таблиця 1'!$B:$B,$A506,'Таблиця 1'!$I:$I,"F-16",'Таблиця 1'!$L:$L,"Дорозвідується")+COUNTIFS('Таблиця 1'!$B:$B,$A506,'Таблиця 1'!$I:$I,"МіГ-29",'Таблиця 1'!$L:$L,"Дорозвідується")+COUNTIFS('Таблиця 1'!$B:$B,$A506,'Таблиця 1'!$I:$I,"Су-25",'Таблиця 1'!$L:$L,"Дорозвідується")+COUNTIFS('Таблиця 1'!$B:$B,$A506,'Таблиця 1'!$I:$I,"Су-27",'Таблиця 1'!$L:$L,"Дорозвідується"))</f>
        <v/>
      </c>
    </row>
    <row r="507">
      <c r="A507" s="273">
        <f>IF(A506="","",IF(A506+1&gt;MAX('Таблиця 1'!$B:$B),"",A506+1))</f>
        <v/>
      </c>
      <c r="B507">
        <f>IF($A507="","",COUNTIFS('Таблиця 1'!$B:$B,$A507,'Таблиця 1'!$I:$I,"Mirage")+COUNTIFS('Таблиця 1'!$B:$B,$A507,'Таблиця 1'!$I:$I,"F-16")+COUNTIFS('Таблиця 1'!$B:$B,$A507,'Таблиця 1'!$I:$I,"МіГ-29")+COUNTIFS('Таблиця 1'!$B:$B,$A507,'Таблиця 1'!$I:$I,"Су-25")+COUNTIFS('Таблиця 1'!$B:$B,$A507,'Таблиця 1'!$I:$I,"Су-27"))</f>
        <v/>
      </c>
      <c r="C507">
        <f>IF($A507="","",COUNTIFS('Таблиця 1'!$B:$B,$A507,'Таблиця 1'!$I:$I,"Mirage"))</f>
        <v/>
      </c>
      <c r="D507">
        <f>IF($A507="","",COUNTIFS('Таблиця 1'!$B:$B,$A507,'Таблиця 1'!$I:$I,"F-16"))</f>
        <v/>
      </c>
      <c r="E507">
        <f>IF($A507="","",COUNTIFS('Таблиця 1'!$B:$B,$A507,'Таблиця 1'!$I:$I,"МіГ-29"))</f>
        <v/>
      </c>
      <c r="F507">
        <f>IF($A507="","",COUNTIFS('Таблиця 1'!$B:$B,$A507,'Таблиця 1'!$I:$I,"Су-25"))</f>
        <v/>
      </c>
      <c r="G507">
        <f>IF($A507="","",COUNTIFS('Таблиця 1'!$B:$B,$A507,'Таблиця 1'!$I:$I,"Су-27"))</f>
        <v/>
      </c>
      <c r="H507">
        <f>IF($A507="","",SUMIFS('Таблиця 1'!$K:$K,'Таблиця 1'!$B:$B,$A507,'Таблиця 1'!$I:$I,"Mirage",'Таблиця 1'!$J:$J,"AGM-88")+SUMIFS('Таблиця 1'!$K:$K,'Таблиця 1'!$B:$B,$A507,'Таблиця 1'!$I:$I,"F-16",'Таблиця 1'!$J:$J,"AGM-88")+SUMIFS('Таблиця 1'!$K:$K,'Таблиця 1'!$B:$B,$A507,'Таблиця 1'!$I:$I,"МіГ-29",'Таблиця 1'!$J:$J,"AGM-88")+SUMIFS('Таблиця 1'!$K:$K,'Таблиця 1'!$B:$B,$A507,'Таблиця 1'!$I:$I,"Су-25",'Таблиця 1'!$J:$J,"AGM-88")+SUMIFS('Таблиця 1'!$K:$K,'Таблиця 1'!$B:$B,$A507,'Таблиця 1'!$I:$I,"Су-27",'Таблиця 1'!$J:$J,"AGM-88"))</f>
        <v/>
      </c>
      <c r="I507">
        <f>IF($A507="","",SUMIFS('Таблиця 1'!$K:$K,'Таблиця 1'!$B:$B,$A507,'Таблиця 1'!$I:$I,"Mirage",'Таблиця 1'!$J:$J,"AASM-250")+SUMIFS('Таблиця 1'!$K:$K,'Таблиця 1'!$B:$B,$A507,'Таблиця 1'!$I:$I,"F-16",'Таблиця 1'!$J:$J,"AASM-250")+SUMIFS('Таблиця 1'!$K:$K,'Таблиця 1'!$B:$B,$A507,'Таблиця 1'!$I:$I,"МіГ-29",'Таблиця 1'!$J:$J,"AASM-250")+SUMIFS('Таблиця 1'!$K:$K,'Таблиця 1'!$B:$B,$A507,'Таблиця 1'!$I:$I,"Су-25",'Таблиця 1'!$J:$J,"AASM-250")+SUMIFS('Таблиця 1'!$K:$K,'Таблиця 1'!$B:$B,$A507,'Таблиця 1'!$I:$I,"Су-27",'Таблиця 1'!$J:$J,"AASM-250"))</f>
        <v/>
      </c>
      <c r="J507">
        <f>IF($A507="","",SUMIFS('Таблиця 1'!$K:$K,'Таблиця 1'!$B:$B,$A507,'Таблиця 1'!$I:$I,"Mirage",'Таблиця 1'!$J:$J,"GBU-39")+SUMIFS('Таблиця 1'!$K:$K,'Таблиця 1'!$B:$B,$A507,'Таблиця 1'!$I:$I,"F-16",'Таблиця 1'!$J:$J,"GBU-39")+SUMIFS('Таблиця 1'!$K:$K,'Таблиця 1'!$B:$B,$A507,'Таблиця 1'!$I:$I,"МіГ-29",'Таблиця 1'!$J:$J,"GBU-39")+SUMIFS('Таблиця 1'!$K:$K,'Таблиця 1'!$B:$B,$A507,'Таблиця 1'!$I:$I,"Су-25",'Таблиця 1'!$J:$J,"GBU-39")+SUMIFS('Таблиця 1'!$K:$K,'Таблиця 1'!$B:$B,$A507,'Таблиця 1'!$I:$I,"Су-27",'Таблиця 1'!$J:$J,"GBU-39"))</f>
        <v/>
      </c>
      <c r="K507">
        <f>IF($A507="","",SUMIFS('Таблиця 1'!$K:$K,'Таблиця 1'!$B:$B,$A507,'Таблиця 1'!$I:$I,"Mirage",'Таблиця 1'!$J:$J,"BLU-140")+SUMIFS('Таблиця 1'!$K:$K,'Таблиця 1'!$B:$B,$A507,'Таблиця 1'!$I:$I,"F-16",'Таблиця 1'!$J:$J,"BLU-140")+SUMIFS('Таблиця 1'!$K:$K,'Таблиця 1'!$B:$B,$A507,'Таблиця 1'!$I:$I,"МіГ-29",'Таблиця 1'!$J:$J,"BLU-140")+SUMIFS('Таблиця 1'!$K:$K,'Таблиця 1'!$B:$B,$A507,'Таблиця 1'!$I:$I,"Су-25",'Таблиця 1'!$J:$J,"BLU-140")+SUMIFS('Таблиця 1'!$K:$K,'Таблиця 1'!$B:$B,$A507,'Таблиця 1'!$I:$I,"Су-27",'Таблиця 1'!$J:$J,"BLU-140"))</f>
        <v/>
      </c>
      <c r="L507">
        <f>IF($A507="","",SUMIFS('Таблиця 1'!$K:$K,'Таблиця 1'!$B:$B,$A507,'Таблиця 1'!$I:$I,"Mirage",'Таблиця 1'!$J:$J,"GBU-65")+SUMIFS('Таблиця 1'!$K:$K,'Таблиця 1'!$B:$B,$A507,'Таблиця 1'!$I:$I,"F-16",'Таблиця 1'!$J:$J,"GBU-65")+SUMIFS('Таблиця 1'!$K:$K,'Таблиця 1'!$B:$B,$A507,'Таблиця 1'!$I:$I,"МіГ-29",'Таблиця 1'!$J:$J,"GBU-65")+SUMIFS('Таблиця 1'!$K:$K,'Таблиця 1'!$B:$B,$A507,'Таблиця 1'!$I:$I,"Су-25",'Таблиця 1'!$J:$J,"GBU-65")+SUMIFS('Таблиця 1'!$K:$K,'Таблиця 1'!$B:$B,$A507,'Таблиця 1'!$I:$I,"Су-27",'Таблиця 1'!$J:$J,"GBU-65"))</f>
        <v/>
      </c>
      <c r="M507">
        <f>IF($A507="","",SUMIFS('Таблиця 1'!$K:$K,'Таблиця 1'!$B:$B,$A507,'Таблиця 1'!$I:$I,"Mirage",'Таблиця 1'!$J:$J,"GBU-62")+SUMIFS('Таблиця 1'!$K:$K,'Таблиця 1'!$B:$B,$A507,'Таблиця 1'!$I:$I,"F-16",'Таблиця 1'!$J:$J,"GBU-62")+SUMIFS('Таблиця 1'!$K:$K,'Таблиця 1'!$B:$B,$A507,'Таблиця 1'!$I:$I,"МіГ-29",'Таблиця 1'!$J:$J,"GBU-62")+SUMIFS('Таблиця 1'!$K:$K,'Таблиця 1'!$B:$B,$A507,'Таблиця 1'!$I:$I,"Су-25",'Таблиця 1'!$J:$J,"GBU-62")+SUMIFS('Таблиця 1'!$K:$K,'Таблиця 1'!$B:$B,$A507,'Таблиця 1'!$I:$I,"Су-27",'Таблиця 1'!$J:$J,"GBU-62"))</f>
        <v/>
      </c>
      <c r="N507">
        <f>IF($A507="","",SUMIFS('Таблиця 1'!$K:$K,'Таблиця 1'!$B:$B,$A507,'Таблиця 1'!$I:$I,"Mirage",'Таблиця 1'!$J:$J,"GBU-64")+SUMIFS('Таблиця 1'!$K:$K,'Таблиця 1'!$B:$B,$A507,'Таблиця 1'!$I:$I,"F-16",'Таблиця 1'!$J:$J,"GBU-64")+SUMIFS('Таблиця 1'!$K:$K,'Таблиця 1'!$B:$B,$A507,'Таблиця 1'!$I:$I,"МіГ-29",'Таблиця 1'!$J:$J,"GBU-64")+SUMIFS('Таблиця 1'!$K:$K,'Таблиця 1'!$B:$B,$A507,'Таблиця 1'!$I:$I,"Су-25",'Таблиця 1'!$J:$J,"GBU-64")+SUMIFS('Таблиця 1'!$K:$K,'Таблиця 1'!$B:$B,$A507,'Таблиця 1'!$I:$I,"Су-27",'Таблиця 1'!$J:$J,"GBU-64"))</f>
        <v/>
      </c>
      <c r="O507">
        <f>IF($A507="","",SUMIFS('Таблиця 1'!$K:$K,'Таблиця 1'!$B:$B,$A507,'Таблиця 1'!$I:$I,"Mirage",'Таблиця 1'!$J:$J,"C-13")+SUMIFS('Таблиця 1'!$K:$K,'Таблиця 1'!$B:$B,$A507,'Таблиця 1'!$I:$I,"F-16",'Таблиця 1'!$J:$J,"C-13")+SUMIFS('Таблиця 1'!$K:$K,'Таблиця 1'!$B:$B,$A507,'Таблиця 1'!$I:$I,"МіГ-29",'Таблиця 1'!$J:$J,"C-13")+SUMIFS('Таблиця 1'!$K:$K,'Таблиця 1'!$B:$B,$A507,'Таблиця 1'!$I:$I,"Су-25",'Таблиця 1'!$J:$J,"C-13")+SUMIFS('Таблиця 1'!$K:$K,'Таблиця 1'!$B:$B,$A507,'Таблиця 1'!$I:$I,"Су-27",'Таблиця 1'!$J:$J,"C-13"))</f>
        <v/>
      </c>
      <c r="P507">
        <f>IF($A507="","",SUMIFS('Таблиця 1'!$K:$K,'Таблиця 1'!$B:$B,$A507,'Таблиця 1'!$I:$I,"Mirage",'Таблиця 1'!$J:$J,"MK-32")+SUMIFS('Таблиця 1'!$K:$K,'Таблиця 1'!$B:$B,$A507,'Таблиця 1'!$I:$I,"F-16",'Таблиця 1'!$J:$J,"MK-32")+SUMIFS('Таблиця 1'!$K:$K,'Таблиця 1'!$B:$B,$A507,'Таблиця 1'!$I:$I,"МіГ-29",'Таблиця 1'!$J:$J,"MK-32")+SUMIFS('Таблиця 1'!$K:$K,'Таблиця 1'!$B:$B,$A507,'Таблиця 1'!$I:$I,"Су-25",'Таблиця 1'!$J:$J,"MK-32")+SUMIFS('Таблиця 1'!$K:$K,'Таблиця 1'!$B:$B,$A507,'Таблиця 1'!$I:$I,"Су-27",'Таблиця 1'!$J:$J,"MK-32"))</f>
        <v/>
      </c>
      <c r="Q507">
        <f>IF($A507="","",SUMIFS('Таблиця 1'!$K:$K,'Таблиця 1'!$B:$B,$A507,'Таблиця 1'!$I:$I,"Mirage",'Таблиця 1'!$J:$J,"MK-24")+SUMIFS('Таблиця 1'!$K:$K,'Таблиця 1'!$B:$B,$A507,'Таблиця 1'!$I:$I,"F-16",'Таблиця 1'!$J:$J,"MK-24")+SUMIFS('Таблиця 1'!$K:$K,'Таблиця 1'!$B:$B,$A507,'Таблиця 1'!$I:$I,"МіГ-29",'Таблиця 1'!$J:$J,"MK-24")+SUMIFS('Таблиця 1'!$K:$K,'Таблиця 1'!$B:$B,$A507,'Таблиця 1'!$I:$I,"Су-25",'Таблиця 1'!$J:$J,"MK-24")+SUMIFS('Таблиця 1'!$K:$K,'Таблиця 1'!$B:$B,$A507,'Таблиця 1'!$I:$I,"Су-27",'Таблиця 1'!$J:$J,"MK-24"))</f>
        <v/>
      </c>
      <c r="R507">
        <f>IF($A507="","",COUNTIFS('Таблиця 1'!$B:$B,$A507,'Таблиця 1'!$I:$I,"Mirage",'Таблиця 1'!$L:$L,"Уражено")+COUNTIFS('Таблиця 1'!$B:$B,$A507,'Таблиця 1'!$I:$I,"F-16",'Таблиця 1'!$L:$L,"Уражено")+COUNTIFS('Таблиця 1'!$B:$B,$A507,'Таблиця 1'!$I:$I,"МіГ-29",'Таблиця 1'!$L:$L,"Уражено")+COUNTIFS('Таблиця 1'!$B:$B,$A507,'Таблиця 1'!$I:$I,"Су-25",'Таблиця 1'!$L:$L,"Уражено")+COUNTIFS('Таблиця 1'!$B:$B,$A507,'Таблиця 1'!$I:$I,"Су-27",'Таблиця 1'!$L:$L,"Уражено"))</f>
        <v/>
      </c>
      <c r="S507">
        <f>IF($A507="","",COUNTIFS('Таблиця 1'!$B:$B,$A507,'Таблиця 1'!$I:$I,"Mirage",'Таблиця 1'!$L:$L,"НЕ уражено")+COUNTIFS('Таблиця 1'!$B:$B,$A507,'Таблиця 1'!$I:$I,"F-16",'Таблиця 1'!$L:$L,"НЕ уражено")+COUNTIFS('Таблиця 1'!$B:$B,$A507,'Таблиця 1'!$I:$I,"МіГ-29",'Таблиця 1'!$L:$L,"НЕ уражено")+COUNTIFS('Таблиця 1'!$B:$B,$A507,'Таблиця 1'!$I:$I,"Су-25",'Таблиця 1'!$L:$L,"НЕ уражено")+COUNTIFS('Таблиця 1'!$B:$B,$A507,'Таблиця 1'!$I:$I,"Су-27",'Таблиця 1'!$L:$L,"НЕ уражено"))</f>
        <v/>
      </c>
      <c r="T507">
        <f>IF($A507="","",COUNTIFS('Таблиця 1'!$B:$B,$A507,'Таблиця 1'!$I:$I,"Mirage",'Таблиця 1'!$L:$L,"Дорозвідується")+COUNTIFS('Таблиця 1'!$B:$B,$A507,'Таблиця 1'!$I:$I,"F-16",'Таблиця 1'!$L:$L,"Дорозвідується")+COUNTIFS('Таблиця 1'!$B:$B,$A507,'Таблиця 1'!$I:$I,"МіГ-29",'Таблиця 1'!$L:$L,"Дорозвідується")+COUNTIFS('Таблиця 1'!$B:$B,$A507,'Таблиця 1'!$I:$I,"Су-25",'Таблиця 1'!$L:$L,"Дорозвідується")+COUNTIFS('Таблиця 1'!$B:$B,$A507,'Таблиця 1'!$I:$I,"Су-27",'Таблиця 1'!$L:$L,"Дорозвідується"))</f>
        <v/>
      </c>
    </row>
    <row r="508">
      <c r="A508" s="273">
        <f>IF(A507="","",IF(A507+1&gt;MAX('Таблиця 1'!$B:$B),"",A507+1))</f>
        <v/>
      </c>
      <c r="B508">
        <f>IF($A508="","",COUNTIFS('Таблиця 1'!$B:$B,$A508,'Таблиця 1'!$I:$I,"Mirage")+COUNTIFS('Таблиця 1'!$B:$B,$A508,'Таблиця 1'!$I:$I,"F-16")+COUNTIFS('Таблиця 1'!$B:$B,$A508,'Таблиця 1'!$I:$I,"МіГ-29")+COUNTIFS('Таблиця 1'!$B:$B,$A508,'Таблиця 1'!$I:$I,"Су-25")+COUNTIFS('Таблиця 1'!$B:$B,$A508,'Таблиця 1'!$I:$I,"Су-27"))</f>
        <v/>
      </c>
      <c r="C508">
        <f>IF($A508="","",COUNTIFS('Таблиця 1'!$B:$B,$A508,'Таблиця 1'!$I:$I,"Mirage"))</f>
        <v/>
      </c>
      <c r="D508">
        <f>IF($A508="","",COUNTIFS('Таблиця 1'!$B:$B,$A508,'Таблиця 1'!$I:$I,"F-16"))</f>
        <v/>
      </c>
      <c r="E508">
        <f>IF($A508="","",COUNTIFS('Таблиця 1'!$B:$B,$A508,'Таблиця 1'!$I:$I,"МіГ-29"))</f>
        <v/>
      </c>
      <c r="F508">
        <f>IF($A508="","",COUNTIFS('Таблиця 1'!$B:$B,$A508,'Таблиця 1'!$I:$I,"Су-25"))</f>
        <v/>
      </c>
      <c r="G508">
        <f>IF($A508="","",COUNTIFS('Таблиця 1'!$B:$B,$A508,'Таблиця 1'!$I:$I,"Су-27"))</f>
        <v/>
      </c>
      <c r="H508">
        <f>IF($A508="","",SUMIFS('Таблиця 1'!$K:$K,'Таблиця 1'!$B:$B,$A508,'Таблиця 1'!$I:$I,"Mirage",'Таблиця 1'!$J:$J,"AGM-88")+SUMIFS('Таблиця 1'!$K:$K,'Таблиця 1'!$B:$B,$A508,'Таблиця 1'!$I:$I,"F-16",'Таблиця 1'!$J:$J,"AGM-88")+SUMIFS('Таблиця 1'!$K:$K,'Таблиця 1'!$B:$B,$A508,'Таблиця 1'!$I:$I,"МіГ-29",'Таблиця 1'!$J:$J,"AGM-88")+SUMIFS('Таблиця 1'!$K:$K,'Таблиця 1'!$B:$B,$A508,'Таблиця 1'!$I:$I,"Су-25",'Таблиця 1'!$J:$J,"AGM-88")+SUMIFS('Таблиця 1'!$K:$K,'Таблиця 1'!$B:$B,$A508,'Таблиця 1'!$I:$I,"Су-27",'Таблиця 1'!$J:$J,"AGM-88"))</f>
        <v/>
      </c>
      <c r="I508">
        <f>IF($A508="","",SUMIFS('Таблиця 1'!$K:$K,'Таблиця 1'!$B:$B,$A508,'Таблиця 1'!$I:$I,"Mirage",'Таблиця 1'!$J:$J,"AASM-250")+SUMIFS('Таблиця 1'!$K:$K,'Таблиця 1'!$B:$B,$A508,'Таблиця 1'!$I:$I,"F-16",'Таблиця 1'!$J:$J,"AASM-250")+SUMIFS('Таблиця 1'!$K:$K,'Таблиця 1'!$B:$B,$A508,'Таблиця 1'!$I:$I,"МіГ-29",'Таблиця 1'!$J:$J,"AASM-250")+SUMIFS('Таблиця 1'!$K:$K,'Таблиця 1'!$B:$B,$A508,'Таблиця 1'!$I:$I,"Су-25",'Таблиця 1'!$J:$J,"AASM-250")+SUMIFS('Таблиця 1'!$K:$K,'Таблиця 1'!$B:$B,$A508,'Таблиця 1'!$I:$I,"Су-27",'Таблиця 1'!$J:$J,"AASM-250"))</f>
        <v/>
      </c>
      <c r="J508">
        <f>IF($A508="","",SUMIFS('Таблиця 1'!$K:$K,'Таблиця 1'!$B:$B,$A508,'Таблиця 1'!$I:$I,"Mirage",'Таблиця 1'!$J:$J,"GBU-39")+SUMIFS('Таблиця 1'!$K:$K,'Таблиця 1'!$B:$B,$A508,'Таблиця 1'!$I:$I,"F-16",'Таблиця 1'!$J:$J,"GBU-39")+SUMIFS('Таблиця 1'!$K:$K,'Таблиця 1'!$B:$B,$A508,'Таблиця 1'!$I:$I,"МіГ-29",'Таблиця 1'!$J:$J,"GBU-39")+SUMIFS('Таблиця 1'!$K:$K,'Таблиця 1'!$B:$B,$A508,'Таблиця 1'!$I:$I,"Су-25",'Таблиця 1'!$J:$J,"GBU-39")+SUMIFS('Таблиця 1'!$K:$K,'Таблиця 1'!$B:$B,$A508,'Таблиця 1'!$I:$I,"Су-27",'Таблиця 1'!$J:$J,"GBU-39"))</f>
        <v/>
      </c>
      <c r="K508">
        <f>IF($A508="","",SUMIFS('Таблиця 1'!$K:$K,'Таблиця 1'!$B:$B,$A508,'Таблиця 1'!$I:$I,"Mirage",'Таблиця 1'!$J:$J,"BLU-140")+SUMIFS('Таблиця 1'!$K:$K,'Таблиця 1'!$B:$B,$A508,'Таблиця 1'!$I:$I,"F-16",'Таблиця 1'!$J:$J,"BLU-140")+SUMIFS('Таблиця 1'!$K:$K,'Таблиця 1'!$B:$B,$A508,'Таблиця 1'!$I:$I,"МіГ-29",'Таблиця 1'!$J:$J,"BLU-140")+SUMIFS('Таблиця 1'!$K:$K,'Таблиця 1'!$B:$B,$A508,'Таблиця 1'!$I:$I,"Су-25",'Таблиця 1'!$J:$J,"BLU-140")+SUMIFS('Таблиця 1'!$K:$K,'Таблиця 1'!$B:$B,$A508,'Таблиця 1'!$I:$I,"Су-27",'Таблиця 1'!$J:$J,"BLU-140"))</f>
        <v/>
      </c>
      <c r="L508">
        <f>IF($A508="","",SUMIFS('Таблиця 1'!$K:$K,'Таблиця 1'!$B:$B,$A508,'Таблиця 1'!$I:$I,"Mirage",'Таблиця 1'!$J:$J,"GBU-65")+SUMIFS('Таблиця 1'!$K:$K,'Таблиця 1'!$B:$B,$A508,'Таблиця 1'!$I:$I,"F-16",'Таблиця 1'!$J:$J,"GBU-65")+SUMIFS('Таблиця 1'!$K:$K,'Таблиця 1'!$B:$B,$A508,'Таблиця 1'!$I:$I,"МіГ-29",'Таблиця 1'!$J:$J,"GBU-65")+SUMIFS('Таблиця 1'!$K:$K,'Таблиця 1'!$B:$B,$A508,'Таблиця 1'!$I:$I,"Су-25",'Таблиця 1'!$J:$J,"GBU-65")+SUMIFS('Таблиця 1'!$K:$K,'Таблиця 1'!$B:$B,$A508,'Таблиця 1'!$I:$I,"Су-27",'Таблиця 1'!$J:$J,"GBU-65"))</f>
        <v/>
      </c>
      <c r="M508">
        <f>IF($A508="","",SUMIFS('Таблиця 1'!$K:$K,'Таблиця 1'!$B:$B,$A508,'Таблиця 1'!$I:$I,"Mirage",'Таблиця 1'!$J:$J,"GBU-62")+SUMIFS('Таблиця 1'!$K:$K,'Таблиця 1'!$B:$B,$A508,'Таблиця 1'!$I:$I,"F-16",'Таблиця 1'!$J:$J,"GBU-62")+SUMIFS('Таблиця 1'!$K:$K,'Таблиця 1'!$B:$B,$A508,'Таблиця 1'!$I:$I,"МіГ-29",'Таблиця 1'!$J:$J,"GBU-62")+SUMIFS('Таблиця 1'!$K:$K,'Таблиця 1'!$B:$B,$A508,'Таблиця 1'!$I:$I,"Су-25",'Таблиця 1'!$J:$J,"GBU-62")+SUMIFS('Таблиця 1'!$K:$K,'Таблиця 1'!$B:$B,$A508,'Таблиця 1'!$I:$I,"Су-27",'Таблиця 1'!$J:$J,"GBU-62"))</f>
        <v/>
      </c>
      <c r="N508">
        <f>IF($A508="","",SUMIFS('Таблиця 1'!$K:$K,'Таблиця 1'!$B:$B,$A508,'Таблиця 1'!$I:$I,"Mirage",'Таблиця 1'!$J:$J,"GBU-64")+SUMIFS('Таблиця 1'!$K:$K,'Таблиця 1'!$B:$B,$A508,'Таблиця 1'!$I:$I,"F-16",'Таблиця 1'!$J:$J,"GBU-64")+SUMIFS('Таблиця 1'!$K:$K,'Таблиця 1'!$B:$B,$A508,'Таблиця 1'!$I:$I,"МіГ-29",'Таблиця 1'!$J:$J,"GBU-64")+SUMIFS('Таблиця 1'!$K:$K,'Таблиця 1'!$B:$B,$A508,'Таблиця 1'!$I:$I,"Су-25",'Таблиця 1'!$J:$J,"GBU-64")+SUMIFS('Таблиця 1'!$K:$K,'Таблиця 1'!$B:$B,$A508,'Таблиця 1'!$I:$I,"Су-27",'Таблиця 1'!$J:$J,"GBU-64"))</f>
        <v/>
      </c>
      <c r="O508">
        <f>IF($A508="","",SUMIFS('Таблиця 1'!$K:$K,'Таблиця 1'!$B:$B,$A508,'Таблиця 1'!$I:$I,"Mirage",'Таблиця 1'!$J:$J,"C-13")+SUMIFS('Таблиця 1'!$K:$K,'Таблиця 1'!$B:$B,$A508,'Таблиця 1'!$I:$I,"F-16",'Таблиця 1'!$J:$J,"C-13")+SUMIFS('Таблиця 1'!$K:$K,'Таблиця 1'!$B:$B,$A508,'Таблиця 1'!$I:$I,"МіГ-29",'Таблиця 1'!$J:$J,"C-13")+SUMIFS('Таблиця 1'!$K:$K,'Таблиця 1'!$B:$B,$A508,'Таблиця 1'!$I:$I,"Су-25",'Таблиця 1'!$J:$J,"C-13")+SUMIFS('Таблиця 1'!$K:$K,'Таблиця 1'!$B:$B,$A508,'Таблиця 1'!$I:$I,"Су-27",'Таблиця 1'!$J:$J,"C-13"))</f>
        <v/>
      </c>
      <c r="P508">
        <f>IF($A508="","",SUMIFS('Таблиця 1'!$K:$K,'Таблиця 1'!$B:$B,$A508,'Таблиця 1'!$I:$I,"Mirage",'Таблиця 1'!$J:$J,"MK-32")+SUMIFS('Таблиця 1'!$K:$K,'Таблиця 1'!$B:$B,$A508,'Таблиця 1'!$I:$I,"F-16",'Таблиця 1'!$J:$J,"MK-32")+SUMIFS('Таблиця 1'!$K:$K,'Таблиця 1'!$B:$B,$A508,'Таблиця 1'!$I:$I,"МіГ-29",'Таблиця 1'!$J:$J,"MK-32")+SUMIFS('Таблиця 1'!$K:$K,'Таблиця 1'!$B:$B,$A508,'Таблиця 1'!$I:$I,"Су-25",'Таблиця 1'!$J:$J,"MK-32")+SUMIFS('Таблиця 1'!$K:$K,'Таблиця 1'!$B:$B,$A508,'Таблиця 1'!$I:$I,"Су-27",'Таблиця 1'!$J:$J,"MK-32"))</f>
        <v/>
      </c>
      <c r="Q508">
        <f>IF($A508="","",SUMIFS('Таблиця 1'!$K:$K,'Таблиця 1'!$B:$B,$A508,'Таблиця 1'!$I:$I,"Mirage",'Таблиця 1'!$J:$J,"MK-24")+SUMIFS('Таблиця 1'!$K:$K,'Таблиця 1'!$B:$B,$A508,'Таблиця 1'!$I:$I,"F-16",'Таблиця 1'!$J:$J,"MK-24")+SUMIFS('Таблиця 1'!$K:$K,'Таблиця 1'!$B:$B,$A508,'Таблиця 1'!$I:$I,"МіГ-29",'Таблиця 1'!$J:$J,"MK-24")+SUMIFS('Таблиця 1'!$K:$K,'Таблиця 1'!$B:$B,$A508,'Таблиця 1'!$I:$I,"Су-25",'Таблиця 1'!$J:$J,"MK-24")+SUMIFS('Таблиця 1'!$K:$K,'Таблиця 1'!$B:$B,$A508,'Таблиця 1'!$I:$I,"Су-27",'Таблиця 1'!$J:$J,"MK-24"))</f>
        <v/>
      </c>
      <c r="R508">
        <f>IF($A508="","",COUNTIFS('Таблиця 1'!$B:$B,$A508,'Таблиця 1'!$I:$I,"Mirage",'Таблиця 1'!$L:$L,"Уражено")+COUNTIFS('Таблиця 1'!$B:$B,$A508,'Таблиця 1'!$I:$I,"F-16",'Таблиця 1'!$L:$L,"Уражено")+COUNTIFS('Таблиця 1'!$B:$B,$A508,'Таблиця 1'!$I:$I,"МіГ-29",'Таблиця 1'!$L:$L,"Уражено")+COUNTIFS('Таблиця 1'!$B:$B,$A508,'Таблиця 1'!$I:$I,"Су-25",'Таблиця 1'!$L:$L,"Уражено")+COUNTIFS('Таблиця 1'!$B:$B,$A508,'Таблиця 1'!$I:$I,"Су-27",'Таблиця 1'!$L:$L,"Уражено"))</f>
        <v/>
      </c>
      <c r="S508">
        <f>IF($A508="","",COUNTIFS('Таблиця 1'!$B:$B,$A508,'Таблиця 1'!$I:$I,"Mirage",'Таблиця 1'!$L:$L,"НЕ уражено")+COUNTIFS('Таблиця 1'!$B:$B,$A508,'Таблиця 1'!$I:$I,"F-16",'Таблиця 1'!$L:$L,"НЕ уражено")+COUNTIFS('Таблиця 1'!$B:$B,$A508,'Таблиця 1'!$I:$I,"МіГ-29",'Таблиця 1'!$L:$L,"НЕ уражено")+COUNTIFS('Таблиця 1'!$B:$B,$A508,'Таблиця 1'!$I:$I,"Су-25",'Таблиця 1'!$L:$L,"НЕ уражено")+COUNTIFS('Таблиця 1'!$B:$B,$A508,'Таблиця 1'!$I:$I,"Су-27",'Таблиця 1'!$L:$L,"НЕ уражено"))</f>
        <v/>
      </c>
      <c r="T508">
        <f>IF($A508="","",COUNTIFS('Таблиця 1'!$B:$B,$A508,'Таблиця 1'!$I:$I,"Mirage",'Таблиця 1'!$L:$L,"Дорозвідується")+COUNTIFS('Таблиця 1'!$B:$B,$A508,'Таблиця 1'!$I:$I,"F-16",'Таблиця 1'!$L:$L,"Дорозвідується")+COUNTIFS('Таблиця 1'!$B:$B,$A508,'Таблиця 1'!$I:$I,"МіГ-29",'Таблиця 1'!$L:$L,"Дорозвідується")+COUNTIFS('Таблиця 1'!$B:$B,$A508,'Таблиця 1'!$I:$I,"Су-25",'Таблиця 1'!$L:$L,"Дорозвідується")+COUNTIFS('Таблиця 1'!$B:$B,$A508,'Таблиця 1'!$I:$I,"Су-27",'Таблиця 1'!$L:$L,"Дорозвідується"))</f>
        <v/>
      </c>
    </row>
    <row r="509">
      <c r="A509" s="273">
        <f>IF(A508="","",IF(A508+1&gt;MAX('Таблиця 1'!$B:$B),"",A508+1))</f>
        <v/>
      </c>
      <c r="B509">
        <f>IF($A509="","",COUNTIFS('Таблиця 1'!$B:$B,$A509,'Таблиця 1'!$I:$I,"Mirage")+COUNTIFS('Таблиця 1'!$B:$B,$A509,'Таблиця 1'!$I:$I,"F-16")+COUNTIFS('Таблиця 1'!$B:$B,$A509,'Таблиця 1'!$I:$I,"МіГ-29")+COUNTIFS('Таблиця 1'!$B:$B,$A509,'Таблиця 1'!$I:$I,"Су-25")+COUNTIFS('Таблиця 1'!$B:$B,$A509,'Таблиця 1'!$I:$I,"Су-27"))</f>
        <v/>
      </c>
      <c r="C509">
        <f>IF($A509="","",COUNTIFS('Таблиця 1'!$B:$B,$A509,'Таблиця 1'!$I:$I,"Mirage"))</f>
        <v/>
      </c>
      <c r="D509">
        <f>IF($A509="","",COUNTIFS('Таблиця 1'!$B:$B,$A509,'Таблиця 1'!$I:$I,"F-16"))</f>
        <v/>
      </c>
      <c r="E509">
        <f>IF($A509="","",COUNTIFS('Таблиця 1'!$B:$B,$A509,'Таблиця 1'!$I:$I,"МіГ-29"))</f>
        <v/>
      </c>
      <c r="F509">
        <f>IF($A509="","",COUNTIFS('Таблиця 1'!$B:$B,$A509,'Таблиця 1'!$I:$I,"Су-25"))</f>
        <v/>
      </c>
      <c r="G509">
        <f>IF($A509="","",COUNTIFS('Таблиця 1'!$B:$B,$A509,'Таблиця 1'!$I:$I,"Су-27"))</f>
        <v/>
      </c>
      <c r="H509">
        <f>IF($A509="","",SUMIFS('Таблиця 1'!$K:$K,'Таблиця 1'!$B:$B,$A509,'Таблиця 1'!$I:$I,"Mirage",'Таблиця 1'!$J:$J,"AGM-88")+SUMIFS('Таблиця 1'!$K:$K,'Таблиця 1'!$B:$B,$A509,'Таблиця 1'!$I:$I,"F-16",'Таблиця 1'!$J:$J,"AGM-88")+SUMIFS('Таблиця 1'!$K:$K,'Таблиця 1'!$B:$B,$A509,'Таблиця 1'!$I:$I,"МіГ-29",'Таблиця 1'!$J:$J,"AGM-88")+SUMIFS('Таблиця 1'!$K:$K,'Таблиця 1'!$B:$B,$A509,'Таблиця 1'!$I:$I,"Су-25",'Таблиця 1'!$J:$J,"AGM-88")+SUMIFS('Таблиця 1'!$K:$K,'Таблиця 1'!$B:$B,$A509,'Таблиця 1'!$I:$I,"Су-27",'Таблиця 1'!$J:$J,"AGM-88"))</f>
        <v/>
      </c>
      <c r="I509">
        <f>IF($A509="","",SUMIFS('Таблиця 1'!$K:$K,'Таблиця 1'!$B:$B,$A509,'Таблиця 1'!$I:$I,"Mirage",'Таблиця 1'!$J:$J,"AASM-250")+SUMIFS('Таблиця 1'!$K:$K,'Таблиця 1'!$B:$B,$A509,'Таблиця 1'!$I:$I,"F-16",'Таблиця 1'!$J:$J,"AASM-250")+SUMIFS('Таблиця 1'!$K:$K,'Таблиця 1'!$B:$B,$A509,'Таблиця 1'!$I:$I,"МіГ-29",'Таблиця 1'!$J:$J,"AASM-250")+SUMIFS('Таблиця 1'!$K:$K,'Таблиця 1'!$B:$B,$A509,'Таблиця 1'!$I:$I,"Су-25",'Таблиця 1'!$J:$J,"AASM-250")+SUMIFS('Таблиця 1'!$K:$K,'Таблиця 1'!$B:$B,$A509,'Таблиця 1'!$I:$I,"Су-27",'Таблиця 1'!$J:$J,"AASM-250"))</f>
        <v/>
      </c>
      <c r="J509">
        <f>IF($A509="","",SUMIFS('Таблиця 1'!$K:$K,'Таблиця 1'!$B:$B,$A509,'Таблиця 1'!$I:$I,"Mirage",'Таблиця 1'!$J:$J,"GBU-39")+SUMIFS('Таблиця 1'!$K:$K,'Таблиця 1'!$B:$B,$A509,'Таблиця 1'!$I:$I,"F-16",'Таблиця 1'!$J:$J,"GBU-39")+SUMIFS('Таблиця 1'!$K:$K,'Таблиця 1'!$B:$B,$A509,'Таблиця 1'!$I:$I,"МіГ-29",'Таблиця 1'!$J:$J,"GBU-39")+SUMIFS('Таблиця 1'!$K:$K,'Таблиця 1'!$B:$B,$A509,'Таблиця 1'!$I:$I,"Су-25",'Таблиця 1'!$J:$J,"GBU-39")+SUMIFS('Таблиця 1'!$K:$K,'Таблиця 1'!$B:$B,$A509,'Таблиця 1'!$I:$I,"Су-27",'Таблиця 1'!$J:$J,"GBU-39"))</f>
        <v/>
      </c>
      <c r="K509">
        <f>IF($A509="","",SUMIFS('Таблиця 1'!$K:$K,'Таблиця 1'!$B:$B,$A509,'Таблиця 1'!$I:$I,"Mirage",'Таблиця 1'!$J:$J,"BLU-140")+SUMIFS('Таблиця 1'!$K:$K,'Таблиця 1'!$B:$B,$A509,'Таблиця 1'!$I:$I,"F-16",'Таблиця 1'!$J:$J,"BLU-140")+SUMIFS('Таблиця 1'!$K:$K,'Таблиця 1'!$B:$B,$A509,'Таблиця 1'!$I:$I,"МіГ-29",'Таблиця 1'!$J:$J,"BLU-140")+SUMIFS('Таблиця 1'!$K:$K,'Таблиця 1'!$B:$B,$A509,'Таблиця 1'!$I:$I,"Су-25",'Таблиця 1'!$J:$J,"BLU-140")+SUMIFS('Таблиця 1'!$K:$K,'Таблиця 1'!$B:$B,$A509,'Таблиця 1'!$I:$I,"Су-27",'Таблиця 1'!$J:$J,"BLU-140"))</f>
        <v/>
      </c>
      <c r="L509">
        <f>IF($A509="","",SUMIFS('Таблиця 1'!$K:$K,'Таблиця 1'!$B:$B,$A509,'Таблиця 1'!$I:$I,"Mirage",'Таблиця 1'!$J:$J,"GBU-65")+SUMIFS('Таблиця 1'!$K:$K,'Таблиця 1'!$B:$B,$A509,'Таблиця 1'!$I:$I,"F-16",'Таблиця 1'!$J:$J,"GBU-65")+SUMIFS('Таблиця 1'!$K:$K,'Таблиця 1'!$B:$B,$A509,'Таблиця 1'!$I:$I,"МіГ-29",'Таблиця 1'!$J:$J,"GBU-65")+SUMIFS('Таблиця 1'!$K:$K,'Таблиця 1'!$B:$B,$A509,'Таблиця 1'!$I:$I,"Су-25",'Таблиця 1'!$J:$J,"GBU-65")+SUMIFS('Таблиця 1'!$K:$K,'Таблиця 1'!$B:$B,$A509,'Таблиця 1'!$I:$I,"Су-27",'Таблиця 1'!$J:$J,"GBU-65"))</f>
        <v/>
      </c>
      <c r="M509">
        <f>IF($A509="","",SUMIFS('Таблиця 1'!$K:$K,'Таблиця 1'!$B:$B,$A509,'Таблиця 1'!$I:$I,"Mirage",'Таблиця 1'!$J:$J,"GBU-62")+SUMIFS('Таблиця 1'!$K:$K,'Таблиця 1'!$B:$B,$A509,'Таблиця 1'!$I:$I,"F-16",'Таблиця 1'!$J:$J,"GBU-62")+SUMIFS('Таблиця 1'!$K:$K,'Таблиця 1'!$B:$B,$A509,'Таблиця 1'!$I:$I,"МіГ-29",'Таблиця 1'!$J:$J,"GBU-62")+SUMIFS('Таблиця 1'!$K:$K,'Таблиця 1'!$B:$B,$A509,'Таблиця 1'!$I:$I,"Су-25",'Таблиця 1'!$J:$J,"GBU-62")+SUMIFS('Таблиця 1'!$K:$K,'Таблиця 1'!$B:$B,$A509,'Таблиця 1'!$I:$I,"Су-27",'Таблиця 1'!$J:$J,"GBU-62"))</f>
        <v/>
      </c>
      <c r="N509">
        <f>IF($A509="","",SUMIFS('Таблиця 1'!$K:$K,'Таблиця 1'!$B:$B,$A509,'Таблиця 1'!$I:$I,"Mirage",'Таблиця 1'!$J:$J,"GBU-64")+SUMIFS('Таблиця 1'!$K:$K,'Таблиця 1'!$B:$B,$A509,'Таблиця 1'!$I:$I,"F-16",'Таблиця 1'!$J:$J,"GBU-64")+SUMIFS('Таблиця 1'!$K:$K,'Таблиця 1'!$B:$B,$A509,'Таблиця 1'!$I:$I,"МіГ-29",'Таблиця 1'!$J:$J,"GBU-64")+SUMIFS('Таблиця 1'!$K:$K,'Таблиця 1'!$B:$B,$A509,'Таблиця 1'!$I:$I,"Су-25",'Таблиця 1'!$J:$J,"GBU-64")+SUMIFS('Таблиця 1'!$K:$K,'Таблиця 1'!$B:$B,$A509,'Таблиця 1'!$I:$I,"Су-27",'Таблиця 1'!$J:$J,"GBU-64"))</f>
        <v/>
      </c>
      <c r="O509">
        <f>IF($A509="","",SUMIFS('Таблиця 1'!$K:$K,'Таблиця 1'!$B:$B,$A509,'Таблиця 1'!$I:$I,"Mirage",'Таблиця 1'!$J:$J,"C-13")+SUMIFS('Таблиця 1'!$K:$K,'Таблиця 1'!$B:$B,$A509,'Таблиця 1'!$I:$I,"F-16",'Таблиця 1'!$J:$J,"C-13")+SUMIFS('Таблиця 1'!$K:$K,'Таблиця 1'!$B:$B,$A509,'Таблиця 1'!$I:$I,"МіГ-29",'Таблиця 1'!$J:$J,"C-13")+SUMIFS('Таблиця 1'!$K:$K,'Таблиця 1'!$B:$B,$A509,'Таблиця 1'!$I:$I,"Су-25",'Таблиця 1'!$J:$J,"C-13")+SUMIFS('Таблиця 1'!$K:$K,'Таблиця 1'!$B:$B,$A509,'Таблиця 1'!$I:$I,"Су-27",'Таблиця 1'!$J:$J,"C-13"))</f>
        <v/>
      </c>
      <c r="P509">
        <f>IF($A509="","",SUMIFS('Таблиця 1'!$K:$K,'Таблиця 1'!$B:$B,$A509,'Таблиця 1'!$I:$I,"Mirage",'Таблиця 1'!$J:$J,"MK-32")+SUMIFS('Таблиця 1'!$K:$K,'Таблиця 1'!$B:$B,$A509,'Таблиця 1'!$I:$I,"F-16",'Таблиця 1'!$J:$J,"MK-32")+SUMIFS('Таблиця 1'!$K:$K,'Таблиця 1'!$B:$B,$A509,'Таблиця 1'!$I:$I,"МіГ-29",'Таблиця 1'!$J:$J,"MK-32")+SUMIFS('Таблиця 1'!$K:$K,'Таблиця 1'!$B:$B,$A509,'Таблиця 1'!$I:$I,"Су-25",'Таблиця 1'!$J:$J,"MK-32")+SUMIFS('Таблиця 1'!$K:$K,'Таблиця 1'!$B:$B,$A509,'Таблиця 1'!$I:$I,"Су-27",'Таблиця 1'!$J:$J,"MK-32"))</f>
        <v/>
      </c>
      <c r="Q509">
        <f>IF($A509="","",SUMIFS('Таблиця 1'!$K:$K,'Таблиця 1'!$B:$B,$A509,'Таблиця 1'!$I:$I,"Mirage",'Таблиця 1'!$J:$J,"MK-24")+SUMIFS('Таблиця 1'!$K:$K,'Таблиця 1'!$B:$B,$A509,'Таблиця 1'!$I:$I,"F-16",'Таблиця 1'!$J:$J,"MK-24")+SUMIFS('Таблиця 1'!$K:$K,'Таблиця 1'!$B:$B,$A509,'Таблиця 1'!$I:$I,"МіГ-29",'Таблиця 1'!$J:$J,"MK-24")+SUMIFS('Таблиця 1'!$K:$K,'Таблиця 1'!$B:$B,$A509,'Таблиця 1'!$I:$I,"Су-25",'Таблиця 1'!$J:$J,"MK-24")+SUMIFS('Таблиця 1'!$K:$K,'Таблиця 1'!$B:$B,$A509,'Таблиця 1'!$I:$I,"Су-27",'Таблиця 1'!$J:$J,"MK-24"))</f>
        <v/>
      </c>
      <c r="R509">
        <f>IF($A509="","",COUNTIFS('Таблиця 1'!$B:$B,$A509,'Таблиця 1'!$I:$I,"Mirage",'Таблиця 1'!$L:$L,"Уражено")+COUNTIFS('Таблиця 1'!$B:$B,$A509,'Таблиця 1'!$I:$I,"F-16",'Таблиця 1'!$L:$L,"Уражено")+COUNTIFS('Таблиця 1'!$B:$B,$A509,'Таблиця 1'!$I:$I,"МіГ-29",'Таблиця 1'!$L:$L,"Уражено")+COUNTIFS('Таблиця 1'!$B:$B,$A509,'Таблиця 1'!$I:$I,"Су-25",'Таблиця 1'!$L:$L,"Уражено")+COUNTIFS('Таблиця 1'!$B:$B,$A509,'Таблиця 1'!$I:$I,"Су-27",'Таблиця 1'!$L:$L,"Уражено"))</f>
        <v/>
      </c>
      <c r="S509">
        <f>IF($A509="","",COUNTIFS('Таблиця 1'!$B:$B,$A509,'Таблиця 1'!$I:$I,"Mirage",'Таблиця 1'!$L:$L,"НЕ уражено")+COUNTIFS('Таблиця 1'!$B:$B,$A509,'Таблиця 1'!$I:$I,"F-16",'Таблиця 1'!$L:$L,"НЕ уражено")+COUNTIFS('Таблиця 1'!$B:$B,$A509,'Таблиця 1'!$I:$I,"МіГ-29",'Таблиця 1'!$L:$L,"НЕ уражено")+COUNTIFS('Таблиця 1'!$B:$B,$A509,'Таблиця 1'!$I:$I,"Су-25",'Таблиця 1'!$L:$L,"НЕ уражено")+COUNTIFS('Таблиця 1'!$B:$B,$A509,'Таблиця 1'!$I:$I,"Су-27",'Таблиця 1'!$L:$L,"НЕ уражено"))</f>
        <v/>
      </c>
      <c r="T509">
        <f>IF($A509="","",COUNTIFS('Таблиця 1'!$B:$B,$A509,'Таблиця 1'!$I:$I,"Mirage",'Таблиця 1'!$L:$L,"Дорозвідується")+COUNTIFS('Таблиця 1'!$B:$B,$A509,'Таблиця 1'!$I:$I,"F-16",'Таблиця 1'!$L:$L,"Дорозвідується")+COUNTIFS('Таблиця 1'!$B:$B,$A509,'Таблиця 1'!$I:$I,"МіГ-29",'Таблиця 1'!$L:$L,"Дорозвідується")+COUNTIFS('Таблиця 1'!$B:$B,$A509,'Таблиця 1'!$I:$I,"Су-25",'Таблиця 1'!$L:$L,"Дорозвідується")+COUNTIFS('Таблиця 1'!$B:$B,$A509,'Таблиця 1'!$I:$I,"Су-27",'Таблиця 1'!$L:$L,"Дорозвідується"))</f>
        <v/>
      </c>
    </row>
    <row r="510">
      <c r="A510" s="273">
        <f>IF(A509="","",IF(A509+1&gt;MAX('Таблиця 1'!$B:$B),"",A509+1))</f>
        <v/>
      </c>
      <c r="B510">
        <f>IF($A510="","",COUNTIFS('Таблиця 1'!$B:$B,$A510,'Таблиця 1'!$I:$I,"Mirage")+COUNTIFS('Таблиця 1'!$B:$B,$A510,'Таблиця 1'!$I:$I,"F-16")+COUNTIFS('Таблиця 1'!$B:$B,$A510,'Таблиця 1'!$I:$I,"МіГ-29")+COUNTIFS('Таблиця 1'!$B:$B,$A510,'Таблиця 1'!$I:$I,"Су-25")+COUNTIFS('Таблиця 1'!$B:$B,$A510,'Таблиця 1'!$I:$I,"Су-27"))</f>
        <v/>
      </c>
      <c r="C510">
        <f>IF($A510="","",COUNTIFS('Таблиця 1'!$B:$B,$A510,'Таблиця 1'!$I:$I,"Mirage"))</f>
        <v/>
      </c>
      <c r="D510">
        <f>IF($A510="","",COUNTIFS('Таблиця 1'!$B:$B,$A510,'Таблиця 1'!$I:$I,"F-16"))</f>
        <v/>
      </c>
      <c r="E510">
        <f>IF($A510="","",COUNTIFS('Таблиця 1'!$B:$B,$A510,'Таблиця 1'!$I:$I,"МіГ-29"))</f>
        <v/>
      </c>
      <c r="F510">
        <f>IF($A510="","",COUNTIFS('Таблиця 1'!$B:$B,$A510,'Таблиця 1'!$I:$I,"Су-25"))</f>
        <v/>
      </c>
      <c r="G510">
        <f>IF($A510="","",COUNTIFS('Таблиця 1'!$B:$B,$A510,'Таблиця 1'!$I:$I,"Су-27"))</f>
        <v/>
      </c>
      <c r="H510">
        <f>IF($A510="","",SUMIFS('Таблиця 1'!$K:$K,'Таблиця 1'!$B:$B,$A510,'Таблиця 1'!$I:$I,"Mirage",'Таблиця 1'!$J:$J,"AGM-88")+SUMIFS('Таблиця 1'!$K:$K,'Таблиця 1'!$B:$B,$A510,'Таблиця 1'!$I:$I,"F-16",'Таблиця 1'!$J:$J,"AGM-88")+SUMIFS('Таблиця 1'!$K:$K,'Таблиця 1'!$B:$B,$A510,'Таблиця 1'!$I:$I,"МіГ-29",'Таблиця 1'!$J:$J,"AGM-88")+SUMIFS('Таблиця 1'!$K:$K,'Таблиця 1'!$B:$B,$A510,'Таблиця 1'!$I:$I,"Су-25",'Таблиця 1'!$J:$J,"AGM-88")+SUMIFS('Таблиця 1'!$K:$K,'Таблиця 1'!$B:$B,$A510,'Таблиця 1'!$I:$I,"Су-27",'Таблиця 1'!$J:$J,"AGM-88"))</f>
        <v/>
      </c>
      <c r="I510">
        <f>IF($A510="","",SUMIFS('Таблиця 1'!$K:$K,'Таблиця 1'!$B:$B,$A510,'Таблиця 1'!$I:$I,"Mirage",'Таблиця 1'!$J:$J,"AASM-250")+SUMIFS('Таблиця 1'!$K:$K,'Таблиця 1'!$B:$B,$A510,'Таблиця 1'!$I:$I,"F-16",'Таблиця 1'!$J:$J,"AASM-250")+SUMIFS('Таблиця 1'!$K:$K,'Таблиця 1'!$B:$B,$A510,'Таблиця 1'!$I:$I,"МіГ-29",'Таблиця 1'!$J:$J,"AASM-250")+SUMIFS('Таблиця 1'!$K:$K,'Таблиця 1'!$B:$B,$A510,'Таблиця 1'!$I:$I,"Су-25",'Таблиця 1'!$J:$J,"AASM-250")+SUMIFS('Таблиця 1'!$K:$K,'Таблиця 1'!$B:$B,$A510,'Таблиця 1'!$I:$I,"Су-27",'Таблиця 1'!$J:$J,"AASM-250"))</f>
        <v/>
      </c>
      <c r="J510">
        <f>IF($A510="","",SUMIFS('Таблиця 1'!$K:$K,'Таблиця 1'!$B:$B,$A510,'Таблиця 1'!$I:$I,"Mirage",'Таблиця 1'!$J:$J,"GBU-39")+SUMIFS('Таблиця 1'!$K:$K,'Таблиця 1'!$B:$B,$A510,'Таблиця 1'!$I:$I,"F-16",'Таблиця 1'!$J:$J,"GBU-39")+SUMIFS('Таблиця 1'!$K:$K,'Таблиця 1'!$B:$B,$A510,'Таблиця 1'!$I:$I,"МіГ-29",'Таблиця 1'!$J:$J,"GBU-39")+SUMIFS('Таблиця 1'!$K:$K,'Таблиця 1'!$B:$B,$A510,'Таблиця 1'!$I:$I,"Су-25",'Таблиця 1'!$J:$J,"GBU-39")+SUMIFS('Таблиця 1'!$K:$K,'Таблиця 1'!$B:$B,$A510,'Таблиця 1'!$I:$I,"Су-27",'Таблиця 1'!$J:$J,"GBU-39"))</f>
        <v/>
      </c>
      <c r="K510">
        <f>IF($A510="","",SUMIFS('Таблиця 1'!$K:$K,'Таблиця 1'!$B:$B,$A510,'Таблиця 1'!$I:$I,"Mirage",'Таблиця 1'!$J:$J,"BLU-140")+SUMIFS('Таблиця 1'!$K:$K,'Таблиця 1'!$B:$B,$A510,'Таблиця 1'!$I:$I,"F-16",'Таблиця 1'!$J:$J,"BLU-140")+SUMIFS('Таблиця 1'!$K:$K,'Таблиця 1'!$B:$B,$A510,'Таблиця 1'!$I:$I,"МіГ-29",'Таблиця 1'!$J:$J,"BLU-140")+SUMIFS('Таблиця 1'!$K:$K,'Таблиця 1'!$B:$B,$A510,'Таблиця 1'!$I:$I,"Су-25",'Таблиця 1'!$J:$J,"BLU-140")+SUMIFS('Таблиця 1'!$K:$K,'Таблиця 1'!$B:$B,$A510,'Таблиця 1'!$I:$I,"Су-27",'Таблиця 1'!$J:$J,"BLU-140"))</f>
        <v/>
      </c>
      <c r="L510">
        <f>IF($A510="","",SUMIFS('Таблиця 1'!$K:$K,'Таблиця 1'!$B:$B,$A510,'Таблиця 1'!$I:$I,"Mirage",'Таблиця 1'!$J:$J,"GBU-65")+SUMIFS('Таблиця 1'!$K:$K,'Таблиця 1'!$B:$B,$A510,'Таблиця 1'!$I:$I,"F-16",'Таблиця 1'!$J:$J,"GBU-65")+SUMIFS('Таблиця 1'!$K:$K,'Таблиця 1'!$B:$B,$A510,'Таблиця 1'!$I:$I,"МіГ-29",'Таблиця 1'!$J:$J,"GBU-65")+SUMIFS('Таблиця 1'!$K:$K,'Таблиця 1'!$B:$B,$A510,'Таблиця 1'!$I:$I,"Су-25",'Таблиця 1'!$J:$J,"GBU-65")+SUMIFS('Таблиця 1'!$K:$K,'Таблиця 1'!$B:$B,$A510,'Таблиця 1'!$I:$I,"Су-27",'Таблиця 1'!$J:$J,"GBU-65"))</f>
        <v/>
      </c>
      <c r="M510">
        <f>IF($A510="","",SUMIFS('Таблиця 1'!$K:$K,'Таблиця 1'!$B:$B,$A510,'Таблиця 1'!$I:$I,"Mirage",'Таблиця 1'!$J:$J,"GBU-62")+SUMIFS('Таблиця 1'!$K:$K,'Таблиця 1'!$B:$B,$A510,'Таблиця 1'!$I:$I,"F-16",'Таблиця 1'!$J:$J,"GBU-62")+SUMIFS('Таблиця 1'!$K:$K,'Таблиця 1'!$B:$B,$A510,'Таблиця 1'!$I:$I,"МіГ-29",'Таблиця 1'!$J:$J,"GBU-62")+SUMIFS('Таблиця 1'!$K:$K,'Таблиця 1'!$B:$B,$A510,'Таблиця 1'!$I:$I,"Су-25",'Таблиця 1'!$J:$J,"GBU-62")+SUMIFS('Таблиця 1'!$K:$K,'Таблиця 1'!$B:$B,$A510,'Таблиця 1'!$I:$I,"Су-27",'Таблиця 1'!$J:$J,"GBU-62"))</f>
        <v/>
      </c>
      <c r="N510">
        <f>IF($A510="","",SUMIFS('Таблиця 1'!$K:$K,'Таблиця 1'!$B:$B,$A510,'Таблиця 1'!$I:$I,"Mirage",'Таблиця 1'!$J:$J,"GBU-64")+SUMIFS('Таблиця 1'!$K:$K,'Таблиця 1'!$B:$B,$A510,'Таблиця 1'!$I:$I,"F-16",'Таблиця 1'!$J:$J,"GBU-64")+SUMIFS('Таблиця 1'!$K:$K,'Таблиця 1'!$B:$B,$A510,'Таблиця 1'!$I:$I,"МіГ-29",'Таблиця 1'!$J:$J,"GBU-64")+SUMIFS('Таблиця 1'!$K:$K,'Таблиця 1'!$B:$B,$A510,'Таблиця 1'!$I:$I,"Су-25",'Таблиця 1'!$J:$J,"GBU-64")+SUMIFS('Таблиця 1'!$K:$K,'Таблиця 1'!$B:$B,$A510,'Таблиця 1'!$I:$I,"Су-27",'Таблиця 1'!$J:$J,"GBU-64"))</f>
        <v/>
      </c>
      <c r="O510">
        <f>IF($A510="","",SUMIFS('Таблиця 1'!$K:$K,'Таблиця 1'!$B:$B,$A510,'Таблиця 1'!$I:$I,"Mirage",'Таблиця 1'!$J:$J,"C-13")+SUMIFS('Таблиця 1'!$K:$K,'Таблиця 1'!$B:$B,$A510,'Таблиця 1'!$I:$I,"F-16",'Таблиця 1'!$J:$J,"C-13")+SUMIFS('Таблиця 1'!$K:$K,'Таблиця 1'!$B:$B,$A510,'Таблиця 1'!$I:$I,"МіГ-29",'Таблиця 1'!$J:$J,"C-13")+SUMIFS('Таблиця 1'!$K:$K,'Таблиця 1'!$B:$B,$A510,'Таблиця 1'!$I:$I,"Су-25",'Таблиця 1'!$J:$J,"C-13")+SUMIFS('Таблиця 1'!$K:$K,'Таблиця 1'!$B:$B,$A510,'Таблиця 1'!$I:$I,"Су-27",'Таблиця 1'!$J:$J,"C-13"))</f>
        <v/>
      </c>
      <c r="P510">
        <f>IF($A510="","",SUMIFS('Таблиця 1'!$K:$K,'Таблиця 1'!$B:$B,$A510,'Таблиця 1'!$I:$I,"Mirage",'Таблиця 1'!$J:$J,"MK-32")+SUMIFS('Таблиця 1'!$K:$K,'Таблиця 1'!$B:$B,$A510,'Таблиця 1'!$I:$I,"F-16",'Таблиця 1'!$J:$J,"MK-32")+SUMIFS('Таблиця 1'!$K:$K,'Таблиця 1'!$B:$B,$A510,'Таблиця 1'!$I:$I,"МіГ-29",'Таблиця 1'!$J:$J,"MK-32")+SUMIFS('Таблиця 1'!$K:$K,'Таблиця 1'!$B:$B,$A510,'Таблиця 1'!$I:$I,"Су-25",'Таблиця 1'!$J:$J,"MK-32")+SUMIFS('Таблиця 1'!$K:$K,'Таблиця 1'!$B:$B,$A510,'Таблиця 1'!$I:$I,"Су-27",'Таблиця 1'!$J:$J,"MK-32"))</f>
        <v/>
      </c>
      <c r="Q510">
        <f>IF($A510="","",SUMIFS('Таблиця 1'!$K:$K,'Таблиця 1'!$B:$B,$A510,'Таблиця 1'!$I:$I,"Mirage",'Таблиця 1'!$J:$J,"MK-24")+SUMIFS('Таблиця 1'!$K:$K,'Таблиця 1'!$B:$B,$A510,'Таблиця 1'!$I:$I,"F-16",'Таблиця 1'!$J:$J,"MK-24")+SUMIFS('Таблиця 1'!$K:$K,'Таблиця 1'!$B:$B,$A510,'Таблиця 1'!$I:$I,"МіГ-29",'Таблиця 1'!$J:$J,"MK-24")+SUMIFS('Таблиця 1'!$K:$K,'Таблиця 1'!$B:$B,$A510,'Таблиця 1'!$I:$I,"Су-25",'Таблиця 1'!$J:$J,"MK-24")+SUMIFS('Таблиця 1'!$K:$K,'Таблиця 1'!$B:$B,$A510,'Таблиця 1'!$I:$I,"Су-27",'Таблиця 1'!$J:$J,"MK-24"))</f>
        <v/>
      </c>
      <c r="R510">
        <f>IF($A510="","",COUNTIFS('Таблиця 1'!$B:$B,$A510,'Таблиця 1'!$I:$I,"Mirage",'Таблиця 1'!$L:$L,"Уражено")+COUNTIFS('Таблиця 1'!$B:$B,$A510,'Таблиця 1'!$I:$I,"F-16",'Таблиця 1'!$L:$L,"Уражено")+COUNTIFS('Таблиця 1'!$B:$B,$A510,'Таблиця 1'!$I:$I,"МіГ-29",'Таблиця 1'!$L:$L,"Уражено")+COUNTIFS('Таблиця 1'!$B:$B,$A510,'Таблиця 1'!$I:$I,"Су-25",'Таблиця 1'!$L:$L,"Уражено")+COUNTIFS('Таблиця 1'!$B:$B,$A510,'Таблиця 1'!$I:$I,"Су-27",'Таблиця 1'!$L:$L,"Уражено"))</f>
        <v/>
      </c>
      <c r="S510">
        <f>IF($A510="","",COUNTIFS('Таблиця 1'!$B:$B,$A510,'Таблиця 1'!$I:$I,"Mirage",'Таблиця 1'!$L:$L,"НЕ уражено")+COUNTIFS('Таблиця 1'!$B:$B,$A510,'Таблиця 1'!$I:$I,"F-16",'Таблиця 1'!$L:$L,"НЕ уражено")+COUNTIFS('Таблиця 1'!$B:$B,$A510,'Таблиця 1'!$I:$I,"МіГ-29",'Таблиця 1'!$L:$L,"НЕ уражено")+COUNTIFS('Таблиця 1'!$B:$B,$A510,'Таблиця 1'!$I:$I,"Су-25",'Таблиця 1'!$L:$L,"НЕ уражено")+COUNTIFS('Таблиця 1'!$B:$B,$A510,'Таблиця 1'!$I:$I,"Су-27",'Таблиця 1'!$L:$L,"НЕ уражено"))</f>
        <v/>
      </c>
      <c r="T510">
        <f>IF($A510="","",COUNTIFS('Таблиця 1'!$B:$B,$A510,'Таблиця 1'!$I:$I,"Mirage",'Таблиця 1'!$L:$L,"Дорозвідується")+COUNTIFS('Таблиця 1'!$B:$B,$A510,'Таблиця 1'!$I:$I,"F-16",'Таблиця 1'!$L:$L,"Дорозвідується")+COUNTIFS('Таблиця 1'!$B:$B,$A510,'Таблиця 1'!$I:$I,"МіГ-29",'Таблиця 1'!$L:$L,"Дорозвідується")+COUNTIFS('Таблиця 1'!$B:$B,$A510,'Таблиця 1'!$I:$I,"Су-25",'Таблиця 1'!$L:$L,"Дорозвідується")+COUNTIFS('Таблиця 1'!$B:$B,$A510,'Таблиця 1'!$I:$I,"Су-27",'Таблиця 1'!$L:$L,"Дорозвідується"))</f>
        <v/>
      </c>
    </row>
    <row r="511">
      <c r="A511" s="273">
        <f>IF(A510="","",IF(A510+1&gt;MAX('Таблиця 1'!$B:$B),"",A510+1))</f>
        <v/>
      </c>
      <c r="B511">
        <f>IF($A511="","",COUNTIFS('Таблиця 1'!$B:$B,$A511,'Таблиця 1'!$I:$I,"Mirage")+COUNTIFS('Таблиця 1'!$B:$B,$A511,'Таблиця 1'!$I:$I,"F-16")+COUNTIFS('Таблиця 1'!$B:$B,$A511,'Таблиця 1'!$I:$I,"МіГ-29")+COUNTIFS('Таблиця 1'!$B:$B,$A511,'Таблиця 1'!$I:$I,"Су-25")+COUNTIFS('Таблиця 1'!$B:$B,$A511,'Таблиця 1'!$I:$I,"Су-27"))</f>
        <v/>
      </c>
      <c r="C511">
        <f>IF($A511="","",COUNTIFS('Таблиця 1'!$B:$B,$A511,'Таблиця 1'!$I:$I,"Mirage"))</f>
        <v/>
      </c>
      <c r="D511">
        <f>IF($A511="","",COUNTIFS('Таблиця 1'!$B:$B,$A511,'Таблиця 1'!$I:$I,"F-16"))</f>
        <v/>
      </c>
      <c r="E511">
        <f>IF($A511="","",COUNTIFS('Таблиця 1'!$B:$B,$A511,'Таблиця 1'!$I:$I,"МіГ-29"))</f>
        <v/>
      </c>
      <c r="F511">
        <f>IF($A511="","",COUNTIFS('Таблиця 1'!$B:$B,$A511,'Таблиця 1'!$I:$I,"Су-25"))</f>
        <v/>
      </c>
      <c r="G511">
        <f>IF($A511="","",COUNTIFS('Таблиця 1'!$B:$B,$A511,'Таблиця 1'!$I:$I,"Су-27"))</f>
        <v/>
      </c>
      <c r="H511">
        <f>IF($A511="","",SUMIFS('Таблиця 1'!$K:$K,'Таблиця 1'!$B:$B,$A511,'Таблиця 1'!$I:$I,"Mirage",'Таблиця 1'!$J:$J,"AGM-88")+SUMIFS('Таблиця 1'!$K:$K,'Таблиця 1'!$B:$B,$A511,'Таблиця 1'!$I:$I,"F-16",'Таблиця 1'!$J:$J,"AGM-88")+SUMIFS('Таблиця 1'!$K:$K,'Таблиця 1'!$B:$B,$A511,'Таблиця 1'!$I:$I,"МіГ-29",'Таблиця 1'!$J:$J,"AGM-88")+SUMIFS('Таблиця 1'!$K:$K,'Таблиця 1'!$B:$B,$A511,'Таблиця 1'!$I:$I,"Су-25",'Таблиця 1'!$J:$J,"AGM-88")+SUMIFS('Таблиця 1'!$K:$K,'Таблиця 1'!$B:$B,$A511,'Таблиця 1'!$I:$I,"Су-27",'Таблиця 1'!$J:$J,"AGM-88"))</f>
        <v/>
      </c>
      <c r="I511">
        <f>IF($A511="","",SUMIFS('Таблиця 1'!$K:$K,'Таблиця 1'!$B:$B,$A511,'Таблиця 1'!$I:$I,"Mirage",'Таблиця 1'!$J:$J,"AASM-250")+SUMIFS('Таблиця 1'!$K:$K,'Таблиця 1'!$B:$B,$A511,'Таблиця 1'!$I:$I,"F-16",'Таблиця 1'!$J:$J,"AASM-250")+SUMIFS('Таблиця 1'!$K:$K,'Таблиця 1'!$B:$B,$A511,'Таблиця 1'!$I:$I,"МіГ-29",'Таблиця 1'!$J:$J,"AASM-250")+SUMIFS('Таблиця 1'!$K:$K,'Таблиця 1'!$B:$B,$A511,'Таблиця 1'!$I:$I,"Су-25",'Таблиця 1'!$J:$J,"AASM-250")+SUMIFS('Таблиця 1'!$K:$K,'Таблиця 1'!$B:$B,$A511,'Таблиця 1'!$I:$I,"Су-27",'Таблиця 1'!$J:$J,"AASM-250"))</f>
        <v/>
      </c>
      <c r="J511">
        <f>IF($A511="","",SUMIFS('Таблиця 1'!$K:$K,'Таблиця 1'!$B:$B,$A511,'Таблиця 1'!$I:$I,"Mirage",'Таблиця 1'!$J:$J,"GBU-39")+SUMIFS('Таблиця 1'!$K:$K,'Таблиця 1'!$B:$B,$A511,'Таблиця 1'!$I:$I,"F-16",'Таблиця 1'!$J:$J,"GBU-39")+SUMIFS('Таблиця 1'!$K:$K,'Таблиця 1'!$B:$B,$A511,'Таблиця 1'!$I:$I,"МіГ-29",'Таблиця 1'!$J:$J,"GBU-39")+SUMIFS('Таблиця 1'!$K:$K,'Таблиця 1'!$B:$B,$A511,'Таблиця 1'!$I:$I,"Су-25",'Таблиця 1'!$J:$J,"GBU-39")+SUMIFS('Таблиця 1'!$K:$K,'Таблиця 1'!$B:$B,$A511,'Таблиця 1'!$I:$I,"Су-27",'Таблиця 1'!$J:$J,"GBU-39"))</f>
        <v/>
      </c>
      <c r="K511">
        <f>IF($A511="","",SUMIFS('Таблиця 1'!$K:$K,'Таблиця 1'!$B:$B,$A511,'Таблиця 1'!$I:$I,"Mirage",'Таблиця 1'!$J:$J,"BLU-140")+SUMIFS('Таблиця 1'!$K:$K,'Таблиця 1'!$B:$B,$A511,'Таблиця 1'!$I:$I,"F-16",'Таблиця 1'!$J:$J,"BLU-140")+SUMIFS('Таблиця 1'!$K:$K,'Таблиця 1'!$B:$B,$A511,'Таблиця 1'!$I:$I,"МіГ-29",'Таблиця 1'!$J:$J,"BLU-140")+SUMIFS('Таблиця 1'!$K:$K,'Таблиця 1'!$B:$B,$A511,'Таблиця 1'!$I:$I,"Су-25",'Таблиця 1'!$J:$J,"BLU-140")+SUMIFS('Таблиця 1'!$K:$K,'Таблиця 1'!$B:$B,$A511,'Таблиця 1'!$I:$I,"Су-27",'Таблиця 1'!$J:$J,"BLU-140"))</f>
        <v/>
      </c>
      <c r="L511">
        <f>IF($A511="","",SUMIFS('Таблиця 1'!$K:$K,'Таблиця 1'!$B:$B,$A511,'Таблиця 1'!$I:$I,"Mirage",'Таблиця 1'!$J:$J,"GBU-65")+SUMIFS('Таблиця 1'!$K:$K,'Таблиця 1'!$B:$B,$A511,'Таблиця 1'!$I:$I,"F-16",'Таблиця 1'!$J:$J,"GBU-65")+SUMIFS('Таблиця 1'!$K:$K,'Таблиця 1'!$B:$B,$A511,'Таблиця 1'!$I:$I,"МіГ-29",'Таблиця 1'!$J:$J,"GBU-65")+SUMIFS('Таблиця 1'!$K:$K,'Таблиця 1'!$B:$B,$A511,'Таблиця 1'!$I:$I,"Су-25",'Таблиця 1'!$J:$J,"GBU-65")+SUMIFS('Таблиця 1'!$K:$K,'Таблиця 1'!$B:$B,$A511,'Таблиця 1'!$I:$I,"Су-27",'Таблиця 1'!$J:$J,"GBU-65"))</f>
        <v/>
      </c>
      <c r="M511">
        <f>IF($A511="","",SUMIFS('Таблиця 1'!$K:$K,'Таблиця 1'!$B:$B,$A511,'Таблиця 1'!$I:$I,"Mirage",'Таблиця 1'!$J:$J,"GBU-62")+SUMIFS('Таблиця 1'!$K:$K,'Таблиця 1'!$B:$B,$A511,'Таблиця 1'!$I:$I,"F-16",'Таблиця 1'!$J:$J,"GBU-62")+SUMIFS('Таблиця 1'!$K:$K,'Таблиця 1'!$B:$B,$A511,'Таблиця 1'!$I:$I,"МіГ-29",'Таблиця 1'!$J:$J,"GBU-62")+SUMIFS('Таблиця 1'!$K:$K,'Таблиця 1'!$B:$B,$A511,'Таблиця 1'!$I:$I,"Су-25",'Таблиця 1'!$J:$J,"GBU-62")+SUMIFS('Таблиця 1'!$K:$K,'Таблиця 1'!$B:$B,$A511,'Таблиця 1'!$I:$I,"Су-27",'Таблиця 1'!$J:$J,"GBU-62"))</f>
        <v/>
      </c>
      <c r="N511">
        <f>IF($A511="","",SUMIFS('Таблиця 1'!$K:$K,'Таблиця 1'!$B:$B,$A511,'Таблиця 1'!$I:$I,"Mirage",'Таблиця 1'!$J:$J,"GBU-64")+SUMIFS('Таблиця 1'!$K:$K,'Таблиця 1'!$B:$B,$A511,'Таблиця 1'!$I:$I,"F-16",'Таблиця 1'!$J:$J,"GBU-64")+SUMIFS('Таблиця 1'!$K:$K,'Таблиця 1'!$B:$B,$A511,'Таблиця 1'!$I:$I,"МіГ-29",'Таблиця 1'!$J:$J,"GBU-64")+SUMIFS('Таблиця 1'!$K:$K,'Таблиця 1'!$B:$B,$A511,'Таблиця 1'!$I:$I,"Су-25",'Таблиця 1'!$J:$J,"GBU-64")+SUMIFS('Таблиця 1'!$K:$K,'Таблиця 1'!$B:$B,$A511,'Таблиця 1'!$I:$I,"Су-27",'Таблиця 1'!$J:$J,"GBU-64"))</f>
        <v/>
      </c>
      <c r="O511">
        <f>IF($A511="","",SUMIFS('Таблиця 1'!$K:$K,'Таблиця 1'!$B:$B,$A511,'Таблиця 1'!$I:$I,"Mirage",'Таблиця 1'!$J:$J,"C-13")+SUMIFS('Таблиця 1'!$K:$K,'Таблиця 1'!$B:$B,$A511,'Таблиця 1'!$I:$I,"F-16",'Таблиця 1'!$J:$J,"C-13")+SUMIFS('Таблиця 1'!$K:$K,'Таблиця 1'!$B:$B,$A511,'Таблиця 1'!$I:$I,"МіГ-29",'Таблиця 1'!$J:$J,"C-13")+SUMIFS('Таблиця 1'!$K:$K,'Таблиця 1'!$B:$B,$A511,'Таблиця 1'!$I:$I,"Су-25",'Таблиця 1'!$J:$J,"C-13")+SUMIFS('Таблиця 1'!$K:$K,'Таблиця 1'!$B:$B,$A511,'Таблиця 1'!$I:$I,"Су-27",'Таблиця 1'!$J:$J,"C-13"))</f>
        <v/>
      </c>
      <c r="P511">
        <f>IF($A511="","",SUMIFS('Таблиця 1'!$K:$K,'Таблиця 1'!$B:$B,$A511,'Таблиця 1'!$I:$I,"Mirage",'Таблиця 1'!$J:$J,"MK-32")+SUMIFS('Таблиця 1'!$K:$K,'Таблиця 1'!$B:$B,$A511,'Таблиця 1'!$I:$I,"F-16",'Таблиця 1'!$J:$J,"MK-32")+SUMIFS('Таблиця 1'!$K:$K,'Таблиця 1'!$B:$B,$A511,'Таблиця 1'!$I:$I,"МіГ-29",'Таблиця 1'!$J:$J,"MK-32")+SUMIFS('Таблиця 1'!$K:$K,'Таблиця 1'!$B:$B,$A511,'Таблиця 1'!$I:$I,"Су-25",'Таблиця 1'!$J:$J,"MK-32")+SUMIFS('Таблиця 1'!$K:$K,'Таблиця 1'!$B:$B,$A511,'Таблиця 1'!$I:$I,"Су-27",'Таблиця 1'!$J:$J,"MK-32"))</f>
        <v/>
      </c>
      <c r="Q511">
        <f>IF($A511="","",SUMIFS('Таблиця 1'!$K:$K,'Таблиця 1'!$B:$B,$A511,'Таблиця 1'!$I:$I,"Mirage",'Таблиця 1'!$J:$J,"MK-24")+SUMIFS('Таблиця 1'!$K:$K,'Таблиця 1'!$B:$B,$A511,'Таблиця 1'!$I:$I,"F-16",'Таблиця 1'!$J:$J,"MK-24")+SUMIFS('Таблиця 1'!$K:$K,'Таблиця 1'!$B:$B,$A511,'Таблиця 1'!$I:$I,"МіГ-29",'Таблиця 1'!$J:$J,"MK-24")+SUMIFS('Таблиця 1'!$K:$K,'Таблиця 1'!$B:$B,$A511,'Таблиця 1'!$I:$I,"Су-25",'Таблиця 1'!$J:$J,"MK-24")+SUMIFS('Таблиця 1'!$K:$K,'Таблиця 1'!$B:$B,$A511,'Таблиця 1'!$I:$I,"Су-27",'Таблиця 1'!$J:$J,"MK-24"))</f>
        <v/>
      </c>
      <c r="R511">
        <f>IF($A511="","",COUNTIFS('Таблиця 1'!$B:$B,$A511,'Таблиця 1'!$I:$I,"Mirage",'Таблиця 1'!$L:$L,"Уражено")+COUNTIFS('Таблиця 1'!$B:$B,$A511,'Таблиця 1'!$I:$I,"F-16",'Таблиця 1'!$L:$L,"Уражено")+COUNTIFS('Таблиця 1'!$B:$B,$A511,'Таблиця 1'!$I:$I,"МіГ-29",'Таблиця 1'!$L:$L,"Уражено")+COUNTIFS('Таблиця 1'!$B:$B,$A511,'Таблиця 1'!$I:$I,"Су-25",'Таблиця 1'!$L:$L,"Уражено")+COUNTIFS('Таблиця 1'!$B:$B,$A511,'Таблиця 1'!$I:$I,"Су-27",'Таблиця 1'!$L:$L,"Уражено"))</f>
        <v/>
      </c>
      <c r="S511">
        <f>IF($A511="","",COUNTIFS('Таблиця 1'!$B:$B,$A511,'Таблиця 1'!$I:$I,"Mirage",'Таблиця 1'!$L:$L,"НЕ уражено")+COUNTIFS('Таблиця 1'!$B:$B,$A511,'Таблиця 1'!$I:$I,"F-16",'Таблиця 1'!$L:$L,"НЕ уражено")+COUNTIFS('Таблиця 1'!$B:$B,$A511,'Таблиця 1'!$I:$I,"МіГ-29",'Таблиця 1'!$L:$L,"НЕ уражено")+COUNTIFS('Таблиця 1'!$B:$B,$A511,'Таблиця 1'!$I:$I,"Су-25",'Таблиця 1'!$L:$L,"НЕ уражено")+COUNTIFS('Таблиця 1'!$B:$B,$A511,'Таблиця 1'!$I:$I,"Су-27",'Таблиця 1'!$L:$L,"НЕ уражено"))</f>
        <v/>
      </c>
      <c r="T511">
        <f>IF($A511="","",COUNTIFS('Таблиця 1'!$B:$B,$A511,'Таблиця 1'!$I:$I,"Mirage",'Таблиця 1'!$L:$L,"Дорозвідується")+COUNTIFS('Таблиця 1'!$B:$B,$A511,'Таблиця 1'!$I:$I,"F-16",'Таблиця 1'!$L:$L,"Дорозвідується")+COUNTIFS('Таблиця 1'!$B:$B,$A511,'Таблиця 1'!$I:$I,"МіГ-29",'Таблиця 1'!$L:$L,"Дорозвідується")+COUNTIFS('Таблиця 1'!$B:$B,$A511,'Таблиця 1'!$I:$I,"Су-25",'Таблиця 1'!$L:$L,"Дорозвідується")+COUNTIFS('Таблиця 1'!$B:$B,$A511,'Таблиця 1'!$I:$I,"Су-27",'Таблиця 1'!$L:$L,"Дорозвідується"))</f>
        <v/>
      </c>
    </row>
    <row r="512">
      <c r="A512" s="273">
        <f>IF(A511="","",IF(A511+1&gt;MAX('Таблиця 1'!$B:$B),"",A511+1))</f>
        <v/>
      </c>
      <c r="B512">
        <f>IF($A512="","",COUNTIFS('Таблиця 1'!$B:$B,$A512,'Таблиця 1'!$I:$I,"Mirage")+COUNTIFS('Таблиця 1'!$B:$B,$A512,'Таблиця 1'!$I:$I,"F-16")+COUNTIFS('Таблиця 1'!$B:$B,$A512,'Таблиця 1'!$I:$I,"МіГ-29")+COUNTIFS('Таблиця 1'!$B:$B,$A512,'Таблиця 1'!$I:$I,"Су-25")+COUNTIFS('Таблиця 1'!$B:$B,$A512,'Таблиця 1'!$I:$I,"Су-27"))</f>
        <v/>
      </c>
      <c r="C512">
        <f>IF($A512="","",COUNTIFS('Таблиця 1'!$B:$B,$A512,'Таблиця 1'!$I:$I,"Mirage"))</f>
        <v/>
      </c>
      <c r="D512">
        <f>IF($A512="","",COUNTIFS('Таблиця 1'!$B:$B,$A512,'Таблиця 1'!$I:$I,"F-16"))</f>
        <v/>
      </c>
      <c r="E512">
        <f>IF($A512="","",COUNTIFS('Таблиця 1'!$B:$B,$A512,'Таблиця 1'!$I:$I,"МіГ-29"))</f>
        <v/>
      </c>
      <c r="F512">
        <f>IF($A512="","",COUNTIFS('Таблиця 1'!$B:$B,$A512,'Таблиця 1'!$I:$I,"Су-25"))</f>
        <v/>
      </c>
      <c r="G512">
        <f>IF($A512="","",COUNTIFS('Таблиця 1'!$B:$B,$A512,'Таблиця 1'!$I:$I,"Су-27"))</f>
        <v/>
      </c>
      <c r="H512">
        <f>IF($A512="","",SUMIFS('Таблиця 1'!$K:$K,'Таблиця 1'!$B:$B,$A512,'Таблиця 1'!$I:$I,"Mirage",'Таблиця 1'!$J:$J,"AGM-88")+SUMIFS('Таблиця 1'!$K:$K,'Таблиця 1'!$B:$B,$A512,'Таблиця 1'!$I:$I,"F-16",'Таблиця 1'!$J:$J,"AGM-88")+SUMIFS('Таблиця 1'!$K:$K,'Таблиця 1'!$B:$B,$A512,'Таблиця 1'!$I:$I,"МіГ-29",'Таблиця 1'!$J:$J,"AGM-88")+SUMIFS('Таблиця 1'!$K:$K,'Таблиця 1'!$B:$B,$A512,'Таблиця 1'!$I:$I,"Су-25",'Таблиця 1'!$J:$J,"AGM-88")+SUMIFS('Таблиця 1'!$K:$K,'Таблиця 1'!$B:$B,$A512,'Таблиця 1'!$I:$I,"Су-27",'Таблиця 1'!$J:$J,"AGM-88"))</f>
        <v/>
      </c>
      <c r="I512">
        <f>IF($A512="","",SUMIFS('Таблиця 1'!$K:$K,'Таблиця 1'!$B:$B,$A512,'Таблиця 1'!$I:$I,"Mirage",'Таблиця 1'!$J:$J,"AASM-250")+SUMIFS('Таблиця 1'!$K:$K,'Таблиця 1'!$B:$B,$A512,'Таблиця 1'!$I:$I,"F-16",'Таблиця 1'!$J:$J,"AASM-250")+SUMIFS('Таблиця 1'!$K:$K,'Таблиця 1'!$B:$B,$A512,'Таблиця 1'!$I:$I,"МіГ-29",'Таблиця 1'!$J:$J,"AASM-250")+SUMIFS('Таблиця 1'!$K:$K,'Таблиця 1'!$B:$B,$A512,'Таблиця 1'!$I:$I,"Су-25",'Таблиця 1'!$J:$J,"AASM-250")+SUMIFS('Таблиця 1'!$K:$K,'Таблиця 1'!$B:$B,$A512,'Таблиця 1'!$I:$I,"Су-27",'Таблиця 1'!$J:$J,"AASM-250"))</f>
        <v/>
      </c>
      <c r="J512">
        <f>IF($A512="","",SUMIFS('Таблиця 1'!$K:$K,'Таблиця 1'!$B:$B,$A512,'Таблиця 1'!$I:$I,"Mirage",'Таблиця 1'!$J:$J,"GBU-39")+SUMIFS('Таблиця 1'!$K:$K,'Таблиця 1'!$B:$B,$A512,'Таблиця 1'!$I:$I,"F-16",'Таблиця 1'!$J:$J,"GBU-39")+SUMIFS('Таблиця 1'!$K:$K,'Таблиця 1'!$B:$B,$A512,'Таблиця 1'!$I:$I,"МіГ-29",'Таблиця 1'!$J:$J,"GBU-39")+SUMIFS('Таблиця 1'!$K:$K,'Таблиця 1'!$B:$B,$A512,'Таблиця 1'!$I:$I,"Су-25",'Таблиця 1'!$J:$J,"GBU-39")+SUMIFS('Таблиця 1'!$K:$K,'Таблиця 1'!$B:$B,$A512,'Таблиця 1'!$I:$I,"Су-27",'Таблиця 1'!$J:$J,"GBU-39"))</f>
        <v/>
      </c>
      <c r="K512">
        <f>IF($A512="","",SUMIFS('Таблиця 1'!$K:$K,'Таблиця 1'!$B:$B,$A512,'Таблиця 1'!$I:$I,"Mirage",'Таблиця 1'!$J:$J,"BLU-140")+SUMIFS('Таблиця 1'!$K:$K,'Таблиця 1'!$B:$B,$A512,'Таблиця 1'!$I:$I,"F-16",'Таблиця 1'!$J:$J,"BLU-140")+SUMIFS('Таблиця 1'!$K:$K,'Таблиця 1'!$B:$B,$A512,'Таблиця 1'!$I:$I,"МіГ-29",'Таблиця 1'!$J:$J,"BLU-140")+SUMIFS('Таблиця 1'!$K:$K,'Таблиця 1'!$B:$B,$A512,'Таблиця 1'!$I:$I,"Су-25",'Таблиця 1'!$J:$J,"BLU-140")+SUMIFS('Таблиця 1'!$K:$K,'Таблиця 1'!$B:$B,$A512,'Таблиця 1'!$I:$I,"Су-27",'Таблиця 1'!$J:$J,"BLU-140"))</f>
        <v/>
      </c>
      <c r="L512">
        <f>IF($A512="","",SUMIFS('Таблиця 1'!$K:$K,'Таблиця 1'!$B:$B,$A512,'Таблиця 1'!$I:$I,"Mirage",'Таблиця 1'!$J:$J,"GBU-65")+SUMIFS('Таблиця 1'!$K:$K,'Таблиця 1'!$B:$B,$A512,'Таблиця 1'!$I:$I,"F-16",'Таблиця 1'!$J:$J,"GBU-65")+SUMIFS('Таблиця 1'!$K:$K,'Таблиця 1'!$B:$B,$A512,'Таблиця 1'!$I:$I,"МіГ-29",'Таблиця 1'!$J:$J,"GBU-65")+SUMIFS('Таблиця 1'!$K:$K,'Таблиця 1'!$B:$B,$A512,'Таблиця 1'!$I:$I,"Су-25",'Таблиця 1'!$J:$J,"GBU-65")+SUMIFS('Таблиця 1'!$K:$K,'Таблиця 1'!$B:$B,$A512,'Таблиця 1'!$I:$I,"Су-27",'Таблиця 1'!$J:$J,"GBU-65"))</f>
        <v/>
      </c>
      <c r="M512">
        <f>IF($A512="","",SUMIFS('Таблиця 1'!$K:$K,'Таблиця 1'!$B:$B,$A512,'Таблиця 1'!$I:$I,"Mirage",'Таблиця 1'!$J:$J,"GBU-62")+SUMIFS('Таблиця 1'!$K:$K,'Таблиця 1'!$B:$B,$A512,'Таблиця 1'!$I:$I,"F-16",'Таблиця 1'!$J:$J,"GBU-62")+SUMIFS('Таблиця 1'!$K:$K,'Таблиця 1'!$B:$B,$A512,'Таблиця 1'!$I:$I,"МіГ-29",'Таблиця 1'!$J:$J,"GBU-62")+SUMIFS('Таблиця 1'!$K:$K,'Таблиця 1'!$B:$B,$A512,'Таблиця 1'!$I:$I,"Су-25",'Таблиця 1'!$J:$J,"GBU-62")+SUMIFS('Таблиця 1'!$K:$K,'Таблиця 1'!$B:$B,$A512,'Таблиця 1'!$I:$I,"Су-27",'Таблиця 1'!$J:$J,"GBU-62"))</f>
        <v/>
      </c>
      <c r="N512">
        <f>IF($A512="","",SUMIFS('Таблиця 1'!$K:$K,'Таблиця 1'!$B:$B,$A512,'Таблиця 1'!$I:$I,"Mirage",'Таблиця 1'!$J:$J,"GBU-64")+SUMIFS('Таблиця 1'!$K:$K,'Таблиця 1'!$B:$B,$A512,'Таблиця 1'!$I:$I,"F-16",'Таблиця 1'!$J:$J,"GBU-64")+SUMIFS('Таблиця 1'!$K:$K,'Таблиця 1'!$B:$B,$A512,'Таблиця 1'!$I:$I,"МіГ-29",'Таблиця 1'!$J:$J,"GBU-64")+SUMIFS('Таблиця 1'!$K:$K,'Таблиця 1'!$B:$B,$A512,'Таблиця 1'!$I:$I,"Су-25",'Таблиця 1'!$J:$J,"GBU-64")+SUMIFS('Таблиця 1'!$K:$K,'Таблиця 1'!$B:$B,$A512,'Таблиця 1'!$I:$I,"Су-27",'Таблиця 1'!$J:$J,"GBU-64"))</f>
        <v/>
      </c>
      <c r="O512">
        <f>IF($A512="","",SUMIFS('Таблиця 1'!$K:$K,'Таблиця 1'!$B:$B,$A512,'Таблиця 1'!$I:$I,"Mirage",'Таблиця 1'!$J:$J,"C-13")+SUMIFS('Таблиця 1'!$K:$K,'Таблиця 1'!$B:$B,$A512,'Таблиця 1'!$I:$I,"F-16",'Таблиця 1'!$J:$J,"C-13")+SUMIFS('Таблиця 1'!$K:$K,'Таблиця 1'!$B:$B,$A512,'Таблиця 1'!$I:$I,"МіГ-29",'Таблиця 1'!$J:$J,"C-13")+SUMIFS('Таблиця 1'!$K:$K,'Таблиця 1'!$B:$B,$A512,'Таблиця 1'!$I:$I,"Су-25",'Таблиця 1'!$J:$J,"C-13")+SUMIFS('Таблиця 1'!$K:$K,'Таблиця 1'!$B:$B,$A512,'Таблиця 1'!$I:$I,"Су-27",'Таблиця 1'!$J:$J,"C-13"))</f>
        <v/>
      </c>
      <c r="P512">
        <f>IF($A512="","",SUMIFS('Таблиця 1'!$K:$K,'Таблиця 1'!$B:$B,$A512,'Таблиця 1'!$I:$I,"Mirage",'Таблиця 1'!$J:$J,"MK-32")+SUMIFS('Таблиця 1'!$K:$K,'Таблиця 1'!$B:$B,$A512,'Таблиця 1'!$I:$I,"F-16",'Таблиця 1'!$J:$J,"MK-32")+SUMIFS('Таблиця 1'!$K:$K,'Таблиця 1'!$B:$B,$A512,'Таблиця 1'!$I:$I,"МіГ-29",'Таблиця 1'!$J:$J,"MK-32")+SUMIFS('Таблиця 1'!$K:$K,'Таблиця 1'!$B:$B,$A512,'Таблиця 1'!$I:$I,"Су-25",'Таблиця 1'!$J:$J,"MK-32")+SUMIFS('Таблиця 1'!$K:$K,'Таблиця 1'!$B:$B,$A512,'Таблиця 1'!$I:$I,"Су-27",'Таблиця 1'!$J:$J,"MK-32"))</f>
        <v/>
      </c>
      <c r="Q512">
        <f>IF($A512="","",SUMIFS('Таблиця 1'!$K:$K,'Таблиця 1'!$B:$B,$A512,'Таблиця 1'!$I:$I,"Mirage",'Таблиця 1'!$J:$J,"MK-24")+SUMIFS('Таблиця 1'!$K:$K,'Таблиця 1'!$B:$B,$A512,'Таблиця 1'!$I:$I,"F-16",'Таблиця 1'!$J:$J,"MK-24")+SUMIFS('Таблиця 1'!$K:$K,'Таблиця 1'!$B:$B,$A512,'Таблиця 1'!$I:$I,"МіГ-29",'Таблиця 1'!$J:$J,"MK-24")+SUMIFS('Таблиця 1'!$K:$K,'Таблиця 1'!$B:$B,$A512,'Таблиця 1'!$I:$I,"Су-25",'Таблиця 1'!$J:$J,"MK-24")+SUMIFS('Таблиця 1'!$K:$K,'Таблиця 1'!$B:$B,$A512,'Таблиця 1'!$I:$I,"Су-27",'Таблиця 1'!$J:$J,"MK-24"))</f>
        <v/>
      </c>
      <c r="R512">
        <f>IF($A512="","",COUNTIFS('Таблиця 1'!$B:$B,$A512,'Таблиця 1'!$I:$I,"Mirage",'Таблиця 1'!$L:$L,"Уражено")+COUNTIFS('Таблиця 1'!$B:$B,$A512,'Таблиця 1'!$I:$I,"F-16",'Таблиця 1'!$L:$L,"Уражено")+COUNTIFS('Таблиця 1'!$B:$B,$A512,'Таблиця 1'!$I:$I,"МіГ-29",'Таблиця 1'!$L:$L,"Уражено")+COUNTIFS('Таблиця 1'!$B:$B,$A512,'Таблиця 1'!$I:$I,"Су-25",'Таблиця 1'!$L:$L,"Уражено")+COUNTIFS('Таблиця 1'!$B:$B,$A512,'Таблиця 1'!$I:$I,"Су-27",'Таблиця 1'!$L:$L,"Уражено"))</f>
        <v/>
      </c>
      <c r="S512">
        <f>IF($A512="","",COUNTIFS('Таблиця 1'!$B:$B,$A512,'Таблиця 1'!$I:$I,"Mirage",'Таблиця 1'!$L:$L,"НЕ уражено")+COUNTIFS('Таблиця 1'!$B:$B,$A512,'Таблиця 1'!$I:$I,"F-16",'Таблиця 1'!$L:$L,"НЕ уражено")+COUNTIFS('Таблиця 1'!$B:$B,$A512,'Таблиця 1'!$I:$I,"МіГ-29",'Таблиця 1'!$L:$L,"НЕ уражено")+COUNTIFS('Таблиця 1'!$B:$B,$A512,'Таблиця 1'!$I:$I,"Су-25",'Таблиця 1'!$L:$L,"НЕ уражено")+COUNTIFS('Таблиця 1'!$B:$B,$A512,'Таблиця 1'!$I:$I,"Су-27",'Таблиця 1'!$L:$L,"НЕ уражено"))</f>
        <v/>
      </c>
      <c r="T512">
        <f>IF($A512="","",COUNTIFS('Таблиця 1'!$B:$B,$A512,'Таблиця 1'!$I:$I,"Mirage",'Таблиця 1'!$L:$L,"Дорозвідується")+COUNTIFS('Таблиця 1'!$B:$B,$A512,'Таблиця 1'!$I:$I,"F-16",'Таблиця 1'!$L:$L,"Дорозвідується")+COUNTIFS('Таблиця 1'!$B:$B,$A512,'Таблиця 1'!$I:$I,"МіГ-29",'Таблиця 1'!$L:$L,"Дорозвідується")+COUNTIFS('Таблиця 1'!$B:$B,$A512,'Таблиця 1'!$I:$I,"Су-25",'Таблиця 1'!$L:$L,"Дорозвідується")+COUNTIFS('Таблиця 1'!$B:$B,$A512,'Таблиця 1'!$I:$I,"Су-27",'Таблиця 1'!$L:$L,"Дорозвідується"))</f>
        <v/>
      </c>
    </row>
    <row r="513">
      <c r="A513" s="273">
        <f>IF(A512="","",IF(A512+1&gt;MAX('Таблиця 1'!$B:$B),"",A512+1))</f>
        <v/>
      </c>
      <c r="B513">
        <f>IF($A513="","",COUNTIFS('Таблиця 1'!$B:$B,$A513,'Таблиця 1'!$I:$I,"Mirage")+COUNTIFS('Таблиця 1'!$B:$B,$A513,'Таблиця 1'!$I:$I,"F-16")+COUNTIFS('Таблиця 1'!$B:$B,$A513,'Таблиця 1'!$I:$I,"МіГ-29")+COUNTIFS('Таблиця 1'!$B:$B,$A513,'Таблиця 1'!$I:$I,"Су-25")+COUNTIFS('Таблиця 1'!$B:$B,$A513,'Таблиця 1'!$I:$I,"Су-27"))</f>
        <v/>
      </c>
      <c r="C513">
        <f>IF($A513="","",COUNTIFS('Таблиця 1'!$B:$B,$A513,'Таблиця 1'!$I:$I,"Mirage"))</f>
        <v/>
      </c>
      <c r="D513">
        <f>IF($A513="","",COUNTIFS('Таблиця 1'!$B:$B,$A513,'Таблиця 1'!$I:$I,"F-16"))</f>
        <v/>
      </c>
      <c r="E513">
        <f>IF($A513="","",COUNTIFS('Таблиця 1'!$B:$B,$A513,'Таблиця 1'!$I:$I,"МіГ-29"))</f>
        <v/>
      </c>
      <c r="F513">
        <f>IF($A513="","",COUNTIFS('Таблиця 1'!$B:$B,$A513,'Таблиця 1'!$I:$I,"Су-25"))</f>
        <v/>
      </c>
      <c r="G513">
        <f>IF($A513="","",COUNTIFS('Таблиця 1'!$B:$B,$A513,'Таблиця 1'!$I:$I,"Су-27"))</f>
        <v/>
      </c>
      <c r="H513">
        <f>IF($A513="","",SUMIFS('Таблиця 1'!$K:$K,'Таблиця 1'!$B:$B,$A513,'Таблиця 1'!$I:$I,"Mirage",'Таблиця 1'!$J:$J,"AGM-88")+SUMIFS('Таблиця 1'!$K:$K,'Таблиця 1'!$B:$B,$A513,'Таблиця 1'!$I:$I,"F-16",'Таблиця 1'!$J:$J,"AGM-88")+SUMIFS('Таблиця 1'!$K:$K,'Таблиця 1'!$B:$B,$A513,'Таблиця 1'!$I:$I,"МіГ-29",'Таблиця 1'!$J:$J,"AGM-88")+SUMIFS('Таблиця 1'!$K:$K,'Таблиця 1'!$B:$B,$A513,'Таблиця 1'!$I:$I,"Су-25",'Таблиця 1'!$J:$J,"AGM-88")+SUMIFS('Таблиця 1'!$K:$K,'Таблиця 1'!$B:$B,$A513,'Таблиця 1'!$I:$I,"Су-27",'Таблиця 1'!$J:$J,"AGM-88"))</f>
        <v/>
      </c>
      <c r="I513">
        <f>IF($A513="","",SUMIFS('Таблиця 1'!$K:$K,'Таблиця 1'!$B:$B,$A513,'Таблиця 1'!$I:$I,"Mirage",'Таблиця 1'!$J:$J,"AASM-250")+SUMIFS('Таблиця 1'!$K:$K,'Таблиця 1'!$B:$B,$A513,'Таблиця 1'!$I:$I,"F-16",'Таблиця 1'!$J:$J,"AASM-250")+SUMIFS('Таблиця 1'!$K:$K,'Таблиця 1'!$B:$B,$A513,'Таблиця 1'!$I:$I,"МіГ-29",'Таблиця 1'!$J:$J,"AASM-250")+SUMIFS('Таблиця 1'!$K:$K,'Таблиця 1'!$B:$B,$A513,'Таблиця 1'!$I:$I,"Су-25",'Таблиця 1'!$J:$J,"AASM-250")+SUMIFS('Таблиця 1'!$K:$K,'Таблиця 1'!$B:$B,$A513,'Таблиця 1'!$I:$I,"Су-27",'Таблиця 1'!$J:$J,"AASM-250"))</f>
        <v/>
      </c>
      <c r="J513">
        <f>IF($A513="","",SUMIFS('Таблиця 1'!$K:$K,'Таблиця 1'!$B:$B,$A513,'Таблиця 1'!$I:$I,"Mirage",'Таблиця 1'!$J:$J,"GBU-39")+SUMIFS('Таблиця 1'!$K:$K,'Таблиця 1'!$B:$B,$A513,'Таблиця 1'!$I:$I,"F-16",'Таблиця 1'!$J:$J,"GBU-39")+SUMIFS('Таблиця 1'!$K:$K,'Таблиця 1'!$B:$B,$A513,'Таблиця 1'!$I:$I,"МіГ-29",'Таблиця 1'!$J:$J,"GBU-39")+SUMIFS('Таблиця 1'!$K:$K,'Таблиця 1'!$B:$B,$A513,'Таблиця 1'!$I:$I,"Су-25",'Таблиця 1'!$J:$J,"GBU-39")+SUMIFS('Таблиця 1'!$K:$K,'Таблиця 1'!$B:$B,$A513,'Таблиця 1'!$I:$I,"Су-27",'Таблиця 1'!$J:$J,"GBU-39"))</f>
        <v/>
      </c>
      <c r="K513">
        <f>IF($A513="","",SUMIFS('Таблиця 1'!$K:$K,'Таблиця 1'!$B:$B,$A513,'Таблиця 1'!$I:$I,"Mirage",'Таблиця 1'!$J:$J,"BLU-140")+SUMIFS('Таблиця 1'!$K:$K,'Таблиця 1'!$B:$B,$A513,'Таблиця 1'!$I:$I,"F-16",'Таблиця 1'!$J:$J,"BLU-140")+SUMIFS('Таблиця 1'!$K:$K,'Таблиця 1'!$B:$B,$A513,'Таблиця 1'!$I:$I,"МіГ-29",'Таблиця 1'!$J:$J,"BLU-140")+SUMIFS('Таблиця 1'!$K:$K,'Таблиця 1'!$B:$B,$A513,'Таблиця 1'!$I:$I,"Су-25",'Таблиця 1'!$J:$J,"BLU-140")+SUMIFS('Таблиця 1'!$K:$K,'Таблиця 1'!$B:$B,$A513,'Таблиця 1'!$I:$I,"Су-27",'Таблиця 1'!$J:$J,"BLU-140"))</f>
        <v/>
      </c>
      <c r="L513">
        <f>IF($A513="","",SUMIFS('Таблиця 1'!$K:$K,'Таблиця 1'!$B:$B,$A513,'Таблиця 1'!$I:$I,"Mirage",'Таблиця 1'!$J:$J,"GBU-65")+SUMIFS('Таблиця 1'!$K:$K,'Таблиця 1'!$B:$B,$A513,'Таблиця 1'!$I:$I,"F-16",'Таблиця 1'!$J:$J,"GBU-65")+SUMIFS('Таблиця 1'!$K:$K,'Таблиця 1'!$B:$B,$A513,'Таблиця 1'!$I:$I,"МіГ-29",'Таблиця 1'!$J:$J,"GBU-65")+SUMIFS('Таблиця 1'!$K:$K,'Таблиця 1'!$B:$B,$A513,'Таблиця 1'!$I:$I,"Су-25",'Таблиця 1'!$J:$J,"GBU-65")+SUMIFS('Таблиця 1'!$K:$K,'Таблиця 1'!$B:$B,$A513,'Таблиця 1'!$I:$I,"Су-27",'Таблиця 1'!$J:$J,"GBU-65"))</f>
        <v/>
      </c>
      <c r="M513">
        <f>IF($A513="","",SUMIFS('Таблиця 1'!$K:$K,'Таблиця 1'!$B:$B,$A513,'Таблиця 1'!$I:$I,"Mirage",'Таблиця 1'!$J:$J,"GBU-62")+SUMIFS('Таблиця 1'!$K:$K,'Таблиця 1'!$B:$B,$A513,'Таблиця 1'!$I:$I,"F-16",'Таблиця 1'!$J:$J,"GBU-62")+SUMIFS('Таблиця 1'!$K:$K,'Таблиця 1'!$B:$B,$A513,'Таблиця 1'!$I:$I,"МіГ-29",'Таблиця 1'!$J:$J,"GBU-62")+SUMIFS('Таблиця 1'!$K:$K,'Таблиця 1'!$B:$B,$A513,'Таблиця 1'!$I:$I,"Су-25",'Таблиця 1'!$J:$J,"GBU-62")+SUMIFS('Таблиця 1'!$K:$K,'Таблиця 1'!$B:$B,$A513,'Таблиця 1'!$I:$I,"Су-27",'Таблиця 1'!$J:$J,"GBU-62"))</f>
        <v/>
      </c>
      <c r="N513">
        <f>IF($A513="","",SUMIFS('Таблиця 1'!$K:$K,'Таблиця 1'!$B:$B,$A513,'Таблиця 1'!$I:$I,"Mirage",'Таблиця 1'!$J:$J,"GBU-64")+SUMIFS('Таблиця 1'!$K:$K,'Таблиця 1'!$B:$B,$A513,'Таблиця 1'!$I:$I,"F-16",'Таблиця 1'!$J:$J,"GBU-64")+SUMIFS('Таблиця 1'!$K:$K,'Таблиця 1'!$B:$B,$A513,'Таблиця 1'!$I:$I,"МіГ-29",'Таблиця 1'!$J:$J,"GBU-64")+SUMIFS('Таблиця 1'!$K:$K,'Таблиця 1'!$B:$B,$A513,'Таблиця 1'!$I:$I,"Су-25",'Таблиця 1'!$J:$J,"GBU-64")+SUMIFS('Таблиця 1'!$K:$K,'Таблиця 1'!$B:$B,$A513,'Таблиця 1'!$I:$I,"Су-27",'Таблиця 1'!$J:$J,"GBU-64"))</f>
        <v/>
      </c>
      <c r="O513">
        <f>IF($A513="","",SUMIFS('Таблиця 1'!$K:$K,'Таблиця 1'!$B:$B,$A513,'Таблиця 1'!$I:$I,"Mirage",'Таблиця 1'!$J:$J,"C-13")+SUMIFS('Таблиця 1'!$K:$K,'Таблиця 1'!$B:$B,$A513,'Таблиця 1'!$I:$I,"F-16",'Таблиця 1'!$J:$J,"C-13")+SUMIFS('Таблиця 1'!$K:$K,'Таблиця 1'!$B:$B,$A513,'Таблиця 1'!$I:$I,"МіГ-29",'Таблиця 1'!$J:$J,"C-13")+SUMIFS('Таблиця 1'!$K:$K,'Таблиця 1'!$B:$B,$A513,'Таблиця 1'!$I:$I,"Су-25",'Таблиця 1'!$J:$J,"C-13")+SUMIFS('Таблиця 1'!$K:$K,'Таблиця 1'!$B:$B,$A513,'Таблиця 1'!$I:$I,"Су-27",'Таблиця 1'!$J:$J,"C-13"))</f>
        <v/>
      </c>
      <c r="P513">
        <f>IF($A513="","",SUMIFS('Таблиця 1'!$K:$K,'Таблиця 1'!$B:$B,$A513,'Таблиця 1'!$I:$I,"Mirage",'Таблиця 1'!$J:$J,"MK-32")+SUMIFS('Таблиця 1'!$K:$K,'Таблиця 1'!$B:$B,$A513,'Таблиця 1'!$I:$I,"F-16",'Таблиця 1'!$J:$J,"MK-32")+SUMIFS('Таблиця 1'!$K:$K,'Таблиця 1'!$B:$B,$A513,'Таблиця 1'!$I:$I,"МіГ-29",'Таблиця 1'!$J:$J,"MK-32")+SUMIFS('Таблиця 1'!$K:$K,'Таблиця 1'!$B:$B,$A513,'Таблиця 1'!$I:$I,"Су-25",'Таблиця 1'!$J:$J,"MK-32")+SUMIFS('Таблиця 1'!$K:$K,'Таблиця 1'!$B:$B,$A513,'Таблиця 1'!$I:$I,"Су-27",'Таблиця 1'!$J:$J,"MK-32"))</f>
        <v/>
      </c>
      <c r="Q513">
        <f>IF($A513="","",SUMIFS('Таблиця 1'!$K:$K,'Таблиця 1'!$B:$B,$A513,'Таблиця 1'!$I:$I,"Mirage",'Таблиця 1'!$J:$J,"MK-24")+SUMIFS('Таблиця 1'!$K:$K,'Таблиця 1'!$B:$B,$A513,'Таблиця 1'!$I:$I,"F-16",'Таблиця 1'!$J:$J,"MK-24")+SUMIFS('Таблиця 1'!$K:$K,'Таблиця 1'!$B:$B,$A513,'Таблиця 1'!$I:$I,"МіГ-29",'Таблиця 1'!$J:$J,"MK-24")+SUMIFS('Таблиця 1'!$K:$K,'Таблиця 1'!$B:$B,$A513,'Таблиця 1'!$I:$I,"Су-25",'Таблиця 1'!$J:$J,"MK-24")+SUMIFS('Таблиця 1'!$K:$K,'Таблиця 1'!$B:$B,$A513,'Таблиця 1'!$I:$I,"Су-27",'Таблиця 1'!$J:$J,"MK-24"))</f>
        <v/>
      </c>
      <c r="R513">
        <f>IF($A513="","",COUNTIFS('Таблиця 1'!$B:$B,$A513,'Таблиця 1'!$I:$I,"Mirage",'Таблиця 1'!$L:$L,"Уражено")+COUNTIFS('Таблиця 1'!$B:$B,$A513,'Таблиця 1'!$I:$I,"F-16",'Таблиця 1'!$L:$L,"Уражено")+COUNTIFS('Таблиця 1'!$B:$B,$A513,'Таблиця 1'!$I:$I,"МіГ-29",'Таблиця 1'!$L:$L,"Уражено")+COUNTIFS('Таблиця 1'!$B:$B,$A513,'Таблиця 1'!$I:$I,"Су-25",'Таблиця 1'!$L:$L,"Уражено")+COUNTIFS('Таблиця 1'!$B:$B,$A513,'Таблиця 1'!$I:$I,"Су-27",'Таблиця 1'!$L:$L,"Уражено"))</f>
        <v/>
      </c>
      <c r="S513">
        <f>IF($A513="","",COUNTIFS('Таблиця 1'!$B:$B,$A513,'Таблиця 1'!$I:$I,"Mirage",'Таблиця 1'!$L:$L,"НЕ уражено")+COUNTIFS('Таблиця 1'!$B:$B,$A513,'Таблиця 1'!$I:$I,"F-16",'Таблиця 1'!$L:$L,"НЕ уражено")+COUNTIFS('Таблиця 1'!$B:$B,$A513,'Таблиця 1'!$I:$I,"МіГ-29",'Таблиця 1'!$L:$L,"НЕ уражено")+COUNTIFS('Таблиця 1'!$B:$B,$A513,'Таблиця 1'!$I:$I,"Су-25",'Таблиця 1'!$L:$L,"НЕ уражено")+COUNTIFS('Таблиця 1'!$B:$B,$A513,'Таблиця 1'!$I:$I,"Су-27",'Таблиця 1'!$L:$L,"НЕ уражено"))</f>
        <v/>
      </c>
      <c r="T513">
        <f>IF($A513="","",COUNTIFS('Таблиця 1'!$B:$B,$A513,'Таблиця 1'!$I:$I,"Mirage",'Таблиця 1'!$L:$L,"Дорозвідується")+COUNTIFS('Таблиця 1'!$B:$B,$A513,'Таблиця 1'!$I:$I,"F-16",'Таблиця 1'!$L:$L,"Дорозвідується")+COUNTIFS('Таблиця 1'!$B:$B,$A513,'Таблиця 1'!$I:$I,"МіГ-29",'Таблиця 1'!$L:$L,"Дорозвідується")+COUNTIFS('Таблиця 1'!$B:$B,$A513,'Таблиця 1'!$I:$I,"Су-25",'Таблиця 1'!$L:$L,"Дорозвідується")+COUNTIFS('Таблиця 1'!$B:$B,$A513,'Таблиця 1'!$I:$I,"Су-27",'Таблиця 1'!$L:$L,"Дорозвідується"))</f>
        <v/>
      </c>
    </row>
    <row r="514">
      <c r="A514" s="273">
        <f>IF(A513="","",IF(A513+1&gt;MAX('Таблиця 1'!$B:$B),"",A513+1))</f>
        <v/>
      </c>
      <c r="B514">
        <f>IF($A514="","",COUNTIFS('Таблиця 1'!$B:$B,$A514,'Таблиця 1'!$I:$I,"Mirage")+COUNTIFS('Таблиця 1'!$B:$B,$A514,'Таблиця 1'!$I:$I,"F-16")+COUNTIFS('Таблиця 1'!$B:$B,$A514,'Таблиця 1'!$I:$I,"МіГ-29")+COUNTIFS('Таблиця 1'!$B:$B,$A514,'Таблиця 1'!$I:$I,"Су-25")+COUNTIFS('Таблиця 1'!$B:$B,$A514,'Таблиця 1'!$I:$I,"Су-27"))</f>
        <v/>
      </c>
      <c r="C514">
        <f>IF($A514="","",COUNTIFS('Таблиця 1'!$B:$B,$A514,'Таблиця 1'!$I:$I,"Mirage"))</f>
        <v/>
      </c>
      <c r="D514">
        <f>IF($A514="","",COUNTIFS('Таблиця 1'!$B:$B,$A514,'Таблиця 1'!$I:$I,"F-16"))</f>
        <v/>
      </c>
      <c r="E514">
        <f>IF($A514="","",COUNTIFS('Таблиця 1'!$B:$B,$A514,'Таблиця 1'!$I:$I,"МіГ-29"))</f>
        <v/>
      </c>
      <c r="F514">
        <f>IF($A514="","",COUNTIFS('Таблиця 1'!$B:$B,$A514,'Таблиця 1'!$I:$I,"Су-25"))</f>
        <v/>
      </c>
      <c r="G514">
        <f>IF($A514="","",COUNTIFS('Таблиця 1'!$B:$B,$A514,'Таблиця 1'!$I:$I,"Су-27"))</f>
        <v/>
      </c>
      <c r="H514">
        <f>IF($A514="","",SUMIFS('Таблиця 1'!$K:$K,'Таблиця 1'!$B:$B,$A514,'Таблиця 1'!$I:$I,"Mirage",'Таблиця 1'!$J:$J,"AGM-88")+SUMIFS('Таблиця 1'!$K:$K,'Таблиця 1'!$B:$B,$A514,'Таблиця 1'!$I:$I,"F-16",'Таблиця 1'!$J:$J,"AGM-88")+SUMIFS('Таблиця 1'!$K:$K,'Таблиця 1'!$B:$B,$A514,'Таблиця 1'!$I:$I,"МіГ-29",'Таблиця 1'!$J:$J,"AGM-88")+SUMIFS('Таблиця 1'!$K:$K,'Таблиця 1'!$B:$B,$A514,'Таблиця 1'!$I:$I,"Су-25",'Таблиця 1'!$J:$J,"AGM-88")+SUMIFS('Таблиця 1'!$K:$K,'Таблиця 1'!$B:$B,$A514,'Таблиця 1'!$I:$I,"Су-27",'Таблиця 1'!$J:$J,"AGM-88"))</f>
        <v/>
      </c>
      <c r="I514">
        <f>IF($A514="","",SUMIFS('Таблиця 1'!$K:$K,'Таблиця 1'!$B:$B,$A514,'Таблиця 1'!$I:$I,"Mirage",'Таблиця 1'!$J:$J,"AASM-250")+SUMIFS('Таблиця 1'!$K:$K,'Таблиця 1'!$B:$B,$A514,'Таблиця 1'!$I:$I,"F-16",'Таблиця 1'!$J:$J,"AASM-250")+SUMIFS('Таблиця 1'!$K:$K,'Таблиця 1'!$B:$B,$A514,'Таблиця 1'!$I:$I,"МіГ-29",'Таблиця 1'!$J:$J,"AASM-250")+SUMIFS('Таблиця 1'!$K:$K,'Таблиця 1'!$B:$B,$A514,'Таблиця 1'!$I:$I,"Су-25",'Таблиця 1'!$J:$J,"AASM-250")+SUMIFS('Таблиця 1'!$K:$K,'Таблиця 1'!$B:$B,$A514,'Таблиця 1'!$I:$I,"Су-27",'Таблиця 1'!$J:$J,"AASM-250"))</f>
        <v/>
      </c>
      <c r="J514">
        <f>IF($A514="","",SUMIFS('Таблиця 1'!$K:$K,'Таблиця 1'!$B:$B,$A514,'Таблиця 1'!$I:$I,"Mirage",'Таблиця 1'!$J:$J,"GBU-39")+SUMIFS('Таблиця 1'!$K:$K,'Таблиця 1'!$B:$B,$A514,'Таблиця 1'!$I:$I,"F-16",'Таблиця 1'!$J:$J,"GBU-39")+SUMIFS('Таблиця 1'!$K:$K,'Таблиця 1'!$B:$B,$A514,'Таблиця 1'!$I:$I,"МіГ-29",'Таблиця 1'!$J:$J,"GBU-39")+SUMIFS('Таблиця 1'!$K:$K,'Таблиця 1'!$B:$B,$A514,'Таблиця 1'!$I:$I,"Су-25",'Таблиця 1'!$J:$J,"GBU-39")+SUMIFS('Таблиця 1'!$K:$K,'Таблиця 1'!$B:$B,$A514,'Таблиця 1'!$I:$I,"Су-27",'Таблиця 1'!$J:$J,"GBU-39"))</f>
        <v/>
      </c>
      <c r="K514">
        <f>IF($A514="","",SUMIFS('Таблиця 1'!$K:$K,'Таблиця 1'!$B:$B,$A514,'Таблиця 1'!$I:$I,"Mirage",'Таблиця 1'!$J:$J,"BLU-140")+SUMIFS('Таблиця 1'!$K:$K,'Таблиця 1'!$B:$B,$A514,'Таблиця 1'!$I:$I,"F-16",'Таблиця 1'!$J:$J,"BLU-140")+SUMIFS('Таблиця 1'!$K:$K,'Таблиця 1'!$B:$B,$A514,'Таблиця 1'!$I:$I,"МіГ-29",'Таблиця 1'!$J:$J,"BLU-140")+SUMIFS('Таблиця 1'!$K:$K,'Таблиця 1'!$B:$B,$A514,'Таблиця 1'!$I:$I,"Су-25",'Таблиця 1'!$J:$J,"BLU-140")+SUMIFS('Таблиця 1'!$K:$K,'Таблиця 1'!$B:$B,$A514,'Таблиця 1'!$I:$I,"Су-27",'Таблиця 1'!$J:$J,"BLU-140"))</f>
        <v/>
      </c>
      <c r="L514">
        <f>IF($A514="","",SUMIFS('Таблиця 1'!$K:$K,'Таблиця 1'!$B:$B,$A514,'Таблиця 1'!$I:$I,"Mirage",'Таблиця 1'!$J:$J,"GBU-65")+SUMIFS('Таблиця 1'!$K:$K,'Таблиця 1'!$B:$B,$A514,'Таблиця 1'!$I:$I,"F-16",'Таблиця 1'!$J:$J,"GBU-65")+SUMIFS('Таблиця 1'!$K:$K,'Таблиця 1'!$B:$B,$A514,'Таблиця 1'!$I:$I,"МіГ-29",'Таблиця 1'!$J:$J,"GBU-65")+SUMIFS('Таблиця 1'!$K:$K,'Таблиця 1'!$B:$B,$A514,'Таблиця 1'!$I:$I,"Су-25",'Таблиця 1'!$J:$J,"GBU-65")+SUMIFS('Таблиця 1'!$K:$K,'Таблиця 1'!$B:$B,$A514,'Таблиця 1'!$I:$I,"Су-27",'Таблиця 1'!$J:$J,"GBU-65"))</f>
        <v/>
      </c>
      <c r="M514">
        <f>IF($A514="","",SUMIFS('Таблиця 1'!$K:$K,'Таблиця 1'!$B:$B,$A514,'Таблиця 1'!$I:$I,"Mirage",'Таблиця 1'!$J:$J,"GBU-62")+SUMIFS('Таблиця 1'!$K:$K,'Таблиця 1'!$B:$B,$A514,'Таблиця 1'!$I:$I,"F-16",'Таблиця 1'!$J:$J,"GBU-62")+SUMIFS('Таблиця 1'!$K:$K,'Таблиця 1'!$B:$B,$A514,'Таблиця 1'!$I:$I,"МіГ-29",'Таблиця 1'!$J:$J,"GBU-62")+SUMIFS('Таблиця 1'!$K:$K,'Таблиця 1'!$B:$B,$A514,'Таблиця 1'!$I:$I,"Су-25",'Таблиця 1'!$J:$J,"GBU-62")+SUMIFS('Таблиця 1'!$K:$K,'Таблиця 1'!$B:$B,$A514,'Таблиця 1'!$I:$I,"Су-27",'Таблиця 1'!$J:$J,"GBU-62"))</f>
        <v/>
      </c>
      <c r="N514">
        <f>IF($A514="","",SUMIFS('Таблиця 1'!$K:$K,'Таблиця 1'!$B:$B,$A514,'Таблиця 1'!$I:$I,"Mirage",'Таблиця 1'!$J:$J,"GBU-64")+SUMIFS('Таблиця 1'!$K:$K,'Таблиця 1'!$B:$B,$A514,'Таблиця 1'!$I:$I,"F-16",'Таблиця 1'!$J:$J,"GBU-64")+SUMIFS('Таблиця 1'!$K:$K,'Таблиця 1'!$B:$B,$A514,'Таблиця 1'!$I:$I,"МіГ-29",'Таблиця 1'!$J:$J,"GBU-64")+SUMIFS('Таблиця 1'!$K:$K,'Таблиця 1'!$B:$B,$A514,'Таблиця 1'!$I:$I,"Су-25",'Таблиця 1'!$J:$J,"GBU-64")+SUMIFS('Таблиця 1'!$K:$K,'Таблиця 1'!$B:$B,$A514,'Таблиця 1'!$I:$I,"Су-27",'Таблиця 1'!$J:$J,"GBU-64"))</f>
        <v/>
      </c>
      <c r="O514">
        <f>IF($A514="","",SUMIFS('Таблиця 1'!$K:$K,'Таблиця 1'!$B:$B,$A514,'Таблиця 1'!$I:$I,"Mirage",'Таблиця 1'!$J:$J,"C-13")+SUMIFS('Таблиця 1'!$K:$K,'Таблиця 1'!$B:$B,$A514,'Таблиця 1'!$I:$I,"F-16",'Таблиця 1'!$J:$J,"C-13")+SUMIFS('Таблиця 1'!$K:$K,'Таблиця 1'!$B:$B,$A514,'Таблиця 1'!$I:$I,"МіГ-29",'Таблиця 1'!$J:$J,"C-13")+SUMIFS('Таблиця 1'!$K:$K,'Таблиця 1'!$B:$B,$A514,'Таблиця 1'!$I:$I,"Су-25",'Таблиця 1'!$J:$J,"C-13")+SUMIFS('Таблиця 1'!$K:$K,'Таблиця 1'!$B:$B,$A514,'Таблиця 1'!$I:$I,"Су-27",'Таблиця 1'!$J:$J,"C-13"))</f>
        <v/>
      </c>
      <c r="P514">
        <f>IF($A514="","",SUMIFS('Таблиця 1'!$K:$K,'Таблиця 1'!$B:$B,$A514,'Таблиця 1'!$I:$I,"Mirage",'Таблиця 1'!$J:$J,"MK-32")+SUMIFS('Таблиця 1'!$K:$K,'Таблиця 1'!$B:$B,$A514,'Таблиця 1'!$I:$I,"F-16",'Таблиця 1'!$J:$J,"MK-32")+SUMIFS('Таблиця 1'!$K:$K,'Таблиця 1'!$B:$B,$A514,'Таблиця 1'!$I:$I,"МіГ-29",'Таблиця 1'!$J:$J,"MK-32")+SUMIFS('Таблиця 1'!$K:$K,'Таблиця 1'!$B:$B,$A514,'Таблиця 1'!$I:$I,"Су-25",'Таблиця 1'!$J:$J,"MK-32")+SUMIFS('Таблиця 1'!$K:$K,'Таблиця 1'!$B:$B,$A514,'Таблиця 1'!$I:$I,"Су-27",'Таблиця 1'!$J:$J,"MK-32"))</f>
        <v/>
      </c>
      <c r="Q514">
        <f>IF($A514="","",SUMIFS('Таблиця 1'!$K:$K,'Таблиця 1'!$B:$B,$A514,'Таблиця 1'!$I:$I,"Mirage",'Таблиця 1'!$J:$J,"MK-24")+SUMIFS('Таблиця 1'!$K:$K,'Таблиця 1'!$B:$B,$A514,'Таблиця 1'!$I:$I,"F-16",'Таблиця 1'!$J:$J,"MK-24")+SUMIFS('Таблиця 1'!$K:$K,'Таблиця 1'!$B:$B,$A514,'Таблиця 1'!$I:$I,"МіГ-29",'Таблиця 1'!$J:$J,"MK-24")+SUMIFS('Таблиця 1'!$K:$K,'Таблиця 1'!$B:$B,$A514,'Таблиця 1'!$I:$I,"Су-25",'Таблиця 1'!$J:$J,"MK-24")+SUMIFS('Таблиця 1'!$K:$K,'Таблиця 1'!$B:$B,$A514,'Таблиця 1'!$I:$I,"Су-27",'Таблиця 1'!$J:$J,"MK-24"))</f>
        <v/>
      </c>
      <c r="R514">
        <f>IF($A514="","",COUNTIFS('Таблиця 1'!$B:$B,$A514,'Таблиця 1'!$I:$I,"Mirage",'Таблиця 1'!$L:$L,"Уражено")+COUNTIFS('Таблиця 1'!$B:$B,$A514,'Таблиця 1'!$I:$I,"F-16",'Таблиця 1'!$L:$L,"Уражено")+COUNTIFS('Таблиця 1'!$B:$B,$A514,'Таблиця 1'!$I:$I,"МіГ-29",'Таблиця 1'!$L:$L,"Уражено")+COUNTIFS('Таблиця 1'!$B:$B,$A514,'Таблиця 1'!$I:$I,"Су-25",'Таблиця 1'!$L:$L,"Уражено")+COUNTIFS('Таблиця 1'!$B:$B,$A514,'Таблиця 1'!$I:$I,"Су-27",'Таблиця 1'!$L:$L,"Уражено"))</f>
        <v/>
      </c>
      <c r="S514">
        <f>IF($A514="","",COUNTIFS('Таблиця 1'!$B:$B,$A514,'Таблиця 1'!$I:$I,"Mirage",'Таблиця 1'!$L:$L,"НЕ уражено")+COUNTIFS('Таблиця 1'!$B:$B,$A514,'Таблиця 1'!$I:$I,"F-16",'Таблиця 1'!$L:$L,"НЕ уражено")+COUNTIFS('Таблиця 1'!$B:$B,$A514,'Таблиця 1'!$I:$I,"МіГ-29",'Таблиця 1'!$L:$L,"НЕ уражено")+COUNTIFS('Таблиця 1'!$B:$B,$A514,'Таблиця 1'!$I:$I,"Су-25",'Таблиця 1'!$L:$L,"НЕ уражено")+COUNTIFS('Таблиця 1'!$B:$B,$A514,'Таблиця 1'!$I:$I,"Су-27",'Таблиця 1'!$L:$L,"НЕ уражено"))</f>
        <v/>
      </c>
      <c r="T514">
        <f>IF($A514="","",COUNTIFS('Таблиця 1'!$B:$B,$A514,'Таблиця 1'!$I:$I,"Mirage",'Таблиця 1'!$L:$L,"Дорозвідується")+COUNTIFS('Таблиця 1'!$B:$B,$A514,'Таблиця 1'!$I:$I,"F-16",'Таблиця 1'!$L:$L,"Дорозвідується")+COUNTIFS('Таблиця 1'!$B:$B,$A514,'Таблиця 1'!$I:$I,"МіГ-29",'Таблиця 1'!$L:$L,"Дорозвідується")+COUNTIFS('Таблиця 1'!$B:$B,$A514,'Таблиця 1'!$I:$I,"Су-25",'Таблиця 1'!$L:$L,"Дорозвідується")+COUNTIFS('Таблиця 1'!$B:$B,$A514,'Таблиця 1'!$I:$I,"Су-27",'Таблиця 1'!$L:$L,"Дорозвідується"))</f>
        <v/>
      </c>
    </row>
    <row r="515">
      <c r="A515" s="273">
        <f>IF(A514="","",IF(A514+1&gt;MAX('Таблиця 1'!$B:$B),"",A514+1))</f>
        <v/>
      </c>
      <c r="B515">
        <f>IF($A515="","",COUNTIFS('Таблиця 1'!$B:$B,$A515,'Таблиця 1'!$I:$I,"Mirage")+COUNTIFS('Таблиця 1'!$B:$B,$A515,'Таблиця 1'!$I:$I,"F-16")+COUNTIFS('Таблиця 1'!$B:$B,$A515,'Таблиця 1'!$I:$I,"МіГ-29")+COUNTIFS('Таблиця 1'!$B:$B,$A515,'Таблиця 1'!$I:$I,"Су-25")+COUNTIFS('Таблиця 1'!$B:$B,$A515,'Таблиця 1'!$I:$I,"Су-27"))</f>
        <v/>
      </c>
      <c r="C515">
        <f>IF($A515="","",COUNTIFS('Таблиця 1'!$B:$B,$A515,'Таблиця 1'!$I:$I,"Mirage"))</f>
        <v/>
      </c>
      <c r="D515">
        <f>IF($A515="","",COUNTIFS('Таблиця 1'!$B:$B,$A515,'Таблиця 1'!$I:$I,"F-16"))</f>
        <v/>
      </c>
      <c r="E515">
        <f>IF($A515="","",COUNTIFS('Таблиця 1'!$B:$B,$A515,'Таблиця 1'!$I:$I,"МіГ-29"))</f>
        <v/>
      </c>
      <c r="F515">
        <f>IF($A515="","",COUNTIFS('Таблиця 1'!$B:$B,$A515,'Таблиця 1'!$I:$I,"Су-25"))</f>
        <v/>
      </c>
      <c r="G515">
        <f>IF($A515="","",COUNTIFS('Таблиця 1'!$B:$B,$A515,'Таблиця 1'!$I:$I,"Су-27"))</f>
        <v/>
      </c>
      <c r="H515">
        <f>IF($A515="","",SUMIFS('Таблиця 1'!$K:$K,'Таблиця 1'!$B:$B,$A515,'Таблиця 1'!$I:$I,"Mirage",'Таблиця 1'!$J:$J,"AGM-88")+SUMIFS('Таблиця 1'!$K:$K,'Таблиця 1'!$B:$B,$A515,'Таблиця 1'!$I:$I,"F-16",'Таблиця 1'!$J:$J,"AGM-88")+SUMIFS('Таблиця 1'!$K:$K,'Таблиця 1'!$B:$B,$A515,'Таблиця 1'!$I:$I,"МіГ-29",'Таблиця 1'!$J:$J,"AGM-88")+SUMIFS('Таблиця 1'!$K:$K,'Таблиця 1'!$B:$B,$A515,'Таблиця 1'!$I:$I,"Су-25",'Таблиця 1'!$J:$J,"AGM-88")+SUMIFS('Таблиця 1'!$K:$K,'Таблиця 1'!$B:$B,$A515,'Таблиця 1'!$I:$I,"Су-27",'Таблиця 1'!$J:$J,"AGM-88"))</f>
        <v/>
      </c>
      <c r="I515">
        <f>IF($A515="","",SUMIFS('Таблиця 1'!$K:$K,'Таблиця 1'!$B:$B,$A515,'Таблиця 1'!$I:$I,"Mirage",'Таблиця 1'!$J:$J,"AASM-250")+SUMIFS('Таблиця 1'!$K:$K,'Таблиця 1'!$B:$B,$A515,'Таблиця 1'!$I:$I,"F-16",'Таблиця 1'!$J:$J,"AASM-250")+SUMIFS('Таблиця 1'!$K:$K,'Таблиця 1'!$B:$B,$A515,'Таблиця 1'!$I:$I,"МіГ-29",'Таблиця 1'!$J:$J,"AASM-250")+SUMIFS('Таблиця 1'!$K:$K,'Таблиця 1'!$B:$B,$A515,'Таблиця 1'!$I:$I,"Су-25",'Таблиця 1'!$J:$J,"AASM-250")+SUMIFS('Таблиця 1'!$K:$K,'Таблиця 1'!$B:$B,$A515,'Таблиця 1'!$I:$I,"Су-27",'Таблиця 1'!$J:$J,"AASM-250"))</f>
        <v/>
      </c>
      <c r="J515">
        <f>IF($A515="","",SUMIFS('Таблиця 1'!$K:$K,'Таблиця 1'!$B:$B,$A515,'Таблиця 1'!$I:$I,"Mirage",'Таблиця 1'!$J:$J,"GBU-39")+SUMIFS('Таблиця 1'!$K:$K,'Таблиця 1'!$B:$B,$A515,'Таблиця 1'!$I:$I,"F-16",'Таблиця 1'!$J:$J,"GBU-39")+SUMIFS('Таблиця 1'!$K:$K,'Таблиця 1'!$B:$B,$A515,'Таблиця 1'!$I:$I,"МіГ-29",'Таблиця 1'!$J:$J,"GBU-39")+SUMIFS('Таблиця 1'!$K:$K,'Таблиця 1'!$B:$B,$A515,'Таблиця 1'!$I:$I,"Су-25",'Таблиця 1'!$J:$J,"GBU-39")+SUMIFS('Таблиця 1'!$K:$K,'Таблиця 1'!$B:$B,$A515,'Таблиця 1'!$I:$I,"Су-27",'Таблиця 1'!$J:$J,"GBU-39"))</f>
        <v/>
      </c>
      <c r="K515">
        <f>IF($A515="","",SUMIFS('Таблиця 1'!$K:$K,'Таблиця 1'!$B:$B,$A515,'Таблиця 1'!$I:$I,"Mirage",'Таблиця 1'!$J:$J,"BLU-140")+SUMIFS('Таблиця 1'!$K:$K,'Таблиця 1'!$B:$B,$A515,'Таблиця 1'!$I:$I,"F-16",'Таблиця 1'!$J:$J,"BLU-140")+SUMIFS('Таблиця 1'!$K:$K,'Таблиця 1'!$B:$B,$A515,'Таблиця 1'!$I:$I,"МіГ-29",'Таблиця 1'!$J:$J,"BLU-140")+SUMIFS('Таблиця 1'!$K:$K,'Таблиця 1'!$B:$B,$A515,'Таблиця 1'!$I:$I,"Су-25",'Таблиця 1'!$J:$J,"BLU-140")+SUMIFS('Таблиця 1'!$K:$K,'Таблиця 1'!$B:$B,$A515,'Таблиця 1'!$I:$I,"Су-27",'Таблиця 1'!$J:$J,"BLU-140"))</f>
        <v/>
      </c>
      <c r="L515">
        <f>IF($A515="","",SUMIFS('Таблиця 1'!$K:$K,'Таблиця 1'!$B:$B,$A515,'Таблиця 1'!$I:$I,"Mirage",'Таблиця 1'!$J:$J,"GBU-65")+SUMIFS('Таблиця 1'!$K:$K,'Таблиця 1'!$B:$B,$A515,'Таблиця 1'!$I:$I,"F-16",'Таблиця 1'!$J:$J,"GBU-65")+SUMIFS('Таблиця 1'!$K:$K,'Таблиця 1'!$B:$B,$A515,'Таблиця 1'!$I:$I,"МіГ-29",'Таблиця 1'!$J:$J,"GBU-65")+SUMIFS('Таблиця 1'!$K:$K,'Таблиця 1'!$B:$B,$A515,'Таблиця 1'!$I:$I,"Су-25",'Таблиця 1'!$J:$J,"GBU-65")+SUMIFS('Таблиця 1'!$K:$K,'Таблиця 1'!$B:$B,$A515,'Таблиця 1'!$I:$I,"Су-27",'Таблиця 1'!$J:$J,"GBU-65"))</f>
        <v/>
      </c>
      <c r="M515">
        <f>IF($A515="","",SUMIFS('Таблиця 1'!$K:$K,'Таблиця 1'!$B:$B,$A515,'Таблиця 1'!$I:$I,"Mirage",'Таблиця 1'!$J:$J,"GBU-62")+SUMIFS('Таблиця 1'!$K:$K,'Таблиця 1'!$B:$B,$A515,'Таблиця 1'!$I:$I,"F-16",'Таблиця 1'!$J:$J,"GBU-62")+SUMIFS('Таблиця 1'!$K:$K,'Таблиця 1'!$B:$B,$A515,'Таблиця 1'!$I:$I,"МіГ-29",'Таблиця 1'!$J:$J,"GBU-62")+SUMIFS('Таблиця 1'!$K:$K,'Таблиця 1'!$B:$B,$A515,'Таблиця 1'!$I:$I,"Су-25",'Таблиця 1'!$J:$J,"GBU-62")+SUMIFS('Таблиця 1'!$K:$K,'Таблиця 1'!$B:$B,$A515,'Таблиця 1'!$I:$I,"Су-27",'Таблиця 1'!$J:$J,"GBU-62"))</f>
        <v/>
      </c>
      <c r="N515">
        <f>IF($A515="","",SUMIFS('Таблиця 1'!$K:$K,'Таблиця 1'!$B:$B,$A515,'Таблиця 1'!$I:$I,"Mirage",'Таблиця 1'!$J:$J,"GBU-64")+SUMIFS('Таблиця 1'!$K:$K,'Таблиця 1'!$B:$B,$A515,'Таблиця 1'!$I:$I,"F-16",'Таблиця 1'!$J:$J,"GBU-64")+SUMIFS('Таблиця 1'!$K:$K,'Таблиця 1'!$B:$B,$A515,'Таблиця 1'!$I:$I,"МіГ-29",'Таблиця 1'!$J:$J,"GBU-64")+SUMIFS('Таблиця 1'!$K:$K,'Таблиця 1'!$B:$B,$A515,'Таблиця 1'!$I:$I,"Су-25",'Таблиця 1'!$J:$J,"GBU-64")+SUMIFS('Таблиця 1'!$K:$K,'Таблиця 1'!$B:$B,$A515,'Таблиця 1'!$I:$I,"Су-27",'Таблиця 1'!$J:$J,"GBU-64"))</f>
        <v/>
      </c>
      <c r="O515">
        <f>IF($A515="","",SUMIFS('Таблиця 1'!$K:$K,'Таблиця 1'!$B:$B,$A515,'Таблиця 1'!$I:$I,"Mirage",'Таблиця 1'!$J:$J,"C-13")+SUMIFS('Таблиця 1'!$K:$K,'Таблиця 1'!$B:$B,$A515,'Таблиця 1'!$I:$I,"F-16",'Таблиця 1'!$J:$J,"C-13")+SUMIFS('Таблиця 1'!$K:$K,'Таблиця 1'!$B:$B,$A515,'Таблиця 1'!$I:$I,"МіГ-29",'Таблиця 1'!$J:$J,"C-13")+SUMIFS('Таблиця 1'!$K:$K,'Таблиця 1'!$B:$B,$A515,'Таблиця 1'!$I:$I,"Су-25",'Таблиця 1'!$J:$J,"C-13")+SUMIFS('Таблиця 1'!$K:$K,'Таблиця 1'!$B:$B,$A515,'Таблиця 1'!$I:$I,"Су-27",'Таблиця 1'!$J:$J,"C-13"))</f>
        <v/>
      </c>
      <c r="P515">
        <f>IF($A515="","",SUMIFS('Таблиця 1'!$K:$K,'Таблиця 1'!$B:$B,$A515,'Таблиця 1'!$I:$I,"Mirage",'Таблиця 1'!$J:$J,"MK-32")+SUMIFS('Таблиця 1'!$K:$K,'Таблиця 1'!$B:$B,$A515,'Таблиця 1'!$I:$I,"F-16",'Таблиця 1'!$J:$J,"MK-32")+SUMIFS('Таблиця 1'!$K:$K,'Таблиця 1'!$B:$B,$A515,'Таблиця 1'!$I:$I,"МіГ-29",'Таблиця 1'!$J:$J,"MK-32")+SUMIFS('Таблиця 1'!$K:$K,'Таблиця 1'!$B:$B,$A515,'Таблиця 1'!$I:$I,"Су-25",'Таблиця 1'!$J:$J,"MK-32")+SUMIFS('Таблиця 1'!$K:$K,'Таблиця 1'!$B:$B,$A515,'Таблиця 1'!$I:$I,"Су-27",'Таблиця 1'!$J:$J,"MK-32"))</f>
        <v/>
      </c>
      <c r="Q515">
        <f>IF($A515="","",SUMIFS('Таблиця 1'!$K:$K,'Таблиця 1'!$B:$B,$A515,'Таблиця 1'!$I:$I,"Mirage",'Таблиця 1'!$J:$J,"MK-24")+SUMIFS('Таблиця 1'!$K:$K,'Таблиця 1'!$B:$B,$A515,'Таблиця 1'!$I:$I,"F-16",'Таблиця 1'!$J:$J,"MK-24")+SUMIFS('Таблиця 1'!$K:$K,'Таблиця 1'!$B:$B,$A515,'Таблиця 1'!$I:$I,"МіГ-29",'Таблиця 1'!$J:$J,"MK-24")+SUMIFS('Таблиця 1'!$K:$K,'Таблиця 1'!$B:$B,$A515,'Таблиця 1'!$I:$I,"Су-25",'Таблиця 1'!$J:$J,"MK-24")+SUMIFS('Таблиця 1'!$K:$K,'Таблиця 1'!$B:$B,$A515,'Таблиця 1'!$I:$I,"Су-27",'Таблиця 1'!$J:$J,"MK-24"))</f>
        <v/>
      </c>
      <c r="R515">
        <f>IF($A515="","",COUNTIFS('Таблиця 1'!$B:$B,$A515,'Таблиця 1'!$I:$I,"Mirage",'Таблиця 1'!$L:$L,"Уражено")+COUNTIFS('Таблиця 1'!$B:$B,$A515,'Таблиця 1'!$I:$I,"F-16",'Таблиця 1'!$L:$L,"Уражено")+COUNTIFS('Таблиця 1'!$B:$B,$A515,'Таблиця 1'!$I:$I,"МіГ-29",'Таблиця 1'!$L:$L,"Уражено")+COUNTIFS('Таблиця 1'!$B:$B,$A515,'Таблиця 1'!$I:$I,"Су-25",'Таблиця 1'!$L:$L,"Уражено")+COUNTIFS('Таблиця 1'!$B:$B,$A515,'Таблиця 1'!$I:$I,"Су-27",'Таблиця 1'!$L:$L,"Уражено"))</f>
        <v/>
      </c>
      <c r="S515">
        <f>IF($A515="","",COUNTIFS('Таблиця 1'!$B:$B,$A515,'Таблиця 1'!$I:$I,"Mirage",'Таблиця 1'!$L:$L,"НЕ уражено")+COUNTIFS('Таблиця 1'!$B:$B,$A515,'Таблиця 1'!$I:$I,"F-16",'Таблиця 1'!$L:$L,"НЕ уражено")+COUNTIFS('Таблиця 1'!$B:$B,$A515,'Таблиця 1'!$I:$I,"МіГ-29",'Таблиця 1'!$L:$L,"НЕ уражено")+COUNTIFS('Таблиця 1'!$B:$B,$A515,'Таблиця 1'!$I:$I,"Су-25",'Таблиця 1'!$L:$L,"НЕ уражено")+COUNTIFS('Таблиця 1'!$B:$B,$A515,'Таблиця 1'!$I:$I,"Су-27",'Таблиця 1'!$L:$L,"НЕ уражено"))</f>
        <v/>
      </c>
      <c r="T515">
        <f>IF($A515="","",COUNTIFS('Таблиця 1'!$B:$B,$A515,'Таблиця 1'!$I:$I,"Mirage",'Таблиця 1'!$L:$L,"Дорозвідується")+COUNTIFS('Таблиця 1'!$B:$B,$A515,'Таблиця 1'!$I:$I,"F-16",'Таблиця 1'!$L:$L,"Дорозвідується")+COUNTIFS('Таблиця 1'!$B:$B,$A515,'Таблиця 1'!$I:$I,"МіГ-29",'Таблиця 1'!$L:$L,"Дорозвідується")+COUNTIFS('Таблиця 1'!$B:$B,$A515,'Таблиця 1'!$I:$I,"Су-25",'Таблиця 1'!$L:$L,"Дорозвідується")+COUNTIFS('Таблиця 1'!$B:$B,$A515,'Таблиця 1'!$I:$I,"Су-27",'Таблиця 1'!$L:$L,"Дорозвідується"))</f>
        <v/>
      </c>
    </row>
    <row r="516">
      <c r="A516" s="273">
        <f>IF(A515="","",IF(A515+1&gt;MAX('Таблиця 1'!$B:$B),"",A515+1))</f>
        <v/>
      </c>
      <c r="B516">
        <f>IF($A516="","",COUNTIFS('Таблиця 1'!$B:$B,$A516,'Таблиця 1'!$I:$I,"Mirage")+COUNTIFS('Таблиця 1'!$B:$B,$A516,'Таблиця 1'!$I:$I,"F-16")+COUNTIFS('Таблиця 1'!$B:$B,$A516,'Таблиця 1'!$I:$I,"МіГ-29")+COUNTIFS('Таблиця 1'!$B:$B,$A516,'Таблиця 1'!$I:$I,"Су-25")+COUNTIFS('Таблиця 1'!$B:$B,$A516,'Таблиця 1'!$I:$I,"Су-27"))</f>
        <v/>
      </c>
      <c r="C516">
        <f>IF($A516="","",COUNTIFS('Таблиця 1'!$B:$B,$A516,'Таблиця 1'!$I:$I,"Mirage"))</f>
        <v/>
      </c>
      <c r="D516">
        <f>IF($A516="","",COUNTIFS('Таблиця 1'!$B:$B,$A516,'Таблиця 1'!$I:$I,"F-16"))</f>
        <v/>
      </c>
      <c r="E516">
        <f>IF($A516="","",COUNTIFS('Таблиця 1'!$B:$B,$A516,'Таблиця 1'!$I:$I,"МіГ-29"))</f>
        <v/>
      </c>
      <c r="F516">
        <f>IF($A516="","",COUNTIFS('Таблиця 1'!$B:$B,$A516,'Таблиця 1'!$I:$I,"Су-25"))</f>
        <v/>
      </c>
      <c r="G516">
        <f>IF($A516="","",COUNTIFS('Таблиця 1'!$B:$B,$A516,'Таблиця 1'!$I:$I,"Су-27"))</f>
        <v/>
      </c>
      <c r="H516">
        <f>IF($A516="","",SUMIFS('Таблиця 1'!$K:$K,'Таблиця 1'!$B:$B,$A516,'Таблиця 1'!$I:$I,"Mirage",'Таблиця 1'!$J:$J,"AGM-88")+SUMIFS('Таблиця 1'!$K:$K,'Таблиця 1'!$B:$B,$A516,'Таблиця 1'!$I:$I,"F-16",'Таблиця 1'!$J:$J,"AGM-88")+SUMIFS('Таблиця 1'!$K:$K,'Таблиця 1'!$B:$B,$A516,'Таблиця 1'!$I:$I,"МіГ-29",'Таблиця 1'!$J:$J,"AGM-88")+SUMIFS('Таблиця 1'!$K:$K,'Таблиця 1'!$B:$B,$A516,'Таблиця 1'!$I:$I,"Су-25",'Таблиця 1'!$J:$J,"AGM-88")+SUMIFS('Таблиця 1'!$K:$K,'Таблиця 1'!$B:$B,$A516,'Таблиця 1'!$I:$I,"Су-27",'Таблиця 1'!$J:$J,"AGM-88"))</f>
        <v/>
      </c>
      <c r="I516">
        <f>IF($A516="","",SUMIFS('Таблиця 1'!$K:$K,'Таблиця 1'!$B:$B,$A516,'Таблиця 1'!$I:$I,"Mirage",'Таблиця 1'!$J:$J,"AASM-250")+SUMIFS('Таблиця 1'!$K:$K,'Таблиця 1'!$B:$B,$A516,'Таблиця 1'!$I:$I,"F-16",'Таблиця 1'!$J:$J,"AASM-250")+SUMIFS('Таблиця 1'!$K:$K,'Таблиця 1'!$B:$B,$A516,'Таблиця 1'!$I:$I,"МіГ-29",'Таблиця 1'!$J:$J,"AASM-250")+SUMIFS('Таблиця 1'!$K:$K,'Таблиця 1'!$B:$B,$A516,'Таблиця 1'!$I:$I,"Су-25",'Таблиця 1'!$J:$J,"AASM-250")+SUMIFS('Таблиця 1'!$K:$K,'Таблиця 1'!$B:$B,$A516,'Таблиця 1'!$I:$I,"Су-27",'Таблиця 1'!$J:$J,"AASM-250"))</f>
        <v/>
      </c>
      <c r="J516">
        <f>IF($A516="","",SUMIFS('Таблиця 1'!$K:$K,'Таблиця 1'!$B:$B,$A516,'Таблиця 1'!$I:$I,"Mirage",'Таблиця 1'!$J:$J,"GBU-39")+SUMIFS('Таблиця 1'!$K:$K,'Таблиця 1'!$B:$B,$A516,'Таблиця 1'!$I:$I,"F-16",'Таблиця 1'!$J:$J,"GBU-39")+SUMIFS('Таблиця 1'!$K:$K,'Таблиця 1'!$B:$B,$A516,'Таблиця 1'!$I:$I,"МіГ-29",'Таблиця 1'!$J:$J,"GBU-39")+SUMIFS('Таблиця 1'!$K:$K,'Таблиця 1'!$B:$B,$A516,'Таблиця 1'!$I:$I,"Су-25",'Таблиця 1'!$J:$J,"GBU-39")+SUMIFS('Таблиця 1'!$K:$K,'Таблиця 1'!$B:$B,$A516,'Таблиця 1'!$I:$I,"Су-27",'Таблиця 1'!$J:$J,"GBU-39"))</f>
        <v/>
      </c>
      <c r="K516">
        <f>IF($A516="","",SUMIFS('Таблиця 1'!$K:$K,'Таблиця 1'!$B:$B,$A516,'Таблиця 1'!$I:$I,"Mirage",'Таблиця 1'!$J:$J,"BLU-140")+SUMIFS('Таблиця 1'!$K:$K,'Таблиця 1'!$B:$B,$A516,'Таблиця 1'!$I:$I,"F-16",'Таблиця 1'!$J:$J,"BLU-140")+SUMIFS('Таблиця 1'!$K:$K,'Таблиця 1'!$B:$B,$A516,'Таблиця 1'!$I:$I,"МіГ-29",'Таблиця 1'!$J:$J,"BLU-140")+SUMIFS('Таблиця 1'!$K:$K,'Таблиця 1'!$B:$B,$A516,'Таблиця 1'!$I:$I,"Су-25",'Таблиця 1'!$J:$J,"BLU-140")+SUMIFS('Таблиця 1'!$K:$K,'Таблиця 1'!$B:$B,$A516,'Таблиця 1'!$I:$I,"Су-27",'Таблиця 1'!$J:$J,"BLU-140"))</f>
        <v/>
      </c>
      <c r="L516">
        <f>IF($A516="","",SUMIFS('Таблиця 1'!$K:$K,'Таблиця 1'!$B:$B,$A516,'Таблиця 1'!$I:$I,"Mirage",'Таблиця 1'!$J:$J,"GBU-65")+SUMIFS('Таблиця 1'!$K:$K,'Таблиця 1'!$B:$B,$A516,'Таблиця 1'!$I:$I,"F-16",'Таблиця 1'!$J:$J,"GBU-65")+SUMIFS('Таблиця 1'!$K:$K,'Таблиця 1'!$B:$B,$A516,'Таблиця 1'!$I:$I,"МіГ-29",'Таблиця 1'!$J:$J,"GBU-65")+SUMIFS('Таблиця 1'!$K:$K,'Таблиця 1'!$B:$B,$A516,'Таблиця 1'!$I:$I,"Су-25",'Таблиця 1'!$J:$J,"GBU-65")+SUMIFS('Таблиця 1'!$K:$K,'Таблиця 1'!$B:$B,$A516,'Таблиця 1'!$I:$I,"Су-27",'Таблиця 1'!$J:$J,"GBU-65"))</f>
        <v/>
      </c>
      <c r="M516">
        <f>IF($A516="","",SUMIFS('Таблиця 1'!$K:$K,'Таблиця 1'!$B:$B,$A516,'Таблиця 1'!$I:$I,"Mirage",'Таблиця 1'!$J:$J,"GBU-62")+SUMIFS('Таблиця 1'!$K:$K,'Таблиця 1'!$B:$B,$A516,'Таблиця 1'!$I:$I,"F-16",'Таблиця 1'!$J:$J,"GBU-62")+SUMIFS('Таблиця 1'!$K:$K,'Таблиця 1'!$B:$B,$A516,'Таблиця 1'!$I:$I,"МіГ-29",'Таблиця 1'!$J:$J,"GBU-62")+SUMIFS('Таблиця 1'!$K:$K,'Таблиця 1'!$B:$B,$A516,'Таблиця 1'!$I:$I,"Су-25",'Таблиця 1'!$J:$J,"GBU-62")+SUMIFS('Таблиця 1'!$K:$K,'Таблиця 1'!$B:$B,$A516,'Таблиця 1'!$I:$I,"Су-27",'Таблиця 1'!$J:$J,"GBU-62"))</f>
        <v/>
      </c>
      <c r="N516">
        <f>IF($A516="","",SUMIFS('Таблиця 1'!$K:$K,'Таблиця 1'!$B:$B,$A516,'Таблиця 1'!$I:$I,"Mirage",'Таблиця 1'!$J:$J,"GBU-64")+SUMIFS('Таблиця 1'!$K:$K,'Таблиця 1'!$B:$B,$A516,'Таблиця 1'!$I:$I,"F-16",'Таблиця 1'!$J:$J,"GBU-64")+SUMIFS('Таблиця 1'!$K:$K,'Таблиця 1'!$B:$B,$A516,'Таблиця 1'!$I:$I,"МіГ-29",'Таблиця 1'!$J:$J,"GBU-64")+SUMIFS('Таблиця 1'!$K:$K,'Таблиця 1'!$B:$B,$A516,'Таблиця 1'!$I:$I,"Су-25",'Таблиця 1'!$J:$J,"GBU-64")+SUMIFS('Таблиця 1'!$K:$K,'Таблиця 1'!$B:$B,$A516,'Таблиця 1'!$I:$I,"Су-27",'Таблиця 1'!$J:$J,"GBU-64"))</f>
        <v/>
      </c>
      <c r="O516">
        <f>IF($A516="","",SUMIFS('Таблиця 1'!$K:$K,'Таблиця 1'!$B:$B,$A516,'Таблиця 1'!$I:$I,"Mirage",'Таблиця 1'!$J:$J,"C-13")+SUMIFS('Таблиця 1'!$K:$K,'Таблиця 1'!$B:$B,$A516,'Таблиця 1'!$I:$I,"F-16",'Таблиця 1'!$J:$J,"C-13")+SUMIFS('Таблиця 1'!$K:$K,'Таблиця 1'!$B:$B,$A516,'Таблиця 1'!$I:$I,"МіГ-29",'Таблиця 1'!$J:$J,"C-13")+SUMIFS('Таблиця 1'!$K:$K,'Таблиця 1'!$B:$B,$A516,'Таблиця 1'!$I:$I,"Су-25",'Таблиця 1'!$J:$J,"C-13")+SUMIFS('Таблиця 1'!$K:$K,'Таблиця 1'!$B:$B,$A516,'Таблиця 1'!$I:$I,"Су-27",'Таблиця 1'!$J:$J,"C-13"))</f>
        <v/>
      </c>
      <c r="P516">
        <f>IF($A516="","",SUMIFS('Таблиця 1'!$K:$K,'Таблиця 1'!$B:$B,$A516,'Таблиця 1'!$I:$I,"Mirage",'Таблиця 1'!$J:$J,"MK-32")+SUMIFS('Таблиця 1'!$K:$K,'Таблиця 1'!$B:$B,$A516,'Таблиця 1'!$I:$I,"F-16",'Таблиця 1'!$J:$J,"MK-32")+SUMIFS('Таблиця 1'!$K:$K,'Таблиця 1'!$B:$B,$A516,'Таблиця 1'!$I:$I,"МіГ-29",'Таблиця 1'!$J:$J,"MK-32")+SUMIFS('Таблиця 1'!$K:$K,'Таблиця 1'!$B:$B,$A516,'Таблиця 1'!$I:$I,"Су-25",'Таблиця 1'!$J:$J,"MK-32")+SUMIFS('Таблиця 1'!$K:$K,'Таблиця 1'!$B:$B,$A516,'Таблиця 1'!$I:$I,"Су-27",'Таблиця 1'!$J:$J,"MK-32"))</f>
        <v/>
      </c>
      <c r="Q516">
        <f>IF($A516="","",SUMIFS('Таблиця 1'!$K:$K,'Таблиця 1'!$B:$B,$A516,'Таблиця 1'!$I:$I,"Mirage",'Таблиця 1'!$J:$J,"MK-24")+SUMIFS('Таблиця 1'!$K:$K,'Таблиця 1'!$B:$B,$A516,'Таблиця 1'!$I:$I,"F-16",'Таблиця 1'!$J:$J,"MK-24")+SUMIFS('Таблиця 1'!$K:$K,'Таблиця 1'!$B:$B,$A516,'Таблиця 1'!$I:$I,"МіГ-29",'Таблиця 1'!$J:$J,"MK-24")+SUMIFS('Таблиця 1'!$K:$K,'Таблиця 1'!$B:$B,$A516,'Таблиця 1'!$I:$I,"Су-25",'Таблиця 1'!$J:$J,"MK-24")+SUMIFS('Таблиця 1'!$K:$K,'Таблиця 1'!$B:$B,$A516,'Таблиця 1'!$I:$I,"Су-27",'Таблиця 1'!$J:$J,"MK-24"))</f>
        <v/>
      </c>
      <c r="R516">
        <f>IF($A516="","",COUNTIFS('Таблиця 1'!$B:$B,$A516,'Таблиця 1'!$I:$I,"Mirage",'Таблиця 1'!$L:$L,"Уражено")+COUNTIFS('Таблиця 1'!$B:$B,$A516,'Таблиця 1'!$I:$I,"F-16",'Таблиця 1'!$L:$L,"Уражено")+COUNTIFS('Таблиця 1'!$B:$B,$A516,'Таблиця 1'!$I:$I,"МіГ-29",'Таблиця 1'!$L:$L,"Уражено")+COUNTIFS('Таблиця 1'!$B:$B,$A516,'Таблиця 1'!$I:$I,"Су-25",'Таблиця 1'!$L:$L,"Уражено")+COUNTIFS('Таблиця 1'!$B:$B,$A516,'Таблиця 1'!$I:$I,"Су-27",'Таблиця 1'!$L:$L,"Уражено"))</f>
        <v/>
      </c>
      <c r="S516">
        <f>IF($A516="","",COUNTIFS('Таблиця 1'!$B:$B,$A516,'Таблиця 1'!$I:$I,"Mirage",'Таблиця 1'!$L:$L,"НЕ уражено")+COUNTIFS('Таблиця 1'!$B:$B,$A516,'Таблиця 1'!$I:$I,"F-16",'Таблиця 1'!$L:$L,"НЕ уражено")+COUNTIFS('Таблиця 1'!$B:$B,$A516,'Таблиця 1'!$I:$I,"МіГ-29",'Таблиця 1'!$L:$L,"НЕ уражено")+COUNTIFS('Таблиця 1'!$B:$B,$A516,'Таблиця 1'!$I:$I,"Су-25",'Таблиця 1'!$L:$L,"НЕ уражено")+COUNTIFS('Таблиця 1'!$B:$B,$A516,'Таблиця 1'!$I:$I,"Су-27",'Таблиця 1'!$L:$L,"НЕ уражено"))</f>
        <v/>
      </c>
      <c r="T516">
        <f>IF($A516="","",COUNTIFS('Таблиця 1'!$B:$B,$A516,'Таблиця 1'!$I:$I,"Mirage",'Таблиця 1'!$L:$L,"Дорозвідується")+COUNTIFS('Таблиця 1'!$B:$B,$A516,'Таблиця 1'!$I:$I,"F-16",'Таблиця 1'!$L:$L,"Дорозвідується")+COUNTIFS('Таблиця 1'!$B:$B,$A516,'Таблиця 1'!$I:$I,"МіГ-29",'Таблиця 1'!$L:$L,"Дорозвідується")+COUNTIFS('Таблиця 1'!$B:$B,$A516,'Таблиця 1'!$I:$I,"Су-25",'Таблиця 1'!$L:$L,"Дорозвідується")+COUNTIFS('Таблиця 1'!$B:$B,$A516,'Таблиця 1'!$I:$I,"Су-27",'Таблиця 1'!$L:$L,"Дорозвідується"))</f>
        <v/>
      </c>
    </row>
    <row r="517">
      <c r="A517" s="273">
        <f>IF(A516="","",IF(A516+1&gt;MAX('Таблиця 1'!$B:$B),"",A516+1))</f>
        <v/>
      </c>
      <c r="B517">
        <f>IF($A517="","",COUNTIFS('Таблиця 1'!$B:$B,$A517,'Таблиця 1'!$I:$I,"Mirage")+COUNTIFS('Таблиця 1'!$B:$B,$A517,'Таблиця 1'!$I:$I,"F-16")+COUNTIFS('Таблиця 1'!$B:$B,$A517,'Таблиця 1'!$I:$I,"МіГ-29")+COUNTIFS('Таблиця 1'!$B:$B,$A517,'Таблиця 1'!$I:$I,"Су-25")+COUNTIFS('Таблиця 1'!$B:$B,$A517,'Таблиця 1'!$I:$I,"Су-27"))</f>
        <v/>
      </c>
      <c r="C517">
        <f>IF($A517="","",COUNTIFS('Таблиця 1'!$B:$B,$A517,'Таблиця 1'!$I:$I,"Mirage"))</f>
        <v/>
      </c>
      <c r="D517">
        <f>IF($A517="","",COUNTIFS('Таблиця 1'!$B:$B,$A517,'Таблиця 1'!$I:$I,"F-16"))</f>
        <v/>
      </c>
      <c r="E517">
        <f>IF($A517="","",COUNTIFS('Таблиця 1'!$B:$B,$A517,'Таблиця 1'!$I:$I,"МіГ-29"))</f>
        <v/>
      </c>
      <c r="F517">
        <f>IF($A517="","",COUNTIFS('Таблиця 1'!$B:$B,$A517,'Таблиця 1'!$I:$I,"Су-25"))</f>
        <v/>
      </c>
      <c r="G517">
        <f>IF($A517="","",COUNTIFS('Таблиця 1'!$B:$B,$A517,'Таблиця 1'!$I:$I,"Су-27"))</f>
        <v/>
      </c>
      <c r="H517">
        <f>IF($A517="","",SUMIFS('Таблиця 1'!$K:$K,'Таблиця 1'!$B:$B,$A517,'Таблиця 1'!$I:$I,"Mirage",'Таблиця 1'!$J:$J,"AGM-88")+SUMIFS('Таблиця 1'!$K:$K,'Таблиця 1'!$B:$B,$A517,'Таблиця 1'!$I:$I,"F-16",'Таблиця 1'!$J:$J,"AGM-88")+SUMIFS('Таблиця 1'!$K:$K,'Таблиця 1'!$B:$B,$A517,'Таблиця 1'!$I:$I,"МіГ-29",'Таблиця 1'!$J:$J,"AGM-88")+SUMIFS('Таблиця 1'!$K:$K,'Таблиця 1'!$B:$B,$A517,'Таблиця 1'!$I:$I,"Су-25",'Таблиця 1'!$J:$J,"AGM-88")+SUMIFS('Таблиця 1'!$K:$K,'Таблиця 1'!$B:$B,$A517,'Таблиця 1'!$I:$I,"Су-27",'Таблиця 1'!$J:$J,"AGM-88"))</f>
        <v/>
      </c>
      <c r="I517">
        <f>IF($A517="","",SUMIFS('Таблиця 1'!$K:$K,'Таблиця 1'!$B:$B,$A517,'Таблиця 1'!$I:$I,"Mirage",'Таблиця 1'!$J:$J,"AASM-250")+SUMIFS('Таблиця 1'!$K:$K,'Таблиця 1'!$B:$B,$A517,'Таблиця 1'!$I:$I,"F-16",'Таблиця 1'!$J:$J,"AASM-250")+SUMIFS('Таблиця 1'!$K:$K,'Таблиця 1'!$B:$B,$A517,'Таблиця 1'!$I:$I,"МіГ-29",'Таблиця 1'!$J:$J,"AASM-250")+SUMIFS('Таблиця 1'!$K:$K,'Таблиця 1'!$B:$B,$A517,'Таблиця 1'!$I:$I,"Су-25",'Таблиця 1'!$J:$J,"AASM-250")+SUMIFS('Таблиця 1'!$K:$K,'Таблиця 1'!$B:$B,$A517,'Таблиця 1'!$I:$I,"Су-27",'Таблиця 1'!$J:$J,"AASM-250"))</f>
        <v/>
      </c>
      <c r="J517">
        <f>IF($A517="","",SUMIFS('Таблиця 1'!$K:$K,'Таблиця 1'!$B:$B,$A517,'Таблиця 1'!$I:$I,"Mirage",'Таблиця 1'!$J:$J,"GBU-39")+SUMIFS('Таблиця 1'!$K:$K,'Таблиця 1'!$B:$B,$A517,'Таблиця 1'!$I:$I,"F-16",'Таблиця 1'!$J:$J,"GBU-39")+SUMIFS('Таблиця 1'!$K:$K,'Таблиця 1'!$B:$B,$A517,'Таблиця 1'!$I:$I,"МіГ-29",'Таблиця 1'!$J:$J,"GBU-39")+SUMIFS('Таблиця 1'!$K:$K,'Таблиця 1'!$B:$B,$A517,'Таблиця 1'!$I:$I,"Су-25",'Таблиця 1'!$J:$J,"GBU-39")+SUMIFS('Таблиця 1'!$K:$K,'Таблиця 1'!$B:$B,$A517,'Таблиця 1'!$I:$I,"Су-27",'Таблиця 1'!$J:$J,"GBU-39"))</f>
        <v/>
      </c>
      <c r="K517">
        <f>IF($A517="","",SUMIFS('Таблиця 1'!$K:$K,'Таблиця 1'!$B:$B,$A517,'Таблиця 1'!$I:$I,"Mirage",'Таблиця 1'!$J:$J,"BLU-140")+SUMIFS('Таблиця 1'!$K:$K,'Таблиця 1'!$B:$B,$A517,'Таблиця 1'!$I:$I,"F-16",'Таблиця 1'!$J:$J,"BLU-140")+SUMIFS('Таблиця 1'!$K:$K,'Таблиця 1'!$B:$B,$A517,'Таблиця 1'!$I:$I,"МіГ-29",'Таблиця 1'!$J:$J,"BLU-140")+SUMIFS('Таблиця 1'!$K:$K,'Таблиця 1'!$B:$B,$A517,'Таблиця 1'!$I:$I,"Су-25",'Таблиця 1'!$J:$J,"BLU-140")+SUMIFS('Таблиця 1'!$K:$K,'Таблиця 1'!$B:$B,$A517,'Таблиця 1'!$I:$I,"Су-27",'Таблиця 1'!$J:$J,"BLU-140"))</f>
        <v/>
      </c>
      <c r="L517">
        <f>IF($A517="","",SUMIFS('Таблиця 1'!$K:$K,'Таблиця 1'!$B:$B,$A517,'Таблиця 1'!$I:$I,"Mirage",'Таблиця 1'!$J:$J,"GBU-65")+SUMIFS('Таблиця 1'!$K:$K,'Таблиця 1'!$B:$B,$A517,'Таблиця 1'!$I:$I,"F-16",'Таблиця 1'!$J:$J,"GBU-65")+SUMIFS('Таблиця 1'!$K:$K,'Таблиця 1'!$B:$B,$A517,'Таблиця 1'!$I:$I,"МіГ-29",'Таблиця 1'!$J:$J,"GBU-65")+SUMIFS('Таблиця 1'!$K:$K,'Таблиця 1'!$B:$B,$A517,'Таблиця 1'!$I:$I,"Су-25",'Таблиця 1'!$J:$J,"GBU-65")+SUMIFS('Таблиця 1'!$K:$K,'Таблиця 1'!$B:$B,$A517,'Таблиця 1'!$I:$I,"Су-27",'Таблиця 1'!$J:$J,"GBU-65"))</f>
        <v/>
      </c>
      <c r="M517">
        <f>IF($A517="","",SUMIFS('Таблиця 1'!$K:$K,'Таблиця 1'!$B:$B,$A517,'Таблиця 1'!$I:$I,"Mirage",'Таблиця 1'!$J:$J,"GBU-62")+SUMIFS('Таблиця 1'!$K:$K,'Таблиця 1'!$B:$B,$A517,'Таблиця 1'!$I:$I,"F-16",'Таблиця 1'!$J:$J,"GBU-62")+SUMIFS('Таблиця 1'!$K:$K,'Таблиця 1'!$B:$B,$A517,'Таблиця 1'!$I:$I,"МіГ-29",'Таблиця 1'!$J:$J,"GBU-62")+SUMIFS('Таблиця 1'!$K:$K,'Таблиця 1'!$B:$B,$A517,'Таблиця 1'!$I:$I,"Су-25",'Таблиця 1'!$J:$J,"GBU-62")+SUMIFS('Таблиця 1'!$K:$K,'Таблиця 1'!$B:$B,$A517,'Таблиця 1'!$I:$I,"Су-27",'Таблиця 1'!$J:$J,"GBU-62"))</f>
        <v/>
      </c>
      <c r="N517">
        <f>IF($A517="","",SUMIFS('Таблиця 1'!$K:$K,'Таблиця 1'!$B:$B,$A517,'Таблиця 1'!$I:$I,"Mirage",'Таблиця 1'!$J:$J,"GBU-64")+SUMIFS('Таблиця 1'!$K:$K,'Таблиця 1'!$B:$B,$A517,'Таблиця 1'!$I:$I,"F-16",'Таблиця 1'!$J:$J,"GBU-64")+SUMIFS('Таблиця 1'!$K:$K,'Таблиця 1'!$B:$B,$A517,'Таблиця 1'!$I:$I,"МіГ-29",'Таблиця 1'!$J:$J,"GBU-64")+SUMIFS('Таблиця 1'!$K:$K,'Таблиця 1'!$B:$B,$A517,'Таблиця 1'!$I:$I,"Су-25",'Таблиця 1'!$J:$J,"GBU-64")+SUMIFS('Таблиця 1'!$K:$K,'Таблиця 1'!$B:$B,$A517,'Таблиця 1'!$I:$I,"Су-27",'Таблиця 1'!$J:$J,"GBU-64"))</f>
        <v/>
      </c>
      <c r="O517">
        <f>IF($A517="","",SUMIFS('Таблиця 1'!$K:$K,'Таблиця 1'!$B:$B,$A517,'Таблиця 1'!$I:$I,"Mirage",'Таблиця 1'!$J:$J,"C-13")+SUMIFS('Таблиця 1'!$K:$K,'Таблиця 1'!$B:$B,$A517,'Таблиця 1'!$I:$I,"F-16",'Таблиця 1'!$J:$J,"C-13")+SUMIFS('Таблиця 1'!$K:$K,'Таблиця 1'!$B:$B,$A517,'Таблиця 1'!$I:$I,"МіГ-29",'Таблиця 1'!$J:$J,"C-13")+SUMIFS('Таблиця 1'!$K:$K,'Таблиця 1'!$B:$B,$A517,'Таблиця 1'!$I:$I,"Су-25",'Таблиця 1'!$J:$J,"C-13")+SUMIFS('Таблиця 1'!$K:$K,'Таблиця 1'!$B:$B,$A517,'Таблиця 1'!$I:$I,"Су-27",'Таблиця 1'!$J:$J,"C-13"))</f>
        <v/>
      </c>
      <c r="P517">
        <f>IF($A517="","",SUMIFS('Таблиця 1'!$K:$K,'Таблиця 1'!$B:$B,$A517,'Таблиця 1'!$I:$I,"Mirage",'Таблиця 1'!$J:$J,"MK-32")+SUMIFS('Таблиця 1'!$K:$K,'Таблиця 1'!$B:$B,$A517,'Таблиця 1'!$I:$I,"F-16",'Таблиця 1'!$J:$J,"MK-32")+SUMIFS('Таблиця 1'!$K:$K,'Таблиця 1'!$B:$B,$A517,'Таблиця 1'!$I:$I,"МіГ-29",'Таблиця 1'!$J:$J,"MK-32")+SUMIFS('Таблиця 1'!$K:$K,'Таблиця 1'!$B:$B,$A517,'Таблиця 1'!$I:$I,"Су-25",'Таблиця 1'!$J:$J,"MK-32")+SUMIFS('Таблиця 1'!$K:$K,'Таблиця 1'!$B:$B,$A517,'Таблиця 1'!$I:$I,"Су-27",'Таблиця 1'!$J:$J,"MK-32"))</f>
        <v/>
      </c>
      <c r="Q517">
        <f>IF($A517="","",SUMIFS('Таблиця 1'!$K:$K,'Таблиця 1'!$B:$B,$A517,'Таблиця 1'!$I:$I,"Mirage",'Таблиця 1'!$J:$J,"MK-24")+SUMIFS('Таблиця 1'!$K:$K,'Таблиця 1'!$B:$B,$A517,'Таблиця 1'!$I:$I,"F-16",'Таблиця 1'!$J:$J,"MK-24")+SUMIFS('Таблиця 1'!$K:$K,'Таблиця 1'!$B:$B,$A517,'Таблиця 1'!$I:$I,"МіГ-29",'Таблиця 1'!$J:$J,"MK-24")+SUMIFS('Таблиця 1'!$K:$K,'Таблиця 1'!$B:$B,$A517,'Таблиця 1'!$I:$I,"Су-25",'Таблиця 1'!$J:$J,"MK-24")+SUMIFS('Таблиця 1'!$K:$K,'Таблиця 1'!$B:$B,$A517,'Таблиця 1'!$I:$I,"Су-27",'Таблиця 1'!$J:$J,"MK-24"))</f>
        <v/>
      </c>
      <c r="R517">
        <f>IF($A517="","",COUNTIFS('Таблиця 1'!$B:$B,$A517,'Таблиця 1'!$I:$I,"Mirage",'Таблиця 1'!$L:$L,"Уражено")+COUNTIFS('Таблиця 1'!$B:$B,$A517,'Таблиця 1'!$I:$I,"F-16",'Таблиця 1'!$L:$L,"Уражено")+COUNTIFS('Таблиця 1'!$B:$B,$A517,'Таблиця 1'!$I:$I,"МіГ-29",'Таблиця 1'!$L:$L,"Уражено")+COUNTIFS('Таблиця 1'!$B:$B,$A517,'Таблиця 1'!$I:$I,"Су-25",'Таблиця 1'!$L:$L,"Уражено")+COUNTIFS('Таблиця 1'!$B:$B,$A517,'Таблиця 1'!$I:$I,"Су-27",'Таблиця 1'!$L:$L,"Уражено"))</f>
        <v/>
      </c>
      <c r="S517">
        <f>IF($A517="","",COUNTIFS('Таблиця 1'!$B:$B,$A517,'Таблиця 1'!$I:$I,"Mirage",'Таблиця 1'!$L:$L,"НЕ уражено")+COUNTIFS('Таблиця 1'!$B:$B,$A517,'Таблиця 1'!$I:$I,"F-16",'Таблиця 1'!$L:$L,"НЕ уражено")+COUNTIFS('Таблиця 1'!$B:$B,$A517,'Таблиця 1'!$I:$I,"МіГ-29",'Таблиця 1'!$L:$L,"НЕ уражено")+COUNTIFS('Таблиця 1'!$B:$B,$A517,'Таблиця 1'!$I:$I,"Су-25",'Таблиця 1'!$L:$L,"НЕ уражено")+COUNTIFS('Таблиця 1'!$B:$B,$A517,'Таблиця 1'!$I:$I,"Су-27",'Таблиця 1'!$L:$L,"НЕ уражено"))</f>
        <v/>
      </c>
      <c r="T517">
        <f>IF($A517="","",COUNTIFS('Таблиця 1'!$B:$B,$A517,'Таблиця 1'!$I:$I,"Mirage",'Таблиця 1'!$L:$L,"Дорозвідується")+COUNTIFS('Таблиця 1'!$B:$B,$A517,'Таблиця 1'!$I:$I,"F-16",'Таблиця 1'!$L:$L,"Дорозвідується")+COUNTIFS('Таблиця 1'!$B:$B,$A517,'Таблиця 1'!$I:$I,"МіГ-29",'Таблиця 1'!$L:$L,"Дорозвідується")+COUNTIFS('Таблиця 1'!$B:$B,$A517,'Таблиця 1'!$I:$I,"Су-25",'Таблиця 1'!$L:$L,"Дорозвідується")+COUNTIFS('Таблиця 1'!$B:$B,$A517,'Таблиця 1'!$I:$I,"Су-27",'Таблиця 1'!$L:$L,"Дорозвідується"))</f>
        <v/>
      </c>
    </row>
    <row r="518">
      <c r="A518" s="273">
        <f>IF(A517="","",IF(A517+1&gt;MAX('Таблиця 1'!$B:$B),"",A517+1))</f>
        <v/>
      </c>
      <c r="B518">
        <f>IF($A518="","",COUNTIFS('Таблиця 1'!$B:$B,$A518,'Таблиця 1'!$I:$I,"Mirage")+COUNTIFS('Таблиця 1'!$B:$B,$A518,'Таблиця 1'!$I:$I,"F-16")+COUNTIFS('Таблиця 1'!$B:$B,$A518,'Таблиця 1'!$I:$I,"МіГ-29")+COUNTIFS('Таблиця 1'!$B:$B,$A518,'Таблиця 1'!$I:$I,"Су-25")+COUNTIFS('Таблиця 1'!$B:$B,$A518,'Таблиця 1'!$I:$I,"Су-27"))</f>
        <v/>
      </c>
      <c r="C518">
        <f>IF($A518="","",COUNTIFS('Таблиця 1'!$B:$B,$A518,'Таблиця 1'!$I:$I,"Mirage"))</f>
        <v/>
      </c>
      <c r="D518">
        <f>IF($A518="","",COUNTIFS('Таблиця 1'!$B:$B,$A518,'Таблиця 1'!$I:$I,"F-16"))</f>
        <v/>
      </c>
      <c r="E518">
        <f>IF($A518="","",COUNTIFS('Таблиця 1'!$B:$B,$A518,'Таблиця 1'!$I:$I,"МіГ-29"))</f>
        <v/>
      </c>
      <c r="F518">
        <f>IF($A518="","",COUNTIFS('Таблиця 1'!$B:$B,$A518,'Таблиця 1'!$I:$I,"Су-25"))</f>
        <v/>
      </c>
      <c r="G518">
        <f>IF($A518="","",COUNTIFS('Таблиця 1'!$B:$B,$A518,'Таблиця 1'!$I:$I,"Су-27"))</f>
        <v/>
      </c>
      <c r="H518">
        <f>IF($A518="","",SUMIFS('Таблиця 1'!$K:$K,'Таблиця 1'!$B:$B,$A518,'Таблиця 1'!$I:$I,"Mirage",'Таблиця 1'!$J:$J,"AGM-88")+SUMIFS('Таблиця 1'!$K:$K,'Таблиця 1'!$B:$B,$A518,'Таблиця 1'!$I:$I,"F-16",'Таблиця 1'!$J:$J,"AGM-88")+SUMIFS('Таблиця 1'!$K:$K,'Таблиця 1'!$B:$B,$A518,'Таблиця 1'!$I:$I,"МіГ-29",'Таблиця 1'!$J:$J,"AGM-88")+SUMIFS('Таблиця 1'!$K:$K,'Таблиця 1'!$B:$B,$A518,'Таблиця 1'!$I:$I,"Су-25",'Таблиця 1'!$J:$J,"AGM-88")+SUMIFS('Таблиця 1'!$K:$K,'Таблиця 1'!$B:$B,$A518,'Таблиця 1'!$I:$I,"Су-27",'Таблиця 1'!$J:$J,"AGM-88"))</f>
        <v/>
      </c>
      <c r="I518">
        <f>IF($A518="","",SUMIFS('Таблиця 1'!$K:$K,'Таблиця 1'!$B:$B,$A518,'Таблиця 1'!$I:$I,"Mirage",'Таблиця 1'!$J:$J,"AASM-250")+SUMIFS('Таблиця 1'!$K:$K,'Таблиця 1'!$B:$B,$A518,'Таблиця 1'!$I:$I,"F-16",'Таблиця 1'!$J:$J,"AASM-250")+SUMIFS('Таблиця 1'!$K:$K,'Таблиця 1'!$B:$B,$A518,'Таблиця 1'!$I:$I,"МіГ-29",'Таблиця 1'!$J:$J,"AASM-250")+SUMIFS('Таблиця 1'!$K:$K,'Таблиця 1'!$B:$B,$A518,'Таблиця 1'!$I:$I,"Су-25",'Таблиця 1'!$J:$J,"AASM-250")+SUMIFS('Таблиця 1'!$K:$K,'Таблиця 1'!$B:$B,$A518,'Таблиця 1'!$I:$I,"Су-27",'Таблиця 1'!$J:$J,"AASM-250"))</f>
        <v/>
      </c>
      <c r="J518">
        <f>IF($A518="","",SUMIFS('Таблиця 1'!$K:$K,'Таблиця 1'!$B:$B,$A518,'Таблиця 1'!$I:$I,"Mirage",'Таблиця 1'!$J:$J,"GBU-39")+SUMIFS('Таблиця 1'!$K:$K,'Таблиця 1'!$B:$B,$A518,'Таблиця 1'!$I:$I,"F-16",'Таблиця 1'!$J:$J,"GBU-39")+SUMIFS('Таблиця 1'!$K:$K,'Таблиця 1'!$B:$B,$A518,'Таблиця 1'!$I:$I,"МіГ-29",'Таблиця 1'!$J:$J,"GBU-39")+SUMIFS('Таблиця 1'!$K:$K,'Таблиця 1'!$B:$B,$A518,'Таблиця 1'!$I:$I,"Су-25",'Таблиця 1'!$J:$J,"GBU-39")+SUMIFS('Таблиця 1'!$K:$K,'Таблиця 1'!$B:$B,$A518,'Таблиця 1'!$I:$I,"Су-27",'Таблиця 1'!$J:$J,"GBU-39"))</f>
        <v/>
      </c>
      <c r="K518">
        <f>IF($A518="","",SUMIFS('Таблиця 1'!$K:$K,'Таблиця 1'!$B:$B,$A518,'Таблиця 1'!$I:$I,"Mirage",'Таблиця 1'!$J:$J,"BLU-140")+SUMIFS('Таблиця 1'!$K:$K,'Таблиця 1'!$B:$B,$A518,'Таблиця 1'!$I:$I,"F-16",'Таблиця 1'!$J:$J,"BLU-140")+SUMIFS('Таблиця 1'!$K:$K,'Таблиця 1'!$B:$B,$A518,'Таблиця 1'!$I:$I,"МіГ-29",'Таблиця 1'!$J:$J,"BLU-140")+SUMIFS('Таблиця 1'!$K:$K,'Таблиця 1'!$B:$B,$A518,'Таблиця 1'!$I:$I,"Су-25",'Таблиця 1'!$J:$J,"BLU-140")+SUMIFS('Таблиця 1'!$K:$K,'Таблиця 1'!$B:$B,$A518,'Таблиця 1'!$I:$I,"Су-27",'Таблиця 1'!$J:$J,"BLU-140"))</f>
        <v/>
      </c>
      <c r="L518">
        <f>IF($A518="","",SUMIFS('Таблиця 1'!$K:$K,'Таблиця 1'!$B:$B,$A518,'Таблиця 1'!$I:$I,"Mirage",'Таблиця 1'!$J:$J,"GBU-65")+SUMIFS('Таблиця 1'!$K:$K,'Таблиця 1'!$B:$B,$A518,'Таблиця 1'!$I:$I,"F-16",'Таблиця 1'!$J:$J,"GBU-65")+SUMIFS('Таблиця 1'!$K:$K,'Таблиця 1'!$B:$B,$A518,'Таблиця 1'!$I:$I,"МіГ-29",'Таблиця 1'!$J:$J,"GBU-65")+SUMIFS('Таблиця 1'!$K:$K,'Таблиця 1'!$B:$B,$A518,'Таблиця 1'!$I:$I,"Су-25",'Таблиця 1'!$J:$J,"GBU-65")+SUMIFS('Таблиця 1'!$K:$K,'Таблиця 1'!$B:$B,$A518,'Таблиця 1'!$I:$I,"Су-27",'Таблиця 1'!$J:$J,"GBU-65"))</f>
        <v/>
      </c>
      <c r="M518">
        <f>IF($A518="","",SUMIFS('Таблиця 1'!$K:$K,'Таблиця 1'!$B:$B,$A518,'Таблиця 1'!$I:$I,"Mirage",'Таблиця 1'!$J:$J,"GBU-62")+SUMIFS('Таблиця 1'!$K:$K,'Таблиця 1'!$B:$B,$A518,'Таблиця 1'!$I:$I,"F-16",'Таблиця 1'!$J:$J,"GBU-62")+SUMIFS('Таблиця 1'!$K:$K,'Таблиця 1'!$B:$B,$A518,'Таблиця 1'!$I:$I,"МіГ-29",'Таблиця 1'!$J:$J,"GBU-62")+SUMIFS('Таблиця 1'!$K:$K,'Таблиця 1'!$B:$B,$A518,'Таблиця 1'!$I:$I,"Су-25",'Таблиця 1'!$J:$J,"GBU-62")+SUMIFS('Таблиця 1'!$K:$K,'Таблиця 1'!$B:$B,$A518,'Таблиця 1'!$I:$I,"Су-27",'Таблиця 1'!$J:$J,"GBU-62"))</f>
        <v/>
      </c>
      <c r="N518">
        <f>IF($A518="","",SUMIFS('Таблиця 1'!$K:$K,'Таблиця 1'!$B:$B,$A518,'Таблиця 1'!$I:$I,"Mirage",'Таблиця 1'!$J:$J,"GBU-64")+SUMIFS('Таблиця 1'!$K:$K,'Таблиця 1'!$B:$B,$A518,'Таблиця 1'!$I:$I,"F-16",'Таблиця 1'!$J:$J,"GBU-64")+SUMIFS('Таблиця 1'!$K:$K,'Таблиця 1'!$B:$B,$A518,'Таблиця 1'!$I:$I,"МіГ-29",'Таблиця 1'!$J:$J,"GBU-64")+SUMIFS('Таблиця 1'!$K:$K,'Таблиця 1'!$B:$B,$A518,'Таблиця 1'!$I:$I,"Су-25",'Таблиця 1'!$J:$J,"GBU-64")+SUMIFS('Таблиця 1'!$K:$K,'Таблиця 1'!$B:$B,$A518,'Таблиця 1'!$I:$I,"Су-27",'Таблиця 1'!$J:$J,"GBU-64"))</f>
        <v/>
      </c>
      <c r="O518">
        <f>IF($A518="","",SUMIFS('Таблиця 1'!$K:$K,'Таблиця 1'!$B:$B,$A518,'Таблиця 1'!$I:$I,"Mirage",'Таблиця 1'!$J:$J,"C-13")+SUMIFS('Таблиця 1'!$K:$K,'Таблиця 1'!$B:$B,$A518,'Таблиця 1'!$I:$I,"F-16",'Таблиця 1'!$J:$J,"C-13")+SUMIFS('Таблиця 1'!$K:$K,'Таблиця 1'!$B:$B,$A518,'Таблиця 1'!$I:$I,"МіГ-29",'Таблиця 1'!$J:$J,"C-13")+SUMIFS('Таблиця 1'!$K:$K,'Таблиця 1'!$B:$B,$A518,'Таблиця 1'!$I:$I,"Су-25",'Таблиця 1'!$J:$J,"C-13")+SUMIFS('Таблиця 1'!$K:$K,'Таблиця 1'!$B:$B,$A518,'Таблиця 1'!$I:$I,"Су-27",'Таблиця 1'!$J:$J,"C-13"))</f>
        <v/>
      </c>
      <c r="P518">
        <f>IF($A518="","",SUMIFS('Таблиця 1'!$K:$K,'Таблиця 1'!$B:$B,$A518,'Таблиця 1'!$I:$I,"Mirage",'Таблиця 1'!$J:$J,"MK-32")+SUMIFS('Таблиця 1'!$K:$K,'Таблиця 1'!$B:$B,$A518,'Таблиця 1'!$I:$I,"F-16",'Таблиця 1'!$J:$J,"MK-32")+SUMIFS('Таблиця 1'!$K:$K,'Таблиця 1'!$B:$B,$A518,'Таблиця 1'!$I:$I,"МіГ-29",'Таблиця 1'!$J:$J,"MK-32")+SUMIFS('Таблиця 1'!$K:$K,'Таблиця 1'!$B:$B,$A518,'Таблиця 1'!$I:$I,"Су-25",'Таблиця 1'!$J:$J,"MK-32")+SUMIFS('Таблиця 1'!$K:$K,'Таблиця 1'!$B:$B,$A518,'Таблиця 1'!$I:$I,"Су-27",'Таблиця 1'!$J:$J,"MK-32"))</f>
        <v/>
      </c>
      <c r="Q518">
        <f>IF($A518="","",SUMIFS('Таблиця 1'!$K:$K,'Таблиця 1'!$B:$B,$A518,'Таблиця 1'!$I:$I,"Mirage",'Таблиця 1'!$J:$J,"MK-24")+SUMIFS('Таблиця 1'!$K:$K,'Таблиця 1'!$B:$B,$A518,'Таблиця 1'!$I:$I,"F-16",'Таблиця 1'!$J:$J,"MK-24")+SUMIFS('Таблиця 1'!$K:$K,'Таблиця 1'!$B:$B,$A518,'Таблиця 1'!$I:$I,"МіГ-29",'Таблиця 1'!$J:$J,"MK-24")+SUMIFS('Таблиця 1'!$K:$K,'Таблиця 1'!$B:$B,$A518,'Таблиця 1'!$I:$I,"Су-25",'Таблиця 1'!$J:$J,"MK-24")+SUMIFS('Таблиця 1'!$K:$K,'Таблиця 1'!$B:$B,$A518,'Таблиця 1'!$I:$I,"Су-27",'Таблиця 1'!$J:$J,"MK-24"))</f>
        <v/>
      </c>
      <c r="R518">
        <f>IF($A518="","",COUNTIFS('Таблиця 1'!$B:$B,$A518,'Таблиця 1'!$I:$I,"Mirage",'Таблиця 1'!$L:$L,"Уражено")+COUNTIFS('Таблиця 1'!$B:$B,$A518,'Таблиця 1'!$I:$I,"F-16",'Таблиця 1'!$L:$L,"Уражено")+COUNTIFS('Таблиця 1'!$B:$B,$A518,'Таблиця 1'!$I:$I,"МіГ-29",'Таблиця 1'!$L:$L,"Уражено")+COUNTIFS('Таблиця 1'!$B:$B,$A518,'Таблиця 1'!$I:$I,"Су-25",'Таблиця 1'!$L:$L,"Уражено")+COUNTIFS('Таблиця 1'!$B:$B,$A518,'Таблиця 1'!$I:$I,"Су-27",'Таблиця 1'!$L:$L,"Уражено"))</f>
        <v/>
      </c>
      <c r="S518">
        <f>IF($A518="","",COUNTIFS('Таблиця 1'!$B:$B,$A518,'Таблиця 1'!$I:$I,"Mirage",'Таблиця 1'!$L:$L,"НЕ уражено")+COUNTIFS('Таблиця 1'!$B:$B,$A518,'Таблиця 1'!$I:$I,"F-16",'Таблиця 1'!$L:$L,"НЕ уражено")+COUNTIFS('Таблиця 1'!$B:$B,$A518,'Таблиця 1'!$I:$I,"МіГ-29",'Таблиця 1'!$L:$L,"НЕ уражено")+COUNTIFS('Таблиця 1'!$B:$B,$A518,'Таблиця 1'!$I:$I,"Су-25",'Таблиця 1'!$L:$L,"НЕ уражено")+COUNTIFS('Таблиця 1'!$B:$B,$A518,'Таблиця 1'!$I:$I,"Су-27",'Таблиця 1'!$L:$L,"НЕ уражено"))</f>
        <v/>
      </c>
      <c r="T518">
        <f>IF($A518="","",COUNTIFS('Таблиця 1'!$B:$B,$A518,'Таблиця 1'!$I:$I,"Mirage",'Таблиця 1'!$L:$L,"Дорозвідується")+COUNTIFS('Таблиця 1'!$B:$B,$A518,'Таблиця 1'!$I:$I,"F-16",'Таблиця 1'!$L:$L,"Дорозвідується")+COUNTIFS('Таблиця 1'!$B:$B,$A518,'Таблиця 1'!$I:$I,"МіГ-29",'Таблиця 1'!$L:$L,"Дорозвідується")+COUNTIFS('Таблиця 1'!$B:$B,$A518,'Таблиця 1'!$I:$I,"Су-25",'Таблиця 1'!$L:$L,"Дорозвідується")+COUNTIFS('Таблиця 1'!$B:$B,$A518,'Таблиця 1'!$I:$I,"Су-27",'Таблиця 1'!$L:$L,"Дорозвідується"))</f>
        <v/>
      </c>
    </row>
    <row r="519">
      <c r="A519" s="273">
        <f>IF(A518="","",IF(A518+1&gt;MAX('Таблиця 1'!$B:$B),"",A518+1))</f>
        <v/>
      </c>
      <c r="B519">
        <f>IF($A519="","",COUNTIFS('Таблиця 1'!$B:$B,$A519,'Таблиця 1'!$I:$I,"Mirage")+COUNTIFS('Таблиця 1'!$B:$B,$A519,'Таблиця 1'!$I:$I,"F-16")+COUNTIFS('Таблиця 1'!$B:$B,$A519,'Таблиця 1'!$I:$I,"МіГ-29")+COUNTIFS('Таблиця 1'!$B:$B,$A519,'Таблиця 1'!$I:$I,"Су-25")+COUNTIFS('Таблиця 1'!$B:$B,$A519,'Таблиця 1'!$I:$I,"Су-27"))</f>
        <v/>
      </c>
      <c r="C519">
        <f>IF($A519="","",COUNTIFS('Таблиця 1'!$B:$B,$A519,'Таблиця 1'!$I:$I,"Mirage"))</f>
        <v/>
      </c>
      <c r="D519">
        <f>IF($A519="","",COUNTIFS('Таблиця 1'!$B:$B,$A519,'Таблиця 1'!$I:$I,"F-16"))</f>
        <v/>
      </c>
      <c r="E519">
        <f>IF($A519="","",COUNTIFS('Таблиця 1'!$B:$B,$A519,'Таблиця 1'!$I:$I,"МіГ-29"))</f>
        <v/>
      </c>
      <c r="F519">
        <f>IF($A519="","",COUNTIFS('Таблиця 1'!$B:$B,$A519,'Таблиця 1'!$I:$I,"Су-25"))</f>
        <v/>
      </c>
      <c r="G519">
        <f>IF($A519="","",COUNTIFS('Таблиця 1'!$B:$B,$A519,'Таблиця 1'!$I:$I,"Су-27"))</f>
        <v/>
      </c>
      <c r="H519">
        <f>IF($A519="","",SUMIFS('Таблиця 1'!$K:$K,'Таблиця 1'!$B:$B,$A519,'Таблиця 1'!$I:$I,"Mirage",'Таблиця 1'!$J:$J,"AGM-88")+SUMIFS('Таблиця 1'!$K:$K,'Таблиця 1'!$B:$B,$A519,'Таблиця 1'!$I:$I,"F-16",'Таблиця 1'!$J:$J,"AGM-88")+SUMIFS('Таблиця 1'!$K:$K,'Таблиця 1'!$B:$B,$A519,'Таблиця 1'!$I:$I,"МіГ-29",'Таблиця 1'!$J:$J,"AGM-88")+SUMIFS('Таблиця 1'!$K:$K,'Таблиця 1'!$B:$B,$A519,'Таблиця 1'!$I:$I,"Су-25",'Таблиця 1'!$J:$J,"AGM-88")+SUMIFS('Таблиця 1'!$K:$K,'Таблиця 1'!$B:$B,$A519,'Таблиця 1'!$I:$I,"Су-27",'Таблиця 1'!$J:$J,"AGM-88"))</f>
        <v/>
      </c>
      <c r="I519">
        <f>IF($A519="","",SUMIFS('Таблиця 1'!$K:$K,'Таблиця 1'!$B:$B,$A519,'Таблиця 1'!$I:$I,"Mirage",'Таблиця 1'!$J:$J,"AASM-250")+SUMIFS('Таблиця 1'!$K:$K,'Таблиця 1'!$B:$B,$A519,'Таблиця 1'!$I:$I,"F-16",'Таблиця 1'!$J:$J,"AASM-250")+SUMIFS('Таблиця 1'!$K:$K,'Таблиця 1'!$B:$B,$A519,'Таблиця 1'!$I:$I,"МіГ-29",'Таблиця 1'!$J:$J,"AASM-250")+SUMIFS('Таблиця 1'!$K:$K,'Таблиця 1'!$B:$B,$A519,'Таблиця 1'!$I:$I,"Су-25",'Таблиця 1'!$J:$J,"AASM-250")+SUMIFS('Таблиця 1'!$K:$K,'Таблиця 1'!$B:$B,$A519,'Таблиця 1'!$I:$I,"Су-27",'Таблиця 1'!$J:$J,"AASM-250"))</f>
        <v/>
      </c>
      <c r="J519">
        <f>IF($A519="","",SUMIFS('Таблиця 1'!$K:$K,'Таблиця 1'!$B:$B,$A519,'Таблиця 1'!$I:$I,"Mirage",'Таблиця 1'!$J:$J,"GBU-39")+SUMIFS('Таблиця 1'!$K:$K,'Таблиця 1'!$B:$B,$A519,'Таблиця 1'!$I:$I,"F-16",'Таблиця 1'!$J:$J,"GBU-39")+SUMIFS('Таблиця 1'!$K:$K,'Таблиця 1'!$B:$B,$A519,'Таблиця 1'!$I:$I,"МіГ-29",'Таблиця 1'!$J:$J,"GBU-39")+SUMIFS('Таблиця 1'!$K:$K,'Таблиця 1'!$B:$B,$A519,'Таблиця 1'!$I:$I,"Су-25",'Таблиця 1'!$J:$J,"GBU-39")+SUMIFS('Таблиця 1'!$K:$K,'Таблиця 1'!$B:$B,$A519,'Таблиця 1'!$I:$I,"Су-27",'Таблиця 1'!$J:$J,"GBU-39"))</f>
        <v/>
      </c>
      <c r="K519">
        <f>IF($A519="","",SUMIFS('Таблиця 1'!$K:$K,'Таблиця 1'!$B:$B,$A519,'Таблиця 1'!$I:$I,"Mirage",'Таблиця 1'!$J:$J,"BLU-140")+SUMIFS('Таблиця 1'!$K:$K,'Таблиця 1'!$B:$B,$A519,'Таблиця 1'!$I:$I,"F-16",'Таблиця 1'!$J:$J,"BLU-140")+SUMIFS('Таблиця 1'!$K:$K,'Таблиця 1'!$B:$B,$A519,'Таблиця 1'!$I:$I,"МіГ-29",'Таблиця 1'!$J:$J,"BLU-140")+SUMIFS('Таблиця 1'!$K:$K,'Таблиця 1'!$B:$B,$A519,'Таблиця 1'!$I:$I,"Су-25",'Таблиця 1'!$J:$J,"BLU-140")+SUMIFS('Таблиця 1'!$K:$K,'Таблиця 1'!$B:$B,$A519,'Таблиця 1'!$I:$I,"Су-27",'Таблиця 1'!$J:$J,"BLU-140"))</f>
        <v/>
      </c>
      <c r="L519">
        <f>IF($A519="","",SUMIFS('Таблиця 1'!$K:$K,'Таблиця 1'!$B:$B,$A519,'Таблиця 1'!$I:$I,"Mirage",'Таблиця 1'!$J:$J,"GBU-65")+SUMIFS('Таблиця 1'!$K:$K,'Таблиця 1'!$B:$B,$A519,'Таблиця 1'!$I:$I,"F-16",'Таблиця 1'!$J:$J,"GBU-65")+SUMIFS('Таблиця 1'!$K:$K,'Таблиця 1'!$B:$B,$A519,'Таблиця 1'!$I:$I,"МіГ-29",'Таблиця 1'!$J:$J,"GBU-65")+SUMIFS('Таблиця 1'!$K:$K,'Таблиця 1'!$B:$B,$A519,'Таблиця 1'!$I:$I,"Су-25",'Таблиця 1'!$J:$J,"GBU-65")+SUMIFS('Таблиця 1'!$K:$K,'Таблиця 1'!$B:$B,$A519,'Таблиця 1'!$I:$I,"Су-27",'Таблиця 1'!$J:$J,"GBU-65"))</f>
        <v/>
      </c>
      <c r="M519">
        <f>IF($A519="","",SUMIFS('Таблиця 1'!$K:$K,'Таблиця 1'!$B:$B,$A519,'Таблиця 1'!$I:$I,"Mirage",'Таблиця 1'!$J:$J,"GBU-62")+SUMIFS('Таблиця 1'!$K:$K,'Таблиця 1'!$B:$B,$A519,'Таблиця 1'!$I:$I,"F-16",'Таблиця 1'!$J:$J,"GBU-62")+SUMIFS('Таблиця 1'!$K:$K,'Таблиця 1'!$B:$B,$A519,'Таблиця 1'!$I:$I,"МіГ-29",'Таблиця 1'!$J:$J,"GBU-62")+SUMIFS('Таблиця 1'!$K:$K,'Таблиця 1'!$B:$B,$A519,'Таблиця 1'!$I:$I,"Су-25",'Таблиця 1'!$J:$J,"GBU-62")+SUMIFS('Таблиця 1'!$K:$K,'Таблиця 1'!$B:$B,$A519,'Таблиця 1'!$I:$I,"Су-27",'Таблиця 1'!$J:$J,"GBU-62"))</f>
        <v/>
      </c>
      <c r="N519">
        <f>IF($A519="","",SUMIFS('Таблиця 1'!$K:$K,'Таблиця 1'!$B:$B,$A519,'Таблиця 1'!$I:$I,"Mirage",'Таблиця 1'!$J:$J,"GBU-64")+SUMIFS('Таблиця 1'!$K:$K,'Таблиця 1'!$B:$B,$A519,'Таблиця 1'!$I:$I,"F-16",'Таблиця 1'!$J:$J,"GBU-64")+SUMIFS('Таблиця 1'!$K:$K,'Таблиця 1'!$B:$B,$A519,'Таблиця 1'!$I:$I,"МіГ-29",'Таблиця 1'!$J:$J,"GBU-64")+SUMIFS('Таблиця 1'!$K:$K,'Таблиця 1'!$B:$B,$A519,'Таблиця 1'!$I:$I,"Су-25",'Таблиця 1'!$J:$J,"GBU-64")+SUMIFS('Таблиця 1'!$K:$K,'Таблиця 1'!$B:$B,$A519,'Таблиця 1'!$I:$I,"Су-27",'Таблиця 1'!$J:$J,"GBU-64"))</f>
        <v/>
      </c>
      <c r="O519">
        <f>IF($A519="","",SUMIFS('Таблиця 1'!$K:$K,'Таблиця 1'!$B:$B,$A519,'Таблиця 1'!$I:$I,"Mirage",'Таблиця 1'!$J:$J,"C-13")+SUMIFS('Таблиця 1'!$K:$K,'Таблиця 1'!$B:$B,$A519,'Таблиця 1'!$I:$I,"F-16",'Таблиця 1'!$J:$J,"C-13")+SUMIFS('Таблиця 1'!$K:$K,'Таблиця 1'!$B:$B,$A519,'Таблиця 1'!$I:$I,"МіГ-29",'Таблиця 1'!$J:$J,"C-13")+SUMIFS('Таблиця 1'!$K:$K,'Таблиця 1'!$B:$B,$A519,'Таблиця 1'!$I:$I,"Су-25",'Таблиця 1'!$J:$J,"C-13")+SUMIFS('Таблиця 1'!$K:$K,'Таблиця 1'!$B:$B,$A519,'Таблиця 1'!$I:$I,"Су-27",'Таблиця 1'!$J:$J,"C-13"))</f>
        <v/>
      </c>
      <c r="P519">
        <f>IF($A519="","",SUMIFS('Таблиця 1'!$K:$K,'Таблиця 1'!$B:$B,$A519,'Таблиця 1'!$I:$I,"Mirage",'Таблиця 1'!$J:$J,"MK-32")+SUMIFS('Таблиця 1'!$K:$K,'Таблиця 1'!$B:$B,$A519,'Таблиця 1'!$I:$I,"F-16",'Таблиця 1'!$J:$J,"MK-32")+SUMIFS('Таблиця 1'!$K:$K,'Таблиця 1'!$B:$B,$A519,'Таблиця 1'!$I:$I,"МіГ-29",'Таблиця 1'!$J:$J,"MK-32")+SUMIFS('Таблиця 1'!$K:$K,'Таблиця 1'!$B:$B,$A519,'Таблиця 1'!$I:$I,"Су-25",'Таблиця 1'!$J:$J,"MK-32")+SUMIFS('Таблиця 1'!$K:$K,'Таблиця 1'!$B:$B,$A519,'Таблиця 1'!$I:$I,"Су-27",'Таблиця 1'!$J:$J,"MK-32"))</f>
        <v/>
      </c>
      <c r="Q519">
        <f>IF($A519="","",SUMIFS('Таблиця 1'!$K:$K,'Таблиця 1'!$B:$B,$A519,'Таблиця 1'!$I:$I,"Mirage",'Таблиця 1'!$J:$J,"MK-24")+SUMIFS('Таблиця 1'!$K:$K,'Таблиця 1'!$B:$B,$A519,'Таблиця 1'!$I:$I,"F-16",'Таблиця 1'!$J:$J,"MK-24")+SUMIFS('Таблиця 1'!$K:$K,'Таблиця 1'!$B:$B,$A519,'Таблиця 1'!$I:$I,"МіГ-29",'Таблиця 1'!$J:$J,"MK-24")+SUMIFS('Таблиця 1'!$K:$K,'Таблиця 1'!$B:$B,$A519,'Таблиця 1'!$I:$I,"Су-25",'Таблиця 1'!$J:$J,"MK-24")+SUMIFS('Таблиця 1'!$K:$K,'Таблиця 1'!$B:$B,$A519,'Таблиця 1'!$I:$I,"Су-27",'Таблиця 1'!$J:$J,"MK-24"))</f>
        <v/>
      </c>
      <c r="R519">
        <f>IF($A519="","",COUNTIFS('Таблиця 1'!$B:$B,$A519,'Таблиця 1'!$I:$I,"Mirage",'Таблиця 1'!$L:$L,"Уражено")+COUNTIFS('Таблиця 1'!$B:$B,$A519,'Таблиця 1'!$I:$I,"F-16",'Таблиця 1'!$L:$L,"Уражено")+COUNTIFS('Таблиця 1'!$B:$B,$A519,'Таблиця 1'!$I:$I,"МіГ-29",'Таблиця 1'!$L:$L,"Уражено")+COUNTIFS('Таблиця 1'!$B:$B,$A519,'Таблиця 1'!$I:$I,"Су-25",'Таблиця 1'!$L:$L,"Уражено")+COUNTIFS('Таблиця 1'!$B:$B,$A519,'Таблиця 1'!$I:$I,"Су-27",'Таблиця 1'!$L:$L,"Уражено"))</f>
        <v/>
      </c>
      <c r="S519">
        <f>IF($A519="","",COUNTIFS('Таблиця 1'!$B:$B,$A519,'Таблиця 1'!$I:$I,"Mirage",'Таблиця 1'!$L:$L,"НЕ уражено")+COUNTIFS('Таблиця 1'!$B:$B,$A519,'Таблиця 1'!$I:$I,"F-16",'Таблиця 1'!$L:$L,"НЕ уражено")+COUNTIFS('Таблиця 1'!$B:$B,$A519,'Таблиця 1'!$I:$I,"МіГ-29",'Таблиця 1'!$L:$L,"НЕ уражено")+COUNTIFS('Таблиця 1'!$B:$B,$A519,'Таблиця 1'!$I:$I,"Су-25",'Таблиця 1'!$L:$L,"НЕ уражено")+COUNTIFS('Таблиця 1'!$B:$B,$A519,'Таблиця 1'!$I:$I,"Су-27",'Таблиця 1'!$L:$L,"НЕ уражено"))</f>
        <v/>
      </c>
      <c r="T519">
        <f>IF($A519="","",COUNTIFS('Таблиця 1'!$B:$B,$A519,'Таблиця 1'!$I:$I,"Mirage",'Таблиця 1'!$L:$L,"Дорозвідується")+COUNTIFS('Таблиця 1'!$B:$B,$A519,'Таблиця 1'!$I:$I,"F-16",'Таблиця 1'!$L:$L,"Дорозвідується")+COUNTIFS('Таблиця 1'!$B:$B,$A519,'Таблиця 1'!$I:$I,"МіГ-29",'Таблиця 1'!$L:$L,"Дорозвідується")+COUNTIFS('Таблиця 1'!$B:$B,$A519,'Таблиця 1'!$I:$I,"Су-25",'Таблиця 1'!$L:$L,"Дорозвідується")+COUNTIFS('Таблиця 1'!$B:$B,$A519,'Таблиця 1'!$I:$I,"Су-27",'Таблиця 1'!$L:$L,"Дорозвідується"))</f>
        <v/>
      </c>
    </row>
    <row r="520">
      <c r="A520" s="273">
        <f>IF(A519="","",IF(A519+1&gt;MAX('Таблиця 1'!$B:$B),"",A519+1))</f>
        <v/>
      </c>
      <c r="B520">
        <f>IF($A520="","",COUNTIFS('Таблиця 1'!$B:$B,$A520,'Таблиця 1'!$I:$I,"Mirage")+COUNTIFS('Таблиця 1'!$B:$B,$A520,'Таблиця 1'!$I:$I,"F-16")+COUNTIFS('Таблиця 1'!$B:$B,$A520,'Таблиця 1'!$I:$I,"МіГ-29")+COUNTIFS('Таблиця 1'!$B:$B,$A520,'Таблиця 1'!$I:$I,"Су-25")+COUNTIFS('Таблиця 1'!$B:$B,$A520,'Таблиця 1'!$I:$I,"Су-27"))</f>
        <v/>
      </c>
      <c r="C520">
        <f>IF($A520="","",COUNTIFS('Таблиця 1'!$B:$B,$A520,'Таблиця 1'!$I:$I,"Mirage"))</f>
        <v/>
      </c>
      <c r="D520">
        <f>IF($A520="","",COUNTIFS('Таблиця 1'!$B:$B,$A520,'Таблиця 1'!$I:$I,"F-16"))</f>
        <v/>
      </c>
      <c r="E520">
        <f>IF($A520="","",COUNTIFS('Таблиця 1'!$B:$B,$A520,'Таблиця 1'!$I:$I,"МіГ-29"))</f>
        <v/>
      </c>
      <c r="F520">
        <f>IF($A520="","",COUNTIFS('Таблиця 1'!$B:$B,$A520,'Таблиця 1'!$I:$I,"Су-25"))</f>
        <v/>
      </c>
      <c r="G520">
        <f>IF($A520="","",COUNTIFS('Таблиця 1'!$B:$B,$A520,'Таблиця 1'!$I:$I,"Су-27"))</f>
        <v/>
      </c>
      <c r="H520">
        <f>IF($A520="","",SUMIFS('Таблиця 1'!$K:$K,'Таблиця 1'!$B:$B,$A520,'Таблиця 1'!$I:$I,"Mirage",'Таблиця 1'!$J:$J,"AGM-88")+SUMIFS('Таблиця 1'!$K:$K,'Таблиця 1'!$B:$B,$A520,'Таблиця 1'!$I:$I,"F-16",'Таблиця 1'!$J:$J,"AGM-88")+SUMIFS('Таблиця 1'!$K:$K,'Таблиця 1'!$B:$B,$A520,'Таблиця 1'!$I:$I,"МіГ-29",'Таблиця 1'!$J:$J,"AGM-88")+SUMIFS('Таблиця 1'!$K:$K,'Таблиця 1'!$B:$B,$A520,'Таблиця 1'!$I:$I,"Су-25",'Таблиця 1'!$J:$J,"AGM-88")+SUMIFS('Таблиця 1'!$K:$K,'Таблиця 1'!$B:$B,$A520,'Таблиця 1'!$I:$I,"Су-27",'Таблиця 1'!$J:$J,"AGM-88"))</f>
        <v/>
      </c>
      <c r="I520">
        <f>IF($A520="","",SUMIFS('Таблиця 1'!$K:$K,'Таблиця 1'!$B:$B,$A520,'Таблиця 1'!$I:$I,"Mirage",'Таблиця 1'!$J:$J,"AASM-250")+SUMIFS('Таблиця 1'!$K:$K,'Таблиця 1'!$B:$B,$A520,'Таблиця 1'!$I:$I,"F-16",'Таблиця 1'!$J:$J,"AASM-250")+SUMIFS('Таблиця 1'!$K:$K,'Таблиця 1'!$B:$B,$A520,'Таблиця 1'!$I:$I,"МіГ-29",'Таблиця 1'!$J:$J,"AASM-250")+SUMIFS('Таблиця 1'!$K:$K,'Таблиця 1'!$B:$B,$A520,'Таблиця 1'!$I:$I,"Су-25",'Таблиця 1'!$J:$J,"AASM-250")+SUMIFS('Таблиця 1'!$K:$K,'Таблиця 1'!$B:$B,$A520,'Таблиця 1'!$I:$I,"Су-27",'Таблиця 1'!$J:$J,"AASM-250"))</f>
        <v/>
      </c>
      <c r="J520">
        <f>IF($A520="","",SUMIFS('Таблиця 1'!$K:$K,'Таблиця 1'!$B:$B,$A520,'Таблиця 1'!$I:$I,"Mirage",'Таблиця 1'!$J:$J,"GBU-39")+SUMIFS('Таблиця 1'!$K:$K,'Таблиця 1'!$B:$B,$A520,'Таблиця 1'!$I:$I,"F-16",'Таблиця 1'!$J:$J,"GBU-39")+SUMIFS('Таблиця 1'!$K:$K,'Таблиця 1'!$B:$B,$A520,'Таблиця 1'!$I:$I,"МіГ-29",'Таблиця 1'!$J:$J,"GBU-39")+SUMIFS('Таблиця 1'!$K:$K,'Таблиця 1'!$B:$B,$A520,'Таблиця 1'!$I:$I,"Су-25",'Таблиця 1'!$J:$J,"GBU-39")+SUMIFS('Таблиця 1'!$K:$K,'Таблиця 1'!$B:$B,$A520,'Таблиця 1'!$I:$I,"Су-27",'Таблиця 1'!$J:$J,"GBU-39"))</f>
        <v/>
      </c>
      <c r="K520">
        <f>IF($A520="","",SUMIFS('Таблиця 1'!$K:$K,'Таблиця 1'!$B:$B,$A520,'Таблиця 1'!$I:$I,"Mirage",'Таблиця 1'!$J:$J,"BLU-140")+SUMIFS('Таблиця 1'!$K:$K,'Таблиця 1'!$B:$B,$A520,'Таблиця 1'!$I:$I,"F-16",'Таблиця 1'!$J:$J,"BLU-140")+SUMIFS('Таблиця 1'!$K:$K,'Таблиця 1'!$B:$B,$A520,'Таблиця 1'!$I:$I,"МіГ-29",'Таблиця 1'!$J:$J,"BLU-140")+SUMIFS('Таблиця 1'!$K:$K,'Таблиця 1'!$B:$B,$A520,'Таблиця 1'!$I:$I,"Су-25",'Таблиця 1'!$J:$J,"BLU-140")+SUMIFS('Таблиця 1'!$K:$K,'Таблиця 1'!$B:$B,$A520,'Таблиця 1'!$I:$I,"Су-27",'Таблиця 1'!$J:$J,"BLU-140"))</f>
        <v/>
      </c>
      <c r="L520">
        <f>IF($A520="","",SUMIFS('Таблиця 1'!$K:$K,'Таблиця 1'!$B:$B,$A520,'Таблиця 1'!$I:$I,"Mirage",'Таблиця 1'!$J:$J,"GBU-65")+SUMIFS('Таблиця 1'!$K:$K,'Таблиця 1'!$B:$B,$A520,'Таблиця 1'!$I:$I,"F-16",'Таблиця 1'!$J:$J,"GBU-65")+SUMIFS('Таблиця 1'!$K:$K,'Таблиця 1'!$B:$B,$A520,'Таблиця 1'!$I:$I,"МіГ-29",'Таблиця 1'!$J:$J,"GBU-65")+SUMIFS('Таблиця 1'!$K:$K,'Таблиця 1'!$B:$B,$A520,'Таблиця 1'!$I:$I,"Су-25",'Таблиця 1'!$J:$J,"GBU-65")+SUMIFS('Таблиця 1'!$K:$K,'Таблиця 1'!$B:$B,$A520,'Таблиця 1'!$I:$I,"Су-27",'Таблиця 1'!$J:$J,"GBU-65"))</f>
        <v/>
      </c>
      <c r="M520">
        <f>IF($A520="","",SUMIFS('Таблиця 1'!$K:$K,'Таблиця 1'!$B:$B,$A520,'Таблиця 1'!$I:$I,"Mirage",'Таблиця 1'!$J:$J,"GBU-62")+SUMIFS('Таблиця 1'!$K:$K,'Таблиця 1'!$B:$B,$A520,'Таблиця 1'!$I:$I,"F-16",'Таблиця 1'!$J:$J,"GBU-62")+SUMIFS('Таблиця 1'!$K:$K,'Таблиця 1'!$B:$B,$A520,'Таблиця 1'!$I:$I,"МіГ-29",'Таблиця 1'!$J:$J,"GBU-62")+SUMIFS('Таблиця 1'!$K:$K,'Таблиця 1'!$B:$B,$A520,'Таблиця 1'!$I:$I,"Су-25",'Таблиця 1'!$J:$J,"GBU-62")+SUMIFS('Таблиця 1'!$K:$K,'Таблиця 1'!$B:$B,$A520,'Таблиця 1'!$I:$I,"Су-27",'Таблиця 1'!$J:$J,"GBU-62"))</f>
        <v/>
      </c>
      <c r="N520">
        <f>IF($A520="","",SUMIFS('Таблиця 1'!$K:$K,'Таблиця 1'!$B:$B,$A520,'Таблиця 1'!$I:$I,"Mirage",'Таблиця 1'!$J:$J,"GBU-64")+SUMIFS('Таблиця 1'!$K:$K,'Таблиця 1'!$B:$B,$A520,'Таблиця 1'!$I:$I,"F-16",'Таблиця 1'!$J:$J,"GBU-64")+SUMIFS('Таблиця 1'!$K:$K,'Таблиця 1'!$B:$B,$A520,'Таблиця 1'!$I:$I,"МіГ-29",'Таблиця 1'!$J:$J,"GBU-64")+SUMIFS('Таблиця 1'!$K:$K,'Таблиця 1'!$B:$B,$A520,'Таблиця 1'!$I:$I,"Су-25",'Таблиця 1'!$J:$J,"GBU-64")+SUMIFS('Таблиця 1'!$K:$K,'Таблиця 1'!$B:$B,$A520,'Таблиця 1'!$I:$I,"Су-27",'Таблиця 1'!$J:$J,"GBU-64"))</f>
        <v/>
      </c>
      <c r="O520">
        <f>IF($A520="","",SUMIFS('Таблиця 1'!$K:$K,'Таблиця 1'!$B:$B,$A520,'Таблиця 1'!$I:$I,"Mirage",'Таблиця 1'!$J:$J,"C-13")+SUMIFS('Таблиця 1'!$K:$K,'Таблиця 1'!$B:$B,$A520,'Таблиця 1'!$I:$I,"F-16",'Таблиця 1'!$J:$J,"C-13")+SUMIFS('Таблиця 1'!$K:$K,'Таблиця 1'!$B:$B,$A520,'Таблиця 1'!$I:$I,"МіГ-29",'Таблиця 1'!$J:$J,"C-13")+SUMIFS('Таблиця 1'!$K:$K,'Таблиця 1'!$B:$B,$A520,'Таблиця 1'!$I:$I,"Су-25",'Таблиця 1'!$J:$J,"C-13")+SUMIFS('Таблиця 1'!$K:$K,'Таблиця 1'!$B:$B,$A520,'Таблиця 1'!$I:$I,"Су-27",'Таблиця 1'!$J:$J,"C-13"))</f>
        <v/>
      </c>
      <c r="P520">
        <f>IF($A520="","",SUMIFS('Таблиця 1'!$K:$K,'Таблиця 1'!$B:$B,$A520,'Таблиця 1'!$I:$I,"Mirage",'Таблиця 1'!$J:$J,"MK-32")+SUMIFS('Таблиця 1'!$K:$K,'Таблиця 1'!$B:$B,$A520,'Таблиця 1'!$I:$I,"F-16",'Таблиця 1'!$J:$J,"MK-32")+SUMIFS('Таблиця 1'!$K:$K,'Таблиця 1'!$B:$B,$A520,'Таблиця 1'!$I:$I,"МіГ-29",'Таблиця 1'!$J:$J,"MK-32")+SUMIFS('Таблиця 1'!$K:$K,'Таблиця 1'!$B:$B,$A520,'Таблиця 1'!$I:$I,"Су-25",'Таблиця 1'!$J:$J,"MK-32")+SUMIFS('Таблиця 1'!$K:$K,'Таблиця 1'!$B:$B,$A520,'Таблиця 1'!$I:$I,"Су-27",'Таблиця 1'!$J:$J,"MK-32"))</f>
        <v/>
      </c>
      <c r="Q520">
        <f>IF($A520="","",SUMIFS('Таблиця 1'!$K:$K,'Таблиця 1'!$B:$B,$A520,'Таблиця 1'!$I:$I,"Mirage",'Таблиця 1'!$J:$J,"MK-24")+SUMIFS('Таблиця 1'!$K:$K,'Таблиця 1'!$B:$B,$A520,'Таблиця 1'!$I:$I,"F-16",'Таблиця 1'!$J:$J,"MK-24")+SUMIFS('Таблиця 1'!$K:$K,'Таблиця 1'!$B:$B,$A520,'Таблиця 1'!$I:$I,"МіГ-29",'Таблиця 1'!$J:$J,"MK-24")+SUMIFS('Таблиця 1'!$K:$K,'Таблиця 1'!$B:$B,$A520,'Таблиця 1'!$I:$I,"Су-25",'Таблиця 1'!$J:$J,"MK-24")+SUMIFS('Таблиця 1'!$K:$K,'Таблиця 1'!$B:$B,$A520,'Таблиця 1'!$I:$I,"Су-27",'Таблиця 1'!$J:$J,"MK-24"))</f>
        <v/>
      </c>
      <c r="R520">
        <f>IF($A520="","",COUNTIFS('Таблиця 1'!$B:$B,$A520,'Таблиця 1'!$I:$I,"Mirage",'Таблиця 1'!$L:$L,"Уражено")+COUNTIFS('Таблиця 1'!$B:$B,$A520,'Таблиця 1'!$I:$I,"F-16",'Таблиця 1'!$L:$L,"Уражено")+COUNTIFS('Таблиця 1'!$B:$B,$A520,'Таблиця 1'!$I:$I,"МіГ-29",'Таблиця 1'!$L:$L,"Уражено")+COUNTIFS('Таблиця 1'!$B:$B,$A520,'Таблиця 1'!$I:$I,"Су-25",'Таблиця 1'!$L:$L,"Уражено")+COUNTIFS('Таблиця 1'!$B:$B,$A520,'Таблиця 1'!$I:$I,"Су-27",'Таблиця 1'!$L:$L,"Уражено"))</f>
        <v/>
      </c>
      <c r="S520">
        <f>IF($A520="","",COUNTIFS('Таблиця 1'!$B:$B,$A520,'Таблиця 1'!$I:$I,"Mirage",'Таблиця 1'!$L:$L,"НЕ уражено")+COUNTIFS('Таблиця 1'!$B:$B,$A520,'Таблиця 1'!$I:$I,"F-16",'Таблиця 1'!$L:$L,"НЕ уражено")+COUNTIFS('Таблиця 1'!$B:$B,$A520,'Таблиця 1'!$I:$I,"МіГ-29",'Таблиця 1'!$L:$L,"НЕ уражено")+COUNTIFS('Таблиця 1'!$B:$B,$A520,'Таблиця 1'!$I:$I,"Су-25",'Таблиця 1'!$L:$L,"НЕ уражено")+COUNTIFS('Таблиця 1'!$B:$B,$A520,'Таблиця 1'!$I:$I,"Су-27",'Таблиця 1'!$L:$L,"НЕ уражено"))</f>
        <v/>
      </c>
      <c r="T520">
        <f>IF($A520="","",COUNTIFS('Таблиця 1'!$B:$B,$A520,'Таблиця 1'!$I:$I,"Mirage",'Таблиця 1'!$L:$L,"Дорозвідується")+COUNTIFS('Таблиця 1'!$B:$B,$A520,'Таблиця 1'!$I:$I,"F-16",'Таблиця 1'!$L:$L,"Дорозвідується")+COUNTIFS('Таблиця 1'!$B:$B,$A520,'Таблиця 1'!$I:$I,"МіГ-29",'Таблиця 1'!$L:$L,"Дорозвідується")+COUNTIFS('Таблиця 1'!$B:$B,$A520,'Таблиця 1'!$I:$I,"Су-25",'Таблиця 1'!$L:$L,"Дорозвідується")+COUNTIFS('Таблиця 1'!$B:$B,$A520,'Таблиця 1'!$I:$I,"Су-27",'Таблиця 1'!$L:$L,"Дорозвідується"))</f>
        <v/>
      </c>
    </row>
    <row r="521">
      <c r="A521" s="273">
        <f>IF(A520="","",IF(A520+1&gt;MAX('Таблиця 1'!$B:$B),"",A520+1))</f>
        <v/>
      </c>
      <c r="B521">
        <f>IF($A521="","",COUNTIFS('Таблиця 1'!$B:$B,$A521,'Таблиця 1'!$I:$I,"Mirage")+COUNTIFS('Таблиця 1'!$B:$B,$A521,'Таблиця 1'!$I:$I,"F-16")+COUNTIFS('Таблиця 1'!$B:$B,$A521,'Таблиця 1'!$I:$I,"МіГ-29")+COUNTIFS('Таблиця 1'!$B:$B,$A521,'Таблиця 1'!$I:$I,"Су-25")+COUNTIFS('Таблиця 1'!$B:$B,$A521,'Таблиця 1'!$I:$I,"Су-27"))</f>
        <v/>
      </c>
      <c r="C521">
        <f>IF($A521="","",COUNTIFS('Таблиця 1'!$B:$B,$A521,'Таблиця 1'!$I:$I,"Mirage"))</f>
        <v/>
      </c>
      <c r="D521">
        <f>IF($A521="","",COUNTIFS('Таблиця 1'!$B:$B,$A521,'Таблиця 1'!$I:$I,"F-16"))</f>
        <v/>
      </c>
      <c r="E521">
        <f>IF($A521="","",COUNTIFS('Таблиця 1'!$B:$B,$A521,'Таблиця 1'!$I:$I,"МіГ-29"))</f>
        <v/>
      </c>
      <c r="F521">
        <f>IF($A521="","",COUNTIFS('Таблиця 1'!$B:$B,$A521,'Таблиця 1'!$I:$I,"Су-25"))</f>
        <v/>
      </c>
      <c r="G521">
        <f>IF($A521="","",COUNTIFS('Таблиця 1'!$B:$B,$A521,'Таблиця 1'!$I:$I,"Су-27"))</f>
        <v/>
      </c>
      <c r="H521">
        <f>IF($A521="","",SUMIFS('Таблиця 1'!$K:$K,'Таблиця 1'!$B:$B,$A521,'Таблиця 1'!$I:$I,"Mirage",'Таблиця 1'!$J:$J,"AGM-88")+SUMIFS('Таблиця 1'!$K:$K,'Таблиця 1'!$B:$B,$A521,'Таблиця 1'!$I:$I,"F-16",'Таблиця 1'!$J:$J,"AGM-88")+SUMIFS('Таблиця 1'!$K:$K,'Таблиця 1'!$B:$B,$A521,'Таблиця 1'!$I:$I,"МіГ-29",'Таблиця 1'!$J:$J,"AGM-88")+SUMIFS('Таблиця 1'!$K:$K,'Таблиця 1'!$B:$B,$A521,'Таблиця 1'!$I:$I,"Су-25",'Таблиця 1'!$J:$J,"AGM-88")+SUMIFS('Таблиця 1'!$K:$K,'Таблиця 1'!$B:$B,$A521,'Таблиця 1'!$I:$I,"Су-27",'Таблиця 1'!$J:$J,"AGM-88"))</f>
        <v/>
      </c>
      <c r="I521">
        <f>IF($A521="","",SUMIFS('Таблиця 1'!$K:$K,'Таблиця 1'!$B:$B,$A521,'Таблиця 1'!$I:$I,"Mirage",'Таблиця 1'!$J:$J,"AASM-250")+SUMIFS('Таблиця 1'!$K:$K,'Таблиця 1'!$B:$B,$A521,'Таблиця 1'!$I:$I,"F-16",'Таблиця 1'!$J:$J,"AASM-250")+SUMIFS('Таблиця 1'!$K:$K,'Таблиця 1'!$B:$B,$A521,'Таблиця 1'!$I:$I,"МіГ-29",'Таблиця 1'!$J:$J,"AASM-250")+SUMIFS('Таблиця 1'!$K:$K,'Таблиця 1'!$B:$B,$A521,'Таблиця 1'!$I:$I,"Су-25",'Таблиця 1'!$J:$J,"AASM-250")+SUMIFS('Таблиця 1'!$K:$K,'Таблиця 1'!$B:$B,$A521,'Таблиця 1'!$I:$I,"Су-27",'Таблиця 1'!$J:$J,"AASM-250"))</f>
        <v/>
      </c>
      <c r="J521">
        <f>IF($A521="","",SUMIFS('Таблиця 1'!$K:$K,'Таблиця 1'!$B:$B,$A521,'Таблиця 1'!$I:$I,"Mirage",'Таблиця 1'!$J:$J,"GBU-39")+SUMIFS('Таблиця 1'!$K:$K,'Таблиця 1'!$B:$B,$A521,'Таблиця 1'!$I:$I,"F-16",'Таблиця 1'!$J:$J,"GBU-39")+SUMIFS('Таблиця 1'!$K:$K,'Таблиця 1'!$B:$B,$A521,'Таблиця 1'!$I:$I,"МіГ-29",'Таблиця 1'!$J:$J,"GBU-39")+SUMIFS('Таблиця 1'!$K:$K,'Таблиця 1'!$B:$B,$A521,'Таблиця 1'!$I:$I,"Су-25",'Таблиця 1'!$J:$J,"GBU-39")+SUMIFS('Таблиця 1'!$K:$K,'Таблиця 1'!$B:$B,$A521,'Таблиця 1'!$I:$I,"Су-27",'Таблиця 1'!$J:$J,"GBU-39"))</f>
        <v/>
      </c>
      <c r="K521">
        <f>IF($A521="","",SUMIFS('Таблиця 1'!$K:$K,'Таблиця 1'!$B:$B,$A521,'Таблиця 1'!$I:$I,"Mirage",'Таблиця 1'!$J:$J,"BLU-140")+SUMIFS('Таблиця 1'!$K:$K,'Таблиця 1'!$B:$B,$A521,'Таблиця 1'!$I:$I,"F-16",'Таблиця 1'!$J:$J,"BLU-140")+SUMIFS('Таблиця 1'!$K:$K,'Таблиця 1'!$B:$B,$A521,'Таблиця 1'!$I:$I,"МіГ-29",'Таблиця 1'!$J:$J,"BLU-140")+SUMIFS('Таблиця 1'!$K:$K,'Таблиця 1'!$B:$B,$A521,'Таблиця 1'!$I:$I,"Су-25",'Таблиця 1'!$J:$J,"BLU-140")+SUMIFS('Таблиця 1'!$K:$K,'Таблиця 1'!$B:$B,$A521,'Таблиця 1'!$I:$I,"Су-27",'Таблиця 1'!$J:$J,"BLU-140"))</f>
        <v/>
      </c>
      <c r="L521">
        <f>IF($A521="","",SUMIFS('Таблиця 1'!$K:$K,'Таблиця 1'!$B:$B,$A521,'Таблиця 1'!$I:$I,"Mirage",'Таблиця 1'!$J:$J,"GBU-65")+SUMIFS('Таблиця 1'!$K:$K,'Таблиця 1'!$B:$B,$A521,'Таблиця 1'!$I:$I,"F-16",'Таблиця 1'!$J:$J,"GBU-65")+SUMIFS('Таблиця 1'!$K:$K,'Таблиця 1'!$B:$B,$A521,'Таблиця 1'!$I:$I,"МіГ-29",'Таблиця 1'!$J:$J,"GBU-65")+SUMIFS('Таблиця 1'!$K:$K,'Таблиця 1'!$B:$B,$A521,'Таблиця 1'!$I:$I,"Су-25",'Таблиця 1'!$J:$J,"GBU-65")+SUMIFS('Таблиця 1'!$K:$K,'Таблиця 1'!$B:$B,$A521,'Таблиця 1'!$I:$I,"Су-27",'Таблиця 1'!$J:$J,"GBU-65"))</f>
        <v/>
      </c>
      <c r="M521">
        <f>IF($A521="","",SUMIFS('Таблиця 1'!$K:$K,'Таблиця 1'!$B:$B,$A521,'Таблиця 1'!$I:$I,"Mirage",'Таблиця 1'!$J:$J,"GBU-62")+SUMIFS('Таблиця 1'!$K:$K,'Таблиця 1'!$B:$B,$A521,'Таблиця 1'!$I:$I,"F-16",'Таблиця 1'!$J:$J,"GBU-62")+SUMIFS('Таблиця 1'!$K:$K,'Таблиця 1'!$B:$B,$A521,'Таблиця 1'!$I:$I,"МіГ-29",'Таблиця 1'!$J:$J,"GBU-62")+SUMIFS('Таблиця 1'!$K:$K,'Таблиця 1'!$B:$B,$A521,'Таблиця 1'!$I:$I,"Су-25",'Таблиця 1'!$J:$J,"GBU-62")+SUMIFS('Таблиця 1'!$K:$K,'Таблиця 1'!$B:$B,$A521,'Таблиця 1'!$I:$I,"Су-27",'Таблиця 1'!$J:$J,"GBU-62"))</f>
        <v/>
      </c>
      <c r="N521">
        <f>IF($A521="","",SUMIFS('Таблиця 1'!$K:$K,'Таблиця 1'!$B:$B,$A521,'Таблиця 1'!$I:$I,"Mirage",'Таблиця 1'!$J:$J,"GBU-64")+SUMIFS('Таблиця 1'!$K:$K,'Таблиця 1'!$B:$B,$A521,'Таблиця 1'!$I:$I,"F-16",'Таблиця 1'!$J:$J,"GBU-64")+SUMIFS('Таблиця 1'!$K:$K,'Таблиця 1'!$B:$B,$A521,'Таблиця 1'!$I:$I,"МіГ-29",'Таблиця 1'!$J:$J,"GBU-64")+SUMIFS('Таблиця 1'!$K:$K,'Таблиця 1'!$B:$B,$A521,'Таблиця 1'!$I:$I,"Су-25",'Таблиця 1'!$J:$J,"GBU-64")+SUMIFS('Таблиця 1'!$K:$K,'Таблиця 1'!$B:$B,$A521,'Таблиця 1'!$I:$I,"Су-27",'Таблиця 1'!$J:$J,"GBU-64"))</f>
        <v/>
      </c>
      <c r="O521">
        <f>IF($A521="","",SUMIFS('Таблиця 1'!$K:$K,'Таблиця 1'!$B:$B,$A521,'Таблиця 1'!$I:$I,"Mirage",'Таблиця 1'!$J:$J,"C-13")+SUMIFS('Таблиця 1'!$K:$K,'Таблиця 1'!$B:$B,$A521,'Таблиця 1'!$I:$I,"F-16",'Таблиця 1'!$J:$J,"C-13")+SUMIFS('Таблиця 1'!$K:$K,'Таблиця 1'!$B:$B,$A521,'Таблиця 1'!$I:$I,"МіГ-29",'Таблиця 1'!$J:$J,"C-13")+SUMIFS('Таблиця 1'!$K:$K,'Таблиця 1'!$B:$B,$A521,'Таблиця 1'!$I:$I,"Су-25",'Таблиця 1'!$J:$J,"C-13")+SUMIFS('Таблиця 1'!$K:$K,'Таблиця 1'!$B:$B,$A521,'Таблиця 1'!$I:$I,"Су-27",'Таблиця 1'!$J:$J,"C-13"))</f>
        <v/>
      </c>
      <c r="P521">
        <f>IF($A521="","",SUMIFS('Таблиця 1'!$K:$K,'Таблиця 1'!$B:$B,$A521,'Таблиця 1'!$I:$I,"Mirage",'Таблиця 1'!$J:$J,"MK-32")+SUMIFS('Таблиця 1'!$K:$K,'Таблиця 1'!$B:$B,$A521,'Таблиця 1'!$I:$I,"F-16",'Таблиця 1'!$J:$J,"MK-32")+SUMIFS('Таблиця 1'!$K:$K,'Таблиця 1'!$B:$B,$A521,'Таблиця 1'!$I:$I,"МіГ-29",'Таблиця 1'!$J:$J,"MK-32")+SUMIFS('Таблиця 1'!$K:$K,'Таблиця 1'!$B:$B,$A521,'Таблиця 1'!$I:$I,"Су-25",'Таблиця 1'!$J:$J,"MK-32")+SUMIFS('Таблиця 1'!$K:$K,'Таблиця 1'!$B:$B,$A521,'Таблиця 1'!$I:$I,"Су-27",'Таблиця 1'!$J:$J,"MK-32"))</f>
        <v/>
      </c>
      <c r="Q521">
        <f>IF($A521="","",SUMIFS('Таблиця 1'!$K:$K,'Таблиця 1'!$B:$B,$A521,'Таблиця 1'!$I:$I,"Mirage",'Таблиця 1'!$J:$J,"MK-24")+SUMIFS('Таблиця 1'!$K:$K,'Таблиця 1'!$B:$B,$A521,'Таблиця 1'!$I:$I,"F-16",'Таблиця 1'!$J:$J,"MK-24")+SUMIFS('Таблиця 1'!$K:$K,'Таблиця 1'!$B:$B,$A521,'Таблиця 1'!$I:$I,"МіГ-29",'Таблиця 1'!$J:$J,"MK-24")+SUMIFS('Таблиця 1'!$K:$K,'Таблиця 1'!$B:$B,$A521,'Таблиця 1'!$I:$I,"Су-25",'Таблиця 1'!$J:$J,"MK-24")+SUMIFS('Таблиця 1'!$K:$K,'Таблиця 1'!$B:$B,$A521,'Таблиця 1'!$I:$I,"Су-27",'Таблиця 1'!$J:$J,"MK-24"))</f>
        <v/>
      </c>
      <c r="R521">
        <f>IF($A521="","",COUNTIFS('Таблиця 1'!$B:$B,$A521,'Таблиця 1'!$I:$I,"Mirage",'Таблиця 1'!$L:$L,"Уражено")+COUNTIFS('Таблиця 1'!$B:$B,$A521,'Таблиця 1'!$I:$I,"F-16",'Таблиця 1'!$L:$L,"Уражено")+COUNTIFS('Таблиця 1'!$B:$B,$A521,'Таблиця 1'!$I:$I,"МіГ-29",'Таблиця 1'!$L:$L,"Уражено")+COUNTIFS('Таблиця 1'!$B:$B,$A521,'Таблиця 1'!$I:$I,"Су-25",'Таблиця 1'!$L:$L,"Уражено")+COUNTIFS('Таблиця 1'!$B:$B,$A521,'Таблиця 1'!$I:$I,"Су-27",'Таблиця 1'!$L:$L,"Уражено"))</f>
        <v/>
      </c>
      <c r="S521">
        <f>IF($A521="","",COUNTIFS('Таблиця 1'!$B:$B,$A521,'Таблиця 1'!$I:$I,"Mirage",'Таблиця 1'!$L:$L,"НЕ уражено")+COUNTIFS('Таблиця 1'!$B:$B,$A521,'Таблиця 1'!$I:$I,"F-16",'Таблиця 1'!$L:$L,"НЕ уражено")+COUNTIFS('Таблиця 1'!$B:$B,$A521,'Таблиця 1'!$I:$I,"МіГ-29",'Таблиця 1'!$L:$L,"НЕ уражено")+COUNTIFS('Таблиця 1'!$B:$B,$A521,'Таблиця 1'!$I:$I,"Су-25",'Таблиця 1'!$L:$L,"НЕ уражено")+COUNTIFS('Таблиця 1'!$B:$B,$A521,'Таблиця 1'!$I:$I,"Су-27",'Таблиця 1'!$L:$L,"НЕ уражено"))</f>
        <v/>
      </c>
      <c r="T521">
        <f>IF($A521="","",COUNTIFS('Таблиця 1'!$B:$B,$A521,'Таблиця 1'!$I:$I,"Mirage",'Таблиця 1'!$L:$L,"Дорозвідується")+COUNTIFS('Таблиця 1'!$B:$B,$A521,'Таблиця 1'!$I:$I,"F-16",'Таблиця 1'!$L:$L,"Дорозвідується")+COUNTIFS('Таблиця 1'!$B:$B,$A521,'Таблиця 1'!$I:$I,"МіГ-29",'Таблиця 1'!$L:$L,"Дорозвідується")+COUNTIFS('Таблиця 1'!$B:$B,$A521,'Таблиця 1'!$I:$I,"Су-25",'Таблиця 1'!$L:$L,"Дорозвідується")+COUNTIFS('Таблиця 1'!$B:$B,$A521,'Таблиця 1'!$I:$I,"Су-27",'Таблиця 1'!$L:$L,"Дорозвідується"))</f>
        <v/>
      </c>
    </row>
    <row r="522">
      <c r="A522" s="273">
        <f>IF(A521="","",IF(A521+1&gt;MAX('Таблиця 1'!$B:$B),"",A521+1))</f>
        <v/>
      </c>
      <c r="B522">
        <f>IF($A522="","",COUNTIFS('Таблиця 1'!$B:$B,$A522,'Таблиця 1'!$I:$I,"Mirage")+COUNTIFS('Таблиця 1'!$B:$B,$A522,'Таблиця 1'!$I:$I,"F-16")+COUNTIFS('Таблиця 1'!$B:$B,$A522,'Таблиця 1'!$I:$I,"МіГ-29")+COUNTIFS('Таблиця 1'!$B:$B,$A522,'Таблиця 1'!$I:$I,"Су-25")+COUNTIFS('Таблиця 1'!$B:$B,$A522,'Таблиця 1'!$I:$I,"Су-27"))</f>
        <v/>
      </c>
      <c r="C522">
        <f>IF($A522="","",COUNTIFS('Таблиця 1'!$B:$B,$A522,'Таблиця 1'!$I:$I,"Mirage"))</f>
        <v/>
      </c>
      <c r="D522">
        <f>IF($A522="","",COUNTIFS('Таблиця 1'!$B:$B,$A522,'Таблиця 1'!$I:$I,"F-16"))</f>
        <v/>
      </c>
      <c r="E522">
        <f>IF($A522="","",COUNTIFS('Таблиця 1'!$B:$B,$A522,'Таблиця 1'!$I:$I,"МіГ-29"))</f>
        <v/>
      </c>
      <c r="F522">
        <f>IF($A522="","",COUNTIFS('Таблиця 1'!$B:$B,$A522,'Таблиця 1'!$I:$I,"Су-25"))</f>
        <v/>
      </c>
      <c r="G522">
        <f>IF($A522="","",COUNTIFS('Таблиця 1'!$B:$B,$A522,'Таблиця 1'!$I:$I,"Су-27"))</f>
        <v/>
      </c>
      <c r="H522">
        <f>IF($A522="","",SUMIFS('Таблиця 1'!$K:$K,'Таблиця 1'!$B:$B,$A522,'Таблиця 1'!$I:$I,"Mirage",'Таблиця 1'!$J:$J,"AGM-88")+SUMIFS('Таблиця 1'!$K:$K,'Таблиця 1'!$B:$B,$A522,'Таблиця 1'!$I:$I,"F-16",'Таблиця 1'!$J:$J,"AGM-88")+SUMIFS('Таблиця 1'!$K:$K,'Таблиця 1'!$B:$B,$A522,'Таблиця 1'!$I:$I,"МіГ-29",'Таблиця 1'!$J:$J,"AGM-88")+SUMIFS('Таблиця 1'!$K:$K,'Таблиця 1'!$B:$B,$A522,'Таблиця 1'!$I:$I,"Су-25",'Таблиця 1'!$J:$J,"AGM-88")+SUMIFS('Таблиця 1'!$K:$K,'Таблиця 1'!$B:$B,$A522,'Таблиця 1'!$I:$I,"Су-27",'Таблиця 1'!$J:$J,"AGM-88"))</f>
        <v/>
      </c>
      <c r="I522">
        <f>IF($A522="","",SUMIFS('Таблиця 1'!$K:$K,'Таблиця 1'!$B:$B,$A522,'Таблиця 1'!$I:$I,"Mirage",'Таблиця 1'!$J:$J,"AASM-250")+SUMIFS('Таблиця 1'!$K:$K,'Таблиця 1'!$B:$B,$A522,'Таблиця 1'!$I:$I,"F-16",'Таблиця 1'!$J:$J,"AASM-250")+SUMIFS('Таблиця 1'!$K:$K,'Таблиця 1'!$B:$B,$A522,'Таблиця 1'!$I:$I,"МіГ-29",'Таблиця 1'!$J:$J,"AASM-250")+SUMIFS('Таблиця 1'!$K:$K,'Таблиця 1'!$B:$B,$A522,'Таблиця 1'!$I:$I,"Су-25",'Таблиця 1'!$J:$J,"AASM-250")+SUMIFS('Таблиця 1'!$K:$K,'Таблиця 1'!$B:$B,$A522,'Таблиця 1'!$I:$I,"Су-27",'Таблиця 1'!$J:$J,"AASM-250"))</f>
        <v/>
      </c>
      <c r="J522">
        <f>IF($A522="","",SUMIFS('Таблиця 1'!$K:$K,'Таблиця 1'!$B:$B,$A522,'Таблиця 1'!$I:$I,"Mirage",'Таблиця 1'!$J:$J,"GBU-39")+SUMIFS('Таблиця 1'!$K:$K,'Таблиця 1'!$B:$B,$A522,'Таблиця 1'!$I:$I,"F-16",'Таблиця 1'!$J:$J,"GBU-39")+SUMIFS('Таблиця 1'!$K:$K,'Таблиця 1'!$B:$B,$A522,'Таблиця 1'!$I:$I,"МіГ-29",'Таблиця 1'!$J:$J,"GBU-39")+SUMIFS('Таблиця 1'!$K:$K,'Таблиця 1'!$B:$B,$A522,'Таблиця 1'!$I:$I,"Су-25",'Таблиця 1'!$J:$J,"GBU-39")+SUMIFS('Таблиця 1'!$K:$K,'Таблиця 1'!$B:$B,$A522,'Таблиця 1'!$I:$I,"Су-27",'Таблиця 1'!$J:$J,"GBU-39"))</f>
        <v/>
      </c>
      <c r="K522">
        <f>IF($A522="","",SUMIFS('Таблиця 1'!$K:$K,'Таблиця 1'!$B:$B,$A522,'Таблиця 1'!$I:$I,"Mirage",'Таблиця 1'!$J:$J,"BLU-140")+SUMIFS('Таблиця 1'!$K:$K,'Таблиця 1'!$B:$B,$A522,'Таблиця 1'!$I:$I,"F-16",'Таблиця 1'!$J:$J,"BLU-140")+SUMIFS('Таблиця 1'!$K:$K,'Таблиця 1'!$B:$B,$A522,'Таблиця 1'!$I:$I,"МіГ-29",'Таблиця 1'!$J:$J,"BLU-140")+SUMIFS('Таблиця 1'!$K:$K,'Таблиця 1'!$B:$B,$A522,'Таблиця 1'!$I:$I,"Су-25",'Таблиця 1'!$J:$J,"BLU-140")+SUMIFS('Таблиця 1'!$K:$K,'Таблиця 1'!$B:$B,$A522,'Таблиця 1'!$I:$I,"Су-27",'Таблиця 1'!$J:$J,"BLU-140"))</f>
        <v/>
      </c>
      <c r="L522">
        <f>IF($A522="","",SUMIFS('Таблиця 1'!$K:$K,'Таблиця 1'!$B:$B,$A522,'Таблиця 1'!$I:$I,"Mirage",'Таблиця 1'!$J:$J,"GBU-65")+SUMIFS('Таблиця 1'!$K:$K,'Таблиця 1'!$B:$B,$A522,'Таблиця 1'!$I:$I,"F-16",'Таблиця 1'!$J:$J,"GBU-65")+SUMIFS('Таблиця 1'!$K:$K,'Таблиця 1'!$B:$B,$A522,'Таблиця 1'!$I:$I,"МіГ-29",'Таблиця 1'!$J:$J,"GBU-65")+SUMIFS('Таблиця 1'!$K:$K,'Таблиця 1'!$B:$B,$A522,'Таблиця 1'!$I:$I,"Су-25",'Таблиця 1'!$J:$J,"GBU-65")+SUMIFS('Таблиця 1'!$K:$K,'Таблиця 1'!$B:$B,$A522,'Таблиця 1'!$I:$I,"Су-27",'Таблиця 1'!$J:$J,"GBU-65"))</f>
        <v/>
      </c>
      <c r="M522">
        <f>IF($A522="","",SUMIFS('Таблиця 1'!$K:$K,'Таблиця 1'!$B:$B,$A522,'Таблиця 1'!$I:$I,"Mirage",'Таблиця 1'!$J:$J,"GBU-62")+SUMIFS('Таблиця 1'!$K:$K,'Таблиця 1'!$B:$B,$A522,'Таблиця 1'!$I:$I,"F-16",'Таблиця 1'!$J:$J,"GBU-62")+SUMIFS('Таблиця 1'!$K:$K,'Таблиця 1'!$B:$B,$A522,'Таблиця 1'!$I:$I,"МіГ-29",'Таблиця 1'!$J:$J,"GBU-62")+SUMIFS('Таблиця 1'!$K:$K,'Таблиця 1'!$B:$B,$A522,'Таблиця 1'!$I:$I,"Су-25",'Таблиця 1'!$J:$J,"GBU-62")+SUMIFS('Таблиця 1'!$K:$K,'Таблиця 1'!$B:$B,$A522,'Таблиця 1'!$I:$I,"Су-27",'Таблиця 1'!$J:$J,"GBU-62"))</f>
        <v/>
      </c>
      <c r="N522">
        <f>IF($A522="","",SUMIFS('Таблиця 1'!$K:$K,'Таблиця 1'!$B:$B,$A522,'Таблиця 1'!$I:$I,"Mirage",'Таблиця 1'!$J:$J,"GBU-64")+SUMIFS('Таблиця 1'!$K:$K,'Таблиця 1'!$B:$B,$A522,'Таблиця 1'!$I:$I,"F-16",'Таблиця 1'!$J:$J,"GBU-64")+SUMIFS('Таблиця 1'!$K:$K,'Таблиця 1'!$B:$B,$A522,'Таблиця 1'!$I:$I,"МіГ-29",'Таблиця 1'!$J:$J,"GBU-64")+SUMIFS('Таблиця 1'!$K:$K,'Таблиця 1'!$B:$B,$A522,'Таблиця 1'!$I:$I,"Су-25",'Таблиця 1'!$J:$J,"GBU-64")+SUMIFS('Таблиця 1'!$K:$K,'Таблиця 1'!$B:$B,$A522,'Таблиця 1'!$I:$I,"Су-27",'Таблиця 1'!$J:$J,"GBU-64"))</f>
        <v/>
      </c>
      <c r="O522">
        <f>IF($A522="","",SUMIFS('Таблиця 1'!$K:$K,'Таблиця 1'!$B:$B,$A522,'Таблиця 1'!$I:$I,"Mirage",'Таблиця 1'!$J:$J,"C-13")+SUMIFS('Таблиця 1'!$K:$K,'Таблиця 1'!$B:$B,$A522,'Таблиця 1'!$I:$I,"F-16",'Таблиця 1'!$J:$J,"C-13")+SUMIFS('Таблиця 1'!$K:$K,'Таблиця 1'!$B:$B,$A522,'Таблиця 1'!$I:$I,"МіГ-29",'Таблиця 1'!$J:$J,"C-13")+SUMIFS('Таблиця 1'!$K:$K,'Таблиця 1'!$B:$B,$A522,'Таблиця 1'!$I:$I,"Су-25",'Таблиця 1'!$J:$J,"C-13")+SUMIFS('Таблиця 1'!$K:$K,'Таблиця 1'!$B:$B,$A522,'Таблиця 1'!$I:$I,"Су-27",'Таблиця 1'!$J:$J,"C-13"))</f>
        <v/>
      </c>
      <c r="P522">
        <f>IF($A522="","",SUMIFS('Таблиця 1'!$K:$K,'Таблиця 1'!$B:$B,$A522,'Таблиця 1'!$I:$I,"Mirage",'Таблиця 1'!$J:$J,"MK-32")+SUMIFS('Таблиця 1'!$K:$K,'Таблиця 1'!$B:$B,$A522,'Таблиця 1'!$I:$I,"F-16",'Таблиця 1'!$J:$J,"MK-32")+SUMIFS('Таблиця 1'!$K:$K,'Таблиця 1'!$B:$B,$A522,'Таблиця 1'!$I:$I,"МіГ-29",'Таблиця 1'!$J:$J,"MK-32")+SUMIFS('Таблиця 1'!$K:$K,'Таблиця 1'!$B:$B,$A522,'Таблиця 1'!$I:$I,"Су-25",'Таблиця 1'!$J:$J,"MK-32")+SUMIFS('Таблиця 1'!$K:$K,'Таблиця 1'!$B:$B,$A522,'Таблиця 1'!$I:$I,"Су-27",'Таблиця 1'!$J:$J,"MK-32"))</f>
        <v/>
      </c>
      <c r="Q522">
        <f>IF($A522="","",SUMIFS('Таблиця 1'!$K:$K,'Таблиця 1'!$B:$B,$A522,'Таблиця 1'!$I:$I,"Mirage",'Таблиця 1'!$J:$J,"MK-24")+SUMIFS('Таблиця 1'!$K:$K,'Таблиця 1'!$B:$B,$A522,'Таблиця 1'!$I:$I,"F-16",'Таблиця 1'!$J:$J,"MK-24")+SUMIFS('Таблиця 1'!$K:$K,'Таблиця 1'!$B:$B,$A522,'Таблиця 1'!$I:$I,"МіГ-29",'Таблиця 1'!$J:$J,"MK-24")+SUMIFS('Таблиця 1'!$K:$K,'Таблиця 1'!$B:$B,$A522,'Таблиця 1'!$I:$I,"Су-25",'Таблиця 1'!$J:$J,"MK-24")+SUMIFS('Таблиця 1'!$K:$K,'Таблиця 1'!$B:$B,$A522,'Таблиця 1'!$I:$I,"Су-27",'Таблиця 1'!$J:$J,"MK-24"))</f>
        <v/>
      </c>
      <c r="R522">
        <f>IF($A522="","",COUNTIFS('Таблиця 1'!$B:$B,$A522,'Таблиця 1'!$I:$I,"Mirage",'Таблиця 1'!$L:$L,"Уражено")+COUNTIFS('Таблиця 1'!$B:$B,$A522,'Таблиця 1'!$I:$I,"F-16",'Таблиця 1'!$L:$L,"Уражено")+COUNTIFS('Таблиця 1'!$B:$B,$A522,'Таблиця 1'!$I:$I,"МіГ-29",'Таблиця 1'!$L:$L,"Уражено")+COUNTIFS('Таблиця 1'!$B:$B,$A522,'Таблиця 1'!$I:$I,"Су-25",'Таблиця 1'!$L:$L,"Уражено")+COUNTIFS('Таблиця 1'!$B:$B,$A522,'Таблиця 1'!$I:$I,"Су-27",'Таблиця 1'!$L:$L,"Уражено"))</f>
        <v/>
      </c>
      <c r="S522">
        <f>IF($A522="","",COUNTIFS('Таблиця 1'!$B:$B,$A522,'Таблиця 1'!$I:$I,"Mirage",'Таблиця 1'!$L:$L,"НЕ уражено")+COUNTIFS('Таблиця 1'!$B:$B,$A522,'Таблиця 1'!$I:$I,"F-16",'Таблиця 1'!$L:$L,"НЕ уражено")+COUNTIFS('Таблиця 1'!$B:$B,$A522,'Таблиця 1'!$I:$I,"МіГ-29",'Таблиця 1'!$L:$L,"НЕ уражено")+COUNTIFS('Таблиця 1'!$B:$B,$A522,'Таблиця 1'!$I:$I,"Су-25",'Таблиця 1'!$L:$L,"НЕ уражено")+COUNTIFS('Таблиця 1'!$B:$B,$A522,'Таблиця 1'!$I:$I,"Су-27",'Таблиця 1'!$L:$L,"НЕ уражено"))</f>
        <v/>
      </c>
      <c r="T522">
        <f>IF($A522="","",COUNTIFS('Таблиця 1'!$B:$B,$A522,'Таблиця 1'!$I:$I,"Mirage",'Таблиця 1'!$L:$L,"Дорозвідується")+COUNTIFS('Таблиця 1'!$B:$B,$A522,'Таблиця 1'!$I:$I,"F-16",'Таблиця 1'!$L:$L,"Дорозвідується")+COUNTIFS('Таблиця 1'!$B:$B,$A522,'Таблиця 1'!$I:$I,"МіГ-29",'Таблиця 1'!$L:$L,"Дорозвідується")+COUNTIFS('Таблиця 1'!$B:$B,$A522,'Таблиця 1'!$I:$I,"Су-25",'Таблиця 1'!$L:$L,"Дорозвідується")+COUNTIFS('Таблиця 1'!$B:$B,$A522,'Таблиця 1'!$I:$I,"Су-27",'Таблиця 1'!$L:$L,"Дорозвідується"))</f>
        <v/>
      </c>
    </row>
    <row r="523">
      <c r="A523" s="273">
        <f>IF(A522="","",IF(A522+1&gt;MAX('Таблиця 1'!$B:$B),"",A522+1))</f>
        <v/>
      </c>
      <c r="B523">
        <f>IF($A523="","",COUNTIFS('Таблиця 1'!$B:$B,$A523,'Таблиця 1'!$I:$I,"Mirage")+COUNTIFS('Таблиця 1'!$B:$B,$A523,'Таблиця 1'!$I:$I,"F-16")+COUNTIFS('Таблиця 1'!$B:$B,$A523,'Таблиця 1'!$I:$I,"МіГ-29")+COUNTIFS('Таблиця 1'!$B:$B,$A523,'Таблиця 1'!$I:$I,"Су-25")+COUNTIFS('Таблиця 1'!$B:$B,$A523,'Таблиця 1'!$I:$I,"Су-27"))</f>
        <v/>
      </c>
      <c r="C523">
        <f>IF($A523="","",COUNTIFS('Таблиця 1'!$B:$B,$A523,'Таблиця 1'!$I:$I,"Mirage"))</f>
        <v/>
      </c>
      <c r="D523">
        <f>IF($A523="","",COUNTIFS('Таблиця 1'!$B:$B,$A523,'Таблиця 1'!$I:$I,"F-16"))</f>
        <v/>
      </c>
      <c r="E523">
        <f>IF($A523="","",COUNTIFS('Таблиця 1'!$B:$B,$A523,'Таблиця 1'!$I:$I,"МіГ-29"))</f>
        <v/>
      </c>
      <c r="F523">
        <f>IF($A523="","",COUNTIFS('Таблиця 1'!$B:$B,$A523,'Таблиця 1'!$I:$I,"Су-25"))</f>
        <v/>
      </c>
      <c r="G523">
        <f>IF($A523="","",COUNTIFS('Таблиця 1'!$B:$B,$A523,'Таблиця 1'!$I:$I,"Су-27"))</f>
        <v/>
      </c>
      <c r="H523">
        <f>IF($A523="","",SUMIFS('Таблиця 1'!$K:$K,'Таблиця 1'!$B:$B,$A523,'Таблиця 1'!$I:$I,"Mirage",'Таблиця 1'!$J:$J,"AGM-88")+SUMIFS('Таблиця 1'!$K:$K,'Таблиця 1'!$B:$B,$A523,'Таблиця 1'!$I:$I,"F-16",'Таблиця 1'!$J:$J,"AGM-88")+SUMIFS('Таблиця 1'!$K:$K,'Таблиця 1'!$B:$B,$A523,'Таблиця 1'!$I:$I,"МіГ-29",'Таблиця 1'!$J:$J,"AGM-88")+SUMIFS('Таблиця 1'!$K:$K,'Таблиця 1'!$B:$B,$A523,'Таблиця 1'!$I:$I,"Су-25",'Таблиця 1'!$J:$J,"AGM-88")+SUMIFS('Таблиця 1'!$K:$K,'Таблиця 1'!$B:$B,$A523,'Таблиця 1'!$I:$I,"Су-27",'Таблиця 1'!$J:$J,"AGM-88"))</f>
        <v/>
      </c>
      <c r="I523">
        <f>IF($A523="","",SUMIFS('Таблиця 1'!$K:$K,'Таблиця 1'!$B:$B,$A523,'Таблиця 1'!$I:$I,"Mirage",'Таблиця 1'!$J:$J,"AASM-250")+SUMIFS('Таблиця 1'!$K:$K,'Таблиця 1'!$B:$B,$A523,'Таблиця 1'!$I:$I,"F-16",'Таблиця 1'!$J:$J,"AASM-250")+SUMIFS('Таблиця 1'!$K:$K,'Таблиця 1'!$B:$B,$A523,'Таблиця 1'!$I:$I,"МіГ-29",'Таблиця 1'!$J:$J,"AASM-250")+SUMIFS('Таблиця 1'!$K:$K,'Таблиця 1'!$B:$B,$A523,'Таблиця 1'!$I:$I,"Су-25",'Таблиця 1'!$J:$J,"AASM-250")+SUMIFS('Таблиця 1'!$K:$K,'Таблиця 1'!$B:$B,$A523,'Таблиця 1'!$I:$I,"Су-27",'Таблиця 1'!$J:$J,"AASM-250"))</f>
        <v/>
      </c>
      <c r="J523">
        <f>IF($A523="","",SUMIFS('Таблиця 1'!$K:$K,'Таблиця 1'!$B:$B,$A523,'Таблиця 1'!$I:$I,"Mirage",'Таблиця 1'!$J:$J,"GBU-39")+SUMIFS('Таблиця 1'!$K:$K,'Таблиця 1'!$B:$B,$A523,'Таблиця 1'!$I:$I,"F-16",'Таблиця 1'!$J:$J,"GBU-39")+SUMIFS('Таблиця 1'!$K:$K,'Таблиця 1'!$B:$B,$A523,'Таблиця 1'!$I:$I,"МіГ-29",'Таблиця 1'!$J:$J,"GBU-39")+SUMIFS('Таблиця 1'!$K:$K,'Таблиця 1'!$B:$B,$A523,'Таблиця 1'!$I:$I,"Су-25",'Таблиця 1'!$J:$J,"GBU-39")+SUMIFS('Таблиця 1'!$K:$K,'Таблиця 1'!$B:$B,$A523,'Таблиця 1'!$I:$I,"Су-27",'Таблиця 1'!$J:$J,"GBU-39"))</f>
        <v/>
      </c>
      <c r="K523">
        <f>IF($A523="","",SUMIFS('Таблиця 1'!$K:$K,'Таблиця 1'!$B:$B,$A523,'Таблиця 1'!$I:$I,"Mirage",'Таблиця 1'!$J:$J,"BLU-140")+SUMIFS('Таблиця 1'!$K:$K,'Таблиця 1'!$B:$B,$A523,'Таблиця 1'!$I:$I,"F-16",'Таблиця 1'!$J:$J,"BLU-140")+SUMIFS('Таблиця 1'!$K:$K,'Таблиця 1'!$B:$B,$A523,'Таблиця 1'!$I:$I,"МіГ-29",'Таблиця 1'!$J:$J,"BLU-140")+SUMIFS('Таблиця 1'!$K:$K,'Таблиця 1'!$B:$B,$A523,'Таблиця 1'!$I:$I,"Су-25",'Таблиця 1'!$J:$J,"BLU-140")+SUMIFS('Таблиця 1'!$K:$K,'Таблиця 1'!$B:$B,$A523,'Таблиця 1'!$I:$I,"Су-27",'Таблиця 1'!$J:$J,"BLU-140"))</f>
        <v/>
      </c>
      <c r="L523">
        <f>IF($A523="","",SUMIFS('Таблиця 1'!$K:$K,'Таблиця 1'!$B:$B,$A523,'Таблиця 1'!$I:$I,"Mirage",'Таблиця 1'!$J:$J,"GBU-65")+SUMIFS('Таблиця 1'!$K:$K,'Таблиця 1'!$B:$B,$A523,'Таблиця 1'!$I:$I,"F-16",'Таблиця 1'!$J:$J,"GBU-65")+SUMIFS('Таблиця 1'!$K:$K,'Таблиця 1'!$B:$B,$A523,'Таблиця 1'!$I:$I,"МіГ-29",'Таблиця 1'!$J:$J,"GBU-65")+SUMIFS('Таблиця 1'!$K:$K,'Таблиця 1'!$B:$B,$A523,'Таблиця 1'!$I:$I,"Су-25",'Таблиця 1'!$J:$J,"GBU-65")+SUMIFS('Таблиця 1'!$K:$K,'Таблиця 1'!$B:$B,$A523,'Таблиця 1'!$I:$I,"Су-27",'Таблиця 1'!$J:$J,"GBU-65"))</f>
        <v/>
      </c>
      <c r="M523">
        <f>IF($A523="","",SUMIFS('Таблиця 1'!$K:$K,'Таблиця 1'!$B:$B,$A523,'Таблиця 1'!$I:$I,"Mirage",'Таблиця 1'!$J:$J,"GBU-62")+SUMIFS('Таблиця 1'!$K:$K,'Таблиця 1'!$B:$B,$A523,'Таблиця 1'!$I:$I,"F-16",'Таблиця 1'!$J:$J,"GBU-62")+SUMIFS('Таблиця 1'!$K:$K,'Таблиця 1'!$B:$B,$A523,'Таблиця 1'!$I:$I,"МіГ-29",'Таблиця 1'!$J:$J,"GBU-62")+SUMIFS('Таблиця 1'!$K:$K,'Таблиця 1'!$B:$B,$A523,'Таблиця 1'!$I:$I,"Су-25",'Таблиця 1'!$J:$J,"GBU-62")+SUMIFS('Таблиця 1'!$K:$K,'Таблиця 1'!$B:$B,$A523,'Таблиця 1'!$I:$I,"Су-27",'Таблиця 1'!$J:$J,"GBU-62"))</f>
        <v/>
      </c>
      <c r="N523">
        <f>IF($A523="","",SUMIFS('Таблиця 1'!$K:$K,'Таблиця 1'!$B:$B,$A523,'Таблиця 1'!$I:$I,"Mirage",'Таблиця 1'!$J:$J,"GBU-64")+SUMIFS('Таблиця 1'!$K:$K,'Таблиця 1'!$B:$B,$A523,'Таблиця 1'!$I:$I,"F-16",'Таблиця 1'!$J:$J,"GBU-64")+SUMIFS('Таблиця 1'!$K:$K,'Таблиця 1'!$B:$B,$A523,'Таблиця 1'!$I:$I,"МіГ-29",'Таблиця 1'!$J:$J,"GBU-64")+SUMIFS('Таблиця 1'!$K:$K,'Таблиця 1'!$B:$B,$A523,'Таблиця 1'!$I:$I,"Су-25",'Таблиця 1'!$J:$J,"GBU-64")+SUMIFS('Таблиця 1'!$K:$K,'Таблиця 1'!$B:$B,$A523,'Таблиця 1'!$I:$I,"Су-27",'Таблиця 1'!$J:$J,"GBU-64"))</f>
        <v/>
      </c>
      <c r="O523">
        <f>IF($A523="","",SUMIFS('Таблиця 1'!$K:$K,'Таблиця 1'!$B:$B,$A523,'Таблиця 1'!$I:$I,"Mirage",'Таблиця 1'!$J:$J,"C-13")+SUMIFS('Таблиця 1'!$K:$K,'Таблиця 1'!$B:$B,$A523,'Таблиця 1'!$I:$I,"F-16",'Таблиця 1'!$J:$J,"C-13")+SUMIFS('Таблиця 1'!$K:$K,'Таблиця 1'!$B:$B,$A523,'Таблиця 1'!$I:$I,"МіГ-29",'Таблиця 1'!$J:$J,"C-13")+SUMIFS('Таблиця 1'!$K:$K,'Таблиця 1'!$B:$B,$A523,'Таблиця 1'!$I:$I,"Су-25",'Таблиця 1'!$J:$J,"C-13")+SUMIFS('Таблиця 1'!$K:$K,'Таблиця 1'!$B:$B,$A523,'Таблиця 1'!$I:$I,"Су-27",'Таблиця 1'!$J:$J,"C-13"))</f>
        <v/>
      </c>
      <c r="P523">
        <f>IF($A523="","",SUMIFS('Таблиця 1'!$K:$K,'Таблиця 1'!$B:$B,$A523,'Таблиця 1'!$I:$I,"Mirage",'Таблиця 1'!$J:$J,"MK-32")+SUMIFS('Таблиця 1'!$K:$K,'Таблиця 1'!$B:$B,$A523,'Таблиця 1'!$I:$I,"F-16",'Таблиця 1'!$J:$J,"MK-32")+SUMIFS('Таблиця 1'!$K:$K,'Таблиця 1'!$B:$B,$A523,'Таблиця 1'!$I:$I,"МіГ-29",'Таблиця 1'!$J:$J,"MK-32")+SUMIFS('Таблиця 1'!$K:$K,'Таблиця 1'!$B:$B,$A523,'Таблиця 1'!$I:$I,"Су-25",'Таблиця 1'!$J:$J,"MK-32")+SUMIFS('Таблиця 1'!$K:$K,'Таблиця 1'!$B:$B,$A523,'Таблиця 1'!$I:$I,"Су-27",'Таблиця 1'!$J:$J,"MK-32"))</f>
        <v/>
      </c>
      <c r="Q523">
        <f>IF($A523="","",SUMIFS('Таблиця 1'!$K:$K,'Таблиця 1'!$B:$B,$A523,'Таблиця 1'!$I:$I,"Mirage",'Таблиця 1'!$J:$J,"MK-24")+SUMIFS('Таблиця 1'!$K:$K,'Таблиця 1'!$B:$B,$A523,'Таблиця 1'!$I:$I,"F-16",'Таблиця 1'!$J:$J,"MK-24")+SUMIFS('Таблиця 1'!$K:$K,'Таблиця 1'!$B:$B,$A523,'Таблиця 1'!$I:$I,"МіГ-29",'Таблиця 1'!$J:$J,"MK-24")+SUMIFS('Таблиця 1'!$K:$K,'Таблиця 1'!$B:$B,$A523,'Таблиця 1'!$I:$I,"Су-25",'Таблиця 1'!$J:$J,"MK-24")+SUMIFS('Таблиця 1'!$K:$K,'Таблиця 1'!$B:$B,$A523,'Таблиця 1'!$I:$I,"Су-27",'Таблиця 1'!$J:$J,"MK-24"))</f>
        <v/>
      </c>
      <c r="R523">
        <f>IF($A523="","",COUNTIFS('Таблиця 1'!$B:$B,$A523,'Таблиця 1'!$I:$I,"Mirage",'Таблиця 1'!$L:$L,"Уражено")+COUNTIFS('Таблиця 1'!$B:$B,$A523,'Таблиця 1'!$I:$I,"F-16",'Таблиця 1'!$L:$L,"Уражено")+COUNTIFS('Таблиця 1'!$B:$B,$A523,'Таблиця 1'!$I:$I,"МіГ-29",'Таблиця 1'!$L:$L,"Уражено")+COUNTIFS('Таблиця 1'!$B:$B,$A523,'Таблиця 1'!$I:$I,"Су-25",'Таблиця 1'!$L:$L,"Уражено")+COUNTIFS('Таблиця 1'!$B:$B,$A523,'Таблиця 1'!$I:$I,"Су-27",'Таблиця 1'!$L:$L,"Уражено"))</f>
        <v/>
      </c>
      <c r="S523">
        <f>IF($A523="","",COUNTIFS('Таблиця 1'!$B:$B,$A523,'Таблиця 1'!$I:$I,"Mirage",'Таблиця 1'!$L:$L,"НЕ уражено")+COUNTIFS('Таблиця 1'!$B:$B,$A523,'Таблиця 1'!$I:$I,"F-16",'Таблиця 1'!$L:$L,"НЕ уражено")+COUNTIFS('Таблиця 1'!$B:$B,$A523,'Таблиця 1'!$I:$I,"МіГ-29",'Таблиця 1'!$L:$L,"НЕ уражено")+COUNTIFS('Таблиця 1'!$B:$B,$A523,'Таблиця 1'!$I:$I,"Су-25",'Таблиця 1'!$L:$L,"НЕ уражено")+COUNTIFS('Таблиця 1'!$B:$B,$A523,'Таблиця 1'!$I:$I,"Су-27",'Таблиця 1'!$L:$L,"НЕ уражено"))</f>
        <v/>
      </c>
      <c r="T523">
        <f>IF($A523="","",COUNTIFS('Таблиця 1'!$B:$B,$A523,'Таблиця 1'!$I:$I,"Mirage",'Таблиця 1'!$L:$L,"Дорозвідується")+COUNTIFS('Таблиця 1'!$B:$B,$A523,'Таблиця 1'!$I:$I,"F-16",'Таблиця 1'!$L:$L,"Дорозвідується")+COUNTIFS('Таблиця 1'!$B:$B,$A523,'Таблиця 1'!$I:$I,"МіГ-29",'Таблиця 1'!$L:$L,"Дорозвідується")+COUNTIFS('Таблиця 1'!$B:$B,$A523,'Таблиця 1'!$I:$I,"Су-25",'Таблиця 1'!$L:$L,"Дорозвідується")+COUNTIFS('Таблиця 1'!$B:$B,$A523,'Таблиця 1'!$I:$I,"Су-27",'Таблиця 1'!$L:$L,"Дорозвідується"))</f>
        <v/>
      </c>
    </row>
    <row r="524">
      <c r="A524" s="273">
        <f>IF(A523="","",IF(A523+1&gt;MAX('Таблиця 1'!$B:$B),"",A523+1))</f>
        <v/>
      </c>
      <c r="B524">
        <f>IF($A524="","",COUNTIFS('Таблиця 1'!$B:$B,$A524,'Таблиця 1'!$I:$I,"Mirage")+COUNTIFS('Таблиця 1'!$B:$B,$A524,'Таблиця 1'!$I:$I,"F-16")+COUNTIFS('Таблиця 1'!$B:$B,$A524,'Таблиця 1'!$I:$I,"МіГ-29")+COUNTIFS('Таблиця 1'!$B:$B,$A524,'Таблиця 1'!$I:$I,"Су-25")+COUNTIFS('Таблиця 1'!$B:$B,$A524,'Таблиця 1'!$I:$I,"Су-27"))</f>
        <v/>
      </c>
      <c r="C524">
        <f>IF($A524="","",COUNTIFS('Таблиця 1'!$B:$B,$A524,'Таблиця 1'!$I:$I,"Mirage"))</f>
        <v/>
      </c>
      <c r="D524">
        <f>IF($A524="","",COUNTIFS('Таблиця 1'!$B:$B,$A524,'Таблиця 1'!$I:$I,"F-16"))</f>
        <v/>
      </c>
      <c r="E524">
        <f>IF($A524="","",COUNTIFS('Таблиця 1'!$B:$B,$A524,'Таблиця 1'!$I:$I,"МіГ-29"))</f>
        <v/>
      </c>
      <c r="F524">
        <f>IF($A524="","",COUNTIFS('Таблиця 1'!$B:$B,$A524,'Таблиця 1'!$I:$I,"Су-25"))</f>
        <v/>
      </c>
      <c r="G524">
        <f>IF($A524="","",COUNTIFS('Таблиця 1'!$B:$B,$A524,'Таблиця 1'!$I:$I,"Су-27"))</f>
        <v/>
      </c>
      <c r="H524">
        <f>IF($A524="","",SUMIFS('Таблиця 1'!$K:$K,'Таблиця 1'!$B:$B,$A524,'Таблиця 1'!$I:$I,"Mirage",'Таблиця 1'!$J:$J,"AGM-88")+SUMIFS('Таблиця 1'!$K:$K,'Таблиця 1'!$B:$B,$A524,'Таблиця 1'!$I:$I,"F-16",'Таблиця 1'!$J:$J,"AGM-88")+SUMIFS('Таблиця 1'!$K:$K,'Таблиця 1'!$B:$B,$A524,'Таблиця 1'!$I:$I,"МіГ-29",'Таблиця 1'!$J:$J,"AGM-88")+SUMIFS('Таблиця 1'!$K:$K,'Таблиця 1'!$B:$B,$A524,'Таблиця 1'!$I:$I,"Су-25",'Таблиця 1'!$J:$J,"AGM-88")+SUMIFS('Таблиця 1'!$K:$K,'Таблиця 1'!$B:$B,$A524,'Таблиця 1'!$I:$I,"Су-27",'Таблиця 1'!$J:$J,"AGM-88"))</f>
        <v/>
      </c>
      <c r="I524">
        <f>IF($A524="","",SUMIFS('Таблиця 1'!$K:$K,'Таблиця 1'!$B:$B,$A524,'Таблиця 1'!$I:$I,"Mirage",'Таблиця 1'!$J:$J,"AASM-250")+SUMIFS('Таблиця 1'!$K:$K,'Таблиця 1'!$B:$B,$A524,'Таблиця 1'!$I:$I,"F-16",'Таблиця 1'!$J:$J,"AASM-250")+SUMIFS('Таблиця 1'!$K:$K,'Таблиця 1'!$B:$B,$A524,'Таблиця 1'!$I:$I,"МіГ-29",'Таблиця 1'!$J:$J,"AASM-250")+SUMIFS('Таблиця 1'!$K:$K,'Таблиця 1'!$B:$B,$A524,'Таблиця 1'!$I:$I,"Су-25",'Таблиця 1'!$J:$J,"AASM-250")+SUMIFS('Таблиця 1'!$K:$K,'Таблиця 1'!$B:$B,$A524,'Таблиця 1'!$I:$I,"Су-27",'Таблиця 1'!$J:$J,"AASM-250"))</f>
        <v/>
      </c>
      <c r="J524">
        <f>IF($A524="","",SUMIFS('Таблиця 1'!$K:$K,'Таблиця 1'!$B:$B,$A524,'Таблиця 1'!$I:$I,"Mirage",'Таблиця 1'!$J:$J,"GBU-39")+SUMIFS('Таблиця 1'!$K:$K,'Таблиця 1'!$B:$B,$A524,'Таблиця 1'!$I:$I,"F-16",'Таблиця 1'!$J:$J,"GBU-39")+SUMIFS('Таблиця 1'!$K:$K,'Таблиця 1'!$B:$B,$A524,'Таблиця 1'!$I:$I,"МіГ-29",'Таблиця 1'!$J:$J,"GBU-39")+SUMIFS('Таблиця 1'!$K:$K,'Таблиця 1'!$B:$B,$A524,'Таблиця 1'!$I:$I,"Су-25",'Таблиця 1'!$J:$J,"GBU-39")+SUMIFS('Таблиця 1'!$K:$K,'Таблиця 1'!$B:$B,$A524,'Таблиця 1'!$I:$I,"Су-27",'Таблиця 1'!$J:$J,"GBU-39"))</f>
        <v/>
      </c>
      <c r="K524">
        <f>IF($A524="","",SUMIFS('Таблиця 1'!$K:$K,'Таблиця 1'!$B:$B,$A524,'Таблиця 1'!$I:$I,"Mirage",'Таблиця 1'!$J:$J,"BLU-140")+SUMIFS('Таблиця 1'!$K:$K,'Таблиця 1'!$B:$B,$A524,'Таблиця 1'!$I:$I,"F-16",'Таблиця 1'!$J:$J,"BLU-140")+SUMIFS('Таблиця 1'!$K:$K,'Таблиця 1'!$B:$B,$A524,'Таблиця 1'!$I:$I,"МіГ-29",'Таблиця 1'!$J:$J,"BLU-140")+SUMIFS('Таблиця 1'!$K:$K,'Таблиця 1'!$B:$B,$A524,'Таблиця 1'!$I:$I,"Су-25",'Таблиця 1'!$J:$J,"BLU-140")+SUMIFS('Таблиця 1'!$K:$K,'Таблиця 1'!$B:$B,$A524,'Таблиця 1'!$I:$I,"Су-27",'Таблиця 1'!$J:$J,"BLU-140"))</f>
        <v/>
      </c>
      <c r="L524">
        <f>IF($A524="","",SUMIFS('Таблиця 1'!$K:$K,'Таблиця 1'!$B:$B,$A524,'Таблиця 1'!$I:$I,"Mirage",'Таблиця 1'!$J:$J,"GBU-65")+SUMIFS('Таблиця 1'!$K:$K,'Таблиця 1'!$B:$B,$A524,'Таблиця 1'!$I:$I,"F-16",'Таблиця 1'!$J:$J,"GBU-65")+SUMIFS('Таблиця 1'!$K:$K,'Таблиця 1'!$B:$B,$A524,'Таблиця 1'!$I:$I,"МіГ-29",'Таблиця 1'!$J:$J,"GBU-65")+SUMIFS('Таблиця 1'!$K:$K,'Таблиця 1'!$B:$B,$A524,'Таблиця 1'!$I:$I,"Су-25",'Таблиця 1'!$J:$J,"GBU-65")+SUMIFS('Таблиця 1'!$K:$K,'Таблиця 1'!$B:$B,$A524,'Таблиця 1'!$I:$I,"Су-27",'Таблиця 1'!$J:$J,"GBU-65"))</f>
        <v/>
      </c>
      <c r="M524">
        <f>IF($A524="","",SUMIFS('Таблиця 1'!$K:$K,'Таблиця 1'!$B:$B,$A524,'Таблиця 1'!$I:$I,"Mirage",'Таблиця 1'!$J:$J,"GBU-62")+SUMIFS('Таблиця 1'!$K:$K,'Таблиця 1'!$B:$B,$A524,'Таблиця 1'!$I:$I,"F-16",'Таблиця 1'!$J:$J,"GBU-62")+SUMIFS('Таблиця 1'!$K:$K,'Таблиця 1'!$B:$B,$A524,'Таблиця 1'!$I:$I,"МіГ-29",'Таблиця 1'!$J:$J,"GBU-62")+SUMIFS('Таблиця 1'!$K:$K,'Таблиця 1'!$B:$B,$A524,'Таблиця 1'!$I:$I,"Су-25",'Таблиця 1'!$J:$J,"GBU-62")+SUMIFS('Таблиця 1'!$K:$K,'Таблиця 1'!$B:$B,$A524,'Таблиця 1'!$I:$I,"Су-27",'Таблиця 1'!$J:$J,"GBU-62"))</f>
        <v/>
      </c>
      <c r="N524">
        <f>IF($A524="","",SUMIFS('Таблиця 1'!$K:$K,'Таблиця 1'!$B:$B,$A524,'Таблиця 1'!$I:$I,"Mirage",'Таблиця 1'!$J:$J,"GBU-64")+SUMIFS('Таблиця 1'!$K:$K,'Таблиця 1'!$B:$B,$A524,'Таблиця 1'!$I:$I,"F-16",'Таблиця 1'!$J:$J,"GBU-64")+SUMIFS('Таблиця 1'!$K:$K,'Таблиця 1'!$B:$B,$A524,'Таблиця 1'!$I:$I,"МіГ-29",'Таблиця 1'!$J:$J,"GBU-64")+SUMIFS('Таблиця 1'!$K:$K,'Таблиця 1'!$B:$B,$A524,'Таблиця 1'!$I:$I,"Су-25",'Таблиця 1'!$J:$J,"GBU-64")+SUMIFS('Таблиця 1'!$K:$K,'Таблиця 1'!$B:$B,$A524,'Таблиця 1'!$I:$I,"Су-27",'Таблиця 1'!$J:$J,"GBU-64"))</f>
        <v/>
      </c>
      <c r="O524">
        <f>IF($A524="","",SUMIFS('Таблиця 1'!$K:$K,'Таблиця 1'!$B:$B,$A524,'Таблиця 1'!$I:$I,"Mirage",'Таблиця 1'!$J:$J,"C-13")+SUMIFS('Таблиця 1'!$K:$K,'Таблиця 1'!$B:$B,$A524,'Таблиця 1'!$I:$I,"F-16",'Таблиця 1'!$J:$J,"C-13")+SUMIFS('Таблиця 1'!$K:$K,'Таблиця 1'!$B:$B,$A524,'Таблиця 1'!$I:$I,"МіГ-29",'Таблиця 1'!$J:$J,"C-13")+SUMIFS('Таблиця 1'!$K:$K,'Таблиця 1'!$B:$B,$A524,'Таблиця 1'!$I:$I,"Су-25",'Таблиця 1'!$J:$J,"C-13")+SUMIFS('Таблиця 1'!$K:$K,'Таблиця 1'!$B:$B,$A524,'Таблиця 1'!$I:$I,"Су-27",'Таблиця 1'!$J:$J,"C-13"))</f>
        <v/>
      </c>
      <c r="P524">
        <f>IF($A524="","",SUMIFS('Таблиця 1'!$K:$K,'Таблиця 1'!$B:$B,$A524,'Таблиця 1'!$I:$I,"Mirage",'Таблиця 1'!$J:$J,"MK-32")+SUMIFS('Таблиця 1'!$K:$K,'Таблиця 1'!$B:$B,$A524,'Таблиця 1'!$I:$I,"F-16",'Таблиця 1'!$J:$J,"MK-32")+SUMIFS('Таблиця 1'!$K:$K,'Таблиця 1'!$B:$B,$A524,'Таблиця 1'!$I:$I,"МіГ-29",'Таблиця 1'!$J:$J,"MK-32")+SUMIFS('Таблиця 1'!$K:$K,'Таблиця 1'!$B:$B,$A524,'Таблиця 1'!$I:$I,"Су-25",'Таблиця 1'!$J:$J,"MK-32")+SUMIFS('Таблиця 1'!$K:$K,'Таблиця 1'!$B:$B,$A524,'Таблиця 1'!$I:$I,"Су-27",'Таблиця 1'!$J:$J,"MK-32"))</f>
        <v/>
      </c>
      <c r="Q524">
        <f>IF($A524="","",SUMIFS('Таблиця 1'!$K:$K,'Таблиця 1'!$B:$B,$A524,'Таблиця 1'!$I:$I,"Mirage",'Таблиця 1'!$J:$J,"MK-24")+SUMIFS('Таблиця 1'!$K:$K,'Таблиця 1'!$B:$B,$A524,'Таблиця 1'!$I:$I,"F-16",'Таблиця 1'!$J:$J,"MK-24")+SUMIFS('Таблиця 1'!$K:$K,'Таблиця 1'!$B:$B,$A524,'Таблиця 1'!$I:$I,"МіГ-29",'Таблиця 1'!$J:$J,"MK-24")+SUMIFS('Таблиця 1'!$K:$K,'Таблиця 1'!$B:$B,$A524,'Таблиця 1'!$I:$I,"Су-25",'Таблиця 1'!$J:$J,"MK-24")+SUMIFS('Таблиця 1'!$K:$K,'Таблиця 1'!$B:$B,$A524,'Таблиця 1'!$I:$I,"Су-27",'Таблиця 1'!$J:$J,"MK-24"))</f>
        <v/>
      </c>
      <c r="R524">
        <f>IF($A524="","",COUNTIFS('Таблиця 1'!$B:$B,$A524,'Таблиця 1'!$I:$I,"Mirage",'Таблиця 1'!$L:$L,"Уражено")+COUNTIFS('Таблиця 1'!$B:$B,$A524,'Таблиця 1'!$I:$I,"F-16",'Таблиця 1'!$L:$L,"Уражено")+COUNTIFS('Таблиця 1'!$B:$B,$A524,'Таблиця 1'!$I:$I,"МіГ-29",'Таблиця 1'!$L:$L,"Уражено")+COUNTIFS('Таблиця 1'!$B:$B,$A524,'Таблиця 1'!$I:$I,"Су-25",'Таблиця 1'!$L:$L,"Уражено")+COUNTIFS('Таблиця 1'!$B:$B,$A524,'Таблиця 1'!$I:$I,"Су-27",'Таблиця 1'!$L:$L,"Уражено"))</f>
        <v/>
      </c>
      <c r="S524">
        <f>IF($A524="","",COUNTIFS('Таблиця 1'!$B:$B,$A524,'Таблиця 1'!$I:$I,"Mirage",'Таблиця 1'!$L:$L,"НЕ уражено")+COUNTIFS('Таблиця 1'!$B:$B,$A524,'Таблиця 1'!$I:$I,"F-16",'Таблиця 1'!$L:$L,"НЕ уражено")+COUNTIFS('Таблиця 1'!$B:$B,$A524,'Таблиця 1'!$I:$I,"МіГ-29",'Таблиця 1'!$L:$L,"НЕ уражено")+COUNTIFS('Таблиця 1'!$B:$B,$A524,'Таблиця 1'!$I:$I,"Су-25",'Таблиця 1'!$L:$L,"НЕ уражено")+COUNTIFS('Таблиця 1'!$B:$B,$A524,'Таблиця 1'!$I:$I,"Су-27",'Таблиця 1'!$L:$L,"НЕ уражено"))</f>
        <v/>
      </c>
      <c r="T524">
        <f>IF($A524="","",COUNTIFS('Таблиця 1'!$B:$B,$A524,'Таблиця 1'!$I:$I,"Mirage",'Таблиця 1'!$L:$L,"Дорозвідується")+COUNTIFS('Таблиця 1'!$B:$B,$A524,'Таблиця 1'!$I:$I,"F-16",'Таблиця 1'!$L:$L,"Дорозвідується")+COUNTIFS('Таблиця 1'!$B:$B,$A524,'Таблиця 1'!$I:$I,"МіГ-29",'Таблиця 1'!$L:$L,"Дорозвідується")+COUNTIFS('Таблиця 1'!$B:$B,$A524,'Таблиця 1'!$I:$I,"Су-25",'Таблиця 1'!$L:$L,"Дорозвідується")+COUNTIFS('Таблиця 1'!$B:$B,$A524,'Таблиця 1'!$I:$I,"Су-27",'Таблиця 1'!$L:$L,"Дорозвідується"))</f>
        <v/>
      </c>
    </row>
    <row r="525">
      <c r="A525" s="273">
        <f>IF(A524="","",IF(A524+1&gt;MAX('Таблиця 1'!$B:$B),"",A524+1))</f>
        <v/>
      </c>
      <c r="B525">
        <f>IF($A525="","",COUNTIFS('Таблиця 1'!$B:$B,$A525,'Таблиця 1'!$I:$I,"Mirage")+COUNTIFS('Таблиця 1'!$B:$B,$A525,'Таблиця 1'!$I:$I,"F-16")+COUNTIFS('Таблиця 1'!$B:$B,$A525,'Таблиця 1'!$I:$I,"МіГ-29")+COUNTIFS('Таблиця 1'!$B:$B,$A525,'Таблиця 1'!$I:$I,"Су-25")+COUNTIFS('Таблиця 1'!$B:$B,$A525,'Таблиця 1'!$I:$I,"Су-27"))</f>
        <v/>
      </c>
      <c r="C525">
        <f>IF($A525="","",COUNTIFS('Таблиця 1'!$B:$B,$A525,'Таблиця 1'!$I:$I,"Mirage"))</f>
        <v/>
      </c>
      <c r="D525">
        <f>IF($A525="","",COUNTIFS('Таблиця 1'!$B:$B,$A525,'Таблиця 1'!$I:$I,"F-16"))</f>
        <v/>
      </c>
      <c r="E525">
        <f>IF($A525="","",COUNTIFS('Таблиця 1'!$B:$B,$A525,'Таблиця 1'!$I:$I,"МіГ-29"))</f>
        <v/>
      </c>
      <c r="F525">
        <f>IF($A525="","",COUNTIFS('Таблиця 1'!$B:$B,$A525,'Таблиця 1'!$I:$I,"Су-25"))</f>
        <v/>
      </c>
      <c r="G525">
        <f>IF($A525="","",COUNTIFS('Таблиця 1'!$B:$B,$A525,'Таблиця 1'!$I:$I,"Су-27"))</f>
        <v/>
      </c>
      <c r="H525">
        <f>IF($A525="","",SUMIFS('Таблиця 1'!$K:$K,'Таблиця 1'!$B:$B,$A525,'Таблиця 1'!$I:$I,"Mirage",'Таблиця 1'!$J:$J,"AGM-88")+SUMIFS('Таблиця 1'!$K:$K,'Таблиця 1'!$B:$B,$A525,'Таблиця 1'!$I:$I,"F-16",'Таблиця 1'!$J:$J,"AGM-88")+SUMIFS('Таблиця 1'!$K:$K,'Таблиця 1'!$B:$B,$A525,'Таблиця 1'!$I:$I,"МіГ-29",'Таблиця 1'!$J:$J,"AGM-88")+SUMIFS('Таблиця 1'!$K:$K,'Таблиця 1'!$B:$B,$A525,'Таблиця 1'!$I:$I,"Су-25",'Таблиця 1'!$J:$J,"AGM-88")+SUMIFS('Таблиця 1'!$K:$K,'Таблиця 1'!$B:$B,$A525,'Таблиця 1'!$I:$I,"Су-27",'Таблиця 1'!$J:$J,"AGM-88"))</f>
        <v/>
      </c>
      <c r="I525">
        <f>IF($A525="","",SUMIFS('Таблиця 1'!$K:$K,'Таблиця 1'!$B:$B,$A525,'Таблиця 1'!$I:$I,"Mirage",'Таблиця 1'!$J:$J,"AASM-250")+SUMIFS('Таблиця 1'!$K:$K,'Таблиця 1'!$B:$B,$A525,'Таблиця 1'!$I:$I,"F-16",'Таблиця 1'!$J:$J,"AASM-250")+SUMIFS('Таблиця 1'!$K:$K,'Таблиця 1'!$B:$B,$A525,'Таблиця 1'!$I:$I,"МіГ-29",'Таблиця 1'!$J:$J,"AASM-250")+SUMIFS('Таблиця 1'!$K:$K,'Таблиця 1'!$B:$B,$A525,'Таблиця 1'!$I:$I,"Су-25",'Таблиця 1'!$J:$J,"AASM-250")+SUMIFS('Таблиця 1'!$K:$K,'Таблиця 1'!$B:$B,$A525,'Таблиця 1'!$I:$I,"Су-27",'Таблиця 1'!$J:$J,"AASM-250"))</f>
        <v/>
      </c>
      <c r="J525">
        <f>IF($A525="","",SUMIFS('Таблиця 1'!$K:$K,'Таблиця 1'!$B:$B,$A525,'Таблиця 1'!$I:$I,"Mirage",'Таблиця 1'!$J:$J,"GBU-39")+SUMIFS('Таблиця 1'!$K:$K,'Таблиця 1'!$B:$B,$A525,'Таблиця 1'!$I:$I,"F-16",'Таблиця 1'!$J:$J,"GBU-39")+SUMIFS('Таблиця 1'!$K:$K,'Таблиця 1'!$B:$B,$A525,'Таблиця 1'!$I:$I,"МіГ-29",'Таблиця 1'!$J:$J,"GBU-39")+SUMIFS('Таблиця 1'!$K:$K,'Таблиця 1'!$B:$B,$A525,'Таблиця 1'!$I:$I,"Су-25",'Таблиця 1'!$J:$J,"GBU-39")+SUMIFS('Таблиця 1'!$K:$K,'Таблиця 1'!$B:$B,$A525,'Таблиця 1'!$I:$I,"Су-27",'Таблиця 1'!$J:$J,"GBU-39"))</f>
        <v/>
      </c>
      <c r="K525">
        <f>IF($A525="","",SUMIFS('Таблиця 1'!$K:$K,'Таблиця 1'!$B:$B,$A525,'Таблиця 1'!$I:$I,"Mirage",'Таблиця 1'!$J:$J,"BLU-140")+SUMIFS('Таблиця 1'!$K:$K,'Таблиця 1'!$B:$B,$A525,'Таблиця 1'!$I:$I,"F-16",'Таблиця 1'!$J:$J,"BLU-140")+SUMIFS('Таблиця 1'!$K:$K,'Таблиця 1'!$B:$B,$A525,'Таблиця 1'!$I:$I,"МіГ-29",'Таблиця 1'!$J:$J,"BLU-140")+SUMIFS('Таблиця 1'!$K:$K,'Таблиця 1'!$B:$B,$A525,'Таблиця 1'!$I:$I,"Су-25",'Таблиця 1'!$J:$J,"BLU-140")+SUMIFS('Таблиця 1'!$K:$K,'Таблиця 1'!$B:$B,$A525,'Таблиця 1'!$I:$I,"Су-27",'Таблиця 1'!$J:$J,"BLU-140"))</f>
        <v/>
      </c>
      <c r="L525">
        <f>IF($A525="","",SUMIFS('Таблиця 1'!$K:$K,'Таблиця 1'!$B:$B,$A525,'Таблиця 1'!$I:$I,"Mirage",'Таблиця 1'!$J:$J,"GBU-65")+SUMIFS('Таблиця 1'!$K:$K,'Таблиця 1'!$B:$B,$A525,'Таблиця 1'!$I:$I,"F-16",'Таблиця 1'!$J:$J,"GBU-65")+SUMIFS('Таблиця 1'!$K:$K,'Таблиця 1'!$B:$B,$A525,'Таблиця 1'!$I:$I,"МіГ-29",'Таблиця 1'!$J:$J,"GBU-65")+SUMIFS('Таблиця 1'!$K:$K,'Таблиця 1'!$B:$B,$A525,'Таблиця 1'!$I:$I,"Су-25",'Таблиця 1'!$J:$J,"GBU-65")+SUMIFS('Таблиця 1'!$K:$K,'Таблиця 1'!$B:$B,$A525,'Таблиця 1'!$I:$I,"Су-27",'Таблиця 1'!$J:$J,"GBU-65"))</f>
        <v/>
      </c>
      <c r="M525">
        <f>IF($A525="","",SUMIFS('Таблиця 1'!$K:$K,'Таблиця 1'!$B:$B,$A525,'Таблиця 1'!$I:$I,"Mirage",'Таблиця 1'!$J:$J,"GBU-62")+SUMIFS('Таблиця 1'!$K:$K,'Таблиця 1'!$B:$B,$A525,'Таблиця 1'!$I:$I,"F-16",'Таблиця 1'!$J:$J,"GBU-62")+SUMIFS('Таблиця 1'!$K:$K,'Таблиця 1'!$B:$B,$A525,'Таблиця 1'!$I:$I,"МіГ-29",'Таблиця 1'!$J:$J,"GBU-62")+SUMIFS('Таблиця 1'!$K:$K,'Таблиця 1'!$B:$B,$A525,'Таблиця 1'!$I:$I,"Су-25",'Таблиця 1'!$J:$J,"GBU-62")+SUMIFS('Таблиця 1'!$K:$K,'Таблиця 1'!$B:$B,$A525,'Таблиця 1'!$I:$I,"Су-27",'Таблиця 1'!$J:$J,"GBU-62"))</f>
        <v/>
      </c>
      <c r="N525">
        <f>IF($A525="","",SUMIFS('Таблиця 1'!$K:$K,'Таблиця 1'!$B:$B,$A525,'Таблиця 1'!$I:$I,"Mirage",'Таблиця 1'!$J:$J,"GBU-64")+SUMIFS('Таблиця 1'!$K:$K,'Таблиця 1'!$B:$B,$A525,'Таблиця 1'!$I:$I,"F-16",'Таблиця 1'!$J:$J,"GBU-64")+SUMIFS('Таблиця 1'!$K:$K,'Таблиця 1'!$B:$B,$A525,'Таблиця 1'!$I:$I,"МіГ-29",'Таблиця 1'!$J:$J,"GBU-64")+SUMIFS('Таблиця 1'!$K:$K,'Таблиця 1'!$B:$B,$A525,'Таблиця 1'!$I:$I,"Су-25",'Таблиця 1'!$J:$J,"GBU-64")+SUMIFS('Таблиця 1'!$K:$K,'Таблиця 1'!$B:$B,$A525,'Таблиця 1'!$I:$I,"Су-27",'Таблиця 1'!$J:$J,"GBU-64"))</f>
        <v/>
      </c>
      <c r="O525">
        <f>IF($A525="","",SUMIFS('Таблиця 1'!$K:$K,'Таблиця 1'!$B:$B,$A525,'Таблиця 1'!$I:$I,"Mirage",'Таблиця 1'!$J:$J,"C-13")+SUMIFS('Таблиця 1'!$K:$K,'Таблиця 1'!$B:$B,$A525,'Таблиця 1'!$I:$I,"F-16",'Таблиця 1'!$J:$J,"C-13")+SUMIFS('Таблиця 1'!$K:$K,'Таблиця 1'!$B:$B,$A525,'Таблиця 1'!$I:$I,"МіГ-29",'Таблиця 1'!$J:$J,"C-13")+SUMIFS('Таблиця 1'!$K:$K,'Таблиця 1'!$B:$B,$A525,'Таблиця 1'!$I:$I,"Су-25",'Таблиця 1'!$J:$J,"C-13")+SUMIFS('Таблиця 1'!$K:$K,'Таблиця 1'!$B:$B,$A525,'Таблиця 1'!$I:$I,"Су-27",'Таблиця 1'!$J:$J,"C-13"))</f>
        <v/>
      </c>
      <c r="P525">
        <f>IF($A525="","",SUMIFS('Таблиця 1'!$K:$K,'Таблиця 1'!$B:$B,$A525,'Таблиця 1'!$I:$I,"Mirage",'Таблиця 1'!$J:$J,"MK-32")+SUMIFS('Таблиця 1'!$K:$K,'Таблиця 1'!$B:$B,$A525,'Таблиця 1'!$I:$I,"F-16",'Таблиця 1'!$J:$J,"MK-32")+SUMIFS('Таблиця 1'!$K:$K,'Таблиця 1'!$B:$B,$A525,'Таблиця 1'!$I:$I,"МіГ-29",'Таблиця 1'!$J:$J,"MK-32")+SUMIFS('Таблиця 1'!$K:$K,'Таблиця 1'!$B:$B,$A525,'Таблиця 1'!$I:$I,"Су-25",'Таблиця 1'!$J:$J,"MK-32")+SUMIFS('Таблиця 1'!$K:$K,'Таблиця 1'!$B:$B,$A525,'Таблиця 1'!$I:$I,"Су-27",'Таблиця 1'!$J:$J,"MK-32"))</f>
        <v/>
      </c>
      <c r="Q525">
        <f>IF($A525="","",SUMIFS('Таблиця 1'!$K:$K,'Таблиця 1'!$B:$B,$A525,'Таблиця 1'!$I:$I,"Mirage",'Таблиця 1'!$J:$J,"MK-24")+SUMIFS('Таблиця 1'!$K:$K,'Таблиця 1'!$B:$B,$A525,'Таблиця 1'!$I:$I,"F-16",'Таблиця 1'!$J:$J,"MK-24")+SUMIFS('Таблиця 1'!$K:$K,'Таблиця 1'!$B:$B,$A525,'Таблиця 1'!$I:$I,"МіГ-29",'Таблиця 1'!$J:$J,"MK-24")+SUMIFS('Таблиця 1'!$K:$K,'Таблиця 1'!$B:$B,$A525,'Таблиця 1'!$I:$I,"Су-25",'Таблиця 1'!$J:$J,"MK-24")+SUMIFS('Таблиця 1'!$K:$K,'Таблиця 1'!$B:$B,$A525,'Таблиця 1'!$I:$I,"Су-27",'Таблиця 1'!$J:$J,"MK-24"))</f>
        <v/>
      </c>
      <c r="R525">
        <f>IF($A525="","",COUNTIFS('Таблиця 1'!$B:$B,$A525,'Таблиця 1'!$I:$I,"Mirage",'Таблиця 1'!$L:$L,"Уражено")+COUNTIFS('Таблиця 1'!$B:$B,$A525,'Таблиця 1'!$I:$I,"F-16",'Таблиця 1'!$L:$L,"Уражено")+COUNTIFS('Таблиця 1'!$B:$B,$A525,'Таблиця 1'!$I:$I,"МіГ-29",'Таблиця 1'!$L:$L,"Уражено")+COUNTIFS('Таблиця 1'!$B:$B,$A525,'Таблиця 1'!$I:$I,"Су-25",'Таблиця 1'!$L:$L,"Уражено")+COUNTIFS('Таблиця 1'!$B:$B,$A525,'Таблиця 1'!$I:$I,"Су-27",'Таблиця 1'!$L:$L,"Уражено"))</f>
        <v/>
      </c>
      <c r="S525">
        <f>IF($A525="","",COUNTIFS('Таблиця 1'!$B:$B,$A525,'Таблиця 1'!$I:$I,"Mirage",'Таблиця 1'!$L:$L,"НЕ уражено")+COUNTIFS('Таблиця 1'!$B:$B,$A525,'Таблиця 1'!$I:$I,"F-16",'Таблиця 1'!$L:$L,"НЕ уражено")+COUNTIFS('Таблиця 1'!$B:$B,$A525,'Таблиця 1'!$I:$I,"МіГ-29",'Таблиця 1'!$L:$L,"НЕ уражено")+COUNTIFS('Таблиця 1'!$B:$B,$A525,'Таблиця 1'!$I:$I,"Су-25",'Таблиця 1'!$L:$L,"НЕ уражено")+COUNTIFS('Таблиця 1'!$B:$B,$A525,'Таблиця 1'!$I:$I,"Су-27",'Таблиця 1'!$L:$L,"НЕ уражено"))</f>
        <v/>
      </c>
      <c r="T525">
        <f>IF($A525="","",COUNTIFS('Таблиця 1'!$B:$B,$A525,'Таблиця 1'!$I:$I,"Mirage",'Таблиця 1'!$L:$L,"Дорозвідується")+COUNTIFS('Таблиця 1'!$B:$B,$A525,'Таблиця 1'!$I:$I,"F-16",'Таблиця 1'!$L:$L,"Дорозвідується")+COUNTIFS('Таблиця 1'!$B:$B,$A525,'Таблиця 1'!$I:$I,"МіГ-29",'Таблиця 1'!$L:$L,"Дорозвідується")+COUNTIFS('Таблиця 1'!$B:$B,$A525,'Таблиця 1'!$I:$I,"Су-25",'Таблиця 1'!$L:$L,"Дорозвідується")+COUNTIFS('Таблиця 1'!$B:$B,$A525,'Таблиця 1'!$I:$I,"Су-27",'Таблиця 1'!$L:$L,"Дорозвідується"))</f>
        <v/>
      </c>
    </row>
    <row r="526">
      <c r="A526" s="273">
        <f>IF(A525="","",IF(A525+1&gt;MAX('Таблиця 1'!$B:$B),"",A525+1))</f>
        <v/>
      </c>
      <c r="B526">
        <f>IF($A526="","",COUNTIFS('Таблиця 1'!$B:$B,$A526,'Таблиця 1'!$I:$I,"Mirage")+COUNTIFS('Таблиця 1'!$B:$B,$A526,'Таблиця 1'!$I:$I,"F-16")+COUNTIFS('Таблиця 1'!$B:$B,$A526,'Таблиця 1'!$I:$I,"МіГ-29")+COUNTIFS('Таблиця 1'!$B:$B,$A526,'Таблиця 1'!$I:$I,"Су-25")+COUNTIFS('Таблиця 1'!$B:$B,$A526,'Таблиця 1'!$I:$I,"Су-27"))</f>
        <v/>
      </c>
      <c r="C526">
        <f>IF($A526="","",COUNTIFS('Таблиця 1'!$B:$B,$A526,'Таблиця 1'!$I:$I,"Mirage"))</f>
        <v/>
      </c>
      <c r="D526">
        <f>IF($A526="","",COUNTIFS('Таблиця 1'!$B:$B,$A526,'Таблиця 1'!$I:$I,"F-16"))</f>
        <v/>
      </c>
      <c r="E526">
        <f>IF($A526="","",COUNTIFS('Таблиця 1'!$B:$B,$A526,'Таблиця 1'!$I:$I,"МіГ-29"))</f>
        <v/>
      </c>
      <c r="F526">
        <f>IF($A526="","",COUNTIFS('Таблиця 1'!$B:$B,$A526,'Таблиця 1'!$I:$I,"Су-25"))</f>
        <v/>
      </c>
      <c r="G526">
        <f>IF($A526="","",COUNTIFS('Таблиця 1'!$B:$B,$A526,'Таблиця 1'!$I:$I,"Су-27"))</f>
        <v/>
      </c>
      <c r="H526">
        <f>IF($A526="","",SUMIFS('Таблиця 1'!$K:$K,'Таблиця 1'!$B:$B,$A526,'Таблиця 1'!$I:$I,"Mirage",'Таблиця 1'!$J:$J,"AGM-88")+SUMIFS('Таблиця 1'!$K:$K,'Таблиця 1'!$B:$B,$A526,'Таблиця 1'!$I:$I,"F-16",'Таблиця 1'!$J:$J,"AGM-88")+SUMIFS('Таблиця 1'!$K:$K,'Таблиця 1'!$B:$B,$A526,'Таблиця 1'!$I:$I,"МіГ-29",'Таблиця 1'!$J:$J,"AGM-88")+SUMIFS('Таблиця 1'!$K:$K,'Таблиця 1'!$B:$B,$A526,'Таблиця 1'!$I:$I,"Су-25",'Таблиця 1'!$J:$J,"AGM-88")+SUMIFS('Таблиця 1'!$K:$K,'Таблиця 1'!$B:$B,$A526,'Таблиця 1'!$I:$I,"Су-27",'Таблиця 1'!$J:$J,"AGM-88"))</f>
        <v/>
      </c>
      <c r="I526">
        <f>IF($A526="","",SUMIFS('Таблиця 1'!$K:$K,'Таблиця 1'!$B:$B,$A526,'Таблиця 1'!$I:$I,"Mirage",'Таблиця 1'!$J:$J,"AASM-250")+SUMIFS('Таблиця 1'!$K:$K,'Таблиця 1'!$B:$B,$A526,'Таблиця 1'!$I:$I,"F-16",'Таблиця 1'!$J:$J,"AASM-250")+SUMIFS('Таблиця 1'!$K:$K,'Таблиця 1'!$B:$B,$A526,'Таблиця 1'!$I:$I,"МіГ-29",'Таблиця 1'!$J:$J,"AASM-250")+SUMIFS('Таблиця 1'!$K:$K,'Таблиця 1'!$B:$B,$A526,'Таблиця 1'!$I:$I,"Су-25",'Таблиця 1'!$J:$J,"AASM-250")+SUMIFS('Таблиця 1'!$K:$K,'Таблиця 1'!$B:$B,$A526,'Таблиця 1'!$I:$I,"Су-27",'Таблиця 1'!$J:$J,"AASM-250"))</f>
        <v/>
      </c>
      <c r="J526">
        <f>IF($A526="","",SUMIFS('Таблиця 1'!$K:$K,'Таблиця 1'!$B:$B,$A526,'Таблиця 1'!$I:$I,"Mirage",'Таблиця 1'!$J:$J,"GBU-39")+SUMIFS('Таблиця 1'!$K:$K,'Таблиця 1'!$B:$B,$A526,'Таблиця 1'!$I:$I,"F-16",'Таблиця 1'!$J:$J,"GBU-39")+SUMIFS('Таблиця 1'!$K:$K,'Таблиця 1'!$B:$B,$A526,'Таблиця 1'!$I:$I,"МіГ-29",'Таблиця 1'!$J:$J,"GBU-39")+SUMIFS('Таблиця 1'!$K:$K,'Таблиця 1'!$B:$B,$A526,'Таблиця 1'!$I:$I,"Су-25",'Таблиця 1'!$J:$J,"GBU-39")+SUMIFS('Таблиця 1'!$K:$K,'Таблиця 1'!$B:$B,$A526,'Таблиця 1'!$I:$I,"Су-27",'Таблиця 1'!$J:$J,"GBU-39"))</f>
        <v/>
      </c>
      <c r="K526">
        <f>IF($A526="","",SUMIFS('Таблиця 1'!$K:$K,'Таблиця 1'!$B:$B,$A526,'Таблиця 1'!$I:$I,"Mirage",'Таблиця 1'!$J:$J,"BLU-140")+SUMIFS('Таблиця 1'!$K:$K,'Таблиця 1'!$B:$B,$A526,'Таблиця 1'!$I:$I,"F-16",'Таблиця 1'!$J:$J,"BLU-140")+SUMIFS('Таблиця 1'!$K:$K,'Таблиця 1'!$B:$B,$A526,'Таблиця 1'!$I:$I,"МіГ-29",'Таблиця 1'!$J:$J,"BLU-140")+SUMIFS('Таблиця 1'!$K:$K,'Таблиця 1'!$B:$B,$A526,'Таблиця 1'!$I:$I,"Су-25",'Таблиця 1'!$J:$J,"BLU-140")+SUMIFS('Таблиця 1'!$K:$K,'Таблиця 1'!$B:$B,$A526,'Таблиця 1'!$I:$I,"Су-27",'Таблиця 1'!$J:$J,"BLU-140"))</f>
        <v/>
      </c>
      <c r="L526">
        <f>IF($A526="","",SUMIFS('Таблиця 1'!$K:$K,'Таблиця 1'!$B:$B,$A526,'Таблиця 1'!$I:$I,"Mirage",'Таблиця 1'!$J:$J,"GBU-65")+SUMIFS('Таблиця 1'!$K:$K,'Таблиця 1'!$B:$B,$A526,'Таблиця 1'!$I:$I,"F-16",'Таблиця 1'!$J:$J,"GBU-65")+SUMIFS('Таблиця 1'!$K:$K,'Таблиця 1'!$B:$B,$A526,'Таблиця 1'!$I:$I,"МіГ-29",'Таблиця 1'!$J:$J,"GBU-65")+SUMIFS('Таблиця 1'!$K:$K,'Таблиця 1'!$B:$B,$A526,'Таблиця 1'!$I:$I,"Су-25",'Таблиця 1'!$J:$J,"GBU-65")+SUMIFS('Таблиця 1'!$K:$K,'Таблиця 1'!$B:$B,$A526,'Таблиця 1'!$I:$I,"Су-27",'Таблиця 1'!$J:$J,"GBU-65"))</f>
        <v/>
      </c>
      <c r="M526">
        <f>IF($A526="","",SUMIFS('Таблиця 1'!$K:$K,'Таблиця 1'!$B:$B,$A526,'Таблиця 1'!$I:$I,"Mirage",'Таблиця 1'!$J:$J,"GBU-62")+SUMIFS('Таблиця 1'!$K:$K,'Таблиця 1'!$B:$B,$A526,'Таблиця 1'!$I:$I,"F-16",'Таблиця 1'!$J:$J,"GBU-62")+SUMIFS('Таблиця 1'!$K:$K,'Таблиця 1'!$B:$B,$A526,'Таблиця 1'!$I:$I,"МіГ-29",'Таблиця 1'!$J:$J,"GBU-62")+SUMIFS('Таблиця 1'!$K:$K,'Таблиця 1'!$B:$B,$A526,'Таблиця 1'!$I:$I,"Су-25",'Таблиця 1'!$J:$J,"GBU-62")+SUMIFS('Таблиця 1'!$K:$K,'Таблиця 1'!$B:$B,$A526,'Таблиця 1'!$I:$I,"Су-27",'Таблиця 1'!$J:$J,"GBU-62"))</f>
        <v/>
      </c>
      <c r="N526">
        <f>IF($A526="","",SUMIFS('Таблиця 1'!$K:$K,'Таблиця 1'!$B:$B,$A526,'Таблиця 1'!$I:$I,"Mirage",'Таблиця 1'!$J:$J,"GBU-64")+SUMIFS('Таблиця 1'!$K:$K,'Таблиця 1'!$B:$B,$A526,'Таблиця 1'!$I:$I,"F-16",'Таблиця 1'!$J:$J,"GBU-64")+SUMIFS('Таблиця 1'!$K:$K,'Таблиця 1'!$B:$B,$A526,'Таблиця 1'!$I:$I,"МіГ-29",'Таблиця 1'!$J:$J,"GBU-64")+SUMIFS('Таблиця 1'!$K:$K,'Таблиця 1'!$B:$B,$A526,'Таблиця 1'!$I:$I,"Су-25",'Таблиця 1'!$J:$J,"GBU-64")+SUMIFS('Таблиця 1'!$K:$K,'Таблиця 1'!$B:$B,$A526,'Таблиця 1'!$I:$I,"Су-27",'Таблиця 1'!$J:$J,"GBU-64"))</f>
        <v/>
      </c>
      <c r="O526">
        <f>IF($A526="","",SUMIFS('Таблиця 1'!$K:$K,'Таблиця 1'!$B:$B,$A526,'Таблиця 1'!$I:$I,"Mirage",'Таблиця 1'!$J:$J,"C-13")+SUMIFS('Таблиця 1'!$K:$K,'Таблиця 1'!$B:$B,$A526,'Таблиця 1'!$I:$I,"F-16",'Таблиця 1'!$J:$J,"C-13")+SUMIFS('Таблиця 1'!$K:$K,'Таблиця 1'!$B:$B,$A526,'Таблиця 1'!$I:$I,"МіГ-29",'Таблиця 1'!$J:$J,"C-13")+SUMIFS('Таблиця 1'!$K:$K,'Таблиця 1'!$B:$B,$A526,'Таблиця 1'!$I:$I,"Су-25",'Таблиця 1'!$J:$J,"C-13")+SUMIFS('Таблиця 1'!$K:$K,'Таблиця 1'!$B:$B,$A526,'Таблиця 1'!$I:$I,"Су-27",'Таблиця 1'!$J:$J,"C-13"))</f>
        <v/>
      </c>
      <c r="P526">
        <f>IF($A526="","",SUMIFS('Таблиця 1'!$K:$K,'Таблиця 1'!$B:$B,$A526,'Таблиця 1'!$I:$I,"Mirage",'Таблиця 1'!$J:$J,"MK-32")+SUMIFS('Таблиця 1'!$K:$K,'Таблиця 1'!$B:$B,$A526,'Таблиця 1'!$I:$I,"F-16",'Таблиця 1'!$J:$J,"MK-32")+SUMIFS('Таблиця 1'!$K:$K,'Таблиця 1'!$B:$B,$A526,'Таблиця 1'!$I:$I,"МіГ-29",'Таблиця 1'!$J:$J,"MK-32")+SUMIFS('Таблиця 1'!$K:$K,'Таблиця 1'!$B:$B,$A526,'Таблиця 1'!$I:$I,"Су-25",'Таблиця 1'!$J:$J,"MK-32")+SUMIFS('Таблиця 1'!$K:$K,'Таблиця 1'!$B:$B,$A526,'Таблиця 1'!$I:$I,"Су-27",'Таблиця 1'!$J:$J,"MK-32"))</f>
        <v/>
      </c>
      <c r="Q526">
        <f>IF($A526="","",SUMIFS('Таблиця 1'!$K:$K,'Таблиця 1'!$B:$B,$A526,'Таблиця 1'!$I:$I,"Mirage",'Таблиця 1'!$J:$J,"MK-24")+SUMIFS('Таблиця 1'!$K:$K,'Таблиця 1'!$B:$B,$A526,'Таблиця 1'!$I:$I,"F-16",'Таблиця 1'!$J:$J,"MK-24")+SUMIFS('Таблиця 1'!$K:$K,'Таблиця 1'!$B:$B,$A526,'Таблиця 1'!$I:$I,"МіГ-29",'Таблиця 1'!$J:$J,"MK-24")+SUMIFS('Таблиця 1'!$K:$K,'Таблиця 1'!$B:$B,$A526,'Таблиця 1'!$I:$I,"Су-25",'Таблиця 1'!$J:$J,"MK-24")+SUMIFS('Таблиця 1'!$K:$K,'Таблиця 1'!$B:$B,$A526,'Таблиця 1'!$I:$I,"Су-27",'Таблиця 1'!$J:$J,"MK-24"))</f>
        <v/>
      </c>
      <c r="R526">
        <f>IF($A526="","",COUNTIFS('Таблиця 1'!$B:$B,$A526,'Таблиця 1'!$I:$I,"Mirage",'Таблиця 1'!$L:$L,"Уражено")+COUNTIFS('Таблиця 1'!$B:$B,$A526,'Таблиця 1'!$I:$I,"F-16",'Таблиця 1'!$L:$L,"Уражено")+COUNTIFS('Таблиця 1'!$B:$B,$A526,'Таблиця 1'!$I:$I,"МіГ-29",'Таблиця 1'!$L:$L,"Уражено")+COUNTIFS('Таблиця 1'!$B:$B,$A526,'Таблиця 1'!$I:$I,"Су-25",'Таблиця 1'!$L:$L,"Уражено")+COUNTIFS('Таблиця 1'!$B:$B,$A526,'Таблиця 1'!$I:$I,"Су-27",'Таблиця 1'!$L:$L,"Уражено"))</f>
        <v/>
      </c>
      <c r="S526">
        <f>IF($A526="","",COUNTIFS('Таблиця 1'!$B:$B,$A526,'Таблиця 1'!$I:$I,"Mirage",'Таблиця 1'!$L:$L,"НЕ уражено")+COUNTIFS('Таблиця 1'!$B:$B,$A526,'Таблиця 1'!$I:$I,"F-16",'Таблиця 1'!$L:$L,"НЕ уражено")+COUNTIFS('Таблиця 1'!$B:$B,$A526,'Таблиця 1'!$I:$I,"МіГ-29",'Таблиця 1'!$L:$L,"НЕ уражено")+COUNTIFS('Таблиця 1'!$B:$B,$A526,'Таблиця 1'!$I:$I,"Су-25",'Таблиця 1'!$L:$L,"НЕ уражено")+COUNTIFS('Таблиця 1'!$B:$B,$A526,'Таблиця 1'!$I:$I,"Су-27",'Таблиця 1'!$L:$L,"НЕ уражено"))</f>
        <v/>
      </c>
      <c r="T526">
        <f>IF($A526="","",COUNTIFS('Таблиця 1'!$B:$B,$A526,'Таблиця 1'!$I:$I,"Mirage",'Таблиця 1'!$L:$L,"Дорозвідується")+COUNTIFS('Таблиця 1'!$B:$B,$A526,'Таблиця 1'!$I:$I,"F-16",'Таблиця 1'!$L:$L,"Дорозвідується")+COUNTIFS('Таблиця 1'!$B:$B,$A526,'Таблиця 1'!$I:$I,"МіГ-29",'Таблиця 1'!$L:$L,"Дорозвідується")+COUNTIFS('Таблиця 1'!$B:$B,$A526,'Таблиця 1'!$I:$I,"Су-25",'Таблиця 1'!$L:$L,"Дорозвідується")+COUNTIFS('Таблиця 1'!$B:$B,$A526,'Таблиця 1'!$I:$I,"Су-27",'Таблиця 1'!$L:$L,"Дорозвідується"))</f>
        <v/>
      </c>
    </row>
    <row r="527">
      <c r="A527" s="273">
        <f>IF(A526="","",IF(A526+1&gt;MAX('Таблиця 1'!$B:$B),"",A526+1))</f>
        <v/>
      </c>
      <c r="B527">
        <f>IF($A527="","",COUNTIFS('Таблиця 1'!$B:$B,$A527,'Таблиця 1'!$I:$I,"Mirage")+COUNTIFS('Таблиця 1'!$B:$B,$A527,'Таблиця 1'!$I:$I,"F-16")+COUNTIFS('Таблиця 1'!$B:$B,$A527,'Таблиця 1'!$I:$I,"МіГ-29")+COUNTIFS('Таблиця 1'!$B:$B,$A527,'Таблиця 1'!$I:$I,"Су-25")+COUNTIFS('Таблиця 1'!$B:$B,$A527,'Таблиця 1'!$I:$I,"Су-27"))</f>
        <v/>
      </c>
      <c r="C527">
        <f>IF($A527="","",COUNTIFS('Таблиця 1'!$B:$B,$A527,'Таблиця 1'!$I:$I,"Mirage"))</f>
        <v/>
      </c>
      <c r="D527">
        <f>IF($A527="","",COUNTIFS('Таблиця 1'!$B:$B,$A527,'Таблиця 1'!$I:$I,"F-16"))</f>
        <v/>
      </c>
      <c r="E527">
        <f>IF($A527="","",COUNTIFS('Таблиця 1'!$B:$B,$A527,'Таблиця 1'!$I:$I,"МіГ-29"))</f>
        <v/>
      </c>
      <c r="F527">
        <f>IF($A527="","",COUNTIFS('Таблиця 1'!$B:$B,$A527,'Таблиця 1'!$I:$I,"Су-25"))</f>
        <v/>
      </c>
      <c r="G527">
        <f>IF($A527="","",COUNTIFS('Таблиця 1'!$B:$B,$A527,'Таблиця 1'!$I:$I,"Су-27"))</f>
        <v/>
      </c>
      <c r="H527">
        <f>IF($A527="","",SUMIFS('Таблиця 1'!$K:$K,'Таблиця 1'!$B:$B,$A527,'Таблиця 1'!$I:$I,"Mirage",'Таблиця 1'!$J:$J,"AGM-88")+SUMIFS('Таблиця 1'!$K:$K,'Таблиця 1'!$B:$B,$A527,'Таблиця 1'!$I:$I,"F-16",'Таблиця 1'!$J:$J,"AGM-88")+SUMIFS('Таблиця 1'!$K:$K,'Таблиця 1'!$B:$B,$A527,'Таблиця 1'!$I:$I,"МіГ-29",'Таблиця 1'!$J:$J,"AGM-88")+SUMIFS('Таблиця 1'!$K:$K,'Таблиця 1'!$B:$B,$A527,'Таблиця 1'!$I:$I,"Су-25",'Таблиця 1'!$J:$J,"AGM-88")+SUMIFS('Таблиця 1'!$K:$K,'Таблиця 1'!$B:$B,$A527,'Таблиця 1'!$I:$I,"Су-27",'Таблиця 1'!$J:$J,"AGM-88"))</f>
        <v/>
      </c>
      <c r="I527">
        <f>IF($A527="","",SUMIFS('Таблиця 1'!$K:$K,'Таблиця 1'!$B:$B,$A527,'Таблиця 1'!$I:$I,"Mirage",'Таблиця 1'!$J:$J,"AASM-250")+SUMIFS('Таблиця 1'!$K:$K,'Таблиця 1'!$B:$B,$A527,'Таблиця 1'!$I:$I,"F-16",'Таблиця 1'!$J:$J,"AASM-250")+SUMIFS('Таблиця 1'!$K:$K,'Таблиця 1'!$B:$B,$A527,'Таблиця 1'!$I:$I,"МіГ-29",'Таблиця 1'!$J:$J,"AASM-250")+SUMIFS('Таблиця 1'!$K:$K,'Таблиця 1'!$B:$B,$A527,'Таблиця 1'!$I:$I,"Су-25",'Таблиця 1'!$J:$J,"AASM-250")+SUMIFS('Таблиця 1'!$K:$K,'Таблиця 1'!$B:$B,$A527,'Таблиця 1'!$I:$I,"Су-27",'Таблиця 1'!$J:$J,"AASM-250"))</f>
        <v/>
      </c>
      <c r="J527">
        <f>IF($A527="","",SUMIFS('Таблиця 1'!$K:$K,'Таблиця 1'!$B:$B,$A527,'Таблиця 1'!$I:$I,"Mirage",'Таблиця 1'!$J:$J,"GBU-39")+SUMIFS('Таблиця 1'!$K:$K,'Таблиця 1'!$B:$B,$A527,'Таблиця 1'!$I:$I,"F-16",'Таблиця 1'!$J:$J,"GBU-39")+SUMIFS('Таблиця 1'!$K:$K,'Таблиця 1'!$B:$B,$A527,'Таблиця 1'!$I:$I,"МіГ-29",'Таблиця 1'!$J:$J,"GBU-39")+SUMIFS('Таблиця 1'!$K:$K,'Таблиця 1'!$B:$B,$A527,'Таблиця 1'!$I:$I,"Су-25",'Таблиця 1'!$J:$J,"GBU-39")+SUMIFS('Таблиця 1'!$K:$K,'Таблиця 1'!$B:$B,$A527,'Таблиця 1'!$I:$I,"Су-27",'Таблиця 1'!$J:$J,"GBU-39"))</f>
        <v/>
      </c>
      <c r="K527">
        <f>IF($A527="","",SUMIFS('Таблиця 1'!$K:$K,'Таблиця 1'!$B:$B,$A527,'Таблиця 1'!$I:$I,"Mirage",'Таблиця 1'!$J:$J,"BLU-140")+SUMIFS('Таблиця 1'!$K:$K,'Таблиця 1'!$B:$B,$A527,'Таблиця 1'!$I:$I,"F-16",'Таблиця 1'!$J:$J,"BLU-140")+SUMIFS('Таблиця 1'!$K:$K,'Таблиця 1'!$B:$B,$A527,'Таблиця 1'!$I:$I,"МіГ-29",'Таблиця 1'!$J:$J,"BLU-140")+SUMIFS('Таблиця 1'!$K:$K,'Таблиця 1'!$B:$B,$A527,'Таблиця 1'!$I:$I,"Су-25",'Таблиця 1'!$J:$J,"BLU-140")+SUMIFS('Таблиця 1'!$K:$K,'Таблиця 1'!$B:$B,$A527,'Таблиця 1'!$I:$I,"Су-27",'Таблиця 1'!$J:$J,"BLU-140"))</f>
        <v/>
      </c>
      <c r="L527">
        <f>IF($A527="","",SUMIFS('Таблиця 1'!$K:$K,'Таблиця 1'!$B:$B,$A527,'Таблиця 1'!$I:$I,"Mirage",'Таблиця 1'!$J:$J,"GBU-65")+SUMIFS('Таблиця 1'!$K:$K,'Таблиця 1'!$B:$B,$A527,'Таблиця 1'!$I:$I,"F-16",'Таблиця 1'!$J:$J,"GBU-65")+SUMIFS('Таблиця 1'!$K:$K,'Таблиця 1'!$B:$B,$A527,'Таблиця 1'!$I:$I,"МіГ-29",'Таблиця 1'!$J:$J,"GBU-65")+SUMIFS('Таблиця 1'!$K:$K,'Таблиця 1'!$B:$B,$A527,'Таблиця 1'!$I:$I,"Су-25",'Таблиця 1'!$J:$J,"GBU-65")+SUMIFS('Таблиця 1'!$K:$K,'Таблиця 1'!$B:$B,$A527,'Таблиця 1'!$I:$I,"Су-27",'Таблиця 1'!$J:$J,"GBU-65"))</f>
        <v/>
      </c>
      <c r="M527">
        <f>IF($A527="","",SUMIFS('Таблиця 1'!$K:$K,'Таблиця 1'!$B:$B,$A527,'Таблиця 1'!$I:$I,"Mirage",'Таблиця 1'!$J:$J,"GBU-62")+SUMIFS('Таблиця 1'!$K:$K,'Таблиця 1'!$B:$B,$A527,'Таблиця 1'!$I:$I,"F-16",'Таблиця 1'!$J:$J,"GBU-62")+SUMIFS('Таблиця 1'!$K:$K,'Таблиця 1'!$B:$B,$A527,'Таблиця 1'!$I:$I,"МіГ-29",'Таблиця 1'!$J:$J,"GBU-62")+SUMIFS('Таблиця 1'!$K:$K,'Таблиця 1'!$B:$B,$A527,'Таблиця 1'!$I:$I,"Су-25",'Таблиця 1'!$J:$J,"GBU-62")+SUMIFS('Таблиця 1'!$K:$K,'Таблиця 1'!$B:$B,$A527,'Таблиця 1'!$I:$I,"Су-27",'Таблиця 1'!$J:$J,"GBU-62"))</f>
        <v/>
      </c>
      <c r="N527">
        <f>IF($A527="","",SUMIFS('Таблиця 1'!$K:$K,'Таблиця 1'!$B:$B,$A527,'Таблиця 1'!$I:$I,"Mirage",'Таблиця 1'!$J:$J,"GBU-64")+SUMIFS('Таблиця 1'!$K:$K,'Таблиця 1'!$B:$B,$A527,'Таблиця 1'!$I:$I,"F-16",'Таблиця 1'!$J:$J,"GBU-64")+SUMIFS('Таблиця 1'!$K:$K,'Таблиця 1'!$B:$B,$A527,'Таблиця 1'!$I:$I,"МіГ-29",'Таблиця 1'!$J:$J,"GBU-64")+SUMIFS('Таблиця 1'!$K:$K,'Таблиця 1'!$B:$B,$A527,'Таблиця 1'!$I:$I,"Су-25",'Таблиця 1'!$J:$J,"GBU-64")+SUMIFS('Таблиця 1'!$K:$K,'Таблиця 1'!$B:$B,$A527,'Таблиця 1'!$I:$I,"Су-27",'Таблиця 1'!$J:$J,"GBU-64"))</f>
        <v/>
      </c>
      <c r="O527">
        <f>IF($A527="","",SUMIFS('Таблиця 1'!$K:$K,'Таблиця 1'!$B:$B,$A527,'Таблиця 1'!$I:$I,"Mirage",'Таблиця 1'!$J:$J,"C-13")+SUMIFS('Таблиця 1'!$K:$K,'Таблиця 1'!$B:$B,$A527,'Таблиця 1'!$I:$I,"F-16",'Таблиця 1'!$J:$J,"C-13")+SUMIFS('Таблиця 1'!$K:$K,'Таблиця 1'!$B:$B,$A527,'Таблиця 1'!$I:$I,"МіГ-29",'Таблиця 1'!$J:$J,"C-13")+SUMIFS('Таблиця 1'!$K:$K,'Таблиця 1'!$B:$B,$A527,'Таблиця 1'!$I:$I,"Су-25",'Таблиця 1'!$J:$J,"C-13")+SUMIFS('Таблиця 1'!$K:$K,'Таблиця 1'!$B:$B,$A527,'Таблиця 1'!$I:$I,"Су-27",'Таблиця 1'!$J:$J,"C-13"))</f>
        <v/>
      </c>
      <c r="P527">
        <f>IF($A527="","",SUMIFS('Таблиця 1'!$K:$K,'Таблиця 1'!$B:$B,$A527,'Таблиця 1'!$I:$I,"Mirage",'Таблиця 1'!$J:$J,"MK-32")+SUMIFS('Таблиця 1'!$K:$K,'Таблиця 1'!$B:$B,$A527,'Таблиця 1'!$I:$I,"F-16",'Таблиця 1'!$J:$J,"MK-32")+SUMIFS('Таблиця 1'!$K:$K,'Таблиця 1'!$B:$B,$A527,'Таблиця 1'!$I:$I,"МіГ-29",'Таблиця 1'!$J:$J,"MK-32")+SUMIFS('Таблиця 1'!$K:$K,'Таблиця 1'!$B:$B,$A527,'Таблиця 1'!$I:$I,"Су-25",'Таблиця 1'!$J:$J,"MK-32")+SUMIFS('Таблиця 1'!$K:$K,'Таблиця 1'!$B:$B,$A527,'Таблиця 1'!$I:$I,"Су-27",'Таблиця 1'!$J:$J,"MK-32"))</f>
        <v/>
      </c>
      <c r="Q527">
        <f>IF($A527="","",SUMIFS('Таблиця 1'!$K:$K,'Таблиця 1'!$B:$B,$A527,'Таблиця 1'!$I:$I,"Mirage",'Таблиця 1'!$J:$J,"MK-24")+SUMIFS('Таблиця 1'!$K:$K,'Таблиця 1'!$B:$B,$A527,'Таблиця 1'!$I:$I,"F-16",'Таблиця 1'!$J:$J,"MK-24")+SUMIFS('Таблиця 1'!$K:$K,'Таблиця 1'!$B:$B,$A527,'Таблиця 1'!$I:$I,"МіГ-29",'Таблиця 1'!$J:$J,"MK-24")+SUMIFS('Таблиця 1'!$K:$K,'Таблиця 1'!$B:$B,$A527,'Таблиця 1'!$I:$I,"Су-25",'Таблиця 1'!$J:$J,"MK-24")+SUMIFS('Таблиця 1'!$K:$K,'Таблиця 1'!$B:$B,$A527,'Таблиця 1'!$I:$I,"Су-27",'Таблиця 1'!$J:$J,"MK-24"))</f>
        <v/>
      </c>
      <c r="R527">
        <f>IF($A527="","",COUNTIFS('Таблиця 1'!$B:$B,$A527,'Таблиця 1'!$I:$I,"Mirage",'Таблиця 1'!$L:$L,"Уражено")+COUNTIFS('Таблиця 1'!$B:$B,$A527,'Таблиця 1'!$I:$I,"F-16",'Таблиця 1'!$L:$L,"Уражено")+COUNTIFS('Таблиця 1'!$B:$B,$A527,'Таблиця 1'!$I:$I,"МіГ-29",'Таблиця 1'!$L:$L,"Уражено")+COUNTIFS('Таблиця 1'!$B:$B,$A527,'Таблиця 1'!$I:$I,"Су-25",'Таблиця 1'!$L:$L,"Уражено")+COUNTIFS('Таблиця 1'!$B:$B,$A527,'Таблиця 1'!$I:$I,"Су-27",'Таблиця 1'!$L:$L,"Уражено"))</f>
        <v/>
      </c>
      <c r="S527">
        <f>IF($A527="","",COUNTIFS('Таблиця 1'!$B:$B,$A527,'Таблиця 1'!$I:$I,"Mirage",'Таблиця 1'!$L:$L,"НЕ уражено")+COUNTIFS('Таблиця 1'!$B:$B,$A527,'Таблиця 1'!$I:$I,"F-16",'Таблиця 1'!$L:$L,"НЕ уражено")+COUNTIFS('Таблиця 1'!$B:$B,$A527,'Таблиця 1'!$I:$I,"МіГ-29",'Таблиця 1'!$L:$L,"НЕ уражено")+COUNTIFS('Таблиця 1'!$B:$B,$A527,'Таблиця 1'!$I:$I,"Су-25",'Таблиця 1'!$L:$L,"НЕ уражено")+COUNTIFS('Таблиця 1'!$B:$B,$A527,'Таблиця 1'!$I:$I,"Су-27",'Таблиця 1'!$L:$L,"НЕ уражено"))</f>
        <v/>
      </c>
      <c r="T527">
        <f>IF($A527="","",COUNTIFS('Таблиця 1'!$B:$B,$A527,'Таблиця 1'!$I:$I,"Mirage",'Таблиця 1'!$L:$L,"Дорозвідується")+COUNTIFS('Таблиця 1'!$B:$B,$A527,'Таблиця 1'!$I:$I,"F-16",'Таблиця 1'!$L:$L,"Дорозвідується")+COUNTIFS('Таблиця 1'!$B:$B,$A527,'Таблиця 1'!$I:$I,"МіГ-29",'Таблиця 1'!$L:$L,"Дорозвідується")+COUNTIFS('Таблиця 1'!$B:$B,$A527,'Таблиця 1'!$I:$I,"Су-25",'Таблиця 1'!$L:$L,"Дорозвідується")+COUNTIFS('Таблиця 1'!$B:$B,$A527,'Таблиця 1'!$I:$I,"Су-27",'Таблиця 1'!$L:$L,"Дорозвідується"))</f>
        <v/>
      </c>
    </row>
    <row r="528">
      <c r="A528" s="273">
        <f>IF(A527="","",IF(A527+1&gt;MAX('Таблиця 1'!$B:$B),"",A527+1))</f>
        <v/>
      </c>
      <c r="B528">
        <f>IF($A528="","",COUNTIFS('Таблиця 1'!$B:$B,$A528,'Таблиця 1'!$I:$I,"Mirage")+COUNTIFS('Таблиця 1'!$B:$B,$A528,'Таблиця 1'!$I:$I,"F-16")+COUNTIFS('Таблиця 1'!$B:$B,$A528,'Таблиця 1'!$I:$I,"МіГ-29")+COUNTIFS('Таблиця 1'!$B:$B,$A528,'Таблиця 1'!$I:$I,"Су-25")+COUNTIFS('Таблиця 1'!$B:$B,$A528,'Таблиця 1'!$I:$I,"Су-27"))</f>
        <v/>
      </c>
      <c r="C528">
        <f>IF($A528="","",COUNTIFS('Таблиця 1'!$B:$B,$A528,'Таблиця 1'!$I:$I,"Mirage"))</f>
        <v/>
      </c>
      <c r="D528">
        <f>IF($A528="","",COUNTIFS('Таблиця 1'!$B:$B,$A528,'Таблиця 1'!$I:$I,"F-16"))</f>
        <v/>
      </c>
      <c r="E528">
        <f>IF($A528="","",COUNTIFS('Таблиця 1'!$B:$B,$A528,'Таблиця 1'!$I:$I,"МіГ-29"))</f>
        <v/>
      </c>
      <c r="F528">
        <f>IF($A528="","",COUNTIFS('Таблиця 1'!$B:$B,$A528,'Таблиця 1'!$I:$I,"Су-25"))</f>
        <v/>
      </c>
      <c r="G528">
        <f>IF($A528="","",COUNTIFS('Таблиця 1'!$B:$B,$A528,'Таблиця 1'!$I:$I,"Су-27"))</f>
        <v/>
      </c>
      <c r="H528">
        <f>IF($A528="","",SUMIFS('Таблиця 1'!$K:$K,'Таблиця 1'!$B:$B,$A528,'Таблиця 1'!$I:$I,"Mirage",'Таблиця 1'!$J:$J,"AGM-88")+SUMIFS('Таблиця 1'!$K:$K,'Таблиця 1'!$B:$B,$A528,'Таблиця 1'!$I:$I,"F-16",'Таблиця 1'!$J:$J,"AGM-88")+SUMIFS('Таблиця 1'!$K:$K,'Таблиця 1'!$B:$B,$A528,'Таблиця 1'!$I:$I,"МіГ-29",'Таблиця 1'!$J:$J,"AGM-88")+SUMIFS('Таблиця 1'!$K:$K,'Таблиця 1'!$B:$B,$A528,'Таблиця 1'!$I:$I,"Су-25",'Таблиця 1'!$J:$J,"AGM-88")+SUMIFS('Таблиця 1'!$K:$K,'Таблиця 1'!$B:$B,$A528,'Таблиця 1'!$I:$I,"Су-27",'Таблиця 1'!$J:$J,"AGM-88"))</f>
        <v/>
      </c>
      <c r="I528">
        <f>IF($A528="","",SUMIFS('Таблиця 1'!$K:$K,'Таблиця 1'!$B:$B,$A528,'Таблиця 1'!$I:$I,"Mirage",'Таблиця 1'!$J:$J,"AASM-250")+SUMIFS('Таблиця 1'!$K:$K,'Таблиця 1'!$B:$B,$A528,'Таблиця 1'!$I:$I,"F-16",'Таблиця 1'!$J:$J,"AASM-250")+SUMIFS('Таблиця 1'!$K:$K,'Таблиця 1'!$B:$B,$A528,'Таблиця 1'!$I:$I,"МіГ-29",'Таблиця 1'!$J:$J,"AASM-250")+SUMIFS('Таблиця 1'!$K:$K,'Таблиця 1'!$B:$B,$A528,'Таблиця 1'!$I:$I,"Су-25",'Таблиця 1'!$J:$J,"AASM-250")+SUMIFS('Таблиця 1'!$K:$K,'Таблиця 1'!$B:$B,$A528,'Таблиця 1'!$I:$I,"Су-27",'Таблиця 1'!$J:$J,"AASM-250"))</f>
        <v/>
      </c>
      <c r="J528">
        <f>IF($A528="","",SUMIFS('Таблиця 1'!$K:$K,'Таблиця 1'!$B:$B,$A528,'Таблиця 1'!$I:$I,"Mirage",'Таблиця 1'!$J:$J,"GBU-39")+SUMIFS('Таблиця 1'!$K:$K,'Таблиця 1'!$B:$B,$A528,'Таблиця 1'!$I:$I,"F-16",'Таблиця 1'!$J:$J,"GBU-39")+SUMIFS('Таблиця 1'!$K:$K,'Таблиця 1'!$B:$B,$A528,'Таблиця 1'!$I:$I,"МіГ-29",'Таблиця 1'!$J:$J,"GBU-39")+SUMIFS('Таблиця 1'!$K:$K,'Таблиця 1'!$B:$B,$A528,'Таблиця 1'!$I:$I,"Су-25",'Таблиця 1'!$J:$J,"GBU-39")+SUMIFS('Таблиця 1'!$K:$K,'Таблиця 1'!$B:$B,$A528,'Таблиця 1'!$I:$I,"Су-27",'Таблиця 1'!$J:$J,"GBU-39"))</f>
        <v/>
      </c>
      <c r="K528">
        <f>IF($A528="","",SUMIFS('Таблиця 1'!$K:$K,'Таблиця 1'!$B:$B,$A528,'Таблиця 1'!$I:$I,"Mirage",'Таблиця 1'!$J:$J,"BLU-140")+SUMIFS('Таблиця 1'!$K:$K,'Таблиця 1'!$B:$B,$A528,'Таблиця 1'!$I:$I,"F-16",'Таблиця 1'!$J:$J,"BLU-140")+SUMIFS('Таблиця 1'!$K:$K,'Таблиця 1'!$B:$B,$A528,'Таблиця 1'!$I:$I,"МіГ-29",'Таблиця 1'!$J:$J,"BLU-140")+SUMIFS('Таблиця 1'!$K:$K,'Таблиця 1'!$B:$B,$A528,'Таблиця 1'!$I:$I,"Су-25",'Таблиця 1'!$J:$J,"BLU-140")+SUMIFS('Таблиця 1'!$K:$K,'Таблиця 1'!$B:$B,$A528,'Таблиця 1'!$I:$I,"Су-27",'Таблиця 1'!$J:$J,"BLU-140"))</f>
        <v/>
      </c>
      <c r="L528">
        <f>IF($A528="","",SUMIFS('Таблиця 1'!$K:$K,'Таблиця 1'!$B:$B,$A528,'Таблиця 1'!$I:$I,"Mirage",'Таблиця 1'!$J:$J,"GBU-65")+SUMIFS('Таблиця 1'!$K:$K,'Таблиця 1'!$B:$B,$A528,'Таблиця 1'!$I:$I,"F-16",'Таблиця 1'!$J:$J,"GBU-65")+SUMIFS('Таблиця 1'!$K:$K,'Таблиця 1'!$B:$B,$A528,'Таблиця 1'!$I:$I,"МіГ-29",'Таблиця 1'!$J:$J,"GBU-65")+SUMIFS('Таблиця 1'!$K:$K,'Таблиця 1'!$B:$B,$A528,'Таблиця 1'!$I:$I,"Су-25",'Таблиця 1'!$J:$J,"GBU-65")+SUMIFS('Таблиця 1'!$K:$K,'Таблиця 1'!$B:$B,$A528,'Таблиця 1'!$I:$I,"Су-27",'Таблиця 1'!$J:$J,"GBU-65"))</f>
        <v/>
      </c>
      <c r="M528">
        <f>IF($A528="","",SUMIFS('Таблиця 1'!$K:$K,'Таблиця 1'!$B:$B,$A528,'Таблиця 1'!$I:$I,"Mirage",'Таблиця 1'!$J:$J,"GBU-62")+SUMIFS('Таблиця 1'!$K:$K,'Таблиця 1'!$B:$B,$A528,'Таблиця 1'!$I:$I,"F-16",'Таблиця 1'!$J:$J,"GBU-62")+SUMIFS('Таблиця 1'!$K:$K,'Таблиця 1'!$B:$B,$A528,'Таблиця 1'!$I:$I,"МіГ-29",'Таблиця 1'!$J:$J,"GBU-62")+SUMIFS('Таблиця 1'!$K:$K,'Таблиця 1'!$B:$B,$A528,'Таблиця 1'!$I:$I,"Су-25",'Таблиця 1'!$J:$J,"GBU-62")+SUMIFS('Таблиця 1'!$K:$K,'Таблиця 1'!$B:$B,$A528,'Таблиця 1'!$I:$I,"Су-27",'Таблиця 1'!$J:$J,"GBU-62"))</f>
        <v/>
      </c>
      <c r="N528">
        <f>IF($A528="","",SUMIFS('Таблиця 1'!$K:$K,'Таблиця 1'!$B:$B,$A528,'Таблиця 1'!$I:$I,"Mirage",'Таблиця 1'!$J:$J,"GBU-64")+SUMIFS('Таблиця 1'!$K:$K,'Таблиця 1'!$B:$B,$A528,'Таблиця 1'!$I:$I,"F-16",'Таблиця 1'!$J:$J,"GBU-64")+SUMIFS('Таблиця 1'!$K:$K,'Таблиця 1'!$B:$B,$A528,'Таблиця 1'!$I:$I,"МіГ-29",'Таблиця 1'!$J:$J,"GBU-64")+SUMIFS('Таблиця 1'!$K:$K,'Таблиця 1'!$B:$B,$A528,'Таблиця 1'!$I:$I,"Су-25",'Таблиця 1'!$J:$J,"GBU-64")+SUMIFS('Таблиця 1'!$K:$K,'Таблиця 1'!$B:$B,$A528,'Таблиця 1'!$I:$I,"Су-27",'Таблиця 1'!$J:$J,"GBU-64"))</f>
        <v/>
      </c>
      <c r="O528">
        <f>IF($A528="","",SUMIFS('Таблиця 1'!$K:$K,'Таблиця 1'!$B:$B,$A528,'Таблиця 1'!$I:$I,"Mirage",'Таблиця 1'!$J:$J,"C-13")+SUMIFS('Таблиця 1'!$K:$K,'Таблиця 1'!$B:$B,$A528,'Таблиця 1'!$I:$I,"F-16",'Таблиця 1'!$J:$J,"C-13")+SUMIFS('Таблиця 1'!$K:$K,'Таблиця 1'!$B:$B,$A528,'Таблиця 1'!$I:$I,"МіГ-29",'Таблиця 1'!$J:$J,"C-13")+SUMIFS('Таблиця 1'!$K:$K,'Таблиця 1'!$B:$B,$A528,'Таблиця 1'!$I:$I,"Су-25",'Таблиця 1'!$J:$J,"C-13")+SUMIFS('Таблиця 1'!$K:$K,'Таблиця 1'!$B:$B,$A528,'Таблиця 1'!$I:$I,"Су-27",'Таблиця 1'!$J:$J,"C-13"))</f>
        <v/>
      </c>
      <c r="P528">
        <f>IF($A528="","",SUMIFS('Таблиця 1'!$K:$K,'Таблиця 1'!$B:$B,$A528,'Таблиця 1'!$I:$I,"Mirage",'Таблиця 1'!$J:$J,"MK-32")+SUMIFS('Таблиця 1'!$K:$K,'Таблиця 1'!$B:$B,$A528,'Таблиця 1'!$I:$I,"F-16",'Таблиця 1'!$J:$J,"MK-32")+SUMIFS('Таблиця 1'!$K:$K,'Таблиця 1'!$B:$B,$A528,'Таблиця 1'!$I:$I,"МіГ-29",'Таблиця 1'!$J:$J,"MK-32")+SUMIFS('Таблиця 1'!$K:$K,'Таблиця 1'!$B:$B,$A528,'Таблиця 1'!$I:$I,"Су-25",'Таблиця 1'!$J:$J,"MK-32")+SUMIFS('Таблиця 1'!$K:$K,'Таблиця 1'!$B:$B,$A528,'Таблиця 1'!$I:$I,"Су-27",'Таблиця 1'!$J:$J,"MK-32"))</f>
        <v/>
      </c>
      <c r="Q528">
        <f>IF($A528="","",SUMIFS('Таблиця 1'!$K:$K,'Таблиця 1'!$B:$B,$A528,'Таблиця 1'!$I:$I,"Mirage",'Таблиця 1'!$J:$J,"MK-24")+SUMIFS('Таблиця 1'!$K:$K,'Таблиця 1'!$B:$B,$A528,'Таблиця 1'!$I:$I,"F-16",'Таблиця 1'!$J:$J,"MK-24")+SUMIFS('Таблиця 1'!$K:$K,'Таблиця 1'!$B:$B,$A528,'Таблиця 1'!$I:$I,"МіГ-29",'Таблиця 1'!$J:$J,"MK-24")+SUMIFS('Таблиця 1'!$K:$K,'Таблиця 1'!$B:$B,$A528,'Таблиця 1'!$I:$I,"Су-25",'Таблиця 1'!$J:$J,"MK-24")+SUMIFS('Таблиця 1'!$K:$K,'Таблиця 1'!$B:$B,$A528,'Таблиця 1'!$I:$I,"Су-27",'Таблиця 1'!$J:$J,"MK-24"))</f>
        <v/>
      </c>
      <c r="R528">
        <f>IF($A528="","",COUNTIFS('Таблиця 1'!$B:$B,$A528,'Таблиця 1'!$I:$I,"Mirage",'Таблиця 1'!$L:$L,"Уражено")+COUNTIFS('Таблиця 1'!$B:$B,$A528,'Таблиця 1'!$I:$I,"F-16",'Таблиця 1'!$L:$L,"Уражено")+COUNTIFS('Таблиця 1'!$B:$B,$A528,'Таблиця 1'!$I:$I,"МіГ-29",'Таблиця 1'!$L:$L,"Уражено")+COUNTIFS('Таблиця 1'!$B:$B,$A528,'Таблиця 1'!$I:$I,"Су-25",'Таблиця 1'!$L:$L,"Уражено")+COUNTIFS('Таблиця 1'!$B:$B,$A528,'Таблиця 1'!$I:$I,"Су-27",'Таблиця 1'!$L:$L,"Уражено"))</f>
        <v/>
      </c>
      <c r="S528">
        <f>IF($A528="","",COUNTIFS('Таблиця 1'!$B:$B,$A528,'Таблиця 1'!$I:$I,"Mirage",'Таблиця 1'!$L:$L,"НЕ уражено")+COUNTIFS('Таблиця 1'!$B:$B,$A528,'Таблиця 1'!$I:$I,"F-16",'Таблиця 1'!$L:$L,"НЕ уражено")+COUNTIFS('Таблиця 1'!$B:$B,$A528,'Таблиця 1'!$I:$I,"МіГ-29",'Таблиця 1'!$L:$L,"НЕ уражено")+COUNTIFS('Таблиця 1'!$B:$B,$A528,'Таблиця 1'!$I:$I,"Су-25",'Таблиця 1'!$L:$L,"НЕ уражено")+COUNTIFS('Таблиця 1'!$B:$B,$A528,'Таблиця 1'!$I:$I,"Су-27",'Таблиця 1'!$L:$L,"НЕ уражено"))</f>
        <v/>
      </c>
      <c r="T528">
        <f>IF($A528="","",COUNTIFS('Таблиця 1'!$B:$B,$A528,'Таблиця 1'!$I:$I,"Mirage",'Таблиця 1'!$L:$L,"Дорозвідується")+COUNTIFS('Таблиця 1'!$B:$B,$A528,'Таблиця 1'!$I:$I,"F-16",'Таблиця 1'!$L:$L,"Дорозвідується")+COUNTIFS('Таблиця 1'!$B:$B,$A528,'Таблиця 1'!$I:$I,"МіГ-29",'Таблиця 1'!$L:$L,"Дорозвідується")+COUNTIFS('Таблиця 1'!$B:$B,$A528,'Таблиця 1'!$I:$I,"Су-25",'Таблиця 1'!$L:$L,"Дорозвідується")+COUNTIFS('Таблиця 1'!$B:$B,$A528,'Таблиця 1'!$I:$I,"Су-27",'Таблиця 1'!$L:$L,"Дорозвідується"))</f>
        <v/>
      </c>
    </row>
    <row r="529">
      <c r="A529" s="273">
        <f>IF(A528="","",IF(A528+1&gt;MAX('Таблиця 1'!$B:$B),"",A528+1))</f>
        <v/>
      </c>
      <c r="B529">
        <f>IF($A529="","",COUNTIFS('Таблиця 1'!$B:$B,$A529,'Таблиця 1'!$I:$I,"Mirage")+COUNTIFS('Таблиця 1'!$B:$B,$A529,'Таблиця 1'!$I:$I,"F-16")+COUNTIFS('Таблиця 1'!$B:$B,$A529,'Таблиця 1'!$I:$I,"МіГ-29")+COUNTIFS('Таблиця 1'!$B:$B,$A529,'Таблиця 1'!$I:$I,"Су-25")+COUNTIFS('Таблиця 1'!$B:$B,$A529,'Таблиця 1'!$I:$I,"Су-27"))</f>
        <v/>
      </c>
      <c r="C529">
        <f>IF($A529="","",COUNTIFS('Таблиця 1'!$B:$B,$A529,'Таблиця 1'!$I:$I,"Mirage"))</f>
        <v/>
      </c>
      <c r="D529">
        <f>IF($A529="","",COUNTIFS('Таблиця 1'!$B:$B,$A529,'Таблиця 1'!$I:$I,"F-16"))</f>
        <v/>
      </c>
      <c r="E529">
        <f>IF($A529="","",COUNTIFS('Таблиця 1'!$B:$B,$A529,'Таблиця 1'!$I:$I,"МіГ-29"))</f>
        <v/>
      </c>
      <c r="F529">
        <f>IF($A529="","",COUNTIFS('Таблиця 1'!$B:$B,$A529,'Таблиця 1'!$I:$I,"Су-25"))</f>
        <v/>
      </c>
      <c r="G529">
        <f>IF($A529="","",COUNTIFS('Таблиця 1'!$B:$B,$A529,'Таблиця 1'!$I:$I,"Су-27"))</f>
        <v/>
      </c>
      <c r="H529">
        <f>IF($A529="","",SUMIFS('Таблиця 1'!$K:$K,'Таблиця 1'!$B:$B,$A529,'Таблиця 1'!$I:$I,"Mirage",'Таблиця 1'!$J:$J,"AGM-88")+SUMIFS('Таблиця 1'!$K:$K,'Таблиця 1'!$B:$B,$A529,'Таблиця 1'!$I:$I,"F-16",'Таблиця 1'!$J:$J,"AGM-88")+SUMIFS('Таблиця 1'!$K:$K,'Таблиця 1'!$B:$B,$A529,'Таблиця 1'!$I:$I,"МіГ-29",'Таблиця 1'!$J:$J,"AGM-88")+SUMIFS('Таблиця 1'!$K:$K,'Таблиця 1'!$B:$B,$A529,'Таблиця 1'!$I:$I,"Су-25",'Таблиця 1'!$J:$J,"AGM-88")+SUMIFS('Таблиця 1'!$K:$K,'Таблиця 1'!$B:$B,$A529,'Таблиця 1'!$I:$I,"Су-27",'Таблиця 1'!$J:$J,"AGM-88"))</f>
        <v/>
      </c>
      <c r="I529">
        <f>IF($A529="","",SUMIFS('Таблиця 1'!$K:$K,'Таблиця 1'!$B:$B,$A529,'Таблиця 1'!$I:$I,"Mirage",'Таблиця 1'!$J:$J,"AASM-250")+SUMIFS('Таблиця 1'!$K:$K,'Таблиця 1'!$B:$B,$A529,'Таблиця 1'!$I:$I,"F-16",'Таблиця 1'!$J:$J,"AASM-250")+SUMIFS('Таблиця 1'!$K:$K,'Таблиця 1'!$B:$B,$A529,'Таблиця 1'!$I:$I,"МіГ-29",'Таблиця 1'!$J:$J,"AASM-250")+SUMIFS('Таблиця 1'!$K:$K,'Таблиця 1'!$B:$B,$A529,'Таблиця 1'!$I:$I,"Су-25",'Таблиця 1'!$J:$J,"AASM-250")+SUMIFS('Таблиця 1'!$K:$K,'Таблиця 1'!$B:$B,$A529,'Таблиця 1'!$I:$I,"Су-27",'Таблиця 1'!$J:$J,"AASM-250"))</f>
        <v/>
      </c>
      <c r="J529">
        <f>IF($A529="","",SUMIFS('Таблиця 1'!$K:$K,'Таблиця 1'!$B:$B,$A529,'Таблиця 1'!$I:$I,"Mirage",'Таблиця 1'!$J:$J,"GBU-39")+SUMIFS('Таблиця 1'!$K:$K,'Таблиця 1'!$B:$B,$A529,'Таблиця 1'!$I:$I,"F-16",'Таблиця 1'!$J:$J,"GBU-39")+SUMIFS('Таблиця 1'!$K:$K,'Таблиця 1'!$B:$B,$A529,'Таблиця 1'!$I:$I,"МіГ-29",'Таблиця 1'!$J:$J,"GBU-39")+SUMIFS('Таблиця 1'!$K:$K,'Таблиця 1'!$B:$B,$A529,'Таблиця 1'!$I:$I,"Су-25",'Таблиця 1'!$J:$J,"GBU-39")+SUMIFS('Таблиця 1'!$K:$K,'Таблиця 1'!$B:$B,$A529,'Таблиця 1'!$I:$I,"Су-27",'Таблиця 1'!$J:$J,"GBU-39"))</f>
        <v/>
      </c>
      <c r="K529">
        <f>IF($A529="","",SUMIFS('Таблиця 1'!$K:$K,'Таблиця 1'!$B:$B,$A529,'Таблиця 1'!$I:$I,"Mirage",'Таблиця 1'!$J:$J,"BLU-140")+SUMIFS('Таблиця 1'!$K:$K,'Таблиця 1'!$B:$B,$A529,'Таблиця 1'!$I:$I,"F-16",'Таблиця 1'!$J:$J,"BLU-140")+SUMIFS('Таблиця 1'!$K:$K,'Таблиця 1'!$B:$B,$A529,'Таблиця 1'!$I:$I,"МіГ-29",'Таблиця 1'!$J:$J,"BLU-140")+SUMIFS('Таблиця 1'!$K:$K,'Таблиця 1'!$B:$B,$A529,'Таблиця 1'!$I:$I,"Су-25",'Таблиця 1'!$J:$J,"BLU-140")+SUMIFS('Таблиця 1'!$K:$K,'Таблиця 1'!$B:$B,$A529,'Таблиця 1'!$I:$I,"Су-27",'Таблиця 1'!$J:$J,"BLU-140"))</f>
        <v/>
      </c>
      <c r="L529">
        <f>IF($A529="","",SUMIFS('Таблиця 1'!$K:$K,'Таблиця 1'!$B:$B,$A529,'Таблиця 1'!$I:$I,"Mirage",'Таблиця 1'!$J:$J,"GBU-65")+SUMIFS('Таблиця 1'!$K:$K,'Таблиця 1'!$B:$B,$A529,'Таблиця 1'!$I:$I,"F-16",'Таблиця 1'!$J:$J,"GBU-65")+SUMIFS('Таблиця 1'!$K:$K,'Таблиця 1'!$B:$B,$A529,'Таблиця 1'!$I:$I,"МіГ-29",'Таблиця 1'!$J:$J,"GBU-65")+SUMIFS('Таблиця 1'!$K:$K,'Таблиця 1'!$B:$B,$A529,'Таблиця 1'!$I:$I,"Су-25",'Таблиця 1'!$J:$J,"GBU-65")+SUMIFS('Таблиця 1'!$K:$K,'Таблиця 1'!$B:$B,$A529,'Таблиця 1'!$I:$I,"Су-27",'Таблиця 1'!$J:$J,"GBU-65"))</f>
        <v/>
      </c>
      <c r="M529">
        <f>IF($A529="","",SUMIFS('Таблиця 1'!$K:$K,'Таблиця 1'!$B:$B,$A529,'Таблиця 1'!$I:$I,"Mirage",'Таблиця 1'!$J:$J,"GBU-62")+SUMIFS('Таблиця 1'!$K:$K,'Таблиця 1'!$B:$B,$A529,'Таблиця 1'!$I:$I,"F-16",'Таблиця 1'!$J:$J,"GBU-62")+SUMIFS('Таблиця 1'!$K:$K,'Таблиця 1'!$B:$B,$A529,'Таблиця 1'!$I:$I,"МіГ-29",'Таблиця 1'!$J:$J,"GBU-62")+SUMIFS('Таблиця 1'!$K:$K,'Таблиця 1'!$B:$B,$A529,'Таблиця 1'!$I:$I,"Су-25",'Таблиця 1'!$J:$J,"GBU-62")+SUMIFS('Таблиця 1'!$K:$K,'Таблиця 1'!$B:$B,$A529,'Таблиця 1'!$I:$I,"Су-27",'Таблиця 1'!$J:$J,"GBU-62"))</f>
        <v/>
      </c>
      <c r="N529">
        <f>IF($A529="","",SUMIFS('Таблиця 1'!$K:$K,'Таблиця 1'!$B:$B,$A529,'Таблиця 1'!$I:$I,"Mirage",'Таблиця 1'!$J:$J,"GBU-64")+SUMIFS('Таблиця 1'!$K:$K,'Таблиця 1'!$B:$B,$A529,'Таблиця 1'!$I:$I,"F-16",'Таблиця 1'!$J:$J,"GBU-64")+SUMIFS('Таблиця 1'!$K:$K,'Таблиця 1'!$B:$B,$A529,'Таблиця 1'!$I:$I,"МіГ-29",'Таблиця 1'!$J:$J,"GBU-64")+SUMIFS('Таблиця 1'!$K:$K,'Таблиця 1'!$B:$B,$A529,'Таблиця 1'!$I:$I,"Су-25",'Таблиця 1'!$J:$J,"GBU-64")+SUMIFS('Таблиця 1'!$K:$K,'Таблиця 1'!$B:$B,$A529,'Таблиця 1'!$I:$I,"Су-27",'Таблиця 1'!$J:$J,"GBU-64"))</f>
        <v/>
      </c>
      <c r="O529">
        <f>IF($A529="","",SUMIFS('Таблиця 1'!$K:$K,'Таблиця 1'!$B:$B,$A529,'Таблиця 1'!$I:$I,"Mirage",'Таблиця 1'!$J:$J,"C-13")+SUMIFS('Таблиця 1'!$K:$K,'Таблиця 1'!$B:$B,$A529,'Таблиця 1'!$I:$I,"F-16",'Таблиця 1'!$J:$J,"C-13")+SUMIFS('Таблиця 1'!$K:$K,'Таблиця 1'!$B:$B,$A529,'Таблиця 1'!$I:$I,"МіГ-29",'Таблиця 1'!$J:$J,"C-13")+SUMIFS('Таблиця 1'!$K:$K,'Таблиця 1'!$B:$B,$A529,'Таблиця 1'!$I:$I,"Су-25",'Таблиця 1'!$J:$J,"C-13")+SUMIFS('Таблиця 1'!$K:$K,'Таблиця 1'!$B:$B,$A529,'Таблиця 1'!$I:$I,"Су-27",'Таблиця 1'!$J:$J,"C-13"))</f>
        <v/>
      </c>
      <c r="P529">
        <f>IF($A529="","",SUMIFS('Таблиця 1'!$K:$K,'Таблиця 1'!$B:$B,$A529,'Таблиця 1'!$I:$I,"Mirage",'Таблиця 1'!$J:$J,"MK-32")+SUMIFS('Таблиця 1'!$K:$K,'Таблиця 1'!$B:$B,$A529,'Таблиця 1'!$I:$I,"F-16",'Таблиця 1'!$J:$J,"MK-32")+SUMIFS('Таблиця 1'!$K:$K,'Таблиця 1'!$B:$B,$A529,'Таблиця 1'!$I:$I,"МіГ-29",'Таблиця 1'!$J:$J,"MK-32")+SUMIFS('Таблиця 1'!$K:$K,'Таблиця 1'!$B:$B,$A529,'Таблиця 1'!$I:$I,"Су-25",'Таблиця 1'!$J:$J,"MK-32")+SUMIFS('Таблиця 1'!$K:$K,'Таблиця 1'!$B:$B,$A529,'Таблиця 1'!$I:$I,"Су-27",'Таблиця 1'!$J:$J,"MK-32"))</f>
        <v/>
      </c>
      <c r="Q529">
        <f>IF($A529="","",SUMIFS('Таблиця 1'!$K:$K,'Таблиця 1'!$B:$B,$A529,'Таблиця 1'!$I:$I,"Mirage",'Таблиця 1'!$J:$J,"MK-24")+SUMIFS('Таблиця 1'!$K:$K,'Таблиця 1'!$B:$B,$A529,'Таблиця 1'!$I:$I,"F-16",'Таблиця 1'!$J:$J,"MK-24")+SUMIFS('Таблиця 1'!$K:$K,'Таблиця 1'!$B:$B,$A529,'Таблиця 1'!$I:$I,"МіГ-29",'Таблиця 1'!$J:$J,"MK-24")+SUMIFS('Таблиця 1'!$K:$K,'Таблиця 1'!$B:$B,$A529,'Таблиця 1'!$I:$I,"Су-25",'Таблиця 1'!$J:$J,"MK-24")+SUMIFS('Таблиця 1'!$K:$K,'Таблиця 1'!$B:$B,$A529,'Таблиця 1'!$I:$I,"Су-27",'Таблиця 1'!$J:$J,"MK-24"))</f>
        <v/>
      </c>
      <c r="R529">
        <f>IF($A529="","",COUNTIFS('Таблиця 1'!$B:$B,$A529,'Таблиця 1'!$I:$I,"Mirage",'Таблиця 1'!$L:$L,"Уражено")+COUNTIFS('Таблиця 1'!$B:$B,$A529,'Таблиця 1'!$I:$I,"F-16",'Таблиця 1'!$L:$L,"Уражено")+COUNTIFS('Таблиця 1'!$B:$B,$A529,'Таблиця 1'!$I:$I,"МіГ-29",'Таблиця 1'!$L:$L,"Уражено")+COUNTIFS('Таблиця 1'!$B:$B,$A529,'Таблиця 1'!$I:$I,"Су-25",'Таблиця 1'!$L:$L,"Уражено")+COUNTIFS('Таблиця 1'!$B:$B,$A529,'Таблиця 1'!$I:$I,"Су-27",'Таблиця 1'!$L:$L,"Уражено"))</f>
        <v/>
      </c>
      <c r="S529">
        <f>IF($A529="","",COUNTIFS('Таблиця 1'!$B:$B,$A529,'Таблиця 1'!$I:$I,"Mirage",'Таблиця 1'!$L:$L,"НЕ уражено")+COUNTIFS('Таблиця 1'!$B:$B,$A529,'Таблиця 1'!$I:$I,"F-16",'Таблиця 1'!$L:$L,"НЕ уражено")+COUNTIFS('Таблиця 1'!$B:$B,$A529,'Таблиця 1'!$I:$I,"МіГ-29",'Таблиця 1'!$L:$L,"НЕ уражено")+COUNTIFS('Таблиця 1'!$B:$B,$A529,'Таблиця 1'!$I:$I,"Су-25",'Таблиця 1'!$L:$L,"НЕ уражено")+COUNTIFS('Таблиця 1'!$B:$B,$A529,'Таблиця 1'!$I:$I,"Су-27",'Таблиця 1'!$L:$L,"НЕ уражено"))</f>
        <v/>
      </c>
      <c r="T529">
        <f>IF($A529="","",COUNTIFS('Таблиця 1'!$B:$B,$A529,'Таблиця 1'!$I:$I,"Mirage",'Таблиця 1'!$L:$L,"Дорозвідується")+COUNTIFS('Таблиця 1'!$B:$B,$A529,'Таблиця 1'!$I:$I,"F-16",'Таблиця 1'!$L:$L,"Дорозвідується")+COUNTIFS('Таблиця 1'!$B:$B,$A529,'Таблиця 1'!$I:$I,"МіГ-29",'Таблиця 1'!$L:$L,"Дорозвідується")+COUNTIFS('Таблиця 1'!$B:$B,$A529,'Таблиця 1'!$I:$I,"Су-25",'Таблиця 1'!$L:$L,"Дорозвідується")+COUNTIFS('Таблиця 1'!$B:$B,$A529,'Таблиця 1'!$I:$I,"Су-27",'Таблиця 1'!$L:$L,"Дорозвідується"))</f>
        <v/>
      </c>
    </row>
    <row r="530">
      <c r="A530" s="273">
        <f>IF(A529="","",IF(A529+1&gt;MAX('Таблиця 1'!$B:$B),"",A529+1))</f>
        <v/>
      </c>
      <c r="B530">
        <f>IF($A530="","",COUNTIFS('Таблиця 1'!$B:$B,$A530,'Таблиця 1'!$I:$I,"Mirage")+COUNTIFS('Таблиця 1'!$B:$B,$A530,'Таблиця 1'!$I:$I,"F-16")+COUNTIFS('Таблиця 1'!$B:$B,$A530,'Таблиця 1'!$I:$I,"МіГ-29")+COUNTIFS('Таблиця 1'!$B:$B,$A530,'Таблиця 1'!$I:$I,"Су-25")+COUNTIFS('Таблиця 1'!$B:$B,$A530,'Таблиця 1'!$I:$I,"Су-27"))</f>
        <v/>
      </c>
      <c r="C530">
        <f>IF($A530="","",COUNTIFS('Таблиця 1'!$B:$B,$A530,'Таблиця 1'!$I:$I,"Mirage"))</f>
        <v/>
      </c>
      <c r="D530">
        <f>IF($A530="","",COUNTIFS('Таблиця 1'!$B:$B,$A530,'Таблиця 1'!$I:$I,"F-16"))</f>
        <v/>
      </c>
      <c r="E530">
        <f>IF($A530="","",COUNTIFS('Таблиця 1'!$B:$B,$A530,'Таблиця 1'!$I:$I,"МіГ-29"))</f>
        <v/>
      </c>
      <c r="F530">
        <f>IF($A530="","",COUNTIFS('Таблиця 1'!$B:$B,$A530,'Таблиця 1'!$I:$I,"Су-25"))</f>
        <v/>
      </c>
      <c r="G530">
        <f>IF($A530="","",COUNTIFS('Таблиця 1'!$B:$B,$A530,'Таблиця 1'!$I:$I,"Су-27"))</f>
        <v/>
      </c>
      <c r="H530">
        <f>IF($A530="","",SUMIFS('Таблиця 1'!$K:$K,'Таблиця 1'!$B:$B,$A530,'Таблиця 1'!$I:$I,"Mirage",'Таблиця 1'!$J:$J,"AGM-88")+SUMIFS('Таблиця 1'!$K:$K,'Таблиця 1'!$B:$B,$A530,'Таблиця 1'!$I:$I,"F-16",'Таблиця 1'!$J:$J,"AGM-88")+SUMIFS('Таблиця 1'!$K:$K,'Таблиця 1'!$B:$B,$A530,'Таблиця 1'!$I:$I,"МіГ-29",'Таблиця 1'!$J:$J,"AGM-88")+SUMIFS('Таблиця 1'!$K:$K,'Таблиця 1'!$B:$B,$A530,'Таблиця 1'!$I:$I,"Су-25",'Таблиця 1'!$J:$J,"AGM-88")+SUMIFS('Таблиця 1'!$K:$K,'Таблиця 1'!$B:$B,$A530,'Таблиця 1'!$I:$I,"Су-27",'Таблиця 1'!$J:$J,"AGM-88"))</f>
        <v/>
      </c>
      <c r="I530">
        <f>IF($A530="","",SUMIFS('Таблиця 1'!$K:$K,'Таблиця 1'!$B:$B,$A530,'Таблиця 1'!$I:$I,"Mirage",'Таблиця 1'!$J:$J,"AASM-250")+SUMIFS('Таблиця 1'!$K:$K,'Таблиця 1'!$B:$B,$A530,'Таблиця 1'!$I:$I,"F-16",'Таблиця 1'!$J:$J,"AASM-250")+SUMIFS('Таблиця 1'!$K:$K,'Таблиця 1'!$B:$B,$A530,'Таблиця 1'!$I:$I,"МіГ-29",'Таблиця 1'!$J:$J,"AASM-250")+SUMIFS('Таблиця 1'!$K:$K,'Таблиця 1'!$B:$B,$A530,'Таблиця 1'!$I:$I,"Су-25",'Таблиця 1'!$J:$J,"AASM-250")+SUMIFS('Таблиця 1'!$K:$K,'Таблиця 1'!$B:$B,$A530,'Таблиця 1'!$I:$I,"Су-27",'Таблиця 1'!$J:$J,"AASM-250"))</f>
        <v/>
      </c>
      <c r="J530">
        <f>IF($A530="","",SUMIFS('Таблиця 1'!$K:$K,'Таблиця 1'!$B:$B,$A530,'Таблиця 1'!$I:$I,"Mirage",'Таблиця 1'!$J:$J,"GBU-39")+SUMIFS('Таблиця 1'!$K:$K,'Таблиця 1'!$B:$B,$A530,'Таблиця 1'!$I:$I,"F-16",'Таблиця 1'!$J:$J,"GBU-39")+SUMIFS('Таблиця 1'!$K:$K,'Таблиця 1'!$B:$B,$A530,'Таблиця 1'!$I:$I,"МіГ-29",'Таблиця 1'!$J:$J,"GBU-39")+SUMIFS('Таблиця 1'!$K:$K,'Таблиця 1'!$B:$B,$A530,'Таблиця 1'!$I:$I,"Су-25",'Таблиця 1'!$J:$J,"GBU-39")+SUMIFS('Таблиця 1'!$K:$K,'Таблиця 1'!$B:$B,$A530,'Таблиця 1'!$I:$I,"Су-27",'Таблиця 1'!$J:$J,"GBU-39"))</f>
        <v/>
      </c>
      <c r="K530">
        <f>IF($A530="","",SUMIFS('Таблиця 1'!$K:$K,'Таблиця 1'!$B:$B,$A530,'Таблиця 1'!$I:$I,"Mirage",'Таблиця 1'!$J:$J,"BLU-140")+SUMIFS('Таблиця 1'!$K:$K,'Таблиця 1'!$B:$B,$A530,'Таблиця 1'!$I:$I,"F-16",'Таблиця 1'!$J:$J,"BLU-140")+SUMIFS('Таблиця 1'!$K:$K,'Таблиця 1'!$B:$B,$A530,'Таблиця 1'!$I:$I,"МіГ-29",'Таблиця 1'!$J:$J,"BLU-140")+SUMIFS('Таблиця 1'!$K:$K,'Таблиця 1'!$B:$B,$A530,'Таблиця 1'!$I:$I,"Су-25",'Таблиця 1'!$J:$J,"BLU-140")+SUMIFS('Таблиця 1'!$K:$K,'Таблиця 1'!$B:$B,$A530,'Таблиця 1'!$I:$I,"Су-27",'Таблиця 1'!$J:$J,"BLU-140"))</f>
        <v/>
      </c>
      <c r="L530">
        <f>IF($A530="","",SUMIFS('Таблиця 1'!$K:$K,'Таблиця 1'!$B:$B,$A530,'Таблиця 1'!$I:$I,"Mirage",'Таблиця 1'!$J:$J,"GBU-65")+SUMIFS('Таблиця 1'!$K:$K,'Таблиця 1'!$B:$B,$A530,'Таблиця 1'!$I:$I,"F-16",'Таблиця 1'!$J:$J,"GBU-65")+SUMIFS('Таблиця 1'!$K:$K,'Таблиця 1'!$B:$B,$A530,'Таблиця 1'!$I:$I,"МіГ-29",'Таблиця 1'!$J:$J,"GBU-65")+SUMIFS('Таблиця 1'!$K:$K,'Таблиця 1'!$B:$B,$A530,'Таблиця 1'!$I:$I,"Су-25",'Таблиця 1'!$J:$J,"GBU-65")+SUMIFS('Таблиця 1'!$K:$K,'Таблиця 1'!$B:$B,$A530,'Таблиця 1'!$I:$I,"Су-27",'Таблиця 1'!$J:$J,"GBU-65"))</f>
        <v/>
      </c>
      <c r="M530">
        <f>IF($A530="","",SUMIFS('Таблиця 1'!$K:$K,'Таблиця 1'!$B:$B,$A530,'Таблиця 1'!$I:$I,"Mirage",'Таблиця 1'!$J:$J,"GBU-62")+SUMIFS('Таблиця 1'!$K:$K,'Таблиця 1'!$B:$B,$A530,'Таблиця 1'!$I:$I,"F-16",'Таблиця 1'!$J:$J,"GBU-62")+SUMIFS('Таблиця 1'!$K:$K,'Таблиця 1'!$B:$B,$A530,'Таблиця 1'!$I:$I,"МіГ-29",'Таблиця 1'!$J:$J,"GBU-62")+SUMIFS('Таблиця 1'!$K:$K,'Таблиця 1'!$B:$B,$A530,'Таблиця 1'!$I:$I,"Су-25",'Таблиця 1'!$J:$J,"GBU-62")+SUMIFS('Таблиця 1'!$K:$K,'Таблиця 1'!$B:$B,$A530,'Таблиця 1'!$I:$I,"Су-27",'Таблиця 1'!$J:$J,"GBU-62"))</f>
        <v/>
      </c>
      <c r="N530">
        <f>IF($A530="","",SUMIFS('Таблиця 1'!$K:$K,'Таблиця 1'!$B:$B,$A530,'Таблиця 1'!$I:$I,"Mirage",'Таблиця 1'!$J:$J,"GBU-64")+SUMIFS('Таблиця 1'!$K:$K,'Таблиця 1'!$B:$B,$A530,'Таблиця 1'!$I:$I,"F-16",'Таблиця 1'!$J:$J,"GBU-64")+SUMIFS('Таблиця 1'!$K:$K,'Таблиця 1'!$B:$B,$A530,'Таблиця 1'!$I:$I,"МіГ-29",'Таблиця 1'!$J:$J,"GBU-64")+SUMIFS('Таблиця 1'!$K:$K,'Таблиця 1'!$B:$B,$A530,'Таблиця 1'!$I:$I,"Су-25",'Таблиця 1'!$J:$J,"GBU-64")+SUMIFS('Таблиця 1'!$K:$K,'Таблиця 1'!$B:$B,$A530,'Таблиця 1'!$I:$I,"Су-27",'Таблиця 1'!$J:$J,"GBU-64"))</f>
        <v/>
      </c>
      <c r="O530">
        <f>IF($A530="","",SUMIFS('Таблиця 1'!$K:$K,'Таблиця 1'!$B:$B,$A530,'Таблиця 1'!$I:$I,"Mirage",'Таблиця 1'!$J:$J,"C-13")+SUMIFS('Таблиця 1'!$K:$K,'Таблиця 1'!$B:$B,$A530,'Таблиця 1'!$I:$I,"F-16",'Таблиця 1'!$J:$J,"C-13")+SUMIFS('Таблиця 1'!$K:$K,'Таблиця 1'!$B:$B,$A530,'Таблиця 1'!$I:$I,"МіГ-29",'Таблиця 1'!$J:$J,"C-13")+SUMIFS('Таблиця 1'!$K:$K,'Таблиця 1'!$B:$B,$A530,'Таблиця 1'!$I:$I,"Су-25",'Таблиця 1'!$J:$J,"C-13")+SUMIFS('Таблиця 1'!$K:$K,'Таблиця 1'!$B:$B,$A530,'Таблиця 1'!$I:$I,"Су-27",'Таблиця 1'!$J:$J,"C-13"))</f>
        <v/>
      </c>
      <c r="P530">
        <f>IF($A530="","",SUMIFS('Таблиця 1'!$K:$K,'Таблиця 1'!$B:$B,$A530,'Таблиця 1'!$I:$I,"Mirage",'Таблиця 1'!$J:$J,"MK-32")+SUMIFS('Таблиця 1'!$K:$K,'Таблиця 1'!$B:$B,$A530,'Таблиця 1'!$I:$I,"F-16",'Таблиця 1'!$J:$J,"MK-32")+SUMIFS('Таблиця 1'!$K:$K,'Таблиця 1'!$B:$B,$A530,'Таблиця 1'!$I:$I,"МіГ-29",'Таблиця 1'!$J:$J,"MK-32")+SUMIFS('Таблиця 1'!$K:$K,'Таблиця 1'!$B:$B,$A530,'Таблиця 1'!$I:$I,"Су-25",'Таблиця 1'!$J:$J,"MK-32")+SUMIFS('Таблиця 1'!$K:$K,'Таблиця 1'!$B:$B,$A530,'Таблиця 1'!$I:$I,"Су-27",'Таблиця 1'!$J:$J,"MK-32"))</f>
        <v/>
      </c>
      <c r="Q530">
        <f>IF($A530="","",SUMIFS('Таблиця 1'!$K:$K,'Таблиця 1'!$B:$B,$A530,'Таблиця 1'!$I:$I,"Mirage",'Таблиця 1'!$J:$J,"MK-24")+SUMIFS('Таблиця 1'!$K:$K,'Таблиця 1'!$B:$B,$A530,'Таблиця 1'!$I:$I,"F-16",'Таблиця 1'!$J:$J,"MK-24")+SUMIFS('Таблиця 1'!$K:$K,'Таблиця 1'!$B:$B,$A530,'Таблиця 1'!$I:$I,"МіГ-29",'Таблиця 1'!$J:$J,"MK-24")+SUMIFS('Таблиця 1'!$K:$K,'Таблиця 1'!$B:$B,$A530,'Таблиця 1'!$I:$I,"Су-25",'Таблиця 1'!$J:$J,"MK-24")+SUMIFS('Таблиця 1'!$K:$K,'Таблиця 1'!$B:$B,$A530,'Таблиця 1'!$I:$I,"Су-27",'Таблиця 1'!$J:$J,"MK-24"))</f>
        <v/>
      </c>
      <c r="R530">
        <f>IF($A530="","",COUNTIFS('Таблиця 1'!$B:$B,$A530,'Таблиця 1'!$I:$I,"Mirage",'Таблиця 1'!$L:$L,"Уражено")+COUNTIFS('Таблиця 1'!$B:$B,$A530,'Таблиця 1'!$I:$I,"F-16",'Таблиця 1'!$L:$L,"Уражено")+COUNTIFS('Таблиця 1'!$B:$B,$A530,'Таблиця 1'!$I:$I,"МіГ-29",'Таблиця 1'!$L:$L,"Уражено")+COUNTIFS('Таблиця 1'!$B:$B,$A530,'Таблиця 1'!$I:$I,"Су-25",'Таблиця 1'!$L:$L,"Уражено")+COUNTIFS('Таблиця 1'!$B:$B,$A530,'Таблиця 1'!$I:$I,"Су-27",'Таблиця 1'!$L:$L,"Уражено"))</f>
        <v/>
      </c>
      <c r="S530">
        <f>IF($A530="","",COUNTIFS('Таблиця 1'!$B:$B,$A530,'Таблиця 1'!$I:$I,"Mirage",'Таблиця 1'!$L:$L,"НЕ уражено")+COUNTIFS('Таблиця 1'!$B:$B,$A530,'Таблиця 1'!$I:$I,"F-16",'Таблиця 1'!$L:$L,"НЕ уражено")+COUNTIFS('Таблиця 1'!$B:$B,$A530,'Таблиця 1'!$I:$I,"МіГ-29",'Таблиця 1'!$L:$L,"НЕ уражено")+COUNTIFS('Таблиця 1'!$B:$B,$A530,'Таблиця 1'!$I:$I,"Су-25",'Таблиця 1'!$L:$L,"НЕ уражено")+COUNTIFS('Таблиця 1'!$B:$B,$A530,'Таблиця 1'!$I:$I,"Су-27",'Таблиця 1'!$L:$L,"НЕ уражено"))</f>
        <v/>
      </c>
      <c r="T530">
        <f>IF($A530="","",COUNTIFS('Таблиця 1'!$B:$B,$A530,'Таблиця 1'!$I:$I,"Mirage",'Таблиця 1'!$L:$L,"Дорозвідується")+COUNTIFS('Таблиця 1'!$B:$B,$A530,'Таблиця 1'!$I:$I,"F-16",'Таблиця 1'!$L:$L,"Дорозвідується")+COUNTIFS('Таблиця 1'!$B:$B,$A530,'Таблиця 1'!$I:$I,"МіГ-29",'Таблиця 1'!$L:$L,"Дорозвідується")+COUNTIFS('Таблиця 1'!$B:$B,$A530,'Таблиця 1'!$I:$I,"Су-25",'Таблиця 1'!$L:$L,"Дорозвідується")+COUNTIFS('Таблиця 1'!$B:$B,$A530,'Таблиця 1'!$I:$I,"Су-27",'Таблиця 1'!$L:$L,"Дорозвідується"))</f>
        <v/>
      </c>
    </row>
    <row r="531">
      <c r="A531" s="273">
        <f>IF(A530="","",IF(A530+1&gt;MAX('Таблиця 1'!$B:$B),"",A530+1))</f>
        <v/>
      </c>
      <c r="B531">
        <f>IF($A531="","",COUNTIFS('Таблиця 1'!$B:$B,$A531,'Таблиця 1'!$I:$I,"Mirage")+COUNTIFS('Таблиця 1'!$B:$B,$A531,'Таблиця 1'!$I:$I,"F-16")+COUNTIFS('Таблиця 1'!$B:$B,$A531,'Таблиця 1'!$I:$I,"МіГ-29")+COUNTIFS('Таблиця 1'!$B:$B,$A531,'Таблиця 1'!$I:$I,"Су-25")+COUNTIFS('Таблиця 1'!$B:$B,$A531,'Таблиця 1'!$I:$I,"Су-27"))</f>
        <v/>
      </c>
      <c r="C531">
        <f>IF($A531="","",COUNTIFS('Таблиця 1'!$B:$B,$A531,'Таблиця 1'!$I:$I,"Mirage"))</f>
        <v/>
      </c>
      <c r="D531">
        <f>IF($A531="","",COUNTIFS('Таблиця 1'!$B:$B,$A531,'Таблиця 1'!$I:$I,"F-16"))</f>
        <v/>
      </c>
      <c r="E531">
        <f>IF($A531="","",COUNTIFS('Таблиця 1'!$B:$B,$A531,'Таблиця 1'!$I:$I,"МіГ-29"))</f>
        <v/>
      </c>
      <c r="F531">
        <f>IF($A531="","",COUNTIFS('Таблиця 1'!$B:$B,$A531,'Таблиця 1'!$I:$I,"Су-25"))</f>
        <v/>
      </c>
      <c r="G531">
        <f>IF($A531="","",COUNTIFS('Таблиця 1'!$B:$B,$A531,'Таблиця 1'!$I:$I,"Су-27"))</f>
        <v/>
      </c>
      <c r="H531">
        <f>IF($A531="","",SUMIFS('Таблиця 1'!$K:$K,'Таблиця 1'!$B:$B,$A531,'Таблиця 1'!$I:$I,"Mirage",'Таблиця 1'!$J:$J,"AGM-88")+SUMIFS('Таблиця 1'!$K:$K,'Таблиця 1'!$B:$B,$A531,'Таблиця 1'!$I:$I,"F-16",'Таблиця 1'!$J:$J,"AGM-88")+SUMIFS('Таблиця 1'!$K:$K,'Таблиця 1'!$B:$B,$A531,'Таблиця 1'!$I:$I,"МіГ-29",'Таблиця 1'!$J:$J,"AGM-88")+SUMIFS('Таблиця 1'!$K:$K,'Таблиця 1'!$B:$B,$A531,'Таблиця 1'!$I:$I,"Су-25",'Таблиця 1'!$J:$J,"AGM-88")+SUMIFS('Таблиця 1'!$K:$K,'Таблиця 1'!$B:$B,$A531,'Таблиця 1'!$I:$I,"Су-27",'Таблиця 1'!$J:$J,"AGM-88"))</f>
        <v/>
      </c>
      <c r="I531">
        <f>IF($A531="","",SUMIFS('Таблиця 1'!$K:$K,'Таблиця 1'!$B:$B,$A531,'Таблиця 1'!$I:$I,"Mirage",'Таблиця 1'!$J:$J,"AASM-250")+SUMIFS('Таблиця 1'!$K:$K,'Таблиця 1'!$B:$B,$A531,'Таблиця 1'!$I:$I,"F-16",'Таблиця 1'!$J:$J,"AASM-250")+SUMIFS('Таблиця 1'!$K:$K,'Таблиця 1'!$B:$B,$A531,'Таблиця 1'!$I:$I,"МіГ-29",'Таблиця 1'!$J:$J,"AASM-250")+SUMIFS('Таблиця 1'!$K:$K,'Таблиця 1'!$B:$B,$A531,'Таблиця 1'!$I:$I,"Су-25",'Таблиця 1'!$J:$J,"AASM-250")+SUMIFS('Таблиця 1'!$K:$K,'Таблиця 1'!$B:$B,$A531,'Таблиця 1'!$I:$I,"Су-27",'Таблиця 1'!$J:$J,"AASM-250"))</f>
        <v/>
      </c>
      <c r="J531">
        <f>IF($A531="","",SUMIFS('Таблиця 1'!$K:$K,'Таблиця 1'!$B:$B,$A531,'Таблиця 1'!$I:$I,"Mirage",'Таблиця 1'!$J:$J,"GBU-39")+SUMIFS('Таблиця 1'!$K:$K,'Таблиця 1'!$B:$B,$A531,'Таблиця 1'!$I:$I,"F-16",'Таблиця 1'!$J:$J,"GBU-39")+SUMIFS('Таблиця 1'!$K:$K,'Таблиця 1'!$B:$B,$A531,'Таблиця 1'!$I:$I,"МіГ-29",'Таблиця 1'!$J:$J,"GBU-39")+SUMIFS('Таблиця 1'!$K:$K,'Таблиця 1'!$B:$B,$A531,'Таблиця 1'!$I:$I,"Су-25",'Таблиця 1'!$J:$J,"GBU-39")+SUMIFS('Таблиця 1'!$K:$K,'Таблиця 1'!$B:$B,$A531,'Таблиця 1'!$I:$I,"Су-27",'Таблиця 1'!$J:$J,"GBU-39"))</f>
        <v/>
      </c>
      <c r="K531">
        <f>IF($A531="","",SUMIFS('Таблиця 1'!$K:$K,'Таблиця 1'!$B:$B,$A531,'Таблиця 1'!$I:$I,"Mirage",'Таблиця 1'!$J:$J,"BLU-140")+SUMIFS('Таблиця 1'!$K:$K,'Таблиця 1'!$B:$B,$A531,'Таблиця 1'!$I:$I,"F-16",'Таблиця 1'!$J:$J,"BLU-140")+SUMIFS('Таблиця 1'!$K:$K,'Таблиця 1'!$B:$B,$A531,'Таблиця 1'!$I:$I,"МіГ-29",'Таблиця 1'!$J:$J,"BLU-140")+SUMIFS('Таблиця 1'!$K:$K,'Таблиця 1'!$B:$B,$A531,'Таблиця 1'!$I:$I,"Су-25",'Таблиця 1'!$J:$J,"BLU-140")+SUMIFS('Таблиця 1'!$K:$K,'Таблиця 1'!$B:$B,$A531,'Таблиця 1'!$I:$I,"Су-27",'Таблиця 1'!$J:$J,"BLU-140"))</f>
        <v/>
      </c>
      <c r="L531">
        <f>IF($A531="","",SUMIFS('Таблиця 1'!$K:$K,'Таблиця 1'!$B:$B,$A531,'Таблиця 1'!$I:$I,"Mirage",'Таблиця 1'!$J:$J,"GBU-65")+SUMIFS('Таблиця 1'!$K:$K,'Таблиця 1'!$B:$B,$A531,'Таблиця 1'!$I:$I,"F-16",'Таблиця 1'!$J:$J,"GBU-65")+SUMIFS('Таблиця 1'!$K:$K,'Таблиця 1'!$B:$B,$A531,'Таблиця 1'!$I:$I,"МіГ-29",'Таблиця 1'!$J:$J,"GBU-65")+SUMIFS('Таблиця 1'!$K:$K,'Таблиця 1'!$B:$B,$A531,'Таблиця 1'!$I:$I,"Су-25",'Таблиця 1'!$J:$J,"GBU-65")+SUMIFS('Таблиця 1'!$K:$K,'Таблиця 1'!$B:$B,$A531,'Таблиця 1'!$I:$I,"Су-27",'Таблиця 1'!$J:$J,"GBU-65"))</f>
        <v/>
      </c>
      <c r="M531">
        <f>IF($A531="","",SUMIFS('Таблиця 1'!$K:$K,'Таблиця 1'!$B:$B,$A531,'Таблиця 1'!$I:$I,"Mirage",'Таблиця 1'!$J:$J,"GBU-62")+SUMIFS('Таблиця 1'!$K:$K,'Таблиця 1'!$B:$B,$A531,'Таблиця 1'!$I:$I,"F-16",'Таблиця 1'!$J:$J,"GBU-62")+SUMIFS('Таблиця 1'!$K:$K,'Таблиця 1'!$B:$B,$A531,'Таблиця 1'!$I:$I,"МіГ-29",'Таблиця 1'!$J:$J,"GBU-62")+SUMIFS('Таблиця 1'!$K:$K,'Таблиця 1'!$B:$B,$A531,'Таблиця 1'!$I:$I,"Су-25",'Таблиця 1'!$J:$J,"GBU-62")+SUMIFS('Таблиця 1'!$K:$K,'Таблиця 1'!$B:$B,$A531,'Таблиця 1'!$I:$I,"Су-27",'Таблиця 1'!$J:$J,"GBU-62"))</f>
        <v/>
      </c>
      <c r="N531">
        <f>IF($A531="","",SUMIFS('Таблиця 1'!$K:$K,'Таблиця 1'!$B:$B,$A531,'Таблиця 1'!$I:$I,"Mirage",'Таблиця 1'!$J:$J,"GBU-64")+SUMIFS('Таблиця 1'!$K:$K,'Таблиця 1'!$B:$B,$A531,'Таблиця 1'!$I:$I,"F-16",'Таблиця 1'!$J:$J,"GBU-64")+SUMIFS('Таблиця 1'!$K:$K,'Таблиця 1'!$B:$B,$A531,'Таблиця 1'!$I:$I,"МіГ-29",'Таблиця 1'!$J:$J,"GBU-64")+SUMIFS('Таблиця 1'!$K:$K,'Таблиця 1'!$B:$B,$A531,'Таблиця 1'!$I:$I,"Су-25",'Таблиця 1'!$J:$J,"GBU-64")+SUMIFS('Таблиця 1'!$K:$K,'Таблиця 1'!$B:$B,$A531,'Таблиця 1'!$I:$I,"Су-27",'Таблиця 1'!$J:$J,"GBU-64"))</f>
        <v/>
      </c>
      <c r="O531">
        <f>IF($A531="","",SUMIFS('Таблиця 1'!$K:$K,'Таблиця 1'!$B:$B,$A531,'Таблиця 1'!$I:$I,"Mirage",'Таблиця 1'!$J:$J,"C-13")+SUMIFS('Таблиця 1'!$K:$K,'Таблиця 1'!$B:$B,$A531,'Таблиця 1'!$I:$I,"F-16",'Таблиця 1'!$J:$J,"C-13")+SUMIFS('Таблиця 1'!$K:$K,'Таблиця 1'!$B:$B,$A531,'Таблиця 1'!$I:$I,"МіГ-29",'Таблиця 1'!$J:$J,"C-13")+SUMIFS('Таблиця 1'!$K:$K,'Таблиця 1'!$B:$B,$A531,'Таблиця 1'!$I:$I,"Су-25",'Таблиця 1'!$J:$J,"C-13")+SUMIFS('Таблиця 1'!$K:$K,'Таблиця 1'!$B:$B,$A531,'Таблиця 1'!$I:$I,"Су-27",'Таблиця 1'!$J:$J,"C-13"))</f>
        <v/>
      </c>
      <c r="P531">
        <f>IF($A531="","",SUMIFS('Таблиця 1'!$K:$K,'Таблиця 1'!$B:$B,$A531,'Таблиця 1'!$I:$I,"Mirage",'Таблиця 1'!$J:$J,"MK-32")+SUMIFS('Таблиця 1'!$K:$K,'Таблиця 1'!$B:$B,$A531,'Таблиця 1'!$I:$I,"F-16",'Таблиця 1'!$J:$J,"MK-32")+SUMIFS('Таблиця 1'!$K:$K,'Таблиця 1'!$B:$B,$A531,'Таблиця 1'!$I:$I,"МіГ-29",'Таблиця 1'!$J:$J,"MK-32")+SUMIFS('Таблиця 1'!$K:$K,'Таблиця 1'!$B:$B,$A531,'Таблиця 1'!$I:$I,"Су-25",'Таблиця 1'!$J:$J,"MK-32")+SUMIFS('Таблиця 1'!$K:$K,'Таблиця 1'!$B:$B,$A531,'Таблиця 1'!$I:$I,"Су-27",'Таблиця 1'!$J:$J,"MK-32"))</f>
        <v/>
      </c>
      <c r="Q531">
        <f>IF($A531="","",SUMIFS('Таблиця 1'!$K:$K,'Таблиця 1'!$B:$B,$A531,'Таблиця 1'!$I:$I,"Mirage",'Таблиця 1'!$J:$J,"MK-24")+SUMIFS('Таблиця 1'!$K:$K,'Таблиця 1'!$B:$B,$A531,'Таблиця 1'!$I:$I,"F-16",'Таблиця 1'!$J:$J,"MK-24")+SUMIFS('Таблиця 1'!$K:$K,'Таблиця 1'!$B:$B,$A531,'Таблиця 1'!$I:$I,"МіГ-29",'Таблиця 1'!$J:$J,"MK-24")+SUMIFS('Таблиця 1'!$K:$K,'Таблиця 1'!$B:$B,$A531,'Таблиця 1'!$I:$I,"Су-25",'Таблиця 1'!$J:$J,"MK-24")+SUMIFS('Таблиця 1'!$K:$K,'Таблиця 1'!$B:$B,$A531,'Таблиця 1'!$I:$I,"Су-27",'Таблиця 1'!$J:$J,"MK-24"))</f>
        <v/>
      </c>
      <c r="R531">
        <f>IF($A531="","",COUNTIFS('Таблиця 1'!$B:$B,$A531,'Таблиця 1'!$I:$I,"Mirage",'Таблиця 1'!$L:$L,"Уражено")+COUNTIFS('Таблиця 1'!$B:$B,$A531,'Таблиця 1'!$I:$I,"F-16",'Таблиця 1'!$L:$L,"Уражено")+COUNTIFS('Таблиця 1'!$B:$B,$A531,'Таблиця 1'!$I:$I,"МіГ-29",'Таблиця 1'!$L:$L,"Уражено")+COUNTIFS('Таблиця 1'!$B:$B,$A531,'Таблиця 1'!$I:$I,"Су-25",'Таблиця 1'!$L:$L,"Уражено")+COUNTIFS('Таблиця 1'!$B:$B,$A531,'Таблиця 1'!$I:$I,"Су-27",'Таблиця 1'!$L:$L,"Уражено"))</f>
        <v/>
      </c>
      <c r="S531">
        <f>IF($A531="","",COUNTIFS('Таблиця 1'!$B:$B,$A531,'Таблиця 1'!$I:$I,"Mirage",'Таблиця 1'!$L:$L,"НЕ уражено")+COUNTIFS('Таблиця 1'!$B:$B,$A531,'Таблиця 1'!$I:$I,"F-16",'Таблиця 1'!$L:$L,"НЕ уражено")+COUNTIFS('Таблиця 1'!$B:$B,$A531,'Таблиця 1'!$I:$I,"МіГ-29",'Таблиця 1'!$L:$L,"НЕ уражено")+COUNTIFS('Таблиця 1'!$B:$B,$A531,'Таблиця 1'!$I:$I,"Су-25",'Таблиця 1'!$L:$L,"НЕ уражено")+COUNTIFS('Таблиця 1'!$B:$B,$A531,'Таблиця 1'!$I:$I,"Су-27",'Таблиця 1'!$L:$L,"НЕ уражено"))</f>
        <v/>
      </c>
      <c r="T531">
        <f>IF($A531="","",COUNTIFS('Таблиця 1'!$B:$B,$A531,'Таблиця 1'!$I:$I,"Mirage",'Таблиця 1'!$L:$L,"Дорозвідується")+COUNTIFS('Таблиця 1'!$B:$B,$A531,'Таблиця 1'!$I:$I,"F-16",'Таблиця 1'!$L:$L,"Дорозвідується")+COUNTIFS('Таблиця 1'!$B:$B,$A531,'Таблиця 1'!$I:$I,"МіГ-29",'Таблиця 1'!$L:$L,"Дорозвідується")+COUNTIFS('Таблиця 1'!$B:$B,$A531,'Таблиця 1'!$I:$I,"Су-25",'Таблиця 1'!$L:$L,"Дорозвідується")+COUNTIFS('Таблиця 1'!$B:$B,$A531,'Таблиця 1'!$I:$I,"Су-27",'Таблиця 1'!$L:$L,"Дорозвідується"))</f>
        <v/>
      </c>
    </row>
    <row r="532">
      <c r="A532" s="273">
        <f>IF(A531="","",IF(A531+1&gt;MAX('Таблиця 1'!$B:$B),"",A531+1))</f>
        <v/>
      </c>
      <c r="B532">
        <f>IF($A532="","",COUNTIFS('Таблиця 1'!$B:$B,$A532,'Таблиця 1'!$I:$I,"Mirage")+COUNTIFS('Таблиця 1'!$B:$B,$A532,'Таблиця 1'!$I:$I,"F-16")+COUNTIFS('Таблиця 1'!$B:$B,$A532,'Таблиця 1'!$I:$I,"МіГ-29")+COUNTIFS('Таблиця 1'!$B:$B,$A532,'Таблиця 1'!$I:$I,"Су-25")+COUNTIFS('Таблиця 1'!$B:$B,$A532,'Таблиця 1'!$I:$I,"Су-27"))</f>
        <v/>
      </c>
      <c r="C532">
        <f>IF($A532="","",COUNTIFS('Таблиця 1'!$B:$B,$A532,'Таблиця 1'!$I:$I,"Mirage"))</f>
        <v/>
      </c>
      <c r="D532">
        <f>IF($A532="","",COUNTIFS('Таблиця 1'!$B:$B,$A532,'Таблиця 1'!$I:$I,"F-16"))</f>
        <v/>
      </c>
      <c r="E532">
        <f>IF($A532="","",COUNTIFS('Таблиця 1'!$B:$B,$A532,'Таблиця 1'!$I:$I,"МіГ-29"))</f>
        <v/>
      </c>
      <c r="F532">
        <f>IF($A532="","",COUNTIFS('Таблиця 1'!$B:$B,$A532,'Таблиця 1'!$I:$I,"Су-25"))</f>
        <v/>
      </c>
      <c r="G532">
        <f>IF($A532="","",COUNTIFS('Таблиця 1'!$B:$B,$A532,'Таблиця 1'!$I:$I,"Су-27"))</f>
        <v/>
      </c>
      <c r="H532">
        <f>IF($A532="","",SUMIFS('Таблиця 1'!$K:$K,'Таблиця 1'!$B:$B,$A532,'Таблиця 1'!$I:$I,"Mirage",'Таблиця 1'!$J:$J,"AGM-88")+SUMIFS('Таблиця 1'!$K:$K,'Таблиця 1'!$B:$B,$A532,'Таблиця 1'!$I:$I,"F-16",'Таблиця 1'!$J:$J,"AGM-88")+SUMIFS('Таблиця 1'!$K:$K,'Таблиця 1'!$B:$B,$A532,'Таблиця 1'!$I:$I,"МіГ-29",'Таблиця 1'!$J:$J,"AGM-88")+SUMIFS('Таблиця 1'!$K:$K,'Таблиця 1'!$B:$B,$A532,'Таблиця 1'!$I:$I,"Су-25",'Таблиця 1'!$J:$J,"AGM-88")+SUMIFS('Таблиця 1'!$K:$K,'Таблиця 1'!$B:$B,$A532,'Таблиця 1'!$I:$I,"Су-27",'Таблиця 1'!$J:$J,"AGM-88"))</f>
        <v/>
      </c>
      <c r="I532">
        <f>IF($A532="","",SUMIFS('Таблиця 1'!$K:$K,'Таблиця 1'!$B:$B,$A532,'Таблиця 1'!$I:$I,"Mirage",'Таблиця 1'!$J:$J,"AASM-250")+SUMIFS('Таблиця 1'!$K:$K,'Таблиця 1'!$B:$B,$A532,'Таблиця 1'!$I:$I,"F-16",'Таблиця 1'!$J:$J,"AASM-250")+SUMIFS('Таблиця 1'!$K:$K,'Таблиця 1'!$B:$B,$A532,'Таблиця 1'!$I:$I,"МіГ-29",'Таблиця 1'!$J:$J,"AASM-250")+SUMIFS('Таблиця 1'!$K:$K,'Таблиця 1'!$B:$B,$A532,'Таблиця 1'!$I:$I,"Су-25",'Таблиця 1'!$J:$J,"AASM-250")+SUMIFS('Таблиця 1'!$K:$K,'Таблиця 1'!$B:$B,$A532,'Таблиця 1'!$I:$I,"Су-27",'Таблиця 1'!$J:$J,"AASM-250"))</f>
        <v/>
      </c>
      <c r="J532">
        <f>IF($A532="","",SUMIFS('Таблиця 1'!$K:$K,'Таблиця 1'!$B:$B,$A532,'Таблиця 1'!$I:$I,"Mirage",'Таблиця 1'!$J:$J,"GBU-39")+SUMIFS('Таблиця 1'!$K:$K,'Таблиця 1'!$B:$B,$A532,'Таблиця 1'!$I:$I,"F-16",'Таблиця 1'!$J:$J,"GBU-39")+SUMIFS('Таблиця 1'!$K:$K,'Таблиця 1'!$B:$B,$A532,'Таблиця 1'!$I:$I,"МіГ-29",'Таблиця 1'!$J:$J,"GBU-39")+SUMIFS('Таблиця 1'!$K:$K,'Таблиця 1'!$B:$B,$A532,'Таблиця 1'!$I:$I,"Су-25",'Таблиця 1'!$J:$J,"GBU-39")+SUMIFS('Таблиця 1'!$K:$K,'Таблиця 1'!$B:$B,$A532,'Таблиця 1'!$I:$I,"Су-27",'Таблиця 1'!$J:$J,"GBU-39"))</f>
        <v/>
      </c>
      <c r="K532">
        <f>IF($A532="","",SUMIFS('Таблиця 1'!$K:$K,'Таблиця 1'!$B:$B,$A532,'Таблиця 1'!$I:$I,"Mirage",'Таблиця 1'!$J:$J,"BLU-140")+SUMIFS('Таблиця 1'!$K:$K,'Таблиця 1'!$B:$B,$A532,'Таблиця 1'!$I:$I,"F-16",'Таблиця 1'!$J:$J,"BLU-140")+SUMIFS('Таблиця 1'!$K:$K,'Таблиця 1'!$B:$B,$A532,'Таблиця 1'!$I:$I,"МіГ-29",'Таблиця 1'!$J:$J,"BLU-140")+SUMIFS('Таблиця 1'!$K:$K,'Таблиця 1'!$B:$B,$A532,'Таблиця 1'!$I:$I,"Су-25",'Таблиця 1'!$J:$J,"BLU-140")+SUMIFS('Таблиця 1'!$K:$K,'Таблиця 1'!$B:$B,$A532,'Таблиця 1'!$I:$I,"Су-27",'Таблиця 1'!$J:$J,"BLU-140"))</f>
        <v/>
      </c>
      <c r="L532">
        <f>IF($A532="","",SUMIFS('Таблиця 1'!$K:$K,'Таблиця 1'!$B:$B,$A532,'Таблиця 1'!$I:$I,"Mirage",'Таблиця 1'!$J:$J,"GBU-65")+SUMIFS('Таблиця 1'!$K:$K,'Таблиця 1'!$B:$B,$A532,'Таблиця 1'!$I:$I,"F-16",'Таблиця 1'!$J:$J,"GBU-65")+SUMIFS('Таблиця 1'!$K:$K,'Таблиця 1'!$B:$B,$A532,'Таблиця 1'!$I:$I,"МіГ-29",'Таблиця 1'!$J:$J,"GBU-65")+SUMIFS('Таблиця 1'!$K:$K,'Таблиця 1'!$B:$B,$A532,'Таблиця 1'!$I:$I,"Су-25",'Таблиця 1'!$J:$J,"GBU-65")+SUMIFS('Таблиця 1'!$K:$K,'Таблиця 1'!$B:$B,$A532,'Таблиця 1'!$I:$I,"Су-27",'Таблиця 1'!$J:$J,"GBU-65"))</f>
        <v/>
      </c>
      <c r="M532">
        <f>IF($A532="","",SUMIFS('Таблиця 1'!$K:$K,'Таблиця 1'!$B:$B,$A532,'Таблиця 1'!$I:$I,"Mirage",'Таблиця 1'!$J:$J,"GBU-62")+SUMIFS('Таблиця 1'!$K:$K,'Таблиця 1'!$B:$B,$A532,'Таблиця 1'!$I:$I,"F-16",'Таблиця 1'!$J:$J,"GBU-62")+SUMIFS('Таблиця 1'!$K:$K,'Таблиця 1'!$B:$B,$A532,'Таблиця 1'!$I:$I,"МіГ-29",'Таблиця 1'!$J:$J,"GBU-62")+SUMIFS('Таблиця 1'!$K:$K,'Таблиця 1'!$B:$B,$A532,'Таблиця 1'!$I:$I,"Су-25",'Таблиця 1'!$J:$J,"GBU-62")+SUMIFS('Таблиця 1'!$K:$K,'Таблиця 1'!$B:$B,$A532,'Таблиця 1'!$I:$I,"Су-27",'Таблиця 1'!$J:$J,"GBU-62"))</f>
        <v/>
      </c>
      <c r="N532">
        <f>IF($A532="","",SUMIFS('Таблиця 1'!$K:$K,'Таблиця 1'!$B:$B,$A532,'Таблиця 1'!$I:$I,"Mirage",'Таблиця 1'!$J:$J,"GBU-64")+SUMIFS('Таблиця 1'!$K:$K,'Таблиця 1'!$B:$B,$A532,'Таблиця 1'!$I:$I,"F-16",'Таблиця 1'!$J:$J,"GBU-64")+SUMIFS('Таблиця 1'!$K:$K,'Таблиця 1'!$B:$B,$A532,'Таблиця 1'!$I:$I,"МіГ-29",'Таблиця 1'!$J:$J,"GBU-64")+SUMIFS('Таблиця 1'!$K:$K,'Таблиця 1'!$B:$B,$A532,'Таблиця 1'!$I:$I,"Су-25",'Таблиця 1'!$J:$J,"GBU-64")+SUMIFS('Таблиця 1'!$K:$K,'Таблиця 1'!$B:$B,$A532,'Таблиця 1'!$I:$I,"Су-27",'Таблиця 1'!$J:$J,"GBU-64"))</f>
        <v/>
      </c>
      <c r="O532">
        <f>IF($A532="","",SUMIFS('Таблиця 1'!$K:$K,'Таблиця 1'!$B:$B,$A532,'Таблиця 1'!$I:$I,"Mirage",'Таблиця 1'!$J:$J,"C-13")+SUMIFS('Таблиця 1'!$K:$K,'Таблиця 1'!$B:$B,$A532,'Таблиця 1'!$I:$I,"F-16",'Таблиця 1'!$J:$J,"C-13")+SUMIFS('Таблиця 1'!$K:$K,'Таблиця 1'!$B:$B,$A532,'Таблиця 1'!$I:$I,"МіГ-29",'Таблиця 1'!$J:$J,"C-13")+SUMIFS('Таблиця 1'!$K:$K,'Таблиця 1'!$B:$B,$A532,'Таблиця 1'!$I:$I,"Су-25",'Таблиця 1'!$J:$J,"C-13")+SUMIFS('Таблиця 1'!$K:$K,'Таблиця 1'!$B:$B,$A532,'Таблиця 1'!$I:$I,"Су-27",'Таблиця 1'!$J:$J,"C-13"))</f>
        <v/>
      </c>
      <c r="P532">
        <f>IF($A532="","",SUMIFS('Таблиця 1'!$K:$K,'Таблиця 1'!$B:$B,$A532,'Таблиця 1'!$I:$I,"Mirage",'Таблиця 1'!$J:$J,"MK-32")+SUMIFS('Таблиця 1'!$K:$K,'Таблиця 1'!$B:$B,$A532,'Таблиця 1'!$I:$I,"F-16",'Таблиця 1'!$J:$J,"MK-32")+SUMIFS('Таблиця 1'!$K:$K,'Таблиця 1'!$B:$B,$A532,'Таблиця 1'!$I:$I,"МіГ-29",'Таблиця 1'!$J:$J,"MK-32")+SUMIFS('Таблиця 1'!$K:$K,'Таблиця 1'!$B:$B,$A532,'Таблиця 1'!$I:$I,"Су-25",'Таблиця 1'!$J:$J,"MK-32")+SUMIFS('Таблиця 1'!$K:$K,'Таблиця 1'!$B:$B,$A532,'Таблиця 1'!$I:$I,"Су-27",'Таблиця 1'!$J:$J,"MK-32"))</f>
        <v/>
      </c>
      <c r="Q532">
        <f>IF($A532="","",SUMIFS('Таблиця 1'!$K:$K,'Таблиця 1'!$B:$B,$A532,'Таблиця 1'!$I:$I,"Mirage",'Таблиця 1'!$J:$J,"MK-24")+SUMIFS('Таблиця 1'!$K:$K,'Таблиця 1'!$B:$B,$A532,'Таблиця 1'!$I:$I,"F-16",'Таблиця 1'!$J:$J,"MK-24")+SUMIFS('Таблиця 1'!$K:$K,'Таблиця 1'!$B:$B,$A532,'Таблиця 1'!$I:$I,"МіГ-29",'Таблиця 1'!$J:$J,"MK-24")+SUMIFS('Таблиця 1'!$K:$K,'Таблиця 1'!$B:$B,$A532,'Таблиця 1'!$I:$I,"Су-25",'Таблиця 1'!$J:$J,"MK-24")+SUMIFS('Таблиця 1'!$K:$K,'Таблиця 1'!$B:$B,$A532,'Таблиця 1'!$I:$I,"Су-27",'Таблиця 1'!$J:$J,"MK-24"))</f>
        <v/>
      </c>
      <c r="R532">
        <f>IF($A532="","",COUNTIFS('Таблиця 1'!$B:$B,$A532,'Таблиця 1'!$I:$I,"Mirage",'Таблиця 1'!$L:$L,"Уражено")+COUNTIFS('Таблиця 1'!$B:$B,$A532,'Таблиця 1'!$I:$I,"F-16",'Таблиця 1'!$L:$L,"Уражено")+COUNTIFS('Таблиця 1'!$B:$B,$A532,'Таблиця 1'!$I:$I,"МіГ-29",'Таблиця 1'!$L:$L,"Уражено")+COUNTIFS('Таблиця 1'!$B:$B,$A532,'Таблиця 1'!$I:$I,"Су-25",'Таблиця 1'!$L:$L,"Уражено")+COUNTIFS('Таблиця 1'!$B:$B,$A532,'Таблиця 1'!$I:$I,"Су-27",'Таблиця 1'!$L:$L,"Уражено"))</f>
        <v/>
      </c>
      <c r="S532">
        <f>IF($A532="","",COUNTIFS('Таблиця 1'!$B:$B,$A532,'Таблиця 1'!$I:$I,"Mirage",'Таблиця 1'!$L:$L,"НЕ уражено")+COUNTIFS('Таблиця 1'!$B:$B,$A532,'Таблиця 1'!$I:$I,"F-16",'Таблиця 1'!$L:$L,"НЕ уражено")+COUNTIFS('Таблиця 1'!$B:$B,$A532,'Таблиця 1'!$I:$I,"МіГ-29",'Таблиця 1'!$L:$L,"НЕ уражено")+COUNTIFS('Таблиця 1'!$B:$B,$A532,'Таблиця 1'!$I:$I,"Су-25",'Таблиця 1'!$L:$L,"НЕ уражено")+COUNTIFS('Таблиця 1'!$B:$B,$A532,'Таблиця 1'!$I:$I,"Су-27",'Таблиця 1'!$L:$L,"НЕ уражено"))</f>
        <v/>
      </c>
      <c r="T532">
        <f>IF($A532="","",COUNTIFS('Таблиця 1'!$B:$B,$A532,'Таблиця 1'!$I:$I,"Mirage",'Таблиця 1'!$L:$L,"Дорозвідується")+COUNTIFS('Таблиця 1'!$B:$B,$A532,'Таблиця 1'!$I:$I,"F-16",'Таблиця 1'!$L:$L,"Дорозвідується")+COUNTIFS('Таблиця 1'!$B:$B,$A532,'Таблиця 1'!$I:$I,"МіГ-29",'Таблиця 1'!$L:$L,"Дорозвідується")+COUNTIFS('Таблиця 1'!$B:$B,$A532,'Таблиця 1'!$I:$I,"Су-25",'Таблиця 1'!$L:$L,"Дорозвідується")+COUNTIFS('Таблиця 1'!$B:$B,$A532,'Таблиця 1'!$I:$I,"Су-27",'Таблиця 1'!$L:$L,"Дорозвідується"))</f>
        <v/>
      </c>
    </row>
    <row r="533">
      <c r="A533" s="273">
        <f>IF(A532="","",IF(A532+1&gt;MAX('Таблиця 1'!$B:$B),"",A532+1))</f>
        <v/>
      </c>
      <c r="B533">
        <f>IF($A533="","",COUNTIFS('Таблиця 1'!$B:$B,$A533,'Таблиця 1'!$I:$I,"Mirage")+COUNTIFS('Таблиця 1'!$B:$B,$A533,'Таблиця 1'!$I:$I,"F-16")+COUNTIFS('Таблиця 1'!$B:$B,$A533,'Таблиця 1'!$I:$I,"МіГ-29")+COUNTIFS('Таблиця 1'!$B:$B,$A533,'Таблиця 1'!$I:$I,"Су-25")+COUNTIFS('Таблиця 1'!$B:$B,$A533,'Таблиця 1'!$I:$I,"Су-27"))</f>
        <v/>
      </c>
      <c r="C533">
        <f>IF($A533="","",COUNTIFS('Таблиця 1'!$B:$B,$A533,'Таблиця 1'!$I:$I,"Mirage"))</f>
        <v/>
      </c>
      <c r="D533">
        <f>IF($A533="","",COUNTIFS('Таблиця 1'!$B:$B,$A533,'Таблиця 1'!$I:$I,"F-16"))</f>
        <v/>
      </c>
      <c r="E533">
        <f>IF($A533="","",COUNTIFS('Таблиця 1'!$B:$B,$A533,'Таблиця 1'!$I:$I,"МіГ-29"))</f>
        <v/>
      </c>
      <c r="F533">
        <f>IF($A533="","",COUNTIFS('Таблиця 1'!$B:$B,$A533,'Таблиця 1'!$I:$I,"Су-25"))</f>
        <v/>
      </c>
      <c r="G533">
        <f>IF($A533="","",COUNTIFS('Таблиця 1'!$B:$B,$A533,'Таблиця 1'!$I:$I,"Су-27"))</f>
        <v/>
      </c>
      <c r="H533">
        <f>IF($A533="","",SUMIFS('Таблиця 1'!$K:$K,'Таблиця 1'!$B:$B,$A533,'Таблиця 1'!$I:$I,"Mirage",'Таблиця 1'!$J:$J,"AGM-88")+SUMIFS('Таблиця 1'!$K:$K,'Таблиця 1'!$B:$B,$A533,'Таблиця 1'!$I:$I,"F-16",'Таблиця 1'!$J:$J,"AGM-88")+SUMIFS('Таблиця 1'!$K:$K,'Таблиця 1'!$B:$B,$A533,'Таблиця 1'!$I:$I,"МіГ-29",'Таблиця 1'!$J:$J,"AGM-88")+SUMIFS('Таблиця 1'!$K:$K,'Таблиця 1'!$B:$B,$A533,'Таблиця 1'!$I:$I,"Су-25",'Таблиця 1'!$J:$J,"AGM-88")+SUMIFS('Таблиця 1'!$K:$K,'Таблиця 1'!$B:$B,$A533,'Таблиця 1'!$I:$I,"Су-27",'Таблиця 1'!$J:$J,"AGM-88"))</f>
        <v/>
      </c>
      <c r="I533">
        <f>IF($A533="","",SUMIFS('Таблиця 1'!$K:$K,'Таблиця 1'!$B:$B,$A533,'Таблиця 1'!$I:$I,"Mirage",'Таблиця 1'!$J:$J,"AASM-250")+SUMIFS('Таблиця 1'!$K:$K,'Таблиця 1'!$B:$B,$A533,'Таблиця 1'!$I:$I,"F-16",'Таблиця 1'!$J:$J,"AASM-250")+SUMIFS('Таблиця 1'!$K:$K,'Таблиця 1'!$B:$B,$A533,'Таблиця 1'!$I:$I,"МіГ-29",'Таблиця 1'!$J:$J,"AASM-250")+SUMIFS('Таблиця 1'!$K:$K,'Таблиця 1'!$B:$B,$A533,'Таблиця 1'!$I:$I,"Су-25",'Таблиця 1'!$J:$J,"AASM-250")+SUMIFS('Таблиця 1'!$K:$K,'Таблиця 1'!$B:$B,$A533,'Таблиця 1'!$I:$I,"Су-27",'Таблиця 1'!$J:$J,"AASM-250"))</f>
        <v/>
      </c>
      <c r="J533">
        <f>IF($A533="","",SUMIFS('Таблиця 1'!$K:$K,'Таблиця 1'!$B:$B,$A533,'Таблиця 1'!$I:$I,"Mirage",'Таблиця 1'!$J:$J,"GBU-39")+SUMIFS('Таблиця 1'!$K:$K,'Таблиця 1'!$B:$B,$A533,'Таблиця 1'!$I:$I,"F-16",'Таблиця 1'!$J:$J,"GBU-39")+SUMIFS('Таблиця 1'!$K:$K,'Таблиця 1'!$B:$B,$A533,'Таблиця 1'!$I:$I,"МіГ-29",'Таблиця 1'!$J:$J,"GBU-39")+SUMIFS('Таблиця 1'!$K:$K,'Таблиця 1'!$B:$B,$A533,'Таблиця 1'!$I:$I,"Су-25",'Таблиця 1'!$J:$J,"GBU-39")+SUMIFS('Таблиця 1'!$K:$K,'Таблиця 1'!$B:$B,$A533,'Таблиця 1'!$I:$I,"Су-27",'Таблиця 1'!$J:$J,"GBU-39"))</f>
        <v/>
      </c>
      <c r="K533">
        <f>IF($A533="","",SUMIFS('Таблиця 1'!$K:$K,'Таблиця 1'!$B:$B,$A533,'Таблиця 1'!$I:$I,"Mirage",'Таблиця 1'!$J:$J,"BLU-140")+SUMIFS('Таблиця 1'!$K:$K,'Таблиця 1'!$B:$B,$A533,'Таблиця 1'!$I:$I,"F-16",'Таблиця 1'!$J:$J,"BLU-140")+SUMIFS('Таблиця 1'!$K:$K,'Таблиця 1'!$B:$B,$A533,'Таблиця 1'!$I:$I,"МіГ-29",'Таблиця 1'!$J:$J,"BLU-140")+SUMIFS('Таблиця 1'!$K:$K,'Таблиця 1'!$B:$B,$A533,'Таблиця 1'!$I:$I,"Су-25",'Таблиця 1'!$J:$J,"BLU-140")+SUMIFS('Таблиця 1'!$K:$K,'Таблиця 1'!$B:$B,$A533,'Таблиця 1'!$I:$I,"Су-27",'Таблиця 1'!$J:$J,"BLU-140"))</f>
        <v/>
      </c>
      <c r="L533">
        <f>IF($A533="","",SUMIFS('Таблиця 1'!$K:$K,'Таблиця 1'!$B:$B,$A533,'Таблиця 1'!$I:$I,"Mirage",'Таблиця 1'!$J:$J,"GBU-65")+SUMIFS('Таблиця 1'!$K:$K,'Таблиця 1'!$B:$B,$A533,'Таблиця 1'!$I:$I,"F-16",'Таблиця 1'!$J:$J,"GBU-65")+SUMIFS('Таблиця 1'!$K:$K,'Таблиця 1'!$B:$B,$A533,'Таблиця 1'!$I:$I,"МіГ-29",'Таблиця 1'!$J:$J,"GBU-65")+SUMIFS('Таблиця 1'!$K:$K,'Таблиця 1'!$B:$B,$A533,'Таблиця 1'!$I:$I,"Су-25",'Таблиця 1'!$J:$J,"GBU-65")+SUMIFS('Таблиця 1'!$K:$K,'Таблиця 1'!$B:$B,$A533,'Таблиця 1'!$I:$I,"Су-27",'Таблиця 1'!$J:$J,"GBU-65"))</f>
        <v/>
      </c>
      <c r="M533">
        <f>IF($A533="","",SUMIFS('Таблиця 1'!$K:$K,'Таблиця 1'!$B:$B,$A533,'Таблиця 1'!$I:$I,"Mirage",'Таблиця 1'!$J:$J,"GBU-62")+SUMIFS('Таблиця 1'!$K:$K,'Таблиця 1'!$B:$B,$A533,'Таблиця 1'!$I:$I,"F-16",'Таблиця 1'!$J:$J,"GBU-62")+SUMIFS('Таблиця 1'!$K:$K,'Таблиця 1'!$B:$B,$A533,'Таблиця 1'!$I:$I,"МіГ-29",'Таблиця 1'!$J:$J,"GBU-62")+SUMIFS('Таблиця 1'!$K:$K,'Таблиця 1'!$B:$B,$A533,'Таблиця 1'!$I:$I,"Су-25",'Таблиця 1'!$J:$J,"GBU-62")+SUMIFS('Таблиця 1'!$K:$K,'Таблиця 1'!$B:$B,$A533,'Таблиця 1'!$I:$I,"Су-27",'Таблиця 1'!$J:$J,"GBU-62"))</f>
        <v/>
      </c>
      <c r="N533">
        <f>IF($A533="","",SUMIFS('Таблиця 1'!$K:$K,'Таблиця 1'!$B:$B,$A533,'Таблиця 1'!$I:$I,"Mirage",'Таблиця 1'!$J:$J,"GBU-64")+SUMIFS('Таблиця 1'!$K:$K,'Таблиця 1'!$B:$B,$A533,'Таблиця 1'!$I:$I,"F-16",'Таблиця 1'!$J:$J,"GBU-64")+SUMIFS('Таблиця 1'!$K:$K,'Таблиця 1'!$B:$B,$A533,'Таблиця 1'!$I:$I,"МіГ-29",'Таблиця 1'!$J:$J,"GBU-64")+SUMIFS('Таблиця 1'!$K:$K,'Таблиця 1'!$B:$B,$A533,'Таблиця 1'!$I:$I,"Су-25",'Таблиця 1'!$J:$J,"GBU-64")+SUMIFS('Таблиця 1'!$K:$K,'Таблиця 1'!$B:$B,$A533,'Таблиця 1'!$I:$I,"Су-27",'Таблиця 1'!$J:$J,"GBU-64"))</f>
        <v/>
      </c>
      <c r="O533">
        <f>IF($A533="","",SUMIFS('Таблиця 1'!$K:$K,'Таблиця 1'!$B:$B,$A533,'Таблиця 1'!$I:$I,"Mirage",'Таблиця 1'!$J:$J,"C-13")+SUMIFS('Таблиця 1'!$K:$K,'Таблиця 1'!$B:$B,$A533,'Таблиця 1'!$I:$I,"F-16",'Таблиця 1'!$J:$J,"C-13")+SUMIFS('Таблиця 1'!$K:$K,'Таблиця 1'!$B:$B,$A533,'Таблиця 1'!$I:$I,"МіГ-29",'Таблиця 1'!$J:$J,"C-13")+SUMIFS('Таблиця 1'!$K:$K,'Таблиця 1'!$B:$B,$A533,'Таблиця 1'!$I:$I,"Су-25",'Таблиця 1'!$J:$J,"C-13")+SUMIFS('Таблиця 1'!$K:$K,'Таблиця 1'!$B:$B,$A533,'Таблиця 1'!$I:$I,"Су-27",'Таблиця 1'!$J:$J,"C-13"))</f>
        <v/>
      </c>
      <c r="P533">
        <f>IF($A533="","",SUMIFS('Таблиця 1'!$K:$K,'Таблиця 1'!$B:$B,$A533,'Таблиця 1'!$I:$I,"Mirage",'Таблиця 1'!$J:$J,"MK-32")+SUMIFS('Таблиця 1'!$K:$K,'Таблиця 1'!$B:$B,$A533,'Таблиця 1'!$I:$I,"F-16",'Таблиця 1'!$J:$J,"MK-32")+SUMIFS('Таблиця 1'!$K:$K,'Таблиця 1'!$B:$B,$A533,'Таблиця 1'!$I:$I,"МіГ-29",'Таблиця 1'!$J:$J,"MK-32")+SUMIFS('Таблиця 1'!$K:$K,'Таблиця 1'!$B:$B,$A533,'Таблиця 1'!$I:$I,"Су-25",'Таблиця 1'!$J:$J,"MK-32")+SUMIFS('Таблиця 1'!$K:$K,'Таблиця 1'!$B:$B,$A533,'Таблиця 1'!$I:$I,"Су-27",'Таблиця 1'!$J:$J,"MK-32"))</f>
        <v/>
      </c>
      <c r="Q533">
        <f>IF($A533="","",SUMIFS('Таблиця 1'!$K:$K,'Таблиця 1'!$B:$B,$A533,'Таблиця 1'!$I:$I,"Mirage",'Таблиця 1'!$J:$J,"MK-24")+SUMIFS('Таблиця 1'!$K:$K,'Таблиця 1'!$B:$B,$A533,'Таблиця 1'!$I:$I,"F-16",'Таблиця 1'!$J:$J,"MK-24")+SUMIFS('Таблиця 1'!$K:$K,'Таблиця 1'!$B:$B,$A533,'Таблиця 1'!$I:$I,"МіГ-29",'Таблиця 1'!$J:$J,"MK-24")+SUMIFS('Таблиця 1'!$K:$K,'Таблиця 1'!$B:$B,$A533,'Таблиця 1'!$I:$I,"Су-25",'Таблиця 1'!$J:$J,"MK-24")+SUMIFS('Таблиця 1'!$K:$K,'Таблиця 1'!$B:$B,$A533,'Таблиця 1'!$I:$I,"Су-27",'Таблиця 1'!$J:$J,"MK-24"))</f>
        <v/>
      </c>
      <c r="R533">
        <f>IF($A533="","",COUNTIFS('Таблиця 1'!$B:$B,$A533,'Таблиця 1'!$I:$I,"Mirage",'Таблиця 1'!$L:$L,"Уражено")+COUNTIFS('Таблиця 1'!$B:$B,$A533,'Таблиця 1'!$I:$I,"F-16",'Таблиця 1'!$L:$L,"Уражено")+COUNTIFS('Таблиця 1'!$B:$B,$A533,'Таблиця 1'!$I:$I,"МіГ-29",'Таблиця 1'!$L:$L,"Уражено")+COUNTIFS('Таблиця 1'!$B:$B,$A533,'Таблиця 1'!$I:$I,"Су-25",'Таблиця 1'!$L:$L,"Уражено")+COUNTIFS('Таблиця 1'!$B:$B,$A533,'Таблиця 1'!$I:$I,"Су-27",'Таблиця 1'!$L:$L,"Уражено"))</f>
        <v/>
      </c>
      <c r="S533">
        <f>IF($A533="","",COUNTIFS('Таблиця 1'!$B:$B,$A533,'Таблиця 1'!$I:$I,"Mirage",'Таблиця 1'!$L:$L,"НЕ уражено")+COUNTIFS('Таблиця 1'!$B:$B,$A533,'Таблиця 1'!$I:$I,"F-16",'Таблиця 1'!$L:$L,"НЕ уражено")+COUNTIFS('Таблиця 1'!$B:$B,$A533,'Таблиця 1'!$I:$I,"МіГ-29",'Таблиця 1'!$L:$L,"НЕ уражено")+COUNTIFS('Таблиця 1'!$B:$B,$A533,'Таблиця 1'!$I:$I,"Су-25",'Таблиця 1'!$L:$L,"НЕ уражено")+COUNTIFS('Таблиця 1'!$B:$B,$A533,'Таблиця 1'!$I:$I,"Су-27",'Таблиця 1'!$L:$L,"НЕ уражено"))</f>
        <v/>
      </c>
      <c r="T533">
        <f>IF($A533="","",COUNTIFS('Таблиця 1'!$B:$B,$A533,'Таблиця 1'!$I:$I,"Mirage",'Таблиця 1'!$L:$L,"Дорозвідується")+COUNTIFS('Таблиця 1'!$B:$B,$A533,'Таблиця 1'!$I:$I,"F-16",'Таблиця 1'!$L:$L,"Дорозвідується")+COUNTIFS('Таблиця 1'!$B:$B,$A533,'Таблиця 1'!$I:$I,"МіГ-29",'Таблиця 1'!$L:$L,"Дорозвідується")+COUNTIFS('Таблиця 1'!$B:$B,$A533,'Таблиця 1'!$I:$I,"Су-25",'Таблиця 1'!$L:$L,"Дорозвідується")+COUNTIFS('Таблиця 1'!$B:$B,$A533,'Таблиця 1'!$I:$I,"Су-27",'Таблиця 1'!$L:$L,"Дорозвідується"))</f>
        <v/>
      </c>
    </row>
    <row r="534">
      <c r="A534" s="273">
        <f>IF(A533="","",IF(A533+1&gt;MAX('Таблиця 1'!$B:$B),"",A533+1))</f>
        <v/>
      </c>
      <c r="B534">
        <f>IF($A534="","",COUNTIFS('Таблиця 1'!$B:$B,$A534,'Таблиця 1'!$I:$I,"Mirage")+COUNTIFS('Таблиця 1'!$B:$B,$A534,'Таблиця 1'!$I:$I,"F-16")+COUNTIFS('Таблиця 1'!$B:$B,$A534,'Таблиця 1'!$I:$I,"МіГ-29")+COUNTIFS('Таблиця 1'!$B:$B,$A534,'Таблиця 1'!$I:$I,"Су-25")+COUNTIFS('Таблиця 1'!$B:$B,$A534,'Таблиця 1'!$I:$I,"Су-27"))</f>
        <v/>
      </c>
      <c r="C534">
        <f>IF($A534="","",COUNTIFS('Таблиця 1'!$B:$B,$A534,'Таблиця 1'!$I:$I,"Mirage"))</f>
        <v/>
      </c>
      <c r="D534">
        <f>IF($A534="","",COUNTIFS('Таблиця 1'!$B:$B,$A534,'Таблиця 1'!$I:$I,"F-16"))</f>
        <v/>
      </c>
      <c r="E534">
        <f>IF($A534="","",COUNTIFS('Таблиця 1'!$B:$B,$A534,'Таблиця 1'!$I:$I,"МіГ-29"))</f>
        <v/>
      </c>
      <c r="F534">
        <f>IF($A534="","",COUNTIFS('Таблиця 1'!$B:$B,$A534,'Таблиця 1'!$I:$I,"Су-25"))</f>
        <v/>
      </c>
      <c r="G534">
        <f>IF($A534="","",COUNTIFS('Таблиця 1'!$B:$B,$A534,'Таблиця 1'!$I:$I,"Су-27"))</f>
        <v/>
      </c>
      <c r="H534">
        <f>IF($A534="","",SUMIFS('Таблиця 1'!$K:$K,'Таблиця 1'!$B:$B,$A534,'Таблиця 1'!$I:$I,"Mirage",'Таблиця 1'!$J:$J,"AGM-88")+SUMIFS('Таблиця 1'!$K:$K,'Таблиця 1'!$B:$B,$A534,'Таблиця 1'!$I:$I,"F-16",'Таблиця 1'!$J:$J,"AGM-88")+SUMIFS('Таблиця 1'!$K:$K,'Таблиця 1'!$B:$B,$A534,'Таблиця 1'!$I:$I,"МіГ-29",'Таблиця 1'!$J:$J,"AGM-88")+SUMIFS('Таблиця 1'!$K:$K,'Таблиця 1'!$B:$B,$A534,'Таблиця 1'!$I:$I,"Су-25",'Таблиця 1'!$J:$J,"AGM-88")+SUMIFS('Таблиця 1'!$K:$K,'Таблиця 1'!$B:$B,$A534,'Таблиця 1'!$I:$I,"Су-27",'Таблиця 1'!$J:$J,"AGM-88"))</f>
        <v/>
      </c>
      <c r="I534">
        <f>IF($A534="","",SUMIFS('Таблиця 1'!$K:$K,'Таблиця 1'!$B:$B,$A534,'Таблиця 1'!$I:$I,"Mirage",'Таблиця 1'!$J:$J,"AASM-250")+SUMIFS('Таблиця 1'!$K:$K,'Таблиця 1'!$B:$B,$A534,'Таблиця 1'!$I:$I,"F-16",'Таблиця 1'!$J:$J,"AASM-250")+SUMIFS('Таблиця 1'!$K:$K,'Таблиця 1'!$B:$B,$A534,'Таблиця 1'!$I:$I,"МіГ-29",'Таблиця 1'!$J:$J,"AASM-250")+SUMIFS('Таблиця 1'!$K:$K,'Таблиця 1'!$B:$B,$A534,'Таблиця 1'!$I:$I,"Су-25",'Таблиця 1'!$J:$J,"AASM-250")+SUMIFS('Таблиця 1'!$K:$K,'Таблиця 1'!$B:$B,$A534,'Таблиця 1'!$I:$I,"Су-27",'Таблиця 1'!$J:$J,"AASM-250"))</f>
        <v/>
      </c>
      <c r="J534">
        <f>IF($A534="","",SUMIFS('Таблиця 1'!$K:$K,'Таблиця 1'!$B:$B,$A534,'Таблиця 1'!$I:$I,"Mirage",'Таблиця 1'!$J:$J,"GBU-39")+SUMIFS('Таблиця 1'!$K:$K,'Таблиця 1'!$B:$B,$A534,'Таблиця 1'!$I:$I,"F-16",'Таблиця 1'!$J:$J,"GBU-39")+SUMIFS('Таблиця 1'!$K:$K,'Таблиця 1'!$B:$B,$A534,'Таблиця 1'!$I:$I,"МіГ-29",'Таблиця 1'!$J:$J,"GBU-39")+SUMIFS('Таблиця 1'!$K:$K,'Таблиця 1'!$B:$B,$A534,'Таблиця 1'!$I:$I,"Су-25",'Таблиця 1'!$J:$J,"GBU-39")+SUMIFS('Таблиця 1'!$K:$K,'Таблиця 1'!$B:$B,$A534,'Таблиця 1'!$I:$I,"Су-27",'Таблиця 1'!$J:$J,"GBU-39"))</f>
        <v/>
      </c>
      <c r="K534">
        <f>IF($A534="","",SUMIFS('Таблиця 1'!$K:$K,'Таблиця 1'!$B:$B,$A534,'Таблиця 1'!$I:$I,"Mirage",'Таблиця 1'!$J:$J,"BLU-140")+SUMIFS('Таблиця 1'!$K:$K,'Таблиця 1'!$B:$B,$A534,'Таблиця 1'!$I:$I,"F-16",'Таблиця 1'!$J:$J,"BLU-140")+SUMIFS('Таблиця 1'!$K:$K,'Таблиця 1'!$B:$B,$A534,'Таблиця 1'!$I:$I,"МіГ-29",'Таблиця 1'!$J:$J,"BLU-140")+SUMIFS('Таблиця 1'!$K:$K,'Таблиця 1'!$B:$B,$A534,'Таблиця 1'!$I:$I,"Су-25",'Таблиця 1'!$J:$J,"BLU-140")+SUMIFS('Таблиця 1'!$K:$K,'Таблиця 1'!$B:$B,$A534,'Таблиця 1'!$I:$I,"Су-27",'Таблиця 1'!$J:$J,"BLU-140"))</f>
        <v/>
      </c>
      <c r="L534">
        <f>IF($A534="","",SUMIFS('Таблиця 1'!$K:$K,'Таблиця 1'!$B:$B,$A534,'Таблиця 1'!$I:$I,"Mirage",'Таблиця 1'!$J:$J,"GBU-65")+SUMIFS('Таблиця 1'!$K:$K,'Таблиця 1'!$B:$B,$A534,'Таблиця 1'!$I:$I,"F-16",'Таблиця 1'!$J:$J,"GBU-65")+SUMIFS('Таблиця 1'!$K:$K,'Таблиця 1'!$B:$B,$A534,'Таблиця 1'!$I:$I,"МіГ-29",'Таблиця 1'!$J:$J,"GBU-65")+SUMIFS('Таблиця 1'!$K:$K,'Таблиця 1'!$B:$B,$A534,'Таблиця 1'!$I:$I,"Су-25",'Таблиця 1'!$J:$J,"GBU-65")+SUMIFS('Таблиця 1'!$K:$K,'Таблиця 1'!$B:$B,$A534,'Таблиця 1'!$I:$I,"Су-27",'Таблиця 1'!$J:$J,"GBU-65"))</f>
        <v/>
      </c>
      <c r="M534">
        <f>IF($A534="","",SUMIFS('Таблиця 1'!$K:$K,'Таблиця 1'!$B:$B,$A534,'Таблиця 1'!$I:$I,"Mirage",'Таблиця 1'!$J:$J,"GBU-62")+SUMIFS('Таблиця 1'!$K:$K,'Таблиця 1'!$B:$B,$A534,'Таблиця 1'!$I:$I,"F-16",'Таблиця 1'!$J:$J,"GBU-62")+SUMIFS('Таблиця 1'!$K:$K,'Таблиця 1'!$B:$B,$A534,'Таблиця 1'!$I:$I,"МіГ-29",'Таблиця 1'!$J:$J,"GBU-62")+SUMIFS('Таблиця 1'!$K:$K,'Таблиця 1'!$B:$B,$A534,'Таблиця 1'!$I:$I,"Су-25",'Таблиця 1'!$J:$J,"GBU-62")+SUMIFS('Таблиця 1'!$K:$K,'Таблиця 1'!$B:$B,$A534,'Таблиця 1'!$I:$I,"Су-27",'Таблиця 1'!$J:$J,"GBU-62"))</f>
        <v/>
      </c>
      <c r="N534">
        <f>IF($A534="","",SUMIFS('Таблиця 1'!$K:$K,'Таблиця 1'!$B:$B,$A534,'Таблиця 1'!$I:$I,"Mirage",'Таблиця 1'!$J:$J,"GBU-64")+SUMIFS('Таблиця 1'!$K:$K,'Таблиця 1'!$B:$B,$A534,'Таблиця 1'!$I:$I,"F-16",'Таблиця 1'!$J:$J,"GBU-64")+SUMIFS('Таблиця 1'!$K:$K,'Таблиця 1'!$B:$B,$A534,'Таблиця 1'!$I:$I,"МіГ-29",'Таблиця 1'!$J:$J,"GBU-64")+SUMIFS('Таблиця 1'!$K:$K,'Таблиця 1'!$B:$B,$A534,'Таблиця 1'!$I:$I,"Су-25",'Таблиця 1'!$J:$J,"GBU-64")+SUMIFS('Таблиця 1'!$K:$K,'Таблиця 1'!$B:$B,$A534,'Таблиця 1'!$I:$I,"Су-27",'Таблиця 1'!$J:$J,"GBU-64"))</f>
        <v/>
      </c>
      <c r="O534">
        <f>IF($A534="","",SUMIFS('Таблиця 1'!$K:$K,'Таблиця 1'!$B:$B,$A534,'Таблиця 1'!$I:$I,"Mirage",'Таблиця 1'!$J:$J,"C-13")+SUMIFS('Таблиця 1'!$K:$K,'Таблиця 1'!$B:$B,$A534,'Таблиця 1'!$I:$I,"F-16",'Таблиця 1'!$J:$J,"C-13")+SUMIFS('Таблиця 1'!$K:$K,'Таблиця 1'!$B:$B,$A534,'Таблиця 1'!$I:$I,"МіГ-29",'Таблиця 1'!$J:$J,"C-13")+SUMIFS('Таблиця 1'!$K:$K,'Таблиця 1'!$B:$B,$A534,'Таблиця 1'!$I:$I,"Су-25",'Таблиця 1'!$J:$J,"C-13")+SUMIFS('Таблиця 1'!$K:$K,'Таблиця 1'!$B:$B,$A534,'Таблиця 1'!$I:$I,"Су-27",'Таблиця 1'!$J:$J,"C-13"))</f>
        <v/>
      </c>
      <c r="P534">
        <f>IF($A534="","",SUMIFS('Таблиця 1'!$K:$K,'Таблиця 1'!$B:$B,$A534,'Таблиця 1'!$I:$I,"Mirage",'Таблиця 1'!$J:$J,"MK-32")+SUMIFS('Таблиця 1'!$K:$K,'Таблиця 1'!$B:$B,$A534,'Таблиця 1'!$I:$I,"F-16",'Таблиця 1'!$J:$J,"MK-32")+SUMIFS('Таблиця 1'!$K:$K,'Таблиця 1'!$B:$B,$A534,'Таблиця 1'!$I:$I,"МіГ-29",'Таблиця 1'!$J:$J,"MK-32")+SUMIFS('Таблиця 1'!$K:$K,'Таблиця 1'!$B:$B,$A534,'Таблиця 1'!$I:$I,"Су-25",'Таблиця 1'!$J:$J,"MK-32")+SUMIFS('Таблиця 1'!$K:$K,'Таблиця 1'!$B:$B,$A534,'Таблиця 1'!$I:$I,"Су-27",'Таблиця 1'!$J:$J,"MK-32"))</f>
        <v/>
      </c>
      <c r="Q534">
        <f>IF($A534="","",SUMIFS('Таблиця 1'!$K:$K,'Таблиця 1'!$B:$B,$A534,'Таблиця 1'!$I:$I,"Mirage",'Таблиця 1'!$J:$J,"MK-24")+SUMIFS('Таблиця 1'!$K:$K,'Таблиця 1'!$B:$B,$A534,'Таблиця 1'!$I:$I,"F-16",'Таблиця 1'!$J:$J,"MK-24")+SUMIFS('Таблиця 1'!$K:$K,'Таблиця 1'!$B:$B,$A534,'Таблиця 1'!$I:$I,"МіГ-29",'Таблиця 1'!$J:$J,"MK-24")+SUMIFS('Таблиця 1'!$K:$K,'Таблиця 1'!$B:$B,$A534,'Таблиця 1'!$I:$I,"Су-25",'Таблиця 1'!$J:$J,"MK-24")+SUMIFS('Таблиця 1'!$K:$K,'Таблиця 1'!$B:$B,$A534,'Таблиця 1'!$I:$I,"Су-27",'Таблиця 1'!$J:$J,"MK-24"))</f>
        <v/>
      </c>
      <c r="R534">
        <f>IF($A534="","",COUNTIFS('Таблиця 1'!$B:$B,$A534,'Таблиця 1'!$I:$I,"Mirage",'Таблиця 1'!$L:$L,"Уражено")+COUNTIFS('Таблиця 1'!$B:$B,$A534,'Таблиця 1'!$I:$I,"F-16",'Таблиця 1'!$L:$L,"Уражено")+COUNTIFS('Таблиця 1'!$B:$B,$A534,'Таблиця 1'!$I:$I,"МіГ-29",'Таблиця 1'!$L:$L,"Уражено")+COUNTIFS('Таблиця 1'!$B:$B,$A534,'Таблиця 1'!$I:$I,"Су-25",'Таблиця 1'!$L:$L,"Уражено")+COUNTIFS('Таблиця 1'!$B:$B,$A534,'Таблиця 1'!$I:$I,"Су-27",'Таблиця 1'!$L:$L,"Уражено"))</f>
        <v/>
      </c>
      <c r="S534">
        <f>IF($A534="","",COUNTIFS('Таблиця 1'!$B:$B,$A534,'Таблиця 1'!$I:$I,"Mirage",'Таблиця 1'!$L:$L,"НЕ уражено")+COUNTIFS('Таблиця 1'!$B:$B,$A534,'Таблиця 1'!$I:$I,"F-16",'Таблиця 1'!$L:$L,"НЕ уражено")+COUNTIFS('Таблиця 1'!$B:$B,$A534,'Таблиця 1'!$I:$I,"МіГ-29",'Таблиця 1'!$L:$L,"НЕ уражено")+COUNTIFS('Таблиця 1'!$B:$B,$A534,'Таблиця 1'!$I:$I,"Су-25",'Таблиця 1'!$L:$L,"НЕ уражено")+COUNTIFS('Таблиця 1'!$B:$B,$A534,'Таблиця 1'!$I:$I,"Су-27",'Таблиця 1'!$L:$L,"НЕ уражено"))</f>
        <v/>
      </c>
      <c r="T534">
        <f>IF($A534="","",COUNTIFS('Таблиця 1'!$B:$B,$A534,'Таблиця 1'!$I:$I,"Mirage",'Таблиця 1'!$L:$L,"Дорозвідується")+COUNTIFS('Таблиця 1'!$B:$B,$A534,'Таблиця 1'!$I:$I,"F-16",'Таблиця 1'!$L:$L,"Дорозвідується")+COUNTIFS('Таблиця 1'!$B:$B,$A534,'Таблиця 1'!$I:$I,"МіГ-29",'Таблиця 1'!$L:$L,"Дорозвідується")+COUNTIFS('Таблиця 1'!$B:$B,$A534,'Таблиця 1'!$I:$I,"Су-25",'Таблиця 1'!$L:$L,"Дорозвідується")+COUNTIFS('Таблиця 1'!$B:$B,$A534,'Таблиця 1'!$I:$I,"Су-27",'Таблиця 1'!$L:$L,"Дорозвідується"))</f>
        <v/>
      </c>
    </row>
    <row r="535">
      <c r="A535" s="273">
        <f>IF(A534="","",IF(A534+1&gt;MAX('Таблиця 1'!$B:$B),"",A534+1))</f>
        <v/>
      </c>
      <c r="B535">
        <f>IF($A535="","",COUNTIFS('Таблиця 1'!$B:$B,$A535,'Таблиця 1'!$I:$I,"Mirage")+COUNTIFS('Таблиця 1'!$B:$B,$A535,'Таблиця 1'!$I:$I,"F-16")+COUNTIFS('Таблиця 1'!$B:$B,$A535,'Таблиця 1'!$I:$I,"МіГ-29")+COUNTIFS('Таблиця 1'!$B:$B,$A535,'Таблиця 1'!$I:$I,"Су-25")+COUNTIFS('Таблиця 1'!$B:$B,$A535,'Таблиця 1'!$I:$I,"Су-27"))</f>
        <v/>
      </c>
      <c r="C535">
        <f>IF($A535="","",COUNTIFS('Таблиця 1'!$B:$B,$A535,'Таблиця 1'!$I:$I,"Mirage"))</f>
        <v/>
      </c>
      <c r="D535">
        <f>IF($A535="","",COUNTIFS('Таблиця 1'!$B:$B,$A535,'Таблиця 1'!$I:$I,"F-16"))</f>
        <v/>
      </c>
      <c r="E535">
        <f>IF($A535="","",COUNTIFS('Таблиця 1'!$B:$B,$A535,'Таблиця 1'!$I:$I,"МіГ-29"))</f>
        <v/>
      </c>
      <c r="F535">
        <f>IF($A535="","",COUNTIFS('Таблиця 1'!$B:$B,$A535,'Таблиця 1'!$I:$I,"Су-25"))</f>
        <v/>
      </c>
      <c r="G535">
        <f>IF($A535="","",COUNTIFS('Таблиця 1'!$B:$B,$A535,'Таблиця 1'!$I:$I,"Су-27"))</f>
        <v/>
      </c>
      <c r="H535">
        <f>IF($A535="","",SUMIFS('Таблиця 1'!$K:$K,'Таблиця 1'!$B:$B,$A535,'Таблиця 1'!$I:$I,"Mirage",'Таблиця 1'!$J:$J,"AGM-88")+SUMIFS('Таблиця 1'!$K:$K,'Таблиця 1'!$B:$B,$A535,'Таблиця 1'!$I:$I,"F-16",'Таблиця 1'!$J:$J,"AGM-88")+SUMIFS('Таблиця 1'!$K:$K,'Таблиця 1'!$B:$B,$A535,'Таблиця 1'!$I:$I,"МіГ-29",'Таблиця 1'!$J:$J,"AGM-88")+SUMIFS('Таблиця 1'!$K:$K,'Таблиця 1'!$B:$B,$A535,'Таблиця 1'!$I:$I,"Су-25",'Таблиця 1'!$J:$J,"AGM-88")+SUMIFS('Таблиця 1'!$K:$K,'Таблиця 1'!$B:$B,$A535,'Таблиця 1'!$I:$I,"Су-27",'Таблиця 1'!$J:$J,"AGM-88"))</f>
        <v/>
      </c>
      <c r="I535">
        <f>IF($A535="","",SUMIFS('Таблиця 1'!$K:$K,'Таблиця 1'!$B:$B,$A535,'Таблиця 1'!$I:$I,"Mirage",'Таблиця 1'!$J:$J,"AASM-250")+SUMIFS('Таблиця 1'!$K:$K,'Таблиця 1'!$B:$B,$A535,'Таблиця 1'!$I:$I,"F-16",'Таблиця 1'!$J:$J,"AASM-250")+SUMIFS('Таблиця 1'!$K:$K,'Таблиця 1'!$B:$B,$A535,'Таблиця 1'!$I:$I,"МіГ-29",'Таблиця 1'!$J:$J,"AASM-250")+SUMIFS('Таблиця 1'!$K:$K,'Таблиця 1'!$B:$B,$A535,'Таблиця 1'!$I:$I,"Су-25",'Таблиця 1'!$J:$J,"AASM-250")+SUMIFS('Таблиця 1'!$K:$K,'Таблиця 1'!$B:$B,$A535,'Таблиця 1'!$I:$I,"Су-27",'Таблиця 1'!$J:$J,"AASM-250"))</f>
        <v/>
      </c>
      <c r="J535">
        <f>IF($A535="","",SUMIFS('Таблиця 1'!$K:$K,'Таблиця 1'!$B:$B,$A535,'Таблиця 1'!$I:$I,"Mirage",'Таблиця 1'!$J:$J,"GBU-39")+SUMIFS('Таблиця 1'!$K:$K,'Таблиця 1'!$B:$B,$A535,'Таблиця 1'!$I:$I,"F-16",'Таблиця 1'!$J:$J,"GBU-39")+SUMIFS('Таблиця 1'!$K:$K,'Таблиця 1'!$B:$B,$A535,'Таблиця 1'!$I:$I,"МіГ-29",'Таблиця 1'!$J:$J,"GBU-39")+SUMIFS('Таблиця 1'!$K:$K,'Таблиця 1'!$B:$B,$A535,'Таблиця 1'!$I:$I,"Су-25",'Таблиця 1'!$J:$J,"GBU-39")+SUMIFS('Таблиця 1'!$K:$K,'Таблиця 1'!$B:$B,$A535,'Таблиця 1'!$I:$I,"Су-27",'Таблиця 1'!$J:$J,"GBU-39"))</f>
        <v/>
      </c>
      <c r="K535">
        <f>IF($A535="","",SUMIFS('Таблиця 1'!$K:$K,'Таблиця 1'!$B:$B,$A535,'Таблиця 1'!$I:$I,"Mirage",'Таблиця 1'!$J:$J,"BLU-140")+SUMIFS('Таблиця 1'!$K:$K,'Таблиця 1'!$B:$B,$A535,'Таблиця 1'!$I:$I,"F-16",'Таблиця 1'!$J:$J,"BLU-140")+SUMIFS('Таблиця 1'!$K:$K,'Таблиця 1'!$B:$B,$A535,'Таблиця 1'!$I:$I,"МіГ-29",'Таблиця 1'!$J:$J,"BLU-140")+SUMIFS('Таблиця 1'!$K:$K,'Таблиця 1'!$B:$B,$A535,'Таблиця 1'!$I:$I,"Су-25",'Таблиця 1'!$J:$J,"BLU-140")+SUMIFS('Таблиця 1'!$K:$K,'Таблиця 1'!$B:$B,$A535,'Таблиця 1'!$I:$I,"Су-27",'Таблиця 1'!$J:$J,"BLU-140"))</f>
        <v/>
      </c>
      <c r="L535">
        <f>IF($A535="","",SUMIFS('Таблиця 1'!$K:$K,'Таблиця 1'!$B:$B,$A535,'Таблиця 1'!$I:$I,"Mirage",'Таблиця 1'!$J:$J,"GBU-65")+SUMIFS('Таблиця 1'!$K:$K,'Таблиця 1'!$B:$B,$A535,'Таблиця 1'!$I:$I,"F-16",'Таблиця 1'!$J:$J,"GBU-65")+SUMIFS('Таблиця 1'!$K:$K,'Таблиця 1'!$B:$B,$A535,'Таблиця 1'!$I:$I,"МіГ-29",'Таблиця 1'!$J:$J,"GBU-65")+SUMIFS('Таблиця 1'!$K:$K,'Таблиця 1'!$B:$B,$A535,'Таблиця 1'!$I:$I,"Су-25",'Таблиця 1'!$J:$J,"GBU-65")+SUMIFS('Таблиця 1'!$K:$K,'Таблиця 1'!$B:$B,$A535,'Таблиця 1'!$I:$I,"Су-27",'Таблиця 1'!$J:$J,"GBU-65"))</f>
        <v/>
      </c>
      <c r="M535">
        <f>IF($A535="","",SUMIFS('Таблиця 1'!$K:$K,'Таблиця 1'!$B:$B,$A535,'Таблиця 1'!$I:$I,"Mirage",'Таблиця 1'!$J:$J,"GBU-62")+SUMIFS('Таблиця 1'!$K:$K,'Таблиця 1'!$B:$B,$A535,'Таблиця 1'!$I:$I,"F-16",'Таблиця 1'!$J:$J,"GBU-62")+SUMIFS('Таблиця 1'!$K:$K,'Таблиця 1'!$B:$B,$A535,'Таблиця 1'!$I:$I,"МіГ-29",'Таблиця 1'!$J:$J,"GBU-62")+SUMIFS('Таблиця 1'!$K:$K,'Таблиця 1'!$B:$B,$A535,'Таблиця 1'!$I:$I,"Су-25",'Таблиця 1'!$J:$J,"GBU-62")+SUMIFS('Таблиця 1'!$K:$K,'Таблиця 1'!$B:$B,$A535,'Таблиця 1'!$I:$I,"Су-27",'Таблиця 1'!$J:$J,"GBU-62"))</f>
        <v/>
      </c>
      <c r="N535">
        <f>IF($A535="","",SUMIFS('Таблиця 1'!$K:$K,'Таблиця 1'!$B:$B,$A535,'Таблиця 1'!$I:$I,"Mirage",'Таблиця 1'!$J:$J,"GBU-64")+SUMIFS('Таблиця 1'!$K:$K,'Таблиця 1'!$B:$B,$A535,'Таблиця 1'!$I:$I,"F-16",'Таблиця 1'!$J:$J,"GBU-64")+SUMIFS('Таблиця 1'!$K:$K,'Таблиця 1'!$B:$B,$A535,'Таблиця 1'!$I:$I,"МіГ-29",'Таблиця 1'!$J:$J,"GBU-64")+SUMIFS('Таблиця 1'!$K:$K,'Таблиця 1'!$B:$B,$A535,'Таблиця 1'!$I:$I,"Су-25",'Таблиця 1'!$J:$J,"GBU-64")+SUMIFS('Таблиця 1'!$K:$K,'Таблиця 1'!$B:$B,$A535,'Таблиця 1'!$I:$I,"Су-27",'Таблиця 1'!$J:$J,"GBU-64"))</f>
        <v/>
      </c>
      <c r="O535">
        <f>IF($A535="","",SUMIFS('Таблиця 1'!$K:$K,'Таблиця 1'!$B:$B,$A535,'Таблиця 1'!$I:$I,"Mirage",'Таблиця 1'!$J:$J,"C-13")+SUMIFS('Таблиця 1'!$K:$K,'Таблиця 1'!$B:$B,$A535,'Таблиця 1'!$I:$I,"F-16",'Таблиця 1'!$J:$J,"C-13")+SUMIFS('Таблиця 1'!$K:$K,'Таблиця 1'!$B:$B,$A535,'Таблиця 1'!$I:$I,"МіГ-29",'Таблиця 1'!$J:$J,"C-13")+SUMIFS('Таблиця 1'!$K:$K,'Таблиця 1'!$B:$B,$A535,'Таблиця 1'!$I:$I,"Су-25",'Таблиця 1'!$J:$J,"C-13")+SUMIFS('Таблиця 1'!$K:$K,'Таблиця 1'!$B:$B,$A535,'Таблиця 1'!$I:$I,"Су-27",'Таблиця 1'!$J:$J,"C-13"))</f>
        <v/>
      </c>
      <c r="P535">
        <f>IF($A535="","",SUMIFS('Таблиця 1'!$K:$K,'Таблиця 1'!$B:$B,$A535,'Таблиця 1'!$I:$I,"Mirage",'Таблиця 1'!$J:$J,"MK-32")+SUMIFS('Таблиця 1'!$K:$K,'Таблиця 1'!$B:$B,$A535,'Таблиця 1'!$I:$I,"F-16",'Таблиця 1'!$J:$J,"MK-32")+SUMIFS('Таблиця 1'!$K:$K,'Таблиця 1'!$B:$B,$A535,'Таблиця 1'!$I:$I,"МіГ-29",'Таблиця 1'!$J:$J,"MK-32")+SUMIFS('Таблиця 1'!$K:$K,'Таблиця 1'!$B:$B,$A535,'Таблиця 1'!$I:$I,"Су-25",'Таблиця 1'!$J:$J,"MK-32")+SUMIFS('Таблиця 1'!$K:$K,'Таблиця 1'!$B:$B,$A535,'Таблиця 1'!$I:$I,"Су-27",'Таблиця 1'!$J:$J,"MK-32"))</f>
        <v/>
      </c>
      <c r="Q535">
        <f>IF($A535="","",SUMIFS('Таблиця 1'!$K:$K,'Таблиця 1'!$B:$B,$A535,'Таблиця 1'!$I:$I,"Mirage",'Таблиця 1'!$J:$J,"MK-24")+SUMIFS('Таблиця 1'!$K:$K,'Таблиця 1'!$B:$B,$A535,'Таблиця 1'!$I:$I,"F-16",'Таблиця 1'!$J:$J,"MK-24")+SUMIFS('Таблиця 1'!$K:$K,'Таблиця 1'!$B:$B,$A535,'Таблиця 1'!$I:$I,"МіГ-29",'Таблиця 1'!$J:$J,"MK-24")+SUMIFS('Таблиця 1'!$K:$K,'Таблиця 1'!$B:$B,$A535,'Таблиця 1'!$I:$I,"Су-25",'Таблиця 1'!$J:$J,"MK-24")+SUMIFS('Таблиця 1'!$K:$K,'Таблиця 1'!$B:$B,$A535,'Таблиця 1'!$I:$I,"Су-27",'Таблиця 1'!$J:$J,"MK-24"))</f>
        <v/>
      </c>
      <c r="R535">
        <f>IF($A535="","",COUNTIFS('Таблиця 1'!$B:$B,$A535,'Таблиця 1'!$I:$I,"Mirage",'Таблиця 1'!$L:$L,"Уражено")+COUNTIFS('Таблиця 1'!$B:$B,$A535,'Таблиця 1'!$I:$I,"F-16",'Таблиця 1'!$L:$L,"Уражено")+COUNTIFS('Таблиця 1'!$B:$B,$A535,'Таблиця 1'!$I:$I,"МіГ-29",'Таблиця 1'!$L:$L,"Уражено")+COUNTIFS('Таблиця 1'!$B:$B,$A535,'Таблиця 1'!$I:$I,"Су-25",'Таблиця 1'!$L:$L,"Уражено")+COUNTIFS('Таблиця 1'!$B:$B,$A535,'Таблиця 1'!$I:$I,"Су-27",'Таблиця 1'!$L:$L,"Уражено"))</f>
        <v/>
      </c>
      <c r="S535">
        <f>IF($A535="","",COUNTIFS('Таблиця 1'!$B:$B,$A535,'Таблиця 1'!$I:$I,"Mirage",'Таблиця 1'!$L:$L,"НЕ уражено")+COUNTIFS('Таблиця 1'!$B:$B,$A535,'Таблиця 1'!$I:$I,"F-16",'Таблиця 1'!$L:$L,"НЕ уражено")+COUNTIFS('Таблиця 1'!$B:$B,$A535,'Таблиця 1'!$I:$I,"МіГ-29",'Таблиця 1'!$L:$L,"НЕ уражено")+COUNTIFS('Таблиця 1'!$B:$B,$A535,'Таблиця 1'!$I:$I,"Су-25",'Таблиця 1'!$L:$L,"НЕ уражено")+COUNTIFS('Таблиця 1'!$B:$B,$A535,'Таблиця 1'!$I:$I,"Су-27",'Таблиця 1'!$L:$L,"НЕ уражено"))</f>
        <v/>
      </c>
      <c r="T535">
        <f>IF($A535="","",COUNTIFS('Таблиця 1'!$B:$B,$A535,'Таблиця 1'!$I:$I,"Mirage",'Таблиця 1'!$L:$L,"Дорозвідується")+COUNTIFS('Таблиця 1'!$B:$B,$A535,'Таблиця 1'!$I:$I,"F-16",'Таблиця 1'!$L:$L,"Дорозвідується")+COUNTIFS('Таблиця 1'!$B:$B,$A535,'Таблиця 1'!$I:$I,"МіГ-29",'Таблиця 1'!$L:$L,"Дорозвідується")+COUNTIFS('Таблиця 1'!$B:$B,$A535,'Таблиця 1'!$I:$I,"Су-25",'Таблиця 1'!$L:$L,"Дорозвідується")+COUNTIFS('Таблиця 1'!$B:$B,$A535,'Таблиця 1'!$I:$I,"Су-27",'Таблиця 1'!$L:$L,"Дорозвідується"))</f>
        <v/>
      </c>
    </row>
    <row r="536">
      <c r="A536" s="273">
        <f>IF(A535="","",IF(A535+1&gt;MAX('Таблиця 1'!$B:$B),"",A535+1))</f>
        <v/>
      </c>
      <c r="B536">
        <f>IF($A536="","",COUNTIFS('Таблиця 1'!$B:$B,$A536,'Таблиця 1'!$I:$I,"Mirage")+COUNTIFS('Таблиця 1'!$B:$B,$A536,'Таблиця 1'!$I:$I,"F-16")+COUNTIFS('Таблиця 1'!$B:$B,$A536,'Таблиця 1'!$I:$I,"МіГ-29")+COUNTIFS('Таблиця 1'!$B:$B,$A536,'Таблиця 1'!$I:$I,"Су-25")+COUNTIFS('Таблиця 1'!$B:$B,$A536,'Таблиця 1'!$I:$I,"Су-27"))</f>
        <v/>
      </c>
      <c r="C536">
        <f>IF($A536="","",COUNTIFS('Таблиця 1'!$B:$B,$A536,'Таблиця 1'!$I:$I,"Mirage"))</f>
        <v/>
      </c>
      <c r="D536">
        <f>IF($A536="","",COUNTIFS('Таблиця 1'!$B:$B,$A536,'Таблиця 1'!$I:$I,"F-16"))</f>
        <v/>
      </c>
      <c r="E536">
        <f>IF($A536="","",COUNTIFS('Таблиця 1'!$B:$B,$A536,'Таблиця 1'!$I:$I,"МіГ-29"))</f>
        <v/>
      </c>
      <c r="F536">
        <f>IF($A536="","",COUNTIFS('Таблиця 1'!$B:$B,$A536,'Таблиця 1'!$I:$I,"Су-25"))</f>
        <v/>
      </c>
      <c r="G536">
        <f>IF($A536="","",COUNTIFS('Таблиця 1'!$B:$B,$A536,'Таблиця 1'!$I:$I,"Су-27"))</f>
        <v/>
      </c>
      <c r="H536">
        <f>IF($A536="","",SUMIFS('Таблиця 1'!$K:$K,'Таблиця 1'!$B:$B,$A536,'Таблиця 1'!$I:$I,"Mirage",'Таблиця 1'!$J:$J,"AGM-88")+SUMIFS('Таблиця 1'!$K:$K,'Таблиця 1'!$B:$B,$A536,'Таблиця 1'!$I:$I,"F-16",'Таблиця 1'!$J:$J,"AGM-88")+SUMIFS('Таблиця 1'!$K:$K,'Таблиця 1'!$B:$B,$A536,'Таблиця 1'!$I:$I,"МіГ-29",'Таблиця 1'!$J:$J,"AGM-88")+SUMIFS('Таблиця 1'!$K:$K,'Таблиця 1'!$B:$B,$A536,'Таблиця 1'!$I:$I,"Су-25",'Таблиця 1'!$J:$J,"AGM-88")+SUMIFS('Таблиця 1'!$K:$K,'Таблиця 1'!$B:$B,$A536,'Таблиця 1'!$I:$I,"Су-27",'Таблиця 1'!$J:$J,"AGM-88"))</f>
        <v/>
      </c>
      <c r="I536">
        <f>IF($A536="","",SUMIFS('Таблиця 1'!$K:$K,'Таблиця 1'!$B:$B,$A536,'Таблиця 1'!$I:$I,"Mirage",'Таблиця 1'!$J:$J,"AASM-250")+SUMIFS('Таблиця 1'!$K:$K,'Таблиця 1'!$B:$B,$A536,'Таблиця 1'!$I:$I,"F-16",'Таблиця 1'!$J:$J,"AASM-250")+SUMIFS('Таблиця 1'!$K:$K,'Таблиця 1'!$B:$B,$A536,'Таблиця 1'!$I:$I,"МіГ-29",'Таблиця 1'!$J:$J,"AASM-250")+SUMIFS('Таблиця 1'!$K:$K,'Таблиця 1'!$B:$B,$A536,'Таблиця 1'!$I:$I,"Су-25",'Таблиця 1'!$J:$J,"AASM-250")+SUMIFS('Таблиця 1'!$K:$K,'Таблиця 1'!$B:$B,$A536,'Таблиця 1'!$I:$I,"Су-27",'Таблиця 1'!$J:$J,"AASM-250"))</f>
        <v/>
      </c>
      <c r="J536">
        <f>IF($A536="","",SUMIFS('Таблиця 1'!$K:$K,'Таблиця 1'!$B:$B,$A536,'Таблиця 1'!$I:$I,"Mirage",'Таблиця 1'!$J:$J,"GBU-39")+SUMIFS('Таблиця 1'!$K:$K,'Таблиця 1'!$B:$B,$A536,'Таблиця 1'!$I:$I,"F-16",'Таблиця 1'!$J:$J,"GBU-39")+SUMIFS('Таблиця 1'!$K:$K,'Таблиця 1'!$B:$B,$A536,'Таблиця 1'!$I:$I,"МіГ-29",'Таблиця 1'!$J:$J,"GBU-39")+SUMIFS('Таблиця 1'!$K:$K,'Таблиця 1'!$B:$B,$A536,'Таблиця 1'!$I:$I,"Су-25",'Таблиця 1'!$J:$J,"GBU-39")+SUMIFS('Таблиця 1'!$K:$K,'Таблиця 1'!$B:$B,$A536,'Таблиця 1'!$I:$I,"Су-27",'Таблиця 1'!$J:$J,"GBU-39"))</f>
        <v/>
      </c>
      <c r="K536">
        <f>IF($A536="","",SUMIFS('Таблиця 1'!$K:$K,'Таблиця 1'!$B:$B,$A536,'Таблиця 1'!$I:$I,"Mirage",'Таблиця 1'!$J:$J,"BLU-140")+SUMIFS('Таблиця 1'!$K:$K,'Таблиця 1'!$B:$B,$A536,'Таблиця 1'!$I:$I,"F-16",'Таблиця 1'!$J:$J,"BLU-140")+SUMIFS('Таблиця 1'!$K:$K,'Таблиця 1'!$B:$B,$A536,'Таблиця 1'!$I:$I,"МіГ-29",'Таблиця 1'!$J:$J,"BLU-140")+SUMIFS('Таблиця 1'!$K:$K,'Таблиця 1'!$B:$B,$A536,'Таблиця 1'!$I:$I,"Су-25",'Таблиця 1'!$J:$J,"BLU-140")+SUMIFS('Таблиця 1'!$K:$K,'Таблиця 1'!$B:$B,$A536,'Таблиця 1'!$I:$I,"Су-27",'Таблиця 1'!$J:$J,"BLU-140"))</f>
        <v/>
      </c>
      <c r="L536">
        <f>IF($A536="","",SUMIFS('Таблиця 1'!$K:$K,'Таблиця 1'!$B:$B,$A536,'Таблиця 1'!$I:$I,"Mirage",'Таблиця 1'!$J:$J,"GBU-65")+SUMIFS('Таблиця 1'!$K:$K,'Таблиця 1'!$B:$B,$A536,'Таблиця 1'!$I:$I,"F-16",'Таблиця 1'!$J:$J,"GBU-65")+SUMIFS('Таблиця 1'!$K:$K,'Таблиця 1'!$B:$B,$A536,'Таблиця 1'!$I:$I,"МіГ-29",'Таблиця 1'!$J:$J,"GBU-65")+SUMIFS('Таблиця 1'!$K:$K,'Таблиця 1'!$B:$B,$A536,'Таблиця 1'!$I:$I,"Су-25",'Таблиця 1'!$J:$J,"GBU-65")+SUMIFS('Таблиця 1'!$K:$K,'Таблиця 1'!$B:$B,$A536,'Таблиця 1'!$I:$I,"Су-27",'Таблиця 1'!$J:$J,"GBU-65"))</f>
        <v/>
      </c>
      <c r="M536">
        <f>IF($A536="","",SUMIFS('Таблиця 1'!$K:$K,'Таблиця 1'!$B:$B,$A536,'Таблиця 1'!$I:$I,"Mirage",'Таблиця 1'!$J:$J,"GBU-62")+SUMIFS('Таблиця 1'!$K:$K,'Таблиця 1'!$B:$B,$A536,'Таблиця 1'!$I:$I,"F-16",'Таблиця 1'!$J:$J,"GBU-62")+SUMIFS('Таблиця 1'!$K:$K,'Таблиця 1'!$B:$B,$A536,'Таблиця 1'!$I:$I,"МіГ-29",'Таблиця 1'!$J:$J,"GBU-62")+SUMIFS('Таблиця 1'!$K:$K,'Таблиця 1'!$B:$B,$A536,'Таблиця 1'!$I:$I,"Су-25",'Таблиця 1'!$J:$J,"GBU-62")+SUMIFS('Таблиця 1'!$K:$K,'Таблиця 1'!$B:$B,$A536,'Таблиця 1'!$I:$I,"Су-27",'Таблиця 1'!$J:$J,"GBU-62"))</f>
        <v/>
      </c>
      <c r="N536">
        <f>IF($A536="","",SUMIFS('Таблиця 1'!$K:$K,'Таблиця 1'!$B:$B,$A536,'Таблиця 1'!$I:$I,"Mirage",'Таблиця 1'!$J:$J,"GBU-64")+SUMIFS('Таблиця 1'!$K:$K,'Таблиця 1'!$B:$B,$A536,'Таблиця 1'!$I:$I,"F-16",'Таблиця 1'!$J:$J,"GBU-64")+SUMIFS('Таблиця 1'!$K:$K,'Таблиця 1'!$B:$B,$A536,'Таблиця 1'!$I:$I,"МіГ-29",'Таблиця 1'!$J:$J,"GBU-64")+SUMIFS('Таблиця 1'!$K:$K,'Таблиця 1'!$B:$B,$A536,'Таблиця 1'!$I:$I,"Су-25",'Таблиця 1'!$J:$J,"GBU-64")+SUMIFS('Таблиця 1'!$K:$K,'Таблиця 1'!$B:$B,$A536,'Таблиця 1'!$I:$I,"Су-27",'Таблиця 1'!$J:$J,"GBU-64"))</f>
        <v/>
      </c>
      <c r="O536">
        <f>IF($A536="","",SUMIFS('Таблиця 1'!$K:$K,'Таблиця 1'!$B:$B,$A536,'Таблиця 1'!$I:$I,"Mirage",'Таблиця 1'!$J:$J,"C-13")+SUMIFS('Таблиця 1'!$K:$K,'Таблиця 1'!$B:$B,$A536,'Таблиця 1'!$I:$I,"F-16",'Таблиця 1'!$J:$J,"C-13")+SUMIFS('Таблиця 1'!$K:$K,'Таблиця 1'!$B:$B,$A536,'Таблиця 1'!$I:$I,"МіГ-29",'Таблиця 1'!$J:$J,"C-13")+SUMIFS('Таблиця 1'!$K:$K,'Таблиця 1'!$B:$B,$A536,'Таблиця 1'!$I:$I,"Су-25",'Таблиця 1'!$J:$J,"C-13")+SUMIFS('Таблиця 1'!$K:$K,'Таблиця 1'!$B:$B,$A536,'Таблиця 1'!$I:$I,"Су-27",'Таблиця 1'!$J:$J,"C-13"))</f>
        <v/>
      </c>
      <c r="P536">
        <f>IF($A536="","",SUMIFS('Таблиця 1'!$K:$K,'Таблиця 1'!$B:$B,$A536,'Таблиця 1'!$I:$I,"Mirage",'Таблиця 1'!$J:$J,"MK-32")+SUMIFS('Таблиця 1'!$K:$K,'Таблиця 1'!$B:$B,$A536,'Таблиця 1'!$I:$I,"F-16",'Таблиця 1'!$J:$J,"MK-32")+SUMIFS('Таблиця 1'!$K:$K,'Таблиця 1'!$B:$B,$A536,'Таблиця 1'!$I:$I,"МіГ-29",'Таблиця 1'!$J:$J,"MK-32")+SUMIFS('Таблиця 1'!$K:$K,'Таблиця 1'!$B:$B,$A536,'Таблиця 1'!$I:$I,"Су-25",'Таблиця 1'!$J:$J,"MK-32")+SUMIFS('Таблиця 1'!$K:$K,'Таблиця 1'!$B:$B,$A536,'Таблиця 1'!$I:$I,"Су-27",'Таблиця 1'!$J:$J,"MK-32"))</f>
        <v/>
      </c>
      <c r="Q536">
        <f>IF($A536="","",SUMIFS('Таблиця 1'!$K:$K,'Таблиця 1'!$B:$B,$A536,'Таблиця 1'!$I:$I,"Mirage",'Таблиця 1'!$J:$J,"MK-24")+SUMIFS('Таблиця 1'!$K:$K,'Таблиця 1'!$B:$B,$A536,'Таблиця 1'!$I:$I,"F-16",'Таблиця 1'!$J:$J,"MK-24")+SUMIFS('Таблиця 1'!$K:$K,'Таблиця 1'!$B:$B,$A536,'Таблиця 1'!$I:$I,"МіГ-29",'Таблиця 1'!$J:$J,"MK-24")+SUMIFS('Таблиця 1'!$K:$K,'Таблиця 1'!$B:$B,$A536,'Таблиця 1'!$I:$I,"Су-25",'Таблиця 1'!$J:$J,"MK-24")+SUMIFS('Таблиця 1'!$K:$K,'Таблиця 1'!$B:$B,$A536,'Таблиця 1'!$I:$I,"Су-27",'Таблиця 1'!$J:$J,"MK-24"))</f>
        <v/>
      </c>
      <c r="R536">
        <f>IF($A536="","",COUNTIFS('Таблиця 1'!$B:$B,$A536,'Таблиця 1'!$I:$I,"Mirage",'Таблиця 1'!$L:$L,"Уражено")+COUNTIFS('Таблиця 1'!$B:$B,$A536,'Таблиця 1'!$I:$I,"F-16",'Таблиця 1'!$L:$L,"Уражено")+COUNTIFS('Таблиця 1'!$B:$B,$A536,'Таблиця 1'!$I:$I,"МіГ-29",'Таблиця 1'!$L:$L,"Уражено")+COUNTIFS('Таблиця 1'!$B:$B,$A536,'Таблиця 1'!$I:$I,"Су-25",'Таблиця 1'!$L:$L,"Уражено")+COUNTIFS('Таблиця 1'!$B:$B,$A536,'Таблиця 1'!$I:$I,"Су-27",'Таблиця 1'!$L:$L,"Уражено"))</f>
        <v/>
      </c>
      <c r="S536">
        <f>IF($A536="","",COUNTIFS('Таблиця 1'!$B:$B,$A536,'Таблиця 1'!$I:$I,"Mirage",'Таблиця 1'!$L:$L,"НЕ уражено")+COUNTIFS('Таблиця 1'!$B:$B,$A536,'Таблиця 1'!$I:$I,"F-16",'Таблиця 1'!$L:$L,"НЕ уражено")+COUNTIFS('Таблиця 1'!$B:$B,$A536,'Таблиця 1'!$I:$I,"МіГ-29",'Таблиця 1'!$L:$L,"НЕ уражено")+COUNTIFS('Таблиця 1'!$B:$B,$A536,'Таблиця 1'!$I:$I,"Су-25",'Таблиця 1'!$L:$L,"НЕ уражено")+COUNTIFS('Таблиця 1'!$B:$B,$A536,'Таблиця 1'!$I:$I,"Су-27",'Таблиця 1'!$L:$L,"НЕ уражено"))</f>
        <v/>
      </c>
      <c r="T536">
        <f>IF($A536="","",COUNTIFS('Таблиця 1'!$B:$B,$A536,'Таблиця 1'!$I:$I,"Mirage",'Таблиця 1'!$L:$L,"Дорозвідується")+COUNTIFS('Таблиця 1'!$B:$B,$A536,'Таблиця 1'!$I:$I,"F-16",'Таблиця 1'!$L:$L,"Дорозвідується")+COUNTIFS('Таблиця 1'!$B:$B,$A536,'Таблиця 1'!$I:$I,"МіГ-29",'Таблиця 1'!$L:$L,"Дорозвідується")+COUNTIFS('Таблиця 1'!$B:$B,$A536,'Таблиця 1'!$I:$I,"Су-25",'Таблиця 1'!$L:$L,"Дорозвідується")+COUNTIFS('Таблиця 1'!$B:$B,$A536,'Таблиця 1'!$I:$I,"Су-27",'Таблиця 1'!$L:$L,"Дорозвідується"))</f>
        <v/>
      </c>
    </row>
    <row r="537">
      <c r="A537" s="273">
        <f>IF(A536="","",IF(A536+1&gt;MAX('Таблиця 1'!$B:$B),"",A536+1))</f>
        <v/>
      </c>
      <c r="B537">
        <f>IF($A537="","",COUNTIFS('Таблиця 1'!$B:$B,$A537,'Таблиця 1'!$I:$I,"Mirage")+COUNTIFS('Таблиця 1'!$B:$B,$A537,'Таблиця 1'!$I:$I,"F-16")+COUNTIFS('Таблиця 1'!$B:$B,$A537,'Таблиця 1'!$I:$I,"МіГ-29")+COUNTIFS('Таблиця 1'!$B:$B,$A537,'Таблиця 1'!$I:$I,"Су-25")+COUNTIFS('Таблиця 1'!$B:$B,$A537,'Таблиця 1'!$I:$I,"Су-27"))</f>
        <v/>
      </c>
      <c r="C537">
        <f>IF($A537="","",COUNTIFS('Таблиця 1'!$B:$B,$A537,'Таблиця 1'!$I:$I,"Mirage"))</f>
        <v/>
      </c>
      <c r="D537">
        <f>IF($A537="","",COUNTIFS('Таблиця 1'!$B:$B,$A537,'Таблиця 1'!$I:$I,"F-16"))</f>
        <v/>
      </c>
      <c r="E537">
        <f>IF($A537="","",COUNTIFS('Таблиця 1'!$B:$B,$A537,'Таблиця 1'!$I:$I,"МіГ-29"))</f>
        <v/>
      </c>
      <c r="F537">
        <f>IF($A537="","",COUNTIFS('Таблиця 1'!$B:$B,$A537,'Таблиця 1'!$I:$I,"Су-25"))</f>
        <v/>
      </c>
      <c r="G537">
        <f>IF($A537="","",COUNTIFS('Таблиця 1'!$B:$B,$A537,'Таблиця 1'!$I:$I,"Су-27"))</f>
        <v/>
      </c>
      <c r="H537">
        <f>IF($A537="","",SUMIFS('Таблиця 1'!$K:$K,'Таблиця 1'!$B:$B,$A537,'Таблиця 1'!$I:$I,"Mirage",'Таблиця 1'!$J:$J,"AGM-88")+SUMIFS('Таблиця 1'!$K:$K,'Таблиця 1'!$B:$B,$A537,'Таблиця 1'!$I:$I,"F-16",'Таблиця 1'!$J:$J,"AGM-88")+SUMIFS('Таблиця 1'!$K:$K,'Таблиця 1'!$B:$B,$A537,'Таблиця 1'!$I:$I,"МіГ-29",'Таблиця 1'!$J:$J,"AGM-88")+SUMIFS('Таблиця 1'!$K:$K,'Таблиця 1'!$B:$B,$A537,'Таблиця 1'!$I:$I,"Су-25",'Таблиця 1'!$J:$J,"AGM-88")+SUMIFS('Таблиця 1'!$K:$K,'Таблиця 1'!$B:$B,$A537,'Таблиця 1'!$I:$I,"Су-27",'Таблиця 1'!$J:$J,"AGM-88"))</f>
        <v/>
      </c>
      <c r="I537">
        <f>IF($A537="","",SUMIFS('Таблиця 1'!$K:$K,'Таблиця 1'!$B:$B,$A537,'Таблиця 1'!$I:$I,"Mirage",'Таблиця 1'!$J:$J,"AASM-250")+SUMIFS('Таблиця 1'!$K:$K,'Таблиця 1'!$B:$B,$A537,'Таблиця 1'!$I:$I,"F-16",'Таблиця 1'!$J:$J,"AASM-250")+SUMIFS('Таблиця 1'!$K:$K,'Таблиця 1'!$B:$B,$A537,'Таблиця 1'!$I:$I,"МіГ-29",'Таблиця 1'!$J:$J,"AASM-250")+SUMIFS('Таблиця 1'!$K:$K,'Таблиця 1'!$B:$B,$A537,'Таблиця 1'!$I:$I,"Су-25",'Таблиця 1'!$J:$J,"AASM-250")+SUMIFS('Таблиця 1'!$K:$K,'Таблиця 1'!$B:$B,$A537,'Таблиця 1'!$I:$I,"Су-27",'Таблиця 1'!$J:$J,"AASM-250"))</f>
        <v/>
      </c>
      <c r="J537">
        <f>IF($A537="","",SUMIFS('Таблиця 1'!$K:$K,'Таблиця 1'!$B:$B,$A537,'Таблиця 1'!$I:$I,"Mirage",'Таблиця 1'!$J:$J,"GBU-39")+SUMIFS('Таблиця 1'!$K:$K,'Таблиця 1'!$B:$B,$A537,'Таблиця 1'!$I:$I,"F-16",'Таблиця 1'!$J:$J,"GBU-39")+SUMIFS('Таблиця 1'!$K:$K,'Таблиця 1'!$B:$B,$A537,'Таблиця 1'!$I:$I,"МіГ-29",'Таблиця 1'!$J:$J,"GBU-39")+SUMIFS('Таблиця 1'!$K:$K,'Таблиця 1'!$B:$B,$A537,'Таблиця 1'!$I:$I,"Су-25",'Таблиця 1'!$J:$J,"GBU-39")+SUMIFS('Таблиця 1'!$K:$K,'Таблиця 1'!$B:$B,$A537,'Таблиця 1'!$I:$I,"Су-27",'Таблиця 1'!$J:$J,"GBU-39"))</f>
        <v/>
      </c>
      <c r="K537">
        <f>IF($A537="","",SUMIFS('Таблиця 1'!$K:$K,'Таблиця 1'!$B:$B,$A537,'Таблиця 1'!$I:$I,"Mirage",'Таблиця 1'!$J:$J,"BLU-140")+SUMIFS('Таблиця 1'!$K:$K,'Таблиця 1'!$B:$B,$A537,'Таблиця 1'!$I:$I,"F-16",'Таблиця 1'!$J:$J,"BLU-140")+SUMIFS('Таблиця 1'!$K:$K,'Таблиця 1'!$B:$B,$A537,'Таблиця 1'!$I:$I,"МіГ-29",'Таблиця 1'!$J:$J,"BLU-140")+SUMIFS('Таблиця 1'!$K:$K,'Таблиця 1'!$B:$B,$A537,'Таблиця 1'!$I:$I,"Су-25",'Таблиця 1'!$J:$J,"BLU-140")+SUMIFS('Таблиця 1'!$K:$K,'Таблиця 1'!$B:$B,$A537,'Таблиця 1'!$I:$I,"Су-27",'Таблиця 1'!$J:$J,"BLU-140"))</f>
        <v/>
      </c>
      <c r="L537">
        <f>IF($A537="","",SUMIFS('Таблиця 1'!$K:$K,'Таблиця 1'!$B:$B,$A537,'Таблиця 1'!$I:$I,"Mirage",'Таблиця 1'!$J:$J,"GBU-65")+SUMIFS('Таблиця 1'!$K:$K,'Таблиця 1'!$B:$B,$A537,'Таблиця 1'!$I:$I,"F-16",'Таблиця 1'!$J:$J,"GBU-65")+SUMIFS('Таблиця 1'!$K:$K,'Таблиця 1'!$B:$B,$A537,'Таблиця 1'!$I:$I,"МіГ-29",'Таблиця 1'!$J:$J,"GBU-65")+SUMIFS('Таблиця 1'!$K:$K,'Таблиця 1'!$B:$B,$A537,'Таблиця 1'!$I:$I,"Су-25",'Таблиця 1'!$J:$J,"GBU-65")+SUMIFS('Таблиця 1'!$K:$K,'Таблиця 1'!$B:$B,$A537,'Таблиця 1'!$I:$I,"Су-27",'Таблиця 1'!$J:$J,"GBU-65"))</f>
        <v/>
      </c>
      <c r="M537">
        <f>IF($A537="","",SUMIFS('Таблиця 1'!$K:$K,'Таблиця 1'!$B:$B,$A537,'Таблиця 1'!$I:$I,"Mirage",'Таблиця 1'!$J:$J,"GBU-62")+SUMIFS('Таблиця 1'!$K:$K,'Таблиця 1'!$B:$B,$A537,'Таблиця 1'!$I:$I,"F-16",'Таблиця 1'!$J:$J,"GBU-62")+SUMIFS('Таблиця 1'!$K:$K,'Таблиця 1'!$B:$B,$A537,'Таблиця 1'!$I:$I,"МіГ-29",'Таблиця 1'!$J:$J,"GBU-62")+SUMIFS('Таблиця 1'!$K:$K,'Таблиця 1'!$B:$B,$A537,'Таблиця 1'!$I:$I,"Су-25",'Таблиця 1'!$J:$J,"GBU-62")+SUMIFS('Таблиця 1'!$K:$K,'Таблиця 1'!$B:$B,$A537,'Таблиця 1'!$I:$I,"Су-27",'Таблиця 1'!$J:$J,"GBU-62"))</f>
        <v/>
      </c>
      <c r="N537">
        <f>IF($A537="","",SUMIFS('Таблиця 1'!$K:$K,'Таблиця 1'!$B:$B,$A537,'Таблиця 1'!$I:$I,"Mirage",'Таблиця 1'!$J:$J,"GBU-64")+SUMIFS('Таблиця 1'!$K:$K,'Таблиця 1'!$B:$B,$A537,'Таблиця 1'!$I:$I,"F-16",'Таблиця 1'!$J:$J,"GBU-64")+SUMIFS('Таблиця 1'!$K:$K,'Таблиця 1'!$B:$B,$A537,'Таблиця 1'!$I:$I,"МіГ-29",'Таблиця 1'!$J:$J,"GBU-64")+SUMIFS('Таблиця 1'!$K:$K,'Таблиця 1'!$B:$B,$A537,'Таблиця 1'!$I:$I,"Су-25",'Таблиця 1'!$J:$J,"GBU-64")+SUMIFS('Таблиця 1'!$K:$K,'Таблиця 1'!$B:$B,$A537,'Таблиця 1'!$I:$I,"Су-27",'Таблиця 1'!$J:$J,"GBU-64"))</f>
        <v/>
      </c>
      <c r="O537">
        <f>IF($A537="","",SUMIFS('Таблиця 1'!$K:$K,'Таблиця 1'!$B:$B,$A537,'Таблиця 1'!$I:$I,"Mirage",'Таблиця 1'!$J:$J,"C-13")+SUMIFS('Таблиця 1'!$K:$K,'Таблиця 1'!$B:$B,$A537,'Таблиця 1'!$I:$I,"F-16",'Таблиця 1'!$J:$J,"C-13")+SUMIFS('Таблиця 1'!$K:$K,'Таблиця 1'!$B:$B,$A537,'Таблиця 1'!$I:$I,"МіГ-29",'Таблиця 1'!$J:$J,"C-13")+SUMIFS('Таблиця 1'!$K:$K,'Таблиця 1'!$B:$B,$A537,'Таблиця 1'!$I:$I,"Су-25",'Таблиця 1'!$J:$J,"C-13")+SUMIFS('Таблиця 1'!$K:$K,'Таблиця 1'!$B:$B,$A537,'Таблиця 1'!$I:$I,"Су-27",'Таблиця 1'!$J:$J,"C-13"))</f>
        <v/>
      </c>
      <c r="P537">
        <f>IF($A537="","",SUMIFS('Таблиця 1'!$K:$K,'Таблиця 1'!$B:$B,$A537,'Таблиця 1'!$I:$I,"Mirage",'Таблиця 1'!$J:$J,"MK-32")+SUMIFS('Таблиця 1'!$K:$K,'Таблиця 1'!$B:$B,$A537,'Таблиця 1'!$I:$I,"F-16",'Таблиця 1'!$J:$J,"MK-32")+SUMIFS('Таблиця 1'!$K:$K,'Таблиця 1'!$B:$B,$A537,'Таблиця 1'!$I:$I,"МіГ-29",'Таблиця 1'!$J:$J,"MK-32")+SUMIFS('Таблиця 1'!$K:$K,'Таблиця 1'!$B:$B,$A537,'Таблиця 1'!$I:$I,"Су-25",'Таблиця 1'!$J:$J,"MK-32")+SUMIFS('Таблиця 1'!$K:$K,'Таблиця 1'!$B:$B,$A537,'Таблиця 1'!$I:$I,"Су-27",'Таблиця 1'!$J:$J,"MK-32"))</f>
        <v/>
      </c>
      <c r="Q537">
        <f>IF($A537="","",SUMIFS('Таблиця 1'!$K:$K,'Таблиця 1'!$B:$B,$A537,'Таблиця 1'!$I:$I,"Mirage",'Таблиця 1'!$J:$J,"MK-24")+SUMIFS('Таблиця 1'!$K:$K,'Таблиця 1'!$B:$B,$A537,'Таблиця 1'!$I:$I,"F-16",'Таблиця 1'!$J:$J,"MK-24")+SUMIFS('Таблиця 1'!$K:$K,'Таблиця 1'!$B:$B,$A537,'Таблиця 1'!$I:$I,"МіГ-29",'Таблиця 1'!$J:$J,"MK-24")+SUMIFS('Таблиця 1'!$K:$K,'Таблиця 1'!$B:$B,$A537,'Таблиця 1'!$I:$I,"Су-25",'Таблиця 1'!$J:$J,"MK-24")+SUMIFS('Таблиця 1'!$K:$K,'Таблиця 1'!$B:$B,$A537,'Таблиця 1'!$I:$I,"Су-27",'Таблиця 1'!$J:$J,"MK-24"))</f>
        <v/>
      </c>
      <c r="R537">
        <f>IF($A537="","",COUNTIFS('Таблиця 1'!$B:$B,$A537,'Таблиця 1'!$I:$I,"Mirage",'Таблиця 1'!$L:$L,"Уражено")+COUNTIFS('Таблиця 1'!$B:$B,$A537,'Таблиця 1'!$I:$I,"F-16",'Таблиця 1'!$L:$L,"Уражено")+COUNTIFS('Таблиця 1'!$B:$B,$A537,'Таблиця 1'!$I:$I,"МіГ-29",'Таблиця 1'!$L:$L,"Уражено")+COUNTIFS('Таблиця 1'!$B:$B,$A537,'Таблиця 1'!$I:$I,"Су-25",'Таблиця 1'!$L:$L,"Уражено")+COUNTIFS('Таблиця 1'!$B:$B,$A537,'Таблиця 1'!$I:$I,"Су-27",'Таблиця 1'!$L:$L,"Уражено"))</f>
        <v/>
      </c>
      <c r="S537">
        <f>IF($A537="","",COUNTIFS('Таблиця 1'!$B:$B,$A537,'Таблиця 1'!$I:$I,"Mirage",'Таблиця 1'!$L:$L,"НЕ уражено")+COUNTIFS('Таблиця 1'!$B:$B,$A537,'Таблиця 1'!$I:$I,"F-16",'Таблиця 1'!$L:$L,"НЕ уражено")+COUNTIFS('Таблиця 1'!$B:$B,$A537,'Таблиця 1'!$I:$I,"МіГ-29",'Таблиця 1'!$L:$L,"НЕ уражено")+COUNTIFS('Таблиця 1'!$B:$B,$A537,'Таблиця 1'!$I:$I,"Су-25",'Таблиця 1'!$L:$L,"НЕ уражено")+COUNTIFS('Таблиця 1'!$B:$B,$A537,'Таблиця 1'!$I:$I,"Су-27",'Таблиця 1'!$L:$L,"НЕ уражено"))</f>
        <v/>
      </c>
      <c r="T537">
        <f>IF($A537="","",COUNTIFS('Таблиця 1'!$B:$B,$A537,'Таблиця 1'!$I:$I,"Mirage",'Таблиця 1'!$L:$L,"Дорозвідується")+COUNTIFS('Таблиця 1'!$B:$B,$A537,'Таблиця 1'!$I:$I,"F-16",'Таблиця 1'!$L:$L,"Дорозвідується")+COUNTIFS('Таблиця 1'!$B:$B,$A537,'Таблиця 1'!$I:$I,"МіГ-29",'Таблиця 1'!$L:$L,"Дорозвідується")+COUNTIFS('Таблиця 1'!$B:$B,$A537,'Таблиця 1'!$I:$I,"Су-25",'Таблиця 1'!$L:$L,"Дорозвідується")+COUNTIFS('Таблиця 1'!$B:$B,$A537,'Таблиця 1'!$I:$I,"Су-27",'Таблиця 1'!$L:$L,"Дорозвідується"))</f>
        <v/>
      </c>
    </row>
    <row r="538">
      <c r="A538" s="273">
        <f>IF(A537="","",IF(A537+1&gt;MAX('Таблиця 1'!$B:$B),"",A537+1))</f>
        <v/>
      </c>
      <c r="B538">
        <f>IF($A538="","",COUNTIFS('Таблиця 1'!$B:$B,$A538,'Таблиця 1'!$I:$I,"Mirage")+COUNTIFS('Таблиця 1'!$B:$B,$A538,'Таблиця 1'!$I:$I,"F-16")+COUNTIFS('Таблиця 1'!$B:$B,$A538,'Таблиця 1'!$I:$I,"МіГ-29")+COUNTIFS('Таблиця 1'!$B:$B,$A538,'Таблиця 1'!$I:$I,"Су-25")+COUNTIFS('Таблиця 1'!$B:$B,$A538,'Таблиця 1'!$I:$I,"Су-27"))</f>
        <v/>
      </c>
      <c r="C538">
        <f>IF($A538="","",COUNTIFS('Таблиця 1'!$B:$B,$A538,'Таблиця 1'!$I:$I,"Mirage"))</f>
        <v/>
      </c>
      <c r="D538">
        <f>IF($A538="","",COUNTIFS('Таблиця 1'!$B:$B,$A538,'Таблиця 1'!$I:$I,"F-16"))</f>
        <v/>
      </c>
      <c r="E538">
        <f>IF($A538="","",COUNTIFS('Таблиця 1'!$B:$B,$A538,'Таблиця 1'!$I:$I,"МіГ-29"))</f>
        <v/>
      </c>
      <c r="F538">
        <f>IF($A538="","",COUNTIFS('Таблиця 1'!$B:$B,$A538,'Таблиця 1'!$I:$I,"Су-25"))</f>
        <v/>
      </c>
      <c r="G538">
        <f>IF($A538="","",COUNTIFS('Таблиця 1'!$B:$B,$A538,'Таблиця 1'!$I:$I,"Су-27"))</f>
        <v/>
      </c>
      <c r="H538">
        <f>IF($A538="","",SUMIFS('Таблиця 1'!$K:$K,'Таблиця 1'!$B:$B,$A538,'Таблиця 1'!$I:$I,"Mirage",'Таблиця 1'!$J:$J,"AGM-88")+SUMIFS('Таблиця 1'!$K:$K,'Таблиця 1'!$B:$B,$A538,'Таблиця 1'!$I:$I,"F-16",'Таблиця 1'!$J:$J,"AGM-88")+SUMIFS('Таблиця 1'!$K:$K,'Таблиця 1'!$B:$B,$A538,'Таблиця 1'!$I:$I,"МіГ-29",'Таблиця 1'!$J:$J,"AGM-88")+SUMIFS('Таблиця 1'!$K:$K,'Таблиця 1'!$B:$B,$A538,'Таблиця 1'!$I:$I,"Су-25",'Таблиця 1'!$J:$J,"AGM-88")+SUMIFS('Таблиця 1'!$K:$K,'Таблиця 1'!$B:$B,$A538,'Таблиця 1'!$I:$I,"Су-27",'Таблиця 1'!$J:$J,"AGM-88"))</f>
        <v/>
      </c>
      <c r="I538">
        <f>IF($A538="","",SUMIFS('Таблиця 1'!$K:$K,'Таблиця 1'!$B:$B,$A538,'Таблиця 1'!$I:$I,"Mirage",'Таблиця 1'!$J:$J,"AASM-250")+SUMIFS('Таблиця 1'!$K:$K,'Таблиця 1'!$B:$B,$A538,'Таблиця 1'!$I:$I,"F-16",'Таблиця 1'!$J:$J,"AASM-250")+SUMIFS('Таблиця 1'!$K:$K,'Таблиця 1'!$B:$B,$A538,'Таблиця 1'!$I:$I,"МіГ-29",'Таблиця 1'!$J:$J,"AASM-250")+SUMIFS('Таблиця 1'!$K:$K,'Таблиця 1'!$B:$B,$A538,'Таблиця 1'!$I:$I,"Су-25",'Таблиця 1'!$J:$J,"AASM-250")+SUMIFS('Таблиця 1'!$K:$K,'Таблиця 1'!$B:$B,$A538,'Таблиця 1'!$I:$I,"Су-27",'Таблиця 1'!$J:$J,"AASM-250"))</f>
        <v/>
      </c>
      <c r="J538">
        <f>IF($A538="","",SUMIFS('Таблиця 1'!$K:$K,'Таблиця 1'!$B:$B,$A538,'Таблиця 1'!$I:$I,"Mirage",'Таблиця 1'!$J:$J,"GBU-39")+SUMIFS('Таблиця 1'!$K:$K,'Таблиця 1'!$B:$B,$A538,'Таблиця 1'!$I:$I,"F-16",'Таблиця 1'!$J:$J,"GBU-39")+SUMIFS('Таблиця 1'!$K:$K,'Таблиця 1'!$B:$B,$A538,'Таблиця 1'!$I:$I,"МіГ-29",'Таблиця 1'!$J:$J,"GBU-39")+SUMIFS('Таблиця 1'!$K:$K,'Таблиця 1'!$B:$B,$A538,'Таблиця 1'!$I:$I,"Су-25",'Таблиця 1'!$J:$J,"GBU-39")+SUMIFS('Таблиця 1'!$K:$K,'Таблиця 1'!$B:$B,$A538,'Таблиця 1'!$I:$I,"Су-27",'Таблиця 1'!$J:$J,"GBU-39"))</f>
        <v/>
      </c>
      <c r="K538">
        <f>IF($A538="","",SUMIFS('Таблиця 1'!$K:$K,'Таблиця 1'!$B:$B,$A538,'Таблиця 1'!$I:$I,"Mirage",'Таблиця 1'!$J:$J,"BLU-140")+SUMIFS('Таблиця 1'!$K:$K,'Таблиця 1'!$B:$B,$A538,'Таблиця 1'!$I:$I,"F-16",'Таблиця 1'!$J:$J,"BLU-140")+SUMIFS('Таблиця 1'!$K:$K,'Таблиця 1'!$B:$B,$A538,'Таблиця 1'!$I:$I,"МіГ-29",'Таблиця 1'!$J:$J,"BLU-140")+SUMIFS('Таблиця 1'!$K:$K,'Таблиця 1'!$B:$B,$A538,'Таблиця 1'!$I:$I,"Су-25",'Таблиця 1'!$J:$J,"BLU-140")+SUMIFS('Таблиця 1'!$K:$K,'Таблиця 1'!$B:$B,$A538,'Таблиця 1'!$I:$I,"Су-27",'Таблиця 1'!$J:$J,"BLU-140"))</f>
        <v/>
      </c>
      <c r="L538">
        <f>IF($A538="","",SUMIFS('Таблиця 1'!$K:$K,'Таблиця 1'!$B:$B,$A538,'Таблиця 1'!$I:$I,"Mirage",'Таблиця 1'!$J:$J,"GBU-65")+SUMIFS('Таблиця 1'!$K:$K,'Таблиця 1'!$B:$B,$A538,'Таблиця 1'!$I:$I,"F-16",'Таблиця 1'!$J:$J,"GBU-65")+SUMIFS('Таблиця 1'!$K:$K,'Таблиця 1'!$B:$B,$A538,'Таблиця 1'!$I:$I,"МіГ-29",'Таблиця 1'!$J:$J,"GBU-65")+SUMIFS('Таблиця 1'!$K:$K,'Таблиця 1'!$B:$B,$A538,'Таблиця 1'!$I:$I,"Су-25",'Таблиця 1'!$J:$J,"GBU-65")+SUMIFS('Таблиця 1'!$K:$K,'Таблиця 1'!$B:$B,$A538,'Таблиця 1'!$I:$I,"Су-27",'Таблиця 1'!$J:$J,"GBU-65"))</f>
        <v/>
      </c>
      <c r="M538">
        <f>IF($A538="","",SUMIFS('Таблиця 1'!$K:$K,'Таблиця 1'!$B:$B,$A538,'Таблиця 1'!$I:$I,"Mirage",'Таблиця 1'!$J:$J,"GBU-62")+SUMIFS('Таблиця 1'!$K:$K,'Таблиця 1'!$B:$B,$A538,'Таблиця 1'!$I:$I,"F-16",'Таблиця 1'!$J:$J,"GBU-62")+SUMIFS('Таблиця 1'!$K:$K,'Таблиця 1'!$B:$B,$A538,'Таблиця 1'!$I:$I,"МіГ-29",'Таблиця 1'!$J:$J,"GBU-62")+SUMIFS('Таблиця 1'!$K:$K,'Таблиця 1'!$B:$B,$A538,'Таблиця 1'!$I:$I,"Су-25",'Таблиця 1'!$J:$J,"GBU-62")+SUMIFS('Таблиця 1'!$K:$K,'Таблиця 1'!$B:$B,$A538,'Таблиця 1'!$I:$I,"Су-27",'Таблиця 1'!$J:$J,"GBU-62"))</f>
        <v/>
      </c>
      <c r="N538">
        <f>IF($A538="","",SUMIFS('Таблиця 1'!$K:$K,'Таблиця 1'!$B:$B,$A538,'Таблиця 1'!$I:$I,"Mirage",'Таблиця 1'!$J:$J,"GBU-64")+SUMIFS('Таблиця 1'!$K:$K,'Таблиця 1'!$B:$B,$A538,'Таблиця 1'!$I:$I,"F-16",'Таблиця 1'!$J:$J,"GBU-64")+SUMIFS('Таблиця 1'!$K:$K,'Таблиця 1'!$B:$B,$A538,'Таблиця 1'!$I:$I,"МіГ-29",'Таблиця 1'!$J:$J,"GBU-64")+SUMIFS('Таблиця 1'!$K:$K,'Таблиця 1'!$B:$B,$A538,'Таблиця 1'!$I:$I,"Су-25",'Таблиця 1'!$J:$J,"GBU-64")+SUMIFS('Таблиця 1'!$K:$K,'Таблиця 1'!$B:$B,$A538,'Таблиця 1'!$I:$I,"Су-27",'Таблиця 1'!$J:$J,"GBU-64"))</f>
        <v/>
      </c>
      <c r="O538">
        <f>IF($A538="","",SUMIFS('Таблиця 1'!$K:$K,'Таблиця 1'!$B:$B,$A538,'Таблиця 1'!$I:$I,"Mirage",'Таблиця 1'!$J:$J,"C-13")+SUMIFS('Таблиця 1'!$K:$K,'Таблиця 1'!$B:$B,$A538,'Таблиця 1'!$I:$I,"F-16",'Таблиця 1'!$J:$J,"C-13")+SUMIFS('Таблиця 1'!$K:$K,'Таблиця 1'!$B:$B,$A538,'Таблиця 1'!$I:$I,"МіГ-29",'Таблиця 1'!$J:$J,"C-13")+SUMIFS('Таблиця 1'!$K:$K,'Таблиця 1'!$B:$B,$A538,'Таблиця 1'!$I:$I,"Су-25",'Таблиця 1'!$J:$J,"C-13")+SUMIFS('Таблиця 1'!$K:$K,'Таблиця 1'!$B:$B,$A538,'Таблиця 1'!$I:$I,"Су-27",'Таблиця 1'!$J:$J,"C-13"))</f>
        <v/>
      </c>
      <c r="P538">
        <f>IF($A538="","",SUMIFS('Таблиця 1'!$K:$K,'Таблиця 1'!$B:$B,$A538,'Таблиця 1'!$I:$I,"Mirage",'Таблиця 1'!$J:$J,"MK-32")+SUMIFS('Таблиця 1'!$K:$K,'Таблиця 1'!$B:$B,$A538,'Таблиця 1'!$I:$I,"F-16",'Таблиця 1'!$J:$J,"MK-32")+SUMIFS('Таблиця 1'!$K:$K,'Таблиця 1'!$B:$B,$A538,'Таблиця 1'!$I:$I,"МіГ-29",'Таблиця 1'!$J:$J,"MK-32")+SUMIFS('Таблиця 1'!$K:$K,'Таблиця 1'!$B:$B,$A538,'Таблиця 1'!$I:$I,"Су-25",'Таблиця 1'!$J:$J,"MK-32")+SUMIFS('Таблиця 1'!$K:$K,'Таблиця 1'!$B:$B,$A538,'Таблиця 1'!$I:$I,"Су-27",'Таблиця 1'!$J:$J,"MK-32"))</f>
        <v/>
      </c>
      <c r="Q538">
        <f>IF($A538="","",SUMIFS('Таблиця 1'!$K:$K,'Таблиця 1'!$B:$B,$A538,'Таблиця 1'!$I:$I,"Mirage",'Таблиця 1'!$J:$J,"MK-24")+SUMIFS('Таблиця 1'!$K:$K,'Таблиця 1'!$B:$B,$A538,'Таблиця 1'!$I:$I,"F-16",'Таблиця 1'!$J:$J,"MK-24")+SUMIFS('Таблиця 1'!$K:$K,'Таблиця 1'!$B:$B,$A538,'Таблиця 1'!$I:$I,"МіГ-29",'Таблиця 1'!$J:$J,"MK-24")+SUMIFS('Таблиця 1'!$K:$K,'Таблиця 1'!$B:$B,$A538,'Таблиця 1'!$I:$I,"Су-25",'Таблиця 1'!$J:$J,"MK-24")+SUMIFS('Таблиця 1'!$K:$K,'Таблиця 1'!$B:$B,$A538,'Таблиця 1'!$I:$I,"Су-27",'Таблиця 1'!$J:$J,"MK-24"))</f>
        <v/>
      </c>
      <c r="R538">
        <f>IF($A538="","",COUNTIFS('Таблиця 1'!$B:$B,$A538,'Таблиця 1'!$I:$I,"Mirage",'Таблиця 1'!$L:$L,"Уражено")+COUNTIFS('Таблиця 1'!$B:$B,$A538,'Таблиця 1'!$I:$I,"F-16",'Таблиця 1'!$L:$L,"Уражено")+COUNTIFS('Таблиця 1'!$B:$B,$A538,'Таблиця 1'!$I:$I,"МіГ-29",'Таблиця 1'!$L:$L,"Уражено")+COUNTIFS('Таблиця 1'!$B:$B,$A538,'Таблиця 1'!$I:$I,"Су-25",'Таблиця 1'!$L:$L,"Уражено")+COUNTIFS('Таблиця 1'!$B:$B,$A538,'Таблиця 1'!$I:$I,"Су-27",'Таблиця 1'!$L:$L,"Уражено"))</f>
        <v/>
      </c>
      <c r="S538">
        <f>IF($A538="","",COUNTIFS('Таблиця 1'!$B:$B,$A538,'Таблиця 1'!$I:$I,"Mirage",'Таблиця 1'!$L:$L,"НЕ уражено")+COUNTIFS('Таблиця 1'!$B:$B,$A538,'Таблиця 1'!$I:$I,"F-16",'Таблиця 1'!$L:$L,"НЕ уражено")+COUNTIFS('Таблиця 1'!$B:$B,$A538,'Таблиця 1'!$I:$I,"МіГ-29",'Таблиця 1'!$L:$L,"НЕ уражено")+COUNTIFS('Таблиця 1'!$B:$B,$A538,'Таблиця 1'!$I:$I,"Су-25",'Таблиця 1'!$L:$L,"НЕ уражено")+COUNTIFS('Таблиця 1'!$B:$B,$A538,'Таблиця 1'!$I:$I,"Су-27",'Таблиця 1'!$L:$L,"НЕ уражено"))</f>
        <v/>
      </c>
      <c r="T538">
        <f>IF($A538="","",COUNTIFS('Таблиця 1'!$B:$B,$A538,'Таблиця 1'!$I:$I,"Mirage",'Таблиця 1'!$L:$L,"Дорозвідується")+COUNTIFS('Таблиця 1'!$B:$B,$A538,'Таблиця 1'!$I:$I,"F-16",'Таблиця 1'!$L:$L,"Дорозвідується")+COUNTIFS('Таблиця 1'!$B:$B,$A538,'Таблиця 1'!$I:$I,"МіГ-29",'Таблиця 1'!$L:$L,"Дорозвідується")+COUNTIFS('Таблиця 1'!$B:$B,$A538,'Таблиця 1'!$I:$I,"Су-25",'Таблиця 1'!$L:$L,"Дорозвідується")+COUNTIFS('Таблиця 1'!$B:$B,$A538,'Таблиця 1'!$I:$I,"Су-27",'Таблиця 1'!$L:$L,"Дорозвідується"))</f>
        <v/>
      </c>
    </row>
    <row r="539">
      <c r="A539" s="273">
        <f>IF(A538="","",IF(A538+1&gt;MAX('Таблиця 1'!$B:$B),"",A538+1))</f>
        <v/>
      </c>
      <c r="B539">
        <f>IF($A539="","",COUNTIFS('Таблиця 1'!$B:$B,$A539,'Таблиця 1'!$I:$I,"Mirage")+COUNTIFS('Таблиця 1'!$B:$B,$A539,'Таблиця 1'!$I:$I,"F-16")+COUNTIFS('Таблиця 1'!$B:$B,$A539,'Таблиця 1'!$I:$I,"МіГ-29")+COUNTIFS('Таблиця 1'!$B:$B,$A539,'Таблиця 1'!$I:$I,"Су-25")+COUNTIFS('Таблиця 1'!$B:$B,$A539,'Таблиця 1'!$I:$I,"Су-27"))</f>
        <v/>
      </c>
      <c r="C539">
        <f>IF($A539="","",COUNTIFS('Таблиця 1'!$B:$B,$A539,'Таблиця 1'!$I:$I,"Mirage"))</f>
        <v/>
      </c>
      <c r="D539">
        <f>IF($A539="","",COUNTIFS('Таблиця 1'!$B:$B,$A539,'Таблиця 1'!$I:$I,"F-16"))</f>
        <v/>
      </c>
      <c r="E539">
        <f>IF($A539="","",COUNTIFS('Таблиця 1'!$B:$B,$A539,'Таблиця 1'!$I:$I,"МіГ-29"))</f>
        <v/>
      </c>
      <c r="F539">
        <f>IF($A539="","",COUNTIFS('Таблиця 1'!$B:$B,$A539,'Таблиця 1'!$I:$I,"Су-25"))</f>
        <v/>
      </c>
      <c r="G539">
        <f>IF($A539="","",COUNTIFS('Таблиця 1'!$B:$B,$A539,'Таблиця 1'!$I:$I,"Су-27"))</f>
        <v/>
      </c>
      <c r="H539">
        <f>IF($A539="","",SUMIFS('Таблиця 1'!$K:$K,'Таблиця 1'!$B:$B,$A539,'Таблиця 1'!$I:$I,"Mirage",'Таблиця 1'!$J:$J,"AGM-88")+SUMIFS('Таблиця 1'!$K:$K,'Таблиця 1'!$B:$B,$A539,'Таблиця 1'!$I:$I,"F-16",'Таблиця 1'!$J:$J,"AGM-88")+SUMIFS('Таблиця 1'!$K:$K,'Таблиця 1'!$B:$B,$A539,'Таблиця 1'!$I:$I,"МіГ-29",'Таблиця 1'!$J:$J,"AGM-88")+SUMIFS('Таблиця 1'!$K:$K,'Таблиця 1'!$B:$B,$A539,'Таблиця 1'!$I:$I,"Су-25",'Таблиця 1'!$J:$J,"AGM-88")+SUMIFS('Таблиця 1'!$K:$K,'Таблиця 1'!$B:$B,$A539,'Таблиця 1'!$I:$I,"Су-27",'Таблиця 1'!$J:$J,"AGM-88"))</f>
        <v/>
      </c>
      <c r="I539">
        <f>IF($A539="","",SUMIFS('Таблиця 1'!$K:$K,'Таблиця 1'!$B:$B,$A539,'Таблиця 1'!$I:$I,"Mirage",'Таблиця 1'!$J:$J,"AASM-250")+SUMIFS('Таблиця 1'!$K:$K,'Таблиця 1'!$B:$B,$A539,'Таблиця 1'!$I:$I,"F-16",'Таблиця 1'!$J:$J,"AASM-250")+SUMIFS('Таблиця 1'!$K:$K,'Таблиця 1'!$B:$B,$A539,'Таблиця 1'!$I:$I,"МіГ-29",'Таблиця 1'!$J:$J,"AASM-250")+SUMIFS('Таблиця 1'!$K:$K,'Таблиця 1'!$B:$B,$A539,'Таблиця 1'!$I:$I,"Су-25",'Таблиця 1'!$J:$J,"AASM-250")+SUMIFS('Таблиця 1'!$K:$K,'Таблиця 1'!$B:$B,$A539,'Таблиця 1'!$I:$I,"Су-27",'Таблиця 1'!$J:$J,"AASM-250"))</f>
        <v/>
      </c>
      <c r="J539">
        <f>IF($A539="","",SUMIFS('Таблиця 1'!$K:$K,'Таблиця 1'!$B:$B,$A539,'Таблиця 1'!$I:$I,"Mirage",'Таблиця 1'!$J:$J,"GBU-39")+SUMIFS('Таблиця 1'!$K:$K,'Таблиця 1'!$B:$B,$A539,'Таблиця 1'!$I:$I,"F-16",'Таблиця 1'!$J:$J,"GBU-39")+SUMIFS('Таблиця 1'!$K:$K,'Таблиця 1'!$B:$B,$A539,'Таблиця 1'!$I:$I,"МіГ-29",'Таблиця 1'!$J:$J,"GBU-39")+SUMIFS('Таблиця 1'!$K:$K,'Таблиця 1'!$B:$B,$A539,'Таблиця 1'!$I:$I,"Су-25",'Таблиця 1'!$J:$J,"GBU-39")+SUMIFS('Таблиця 1'!$K:$K,'Таблиця 1'!$B:$B,$A539,'Таблиця 1'!$I:$I,"Су-27",'Таблиця 1'!$J:$J,"GBU-39"))</f>
        <v/>
      </c>
      <c r="K539">
        <f>IF($A539="","",SUMIFS('Таблиця 1'!$K:$K,'Таблиця 1'!$B:$B,$A539,'Таблиця 1'!$I:$I,"Mirage",'Таблиця 1'!$J:$J,"BLU-140")+SUMIFS('Таблиця 1'!$K:$K,'Таблиця 1'!$B:$B,$A539,'Таблиця 1'!$I:$I,"F-16",'Таблиця 1'!$J:$J,"BLU-140")+SUMIFS('Таблиця 1'!$K:$K,'Таблиця 1'!$B:$B,$A539,'Таблиця 1'!$I:$I,"МіГ-29",'Таблиця 1'!$J:$J,"BLU-140")+SUMIFS('Таблиця 1'!$K:$K,'Таблиця 1'!$B:$B,$A539,'Таблиця 1'!$I:$I,"Су-25",'Таблиця 1'!$J:$J,"BLU-140")+SUMIFS('Таблиця 1'!$K:$K,'Таблиця 1'!$B:$B,$A539,'Таблиця 1'!$I:$I,"Су-27",'Таблиця 1'!$J:$J,"BLU-140"))</f>
        <v/>
      </c>
      <c r="L539">
        <f>IF($A539="","",SUMIFS('Таблиця 1'!$K:$K,'Таблиця 1'!$B:$B,$A539,'Таблиця 1'!$I:$I,"Mirage",'Таблиця 1'!$J:$J,"GBU-65")+SUMIFS('Таблиця 1'!$K:$K,'Таблиця 1'!$B:$B,$A539,'Таблиця 1'!$I:$I,"F-16",'Таблиця 1'!$J:$J,"GBU-65")+SUMIFS('Таблиця 1'!$K:$K,'Таблиця 1'!$B:$B,$A539,'Таблиця 1'!$I:$I,"МіГ-29",'Таблиця 1'!$J:$J,"GBU-65")+SUMIFS('Таблиця 1'!$K:$K,'Таблиця 1'!$B:$B,$A539,'Таблиця 1'!$I:$I,"Су-25",'Таблиця 1'!$J:$J,"GBU-65")+SUMIFS('Таблиця 1'!$K:$K,'Таблиця 1'!$B:$B,$A539,'Таблиця 1'!$I:$I,"Су-27",'Таблиця 1'!$J:$J,"GBU-65"))</f>
        <v/>
      </c>
      <c r="M539">
        <f>IF($A539="","",SUMIFS('Таблиця 1'!$K:$K,'Таблиця 1'!$B:$B,$A539,'Таблиця 1'!$I:$I,"Mirage",'Таблиця 1'!$J:$J,"GBU-62")+SUMIFS('Таблиця 1'!$K:$K,'Таблиця 1'!$B:$B,$A539,'Таблиця 1'!$I:$I,"F-16",'Таблиця 1'!$J:$J,"GBU-62")+SUMIFS('Таблиця 1'!$K:$K,'Таблиця 1'!$B:$B,$A539,'Таблиця 1'!$I:$I,"МіГ-29",'Таблиця 1'!$J:$J,"GBU-62")+SUMIFS('Таблиця 1'!$K:$K,'Таблиця 1'!$B:$B,$A539,'Таблиця 1'!$I:$I,"Су-25",'Таблиця 1'!$J:$J,"GBU-62")+SUMIFS('Таблиця 1'!$K:$K,'Таблиця 1'!$B:$B,$A539,'Таблиця 1'!$I:$I,"Су-27",'Таблиця 1'!$J:$J,"GBU-62"))</f>
        <v/>
      </c>
      <c r="N539">
        <f>IF($A539="","",SUMIFS('Таблиця 1'!$K:$K,'Таблиця 1'!$B:$B,$A539,'Таблиця 1'!$I:$I,"Mirage",'Таблиця 1'!$J:$J,"GBU-64")+SUMIFS('Таблиця 1'!$K:$K,'Таблиця 1'!$B:$B,$A539,'Таблиця 1'!$I:$I,"F-16",'Таблиця 1'!$J:$J,"GBU-64")+SUMIFS('Таблиця 1'!$K:$K,'Таблиця 1'!$B:$B,$A539,'Таблиця 1'!$I:$I,"МіГ-29",'Таблиця 1'!$J:$J,"GBU-64")+SUMIFS('Таблиця 1'!$K:$K,'Таблиця 1'!$B:$B,$A539,'Таблиця 1'!$I:$I,"Су-25",'Таблиця 1'!$J:$J,"GBU-64")+SUMIFS('Таблиця 1'!$K:$K,'Таблиця 1'!$B:$B,$A539,'Таблиця 1'!$I:$I,"Су-27",'Таблиця 1'!$J:$J,"GBU-64"))</f>
        <v/>
      </c>
      <c r="O539">
        <f>IF($A539="","",SUMIFS('Таблиця 1'!$K:$K,'Таблиця 1'!$B:$B,$A539,'Таблиця 1'!$I:$I,"Mirage",'Таблиця 1'!$J:$J,"C-13")+SUMIFS('Таблиця 1'!$K:$K,'Таблиця 1'!$B:$B,$A539,'Таблиця 1'!$I:$I,"F-16",'Таблиця 1'!$J:$J,"C-13")+SUMIFS('Таблиця 1'!$K:$K,'Таблиця 1'!$B:$B,$A539,'Таблиця 1'!$I:$I,"МіГ-29",'Таблиця 1'!$J:$J,"C-13")+SUMIFS('Таблиця 1'!$K:$K,'Таблиця 1'!$B:$B,$A539,'Таблиця 1'!$I:$I,"Су-25",'Таблиця 1'!$J:$J,"C-13")+SUMIFS('Таблиця 1'!$K:$K,'Таблиця 1'!$B:$B,$A539,'Таблиця 1'!$I:$I,"Су-27",'Таблиця 1'!$J:$J,"C-13"))</f>
        <v/>
      </c>
      <c r="P539">
        <f>IF($A539="","",SUMIFS('Таблиця 1'!$K:$K,'Таблиця 1'!$B:$B,$A539,'Таблиця 1'!$I:$I,"Mirage",'Таблиця 1'!$J:$J,"MK-32")+SUMIFS('Таблиця 1'!$K:$K,'Таблиця 1'!$B:$B,$A539,'Таблиця 1'!$I:$I,"F-16",'Таблиця 1'!$J:$J,"MK-32")+SUMIFS('Таблиця 1'!$K:$K,'Таблиця 1'!$B:$B,$A539,'Таблиця 1'!$I:$I,"МіГ-29",'Таблиця 1'!$J:$J,"MK-32")+SUMIFS('Таблиця 1'!$K:$K,'Таблиця 1'!$B:$B,$A539,'Таблиця 1'!$I:$I,"Су-25",'Таблиця 1'!$J:$J,"MK-32")+SUMIFS('Таблиця 1'!$K:$K,'Таблиця 1'!$B:$B,$A539,'Таблиця 1'!$I:$I,"Су-27",'Таблиця 1'!$J:$J,"MK-32"))</f>
        <v/>
      </c>
      <c r="Q539">
        <f>IF($A539="","",SUMIFS('Таблиця 1'!$K:$K,'Таблиця 1'!$B:$B,$A539,'Таблиця 1'!$I:$I,"Mirage",'Таблиця 1'!$J:$J,"MK-24")+SUMIFS('Таблиця 1'!$K:$K,'Таблиця 1'!$B:$B,$A539,'Таблиця 1'!$I:$I,"F-16",'Таблиця 1'!$J:$J,"MK-24")+SUMIFS('Таблиця 1'!$K:$K,'Таблиця 1'!$B:$B,$A539,'Таблиця 1'!$I:$I,"МіГ-29",'Таблиця 1'!$J:$J,"MK-24")+SUMIFS('Таблиця 1'!$K:$K,'Таблиця 1'!$B:$B,$A539,'Таблиця 1'!$I:$I,"Су-25",'Таблиця 1'!$J:$J,"MK-24")+SUMIFS('Таблиця 1'!$K:$K,'Таблиця 1'!$B:$B,$A539,'Таблиця 1'!$I:$I,"Су-27",'Таблиця 1'!$J:$J,"MK-24"))</f>
        <v/>
      </c>
      <c r="R539">
        <f>IF($A539="","",COUNTIFS('Таблиця 1'!$B:$B,$A539,'Таблиця 1'!$I:$I,"Mirage",'Таблиця 1'!$L:$L,"Уражено")+COUNTIFS('Таблиця 1'!$B:$B,$A539,'Таблиця 1'!$I:$I,"F-16",'Таблиця 1'!$L:$L,"Уражено")+COUNTIFS('Таблиця 1'!$B:$B,$A539,'Таблиця 1'!$I:$I,"МіГ-29",'Таблиця 1'!$L:$L,"Уражено")+COUNTIFS('Таблиця 1'!$B:$B,$A539,'Таблиця 1'!$I:$I,"Су-25",'Таблиця 1'!$L:$L,"Уражено")+COUNTIFS('Таблиця 1'!$B:$B,$A539,'Таблиця 1'!$I:$I,"Су-27",'Таблиця 1'!$L:$L,"Уражено"))</f>
        <v/>
      </c>
      <c r="S539">
        <f>IF($A539="","",COUNTIFS('Таблиця 1'!$B:$B,$A539,'Таблиця 1'!$I:$I,"Mirage",'Таблиця 1'!$L:$L,"НЕ уражено")+COUNTIFS('Таблиця 1'!$B:$B,$A539,'Таблиця 1'!$I:$I,"F-16",'Таблиця 1'!$L:$L,"НЕ уражено")+COUNTIFS('Таблиця 1'!$B:$B,$A539,'Таблиця 1'!$I:$I,"МіГ-29",'Таблиця 1'!$L:$L,"НЕ уражено")+COUNTIFS('Таблиця 1'!$B:$B,$A539,'Таблиця 1'!$I:$I,"Су-25",'Таблиця 1'!$L:$L,"НЕ уражено")+COUNTIFS('Таблиця 1'!$B:$B,$A539,'Таблиця 1'!$I:$I,"Су-27",'Таблиця 1'!$L:$L,"НЕ уражено"))</f>
        <v/>
      </c>
      <c r="T539">
        <f>IF($A539="","",COUNTIFS('Таблиця 1'!$B:$B,$A539,'Таблиця 1'!$I:$I,"Mirage",'Таблиця 1'!$L:$L,"Дорозвідується")+COUNTIFS('Таблиця 1'!$B:$B,$A539,'Таблиця 1'!$I:$I,"F-16",'Таблиця 1'!$L:$L,"Дорозвідується")+COUNTIFS('Таблиця 1'!$B:$B,$A539,'Таблиця 1'!$I:$I,"МіГ-29",'Таблиця 1'!$L:$L,"Дорозвідується")+COUNTIFS('Таблиця 1'!$B:$B,$A539,'Таблиця 1'!$I:$I,"Су-25",'Таблиця 1'!$L:$L,"Дорозвідується")+COUNTIFS('Таблиця 1'!$B:$B,$A539,'Таблиця 1'!$I:$I,"Су-27",'Таблиця 1'!$L:$L,"Дорозвідується"))</f>
        <v/>
      </c>
    </row>
    <row r="540">
      <c r="A540" s="273">
        <f>IF(A539="","",IF(A539+1&gt;MAX('Таблиця 1'!$B:$B),"",A539+1))</f>
        <v/>
      </c>
      <c r="B540">
        <f>IF($A540="","",COUNTIFS('Таблиця 1'!$B:$B,$A540,'Таблиця 1'!$I:$I,"Mirage")+COUNTIFS('Таблиця 1'!$B:$B,$A540,'Таблиця 1'!$I:$I,"F-16")+COUNTIFS('Таблиця 1'!$B:$B,$A540,'Таблиця 1'!$I:$I,"МіГ-29")+COUNTIFS('Таблиця 1'!$B:$B,$A540,'Таблиця 1'!$I:$I,"Су-25")+COUNTIFS('Таблиця 1'!$B:$B,$A540,'Таблиця 1'!$I:$I,"Су-27"))</f>
        <v/>
      </c>
      <c r="C540">
        <f>IF($A540="","",COUNTIFS('Таблиця 1'!$B:$B,$A540,'Таблиця 1'!$I:$I,"Mirage"))</f>
        <v/>
      </c>
      <c r="D540">
        <f>IF($A540="","",COUNTIFS('Таблиця 1'!$B:$B,$A540,'Таблиця 1'!$I:$I,"F-16"))</f>
        <v/>
      </c>
      <c r="E540">
        <f>IF($A540="","",COUNTIFS('Таблиця 1'!$B:$B,$A540,'Таблиця 1'!$I:$I,"МіГ-29"))</f>
        <v/>
      </c>
      <c r="F540">
        <f>IF($A540="","",COUNTIFS('Таблиця 1'!$B:$B,$A540,'Таблиця 1'!$I:$I,"Су-25"))</f>
        <v/>
      </c>
      <c r="G540">
        <f>IF($A540="","",COUNTIFS('Таблиця 1'!$B:$B,$A540,'Таблиця 1'!$I:$I,"Су-27"))</f>
        <v/>
      </c>
      <c r="H540">
        <f>IF($A540="","",SUMIFS('Таблиця 1'!$K:$K,'Таблиця 1'!$B:$B,$A540,'Таблиця 1'!$I:$I,"Mirage",'Таблиця 1'!$J:$J,"AGM-88")+SUMIFS('Таблиця 1'!$K:$K,'Таблиця 1'!$B:$B,$A540,'Таблиця 1'!$I:$I,"F-16",'Таблиця 1'!$J:$J,"AGM-88")+SUMIFS('Таблиця 1'!$K:$K,'Таблиця 1'!$B:$B,$A540,'Таблиця 1'!$I:$I,"МіГ-29",'Таблиця 1'!$J:$J,"AGM-88")+SUMIFS('Таблиця 1'!$K:$K,'Таблиця 1'!$B:$B,$A540,'Таблиця 1'!$I:$I,"Су-25",'Таблиця 1'!$J:$J,"AGM-88")+SUMIFS('Таблиця 1'!$K:$K,'Таблиця 1'!$B:$B,$A540,'Таблиця 1'!$I:$I,"Су-27",'Таблиця 1'!$J:$J,"AGM-88"))</f>
        <v/>
      </c>
      <c r="I540">
        <f>IF($A540="","",SUMIFS('Таблиця 1'!$K:$K,'Таблиця 1'!$B:$B,$A540,'Таблиця 1'!$I:$I,"Mirage",'Таблиця 1'!$J:$J,"AASM-250")+SUMIFS('Таблиця 1'!$K:$K,'Таблиця 1'!$B:$B,$A540,'Таблиця 1'!$I:$I,"F-16",'Таблиця 1'!$J:$J,"AASM-250")+SUMIFS('Таблиця 1'!$K:$K,'Таблиця 1'!$B:$B,$A540,'Таблиця 1'!$I:$I,"МіГ-29",'Таблиця 1'!$J:$J,"AASM-250")+SUMIFS('Таблиця 1'!$K:$K,'Таблиця 1'!$B:$B,$A540,'Таблиця 1'!$I:$I,"Су-25",'Таблиця 1'!$J:$J,"AASM-250")+SUMIFS('Таблиця 1'!$K:$K,'Таблиця 1'!$B:$B,$A540,'Таблиця 1'!$I:$I,"Су-27",'Таблиця 1'!$J:$J,"AASM-250"))</f>
        <v/>
      </c>
      <c r="J540">
        <f>IF($A540="","",SUMIFS('Таблиця 1'!$K:$K,'Таблиця 1'!$B:$B,$A540,'Таблиця 1'!$I:$I,"Mirage",'Таблиця 1'!$J:$J,"GBU-39")+SUMIFS('Таблиця 1'!$K:$K,'Таблиця 1'!$B:$B,$A540,'Таблиця 1'!$I:$I,"F-16",'Таблиця 1'!$J:$J,"GBU-39")+SUMIFS('Таблиця 1'!$K:$K,'Таблиця 1'!$B:$B,$A540,'Таблиця 1'!$I:$I,"МіГ-29",'Таблиця 1'!$J:$J,"GBU-39")+SUMIFS('Таблиця 1'!$K:$K,'Таблиця 1'!$B:$B,$A540,'Таблиця 1'!$I:$I,"Су-25",'Таблиця 1'!$J:$J,"GBU-39")+SUMIFS('Таблиця 1'!$K:$K,'Таблиця 1'!$B:$B,$A540,'Таблиця 1'!$I:$I,"Су-27",'Таблиця 1'!$J:$J,"GBU-39"))</f>
        <v/>
      </c>
      <c r="K540">
        <f>IF($A540="","",SUMIFS('Таблиця 1'!$K:$K,'Таблиця 1'!$B:$B,$A540,'Таблиця 1'!$I:$I,"Mirage",'Таблиця 1'!$J:$J,"BLU-140")+SUMIFS('Таблиця 1'!$K:$K,'Таблиця 1'!$B:$B,$A540,'Таблиця 1'!$I:$I,"F-16",'Таблиця 1'!$J:$J,"BLU-140")+SUMIFS('Таблиця 1'!$K:$K,'Таблиця 1'!$B:$B,$A540,'Таблиця 1'!$I:$I,"МіГ-29",'Таблиця 1'!$J:$J,"BLU-140")+SUMIFS('Таблиця 1'!$K:$K,'Таблиця 1'!$B:$B,$A540,'Таблиця 1'!$I:$I,"Су-25",'Таблиця 1'!$J:$J,"BLU-140")+SUMIFS('Таблиця 1'!$K:$K,'Таблиця 1'!$B:$B,$A540,'Таблиця 1'!$I:$I,"Су-27",'Таблиця 1'!$J:$J,"BLU-140"))</f>
        <v/>
      </c>
      <c r="L540">
        <f>IF($A540="","",SUMIFS('Таблиця 1'!$K:$K,'Таблиця 1'!$B:$B,$A540,'Таблиця 1'!$I:$I,"Mirage",'Таблиця 1'!$J:$J,"GBU-65")+SUMIFS('Таблиця 1'!$K:$K,'Таблиця 1'!$B:$B,$A540,'Таблиця 1'!$I:$I,"F-16",'Таблиця 1'!$J:$J,"GBU-65")+SUMIFS('Таблиця 1'!$K:$K,'Таблиця 1'!$B:$B,$A540,'Таблиця 1'!$I:$I,"МіГ-29",'Таблиця 1'!$J:$J,"GBU-65")+SUMIFS('Таблиця 1'!$K:$K,'Таблиця 1'!$B:$B,$A540,'Таблиця 1'!$I:$I,"Су-25",'Таблиця 1'!$J:$J,"GBU-65")+SUMIFS('Таблиця 1'!$K:$K,'Таблиця 1'!$B:$B,$A540,'Таблиця 1'!$I:$I,"Су-27",'Таблиця 1'!$J:$J,"GBU-65"))</f>
        <v/>
      </c>
      <c r="M540">
        <f>IF($A540="","",SUMIFS('Таблиця 1'!$K:$K,'Таблиця 1'!$B:$B,$A540,'Таблиця 1'!$I:$I,"Mirage",'Таблиця 1'!$J:$J,"GBU-62")+SUMIFS('Таблиця 1'!$K:$K,'Таблиця 1'!$B:$B,$A540,'Таблиця 1'!$I:$I,"F-16",'Таблиця 1'!$J:$J,"GBU-62")+SUMIFS('Таблиця 1'!$K:$K,'Таблиця 1'!$B:$B,$A540,'Таблиця 1'!$I:$I,"МіГ-29",'Таблиця 1'!$J:$J,"GBU-62")+SUMIFS('Таблиця 1'!$K:$K,'Таблиця 1'!$B:$B,$A540,'Таблиця 1'!$I:$I,"Су-25",'Таблиця 1'!$J:$J,"GBU-62")+SUMIFS('Таблиця 1'!$K:$K,'Таблиця 1'!$B:$B,$A540,'Таблиця 1'!$I:$I,"Су-27",'Таблиця 1'!$J:$J,"GBU-62"))</f>
        <v/>
      </c>
      <c r="N540">
        <f>IF($A540="","",SUMIFS('Таблиця 1'!$K:$K,'Таблиця 1'!$B:$B,$A540,'Таблиця 1'!$I:$I,"Mirage",'Таблиця 1'!$J:$J,"GBU-64")+SUMIFS('Таблиця 1'!$K:$K,'Таблиця 1'!$B:$B,$A540,'Таблиця 1'!$I:$I,"F-16",'Таблиця 1'!$J:$J,"GBU-64")+SUMIFS('Таблиця 1'!$K:$K,'Таблиця 1'!$B:$B,$A540,'Таблиця 1'!$I:$I,"МіГ-29",'Таблиця 1'!$J:$J,"GBU-64")+SUMIFS('Таблиця 1'!$K:$K,'Таблиця 1'!$B:$B,$A540,'Таблиця 1'!$I:$I,"Су-25",'Таблиця 1'!$J:$J,"GBU-64")+SUMIFS('Таблиця 1'!$K:$K,'Таблиця 1'!$B:$B,$A540,'Таблиця 1'!$I:$I,"Су-27",'Таблиця 1'!$J:$J,"GBU-64"))</f>
        <v/>
      </c>
      <c r="O540">
        <f>IF($A540="","",SUMIFS('Таблиця 1'!$K:$K,'Таблиця 1'!$B:$B,$A540,'Таблиця 1'!$I:$I,"Mirage",'Таблиця 1'!$J:$J,"C-13")+SUMIFS('Таблиця 1'!$K:$K,'Таблиця 1'!$B:$B,$A540,'Таблиця 1'!$I:$I,"F-16",'Таблиця 1'!$J:$J,"C-13")+SUMIFS('Таблиця 1'!$K:$K,'Таблиця 1'!$B:$B,$A540,'Таблиця 1'!$I:$I,"МіГ-29",'Таблиця 1'!$J:$J,"C-13")+SUMIFS('Таблиця 1'!$K:$K,'Таблиця 1'!$B:$B,$A540,'Таблиця 1'!$I:$I,"Су-25",'Таблиця 1'!$J:$J,"C-13")+SUMIFS('Таблиця 1'!$K:$K,'Таблиця 1'!$B:$B,$A540,'Таблиця 1'!$I:$I,"Су-27",'Таблиця 1'!$J:$J,"C-13"))</f>
        <v/>
      </c>
      <c r="P540">
        <f>IF($A540="","",SUMIFS('Таблиця 1'!$K:$K,'Таблиця 1'!$B:$B,$A540,'Таблиця 1'!$I:$I,"Mirage",'Таблиця 1'!$J:$J,"MK-32")+SUMIFS('Таблиця 1'!$K:$K,'Таблиця 1'!$B:$B,$A540,'Таблиця 1'!$I:$I,"F-16",'Таблиця 1'!$J:$J,"MK-32")+SUMIFS('Таблиця 1'!$K:$K,'Таблиця 1'!$B:$B,$A540,'Таблиця 1'!$I:$I,"МіГ-29",'Таблиця 1'!$J:$J,"MK-32")+SUMIFS('Таблиця 1'!$K:$K,'Таблиця 1'!$B:$B,$A540,'Таблиця 1'!$I:$I,"Су-25",'Таблиця 1'!$J:$J,"MK-32")+SUMIFS('Таблиця 1'!$K:$K,'Таблиця 1'!$B:$B,$A540,'Таблиця 1'!$I:$I,"Су-27",'Таблиця 1'!$J:$J,"MK-32"))</f>
        <v/>
      </c>
      <c r="Q540">
        <f>IF($A540="","",SUMIFS('Таблиця 1'!$K:$K,'Таблиця 1'!$B:$B,$A540,'Таблиця 1'!$I:$I,"Mirage",'Таблиця 1'!$J:$J,"MK-24")+SUMIFS('Таблиця 1'!$K:$K,'Таблиця 1'!$B:$B,$A540,'Таблиця 1'!$I:$I,"F-16",'Таблиця 1'!$J:$J,"MK-24")+SUMIFS('Таблиця 1'!$K:$K,'Таблиця 1'!$B:$B,$A540,'Таблиця 1'!$I:$I,"МіГ-29",'Таблиця 1'!$J:$J,"MK-24")+SUMIFS('Таблиця 1'!$K:$K,'Таблиця 1'!$B:$B,$A540,'Таблиця 1'!$I:$I,"Су-25",'Таблиця 1'!$J:$J,"MK-24")+SUMIFS('Таблиця 1'!$K:$K,'Таблиця 1'!$B:$B,$A540,'Таблиця 1'!$I:$I,"Су-27",'Таблиця 1'!$J:$J,"MK-24"))</f>
        <v/>
      </c>
      <c r="R540">
        <f>IF($A540="","",COUNTIFS('Таблиця 1'!$B:$B,$A540,'Таблиця 1'!$I:$I,"Mirage",'Таблиця 1'!$L:$L,"Уражено")+COUNTIFS('Таблиця 1'!$B:$B,$A540,'Таблиця 1'!$I:$I,"F-16",'Таблиця 1'!$L:$L,"Уражено")+COUNTIFS('Таблиця 1'!$B:$B,$A540,'Таблиця 1'!$I:$I,"МіГ-29",'Таблиця 1'!$L:$L,"Уражено")+COUNTIFS('Таблиця 1'!$B:$B,$A540,'Таблиця 1'!$I:$I,"Су-25",'Таблиця 1'!$L:$L,"Уражено")+COUNTIFS('Таблиця 1'!$B:$B,$A540,'Таблиця 1'!$I:$I,"Су-27",'Таблиця 1'!$L:$L,"Уражено"))</f>
        <v/>
      </c>
      <c r="S540">
        <f>IF($A540="","",COUNTIFS('Таблиця 1'!$B:$B,$A540,'Таблиця 1'!$I:$I,"Mirage",'Таблиця 1'!$L:$L,"НЕ уражено")+COUNTIFS('Таблиця 1'!$B:$B,$A540,'Таблиця 1'!$I:$I,"F-16",'Таблиця 1'!$L:$L,"НЕ уражено")+COUNTIFS('Таблиця 1'!$B:$B,$A540,'Таблиця 1'!$I:$I,"МіГ-29",'Таблиця 1'!$L:$L,"НЕ уражено")+COUNTIFS('Таблиця 1'!$B:$B,$A540,'Таблиця 1'!$I:$I,"Су-25",'Таблиця 1'!$L:$L,"НЕ уражено")+COUNTIFS('Таблиця 1'!$B:$B,$A540,'Таблиця 1'!$I:$I,"Су-27",'Таблиця 1'!$L:$L,"НЕ уражено"))</f>
        <v/>
      </c>
      <c r="T540">
        <f>IF($A540="","",COUNTIFS('Таблиця 1'!$B:$B,$A540,'Таблиця 1'!$I:$I,"Mirage",'Таблиця 1'!$L:$L,"Дорозвідується")+COUNTIFS('Таблиця 1'!$B:$B,$A540,'Таблиця 1'!$I:$I,"F-16",'Таблиця 1'!$L:$L,"Дорозвідується")+COUNTIFS('Таблиця 1'!$B:$B,$A540,'Таблиця 1'!$I:$I,"МіГ-29",'Таблиця 1'!$L:$L,"Дорозвідується")+COUNTIFS('Таблиця 1'!$B:$B,$A540,'Таблиця 1'!$I:$I,"Су-25",'Таблиця 1'!$L:$L,"Дорозвідується")+COUNTIFS('Таблиця 1'!$B:$B,$A540,'Таблиця 1'!$I:$I,"Су-27",'Таблиця 1'!$L:$L,"Дорозвідується"))</f>
        <v/>
      </c>
    </row>
    <row r="541">
      <c r="A541" s="273">
        <f>IF(A540="","",IF(A540+1&gt;MAX('Таблиця 1'!$B:$B),"",A540+1))</f>
        <v/>
      </c>
      <c r="B541">
        <f>IF($A541="","",COUNTIFS('Таблиця 1'!$B:$B,$A541,'Таблиця 1'!$I:$I,"Mirage")+COUNTIFS('Таблиця 1'!$B:$B,$A541,'Таблиця 1'!$I:$I,"F-16")+COUNTIFS('Таблиця 1'!$B:$B,$A541,'Таблиця 1'!$I:$I,"МіГ-29")+COUNTIFS('Таблиця 1'!$B:$B,$A541,'Таблиця 1'!$I:$I,"Су-25")+COUNTIFS('Таблиця 1'!$B:$B,$A541,'Таблиця 1'!$I:$I,"Су-27"))</f>
        <v/>
      </c>
      <c r="C541">
        <f>IF($A541="","",COUNTIFS('Таблиця 1'!$B:$B,$A541,'Таблиця 1'!$I:$I,"Mirage"))</f>
        <v/>
      </c>
      <c r="D541">
        <f>IF($A541="","",COUNTIFS('Таблиця 1'!$B:$B,$A541,'Таблиця 1'!$I:$I,"F-16"))</f>
        <v/>
      </c>
      <c r="E541">
        <f>IF($A541="","",COUNTIFS('Таблиця 1'!$B:$B,$A541,'Таблиця 1'!$I:$I,"МіГ-29"))</f>
        <v/>
      </c>
      <c r="F541">
        <f>IF($A541="","",COUNTIFS('Таблиця 1'!$B:$B,$A541,'Таблиця 1'!$I:$I,"Су-25"))</f>
        <v/>
      </c>
      <c r="G541">
        <f>IF($A541="","",COUNTIFS('Таблиця 1'!$B:$B,$A541,'Таблиця 1'!$I:$I,"Су-27"))</f>
        <v/>
      </c>
      <c r="H541">
        <f>IF($A541="","",SUMIFS('Таблиця 1'!$K:$K,'Таблиця 1'!$B:$B,$A541,'Таблиця 1'!$I:$I,"Mirage",'Таблиця 1'!$J:$J,"AGM-88")+SUMIFS('Таблиця 1'!$K:$K,'Таблиця 1'!$B:$B,$A541,'Таблиця 1'!$I:$I,"F-16",'Таблиця 1'!$J:$J,"AGM-88")+SUMIFS('Таблиця 1'!$K:$K,'Таблиця 1'!$B:$B,$A541,'Таблиця 1'!$I:$I,"МіГ-29",'Таблиця 1'!$J:$J,"AGM-88")+SUMIFS('Таблиця 1'!$K:$K,'Таблиця 1'!$B:$B,$A541,'Таблиця 1'!$I:$I,"Су-25",'Таблиця 1'!$J:$J,"AGM-88")+SUMIFS('Таблиця 1'!$K:$K,'Таблиця 1'!$B:$B,$A541,'Таблиця 1'!$I:$I,"Су-27",'Таблиця 1'!$J:$J,"AGM-88"))</f>
        <v/>
      </c>
      <c r="I541">
        <f>IF($A541="","",SUMIFS('Таблиця 1'!$K:$K,'Таблиця 1'!$B:$B,$A541,'Таблиця 1'!$I:$I,"Mirage",'Таблиця 1'!$J:$J,"AASM-250")+SUMIFS('Таблиця 1'!$K:$K,'Таблиця 1'!$B:$B,$A541,'Таблиця 1'!$I:$I,"F-16",'Таблиця 1'!$J:$J,"AASM-250")+SUMIFS('Таблиця 1'!$K:$K,'Таблиця 1'!$B:$B,$A541,'Таблиця 1'!$I:$I,"МіГ-29",'Таблиця 1'!$J:$J,"AASM-250")+SUMIFS('Таблиця 1'!$K:$K,'Таблиця 1'!$B:$B,$A541,'Таблиця 1'!$I:$I,"Су-25",'Таблиця 1'!$J:$J,"AASM-250")+SUMIFS('Таблиця 1'!$K:$K,'Таблиця 1'!$B:$B,$A541,'Таблиця 1'!$I:$I,"Су-27",'Таблиця 1'!$J:$J,"AASM-250"))</f>
        <v/>
      </c>
      <c r="J541">
        <f>IF($A541="","",SUMIFS('Таблиця 1'!$K:$K,'Таблиця 1'!$B:$B,$A541,'Таблиця 1'!$I:$I,"Mirage",'Таблиця 1'!$J:$J,"GBU-39")+SUMIFS('Таблиця 1'!$K:$K,'Таблиця 1'!$B:$B,$A541,'Таблиця 1'!$I:$I,"F-16",'Таблиця 1'!$J:$J,"GBU-39")+SUMIFS('Таблиця 1'!$K:$K,'Таблиця 1'!$B:$B,$A541,'Таблиця 1'!$I:$I,"МіГ-29",'Таблиця 1'!$J:$J,"GBU-39")+SUMIFS('Таблиця 1'!$K:$K,'Таблиця 1'!$B:$B,$A541,'Таблиця 1'!$I:$I,"Су-25",'Таблиця 1'!$J:$J,"GBU-39")+SUMIFS('Таблиця 1'!$K:$K,'Таблиця 1'!$B:$B,$A541,'Таблиця 1'!$I:$I,"Су-27",'Таблиця 1'!$J:$J,"GBU-39"))</f>
        <v/>
      </c>
      <c r="K541">
        <f>IF($A541="","",SUMIFS('Таблиця 1'!$K:$K,'Таблиця 1'!$B:$B,$A541,'Таблиця 1'!$I:$I,"Mirage",'Таблиця 1'!$J:$J,"BLU-140")+SUMIFS('Таблиця 1'!$K:$K,'Таблиця 1'!$B:$B,$A541,'Таблиця 1'!$I:$I,"F-16",'Таблиця 1'!$J:$J,"BLU-140")+SUMIFS('Таблиця 1'!$K:$K,'Таблиця 1'!$B:$B,$A541,'Таблиця 1'!$I:$I,"МіГ-29",'Таблиця 1'!$J:$J,"BLU-140")+SUMIFS('Таблиця 1'!$K:$K,'Таблиця 1'!$B:$B,$A541,'Таблиця 1'!$I:$I,"Су-25",'Таблиця 1'!$J:$J,"BLU-140")+SUMIFS('Таблиця 1'!$K:$K,'Таблиця 1'!$B:$B,$A541,'Таблиця 1'!$I:$I,"Су-27",'Таблиця 1'!$J:$J,"BLU-140"))</f>
        <v/>
      </c>
      <c r="L541">
        <f>IF($A541="","",SUMIFS('Таблиця 1'!$K:$K,'Таблиця 1'!$B:$B,$A541,'Таблиця 1'!$I:$I,"Mirage",'Таблиця 1'!$J:$J,"GBU-65")+SUMIFS('Таблиця 1'!$K:$K,'Таблиця 1'!$B:$B,$A541,'Таблиця 1'!$I:$I,"F-16",'Таблиця 1'!$J:$J,"GBU-65")+SUMIFS('Таблиця 1'!$K:$K,'Таблиця 1'!$B:$B,$A541,'Таблиця 1'!$I:$I,"МіГ-29",'Таблиця 1'!$J:$J,"GBU-65")+SUMIFS('Таблиця 1'!$K:$K,'Таблиця 1'!$B:$B,$A541,'Таблиця 1'!$I:$I,"Су-25",'Таблиця 1'!$J:$J,"GBU-65")+SUMIFS('Таблиця 1'!$K:$K,'Таблиця 1'!$B:$B,$A541,'Таблиця 1'!$I:$I,"Су-27",'Таблиця 1'!$J:$J,"GBU-65"))</f>
        <v/>
      </c>
      <c r="M541">
        <f>IF($A541="","",SUMIFS('Таблиця 1'!$K:$K,'Таблиця 1'!$B:$B,$A541,'Таблиця 1'!$I:$I,"Mirage",'Таблиця 1'!$J:$J,"GBU-62")+SUMIFS('Таблиця 1'!$K:$K,'Таблиця 1'!$B:$B,$A541,'Таблиця 1'!$I:$I,"F-16",'Таблиця 1'!$J:$J,"GBU-62")+SUMIFS('Таблиця 1'!$K:$K,'Таблиця 1'!$B:$B,$A541,'Таблиця 1'!$I:$I,"МіГ-29",'Таблиця 1'!$J:$J,"GBU-62")+SUMIFS('Таблиця 1'!$K:$K,'Таблиця 1'!$B:$B,$A541,'Таблиця 1'!$I:$I,"Су-25",'Таблиця 1'!$J:$J,"GBU-62")+SUMIFS('Таблиця 1'!$K:$K,'Таблиця 1'!$B:$B,$A541,'Таблиця 1'!$I:$I,"Су-27",'Таблиця 1'!$J:$J,"GBU-62"))</f>
        <v/>
      </c>
      <c r="N541">
        <f>IF($A541="","",SUMIFS('Таблиця 1'!$K:$K,'Таблиця 1'!$B:$B,$A541,'Таблиця 1'!$I:$I,"Mirage",'Таблиця 1'!$J:$J,"GBU-64")+SUMIFS('Таблиця 1'!$K:$K,'Таблиця 1'!$B:$B,$A541,'Таблиця 1'!$I:$I,"F-16",'Таблиця 1'!$J:$J,"GBU-64")+SUMIFS('Таблиця 1'!$K:$K,'Таблиця 1'!$B:$B,$A541,'Таблиця 1'!$I:$I,"МіГ-29",'Таблиця 1'!$J:$J,"GBU-64")+SUMIFS('Таблиця 1'!$K:$K,'Таблиця 1'!$B:$B,$A541,'Таблиця 1'!$I:$I,"Су-25",'Таблиця 1'!$J:$J,"GBU-64")+SUMIFS('Таблиця 1'!$K:$K,'Таблиця 1'!$B:$B,$A541,'Таблиця 1'!$I:$I,"Су-27",'Таблиця 1'!$J:$J,"GBU-64"))</f>
        <v/>
      </c>
      <c r="O541">
        <f>IF($A541="","",SUMIFS('Таблиця 1'!$K:$K,'Таблиця 1'!$B:$B,$A541,'Таблиця 1'!$I:$I,"Mirage",'Таблиця 1'!$J:$J,"C-13")+SUMIFS('Таблиця 1'!$K:$K,'Таблиця 1'!$B:$B,$A541,'Таблиця 1'!$I:$I,"F-16",'Таблиця 1'!$J:$J,"C-13")+SUMIFS('Таблиця 1'!$K:$K,'Таблиця 1'!$B:$B,$A541,'Таблиця 1'!$I:$I,"МіГ-29",'Таблиця 1'!$J:$J,"C-13")+SUMIFS('Таблиця 1'!$K:$K,'Таблиця 1'!$B:$B,$A541,'Таблиця 1'!$I:$I,"Су-25",'Таблиця 1'!$J:$J,"C-13")+SUMIFS('Таблиця 1'!$K:$K,'Таблиця 1'!$B:$B,$A541,'Таблиця 1'!$I:$I,"Су-27",'Таблиця 1'!$J:$J,"C-13"))</f>
        <v/>
      </c>
      <c r="P541">
        <f>IF($A541="","",SUMIFS('Таблиця 1'!$K:$K,'Таблиця 1'!$B:$B,$A541,'Таблиця 1'!$I:$I,"Mirage",'Таблиця 1'!$J:$J,"MK-32")+SUMIFS('Таблиця 1'!$K:$K,'Таблиця 1'!$B:$B,$A541,'Таблиця 1'!$I:$I,"F-16",'Таблиця 1'!$J:$J,"MK-32")+SUMIFS('Таблиця 1'!$K:$K,'Таблиця 1'!$B:$B,$A541,'Таблиця 1'!$I:$I,"МіГ-29",'Таблиця 1'!$J:$J,"MK-32")+SUMIFS('Таблиця 1'!$K:$K,'Таблиця 1'!$B:$B,$A541,'Таблиця 1'!$I:$I,"Су-25",'Таблиця 1'!$J:$J,"MK-32")+SUMIFS('Таблиця 1'!$K:$K,'Таблиця 1'!$B:$B,$A541,'Таблиця 1'!$I:$I,"Су-27",'Таблиця 1'!$J:$J,"MK-32"))</f>
        <v/>
      </c>
      <c r="Q541">
        <f>IF($A541="","",SUMIFS('Таблиця 1'!$K:$K,'Таблиця 1'!$B:$B,$A541,'Таблиця 1'!$I:$I,"Mirage",'Таблиця 1'!$J:$J,"MK-24")+SUMIFS('Таблиця 1'!$K:$K,'Таблиця 1'!$B:$B,$A541,'Таблиця 1'!$I:$I,"F-16",'Таблиця 1'!$J:$J,"MK-24")+SUMIFS('Таблиця 1'!$K:$K,'Таблиця 1'!$B:$B,$A541,'Таблиця 1'!$I:$I,"МіГ-29",'Таблиця 1'!$J:$J,"MK-24")+SUMIFS('Таблиця 1'!$K:$K,'Таблиця 1'!$B:$B,$A541,'Таблиця 1'!$I:$I,"Су-25",'Таблиця 1'!$J:$J,"MK-24")+SUMIFS('Таблиця 1'!$K:$K,'Таблиця 1'!$B:$B,$A541,'Таблиця 1'!$I:$I,"Су-27",'Таблиця 1'!$J:$J,"MK-24"))</f>
        <v/>
      </c>
      <c r="R541">
        <f>IF($A541="","",COUNTIFS('Таблиця 1'!$B:$B,$A541,'Таблиця 1'!$I:$I,"Mirage",'Таблиця 1'!$L:$L,"Уражено")+COUNTIFS('Таблиця 1'!$B:$B,$A541,'Таблиця 1'!$I:$I,"F-16",'Таблиця 1'!$L:$L,"Уражено")+COUNTIFS('Таблиця 1'!$B:$B,$A541,'Таблиця 1'!$I:$I,"МіГ-29",'Таблиця 1'!$L:$L,"Уражено")+COUNTIFS('Таблиця 1'!$B:$B,$A541,'Таблиця 1'!$I:$I,"Су-25",'Таблиця 1'!$L:$L,"Уражено")+COUNTIFS('Таблиця 1'!$B:$B,$A541,'Таблиця 1'!$I:$I,"Су-27",'Таблиця 1'!$L:$L,"Уражено"))</f>
        <v/>
      </c>
      <c r="S541">
        <f>IF($A541="","",COUNTIFS('Таблиця 1'!$B:$B,$A541,'Таблиця 1'!$I:$I,"Mirage",'Таблиця 1'!$L:$L,"НЕ уражено")+COUNTIFS('Таблиця 1'!$B:$B,$A541,'Таблиця 1'!$I:$I,"F-16",'Таблиця 1'!$L:$L,"НЕ уражено")+COUNTIFS('Таблиця 1'!$B:$B,$A541,'Таблиця 1'!$I:$I,"МіГ-29",'Таблиця 1'!$L:$L,"НЕ уражено")+COUNTIFS('Таблиця 1'!$B:$B,$A541,'Таблиця 1'!$I:$I,"Су-25",'Таблиця 1'!$L:$L,"НЕ уражено")+COUNTIFS('Таблиця 1'!$B:$B,$A541,'Таблиця 1'!$I:$I,"Су-27",'Таблиця 1'!$L:$L,"НЕ уражено"))</f>
        <v/>
      </c>
      <c r="T541">
        <f>IF($A541="","",COUNTIFS('Таблиця 1'!$B:$B,$A541,'Таблиця 1'!$I:$I,"Mirage",'Таблиця 1'!$L:$L,"Дорозвідується")+COUNTIFS('Таблиця 1'!$B:$B,$A541,'Таблиця 1'!$I:$I,"F-16",'Таблиця 1'!$L:$L,"Дорозвідується")+COUNTIFS('Таблиця 1'!$B:$B,$A541,'Таблиця 1'!$I:$I,"МіГ-29",'Таблиця 1'!$L:$L,"Дорозвідується")+COUNTIFS('Таблиця 1'!$B:$B,$A541,'Таблиця 1'!$I:$I,"Су-25",'Таблиця 1'!$L:$L,"Дорозвідується")+COUNTIFS('Таблиця 1'!$B:$B,$A541,'Таблиця 1'!$I:$I,"Су-27",'Таблиця 1'!$L:$L,"Дорозвідується"))</f>
        <v/>
      </c>
    </row>
    <row r="542">
      <c r="A542" s="273">
        <f>IF(A541="","",IF(A541+1&gt;MAX('Таблиця 1'!$B:$B),"",A541+1))</f>
        <v/>
      </c>
      <c r="B542">
        <f>IF($A542="","",COUNTIFS('Таблиця 1'!$B:$B,$A542,'Таблиця 1'!$I:$I,"Mirage")+COUNTIFS('Таблиця 1'!$B:$B,$A542,'Таблиця 1'!$I:$I,"F-16")+COUNTIFS('Таблиця 1'!$B:$B,$A542,'Таблиця 1'!$I:$I,"МіГ-29")+COUNTIFS('Таблиця 1'!$B:$B,$A542,'Таблиця 1'!$I:$I,"Су-25")+COUNTIFS('Таблиця 1'!$B:$B,$A542,'Таблиця 1'!$I:$I,"Су-27"))</f>
        <v/>
      </c>
      <c r="C542">
        <f>IF($A542="","",COUNTIFS('Таблиця 1'!$B:$B,$A542,'Таблиця 1'!$I:$I,"Mirage"))</f>
        <v/>
      </c>
      <c r="D542">
        <f>IF($A542="","",COUNTIFS('Таблиця 1'!$B:$B,$A542,'Таблиця 1'!$I:$I,"F-16"))</f>
        <v/>
      </c>
      <c r="E542">
        <f>IF($A542="","",COUNTIFS('Таблиця 1'!$B:$B,$A542,'Таблиця 1'!$I:$I,"МіГ-29"))</f>
        <v/>
      </c>
      <c r="F542">
        <f>IF($A542="","",COUNTIFS('Таблиця 1'!$B:$B,$A542,'Таблиця 1'!$I:$I,"Су-25"))</f>
        <v/>
      </c>
      <c r="G542">
        <f>IF($A542="","",COUNTIFS('Таблиця 1'!$B:$B,$A542,'Таблиця 1'!$I:$I,"Су-27"))</f>
        <v/>
      </c>
      <c r="H542">
        <f>IF($A542="","",SUMIFS('Таблиця 1'!$K:$K,'Таблиця 1'!$B:$B,$A542,'Таблиця 1'!$I:$I,"Mirage",'Таблиця 1'!$J:$J,"AGM-88")+SUMIFS('Таблиця 1'!$K:$K,'Таблиця 1'!$B:$B,$A542,'Таблиця 1'!$I:$I,"F-16",'Таблиця 1'!$J:$J,"AGM-88")+SUMIFS('Таблиця 1'!$K:$K,'Таблиця 1'!$B:$B,$A542,'Таблиця 1'!$I:$I,"МіГ-29",'Таблиця 1'!$J:$J,"AGM-88")+SUMIFS('Таблиця 1'!$K:$K,'Таблиця 1'!$B:$B,$A542,'Таблиця 1'!$I:$I,"Су-25",'Таблиця 1'!$J:$J,"AGM-88")+SUMIFS('Таблиця 1'!$K:$K,'Таблиця 1'!$B:$B,$A542,'Таблиця 1'!$I:$I,"Су-27",'Таблиця 1'!$J:$J,"AGM-88"))</f>
        <v/>
      </c>
      <c r="I542">
        <f>IF($A542="","",SUMIFS('Таблиця 1'!$K:$K,'Таблиця 1'!$B:$B,$A542,'Таблиця 1'!$I:$I,"Mirage",'Таблиця 1'!$J:$J,"AASM-250")+SUMIFS('Таблиця 1'!$K:$K,'Таблиця 1'!$B:$B,$A542,'Таблиця 1'!$I:$I,"F-16",'Таблиця 1'!$J:$J,"AASM-250")+SUMIFS('Таблиця 1'!$K:$K,'Таблиця 1'!$B:$B,$A542,'Таблиця 1'!$I:$I,"МіГ-29",'Таблиця 1'!$J:$J,"AASM-250")+SUMIFS('Таблиця 1'!$K:$K,'Таблиця 1'!$B:$B,$A542,'Таблиця 1'!$I:$I,"Су-25",'Таблиця 1'!$J:$J,"AASM-250")+SUMIFS('Таблиця 1'!$K:$K,'Таблиця 1'!$B:$B,$A542,'Таблиця 1'!$I:$I,"Су-27",'Таблиця 1'!$J:$J,"AASM-250"))</f>
        <v/>
      </c>
      <c r="J542">
        <f>IF($A542="","",SUMIFS('Таблиця 1'!$K:$K,'Таблиця 1'!$B:$B,$A542,'Таблиця 1'!$I:$I,"Mirage",'Таблиця 1'!$J:$J,"GBU-39")+SUMIFS('Таблиця 1'!$K:$K,'Таблиця 1'!$B:$B,$A542,'Таблиця 1'!$I:$I,"F-16",'Таблиця 1'!$J:$J,"GBU-39")+SUMIFS('Таблиця 1'!$K:$K,'Таблиця 1'!$B:$B,$A542,'Таблиця 1'!$I:$I,"МіГ-29",'Таблиця 1'!$J:$J,"GBU-39")+SUMIFS('Таблиця 1'!$K:$K,'Таблиця 1'!$B:$B,$A542,'Таблиця 1'!$I:$I,"Су-25",'Таблиця 1'!$J:$J,"GBU-39")+SUMIFS('Таблиця 1'!$K:$K,'Таблиця 1'!$B:$B,$A542,'Таблиця 1'!$I:$I,"Су-27",'Таблиця 1'!$J:$J,"GBU-39"))</f>
        <v/>
      </c>
      <c r="K542">
        <f>IF($A542="","",SUMIFS('Таблиця 1'!$K:$K,'Таблиця 1'!$B:$B,$A542,'Таблиця 1'!$I:$I,"Mirage",'Таблиця 1'!$J:$J,"BLU-140")+SUMIFS('Таблиця 1'!$K:$K,'Таблиця 1'!$B:$B,$A542,'Таблиця 1'!$I:$I,"F-16",'Таблиця 1'!$J:$J,"BLU-140")+SUMIFS('Таблиця 1'!$K:$K,'Таблиця 1'!$B:$B,$A542,'Таблиця 1'!$I:$I,"МіГ-29",'Таблиця 1'!$J:$J,"BLU-140")+SUMIFS('Таблиця 1'!$K:$K,'Таблиця 1'!$B:$B,$A542,'Таблиця 1'!$I:$I,"Су-25",'Таблиця 1'!$J:$J,"BLU-140")+SUMIFS('Таблиця 1'!$K:$K,'Таблиця 1'!$B:$B,$A542,'Таблиця 1'!$I:$I,"Су-27",'Таблиця 1'!$J:$J,"BLU-140"))</f>
        <v/>
      </c>
      <c r="L542">
        <f>IF($A542="","",SUMIFS('Таблиця 1'!$K:$K,'Таблиця 1'!$B:$B,$A542,'Таблиця 1'!$I:$I,"Mirage",'Таблиця 1'!$J:$J,"GBU-65")+SUMIFS('Таблиця 1'!$K:$K,'Таблиця 1'!$B:$B,$A542,'Таблиця 1'!$I:$I,"F-16",'Таблиця 1'!$J:$J,"GBU-65")+SUMIFS('Таблиця 1'!$K:$K,'Таблиця 1'!$B:$B,$A542,'Таблиця 1'!$I:$I,"МіГ-29",'Таблиця 1'!$J:$J,"GBU-65")+SUMIFS('Таблиця 1'!$K:$K,'Таблиця 1'!$B:$B,$A542,'Таблиця 1'!$I:$I,"Су-25",'Таблиця 1'!$J:$J,"GBU-65")+SUMIFS('Таблиця 1'!$K:$K,'Таблиця 1'!$B:$B,$A542,'Таблиця 1'!$I:$I,"Су-27",'Таблиця 1'!$J:$J,"GBU-65"))</f>
        <v/>
      </c>
      <c r="M542">
        <f>IF($A542="","",SUMIFS('Таблиця 1'!$K:$K,'Таблиця 1'!$B:$B,$A542,'Таблиця 1'!$I:$I,"Mirage",'Таблиця 1'!$J:$J,"GBU-62")+SUMIFS('Таблиця 1'!$K:$K,'Таблиця 1'!$B:$B,$A542,'Таблиця 1'!$I:$I,"F-16",'Таблиця 1'!$J:$J,"GBU-62")+SUMIFS('Таблиця 1'!$K:$K,'Таблиця 1'!$B:$B,$A542,'Таблиця 1'!$I:$I,"МіГ-29",'Таблиця 1'!$J:$J,"GBU-62")+SUMIFS('Таблиця 1'!$K:$K,'Таблиця 1'!$B:$B,$A542,'Таблиця 1'!$I:$I,"Су-25",'Таблиця 1'!$J:$J,"GBU-62")+SUMIFS('Таблиця 1'!$K:$K,'Таблиця 1'!$B:$B,$A542,'Таблиця 1'!$I:$I,"Су-27",'Таблиця 1'!$J:$J,"GBU-62"))</f>
        <v/>
      </c>
      <c r="N542">
        <f>IF($A542="","",SUMIFS('Таблиця 1'!$K:$K,'Таблиця 1'!$B:$B,$A542,'Таблиця 1'!$I:$I,"Mirage",'Таблиця 1'!$J:$J,"GBU-64")+SUMIFS('Таблиця 1'!$K:$K,'Таблиця 1'!$B:$B,$A542,'Таблиця 1'!$I:$I,"F-16",'Таблиця 1'!$J:$J,"GBU-64")+SUMIFS('Таблиця 1'!$K:$K,'Таблиця 1'!$B:$B,$A542,'Таблиця 1'!$I:$I,"МіГ-29",'Таблиця 1'!$J:$J,"GBU-64")+SUMIFS('Таблиця 1'!$K:$K,'Таблиця 1'!$B:$B,$A542,'Таблиця 1'!$I:$I,"Су-25",'Таблиця 1'!$J:$J,"GBU-64")+SUMIFS('Таблиця 1'!$K:$K,'Таблиця 1'!$B:$B,$A542,'Таблиця 1'!$I:$I,"Су-27",'Таблиця 1'!$J:$J,"GBU-64"))</f>
        <v/>
      </c>
      <c r="O542">
        <f>IF($A542="","",SUMIFS('Таблиця 1'!$K:$K,'Таблиця 1'!$B:$B,$A542,'Таблиця 1'!$I:$I,"Mirage",'Таблиця 1'!$J:$J,"C-13")+SUMIFS('Таблиця 1'!$K:$K,'Таблиця 1'!$B:$B,$A542,'Таблиця 1'!$I:$I,"F-16",'Таблиця 1'!$J:$J,"C-13")+SUMIFS('Таблиця 1'!$K:$K,'Таблиця 1'!$B:$B,$A542,'Таблиця 1'!$I:$I,"МіГ-29",'Таблиця 1'!$J:$J,"C-13")+SUMIFS('Таблиця 1'!$K:$K,'Таблиця 1'!$B:$B,$A542,'Таблиця 1'!$I:$I,"Су-25",'Таблиця 1'!$J:$J,"C-13")+SUMIFS('Таблиця 1'!$K:$K,'Таблиця 1'!$B:$B,$A542,'Таблиця 1'!$I:$I,"Су-27",'Таблиця 1'!$J:$J,"C-13"))</f>
        <v/>
      </c>
      <c r="P542">
        <f>IF($A542="","",SUMIFS('Таблиця 1'!$K:$K,'Таблиця 1'!$B:$B,$A542,'Таблиця 1'!$I:$I,"Mirage",'Таблиця 1'!$J:$J,"MK-32")+SUMIFS('Таблиця 1'!$K:$K,'Таблиця 1'!$B:$B,$A542,'Таблиця 1'!$I:$I,"F-16",'Таблиця 1'!$J:$J,"MK-32")+SUMIFS('Таблиця 1'!$K:$K,'Таблиця 1'!$B:$B,$A542,'Таблиця 1'!$I:$I,"МіГ-29",'Таблиця 1'!$J:$J,"MK-32")+SUMIFS('Таблиця 1'!$K:$K,'Таблиця 1'!$B:$B,$A542,'Таблиця 1'!$I:$I,"Су-25",'Таблиця 1'!$J:$J,"MK-32")+SUMIFS('Таблиця 1'!$K:$K,'Таблиця 1'!$B:$B,$A542,'Таблиця 1'!$I:$I,"Су-27",'Таблиця 1'!$J:$J,"MK-32"))</f>
        <v/>
      </c>
      <c r="Q542">
        <f>IF($A542="","",SUMIFS('Таблиця 1'!$K:$K,'Таблиця 1'!$B:$B,$A542,'Таблиця 1'!$I:$I,"Mirage",'Таблиця 1'!$J:$J,"MK-24")+SUMIFS('Таблиця 1'!$K:$K,'Таблиця 1'!$B:$B,$A542,'Таблиця 1'!$I:$I,"F-16",'Таблиця 1'!$J:$J,"MK-24")+SUMIFS('Таблиця 1'!$K:$K,'Таблиця 1'!$B:$B,$A542,'Таблиця 1'!$I:$I,"МіГ-29",'Таблиця 1'!$J:$J,"MK-24")+SUMIFS('Таблиця 1'!$K:$K,'Таблиця 1'!$B:$B,$A542,'Таблиця 1'!$I:$I,"Су-25",'Таблиця 1'!$J:$J,"MK-24")+SUMIFS('Таблиця 1'!$K:$K,'Таблиця 1'!$B:$B,$A542,'Таблиця 1'!$I:$I,"Су-27",'Таблиця 1'!$J:$J,"MK-24"))</f>
        <v/>
      </c>
      <c r="R542">
        <f>IF($A542="","",COUNTIFS('Таблиця 1'!$B:$B,$A542,'Таблиця 1'!$I:$I,"Mirage",'Таблиця 1'!$L:$L,"Уражено")+COUNTIFS('Таблиця 1'!$B:$B,$A542,'Таблиця 1'!$I:$I,"F-16",'Таблиця 1'!$L:$L,"Уражено")+COUNTIFS('Таблиця 1'!$B:$B,$A542,'Таблиця 1'!$I:$I,"МіГ-29",'Таблиця 1'!$L:$L,"Уражено")+COUNTIFS('Таблиця 1'!$B:$B,$A542,'Таблиця 1'!$I:$I,"Су-25",'Таблиця 1'!$L:$L,"Уражено")+COUNTIFS('Таблиця 1'!$B:$B,$A542,'Таблиця 1'!$I:$I,"Су-27",'Таблиця 1'!$L:$L,"Уражено"))</f>
        <v/>
      </c>
      <c r="S542">
        <f>IF($A542="","",COUNTIFS('Таблиця 1'!$B:$B,$A542,'Таблиця 1'!$I:$I,"Mirage",'Таблиця 1'!$L:$L,"НЕ уражено")+COUNTIFS('Таблиця 1'!$B:$B,$A542,'Таблиця 1'!$I:$I,"F-16",'Таблиця 1'!$L:$L,"НЕ уражено")+COUNTIFS('Таблиця 1'!$B:$B,$A542,'Таблиця 1'!$I:$I,"МіГ-29",'Таблиця 1'!$L:$L,"НЕ уражено")+COUNTIFS('Таблиця 1'!$B:$B,$A542,'Таблиця 1'!$I:$I,"Су-25",'Таблиця 1'!$L:$L,"НЕ уражено")+COUNTIFS('Таблиця 1'!$B:$B,$A542,'Таблиця 1'!$I:$I,"Су-27",'Таблиця 1'!$L:$L,"НЕ уражено"))</f>
        <v/>
      </c>
      <c r="T542">
        <f>IF($A542="","",COUNTIFS('Таблиця 1'!$B:$B,$A542,'Таблиця 1'!$I:$I,"Mirage",'Таблиця 1'!$L:$L,"Дорозвідується")+COUNTIFS('Таблиця 1'!$B:$B,$A542,'Таблиця 1'!$I:$I,"F-16",'Таблиця 1'!$L:$L,"Дорозвідується")+COUNTIFS('Таблиця 1'!$B:$B,$A542,'Таблиця 1'!$I:$I,"МіГ-29",'Таблиця 1'!$L:$L,"Дорозвідується")+COUNTIFS('Таблиця 1'!$B:$B,$A542,'Таблиця 1'!$I:$I,"Су-25",'Таблиця 1'!$L:$L,"Дорозвідується")+COUNTIFS('Таблиця 1'!$B:$B,$A542,'Таблиця 1'!$I:$I,"Су-27",'Таблиця 1'!$L:$L,"Дорозвідується"))</f>
        <v/>
      </c>
    </row>
    <row r="543">
      <c r="A543" s="273">
        <f>IF(A542="","",IF(A542+1&gt;MAX('Таблиця 1'!$B:$B),"",A542+1))</f>
        <v/>
      </c>
      <c r="B543">
        <f>IF($A543="","",COUNTIFS('Таблиця 1'!$B:$B,$A543,'Таблиця 1'!$I:$I,"Mirage")+COUNTIFS('Таблиця 1'!$B:$B,$A543,'Таблиця 1'!$I:$I,"F-16")+COUNTIFS('Таблиця 1'!$B:$B,$A543,'Таблиця 1'!$I:$I,"МіГ-29")+COUNTIFS('Таблиця 1'!$B:$B,$A543,'Таблиця 1'!$I:$I,"Су-25")+COUNTIFS('Таблиця 1'!$B:$B,$A543,'Таблиця 1'!$I:$I,"Су-27"))</f>
        <v/>
      </c>
      <c r="C543">
        <f>IF($A543="","",COUNTIFS('Таблиця 1'!$B:$B,$A543,'Таблиця 1'!$I:$I,"Mirage"))</f>
        <v/>
      </c>
      <c r="D543">
        <f>IF($A543="","",COUNTIFS('Таблиця 1'!$B:$B,$A543,'Таблиця 1'!$I:$I,"F-16"))</f>
        <v/>
      </c>
      <c r="E543">
        <f>IF($A543="","",COUNTIFS('Таблиця 1'!$B:$B,$A543,'Таблиця 1'!$I:$I,"МіГ-29"))</f>
        <v/>
      </c>
      <c r="F543">
        <f>IF($A543="","",COUNTIFS('Таблиця 1'!$B:$B,$A543,'Таблиця 1'!$I:$I,"Су-25"))</f>
        <v/>
      </c>
      <c r="G543">
        <f>IF($A543="","",COUNTIFS('Таблиця 1'!$B:$B,$A543,'Таблиця 1'!$I:$I,"Су-27"))</f>
        <v/>
      </c>
      <c r="H543">
        <f>IF($A543="","",SUMIFS('Таблиця 1'!$K:$K,'Таблиця 1'!$B:$B,$A543,'Таблиця 1'!$I:$I,"Mirage",'Таблиця 1'!$J:$J,"AGM-88")+SUMIFS('Таблиця 1'!$K:$K,'Таблиця 1'!$B:$B,$A543,'Таблиця 1'!$I:$I,"F-16",'Таблиця 1'!$J:$J,"AGM-88")+SUMIFS('Таблиця 1'!$K:$K,'Таблиця 1'!$B:$B,$A543,'Таблиця 1'!$I:$I,"МіГ-29",'Таблиця 1'!$J:$J,"AGM-88")+SUMIFS('Таблиця 1'!$K:$K,'Таблиця 1'!$B:$B,$A543,'Таблиця 1'!$I:$I,"Су-25",'Таблиця 1'!$J:$J,"AGM-88")+SUMIFS('Таблиця 1'!$K:$K,'Таблиця 1'!$B:$B,$A543,'Таблиця 1'!$I:$I,"Су-27",'Таблиця 1'!$J:$J,"AGM-88"))</f>
        <v/>
      </c>
      <c r="I543">
        <f>IF($A543="","",SUMIFS('Таблиця 1'!$K:$K,'Таблиця 1'!$B:$B,$A543,'Таблиця 1'!$I:$I,"Mirage",'Таблиця 1'!$J:$J,"AASM-250")+SUMIFS('Таблиця 1'!$K:$K,'Таблиця 1'!$B:$B,$A543,'Таблиця 1'!$I:$I,"F-16",'Таблиця 1'!$J:$J,"AASM-250")+SUMIFS('Таблиця 1'!$K:$K,'Таблиця 1'!$B:$B,$A543,'Таблиця 1'!$I:$I,"МіГ-29",'Таблиця 1'!$J:$J,"AASM-250")+SUMIFS('Таблиця 1'!$K:$K,'Таблиця 1'!$B:$B,$A543,'Таблиця 1'!$I:$I,"Су-25",'Таблиця 1'!$J:$J,"AASM-250")+SUMIFS('Таблиця 1'!$K:$K,'Таблиця 1'!$B:$B,$A543,'Таблиця 1'!$I:$I,"Су-27",'Таблиця 1'!$J:$J,"AASM-250"))</f>
        <v/>
      </c>
      <c r="J543">
        <f>IF($A543="","",SUMIFS('Таблиця 1'!$K:$K,'Таблиця 1'!$B:$B,$A543,'Таблиця 1'!$I:$I,"Mirage",'Таблиця 1'!$J:$J,"GBU-39")+SUMIFS('Таблиця 1'!$K:$K,'Таблиця 1'!$B:$B,$A543,'Таблиця 1'!$I:$I,"F-16",'Таблиця 1'!$J:$J,"GBU-39")+SUMIFS('Таблиця 1'!$K:$K,'Таблиця 1'!$B:$B,$A543,'Таблиця 1'!$I:$I,"МіГ-29",'Таблиця 1'!$J:$J,"GBU-39")+SUMIFS('Таблиця 1'!$K:$K,'Таблиця 1'!$B:$B,$A543,'Таблиця 1'!$I:$I,"Су-25",'Таблиця 1'!$J:$J,"GBU-39")+SUMIFS('Таблиця 1'!$K:$K,'Таблиця 1'!$B:$B,$A543,'Таблиця 1'!$I:$I,"Су-27",'Таблиця 1'!$J:$J,"GBU-39"))</f>
        <v/>
      </c>
      <c r="K543">
        <f>IF($A543="","",SUMIFS('Таблиця 1'!$K:$K,'Таблиця 1'!$B:$B,$A543,'Таблиця 1'!$I:$I,"Mirage",'Таблиця 1'!$J:$J,"BLU-140")+SUMIFS('Таблиця 1'!$K:$K,'Таблиця 1'!$B:$B,$A543,'Таблиця 1'!$I:$I,"F-16",'Таблиця 1'!$J:$J,"BLU-140")+SUMIFS('Таблиця 1'!$K:$K,'Таблиця 1'!$B:$B,$A543,'Таблиця 1'!$I:$I,"МіГ-29",'Таблиця 1'!$J:$J,"BLU-140")+SUMIFS('Таблиця 1'!$K:$K,'Таблиця 1'!$B:$B,$A543,'Таблиця 1'!$I:$I,"Су-25",'Таблиця 1'!$J:$J,"BLU-140")+SUMIFS('Таблиця 1'!$K:$K,'Таблиця 1'!$B:$B,$A543,'Таблиця 1'!$I:$I,"Су-27",'Таблиця 1'!$J:$J,"BLU-140"))</f>
        <v/>
      </c>
      <c r="L543">
        <f>IF($A543="","",SUMIFS('Таблиця 1'!$K:$K,'Таблиця 1'!$B:$B,$A543,'Таблиця 1'!$I:$I,"Mirage",'Таблиця 1'!$J:$J,"GBU-65")+SUMIFS('Таблиця 1'!$K:$K,'Таблиця 1'!$B:$B,$A543,'Таблиця 1'!$I:$I,"F-16",'Таблиця 1'!$J:$J,"GBU-65")+SUMIFS('Таблиця 1'!$K:$K,'Таблиця 1'!$B:$B,$A543,'Таблиця 1'!$I:$I,"МіГ-29",'Таблиця 1'!$J:$J,"GBU-65")+SUMIFS('Таблиця 1'!$K:$K,'Таблиця 1'!$B:$B,$A543,'Таблиця 1'!$I:$I,"Су-25",'Таблиця 1'!$J:$J,"GBU-65")+SUMIFS('Таблиця 1'!$K:$K,'Таблиця 1'!$B:$B,$A543,'Таблиця 1'!$I:$I,"Су-27",'Таблиця 1'!$J:$J,"GBU-65"))</f>
        <v/>
      </c>
      <c r="M543">
        <f>IF($A543="","",SUMIFS('Таблиця 1'!$K:$K,'Таблиця 1'!$B:$B,$A543,'Таблиця 1'!$I:$I,"Mirage",'Таблиця 1'!$J:$J,"GBU-62")+SUMIFS('Таблиця 1'!$K:$K,'Таблиця 1'!$B:$B,$A543,'Таблиця 1'!$I:$I,"F-16",'Таблиця 1'!$J:$J,"GBU-62")+SUMIFS('Таблиця 1'!$K:$K,'Таблиця 1'!$B:$B,$A543,'Таблиця 1'!$I:$I,"МіГ-29",'Таблиця 1'!$J:$J,"GBU-62")+SUMIFS('Таблиця 1'!$K:$K,'Таблиця 1'!$B:$B,$A543,'Таблиця 1'!$I:$I,"Су-25",'Таблиця 1'!$J:$J,"GBU-62")+SUMIFS('Таблиця 1'!$K:$K,'Таблиця 1'!$B:$B,$A543,'Таблиця 1'!$I:$I,"Су-27",'Таблиця 1'!$J:$J,"GBU-62"))</f>
        <v/>
      </c>
      <c r="N543">
        <f>IF($A543="","",SUMIFS('Таблиця 1'!$K:$K,'Таблиця 1'!$B:$B,$A543,'Таблиця 1'!$I:$I,"Mirage",'Таблиця 1'!$J:$J,"GBU-64")+SUMIFS('Таблиця 1'!$K:$K,'Таблиця 1'!$B:$B,$A543,'Таблиця 1'!$I:$I,"F-16",'Таблиця 1'!$J:$J,"GBU-64")+SUMIFS('Таблиця 1'!$K:$K,'Таблиця 1'!$B:$B,$A543,'Таблиця 1'!$I:$I,"МіГ-29",'Таблиця 1'!$J:$J,"GBU-64")+SUMIFS('Таблиця 1'!$K:$K,'Таблиця 1'!$B:$B,$A543,'Таблиця 1'!$I:$I,"Су-25",'Таблиця 1'!$J:$J,"GBU-64")+SUMIFS('Таблиця 1'!$K:$K,'Таблиця 1'!$B:$B,$A543,'Таблиця 1'!$I:$I,"Су-27",'Таблиця 1'!$J:$J,"GBU-64"))</f>
        <v/>
      </c>
      <c r="O543">
        <f>IF($A543="","",SUMIFS('Таблиця 1'!$K:$K,'Таблиця 1'!$B:$B,$A543,'Таблиця 1'!$I:$I,"Mirage",'Таблиця 1'!$J:$J,"C-13")+SUMIFS('Таблиця 1'!$K:$K,'Таблиця 1'!$B:$B,$A543,'Таблиця 1'!$I:$I,"F-16",'Таблиця 1'!$J:$J,"C-13")+SUMIFS('Таблиця 1'!$K:$K,'Таблиця 1'!$B:$B,$A543,'Таблиця 1'!$I:$I,"МіГ-29",'Таблиця 1'!$J:$J,"C-13")+SUMIFS('Таблиця 1'!$K:$K,'Таблиця 1'!$B:$B,$A543,'Таблиця 1'!$I:$I,"Су-25",'Таблиця 1'!$J:$J,"C-13")+SUMIFS('Таблиця 1'!$K:$K,'Таблиця 1'!$B:$B,$A543,'Таблиця 1'!$I:$I,"Су-27",'Таблиця 1'!$J:$J,"C-13"))</f>
        <v/>
      </c>
      <c r="P543">
        <f>IF($A543="","",SUMIFS('Таблиця 1'!$K:$K,'Таблиця 1'!$B:$B,$A543,'Таблиця 1'!$I:$I,"Mirage",'Таблиця 1'!$J:$J,"MK-32")+SUMIFS('Таблиця 1'!$K:$K,'Таблиця 1'!$B:$B,$A543,'Таблиця 1'!$I:$I,"F-16",'Таблиця 1'!$J:$J,"MK-32")+SUMIFS('Таблиця 1'!$K:$K,'Таблиця 1'!$B:$B,$A543,'Таблиця 1'!$I:$I,"МіГ-29",'Таблиця 1'!$J:$J,"MK-32")+SUMIFS('Таблиця 1'!$K:$K,'Таблиця 1'!$B:$B,$A543,'Таблиця 1'!$I:$I,"Су-25",'Таблиця 1'!$J:$J,"MK-32")+SUMIFS('Таблиця 1'!$K:$K,'Таблиця 1'!$B:$B,$A543,'Таблиця 1'!$I:$I,"Су-27",'Таблиця 1'!$J:$J,"MK-32"))</f>
        <v/>
      </c>
      <c r="Q543">
        <f>IF($A543="","",SUMIFS('Таблиця 1'!$K:$K,'Таблиця 1'!$B:$B,$A543,'Таблиця 1'!$I:$I,"Mirage",'Таблиця 1'!$J:$J,"MK-24")+SUMIFS('Таблиця 1'!$K:$K,'Таблиця 1'!$B:$B,$A543,'Таблиця 1'!$I:$I,"F-16",'Таблиця 1'!$J:$J,"MK-24")+SUMIFS('Таблиця 1'!$K:$K,'Таблиця 1'!$B:$B,$A543,'Таблиця 1'!$I:$I,"МіГ-29",'Таблиця 1'!$J:$J,"MK-24")+SUMIFS('Таблиця 1'!$K:$K,'Таблиця 1'!$B:$B,$A543,'Таблиця 1'!$I:$I,"Су-25",'Таблиця 1'!$J:$J,"MK-24")+SUMIFS('Таблиця 1'!$K:$K,'Таблиця 1'!$B:$B,$A543,'Таблиця 1'!$I:$I,"Су-27",'Таблиця 1'!$J:$J,"MK-24"))</f>
        <v/>
      </c>
      <c r="R543">
        <f>IF($A543="","",COUNTIFS('Таблиця 1'!$B:$B,$A543,'Таблиця 1'!$I:$I,"Mirage",'Таблиця 1'!$L:$L,"Уражено")+COUNTIFS('Таблиця 1'!$B:$B,$A543,'Таблиця 1'!$I:$I,"F-16",'Таблиця 1'!$L:$L,"Уражено")+COUNTIFS('Таблиця 1'!$B:$B,$A543,'Таблиця 1'!$I:$I,"МіГ-29",'Таблиця 1'!$L:$L,"Уражено")+COUNTIFS('Таблиця 1'!$B:$B,$A543,'Таблиця 1'!$I:$I,"Су-25",'Таблиця 1'!$L:$L,"Уражено")+COUNTIFS('Таблиця 1'!$B:$B,$A543,'Таблиця 1'!$I:$I,"Су-27",'Таблиця 1'!$L:$L,"Уражено"))</f>
        <v/>
      </c>
      <c r="S543">
        <f>IF($A543="","",COUNTIFS('Таблиця 1'!$B:$B,$A543,'Таблиця 1'!$I:$I,"Mirage",'Таблиця 1'!$L:$L,"НЕ уражено")+COUNTIFS('Таблиця 1'!$B:$B,$A543,'Таблиця 1'!$I:$I,"F-16",'Таблиця 1'!$L:$L,"НЕ уражено")+COUNTIFS('Таблиця 1'!$B:$B,$A543,'Таблиця 1'!$I:$I,"МіГ-29",'Таблиця 1'!$L:$L,"НЕ уражено")+COUNTIFS('Таблиця 1'!$B:$B,$A543,'Таблиця 1'!$I:$I,"Су-25",'Таблиця 1'!$L:$L,"НЕ уражено")+COUNTIFS('Таблиця 1'!$B:$B,$A543,'Таблиця 1'!$I:$I,"Су-27",'Таблиця 1'!$L:$L,"НЕ уражено"))</f>
        <v/>
      </c>
      <c r="T543">
        <f>IF($A543="","",COUNTIFS('Таблиця 1'!$B:$B,$A543,'Таблиця 1'!$I:$I,"Mirage",'Таблиця 1'!$L:$L,"Дорозвідується")+COUNTIFS('Таблиця 1'!$B:$B,$A543,'Таблиця 1'!$I:$I,"F-16",'Таблиця 1'!$L:$L,"Дорозвідується")+COUNTIFS('Таблиця 1'!$B:$B,$A543,'Таблиця 1'!$I:$I,"МіГ-29",'Таблиця 1'!$L:$L,"Дорозвідується")+COUNTIFS('Таблиця 1'!$B:$B,$A543,'Таблиця 1'!$I:$I,"Су-25",'Таблиця 1'!$L:$L,"Дорозвідується")+COUNTIFS('Таблиця 1'!$B:$B,$A543,'Таблиця 1'!$I:$I,"Су-27",'Таблиця 1'!$L:$L,"Дорозвідується"))</f>
        <v/>
      </c>
    </row>
    <row r="544">
      <c r="A544" s="273">
        <f>IF(A543="","",IF(A543+1&gt;MAX('Таблиця 1'!$B:$B),"",A543+1))</f>
        <v/>
      </c>
      <c r="B544">
        <f>IF($A544="","",COUNTIFS('Таблиця 1'!$B:$B,$A544,'Таблиця 1'!$I:$I,"Mirage")+COUNTIFS('Таблиця 1'!$B:$B,$A544,'Таблиця 1'!$I:$I,"F-16")+COUNTIFS('Таблиця 1'!$B:$B,$A544,'Таблиця 1'!$I:$I,"МіГ-29")+COUNTIFS('Таблиця 1'!$B:$B,$A544,'Таблиця 1'!$I:$I,"Су-25")+COUNTIFS('Таблиця 1'!$B:$B,$A544,'Таблиця 1'!$I:$I,"Су-27"))</f>
        <v/>
      </c>
      <c r="C544">
        <f>IF($A544="","",COUNTIFS('Таблиця 1'!$B:$B,$A544,'Таблиця 1'!$I:$I,"Mirage"))</f>
        <v/>
      </c>
      <c r="D544">
        <f>IF($A544="","",COUNTIFS('Таблиця 1'!$B:$B,$A544,'Таблиця 1'!$I:$I,"F-16"))</f>
        <v/>
      </c>
      <c r="E544">
        <f>IF($A544="","",COUNTIFS('Таблиця 1'!$B:$B,$A544,'Таблиця 1'!$I:$I,"МіГ-29"))</f>
        <v/>
      </c>
      <c r="F544">
        <f>IF($A544="","",COUNTIFS('Таблиця 1'!$B:$B,$A544,'Таблиця 1'!$I:$I,"Су-25"))</f>
        <v/>
      </c>
      <c r="G544">
        <f>IF($A544="","",COUNTIFS('Таблиця 1'!$B:$B,$A544,'Таблиця 1'!$I:$I,"Су-27"))</f>
        <v/>
      </c>
      <c r="H544">
        <f>IF($A544="","",SUMIFS('Таблиця 1'!$K:$K,'Таблиця 1'!$B:$B,$A544,'Таблиця 1'!$I:$I,"Mirage",'Таблиця 1'!$J:$J,"AGM-88")+SUMIFS('Таблиця 1'!$K:$K,'Таблиця 1'!$B:$B,$A544,'Таблиця 1'!$I:$I,"F-16",'Таблиця 1'!$J:$J,"AGM-88")+SUMIFS('Таблиця 1'!$K:$K,'Таблиця 1'!$B:$B,$A544,'Таблиця 1'!$I:$I,"МіГ-29",'Таблиця 1'!$J:$J,"AGM-88")+SUMIFS('Таблиця 1'!$K:$K,'Таблиця 1'!$B:$B,$A544,'Таблиця 1'!$I:$I,"Су-25",'Таблиця 1'!$J:$J,"AGM-88")+SUMIFS('Таблиця 1'!$K:$K,'Таблиця 1'!$B:$B,$A544,'Таблиця 1'!$I:$I,"Су-27",'Таблиця 1'!$J:$J,"AGM-88"))</f>
        <v/>
      </c>
      <c r="I544">
        <f>IF($A544="","",SUMIFS('Таблиця 1'!$K:$K,'Таблиця 1'!$B:$B,$A544,'Таблиця 1'!$I:$I,"Mirage",'Таблиця 1'!$J:$J,"AASM-250")+SUMIFS('Таблиця 1'!$K:$K,'Таблиця 1'!$B:$B,$A544,'Таблиця 1'!$I:$I,"F-16",'Таблиця 1'!$J:$J,"AASM-250")+SUMIFS('Таблиця 1'!$K:$K,'Таблиця 1'!$B:$B,$A544,'Таблиця 1'!$I:$I,"МіГ-29",'Таблиця 1'!$J:$J,"AASM-250")+SUMIFS('Таблиця 1'!$K:$K,'Таблиця 1'!$B:$B,$A544,'Таблиця 1'!$I:$I,"Су-25",'Таблиця 1'!$J:$J,"AASM-250")+SUMIFS('Таблиця 1'!$K:$K,'Таблиця 1'!$B:$B,$A544,'Таблиця 1'!$I:$I,"Су-27",'Таблиця 1'!$J:$J,"AASM-250"))</f>
        <v/>
      </c>
      <c r="J544">
        <f>IF($A544="","",SUMIFS('Таблиця 1'!$K:$K,'Таблиця 1'!$B:$B,$A544,'Таблиця 1'!$I:$I,"Mirage",'Таблиця 1'!$J:$J,"GBU-39")+SUMIFS('Таблиця 1'!$K:$K,'Таблиця 1'!$B:$B,$A544,'Таблиця 1'!$I:$I,"F-16",'Таблиця 1'!$J:$J,"GBU-39")+SUMIFS('Таблиця 1'!$K:$K,'Таблиця 1'!$B:$B,$A544,'Таблиця 1'!$I:$I,"МіГ-29",'Таблиця 1'!$J:$J,"GBU-39")+SUMIFS('Таблиця 1'!$K:$K,'Таблиця 1'!$B:$B,$A544,'Таблиця 1'!$I:$I,"Су-25",'Таблиця 1'!$J:$J,"GBU-39")+SUMIFS('Таблиця 1'!$K:$K,'Таблиця 1'!$B:$B,$A544,'Таблиця 1'!$I:$I,"Су-27",'Таблиця 1'!$J:$J,"GBU-39"))</f>
        <v/>
      </c>
      <c r="K544">
        <f>IF($A544="","",SUMIFS('Таблиця 1'!$K:$K,'Таблиця 1'!$B:$B,$A544,'Таблиця 1'!$I:$I,"Mirage",'Таблиця 1'!$J:$J,"BLU-140")+SUMIFS('Таблиця 1'!$K:$K,'Таблиця 1'!$B:$B,$A544,'Таблиця 1'!$I:$I,"F-16",'Таблиця 1'!$J:$J,"BLU-140")+SUMIFS('Таблиця 1'!$K:$K,'Таблиця 1'!$B:$B,$A544,'Таблиця 1'!$I:$I,"МіГ-29",'Таблиця 1'!$J:$J,"BLU-140")+SUMIFS('Таблиця 1'!$K:$K,'Таблиця 1'!$B:$B,$A544,'Таблиця 1'!$I:$I,"Су-25",'Таблиця 1'!$J:$J,"BLU-140")+SUMIFS('Таблиця 1'!$K:$K,'Таблиця 1'!$B:$B,$A544,'Таблиця 1'!$I:$I,"Су-27",'Таблиця 1'!$J:$J,"BLU-140"))</f>
        <v/>
      </c>
      <c r="L544">
        <f>IF($A544="","",SUMIFS('Таблиця 1'!$K:$K,'Таблиця 1'!$B:$B,$A544,'Таблиця 1'!$I:$I,"Mirage",'Таблиця 1'!$J:$J,"GBU-65")+SUMIFS('Таблиця 1'!$K:$K,'Таблиця 1'!$B:$B,$A544,'Таблиця 1'!$I:$I,"F-16",'Таблиця 1'!$J:$J,"GBU-65")+SUMIFS('Таблиця 1'!$K:$K,'Таблиця 1'!$B:$B,$A544,'Таблиця 1'!$I:$I,"МіГ-29",'Таблиця 1'!$J:$J,"GBU-65")+SUMIFS('Таблиця 1'!$K:$K,'Таблиця 1'!$B:$B,$A544,'Таблиця 1'!$I:$I,"Су-25",'Таблиця 1'!$J:$J,"GBU-65")+SUMIFS('Таблиця 1'!$K:$K,'Таблиця 1'!$B:$B,$A544,'Таблиця 1'!$I:$I,"Су-27",'Таблиця 1'!$J:$J,"GBU-65"))</f>
        <v/>
      </c>
      <c r="M544">
        <f>IF($A544="","",SUMIFS('Таблиця 1'!$K:$K,'Таблиця 1'!$B:$B,$A544,'Таблиця 1'!$I:$I,"Mirage",'Таблиця 1'!$J:$J,"GBU-62")+SUMIFS('Таблиця 1'!$K:$K,'Таблиця 1'!$B:$B,$A544,'Таблиця 1'!$I:$I,"F-16",'Таблиця 1'!$J:$J,"GBU-62")+SUMIFS('Таблиця 1'!$K:$K,'Таблиця 1'!$B:$B,$A544,'Таблиця 1'!$I:$I,"МіГ-29",'Таблиця 1'!$J:$J,"GBU-62")+SUMIFS('Таблиця 1'!$K:$K,'Таблиця 1'!$B:$B,$A544,'Таблиця 1'!$I:$I,"Су-25",'Таблиця 1'!$J:$J,"GBU-62")+SUMIFS('Таблиця 1'!$K:$K,'Таблиця 1'!$B:$B,$A544,'Таблиця 1'!$I:$I,"Су-27",'Таблиця 1'!$J:$J,"GBU-62"))</f>
        <v/>
      </c>
      <c r="N544">
        <f>IF($A544="","",SUMIFS('Таблиця 1'!$K:$K,'Таблиця 1'!$B:$B,$A544,'Таблиця 1'!$I:$I,"Mirage",'Таблиця 1'!$J:$J,"GBU-64")+SUMIFS('Таблиця 1'!$K:$K,'Таблиця 1'!$B:$B,$A544,'Таблиця 1'!$I:$I,"F-16",'Таблиця 1'!$J:$J,"GBU-64")+SUMIFS('Таблиця 1'!$K:$K,'Таблиця 1'!$B:$B,$A544,'Таблиця 1'!$I:$I,"МіГ-29",'Таблиця 1'!$J:$J,"GBU-64")+SUMIFS('Таблиця 1'!$K:$K,'Таблиця 1'!$B:$B,$A544,'Таблиця 1'!$I:$I,"Су-25",'Таблиця 1'!$J:$J,"GBU-64")+SUMIFS('Таблиця 1'!$K:$K,'Таблиця 1'!$B:$B,$A544,'Таблиця 1'!$I:$I,"Су-27",'Таблиця 1'!$J:$J,"GBU-64"))</f>
        <v/>
      </c>
      <c r="O544">
        <f>IF($A544="","",SUMIFS('Таблиця 1'!$K:$K,'Таблиця 1'!$B:$B,$A544,'Таблиця 1'!$I:$I,"Mirage",'Таблиця 1'!$J:$J,"C-13")+SUMIFS('Таблиця 1'!$K:$K,'Таблиця 1'!$B:$B,$A544,'Таблиця 1'!$I:$I,"F-16",'Таблиця 1'!$J:$J,"C-13")+SUMIFS('Таблиця 1'!$K:$K,'Таблиця 1'!$B:$B,$A544,'Таблиця 1'!$I:$I,"МіГ-29",'Таблиця 1'!$J:$J,"C-13")+SUMIFS('Таблиця 1'!$K:$K,'Таблиця 1'!$B:$B,$A544,'Таблиця 1'!$I:$I,"Су-25",'Таблиця 1'!$J:$J,"C-13")+SUMIFS('Таблиця 1'!$K:$K,'Таблиця 1'!$B:$B,$A544,'Таблиця 1'!$I:$I,"Су-27",'Таблиця 1'!$J:$J,"C-13"))</f>
        <v/>
      </c>
      <c r="P544">
        <f>IF($A544="","",SUMIFS('Таблиця 1'!$K:$K,'Таблиця 1'!$B:$B,$A544,'Таблиця 1'!$I:$I,"Mirage",'Таблиця 1'!$J:$J,"MK-32")+SUMIFS('Таблиця 1'!$K:$K,'Таблиця 1'!$B:$B,$A544,'Таблиця 1'!$I:$I,"F-16",'Таблиця 1'!$J:$J,"MK-32")+SUMIFS('Таблиця 1'!$K:$K,'Таблиця 1'!$B:$B,$A544,'Таблиця 1'!$I:$I,"МіГ-29",'Таблиця 1'!$J:$J,"MK-32")+SUMIFS('Таблиця 1'!$K:$K,'Таблиця 1'!$B:$B,$A544,'Таблиця 1'!$I:$I,"Су-25",'Таблиця 1'!$J:$J,"MK-32")+SUMIFS('Таблиця 1'!$K:$K,'Таблиця 1'!$B:$B,$A544,'Таблиця 1'!$I:$I,"Су-27",'Таблиця 1'!$J:$J,"MK-32"))</f>
        <v/>
      </c>
      <c r="Q544">
        <f>IF($A544="","",SUMIFS('Таблиця 1'!$K:$K,'Таблиця 1'!$B:$B,$A544,'Таблиця 1'!$I:$I,"Mirage",'Таблиця 1'!$J:$J,"MK-24")+SUMIFS('Таблиця 1'!$K:$K,'Таблиця 1'!$B:$B,$A544,'Таблиця 1'!$I:$I,"F-16",'Таблиця 1'!$J:$J,"MK-24")+SUMIFS('Таблиця 1'!$K:$K,'Таблиця 1'!$B:$B,$A544,'Таблиця 1'!$I:$I,"МіГ-29",'Таблиця 1'!$J:$J,"MK-24")+SUMIFS('Таблиця 1'!$K:$K,'Таблиця 1'!$B:$B,$A544,'Таблиця 1'!$I:$I,"Су-25",'Таблиця 1'!$J:$J,"MK-24")+SUMIFS('Таблиця 1'!$K:$K,'Таблиця 1'!$B:$B,$A544,'Таблиця 1'!$I:$I,"Су-27",'Таблиця 1'!$J:$J,"MK-24"))</f>
        <v/>
      </c>
      <c r="R544">
        <f>IF($A544="","",COUNTIFS('Таблиця 1'!$B:$B,$A544,'Таблиця 1'!$I:$I,"Mirage",'Таблиця 1'!$L:$L,"Уражено")+COUNTIFS('Таблиця 1'!$B:$B,$A544,'Таблиця 1'!$I:$I,"F-16",'Таблиця 1'!$L:$L,"Уражено")+COUNTIFS('Таблиця 1'!$B:$B,$A544,'Таблиця 1'!$I:$I,"МіГ-29",'Таблиця 1'!$L:$L,"Уражено")+COUNTIFS('Таблиця 1'!$B:$B,$A544,'Таблиця 1'!$I:$I,"Су-25",'Таблиця 1'!$L:$L,"Уражено")+COUNTIFS('Таблиця 1'!$B:$B,$A544,'Таблиця 1'!$I:$I,"Су-27",'Таблиця 1'!$L:$L,"Уражено"))</f>
        <v/>
      </c>
      <c r="S544">
        <f>IF($A544="","",COUNTIFS('Таблиця 1'!$B:$B,$A544,'Таблиця 1'!$I:$I,"Mirage",'Таблиця 1'!$L:$L,"НЕ уражено")+COUNTIFS('Таблиця 1'!$B:$B,$A544,'Таблиця 1'!$I:$I,"F-16",'Таблиця 1'!$L:$L,"НЕ уражено")+COUNTIFS('Таблиця 1'!$B:$B,$A544,'Таблиця 1'!$I:$I,"МіГ-29",'Таблиця 1'!$L:$L,"НЕ уражено")+COUNTIFS('Таблиця 1'!$B:$B,$A544,'Таблиця 1'!$I:$I,"Су-25",'Таблиця 1'!$L:$L,"НЕ уражено")+COUNTIFS('Таблиця 1'!$B:$B,$A544,'Таблиця 1'!$I:$I,"Су-27",'Таблиця 1'!$L:$L,"НЕ уражено"))</f>
        <v/>
      </c>
      <c r="T544">
        <f>IF($A544="","",COUNTIFS('Таблиця 1'!$B:$B,$A544,'Таблиця 1'!$I:$I,"Mirage",'Таблиця 1'!$L:$L,"Дорозвідується")+COUNTIFS('Таблиця 1'!$B:$B,$A544,'Таблиця 1'!$I:$I,"F-16",'Таблиця 1'!$L:$L,"Дорозвідується")+COUNTIFS('Таблиця 1'!$B:$B,$A544,'Таблиця 1'!$I:$I,"МіГ-29",'Таблиця 1'!$L:$L,"Дорозвідується")+COUNTIFS('Таблиця 1'!$B:$B,$A544,'Таблиця 1'!$I:$I,"Су-25",'Таблиця 1'!$L:$L,"Дорозвідується")+COUNTIFS('Таблиця 1'!$B:$B,$A544,'Таблиця 1'!$I:$I,"Су-27",'Таблиця 1'!$L:$L,"Дорозвідується"))</f>
        <v/>
      </c>
    </row>
    <row r="545">
      <c r="A545" s="273">
        <f>IF(A544="","",IF(A544+1&gt;MAX('Таблиця 1'!$B:$B),"",A544+1))</f>
        <v/>
      </c>
      <c r="B545">
        <f>IF($A545="","",COUNTIFS('Таблиця 1'!$B:$B,$A545,'Таблиця 1'!$I:$I,"Mirage")+COUNTIFS('Таблиця 1'!$B:$B,$A545,'Таблиця 1'!$I:$I,"F-16")+COUNTIFS('Таблиця 1'!$B:$B,$A545,'Таблиця 1'!$I:$I,"МіГ-29")+COUNTIFS('Таблиця 1'!$B:$B,$A545,'Таблиця 1'!$I:$I,"Су-25")+COUNTIFS('Таблиця 1'!$B:$B,$A545,'Таблиця 1'!$I:$I,"Су-27"))</f>
        <v/>
      </c>
      <c r="C545">
        <f>IF($A545="","",COUNTIFS('Таблиця 1'!$B:$B,$A545,'Таблиця 1'!$I:$I,"Mirage"))</f>
        <v/>
      </c>
      <c r="D545">
        <f>IF($A545="","",COUNTIFS('Таблиця 1'!$B:$B,$A545,'Таблиця 1'!$I:$I,"F-16"))</f>
        <v/>
      </c>
      <c r="E545">
        <f>IF($A545="","",COUNTIFS('Таблиця 1'!$B:$B,$A545,'Таблиця 1'!$I:$I,"МіГ-29"))</f>
        <v/>
      </c>
      <c r="F545">
        <f>IF($A545="","",COUNTIFS('Таблиця 1'!$B:$B,$A545,'Таблиця 1'!$I:$I,"Су-25"))</f>
        <v/>
      </c>
      <c r="G545">
        <f>IF($A545="","",COUNTIFS('Таблиця 1'!$B:$B,$A545,'Таблиця 1'!$I:$I,"Су-27"))</f>
        <v/>
      </c>
      <c r="H545">
        <f>IF($A545="","",SUMIFS('Таблиця 1'!$K:$K,'Таблиця 1'!$B:$B,$A545,'Таблиця 1'!$I:$I,"Mirage",'Таблиця 1'!$J:$J,"AGM-88")+SUMIFS('Таблиця 1'!$K:$K,'Таблиця 1'!$B:$B,$A545,'Таблиця 1'!$I:$I,"F-16",'Таблиця 1'!$J:$J,"AGM-88")+SUMIFS('Таблиця 1'!$K:$K,'Таблиця 1'!$B:$B,$A545,'Таблиця 1'!$I:$I,"МіГ-29",'Таблиця 1'!$J:$J,"AGM-88")+SUMIFS('Таблиця 1'!$K:$K,'Таблиця 1'!$B:$B,$A545,'Таблиця 1'!$I:$I,"Су-25",'Таблиця 1'!$J:$J,"AGM-88")+SUMIFS('Таблиця 1'!$K:$K,'Таблиця 1'!$B:$B,$A545,'Таблиця 1'!$I:$I,"Су-27",'Таблиця 1'!$J:$J,"AGM-88"))</f>
        <v/>
      </c>
      <c r="I545">
        <f>IF($A545="","",SUMIFS('Таблиця 1'!$K:$K,'Таблиця 1'!$B:$B,$A545,'Таблиця 1'!$I:$I,"Mirage",'Таблиця 1'!$J:$J,"AASM-250")+SUMIFS('Таблиця 1'!$K:$K,'Таблиця 1'!$B:$B,$A545,'Таблиця 1'!$I:$I,"F-16",'Таблиця 1'!$J:$J,"AASM-250")+SUMIFS('Таблиця 1'!$K:$K,'Таблиця 1'!$B:$B,$A545,'Таблиця 1'!$I:$I,"МіГ-29",'Таблиця 1'!$J:$J,"AASM-250")+SUMIFS('Таблиця 1'!$K:$K,'Таблиця 1'!$B:$B,$A545,'Таблиця 1'!$I:$I,"Су-25",'Таблиця 1'!$J:$J,"AASM-250")+SUMIFS('Таблиця 1'!$K:$K,'Таблиця 1'!$B:$B,$A545,'Таблиця 1'!$I:$I,"Су-27",'Таблиця 1'!$J:$J,"AASM-250"))</f>
        <v/>
      </c>
      <c r="J545">
        <f>IF($A545="","",SUMIFS('Таблиця 1'!$K:$K,'Таблиця 1'!$B:$B,$A545,'Таблиця 1'!$I:$I,"Mirage",'Таблиця 1'!$J:$J,"GBU-39")+SUMIFS('Таблиця 1'!$K:$K,'Таблиця 1'!$B:$B,$A545,'Таблиця 1'!$I:$I,"F-16",'Таблиця 1'!$J:$J,"GBU-39")+SUMIFS('Таблиця 1'!$K:$K,'Таблиця 1'!$B:$B,$A545,'Таблиця 1'!$I:$I,"МіГ-29",'Таблиця 1'!$J:$J,"GBU-39")+SUMIFS('Таблиця 1'!$K:$K,'Таблиця 1'!$B:$B,$A545,'Таблиця 1'!$I:$I,"Су-25",'Таблиця 1'!$J:$J,"GBU-39")+SUMIFS('Таблиця 1'!$K:$K,'Таблиця 1'!$B:$B,$A545,'Таблиця 1'!$I:$I,"Су-27",'Таблиця 1'!$J:$J,"GBU-39"))</f>
        <v/>
      </c>
      <c r="K545">
        <f>IF($A545="","",SUMIFS('Таблиця 1'!$K:$K,'Таблиця 1'!$B:$B,$A545,'Таблиця 1'!$I:$I,"Mirage",'Таблиця 1'!$J:$J,"BLU-140")+SUMIFS('Таблиця 1'!$K:$K,'Таблиця 1'!$B:$B,$A545,'Таблиця 1'!$I:$I,"F-16",'Таблиця 1'!$J:$J,"BLU-140")+SUMIFS('Таблиця 1'!$K:$K,'Таблиця 1'!$B:$B,$A545,'Таблиця 1'!$I:$I,"МіГ-29",'Таблиця 1'!$J:$J,"BLU-140")+SUMIFS('Таблиця 1'!$K:$K,'Таблиця 1'!$B:$B,$A545,'Таблиця 1'!$I:$I,"Су-25",'Таблиця 1'!$J:$J,"BLU-140")+SUMIFS('Таблиця 1'!$K:$K,'Таблиця 1'!$B:$B,$A545,'Таблиця 1'!$I:$I,"Су-27",'Таблиця 1'!$J:$J,"BLU-140"))</f>
        <v/>
      </c>
      <c r="L545">
        <f>IF($A545="","",SUMIFS('Таблиця 1'!$K:$K,'Таблиця 1'!$B:$B,$A545,'Таблиця 1'!$I:$I,"Mirage",'Таблиця 1'!$J:$J,"GBU-65")+SUMIFS('Таблиця 1'!$K:$K,'Таблиця 1'!$B:$B,$A545,'Таблиця 1'!$I:$I,"F-16",'Таблиця 1'!$J:$J,"GBU-65")+SUMIFS('Таблиця 1'!$K:$K,'Таблиця 1'!$B:$B,$A545,'Таблиця 1'!$I:$I,"МіГ-29",'Таблиця 1'!$J:$J,"GBU-65")+SUMIFS('Таблиця 1'!$K:$K,'Таблиця 1'!$B:$B,$A545,'Таблиця 1'!$I:$I,"Су-25",'Таблиця 1'!$J:$J,"GBU-65")+SUMIFS('Таблиця 1'!$K:$K,'Таблиця 1'!$B:$B,$A545,'Таблиця 1'!$I:$I,"Су-27",'Таблиця 1'!$J:$J,"GBU-65"))</f>
        <v/>
      </c>
      <c r="M545">
        <f>IF($A545="","",SUMIFS('Таблиця 1'!$K:$K,'Таблиця 1'!$B:$B,$A545,'Таблиця 1'!$I:$I,"Mirage",'Таблиця 1'!$J:$J,"GBU-62")+SUMIFS('Таблиця 1'!$K:$K,'Таблиця 1'!$B:$B,$A545,'Таблиця 1'!$I:$I,"F-16",'Таблиця 1'!$J:$J,"GBU-62")+SUMIFS('Таблиця 1'!$K:$K,'Таблиця 1'!$B:$B,$A545,'Таблиця 1'!$I:$I,"МіГ-29",'Таблиця 1'!$J:$J,"GBU-62")+SUMIFS('Таблиця 1'!$K:$K,'Таблиця 1'!$B:$B,$A545,'Таблиця 1'!$I:$I,"Су-25",'Таблиця 1'!$J:$J,"GBU-62")+SUMIFS('Таблиця 1'!$K:$K,'Таблиця 1'!$B:$B,$A545,'Таблиця 1'!$I:$I,"Су-27",'Таблиця 1'!$J:$J,"GBU-62"))</f>
        <v/>
      </c>
      <c r="N545">
        <f>IF($A545="","",SUMIFS('Таблиця 1'!$K:$K,'Таблиця 1'!$B:$B,$A545,'Таблиця 1'!$I:$I,"Mirage",'Таблиця 1'!$J:$J,"GBU-64")+SUMIFS('Таблиця 1'!$K:$K,'Таблиця 1'!$B:$B,$A545,'Таблиця 1'!$I:$I,"F-16",'Таблиця 1'!$J:$J,"GBU-64")+SUMIFS('Таблиця 1'!$K:$K,'Таблиця 1'!$B:$B,$A545,'Таблиця 1'!$I:$I,"МіГ-29",'Таблиця 1'!$J:$J,"GBU-64")+SUMIFS('Таблиця 1'!$K:$K,'Таблиця 1'!$B:$B,$A545,'Таблиця 1'!$I:$I,"Су-25",'Таблиця 1'!$J:$J,"GBU-64")+SUMIFS('Таблиця 1'!$K:$K,'Таблиця 1'!$B:$B,$A545,'Таблиця 1'!$I:$I,"Су-27",'Таблиця 1'!$J:$J,"GBU-64"))</f>
        <v/>
      </c>
      <c r="O545">
        <f>IF($A545="","",SUMIFS('Таблиця 1'!$K:$K,'Таблиця 1'!$B:$B,$A545,'Таблиця 1'!$I:$I,"Mirage",'Таблиця 1'!$J:$J,"C-13")+SUMIFS('Таблиця 1'!$K:$K,'Таблиця 1'!$B:$B,$A545,'Таблиця 1'!$I:$I,"F-16",'Таблиця 1'!$J:$J,"C-13")+SUMIFS('Таблиця 1'!$K:$K,'Таблиця 1'!$B:$B,$A545,'Таблиця 1'!$I:$I,"МіГ-29",'Таблиця 1'!$J:$J,"C-13")+SUMIFS('Таблиця 1'!$K:$K,'Таблиця 1'!$B:$B,$A545,'Таблиця 1'!$I:$I,"Су-25",'Таблиця 1'!$J:$J,"C-13")+SUMIFS('Таблиця 1'!$K:$K,'Таблиця 1'!$B:$B,$A545,'Таблиця 1'!$I:$I,"Су-27",'Таблиця 1'!$J:$J,"C-13"))</f>
        <v/>
      </c>
      <c r="P545">
        <f>IF($A545="","",SUMIFS('Таблиця 1'!$K:$K,'Таблиця 1'!$B:$B,$A545,'Таблиця 1'!$I:$I,"Mirage",'Таблиця 1'!$J:$J,"MK-32")+SUMIFS('Таблиця 1'!$K:$K,'Таблиця 1'!$B:$B,$A545,'Таблиця 1'!$I:$I,"F-16",'Таблиця 1'!$J:$J,"MK-32")+SUMIFS('Таблиця 1'!$K:$K,'Таблиця 1'!$B:$B,$A545,'Таблиця 1'!$I:$I,"МіГ-29",'Таблиця 1'!$J:$J,"MK-32")+SUMIFS('Таблиця 1'!$K:$K,'Таблиця 1'!$B:$B,$A545,'Таблиця 1'!$I:$I,"Су-25",'Таблиця 1'!$J:$J,"MK-32")+SUMIFS('Таблиця 1'!$K:$K,'Таблиця 1'!$B:$B,$A545,'Таблиця 1'!$I:$I,"Су-27",'Таблиця 1'!$J:$J,"MK-32"))</f>
        <v/>
      </c>
      <c r="Q545">
        <f>IF($A545="","",SUMIFS('Таблиця 1'!$K:$K,'Таблиця 1'!$B:$B,$A545,'Таблиця 1'!$I:$I,"Mirage",'Таблиця 1'!$J:$J,"MK-24")+SUMIFS('Таблиця 1'!$K:$K,'Таблиця 1'!$B:$B,$A545,'Таблиця 1'!$I:$I,"F-16",'Таблиця 1'!$J:$J,"MK-24")+SUMIFS('Таблиця 1'!$K:$K,'Таблиця 1'!$B:$B,$A545,'Таблиця 1'!$I:$I,"МіГ-29",'Таблиця 1'!$J:$J,"MK-24")+SUMIFS('Таблиця 1'!$K:$K,'Таблиця 1'!$B:$B,$A545,'Таблиця 1'!$I:$I,"Су-25",'Таблиця 1'!$J:$J,"MK-24")+SUMIFS('Таблиця 1'!$K:$K,'Таблиця 1'!$B:$B,$A545,'Таблиця 1'!$I:$I,"Су-27",'Таблиця 1'!$J:$J,"MK-24"))</f>
        <v/>
      </c>
      <c r="R545">
        <f>IF($A545="","",COUNTIFS('Таблиця 1'!$B:$B,$A545,'Таблиця 1'!$I:$I,"Mirage",'Таблиця 1'!$L:$L,"Уражено")+COUNTIFS('Таблиця 1'!$B:$B,$A545,'Таблиця 1'!$I:$I,"F-16",'Таблиця 1'!$L:$L,"Уражено")+COUNTIFS('Таблиця 1'!$B:$B,$A545,'Таблиця 1'!$I:$I,"МіГ-29",'Таблиця 1'!$L:$L,"Уражено")+COUNTIFS('Таблиця 1'!$B:$B,$A545,'Таблиця 1'!$I:$I,"Су-25",'Таблиця 1'!$L:$L,"Уражено")+COUNTIFS('Таблиця 1'!$B:$B,$A545,'Таблиця 1'!$I:$I,"Су-27",'Таблиця 1'!$L:$L,"Уражено"))</f>
        <v/>
      </c>
      <c r="S545">
        <f>IF($A545="","",COUNTIFS('Таблиця 1'!$B:$B,$A545,'Таблиця 1'!$I:$I,"Mirage",'Таблиця 1'!$L:$L,"НЕ уражено")+COUNTIFS('Таблиця 1'!$B:$B,$A545,'Таблиця 1'!$I:$I,"F-16",'Таблиця 1'!$L:$L,"НЕ уражено")+COUNTIFS('Таблиця 1'!$B:$B,$A545,'Таблиця 1'!$I:$I,"МіГ-29",'Таблиця 1'!$L:$L,"НЕ уражено")+COUNTIFS('Таблиця 1'!$B:$B,$A545,'Таблиця 1'!$I:$I,"Су-25",'Таблиця 1'!$L:$L,"НЕ уражено")+COUNTIFS('Таблиця 1'!$B:$B,$A545,'Таблиця 1'!$I:$I,"Су-27",'Таблиця 1'!$L:$L,"НЕ уражено"))</f>
        <v/>
      </c>
      <c r="T545">
        <f>IF($A545="","",COUNTIFS('Таблиця 1'!$B:$B,$A545,'Таблиця 1'!$I:$I,"Mirage",'Таблиця 1'!$L:$L,"Дорозвідується")+COUNTIFS('Таблиця 1'!$B:$B,$A545,'Таблиця 1'!$I:$I,"F-16",'Таблиця 1'!$L:$L,"Дорозвідується")+COUNTIFS('Таблиця 1'!$B:$B,$A545,'Таблиця 1'!$I:$I,"МіГ-29",'Таблиця 1'!$L:$L,"Дорозвідується")+COUNTIFS('Таблиця 1'!$B:$B,$A545,'Таблиця 1'!$I:$I,"Су-25",'Таблиця 1'!$L:$L,"Дорозвідується")+COUNTIFS('Таблиця 1'!$B:$B,$A545,'Таблиця 1'!$I:$I,"Су-27",'Таблиця 1'!$L:$L,"Дорозвідується"))</f>
        <v/>
      </c>
    </row>
    <row r="546">
      <c r="A546" s="273">
        <f>IF(A545="","",IF(A545+1&gt;MAX('Таблиця 1'!$B:$B),"",A545+1))</f>
        <v/>
      </c>
      <c r="B546">
        <f>IF($A546="","",COUNTIFS('Таблиця 1'!$B:$B,$A546,'Таблиця 1'!$I:$I,"Mirage")+COUNTIFS('Таблиця 1'!$B:$B,$A546,'Таблиця 1'!$I:$I,"F-16")+COUNTIFS('Таблиця 1'!$B:$B,$A546,'Таблиця 1'!$I:$I,"МіГ-29")+COUNTIFS('Таблиця 1'!$B:$B,$A546,'Таблиця 1'!$I:$I,"Су-25")+COUNTIFS('Таблиця 1'!$B:$B,$A546,'Таблиця 1'!$I:$I,"Су-27"))</f>
        <v/>
      </c>
      <c r="C546">
        <f>IF($A546="","",COUNTIFS('Таблиця 1'!$B:$B,$A546,'Таблиця 1'!$I:$I,"Mirage"))</f>
        <v/>
      </c>
      <c r="D546">
        <f>IF($A546="","",COUNTIFS('Таблиця 1'!$B:$B,$A546,'Таблиця 1'!$I:$I,"F-16"))</f>
        <v/>
      </c>
      <c r="E546">
        <f>IF($A546="","",COUNTIFS('Таблиця 1'!$B:$B,$A546,'Таблиця 1'!$I:$I,"МіГ-29"))</f>
        <v/>
      </c>
      <c r="F546">
        <f>IF($A546="","",COUNTIFS('Таблиця 1'!$B:$B,$A546,'Таблиця 1'!$I:$I,"Су-25"))</f>
        <v/>
      </c>
      <c r="G546">
        <f>IF($A546="","",COUNTIFS('Таблиця 1'!$B:$B,$A546,'Таблиця 1'!$I:$I,"Су-27"))</f>
        <v/>
      </c>
      <c r="H546">
        <f>IF($A546="","",SUMIFS('Таблиця 1'!$K:$K,'Таблиця 1'!$B:$B,$A546,'Таблиця 1'!$I:$I,"Mirage",'Таблиця 1'!$J:$J,"AGM-88")+SUMIFS('Таблиця 1'!$K:$K,'Таблиця 1'!$B:$B,$A546,'Таблиця 1'!$I:$I,"F-16",'Таблиця 1'!$J:$J,"AGM-88")+SUMIFS('Таблиця 1'!$K:$K,'Таблиця 1'!$B:$B,$A546,'Таблиця 1'!$I:$I,"МіГ-29",'Таблиця 1'!$J:$J,"AGM-88")+SUMIFS('Таблиця 1'!$K:$K,'Таблиця 1'!$B:$B,$A546,'Таблиця 1'!$I:$I,"Су-25",'Таблиця 1'!$J:$J,"AGM-88")+SUMIFS('Таблиця 1'!$K:$K,'Таблиця 1'!$B:$B,$A546,'Таблиця 1'!$I:$I,"Су-27",'Таблиця 1'!$J:$J,"AGM-88"))</f>
        <v/>
      </c>
      <c r="I546">
        <f>IF($A546="","",SUMIFS('Таблиця 1'!$K:$K,'Таблиця 1'!$B:$B,$A546,'Таблиця 1'!$I:$I,"Mirage",'Таблиця 1'!$J:$J,"AASM-250")+SUMIFS('Таблиця 1'!$K:$K,'Таблиця 1'!$B:$B,$A546,'Таблиця 1'!$I:$I,"F-16",'Таблиця 1'!$J:$J,"AASM-250")+SUMIFS('Таблиця 1'!$K:$K,'Таблиця 1'!$B:$B,$A546,'Таблиця 1'!$I:$I,"МіГ-29",'Таблиця 1'!$J:$J,"AASM-250")+SUMIFS('Таблиця 1'!$K:$K,'Таблиця 1'!$B:$B,$A546,'Таблиця 1'!$I:$I,"Су-25",'Таблиця 1'!$J:$J,"AASM-250")+SUMIFS('Таблиця 1'!$K:$K,'Таблиця 1'!$B:$B,$A546,'Таблиця 1'!$I:$I,"Су-27",'Таблиця 1'!$J:$J,"AASM-250"))</f>
        <v/>
      </c>
      <c r="J546">
        <f>IF($A546="","",SUMIFS('Таблиця 1'!$K:$K,'Таблиця 1'!$B:$B,$A546,'Таблиця 1'!$I:$I,"Mirage",'Таблиця 1'!$J:$J,"GBU-39")+SUMIFS('Таблиця 1'!$K:$K,'Таблиця 1'!$B:$B,$A546,'Таблиця 1'!$I:$I,"F-16",'Таблиця 1'!$J:$J,"GBU-39")+SUMIFS('Таблиця 1'!$K:$K,'Таблиця 1'!$B:$B,$A546,'Таблиця 1'!$I:$I,"МіГ-29",'Таблиця 1'!$J:$J,"GBU-39")+SUMIFS('Таблиця 1'!$K:$K,'Таблиця 1'!$B:$B,$A546,'Таблиця 1'!$I:$I,"Су-25",'Таблиця 1'!$J:$J,"GBU-39")+SUMIFS('Таблиця 1'!$K:$K,'Таблиця 1'!$B:$B,$A546,'Таблиця 1'!$I:$I,"Су-27",'Таблиця 1'!$J:$J,"GBU-39"))</f>
        <v/>
      </c>
      <c r="K546">
        <f>IF($A546="","",SUMIFS('Таблиця 1'!$K:$K,'Таблиця 1'!$B:$B,$A546,'Таблиця 1'!$I:$I,"Mirage",'Таблиця 1'!$J:$J,"BLU-140")+SUMIFS('Таблиця 1'!$K:$K,'Таблиця 1'!$B:$B,$A546,'Таблиця 1'!$I:$I,"F-16",'Таблиця 1'!$J:$J,"BLU-140")+SUMIFS('Таблиця 1'!$K:$K,'Таблиця 1'!$B:$B,$A546,'Таблиця 1'!$I:$I,"МіГ-29",'Таблиця 1'!$J:$J,"BLU-140")+SUMIFS('Таблиця 1'!$K:$K,'Таблиця 1'!$B:$B,$A546,'Таблиця 1'!$I:$I,"Су-25",'Таблиця 1'!$J:$J,"BLU-140")+SUMIFS('Таблиця 1'!$K:$K,'Таблиця 1'!$B:$B,$A546,'Таблиця 1'!$I:$I,"Су-27",'Таблиця 1'!$J:$J,"BLU-140"))</f>
        <v/>
      </c>
      <c r="L546">
        <f>IF($A546="","",SUMIFS('Таблиця 1'!$K:$K,'Таблиця 1'!$B:$B,$A546,'Таблиця 1'!$I:$I,"Mirage",'Таблиця 1'!$J:$J,"GBU-65")+SUMIFS('Таблиця 1'!$K:$K,'Таблиця 1'!$B:$B,$A546,'Таблиця 1'!$I:$I,"F-16",'Таблиця 1'!$J:$J,"GBU-65")+SUMIFS('Таблиця 1'!$K:$K,'Таблиця 1'!$B:$B,$A546,'Таблиця 1'!$I:$I,"МіГ-29",'Таблиця 1'!$J:$J,"GBU-65")+SUMIFS('Таблиця 1'!$K:$K,'Таблиця 1'!$B:$B,$A546,'Таблиця 1'!$I:$I,"Су-25",'Таблиця 1'!$J:$J,"GBU-65")+SUMIFS('Таблиця 1'!$K:$K,'Таблиця 1'!$B:$B,$A546,'Таблиця 1'!$I:$I,"Су-27",'Таблиця 1'!$J:$J,"GBU-65"))</f>
        <v/>
      </c>
      <c r="M546">
        <f>IF($A546="","",SUMIFS('Таблиця 1'!$K:$K,'Таблиця 1'!$B:$B,$A546,'Таблиця 1'!$I:$I,"Mirage",'Таблиця 1'!$J:$J,"GBU-62")+SUMIFS('Таблиця 1'!$K:$K,'Таблиця 1'!$B:$B,$A546,'Таблиця 1'!$I:$I,"F-16",'Таблиця 1'!$J:$J,"GBU-62")+SUMIFS('Таблиця 1'!$K:$K,'Таблиця 1'!$B:$B,$A546,'Таблиця 1'!$I:$I,"МіГ-29",'Таблиця 1'!$J:$J,"GBU-62")+SUMIFS('Таблиця 1'!$K:$K,'Таблиця 1'!$B:$B,$A546,'Таблиця 1'!$I:$I,"Су-25",'Таблиця 1'!$J:$J,"GBU-62")+SUMIFS('Таблиця 1'!$K:$K,'Таблиця 1'!$B:$B,$A546,'Таблиця 1'!$I:$I,"Су-27",'Таблиця 1'!$J:$J,"GBU-62"))</f>
        <v/>
      </c>
      <c r="N546">
        <f>IF($A546="","",SUMIFS('Таблиця 1'!$K:$K,'Таблиця 1'!$B:$B,$A546,'Таблиця 1'!$I:$I,"Mirage",'Таблиця 1'!$J:$J,"GBU-64")+SUMIFS('Таблиця 1'!$K:$K,'Таблиця 1'!$B:$B,$A546,'Таблиця 1'!$I:$I,"F-16",'Таблиця 1'!$J:$J,"GBU-64")+SUMIFS('Таблиця 1'!$K:$K,'Таблиця 1'!$B:$B,$A546,'Таблиця 1'!$I:$I,"МіГ-29",'Таблиця 1'!$J:$J,"GBU-64")+SUMIFS('Таблиця 1'!$K:$K,'Таблиця 1'!$B:$B,$A546,'Таблиця 1'!$I:$I,"Су-25",'Таблиця 1'!$J:$J,"GBU-64")+SUMIFS('Таблиця 1'!$K:$K,'Таблиця 1'!$B:$B,$A546,'Таблиця 1'!$I:$I,"Су-27",'Таблиця 1'!$J:$J,"GBU-64"))</f>
        <v/>
      </c>
      <c r="O546">
        <f>IF($A546="","",SUMIFS('Таблиця 1'!$K:$K,'Таблиця 1'!$B:$B,$A546,'Таблиця 1'!$I:$I,"Mirage",'Таблиця 1'!$J:$J,"C-13")+SUMIFS('Таблиця 1'!$K:$K,'Таблиця 1'!$B:$B,$A546,'Таблиця 1'!$I:$I,"F-16",'Таблиця 1'!$J:$J,"C-13")+SUMIFS('Таблиця 1'!$K:$K,'Таблиця 1'!$B:$B,$A546,'Таблиця 1'!$I:$I,"МіГ-29",'Таблиця 1'!$J:$J,"C-13")+SUMIFS('Таблиця 1'!$K:$K,'Таблиця 1'!$B:$B,$A546,'Таблиця 1'!$I:$I,"Су-25",'Таблиця 1'!$J:$J,"C-13")+SUMIFS('Таблиця 1'!$K:$K,'Таблиця 1'!$B:$B,$A546,'Таблиця 1'!$I:$I,"Су-27",'Таблиця 1'!$J:$J,"C-13"))</f>
        <v/>
      </c>
      <c r="P546">
        <f>IF($A546="","",SUMIFS('Таблиця 1'!$K:$K,'Таблиця 1'!$B:$B,$A546,'Таблиця 1'!$I:$I,"Mirage",'Таблиця 1'!$J:$J,"MK-32")+SUMIFS('Таблиця 1'!$K:$K,'Таблиця 1'!$B:$B,$A546,'Таблиця 1'!$I:$I,"F-16",'Таблиця 1'!$J:$J,"MK-32")+SUMIFS('Таблиця 1'!$K:$K,'Таблиця 1'!$B:$B,$A546,'Таблиця 1'!$I:$I,"МіГ-29",'Таблиця 1'!$J:$J,"MK-32")+SUMIFS('Таблиця 1'!$K:$K,'Таблиця 1'!$B:$B,$A546,'Таблиця 1'!$I:$I,"Су-25",'Таблиця 1'!$J:$J,"MK-32")+SUMIFS('Таблиця 1'!$K:$K,'Таблиця 1'!$B:$B,$A546,'Таблиця 1'!$I:$I,"Су-27",'Таблиця 1'!$J:$J,"MK-32"))</f>
        <v/>
      </c>
      <c r="Q546">
        <f>IF($A546="","",SUMIFS('Таблиця 1'!$K:$K,'Таблиця 1'!$B:$B,$A546,'Таблиця 1'!$I:$I,"Mirage",'Таблиця 1'!$J:$J,"MK-24")+SUMIFS('Таблиця 1'!$K:$K,'Таблиця 1'!$B:$B,$A546,'Таблиця 1'!$I:$I,"F-16",'Таблиця 1'!$J:$J,"MK-24")+SUMIFS('Таблиця 1'!$K:$K,'Таблиця 1'!$B:$B,$A546,'Таблиця 1'!$I:$I,"МіГ-29",'Таблиця 1'!$J:$J,"MK-24")+SUMIFS('Таблиця 1'!$K:$K,'Таблиця 1'!$B:$B,$A546,'Таблиця 1'!$I:$I,"Су-25",'Таблиця 1'!$J:$J,"MK-24")+SUMIFS('Таблиця 1'!$K:$K,'Таблиця 1'!$B:$B,$A546,'Таблиця 1'!$I:$I,"Су-27",'Таблиця 1'!$J:$J,"MK-24"))</f>
        <v/>
      </c>
      <c r="R546">
        <f>IF($A546="","",COUNTIFS('Таблиця 1'!$B:$B,$A546,'Таблиця 1'!$I:$I,"Mirage",'Таблиця 1'!$L:$L,"Уражено")+COUNTIFS('Таблиця 1'!$B:$B,$A546,'Таблиця 1'!$I:$I,"F-16",'Таблиця 1'!$L:$L,"Уражено")+COUNTIFS('Таблиця 1'!$B:$B,$A546,'Таблиця 1'!$I:$I,"МіГ-29",'Таблиця 1'!$L:$L,"Уражено")+COUNTIFS('Таблиця 1'!$B:$B,$A546,'Таблиця 1'!$I:$I,"Су-25",'Таблиця 1'!$L:$L,"Уражено")+COUNTIFS('Таблиця 1'!$B:$B,$A546,'Таблиця 1'!$I:$I,"Су-27",'Таблиця 1'!$L:$L,"Уражено"))</f>
        <v/>
      </c>
      <c r="S546">
        <f>IF($A546="","",COUNTIFS('Таблиця 1'!$B:$B,$A546,'Таблиця 1'!$I:$I,"Mirage",'Таблиця 1'!$L:$L,"НЕ уражено")+COUNTIFS('Таблиця 1'!$B:$B,$A546,'Таблиця 1'!$I:$I,"F-16",'Таблиця 1'!$L:$L,"НЕ уражено")+COUNTIFS('Таблиця 1'!$B:$B,$A546,'Таблиця 1'!$I:$I,"МіГ-29",'Таблиця 1'!$L:$L,"НЕ уражено")+COUNTIFS('Таблиця 1'!$B:$B,$A546,'Таблиця 1'!$I:$I,"Су-25",'Таблиця 1'!$L:$L,"НЕ уражено")+COUNTIFS('Таблиця 1'!$B:$B,$A546,'Таблиця 1'!$I:$I,"Су-27",'Таблиця 1'!$L:$L,"НЕ уражено"))</f>
        <v/>
      </c>
      <c r="T546">
        <f>IF($A546="","",COUNTIFS('Таблиця 1'!$B:$B,$A546,'Таблиця 1'!$I:$I,"Mirage",'Таблиця 1'!$L:$L,"Дорозвідується")+COUNTIFS('Таблиця 1'!$B:$B,$A546,'Таблиця 1'!$I:$I,"F-16",'Таблиця 1'!$L:$L,"Дорозвідується")+COUNTIFS('Таблиця 1'!$B:$B,$A546,'Таблиця 1'!$I:$I,"МіГ-29",'Таблиця 1'!$L:$L,"Дорозвідується")+COUNTIFS('Таблиця 1'!$B:$B,$A546,'Таблиця 1'!$I:$I,"Су-25",'Таблиця 1'!$L:$L,"Дорозвідується")+COUNTIFS('Таблиця 1'!$B:$B,$A546,'Таблиця 1'!$I:$I,"Су-27",'Таблиця 1'!$L:$L,"Дорозвідується"))</f>
        <v/>
      </c>
    </row>
    <row r="547">
      <c r="A547" s="273">
        <f>IF(A546="","",IF(A546+1&gt;MAX('Таблиця 1'!$B:$B),"",A546+1))</f>
        <v/>
      </c>
      <c r="B547">
        <f>IF($A547="","",COUNTIFS('Таблиця 1'!$B:$B,$A547,'Таблиця 1'!$I:$I,"Mirage")+COUNTIFS('Таблиця 1'!$B:$B,$A547,'Таблиця 1'!$I:$I,"F-16")+COUNTIFS('Таблиця 1'!$B:$B,$A547,'Таблиця 1'!$I:$I,"МіГ-29")+COUNTIFS('Таблиця 1'!$B:$B,$A547,'Таблиця 1'!$I:$I,"Су-25")+COUNTIFS('Таблиця 1'!$B:$B,$A547,'Таблиця 1'!$I:$I,"Су-27"))</f>
        <v/>
      </c>
      <c r="C547">
        <f>IF($A547="","",COUNTIFS('Таблиця 1'!$B:$B,$A547,'Таблиця 1'!$I:$I,"Mirage"))</f>
        <v/>
      </c>
      <c r="D547">
        <f>IF($A547="","",COUNTIFS('Таблиця 1'!$B:$B,$A547,'Таблиця 1'!$I:$I,"F-16"))</f>
        <v/>
      </c>
      <c r="E547">
        <f>IF($A547="","",COUNTIFS('Таблиця 1'!$B:$B,$A547,'Таблиця 1'!$I:$I,"МіГ-29"))</f>
        <v/>
      </c>
      <c r="F547">
        <f>IF($A547="","",COUNTIFS('Таблиця 1'!$B:$B,$A547,'Таблиця 1'!$I:$I,"Су-25"))</f>
        <v/>
      </c>
      <c r="G547">
        <f>IF($A547="","",COUNTIFS('Таблиця 1'!$B:$B,$A547,'Таблиця 1'!$I:$I,"Су-27"))</f>
        <v/>
      </c>
      <c r="H547">
        <f>IF($A547="","",SUMIFS('Таблиця 1'!$K:$K,'Таблиця 1'!$B:$B,$A547,'Таблиця 1'!$I:$I,"Mirage",'Таблиця 1'!$J:$J,"AGM-88")+SUMIFS('Таблиця 1'!$K:$K,'Таблиця 1'!$B:$B,$A547,'Таблиця 1'!$I:$I,"F-16",'Таблиця 1'!$J:$J,"AGM-88")+SUMIFS('Таблиця 1'!$K:$K,'Таблиця 1'!$B:$B,$A547,'Таблиця 1'!$I:$I,"МіГ-29",'Таблиця 1'!$J:$J,"AGM-88")+SUMIFS('Таблиця 1'!$K:$K,'Таблиця 1'!$B:$B,$A547,'Таблиця 1'!$I:$I,"Су-25",'Таблиця 1'!$J:$J,"AGM-88")+SUMIFS('Таблиця 1'!$K:$K,'Таблиця 1'!$B:$B,$A547,'Таблиця 1'!$I:$I,"Су-27",'Таблиця 1'!$J:$J,"AGM-88"))</f>
        <v/>
      </c>
      <c r="I547">
        <f>IF($A547="","",SUMIFS('Таблиця 1'!$K:$K,'Таблиця 1'!$B:$B,$A547,'Таблиця 1'!$I:$I,"Mirage",'Таблиця 1'!$J:$J,"AASM-250")+SUMIFS('Таблиця 1'!$K:$K,'Таблиця 1'!$B:$B,$A547,'Таблиця 1'!$I:$I,"F-16",'Таблиця 1'!$J:$J,"AASM-250")+SUMIFS('Таблиця 1'!$K:$K,'Таблиця 1'!$B:$B,$A547,'Таблиця 1'!$I:$I,"МіГ-29",'Таблиця 1'!$J:$J,"AASM-250")+SUMIFS('Таблиця 1'!$K:$K,'Таблиця 1'!$B:$B,$A547,'Таблиця 1'!$I:$I,"Су-25",'Таблиця 1'!$J:$J,"AASM-250")+SUMIFS('Таблиця 1'!$K:$K,'Таблиця 1'!$B:$B,$A547,'Таблиця 1'!$I:$I,"Су-27",'Таблиця 1'!$J:$J,"AASM-250"))</f>
        <v/>
      </c>
      <c r="J547">
        <f>IF($A547="","",SUMIFS('Таблиця 1'!$K:$K,'Таблиця 1'!$B:$B,$A547,'Таблиця 1'!$I:$I,"Mirage",'Таблиця 1'!$J:$J,"GBU-39")+SUMIFS('Таблиця 1'!$K:$K,'Таблиця 1'!$B:$B,$A547,'Таблиця 1'!$I:$I,"F-16",'Таблиця 1'!$J:$J,"GBU-39")+SUMIFS('Таблиця 1'!$K:$K,'Таблиця 1'!$B:$B,$A547,'Таблиця 1'!$I:$I,"МіГ-29",'Таблиця 1'!$J:$J,"GBU-39")+SUMIFS('Таблиця 1'!$K:$K,'Таблиця 1'!$B:$B,$A547,'Таблиця 1'!$I:$I,"Су-25",'Таблиця 1'!$J:$J,"GBU-39")+SUMIFS('Таблиця 1'!$K:$K,'Таблиця 1'!$B:$B,$A547,'Таблиця 1'!$I:$I,"Су-27",'Таблиця 1'!$J:$J,"GBU-39"))</f>
        <v/>
      </c>
      <c r="K547">
        <f>IF($A547="","",SUMIFS('Таблиця 1'!$K:$K,'Таблиця 1'!$B:$B,$A547,'Таблиця 1'!$I:$I,"Mirage",'Таблиця 1'!$J:$J,"BLU-140")+SUMIFS('Таблиця 1'!$K:$K,'Таблиця 1'!$B:$B,$A547,'Таблиця 1'!$I:$I,"F-16",'Таблиця 1'!$J:$J,"BLU-140")+SUMIFS('Таблиця 1'!$K:$K,'Таблиця 1'!$B:$B,$A547,'Таблиця 1'!$I:$I,"МіГ-29",'Таблиця 1'!$J:$J,"BLU-140")+SUMIFS('Таблиця 1'!$K:$K,'Таблиця 1'!$B:$B,$A547,'Таблиця 1'!$I:$I,"Су-25",'Таблиця 1'!$J:$J,"BLU-140")+SUMIFS('Таблиця 1'!$K:$K,'Таблиця 1'!$B:$B,$A547,'Таблиця 1'!$I:$I,"Су-27",'Таблиця 1'!$J:$J,"BLU-140"))</f>
        <v/>
      </c>
      <c r="L547">
        <f>IF($A547="","",SUMIFS('Таблиця 1'!$K:$K,'Таблиця 1'!$B:$B,$A547,'Таблиця 1'!$I:$I,"Mirage",'Таблиця 1'!$J:$J,"GBU-65")+SUMIFS('Таблиця 1'!$K:$K,'Таблиця 1'!$B:$B,$A547,'Таблиця 1'!$I:$I,"F-16",'Таблиця 1'!$J:$J,"GBU-65")+SUMIFS('Таблиця 1'!$K:$K,'Таблиця 1'!$B:$B,$A547,'Таблиця 1'!$I:$I,"МіГ-29",'Таблиця 1'!$J:$J,"GBU-65")+SUMIFS('Таблиця 1'!$K:$K,'Таблиця 1'!$B:$B,$A547,'Таблиця 1'!$I:$I,"Су-25",'Таблиця 1'!$J:$J,"GBU-65")+SUMIFS('Таблиця 1'!$K:$K,'Таблиця 1'!$B:$B,$A547,'Таблиця 1'!$I:$I,"Су-27",'Таблиця 1'!$J:$J,"GBU-65"))</f>
        <v/>
      </c>
      <c r="M547">
        <f>IF($A547="","",SUMIFS('Таблиця 1'!$K:$K,'Таблиця 1'!$B:$B,$A547,'Таблиця 1'!$I:$I,"Mirage",'Таблиця 1'!$J:$J,"GBU-62")+SUMIFS('Таблиця 1'!$K:$K,'Таблиця 1'!$B:$B,$A547,'Таблиця 1'!$I:$I,"F-16",'Таблиця 1'!$J:$J,"GBU-62")+SUMIFS('Таблиця 1'!$K:$K,'Таблиця 1'!$B:$B,$A547,'Таблиця 1'!$I:$I,"МіГ-29",'Таблиця 1'!$J:$J,"GBU-62")+SUMIFS('Таблиця 1'!$K:$K,'Таблиця 1'!$B:$B,$A547,'Таблиця 1'!$I:$I,"Су-25",'Таблиця 1'!$J:$J,"GBU-62")+SUMIFS('Таблиця 1'!$K:$K,'Таблиця 1'!$B:$B,$A547,'Таблиця 1'!$I:$I,"Су-27",'Таблиця 1'!$J:$J,"GBU-62"))</f>
        <v/>
      </c>
      <c r="N547">
        <f>IF($A547="","",SUMIFS('Таблиця 1'!$K:$K,'Таблиця 1'!$B:$B,$A547,'Таблиця 1'!$I:$I,"Mirage",'Таблиця 1'!$J:$J,"GBU-64")+SUMIFS('Таблиця 1'!$K:$K,'Таблиця 1'!$B:$B,$A547,'Таблиця 1'!$I:$I,"F-16",'Таблиця 1'!$J:$J,"GBU-64")+SUMIFS('Таблиця 1'!$K:$K,'Таблиця 1'!$B:$B,$A547,'Таблиця 1'!$I:$I,"МіГ-29",'Таблиця 1'!$J:$J,"GBU-64")+SUMIFS('Таблиця 1'!$K:$K,'Таблиця 1'!$B:$B,$A547,'Таблиця 1'!$I:$I,"Су-25",'Таблиця 1'!$J:$J,"GBU-64")+SUMIFS('Таблиця 1'!$K:$K,'Таблиця 1'!$B:$B,$A547,'Таблиця 1'!$I:$I,"Су-27",'Таблиця 1'!$J:$J,"GBU-64"))</f>
        <v/>
      </c>
      <c r="O547">
        <f>IF($A547="","",SUMIFS('Таблиця 1'!$K:$K,'Таблиця 1'!$B:$B,$A547,'Таблиця 1'!$I:$I,"Mirage",'Таблиця 1'!$J:$J,"C-13")+SUMIFS('Таблиця 1'!$K:$K,'Таблиця 1'!$B:$B,$A547,'Таблиця 1'!$I:$I,"F-16",'Таблиця 1'!$J:$J,"C-13")+SUMIFS('Таблиця 1'!$K:$K,'Таблиця 1'!$B:$B,$A547,'Таблиця 1'!$I:$I,"МіГ-29",'Таблиця 1'!$J:$J,"C-13")+SUMIFS('Таблиця 1'!$K:$K,'Таблиця 1'!$B:$B,$A547,'Таблиця 1'!$I:$I,"Су-25",'Таблиця 1'!$J:$J,"C-13")+SUMIFS('Таблиця 1'!$K:$K,'Таблиця 1'!$B:$B,$A547,'Таблиця 1'!$I:$I,"Су-27",'Таблиця 1'!$J:$J,"C-13"))</f>
        <v/>
      </c>
      <c r="P547">
        <f>IF($A547="","",SUMIFS('Таблиця 1'!$K:$K,'Таблиця 1'!$B:$B,$A547,'Таблиця 1'!$I:$I,"Mirage",'Таблиця 1'!$J:$J,"MK-32")+SUMIFS('Таблиця 1'!$K:$K,'Таблиця 1'!$B:$B,$A547,'Таблиця 1'!$I:$I,"F-16",'Таблиця 1'!$J:$J,"MK-32")+SUMIFS('Таблиця 1'!$K:$K,'Таблиця 1'!$B:$B,$A547,'Таблиця 1'!$I:$I,"МіГ-29",'Таблиця 1'!$J:$J,"MK-32")+SUMIFS('Таблиця 1'!$K:$K,'Таблиця 1'!$B:$B,$A547,'Таблиця 1'!$I:$I,"Су-25",'Таблиця 1'!$J:$J,"MK-32")+SUMIFS('Таблиця 1'!$K:$K,'Таблиця 1'!$B:$B,$A547,'Таблиця 1'!$I:$I,"Су-27",'Таблиця 1'!$J:$J,"MK-32"))</f>
        <v/>
      </c>
      <c r="Q547">
        <f>IF($A547="","",SUMIFS('Таблиця 1'!$K:$K,'Таблиця 1'!$B:$B,$A547,'Таблиця 1'!$I:$I,"Mirage",'Таблиця 1'!$J:$J,"MK-24")+SUMIFS('Таблиця 1'!$K:$K,'Таблиця 1'!$B:$B,$A547,'Таблиця 1'!$I:$I,"F-16",'Таблиця 1'!$J:$J,"MK-24")+SUMIFS('Таблиця 1'!$K:$K,'Таблиця 1'!$B:$B,$A547,'Таблиця 1'!$I:$I,"МіГ-29",'Таблиця 1'!$J:$J,"MK-24")+SUMIFS('Таблиця 1'!$K:$K,'Таблиця 1'!$B:$B,$A547,'Таблиця 1'!$I:$I,"Су-25",'Таблиця 1'!$J:$J,"MK-24")+SUMIFS('Таблиця 1'!$K:$K,'Таблиця 1'!$B:$B,$A547,'Таблиця 1'!$I:$I,"Су-27",'Таблиця 1'!$J:$J,"MK-24"))</f>
        <v/>
      </c>
      <c r="R547">
        <f>IF($A547="","",COUNTIFS('Таблиця 1'!$B:$B,$A547,'Таблиця 1'!$I:$I,"Mirage",'Таблиця 1'!$L:$L,"Уражено")+COUNTIFS('Таблиця 1'!$B:$B,$A547,'Таблиця 1'!$I:$I,"F-16",'Таблиця 1'!$L:$L,"Уражено")+COUNTIFS('Таблиця 1'!$B:$B,$A547,'Таблиця 1'!$I:$I,"МіГ-29",'Таблиця 1'!$L:$L,"Уражено")+COUNTIFS('Таблиця 1'!$B:$B,$A547,'Таблиця 1'!$I:$I,"Су-25",'Таблиця 1'!$L:$L,"Уражено")+COUNTIFS('Таблиця 1'!$B:$B,$A547,'Таблиця 1'!$I:$I,"Су-27",'Таблиця 1'!$L:$L,"Уражено"))</f>
        <v/>
      </c>
      <c r="S547">
        <f>IF($A547="","",COUNTIFS('Таблиця 1'!$B:$B,$A547,'Таблиця 1'!$I:$I,"Mirage",'Таблиця 1'!$L:$L,"НЕ уражено")+COUNTIFS('Таблиця 1'!$B:$B,$A547,'Таблиця 1'!$I:$I,"F-16",'Таблиця 1'!$L:$L,"НЕ уражено")+COUNTIFS('Таблиця 1'!$B:$B,$A547,'Таблиця 1'!$I:$I,"МіГ-29",'Таблиця 1'!$L:$L,"НЕ уражено")+COUNTIFS('Таблиця 1'!$B:$B,$A547,'Таблиця 1'!$I:$I,"Су-25",'Таблиця 1'!$L:$L,"НЕ уражено")+COUNTIFS('Таблиця 1'!$B:$B,$A547,'Таблиця 1'!$I:$I,"Су-27",'Таблиця 1'!$L:$L,"НЕ уражено"))</f>
        <v/>
      </c>
      <c r="T547">
        <f>IF($A547="","",COUNTIFS('Таблиця 1'!$B:$B,$A547,'Таблиця 1'!$I:$I,"Mirage",'Таблиця 1'!$L:$L,"Дорозвідується")+COUNTIFS('Таблиця 1'!$B:$B,$A547,'Таблиця 1'!$I:$I,"F-16",'Таблиця 1'!$L:$L,"Дорозвідується")+COUNTIFS('Таблиця 1'!$B:$B,$A547,'Таблиця 1'!$I:$I,"МіГ-29",'Таблиця 1'!$L:$L,"Дорозвідується")+COUNTIFS('Таблиця 1'!$B:$B,$A547,'Таблиця 1'!$I:$I,"Су-25",'Таблиця 1'!$L:$L,"Дорозвідується")+COUNTIFS('Таблиця 1'!$B:$B,$A547,'Таблиця 1'!$I:$I,"Су-27",'Таблиця 1'!$L:$L,"Дорозвідується"))</f>
        <v/>
      </c>
    </row>
    <row r="548">
      <c r="A548" s="273">
        <f>IF(A547="","",IF(A547+1&gt;MAX('Таблиця 1'!$B:$B),"",A547+1))</f>
        <v/>
      </c>
      <c r="B548">
        <f>IF($A548="","",COUNTIFS('Таблиця 1'!$B:$B,$A548,'Таблиця 1'!$I:$I,"Mirage")+COUNTIFS('Таблиця 1'!$B:$B,$A548,'Таблиця 1'!$I:$I,"F-16")+COUNTIFS('Таблиця 1'!$B:$B,$A548,'Таблиця 1'!$I:$I,"МіГ-29")+COUNTIFS('Таблиця 1'!$B:$B,$A548,'Таблиця 1'!$I:$I,"Су-25")+COUNTIFS('Таблиця 1'!$B:$B,$A548,'Таблиця 1'!$I:$I,"Су-27"))</f>
        <v/>
      </c>
      <c r="C548">
        <f>IF($A548="","",COUNTIFS('Таблиця 1'!$B:$B,$A548,'Таблиця 1'!$I:$I,"Mirage"))</f>
        <v/>
      </c>
      <c r="D548">
        <f>IF($A548="","",COUNTIFS('Таблиця 1'!$B:$B,$A548,'Таблиця 1'!$I:$I,"F-16"))</f>
        <v/>
      </c>
      <c r="E548">
        <f>IF($A548="","",COUNTIFS('Таблиця 1'!$B:$B,$A548,'Таблиця 1'!$I:$I,"МіГ-29"))</f>
        <v/>
      </c>
      <c r="F548">
        <f>IF($A548="","",COUNTIFS('Таблиця 1'!$B:$B,$A548,'Таблиця 1'!$I:$I,"Су-25"))</f>
        <v/>
      </c>
      <c r="G548">
        <f>IF($A548="","",COUNTIFS('Таблиця 1'!$B:$B,$A548,'Таблиця 1'!$I:$I,"Су-27"))</f>
        <v/>
      </c>
      <c r="H548">
        <f>IF($A548="","",SUMIFS('Таблиця 1'!$K:$K,'Таблиця 1'!$B:$B,$A548,'Таблиця 1'!$I:$I,"Mirage",'Таблиця 1'!$J:$J,"AGM-88")+SUMIFS('Таблиця 1'!$K:$K,'Таблиця 1'!$B:$B,$A548,'Таблиця 1'!$I:$I,"F-16",'Таблиця 1'!$J:$J,"AGM-88")+SUMIFS('Таблиця 1'!$K:$K,'Таблиця 1'!$B:$B,$A548,'Таблиця 1'!$I:$I,"МіГ-29",'Таблиця 1'!$J:$J,"AGM-88")+SUMIFS('Таблиця 1'!$K:$K,'Таблиця 1'!$B:$B,$A548,'Таблиця 1'!$I:$I,"Су-25",'Таблиця 1'!$J:$J,"AGM-88")+SUMIFS('Таблиця 1'!$K:$K,'Таблиця 1'!$B:$B,$A548,'Таблиця 1'!$I:$I,"Су-27",'Таблиця 1'!$J:$J,"AGM-88"))</f>
        <v/>
      </c>
      <c r="I548">
        <f>IF($A548="","",SUMIFS('Таблиця 1'!$K:$K,'Таблиця 1'!$B:$B,$A548,'Таблиця 1'!$I:$I,"Mirage",'Таблиця 1'!$J:$J,"AASM-250")+SUMIFS('Таблиця 1'!$K:$K,'Таблиця 1'!$B:$B,$A548,'Таблиця 1'!$I:$I,"F-16",'Таблиця 1'!$J:$J,"AASM-250")+SUMIFS('Таблиця 1'!$K:$K,'Таблиця 1'!$B:$B,$A548,'Таблиця 1'!$I:$I,"МіГ-29",'Таблиця 1'!$J:$J,"AASM-250")+SUMIFS('Таблиця 1'!$K:$K,'Таблиця 1'!$B:$B,$A548,'Таблиця 1'!$I:$I,"Су-25",'Таблиця 1'!$J:$J,"AASM-250")+SUMIFS('Таблиця 1'!$K:$K,'Таблиця 1'!$B:$B,$A548,'Таблиця 1'!$I:$I,"Су-27",'Таблиця 1'!$J:$J,"AASM-250"))</f>
        <v/>
      </c>
      <c r="J548">
        <f>IF($A548="","",SUMIFS('Таблиця 1'!$K:$K,'Таблиця 1'!$B:$B,$A548,'Таблиця 1'!$I:$I,"Mirage",'Таблиця 1'!$J:$J,"GBU-39")+SUMIFS('Таблиця 1'!$K:$K,'Таблиця 1'!$B:$B,$A548,'Таблиця 1'!$I:$I,"F-16",'Таблиця 1'!$J:$J,"GBU-39")+SUMIFS('Таблиця 1'!$K:$K,'Таблиця 1'!$B:$B,$A548,'Таблиця 1'!$I:$I,"МіГ-29",'Таблиця 1'!$J:$J,"GBU-39")+SUMIFS('Таблиця 1'!$K:$K,'Таблиця 1'!$B:$B,$A548,'Таблиця 1'!$I:$I,"Су-25",'Таблиця 1'!$J:$J,"GBU-39")+SUMIFS('Таблиця 1'!$K:$K,'Таблиця 1'!$B:$B,$A548,'Таблиця 1'!$I:$I,"Су-27",'Таблиця 1'!$J:$J,"GBU-39"))</f>
        <v/>
      </c>
      <c r="K548">
        <f>IF($A548="","",SUMIFS('Таблиця 1'!$K:$K,'Таблиця 1'!$B:$B,$A548,'Таблиця 1'!$I:$I,"Mirage",'Таблиця 1'!$J:$J,"BLU-140")+SUMIFS('Таблиця 1'!$K:$K,'Таблиця 1'!$B:$B,$A548,'Таблиця 1'!$I:$I,"F-16",'Таблиця 1'!$J:$J,"BLU-140")+SUMIFS('Таблиця 1'!$K:$K,'Таблиця 1'!$B:$B,$A548,'Таблиця 1'!$I:$I,"МіГ-29",'Таблиця 1'!$J:$J,"BLU-140")+SUMIFS('Таблиця 1'!$K:$K,'Таблиця 1'!$B:$B,$A548,'Таблиця 1'!$I:$I,"Су-25",'Таблиця 1'!$J:$J,"BLU-140")+SUMIFS('Таблиця 1'!$K:$K,'Таблиця 1'!$B:$B,$A548,'Таблиця 1'!$I:$I,"Су-27",'Таблиця 1'!$J:$J,"BLU-140"))</f>
        <v/>
      </c>
      <c r="L548">
        <f>IF($A548="","",SUMIFS('Таблиця 1'!$K:$K,'Таблиця 1'!$B:$B,$A548,'Таблиця 1'!$I:$I,"Mirage",'Таблиця 1'!$J:$J,"GBU-65")+SUMIFS('Таблиця 1'!$K:$K,'Таблиця 1'!$B:$B,$A548,'Таблиця 1'!$I:$I,"F-16",'Таблиця 1'!$J:$J,"GBU-65")+SUMIFS('Таблиця 1'!$K:$K,'Таблиця 1'!$B:$B,$A548,'Таблиця 1'!$I:$I,"МіГ-29",'Таблиця 1'!$J:$J,"GBU-65")+SUMIFS('Таблиця 1'!$K:$K,'Таблиця 1'!$B:$B,$A548,'Таблиця 1'!$I:$I,"Су-25",'Таблиця 1'!$J:$J,"GBU-65")+SUMIFS('Таблиця 1'!$K:$K,'Таблиця 1'!$B:$B,$A548,'Таблиця 1'!$I:$I,"Су-27",'Таблиця 1'!$J:$J,"GBU-65"))</f>
        <v/>
      </c>
      <c r="M548">
        <f>IF($A548="","",SUMIFS('Таблиця 1'!$K:$K,'Таблиця 1'!$B:$B,$A548,'Таблиця 1'!$I:$I,"Mirage",'Таблиця 1'!$J:$J,"GBU-62")+SUMIFS('Таблиця 1'!$K:$K,'Таблиця 1'!$B:$B,$A548,'Таблиця 1'!$I:$I,"F-16",'Таблиця 1'!$J:$J,"GBU-62")+SUMIFS('Таблиця 1'!$K:$K,'Таблиця 1'!$B:$B,$A548,'Таблиця 1'!$I:$I,"МіГ-29",'Таблиця 1'!$J:$J,"GBU-62")+SUMIFS('Таблиця 1'!$K:$K,'Таблиця 1'!$B:$B,$A548,'Таблиця 1'!$I:$I,"Су-25",'Таблиця 1'!$J:$J,"GBU-62")+SUMIFS('Таблиця 1'!$K:$K,'Таблиця 1'!$B:$B,$A548,'Таблиця 1'!$I:$I,"Су-27",'Таблиця 1'!$J:$J,"GBU-62"))</f>
        <v/>
      </c>
      <c r="N548">
        <f>IF($A548="","",SUMIFS('Таблиця 1'!$K:$K,'Таблиця 1'!$B:$B,$A548,'Таблиця 1'!$I:$I,"Mirage",'Таблиця 1'!$J:$J,"GBU-64")+SUMIFS('Таблиця 1'!$K:$K,'Таблиця 1'!$B:$B,$A548,'Таблиця 1'!$I:$I,"F-16",'Таблиця 1'!$J:$J,"GBU-64")+SUMIFS('Таблиця 1'!$K:$K,'Таблиця 1'!$B:$B,$A548,'Таблиця 1'!$I:$I,"МіГ-29",'Таблиця 1'!$J:$J,"GBU-64")+SUMIFS('Таблиця 1'!$K:$K,'Таблиця 1'!$B:$B,$A548,'Таблиця 1'!$I:$I,"Су-25",'Таблиця 1'!$J:$J,"GBU-64")+SUMIFS('Таблиця 1'!$K:$K,'Таблиця 1'!$B:$B,$A548,'Таблиця 1'!$I:$I,"Су-27",'Таблиця 1'!$J:$J,"GBU-64"))</f>
        <v/>
      </c>
      <c r="O548">
        <f>IF($A548="","",SUMIFS('Таблиця 1'!$K:$K,'Таблиця 1'!$B:$B,$A548,'Таблиця 1'!$I:$I,"Mirage",'Таблиця 1'!$J:$J,"C-13")+SUMIFS('Таблиця 1'!$K:$K,'Таблиця 1'!$B:$B,$A548,'Таблиця 1'!$I:$I,"F-16",'Таблиця 1'!$J:$J,"C-13")+SUMIFS('Таблиця 1'!$K:$K,'Таблиця 1'!$B:$B,$A548,'Таблиця 1'!$I:$I,"МіГ-29",'Таблиця 1'!$J:$J,"C-13")+SUMIFS('Таблиця 1'!$K:$K,'Таблиця 1'!$B:$B,$A548,'Таблиця 1'!$I:$I,"Су-25",'Таблиця 1'!$J:$J,"C-13")+SUMIFS('Таблиця 1'!$K:$K,'Таблиця 1'!$B:$B,$A548,'Таблиця 1'!$I:$I,"Су-27",'Таблиця 1'!$J:$J,"C-13"))</f>
        <v/>
      </c>
      <c r="P548">
        <f>IF($A548="","",SUMIFS('Таблиця 1'!$K:$K,'Таблиця 1'!$B:$B,$A548,'Таблиця 1'!$I:$I,"Mirage",'Таблиця 1'!$J:$J,"MK-32")+SUMIFS('Таблиця 1'!$K:$K,'Таблиця 1'!$B:$B,$A548,'Таблиця 1'!$I:$I,"F-16",'Таблиця 1'!$J:$J,"MK-32")+SUMIFS('Таблиця 1'!$K:$K,'Таблиця 1'!$B:$B,$A548,'Таблиця 1'!$I:$I,"МіГ-29",'Таблиця 1'!$J:$J,"MK-32")+SUMIFS('Таблиця 1'!$K:$K,'Таблиця 1'!$B:$B,$A548,'Таблиця 1'!$I:$I,"Су-25",'Таблиця 1'!$J:$J,"MK-32")+SUMIFS('Таблиця 1'!$K:$K,'Таблиця 1'!$B:$B,$A548,'Таблиця 1'!$I:$I,"Су-27",'Таблиця 1'!$J:$J,"MK-32"))</f>
        <v/>
      </c>
      <c r="Q548">
        <f>IF($A548="","",SUMIFS('Таблиця 1'!$K:$K,'Таблиця 1'!$B:$B,$A548,'Таблиця 1'!$I:$I,"Mirage",'Таблиця 1'!$J:$J,"MK-24")+SUMIFS('Таблиця 1'!$K:$K,'Таблиця 1'!$B:$B,$A548,'Таблиця 1'!$I:$I,"F-16",'Таблиця 1'!$J:$J,"MK-24")+SUMIFS('Таблиця 1'!$K:$K,'Таблиця 1'!$B:$B,$A548,'Таблиця 1'!$I:$I,"МіГ-29",'Таблиця 1'!$J:$J,"MK-24")+SUMIFS('Таблиця 1'!$K:$K,'Таблиця 1'!$B:$B,$A548,'Таблиця 1'!$I:$I,"Су-25",'Таблиця 1'!$J:$J,"MK-24")+SUMIFS('Таблиця 1'!$K:$K,'Таблиця 1'!$B:$B,$A548,'Таблиця 1'!$I:$I,"Су-27",'Таблиця 1'!$J:$J,"MK-24"))</f>
        <v/>
      </c>
      <c r="R548">
        <f>IF($A548="","",COUNTIFS('Таблиця 1'!$B:$B,$A548,'Таблиця 1'!$I:$I,"Mirage",'Таблиця 1'!$L:$L,"Уражено")+COUNTIFS('Таблиця 1'!$B:$B,$A548,'Таблиця 1'!$I:$I,"F-16",'Таблиця 1'!$L:$L,"Уражено")+COUNTIFS('Таблиця 1'!$B:$B,$A548,'Таблиця 1'!$I:$I,"МіГ-29",'Таблиця 1'!$L:$L,"Уражено")+COUNTIFS('Таблиця 1'!$B:$B,$A548,'Таблиця 1'!$I:$I,"Су-25",'Таблиця 1'!$L:$L,"Уражено")+COUNTIFS('Таблиця 1'!$B:$B,$A548,'Таблиця 1'!$I:$I,"Су-27",'Таблиця 1'!$L:$L,"Уражено"))</f>
        <v/>
      </c>
      <c r="S548">
        <f>IF($A548="","",COUNTIFS('Таблиця 1'!$B:$B,$A548,'Таблиця 1'!$I:$I,"Mirage",'Таблиця 1'!$L:$L,"НЕ уражено")+COUNTIFS('Таблиця 1'!$B:$B,$A548,'Таблиця 1'!$I:$I,"F-16",'Таблиця 1'!$L:$L,"НЕ уражено")+COUNTIFS('Таблиця 1'!$B:$B,$A548,'Таблиця 1'!$I:$I,"МіГ-29",'Таблиця 1'!$L:$L,"НЕ уражено")+COUNTIFS('Таблиця 1'!$B:$B,$A548,'Таблиця 1'!$I:$I,"Су-25",'Таблиця 1'!$L:$L,"НЕ уражено")+COUNTIFS('Таблиця 1'!$B:$B,$A548,'Таблиця 1'!$I:$I,"Су-27",'Таблиця 1'!$L:$L,"НЕ уражено"))</f>
        <v/>
      </c>
      <c r="T548">
        <f>IF($A548="","",COUNTIFS('Таблиця 1'!$B:$B,$A548,'Таблиця 1'!$I:$I,"Mirage",'Таблиця 1'!$L:$L,"Дорозвідується")+COUNTIFS('Таблиця 1'!$B:$B,$A548,'Таблиця 1'!$I:$I,"F-16",'Таблиця 1'!$L:$L,"Дорозвідується")+COUNTIFS('Таблиця 1'!$B:$B,$A548,'Таблиця 1'!$I:$I,"МіГ-29",'Таблиця 1'!$L:$L,"Дорозвідується")+COUNTIFS('Таблиця 1'!$B:$B,$A548,'Таблиця 1'!$I:$I,"Су-25",'Таблиця 1'!$L:$L,"Дорозвідується")+COUNTIFS('Таблиця 1'!$B:$B,$A548,'Таблиця 1'!$I:$I,"Су-27",'Таблиця 1'!$L:$L,"Дорозвідується"))</f>
        <v/>
      </c>
    </row>
    <row r="549">
      <c r="A549" s="273">
        <f>IF(A548="","",IF(A548+1&gt;MAX('Таблиця 1'!$B:$B),"",A548+1))</f>
        <v/>
      </c>
      <c r="B549">
        <f>IF($A549="","",COUNTIFS('Таблиця 1'!$B:$B,$A549,'Таблиця 1'!$I:$I,"Mirage")+COUNTIFS('Таблиця 1'!$B:$B,$A549,'Таблиця 1'!$I:$I,"F-16")+COUNTIFS('Таблиця 1'!$B:$B,$A549,'Таблиця 1'!$I:$I,"МіГ-29")+COUNTIFS('Таблиця 1'!$B:$B,$A549,'Таблиця 1'!$I:$I,"Су-25")+COUNTIFS('Таблиця 1'!$B:$B,$A549,'Таблиця 1'!$I:$I,"Су-27"))</f>
        <v/>
      </c>
      <c r="C549">
        <f>IF($A549="","",COUNTIFS('Таблиця 1'!$B:$B,$A549,'Таблиця 1'!$I:$I,"Mirage"))</f>
        <v/>
      </c>
      <c r="D549">
        <f>IF($A549="","",COUNTIFS('Таблиця 1'!$B:$B,$A549,'Таблиця 1'!$I:$I,"F-16"))</f>
        <v/>
      </c>
      <c r="E549">
        <f>IF($A549="","",COUNTIFS('Таблиця 1'!$B:$B,$A549,'Таблиця 1'!$I:$I,"МіГ-29"))</f>
        <v/>
      </c>
      <c r="F549">
        <f>IF($A549="","",COUNTIFS('Таблиця 1'!$B:$B,$A549,'Таблиця 1'!$I:$I,"Су-25"))</f>
        <v/>
      </c>
      <c r="G549">
        <f>IF($A549="","",COUNTIFS('Таблиця 1'!$B:$B,$A549,'Таблиця 1'!$I:$I,"Су-27"))</f>
        <v/>
      </c>
      <c r="H549">
        <f>IF($A549="","",SUMIFS('Таблиця 1'!$K:$K,'Таблиця 1'!$B:$B,$A549,'Таблиця 1'!$I:$I,"Mirage",'Таблиця 1'!$J:$J,"AGM-88")+SUMIFS('Таблиця 1'!$K:$K,'Таблиця 1'!$B:$B,$A549,'Таблиця 1'!$I:$I,"F-16",'Таблиця 1'!$J:$J,"AGM-88")+SUMIFS('Таблиця 1'!$K:$K,'Таблиця 1'!$B:$B,$A549,'Таблиця 1'!$I:$I,"МіГ-29",'Таблиця 1'!$J:$J,"AGM-88")+SUMIFS('Таблиця 1'!$K:$K,'Таблиця 1'!$B:$B,$A549,'Таблиця 1'!$I:$I,"Су-25",'Таблиця 1'!$J:$J,"AGM-88")+SUMIFS('Таблиця 1'!$K:$K,'Таблиця 1'!$B:$B,$A549,'Таблиця 1'!$I:$I,"Су-27",'Таблиця 1'!$J:$J,"AGM-88"))</f>
        <v/>
      </c>
      <c r="I549">
        <f>IF($A549="","",SUMIFS('Таблиця 1'!$K:$K,'Таблиця 1'!$B:$B,$A549,'Таблиця 1'!$I:$I,"Mirage",'Таблиця 1'!$J:$J,"AASM-250")+SUMIFS('Таблиця 1'!$K:$K,'Таблиця 1'!$B:$B,$A549,'Таблиця 1'!$I:$I,"F-16",'Таблиця 1'!$J:$J,"AASM-250")+SUMIFS('Таблиця 1'!$K:$K,'Таблиця 1'!$B:$B,$A549,'Таблиця 1'!$I:$I,"МіГ-29",'Таблиця 1'!$J:$J,"AASM-250")+SUMIFS('Таблиця 1'!$K:$K,'Таблиця 1'!$B:$B,$A549,'Таблиця 1'!$I:$I,"Су-25",'Таблиця 1'!$J:$J,"AASM-250")+SUMIFS('Таблиця 1'!$K:$K,'Таблиця 1'!$B:$B,$A549,'Таблиця 1'!$I:$I,"Су-27",'Таблиця 1'!$J:$J,"AASM-250"))</f>
        <v/>
      </c>
      <c r="J549">
        <f>IF($A549="","",SUMIFS('Таблиця 1'!$K:$K,'Таблиця 1'!$B:$B,$A549,'Таблиця 1'!$I:$I,"Mirage",'Таблиця 1'!$J:$J,"GBU-39")+SUMIFS('Таблиця 1'!$K:$K,'Таблиця 1'!$B:$B,$A549,'Таблиця 1'!$I:$I,"F-16",'Таблиця 1'!$J:$J,"GBU-39")+SUMIFS('Таблиця 1'!$K:$K,'Таблиця 1'!$B:$B,$A549,'Таблиця 1'!$I:$I,"МіГ-29",'Таблиця 1'!$J:$J,"GBU-39")+SUMIFS('Таблиця 1'!$K:$K,'Таблиця 1'!$B:$B,$A549,'Таблиця 1'!$I:$I,"Су-25",'Таблиця 1'!$J:$J,"GBU-39")+SUMIFS('Таблиця 1'!$K:$K,'Таблиця 1'!$B:$B,$A549,'Таблиця 1'!$I:$I,"Су-27",'Таблиця 1'!$J:$J,"GBU-39"))</f>
        <v/>
      </c>
      <c r="K549">
        <f>IF($A549="","",SUMIFS('Таблиця 1'!$K:$K,'Таблиця 1'!$B:$B,$A549,'Таблиця 1'!$I:$I,"Mirage",'Таблиця 1'!$J:$J,"BLU-140")+SUMIFS('Таблиця 1'!$K:$K,'Таблиця 1'!$B:$B,$A549,'Таблиця 1'!$I:$I,"F-16",'Таблиця 1'!$J:$J,"BLU-140")+SUMIFS('Таблиця 1'!$K:$K,'Таблиця 1'!$B:$B,$A549,'Таблиця 1'!$I:$I,"МіГ-29",'Таблиця 1'!$J:$J,"BLU-140")+SUMIFS('Таблиця 1'!$K:$K,'Таблиця 1'!$B:$B,$A549,'Таблиця 1'!$I:$I,"Су-25",'Таблиця 1'!$J:$J,"BLU-140")+SUMIFS('Таблиця 1'!$K:$K,'Таблиця 1'!$B:$B,$A549,'Таблиця 1'!$I:$I,"Су-27",'Таблиця 1'!$J:$J,"BLU-140"))</f>
        <v/>
      </c>
      <c r="L549">
        <f>IF($A549="","",SUMIFS('Таблиця 1'!$K:$K,'Таблиця 1'!$B:$B,$A549,'Таблиця 1'!$I:$I,"Mirage",'Таблиця 1'!$J:$J,"GBU-65")+SUMIFS('Таблиця 1'!$K:$K,'Таблиця 1'!$B:$B,$A549,'Таблиця 1'!$I:$I,"F-16",'Таблиця 1'!$J:$J,"GBU-65")+SUMIFS('Таблиця 1'!$K:$K,'Таблиця 1'!$B:$B,$A549,'Таблиця 1'!$I:$I,"МіГ-29",'Таблиця 1'!$J:$J,"GBU-65")+SUMIFS('Таблиця 1'!$K:$K,'Таблиця 1'!$B:$B,$A549,'Таблиця 1'!$I:$I,"Су-25",'Таблиця 1'!$J:$J,"GBU-65")+SUMIFS('Таблиця 1'!$K:$K,'Таблиця 1'!$B:$B,$A549,'Таблиця 1'!$I:$I,"Су-27",'Таблиця 1'!$J:$J,"GBU-65"))</f>
        <v/>
      </c>
      <c r="M549">
        <f>IF($A549="","",SUMIFS('Таблиця 1'!$K:$K,'Таблиця 1'!$B:$B,$A549,'Таблиця 1'!$I:$I,"Mirage",'Таблиця 1'!$J:$J,"GBU-62")+SUMIFS('Таблиця 1'!$K:$K,'Таблиця 1'!$B:$B,$A549,'Таблиця 1'!$I:$I,"F-16",'Таблиця 1'!$J:$J,"GBU-62")+SUMIFS('Таблиця 1'!$K:$K,'Таблиця 1'!$B:$B,$A549,'Таблиця 1'!$I:$I,"МіГ-29",'Таблиця 1'!$J:$J,"GBU-62")+SUMIFS('Таблиця 1'!$K:$K,'Таблиця 1'!$B:$B,$A549,'Таблиця 1'!$I:$I,"Су-25",'Таблиця 1'!$J:$J,"GBU-62")+SUMIFS('Таблиця 1'!$K:$K,'Таблиця 1'!$B:$B,$A549,'Таблиця 1'!$I:$I,"Су-27",'Таблиця 1'!$J:$J,"GBU-62"))</f>
        <v/>
      </c>
      <c r="N549">
        <f>IF($A549="","",SUMIFS('Таблиця 1'!$K:$K,'Таблиця 1'!$B:$B,$A549,'Таблиця 1'!$I:$I,"Mirage",'Таблиця 1'!$J:$J,"GBU-64")+SUMIFS('Таблиця 1'!$K:$K,'Таблиця 1'!$B:$B,$A549,'Таблиця 1'!$I:$I,"F-16",'Таблиця 1'!$J:$J,"GBU-64")+SUMIFS('Таблиця 1'!$K:$K,'Таблиця 1'!$B:$B,$A549,'Таблиця 1'!$I:$I,"МіГ-29",'Таблиця 1'!$J:$J,"GBU-64")+SUMIFS('Таблиця 1'!$K:$K,'Таблиця 1'!$B:$B,$A549,'Таблиця 1'!$I:$I,"Су-25",'Таблиця 1'!$J:$J,"GBU-64")+SUMIFS('Таблиця 1'!$K:$K,'Таблиця 1'!$B:$B,$A549,'Таблиця 1'!$I:$I,"Су-27",'Таблиця 1'!$J:$J,"GBU-64"))</f>
        <v/>
      </c>
      <c r="O549">
        <f>IF($A549="","",SUMIFS('Таблиця 1'!$K:$K,'Таблиця 1'!$B:$B,$A549,'Таблиця 1'!$I:$I,"Mirage",'Таблиця 1'!$J:$J,"C-13")+SUMIFS('Таблиця 1'!$K:$K,'Таблиця 1'!$B:$B,$A549,'Таблиця 1'!$I:$I,"F-16",'Таблиця 1'!$J:$J,"C-13")+SUMIFS('Таблиця 1'!$K:$K,'Таблиця 1'!$B:$B,$A549,'Таблиця 1'!$I:$I,"МіГ-29",'Таблиця 1'!$J:$J,"C-13")+SUMIFS('Таблиця 1'!$K:$K,'Таблиця 1'!$B:$B,$A549,'Таблиця 1'!$I:$I,"Су-25",'Таблиця 1'!$J:$J,"C-13")+SUMIFS('Таблиця 1'!$K:$K,'Таблиця 1'!$B:$B,$A549,'Таблиця 1'!$I:$I,"Су-27",'Таблиця 1'!$J:$J,"C-13"))</f>
        <v/>
      </c>
      <c r="P549">
        <f>IF($A549="","",SUMIFS('Таблиця 1'!$K:$K,'Таблиця 1'!$B:$B,$A549,'Таблиця 1'!$I:$I,"Mirage",'Таблиця 1'!$J:$J,"MK-32")+SUMIFS('Таблиця 1'!$K:$K,'Таблиця 1'!$B:$B,$A549,'Таблиця 1'!$I:$I,"F-16",'Таблиця 1'!$J:$J,"MK-32")+SUMIFS('Таблиця 1'!$K:$K,'Таблиця 1'!$B:$B,$A549,'Таблиця 1'!$I:$I,"МіГ-29",'Таблиця 1'!$J:$J,"MK-32")+SUMIFS('Таблиця 1'!$K:$K,'Таблиця 1'!$B:$B,$A549,'Таблиця 1'!$I:$I,"Су-25",'Таблиця 1'!$J:$J,"MK-32")+SUMIFS('Таблиця 1'!$K:$K,'Таблиця 1'!$B:$B,$A549,'Таблиця 1'!$I:$I,"Су-27",'Таблиця 1'!$J:$J,"MK-32"))</f>
        <v/>
      </c>
      <c r="Q549">
        <f>IF($A549="","",SUMIFS('Таблиця 1'!$K:$K,'Таблиця 1'!$B:$B,$A549,'Таблиця 1'!$I:$I,"Mirage",'Таблиця 1'!$J:$J,"MK-24")+SUMIFS('Таблиця 1'!$K:$K,'Таблиця 1'!$B:$B,$A549,'Таблиця 1'!$I:$I,"F-16",'Таблиця 1'!$J:$J,"MK-24")+SUMIFS('Таблиця 1'!$K:$K,'Таблиця 1'!$B:$B,$A549,'Таблиця 1'!$I:$I,"МіГ-29",'Таблиця 1'!$J:$J,"MK-24")+SUMIFS('Таблиця 1'!$K:$K,'Таблиця 1'!$B:$B,$A549,'Таблиця 1'!$I:$I,"Су-25",'Таблиця 1'!$J:$J,"MK-24")+SUMIFS('Таблиця 1'!$K:$K,'Таблиця 1'!$B:$B,$A549,'Таблиця 1'!$I:$I,"Су-27",'Таблиця 1'!$J:$J,"MK-24"))</f>
        <v/>
      </c>
      <c r="R549">
        <f>IF($A549="","",COUNTIFS('Таблиця 1'!$B:$B,$A549,'Таблиця 1'!$I:$I,"Mirage",'Таблиця 1'!$L:$L,"Уражено")+COUNTIFS('Таблиця 1'!$B:$B,$A549,'Таблиця 1'!$I:$I,"F-16",'Таблиця 1'!$L:$L,"Уражено")+COUNTIFS('Таблиця 1'!$B:$B,$A549,'Таблиця 1'!$I:$I,"МіГ-29",'Таблиця 1'!$L:$L,"Уражено")+COUNTIFS('Таблиця 1'!$B:$B,$A549,'Таблиця 1'!$I:$I,"Су-25",'Таблиця 1'!$L:$L,"Уражено")+COUNTIFS('Таблиця 1'!$B:$B,$A549,'Таблиця 1'!$I:$I,"Су-27",'Таблиця 1'!$L:$L,"Уражено"))</f>
        <v/>
      </c>
      <c r="S549">
        <f>IF($A549="","",COUNTIFS('Таблиця 1'!$B:$B,$A549,'Таблиця 1'!$I:$I,"Mirage",'Таблиця 1'!$L:$L,"НЕ уражено")+COUNTIFS('Таблиця 1'!$B:$B,$A549,'Таблиця 1'!$I:$I,"F-16",'Таблиця 1'!$L:$L,"НЕ уражено")+COUNTIFS('Таблиця 1'!$B:$B,$A549,'Таблиця 1'!$I:$I,"МіГ-29",'Таблиця 1'!$L:$L,"НЕ уражено")+COUNTIFS('Таблиця 1'!$B:$B,$A549,'Таблиця 1'!$I:$I,"Су-25",'Таблиця 1'!$L:$L,"НЕ уражено")+COUNTIFS('Таблиця 1'!$B:$B,$A549,'Таблиця 1'!$I:$I,"Су-27",'Таблиця 1'!$L:$L,"НЕ уражено"))</f>
        <v/>
      </c>
      <c r="T549">
        <f>IF($A549="","",COUNTIFS('Таблиця 1'!$B:$B,$A549,'Таблиця 1'!$I:$I,"Mirage",'Таблиця 1'!$L:$L,"Дорозвідується")+COUNTIFS('Таблиця 1'!$B:$B,$A549,'Таблиця 1'!$I:$I,"F-16",'Таблиця 1'!$L:$L,"Дорозвідується")+COUNTIFS('Таблиця 1'!$B:$B,$A549,'Таблиця 1'!$I:$I,"МіГ-29",'Таблиця 1'!$L:$L,"Дорозвідується")+COUNTIFS('Таблиця 1'!$B:$B,$A549,'Таблиця 1'!$I:$I,"Су-25",'Таблиця 1'!$L:$L,"Дорозвідується")+COUNTIFS('Таблиця 1'!$B:$B,$A549,'Таблиця 1'!$I:$I,"Су-27",'Таблиця 1'!$L:$L,"Дорозвідується"))</f>
        <v/>
      </c>
    </row>
    <row r="550">
      <c r="A550" s="273">
        <f>IF(A549="","",IF(A549+1&gt;MAX('Таблиця 1'!$B:$B),"",A549+1))</f>
        <v/>
      </c>
      <c r="B550">
        <f>IF($A550="","",COUNTIFS('Таблиця 1'!$B:$B,$A550,'Таблиця 1'!$I:$I,"Mirage")+COUNTIFS('Таблиця 1'!$B:$B,$A550,'Таблиця 1'!$I:$I,"F-16")+COUNTIFS('Таблиця 1'!$B:$B,$A550,'Таблиця 1'!$I:$I,"МіГ-29")+COUNTIFS('Таблиця 1'!$B:$B,$A550,'Таблиця 1'!$I:$I,"Су-25")+COUNTIFS('Таблиця 1'!$B:$B,$A550,'Таблиця 1'!$I:$I,"Су-27"))</f>
        <v/>
      </c>
      <c r="C550">
        <f>IF($A550="","",COUNTIFS('Таблиця 1'!$B:$B,$A550,'Таблиця 1'!$I:$I,"Mirage"))</f>
        <v/>
      </c>
      <c r="D550">
        <f>IF($A550="","",COUNTIFS('Таблиця 1'!$B:$B,$A550,'Таблиця 1'!$I:$I,"F-16"))</f>
        <v/>
      </c>
      <c r="E550">
        <f>IF($A550="","",COUNTIFS('Таблиця 1'!$B:$B,$A550,'Таблиця 1'!$I:$I,"МіГ-29"))</f>
        <v/>
      </c>
      <c r="F550">
        <f>IF($A550="","",COUNTIFS('Таблиця 1'!$B:$B,$A550,'Таблиця 1'!$I:$I,"Су-25"))</f>
        <v/>
      </c>
      <c r="G550">
        <f>IF($A550="","",COUNTIFS('Таблиця 1'!$B:$B,$A550,'Таблиця 1'!$I:$I,"Су-27"))</f>
        <v/>
      </c>
      <c r="H550">
        <f>IF($A550="","",SUMIFS('Таблиця 1'!$K:$K,'Таблиця 1'!$B:$B,$A550,'Таблиця 1'!$I:$I,"Mirage",'Таблиця 1'!$J:$J,"AGM-88")+SUMIFS('Таблиця 1'!$K:$K,'Таблиця 1'!$B:$B,$A550,'Таблиця 1'!$I:$I,"F-16",'Таблиця 1'!$J:$J,"AGM-88")+SUMIFS('Таблиця 1'!$K:$K,'Таблиця 1'!$B:$B,$A550,'Таблиця 1'!$I:$I,"МіГ-29",'Таблиця 1'!$J:$J,"AGM-88")+SUMIFS('Таблиця 1'!$K:$K,'Таблиця 1'!$B:$B,$A550,'Таблиця 1'!$I:$I,"Су-25",'Таблиця 1'!$J:$J,"AGM-88")+SUMIFS('Таблиця 1'!$K:$K,'Таблиця 1'!$B:$B,$A550,'Таблиця 1'!$I:$I,"Су-27",'Таблиця 1'!$J:$J,"AGM-88"))</f>
        <v/>
      </c>
      <c r="I550">
        <f>IF($A550="","",SUMIFS('Таблиця 1'!$K:$K,'Таблиця 1'!$B:$B,$A550,'Таблиця 1'!$I:$I,"Mirage",'Таблиця 1'!$J:$J,"AASM-250")+SUMIFS('Таблиця 1'!$K:$K,'Таблиця 1'!$B:$B,$A550,'Таблиця 1'!$I:$I,"F-16",'Таблиця 1'!$J:$J,"AASM-250")+SUMIFS('Таблиця 1'!$K:$K,'Таблиця 1'!$B:$B,$A550,'Таблиця 1'!$I:$I,"МіГ-29",'Таблиця 1'!$J:$J,"AASM-250")+SUMIFS('Таблиця 1'!$K:$K,'Таблиця 1'!$B:$B,$A550,'Таблиця 1'!$I:$I,"Су-25",'Таблиця 1'!$J:$J,"AASM-250")+SUMIFS('Таблиця 1'!$K:$K,'Таблиця 1'!$B:$B,$A550,'Таблиця 1'!$I:$I,"Су-27",'Таблиця 1'!$J:$J,"AASM-250"))</f>
        <v/>
      </c>
      <c r="J550">
        <f>IF($A550="","",SUMIFS('Таблиця 1'!$K:$K,'Таблиця 1'!$B:$B,$A550,'Таблиця 1'!$I:$I,"Mirage",'Таблиця 1'!$J:$J,"GBU-39")+SUMIFS('Таблиця 1'!$K:$K,'Таблиця 1'!$B:$B,$A550,'Таблиця 1'!$I:$I,"F-16",'Таблиця 1'!$J:$J,"GBU-39")+SUMIFS('Таблиця 1'!$K:$K,'Таблиця 1'!$B:$B,$A550,'Таблиця 1'!$I:$I,"МіГ-29",'Таблиця 1'!$J:$J,"GBU-39")+SUMIFS('Таблиця 1'!$K:$K,'Таблиця 1'!$B:$B,$A550,'Таблиця 1'!$I:$I,"Су-25",'Таблиця 1'!$J:$J,"GBU-39")+SUMIFS('Таблиця 1'!$K:$K,'Таблиця 1'!$B:$B,$A550,'Таблиця 1'!$I:$I,"Су-27",'Таблиця 1'!$J:$J,"GBU-39"))</f>
        <v/>
      </c>
      <c r="K550">
        <f>IF($A550="","",SUMIFS('Таблиця 1'!$K:$K,'Таблиця 1'!$B:$B,$A550,'Таблиця 1'!$I:$I,"Mirage",'Таблиця 1'!$J:$J,"BLU-140")+SUMIFS('Таблиця 1'!$K:$K,'Таблиця 1'!$B:$B,$A550,'Таблиця 1'!$I:$I,"F-16",'Таблиця 1'!$J:$J,"BLU-140")+SUMIFS('Таблиця 1'!$K:$K,'Таблиця 1'!$B:$B,$A550,'Таблиця 1'!$I:$I,"МіГ-29",'Таблиця 1'!$J:$J,"BLU-140")+SUMIFS('Таблиця 1'!$K:$K,'Таблиця 1'!$B:$B,$A550,'Таблиця 1'!$I:$I,"Су-25",'Таблиця 1'!$J:$J,"BLU-140")+SUMIFS('Таблиця 1'!$K:$K,'Таблиця 1'!$B:$B,$A550,'Таблиця 1'!$I:$I,"Су-27",'Таблиця 1'!$J:$J,"BLU-140"))</f>
        <v/>
      </c>
      <c r="L550">
        <f>IF($A550="","",SUMIFS('Таблиця 1'!$K:$K,'Таблиця 1'!$B:$B,$A550,'Таблиця 1'!$I:$I,"Mirage",'Таблиця 1'!$J:$J,"GBU-65")+SUMIFS('Таблиця 1'!$K:$K,'Таблиця 1'!$B:$B,$A550,'Таблиця 1'!$I:$I,"F-16",'Таблиця 1'!$J:$J,"GBU-65")+SUMIFS('Таблиця 1'!$K:$K,'Таблиця 1'!$B:$B,$A550,'Таблиця 1'!$I:$I,"МіГ-29",'Таблиця 1'!$J:$J,"GBU-65")+SUMIFS('Таблиця 1'!$K:$K,'Таблиця 1'!$B:$B,$A550,'Таблиця 1'!$I:$I,"Су-25",'Таблиця 1'!$J:$J,"GBU-65")+SUMIFS('Таблиця 1'!$K:$K,'Таблиця 1'!$B:$B,$A550,'Таблиця 1'!$I:$I,"Су-27",'Таблиця 1'!$J:$J,"GBU-65"))</f>
        <v/>
      </c>
      <c r="M550">
        <f>IF($A550="","",SUMIFS('Таблиця 1'!$K:$K,'Таблиця 1'!$B:$B,$A550,'Таблиця 1'!$I:$I,"Mirage",'Таблиця 1'!$J:$J,"GBU-62")+SUMIFS('Таблиця 1'!$K:$K,'Таблиця 1'!$B:$B,$A550,'Таблиця 1'!$I:$I,"F-16",'Таблиця 1'!$J:$J,"GBU-62")+SUMIFS('Таблиця 1'!$K:$K,'Таблиця 1'!$B:$B,$A550,'Таблиця 1'!$I:$I,"МіГ-29",'Таблиця 1'!$J:$J,"GBU-62")+SUMIFS('Таблиця 1'!$K:$K,'Таблиця 1'!$B:$B,$A550,'Таблиця 1'!$I:$I,"Су-25",'Таблиця 1'!$J:$J,"GBU-62")+SUMIFS('Таблиця 1'!$K:$K,'Таблиця 1'!$B:$B,$A550,'Таблиця 1'!$I:$I,"Су-27",'Таблиця 1'!$J:$J,"GBU-62"))</f>
        <v/>
      </c>
      <c r="N550">
        <f>IF($A550="","",SUMIFS('Таблиця 1'!$K:$K,'Таблиця 1'!$B:$B,$A550,'Таблиця 1'!$I:$I,"Mirage",'Таблиця 1'!$J:$J,"GBU-64")+SUMIFS('Таблиця 1'!$K:$K,'Таблиця 1'!$B:$B,$A550,'Таблиця 1'!$I:$I,"F-16",'Таблиця 1'!$J:$J,"GBU-64")+SUMIFS('Таблиця 1'!$K:$K,'Таблиця 1'!$B:$B,$A550,'Таблиця 1'!$I:$I,"МіГ-29",'Таблиця 1'!$J:$J,"GBU-64")+SUMIFS('Таблиця 1'!$K:$K,'Таблиця 1'!$B:$B,$A550,'Таблиця 1'!$I:$I,"Су-25",'Таблиця 1'!$J:$J,"GBU-64")+SUMIFS('Таблиця 1'!$K:$K,'Таблиця 1'!$B:$B,$A550,'Таблиця 1'!$I:$I,"Су-27",'Таблиця 1'!$J:$J,"GBU-64"))</f>
        <v/>
      </c>
      <c r="O550">
        <f>IF($A550="","",SUMIFS('Таблиця 1'!$K:$K,'Таблиця 1'!$B:$B,$A550,'Таблиця 1'!$I:$I,"Mirage",'Таблиця 1'!$J:$J,"C-13")+SUMIFS('Таблиця 1'!$K:$K,'Таблиця 1'!$B:$B,$A550,'Таблиця 1'!$I:$I,"F-16",'Таблиця 1'!$J:$J,"C-13")+SUMIFS('Таблиця 1'!$K:$K,'Таблиця 1'!$B:$B,$A550,'Таблиця 1'!$I:$I,"МіГ-29",'Таблиця 1'!$J:$J,"C-13")+SUMIFS('Таблиця 1'!$K:$K,'Таблиця 1'!$B:$B,$A550,'Таблиця 1'!$I:$I,"Су-25",'Таблиця 1'!$J:$J,"C-13")+SUMIFS('Таблиця 1'!$K:$K,'Таблиця 1'!$B:$B,$A550,'Таблиця 1'!$I:$I,"Су-27",'Таблиця 1'!$J:$J,"C-13"))</f>
        <v/>
      </c>
      <c r="P550">
        <f>IF($A550="","",SUMIFS('Таблиця 1'!$K:$K,'Таблиця 1'!$B:$B,$A550,'Таблиця 1'!$I:$I,"Mirage",'Таблиця 1'!$J:$J,"MK-32")+SUMIFS('Таблиця 1'!$K:$K,'Таблиця 1'!$B:$B,$A550,'Таблиця 1'!$I:$I,"F-16",'Таблиця 1'!$J:$J,"MK-32")+SUMIFS('Таблиця 1'!$K:$K,'Таблиця 1'!$B:$B,$A550,'Таблиця 1'!$I:$I,"МіГ-29",'Таблиця 1'!$J:$J,"MK-32")+SUMIFS('Таблиця 1'!$K:$K,'Таблиця 1'!$B:$B,$A550,'Таблиця 1'!$I:$I,"Су-25",'Таблиця 1'!$J:$J,"MK-32")+SUMIFS('Таблиця 1'!$K:$K,'Таблиця 1'!$B:$B,$A550,'Таблиця 1'!$I:$I,"Су-27",'Таблиця 1'!$J:$J,"MK-32"))</f>
        <v/>
      </c>
      <c r="Q550">
        <f>IF($A550="","",SUMIFS('Таблиця 1'!$K:$K,'Таблиця 1'!$B:$B,$A550,'Таблиця 1'!$I:$I,"Mirage",'Таблиця 1'!$J:$J,"MK-24")+SUMIFS('Таблиця 1'!$K:$K,'Таблиця 1'!$B:$B,$A550,'Таблиця 1'!$I:$I,"F-16",'Таблиця 1'!$J:$J,"MK-24")+SUMIFS('Таблиця 1'!$K:$K,'Таблиця 1'!$B:$B,$A550,'Таблиця 1'!$I:$I,"МіГ-29",'Таблиця 1'!$J:$J,"MK-24")+SUMIFS('Таблиця 1'!$K:$K,'Таблиця 1'!$B:$B,$A550,'Таблиця 1'!$I:$I,"Су-25",'Таблиця 1'!$J:$J,"MK-24")+SUMIFS('Таблиця 1'!$K:$K,'Таблиця 1'!$B:$B,$A550,'Таблиця 1'!$I:$I,"Су-27",'Таблиця 1'!$J:$J,"MK-24"))</f>
        <v/>
      </c>
      <c r="R550">
        <f>IF($A550="","",COUNTIFS('Таблиця 1'!$B:$B,$A550,'Таблиця 1'!$I:$I,"Mirage",'Таблиця 1'!$L:$L,"Уражено")+COUNTIFS('Таблиця 1'!$B:$B,$A550,'Таблиця 1'!$I:$I,"F-16",'Таблиця 1'!$L:$L,"Уражено")+COUNTIFS('Таблиця 1'!$B:$B,$A550,'Таблиця 1'!$I:$I,"МіГ-29",'Таблиця 1'!$L:$L,"Уражено")+COUNTIFS('Таблиця 1'!$B:$B,$A550,'Таблиця 1'!$I:$I,"Су-25",'Таблиця 1'!$L:$L,"Уражено")+COUNTIFS('Таблиця 1'!$B:$B,$A550,'Таблиця 1'!$I:$I,"Су-27",'Таблиця 1'!$L:$L,"Уражено"))</f>
        <v/>
      </c>
      <c r="S550">
        <f>IF($A550="","",COUNTIFS('Таблиця 1'!$B:$B,$A550,'Таблиця 1'!$I:$I,"Mirage",'Таблиця 1'!$L:$L,"НЕ уражено")+COUNTIFS('Таблиця 1'!$B:$B,$A550,'Таблиця 1'!$I:$I,"F-16",'Таблиця 1'!$L:$L,"НЕ уражено")+COUNTIFS('Таблиця 1'!$B:$B,$A550,'Таблиця 1'!$I:$I,"МіГ-29",'Таблиця 1'!$L:$L,"НЕ уражено")+COUNTIFS('Таблиця 1'!$B:$B,$A550,'Таблиця 1'!$I:$I,"Су-25",'Таблиця 1'!$L:$L,"НЕ уражено")+COUNTIFS('Таблиця 1'!$B:$B,$A550,'Таблиця 1'!$I:$I,"Су-27",'Таблиця 1'!$L:$L,"НЕ уражено"))</f>
        <v/>
      </c>
      <c r="T550">
        <f>IF($A550="","",COUNTIFS('Таблиця 1'!$B:$B,$A550,'Таблиця 1'!$I:$I,"Mirage",'Таблиця 1'!$L:$L,"Дорозвідується")+COUNTIFS('Таблиця 1'!$B:$B,$A550,'Таблиця 1'!$I:$I,"F-16",'Таблиця 1'!$L:$L,"Дорозвідується")+COUNTIFS('Таблиця 1'!$B:$B,$A550,'Таблиця 1'!$I:$I,"МіГ-29",'Таблиця 1'!$L:$L,"Дорозвідується")+COUNTIFS('Таблиця 1'!$B:$B,$A550,'Таблиця 1'!$I:$I,"Су-25",'Таблиця 1'!$L:$L,"Дорозвідується")+COUNTIFS('Таблиця 1'!$B:$B,$A550,'Таблиця 1'!$I:$I,"Су-27",'Таблиця 1'!$L:$L,"Дорозвідується"))</f>
        <v/>
      </c>
    </row>
    <row r="551">
      <c r="A551" s="273">
        <f>IF(A550="","",IF(A550+1&gt;MAX('Таблиця 1'!$B:$B),"",A550+1))</f>
        <v/>
      </c>
      <c r="B551">
        <f>IF($A551="","",COUNTIFS('Таблиця 1'!$B:$B,$A551,'Таблиця 1'!$I:$I,"Mirage")+COUNTIFS('Таблиця 1'!$B:$B,$A551,'Таблиця 1'!$I:$I,"F-16")+COUNTIFS('Таблиця 1'!$B:$B,$A551,'Таблиця 1'!$I:$I,"МіГ-29")+COUNTIFS('Таблиця 1'!$B:$B,$A551,'Таблиця 1'!$I:$I,"Су-25")+COUNTIFS('Таблиця 1'!$B:$B,$A551,'Таблиця 1'!$I:$I,"Су-27"))</f>
        <v/>
      </c>
      <c r="C551">
        <f>IF($A551="","",COUNTIFS('Таблиця 1'!$B:$B,$A551,'Таблиця 1'!$I:$I,"Mirage"))</f>
        <v/>
      </c>
      <c r="D551">
        <f>IF($A551="","",COUNTIFS('Таблиця 1'!$B:$B,$A551,'Таблиця 1'!$I:$I,"F-16"))</f>
        <v/>
      </c>
      <c r="E551">
        <f>IF($A551="","",COUNTIFS('Таблиця 1'!$B:$B,$A551,'Таблиця 1'!$I:$I,"МіГ-29"))</f>
        <v/>
      </c>
      <c r="F551">
        <f>IF($A551="","",COUNTIFS('Таблиця 1'!$B:$B,$A551,'Таблиця 1'!$I:$I,"Су-25"))</f>
        <v/>
      </c>
      <c r="G551">
        <f>IF($A551="","",COUNTIFS('Таблиця 1'!$B:$B,$A551,'Таблиця 1'!$I:$I,"Су-27"))</f>
        <v/>
      </c>
      <c r="H551">
        <f>IF($A551="","",SUMIFS('Таблиця 1'!$K:$K,'Таблиця 1'!$B:$B,$A551,'Таблиця 1'!$I:$I,"Mirage",'Таблиця 1'!$J:$J,"AGM-88")+SUMIFS('Таблиця 1'!$K:$K,'Таблиця 1'!$B:$B,$A551,'Таблиця 1'!$I:$I,"F-16",'Таблиця 1'!$J:$J,"AGM-88")+SUMIFS('Таблиця 1'!$K:$K,'Таблиця 1'!$B:$B,$A551,'Таблиця 1'!$I:$I,"МіГ-29",'Таблиця 1'!$J:$J,"AGM-88")+SUMIFS('Таблиця 1'!$K:$K,'Таблиця 1'!$B:$B,$A551,'Таблиця 1'!$I:$I,"Су-25",'Таблиця 1'!$J:$J,"AGM-88")+SUMIFS('Таблиця 1'!$K:$K,'Таблиця 1'!$B:$B,$A551,'Таблиця 1'!$I:$I,"Су-27",'Таблиця 1'!$J:$J,"AGM-88"))</f>
        <v/>
      </c>
      <c r="I551">
        <f>IF($A551="","",SUMIFS('Таблиця 1'!$K:$K,'Таблиця 1'!$B:$B,$A551,'Таблиця 1'!$I:$I,"Mirage",'Таблиця 1'!$J:$J,"AASM-250")+SUMIFS('Таблиця 1'!$K:$K,'Таблиця 1'!$B:$B,$A551,'Таблиця 1'!$I:$I,"F-16",'Таблиця 1'!$J:$J,"AASM-250")+SUMIFS('Таблиця 1'!$K:$K,'Таблиця 1'!$B:$B,$A551,'Таблиця 1'!$I:$I,"МіГ-29",'Таблиця 1'!$J:$J,"AASM-250")+SUMIFS('Таблиця 1'!$K:$K,'Таблиця 1'!$B:$B,$A551,'Таблиця 1'!$I:$I,"Су-25",'Таблиця 1'!$J:$J,"AASM-250")+SUMIFS('Таблиця 1'!$K:$K,'Таблиця 1'!$B:$B,$A551,'Таблиця 1'!$I:$I,"Су-27",'Таблиця 1'!$J:$J,"AASM-250"))</f>
        <v/>
      </c>
      <c r="J551">
        <f>IF($A551="","",SUMIFS('Таблиця 1'!$K:$K,'Таблиця 1'!$B:$B,$A551,'Таблиця 1'!$I:$I,"Mirage",'Таблиця 1'!$J:$J,"GBU-39")+SUMIFS('Таблиця 1'!$K:$K,'Таблиця 1'!$B:$B,$A551,'Таблиця 1'!$I:$I,"F-16",'Таблиця 1'!$J:$J,"GBU-39")+SUMIFS('Таблиця 1'!$K:$K,'Таблиця 1'!$B:$B,$A551,'Таблиця 1'!$I:$I,"МіГ-29",'Таблиця 1'!$J:$J,"GBU-39")+SUMIFS('Таблиця 1'!$K:$K,'Таблиця 1'!$B:$B,$A551,'Таблиця 1'!$I:$I,"Су-25",'Таблиця 1'!$J:$J,"GBU-39")+SUMIFS('Таблиця 1'!$K:$K,'Таблиця 1'!$B:$B,$A551,'Таблиця 1'!$I:$I,"Су-27",'Таблиця 1'!$J:$J,"GBU-39"))</f>
        <v/>
      </c>
      <c r="K551">
        <f>IF($A551="","",SUMIFS('Таблиця 1'!$K:$K,'Таблиця 1'!$B:$B,$A551,'Таблиця 1'!$I:$I,"Mirage",'Таблиця 1'!$J:$J,"BLU-140")+SUMIFS('Таблиця 1'!$K:$K,'Таблиця 1'!$B:$B,$A551,'Таблиця 1'!$I:$I,"F-16",'Таблиця 1'!$J:$J,"BLU-140")+SUMIFS('Таблиця 1'!$K:$K,'Таблиця 1'!$B:$B,$A551,'Таблиця 1'!$I:$I,"МіГ-29",'Таблиця 1'!$J:$J,"BLU-140")+SUMIFS('Таблиця 1'!$K:$K,'Таблиця 1'!$B:$B,$A551,'Таблиця 1'!$I:$I,"Су-25",'Таблиця 1'!$J:$J,"BLU-140")+SUMIFS('Таблиця 1'!$K:$K,'Таблиця 1'!$B:$B,$A551,'Таблиця 1'!$I:$I,"Су-27",'Таблиця 1'!$J:$J,"BLU-140"))</f>
        <v/>
      </c>
      <c r="L551">
        <f>IF($A551="","",SUMIFS('Таблиця 1'!$K:$K,'Таблиця 1'!$B:$B,$A551,'Таблиця 1'!$I:$I,"Mirage",'Таблиця 1'!$J:$J,"GBU-65")+SUMIFS('Таблиця 1'!$K:$K,'Таблиця 1'!$B:$B,$A551,'Таблиця 1'!$I:$I,"F-16",'Таблиця 1'!$J:$J,"GBU-65")+SUMIFS('Таблиця 1'!$K:$K,'Таблиця 1'!$B:$B,$A551,'Таблиця 1'!$I:$I,"МіГ-29",'Таблиця 1'!$J:$J,"GBU-65")+SUMIFS('Таблиця 1'!$K:$K,'Таблиця 1'!$B:$B,$A551,'Таблиця 1'!$I:$I,"Су-25",'Таблиця 1'!$J:$J,"GBU-65")+SUMIFS('Таблиця 1'!$K:$K,'Таблиця 1'!$B:$B,$A551,'Таблиця 1'!$I:$I,"Су-27",'Таблиця 1'!$J:$J,"GBU-65"))</f>
        <v/>
      </c>
      <c r="M551">
        <f>IF($A551="","",SUMIFS('Таблиця 1'!$K:$K,'Таблиця 1'!$B:$B,$A551,'Таблиця 1'!$I:$I,"Mirage",'Таблиця 1'!$J:$J,"GBU-62")+SUMIFS('Таблиця 1'!$K:$K,'Таблиця 1'!$B:$B,$A551,'Таблиця 1'!$I:$I,"F-16",'Таблиця 1'!$J:$J,"GBU-62")+SUMIFS('Таблиця 1'!$K:$K,'Таблиця 1'!$B:$B,$A551,'Таблиця 1'!$I:$I,"МіГ-29",'Таблиця 1'!$J:$J,"GBU-62")+SUMIFS('Таблиця 1'!$K:$K,'Таблиця 1'!$B:$B,$A551,'Таблиця 1'!$I:$I,"Су-25",'Таблиця 1'!$J:$J,"GBU-62")+SUMIFS('Таблиця 1'!$K:$K,'Таблиця 1'!$B:$B,$A551,'Таблиця 1'!$I:$I,"Су-27",'Таблиця 1'!$J:$J,"GBU-62"))</f>
        <v/>
      </c>
      <c r="N551">
        <f>IF($A551="","",SUMIFS('Таблиця 1'!$K:$K,'Таблиця 1'!$B:$B,$A551,'Таблиця 1'!$I:$I,"Mirage",'Таблиця 1'!$J:$J,"GBU-64")+SUMIFS('Таблиця 1'!$K:$K,'Таблиця 1'!$B:$B,$A551,'Таблиця 1'!$I:$I,"F-16",'Таблиця 1'!$J:$J,"GBU-64")+SUMIFS('Таблиця 1'!$K:$K,'Таблиця 1'!$B:$B,$A551,'Таблиця 1'!$I:$I,"МіГ-29",'Таблиця 1'!$J:$J,"GBU-64")+SUMIFS('Таблиця 1'!$K:$K,'Таблиця 1'!$B:$B,$A551,'Таблиця 1'!$I:$I,"Су-25",'Таблиця 1'!$J:$J,"GBU-64")+SUMIFS('Таблиця 1'!$K:$K,'Таблиця 1'!$B:$B,$A551,'Таблиця 1'!$I:$I,"Су-27",'Таблиця 1'!$J:$J,"GBU-64"))</f>
        <v/>
      </c>
      <c r="O551">
        <f>IF($A551="","",SUMIFS('Таблиця 1'!$K:$K,'Таблиця 1'!$B:$B,$A551,'Таблиця 1'!$I:$I,"Mirage",'Таблиця 1'!$J:$J,"C-13")+SUMIFS('Таблиця 1'!$K:$K,'Таблиця 1'!$B:$B,$A551,'Таблиця 1'!$I:$I,"F-16",'Таблиця 1'!$J:$J,"C-13")+SUMIFS('Таблиця 1'!$K:$K,'Таблиця 1'!$B:$B,$A551,'Таблиця 1'!$I:$I,"МіГ-29",'Таблиця 1'!$J:$J,"C-13")+SUMIFS('Таблиця 1'!$K:$K,'Таблиця 1'!$B:$B,$A551,'Таблиця 1'!$I:$I,"Су-25",'Таблиця 1'!$J:$J,"C-13")+SUMIFS('Таблиця 1'!$K:$K,'Таблиця 1'!$B:$B,$A551,'Таблиця 1'!$I:$I,"Су-27",'Таблиця 1'!$J:$J,"C-13"))</f>
        <v/>
      </c>
      <c r="P551">
        <f>IF($A551="","",SUMIFS('Таблиця 1'!$K:$K,'Таблиця 1'!$B:$B,$A551,'Таблиця 1'!$I:$I,"Mirage",'Таблиця 1'!$J:$J,"MK-32")+SUMIFS('Таблиця 1'!$K:$K,'Таблиця 1'!$B:$B,$A551,'Таблиця 1'!$I:$I,"F-16",'Таблиця 1'!$J:$J,"MK-32")+SUMIFS('Таблиця 1'!$K:$K,'Таблиця 1'!$B:$B,$A551,'Таблиця 1'!$I:$I,"МіГ-29",'Таблиця 1'!$J:$J,"MK-32")+SUMIFS('Таблиця 1'!$K:$K,'Таблиця 1'!$B:$B,$A551,'Таблиця 1'!$I:$I,"Су-25",'Таблиця 1'!$J:$J,"MK-32")+SUMIFS('Таблиця 1'!$K:$K,'Таблиця 1'!$B:$B,$A551,'Таблиця 1'!$I:$I,"Су-27",'Таблиця 1'!$J:$J,"MK-32"))</f>
        <v/>
      </c>
      <c r="Q551">
        <f>IF($A551="","",SUMIFS('Таблиця 1'!$K:$K,'Таблиця 1'!$B:$B,$A551,'Таблиця 1'!$I:$I,"Mirage",'Таблиця 1'!$J:$J,"MK-24")+SUMIFS('Таблиця 1'!$K:$K,'Таблиця 1'!$B:$B,$A551,'Таблиця 1'!$I:$I,"F-16",'Таблиця 1'!$J:$J,"MK-24")+SUMIFS('Таблиця 1'!$K:$K,'Таблиця 1'!$B:$B,$A551,'Таблиця 1'!$I:$I,"МіГ-29",'Таблиця 1'!$J:$J,"MK-24")+SUMIFS('Таблиця 1'!$K:$K,'Таблиця 1'!$B:$B,$A551,'Таблиця 1'!$I:$I,"Су-25",'Таблиця 1'!$J:$J,"MK-24")+SUMIFS('Таблиця 1'!$K:$K,'Таблиця 1'!$B:$B,$A551,'Таблиця 1'!$I:$I,"Су-27",'Таблиця 1'!$J:$J,"MK-24"))</f>
        <v/>
      </c>
      <c r="R551">
        <f>IF($A551="","",COUNTIFS('Таблиця 1'!$B:$B,$A551,'Таблиця 1'!$I:$I,"Mirage",'Таблиця 1'!$L:$L,"Уражено")+COUNTIFS('Таблиця 1'!$B:$B,$A551,'Таблиця 1'!$I:$I,"F-16",'Таблиця 1'!$L:$L,"Уражено")+COUNTIFS('Таблиця 1'!$B:$B,$A551,'Таблиця 1'!$I:$I,"МіГ-29",'Таблиця 1'!$L:$L,"Уражено")+COUNTIFS('Таблиця 1'!$B:$B,$A551,'Таблиця 1'!$I:$I,"Су-25",'Таблиця 1'!$L:$L,"Уражено")+COUNTIFS('Таблиця 1'!$B:$B,$A551,'Таблиця 1'!$I:$I,"Су-27",'Таблиця 1'!$L:$L,"Уражено"))</f>
        <v/>
      </c>
      <c r="S551">
        <f>IF($A551="","",COUNTIFS('Таблиця 1'!$B:$B,$A551,'Таблиця 1'!$I:$I,"Mirage",'Таблиця 1'!$L:$L,"НЕ уражено")+COUNTIFS('Таблиця 1'!$B:$B,$A551,'Таблиця 1'!$I:$I,"F-16",'Таблиця 1'!$L:$L,"НЕ уражено")+COUNTIFS('Таблиця 1'!$B:$B,$A551,'Таблиця 1'!$I:$I,"МіГ-29",'Таблиця 1'!$L:$L,"НЕ уражено")+COUNTIFS('Таблиця 1'!$B:$B,$A551,'Таблиця 1'!$I:$I,"Су-25",'Таблиця 1'!$L:$L,"НЕ уражено")+COUNTIFS('Таблиця 1'!$B:$B,$A551,'Таблиця 1'!$I:$I,"Су-27",'Таблиця 1'!$L:$L,"НЕ уражено"))</f>
        <v/>
      </c>
      <c r="T551">
        <f>IF($A551="","",COUNTIFS('Таблиця 1'!$B:$B,$A551,'Таблиця 1'!$I:$I,"Mirage",'Таблиця 1'!$L:$L,"Дорозвідується")+COUNTIFS('Таблиця 1'!$B:$B,$A551,'Таблиця 1'!$I:$I,"F-16",'Таблиця 1'!$L:$L,"Дорозвідується")+COUNTIFS('Таблиця 1'!$B:$B,$A551,'Таблиця 1'!$I:$I,"МіГ-29",'Таблиця 1'!$L:$L,"Дорозвідується")+COUNTIFS('Таблиця 1'!$B:$B,$A551,'Таблиця 1'!$I:$I,"Су-25",'Таблиця 1'!$L:$L,"Дорозвідується")+COUNTIFS('Таблиця 1'!$B:$B,$A551,'Таблиця 1'!$I:$I,"Су-27",'Таблиця 1'!$L:$L,"Дорозвідується"))</f>
        <v/>
      </c>
    </row>
    <row r="552">
      <c r="A552" s="273">
        <f>IF(A551="","",IF(A551+1&gt;MAX('Таблиця 1'!$B:$B),"",A551+1))</f>
        <v/>
      </c>
      <c r="B552">
        <f>IF($A552="","",COUNTIFS('Таблиця 1'!$B:$B,$A552,'Таблиця 1'!$I:$I,"Mirage")+COUNTIFS('Таблиця 1'!$B:$B,$A552,'Таблиця 1'!$I:$I,"F-16")+COUNTIFS('Таблиця 1'!$B:$B,$A552,'Таблиця 1'!$I:$I,"МіГ-29")+COUNTIFS('Таблиця 1'!$B:$B,$A552,'Таблиця 1'!$I:$I,"Су-25")+COUNTIFS('Таблиця 1'!$B:$B,$A552,'Таблиця 1'!$I:$I,"Су-27"))</f>
        <v/>
      </c>
      <c r="C552">
        <f>IF($A552="","",COUNTIFS('Таблиця 1'!$B:$B,$A552,'Таблиця 1'!$I:$I,"Mirage"))</f>
        <v/>
      </c>
      <c r="D552">
        <f>IF($A552="","",COUNTIFS('Таблиця 1'!$B:$B,$A552,'Таблиця 1'!$I:$I,"F-16"))</f>
        <v/>
      </c>
      <c r="E552">
        <f>IF($A552="","",COUNTIFS('Таблиця 1'!$B:$B,$A552,'Таблиця 1'!$I:$I,"МіГ-29"))</f>
        <v/>
      </c>
      <c r="F552">
        <f>IF($A552="","",COUNTIFS('Таблиця 1'!$B:$B,$A552,'Таблиця 1'!$I:$I,"Су-25"))</f>
        <v/>
      </c>
      <c r="G552">
        <f>IF($A552="","",COUNTIFS('Таблиця 1'!$B:$B,$A552,'Таблиця 1'!$I:$I,"Су-27"))</f>
        <v/>
      </c>
      <c r="H552">
        <f>IF($A552="","",SUMIFS('Таблиця 1'!$K:$K,'Таблиця 1'!$B:$B,$A552,'Таблиця 1'!$I:$I,"Mirage",'Таблиця 1'!$J:$J,"AGM-88")+SUMIFS('Таблиця 1'!$K:$K,'Таблиця 1'!$B:$B,$A552,'Таблиця 1'!$I:$I,"F-16",'Таблиця 1'!$J:$J,"AGM-88")+SUMIFS('Таблиця 1'!$K:$K,'Таблиця 1'!$B:$B,$A552,'Таблиця 1'!$I:$I,"МіГ-29",'Таблиця 1'!$J:$J,"AGM-88")+SUMIFS('Таблиця 1'!$K:$K,'Таблиця 1'!$B:$B,$A552,'Таблиця 1'!$I:$I,"Су-25",'Таблиця 1'!$J:$J,"AGM-88")+SUMIFS('Таблиця 1'!$K:$K,'Таблиця 1'!$B:$B,$A552,'Таблиця 1'!$I:$I,"Су-27",'Таблиця 1'!$J:$J,"AGM-88"))</f>
        <v/>
      </c>
      <c r="I552">
        <f>IF($A552="","",SUMIFS('Таблиця 1'!$K:$K,'Таблиця 1'!$B:$B,$A552,'Таблиця 1'!$I:$I,"Mirage",'Таблиця 1'!$J:$J,"AASM-250")+SUMIFS('Таблиця 1'!$K:$K,'Таблиця 1'!$B:$B,$A552,'Таблиця 1'!$I:$I,"F-16",'Таблиця 1'!$J:$J,"AASM-250")+SUMIFS('Таблиця 1'!$K:$K,'Таблиця 1'!$B:$B,$A552,'Таблиця 1'!$I:$I,"МіГ-29",'Таблиця 1'!$J:$J,"AASM-250")+SUMIFS('Таблиця 1'!$K:$K,'Таблиця 1'!$B:$B,$A552,'Таблиця 1'!$I:$I,"Су-25",'Таблиця 1'!$J:$J,"AASM-250")+SUMIFS('Таблиця 1'!$K:$K,'Таблиця 1'!$B:$B,$A552,'Таблиця 1'!$I:$I,"Су-27",'Таблиця 1'!$J:$J,"AASM-250"))</f>
        <v/>
      </c>
      <c r="J552">
        <f>IF($A552="","",SUMIFS('Таблиця 1'!$K:$K,'Таблиця 1'!$B:$B,$A552,'Таблиця 1'!$I:$I,"Mirage",'Таблиця 1'!$J:$J,"GBU-39")+SUMIFS('Таблиця 1'!$K:$K,'Таблиця 1'!$B:$B,$A552,'Таблиця 1'!$I:$I,"F-16",'Таблиця 1'!$J:$J,"GBU-39")+SUMIFS('Таблиця 1'!$K:$K,'Таблиця 1'!$B:$B,$A552,'Таблиця 1'!$I:$I,"МіГ-29",'Таблиця 1'!$J:$J,"GBU-39")+SUMIFS('Таблиця 1'!$K:$K,'Таблиця 1'!$B:$B,$A552,'Таблиця 1'!$I:$I,"Су-25",'Таблиця 1'!$J:$J,"GBU-39")+SUMIFS('Таблиця 1'!$K:$K,'Таблиця 1'!$B:$B,$A552,'Таблиця 1'!$I:$I,"Су-27",'Таблиця 1'!$J:$J,"GBU-39"))</f>
        <v/>
      </c>
      <c r="K552">
        <f>IF($A552="","",SUMIFS('Таблиця 1'!$K:$K,'Таблиця 1'!$B:$B,$A552,'Таблиця 1'!$I:$I,"Mirage",'Таблиця 1'!$J:$J,"BLU-140")+SUMIFS('Таблиця 1'!$K:$K,'Таблиця 1'!$B:$B,$A552,'Таблиця 1'!$I:$I,"F-16",'Таблиця 1'!$J:$J,"BLU-140")+SUMIFS('Таблиця 1'!$K:$K,'Таблиця 1'!$B:$B,$A552,'Таблиця 1'!$I:$I,"МіГ-29",'Таблиця 1'!$J:$J,"BLU-140")+SUMIFS('Таблиця 1'!$K:$K,'Таблиця 1'!$B:$B,$A552,'Таблиця 1'!$I:$I,"Су-25",'Таблиця 1'!$J:$J,"BLU-140")+SUMIFS('Таблиця 1'!$K:$K,'Таблиця 1'!$B:$B,$A552,'Таблиця 1'!$I:$I,"Су-27",'Таблиця 1'!$J:$J,"BLU-140"))</f>
        <v/>
      </c>
      <c r="L552">
        <f>IF($A552="","",SUMIFS('Таблиця 1'!$K:$K,'Таблиця 1'!$B:$B,$A552,'Таблиця 1'!$I:$I,"Mirage",'Таблиця 1'!$J:$J,"GBU-65")+SUMIFS('Таблиця 1'!$K:$K,'Таблиця 1'!$B:$B,$A552,'Таблиця 1'!$I:$I,"F-16",'Таблиця 1'!$J:$J,"GBU-65")+SUMIFS('Таблиця 1'!$K:$K,'Таблиця 1'!$B:$B,$A552,'Таблиця 1'!$I:$I,"МіГ-29",'Таблиця 1'!$J:$J,"GBU-65")+SUMIFS('Таблиця 1'!$K:$K,'Таблиця 1'!$B:$B,$A552,'Таблиця 1'!$I:$I,"Су-25",'Таблиця 1'!$J:$J,"GBU-65")+SUMIFS('Таблиця 1'!$K:$K,'Таблиця 1'!$B:$B,$A552,'Таблиця 1'!$I:$I,"Су-27",'Таблиця 1'!$J:$J,"GBU-65"))</f>
        <v/>
      </c>
      <c r="M552">
        <f>IF($A552="","",SUMIFS('Таблиця 1'!$K:$K,'Таблиця 1'!$B:$B,$A552,'Таблиця 1'!$I:$I,"Mirage",'Таблиця 1'!$J:$J,"GBU-62")+SUMIFS('Таблиця 1'!$K:$K,'Таблиця 1'!$B:$B,$A552,'Таблиця 1'!$I:$I,"F-16",'Таблиця 1'!$J:$J,"GBU-62")+SUMIFS('Таблиця 1'!$K:$K,'Таблиця 1'!$B:$B,$A552,'Таблиця 1'!$I:$I,"МіГ-29",'Таблиця 1'!$J:$J,"GBU-62")+SUMIFS('Таблиця 1'!$K:$K,'Таблиця 1'!$B:$B,$A552,'Таблиця 1'!$I:$I,"Су-25",'Таблиця 1'!$J:$J,"GBU-62")+SUMIFS('Таблиця 1'!$K:$K,'Таблиця 1'!$B:$B,$A552,'Таблиця 1'!$I:$I,"Су-27",'Таблиця 1'!$J:$J,"GBU-62"))</f>
        <v/>
      </c>
      <c r="N552">
        <f>IF($A552="","",SUMIFS('Таблиця 1'!$K:$K,'Таблиця 1'!$B:$B,$A552,'Таблиця 1'!$I:$I,"Mirage",'Таблиця 1'!$J:$J,"GBU-64")+SUMIFS('Таблиця 1'!$K:$K,'Таблиця 1'!$B:$B,$A552,'Таблиця 1'!$I:$I,"F-16",'Таблиця 1'!$J:$J,"GBU-64")+SUMIFS('Таблиця 1'!$K:$K,'Таблиця 1'!$B:$B,$A552,'Таблиця 1'!$I:$I,"МіГ-29",'Таблиця 1'!$J:$J,"GBU-64")+SUMIFS('Таблиця 1'!$K:$K,'Таблиця 1'!$B:$B,$A552,'Таблиця 1'!$I:$I,"Су-25",'Таблиця 1'!$J:$J,"GBU-64")+SUMIFS('Таблиця 1'!$K:$K,'Таблиця 1'!$B:$B,$A552,'Таблиця 1'!$I:$I,"Су-27",'Таблиця 1'!$J:$J,"GBU-64"))</f>
        <v/>
      </c>
      <c r="O552">
        <f>IF($A552="","",SUMIFS('Таблиця 1'!$K:$K,'Таблиця 1'!$B:$B,$A552,'Таблиця 1'!$I:$I,"Mirage",'Таблиця 1'!$J:$J,"C-13")+SUMIFS('Таблиця 1'!$K:$K,'Таблиця 1'!$B:$B,$A552,'Таблиця 1'!$I:$I,"F-16",'Таблиця 1'!$J:$J,"C-13")+SUMIFS('Таблиця 1'!$K:$K,'Таблиця 1'!$B:$B,$A552,'Таблиця 1'!$I:$I,"МіГ-29",'Таблиця 1'!$J:$J,"C-13")+SUMIFS('Таблиця 1'!$K:$K,'Таблиця 1'!$B:$B,$A552,'Таблиця 1'!$I:$I,"Су-25",'Таблиця 1'!$J:$J,"C-13")+SUMIFS('Таблиця 1'!$K:$K,'Таблиця 1'!$B:$B,$A552,'Таблиця 1'!$I:$I,"Су-27",'Таблиця 1'!$J:$J,"C-13"))</f>
        <v/>
      </c>
      <c r="P552">
        <f>IF($A552="","",SUMIFS('Таблиця 1'!$K:$K,'Таблиця 1'!$B:$B,$A552,'Таблиця 1'!$I:$I,"Mirage",'Таблиця 1'!$J:$J,"MK-32")+SUMIFS('Таблиця 1'!$K:$K,'Таблиця 1'!$B:$B,$A552,'Таблиця 1'!$I:$I,"F-16",'Таблиця 1'!$J:$J,"MK-32")+SUMIFS('Таблиця 1'!$K:$K,'Таблиця 1'!$B:$B,$A552,'Таблиця 1'!$I:$I,"МіГ-29",'Таблиця 1'!$J:$J,"MK-32")+SUMIFS('Таблиця 1'!$K:$K,'Таблиця 1'!$B:$B,$A552,'Таблиця 1'!$I:$I,"Су-25",'Таблиця 1'!$J:$J,"MK-32")+SUMIFS('Таблиця 1'!$K:$K,'Таблиця 1'!$B:$B,$A552,'Таблиця 1'!$I:$I,"Су-27",'Таблиця 1'!$J:$J,"MK-32"))</f>
        <v/>
      </c>
      <c r="Q552">
        <f>IF($A552="","",SUMIFS('Таблиця 1'!$K:$K,'Таблиця 1'!$B:$B,$A552,'Таблиця 1'!$I:$I,"Mirage",'Таблиця 1'!$J:$J,"MK-24")+SUMIFS('Таблиця 1'!$K:$K,'Таблиця 1'!$B:$B,$A552,'Таблиця 1'!$I:$I,"F-16",'Таблиця 1'!$J:$J,"MK-24")+SUMIFS('Таблиця 1'!$K:$K,'Таблиця 1'!$B:$B,$A552,'Таблиця 1'!$I:$I,"МіГ-29",'Таблиця 1'!$J:$J,"MK-24")+SUMIFS('Таблиця 1'!$K:$K,'Таблиця 1'!$B:$B,$A552,'Таблиця 1'!$I:$I,"Су-25",'Таблиця 1'!$J:$J,"MK-24")+SUMIFS('Таблиця 1'!$K:$K,'Таблиця 1'!$B:$B,$A552,'Таблиця 1'!$I:$I,"Су-27",'Таблиця 1'!$J:$J,"MK-24"))</f>
        <v/>
      </c>
      <c r="R552">
        <f>IF($A552="","",COUNTIFS('Таблиця 1'!$B:$B,$A552,'Таблиця 1'!$I:$I,"Mirage",'Таблиця 1'!$L:$L,"Уражено")+COUNTIFS('Таблиця 1'!$B:$B,$A552,'Таблиця 1'!$I:$I,"F-16",'Таблиця 1'!$L:$L,"Уражено")+COUNTIFS('Таблиця 1'!$B:$B,$A552,'Таблиця 1'!$I:$I,"МіГ-29",'Таблиця 1'!$L:$L,"Уражено")+COUNTIFS('Таблиця 1'!$B:$B,$A552,'Таблиця 1'!$I:$I,"Су-25",'Таблиця 1'!$L:$L,"Уражено")+COUNTIFS('Таблиця 1'!$B:$B,$A552,'Таблиця 1'!$I:$I,"Су-27",'Таблиця 1'!$L:$L,"Уражено"))</f>
        <v/>
      </c>
      <c r="S552">
        <f>IF($A552="","",COUNTIFS('Таблиця 1'!$B:$B,$A552,'Таблиця 1'!$I:$I,"Mirage",'Таблиця 1'!$L:$L,"НЕ уражено")+COUNTIFS('Таблиця 1'!$B:$B,$A552,'Таблиця 1'!$I:$I,"F-16",'Таблиця 1'!$L:$L,"НЕ уражено")+COUNTIFS('Таблиця 1'!$B:$B,$A552,'Таблиця 1'!$I:$I,"МіГ-29",'Таблиця 1'!$L:$L,"НЕ уражено")+COUNTIFS('Таблиця 1'!$B:$B,$A552,'Таблиця 1'!$I:$I,"Су-25",'Таблиця 1'!$L:$L,"НЕ уражено")+COUNTIFS('Таблиця 1'!$B:$B,$A552,'Таблиця 1'!$I:$I,"Су-27",'Таблиця 1'!$L:$L,"НЕ уражено"))</f>
        <v/>
      </c>
      <c r="T552">
        <f>IF($A552="","",COUNTIFS('Таблиця 1'!$B:$B,$A552,'Таблиця 1'!$I:$I,"Mirage",'Таблиця 1'!$L:$L,"Дорозвідується")+COUNTIFS('Таблиця 1'!$B:$B,$A552,'Таблиця 1'!$I:$I,"F-16",'Таблиця 1'!$L:$L,"Дорозвідується")+COUNTIFS('Таблиця 1'!$B:$B,$A552,'Таблиця 1'!$I:$I,"МіГ-29",'Таблиця 1'!$L:$L,"Дорозвідується")+COUNTIFS('Таблиця 1'!$B:$B,$A552,'Таблиця 1'!$I:$I,"Су-25",'Таблиця 1'!$L:$L,"Дорозвідується")+COUNTIFS('Таблиця 1'!$B:$B,$A552,'Таблиця 1'!$I:$I,"Су-27",'Таблиця 1'!$L:$L,"Дорозвідується"))</f>
        <v/>
      </c>
    </row>
    <row r="553">
      <c r="A553" s="273">
        <f>IF(A552="","",IF(A552+1&gt;MAX('Таблиця 1'!$B:$B),"",A552+1))</f>
        <v/>
      </c>
      <c r="B553">
        <f>IF($A553="","",COUNTIFS('Таблиця 1'!$B:$B,$A553,'Таблиця 1'!$I:$I,"Mirage")+COUNTIFS('Таблиця 1'!$B:$B,$A553,'Таблиця 1'!$I:$I,"F-16")+COUNTIFS('Таблиця 1'!$B:$B,$A553,'Таблиця 1'!$I:$I,"МіГ-29")+COUNTIFS('Таблиця 1'!$B:$B,$A553,'Таблиця 1'!$I:$I,"Су-25")+COUNTIFS('Таблиця 1'!$B:$B,$A553,'Таблиця 1'!$I:$I,"Су-27"))</f>
        <v/>
      </c>
      <c r="C553">
        <f>IF($A553="","",COUNTIFS('Таблиця 1'!$B:$B,$A553,'Таблиця 1'!$I:$I,"Mirage"))</f>
        <v/>
      </c>
      <c r="D553">
        <f>IF($A553="","",COUNTIFS('Таблиця 1'!$B:$B,$A553,'Таблиця 1'!$I:$I,"F-16"))</f>
        <v/>
      </c>
      <c r="E553">
        <f>IF($A553="","",COUNTIFS('Таблиця 1'!$B:$B,$A553,'Таблиця 1'!$I:$I,"МіГ-29"))</f>
        <v/>
      </c>
      <c r="F553">
        <f>IF($A553="","",COUNTIFS('Таблиця 1'!$B:$B,$A553,'Таблиця 1'!$I:$I,"Су-25"))</f>
        <v/>
      </c>
      <c r="G553">
        <f>IF($A553="","",COUNTIFS('Таблиця 1'!$B:$B,$A553,'Таблиця 1'!$I:$I,"Су-27"))</f>
        <v/>
      </c>
      <c r="H553">
        <f>IF($A553="","",SUMIFS('Таблиця 1'!$K:$K,'Таблиця 1'!$B:$B,$A553,'Таблиця 1'!$I:$I,"Mirage",'Таблиця 1'!$J:$J,"AGM-88")+SUMIFS('Таблиця 1'!$K:$K,'Таблиця 1'!$B:$B,$A553,'Таблиця 1'!$I:$I,"F-16",'Таблиця 1'!$J:$J,"AGM-88")+SUMIFS('Таблиця 1'!$K:$K,'Таблиця 1'!$B:$B,$A553,'Таблиця 1'!$I:$I,"МіГ-29",'Таблиця 1'!$J:$J,"AGM-88")+SUMIFS('Таблиця 1'!$K:$K,'Таблиця 1'!$B:$B,$A553,'Таблиця 1'!$I:$I,"Су-25",'Таблиця 1'!$J:$J,"AGM-88")+SUMIFS('Таблиця 1'!$K:$K,'Таблиця 1'!$B:$B,$A553,'Таблиця 1'!$I:$I,"Су-27",'Таблиця 1'!$J:$J,"AGM-88"))</f>
        <v/>
      </c>
      <c r="I553">
        <f>IF($A553="","",SUMIFS('Таблиця 1'!$K:$K,'Таблиця 1'!$B:$B,$A553,'Таблиця 1'!$I:$I,"Mirage",'Таблиця 1'!$J:$J,"AASM-250")+SUMIFS('Таблиця 1'!$K:$K,'Таблиця 1'!$B:$B,$A553,'Таблиця 1'!$I:$I,"F-16",'Таблиця 1'!$J:$J,"AASM-250")+SUMIFS('Таблиця 1'!$K:$K,'Таблиця 1'!$B:$B,$A553,'Таблиця 1'!$I:$I,"МіГ-29",'Таблиця 1'!$J:$J,"AASM-250")+SUMIFS('Таблиця 1'!$K:$K,'Таблиця 1'!$B:$B,$A553,'Таблиця 1'!$I:$I,"Су-25",'Таблиця 1'!$J:$J,"AASM-250")+SUMIFS('Таблиця 1'!$K:$K,'Таблиця 1'!$B:$B,$A553,'Таблиця 1'!$I:$I,"Су-27",'Таблиця 1'!$J:$J,"AASM-250"))</f>
        <v/>
      </c>
      <c r="J553">
        <f>IF($A553="","",SUMIFS('Таблиця 1'!$K:$K,'Таблиця 1'!$B:$B,$A553,'Таблиця 1'!$I:$I,"Mirage",'Таблиця 1'!$J:$J,"GBU-39")+SUMIFS('Таблиця 1'!$K:$K,'Таблиця 1'!$B:$B,$A553,'Таблиця 1'!$I:$I,"F-16",'Таблиця 1'!$J:$J,"GBU-39")+SUMIFS('Таблиця 1'!$K:$K,'Таблиця 1'!$B:$B,$A553,'Таблиця 1'!$I:$I,"МіГ-29",'Таблиця 1'!$J:$J,"GBU-39")+SUMIFS('Таблиця 1'!$K:$K,'Таблиця 1'!$B:$B,$A553,'Таблиця 1'!$I:$I,"Су-25",'Таблиця 1'!$J:$J,"GBU-39")+SUMIFS('Таблиця 1'!$K:$K,'Таблиця 1'!$B:$B,$A553,'Таблиця 1'!$I:$I,"Су-27",'Таблиця 1'!$J:$J,"GBU-39"))</f>
        <v/>
      </c>
      <c r="K553">
        <f>IF($A553="","",SUMIFS('Таблиця 1'!$K:$K,'Таблиця 1'!$B:$B,$A553,'Таблиця 1'!$I:$I,"Mirage",'Таблиця 1'!$J:$J,"BLU-140")+SUMIFS('Таблиця 1'!$K:$K,'Таблиця 1'!$B:$B,$A553,'Таблиця 1'!$I:$I,"F-16",'Таблиця 1'!$J:$J,"BLU-140")+SUMIFS('Таблиця 1'!$K:$K,'Таблиця 1'!$B:$B,$A553,'Таблиця 1'!$I:$I,"МіГ-29",'Таблиця 1'!$J:$J,"BLU-140")+SUMIFS('Таблиця 1'!$K:$K,'Таблиця 1'!$B:$B,$A553,'Таблиця 1'!$I:$I,"Су-25",'Таблиця 1'!$J:$J,"BLU-140")+SUMIFS('Таблиця 1'!$K:$K,'Таблиця 1'!$B:$B,$A553,'Таблиця 1'!$I:$I,"Су-27",'Таблиця 1'!$J:$J,"BLU-140"))</f>
        <v/>
      </c>
      <c r="L553">
        <f>IF($A553="","",SUMIFS('Таблиця 1'!$K:$K,'Таблиця 1'!$B:$B,$A553,'Таблиця 1'!$I:$I,"Mirage",'Таблиця 1'!$J:$J,"GBU-65")+SUMIFS('Таблиця 1'!$K:$K,'Таблиця 1'!$B:$B,$A553,'Таблиця 1'!$I:$I,"F-16",'Таблиця 1'!$J:$J,"GBU-65")+SUMIFS('Таблиця 1'!$K:$K,'Таблиця 1'!$B:$B,$A553,'Таблиця 1'!$I:$I,"МіГ-29",'Таблиця 1'!$J:$J,"GBU-65")+SUMIFS('Таблиця 1'!$K:$K,'Таблиця 1'!$B:$B,$A553,'Таблиця 1'!$I:$I,"Су-25",'Таблиця 1'!$J:$J,"GBU-65")+SUMIFS('Таблиця 1'!$K:$K,'Таблиця 1'!$B:$B,$A553,'Таблиця 1'!$I:$I,"Су-27",'Таблиця 1'!$J:$J,"GBU-65"))</f>
        <v/>
      </c>
      <c r="M553">
        <f>IF($A553="","",SUMIFS('Таблиця 1'!$K:$K,'Таблиця 1'!$B:$B,$A553,'Таблиця 1'!$I:$I,"Mirage",'Таблиця 1'!$J:$J,"GBU-62")+SUMIFS('Таблиця 1'!$K:$K,'Таблиця 1'!$B:$B,$A553,'Таблиця 1'!$I:$I,"F-16",'Таблиця 1'!$J:$J,"GBU-62")+SUMIFS('Таблиця 1'!$K:$K,'Таблиця 1'!$B:$B,$A553,'Таблиця 1'!$I:$I,"МіГ-29",'Таблиця 1'!$J:$J,"GBU-62")+SUMIFS('Таблиця 1'!$K:$K,'Таблиця 1'!$B:$B,$A553,'Таблиця 1'!$I:$I,"Су-25",'Таблиця 1'!$J:$J,"GBU-62")+SUMIFS('Таблиця 1'!$K:$K,'Таблиця 1'!$B:$B,$A553,'Таблиця 1'!$I:$I,"Су-27",'Таблиця 1'!$J:$J,"GBU-62"))</f>
        <v/>
      </c>
      <c r="N553">
        <f>IF($A553="","",SUMIFS('Таблиця 1'!$K:$K,'Таблиця 1'!$B:$B,$A553,'Таблиця 1'!$I:$I,"Mirage",'Таблиця 1'!$J:$J,"GBU-64")+SUMIFS('Таблиця 1'!$K:$K,'Таблиця 1'!$B:$B,$A553,'Таблиця 1'!$I:$I,"F-16",'Таблиця 1'!$J:$J,"GBU-64")+SUMIFS('Таблиця 1'!$K:$K,'Таблиця 1'!$B:$B,$A553,'Таблиця 1'!$I:$I,"МіГ-29",'Таблиця 1'!$J:$J,"GBU-64")+SUMIFS('Таблиця 1'!$K:$K,'Таблиця 1'!$B:$B,$A553,'Таблиця 1'!$I:$I,"Су-25",'Таблиця 1'!$J:$J,"GBU-64")+SUMIFS('Таблиця 1'!$K:$K,'Таблиця 1'!$B:$B,$A553,'Таблиця 1'!$I:$I,"Су-27",'Таблиця 1'!$J:$J,"GBU-64"))</f>
        <v/>
      </c>
      <c r="O553">
        <f>IF($A553="","",SUMIFS('Таблиця 1'!$K:$K,'Таблиця 1'!$B:$B,$A553,'Таблиця 1'!$I:$I,"Mirage",'Таблиця 1'!$J:$J,"C-13")+SUMIFS('Таблиця 1'!$K:$K,'Таблиця 1'!$B:$B,$A553,'Таблиця 1'!$I:$I,"F-16",'Таблиця 1'!$J:$J,"C-13")+SUMIFS('Таблиця 1'!$K:$K,'Таблиця 1'!$B:$B,$A553,'Таблиця 1'!$I:$I,"МіГ-29",'Таблиця 1'!$J:$J,"C-13")+SUMIFS('Таблиця 1'!$K:$K,'Таблиця 1'!$B:$B,$A553,'Таблиця 1'!$I:$I,"Су-25",'Таблиця 1'!$J:$J,"C-13")+SUMIFS('Таблиця 1'!$K:$K,'Таблиця 1'!$B:$B,$A553,'Таблиця 1'!$I:$I,"Су-27",'Таблиця 1'!$J:$J,"C-13"))</f>
        <v/>
      </c>
      <c r="P553">
        <f>IF($A553="","",SUMIFS('Таблиця 1'!$K:$K,'Таблиця 1'!$B:$B,$A553,'Таблиця 1'!$I:$I,"Mirage",'Таблиця 1'!$J:$J,"MK-32")+SUMIFS('Таблиця 1'!$K:$K,'Таблиця 1'!$B:$B,$A553,'Таблиця 1'!$I:$I,"F-16",'Таблиця 1'!$J:$J,"MK-32")+SUMIFS('Таблиця 1'!$K:$K,'Таблиця 1'!$B:$B,$A553,'Таблиця 1'!$I:$I,"МіГ-29",'Таблиця 1'!$J:$J,"MK-32")+SUMIFS('Таблиця 1'!$K:$K,'Таблиця 1'!$B:$B,$A553,'Таблиця 1'!$I:$I,"Су-25",'Таблиця 1'!$J:$J,"MK-32")+SUMIFS('Таблиця 1'!$K:$K,'Таблиця 1'!$B:$B,$A553,'Таблиця 1'!$I:$I,"Су-27",'Таблиця 1'!$J:$J,"MK-32"))</f>
        <v/>
      </c>
      <c r="Q553">
        <f>IF($A553="","",SUMIFS('Таблиця 1'!$K:$K,'Таблиця 1'!$B:$B,$A553,'Таблиця 1'!$I:$I,"Mirage",'Таблиця 1'!$J:$J,"MK-24")+SUMIFS('Таблиця 1'!$K:$K,'Таблиця 1'!$B:$B,$A553,'Таблиця 1'!$I:$I,"F-16",'Таблиця 1'!$J:$J,"MK-24")+SUMIFS('Таблиця 1'!$K:$K,'Таблиця 1'!$B:$B,$A553,'Таблиця 1'!$I:$I,"МіГ-29",'Таблиця 1'!$J:$J,"MK-24")+SUMIFS('Таблиця 1'!$K:$K,'Таблиця 1'!$B:$B,$A553,'Таблиця 1'!$I:$I,"Су-25",'Таблиця 1'!$J:$J,"MK-24")+SUMIFS('Таблиця 1'!$K:$K,'Таблиця 1'!$B:$B,$A553,'Таблиця 1'!$I:$I,"Су-27",'Таблиця 1'!$J:$J,"MK-24"))</f>
        <v/>
      </c>
      <c r="R553">
        <f>IF($A553="","",COUNTIFS('Таблиця 1'!$B:$B,$A553,'Таблиця 1'!$I:$I,"Mirage",'Таблиця 1'!$L:$L,"Уражено")+COUNTIFS('Таблиця 1'!$B:$B,$A553,'Таблиця 1'!$I:$I,"F-16",'Таблиця 1'!$L:$L,"Уражено")+COUNTIFS('Таблиця 1'!$B:$B,$A553,'Таблиця 1'!$I:$I,"МіГ-29",'Таблиця 1'!$L:$L,"Уражено")+COUNTIFS('Таблиця 1'!$B:$B,$A553,'Таблиця 1'!$I:$I,"Су-25",'Таблиця 1'!$L:$L,"Уражено")+COUNTIFS('Таблиця 1'!$B:$B,$A553,'Таблиця 1'!$I:$I,"Су-27",'Таблиця 1'!$L:$L,"Уражено"))</f>
        <v/>
      </c>
      <c r="S553">
        <f>IF($A553="","",COUNTIFS('Таблиця 1'!$B:$B,$A553,'Таблиця 1'!$I:$I,"Mirage",'Таблиця 1'!$L:$L,"НЕ уражено")+COUNTIFS('Таблиця 1'!$B:$B,$A553,'Таблиця 1'!$I:$I,"F-16",'Таблиця 1'!$L:$L,"НЕ уражено")+COUNTIFS('Таблиця 1'!$B:$B,$A553,'Таблиця 1'!$I:$I,"МіГ-29",'Таблиця 1'!$L:$L,"НЕ уражено")+COUNTIFS('Таблиця 1'!$B:$B,$A553,'Таблиця 1'!$I:$I,"Су-25",'Таблиця 1'!$L:$L,"НЕ уражено")+COUNTIFS('Таблиця 1'!$B:$B,$A553,'Таблиця 1'!$I:$I,"Су-27",'Таблиця 1'!$L:$L,"НЕ уражено"))</f>
        <v/>
      </c>
      <c r="T553">
        <f>IF($A553="","",COUNTIFS('Таблиця 1'!$B:$B,$A553,'Таблиця 1'!$I:$I,"Mirage",'Таблиця 1'!$L:$L,"Дорозвідується")+COUNTIFS('Таблиця 1'!$B:$B,$A553,'Таблиця 1'!$I:$I,"F-16",'Таблиця 1'!$L:$L,"Дорозвідується")+COUNTIFS('Таблиця 1'!$B:$B,$A553,'Таблиця 1'!$I:$I,"МіГ-29",'Таблиця 1'!$L:$L,"Дорозвідується")+COUNTIFS('Таблиця 1'!$B:$B,$A553,'Таблиця 1'!$I:$I,"Су-25",'Таблиця 1'!$L:$L,"Дорозвідується")+COUNTIFS('Таблиця 1'!$B:$B,$A553,'Таблиця 1'!$I:$I,"Су-27",'Таблиця 1'!$L:$L,"Дорозвідується"))</f>
        <v/>
      </c>
    </row>
    <row r="554">
      <c r="A554" s="273">
        <f>IF(A553="","",IF(A553+1&gt;MAX('Таблиця 1'!$B:$B),"",A553+1))</f>
        <v/>
      </c>
      <c r="B554">
        <f>IF($A554="","",COUNTIFS('Таблиця 1'!$B:$B,$A554,'Таблиця 1'!$I:$I,"Mirage")+COUNTIFS('Таблиця 1'!$B:$B,$A554,'Таблиця 1'!$I:$I,"F-16")+COUNTIFS('Таблиця 1'!$B:$B,$A554,'Таблиця 1'!$I:$I,"МіГ-29")+COUNTIFS('Таблиця 1'!$B:$B,$A554,'Таблиця 1'!$I:$I,"Су-25")+COUNTIFS('Таблиця 1'!$B:$B,$A554,'Таблиця 1'!$I:$I,"Су-27"))</f>
        <v/>
      </c>
      <c r="C554">
        <f>IF($A554="","",COUNTIFS('Таблиця 1'!$B:$B,$A554,'Таблиця 1'!$I:$I,"Mirage"))</f>
        <v/>
      </c>
      <c r="D554">
        <f>IF($A554="","",COUNTIFS('Таблиця 1'!$B:$B,$A554,'Таблиця 1'!$I:$I,"F-16"))</f>
        <v/>
      </c>
      <c r="E554">
        <f>IF($A554="","",COUNTIFS('Таблиця 1'!$B:$B,$A554,'Таблиця 1'!$I:$I,"МіГ-29"))</f>
        <v/>
      </c>
      <c r="F554">
        <f>IF($A554="","",COUNTIFS('Таблиця 1'!$B:$B,$A554,'Таблиця 1'!$I:$I,"Су-25"))</f>
        <v/>
      </c>
      <c r="G554">
        <f>IF($A554="","",COUNTIFS('Таблиця 1'!$B:$B,$A554,'Таблиця 1'!$I:$I,"Су-27"))</f>
        <v/>
      </c>
      <c r="H554">
        <f>IF($A554="","",SUMIFS('Таблиця 1'!$K:$K,'Таблиця 1'!$B:$B,$A554,'Таблиця 1'!$I:$I,"Mirage",'Таблиця 1'!$J:$J,"AGM-88")+SUMIFS('Таблиця 1'!$K:$K,'Таблиця 1'!$B:$B,$A554,'Таблиця 1'!$I:$I,"F-16",'Таблиця 1'!$J:$J,"AGM-88")+SUMIFS('Таблиця 1'!$K:$K,'Таблиця 1'!$B:$B,$A554,'Таблиця 1'!$I:$I,"МіГ-29",'Таблиця 1'!$J:$J,"AGM-88")+SUMIFS('Таблиця 1'!$K:$K,'Таблиця 1'!$B:$B,$A554,'Таблиця 1'!$I:$I,"Су-25",'Таблиця 1'!$J:$J,"AGM-88")+SUMIFS('Таблиця 1'!$K:$K,'Таблиця 1'!$B:$B,$A554,'Таблиця 1'!$I:$I,"Су-27",'Таблиця 1'!$J:$J,"AGM-88"))</f>
        <v/>
      </c>
      <c r="I554">
        <f>IF($A554="","",SUMIFS('Таблиця 1'!$K:$K,'Таблиця 1'!$B:$B,$A554,'Таблиця 1'!$I:$I,"Mirage",'Таблиця 1'!$J:$J,"AASM-250")+SUMIFS('Таблиця 1'!$K:$K,'Таблиця 1'!$B:$B,$A554,'Таблиця 1'!$I:$I,"F-16",'Таблиця 1'!$J:$J,"AASM-250")+SUMIFS('Таблиця 1'!$K:$K,'Таблиця 1'!$B:$B,$A554,'Таблиця 1'!$I:$I,"МіГ-29",'Таблиця 1'!$J:$J,"AASM-250")+SUMIFS('Таблиця 1'!$K:$K,'Таблиця 1'!$B:$B,$A554,'Таблиця 1'!$I:$I,"Су-25",'Таблиця 1'!$J:$J,"AASM-250")+SUMIFS('Таблиця 1'!$K:$K,'Таблиця 1'!$B:$B,$A554,'Таблиця 1'!$I:$I,"Су-27",'Таблиця 1'!$J:$J,"AASM-250"))</f>
        <v/>
      </c>
      <c r="J554">
        <f>IF($A554="","",SUMIFS('Таблиця 1'!$K:$K,'Таблиця 1'!$B:$B,$A554,'Таблиця 1'!$I:$I,"Mirage",'Таблиця 1'!$J:$J,"GBU-39")+SUMIFS('Таблиця 1'!$K:$K,'Таблиця 1'!$B:$B,$A554,'Таблиця 1'!$I:$I,"F-16",'Таблиця 1'!$J:$J,"GBU-39")+SUMIFS('Таблиця 1'!$K:$K,'Таблиця 1'!$B:$B,$A554,'Таблиця 1'!$I:$I,"МіГ-29",'Таблиця 1'!$J:$J,"GBU-39")+SUMIFS('Таблиця 1'!$K:$K,'Таблиця 1'!$B:$B,$A554,'Таблиця 1'!$I:$I,"Су-25",'Таблиця 1'!$J:$J,"GBU-39")+SUMIFS('Таблиця 1'!$K:$K,'Таблиця 1'!$B:$B,$A554,'Таблиця 1'!$I:$I,"Су-27",'Таблиця 1'!$J:$J,"GBU-39"))</f>
        <v/>
      </c>
      <c r="K554">
        <f>IF($A554="","",SUMIFS('Таблиця 1'!$K:$K,'Таблиця 1'!$B:$B,$A554,'Таблиця 1'!$I:$I,"Mirage",'Таблиця 1'!$J:$J,"BLU-140")+SUMIFS('Таблиця 1'!$K:$K,'Таблиця 1'!$B:$B,$A554,'Таблиця 1'!$I:$I,"F-16",'Таблиця 1'!$J:$J,"BLU-140")+SUMIFS('Таблиця 1'!$K:$K,'Таблиця 1'!$B:$B,$A554,'Таблиця 1'!$I:$I,"МіГ-29",'Таблиця 1'!$J:$J,"BLU-140")+SUMIFS('Таблиця 1'!$K:$K,'Таблиця 1'!$B:$B,$A554,'Таблиця 1'!$I:$I,"Су-25",'Таблиця 1'!$J:$J,"BLU-140")+SUMIFS('Таблиця 1'!$K:$K,'Таблиця 1'!$B:$B,$A554,'Таблиця 1'!$I:$I,"Су-27",'Таблиця 1'!$J:$J,"BLU-140"))</f>
        <v/>
      </c>
      <c r="L554">
        <f>IF($A554="","",SUMIFS('Таблиця 1'!$K:$K,'Таблиця 1'!$B:$B,$A554,'Таблиця 1'!$I:$I,"Mirage",'Таблиця 1'!$J:$J,"GBU-65")+SUMIFS('Таблиця 1'!$K:$K,'Таблиця 1'!$B:$B,$A554,'Таблиця 1'!$I:$I,"F-16",'Таблиця 1'!$J:$J,"GBU-65")+SUMIFS('Таблиця 1'!$K:$K,'Таблиця 1'!$B:$B,$A554,'Таблиця 1'!$I:$I,"МіГ-29",'Таблиця 1'!$J:$J,"GBU-65")+SUMIFS('Таблиця 1'!$K:$K,'Таблиця 1'!$B:$B,$A554,'Таблиця 1'!$I:$I,"Су-25",'Таблиця 1'!$J:$J,"GBU-65")+SUMIFS('Таблиця 1'!$K:$K,'Таблиця 1'!$B:$B,$A554,'Таблиця 1'!$I:$I,"Су-27",'Таблиця 1'!$J:$J,"GBU-65"))</f>
        <v/>
      </c>
      <c r="M554">
        <f>IF($A554="","",SUMIFS('Таблиця 1'!$K:$K,'Таблиця 1'!$B:$B,$A554,'Таблиця 1'!$I:$I,"Mirage",'Таблиця 1'!$J:$J,"GBU-62")+SUMIFS('Таблиця 1'!$K:$K,'Таблиця 1'!$B:$B,$A554,'Таблиця 1'!$I:$I,"F-16",'Таблиця 1'!$J:$J,"GBU-62")+SUMIFS('Таблиця 1'!$K:$K,'Таблиця 1'!$B:$B,$A554,'Таблиця 1'!$I:$I,"МіГ-29",'Таблиця 1'!$J:$J,"GBU-62")+SUMIFS('Таблиця 1'!$K:$K,'Таблиця 1'!$B:$B,$A554,'Таблиця 1'!$I:$I,"Су-25",'Таблиця 1'!$J:$J,"GBU-62")+SUMIFS('Таблиця 1'!$K:$K,'Таблиця 1'!$B:$B,$A554,'Таблиця 1'!$I:$I,"Су-27",'Таблиця 1'!$J:$J,"GBU-62"))</f>
        <v/>
      </c>
      <c r="N554">
        <f>IF($A554="","",SUMIFS('Таблиця 1'!$K:$K,'Таблиця 1'!$B:$B,$A554,'Таблиця 1'!$I:$I,"Mirage",'Таблиця 1'!$J:$J,"GBU-64")+SUMIFS('Таблиця 1'!$K:$K,'Таблиця 1'!$B:$B,$A554,'Таблиця 1'!$I:$I,"F-16",'Таблиця 1'!$J:$J,"GBU-64")+SUMIFS('Таблиця 1'!$K:$K,'Таблиця 1'!$B:$B,$A554,'Таблиця 1'!$I:$I,"МіГ-29",'Таблиця 1'!$J:$J,"GBU-64")+SUMIFS('Таблиця 1'!$K:$K,'Таблиця 1'!$B:$B,$A554,'Таблиця 1'!$I:$I,"Су-25",'Таблиця 1'!$J:$J,"GBU-64")+SUMIFS('Таблиця 1'!$K:$K,'Таблиця 1'!$B:$B,$A554,'Таблиця 1'!$I:$I,"Су-27",'Таблиця 1'!$J:$J,"GBU-64"))</f>
        <v/>
      </c>
      <c r="O554">
        <f>IF($A554="","",SUMIFS('Таблиця 1'!$K:$K,'Таблиця 1'!$B:$B,$A554,'Таблиця 1'!$I:$I,"Mirage",'Таблиця 1'!$J:$J,"C-13")+SUMIFS('Таблиця 1'!$K:$K,'Таблиця 1'!$B:$B,$A554,'Таблиця 1'!$I:$I,"F-16",'Таблиця 1'!$J:$J,"C-13")+SUMIFS('Таблиця 1'!$K:$K,'Таблиця 1'!$B:$B,$A554,'Таблиця 1'!$I:$I,"МіГ-29",'Таблиця 1'!$J:$J,"C-13")+SUMIFS('Таблиця 1'!$K:$K,'Таблиця 1'!$B:$B,$A554,'Таблиця 1'!$I:$I,"Су-25",'Таблиця 1'!$J:$J,"C-13")+SUMIFS('Таблиця 1'!$K:$K,'Таблиця 1'!$B:$B,$A554,'Таблиця 1'!$I:$I,"Су-27",'Таблиця 1'!$J:$J,"C-13"))</f>
        <v/>
      </c>
      <c r="P554">
        <f>IF($A554="","",SUMIFS('Таблиця 1'!$K:$K,'Таблиця 1'!$B:$B,$A554,'Таблиця 1'!$I:$I,"Mirage",'Таблиця 1'!$J:$J,"MK-32")+SUMIFS('Таблиця 1'!$K:$K,'Таблиця 1'!$B:$B,$A554,'Таблиця 1'!$I:$I,"F-16",'Таблиця 1'!$J:$J,"MK-32")+SUMIFS('Таблиця 1'!$K:$K,'Таблиця 1'!$B:$B,$A554,'Таблиця 1'!$I:$I,"МіГ-29",'Таблиця 1'!$J:$J,"MK-32")+SUMIFS('Таблиця 1'!$K:$K,'Таблиця 1'!$B:$B,$A554,'Таблиця 1'!$I:$I,"Су-25",'Таблиця 1'!$J:$J,"MK-32")+SUMIFS('Таблиця 1'!$K:$K,'Таблиця 1'!$B:$B,$A554,'Таблиця 1'!$I:$I,"Су-27",'Таблиця 1'!$J:$J,"MK-32"))</f>
        <v/>
      </c>
      <c r="Q554">
        <f>IF($A554="","",SUMIFS('Таблиця 1'!$K:$K,'Таблиця 1'!$B:$B,$A554,'Таблиця 1'!$I:$I,"Mirage",'Таблиця 1'!$J:$J,"MK-24")+SUMIFS('Таблиця 1'!$K:$K,'Таблиця 1'!$B:$B,$A554,'Таблиця 1'!$I:$I,"F-16",'Таблиця 1'!$J:$J,"MK-24")+SUMIFS('Таблиця 1'!$K:$K,'Таблиця 1'!$B:$B,$A554,'Таблиця 1'!$I:$I,"МіГ-29",'Таблиця 1'!$J:$J,"MK-24")+SUMIFS('Таблиця 1'!$K:$K,'Таблиця 1'!$B:$B,$A554,'Таблиця 1'!$I:$I,"Су-25",'Таблиця 1'!$J:$J,"MK-24")+SUMIFS('Таблиця 1'!$K:$K,'Таблиця 1'!$B:$B,$A554,'Таблиця 1'!$I:$I,"Су-27",'Таблиця 1'!$J:$J,"MK-24"))</f>
        <v/>
      </c>
      <c r="R554">
        <f>IF($A554="","",COUNTIFS('Таблиця 1'!$B:$B,$A554,'Таблиця 1'!$I:$I,"Mirage",'Таблиця 1'!$L:$L,"Уражено")+COUNTIFS('Таблиця 1'!$B:$B,$A554,'Таблиця 1'!$I:$I,"F-16",'Таблиця 1'!$L:$L,"Уражено")+COUNTIFS('Таблиця 1'!$B:$B,$A554,'Таблиця 1'!$I:$I,"МіГ-29",'Таблиця 1'!$L:$L,"Уражено")+COUNTIFS('Таблиця 1'!$B:$B,$A554,'Таблиця 1'!$I:$I,"Су-25",'Таблиця 1'!$L:$L,"Уражено")+COUNTIFS('Таблиця 1'!$B:$B,$A554,'Таблиця 1'!$I:$I,"Су-27",'Таблиця 1'!$L:$L,"Уражено"))</f>
        <v/>
      </c>
      <c r="S554">
        <f>IF($A554="","",COUNTIFS('Таблиця 1'!$B:$B,$A554,'Таблиця 1'!$I:$I,"Mirage",'Таблиця 1'!$L:$L,"НЕ уражено")+COUNTIFS('Таблиця 1'!$B:$B,$A554,'Таблиця 1'!$I:$I,"F-16",'Таблиця 1'!$L:$L,"НЕ уражено")+COUNTIFS('Таблиця 1'!$B:$B,$A554,'Таблиця 1'!$I:$I,"МіГ-29",'Таблиця 1'!$L:$L,"НЕ уражено")+COUNTIFS('Таблиця 1'!$B:$B,$A554,'Таблиця 1'!$I:$I,"Су-25",'Таблиця 1'!$L:$L,"НЕ уражено")+COUNTIFS('Таблиця 1'!$B:$B,$A554,'Таблиця 1'!$I:$I,"Су-27",'Таблиця 1'!$L:$L,"НЕ уражено"))</f>
        <v/>
      </c>
      <c r="T554">
        <f>IF($A554="","",COUNTIFS('Таблиця 1'!$B:$B,$A554,'Таблиця 1'!$I:$I,"Mirage",'Таблиця 1'!$L:$L,"Дорозвідується")+COUNTIFS('Таблиця 1'!$B:$B,$A554,'Таблиця 1'!$I:$I,"F-16",'Таблиця 1'!$L:$L,"Дорозвідується")+COUNTIFS('Таблиця 1'!$B:$B,$A554,'Таблиця 1'!$I:$I,"МіГ-29",'Таблиця 1'!$L:$L,"Дорозвідується")+COUNTIFS('Таблиця 1'!$B:$B,$A554,'Таблиця 1'!$I:$I,"Су-25",'Таблиця 1'!$L:$L,"Дорозвідується")+COUNTIFS('Таблиця 1'!$B:$B,$A554,'Таблиця 1'!$I:$I,"Су-27",'Таблиця 1'!$L:$L,"Дорозвідується"))</f>
        <v/>
      </c>
    </row>
    <row r="555">
      <c r="A555" s="273">
        <f>IF(A554="","",IF(A554+1&gt;MAX('Таблиця 1'!$B:$B),"",A554+1))</f>
        <v/>
      </c>
      <c r="B555">
        <f>IF($A555="","",COUNTIFS('Таблиця 1'!$B:$B,$A555,'Таблиця 1'!$I:$I,"Mirage")+COUNTIFS('Таблиця 1'!$B:$B,$A555,'Таблиця 1'!$I:$I,"F-16")+COUNTIFS('Таблиця 1'!$B:$B,$A555,'Таблиця 1'!$I:$I,"МіГ-29")+COUNTIFS('Таблиця 1'!$B:$B,$A555,'Таблиця 1'!$I:$I,"Су-25")+COUNTIFS('Таблиця 1'!$B:$B,$A555,'Таблиця 1'!$I:$I,"Су-27"))</f>
        <v/>
      </c>
      <c r="C555">
        <f>IF($A555="","",COUNTIFS('Таблиця 1'!$B:$B,$A555,'Таблиця 1'!$I:$I,"Mirage"))</f>
        <v/>
      </c>
      <c r="D555">
        <f>IF($A555="","",COUNTIFS('Таблиця 1'!$B:$B,$A555,'Таблиця 1'!$I:$I,"F-16"))</f>
        <v/>
      </c>
      <c r="E555">
        <f>IF($A555="","",COUNTIFS('Таблиця 1'!$B:$B,$A555,'Таблиця 1'!$I:$I,"МіГ-29"))</f>
        <v/>
      </c>
      <c r="F555">
        <f>IF($A555="","",COUNTIFS('Таблиця 1'!$B:$B,$A555,'Таблиця 1'!$I:$I,"Су-25"))</f>
        <v/>
      </c>
      <c r="G555">
        <f>IF($A555="","",COUNTIFS('Таблиця 1'!$B:$B,$A555,'Таблиця 1'!$I:$I,"Су-27"))</f>
        <v/>
      </c>
      <c r="H555">
        <f>IF($A555="","",SUMIFS('Таблиця 1'!$K:$K,'Таблиця 1'!$B:$B,$A555,'Таблиця 1'!$I:$I,"Mirage",'Таблиця 1'!$J:$J,"AGM-88")+SUMIFS('Таблиця 1'!$K:$K,'Таблиця 1'!$B:$B,$A555,'Таблиця 1'!$I:$I,"F-16",'Таблиця 1'!$J:$J,"AGM-88")+SUMIFS('Таблиця 1'!$K:$K,'Таблиця 1'!$B:$B,$A555,'Таблиця 1'!$I:$I,"МіГ-29",'Таблиця 1'!$J:$J,"AGM-88")+SUMIFS('Таблиця 1'!$K:$K,'Таблиця 1'!$B:$B,$A555,'Таблиця 1'!$I:$I,"Су-25",'Таблиця 1'!$J:$J,"AGM-88")+SUMIFS('Таблиця 1'!$K:$K,'Таблиця 1'!$B:$B,$A555,'Таблиця 1'!$I:$I,"Су-27",'Таблиця 1'!$J:$J,"AGM-88"))</f>
        <v/>
      </c>
      <c r="I555">
        <f>IF($A555="","",SUMIFS('Таблиця 1'!$K:$K,'Таблиця 1'!$B:$B,$A555,'Таблиця 1'!$I:$I,"Mirage",'Таблиця 1'!$J:$J,"AASM-250")+SUMIFS('Таблиця 1'!$K:$K,'Таблиця 1'!$B:$B,$A555,'Таблиця 1'!$I:$I,"F-16",'Таблиця 1'!$J:$J,"AASM-250")+SUMIFS('Таблиця 1'!$K:$K,'Таблиця 1'!$B:$B,$A555,'Таблиця 1'!$I:$I,"МіГ-29",'Таблиця 1'!$J:$J,"AASM-250")+SUMIFS('Таблиця 1'!$K:$K,'Таблиця 1'!$B:$B,$A555,'Таблиця 1'!$I:$I,"Су-25",'Таблиця 1'!$J:$J,"AASM-250")+SUMIFS('Таблиця 1'!$K:$K,'Таблиця 1'!$B:$B,$A555,'Таблиця 1'!$I:$I,"Су-27",'Таблиця 1'!$J:$J,"AASM-250"))</f>
        <v/>
      </c>
      <c r="J555">
        <f>IF($A555="","",SUMIFS('Таблиця 1'!$K:$K,'Таблиця 1'!$B:$B,$A555,'Таблиця 1'!$I:$I,"Mirage",'Таблиця 1'!$J:$J,"GBU-39")+SUMIFS('Таблиця 1'!$K:$K,'Таблиця 1'!$B:$B,$A555,'Таблиця 1'!$I:$I,"F-16",'Таблиця 1'!$J:$J,"GBU-39")+SUMIFS('Таблиця 1'!$K:$K,'Таблиця 1'!$B:$B,$A555,'Таблиця 1'!$I:$I,"МіГ-29",'Таблиця 1'!$J:$J,"GBU-39")+SUMIFS('Таблиця 1'!$K:$K,'Таблиця 1'!$B:$B,$A555,'Таблиця 1'!$I:$I,"Су-25",'Таблиця 1'!$J:$J,"GBU-39")+SUMIFS('Таблиця 1'!$K:$K,'Таблиця 1'!$B:$B,$A555,'Таблиця 1'!$I:$I,"Су-27",'Таблиця 1'!$J:$J,"GBU-39"))</f>
        <v/>
      </c>
      <c r="K555">
        <f>IF($A555="","",SUMIFS('Таблиця 1'!$K:$K,'Таблиця 1'!$B:$B,$A555,'Таблиця 1'!$I:$I,"Mirage",'Таблиця 1'!$J:$J,"BLU-140")+SUMIFS('Таблиця 1'!$K:$K,'Таблиця 1'!$B:$B,$A555,'Таблиця 1'!$I:$I,"F-16",'Таблиця 1'!$J:$J,"BLU-140")+SUMIFS('Таблиця 1'!$K:$K,'Таблиця 1'!$B:$B,$A555,'Таблиця 1'!$I:$I,"МіГ-29",'Таблиця 1'!$J:$J,"BLU-140")+SUMIFS('Таблиця 1'!$K:$K,'Таблиця 1'!$B:$B,$A555,'Таблиця 1'!$I:$I,"Су-25",'Таблиця 1'!$J:$J,"BLU-140")+SUMIFS('Таблиця 1'!$K:$K,'Таблиця 1'!$B:$B,$A555,'Таблиця 1'!$I:$I,"Су-27",'Таблиця 1'!$J:$J,"BLU-140"))</f>
        <v/>
      </c>
      <c r="L555">
        <f>IF($A555="","",SUMIFS('Таблиця 1'!$K:$K,'Таблиця 1'!$B:$B,$A555,'Таблиця 1'!$I:$I,"Mirage",'Таблиця 1'!$J:$J,"GBU-65")+SUMIFS('Таблиця 1'!$K:$K,'Таблиця 1'!$B:$B,$A555,'Таблиця 1'!$I:$I,"F-16",'Таблиця 1'!$J:$J,"GBU-65")+SUMIFS('Таблиця 1'!$K:$K,'Таблиця 1'!$B:$B,$A555,'Таблиця 1'!$I:$I,"МіГ-29",'Таблиця 1'!$J:$J,"GBU-65")+SUMIFS('Таблиця 1'!$K:$K,'Таблиця 1'!$B:$B,$A555,'Таблиця 1'!$I:$I,"Су-25",'Таблиця 1'!$J:$J,"GBU-65")+SUMIFS('Таблиця 1'!$K:$K,'Таблиця 1'!$B:$B,$A555,'Таблиця 1'!$I:$I,"Су-27",'Таблиця 1'!$J:$J,"GBU-65"))</f>
        <v/>
      </c>
      <c r="M555">
        <f>IF($A555="","",SUMIFS('Таблиця 1'!$K:$K,'Таблиця 1'!$B:$B,$A555,'Таблиця 1'!$I:$I,"Mirage",'Таблиця 1'!$J:$J,"GBU-62")+SUMIFS('Таблиця 1'!$K:$K,'Таблиця 1'!$B:$B,$A555,'Таблиця 1'!$I:$I,"F-16",'Таблиця 1'!$J:$J,"GBU-62")+SUMIFS('Таблиця 1'!$K:$K,'Таблиця 1'!$B:$B,$A555,'Таблиця 1'!$I:$I,"МіГ-29",'Таблиця 1'!$J:$J,"GBU-62")+SUMIFS('Таблиця 1'!$K:$K,'Таблиця 1'!$B:$B,$A555,'Таблиця 1'!$I:$I,"Су-25",'Таблиця 1'!$J:$J,"GBU-62")+SUMIFS('Таблиця 1'!$K:$K,'Таблиця 1'!$B:$B,$A555,'Таблиця 1'!$I:$I,"Су-27",'Таблиця 1'!$J:$J,"GBU-62"))</f>
        <v/>
      </c>
      <c r="N555">
        <f>IF($A555="","",SUMIFS('Таблиця 1'!$K:$K,'Таблиця 1'!$B:$B,$A555,'Таблиця 1'!$I:$I,"Mirage",'Таблиця 1'!$J:$J,"GBU-64")+SUMIFS('Таблиця 1'!$K:$K,'Таблиця 1'!$B:$B,$A555,'Таблиця 1'!$I:$I,"F-16",'Таблиця 1'!$J:$J,"GBU-64")+SUMIFS('Таблиця 1'!$K:$K,'Таблиця 1'!$B:$B,$A555,'Таблиця 1'!$I:$I,"МіГ-29",'Таблиця 1'!$J:$J,"GBU-64")+SUMIFS('Таблиця 1'!$K:$K,'Таблиця 1'!$B:$B,$A555,'Таблиця 1'!$I:$I,"Су-25",'Таблиця 1'!$J:$J,"GBU-64")+SUMIFS('Таблиця 1'!$K:$K,'Таблиця 1'!$B:$B,$A555,'Таблиця 1'!$I:$I,"Су-27",'Таблиця 1'!$J:$J,"GBU-64"))</f>
        <v/>
      </c>
      <c r="O555">
        <f>IF($A555="","",SUMIFS('Таблиця 1'!$K:$K,'Таблиця 1'!$B:$B,$A555,'Таблиця 1'!$I:$I,"Mirage",'Таблиця 1'!$J:$J,"C-13")+SUMIFS('Таблиця 1'!$K:$K,'Таблиця 1'!$B:$B,$A555,'Таблиця 1'!$I:$I,"F-16",'Таблиця 1'!$J:$J,"C-13")+SUMIFS('Таблиця 1'!$K:$K,'Таблиця 1'!$B:$B,$A555,'Таблиця 1'!$I:$I,"МіГ-29",'Таблиця 1'!$J:$J,"C-13")+SUMIFS('Таблиця 1'!$K:$K,'Таблиця 1'!$B:$B,$A555,'Таблиця 1'!$I:$I,"Су-25",'Таблиця 1'!$J:$J,"C-13")+SUMIFS('Таблиця 1'!$K:$K,'Таблиця 1'!$B:$B,$A555,'Таблиця 1'!$I:$I,"Су-27",'Таблиця 1'!$J:$J,"C-13"))</f>
        <v/>
      </c>
      <c r="P555">
        <f>IF($A555="","",SUMIFS('Таблиця 1'!$K:$K,'Таблиця 1'!$B:$B,$A555,'Таблиця 1'!$I:$I,"Mirage",'Таблиця 1'!$J:$J,"MK-32")+SUMIFS('Таблиця 1'!$K:$K,'Таблиця 1'!$B:$B,$A555,'Таблиця 1'!$I:$I,"F-16",'Таблиця 1'!$J:$J,"MK-32")+SUMIFS('Таблиця 1'!$K:$K,'Таблиця 1'!$B:$B,$A555,'Таблиця 1'!$I:$I,"МіГ-29",'Таблиця 1'!$J:$J,"MK-32")+SUMIFS('Таблиця 1'!$K:$K,'Таблиця 1'!$B:$B,$A555,'Таблиця 1'!$I:$I,"Су-25",'Таблиця 1'!$J:$J,"MK-32")+SUMIFS('Таблиця 1'!$K:$K,'Таблиця 1'!$B:$B,$A555,'Таблиця 1'!$I:$I,"Су-27",'Таблиця 1'!$J:$J,"MK-32"))</f>
        <v/>
      </c>
      <c r="Q555">
        <f>IF($A555="","",SUMIFS('Таблиця 1'!$K:$K,'Таблиця 1'!$B:$B,$A555,'Таблиця 1'!$I:$I,"Mirage",'Таблиця 1'!$J:$J,"MK-24")+SUMIFS('Таблиця 1'!$K:$K,'Таблиця 1'!$B:$B,$A555,'Таблиця 1'!$I:$I,"F-16",'Таблиця 1'!$J:$J,"MK-24")+SUMIFS('Таблиця 1'!$K:$K,'Таблиця 1'!$B:$B,$A555,'Таблиця 1'!$I:$I,"МіГ-29",'Таблиця 1'!$J:$J,"MK-24")+SUMIFS('Таблиця 1'!$K:$K,'Таблиця 1'!$B:$B,$A555,'Таблиця 1'!$I:$I,"Су-25",'Таблиця 1'!$J:$J,"MK-24")+SUMIFS('Таблиця 1'!$K:$K,'Таблиця 1'!$B:$B,$A555,'Таблиця 1'!$I:$I,"Су-27",'Таблиця 1'!$J:$J,"MK-24"))</f>
        <v/>
      </c>
      <c r="R555">
        <f>IF($A555="","",COUNTIFS('Таблиця 1'!$B:$B,$A555,'Таблиця 1'!$I:$I,"Mirage",'Таблиця 1'!$L:$L,"Уражено")+COUNTIFS('Таблиця 1'!$B:$B,$A555,'Таблиця 1'!$I:$I,"F-16",'Таблиця 1'!$L:$L,"Уражено")+COUNTIFS('Таблиця 1'!$B:$B,$A555,'Таблиця 1'!$I:$I,"МіГ-29",'Таблиця 1'!$L:$L,"Уражено")+COUNTIFS('Таблиця 1'!$B:$B,$A555,'Таблиця 1'!$I:$I,"Су-25",'Таблиця 1'!$L:$L,"Уражено")+COUNTIFS('Таблиця 1'!$B:$B,$A555,'Таблиця 1'!$I:$I,"Су-27",'Таблиця 1'!$L:$L,"Уражено"))</f>
        <v/>
      </c>
      <c r="S555">
        <f>IF($A555="","",COUNTIFS('Таблиця 1'!$B:$B,$A555,'Таблиця 1'!$I:$I,"Mirage",'Таблиця 1'!$L:$L,"НЕ уражено")+COUNTIFS('Таблиця 1'!$B:$B,$A555,'Таблиця 1'!$I:$I,"F-16",'Таблиця 1'!$L:$L,"НЕ уражено")+COUNTIFS('Таблиця 1'!$B:$B,$A555,'Таблиця 1'!$I:$I,"МіГ-29",'Таблиця 1'!$L:$L,"НЕ уражено")+COUNTIFS('Таблиця 1'!$B:$B,$A555,'Таблиця 1'!$I:$I,"Су-25",'Таблиця 1'!$L:$L,"НЕ уражено")+COUNTIFS('Таблиця 1'!$B:$B,$A555,'Таблиця 1'!$I:$I,"Су-27",'Таблиця 1'!$L:$L,"НЕ уражено"))</f>
        <v/>
      </c>
      <c r="T555">
        <f>IF($A555="","",COUNTIFS('Таблиця 1'!$B:$B,$A555,'Таблиця 1'!$I:$I,"Mirage",'Таблиця 1'!$L:$L,"Дорозвідується")+COUNTIFS('Таблиця 1'!$B:$B,$A555,'Таблиця 1'!$I:$I,"F-16",'Таблиця 1'!$L:$L,"Дорозвідується")+COUNTIFS('Таблиця 1'!$B:$B,$A555,'Таблиця 1'!$I:$I,"МіГ-29",'Таблиця 1'!$L:$L,"Дорозвідується")+COUNTIFS('Таблиця 1'!$B:$B,$A555,'Таблиця 1'!$I:$I,"Су-25",'Таблиця 1'!$L:$L,"Дорозвідується")+COUNTIFS('Таблиця 1'!$B:$B,$A555,'Таблиця 1'!$I:$I,"Су-27",'Таблиця 1'!$L:$L,"Дорозвідується"))</f>
        <v/>
      </c>
    </row>
    <row r="556">
      <c r="A556" s="273">
        <f>IF(A555="","",IF(A555+1&gt;MAX('Таблиця 1'!$B:$B),"",A555+1))</f>
        <v/>
      </c>
      <c r="B556">
        <f>IF($A556="","",COUNTIFS('Таблиця 1'!$B:$B,$A556,'Таблиця 1'!$I:$I,"Mirage")+COUNTIFS('Таблиця 1'!$B:$B,$A556,'Таблиця 1'!$I:$I,"F-16")+COUNTIFS('Таблиця 1'!$B:$B,$A556,'Таблиця 1'!$I:$I,"МіГ-29")+COUNTIFS('Таблиця 1'!$B:$B,$A556,'Таблиця 1'!$I:$I,"Су-25")+COUNTIFS('Таблиця 1'!$B:$B,$A556,'Таблиця 1'!$I:$I,"Су-27"))</f>
        <v/>
      </c>
      <c r="C556">
        <f>IF($A556="","",COUNTIFS('Таблиця 1'!$B:$B,$A556,'Таблиця 1'!$I:$I,"Mirage"))</f>
        <v/>
      </c>
      <c r="D556">
        <f>IF($A556="","",COUNTIFS('Таблиця 1'!$B:$B,$A556,'Таблиця 1'!$I:$I,"F-16"))</f>
        <v/>
      </c>
      <c r="E556">
        <f>IF($A556="","",COUNTIFS('Таблиця 1'!$B:$B,$A556,'Таблиця 1'!$I:$I,"МіГ-29"))</f>
        <v/>
      </c>
      <c r="F556">
        <f>IF($A556="","",COUNTIFS('Таблиця 1'!$B:$B,$A556,'Таблиця 1'!$I:$I,"Су-25"))</f>
        <v/>
      </c>
      <c r="G556">
        <f>IF($A556="","",COUNTIFS('Таблиця 1'!$B:$B,$A556,'Таблиця 1'!$I:$I,"Су-27"))</f>
        <v/>
      </c>
      <c r="H556">
        <f>IF($A556="","",SUMIFS('Таблиця 1'!$K:$K,'Таблиця 1'!$B:$B,$A556,'Таблиця 1'!$I:$I,"Mirage",'Таблиця 1'!$J:$J,"AGM-88")+SUMIFS('Таблиця 1'!$K:$K,'Таблиця 1'!$B:$B,$A556,'Таблиця 1'!$I:$I,"F-16",'Таблиця 1'!$J:$J,"AGM-88")+SUMIFS('Таблиця 1'!$K:$K,'Таблиця 1'!$B:$B,$A556,'Таблиця 1'!$I:$I,"МіГ-29",'Таблиця 1'!$J:$J,"AGM-88")+SUMIFS('Таблиця 1'!$K:$K,'Таблиця 1'!$B:$B,$A556,'Таблиця 1'!$I:$I,"Су-25",'Таблиця 1'!$J:$J,"AGM-88")+SUMIFS('Таблиця 1'!$K:$K,'Таблиця 1'!$B:$B,$A556,'Таблиця 1'!$I:$I,"Су-27",'Таблиця 1'!$J:$J,"AGM-88"))</f>
        <v/>
      </c>
      <c r="I556">
        <f>IF($A556="","",SUMIFS('Таблиця 1'!$K:$K,'Таблиця 1'!$B:$B,$A556,'Таблиця 1'!$I:$I,"Mirage",'Таблиця 1'!$J:$J,"AASM-250")+SUMIFS('Таблиця 1'!$K:$K,'Таблиця 1'!$B:$B,$A556,'Таблиця 1'!$I:$I,"F-16",'Таблиця 1'!$J:$J,"AASM-250")+SUMIFS('Таблиця 1'!$K:$K,'Таблиця 1'!$B:$B,$A556,'Таблиця 1'!$I:$I,"МіГ-29",'Таблиця 1'!$J:$J,"AASM-250")+SUMIFS('Таблиця 1'!$K:$K,'Таблиця 1'!$B:$B,$A556,'Таблиця 1'!$I:$I,"Су-25",'Таблиця 1'!$J:$J,"AASM-250")+SUMIFS('Таблиця 1'!$K:$K,'Таблиця 1'!$B:$B,$A556,'Таблиця 1'!$I:$I,"Су-27",'Таблиця 1'!$J:$J,"AASM-250"))</f>
        <v/>
      </c>
      <c r="J556">
        <f>IF($A556="","",SUMIFS('Таблиця 1'!$K:$K,'Таблиця 1'!$B:$B,$A556,'Таблиця 1'!$I:$I,"Mirage",'Таблиця 1'!$J:$J,"GBU-39")+SUMIFS('Таблиця 1'!$K:$K,'Таблиця 1'!$B:$B,$A556,'Таблиця 1'!$I:$I,"F-16",'Таблиця 1'!$J:$J,"GBU-39")+SUMIFS('Таблиця 1'!$K:$K,'Таблиця 1'!$B:$B,$A556,'Таблиця 1'!$I:$I,"МіГ-29",'Таблиця 1'!$J:$J,"GBU-39")+SUMIFS('Таблиця 1'!$K:$K,'Таблиця 1'!$B:$B,$A556,'Таблиця 1'!$I:$I,"Су-25",'Таблиця 1'!$J:$J,"GBU-39")+SUMIFS('Таблиця 1'!$K:$K,'Таблиця 1'!$B:$B,$A556,'Таблиця 1'!$I:$I,"Су-27",'Таблиця 1'!$J:$J,"GBU-39"))</f>
        <v/>
      </c>
      <c r="K556">
        <f>IF($A556="","",SUMIFS('Таблиця 1'!$K:$K,'Таблиця 1'!$B:$B,$A556,'Таблиця 1'!$I:$I,"Mirage",'Таблиця 1'!$J:$J,"BLU-140")+SUMIFS('Таблиця 1'!$K:$K,'Таблиця 1'!$B:$B,$A556,'Таблиця 1'!$I:$I,"F-16",'Таблиця 1'!$J:$J,"BLU-140")+SUMIFS('Таблиця 1'!$K:$K,'Таблиця 1'!$B:$B,$A556,'Таблиця 1'!$I:$I,"МіГ-29",'Таблиця 1'!$J:$J,"BLU-140")+SUMIFS('Таблиця 1'!$K:$K,'Таблиця 1'!$B:$B,$A556,'Таблиця 1'!$I:$I,"Су-25",'Таблиця 1'!$J:$J,"BLU-140")+SUMIFS('Таблиця 1'!$K:$K,'Таблиця 1'!$B:$B,$A556,'Таблиця 1'!$I:$I,"Су-27",'Таблиця 1'!$J:$J,"BLU-140"))</f>
        <v/>
      </c>
      <c r="L556">
        <f>IF($A556="","",SUMIFS('Таблиця 1'!$K:$K,'Таблиця 1'!$B:$B,$A556,'Таблиця 1'!$I:$I,"Mirage",'Таблиця 1'!$J:$J,"GBU-65")+SUMIFS('Таблиця 1'!$K:$K,'Таблиця 1'!$B:$B,$A556,'Таблиця 1'!$I:$I,"F-16",'Таблиця 1'!$J:$J,"GBU-65")+SUMIFS('Таблиця 1'!$K:$K,'Таблиця 1'!$B:$B,$A556,'Таблиця 1'!$I:$I,"МіГ-29",'Таблиця 1'!$J:$J,"GBU-65")+SUMIFS('Таблиця 1'!$K:$K,'Таблиця 1'!$B:$B,$A556,'Таблиця 1'!$I:$I,"Су-25",'Таблиця 1'!$J:$J,"GBU-65")+SUMIFS('Таблиця 1'!$K:$K,'Таблиця 1'!$B:$B,$A556,'Таблиця 1'!$I:$I,"Су-27",'Таблиця 1'!$J:$J,"GBU-65"))</f>
        <v/>
      </c>
      <c r="M556">
        <f>IF($A556="","",SUMIFS('Таблиця 1'!$K:$K,'Таблиця 1'!$B:$B,$A556,'Таблиця 1'!$I:$I,"Mirage",'Таблиця 1'!$J:$J,"GBU-62")+SUMIFS('Таблиця 1'!$K:$K,'Таблиця 1'!$B:$B,$A556,'Таблиця 1'!$I:$I,"F-16",'Таблиця 1'!$J:$J,"GBU-62")+SUMIFS('Таблиця 1'!$K:$K,'Таблиця 1'!$B:$B,$A556,'Таблиця 1'!$I:$I,"МіГ-29",'Таблиця 1'!$J:$J,"GBU-62")+SUMIFS('Таблиця 1'!$K:$K,'Таблиця 1'!$B:$B,$A556,'Таблиця 1'!$I:$I,"Су-25",'Таблиця 1'!$J:$J,"GBU-62")+SUMIFS('Таблиця 1'!$K:$K,'Таблиця 1'!$B:$B,$A556,'Таблиця 1'!$I:$I,"Су-27",'Таблиця 1'!$J:$J,"GBU-62"))</f>
        <v/>
      </c>
      <c r="N556">
        <f>IF($A556="","",SUMIFS('Таблиця 1'!$K:$K,'Таблиця 1'!$B:$B,$A556,'Таблиця 1'!$I:$I,"Mirage",'Таблиця 1'!$J:$J,"GBU-64")+SUMIFS('Таблиця 1'!$K:$K,'Таблиця 1'!$B:$B,$A556,'Таблиця 1'!$I:$I,"F-16",'Таблиця 1'!$J:$J,"GBU-64")+SUMIFS('Таблиця 1'!$K:$K,'Таблиця 1'!$B:$B,$A556,'Таблиця 1'!$I:$I,"МіГ-29",'Таблиця 1'!$J:$J,"GBU-64")+SUMIFS('Таблиця 1'!$K:$K,'Таблиця 1'!$B:$B,$A556,'Таблиця 1'!$I:$I,"Су-25",'Таблиця 1'!$J:$J,"GBU-64")+SUMIFS('Таблиця 1'!$K:$K,'Таблиця 1'!$B:$B,$A556,'Таблиця 1'!$I:$I,"Су-27",'Таблиця 1'!$J:$J,"GBU-64"))</f>
        <v/>
      </c>
      <c r="O556">
        <f>IF($A556="","",SUMIFS('Таблиця 1'!$K:$K,'Таблиця 1'!$B:$B,$A556,'Таблиця 1'!$I:$I,"Mirage",'Таблиця 1'!$J:$J,"C-13")+SUMIFS('Таблиця 1'!$K:$K,'Таблиця 1'!$B:$B,$A556,'Таблиця 1'!$I:$I,"F-16",'Таблиця 1'!$J:$J,"C-13")+SUMIFS('Таблиця 1'!$K:$K,'Таблиця 1'!$B:$B,$A556,'Таблиця 1'!$I:$I,"МіГ-29",'Таблиця 1'!$J:$J,"C-13")+SUMIFS('Таблиця 1'!$K:$K,'Таблиця 1'!$B:$B,$A556,'Таблиця 1'!$I:$I,"Су-25",'Таблиця 1'!$J:$J,"C-13")+SUMIFS('Таблиця 1'!$K:$K,'Таблиця 1'!$B:$B,$A556,'Таблиця 1'!$I:$I,"Су-27",'Таблиця 1'!$J:$J,"C-13"))</f>
        <v/>
      </c>
      <c r="P556">
        <f>IF($A556="","",SUMIFS('Таблиця 1'!$K:$K,'Таблиця 1'!$B:$B,$A556,'Таблиця 1'!$I:$I,"Mirage",'Таблиця 1'!$J:$J,"MK-32")+SUMIFS('Таблиця 1'!$K:$K,'Таблиця 1'!$B:$B,$A556,'Таблиця 1'!$I:$I,"F-16",'Таблиця 1'!$J:$J,"MK-32")+SUMIFS('Таблиця 1'!$K:$K,'Таблиця 1'!$B:$B,$A556,'Таблиця 1'!$I:$I,"МіГ-29",'Таблиця 1'!$J:$J,"MK-32")+SUMIFS('Таблиця 1'!$K:$K,'Таблиця 1'!$B:$B,$A556,'Таблиця 1'!$I:$I,"Су-25",'Таблиця 1'!$J:$J,"MK-32")+SUMIFS('Таблиця 1'!$K:$K,'Таблиця 1'!$B:$B,$A556,'Таблиця 1'!$I:$I,"Су-27",'Таблиця 1'!$J:$J,"MK-32"))</f>
        <v/>
      </c>
      <c r="Q556">
        <f>IF($A556="","",SUMIFS('Таблиця 1'!$K:$K,'Таблиця 1'!$B:$B,$A556,'Таблиця 1'!$I:$I,"Mirage",'Таблиця 1'!$J:$J,"MK-24")+SUMIFS('Таблиця 1'!$K:$K,'Таблиця 1'!$B:$B,$A556,'Таблиця 1'!$I:$I,"F-16",'Таблиця 1'!$J:$J,"MK-24")+SUMIFS('Таблиця 1'!$K:$K,'Таблиця 1'!$B:$B,$A556,'Таблиця 1'!$I:$I,"МіГ-29",'Таблиця 1'!$J:$J,"MK-24")+SUMIFS('Таблиця 1'!$K:$K,'Таблиця 1'!$B:$B,$A556,'Таблиця 1'!$I:$I,"Су-25",'Таблиця 1'!$J:$J,"MK-24")+SUMIFS('Таблиця 1'!$K:$K,'Таблиця 1'!$B:$B,$A556,'Таблиця 1'!$I:$I,"Су-27",'Таблиця 1'!$J:$J,"MK-24"))</f>
        <v/>
      </c>
      <c r="R556">
        <f>IF($A556="","",COUNTIFS('Таблиця 1'!$B:$B,$A556,'Таблиця 1'!$I:$I,"Mirage",'Таблиця 1'!$L:$L,"Уражено")+COUNTIFS('Таблиця 1'!$B:$B,$A556,'Таблиця 1'!$I:$I,"F-16",'Таблиця 1'!$L:$L,"Уражено")+COUNTIFS('Таблиця 1'!$B:$B,$A556,'Таблиця 1'!$I:$I,"МіГ-29",'Таблиця 1'!$L:$L,"Уражено")+COUNTIFS('Таблиця 1'!$B:$B,$A556,'Таблиця 1'!$I:$I,"Су-25",'Таблиця 1'!$L:$L,"Уражено")+COUNTIFS('Таблиця 1'!$B:$B,$A556,'Таблиця 1'!$I:$I,"Су-27",'Таблиця 1'!$L:$L,"Уражено"))</f>
        <v/>
      </c>
      <c r="S556">
        <f>IF($A556="","",COUNTIFS('Таблиця 1'!$B:$B,$A556,'Таблиця 1'!$I:$I,"Mirage",'Таблиця 1'!$L:$L,"НЕ уражено")+COUNTIFS('Таблиця 1'!$B:$B,$A556,'Таблиця 1'!$I:$I,"F-16",'Таблиця 1'!$L:$L,"НЕ уражено")+COUNTIFS('Таблиця 1'!$B:$B,$A556,'Таблиця 1'!$I:$I,"МіГ-29",'Таблиця 1'!$L:$L,"НЕ уражено")+COUNTIFS('Таблиця 1'!$B:$B,$A556,'Таблиця 1'!$I:$I,"Су-25",'Таблиця 1'!$L:$L,"НЕ уражено")+COUNTIFS('Таблиця 1'!$B:$B,$A556,'Таблиця 1'!$I:$I,"Су-27",'Таблиця 1'!$L:$L,"НЕ уражено"))</f>
        <v/>
      </c>
      <c r="T556">
        <f>IF($A556="","",COUNTIFS('Таблиця 1'!$B:$B,$A556,'Таблиця 1'!$I:$I,"Mirage",'Таблиця 1'!$L:$L,"Дорозвідується")+COUNTIFS('Таблиця 1'!$B:$B,$A556,'Таблиця 1'!$I:$I,"F-16",'Таблиця 1'!$L:$L,"Дорозвідується")+COUNTIFS('Таблиця 1'!$B:$B,$A556,'Таблиця 1'!$I:$I,"МіГ-29",'Таблиця 1'!$L:$L,"Дорозвідується")+COUNTIFS('Таблиця 1'!$B:$B,$A556,'Таблиця 1'!$I:$I,"Су-25",'Таблиця 1'!$L:$L,"Дорозвідується")+COUNTIFS('Таблиця 1'!$B:$B,$A556,'Таблиця 1'!$I:$I,"Су-27",'Таблиця 1'!$L:$L,"Дорозвідується"))</f>
        <v/>
      </c>
    </row>
    <row r="557">
      <c r="A557" s="273">
        <f>IF(A556="","",IF(A556+1&gt;MAX('Таблиця 1'!$B:$B),"",A556+1))</f>
        <v/>
      </c>
      <c r="B557">
        <f>IF($A557="","",COUNTIFS('Таблиця 1'!$B:$B,$A557,'Таблиця 1'!$I:$I,"Mirage")+COUNTIFS('Таблиця 1'!$B:$B,$A557,'Таблиця 1'!$I:$I,"F-16")+COUNTIFS('Таблиця 1'!$B:$B,$A557,'Таблиця 1'!$I:$I,"МіГ-29")+COUNTIFS('Таблиця 1'!$B:$B,$A557,'Таблиця 1'!$I:$I,"Су-25")+COUNTIFS('Таблиця 1'!$B:$B,$A557,'Таблиця 1'!$I:$I,"Су-27"))</f>
        <v/>
      </c>
      <c r="C557">
        <f>IF($A557="","",COUNTIFS('Таблиця 1'!$B:$B,$A557,'Таблиця 1'!$I:$I,"Mirage"))</f>
        <v/>
      </c>
      <c r="D557">
        <f>IF($A557="","",COUNTIFS('Таблиця 1'!$B:$B,$A557,'Таблиця 1'!$I:$I,"F-16"))</f>
        <v/>
      </c>
      <c r="E557">
        <f>IF($A557="","",COUNTIFS('Таблиця 1'!$B:$B,$A557,'Таблиця 1'!$I:$I,"МіГ-29"))</f>
        <v/>
      </c>
      <c r="F557">
        <f>IF($A557="","",COUNTIFS('Таблиця 1'!$B:$B,$A557,'Таблиця 1'!$I:$I,"Су-25"))</f>
        <v/>
      </c>
      <c r="G557">
        <f>IF($A557="","",COUNTIFS('Таблиця 1'!$B:$B,$A557,'Таблиця 1'!$I:$I,"Су-27"))</f>
        <v/>
      </c>
      <c r="H557">
        <f>IF($A557="","",SUMIFS('Таблиця 1'!$K:$K,'Таблиця 1'!$B:$B,$A557,'Таблиця 1'!$I:$I,"Mirage",'Таблиця 1'!$J:$J,"AGM-88")+SUMIFS('Таблиця 1'!$K:$K,'Таблиця 1'!$B:$B,$A557,'Таблиця 1'!$I:$I,"F-16",'Таблиця 1'!$J:$J,"AGM-88")+SUMIFS('Таблиця 1'!$K:$K,'Таблиця 1'!$B:$B,$A557,'Таблиця 1'!$I:$I,"МіГ-29",'Таблиця 1'!$J:$J,"AGM-88")+SUMIFS('Таблиця 1'!$K:$K,'Таблиця 1'!$B:$B,$A557,'Таблиця 1'!$I:$I,"Су-25",'Таблиця 1'!$J:$J,"AGM-88")+SUMIFS('Таблиця 1'!$K:$K,'Таблиця 1'!$B:$B,$A557,'Таблиця 1'!$I:$I,"Су-27",'Таблиця 1'!$J:$J,"AGM-88"))</f>
        <v/>
      </c>
      <c r="I557">
        <f>IF($A557="","",SUMIFS('Таблиця 1'!$K:$K,'Таблиця 1'!$B:$B,$A557,'Таблиця 1'!$I:$I,"Mirage",'Таблиця 1'!$J:$J,"AASM-250")+SUMIFS('Таблиця 1'!$K:$K,'Таблиця 1'!$B:$B,$A557,'Таблиця 1'!$I:$I,"F-16",'Таблиця 1'!$J:$J,"AASM-250")+SUMIFS('Таблиця 1'!$K:$K,'Таблиця 1'!$B:$B,$A557,'Таблиця 1'!$I:$I,"МіГ-29",'Таблиця 1'!$J:$J,"AASM-250")+SUMIFS('Таблиця 1'!$K:$K,'Таблиця 1'!$B:$B,$A557,'Таблиця 1'!$I:$I,"Су-25",'Таблиця 1'!$J:$J,"AASM-250")+SUMIFS('Таблиця 1'!$K:$K,'Таблиця 1'!$B:$B,$A557,'Таблиця 1'!$I:$I,"Су-27",'Таблиця 1'!$J:$J,"AASM-250"))</f>
        <v/>
      </c>
      <c r="J557">
        <f>IF($A557="","",SUMIFS('Таблиця 1'!$K:$K,'Таблиця 1'!$B:$B,$A557,'Таблиця 1'!$I:$I,"Mirage",'Таблиця 1'!$J:$J,"GBU-39")+SUMIFS('Таблиця 1'!$K:$K,'Таблиця 1'!$B:$B,$A557,'Таблиця 1'!$I:$I,"F-16",'Таблиця 1'!$J:$J,"GBU-39")+SUMIFS('Таблиця 1'!$K:$K,'Таблиця 1'!$B:$B,$A557,'Таблиця 1'!$I:$I,"МіГ-29",'Таблиця 1'!$J:$J,"GBU-39")+SUMIFS('Таблиця 1'!$K:$K,'Таблиця 1'!$B:$B,$A557,'Таблиця 1'!$I:$I,"Су-25",'Таблиця 1'!$J:$J,"GBU-39")+SUMIFS('Таблиця 1'!$K:$K,'Таблиця 1'!$B:$B,$A557,'Таблиця 1'!$I:$I,"Су-27",'Таблиця 1'!$J:$J,"GBU-39"))</f>
        <v/>
      </c>
      <c r="K557">
        <f>IF($A557="","",SUMIFS('Таблиця 1'!$K:$K,'Таблиця 1'!$B:$B,$A557,'Таблиця 1'!$I:$I,"Mirage",'Таблиця 1'!$J:$J,"BLU-140")+SUMIFS('Таблиця 1'!$K:$K,'Таблиця 1'!$B:$B,$A557,'Таблиця 1'!$I:$I,"F-16",'Таблиця 1'!$J:$J,"BLU-140")+SUMIFS('Таблиця 1'!$K:$K,'Таблиця 1'!$B:$B,$A557,'Таблиця 1'!$I:$I,"МіГ-29",'Таблиця 1'!$J:$J,"BLU-140")+SUMIFS('Таблиця 1'!$K:$K,'Таблиця 1'!$B:$B,$A557,'Таблиця 1'!$I:$I,"Су-25",'Таблиця 1'!$J:$J,"BLU-140")+SUMIFS('Таблиця 1'!$K:$K,'Таблиця 1'!$B:$B,$A557,'Таблиця 1'!$I:$I,"Су-27",'Таблиця 1'!$J:$J,"BLU-140"))</f>
        <v/>
      </c>
      <c r="L557">
        <f>IF($A557="","",SUMIFS('Таблиця 1'!$K:$K,'Таблиця 1'!$B:$B,$A557,'Таблиця 1'!$I:$I,"Mirage",'Таблиця 1'!$J:$J,"GBU-65")+SUMIFS('Таблиця 1'!$K:$K,'Таблиця 1'!$B:$B,$A557,'Таблиця 1'!$I:$I,"F-16",'Таблиця 1'!$J:$J,"GBU-65")+SUMIFS('Таблиця 1'!$K:$K,'Таблиця 1'!$B:$B,$A557,'Таблиця 1'!$I:$I,"МіГ-29",'Таблиця 1'!$J:$J,"GBU-65")+SUMIFS('Таблиця 1'!$K:$K,'Таблиця 1'!$B:$B,$A557,'Таблиця 1'!$I:$I,"Су-25",'Таблиця 1'!$J:$J,"GBU-65")+SUMIFS('Таблиця 1'!$K:$K,'Таблиця 1'!$B:$B,$A557,'Таблиця 1'!$I:$I,"Су-27",'Таблиця 1'!$J:$J,"GBU-65"))</f>
        <v/>
      </c>
      <c r="M557">
        <f>IF($A557="","",SUMIFS('Таблиця 1'!$K:$K,'Таблиця 1'!$B:$B,$A557,'Таблиця 1'!$I:$I,"Mirage",'Таблиця 1'!$J:$J,"GBU-62")+SUMIFS('Таблиця 1'!$K:$K,'Таблиця 1'!$B:$B,$A557,'Таблиця 1'!$I:$I,"F-16",'Таблиця 1'!$J:$J,"GBU-62")+SUMIFS('Таблиця 1'!$K:$K,'Таблиця 1'!$B:$B,$A557,'Таблиця 1'!$I:$I,"МіГ-29",'Таблиця 1'!$J:$J,"GBU-62")+SUMIFS('Таблиця 1'!$K:$K,'Таблиця 1'!$B:$B,$A557,'Таблиця 1'!$I:$I,"Су-25",'Таблиця 1'!$J:$J,"GBU-62")+SUMIFS('Таблиця 1'!$K:$K,'Таблиця 1'!$B:$B,$A557,'Таблиця 1'!$I:$I,"Су-27",'Таблиця 1'!$J:$J,"GBU-62"))</f>
        <v/>
      </c>
      <c r="N557">
        <f>IF($A557="","",SUMIFS('Таблиця 1'!$K:$K,'Таблиця 1'!$B:$B,$A557,'Таблиця 1'!$I:$I,"Mirage",'Таблиця 1'!$J:$J,"GBU-64")+SUMIFS('Таблиця 1'!$K:$K,'Таблиця 1'!$B:$B,$A557,'Таблиця 1'!$I:$I,"F-16",'Таблиця 1'!$J:$J,"GBU-64")+SUMIFS('Таблиця 1'!$K:$K,'Таблиця 1'!$B:$B,$A557,'Таблиця 1'!$I:$I,"МіГ-29",'Таблиця 1'!$J:$J,"GBU-64")+SUMIFS('Таблиця 1'!$K:$K,'Таблиця 1'!$B:$B,$A557,'Таблиця 1'!$I:$I,"Су-25",'Таблиця 1'!$J:$J,"GBU-64")+SUMIFS('Таблиця 1'!$K:$K,'Таблиця 1'!$B:$B,$A557,'Таблиця 1'!$I:$I,"Су-27",'Таблиця 1'!$J:$J,"GBU-64"))</f>
        <v/>
      </c>
      <c r="O557">
        <f>IF($A557="","",SUMIFS('Таблиця 1'!$K:$K,'Таблиця 1'!$B:$B,$A557,'Таблиця 1'!$I:$I,"Mirage",'Таблиця 1'!$J:$J,"C-13")+SUMIFS('Таблиця 1'!$K:$K,'Таблиця 1'!$B:$B,$A557,'Таблиця 1'!$I:$I,"F-16",'Таблиця 1'!$J:$J,"C-13")+SUMIFS('Таблиця 1'!$K:$K,'Таблиця 1'!$B:$B,$A557,'Таблиця 1'!$I:$I,"МіГ-29",'Таблиця 1'!$J:$J,"C-13")+SUMIFS('Таблиця 1'!$K:$K,'Таблиця 1'!$B:$B,$A557,'Таблиця 1'!$I:$I,"Су-25",'Таблиця 1'!$J:$J,"C-13")+SUMIFS('Таблиця 1'!$K:$K,'Таблиця 1'!$B:$B,$A557,'Таблиця 1'!$I:$I,"Су-27",'Таблиця 1'!$J:$J,"C-13"))</f>
        <v/>
      </c>
      <c r="P557">
        <f>IF($A557="","",SUMIFS('Таблиця 1'!$K:$K,'Таблиця 1'!$B:$B,$A557,'Таблиця 1'!$I:$I,"Mirage",'Таблиця 1'!$J:$J,"MK-32")+SUMIFS('Таблиця 1'!$K:$K,'Таблиця 1'!$B:$B,$A557,'Таблиця 1'!$I:$I,"F-16",'Таблиця 1'!$J:$J,"MK-32")+SUMIFS('Таблиця 1'!$K:$K,'Таблиця 1'!$B:$B,$A557,'Таблиця 1'!$I:$I,"МіГ-29",'Таблиця 1'!$J:$J,"MK-32")+SUMIFS('Таблиця 1'!$K:$K,'Таблиця 1'!$B:$B,$A557,'Таблиця 1'!$I:$I,"Су-25",'Таблиця 1'!$J:$J,"MK-32")+SUMIFS('Таблиця 1'!$K:$K,'Таблиця 1'!$B:$B,$A557,'Таблиця 1'!$I:$I,"Су-27",'Таблиця 1'!$J:$J,"MK-32"))</f>
        <v/>
      </c>
      <c r="Q557">
        <f>IF($A557="","",SUMIFS('Таблиця 1'!$K:$K,'Таблиця 1'!$B:$B,$A557,'Таблиця 1'!$I:$I,"Mirage",'Таблиця 1'!$J:$J,"MK-24")+SUMIFS('Таблиця 1'!$K:$K,'Таблиця 1'!$B:$B,$A557,'Таблиця 1'!$I:$I,"F-16",'Таблиця 1'!$J:$J,"MK-24")+SUMIFS('Таблиця 1'!$K:$K,'Таблиця 1'!$B:$B,$A557,'Таблиця 1'!$I:$I,"МіГ-29",'Таблиця 1'!$J:$J,"MK-24")+SUMIFS('Таблиця 1'!$K:$K,'Таблиця 1'!$B:$B,$A557,'Таблиця 1'!$I:$I,"Су-25",'Таблиця 1'!$J:$J,"MK-24")+SUMIFS('Таблиця 1'!$K:$K,'Таблиця 1'!$B:$B,$A557,'Таблиця 1'!$I:$I,"Су-27",'Таблиця 1'!$J:$J,"MK-24"))</f>
        <v/>
      </c>
      <c r="R557">
        <f>IF($A557="","",COUNTIFS('Таблиця 1'!$B:$B,$A557,'Таблиця 1'!$I:$I,"Mirage",'Таблиця 1'!$L:$L,"Уражено")+COUNTIFS('Таблиця 1'!$B:$B,$A557,'Таблиця 1'!$I:$I,"F-16",'Таблиця 1'!$L:$L,"Уражено")+COUNTIFS('Таблиця 1'!$B:$B,$A557,'Таблиця 1'!$I:$I,"МіГ-29",'Таблиця 1'!$L:$L,"Уражено")+COUNTIFS('Таблиця 1'!$B:$B,$A557,'Таблиця 1'!$I:$I,"Су-25",'Таблиця 1'!$L:$L,"Уражено")+COUNTIFS('Таблиця 1'!$B:$B,$A557,'Таблиця 1'!$I:$I,"Су-27",'Таблиця 1'!$L:$L,"Уражено"))</f>
        <v/>
      </c>
      <c r="S557">
        <f>IF($A557="","",COUNTIFS('Таблиця 1'!$B:$B,$A557,'Таблиця 1'!$I:$I,"Mirage",'Таблиця 1'!$L:$L,"НЕ уражено")+COUNTIFS('Таблиця 1'!$B:$B,$A557,'Таблиця 1'!$I:$I,"F-16",'Таблиця 1'!$L:$L,"НЕ уражено")+COUNTIFS('Таблиця 1'!$B:$B,$A557,'Таблиця 1'!$I:$I,"МіГ-29",'Таблиця 1'!$L:$L,"НЕ уражено")+COUNTIFS('Таблиця 1'!$B:$B,$A557,'Таблиця 1'!$I:$I,"Су-25",'Таблиця 1'!$L:$L,"НЕ уражено")+COUNTIFS('Таблиця 1'!$B:$B,$A557,'Таблиця 1'!$I:$I,"Су-27",'Таблиця 1'!$L:$L,"НЕ уражено"))</f>
        <v/>
      </c>
      <c r="T557">
        <f>IF($A557="","",COUNTIFS('Таблиця 1'!$B:$B,$A557,'Таблиця 1'!$I:$I,"Mirage",'Таблиця 1'!$L:$L,"Дорозвідується")+COUNTIFS('Таблиця 1'!$B:$B,$A557,'Таблиця 1'!$I:$I,"F-16",'Таблиця 1'!$L:$L,"Дорозвідується")+COUNTIFS('Таблиця 1'!$B:$B,$A557,'Таблиця 1'!$I:$I,"МіГ-29",'Таблиця 1'!$L:$L,"Дорозвідується")+COUNTIFS('Таблиця 1'!$B:$B,$A557,'Таблиця 1'!$I:$I,"Су-25",'Таблиця 1'!$L:$L,"Дорозвідується")+COUNTIFS('Таблиця 1'!$B:$B,$A557,'Таблиця 1'!$I:$I,"Су-27",'Таблиця 1'!$L:$L,"Дорозвідується"))</f>
        <v/>
      </c>
    </row>
    <row r="558">
      <c r="A558" s="273">
        <f>IF(A557="","",IF(A557+1&gt;MAX('Таблиця 1'!$B:$B),"",A557+1))</f>
        <v/>
      </c>
      <c r="B558">
        <f>IF($A558="","",COUNTIFS('Таблиця 1'!$B:$B,$A558,'Таблиця 1'!$I:$I,"Mirage")+COUNTIFS('Таблиця 1'!$B:$B,$A558,'Таблиця 1'!$I:$I,"F-16")+COUNTIFS('Таблиця 1'!$B:$B,$A558,'Таблиця 1'!$I:$I,"МіГ-29")+COUNTIFS('Таблиця 1'!$B:$B,$A558,'Таблиця 1'!$I:$I,"Су-25")+COUNTIFS('Таблиця 1'!$B:$B,$A558,'Таблиця 1'!$I:$I,"Су-27"))</f>
        <v/>
      </c>
      <c r="C558">
        <f>IF($A558="","",COUNTIFS('Таблиця 1'!$B:$B,$A558,'Таблиця 1'!$I:$I,"Mirage"))</f>
        <v/>
      </c>
      <c r="D558">
        <f>IF($A558="","",COUNTIFS('Таблиця 1'!$B:$B,$A558,'Таблиця 1'!$I:$I,"F-16"))</f>
        <v/>
      </c>
      <c r="E558">
        <f>IF($A558="","",COUNTIFS('Таблиця 1'!$B:$B,$A558,'Таблиця 1'!$I:$I,"МіГ-29"))</f>
        <v/>
      </c>
      <c r="F558">
        <f>IF($A558="","",COUNTIFS('Таблиця 1'!$B:$B,$A558,'Таблиця 1'!$I:$I,"Су-25"))</f>
        <v/>
      </c>
      <c r="G558">
        <f>IF($A558="","",COUNTIFS('Таблиця 1'!$B:$B,$A558,'Таблиця 1'!$I:$I,"Су-27"))</f>
        <v/>
      </c>
      <c r="H558">
        <f>IF($A558="","",SUMIFS('Таблиця 1'!$K:$K,'Таблиця 1'!$B:$B,$A558,'Таблиця 1'!$I:$I,"Mirage",'Таблиця 1'!$J:$J,"AGM-88")+SUMIFS('Таблиця 1'!$K:$K,'Таблиця 1'!$B:$B,$A558,'Таблиця 1'!$I:$I,"F-16",'Таблиця 1'!$J:$J,"AGM-88")+SUMIFS('Таблиця 1'!$K:$K,'Таблиця 1'!$B:$B,$A558,'Таблиця 1'!$I:$I,"МіГ-29",'Таблиця 1'!$J:$J,"AGM-88")+SUMIFS('Таблиця 1'!$K:$K,'Таблиця 1'!$B:$B,$A558,'Таблиця 1'!$I:$I,"Су-25",'Таблиця 1'!$J:$J,"AGM-88")+SUMIFS('Таблиця 1'!$K:$K,'Таблиця 1'!$B:$B,$A558,'Таблиця 1'!$I:$I,"Су-27",'Таблиця 1'!$J:$J,"AGM-88"))</f>
        <v/>
      </c>
      <c r="I558">
        <f>IF($A558="","",SUMIFS('Таблиця 1'!$K:$K,'Таблиця 1'!$B:$B,$A558,'Таблиця 1'!$I:$I,"Mirage",'Таблиця 1'!$J:$J,"AASM-250")+SUMIFS('Таблиця 1'!$K:$K,'Таблиця 1'!$B:$B,$A558,'Таблиця 1'!$I:$I,"F-16",'Таблиця 1'!$J:$J,"AASM-250")+SUMIFS('Таблиця 1'!$K:$K,'Таблиця 1'!$B:$B,$A558,'Таблиця 1'!$I:$I,"МіГ-29",'Таблиця 1'!$J:$J,"AASM-250")+SUMIFS('Таблиця 1'!$K:$K,'Таблиця 1'!$B:$B,$A558,'Таблиця 1'!$I:$I,"Су-25",'Таблиця 1'!$J:$J,"AASM-250")+SUMIFS('Таблиця 1'!$K:$K,'Таблиця 1'!$B:$B,$A558,'Таблиця 1'!$I:$I,"Су-27",'Таблиця 1'!$J:$J,"AASM-250"))</f>
        <v/>
      </c>
      <c r="J558">
        <f>IF($A558="","",SUMIFS('Таблиця 1'!$K:$K,'Таблиця 1'!$B:$B,$A558,'Таблиця 1'!$I:$I,"Mirage",'Таблиця 1'!$J:$J,"GBU-39")+SUMIFS('Таблиця 1'!$K:$K,'Таблиця 1'!$B:$B,$A558,'Таблиця 1'!$I:$I,"F-16",'Таблиця 1'!$J:$J,"GBU-39")+SUMIFS('Таблиця 1'!$K:$K,'Таблиця 1'!$B:$B,$A558,'Таблиця 1'!$I:$I,"МіГ-29",'Таблиця 1'!$J:$J,"GBU-39")+SUMIFS('Таблиця 1'!$K:$K,'Таблиця 1'!$B:$B,$A558,'Таблиця 1'!$I:$I,"Су-25",'Таблиця 1'!$J:$J,"GBU-39")+SUMIFS('Таблиця 1'!$K:$K,'Таблиця 1'!$B:$B,$A558,'Таблиця 1'!$I:$I,"Су-27",'Таблиця 1'!$J:$J,"GBU-39"))</f>
        <v/>
      </c>
      <c r="K558">
        <f>IF($A558="","",SUMIFS('Таблиця 1'!$K:$K,'Таблиця 1'!$B:$B,$A558,'Таблиця 1'!$I:$I,"Mirage",'Таблиця 1'!$J:$J,"BLU-140")+SUMIFS('Таблиця 1'!$K:$K,'Таблиця 1'!$B:$B,$A558,'Таблиця 1'!$I:$I,"F-16",'Таблиця 1'!$J:$J,"BLU-140")+SUMIFS('Таблиця 1'!$K:$K,'Таблиця 1'!$B:$B,$A558,'Таблиця 1'!$I:$I,"МіГ-29",'Таблиця 1'!$J:$J,"BLU-140")+SUMIFS('Таблиця 1'!$K:$K,'Таблиця 1'!$B:$B,$A558,'Таблиця 1'!$I:$I,"Су-25",'Таблиця 1'!$J:$J,"BLU-140")+SUMIFS('Таблиця 1'!$K:$K,'Таблиця 1'!$B:$B,$A558,'Таблиця 1'!$I:$I,"Су-27",'Таблиця 1'!$J:$J,"BLU-140"))</f>
        <v/>
      </c>
      <c r="L558">
        <f>IF($A558="","",SUMIFS('Таблиця 1'!$K:$K,'Таблиця 1'!$B:$B,$A558,'Таблиця 1'!$I:$I,"Mirage",'Таблиця 1'!$J:$J,"GBU-65")+SUMIFS('Таблиця 1'!$K:$K,'Таблиця 1'!$B:$B,$A558,'Таблиця 1'!$I:$I,"F-16",'Таблиця 1'!$J:$J,"GBU-65")+SUMIFS('Таблиця 1'!$K:$K,'Таблиця 1'!$B:$B,$A558,'Таблиця 1'!$I:$I,"МіГ-29",'Таблиця 1'!$J:$J,"GBU-65")+SUMIFS('Таблиця 1'!$K:$K,'Таблиця 1'!$B:$B,$A558,'Таблиця 1'!$I:$I,"Су-25",'Таблиця 1'!$J:$J,"GBU-65")+SUMIFS('Таблиця 1'!$K:$K,'Таблиця 1'!$B:$B,$A558,'Таблиця 1'!$I:$I,"Су-27",'Таблиця 1'!$J:$J,"GBU-65"))</f>
        <v/>
      </c>
      <c r="M558">
        <f>IF($A558="","",SUMIFS('Таблиця 1'!$K:$K,'Таблиця 1'!$B:$B,$A558,'Таблиця 1'!$I:$I,"Mirage",'Таблиця 1'!$J:$J,"GBU-62")+SUMIFS('Таблиця 1'!$K:$K,'Таблиця 1'!$B:$B,$A558,'Таблиця 1'!$I:$I,"F-16",'Таблиця 1'!$J:$J,"GBU-62")+SUMIFS('Таблиця 1'!$K:$K,'Таблиця 1'!$B:$B,$A558,'Таблиця 1'!$I:$I,"МіГ-29",'Таблиця 1'!$J:$J,"GBU-62")+SUMIFS('Таблиця 1'!$K:$K,'Таблиця 1'!$B:$B,$A558,'Таблиця 1'!$I:$I,"Су-25",'Таблиця 1'!$J:$J,"GBU-62")+SUMIFS('Таблиця 1'!$K:$K,'Таблиця 1'!$B:$B,$A558,'Таблиця 1'!$I:$I,"Су-27",'Таблиця 1'!$J:$J,"GBU-62"))</f>
        <v/>
      </c>
      <c r="N558">
        <f>IF($A558="","",SUMIFS('Таблиця 1'!$K:$K,'Таблиця 1'!$B:$B,$A558,'Таблиця 1'!$I:$I,"Mirage",'Таблиця 1'!$J:$J,"GBU-64")+SUMIFS('Таблиця 1'!$K:$K,'Таблиця 1'!$B:$B,$A558,'Таблиця 1'!$I:$I,"F-16",'Таблиця 1'!$J:$J,"GBU-64")+SUMIFS('Таблиця 1'!$K:$K,'Таблиця 1'!$B:$B,$A558,'Таблиця 1'!$I:$I,"МіГ-29",'Таблиця 1'!$J:$J,"GBU-64")+SUMIFS('Таблиця 1'!$K:$K,'Таблиця 1'!$B:$B,$A558,'Таблиця 1'!$I:$I,"Су-25",'Таблиця 1'!$J:$J,"GBU-64")+SUMIFS('Таблиця 1'!$K:$K,'Таблиця 1'!$B:$B,$A558,'Таблиця 1'!$I:$I,"Су-27",'Таблиця 1'!$J:$J,"GBU-64"))</f>
        <v/>
      </c>
      <c r="O558">
        <f>IF($A558="","",SUMIFS('Таблиця 1'!$K:$K,'Таблиця 1'!$B:$B,$A558,'Таблиця 1'!$I:$I,"Mirage",'Таблиця 1'!$J:$J,"C-13")+SUMIFS('Таблиця 1'!$K:$K,'Таблиця 1'!$B:$B,$A558,'Таблиця 1'!$I:$I,"F-16",'Таблиця 1'!$J:$J,"C-13")+SUMIFS('Таблиця 1'!$K:$K,'Таблиця 1'!$B:$B,$A558,'Таблиця 1'!$I:$I,"МіГ-29",'Таблиця 1'!$J:$J,"C-13")+SUMIFS('Таблиця 1'!$K:$K,'Таблиця 1'!$B:$B,$A558,'Таблиця 1'!$I:$I,"Су-25",'Таблиця 1'!$J:$J,"C-13")+SUMIFS('Таблиця 1'!$K:$K,'Таблиця 1'!$B:$B,$A558,'Таблиця 1'!$I:$I,"Су-27",'Таблиця 1'!$J:$J,"C-13"))</f>
        <v/>
      </c>
      <c r="P558">
        <f>IF($A558="","",SUMIFS('Таблиця 1'!$K:$K,'Таблиця 1'!$B:$B,$A558,'Таблиця 1'!$I:$I,"Mirage",'Таблиця 1'!$J:$J,"MK-32")+SUMIFS('Таблиця 1'!$K:$K,'Таблиця 1'!$B:$B,$A558,'Таблиця 1'!$I:$I,"F-16",'Таблиця 1'!$J:$J,"MK-32")+SUMIFS('Таблиця 1'!$K:$K,'Таблиця 1'!$B:$B,$A558,'Таблиця 1'!$I:$I,"МіГ-29",'Таблиця 1'!$J:$J,"MK-32")+SUMIFS('Таблиця 1'!$K:$K,'Таблиця 1'!$B:$B,$A558,'Таблиця 1'!$I:$I,"Су-25",'Таблиця 1'!$J:$J,"MK-32")+SUMIFS('Таблиця 1'!$K:$K,'Таблиця 1'!$B:$B,$A558,'Таблиця 1'!$I:$I,"Су-27",'Таблиця 1'!$J:$J,"MK-32"))</f>
        <v/>
      </c>
      <c r="Q558">
        <f>IF($A558="","",SUMIFS('Таблиця 1'!$K:$K,'Таблиця 1'!$B:$B,$A558,'Таблиця 1'!$I:$I,"Mirage",'Таблиця 1'!$J:$J,"MK-24")+SUMIFS('Таблиця 1'!$K:$K,'Таблиця 1'!$B:$B,$A558,'Таблиця 1'!$I:$I,"F-16",'Таблиця 1'!$J:$J,"MK-24")+SUMIFS('Таблиця 1'!$K:$K,'Таблиця 1'!$B:$B,$A558,'Таблиця 1'!$I:$I,"МіГ-29",'Таблиця 1'!$J:$J,"MK-24")+SUMIFS('Таблиця 1'!$K:$K,'Таблиця 1'!$B:$B,$A558,'Таблиця 1'!$I:$I,"Су-25",'Таблиця 1'!$J:$J,"MK-24")+SUMIFS('Таблиця 1'!$K:$K,'Таблиця 1'!$B:$B,$A558,'Таблиця 1'!$I:$I,"Су-27",'Таблиця 1'!$J:$J,"MK-24"))</f>
        <v/>
      </c>
      <c r="R558">
        <f>IF($A558="","",COUNTIFS('Таблиця 1'!$B:$B,$A558,'Таблиця 1'!$I:$I,"Mirage",'Таблиця 1'!$L:$L,"Уражено")+COUNTIFS('Таблиця 1'!$B:$B,$A558,'Таблиця 1'!$I:$I,"F-16",'Таблиця 1'!$L:$L,"Уражено")+COUNTIFS('Таблиця 1'!$B:$B,$A558,'Таблиця 1'!$I:$I,"МіГ-29",'Таблиця 1'!$L:$L,"Уражено")+COUNTIFS('Таблиця 1'!$B:$B,$A558,'Таблиця 1'!$I:$I,"Су-25",'Таблиця 1'!$L:$L,"Уражено")+COUNTIFS('Таблиця 1'!$B:$B,$A558,'Таблиця 1'!$I:$I,"Су-27",'Таблиця 1'!$L:$L,"Уражено"))</f>
        <v/>
      </c>
      <c r="S558">
        <f>IF($A558="","",COUNTIFS('Таблиця 1'!$B:$B,$A558,'Таблиця 1'!$I:$I,"Mirage",'Таблиця 1'!$L:$L,"НЕ уражено")+COUNTIFS('Таблиця 1'!$B:$B,$A558,'Таблиця 1'!$I:$I,"F-16",'Таблиця 1'!$L:$L,"НЕ уражено")+COUNTIFS('Таблиця 1'!$B:$B,$A558,'Таблиця 1'!$I:$I,"МіГ-29",'Таблиця 1'!$L:$L,"НЕ уражено")+COUNTIFS('Таблиця 1'!$B:$B,$A558,'Таблиця 1'!$I:$I,"Су-25",'Таблиця 1'!$L:$L,"НЕ уражено")+COUNTIFS('Таблиця 1'!$B:$B,$A558,'Таблиця 1'!$I:$I,"Су-27",'Таблиця 1'!$L:$L,"НЕ уражено"))</f>
        <v/>
      </c>
      <c r="T558">
        <f>IF($A558="","",COUNTIFS('Таблиця 1'!$B:$B,$A558,'Таблиця 1'!$I:$I,"Mirage",'Таблиця 1'!$L:$L,"Дорозвідується")+COUNTIFS('Таблиця 1'!$B:$B,$A558,'Таблиця 1'!$I:$I,"F-16",'Таблиця 1'!$L:$L,"Дорозвідується")+COUNTIFS('Таблиця 1'!$B:$B,$A558,'Таблиця 1'!$I:$I,"МіГ-29",'Таблиця 1'!$L:$L,"Дорозвідується")+COUNTIFS('Таблиця 1'!$B:$B,$A558,'Таблиця 1'!$I:$I,"Су-25",'Таблиця 1'!$L:$L,"Дорозвідується")+COUNTIFS('Таблиця 1'!$B:$B,$A558,'Таблиця 1'!$I:$I,"Су-27",'Таблиця 1'!$L:$L,"Дорозвідується"))</f>
        <v/>
      </c>
    </row>
    <row r="559">
      <c r="A559" s="273">
        <f>IF(A558="","",IF(A558+1&gt;MAX('Таблиця 1'!$B:$B),"",A558+1))</f>
        <v/>
      </c>
      <c r="B559">
        <f>IF($A559="","",COUNTIFS('Таблиця 1'!$B:$B,$A559,'Таблиця 1'!$I:$I,"Mirage")+COUNTIFS('Таблиця 1'!$B:$B,$A559,'Таблиця 1'!$I:$I,"F-16")+COUNTIFS('Таблиця 1'!$B:$B,$A559,'Таблиця 1'!$I:$I,"МіГ-29")+COUNTIFS('Таблиця 1'!$B:$B,$A559,'Таблиця 1'!$I:$I,"Су-25")+COUNTIFS('Таблиця 1'!$B:$B,$A559,'Таблиця 1'!$I:$I,"Су-27"))</f>
        <v/>
      </c>
      <c r="C559">
        <f>IF($A559="","",COUNTIFS('Таблиця 1'!$B:$B,$A559,'Таблиця 1'!$I:$I,"Mirage"))</f>
        <v/>
      </c>
      <c r="D559">
        <f>IF($A559="","",COUNTIFS('Таблиця 1'!$B:$B,$A559,'Таблиця 1'!$I:$I,"F-16"))</f>
        <v/>
      </c>
      <c r="E559">
        <f>IF($A559="","",COUNTIFS('Таблиця 1'!$B:$B,$A559,'Таблиця 1'!$I:$I,"МіГ-29"))</f>
        <v/>
      </c>
      <c r="F559">
        <f>IF($A559="","",COUNTIFS('Таблиця 1'!$B:$B,$A559,'Таблиця 1'!$I:$I,"Су-25"))</f>
        <v/>
      </c>
      <c r="G559">
        <f>IF($A559="","",COUNTIFS('Таблиця 1'!$B:$B,$A559,'Таблиця 1'!$I:$I,"Су-27"))</f>
        <v/>
      </c>
      <c r="H559">
        <f>IF($A559="","",SUMIFS('Таблиця 1'!$K:$K,'Таблиця 1'!$B:$B,$A559,'Таблиця 1'!$I:$I,"Mirage",'Таблиця 1'!$J:$J,"AGM-88")+SUMIFS('Таблиця 1'!$K:$K,'Таблиця 1'!$B:$B,$A559,'Таблиця 1'!$I:$I,"F-16",'Таблиця 1'!$J:$J,"AGM-88")+SUMIFS('Таблиця 1'!$K:$K,'Таблиця 1'!$B:$B,$A559,'Таблиця 1'!$I:$I,"МіГ-29",'Таблиця 1'!$J:$J,"AGM-88")+SUMIFS('Таблиця 1'!$K:$K,'Таблиця 1'!$B:$B,$A559,'Таблиця 1'!$I:$I,"Су-25",'Таблиця 1'!$J:$J,"AGM-88")+SUMIFS('Таблиця 1'!$K:$K,'Таблиця 1'!$B:$B,$A559,'Таблиця 1'!$I:$I,"Су-27",'Таблиця 1'!$J:$J,"AGM-88"))</f>
        <v/>
      </c>
      <c r="I559">
        <f>IF($A559="","",SUMIFS('Таблиця 1'!$K:$K,'Таблиця 1'!$B:$B,$A559,'Таблиця 1'!$I:$I,"Mirage",'Таблиця 1'!$J:$J,"AASM-250")+SUMIFS('Таблиця 1'!$K:$K,'Таблиця 1'!$B:$B,$A559,'Таблиця 1'!$I:$I,"F-16",'Таблиця 1'!$J:$J,"AASM-250")+SUMIFS('Таблиця 1'!$K:$K,'Таблиця 1'!$B:$B,$A559,'Таблиця 1'!$I:$I,"МіГ-29",'Таблиця 1'!$J:$J,"AASM-250")+SUMIFS('Таблиця 1'!$K:$K,'Таблиця 1'!$B:$B,$A559,'Таблиця 1'!$I:$I,"Су-25",'Таблиця 1'!$J:$J,"AASM-250")+SUMIFS('Таблиця 1'!$K:$K,'Таблиця 1'!$B:$B,$A559,'Таблиця 1'!$I:$I,"Су-27",'Таблиця 1'!$J:$J,"AASM-250"))</f>
        <v/>
      </c>
      <c r="J559">
        <f>IF($A559="","",SUMIFS('Таблиця 1'!$K:$K,'Таблиця 1'!$B:$B,$A559,'Таблиця 1'!$I:$I,"Mirage",'Таблиця 1'!$J:$J,"GBU-39")+SUMIFS('Таблиця 1'!$K:$K,'Таблиця 1'!$B:$B,$A559,'Таблиця 1'!$I:$I,"F-16",'Таблиця 1'!$J:$J,"GBU-39")+SUMIFS('Таблиця 1'!$K:$K,'Таблиця 1'!$B:$B,$A559,'Таблиця 1'!$I:$I,"МіГ-29",'Таблиця 1'!$J:$J,"GBU-39")+SUMIFS('Таблиця 1'!$K:$K,'Таблиця 1'!$B:$B,$A559,'Таблиця 1'!$I:$I,"Су-25",'Таблиця 1'!$J:$J,"GBU-39")+SUMIFS('Таблиця 1'!$K:$K,'Таблиця 1'!$B:$B,$A559,'Таблиця 1'!$I:$I,"Су-27",'Таблиця 1'!$J:$J,"GBU-39"))</f>
        <v/>
      </c>
      <c r="K559">
        <f>IF($A559="","",SUMIFS('Таблиця 1'!$K:$K,'Таблиця 1'!$B:$B,$A559,'Таблиця 1'!$I:$I,"Mirage",'Таблиця 1'!$J:$J,"BLU-140")+SUMIFS('Таблиця 1'!$K:$K,'Таблиця 1'!$B:$B,$A559,'Таблиця 1'!$I:$I,"F-16",'Таблиця 1'!$J:$J,"BLU-140")+SUMIFS('Таблиця 1'!$K:$K,'Таблиця 1'!$B:$B,$A559,'Таблиця 1'!$I:$I,"МіГ-29",'Таблиця 1'!$J:$J,"BLU-140")+SUMIFS('Таблиця 1'!$K:$K,'Таблиця 1'!$B:$B,$A559,'Таблиця 1'!$I:$I,"Су-25",'Таблиця 1'!$J:$J,"BLU-140")+SUMIFS('Таблиця 1'!$K:$K,'Таблиця 1'!$B:$B,$A559,'Таблиця 1'!$I:$I,"Су-27",'Таблиця 1'!$J:$J,"BLU-140"))</f>
        <v/>
      </c>
      <c r="L559">
        <f>IF($A559="","",SUMIFS('Таблиця 1'!$K:$K,'Таблиця 1'!$B:$B,$A559,'Таблиця 1'!$I:$I,"Mirage",'Таблиця 1'!$J:$J,"GBU-65")+SUMIFS('Таблиця 1'!$K:$K,'Таблиця 1'!$B:$B,$A559,'Таблиця 1'!$I:$I,"F-16",'Таблиця 1'!$J:$J,"GBU-65")+SUMIFS('Таблиця 1'!$K:$K,'Таблиця 1'!$B:$B,$A559,'Таблиця 1'!$I:$I,"МіГ-29",'Таблиця 1'!$J:$J,"GBU-65")+SUMIFS('Таблиця 1'!$K:$K,'Таблиця 1'!$B:$B,$A559,'Таблиця 1'!$I:$I,"Су-25",'Таблиця 1'!$J:$J,"GBU-65")+SUMIFS('Таблиця 1'!$K:$K,'Таблиця 1'!$B:$B,$A559,'Таблиця 1'!$I:$I,"Су-27",'Таблиця 1'!$J:$J,"GBU-65"))</f>
        <v/>
      </c>
      <c r="M559">
        <f>IF($A559="","",SUMIFS('Таблиця 1'!$K:$K,'Таблиця 1'!$B:$B,$A559,'Таблиця 1'!$I:$I,"Mirage",'Таблиця 1'!$J:$J,"GBU-62")+SUMIFS('Таблиця 1'!$K:$K,'Таблиця 1'!$B:$B,$A559,'Таблиця 1'!$I:$I,"F-16",'Таблиця 1'!$J:$J,"GBU-62")+SUMIFS('Таблиця 1'!$K:$K,'Таблиця 1'!$B:$B,$A559,'Таблиця 1'!$I:$I,"МіГ-29",'Таблиця 1'!$J:$J,"GBU-62")+SUMIFS('Таблиця 1'!$K:$K,'Таблиця 1'!$B:$B,$A559,'Таблиця 1'!$I:$I,"Су-25",'Таблиця 1'!$J:$J,"GBU-62")+SUMIFS('Таблиця 1'!$K:$K,'Таблиця 1'!$B:$B,$A559,'Таблиця 1'!$I:$I,"Су-27",'Таблиця 1'!$J:$J,"GBU-62"))</f>
        <v/>
      </c>
      <c r="N559">
        <f>IF($A559="","",SUMIFS('Таблиця 1'!$K:$K,'Таблиця 1'!$B:$B,$A559,'Таблиця 1'!$I:$I,"Mirage",'Таблиця 1'!$J:$J,"GBU-64")+SUMIFS('Таблиця 1'!$K:$K,'Таблиця 1'!$B:$B,$A559,'Таблиця 1'!$I:$I,"F-16",'Таблиця 1'!$J:$J,"GBU-64")+SUMIFS('Таблиця 1'!$K:$K,'Таблиця 1'!$B:$B,$A559,'Таблиця 1'!$I:$I,"МіГ-29",'Таблиця 1'!$J:$J,"GBU-64")+SUMIFS('Таблиця 1'!$K:$K,'Таблиця 1'!$B:$B,$A559,'Таблиця 1'!$I:$I,"Су-25",'Таблиця 1'!$J:$J,"GBU-64")+SUMIFS('Таблиця 1'!$K:$K,'Таблиця 1'!$B:$B,$A559,'Таблиця 1'!$I:$I,"Су-27",'Таблиця 1'!$J:$J,"GBU-64"))</f>
        <v/>
      </c>
      <c r="O559">
        <f>IF($A559="","",SUMIFS('Таблиця 1'!$K:$K,'Таблиця 1'!$B:$B,$A559,'Таблиця 1'!$I:$I,"Mirage",'Таблиця 1'!$J:$J,"C-13")+SUMIFS('Таблиця 1'!$K:$K,'Таблиця 1'!$B:$B,$A559,'Таблиця 1'!$I:$I,"F-16",'Таблиця 1'!$J:$J,"C-13")+SUMIFS('Таблиця 1'!$K:$K,'Таблиця 1'!$B:$B,$A559,'Таблиця 1'!$I:$I,"МіГ-29",'Таблиця 1'!$J:$J,"C-13")+SUMIFS('Таблиця 1'!$K:$K,'Таблиця 1'!$B:$B,$A559,'Таблиця 1'!$I:$I,"Су-25",'Таблиця 1'!$J:$J,"C-13")+SUMIFS('Таблиця 1'!$K:$K,'Таблиця 1'!$B:$B,$A559,'Таблиця 1'!$I:$I,"Су-27",'Таблиця 1'!$J:$J,"C-13"))</f>
        <v/>
      </c>
      <c r="P559">
        <f>IF($A559="","",SUMIFS('Таблиця 1'!$K:$K,'Таблиця 1'!$B:$B,$A559,'Таблиця 1'!$I:$I,"Mirage",'Таблиця 1'!$J:$J,"MK-32")+SUMIFS('Таблиця 1'!$K:$K,'Таблиця 1'!$B:$B,$A559,'Таблиця 1'!$I:$I,"F-16",'Таблиця 1'!$J:$J,"MK-32")+SUMIFS('Таблиця 1'!$K:$K,'Таблиця 1'!$B:$B,$A559,'Таблиця 1'!$I:$I,"МіГ-29",'Таблиця 1'!$J:$J,"MK-32")+SUMIFS('Таблиця 1'!$K:$K,'Таблиця 1'!$B:$B,$A559,'Таблиця 1'!$I:$I,"Су-25",'Таблиця 1'!$J:$J,"MK-32")+SUMIFS('Таблиця 1'!$K:$K,'Таблиця 1'!$B:$B,$A559,'Таблиця 1'!$I:$I,"Су-27",'Таблиця 1'!$J:$J,"MK-32"))</f>
        <v/>
      </c>
      <c r="Q559">
        <f>IF($A559="","",SUMIFS('Таблиця 1'!$K:$K,'Таблиця 1'!$B:$B,$A559,'Таблиця 1'!$I:$I,"Mirage",'Таблиця 1'!$J:$J,"MK-24")+SUMIFS('Таблиця 1'!$K:$K,'Таблиця 1'!$B:$B,$A559,'Таблиця 1'!$I:$I,"F-16",'Таблиця 1'!$J:$J,"MK-24")+SUMIFS('Таблиця 1'!$K:$K,'Таблиця 1'!$B:$B,$A559,'Таблиця 1'!$I:$I,"МіГ-29",'Таблиця 1'!$J:$J,"MK-24")+SUMIFS('Таблиця 1'!$K:$K,'Таблиця 1'!$B:$B,$A559,'Таблиця 1'!$I:$I,"Су-25",'Таблиця 1'!$J:$J,"MK-24")+SUMIFS('Таблиця 1'!$K:$K,'Таблиця 1'!$B:$B,$A559,'Таблиця 1'!$I:$I,"Су-27",'Таблиця 1'!$J:$J,"MK-24"))</f>
        <v/>
      </c>
      <c r="R559">
        <f>IF($A559="","",COUNTIFS('Таблиця 1'!$B:$B,$A559,'Таблиця 1'!$I:$I,"Mirage",'Таблиця 1'!$L:$L,"Уражено")+COUNTIFS('Таблиця 1'!$B:$B,$A559,'Таблиця 1'!$I:$I,"F-16",'Таблиця 1'!$L:$L,"Уражено")+COUNTIFS('Таблиця 1'!$B:$B,$A559,'Таблиця 1'!$I:$I,"МіГ-29",'Таблиця 1'!$L:$L,"Уражено")+COUNTIFS('Таблиця 1'!$B:$B,$A559,'Таблиця 1'!$I:$I,"Су-25",'Таблиця 1'!$L:$L,"Уражено")+COUNTIFS('Таблиця 1'!$B:$B,$A559,'Таблиця 1'!$I:$I,"Су-27",'Таблиця 1'!$L:$L,"Уражено"))</f>
        <v/>
      </c>
      <c r="S559">
        <f>IF($A559="","",COUNTIFS('Таблиця 1'!$B:$B,$A559,'Таблиця 1'!$I:$I,"Mirage",'Таблиця 1'!$L:$L,"НЕ уражено")+COUNTIFS('Таблиця 1'!$B:$B,$A559,'Таблиця 1'!$I:$I,"F-16",'Таблиця 1'!$L:$L,"НЕ уражено")+COUNTIFS('Таблиця 1'!$B:$B,$A559,'Таблиця 1'!$I:$I,"МіГ-29",'Таблиця 1'!$L:$L,"НЕ уражено")+COUNTIFS('Таблиця 1'!$B:$B,$A559,'Таблиця 1'!$I:$I,"Су-25",'Таблиця 1'!$L:$L,"НЕ уражено")+COUNTIFS('Таблиця 1'!$B:$B,$A559,'Таблиця 1'!$I:$I,"Су-27",'Таблиця 1'!$L:$L,"НЕ уражено"))</f>
        <v/>
      </c>
      <c r="T559">
        <f>IF($A559="","",COUNTIFS('Таблиця 1'!$B:$B,$A559,'Таблиця 1'!$I:$I,"Mirage",'Таблиця 1'!$L:$L,"Дорозвідується")+COUNTIFS('Таблиця 1'!$B:$B,$A559,'Таблиця 1'!$I:$I,"F-16",'Таблиця 1'!$L:$L,"Дорозвідується")+COUNTIFS('Таблиця 1'!$B:$B,$A559,'Таблиця 1'!$I:$I,"МіГ-29",'Таблиця 1'!$L:$L,"Дорозвідується")+COUNTIFS('Таблиця 1'!$B:$B,$A559,'Таблиця 1'!$I:$I,"Су-25",'Таблиця 1'!$L:$L,"Дорозвідується")+COUNTIFS('Таблиця 1'!$B:$B,$A559,'Таблиця 1'!$I:$I,"Су-27",'Таблиця 1'!$L:$L,"Дорозвідується"))</f>
        <v/>
      </c>
    </row>
    <row r="560">
      <c r="A560" s="273">
        <f>IF(A559="","",IF(A559+1&gt;MAX('Таблиця 1'!$B:$B),"",A559+1))</f>
        <v/>
      </c>
      <c r="B560">
        <f>IF($A560="","",COUNTIFS('Таблиця 1'!$B:$B,$A560,'Таблиця 1'!$I:$I,"Mirage")+COUNTIFS('Таблиця 1'!$B:$B,$A560,'Таблиця 1'!$I:$I,"F-16")+COUNTIFS('Таблиця 1'!$B:$B,$A560,'Таблиця 1'!$I:$I,"МіГ-29")+COUNTIFS('Таблиця 1'!$B:$B,$A560,'Таблиця 1'!$I:$I,"Су-25")+COUNTIFS('Таблиця 1'!$B:$B,$A560,'Таблиця 1'!$I:$I,"Су-27"))</f>
        <v/>
      </c>
      <c r="C560">
        <f>IF($A560="","",COUNTIFS('Таблиця 1'!$B:$B,$A560,'Таблиця 1'!$I:$I,"Mirage"))</f>
        <v/>
      </c>
      <c r="D560">
        <f>IF($A560="","",COUNTIFS('Таблиця 1'!$B:$B,$A560,'Таблиця 1'!$I:$I,"F-16"))</f>
        <v/>
      </c>
      <c r="E560">
        <f>IF($A560="","",COUNTIFS('Таблиця 1'!$B:$B,$A560,'Таблиця 1'!$I:$I,"МіГ-29"))</f>
        <v/>
      </c>
      <c r="F560">
        <f>IF($A560="","",COUNTIFS('Таблиця 1'!$B:$B,$A560,'Таблиця 1'!$I:$I,"Су-25"))</f>
        <v/>
      </c>
      <c r="G560">
        <f>IF($A560="","",COUNTIFS('Таблиця 1'!$B:$B,$A560,'Таблиця 1'!$I:$I,"Су-27"))</f>
        <v/>
      </c>
      <c r="H560">
        <f>IF($A560="","",SUMIFS('Таблиця 1'!$K:$K,'Таблиця 1'!$B:$B,$A560,'Таблиця 1'!$I:$I,"Mirage",'Таблиця 1'!$J:$J,"AGM-88")+SUMIFS('Таблиця 1'!$K:$K,'Таблиця 1'!$B:$B,$A560,'Таблиця 1'!$I:$I,"F-16",'Таблиця 1'!$J:$J,"AGM-88")+SUMIFS('Таблиця 1'!$K:$K,'Таблиця 1'!$B:$B,$A560,'Таблиця 1'!$I:$I,"МіГ-29",'Таблиця 1'!$J:$J,"AGM-88")+SUMIFS('Таблиця 1'!$K:$K,'Таблиця 1'!$B:$B,$A560,'Таблиця 1'!$I:$I,"Су-25",'Таблиця 1'!$J:$J,"AGM-88")+SUMIFS('Таблиця 1'!$K:$K,'Таблиця 1'!$B:$B,$A560,'Таблиця 1'!$I:$I,"Су-27",'Таблиця 1'!$J:$J,"AGM-88"))</f>
        <v/>
      </c>
      <c r="I560">
        <f>IF($A560="","",SUMIFS('Таблиця 1'!$K:$K,'Таблиця 1'!$B:$B,$A560,'Таблиця 1'!$I:$I,"Mirage",'Таблиця 1'!$J:$J,"AASM-250")+SUMIFS('Таблиця 1'!$K:$K,'Таблиця 1'!$B:$B,$A560,'Таблиця 1'!$I:$I,"F-16",'Таблиця 1'!$J:$J,"AASM-250")+SUMIFS('Таблиця 1'!$K:$K,'Таблиця 1'!$B:$B,$A560,'Таблиця 1'!$I:$I,"МіГ-29",'Таблиця 1'!$J:$J,"AASM-250")+SUMIFS('Таблиця 1'!$K:$K,'Таблиця 1'!$B:$B,$A560,'Таблиця 1'!$I:$I,"Су-25",'Таблиця 1'!$J:$J,"AASM-250")+SUMIFS('Таблиця 1'!$K:$K,'Таблиця 1'!$B:$B,$A560,'Таблиця 1'!$I:$I,"Су-27",'Таблиця 1'!$J:$J,"AASM-250"))</f>
        <v/>
      </c>
      <c r="J560">
        <f>IF($A560="","",SUMIFS('Таблиця 1'!$K:$K,'Таблиця 1'!$B:$B,$A560,'Таблиця 1'!$I:$I,"Mirage",'Таблиця 1'!$J:$J,"GBU-39")+SUMIFS('Таблиця 1'!$K:$K,'Таблиця 1'!$B:$B,$A560,'Таблиця 1'!$I:$I,"F-16",'Таблиця 1'!$J:$J,"GBU-39")+SUMIFS('Таблиця 1'!$K:$K,'Таблиця 1'!$B:$B,$A560,'Таблиця 1'!$I:$I,"МіГ-29",'Таблиця 1'!$J:$J,"GBU-39")+SUMIFS('Таблиця 1'!$K:$K,'Таблиця 1'!$B:$B,$A560,'Таблиця 1'!$I:$I,"Су-25",'Таблиця 1'!$J:$J,"GBU-39")+SUMIFS('Таблиця 1'!$K:$K,'Таблиця 1'!$B:$B,$A560,'Таблиця 1'!$I:$I,"Су-27",'Таблиця 1'!$J:$J,"GBU-39"))</f>
        <v/>
      </c>
      <c r="K560">
        <f>IF($A560="","",SUMIFS('Таблиця 1'!$K:$K,'Таблиця 1'!$B:$B,$A560,'Таблиця 1'!$I:$I,"Mirage",'Таблиця 1'!$J:$J,"BLU-140")+SUMIFS('Таблиця 1'!$K:$K,'Таблиця 1'!$B:$B,$A560,'Таблиця 1'!$I:$I,"F-16",'Таблиця 1'!$J:$J,"BLU-140")+SUMIFS('Таблиця 1'!$K:$K,'Таблиця 1'!$B:$B,$A560,'Таблиця 1'!$I:$I,"МіГ-29",'Таблиця 1'!$J:$J,"BLU-140")+SUMIFS('Таблиця 1'!$K:$K,'Таблиця 1'!$B:$B,$A560,'Таблиця 1'!$I:$I,"Су-25",'Таблиця 1'!$J:$J,"BLU-140")+SUMIFS('Таблиця 1'!$K:$K,'Таблиця 1'!$B:$B,$A560,'Таблиця 1'!$I:$I,"Су-27",'Таблиця 1'!$J:$J,"BLU-140"))</f>
        <v/>
      </c>
      <c r="L560">
        <f>IF($A560="","",SUMIFS('Таблиця 1'!$K:$K,'Таблиця 1'!$B:$B,$A560,'Таблиця 1'!$I:$I,"Mirage",'Таблиця 1'!$J:$J,"GBU-65")+SUMIFS('Таблиця 1'!$K:$K,'Таблиця 1'!$B:$B,$A560,'Таблиця 1'!$I:$I,"F-16",'Таблиця 1'!$J:$J,"GBU-65")+SUMIFS('Таблиця 1'!$K:$K,'Таблиця 1'!$B:$B,$A560,'Таблиця 1'!$I:$I,"МіГ-29",'Таблиця 1'!$J:$J,"GBU-65")+SUMIFS('Таблиця 1'!$K:$K,'Таблиця 1'!$B:$B,$A560,'Таблиця 1'!$I:$I,"Су-25",'Таблиця 1'!$J:$J,"GBU-65")+SUMIFS('Таблиця 1'!$K:$K,'Таблиця 1'!$B:$B,$A560,'Таблиця 1'!$I:$I,"Су-27",'Таблиця 1'!$J:$J,"GBU-65"))</f>
        <v/>
      </c>
      <c r="M560">
        <f>IF($A560="","",SUMIFS('Таблиця 1'!$K:$K,'Таблиця 1'!$B:$B,$A560,'Таблиця 1'!$I:$I,"Mirage",'Таблиця 1'!$J:$J,"GBU-62")+SUMIFS('Таблиця 1'!$K:$K,'Таблиця 1'!$B:$B,$A560,'Таблиця 1'!$I:$I,"F-16",'Таблиця 1'!$J:$J,"GBU-62")+SUMIFS('Таблиця 1'!$K:$K,'Таблиця 1'!$B:$B,$A560,'Таблиця 1'!$I:$I,"МіГ-29",'Таблиця 1'!$J:$J,"GBU-62")+SUMIFS('Таблиця 1'!$K:$K,'Таблиця 1'!$B:$B,$A560,'Таблиця 1'!$I:$I,"Су-25",'Таблиця 1'!$J:$J,"GBU-62")+SUMIFS('Таблиця 1'!$K:$K,'Таблиця 1'!$B:$B,$A560,'Таблиця 1'!$I:$I,"Су-27",'Таблиця 1'!$J:$J,"GBU-62"))</f>
        <v/>
      </c>
      <c r="N560">
        <f>IF($A560="","",SUMIFS('Таблиця 1'!$K:$K,'Таблиця 1'!$B:$B,$A560,'Таблиця 1'!$I:$I,"Mirage",'Таблиця 1'!$J:$J,"GBU-64")+SUMIFS('Таблиця 1'!$K:$K,'Таблиця 1'!$B:$B,$A560,'Таблиця 1'!$I:$I,"F-16",'Таблиця 1'!$J:$J,"GBU-64")+SUMIFS('Таблиця 1'!$K:$K,'Таблиця 1'!$B:$B,$A560,'Таблиця 1'!$I:$I,"МіГ-29",'Таблиця 1'!$J:$J,"GBU-64")+SUMIFS('Таблиця 1'!$K:$K,'Таблиця 1'!$B:$B,$A560,'Таблиця 1'!$I:$I,"Су-25",'Таблиця 1'!$J:$J,"GBU-64")+SUMIFS('Таблиця 1'!$K:$K,'Таблиця 1'!$B:$B,$A560,'Таблиця 1'!$I:$I,"Су-27",'Таблиця 1'!$J:$J,"GBU-64"))</f>
        <v/>
      </c>
      <c r="O560">
        <f>IF($A560="","",SUMIFS('Таблиця 1'!$K:$K,'Таблиця 1'!$B:$B,$A560,'Таблиця 1'!$I:$I,"Mirage",'Таблиця 1'!$J:$J,"C-13")+SUMIFS('Таблиця 1'!$K:$K,'Таблиця 1'!$B:$B,$A560,'Таблиця 1'!$I:$I,"F-16",'Таблиця 1'!$J:$J,"C-13")+SUMIFS('Таблиця 1'!$K:$K,'Таблиця 1'!$B:$B,$A560,'Таблиця 1'!$I:$I,"МіГ-29",'Таблиця 1'!$J:$J,"C-13")+SUMIFS('Таблиця 1'!$K:$K,'Таблиця 1'!$B:$B,$A560,'Таблиця 1'!$I:$I,"Су-25",'Таблиця 1'!$J:$J,"C-13")+SUMIFS('Таблиця 1'!$K:$K,'Таблиця 1'!$B:$B,$A560,'Таблиця 1'!$I:$I,"Су-27",'Таблиця 1'!$J:$J,"C-13"))</f>
        <v/>
      </c>
      <c r="P560">
        <f>IF($A560="","",SUMIFS('Таблиця 1'!$K:$K,'Таблиця 1'!$B:$B,$A560,'Таблиця 1'!$I:$I,"Mirage",'Таблиця 1'!$J:$J,"MK-32")+SUMIFS('Таблиця 1'!$K:$K,'Таблиця 1'!$B:$B,$A560,'Таблиця 1'!$I:$I,"F-16",'Таблиця 1'!$J:$J,"MK-32")+SUMIFS('Таблиця 1'!$K:$K,'Таблиця 1'!$B:$B,$A560,'Таблиця 1'!$I:$I,"МіГ-29",'Таблиця 1'!$J:$J,"MK-32")+SUMIFS('Таблиця 1'!$K:$K,'Таблиця 1'!$B:$B,$A560,'Таблиця 1'!$I:$I,"Су-25",'Таблиця 1'!$J:$J,"MK-32")+SUMIFS('Таблиця 1'!$K:$K,'Таблиця 1'!$B:$B,$A560,'Таблиця 1'!$I:$I,"Су-27",'Таблиця 1'!$J:$J,"MK-32"))</f>
        <v/>
      </c>
      <c r="Q560">
        <f>IF($A560="","",SUMIFS('Таблиця 1'!$K:$K,'Таблиця 1'!$B:$B,$A560,'Таблиця 1'!$I:$I,"Mirage",'Таблиця 1'!$J:$J,"MK-24")+SUMIFS('Таблиця 1'!$K:$K,'Таблиця 1'!$B:$B,$A560,'Таблиця 1'!$I:$I,"F-16",'Таблиця 1'!$J:$J,"MK-24")+SUMIFS('Таблиця 1'!$K:$K,'Таблиця 1'!$B:$B,$A560,'Таблиця 1'!$I:$I,"МіГ-29",'Таблиця 1'!$J:$J,"MK-24")+SUMIFS('Таблиця 1'!$K:$K,'Таблиця 1'!$B:$B,$A560,'Таблиця 1'!$I:$I,"Су-25",'Таблиця 1'!$J:$J,"MK-24")+SUMIFS('Таблиця 1'!$K:$K,'Таблиця 1'!$B:$B,$A560,'Таблиця 1'!$I:$I,"Су-27",'Таблиця 1'!$J:$J,"MK-24"))</f>
        <v/>
      </c>
      <c r="R560">
        <f>IF($A560="","",COUNTIFS('Таблиця 1'!$B:$B,$A560,'Таблиця 1'!$I:$I,"Mirage",'Таблиця 1'!$L:$L,"Уражено")+COUNTIFS('Таблиця 1'!$B:$B,$A560,'Таблиця 1'!$I:$I,"F-16",'Таблиця 1'!$L:$L,"Уражено")+COUNTIFS('Таблиця 1'!$B:$B,$A560,'Таблиця 1'!$I:$I,"МіГ-29",'Таблиця 1'!$L:$L,"Уражено")+COUNTIFS('Таблиця 1'!$B:$B,$A560,'Таблиця 1'!$I:$I,"Су-25",'Таблиця 1'!$L:$L,"Уражено")+COUNTIFS('Таблиця 1'!$B:$B,$A560,'Таблиця 1'!$I:$I,"Су-27",'Таблиця 1'!$L:$L,"Уражено"))</f>
        <v/>
      </c>
      <c r="S560">
        <f>IF($A560="","",COUNTIFS('Таблиця 1'!$B:$B,$A560,'Таблиця 1'!$I:$I,"Mirage",'Таблиця 1'!$L:$L,"НЕ уражено")+COUNTIFS('Таблиця 1'!$B:$B,$A560,'Таблиця 1'!$I:$I,"F-16",'Таблиця 1'!$L:$L,"НЕ уражено")+COUNTIFS('Таблиця 1'!$B:$B,$A560,'Таблиця 1'!$I:$I,"МіГ-29",'Таблиця 1'!$L:$L,"НЕ уражено")+COUNTIFS('Таблиця 1'!$B:$B,$A560,'Таблиця 1'!$I:$I,"Су-25",'Таблиця 1'!$L:$L,"НЕ уражено")+COUNTIFS('Таблиця 1'!$B:$B,$A560,'Таблиця 1'!$I:$I,"Су-27",'Таблиця 1'!$L:$L,"НЕ уражено"))</f>
        <v/>
      </c>
      <c r="T560">
        <f>IF($A560="","",COUNTIFS('Таблиця 1'!$B:$B,$A560,'Таблиця 1'!$I:$I,"Mirage",'Таблиця 1'!$L:$L,"Дорозвідується")+COUNTIFS('Таблиця 1'!$B:$B,$A560,'Таблиця 1'!$I:$I,"F-16",'Таблиця 1'!$L:$L,"Дорозвідується")+COUNTIFS('Таблиця 1'!$B:$B,$A560,'Таблиця 1'!$I:$I,"МіГ-29",'Таблиця 1'!$L:$L,"Дорозвідується")+COUNTIFS('Таблиця 1'!$B:$B,$A560,'Таблиця 1'!$I:$I,"Су-25",'Таблиця 1'!$L:$L,"Дорозвідується")+COUNTIFS('Таблиця 1'!$B:$B,$A560,'Таблиця 1'!$I:$I,"Су-27",'Таблиця 1'!$L:$L,"Дорозвідується"))</f>
        <v/>
      </c>
    </row>
    <row r="561">
      <c r="A561" s="273">
        <f>IF(A560="","",IF(A560+1&gt;MAX('Таблиця 1'!$B:$B),"",A560+1))</f>
        <v/>
      </c>
      <c r="B561">
        <f>IF($A561="","",COUNTIFS('Таблиця 1'!$B:$B,$A561,'Таблиця 1'!$I:$I,"Mirage")+COUNTIFS('Таблиця 1'!$B:$B,$A561,'Таблиця 1'!$I:$I,"F-16")+COUNTIFS('Таблиця 1'!$B:$B,$A561,'Таблиця 1'!$I:$I,"МіГ-29")+COUNTIFS('Таблиця 1'!$B:$B,$A561,'Таблиця 1'!$I:$I,"Су-25")+COUNTIFS('Таблиця 1'!$B:$B,$A561,'Таблиця 1'!$I:$I,"Су-27"))</f>
        <v/>
      </c>
      <c r="C561">
        <f>IF($A561="","",COUNTIFS('Таблиця 1'!$B:$B,$A561,'Таблиця 1'!$I:$I,"Mirage"))</f>
        <v/>
      </c>
      <c r="D561">
        <f>IF($A561="","",COUNTIFS('Таблиця 1'!$B:$B,$A561,'Таблиця 1'!$I:$I,"F-16"))</f>
        <v/>
      </c>
      <c r="E561">
        <f>IF($A561="","",COUNTIFS('Таблиця 1'!$B:$B,$A561,'Таблиця 1'!$I:$I,"МіГ-29"))</f>
        <v/>
      </c>
      <c r="F561">
        <f>IF($A561="","",COUNTIFS('Таблиця 1'!$B:$B,$A561,'Таблиця 1'!$I:$I,"Су-25"))</f>
        <v/>
      </c>
      <c r="G561">
        <f>IF($A561="","",COUNTIFS('Таблиця 1'!$B:$B,$A561,'Таблиця 1'!$I:$I,"Су-27"))</f>
        <v/>
      </c>
      <c r="H561">
        <f>IF($A561="","",SUMIFS('Таблиця 1'!$K:$K,'Таблиця 1'!$B:$B,$A561,'Таблиця 1'!$I:$I,"Mirage",'Таблиця 1'!$J:$J,"AGM-88")+SUMIFS('Таблиця 1'!$K:$K,'Таблиця 1'!$B:$B,$A561,'Таблиця 1'!$I:$I,"F-16",'Таблиця 1'!$J:$J,"AGM-88")+SUMIFS('Таблиця 1'!$K:$K,'Таблиця 1'!$B:$B,$A561,'Таблиця 1'!$I:$I,"МіГ-29",'Таблиця 1'!$J:$J,"AGM-88")+SUMIFS('Таблиця 1'!$K:$K,'Таблиця 1'!$B:$B,$A561,'Таблиця 1'!$I:$I,"Су-25",'Таблиця 1'!$J:$J,"AGM-88")+SUMIFS('Таблиця 1'!$K:$K,'Таблиця 1'!$B:$B,$A561,'Таблиця 1'!$I:$I,"Су-27",'Таблиця 1'!$J:$J,"AGM-88"))</f>
        <v/>
      </c>
      <c r="I561">
        <f>IF($A561="","",SUMIFS('Таблиця 1'!$K:$K,'Таблиця 1'!$B:$B,$A561,'Таблиця 1'!$I:$I,"Mirage",'Таблиця 1'!$J:$J,"AASM-250")+SUMIFS('Таблиця 1'!$K:$K,'Таблиця 1'!$B:$B,$A561,'Таблиця 1'!$I:$I,"F-16",'Таблиця 1'!$J:$J,"AASM-250")+SUMIFS('Таблиця 1'!$K:$K,'Таблиця 1'!$B:$B,$A561,'Таблиця 1'!$I:$I,"МіГ-29",'Таблиця 1'!$J:$J,"AASM-250")+SUMIFS('Таблиця 1'!$K:$K,'Таблиця 1'!$B:$B,$A561,'Таблиця 1'!$I:$I,"Су-25",'Таблиця 1'!$J:$J,"AASM-250")+SUMIFS('Таблиця 1'!$K:$K,'Таблиця 1'!$B:$B,$A561,'Таблиця 1'!$I:$I,"Су-27",'Таблиця 1'!$J:$J,"AASM-250"))</f>
        <v/>
      </c>
      <c r="J561">
        <f>IF($A561="","",SUMIFS('Таблиця 1'!$K:$K,'Таблиця 1'!$B:$B,$A561,'Таблиця 1'!$I:$I,"Mirage",'Таблиця 1'!$J:$J,"GBU-39")+SUMIFS('Таблиця 1'!$K:$K,'Таблиця 1'!$B:$B,$A561,'Таблиця 1'!$I:$I,"F-16",'Таблиця 1'!$J:$J,"GBU-39")+SUMIFS('Таблиця 1'!$K:$K,'Таблиця 1'!$B:$B,$A561,'Таблиця 1'!$I:$I,"МіГ-29",'Таблиця 1'!$J:$J,"GBU-39")+SUMIFS('Таблиця 1'!$K:$K,'Таблиця 1'!$B:$B,$A561,'Таблиця 1'!$I:$I,"Су-25",'Таблиця 1'!$J:$J,"GBU-39")+SUMIFS('Таблиця 1'!$K:$K,'Таблиця 1'!$B:$B,$A561,'Таблиця 1'!$I:$I,"Су-27",'Таблиця 1'!$J:$J,"GBU-39"))</f>
        <v/>
      </c>
      <c r="K561">
        <f>IF($A561="","",SUMIFS('Таблиця 1'!$K:$K,'Таблиця 1'!$B:$B,$A561,'Таблиця 1'!$I:$I,"Mirage",'Таблиця 1'!$J:$J,"BLU-140")+SUMIFS('Таблиця 1'!$K:$K,'Таблиця 1'!$B:$B,$A561,'Таблиця 1'!$I:$I,"F-16",'Таблиця 1'!$J:$J,"BLU-140")+SUMIFS('Таблиця 1'!$K:$K,'Таблиця 1'!$B:$B,$A561,'Таблиця 1'!$I:$I,"МіГ-29",'Таблиця 1'!$J:$J,"BLU-140")+SUMIFS('Таблиця 1'!$K:$K,'Таблиця 1'!$B:$B,$A561,'Таблиця 1'!$I:$I,"Су-25",'Таблиця 1'!$J:$J,"BLU-140")+SUMIFS('Таблиця 1'!$K:$K,'Таблиця 1'!$B:$B,$A561,'Таблиця 1'!$I:$I,"Су-27",'Таблиця 1'!$J:$J,"BLU-140"))</f>
        <v/>
      </c>
      <c r="L561">
        <f>IF($A561="","",SUMIFS('Таблиця 1'!$K:$K,'Таблиця 1'!$B:$B,$A561,'Таблиця 1'!$I:$I,"Mirage",'Таблиця 1'!$J:$J,"GBU-65")+SUMIFS('Таблиця 1'!$K:$K,'Таблиця 1'!$B:$B,$A561,'Таблиця 1'!$I:$I,"F-16",'Таблиця 1'!$J:$J,"GBU-65")+SUMIFS('Таблиця 1'!$K:$K,'Таблиця 1'!$B:$B,$A561,'Таблиця 1'!$I:$I,"МіГ-29",'Таблиця 1'!$J:$J,"GBU-65")+SUMIFS('Таблиця 1'!$K:$K,'Таблиця 1'!$B:$B,$A561,'Таблиця 1'!$I:$I,"Су-25",'Таблиця 1'!$J:$J,"GBU-65")+SUMIFS('Таблиця 1'!$K:$K,'Таблиця 1'!$B:$B,$A561,'Таблиця 1'!$I:$I,"Су-27",'Таблиця 1'!$J:$J,"GBU-65"))</f>
        <v/>
      </c>
      <c r="M561">
        <f>IF($A561="","",SUMIFS('Таблиця 1'!$K:$K,'Таблиця 1'!$B:$B,$A561,'Таблиця 1'!$I:$I,"Mirage",'Таблиця 1'!$J:$J,"GBU-62")+SUMIFS('Таблиця 1'!$K:$K,'Таблиця 1'!$B:$B,$A561,'Таблиця 1'!$I:$I,"F-16",'Таблиця 1'!$J:$J,"GBU-62")+SUMIFS('Таблиця 1'!$K:$K,'Таблиця 1'!$B:$B,$A561,'Таблиця 1'!$I:$I,"МіГ-29",'Таблиця 1'!$J:$J,"GBU-62")+SUMIFS('Таблиця 1'!$K:$K,'Таблиця 1'!$B:$B,$A561,'Таблиця 1'!$I:$I,"Су-25",'Таблиця 1'!$J:$J,"GBU-62")+SUMIFS('Таблиця 1'!$K:$K,'Таблиця 1'!$B:$B,$A561,'Таблиця 1'!$I:$I,"Су-27",'Таблиця 1'!$J:$J,"GBU-62"))</f>
        <v/>
      </c>
      <c r="N561">
        <f>IF($A561="","",SUMIFS('Таблиця 1'!$K:$K,'Таблиця 1'!$B:$B,$A561,'Таблиця 1'!$I:$I,"Mirage",'Таблиця 1'!$J:$J,"GBU-64")+SUMIFS('Таблиця 1'!$K:$K,'Таблиця 1'!$B:$B,$A561,'Таблиця 1'!$I:$I,"F-16",'Таблиця 1'!$J:$J,"GBU-64")+SUMIFS('Таблиця 1'!$K:$K,'Таблиця 1'!$B:$B,$A561,'Таблиця 1'!$I:$I,"МіГ-29",'Таблиця 1'!$J:$J,"GBU-64")+SUMIFS('Таблиця 1'!$K:$K,'Таблиця 1'!$B:$B,$A561,'Таблиця 1'!$I:$I,"Су-25",'Таблиця 1'!$J:$J,"GBU-64")+SUMIFS('Таблиця 1'!$K:$K,'Таблиця 1'!$B:$B,$A561,'Таблиця 1'!$I:$I,"Су-27",'Таблиця 1'!$J:$J,"GBU-64"))</f>
        <v/>
      </c>
      <c r="O561">
        <f>IF($A561="","",SUMIFS('Таблиця 1'!$K:$K,'Таблиця 1'!$B:$B,$A561,'Таблиця 1'!$I:$I,"Mirage",'Таблиця 1'!$J:$J,"C-13")+SUMIFS('Таблиця 1'!$K:$K,'Таблиця 1'!$B:$B,$A561,'Таблиця 1'!$I:$I,"F-16",'Таблиця 1'!$J:$J,"C-13")+SUMIFS('Таблиця 1'!$K:$K,'Таблиця 1'!$B:$B,$A561,'Таблиця 1'!$I:$I,"МіГ-29",'Таблиця 1'!$J:$J,"C-13")+SUMIFS('Таблиця 1'!$K:$K,'Таблиця 1'!$B:$B,$A561,'Таблиця 1'!$I:$I,"Су-25",'Таблиця 1'!$J:$J,"C-13")+SUMIFS('Таблиця 1'!$K:$K,'Таблиця 1'!$B:$B,$A561,'Таблиця 1'!$I:$I,"Су-27",'Таблиця 1'!$J:$J,"C-13"))</f>
        <v/>
      </c>
      <c r="P561">
        <f>IF($A561="","",SUMIFS('Таблиця 1'!$K:$K,'Таблиця 1'!$B:$B,$A561,'Таблиця 1'!$I:$I,"Mirage",'Таблиця 1'!$J:$J,"MK-32")+SUMIFS('Таблиця 1'!$K:$K,'Таблиця 1'!$B:$B,$A561,'Таблиця 1'!$I:$I,"F-16",'Таблиця 1'!$J:$J,"MK-32")+SUMIFS('Таблиця 1'!$K:$K,'Таблиця 1'!$B:$B,$A561,'Таблиця 1'!$I:$I,"МіГ-29",'Таблиця 1'!$J:$J,"MK-32")+SUMIFS('Таблиця 1'!$K:$K,'Таблиця 1'!$B:$B,$A561,'Таблиця 1'!$I:$I,"Су-25",'Таблиця 1'!$J:$J,"MK-32")+SUMIFS('Таблиця 1'!$K:$K,'Таблиця 1'!$B:$B,$A561,'Таблиця 1'!$I:$I,"Су-27",'Таблиця 1'!$J:$J,"MK-32"))</f>
        <v/>
      </c>
      <c r="Q561">
        <f>IF($A561="","",SUMIFS('Таблиця 1'!$K:$K,'Таблиця 1'!$B:$B,$A561,'Таблиця 1'!$I:$I,"Mirage",'Таблиця 1'!$J:$J,"MK-24")+SUMIFS('Таблиця 1'!$K:$K,'Таблиця 1'!$B:$B,$A561,'Таблиця 1'!$I:$I,"F-16",'Таблиця 1'!$J:$J,"MK-24")+SUMIFS('Таблиця 1'!$K:$K,'Таблиця 1'!$B:$B,$A561,'Таблиця 1'!$I:$I,"МіГ-29",'Таблиця 1'!$J:$J,"MK-24")+SUMIFS('Таблиця 1'!$K:$K,'Таблиця 1'!$B:$B,$A561,'Таблиця 1'!$I:$I,"Су-25",'Таблиця 1'!$J:$J,"MK-24")+SUMIFS('Таблиця 1'!$K:$K,'Таблиця 1'!$B:$B,$A561,'Таблиця 1'!$I:$I,"Су-27",'Таблиця 1'!$J:$J,"MK-24"))</f>
        <v/>
      </c>
      <c r="R561">
        <f>IF($A561="","",COUNTIFS('Таблиця 1'!$B:$B,$A561,'Таблиця 1'!$I:$I,"Mirage",'Таблиця 1'!$L:$L,"Уражено")+COUNTIFS('Таблиця 1'!$B:$B,$A561,'Таблиця 1'!$I:$I,"F-16",'Таблиця 1'!$L:$L,"Уражено")+COUNTIFS('Таблиця 1'!$B:$B,$A561,'Таблиця 1'!$I:$I,"МіГ-29",'Таблиця 1'!$L:$L,"Уражено")+COUNTIFS('Таблиця 1'!$B:$B,$A561,'Таблиця 1'!$I:$I,"Су-25",'Таблиця 1'!$L:$L,"Уражено")+COUNTIFS('Таблиця 1'!$B:$B,$A561,'Таблиця 1'!$I:$I,"Су-27",'Таблиця 1'!$L:$L,"Уражено"))</f>
        <v/>
      </c>
      <c r="S561">
        <f>IF($A561="","",COUNTIFS('Таблиця 1'!$B:$B,$A561,'Таблиця 1'!$I:$I,"Mirage",'Таблиця 1'!$L:$L,"НЕ уражено")+COUNTIFS('Таблиця 1'!$B:$B,$A561,'Таблиця 1'!$I:$I,"F-16",'Таблиця 1'!$L:$L,"НЕ уражено")+COUNTIFS('Таблиця 1'!$B:$B,$A561,'Таблиця 1'!$I:$I,"МіГ-29",'Таблиця 1'!$L:$L,"НЕ уражено")+COUNTIFS('Таблиця 1'!$B:$B,$A561,'Таблиця 1'!$I:$I,"Су-25",'Таблиця 1'!$L:$L,"НЕ уражено")+COUNTIFS('Таблиця 1'!$B:$B,$A561,'Таблиця 1'!$I:$I,"Су-27",'Таблиця 1'!$L:$L,"НЕ уражено"))</f>
        <v/>
      </c>
      <c r="T561">
        <f>IF($A561="","",COUNTIFS('Таблиця 1'!$B:$B,$A561,'Таблиця 1'!$I:$I,"Mirage",'Таблиця 1'!$L:$L,"Дорозвідується")+COUNTIFS('Таблиця 1'!$B:$B,$A561,'Таблиця 1'!$I:$I,"F-16",'Таблиця 1'!$L:$L,"Дорозвідується")+COUNTIFS('Таблиця 1'!$B:$B,$A561,'Таблиця 1'!$I:$I,"МіГ-29",'Таблиця 1'!$L:$L,"Дорозвідується")+COUNTIFS('Таблиця 1'!$B:$B,$A561,'Таблиця 1'!$I:$I,"Су-25",'Таблиця 1'!$L:$L,"Дорозвідується")+COUNTIFS('Таблиця 1'!$B:$B,$A561,'Таблиця 1'!$I:$I,"Су-27",'Таблиця 1'!$L:$L,"Дорозвідується"))</f>
        <v/>
      </c>
    </row>
    <row r="562">
      <c r="A562" s="273">
        <f>IF(A561="","",IF(A561+1&gt;MAX('Таблиця 1'!$B:$B),"",A561+1))</f>
        <v/>
      </c>
      <c r="B562">
        <f>IF($A562="","",COUNTIFS('Таблиця 1'!$B:$B,$A562,'Таблиця 1'!$I:$I,"Mirage")+COUNTIFS('Таблиця 1'!$B:$B,$A562,'Таблиця 1'!$I:$I,"F-16")+COUNTIFS('Таблиця 1'!$B:$B,$A562,'Таблиця 1'!$I:$I,"МіГ-29")+COUNTIFS('Таблиця 1'!$B:$B,$A562,'Таблиця 1'!$I:$I,"Су-25")+COUNTIFS('Таблиця 1'!$B:$B,$A562,'Таблиця 1'!$I:$I,"Су-27"))</f>
        <v/>
      </c>
      <c r="C562">
        <f>IF($A562="","",COUNTIFS('Таблиця 1'!$B:$B,$A562,'Таблиця 1'!$I:$I,"Mirage"))</f>
        <v/>
      </c>
      <c r="D562">
        <f>IF($A562="","",COUNTIFS('Таблиця 1'!$B:$B,$A562,'Таблиця 1'!$I:$I,"F-16"))</f>
        <v/>
      </c>
      <c r="E562">
        <f>IF($A562="","",COUNTIFS('Таблиця 1'!$B:$B,$A562,'Таблиця 1'!$I:$I,"МіГ-29"))</f>
        <v/>
      </c>
      <c r="F562">
        <f>IF($A562="","",COUNTIFS('Таблиця 1'!$B:$B,$A562,'Таблиця 1'!$I:$I,"Су-25"))</f>
        <v/>
      </c>
      <c r="G562">
        <f>IF($A562="","",COUNTIFS('Таблиця 1'!$B:$B,$A562,'Таблиця 1'!$I:$I,"Су-27"))</f>
        <v/>
      </c>
      <c r="H562">
        <f>IF($A562="","",SUMIFS('Таблиця 1'!$K:$K,'Таблиця 1'!$B:$B,$A562,'Таблиця 1'!$I:$I,"Mirage",'Таблиця 1'!$J:$J,"AGM-88")+SUMIFS('Таблиця 1'!$K:$K,'Таблиця 1'!$B:$B,$A562,'Таблиця 1'!$I:$I,"F-16",'Таблиця 1'!$J:$J,"AGM-88")+SUMIFS('Таблиця 1'!$K:$K,'Таблиця 1'!$B:$B,$A562,'Таблиця 1'!$I:$I,"МіГ-29",'Таблиця 1'!$J:$J,"AGM-88")+SUMIFS('Таблиця 1'!$K:$K,'Таблиця 1'!$B:$B,$A562,'Таблиця 1'!$I:$I,"Су-25",'Таблиця 1'!$J:$J,"AGM-88")+SUMIFS('Таблиця 1'!$K:$K,'Таблиця 1'!$B:$B,$A562,'Таблиця 1'!$I:$I,"Су-27",'Таблиця 1'!$J:$J,"AGM-88"))</f>
        <v/>
      </c>
      <c r="I562">
        <f>IF($A562="","",SUMIFS('Таблиця 1'!$K:$K,'Таблиця 1'!$B:$B,$A562,'Таблиця 1'!$I:$I,"Mirage",'Таблиця 1'!$J:$J,"AASM-250")+SUMIFS('Таблиця 1'!$K:$K,'Таблиця 1'!$B:$B,$A562,'Таблиця 1'!$I:$I,"F-16",'Таблиця 1'!$J:$J,"AASM-250")+SUMIFS('Таблиця 1'!$K:$K,'Таблиця 1'!$B:$B,$A562,'Таблиця 1'!$I:$I,"МіГ-29",'Таблиця 1'!$J:$J,"AASM-250")+SUMIFS('Таблиця 1'!$K:$K,'Таблиця 1'!$B:$B,$A562,'Таблиця 1'!$I:$I,"Су-25",'Таблиця 1'!$J:$J,"AASM-250")+SUMIFS('Таблиця 1'!$K:$K,'Таблиця 1'!$B:$B,$A562,'Таблиця 1'!$I:$I,"Су-27",'Таблиця 1'!$J:$J,"AASM-250"))</f>
        <v/>
      </c>
      <c r="J562">
        <f>IF($A562="","",SUMIFS('Таблиця 1'!$K:$K,'Таблиця 1'!$B:$B,$A562,'Таблиця 1'!$I:$I,"Mirage",'Таблиця 1'!$J:$J,"GBU-39")+SUMIFS('Таблиця 1'!$K:$K,'Таблиця 1'!$B:$B,$A562,'Таблиця 1'!$I:$I,"F-16",'Таблиця 1'!$J:$J,"GBU-39")+SUMIFS('Таблиця 1'!$K:$K,'Таблиця 1'!$B:$B,$A562,'Таблиця 1'!$I:$I,"МіГ-29",'Таблиця 1'!$J:$J,"GBU-39")+SUMIFS('Таблиця 1'!$K:$K,'Таблиця 1'!$B:$B,$A562,'Таблиця 1'!$I:$I,"Су-25",'Таблиця 1'!$J:$J,"GBU-39")+SUMIFS('Таблиця 1'!$K:$K,'Таблиця 1'!$B:$B,$A562,'Таблиця 1'!$I:$I,"Су-27",'Таблиця 1'!$J:$J,"GBU-39"))</f>
        <v/>
      </c>
      <c r="K562">
        <f>IF($A562="","",SUMIFS('Таблиця 1'!$K:$K,'Таблиця 1'!$B:$B,$A562,'Таблиця 1'!$I:$I,"Mirage",'Таблиця 1'!$J:$J,"BLU-140")+SUMIFS('Таблиця 1'!$K:$K,'Таблиця 1'!$B:$B,$A562,'Таблиця 1'!$I:$I,"F-16",'Таблиця 1'!$J:$J,"BLU-140")+SUMIFS('Таблиця 1'!$K:$K,'Таблиця 1'!$B:$B,$A562,'Таблиця 1'!$I:$I,"МіГ-29",'Таблиця 1'!$J:$J,"BLU-140")+SUMIFS('Таблиця 1'!$K:$K,'Таблиця 1'!$B:$B,$A562,'Таблиця 1'!$I:$I,"Су-25",'Таблиця 1'!$J:$J,"BLU-140")+SUMIFS('Таблиця 1'!$K:$K,'Таблиця 1'!$B:$B,$A562,'Таблиця 1'!$I:$I,"Су-27",'Таблиця 1'!$J:$J,"BLU-140"))</f>
        <v/>
      </c>
      <c r="L562">
        <f>IF($A562="","",SUMIFS('Таблиця 1'!$K:$K,'Таблиця 1'!$B:$B,$A562,'Таблиця 1'!$I:$I,"Mirage",'Таблиця 1'!$J:$J,"GBU-65")+SUMIFS('Таблиця 1'!$K:$K,'Таблиця 1'!$B:$B,$A562,'Таблиця 1'!$I:$I,"F-16",'Таблиця 1'!$J:$J,"GBU-65")+SUMIFS('Таблиця 1'!$K:$K,'Таблиця 1'!$B:$B,$A562,'Таблиця 1'!$I:$I,"МіГ-29",'Таблиця 1'!$J:$J,"GBU-65")+SUMIFS('Таблиця 1'!$K:$K,'Таблиця 1'!$B:$B,$A562,'Таблиця 1'!$I:$I,"Су-25",'Таблиця 1'!$J:$J,"GBU-65")+SUMIFS('Таблиця 1'!$K:$K,'Таблиця 1'!$B:$B,$A562,'Таблиця 1'!$I:$I,"Су-27",'Таблиця 1'!$J:$J,"GBU-65"))</f>
        <v/>
      </c>
      <c r="M562">
        <f>IF($A562="","",SUMIFS('Таблиця 1'!$K:$K,'Таблиця 1'!$B:$B,$A562,'Таблиця 1'!$I:$I,"Mirage",'Таблиця 1'!$J:$J,"GBU-62")+SUMIFS('Таблиця 1'!$K:$K,'Таблиця 1'!$B:$B,$A562,'Таблиця 1'!$I:$I,"F-16",'Таблиця 1'!$J:$J,"GBU-62")+SUMIFS('Таблиця 1'!$K:$K,'Таблиця 1'!$B:$B,$A562,'Таблиця 1'!$I:$I,"МіГ-29",'Таблиця 1'!$J:$J,"GBU-62")+SUMIFS('Таблиця 1'!$K:$K,'Таблиця 1'!$B:$B,$A562,'Таблиця 1'!$I:$I,"Су-25",'Таблиця 1'!$J:$J,"GBU-62")+SUMIFS('Таблиця 1'!$K:$K,'Таблиця 1'!$B:$B,$A562,'Таблиця 1'!$I:$I,"Су-27",'Таблиця 1'!$J:$J,"GBU-62"))</f>
        <v/>
      </c>
      <c r="N562">
        <f>IF($A562="","",SUMIFS('Таблиця 1'!$K:$K,'Таблиця 1'!$B:$B,$A562,'Таблиця 1'!$I:$I,"Mirage",'Таблиця 1'!$J:$J,"GBU-64")+SUMIFS('Таблиця 1'!$K:$K,'Таблиця 1'!$B:$B,$A562,'Таблиця 1'!$I:$I,"F-16",'Таблиця 1'!$J:$J,"GBU-64")+SUMIFS('Таблиця 1'!$K:$K,'Таблиця 1'!$B:$B,$A562,'Таблиця 1'!$I:$I,"МіГ-29",'Таблиця 1'!$J:$J,"GBU-64")+SUMIFS('Таблиця 1'!$K:$K,'Таблиця 1'!$B:$B,$A562,'Таблиця 1'!$I:$I,"Су-25",'Таблиця 1'!$J:$J,"GBU-64")+SUMIFS('Таблиця 1'!$K:$K,'Таблиця 1'!$B:$B,$A562,'Таблиця 1'!$I:$I,"Су-27",'Таблиця 1'!$J:$J,"GBU-64"))</f>
        <v/>
      </c>
      <c r="O562">
        <f>IF($A562="","",SUMIFS('Таблиця 1'!$K:$K,'Таблиця 1'!$B:$B,$A562,'Таблиця 1'!$I:$I,"Mirage",'Таблиця 1'!$J:$J,"C-13")+SUMIFS('Таблиця 1'!$K:$K,'Таблиця 1'!$B:$B,$A562,'Таблиця 1'!$I:$I,"F-16",'Таблиця 1'!$J:$J,"C-13")+SUMIFS('Таблиця 1'!$K:$K,'Таблиця 1'!$B:$B,$A562,'Таблиця 1'!$I:$I,"МіГ-29",'Таблиця 1'!$J:$J,"C-13")+SUMIFS('Таблиця 1'!$K:$K,'Таблиця 1'!$B:$B,$A562,'Таблиця 1'!$I:$I,"Су-25",'Таблиця 1'!$J:$J,"C-13")+SUMIFS('Таблиця 1'!$K:$K,'Таблиця 1'!$B:$B,$A562,'Таблиця 1'!$I:$I,"Су-27",'Таблиця 1'!$J:$J,"C-13"))</f>
        <v/>
      </c>
      <c r="P562">
        <f>IF($A562="","",SUMIFS('Таблиця 1'!$K:$K,'Таблиця 1'!$B:$B,$A562,'Таблиця 1'!$I:$I,"Mirage",'Таблиця 1'!$J:$J,"MK-32")+SUMIFS('Таблиця 1'!$K:$K,'Таблиця 1'!$B:$B,$A562,'Таблиця 1'!$I:$I,"F-16",'Таблиця 1'!$J:$J,"MK-32")+SUMIFS('Таблиця 1'!$K:$K,'Таблиця 1'!$B:$B,$A562,'Таблиця 1'!$I:$I,"МіГ-29",'Таблиця 1'!$J:$J,"MK-32")+SUMIFS('Таблиця 1'!$K:$K,'Таблиця 1'!$B:$B,$A562,'Таблиця 1'!$I:$I,"Су-25",'Таблиця 1'!$J:$J,"MK-32")+SUMIFS('Таблиця 1'!$K:$K,'Таблиця 1'!$B:$B,$A562,'Таблиця 1'!$I:$I,"Су-27",'Таблиця 1'!$J:$J,"MK-32"))</f>
        <v/>
      </c>
      <c r="Q562">
        <f>IF($A562="","",SUMIFS('Таблиця 1'!$K:$K,'Таблиця 1'!$B:$B,$A562,'Таблиця 1'!$I:$I,"Mirage",'Таблиця 1'!$J:$J,"MK-24")+SUMIFS('Таблиця 1'!$K:$K,'Таблиця 1'!$B:$B,$A562,'Таблиця 1'!$I:$I,"F-16",'Таблиця 1'!$J:$J,"MK-24")+SUMIFS('Таблиця 1'!$K:$K,'Таблиця 1'!$B:$B,$A562,'Таблиця 1'!$I:$I,"МіГ-29",'Таблиця 1'!$J:$J,"MK-24")+SUMIFS('Таблиця 1'!$K:$K,'Таблиця 1'!$B:$B,$A562,'Таблиця 1'!$I:$I,"Су-25",'Таблиця 1'!$J:$J,"MK-24")+SUMIFS('Таблиця 1'!$K:$K,'Таблиця 1'!$B:$B,$A562,'Таблиця 1'!$I:$I,"Су-27",'Таблиця 1'!$J:$J,"MK-24"))</f>
        <v/>
      </c>
      <c r="R562">
        <f>IF($A562="","",COUNTIFS('Таблиця 1'!$B:$B,$A562,'Таблиця 1'!$I:$I,"Mirage",'Таблиця 1'!$L:$L,"Уражено")+COUNTIFS('Таблиця 1'!$B:$B,$A562,'Таблиця 1'!$I:$I,"F-16",'Таблиця 1'!$L:$L,"Уражено")+COUNTIFS('Таблиця 1'!$B:$B,$A562,'Таблиця 1'!$I:$I,"МіГ-29",'Таблиця 1'!$L:$L,"Уражено")+COUNTIFS('Таблиця 1'!$B:$B,$A562,'Таблиця 1'!$I:$I,"Су-25",'Таблиця 1'!$L:$L,"Уражено")+COUNTIFS('Таблиця 1'!$B:$B,$A562,'Таблиця 1'!$I:$I,"Су-27",'Таблиця 1'!$L:$L,"Уражено"))</f>
        <v/>
      </c>
      <c r="S562">
        <f>IF($A562="","",COUNTIFS('Таблиця 1'!$B:$B,$A562,'Таблиця 1'!$I:$I,"Mirage",'Таблиця 1'!$L:$L,"НЕ уражено")+COUNTIFS('Таблиця 1'!$B:$B,$A562,'Таблиця 1'!$I:$I,"F-16",'Таблиця 1'!$L:$L,"НЕ уражено")+COUNTIFS('Таблиця 1'!$B:$B,$A562,'Таблиця 1'!$I:$I,"МіГ-29",'Таблиця 1'!$L:$L,"НЕ уражено")+COUNTIFS('Таблиця 1'!$B:$B,$A562,'Таблиця 1'!$I:$I,"Су-25",'Таблиця 1'!$L:$L,"НЕ уражено")+COUNTIFS('Таблиця 1'!$B:$B,$A562,'Таблиця 1'!$I:$I,"Су-27",'Таблиця 1'!$L:$L,"НЕ уражено"))</f>
        <v/>
      </c>
      <c r="T562">
        <f>IF($A562="","",COUNTIFS('Таблиця 1'!$B:$B,$A562,'Таблиця 1'!$I:$I,"Mirage",'Таблиця 1'!$L:$L,"Дорозвідується")+COUNTIFS('Таблиця 1'!$B:$B,$A562,'Таблиця 1'!$I:$I,"F-16",'Таблиця 1'!$L:$L,"Дорозвідується")+COUNTIFS('Таблиця 1'!$B:$B,$A562,'Таблиця 1'!$I:$I,"МіГ-29",'Таблиця 1'!$L:$L,"Дорозвідується")+COUNTIFS('Таблиця 1'!$B:$B,$A562,'Таблиця 1'!$I:$I,"Су-25",'Таблиця 1'!$L:$L,"Дорозвідується")+COUNTIFS('Таблиця 1'!$B:$B,$A562,'Таблиця 1'!$I:$I,"Су-27",'Таблиця 1'!$L:$L,"Дорозвідується"))</f>
        <v/>
      </c>
    </row>
    <row r="563">
      <c r="A563" s="273">
        <f>IF(A562="","",IF(A562+1&gt;MAX('Таблиця 1'!$B:$B),"",A562+1))</f>
        <v/>
      </c>
      <c r="B563">
        <f>IF($A563="","",COUNTIFS('Таблиця 1'!$B:$B,$A563,'Таблиця 1'!$I:$I,"Mirage")+COUNTIFS('Таблиця 1'!$B:$B,$A563,'Таблиця 1'!$I:$I,"F-16")+COUNTIFS('Таблиця 1'!$B:$B,$A563,'Таблиця 1'!$I:$I,"МіГ-29")+COUNTIFS('Таблиця 1'!$B:$B,$A563,'Таблиця 1'!$I:$I,"Су-25")+COUNTIFS('Таблиця 1'!$B:$B,$A563,'Таблиця 1'!$I:$I,"Су-27"))</f>
        <v/>
      </c>
      <c r="C563">
        <f>IF($A563="","",COUNTIFS('Таблиця 1'!$B:$B,$A563,'Таблиця 1'!$I:$I,"Mirage"))</f>
        <v/>
      </c>
      <c r="D563">
        <f>IF($A563="","",COUNTIFS('Таблиця 1'!$B:$B,$A563,'Таблиця 1'!$I:$I,"F-16"))</f>
        <v/>
      </c>
      <c r="E563">
        <f>IF($A563="","",COUNTIFS('Таблиця 1'!$B:$B,$A563,'Таблиця 1'!$I:$I,"МіГ-29"))</f>
        <v/>
      </c>
      <c r="F563">
        <f>IF($A563="","",COUNTIFS('Таблиця 1'!$B:$B,$A563,'Таблиця 1'!$I:$I,"Су-25"))</f>
        <v/>
      </c>
      <c r="G563">
        <f>IF($A563="","",COUNTIFS('Таблиця 1'!$B:$B,$A563,'Таблиця 1'!$I:$I,"Су-27"))</f>
        <v/>
      </c>
      <c r="H563">
        <f>IF($A563="","",SUMIFS('Таблиця 1'!$K:$K,'Таблиця 1'!$B:$B,$A563,'Таблиця 1'!$I:$I,"Mirage",'Таблиця 1'!$J:$J,"AGM-88")+SUMIFS('Таблиця 1'!$K:$K,'Таблиця 1'!$B:$B,$A563,'Таблиця 1'!$I:$I,"F-16",'Таблиця 1'!$J:$J,"AGM-88")+SUMIFS('Таблиця 1'!$K:$K,'Таблиця 1'!$B:$B,$A563,'Таблиця 1'!$I:$I,"МіГ-29",'Таблиця 1'!$J:$J,"AGM-88")+SUMIFS('Таблиця 1'!$K:$K,'Таблиця 1'!$B:$B,$A563,'Таблиця 1'!$I:$I,"Су-25",'Таблиця 1'!$J:$J,"AGM-88")+SUMIFS('Таблиця 1'!$K:$K,'Таблиця 1'!$B:$B,$A563,'Таблиця 1'!$I:$I,"Су-27",'Таблиця 1'!$J:$J,"AGM-88"))</f>
        <v/>
      </c>
      <c r="I563">
        <f>IF($A563="","",SUMIFS('Таблиця 1'!$K:$K,'Таблиця 1'!$B:$B,$A563,'Таблиця 1'!$I:$I,"Mirage",'Таблиця 1'!$J:$J,"AASM-250")+SUMIFS('Таблиця 1'!$K:$K,'Таблиця 1'!$B:$B,$A563,'Таблиця 1'!$I:$I,"F-16",'Таблиця 1'!$J:$J,"AASM-250")+SUMIFS('Таблиця 1'!$K:$K,'Таблиця 1'!$B:$B,$A563,'Таблиця 1'!$I:$I,"МіГ-29",'Таблиця 1'!$J:$J,"AASM-250")+SUMIFS('Таблиця 1'!$K:$K,'Таблиця 1'!$B:$B,$A563,'Таблиця 1'!$I:$I,"Су-25",'Таблиця 1'!$J:$J,"AASM-250")+SUMIFS('Таблиця 1'!$K:$K,'Таблиця 1'!$B:$B,$A563,'Таблиця 1'!$I:$I,"Су-27",'Таблиця 1'!$J:$J,"AASM-250"))</f>
        <v/>
      </c>
      <c r="J563">
        <f>IF($A563="","",SUMIFS('Таблиця 1'!$K:$K,'Таблиця 1'!$B:$B,$A563,'Таблиця 1'!$I:$I,"Mirage",'Таблиця 1'!$J:$J,"GBU-39")+SUMIFS('Таблиця 1'!$K:$K,'Таблиця 1'!$B:$B,$A563,'Таблиця 1'!$I:$I,"F-16",'Таблиця 1'!$J:$J,"GBU-39")+SUMIFS('Таблиця 1'!$K:$K,'Таблиця 1'!$B:$B,$A563,'Таблиця 1'!$I:$I,"МіГ-29",'Таблиця 1'!$J:$J,"GBU-39")+SUMIFS('Таблиця 1'!$K:$K,'Таблиця 1'!$B:$B,$A563,'Таблиця 1'!$I:$I,"Су-25",'Таблиця 1'!$J:$J,"GBU-39")+SUMIFS('Таблиця 1'!$K:$K,'Таблиця 1'!$B:$B,$A563,'Таблиця 1'!$I:$I,"Су-27",'Таблиця 1'!$J:$J,"GBU-39"))</f>
        <v/>
      </c>
      <c r="K563">
        <f>IF($A563="","",SUMIFS('Таблиця 1'!$K:$K,'Таблиця 1'!$B:$B,$A563,'Таблиця 1'!$I:$I,"Mirage",'Таблиця 1'!$J:$J,"BLU-140")+SUMIFS('Таблиця 1'!$K:$K,'Таблиця 1'!$B:$B,$A563,'Таблиця 1'!$I:$I,"F-16",'Таблиця 1'!$J:$J,"BLU-140")+SUMIFS('Таблиця 1'!$K:$K,'Таблиця 1'!$B:$B,$A563,'Таблиця 1'!$I:$I,"МіГ-29",'Таблиця 1'!$J:$J,"BLU-140")+SUMIFS('Таблиця 1'!$K:$K,'Таблиця 1'!$B:$B,$A563,'Таблиця 1'!$I:$I,"Су-25",'Таблиця 1'!$J:$J,"BLU-140")+SUMIFS('Таблиця 1'!$K:$K,'Таблиця 1'!$B:$B,$A563,'Таблиця 1'!$I:$I,"Су-27",'Таблиця 1'!$J:$J,"BLU-140"))</f>
        <v/>
      </c>
      <c r="L563">
        <f>IF($A563="","",SUMIFS('Таблиця 1'!$K:$K,'Таблиця 1'!$B:$B,$A563,'Таблиця 1'!$I:$I,"Mirage",'Таблиця 1'!$J:$J,"GBU-65")+SUMIFS('Таблиця 1'!$K:$K,'Таблиця 1'!$B:$B,$A563,'Таблиця 1'!$I:$I,"F-16",'Таблиця 1'!$J:$J,"GBU-65")+SUMIFS('Таблиця 1'!$K:$K,'Таблиця 1'!$B:$B,$A563,'Таблиця 1'!$I:$I,"МіГ-29",'Таблиця 1'!$J:$J,"GBU-65")+SUMIFS('Таблиця 1'!$K:$K,'Таблиця 1'!$B:$B,$A563,'Таблиця 1'!$I:$I,"Су-25",'Таблиця 1'!$J:$J,"GBU-65")+SUMIFS('Таблиця 1'!$K:$K,'Таблиця 1'!$B:$B,$A563,'Таблиця 1'!$I:$I,"Су-27",'Таблиця 1'!$J:$J,"GBU-65"))</f>
        <v/>
      </c>
      <c r="M563">
        <f>IF($A563="","",SUMIFS('Таблиця 1'!$K:$K,'Таблиця 1'!$B:$B,$A563,'Таблиця 1'!$I:$I,"Mirage",'Таблиця 1'!$J:$J,"GBU-62")+SUMIFS('Таблиця 1'!$K:$K,'Таблиця 1'!$B:$B,$A563,'Таблиця 1'!$I:$I,"F-16",'Таблиця 1'!$J:$J,"GBU-62")+SUMIFS('Таблиця 1'!$K:$K,'Таблиця 1'!$B:$B,$A563,'Таблиця 1'!$I:$I,"МіГ-29",'Таблиця 1'!$J:$J,"GBU-62")+SUMIFS('Таблиця 1'!$K:$K,'Таблиця 1'!$B:$B,$A563,'Таблиця 1'!$I:$I,"Су-25",'Таблиця 1'!$J:$J,"GBU-62")+SUMIFS('Таблиця 1'!$K:$K,'Таблиця 1'!$B:$B,$A563,'Таблиця 1'!$I:$I,"Су-27",'Таблиця 1'!$J:$J,"GBU-62"))</f>
        <v/>
      </c>
      <c r="N563">
        <f>IF($A563="","",SUMIFS('Таблиця 1'!$K:$K,'Таблиця 1'!$B:$B,$A563,'Таблиця 1'!$I:$I,"Mirage",'Таблиця 1'!$J:$J,"GBU-64")+SUMIFS('Таблиця 1'!$K:$K,'Таблиця 1'!$B:$B,$A563,'Таблиця 1'!$I:$I,"F-16",'Таблиця 1'!$J:$J,"GBU-64")+SUMIFS('Таблиця 1'!$K:$K,'Таблиця 1'!$B:$B,$A563,'Таблиця 1'!$I:$I,"МіГ-29",'Таблиця 1'!$J:$J,"GBU-64")+SUMIFS('Таблиця 1'!$K:$K,'Таблиця 1'!$B:$B,$A563,'Таблиця 1'!$I:$I,"Су-25",'Таблиця 1'!$J:$J,"GBU-64")+SUMIFS('Таблиця 1'!$K:$K,'Таблиця 1'!$B:$B,$A563,'Таблиця 1'!$I:$I,"Су-27",'Таблиця 1'!$J:$J,"GBU-64"))</f>
        <v/>
      </c>
      <c r="O563">
        <f>IF($A563="","",SUMIFS('Таблиця 1'!$K:$K,'Таблиця 1'!$B:$B,$A563,'Таблиця 1'!$I:$I,"Mirage",'Таблиця 1'!$J:$J,"C-13")+SUMIFS('Таблиця 1'!$K:$K,'Таблиця 1'!$B:$B,$A563,'Таблиця 1'!$I:$I,"F-16",'Таблиця 1'!$J:$J,"C-13")+SUMIFS('Таблиця 1'!$K:$K,'Таблиця 1'!$B:$B,$A563,'Таблиця 1'!$I:$I,"МіГ-29",'Таблиця 1'!$J:$J,"C-13")+SUMIFS('Таблиця 1'!$K:$K,'Таблиця 1'!$B:$B,$A563,'Таблиця 1'!$I:$I,"Су-25",'Таблиця 1'!$J:$J,"C-13")+SUMIFS('Таблиця 1'!$K:$K,'Таблиця 1'!$B:$B,$A563,'Таблиця 1'!$I:$I,"Су-27",'Таблиця 1'!$J:$J,"C-13"))</f>
        <v/>
      </c>
      <c r="P563">
        <f>IF($A563="","",SUMIFS('Таблиця 1'!$K:$K,'Таблиця 1'!$B:$B,$A563,'Таблиця 1'!$I:$I,"Mirage",'Таблиця 1'!$J:$J,"MK-32")+SUMIFS('Таблиця 1'!$K:$K,'Таблиця 1'!$B:$B,$A563,'Таблиця 1'!$I:$I,"F-16",'Таблиця 1'!$J:$J,"MK-32")+SUMIFS('Таблиця 1'!$K:$K,'Таблиця 1'!$B:$B,$A563,'Таблиця 1'!$I:$I,"МіГ-29",'Таблиця 1'!$J:$J,"MK-32")+SUMIFS('Таблиця 1'!$K:$K,'Таблиця 1'!$B:$B,$A563,'Таблиця 1'!$I:$I,"Су-25",'Таблиця 1'!$J:$J,"MK-32")+SUMIFS('Таблиця 1'!$K:$K,'Таблиця 1'!$B:$B,$A563,'Таблиця 1'!$I:$I,"Су-27",'Таблиця 1'!$J:$J,"MK-32"))</f>
        <v/>
      </c>
      <c r="Q563">
        <f>IF($A563="","",SUMIFS('Таблиця 1'!$K:$K,'Таблиця 1'!$B:$B,$A563,'Таблиця 1'!$I:$I,"Mirage",'Таблиця 1'!$J:$J,"MK-24")+SUMIFS('Таблиця 1'!$K:$K,'Таблиця 1'!$B:$B,$A563,'Таблиця 1'!$I:$I,"F-16",'Таблиця 1'!$J:$J,"MK-24")+SUMIFS('Таблиця 1'!$K:$K,'Таблиця 1'!$B:$B,$A563,'Таблиця 1'!$I:$I,"МіГ-29",'Таблиця 1'!$J:$J,"MK-24")+SUMIFS('Таблиця 1'!$K:$K,'Таблиця 1'!$B:$B,$A563,'Таблиця 1'!$I:$I,"Су-25",'Таблиця 1'!$J:$J,"MK-24")+SUMIFS('Таблиця 1'!$K:$K,'Таблиця 1'!$B:$B,$A563,'Таблиця 1'!$I:$I,"Су-27",'Таблиця 1'!$J:$J,"MK-24"))</f>
        <v/>
      </c>
      <c r="R563">
        <f>IF($A563="","",COUNTIFS('Таблиця 1'!$B:$B,$A563,'Таблиця 1'!$I:$I,"Mirage",'Таблиця 1'!$L:$L,"Уражено")+COUNTIFS('Таблиця 1'!$B:$B,$A563,'Таблиця 1'!$I:$I,"F-16",'Таблиця 1'!$L:$L,"Уражено")+COUNTIFS('Таблиця 1'!$B:$B,$A563,'Таблиця 1'!$I:$I,"МіГ-29",'Таблиця 1'!$L:$L,"Уражено")+COUNTIFS('Таблиця 1'!$B:$B,$A563,'Таблиця 1'!$I:$I,"Су-25",'Таблиця 1'!$L:$L,"Уражено")+COUNTIFS('Таблиця 1'!$B:$B,$A563,'Таблиця 1'!$I:$I,"Су-27",'Таблиця 1'!$L:$L,"Уражено"))</f>
        <v/>
      </c>
      <c r="S563">
        <f>IF($A563="","",COUNTIFS('Таблиця 1'!$B:$B,$A563,'Таблиця 1'!$I:$I,"Mirage",'Таблиця 1'!$L:$L,"НЕ уражено")+COUNTIFS('Таблиця 1'!$B:$B,$A563,'Таблиця 1'!$I:$I,"F-16",'Таблиця 1'!$L:$L,"НЕ уражено")+COUNTIFS('Таблиця 1'!$B:$B,$A563,'Таблиця 1'!$I:$I,"МіГ-29",'Таблиця 1'!$L:$L,"НЕ уражено")+COUNTIFS('Таблиця 1'!$B:$B,$A563,'Таблиця 1'!$I:$I,"Су-25",'Таблиця 1'!$L:$L,"НЕ уражено")+COUNTIFS('Таблиця 1'!$B:$B,$A563,'Таблиця 1'!$I:$I,"Су-27",'Таблиця 1'!$L:$L,"НЕ уражено"))</f>
        <v/>
      </c>
      <c r="T563">
        <f>IF($A563="","",COUNTIFS('Таблиця 1'!$B:$B,$A563,'Таблиця 1'!$I:$I,"Mirage",'Таблиця 1'!$L:$L,"Дорозвідується")+COUNTIFS('Таблиця 1'!$B:$B,$A563,'Таблиця 1'!$I:$I,"F-16",'Таблиця 1'!$L:$L,"Дорозвідується")+COUNTIFS('Таблиця 1'!$B:$B,$A563,'Таблиця 1'!$I:$I,"МіГ-29",'Таблиця 1'!$L:$L,"Дорозвідується")+COUNTIFS('Таблиця 1'!$B:$B,$A563,'Таблиця 1'!$I:$I,"Су-25",'Таблиця 1'!$L:$L,"Дорозвідується")+COUNTIFS('Таблиця 1'!$B:$B,$A563,'Таблиця 1'!$I:$I,"Су-27",'Таблиця 1'!$L:$L,"Дорозвідується"))</f>
        <v/>
      </c>
    </row>
    <row r="564">
      <c r="A564" s="273">
        <f>IF(A563="","",IF(A563+1&gt;MAX('Таблиця 1'!$B:$B),"",A563+1))</f>
        <v/>
      </c>
      <c r="B564">
        <f>IF($A564="","",COUNTIFS('Таблиця 1'!$B:$B,$A564,'Таблиця 1'!$I:$I,"Mirage")+COUNTIFS('Таблиця 1'!$B:$B,$A564,'Таблиця 1'!$I:$I,"F-16")+COUNTIFS('Таблиця 1'!$B:$B,$A564,'Таблиця 1'!$I:$I,"МіГ-29")+COUNTIFS('Таблиця 1'!$B:$B,$A564,'Таблиця 1'!$I:$I,"Су-25")+COUNTIFS('Таблиця 1'!$B:$B,$A564,'Таблиця 1'!$I:$I,"Су-27"))</f>
        <v/>
      </c>
      <c r="C564">
        <f>IF($A564="","",COUNTIFS('Таблиця 1'!$B:$B,$A564,'Таблиця 1'!$I:$I,"Mirage"))</f>
        <v/>
      </c>
      <c r="D564">
        <f>IF($A564="","",COUNTIFS('Таблиця 1'!$B:$B,$A564,'Таблиця 1'!$I:$I,"F-16"))</f>
        <v/>
      </c>
      <c r="E564">
        <f>IF($A564="","",COUNTIFS('Таблиця 1'!$B:$B,$A564,'Таблиця 1'!$I:$I,"МіГ-29"))</f>
        <v/>
      </c>
      <c r="F564">
        <f>IF($A564="","",COUNTIFS('Таблиця 1'!$B:$B,$A564,'Таблиця 1'!$I:$I,"Су-25"))</f>
        <v/>
      </c>
      <c r="G564">
        <f>IF($A564="","",COUNTIFS('Таблиця 1'!$B:$B,$A564,'Таблиця 1'!$I:$I,"Су-27"))</f>
        <v/>
      </c>
      <c r="H564">
        <f>IF($A564="","",SUMIFS('Таблиця 1'!$K:$K,'Таблиця 1'!$B:$B,$A564,'Таблиця 1'!$I:$I,"Mirage",'Таблиця 1'!$J:$J,"AGM-88")+SUMIFS('Таблиця 1'!$K:$K,'Таблиця 1'!$B:$B,$A564,'Таблиця 1'!$I:$I,"F-16",'Таблиця 1'!$J:$J,"AGM-88")+SUMIFS('Таблиця 1'!$K:$K,'Таблиця 1'!$B:$B,$A564,'Таблиця 1'!$I:$I,"МіГ-29",'Таблиця 1'!$J:$J,"AGM-88")+SUMIFS('Таблиця 1'!$K:$K,'Таблиця 1'!$B:$B,$A564,'Таблиця 1'!$I:$I,"Су-25",'Таблиця 1'!$J:$J,"AGM-88")+SUMIFS('Таблиця 1'!$K:$K,'Таблиця 1'!$B:$B,$A564,'Таблиця 1'!$I:$I,"Су-27",'Таблиця 1'!$J:$J,"AGM-88"))</f>
        <v/>
      </c>
      <c r="I564">
        <f>IF($A564="","",SUMIFS('Таблиця 1'!$K:$K,'Таблиця 1'!$B:$B,$A564,'Таблиця 1'!$I:$I,"Mirage",'Таблиця 1'!$J:$J,"AASM-250")+SUMIFS('Таблиця 1'!$K:$K,'Таблиця 1'!$B:$B,$A564,'Таблиця 1'!$I:$I,"F-16",'Таблиця 1'!$J:$J,"AASM-250")+SUMIFS('Таблиця 1'!$K:$K,'Таблиця 1'!$B:$B,$A564,'Таблиця 1'!$I:$I,"МіГ-29",'Таблиця 1'!$J:$J,"AASM-250")+SUMIFS('Таблиця 1'!$K:$K,'Таблиця 1'!$B:$B,$A564,'Таблиця 1'!$I:$I,"Су-25",'Таблиця 1'!$J:$J,"AASM-250")+SUMIFS('Таблиця 1'!$K:$K,'Таблиця 1'!$B:$B,$A564,'Таблиця 1'!$I:$I,"Су-27",'Таблиця 1'!$J:$J,"AASM-250"))</f>
        <v/>
      </c>
      <c r="J564">
        <f>IF($A564="","",SUMIFS('Таблиця 1'!$K:$K,'Таблиця 1'!$B:$B,$A564,'Таблиця 1'!$I:$I,"Mirage",'Таблиця 1'!$J:$J,"GBU-39")+SUMIFS('Таблиця 1'!$K:$K,'Таблиця 1'!$B:$B,$A564,'Таблиця 1'!$I:$I,"F-16",'Таблиця 1'!$J:$J,"GBU-39")+SUMIFS('Таблиця 1'!$K:$K,'Таблиця 1'!$B:$B,$A564,'Таблиця 1'!$I:$I,"МіГ-29",'Таблиця 1'!$J:$J,"GBU-39")+SUMIFS('Таблиця 1'!$K:$K,'Таблиця 1'!$B:$B,$A564,'Таблиця 1'!$I:$I,"Су-25",'Таблиця 1'!$J:$J,"GBU-39")+SUMIFS('Таблиця 1'!$K:$K,'Таблиця 1'!$B:$B,$A564,'Таблиця 1'!$I:$I,"Су-27",'Таблиця 1'!$J:$J,"GBU-39"))</f>
        <v/>
      </c>
      <c r="K564">
        <f>IF($A564="","",SUMIFS('Таблиця 1'!$K:$K,'Таблиця 1'!$B:$B,$A564,'Таблиця 1'!$I:$I,"Mirage",'Таблиця 1'!$J:$J,"BLU-140")+SUMIFS('Таблиця 1'!$K:$K,'Таблиця 1'!$B:$B,$A564,'Таблиця 1'!$I:$I,"F-16",'Таблиця 1'!$J:$J,"BLU-140")+SUMIFS('Таблиця 1'!$K:$K,'Таблиця 1'!$B:$B,$A564,'Таблиця 1'!$I:$I,"МіГ-29",'Таблиця 1'!$J:$J,"BLU-140")+SUMIFS('Таблиця 1'!$K:$K,'Таблиця 1'!$B:$B,$A564,'Таблиця 1'!$I:$I,"Су-25",'Таблиця 1'!$J:$J,"BLU-140")+SUMIFS('Таблиця 1'!$K:$K,'Таблиця 1'!$B:$B,$A564,'Таблиця 1'!$I:$I,"Су-27",'Таблиця 1'!$J:$J,"BLU-140"))</f>
        <v/>
      </c>
      <c r="L564">
        <f>IF($A564="","",SUMIFS('Таблиця 1'!$K:$K,'Таблиця 1'!$B:$B,$A564,'Таблиця 1'!$I:$I,"Mirage",'Таблиця 1'!$J:$J,"GBU-65")+SUMIFS('Таблиця 1'!$K:$K,'Таблиця 1'!$B:$B,$A564,'Таблиця 1'!$I:$I,"F-16",'Таблиця 1'!$J:$J,"GBU-65")+SUMIFS('Таблиця 1'!$K:$K,'Таблиця 1'!$B:$B,$A564,'Таблиця 1'!$I:$I,"МіГ-29",'Таблиця 1'!$J:$J,"GBU-65")+SUMIFS('Таблиця 1'!$K:$K,'Таблиця 1'!$B:$B,$A564,'Таблиця 1'!$I:$I,"Су-25",'Таблиця 1'!$J:$J,"GBU-65")+SUMIFS('Таблиця 1'!$K:$K,'Таблиця 1'!$B:$B,$A564,'Таблиця 1'!$I:$I,"Су-27",'Таблиця 1'!$J:$J,"GBU-65"))</f>
        <v/>
      </c>
      <c r="M564">
        <f>IF($A564="","",SUMIFS('Таблиця 1'!$K:$K,'Таблиця 1'!$B:$B,$A564,'Таблиця 1'!$I:$I,"Mirage",'Таблиця 1'!$J:$J,"GBU-62")+SUMIFS('Таблиця 1'!$K:$K,'Таблиця 1'!$B:$B,$A564,'Таблиця 1'!$I:$I,"F-16",'Таблиця 1'!$J:$J,"GBU-62")+SUMIFS('Таблиця 1'!$K:$K,'Таблиця 1'!$B:$B,$A564,'Таблиця 1'!$I:$I,"МіГ-29",'Таблиця 1'!$J:$J,"GBU-62")+SUMIFS('Таблиця 1'!$K:$K,'Таблиця 1'!$B:$B,$A564,'Таблиця 1'!$I:$I,"Су-25",'Таблиця 1'!$J:$J,"GBU-62")+SUMIFS('Таблиця 1'!$K:$K,'Таблиця 1'!$B:$B,$A564,'Таблиця 1'!$I:$I,"Су-27",'Таблиця 1'!$J:$J,"GBU-62"))</f>
        <v/>
      </c>
      <c r="N564">
        <f>IF($A564="","",SUMIFS('Таблиця 1'!$K:$K,'Таблиця 1'!$B:$B,$A564,'Таблиця 1'!$I:$I,"Mirage",'Таблиця 1'!$J:$J,"GBU-64")+SUMIFS('Таблиця 1'!$K:$K,'Таблиця 1'!$B:$B,$A564,'Таблиця 1'!$I:$I,"F-16",'Таблиця 1'!$J:$J,"GBU-64")+SUMIFS('Таблиця 1'!$K:$K,'Таблиця 1'!$B:$B,$A564,'Таблиця 1'!$I:$I,"МіГ-29",'Таблиця 1'!$J:$J,"GBU-64")+SUMIFS('Таблиця 1'!$K:$K,'Таблиця 1'!$B:$B,$A564,'Таблиця 1'!$I:$I,"Су-25",'Таблиця 1'!$J:$J,"GBU-64")+SUMIFS('Таблиця 1'!$K:$K,'Таблиця 1'!$B:$B,$A564,'Таблиця 1'!$I:$I,"Су-27",'Таблиця 1'!$J:$J,"GBU-64"))</f>
        <v/>
      </c>
      <c r="O564">
        <f>IF($A564="","",SUMIFS('Таблиця 1'!$K:$K,'Таблиця 1'!$B:$B,$A564,'Таблиця 1'!$I:$I,"Mirage",'Таблиця 1'!$J:$J,"C-13")+SUMIFS('Таблиця 1'!$K:$K,'Таблиця 1'!$B:$B,$A564,'Таблиця 1'!$I:$I,"F-16",'Таблиця 1'!$J:$J,"C-13")+SUMIFS('Таблиця 1'!$K:$K,'Таблиця 1'!$B:$B,$A564,'Таблиця 1'!$I:$I,"МіГ-29",'Таблиця 1'!$J:$J,"C-13")+SUMIFS('Таблиця 1'!$K:$K,'Таблиця 1'!$B:$B,$A564,'Таблиця 1'!$I:$I,"Су-25",'Таблиця 1'!$J:$J,"C-13")+SUMIFS('Таблиця 1'!$K:$K,'Таблиця 1'!$B:$B,$A564,'Таблиця 1'!$I:$I,"Су-27",'Таблиця 1'!$J:$J,"C-13"))</f>
        <v/>
      </c>
      <c r="P564">
        <f>IF($A564="","",SUMIFS('Таблиця 1'!$K:$K,'Таблиця 1'!$B:$B,$A564,'Таблиця 1'!$I:$I,"Mirage",'Таблиця 1'!$J:$J,"MK-32")+SUMIFS('Таблиця 1'!$K:$K,'Таблиця 1'!$B:$B,$A564,'Таблиця 1'!$I:$I,"F-16",'Таблиця 1'!$J:$J,"MK-32")+SUMIFS('Таблиця 1'!$K:$K,'Таблиця 1'!$B:$B,$A564,'Таблиця 1'!$I:$I,"МіГ-29",'Таблиця 1'!$J:$J,"MK-32")+SUMIFS('Таблиця 1'!$K:$K,'Таблиця 1'!$B:$B,$A564,'Таблиця 1'!$I:$I,"Су-25",'Таблиця 1'!$J:$J,"MK-32")+SUMIFS('Таблиця 1'!$K:$K,'Таблиця 1'!$B:$B,$A564,'Таблиця 1'!$I:$I,"Су-27",'Таблиця 1'!$J:$J,"MK-32"))</f>
        <v/>
      </c>
      <c r="Q564">
        <f>IF($A564="","",SUMIFS('Таблиця 1'!$K:$K,'Таблиця 1'!$B:$B,$A564,'Таблиця 1'!$I:$I,"Mirage",'Таблиця 1'!$J:$J,"MK-24")+SUMIFS('Таблиця 1'!$K:$K,'Таблиця 1'!$B:$B,$A564,'Таблиця 1'!$I:$I,"F-16",'Таблиця 1'!$J:$J,"MK-24")+SUMIFS('Таблиця 1'!$K:$K,'Таблиця 1'!$B:$B,$A564,'Таблиця 1'!$I:$I,"МіГ-29",'Таблиця 1'!$J:$J,"MK-24")+SUMIFS('Таблиця 1'!$K:$K,'Таблиця 1'!$B:$B,$A564,'Таблиця 1'!$I:$I,"Су-25",'Таблиця 1'!$J:$J,"MK-24")+SUMIFS('Таблиця 1'!$K:$K,'Таблиця 1'!$B:$B,$A564,'Таблиця 1'!$I:$I,"Су-27",'Таблиця 1'!$J:$J,"MK-24"))</f>
        <v/>
      </c>
      <c r="R564">
        <f>IF($A564="","",COUNTIFS('Таблиця 1'!$B:$B,$A564,'Таблиця 1'!$I:$I,"Mirage",'Таблиця 1'!$L:$L,"Уражено")+COUNTIFS('Таблиця 1'!$B:$B,$A564,'Таблиця 1'!$I:$I,"F-16",'Таблиця 1'!$L:$L,"Уражено")+COUNTIFS('Таблиця 1'!$B:$B,$A564,'Таблиця 1'!$I:$I,"МіГ-29",'Таблиця 1'!$L:$L,"Уражено")+COUNTIFS('Таблиця 1'!$B:$B,$A564,'Таблиця 1'!$I:$I,"Су-25",'Таблиця 1'!$L:$L,"Уражено")+COUNTIFS('Таблиця 1'!$B:$B,$A564,'Таблиця 1'!$I:$I,"Су-27",'Таблиця 1'!$L:$L,"Уражено"))</f>
        <v/>
      </c>
      <c r="S564">
        <f>IF($A564="","",COUNTIFS('Таблиця 1'!$B:$B,$A564,'Таблиця 1'!$I:$I,"Mirage",'Таблиця 1'!$L:$L,"НЕ уражено")+COUNTIFS('Таблиця 1'!$B:$B,$A564,'Таблиця 1'!$I:$I,"F-16",'Таблиця 1'!$L:$L,"НЕ уражено")+COUNTIFS('Таблиця 1'!$B:$B,$A564,'Таблиця 1'!$I:$I,"МіГ-29",'Таблиця 1'!$L:$L,"НЕ уражено")+COUNTIFS('Таблиця 1'!$B:$B,$A564,'Таблиця 1'!$I:$I,"Су-25",'Таблиця 1'!$L:$L,"НЕ уражено")+COUNTIFS('Таблиця 1'!$B:$B,$A564,'Таблиця 1'!$I:$I,"Су-27",'Таблиця 1'!$L:$L,"НЕ уражено"))</f>
        <v/>
      </c>
      <c r="T564">
        <f>IF($A564="","",COUNTIFS('Таблиця 1'!$B:$B,$A564,'Таблиця 1'!$I:$I,"Mirage",'Таблиця 1'!$L:$L,"Дорозвідується")+COUNTIFS('Таблиця 1'!$B:$B,$A564,'Таблиця 1'!$I:$I,"F-16",'Таблиця 1'!$L:$L,"Дорозвідується")+COUNTIFS('Таблиця 1'!$B:$B,$A564,'Таблиця 1'!$I:$I,"МіГ-29",'Таблиця 1'!$L:$L,"Дорозвідується")+COUNTIFS('Таблиця 1'!$B:$B,$A564,'Таблиця 1'!$I:$I,"Су-25",'Таблиця 1'!$L:$L,"Дорозвідується")+COUNTIFS('Таблиця 1'!$B:$B,$A564,'Таблиця 1'!$I:$I,"Су-27",'Таблиця 1'!$L:$L,"Дорозвідується"))</f>
        <v/>
      </c>
    </row>
    <row r="565">
      <c r="A565" s="273">
        <f>IF(A564="","",IF(A564+1&gt;MAX('Таблиця 1'!$B:$B),"",A564+1))</f>
        <v/>
      </c>
      <c r="B565">
        <f>IF($A565="","",COUNTIFS('Таблиця 1'!$B:$B,$A565,'Таблиця 1'!$I:$I,"Mirage")+COUNTIFS('Таблиця 1'!$B:$B,$A565,'Таблиця 1'!$I:$I,"F-16")+COUNTIFS('Таблиця 1'!$B:$B,$A565,'Таблиця 1'!$I:$I,"МіГ-29")+COUNTIFS('Таблиця 1'!$B:$B,$A565,'Таблиця 1'!$I:$I,"Су-25")+COUNTIFS('Таблиця 1'!$B:$B,$A565,'Таблиця 1'!$I:$I,"Су-27"))</f>
        <v/>
      </c>
      <c r="C565">
        <f>IF($A565="","",COUNTIFS('Таблиця 1'!$B:$B,$A565,'Таблиця 1'!$I:$I,"Mirage"))</f>
        <v/>
      </c>
      <c r="D565">
        <f>IF($A565="","",COUNTIFS('Таблиця 1'!$B:$B,$A565,'Таблиця 1'!$I:$I,"F-16"))</f>
        <v/>
      </c>
      <c r="E565">
        <f>IF($A565="","",COUNTIFS('Таблиця 1'!$B:$B,$A565,'Таблиця 1'!$I:$I,"МіГ-29"))</f>
        <v/>
      </c>
      <c r="F565">
        <f>IF($A565="","",COUNTIFS('Таблиця 1'!$B:$B,$A565,'Таблиця 1'!$I:$I,"Су-25"))</f>
        <v/>
      </c>
      <c r="G565">
        <f>IF($A565="","",COUNTIFS('Таблиця 1'!$B:$B,$A565,'Таблиця 1'!$I:$I,"Су-27"))</f>
        <v/>
      </c>
      <c r="H565">
        <f>IF($A565="","",SUMIFS('Таблиця 1'!$K:$K,'Таблиця 1'!$B:$B,$A565,'Таблиця 1'!$I:$I,"Mirage",'Таблиця 1'!$J:$J,"AGM-88")+SUMIFS('Таблиця 1'!$K:$K,'Таблиця 1'!$B:$B,$A565,'Таблиця 1'!$I:$I,"F-16",'Таблиця 1'!$J:$J,"AGM-88")+SUMIFS('Таблиця 1'!$K:$K,'Таблиця 1'!$B:$B,$A565,'Таблиця 1'!$I:$I,"МіГ-29",'Таблиця 1'!$J:$J,"AGM-88")+SUMIFS('Таблиця 1'!$K:$K,'Таблиця 1'!$B:$B,$A565,'Таблиця 1'!$I:$I,"Су-25",'Таблиця 1'!$J:$J,"AGM-88")+SUMIFS('Таблиця 1'!$K:$K,'Таблиця 1'!$B:$B,$A565,'Таблиця 1'!$I:$I,"Су-27",'Таблиця 1'!$J:$J,"AGM-88"))</f>
        <v/>
      </c>
      <c r="I565">
        <f>IF($A565="","",SUMIFS('Таблиця 1'!$K:$K,'Таблиця 1'!$B:$B,$A565,'Таблиця 1'!$I:$I,"Mirage",'Таблиця 1'!$J:$J,"AASM-250")+SUMIFS('Таблиця 1'!$K:$K,'Таблиця 1'!$B:$B,$A565,'Таблиця 1'!$I:$I,"F-16",'Таблиця 1'!$J:$J,"AASM-250")+SUMIFS('Таблиця 1'!$K:$K,'Таблиця 1'!$B:$B,$A565,'Таблиця 1'!$I:$I,"МіГ-29",'Таблиця 1'!$J:$J,"AASM-250")+SUMIFS('Таблиця 1'!$K:$K,'Таблиця 1'!$B:$B,$A565,'Таблиця 1'!$I:$I,"Су-25",'Таблиця 1'!$J:$J,"AASM-250")+SUMIFS('Таблиця 1'!$K:$K,'Таблиця 1'!$B:$B,$A565,'Таблиця 1'!$I:$I,"Су-27",'Таблиця 1'!$J:$J,"AASM-250"))</f>
        <v/>
      </c>
      <c r="J565">
        <f>IF($A565="","",SUMIFS('Таблиця 1'!$K:$K,'Таблиця 1'!$B:$B,$A565,'Таблиця 1'!$I:$I,"Mirage",'Таблиця 1'!$J:$J,"GBU-39")+SUMIFS('Таблиця 1'!$K:$K,'Таблиця 1'!$B:$B,$A565,'Таблиця 1'!$I:$I,"F-16",'Таблиця 1'!$J:$J,"GBU-39")+SUMIFS('Таблиця 1'!$K:$K,'Таблиця 1'!$B:$B,$A565,'Таблиця 1'!$I:$I,"МіГ-29",'Таблиця 1'!$J:$J,"GBU-39")+SUMIFS('Таблиця 1'!$K:$K,'Таблиця 1'!$B:$B,$A565,'Таблиця 1'!$I:$I,"Су-25",'Таблиця 1'!$J:$J,"GBU-39")+SUMIFS('Таблиця 1'!$K:$K,'Таблиця 1'!$B:$B,$A565,'Таблиця 1'!$I:$I,"Су-27",'Таблиця 1'!$J:$J,"GBU-39"))</f>
        <v/>
      </c>
      <c r="K565">
        <f>IF($A565="","",SUMIFS('Таблиця 1'!$K:$K,'Таблиця 1'!$B:$B,$A565,'Таблиця 1'!$I:$I,"Mirage",'Таблиця 1'!$J:$J,"BLU-140")+SUMIFS('Таблиця 1'!$K:$K,'Таблиця 1'!$B:$B,$A565,'Таблиця 1'!$I:$I,"F-16",'Таблиця 1'!$J:$J,"BLU-140")+SUMIFS('Таблиця 1'!$K:$K,'Таблиця 1'!$B:$B,$A565,'Таблиця 1'!$I:$I,"МіГ-29",'Таблиця 1'!$J:$J,"BLU-140")+SUMIFS('Таблиця 1'!$K:$K,'Таблиця 1'!$B:$B,$A565,'Таблиця 1'!$I:$I,"Су-25",'Таблиця 1'!$J:$J,"BLU-140")+SUMIFS('Таблиця 1'!$K:$K,'Таблиця 1'!$B:$B,$A565,'Таблиця 1'!$I:$I,"Су-27",'Таблиця 1'!$J:$J,"BLU-140"))</f>
        <v/>
      </c>
      <c r="L565">
        <f>IF($A565="","",SUMIFS('Таблиця 1'!$K:$K,'Таблиця 1'!$B:$B,$A565,'Таблиця 1'!$I:$I,"Mirage",'Таблиця 1'!$J:$J,"GBU-65")+SUMIFS('Таблиця 1'!$K:$K,'Таблиця 1'!$B:$B,$A565,'Таблиця 1'!$I:$I,"F-16",'Таблиця 1'!$J:$J,"GBU-65")+SUMIFS('Таблиця 1'!$K:$K,'Таблиця 1'!$B:$B,$A565,'Таблиця 1'!$I:$I,"МіГ-29",'Таблиця 1'!$J:$J,"GBU-65")+SUMIFS('Таблиця 1'!$K:$K,'Таблиця 1'!$B:$B,$A565,'Таблиця 1'!$I:$I,"Су-25",'Таблиця 1'!$J:$J,"GBU-65")+SUMIFS('Таблиця 1'!$K:$K,'Таблиця 1'!$B:$B,$A565,'Таблиця 1'!$I:$I,"Су-27",'Таблиця 1'!$J:$J,"GBU-65"))</f>
        <v/>
      </c>
      <c r="M565">
        <f>IF($A565="","",SUMIFS('Таблиця 1'!$K:$K,'Таблиця 1'!$B:$B,$A565,'Таблиця 1'!$I:$I,"Mirage",'Таблиця 1'!$J:$J,"GBU-62")+SUMIFS('Таблиця 1'!$K:$K,'Таблиця 1'!$B:$B,$A565,'Таблиця 1'!$I:$I,"F-16",'Таблиця 1'!$J:$J,"GBU-62")+SUMIFS('Таблиця 1'!$K:$K,'Таблиця 1'!$B:$B,$A565,'Таблиця 1'!$I:$I,"МіГ-29",'Таблиця 1'!$J:$J,"GBU-62")+SUMIFS('Таблиця 1'!$K:$K,'Таблиця 1'!$B:$B,$A565,'Таблиця 1'!$I:$I,"Су-25",'Таблиця 1'!$J:$J,"GBU-62")+SUMIFS('Таблиця 1'!$K:$K,'Таблиця 1'!$B:$B,$A565,'Таблиця 1'!$I:$I,"Су-27",'Таблиця 1'!$J:$J,"GBU-62"))</f>
        <v/>
      </c>
      <c r="N565">
        <f>IF($A565="","",SUMIFS('Таблиця 1'!$K:$K,'Таблиця 1'!$B:$B,$A565,'Таблиця 1'!$I:$I,"Mirage",'Таблиця 1'!$J:$J,"GBU-64")+SUMIFS('Таблиця 1'!$K:$K,'Таблиця 1'!$B:$B,$A565,'Таблиця 1'!$I:$I,"F-16",'Таблиця 1'!$J:$J,"GBU-64")+SUMIFS('Таблиця 1'!$K:$K,'Таблиця 1'!$B:$B,$A565,'Таблиця 1'!$I:$I,"МіГ-29",'Таблиця 1'!$J:$J,"GBU-64")+SUMIFS('Таблиця 1'!$K:$K,'Таблиця 1'!$B:$B,$A565,'Таблиця 1'!$I:$I,"Су-25",'Таблиця 1'!$J:$J,"GBU-64")+SUMIFS('Таблиця 1'!$K:$K,'Таблиця 1'!$B:$B,$A565,'Таблиця 1'!$I:$I,"Су-27",'Таблиця 1'!$J:$J,"GBU-64"))</f>
        <v/>
      </c>
      <c r="O565">
        <f>IF($A565="","",SUMIFS('Таблиця 1'!$K:$K,'Таблиця 1'!$B:$B,$A565,'Таблиця 1'!$I:$I,"Mirage",'Таблиця 1'!$J:$J,"C-13")+SUMIFS('Таблиця 1'!$K:$K,'Таблиця 1'!$B:$B,$A565,'Таблиця 1'!$I:$I,"F-16",'Таблиця 1'!$J:$J,"C-13")+SUMIFS('Таблиця 1'!$K:$K,'Таблиця 1'!$B:$B,$A565,'Таблиця 1'!$I:$I,"МіГ-29",'Таблиця 1'!$J:$J,"C-13")+SUMIFS('Таблиця 1'!$K:$K,'Таблиця 1'!$B:$B,$A565,'Таблиця 1'!$I:$I,"Су-25",'Таблиця 1'!$J:$J,"C-13")+SUMIFS('Таблиця 1'!$K:$K,'Таблиця 1'!$B:$B,$A565,'Таблиця 1'!$I:$I,"Су-27",'Таблиця 1'!$J:$J,"C-13"))</f>
        <v/>
      </c>
      <c r="P565">
        <f>IF($A565="","",SUMIFS('Таблиця 1'!$K:$K,'Таблиця 1'!$B:$B,$A565,'Таблиця 1'!$I:$I,"Mirage",'Таблиця 1'!$J:$J,"MK-32")+SUMIFS('Таблиця 1'!$K:$K,'Таблиця 1'!$B:$B,$A565,'Таблиця 1'!$I:$I,"F-16",'Таблиця 1'!$J:$J,"MK-32")+SUMIFS('Таблиця 1'!$K:$K,'Таблиця 1'!$B:$B,$A565,'Таблиця 1'!$I:$I,"МіГ-29",'Таблиця 1'!$J:$J,"MK-32")+SUMIFS('Таблиця 1'!$K:$K,'Таблиця 1'!$B:$B,$A565,'Таблиця 1'!$I:$I,"Су-25",'Таблиця 1'!$J:$J,"MK-32")+SUMIFS('Таблиця 1'!$K:$K,'Таблиця 1'!$B:$B,$A565,'Таблиця 1'!$I:$I,"Су-27",'Таблиця 1'!$J:$J,"MK-32"))</f>
        <v/>
      </c>
      <c r="Q565">
        <f>IF($A565="","",SUMIFS('Таблиця 1'!$K:$K,'Таблиця 1'!$B:$B,$A565,'Таблиця 1'!$I:$I,"Mirage",'Таблиця 1'!$J:$J,"MK-24")+SUMIFS('Таблиця 1'!$K:$K,'Таблиця 1'!$B:$B,$A565,'Таблиця 1'!$I:$I,"F-16",'Таблиця 1'!$J:$J,"MK-24")+SUMIFS('Таблиця 1'!$K:$K,'Таблиця 1'!$B:$B,$A565,'Таблиця 1'!$I:$I,"МіГ-29",'Таблиця 1'!$J:$J,"MK-24")+SUMIFS('Таблиця 1'!$K:$K,'Таблиця 1'!$B:$B,$A565,'Таблиця 1'!$I:$I,"Су-25",'Таблиця 1'!$J:$J,"MK-24")+SUMIFS('Таблиця 1'!$K:$K,'Таблиця 1'!$B:$B,$A565,'Таблиця 1'!$I:$I,"Су-27",'Таблиця 1'!$J:$J,"MK-24"))</f>
        <v/>
      </c>
      <c r="R565">
        <f>IF($A565="","",COUNTIFS('Таблиця 1'!$B:$B,$A565,'Таблиця 1'!$I:$I,"Mirage",'Таблиця 1'!$L:$L,"Уражено")+COUNTIFS('Таблиця 1'!$B:$B,$A565,'Таблиця 1'!$I:$I,"F-16",'Таблиця 1'!$L:$L,"Уражено")+COUNTIFS('Таблиця 1'!$B:$B,$A565,'Таблиця 1'!$I:$I,"МіГ-29",'Таблиця 1'!$L:$L,"Уражено")+COUNTIFS('Таблиця 1'!$B:$B,$A565,'Таблиця 1'!$I:$I,"Су-25",'Таблиця 1'!$L:$L,"Уражено")+COUNTIFS('Таблиця 1'!$B:$B,$A565,'Таблиця 1'!$I:$I,"Су-27",'Таблиця 1'!$L:$L,"Уражено"))</f>
        <v/>
      </c>
      <c r="S565">
        <f>IF($A565="","",COUNTIFS('Таблиця 1'!$B:$B,$A565,'Таблиця 1'!$I:$I,"Mirage",'Таблиця 1'!$L:$L,"НЕ уражено")+COUNTIFS('Таблиця 1'!$B:$B,$A565,'Таблиця 1'!$I:$I,"F-16",'Таблиця 1'!$L:$L,"НЕ уражено")+COUNTIFS('Таблиця 1'!$B:$B,$A565,'Таблиця 1'!$I:$I,"МіГ-29",'Таблиця 1'!$L:$L,"НЕ уражено")+COUNTIFS('Таблиця 1'!$B:$B,$A565,'Таблиця 1'!$I:$I,"Су-25",'Таблиця 1'!$L:$L,"НЕ уражено")+COUNTIFS('Таблиця 1'!$B:$B,$A565,'Таблиця 1'!$I:$I,"Су-27",'Таблиця 1'!$L:$L,"НЕ уражено"))</f>
        <v/>
      </c>
      <c r="T565">
        <f>IF($A565="","",COUNTIFS('Таблиця 1'!$B:$B,$A565,'Таблиця 1'!$I:$I,"Mirage",'Таблиця 1'!$L:$L,"Дорозвідується")+COUNTIFS('Таблиця 1'!$B:$B,$A565,'Таблиця 1'!$I:$I,"F-16",'Таблиця 1'!$L:$L,"Дорозвідується")+COUNTIFS('Таблиця 1'!$B:$B,$A565,'Таблиця 1'!$I:$I,"МіГ-29",'Таблиця 1'!$L:$L,"Дорозвідується")+COUNTIFS('Таблиця 1'!$B:$B,$A565,'Таблиця 1'!$I:$I,"Су-25",'Таблиця 1'!$L:$L,"Дорозвідується")+COUNTIFS('Таблиця 1'!$B:$B,$A565,'Таблиця 1'!$I:$I,"Су-27",'Таблиця 1'!$L:$L,"Дорозвідується"))</f>
        <v/>
      </c>
    </row>
    <row r="566">
      <c r="A566" s="273">
        <f>IF(A565="","",IF(A565+1&gt;MAX('Таблиця 1'!$B:$B),"",A565+1))</f>
        <v/>
      </c>
      <c r="B566">
        <f>IF($A566="","",COUNTIFS('Таблиця 1'!$B:$B,$A566,'Таблиця 1'!$I:$I,"Mirage")+COUNTIFS('Таблиця 1'!$B:$B,$A566,'Таблиця 1'!$I:$I,"F-16")+COUNTIFS('Таблиця 1'!$B:$B,$A566,'Таблиця 1'!$I:$I,"МіГ-29")+COUNTIFS('Таблиця 1'!$B:$B,$A566,'Таблиця 1'!$I:$I,"Су-25")+COUNTIFS('Таблиця 1'!$B:$B,$A566,'Таблиця 1'!$I:$I,"Су-27"))</f>
        <v/>
      </c>
      <c r="C566">
        <f>IF($A566="","",COUNTIFS('Таблиця 1'!$B:$B,$A566,'Таблиця 1'!$I:$I,"Mirage"))</f>
        <v/>
      </c>
      <c r="D566">
        <f>IF($A566="","",COUNTIFS('Таблиця 1'!$B:$B,$A566,'Таблиця 1'!$I:$I,"F-16"))</f>
        <v/>
      </c>
      <c r="E566">
        <f>IF($A566="","",COUNTIFS('Таблиця 1'!$B:$B,$A566,'Таблиця 1'!$I:$I,"МіГ-29"))</f>
        <v/>
      </c>
      <c r="F566">
        <f>IF($A566="","",COUNTIFS('Таблиця 1'!$B:$B,$A566,'Таблиця 1'!$I:$I,"Су-25"))</f>
        <v/>
      </c>
      <c r="G566">
        <f>IF($A566="","",COUNTIFS('Таблиця 1'!$B:$B,$A566,'Таблиця 1'!$I:$I,"Су-27"))</f>
        <v/>
      </c>
      <c r="H566">
        <f>IF($A566="","",SUMIFS('Таблиця 1'!$K:$K,'Таблиця 1'!$B:$B,$A566,'Таблиця 1'!$I:$I,"Mirage",'Таблиця 1'!$J:$J,"AGM-88")+SUMIFS('Таблиця 1'!$K:$K,'Таблиця 1'!$B:$B,$A566,'Таблиця 1'!$I:$I,"F-16",'Таблиця 1'!$J:$J,"AGM-88")+SUMIFS('Таблиця 1'!$K:$K,'Таблиця 1'!$B:$B,$A566,'Таблиця 1'!$I:$I,"МіГ-29",'Таблиця 1'!$J:$J,"AGM-88")+SUMIFS('Таблиця 1'!$K:$K,'Таблиця 1'!$B:$B,$A566,'Таблиця 1'!$I:$I,"Су-25",'Таблиця 1'!$J:$J,"AGM-88")+SUMIFS('Таблиця 1'!$K:$K,'Таблиця 1'!$B:$B,$A566,'Таблиця 1'!$I:$I,"Су-27",'Таблиця 1'!$J:$J,"AGM-88"))</f>
        <v/>
      </c>
      <c r="I566">
        <f>IF($A566="","",SUMIFS('Таблиця 1'!$K:$K,'Таблиця 1'!$B:$B,$A566,'Таблиця 1'!$I:$I,"Mirage",'Таблиця 1'!$J:$J,"AASM-250")+SUMIFS('Таблиця 1'!$K:$K,'Таблиця 1'!$B:$B,$A566,'Таблиця 1'!$I:$I,"F-16",'Таблиця 1'!$J:$J,"AASM-250")+SUMIFS('Таблиця 1'!$K:$K,'Таблиця 1'!$B:$B,$A566,'Таблиця 1'!$I:$I,"МіГ-29",'Таблиця 1'!$J:$J,"AASM-250")+SUMIFS('Таблиця 1'!$K:$K,'Таблиця 1'!$B:$B,$A566,'Таблиця 1'!$I:$I,"Су-25",'Таблиця 1'!$J:$J,"AASM-250")+SUMIFS('Таблиця 1'!$K:$K,'Таблиця 1'!$B:$B,$A566,'Таблиця 1'!$I:$I,"Су-27",'Таблиця 1'!$J:$J,"AASM-250"))</f>
        <v/>
      </c>
      <c r="J566">
        <f>IF($A566="","",SUMIFS('Таблиця 1'!$K:$K,'Таблиця 1'!$B:$B,$A566,'Таблиця 1'!$I:$I,"Mirage",'Таблиця 1'!$J:$J,"GBU-39")+SUMIFS('Таблиця 1'!$K:$K,'Таблиця 1'!$B:$B,$A566,'Таблиця 1'!$I:$I,"F-16",'Таблиця 1'!$J:$J,"GBU-39")+SUMIFS('Таблиця 1'!$K:$K,'Таблиця 1'!$B:$B,$A566,'Таблиця 1'!$I:$I,"МіГ-29",'Таблиця 1'!$J:$J,"GBU-39")+SUMIFS('Таблиця 1'!$K:$K,'Таблиця 1'!$B:$B,$A566,'Таблиця 1'!$I:$I,"Су-25",'Таблиця 1'!$J:$J,"GBU-39")+SUMIFS('Таблиця 1'!$K:$K,'Таблиця 1'!$B:$B,$A566,'Таблиця 1'!$I:$I,"Су-27",'Таблиця 1'!$J:$J,"GBU-39"))</f>
        <v/>
      </c>
      <c r="K566">
        <f>IF($A566="","",SUMIFS('Таблиця 1'!$K:$K,'Таблиця 1'!$B:$B,$A566,'Таблиця 1'!$I:$I,"Mirage",'Таблиця 1'!$J:$J,"BLU-140")+SUMIFS('Таблиця 1'!$K:$K,'Таблиця 1'!$B:$B,$A566,'Таблиця 1'!$I:$I,"F-16",'Таблиця 1'!$J:$J,"BLU-140")+SUMIFS('Таблиця 1'!$K:$K,'Таблиця 1'!$B:$B,$A566,'Таблиця 1'!$I:$I,"МіГ-29",'Таблиця 1'!$J:$J,"BLU-140")+SUMIFS('Таблиця 1'!$K:$K,'Таблиця 1'!$B:$B,$A566,'Таблиця 1'!$I:$I,"Су-25",'Таблиця 1'!$J:$J,"BLU-140")+SUMIFS('Таблиця 1'!$K:$K,'Таблиця 1'!$B:$B,$A566,'Таблиця 1'!$I:$I,"Су-27",'Таблиця 1'!$J:$J,"BLU-140"))</f>
        <v/>
      </c>
      <c r="L566">
        <f>IF($A566="","",SUMIFS('Таблиця 1'!$K:$K,'Таблиця 1'!$B:$B,$A566,'Таблиця 1'!$I:$I,"Mirage",'Таблиця 1'!$J:$J,"GBU-65")+SUMIFS('Таблиця 1'!$K:$K,'Таблиця 1'!$B:$B,$A566,'Таблиця 1'!$I:$I,"F-16",'Таблиця 1'!$J:$J,"GBU-65")+SUMIFS('Таблиця 1'!$K:$K,'Таблиця 1'!$B:$B,$A566,'Таблиця 1'!$I:$I,"МіГ-29",'Таблиця 1'!$J:$J,"GBU-65")+SUMIFS('Таблиця 1'!$K:$K,'Таблиця 1'!$B:$B,$A566,'Таблиця 1'!$I:$I,"Су-25",'Таблиця 1'!$J:$J,"GBU-65")+SUMIFS('Таблиця 1'!$K:$K,'Таблиця 1'!$B:$B,$A566,'Таблиця 1'!$I:$I,"Су-27",'Таблиця 1'!$J:$J,"GBU-65"))</f>
        <v/>
      </c>
      <c r="M566">
        <f>IF($A566="","",SUMIFS('Таблиця 1'!$K:$K,'Таблиця 1'!$B:$B,$A566,'Таблиця 1'!$I:$I,"Mirage",'Таблиця 1'!$J:$J,"GBU-62")+SUMIFS('Таблиця 1'!$K:$K,'Таблиця 1'!$B:$B,$A566,'Таблиця 1'!$I:$I,"F-16",'Таблиця 1'!$J:$J,"GBU-62")+SUMIFS('Таблиця 1'!$K:$K,'Таблиця 1'!$B:$B,$A566,'Таблиця 1'!$I:$I,"МіГ-29",'Таблиця 1'!$J:$J,"GBU-62")+SUMIFS('Таблиця 1'!$K:$K,'Таблиця 1'!$B:$B,$A566,'Таблиця 1'!$I:$I,"Су-25",'Таблиця 1'!$J:$J,"GBU-62")+SUMIFS('Таблиця 1'!$K:$K,'Таблиця 1'!$B:$B,$A566,'Таблиця 1'!$I:$I,"Су-27",'Таблиця 1'!$J:$J,"GBU-62"))</f>
        <v/>
      </c>
      <c r="N566">
        <f>IF($A566="","",SUMIFS('Таблиця 1'!$K:$K,'Таблиця 1'!$B:$B,$A566,'Таблиця 1'!$I:$I,"Mirage",'Таблиця 1'!$J:$J,"GBU-64")+SUMIFS('Таблиця 1'!$K:$K,'Таблиця 1'!$B:$B,$A566,'Таблиця 1'!$I:$I,"F-16",'Таблиця 1'!$J:$J,"GBU-64")+SUMIFS('Таблиця 1'!$K:$K,'Таблиця 1'!$B:$B,$A566,'Таблиця 1'!$I:$I,"МіГ-29",'Таблиця 1'!$J:$J,"GBU-64")+SUMIFS('Таблиця 1'!$K:$K,'Таблиця 1'!$B:$B,$A566,'Таблиця 1'!$I:$I,"Су-25",'Таблиця 1'!$J:$J,"GBU-64")+SUMIFS('Таблиця 1'!$K:$K,'Таблиця 1'!$B:$B,$A566,'Таблиця 1'!$I:$I,"Су-27",'Таблиця 1'!$J:$J,"GBU-64"))</f>
        <v/>
      </c>
      <c r="O566">
        <f>IF($A566="","",SUMIFS('Таблиця 1'!$K:$K,'Таблиця 1'!$B:$B,$A566,'Таблиця 1'!$I:$I,"Mirage",'Таблиця 1'!$J:$J,"C-13")+SUMIFS('Таблиця 1'!$K:$K,'Таблиця 1'!$B:$B,$A566,'Таблиця 1'!$I:$I,"F-16",'Таблиця 1'!$J:$J,"C-13")+SUMIFS('Таблиця 1'!$K:$K,'Таблиця 1'!$B:$B,$A566,'Таблиця 1'!$I:$I,"МіГ-29",'Таблиця 1'!$J:$J,"C-13")+SUMIFS('Таблиця 1'!$K:$K,'Таблиця 1'!$B:$B,$A566,'Таблиця 1'!$I:$I,"Су-25",'Таблиця 1'!$J:$J,"C-13")+SUMIFS('Таблиця 1'!$K:$K,'Таблиця 1'!$B:$B,$A566,'Таблиця 1'!$I:$I,"Су-27",'Таблиця 1'!$J:$J,"C-13"))</f>
        <v/>
      </c>
      <c r="P566">
        <f>IF($A566="","",SUMIFS('Таблиця 1'!$K:$K,'Таблиця 1'!$B:$B,$A566,'Таблиця 1'!$I:$I,"Mirage",'Таблиця 1'!$J:$J,"MK-32")+SUMIFS('Таблиця 1'!$K:$K,'Таблиця 1'!$B:$B,$A566,'Таблиця 1'!$I:$I,"F-16",'Таблиця 1'!$J:$J,"MK-32")+SUMIFS('Таблиця 1'!$K:$K,'Таблиця 1'!$B:$B,$A566,'Таблиця 1'!$I:$I,"МіГ-29",'Таблиця 1'!$J:$J,"MK-32")+SUMIFS('Таблиця 1'!$K:$K,'Таблиця 1'!$B:$B,$A566,'Таблиця 1'!$I:$I,"Су-25",'Таблиця 1'!$J:$J,"MK-32")+SUMIFS('Таблиця 1'!$K:$K,'Таблиця 1'!$B:$B,$A566,'Таблиця 1'!$I:$I,"Су-27",'Таблиця 1'!$J:$J,"MK-32"))</f>
        <v/>
      </c>
      <c r="Q566">
        <f>IF($A566="","",SUMIFS('Таблиця 1'!$K:$K,'Таблиця 1'!$B:$B,$A566,'Таблиця 1'!$I:$I,"Mirage",'Таблиця 1'!$J:$J,"MK-24")+SUMIFS('Таблиця 1'!$K:$K,'Таблиця 1'!$B:$B,$A566,'Таблиця 1'!$I:$I,"F-16",'Таблиця 1'!$J:$J,"MK-24")+SUMIFS('Таблиця 1'!$K:$K,'Таблиця 1'!$B:$B,$A566,'Таблиця 1'!$I:$I,"МіГ-29",'Таблиця 1'!$J:$J,"MK-24")+SUMIFS('Таблиця 1'!$K:$K,'Таблиця 1'!$B:$B,$A566,'Таблиця 1'!$I:$I,"Су-25",'Таблиця 1'!$J:$J,"MK-24")+SUMIFS('Таблиця 1'!$K:$K,'Таблиця 1'!$B:$B,$A566,'Таблиця 1'!$I:$I,"Су-27",'Таблиця 1'!$J:$J,"MK-24"))</f>
        <v/>
      </c>
      <c r="R566">
        <f>IF($A566="","",COUNTIFS('Таблиця 1'!$B:$B,$A566,'Таблиця 1'!$I:$I,"Mirage",'Таблиця 1'!$L:$L,"Уражено")+COUNTIFS('Таблиця 1'!$B:$B,$A566,'Таблиця 1'!$I:$I,"F-16",'Таблиця 1'!$L:$L,"Уражено")+COUNTIFS('Таблиця 1'!$B:$B,$A566,'Таблиця 1'!$I:$I,"МіГ-29",'Таблиця 1'!$L:$L,"Уражено")+COUNTIFS('Таблиця 1'!$B:$B,$A566,'Таблиця 1'!$I:$I,"Су-25",'Таблиця 1'!$L:$L,"Уражено")+COUNTIFS('Таблиця 1'!$B:$B,$A566,'Таблиця 1'!$I:$I,"Су-27",'Таблиця 1'!$L:$L,"Уражено"))</f>
        <v/>
      </c>
      <c r="S566">
        <f>IF($A566="","",COUNTIFS('Таблиця 1'!$B:$B,$A566,'Таблиця 1'!$I:$I,"Mirage",'Таблиця 1'!$L:$L,"НЕ уражено")+COUNTIFS('Таблиця 1'!$B:$B,$A566,'Таблиця 1'!$I:$I,"F-16",'Таблиця 1'!$L:$L,"НЕ уражено")+COUNTIFS('Таблиця 1'!$B:$B,$A566,'Таблиця 1'!$I:$I,"МіГ-29",'Таблиця 1'!$L:$L,"НЕ уражено")+COUNTIFS('Таблиця 1'!$B:$B,$A566,'Таблиця 1'!$I:$I,"Су-25",'Таблиця 1'!$L:$L,"НЕ уражено")+COUNTIFS('Таблиця 1'!$B:$B,$A566,'Таблиця 1'!$I:$I,"Су-27",'Таблиця 1'!$L:$L,"НЕ уражено"))</f>
        <v/>
      </c>
      <c r="T566">
        <f>IF($A566="","",COUNTIFS('Таблиця 1'!$B:$B,$A566,'Таблиця 1'!$I:$I,"Mirage",'Таблиця 1'!$L:$L,"Дорозвідується")+COUNTIFS('Таблиця 1'!$B:$B,$A566,'Таблиця 1'!$I:$I,"F-16",'Таблиця 1'!$L:$L,"Дорозвідується")+COUNTIFS('Таблиця 1'!$B:$B,$A566,'Таблиця 1'!$I:$I,"МіГ-29",'Таблиця 1'!$L:$L,"Дорозвідується")+COUNTIFS('Таблиця 1'!$B:$B,$A566,'Таблиця 1'!$I:$I,"Су-25",'Таблиця 1'!$L:$L,"Дорозвідується")+COUNTIFS('Таблиця 1'!$B:$B,$A566,'Таблиця 1'!$I:$I,"Су-27",'Таблиця 1'!$L:$L,"Дорозвідується"))</f>
        <v/>
      </c>
    </row>
    <row r="567">
      <c r="A567" s="273">
        <f>IF(A566="","",IF(A566+1&gt;MAX('Таблиця 1'!$B:$B),"",A566+1))</f>
        <v/>
      </c>
      <c r="B567">
        <f>IF($A567="","",COUNTIFS('Таблиця 1'!$B:$B,$A567,'Таблиця 1'!$I:$I,"Mirage")+COUNTIFS('Таблиця 1'!$B:$B,$A567,'Таблиця 1'!$I:$I,"F-16")+COUNTIFS('Таблиця 1'!$B:$B,$A567,'Таблиця 1'!$I:$I,"МіГ-29")+COUNTIFS('Таблиця 1'!$B:$B,$A567,'Таблиця 1'!$I:$I,"Су-25")+COUNTIFS('Таблиця 1'!$B:$B,$A567,'Таблиця 1'!$I:$I,"Су-27"))</f>
        <v/>
      </c>
      <c r="C567">
        <f>IF($A567="","",COUNTIFS('Таблиця 1'!$B:$B,$A567,'Таблиця 1'!$I:$I,"Mirage"))</f>
        <v/>
      </c>
      <c r="D567">
        <f>IF($A567="","",COUNTIFS('Таблиця 1'!$B:$B,$A567,'Таблиця 1'!$I:$I,"F-16"))</f>
        <v/>
      </c>
      <c r="E567">
        <f>IF($A567="","",COUNTIFS('Таблиця 1'!$B:$B,$A567,'Таблиця 1'!$I:$I,"МіГ-29"))</f>
        <v/>
      </c>
      <c r="F567">
        <f>IF($A567="","",COUNTIFS('Таблиця 1'!$B:$B,$A567,'Таблиця 1'!$I:$I,"Су-25"))</f>
        <v/>
      </c>
      <c r="G567">
        <f>IF($A567="","",COUNTIFS('Таблиця 1'!$B:$B,$A567,'Таблиця 1'!$I:$I,"Су-27"))</f>
        <v/>
      </c>
      <c r="H567">
        <f>IF($A567="","",SUMIFS('Таблиця 1'!$K:$K,'Таблиця 1'!$B:$B,$A567,'Таблиця 1'!$I:$I,"Mirage",'Таблиця 1'!$J:$J,"AGM-88")+SUMIFS('Таблиця 1'!$K:$K,'Таблиця 1'!$B:$B,$A567,'Таблиця 1'!$I:$I,"F-16",'Таблиця 1'!$J:$J,"AGM-88")+SUMIFS('Таблиця 1'!$K:$K,'Таблиця 1'!$B:$B,$A567,'Таблиця 1'!$I:$I,"МіГ-29",'Таблиця 1'!$J:$J,"AGM-88")+SUMIFS('Таблиця 1'!$K:$K,'Таблиця 1'!$B:$B,$A567,'Таблиця 1'!$I:$I,"Су-25",'Таблиця 1'!$J:$J,"AGM-88")+SUMIFS('Таблиця 1'!$K:$K,'Таблиця 1'!$B:$B,$A567,'Таблиця 1'!$I:$I,"Су-27",'Таблиця 1'!$J:$J,"AGM-88"))</f>
        <v/>
      </c>
      <c r="I567">
        <f>IF($A567="","",SUMIFS('Таблиця 1'!$K:$K,'Таблиця 1'!$B:$B,$A567,'Таблиця 1'!$I:$I,"Mirage",'Таблиця 1'!$J:$J,"AASM-250")+SUMIFS('Таблиця 1'!$K:$K,'Таблиця 1'!$B:$B,$A567,'Таблиця 1'!$I:$I,"F-16",'Таблиця 1'!$J:$J,"AASM-250")+SUMIFS('Таблиця 1'!$K:$K,'Таблиця 1'!$B:$B,$A567,'Таблиця 1'!$I:$I,"МіГ-29",'Таблиця 1'!$J:$J,"AASM-250")+SUMIFS('Таблиця 1'!$K:$K,'Таблиця 1'!$B:$B,$A567,'Таблиця 1'!$I:$I,"Су-25",'Таблиця 1'!$J:$J,"AASM-250")+SUMIFS('Таблиця 1'!$K:$K,'Таблиця 1'!$B:$B,$A567,'Таблиця 1'!$I:$I,"Су-27",'Таблиця 1'!$J:$J,"AASM-250"))</f>
        <v/>
      </c>
      <c r="J567">
        <f>IF($A567="","",SUMIFS('Таблиця 1'!$K:$K,'Таблиця 1'!$B:$B,$A567,'Таблиця 1'!$I:$I,"Mirage",'Таблиця 1'!$J:$J,"GBU-39")+SUMIFS('Таблиця 1'!$K:$K,'Таблиця 1'!$B:$B,$A567,'Таблиця 1'!$I:$I,"F-16",'Таблиця 1'!$J:$J,"GBU-39")+SUMIFS('Таблиця 1'!$K:$K,'Таблиця 1'!$B:$B,$A567,'Таблиця 1'!$I:$I,"МіГ-29",'Таблиця 1'!$J:$J,"GBU-39")+SUMIFS('Таблиця 1'!$K:$K,'Таблиця 1'!$B:$B,$A567,'Таблиця 1'!$I:$I,"Су-25",'Таблиця 1'!$J:$J,"GBU-39")+SUMIFS('Таблиця 1'!$K:$K,'Таблиця 1'!$B:$B,$A567,'Таблиця 1'!$I:$I,"Су-27",'Таблиця 1'!$J:$J,"GBU-39"))</f>
        <v/>
      </c>
      <c r="K567">
        <f>IF($A567="","",SUMIFS('Таблиця 1'!$K:$K,'Таблиця 1'!$B:$B,$A567,'Таблиця 1'!$I:$I,"Mirage",'Таблиця 1'!$J:$J,"BLU-140")+SUMIFS('Таблиця 1'!$K:$K,'Таблиця 1'!$B:$B,$A567,'Таблиця 1'!$I:$I,"F-16",'Таблиця 1'!$J:$J,"BLU-140")+SUMIFS('Таблиця 1'!$K:$K,'Таблиця 1'!$B:$B,$A567,'Таблиця 1'!$I:$I,"МіГ-29",'Таблиця 1'!$J:$J,"BLU-140")+SUMIFS('Таблиця 1'!$K:$K,'Таблиця 1'!$B:$B,$A567,'Таблиця 1'!$I:$I,"Су-25",'Таблиця 1'!$J:$J,"BLU-140")+SUMIFS('Таблиця 1'!$K:$K,'Таблиця 1'!$B:$B,$A567,'Таблиця 1'!$I:$I,"Су-27",'Таблиця 1'!$J:$J,"BLU-140"))</f>
        <v/>
      </c>
      <c r="L567">
        <f>IF($A567="","",SUMIFS('Таблиця 1'!$K:$K,'Таблиця 1'!$B:$B,$A567,'Таблиця 1'!$I:$I,"Mirage",'Таблиця 1'!$J:$J,"GBU-65")+SUMIFS('Таблиця 1'!$K:$K,'Таблиця 1'!$B:$B,$A567,'Таблиця 1'!$I:$I,"F-16",'Таблиця 1'!$J:$J,"GBU-65")+SUMIFS('Таблиця 1'!$K:$K,'Таблиця 1'!$B:$B,$A567,'Таблиця 1'!$I:$I,"МіГ-29",'Таблиця 1'!$J:$J,"GBU-65")+SUMIFS('Таблиця 1'!$K:$K,'Таблиця 1'!$B:$B,$A567,'Таблиця 1'!$I:$I,"Су-25",'Таблиця 1'!$J:$J,"GBU-65")+SUMIFS('Таблиця 1'!$K:$K,'Таблиця 1'!$B:$B,$A567,'Таблиця 1'!$I:$I,"Су-27",'Таблиця 1'!$J:$J,"GBU-65"))</f>
        <v/>
      </c>
      <c r="M567">
        <f>IF($A567="","",SUMIFS('Таблиця 1'!$K:$K,'Таблиця 1'!$B:$B,$A567,'Таблиця 1'!$I:$I,"Mirage",'Таблиця 1'!$J:$J,"GBU-62")+SUMIFS('Таблиця 1'!$K:$K,'Таблиця 1'!$B:$B,$A567,'Таблиця 1'!$I:$I,"F-16",'Таблиця 1'!$J:$J,"GBU-62")+SUMIFS('Таблиця 1'!$K:$K,'Таблиця 1'!$B:$B,$A567,'Таблиця 1'!$I:$I,"МіГ-29",'Таблиця 1'!$J:$J,"GBU-62")+SUMIFS('Таблиця 1'!$K:$K,'Таблиця 1'!$B:$B,$A567,'Таблиця 1'!$I:$I,"Су-25",'Таблиця 1'!$J:$J,"GBU-62")+SUMIFS('Таблиця 1'!$K:$K,'Таблиця 1'!$B:$B,$A567,'Таблиця 1'!$I:$I,"Су-27",'Таблиця 1'!$J:$J,"GBU-62"))</f>
        <v/>
      </c>
      <c r="N567">
        <f>IF($A567="","",SUMIFS('Таблиця 1'!$K:$K,'Таблиця 1'!$B:$B,$A567,'Таблиця 1'!$I:$I,"Mirage",'Таблиця 1'!$J:$J,"GBU-64")+SUMIFS('Таблиця 1'!$K:$K,'Таблиця 1'!$B:$B,$A567,'Таблиця 1'!$I:$I,"F-16",'Таблиця 1'!$J:$J,"GBU-64")+SUMIFS('Таблиця 1'!$K:$K,'Таблиця 1'!$B:$B,$A567,'Таблиця 1'!$I:$I,"МіГ-29",'Таблиця 1'!$J:$J,"GBU-64")+SUMIFS('Таблиця 1'!$K:$K,'Таблиця 1'!$B:$B,$A567,'Таблиця 1'!$I:$I,"Су-25",'Таблиця 1'!$J:$J,"GBU-64")+SUMIFS('Таблиця 1'!$K:$K,'Таблиця 1'!$B:$B,$A567,'Таблиця 1'!$I:$I,"Су-27",'Таблиця 1'!$J:$J,"GBU-64"))</f>
        <v/>
      </c>
      <c r="O567">
        <f>IF($A567="","",SUMIFS('Таблиця 1'!$K:$K,'Таблиця 1'!$B:$B,$A567,'Таблиця 1'!$I:$I,"Mirage",'Таблиця 1'!$J:$J,"C-13")+SUMIFS('Таблиця 1'!$K:$K,'Таблиця 1'!$B:$B,$A567,'Таблиця 1'!$I:$I,"F-16",'Таблиця 1'!$J:$J,"C-13")+SUMIFS('Таблиця 1'!$K:$K,'Таблиця 1'!$B:$B,$A567,'Таблиця 1'!$I:$I,"МіГ-29",'Таблиця 1'!$J:$J,"C-13")+SUMIFS('Таблиця 1'!$K:$K,'Таблиця 1'!$B:$B,$A567,'Таблиця 1'!$I:$I,"Су-25",'Таблиця 1'!$J:$J,"C-13")+SUMIFS('Таблиця 1'!$K:$K,'Таблиця 1'!$B:$B,$A567,'Таблиця 1'!$I:$I,"Су-27",'Таблиця 1'!$J:$J,"C-13"))</f>
        <v/>
      </c>
      <c r="P567">
        <f>IF($A567="","",SUMIFS('Таблиця 1'!$K:$K,'Таблиця 1'!$B:$B,$A567,'Таблиця 1'!$I:$I,"Mirage",'Таблиця 1'!$J:$J,"MK-32")+SUMIFS('Таблиця 1'!$K:$K,'Таблиця 1'!$B:$B,$A567,'Таблиця 1'!$I:$I,"F-16",'Таблиця 1'!$J:$J,"MK-32")+SUMIFS('Таблиця 1'!$K:$K,'Таблиця 1'!$B:$B,$A567,'Таблиця 1'!$I:$I,"МіГ-29",'Таблиця 1'!$J:$J,"MK-32")+SUMIFS('Таблиця 1'!$K:$K,'Таблиця 1'!$B:$B,$A567,'Таблиця 1'!$I:$I,"Су-25",'Таблиця 1'!$J:$J,"MK-32")+SUMIFS('Таблиця 1'!$K:$K,'Таблиця 1'!$B:$B,$A567,'Таблиця 1'!$I:$I,"Су-27",'Таблиця 1'!$J:$J,"MK-32"))</f>
        <v/>
      </c>
      <c r="Q567">
        <f>IF($A567="","",SUMIFS('Таблиця 1'!$K:$K,'Таблиця 1'!$B:$B,$A567,'Таблиця 1'!$I:$I,"Mirage",'Таблиця 1'!$J:$J,"MK-24")+SUMIFS('Таблиця 1'!$K:$K,'Таблиця 1'!$B:$B,$A567,'Таблиця 1'!$I:$I,"F-16",'Таблиця 1'!$J:$J,"MK-24")+SUMIFS('Таблиця 1'!$K:$K,'Таблиця 1'!$B:$B,$A567,'Таблиця 1'!$I:$I,"МіГ-29",'Таблиця 1'!$J:$J,"MK-24")+SUMIFS('Таблиця 1'!$K:$K,'Таблиця 1'!$B:$B,$A567,'Таблиця 1'!$I:$I,"Су-25",'Таблиця 1'!$J:$J,"MK-24")+SUMIFS('Таблиця 1'!$K:$K,'Таблиця 1'!$B:$B,$A567,'Таблиця 1'!$I:$I,"Су-27",'Таблиця 1'!$J:$J,"MK-24"))</f>
        <v/>
      </c>
      <c r="R567">
        <f>IF($A567="","",COUNTIFS('Таблиця 1'!$B:$B,$A567,'Таблиця 1'!$I:$I,"Mirage",'Таблиця 1'!$L:$L,"Уражено")+COUNTIFS('Таблиця 1'!$B:$B,$A567,'Таблиця 1'!$I:$I,"F-16",'Таблиця 1'!$L:$L,"Уражено")+COUNTIFS('Таблиця 1'!$B:$B,$A567,'Таблиця 1'!$I:$I,"МіГ-29",'Таблиця 1'!$L:$L,"Уражено")+COUNTIFS('Таблиця 1'!$B:$B,$A567,'Таблиця 1'!$I:$I,"Су-25",'Таблиця 1'!$L:$L,"Уражено")+COUNTIFS('Таблиця 1'!$B:$B,$A567,'Таблиця 1'!$I:$I,"Су-27",'Таблиця 1'!$L:$L,"Уражено"))</f>
        <v/>
      </c>
      <c r="S567">
        <f>IF($A567="","",COUNTIFS('Таблиця 1'!$B:$B,$A567,'Таблиця 1'!$I:$I,"Mirage",'Таблиця 1'!$L:$L,"НЕ уражено")+COUNTIFS('Таблиця 1'!$B:$B,$A567,'Таблиця 1'!$I:$I,"F-16",'Таблиця 1'!$L:$L,"НЕ уражено")+COUNTIFS('Таблиця 1'!$B:$B,$A567,'Таблиця 1'!$I:$I,"МіГ-29",'Таблиця 1'!$L:$L,"НЕ уражено")+COUNTIFS('Таблиця 1'!$B:$B,$A567,'Таблиця 1'!$I:$I,"Су-25",'Таблиця 1'!$L:$L,"НЕ уражено")+COUNTIFS('Таблиця 1'!$B:$B,$A567,'Таблиця 1'!$I:$I,"Су-27",'Таблиця 1'!$L:$L,"НЕ уражено"))</f>
        <v/>
      </c>
      <c r="T567">
        <f>IF($A567="","",COUNTIFS('Таблиця 1'!$B:$B,$A567,'Таблиця 1'!$I:$I,"Mirage",'Таблиця 1'!$L:$L,"Дорозвідується")+COUNTIFS('Таблиця 1'!$B:$B,$A567,'Таблиця 1'!$I:$I,"F-16",'Таблиця 1'!$L:$L,"Дорозвідується")+COUNTIFS('Таблиця 1'!$B:$B,$A567,'Таблиця 1'!$I:$I,"МіГ-29",'Таблиця 1'!$L:$L,"Дорозвідується")+COUNTIFS('Таблиця 1'!$B:$B,$A567,'Таблиця 1'!$I:$I,"Су-25",'Таблиця 1'!$L:$L,"Дорозвідується")+COUNTIFS('Таблиця 1'!$B:$B,$A567,'Таблиця 1'!$I:$I,"Су-27",'Таблиця 1'!$L:$L,"Дорозвідується"))</f>
        <v/>
      </c>
    </row>
    <row r="568">
      <c r="A568" s="273">
        <f>IF(A567="","",IF(A567+1&gt;MAX('Таблиця 1'!$B:$B),"",A567+1))</f>
        <v/>
      </c>
      <c r="B568">
        <f>IF($A568="","",COUNTIFS('Таблиця 1'!$B:$B,$A568,'Таблиця 1'!$I:$I,"Mirage")+COUNTIFS('Таблиця 1'!$B:$B,$A568,'Таблиця 1'!$I:$I,"F-16")+COUNTIFS('Таблиця 1'!$B:$B,$A568,'Таблиця 1'!$I:$I,"МіГ-29")+COUNTIFS('Таблиця 1'!$B:$B,$A568,'Таблиця 1'!$I:$I,"Су-25")+COUNTIFS('Таблиця 1'!$B:$B,$A568,'Таблиця 1'!$I:$I,"Су-27"))</f>
        <v/>
      </c>
      <c r="C568">
        <f>IF($A568="","",COUNTIFS('Таблиця 1'!$B:$B,$A568,'Таблиця 1'!$I:$I,"Mirage"))</f>
        <v/>
      </c>
      <c r="D568">
        <f>IF($A568="","",COUNTIFS('Таблиця 1'!$B:$B,$A568,'Таблиця 1'!$I:$I,"F-16"))</f>
        <v/>
      </c>
      <c r="E568">
        <f>IF($A568="","",COUNTIFS('Таблиця 1'!$B:$B,$A568,'Таблиця 1'!$I:$I,"МіГ-29"))</f>
        <v/>
      </c>
      <c r="F568">
        <f>IF($A568="","",COUNTIFS('Таблиця 1'!$B:$B,$A568,'Таблиця 1'!$I:$I,"Су-25"))</f>
        <v/>
      </c>
      <c r="G568">
        <f>IF($A568="","",COUNTIFS('Таблиця 1'!$B:$B,$A568,'Таблиця 1'!$I:$I,"Су-27"))</f>
        <v/>
      </c>
      <c r="H568">
        <f>IF($A568="","",SUMIFS('Таблиця 1'!$K:$K,'Таблиця 1'!$B:$B,$A568,'Таблиця 1'!$I:$I,"Mirage",'Таблиця 1'!$J:$J,"AGM-88")+SUMIFS('Таблиця 1'!$K:$K,'Таблиця 1'!$B:$B,$A568,'Таблиця 1'!$I:$I,"F-16",'Таблиця 1'!$J:$J,"AGM-88")+SUMIFS('Таблиця 1'!$K:$K,'Таблиця 1'!$B:$B,$A568,'Таблиця 1'!$I:$I,"МіГ-29",'Таблиця 1'!$J:$J,"AGM-88")+SUMIFS('Таблиця 1'!$K:$K,'Таблиця 1'!$B:$B,$A568,'Таблиця 1'!$I:$I,"Су-25",'Таблиця 1'!$J:$J,"AGM-88")+SUMIFS('Таблиця 1'!$K:$K,'Таблиця 1'!$B:$B,$A568,'Таблиця 1'!$I:$I,"Су-27",'Таблиця 1'!$J:$J,"AGM-88"))</f>
        <v/>
      </c>
      <c r="I568">
        <f>IF($A568="","",SUMIFS('Таблиця 1'!$K:$K,'Таблиця 1'!$B:$B,$A568,'Таблиця 1'!$I:$I,"Mirage",'Таблиця 1'!$J:$J,"AASM-250")+SUMIFS('Таблиця 1'!$K:$K,'Таблиця 1'!$B:$B,$A568,'Таблиця 1'!$I:$I,"F-16",'Таблиця 1'!$J:$J,"AASM-250")+SUMIFS('Таблиця 1'!$K:$K,'Таблиця 1'!$B:$B,$A568,'Таблиця 1'!$I:$I,"МіГ-29",'Таблиця 1'!$J:$J,"AASM-250")+SUMIFS('Таблиця 1'!$K:$K,'Таблиця 1'!$B:$B,$A568,'Таблиця 1'!$I:$I,"Су-25",'Таблиця 1'!$J:$J,"AASM-250")+SUMIFS('Таблиця 1'!$K:$K,'Таблиця 1'!$B:$B,$A568,'Таблиця 1'!$I:$I,"Су-27",'Таблиця 1'!$J:$J,"AASM-250"))</f>
        <v/>
      </c>
      <c r="J568">
        <f>IF($A568="","",SUMIFS('Таблиця 1'!$K:$K,'Таблиця 1'!$B:$B,$A568,'Таблиця 1'!$I:$I,"Mirage",'Таблиця 1'!$J:$J,"GBU-39")+SUMIFS('Таблиця 1'!$K:$K,'Таблиця 1'!$B:$B,$A568,'Таблиця 1'!$I:$I,"F-16",'Таблиця 1'!$J:$J,"GBU-39")+SUMIFS('Таблиця 1'!$K:$K,'Таблиця 1'!$B:$B,$A568,'Таблиця 1'!$I:$I,"МіГ-29",'Таблиця 1'!$J:$J,"GBU-39")+SUMIFS('Таблиця 1'!$K:$K,'Таблиця 1'!$B:$B,$A568,'Таблиця 1'!$I:$I,"Су-25",'Таблиця 1'!$J:$J,"GBU-39")+SUMIFS('Таблиця 1'!$K:$K,'Таблиця 1'!$B:$B,$A568,'Таблиця 1'!$I:$I,"Су-27",'Таблиця 1'!$J:$J,"GBU-39"))</f>
        <v/>
      </c>
      <c r="K568">
        <f>IF($A568="","",SUMIFS('Таблиця 1'!$K:$K,'Таблиця 1'!$B:$B,$A568,'Таблиця 1'!$I:$I,"Mirage",'Таблиця 1'!$J:$J,"BLU-140")+SUMIFS('Таблиця 1'!$K:$K,'Таблиця 1'!$B:$B,$A568,'Таблиця 1'!$I:$I,"F-16",'Таблиця 1'!$J:$J,"BLU-140")+SUMIFS('Таблиця 1'!$K:$K,'Таблиця 1'!$B:$B,$A568,'Таблиця 1'!$I:$I,"МіГ-29",'Таблиця 1'!$J:$J,"BLU-140")+SUMIFS('Таблиця 1'!$K:$K,'Таблиця 1'!$B:$B,$A568,'Таблиця 1'!$I:$I,"Су-25",'Таблиця 1'!$J:$J,"BLU-140")+SUMIFS('Таблиця 1'!$K:$K,'Таблиця 1'!$B:$B,$A568,'Таблиця 1'!$I:$I,"Су-27",'Таблиця 1'!$J:$J,"BLU-140"))</f>
        <v/>
      </c>
      <c r="L568">
        <f>IF($A568="","",SUMIFS('Таблиця 1'!$K:$K,'Таблиця 1'!$B:$B,$A568,'Таблиця 1'!$I:$I,"Mirage",'Таблиця 1'!$J:$J,"GBU-65")+SUMIFS('Таблиця 1'!$K:$K,'Таблиця 1'!$B:$B,$A568,'Таблиця 1'!$I:$I,"F-16",'Таблиця 1'!$J:$J,"GBU-65")+SUMIFS('Таблиця 1'!$K:$K,'Таблиця 1'!$B:$B,$A568,'Таблиця 1'!$I:$I,"МіГ-29",'Таблиця 1'!$J:$J,"GBU-65")+SUMIFS('Таблиця 1'!$K:$K,'Таблиця 1'!$B:$B,$A568,'Таблиця 1'!$I:$I,"Су-25",'Таблиця 1'!$J:$J,"GBU-65")+SUMIFS('Таблиця 1'!$K:$K,'Таблиця 1'!$B:$B,$A568,'Таблиця 1'!$I:$I,"Су-27",'Таблиця 1'!$J:$J,"GBU-65"))</f>
        <v/>
      </c>
      <c r="M568">
        <f>IF($A568="","",SUMIFS('Таблиця 1'!$K:$K,'Таблиця 1'!$B:$B,$A568,'Таблиця 1'!$I:$I,"Mirage",'Таблиця 1'!$J:$J,"GBU-62")+SUMIFS('Таблиця 1'!$K:$K,'Таблиця 1'!$B:$B,$A568,'Таблиця 1'!$I:$I,"F-16",'Таблиця 1'!$J:$J,"GBU-62")+SUMIFS('Таблиця 1'!$K:$K,'Таблиця 1'!$B:$B,$A568,'Таблиця 1'!$I:$I,"МіГ-29",'Таблиця 1'!$J:$J,"GBU-62")+SUMIFS('Таблиця 1'!$K:$K,'Таблиця 1'!$B:$B,$A568,'Таблиця 1'!$I:$I,"Су-25",'Таблиця 1'!$J:$J,"GBU-62")+SUMIFS('Таблиця 1'!$K:$K,'Таблиця 1'!$B:$B,$A568,'Таблиця 1'!$I:$I,"Су-27",'Таблиця 1'!$J:$J,"GBU-62"))</f>
        <v/>
      </c>
      <c r="N568">
        <f>IF($A568="","",SUMIFS('Таблиця 1'!$K:$K,'Таблиця 1'!$B:$B,$A568,'Таблиця 1'!$I:$I,"Mirage",'Таблиця 1'!$J:$J,"GBU-64")+SUMIFS('Таблиця 1'!$K:$K,'Таблиця 1'!$B:$B,$A568,'Таблиця 1'!$I:$I,"F-16",'Таблиця 1'!$J:$J,"GBU-64")+SUMIFS('Таблиця 1'!$K:$K,'Таблиця 1'!$B:$B,$A568,'Таблиця 1'!$I:$I,"МіГ-29",'Таблиця 1'!$J:$J,"GBU-64")+SUMIFS('Таблиця 1'!$K:$K,'Таблиця 1'!$B:$B,$A568,'Таблиця 1'!$I:$I,"Су-25",'Таблиця 1'!$J:$J,"GBU-64")+SUMIFS('Таблиця 1'!$K:$K,'Таблиця 1'!$B:$B,$A568,'Таблиця 1'!$I:$I,"Су-27",'Таблиця 1'!$J:$J,"GBU-64"))</f>
        <v/>
      </c>
      <c r="O568">
        <f>IF($A568="","",SUMIFS('Таблиця 1'!$K:$K,'Таблиця 1'!$B:$B,$A568,'Таблиця 1'!$I:$I,"Mirage",'Таблиця 1'!$J:$J,"C-13")+SUMIFS('Таблиця 1'!$K:$K,'Таблиця 1'!$B:$B,$A568,'Таблиця 1'!$I:$I,"F-16",'Таблиця 1'!$J:$J,"C-13")+SUMIFS('Таблиця 1'!$K:$K,'Таблиця 1'!$B:$B,$A568,'Таблиця 1'!$I:$I,"МіГ-29",'Таблиця 1'!$J:$J,"C-13")+SUMIFS('Таблиця 1'!$K:$K,'Таблиця 1'!$B:$B,$A568,'Таблиця 1'!$I:$I,"Су-25",'Таблиця 1'!$J:$J,"C-13")+SUMIFS('Таблиця 1'!$K:$K,'Таблиця 1'!$B:$B,$A568,'Таблиця 1'!$I:$I,"Су-27",'Таблиця 1'!$J:$J,"C-13"))</f>
        <v/>
      </c>
      <c r="P568">
        <f>IF($A568="","",SUMIFS('Таблиця 1'!$K:$K,'Таблиця 1'!$B:$B,$A568,'Таблиця 1'!$I:$I,"Mirage",'Таблиця 1'!$J:$J,"MK-32")+SUMIFS('Таблиця 1'!$K:$K,'Таблиця 1'!$B:$B,$A568,'Таблиця 1'!$I:$I,"F-16",'Таблиця 1'!$J:$J,"MK-32")+SUMIFS('Таблиця 1'!$K:$K,'Таблиця 1'!$B:$B,$A568,'Таблиця 1'!$I:$I,"МіГ-29",'Таблиця 1'!$J:$J,"MK-32")+SUMIFS('Таблиця 1'!$K:$K,'Таблиця 1'!$B:$B,$A568,'Таблиця 1'!$I:$I,"Су-25",'Таблиця 1'!$J:$J,"MK-32")+SUMIFS('Таблиця 1'!$K:$K,'Таблиця 1'!$B:$B,$A568,'Таблиця 1'!$I:$I,"Су-27",'Таблиця 1'!$J:$J,"MK-32"))</f>
        <v/>
      </c>
      <c r="Q568">
        <f>IF($A568="","",SUMIFS('Таблиця 1'!$K:$K,'Таблиця 1'!$B:$B,$A568,'Таблиця 1'!$I:$I,"Mirage",'Таблиця 1'!$J:$J,"MK-24")+SUMIFS('Таблиця 1'!$K:$K,'Таблиця 1'!$B:$B,$A568,'Таблиця 1'!$I:$I,"F-16",'Таблиця 1'!$J:$J,"MK-24")+SUMIFS('Таблиця 1'!$K:$K,'Таблиця 1'!$B:$B,$A568,'Таблиця 1'!$I:$I,"МіГ-29",'Таблиця 1'!$J:$J,"MK-24")+SUMIFS('Таблиця 1'!$K:$K,'Таблиця 1'!$B:$B,$A568,'Таблиця 1'!$I:$I,"Су-25",'Таблиця 1'!$J:$J,"MK-24")+SUMIFS('Таблиця 1'!$K:$K,'Таблиця 1'!$B:$B,$A568,'Таблиця 1'!$I:$I,"Су-27",'Таблиця 1'!$J:$J,"MK-24"))</f>
        <v/>
      </c>
      <c r="R568">
        <f>IF($A568="","",COUNTIFS('Таблиця 1'!$B:$B,$A568,'Таблиця 1'!$I:$I,"Mirage",'Таблиця 1'!$L:$L,"Уражено")+COUNTIFS('Таблиця 1'!$B:$B,$A568,'Таблиця 1'!$I:$I,"F-16",'Таблиця 1'!$L:$L,"Уражено")+COUNTIFS('Таблиця 1'!$B:$B,$A568,'Таблиця 1'!$I:$I,"МіГ-29",'Таблиця 1'!$L:$L,"Уражено")+COUNTIFS('Таблиця 1'!$B:$B,$A568,'Таблиця 1'!$I:$I,"Су-25",'Таблиця 1'!$L:$L,"Уражено")+COUNTIFS('Таблиця 1'!$B:$B,$A568,'Таблиця 1'!$I:$I,"Су-27",'Таблиця 1'!$L:$L,"Уражено"))</f>
        <v/>
      </c>
      <c r="S568">
        <f>IF($A568="","",COUNTIFS('Таблиця 1'!$B:$B,$A568,'Таблиця 1'!$I:$I,"Mirage",'Таблиця 1'!$L:$L,"НЕ уражено")+COUNTIFS('Таблиця 1'!$B:$B,$A568,'Таблиця 1'!$I:$I,"F-16",'Таблиця 1'!$L:$L,"НЕ уражено")+COUNTIFS('Таблиця 1'!$B:$B,$A568,'Таблиця 1'!$I:$I,"МіГ-29",'Таблиця 1'!$L:$L,"НЕ уражено")+COUNTIFS('Таблиця 1'!$B:$B,$A568,'Таблиця 1'!$I:$I,"Су-25",'Таблиця 1'!$L:$L,"НЕ уражено")+COUNTIFS('Таблиця 1'!$B:$B,$A568,'Таблиця 1'!$I:$I,"Су-27",'Таблиця 1'!$L:$L,"НЕ уражено"))</f>
        <v/>
      </c>
      <c r="T568">
        <f>IF($A568="","",COUNTIFS('Таблиця 1'!$B:$B,$A568,'Таблиця 1'!$I:$I,"Mirage",'Таблиця 1'!$L:$L,"Дорозвідується")+COUNTIFS('Таблиця 1'!$B:$B,$A568,'Таблиця 1'!$I:$I,"F-16",'Таблиця 1'!$L:$L,"Дорозвідується")+COUNTIFS('Таблиця 1'!$B:$B,$A568,'Таблиця 1'!$I:$I,"МіГ-29",'Таблиця 1'!$L:$L,"Дорозвідується")+COUNTIFS('Таблиця 1'!$B:$B,$A568,'Таблиця 1'!$I:$I,"Су-25",'Таблиця 1'!$L:$L,"Дорозвідується")+COUNTIFS('Таблиця 1'!$B:$B,$A568,'Таблиця 1'!$I:$I,"Су-27",'Таблиця 1'!$L:$L,"Дорозвідується"))</f>
        <v/>
      </c>
    </row>
    <row r="569">
      <c r="A569" s="273">
        <f>IF(A568="","",IF(A568+1&gt;MAX('Таблиця 1'!$B:$B),"",A568+1))</f>
        <v/>
      </c>
      <c r="B569">
        <f>IF($A569="","",COUNTIFS('Таблиця 1'!$B:$B,$A569,'Таблиця 1'!$I:$I,"Mirage")+COUNTIFS('Таблиця 1'!$B:$B,$A569,'Таблиця 1'!$I:$I,"F-16")+COUNTIFS('Таблиця 1'!$B:$B,$A569,'Таблиця 1'!$I:$I,"МіГ-29")+COUNTIFS('Таблиця 1'!$B:$B,$A569,'Таблиця 1'!$I:$I,"Су-25")+COUNTIFS('Таблиця 1'!$B:$B,$A569,'Таблиця 1'!$I:$I,"Су-27"))</f>
        <v/>
      </c>
      <c r="C569">
        <f>IF($A569="","",COUNTIFS('Таблиця 1'!$B:$B,$A569,'Таблиця 1'!$I:$I,"Mirage"))</f>
        <v/>
      </c>
      <c r="D569">
        <f>IF($A569="","",COUNTIFS('Таблиця 1'!$B:$B,$A569,'Таблиця 1'!$I:$I,"F-16"))</f>
        <v/>
      </c>
      <c r="E569">
        <f>IF($A569="","",COUNTIFS('Таблиця 1'!$B:$B,$A569,'Таблиця 1'!$I:$I,"МіГ-29"))</f>
        <v/>
      </c>
      <c r="F569">
        <f>IF($A569="","",COUNTIFS('Таблиця 1'!$B:$B,$A569,'Таблиця 1'!$I:$I,"Су-25"))</f>
        <v/>
      </c>
      <c r="G569">
        <f>IF($A569="","",COUNTIFS('Таблиця 1'!$B:$B,$A569,'Таблиця 1'!$I:$I,"Су-27"))</f>
        <v/>
      </c>
      <c r="H569">
        <f>IF($A569="","",SUMIFS('Таблиця 1'!$K:$K,'Таблиця 1'!$B:$B,$A569,'Таблиця 1'!$I:$I,"Mirage",'Таблиця 1'!$J:$J,"AGM-88")+SUMIFS('Таблиця 1'!$K:$K,'Таблиця 1'!$B:$B,$A569,'Таблиця 1'!$I:$I,"F-16",'Таблиця 1'!$J:$J,"AGM-88")+SUMIFS('Таблиця 1'!$K:$K,'Таблиця 1'!$B:$B,$A569,'Таблиця 1'!$I:$I,"МіГ-29",'Таблиця 1'!$J:$J,"AGM-88")+SUMIFS('Таблиця 1'!$K:$K,'Таблиця 1'!$B:$B,$A569,'Таблиця 1'!$I:$I,"Су-25",'Таблиця 1'!$J:$J,"AGM-88")+SUMIFS('Таблиця 1'!$K:$K,'Таблиця 1'!$B:$B,$A569,'Таблиця 1'!$I:$I,"Су-27",'Таблиця 1'!$J:$J,"AGM-88"))</f>
        <v/>
      </c>
      <c r="I569">
        <f>IF($A569="","",SUMIFS('Таблиця 1'!$K:$K,'Таблиця 1'!$B:$B,$A569,'Таблиця 1'!$I:$I,"Mirage",'Таблиця 1'!$J:$J,"AASM-250")+SUMIFS('Таблиця 1'!$K:$K,'Таблиця 1'!$B:$B,$A569,'Таблиця 1'!$I:$I,"F-16",'Таблиця 1'!$J:$J,"AASM-250")+SUMIFS('Таблиця 1'!$K:$K,'Таблиця 1'!$B:$B,$A569,'Таблиця 1'!$I:$I,"МіГ-29",'Таблиця 1'!$J:$J,"AASM-250")+SUMIFS('Таблиця 1'!$K:$K,'Таблиця 1'!$B:$B,$A569,'Таблиця 1'!$I:$I,"Су-25",'Таблиця 1'!$J:$J,"AASM-250")+SUMIFS('Таблиця 1'!$K:$K,'Таблиця 1'!$B:$B,$A569,'Таблиця 1'!$I:$I,"Су-27",'Таблиця 1'!$J:$J,"AASM-250"))</f>
        <v/>
      </c>
      <c r="J569">
        <f>IF($A569="","",SUMIFS('Таблиця 1'!$K:$K,'Таблиця 1'!$B:$B,$A569,'Таблиця 1'!$I:$I,"Mirage",'Таблиця 1'!$J:$J,"GBU-39")+SUMIFS('Таблиця 1'!$K:$K,'Таблиця 1'!$B:$B,$A569,'Таблиця 1'!$I:$I,"F-16",'Таблиця 1'!$J:$J,"GBU-39")+SUMIFS('Таблиця 1'!$K:$K,'Таблиця 1'!$B:$B,$A569,'Таблиця 1'!$I:$I,"МіГ-29",'Таблиця 1'!$J:$J,"GBU-39")+SUMIFS('Таблиця 1'!$K:$K,'Таблиця 1'!$B:$B,$A569,'Таблиця 1'!$I:$I,"Су-25",'Таблиця 1'!$J:$J,"GBU-39")+SUMIFS('Таблиця 1'!$K:$K,'Таблиця 1'!$B:$B,$A569,'Таблиця 1'!$I:$I,"Су-27",'Таблиця 1'!$J:$J,"GBU-39"))</f>
        <v/>
      </c>
      <c r="K569">
        <f>IF($A569="","",SUMIFS('Таблиця 1'!$K:$K,'Таблиця 1'!$B:$B,$A569,'Таблиця 1'!$I:$I,"Mirage",'Таблиця 1'!$J:$J,"BLU-140")+SUMIFS('Таблиця 1'!$K:$K,'Таблиця 1'!$B:$B,$A569,'Таблиця 1'!$I:$I,"F-16",'Таблиця 1'!$J:$J,"BLU-140")+SUMIFS('Таблиця 1'!$K:$K,'Таблиця 1'!$B:$B,$A569,'Таблиця 1'!$I:$I,"МіГ-29",'Таблиця 1'!$J:$J,"BLU-140")+SUMIFS('Таблиця 1'!$K:$K,'Таблиця 1'!$B:$B,$A569,'Таблиця 1'!$I:$I,"Су-25",'Таблиця 1'!$J:$J,"BLU-140")+SUMIFS('Таблиця 1'!$K:$K,'Таблиця 1'!$B:$B,$A569,'Таблиця 1'!$I:$I,"Су-27",'Таблиця 1'!$J:$J,"BLU-140"))</f>
        <v/>
      </c>
      <c r="L569">
        <f>IF($A569="","",SUMIFS('Таблиця 1'!$K:$K,'Таблиця 1'!$B:$B,$A569,'Таблиця 1'!$I:$I,"Mirage",'Таблиця 1'!$J:$J,"GBU-65")+SUMIFS('Таблиця 1'!$K:$K,'Таблиця 1'!$B:$B,$A569,'Таблиця 1'!$I:$I,"F-16",'Таблиця 1'!$J:$J,"GBU-65")+SUMIFS('Таблиця 1'!$K:$K,'Таблиця 1'!$B:$B,$A569,'Таблиця 1'!$I:$I,"МіГ-29",'Таблиця 1'!$J:$J,"GBU-65")+SUMIFS('Таблиця 1'!$K:$K,'Таблиця 1'!$B:$B,$A569,'Таблиця 1'!$I:$I,"Су-25",'Таблиця 1'!$J:$J,"GBU-65")+SUMIFS('Таблиця 1'!$K:$K,'Таблиця 1'!$B:$B,$A569,'Таблиця 1'!$I:$I,"Су-27",'Таблиця 1'!$J:$J,"GBU-65"))</f>
        <v/>
      </c>
      <c r="M569">
        <f>IF($A569="","",SUMIFS('Таблиця 1'!$K:$K,'Таблиця 1'!$B:$B,$A569,'Таблиця 1'!$I:$I,"Mirage",'Таблиця 1'!$J:$J,"GBU-62")+SUMIFS('Таблиця 1'!$K:$K,'Таблиця 1'!$B:$B,$A569,'Таблиця 1'!$I:$I,"F-16",'Таблиця 1'!$J:$J,"GBU-62")+SUMIFS('Таблиця 1'!$K:$K,'Таблиця 1'!$B:$B,$A569,'Таблиця 1'!$I:$I,"МіГ-29",'Таблиця 1'!$J:$J,"GBU-62")+SUMIFS('Таблиця 1'!$K:$K,'Таблиця 1'!$B:$B,$A569,'Таблиця 1'!$I:$I,"Су-25",'Таблиця 1'!$J:$J,"GBU-62")+SUMIFS('Таблиця 1'!$K:$K,'Таблиця 1'!$B:$B,$A569,'Таблиця 1'!$I:$I,"Су-27",'Таблиця 1'!$J:$J,"GBU-62"))</f>
        <v/>
      </c>
      <c r="N569">
        <f>IF($A569="","",SUMIFS('Таблиця 1'!$K:$K,'Таблиця 1'!$B:$B,$A569,'Таблиця 1'!$I:$I,"Mirage",'Таблиця 1'!$J:$J,"GBU-64")+SUMIFS('Таблиця 1'!$K:$K,'Таблиця 1'!$B:$B,$A569,'Таблиця 1'!$I:$I,"F-16",'Таблиця 1'!$J:$J,"GBU-64")+SUMIFS('Таблиця 1'!$K:$K,'Таблиця 1'!$B:$B,$A569,'Таблиця 1'!$I:$I,"МіГ-29",'Таблиця 1'!$J:$J,"GBU-64")+SUMIFS('Таблиця 1'!$K:$K,'Таблиця 1'!$B:$B,$A569,'Таблиця 1'!$I:$I,"Су-25",'Таблиця 1'!$J:$J,"GBU-64")+SUMIFS('Таблиця 1'!$K:$K,'Таблиця 1'!$B:$B,$A569,'Таблиця 1'!$I:$I,"Су-27",'Таблиця 1'!$J:$J,"GBU-64"))</f>
        <v/>
      </c>
      <c r="O569">
        <f>IF($A569="","",SUMIFS('Таблиця 1'!$K:$K,'Таблиця 1'!$B:$B,$A569,'Таблиця 1'!$I:$I,"Mirage",'Таблиця 1'!$J:$J,"C-13")+SUMIFS('Таблиця 1'!$K:$K,'Таблиця 1'!$B:$B,$A569,'Таблиця 1'!$I:$I,"F-16",'Таблиця 1'!$J:$J,"C-13")+SUMIFS('Таблиця 1'!$K:$K,'Таблиця 1'!$B:$B,$A569,'Таблиця 1'!$I:$I,"МіГ-29",'Таблиця 1'!$J:$J,"C-13")+SUMIFS('Таблиця 1'!$K:$K,'Таблиця 1'!$B:$B,$A569,'Таблиця 1'!$I:$I,"Су-25",'Таблиця 1'!$J:$J,"C-13")+SUMIFS('Таблиця 1'!$K:$K,'Таблиця 1'!$B:$B,$A569,'Таблиця 1'!$I:$I,"Су-27",'Таблиця 1'!$J:$J,"C-13"))</f>
        <v/>
      </c>
      <c r="P569">
        <f>IF($A569="","",SUMIFS('Таблиця 1'!$K:$K,'Таблиця 1'!$B:$B,$A569,'Таблиця 1'!$I:$I,"Mirage",'Таблиця 1'!$J:$J,"MK-32")+SUMIFS('Таблиця 1'!$K:$K,'Таблиця 1'!$B:$B,$A569,'Таблиця 1'!$I:$I,"F-16",'Таблиця 1'!$J:$J,"MK-32")+SUMIFS('Таблиця 1'!$K:$K,'Таблиця 1'!$B:$B,$A569,'Таблиця 1'!$I:$I,"МіГ-29",'Таблиця 1'!$J:$J,"MK-32")+SUMIFS('Таблиця 1'!$K:$K,'Таблиця 1'!$B:$B,$A569,'Таблиця 1'!$I:$I,"Су-25",'Таблиця 1'!$J:$J,"MK-32")+SUMIFS('Таблиця 1'!$K:$K,'Таблиця 1'!$B:$B,$A569,'Таблиця 1'!$I:$I,"Су-27",'Таблиця 1'!$J:$J,"MK-32"))</f>
        <v/>
      </c>
      <c r="Q569">
        <f>IF($A569="","",SUMIFS('Таблиця 1'!$K:$K,'Таблиця 1'!$B:$B,$A569,'Таблиця 1'!$I:$I,"Mirage",'Таблиця 1'!$J:$J,"MK-24")+SUMIFS('Таблиця 1'!$K:$K,'Таблиця 1'!$B:$B,$A569,'Таблиця 1'!$I:$I,"F-16",'Таблиця 1'!$J:$J,"MK-24")+SUMIFS('Таблиця 1'!$K:$K,'Таблиця 1'!$B:$B,$A569,'Таблиця 1'!$I:$I,"МіГ-29",'Таблиця 1'!$J:$J,"MK-24")+SUMIFS('Таблиця 1'!$K:$K,'Таблиця 1'!$B:$B,$A569,'Таблиця 1'!$I:$I,"Су-25",'Таблиця 1'!$J:$J,"MK-24")+SUMIFS('Таблиця 1'!$K:$K,'Таблиця 1'!$B:$B,$A569,'Таблиця 1'!$I:$I,"Су-27",'Таблиця 1'!$J:$J,"MK-24"))</f>
        <v/>
      </c>
      <c r="R569">
        <f>IF($A569="","",COUNTIFS('Таблиця 1'!$B:$B,$A569,'Таблиця 1'!$I:$I,"Mirage",'Таблиця 1'!$L:$L,"Уражено")+COUNTIFS('Таблиця 1'!$B:$B,$A569,'Таблиця 1'!$I:$I,"F-16",'Таблиця 1'!$L:$L,"Уражено")+COUNTIFS('Таблиця 1'!$B:$B,$A569,'Таблиця 1'!$I:$I,"МіГ-29",'Таблиця 1'!$L:$L,"Уражено")+COUNTIFS('Таблиця 1'!$B:$B,$A569,'Таблиця 1'!$I:$I,"Су-25",'Таблиця 1'!$L:$L,"Уражено")+COUNTIFS('Таблиця 1'!$B:$B,$A569,'Таблиця 1'!$I:$I,"Су-27",'Таблиця 1'!$L:$L,"Уражено"))</f>
        <v/>
      </c>
      <c r="S569">
        <f>IF($A569="","",COUNTIFS('Таблиця 1'!$B:$B,$A569,'Таблиця 1'!$I:$I,"Mirage",'Таблиця 1'!$L:$L,"НЕ уражено")+COUNTIFS('Таблиця 1'!$B:$B,$A569,'Таблиця 1'!$I:$I,"F-16",'Таблиця 1'!$L:$L,"НЕ уражено")+COUNTIFS('Таблиця 1'!$B:$B,$A569,'Таблиця 1'!$I:$I,"МіГ-29",'Таблиця 1'!$L:$L,"НЕ уражено")+COUNTIFS('Таблиця 1'!$B:$B,$A569,'Таблиця 1'!$I:$I,"Су-25",'Таблиця 1'!$L:$L,"НЕ уражено")+COUNTIFS('Таблиця 1'!$B:$B,$A569,'Таблиця 1'!$I:$I,"Су-27",'Таблиця 1'!$L:$L,"НЕ уражено"))</f>
        <v/>
      </c>
      <c r="T569">
        <f>IF($A569="","",COUNTIFS('Таблиця 1'!$B:$B,$A569,'Таблиця 1'!$I:$I,"Mirage",'Таблиця 1'!$L:$L,"Дорозвідується")+COUNTIFS('Таблиця 1'!$B:$B,$A569,'Таблиця 1'!$I:$I,"F-16",'Таблиця 1'!$L:$L,"Дорозвідується")+COUNTIFS('Таблиця 1'!$B:$B,$A569,'Таблиця 1'!$I:$I,"МіГ-29",'Таблиця 1'!$L:$L,"Дорозвідується")+COUNTIFS('Таблиця 1'!$B:$B,$A569,'Таблиця 1'!$I:$I,"Су-25",'Таблиця 1'!$L:$L,"Дорозвідується")+COUNTIFS('Таблиця 1'!$B:$B,$A569,'Таблиця 1'!$I:$I,"Су-27",'Таблиця 1'!$L:$L,"Дорозвідується"))</f>
        <v/>
      </c>
    </row>
    <row r="570">
      <c r="A570" s="273">
        <f>IF(A569="","",IF(A569+1&gt;MAX('Таблиця 1'!$B:$B),"",A569+1))</f>
        <v/>
      </c>
      <c r="B570">
        <f>IF($A570="","",COUNTIFS('Таблиця 1'!$B:$B,$A570,'Таблиця 1'!$I:$I,"Mirage")+COUNTIFS('Таблиця 1'!$B:$B,$A570,'Таблиця 1'!$I:$I,"F-16")+COUNTIFS('Таблиця 1'!$B:$B,$A570,'Таблиця 1'!$I:$I,"МіГ-29")+COUNTIFS('Таблиця 1'!$B:$B,$A570,'Таблиця 1'!$I:$I,"Су-25")+COUNTIFS('Таблиця 1'!$B:$B,$A570,'Таблиця 1'!$I:$I,"Су-27"))</f>
        <v/>
      </c>
      <c r="C570">
        <f>IF($A570="","",COUNTIFS('Таблиця 1'!$B:$B,$A570,'Таблиця 1'!$I:$I,"Mirage"))</f>
        <v/>
      </c>
      <c r="D570">
        <f>IF($A570="","",COUNTIFS('Таблиця 1'!$B:$B,$A570,'Таблиця 1'!$I:$I,"F-16"))</f>
        <v/>
      </c>
      <c r="E570">
        <f>IF($A570="","",COUNTIFS('Таблиця 1'!$B:$B,$A570,'Таблиця 1'!$I:$I,"МіГ-29"))</f>
        <v/>
      </c>
      <c r="F570">
        <f>IF($A570="","",COUNTIFS('Таблиця 1'!$B:$B,$A570,'Таблиця 1'!$I:$I,"Су-25"))</f>
        <v/>
      </c>
      <c r="G570">
        <f>IF($A570="","",COUNTIFS('Таблиця 1'!$B:$B,$A570,'Таблиця 1'!$I:$I,"Су-27"))</f>
        <v/>
      </c>
      <c r="H570">
        <f>IF($A570="","",SUMIFS('Таблиця 1'!$K:$K,'Таблиця 1'!$B:$B,$A570,'Таблиця 1'!$I:$I,"Mirage",'Таблиця 1'!$J:$J,"AGM-88")+SUMIFS('Таблиця 1'!$K:$K,'Таблиця 1'!$B:$B,$A570,'Таблиця 1'!$I:$I,"F-16",'Таблиця 1'!$J:$J,"AGM-88")+SUMIFS('Таблиця 1'!$K:$K,'Таблиця 1'!$B:$B,$A570,'Таблиця 1'!$I:$I,"МіГ-29",'Таблиця 1'!$J:$J,"AGM-88")+SUMIFS('Таблиця 1'!$K:$K,'Таблиця 1'!$B:$B,$A570,'Таблиця 1'!$I:$I,"Су-25",'Таблиця 1'!$J:$J,"AGM-88")+SUMIFS('Таблиця 1'!$K:$K,'Таблиця 1'!$B:$B,$A570,'Таблиця 1'!$I:$I,"Су-27",'Таблиця 1'!$J:$J,"AGM-88"))</f>
        <v/>
      </c>
      <c r="I570">
        <f>IF($A570="","",SUMIFS('Таблиця 1'!$K:$K,'Таблиця 1'!$B:$B,$A570,'Таблиця 1'!$I:$I,"Mirage",'Таблиця 1'!$J:$J,"AASM-250")+SUMIFS('Таблиця 1'!$K:$K,'Таблиця 1'!$B:$B,$A570,'Таблиця 1'!$I:$I,"F-16",'Таблиця 1'!$J:$J,"AASM-250")+SUMIFS('Таблиця 1'!$K:$K,'Таблиця 1'!$B:$B,$A570,'Таблиця 1'!$I:$I,"МіГ-29",'Таблиця 1'!$J:$J,"AASM-250")+SUMIFS('Таблиця 1'!$K:$K,'Таблиця 1'!$B:$B,$A570,'Таблиця 1'!$I:$I,"Су-25",'Таблиця 1'!$J:$J,"AASM-250")+SUMIFS('Таблиця 1'!$K:$K,'Таблиця 1'!$B:$B,$A570,'Таблиця 1'!$I:$I,"Су-27",'Таблиця 1'!$J:$J,"AASM-250"))</f>
        <v/>
      </c>
      <c r="J570">
        <f>IF($A570="","",SUMIFS('Таблиця 1'!$K:$K,'Таблиця 1'!$B:$B,$A570,'Таблиця 1'!$I:$I,"Mirage",'Таблиця 1'!$J:$J,"GBU-39")+SUMIFS('Таблиця 1'!$K:$K,'Таблиця 1'!$B:$B,$A570,'Таблиця 1'!$I:$I,"F-16",'Таблиця 1'!$J:$J,"GBU-39")+SUMIFS('Таблиця 1'!$K:$K,'Таблиця 1'!$B:$B,$A570,'Таблиця 1'!$I:$I,"МіГ-29",'Таблиця 1'!$J:$J,"GBU-39")+SUMIFS('Таблиця 1'!$K:$K,'Таблиця 1'!$B:$B,$A570,'Таблиця 1'!$I:$I,"Су-25",'Таблиця 1'!$J:$J,"GBU-39")+SUMIFS('Таблиця 1'!$K:$K,'Таблиця 1'!$B:$B,$A570,'Таблиця 1'!$I:$I,"Су-27",'Таблиця 1'!$J:$J,"GBU-39"))</f>
        <v/>
      </c>
      <c r="K570">
        <f>IF($A570="","",SUMIFS('Таблиця 1'!$K:$K,'Таблиця 1'!$B:$B,$A570,'Таблиця 1'!$I:$I,"Mirage",'Таблиця 1'!$J:$J,"BLU-140")+SUMIFS('Таблиця 1'!$K:$K,'Таблиця 1'!$B:$B,$A570,'Таблиця 1'!$I:$I,"F-16",'Таблиця 1'!$J:$J,"BLU-140")+SUMIFS('Таблиця 1'!$K:$K,'Таблиця 1'!$B:$B,$A570,'Таблиця 1'!$I:$I,"МіГ-29",'Таблиця 1'!$J:$J,"BLU-140")+SUMIFS('Таблиця 1'!$K:$K,'Таблиця 1'!$B:$B,$A570,'Таблиця 1'!$I:$I,"Су-25",'Таблиця 1'!$J:$J,"BLU-140")+SUMIFS('Таблиця 1'!$K:$K,'Таблиця 1'!$B:$B,$A570,'Таблиця 1'!$I:$I,"Су-27",'Таблиця 1'!$J:$J,"BLU-140"))</f>
        <v/>
      </c>
      <c r="L570">
        <f>IF($A570="","",SUMIFS('Таблиця 1'!$K:$K,'Таблиця 1'!$B:$B,$A570,'Таблиця 1'!$I:$I,"Mirage",'Таблиця 1'!$J:$J,"GBU-65")+SUMIFS('Таблиця 1'!$K:$K,'Таблиця 1'!$B:$B,$A570,'Таблиця 1'!$I:$I,"F-16",'Таблиця 1'!$J:$J,"GBU-65")+SUMIFS('Таблиця 1'!$K:$K,'Таблиця 1'!$B:$B,$A570,'Таблиця 1'!$I:$I,"МіГ-29",'Таблиця 1'!$J:$J,"GBU-65")+SUMIFS('Таблиця 1'!$K:$K,'Таблиця 1'!$B:$B,$A570,'Таблиця 1'!$I:$I,"Су-25",'Таблиця 1'!$J:$J,"GBU-65")+SUMIFS('Таблиця 1'!$K:$K,'Таблиця 1'!$B:$B,$A570,'Таблиця 1'!$I:$I,"Су-27",'Таблиця 1'!$J:$J,"GBU-65"))</f>
        <v/>
      </c>
      <c r="M570">
        <f>IF($A570="","",SUMIFS('Таблиця 1'!$K:$K,'Таблиця 1'!$B:$B,$A570,'Таблиця 1'!$I:$I,"Mirage",'Таблиця 1'!$J:$J,"GBU-62")+SUMIFS('Таблиця 1'!$K:$K,'Таблиця 1'!$B:$B,$A570,'Таблиця 1'!$I:$I,"F-16",'Таблиця 1'!$J:$J,"GBU-62")+SUMIFS('Таблиця 1'!$K:$K,'Таблиця 1'!$B:$B,$A570,'Таблиця 1'!$I:$I,"МіГ-29",'Таблиця 1'!$J:$J,"GBU-62")+SUMIFS('Таблиця 1'!$K:$K,'Таблиця 1'!$B:$B,$A570,'Таблиця 1'!$I:$I,"Су-25",'Таблиця 1'!$J:$J,"GBU-62")+SUMIFS('Таблиця 1'!$K:$K,'Таблиця 1'!$B:$B,$A570,'Таблиця 1'!$I:$I,"Су-27",'Таблиця 1'!$J:$J,"GBU-62"))</f>
        <v/>
      </c>
      <c r="N570">
        <f>IF($A570="","",SUMIFS('Таблиця 1'!$K:$K,'Таблиця 1'!$B:$B,$A570,'Таблиця 1'!$I:$I,"Mirage",'Таблиця 1'!$J:$J,"GBU-64")+SUMIFS('Таблиця 1'!$K:$K,'Таблиця 1'!$B:$B,$A570,'Таблиця 1'!$I:$I,"F-16",'Таблиця 1'!$J:$J,"GBU-64")+SUMIFS('Таблиця 1'!$K:$K,'Таблиця 1'!$B:$B,$A570,'Таблиця 1'!$I:$I,"МіГ-29",'Таблиця 1'!$J:$J,"GBU-64")+SUMIFS('Таблиця 1'!$K:$K,'Таблиця 1'!$B:$B,$A570,'Таблиця 1'!$I:$I,"Су-25",'Таблиця 1'!$J:$J,"GBU-64")+SUMIFS('Таблиця 1'!$K:$K,'Таблиця 1'!$B:$B,$A570,'Таблиця 1'!$I:$I,"Су-27",'Таблиця 1'!$J:$J,"GBU-64"))</f>
        <v/>
      </c>
      <c r="O570">
        <f>IF($A570="","",SUMIFS('Таблиця 1'!$K:$K,'Таблиця 1'!$B:$B,$A570,'Таблиця 1'!$I:$I,"Mirage",'Таблиця 1'!$J:$J,"C-13")+SUMIFS('Таблиця 1'!$K:$K,'Таблиця 1'!$B:$B,$A570,'Таблиця 1'!$I:$I,"F-16",'Таблиця 1'!$J:$J,"C-13")+SUMIFS('Таблиця 1'!$K:$K,'Таблиця 1'!$B:$B,$A570,'Таблиця 1'!$I:$I,"МіГ-29",'Таблиця 1'!$J:$J,"C-13")+SUMIFS('Таблиця 1'!$K:$K,'Таблиця 1'!$B:$B,$A570,'Таблиця 1'!$I:$I,"Су-25",'Таблиця 1'!$J:$J,"C-13")+SUMIFS('Таблиця 1'!$K:$K,'Таблиця 1'!$B:$B,$A570,'Таблиця 1'!$I:$I,"Су-27",'Таблиця 1'!$J:$J,"C-13"))</f>
        <v/>
      </c>
      <c r="P570">
        <f>IF($A570="","",SUMIFS('Таблиця 1'!$K:$K,'Таблиця 1'!$B:$B,$A570,'Таблиця 1'!$I:$I,"Mirage",'Таблиця 1'!$J:$J,"MK-32")+SUMIFS('Таблиця 1'!$K:$K,'Таблиця 1'!$B:$B,$A570,'Таблиця 1'!$I:$I,"F-16",'Таблиця 1'!$J:$J,"MK-32")+SUMIFS('Таблиця 1'!$K:$K,'Таблиця 1'!$B:$B,$A570,'Таблиця 1'!$I:$I,"МіГ-29",'Таблиця 1'!$J:$J,"MK-32")+SUMIFS('Таблиця 1'!$K:$K,'Таблиця 1'!$B:$B,$A570,'Таблиця 1'!$I:$I,"Су-25",'Таблиця 1'!$J:$J,"MK-32")+SUMIFS('Таблиця 1'!$K:$K,'Таблиця 1'!$B:$B,$A570,'Таблиця 1'!$I:$I,"Су-27",'Таблиця 1'!$J:$J,"MK-32"))</f>
        <v/>
      </c>
      <c r="Q570">
        <f>IF($A570="","",SUMIFS('Таблиця 1'!$K:$K,'Таблиця 1'!$B:$B,$A570,'Таблиця 1'!$I:$I,"Mirage",'Таблиця 1'!$J:$J,"MK-24")+SUMIFS('Таблиця 1'!$K:$K,'Таблиця 1'!$B:$B,$A570,'Таблиця 1'!$I:$I,"F-16",'Таблиця 1'!$J:$J,"MK-24")+SUMIFS('Таблиця 1'!$K:$K,'Таблиця 1'!$B:$B,$A570,'Таблиця 1'!$I:$I,"МіГ-29",'Таблиця 1'!$J:$J,"MK-24")+SUMIFS('Таблиця 1'!$K:$K,'Таблиця 1'!$B:$B,$A570,'Таблиця 1'!$I:$I,"Су-25",'Таблиця 1'!$J:$J,"MK-24")+SUMIFS('Таблиця 1'!$K:$K,'Таблиця 1'!$B:$B,$A570,'Таблиця 1'!$I:$I,"Су-27",'Таблиця 1'!$J:$J,"MK-24"))</f>
        <v/>
      </c>
      <c r="R570">
        <f>IF($A570="","",COUNTIFS('Таблиця 1'!$B:$B,$A570,'Таблиця 1'!$I:$I,"Mirage",'Таблиця 1'!$L:$L,"Уражено")+COUNTIFS('Таблиця 1'!$B:$B,$A570,'Таблиця 1'!$I:$I,"F-16",'Таблиця 1'!$L:$L,"Уражено")+COUNTIFS('Таблиця 1'!$B:$B,$A570,'Таблиця 1'!$I:$I,"МіГ-29",'Таблиця 1'!$L:$L,"Уражено")+COUNTIFS('Таблиця 1'!$B:$B,$A570,'Таблиця 1'!$I:$I,"Су-25",'Таблиця 1'!$L:$L,"Уражено")+COUNTIFS('Таблиця 1'!$B:$B,$A570,'Таблиця 1'!$I:$I,"Су-27",'Таблиця 1'!$L:$L,"Уражено"))</f>
        <v/>
      </c>
      <c r="S570">
        <f>IF($A570="","",COUNTIFS('Таблиця 1'!$B:$B,$A570,'Таблиця 1'!$I:$I,"Mirage",'Таблиця 1'!$L:$L,"НЕ уражено")+COUNTIFS('Таблиця 1'!$B:$B,$A570,'Таблиця 1'!$I:$I,"F-16",'Таблиця 1'!$L:$L,"НЕ уражено")+COUNTIFS('Таблиця 1'!$B:$B,$A570,'Таблиця 1'!$I:$I,"МіГ-29",'Таблиця 1'!$L:$L,"НЕ уражено")+COUNTIFS('Таблиця 1'!$B:$B,$A570,'Таблиця 1'!$I:$I,"Су-25",'Таблиця 1'!$L:$L,"НЕ уражено")+COUNTIFS('Таблиця 1'!$B:$B,$A570,'Таблиця 1'!$I:$I,"Су-27",'Таблиця 1'!$L:$L,"НЕ уражено"))</f>
        <v/>
      </c>
      <c r="T570">
        <f>IF($A570="","",COUNTIFS('Таблиця 1'!$B:$B,$A570,'Таблиця 1'!$I:$I,"Mirage",'Таблиця 1'!$L:$L,"Дорозвідується")+COUNTIFS('Таблиця 1'!$B:$B,$A570,'Таблиця 1'!$I:$I,"F-16",'Таблиця 1'!$L:$L,"Дорозвідується")+COUNTIFS('Таблиця 1'!$B:$B,$A570,'Таблиця 1'!$I:$I,"МіГ-29",'Таблиця 1'!$L:$L,"Дорозвідується")+COUNTIFS('Таблиця 1'!$B:$B,$A570,'Таблиця 1'!$I:$I,"Су-25",'Таблиця 1'!$L:$L,"Дорозвідується")+COUNTIFS('Таблиця 1'!$B:$B,$A570,'Таблиця 1'!$I:$I,"Су-27",'Таблиця 1'!$L:$L,"Дорозвідується"))</f>
        <v/>
      </c>
    </row>
    <row r="571">
      <c r="A571" s="273">
        <f>IF(A570="","",IF(A570+1&gt;MAX('Таблиця 1'!$B:$B),"",A570+1))</f>
        <v/>
      </c>
      <c r="B571">
        <f>IF($A571="","",COUNTIFS('Таблиця 1'!$B:$B,$A571,'Таблиця 1'!$I:$I,"Mirage")+COUNTIFS('Таблиця 1'!$B:$B,$A571,'Таблиця 1'!$I:$I,"F-16")+COUNTIFS('Таблиця 1'!$B:$B,$A571,'Таблиця 1'!$I:$I,"МіГ-29")+COUNTIFS('Таблиця 1'!$B:$B,$A571,'Таблиця 1'!$I:$I,"Су-25")+COUNTIFS('Таблиця 1'!$B:$B,$A571,'Таблиця 1'!$I:$I,"Су-27"))</f>
        <v/>
      </c>
      <c r="C571">
        <f>IF($A571="","",COUNTIFS('Таблиця 1'!$B:$B,$A571,'Таблиця 1'!$I:$I,"Mirage"))</f>
        <v/>
      </c>
      <c r="D571">
        <f>IF($A571="","",COUNTIFS('Таблиця 1'!$B:$B,$A571,'Таблиця 1'!$I:$I,"F-16"))</f>
        <v/>
      </c>
      <c r="E571">
        <f>IF($A571="","",COUNTIFS('Таблиця 1'!$B:$B,$A571,'Таблиця 1'!$I:$I,"МіГ-29"))</f>
        <v/>
      </c>
      <c r="F571">
        <f>IF($A571="","",COUNTIFS('Таблиця 1'!$B:$B,$A571,'Таблиця 1'!$I:$I,"Су-25"))</f>
        <v/>
      </c>
      <c r="G571">
        <f>IF($A571="","",COUNTIFS('Таблиця 1'!$B:$B,$A571,'Таблиця 1'!$I:$I,"Су-27"))</f>
        <v/>
      </c>
      <c r="H571">
        <f>IF($A571="","",SUMIFS('Таблиця 1'!$K:$K,'Таблиця 1'!$B:$B,$A571,'Таблиця 1'!$I:$I,"Mirage",'Таблиця 1'!$J:$J,"AGM-88")+SUMIFS('Таблиця 1'!$K:$K,'Таблиця 1'!$B:$B,$A571,'Таблиця 1'!$I:$I,"F-16",'Таблиця 1'!$J:$J,"AGM-88")+SUMIFS('Таблиця 1'!$K:$K,'Таблиця 1'!$B:$B,$A571,'Таблиця 1'!$I:$I,"МіГ-29",'Таблиця 1'!$J:$J,"AGM-88")+SUMIFS('Таблиця 1'!$K:$K,'Таблиця 1'!$B:$B,$A571,'Таблиця 1'!$I:$I,"Су-25",'Таблиця 1'!$J:$J,"AGM-88")+SUMIFS('Таблиця 1'!$K:$K,'Таблиця 1'!$B:$B,$A571,'Таблиця 1'!$I:$I,"Су-27",'Таблиця 1'!$J:$J,"AGM-88"))</f>
        <v/>
      </c>
      <c r="I571">
        <f>IF($A571="","",SUMIFS('Таблиця 1'!$K:$K,'Таблиця 1'!$B:$B,$A571,'Таблиця 1'!$I:$I,"Mirage",'Таблиця 1'!$J:$J,"AASM-250")+SUMIFS('Таблиця 1'!$K:$K,'Таблиця 1'!$B:$B,$A571,'Таблиця 1'!$I:$I,"F-16",'Таблиця 1'!$J:$J,"AASM-250")+SUMIFS('Таблиця 1'!$K:$K,'Таблиця 1'!$B:$B,$A571,'Таблиця 1'!$I:$I,"МіГ-29",'Таблиця 1'!$J:$J,"AASM-250")+SUMIFS('Таблиця 1'!$K:$K,'Таблиця 1'!$B:$B,$A571,'Таблиця 1'!$I:$I,"Су-25",'Таблиця 1'!$J:$J,"AASM-250")+SUMIFS('Таблиця 1'!$K:$K,'Таблиця 1'!$B:$B,$A571,'Таблиця 1'!$I:$I,"Су-27",'Таблиця 1'!$J:$J,"AASM-250"))</f>
        <v/>
      </c>
      <c r="J571">
        <f>IF($A571="","",SUMIFS('Таблиця 1'!$K:$K,'Таблиця 1'!$B:$B,$A571,'Таблиця 1'!$I:$I,"Mirage",'Таблиця 1'!$J:$J,"GBU-39")+SUMIFS('Таблиця 1'!$K:$K,'Таблиця 1'!$B:$B,$A571,'Таблиця 1'!$I:$I,"F-16",'Таблиця 1'!$J:$J,"GBU-39")+SUMIFS('Таблиця 1'!$K:$K,'Таблиця 1'!$B:$B,$A571,'Таблиця 1'!$I:$I,"МіГ-29",'Таблиця 1'!$J:$J,"GBU-39")+SUMIFS('Таблиця 1'!$K:$K,'Таблиця 1'!$B:$B,$A571,'Таблиця 1'!$I:$I,"Су-25",'Таблиця 1'!$J:$J,"GBU-39")+SUMIFS('Таблиця 1'!$K:$K,'Таблиця 1'!$B:$B,$A571,'Таблиця 1'!$I:$I,"Су-27",'Таблиця 1'!$J:$J,"GBU-39"))</f>
        <v/>
      </c>
      <c r="K571">
        <f>IF($A571="","",SUMIFS('Таблиця 1'!$K:$K,'Таблиця 1'!$B:$B,$A571,'Таблиця 1'!$I:$I,"Mirage",'Таблиця 1'!$J:$J,"BLU-140")+SUMIFS('Таблиця 1'!$K:$K,'Таблиця 1'!$B:$B,$A571,'Таблиця 1'!$I:$I,"F-16",'Таблиця 1'!$J:$J,"BLU-140")+SUMIFS('Таблиця 1'!$K:$K,'Таблиця 1'!$B:$B,$A571,'Таблиця 1'!$I:$I,"МіГ-29",'Таблиця 1'!$J:$J,"BLU-140")+SUMIFS('Таблиця 1'!$K:$K,'Таблиця 1'!$B:$B,$A571,'Таблиця 1'!$I:$I,"Су-25",'Таблиця 1'!$J:$J,"BLU-140")+SUMIFS('Таблиця 1'!$K:$K,'Таблиця 1'!$B:$B,$A571,'Таблиця 1'!$I:$I,"Су-27",'Таблиця 1'!$J:$J,"BLU-140"))</f>
        <v/>
      </c>
      <c r="L571">
        <f>IF($A571="","",SUMIFS('Таблиця 1'!$K:$K,'Таблиця 1'!$B:$B,$A571,'Таблиця 1'!$I:$I,"Mirage",'Таблиця 1'!$J:$J,"GBU-65")+SUMIFS('Таблиця 1'!$K:$K,'Таблиця 1'!$B:$B,$A571,'Таблиця 1'!$I:$I,"F-16",'Таблиця 1'!$J:$J,"GBU-65")+SUMIFS('Таблиця 1'!$K:$K,'Таблиця 1'!$B:$B,$A571,'Таблиця 1'!$I:$I,"МіГ-29",'Таблиця 1'!$J:$J,"GBU-65")+SUMIFS('Таблиця 1'!$K:$K,'Таблиця 1'!$B:$B,$A571,'Таблиця 1'!$I:$I,"Су-25",'Таблиця 1'!$J:$J,"GBU-65")+SUMIFS('Таблиця 1'!$K:$K,'Таблиця 1'!$B:$B,$A571,'Таблиця 1'!$I:$I,"Су-27",'Таблиця 1'!$J:$J,"GBU-65"))</f>
        <v/>
      </c>
      <c r="M571">
        <f>IF($A571="","",SUMIFS('Таблиця 1'!$K:$K,'Таблиця 1'!$B:$B,$A571,'Таблиця 1'!$I:$I,"Mirage",'Таблиця 1'!$J:$J,"GBU-62")+SUMIFS('Таблиця 1'!$K:$K,'Таблиця 1'!$B:$B,$A571,'Таблиця 1'!$I:$I,"F-16",'Таблиця 1'!$J:$J,"GBU-62")+SUMIFS('Таблиця 1'!$K:$K,'Таблиця 1'!$B:$B,$A571,'Таблиця 1'!$I:$I,"МіГ-29",'Таблиця 1'!$J:$J,"GBU-62")+SUMIFS('Таблиця 1'!$K:$K,'Таблиця 1'!$B:$B,$A571,'Таблиця 1'!$I:$I,"Су-25",'Таблиця 1'!$J:$J,"GBU-62")+SUMIFS('Таблиця 1'!$K:$K,'Таблиця 1'!$B:$B,$A571,'Таблиця 1'!$I:$I,"Су-27",'Таблиця 1'!$J:$J,"GBU-62"))</f>
        <v/>
      </c>
      <c r="N571">
        <f>IF($A571="","",SUMIFS('Таблиця 1'!$K:$K,'Таблиця 1'!$B:$B,$A571,'Таблиця 1'!$I:$I,"Mirage",'Таблиця 1'!$J:$J,"GBU-64")+SUMIFS('Таблиця 1'!$K:$K,'Таблиця 1'!$B:$B,$A571,'Таблиця 1'!$I:$I,"F-16",'Таблиця 1'!$J:$J,"GBU-64")+SUMIFS('Таблиця 1'!$K:$K,'Таблиця 1'!$B:$B,$A571,'Таблиця 1'!$I:$I,"МіГ-29",'Таблиця 1'!$J:$J,"GBU-64")+SUMIFS('Таблиця 1'!$K:$K,'Таблиця 1'!$B:$B,$A571,'Таблиця 1'!$I:$I,"Су-25",'Таблиця 1'!$J:$J,"GBU-64")+SUMIFS('Таблиця 1'!$K:$K,'Таблиця 1'!$B:$B,$A571,'Таблиця 1'!$I:$I,"Су-27",'Таблиця 1'!$J:$J,"GBU-64"))</f>
        <v/>
      </c>
      <c r="O571">
        <f>IF($A571="","",SUMIFS('Таблиця 1'!$K:$K,'Таблиця 1'!$B:$B,$A571,'Таблиця 1'!$I:$I,"Mirage",'Таблиця 1'!$J:$J,"C-13")+SUMIFS('Таблиця 1'!$K:$K,'Таблиця 1'!$B:$B,$A571,'Таблиця 1'!$I:$I,"F-16",'Таблиця 1'!$J:$J,"C-13")+SUMIFS('Таблиця 1'!$K:$K,'Таблиця 1'!$B:$B,$A571,'Таблиця 1'!$I:$I,"МіГ-29",'Таблиця 1'!$J:$J,"C-13")+SUMIFS('Таблиця 1'!$K:$K,'Таблиця 1'!$B:$B,$A571,'Таблиця 1'!$I:$I,"Су-25",'Таблиця 1'!$J:$J,"C-13")+SUMIFS('Таблиця 1'!$K:$K,'Таблиця 1'!$B:$B,$A571,'Таблиця 1'!$I:$I,"Су-27",'Таблиця 1'!$J:$J,"C-13"))</f>
        <v/>
      </c>
      <c r="P571">
        <f>IF($A571="","",SUMIFS('Таблиця 1'!$K:$K,'Таблиця 1'!$B:$B,$A571,'Таблиця 1'!$I:$I,"Mirage",'Таблиця 1'!$J:$J,"MK-32")+SUMIFS('Таблиця 1'!$K:$K,'Таблиця 1'!$B:$B,$A571,'Таблиця 1'!$I:$I,"F-16",'Таблиця 1'!$J:$J,"MK-32")+SUMIFS('Таблиця 1'!$K:$K,'Таблиця 1'!$B:$B,$A571,'Таблиця 1'!$I:$I,"МіГ-29",'Таблиця 1'!$J:$J,"MK-32")+SUMIFS('Таблиця 1'!$K:$K,'Таблиця 1'!$B:$B,$A571,'Таблиця 1'!$I:$I,"Су-25",'Таблиця 1'!$J:$J,"MK-32")+SUMIFS('Таблиця 1'!$K:$K,'Таблиця 1'!$B:$B,$A571,'Таблиця 1'!$I:$I,"Су-27",'Таблиця 1'!$J:$J,"MK-32"))</f>
        <v/>
      </c>
      <c r="Q571">
        <f>IF($A571="","",SUMIFS('Таблиця 1'!$K:$K,'Таблиця 1'!$B:$B,$A571,'Таблиця 1'!$I:$I,"Mirage",'Таблиця 1'!$J:$J,"MK-24")+SUMIFS('Таблиця 1'!$K:$K,'Таблиця 1'!$B:$B,$A571,'Таблиця 1'!$I:$I,"F-16",'Таблиця 1'!$J:$J,"MK-24")+SUMIFS('Таблиця 1'!$K:$K,'Таблиця 1'!$B:$B,$A571,'Таблиця 1'!$I:$I,"МіГ-29",'Таблиця 1'!$J:$J,"MK-24")+SUMIFS('Таблиця 1'!$K:$K,'Таблиця 1'!$B:$B,$A571,'Таблиця 1'!$I:$I,"Су-25",'Таблиця 1'!$J:$J,"MK-24")+SUMIFS('Таблиця 1'!$K:$K,'Таблиця 1'!$B:$B,$A571,'Таблиця 1'!$I:$I,"Су-27",'Таблиця 1'!$J:$J,"MK-24"))</f>
        <v/>
      </c>
      <c r="R571">
        <f>IF($A571="","",COUNTIFS('Таблиця 1'!$B:$B,$A571,'Таблиця 1'!$I:$I,"Mirage",'Таблиця 1'!$L:$L,"Уражено")+COUNTIFS('Таблиця 1'!$B:$B,$A571,'Таблиця 1'!$I:$I,"F-16",'Таблиця 1'!$L:$L,"Уражено")+COUNTIFS('Таблиця 1'!$B:$B,$A571,'Таблиця 1'!$I:$I,"МіГ-29",'Таблиця 1'!$L:$L,"Уражено")+COUNTIFS('Таблиця 1'!$B:$B,$A571,'Таблиця 1'!$I:$I,"Су-25",'Таблиця 1'!$L:$L,"Уражено")+COUNTIFS('Таблиця 1'!$B:$B,$A571,'Таблиця 1'!$I:$I,"Су-27",'Таблиця 1'!$L:$L,"Уражено"))</f>
        <v/>
      </c>
      <c r="S571">
        <f>IF($A571="","",COUNTIFS('Таблиця 1'!$B:$B,$A571,'Таблиця 1'!$I:$I,"Mirage",'Таблиця 1'!$L:$L,"НЕ уражено")+COUNTIFS('Таблиця 1'!$B:$B,$A571,'Таблиця 1'!$I:$I,"F-16",'Таблиця 1'!$L:$L,"НЕ уражено")+COUNTIFS('Таблиця 1'!$B:$B,$A571,'Таблиця 1'!$I:$I,"МіГ-29",'Таблиця 1'!$L:$L,"НЕ уражено")+COUNTIFS('Таблиця 1'!$B:$B,$A571,'Таблиця 1'!$I:$I,"Су-25",'Таблиця 1'!$L:$L,"НЕ уражено")+COUNTIFS('Таблиця 1'!$B:$B,$A571,'Таблиця 1'!$I:$I,"Су-27",'Таблиця 1'!$L:$L,"НЕ уражено"))</f>
        <v/>
      </c>
      <c r="T571">
        <f>IF($A571="","",COUNTIFS('Таблиця 1'!$B:$B,$A571,'Таблиця 1'!$I:$I,"Mirage",'Таблиця 1'!$L:$L,"Дорозвідується")+COUNTIFS('Таблиця 1'!$B:$B,$A571,'Таблиця 1'!$I:$I,"F-16",'Таблиця 1'!$L:$L,"Дорозвідується")+COUNTIFS('Таблиця 1'!$B:$B,$A571,'Таблиця 1'!$I:$I,"МіГ-29",'Таблиця 1'!$L:$L,"Дорозвідується")+COUNTIFS('Таблиця 1'!$B:$B,$A571,'Таблиця 1'!$I:$I,"Су-25",'Таблиця 1'!$L:$L,"Дорозвідується")+COUNTIFS('Таблиця 1'!$B:$B,$A571,'Таблиця 1'!$I:$I,"Су-27",'Таблиця 1'!$L:$L,"Дорозвідується"))</f>
        <v/>
      </c>
    </row>
    <row r="572">
      <c r="A572" s="273">
        <f>IF(A571="","",IF(A571+1&gt;MAX('Таблиця 1'!$B:$B),"",A571+1))</f>
        <v/>
      </c>
      <c r="B572">
        <f>IF($A572="","",COUNTIFS('Таблиця 1'!$B:$B,$A572,'Таблиця 1'!$I:$I,"Mirage")+COUNTIFS('Таблиця 1'!$B:$B,$A572,'Таблиця 1'!$I:$I,"F-16")+COUNTIFS('Таблиця 1'!$B:$B,$A572,'Таблиця 1'!$I:$I,"МіГ-29")+COUNTIFS('Таблиця 1'!$B:$B,$A572,'Таблиця 1'!$I:$I,"Су-25")+COUNTIFS('Таблиця 1'!$B:$B,$A572,'Таблиця 1'!$I:$I,"Су-27"))</f>
        <v/>
      </c>
      <c r="C572">
        <f>IF($A572="","",COUNTIFS('Таблиця 1'!$B:$B,$A572,'Таблиця 1'!$I:$I,"Mirage"))</f>
        <v/>
      </c>
      <c r="D572">
        <f>IF($A572="","",COUNTIFS('Таблиця 1'!$B:$B,$A572,'Таблиця 1'!$I:$I,"F-16"))</f>
        <v/>
      </c>
      <c r="E572">
        <f>IF($A572="","",COUNTIFS('Таблиця 1'!$B:$B,$A572,'Таблиця 1'!$I:$I,"МіГ-29"))</f>
        <v/>
      </c>
      <c r="F572">
        <f>IF($A572="","",COUNTIFS('Таблиця 1'!$B:$B,$A572,'Таблиця 1'!$I:$I,"Су-25"))</f>
        <v/>
      </c>
      <c r="G572">
        <f>IF($A572="","",COUNTIFS('Таблиця 1'!$B:$B,$A572,'Таблиця 1'!$I:$I,"Су-27"))</f>
        <v/>
      </c>
      <c r="H572">
        <f>IF($A572="","",SUMIFS('Таблиця 1'!$K:$K,'Таблиця 1'!$B:$B,$A572,'Таблиця 1'!$I:$I,"Mirage",'Таблиця 1'!$J:$J,"AGM-88")+SUMIFS('Таблиця 1'!$K:$K,'Таблиця 1'!$B:$B,$A572,'Таблиця 1'!$I:$I,"F-16",'Таблиця 1'!$J:$J,"AGM-88")+SUMIFS('Таблиця 1'!$K:$K,'Таблиця 1'!$B:$B,$A572,'Таблиця 1'!$I:$I,"МіГ-29",'Таблиця 1'!$J:$J,"AGM-88")+SUMIFS('Таблиця 1'!$K:$K,'Таблиця 1'!$B:$B,$A572,'Таблиця 1'!$I:$I,"Су-25",'Таблиця 1'!$J:$J,"AGM-88")+SUMIFS('Таблиця 1'!$K:$K,'Таблиця 1'!$B:$B,$A572,'Таблиця 1'!$I:$I,"Су-27",'Таблиця 1'!$J:$J,"AGM-88"))</f>
        <v/>
      </c>
      <c r="I572">
        <f>IF($A572="","",SUMIFS('Таблиця 1'!$K:$K,'Таблиця 1'!$B:$B,$A572,'Таблиця 1'!$I:$I,"Mirage",'Таблиця 1'!$J:$J,"AASM-250")+SUMIFS('Таблиця 1'!$K:$K,'Таблиця 1'!$B:$B,$A572,'Таблиця 1'!$I:$I,"F-16",'Таблиця 1'!$J:$J,"AASM-250")+SUMIFS('Таблиця 1'!$K:$K,'Таблиця 1'!$B:$B,$A572,'Таблиця 1'!$I:$I,"МіГ-29",'Таблиця 1'!$J:$J,"AASM-250")+SUMIFS('Таблиця 1'!$K:$K,'Таблиця 1'!$B:$B,$A572,'Таблиця 1'!$I:$I,"Су-25",'Таблиця 1'!$J:$J,"AASM-250")+SUMIFS('Таблиця 1'!$K:$K,'Таблиця 1'!$B:$B,$A572,'Таблиця 1'!$I:$I,"Су-27",'Таблиця 1'!$J:$J,"AASM-250"))</f>
        <v/>
      </c>
      <c r="J572">
        <f>IF($A572="","",SUMIFS('Таблиця 1'!$K:$K,'Таблиця 1'!$B:$B,$A572,'Таблиця 1'!$I:$I,"Mirage",'Таблиця 1'!$J:$J,"GBU-39")+SUMIFS('Таблиця 1'!$K:$K,'Таблиця 1'!$B:$B,$A572,'Таблиця 1'!$I:$I,"F-16",'Таблиця 1'!$J:$J,"GBU-39")+SUMIFS('Таблиця 1'!$K:$K,'Таблиця 1'!$B:$B,$A572,'Таблиця 1'!$I:$I,"МіГ-29",'Таблиця 1'!$J:$J,"GBU-39")+SUMIFS('Таблиця 1'!$K:$K,'Таблиця 1'!$B:$B,$A572,'Таблиця 1'!$I:$I,"Су-25",'Таблиця 1'!$J:$J,"GBU-39")+SUMIFS('Таблиця 1'!$K:$K,'Таблиця 1'!$B:$B,$A572,'Таблиця 1'!$I:$I,"Су-27",'Таблиця 1'!$J:$J,"GBU-39"))</f>
        <v/>
      </c>
      <c r="K572">
        <f>IF($A572="","",SUMIFS('Таблиця 1'!$K:$K,'Таблиця 1'!$B:$B,$A572,'Таблиця 1'!$I:$I,"Mirage",'Таблиця 1'!$J:$J,"BLU-140")+SUMIFS('Таблиця 1'!$K:$K,'Таблиця 1'!$B:$B,$A572,'Таблиця 1'!$I:$I,"F-16",'Таблиця 1'!$J:$J,"BLU-140")+SUMIFS('Таблиця 1'!$K:$K,'Таблиця 1'!$B:$B,$A572,'Таблиця 1'!$I:$I,"МіГ-29",'Таблиця 1'!$J:$J,"BLU-140")+SUMIFS('Таблиця 1'!$K:$K,'Таблиця 1'!$B:$B,$A572,'Таблиця 1'!$I:$I,"Су-25",'Таблиця 1'!$J:$J,"BLU-140")+SUMIFS('Таблиця 1'!$K:$K,'Таблиця 1'!$B:$B,$A572,'Таблиця 1'!$I:$I,"Су-27",'Таблиця 1'!$J:$J,"BLU-140"))</f>
        <v/>
      </c>
      <c r="L572">
        <f>IF($A572="","",SUMIFS('Таблиця 1'!$K:$K,'Таблиця 1'!$B:$B,$A572,'Таблиця 1'!$I:$I,"Mirage",'Таблиця 1'!$J:$J,"GBU-65")+SUMIFS('Таблиця 1'!$K:$K,'Таблиця 1'!$B:$B,$A572,'Таблиця 1'!$I:$I,"F-16",'Таблиця 1'!$J:$J,"GBU-65")+SUMIFS('Таблиця 1'!$K:$K,'Таблиця 1'!$B:$B,$A572,'Таблиця 1'!$I:$I,"МіГ-29",'Таблиця 1'!$J:$J,"GBU-65")+SUMIFS('Таблиця 1'!$K:$K,'Таблиця 1'!$B:$B,$A572,'Таблиця 1'!$I:$I,"Су-25",'Таблиця 1'!$J:$J,"GBU-65")+SUMIFS('Таблиця 1'!$K:$K,'Таблиця 1'!$B:$B,$A572,'Таблиця 1'!$I:$I,"Су-27",'Таблиця 1'!$J:$J,"GBU-65"))</f>
        <v/>
      </c>
      <c r="M572">
        <f>IF($A572="","",SUMIFS('Таблиця 1'!$K:$K,'Таблиця 1'!$B:$B,$A572,'Таблиця 1'!$I:$I,"Mirage",'Таблиця 1'!$J:$J,"GBU-62")+SUMIFS('Таблиця 1'!$K:$K,'Таблиця 1'!$B:$B,$A572,'Таблиця 1'!$I:$I,"F-16",'Таблиця 1'!$J:$J,"GBU-62")+SUMIFS('Таблиця 1'!$K:$K,'Таблиця 1'!$B:$B,$A572,'Таблиця 1'!$I:$I,"МіГ-29",'Таблиця 1'!$J:$J,"GBU-62")+SUMIFS('Таблиця 1'!$K:$K,'Таблиця 1'!$B:$B,$A572,'Таблиця 1'!$I:$I,"Су-25",'Таблиця 1'!$J:$J,"GBU-62")+SUMIFS('Таблиця 1'!$K:$K,'Таблиця 1'!$B:$B,$A572,'Таблиця 1'!$I:$I,"Су-27",'Таблиця 1'!$J:$J,"GBU-62"))</f>
        <v/>
      </c>
      <c r="N572">
        <f>IF($A572="","",SUMIFS('Таблиця 1'!$K:$K,'Таблиця 1'!$B:$B,$A572,'Таблиця 1'!$I:$I,"Mirage",'Таблиця 1'!$J:$J,"GBU-64")+SUMIFS('Таблиця 1'!$K:$K,'Таблиця 1'!$B:$B,$A572,'Таблиця 1'!$I:$I,"F-16",'Таблиця 1'!$J:$J,"GBU-64")+SUMIFS('Таблиця 1'!$K:$K,'Таблиця 1'!$B:$B,$A572,'Таблиця 1'!$I:$I,"МіГ-29",'Таблиця 1'!$J:$J,"GBU-64")+SUMIFS('Таблиця 1'!$K:$K,'Таблиця 1'!$B:$B,$A572,'Таблиця 1'!$I:$I,"Су-25",'Таблиця 1'!$J:$J,"GBU-64")+SUMIFS('Таблиця 1'!$K:$K,'Таблиця 1'!$B:$B,$A572,'Таблиця 1'!$I:$I,"Су-27",'Таблиця 1'!$J:$J,"GBU-64"))</f>
        <v/>
      </c>
      <c r="O572">
        <f>IF($A572="","",SUMIFS('Таблиця 1'!$K:$K,'Таблиця 1'!$B:$B,$A572,'Таблиця 1'!$I:$I,"Mirage",'Таблиця 1'!$J:$J,"C-13")+SUMIFS('Таблиця 1'!$K:$K,'Таблиця 1'!$B:$B,$A572,'Таблиця 1'!$I:$I,"F-16",'Таблиця 1'!$J:$J,"C-13")+SUMIFS('Таблиця 1'!$K:$K,'Таблиця 1'!$B:$B,$A572,'Таблиця 1'!$I:$I,"МіГ-29",'Таблиця 1'!$J:$J,"C-13")+SUMIFS('Таблиця 1'!$K:$K,'Таблиця 1'!$B:$B,$A572,'Таблиця 1'!$I:$I,"Су-25",'Таблиця 1'!$J:$J,"C-13")+SUMIFS('Таблиця 1'!$K:$K,'Таблиця 1'!$B:$B,$A572,'Таблиця 1'!$I:$I,"Су-27",'Таблиця 1'!$J:$J,"C-13"))</f>
        <v/>
      </c>
      <c r="P572">
        <f>IF($A572="","",SUMIFS('Таблиця 1'!$K:$K,'Таблиця 1'!$B:$B,$A572,'Таблиця 1'!$I:$I,"Mirage",'Таблиця 1'!$J:$J,"MK-32")+SUMIFS('Таблиця 1'!$K:$K,'Таблиця 1'!$B:$B,$A572,'Таблиця 1'!$I:$I,"F-16",'Таблиця 1'!$J:$J,"MK-32")+SUMIFS('Таблиця 1'!$K:$K,'Таблиця 1'!$B:$B,$A572,'Таблиця 1'!$I:$I,"МіГ-29",'Таблиця 1'!$J:$J,"MK-32")+SUMIFS('Таблиця 1'!$K:$K,'Таблиця 1'!$B:$B,$A572,'Таблиця 1'!$I:$I,"Су-25",'Таблиця 1'!$J:$J,"MK-32")+SUMIFS('Таблиця 1'!$K:$K,'Таблиця 1'!$B:$B,$A572,'Таблиця 1'!$I:$I,"Су-27",'Таблиця 1'!$J:$J,"MK-32"))</f>
        <v/>
      </c>
      <c r="Q572">
        <f>IF($A572="","",SUMIFS('Таблиця 1'!$K:$K,'Таблиця 1'!$B:$B,$A572,'Таблиця 1'!$I:$I,"Mirage",'Таблиця 1'!$J:$J,"MK-24")+SUMIFS('Таблиця 1'!$K:$K,'Таблиця 1'!$B:$B,$A572,'Таблиця 1'!$I:$I,"F-16",'Таблиця 1'!$J:$J,"MK-24")+SUMIFS('Таблиця 1'!$K:$K,'Таблиця 1'!$B:$B,$A572,'Таблиця 1'!$I:$I,"МіГ-29",'Таблиця 1'!$J:$J,"MK-24")+SUMIFS('Таблиця 1'!$K:$K,'Таблиця 1'!$B:$B,$A572,'Таблиця 1'!$I:$I,"Су-25",'Таблиця 1'!$J:$J,"MK-24")+SUMIFS('Таблиця 1'!$K:$K,'Таблиця 1'!$B:$B,$A572,'Таблиця 1'!$I:$I,"Су-27",'Таблиця 1'!$J:$J,"MK-24"))</f>
        <v/>
      </c>
      <c r="R572">
        <f>IF($A572="","",COUNTIFS('Таблиця 1'!$B:$B,$A572,'Таблиця 1'!$I:$I,"Mirage",'Таблиця 1'!$L:$L,"Уражено")+COUNTIFS('Таблиця 1'!$B:$B,$A572,'Таблиця 1'!$I:$I,"F-16",'Таблиця 1'!$L:$L,"Уражено")+COUNTIFS('Таблиця 1'!$B:$B,$A572,'Таблиця 1'!$I:$I,"МіГ-29",'Таблиця 1'!$L:$L,"Уражено")+COUNTIFS('Таблиця 1'!$B:$B,$A572,'Таблиця 1'!$I:$I,"Су-25",'Таблиця 1'!$L:$L,"Уражено")+COUNTIFS('Таблиця 1'!$B:$B,$A572,'Таблиця 1'!$I:$I,"Су-27",'Таблиця 1'!$L:$L,"Уражено"))</f>
        <v/>
      </c>
      <c r="S572">
        <f>IF($A572="","",COUNTIFS('Таблиця 1'!$B:$B,$A572,'Таблиця 1'!$I:$I,"Mirage",'Таблиця 1'!$L:$L,"НЕ уражено")+COUNTIFS('Таблиця 1'!$B:$B,$A572,'Таблиця 1'!$I:$I,"F-16",'Таблиця 1'!$L:$L,"НЕ уражено")+COUNTIFS('Таблиця 1'!$B:$B,$A572,'Таблиця 1'!$I:$I,"МіГ-29",'Таблиця 1'!$L:$L,"НЕ уражено")+COUNTIFS('Таблиця 1'!$B:$B,$A572,'Таблиця 1'!$I:$I,"Су-25",'Таблиця 1'!$L:$L,"НЕ уражено")+COUNTIFS('Таблиця 1'!$B:$B,$A572,'Таблиця 1'!$I:$I,"Су-27",'Таблиця 1'!$L:$L,"НЕ уражено"))</f>
        <v/>
      </c>
      <c r="T572">
        <f>IF($A572="","",COUNTIFS('Таблиця 1'!$B:$B,$A572,'Таблиця 1'!$I:$I,"Mirage",'Таблиця 1'!$L:$L,"Дорозвідується")+COUNTIFS('Таблиця 1'!$B:$B,$A572,'Таблиця 1'!$I:$I,"F-16",'Таблиця 1'!$L:$L,"Дорозвідується")+COUNTIFS('Таблиця 1'!$B:$B,$A572,'Таблиця 1'!$I:$I,"МіГ-29",'Таблиця 1'!$L:$L,"Дорозвідується")+COUNTIFS('Таблиця 1'!$B:$B,$A572,'Таблиця 1'!$I:$I,"Су-25",'Таблиця 1'!$L:$L,"Дорозвідується")+COUNTIFS('Таблиця 1'!$B:$B,$A572,'Таблиця 1'!$I:$I,"Су-27",'Таблиця 1'!$L:$L,"Дорозвідується"))</f>
        <v/>
      </c>
    </row>
    <row r="573">
      <c r="A573" s="273">
        <f>IF(A572="","",IF(A572+1&gt;MAX('Таблиця 1'!$B:$B),"",A572+1))</f>
        <v/>
      </c>
      <c r="B573">
        <f>IF($A573="","",COUNTIFS('Таблиця 1'!$B:$B,$A573,'Таблиця 1'!$I:$I,"Mirage")+COUNTIFS('Таблиця 1'!$B:$B,$A573,'Таблиця 1'!$I:$I,"F-16")+COUNTIFS('Таблиця 1'!$B:$B,$A573,'Таблиця 1'!$I:$I,"МіГ-29")+COUNTIFS('Таблиця 1'!$B:$B,$A573,'Таблиця 1'!$I:$I,"Су-25")+COUNTIFS('Таблиця 1'!$B:$B,$A573,'Таблиця 1'!$I:$I,"Су-27"))</f>
        <v/>
      </c>
      <c r="C573">
        <f>IF($A573="","",COUNTIFS('Таблиця 1'!$B:$B,$A573,'Таблиця 1'!$I:$I,"Mirage"))</f>
        <v/>
      </c>
      <c r="D573">
        <f>IF($A573="","",COUNTIFS('Таблиця 1'!$B:$B,$A573,'Таблиця 1'!$I:$I,"F-16"))</f>
        <v/>
      </c>
      <c r="E573">
        <f>IF($A573="","",COUNTIFS('Таблиця 1'!$B:$B,$A573,'Таблиця 1'!$I:$I,"МіГ-29"))</f>
        <v/>
      </c>
      <c r="F573">
        <f>IF($A573="","",COUNTIFS('Таблиця 1'!$B:$B,$A573,'Таблиця 1'!$I:$I,"Су-25"))</f>
        <v/>
      </c>
      <c r="G573">
        <f>IF($A573="","",COUNTIFS('Таблиця 1'!$B:$B,$A573,'Таблиця 1'!$I:$I,"Су-27"))</f>
        <v/>
      </c>
      <c r="H573">
        <f>IF($A573="","",SUMIFS('Таблиця 1'!$K:$K,'Таблиця 1'!$B:$B,$A573,'Таблиця 1'!$I:$I,"Mirage",'Таблиця 1'!$J:$J,"AGM-88")+SUMIFS('Таблиця 1'!$K:$K,'Таблиця 1'!$B:$B,$A573,'Таблиця 1'!$I:$I,"F-16",'Таблиця 1'!$J:$J,"AGM-88")+SUMIFS('Таблиця 1'!$K:$K,'Таблиця 1'!$B:$B,$A573,'Таблиця 1'!$I:$I,"МіГ-29",'Таблиця 1'!$J:$J,"AGM-88")+SUMIFS('Таблиця 1'!$K:$K,'Таблиця 1'!$B:$B,$A573,'Таблиця 1'!$I:$I,"Су-25",'Таблиця 1'!$J:$J,"AGM-88")+SUMIFS('Таблиця 1'!$K:$K,'Таблиця 1'!$B:$B,$A573,'Таблиця 1'!$I:$I,"Су-27",'Таблиця 1'!$J:$J,"AGM-88"))</f>
        <v/>
      </c>
      <c r="I573">
        <f>IF($A573="","",SUMIFS('Таблиця 1'!$K:$K,'Таблиця 1'!$B:$B,$A573,'Таблиця 1'!$I:$I,"Mirage",'Таблиця 1'!$J:$J,"AASM-250")+SUMIFS('Таблиця 1'!$K:$K,'Таблиця 1'!$B:$B,$A573,'Таблиця 1'!$I:$I,"F-16",'Таблиця 1'!$J:$J,"AASM-250")+SUMIFS('Таблиця 1'!$K:$K,'Таблиця 1'!$B:$B,$A573,'Таблиця 1'!$I:$I,"МіГ-29",'Таблиця 1'!$J:$J,"AASM-250")+SUMIFS('Таблиця 1'!$K:$K,'Таблиця 1'!$B:$B,$A573,'Таблиця 1'!$I:$I,"Су-25",'Таблиця 1'!$J:$J,"AASM-250")+SUMIFS('Таблиця 1'!$K:$K,'Таблиця 1'!$B:$B,$A573,'Таблиця 1'!$I:$I,"Су-27",'Таблиця 1'!$J:$J,"AASM-250"))</f>
        <v/>
      </c>
      <c r="J573">
        <f>IF($A573="","",SUMIFS('Таблиця 1'!$K:$K,'Таблиця 1'!$B:$B,$A573,'Таблиця 1'!$I:$I,"Mirage",'Таблиця 1'!$J:$J,"GBU-39")+SUMIFS('Таблиця 1'!$K:$K,'Таблиця 1'!$B:$B,$A573,'Таблиця 1'!$I:$I,"F-16",'Таблиця 1'!$J:$J,"GBU-39")+SUMIFS('Таблиця 1'!$K:$K,'Таблиця 1'!$B:$B,$A573,'Таблиця 1'!$I:$I,"МіГ-29",'Таблиця 1'!$J:$J,"GBU-39")+SUMIFS('Таблиця 1'!$K:$K,'Таблиця 1'!$B:$B,$A573,'Таблиця 1'!$I:$I,"Су-25",'Таблиця 1'!$J:$J,"GBU-39")+SUMIFS('Таблиця 1'!$K:$K,'Таблиця 1'!$B:$B,$A573,'Таблиця 1'!$I:$I,"Су-27",'Таблиця 1'!$J:$J,"GBU-39"))</f>
        <v/>
      </c>
      <c r="K573">
        <f>IF($A573="","",SUMIFS('Таблиця 1'!$K:$K,'Таблиця 1'!$B:$B,$A573,'Таблиця 1'!$I:$I,"Mirage",'Таблиця 1'!$J:$J,"BLU-140")+SUMIFS('Таблиця 1'!$K:$K,'Таблиця 1'!$B:$B,$A573,'Таблиця 1'!$I:$I,"F-16",'Таблиця 1'!$J:$J,"BLU-140")+SUMIFS('Таблиця 1'!$K:$K,'Таблиця 1'!$B:$B,$A573,'Таблиця 1'!$I:$I,"МіГ-29",'Таблиця 1'!$J:$J,"BLU-140")+SUMIFS('Таблиця 1'!$K:$K,'Таблиця 1'!$B:$B,$A573,'Таблиця 1'!$I:$I,"Су-25",'Таблиця 1'!$J:$J,"BLU-140")+SUMIFS('Таблиця 1'!$K:$K,'Таблиця 1'!$B:$B,$A573,'Таблиця 1'!$I:$I,"Су-27",'Таблиця 1'!$J:$J,"BLU-140"))</f>
        <v/>
      </c>
      <c r="L573">
        <f>IF($A573="","",SUMIFS('Таблиця 1'!$K:$K,'Таблиця 1'!$B:$B,$A573,'Таблиця 1'!$I:$I,"Mirage",'Таблиця 1'!$J:$J,"GBU-65")+SUMIFS('Таблиця 1'!$K:$K,'Таблиця 1'!$B:$B,$A573,'Таблиця 1'!$I:$I,"F-16",'Таблиця 1'!$J:$J,"GBU-65")+SUMIFS('Таблиця 1'!$K:$K,'Таблиця 1'!$B:$B,$A573,'Таблиця 1'!$I:$I,"МіГ-29",'Таблиця 1'!$J:$J,"GBU-65")+SUMIFS('Таблиця 1'!$K:$K,'Таблиця 1'!$B:$B,$A573,'Таблиця 1'!$I:$I,"Су-25",'Таблиця 1'!$J:$J,"GBU-65")+SUMIFS('Таблиця 1'!$K:$K,'Таблиця 1'!$B:$B,$A573,'Таблиця 1'!$I:$I,"Су-27",'Таблиця 1'!$J:$J,"GBU-65"))</f>
        <v/>
      </c>
      <c r="M573">
        <f>IF($A573="","",SUMIFS('Таблиця 1'!$K:$K,'Таблиця 1'!$B:$B,$A573,'Таблиця 1'!$I:$I,"Mirage",'Таблиця 1'!$J:$J,"GBU-62")+SUMIFS('Таблиця 1'!$K:$K,'Таблиця 1'!$B:$B,$A573,'Таблиця 1'!$I:$I,"F-16",'Таблиця 1'!$J:$J,"GBU-62")+SUMIFS('Таблиця 1'!$K:$K,'Таблиця 1'!$B:$B,$A573,'Таблиця 1'!$I:$I,"МіГ-29",'Таблиця 1'!$J:$J,"GBU-62")+SUMIFS('Таблиця 1'!$K:$K,'Таблиця 1'!$B:$B,$A573,'Таблиця 1'!$I:$I,"Су-25",'Таблиця 1'!$J:$J,"GBU-62")+SUMIFS('Таблиця 1'!$K:$K,'Таблиця 1'!$B:$B,$A573,'Таблиця 1'!$I:$I,"Су-27",'Таблиця 1'!$J:$J,"GBU-62"))</f>
        <v/>
      </c>
      <c r="N573">
        <f>IF($A573="","",SUMIFS('Таблиця 1'!$K:$K,'Таблиця 1'!$B:$B,$A573,'Таблиця 1'!$I:$I,"Mirage",'Таблиця 1'!$J:$J,"GBU-64")+SUMIFS('Таблиця 1'!$K:$K,'Таблиця 1'!$B:$B,$A573,'Таблиця 1'!$I:$I,"F-16",'Таблиця 1'!$J:$J,"GBU-64")+SUMIFS('Таблиця 1'!$K:$K,'Таблиця 1'!$B:$B,$A573,'Таблиця 1'!$I:$I,"МіГ-29",'Таблиця 1'!$J:$J,"GBU-64")+SUMIFS('Таблиця 1'!$K:$K,'Таблиця 1'!$B:$B,$A573,'Таблиця 1'!$I:$I,"Су-25",'Таблиця 1'!$J:$J,"GBU-64")+SUMIFS('Таблиця 1'!$K:$K,'Таблиця 1'!$B:$B,$A573,'Таблиця 1'!$I:$I,"Су-27",'Таблиця 1'!$J:$J,"GBU-64"))</f>
        <v/>
      </c>
      <c r="O573">
        <f>IF($A573="","",SUMIFS('Таблиця 1'!$K:$K,'Таблиця 1'!$B:$B,$A573,'Таблиця 1'!$I:$I,"Mirage",'Таблиця 1'!$J:$J,"C-13")+SUMIFS('Таблиця 1'!$K:$K,'Таблиця 1'!$B:$B,$A573,'Таблиця 1'!$I:$I,"F-16",'Таблиця 1'!$J:$J,"C-13")+SUMIFS('Таблиця 1'!$K:$K,'Таблиця 1'!$B:$B,$A573,'Таблиця 1'!$I:$I,"МіГ-29",'Таблиця 1'!$J:$J,"C-13")+SUMIFS('Таблиця 1'!$K:$K,'Таблиця 1'!$B:$B,$A573,'Таблиця 1'!$I:$I,"Су-25",'Таблиця 1'!$J:$J,"C-13")+SUMIFS('Таблиця 1'!$K:$K,'Таблиця 1'!$B:$B,$A573,'Таблиця 1'!$I:$I,"Су-27",'Таблиця 1'!$J:$J,"C-13"))</f>
        <v/>
      </c>
      <c r="P573">
        <f>IF($A573="","",SUMIFS('Таблиця 1'!$K:$K,'Таблиця 1'!$B:$B,$A573,'Таблиця 1'!$I:$I,"Mirage",'Таблиця 1'!$J:$J,"MK-32")+SUMIFS('Таблиця 1'!$K:$K,'Таблиця 1'!$B:$B,$A573,'Таблиця 1'!$I:$I,"F-16",'Таблиця 1'!$J:$J,"MK-32")+SUMIFS('Таблиця 1'!$K:$K,'Таблиця 1'!$B:$B,$A573,'Таблиця 1'!$I:$I,"МіГ-29",'Таблиця 1'!$J:$J,"MK-32")+SUMIFS('Таблиця 1'!$K:$K,'Таблиця 1'!$B:$B,$A573,'Таблиця 1'!$I:$I,"Су-25",'Таблиця 1'!$J:$J,"MK-32")+SUMIFS('Таблиця 1'!$K:$K,'Таблиця 1'!$B:$B,$A573,'Таблиця 1'!$I:$I,"Су-27",'Таблиця 1'!$J:$J,"MK-32"))</f>
        <v/>
      </c>
      <c r="Q573">
        <f>IF($A573="","",SUMIFS('Таблиця 1'!$K:$K,'Таблиця 1'!$B:$B,$A573,'Таблиця 1'!$I:$I,"Mirage",'Таблиця 1'!$J:$J,"MK-24")+SUMIFS('Таблиця 1'!$K:$K,'Таблиця 1'!$B:$B,$A573,'Таблиця 1'!$I:$I,"F-16",'Таблиця 1'!$J:$J,"MK-24")+SUMIFS('Таблиця 1'!$K:$K,'Таблиця 1'!$B:$B,$A573,'Таблиця 1'!$I:$I,"МіГ-29",'Таблиця 1'!$J:$J,"MK-24")+SUMIFS('Таблиця 1'!$K:$K,'Таблиця 1'!$B:$B,$A573,'Таблиця 1'!$I:$I,"Су-25",'Таблиця 1'!$J:$J,"MK-24")+SUMIFS('Таблиця 1'!$K:$K,'Таблиця 1'!$B:$B,$A573,'Таблиця 1'!$I:$I,"Су-27",'Таблиця 1'!$J:$J,"MK-24"))</f>
        <v/>
      </c>
      <c r="R573">
        <f>IF($A573="","",COUNTIFS('Таблиця 1'!$B:$B,$A573,'Таблиця 1'!$I:$I,"Mirage",'Таблиця 1'!$L:$L,"Уражено")+COUNTIFS('Таблиця 1'!$B:$B,$A573,'Таблиця 1'!$I:$I,"F-16",'Таблиця 1'!$L:$L,"Уражено")+COUNTIFS('Таблиця 1'!$B:$B,$A573,'Таблиця 1'!$I:$I,"МіГ-29",'Таблиця 1'!$L:$L,"Уражено")+COUNTIFS('Таблиця 1'!$B:$B,$A573,'Таблиця 1'!$I:$I,"Су-25",'Таблиця 1'!$L:$L,"Уражено")+COUNTIFS('Таблиця 1'!$B:$B,$A573,'Таблиця 1'!$I:$I,"Су-27",'Таблиця 1'!$L:$L,"Уражено"))</f>
        <v/>
      </c>
      <c r="S573">
        <f>IF($A573="","",COUNTIFS('Таблиця 1'!$B:$B,$A573,'Таблиця 1'!$I:$I,"Mirage",'Таблиця 1'!$L:$L,"НЕ уражено")+COUNTIFS('Таблиця 1'!$B:$B,$A573,'Таблиця 1'!$I:$I,"F-16",'Таблиця 1'!$L:$L,"НЕ уражено")+COUNTIFS('Таблиця 1'!$B:$B,$A573,'Таблиця 1'!$I:$I,"МіГ-29",'Таблиця 1'!$L:$L,"НЕ уражено")+COUNTIFS('Таблиця 1'!$B:$B,$A573,'Таблиця 1'!$I:$I,"Су-25",'Таблиця 1'!$L:$L,"НЕ уражено")+COUNTIFS('Таблиця 1'!$B:$B,$A573,'Таблиця 1'!$I:$I,"Су-27",'Таблиця 1'!$L:$L,"НЕ уражено"))</f>
        <v/>
      </c>
      <c r="T573">
        <f>IF($A573="","",COUNTIFS('Таблиця 1'!$B:$B,$A573,'Таблиця 1'!$I:$I,"Mirage",'Таблиця 1'!$L:$L,"Дорозвідується")+COUNTIFS('Таблиця 1'!$B:$B,$A573,'Таблиця 1'!$I:$I,"F-16",'Таблиця 1'!$L:$L,"Дорозвідується")+COUNTIFS('Таблиця 1'!$B:$B,$A573,'Таблиця 1'!$I:$I,"МіГ-29",'Таблиця 1'!$L:$L,"Дорозвідується")+COUNTIFS('Таблиця 1'!$B:$B,$A573,'Таблиця 1'!$I:$I,"Су-25",'Таблиця 1'!$L:$L,"Дорозвідується")+COUNTIFS('Таблиця 1'!$B:$B,$A573,'Таблиця 1'!$I:$I,"Су-27",'Таблиця 1'!$L:$L,"Дорозвідується"))</f>
        <v/>
      </c>
    </row>
    <row r="574">
      <c r="A574" s="273">
        <f>IF(A573="","",IF(A573+1&gt;MAX('Таблиця 1'!$B:$B),"",A573+1))</f>
        <v/>
      </c>
      <c r="B574">
        <f>IF($A574="","",COUNTIFS('Таблиця 1'!$B:$B,$A574,'Таблиця 1'!$I:$I,"Mirage")+COUNTIFS('Таблиця 1'!$B:$B,$A574,'Таблиця 1'!$I:$I,"F-16")+COUNTIFS('Таблиця 1'!$B:$B,$A574,'Таблиця 1'!$I:$I,"МіГ-29")+COUNTIFS('Таблиця 1'!$B:$B,$A574,'Таблиця 1'!$I:$I,"Су-25")+COUNTIFS('Таблиця 1'!$B:$B,$A574,'Таблиця 1'!$I:$I,"Су-27"))</f>
        <v/>
      </c>
      <c r="C574">
        <f>IF($A574="","",COUNTIFS('Таблиця 1'!$B:$B,$A574,'Таблиця 1'!$I:$I,"Mirage"))</f>
        <v/>
      </c>
      <c r="D574">
        <f>IF($A574="","",COUNTIFS('Таблиця 1'!$B:$B,$A574,'Таблиця 1'!$I:$I,"F-16"))</f>
        <v/>
      </c>
      <c r="E574">
        <f>IF($A574="","",COUNTIFS('Таблиця 1'!$B:$B,$A574,'Таблиця 1'!$I:$I,"МіГ-29"))</f>
        <v/>
      </c>
      <c r="F574">
        <f>IF($A574="","",COUNTIFS('Таблиця 1'!$B:$B,$A574,'Таблиця 1'!$I:$I,"Су-25"))</f>
        <v/>
      </c>
      <c r="G574">
        <f>IF($A574="","",COUNTIFS('Таблиця 1'!$B:$B,$A574,'Таблиця 1'!$I:$I,"Су-27"))</f>
        <v/>
      </c>
      <c r="H574">
        <f>IF($A574="","",SUMIFS('Таблиця 1'!$K:$K,'Таблиця 1'!$B:$B,$A574,'Таблиця 1'!$I:$I,"Mirage",'Таблиця 1'!$J:$J,"AGM-88")+SUMIFS('Таблиця 1'!$K:$K,'Таблиця 1'!$B:$B,$A574,'Таблиця 1'!$I:$I,"F-16",'Таблиця 1'!$J:$J,"AGM-88")+SUMIFS('Таблиця 1'!$K:$K,'Таблиця 1'!$B:$B,$A574,'Таблиця 1'!$I:$I,"МіГ-29",'Таблиця 1'!$J:$J,"AGM-88")+SUMIFS('Таблиця 1'!$K:$K,'Таблиця 1'!$B:$B,$A574,'Таблиця 1'!$I:$I,"Су-25",'Таблиця 1'!$J:$J,"AGM-88")+SUMIFS('Таблиця 1'!$K:$K,'Таблиця 1'!$B:$B,$A574,'Таблиця 1'!$I:$I,"Су-27",'Таблиця 1'!$J:$J,"AGM-88"))</f>
        <v/>
      </c>
      <c r="I574">
        <f>IF($A574="","",SUMIFS('Таблиця 1'!$K:$K,'Таблиця 1'!$B:$B,$A574,'Таблиця 1'!$I:$I,"Mirage",'Таблиця 1'!$J:$J,"AASM-250")+SUMIFS('Таблиця 1'!$K:$K,'Таблиця 1'!$B:$B,$A574,'Таблиця 1'!$I:$I,"F-16",'Таблиця 1'!$J:$J,"AASM-250")+SUMIFS('Таблиця 1'!$K:$K,'Таблиця 1'!$B:$B,$A574,'Таблиця 1'!$I:$I,"МіГ-29",'Таблиця 1'!$J:$J,"AASM-250")+SUMIFS('Таблиця 1'!$K:$K,'Таблиця 1'!$B:$B,$A574,'Таблиця 1'!$I:$I,"Су-25",'Таблиця 1'!$J:$J,"AASM-250")+SUMIFS('Таблиця 1'!$K:$K,'Таблиця 1'!$B:$B,$A574,'Таблиця 1'!$I:$I,"Су-27",'Таблиця 1'!$J:$J,"AASM-250"))</f>
        <v/>
      </c>
      <c r="J574">
        <f>IF($A574="","",SUMIFS('Таблиця 1'!$K:$K,'Таблиця 1'!$B:$B,$A574,'Таблиця 1'!$I:$I,"Mirage",'Таблиця 1'!$J:$J,"GBU-39")+SUMIFS('Таблиця 1'!$K:$K,'Таблиця 1'!$B:$B,$A574,'Таблиця 1'!$I:$I,"F-16",'Таблиця 1'!$J:$J,"GBU-39")+SUMIFS('Таблиця 1'!$K:$K,'Таблиця 1'!$B:$B,$A574,'Таблиця 1'!$I:$I,"МіГ-29",'Таблиця 1'!$J:$J,"GBU-39")+SUMIFS('Таблиця 1'!$K:$K,'Таблиця 1'!$B:$B,$A574,'Таблиця 1'!$I:$I,"Су-25",'Таблиця 1'!$J:$J,"GBU-39")+SUMIFS('Таблиця 1'!$K:$K,'Таблиця 1'!$B:$B,$A574,'Таблиця 1'!$I:$I,"Су-27",'Таблиця 1'!$J:$J,"GBU-39"))</f>
        <v/>
      </c>
      <c r="K574">
        <f>IF($A574="","",SUMIFS('Таблиця 1'!$K:$K,'Таблиця 1'!$B:$B,$A574,'Таблиця 1'!$I:$I,"Mirage",'Таблиця 1'!$J:$J,"BLU-140")+SUMIFS('Таблиця 1'!$K:$K,'Таблиця 1'!$B:$B,$A574,'Таблиця 1'!$I:$I,"F-16",'Таблиця 1'!$J:$J,"BLU-140")+SUMIFS('Таблиця 1'!$K:$K,'Таблиця 1'!$B:$B,$A574,'Таблиця 1'!$I:$I,"МіГ-29",'Таблиця 1'!$J:$J,"BLU-140")+SUMIFS('Таблиця 1'!$K:$K,'Таблиця 1'!$B:$B,$A574,'Таблиця 1'!$I:$I,"Су-25",'Таблиця 1'!$J:$J,"BLU-140")+SUMIFS('Таблиця 1'!$K:$K,'Таблиця 1'!$B:$B,$A574,'Таблиця 1'!$I:$I,"Су-27",'Таблиця 1'!$J:$J,"BLU-140"))</f>
        <v/>
      </c>
      <c r="L574">
        <f>IF($A574="","",SUMIFS('Таблиця 1'!$K:$K,'Таблиця 1'!$B:$B,$A574,'Таблиця 1'!$I:$I,"Mirage",'Таблиця 1'!$J:$J,"GBU-65")+SUMIFS('Таблиця 1'!$K:$K,'Таблиця 1'!$B:$B,$A574,'Таблиця 1'!$I:$I,"F-16",'Таблиця 1'!$J:$J,"GBU-65")+SUMIFS('Таблиця 1'!$K:$K,'Таблиця 1'!$B:$B,$A574,'Таблиця 1'!$I:$I,"МіГ-29",'Таблиця 1'!$J:$J,"GBU-65")+SUMIFS('Таблиця 1'!$K:$K,'Таблиця 1'!$B:$B,$A574,'Таблиця 1'!$I:$I,"Су-25",'Таблиця 1'!$J:$J,"GBU-65")+SUMIFS('Таблиця 1'!$K:$K,'Таблиця 1'!$B:$B,$A574,'Таблиця 1'!$I:$I,"Су-27",'Таблиця 1'!$J:$J,"GBU-65"))</f>
        <v/>
      </c>
      <c r="M574">
        <f>IF($A574="","",SUMIFS('Таблиця 1'!$K:$K,'Таблиця 1'!$B:$B,$A574,'Таблиця 1'!$I:$I,"Mirage",'Таблиця 1'!$J:$J,"GBU-62")+SUMIFS('Таблиця 1'!$K:$K,'Таблиця 1'!$B:$B,$A574,'Таблиця 1'!$I:$I,"F-16",'Таблиця 1'!$J:$J,"GBU-62")+SUMIFS('Таблиця 1'!$K:$K,'Таблиця 1'!$B:$B,$A574,'Таблиця 1'!$I:$I,"МіГ-29",'Таблиця 1'!$J:$J,"GBU-62")+SUMIFS('Таблиця 1'!$K:$K,'Таблиця 1'!$B:$B,$A574,'Таблиця 1'!$I:$I,"Су-25",'Таблиця 1'!$J:$J,"GBU-62")+SUMIFS('Таблиця 1'!$K:$K,'Таблиця 1'!$B:$B,$A574,'Таблиця 1'!$I:$I,"Су-27",'Таблиця 1'!$J:$J,"GBU-62"))</f>
        <v/>
      </c>
      <c r="N574">
        <f>IF($A574="","",SUMIFS('Таблиця 1'!$K:$K,'Таблиця 1'!$B:$B,$A574,'Таблиця 1'!$I:$I,"Mirage",'Таблиця 1'!$J:$J,"GBU-64")+SUMIFS('Таблиця 1'!$K:$K,'Таблиця 1'!$B:$B,$A574,'Таблиця 1'!$I:$I,"F-16",'Таблиця 1'!$J:$J,"GBU-64")+SUMIFS('Таблиця 1'!$K:$K,'Таблиця 1'!$B:$B,$A574,'Таблиця 1'!$I:$I,"МіГ-29",'Таблиця 1'!$J:$J,"GBU-64")+SUMIFS('Таблиця 1'!$K:$K,'Таблиця 1'!$B:$B,$A574,'Таблиця 1'!$I:$I,"Су-25",'Таблиця 1'!$J:$J,"GBU-64")+SUMIFS('Таблиця 1'!$K:$K,'Таблиця 1'!$B:$B,$A574,'Таблиця 1'!$I:$I,"Су-27",'Таблиця 1'!$J:$J,"GBU-64"))</f>
        <v/>
      </c>
      <c r="O574">
        <f>IF($A574="","",SUMIFS('Таблиця 1'!$K:$K,'Таблиця 1'!$B:$B,$A574,'Таблиця 1'!$I:$I,"Mirage",'Таблиця 1'!$J:$J,"C-13")+SUMIFS('Таблиця 1'!$K:$K,'Таблиця 1'!$B:$B,$A574,'Таблиця 1'!$I:$I,"F-16",'Таблиця 1'!$J:$J,"C-13")+SUMIFS('Таблиця 1'!$K:$K,'Таблиця 1'!$B:$B,$A574,'Таблиця 1'!$I:$I,"МіГ-29",'Таблиця 1'!$J:$J,"C-13")+SUMIFS('Таблиця 1'!$K:$K,'Таблиця 1'!$B:$B,$A574,'Таблиця 1'!$I:$I,"Су-25",'Таблиця 1'!$J:$J,"C-13")+SUMIFS('Таблиця 1'!$K:$K,'Таблиця 1'!$B:$B,$A574,'Таблиця 1'!$I:$I,"Су-27",'Таблиця 1'!$J:$J,"C-13"))</f>
        <v/>
      </c>
      <c r="P574">
        <f>IF($A574="","",SUMIFS('Таблиця 1'!$K:$K,'Таблиця 1'!$B:$B,$A574,'Таблиця 1'!$I:$I,"Mirage",'Таблиця 1'!$J:$J,"MK-32")+SUMIFS('Таблиця 1'!$K:$K,'Таблиця 1'!$B:$B,$A574,'Таблиця 1'!$I:$I,"F-16",'Таблиця 1'!$J:$J,"MK-32")+SUMIFS('Таблиця 1'!$K:$K,'Таблиця 1'!$B:$B,$A574,'Таблиця 1'!$I:$I,"МіГ-29",'Таблиця 1'!$J:$J,"MK-32")+SUMIFS('Таблиця 1'!$K:$K,'Таблиця 1'!$B:$B,$A574,'Таблиця 1'!$I:$I,"Су-25",'Таблиця 1'!$J:$J,"MK-32")+SUMIFS('Таблиця 1'!$K:$K,'Таблиця 1'!$B:$B,$A574,'Таблиця 1'!$I:$I,"Су-27",'Таблиця 1'!$J:$J,"MK-32"))</f>
        <v/>
      </c>
      <c r="Q574">
        <f>IF($A574="","",SUMIFS('Таблиця 1'!$K:$K,'Таблиця 1'!$B:$B,$A574,'Таблиця 1'!$I:$I,"Mirage",'Таблиця 1'!$J:$J,"MK-24")+SUMIFS('Таблиця 1'!$K:$K,'Таблиця 1'!$B:$B,$A574,'Таблиця 1'!$I:$I,"F-16",'Таблиця 1'!$J:$J,"MK-24")+SUMIFS('Таблиця 1'!$K:$K,'Таблиця 1'!$B:$B,$A574,'Таблиця 1'!$I:$I,"МіГ-29",'Таблиця 1'!$J:$J,"MK-24")+SUMIFS('Таблиця 1'!$K:$K,'Таблиця 1'!$B:$B,$A574,'Таблиця 1'!$I:$I,"Су-25",'Таблиця 1'!$J:$J,"MK-24")+SUMIFS('Таблиця 1'!$K:$K,'Таблиця 1'!$B:$B,$A574,'Таблиця 1'!$I:$I,"Су-27",'Таблиця 1'!$J:$J,"MK-24"))</f>
        <v/>
      </c>
      <c r="R574">
        <f>IF($A574="","",COUNTIFS('Таблиця 1'!$B:$B,$A574,'Таблиця 1'!$I:$I,"Mirage",'Таблиця 1'!$L:$L,"Уражено")+COUNTIFS('Таблиця 1'!$B:$B,$A574,'Таблиця 1'!$I:$I,"F-16",'Таблиця 1'!$L:$L,"Уражено")+COUNTIFS('Таблиця 1'!$B:$B,$A574,'Таблиця 1'!$I:$I,"МіГ-29",'Таблиця 1'!$L:$L,"Уражено")+COUNTIFS('Таблиця 1'!$B:$B,$A574,'Таблиця 1'!$I:$I,"Су-25",'Таблиця 1'!$L:$L,"Уражено")+COUNTIFS('Таблиця 1'!$B:$B,$A574,'Таблиця 1'!$I:$I,"Су-27",'Таблиця 1'!$L:$L,"Уражено"))</f>
        <v/>
      </c>
      <c r="S574">
        <f>IF($A574="","",COUNTIFS('Таблиця 1'!$B:$B,$A574,'Таблиця 1'!$I:$I,"Mirage",'Таблиця 1'!$L:$L,"НЕ уражено")+COUNTIFS('Таблиця 1'!$B:$B,$A574,'Таблиця 1'!$I:$I,"F-16",'Таблиця 1'!$L:$L,"НЕ уражено")+COUNTIFS('Таблиця 1'!$B:$B,$A574,'Таблиця 1'!$I:$I,"МіГ-29",'Таблиця 1'!$L:$L,"НЕ уражено")+COUNTIFS('Таблиця 1'!$B:$B,$A574,'Таблиця 1'!$I:$I,"Су-25",'Таблиця 1'!$L:$L,"НЕ уражено")+COUNTIFS('Таблиця 1'!$B:$B,$A574,'Таблиця 1'!$I:$I,"Су-27",'Таблиця 1'!$L:$L,"НЕ уражено"))</f>
        <v/>
      </c>
      <c r="T574">
        <f>IF($A574="","",COUNTIFS('Таблиця 1'!$B:$B,$A574,'Таблиця 1'!$I:$I,"Mirage",'Таблиця 1'!$L:$L,"Дорозвідується")+COUNTIFS('Таблиця 1'!$B:$B,$A574,'Таблиця 1'!$I:$I,"F-16",'Таблиця 1'!$L:$L,"Дорозвідується")+COUNTIFS('Таблиця 1'!$B:$B,$A574,'Таблиця 1'!$I:$I,"МіГ-29",'Таблиця 1'!$L:$L,"Дорозвідується")+COUNTIFS('Таблиця 1'!$B:$B,$A574,'Таблиця 1'!$I:$I,"Су-25",'Таблиця 1'!$L:$L,"Дорозвідується")+COUNTIFS('Таблиця 1'!$B:$B,$A574,'Таблиця 1'!$I:$I,"Су-27",'Таблиця 1'!$L:$L,"Дорозвідується"))</f>
        <v/>
      </c>
    </row>
    <row r="575">
      <c r="A575" s="273">
        <f>IF(A574="","",IF(A574+1&gt;MAX('Таблиця 1'!$B:$B),"",A574+1))</f>
        <v/>
      </c>
      <c r="B575">
        <f>IF($A575="","",COUNTIFS('Таблиця 1'!$B:$B,$A575,'Таблиця 1'!$I:$I,"Mirage")+COUNTIFS('Таблиця 1'!$B:$B,$A575,'Таблиця 1'!$I:$I,"F-16")+COUNTIFS('Таблиця 1'!$B:$B,$A575,'Таблиця 1'!$I:$I,"МіГ-29")+COUNTIFS('Таблиця 1'!$B:$B,$A575,'Таблиця 1'!$I:$I,"Су-25")+COUNTIFS('Таблиця 1'!$B:$B,$A575,'Таблиця 1'!$I:$I,"Су-27"))</f>
        <v/>
      </c>
      <c r="C575">
        <f>IF($A575="","",COUNTIFS('Таблиця 1'!$B:$B,$A575,'Таблиця 1'!$I:$I,"Mirage"))</f>
        <v/>
      </c>
      <c r="D575">
        <f>IF($A575="","",COUNTIFS('Таблиця 1'!$B:$B,$A575,'Таблиця 1'!$I:$I,"F-16"))</f>
        <v/>
      </c>
      <c r="E575">
        <f>IF($A575="","",COUNTIFS('Таблиця 1'!$B:$B,$A575,'Таблиця 1'!$I:$I,"МіГ-29"))</f>
        <v/>
      </c>
      <c r="F575">
        <f>IF($A575="","",COUNTIFS('Таблиця 1'!$B:$B,$A575,'Таблиця 1'!$I:$I,"Су-25"))</f>
        <v/>
      </c>
      <c r="G575">
        <f>IF($A575="","",COUNTIFS('Таблиця 1'!$B:$B,$A575,'Таблиця 1'!$I:$I,"Су-27"))</f>
        <v/>
      </c>
      <c r="H575">
        <f>IF($A575="","",SUMIFS('Таблиця 1'!$K:$K,'Таблиця 1'!$B:$B,$A575,'Таблиця 1'!$I:$I,"Mirage",'Таблиця 1'!$J:$J,"AGM-88")+SUMIFS('Таблиця 1'!$K:$K,'Таблиця 1'!$B:$B,$A575,'Таблиця 1'!$I:$I,"F-16",'Таблиця 1'!$J:$J,"AGM-88")+SUMIFS('Таблиця 1'!$K:$K,'Таблиця 1'!$B:$B,$A575,'Таблиця 1'!$I:$I,"МіГ-29",'Таблиця 1'!$J:$J,"AGM-88")+SUMIFS('Таблиця 1'!$K:$K,'Таблиця 1'!$B:$B,$A575,'Таблиця 1'!$I:$I,"Су-25",'Таблиця 1'!$J:$J,"AGM-88")+SUMIFS('Таблиця 1'!$K:$K,'Таблиця 1'!$B:$B,$A575,'Таблиця 1'!$I:$I,"Су-27",'Таблиця 1'!$J:$J,"AGM-88"))</f>
        <v/>
      </c>
      <c r="I575">
        <f>IF($A575="","",SUMIFS('Таблиця 1'!$K:$K,'Таблиця 1'!$B:$B,$A575,'Таблиця 1'!$I:$I,"Mirage",'Таблиця 1'!$J:$J,"AASM-250")+SUMIFS('Таблиця 1'!$K:$K,'Таблиця 1'!$B:$B,$A575,'Таблиця 1'!$I:$I,"F-16",'Таблиця 1'!$J:$J,"AASM-250")+SUMIFS('Таблиця 1'!$K:$K,'Таблиця 1'!$B:$B,$A575,'Таблиця 1'!$I:$I,"МіГ-29",'Таблиця 1'!$J:$J,"AASM-250")+SUMIFS('Таблиця 1'!$K:$K,'Таблиця 1'!$B:$B,$A575,'Таблиця 1'!$I:$I,"Су-25",'Таблиця 1'!$J:$J,"AASM-250")+SUMIFS('Таблиця 1'!$K:$K,'Таблиця 1'!$B:$B,$A575,'Таблиця 1'!$I:$I,"Су-27",'Таблиця 1'!$J:$J,"AASM-250"))</f>
        <v/>
      </c>
      <c r="J575">
        <f>IF($A575="","",SUMIFS('Таблиця 1'!$K:$K,'Таблиця 1'!$B:$B,$A575,'Таблиця 1'!$I:$I,"Mirage",'Таблиця 1'!$J:$J,"GBU-39")+SUMIFS('Таблиця 1'!$K:$K,'Таблиця 1'!$B:$B,$A575,'Таблиця 1'!$I:$I,"F-16",'Таблиця 1'!$J:$J,"GBU-39")+SUMIFS('Таблиця 1'!$K:$K,'Таблиця 1'!$B:$B,$A575,'Таблиця 1'!$I:$I,"МіГ-29",'Таблиця 1'!$J:$J,"GBU-39")+SUMIFS('Таблиця 1'!$K:$K,'Таблиця 1'!$B:$B,$A575,'Таблиця 1'!$I:$I,"Су-25",'Таблиця 1'!$J:$J,"GBU-39")+SUMIFS('Таблиця 1'!$K:$K,'Таблиця 1'!$B:$B,$A575,'Таблиця 1'!$I:$I,"Су-27",'Таблиця 1'!$J:$J,"GBU-39"))</f>
        <v/>
      </c>
      <c r="K575">
        <f>IF($A575="","",SUMIFS('Таблиця 1'!$K:$K,'Таблиця 1'!$B:$B,$A575,'Таблиця 1'!$I:$I,"Mirage",'Таблиця 1'!$J:$J,"BLU-140")+SUMIFS('Таблиця 1'!$K:$K,'Таблиця 1'!$B:$B,$A575,'Таблиця 1'!$I:$I,"F-16",'Таблиця 1'!$J:$J,"BLU-140")+SUMIFS('Таблиця 1'!$K:$K,'Таблиця 1'!$B:$B,$A575,'Таблиця 1'!$I:$I,"МіГ-29",'Таблиця 1'!$J:$J,"BLU-140")+SUMIFS('Таблиця 1'!$K:$K,'Таблиця 1'!$B:$B,$A575,'Таблиця 1'!$I:$I,"Су-25",'Таблиця 1'!$J:$J,"BLU-140")+SUMIFS('Таблиця 1'!$K:$K,'Таблиця 1'!$B:$B,$A575,'Таблиця 1'!$I:$I,"Су-27",'Таблиця 1'!$J:$J,"BLU-140"))</f>
        <v/>
      </c>
      <c r="L575">
        <f>IF($A575="","",SUMIFS('Таблиця 1'!$K:$K,'Таблиця 1'!$B:$B,$A575,'Таблиця 1'!$I:$I,"Mirage",'Таблиця 1'!$J:$J,"GBU-65")+SUMIFS('Таблиця 1'!$K:$K,'Таблиця 1'!$B:$B,$A575,'Таблиця 1'!$I:$I,"F-16",'Таблиця 1'!$J:$J,"GBU-65")+SUMIFS('Таблиця 1'!$K:$K,'Таблиця 1'!$B:$B,$A575,'Таблиця 1'!$I:$I,"МіГ-29",'Таблиця 1'!$J:$J,"GBU-65")+SUMIFS('Таблиця 1'!$K:$K,'Таблиця 1'!$B:$B,$A575,'Таблиця 1'!$I:$I,"Су-25",'Таблиця 1'!$J:$J,"GBU-65")+SUMIFS('Таблиця 1'!$K:$K,'Таблиця 1'!$B:$B,$A575,'Таблиця 1'!$I:$I,"Су-27",'Таблиця 1'!$J:$J,"GBU-65"))</f>
        <v/>
      </c>
      <c r="M575">
        <f>IF($A575="","",SUMIFS('Таблиця 1'!$K:$K,'Таблиця 1'!$B:$B,$A575,'Таблиця 1'!$I:$I,"Mirage",'Таблиця 1'!$J:$J,"GBU-62")+SUMIFS('Таблиця 1'!$K:$K,'Таблиця 1'!$B:$B,$A575,'Таблиця 1'!$I:$I,"F-16",'Таблиця 1'!$J:$J,"GBU-62")+SUMIFS('Таблиця 1'!$K:$K,'Таблиця 1'!$B:$B,$A575,'Таблиця 1'!$I:$I,"МіГ-29",'Таблиця 1'!$J:$J,"GBU-62")+SUMIFS('Таблиця 1'!$K:$K,'Таблиця 1'!$B:$B,$A575,'Таблиця 1'!$I:$I,"Су-25",'Таблиця 1'!$J:$J,"GBU-62")+SUMIFS('Таблиця 1'!$K:$K,'Таблиця 1'!$B:$B,$A575,'Таблиця 1'!$I:$I,"Су-27",'Таблиця 1'!$J:$J,"GBU-62"))</f>
        <v/>
      </c>
      <c r="N575">
        <f>IF($A575="","",SUMIFS('Таблиця 1'!$K:$K,'Таблиця 1'!$B:$B,$A575,'Таблиця 1'!$I:$I,"Mirage",'Таблиця 1'!$J:$J,"GBU-64")+SUMIFS('Таблиця 1'!$K:$K,'Таблиця 1'!$B:$B,$A575,'Таблиця 1'!$I:$I,"F-16",'Таблиця 1'!$J:$J,"GBU-64")+SUMIFS('Таблиця 1'!$K:$K,'Таблиця 1'!$B:$B,$A575,'Таблиця 1'!$I:$I,"МіГ-29",'Таблиця 1'!$J:$J,"GBU-64")+SUMIFS('Таблиця 1'!$K:$K,'Таблиця 1'!$B:$B,$A575,'Таблиця 1'!$I:$I,"Су-25",'Таблиця 1'!$J:$J,"GBU-64")+SUMIFS('Таблиця 1'!$K:$K,'Таблиця 1'!$B:$B,$A575,'Таблиця 1'!$I:$I,"Су-27",'Таблиця 1'!$J:$J,"GBU-64"))</f>
        <v/>
      </c>
      <c r="O575">
        <f>IF($A575="","",SUMIFS('Таблиця 1'!$K:$K,'Таблиця 1'!$B:$B,$A575,'Таблиця 1'!$I:$I,"Mirage",'Таблиця 1'!$J:$J,"C-13")+SUMIFS('Таблиця 1'!$K:$K,'Таблиця 1'!$B:$B,$A575,'Таблиця 1'!$I:$I,"F-16",'Таблиця 1'!$J:$J,"C-13")+SUMIFS('Таблиця 1'!$K:$K,'Таблиця 1'!$B:$B,$A575,'Таблиця 1'!$I:$I,"МіГ-29",'Таблиця 1'!$J:$J,"C-13")+SUMIFS('Таблиця 1'!$K:$K,'Таблиця 1'!$B:$B,$A575,'Таблиця 1'!$I:$I,"Су-25",'Таблиця 1'!$J:$J,"C-13")+SUMIFS('Таблиця 1'!$K:$K,'Таблиця 1'!$B:$B,$A575,'Таблиця 1'!$I:$I,"Су-27",'Таблиця 1'!$J:$J,"C-13"))</f>
        <v/>
      </c>
      <c r="P575">
        <f>IF($A575="","",SUMIFS('Таблиця 1'!$K:$K,'Таблиця 1'!$B:$B,$A575,'Таблиця 1'!$I:$I,"Mirage",'Таблиця 1'!$J:$J,"MK-32")+SUMIFS('Таблиця 1'!$K:$K,'Таблиця 1'!$B:$B,$A575,'Таблиця 1'!$I:$I,"F-16",'Таблиця 1'!$J:$J,"MK-32")+SUMIFS('Таблиця 1'!$K:$K,'Таблиця 1'!$B:$B,$A575,'Таблиця 1'!$I:$I,"МіГ-29",'Таблиця 1'!$J:$J,"MK-32")+SUMIFS('Таблиця 1'!$K:$K,'Таблиця 1'!$B:$B,$A575,'Таблиця 1'!$I:$I,"Су-25",'Таблиця 1'!$J:$J,"MK-32")+SUMIFS('Таблиця 1'!$K:$K,'Таблиця 1'!$B:$B,$A575,'Таблиця 1'!$I:$I,"Су-27",'Таблиця 1'!$J:$J,"MK-32"))</f>
        <v/>
      </c>
      <c r="Q575">
        <f>IF($A575="","",SUMIFS('Таблиця 1'!$K:$K,'Таблиця 1'!$B:$B,$A575,'Таблиця 1'!$I:$I,"Mirage",'Таблиця 1'!$J:$J,"MK-24")+SUMIFS('Таблиця 1'!$K:$K,'Таблиця 1'!$B:$B,$A575,'Таблиця 1'!$I:$I,"F-16",'Таблиця 1'!$J:$J,"MK-24")+SUMIFS('Таблиця 1'!$K:$K,'Таблиця 1'!$B:$B,$A575,'Таблиця 1'!$I:$I,"МіГ-29",'Таблиця 1'!$J:$J,"MK-24")+SUMIFS('Таблиця 1'!$K:$K,'Таблиця 1'!$B:$B,$A575,'Таблиця 1'!$I:$I,"Су-25",'Таблиця 1'!$J:$J,"MK-24")+SUMIFS('Таблиця 1'!$K:$K,'Таблиця 1'!$B:$B,$A575,'Таблиця 1'!$I:$I,"Су-27",'Таблиця 1'!$J:$J,"MK-24"))</f>
        <v/>
      </c>
      <c r="R575">
        <f>IF($A575="","",COUNTIFS('Таблиця 1'!$B:$B,$A575,'Таблиця 1'!$I:$I,"Mirage",'Таблиця 1'!$L:$L,"Уражено")+COUNTIFS('Таблиця 1'!$B:$B,$A575,'Таблиця 1'!$I:$I,"F-16",'Таблиця 1'!$L:$L,"Уражено")+COUNTIFS('Таблиця 1'!$B:$B,$A575,'Таблиця 1'!$I:$I,"МіГ-29",'Таблиця 1'!$L:$L,"Уражено")+COUNTIFS('Таблиця 1'!$B:$B,$A575,'Таблиця 1'!$I:$I,"Су-25",'Таблиця 1'!$L:$L,"Уражено")+COUNTIFS('Таблиця 1'!$B:$B,$A575,'Таблиця 1'!$I:$I,"Су-27",'Таблиця 1'!$L:$L,"Уражено"))</f>
        <v/>
      </c>
      <c r="S575">
        <f>IF($A575="","",COUNTIFS('Таблиця 1'!$B:$B,$A575,'Таблиця 1'!$I:$I,"Mirage",'Таблиця 1'!$L:$L,"НЕ уражено")+COUNTIFS('Таблиця 1'!$B:$B,$A575,'Таблиця 1'!$I:$I,"F-16",'Таблиця 1'!$L:$L,"НЕ уражено")+COUNTIFS('Таблиця 1'!$B:$B,$A575,'Таблиця 1'!$I:$I,"МіГ-29",'Таблиця 1'!$L:$L,"НЕ уражено")+COUNTIFS('Таблиця 1'!$B:$B,$A575,'Таблиця 1'!$I:$I,"Су-25",'Таблиця 1'!$L:$L,"НЕ уражено")+COUNTIFS('Таблиця 1'!$B:$B,$A575,'Таблиця 1'!$I:$I,"Су-27",'Таблиця 1'!$L:$L,"НЕ уражено"))</f>
        <v/>
      </c>
      <c r="T575">
        <f>IF($A575="","",COUNTIFS('Таблиця 1'!$B:$B,$A575,'Таблиця 1'!$I:$I,"Mirage",'Таблиця 1'!$L:$L,"Дорозвідується")+COUNTIFS('Таблиця 1'!$B:$B,$A575,'Таблиця 1'!$I:$I,"F-16",'Таблиця 1'!$L:$L,"Дорозвідується")+COUNTIFS('Таблиця 1'!$B:$B,$A575,'Таблиця 1'!$I:$I,"МіГ-29",'Таблиця 1'!$L:$L,"Дорозвідується")+COUNTIFS('Таблиця 1'!$B:$B,$A575,'Таблиця 1'!$I:$I,"Су-25",'Таблиця 1'!$L:$L,"Дорозвідується")+COUNTIFS('Таблиця 1'!$B:$B,$A575,'Таблиця 1'!$I:$I,"Су-27",'Таблиця 1'!$L:$L,"Дорозвідується"))</f>
        <v/>
      </c>
    </row>
    <row r="576">
      <c r="A576" s="273">
        <f>IF(A575="","",IF(A575+1&gt;MAX('Таблиця 1'!$B:$B),"",A575+1))</f>
        <v/>
      </c>
      <c r="B576">
        <f>IF($A576="","",COUNTIFS('Таблиця 1'!$B:$B,$A576,'Таблиця 1'!$I:$I,"Mirage")+COUNTIFS('Таблиця 1'!$B:$B,$A576,'Таблиця 1'!$I:$I,"F-16")+COUNTIFS('Таблиця 1'!$B:$B,$A576,'Таблиця 1'!$I:$I,"МіГ-29")+COUNTIFS('Таблиця 1'!$B:$B,$A576,'Таблиця 1'!$I:$I,"Су-25")+COUNTIFS('Таблиця 1'!$B:$B,$A576,'Таблиця 1'!$I:$I,"Су-27"))</f>
        <v/>
      </c>
      <c r="C576">
        <f>IF($A576="","",COUNTIFS('Таблиця 1'!$B:$B,$A576,'Таблиця 1'!$I:$I,"Mirage"))</f>
        <v/>
      </c>
      <c r="D576">
        <f>IF($A576="","",COUNTIFS('Таблиця 1'!$B:$B,$A576,'Таблиця 1'!$I:$I,"F-16"))</f>
        <v/>
      </c>
      <c r="E576">
        <f>IF($A576="","",COUNTIFS('Таблиця 1'!$B:$B,$A576,'Таблиця 1'!$I:$I,"МіГ-29"))</f>
        <v/>
      </c>
      <c r="F576">
        <f>IF($A576="","",COUNTIFS('Таблиця 1'!$B:$B,$A576,'Таблиця 1'!$I:$I,"Су-25"))</f>
        <v/>
      </c>
      <c r="G576">
        <f>IF($A576="","",COUNTIFS('Таблиця 1'!$B:$B,$A576,'Таблиця 1'!$I:$I,"Су-27"))</f>
        <v/>
      </c>
      <c r="H576">
        <f>IF($A576="","",SUMIFS('Таблиця 1'!$K:$K,'Таблиця 1'!$B:$B,$A576,'Таблиця 1'!$I:$I,"Mirage",'Таблиця 1'!$J:$J,"AGM-88")+SUMIFS('Таблиця 1'!$K:$K,'Таблиця 1'!$B:$B,$A576,'Таблиця 1'!$I:$I,"F-16",'Таблиця 1'!$J:$J,"AGM-88")+SUMIFS('Таблиця 1'!$K:$K,'Таблиця 1'!$B:$B,$A576,'Таблиця 1'!$I:$I,"МіГ-29",'Таблиця 1'!$J:$J,"AGM-88")+SUMIFS('Таблиця 1'!$K:$K,'Таблиця 1'!$B:$B,$A576,'Таблиця 1'!$I:$I,"Су-25",'Таблиця 1'!$J:$J,"AGM-88")+SUMIFS('Таблиця 1'!$K:$K,'Таблиця 1'!$B:$B,$A576,'Таблиця 1'!$I:$I,"Су-27",'Таблиця 1'!$J:$J,"AGM-88"))</f>
        <v/>
      </c>
      <c r="I576">
        <f>IF($A576="","",SUMIFS('Таблиця 1'!$K:$K,'Таблиця 1'!$B:$B,$A576,'Таблиця 1'!$I:$I,"Mirage",'Таблиця 1'!$J:$J,"AASM-250")+SUMIFS('Таблиця 1'!$K:$K,'Таблиця 1'!$B:$B,$A576,'Таблиця 1'!$I:$I,"F-16",'Таблиця 1'!$J:$J,"AASM-250")+SUMIFS('Таблиця 1'!$K:$K,'Таблиця 1'!$B:$B,$A576,'Таблиця 1'!$I:$I,"МіГ-29",'Таблиця 1'!$J:$J,"AASM-250")+SUMIFS('Таблиця 1'!$K:$K,'Таблиця 1'!$B:$B,$A576,'Таблиця 1'!$I:$I,"Су-25",'Таблиця 1'!$J:$J,"AASM-250")+SUMIFS('Таблиця 1'!$K:$K,'Таблиця 1'!$B:$B,$A576,'Таблиця 1'!$I:$I,"Су-27",'Таблиця 1'!$J:$J,"AASM-250"))</f>
        <v/>
      </c>
      <c r="J576">
        <f>IF($A576="","",SUMIFS('Таблиця 1'!$K:$K,'Таблиця 1'!$B:$B,$A576,'Таблиця 1'!$I:$I,"Mirage",'Таблиця 1'!$J:$J,"GBU-39")+SUMIFS('Таблиця 1'!$K:$K,'Таблиця 1'!$B:$B,$A576,'Таблиця 1'!$I:$I,"F-16",'Таблиця 1'!$J:$J,"GBU-39")+SUMIFS('Таблиця 1'!$K:$K,'Таблиця 1'!$B:$B,$A576,'Таблиця 1'!$I:$I,"МіГ-29",'Таблиця 1'!$J:$J,"GBU-39")+SUMIFS('Таблиця 1'!$K:$K,'Таблиця 1'!$B:$B,$A576,'Таблиця 1'!$I:$I,"Су-25",'Таблиця 1'!$J:$J,"GBU-39")+SUMIFS('Таблиця 1'!$K:$K,'Таблиця 1'!$B:$B,$A576,'Таблиця 1'!$I:$I,"Су-27",'Таблиця 1'!$J:$J,"GBU-39"))</f>
        <v/>
      </c>
      <c r="K576">
        <f>IF($A576="","",SUMIFS('Таблиця 1'!$K:$K,'Таблиця 1'!$B:$B,$A576,'Таблиця 1'!$I:$I,"Mirage",'Таблиця 1'!$J:$J,"BLU-140")+SUMIFS('Таблиця 1'!$K:$K,'Таблиця 1'!$B:$B,$A576,'Таблиця 1'!$I:$I,"F-16",'Таблиця 1'!$J:$J,"BLU-140")+SUMIFS('Таблиця 1'!$K:$K,'Таблиця 1'!$B:$B,$A576,'Таблиця 1'!$I:$I,"МіГ-29",'Таблиця 1'!$J:$J,"BLU-140")+SUMIFS('Таблиця 1'!$K:$K,'Таблиця 1'!$B:$B,$A576,'Таблиця 1'!$I:$I,"Су-25",'Таблиця 1'!$J:$J,"BLU-140")+SUMIFS('Таблиця 1'!$K:$K,'Таблиця 1'!$B:$B,$A576,'Таблиця 1'!$I:$I,"Су-27",'Таблиця 1'!$J:$J,"BLU-140"))</f>
        <v/>
      </c>
      <c r="L576">
        <f>IF($A576="","",SUMIFS('Таблиця 1'!$K:$K,'Таблиця 1'!$B:$B,$A576,'Таблиця 1'!$I:$I,"Mirage",'Таблиця 1'!$J:$J,"GBU-65")+SUMIFS('Таблиця 1'!$K:$K,'Таблиця 1'!$B:$B,$A576,'Таблиця 1'!$I:$I,"F-16",'Таблиця 1'!$J:$J,"GBU-65")+SUMIFS('Таблиця 1'!$K:$K,'Таблиця 1'!$B:$B,$A576,'Таблиця 1'!$I:$I,"МіГ-29",'Таблиця 1'!$J:$J,"GBU-65")+SUMIFS('Таблиця 1'!$K:$K,'Таблиця 1'!$B:$B,$A576,'Таблиця 1'!$I:$I,"Су-25",'Таблиця 1'!$J:$J,"GBU-65")+SUMIFS('Таблиця 1'!$K:$K,'Таблиця 1'!$B:$B,$A576,'Таблиця 1'!$I:$I,"Су-27",'Таблиця 1'!$J:$J,"GBU-65"))</f>
        <v/>
      </c>
      <c r="M576">
        <f>IF($A576="","",SUMIFS('Таблиця 1'!$K:$K,'Таблиця 1'!$B:$B,$A576,'Таблиця 1'!$I:$I,"Mirage",'Таблиця 1'!$J:$J,"GBU-62")+SUMIFS('Таблиця 1'!$K:$K,'Таблиця 1'!$B:$B,$A576,'Таблиця 1'!$I:$I,"F-16",'Таблиця 1'!$J:$J,"GBU-62")+SUMIFS('Таблиця 1'!$K:$K,'Таблиця 1'!$B:$B,$A576,'Таблиця 1'!$I:$I,"МіГ-29",'Таблиця 1'!$J:$J,"GBU-62")+SUMIFS('Таблиця 1'!$K:$K,'Таблиця 1'!$B:$B,$A576,'Таблиця 1'!$I:$I,"Су-25",'Таблиця 1'!$J:$J,"GBU-62")+SUMIFS('Таблиця 1'!$K:$K,'Таблиця 1'!$B:$B,$A576,'Таблиця 1'!$I:$I,"Су-27",'Таблиця 1'!$J:$J,"GBU-62"))</f>
        <v/>
      </c>
      <c r="N576">
        <f>IF($A576="","",SUMIFS('Таблиця 1'!$K:$K,'Таблиця 1'!$B:$B,$A576,'Таблиця 1'!$I:$I,"Mirage",'Таблиця 1'!$J:$J,"GBU-64")+SUMIFS('Таблиця 1'!$K:$K,'Таблиця 1'!$B:$B,$A576,'Таблиця 1'!$I:$I,"F-16",'Таблиця 1'!$J:$J,"GBU-64")+SUMIFS('Таблиця 1'!$K:$K,'Таблиця 1'!$B:$B,$A576,'Таблиця 1'!$I:$I,"МіГ-29",'Таблиця 1'!$J:$J,"GBU-64")+SUMIFS('Таблиця 1'!$K:$K,'Таблиця 1'!$B:$B,$A576,'Таблиця 1'!$I:$I,"Су-25",'Таблиця 1'!$J:$J,"GBU-64")+SUMIFS('Таблиця 1'!$K:$K,'Таблиця 1'!$B:$B,$A576,'Таблиця 1'!$I:$I,"Су-27",'Таблиця 1'!$J:$J,"GBU-64"))</f>
        <v/>
      </c>
      <c r="O576">
        <f>IF($A576="","",SUMIFS('Таблиця 1'!$K:$K,'Таблиця 1'!$B:$B,$A576,'Таблиця 1'!$I:$I,"Mirage",'Таблиця 1'!$J:$J,"C-13")+SUMIFS('Таблиця 1'!$K:$K,'Таблиця 1'!$B:$B,$A576,'Таблиця 1'!$I:$I,"F-16",'Таблиця 1'!$J:$J,"C-13")+SUMIFS('Таблиця 1'!$K:$K,'Таблиця 1'!$B:$B,$A576,'Таблиця 1'!$I:$I,"МіГ-29",'Таблиця 1'!$J:$J,"C-13")+SUMIFS('Таблиця 1'!$K:$K,'Таблиця 1'!$B:$B,$A576,'Таблиця 1'!$I:$I,"Су-25",'Таблиця 1'!$J:$J,"C-13")+SUMIFS('Таблиця 1'!$K:$K,'Таблиця 1'!$B:$B,$A576,'Таблиця 1'!$I:$I,"Су-27",'Таблиця 1'!$J:$J,"C-13"))</f>
        <v/>
      </c>
      <c r="P576">
        <f>IF($A576="","",SUMIFS('Таблиця 1'!$K:$K,'Таблиця 1'!$B:$B,$A576,'Таблиця 1'!$I:$I,"Mirage",'Таблиця 1'!$J:$J,"MK-32")+SUMIFS('Таблиця 1'!$K:$K,'Таблиця 1'!$B:$B,$A576,'Таблиця 1'!$I:$I,"F-16",'Таблиця 1'!$J:$J,"MK-32")+SUMIFS('Таблиця 1'!$K:$K,'Таблиця 1'!$B:$B,$A576,'Таблиця 1'!$I:$I,"МіГ-29",'Таблиця 1'!$J:$J,"MK-32")+SUMIFS('Таблиця 1'!$K:$K,'Таблиця 1'!$B:$B,$A576,'Таблиця 1'!$I:$I,"Су-25",'Таблиця 1'!$J:$J,"MK-32")+SUMIFS('Таблиця 1'!$K:$K,'Таблиця 1'!$B:$B,$A576,'Таблиця 1'!$I:$I,"Су-27",'Таблиця 1'!$J:$J,"MK-32"))</f>
        <v/>
      </c>
      <c r="Q576">
        <f>IF($A576="","",SUMIFS('Таблиця 1'!$K:$K,'Таблиця 1'!$B:$B,$A576,'Таблиця 1'!$I:$I,"Mirage",'Таблиця 1'!$J:$J,"MK-24")+SUMIFS('Таблиця 1'!$K:$K,'Таблиця 1'!$B:$B,$A576,'Таблиця 1'!$I:$I,"F-16",'Таблиця 1'!$J:$J,"MK-24")+SUMIFS('Таблиця 1'!$K:$K,'Таблиця 1'!$B:$B,$A576,'Таблиця 1'!$I:$I,"МіГ-29",'Таблиця 1'!$J:$J,"MK-24")+SUMIFS('Таблиця 1'!$K:$K,'Таблиця 1'!$B:$B,$A576,'Таблиця 1'!$I:$I,"Су-25",'Таблиця 1'!$J:$J,"MK-24")+SUMIFS('Таблиця 1'!$K:$K,'Таблиця 1'!$B:$B,$A576,'Таблиця 1'!$I:$I,"Су-27",'Таблиця 1'!$J:$J,"MK-24"))</f>
        <v/>
      </c>
      <c r="R576">
        <f>IF($A576="","",COUNTIFS('Таблиця 1'!$B:$B,$A576,'Таблиця 1'!$I:$I,"Mirage",'Таблиця 1'!$L:$L,"Уражено")+COUNTIFS('Таблиця 1'!$B:$B,$A576,'Таблиця 1'!$I:$I,"F-16",'Таблиця 1'!$L:$L,"Уражено")+COUNTIFS('Таблиця 1'!$B:$B,$A576,'Таблиця 1'!$I:$I,"МіГ-29",'Таблиця 1'!$L:$L,"Уражено")+COUNTIFS('Таблиця 1'!$B:$B,$A576,'Таблиця 1'!$I:$I,"Су-25",'Таблиця 1'!$L:$L,"Уражено")+COUNTIFS('Таблиця 1'!$B:$B,$A576,'Таблиця 1'!$I:$I,"Су-27",'Таблиця 1'!$L:$L,"Уражено"))</f>
        <v/>
      </c>
      <c r="S576">
        <f>IF($A576="","",COUNTIFS('Таблиця 1'!$B:$B,$A576,'Таблиця 1'!$I:$I,"Mirage",'Таблиця 1'!$L:$L,"НЕ уражено")+COUNTIFS('Таблиця 1'!$B:$B,$A576,'Таблиця 1'!$I:$I,"F-16",'Таблиця 1'!$L:$L,"НЕ уражено")+COUNTIFS('Таблиця 1'!$B:$B,$A576,'Таблиця 1'!$I:$I,"МіГ-29",'Таблиця 1'!$L:$L,"НЕ уражено")+COUNTIFS('Таблиця 1'!$B:$B,$A576,'Таблиця 1'!$I:$I,"Су-25",'Таблиця 1'!$L:$L,"НЕ уражено")+COUNTIFS('Таблиця 1'!$B:$B,$A576,'Таблиця 1'!$I:$I,"Су-27",'Таблиця 1'!$L:$L,"НЕ уражено"))</f>
        <v/>
      </c>
      <c r="T576">
        <f>IF($A576="","",COUNTIFS('Таблиця 1'!$B:$B,$A576,'Таблиця 1'!$I:$I,"Mirage",'Таблиця 1'!$L:$L,"Дорозвідується")+COUNTIFS('Таблиця 1'!$B:$B,$A576,'Таблиця 1'!$I:$I,"F-16",'Таблиця 1'!$L:$L,"Дорозвідується")+COUNTIFS('Таблиця 1'!$B:$B,$A576,'Таблиця 1'!$I:$I,"МіГ-29",'Таблиця 1'!$L:$L,"Дорозвідується")+COUNTIFS('Таблиця 1'!$B:$B,$A576,'Таблиця 1'!$I:$I,"Су-25",'Таблиця 1'!$L:$L,"Дорозвідується")+COUNTIFS('Таблиця 1'!$B:$B,$A576,'Таблиця 1'!$I:$I,"Су-27",'Таблиця 1'!$L:$L,"Дорозвідується"))</f>
        <v/>
      </c>
    </row>
    <row r="577">
      <c r="A577" s="273">
        <f>IF(A576="","",IF(A576+1&gt;MAX('Таблиця 1'!$B:$B),"",A576+1))</f>
        <v/>
      </c>
      <c r="B577">
        <f>IF($A577="","",COUNTIFS('Таблиця 1'!$B:$B,$A577,'Таблиця 1'!$I:$I,"Mirage")+COUNTIFS('Таблиця 1'!$B:$B,$A577,'Таблиця 1'!$I:$I,"F-16")+COUNTIFS('Таблиця 1'!$B:$B,$A577,'Таблиця 1'!$I:$I,"МіГ-29")+COUNTIFS('Таблиця 1'!$B:$B,$A577,'Таблиця 1'!$I:$I,"Су-25")+COUNTIFS('Таблиця 1'!$B:$B,$A577,'Таблиця 1'!$I:$I,"Су-27"))</f>
        <v/>
      </c>
      <c r="C577">
        <f>IF($A577="","",COUNTIFS('Таблиця 1'!$B:$B,$A577,'Таблиця 1'!$I:$I,"Mirage"))</f>
        <v/>
      </c>
      <c r="D577">
        <f>IF($A577="","",COUNTIFS('Таблиця 1'!$B:$B,$A577,'Таблиця 1'!$I:$I,"F-16"))</f>
        <v/>
      </c>
      <c r="E577">
        <f>IF($A577="","",COUNTIFS('Таблиця 1'!$B:$B,$A577,'Таблиця 1'!$I:$I,"МіГ-29"))</f>
        <v/>
      </c>
      <c r="F577">
        <f>IF($A577="","",COUNTIFS('Таблиця 1'!$B:$B,$A577,'Таблиця 1'!$I:$I,"Су-25"))</f>
        <v/>
      </c>
      <c r="G577">
        <f>IF($A577="","",COUNTIFS('Таблиця 1'!$B:$B,$A577,'Таблиця 1'!$I:$I,"Су-27"))</f>
        <v/>
      </c>
      <c r="H577">
        <f>IF($A577="","",SUMIFS('Таблиця 1'!$K:$K,'Таблиця 1'!$B:$B,$A577,'Таблиця 1'!$I:$I,"Mirage",'Таблиця 1'!$J:$J,"AGM-88")+SUMIFS('Таблиця 1'!$K:$K,'Таблиця 1'!$B:$B,$A577,'Таблиця 1'!$I:$I,"F-16",'Таблиця 1'!$J:$J,"AGM-88")+SUMIFS('Таблиця 1'!$K:$K,'Таблиця 1'!$B:$B,$A577,'Таблиця 1'!$I:$I,"МіГ-29",'Таблиця 1'!$J:$J,"AGM-88")+SUMIFS('Таблиця 1'!$K:$K,'Таблиця 1'!$B:$B,$A577,'Таблиця 1'!$I:$I,"Су-25",'Таблиця 1'!$J:$J,"AGM-88")+SUMIFS('Таблиця 1'!$K:$K,'Таблиця 1'!$B:$B,$A577,'Таблиця 1'!$I:$I,"Су-27",'Таблиця 1'!$J:$J,"AGM-88"))</f>
        <v/>
      </c>
      <c r="I577">
        <f>IF($A577="","",SUMIFS('Таблиця 1'!$K:$K,'Таблиця 1'!$B:$B,$A577,'Таблиця 1'!$I:$I,"Mirage",'Таблиця 1'!$J:$J,"AASM-250")+SUMIFS('Таблиця 1'!$K:$K,'Таблиця 1'!$B:$B,$A577,'Таблиця 1'!$I:$I,"F-16",'Таблиця 1'!$J:$J,"AASM-250")+SUMIFS('Таблиця 1'!$K:$K,'Таблиця 1'!$B:$B,$A577,'Таблиця 1'!$I:$I,"МіГ-29",'Таблиця 1'!$J:$J,"AASM-250")+SUMIFS('Таблиця 1'!$K:$K,'Таблиця 1'!$B:$B,$A577,'Таблиця 1'!$I:$I,"Су-25",'Таблиця 1'!$J:$J,"AASM-250")+SUMIFS('Таблиця 1'!$K:$K,'Таблиця 1'!$B:$B,$A577,'Таблиця 1'!$I:$I,"Су-27",'Таблиця 1'!$J:$J,"AASM-250"))</f>
        <v/>
      </c>
      <c r="J577">
        <f>IF($A577="","",SUMIFS('Таблиця 1'!$K:$K,'Таблиця 1'!$B:$B,$A577,'Таблиця 1'!$I:$I,"Mirage",'Таблиця 1'!$J:$J,"GBU-39")+SUMIFS('Таблиця 1'!$K:$K,'Таблиця 1'!$B:$B,$A577,'Таблиця 1'!$I:$I,"F-16",'Таблиця 1'!$J:$J,"GBU-39")+SUMIFS('Таблиця 1'!$K:$K,'Таблиця 1'!$B:$B,$A577,'Таблиця 1'!$I:$I,"МіГ-29",'Таблиця 1'!$J:$J,"GBU-39")+SUMIFS('Таблиця 1'!$K:$K,'Таблиця 1'!$B:$B,$A577,'Таблиця 1'!$I:$I,"Су-25",'Таблиця 1'!$J:$J,"GBU-39")+SUMIFS('Таблиця 1'!$K:$K,'Таблиця 1'!$B:$B,$A577,'Таблиця 1'!$I:$I,"Су-27",'Таблиця 1'!$J:$J,"GBU-39"))</f>
        <v/>
      </c>
      <c r="K577">
        <f>IF($A577="","",SUMIFS('Таблиця 1'!$K:$K,'Таблиця 1'!$B:$B,$A577,'Таблиця 1'!$I:$I,"Mirage",'Таблиця 1'!$J:$J,"BLU-140")+SUMIFS('Таблиця 1'!$K:$K,'Таблиця 1'!$B:$B,$A577,'Таблиця 1'!$I:$I,"F-16",'Таблиця 1'!$J:$J,"BLU-140")+SUMIFS('Таблиця 1'!$K:$K,'Таблиця 1'!$B:$B,$A577,'Таблиця 1'!$I:$I,"МіГ-29",'Таблиця 1'!$J:$J,"BLU-140")+SUMIFS('Таблиця 1'!$K:$K,'Таблиця 1'!$B:$B,$A577,'Таблиця 1'!$I:$I,"Су-25",'Таблиця 1'!$J:$J,"BLU-140")+SUMIFS('Таблиця 1'!$K:$K,'Таблиця 1'!$B:$B,$A577,'Таблиця 1'!$I:$I,"Су-27",'Таблиця 1'!$J:$J,"BLU-140"))</f>
        <v/>
      </c>
      <c r="L577">
        <f>IF($A577="","",SUMIFS('Таблиця 1'!$K:$K,'Таблиця 1'!$B:$B,$A577,'Таблиця 1'!$I:$I,"Mirage",'Таблиця 1'!$J:$J,"GBU-65")+SUMIFS('Таблиця 1'!$K:$K,'Таблиця 1'!$B:$B,$A577,'Таблиця 1'!$I:$I,"F-16",'Таблиця 1'!$J:$J,"GBU-65")+SUMIFS('Таблиця 1'!$K:$K,'Таблиця 1'!$B:$B,$A577,'Таблиця 1'!$I:$I,"МіГ-29",'Таблиця 1'!$J:$J,"GBU-65")+SUMIFS('Таблиця 1'!$K:$K,'Таблиця 1'!$B:$B,$A577,'Таблиця 1'!$I:$I,"Су-25",'Таблиця 1'!$J:$J,"GBU-65")+SUMIFS('Таблиця 1'!$K:$K,'Таблиця 1'!$B:$B,$A577,'Таблиця 1'!$I:$I,"Су-27",'Таблиця 1'!$J:$J,"GBU-65"))</f>
        <v/>
      </c>
      <c r="M577">
        <f>IF($A577="","",SUMIFS('Таблиця 1'!$K:$K,'Таблиця 1'!$B:$B,$A577,'Таблиця 1'!$I:$I,"Mirage",'Таблиця 1'!$J:$J,"GBU-62")+SUMIFS('Таблиця 1'!$K:$K,'Таблиця 1'!$B:$B,$A577,'Таблиця 1'!$I:$I,"F-16",'Таблиця 1'!$J:$J,"GBU-62")+SUMIFS('Таблиця 1'!$K:$K,'Таблиця 1'!$B:$B,$A577,'Таблиця 1'!$I:$I,"МіГ-29",'Таблиця 1'!$J:$J,"GBU-62")+SUMIFS('Таблиця 1'!$K:$K,'Таблиця 1'!$B:$B,$A577,'Таблиця 1'!$I:$I,"Су-25",'Таблиця 1'!$J:$J,"GBU-62")+SUMIFS('Таблиця 1'!$K:$K,'Таблиця 1'!$B:$B,$A577,'Таблиця 1'!$I:$I,"Су-27",'Таблиця 1'!$J:$J,"GBU-62"))</f>
        <v/>
      </c>
      <c r="N577">
        <f>IF($A577="","",SUMIFS('Таблиця 1'!$K:$K,'Таблиця 1'!$B:$B,$A577,'Таблиця 1'!$I:$I,"Mirage",'Таблиця 1'!$J:$J,"GBU-64")+SUMIFS('Таблиця 1'!$K:$K,'Таблиця 1'!$B:$B,$A577,'Таблиця 1'!$I:$I,"F-16",'Таблиця 1'!$J:$J,"GBU-64")+SUMIFS('Таблиця 1'!$K:$K,'Таблиця 1'!$B:$B,$A577,'Таблиця 1'!$I:$I,"МіГ-29",'Таблиця 1'!$J:$J,"GBU-64")+SUMIFS('Таблиця 1'!$K:$K,'Таблиця 1'!$B:$B,$A577,'Таблиця 1'!$I:$I,"Су-25",'Таблиця 1'!$J:$J,"GBU-64")+SUMIFS('Таблиця 1'!$K:$K,'Таблиця 1'!$B:$B,$A577,'Таблиця 1'!$I:$I,"Су-27",'Таблиця 1'!$J:$J,"GBU-64"))</f>
        <v/>
      </c>
      <c r="O577">
        <f>IF($A577="","",SUMIFS('Таблиця 1'!$K:$K,'Таблиця 1'!$B:$B,$A577,'Таблиця 1'!$I:$I,"Mirage",'Таблиця 1'!$J:$J,"C-13")+SUMIFS('Таблиця 1'!$K:$K,'Таблиця 1'!$B:$B,$A577,'Таблиця 1'!$I:$I,"F-16",'Таблиця 1'!$J:$J,"C-13")+SUMIFS('Таблиця 1'!$K:$K,'Таблиця 1'!$B:$B,$A577,'Таблиця 1'!$I:$I,"МіГ-29",'Таблиця 1'!$J:$J,"C-13")+SUMIFS('Таблиця 1'!$K:$K,'Таблиця 1'!$B:$B,$A577,'Таблиця 1'!$I:$I,"Су-25",'Таблиця 1'!$J:$J,"C-13")+SUMIFS('Таблиця 1'!$K:$K,'Таблиця 1'!$B:$B,$A577,'Таблиця 1'!$I:$I,"Су-27",'Таблиця 1'!$J:$J,"C-13"))</f>
        <v/>
      </c>
      <c r="P577">
        <f>IF($A577="","",SUMIFS('Таблиця 1'!$K:$K,'Таблиця 1'!$B:$B,$A577,'Таблиця 1'!$I:$I,"Mirage",'Таблиця 1'!$J:$J,"MK-32")+SUMIFS('Таблиця 1'!$K:$K,'Таблиця 1'!$B:$B,$A577,'Таблиця 1'!$I:$I,"F-16",'Таблиця 1'!$J:$J,"MK-32")+SUMIFS('Таблиця 1'!$K:$K,'Таблиця 1'!$B:$B,$A577,'Таблиця 1'!$I:$I,"МіГ-29",'Таблиця 1'!$J:$J,"MK-32")+SUMIFS('Таблиця 1'!$K:$K,'Таблиця 1'!$B:$B,$A577,'Таблиця 1'!$I:$I,"Су-25",'Таблиця 1'!$J:$J,"MK-32")+SUMIFS('Таблиця 1'!$K:$K,'Таблиця 1'!$B:$B,$A577,'Таблиця 1'!$I:$I,"Су-27",'Таблиця 1'!$J:$J,"MK-32"))</f>
        <v/>
      </c>
      <c r="Q577">
        <f>IF($A577="","",SUMIFS('Таблиця 1'!$K:$K,'Таблиця 1'!$B:$B,$A577,'Таблиця 1'!$I:$I,"Mirage",'Таблиця 1'!$J:$J,"MK-24")+SUMIFS('Таблиця 1'!$K:$K,'Таблиця 1'!$B:$B,$A577,'Таблиця 1'!$I:$I,"F-16",'Таблиця 1'!$J:$J,"MK-24")+SUMIFS('Таблиця 1'!$K:$K,'Таблиця 1'!$B:$B,$A577,'Таблиця 1'!$I:$I,"МіГ-29",'Таблиця 1'!$J:$J,"MK-24")+SUMIFS('Таблиця 1'!$K:$K,'Таблиця 1'!$B:$B,$A577,'Таблиця 1'!$I:$I,"Су-25",'Таблиця 1'!$J:$J,"MK-24")+SUMIFS('Таблиця 1'!$K:$K,'Таблиця 1'!$B:$B,$A577,'Таблиця 1'!$I:$I,"Су-27",'Таблиця 1'!$J:$J,"MK-24"))</f>
        <v/>
      </c>
      <c r="R577">
        <f>IF($A577="","",COUNTIFS('Таблиця 1'!$B:$B,$A577,'Таблиця 1'!$I:$I,"Mirage",'Таблиця 1'!$L:$L,"Уражено")+COUNTIFS('Таблиця 1'!$B:$B,$A577,'Таблиця 1'!$I:$I,"F-16",'Таблиця 1'!$L:$L,"Уражено")+COUNTIFS('Таблиця 1'!$B:$B,$A577,'Таблиця 1'!$I:$I,"МіГ-29",'Таблиця 1'!$L:$L,"Уражено")+COUNTIFS('Таблиця 1'!$B:$B,$A577,'Таблиця 1'!$I:$I,"Су-25",'Таблиця 1'!$L:$L,"Уражено")+COUNTIFS('Таблиця 1'!$B:$B,$A577,'Таблиця 1'!$I:$I,"Су-27",'Таблиця 1'!$L:$L,"Уражено"))</f>
        <v/>
      </c>
      <c r="S577">
        <f>IF($A577="","",COUNTIFS('Таблиця 1'!$B:$B,$A577,'Таблиця 1'!$I:$I,"Mirage",'Таблиця 1'!$L:$L,"НЕ уражено")+COUNTIFS('Таблиця 1'!$B:$B,$A577,'Таблиця 1'!$I:$I,"F-16",'Таблиця 1'!$L:$L,"НЕ уражено")+COUNTIFS('Таблиця 1'!$B:$B,$A577,'Таблиця 1'!$I:$I,"МіГ-29",'Таблиця 1'!$L:$L,"НЕ уражено")+COUNTIFS('Таблиця 1'!$B:$B,$A577,'Таблиця 1'!$I:$I,"Су-25",'Таблиця 1'!$L:$L,"НЕ уражено")+COUNTIFS('Таблиця 1'!$B:$B,$A577,'Таблиця 1'!$I:$I,"Су-27",'Таблиця 1'!$L:$L,"НЕ уражено"))</f>
        <v/>
      </c>
      <c r="T577">
        <f>IF($A577="","",COUNTIFS('Таблиця 1'!$B:$B,$A577,'Таблиця 1'!$I:$I,"Mirage",'Таблиця 1'!$L:$L,"Дорозвідується")+COUNTIFS('Таблиця 1'!$B:$B,$A577,'Таблиця 1'!$I:$I,"F-16",'Таблиця 1'!$L:$L,"Дорозвідується")+COUNTIFS('Таблиця 1'!$B:$B,$A577,'Таблиця 1'!$I:$I,"МіГ-29",'Таблиця 1'!$L:$L,"Дорозвідується")+COUNTIFS('Таблиця 1'!$B:$B,$A577,'Таблиця 1'!$I:$I,"Су-25",'Таблиця 1'!$L:$L,"Дорозвідується")+COUNTIFS('Таблиця 1'!$B:$B,$A577,'Таблиця 1'!$I:$I,"Су-27",'Таблиця 1'!$L:$L,"Дорозвідується"))</f>
        <v/>
      </c>
    </row>
    <row r="578">
      <c r="A578" s="273">
        <f>IF(A577="","",IF(A577+1&gt;MAX('Таблиця 1'!$B:$B),"",A577+1))</f>
        <v/>
      </c>
      <c r="B578">
        <f>IF($A578="","",COUNTIFS('Таблиця 1'!$B:$B,$A578,'Таблиця 1'!$I:$I,"Mirage")+COUNTIFS('Таблиця 1'!$B:$B,$A578,'Таблиця 1'!$I:$I,"F-16")+COUNTIFS('Таблиця 1'!$B:$B,$A578,'Таблиця 1'!$I:$I,"МіГ-29")+COUNTIFS('Таблиця 1'!$B:$B,$A578,'Таблиця 1'!$I:$I,"Су-25")+COUNTIFS('Таблиця 1'!$B:$B,$A578,'Таблиця 1'!$I:$I,"Су-27"))</f>
        <v/>
      </c>
      <c r="C578">
        <f>IF($A578="","",COUNTIFS('Таблиця 1'!$B:$B,$A578,'Таблиця 1'!$I:$I,"Mirage"))</f>
        <v/>
      </c>
      <c r="D578">
        <f>IF($A578="","",COUNTIFS('Таблиця 1'!$B:$B,$A578,'Таблиця 1'!$I:$I,"F-16"))</f>
        <v/>
      </c>
      <c r="E578">
        <f>IF($A578="","",COUNTIFS('Таблиця 1'!$B:$B,$A578,'Таблиця 1'!$I:$I,"МіГ-29"))</f>
        <v/>
      </c>
      <c r="F578">
        <f>IF($A578="","",COUNTIFS('Таблиця 1'!$B:$B,$A578,'Таблиця 1'!$I:$I,"Су-25"))</f>
        <v/>
      </c>
      <c r="G578">
        <f>IF($A578="","",COUNTIFS('Таблиця 1'!$B:$B,$A578,'Таблиця 1'!$I:$I,"Су-27"))</f>
        <v/>
      </c>
      <c r="H578">
        <f>IF($A578="","",SUMIFS('Таблиця 1'!$K:$K,'Таблиця 1'!$B:$B,$A578,'Таблиця 1'!$I:$I,"Mirage",'Таблиця 1'!$J:$J,"AGM-88")+SUMIFS('Таблиця 1'!$K:$K,'Таблиця 1'!$B:$B,$A578,'Таблиця 1'!$I:$I,"F-16",'Таблиця 1'!$J:$J,"AGM-88")+SUMIFS('Таблиця 1'!$K:$K,'Таблиця 1'!$B:$B,$A578,'Таблиця 1'!$I:$I,"МіГ-29",'Таблиця 1'!$J:$J,"AGM-88")+SUMIFS('Таблиця 1'!$K:$K,'Таблиця 1'!$B:$B,$A578,'Таблиця 1'!$I:$I,"Су-25",'Таблиця 1'!$J:$J,"AGM-88")+SUMIFS('Таблиця 1'!$K:$K,'Таблиця 1'!$B:$B,$A578,'Таблиця 1'!$I:$I,"Су-27",'Таблиця 1'!$J:$J,"AGM-88"))</f>
        <v/>
      </c>
      <c r="I578">
        <f>IF($A578="","",SUMIFS('Таблиця 1'!$K:$K,'Таблиця 1'!$B:$B,$A578,'Таблиця 1'!$I:$I,"Mirage",'Таблиця 1'!$J:$J,"AASM-250")+SUMIFS('Таблиця 1'!$K:$K,'Таблиця 1'!$B:$B,$A578,'Таблиця 1'!$I:$I,"F-16",'Таблиця 1'!$J:$J,"AASM-250")+SUMIFS('Таблиця 1'!$K:$K,'Таблиця 1'!$B:$B,$A578,'Таблиця 1'!$I:$I,"МіГ-29",'Таблиця 1'!$J:$J,"AASM-250")+SUMIFS('Таблиця 1'!$K:$K,'Таблиця 1'!$B:$B,$A578,'Таблиця 1'!$I:$I,"Су-25",'Таблиця 1'!$J:$J,"AASM-250")+SUMIFS('Таблиця 1'!$K:$K,'Таблиця 1'!$B:$B,$A578,'Таблиця 1'!$I:$I,"Су-27",'Таблиця 1'!$J:$J,"AASM-250"))</f>
        <v/>
      </c>
      <c r="J578">
        <f>IF($A578="","",SUMIFS('Таблиця 1'!$K:$K,'Таблиця 1'!$B:$B,$A578,'Таблиця 1'!$I:$I,"Mirage",'Таблиця 1'!$J:$J,"GBU-39")+SUMIFS('Таблиця 1'!$K:$K,'Таблиця 1'!$B:$B,$A578,'Таблиця 1'!$I:$I,"F-16",'Таблиця 1'!$J:$J,"GBU-39")+SUMIFS('Таблиця 1'!$K:$K,'Таблиця 1'!$B:$B,$A578,'Таблиця 1'!$I:$I,"МіГ-29",'Таблиця 1'!$J:$J,"GBU-39")+SUMIFS('Таблиця 1'!$K:$K,'Таблиця 1'!$B:$B,$A578,'Таблиця 1'!$I:$I,"Су-25",'Таблиця 1'!$J:$J,"GBU-39")+SUMIFS('Таблиця 1'!$K:$K,'Таблиця 1'!$B:$B,$A578,'Таблиця 1'!$I:$I,"Су-27",'Таблиця 1'!$J:$J,"GBU-39"))</f>
        <v/>
      </c>
      <c r="K578">
        <f>IF($A578="","",SUMIFS('Таблиця 1'!$K:$K,'Таблиця 1'!$B:$B,$A578,'Таблиця 1'!$I:$I,"Mirage",'Таблиця 1'!$J:$J,"BLU-140")+SUMIFS('Таблиця 1'!$K:$K,'Таблиця 1'!$B:$B,$A578,'Таблиця 1'!$I:$I,"F-16",'Таблиця 1'!$J:$J,"BLU-140")+SUMIFS('Таблиця 1'!$K:$K,'Таблиця 1'!$B:$B,$A578,'Таблиця 1'!$I:$I,"МіГ-29",'Таблиця 1'!$J:$J,"BLU-140")+SUMIFS('Таблиця 1'!$K:$K,'Таблиця 1'!$B:$B,$A578,'Таблиця 1'!$I:$I,"Су-25",'Таблиця 1'!$J:$J,"BLU-140")+SUMIFS('Таблиця 1'!$K:$K,'Таблиця 1'!$B:$B,$A578,'Таблиця 1'!$I:$I,"Су-27",'Таблиця 1'!$J:$J,"BLU-140"))</f>
        <v/>
      </c>
      <c r="L578">
        <f>IF($A578="","",SUMIFS('Таблиця 1'!$K:$K,'Таблиця 1'!$B:$B,$A578,'Таблиця 1'!$I:$I,"Mirage",'Таблиця 1'!$J:$J,"GBU-65")+SUMIFS('Таблиця 1'!$K:$K,'Таблиця 1'!$B:$B,$A578,'Таблиця 1'!$I:$I,"F-16",'Таблиця 1'!$J:$J,"GBU-65")+SUMIFS('Таблиця 1'!$K:$K,'Таблиця 1'!$B:$B,$A578,'Таблиця 1'!$I:$I,"МіГ-29",'Таблиця 1'!$J:$J,"GBU-65")+SUMIFS('Таблиця 1'!$K:$K,'Таблиця 1'!$B:$B,$A578,'Таблиця 1'!$I:$I,"Су-25",'Таблиця 1'!$J:$J,"GBU-65")+SUMIFS('Таблиця 1'!$K:$K,'Таблиця 1'!$B:$B,$A578,'Таблиця 1'!$I:$I,"Су-27",'Таблиця 1'!$J:$J,"GBU-65"))</f>
        <v/>
      </c>
      <c r="M578">
        <f>IF($A578="","",SUMIFS('Таблиця 1'!$K:$K,'Таблиця 1'!$B:$B,$A578,'Таблиця 1'!$I:$I,"Mirage",'Таблиця 1'!$J:$J,"GBU-62")+SUMIFS('Таблиця 1'!$K:$K,'Таблиця 1'!$B:$B,$A578,'Таблиця 1'!$I:$I,"F-16",'Таблиця 1'!$J:$J,"GBU-62")+SUMIFS('Таблиця 1'!$K:$K,'Таблиця 1'!$B:$B,$A578,'Таблиця 1'!$I:$I,"МіГ-29",'Таблиця 1'!$J:$J,"GBU-62")+SUMIFS('Таблиця 1'!$K:$K,'Таблиця 1'!$B:$B,$A578,'Таблиця 1'!$I:$I,"Су-25",'Таблиця 1'!$J:$J,"GBU-62")+SUMIFS('Таблиця 1'!$K:$K,'Таблиця 1'!$B:$B,$A578,'Таблиця 1'!$I:$I,"Су-27",'Таблиця 1'!$J:$J,"GBU-62"))</f>
        <v/>
      </c>
      <c r="N578">
        <f>IF($A578="","",SUMIFS('Таблиця 1'!$K:$K,'Таблиця 1'!$B:$B,$A578,'Таблиця 1'!$I:$I,"Mirage",'Таблиця 1'!$J:$J,"GBU-64")+SUMIFS('Таблиця 1'!$K:$K,'Таблиця 1'!$B:$B,$A578,'Таблиця 1'!$I:$I,"F-16",'Таблиця 1'!$J:$J,"GBU-64")+SUMIFS('Таблиця 1'!$K:$K,'Таблиця 1'!$B:$B,$A578,'Таблиця 1'!$I:$I,"МіГ-29",'Таблиця 1'!$J:$J,"GBU-64")+SUMIFS('Таблиця 1'!$K:$K,'Таблиця 1'!$B:$B,$A578,'Таблиця 1'!$I:$I,"Су-25",'Таблиця 1'!$J:$J,"GBU-64")+SUMIFS('Таблиця 1'!$K:$K,'Таблиця 1'!$B:$B,$A578,'Таблиця 1'!$I:$I,"Су-27",'Таблиця 1'!$J:$J,"GBU-64"))</f>
        <v/>
      </c>
      <c r="O578">
        <f>IF($A578="","",SUMIFS('Таблиця 1'!$K:$K,'Таблиця 1'!$B:$B,$A578,'Таблиця 1'!$I:$I,"Mirage",'Таблиця 1'!$J:$J,"C-13")+SUMIFS('Таблиця 1'!$K:$K,'Таблиця 1'!$B:$B,$A578,'Таблиця 1'!$I:$I,"F-16",'Таблиця 1'!$J:$J,"C-13")+SUMIFS('Таблиця 1'!$K:$K,'Таблиця 1'!$B:$B,$A578,'Таблиця 1'!$I:$I,"МіГ-29",'Таблиця 1'!$J:$J,"C-13")+SUMIFS('Таблиця 1'!$K:$K,'Таблиця 1'!$B:$B,$A578,'Таблиця 1'!$I:$I,"Су-25",'Таблиця 1'!$J:$J,"C-13")+SUMIFS('Таблиця 1'!$K:$K,'Таблиця 1'!$B:$B,$A578,'Таблиця 1'!$I:$I,"Су-27",'Таблиця 1'!$J:$J,"C-13"))</f>
        <v/>
      </c>
      <c r="P578">
        <f>IF($A578="","",SUMIFS('Таблиця 1'!$K:$K,'Таблиця 1'!$B:$B,$A578,'Таблиця 1'!$I:$I,"Mirage",'Таблиця 1'!$J:$J,"MK-32")+SUMIFS('Таблиця 1'!$K:$K,'Таблиця 1'!$B:$B,$A578,'Таблиця 1'!$I:$I,"F-16",'Таблиця 1'!$J:$J,"MK-32")+SUMIFS('Таблиця 1'!$K:$K,'Таблиця 1'!$B:$B,$A578,'Таблиця 1'!$I:$I,"МіГ-29",'Таблиця 1'!$J:$J,"MK-32")+SUMIFS('Таблиця 1'!$K:$K,'Таблиця 1'!$B:$B,$A578,'Таблиця 1'!$I:$I,"Су-25",'Таблиця 1'!$J:$J,"MK-32")+SUMIFS('Таблиця 1'!$K:$K,'Таблиця 1'!$B:$B,$A578,'Таблиця 1'!$I:$I,"Су-27",'Таблиця 1'!$J:$J,"MK-32"))</f>
        <v/>
      </c>
      <c r="Q578">
        <f>IF($A578="","",SUMIFS('Таблиця 1'!$K:$K,'Таблиця 1'!$B:$B,$A578,'Таблиця 1'!$I:$I,"Mirage",'Таблиця 1'!$J:$J,"MK-24")+SUMIFS('Таблиця 1'!$K:$K,'Таблиця 1'!$B:$B,$A578,'Таблиця 1'!$I:$I,"F-16",'Таблиця 1'!$J:$J,"MK-24")+SUMIFS('Таблиця 1'!$K:$K,'Таблиця 1'!$B:$B,$A578,'Таблиця 1'!$I:$I,"МіГ-29",'Таблиця 1'!$J:$J,"MK-24")+SUMIFS('Таблиця 1'!$K:$K,'Таблиця 1'!$B:$B,$A578,'Таблиця 1'!$I:$I,"Су-25",'Таблиця 1'!$J:$J,"MK-24")+SUMIFS('Таблиця 1'!$K:$K,'Таблиця 1'!$B:$B,$A578,'Таблиця 1'!$I:$I,"Су-27",'Таблиця 1'!$J:$J,"MK-24"))</f>
        <v/>
      </c>
      <c r="R578">
        <f>IF($A578="","",COUNTIFS('Таблиця 1'!$B:$B,$A578,'Таблиця 1'!$I:$I,"Mirage",'Таблиця 1'!$L:$L,"Уражено")+COUNTIFS('Таблиця 1'!$B:$B,$A578,'Таблиця 1'!$I:$I,"F-16",'Таблиця 1'!$L:$L,"Уражено")+COUNTIFS('Таблиця 1'!$B:$B,$A578,'Таблиця 1'!$I:$I,"МіГ-29",'Таблиця 1'!$L:$L,"Уражено")+COUNTIFS('Таблиця 1'!$B:$B,$A578,'Таблиця 1'!$I:$I,"Су-25",'Таблиця 1'!$L:$L,"Уражено")+COUNTIFS('Таблиця 1'!$B:$B,$A578,'Таблиця 1'!$I:$I,"Су-27",'Таблиця 1'!$L:$L,"Уражено"))</f>
        <v/>
      </c>
      <c r="S578">
        <f>IF($A578="","",COUNTIFS('Таблиця 1'!$B:$B,$A578,'Таблиця 1'!$I:$I,"Mirage",'Таблиця 1'!$L:$L,"НЕ уражено")+COUNTIFS('Таблиця 1'!$B:$B,$A578,'Таблиця 1'!$I:$I,"F-16",'Таблиця 1'!$L:$L,"НЕ уражено")+COUNTIFS('Таблиця 1'!$B:$B,$A578,'Таблиця 1'!$I:$I,"МіГ-29",'Таблиця 1'!$L:$L,"НЕ уражено")+COUNTIFS('Таблиця 1'!$B:$B,$A578,'Таблиця 1'!$I:$I,"Су-25",'Таблиця 1'!$L:$L,"НЕ уражено")+COUNTIFS('Таблиця 1'!$B:$B,$A578,'Таблиця 1'!$I:$I,"Су-27",'Таблиця 1'!$L:$L,"НЕ уражено"))</f>
        <v/>
      </c>
      <c r="T578">
        <f>IF($A578="","",COUNTIFS('Таблиця 1'!$B:$B,$A578,'Таблиця 1'!$I:$I,"Mirage",'Таблиця 1'!$L:$L,"Дорозвідується")+COUNTIFS('Таблиця 1'!$B:$B,$A578,'Таблиця 1'!$I:$I,"F-16",'Таблиця 1'!$L:$L,"Дорозвідується")+COUNTIFS('Таблиця 1'!$B:$B,$A578,'Таблиця 1'!$I:$I,"МіГ-29",'Таблиця 1'!$L:$L,"Дорозвідується")+COUNTIFS('Таблиця 1'!$B:$B,$A578,'Таблиця 1'!$I:$I,"Су-25",'Таблиця 1'!$L:$L,"Дорозвідується")+COUNTIFS('Таблиця 1'!$B:$B,$A578,'Таблиця 1'!$I:$I,"Су-27",'Таблиця 1'!$L:$L,"Дорозвідується"))</f>
        <v/>
      </c>
    </row>
    <row r="579">
      <c r="A579" s="273">
        <f>IF(A578="","",IF(A578+1&gt;MAX('Таблиця 1'!$B:$B),"",A578+1))</f>
        <v/>
      </c>
      <c r="B579">
        <f>IF($A579="","",COUNTIFS('Таблиця 1'!$B:$B,$A579,'Таблиця 1'!$I:$I,"Mirage")+COUNTIFS('Таблиця 1'!$B:$B,$A579,'Таблиця 1'!$I:$I,"F-16")+COUNTIFS('Таблиця 1'!$B:$B,$A579,'Таблиця 1'!$I:$I,"МіГ-29")+COUNTIFS('Таблиця 1'!$B:$B,$A579,'Таблиця 1'!$I:$I,"Су-25")+COUNTIFS('Таблиця 1'!$B:$B,$A579,'Таблиця 1'!$I:$I,"Су-27"))</f>
        <v/>
      </c>
      <c r="C579">
        <f>IF($A579="","",COUNTIFS('Таблиця 1'!$B:$B,$A579,'Таблиця 1'!$I:$I,"Mirage"))</f>
        <v/>
      </c>
      <c r="D579">
        <f>IF($A579="","",COUNTIFS('Таблиця 1'!$B:$B,$A579,'Таблиця 1'!$I:$I,"F-16"))</f>
        <v/>
      </c>
      <c r="E579">
        <f>IF($A579="","",COUNTIFS('Таблиця 1'!$B:$B,$A579,'Таблиця 1'!$I:$I,"МіГ-29"))</f>
        <v/>
      </c>
      <c r="F579">
        <f>IF($A579="","",COUNTIFS('Таблиця 1'!$B:$B,$A579,'Таблиця 1'!$I:$I,"Су-25"))</f>
        <v/>
      </c>
      <c r="G579">
        <f>IF($A579="","",COUNTIFS('Таблиця 1'!$B:$B,$A579,'Таблиця 1'!$I:$I,"Су-27"))</f>
        <v/>
      </c>
      <c r="H579">
        <f>IF($A579="","",SUMIFS('Таблиця 1'!$K:$K,'Таблиця 1'!$B:$B,$A579,'Таблиця 1'!$I:$I,"Mirage",'Таблиця 1'!$J:$J,"AGM-88")+SUMIFS('Таблиця 1'!$K:$K,'Таблиця 1'!$B:$B,$A579,'Таблиця 1'!$I:$I,"F-16",'Таблиця 1'!$J:$J,"AGM-88")+SUMIFS('Таблиця 1'!$K:$K,'Таблиця 1'!$B:$B,$A579,'Таблиця 1'!$I:$I,"МіГ-29",'Таблиця 1'!$J:$J,"AGM-88")+SUMIFS('Таблиця 1'!$K:$K,'Таблиця 1'!$B:$B,$A579,'Таблиця 1'!$I:$I,"Су-25",'Таблиця 1'!$J:$J,"AGM-88")+SUMIFS('Таблиця 1'!$K:$K,'Таблиця 1'!$B:$B,$A579,'Таблиця 1'!$I:$I,"Су-27",'Таблиця 1'!$J:$J,"AGM-88"))</f>
        <v/>
      </c>
      <c r="I579">
        <f>IF($A579="","",SUMIFS('Таблиця 1'!$K:$K,'Таблиця 1'!$B:$B,$A579,'Таблиця 1'!$I:$I,"Mirage",'Таблиця 1'!$J:$J,"AASM-250")+SUMIFS('Таблиця 1'!$K:$K,'Таблиця 1'!$B:$B,$A579,'Таблиця 1'!$I:$I,"F-16",'Таблиця 1'!$J:$J,"AASM-250")+SUMIFS('Таблиця 1'!$K:$K,'Таблиця 1'!$B:$B,$A579,'Таблиця 1'!$I:$I,"МіГ-29",'Таблиця 1'!$J:$J,"AASM-250")+SUMIFS('Таблиця 1'!$K:$K,'Таблиця 1'!$B:$B,$A579,'Таблиця 1'!$I:$I,"Су-25",'Таблиця 1'!$J:$J,"AASM-250")+SUMIFS('Таблиця 1'!$K:$K,'Таблиця 1'!$B:$B,$A579,'Таблиця 1'!$I:$I,"Су-27",'Таблиця 1'!$J:$J,"AASM-250"))</f>
        <v/>
      </c>
      <c r="J579">
        <f>IF($A579="","",SUMIFS('Таблиця 1'!$K:$K,'Таблиця 1'!$B:$B,$A579,'Таблиця 1'!$I:$I,"Mirage",'Таблиця 1'!$J:$J,"GBU-39")+SUMIFS('Таблиця 1'!$K:$K,'Таблиця 1'!$B:$B,$A579,'Таблиця 1'!$I:$I,"F-16",'Таблиця 1'!$J:$J,"GBU-39")+SUMIFS('Таблиця 1'!$K:$K,'Таблиця 1'!$B:$B,$A579,'Таблиця 1'!$I:$I,"МіГ-29",'Таблиця 1'!$J:$J,"GBU-39")+SUMIFS('Таблиця 1'!$K:$K,'Таблиця 1'!$B:$B,$A579,'Таблиця 1'!$I:$I,"Су-25",'Таблиця 1'!$J:$J,"GBU-39")+SUMIFS('Таблиця 1'!$K:$K,'Таблиця 1'!$B:$B,$A579,'Таблиця 1'!$I:$I,"Су-27",'Таблиця 1'!$J:$J,"GBU-39"))</f>
        <v/>
      </c>
      <c r="K579">
        <f>IF($A579="","",SUMIFS('Таблиця 1'!$K:$K,'Таблиця 1'!$B:$B,$A579,'Таблиця 1'!$I:$I,"Mirage",'Таблиця 1'!$J:$J,"BLU-140")+SUMIFS('Таблиця 1'!$K:$K,'Таблиця 1'!$B:$B,$A579,'Таблиця 1'!$I:$I,"F-16",'Таблиця 1'!$J:$J,"BLU-140")+SUMIFS('Таблиця 1'!$K:$K,'Таблиця 1'!$B:$B,$A579,'Таблиця 1'!$I:$I,"МіГ-29",'Таблиця 1'!$J:$J,"BLU-140")+SUMIFS('Таблиця 1'!$K:$K,'Таблиця 1'!$B:$B,$A579,'Таблиця 1'!$I:$I,"Су-25",'Таблиця 1'!$J:$J,"BLU-140")+SUMIFS('Таблиця 1'!$K:$K,'Таблиця 1'!$B:$B,$A579,'Таблиця 1'!$I:$I,"Су-27",'Таблиця 1'!$J:$J,"BLU-140"))</f>
        <v/>
      </c>
      <c r="L579">
        <f>IF($A579="","",SUMIFS('Таблиця 1'!$K:$K,'Таблиця 1'!$B:$B,$A579,'Таблиця 1'!$I:$I,"Mirage",'Таблиця 1'!$J:$J,"GBU-65")+SUMIFS('Таблиця 1'!$K:$K,'Таблиця 1'!$B:$B,$A579,'Таблиця 1'!$I:$I,"F-16",'Таблиця 1'!$J:$J,"GBU-65")+SUMIFS('Таблиця 1'!$K:$K,'Таблиця 1'!$B:$B,$A579,'Таблиця 1'!$I:$I,"МіГ-29",'Таблиця 1'!$J:$J,"GBU-65")+SUMIFS('Таблиця 1'!$K:$K,'Таблиця 1'!$B:$B,$A579,'Таблиця 1'!$I:$I,"Су-25",'Таблиця 1'!$J:$J,"GBU-65")+SUMIFS('Таблиця 1'!$K:$K,'Таблиця 1'!$B:$B,$A579,'Таблиця 1'!$I:$I,"Су-27",'Таблиця 1'!$J:$J,"GBU-65"))</f>
        <v/>
      </c>
      <c r="M579">
        <f>IF($A579="","",SUMIFS('Таблиця 1'!$K:$K,'Таблиця 1'!$B:$B,$A579,'Таблиця 1'!$I:$I,"Mirage",'Таблиця 1'!$J:$J,"GBU-62")+SUMIFS('Таблиця 1'!$K:$K,'Таблиця 1'!$B:$B,$A579,'Таблиця 1'!$I:$I,"F-16",'Таблиця 1'!$J:$J,"GBU-62")+SUMIFS('Таблиця 1'!$K:$K,'Таблиця 1'!$B:$B,$A579,'Таблиця 1'!$I:$I,"МіГ-29",'Таблиця 1'!$J:$J,"GBU-62")+SUMIFS('Таблиця 1'!$K:$K,'Таблиця 1'!$B:$B,$A579,'Таблиця 1'!$I:$I,"Су-25",'Таблиця 1'!$J:$J,"GBU-62")+SUMIFS('Таблиця 1'!$K:$K,'Таблиця 1'!$B:$B,$A579,'Таблиця 1'!$I:$I,"Су-27",'Таблиця 1'!$J:$J,"GBU-62"))</f>
        <v/>
      </c>
      <c r="N579">
        <f>IF($A579="","",SUMIFS('Таблиця 1'!$K:$K,'Таблиця 1'!$B:$B,$A579,'Таблиця 1'!$I:$I,"Mirage",'Таблиця 1'!$J:$J,"GBU-64")+SUMIFS('Таблиця 1'!$K:$K,'Таблиця 1'!$B:$B,$A579,'Таблиця 1'!$I:$I,"F-16",'Таблиця 1'!$J:$J,"GBU-64")+SUMIFS('Таблиця 1'!$K:$K,'Таблиця 1'!$B:$B,$A579,'Таблиця 1'!$I:$I,"МіГ-29",'Таблиця 1'!$J:$J,"GBU-64")+SUMIFS('Таблиця 1'!$K:$K,'Таблиця 1'!$B:$B,$A579,'Таблиця 1'!$I:$I,"Су-25",'Таблиця 1'!$J:$J,"GBU-64")+SUMIFS('Таблиця 1'!$K:$K,'Таблиця 1'!$B:$B,$A579,'Таблиця 1'!$I:$I,"Су-27",'Таблиця 1'!$J:$J,"GBU-64"))</f>
        <v/>
      </c>
      <c r="O579">
        <f>IF($A579="","",SUMIFS('Таблиця 1'!$K:$K,'Таблиця 1'!$B:$B,$A579,'Таблиця 1'!$I:$I,"Mirage",'Таблиця 1'!$J:$J,"C-13")+SUMIFS('Таблиця 1'!$K:$K,'Таблиця 1'!$B:$B,$A579,'Таблиця 1'!$I:$I,"F-16",'Таблиця 1'!$J:$J,"C-13")+SUMIFS('Таблиця 1'!$K:$K,'Таблиця 1'!$B:$B,$A579,'Таблиця 1'!$I:$I,"МіГ-29",'Таблиця 1'!$J:$J,"C-13")+SUMIFS('Таблиця 1'!$K:$K,'Таблиця 1'!$B:$B,$A579,'Таблиця 1'!$I:$I,"Су-25",'Таблиця 1'!$J:$J,"C-13")+SUMIFS('Таблиця 1'!$K:$K,'Таблиця 1'!$B:$B,$A579,'Таблиця 1'!$I:$I,"Су-27",'Таблиця 1'!$J:$J,"C-13"))</f>
        <v/>
      </c>
      <c r="P579">
        <f>IF($A579="","",SUMIFS('Таблиця 1'!$K:$K,'Таблиця 1'!$B:$B,$A579,'Таблиця 1'!$I:$I,"Mirage",'Таблиця 1'!$J:$J,"MK-32")+SUMIFS('Таблиця 1'!$K:$K,'Таблиця 1'!$B:$B,$A579,'Таблиця 1'!$I:$I,"F-16",'Таблиця 1'!$J:$J,"MK-32")+SUMIFS('Таблиця 1'!$K:$K,'Таблиця 1'!$B:$B,$A579,'Таблиця 1'!$I:$I,"МіГ-29",'Таблиця 1'!$J:$J,"MK-32")+SUMIFS('Таблиця 1'!$K:$K,'Таблиця 1'!$B:$B,$A579,'Таблиця 1'!$I:$I,"Су-25",'Таблиця 1'!$J:$J,"MK-32")+SUMIFS('Таблиця 1'!$K:$K,'Таблиця 1'!$B:$B,$A579,'Таблиця 1'!$I:$I,"Су-27",'Таблиця 1'!$J:$J,"MK-32"))</f>
        <v/>
      </c>
      <c r="Q579">
        <f>IF($A579="","",SUMIFS('Таблиця 1'!$K:$K,'Таблиця 1'!$B:$B,$A579,'Таблиця 1'!$I:$I,"Mirage",'Таблиця 1'!$J:$J,"MK-24")+SUMIFS('Таблиця 1'!$K:$K,'Таблиця 1'!$B:$B,$A579,'Таблиця 1'!$I:$I,"F-16",'Таблиця 1'!$J:$J,"MK-24")+SUMIFS('Таблиця 1'!$K:$K,'Таблиця 1'!$B:$B,$A579,'Таблиця 1'!$I:$I,"МіГ-29",'Таблиця 1'!$J:$J,"MK-24")+SUMIFS('Таблиця 1'!$K:$K,'Таблиця 1'!$B:$B,$A579,'Таблиця 1'!$I:$I,"Су-25",'Таблиця 1'!$J:$J,"MK-24")+SUMIFS('Таблиця 1'!$K:$K,'Таблиця 1'!$B:$B,$A579,'Таблиця 1'!$I:$I,"Су-27",'Таблиця 1'!$J:$J,"MK-24"))</f>
        <v/>
      </c>
      <c r="R579">
        <f>IF($A579="","",COUNTIFS('Таблиця 1'!$B:$B,$A579,'Таблиця 1'!$I:$I,"Mirage",'Таблиця 1'!$L:$L,"Уражено")+COUNTIFS('Таблиця 1'!$B:$B,$A579,'Таблиця 1'!$I:$I,"F-16",'Таблиця 1'!$L:$L,"Уражено")+COUNTIFS('Таблиця 1'!$B:$B,$A579,'Таблиця 1'!$I:$I,"МіГ-29",'Таблиця 1'!$L:$L,"Уражено")+COUNTIFS('Таблиця 1'!$B:$B,$A579,'Таблиця 1'!$I:$I,"Су-25",'Таблиця 1'!$L:$L,"Уражено")+COUNTIFS('Таблиця 1'!$B:$B,$A579,'Таблиця 1'!$I:$I,"Су-27",'Таблиця 1'!$L:$L,"Уражено"))</f>
        <v/>
      </c>
      <c r="S579">
        <f>IF($A579="","",COUNTIFS('Таблиця 1'!$B:$B,$A579,'Таблиця 1'!$I:$I,"Mirage",'Таблиця 1'!$L:$L,"НЕ уражено")+COUNTIFS('Таблиця 1'!$B:$B,$A579,'Таблиця 1'!$I:$I,"F-16",'Таблиця 1'!$L:$L,"НЕ уражено")+COUNTIFS('Таблиця 1'!$B:$B,$A579,'Таблиця 1'!$I:$I,"МіГ-29",'Таблиця 1'!$L:$L,"НЕ уражено")+COUNTIFS('Таблиця 1'!$B:$B,$A579,'Таблиця 1'!$I:$I,"Су-25",'Таблиця 1'!$L:$L,"НЕ уражено")+COUNTIFS('Таблиця 1'!$B:$B,$A579,'Таблиця 1'!$I:$I,"Су-27",'Таблиця 1'!$L:$L,"НЕ уражено"))</f>
        <v/>
      </c>
      <c r="T579">
        <f>IF($A579="","",COUNTIFS('Таблиця 1'!$B:$B,$A579,'Таблиця 1'!$I:$I,"Mirage",'Таблиця 1'!$L:$L,"Дорозвідується")+COUNTIFS('Таблиця 1'!$B:$B,$A579,'Таблиця 1'!$I:$I,"F-16",'Таблиця 1'!$L:$L,"Дорозвідується")+COUNTIFS('Таблиця 1'!$B:$B,$A579,'Таблиця 1'!$I:$I,"МіГ-29",'Таблиця 1'!$L:$L,"Дорозвідується")+COUNTIFS('Таблиця 1'!$B:$B,$A579,'Таблиця 1'!$I:$I,"Су-25",'Таблиця 1'!$L:$L,"Дорозвідується")+COUNTIFS('Таблиця 1'!$B:$B,$A579,'Таблиця 1'!$I:$I,"Су-27",'Таблиця 1'!$L:$L,"Дорозвідується"))</f>
        <v/>
      </c>
    </row>
    <row r="580">
      <c r="A580" s="273">
        <f>IF(A579="","",IF(A579+1&gt;MAX('Таблиця 1'!$B:$B),"",A579+1))</f>
        <v/>
      </c>
      <c r="B580">
        <f>IF($A580="","",COUNTIFS('Таблиця 1'!$B:$B,$A580,'Таблиця 1'!$I:$I,"Mirage")+COUNTIFS('Таблиця 1'!$B:$B,$A580,'Таблиця 1'!$I:$I,"F-16")+COUNTIFS('Таблиця 1'!$B:$B,$A580,'Таблиця 1'!$I:$I,"МіГ-29")+COUNTIFS('Таблиця 1'!$B:$B,$A580,'Таблиця 1'!$I:$I,"Су-25")+COUNTIFS('Таблиця 1'!$B:$B,$A580,'Таблиця 1'!$I:$I,"Су-27"))</f>
        <v/>
      </c>
      <c r="C580">
        <f>IF($A580="","",COUNTIFS('Таблиця 1'!$B:$B,$A580,'Таблиця 1'!$I:$I,"Mirage"))</f>
        <v/>
      </c>
      <c r="D580">
        <f>IF($A580="","",COUNTIFS('Таблиця 1'!$B:$B,$A580,'Таблиця 1'!$I:$I,"F-16"))</f>
        <v/>
      </c>
      <c r="E580">
        <f>IF($A580="","",COUNTIFS('Таблиця 1'!$B:$B,$A580,'Таблиця 1'!$I:$I,"МіГ-29"))</f>
        <v/>
      </c>
      <c r="F580">
        <f>IF($A580="","",COUNTIFS('Таблиця 1'!$B:$B,$A580,'Таблиця 1'!$I:$I,"Су-25"))</f>
        <v/>
      </c>
      <c r="G580">
        <f>IF($A580="","",COUNTIFS('Таблиця 1'!$B:$B,$A580,'Таблиця 1'!$I:$I,"Су-27"))</f>
        <v/>
      </c>
      <c r="H580">
        <f>IF($A580="","",SUMIFS('Таблиця 1'!$K:$K,'Таблиця 1'!$B:$B,$A580,'Таблиця 1'!$I:$I,"Mirage",'Таблиця 1'!$J:$J,"AGM-88")+SUMIFS('Таблиця 1'!$K:$K,'Таблиця 1'!$B:$B,$A580,'Таблиця 1'!$I:$I,"F-16",'Таблиця 1'!$J:$J,"AGM-88")+SUMIFS('Таблиця 1'!$K:$K,'Таблиця 1'!$B:$B,$A580,'Таблиця 1'!$I:$I,"МіГ-29",'Таблиця 1'!$J:$J,"AGM-88")+SUMIFS('Таблиця 1'!$K:$K,'Таблиця 1'!$B:$B,$A580,'Таблиця 1'!$I:$I,"Су-25",'Таблиця 1'!$J:$J,"AGM-88")+SUMIFS('Таблиця 1'!$K:$K,'Таблиця 1'!$B:$B,$A580,'Таблиця 1'!$I:$I,"Су-27",'Таблиця 1'!$J:$J,"AGM-88"))</f>
        <v/>
      </c>
      <c r="I580">
        <f>IF($A580="","",SUMIFS('Таблиця 1'!$K:$K,'Таблиця 1'!$B:$B,$A580,'Таблиця 1'!$I:$I,"Mirage",'Таблиця 1'!$J:$J,"AASM-250")+SUMIFS('Таблиця 1'!$K:$K,'Таблиця 1'!$B:$B,$A580,'Таблиця 1'!$I:$I,"F-16",'Таблиця 1'!$J:$J,"AASM-250")+SUMIFS('Таблиця 1'!$K:$K,'Таблиця 1'!$B:$B,$A580,'Таблиця 1'!$I:$I,"МіГ-29",'Таблиця 1'!$J:$J,"AASM-250")+SUMIFS('Таблиця 1'!$K:$K,'Таблиця 1'!$B:$B,$A580,'Таблиця 1'!$I:$I,"Су-25",'Таблиця 1'!$J:$J,"AASM-250")+SUMIFS('Таблиця 1'!$K:$K,'Таблиця 1'!$B:$B,$A580,'Таблиця 1'!$I:$I,"Су-27",'Таблиця 1'!$J:$J,"AASM-250"))</f>
        <v/>
      </c>
      <c r="J580">
        <f>IF($A580="","",SUMIFS('Таблиця 1'!$K:$K,'Таблиця 1'!$B:$B,$A580,'Таблиця 1'!$I:$I,"Mirage",'Таблиця 1'!$J:$J,"GBU-39")+SUMIFS('Таблиця 1'!$K:$K,'Таблиця 1'!$B:$B,$A580,'Таблиця 1'!$I:$I,"F-16",'Таблиця 1'!$J:$J,"GBU-39")+SUMIFS('Таблиця 1'!$K:$K,'Таблиця 1'!$B:$B,$A580,'Таблиця 1'!$I:$I,"МіГ-29",'Таблиця 1'!$J:$J,"GBU-39")+SUMIFS('Таблиця 1'!$K:$K,'Таблиця 1'!$B:$B,$A580,'Таблиця 1'!$I:$I,"Су-25",'Таблиця 1'!$J:$J,"GBU-39")+SUMIFS('Таблиця 1'!$K:$K,'Таблиця 1'!$B:$B,$A580,'Таблиця 1'!$I:$I,"Су-27",'Таблиця 1'!$J:$J,"GBU-39"))</f>
        <v/>
      </c>
      <c r="K580">
        <f>IF($A580="","",SUMIFS('Таблиця 1'!$K:$K,'Таблиця 1'!$B:$B,$A580,'Таблиця 1'!$I:$I,"Mirage",'Таблиця 1'!$J:$J,"BLU-140")+SUMIFS('Таблиця 1'!$K:$K,'Таблиця 1'!$B:$B,$A580,'Таблиця 1'!$I:$I,"F-16",'Таблиця 1'!$J:$J,"BLU-140")+SUMIFS('Таблиця 1'!$K:$K,'Таблиця 1'!$B:$B,$A580,'Таблиця 1'!$I:$I,"МіГ-29",'Таблиця 1'!$J:$J,"BLU-140")+SUMIFS('Таблиця 1'!$K:$K,'Таблиця 1'!$B:$B,$A580,'Таблиця 1'!$I:$I,"Су-25",'Таблиця 1'!$J:$J,"BLU-140")+SUMIFS('Таблиця 1'!$K:$K,'Таблиця 1'!$B:$B,$A580,'Таблиця 1'!$I:$I,"Су-27",'Таблиця 1'!$J:$J,"BLU-140"))</f>
        <v/>
      </c>
      <c r="L580">
        <f>IF($A580="","",SUMIFS('Таблиця 1'!$K:$K,'Таблиця 1'!$B:$B,$A580,'Таблиця 1'!$I:$I,"Mirage",'Таблиця 1'!$J:$J,"GBU-65")+SUMIFS('Таблиця 1'!$K:$K,'Таблиця 1'!$B:$B,$A580,'Таблиця 1'!$I:$I,"F-16",'Таблиця 1'!$J:$J,"GBU-65")+SUMIFS('Таблиця 1'!$K:$K,'Таблиця 1'!$B:$B,$A580,'Таблиця 1'!$I:$I,"МіГ-29",'Таблиця 1'!$J:$J,"GBU-65")+SUMIFS('Таблиця 1'!$K:$K,'Таблиця 1'!$B:$B,$A580,'Таблиця 1'!$I:$I,"Су-25",'Таблиця 1'!$J:$J,"GBU-65")+SUMIFS('Таблиця 1'!$K:$K,'Таблиця 1'!$B:$B,$A580,'Таблиця 1'!$I:$I,"Су-27",'Таблиця 1'!$J:$J,"GBU-65"))</f>
        <v/>
      </c>
      <c r="M580">
        <f>IF($A580="","",SUMIFS('Таблиця 1'!$K:$K,'Таблиця 1'!$B:$B,$A580,'Таблиця 1'!$I:$I,"Mirage",'Таблиця 1'!$J:$J,"GBU-62")+SUMIFS('Таблиця 1'!$K:$K,'Таблиця 1'!$B:$B,$A580,'Таблиця 1'!$I:$I,"F-16",'Таблиця 1'!$J:$J,"GBU-62")+SUMIFS('Таблиця 1'!$K:$K,'Таблиця 1'!$B:$B,$A580,'Таблиця 1'!$I:$I,"МіГ-29",'Таблиця 1'!$J:$J,"GBU-62")+SUMIFS('Таблиця 1'!$K:$K,'Таблиця 1'!$B:$B,$A580,'Таблиця 1'!$I:$I,"Су-25",'Таблиця 1'!$J:$J,"GBU-62")+SUMIFS('Таблиця 1'!$K:$K,'Таблиця 1'!$B:$B,$A580,'Таблиця 1'!$I:$I,"Су-27",'Таблиця 1'!$J:$J,"GBU-62"))</f>
        <v/>
      </c>
      <c r="N580">
        <f>IF($A580="","",SUMIFS('Таблиця 1'!$K:$K,'Таблиця 1'!$B:$B,$A580,'Таблиця 1'!$I:$I,"Mirage",'Таблиця 1'!$J:$J,"GBU-64")+SUMIFS('Таблиця 1'!$K:$K,'Таблиця 1'!$B:$B,$A580,'Таблиця 1'!$I:$I,"F-16",'Таблиця 1'!$J:$J,"GBU-64")+SUMIFS('Таблиця 1'!$K:$K,'Таблиця 1'!$B:$B,$A580,'Таблиця 1'!$I:$I,"МіГ-29",'Таблиця 1'!$J:$J,"GBU-64")+SUMIFS('Таблиця 1'!$K:$K,'Таблиця 1'!$B:$B,$A580,'Таблиця 1'!$I:$I,"Су-25",'Таблиця 1'!$J:$J,"GBU-64")+SUMIFS('Таблиця 1'!$K:$K,'Таблиця 1'!$B:$B,$A580,'Таблиця 1'!$I:$I,"Су-27",'Таблиця 1'!$J:$J,"GBU-64"))</f>
        <v/>
      </c>
      <c r="O580">
        <f>IF($A580="","",SUMIFS('Таблиця 1'!$K:$K,'Таблиця 1'!$B:$B,$A580,'Таблиця 1'!$I:$I,"Mirage",'Таблиця 1'!$J:$J,"C-13")+SUMIFS('Таблиця 1'!$K:$K,'Таблиця 1'!$B:$B,$A580,'Таблиця 1'!$I:$I,"F-16",'Таблиця 1'!$J:$J,"C-13")+SUMIFS('Таблиця 1'!$K:$K,'Таблиця 1'!$B:$B,$A580,'Таблиця 1'!$I:$I,"МіГ-29",'Таблиця 1'!$J:$J,"C-13")+SUMIFS('Таблиця 1'!$K:$K,'Таблиця 1'!$B:$B,$A580,'Таблиця 1'!$I:$I,"Су-25",'Таблиця 1'!$J:$J,"C-13")+SUMIFS('Таблиця 1'!$K:$K,'Таблиця 1'!$B:$B,$A580,'Таблиця 1'!$I:$I,"Су-27",'Таблиця 1'!$J:$J,"C-13"))</f>
        <v/>
      </c>
      <c r="P580">
        <f>IF($A580="","",SUMIFS('Таблиця 1'!$K:$K,'Таблиця 1'!$B:$B,$A580,'Таблиця 1'!$I:$I,"Mirage",'Таблиця 1'!$J:$J,"MK-32")+SUMIFS('Таблиця 1'!$K:$K,'Таблиця 1'!$B:$B,$A580,'Таблиця 1'!$I:$I,"F-16",'Таблиця 1'!$J:$J,"MK-32")+SUMIFS('Таблиця 1'!$K:$K,'Таблиця 1'!$B:$B,$A580,'Таблиця 1'!$I:$I,"МіГ-29",'Таблиця 1'!$J:$J,"MK-32")+SUMIFS('Таблиця 1'!$K:$K,'Таблиця 1'!$B:$B,$A580,'Таблиця 1'!$I:$I,"Су-25",'Таблиця 1'!$J:$J,"MK-32")+SUMIFS('Таблиця 1'!$K:$K,'Таблиця 1'!$B:$B,$A580,'Таблиця 1'!$I:$I,"Су-27",'Таблиця 1'!$J:$J,"MK-32"))</f>
        <v/>
      </c>
      <c r="Q580">
        <f>IF($A580="","",SUMIFS('Таблиця 1'!$K:$K,'Таблиця 1'!$B:$B,$A580,'Таблиця 1'!$I:$I,"Mirage",'Таблиця 1'!$J:$J,"MK-24")+SUMIFS('Таблиця 1'!$K:$K,'Таблиця 1'!$B:$B,$A580,'Таблиця 1'!$I:$I,"F-16",'Таблиця 1'!$J:$J,"MK-24")+SUMIFS('Таблиця 1'!$K:$K,'Таблиця 1'!$B:$B,$A580,'Таблиця 1'!$I:$I,"МіГ-29",'Таблиця 1'!$J:$J,"MK-24")+SUMIFS('Таблиця 1'!$K:$K,'Таблиця 1'!$B:$B,$A580,'Таблиця 1'!$I:$I,"Су-25",'Таблиця 1'!$J:$J,"MK-24")+SUMIFS('Таблиця 1'!$K:$K,'Таблиця 1'!$B:$B,$A580,'Таблиця 1'!$I:$I,"Су-27",'Таблиця 1'!$J:$J,"MK-24"))</f>
        <v/>
      </c>
      <c r="R580">
        <f>IF($A580="","",COUNTIFS('Таблиця 1'!$B:$B,$A580,'Таблиця 1'!$I:$I,"Mirage",'Таблиця 1'!$L:$L,"Уражено")+COUNTIFS('Таблиця 1'!$B:$B,$A580,'Таблиця 1'!$I:$I,"F-16",'Таблиця 1'!$L:$L,"Уражено")+COUNTIFS('Таблиця 1'!$B:$B,$A580,'Таблиця 1'!$I:$I,"МіГ-29",'Таблиця 1'!$L:$L,"Уражено")+COUNTIFS('Таблиця 1'!$B:$B,$A580,'Таблиця 1'!$I:$I,"Су-25",'Таблиця 1'!$L:$L,"Уражено")+COUNTIFS('Таблиця 1'!$B:$B,$A580,'Таблиця 1'!$I:$I,"Су-27",'Таблиця 1'!$L:$L,"Уражено"))</f>
        <v/>
      </c>
      <c r="S580">
        <f>IF($A580="","",COUNTIFS('Таблиця 1'!$B:$B,$A580,'Таблиця 1'!$I:$I,"Mirage",'Таблиця 1'!$L:$L,"НЕ уражено")+COUNTIFS('Таблиця 1'!$B:$B,$A580,'Таблиця 1'!$I:$I,"F-16",'Таблиця 1'!$L:$L,"НЕ уражено")+COUNTIFS('Таблиця 1'!$B:$B,$A580,'Таблиця 1'!$I:$I,"МіГ-29",'Таблиця 1'!$L:$L,"НЕ уражено")+COUNTIFS('Таблиця 1'!$B:$B,$A580,'Таблиця 1'!$I:$I,"Су-25",'Таблиця 1'!$L:$L,"НЕ уражено")+COUNTIFS('Таблиця 1'!$B:$B,$A580,'Таблиця 1'!$I:$I,"Су-27",'Таблиця 1'!$L:$L,"НЕ уражено"))</f>
        <v/>
      </c>
      <c r="T580">
        <f>IF($A580="","",COUNTIFS('Таблиця 1'!$B:$B,$A580,'Таблиця 1'!$I:$I,"Mirage",'Таблиця 1'!$L:$L,"Дорозвідується")+COUNTIFS('Таблиця 1'!$B:$B,$A580,'Таблиця 1'!$I:$I,"F-16",'Таблиця 1'!$L:$L,"Дорозвідується")+COUNTIFS('Таблиця 1'!$B:$B,$A580,'Таблиця 1'!$I:$I,"МіГ-29",'Таблиця 1'!$L:$L,"Дорозвідується")+COUNTIFS('Таблиця 1'!$B:$B,$A580,'Таблиця 1'!$I:$I,"Су-25",'Таблиця 1'!$L:$L,"Дорозвідується")+COUNTIFS('Таблиця 1'!$B:$B,$A580,'Таблиця 1'!$I:$I,"Су-27",'Таблиця 1'!$L:$L,"Дорозвідується"))</f>
        <v/>
      </c>
    </row>
    <row r="581">
      <c r="A581" s="273">
        <f>IF(A580="","",IF(A580+1&gt;MAX('Таблиця 1'!$B:$B),"",A580+1))</f>
        <v/>
      </c>
      <c r="B581">
        <f>IF($A581="","",COUNTIFS('Таблиця 1'!$B:$B,$A581,'Таблиця 1'!$I:$I,"Mirage")+COUNTIFS('Таблиця 1'!$B:$B,$A581,'Таблиця 1'!$I:$I,"F-16")+COUNTIFS('Таблиця 1'!$B:$B,$A581,'Таблиця 1'!$I:$I,"МіГ-29")+COUNTIFS('Таблиця 1'!$B:$B,$A581,'Таблиця 1'!$I:$I,"Су-25")+COUNTIFS('Таблиця 1'!$B:$B,$A581,'Таблиця 1'!$I:$I,"Су-27"))</f>
        <v/>
      </c>
      <c r="C581">
        <f>IF($A581="","",COUNTIFS('Таблиця 1'!$B:$B,$A581,'Таблиця 1'!$I:$I,"Mirage"))</f>
        <v/>
      </c>
      <c r="D581">
        <f>IF($A581="","",COUNTIFS('Таблиця 1'!$B:$B,$A581,'Таблиця 1'!$I:$I,"F-16"))</f>
        <v/>
      </c>
      <c r="E581">
        <f>IF($A581="","",COUNTIFS('Таблиця 1'!$B:$B,$A581,'Таблиця 1'!$I:$I,"МіГ-29"))</f>
        <v/>
      </c>
      <c r="F581">
        <f>IF($A581="","",COUNTIFS('Таблиця 1'!$B:$B,$A581,'Таблиця 1'!$I:$I,"Су-25"))</f>
        <v/>
      </c>
      <c r="G581">
        <f>IF($A581="","",COUNTIFS('Таблиця 1'!$B:$B,$A581,'Таблиця 1'!$I:$I,"Су-27"))</f>
        <v/>
      </c>
      <c r="H581">
        <f>IF($A581="","",SUMIFS('Таблиця 1'!$K:$K,'Таблиця 1'!$B:$B,$A581,'Таблиця 1'!$I:$I,"Mirage",'Таблиця 1'!$J:$J,"AGM-88")+SUMIFS('Таблиця 1'!$K:$K,'Таблиця 1'!$B:$B,$A581,'Таблиця 1'!$I:$I,"F-16",'Таблиця 1'!$J:$J,"AGM-88")+SUMIFS('Таблиця 1'!$K:$K,'Таблиця 1'!$B:$B,$A581,'Таблиця 1'!$I:$I,"МіГ-29",'Таблиця 1'!$J:$J,"AGM-88")+SUMIFS('Таблиця 1'!$K:$K,'Таблиця 1'!$B:$B,$A581,'Таблиця 1'!$I:$I,"Су-25",'Таблиця 1'!$J:$J,"AGM-88")+SUMIFS('Таблиця 1'!$K:$K,'Таблиця 1'!$B:$B,$A581,'Таблиця 1'!$I:$I,"Су-27",'Таблиця 1'!$J:$J,"AGM-88"))</f>
        <v/>
      </c>
      <c r="I581">
        <f>IF($A581="","",SUMIFS('Таблиця 1'!$K:$K,'Таблиця 1'!$B:$B,$A581,'Таблиця 1'!$I:$I,"Mirage",'Таблиця 1'!$J:$J,"AASM-250")+SUMIFS('Таблиця 1'!$K:$K,'Таблиця 1'!$B:$B,$A581,'Таблиця 1'!$I:$I,"F-16",'Таблиця 1'!$J:$J,"AASM-250")+SUMIFS('Таблиця 1'!$K:$K,'Таблиця 1'!$B:$B,$A581,'Таблиця 1'!$I:$I,"МіГ-29",'Таблиця 1'!$J:$J,"AASM-250")+SUMIFS('Таблиця 1'!$K:$K,'Таблиця 1'!$B:$B,$A581,'Таблиця 1'!$I:$I,"Су-25",'Таблиця 1'!$J:$J,"AASM-250")+SUMIFS('Таблиця 1'!$K:$K,'Таблиця 1'!$B:$B,$A581,'Таблиця 1'!$I:$I,"Су-27",'Таблиця 1'!$J:$J,"AASM-250"))</f>
        <v/>
      </c>
      <c r="J581">
        <f>IF($A581="","",SUMIFS('Таблиця 1'!$K:$K,'Таблиця 1'!$B:$B,$A581,'Таблиця 1'!$I:$I,"Mirage",'Таблиця 1'!$J:$J,"GBU-39")+SUMIFS('Таблиця 1'!$K:$K,'Таблиця 1'!$B:$B,$A581,'Таблиця 1'!$I:$I,"F-16",'Таблиця 1'!$J:$J,"GBU-39")+SUMIFS('Таблиця 1'!$K:$K,'Таблиця 1'!$B:$B,$A581,'Таблиця 1'!$I:$I,"МіГ-29",'Таблиця 1'!$J:$J,"GBU-39")+SUMIFS('Таблиця 1'!$K:$K,'Таблиця 1'!$B:$B,$A581,'Таблиця 1'!$I:$I,"Су-25",'Таблиця 1'!$J:$J,"GBU-39")+SUMIFS('Таблиця 1'!$K:$K,'Таблиця 1'!$B:$B,$A581,'Таблиця 1'!$I:$I,"Су-27",'Таблиця 1'!$J:$J,"GBU-39"))</f>
        <v/>
      </c>
      <c r="K581">
        <f>IF($A581="","",SUMIFS('Таблиця 1'!$K:$K,'Таблиця 1'!$B:$B,$A581,'Таблиця 1'!$I:$I,"Mirage",'Таблиця 1'!$J:$J,"BLU-140")+SUMIFS('Таблиця 1'!$K:$K,'Таблиця 1'!$B:$B,$A581,'Таблиця 1'!$I:$I,"F-16",'Таблиця 1'!$J:$J,"BLU-140")+SUMIFS('Таблиця 1'!$K:$K,'Таблиця 1'!$B:$B,$A581,'Таблиця 1'!$I:$I,"МіГ-29",'Таблиця 1'!$J:$J,"BLU-140")+SUMIFS('Таблиця 1'!$K:$K,'Таблиця 1'!$B:$B,$A581,'Таблиця 1'!$I:$I,"Су-25",'Таблиця 1'!$J:$J,"BLU-140")+SUMIFS('Таблиця 1'!$K:$K,'Таблиця 1'!$B:$B,$A581,'Таблиця 1'!$I:$I,"Су-27",'Таблиця 1'!$J:$J,"BLU-140"))</f>
        <v/>
      </c>
      <c r="L581">
        <f>IF($A581="","",SUMIFS('Таблиця 1'!$K:$K,'Таблиця 1'!$B:$B,$A581,'Таблиця 1'!$I:$I,"Mirage",'Таблиця 1'!$J:$J,"GBU-65")+SUMIFS('Таблиця 1'!$K:$K,'Таблиця 1'!$B:$B,$A581,'Таблиця 1'!$I:$I,"F-16",'Таблиця 1'!$J:$J,"GBU-65")+SUMIFS('Таблиця 1'!$K:$K,'Таблиця 1'!$B:$B,$A581,'Таблиця 1'!$I:$I,"МіГ-29",'Таблиця 1'!$J:$J,"GBU-65")+SUMIFS('Таблиця 1'!$K:$K,'Таблиця 1'!$B:$B,$A581,'Таблиця 1'!$I:$I,"Су-25",'Таблиця 1'!$J:$J,"GBU-65")+SUMIFS('Таблиця 1'!$K:$K,'Таблиця 1'!$B:$B,$A581,'Таблиця 1'!$I:$I,"Су-27",'Таблиця 1'!$J:$J,"GBU-65"))</f>
        <v/>
      </c>
      <c r="M581">
        <f>IF($A581="","",SUMIFS('Таблиця 1'!$K:$K,'Таблиця 1'!$B:$B,$A581,'Таблиця 1'!$I:$I,"Mirage",'Таблиця 1'!$J:$J,"GBU-62")+SUMIFS('Таблиця 1'!$K:$K,'Таблиця 1'!$B:$B,$A581,'Таблиця 1'!$I:$I,"F-16",'Таблиця 1'!$J:$J,"GBU-62")+SUMIFS('Таблиця 1'!$K:$K,'Таблиця 1'!$B:$B,$A581,'Таблиця 1'!$I:$I,"МіГ-29",'Таблиця 1'!$J:$J,"GBU-62")+SUMIFS('Таблиця 1'!$K:$K,'Таблиця 1'!$B:$B,$A581,'Таблиця 1'!$I:$I,"Су-25",'Таблиця 1'!$J:$J,"GBU-62")+SUMIFS('Таблиця 1'!$K:$K,'Таблиця 1'!$B:$B,$A581,'Таблиця 1'!$I:$I,"Су-27",'Таблиця 1'!$J:$J,"GBU-62"))</f>
        <v/>
      </c>
      <c r="N581">
        <f>IF($A581="","",SUMIFS('Таблиця 1'!$K:$K,'Таблиця 1'!$B:$B,$A581,'Таблиця 1'!$I:$I,"Mirage",'Таблиця 1'!$J:$J,"GBU-64")+SUMIFS('Таблиця 1'!$K:$K,'Таблиця 1'!$B:$B,$A581,'Таблиця 1'!$I:$I,"F-16",'Таблиця 1'!$J:$J,"GBU-64")+SUMIFS('Таблиця 1'!$K:$K,'Таблиця 1'!$B:$B,$A581,'Таблиця 1'!$I:$I,"МіГ-29",'Таблиця 1'!$J:$J,"GBU-64")+SUMIFS('Таблиця 1'!$K:$K,'Таблиця 1'!$B:$B,$A581,'Таблиця 1'!$I:$I,"Су-25",'Таблиця 1'!$J:$J,"GBU-64")+SUMIFS('Таблиця 1'!$K:$K,'Таблиця 1'!$B:$B,$A581,'Таблиця 1'!$I:$I,"Су-27",'Таблиця 1'!$J:$J,"GBU-64"))</f>
        <v/>
      </c>
      <c r="O581">
        <f>IF($A581="","",SUMIFS('Таблиця 1'!$K:$K,'Таблиця 1'!$B:$B,$A581,'Таблиця 1'!$I:$I,"Mirage",'Таблиця 1'!$J:$J,"C-13")+SUMIFS('Таблиця 1'!$K:$K,'Таблиця 1'!$B:$B,$A581,'Таблиця 1'!$I:$I,"F-16",'Таблиця 1'!$J:$J,"C-13")+SUMIFS('Таблиця 1'!$K:$K,'Таблиця 1'!$B:$B,$A581,'Таблиця 1'!$I:$I,"МіГ-29",'Таблиця 1'!$J:$J,"C-13")+SUMIFS('Таблиця 1'!$K:$K,'Таблиця 1'!$B:$B,$A581,'Таблиця 1'!$I:$I,"Су-25",'Таблиця 1'!$J:$J,"C-13")+SUMIFS('Таблиця 1'!$K:$K,'Таблиця 1'!$B:$B,$A581,'Таблиця 1'!$I:$I,"Су-27",'Таблиця 1'!$J:$J,"C-13"))</f>
        <v/>
      </c>
      <c r="P581">
        <f>IF($A581="","",SUMIFS('Таблиця 1'!$K:$K,'Таблиця 1'!$B:$B,$A581,'Таблиця 1'!$I:$I,"Mirage",'Таблиця 1'!$J:$J,"MK-32")+SUMIFS('Таблиця 1'!$K:$K,'Таблиця 1'!$B:$B,$A581,'Таблиця 1'!$I:$I,"F-16",'Таблиця 1'!$J:$J,"MK-32")+SUMIFS('Таблиця 1'!$K:$K,'Таблиця 1'!$B:$B,$A581,'Таблиця 1'!$I:$I,"МіГ-29",'Таблиця 1'!$J:$J,"MK-32")+SUMIFS('Таблиця 1'!$K:$K,'Таблиця 1'!$B:$B,$A581,'Таблиця 1'!$I:$I,"Су-25",'Таблиця 1'!$J:$J,"MK-32")+SUMIFS('Таблиця 1'!$K:$K,'Таблиця 1'!$B:$B,$A581,'Таблиця 1'!$I:$I,"Су-27",'Таблиця 1'!$J:$J,"MK-32"))</f>
        <v/>
      </c>
      <c r="Q581">
        <f>IF($A581="","",SUMIFS('Таблиця 1'!$K:$K,'Таблиця 1'!$B:$B,$A581,'Таблиця 1'!$I:$I,"Mirage",'Таблиця 1'!$J:$J,"MK-24")+SUMIFS('Таблиця 1'!$K:$K,'Таблиця 1'!$B:$B,$A581,'Таблиця 1'!$I:$I,"F-16",'Таблиця 1'!$J:$J,"MK-24")+SUMIFS('Таблиця 1'!$K:$K,'Таблиця 1'!$B:$B,$A581,'Таблиця 1'!$I:$I,"МіГ-29",'Таблиця 1'!$J:$J,"MK-24")+SUMIFS('Таблиця 1'!$K:$K,'Таблиця 1'!$B:$B,$A581,'Таблиця 1'!$I:$I,"Су-25",'Таблиця 1'!$J:$J,"MK-24")+SUMIFS('Таблиця 1'!$K:$K,'Таблиця 1'!$B:$B,$A581,'Таблиця 1'!$I:$I,"Су-27",'Таблиця 1'!$J:$J,"MK-24"))</f>
        <v/>
      </c>
      <c r="R581">
        <f>IF($A581="","",COUNTIFS('Таблиця 1'!$B:$B,$A581,'Таблиця 1'!$I:$I,"Mirage",'Таблиця 1'!$L:$L,"Уражено")+COUNTIFS('Таблиця 1'!$B:$B,$A581,'Таблиця 1'!$I:$I,"F-16",'Таблиця 1'!$L:$L,"Уражено")+COUNTIFS('Таблиця 1'!$B:$B,$A581,'Таблиця 1'!$I:$I,"МіГ-29",'Таблиця 1'!$L:$L,"Уражено")+COUNTIFS('Таблиця 1'!$B:$B,$A581,'Таблиця 1'!$I:$I,"Су-25",'Таблиця 1'!$L:$L,"Уражено")+COUNTIFS('Таблиця 1'!$B:$B,$A581,'Таблиця 1'!$I:$I,"Су-27",'Таблиця 1'!$L:$L,"Уражено"))</f>
        <v/>
      </c>
      <c r="S581">
        <f>IF($A581="","",COUNTIFS('Таблиця 1'!$B:$B,$A581,'Таблиця 1'!$I:$I,"Mirage",'Таблиця 1'!$L:$L,"НЕ уражено")+COUNTIFS('Таблиця 1'!$B:$B,$A581,'Таблиця 1'!$I:$I,"F-16",'Таблиця 1'!$L:$L,"НЕ уражено")+COUNTIFS('Таблиця 1'!$B:$B,$A581,'Таблиця 1'!$I:$I,"МіГ-29",'Таблиця 1'!$L:$L,"НЕ уражено")+COUNTIFS('Таблиця 1'!$B:$B,$A581,'Таблиця 1'!$I:$I,"Су-25",'Таблиця 1'!$L:$L,"НЕ уражено")+COUNTIFS('Таблиця 1'!$B:$B,$A581,'Таблиця 1'!$I:$I,"Су-27",'Таблиця 1'!$L:$L,"НЕ уражено"))</f>
        <v/>
      </c>
      <c r="T581">
        <f>IF($A581="","",COUNTIFS('Таблиця 1'!$B:$B,$A581,'Таблиця 1'!$I:$I,"Mirage",'Таблиця 1'!$L:$L,"Дорозвідується")+COUNTIFS('Таблиця 1'!$B:$B,$A581,'Таблиця 1'!$I:$I,"F-16",'Таблиця 1'!$L:$L,"Дорозвідується")+COUNTIFS('Таблиця 1'!$B:$B,$A581,'Таблиця 1'!$I:$I,"МіГ-29",'Таблиця 1'!$L:$L,"Дорозвідується")+COUNTIFS('Таблиця 1'!$B:$B,$A581,'Таблиця 1'!$I:$I,"Су-25",'Таблиця 1'!$L:$L,"Дорозвідується")+COUNTIFS('Таблиця 1'!$B:$B,$A581,'Таблиця 1'!$I:$I,"Су-27",'Таблиця 1'!$L:$L,"Дорозвідується"))</f>
        <v/>
      </c>
    </row>
    <row r="582">
      <c r="A582" s="273">
        <f>IF(A581="","",IF(A581+1&gt;MAX('Таблиця 1'!$B:$B),"",A581+1))</f>
        <v/>
      </c>
      <c r="B582">
        <f>IF($A582="","",COUNTIFS('Таблиця 1'!$B:$B,$A582,'Таблиця 1'!$I:$I,"Mirage")+COUNTIFS('Таблиця 1'!$B:$B,$A582,'Таблиця 1'!$I:$I,"F-16")+COUNTIFS('Таблиця 1'!$B:$B,$A582,'Таблиця 1'!$I:$I,"МіГ-29")+COUNTIFS('Таблиця 1'!$B:$B,$A582,'Таблиця 1'!$I:$I,"Су-25")+COUNTIFS('Таблиця 1'!$B:$B,$A582,'Таблиця 1'!$I:$I,"Су-27"))</f>
        <v/>
      </c>
      <c r="C582">
        <f>IF($A582="","",COUNTIFS('Таблиця 1'!$B:$B,$A582,'Таблиця 1'!$I:$I,"Mirage"))</f>
        <v/>
      </c>
      <c r="D582">
        <f>IF($A582="","",COUNTIFS('Таблиця 1'!$B:$B,$A582,'Таблиця 1'!$I:$I,"F-16"))</f>
        <v/>
      </c>
      <c r="E582">
        <f>IF($A582="","",COUNTIFS('Таблиця 1'!$B:$B,$A582,'Таблиця 1'!$I:$I,"МіГ-29"))</f>
        <v/>
      </c>
      <c r="F582">
        <f>IF($A582="","",COUNTIFS('Таблиця 1'!$B:$B,$A582,'Таблиця 1'!$I:$I,"Су-25"))</f>
        <v/>
      </c>
      <c r="G582">
        <f>IF($A582="","",COUNTIFS('Таблиця 1'!$B:$B,$A582,'Таблиця 1'!$I:$I,"Су-27"))</f>
        <v/>
      </c>
      <c r="H582">
        <f>IF($A582="","",SUMIFS('Таблиця 1'!$K:$K,'Таблиця 1'!$B:$B,$A582,'Таблиця 1'!$I:$I,"Mirage",'Таблиця 1'!$J:$J,"AGM-88")+SUMIFS('Таблиця 1'!$K:$K,'Таблиця 1'!$B:$B,$A582,'Таблиця 1'!$I:$I,"F-16",'Таблиця 1'!$J:$J,"AGM-88")+SUMIFS('Таблиця 1'!$K:$K,'Таблиця 1'!$B:$B,$A582,'Таблиця 1'!$I:$I,"МіГ-29",'Таблиця 1'!$J:$J,"AGM-88")+SUMIFS('Таблиця 1'!$K:$K,'Таблиця 1'!$B:$B,$A582,'Таблиця 1'!$I:$I,"Су-25",'Таблиця 1'!$J:$J,"AGM-88")+SUMIFS('Таблиця 1'!$K:$K,'Таблиця 1'!$B:$B,$A582,'Таблиця 1'!$I:$I,"Су-27",'Таблиця 1'!$J:$J,"AGM-88"))</f>
        <v/>
      </c>
      <c r="I582">
        <f>IF($A582="","",SUMIFS('Таблиця 1'!$K:$K,'Таблиця 1'!$B:$B,$A582,'Таблиця 1'!$I:$I,"Mirage",'Таблиця 1'!$J:$J,"AASM-250")+SUMIFS('Таблиця 1'!$K:$K,'Таблиця 1'!$B:$B,$A582,'Таблиця 1'!$I:$I,"F-16",'Таблиця 1'!$J:$J,"AASM-250")+SUMIFS('Таблиця 1'!$K:$K,'Таблиця 1'!$B:$B,$A582,'Таблиця 1'!$I:$I,"МіГ-29",'Таблиця 1'!$J:$J,"AASM-250")+SUMIFS('Таблиця 1'!$K:$K,'Таблиця 1'!$B:$B,$A582,'Таблиця 1'!$I:$I,"Су-25",'Таблиця 1'!$J:$J,"AASM-250")+SUMIFS('Таблиця 1'!$K:$K,'Таблиця 1'!$B:$B,$A582,'Таблиця 1'!$I:$I,"Су-27",'Таблиця 1'!$J:$J,"AASM-250"))</f>
        <v/>
      </c>
      <c r="J582">
        <f>IF($A582="","",SUMIFS('Таблиця 1'!$K:$K,'Таблиця 1'!$B:$B,$A582,'Таблиця 1'!$I:$I,"Mirage",'Таблиця 1'!$J:$J,"GBU-39")+SUMIFS('Таблиця 1'!$K:$K,'Таблиця 1'!$B:$B,$A582,'Таблиця 1'!$I:$I,"F-16",'Таблиця 1'!$J:$J,"GBU-39")+SUMIFS('Таблиця 1'!$K:$K,'Таблиця 1'!$B:$B,$A582,'Таблиця 1'!$I:$I,"МіГ-29",'Таблиця 1'!$J:$J,"GBU-39")+SUMIFS('Таблиця 1'!$K:$K,'Таблиця 1'!$B:$B,$A582,'Таблиця 1'!$I:$I,"Су-25",'Таблиця 1'!$J:$J,"GBU-39")+SUMIFS('Таблиця 1'!$K:$K,'Таблиця 1'!$B:$B,$A582,'Таблиця 1'!$I:$I,"Су-27",'Таблиця 1'!$J:$J,"GBU-39"))</f>
        <v/>
      </c>
      <c r="K582">
        <f>IF($A582="","",SUMIFS('Таблиця 1'!$K:$K,'Таблиця 1'!$B:$B,$A582,'Таблиця 1'!$I:$I,"Mirage",'Таблиця 1'!$J:$J,"BLU-140")+SUMIFS('Таблиця 1'!$K:$K,'Таблиця 1'!$B:$B,$A582,'Таблиця 1'!$I:$I,"F-16",'Таблиця 1'!$J:$J,"BLU-140")+SUMIFS('Таблиця 1'!$K:$K,'Таблиця 1'!$B:$B,$A582,'Таблиця 1'!$I:$I,"МіГ-29",'Таблиця 1'!$J:$J,"BLU-140")+SUMIFS('Таблиця 1'!$K:$K,'Таблиця 1'!$B:$B,$A582,'Таблиця 1'!$I:$I,"Су-25",'Таблиця 1'!$J:$J,"BLU-140")+SUMIFS('Таблиця 1'!$K:$K,'Таблиця 1'!$B:$B,$A582,'Таблиця 1'!$I:$I,"Су-27",'Таблиця 1'!$J:$J,"BLU-140"))</f>
        <v/>
      </c>
      <c r="L582">
        <f>IF($A582="","",SUMIFS('Таблиця 1'!$K:$K,'Таблиця 1'!$B:$B,$A582,'Таблиця 1'!$I:$I,"Mirage",'Таблиця 1'!$J:$J,"GBU-65")+SUMIFS('Таблиця 1'!$K:$K,'Таблиця 1'!$B:$B,$A582,'Таблиця 1'!$I:$I,"F-16",'Таблиця 1'!$J:$J,"GBU-65")+SUMIFS('Таблиця 1'!$K:$K,'Таблиця 1'!$B:$B,$A582,'Таблиця 1'!$I:$I,"МіГ-29",'Таблиця 1'!$J:$J,"GBU-65")+SUMIFS('Таблиця 1'!$K:$K,'Таблиця 1'!$B:$B,$A582,'Таблиця 1'!$I:$I,"Су-25",'Таблиця 1'!$J:$J,"GBU-65")+SUMIFS('Таблиця 1'!$K:$K,'Таблиця 1'!$B:$B,$A582,'Таблиця 1'!$I:$I,"Су-27",'Таблиця 1'!$J:$J,"GBU-65"))</f>
        <v/>
      </c>
      <c r="M582">
        <f>IF($A582="","",SUMIFS('Таблиця 1'!$K:$K,'Таблиця 1'!$B:$B,$A582,'Таблиця 1'!$I:$I,"Mirage",'Таблиця 1'!$J:$J,"GBU-62")+SUMIFS('Таблиця 1'!$K:$K,'Таблиця 1'!$B:$B,$A582,'Таблиця 1'!$I:$I,"F-16",'Таблиця 1'!$J:$J,"GBU-62")+SUMIFS('Таблиця 1'!$K:$K,'Таблиця 1'!$B:$B,$A582,'Таблиця 1'!$I:$I,"МіГ-29",'Таблиця 1'!$J:$J,"GBU-62")+SUMIFS('Таблиця 1'!$K:$K,'Таблиця 1'!$B:$B,$A582,'Таблиця 1'!$I:$I,"Су-25",'Таблиця 1'!$J:$J,"GBU-62")+SUMIFS('Таблиця 1'!$K:$K,'Таблиця 1'!$B:$B,$A582,'Таблиця 1'!$I:$I,"Су-27",'Таблиця 1'!$J:$J,"GBU-62"))</f>
        <v/>
      </c>
      <c r="N582">
        <f>IF($A582="","",SUMIFS('Таблиця 1'!$K:$K,'Таблиця 1'!$B:$B,$A582,'Таблиця 1'!$I:$I,"Mirage",'Таблиця 1'!$J:$J,"GBU-64")+SUMIFS('Таблиця 1'!$K:$K,'Таблиця 1'!$B:$B,$A582,'Таблиця 1'!$I:$I,"F-16",'Таблиця 1'!$J:$J,"GBU-64")+SUMIFS('Таблиця 1'!$K:$K,'Таблиця 1'!$B:$B,$A582,'Таблиця 1'!$I:$I,"МіГ-29",'Таблиця 1'!$J:$J,"GBU-64")+SUMIFS('Таблиця 1'!$K:$K,'Таблиця 1'!$B:$B,$A582,'Таблиця 1'!$I:$I,"Су-25",'Таблиця 1'!$J:$J,"GBU-64")+SUMIFS('Таблиця 1'!$K:$K,'Таблиця 1'!$B:$B,$A582,'Таблиця 1'!$I:$I,"Су-27",'Таблиця 1'!$J:$J,"GBU-64"))</f>
        <v/>
      </c>
      <c r="O582">
        <f>IF($A582="","",SUMIFS('Таблиця 1'!$K:$K,'Таблиця 1'!$B:$B,$A582,'Таблиця 1'!$I:$I,"Mirage",'Таблиця 1'!$J:$J,"C-13")+SUMIFS('Таблиця 1'!$K:$K,'Таблиця 1'!$B:$B,$A582,'Таблиця 1'!$I:$I,"F-16",'Таблиця 1'!$J:$J,"C-13")+SUMIFS('Таблиця 1'!$K:$K,'Таблиця 1'!$B:$B,$A582,'Таблиця 1'!$I:$I,"МіГ-29",'Таблиця 1'!$J:$J,"C-13")+SUMIFS('Таблиця 1'!$K:$K,'Таблиця 1'!$B:$B,$A582,'Таблиця 1'!$I:$I,"Су-25",'Таблиця 1'!$J:$J,"C-13")+SUMIFS('Таблиця 1'!$K:$K,'Таблиця 1'!$B:$B,$A582,'Таблиця 1'!$I:$I,"Су-27",'Таблиця 1'!$J:$J,"C-13"))</f>
        <v/>
      </c>
      <c r="P582">
        <f>IF($A582="","",SUMIFS('Таблиця 1'!$K:$K,'Таблиця 1'!$B:$B,$A582,'Таблиця 1'!$I:$I,"Mirage",'Таблиця 1'!$J:$J,"MK-32")+SUMIFS('Таблиця 1'!$K:$K,'Таблиця 1'!$B:$B,$A582,'Таблиця 1'!$I:$I,"F-16",'Таблиця 1'!$J:$J,"MK-32")+SUMIFS('Таблиця 1'!$K:$K,'Таблиця 1'!$B:$B,$A582,'Таблиця 1'!$I:$I,"МіГ-29",'Таблиця 1'!$J:$J,"MK-32")+SUMIFS('Таблиця 1'!$K:$K,'Таблиця 1'!$B:$B,$A582,'Таблиця 1'!$I:$I,"Су-25",'Таблиця 1'!$J:$J,"MK-32")+SUMIFS('Таблиця 1'!$K:$K,'Таблиця 1'!$B:$B,$A582,'Таблиця 1'!$I:$I,"Су-27",'Таблиця 1'!$J:$J,"MK-32"))</f>
        <v/>
      </c>
      <c r="Q582">
        <f>IF($A582="","",SUMIFS('Таблиця 1'!$K:$K,'Таблиця 1'!$B:$B,$A582,'Таблиця 1'!$I:$I,"Mirage",'Таблиця 1'!$J:$J,"MK-24")+SUMIFS('Таблиця 1'!$K:$K,'Таблиця 1'!$B:$B,$A582,'Таблиця 1'!$I:$I,"F-16",'Таблиця 1'!$J:$J,"MK-24")+SUMIFS('Таблиця 1'!$K:$K,'Таблиця 1'!$B:$B,$A582,'Таблиця 1'!$I:$I,"МіГ-29",'Таблиця 1'!$J:$J,"MK-24")+SUMIFS('Таблиця 1'!$K:$K,'Таблиця 1'!$B:$B,$A582,'Таблиця 1'!$I:$I,"Су-25",'Таблиця 1'!$J:$J,"MK-24")+SUMIFS('Таблиця 1'!$K:$K,'Таблиця 1'!$B:$B,$A582,'Таблиця 1'!$I:$I,"Су-27",'Таблиця 1'!$J:$J,"MK-24"))</f>
        <v/>
      </c>
      <c r="R582">
        <f>IF($A582="","",COUNTIFS('Таблиця 1'!$B:$B,$A582,'Таблиця 1'!$I:$I,"Mirage",'Таблиця 1'!$L:$L,"Уражено")+COUNTIFS('Таблиця 1'!$B:$B,$A582,'Таблиця 1'!$I:$I,"F-16",'Таблиця 1'!$L:$L,"Уражено")+COUNTIFS('Таблиця 1'!$B:$B,$A582,'Таблиця 1'!$I:$I,"МіГ-29",'Таблиця 1'!$L:$L,"Уражено")+COUNTIFS('Таблиця 1'!$B:$B,$A582,'Таблиця 1'!$I:$I,"Су-25",'Таблиця 1'!$L:$L,"Уражено")+COUNTIFS('Таблиця 1'!$B:$B,$A582,'Таблиця 1'!$I:$I,"Су-27",'Таблиця 1'!$L:$L,"Уражено"))</f>
        <v/>
      </c>
      <c r="S582">
        <f>IF($A582="","",COUNTIFS('Таблиця 1'!$B:$B,$A582,'Таблиця 1'!$I:$I,"Mirage",'Таблиця 1'!$L:$L,"НЕ уражено")+COUNTIFS('Таблиця 1'!$B:$B,$A582,'Таблиця 1'!$I:$I,"F-16",'Таблиця 1'!$L:$L,"НЕ уражено")+COUNTIFS('Таблиця 1'!$B:$B,$A582,'Таблиця 1'!$I:$I,"МіГ-29",'Таблиця 1'!$L:$L,"НЕ уражено")+COUNTIFS('Таблиця 1'!$B:$B,$A582,'Таблиця 1'!$I:$I,"Су-25",'Таблиця 1'!$L:$L,"НЕ уражено")+COUNTIFS('Таблиця 1'!$B:$B,$A582,'Таблиця 1'!$I:$I,"Су-27",'Таблиця 1'!$L:$L,"НЕ уражено"))</f>
        <v/>
      </c>
      <c r="T582">
        <f>IF($A582="","",COUNTIFS('Таблиця 1'!$B:$B,$A582,'Таблиця 1'!$I:$I,"Mirage",'Таблиця 1'!$L:$L,"Дорозвідується")+COUNTIFS('Таблиця 1'!$B:$B,$A582,'Таблиця 1'!$I:$I,"F-16",'Таблиця 1'!$L:$L,"Дорозвідується")+COUNTIFS('Таблиця 1'!$B:$B,$A582,'Таблиця 1'!$I:$I,"МіГ-29",'Таблиця 1'!$L:$L,"Дорозвідується")+COUNTIFS('Таблиця 1'!$B:$B,$A582,'Таблиця 1'!$I:$I,"Су-25",'Таблиця 1'!$L:$L,"Дорозвідується")+COUNTIFS('Таблиця 1'!$B:$B,$A582,'Таблиця 1'!$I:$I,"Су-27",'Таблиця 1'!$L:$L,"Дорозвідується"))</f>
        <v/>
      </c>
    </row>
    <row r="583">
      <c r="A583" s="273">
        <f>IF(A582="","",IF(A582+1&gt;MAX('Таблиця 1'!$B:$B),"",A582+1))</f>
        <v/>
      </c>
      <c r="B583">
        <f>IF($A583="","",COUNTIFS('Таблиця 1'!$B:$B,$A583,'Таблиця 1'!$I:$I,"Mirage")+COUNTIFS('Таблиця 1'!$B:$B,$A583,'Таблиця 1'!$I:$I,"F-16")+COUNTIFS('Таблиця 1'!$B:$B,$A583,'Таблиця 1'!$I:$I,"МіГ-29")+COUNTIFS('Таблиця 1'!$B:$B,$A583,'Таблиця 1'!$I:$I,"Су-25")+COUNTIFS('Таблиця 1'!$B:$B,$A583,'Таблиця 1'!$I:$I,"Су-27"))</f>
        <v/>
      </c>
      <c r="C583">
        <f>IF($A583="","",COUNTIFS('Таблиця 1'!$B:$B,$A583,'Таблиця 1'!$I:$I,"Mirage"))</f>
        <v/>
      </c>
      <c r="D583">
        <f>IF($A583="","",COUNTIFS('Таблиця 1'!$B:$B,$A583,'Таблиця 1'!$I:$I,"F-16"))</f>
        <v/>
      </c>
      <c r="E583">
        <f>IF($A583="","",COUNTIFS('Таблиця 1'!$B:$B,$A583,'Таблиця 1'!$I:$I,"МіГ-29"))</f>
        <v/>
      </c>
      <c r="F583">
        <f>IF($A583="","",COUNTIFS('Таблиця 1'!$B:$B,$A583,'Таблиця 1'!$I:$I,"Су-25"))</f>
        <v/>
      </c>
      <c r="G583">
        <f>IF($A583="","",COUNTIFS('Таблиця 1'!$B:$B,$A583,'Таблиця 1'!$I:$I,"Су-27"))</f>
        <v/>
      </c>
      <c r="H583">
        <f>IF($A583="","",SUMIFS('Таблиця 1'!$K:$K,'Таблиця 1'!$B:$B,$A583,'Таблиця 1'!$I:$I,"Mirage",'Таблиця 1'!$J:$J,"AGM-88")+SUMIFS('Таблиця 1'!$K:$K,'Таблиця 1'!$B:$B,$A583,'Таблиця 1'!$I:$I,"F-16",'Таблиця 1'!$J:$J,"AGM-88")+SUMIFS('Таблиця 1'!$K:$K,'Таблиця 1'!$B:$B,$A583,'Таблиця 1'!$I:$I,"МіГ-29",'Таблиця 1'!$J:$J,"AGM-88")+SUMIFS('Таблиця 1'!$K:$K,'Таблиця 1'!$B:$B,$A583,'Таблиця 1'!$I:$I,"Су-25",'Таблиця 1'!$J:$J,"AGM-88")+SUMIFS('Таблиця 1'!$K:$K,'Таблиця 1'!$B:$B,$A583,'Таблиця 1'!$I:$I,"Су-27",'Таблиця 1'!$J:$J,"AGM-88"))</f>
        <v/>
      </c>
      <c r="I583">
        <f>IF($A583="","",SUMIFS('Таблиця 1'!$K:$K,'Таблиця 1'!$B:$B,$A583,'Таблиця 1'!$I:$I,"Mirage",'Таблиця 1'!$J:$J,"AASM-250")+SUMIFS('Таблиця 1'!$K:$K,'Таблиця 1'!$B:$B,$A583,'Таблиця 1'!$I:$I,"F-16",'Таблиця 1'!$J:$J,"AASM-250")+SUMIFS('Таблиця 1'!$K:$K,'Таблиця 1'!$B:$B,$A583,'Таблиця 1'!$I:$I,"МіГ-29",'Таблиця 1'!$J:$J,"AASM-250")+SUMIFS('Таблиця 1'!$K:$K,'Таблиця 1'!$B:$B,$A583,'Таблиця 1'!$I:$I,"Су-25",'Таблиця 1'!$J:$J,"AASM-250")+SUMIFS('Таблиця 1'!$K:$K,'Таблиця 1'!$B:$B,$A583,'Таблиця 1'!$I:$I,"Су-27",'Таблиця 1'!$J:$J,"AASM-250"))</f>
        <v/>
      </c>
      <c r="J583">
        <f>IF($A583="","",SUMIFS('Таблиця 1'!$K:$K,'Таблиця 1'!$B:$B,$A583,'Таблиця 1'!$I:$I,"Mirage",'Таблиця 1'!$J:$J,"GBU-39")+SUMIFS('Таблиця 1'!$K:$K,'Таблиця 1'!$B:$B,$A583,'Таблиця 1'!$I:$I,"F-16",'Таблиця 1'!$J:$J,"GBU-39")+SUMIFS('Таблиця 1'!$K:$K,'Таблиця 1'!$B:$B,$A583,'Таблиця 1'!$I:$I,"МіГ-29",'Таблиця 1'!$J:$J,"GBU-39")+SUMIFS('Таблиця 1'!$K:$K,'Таблиця 1'!$B:$B,$A583,'Таблиця 1'!$I:$I,"Су-25",'Таблиця 1'!$J:$J,"GBU-39")+SUMIFS('Таблиця 1'!$K:$K,'Таблиця 1'!$B:$B,$A583,'Таблиця 1'!$I:$I,"Су-27",'Таблиця 1'!$J:$J,"GBU-39"))</f>
        <v/>
      </c>
      <c r="K583">
        <f>IF($A583="","",SUMIFS('Таблиця 1'!$K:$K,'Таблиця 1'!$B:$B,$A583,'Таблиця 1'!$I:$I,"Mirage",'Таблиця 1'!$J:$J,"BLU-140")+SUMIFS('Таблиця 1'!$K:$K,'Таблиця 1'!$B:$B,$A583,'Таблиця 1'!$I:$I,"F-16",'Таблиця 1'!$J:$J,"BLU-140")+SUMIFS('Таблиця 1'!$K:$K,'Таблиця 1'!$B:$B,$A583,'Таблиця 1'!$I:$I,"МіГ-29",'Таблиця 1'!$J:$J,"BLU-140")+SUMIFS('Таблиця 1'!$K:$K,'Таблиця 1'!$B:$B,$A583,'Таблиця 1'!$I:$I,"Су-25",'Таблиця 1'!$J:$J,"BLU-140")+SUMIFS('Таблиця 1'!$K:$K,'Таблиця 1'!$B:$B,$A583,'Таблиця 1'!$I:$I,"Су-27",'Таблиця 1'!$J:$J,"BLU-140"))</f>
        <v/>
      </c>
      <c r="L583">
        <f>IF($A583="","",SUMIFS('Таблиця 1'!$K:$K,'Таблиця 1'!$B:$B,$A583,'Таблиця 1'!$I:$I,"Mirage",'Таблиця 1'!$J:$J,"GBU-65")+SUMIFS('Таблиця 1'!$K:$K,'Таблиця 1'!$B:$B,$A583,'Таблиця 1'!$I:$I,"F-16",'Таблиця 1'!$J:$J,"GBU-65")+SUMIFS('Таблиця 1'!$K:$K,'Таблиця 1'!$B:$B,$A583,'Таблиця 1'!$I:$I,"МіГ-29",'Таблиця 1'!$J:$J,"GBU-65")+SUMIFS('Таблиця 1'!$K:$K,'Таблиця 1'!$B:$B,$A583,'Таблиця 1'!$I:$I,"Су-25",'Таблиця 1'!$J:$J,"GBU-65")+SUMIFS('Таблиця 1'!$K:$K,'Таблиця 1'!$B:$B,$A583,'Таблиця 1'!$I:$I,"Су-27",'Таблиця 1'!$J:$J,"GBU-65"))</f>
        <v/>
      </c>
      <c r="M583">
        <f>IF($A583="","",SUMIFS('Таблиця 1'!$K:$K,'Таблиця 1'!$B:$B,$A583,'Таблиця 1'!$I:$I,"Mirage",'Таблиця 1'!$J:$J,"GBU-62")+SUMIFS('Таблиця 1'!$K:$K,'Таблиця 1'!$B:$B,$A583,'Таблиця 1'!$I:$I,"F-16",'Таблиця 1'!$J:$J,"GBU-62")+SUMIFS('Таблиця 1'!$K:$K,'Таблиця 1'!$B:$B,$A583,'Таблиця 1'!$I:$I,"МіГ-29",'Таблиця 1'!$J:$J,"GBU-62")+SUMIFS('Таблиця 1'!$K:$K,'Таблиця 1'!$B:$B,$A583,'Таблиця 1'!$I:$I,"Су-25",'Таблиця 1'!$J:$J,"GBU-62")+SUMIFS('Таблиця 1'!$K:$K,'Таблиця 1'!$B:$B,$A583,'Таблиця 1'!$I:$I,"Су-27",'Таблиця 1'!$J:$J,"GBU-62"))</f>
        <v/>
      </c>
      <c r="N583">
        <f>IF($A583="","",SUMIFS('Таблиця 1'!$K:$K,'Таблиця 1'!$B:$B,$A583,'Таблиця 1'!$I:$I,"Mirage",'Таблиця 1'!$J:$J,"GBU-64")+SUMIFS('Таблиця 1'!$K:$K,'Таблиця 1'!$B:$B,$A583,'Таблиця 1'!$I:$I,"F-16",'Таблиця 1'!$J:$J,"GBU-64")+SUMIFS('Таблиця 1'!$K:$K,'Таблиця 1'!$B:$B,$A583,'Таблиця 1'!$I:$I,"МіГ-29",'Таблиця 1'!$J:$J,"GBU-64")+SUMIFS('Таблиця 1'!$K:$K,'Таблиця 1'!$B:$B,$A583,'Таблиця 1'!$I:$I,"Су-25",'Таблиця 1'!$J:$J,"GBU-64")+SUMIFS('Таблиця 1'!$K:$K,'Таблиця 1'!$B:$B,$A583,'Таблиця 1'!$I:$I,"Су-27",'Таблиця 1'!$J:$J,"GBU-64"))</f>
        <v/>
      </c>
      <c r="O583">
        <f>IF($A583="","",SUMIFS('Таблиця 1'!$K:$K,'Таблиця 1'!$B:$B,$A583,'Таблиця 1'!$I:$I,"Mirage",'Таблиця 1'!$J:$J,"C-13")+SUMIFS('Таблиця 1'!$K:$K,'Таблиця 1'!$B:$B,$A583,'Таблиця 1'!$I:$I,"F-16",'Таблиця 1'!$J:$J,"C-13")+SUMIFS('Таблиця 1'!$K:$K,'Таблиця 1'!$B:$B,$A583,'Таблиця 1'!$I:$I,"МіГ-29",'Таблиця 1'!$J:$J,"C-13")+SUMIFS('Таблиця 1'!$K:$K,'Таблиця 1'!$B:$B,$A583,'Таблиця 1'!$I:$I,"Су-25",'Таблиця 1'!$J:$J,"C-13")+SUMIFS('Таблиця 1'!$K:$K,'Таблиця 1'!$B:$B,$A583,'Таблиця 1'!$I:$I,"Су-27",'Таблиця 1'!$J:$J,"C-13"))</f>
        <v/>
      </c>
      <c r="P583">
        <f>IF($A583="","",SUMIFS('Таблиця 1'!$K:$K,'Таблиця 1'!$B:$B,$A583,'Таблиця 1'!$I:$I,"Mirage",'Таблиця 1'!$J:$J,"MK-32")+SUMIFS('Таблиця 1'!$K:$K,'Таблиця 1'!$B:$B,$A583,'Таблиця 1'!$I:$I,"F-16",'Таблиця 1'!$J:$J,"MK-32")+SUMIFS('Таблиця 1'!$K:$K,'Таблиця 1'!$B:$B,$A583,'Таблиця 1'!$I:$I,"МіГ-29",'Таблиця 1'!$J:$J,"MK-32")+SUMIFS('Таблиця 1'!$K:$K,'Таблиця 1'!$B:$B,$A583,'Таблиця 1'!$I:$I,"Су-25",'Таблиця 1'!$J:$J,"MK-32")+SUMIFS('Таблиця 1'!$K:$K,'Таблиця 1'!$B:$B,$A583,'Таблиця 1'!$I:$I,"Су-27",'Таблиця 1'!$J:$J,"MK-32"))</f>
        <v/>
      </c>
      <c r="Q583">
        <f>IF($A583="","",SUMIFS('Таблиця 1'!$K:$K,'Таблиця 1'!$B:$B,$A583,'Таблиця 1'!$I:$I,"Mirage",'Таблиця 1'!$J:$J,"MK-24")+SUMIFS('Таблиця 1'!$K:$K,'Таблиця 1'!$B:$B,$A583,'Таблиця 1'!$I:$I,"F-16",'Таблиця 1'!$J:$J,"MK-24")+SUMIFS('Таблиця 1'!$K:$K,'Таблиця 1'!$B:$B,$A583,'Таблиця 1'!$I:$I,"МіГ-29",'Таблиця 1'!$J:$J,"MK-24")+SUMIFS('Таблиця 1'!$K:$K,'Таблиця 1'!$B:$B,$A583,'Таблиця 1'!$I:$I,"Су-25",'Таблиця 1'!$J:$J,"MK-24")+SUMIFS('Таблиця 1'!$K:$K,'Таблиця 1'!$B:$B,$A583,'Таблиця 1'!$I:$I,"Су-27",'Таблиця 1'!$J:$J,"MK-24"))</f>
        <v/>
      </c>
      <c r="R583">
        <f>IF($A583="","",COUNTIFS('Таблиця 1'!$B:$B,$A583,'Таблиця 1'!$I:$I,"Mirage",'Таблиця 1'!$L:$L,"Уражено")+COUNTIFS('Таблиця 1'!$B:$B,$A583,'Таблиця 1'!$I:$I,"F-16",'Таблиця 1'!$L:$L,"Уражено")+COUNTIFS('Таблиця 1'!$B:$B,$A583,'Таблиця 1'!$I:$I,"МіГ-29",'Таблиця 1'!$L:$L,"Уражено")+COUNTIFS('Таблиця 1'!$B:$B,$A583,'Таблиця 1'!$I:$I,"Су-25",'Таблиця 1'!$L:$L,"Уражено")+COUNTIFS('Таблиця 1'!$B:$B,$A583,'Таблиця 1'!$I:$I,"Су-27",'Таблиця 1'!$L:$L,"Уражено"))</f>
        <v/>
      </c>
      <c r="S583">
        <f>IF($A583="","",COUNTIFS('Таблиця 1'!$B:$B,$A583,'Таблиця 1'!$I:$I,"Mirage",'Таблиця 1'!$L:$L,"НЕ уражено")+COUNTIFS('Таблиця 1'!$B:$B,$A583,'Таблиця 1'!$I:$I,"F-16",'Таблиця 1'!$L:$L,"НЕ уражено")+COUNTIFS('Таблиця 1'!$B:$B,$A583,'Таблиця 1'!$I:$I,"МіГ-29",'Таблиця 1'!$L:$L,"НЕ уражено")+COUNTIFS('Таблиця 1'!$B:$B,$A583,'Таблиця 1'!$I:$I,"Су-25",'Таблиця 1'!$L:$L,"НЕ уражено")+COUNTIFS('Таблиця 1'!$B:$B,$A583,'Таблиця 1'!$I:$I,"Су-27",'Таблиця 1'!$L:$L,"НЕ уражено"))</f>
        <v/>
      </c>
      <c r="T583">
        <f>IF($A583="","",COUNTIFS('Таблиця 1'!$B:$B,$A583,'Таблиця 1'!$I:$I,"Mirage",'Таблиця 1'!$L:$L,"Дорозвідується")+COUNTIFS('Таблиця 1'!$B:$B,$A583,'Таблиця 1'!$I:$I,"F-16",'Таблиця 1'!$L:$L,"Дорозвідується")+COUNTIFS('Таблиця 1'!$B:$B,$A583,'Таблиця 1'!$I:$I,"МіГ-29",'Таблиця 1'!$L:$L,"Дорозвідується")+COUNTIFS('Таблиця 1'!$B:$B,$A583,'Таблиця 1'!$I:$I,"Су-25",'Таблиця 1'!$L:$L,"Дорозвідується")+COUNTIFS('Таблиця 1'!$B:$B,$A583,'Таблиця 1'!$I:$I,"Су-27",'Таблиця 1'!$L:$L,"Дорозвідується"))</f>
        <v/>
      </c>
    </row>
    <row r="584">
      <c r="A584" s="273">
        <f>IF(A583="","",IF(A583+1&gt;MAX('Таблиця 1'!$B:$B),"",A583+1))</f>
        <v/>
      </c>
      <c r="B584">
        <f>IF($A584="","",COUNTIFS('Таблиця 1'!$B:$B,$A584,'Таблиця 1'!$I:$I,"Mirage")+COUNTIFS('Таблиця 1'!$B:$B,$A584,'Таблиця 1'!$I:$I,"F-16")+COUNTIFS('Таблиця 1'!$B:$B,$A584,'Таблиця 1'!$I:$I,"МіГ-29")+COUNTIFS('Таблиця 1'!$B:$B,$A584,'Таблиця 1'!$I:$I,"Су-25")+COUNTIFS('Таблиця 1'!$B:$B,$A584,'Таблиця 1'!$I:$I,"Су-27"))</f>
        <v/>
      </c>
      <c r="C584">
        <f>IF($A584="","",COUNTIFS('Таблиця 1'!$B:$B,$A584,'Таблиця 1'!$I:$I,"Mirage"))</f>
        <v/>
      </c>
      <c r="D584">
        <f>IF($A584="","",COUNTIFS('Таблиця 1'!$B:$B,$A584,'Таблиця 1'!$I:$I,"F-16"))</f>
        <v/>
      </c>
      <c r="E584">
        <f>IF($A584="","",COUNTIFS('Таблиця 1'!$B:$B,$A584,'Таблиця 1'!$I:$I,"МіГ-29"))</f>
        <v/>
      </c>
      <c r="F584">
        <f>IF($A584="","",COUNTIFS('Таблиця 1'!$B:$B,$A584,'Таблиця 1'!$I:$I,"Су-25"))</f>
        <v/>
      </c>
      <c r="G584">
        <f>IF($A584="","",COUNTIFS('Таблиця 1'!$B:$B,$A584,'Таблиця 1'!$I:$I,"Су-27"))</f>
        <v/>
      </c>
      <c r="H584">
        <f>IF($A584="","",SUMIFS('Таблиця 1'!$K:$K,'Таблиця 1'!$B:$B,$A584,'Таблиця 1'!$I:$I,"Mirage",'Таблиця 1'!$J:$J,"AGM-88")+SUMIFS('Таблиця 1'!$K:$K,'Таблиця 1'!$B:$B,$A584,'Таблиця 1'!$I:$I,"F-16",'Таблиця 1'!$J:$J,"AGM-88")+SUMIFS('Таблиця 1'!$K:$K,'Таблиця 1'!$B:$B,$A584,'Таблиця 1'!$I:$I,"МіГ-29",'Таблиця 1'!$J:$J,"AGM-88")+SUMIFS('Таблиця 1'!$K:$K,'Таблиця 1'!$B:$B,$A584,'Таблиця 1'!$I:$I,"Су-25",'Таблиця 1'!$J:$J,"AGM-88")+SUMIFS('Таблиця 1'!$K:$K,'Таблиця 1'!$B:$B,$A584,'Таблиця 1'!$I:$I,"Су-27",'Таблиця 1'!$J:$J,"AGM-88"))</f>
        <v/>
      </c>
      <c r="I584">
        <f>IF($A584="","",SUMIFS('Таблиця 1'!$K:$K,'Таблиця 1'!$B:$B,$A584,'Таблиця 1'!$I:$I,"Mirage",'Таблиця 1'!$J:$J,"AASM-250")+SUMIFS('Таблиця 1'!$K:$K,'Таблиця 1'!$B:$B,$A584,'Таблиця 1'!$I:$I,"F-16",'Таблиця 1'!$J:$J,"AASM-250")+SUMIFS('Таблиця 1'!$K:$K,'Таблиця 1'!$B:$B,$A584,'Таблиця 1'!$I:$I,"МіГ-29",'Таблиця 1'!$J:$J,"AASM-250")+SUMIFS('Таблиця 1'!$K:$K,'Таблиця 1'!$B:$B,$A584,'Таблиця 1'!$I:$I,"Су-25",'Таблиця 1'!$J:$J,"AASM-250")+SUMIFS('Таблиця 1'!$K:$K,'Таблиця 1'!$B:$B,$A584,'Таблиця 1'!$I:$I,"Су-27",'Таблиця 1'!$J:$J,"AASM-250"))</f>
        <v/>
      </c>
      <c r="J584">
        <f>IF($A584="","",SUMIFS('Таблиця 1'!$K:$K,'Таблиця 1'!$B:$B,$A584,'Таблиця 1'!$I:$I,"Mirage",'Таблиця 1'!$J:$J,"GBU-39")+SUMIFS('Таблиця 1'!$K:$K,'Таблиця 1'!$B:$B,$A584,'Таблиця 1'!$I:$I,"F-16",'Таблиця 1'!$J:$J,"GBU-39")+SUMIFS('Таблиця 1'!$K:$K,'Таблиця 1'!$B:$B,$A584,'Таблиця 1'!$I:$I,"МіГ-29",'Таблиця 1'!$J:$J,"GBU-39")+SUMIFS('Таблиця 1'!$K:$K,'Таблиця 1'!$B:$B,$A584,'Таблиця 1'!$I:$I,"Су-25",'Таблиця 1'!$J:$J,"GBU-39")+SUMIFS('Таблиця 1'!$K:$K,'Таблиця 1'!$B:$B,$A584,'Таблиця 1'!$I:$I,"Су-27",'Таблиця 1'!$J:$J,"GBU-39"))</f>
        <v/>
      </c>
      <c r="K584">
        <f>IF($A584="","",SUMIFS('Таблиця 1'!$K:$K,'Таблиця 1'!$B:$B,$A584,'Таблиця 1'!$I:$I,"Mirage",'Таблиця 1'!$J:$J,"BLU-140")+SUMIFS('Таблиця 1'!$K:$K,'Таблиця 1'!$B:$B,$A584,'Таблиця 1'!$I:$I,"F-16",'Таблиця 1'!$J:$J,"BLU-140")+SUMIFS('Таблиця 1'!$K:$K,'Таблиця 1'!$B:$B,$A584,'Таблиця 1'!$I:$I,"МіГ-29",'Таблиця 1'!$J:$J,"BLU-140")+SUMIFS('Таблиця 1'!$K:$K,'Таблиця 1'!$B:$B,$A584,'Таблиця 1'!$I:$I,"Су-25",'Таблиця 1'!$J:$J,"BLU-140")+SUMIFS('Таблиця 1'!$K:$K,'Таблиця 1'!$B:$B,$A584,'Таблиця 1'!$I:$I,"Су-27",'Таблиця 1'!$J:$J,"BLU-140"))</f>
        <v/>
      </c>
      <c r="L584">
        <f>IF($A584="","",SUMIFS('Таблиця 1'!$K:$K,'Таблиця 1'!$B:$B,$A584,'Таблиця 1'!$I:$I,"Mirage",'Таблиця 1'!$J:$J,"GBU-65")+SUMIFS('Таблиця 1'!$K:$K,'Таблиця 1'!$B:$B,$A584,'Таблиця 1'!$I:$I,"F-16",'Таблиця 1'!$J:$J,"GBU-65")+SUMIFS('Таблиця 1'!$K:$K,'Таблиця 1'!$B:$B,$A584,'Таблиця 1'!$I:$I,"МіГ-29",'Таблиця 1'!$J:$J,"GBU-65")+SUMIFS('Таблиця 1'!$K:$K,'Таблиця 1'!$B:$B,$A584,'Таблиця 1'!$I:$I,"Су-25",'Таблиця 1'!$J:$J,"GBU-65")+SUMIFS('Таблиця 1'!$K:$K,'Таблиця 1'!$B:$B,$A584,'Таблиця 1'!$I:$I,"Су-27",'Таблиця 1'!$J:$J,"GBU-65"))</f>
        <v/>
      </c>
      <c r="M584">
        <f>IF($A584="","",SUMIFS('Таблиця 1'!$K:$K,'Таблиця 1'!$B:$B,$A584,'Таблиця 1'!$I:$I,"Mirage",'Таблиця 1'!$J:$J,"GBU-62")+SUMIFS('Таблиця 1'!$K:$K,'Таблиця 1'!$B:$B,$A584,'Таблиця 1'!$I:$I,"F-16",'Таблиця 1'!$J:$J,"GBU-62")+SUMIFS('Таблиця 1'!$K:$K,'Таблиця 1'!$B:$B,$A584,'Таблиця 1'!$I:$I,"МіГ-29",'Таблиця 1'!$J:$J,"GBU-62")+SUMIFS('Таблиця 1'!$K:$K,'Таблиця 1'!$B:$B,$A584,'Таблиця 1'!$I:$I,"Су-25",'Таблиця 1'!$J:$J,"GBU-62")+SUMIFS('Таблиця 1'!$K:$K,'Таблиця 1'!$B:$B,$A584,'Таблиця 1'!$I:$I,"Су-27",'Таблиця 1'!$J:$J,"GBU-62"))</f>
        <v/>
      </c>
      <c r="N584">
        <f>IF($A584="","",SUMIFS('Таблиця 1'!$K:$K,'Таблиця 1'!$B:$B,$A584,'Таблиця 1'!$I:$I,"Mirage",'Таблиця 1'!$J:$J,"GBU-64")+SUMIFS('Таблиця 1'!$K:$K,'Таблиця 1'!$B:$B,$A584,'Таблиця 1'!$I:$I,"F-16",'Таблиця 1'!$J:$J,"GBU-64")+SUMIFS('Таблиця 1'!$K:$K,'Таблиця 1'!$B:$B,$A584,'Таблиця 1'!$I:$I,"МіГ-29",'Таблиця 1'!$J:$J,"GBU-64")+SUMIFS('Таблиця 1'!$K:$K,'Таблиця 1'!$B:$B,$A584,'Таблиця 1'!$I:$I,"Су-25",'Таблиця 1'!$J:$J,"GBU-64")+SUMIFS('Таблиця 1'!$K:$K,'Таблиця 1'!$B:$B,$A584,'Таблиця 1'!$I:$I,"Су-27",'Таблиця 1'!$J:$J,"GBU-64"))</f>
        <v/>
      </c>
      <c r="O584">
        <f>IF($A584="","",SUMIFS('Таблиця 1'!$K:$K,'Таблиця 1'!$B:$B,$A584,'Таблиця 1'!$I:$I,"Mirage",'Таблиця 1'!$J:$J,"C-13")+SUMIFS('Таблиця 1'!$K:$K,'Таблиця 1'!$B:$B,$A584,'Таблиця 1'!$I:$I,"F-16",'Таблиця 1'!$J:$J,"C-13")+SUMIFS('Таблиця 1'!$K:$K,'Таблиця 1'!$B:$B,$A584,'Таблиця 1'!$I:$I,"МіГ-29",'Таблиця 1'!$J:$J,"C-13")+SUMIFS('Таблиця 1'!$K:$K,'Таблиця 1'!$B:$B,$A584,'Таблиця 1'!$I:$I,"Су-25",'Таблиця 1'!$J:$J,"C-13")+SUMIFS('Таблиця 1'!$K:$K,'Таблиця 1'!$B:$B,$A584,'Таблиця 1'!$I:$I,"Су-27",'Таблиця 1'!$J:$J,"C-13"))</f>
        <v/>
      </c>
      <c r="P584">
        <f>IF($A584="","",SUMIFS('Таблиця 1'!$K:$K,'Таблиця 1'!$B:$B,$A584,'Таблиця 1'!$I:$I,"Mirage",'Таблиця 1'!$J:$J,"MK-32")+SUMIFS('Таблиця 1'!$K:$K,'Таблиця 1'!$B:$B,$A584,'Таблиця 1'!$I:$I,"F-16",'Таблиця 1'!$J:$J,"MK-32")+SUMIFS('Таблиця 1'!$K:$K,'Таблиця 1'!$B:$B,$A584,'Таблиця 1'!$I:$I,"МіГ-29",'Таблиця 1'!$J:$J,"MK-32")+SUMIFS('Таблиця 1'!$K:$K,'Таблиця 1'!$B:$B,$A584,'Таблиця 1'!$I:$I,"Су-25",'Таблиця 1'!$J:$J,"MK-32")+SUMIFS('Таблиця 1'!$K:$K,'Таблиця 1'!$B:$B,$A584,'Таблиця 1'!$I:$I,"Су-27",'Таблиця 1'!$J:$J,"MK-32"))</f>
        <v/>
      </c>
      <c r="Q584">
        <f>IF($A584="","",SUMIFS('Таблиця 1'!$K:$K,'Таблиця 1'!$B:$B,$A584,'Таблиця 1'!$I:$I,"Mirage",'Таблиця 1'!$J:$J,"MK-24")+SUMIFS('Таблиця 1'!$K:$K,'Таблиця 1'!$B:$B,$A584,'Таблиця 1'!$I:$I,"F-16",'Таблиця 1'!$J:$J,"MK-24")+SUMIFS('Таблиця 1'!$K:$K,'Таблиця 1'!$B:$B,$A584,'Таблиця 1'!$I:$I,"МіГ-29",'Таблиця 1'!$J:$J,"MK-24")+SUMIFS('Таблиця 1'!$K:$K,'Таблиця 1'!$B:$B,$A584,'Таблиця 1'!$I:$I,"Су-25",'Таблиця 1'!$J:$J,"MK-24")+SUMIFS('Таблиця 1'!$K:$K,'Таблиця 1'!$B:$B,$A584,'Таблиця 1'!$I:$I,"Су-27",'Таблиця 1'!$J:$J,"MK-24"))</f>
        <v/>
      </c>
      <c r="R584">
        <f>IF($A584="","",COUNTIFS('Таблиця 1'!$B:$B,$A584,'Таблиця 1'!$I:$I,"Mirage",'Таблиця 1'!$L:$L,"Уражено")+COUNTIFS('Таблиця 1'!$B:$B,$A584,'Таблиця 1'!$I:$I,"F-16",'Таблиця 1'!$L:$L,"Уражено")+COUNTIFS('Таблиця 1'!$B:$B,$A584,'Таблиця 1'!$I:$I,"МіГ-29",'Таблиця 1'!$L:$L,"Уражено")+COUNTIFS('Таблиця 1'!$B:$B,$A584,'Таблиця 1'!$I:$I,"Су-25",'Таблиця 1'!$L:$L,"Уражено")+COUNTIFS('Таблиця 1'!$B:$B,$A584,'Таблиця 1'!$I:$I,"Су-27",'Таблиця 1'!$L:$L,"Уражено"))</f>
        <v/>
      </c>
      <c r="S584">
        <f>IF($A584="","",COUNTIFS('Таблиця 1'!$B:$B,$A584,'Таблиця 1'!$I:$I,"Mirage",'Таблиця 1'!$L:$L,"НЕ уражено")+COUNTIFS('Таблиця 1'!$B:$B,$A584,'Таблиця 1'!$I:$I,"F-16",'Таблиця 1'!$L:$L,"НЕ уражено")+COUNTIFS('Таблиця 1'!$B:$B,$A584,'Таблиця 1'!$I:$I,"МіГ-29",'Таблиця 1'!$L:$L,"НЕ уражено")+COUNTIFS('Таблиця 1'!$B:$B,$A584,'Таблиця 1'!$I:$I,"Су-25",'Таблиця 1'!$L:$L,"НЕ уражено")+COUNTIFS('Таблиця 1'!$B:$B,$A584,'Таблиця 1'!$I:$I,"Су-27",'Таблиця 1'!$L:$L,"НЕ уражено"))</f>
        <v/>
      </c>
      <c r="T584">
        <f>IF($A584="","",COUNTIFS('Таблиця 1'!$B:$B,$A584,'Таблиця 1'!$I:$I,"Mirage",'Таблиця 1'!$L:$L,"Дорозвідується")+COUNTIFS('Таблиця 1'!$B:$B,$A584,'Таблиця 1'!$I:$I,"F-16",'Таблиця 1'!$L:$L,"Дорозвідується")+COUNTIFS('Таблиця 1'!$B:$B,$A584,'Таблиця 1'!$I:$I,"МіГ-29",'Таблиця 1'!$L:$L,"Дорозвідується")+COUNTIFS('Таблиця 1'!$B:$B,$A584,'Таблиця 1'!$I:$I,"Су-25",'Таблиця 1'!$L:$L,"Дорозвідується")+COUNTIFS('Таблиця 1'!$B:$B,$A584,'Таблиця 1'!$I:$I,"Су-27",'Таблиця 1'!$L:$L,"Дорозвідується"))</f>
        <v/>
      </c>
    </row>
    <row r="585">
      <c r="A585" s="273">
        <f>IF(A584="","",IF(A584+1&gt;MAX('Таблиця 1'!$B:$B),"",A584+1))</f>
        <v/>
      </c>
      <c r="B585">
        <f>IF($A585="","",COUNTIFS('Таблиця 1'!$B:$B,$A585,'Таблиця 1'!$I:$I,"Mirage")+COUNTIFS('Таблиця 1'!$B:$B,$A585,'Таблиця 1'!$I:$I,"F-16")+COUNTIFS('Таблиця 1'!$B:$B,$A585,'Таблиця 1'!$I:$I,"МіГ-29")+COUNTIFS('Таблиця 1'!$B:$B,$A585,'Таблиця 1'!$I:$I,"Су-25")+COUNTIFS('Таблиця 1'!$B:$B,$A585,'Таблиця 1'!$I:$I,"Су-27"))</f>
        <v/>
      </c>
      <c r="C585">
        <f>IF($A585="","",COUNTIFS('Таблиця 1'!$B:$B,$A585,'Таблиця 1'!$I:$I,"Mirage"))</f>
        <v/>
      </c>
      <c r="D585">
        <f>IF($A585="","",COUNTIFS('Таблиця 1'!$B:$B,$A585,'Таблиця 1'!$I:$I,"F-16"))</f>
        <v/>
      </c>
      <c r="E585">
        <f>IF($A585="","",COUNTIFS('Таблиця 1'!$B:$B,$A585,'Таблиця 1'!$I:$I,"МіГ-29"))</f>
        <v/>
      </c>
      <c r="F585">
        <f>IF($A585="","",COUNTIFS('Таблиця 1'!$B:$B,$A585,'Таблиця 1'!$I:$I,"Су-25"))</f>
        <v/>
      </c>
      <c r="G585">
        <f>IF($A585="","",COUNTIFS('Таблиця 1'!$B:$B,$A585,'Таблиця 1'!$I:$I,"Су-27"))</f>
        <v/>
      </c>
      <c r="H585">
        <f>IF($A585="","",SUMIFS('Таблиця 1'!$K:$K,'Таблиця 1'!$B:$B,$A585,'Таблиця 1'!$I:$I,"Mirage",'Таблиця 1'!$J:$J,"AGM-88")+SUMIFS('Таблиця 1'!$K:$K,'Таблиця 1'!$B:$B,$A585,'Таблиця 1'!$I:$I,"F-16",'Таблиця 1'!$J:$J,"AGM-88")+SUMIFS('Таблиця 1'!$K:$K,'Таблиця 1'!$B:$B,$A585,'Таблиця 1'!$I:$I,"МіГ-29",'Таблиця 1'!$J:$J,"AGM-88")+SUMIFS('Таблиця 1'!$K:$K,'Таблиця 1'!$B:$B,$A585,'Таблиця 1'!$I:$I,"Су-25",'Таблиця 1'!$J:$J,"AGM-88")+SUMIFS('Таблиця 1'!$K:$K,'Таблиця 1'!$B:$B,$A585,'Таблиця 1'!$I:$I,"Су-27",'Таблиця 1'!$J:$J,"AGM-88"))</f>
        <v/>
      </c>
      <c r="I585">
        <f>IF($A585="","",SUMIFS('Таблиця 1'!$K:$K,'Таблиця 1'!$B:$B,$A585,'Таблиця 1'!$I:$I,"Mirage",'Таблиця 1'!$J:$J,"AASM-250")+SUMIFS('Таблиця 1'!$K:$K,'Таблиця 1'!$B:$B,$A585,'Таблиця 1'!$I:$I,"F-16",'Таблиця 1'!$J:$J,"AASM-250")+SUMIFS('Таблиця 1'!$K:$K,'Таблиця 1'!$B:$B,$A585,'Таблиця 1'!$I:$I,"МіГ-29",'Таблиця 1'!$J:$J,"AASM-250")+SUMIFS('Таблиця 1'!$K:$K,'Таблиця 1'!$B:$B,$A585,'Таблиця 1'!$I:$I,"Су-25",'Таблиця 1'!$J:$J,"AASM-250")+SUMIFS('Таблиця 1'!$K:$K,'Таблиця 1'!$B:$B,$A585,'Таблиця 1'!$I:$I,"Су-27",'Таблиця 1'!$J:$J,"AASM-250"))</f>
        <v/>
      </c>
      <c r="J585">
        <f>IF($A585="","",SUMIFS('Таблиця 1'!$K:$K,'Таблиця 1'!$B:$B,$A585,'Таблиця 1'!$I:$I,"Mirage",'Таблиця 1'!$J:$J,"GBU-39")+SUMIFS('Таблиця 1'!$K:$K,'Таблиця 1'!$B:$B,$A585,'Таблиця 1'!$I:$I,"F-16",'Таблиця 1'!$J:$J,"GBU-39")+SUMIFS('Таблиця 1'!$K:$K,'Таблиця 1'!$B:$B,$A585,'Таблиця 1'!$I:$I,"МіГ-29",'Таблиця 1'!$J:$J,"GBU-39")+SUMIFS('Таблиця 1'!$K:$K,'Таблиця 1'!$B:$B,$A585,'Таблиця 1'!$I:$I,"Су-25",'Таблиця 1'!$J:$J,"GBU-39")+SUMIFS('Таблиця 1'!$K:$K,'Таблиця 1'!$B:$B,$A585,'Таблиця 1'!$I:$I,"Су-27",'Таблиця 1'!$J:$J,"GBU-39"))</f>
        <v/>
      </c>
      <c r="K585">
        <f>IF($A585="","",SUMIFS('Таблиця 1'!$K:$K,'Таблиця 1'!$B:$B,$A585,'Таблиця 1'!$I:$I,"Mirage",'Таблиця 1'!$J:$J,"BLU-140")+SUMIFS('Таблиця 1'!$K:$K,'Таблиця 1'!$B:$B,$A585,'Таблиця 1'!$I:$I,"F-16",'Таблиця 1'!$J:$J,"BLU-140")+SUMIFS('Таблиця 1'!$K:$K,'Таблиця 1'!$B:$B,$A585,'Таблиця 1'!$I:$I,"МіГ-29",'Таблиця 1'!$J:$J,"BLU-140")+SUMIFS('Таблиця 1'!$K:$K,'Таблиця 1'!$B:$B,$A585,'Таблиця 1'!$I:$I,"Су-25",'Таблиця 1'!$J:$J,"BLU-140")+SUMIFS('Таблиця 1'!$K:$K,'Таблиця 1'!$B:$B,$A585,'Таблиця 1'!$I:$I,"Су-27",'Таблиця 1'!$J:$J,"BLU-140"))</f>
        <v/>
      </c>
      <c r="L585">
        <f>IF($A585="","",SUMIFS('Таблиця 1'!$K:$K,'Таблиця 1'!$B:$B,$A585,'Таблиця 1'!$I:$I,"Mirage",'Таблиця 1'!$J:$J,"GBU-65")+SUMIFS('Таблиця 1'!$K:$K,'Таблиця 1'!$B:$B,$A585,'Таблиця 1'!$I:$I,"F-16",'Таблиця 1'!$J:$J,"GBU-65")+SUMIFS('Таблиця 1'!$K:$K,'Таблиця 1'!$B:$B,$A585,'Таблиця 1'!$I:$I,"МіГ-29",'Таблиця 1'!$J:$J,"GBU-65")+SUMIFS('Таблиця 1'!$K:$K,'Таблиця 1'!$B:$B,$A585,'Таблиця 1'!$I:$I,"Су-25",'Таблиця 1'!$J:$J,"GBU-65")+SUMIFS('Таблиця 1'!$K:$K,'Таблиця 1'!$B:$B,$A585,'Таблиця 1'!$I:$I,"Су-27",'Таблиця 1'!$J:$J,"GBU-65"))</f>
        <v/>
      </c>
      <c r="M585">
        <f>IF($A585="","",SUMIFS('Таблиця 1'!$K:$K,'Таблиця 1'!$B:$B,$A585,'Таблиця 1'!$I:$I,"Mirage",'Таблиця 1'!$J:$J,"GBU-62")+SUMIFS('Таблиця 1'!$K:$K,'Таблиця 1'!$B:$B,$A585,'Таблиця 1'!$I:$I,"F-16",'Таблиця 1'!$J:$J,"GBU-62")+SUMIFS('Таблиця 1'!$K:$K,'Таблиця 1'!$B:$B,$A585,'Таблиця 1'!$I:$I,"МіГ-29",'Таблиця 1'!$J:$J,"GBU-62")+SUMIFS('Таблиця 1'!$K:$K,'Таблиця 1'!$B:$B,$A585,'Таблиця 1'!$I:$I,"Су-25",'Таблиця 1'!$J:$J,"GBU-62")+SUMIFS('Таблиця 1'!$K:$K,'Таблиця 1'!$B:$B,$A585,'Таблиця 1'!$I:$I,"Су-27",'Таблиця 1'!$J:$J,"GBU-62"))</f>
        <v/>
      </c>
      <c r="N585">
        <f>IF($A585="","",SUMIFS('Таблиця 1'!$K:$K,'Таблиця 1'!$B:$B,$A585,'Таблиця 1'!$I:$I,"Mirage",'Таблиця 1'!$J:$J,"GBU-64")+SUMIFS('Таблиця 1'!$K:$K,'Таблиця 1'!$B:$B,$A585,'Таблиця 1'!$I:$I,"F-16",'Таблиця 1'!$J:$J,"GBU-64")+SUMIFS('Таблиця 1'!$K:$K,'Таблиця 1'!$B:$B,$A585,'Таблиця 1'!$I:$I,"МіГ-29",'Таблиця 1'!$J:$J,"GBU-64")+SUMIFS('Таблиця 1'!$K:$K,'Таблиця 1'!$B:$B,$A585,'Таблиця 1'!$I:$I,"Су-25",'Таблиця 1'!$J:$J,"GBU-64")+SUMIFS('Таблиця 1'!$K:$K,'Таблиця 1'!$B:$B,$A585,'Таблиця 1'!$I:$I,"Су-27",'Таблиця 1'!$J:$J,"GBU-64"))</f>
        <v/>
      </c>
      <c r="O585">
        <f>IF($A585="","",SUMIFS('Таблиця 1'!$K:$K,'Таблиця 1'!$B:$B,$A585,'Таблиця 1'!$I:$I,"Mirage",'Таблиця 1'!$J:$J,"C-13")+SUMIFS('Таблиця 1'!$K:$K,'Таблиця 1'!$B:$B,$A585,'Таблиця 1'!$I:$I,"F-16",'Таблиця 1'!$J:$J,"C-13")+SUMIFS('Таблиця 1'!$K:$K,'Таблиця 1'!$B:$B,$A585,'Таблиця 1'!$I:$I,"МіГ-29",'Таблиця 1'!$J:$J,"C-13")+SUMIFS('Таблиця 1'!$K:$K,'Таблиця 1'!$B:$B,$A585,'Таблиця 1'!$I:$I,"Су-25",'Таблиця 1'!$J:$J,"C-13")+SUMIFS('Таблиця 1'!$K:$K,'Таблиця 1'!$B:$B,$A585,'Таблиця 1'!$I:$I,"Су-27",'Таблиця 1'!$J:$J,"C-13"))</f>
        <v/>
      </c>
      <c r="P585">
        <f>IF($A585="","",SUMIFS('Таблиця 1'!$K:$K,'Таблиця 1'!$B:$B,$A585,'Таблиця 1'!$I:$I,"Mirage",'Таблиця 1'!$J:$J,"MK-32")+SUMIFS('Таблиця 1'!$K:$K,'Таблиця 1'!$B:$B,$A585,'Таблиця 1'!$I:$I,"F-16",'Таблиця 1'!$J:$J,"MK-32")+SUMIFS('Таблиця 1'!$K:$K,'Таблиця 1'!$B:$B,$A585,'Таблиця 1'!$I:$I,"МіГ-29",'Таблиця 1'!$J:$J,"MK-32")+SUMIFS('Таблиця 1'!$K:$K,'Таблиця 1'!$B:$B,$A585,'Таблиця 1'!$I:$I,"Су-25",'Таблиця 1'!$J:$J,"MK-32")+SUMIFS('Таблиця 1'!$K:$K,'Таблиця 1'!$B:$B,$A585,'Таблиця 1'!$I:$I,"Су-27",'Таблиця 1'!$J:$J,"MK-32"))</f>
        <v/>
      </c>
      <c r="Q585">
        <f>IF($A585="","",SUMIFS('Таблиця 1'!$K:$K,'Таблиця 1'!$B:$B,$A585,'Таблиця 1'!$I:$I,"Mirage",'Таблиця 1'!$J:$J,"MK-24")+SUMIFS('Таблиця 1'!$K:$K,'Таблиця 1'!$B:$B,$A585,'Таблиця 1'!$I:$I,"F-16",'Таблиця 1'!$J:$J,"MK-24")+SUMIFS('Таблиця 1'!$K:$K,'Таблиця 1'!$B:$B,$A585,'Таблиця 1'!$I:$I,"МіГ-29",'Таблиця 1'!$J:$J,"MK-24")+SUMIFS('Таблиця 1'!$K:$K,'Таблиця 1'!$B:$B,$A585,'Таблиця 1'!$I:$I,"Су-25",'Таблиця 1'!$J:$J,"MK-24")+SUMIFS('Таблиця 1'!$K:$K,'Таблиця 1'!$B:$B,$A585,'Таблиця 1'!$I:$I,"Су-27",'Таблиця 1'!$J:$J,"MK-24"))</f>
        <v/>
      </c>
      <c r="R585">
        <f>IF($A585="","",COUNTIFS('Таблиця 1'!$B:$B,$A585,'Таблиця 1'!$I:$I,"Mirage",'Таблиця 1'!$L:$L,"Уражено")+COUNTIFS('Таблиця 1'!$B:$B,$A585,'Таблиця 1'!$I:$I,"F-16",'Таблиця 1'!$L:$L,"Уражено")+COUNTIFS('Таблиця 1'!$B:$B,$A585,'Таблиця 1'!$I:$I,"МіГ-29",'Таблиця 1'!$L:$L,"Уражено")+COUNTIFS('Таблиця 1'!$B:$B,$A585,'Таблиця 1'!$I:$I,"Су-25",'Таблиця 1'!$L:$L,"Уражено")+COUNTIFS('Таблиця 1'!$B:$B,$A585,'Таблиця 1'!$I:$I,"Су-27",'Таблиця 1'!$L:$L,"Уражено"))</f>
        <v/>
      </c>
      <c r="S585">
        <f>IF($A585="","",COUNTIFS('Таблиця 1'!$B:$B,$A585,'Таблиця 1'!$I:$I,"Mirage",'Таблиця 1'!$L:$L,"НЕ уражено")+COUNTIFS('Таблиця 1'!$B:$B,$A585,'Таблиця 1'!$I:$I,"F-16",'Таблиця 1'!$L:$L,"НЕ уражено")+COUNTIFS('Таблиця 1'!$B:$B,$A585,'Таблиця 1'!$I:$I,"МіГ-29",'Таблиця 1'!$L:$L,"НЕ уражено")+COUNTIFS('Таблиця 1'!$B:$B,$A585,'Таблиця 1'!$I:$I,"Су-25",'Таблиця 1'!$L:$L,"НЕ уражено")+COUNTIFS('Таблиця 1'!$B:$B,$A585,'Таблиця 1'!$I:$I,"Су-27",'Таблиця 1'!$L:$L,"НЕ уражено"))</f>
        <v/>
      </c>
      <c r="T585">
        <f>IF($A585="","",COUNTIFS('Таблиця 1'!$B:$B,$A585,'Таблиця 1'!$I:$I,"Mirage",'Таблиця 1'!$L:$L,"Дорозвідується")+COUNTIFS('Таблиця 1'!$B:$B,$A585,'Таблиця 1'!$I:$I,"F-16",'Таблиця 1'!$L:$L,"Дорозвідується")+COUNTIFS('Таблиця 1'!$B:$B,$A585,'Таблиця 1'!$I:$I,"МіГ-29",'Таблиця 1'!$L:$L,"Дорозвідується")+COUNTIFS('Таблиця 1'!$B:$B,$A585,'Таблиця 1'!$I:$I,"Су-25",'Таблиця 1'!$L:$L,"Дорозвідується")+COUNTIFS('Таблиця 1'!$B:$B,$A585,'Таблиця 1'!$I:$I,"Су-27",'Таблиця 1'!$L:$L,"Дорозвідується"))</f>
        <v/>
      </c>
    </row>
    <row r="586">
      <c r="A586" s="273">
        <f>IF(A585="","",IF(A585+1&gt;MAX('Таблиця 1'!$B:$B),"",A585+1))</f>
        <v/>
      </c>
      <c r="B586">
        <f>IF($A586="","",COUNTIFS('Таблиця 1'!$B:$B,$A586,'Таблиця 1'!$I:$I,"Mirage")+COUNTIFS('Таблиця 1'!$B:$B,$A586,'Таблиця 1'!$I:$I,"F-16")+COUNTIFS('Таблиця 1'!$B:$B,$A586,'Таблиця 1'!$I:$I,"МіГ-29")+COUNTIFS('Таблиця 1'!$B:$B,$A586,'Таблиця 1'!$I:$I,"Су-25")+COUNTIFS('Таблиця 1'!$B:$B,$A586,'Таблиця 1'!$I:$I,"Су-27"))</f>
        <v/>
      </c>
      <c r="C586">
        <f>IF($A586="","",COUNTIFS('Таблиця 1'!$B:$B,$A586,'Таблиця 1'!$I:$I,"Mirage"))</f>
        <v/>
      </c>
      <c r="D586">
        <f>IF($A586="","",COUNTIFS('Таблиця 1'!$B:$B,$A586,'Таблиця 1'!$I:$I,"F-16"))</f>
        <v/>
      </c>
      <c r="E586">
        <f>IF($A586="","",COUNTIFS('Таблиця 1'!$B:$B,$A586,'Таблиця 1'!$I:$I,"МіГ-29"))</f>
        <v/>
      </c>
      <c r="F586">
        <f>IF($A586="","",COUNTIFS('Таблиця 1'!$B:$B,$A586,'Таблиця 1'!$I:$I,"Су-25"))</f>
        <v/>
      </c>
      <c r="G586">
        <f>IF($A586="","",COUNTIFS('Таблиця 1'!$B:$B,$A586,'Таблиця 1'!$I:$I,"Су-27"))</f>
        <v/>
      </c>
      <c r="H586">
        <f>IF($A586="","",SUMIFS('Таблиця 1'!$K:$K,'Таблиця 1'!$B:$B,$A586,'Таблиця 1'!$I:$I,"Mirage",'Таблиця 1'!$J:$J,"AGM-88")+SUMIFS('Таблиця 1'!$K:$K,'Таблиця 1'!$B:$B,$A586,'Таблиця 1'!$I:$I,"F-16",'Таблиця 1'!$J:$J,"AGM-88")+SUMIFS('Таблиця 1'!$K:$K,'Таблиця 1'!$B:$B,$A586,'Таблиця 1'!$I:$I,"МіГ-29",'Таблиця 1'!$J:$J,"AGM-88")+SUMIFS('Таблиця 1'!$K:$K,'Таблиця 1'!$B:$B,$A586,'Таблиця 1'!$I:$I,"Су-25",'Таблиця 1'!$J:$J,"AGM-88")+SUMIFS('Таблиця 1'!$K:$K,'Таблиця 1'!$B:$B,$A586,'Таблиця 1'!$I:$I,"Су-27",'Таблиця 1'!$J:$J,"AGM-88"))</f>
        <v/>
      </c>
      <c r="I586">
        <f>IF($A586="","",SUMIFS('Таблиця 1'!$K:$K,'Таблиця 1'!$B:$B,$A586,'Таблиця 1'!$I:$I,"Mirage",'Таблиця 1'!$J:$J,"AASM-250")+SUMIFS('Таблиця 1'!$K:$K,'Таблиця 1'!$B:$B,$A586,'Таблиця 1'!$I:$I,"F-16",'Таблиця 1'!$J:$J,"AASM-250")+SUMIFS('Таблиця 1'!$K:$K,'Таблиця 1'!$B:$B,$A586,'Таблиця 1'!$I:$I,"МіГ-29",'Таблиця 1'!$J:$J,"AASM-250")+SUMIFS('Таблиця 1'!$K:$K,'Таблиця 1'!$B:$B,$A586,'Таблиця 1'!$I:$I,"Су-25",'Таблиця 1'!$J:$J,"AASM-250")+SUMIFS('Таблиця 1'!$K:$K,'Таблиця 1'!$B:$B,$A586,'Таблиця 1'!$I:$I,"Су-27",'Таблиця 1'!$J:$J,"AASM-250"))</f>
        <v/>
      </c>
      <c r="J586">
        <f>IF($A586="","",SUMIFS('Таблиця 1'!$K:$K,'Таблиця 1'!$B:$B,$A586,'Таблиця 1'!$I:$I,"Mirage",'Таблиця 1'!$J:$J,"GBU-39")+SUMIFS('Таблиця 1'!$K:$K,'Таблиця 1'!$B:$B,$A586,'Таблиця 1'!$I:$I,"F-16",'Таблиця 1'!$J:$J,"GBU-39")+SUMIFS('Таблиця 1'!$K:$K,'Таблиця 1'!$B:$B,$A586,'Таблиця 1'!$I:$I,"МіГ-29",'Таблиця 1'!$J:$J,"GBU-39")+SUMIFS('Таблиця 1'!$K:$K,'Таблиця 1'!$B:$B,$A586,'Таблиця 1'!$I:$I,"Су-25",'Таблиця 1'!$J:$J,"GBU-39")+SUMIFS('Таблиця 1'!$K:$K,'Таблиця 1'!$B:$B,$A586,'Таблиця 1'!$I:$I,"Су-27",'Таблиця 1'!$J:$J,"GBU-39"))</f>
        <v/>
      </c>
      <c r="K586">
        <f>IF($A586="","",SUMIFS('Таблиця 1'!$K:$K,'Таблиця 1'!$B:$B,$A586,'Таблиця 1'!$I:$I,"Mirage",'Таблиця 1'!$J:$J,"BLU-140")+SUMIFS('Таблиця 1'!$K:$K,'Таблиця 1'!$B:$B,$A586,'Таблиця 1'!$I:$I,"F-16",'Таблиця 1'!$J:$J,"BLU-140")+SUMIFS('Таблиця 1'!$K:$K,'Таблиця 1'!$B:$B,$A586,'Таблиця 1'!$I:$I,"МіГ-29",'Таблиця 1'!$J:$J,"BLU-140")+SUMIFS('Таблиця 1'!$K:$K,'Таблиця 1'!$B:$B,$A586,'Таблиця 1'!$I:$I,"Су-25",'Таблиця 1'!$J:$J,"BLU-140")+SUMIFS('Таблиця 1'!$K:$K,'Таблиця 1'!$B:$B,$A586,'Таблиця 1'!$I:$I,"Су-27",'Таблиця 1'!$J:$J,"BLU-140"))</f>
        <v/>
      </c>
      <c r="L586">
        <f>IF($A586="","",SUMIFS('Таблиця 1'!$K:$K,'Таблиця 1'!$B:$B,$A586,'Таблиця 1'!$I:$I,"Mirage",'Таблиця 1'!$J:$J,"GBU-65")+SUMIFS('Таблиця 1'!$K:$K,'Таблиця 1'!$B:$B,$A586,'Таблиця 1'!$I:$I,"F-16",'Таблиця 1'!$J:$J,"GBU-65")+SUMIFS('Таблиця 1'!$K:$K,'Таблиця 1'!$B:$B,$A586,'Таблиця 1'!$I:$I,"МіГ-29",'Таблиця 1'!$J:$J,"GBU-65")+SUMIFS('Таблиця 1'!$K:$K,'Таблиця 1'!$B:$B,$A586,'Таблиця 1'!$I:$I,"Су-25",'Таблиця 1'!$J:$J,"GBU-65")+SUMIFS('Таблиця 1'!$K:$K,'Таблиця 1'!$B:$B,$A586,'Таблиця 1'!$I:$I,"Су-27",'Таблиця 1'!$J:$J,"GBU-65"))</f>
        <v/>
      </c>
      <c r="M586">
        <f>IF($A586="","",SUMIFS('Таблиця 1'!$K:$K,'Таблиця 1'!$B:$B,$A586,'Таблиця 1'!$I:$I,"Mirage",'Таблиця 1'!$J:$J,"GBU-62")+SUMIFS('Таблиця 1'!$K:$K,'Таблиця 1'!$B:$B,$A586,'Таблиця 1'!$I:$I,"F-16",'Таблиця 1'!$J:$J,"GBU-62")+SUMIFS('Таблиця 1'!$K:$K,'Таблиця 1'!$B:$B,$A586,'Таблиця 1'!$I:$I,"МіГ-29",'Таблиця 1'!$J:$J,"GBU-62")+SUMIFS('Таблиця 1'!$K:$K,'Таблиця 1'!$B:$B,$A586,'Таблиця 1'!$I:$I,"Су-25",'Таблиця 1'!$J:$J,"GBU-62")+SUMIFS('Таблиця 1'!$K:$K,'Таблиця 1'!$B:$B,$A586,'Таблиця 1'!$I:$I,"Су-27",'Таблиця 1'!$J:$J,"GBU-62"))</f>
        <v/>
      </c>
      <c r="N586">
        <f>IF($A586="","",SUMIFS('Таблиця 1'!$K:$K,'Таблиця 1'!$B:$B,$A586,'Таблиця 1'!$I:$I,"Mirage",'Таблиця 1'!$J:$J,"GBU-64")+SUMIFS('Таблиця 1'!$K:$K,'Таблиця 1'!$B:$B,$A586,'Таблиця 1'!$I:$I,"F-16",'Таблиця 1'!$J:$J,"GBU-64")+SUMIFS('Таблиця 1'!$K:$K,'Таблиця 1'!$B:$B,$A586,'Таблиця 1'!$I:$I,"МіГ-29",'Таблиця 1'!$J:$J,"GBU-64")+SUMIFS('Таблиця 1'!$K:$K,'Таблиця 1'!$B:$B,$A586,'Таблиця 1'!$I:$I,"Су-25",'Таблиця 1'!$J:$J,"GBU-64")+SUMIFS('Таблиця 1'!$K:$K,'Таблиця 1'!$B:$B,$A586,'Таблиця 1'!$I:$I,"Су-27",'Таблиця 1'!$J:$J,"GBU-64"))</f>
        <v/>
      </c>
      <c r="O586">
        <f>IF($A586="","",SUMIFS('Таблиця 1'!$K:$K,'Таблиця 1'!$B:$B,$A586,'Таблиця 1'!$I:$I,"Mirage",'Таблиця 1'!$J:$J,"C-13")+SUMIFS('Таблиця 1'!$K:$K,'Таблиця 1'!$B:$B,$A586,'Таблиця 1'!$I:$I,"F-16",'Таблиця 1'!$J:$J,"C-13")+SUMIFS('Таблиця 1'!$K:$K,'Таблиця 1'!$B:$B,$A586,'Таблиця 1'!$I:$I,"МіГ-29",'Таблиця 1'!$J:$J,"C-13")+SUMIFS('Таблиця 1'!$K:$K,'Таблиця 1'!$B:$B,$A586,'Таблиця 1'!$I:$I,"Су-25",'Таблиця 1'!$J:$J,"C-13")+SUMIFS('Таблиця 1'!$K:$K,'Таблиця 1'!$B:$B,$A586,'Таблиця 1'!$I:$I,"Су-27",'Таблиця 1'!$J:$J,"C-13"))</f>
        <v/>
      </c>
      <c r="P586">
        <f>IF($A586="","",SUMIFS('Таблиця 1'!$K:$K,'Таблиця 1'!$B:$B,$A586,'Таблиця 1'!$I:$I,"Mirage",'Таблиця 1'!$J:$J,"MK-32")+SUMIFS('Таблиця 1'!$K:$K,'Таблиця 1'!$B:$B,$A586,'Таблиця 1'!$I:$I,"F-16",'Таблиця 1'!$J:$J,"MK-32")+SUMIFS('Таблиця 1'!$K:$K,'Таблиця 1'!$B:$B,$A586,'Таблиця 1'!$I:$I,"МіГ-29",'Таблиця 1'!$J:$J,"MK-32")+SUMIFS('Таблиця 1'!$K:$K,'Таблиця 1'!$B:$B,$A586,'Таблиця 1'!$I:$I,"Су-25",'Таблиця 1'!$J:$J,"MK-32")+SUMIFS('Таблиця 1'!$K:$K,'Таблиця 1'!$B:$B,$A586,'Таблиця 1'!$I:$I,"Су-27",'Таблиця 1'!$J:$J,"MK-32"))</f>
        <v/>
      </c>
      <c r="Q586">
        <f>IF($A586="","",SUMIFS('Таблиця 1'!$K:$K,'Таблиця 1'!$B:$B,$A586,'Таблиця 1'!$I:$I,"Mirage",'Таблиця 1'!$J:$J,"MK-24")+SUMIFS('Таблиця 1'!$K:$K,'Таблиця 1'!$B:$B,$A586,'Таблиця 1'!$I:$I,"F-16",'Таблиця 1'!$J:$J,"MK-24")+SUMIFS('Таблиця 1'!$K:$K,'Таблиця 1'!$B:$B,$A586,'Таблиця 1'!$I:$I,"МіГ-29",'Таблиця 1'!$J:$J,"MK-24")+SUMIFS('Таблиця 1'!$K:$K,'Таблиця 1'!$B:$B,$A586,'Таблиця 1'!$I:$I,"Су-25",'Таблиця 1'!$J:$J,"MK-24")+SUMIFS('Таблиця 1'!$K:$K,'Таблиця 1'!$B:$B,$A586,'Таблиця 1'!$I:$I,"Су-27",'Таблиця 1'!$J:$J,"MK-24"))</f>
        <v/>
      </c>
      <c r="R586">
        <f>IF($A586="","",COUNTIFS('Таблиця 1'!$B:$B,$A586,'Таблиця 1'!$I:$I,"Mirage",'Таблиця 1'!$L:$L,"Уражено")+COUNTIFS('Таблиця 1'!$B:$B,$A586,'Таблиця 1'!$I:$I,"F-16",'Таблиця 1'!$L:$L,"Уражено")+COUNTIFS('Таблиця 1'!$B:$B,$A586,'Таблиця 1'!$I:$I,"МіГ-29",'Таблиця 1'!$L:$L,"Уражено")+COUNTIFS('Таблиця 1'!$B:$B,$A586,'Таблиця 1'!$I:$I,"Су-25",'Таблиця 1'!$L:$L,"Уражено")+COUNTIFS('Таблиця 1'!$B:$B,$A586,'Таблиця 1'!$I:$I,"Су-27",'Таблиця 1'!$L:$L,"Уражено"))</f>
        <v/>
      </c>
      <c r="S586">
        <f>IF($A586="","",COUNTIFS('Таблиця 1'!$B:$B,$A586,'Таблиця 1'!$I:$I,"Mirage",'Таблиця 1'!$L:$L,"НЕ уражено")+COUNTIFS('Таблиця 1'!$B:$B,$A586,'Таблиця 1'!$I:$I,"F-16",'Таблиця 1'!$L:$L,"НЕ уражено")+COUNTIFS('Таблиця 1'!$B:$B,$A586,'Таблиця 1'!$I:$I,"МіГ-29",'Таблиця 1'!$L:$L,"НЕ уражено")+COUNTIFS('Таблиця 1'!$B:$B,$A586,'Таблиця 1'!$I:$I,"Су-25",'Таблиця 1'!$L:$L,"НЕ уражено")+COUNTIFS('Таблиця 1'!$B:$B,$A586,'Таблиця 1'!$I:$I,"Су-27",'Таблиця 1'!$L:$L,"НЕ уражено"))</f>
        <v/>
      </c>
      <c r="T586">
        <f>IF($A586="","",COUNTIFS('Таблиця 1'!$B:$B,$A586,'Таблиця 1'!$I:$I,"Mirage",'Таблиця 1'!$L:$L,"Дорозвідується")+COUNTIFS('Таблиця 1'!$B:$B,$A586,'Таблиця 1'!$I:$I,"F-16",'Таблиця 1'!$L:$L,"Дорозвідується")+COUNTIFS('Таблиця 1'!$B:$B,$A586,'Таблиця 1'!$I:$I,"МіГ-29",'Таблиця 1'!$L:$L,"Дорозвідується")+COUNTIFS('Таблиця 1'!$B:$B,$A586,'Таблиця 1'!$I:$I,"Су-25",'Таблиця 1'!$L:$L,"Дорозвідується")+COUNTIFS('Таблиця 1'!$B:$B,$A586,'Таблиця 1'!$I:$I,"Су-27",'Таблиця 1'!$L:$L,"Дорозвідується"))</f>
        <v/>
      </c>
    </row>
    <row r="587">
      <c r="A587" s="273">
        <f>IF(A586="","",IF(A586+1&gt;MAX('Таблиця 1'!$B:$B),"",A586+1))</f>
        <v/>
      </c>
      <c r="B587">
        <f>IF($A587="","",COUNTIFS('Таблиця 1'!$B:$B,$A587,'Таблиця 1'!$I:$I,"Mirage")+COUNTIFS('Таблиця 1'!$B:$B,$A587,'Таблиця 1'!$I:$I,"F-16")+COUNTIFS('Таблиця 1'!$B:$B,$A587,'Таблиця 1'!$I:$I,"МіГ-29")+COUNTIFS('Таблиця 1'!$B:$B,$A587,'Таблиця 1'!$I:$I,"Су-25")+COUNTIFS('Таблиця 1'!$B:$B,$A587,'Таблиця 1'!$I:$I,"Су-27"))</f>
        <v/>
      </c>
      <c r="C587">
        <f>IF($A587="","",COUNTIFS('Таблиця 1'!$B:$B,$A587,'Таблиця 1'!$I:$I,"Mirage"))</f>
        <v/>
      </c>
      <c r="D587">
        <f>IF($A587="","",COUNTIFS('Таблиця 1'!$B:$B,$A587,'Таблиця 1'!$I:$I,"F-16"))</f>
        <v/>
      </c>
      <c r="E587">
        <f>IF($A587="","",COUNTIFS('Таблиця 1'!$B:$B,$A587,'Таблиця 1'!$I:$I,"МіГ-29"))</f>
        <v/>
      </c>
      <c r="F587">
        <f>IF($A587="","",COUNTIFS('Таблиця 1'!$B:$B,$A587,'Таблиця 1'!$I:$I,"Су-25"))</f>
        <v/>
      </c>
      <c r="G587">
        <f>IF($A587="","",COUNTIFS('Таблиця 1'!$B:$B,$A587,'Таблиця 1'!$I:$I,"Су-27"))</f>
        <v/>
      </c>
      <c r="H587">
        <f>IF($A587="","",SUMIFS('Таблиця 1'!$K:$K,'Таблиця 1'!$B:$B,$A587,'Таблиця 1'!$I:$I,"Mirage",'Таблиця 1'!$J:$J,"AGM-88")+SUMIFS('Таблиця 1'!$K:$K,'Таблиця 1'!$B:$B,$A587,'Таблиця 1'!$I:$I,"F-16",'Таблиця 1'!$J:$J,"AGM-88")+SUMIFS('Таблиця 1'!$K:$K,'Таблиця 1'!$B:$B,$A587,'Таблиця 1'!$I:$I,"МіГ-29",'Таблиця 1'!$J:$J,"AGM-88")+SUMIFS('Таблиця 1'!$K:$K,'Таблиця 1'!$B:$B,$A587,'Таблиця 1'!$I:$I,"Су-25",'Таблиця 1'!$J:$J,"AGM-88")+SUMIFS('Таблиця 1'!$K:$K,'Таблиця 1'!$B:$B,$A587,'Таблиця 1'!$I:$I,"Су-27",'Таблиця 1'!$J:$J,"AGM-88"))</f>
        <v/>
      </c>
      <c r="I587">
        <f>IF($A587="","",SUMIFS('Таблиця 1'!$K:$K,'Таблиця 1'!$B:$B,$A587,'Таблиця 1'!$I:$I,"Mirage",'Таблиця 1'!$J:$J,"AASM-250")+SUMIFS('Таблиця 1'!$K:$K,'Таблиця 1'!$B:$B,$A587,'Таблиця 1'!$I:$I,"F-16",'Таблиця 1'!$J:$J,"AASM-250")+SUMIFS('Таблиця 1'!$K:$K,'Таблиця 1'!$B:$B,$A587,'Таблиця 1'!$I:$I,"МіГ-29",'Таблиця 1'!$J:$J,"AASM-250")+SUMIFS('Таблиця 1'!$K:$K,'Таблиця 1'!$B:$B,$A587,'Таблиця 1'!$I:$I,"Су-25",'Таблиця 1'!$J:$J,"AASM-250")+SUMIFS('Таблиця 1'!$K:$K,'Таблиця 1'!$B:$B,$A587,'Таблиця 1'!$I:$I,"Су-27",'Таблиця 1'!$J:$J,"AASM-250"))</f>
        <v/>
      </c>
      <c r="J587">
        <f>IF($A587="","",SUMIFS('Таблиця 1'!$K:$K,'Таблиця 1'!$B:$B,$A587,'Таблиця 1'!$I:$I,"Mirage",'Таблиця 1'!$J:$J,"GBU-39")+SUMIFS('Таблиця 1'!$K:$K,'Таблиця 1'!$B:$B,$A587,'Таблиця 1'!$I:$I,"F-16",'Таблиця 1'!$J:$J,"GBU-39")+SUMIFS('Таблиця 1'!$K:$K,'Таблиця 1'!$B:$B,$A587,'Таблиця 1'!$I:$I,"МіГ-29",'Таблиця 1'!$J:$J,"GBU-39")+SUMIFS('Таблиця 1'!$K:$K,'Таблиця 1'!$B:$B,$A587,'Таблиця 1'!$I:$I,"Су-25",'Таблиця 1'!$J:$J,"GBU-39")+SUMIFS('Таблиця 1'!$K:$K,'Таблиця 1'!$B:$B,$A587,'Таблиця 1'!$I:$I,"Су-27",'Таблиця 1'!$J:$J,"GBU-39"))</f>
        <v/>
      </c>
      <c r="K587">
        <f>IF($A587="","",SUMIFS('Таблиця 1'!$K:$K,'Таблиця 1'!$B:$B,$A587,'Таблиця 1'!$I:$I,"Mirage",'Таблиця 1'!$J:$J,"BLU-140")+SUMIFS('Таблиця 1'!$K:$K,'Таблиця 1'!$B:$B,$A587,'Таблиця 1'!$I:$I,"F-16",'Таблиця 1'!$J:$J,"BLU-140")+SUMIFS('Таблиця 1'!$K:$K,'Таблиця 1'!$B:$B,$A587,'Таблиця 1'!$I:$I,"МіГ-29",'Таблиця 1'!$J:$J,"BLU-140")+SUMIFS('Таблиця 1'!$K:$K,'Таблиця 1'!$B:$B,$A587,'Таблиця 1'!$I:$I,"Су-25",'Таблиця 1'!$J:$J,"BLU-140")+SUMIFS('Таблиця 1'!$K:$K,'Таблиця 1'!$B:$B,$A587,'Таблиця 1'!$I:$I,"Су-27",'Таблиця 1'!$J:$J,"BLU-140"))</f>
        <v/>
      </c>
      <c r="L587">
        <f>IF($A587="","",SUMIFS('Таблиця 1'!$K:$K,'Таблиця 1'!$B:$B,$A587,'Таблиця 1'!$I:$I,"Mirage",'Таблиця 1'!$J:$J,"GBU-65")+SUMIFS('Таблиця 1'!$K:$K,'Таблиця 1'!$B:$B,$A587,'Таблиця 1'!$I:$I,"F-16",'Таблиця 1'!$J:$J,"GBU-65")+SUMIFS('Таблиця 1'!$K:$K,'Таблиця 1'!$B:$B,$A587,'Таблиця 1'!$I:$I,"МіГ-29",'Таблиця 1'!$J:$J,"GBU-65")+SUMIFS('Таблиця 1'!$K:$K,'Таблиця 1'!$B:$B,$A587,'Таблиця 1'!$I:$I,"Су-25",'Таблиця 1'!$J:$J,"GBU-65")+SUMIFS('Таблиця 1'!$K:$K,'Таблиця 1'!$B:$B,$A587,'Таблиця 1'!$I:$I,"Су-27",'Таблиця 1'!$J:$J,"GBU-65"))</f>
        <v/>
      </c>
      <c r="M587">
        <f>IF($A587="","",SUMIFS('Таблиця 1'!$K:$K,'Таблиця 1'!$B:$B,$A587,'Таблиця 1'!$I:$I,"Mirage",'Таблиця 1'!$J:$J,"GBU-62")+SUMIFS('Таблиця 1'!$K:$K,'Таблиця 1'!$B:$B,$A587,'Таблиця 1'!$I:$I,"F-16",'Таблиця 1'!$J:$J,"GBU-62")+SUMIFS('Таблиця 1'!$K:$K,'Таблиця 1'!$B:$B,$A587,'Таблиця 1'!$I:$I,"МіГ-29",'Таблиця 1'!$J:$J,"GBU-62")+SUMIFS('Таблиця 1'!$K:$K,'Таблиця 1'!$B:$B,$A587,'Таблиця 1'!$I:$I,"Су-25",'Таблиця 1'!$J:$J,"GBU-62")+SUMIFS('Таблиця 1'!$K:$K,'Таблиця 1'!$B:$B,$A587,'Таблиця 1'!$I:$I,"Су-27",'Таблиця 1'!$J:$J,"GBU-62"))</f>
        <v/>
      </c>
      <c r="N587">
        <f>IF($A587="","",SUMIFS('Таблиця 1'!$K:$K,'Таблиця 1'!$B:$B,$A587,'Таблиця 1'!$I:$I,"Mirage",'Таблиця 1'!$J:$J,"GBU-64")+SUMIFS('Таблиця 1'!$K:$K,'Таблиця 1'!$B:$B,$A587,'Таблиця 1'!$I:$I,"F-16",'Таблиця 1'!$J:$J,"GBU-64")+SUMIFS('Таблиця 1'!$K:$K,'Таблиця 1'!$B:$B,$A587,'Таблиця 1'!$I:$I,"МіГ-29",'Таблиця 1'!$J:$J,"GBU-64")+SUMIFS('Таблиця 1'!$K:$K,'Таблиця 1'!$B:$B,$A587,'Таблиця 1'!$I:$I,"Су-25",'Таблиця 1'!$J:$J,"GBU-64")+SUMIFS('Таблиця 1'!$K:$K,'Таблиця 1'!$B:$B,$A587,'Таблиця 1'!$I:$I,"Су-27",'Таблиця 1'!$J:$J,"GBU-64"))</f>
        <v/>
      </c>
      <c r="O587">
        <f>IF($A587="","",SUMIFS('Таблиця 1'!$K:$K,'Таблиця 1'!$B:$B,$A587,'Таблиця 1'!$I:$I,"Mirage",'Таблиця 1'!$J:$J,"C-13")+SUMIFS('Таблиця 1'!$K:$K,'Таблиця 1'!$B:$B,$A587,'Таблиця 1'!$I:$I,"F-16",'Таблиця 1'!$J:$J,"C-13")+SUMIFS('Таблиця 1'!$K:$K,'Таблиця 1'!$B:$B,$A587,'Таблиця 1'!$I:$I,"МіГ-29",'Таблиця 1'!$J:$J,"C-13")+SUMIFS('Таблиця 1'!$K:$K,'Таблиця 1'!$B:$B,$A587,'Таблиця 1'!$I:$I,"Су-25",'Таблиця 1'!$J:$J,"C-13")+SUMIFS('Таблиця 1'!$K:$K,'Таблиця 1'!$B:$B,$A587,'Таблиця 1'!$I:$I,"Су-27",'Таблиця 1'!$J:$J,"C-13"))</f>
        <v/>
      </c>
      <c r="P587">
        <f>IF($A587="","",SUMIFS('Таблиця 1'!$K:$K,'Таблиця 1'!$B:$B,$A587,'Таблиця 1'!$I:$I,"Mirage",'Таблиця 1'!$J:$J,"MK-32")+SUMIFS('Таблиця 1'!$K:$K,'Таблиця 1'!$B:$B,$A587,'Таблиця 1'!$I:$I,"F-16",'Таблиця 1'!$J:$J,"MK-32")+SUMIFS('Таблиця 1'!$K:$K,'Таблиця 1'!$B:$B,$A587,'Таблиця 1'!$I:$I,"МіГ-29",'Таблиця 1'!$J:$J,"MK-32")+SUMIFS('Таблиця 1'!$K:$K,'Таблиця 1'!$B:$B,$A587,'Таблиця 1'!$I:$I,"Су-25",'Таблиця 1'!$J:$J,"MK-32")+SUMIFS('Таблиця 1'!$K:$K,'Таблиця 1'!$B:$B,$A587,'Таблиця 1'!$I:$I,"Су-27",'Таблиця 1'!$J:$J,"MK-32"))</f>
        <v/>
      </c>
      <c r="Q587">
        <f>IF($A587="","",SUMIFS('Таблиця 1'!$K:$K,'Таблиця 1'!$B:$B,$A587,'Таблиця 1'!$I:$I,"Mirage",'Таблиця 1'!$J:$J,"MK-24")+SUMIFS('Таблиця 1'!$K:$K,'Таблиця 1'!$B:$B,$A587,'Таблиця 1'!$I:$I,"F-16",'Таблиця 1'!$J:$J,"MK-24")+SUMIFS('Таблиця 1'!$K:$K,'Таблиця 1'!$B:$B,$A587,'Таблиця 1'!$I:$I,"МіГ-29",'Таблиця 1'!$J:$J,"MK-24")+SUMIFS('Таблиця 1'!$K:$K,'Таблиця 1'!$B:$B,$A587,'Таблиця 1'!$I:$I,"Су-25",'Таблиця 1'!$J:$J,"MK-24")+SUMIFS('Таблиця 1'!$K:$K,'Таблиця 1'!$B:$B,$A587,'Таблиця 1'!$I:$I,"Су-27",'Таблиця 1'!$J:$J,"MK-24"))</f>
        <v/>
      </c>
      <c r="R587">
        <f>IF($A587="","",COUNTIFS('Таблиця 1'!$B:$B,$A587,'Таблиця 1'!$I:$I,"Mirage",'Таблиця 1'!$L:$L,"Уражено")+COUNTIFS('Таблиця 1'!$B:$B,$A587,'Таблиця 1'!$I:$I,"F-16",'Таблиця 1'!$L:$L,"Уражено")+COUNTIFS('Таблиця 1'!$B:$B,$A587,'Таблиця 1'!$I:$I,"МіГ-29",'Таблиця 1'!$L:$L,"Уражено")+COUNTIFS('Таблиця 1'!$B:$B,$A587,'Таблиця 1'!$I:$I,"Су-25",'Таблиця 1'!$L:$L,"Уражено")+COUNTIFS('Таблиця 1'!$B:$B,$A587,'Таблиця 1'!$I:$I,"Су-27",'Таблиця 1'!$L:$L,"Уражено"))</f>
        <v/>
      </c>
      <c r="S587">
        <f>IF($A587="","",COUNTIFS('Таблиця 1'!$B:$B,$A587,'Таблиця 1'!$I:$I,"Mirage",'Таблиця 1'!$L:$L,"НЕ уражено")+COUNTIFS('Таблиця 1'!$B:$B,$A587,'Таблиця 1'!$I:$I,"F-16",'Таблиця 1'!$L:$L,"НЕ уражено")+COUNTIFS('Таблиця 1'!$B:$B,$A587,'Таблиця 1'!$I:$I,"МіГ-29",'Таблиця 1'!$L:$L,"НЕ уражено")+COUNTIFS('Таблиця 1'!$B:$B,$A587,'Таблиця 1'!$I:$I,"Су-25",'Таблиця 1'!$L:$L,"НЕ уражено")+COUNTIFS('Таблиця 1'!$B:$B,$A587,'Таблиця 1'!$I:$I,"Су-27",'Таблиця 1'!$L:$L,"НЕ уражено"))</f>
        <v/>
      </c>
      <c r="T587">
        <f>IF($A587="","",COUNTIFS('Таблиця 1'!$B:$B,$A587,'Таблиця 1'!$I:$I,"Mirage",'Таблиця 1'!$L:$L,"Дорозвідується")+COUNTIFS('Таблиця 1'!$B:$B,$A587,'Таблиця 1'!$I:$I,"F-16",'Таблиця 1'!$L:$L,"Дорозвідується")+COUNTIFS('Таблиця 1'!$B:$B,$A587,'Таблиця 1'!$I:$I,"МіГ-29",'Таблиця 1'!$L:$L,"Дорозвідується")+COUNTIFS('Таблиця 1'!$B:$B,$A587,'Таблиця 1'!$I:$I,"Су-25",'Таблиця 1'!$L:$L,"Дорозвідується")+COUNTIFS('Таблиця 1'!$B:$B,$A587,'Таблиця 1'!$I:$I,"Су-27",'Таблиця 1'!$L:$L,"Дорозвідується"))</f>
        <v/>
      </c>
    </row>
    <row r="588">
      <c r="A588" s="273">
        <f>IF(A587="","",IF(A587+1&gt;MAX('Таблиця 1'!$B:$B),"",A587+1))</f>
        <v/>
      </c>
      <c r="B588">
        <f>IF($A588="","",COUNTIFS('Таблиця 1'!$B:$B,$A588,'Таблиця 1'!$I:$I,"Mirage")+COUNTIFS('Таблиця 1'!$B:$B,$A588,'Таблиця 1'!$I:$I,"F-16")+COUNTIFS('Таблиця 1'!$B:$B,$A588,'Таблиця 1'!$I:$I,"МіГ-29")+COUNTIFS('Таблиця 1'!$B:$B,$A588,'Таблиця 1'!$I:$I,"Су-25")+COUNTIFS('Таблиця 1'!$B:$B,$A588,'Таблиця 1'!$I:$I,"Су-27"))</f>
        <v/>
      </c>
      <c r="C588">
        <f>IF($A588="","",COUNTIFS('Таблиця 1'!$B:$B,$A588,'Таблиця 1'!$I:$I,"Mirage"))</f>
        <v/>
      </c>
      <c r="D588">
        <f>IF($A588="","",COUNTIFS('Таблиця 1'!$B:$B,$A588,'Таблиця 1'!$I:$I,"F-16"))</f>
        <v/>
      </c>
      <c r="E588">
        <f>IF($A588="","",COUNTIFS('Таблиця 1'!$B:$B,$A588,'Таблиця 1'!$I:$I,"МіГ-29"))</f>
        <v/>
      </c>
      <c r="F588">
        <f>IF($A588="","",COUNTIFS('Таблиця 1'!$B:$B,$A588,'Таблиця 1'!$I:$I,"Су-25"))</f>
        <v/>
      </c>
      <c r="G588">
        <f>IF($A588="","",COUNTIFS('Таблиця 1'!$B:$B,$A588,'Таблиця 1'!$I:$I,"Су-27"))</f>
        <v/>
      </c>
      <c r="H588">
        <f>IF($A588="","",SUMIFS('Таблиця 1'!$K:$K,'Таблиця 1'!$B:$B,$A588,'Таблиця 1'!$I:$I,"Mirage",'Таблиця 1'!$J:$J,"AGM-88")+SUMIFS('Таблиця 1'!$K:$K,'Таблиця 1'!$B:$B,$A588,'Таблиця 1'!$I:$I,"F-16",'Таблиця 1'!$J:$J,"AGM-88")+SUMIFS('Таблиця 1'!$K:$K,'Таблиця 1'!$B:$B,$A588,'Таблиця 1'!$I:$I,"МіГ-29",'Таблиця 1'!$J:$J,"AGM-88")+SUMIFS('Таблиця 1'!$K:$K,'Таблиця 1'!$B:$B,$A588,'Таблиця 1'!$I:$I,"Су-25",'Таблиця 1'!$J:$J,"AGM-88")+SUMIFS('Таблиця 1'!$K:$K,'Таблиця 1'!$B:$B,$A588,'Таблиця 1'!$I:$I,"Су-27",'Таблиця 1'!$J:$J,"AGM-88"))</f>
        <v/>
      </c>
      <c r="I588">
        <f>IF($A588="","",SUMIFS('Таблиця 1'!$K:$K,'Таблиця 1'!$B:$B,$A588,'Таблиця 1'!$I:$I,"Mirage",'Таблиця 1'!$J:$J,"AASM-250")+SUMIFS('Таблиця 1'!$K:$K,'Таблиця 1'!$B:$B,$A588,'Таблиця 1'!$I:$I,"F-16",'Таблиця 1'!$J:$J,"AASM-250")+SUMIFS('Таблиця 1'!$K:$K,'Таблиця 1'!$B:$B,$A588,'Таблиця 1'!$I:$I,"МіГ-29",'Таблиця 1'!$J:$J,"AASM-250")+SUMIFS('Таблиця 1'!$K:$K,'Таблиця 1'!$B:$B,$A588,'Таблиця 1'!$I:$I,"Су-25",'Таблиця 1'!$J:$J,"AASM-250")+SUMIFS('Таблиця 1'!$K:$K,'Таблиця 1'!$B:$B,$A588,'Таблиця 1'!$I:$I,"Су-27",'Таблиця 1'!$J:$J,"AASM-250"))</f>
        <v/>
      </c>
      <c r="J588">
        <f>IF($A588="","",SUMIFS('Таблиця 1'!$K:$K,'Таблиця 1'!$B:$B,$A588,'Таблиця 1'!$I:$I,"Mirage",'Таблиця 1'!$J:$J,"GBU-39")+SUMIFS('Таблиця 1'!$K:$K,'Таблиця 1'!$B:$B,$A588,'Таблиця 1'!$I:$I,"F-16",'Таблиця 1'!$J:$J,"GBU-39")+SUMIFS('Таблиця 1'!$K:$K,'Таблиця 1'!$B:$B,$A588,'Таблиця 1'!$I:$I,"МіГ-29",'Таблиця 1'!$J:$J,"GBU-39")+SUMIFS('Таблиця 1'!$K:$K,'Таблиця 1'!$B:$B,$A588,'Таблиця 1'!$I:$I,"Су-25",'Таблиця 1'!$J:$J,"GBU-39")+SUMIFS('Таблиця 1'!$K:$K,'Таблиця 1'!$B:$B,$A588,'Таблиця 1'!$I:$I,"Су-27",'Таблиця 1'!$J:$J,"GBU-39"))</f>
        <v/>
      </c>
      <c r="K588">
        <f>IF($A588="","",SUMIFS('Таблиця 1'!$K:$K,'Таблиця 1'!$B:$B,$A588,'Таблиця 1'!$I:$I,"Mirage",'Таблиця 1'!$J:$J,"BLU-140")+SUMIFS('Таблиця 1'!$K:$K,'Таблиця 1'!$B:$B,$A588,'Таблиця 1'!$I:$I,"F-16",'Таблиця 1'!$J:$J,"BLU-140")+SUMIFS('Таблиця 1'!$K:$K,'Таблиця 1'!$B:$B,$A588,'Таблиця 1'!$I:$I,"МіГ-29",'Таблиця 1'!$J:$J,"BLU-140")+SUMIFS('Таблиця 1'!$K:$K,'Таблиця 1'!$B:$B,$A588,'Таблиця 1'!$I:$I,"Су-25",'Таблиця 1'!$J:$J,"BLU-140")+SUMIFS('Таблиця 1'!$K:$K,'Таблиця 1'!$B:$B,$A588,'Таблиця 1'!$I:$I,"Су-27",'Таблиця 1'!$J:$J,"BLU-140"))</f>
        <v/>
      </c>
      <c r="L588">
        <f>IF($A588="","",SUMIFS('Таблиця 1'!$K:$K,'Таблиця 1'!$B:$B,$A588,'Таблиця 1'!$I:$I,"Mirage",'Таблиця 1'!$J:$J,"GBU-65")+SUMIFS('Таблиця 1'!$K:$K,'Таблиця 1'!$B:$B,$A588,'Таблиця 1'!$I:$I,"F-16",'Таблиця 1'!$J:$J,"GBU-65")+SUMIFS('Таблиця 1'!$K:$K,'Таблиця 1'!$B:$B,$A588,'Таблиця 1'!$I:$I,"МіГ-29",'Таблиця 1'!$J:$J,"GBU-65")+SUMIFS('Таблиця 1'!$K:$K,'Таблиця 1'!$B:$B,$A588,'Таблиця 1'!$I:$I,"Су-25",'Таблиця 1'!$J:$J,"GBU-65")+SUMIFS('Таблиця 1'!$K:$K,'Таблиця 1'!$B:$B,$A588,'Таблиця 1'!$I:$I,"Су-27",'Таблиця 1'!$J:$J,"GBU-65"))</f>
        <v/>
      </c>
      <c r="M588">
        <f>IF($A588="","",SUMIFS('Таблиця 1'!$K:$K,'Таблиця 1'!$B:$B,$A588,'Таблиця 1'!$I:$I,"Mirage",'Таблиця 1'!$J:$J,"GBU-62")+SUMIFS('Таблиця 1'!$K:$K,'Таблиця 1'!$B:$B,$A588,'Таблиця 1'!$I:$I,"F-16",'Таблиця 1'!$J:$J,"GBU-62")+SUMIFS('Таблиця 1'!$K:$K,'Таблиця 1'!$B:$B,$A588,'Таблиця 1'!$I:$I,"МіГ-29",'Таблиця 1'!$J:$J,"GBU-62")+SUMIFS('Таблиця 1'!$K:$K,'Таблиця 1'!$B:$B,$A588,'Таблиця 1'!$I:$I,"Су-25",'Таблиця 1'!$J:$J,"GBU-62")+SUMIFS('Таблиця 1'!$K:$K,'Таблиця 1'!$B:$B,$A588,'Таблиця 1'!$I:$I,"Су-27",'Таблиця 1'!$J:$J,"GBU-62"))</f>
        <v/>
      </c>
      <c r="N588">
        <f>IF($A588="","",SUMIFS('Таблиця 1'!$K:$K,'Таблиця 1'!$B:$B,$A588,'Таблиця 1'!$I:$I,"Mirage",'Таблиця 1'!$J:$J,"GBU-64")+SUMIFS('Таблиця 1'!$K:$K,'Таблиця 1'!$B:$B,$A588,'Таблиця 1'!$I:$I,"F-16",'Таблиця 1'!$J:$J,"GBU-64")+SUMIFS('Таблиця 1'!$K:$K,'Таблиця 1'!$B:$B,$A588,'Таблиця 1'!$I:$I,"МіГ-29",'Таблиця 1'!$J:$J,"GBU-64")+SUMIFS('Таблиця 1'!$K:$K,'Таблиця 1'!$B:$B,$A588,'Таблиця 1'!$I:$I,"Су-25",'Таблиця 1'!$J:$J,"GBU-64")+SUMIFS('Таблиця 1'!$K:$K,'Таблиця 1'!$B:$B,$A588,'Таблиця 1'!$I:$I,"Су-27",'Таблиця 1'!$J:$J,"GBU-64"))</f>
        <v/>
      </c>
      <c r="O588">
        <f>IF($A588="","",SUMIFS('Таблиця 1'!$K:$K,'Таблиця 1'!$B:$B,$A588,'Таблиця 1'!$I:$I,"Mirage",'Таблиця 1'!$J:$J,"C-13")+SUMIFS('Таблиця 1'!$K:$K,'Таблиця 1'!$B:$B,$A588,'Таблиця 1'!$I:$I,"F-16",'Таблиця 1'!$J:$J,"C-13")+SUMIFS('Таблиця 1'!$K:$K,'Таблиця 1'!$B:$B,$A588,'Таблиця 1'!$I:$I,"МіГ-29",'Таблиця 1'!$J:$J,"C-13")+SUMIFS('Таблиця 1'!$K:$K,'Таблиця 1'!$B:$B,$A588,'Таблиця 1'!$I:$I,"Су-25",'Таблиця 1'!$J:$J,"C-13")+SUMIFS('Таблиця 1'!$K:$K,'Таблиця 1'!$B:$B,$A588,'Таблиця 1'!$I:$I,"Су-27",'Таблиця 1'!$J:$J,"C-13"))</f>
        <v/>
      </c>
      <c r="P588">
        <f>IF($A588="","",SUMIFS('Таблиця 1'!$K:$K,'Таблиця 1'!$B:$B,$A588,'Таблиця 1'!$I:$I,"Mirage",'Таблиця 1'!$J:$J,"MK-32")+SUMIFS('Таблиця 1'!$K:$K,'Таблиця 1'!$B:$B,$A588,'Таблиця 1'!$I:$I,"F-16",'Таблиця 1'!$J:$J,"MK-32")+SUMIFS('Таблиця 1'!$K:$K,'Таблиця 1'!$B:$B,$A588,'Таблиця 1'!$I:$I,"МіГ-29",'Таблиця 1'!$J:$J,"MK-32")+SUMIFS('Таблиця 1'!$K:$K,'Таблиця 1'!$B:$B,$A588,'Таблиця 1'!$I:$I,"Су-25",'Таблиця 1'!$J:$J,"MK-32")+SUMIFS('Таблиця 1'!$K:$K,'Таблиця 1'!$B:$B,$A588,'Таблиця 1'!$I:$I,"Су-27",'Таблиця 1'!$J:$J,"MK-32"))</f>
        <v/>
      </c>
      <c r="Q588">
        <f>IF($A588="","",SUMIFS('Таблиця 1'!$K:$K,'Таблиця 1'!$B:$B,$A588,'Таблиця 1'!$I:$I,"Mirage",'Таблиця 1'!$J:$J,"MK-24")+SUMIFS('Таблиця 1'!$K:$K,'Таблиця 1'!$B:$B,$A588,'Таблиця 1'!$I:$I,"F-16",'Таблиця 1'!$J:$J,"MK-24")+SUMIFS('Таблиця 1'!$K:$K,'Таблиця 1'!$B:$B,$A588,'Таблиця 1'!$I:$I,"МіГ-29",'Таблиця 1'!$J:$J,"MK-24")+SUMIFS('Таблиця 1'!$K:$K,'Таблиця 1'!$B:$B,$A588,'Таблиця 1'!$I:$I,"Су-25",'Таблиця 1'!$J:$J,"MK-24")+SUMIFS('Таблиця 1'!$K:$K,'Таблиця 1'!$B:$B,$A588,'Таблиця 1'!$I:$I,"Су-27",'Таблиця 1'!$J:$J,"MK-24"))</f>
        <v/>
      </c>
      <c r="R588">
        <f>IF($A588="","",COUNTIFS('Таблиця 1'!$B:$B,$A588,'Таблиця 1'!$I:$I,"Mirage",'Таблиця 1'!$L:$L,"Уражено")+COUNTIFS('Таблиця 1'!$B:$B,$A588,'Таблиця 1'!$I:$I,"F-16",'Таблиця 1'!$L:$L,"Уражено")+COUNTIFS('Таблиця 1'!$B:$B,$A588,'Таблиця 1'!$I:$I,"МіГ-29",'Таблиця 1'!$L:$L,"Уражено")+COUNTIFS('Таблиця 1'!$B:$B,$A588,'Таблиця 1'!$I:$I,"Су-25",'Таблиця 1'!$L:$L,"Уражено")+COUNTIFS('Таблиця 1'!$B:$B,$A588,'Таблиця 1'!$I:$I,"Су-27",'Таблиця 1'!$L:$L,"Уражено"))</f>
        <v/>
      </c>
      <c r="S588">
        <f>IF($A588="","",COUNTIFS('Таблиця 1'!$B:$B,$A588,'Таблиця 1'!$I:$I,"Mirage",'Таблиця 1'!$L:$L,"НЕ уражено")+COUNTIFS('Таблиця 1'!$B:$B,$A588,'Таблиця 1'!$I:$I,"F-16",'Таблиця 1'!$L:$L,"НЕ уражено")+COUNTIFS('Таблиця 1'!$B:$B,$A588,'Таблиця 1'!$I:$I,"МіГ-29",'Таблиця 1'!$L:$L,"НЕ уражено")+COUNTIFS('Таблиця 1'!$B:$B,$A588,'Таблиця 1'!$I:$I,"Су-25",'Таблиця 1'!$L:$L,"НЕ уражено")+COUNTIFS('Таблиця 1'!$B:$B,$A588,'Таблиця 1'!$I:$I,"Су-27",'Таблиця 1'!$L:$L,"НЕ уражено"))</f>
        <v/>
      </c>
      <c r="T588">
        <f>IF($A588="","",COUNTIFS('Таблиця 1'!$B:$B,$A588,'Таблиця 1'!$I:$I,"Mirage",'Таблиця 1'!$L:$L,"Дорозвідується")+COUNTIFS('Таблиця 1'!$B:$B,$A588,'Таблиця 1'!$I:$I,"F-16",'Таблиця 1'!$L:$L,"Дорозвідується")+COUNTIFS('Таблиця 1'!$B:$B,$A588,'Таблиця 1'!$I:$I,"МіГ-29",'Таблиця 1'!$L:$L,"Дорозвідується")+COUNTIFS('Таблиця 1'!$B:$B,$A588,'Таблиця 1'!$I:$I,"Су-25",'Таблиця 1'!$L:$L,"Дорозвідується")+COUNTIFS('Таблиця 1'!$B:$B,$A588,'Таблиця 1'!$I:$I,"Су-27",'Таблиця 1'!$L:$L,"Дорозвідується"))</f>
        <v/>
      </c>
    </row>
    <row r="589">
      <c r="A589" s="273">
        <f>IF(A588="","",IF(A588+1&gt;MAX('Таблиця 1'!$B:$B),"",A588+1))</f>
        <v/>
      </c>
      <c r="B589">
        <f>IF($A589="","",COUNTIFS('Таблиця 1'!$B:$B,$A589,'Таблиця 1'!$I:$I,"Mirage")+COUNTIFS('Таблиця 1'!$B:$B,$A589,'Таблиця 1'!$I:$I,"F-16")+COUNTIFS('Таблиця 1'!$B:$B,$A589,'Таблиця 1'!$I:$I,"МіГ-29")+COUNTIFS('Таблиця 1'!$B:$B,$A589,'Таблиця 1'!$I:$I,"Су-25")+COUNTIFS('Таблиця 1'!$B:$B,$A589,'Таблиця 1'!$I:$I,"Су-27"))</f>
        <v/>
      </c>
      <c r="C589">
        <f>IF($A589="","",COUNTIFS('Таблиця 1'!$B:$B,$A589,'Таблиця 1'!$I:$I,"Mirage"))</f>
        <v/>
      </c>
      <c r="D589">
        <f>IF($A589="","",COUNTIFS('Таблиця 1'!$B:$B,$A589,'Таблиця 1'!$I:$I,"F-16"))</f>
        <v/>
      </c>
      <c r="E589">
        <f>IF($A589="","",COUNTIFS('Таблиця 1'!$B:$B,$A589,'Таблиця 1'!$I:$I,"МіГ-29"))</f>
        <v/>
      </c>
      <c r="F589">
        <f>IF($A589="","",COUNTIFS('Таблиця 1'!$B:$B,$A589,'Таблиця 1'!$I:$I,"Су-25"))</f>
        <v/>
      </c>
      <c r="G589">
        <f>IF($A589="","",COUNTIFS('Таблиця 1'!$B:$B,$A589,'Таблиця 1'!$I:$I,"Су-27"))</f>
        <v/>
      </c>
      <c r="H589">
        <f>IF($A589="","",SUMIFS('Таблиця 1'!$K:$K,'Таблиця 1'!$B:$B,$A589,'Таблиця 1'!$I:$I,"Mirage",'Таблиця 1'!$J:$J,"AGM-88")+SUMIFS('Таблиця 1'!$K:$K,'Таблиця 1'!$B:$B,$A589,'Таблиця 1'!$I:$I,"F-16",'Таблиця 1'!$J:$J,"AGM-88")+SUMIFS('Таблиця 1'!$K:$K,'Таблиця 1'!$B:$B,$A589,'Таблиця 1'!$I:$I,"МіГ-29",'Таблиця 1'!$J:$J,"AGM-88")+SUMIFS('Таблиця 1'!$K:$K,'Таблиця 1'!$B:$B,$A589,'Таблиця 1'!$I:$I,"Су-25",'Таблиця 1'!$J:$J,"AGM-88")+SUMIFS('Таблиця 1'!$K:$K,'Таблиця 1'!$B:$B,$A589,'Таблиця 1'!$I:$I,"Су-27",'Таблиця 1'!$J:$J,"AGM-88"))</f>
        <v/>
      </c>
      <c r="I589">
        <f>IF($A589="","",SUMIFS('Таблиця 1'!$K:$K,'Таблиця 1'!$B:$B,$A589,'Таблиця 1'!$I:$I,"Mirage",'Таблиця 1'!$J:$J,"AASM-250")+SUMIFS('Таблиця 1'!$K:$K,'Таблиця 1'!$B:$B,$A589,'Таблиця 1'!$I:$I,"F-16",'Таблиця 1'!$J:$J,"AASM-250")+SUMIFS('Таблиця 1'!$K:$K,'Таблиця 1'!$B:$B,$A589,'Таблиця 1'!$I:$I,"МіГ-29",'Таблиця 1'!$J:$J,"AASM-250")+SUMIFS('Таблиця 1'!$K:$K,'Таблиця 1'!$B:$B,$A589,'Таблиця 1'!$I:$I,"Су-25",'Таблиця 1'!$J:$J,"AASM-250")+SUMIFS('Таблиця 1'!$K:$K,'Таблиця 1'!$B:$B,$A589,'Таблиця 1'!$I:$I,"Су-27",'Таблиця 1'!$J:$J,"AASM-250"))</f>
        <v/>
      </c>
      <c r="J589">
        <f>IF($A589="","",SUMIFS('Таблиця 1'!$K:$K,'Таблиця 1'!$B:$B,$A589,'Таблиця 1'!$I:$I,"Mirage",'Таблиця 1'!$J:$J,"GBU-39")+SUMIFS('Таблиця 1'!$K:$K,'Таблиця 1'!$B:$B,$A589,'Таблиця 1'!$I:$I,"F-16",'Таблиця 1'!$J:$J,"GBU-39")+SUMIFS('Таблиця 1'!$K:$K,'Таблиця 1'!$B:$B,$A589,'Таблиця 1'!$I:$I,"МіГ-29",'Таблиця 1'!$J:$J,"GBU-39")+SUMIFS('Таблиця 1'!$K:$K,'Таблиця 1'!$B:$B,$A589,'Таблиця 1'!$I:$I,"Су-25",'Таблиця 1'!$J:$J,"GBU-39")+SUMIFS('Таблиця 1'!$K:$K,'Таблиця 1'!$B:$B,$A589,'Таблиця 1'!$I:$I,"Су-27",'Таблиця 1'!$J:$J,"GBU-39"))</f>
        <v/>
      </c>
      <c r="K589">
        <f>IF($A589="","",SUMIFS('Таблиця 1'!$K:$K,'Таблиця 1'!$B:$B,$A589,'Таблиця 1'!$I:$I,"Mirage",'Таблиця 1'!$J:$J,"BLU-140")+SUMIFS('Таблиця 1'!$K:$K,'Таблиця 1'!$B:$B,$A589,'Таблиця 1'!$I:$I,"F-16",'Таблиця 1'!$J:$J,"BLU-140")+SUMIFS('Таблиця 1'!$K:$K,'Таблиця 1'!$B:$B,$A589,'Таблиця 1'!$I:$I,"МіГ-29",'Таблиця 1'!$J:$J,"BLU-140")+SUMIFS('Таблиця 1'!$K:$K,'Таблиця 1'!$B:$B,$A589,'Таблиця 1'!$I:$I,"Су-25",'Таблиця 1'!$J:$J,"BLU-140")+SUMIFS('Таблиця 1'!$K:$K,'Таблиця 1'!$B:$B,$A589,'Таблиця 1'!$I:$I,"Су-27",'Таблиця 1'!$J:$J,"BLU-140"))</f>
        <v/>
      </c>
      <c r="L589">
        <f>IF($A589="","",SUMIFS('Таблиця 1'!$K:$K,'Таблиця 1'!$B:$B,$A589,'Таблиця 1'!$I:$I,"Mirage",'Таблиця 1'!$J:$J,"GBU-65")+SUMIFS('Таблиця 1'!$K:$K,'Таблиця 1'!$B:$B,$A589,'Таблиця 1'!$I:$I,"F-16",'Таблиця 1'!$J:$J,"GBU-65")+SUMIFS('Таблиця 1'!$K:$K,'Таблиця 1'!$B:$B,$A589,'Таблиця 1'!$I:$I,"МіГ-29",'Таблиця 1'!$J:$J,"GBU-65")+SUMIFS('Таблиця 1'!$K:$K,'Таблиця 1'!$B:$B,$A589,'Таблиця 1'!$I:$I,"Су-25",'Таблиця 1'!$J:$J,"GBU-65")+SUMIFS('Таблиця 1'!$K:$K,'Таблиця 1'!$B:$B,$A589,'Таблиця 1'!$I:$I,"Су-27",'Таблиця 1'!$J:$J,"GBU-65"))</f>
        <v/>
      </c>
      <c r="M589">
        <f>IF($A589="","",SUMIFS('Таблиця 1'!$K:$K,'Таблиця 1'!$B:$B,$A589,'Таблиця 1'!$I:$I,"Mirage",'Таблиця 1'!$J:$J,"GBU-62")+SUMIFS('Таблиця 1'!$K:$K,'Таблиця 1'!$B:$B,$A589,'Таблиця 1'!$I:$I,"F-16",'Таблиця 1'!$J:$J,"GBU-62")+SUMIFS('Таблиця 1'!$K:$K,'Таблиця 1'!$B:$B,$A589,'Таблиця 1'!$I:$I,"МіГ-29",'Таблиця 1'!$J:$J,"GBU-62")+SUMIFS('Таблиця 1'!$K:$K,'Таблиця 1'!$B:$B,$A589,'Таблиця 1'!$I:$I,"Су-25",'Таблиця 1'!$J:$J,"GBU-62")+SUMIFS('Таблиця 1'!$K:$K,'Таблиця 1'!$B:$B,$A589,'Таблиця 1'!$I:$I,"Су-27",'Таблиця 1'!$J:$J,"GBU-62"))</f>
        <v/>
      </c>
      <c r="N589">
        <f>IF($A589="","",SUMIFS('Таблиця 1'!$K:$K,'Таблиця 1'!$B:$B,$A589,'Таблиця 1'!$I:$I,"Mirage",'Таблиця 1'!$J:$J,"GBU-64")+SUMIFS('Таблиця 1'!$K:$K,'Таблиця 1'!$B:$B,$A589,'Таблиця 1'!$I:$I,"F-16",'Таблиця 1'!$J:$J,"GBU-64")+SUMIFS('Таблиця 1'!$K:$K,'Таблиця 1'!$B:$B,$A589,'Таблиця 1'!$I:$I,"МіГ-29",'Таблиця 1'!$J:$J,"GBU-64")+SUMIFS('Таблиця 1'!$K:$K,'Таблиця 1'!$B:$B,$A589,'Таблиця 1'!$I:$I,"Су-25",'Таблиця 1'!$J:$J,"GBU-64")+SUMIFS('Таблиця 1'!$K:$K,'Таблиця 1'!$B:$B,$A589,'Таблиця 1'!$I:$I,"Су-27",'Таблиця 1'!$J:$J,"GBU-64"))</f>
        <v/>
      </c>
      <c r="O589">
        <f>IF($A589="","",SUMIFS('Таблиця 1'!$K:$K,'Таблиця 1'!$B:$B,$A589,'Таблиця 1'!$I:$I,"Mirage",'Таблиця 1'!$J:$J,"C-13")+SUMIFS('Таблиця 1'!$K:$K,'Таблиця 1'!$B:$B,$A589,'Таблиця 1'!$I:$I,"F-16",'Таблиця 1'!$J:$J,"C-13")+SUMIFS('Таблиця 1'!$K:$K,'Таблиця 1'!$B:$B,$A589,'Таблиця 1'!$I:$I,"МіГ-29",'Таблиця 1'!$J:$J,"C-13")+SUMIFS('Таблиця 1'!$K:$K,'Таблиця 1'!$B:$B,$A589,'Таблиця 1'!$I:$I,"Су-25",'Таблиця 1'!$J:$J,"C-13")+SUMIFS('Таблиця 1'!$K:$K,'Таблиця 1'!$B:$B,$A589,'Таблиця 1'!$I:$I,"Су-27",'Таблиця 1'!$J:$J,"C-13"))</f>
        <v/>
      </c>
      <c r="P589">
        <f>IF($A589="","",SUMIFS('Таблиця 1'!$K:$K,'Таблиця 1'!$B:$B,$A589,'Таблиця 1'!$I:$I,"Mirage",'Таблиця 1'!$J:$J,"MK-32")+SUMIFS('Таблиця 1'!$K:$K,'Таблиця 1'!$B:$B,$A589,'Таблиця 1'!$I:$I,"F-16",'Таблиця 1'!$J:$J,"MK-32")+SUMIFS('Таблиця 1'!$K:$K,'Таблиця 1'!$B:$B,$A589,'Таблиця 1'!$I:$I,"МіГ-29",'Таблиця 1'!$J:$J,"MK-32")+SUMIFS('Таблиця 1'!$K:$K,'Таблиця 1'!$B:$B,$A589,'Таблиця 1'!$I:$I,"Су-25",'Таблиця 1'!$J:$J,"MK-32")+SUMIFS('Таблиця 1'!$K:$K,'Таблиця 1'!$B:$B,$A589,'Таблиця 1'!$I:$I,"Су-27",'Таблиця 1'!$J:$J,"MK-32"))</f>
        <v/>
      </c>
      <c r="Q589">
        <f>IF($A589="","",SUMIFS('Таблиця 1'!$K:$K,'Таблиця 1'!$B:$B,$A589,'Таблиця 1'!$I:$I,"Mirage",'Таблиця 1'!$J:$J,"MK-24")+SUMIFS('Таблиця 1'!$K:$K,'Таблиця 1'!$B:$B,$A589,'Таблиця 1'!$I:$I,"F-16",'Таблиця 1'!$J:$J,"MK-24")+SUMIFS('Таблиця 1'!$K:$K,'Таблиця 1'!$B:$B,$A589,'Таблиця 1'!$I:$I,"МіГ-29",'Таблиця 1'!$J:$J,"MK-24")+SUMIFS('Таблиця 1'!$K:$K,'Таблиця 1'!$B:$B,$A589,'Таблиця 1'!$I:$I,"Су-25",'Таблиця 1'!$J:$J,"MK-24")+SUMIFS('Таблиця 1'!$K:$K,'Таблиця 1'!$B:$B,$A589,'Таблиця 1'!$I:$I,"Су-27",'Таблиця 1'!$J:$J,"MK-24"))</f>
        <v/>
      </c>
      <c r="R589">
        <f>IF($A589="","",COUNTIFS('Таблиця 1'!$B:$B,$A589,'Таблиця 1'!$I:$I,"Mirage",'Таблиця 1'!$L:$L,"Уражено")+COUNTIFS('Таблиця 1'!$B:$B,$A589,'Таблиця 1'!$I:$I,"F-16",'Таблиця 1'!$L:$L,"Уражено")+COUNTIFS('Таблиця 1'!$B:$B,$A589,'Таблиця 1'!$I:$I,"МіГ-29",'Таблиця 1'!$L:$L,"Уражено")+COUNTIFS('Таблиця 1'!$B:$B,$A589,'Таблиця 1'!$I:$I,"Су-25",'Таблиця 1'!$L:$L,"Уражено")+COUNTIFS('Таблиця 1'!$B:$B,$A589,'Таблиця 1'!$I:$I,"Су-27",'Таблиця 1'!$L:$L,"Уражено"))</f>
        <v/>
      </c>
      <c r="S589">
        <f>IF($A589="","",COUNTIFS('Таблиця 1'!$B:$B,$A589,'Таблиця 1'!$I:$I,"Mirage",'Таблиця 1'!$L:$L,"НЕ уражено")+COUNTIFS('Таблиця 1'!$B:$B,$A589,'Таблиця 1'!$I:$I,"F-16",'Таблиця 1'!$L:$L,"НЕ уражено")+COUNTIFS('Таблиця 1'!$B:$B,$A589,'Таблиця 1'!$I:$I,"МіГ-29",'Таблиця 1'!$L:$L,"НЕ уражено")+COUNTIFS('Таблиця 1'!$B:$B,$A589,'Таблиця 1'!$I:$I,"Су-25",'Таблиця 1'!$L:$L,"НЕ уражено")+COUNTIFS('Таблиця 1'!$B:$B,$A589,'Таблиця 1'!$I:$I,"Су-27",'Таблиця 1'!$L:$L,"НЕ уражено"))</f>
        <v/>
      </c>
      <c r="T589">
        <f>IF($A589="","",COUNTIFS('Таблиця 1'!$B:$B,$A589,'Таблиця 1'!$I:$I,"Mirage",'Таблиця 1'!$L:$L,"Дорозвідується")+COUNTIFS('Таблиця 1'!$B:$B,$A589,'Таблиця 1'!$I:$I,"F-16",'Таблиця 1'!$L:$L,"Дорозвідується")+COUNTIFS('Таблиця 1'!$B:$B,$A589,'Таблиця 1'!$I:$I,"МіГ-29",'Таблиця 1'!$L:$L,"Дорозвідується")+COUNTIFS('Таблиця 1'!$B:$B,$A589,'Таблиця 1'!$I:$I,"Су-25",'Таблиця 1'!$L:$L,"Дорозвідується")+COUNTIFS('Таблиця 1'!$B:$B,$A589,'Таблиця 1'!$I:$I,"Су-27",'Таблиця 1'!$L:$L,"Дорозвідується"))</f>
        <v/>
      </c>
    </row>
    <row r="590">
      <c r="A590" s="273">
        <f>IF(A589="","",IF(A589+1&gt;MAX('Таблиця 1'!$B:$B),"",A589+1))</f>
        <v/>
      </c>
      <c r="B590">
        <f>IF($A590="","",COUNTIFS('Таблиця 1'!$B:$B,$A590,'Таблиця 1'!$I:$I,"Mirage")+COUNTIFS('Таблиця 1'!$B:$B,$A590,'Таблиця 1'!$I:$I,"F-16")+COUNTIFS('Таблиця 1'!$B:$B,$A590,'Таблиця 1'!$I:$I,"МіГ-29")+COUNTIFS('Таблиця 1'!$B:$B,$A590,'Таблиця 1'!$I:$I,"Су-25")+COUNTIFS('Таблиця 1'!$B:$B,$A590,'Таблиця 1'!$I:$I,"Су-27"))</f>
        <v/>
      </c>
      <c r="C590">
        <f>IF($A590="","",COUNTIFS('Таблиця 1'!$B:$B,$A590,'Таблиця 1'!$I:$I,"Mirage"))</f>
        <v/>
      </c>
      <c r="D590">
        <f>IF($A590="","",COUNTIFS('Таблиця 1'!$B:$B,$A590,'Таблиця 1'!$I:$I,"F-16"))</f>
        <v/>
      </c>
      <c r="E590">
        <f>IF($A590="","",COUNTIFS('Таблиця 1'!$B:$B,$A590,'Таблиця 1'!$I:$I,"МіГ-29"))</f>
        <v/>
      </c>
      <c r="F590">
        <f>IF($A590="","",COUNTIFS('Таблиця 1'!$B:$B,$A590,'Таблиця 1'!$I:$I,"Су-25"))</f>
        <v/>
      </c>
      <c r="G590">
        <f>IF($A590="","",COUNTIFS('Таблиця 1'!$B:$B,$A590,'Таблиця 1'!$I:$I,"Су-27"))</f>
        <v/>
      </c>
      <c r="H590">
        <f>IF($A590="","",SUMIFS('Таблиця 1'!$K:$K,'Таблиця 1'!$B:$B,$A590,'Таблиця 1'!$I:$I,"Mirage",'Таблиця 1'!$J:$J,"AGM-88")+SUMIFS('Таблиця 1'!$K:$K,'Таблиця 1'!$B:$B,$A590,'Таблиця 1'!$I:$I,"F-16",'Таблиця 1'!$J:$J,"AGM-88")+SUMIFS('Таблиця 1'!$K:$K,'Таблиця 1'!$B:$B,$A590,'Таблиця 1'!$I:$I,"МіГ-29",'Таблиця 1'!$J:$J,"AGM-88")+SUMIFS('Таблиця 1'!$K:$K,'Таблиця 1'!$B:$B,$A590,'Таблиця 1'!$I:$I,"Су-25",'Таблиця 1'!$J:$J,"AGM-88")+SUMIFS('Таблиця 1'!$K:$K,'Таблиця 1'!$B:$B,$A590,'Таблиця 1'!$I:$I,"Су-27",'Таблиця 1'!$J:$J,"AGM-88"))</f>
        <v/>
      </c>
      <c r="I590">
        <f>IF($A590="","",SUMIFS('Таблиця 1'!$K:$K,'Таблиця 1'!$B:$B,$A590,'Таблиця 1'!$I:$I,"Mirage",'Таблиця 1'!$J:$J,"AASM-250")+SUMIFS('Таблиця 1'!$K:$K,'Таблиця 1'!$B:$B,$A590,'Таблиця 1'!$I:$I,"F-16",'Таблиця 1'!$J:$J,"AASM-250")+SUMIFS('Таблиця 1'!$K:$K,'Таблиця 1'!$B:$B,$A590,'Таблиця 1'!$I:$I,"МіГ-29",'Таблиця 1'!$J:$J,"AASM-250")+SUMIFS('Таблиця 1'!$K:$K,'Таблиця 1'!$B:$B,$A590,'Таблиця 1'!$I:$I,"Су-25",'Таблиця 1'!$J:$J,"AASM-250")+SUMIFS('Таблиця 1'!$K:$K,'Таблиця 1'!$B:$B,$A590,'Таблиця 1'!$I:$I,"Су-27",'Таблиця 1'!$J:$J,"AASM-250"))</f>
        <v/>
      </c>
      <c r="J590">
        <f>IF($A590="","",SUMIFS('Таблиця 1'!$K:$K,'Таблиця 1'!$B:$B,$A590,'Таблиця 1'!$I:$I,"Mirage",'Таблиця 1'!$J:$J,"GBU-39")+SUMIFS('Таблиця 1'!$K:$K,'Таблиця 1'!$B:$B,$A590,'Таблиця 1'!$I:$I,"F-16",'Таблиця 1'!$J:$J,"GBU-39")+SUMIFS('Таблиця 1'!$K:$K,'Таблиця 1'!$B:$B,$A590,'Таблиця 1'!$I:$I,"МіГ-29",'Таблиця 1'!$J:$J,"GBU-39")+SUMIFS('Таблиця 1'!$K:$K,'Таблиця 1'!$B:$B,$A590,'Таблиця 1'!$I:$I,"Су-25",'Таблиця 1'!$J:$J,"GBU-39")+SUMIFS('Таблиця 1'!$K:$K,'Таблиця 1'!$B:$B,$A590,'Таблиця 1'!$I:$I,"Су-27",'Таблиця 1'!$J:$J,"GBU-39"))</f>
        <v/>
      </c>
      <c r="K590">
        <f>IF($A590="","",SUMIFS('Таблиця 1'!$K:$K,'Таблиця 1'!$B:$B,$A590,'Таблиця 1'!$I:$I,"Mirage",'Таблиця 1'!$J:$J,"BLU-140")+SUMIFS('Таблиця 1'!$K:$K,'Таблиця 1'!$B:$B,$A590,'Таблиця 1'!$I:$I,"F-16",'Таблиця 1'!$J:$J,"BLU-140")+SUMIFS('Таблиця 1'!$K:$K,'Таблиця 1'!$B:$B,$A590,'Таблиця 1'!$I:$I,"МіГ-29",'Таблиця 1'!$J:$J,"BLU-140")+SUMIFS('Таблиця 1'!$K:$K,'Таблиця 1'!$B:$B,$A590,'Таблиця 1'!$I:$I,"Су-25",'Таблиця 1'!$J:$J,"BLU-140")+SUMIFS('Таблиця 1'!$K:$K,'Таблиця 1'!$B:$B,$A590,'Таблиця 1'!$I:$I,"Су-27",'Таблиця 1'!$J:$J,"BLU-140"))</f>
        <v/>
      </c>
      <c r="L590">
        <f>IF($A590="","",SUMIFS('Таблиця 1'!$K:$K,'Таблиця 1'!$B:$B,$A590,'Таблиця 1'!$I:$I,"Mirage",'Таблиця 1'!$J:$J,"GBU-65")+SUMIFS('Таблиця 1'!$K:$K,'Таблиця 1'!$B:$B,$A590,'Таблиця 1'!$I:$I,"F-16",'Таблиця 1'!$J:$J,"GBU-65")+SUMIFS('Таблиця 1'!$K:$K,'Таблиця 1'!$B:$B,$A590,'Таблиця 1'!$I:$I,"МіГ-29",'Таблиця 1'!$J:$J,"GBU-65")+SUMIFS('Таблиця 1'!$K:$K,'Таблиця 1'!$B:$B,$A590,'Таблиця 1'!$I:$I,"Су-25",'Таблиця 1'!$J:$J,"GBU-65")+SUMIFS('Таблиця 1'!$K:$K,'Таблиця 1'!$B:$B,$A590,'Таблиця 1'!$I:$I,"Су-27",'Таблиця 1'!$J:$J,"GBU-65"))</f>
        <v/>
      </c>
      <c r="M590">
        <f>IF($A590="","",SUMIFS('Таблиця 1'!$K:$K,'Таблиця 1'!$B:$B,$A590,'Таблиця 1'!$I:$I,"Mirage",'Таблиця 1'!$J:$J,"GBU-62")+SUMIFS('Таблиця 1'!$K:$K,'Таблиця 1'!$B:$B,$A590,'Таблиця 1'!$I:$I,"F-16",'Таблиця 1'!$J:$J,"GBU-62")+SUMIFS('Таблиця 1'!$K:$K,'Таблиця 1'!$B:$B,$A590,'Таблиця 1'!$I:$I,"МіГ-29",'Таблиця 1'!$J:$J,"GBU-62")+SUMIFS('Таблиця 1'!$K:$K,'Таблиця 1'!$B:$B,$A590,'Таблиця 1'!$I:$I,"Су-25",'Таблиця 1'!$J:$J,"GBU-62")+SUMIFS('Таблиця 1'!$K:$K,'Таблиця 1'!$B:$B,$A590,'Таблиця 1'!$I:$I,"Су-27",'Таблиця 1'!$J:$J,"GBU-62"))</f>
        <v/>
      </c>
      <c r="N590">
        <f>IF($A590="","",SUMIFS('Таблиця 1'!$K:$K,'Таблиця 1'!$B:$B,$A590,'Таблиця 1'!$I:$I,"Mirage",'Таблиця 1'!$J:$J,"GBU-64")+SUMIFS('Таблиця 1'!$K:$K,'Таблиця 1'!$B:$B,$A590,'Таблиця 1'!$I:$I,"F-16",'Таблиця 1'!$J:$J,"GBU-64")+SUMIFS('Таблиця 1'!$K:$K,'Таблиця 1'!$B:$B,$A590,'Таблиця 1'!$I:$I,"МіГ-29",'Таблиця 1'!$J:$J,"GBU-64")+SUMIFS('Таблиця 1'!$K:$K,'Таблиця 1'!$B:$B,$A590,'Таблиця 1'!$I:$I,"Су-25",'Таблиця 1'!$J:$J,"GBU-64")+SUMIFS('Таблиця 1'!$K:$K,'Таблиця 1'!$B:$B,$A590,'Таблиця 1'!$I:$I,"Су-27",'Таблиця 1'!$J:$J,"GBU-64"))</f>
        <v/>
      </c>
      <c r="O590">
        <f>IF($A590="","",SUMIFS('Таблиця 1'!$K:$K,'Таблиця 1'!$B:$B,$A590,'Таблиця 1'!$I:$I,"Mirage",'Таблиця 1'!$J:$J,"C-13")+SUMIFS('Таблиця 1'!$K:$K,'Таблиця 1'!$B:$B,$A590,'Таблиця 1'!$I:$I,"F-16",'Таблиця 1'!$J:$J,"C-13")+SUMIFS('Таблиця 1'!$K:$K,'Таблиця 1'!$B:$B,$A590,'Таблиця 1'!$I:$I,"МіГ-29",'Таблиця 1'!$J:$J,"C-13")+SUMIFS('Таблиця 1'!$K:$K,'Таблиця 1'!$B:$B,$A590,'Таблиця 1'!$I:$I,"Су-25",'Таблиця 1'!$J:$J,"C-13")+SUMIFS('Таблиця 1'!$K:$K,'Таблиця 1'!$B:$B,$A590,'Таблиця 1'!$I:$I,"Су-27",'Таблиця 1'!$J:$J,"C-13"))</f>
        <v/>
      </c>
      <c r="P590">
        <f>IF($A590="","",SUMIFS('Таблиця 1'!$K:$K,'Таблиця 1'!$B:$B,$A590,'Таблиця 1'!$I:$I,"Mirage",'Таблиця 1'!$J:$J,"MK-32")+SUMIFS('Таблиця 1'!$K:$K,'Таблиця 1'!$B:$B,$A590,'Таблиця 1'!$I:$I,"F-16",'Таблиця 1'!$J:$J,"MK-32")+SUMIFS('Таблиця 1'!$K:$K,'Таблиця 1'!$B:$B,$A590,'Таблиця 1'!$I:$I,"МіГ-29",'Таблиця 1'!$J:$J,"MK-32")+SUMIFS('Таблиця 1'!$K:$K,'Таблиця 1'!$B:$B,$A590,'Таблиця 1'!$I:$I,"Су-25",'Таблиця 1'!$J:$J,"MK-32")+SUMIFS('Таблиця 1'!$K:$K,'Таблиця 1'!$B:$B,$A590,'Таблиця 1'!$I:$I,"Су-27",'Таблиця 1'!$J:$J,"MK-32"))</f>
        <v/>
      </c>
      <c r="Q590">
        <f>IF($A590="","",SUMIFS('Таблиця 1'!$K:$K,'Таблиця 1'!$B:$B,$A590,'Таблиця 1'!$I:$I,"Mirage",'Таблиця 1'!$J:$J,"MK-24")+SUMIFS('Таблиця 1'!$K:$K,'Таблиця 1'!$B:$B,$A590,'Таблиця 1'!$I:$I,"F-16",'Таблиця 1'!$J:$J,"MK-24")+SUMIFS('Таблиця 1'!$K:$K,'Таблиця 1'!$B:$B,$A590,'Таблиця 1'!$I:$I,"МіГ-29",'Таблиця 1'!$J:$J,"MK-24")+SUMIFS('Таблиця 1'!$K:$K,'Таблиця 1'!$B:$B,$A590,'Таблиця 1'!$I:$I,"Су-25",'Таблиця 1'!$J:$J,"MK-24")+SUMIFS('Таблиця 1'!$K:$K,'Таблиця 1'!$B:$B,$A590,'Таблиця 1'!$I:$I,"Су-27",'Таблиця 1'!$J:$J,"MK-24"))</f>
        <v/>
      </c>
      <c r="R590">
        <f>IF($A590="","",COUNTIFS('Таблиця 1'!$B:$B,$A590,'Таблиця 1'!$I:$I,"Mirage",'Таблиця 1'!$L:$L,"Уражено")+COUNTIFS('Таблиця 1'!$B:$B,$A590,'Таблиця 1'!$I:$I,"F-16",'Таблиця 1'!$L:$L,"Уражено")+COUNTIFS('Таблиця 1'!$B:$B,$A590,'Таблиця 1'!$I:$I,"МіГ-29",'Таблиця 1'!$L:$L,"Уражено")+COUNTIFS('Таблиця 1'!$B:$B,$A590,'Таблиця 1'!$I:$I,"Су-25",'Таблиця 1'!$L:$L,"Уражено")+COUNTIFS('Таблиця 1'!$B:$B,$A590,'Таблиця 1'!$I:$I,"Су-27",'Таблиця 1'!$L:$L,"Уражено"))</f>
        <v/>
      </c>
      <c r="S590">
        <f>IF($A590="","",COUNTIFS('Таблиця 1'!$B:$B,$A590,'Таблиця 1'!$I:$I,"Mirage",'Таблиця 1'!$L:$L,"НЕ уражено")+COUNTIFS('Таблиця 1'!$B:$B,$A590,'Таблиця 1'!$I:$I,"F-16",'Таблиця 1'!$L:$L,"НЕ уражено")+COUNTIFS('Таблиця 1'!$B:$B,$A590,'Таблиця 1'!$I:$I,"МіГ-29",'Таблиця 1'!$L:$L,"НЕ уражено")+COUNTIFS('Таблиця 1'!$B:$B,$A590,'Таблиця 1'!$I:$I,"Су-25",'Таблиця 1'!$L:$L,"НЕ уражено")+COUNTIFS('Таблиця 1'!$B:$B,$A590,'Таблиця 1'!$I:$I,"Су-27",'Таблиця 1'!$L:$L,"НЕ уражено"))</f>
        <v/>
      </c>
      <c r="T590">
        <f>IF($A590="","",COUNTIFS('Таблиця 1'!$B:$B,$A590,'Таблиця 1'!$I:$I,"Mirage",'Таблиця 1'!$L:$L,"Дорозвідується")+COUNTIFS('Таблиця 1'!$B:$B,$A590,'Таблиця 1'!$I:$I,"F-16",'Таблиця 1'!$L:$L,"Дорозвідується")+COUNTIFS('Таблиця 1'!$B:$B,$A590,'Таблиця 1'!$I:$I,"МіГ-29",'Таблиця 1'!$L:$L,"Дорозвідується")+COUNTIFS('Таблиця 1'!$B:$B,$A590,'Таблиця 1'!$I:$I,"Су-25",'Таблиця 1'!$L:$L,"Дорозвідується")+COUNTIFS('Таблиця 1'!$B:$B,$A590,'Таблиця 1'!$I:$I,"Су-27",'Таблиця 1'!$L:$L,"Дорозвідується"))</f>
        <v/>
      </c>
    </row>
    <row r="591">
      <c r="A591" s="273">
        <f>IF(A590="","",IF(A590+1&gt;MAX('Таблиця 1'!$B:$B),"",A590+1))</f>
        <v/>
      </c>
      <c r="B591">
        <f>IF($A591="","",COUNTIFS('Таблиця 1'!$B:$B,$A591,'Таблиця 1'!$I:$I,"Mirage")+COUNTIFS('Таблиця 1'!$B:$B,$A591,'Таблиця 1'!$I:$I,"F-16")+COUNTIFS('Таблиця 1'!$B:$B,$A591,'Таблиця 1'!$I:$I,"МіГ-29")+COUNTIFS('Таблиця 1'!$B:$B,$A591,'Таблиця 1'!$I:$I,"Су-25")+COUNTIFS('Таблиця 1'!$B:$B,$A591,'Таблиця 1'!$I:$I,"Су-27"))</f>
        <v/>
      </c>
      <c r="C591">
        <f>IF($A591="","",COUNTIFS('Таблиця 1'!$B:$B,$A591,'Таблиця 1'!$I:$I,"Mirage"))</f>
        <v/>
      </c>
      <c r="D591">
        <f>IF($A591="","",COUNTIFS('Таблиця 1'!$B:$B,$A591,'Таблиця 1'!$I:$I,"F-16"))</f>
        <v/>
      </c>
      <c r="E591">
        <f>IF($A591="","",COUNTIFS('Таблиця 1'!$B:$B,$A591,'Таблиця 1'!$I:$I,"МіГ-29"))</f>
        <v/>
      </c>
      <c r="F591">
        <f>IF($A591="","",COUNTIFS('Таблиця 1'!$B:$B,$A591,'Таблиця 1'!$I:$I,"Су-25"))</f>
        <v/>
      </c>
      <c r="G591">
        <f>IF($A591="","",COUNTIFS('Таблиця 1'!$B:$B,$A591,'Таблиця 1'!$I:$I,"Су-27"))</f>
        <v/>
      </c>
      <c r="H591">
        <f>IF($A591="","",SUMIFS('Таблиця 1'!$K:$K,'Таблиця 1'!$B:$B,$A591,'Таблиця 1'!$I:$I,"Mirage",'Таблиця 1'!$J:$J,"AGM-88")+SUMIFS('Таблиця 1'!$K:$K,'Таблиця 1'!$B:$B,$A591,'Таблиця 1'!$I:$I,"F-16",'Таблиця 1'!$J:$J,"AGM-88")+SUMIFS('Таблиця 1'!$K:$K,'Таблиця 1'!$B:$B,$A591,'Таблиця 1'!$I:$I,"МіГ-29",'Таблиця 1'!$J:$J,"AGM-88")+SUMIFS('Таблиця 1'!$K:$K,'Таблиця 1'!$B:$B,$A591,'Таблиця 1'!$I:$I,"Су-25",'Таблиця 1'!$J:$J,"AGM-88")+SUMIFS('Таблиця 1'!$K:$K,'Таблиця 1'!$B:$B,$A591,'Таблиця 1'!$I:$I,"Су-27",'Таблиця 1'!$J:$J,"AGM-88"))</f>
        <v/>
      </c>
      <c r="I591">
        <f>IF($A591="","",SUMIFS('Таблиця 1'!$K:$K,'Таблиця 1'!$B:$B,$A591,'Таблиця 1'!$I:$I,"Mirage",'Таблиця 1'!$J:$J,"AASM-250")+SUMIFS('Таблиця 1'!$K:$K,'Таблиця 1'!$B:$B,$A591,'Таблиця 1'!$I:$I,"F-16",'Таблиця 1'!$J:$J,"AASM-250")+SUMIFS('Таблиця 1'!$K:$K,'Таблиця 1'!$B:$B,$A591,'Таблиця 1'!$I:$I,"МіГ-29",'Таблиця 1'!$J:$J,"AASM-250")+SUMIFS('Таблиця 1'!$K:$K,'Таблиця 1'!$B:$B,$A591,'Таблиця 1'!$I:$I,"Су-25",'Таблиця 1'!$J:$J,"AASM-250")+SUMIFS('Таблиця 1'!$K:$K,'Таблиця 1'!$B:$B,$A591,'Таблиця 1'!$I:$I,"Су-27",'Таблиця 1'!$J:$J,"AASM-250"))</f>
        <v/>
      </c>
      <c r="J591">
        <f>IF($A591="","",SUMIFS('Таблиця 1'!$K:$K,'Таблиця 1'!$B:$B,$A591,'Таблиця 1'!$I:$I,"Mirage",'Таблиця 1'!$J:$J,"GBU-39")+SUMIFS('Таблиця 1'!$K:$K,'Таблиця 1'!$B:$B,$A591,'Таблиця 1'!$I:$I,"F-16",'Таблиця 1'!$J:$J,"GBU-39")+SUMIFS('Таблиця 1'!$K:$K,'Таблиця 1'!$B:$B,$A591,'Таблиця 1'!$I:$I,"МіГ-29",'Таблиця 1'!$J:$J,"GBU-39")+SUMIFS('Таблиця 1'!$K:$K,'Таблиця 1'!$B:$B,$A591,'Таблиця 1'!$I:$I,"Су-25",'Таблиця 1'!$J:$J,"GBU-39")+SUMIFS('Таблиця 1'!$K:$K,'Таблиця 1'!$B:$B,$A591,'Таблиця 1'!$I:$I,"Су-27",'Таблиця 1'!$J:$J,"GBU-39"))</f>
        <v/>
      </c>
      <c r="K591">
        <f>IF($A591="","",SUMIFS('Таблиця 1'!$K:$K,'Таблиця 1'!$B:$B,$A591,'Таблиця 1'!$I:$I,"Mirage",'Таблиця 1'!$J:$J,"BLU-140")+SUMIFS('Таблиця 1'!$K:$K,'Таблиця 1'!$B:$B,$A591,'Таблиця 1'!$I:$I,"F-16",'Таблиця 1'!$J:$J,"BLU-140")+SUMIFS('Таблиця 1'!$K:$K,'Таблиця 1'!$B:$B,$A591,'Таблиця 1'!$I:$I,"МіГ-29",'Таблиця 1'!$J:$J,"BLU-140")+SUMIFS('Таблиця 1'!$K:$K,'Таблиця 1'!$B:$B,$A591,'Таблиця 1'!$I:$I,"Су-25",'Таблиця 1'!$J:$J,"BLU-140")+SUMIFS('Таблиця 1'!$K:$K,'Таблиця 1'!$B:$B,$A591,'Таблиця 1'!$I:$I,"Су-27",'Таблиця 1'!$J:$J,"BLU-140"))</f>
        <v/>
      </c>
      <c r="L591">
        <f>IF($A591="","",SUMIFS('Таблиця 1'!$K:$K,'Таблиця 1'!$B:$B,$A591,'Таблиця 1'!$I:$I,"Mirage",'Таблиця 1'!$J:$J,"GBU-65")+SUMIFS('Таблиця 1'!$K:$K,'Таблиця 1'!$B:$B,$A591,'Таблиця 1'!$I:$I,"F-16",'Таблиця 1'!$J:$J,"GBU-65")+SUMIFS('Таблиця 1'!$K:$K,'Таблиця 1'!$B:$B,$A591,'Таблиця 1'!$I:$I,"МіГ-29",'Таблиця 1'!$J:$J,"GBU-65")+SUMIFS('Таблиця 1'!$K:$K,'Таблиця 1'!$B:$B,$A591,'Таблиця 1'!$I:$I,"Су-25",'Таблиця 1'!$J:$J,"GBU-65")+SUMIFS('Таблиця 1'!$K:$K,'Таблиця 1'!$B:$B,$A591,'Таблиця 1'!$I:$I,"Су-27",'Таблиця 1'!$J:$J,"GBU-65"))</f>
        <v/>
      </c>
      <c r="M591">
        <f>IF($A591="","",SUMIFS('Таблиця 1'!$K:$K,'Таблиця 1'!$B:$B,$A591,'Таблиця 1'!$I:$I,"Mirage",'Таблиця 1'!$J:$J,"GBU-62")+SUMIFS('Таблиця 1'!$K:$K,'Таблиця 1'!$B:$B,$A591,'Таблиця 1'!$I:$I,"F-16",'Таблиця 1'!$J:$J,"GBU-62")+SUMIFS('Таблиця 1'!$K:$K,'Таблиця 1'!$B:$B,$A591,'Таблиця 1'!$I:$I,"МіГ-29",'Таблиця 1'!$J:$J,"GBU-62")+SUMIFS('Таблиця 1'!$K:$K,'Таблиця 1'!$B:$B,$A591,'Таблиця 1'!$I:$I,"Су-25",'Таблиця 1'!$J:$J,"GBU-62")+SUMIFS('Таблиця 1'!$K:$K,'Таблиця 1'!$B:$B,$A591,'Таблиця 1'!$I:$I,"Су-27",'Таблиця 1'!$J:$J,"GBU-62"))</f>
        <v/>
      </c>
      <c r="N591">
        <f>IF($A591="","",SUMIFS('Таблиця 1'!$K:$K,'Таблиця 1'!$B:$B,$A591,'Таблиця 1'!$I:$I,"Mirage",'Таблиця 1'!$J:$J,"GBU-64")+SUMIFS('Таблиця 1'!$K:$K,'Таблиця 1'!$B:$B,$A591,'Таблиця 1'!$I:$I,"F-16",'Таблиця 1'!$J:$J,"GBU-64")+SUMIFS('Таблиця 1'!$K:$K,'Таблиця 1'!$B:$B,$A591,'Таблиця 1'!$I:$I,"МіГ-29",'Таблиця 1'!$J:$J,"GBU-64")+SUMIFS('Таблиця 1'!$K:$K,'Таблиця 1'!$B:$B,$A591,'Таблиця 1'!$I:$I,"Су-25",'Таблиця 1'!$J:$J,"GBU-64")+SUMIFS('Таблиця 1'!$K:$K,'Таблиця 1'!$B:$B,$A591,'Таблиця 1'!$I:$I,"Су-27",'Таблиця 1'!$J:$J,"GBU-64"))</f>
        <v/>
      </c>
      <c r="O591">
        <f>IF($A591="","",SUMIFS('Таблиця 1'!$K:$K,'Таблиця 1'!$B:$B,$A591,'Таблиця 1'!$I:$I,"Mirage",'Таблиця 1'!$J:$J,"C-13")+SUMIFS('Таблиця 1'!$K:$K,'Таблиця 1'!$B:$B,$A591,'Таблиця 1'!$I:$I,"F-16",'Таблиця 1'!$J:$J,"C-13")+SUMIFS('Таблиця 1'!$K:$K,'Таблиця 1'!$B:$B,$A591,'Таблиця 1'!$I:$I,"МіГ-29",'Таблиця 1'!$J:$J,"C-13")+SUMIFS('Таблиця 1'!$K:$K,'Таблиця 1'!$B:$B,$A591,'Таблиця 1'!$I:$I,"Су-25",'Таблиця 1'!$J:$J,"C-13")+SUMIFS('Таблиця 1'!$K:$K,'Таблиця 1'!$B:$B,$A591,'Таблиця 1'!$I:$I,"Су-27",'Таблиця 1'!$J:$J,"C-13"))</f>
        <v/>
      </c>
      <c r="P591">
        <f>IF($A591="","",SUMIFS('Таблиця 1'!$K:$K,'Таблиця 1'!$B:$B,$A591,'Таблиця 1'!$I:$I,"Mirage",'Таблиця 1'!$J:$J,"MK-32")+SUMIFS('Таблиця 1'!$K:$K,'Таблиця 1'!$B:$B,$A591,'Таблиця 1'!$I:$I,"F-16",'Таблиця 1'!$J:$J,"MK-32")+SUMIFS('Таблиця 1'!$K:$K,'Таблиця 1'!$B:$B,$A591,'Таблиця 1'!$I:$I,"МіГ-29",'Таблиця 1'!$J:$J,"MK-32")+SUMIFS('Таблиця 1'!$K:$K,'Таблиця 1'!$B:$B,$A591,'Таблиця 1'!$I:$I,"Су-25",'Таблиця 1'!$J:$J,"MK-32")+SUMIFS('Таблиця 1'!$K:$K,'Таблиця 1'!$B:$B,$A591,'Таблиця 1'!$I:$I,"Су-27",'Таблиця 1'!$J:$J,"MK-32"))</f>
        <v/>
      </c>
      <c r="Q591">
        <f>IF($A591="","",SUMIFS('Таблиця 1'!$K:$K,'Таблиця 1'!$B:$B,$A591,'Таблиця 1'!$I:$I,"Mirage",'Таблиця 1'!$J:$J,"MK-24")+SUMIFS('Таблиця 1'!$K:$K,'Таблиця 1'!$B:$B,$A591,'Таблиця 1'!$I:$I,"F-16",'Таблиця 1'!$J:$J,"MK-24")+SUMIFS('Таблиця 1'!$K:$K,'Таблиця 1'!$B:$B,$A591,'Таблиця 1'!$I:$I,"МіГ-29",'Таблиця 1'!$J:$J,"MK-24")+SUMIFS('Таблиця 1'!$K:$K,'Таблиця 1'!$B:$B,$A591,'Таблиця 1'!$I:$I,"Су-25",'Таблиця 1'!$J:$J,"MK-24")+SUMIFS('Таблиця 1'!$K:$K,'Таблиця 1'!$B:$B,$A591,'Таблиця 1'!$I:$I,"Су-27",'Таблиця 1'!$J:$J,"MK-24"))</f>
        <v/>
      </c>
      <c r="R591">
        <f>IF($A591="","",COUNTIFS('Таблиця 1'!$B:$B,$A591,'Таблиця 1'!$I:$I,"Mirage",'Таблиця 1'!$L:$L,"Уражено")+COUNTIFS('Таблиця 1'!$B:$B,$A591,'Таблиця 1'!$I:$I,"F-16",'Таблиця 1'!$L:$L,"Уражено")+COUNTIFS('Таблиця 1'!$B:$B,$A591,'Таблиця 1'!$I:$I,"МіГ-29",'Таблиця 1'!$L:$L,"Уражено")+COUNTIFS('Таблиця 1'!$B:$B,$A591,'Таблиця 1'!$I:$I,"Су-25",'Таблиця 1'!$L:$L,"Уражено")+COUNTIFS('Таблиця 1'!$B:$B,$A591,'Таблиця 1'!$I:$I,"Су-27",'Таблиця 1'!$L:$L,"Уражено"))</f>
        <v/>
      </c>
      <c r="S591">
        <f>IF($A591="","",COUNTIFS('Таблиця 1'!$B:$B,$A591,'Таблиця 1'!$I:$I,"Mirage",'Таблиця 1'!$L:$L,"НЕ уражено")+COUNTIFS('Таблиця 1'!$B:$B,$A591,'Таблиця 1'!$I:$I,"F-16",'Таблиця 1'!$L:$L,"НЕ уражено")+COUNTIFS('Таблиця 1'!$B:$B,$A591,'Таблиця 1'!$I:$I,"МіГ-29",'Таблиця 1'!$L:$L,"НЕ уражено")+COUNTIFS('Таблиця 1'!$B:$B,$A591,'Таблиця 1'!$I:$I,"Су-25",'Таблиця 1'!$L:$L,"НЕ уражено")+COUNTIFS('Таблиця 1'!$B:$B,$A591,'Таблиця 1'!$I:$I,"Су-27",'Таблиця 1'!$L:$L,"НЕ уражено"))</f>
        <v/>
      </c>
      <c r="T591">
        <f>IF($A591="","",COUNTIFS('Таблиця 1'!$B:$B,$A591,'Таблиця 1'!$I:$I,"Mirage",'Таблиця 1'!$L:$L,"Дорозвідується")+COUNTIFS('Таблиця 1'!$B:$B,$A591,'Таблиця 1'!$I:$I,"F-16",'Таблиця 1'!$L:$L,"Дорозвідується")+COUNTIFS('Таблиця 1'!$B:$B,$A591,'Таблиця 1'!$I:$I,"МіГ-29",'Таблиця 1'!$L:$L,"Дорозвідується")+COUNTIFS('Таблиця 1'!$B:$B,$A591,'Таблиця 1'!$I:$I,"Су-25",'Таблиця 1'!$L:$L,"Дорозвідується")+COUNTIFS('Таблиця 1'!$B:$B,$A591,'Таблиця 1'!$I:$I,"Су-27",'Таблиця 1'!$L:$L,"Дорозвідується"))</f>
        <v/>
      </c>
    </row>
    <row r="592">
      <c r="A592" s="273">
        <f>IF(A591="","",IF(A591+1&gt;MAX('Таблиця 1'!$B:$B),"",A591+1))</f>
        <v/>
      </c>
      <c r="B592">
        <f>IF($A592="","",COUNTIFS('Таблиця 1'!$B:$B,$A592,'Таблиця 1'!$I:$I,"Mirage")+COUNTIFS('Таблиця 1'!$B:$B,$A592,'Таблиця 1'!$I:$I,"F-16")+COUNTIFS('Таблиця 1'!$B:$B,$A592,'Таблиця 1'!$I:$I,"МіГ-29")+COUNTIFS('Таблиця 1'!$B:$B,$A592,'Таблиця 1'!$I:$I,"Су-25")+COUNTIFS('Таблиця 1'!$B:$B,$A592,'Таблиця 1'!$I:$I,"Су-27"))</f>
        <v/>
      </c>
      <c r="C592">
        <f>IF($A592="","",COUNTIFS('Таблиця 1'!$B:$B,$A592,'Таблиця 1'!$I:$I,"Mirage"))</f>
        <v/>
      </c>
      <c r="D592">
        <f>IF($A592="","",COUNTIFS('Таблиця 1'!$B:$B,$A592,'Таблиця 1'!$I:$I,"F-16"))</f>
        <v/>
      </c>
      <c r="E592">
        <f>IF($A592="","",COUNTIFS('Таблиця 1'!$B:$B,$A592,'Таблиця 1'!$I:$I,"МіГ-29"))</f>
        <v/>
      </c>
      <c r="F592">
        <f>IF($A592="","",COUNTIFS('Таблиця 1'!$B:$B,$A592,'Таблиця 1'!$I:$I,"Су-25"))</f>
        <v/>
      </c>
      <c r="G592">
        <f>IF($A592="","",COUNTIFS('Таблиця 1'!$B:$B,$A592,'Таблиця 1'!$I:$I,"Су-27"))</f>
        <v/>
      </c>
      <c r="H592">
        <f>IF($A592="","",SUMIFS('Таблиця 1'!$K:$K,'Таблиця 1'!$B:$B,$A592,'Таблиця 1'!$I:$I,"Mirage",'Таблиця 1'!$J:$J,"AGM-88")+SUMIFS('Таблиця 1'!$K:$K,'Таблиця 1'!$B:$B,$A592,'Таблиця 1'!$I:$I,"F-16",'Таблиця 1'!$J:$J,"AGM-88")+SUMIFS('Таблиця 1'!$K:$K,'Таблиця 1'!$B:$B,$A592,'Таблиця 1'!$I:$I,"МіГ-29",'Таблиця 1'!$J:$J,"AGM-88")+SUMIFS('Таблиця 1'!$K:$K,'Таблиця 1'!$B:$B,$A592,'Таблиця 1'!$I:$I,"Су-25",'Таблиця 1'!$J:$J,"AGM-88")+SUMIFS('Таблиця 1'!$K:$K,'Таблиця 1'!$B:$B,$A592,'Таблиця 1'!$I:$I,"Су-27",'Таблиця 1'!$J:$J,"AGM-88"))</f>
        <v/>
      </c>
      <c r="I592">
        <f>IF($A592="","",SUMIFS('Таблиця 1'!$K:$K,'Таблиця 1'!$B:$B,$A592,'Таблиця 1'!$I:$I,"Mirage",'Таблиця 1'!$J:$J,"AASM-250")+SUMIFS('Таблиця 1'!$K:$K,'Таблиця 1'!$B:$B,$A592,'Таблиця 1'!$I:$I,"F-16",'Таблиця 1'!$J:$J,"AASM-250")+SUMIFS('Таблиця 1'!$K:$K,'Таблиця 1'!$B:$B,$A592,'Таблиця 1'!$I:$I,"МіГ-29",'Таблиця 1'!$J:$J,"AASM-250")+SUMIFS('Таблиця 1'!$K:$K,'Таблиця 1'!$B:$B,$A592,'Таблиця 1'!$I:$I,"Су-25",'Таблиця 1'!$J:$J,"AASM-250")+SUMIFS('Таблиця 1'!$K:$K,'Таблиця 1'!$B:$B,$A592,'Таблиця 1'!$I:$I,"Су-27",'Таблиця 1'!$J:$J,"AASM-250"))</f>
        <v/>
      </c>
      <c r="J592">
        <f>IF($A592="","",SUMIFS('Таблиця 1'!$K:$K,'Таблиця 1'!$B:$B,$A592,'Таблиця 1'!$I:$I,"Mirage",'Таблиця 1'!$J:$J,"GBU-39")+SUMIFS('Таблиця 1'!$K:$K,'Таблиця 1'!$B:$B,$A592,'Таблиця 1'!$I:$I,"F-16",'Таблиця 1'!$J:$J,"GBU-39")+SUMIFS('Таблиця 1'!$K:$K,'Таблиця 1'!$B:$B,$A592,'Таблиця 1'!$I:$I,"МіГ-29",'Таблиця 1'!$J:$J,"GBU-39")+SUMIFS('Таблиця 1'!$K:$K,'Таблиця 1'!$B:$B,$A592,'Таблиця 1'!$I:$I,"Су-25",'Таблиця 1'!$J:$J,"GBU-39")+SUMIFS('Таблиця 1'!$K:$K,'Таблиця 1'!$B:$B,$A592,'Таблиця 1'!$I:$I,"Су-27",'Таблиця 1'!$J:$J,"GBU-39"))</f>
        <v/>
      </c>
      <c r="K592">
        <f>IF($A592="","",SUMIFS('Таблиця 1'!$K:$K,'Таблиця 1'!$B:$B,$A592,'Таблиця 1'!$I:$I,"Mirage",'Таблиця 1'!$J:$J,"BLU-140")+SUMIFS('Таблиця 1'!$K:$K,'Таблиця 1'!$B:$B,$A592,'Таблиця 1'!$I:$I,"F-16",'Таблиця 1'!$J:$J,"BLU-140")+SUMIFS('Таблиця 1'!$K:$K,'Таблиця 1'!$B:$B,$A592,'Таблиця 1'!$I:$I,"МіГ-29",'Таблиця 1'!$J:$J,"BLU-140")+SUMIFS('Таблиця 1'!$K:$K,'Таблиця 1'!$B:$B,$A592,'Таблиця 1'!$I:$I,"Су-25",'Таблиця 1'!$J:$J,"BLU-140")+SUMIFS('Таблиця 1'!$K:$K,'Таблиця 1'!$B:$B,$A592,'Таблиця 1'!$I:$I,"Су-27",'Таблиця 1'!$J:$J,"BLU-140"))</f>
        <v/>
      </c>
      <c r="L592">
        <f>IF($A592="","",SUMIFS('Таблиця 1'!$K:$K,'Таблиця 1'!$B:$B,$A592,'Таблиця 1'!$I:$I,"Mirage",'Таблиця 1'!$J:$J,"GBU-65")+SUMIFS('Таблиця 1'!$K:$K,'Таблиця 1'!$B:$B,$A592,'Таблиця 1'!$I:$I,"F-16",'Таблиця 1'!$J:$J,"GBU-65")+SUMIFS('Таблиця 1'!$K:$K,'Таблиця 1'!$B:$B,$A592,'Таблиця 1'!$I:$I,"МіГ-29",'Таблиця 1'!$J:$J,"GBU-65")+SUMIFS('Таблиця 1'!$K:$K,'Таблиця 1'!$B:$B,$A592,'Таблиця 1'!$I:$I,"Су-25",'Таблиця 1'!$J:$J,"GBU-65")+SUMIFS('Таблиця 1'!$K:$K,'Таблиця 1'!$B:$B,$A592,'Таблиця 1'!$I:$I,"Су-27",'Таблиця 1'!$J:$J,"GBU-65"))</f>
        <v/>
      </c>
      <c r="M592">
        <f>IF($A592="","",SUMIFS('Таблиця 1'!$K:$K,'Таблиця 1'!$B:$B,$A592,'Таблиця 1'!$I:$I,"Mirage",'Таблиця 1'!$J:$J,"GBU-62")+SUMIFS('Таблиця 1'!$K:$K,'Таблиця 1'!$B:$B,$A592,'Таблиця 1'!$I:$I,"F-16",'Таблиця 1'!$J:$J,"GBU-62")+SUMIFS('Таблиця 1'!$K:$K,'Таблиця 1'!$B:$B,$A592,'Таблиця 1'!$I:$I,"МіГ-29",'Таблиця 1'!$J:$J,"GBU-62")+SUMIFS('Таблиця 1'!$K:$K,'Таблиця 1'!$B:$B,$A592,'Таблиця 1'!$I:$I,"Су-25",'Таблиця 1'!$J:$J,"GBU-62")+SUMIFS('Таблиця 1'!$K:$K,'Таблиця 1'!$B:$B,$A592,'Таблиця 1'!$I:$I,"Су-27",'Таблиця 1'!$J:$J,"GBU-62"))</f>
        <v/>
      </c>
      <c r="N592">
        <f>IF($A592="","",SUMIFS('Таблиця 1'!$K:$K,'Таблиця 1'!$B:$B,$A592,'Таблиця 1'!$I:$I,"Mirage",'Таблиця 1'!$J:$J,"GBU-64")+SUMIFS('Таблиця 1'!$K:$K,'Таблиця 1'!$B:$B,$A592,'Таблиця 1'!$I:$I,"F-16",'Таблиця 1'!$J:$J,"GBU-64")+SUMIFS('Таблиця 1'!$K:$K,'Таблиця 1'!$B:$B,$A592,'Таблиця 1'!$I:$I,"МіГ-29",'Таблиця 1'!$J:$J,"GBU-64")+SUMIFS('Таблиця 1'!$K:$K,'Таблиця 1'!$B:$B,$A592,'Таблиця 1'!$I:$I,"Су-25",'Таблиця 1'!$J:$J,"GBU-64")+SUMIFS('Таблиця 1'!$K:$K,'Таблиця 1'!$B:$B,$A592,'Таблиця 1'!$I:$I,"Су-27",'Таблиця 1'!$J:$J,"GBU-64"))</f>
        <v/>
      </c>
      <c r="O592">
        <f>IF($A592="","",SUMIFS('Таблиця 1'!$K:$K,'Таблиця 1'!$B:$B,$A592,'Таблиця 1'!$I:$I,"Mirage",'Таблиця 1'!$J:$J,"C-13")+SUMIFS('Таблиця 1'!$K:$K,'Таблиця 1'!$B:$B,$A592,'Таблиця 1'!$I:$I,"F-16",'Таблиця 1'!$J:$J,"C-13")+SUMIFS('Таблиця 1'!$K:$K,'Таблиця 1'!$B:$B,$A592,'Таблиця 1'!$I:$I,"МіГ-29",'Таблиця 1'!$J:$J,"C-13")+SUMIFS('Таблиця 1'!$K:$K,'Таблиця 1'!$B:$B,$A592,'Таблиця 1'!$I:$I,"Су-25",'Таблиця 1'!$J:$J,"C-13")+SUMIFS('Таблиця 1'!$K:$K,'Таблиця 1'!$B:$B,$A592,'Таблиця 1'!$I:$I,"Су-27",'Таблиця 1'!$J:$J,"C-13"))</f>
        <v/>
      </c>
      <c r="P592">
        <f>IF($A592="","",SUMIFS('Таблиця 1'!$K:$K,'Таблиця 1'!$B:$B,$A592,'Таблиця 1'!$I:$I,"Mirage",'Таблиця 1'!$J:$J,"MK-32")+SUMIFS('Таблиця 1'!$K:$K,'Таблиця 1'!$B:$B,$A592,'Таблиця 1'!$I:$I,"F-16",'Таблиця 1'!$J:$J,"MK-32")+SUMIFS('Таблиця 1'!$K:$K,'Таблиця 1'!$B:$B,$A592,'Таблиця 1'!$I:$I,"МіГ-29",'Таблиця 1'!$J:$J,"MK-32")+SUMIFS('Таблиця 1'!$K:$K,'Таблиця 1'!$B:$B,$A592,'Таблиця 1'!$I:$I,"Су-25",'Таблиця 1'!$J:$J,"MK-32")+SUMIFS('Таблиця 1'!$K:$K,'Таблиця 1'!$B:$B,$A592,'Таблиця 1'!$I:$I,"Су-27",'Таблиця 1'!$J:$J,"MK-32"))</f>
        <v/>
      </c>
      <c r="Q592">
        <f>IF($A592="","",SUMIFS('Таблиця 1'!$K:$K,'Таблиця 1'!$B:$B,$A592,'Таблиця 1'!$I:$I,"Mirage",'Таблиця 1'!$J:$J,"MK-24")+SUMIFS('Таблиця 1'!$K:$K,'Таблиця 1'!$B:$B,$A592,'Таблиця 1'!$I:$I,"F-16",'Таблиця 1'!$J:$J,"MK-24")+SUMIFS('Таблиця 1'!$K:$K,'Таблиця 1'!$B:$B,$A592,'Таблиця 1'!$I:$I,"МіГ-29",'Таблиця 1'!$J:$J,"MK-24")+SUMIFS('Таблиця 1'!$K:$K,'Таблиця 1'!$B:$B,$A592,'Таблиця 1'!$I:$I,"Су-25",'Таблиця 1'!$J:$J,"MK-24")+SUMIFS('Таблиця 1'!$K:$K,'Таблиця 1'!$B:$B,$A592,'Таблиця 1'!$I:$I,"Су-27",'Таблиця 1'!$J:$J,"MK-24"))</f>
        <v/>
      </c>
      <c r="R592">
        <f>IF($A592="","",COUNTIFS('Таблиця 1'!$B:$B,$A592,'Таблиця 1'!$I:$I,"Mirage",'Таблиця 1'!$L:$L,"Уражено")+COUNTIFS('Таблиця 1'!$B:$B,$A592,'Таблиця 1'!$I:$I,"F-16",'Таблиця 1'!$L:$L,"Уражено")+COUNTIFS('Таблиця 1'!$B:$B,$A592,'Таблиця 1'!$I:$I,"МіГ-29",'Таблиця 1'!$L:$L,"Уражено")+COUNTIFS('Таблиця 1'!$B:$B,$A592,'Таблиця 1'!$I:$I,"Су-25",'Таблиця 1'!$L:$L,"Уражено")+COUNTIFS('Таблиця 1'!$B:$B,$A592,'Таблиця 1'!$I:$I,"Су-27",'Таблиця 1'!$L:$L,"Уражено"))</f>
        <v/>
      </c>
      <c r="S592">
        <f>IF($A592="","",COUNTIFS('Таблиця 1'!$B:$B,$A592,'Таблиця 1'!$I:$I,"Mirage",'Таблиця 1'!$L:$L,"НЕ уражено")+COUNTIFS('Таблиця 1'!$B:$B,$A592,'Таблиця 1'!$I:$I,"F-16",'Таблиця 1'!$L:$L,"НЕ уражено")+COUNTIFS('Таблиця 1'!$B:$B,$A592,'Таблиця 1'!$I:$I,"МіГ-29",'Таблиця 1'!$L:$L,"НЕ уражено")+COUNTIFS('Таблиця 1'!$B:$B,$A592,'Таблиця 1'!$I:$I,"Су-25",'Таблиця 1'!$L:$L,"НЕ уражено")+COUNTIFS('Таблиця 1'!$B:$B,$A592,'Таблиця 1'!$I:$I,"Су-27",'Таблиця 1'!$L:$L,"НЕ уражено"))</f>
        <v/>
      </c>
      <c r="T592">
        <f>IF($A592="","",COUNTIFS('Таблиця 1'!$B:$B,$A592,'Таблиця 1'!$I:$I,"Mirage",'Таблиця 1'!$L:$L,"Дорозвідується")+COUNTIFS('Таблиця 1'!$B:$B,$A592,'Таблиця 1'!$I:$I,"F-16",'Таблиця 1'!$L:$L,"Дорозвідується")+COUNTIFS('Таблиця 1'!$B:$B,$A592,'Таблиця 1'!$I:$I,"МіГ-29",'Таблиця 1'!$L:$L,"Дорозвідується")+COUNTIFS('Таблиця 1'!$B:$B,$A592,'Таблиця 1'!$I:$I,"Су-25",'Таблиця 1'!$L:$L,"Дорозвідується")+COUNTIFS('Таблиця 1'!$B:$B,$A592,'Таблиця 1'!$I:$I,"Су-27",'Таблиця 1'!$L:$L,"Дорозвідується"))</f>
        <v/>
      </c>
    </row>
    <row r="593">
      <c r="A593" s="273">
        <f>IF(A592="","",IF(A592+1&gt;MAX('Таблиця 1'!$B:$B),"",A592+1))</f>
        <v/>
      </c>
      <c r="B593">
        <f>IF($A593="","",COUNTIFS('Таблиця 1'!$B:$B,$A593,'Таблиця 1'!$I:$I,"Mirage")+COUNTIFS('Таблиця 1'!$B:$B,$A593,'Таблиця 1'!$I:$I,"F-16")+COUNTIFS('Таблиця 1'!$B:$B,$A593,'Таблиця 1'!$I:$I,"МіГ-29")+COUNTIFS('Таблиця 1'!$B:$B,$A593,'Таблиця 1'!$I:$I,"Су-25")+COUNTIFS('Таблиця 1'!$B:$B,$A593,'Таблиця 1'!$I:$I,"Су-27"))</f>
        <v/>
      </c>
      <c r="C593">
        <f>IF($A593="","",COUNTIFS('Таблиця 1'!$B:$B,$A593,'Таблиця 1'!$I:$I,"Mirage"))</f>
        <v/>
      </c>
      <c r="D593">
        <f>IF($A593="","",COUNTIFS('Таблиця 1'!$B:$B,$A593,'Таблиця 1'!$I:$I,"F-16"))</f>
        <v/>
      </c>
      <c r="E593">
        <f>IF($A593="","",COUNTIFS('Таблиця 1'!$B:$B,$A593,'Таблиця 1'!$I:$I,"МіГ-29"))</f>
        <v/>
      </c>
      <c r="F593">
        <f>IF($A593="","",COUNTIFS('Таблиця 1'!$B:$B,$A593,'Таблиця 1'!$I:$I,"Су-25"))</f>
        <v/>
      </c>
      <c r="G593">
        <f>IF($A593="","",COUNTIFS('Таблиця 1'!$B:$B,$A593,'Таблиця 1'!$I:$I,"Су-27"))</f>
        <v/>
      </c>
      <c r="H593">
        <f>IF($A593="","",SUMIFS('Таблиця 1'!$K:$K,'Таблиця 1'!$B:$B,$A593,'Таблиця 1'!$I:$I,"Mirage",'Таблиця 1'!$J:$J,"AGM-88")+SUMIFS('Таблиця 1'!$K:$K,'Таблиця 1'!$B:$B,$A593,'Таблиця 1'!$I:$I,"F-16",'Таблиця 1'!$J:$J,"AGM-88")+SUMIFS('Таблиця 1'!$K:$K,'Таблиця 1'!$B:$B,$A593,'Таблиця 1'!$I:$I,"МіГ-29",'Таблиця 1'!$J:$J,"AGM-88")+SUMIFS('Таблиця 1'!$K:$K,'Таблиця 1'!$B:$B,$A593,'Таблиця 1'!$I:$I,"Су-25",'Таблиця 1'!$J:$J,"AGM-88")+SUMIFS('Таблиця 1'!$K:$K,'Таблиця 1'!$B:$B,$A593,'Таблиця 1'!$I:$I,"Су-27",'Таблиця 1'!$J:$J,"AGM-88"))</f>
        <v/>
      </c>
      <c r="I593">
        <f>IF($A593="","",SUMIFS('Таблиця 1'!$K:$K,'Таблиця 1'!$B:$B,$A593,'Таблиця 1'!$I:$I,"Mirage",'Таблиця 1'!$J:$J,"AASM-250")+SUMIFS('Таблиця 1'!$K:$K,'Таблиця 1'!$B:$B,$A593,'Таблиця 1'!$I:$I,"F-16",'Таблиця 1'!$J:$J,"AASM-250")+SUMIFS('Таблиця 1'!$K:$K,'Таблиця 1'!$B:$B,$A593,'Таблиця 1'!$I:$I,"МіГ-29",'Таблиця 1'!$J:$J,"AASM-250")+SUMIFS('Таблиця 1'!$K:$K,'Таблиця 1'!$B:$B,$A593,'Таблиця 1'!$I:$I,"Су-25",'Таблиця 1'!$J:$J,"AASM-250")+SUMIFS('Таблиця 1'!$K:$K,'Таблиця 1'!$B:$B,$A593,'Таблиця 1'!$I:$I,"Су-27",'Таблиця 1'!$J:$J,"AASM-250"))</f>
        <v/>
      </c>
      <c r="J593">
        <f>IF($A593="","",SUMIFS('Таблиця 1'!$K:$K,'Таблиця 1'!$B:$B,$A593,'Таблиця 1'!$I:$I,"Mirage",'Таблиця 1'!$J:$J,"GBU-39")+SUMIFS('Таблиця 1'!$K:$K,'Таблиця 1'!$B:$B,$A593,'Таблиця 1'!$I:$I,"F-16",'Таблиця 1'!$J:$J,"GBU-39")+SUMIFS('Таблиця 1'!$K:$K,'Таблиця 1'!$B:$B,$A593,'Таблиця 1'!$I:$I,"МіГ-29",'Таблиця 1'!$J:$J,"GBU-39")+SUMIFS('Таблиця 1'!$K:$K,'Таблиця 1'!$B:$B,$A593,'Таблиця 1'!$I:$I,"Су-25",'Таблиця 1'!$J:$J,"GBU-39")+SUMIFS('Таблиця 1'!$K:$K,'Таблиця 1'!$B:$B,$A593,'Таблиця 1'!$I:$I,"Су-27",'Таблиця 1'!$J:$J,"GBU-39"))</f>
        <v/>
      </c>
      <c r="K593">
        <f>IF($A593="","",SUMIFS('Таблиця 1'!$K:$K,'Таблиця 1'!$B:$B,$A593,'Таблиця 1'!$I:$I,"Mirage",'Таблиця 1'!$J:$J,"BLU-140")+SUMIFS('Таблиця 1'!$K:$K,'Таблиця 1'!$B:$B,$A593,'Таблиця 1'!$I:$I,"F-16",'Таблиця 1'!$J:$J,"BLU-140")+SUMIFS('Таблиця 1'!$K:$K,'Таблиця 1'!$B:$B,$A593,'Таблиця 1'!$I:$I,"МіГ-29",'Таблиця 1'!$J:$J,"BLU-140")+SUMIFS('Таблиця 1'!$K:$K,'Таблиця 1'!$B:$B,$A593,'Таблиця 1'!$I:$I,"Су-25",'Таблиця 1'!$J:$J,"BLU-140")+SUMIFS('Таблиця 1'!$K:$K,'Таблиця 1'!$B:$B,$A593,'Таблиця 1'!$I:$I,"Су-27",'Таблиця 1'!$J:$J,"BLU-140"))</f>
        <v/>
      </c>
      <c r="L593">
        <f>IF($A593="","",SUMIFS('Таблиця 1'!$K:$K,'Таблиця 1'!$B:$B,$A593,'Таблиця 1'!$I:$I,"Mirage",'Таблиця 1'!$J:$J,"GBU-65")+SUMIFS('Таблиця 1'!$K:$K,'Таблиця 1'!$B:$B,$A593,'Таблиця 1'!$I:$I,"F-16",'Таблиця 1'!$J:$J,"GBU-65")+SUMIFS('Таблиця 1'!$K:$K,'Таблиця 1'!$B:$B,$A593,'Таблиця 1'!$I:$I,"МіГ-29",'Таблиця 1'!$J:$J,"GBU-65")+SUMIFS('Таблиця 1'!$K:$K,'Таблиця 1'!$B:$B,$A593,'Таблиця 1'!$I:$I,"Су-25",'Таблиця 1'!$J:$J,"GBU-65")+SUMIFS('Таблиця 1'!$K:$K,'Таблиця 1'!$B:$B,$A593,'Таблиця 1'!$I:$I,"Су-27",'Таблиця 1'!$J:$J,"GBU-65"))</f>
        <v/>
      </c>
      <c r="M593">
        <f>IF($A593="","",SUMIFS('Таблиця 1'!$K:$K,'Таблиця 1'!$B:$B,$A593,'Таблиця 1'!$I:$I,"Mirage",'Таблиця 1'!$J:$J,"GBU-62")+SUMIFS('Таблиця 1'!$K:$K,'Таблиця 1'!$B:$B,$A593,'Таблиця 1'!$I:$I,"F-16",'Таблиця 1'!$J:$J,"GBU-62")+SUMIFS('Таблиця 1'!$K:$K,'Таблиця 1'!$B:$B,$A593,'Таблиця 1'!$I:$I,"МіГ-29",'Таблиця 1'!$J:$J,"GBU-62")+SUMIFS('Таблиця 1'!$K:$K,'Таблиця 1'!$B:$B,$A593,'Таблиця 1'!$I:$I,"Су-25",'Таблиця 1'!$J:$J,"GBU-62")+SUMIFS('Таблиця 1'!$K:$K,'Таблиця 1'!$B:$B,$A593,'Таблиця 1'!$I:$I,"Су-27",'Таблиця 1'!$J:$J,"GBU-62"))</f>
        <v/>
      </c>
      <c r="N593">
        <f>IF($A593="","",SUMIFS('Таблиця 1'!$K:$K,'Таблиця 1'!$B:$B,$A593,'Таблиця 1'!$I:$I,"Mirage",'Таблиця 1'!$J:$J,"GBU-64")+SUMIFS('Таблиця 1'!$K:$K,'Таблиця 1'!$B:$B,$A593,'Таблиця 1'!$I:$I,"F-16",'Таблиця 1'!$J:$J,"GBU-64")+SUMIFS('Таблиця 1'!$K:$K,'Таблиця 1'!$B:$B,$A593,'Таблиця 1'!$I:$I,"МіГ-29",'Таблиця 1'!$J:$J,"GBU-64")+SUMIFS('Таблиця 1'!$K:$K,'Таблиця 1'!$B:$B,$A593,'Таблиця 1'!$I:$I,"Су-25",'Таблиця 1'!$J:$J,"GBU-64")+SUMIFS('Таблиця 1'!$K:$K,'Таблиця 1'!$B:$B,$A593,'Таблиця 1'!$I:$I,"Су-27",'Таблиця 1'!$J:$J,"GBU-64"))</f>
        <v/>
      </c>
      <c r="O593">
        <f>IF($A593="","",SUMIFS('Таблиця 1'!$K:$K,'Таблиця 1'!$B:$B,$A593,'Таблиця 1'!$I:$I,"Mirage",'Таблиця 1'!$J:$J,"C-13")+SUMIFS('Таблиця 1'!$K:$K,'Таблиця 1'!$B:$B,$A593,'Таблиця 1'!$I:$I,"F-16",'Таблиця 1'!$J:$J,"C-13")+SUMIFS('Таблиця 1'!$K:$K,'Таблиця 1'!$B:$B,$A593,'Таблиця 1'!$I:$I,"МіГ-29",'Таблиця 1'!$J:$J,"C-13")+SUMIFS('Таблиця 1'!$K:$K,'Таблиця 1'!$B:$B,$A593,'Таблиця 1'!$I:$I,"Су-25",'Таблиця 1'!$J:$J,"C-13")+SUMIFS('Таблиця 1'!$K:$K,'Таблиця 1'!$B:$B,$A593,'Таблиця 1'!$I:$I,"Су-27",'Таблиця 1'!$J:$J,"C-13"))</f>
        <v/>
      </c>
      <c r="P593">
        <f>IF($A593="","",SUMIFS('Таблиця 1'!$K:$K,'Таблиця 1'!$B:$B,$A593,'Таблиця 1'!$I:$I,"Mirage",'Таблиця 1'!$J:$J,"MK-32")+SUMIFS('Таблиця 1'!$K:$K,'Таблиця 1'!$B:$B,$A593,'Таблиця 1'!$I:$I,"F-16",'Таблиця 1'!$J:$J,"MK-32")+SUMIFS('Таблиця 1'!$K:$K,'Таблиця 1'!$B:$B,$A593,'Таблиця 1'!$I:$I,"МіГ-29",'Таблиця 1'!$J:$J,"MK-32")+SUMIFS('Таблиця 1'!$K:$K,'Таблиця 1'!$B:$B,$A593,'Таблиця 1'!$I:$I,"Су-25",'Таблиця 1'!$J:$J,"MK-32")+SUMIFS('Таблиця 1'!$K:$K,'Таблиця 1'!$B:$B,$A593,'Таблиця 1'!$I:$I,"Су-27",'Таблиця 1'!$J:$J,"MK-32"))</f>
        <v/>
      </c>
      <c r="Q593">
        <f>IF($A593="","",SUMIFS('Таблиця 1'!$K:$K,'Таблиця 1'!$B:$B,$A593,'Таблиця 1'!$I:$I,"Mirage",'Таблиця 1'!$J:$J,"MK-24")+SUMIFS('Таблиця 1'!$K:$K,'Таблиця 1'!$B:$B,$A593,'Таблиця 1'!$I:$I,"F-16",'Таблиця 1'!$J:$J,"MK-24")+SUMIFS('Таблиця 1'!$K:$K,'Таблиця 1'!$B:$B,$A593,'Таблиця 1'!$I:$I,"МіГ-29",'Таблиця 1'!$J:$J,"MK-24")+SUMIFS('Таблиця 1'!$K:$K,'Таблиця 1'!$B:$B,$A593,'Таблиця 1'!$I:$I,"Су-25",'Таблиця 1'!$J:$J,"MK-24")+SUMIFS('Таблиця 1'!$K:$K,'Таблиця 1'!$B:$B,$A593,'Таблиця 1'!$I:$I,"Су-27",'Таблиця 1'!$J:$J,"MK-24"))</f>
        <v/>
      </c>
      <c r="R593">
        <f>IF($A593="","",COUNTIFS('Таблиця 1'!$B:$B,$A593,'Таблиця 1'!$I:$I,"Mirage",'Таблиця 1'!$L:$L,"Уражено")+COUNTIFS('Таблиця 1'!$B:$B,$A593,'Таблиця 1'!$I:$I,"F-16",'Таблиця 1'!$L:$L,"Уражено")+COUNTIFS('Таблиця 1'!$B:$B,$A593,'Таблиця 1'!$I:$I,"МіГ-29",'Таблиця 1'!$L:$L,"Уражено")+COUNTIFS('Таблиця 1'!$B:$B,$A593,'Таблиця 1'!$I:$I,"Су-25",'Таблиця 1'!$L:$L,"Уражено")+COUNTIFS('Таблиця 1'!$B:$B,$A593,'Таблиця 1'!$I:$I,"Су-27",'Таблиця 1'!$L:$L,"Уражено"))</f>
        <v/>
      </c>
      <c r="S593">
        <f>IF($A593="","",COUNTIFS('Таблиця 1'!$B:$B,$A593,'Таблиця 1'!$I:$I,"Mirage",'Таблиця 1'!$L:$L,"НЕ уражено")+COUNTIFS('Таблиця 1'!$B:$B,$A593,'Таблиця 1'!$I:$I,"F-16",'Таблиця 1'!$L:$L,"НЕ уражено")+COUNTIFS('Таблиця 1'!$B:$B,$A593,'Таблиця 1'!$I:$I,"МіГ-29",'Таблиця 1'!$L:$L,"НЕ уражено")+COUNTIFS('Таблиця 1'!$B:$B,$A593,'Таблиця 1'!$I:$I,"Су-25",'Таблиця 1'!$L:$L,"НЕ уражено")+COUNTIFS('Таблиця 1'!$B:$B,$A593,'Таблиця 1'!$I:$I,"Су-27",'Таблиця 1'!$L:$L,"НЕ уражено"))</f>
        <v/>
      </c>
      <c r="T593">
        <f>IF($A593="","",COUNTIFS('Таблиця 1'!$B:$B,$A593,'Таблиця 1'!$I:$I,"Mirage",'Таблиця 1'!$L:$L,"Дорозвідується")+COUNTIFS('Таблиця 1'!$B:$B,$A593,'Таблиця 1'!$I:$I,"F-16",'Таблиця 1'!$L:$L,"Дорозвідується")+COUNTIFS('Таблиця 1'!$B:$B,$A593,'Таблиця 1'!$I:$I,"МіГ-29",'Таблиця 1'!$L:$L,"Дорозвідується")+COUNTIFS('Таблиця 1'!$B:$B,$A593,'Таблиця 1'!$I:$I,"Су-25",'Таблиця 1'!$L:$L,"Дорозвідується")+COUNTIFS('Таблиця 1'!$B:$B,$A593,'Таблиця 1'!$I:$I,"Су-27",'Таблиця 1'!$L:$L,"Дорозвідується"))</f>
        <v/>
      </c>
    </row>
    <row r="594">
      <c r="A594" s="273">
        <f>IF(A593="","",IF(A593+1&gt;MAX('Таблиця 1'!$B:$B),"",A593+1))</f>
        <v/>
      </c>
      <c r="B594">
        <f>IF($A594="","",COUNTIFS('Таблиця 1'!$B:$B,$A594,'Таблиця 1'!$I:$I,"Mirage")+COUNTIFS('Таблиця 1'!$B:$B,$A594,'Таблиця 1'!$I:$I,"F-16")+COUNTIFS('Таблиця 1'!$B:$B,$A594,'Таблиця 1'!$I:$I,"МіГ-29")+COUNTIFS('Таблиця 1'!$B:$B,$A594,'Таблиця 1'!$I:$I,"Су-25")+COUNTIFS('Таблиця 1'!$B:$B,$A594,'Таблиця 1'!$I:$I,"Су-27"))</f>
        <v/>
      </c>
      <c r="C594">
        <f>IF($A594="","",COUNTIFS('Таблиця 1'!$B:$B,$A594,'Таблиця 1'!$I:$I,"Mirage"))</f>
        <v/>
      </c>
      <c r="D594">
        <f>IF($A594="","",COUNTIFS('Таблиця 1'!$B:$B,$A594,'Таблиця 1'!$I:$I,"F-16"))</f>
        <v/>
      </c>
      <c r="E594">
        <f>IF($A594="","",COUNTIFS('Таблиця 1'!$B:$B,$A594,'Таблиця 1'!$I:$I,"МіГ-29"))</f>
        <v/>
      </c>
      <c r="F594">
        <f>IF($A594="","",COUNTIFS('Таблиця 1'!$B:$B,$A594,'Таблиця 1'!$I:$I,"Су-25"))</f>
        <v/>
      </c>
      <c r="G594">
        <f>IF($A594="","",COUNTIFS('Таблиця 1'!$B:$B,$A594,'Таблиця 1'!$I:$I,"Су-27"))</f>
        <v/>
      </c>
      <c r="H594">
        <f>IF($A594="","",SUMIFS('Таблиця 1'!$K:$K,'Таблиця 1'!$B:$B,$A594,'Таблиця 1'!$I:$I,"Mirage",'Таблиця 1'!$J:$J,"AGM-88")+SUMIFS('Таблиця 1'!$K:$K,'Таблиця 1'!$B:$B,$A594,'Таблиця 1'!$I:$I,"F-16",'Таблиця 1'!$J:$J,"AGM-88")+SUMIFS('Таблиця 1'!$K:$K,'Таблиця 1'!$B:$B,$A594,'Таблиця 1'!$I:$I,"МіГ-29",'Таблиця 1'!$J:$J,"AGM-88")+SUMIFS('Таблиця 1'!$K:$K,'Таблиця 1'!$B:$B,$A594,'Таблиця 1'!$I:$I,"Су-25",'Таблиця 1'!$J:$J,"AGM-88")+SUMIFS('Таблиця 1'!$K:$K,'Таблиця 1'!$B:$B,$A594,'Таблиця 1'!$I:$I,"Су-27",'Таблиця 1'!$J:$J,"AGM-88"))</f>
        <v/>
      </c>
      <c r="I594">
        <f>IF($A594="","",SUMIFS('Таблиця 1'!$K:$K,'Таблиця 1'!$B:$B,$A594,'Таблиця 1'!$I:$I,"Mirage",'Таблиця 1'!$J:$J,"AASM-250")+SUMIFS('Таблиця 1'!$K:$K,'Таблиця 1'!$B:$B,$A594,'Таблиця 1'!$I:$I,"F-16",'Таблиця 1'!$J:$J,"AASM-250")+SUMIFS('Таблиця 1'!$K:$K,'Таблиця 1'!$B:$B,$A594,'Таблиця 1'!$I:$I,"МіГ-29",'Таблиця 1'!$J:$J,"AASM-250")+SUMIFS('Таблиця 1'!$K:$K,'Таблиця 1'!$B:$B,$A594,'Таблиця 1'!$I:$I,"Су-25",'Таблиця 1'!$J:$J,"AASM-250")+SUMIFS('Таблиця 1'!$K:$K,'Таблиця 1'!$B:$B,$A594,'Таблиця 1'!$I:$I,"Су-27",'Таблиця 1'!$J:$J,"AASM-250"))</f>
        <v/>
      </c>
      <c r="J594">
        <f>IF($A594="","",SUMIFS('Таблиця 1'!$K:$K,'Таблиця 1'!$B:$B,$A594,'Таблиця 1'!$I:$I,"Mirage",'Таблиця 1'!$J:$J,"GBU-39")+SUMIFS('Таблиця 1'!$K:$K,'Таблиця 1'!$B:$B,$A594,'Таблиця 1'!$I:$I,"F-16",'Таблиця 1'!$J:$J,"GBU-39")+SUMIFS('Таблиця 1'!$K:$K,'Таблиця 1'!$B:$B,$A594,'Таблиця 1'!$I:$I,"МіГ-29",'Таблиця 1'!$J:$J,"GBU-39")+SUMIFS('Таблиця 1'!$K:$K,'Таблиця 1'!$B:$B,$A594,'Таблиця 1'!$I:$I,"Су-25",'Таблиця 1'!$J:$J,"GBU-39")+SUMIFS('Таблиця 1'!$K:$K,'Таблиця 1'!$B:$B,$A594,'Таблиця 1'!$I:$I,"Су-27",'Таблиця 1'!$J:$J,"GBU-39"))</f>
        <v/>
      </c>
      <c r="K594">
        <f>IF($A594="","",SUMIFS('Таблиця 1'!$K:$K,'Таблиця 1'!$B:$B,$A594,'Таблиця 1'!$I:$I,"Mirage",'Таблиця 1'!$J:$J,"BLU-140")+SUMIFS('Таблиця 1'!$K:$K,'Таблиця 1'!$B:$B,$A594,'Таблиця 1'!$I:$I,"F-16",'Таблиця 1'!$J:$J,"BLU-140")+SUMIFS('Таблиця 1'!$K:$K,'Таблиця 1'!$B:$B,$A594,'Таблиця 1'!$I:$I,"МіГ-29",'Таблиця 1'!$J:$J,"BLU-140")+SUMIFS('Таблиця 1'!$K:$K,'Таблиця 1'!$B:$B,$A594,'Таблиця 1'!$I:$I,"Су-25",'Таблиця 1'!$J:$J,"BLU-140")+SUMIFS('Таблиця 1'!$K:$K,'Таблиця 1'!$B:$B,$A594,'Таблиця 1'!$I:$I,"Су-27",'Таблиця 1'!$J:$J,"BLU-140"))</f>
        <v/>
      </c>
      <c r="L594">
        <f>IF($A594="","",SUMIFS('Таблиця 1'!$K:$K,'Таблиця 1'!$B:$B,$A594,'Таблиця 1'!$I:$I,"Mirage",'Таблиця 1'!$J:$J,"GBU-65")+SUMIFS('Таблиця 1'!$K:$K,'Таблиця 1'!$B:$B,$A594,'Таблиця 1'!$I:$I,"F-16",'Таблиця 1'!$J:$J,"GBU-65")+SUMIFS('Таблиця 1'!$K:$K,'Таблиця 1'!$B:$B,$A594,'Таблиця 1'!$I:$I,"МіГ-29",'Таблиця 1'!$J:$J,"GBU-65")+SUMIFS('Таблиця 1'!$K:$K,'Таблиця 1'!$B:$B,$A594,'Таблиця 1'!$I:$I,"Су-25",'Таблиця 1'!$J:$J,"GBU-65")+SUMIFS('Таблиця 1'!$K:$K,'Таблиця 1'!$B:$B,$A594,'Таблиця 1'!$I:$I,"Су-27",'Таблиця 1'!$J:$J,"GBU-65"))</f>
        <v/>
      </c>
      <c r="M594">
        <f>IF($A594="","",SUMIFS('Таблиця 1'!$K:$K,'Таблиця 1'!$B:$B,$A594,'Таблиця 1'!$I:$I,"Mirage",'Таблиця 1'!$J:$J,"GBU-62")+SUMIFS('Таблиця 1'!$K:$K,'Таблиця 1'!$B:$B,$A594,'Таблиця 1'!$I:$I,"F-16",'Таблиця 1'!$J:$J,"GBU-62")+SUMIFS('Таблиця 1'!$K:$K,'Таблиця 1'!$B:$B,$A594,'Таблиця 1'!$I:$I,"МіГ-29",'Таблиця 1'!$J:$J,"GBU-62")+SUMIFS('Таблиця 1'!$K:$K,'Таблиця 1'!$B:$B,$A594,'Таблиця 1'!$I:$I,"Су-25",'Таблиця 1'!$J:$J,"GBU-62")+SUMIFS('Таблиця 1'!$K:$K,'Таблиця 1'!$B:$B,$A594,'Таблиця 1'!$I:$I,"Су-27",'Таблиця 1'!$J:$J,"GBU-62"))</f>
        <v/>
      </c>
      <c r="N594">
        <f>IF($A594="","",SUMIFS('Таблиця 1'!$K:$K,'Таблиця 1'!$B:$B,$A594,'Таблиця 1'!$I:$I,"Mirage",'Таблиця 1'!$J:$J,"GBU-64")+SUMIFS('Таблиця 1'!$K:$K,'Таблиця 1'!$B:$B,$A594,'Таблиця 1'!$I:$I,"F-16",'Таблиця 1'!$J:$J,"GBU-64")+SUMIFS('Таблиця 1'!$K:$K,'Таблиця 1'!$B:$B,$A594,'Таблиця 1'!$I:$I,"МіГ-29",'Таблиця 1'!$J:$J,"GBU-64")+SUMIFS('Таблиця 1'!$K:$K,'Таблиця 1'!$B:$B,$A594,'Таблиця 1'!$I:$I,"Су-25",'Таблиця 1'!$J:$J,"GBU-64")+SUMIFS('Таблиця 1'!$K:$K,'Таблиця 1'!$B:$B,$A594,'Таблиця 1'!$I:$I,"Су-27",'Таблиця 1'!$J:$J,"GBU-64"))</f>
        <v/>
      </c>
      <c r="O594">
        <f>IF($A594="","",SUMIFS('Таблиця 1'!$K:$K,'Таблиця 1'!$B:$B,$A594,'Таблиця 1'!$I:$I,"Mirage",'Таблиця 1'!$J:$J,"C-13")+SUMIFS('Таблиця 1'!$K:$K,'Таблиця 1'!$B:$B,$A594,'Таблиця 1'!$I:$I,"F-16",'Таблиця 1'!$J:$J,"C-13")+SUMIFS('Таблиця 1'!$K:$K,'Таблиця 1'!$B:$B,$A594,'Таблиця 1'!$I:$I,"МіГ-29",'Таблиця 1'!$J:$J,"C-13")+SUMIFS('Таблиця 1'!$K:$K,'Таблиця 1'!$B:$B,$A594,'Таблиця 1'!$I:$I,"Су-25",'Таблиця 1'!$J:$J,"C-13")+SUMIFS('Таблиця 1'!$K:$K,'Таблиця 1'!$B:$B,$A594,'Таблиця 1'!$I:$I,"Су-27",'Таблиця 1'!$J:$J,"C-13"))</f>
        <v/>
      </c>
      <c r="P594">
        <f>IF($A594="","",SUMIFS('Таблиця 1'!$K:$K,'Таблиця 1'!$B:$B,$A594,'Таблиця 1'!$I:$I,"Mirage",'Таблиця 1'!$J:$J,"MK-32")+SUMIFS('Таблиця 1'!$K:$K,'Таблиця 1'!$B:$B,$A594,'Таблиця 1'!$I:$I,"F-16",'Таблиця 1'!$J:$J,"MK-32")+SUMIFS('Таблиця 1'!$K:$K,'Таблиця 1'!$B:$B,$A594,'Таблиця 1'!$I:$I,"МіГ-29",'Таблиця 1'!$J:$J,"MK-32")+SUMIFS('Таблиця 1'!$K:$K,'Таблиця 1'!$B:$B,$A594,'Таблиця 1'!$I:$I,"Су-25",'Таблиця 1'!$J:$J,"MK-32")+SUMIFS('Таблиця 1'!$K:$K,'Таблиця 1'!$B:$B,$A594,'Таблиця 1'!$I:$I,"Су-27",'Таблиця 1'!$J:$J,"MK-32"))</f>
        <v/>
      </c>
      <c r="Q594">
        <f>IF($A594="","",SUMIFS('Таблиця 1'!$K:$K,'Таблиця 1'!$B:$B,$A594,'Таблиця 1'!$I:$I,"Mirage",'Таблиця 1'!$J:$J,"MK-24")+SUMIFS('Таблиця 1'!$K:$K,'Таблиця 1'!$B:$B,$A594,'Таблиця 1'!$I:$I,"F-16",'Таблиця 1'!$J:$J,"MK-24")+SUMIFS('Таблиця 1'!$K:$K,'Таблиця 1'!$B:$B,$A594,'Таблиця 1'!$I:$I,"МіГ-29",'Таблиця 1'!$J:$J,"MK-24")+SUMIFS('Таблиця 1'!$K:$K,'Таблиця 1'!$B:$B,$A594,'Таблиця 1'!$I:$I,"Су-25",'Таблиця 1'!$J:$J,"MK-24")+SUMIFS('Таблиця 1'!$K:$K,'Таблиця 1'!$B:$B,$A594,'Таблиця 1'!$I:$I,"Су-27",'Таблиця 1'!$J:$J,"MK-24"))</f>
        <v/>
      </c>
      <c r="R594">
        <f>IF($A594="","",COUNTIFS('Таблиця 1'!$B:$B,$A594,'Таблиця 1'!$I:$I,"Mirage",'Таблиця 1'!$L:$L,"Уражено")+COUNTIFS('Таблиця 1'!$B:$B,$A594,'Таблиця 1'!$I:$I,"F-16",'Таблиця 1'!$L:$L,"Уражено")+COUNTIFS('Таблиця 1'!$B:$B,$A594,'Таблиця 1'!$I:$I,"МіГ-29",'Таблиця 1'!$L:$L,"Уражено")+COUNTIFS('Таблиця 1'!$B:$B,$A594,'Таблиця 1'!$I:$I,"Су-25",'Таблиця 1'!$L:$L,"Уражено")+COUNTIFS('Таблиця 1'!$B:$B,$A594,'Таблиця 1'!$I:$I,"Су-27",'Таблиця 1'!$L:$L,"Уражено"))</f>
        <v/>
      </c>
      <c r="S594">
        <f>IF($A594="","",COUNTIFS('Таблиця 1'!$B:$B,$A594,'Таблиця 1'!$I:$I,"Mirage",'Таблиця 1'!$L:$L,"НЕ уражено")+COUNTIFS('Таблиця 1'!$B:$B,$A594,'Таблиця 1'!$I:$I,"F-16",'Таблиця 1'!$L:$L,"НЕ уражено")+COUNTIFS('Таблиця 1'!$B:$B,$A594,'Таблиця 1'!$I:$I,"МіГ-29",'Таблиця 1'!$L:$L,"НЕ уражено")+COUNTIFS('Таблиця 1'!$B:$B,$A594,'Таблиця 1'!$I:$I,"Су-25",'Таблиця 1'!$L:$L,"НЕ уражено")+COUNTIFS('Таблиця 1'!$B:$B,$A594,'Таблиця 1'!$I:$I,"Су-27",'Таблиця 1'!$L:$L,"НЕ уражено"))</f>
        <v/>
      </c>
      <c r="T594">
        <f>IF($A594="","",COUNTIFS('Таблиця 1'!$B:$B,$A594,'Таблиця 1'!$I:$I,"Mirage",'Таблиця 1'!$L:$L,"Дорозвідується")+COUNTIFS('Таблиця 1'!$B:$B,$A594,'Таблиця 1'!$I:$I,"F-16",'Таблиця 1'!$L:$L,"Дорозвідується")+COUNTIFS('Таблиця 1'!$B:$B,$A594,'Таблиця 1'!$I:$I,"МіГ-29",'Таблиця 1'!$L:$L,"Дорозвідується")+COUNTIFS('Таблиця 1'!$B:$B,$A594,'Таблиця 1'!$I:$I,"Су-25",'Таблиця 1'!$L:$L,"Дорозвідується")+COUNTIFS('Таблиця 1'!$B:$B,$A594,'Таблиця 1'!$I:$I,"Су-27",'Таблиця 1'!$L:$L,"Дорозвідується"))</f>
        <v/>
      </c>
    </row>
    <row r="595">
      <c r="A595" s="273">
        <f>IF(A594="","",IF(A594+1&gt;MAX('Таблиця 1'!$B:$B),"",A594+1))</f>
        <v/>
      </c>
      <c r="B595">
        <f>IF($A595="","",COUNTIFS('Таблиця 1'!$B:$B,$A595,'Таблиця 1'!$I:$I,"Mirage")+COUNTIFS('Таблиця 1'!$B:$B,$A595,'Таблиця 1'!$I:$I,"F-16")+COUNTIFS('Таблиця 1'!$B:$B,$A595,'Таблиця 1'!$I:$I,"МіГ-29")+COUNTIFS('Таблиця 1'!$B:$B,$A595,'Таблиця 1'!$I:$I,"Су-25")+COUNTIFS('Таблиця 1'!$B:$B,$A595,'Таблиця 1'!$I:$I,"Су-27"))</f>
        <v/>
      </c>
      <c r="C595">
        <f>IF($A595="","",COUNTIFS('Таблиця 1'!$B:$B,$A595,'Таблиця 1'!$I:$I,"Mirage"))</f>
        <v/>
      </c>
      <c r="D595">
        <f>IF($A595="","",COUNTIFS('Таблиця 1'!$B:$B,$A595,'Таблиця 1'!$I:$I,"F-16"))</f>
        <v/>
      </c>
      <c r="E595">
        <f>IF($A595="","",COUNTIFS('Таблиця 1'!$B:$B,$A595,'Таблиця 1'!$I:$I,"МіГ-29"))</f>
        <v/>
      </c>
      <c r="F595">
        <f>IF($A595="","",COUNTIFS('Таблиця 1'!$B:$B,$A595,'Таблиця 1'!$I:$I,"Су-25"))</f>
        <v/>
      </c>
      <c r="G595">
        <f>IF($A595="","",COUNTIFS('Таблиця 1'!$B:$B,$A595,'Таблиця 1'!$I:$I,"Су-27"))</f>
        <v/>
      </c>
      <c r="H595">
        <f>IF($A595="","",SUMIFS('Таблиця 1'!$K:$K,'Таблиця 1'!$B:$B,$A595,'Таблиця 1'!$I:$I,"Mirage",'Таблиця 1'!$J:$J,"AGM-88")+SUMIFS('Таблиця 1'!$K:$K,'Таблиця 1'!$B:$B,$A595,'Таблиця 1'!$I:$I,"F-16",'Таблиця 1'!$J:$J,"AGM-88")+SUMIFS('Таблиця 1'!$K:$K,'Таблиця 1'!$B:$B,$A595,'Таблиця 1'!$I:$I,"МіГ-29",'Таблиця 1'!$J:$J,"AGM-88")+SUMIFS('Таблиця 1'!$K:$K,'Таблиця 1'!$B:$B,$A595,'Таблиця 1'!$I:$I,"Су-25",'Таблиця 1'!$J:$J,"AGM-88")+SUMIFS('Таблиця 1'!$K:$K,'Таблиця 1'!$B:$B,$A595,'Таблиця 1'!$I:$I,"Су-27",'Таблиця 1'!$J:$J,"AGM-88"))</f>
        <v/>
      </c>
      <c r="I595">
        <f>IF($A595="","",SUMIFS('Таблиця 1'!$K:$K,'Таблиця 1'!$B:$B,$A595,'Таблиця 1'!$I:$I,"Mirage",'Таблиця 1'!$J:$J,"AASM-250")+SUMIFS('Таблиця 1'!$K:$K,'Таблиця 1'!$B:$B,$A595,'Таблиця 1'!$I:$I,"F-16",'Таблиця 1'!$J:$J,"AASM-250")+SUMIFS('Таблиця 1'!$K:$K,'Таблиця 1'!$B:$B,$A595,'Таблиця 1'!$I:$I,"МіГ-29",'Таблиця 1'!$J:$J,"AASM-250")+SUMIFS('Таблиця 1'!$K:$K,'Таблиця 1'!$B:$B,$A595,'Таблиця 1'!$I:$I,"Су-25",'Таблиця 1'!$J:$J,"AASM-250")+SUMIFS('Таблиця 1'!$K:$K,'Таблиця 1'!$B:$B,$A595,'Таблиця 1'!$I:$I,"Су-27",'Таблиця 1'!$J:$J,"AASM-250"))</f>
        <v/>
      </c>
      <c r="J595">
        <f>IF($A595="","",SUMIFS('Таблиця 1'!$K:$K,'Таблиця 1'!$B:$B,$A595,'Таблиця 1'!$I:$I,"Mirage",'Таблиця 1'!$J:$J,"GBU-39")+SUMIFS('Таблиця 1'!$K:$K,'Таблиця 1'!$B:$B,$A595,'Таблиця 1'!$I:$I,"F-16",'Таблиця 1'!$J:$J,"GBU-39")+SUMIFS('Таблиця 1'!$K:$K,'Таблиця 1'!$B:$B,$A595,'Таблиця 1'!$I:$I,"МіГ-29",'Таблиця 1'!$J:$J,"GBU-39")+SUMIFS('Таблиця 1'!$K:$K,'Таблиця 1'!$B:$B,$A595,'Таблиця 1'!$I:$I,"Су-25",'Таблиця 1'!$J:$J,"GBU-39")+SUMIFS('Таблиця 1'!$K:$K,'Таблиця 1'!$B:$B,$A595,'Таблиця 1'!$I:$I,"Су-27",'Таблиця 1'!$J:$J,"GBU-39"))</f>
        <v/>
      </c>
      <c r="K595">
        <f>IF($A595="","",SUMIFS('Таблиця 1'!$K:$K,'Таблиця 1'!$B:$B,$A595,'Таблиця 1'!$I:$I,"Mirage",'Таблиця 1'!$J:$J,"BLU-140")+SUMIFS('Таблиця 1'!$K:$K,'Таблиця 1'!$B:$B,$A595,'Таблиця 1'!$I:$I,"F-16",'Таблиця 1'!$J:$J,"BLU-140")+SUMIFS('Таблиця 1'!$K:$K,'Таблиця 1'!$B:$B,$A595,'Таблиця 1'!$I:$I,"МіГ-29",'Таблиця 1'!$J:$J,"BLU-140")+SUMIFS('Таблиця 1'!$K:$K,'Таблиця 1'!$B:$B,$A595,'Таблиця 1'!$I:$I,"Су-25",'Таблиця 1'!$J:$J,"BLU-140")+SUMIFS('Таблиця 1'!$K:$K,'Таблиця 1'!$B:$B,$A595,'Таблиця 1'!$I:$I,"Су-27",'Таблиця 1'!$J:$J,"BLU-140"))</f>
        <v/>
      </c>
      <c r="L595">
        <f>IF($A595="","",SUMIFS('Таблиця 1'!$K:$K,'Таблиця 1'!$B:$B,$A595,'Таблиця 1'!$I:$I,"Mirage",'Таблиця 1'!$J:$J,"GBU-65")+SUMIFS('Таблиця 1'!$K:$K,'Таблиця 1'!$B:$B,$A595,'Таблиця 1'!$I:$I,"F-16",'Таблиця 1'!$J:$J,"GBU-65")+SUMIFS('Таблиця 1'!$K:$K,'Таблиця 1'!$B:$B,$A595,'Таблиця 1'!$I:$I,"МіГ-29",'Таблиця 1'!$J:$J,"GBU-65")+SUMIFS('Таблиця 1'!$K:$K,'Таблиця 1'!$B:$B,$A595,'Таблиця 1'!$I:$I,"Су-25",'Таблиця 1'!$J:$J,"GBU-65")+SUMIFS('Таблиця 1'!$K:$K,'Таблиця 1'!$B:$B,$A595,'Таблиця 1'!$I:$I,"Су-27",'Таблиця 1'!$J:$J,"GBU-65"))</f>
        <v/>
      </c>
      <c r="M595">
        <f>IF($A595="","",SUMIFS('Таблиця 1'!$K:$K,'Таблиця 1'!$B:$B,$A595,'Таблиця 1'!$I:$I,"Mirage",'Таблиця 1'!$J:$J,"GBU-62")+SUMIFS('Таблиця 1'!$K:$K,'Таблиця 1'!$B:$B,$A595,'Таблиця 1'!$I:$I,"F-16",'Таблиця 1'!$J:$J,"GBU-62")+SUMIFS('Таблиця 1'!$K:$K,'Таблиця 1'!$B:$B,$A595,'Таблиця 1'!$I:$I,"МіГ-29",'Таблиця 1'!$J:$J,"GBU-62")+SUMIFS('Таблиця 1'!$K:$K,'Таблиця 1'!$B:$B,$A595,'Таблиця 1'!$I:$I,"Су-25",'Таблиця 1'!$J:$J,"GBU-62")+SUMIFS('Таблиця 1'!$K:$K,'Таблиця 1'!$B:$B,$A595,'Таблиця 1'!$I:$I,"Су-27",'Таблиця 1'!$J:$J,"GBU-62"))</f>
        <v/>
      </c>
      <c r="N595">
        <f>IF($A595="","",SUMIFS('Таблиця 1'!$K:$K,'Таблиця 1'!$B:$B,$A595,'Таблиця 1'!$I:$I,"Mirage",'Таблиця 1'!$J:$J,"GBU-64")+SUMIFS('Таблиця 1'!$K:$K,'Таблиця 1'!$B:$B,$A595,'Таблиця 1'!$I:$I,"F-16",'Таблиця 1'!$J:$J,"GBU-64")+SUMIFS('Таблиця 1'!$K:$K,'Таблиця 1'!$B:$B,$A595,'Таблиця 1'!$I:$I,"МіГ-29",'Таблиця 1'!$J:$J,"GBU-64")+SUMIFS('Таблиця 1'!$K:$K,'Таблиця 1'!$B:$B,$A595,'Таблиця 1'!$I:$I,"Су-25",'Таблиця 1'!$J:$J,"GBU-64")+SUMIFS('Таблиця 1'!$K:$K,'Таблиця 1'!$B:$B,$A595,'Таблиця 1'!$I:$I,"Су-27",'Таблиця 1'!$J:$J,"GBU-64"))</f>
        <v/>
      </c>
      <c r="O595">
        <f>IF($A595="","",SUMIFS('Таблиця 1'!$K:$K,'Таблиця 1'!$B:$B,$A595,'Таблиця 1'!$I:$I,"Mirage",'Таблиця 1'!$J:$J,"C-13")+SUMIFS('Таблиця 1'!$K:$K,'Таблиця 1'!$B:$B,$A595,'Таблиця 1'!$I:$I,"F-16",'Таблиця 1'!$J:$J,"C-13")+SUMIFS('Таблиця 1'!$K:$K,'Таблиця 1'!$B:$B,$A595,'Таблиця 1'!$I:$I,"МіГ-29",'Таблиця 1'!$J:$J,"C-13")+SUMIFS('Таблиця 1'!$K:$K,'Таблиця 1'!$B:$B,$A595,'Таблиця 1'!$I:$I,"Су-25",'Таблиця 1'!$J:$J,"C-13")+SUMIFS('Таблиця 1'!$K:$K,'Таблиця 1'!$B:$B,$A595,'Таблиця 1'!$I:$I,"Су-27",'Таблиця 1'!$J:$J,"C-13"))</f>
        <v/>
      </c>
      <c r="P595">
        <f>IF($A595="","",SUMIFS('Таблиця 1'!$K:$K,'Таблиця 1'!$B:$B,$A595,'Таблиця 1'!$I:$I,"Mirage",'Таблиця 1'!$J:$J,"MK-32")+SUMIFS('Таблиця 1'!$K:$K,'Таблиця 1'!$B:$B,$A595,'Таблиця 1'!$I:$I,"F-16",'Таблиця 1'!$J:$J,"MK-32")+SUMIFS('Таблиця 1'!$K:$K,'Таблиця 1'!$B:$B,$A595,'Таблиця 1'!$I:$I,"МіГ-29",'Таблиця 1'!$J:$J,"MK-32")+SUMIFS('Таблиця 1'!$K:$K,'Таблиця 1'!$B:$B,$A595,'Таблиця 1'!$I:$I,"Су-25",'Таблиця 1'!$J:$J,"MK-32")+SUMIFS('Таблиця 1'!$K:$K,'Таблиця 1'!$B:$B,$A595,'Таблиця 1'!$I:$I,"Су-27",'Таблиця 1'!$J:$J,"MK-32"))</f>
        <v/>
      </c>
      <c r="Q595">
        <f>IF($A595="","",SUMIFS('Таблиця 1'!$K:$K,'Таблиця 1'!$B:$B,$A595,'Таблиця 1'!$I:$I,"Mirage",'Таблиця 1'!$J:$J,"MK-24")+SUMIFS('Таблиця 1'!$K:$K,'Таблиця 1'!$B:$B,$A595,'Таблиця 1'!$I:$I,"F-16",'Таблиця 1'!$J:$J,"MK-24")+SUMIFS('Таблиця 1'!$K:$K,'Таблиця 1'!$B:$B,$A595,'Таблиця 1'!$I:$I,"МіГ-29",'Таблиця 1'!$J:$J,"MK-24")+SUMIFS('Таблиця 1'!$K:$K,'Таблиця 1'!$B:$B,$A595,'Таблиця 1'!$I:$I,"Су-25",'Таблиця 1'!$J:$J,"MK-24")+SUMIFS('Таблиця 1'!$K:$K,'Таблиця 1'!$B:$B,$A595,'Таблиця 1'!$I:$I,"Су-27",'Таблиця 1'!$J:$J,"MK-24"))</f>
        <v/>
      </c>
      <c r="R595">
        <f>IF($A595="","",COUNTIFS('Таблиця 1'!$B:$B,$A595,'Таблиця 1'!$I:$I,"Mirage",'Таблиця 1'!$L:$L,"Уражено")+COUNTIFS('Таблиця 1'!$B:$B,$A595,'Таблиця 1'!$I:$I,"F-16",'Таблиця 1'!$L:$L,"Уражено")+COUNTIFS('Таблиця 1'!$B:$B,$A595,'Таблиця 1'!$I:$I,"МіГ-29",'Таблиця 1'!$L:$L,"Уражено")+COUNTIFS('Таблиця 1'!$B:$B,$A595,'Таблиця 1'!$I:$I,"Су-25",'Таблиця 1'!$L:$L,"Уражено")+COUNTIFS('Таблиця 1'!$B:$B,$A595,'Таблиця 1'!$I:$I,"Су-27",'Таблиця 1'!$L:$L,"Уражено"))</f>
        <v/>
      </c>
      <c r="S595">
        <f>IF($A595="","",COUNTIFS('Таблиця 1'!$B:$B,$A595,'Таблиця 1'!$I:$I,"Mirage",'Таблиця 1'!$L:$L,"НЕ уражено")+COUNTIFS('Таблиця 1'!$B:$B,$A595,'Таблиця 1'!$I:$I,"F-16",'Таблиця 1'!$L:$L,"НЕ уражено")+COUNTIFS('Таблиця 1'!$B:$B,$A595,'Таблиця 1'!$I:$I,"МіГ-29",'Таблиця 1'!$L:$L,"НЕ уражено")+COUNTIFS('Таблиця 1'!$B:$B,$A595,'Таблиця 1'!$I:$I,"Су-25",'Таблиця 1'!$L:$L,"НЕ уражено")+COUNTIFS('Таблиця 1'!$B:$B,$A595,'Таблиця 1'!$I:$I,"Су-27",'Таблиця 1'!$L:$L,"НЕ уражено"))</f>
        <v/>
      </c>
      <c r="T595">
        <f>IF($A595="","",COUNTIFS('Таблиця 1'!$B:$B,$A595,'Таблиця 1'!$I:$I,"Mirage",'Таблиця 1'!$L:$L,"Дорозвідується")+COUNTIFS('Таблиця 1'!$B:$B,$A595,'Таблиця 1'!$I:$I,"F-16",'Таблиця 1'!$L:$L,"Дорозвідується")+COUNTIFS('Таблиця 1'!$B:$B,$A595,'Таблиця 1'!$I:$I,"МіГ-29",'Таблиця 1'!$L:$L,"Дорозвідується")+COUNTIFS('Таблиця 1'!$B:$B,$A595,'Таблиця 1'!$I:$I,"Су-25",'Таблиця 1'!$L:$L,"Дорозвідується")+COUNTIFS('Таблиця 1'!$B:$B,$A595,'Таблиця 1'!$I:$I,"Су-27",'Таблиця 1'!$L:$L,"Дорозвідується"))</f>
        <v/>
      </c>
    </row>
    <row r="596">
      <c r="A596" s="273">
        <f>IF(A595="","",IF(A595+1&gt;MAX('Таблиця 1'!$B:$B),"",A595+1))</f>
        <v/>
      </c>
      <c r="B596">
        <f>IF($A596="","",COUNTIFS('Таблиця 1'!$B:$B,$A596,'Таблиця 1'!$I:$I,"Mirage")+COUNTIFS('Таблиця 1'!$B:$B,$A596,'Таблиця 1'!$I:$I,"F-16")+COUNTIFS('Таблиця 1'!$B:$B,$A596,'Таблиця 1'!$I:$I,"МіГ-29")+COUNTIFS('Таблиця 1'!$B:$B,$A596,'Таблиця 1'!$I:$I,"Су-25")+COUNTIFS('Таблиця 1'!$B:$B,$A596,'Таблиця 1'!$I:$I,"Су-27"))</f>
        <v/>
      </c>
      <c r="C596">
        <f>IF($A596="","",COUNTIFS('Таблиця 1'!$B:$B,$A596,'Таблиця 1'!$I:$I,"Mirage"))</f>
        <v/>
      </c>
      <c r="D596">
        <f>IF($A596="","",COUNTIFS('Таблиця 1'!$B:$B,$A596,'Таблиця 1'!$I:$I,"F-16"))</f>
        <v/>
      </c>
      <c r="E596">
        <f>IF($A596="","",COUNTIFS('Таблиця 1'!$B:$B,$A596,'Таблиця 1'!$I:$I,"МіГ-29"))</f>
        <v/>
      </c>
      <c r="F596">
        <f>IF($A596="","",COUNTIFS('Таблиця 1'!$B:$B,$A596,'Таблиця 1'!$I:$I,"Су-25"))</f>
        <v/>
      </c>
      <c r="G596">
        <f>IF($A596="","",COUNTIFS('Таблиця 1'!$B:$B,$A596,'Таблиця 1'!$I:$I,"Су-27"))</f>
        <v/>
      </c>
      <c r="H596">
        <f>IF($A596="","",SUMIFS('Таблиця 1'!$K:$K,'Таблиця 1'!$B:$B,$A596,'Таблиця 1'!$I:$I,"Mirage",'Таблиця 1'!$J:$J,"AGM-88")+SUMIFS('Таблиця 1'!$K:$K,'Таблиця 1'!$B:$B,$A596,'Таблиця 1'!$I:$I,"F-16",'Таблиця 1'!$J:$J,"AGM-88")+SUMIFS('Таблиця 1'!$K:$K,'Таблиця 1'!$B:$B,$A596,'Таблиця 1'!$I:$I,"МіГ-29",'Таблиця 1'!$J:$J,"AGM-88")+SUMIFS('Таблиця 1'!$K:$K,'Таблиця 1'!$B:$B,$A596,'Таблиця 1'!$I:$I,"Су-25",'Таблиця 1'!$J:$J,"AGM-88")+SUMIFS('Таблиця 1'!$K:$K,'Таблиця 1'!$B:$B,$A596,'Таблиця 1'!$I:$I,"Су-27",'Таблиця 1'!$J:$J,"AGM-88"))</f>
        <v/>
      </c>
      <c r="I596">
        <f>IF($A596="","",SUMIFS('Таблиця 1'!$K:$K,'Таблиця 1'!$B:$B,$A596,'Таблиця 1'!$I:$I,"Mirage",'Таблиця 1'!$J:$J,"AASM-250")+SUMIFS('Таблиця 1'!$K:$K,'Таблиця 1'!$B:$B,$A596,'Таблиця 1'!$I:$I,"F-16",'Таблиця 1'!$J:$J,"AASM-250")+SUMIFS('Таблиця 1'!$K:$K,'Таблиця 1'!$B:$B,$A596,'Таблиця 1'!$I:$I,"МіГ-29",'Таблиця 1'!$J:$J,"AASM-250")+SUMIFS('Таблиця 1'!$K:$K,'Таблиця 1'!$B:$B,$A596,'Таблиця 1'!$I:$I,"Су-25",'Таблиця 1'!$J:$J,"AASM-250")+SUMIFS('Таблиця 1'!$K:$K,'Таблиця 1'!$B:$B,$A596,'Таблиця 1'!$I:$I,"Су-27",'Таблиця 1'!$J:$J,"AASM-250"))</f>
        <v/>
      </c>
      <c r="J596">
        <f>IF($A596="","",SUMIFS('Таблиця 1'!$K:$K,'Таблиця 1'!$B:$B,$A596,'Таблиця 1'!$I:$I,"Mirage",'Таблиця 1'!$J:$J,"GBU-39")+SUMIFS('Таблиця 1'!$K:$K,'Таблиця 1'!$B:$B,$A596,'Таблиця 1'!$I:$I,"F-16",'Таблиця 1'!$J:$J,"GBU-39")+SUMIFS('Таблиця 1'!$K:$K,'Таблиця 1'!$B:$B,$A596,'Таблиця 1'!$I:$I,"МіГ-29",'Таблиця 1'!$J:$J,"GBU-39")+SUMIFS('Таблиця 1'!$K:$K,'Таблиця 1'!$B:$B,$A596,'Таблиця 1'!$I:$I,"Су-25",'Таблиця 1'!$J:$J,"GBU-39")+SUMIFS('Таблиця 1'!$K:$K,'Таблиця 1'!$B:$B,$A596,'Таблиця 1'!$I:$I,"Су-27",'Таблиця 1'!$J:$J,"GBU-39"))</f>
        <v/>
      </c>
      <c r="K596">
        <f>IF($A596="","",SUMIFS('Таблиця 1'!$K:$K,'Таблиця 1'!$B:$B,$A596,'Таблиця 1'!$I:$I,"Mirage",'Таблиця 1'!$J:$J,"BLU-140")+SUMIFS('Таблиця 1'!$K:$K,'Таблиця 1'!$B:$B,$A596,'Таблиця 1'!$I:$I,"F-16",'Таблиця 1'!$J:$J,"BLU-140")+SUMIFS('Таблиця 1'!$K:$K,'Таблиця 1'!$B:$B,$A596,'Таблиця 1'!$I:$I,"МіГ-29",'Таблиця 1'!$J:$J,"BLU-140")+SUMIFS('Таблиця 1'!$K:$K,'Таблиця 1'!$B:$B,$A596,'Таблиця 1'!$I:$I,"Су-25",'Таблиця 1'!$J:$J,"BLU-140")+SUMIFS('Таблиця 1'!$K:$K,'Таблиця 1'!$B:$B,$A596,'Таблиця 1'!$I:$I,"Су-27",'Таблиця 1'!$J:$J,"BLU-140"))</f>
        <v/>
      </c>
      <c r="L596">
        <f>IF($A596="","",SUMIFS('Таблиця 1'!$K:$K,'Таблиця 1'!$B:$B,$A596,'Таблиця 1'!$I:$I,"Mirage",'Таблиця 1'!$J:$J,"GBU-65")+SUMIFS('Таблиця 1'!$K:$K,'Таблиця 1'!$B:$B,$A596,'Таблиця 1'!$I:$I,"F-16",'Таблиця 1'!$J:$J,"GBU-65")+SUMIFS('Таблиця 1'!$K:$K,'Таблиця 1'!$B:$B,$A596,'Таблиця 1'!$I:$I,"МіГ-29",'Таблиця 1'!$J:$J,"GBU-65")+SUMIFS('Таблиця 1'!$K:$K,'Таблиця 1'!$B:$B,$A596,'Таблиця 1'!$I:$I,"Су-25",'Таблиця 1'!$J:$J,"GBU-65")+SUMIFS('Таблиця 1'!$K:$K,'Таблиця 1'!$B:$B,$A596,'Таблиця 1'!$I:$I,"Су-27",'Таблиця 1'!$J:$J,"GBU-65"))</f>
        <v/>
      </c>
      <c r="M596">
        <f>IF($A596="","",SUMIFS('Таблиця 1'!$K:$K,'Таблиця 1'!$B:$B,$A596,'Таблиця 1'!$I:$I,"Mirage",'Таблиця 1'!$J:$J,"GBU-62")+SUMIFS('Таблиця 1'!$K:$K,'Таблиця 1'!$B:$B,$A596,'Таблиця 1'!$I:$I,"F-16",'Таблиця 1'!$J:$J,"GBU-62")+SUMIFS('Таблиця 1'!$K:$K,'Таблиця 1'!$B:$B,$A596,'Таблиця 1'!$I:$I,"МіГ-29",'Таблиця 1'!$J:$J,"GBU-62")+SUMIFS('Таблиця 1'!$K:$K,'Таблиця 1'!$B:$B,$A596,'Таблиця 1'!$I:$I,"Су-25",'Таблиця 1'!$J:$J,"GBU-62")+SUMIFS('Таблиця 1'!$K:$K,'Таблиця 1'!$B:$B,$A596,'Таблиця 1'!$I:$I,"Су-27",'Таблиця 1'!$J:$J,"GBU-62"))</f>
        <v/>
      </c>
      <c r="N596">
        <f>IF($A596="","",SUMIFS('Таблиця 1'!$K:$K,'Таблиця 1'!$B:$B,$A596,'Таблиця 1'!$I:$I,"Mirage",'Таблиця 1'!$J:$J,"GBU-64")+SUMIFS('Таблиця 1'!$K:$K,'Таблиця 1'!$B:$B,$A596,'Таблиця 1'!$I:$I,"F-16",'Таблиця 1'!$J:$J,"GBU-64")+SUMIFS('Таблиця 1'!$K:$K,'Таблиця 1'!$B:$B,$A596,'Таблиця 1'!$I:$I,"МіГ-29",'Таблиця 1'!$J:$J,"GBU-64")+SUMIFS('Таблиця 1'!$K:$K,'Таблиця 1'!$B:$B,$A596,'Таблиця 1'!$I:$I,"Су-25",'Таблиця 1'!$J:$J,"GBU-64")+SUMIFS('Таблиця 1'!$K:$K,'Таблиця 1'!$B:$B,$A596,'Таблиця 1'!$I:$I,"Су-27",'Таблиця 1'!$J:$J,"GBU-64"))</f>
        <v/>
      </c>
      <c r="O596">
        <f>IF($A596="","",SUMIFS('Таблиця 1'!$K:$K,'Таблиця 1'!$B:$B,$A596,'Таблиця 1'!$I:$I,"Mirage",'Таблиця 1'!$J:$J,"C-13")+SUMIFS('Таблиця 1'!$K:$K,'Таблиця 1'!$B:$B,$A596,'Таблиця 1'!$I:$I,"F-16",'Таблиця 1'!$J:$J,"C-13")+SUMIFS('Таблиця 1'!$K:$K,'Таблиця 1'!$B:$B,$A596,'Таблиця 1'!$I:$I,"МіГ-29",'Таблиця 1'!$J:$J,"C-13")+SUMIFS('Таблиця 1'!$K:$K,'Таблиця 1'!$B:$B,$A596,'Таблиця 1'!$I:$I,"Су-25",'Таблиця 1'!$J:$J,"C-13")+SUMIFS('Таблиця 1'!$K:$K,'Таблиця 1'!$B:$B,$A596,'Таблиця 1'!$I:$I,"Су-27",'Таблиця 1'!$J:$J,"C-13"))</f>
        <v/>
      </c>
      <c r="P596">
        <f>IF($A596="","",SUMIFS('Таблиця 1'!$K:$K,'Таблиця 1'!$B:$B,$A596,'Таблиця 1'!$I:$I,"Mirage",'Таблиця 1'!$J:$J,"MK-32")+SUMIFS('Таблиця 1'!$K:$K,'Таблиця 1'!$B:$B,$A596,'Таблиця 1'!$I:$I,"F-16",'Таблиця 1'!$J:$J,"MK-32")+SUMIFS('Таблиця 1'!$K:$K,'Таблиця 1'!$B:$B,$A596,'Таблиця 1'!$I:$I,"МіГ-29",'Таблиця 1'!$J:$J,"MK-32")+SUMIFS('Таблиця 1'!$K:$K,'Таблиця 1'!$B:$B,$A596,'Таблиця 1'!$I:$I,"Су-25",'Таблиця 1'!$J:$J,"MK-32")+SUMIFS('Таблиця 1'!$K:$K,'Таблиця 1'!$B:$B,$A596,'Таблиця 1'!$I:$I,"Су-27",'Таблиця 1'!$J:$J,"MK-32"))</f>
        <v/>
      </c>
      <c r="Q596">
        <f>IF($A596="","",SUMIFS('Таблиця 1'!$K:$K,'Таблиця 1'!$B:$B,$A596,'Таблиця 1'!$I:$I,"Mirage",'Таблиця 1'!$J:$J,"MK-24")+SUMIFS('Таблиця 1'!$K:$K,'Таблиця 1'!$B:$B,$A596,'Таблиця 1'!$I:$I,"F-16",'Таблиця 1'!$J:$J,"MK-24")+SUMIFS('Таблиця 1'!$K:$K,'Таблиця 1'!$B:$B,$A596,'Таблиця 1'!$I:$I,"МіГ-29",'Таблиця 1'!$J:$J,"MK-24")+SUMIFS('Таблиця 1'!$K:$K,'Таблиця 1'!$B:$B,$A596,'Таблиця 1'!$I:$I,"Су-25",'Таблиця 1'!$J:$J,"MK-24")+SUMIFS('Таблиця 1'!$K:$K,'Таблиця 1'!$B:$B,$A596,'Таблиця 1'!$I:$I,"Су-27",'Таблиця 1'!$J:$J,"MK-24"))</f>
        <v/>
      </c>
      <c r="R596">
        <f>IF($A596="","",COUNTIFS('Таблиця 1'!$B:$B,$A596,'Таблиця 1'!$I:$I,"Mirage",'Таблиця 1'!$L:$L,"Уражено")+COUNTIFS('Таблиця 1'!$B:$B,$A596,'Таблиця 1'!$I:$I,"F-16",'Таблиця 1'!$L:$L,"Уражено")+COUNTIFS('Таблиця 1'!$B:$B,$A596,'Таблиця 1'!$I:$I,"МіГ-29",'Таблиця 1'!$L:$L,"Уражено")+COUNTIFS('Таблиця 1'!$B:$B,$A596,'Таблиця 1'!$I:$I,"Су-25",'Таблиця 1'!$L:$L,"Уражено")+COUNTIFS('Таблиця 1'!$B:$B,$A596,'Таблиця 1'!$I:$I,"Су-27",'Таблиця 1'!$L:$L,"Уражено"))</f>
        <v/>
      </c>
      <c r="S596">
        <f>IF($A596="","",COUNTIFS('Таблиця 1'!$B:$B,$A596,'Таблиця 1'!$I:$I,"Mirage",'Таблиця 1'!$L:$L,"НЕ уражено")+COUNTIFS('Таблиця 1'!$B:$B,$A596,'Таблиця 1'!$I:$I,"F-16",'Таблиця 1'!$L:$L,"НЕ уражено")+COUNTIFS('Таблиця 1'!$B:$B,$A596,'Таблиця 1'!$I:$I,"МіГ-29",'Таблиця 1'!$L:$L,"НЕ уражено")+COUNTIFS('Таблиця 1'!$B:$B,$A596,'Таблиця 1'!$I:$I,"Су-25",'Таблиця 1'!$L:$L,"НЕ уражено")+COUNTIFS('Таблиця 1'!$B:$B,$A596,'Таблиця 1'!$I:$I,"Су-27",'Таблиця 1'!$L:$L,"НЕ уражено"))</f>
        <v/>
      </c>
      <c r="T596">
        <f>IF($A596="","",COUNTIFS('Таблиця 1'!$B:$B,$A596,'Таблиця 1'!$I:$I,"Mirage",'Таблиця 1'!$L:$L,"Дорозвідується")+COUNTIFS('Таблиця 1'!$B:$B,$A596,'Таблиця 1'!$I:$I,"F-16",'Таблиця 1'!$L:$L,"Дорозвідується")+COUNTIFS('Таблиця 1'!$B:$B,$A596,'Таблиця 1'!$I:$I,"МіГ-29",'Таблиця 1'!$L:$L,"Дорозвідується")+COUNTIFS('Таблиця 1'!$B:$B,$A596,'Таблиця 1'!$I:$I,"Су-25",'Таблиця 1'!$L:$L,"Дорозвідується")+COUNTIFS('Таблиця 1'!$B:$B,$A596,'Таблиця 1'!$I:$I,"Су-27",'Таблиця 1'!$L:$L,"Дорозвідується"))</f>
        <v/>
      </c>
    </row>
    <row r="597">
      <c r="A597" s="273">
        <f>IF(A596="","",IF(A596+1&gt;MAX('Таблиця 1'!$B:$B),"",A596+1))</f>
        <v/>
      </c>
      <c r="B597">
        <f>IF($A597="","",COUNTIFS('Таблиця 1'!$B:$B,$A597,'Таблиця 1'!$I:$I,"Mirage")+COUNTIFS('Таблиця 1'!$B:$B,$A597,'Таблиця 1'!$I:$I,"F-16")+COUNTIFS('Таблиця 1'!$B:$B,$A597,'Таблиця 1'!$I:$I,"МіГ-29")+COUNTIFS('Таблиця 1'!$B:$B,$A597,'Таблиця 1'!$I:$I,"Су-25")+COUNTIFS('Таблиця 1'!$B:$B,$A597,'Таблиця 1'!$I:$I,"Су-27"))</f>
        <v/>
      </c>
      <c r="C597">
        <f>IF($A597="","",COUNTIFS('Таблиця 1'!$B:$B,$A597,'Таблиця 1'!$I:$I,"Mirage"))</f>
        <v/>
      </c>
      <c r="D597">
        <f>IF($A597="","",COUNTIFS('Таблиця 1'!$B:$B,$A597,'Таблиця 1'!$I:$I,"F-16"))</f>
        <v/>
      </c>
      <c r="E597">
        <f>IF($A597="","",COUNTIFS('Таблиця 1'!$B:$B,$A597,'Таблиця 1'!$I:$I,"МіГ-29"))</f>
        <v/>
      </c>
      <c r="F597">
        <f>IF($A597="","",COUNTIFS('Таблиця 1'!$B:$B,$A597,'Таблиця 1'!$I:$I,"Су-25"))</f>
        <v/>
      </c>
      <c r="G597">
        <f>IF($A597="","",COUNTIFS('Таблиця 1'!$B:$B,$A597,'Таблиця 1'!$I:$I,"Су-27"))</f>
        <v/>
      </c>
      <c r="H597">
        <f>IF($A597="","",SUMIFS('Таблиця 1'!$K:$K,'Таблиця 1'!$B:$B,$A597,'Таблиця 1'!$I:$I,"Mirage",'Таблиця 1'!$J:$J,"AGM-88")+SUMIFS('Таблиця 1'!$K:$K,'Таблиця 1'!$B:$B,$A597,'Таблиця 1'!$I:$I,"F-16",'Таблиця 1'!$J:$J,"AGM-88")+SUMIFS('Таблиця 1'!$K:$K,'Таблиця 1'!$B:$B,$A597,'Таблиця 1'!$I:$I,"МіГ-29",'Таблиця 1'!$J:$J,"AGM-88")+SUMIFS('Таблиця 1'!$K:$K,'Таблиця 1'!$B:$B,$A597,'Таблиця 1'!$I:$I,"Су-25",'Таблиця 1'!$J:$J,"AGM-88")+SUMIFS('Таблиця 1'!$K:$K,'Таблиця 1'!$B:$B,$A597,'Таблиця 1'!$I:$I,"Су-27",'Таблиця 1'!$J:$J,"AGM-88"))</f>
        <v/>
      </c>
      <c r="I597">
        <f>IF($A597="","",SUMIFS('Таблиця 1'!$K:$K,'Таблиця 1'!$B:$B,$A597,'Таблиця 1'!$I:$I,"Mirage",'Таблиця 1'!$J:$J,"AASM-250")+SUMIFS('Таблиця 1'!$K:$K,'Таблиця 1'!$B:$B,$A597,'Таблиця 1'!$I:$I,"F-16",'Таблиця 1'!$J:$J,"AASM-250")+SUMIFS('Таблиця 1'!$K:$K,'Таблиця 1'!$B:$B,$A597,'Таблиця 1'!$I:$I,"МіГ-29",'Таблиця 1'!$J:$J,"AASM-250")+SUMIFS('Таблиця 1'!$K:$K,'Таблиця 1'!$B:$B,$A597,'Таблиця 1'!$I:$I,"Су-25",'Таблиця 1'!$J:$J,"AASM-250")+SUMIFS('Таблиця 1'!$K:$K,'Таблиця 1'!$B:$B,$A597,'Таблиця 1'!$I:$I,"Су-27",'Таблиця 1'!$J:$J,"AASM-250"))</f>
        <v/>
      </c>
      <c r="J597">
        <f>IF($A597="","",SUMIFS('Таблиця 1'!$K:$K,'Таблиця 1'!$B:$B,$A597,'Таблиця 1'!$I:$I,"Mirage",'Таблиця 1'!$J:$J,"GBU-39")+SUMIFS('Таблиця 1'!$K:$K,'Таблиця 1'!$B:$B,$A597,'Таблиця 1'!$I:$I,"F-16",'Таблиця 1'!$J:$J,"GBU-39")+SUMIFS('Таблиця 1'!$K:$K,'Таблиця 1'!$B:$B,$A597,'Таблиця 1'!$I:$I,"МіГ-29",'Таблиця 1'!$J:$J,"GBU-39")+SUMIFS('Таблиця 1'!$K:$K,'Таблиця 1'!$B:$B,$A597,'Таблиця 1'!$I:$I,"Су-25",'Таблиця 1'!$J:$J,"GBU-39")+SUMIFS('Таблиця 1'!$K:$K,'Таблиця 1'!$B:$B,$A597,'Таблиця 1'!$I:$I,"Су-27",'Таблиця 1'!$J:$J,"GBU-39"))</f>
        <v/>
      </c>
      <c r="K597">
        <f>IF($A597="","",SUMIFS('Таблиця 1'!$K:$K,'Таблиця 1'!$B:$B,$A597,'Таблиця 1'!$I:$I,"Mirage",'Таблиця 1'!$J:$J,"BLU-140")+SUMIFS('Таблиця 1'!$K:$K,'Таблиця 1'!$B:$B,$A597,'Таблиця 1'!$I:$I,"F-16",'Таблиця 1'!$J:$J,"BLU-140")+SUMIFS('Таблиця 1'!$K:$K,'Таблиця 1'!$B:$B,$A597,'Таблиця 1'!$I:$I,"МіГ-29",'Таблиця 1'!$J:$J,"BLU-140")+SUMIFS('Таблиця 1'!$K:$K,'Таблиця 1'!$B:$B,$A597,'Таблиця 1'!$I:$I,"Су-25",'Таблиця 1'!$J:$J,"BLU-140")+SUMIFS('Таблиця 1'!$K:$K,'Таблиця 1'!$B:$B,$A597,'Таблиця 1'!$I:$I,"Су-27",'Таблиця 1'!$J:$J,"BLU-140"))</f>
        <v/>
      </c>
      <c r="L597">
        <f>IF($A597="","",SUMIFS('Таблиця 1'!$K:$K,'Таблиця 1'!$B:$B,$A597,'Таблиця 1'!$I:$I,"Mirage",'Таблиця 1'!$J:$J,"GBU-65")+SUMIFS('Таблиця 1'!$K:$K,'Таблиця 1'!$B:$B,$A597,'Таблиця 1'!$I:$I,"F-16",'Таблиця 1'!$J:$J,"GBU-65")+SUMIFS('Таблиця 1'!$K:$K,'Таблиця 1'!$B:$B,$A597,'Таблиця 1'!$I:$I,"МіГ-29",'Таблиця 1'!$J:$J,"GBU-65")+SUMIFS('Таблиця 1'!$K:$K,'Таблиця 1'!$B:$B,$A597,'Таблиця 1'!$I:$I,"Су-25",'Таблиця 1'!$J:$J,"GBU-65")+SUMIFS('Таблиця 1'!$K:$K,'Таблиця 1'!$B:$B,$A597,'Таблиця 1'!$I:$I,"Су-27",'Таблиця 1'!$J:$J,"GBU-65"))</f>
        <v/>
      </c>
      <c r="M597">
        <f>IF($A597="","",SUMIFS('Таблиця 1'!$K:$K,'Таблиця 1'!$B:$B,$A597,'Таблиця 1'!$I:$I,"Mirage",'Таблиця 1'!$J:$J,"GBU-62")+SUMIFS('Таблиця 1'!$K:$K,'Таблиця 1'!$B:$B,$A597,'Таблиця 1'!$I:$I,"F-16",'Таблиця 1'!$J:$J,"GBU-62")+SUMIFS('Таблиця 1'!$K:$K,'Таблиця 1'!$B:$B,$A597,'Таблиця 1'!$I:$I,"МіГ-29",'Таблиця 1'!$J:$J,"GBU-62")+SUMIFS('Таблиця 1'!$K:$K,'Таблиця 1'!$B:$B,$A597,'Таблиця 1'!$I:$I,"Су-25",'Таблиця 1'!$J:$J,"GBU-62")+SUMIFS('Таблиця 1'!$K:$K,'Таблиця 1'!$B:$B,$A597,'Таблиця 1'!$I:$I,"Су-27",'Таблиця 1'!$J:$J,"GBU-62"))</f>
        <v/>
      </c>
      <c r="N597">
        <f>IF($A597="","",SUMIFS('Таблиця 1'!$K:$K,'Таблиця 1'!$B:$B,$A597,'Таблиця 1'!$I:$I,"Mirage",'Таблиця 1'!$J:$J,"GBU-64")+SUMIFS('Таблиця 1'!$K:$K,'Таблиця 1'!$B:$B,$A597,'Таблиця 1'!$I:$I,"F-16",'Таблиця 1'!$J:$J,"GBU-64")+SUMIFS('Таблиця 1'!$K:$K,'Таблиця 1'!$B:$B,$A597,'Таблиця 1'!$I:$I,"МіГ-29",'Таблиця 1'!$J:$J,"GBU-64")+SUMIFS('Таблиця 1'!$K:$K,'Таблиця 1'!$B:$B,$A597,'Таблиця 1'!$I:$I,"Су-25",'Таблиця 1'!$J:$J,"GBU-64")+SUMIFS('Таблиця 1'!$K:$K,'Таблиця 1'!$B:$B,$A597,'Таблиця 1'!$I:$I,"Су-27",'Таблиця 1'!$J:$J,"GBU-64"))</f>
        <v/>
      </c>
      <c r="O597">
        <f>IF($A597="","",SUMIFS('Таблиця 1'!$K:$K,'Таблиця 1'!$B:$B,$A597,'Таблиця 1'!$I:$I,"Mirage",'Таблиця 1'!$J:$J,"C-13")+SUMIFS('Таблиця 1'!$K:$K,'Таблиця 1'!$B:$B,$A597,'Таблиця 1'!$I:$I,"F-16",'Таблиця 1'!$J:$J,"C-13")+SUMIFS('Таблиця 1'!$K:$K,'Таблиця 1'!$B:$B,$A597,'Таблиця 1'!$I:$I,"МіГ-29",'Таблиця 1'!$J:$J,"C-13")+SUMIFS('Таблиця 1'!$K:$K,'Таблиця 1'!$B:$B,$A597,'Таблиця 1'!$I:$I,"Су-25",'Таблиця 1'!$J:$J,"C-13")+SUMIFS('Таблиця 1'!$K:$K,'Таблиця 1'!$B:$B,$A597,'Таблиця 1'!$I:$I,"Су-27",'Таблиця 1'!$J:$J,"C-13"))</f>
        <v/>
      </c>
      <c r="P597">
        <f>IF($A597="","",SUMIFS('Таблиця 1'!$K:$K,'Таблиця 1'!$B:$B,$A597,'Таблиця 1'!$I:$I,"Mirage",'Таблиця 1'!$J:$J,"MK-32")+SUMIFS('Таблиця 1'!$K:$K,'Таблиця 1'!$B:$B,$A597,'Таблиця 1'!$I:$I,"F-16",'Таблиця 1'!$J:$J,"MK-32")+SUMIFS('Таблиця 1'!$K:$K,'Таблиця 1'!$B:$B,$A597,'Таблиця 1'!$I:$I,"МіГ-29",'Таблиця 1'!$J:$J,"MK-32")+SUMIFS('Таблиця 1'!$K:$K,'Таблиця 1'!$B:$B,$A597,'Таблиця 1'!$I:$I,"Су-25",'Таблиця 1'!$J:$J,"MK-32")+SUMIFS('Таблиця 1'!$K:$K,'Таблиця 1'!$B:$B,$A597,'Таблиця 1'!$I:$I,"Су-27",'Таблиця 1'!$J:$J,"MK-32"))</f>
        <v/>
      </c>
      <c r="Q597">
        <f>IF($A597="","",SUMIFS('Таблиця 1'!$K:$K,'Таблиця 1'!$B:$B,$A597,'Таблиця 1'!$I:$I,"Mirage",'Таблиця 1'!$J:$J,"MK-24")+SUMIFS('Таблиця 1'!$K:$K,'Таблиця 1'!$B:$B,$A597,'Таблиця 1'!$I:$I,"F-16",'Таблиця 1'!$J:$J,"MK-24")+SUMIFS('Таблиця 1'!$K:$K,'Таблиця 1'!$B:$B,$A597,'Таблиця 1'!$I:$I,"МіГ-29",'Таблиця 1'!$J:$J,"MK-24")+SUMIFS('Таблиця 1'!$K:$K,'Таблиця 1'!$B:$B,$A597,'Таблиця 1'!$I:$I,"Су-25",'Таблиця 1'!$J:$J,"MK-24")+SUMIFS('Таблиця 1'!$K:$K,'Таблиця 1'!$B:$B,$A597,'Таблиця 1'!$I:$I,"Су-27",'Таблиця 1'!$J:$J,"MK-24"))</f>
        <v/>
      </c>
      <c r="R597">
        <f>IF($A597="","",COUNTIFS('Таблиця 1'!$B:$B,$A597,'Таблиця 1'!$I:$I,"Mirage",'Таблиця 1'!$L:$L,"Уражено")+COUNTIFS('Таблиця 1'!$B:$B,$A597,'Таблиця 1'!$I:$I,"F-16",'Таблиця 1'!$L:$L,"Уражено")+COUNTIFS('Таблиця 1'!$B:$B,$A597,'Таблиця 1'!$I:$I,"МіГ-29",'Таблиця 1'!$L:$L,"Уражено")+COUNTIFS('Таблиця 1'!$B:$B,$A597,'Таблиця 1'!$I:$I,"Су-25",'Таблиця 1'!$L:$L,"Уражено")+COUNTIFS('Таблиця 1'!$B:$B,$A597,'Таблиця 1'!$I:$I,"Су-27",'Таблиця 1'!$L:$L,"Уражено"))</f>
        <v/>
      </c>
      <c r="S597">
        <f>IF($A597="","",COUNTIFS('Таблиця 1'!$B:$B,$A597,'Таблиця 1'!$I:$I,"Mirage",'Таблиця 1'!$L:$L,"НЕ уражено")+COUNTIFS('Таблиця 1'!$B:$B,$A597,'Таблиця 1'!$I:$I,"F-16",'Таблиця 1'!$L:$L,"НЕ уражено")+COUNTIFS('Таблиця 1'!$B:$B,$A597,'Таблиця 1'!$I:$I,"МіГ-29",'Таблиця 1'!$L:$L,"НЕ уражено")+COUNTIFS('Таблиця 1'!$B:$B,$A597,'Таблиця 1'!$I:$I,"Су-25",'Таблиця 1'!$L:$L,"НЕ уражено")+COUNTIFS('Таблиця 1'!$B:$B,$A597,'Таблиця 1'!$I:$I,"Су-27",'Таблиця 1'!$L:$L,"НЕ уражено"))</f>
        <v/>
      </c>
      <c r="T597">
        <f>IF($A597="","",COUNTIFS('Таблиця 1'!$B:$B,$A597,'Таблиця 1'!$I:$I,"Mirage",'Таблиця 1'!$L:$L,"Дорозвідується")+COUNTIFS('Таблиця 1'!$B:$B,$A597,'Таблиця 1'!$I:$I,"F-16",'Таблиця 1'!$L:$L,"Дорозвідується")+COUNTIFS('Таблиця 1'!$B:$B,$A597,'Таблиця 1'!$I:$I,"МіГ-29",'Таблиця 1'!$L:$L,"Дорозвідується")+COUNTIFS('Таблиця 1'!$B:$B,$A597,'Таблиця 1'!$I:$I,"Су-25",'Таблиця 1'!$L:$L,"Дорозвідується")+COUNTIFS('Таблиця 1'!$B:$B,$A597,'Таблиця 1'!$I:$I,"Су-27",'Таблиця 1'!$L:$L,"Дорозвідується"))</f>
        <v/>
      </c>
    </row>
    <row r="598">
      <c r="A598" s="273">
        <f>IF(A597="","",IF(A597+1&gt;MAX('Таблиця 1'!$B:$B),"",A597+1))</f>
        <v/>
      </c>
      <c r="B598">
        <f>IF($A598="","",COUNTIFS('Таблиця 1'!$B:$B,$A598,'Таблиця 1'!$I:$I,"Mirage")+COUNTIFS('Таблиця 1'!$B:$B,$A598,'Таблиця 1'!$I:$I,"F-16")+COUNTIFS('Таблиця 1'!$B:$B,$A598,'Таблиця 1'!$I:$I,"МіГ-29")+COUNTIFS('Таблиця 1'!$B:$B,$A598,'Таблиця 1'!$I:$I,"Су-25")+COUNTIFS('Таблиця 1'!$B:$B,$A598,'Таблиця 1'!$I:$I,"Су-27"))</f>
        <v/>
      </c>
      <c r="C598">
        <f>IF($A598="","",COUNTIFS('Таблиця 1'!$B:$B,$A598,'Таблиця 1'!$I:$I,"Mirage"))</f>
        <v/>
      </c>
      <c r="D598">
        <f>IF($A598="","",COUNTIFS('Таблиця 1'!$B:$B,$A598,'Таблиця 1'!$I:$I,"F-16"))</f>
        <v/>
      </c>
      <c r="E598">
        <f>IF($A598="","",COUNTIFS('Таблиця 1'!$B:$B,$A598,'Таблиця 1'!$I:$I,"МіГ-29"))</f>
        <v/>
      </c>
      <c r="F598">
        <f>IF($A598="","",COUNTIFS('Таблиця 1'!$B:$B,$A598,'Таблиця 1'!$I:$I,"Су-25"))</f>
        <v/>
      </c>
      <c r="G598">
        <f>IF($A598="","",COUNTIFS('Таблиця 1'!$B:$B,$A598,'Таблиця 1'!$I:$I,"Су-27"))</f>
        <v/>
      </c>
      <c r="H598">
        <f>IF($A598="","",SUMIFS('Таблиця 1'!$K:$K,'Таблиця 1'!$B:$B,$A598,'Таблиця 1'!$I:$I,"Mirage",'Таблиця 1'!$J:$J,"AGM-88")+SUMIFS('Таблиця 1'!$K:$K,'Таблиця 1'!$B:$B,$A598,'Таблиця 1'!$I:$I,"F-16",'Таблиця 1'!$J:$J,"AGM-88")+SUMIFS('Таблиця 1'!$K:$K,'Таблиця 1'!$B:$B,$A598,'Таблиця 1'!$I:$I,"МіГ-29",'Таблиця 1'!$J:$J,"AGM-88")+SUMIFS('Таблиця 1'!$K:$K,'Таблиця 1'!$B:$B,$A598,'Таблиця 1'!$I:$I,"Су-25",'Таблиця 1'!$J:$J,"AGM-88")+SUMIFS('Таблиця 1'!$K:$K,'Таблиця 1'!$B:$B,$A598,'Таблиця 1'!$I:$I,"Су-27",'Таблиця 1'!$J:$J,"AGM-88"))</f>
        <v/>
      </c>
      <c r="I598">
        <f>IF($A598="","",SUMIFS('Таблиця 1'!$K:$K,'Таблиця 1'!$B:$B,$A598,'Таблиця 1'!$I:$I,"Mirage",'Таблиця 1'!$J:$J,"AASM-250")+SUMIFS('Таблиця 1'!$K:$K,'Таблиця 1'!$B:$B,$A598,'Таблиця 1'!$I:$I,"F-16",'Таблиця 1'!$J:$J,"AASM-250")+SUMIFS('Таблиця 1'!$K:$K,'Таблиця 1'!$B:$B,$A598,'Таблиця 1'!$I:$I,"МіГ-29",'Таблиця 1'!$J:$J,"AASM-250")+SUMIFS('Таблиця 1'!$K:$K,'Таблиця 1'!$B:$B,$A598,'Таблиця 1'!$I:$I,"Су-25",'Таблиця 1'!$J:$J,"AASM-250")+SUMIFS('Таблиця 1'!$K:$K,'Таблиця 1'!$B:$B,$A598,'Таблиця 1'!$I:$I,"Су-27",'Таблиця 1'!$J:$J,"AASM-250"))</f>
        <v/>
      </c>
      <c r="J598">
        <f>IF($A598="","",SUMIFS('Таблиця 1'!$K:$K,'Таблиця 1'!$B:$B,$A598,'Таблиця 1'!$I:$I,"Mirage",'Таблиця 1'!$J:$J,"GBU-39")+SUMIFS('Таблиця 1'!$K:$K,'Таблиця 1'!$B:$B,$A598,'Таблиця 1'!$I:$I,"F-16",'Таблиця 1'!$J:$J,"GBU-39")+SUMIFS('Таблиця 1'!$K:$K,'Таблиця 1'!$B:$B,$A598,'Таблиця 1'!$I:$I,"МіГ-29",'Таблиця 1'!$J:$J,"GBU-39")+SUMIFS('Таблиця 1'!$K:$K,'Таблиця 1'!$B:$B,$A598,'Таблиця 1'!$I:$I,"Су-25",'Таблиця 1'!$J:$J,"GBU-39")+SUMIFS('Таблиця 1'!$K:$K,'Таблиця 1'!$B:$B,$A598,'Таблиця 1'!$I:$I,"Су-27",'Таблиця 1'!$J:$J,"GBU-39"))</f>
        <v/>
      </c>
      <c r="K598">
        <f>IF($A598="","",SUMIFS('Таблиця 1'!$K:$K,'Таблиця 1'!$B:$B,$A598,'Таблиця 1'!$I:$I,"Mirage",'Таблиця 1'!$J:$J,"BLU-140")+SUMIFS('Таблиця 1'!$K:$K,'Таблиця 1'!$B:$B,$A598,'Таблиця 1'!$I:$I,"F-16",'Таблиця 1'!$J:$J,"BLU-140")+SUMIFS('Таблиця 1'!$K:$K,'Таблиця 1'!$B:$B,$A598,'Таблиця 1'!$I:$I,"МіГ-29",'Таблиця 1'!$J:$J,"BLU-140")+SUMIFS('Таблиця 1'!$K:$K,'Таблиця 1'!$B:$B,$A598,'Таблиця 1'!$I:$I,"Су-25",'Таблиця 1'!$J:$J,"BLU-140")+SUMIFS('Таблиця 1'!$K:$K,'Таблиця 1'!$B:$B,$A598,'Таблиця 1'!$I:$I,"Су-27",'Таблиця 1'!$J:$J,"BLU-140"))</f>
        <v/>
      </c>
      <c r="L598">
        <f>IF($A598="","",SUMIFS('Таблиця 1'!$K:$K,'Таблиця 1'!$B:$B,$A598,'Таблиця 1'!$I:$I,"Mirage",'Таблиця 1'!$J:$J,"GBU-65")+SUMIFS('Таблиця 1'!$K:$K,'Таблиця 1'!$B:$B,$A598,'Таблиця 1'!$I:$I,"F-16",'Таблиця 1'!$J:$J,"GBU-65")+SUMIFS('Таблиця 1'!$K:$K,'Таблиця 1'!$B:$B,$A598,'Таблиця 1'!$I:$I,"МіГ-29",'Таблиця 1'!$J:$J,"GBU-65")+SUMIFS('Таблиця 1'!$K:$K,'Таблиця 1'!$B:$B,$A598,'Таблиця 1'!$I:$I,"Су-25",'Таблиця 1'!$J:$J,"GBU-65")+SUMIFS('Таблиця 1'!$K:$K,'Таблиця 1'!$B:$B,$A598,'Таблиця 1'!$I:$I,"Су-27",'Таблиця 1'!$J:$J,"GBU-65"))</f>
        <v/>
      </c>
      <c r="M598">
        <f>IF($A598="","",SUMIFS('Таблиця 1'!$K:$K,'Таблиця 1'!$B:$B,$A598,'Таблиця 1'!$I:$I,"Mirage",'Таблиця 1'!$J:$J,"GBU-62")+SUMIFS('Таблиця 1'!$K:$K,'Таблиця 1'!$B:$B,$A598,'Таблиця 1'!$I:$I,"F-16",'Таблиця 1'!$J:$J,"GBU-62")+SUMIFS('Таблиця 1'!$K:$K,'Таблиця 1'!$B:$B,$A598,'Таблиця 1'!$I:$I,"МіГ-29",'Таблиця 1'!$J:$J,"GBU-62")+SUMIFS('Таблиця 1'!$K:$K,'Таблиця 1'!$B:$B,$A598,'Таблиця 1'!$I:$I,"Су-25",'Таблиця 1'!$J:$J,"GBU-62")+SUMIFS('Таблиця 1'!$K:$K,'Таблиця 1'!$B:$B,$A598,'Таблиця 1'!$I:$I,"Су-27",'Таблиця 1'!$J:$J,"GBU-62"))</f>
        <v/>
      </c>
      <c r="N598">
        <f>IF($A598="","",SUMIFS('Таблиця 1'!$K:$K,'Таблиця 1'!$B:$B,$A598,'Таблиця 1'!$I:$I,"Mirage",'Таблиця 1'!$J:$J,"GBU-64")+SUMIFS('Таблиця 1'!$K:$K,'Таблиця 1'!$B:$B,$A598,'Таблиця 1'!$I:$I,"F-16",'Таблиця 1'!$J:$J,"GBU-64")+SUMIFS('Таблиця 1'!$K:$K,'Таблиця 1'!$B:$B,$A598,'Таблиця 1'!$I:$I,"МіГ-29",'Таблиця 1'!$J:$J,"GBU-64")+SUMIFS('Таблиця 1'!$K:$K,'Таблиця 1'!$B:$B,$A598,'Таблиця 1'!$I:$I,"Су-25",'Таблиця 1'!$J:$J,"GBU-64")+SUMIFS('Таблиця 1'!$K:$K,'Таблиця 1'!$B:$B,$A598,'Таблиця 1'!$I:$I,"Су-27",'Таблиця 1'!$J:$J,"GBU-64"))</f>
        <v/>
      </c>
      <c r="O598">
        <f>IF($A598="","",SUMIFS('Таблиця 1'!$K:$K,'Таблиця 1'!$B:$B,$A598,'Таблиця 1'!$I:$I,"Mirage",'Таблиця 1'!$J:$J,"C-13")+SUMIFS('Таблиця 1'!$K:$K,'Таблиця 1'!$B:$B,$A598,'Таблиця 1'!$I:$I,"F-16",'Таблиця 1'!$J:$J,"C-13")+SUMIFS('Таблиця 1'!$K:$K,'Таблиця 1'!$B:$B,$A598,'Таблиця 1'!$I:$I,"МіГ-29",'Таблиця 1'!$J:$J,"C-13")+SUMIFS('Таблиця 1'!$K:$K,'Таблиця 1'!$B:$B,$A598,'Таблиця 1'!$I:$I,"Су-25",'Таблиця 1'!$J:$J,"C-13")+SUMIFS('Таблиця 1'!$K:$K,'Таблиця 1'!$B:$B,$A598,'Таблиця 1'!$I:$I,"Су-27",'Таблиця 1'!$J:$J,"C-13"))</f>
        <v/>
      </c>
      <c r="P598">
        <f>IF($A598="","",SUMIFS('Таблиця 1'!$K:$K,'Таблиця 1'!$B:$B,$A598,'Таблиця 1'!$I:$I,"Mirage",'Таблиця 1'!$J:$J,"MK-32")+SUMIFS('Таблиця 1'!$K:$K,'Таблиця 1'!$B:$B,$A598,'Таблиця 1'!$I:$I,"F-16",'Таблиця 1'!$J:$J,"MK-32")+SUMIFS('Таблиця 1'!$K:$K,'Таблиця 1'!$B:$B,$A598,'Таблиця 1'!$I:$I,"МіГ-29",'Таблиця 1'!$J:$J,"MK-32")+SUMIFS('Таблиця 1'!$K:$K,'Таблиця 1'!$B:$B,$A598,'Таблиця 1'!$I:$I,"Су-25",'Таблиця 1'!$J:$J,"MK-32")+SUMIFS('Таблиця 1'!$K:$K,'Таблиця 1'!$B:$B,$A598,'Таблиця 1'!$I:$I,"Су-27",'Таблиця 1'!$J:$J,"MK-32"))</f>
        <v/>
      </c>
      <c r="Q598">
        <f>IF($A598="","",SUMIFS('Таблиця 1'!$K:$K,'Таблиця 1'!$B:$B,$A598,'Таблиця 1'!$I:$I,"Mirage",'Таблиця 1'!$J:$J,"MK-24")+SUMIFS('Таблиця 1'!$K:$K,'Таблиця 1'!$B:$B,$A598,'Таблиця 1'!$I:$I,"F-16",'Таблиця 1'!$J:$J,"MK-24")+SUMIFS('Таблиця 1'!$K:$K,'Таблиця 1'!$B:$B,$A598,'Таблиця 1'!$I:$I,"МіГ-29",'Таблиця 1'!$J:$J,"MK-24")+SUMIFS('Таблиця 1'!$K:$K,'Таблиця 1'!$B:$B,$A598,'Таблиця 1'!$I:$I,"Су-25",'Таблиця 1'!$J:$J,"MK-24")+SUMIFS('Таблиця 1'!$K:$K,'Таблиця 1'!$B:$B,$A598,'Таблиця 1'!$I:$I,"Су-27",'Таблиця 1'!$J:$J,"MK-24"))</f>
        <v/>
      </c>
      <c r="R598">
        <f>IF($A598="","",COUNTIFS('Таблиця 1'!$B:$B,$A598,'Таблиця 1'!$I:$I,"Mirage",'Таблиця 1'!$L:$L,"Уражено")+COUNTIFS('Таблиця 1'!$B:$B,$A598,'Таблиця 1'!$I:$I,"F-16",'Таблиця 1'!$L:$L,"Уражено")+COUNTIFS('Таблиця 1'!$B:$B,$A598,'Таблиця 1'!$I:$I,"МіГ-29",'Таблиця 1'!$L:$L,"Уражено")+COUNTIFS('Таблиця 1'!$B:$B,$A598,'Таблиця 1'!$I:$I,"Су-25",'Таблиця 1'!$L:$L,"Уражено")+COUNTIFS('Таблиця 1'!$B:$B,$A598,'Таблиця 1'!$I:$I,"Су-27",'Таблиця 1'!$L:$L,"Уражено"))</f>
        <v/>
      </c>
      <c r="S598">
        <f>IF($A598="","",COUNTIFS('Таблиця 1'!$B:$B,$A598,'Таблиця 1'!$I:$I,"Mirage",'Таблиця 1'!$L:$L,"НЕ уражено")+COUNTIFS('Таблиця 1'!$B:$B,$A598,'Таблиця 1'!$I:$I,"F-16",'Таблиця 1'!$L:$L,"НЕ уражено")+COUNTIFS('Таблиця 1'!$B:$B,$A598,'Таблиця 1'!$I:$I,"МіГ-29",'Таблиця 1'!$L:$L,"НЕ уражено")+COUNTIFS('Таблиця 1'!$B:$B,$A598,'Таблиця 1'!$I:$I,"Су-25",'Таблиця 1'!$L:$L,"НЕ уражено")+COUNTIFS('Таблиця 1'!$B:$B,$A598,'Таблиця 1'!$I:$I,"Су-27",'Таблиця 1'!$L:$L,"НЕ уражено"))</f>
        <v/>
      </c>
      <c r="T598">
        <f>IF($A598="","",COUNTIFS('Таблиця 1'!$B:$B,$A598,'Таблиця 1'!$I:$I,"Mirage",'Таблиця 1'!$L:$L,"Дорозвідується")+COUNTIFS('Таблиця 1'!$B:$B,$A598,'Таблиця 1'!$I:$I,"F-16",'Таблиця 1'!$L:$L,"Дорозвідується")+COUNTIFS('Таблиця 1'!$B:$B,$A598,'Таблиця 1'!$I:$I,"МіГ-29",'Таблиця 1'!$L:$L,"Дорозвідується")+COUNTIFS('Таблиця 1'!$B:$B,$A598,'Таблиця 1'!$I:$I,"Су-25",'Таблиця 1'!$L:$L,"Дорозвідується")+COUNTIFS('Таблиця 1'!$B:$B,$A598,'Таблиця 1'!$I:$I,"Су-27",'Таблиця 1'!$L:$L,"Дорозвідується"))</f>
        <v/>
      </c>
    </row>
    <row r="599">
      <c r="A599" s="273">
        <f>IF(A598="","",IF(A598+1&gt;MAX('Таблиця 1'!$B:$B),"",A598+1))</f>
        <v/>
      </c>
      <c r="B599">
        <f>IF($A599="","",COUNTIFS('Таблиця 1'!$B:$B,$A599,'Таблиця 1'!$I:$I,"Mirage")+COUNTIFS('Таблиця 1'!$B:$B,$A599,'Таблиця 1'!$I:$I,"F-16")+COUNTIFS('Таблиця 1'!$B:$B,$A599,'Таблиця 1'!$I:$I,"МіГ-29")+COUNTIFS('Таблиця 1'!$B:$B,$A599,'Таблиця 1'!$I:$I,"Су-25")+COUNTIFS('Таблиця 1'!$B:$B,$A599,'Таблиця 1'!$I:$I,"Су-27"))</f>
        <v/>
      </c>
      <c r="C599">
        <f>IF($A599="","",COUNTIFS('Таблиця 1'!$B:$B,$A599,'Таблиця 1'!$I:$I,"Mirage"))</f>
        <v/>
      </c>
      <c r="D599">
        <f>IF($A599="","",COUNTIFS('Таблиця 1'!$B:$B,$A599,'Таблиця 1'!$I:$I,"F-16"))</f>
        <v/>
      </c>
      <c r="E599">
        <f>IF($A599="","",COUNTIFS('Таблиця 1'!$B:$B,$A599,'Таблиця 1'!$I:$I,"МіГ-29"))</f>
        <v/>
      </c>
      <c r="F599">
        <f>IF($A599="","",COUNTIFS('Таблиця 1'!$B:$B,$A599,'Таблиця 1'!$I:$I,"Су-25"))</f>
        <v/>
      </c>
      <c r="G599">
        <f>IF($A599="","",COUNTIFS('Таблиця 1'!$B:$B,$A599,'Таблиця 1'!$I:$I,"Су-27"))</f>
        <v/>
      </c>
      <c r="H599">
        <f>IF($A599="","",SUMIFS('Таблиця 1'!$K:$K,'Таблиця 1'!$B:$B,$A599,'Таблиця 1'!$I:$I,"Mirage",'Таблиця 1'!$J:$J,"AGM-88")+SUMIFS('Таблиця 1'!$K:$K,'Таблиця 1'!$B:$B,$A599,'Таблиця 1'!$I:$I,"F-16",'Таблиця 1'!$J:$J,"AGM-88")+SUMIFS('Таблиця 1'!$K:$K,'Таблиця 1'!$B:$B,$A599,'Таблиця 1'!$I:$I,"МіГ-29",'Таблиця 1'!$J:$J,"AGM-88")+SUMIFS('Таблиця 1'!$K:$K,'Таблиця 1'!$B:$B,$A599,'Таблиця 1'!$I:$I,"Су-25",'Таблиця 1'!$J:$J,"AGM-88")+SUMIFS('Таблиця 1'!$K:$K,'Таблиця 1'!$B:$B,$A599,'Таблиця 1'!$I:$I,"Су-27",'Таблиця 1'!$J:$J,"AGM-88"))</f>
        <v/>
      </c>
      <c r="I599">
        <f>IF($A599="","",SUMIFS('Таблиця 1'!$K:$K,'Таблиця 1'!$B:$B,$A599,'Таблиця 1'!$I:$I,"Mirage",'Таблиця 1'!$J:$J,"AASM-250")+SUMIFS('Таблиця 1'!$K:$K,'Таблиця 1'!$B:$B,$A599,'Таблиця 1'!$I:$I,"F-16",'Таблиця 1'!$J:$J,"AASM-250")+SUMIFS('Таблиця 1'!$K:$K,'Таблиця 1'!$B:$B,$A599,'Таблиця 1'!$I:$I,"МіГ-29",'Таблиця 1'!$J:$J,"AASM-250")+SUMIFS('Таблиця 1'!$K:$K,'Таблиця 1'!$B:$B,$A599,'Таблиця 1'!$I:$I,"Су-25",'Таблиця 1'!$J:$J,"AASM-250")+SUMIFS('Таблиця 1'!$K:$K,'Таблиця 1'!$B:$B,$A599,'Таблиця 1'!$I:$I,"Су-27",'Таблиця 1'!$J:$J,"AASM-250"))</f>
        <v/>
      </c>
      <c r="J599">
        <f>IF($A599="","",SUMIFS('Таблиця 1'!$K:$K,'Таблиця 1'!$B:$B,$A599,'Таблиця 1'!$I:$I,"Mirage",'Таблиця 1'!$J:$J,"GBU-39")+SUMIFS('Таблиця 1'!$K:$K,'Таблиця 1'!$B:$B,$A599,'Таблиця 1'!$I:$I,"F-16",'Таблиця 1'!$J:$J,"GBU-39")+SUMIFS('Таблиця 1'!$K:$K,'Таблиця 1'!$B:$B,$A599,'Таблиця 1'!$I:$I,"МіГ-29",'Таблиця 1'!$J:$J,"GBU-39")+SUMIFS('Таблиця 1'!$K:$K,'Таблиця 1'!$B:$B,$A599,'Таблиця 1'!$I:$I,"Су-25",'Таблиця 1'!$J:$J,"GBU-39")+SUMIFS('Таблиця 1'!$K:$K,'Таблиця 1'!$B:$B,$A599,'Таблиця 1'!$I:$I,"Су-27",'Таблиця 1'!$J:$J,"GBU-39"))</f>
        <v/>
      </c>
      <c r="K599">
        <f>IF($A599="","",SUMIFS('Таблиця 1'!$K:$K,'Таблиця 1'!$B:$B,$A599,'Таблиця 1'!$I:$I,"Mirage",'Таблиця 1'!$J:$J,"BLU-140")+SUMIFS('Таблиця 1'!$K:$K,'Таблиця 1'!$B:$B,$A599,'Таблиця 1'!$I:$I,"F-16",'Таблиця 1'!$J:$J,"BLU-140")+SUMIFS('Таблиця 1'!$K:$K,'Таблиця 1'!$B:$B,$A599,'Таблиця 1'!$I:$I,"МіГ-29",'Таблиця 1'!$J:$J,"BLU-140")+SUMIFS('Таблиця 1'!$K:$K,'Таблиця 1'!$B:$B,$A599,'Таблиця 1'!$I:$I,"Су-25",'Таблиця 1'!$J:$J,"BLU-140")+SUMIFS('Таблиця 1'!$K:$K,'Таблиця 1'!$B:$B,$A599,'Таблиця 1'!$I:$I,"Су-27",'Таблиця 1'!$J:$J,"BLU-140"))</f>
        <v/>
      </c>
      <c r="L599">
        <f>IF($A599="","",SUMIFS('Таблиця 1'!$K:$K,'Таблиця 1'!$B:$B,$A599,'Таблиця 1'!$I:$I,"Mirage",'Таблиця 1'!$J:$J,"GBU-65")+SUMIFS('Таблиця 1'!$K:$K,'Таблиця 1'!$B:$B,$A599,'Таблиця 1'!$I:$I,"F-16",'Таблиця 1'!$J:$J,"GBU-65")+SUMIFS('Таблиця 1'!$K:$K,'Таблиця 1'!$B:$B,$A599,'Таблиця 1'!$I:$I,"МіГ-29",'Таблиця 1'!$J:$J,"GBU-65")+SUMIFS('Таблиця 1'!$K:$K,'Таблиця 1'!$B:$B,$A599,'Таблиця 1'!$I:$I,"Су-25",'Таблиця 1'!$J:$J,"GBU-65")+SUMIFS('Таблиця 1'!$K:$K,'Таблиця 1'!$B:$B,$A599,'Таблиця 1'!$I:$I,"Су-27",'Таблиця 1'!$J:$J,"GBU-65"))</f>
        <v/>
      </c>
      <c r="M599">
        <f>IF($A599="","",SUMIFS('Таблиця 1'!$K:$K,'Таблиця 1'!$B:$B,$A599,'Таблиця 1'!$I:$I,"Mirage",'Таблиця 1'!$J:$J,"GBU-62")+SUMIFS('Таблиця 1'!$K:$K,'Таблиця 1'!$B:$B,$A599,'Таблиця 1'!$I:$I,"F-16",'Таблиця 1'!$J:$J,"GBU-62")+SUMIFS('Таблиця 1'!$K:$K,'Таблиця 1'!$B:$B,$A599,'Таблиця 1'!$I:$I,"МіГ-29",'Таблиця 1'!$J:$J,"GBU-62")+SUMIFS('Таблиця 1'!$K:$K,'Таблиця 1'!$B:$B,$A599,'Таблиця 1'!$I:$I,"Су-25",'Таблиця 1'!$J:$J,"GBU-62")+SUMIFS('Таблиця 1'!$K:$K,'Таблиця 1'!$B:$B,$A599,'Таблиця 1'!$I:$I,"Су-27",'Таблиця 1'!$J:$J,"GBU-62"))</f>
        <v/>
      </c>
      <c r="N599">
        <f>IF($A599="","",SUMIFS('Таблиця 1'!$K:$K,'Таблиця 1'!$B:$B,$A599,'Таблиця 1'!$I:$I,"Mirage",'Таблиця 1'!$J:$J,"GBU-64")+SUMIFS('Таблиця 1'!$K:$K,'Таблиця 1'!$B:$B,$A599,'Таблиця 1'!$I:$I,"F-16",'Таблиця 1'!$J:$J,"GBU-64")+SUMIFS('Таблиця 1'!$K:$K,'Таблиця 1'!$B:$B,$A599,'Таблиця 1'!$I:$I,"МіГ-29",'Таблиця 1'!$J:$J,"GBU-64")+SUMIFS('Таблиця 1'!$K:$K,'Таблиця 1'!$B:$B,$A599,'Таблиця 1'!$I:$I,"Су-25",'Таблиця 1'!$J:$J,"GBU-64")+SUMIFS('Таблиця 1'!$K:$K,'Таблиця 1'!$B:$B,$A599,'Таблиця 1'!$I:$I,"Су-27",'Таблиця 1'!$J:$J,"GBU-64"))</f>
        <v/>
      </c>
      <c r="O599">
        <f>IF($A599="","",SUMIFS('Таблиця 1'!$K:$K,'Таблиця 1'!$B:$B,$A599,'Таблиця 1'!$I:$I,"Mirage",'Таблиця 1'!$J:$J,"C-13")+SUMIFS('Таблиця 1'!$K:$K,'Таблиця 1'!$B:$B,$A599,'Таблиця 1'!$I:$I,"F-16",'Таблиця 1'!$J:$J,"C-13")+SUMIFS('Таблиця 1'!$K:$K,'Таблиця 1'!$B:$B,$A599,'Таблиця 1'!$I:$I,"МіГ-29",'Таблиця 1'!$J:$J,"C-13")+SUMIFS('Таблиця 1'!$K:$K,'Таблиця 1'!$B:$B,$A599,'Таблиця 1'!$I:$I,"Су-25",'Таблиця 1'!$J:$J,"C-13")+SUMIFS('Таблиця 1'!$K:$K,'Таблиця 1'!$B:$B,$A599,'Таблиця 1'!$I:$I,"Су-27",'Таблиця 1'!$J:$J,"C-13"))</f>
        <v/>
      </c>
      <c r="P599">
        <f>IF($A599="","",SUMIFS('Таблиця 1'!$K:$K,'Таблиця 1'!$B:$B,$A599,'Таблиця 1'!$I:$I,"Mirage",'Таблиця 1'!$J:$J,"MK-32")+SUMIFS('Таблиця 1'!$K:$K,'Таблиця 1'!$B:$B,$A599,'Таблиця 1'!$I:$I,"F-16",'Таблиця 1'!$J:$J,"MK-32")+SUMIFS('Таблиця 1'!$K:$K,'Таблиця 1'!$B:$B,$A599,'Таблиця 1'!$I:$I,"МіГ-29",'Таблиця 1'!$J:$J,"MK-32")+SUMIFS('Таблиця 1'!$K:$K,'Таблиця 1'!$B:$B,$A599,'Таблиця 1'!$I:$I,"Су-25",'Таблиця 1'!$J:$J,"MK-32")+SUMIFS('Таблиця 1'!$K:$K,'Таблиця 1'!$B:$B,$A599,'Таблиця 1'!$I:$I,"Су-27",'Таблиця 1'!$J:$J,"MK-32"))</f>
        <v/>
      </c>
      <c r="Q599">
        <f>IF($A599="","",SUMIFS('Таблиця 1'!$K:$K,'Таблиця 1'!$B:$B,$A599,'Таблиця 1'!$I:$I,"Mirage",'Таблиця 1'!$J:$J,"MK-24")+SUMIFS('Таблиця 1'!$K:$K,'Таблиця 1'!$B:$B,$A599,'Таблиця 1'!$I:$I,"F-16",'Таблиця 1'!$J:$J,"MK-24")+SUMIFS('Таблиця 1'!$K:$K,'Таблиця 1'!$B:$B,$A599,'Таблиця 1'!$I:$I,"МіГ-29",'Таблиця 1'!$J:$J,"MK-24")+SUMIFS('Таблиця 1'!$K:$K,'Таблиця 1'!$B:$B,$A599,'Таблиця 1'!$I:$I,"Су-25",'Таблиця 1'!$J:$J,"MK-24")+SUMIFS('Таблиця 1'!$K:$K,'Таблиця 1'!$B:$B,$A599,'Таблиця 1'!$I:$I,"Су-27",'Таблиця 1'!$J:$J,"MK-24"))</f>
        <v/>
      </c>
      <c r="R599">
        <f>IF($A599="","",COUNTIFS('Таблиця 1'!$B:$B,$A599,'Таблиця 1'!$I:$I,"Mirage",'Таблиця 1'!$L:$L,"Уражено")+COUNTIFS('Таблиця 1'!$B:$B,$A599,'Таблиця 1'!$I:$I,"F-16",'Таблиця 1'!$L:$L,"Уражено")+COUNTIFS('Таблиця 1'!$B:$B,$A599,'Таблиця 1'!$I:$I,"МіГ-29",'Таблиця 1'!$L:$L,"Уражено")+COUNTIFS('Таблиця 1'!$B:$B,$A599,'Таблиця 1'!$I:$I,"Су-25",'Таблиця 1'!$L:$L,"Уражено")+COUNTIFS('Таблиця 1'!$B:$B,$A599,'Таблиця 1'!$I:$I,"Су-27",'Таблиця 1'!$L:$L,"Уражено"))</f>
        <v/>
      </c>
      <c r="S599">
        <f>IF($A599="","",COUNTIFS('Таблиця 1'!$B:$B,$A599,'Таблиця 1'!$I:$I,"Mirage",'Таблиця 1'!$L:$L,"НЕ уражено")+COUNTIFS('Таблиця 1'!$B:$B,$A599,'Таблиця 1'!$I:$I,"F-16",'Таблиця 1'!$L:$L,"НЕ уражено")+COUNTIFS('Таблиця 1'!$B:$B,$A599,'Таблиця 1'!$I:$I,"МіГ-29",'Таблиця 1'!$L:$L,"НЕ уражено")+COUNTIFS('Таблиця 1'!$B:$B,$A599,'Таблиця 1'!$I:$I,"Су-25",'Таблиця 1'!$L:$L,"НЕ уражено")+COUNTIFS('Таблиця 1'!$B:$B,$A599,'Таблиця 1'!$I:$I,"Су-27",'Таблиця 1'!$L:$L,"НЕ уражено"))</f>
        <v/>
      </c>
      <c r="T599">
        <f>IF($A599="","",COUNTIFS('Таблиця 1'!$B:$B,$A599,'Таблиця 1'!$I:$I,"Mirage",'Таблиця 1'!$L:$L,"Дорозвідується")+COUNTIFS('Таблиця 1'!$B:$B,$A599,'Таблиця 1'!$I:$I,"F-16",'Таблиця 1'!$L:$L,"Дорозвідується")+COUNTIFS('Таблиця 1'!$B:$B,$A599,'Таблиця 1'!$I:$I,"МіГ-29",'Таблиця 1'!$L:$L,"Дорозвідується")+COUNTIFS('Таблиця 1'!$B:$B,$A599,'Таблиця 1'!$I:$I,"Су-25",'Таблиця 1'!$L:$L,"Дорозвідується")+COUNTIFS('Таблиця 1'!$B:$B,$A599,'Таблиця 1'!$I:$I,"Су-27",'Таблиця 1'!$L:$L,"Дорозвідується"))</f>
        <v/>
      </c>
    </row>
    <row r="600">
      <c r="A600" s="273">
        <f>IF(A599="","",IF(A599+1&gt;MAX('Таблиця 1'!$B:$B),"",A599+1))</f>
        <v/>
      </c>
      <c r="B600">
        <f>IF($A600="","",COUNTIFS('Таблиця 1'!$B:$B,$A600,'Таблиця 1'!$I:$I,"Mirage")+COUNTIFS('Таблиця 1'!$B:$B,$A600,'Таблиця 1'!$I:$I,"F-16")+COUNTIFS('Таблиця 1'!$B:$B,$A600,'Таблиця 1'!$I:$I,"МіГ-29")+COUNTIFS('Таблиця 1'!$B:$B,$A600,'Таблиця 1'!$I:$I,"Су-25")+COUNTIFS('Таблиця 1'!$B:$B,$A600,'Таблиця 1'!$I:$I,"Су-27"))</f>
        <v/>
      </c>
      <c r="C600">
        <f>IF($A600="","",COUNTIFS('Таблиця 1'!$B:$B,$A600,'Таблиця 1'!$I:$I,"Mirage"))</f>
        <v/>
      </c>
      <c r="D600">
        <f>IF($A600="","",COUNTIFS('Таблиця 1'!$B:$B,$A600,'Таблиця 1'!$I:$I,"F-16"))</f>
        <v/>
      </c>
      <c r="E600">
        <f>IF($A600="","",COUNTIFS('Таблиця 1'!$B:$B,$A600,'Таблиця 1'!$I:$I,"МіГ-29"))</f>
        <v/>
      </c>
      <c r="F600">
        <f>IF($A600="","",COUNTIFS('Таблиця 1'!$B:$B,$A600,'Таблиця 1'!$I:$I,"Су-25"))</f>
        <v/>
      </c>
      <c r="G600">
        <f>IF($A600="","",COUNTIFS('Таблиця 1'!$B:$B,$A600,'Таблиця 1'!$I:$I,"Су-27"))</f>
        <v/>
      </c>
      <c r="H600">
        <f>IF($A600="","",SUMIFS('Таблиця 1'!$K:$K,'Таблиця 1'!$B:$B,$A600,'Таблиця 1'!$I:$I,"Mirage",'Таблиця 1'!$J:$J,"AGM-88")+SUMIFS('Таблиця 1'!$K:$K,'Таблиця 1'!$B:$B,$A600,'Таблиця 1'!$I:$I,"F-16",'Таблиця 1'!$J:$J,"AGM-88")+SUMIFS('Таблиця 1'!$K:$K,'Таблиця 1'!$B:$B,$A600,'Таблиця 1'!$I:$I,"МіГ-29",'Таблиця 1'!$J:$J,"AGM-88")+SUMIFS('Таблиця 1'!$K:$K,'Таблиця 1'!$B:$B,$A600,'Таблиця 1'!$I:$I,"Су-25",'Таблиця 1'!$J:$J,"AGM-88")+SUMIFS('Таблиця 1'!$K:$K,'Таблиця 1'!$B:$B,$A600,'Таблиця 1'!$I:$I,"Су-27",'Таблиця 1'!$J:$J,"AGM-88"))</f>
        <v/>
      </c>
      <c r="I600">
        <f>IF($A600="","",SUMIFS('Таблиця 1'!$K:$K,'Таблиця 1'!$B:$B,$A600,'Таблиця 1'!$I:$I,"Mirage",'Таблиця 1'!$J:$J,"AASM-250")+SUMIFS('Таблиця 1'!$K:$K,'Таблиця 1'!$B:$B,$A600,'Таблиця 1'!$I:$I,"F-16",'Таблиця 1'!$J:$J,"AASM-250")+SUMIFS('Таблиця 1'!$K:$K,'Таблиця 1'!$B:$B,$A600,'Таблиця 1'!$I:$I,"МіГ-29",'Таблиця 1'!$J:$J,"AASM-250")+SUMIFS('Таблиця 1'!$K:$K,'Таблиця 1'!$B:$B,$A600,'Таблиця 1'!$I:$I,"Су-25",'Таблиця 1'!$J:$J,"AASM-250")+SUMIFS('Таблиця 1'!$K:$K,'Таблиця 1'!$B:$B,$A600,'Таблиця 1'!$I:$I,"Су-27",'Таблиця 1'!$J:$J,"AASM-250"))</f>
        <v/>
      </c>
      <c r="J600">
        <f>IF($A600="","",SUMIFS('Таблиця 1'!$K:$K,'Таблиця 1'!$B:$B,$A600,'Таблиця 1'!$I:$I,"Mirage",'Таблиця 1'!$J:$J,"GBU-39")+SUMIFS('Таблиця 1'!$K:$K,'Таблиця 1'!$B:$B,$A600,'Таблиця 1'!$I:$I,"F-16",'Таблиця 1'!$J:$J,"GBU-39")+SUMIFS('Таблиця 1'!$K:$K,'Таблиця 1'!$B:$B,$A600,'Таблиця 1'!$I:$I,"МіГ-29",'Таблиця 1'!$J:$J,"GBU-39")+SUMIFS('Таблиця 1'!$K:$K,'Таблиця 1'!$B:$B,$A600,'Таблиця 1'!$I:$I,"Су-25",'Таблиця 1'!$J:$J,"GBU-39")+SUMIFS('Таблиця 1'!$K:$K,'Таблиця 1'!$B:$B,$A600,'Таблиця 1'!$I:$I,"Су-27",'Таблиця 1'!$J:$J,"GBU-39"))</f>
        <v/>
      </c>
      <c r="K600">
        <f>IF($A600="","",SUMIFS('Таблиця 1'!$K:$K,'Таблиця 1'!$B:$B,$A600,'Таблиця 1'!$I:$I,"Mirage",'Таблиця 1'!$J:$J,"BLU-140")+SUMIFS('Таблиця 1'!$K:$K,'Таблиця 1'!$B:$B,$A600,'Таблиця 1'!$I:$I,"F-16",'Таблиця 1'!$J:$J,"BLU-140")+SUMIFS('Таблиця 1'!$K:$K,'Таблиця 1'!$B:$B,$A600,'Таблиця 1'!$I:$I,"МіГ-29",'Таблиця 1'!$J:$J,"BLU-140")+SUMIFS('Таблиця 1'!$K:$K,'Таблиця 1'!$B:$B,$A600,'Таблиця 1'!$I:$I,"Су-25",'Таблиця 1'!$J:$J,"BLU-140")+SUMIFS('Таблиця 1'!$K:$K,'Таблиця 1'!$B:$B,$A600,'Таблиця 1'!$I:$I,"Су-27",'Таблиця 1'!$J:$J,"BLU-140"))</f>
        <v/>
      </c>
      <c r="L600">
        <f>IF($A600="","",SUMIFS('Таблиця 1'!$K:$K,'Таблиця 1'!$B:$B,$A600,'Таблиця 1'!$I:$I,"Mirage",'Таблиця 1'!$J:$J,"GBU-65")+SUMIFS('Таблиця 1'!$K:$K,'Таблиця 1'!$B:$B,$A600,'Таблиця 1'!$I:$I,"F-16",'Таблиця 1'!$J:$J,"GBU-65")+SUMIFS('Таблиця 1'!$K:$K,'Таблиця 1'!$B:$B,$A600,'Таблиця 1'!$I:$I,"МіГ-29",'Таблиця 1'!$J:$J,"GBU-65")+SUMIFS('Таблиця 1'!$K:$K,'Таблиця 1'!$B:$B,$A600,'Таблиця 1'!$I:$I,"Су-25",'Таблиця 1'!$J:$J,"GBU-65")+SUMIFS('Таблиця 1'!$K:$K,'Таблиця 1'!$B:$B,$A600,'Таблиця 1'!$I:$I,"Су-27",'Таблиця 1'!$J:$J,"GBU-65"))</f>
        <v/>
      </c>
      <c r="M600">
        <f>IF($A600="","",SUMIFS('Таблиця 1'!$K:$K,'Таблиця 1'!$B:$B,$A600,'Таблиця 1'!$I:$I,"Mirage",'Таблиця 1'!$J:$J,"GBU-62")+SUMIFS('Таблиця 1'!$K:$K,'Таблиця 1'!$B:$B,$A600,'Таблиця 1'!$I:$I,"F-16",'Таблиця 1'!$J:$J,"GBU-62")+SUMIFS('Таблиця 1'!$K:$K,'Таблиця 1'!$B:$B,$A600,'Таблиця 1'!$I:$I,"МіГ-29",'Таблиця 1'!$J:$J,"GBU-62")+SUMIFS('Таблиця 1'!$K:$K,'Таблиця 1'!$B:$B,$A600,'Таблиця 1'!$I:$I,"Су-25",'Таблиця 1'!$J:$J,"GBU-62")+SUMIFS('Таблиця 1'!$K:$K,'Таблиця 1'!$B:$B,$A600,'Таблиця 1'!$I:$I,"Су-27",'Таблиця 1'!$J:$J,"GBU-62"))</f>
        <v/>
      </c>
      <c r="N600">
        <f>IF($A600="","",SUMIFS('Таблиця 1'!$K:$K,'Таблиця 1'!$B:$B,$A600,'Таблиця 1'!$I:$I,"Mirage",'Таблиця 1'!$J:$J,"GBU-64")+SUMIFS('Таблиця 1'!$K:$K,'Таблиця 1'!$B:$B,$A600,'Таблиця 1'!$I:$I,"F-16",'Таблиця 1'!$J:$J,"GBU-64")+SUMIFS('Таблиця 1'!$K:$K,'Таблиця 1'!$B:$B,$A600,'Таблиця 1'!$I:$I,"МіГ-29",'Таблиця 1'!$J:$J,"GBU-64")+SUMIFS('Таблиця 1'!$K:$K,'Таблиця 1'!$B:$B,$A600,'Таблиця 1'!$I:$I,"Су-25",'Таблиця 1'!$J:$J,"GBU-64")+SUMIFS('Таблиця 1'!$K:$K,'Таблиця 1'!$B:$B,$A600,'Таблиця 1'!$I:$I,"Су-27",'Таблиця 1'!$J:$J,"GBU-64"))</f>
        <v/>
      </c>
      <c r="O600">
        <f>IF($A600="","",SUMIFS('Таблиця 1'!$K:$K,'Таблиця 1'!$B:$B,$A600,'Таблиця 1'!$I:$I,"Mirage",'Таблиця 1'!$J:$J,"C-13")+SUMIFS('Таблиця 1'!$K:$K,'Таблиця 1'!$B:$B,$A600,'Таблиця 1'!$I:$I,"F-16",'Таблиця 1'!$J:$J,"C-13")+SUMIFS('Таблиця 1'!$K:$K,'Таблиця 1'!$B:$B,$A600,'Таблиця 1'!$I:$I,"МіГ-29",'Таблиця 1'!$J:$J,"C-13")+SUMIFS('Таблиця 1'!$K:$K,'Таблиця 1'!$B:$B,$A600,'Таблиця 1'!$I:$I,"Су-25",'Таблиця 1'!$J:$J,"C-13")+SUMIFS('Таблиця 1'!$K:$K,'Таблиця 1'!$B:$B,$A600,'Таблиця 1'!$I:$I,"Су-27",'Таблиця 1'!$J:$J,"C-13"))</f>
        <v/>
      </c>
      <c r="P600">
        <f>IF($A600="","",SUMIFS('Таблиця 1'!$K:$K,'Таблиця 1'!$B:$B,$A600,'Таблиця 1'!$I:$I,"Mirage",'Таблиця 1'!$J:$J,"MK-32")+SUMIFS('Таблиця 1'!$K:$K,'Таблиця 1'!$B:$B,$A600,'Таблиця 1'!$I:$I,"F-16",'Таблиця 1'!$J:$J,"MK-32")+SUMIFS('Таблиця 1'!$K:$K,'Таблиця 1'!$B:$B,$A600,'Таблиця 1'!$I:$I,"МіГ-29",'Таблиця 1'!$J:$J,"MK-32")+SUMIFS('Таблиця 1'!$K:$K,'Таблиця 1'!$B:$B,$A600,'Таблиця 1'!$I:$I,"Су-25",'Таблиця 1'!$J:$J,"MK-32")+SUMIFS('Таблиця 1'!$K:$K,'Таблиця 1'!$B:$B,$A600,'Таблиця 1'!$I:$I,"Су-27",'Таблиця 1'!$J:$J,"MK-32"))</f>
        <v/>
      </c>
      <c r="Q600">
        <f>IF($A600="","",SUMIFS('Таблиця 1'!$K:$K,'Таблиця 1'!$B:$B,$A600,'Таблиця 1'!$I:$I,"Mirage",'Таблиця 1'!$J:$J,"MK-24")+SUMIFS('Таблиця 1'!$K:$K,'Таблиця 1'!$B:$B,$A600,'Таблиця 1'!$I:$I,"F-16",'Таблиця 1'!$J:$J,"MK-24")+SUMIFS('Таблиця 1'!$K:$K,'Таблиця 1'!$B:$B,$A600,'Таблиця 1'!$I:$I,"МіГ-29",'Таблиця 1'!$J:$J,"MK-24")+SUMIFS('Таблиця 1'!$K:$K,'Таблиця 1'!$B:$B,$A600,'Таблиця 1'!$I:$I,"Су-25",'Таблиця 1'!$J:$J,"MK-24")+SUMIFS('Таблиця 1'!$K:$K,'Таблиця 1'!$B:$B,$A600,'Таблиця 1'!$I:$I,"Су-27",'Таблиця 1'!$J:$J,"MK-24"))</f>
        <v/>
      </c>
      <c r="R600">
        <f>IF($A600="","",COUNTIFS('Таблиця 1'!$B:$B,$A600,'Таблиця 1'!$I:$I,"Mirage",'Таблиця 1'!$L:$L,"Уражено")+COUNTIFS('Таблиця 1'!$B:$B,$A600,'Таблиця 1'!$I:$I,"F-16",'Таблиця 1'!$L:$L,"Уражено")+COUNTIFS('Таблиця 1'!$B:$B,$A600,'Таблиця 1'!$I:$I,"МіГ-29",'Таблиця 1'!$L:$L,"Уражено")+COUNTIFS('Таблиця 1'!$B:$B,$A600,'Таблиця 1'!$I:$I,"Су-25",'Таблиця 1'!$L:$L,"Уражено")+COUNTIFS('Таблиця 1'!$B:$B,$A600,'Таблиця 1'!$I:$I,"Су-27",'Таблиця 1'!$L:$L,"Уражено"))</f>
        <v/>
      </c>
      <c r="S600">
        <f>IF($A600="","",COUNTIFS('Таблиця 1'!$B:$B,$A600,'Таблиця 1'!$I:$I,"Mirage",'Таблиця 1'!$L:$L,"НЕ уражено")+COUNTIFS('Таблиця 1'!$B:$B,$A600,'Таблиця 1'!$I:$I,"F-16",'Таблиця 1'!$L:$L,"НЕ уражено")+COUNTIFS('Таблиця 1'!$B:$B,$A600,'Таблиця 1'!$I:$I,"МіГ-29",'Таблиця 1'!$L:$L,"НЕ уражено")+COUNTIFS('Таблиця 1'!$B:$B,$A600,'Таблиця 1'!$I:$I,"Су-25",'Таблиця 1'!$L:$L,"НЕ уражено")+COUNTIFS('Таблиця 1'!$B:$B,$A600,'Таблиця 1'!$I:$I,"Су-27",'Таблиця 1'!$L:$L,"НЕ уражено"))</f>
        <v/>
      </c>
      <c r="T600">
        <f>IF($A600="","",COUNTIFS('Таблиця 1'!$B:$B,$A600,'Таблиця 1'!$I:$I,"Mirage",'Таблиця 1'!$L:$L,"Дорозвідується")+COUNTIFS('Таблиця 1'!$B:$B,$A600,'Таблиця 1'!$I:$I,"F-16",'Таблиця 1'!$L:$L,"Дорозвідується")+COUNTIFS('Таблиця 1'!$B:$B,$A600,'Таблиця 1'!$I:$I,"МіГ-29",'Таблиця 1'!$L:$L,"Дорозвідується")+COUNTIFS('Таблиця 1'!$B:$B,$A600,'Таблиця 1'!$I:$I,"Су-25",'Таблиця 1'!$L:$L,"Дорозвідується")+COUNTIFS('Таблиця 1'!$B:$B,$A600,'Таблиця 1'!$I:$I,"Су-27",'Таблиця 1'!$L:$L,"Дорозвідується"))</f>
        <v/>
      </c>
    </row>
    <row r="601">
      <c r="A601" s="273">
        <f>IF(A600="","",IF(A600+1&gt;MAX('Таблиця 1'!$B:$B),"",A600+1))</f>
        <v/>
      </c>
      <c r="B601">
        <f>IF($A601="","",COUNTIFS('Таблиця 1'!$B:$B,$A601,'Таблиця 1'!$I:$I,"Mirage")+COUNTIFS('Таблиця 1'!$B:$B,$A601,'Таблиця 1'!$I:$I,"F-16")+COUNTIFS('Таблиця 1'!$B:$B,$A601,'Таблиця 1'!$I:$I,"МіГ-29")+COUNTIFS('Таблиця 1'!$B:$B,$A601,'Таблиця 1'!$I:$I,"Су-25")+COUNTIFS('Таблиця 1'!$B:$B,$A601,'Таблиця 1'!$I:$I,"Су-27"))</f>
        <v/>
      </c>
      <c r="C601">
        <f>IF($A601="","",COUNTIFS('Таблиця 1'!$B:$B,$A601,'Таблиця 1'!$I:$I,"Mirage"))</f>
        <v/>
      </c>
      <c r="D601">
        <f>IF($A601="","",COUNTIFS('Таблиця 1'!$B:$B,$A601,'Таблиця 1'!$I:$I,"F-16"))</f>
        <v/>
      </c>
      <c r="E601">
        <f>IF($A601="","",COUNTIFS('Таблиця 1'!$B:$B,$A601,'Таблиця 1'!$I:$I,"МіГ-29"))</f>
        <v/>
      </c>
      <c r="F601">
        <f>IF($A601="","",COUNTIFS('Таблиця 1'!$B:$B,$A601,'Таблиця 1'!$I:$I,"Су-25"))</f>
        <v/>
      </c>
      <c r="G601">
        <f>IF($A601="","",COUNTIFS('Таблиця 1'!$B:$B,$A601,'Таблиця 1'!$I:$I,"Су-27"))</f>
        <v/>
      </c>
      <c r="H601">
        <f>IF($A601="","",SUMIFS('Таблиця 1'!$K:$K,'Таблиця 1'!$B:$B,$A601,'Таблиця 1'!$I:$I,"Mirage",'Таблиця 1'!$J:$J,"AGM-88")+SUMIFS('Таблиця 1'!$K:$K,'Таблиця 1'!$B:$B,$A601,'Таблиця 1'!$I:$I,"F-16",'Таблиця 1'!$J:$J,"AGM-88")+SUMIFS('Таблиця 1'!$K:$K,'Таблиця 1'!$B:$B,$A601,'Таблиця 1'!$I:$I,"МіГ-29",'Таблиця 1'!$J:$J,"AGM-88")+SUMIFS('Таблиця 1'!$K:$K,'Таблиця 1'!$B:$B,$A601,'Таблиця 1'!$I:$I,"Су-25",'Таблиця 1'!$J:$J,"AGM-88")+SUMIFS('Таблиця 1'!$K:$K,'Таблиця 1'!$B:$B,$A601,'Таблиця 1'!$I:$I,"Су-27",'Таблиця 1'!$J:$J,"AGM-88"))</f>
        <v/>
      </c>
      <c r="I601">
        <f>IF($A601="","",SUMIFS('Таблиця 1'!$K:$K,'Таблиця 1'!$B:$B,$A601,'Таблиця 1'!$I:$I,"Mirage",'Таблиця 1'!$J:$J,"AASM-250")+SUMIFS('Таблиця 1'!$K:$K,'Таблиця 1'!$B:$B,$A601,'Таблиця 1'!$I:$I,"F-16",'Таблиця 1'!$J:$J,"AASM-250")+SUMIFS('Таблиця 1'!$K:$K,'Таблиця 1'!$B:$B,$A601,'Таблиця 1'!$I:$I,"МіГ-29",'Таблиця 1'!$J:$J,"AASM-250")+SUMIFS('Таблиця 1'!$K:$K,'Таблиця 1'!$B:$B,$A601,'Таблиця 1'!$I:$I,"Су-25",'Таблиця 1'!$J:$J,"AASM-250")+SUMIFS('Таблиця 1'!$K:$K,'Таблиця 1'!$B:$B,$A601,'Таблиця 1'!$I:$I,"Су-27",'Таблиця 1'!$J:$J,"AASM-250"))</f>
        <v/>
      </c>
      <c r="J601">
        <f>IF($A601="","",SUMIFS('Таблиця 1'!$K:$K,'Таблиця 1'!$B:$B,$A601,'Таблиця 1'!$I:$I,"Mirage",'Таблиця 1'!$J:$J,"GBU-39")+SUMIFS('Таблиця 1'!$K:$K,'Таблиця 1'!$B:$B,$A601,'Таблиця 1'!$I:$I,"F-16",'Таблиця 1'!$J:$J,"GBU-39")+SUMIFS('Таблиця 1'!$K:$K,'Таблиця 1'!$B:$B,$A601,'Таблиця 1'!$I:$I,"МіГ-29",'Таблиця 1'!$J:$J,"GBU-39")+SUMIFS('Таблиця 1'!$K:$K,'Таблиця 1'!$B:$B,$A601,'Таблиця 1'!$I:$I,"Су-25",'Таблиця 1'!$J:$J,"GBU-39")+SUMIFS('Таблиця 1'!$K:$K,'Таблиця 1'!$B:$B,$A601,'Таблиця 1'!$I:$I,"Су-27",'Таблиця 1'!$J:$J,"GBU-39"))</f>
        <v/>
      </c>
      <c r="K601">
        <f>IF($A601="","",SUMIFS('Таблиця 1'!$K:$K,'Таблиця 1'!$B:$B,$A601,'Таблиця 1'!$I:$I,"Mirage",'Таблиця 1'!$J:$J,"BLU-140")+SUMIFS('Таблиця 1'!$K:$K,'Таблиця 1'!$B:$B,$A601,'Таблиця 1'!$I:$I,"F-16",'Таблиця 1'!$J:$J,"BLU-140")+SUMIFS('Таблиця 1'!$K:$K,'Таблиця 1'!$B:$B,$A601,'Таблиця 1'!$I:$I,"МіГ-29",'Таблиця 1'!$J:$J,"BLU-140")+SUMIFS('Таблиця 1'!$K:$K,'Таблиця 1'!$B:$B,$A601,'Таблиця 1'!$I:$I,"Су-25",'Таблиця 1'!$J:$J,"BLU-140")+SUMIFS('Таблиця 1'!$K:$K,'Таблиця 1'!$B:$B,$A601,'Таблиця 1'!$I:$I,"Су-27",'Таблиця 1'!$J:$J,"BLU-140"))</f>
        <v/>
      </c>
      <c r="L601">
        <f>IF($A601="","",SUMIFS('Таблиця 1'!$K:$K,'Таблиця 1'!$B:$B,$A601,'Таблиця 1'!$I:$I,"Mirage",'Таблиця 1'!$J:$J,"GBU-65")+SUMIFS('Таблиця 1'!$K:$K,'Таблиця 1'!$B:$B,$A601,'Таблиця 1'!$I:$I,"F-16",'Таблиця 1'!$J:$J,"GBU-65")+SUMIFS('Таблиця 1'!$K:$K,'Таблиця 1'!$B:$B,$A601,'Таблиця 1'!$I:$I,"МіГ-29",'Таблиця 1'!$J:$J,"GBU-65")+SUMIFS('Таблиця 1'!$K:$K,'Таблиця 1'!$B:$B,$A601,'Таблиця 1'!$I:$I,"Су-25",'Таблиця 1'!$J:$J,"GBU-65")+SUMIFS('Таблиця 1'!$K:$K,'Таблиця 1'!$B:$B,$A601,'Таблиця 1'!$I:$I,"Су-27",'Таблиця 1'!$J:$J,"GBU-65"))</f>
        <v/>
      </c>
      <c r="M601">
        <f>IF($A601="","",SUMIFS('Таблиця 1'!$K:$K,'Таблиця 1'!$B:$B,$A601,'Таблиця 1'!$I:$I,"Mirage",'Таблиця 1'!$J:$J,"GBU-62")+SUMIFS('Таблиця 1'!$K:$K,'Таблиця 1'!$B:$B,$A601,'Таблиця 1'!$I:$I,"F-16",'Таблиця 1'!$J:$J,"GBU-62")+SUMIFS('Таблиця 1'!$K:$K,'Таблиця 1'!$B:$B,$A601,'Таблиця 1'!$I:$I,"МіГ-29",'Таблиця 1'!$J:$J,"GBU-62")+SUMIFS('Таблиця 1'!$K:$K,'Таблиця 1'!$B:$B,$A601,'Таблиця 1'!$I:$I,"Су-25",'Таблиця 1'!$J:$J,"GBU-62")+SUMIFS('Таблиця 1'!$K:$K,'Таблиця 1'!$B:$B,$A601,'Таблиця 1'!$I:$I,"Су-27",'Таблиця 1'!$J:$J,"GBU-62"))</f>
        <v/>
      </c>
      <c r="N601">
        <f>IF($A601="","",SUMIFS('Таблиця 1'!$K:$K,'Таблиця 1'!$B:$B,$A601,'Таблиця 1'!$I:$I,"Mirage",'Таблиця 1'!$J:$J,"GBU-64")+SUMIFS('Таблиця 1'!$K:$K,'Таблиця 1'!$B:$B,$A601,'Таблиця 1'!$I:$I,"F-16",'Таблиця 1'!$J:$J,"GBU-64")+SUMIFS('Таблиця 1'!$K:$K,'Таблиця 1'!$B:$B,$A601,'Таблиця 1'!$I:$I,"МіГ-29",'Таблиця 1'!$J:$J,"GBU-64")+SUMIFS('Таблиця 1'!$K:$K,'Таблиця 1'!$B:$B,$A601,'Таблиця 1'!$I:$I,"Су-25",'Таблиця 1'!$J:$J,"GBU-64")+SUMIFS('Таблиця 1'!$K:$K,'Таблиця 1'!$B:$B,$A601,'Таблиця 1'!$I:$I,"Су-27",'Таблиця 1'!$J:$J,"GBU-64"))</f>
        <v/>
      </c>
      <c r="O601">
        <f>IF($A601="","",SUMIFS('Таблиця 1'!$K:$K,'Таблиця 1'!$B:$B,$A601,'Таблиця 1'!$I:$I,"Mirage",'Таблиця 1'!$J:$J,"C-13")+SUMIFS('Таблиця 1'!$K:$K,'Таблиця 1'!$B:$B,$A601,'Таблиця 1'!$I:$I,"F-16",'Таблиця 1'!$J:$J,"C-13")+SUMIFS('Таблиця 1'!$K:$K,'Таблиця 1'!$B:$B,$A601,'Таблиця 1'!$I:$I,"МіГ-29",'Таблиця 1'!$J:$J,"C-13")+SUMIFS('Таблиця 1'!$K:$K,'Таблиця 1'!$B:$B,$A601,'Таблиця 1'!$I:$I,"Су-25",'Таблиця 1'!$J:$J,"C-13")+SUMIFS('Таблиця 1'!$K:$K,'Таблиця 1'!$B:$B,$A601,'Таблиця 1'!$I:$I,"Су-27",'Таблиця 1'!$J:$J,"C-13"))</f>
        <v/>
      </c>
      <c r="P601">
        <f>IF($A601="","",SUMIFS('Таблиця 1'!$K:$K,'Таблиця 1'!$B:$B,$A601,'Таблиця 1'!$I:$I,"Mirage",'Таблиця 1'!$J:$J,"MK-32")+SUMIFS('Таблиця 1'!$K:$K,'Таблиця 1'!$B:$B,$A601,'Таблиця 1'!$I:$I,"F-16",'Таблиця 1'!$J:$J,"MK-32")+SUMIFS('Таблиця 1'!$K:$K,'Таблиця 1'!$B:$B,$A601,'Таблиця 1'!$I:$I,"МіГ-29",'Таблиця 1'!$J:$J,"MK-32")+SUMIFS('Таблиця 1'!$K:$K,'Таблиця 1'!$B:$B,$A601,'Таблиця 1'!$I:$I,"Су-25",'Таблиця 1'!$J:$J,"MK-32")+SUMIFS('Таблиця 1'!$K:$K,'Таблиця 1'!$B:$B,$A601,'Таблиця 1'!$I:$I,"Су-27",'Таблиця 1'!$J:$J,"MK-32"))</f>
        <v/>
      </c>
      <c r="Q601">
        <f>IF($A601="","",SUMIFS('Таблиця 1'!$K:$K,'Таблиця 1'!$B:$B,$A601,'Таблиця 1'!$I:$I,"Mirage",'Таблиця 1'!$J:$J,"MK-24")+SUMIFS('Таблиця 1'!$K:$K,'Таблиця 1'!$B:$B,$A601,'Таблиця 1'!$I:$I,"F-16",'Таблиця 1'!$J:$J,"MK-24")+SUMIFS('Таблиця 1'!$K:$K,'Таблиця 1'!$B:$B,$A601,'Таблиця 1'!$I:$I,"МіГ-29",'Таблиця 1'!$J:$J,"MK-24")+SUMIFS('Таблиця 1'!$K:$K,'Таблиця 1'!$B:$B,$A601,'Таблиця 1'!$I:$I,"Су-25",'Таблиця 1'!$J:$J,"MK-24")+SUMIFS('Таблиця 1'!$K:$K,'Таблиця 1'!$B:$B,$A601,'Таблиця 1'!$I:$I,"Су-27",'Таблиця 1'!$J:$J,"MK-24"))</f>
        <v/>
      </c>
      <c r="R601">
        <f>IF($A601="","",COUNTIFS('Таблиця 1'!$B:$B,$A601,'Таблиця 1'!$I:$I,"Mirage",'Таблиця 1'!$L:$L,"Уражено")+COUNTIFS('Таблиця 1'!$B:$B,$A601,'Таблиця 1'!$I:$I,"F-16",'Таблиця 1'!$L:$L,"Уражено")+COUNTIFS('Таблиця 1'!$B:$B,$A601,'Таблиця 1'!$I:$I,"МіГ-29",'Таблиця 1'!$L:$L,"Уражено")+COUNTIFS('Таблиця 1'!$B:$B,$A601,'Таблиця 1'!$I:$I,"Су-25",'Таблиця 1'!$L:$L,"Уражено")+COUNTIFS('Таблиця 1'!$B:$B,$A601,'Таблиця 1'!$I:$I,"Су-27",'Таблиця 1'!$L:$L,"Уражено"))</f>
        <v/>
      </c>
      <c r="S601">
        <f>IF($A601="","",COUNTIFS('Таблиця 1'!$B:$B,$A601,'Таблиця 1'!$I:$I,"Mirage",'Таблиця 1'!$L:$L,"НЕ уражено")+COUNTIFS('Таблиця 1'!$B:$B,$A601,'Таблиця 1'!$I:$I,"F-16",'Таблиця 1'!$L:$L,"НЕ уражено")+COUNTIFS('Таблиця 1'!$B:$B,$A601,'Таблиця 1'!$I:$I,"МіГ-29",'Таблиця 1'!$L:$L,"НЕ уражено")+COUNTIFS('Таблиця 1'!$B:$B,$A601,'Таблиця 1'!$I:$I,"Су-25",'Таблиця 1'!$L:$L,"НЕ уражено")+COUNTIFS('Таблиця 1'!$B:$B,$A601,'Таблиця 1'!$I:$I,"Су-27",'Таблиця 1'!$L:$L,"НЕ уражено"))</f>
        <v/>
      </c>
      <c r="T601">
        <f>IF($A601="","",COUNTIFS('Таблиця 1'!$B:$B,$A601,'Таблиця 1'!$I:$I,"Mirage",'Таблиця 1'!$L:$L,"Дорозвідується")+COUNTIFS('Таблиця 1'!$B:$B,$A601,'Таблиця 1'!$I:$I,"F-16",'Таблиця 1'!$L:$L,"Дорозвідується")+COUNTIFS('Таблиця 1'!$B:$B,$A601,'Таблиця 1'!$I:$I,"МіГ-29",'Таблиця 1'!$L:$L,"Дорозвідується")+COUNTIFS('Таблиця 1'!$B:$B,$A601,'Таблиця 1'!$I:$I,"Су-25",'Таблиця 1'!$L:$L,"Дорозвідується")+COUNTIFS('Таблиця 1'!$B:$B,$A601,'Таблиця 1'!$I:$I,"Су-27",'Таблиця 1'!$L:$L,"Дорозвідується"))</f>
        <v/>
      </c>
    </row>
    <row r="602">
      <c r="A602" s="273">
        <f>IF(A601="","",IF(A601+1&gt;MAX('Таблиця 1'!$B:$B),"",A601+1))</f>
        <v/>
      </c>
      <c r="B602">
        <f>IF($A602="","",COUNTIFS('Таблиця 1'!$B:$B,$A602,'Таблиця 1'!$I:$I,"Mirage")+COUNTIFS('Таблиця 1'!$B:$B,$A602,'Таблиця 1'!$I:$I,"F-16")+COUNTIFS('Таблиця 1'!$B:$B,$A602,'Таблиця 1'!$I:$I,"МіГ-29")+COUNTIFS('Таблиця 1'!$B:$B,$A602,'Таблиця 1'!$I:$I,"Су-25")+COUNTIFS('Таблиця 1'!$B:$B,$A602,'Таблиця 1'!$I:$I,"Су-27"))</f>
        <v/>
      </c>
      <c r="C602">
        <f>IF($A602="","",COUNTIFS('Таблиця 1'!$B:$B,$A602,'Таблиця 1'!$I:$I,"Mirage"))</f>
        <v/>
      </c>
      <c r="D602">
        <f>IF($A602="","",COUNTIFS('Таблиця 1'!$B:$B,$A602,'Таблиця 1'!$I:$I,"F-16"))</f>
        <v/>
      </c>
      <c r="E602">
        <f>IF($A602="","",COUNTIFS('Таблиця 1'!$B:$B,$A602,'Таблиця 1'!$I:$I,"МіГ-29"))</f>
        <v/>
      </c>
      <c r="F602">
        <f>IF($A602="","",COUNTIFS('Таблиця 1'!$B:$B,$A602,'Таблиця 1'!$I:$I,"Су-25"))</f>
        <v/>
      </c>
      <c r="G602">
        <f>IF($A602="","",COUNTIFS('Таблиця 1'!$B:$B,$A602,'Таблиця 1'!$I:$I,"Су-27"))</f>
        <v/>
      </c>
      <c r="H602">
        <f>IF($A602="","",SUMIFS('Таблиця 1'!$K:$K,'Таблиця 1'!$B:$B,$A602,'Таблиця 1'!$I:$I,"Mirage",'Таблиця 1'!$J:$J,"AGM-88")+SUMIFS('Таблиця 1'!$K:$K,'Таблиця 1'!$B:$B,$A602,'Таблиця 1'!$I:$I,"F-16",'Таблиця 1'!$J:$J,"AGM-88")+SUMIFS('Таблиця 1'!$K:$K,'Таблиця 1'!$B:$B,$A602,'Таблиця 1'!$I:$I,"МіГ-29",'Таблиця 1'!$J:$J,"AGM-88")+SUMIFS('Таблиця 1'!$K:$K,'Таблиця 1'!$B:$B,$A602,'Таблиця 1'!$I:$I,"Су-25",'Таблиця 1'!$J:$J,"AGM-88")+SUMIFS('Таблиця 1'!$K:$K,'Таблиця 1'!$B:$B,$A602,'Таблиця 1'!$I:$I,"Су-27",'Таблиця 1'!$J:$J,"AGM-88"))</f>
        <v/>
      </c>
      <c r="I602">
        <f>IF($A602="","",SUMIFS('Таблиця 1'!$K:$K,'Таблиця 1'!$B:$B,$A602,'Таблиця 1'!$I:$I,"Mirage",'Таблиця 1'!$J:$J,"AASM-250")+SUMIFS('Таблиця 1'!$K:$K,'Таблиця 1'!$B:$B,$A602,'Таблиця 1'!$I:$I,"F-16",'Таблиця 1'!$J:$J,"AASM-250")+SUMIFS('Таблиця 1'!$K:$K,'Таблиця 1'!$B:$B,$A602,'Таблиця 1'!$I:$I,"МіГ-29",'Таблиця 1'!$J:$J,"AASM-250")+SUMIFS('Таблиця 1'!$K:$K,'Таблиця 1'!$B:$B,$A602,'Таблиця 1'!$I:$I,"Су-25",'Таблиця 1'!$J:$J,"AASM-250")+SUMIFS('Таблиця 1'!$K:$K,'Таблиця 1'!$B:$B,$A602,'Таблиця 1'!$I:$I,"Су-27",'Таблиця 1'!$J:$J,"AASM-250"))</f>
        <v/>
      </c>
      <c r="J602">
        <f>IF($A602="","",SUMIFS('Таблиця 1'!$K:$K,'Таблиця 1'!$B:$B,$A602,'Таблиця 1'!$I:$I,"Mirage",'Таблиця 1'!$J:$J,"GBU-39")+SUMIFS('Таблиця 1'!$K:$K,'Таблиця 1'!$B:$B,$A602,'Таблиця 1'!$I:$I,"F-16",'Таблиця 1'!$J:$J,"GBU-39")+SUMIFS('Таблиця 1'!$K:$K,'Таблиця 1'!$B:$B,$A602,'Таблиця 1'!$I:$I,"МіГ-29",'Таблиця 1'!$J:$J,"GBU-39")+SUMIFS('Таблиця 1'!$K:$K,'Таблиця 1'!$B:$B,$A602,'Таблиця 1'!$I:$I,"Су-25",'Таблиця 1'!$J:$J,"GBU-39")+SUMIFS('Таблиця 1'!$K:$K,'Таблиця 1'!$B:$B,$A602,'Таблиця 1'!$I:$I,"Су-27",'Таблиця 1'!$J:$J,"GBU-39"))</f>
        <v/>
      </c>
      <c r="K602">
        <f>IF($A602="","",SUMIFS('Таблиця 1'!$K:$K,'Таблиця 1'!$B:$B,$A602,'Таблиця 1'!$I:$I,"Mirage",'Таблиця 1'!$J:$J,"BLU-140")+SUMIFS('Таблиця 1'!$K:$K,'Таблиця 1'!$B:$B,$A602,'Таблиця 1'!$I:$I,"F-16",'Таблиця 1'!$J:$J,"BLU-140")+SUMIFS('Таблиця 1'!$K:$K,'Таблиця 1'!$B:$B,$A602,'Таблиця 1'!$I:$I,"МіГ-29",'Таблиця 1'!$J:$J,"BLU-140")+SUMIFS('Таблиця 1'!$K:$K,'Таблиця 1'!$B:$B,$A602,'Таблиця 1'!$I:$I,"Су-25",'Таблиця 1'!$J:$J,"BLU-140")+SUMIFS('Таблиця 1'!$K:$K,'Таблиця 1'!$B:$B,$A602,'Таблиця 1'!$I:$I,"Су-27",'Таблиця 1'!$J:$J,"BLU-140"))</f>
        <v/>
      </c>
      <c r="L602">
        <f>IF($A602="","",SUMIFS('Таблиця 1'!$K:$K,'Таблиця 1'!$B:$B,$A602,'Таблиця 1'!$I:$I,"Mirage",'Таблиця 1'!$J:$J,"GBU-65")+SUMIFS('Таблиця 1'!$K:$K,'Таблиця 1'!$B:$B,$A602,'Таблиця 1'!$I:$I,"F-16",'Таблиця 1'!$J:$J,"GBU-65")+SUMIFS('Таблиця 1'!$K:$K,'Таблиця 1'!$B:$B,$A602,'Таблиця 1'!$I:$I,"МіГ-29",'Таблиця 1'!$J:$J,"GBU-65")+SUMIFS('Таблиця 1'!$K:$K,'Таблиця 1'!$B:$B,$A602,'Таблиця 1'!$I:$I,"Су-25",'Таблиця 1'!$J:$J,"GBU-65")+SUMIFS('Таблиця 1'!$K:$K,'Таблиця 1'!$B:$B,$A602,'Таблиця 1'!$I:$I,"Су-27",'Таблиця 1'!$J:$J,"GBU-65"))</f>
        <v/>
      </c>
      <c r="M602">
        <f>IF($A602="","",SUMIFS('Таблиця 1'!$K:$K,'Таблиця 1'!$B:$B,$A602,'Таблиця 1'!$I:$I,"Mirage",'Таблиця 1'!$J:$J,"GBU-62")+SUMIFS('Таблиця 1'!$K:$K,'Таблиця 1'!$B:$B,$A602,'Таблиця 1'!$I:$I,"F-16",'Таблиця 1'!$J:$J,"GBU-62")+SUMIFS('Таблиця 1'!$K:$K,'Таблиця 1'!$B:$B,$A602,'Таблиця 1'!$I:$I,"МіГ-29",'Таблиця 1'!$J:$J,"GBU-62")+SUMIFS('Таблиця 1'!$K:$K,'Таблиця 1'!$B:$B,$A602,'Таблиця 1'!$I:$I,"Су-25",'Таблиця 1'!$J:$J,"GBU-62")+SUMIFS('Таблиця 1'!$K:$K,'Таблиця 1'!$B:$B,$A602,'Таблиця 1'!$I:$I,"Су-27",'Таблиця 1'!$J:$J,"GBU-62"))</f>
        <v/>
      </c>
      <c r="N602">
        <f>IF($A602="","",SUMIFS('Таблиця 1'!$K:$K,'Таблиця 1'!$B:$B,$A602,'Таблиця 1'!$I:$I,"Mirage",'Таблиця 1'!$J:$J,"GBU-64")+SUMIFS('Таблиця 1'!$K:$K,'Таблиця 1'!$B:$B,$A602,'Таблиця 1'!$I:$I,"F-16",'Таблиця 1'!$J:$J,"GBU-64")+SUMIFS('Таблиця 1'!$K:$K,'Таблиця 1'!$B:$B,$A602,'Таблиця 1'!$I:$I,"МіГ-29",'Таблиця 1'!$J:$J,"GBU-64")+SUMIFS('Таблиця 1'!$K:$K,'Таблиця 1'!$B:$B,$A602,'Таблиця 1'!$I:$I,"Су-25",'Таблиця 1'!$J:$J,"GBU-64")+SUMIFS('Таблиця 1'!$K:$K,'Таблиця 1'!$B:$B,$A602,'Таблиця 1'!$I:$I,"Су-27",'Таблиця 1'!$J:$J,"GBU-64"))</f>
        <v/>
      </c>
      <c r="O602">
        <f>IF($A602="","",SUMIFS('Таблиця 1'!$K:$K,'Таблиця 1'!$B:$B,$A602,'Таблиця 1'!$I:$I,"Mirage",'Таблиця 1'!$J:$J,"C-13")+SUMIFS('Таблиця 1'!$K:$K,'Таблиця 1'!$B:$B,$A602,'Таблиця 1'!$I:$I,"F-16",'Таблиця 1'!$J:$J,"C-13")+SUMIFS('Таблиця 1'!$K:$K,'Таблиця 1'!$B:$B,$A602,'Таблиця 1'!$I:$I,"МіГ-29",'Таблиця 1'!$J:$J,"C-13")+SUMIFS('Таблиця 1'!$K:$K,'Таблиця 1'!$B:$B,$A602,'Таблиця 1'!$I:$I,"Су-25",'Таблиця 1'!$J:$J,"C-13")+SUMIFS('Таблиця 1'!$K:$K,'Таблиця 1'!$B:$B,$A602,'Таблиця 1'!$I:$I,"Су-27",'Таблиця 1'!$J:$J,"C-13"))</f>
        <v/>
      </c>
      <c r="P602">
        <f>IF($A602="","",SUMIFS('Таблиця 1'!$K:$K,'Таблиця 1'!$B:$B,$A602,'Таблиця 1'!$I:$I,"Mirage",'Таблиця 1'!$J:$J,"MK-32")+SUMIFS('Таблиця 1'!$K:$K,'Таблиця 1'!$B:$B,$A602,'Таблиця 1'!$I:$I,"F-16",'Таблиця 1'!$J:$J,"MK-32")+SUMIFS('Таблиця 1'!$K:$K,'Таблиця 1'!$B:$B,$A602,'Таблиця 1'!$I:$I,"МіГ-29",'Таблиця 1'!$J:$J,"MK-32")+SUMIFS('Таблиця 1'!$K:$K,'Таблиця 1'!$B:$B,$A602,'Таблиця 1'!$I:$I,"Су-25",'Таблиця 1'!$J:$J,"MK-32")+SUMIFS('Таблиця 1'!$K:$K,'Таблиця 1'!$B:$B,$A602,'Таблиця 1'!$I:$I,"Су-27",'Таблиця 1'!$J:$J,"MK-32"))</f>
        <v/>
      </c>
      <c r="Q602">
        <f>IF($A602="","",SUMIFS('Таблиця 1'!$K:$K,'Таблиця 1'!$B:$B,$A602,'Таблиця 1'!$I:$I,"Mirage",'Таблиця 1'!$J:$J,"MK-24")+SUMIFS('Таблиця 1'!$K:$K,'Таблиця 1'!$B:$B,$A602,'Таблиця 1'!$I:$I,"F-16",'Таблиця 1'!$J:$J,"MK-24")+SUMIFS('Таблиця 1'!$K:$K,'Таблиця 1'!$B:$B,$A602,'Таблиця 1'!$I:$I,"МіГ-29",'Таблиця 1'!$J:$J,"MK-24")+SUMIFS('Таблиця 1'!$K:$K,'Таблиця 1'!$B:$B,$A602,'Таблиця 1'!$I:$I,"Су-25",'Таблиця 1'!$J:$J,"MK-24")+SUMIFS('Таблиця 1'!$K:$K,'Таблиця 1'!$B:$B,$A602,'Таблиця 1'!$I:$I,"Су-27",'Таблиця 1'!$J:$J,"MK-24"))</f>
        <v/>
      </c>
      <c r="R602">
        <f>IF($A602="","",COUNTIFS('Таблиця 1'!$B:$B,$A602,'Таблиця 1'!$I:$I,"Mirage",'Таблиця 1'!$L:$L,"Уражено")+COUNTIFS('Таблиця 1'!$B:$B,$A602,'Таблиця 1'!$I:$I,"F-16",'Таблиця 1'!$L:$L,"Уражено")+COUNTIFS('Таблиця 1'!$B:$B,$A602,'Таблиця 1'!$I:$I,"МіГ-29",'Таблиця 1'!$L:$L,"Уражено")+COUNTIFS('Таблиця 1'!$B:$B,$A602,'Таблиця 1'!$I:$I,"Су-25",'Таблиця 1'!$L:$L,"Уражено")+COUNTIFS('Таблиця 1'!$B:$B,$A602,'Таблиця 1'!$I:$I,"Су-27",'Таблиця 1'!$L:$L,"Уражено"))</f>
        <v/>
      </c>
      <c r="S602">
        <f>IF($A602="","",COUNTIFS('Таблиця 1'!$B:$B,$A602,'Таблиця 1'!$I:$I,"Mirage",'Таблиця 1'!$L:$L,"НЕ уражено")+COUNTIFS('Таблиця 1'!$B:$B,$A602,'Таблиця 1'!$I:$I,"F-16",'Таблиця 1'!$L:$L,"НЕ уражено")+COUNTIFS('Таблиця 1'!$B:$B,$A602,'Таблиця 1'!$I:$I,"МіГ-29",'Таблиця 1'!$L:$L,"НЕ уражено")+COUNTIFS('Таблиця 1'!$B:$B,$A602,'Таблиця 1'!$I:$I,"Су-25",'Таблиця 1'!$L:$L,"НЕ уражено")+COUNTIFS('Таблиця 1'!$B:$B,$A602,'Таблиця 1'!$I:$I,"Су-27",'Таблиця 1'!$L:$L,"НЕ уражено"))</f>
        <v/>
      </c>
      <c r="T602">
        <f>IF($A602="","",COUNTIFS('Таблиця 1'!$B:$B,$A602,'Таблиця 1'!$I:$I,"Mirage",'Таблиця 1'!$L:$L,"Дорозвідується")+COUNTIFS('Таблиця 1'!$B:$B,$A602,'Таблиця 1'!$I:$I,"F-16",'Таблиця 1'!$L:$L,"Дорозвідується")+COUNTIFS('Таблиця 1'!$B:$B,$A602,'Таблиця 1'!$I:$I,"МіГ-29",'Таблиця 1'!$L:$L,"Дорозвідується")+COUNTIFS('Таблиця 1'!$B:$B,$A602,'Таблиця 1'!$I:$I,"Су-25",'Таблиця 1'!$L:$L,"Дорозвідується")+COUNTIFS('Таблиця 1'!$B:$B,$A602,'Таблиця 1'!$I:$I,"Су-27",'Таблиця 1'!$L:$L,"Дорозвідується"))</f>
        <v/>
      </c>
    </row>
    <row r="603">
      <c r="A603" s="273">
        <f>IF(A602="","",IF(A602+1&gt;MAX('Таблиця 1'!$B:$B),"",A602+1))</f>
        <v/>
      </c>
      <c r="B603">
        <f>IF($A603="","",COUNTIFS('Таблиця 1'!$B:$B,$A603,'Таблиця 1'!$I:$I,"Mirage")+COUNTIFS('Таблиця 1'!$B:$B,$A603,'Таблиця 1'!$I:$I,"F-16")+COUNTIFS('Таблиця 1'!$B:$B,$A603,'Таблиця 1'!$I:$I,"МіГ-29")+COUNTIFS('Таблиця 1'!$B:$B,$A603,'Таблиця 1'!$I:$I,"Су-25")+COUNTIFS('Таблиця 1'!$B:$B,$A603,'Таблиця 1'!$I:$I,"Су-27"))</f>
        <v/>
      </c>
      <c r="C603">
        <f>IF($A603="","",COUNTIFS('Таблиця 1'!$B:$B,$A603,'Таблиця 1'!$I:$I,"Mirage"))</f>
        <v/>
      </c>
      <c r="D603">
        <f>IF($A603="","",COUNTIFS('Таблиця 1'!$B:$B,$A603,'Таблиця 1'!$I:$I,"F-16"))</f>
        <v/>
      </c>
      <c r="E603">
        <f>IF($A603="","",COUNTIFS('Таблиця 1'!$B:$B,$A603,'Таблиця 1'!$I:$I,"МіГ-29"))</f>
        <v/>
      </c>
      <c r="F603">
        <f>IF($A603="","",COUNTIFS('Таблиця 1'!$B:$B,$A603,'Таблиця 1'!$I:$I,"Су-25"))</f>
        <v/>
      </c>
      <c r="G603">
        <f>IF($A603="","",COUNTIFS('Таблиця 1'!$B:$B,$A603,'Таблиця 1'!$I:$I,"Су-27"))</f>
        <v/>
      </c>
      <c r="H603">
        <f>IF($A603="","",SUMIFS('Таблиця 1'!$K:$K,'Таблиця 1'!$B:$B,$A603,'Таблиця 1'!$I:$I,"Mirage",'Таблиця 1'!$J:$J,"AGM-88")+SUMIFS('Таблиця 1'!$K:$K,'Таблиця 1'!$B:$B,$A603,'Таблиця 1'!$I:$I,"F-16",'Таблиця 1'!$J:$J,"AGM-88")+SUMIFS('Таблиця 1'!$K:$K,'Таблиця 1'!$B:$B,$A603,'Таблиця 1'!$I:$I,"МіГ-29",'Таблиця 1'!$J:$J,"AGM-88")+SUMIFS('Таблиця 1'!$K:$K,'Таблиця 1'!$B:$B,$A603,'Таблиця 1'!$I:$I,"Су-25",'Таблиця 1'!$J:$J,"AGM-88")+SUMIFS('Таблиця 1'!$K:$K,'Таблиця 1'!$B:$B,$A603,'Таблиця 1'!$I:$I,"Су-27",'Таблиця 1'!$J:$J,"AGM-88"))</f>
        <v/>
      </c>
      <c r="I603">
        <f>IF($A603="","",SUMIFS('Таблиця 1'!$K:$K,'Таблиця 1'!$B:$B,$A603,'Таблиця 1'!$I:$I,"Mirage",'Таблиця 1'!$J:$J,"AASM-250")+SUMIFS('Таблиця 1'!$K:$K,'Таблиця 1'!$B:$B,$A603,'Таблиця 1'!$I:$I,"F-16",'Таблиця 1'!$J:$J,"AASM-250")+SUMIFS('Таблиця 1'!$K:$K,'Таблиця 1'!$B:$B,$A603,'Таблиця 1'!$I:$I,"МіГ-29",'Таблиця 1'!$J:$J,"AASM-250")+SUMIFS('Таблиця 1'!$K:$K,'Таблиця 1'!$B:$B,$A603,'Таблиця 1'!$I:$I,"Су-25",'Таблиця 1'!$J:$J,"AASM-250")+SUMIFS('Таблиця 1'!$K:$K,'Таблиця 1'!$B:$B,$A603,'Таблиця 1'!$I:$I,"Су-27",'Таблиця 1'!$J:$J,"AASM-250"))</f>
        <v/>
      </c>
      <c r="J603">
        <f>IF($A603="","",SUMIFS('Таблиця 1'!$K:$K,'Таблиця 1'!$B:$B,$A603,'Таблиця 1'!$I:$I,"Mirage",'Таблиця 1'!$J:$J,"GBU-39")+SUMIFS('Таблиця 1'!$K:$K,'Таблиця 1'!$B:$B,$A603,'Таблиця 1'!$I:$I,"F-16",'Таблиця 1'!$J:$J,"GBU-39")+SUMIFS('Таблиця 1'!$K:$K,'Таблиця 1'!$B:$B,$A603,'Таблиця 1'!$I:$I,"МіГ-29",'Таблиця 1'!$J:$J,"GBU-39")+SUMIFS('Таблиця 1'!$K:$K,'Таблиця 1'!$B:$B,$A603,'Таблиця 1'!$I:$I,"Су-25",'Таблиця 1'!$J:$J,"GBU-39")+SUMIFS('Таблиця 1'!$K:$K,'Таблиця 1'!$B:$B,$A603,'Таблиця 1'!$I:$I,"Су-27",'Таблиця 1'!$J:$J,"GBU-39"))</f>
        <v/>
      </c>
      <c r="K603">
        <f>IF($A603="","",SUMIFS('Таблиця 1'!$K:$K,'Таблиця 1'!$B:$B,$A603,'Таблиця 1'!$I:$I,"Mirage",'Таблиця 1'!$J:$J,"BLU-140")+SUMIFS('Таблиця 1'!$K:$K,'Таблиця 1'!$B:$B,$A603,'Таблиця 1'!$I:$I,"F-16",'Таблиця 1'!$J:$J,"BLU-140")+SUMIFS('Таблиця 1'!$K:$K,'Таблиця 1'!$B:$B,$A603,'Таблиця 1'!$I:$I,"МіГ-29",'Таблиця 1'!$J:$J,"BLU-140")+SUMIFS('Таблиця 1'!$K:$K,'Таблиця 1'!$B:$B,$A603,'Таблиця 1'!$I:$I,"Су-25",'Таблиця 1'!$J:$J,"BLU-140")+SUMIFS('Таблиця 1'!$K:$K,'Таблиця 1'!$B:$B,$A603,'Таблиця 1'!$I:$I,"Су-27",'Таблиця 1'!$J:$J,"BLU-140"))</f>
        <v/>
      </c>
      <c r="L603">
        <f>IF($A603="","",SUMIFS('Таблиця 1'!$K:$K,'Таблиця 1'!$B:$B,$A603,'Таблиця 1'!$I:$I,"Mirage",'Таблиця 1'!$J:$J,"GBU-65")+SUMIFS('Таблиця 1'!$K:$K,'Таблиця 1'!$B:$B,$A603,'Таблиця 1'!$I:$I,"F-16",'Таблиця 1'!$J:$J,"GBU-65")+SUMIFS('Таблиця 1'!$K:$K,'Таблиця 1'!$B:$B,$A603,'Таблиця 1'!$I:$I,"МіГ-29",'Таблиця 1'!$J:$J,"GBU-65")+SUMIFS('Таблиця 1'!$K:$K,'Таблиця 1'!$B:$B,$A603,'Таблиця 1'!$I:$I,"Су-25",'Таблиця 1'!$J:$J,"GBU-65")+SUMIFS('Таблиця 1'!$K:$K,'Таблиця 1'!$B:$B,$A603,'Таблиця 1'!$I:$I,"Су-27",'Таблиця 1'!$J:$J,"GBU-65"))</f>
        <v/>
      </c>
      <c r="M603">
        <f>IF($A603="","",SUMIFS('Таблиця 1'!$K:$K,'Таблиця 1'!$B:$B,$A603,'Таблиця 1'!$I:$I,"Mirage",'Таблиця 1'!$J:$J,"GBU-62")+SUMIFS('Таблиця 1'!$K:$K,'Таблиця 1'!$B:$B,$A603,'Таблиця 1'!$I:$I,"F-16",'Таблиця 1'!$J:$J,"GBU-62")+SUMIFS('Таблиця 1'!$K:$K,'Таблиця 1'!$B:$B,$A603,'Таблиця 1'!$I:$I,"МіГ-29",'Таблиця 1'!$J:$J,"GBU-62")+SUMIFS('Таблиця 1'!$K:$K,'Таблиця 1'!$B:$B,$A603,'Таблиця 1'!$I:$I,"Су-25",'Таблиця 1'!$J:$J,"GBU-62")+SUMIFS('Таблиця 1'!$K:$K,'Таблиця 1'!$B:$B,$A603,'Таблиця 1'!$I:$I,"Су-27",'Таблиця 1'!$J:$J,"GBU-62"))</f>
        <v/>
      </c>
      <c r="N603">
        <f>IF($A603="","",SUMIFS('Таблиця 1'!$K:$K,'Таблиця 1'!$B:$B,$A603,'Таблиця 1'!$I:$I,"Mirage",'Таблиця 1'!$J:$J,"GBU-64")+SUMIFS('Таблиця 1'!$K:$K,'Таблиця 1'!$B:$B,$A603,'Таблиця 1'!$I:$I,"F-16",'Таблиця 1'!$J:$J,"GBU-64")+SUMIFS('Таблиця 1'!$K:$K,'Таблиця 1'!$B:$B,$A603,'Таблиця 1'!$I:$I,"МіГ-29",'Таблиця 1'!$J:$J,"GBU-64")+SUMIFS('Таблиця 1'!$K:$K,'Таблиця 1'!$B:$B,$A603,'Таблиця 1'!$I:$I,"Су-25",'Таблиця 1'!$J:$J,"GBU-64")+SUMIFS('Таблиця 1'!$K:$K,'Таблиця 1'!$B:$B,$A603,'Таблиця 1'!$I:$I,"Су-27",'Таблиця 1'!$J:$J,"GBU-64"))</f>
        <v/>
      </c>
      <c r="O603">
        <f>IF($A603="","",SUMIFS('Таблиця 1'!$K:$K,'Таблиця 1'!$B:$B,$A603,'Таблиця 1'!$I:$I,"Mirage",'Таблиця 1'!$J:$J,"C-13")+SUMIFS('Таблиця 1'!$K:$K,'Таблиця 1'!$B:$B,$A603,'Таблиця 1'!$I:$I,"F-16",'Таблиця 1'!$J:$J,"C-13")+SUMIFS('Таблиця 1'!$K:$K,'Таблиця 1'!$B:$B,$A603,'Таблиця 1'!$I:$I,"МіГ-29",'Таблиця 1'!$J:$J,"C-13")+SUMIFS('Таблиця 1'!$K:$K,'Таблиця 1'!$B:$B,$A603,'Таблиця 1'!$I:$I,"Су-25",'Таблиця 1'!$J:$J,"C-13")+SUMIFS('Таблиця 1'!$K:$K,'Таблиця 1'!$B:$B,$A603,'Таблиця 1'!$I:$I,"Су-27",'Таблиця 1'!$J:$J,"C-13"))</f>
        <v/>
      </c>
      <c r="P603">
        <f>IF($A603="","",SUMIFS('Таблиця 1'!$K:$K,'Таблиця 1'!$B:$B,$A603,'Таблиця 1'!$I:$I,"Mirage",'Таблиця 1'!$J:$J,"MK-32")+SUMIFS('Таблиця 1'!$K:$K,'Таблиця 1'!$B:$B,$A603,'Таблиця 1'!$I:$I,"F-16",'Таблиця 1'!$J:$J,"MK-32")+SUMIFS('Таблиця 1'!$K:$K,'Таблиця 1'!$B:$B,$A603,'Таблиця 1'!$I:$I,"МіГ-29",'Таблиця 1'!$J:$J,"MK-32")+SUMIFS('Таблиця 1'!$K:$K,'Таблиця 1'!$B:$B,$A603,'Таблиця 1'!$I:$I,"Су-25",'Таблиця 1'!$J:$J,"MK-32")+SUMIFS('Таблиця 1'!$K:$K,'Таблиця 1'!$B:$B,$A603,'Таблиця 1'!$I:$I,"Су-27",'Таблиця 1'!$J:$J,"MK-32"))</f>
        <v/>
      </c>
      <c r="Q603">
        <f>IF($A603="","",SUMIFS('Таблиця 1'!$K:$K,'Таблиця 1'!$B:$B,$A603,'Таблиця 1'!$I:$I,"Mirage",'Таблиця 1'!$J:$J,"MK-24")+SUMIFS('Таблиця 1'!$K:$K,'Таблиця 1'!$B:$B,$A603,'Таблиця 1'!$I:$I,"F-16",'Таблиця 1'!$J:$J,"MK-24")+SUMIFS('Таблиця 1'!$K:$K,'Таблиця 1'!$B:$B,$A603,'Таблиця 1'!$I:$I,"МіГ-29",'Таблиця 1'!$J:$J,"MK-24")+SUMIFS('Таблиця 1'!$K:$K,'Таблиця 1'!$B:$B,$A603,'Таблиця 1'!$I:$I,"Су-25",'Таблиця 1'!$J:$J,"MK-24")+SUMIFS('Таблиця 1'!$K:$K,'Таблиця 1'!$B:$B,$A603,'Таблиця 1'!$I:$I,"Су-27",'Таблиця 1'!$J:$J,"MK-24"))</f>
        <v/>
      </c>
      <c r="R603">
        <f>IF($A603="","",COUNTIFS('Таблиця 1'!$B:$B,$A603,'Таблиця 1'!$I:$I,"Mirage",'Таблиця 1'!$L:$L,"Уражено")+COUNTIFS('Таблиця 1'!$B:$B,$A603,'Таблиця 1'!$I:$I,"F-16",'Таблиця 1'!$L:$L,"Уражено")+COUNTIFS('Таблиця 1'!$B:$B,$A603,'Таблиця 1'!$I:$I,"МіГ-29",'Таблиця 1'!$L:$L,"Уражено")+COUNTIFS('Таблиця 1'!$B:$B,$A603,'Таблиця 1'!$I:$I,"Су-25",'Таблиця 1'!$L:$L,"Уражено")+COUNTIFS('Таблиця 1'!$B:$B,$A603,'Таблиця 1'!$I:$I,"Су-27",'Таблиця 1'!$L:$L,"Уражено"))</f>
        <v/>
      </c>
      <c r="S603">
        <f>IF($A603="","",COUNTIFS('Таблиця 1'!$B:$B,$A603,'Таблиця 1'!$I:$I,"Mirage",'Таблиця 1'!$L:$L,"НЕ уражено")+COUNTIFS('Таблиця 1'!$B:$B,$A603,'Таблиця 1'!$I:$I,"F-16",'Таблиця 1'!$L:$L,"НЕ уражено")+COUNTIFS('Таблиця 1'!$B:$B,$A603,'Таблиця 1'!$I:$I,"МіГ-29",'Таблиця 1'!$L:$L,"НЕ уражено")+COUNTIFS('Таблиця 1'!$B:$B,$A603,'Таблиця 1'!$I:$I,"Су-25",'Таблиця 1'!$L:$L,"НЕ уражено")+COUNTIFS('Таблиця 1'!$B:$B,$A603,'Таблиця 1'!$I:$I,"Су-27",'Таблиця 1'!$L:$L,"НЕ уражено"))</f>
        <v/>
      </c>
      <c r="T603">
        <f>IF($A603="","",COUNTIFS('Таблиця 1'!$B:$B,$A603,'Таблиця 1'!$I:$I,"Mirage",'Таблиця 1'!$L:$L,"Дорозвідується")+COUNTIFS('Таблиця 1'!$B:$B,$A603,'Таблиця 1'!$I:$I,"F-16",'Таблиця 1'!$L:$L,"Дорозвідується")+COUNTIFS('Таблиця 1'!$B:$B,$A603,'Таблиця 1'!$I:$I,"МіГ-29",'Таблиця 1'!$L:$L,"Дорозвідується")+COUNTIFS('Таблиця 1'!$B:$B,$A603,'Таблиця 1'!$I:$I,"Су-25",'Таблиця 1'!$L:$L,"Дорозвідується")+COUNTIFS('Таблиця 1'!$B:$B,$A603,'Таблиця 1'!$I:$I,"Су-27",'Таблиця 1'!$L:$L,"Дорозвідується"))</f>
        <v/>
      </c>
    </row>
    <row r="604">
      <c r="A604" s="273">
        <f>IF(A603="","",IF(A603+1&gt;MAX('Таблиця 1'!$B:$B),"",A603+1))</f>
        <v/>
      </c>
      <c r="B604">
        <f>IF($A604="","",COUNTIFS('Таблиця 1'!$B:$B,$A604,'Таблиця 1'!$I:$I,"Mirage")+COUNTIFS('Таблиця 1'!$B:$B,$A604,'Таблиця 1'!$I:$I,"F-16")+COUNTIFS('Таблиця 1'!$B:$B,$A604,'Таблиця 1'!$I:$I,"МіГ-29")+COUNTIFS('Таблиця 1'!$B:$B,$A604,'Таблиця 1'!$I:$I,"Су-25")+COUNTIFS('Таблиця 1'!$B:$B,$A604,'Таблиця 1'!$I:$I,"Су-27"))</f>
        <v/>
      </c>
      <c r="C604">
        <f>IF($A604="","",COUNTIFS('Таблиця 1'!$B:$B,$A604,'Таблиця 1'!$I:$I,"Mirage"))</f>
        <v/>
      </c>
      <c r="D604">
        <f>IF($A604="","",COUNTIFS('Таблиця 1'!$B:$B,$A604,'Таблиця 1'!$I:$I,"F-16"))</f>
        <v/>
      </c>
      <c r="E604">
        <f>IF($A604="","",COUNTIFS('Таблиця 1'!$B:$B,$A604,'Таблиця 1'!$I:$I,"МіГ-29"))</f>
        <v/>
      </c>
      <c r="F604">
        <f>IF($A604="","",COUNTIFS('Таблиця 1'!$B:$B,$A604,'Таблиця 1'!$I:$I,"Су-25"))</f>
        <v/>
      </c>
      <c r="G604">
        <f>IF($A604="","",COUNTIFS('Таблиця 1'!$B:$B,$A604,'Таблиця 1'!$I:$I,"Су-27"))</f>
        <v/>
      </c>
      <c r="H604">
        <f>IF($A604="","",SUMIFS('Таблиця 1'!$K:$K,'Таблиця 1'!$B:$B,$A604,'Таблиця 1'!$I:$I,"Mirage",'Таблиця 1'!$J:$J,"AGM-88")+SUMIFS('Таблиця 1'!$K:$K,'Таблиця 1'!$B:$B,$A604,'Таблиця 1'!$I:$I,"F-16",'Таблиця 1'!$J:$J,"AGM-88")+SUMIFS('Таблиця 1'!$K:$K,'Таблиця 1'!$B:$B,$A604,'Таблиця 1'!$I:$I,"МіГ-29",'Таблиця 1'!$J:$J,"AGM-88")+SUMIFS('Таблиця 1'!$K:$K,'Таблиця 1'!$B:$B,$A604,'Таблиця 1'!$I:$I,"Су-25",'Таблиця 1'!$J:$J,"AGM-88")+SUMIFS('Таблиця 1'!$K:$K,'Таблиця 1'!$B:$B,$A604,'Таблиця 1'!$I:$I,"Су-27",'Таблиця 1'!$J:$J,"AGM-88"))</f>
        <v/>
      </c>
      <c r="I604">
        <f>IF($A604="","",SUMIFS('Таблиця 1'!$K:$K,'Таблиця 1'!$B:$B,$A604,'Таблиця 1'!$I:$I,"Mirage",'Таблиця 1'!$J:$J,"AASM-250")+SUMIFS('Таблиця 1'!$K:$K,'Таблиця 1'!$B:$B,$A604,'Таблиця 1'!$I:$I,"F-16",'Таблиця 1'!$J:$J,"AASM-250")+SUMIFS('Таблиця 1'!$K:$K,'Таблиця 1'!$B:$B,$A604,'Таблиця 1'!$I:$I,"МіГ-29",'Таблиця 1'!$J:$J,"AASM-250")+SUMIFS('Таблиця 1'!$K:$K,'Таблиця 1'!$B:$B,$A604,'Таблиця 1'!$I:$I,"Су-25",'Таблиця 1'!$J:$J,"AASM-250")+SUMIFS('Таблиця 1'!$K:$K,'Таблиця 1'!$B:$B,$A604,'Таблиця 1'!$I:$I,"Су-27",'Таблиця 1'!$J:$J,"AASM-250"))</f>
        <v/>
      </c>
      <c r="J604">
        <f>IF($A604="","",SUMIFS('Таблиця 1'!$K:$K,'Таблиця 1'!$B:$B,$A604,'Таблиця 1'!$I:$I,"Mirage",'Таблиця 1'!$J:$J,"GBU-39")+SUMIFS('Таблиця 1'!$K:$K,'Таблиця 1'!$B:$B,$A604,'Таблиця 1'!$I:$I,"F-16",'Таблиця 1'!$J:$J,"GBU-39")+SUMIFS('Таблиця 1'!$K:$K,'Таблиця 1'!$B:$B,$A604,'Таблиця 1'!$I:$I,"МіГ-29",'Таблиця 1'!$J:$J,"GBU-39")+SUMIFS('Таблиця 1'!$K:$K,'Таблиця 1'!$B:$B,$A604,'Таблиця 1'!$I:$I,"Су-25",'Таблиця 1'!$J:$J,"GBU-39")+SUMIFS('Таблиця 1'!$K:$K,'Таблиця 1'!$B:$B,$A604,'Таблиця 1'!$I:$I,"Су-27",'Таблиця 1'!$J:$J,"GBU-39"))</f>
        <v/>
      </c>
      <c r="K604">
        <f>IF($A604="","",SUMIFS('Таблиця 1'!$K:$K,'Таблиця 1'!$B:$B,$A604,'Таблиця 1'!$I:$I,"Mirage",'Таблиця 1'!$J:$J,"BLU-140")+SUMIFS('Таблиця 1'!$K:$K,'Таблиця 1'!$B:$B,$A604,'Таблиця 1'!$I:$I,"F-16",'Таблиця 1'!$J:$J,"BLU-140")+SUMIFS('Таблиця 1'!$K:$K,'Таблиця 1'!$B:$B,$A604,'Таблиця 1'!$I:$I,"МіГ-29",'Таблиця 1'!$J:$J,"BLU-140")+SUMIFS('Таблиця 1'!$K:$K,'Таблиця 1'!$B:$B,$A604,'Таблиця 1'!$I:$I,"Су-25",'Таблиця 1'!$J:$J,"BLU-140")+SUMIFS('Таблиця 1'!$K:$K,'Таблиця 1'!$B:$B,$A604,'Таблиця 1'!$I:$I,"Су-27",'Таблиця 1'!$J:$J,"BLU-140"))</f>
        <v/>
      </c>
      <c r="L604">
        <f>IF($A604="","",SUMIFS('Таблиця 1'!$K:$K,'Таблиця 1'!$B:$B,$A604,'Таблиця 1'!$I:$I,"Mirage",'Таблиця 1'!$J:$J,"GBU-65")+SUMIFS('Таблиця 1'!$K:$K,'Таблиця 1'!$B:$B,$A604,'Таблиця 1'!$I:$I,"F-16",'Таблиця 1'!$J:$J,"GBU-65")+SUMIFS('Таблиця 1'!$K:$K,'Таблиця 1'!$B:$B,$A604,'Таблиця 1'!$I:$I,"МіГ-29",'Таблиця 1'!$J:$J,"GBU-65")+SUMIFS('Таблиця 1'!$K:$K,'Таблиця 1'!$B:$B,$A604,'Таблиця 1'!$I:$I,"Су-25",'Таблиця 1'!$J:$J,"GBU-65")+SUMIFS('Таблиця 1'!$K:$K,'Таблиця 1'!$B:$B,$A604,'Таблиця 1'!$I:$I,"Су-27",'Таблиця 1'!$J:$J,"GBU-65"))</f>
        <v/>
      </c>
      <c r="M604">
        <f>IF($A604="","",SUMIFS('Таблиця 1'!$K:$K,'Таблиця 1'!$B:$B,$A604,'Таблиця 1'!$I:$I,"Mirage",'Таблиця 1'!$J:$J,"GBU-62")+SUMIFS('Таблиця 1'!$K:$K,'Таблиця 1'!$B:$B,$A604,'Таблиця 1'!$I:$I,"F-16",'Таблиця 1'!$J:$J,"GBU-62")+SUMIFS('Таблиця 1'!$K:$K,'Таблиця 1'!$B:$B,$A604,'Таблиця 1'!$I:$I,"МіГ-29",'Таблиця 1'!$J:$J,"GBU-62")+SUMIFS('Таблиця 1'!$K:$K,'Таблиця 1'!$B:$B,$A604,'Таблиця 1'!$I:$I,"Су-25",'Таблиця 1'!$J:$J,"GBU-62")+SUMIFS('Таблиця 1'!$K:$K,'Таблиця 1'!$B:$B,$A604,'Таблиця 1'!$I:$I,"Су-27",'Таблиця 1'!$J:$J,"GBU-62"))</f>
        <v/>
      </c>
      <c r="N604">
        <f>IF($A604="","",SUMIFS('Таблиця 1'!$K:$K,'Таблиця 1'!$B:$B,$A604,'Таблиця 1'!$I:$I,"Mirage",'Таблиця 1'!$J:$J,"GBU-64")+SUMIFS('Таблиця 1'!$K:$K,'Таблиця 1'!$B:$B,$A604,'Таблиця 1'!$I:$I,"F-16",'Таблиця 1'!$J:$J,"GBU-64")+SUMIFS('Таблиця 1'!$K:$K,'Таблиця 1'!$B:$B,$A604,'Таблиця 1'!$I:$I,"МіГ-29",'Таблиця 1'!$J:$J,"GBU-64")+SUMIFS('Таблиця 1'!$K:$K,'Таблиця 1'!$B:$B,$A604,'Таблиця 1'!$I:$I,"Су-25",'Таблиця 1'!$J:$J,"GBU-64")+SUMIFS('Таблиця 1'!$K:$K,'Таблиця 1'!$B:$B,$A604,'Таблиця 1'!$I:$I,"Су-27",'Таблиця 1'!$J:$J,"GBU-64"))</f>
        <v/>
      </c>
      <c r="O604">
        <f>IF($A604="","",SUMIFS('Таблиця 1'!$K:$K,'Таблиця 1'!$B:$B,$A604,'Таблиця 1'!$I:$I,"Mirage",'Таблиця 1'!$J:$J,"C-13")+SUMIFS('Таблиця 1'!$K:$K,'Таблиця 1'!$B:$B,$A604,'Таблиця 1'!$I:$I,"F-16",'Таблиця 1'!$J:$J,"C-13")+SUMIFS('Таблиця 1'!$K:$K,'Таблиця 1'!$B:$B,$A604,'Таблиця 1'!$I:$I,"МіГ-29",'Таблиця 1'!$J:$J,"C-13")+SUMIFS('Таблиця 1'!$K:$K,'Таблиця 1'!$B:$B,$A604,'Таблиця 1'!$I:$I,"Су-25",'Таблиця 1'!$J:$J,"C-13")+SUMIFS('Таблиця 1'!$K:$K,'Таблиця 1'!$B:$B,$A604,'Таблиця 1'!$I:$I,"Су-27",'Таблиця 1'!$J:$J,"C-13"))</f>
        <v/>
      </c>
      <c r="P604">
        <f>IF($A604="","",SUMIFS('Таблиця 1'!$K:$K,'Таблиця 1'!$B:$B,$A604,'Таблиця 1'!$I:$I,"Mirage",'Таблиця 1'!$J:$J,"MK-32")+SUMIFS('Таблиця 1'!$K:$K,'Таблиця 1'!$B:$B,$A604,'Таблиця 1'!$I:$I,"F-16",'Таблиця 1'!$J:$J,"MK-32")+SUMIFS('Таблиця 1'!$K:$K,'Таблиця 1'!$B:$B,$A604,'Таблиця 1'!$I:$I,"МіГ-29",'Таблиця 1'!$J:$J,"MK-32")+SUMIFS('Таблиця 1'!$K:$K,'Таблиця 1'!$B:$B,$A604,'Таблиця 1'!$I:$I,"Су-25",'Таблиця 1'!$J:$J,"MK-32")+SUMIFS('Таблиця 1'!$K:$K,'Таблиця 1'!$B:$B,$A604,'Таблиця 1'!$I:$I,"Су-27",'Таблиця 1'!$J:$J,"MK-32"))</f>
        <v/>
      </c>
      <c r="Q604">
        <f>IF($A604="","",SUMIFS('Таблиця 1'!$K:$K,'Таблиця 1'!$B:$B,$A604,'Таблиця 1'!$I:$I,"Mirage",'Таблиця 1'!$J:$J,"MK-24")+SUMIFS('Таблиця 1'!$K:$K,'Таблиця 1'!$B:$B,$A604,'Таблиця 1'!$I:$I,"F-16",'Таблиця 1'!$J:$J,"MK-24")+SUMIFS('Таблиця 1'!$K:$K,'Таблиця 1'!$B:$B,$A604,'Таблиця 1'!$I:$I,"МіГ-29",'Таблиця 1'!$J:$J,"MK-24")+SUMIFS('Таблиця 1'!$K:$K,'Таблиця 1'!$B:$B,$A604,'Таблиця 1'!$I:$I,"Су-25",'Таблиця 1'!$J:$J,"MK-24")+SUMIFS('Таблиця 1'!$K:$K,'Таблиця 1'!$B:$B,$A604,'Таблиця 1'!$I:$I,"Су-27",'Таблиця 1'!$J:$J,"MK-24"))</f>
        <v/>
      </c>
      <c r="R604">
        <f>IF($A604="","",COUNTIFS('Таблиця 1'!$B:$B,$A604,'Таблиця 1'!$I:$I,"Mirage",'Таблиця 1'!$L:$L,"Уражено")+COUNTIFS('Таблиця 1'!$B:$B,$A604,'Таблиця 1'!$I:$I,"F-16",'Таблиця 1'!$L:$L,"Уражено")+COUNTIFS('Таблиця 1'!$B:$B,$A604,'Таблиця 1'!$I:$I,"МіГ-29",'Таблиця 1'!$L:$L,"Уражено")+COUNTIFS('Таблиця 1'!$B:$B,$A604,'Таблиця 1'!$I:$I,"Су-25",'Таблиця 1'!$L:$L,"Уражено")+COUNTIFS('Таблиця 1'!$B:$B,$A604,'Таблиця 1'!$I:$I,"Су-27",'Таблиця 1'!$L:$L,"Уражено"))</f>
        <v/>
      </c>
      <c r="S604">
        <f>IF($A604="","",COUNTIFS('Таблиця 1'!$B:$B,$A604,'Таблиця 1'!$I:$I,"Mirage",'Таблиця 1'!$L:$L,"НЕ уражено")+COUNTIFS('Таблиця 1'!$B:$B,$A604,'Таблиця 1'!$I:$I,"F-16",'Таблиця 1'!$L:$L,"НЕ уражено")+COUNTIFS('Таблиця 1'!$B:$B,$A604,'Таблиця 1'!$I:$I,"МіГ-29",'Таблиця 1'!$L:$L,"НЕ уражено")+COUNTIFS('Таблиця 1'!$B:$B,$A604,'Таблиця 1'!$I:$I,"Су-25",'Таблиця 1'!$L:$L,"НЕ уражено")+COUNTIFS('Таблиця 1'!$B:$B,$A604,'Таблиця 1'!$I:$I,"Су-27",'Таблиця 1'!$L:$L,"НЕ уражено"))</f>
        <v/>
      </c>
      <c r="T604">
        <f>IF($A604="","",COUNTIFS('Таблиця 1'!$B:$B,$A604,'Таблиця 1'!$I:$I,"Mirage",'Таблиця 1'!$L:$L,"Дорозвідується")+COUNTIFS('Таблиця 1'!$B:$B,$A604,'Таблиця 1'!$I:$I,"F-16",'Таблиця 1'!$L:$L,"Дорозвідується")+COUNTIFS('Таблиця 1'!$B:$B,$A604,'Таблиця 1'!$I:$I,"МіГ-29",'Таблиця 1'!$L:$L,"Дорозвідується")+COUNTIFS('Таблиця 1'!$B:$B,$A604,'Таблиця 1'!$I:$I,"Су-25",'Таблиця 1'!$L:$L,"Дорозвідується")+COUNTIFS('Таблиця 1'!$B:$B,$A604,'Таблиця 1'!$I:$I,"Су-27",'Таблиця 1'!$L:$L,"Дорозвідується"))</f>
        <v/>
      </c>
    </row>
    <row r="605">
      <c r="A605" s="273">
        <f>IF(A604="","",IF(A604+1&gt;MAX('Таблиця 1'!$B:$B),"",A604+1))</f>
        <v/>
      </c>
      <c r="B605">
        <f>IF($A605="","",COUNTIFS('Таблиця 1'!$B:$B,$A605,'Таблиця 1'!$I:$I,"Mirage")+COUNTIFS('Таблиця 1'!$B:$B,$A605,'Таблиця 1'!$I:$I,"F-16")+COUNTIFS('Таблиця 1'!$B:$B,$A605,'Таблиця 1'!$I:$I,"МіГ-29")+COUNTIFS('Таблиця 1'!$B:$B,$A605,'Таблиця 1'!$I:$I,"Су-25")+COUNTIFS('Таблиця 1'!$B:$B,$A605,'Таблиця 1'!$I:$I,"Су-27"))</f>
        <v/>
      </c>
      <c r="C605">
        <f>IF($A605="","",COUNTIFS('Таблиця 1'!$B:$B,$A605,'Таблиця 1'!$I:$I,"Mirage"))</f>
        <v/>
      </c>
      <c r="D605">
        <f>IF($A605="","",COUNTIFS('Таблиця 1'!$B:$B,$A605,'Таблиця 1'!$I:$I,"F-16"))</f>
        <v/>
      </c>
      <c r="E605">
        <f>IF($A605="","",COUNTIFS('Таблиця 1'!$B:$B,$A605,'Таблиця 1'!$I:$I,"МіГ-29"))</f>
        <v/>
      </c>
      <c r="F605">
        <f>IF($A605="","",COUNTIFS('Таблиця 1'!$B:$B,$A605,'Таблиця 1'!$I:$I,"Су-25"))</f>
        <v/>
      </c>
      <c r="G605">
        <f>IF($A605="","",COUNTIFS('Таблиця 1'!$B:$B,$A605,'Таблиця 1'!$I:$I,"Су-27"))</f>
        <v/>
      </c>
      <c r="H605">
        <f>IF($A605="","",SUMIFS('Таблиця 1'!$K:$K,'Таблиця 1'!$B:$B,$A605,'Таблиця 1'!$I:$I,"Mirage",'Таблиця 1'!$J:$J,"AGM-88")+SUMIFS('Таблиця 1'!$K:$K,'Таблиця 1'!$B:$B,$A605,'Таблиця 1'!$I:$I,"F-16",'Таблиця 1'!$J:$J,"AGM-88")+SUMIFS('Таблиця 1'!$K:$K,'Таблиця 1'!$B:$B,$A605,'Таблиця 1'!$I:$I,"МіГ-29",'Таблиця 1'!$J:$J,"AGM-88")+SUMIFS('Таблиця 1'!$K:$K,'Таблиця 1'!$B:$B,$A605,'Таблиця 1'!$I:$I,"Су-25",'Таблиця 1'!$J:$J,"AGM-88")+SUMIFS('Таблиця 1'!$K:$K,'Таблиця 1'!$B:$B,$A605,'Таблиця 1'!$I:$I,"Су-27",'Таблиця 1'!$J:$J,"AGM-88"))</f>
        <v/>
      </c>
      <c r="I605">
        <f>IF($A605="","",SUMIFS('Таблиця 1'!$K:$K,'Таблиця 1'!$B:$B,$A605,'Таблиця 1'!$I:$I,"Mirage",'Таблиця 1'!$J:$J,"AASM-250")+SUMIFS('Таблиця 1'!$K:$K,'Таблиця 1'!$B:$B,$A605,'Таблиця 1'!$I:$I,"F-16",'Таблиця 1'!$J:$J,"AASM-250")+SUMIFS('Таблиця 1'!$K:$K,'Таблиця 1'!$B:$B,$A605,'Таблиця 1'!$I:$I,"МіГ-29",'Таблиця 1'!$J:$J,"AASM-250")+SUMIFS('Таблиця 1'!$K:$K,'Таблиця 1'!$B:$B,$A605,'Таблиця 1'!$I:$I,"Су-25",'Таблиця 1'!$J:$J,"AASM-250")+SUMIFS('Таблиця 1'!$K:$K,'Таблиця 1'!$B:$B,$A605,'Таблиця 1'!$I:$I,"Су-27",'Таблиця 1'!$J:$J,"AASM-250"))</f>
        <v/>
      </c>
      <c r="J605">
        <f>IF($A605="","",SUMIFS('Таблиця 1'!$K:$K,'Таблиця 1'!$B:$B,$A605,'Таблиця 1'!$I:$I,"Mirage",'Таблиця 1'!$J:$J,"GBU-39")+SUMIFS('Таблиця 1'!$K:$K,'Таблиця 1'!$B:$B,$A605,'Таблиця 1'!$I:$I,"F-16",'Таблиця 1'!$J:$J,"GBU-39")+SUMIFS('Таблиця 1'!$K:$K,'Таблиця 1'!$B:$B,$A605,'Таблиця 1'!$I:$I,"МіГ-29",'Таблиця 1'!$J:$J,"GBU-39")+SUMIFS('Таблиця 1'!$K:$K,'Таблиця 1'!$B:$B,$A605,'Таблиця 1'!$I:$I,"Су-25",'Таблиця 1'!$J:$J,"GBU-39")+SUMIFS('Таблиця 1'!$K:$K,'Таблиця 1'!$B:$B,$A605,'Таблиця 1'!$I:$I,"Су-27",'Таблиця 1'!$J:$J,"GBU-39"))</f>
        <v/>
      </c>
      <c r="K605">
        <f>IF($A605="","",SUMIFS('Таблиця 1'!$K:$K,'Таблиця 1'!$B:$B,$A605,'Таблиця 1'!$I:$I,"Mirage",'Таблиця 1'!$J:$J,"BLU-140")+SUMIFS('Таблиця 1'!$K:$K,'Таблиця 1'!$B:$B,$A605,'Таблиця 1'!$I:$I,"F-16",'Таблиця 1'!$J:$J,"BLU-140")+SUMIFS('Таблиця 1'!$K:$K,'Таблиця 1'!$B:$B,$A605,'Таблиця 1'!$I:$I,"МіГ-29",'Таблиця 1'!$J:$J,"BLU-140")+SUMIFS('Таблиця 1'!$K:$K,'Таблиця 1'!$B:$B,$A605,'Таблиця 1'!$I:$I,"Су-25",'Таблиця 1'!$J:$J,"BLU-140")+SUMIFS('Таблиця 1'!$K:$K,'Таблиця 1'!$B:$B,$A605,'Таблиця 1'!$I:$I,"Су-27",'Таблиця 1'!$J:$J,"BLU-140"))</f>
        <v/>
      </c>
      <c r="L605">
        <f>IF($A605="","",SUMIFS('Таблиця 1'!$K:$K,'Таблиця 1'!$B:$B,$A605,'Таблиця 1'!$I:$I,"Mirage",'Таблиця 1'!$J:$J,"GBU-65")+SUMIFS('Таблиця 1'!$K:$K,'Таблиця 1'!$B:$B,$A605,'Таблиця 1'!$I:$I,"F-16",'Таблиця 1'!$J:$J,"GBU-65")+SUMIFS('Таблиця 1'!$K:$K,'Таблиця 1'!$B:$B,$A605,'Таблиця 1'!$I:$I,"МіГ-29",'Таблиця 1'!$J:$J,"GBU-65")+SUMIFS('Таблиця 1'!$K:$K,'Таблиця 1'!$B:$B,$A605,'Таблиця 1'!$I:$I,"Су-25",'Таблиця 1'!$J:$J,"GBU-65")+SUMIFS('Таблиця 1'!$K:$K,'Таблиця 1'!$B:$B,$A605,'Таблиця 1'!$I:$I,"Су-27",'Таблиця 1'!$J:$J,"GBU-65"))</f>
        <v/>
      </c>
      <c r="M605">
        <f>IF($A605="","",SUMIFS('Таблиця 1'!$K:$K,'Таблиця 1'!$B:$B,$A605,'Таблиця 1'!$I:$I,"Mirage",'Таблиця 1'!$J:$J,"GBU-62")+SUMIFS('Таблиця 1'!$K:$K,'Таблиця 1'!$B:$B,$A605,'Таблиця 1'!$I:$I,"F-16",'Таблиця 1'!$J:$J,"GBU-62")+SUMIFS('Таблиця 1'!$K:$K,'Таблиця 1'!$B:$B,$A605,'Таблиця 1'!$I:$I,"МіГ-29",'Таблиця 1'!$J:$J,"GBU-62")+SUMIFS('Таблиця 1'!$K:$K,'Таблиця 1'!$B:$B,$A605,'Таблиця 1'!$I:$I,"Су-25",'Таблиця 1'!$J:$J,"GBU-62")+SUMIFS('Таблиця 1'!$K:$K,'Таблиця 1'!$B:$B,$A605,'Таблиця 1'!$I:$I,"Су-27",'Таблиця 1'!$J:$J,"GBU-62"))</f>
        <v/>
      </c>
      <c r="N605">
        <f>IF($A605="","",SUMIFS('Таблиця 1'!$K:$K,'Таблиця 1'!$B:$B,$A605,'Таблиця 1'!$I:$I,"Mirage",'Таблиця 1'!$J:$J,"GBU-64")+SUMIFS('Таблиця 1'!$K:$K,'Таблиця 1'!$B:$B,$A605,'Таблиця 1'!$I:$I,"F-16",'Таблиця 1'!$J:$J,"GBU-64")+SUMIFS('Таблиця 1'!$K:$K,'Таблиця 1'!$B:$B,$A605,'Таблиця 1'!$I:$I,"МіГ-29",'Таблиця 1'!$J:$J,"GBU-64")+SUMIFS('Таблиця 1'!$K:$K,'Таблиця 1'!$B:$B,$A605,'Таблиця 1'!$I:$I,"Су-25",'Таблиця 1'!$J:$J,"GBU-64")+SUMIFS('Таблиця 1'!$K:$K,'Таблиця 1'!$B:$B,$A605,'Таблиця 1'!$I:$I,"Су-27",'Таблиця 1'!$J:$J,"GBU-64"))</f>
        <v/>
      </c>
      <c r="O605">
        <f>IF($A605="","",SUMIFS('Таблиця 1'!$K:$K,'Таблиця 1'!$B:$B,$A605,'Таблиця 1'!$I:$I,"Mirage",'Таблиця 1'!$J:$J,"C-13")+SUMIFS('Таблиця 1'!$K:$K,'Таблиця 1'!$B:$B,$A605,'Таблиця 1'!$I:$I,"F-16",'Таблиця 1'!$J:$J,"C-13")+SUMIFS('Таблиця 1'!$K:$K,'Таблиця 1'!$B:$B,$A605,'Таблиця 1'!$I:$I,"МіГ-29",'Таблиця 1'!$J:$J,"C-13")+SUMIFS('Таблиця 1'!$K:$K,'Таблиця 1'!$B:$B,$A605,'Таблиця 1'!$I:$I,"Су-25",'Таблиця 1'!$J:$J,"C-13")+SUMIFS('Таблиця 1'!$K:$K,'Таблиця 1'!$B:$B,$A605,'Таблиця 1'!$I:$I,"Су-27",'Таблиця 1'!$J:$J,"C-13"))</f>
        <v/>
      </c>
      <c r="P605">
        <f>IF($A605="","",SUMIFS('Таблиця 1'!$K:$K,'Таблиця 1'!$B:$B,$A605,'Таблиця 1'!$I:$I,"Mirage",'Таблиця 1'!$J:$J,"MK-32")+SUMIFS('Таблиця 1'!$K:$K,'Таблиця 1'!$B:$B,$A605,'Таблиця 1'!$I:$I,"F-16",'Таблиця 1'!$J:$J,"MK-32")+SUMIFS('Таблиця 1'!$K:$K,'Таблиця 1'!$B:$B,$A605,'Таблиця 1'!$I:$I,"МіГ-29",'Таблиця 1'!$J:$J,"MK-32")+SUMIFS('Таблиця 1'!$K:$K,'Таблиця 1'!$B:$B,$A605,'Таблиця 1'!$I:$I,"Су-25",'Таблиця 1'!$J:$J,"MK-32")+SUMIFS('Таблиця 1'!$K:$K,'Таблиця 1'!$B:$B,$A605,'Таблиця 1'!$I:$I,"Су-27",'Таблиця 1'!$J:$J,"MK-32"))</f>
        <v/>
      </c>
      <c r="Q605">
        <f>IF($A605="","",SUMIFS('Таблиця 1'!$K:$K,'Таблиця 1'!$B:$B,$A605,'Таблиця 1'!$I:$I,"Mirage",'Таблиця 1'!$J:$J,"MK-24")+SUMIFS('Таблиця 1'!$K:$K,'Таблиця 1'!$B:$B,$A605,'Таблиця 1'!$I:$I,"F-16",'Таблиця 1'!$J:$J,"MK-24")+SUMIFS('Таблиця 1'!$K:$K,'Таблиця 1'!$B:$B,$A605,'Таблиця 1'!$I:$I,"МіГ-29",'Таблиця 1'!$J:$J,"MK-24")+SUMIFS('Таблиця 1'!$K:$K,'Таблиця 1'!$B:$B,$A605,'Таблиця 1'!$I:$I,"Су-25",'Таблиця 1'!$J:$J,"MK-24")+SUMIFS('Таблиця 1'!$K:$K,'Таблиця 1'!$B:$B,$A605,'Таблиця 1'!$I:$I,"Су-27",'Таблиця 1'!$J:$J,"MK-24"))</f>
        <v/>
      </c>
      <c r="R605">
        <f>IF($A605="","",COUNTIFS('Таблиця 1'!$B:$B,$A605,'Таблиця 1'!$I:$I,"Mirage",'Таблиця 1'!$L:$L,"Уражено")+COUNTIFS('Таблиця 1'!$B:$B,$A605,'Таблиця 1'!$I:$I,"F-16",'Таблиця 1'!$L:$L,"Уражено")+COUNTIFS('Таблиця 1'!$B:$B,$A605,'Таблиця 1'!$I:$I,"МіГ-29",'Таблиця 1'!$L:$L,"Уражено")+COUNTIFS('Таблиця 1'!$B:$B,$A605,'Таблиця 1'!$I:$I,"Су-25",'Таблиця 1'!$L:$L,"Уражено")+COUNTIFS('Таблиця 1'!$B:$B,$A605,'Таблиця 1'!$I:$I,"Су-27",'Таблиця 1'!$L:$L,"Уражено"))</f>
        <v/>
      </c>
      <c r="S605">
        <f>IF($A605="","",COUNTIFS('Таблиця 1'!$B:$B,$A605,'Таблиця 1'!$I:$I,"Mirage",'Таблиця 1'!$L:$L,"НЕ уражено")+COUNTIFS('Таблиця 1'!$B:$B,$A605,'Таблиця 1'!$I:$I,"F-16",'Таблиця 1'!$L:$L,"НЕ уражено")+COUNTIFS('Таблиця 1'!$B:$B,$A605,'Таблиця 1'!$I:$I,"МіГ-29",'Таблиця 1'!$L:$L,"НЕ уражено")+COUNTIFS('Таблиця 1'!$B:$B,$A605,'Таблиця 1'!$I:$I,"Су-25",'Таблиця 1'!$L:$L,"НЕ уражено")+COUNTIFS('Таблиця 1'!$B:$B,$A605,'Таблиця 1'!$I:$I,"Су-27",'Таблиця 1'!$L:$L,"НЕ уражено"))</f>
        <v/>
      </c>
      <c r="T605">
        <f>IF($A605="","",COUNTIFS('Таблиця 1'!$B:$B,$A605,'Таблиця 1'!$I:$I,"Mirage",'Таблиця 1'!$L:$L,"Дорозвідується")+COUNTIFS('Таблиця 1'!$B:$B,$A605,'Таблиця 1'!$I:$I,"F-16",'Таблиця 1'!$L:$L,"Дорозвідується")+COUNTIFS('Таблиця 1'!$B:$B,$A605,'Таблиця 1'!$I:$I,"МіГ-29",'Таблиця 1'!$L:$L,"Дорозвідується")+COUNTIFS('Таблиця 1'!$B:$B,$A605,'Таблиця 1'!$I:$I,"Су-25",'Таблиця 1'!$L:$L,"Дорозвідується")+COUNTIFS('Таблиця 1'!$B:$B,$A605,'Таблиця 1'!$I:$I,"Су-27",'Таблиця 1'!$L:$L,"Дорозвідується"))</f>
        <v/>
      </c>
    </row>
    <row r="606">
      <c r="A606" s="273">
        <f>IF(A605="","",IF(A605+1&gt;MAX('Таблиця 1'!$B:$B),"",A605+1))</f>
        <v/>
      </c>
      <c r="B606">
        <f>IF($A606="","",COUNTIFS('Таблиця 1'!$B:$B,$A606,'Таблиця 1'!$I:$I,"Mirage")+COUNTIFS('Таблиця 1'!$B:$B,$A606,'Таблиця 1'!$I:$I,"F-16")+COUNTIFS('Таблиця 1'!$B:$B,$A606,'Таблиця 1'!$I:$I,"МіГ-29")+COUNTIFS('Таблиця 1'!$B:$B,$A606,'Таблиця 1'!$I:$I,"Су-25")+COUNTIFS('Таблиця 1'!$B:$B,$A606,'Таблиця 1'!$I:$I,"Су-27"))</f>
        <v/>
      </c>
      <c r="C606">
        <f>IF($A606="","",COUNTIFS('Таблиця 1'!$B:$B,$A606,'Таблиця 1'!$I:$I,"Mirage"))</f>
        <v/>
      </c>
      <c r="D606">
        <f>IF($A606="","",COUNTIFS('Таблиця 1'!$B:$B,$A606,'Таблиця 1'!$I:$I,"F-16"))</f>
        <v/>
      </c>
      <c r="E606">
        <f>IF($A606="","",COUNTIFS('Таблиця 1'!$B:$B,$A606,'Таблиця 1'!$I:$I,"МіГ-29"))</f>
        <v/>
      </c>
      <c r="F606">
        <f>IF($A606="","",COUNTIFS('Таблиця 1'!$B:$B,$A606,'Таблиця 1'!$I:$I,"Су-25"))</f>
        <v/>
      </c>
      <c r="G606">
        <f>IF($A606="","",COUNTIFS('Таблиця 1'!$B:$B,$A606,'Таблиця 1'!$I:$I,"Су-27"))</f>
        <v/>
      </c>
      <c r="H606">
        <f>IF($A606="","",SUMIFS('Таблиця 1'!$K:$K,'Таблиця 1'!$B:$B,$A606,'Таблиця 1'!$I:$I,"Mirage",'Таблиця 1'!$J:$J,"AGM-88")+SUMIFS('Таблиця 1'!$K:$K,'Таблиця 1'!$B:$B,$A606,'Таблиця 1'!$I:$I,"F-16",'Таблиця 1'!$J:$J,"AGM-88")+SUMIFS('Таблиця 1'!$K:$K,'Таблиця 1'!$B:$B,$A606,'Таблиця 1'!$I:$I,"МіГ-29",'Таблиця 1'!$J:$J,"AGM-88")+SUMIFS('Таблиця 1'!$K:$K,'Таблиця 1'!$B:$B,$A606,'Таблиця 1'!$I:$I,"Су-25",'Таблиця 1'!$J:$J,"AGM-88")+SUMIFS('Таблиця 1'!$K:$K,'Таблиця 1'!$B:$B,$A606,'Таблиця 1'!$I:$I,"Су-27",'Таблиця 1'!$J:$J,"AGM-88"))</f>
        <v/>
      </c>
      <c r="I606">
        <f>IF($A606="","",SUMIFS('Таблиця 1'!$K:$K,'Таблиця 1'!$B:$B,$A606,'Таблиця 1'!$I:$I,"Mirage",'Таблиця 1'!$J:$J,"AASM-250")+SUMIFS('Таблиця 1'!$K:$K,'Таблиця 1'!$B:$B,$A606,'Таблиця 1'!$I:$I,"F-16",'Таблиця 1'!$J:$J,"AASM-250")+SUMIFS('Таблиця 1'!$K:$K,'Таблиця 1'!$B:$B,$A606,'Таблиця 1'!$I:$I,"МіГ-29",'Таблиця 1'!$J:$J,"AASM-250")+SUMIFS('Таблиця 1'!$K:$K,'Таблиця 1'!$B:$B,$A606,'Таблиця 1'!$I:$I,"Су-25",'Таблиця 1'!$J:$J,"AASM-250")+SUMIFS('Таблиця 1'!$K:$K,'Таблиця 1'!$B:$B,$A606,'Таблиця 1'!$I:$I,"Су-27",'Таблиця 1'!$J:$J,"AASM-250"))</f>
        <v/>
      </c>
      <c r="J606">
        <f>IF($A606="","",SUMIFS('Таблиця 1'!$K:$K,'Таблиця 1'!$B:$B,$A606,'Таблиця 1'!$I:$I,"Mirage",'Таблиця 1'!$J:$J,"GBU-39")+SUMIFS('Таблиця 1'!$K:$K,'Таблиця 1'!$B:$B,$A606,'Таблиця 1'!$I:$I,"F-16",'Таблиця 1'!$J:$J,"GBU-39")+SUMIFS('Таблиця 1'!$K:$K,'Таблиця 1'!$B:$B,$A606,'Таблиця 1'!$I:$I,"МіГ-29",'Таблиця 1'!$J:$J,"GBU-39")+SUMIFS('Таблиця 1'!$K:$K,'Таблиця 1'!$B:$B,$A606,'Таблиця 1'!$I:$I,"Су-25",'Таблиця 1'!$J:$J,"GBU-39")+SUMIFS('Таблиця 1'!$K:$K,'Таблиця 1'!$B:$B,$A606,'Таблиця 1'!$I:$I,"Су-27",'Таблиця 1'!$J:$J,"GBU-39"))</f>
        <v/>
      </c>
      <c r="K606">
        <f>IF($A606="","",SUMIFS('Таблиця 1'!$K:$K,'Таблиця 1'!$B:$B,$A606,'Таблиця 1'!$I:$I,"Mirage",'Таблиця 1'!$J:$J,"BLU-140")+SUMIFS('Таблиця 1'!$K:$K,'Таблиця 1'!$B:$B,$A606,'Таблиця 1'!$I:$I,"F-16",'Таблиця 1'!$J:$J,"BLU-140")+SUMIFS('Таблиця 1'!$K:$K,'Таблиця 1'!$B:$B,$A606,'Таблиця 1'!$I:$I,"МіГ-29",'Таблиця 1'!$J:$J,"BLU-140")+SUMIFS('Таблиця 1'!$K:$K,'Таблиця 1'!$B:$B,$A606,'Таблиця 1'!$I:$I,"Су-25",'Таблиця 1'!$J:$J,"BLU-140")+SUMIFS('Таблиця 1'!$K:$K,'Таблиця 1'!$B:$B,$A606,'Таблиця 1'!$I:$I,"Су-27",'Таблиця 1'!$J:$J,"BLU-140"))</f>
        <v/>
      </c>
      <c r="L606">
        <f>IF($A606="","",SUMIFS('Таблиця 1'!$K:$K,'Таблиця 1'!$B:$B,$A606,'Таблиця 1'!$I:$I,"Mirage",'Таблиця 1'!$J:$J,"GBU-65")+SUMIFS('Таблиця 1'!$K:$K,'Таблиця 1'!$B:$B,$A606,'Таблиця 1'!$I:$I,"F-16",'Таблиця 1'!$J:$J,"GBU-65")+SUMIFS('Таблиця 1'!$K:$K,'Таблиця 1'!$B:$B,$A606,'Таблиця 1'!$I:$I,"МіГ-29",'Таблиця 1'!$J:$J,"GBU-65")+SUMIFS('Таблиця 1'!$K:$K,'Таблиця 1'!$B:$B,$A606,'Таблиця 1'!$I:$I,"Су-25",'Таблиця 1'!$J:$J,"GBU-65")+SUMIFS('Таблиця 1'!$K:$K,'Таблиця 1'!$B:$B,$A606,'Таблиця 1'!$I:$I,"Су-27",'Таблиця 1'!$J:$J,"GBU-65"))</f>
        <v/>
      </c>
      <c r="M606">
        <f>IF($A606="","",SUMIFS('Таблиця 1'!$K:$K,'Таблиця 1'!$B:$B,$A606,'Таблиця 1'!$I:$I,"Mirage",'Таблиця 1'!$J:$J,"GBU-62")+SUMIFS('Таблиця 1'!$K:$K,'Таблиця 1'!$B:$B,$A606,'Таблиця 1'!$I:$I,"F-16",'Таблиця 1'!$J:$J,"GBU-62")+SUMIFS('Таблиця 1'!$K:$K,'Таблиця 1'!$B:$B,$A606,'Таблиця 1'!$I:$I,"МіГ-29",'Таблиця 1'!$J:$J,"GBU-62")+SUMIFS('Таблиця 1'!$K:$K,'Таблиця 1'!$B:$B,$A606,'Таблиця 1'!$I:$I,"Су-25",'Таблиця 1'!$J:$J,"GBU-62")+SUMIFS('Таблиця 1'!$K:$K,'Таблиця 1'!$B:$B,$A606,'Таблиця 1'!$I:$I,"Су-27",'Таблиця 1'!$J:$J,"GBU-62"))</f>
        <v/>
      </c>
      <c r="N606">
        <f>IF($A606="","",SUMIFS('Таблиця 1'!$K:$K,'Таблиця 1'!$B:$B,$A606,'Таблиця 1'!$I:$I,"Mirage",'Таблиця 1'!$J:$J,"GBU-64")+SUMIFS('Таблиця 1'!$K:$K,'Таблиця 1'!$B:$B,$A606,'Таблиця 1'!$I:$I,"F-16",'Таблиця 1'!$J:$J,"GBU-64")+SUMIFS('Таблиця 1'!$K:$K,'Таблиця 1'!$B:$B,$A606,'Таблиця 1'!$I:$I,"МіГ-29",'Таблиця 1'!$J:$J,"GBU-64")+SUMIFS('Таблиця 1'!$K:$K,'Таблиця 1'!$B:$B,$A606,'Таблиця 1'!$I:$I,"Су-25",'Таблиця 1'!$J:$J,"GBU-64")+SUMIFS('Таблиця 1'!$K:$K,'Таблиця 1'!$B:$B,$A606,'Таблиця 1'!$I:$I,"Су-27",'Таблиця 1'!$J:$J,"GBU-64"))</f>
        <v/>
      </c>
      <c r="O606">
        <f>IF($A606="","",SUMIFS('Таблиця 1'!$K:$K,'Таблиця 1'!$B:$B,$A606,'Таблиця 1'!$I:$I,"Mirage",'Таблиця 1'!$J:$J,"C-13")+SUMIFS('Таблиця 1'!$K:$K,'Таблиця 1'!$B:$B,$A606,'Таблиця 1'!$I:$I,"F-16",'Таблиця 1'!$J:$J,"C-13")+SUMIFS('Таблиця 1'!$K:$K,'Таблиця 1'!$B:$B,$A606,'Таблиця 1'!$I:$I,"МіГ-29",'Таблиця 1'!$J:$J,"C-13")+SUMIFS('Таблиця 1'!$K:$K,'Таблиця 1'!$B:$B,$A606,'Таблиця 1'!$I:$I,"Су-25",'Таблиця 1'!$J:$J,"C-13")+SUMIFS('Таблиця 1'!$K:$K,'Таблиця 1'!$B:$B,$A606,'Таблиця 1'!$I:$I,"Су-27",'Таблиця 1'!$J:$J,"C-13"))</f>
        <v/>
      </c>
      <c r="P606">
        <f>IF($A606="","",SUMIFS('Таблиця 1'!$K:$K,'Таблиця 1'!$B:$B,$A606,'Таблиця 1'!$I:$I,"Mirage",'Таблиця 1'!$J:$J,"MK-32")+SUMIFS('Таблиця 1'!$K:$K,'Таблиця 1'!$B:$B,$A606,'Таблиця 1'!$I:$I,"F-16",'Таблиця 1'!$J:$J,"MK-32")+SUMIFS('Таблиця 1'!$K:$K,'Таблиця 1'!$B:$B,$A606,'Таблиця 1'!$I:$I,"МіГ-29",'Таблиця 1'!$J:$J,"MK-32")+SUMIFS('Таблиця 1'!$K:$K,'Таблиця 1'!$B:$B,$A606,'Таблиця 1'!$I:$I,"Су-25",'Таблиця 1'!$J:$J,"MK-32")+SUMIFS('Таблиця 1'!$K:$K,'Таблиця 1'!$B:$B,$A606,'Таблиця 1'!$I:$I,"Су-27",'Таблиця 1'!$J:$J,"MK-32"))</f>
        <v/>
      </c>
      <c r="Q606">
        <f>IF($A606="","",SUMIFS('Таблиця 1'!$K:$K,'Таблиця 1'!$B:$B,$A606,'Таблиця 1'!$I:$I,"Mirage",'Таблиця 1'!$J:$J,"MK-24")+SUMIFS('Таблиця 1'!$K:$K,'Таблиця 1'!$B:$B,$A606,'Таблиця 1'!$I:$I,"F-16",'Таблиця 1'!$J:$J,"MK-24")+SUMIFS('Таблиця 1'!$K:$K,'Таблиця 1'!$B:$B,$A606,'Таблиця 1'!$I:$I,"МіГ-29",'Таблиця 1'!$J:$J,"MK-24")+SUMIFS('Таблиця 1'!$K:$K,'Таблиця 1'!$B:$B,$A606,'Таблиця 1'!$I:$I,"Су-25",'Таблиця 1'!$J:$J,"MK-24")+SUMIFS('Таблиця 1'!$K:$K,'Таблиця 1'!$B:$B,$A606,'Таблиця 1'!$I:$I,"Су-27",'Таблиця 1'!$J:$J,"MK-24"))</f>
        <v/>
      </c>
      <c r="R606">
        <f>IF($A606="","",COUNTIFS('Таблиця 1'!$B:$B,$A606,'Таблиця 1'!$I:$I,"Mirage",'Таблиця 1'!$L:$L,"Уражено")+COUNTIFS('Таблиця 1'!$B:$B,$A606,'Таблиця 1'!$I:$I,"F-16",'Таблиця 1'!$L:$L,"Уражено")+COUNTIFS('Таблиця 1'!$B:$B,$A606,'Таблиця 1'!$I:$I,"МіГ-29",'Таблиця 1'!$L:$L,"Уражено")+COUNTIFS('Таблиця 1'!$B:$B,$A606,'Таблиця 1'!$I:$I,"Су-25",'Таблиця 1'!$L:$L,"Уражено")+COUNTIFS('Таблиця 1'!$B:$B,$A606,'Таблиця 1'!$I:$I,"Су-27",'Таблиця 1'!$L:$L,"Уражено"))</f>
        <v/>
      </c>
      <c r="S606">
        <f>IF($A606="","",COUNTIFS('Таблиця 1'!$B:$B,$A606,'Таблиця 1'!$I:$I,"Mirage",'Таблиця 1'!$L:$L,"НЕ уражено")+COUNTIFS('Таблиця 1'!$B:$B,$A606,'Таблиця 1'!$I:$I,"F-16",'Таблиця 1'!$L:$L,"НЕ уражено")+COUNTIFS('Таблиця 1'!$B:$B,$A606,'Таблиця 1'!$I:$I,"МіГ-29",'Таблиця 1'!$L:$L,"НЕ уражено")+COUNTIFS('Таблиця 1'!$B:$B,$A606,'Таблиця 1'!$I:$I,"Су-25",'Таблиця 1'!$L:$L,"НЕ уражено")+COUNTIFS('Таблиця 1'!$B:$B,$A606,'Таблиця 1'!$I:$I,"Су-27",'Таблиця 1'!$L:$L,"НЕ уражено"))</f>
        <v/>
      </c>
      <c r="T606">
        <f>IF($A606="","",COUNTIFS('Таблиця 1'!$B:$B,$A606,'Таблиця 1'!$I:$I,"Mirage",'Таблиця 1'!$L:$L,"Дорозвідується")+COUNTIFS('Таблиця 1'!$B:$B,$A606,'Таблиця 1'!$I:$I,"F-16",'Таблиця 1'!$L:$L,"Дорозвідується")+COUNTIFS('Таблиця 1'!$B:$B,$A606,'Таблиця 1'!$I:$I,"МіГ-29",'Таблиця 1'!$L:$L,"Дорозвідується")+COUNTIFS('Таблиця 1'!$B:$B,$A606,'Таблиця 1'!$I:$I,"Су-25",'Таблиця 1'!$L:$L,"Дорозвідується")+COUNTIFS('Таблиця 1'!$B:$B,$A606,'Таблиця 1'!$I:$I,"Су-27",'Таблиця 1'!$L:$L,"Дорозвідується"))</f>
        <v/>
      </c>
    </row>
    <row r="607">
      <c r="A607" s="273">
        <f>IF(A606="","",IF(A606+1&gt;MAX('Таблиця 1'!$B:$B),"",A606+1))</f>
        <v/>
      </c>
      <c r="B607">
        <f>IF($A607="","",COUNTIFS('Таблиця 1'!$B:$B,$A607,'Таблиця 1'!$I:$I,"Mirage")+COUNTIFS('Таблиця 1'!$B:$B,$A607,'Таблиця 1'!$I:$I,"F-16")+COUNTIFS('Таблиця 1'!$B:$B,$A607,'Таблиця 1'!$I:$I,"МіГ-29")+COUNTIFS('Таблиця 1'!$B:$B,$A607,'Таблиця 1'!$I:$I,"Су-25")+COUNTIFS('Таблиця 1'!$B:$B,$A607,'Таблиця 1'!$I:$I,"Су-27"))</f>
        <v/>
      </c>
      <c r="C607">
        <f>IF($A607="","",COUNTIFS('Таблиця 1'!$B:$B,$A607,'Таблиця 1'!$I:$I,"Mirage"))</f>
        <v/>
      </c>
      <c r="D607">
        <f>IF($A607="","",COUNTIFS('Таблиця 1'!$B:$B,$A607,'Таблиця 1'!$I:$I,"F-16"))</f>
        <v/>
      </c>
      <c r="E607">
        <f>IF($A607="","",COUNTIFS('Таблиця 1'!$B:$B,$A607,'Таблиця 1'!$I:$I,"МіГ-29"))</f>
        <v/>
      </c>
      <c r="F607">
        <f>IF($A607="","",COUNTIFS('Таблиця 1'!$B:$B,$A607,'Таблиця 1'!$I:$I,"Су-25"))</f>
        <v/>
      </c>
      <c r="G607">
        <f>IF($A607="","",COUNTIFS('Таблиця 1'!$B:$B,$A607,'Таблиця 1'!$I:$I,"Су-27"))</f>
        <v/>
      </c>
      <c r="H607">
        <f>IF($A607="","",SUMIFS('Таблиця 1'!$K:$K,'Таблиця 1'!$B:$B,$A607,'Таблиця 1'!$I:$I,"Mirage",'Таблиця 1'!$J:$J,"AGM-88")+SUMIFS('Таблиця 1'!$K:$K,'Таблиця 1'!$B:$B,$A607,'Таблиця 1'!$I:$I,"F-16",'Таблиця 1'!$J:$J,"AGM-88")+SUMIFS('Таблиця 1'!$K:$K,'Таблиця 1'!$B:$B,$A607,'Таблиця 1'!$I:$I,"МіГ-29",'Таблиця 1'!$J:$J,"AGM-88")+SUMIFS('Таблиця 1'!$K:$K,'Таблиця 1'!$B:$B,$A607,'Таблиця 1'!$I:$I,"Су-25",'Таблиця 1'!$J:$J,"AGM-88")+SUMIFS('Таблиця 1'!$K:$K,'Таблиця 1'!$B:$B,$A607,'Таблиця 1'!$I:$I,"Су-27",'Таблиця 1'!$J:$J,"AGM-88"))</f>
        <v/>
      </c>
      <c r="I607">
        <f>IF($A607="","",SUMIFS('Таблиця 1'!$K:$K,'Таблиця 1'!$B:$B,$A607,'Таблиця 1'!$I:$I,"Mirage",'Таблиця 1'!$J:$J,"AASM-250")+SUMIFS('Таблиця 1'!$K:$K,'Таблиця 1'!$B:$B,$A607,'Таблиця 1'!$I:$I,"F-16",'Таблиця 1'!$J:$J,"AASM-250")+SUMIFS('Таблиця 1'!$K:$K,'Таблиця 1'!$B:$B,$A607,'Таблиця 1'!$I:$I,"МіГ-29",'Таблиця 1'!$J:$J,"AASM-250")+SUMIFS('Таблиця 1'!$K:$K,'Таблиця 1'!$B:$B,$A607,'Таблиця 1'!$I:$I,"Су-25",'Таблиця 1'!$J:$J,"AASM-250")+SUMIFS('Таблиця 1'!$K:$K,'Таблиця 1'!$B:$B,$A607,'Таблиця 1'!$I:$I,"Су-27",'Таблиця 1'!$J:$J,"AASM-250"))</f>
        <v/>
      </c>
      <c r="J607">
        <f>IF($A607="","",SUMIFS('Таблиця 1'!$K:$K,'Таблиця 1'!$B:$B,$A607,'Таблиця 1'!$I:$I,"Mirage",'Таблиця 1'!$J:$J,"GBU-39")+SUMIFS('Таблиця 1'!$K:$K,'Таблиця 1'!$B:$B,$A607,'Таблиця 1'!$I:$I,"F-16",'Таблиця 1'!$J:$J,"GBU-39")+SUMIFS('Таблиця 1'!$K:$K,'Таблиця 1'!$B:$B,$A607,'Таблиця 1'!$I:$I,"МіГ-29",'Таблиця 1'!$J:$J,"GBU-39")+SUMIFS('Таблиця 1'!$K:$K,'Таблиця 1'!$B:$B,$A607,'Таблиця 1'!$I:$I,"Су-25",'Таблиця 1'!$J:$J,"GBU-39")+SUMIFS('Таблиця 1'!$K:$K,'Таблиця 1'!$B:$B,$A607,'Таблиця 1'!$I:$I,"Су-27",'Таблиця 1'!$J:$J,"GBU-39"))</f>
        <v/>
      </c>
      <c r="K607">
        <f>IF($A607="","",SUMIFS('Таблиця 1'!$K:$K,'Таблиця 1'!$B:$B,$A607,'Таблиця 1'!$I:$I,"Mirage",'Таблиця 1'!$J:$J,"BLU-140")+SUMIFS('Таблиця 1'!$K:$K,'Таблиця 1'!$B:$B,$A607,'Таблиця 1'!$I:$I,"F-16",'Таблиця 1'!$J:$J,"BLU-140")+SUMIFS('Таблиця 1'!$K:$K,'Таблиця 1'!$B:$B,$A607,'Таблиця 1'!$I:$I,"МіГ-29",'Таблиця 1'!$J:$J,"BLU-140")+SUMIFS('Таблиця 1'!$K:$K,'Таблиця 1'!$B:$B,$A607,'Таблиця 1'!$I:$I,"Су-25",'Таблиця 1'!$J:$J,"BLU-140")+SUMIFS('Таблиця 1'!$K:$K,'Таблиця 1'!$B:$B,$A607,'Таблиця 1'!$I:$I,"Су-27",'Таблиця 1'!$J:$J,"BLU-140"))</f>
        <v/>
      </c>
      <c r="L607">
        <f>IF($A607="","",SUMIFS('Таблиця 1'!$K:$K,'Таблиця 1'!$B:$B,$A607,'Таблиця 1'!$I:$I,"Mirage",'Таблиця 1'!$J:$J,"GBU-65")+SUMIFS('Таблиця 1'!$K:$K,'Таблиця 1'!$B:$B,$A607,'Таблиця 1'!$I:$I,"F-16",'Таблиця 1'!$J:$J,"GBU-65")+SUMIFS('Таблиця 1'!$K:$K,'Таблиця 1'!$B:$B,$A607,'Таблиця 1'!$I:$I,"МіГ-29",'Таблиця 1'!$J:$J,"GBU-65")+SUMIFS('Таблиця 1'!$K:$K,'Таблиця 1'!$B:$B,$A607,'Таблиця 1'!$I:$I,"Су-25",'Таблиця 1'!$J:$J,"GBU-65")+SUMIFS('Таблиця 1'!$K:$K,'Таблиця 1'!$B:$B,$A607,'Таблиця 1'!$I:$I,"Су-27",'Таблиця 1'!$J:$J,"GBU-65"))</f>
        <v/>
      </c>
      <c r="M607">
        <f>IF($A607="","",SUMIFS('Таблиця 1'!$K:$K,'Таблиця 1'!$B:$B,$A607,'Таблиця 1'!$I:$I,"Mirage",'Таблиця 1'!$J:$J,"GBU-62")+SUMIFS('Таблиця 1'!$K:$K,'Таблиця 1'!$B:$B,$A607,'Таблиця 1'!$I:$I,"F-16",'Таблиця 1'!$J:$J,"GBU-62")+SUMIFS('Таблиця 1'!$K:$K,'Таблиця 1'!$B:$B,$A607,'Таблиця 1'!$I:$I,"МіГ-29",'Таблиця 1'!$J:$J,"GBU-62")+SUMIFS('Таблиця 1'!$K:$K,'Таблиця 1'!$B:$B,$A607,'Таблиця 1'!$I:$I,"Су-25",'Таблиця 1'!$J:$J,"GBU-62")+SUMIFS('Таблиця 1'!$K:$K,'Таблиця 1'!$B:$B,$A607,'Таблиця 1'!$I:$I,"Су-27",'Таблиця 1'!$J:$J,"GBU-62"))</f>
        <v/>
      </c>
      <c r="N607">
        <f>IF($A607="","",SUMIFS('Таблиця 1'!$K:$K,'Таблиця 1'!$B:$B,$A607,'Таблиця 1'!$I:$I,"Mirage",'Таблиця 1'!$J:$J,"GBU-64")+SUMIFS('Таблиця 1'!$K:$K,'Таблиця 1'!$B:$B,$A607,'Таблиця 1'!$I:$I,"F-16",'Таблиця 1'!$J:$J,"GBU-64")+SUMIFS('Таблиця 1'!$K:$K,'Таблиця 1'!$B:$B,$A607,'Таблиця 1'!$I:$I,"МіГ-29",'Таблиця 1'!$J:$J,"GBU-64")+SUMIFS('Таблиця 1'!$K:$K,'Таблиця 1'!$B:$B,$A607,'Таблиця 1'!$I:$I,"Су-25",'Таблиця 1'!$J:$J,"GBU-64")+SUMIFS('Таблиця 1'!$K:$K,'Таблиця 1'!$B:$B,$A607,'Таблиця 1'!$I:$I,"Су-27",'Таблиця 1'!$J:$J,"GBU-64"))</f>
        <v/>
      </c>
      <c r="O607">
        <f>IF($A607="","",SUMIFS('Таблиця 1'!$K:$K,'Таблиця 1'!$B:$B,$A607,'Таблиця 1'!$I:$I,"Mirage",'Таблиця 1'!$J:$J,"C-13")+SUMIFS('Таблиця 1'!$K:$K,'Таблиця 1'!$B:$B,$A607,'Таблиця 1'!$I:$I,"F-16",'Таблиця 1'!$J:$J,"C-13")+SUMIFS('Таблиця 1'!$K:$K,'Таблиця 1'!$B:$B,$A607,'Таблиця 1'!$I:$I,"МіГ-29",'Таблиця 1'!$J:$J,"C-13")+SUMIFS('Таблиця 1'!$K:$K,'Таблиця 1'!$B:$B,$A607,'Таблиця 1'!$I:$I,"Су-25",'Таблиця 1'!$J:$J,"C-13")+SUMIFS('Таблиця 1'!$K:$K,'Таблиця 1'!$B:$B,$A607,'Таблиця 1'!$I:$I,"Су-27",'Таблиця 1'!$J:$J,"C-13"))</f>
        <v/>
      </c>
      <c r="P607">
        <f>IF($A607="","",SUMIFS('Таблиця 1'!$K:$K,'Таблиця 1'!$B:$B,$A607,'Таблиця 1'!$I:$I,"Mirage",'Таблиця 1'!$J:$J,"MK-32")+SUMIFS('Таблиця 1'!$K:$K,'Таблиця 1'!$B:$B,$A607,'Таблиця 1'!$I:$I,"F-16",'Таблиця 1'!$J:$J,"MK-32")+SUMIFS('Таблиця 1'!$K:$K,'Таблиця 1'!$B:$B,$A607,'Таблиця 1'!$I:$I,"МіГ-29",'Таблиця 1'!$J:$J,"MK-32")+SUMIFS('Таблиця 1'!$K:$K,'Таблиця 1'!$B:$B,$A607,'Таблиця 1'!$I:$I,"Су-25",'Таблиця 1'!$J:$J,"MK-32")+SUMIFS('Таблиця 1'!$K:$K,'Таблиця 1'!$B:$B,$A607,'Таблиця 1'!$I:$I,"Су-27",'Таблиця 1'!$J:$J,"MK-32"))</f>
        <v/>
      </c>
      <c r="Q607">
        <f>IF($A607="","",SUMIFS('Таблиця 1'!$K:$K,'Таблиця 1'!$B:$B,$A607,'Таблиця 1'!$I:$I,"Mirage",'Таблиця 1'!$J:$J,"MK-24")+SUMIFS('Таблиця 1'!$K:$K,'Таблиця 1'!$B:$B,$A607,'Таблиця 1'!$I:$I,"F-16",'Таблиця 1'!$J:$J,"MK-24")+SUMIFS('Таблиця 1'!$K:$K,'Таблиця 1'!$B:$B,$A607,'Таблиця 1'!$I:$I,"МіГ-29",'Таблиця 1'!$J:$J,"MK-24")+SUMIFS('Таблиця 1'!$K:$K,'Таблиця 1'!$B:$B,$A607,'Таблиця 1'!$I:$I,"Су-25",'Таблиця 1'!$J:$J,"MK-24")+SUMIFS('Таблиця 1'!$K:$K,'Таблиця 1'!$B:$B,$A607,'Таблиця 1'!$I:$I,"Су-27",'Таблиця 1'!$J:$J,"MK-24"))</f>
        <v/>
      </c>
      <c r="R607">
        <f>IF($A607="","",COUNTIFS('Таблиця 1'!$B:$B,$A607,'Таблиця 1'!$I:$I,"Mirage",'Таблиця 1'!$L:$L,"Уражено")+COUNTIFS('Таблиця 1'!$B:$B,$A607,'Таблиця 1'!$I:$I,"F-16",'Таблиця 1'!$L:$L,"Уражено")+COUNTIFS('Таблиця 1'!$B:$B,$A607,'Таблиця 1'!$I:$I,"МіГ-29",'Таблиця 1'!$L:$L,"Уражено")+COUNTIFS('Таблиця 1'!$B:$B,$A607,'Таблиця 1'!$I:$I,"Су-25",'Таблиця 1'!$L:$L,"Уражено")+COUNTIFS('Таблиця 1'!$B:$B,$A607,'Таблиця 1'!$I:$I,"Су-27",'Таблиця 1'!$L:$L,"Уражено"))</f>
        <v/>
      </c>
      <c r="S607">
        <f>IF($A607="","",COUNTIFS('Таблиця 1'!$B:$B,$A607,'Таблиця 1'!$I:$I,"Mirage",'Таблиця 1'!$L:$L,"НЕ уражено")+COUNTIFS('Таблиця 1'!$B:$B,$A607,'Таблиця 1'!$I:$I,"F-16",'Таблиця 1'!$L:$L,"НЕ уражено")+COUNTIFS('Таблиця 1'!$B:$B,$A607,'Таблиця 1'!$I:$I,"МіГ-29",'Таблиця 1'!$L:$L,"НЕ уражено")+COUNTIFS('Таблиця 1'!$B:$B,$A607,'Таблиця 1'!$I:$I,"Су-25",'Таблиця 1'!$L:$L,"НЕ уражено")+COUNTIFS('Таблиця 1'!$B:$B,$A607,'Таблиця 1'!$I:$I,"Су-27",'Таблиця 1'!$L:$L,"НЕ уражено"))</f>
        <v/>
      </c>
      <c r="T607">
        <f>IF($A607="","",COUNTIFS('Таблиця 1'!$B:$B,$A607,'Таблиця 1'!$I:$I,"Mirage",'Таблиця 1'!$L:$L,"Дорозвідується")+COUNTIFS('Таблиця 1'!$B:$B,$A607,'Таблиця 1'!$I:$I,"F-16",'Таблиця 1'!$L:$L,"Дорозвідується")+COUNTIFS('Таблиця 1'!$B:$B,$A607,'Таблиця 1'!$I:$I,"МіГ-29",'Таблиця 1'!$L:$L,"Дорозвідується")+COUNTIFS('Таблиця 1'!$B:$B,$A607,'Таблиця 1'!$I:$I,"Су-25",'Таблиця 1'!$L:$L,"Дорозвідується")+COUNTIFS('Таблиця 1'!$B:$B,$A607,'Таблиця 1'!$I:$I,"Су-27",'Таблиця 1'!$L:$L,"Дорозвідується"))</f>
        <v/>
      </c>
    </row>
    <row r="608">
      <c r="A608" s="273">
        <f>IF(A607="","",IF(A607+1&gt;MAX('Таблиця 1'!$B:$B),"",A607+1))</f>
        <v/>
      </c>
      <c r="B608">
        <f>IF($A608="","",COUNTIFS('Таблиця 1'!$B:$B,$A608,'Таблиця 1'!$I:$I,"Mirage")+COUNTIFS('Таблиця 1'!$B:$B,$A608,'Таблиця 1'!$I:$I,"F-16")+COUNTIFS('Таблиця 1'!$B:$B,$A608,'Таблиця 1'!$I:$I,"МіГ-29")+COUNTIFS('Таблиця 1'!$B:$B,$A608,'Таблиця 1'!$I:$I,"Су-25")+COUNTIFS('Таблиця 1'!$B:$B,$A608,'Таблиця 1'!$I:$I,"Су-27"))</f>
        <v/>
      </c>
      <c r="C608">
        <f>IF($A608="","",COUNTIFS('Таблиця 1'!$B:$B,$A608,'Таблиця 1'!$I:$I,"Mirage"))</f>
        <v/>
      </c>
      <c r="D608">
        <f>IF($A608="","",COUNTIFS('Таблиця 1'!$B:$B,$A608,'Таблиця 1'!$I:$I,"F-16"))</f>
        <v/>
      </c>
      <c r="E608">
        <f>IF($A608="","",COUNTIFS('Таблиця 1'!$B:$B,$A608,'Таблиця 1'!$I:$I,"МіГ-29"))</f>
        <v/>
      </c>
      <c r="F608">
        <f>IF($A608="","",COUNTIFS('Таблиця 1'!$B:$B,$A608,'Таблиця 1'!$I:$I,"Су-25"))</f>
        <v/>
      </c>
      <c r="G608">
        <f>IF($A608="","",COUNTIFS('Таблиця 1'!$B:$B,$A608,'Таблиця 1'!$I:$I,"Су-27"))</f>
        <v/>
      </c>
      <c r="H608">
        <f>IF($A608="","",SUMIFS('Таблиця 1'!$K:$K,'Таблиця 1'!$B:$B,$A608,'Таблиця 1'!$I:$I,"Mirage",'Таблиця 1'!$J:$J,"AGM-88")+SUMIFS('Таблиця 1'!$K:$K,'Таблиця 1'!$B:$B,$A608,'Таблиця 1'!$I:$I,"F-16",'Таблиця 1'!$J:$J,"AGM-88")+SUMIFS('Таблиця 1'!$K:$K,'Таблиця 1'!$B:$B,$A608,'Таблиця 1'!$I:$I,"МіГ-29",'Таблиця 1'!$J:$J,"AGM-88")+SUMIFS('Таблиця 1'!$K:$K,'Таблиця 1'!$B:$B,$A608,'Таблиця 1'!$I:$I,"Су-25",'Таблиця 1'!$J:$J,"AGM-88")+SUMIFS('Таблиця 1'!$K:$K,'Таблиця 1'!$B:$B,$A608,'Таблиця 1'!$I:$I,"Су-27",'Таблиця 1'!$J:$J,"AGM-88"))</f>
        <v/>
      </c>
      <c r="I608">
        <f>IF($A608="","",SUMIFS('Таблиця 1'!$K:$K,'Таблиця 1'!$B:$B,$A608,'Таблиця 1'!$I:$I,"Mirage",'Таблиця 1'!$J:$J,"AASM-250")+SUMIFS('Таблиця 1'!$K:$K,'Таблиця 1'!$B:$B,$A608,'Таблиця 1'!$I:$I,"F-16",'Таблиця 1'!$J:$J,"AASM-250")+SUMIFS('Таблиця 1'!$K:$K,'Таблиця 1'!$B:$B,$A608,'Таблиця 1'!$I:$I,"МіГ-29",'Таблиця 1'!$J:$J,"AASM-250")+SUMIFS('Таблиця 1'!$K:$K,'Таблиця 1'!$B:$B,$A608,'Таблиця 1'!$I:$I,"Су-25",'Таблиця 1'!$J:$J,"AASM-250")+SUMIFS('Таблиця 1'!$K:$K,'Таблиця 1'!$B:$B,$A608,'Таблиця 1'!$I:$I,"Су-27",'Таблиця 1'!$J:$J,"AASM-250"))</f>
        <v/>
      </c>
      <c r="J608">
        <f>IF($A608="","",SUMIFS('Таблиця 1'!$K:$K,'Таблиця 1'!$B:$B,$A608,'Таблиця 1'!$I:$I,"Mirage",'Таблиця 1'!$J:$J,"GBU-39")+SUMIFS('Таблиця 1'!$K:$K,'Таблиця 1'!$B:$B,$A608,'Таблиця 1'!$I:$I,"F-16",'Таблиця 1'!$J:$J,"GBU-39")+SUMIFS('Таблиця 1'!$K:$K,'Таблиця 1'!$B:$B,$A608,'Таблиця 1'!$I:$I,"МіГ-29",'Таблиця 1'!$J:$J,"GBU-39")+SUMIFS('Таблиця 1'!$K:$K,'Таблиця 1'!$B:$B,$A608,'Таблиця 1'!$I:$I,"Су-25",'Таблиця 1'!$J:$J,"GBU-39")+SUMIFS('Таблиця 1'!$K:$K,'Таблиця 1'!$B:$B,$A608,'Таблиця 1'!$I:$I,"Су-27",'Таблиця 1'!$J:$J,"GBU-39"))</f>
        <v/>
      </c>
      <c r="K608">
        <f>IF($A608="","",SUMIFS('Таблиця 1'!$K:$K,'Таблиця 1'!$B:$B,$A608,'Таблиця 1'!$I:$I,"Mirage",'Таблиця 1'!$J:$J,"BLU-140")+SUMIFS('Таблиця 1'!$K:$K,'Таблиця 1'!$B:$B,$A608,'Таблиця 1'!$I:$I,"F-16",'Таблиця 1'!$J:$J,"BLU-140")+SUMIFS('Таблиця 1'!$K:$K,'Таблиця 1'!$B:$B,$A608,'Таблиця 1'!$I:$I,"МіГ-29",'Таблиця 1'!$J:$J,"BLU-140")+SUMIFS('Таблиця 1'!$K:$K,'Таблиця 1'!$B:$B,$A608,'Таблиця 1'!$I:$I,"Су-25",'Таблиця 1'!$J:$J,"BLU-140")+SUMIFS('Таблиця 1'!$K:$K,'Таблиця 1'!$B:$B,$A608,'Таблиця 1'!$I:$I,"Су-27",'Таблиця 1'!$J:$J,"BLU-140"))</f>
        <v/>
      </c>
      <c r="L608">
        <f>IF($A608="","",SUMIFS('Таблиця 1'!$K:$K,'Таблиця 1'!$B:$B,$A608,'Таблиця 1'!$I:$I,"Mirage",'Таблиця 1'!$J:$J,"GBU-65")+SUMIFS('Таблиця 1'!$K:$K,'Таблиця 1'!$B:$B,$A608,'Таблиця 1'!$I:$I,"F-16",'Таблиця 1'!$J:$J,"GBU-65")+SUMIFS('Таблиця 1'!$K:$K,'Таблиця 1'!$B:$B,$A608,'Таблиця 1'!$I:$I,"МіГ-29",'Таблиця 1'!$J:$J,"GBU-65")+SUMIFS('Таблиця 1'!$K:$K,'Таблиця 1'!$B:$B,$A608,'Таблиця 1'!$I:$I,"Су-25",'Таблиця 1'!$J:$J,"GBU-65")+SUMIFS('Таблиця 1'!$K:$K,'Таблиця 1'!$B:$B,$A608,'Таблиця 1'!$I:$I,"Су-27",'Таблиця 1'!$J:$J,"GBU-65"))</f>
        <v/>
      </c>
      <c r="M608">
        <f>IF($A608="","",SUMIFS('Таблиця 1'!$K:$K,'Таблиця 1'!$B:$B,$A608,'Таблиця 1'!$I:$I,"Mirage",'Таблиця 1'!$J:$J,"GBU-62")+SUMIFS('Таблиця 1'!$K:$K,'Таблиця 1'!$B:$B,$A608,'Таблиця 1'!$I:$I,"F-16",'Таблиця 1'!$J:$J,"GBU-62")+SUMIFS('Таблиця 1'!$K:$K,'Таблиця 1'!$B:$B,$A608,'Таблиця 1'!$I:$I,"МіГ-29",'Таблиця 1'!$J:$J,"GBU-62")+SUMIFS('Таблиця 1'!$K:$K,'Таблиця 1'!$B:$B,$A608,'Таблиця 1'!$I:$I,"Су-25",'Таблиця 1'!$J:$J,"GBU-62")+SUMIFS('Таблиця 1'!$K:$K,'Таблиця 1'!$B:$B,$A608,'Таблиця 1'!$I:$I,"Су-27",'Таблиця 1'!$J:$J,"GBU-62"))</f>
        <v/>
      </c>
      <c r="N608">
        <f>IF($A608="","",SUMIFS('Таблиця 1'!$K:$K,'Таблиця 1'!$B:$B,$A608,'Таблиця 1'!$I:$I,"Mirage",'Таблиця 1'!$J:$J,"GBU-64")+SUMIFS('Таблиця 1'!$K:$K,'Таблиця 1'!$B:$B,$A608,'Таблиця 1'!$I:$I,"F-16",'Таблиця 1'!$J:$J,"GBU-64")+SUMIFS('Таблиця 1'!$K:$K,'Таблиця 1'!$B:$B,$A608,'Таблиця 1'!$I:$I,"МіГ-29",'Таблиця 1'!$J:$J,"GBU-64")+SUMIFS('Таблиця 1'!$K:$K,'Таблиця 1'!$B:$B,$A608,'Таблиця 1'!$I:$I,"Су-25",'Таблиця 1'!$J:$J,"GBU-64")+SUMIFS('Таблиця 1'!$K:$K,'Таблиця 1'!$B:$B,$A608,'Таблиця 1'!$I:$I,"Су-27",'Таблиця 1'!$J:$J,"GBU-64"))</f>
        <v/>
      </c>
      <c r="O608">
        <f>IF($A608="","",SUMIFS('Таблиця 1'!$K:$K,'Таблиця 1'!$B:$B,$A608,'Таблиця 1'!$I:$I,"Mirage",'Таблиця 1'!$J:$J,"C-13")+SUMIFS('Таблиця 1'!$K:$K,'Таблиця 1'!$B:$B,$A608,'Таблиця 1'!$I:$I,"F-16",'Таблиця 1'!$J:$J,"C-13")+SUMIFS('Таблиця 1'!$K:$K,'Таблиця 1'!$B:$B,$A608,'Таблиця 1'!$I:$I,"МіГ-29",'Таблиця 1'!$J:$J,"C-13")+SUMIFS('Таблиця 1'!$K:$K,'Таблиця 1'!$B:$B,$A608,'Таблиця 1'!$I:$I,"Су-25",'Таблиця 1'!$J:$J,"C-13")+SUMIFS('Таблиця 1'!$K:$K,'Таблиця 1'!$B:$B,$A608,'Таблиця 1'!$I:$I,"Су-27",'Таблиця 1'!$J:$J,"C-13"))</f>
        <v/>
      </c>
      <c r="P608">
        <f>IF($A608="","",SUMIFS('Таблиця 1'!$K:$K,'Таблиця 1'!$B:$B,$A608,'Таблиця 1'!$I:$I,"Mirage",'Таблиця 1'!$J:$J,"MK-32")+SUMIFS('Таблиця 1'!$K:$K,'Таблиця 1'!$B:$B,$A608,'Таблиця 1'!$I:$I,"F-16",'Таблиця 1'!$J:$J,"MK-32")+SUMIFS('Таблиця 1'!$K:$K,'Таблиця 1'!$B:$B,$A608,'Таблиця 1'!$I:$I,"МіГ-29",'Таблиця 1'!$J:$J,"MK-32")+SUMIFS('Таблиця 1'!$K:$K,'Таблиця 1'!$B:$B,$A608,'Таблиця 1'!$I:$I,"Су-25",'Таблиця 1'!$J:$J,"MK-32")+SUMIFS('Таблиця 1'!$K:$K,'Таблиця 1'!$B:$B,$A608,'Таблиця 1'!$I:$I,"Су-27",'Таблиця 1'!$J:$J,"MK-32"))</f>
        <v/>
      </c>
      <c r="Q608">
        <f>IF($A608="","",SUMIFS('Таблиця 1'!$K:$K,'Таблиця 1'!$B:$B,$A608,'Таблиця 1'!$I:$I,"Mirage",'Таблиця 1'!$J:$J,"MK-24")+SUMIFS('Таблиця 1'!$K:$K,'Таблиця 1'!$B:$B,$A608,'Таблиця 1'!$I:$I,"F-16",'Таблиця 1'!$J:$J,"MK-24")+SUMIFS('Таблиця 1'!$K:$K,'Таблиця 1'!$B:$B,$A608,'Таблиця 1'!$I:$I,"МіГ-29",'Таблиця 1'!$J:$J,"MK-24")+SUMIFS('Таблиця 1'!$K:$K,'Таблиця 1'!$B:$B,$A608,'Таблиця 1'!$I:$I,"Су-25",'Таблиця 1'!$J:$J,"MK-24")+SUMIFS('Таблиця 1'!$K:$K,'Таблиця 1'!$B:$B,$A608,'Таблиця 1'!$I:$I,"Су-27",'Таблиця 1'!$J:$J,"MK-24"))</f>
        <v/>
      </c>
      <c r="R608">
        <f>IF($A608="","",COUNTIFS('Таблиця 1'!$B:$B,$A608,'Таблиця 1'!$I:$I,"Mirage",'Таблиця 1'!$L:$L,"Уражено")+COUNTIFS('Таблиця 1'!$B:$B,$A608,'Таблиця 1'!$I:$I,"F-16",'Таблиця 1'!$L:$L,"Уражено")+COUNTIFS('Таблиця 1'!$B:$B,$A608,'Таблиця 1'!$I:$I,"МіГ-29",'Таблиця 1'!$L:$L,"Уражено")+COUNTIFS('Таблиця 1'!$B:$B,$A608,'Таблиця 1'!$I:$I,"Су-25",'Таблиця 1'!$L:$L,"Уражено")+COUNTIFS('Таблиця 1'!$B:$B,$A608,'Таблиця 1'!$I:$I,"Су-27",'Таблиця 1'!$L:$L,"Уражено"))</f>
        <v/>
      </c>
      <c r="S608">
        <f>IF($A608="","",COUNTIFS('Таблиця 1'!$B:$B,$A608,'Таблиця 1'!$I:$I,"Mirage",'Таблиця 1'!$L:$L,"НЕ уражено")+COUNTIFS('Таблиця 1'!$B:$B,$A608,'Таблиця 1'!$I:$I,"F-16",'Таблиця 1'!$L:$L,"НЕ уражено")+COUNTIFS('Таблиця 1'!$B:$B,$A608,'Таблиця 1'!$I:$I,"МіГ-29",'Таблиця 1'!$L:$L,"НЕ уражено")+COUNTIFS('Таблиця 1'!$B:$B,$A608,'Таблиця 1'!$I:$I,"Су-25",'Таблиця 1'!$L:$L,"НЕ уражено")+COUNTIFS('Таблиця 1'!$B:$B,$A608,'Таблиця 1'!$I:$I,"Су-27",'Таблиця 1'!$L:$L,"НЕ уражено"))</f>
        <v/>
      </c>
      <c r="T608">
        <f>IF($A608="","",COUNTIFS('Таблиця 1'!$B:$B,$A608,'Таблиця 1'!$I:$I,"Mirage",'Таблиця 1'!$L:$L,"Дорозвідується")+COUNTIFS('Таблиця 1'!$B:$B,$A608,'Таблиця 1'!$I:$I,"F-16",'Таблиця 1'!$L:$L,"Дорозвідується")+COUNTIFS('Таблиця 1'!$B:$B,$A608,'Таблиця 1'!$I:$I,"МіГ-29",'Таблиця 1'!$L:$L,"Дорозвідується")+COUNTIFS('Таблиця 1'!$B:$B,$A608,'Таблиця 1'!$I:$I,"Су-25",'Таблиця 1'!$L:$L,"Дорозвідується")+COUNTIFS('Таблиця 1'!$B:$B,$A608,'Таблиця 1'!$I:$I,"Су-27",'Таблиця 1'!$L:$L,"Дорозвідується"))</f>
        <v/>
      </c>
    </row>
    <row r="609">
      <c r="A609" s="273">
        <f>IF(A608="","",IF(A608+1&gt;MAX('Таблиця 1'!$B:$B),"",A608+1))</f>
        <v/>
      </c>
      <c r="B609">
        <f>IF($A609="","",COUNTIFS('Таблиця 1'!$B:$B,$A609,'Таблиця 1'!$I:$I,"Mirage")+COUNTIFS('Таблиця 1'!$B:$B,$A609,'Таблиця 1'!$I:$I,"F-16")+COUNTIFS('Таблиця 1'!$B:$B,$A609,'Таблиця 1'!$I:$I,"МіГ-29")+COUNTIFS('Таблиця 1'!$B:$B,$A609,'Таблиця 1'!$I:$I,"Су-25")+COUNTIFS('Таблиця 1'!$B:$B,$A609,'Таблиця 1'!$I:$I,"Су-27"))</f>
        <v/>
      </c>
      <c r="C609">
        <f>IF($A609="","",COUNTIFS('Таблиця 1'!$B:$B,$A609,'Таблиця 1'!$I:$I,"Mirage"))</f>
        <v/>
      </c>
      <c r="D609">
        <f>IF($A609="","",COUNTIFS('Таблиця 1'!$B:$B,$A609,'Таблиця 1'!$I:$I,"F-16"))</f>
        <v/>
      </c>
      <c r="E609">
        <f>IF($A609="","",COUNTIFS('Таблиця 1'!$B:$B,$A609,'Таблиця 1'!$I:$I,"МіГ-29"))</f>
        <v/>
      </c>
      <c r="F609">
        <f>IF($A609="","",COUNTIFS('Таблиця 1'!$B:$B,$A609,'Таблиця 1'!$I:$I,"Су-25"))</f>
        <v/>
      </c>
      <c r="G609">
        <f>IF($A609="","",COUNTIFS('Таблиця 1'!$B:$B,$A609,'Таблиця 1'!$I:$I,"Су-27"))</f>
        <v/>
      </c>
      <c r="H609">
        <f>IF($A609="","",SUMIFS('Таблиця 1'!$K:$K,'Таблиця 1'!$B:$B,$A609,'Таблиця 1'!$I:$I,"Mirage",'Таблиця 1'!$J:$J,"AGM-88")+SUMIFS('Таблиця 1'!$K:$K,'Таблиця 1'!$B:$B,$A609,'Таблиця 1'!$I:$I,"F-16",'Таблиця 1'!$J:$J,"AGM-88")+SUMIFS('Таблиця 1'!$K:$K,'Таблиця 1'!$B:$B,$A609,'Таблиця 1'!$I:$I,"МіГ-29",'Таблиця 1'!$J:$J,"AGM-88")+SUMIFS('Таблиця 1'!$K:$K,'Таблиця 1'!$B:$B,$A609,'Таблиця 1'!$I:$I,"Су-25",'Таблиця 1'!$J:$J,"AGM-88")+SUMIFS('Таблиця 1'!$K:$K,'Таблиця 1'!$B:$B,$A609,'Таблиця 1'!$I:$I,"Су-27",'Таблиця 1'!$J:$J,"AGM-88"))</f>
        <v/>
      </c>
      <c r="I609">
        <f>IF($A609="","",SUMIFS('Таблиця 1'!$K:$K,'Таблиця 1'!$B:$B,$A609,'Таблиця 1'!$I:$I,"Mirage",'Таблиця 1'!$J:$J,"AASM-250")+SUMIFS('Таблиця 1'!$K:$K,'Таблиця 1'!$B:$B,$A609,'Таблиця 1'!$I:$I,"F-16",'Таблиця 1'!$J:$J,"AASM-250")+SUMIFS('Таблиця 1'!$K:$K,'Таблиця 1'!$B:$B,$A609,'Таблиця 1'!$I:$I,"МіГ-29",'Таблиця 1'!$J:$J,"AASM-250")+SUMIFS('Таблиця 1'!$K:$K,'Таблиця 1'!$B:$B,$A609,'Таблиця 1'!$I:$I,"Су-25",'Таблиця 1'!$J:$J,"AASM-250")+SUMIFS('Таблиця 1'!$K:$K,'Таблиця 1'!$B:$B,$A609,'Таблиця 1'!$I:$I,"Су-27",'Таблиця 1'!$J:$J,"AASM-250"))</f>
        <v/>
      </c>
      <c r="J609">
        <f>IF($A609="","",SUMIFS('Таблиця 1'!$K:$K,'Таблиця 1'!$B:$B,$A609,'Таблиця 1'!$I:$I,"Mirage",'Таблиця 1'!$J:$J,"GBU-39")+SUMIFS('Таблиця 1'!$K:$K,'Таблиця 1'!$B:$B,$A609,'Таблиця 1'!$I:$I,"F-16",'Таблиця 1'!$J:$J,"GBU-39")+SUMIFS('Таблиця 1'!$K:$K,'Таблиця 1'!$B:$B,$A609,'Таблиця 1'!$I:$I,"МіГ-29",'Таблиця 1'!$J:$J,"GBU-39")+SUMIFS('Таблиця 1'!$K:$K,'Таблиця 1'!$B:$B,$A609,'Таблиця 1'!$I:$I,"Су-25",'Таблиця 1'!$J:$J,"GBU-39")+SUMIFS('Таблиця 1'!$K:$K,'Таблиця 1'!$B:$B,$A609,'Таблиця 1'!$I:$I,"Су-27",'Таблиця 1'!$J:$J,"GBU-39"))</f>
        <v/>
      </c>
      <c r="K609">
        <f>IF($A609="","",SUMIFS('Таблиця 1'!$K:$K,'Таблиця 1'!$B:$B,$A609,'Таблиця 1'!$I:$I,"Mirage",'Таблиця 1'!$J:$J,"BLU-140")+SUMIFS('Таблиця 1'!$K:$K,'Таблиця 1'!$B:$B,$A609,'Таблиця 1'!$I:$I,"F-16",'Таблиця 1'!$J:$J,"BLU-140")+SUMIFS('Таблиця 1'!$K:$K,'Таблиця 1'!$B:$B,$A609,'Таблиця 1'!$I:$I,"МіГ-29",'Таблиця 1'!$J:$J,"BLU-140")+SUMIFS('Таблиця 1'!$K:$K,'Таблиця 1'!$B:$B,$A609,'Таблиця 1'!$I:$I,"Су-25",'Таблиця 1'!$J:$J,"BLU-140")+SUMIFS('Таблиця 1'!$K:$K,'Таблиця 1'!$B:$B,$A609,'Таблиця 1'!$I:$I,"Су-27",'Таблиця 1'!$J:$J,"BLU-140"))</f>
        <v/>
      </c>
      <c r="L609">
        <f>IF($A609="","",SUMIFS('Таблиця 1'!$K:$K,'Таблиця 1'!$B:$B,$A609,'Таблиця 1'!$I:$I,"Mirage",'Таблиця 1'!$J:$J,"GBU-65")+SUMIFS('Таблиця 1'!$K:$K,'Таблиця 1'!$B:$B,$A609,'Таблиця 1'!$I:$I,"F-16",'Таблиця 1'!$J:$J,"GBU-65")+SUMIFS('Таблиця 1'!$K:$K,'Таблиця 1'!$B:$B,$A609,'Таблиця 1'!$I:$I,"МіГ-29",'Таблиця 1'!$J:$J,"GBU-65")+SUMIFS('Таблиця 1'!$K:$K,'Таблиця 1'!$B:$B,$A609,'Таблиця 1'!$I:$I,"Су-25",'Таблиця 1'!$J:$J,"GBU-65")+SUMIFS('Таблиця 1'!$K:$K,'Таблиця 1'!$B:$B,$A609,'Таблиця 1'!$I:$I,"Су-27",'Таблиця 1'!$J:$J,"GBU-65"))</f>
        <v/>
      </c>
      <c r="M609">
        <f>IF($A609="","",SUMIFS('Таблиця 1'!$K:$K,'Таблиця 1'!$B:$B,$A609,'Таблиця 1'!$I:$I,"Mirage",'Таблиця 1'!$J:$J,"GBU-62")+SUMIFS('Таблиця 1'!$K:$K,'Таблиця 1'!$B:$B,$A609,'Таблиця 1'!$I:$I,"F-16",'Таблиця 1'!$J:$J,"GBU-62")+SUMIFS('Таблиця 1'!$K:$K,'Таблиця 1'!$B:$B,$A609,'Таблиця 1'!$I:$I,"МіГ-29",'Таблиця 1'!$J:$J,"GBU-62")+SUMIFS('Таблиця 1'!$K:$K,'Таблиця 1'!$B:$B,$A609,'Таблиця 1'!$I:$I,"Су-25",'Таблиця 1'!$J:$J,"GBU-62")+SUMIFS('Таблиця 1'!$K:$K,'Таблиця 1'!$B:$B,$A609,'Таблиця 1'!$I:$I,"Су-27",'Таблиця 1'!$J:$J,"GBU-62"))</f>
        <v/>
      </c>
      <c r="N609">
        <f>IF($A609="","",SUMIFS('Таблиця 1'!$K:$K,'Таблиця 1'!$B:$B,$A609,'Таблиця 1'!$I:$I,"Mirage",'Таблиця 1'!$J:$J,"GBU-64")+SUMIFS('Таблиця 1'!$K:$K,'Таблиця 1'!$B:$B,$A609,'Таблиця 1'!$I:$I,"F-16",'Таблиця 1'!$J:$J,"GBU-64")+SUMIFS('Таблиця 1'!$K:$K,'Таблиця 1'!$B:$B,$A609,'Таблиця 1'!$I:$I,"МіГ-29",'Таблиця 1'!$J:$J,"GBU-64")+SUMIFS('Таблиця 1'!$K:$K,'Таблиця 1'!$B:$B,$A609,'Таблиця 1'!$I:$I,"Су-25",'Таблиця 1'!$J:$J,"GBU-64")+SUMIFS('Таблиця 1'!$K:$K,'Таблиця 1'!$B:$B,$A609,'Таблиця 1'!$I:$I,"Су-27",'Таблиця 1'!$J:$J,"GBU-64"))</f>
        <v/>
      </c>
      <c r="O609">
        <f>IF($A609="","",SUMIFS('Таблиця 1'!$K:$K,'Таблиця 1'!$B:$B,$A609,'Таблиця 1'!$I:$I,"Mirage",'Таблиця 1'!$J:$J,"C-13")+SUMIFS('Таблиця 1'!$K:$K,'Таблиця 1'!$B:$B,$A609,'Таблиця 1'!$I:$I,"F-16",'Таблиця 1'!$J:$J,"C-13")+SUMIFS('Таблиця 1'!$K:$K,'Таблиця 1'!$B:$B,$A609,'Таблиця 1'!$I:$I,"МіГ-29",'Таблиця 1'!$J:$J,"C-13")+SUMIFS('Таблиця 1'!$K:$K,'Таблиця 1'!$B:$B,$A609,'Таблиця 1'!$I:$I,"Су-25",'Таблиця 1'!$J:$J,"C-13")+SUMIFS('Таблиця 1'!$K:$K,'Таблиця 1'!$B:$B,$A609,'Таблиця 1'!$I:$I,"Су-27",'Таблиця 1'!$J:$J,"C-13"))</f>
        <v/>
      </c>
      <c r="P609">
        <f>IF($A609="","",SUMIFS('Таблиця 1'!$K:$K,'Таблиця 1'!$B:$B,$A609,'Таблиця 1'!$I:$I,"Mirage",'Таблиця 1'!$J:$J,"MK-32")+SUMIFS('Таблиця 1'!$K:$K,'Таблиця 1'!$B:$B,$A609,'Таблиця 1'!$I:$I,"F-16",'Таблиця 1'!$J:$J,"MK-32")+SUMIFS('Таблиця 1'!$K:$K,'Таблиця 1'!$B:$B,$A609,'Таблиця 1'!$I:$I,"МіГ-29",'Таблиця 1'!$J:$J,"MK-32")+SUMIFS('Таблиця 1'!$K:$K,'Таблиця 1'!$B:$B,$A609,'Таблиця 1'!$I:$I,"Су-25",'Таблиця 1'!$J:$J,"MK-32")+SUMIFS('Таблиця 1'!$K:$K,'Таблиця 1'!$B:$B,$A609,'Таблиця 1'!$I:$I,"Су-27",'Таблиця 1'!$J:$J,"MK-32"))</f>
        <v/>
      </c>
      <c r="Q609">
        <f>IF($A609="","",SUMIFS('Таблиця 1'!$K:$K,'Таблиця 1'!$B:$B,$A609,'Таблиця 1'!$I:$I,"Mirage",'Таблиця 1'!$J:$J,"MK-24")+SUMIFS('Таблиця 1'!$K:$K,'Таблиця 1'!$B:$B,$A609,'Таблиця 1'!$I:$I,"F-16",'Таблиця 1'!$J:$J,"MK-24")+SUMIFS('Таблиця 1'!$K:$K,'Таблиця 1'!$B:$B,$A609,'Таблиця 1'!$I:$I,"МіГ-29",'Таблиця 1'!$J:$J,"MK-24")+SUMIFS('Таблиця 1'!$K:$K,'Таблиця 1'!$B:$B,$A609,'Таблиця 1'!$I:$I,"Су-25",'Таблиця 1'!$J:$J,"MK-24")+SUMIFS('Таблиця 1'!$K:$K,'Таблиця 1'!$B:$B,$A609,'Таблиця 1'!$I:$I,"Су-27",'Таблиця 1'!$J:$J,"MK-24"))</f>
        <v/>
      </c>
      <c r="R609">
        <f>IF($A609="","",COUNTIFS('Таблиця 1'!$B:$B,$A609,'Таблиця 1'!$I:$I,"Mirage",'Таблиця 1'!$L:$L,"Уражено")+COUNTIFS('Таблиця 1'!$B:$B,$A609,'Таблиця 1'!$I:$I,"F-16",'Таблиця 1'!$L:$L,"Уражено")+COUNTIFS('Таблиця 1'!$B:$B,$A609,'Таблиця 1'!$I:$I,"МіГ-29",'Таблиця 1'!$L:$L,"Уражено")+COUNTIFS('Таблиця 1'!$B:$B,$A609,'Таблиця 1'!$I:$I,"Су-25",'Таблиця 1'!$L:$L,"Уражено")+COUNTIFS('Таблиця 1'!$B:$B,$A609,'Таблиця 1'!$I:$I,"Су-27",'Таблиця 1'!$L:$L,"Уражено"))</f>
        <v/>
      </c>
      <c r="S609">
        <f>IF($A609="","",COUNTIFS('Таблиця 1'!$B:$B,$A609,'Таблиця 1'!$I:$I,"Mirage",'Таблиця 1'!$L:$L,"НЕ уражено")+COUNTIFS('Таблиця 1'!$B:$B,$A609,'Таблиця 1'!$I:$I,"F-16",'Таблиця 1'!$L:$L,"НЕ уражено")+COUNTIFS('Таблиця 1'!$B:$B,$A609,'Таблиця 1'!$I:$I,"МіГ-29",'Таблиця 1'!$L:$L,"НЕ уражено")+COUNTIFS('Таблиця 1'!$B:$B,$A609,'Таблиця 1'!$I:$I,"Су-25",'Таблиця 1'!$L:$L,"НЕ уражено")+COUNTIFS('Таблиця 1'!$B:$B,$A609,'Таблиця 1'!$I:$I,"Су-27",'Таблиця 1'!$L:$L,"НЕ уражено"))</f>
        <v/>
      </c>
      <c r="T609">
        <f>IF($A609="","",COUNTIFS('Таблиця 1'!$B:$B,$A609,'Таблиця 1'!$I:$I,"Mirage",'Таблиця 1'!$L:$L,"Дорозвідується")+COUNTIFS('Таблиця 1'!$B:$B,$A609,'Таблиця 1'!$I:$I,"F-16",'Таблиця 1'!$L:$L,"Дорозвідується")+COUNTIFS('Таблиця 1'!$B:$B,$A609,'Таблиця 1'!$I:$I,"МіГ-29",'Таблиця 1'!$L:$L,"Дорозвідується")+COUNTIFS('Таблиця 1'!$B:$B,$A609,'Таблиця 1'!$I:$I,"Су-25",'Таблиця 1'!$L:$L,"Дорозвідується")+COUNTIFS('Таблиця 1'!$B:$B,$A609,'Таблиця 1'!$I:$I,"Су-27",'Таблиця 1'!$L:$L,"Дорозвідується"))</f>
        <v/>
      </c>
    </row>
    <row r="610">
      <c r="A610" s="273">
        <f>IF(A609="","",IF(A609+1&gt;MAX('Таблиця 1'!$B:$B),"",A609+1))</f>
        <v/>
      </c>
      <c r="B610">
        <f>IF($A610="","",COUNTIFS('Таблиця 1'!$B:$B,$A610,'Таблиця 1'!$I:$I,"Mirage")+COUNTIFS('Таблиця 1'!$B:$B,$A610,'Таблиця 1'!$I:$I,"F-16")+COUNTIFS('Таблиця 1'!$B:$B,$A610,'Таблиця 1'!$I:$I,"МіГ-29")+COUNTIFS('Таблиця 1'!$B:$B,$A610,'Таблиця 1'!$I:$I,"Су-25")+COUNTIFS('Таблиця 1'!$B:$B,$A610,'Таблиця 1'!$I:$I,"Су-27"))</f>
        <v/>
      </c>
      <c r="C610">
        <f>IF($A610="","",COUNTIFS('Таблиця 1'!$B:$B,$A610,'Таблиця 1'!$I:$I,"Mirage"))</f>
        <v/>
      </c>
      <c r="D610">
        <f>IF($A610="","",COUNTIFS('Таблиця 1'!$B:$B,$A610,'Таблиця 1'!$I:$I,"F-16"))</f>
        <v/>
      </c>
      <c r="E610">
        <f>IF($A610="","",COUNTIFS('Таблиця 1'!$B:$B,$A610,'Таблиця 1'!$I:$I,"МіГ-29"))</f>
        <v/>
      </c>
      <c r="F610">
        <f>IF($A610="","",COUNTIFS('Таблиця 1'!$B:$B,$A610,'Таблиця 1'!$I:$I,"Су-25"))</f>
        <v/>
      </c>
      <c r="G610">
        <f>IF($A610="","",COUNTIFS('Таблиця 1'!$B:$B,$A610,'Таблиця 1'!$I:$I,"Су-27"))</f>
        <v/>
      </c>
      <c r="H610">
        <f>IF($A610="","",SUMIFS('Таблиця 1'!$K:$K,'Таблиця 1'!$B:$B,$A610,'Таблиця 1'!$I:$I,"Mirage",'Таблиця 1'!$J:$J,"AGM-88")+SUMIFS('Таблиця 1'!$K:$K,'Таблиця 1'!$B:$B,$A610,'Таблиця 1'!$I:$I,"F-16",'Таблиця 1'!$J:$J,"AGM-88")+SUMIFS('Таблиця 1'!$K:$K,'Таблиця 1'!$B:$B,$A610,'Таблиця 1'!$I:$I,"МіГ-29",'Таблиця 1'!$J:$J,"AGM-88")+SUMIFS('Таблиця 1'!$K:$K,'Таблиця 1'!$B:$B,$A610,'Таблиця 1'!$I:$I,"Су-25",'Таблиця 1'!$J:$J,"AGM-88")+SUMIFS('Таблиця 1'!$K:$K,'Таблиця 1'!$B:$B,$A610,'Таблиця 1'!$I:$I,"Су-27",'Таблиця 1'!$J:$J,"AGM-88"))</f>
        <v/>
      </c>
      <c r="I610">
        <f>IF($A610="","",SUMIFS('Таблиця 1'!$K:$K,'Таблиця 1'!$B:$B,$A610,'Таблиця 1'!$I:$I,"Mirage",'Таблиця 1'!$J:$J,"AASM-250")+SUMIFS('Таблиця 1'!$K:$K,'Таблиця 1'!$B:$B,$A610,'Таблиця 1'!$I:$I,"F-16",'Таблиця 1'!$J:$J,"AASM-250")+SUMIFS('Таблиця 1'!$K:$K,'Таблиця 1'!$B:$B,$A610,'Таблиця 1'!$I:$I,"МіГ-29",'Таблиця 1'!$J:$J,"AASM-250")+SUMIFS('Таблиця 1'!$K:$K,'Таблиця 1'!$B:$B,$A610,'Таблиця 1'!$I:$I,"Су-25",'Таблиця 1'!$J:$J,"AASM-250")+SUMIFS('Таблиця 1'!$K:$K,'Таблиця 1'!$B:$B,$A610,'Таблиця 1'!$I:$I,"Су-27",'Таблиця 1'!$J:$J,"AASM-250"))</f>
        <v/>
      </c>
      <c r="J610">
        <f>IF($A610="","",SUMIFS('Таблиця 1'!$K:$K,'Таблиця 1'!$B:$B,$A610,'Таблиця 1'!$I:$I,"Mirage",'Таблиця 1'!$J:$J,"GBU-39")+SUMIFS('Таблиця 1'!$K:$K,'Таблиця 1'!$B:$B,$A610,'Таблиця 1'!$I:$I,"F-16",'Таблиця 1'!$J:$J,"GBU-39")+SUMIFS('Таблиця 1'!$K:$K,'Таблиця 1'!$B:$B,$A610,'Таблиця 1'!$I:$I,"МіГ-29",'Таблиця 1'!$J:$J,"GBU-39")+SUMIFS('Таблиця 1'!$K:$K,'Таблиця 1'!$B:$B,$A610,'Таблиця 1'!$I:$I,"Су-25",'Таблиця 1'!$J:$J,"GBU-39")+SUMIFS('Таблиця 1'!$K:$K,'Таблиця 1'!$B:$B,$A610,'Таблиця 1'!$I:$I,"Су-27",'Таблиця 1'!$J:$J,"GBU-39"))</f>
        <v/>
      </c>
      <c r="K610">
        <f>IF($A610="","",SUMIFS('Таблиця 1'!$K:$K,'Таблиця 1'!$B:$B,$A610,'Таблиця 1'!$I:$I,"Mirage",'Таблиця 1'!$J:$J,"BLU-140")+SUMIFS('Таблиця 1'!$K:$K,'Таблиця 1'!$B:$B,$A610,'Таблиця 1'!$I:$I,"F-16",'Таблиця 1'!$J:$J,"BLU-140")+SUMIFS('Таблиця 1'!$K:$K,'Таблиця 1'!$B:$B,$A610,'Таблиця 1'!$I:$I,"МіГ-29",'Таблиця 1'!$J:$J,"BLU-140")+SUMIFS('Таблиця 1'!$K:$K,'Таблиця 1'!$B:$B,$A610,'Таблиця 1'!$I:$I,"Су-25",'Таблиця 1'!$J:$J,"BLU-140")+SUMIFS('Таблиця 1'!$K:$K,'Таблиця 1'!$B:$B,$A610,'Таблиця 1'!$I:$I,"Су-27",'Таблиця 1'!$J:$J,"BLU-140"))</f>
        <v/>
      </c>
      <c r="L610">
        <f>IF($A610="","",SUMIFS('Таблиця 1'!$K:$K,'Таблиця 1'!$B:$B,$A610,'Таблиця 1'!$I:$I,"Mirage",'Таблиця 1'!$J:$J,"GBU-65")+SUMIFS('Таблиця 1'!$K:$K,'Таблиця 1'!$B:$B,$A610,'Таблиця 1'!$I:$I,"F-16",'Таблиця 1'!$J:$J,"GBU-65")+SUMIFS('Таблиця 1'!$K:$K,'Таблиця 1'!$B:$B,$A610,'Таблиця 1'!$I:$I,"МіГ-29",'Таблиця 1'!$J:$J,"GBU-65")+SUMIFS('Таблиця 1'!$K:$K,'Таблиця 1'!$B:$B,$A610,'Таблиця 1'!$I:$I,"Су-25",'Таблиця 1'!$J:$J,"GBU-65")+SUMIFS('Таблиця 1'!$K:$K,'Таблиця 1'!$B:$B,$A610,'Таблиця 1'!$I:$I,"Су-27",'Таблиця 1'!$J:$J,"GBU-65"))</f>
        <v/>
      </c>
      <c r="M610">
        <f>IF($A610="","",SUMIFS('Таблиця 1'!$K:$K,'Таблиця 1'!$B:$B,$A610,'Таблиця 1'!$I:$I,"Mirage",'Таблиця 1'!$J:$J,"GBU-62")+SUMIFS('Таблиця 1'!$K:$K,'Таблиця 1'!$B:$B,$A610,'Таблиця 1'!$I:$I,"F-16",'Таблиця 1'!$J:$J,"GBU-62")+SUMIFS('Таблиця 1'!$K:$K,'Таблиця 1'!$B:$B,$A610,'Таблиця 1'!$I:$I,"МіГ-29",'Таблиця 1'!$J:$J,"GBU-62")+SUMIFS('Таблиця 1'!$K:$K,'Таблиця 1'!$B:$B,$A610,'Таблиця 1'!$I:$I,"Су-25",'Таблиця 1'!$J:$J,"GBU-62")+SUMIFS('Таблиця 1'!$K:$K,'Таблиця 1'!$B:$B,$A610,'Таблиця 1'!$I:$I,"Су-27",'Таблиця 1'!$J:$J,"GBU-62"))</f>
        <v/>
      </c>
      <c r="N610">
        <f>IF($A610="","",SUMIFS('Таблиця 1'!$K:$K,'Таблиця 1'!$B:$B,$A610,'Таблиця 1'!$I:$I,"Mirage",'Таблиця 1'!$J:$J,"GBU-64")+SUMIFS('Таблиця 1'!$K:$K,'Таблиця 1'!$B:$B,$A610,'Таблиця 1'!$I:$I,"F-16",'Таблиця 1'!$J:$J,"GBU-64")+SUMIFS('Таблиця 1'!$K:$K,'Таблиця 1'!$B:$B,$A610,'Таблиця 1'!$I:$I,"МіГ-29",'Таблиця 1'!$J:$J,"GBU-64")+SUMIFS('Таблиця 1'!$K:$K,'Таблиця 1'!$B:$B,$A610,'Таблиця 1'!$I:$I,"Су-25",'Таблиця 1'!$J:$J,"GBU-64")+SUMIFS('Таблиця 1'!$K:$K,'Таблиця 1'!$B:$B,$A610,'Таблиця 1'!$I:$I,"Су-27",'Таблиця 1'!$J:$J,"GBU-64"))</f>
        <v/>
      </c>
      <c r="O610">
        <f>IF($A610="","",SUMIFS('Таблиця 1'!$K:$K,'Таблиця 1'!$B:$B,$A610,'Таблиця 1'!$I:$I,"Mirage",'Таблиця 1'!$J:$J,"C-13")+SUMIFS('Таблиця 1'!$K:$K,'Таблиця 1'!$B:$B,$A610,'Таблиця 1'!$I:$I,"F-16",'Таблиця 1'!$J:$J,"C-13")+SUMIFS('Таблиця 1'!$K:$K,'Таблиця 1'!$B:$B,$A610,'Таблиця 1'!$I:$I,"МіГ-29",'Таблиця 1'!$J:$J,"C-13")+SUMIFS('Таблиця 1'!$K:$K,'Таблиця 1'!$B:$B,$A610,'Таблиця 1'!$I:$I,"Су-25",'Таблиця 1'!$J:$J,"C-13")+SUMIFS('Таблиця 1'!$K:$K,'Таблиця 1'!$B:$B,$A610,'Таблиця 1'!$I:$I,"Су-27",'Таблиця 1'!$J:$J,"C-13"))</f>
        <v/>
      </c>
      <c r="P610">
        <f>IF($A610="","",SUMIFS('Таблиця 1'!$K:$K,'Таблиця 1'!$B:$B,$A610,'Таблиця 1'!$I:$I,"Mirage",'Таблиця 1'!$J:$J,"MK-32")+SUMIFS('Таблиця 1'!$K:$K,'Таблиця 1'!$B:$B,$A610,'Таблиця 1'!$I:$I,"F-16",'Таблиця 1'!$J:$J,"MK-32")+SUMIFS('Таблиця 1'!$K:$K,'Таблиця 1'!$B:$B,$A610,'Таблиця 1'!$I:$I,"МіГ-29",'Таблиця 1'!$J:$J,"MK-32")+SUMIFS('Таблиця 1'!$K:$K,'Таблиця 1'!$B:$B,$A610,'Таблиця 1'!$I:$I,"Су-25",'Таблиця 1'!$J:$J,"MK-32")+SUMIFS('Таблиця 1'!$K:$K,'Таблиця 1'!$B:$B,$A610,'Таблиця 1'!$I:$I,"Су-27",'Таблиця 1'!$J:$J,"MK-32"))</f>
        <v/>
      </c>
      <c r="Q610">
        <f>IF($A610="","",SUMIFS('Таблиця 1'!$K:$K,'Таблиця 1'!$B:$B,$A610,'Таблиця 1'!$I:$I,"Mirage",'Таблиця 1'!$J:$J,"MK-24")+SUMIFS('Таблиця 1'!$K:$K,'Таблиця 1'!$B:$B,$A610,'Таблиця 1'!$I:$I,"F-16",'Таблиця 1'!$J:$J,"MK-24")+SUMIFS('Таблиця 1'!$K:$K,'Таблиця 1'!$B:$B,$A610,'Таблиця 1'!$I:$I,"МіГ-29",'Таблиця 1'!$J:$J,"MK-24")+SUMIFS('Таблиця 1'!$K:$K,'Таблиця 1'!$B:$B,$A610,'Таблиця 1'!$I:$I,"Су-25",'Таблиця 1'!$J:$J,"MK-24")+SUMIFS('Таблиця 1'!$K:$K,'Таблиця 1'!$B:$B,$A610,'Таблиця 1'!$I:$I,"Су-27",'Таблиця 1'!$J:$J,"MK-24"))</f>
        <v/>
      </c>
      <c r="R610">
        <f>IF($A610="","",COUNTIFS('Таблиця 1'!$B:$B,$A610,'Таблиця 1'!$I:$I,"Mirage",'Таблиця 1'!$L:$L,"Уражено")+COUNTIFS('Таблиця 1'!$B:$B,$A610,'Таблиця 1'!$I:$I,"F-16",'Таблиця 1'!$L:$L,"Уражено")+COUNTIFS('Таблиця 1'!$B:$B,$A610,'Таблиця 1'!$I:$I,"МіГ-29",'Таблиця 1'!$L:$L,"Уражено")+COUNTIFS('Таблиця 1'!$B:$B,$A610,'Таблиця 1'!$I:$I,"Су-25",'Таблиця 1'!$L:$L,"Уражено")+COUNTIFS('Таблиця 1'!$B:$B,$A610,'Таблиця 1'!$I:$I,"Су-27",'Таблиця 1'!$L:$L,"Уражено"))</f>
        <v/>
      </c>
      <c r="S610">
        <f>IF($A610="","",COUNTIFS('Таблиця 1'!$B:$B,$A610,'Таблиця 1'!$I:$I,"Mirage",'Таблиця 1'!$L:$L,"НЕ уражено")+COUNTIFS('Таблиця 1'!$B:$B,$A610,'Таблиця 1'!$I:$I,"F-16",'Таблиця 1'!$L:$L,"НЕ уражено")+COUNTIFS('Таблиця 1'!$B:$B,$A610,'Таблиця 1'!$I:$I,"МіГ-29",'Таблиця 1'!$L:$L,"НЕ уражено")+COUNTIFS('Таблиця 1'!$B:$B,$A610,'Таблиця 1'!$I:$I,"Су-25",'Таблиця 1'!$L:$L,"НЕ уражено")+COUNTIFS('Таблиця 1'!$B:$B,$A610,'Таблиця 1'!$I:$I,"Су-27",'Таблиця 1'!$L:$L,"НЕ уражено"))</f>
        <v/>
      </c>
      <c r="T610">
        <f>IF($A610="","",COUNTIFS('Таблиця 1'!$B:$B,$A610,'Таблиця 1'!$I:$I,"Mirage",'Таблиця 1'!$L:$L,"Дорозвідується")+COUNTIFS('Таблиця 1'!$B:$B,$A610,'Таблиця 1'!$I:$I,"F-16",'Таблиця 1'!$L:$L,"Дорозвідується")+COUNTIFS('Таблиця 1'!$B:$B,$A610,'Таблиця 1'!$I:$I,"МіГ-29",'Таблиця 1'!$L:$L,"Дорозвідується")+COUNTIFS('Таблиця 1'!$B:$B,$A610,'Таблиця 1'!$I:$I,"Су-25",'Таблиця 1'!$L:$L,"Дорозвідується")+COUNTIFS('Таблиця 1'!$B:$B,$A610,'Таблиця 1'!$I:$I,"Су-27",'Таблиця 1'!$L:$L,"Дорозвідується"))</f>
        <v/>
      </c>
    </row>
    <row r="611">
      <c r="A611" s="273">
        <f>IF(A610="","",IF(A610+1&gt;MAX('Таблиця 1'!$B:$B),"",A610+1))</f>
        <v/>
      </c>
      <c r="B611">
        <f>IF($A611="","",COUNTIFS('Таблиця 1'!$B:$B,$A611,'Таблиця 1'!$I:$I,"Mirage")+COUNTIFS('Таблиця 1'!$B:$B,$A611,'Таблиця 1'!$I:$I,"F-16")+COUNTIFS('Таблиця 1'!$B:$B,$A611,'Таблиця 1'!$I:$I,"МіГ-29")+COUNTIFS('Таблиця 1'!$B:$B,$A611,'Таблиця 1'!$I:$I,"Су-25")+COUNTIFS('Таблиця 1'!$B:$B,$A611,'Таблиця 1'!$I:$I,"Су-27"))</f>
        <v/>
      </c>
      <c r="C611">
        <f>IF($A611="","",COUNTIFS('Таблиця 1'!$B:$B,$A611,'Таблиця 1'!$I:$I,"Mirage"))</f>
        <v/>
      </c>
      <c r="D611">
        <f>IF($A611="","",COUNTIFS('Таблиця 1'!$B:$B,$A611,'Таблиця 1'!$I:$I,"F-16"))</f>
        <v/>
      </c>
      <c r="E611">
        <f>IF($A611="","",COUNTIFS('Таблиця 1'!$B:$B,$A611,'Таблиця 1'!$I:$I,"МіГ-29"))</f>
        <v/>
      </c>
      <c r="F611">
        <f>IF($A611="","",COUNTIFS('Таблиця 1'!$B:$B,$A611,'Таблиця 1'!$I:$I,"Су-25"))</f>
        <v/>
      </c>
      <c r="G611">
        <f>IF($A611="","",COUNTIFS('Таблиця 1'!$B:$B,$A611,'Таблиця 1'!$I:$I,"Су-27"))</f>
        <v/>
      </c>
      <c r="H611">
        <f>IF($A611="","",SUMIFS('Таблиця 1'!$K:$K,'Таблиця 1'!$B:$B,$A611,'Таблиця 1'!$I:$I,"Mirage",'Таблиця 1'!$J:$J,"AGM-88")+SUMIFS('Таблиця 1'!$K:$K,'Таблиця 1'!$B:$B,$A611,'Таблиця 1'!$I:$I,"F-16",'Таблиця 1'!$J:$J,"AGM-88")+SUMIFS('Таблиця 1'!$K:$K,'Таблиця 1'!$B:$B,$A611,'Таблиця 1'!$I:$I,"МіГ-29",'Таблиця 1'!$J:$J,"AGM-88")+SUMIFS('Таблиця 1'!$K:$K,'Таблиця 1'!$B:$B,$A611,'Таблиця 1'!$I:$I,"Су-25",'Таблиця 1'!$J:$J,"AGM-88")+SUMIFS('Таблиця 1'!$K:$K,'Таблиця 1'!$B:$B,$A611,'Таблиця 1'!$I:$I,"Су-27",'Таблиця 1'!$J:$J,"AGM-88"))</f>
        <v/>
      </c>
      <c r="I611">
        <f>IF($A611="","",SUMIFS('Таблиця 1'!$K:$K,'Таблиця 1'!$B:$B,$A611,'Таблиця 1'!$I:$I,"Mirage",'Таблиця 1'!$J:$J,"AASM-250")+SUMIFS('Таблиця 1'!$K:$K,'Таблиця 1'!$B:$B,$A611,'Таблиця 1'!$I:$I,"F-16",'Таблиця 1'!$J:$J,"AASM-250")+SUMIFS('Таблиця 1'!$K:$K,'Таблиця 1'!$B:$B,$A611,'Таблиця 1'!$I:$I,"МіГ-29",'Таблиця 1'!$J:$J,"AASM-250")+SUMIFS('Таблиця 1'!$K:$K,'Таблиця 1'!$B:$B,$A611,'Таблиця 1'!$I:$I,"Су-25",'Таблиця 1'!$J:$J,"AASM-250")+SUMIFS('Таблиця 1'!$K:$K,'Таблиця 1'!$B:$B,$A611,'Таблиця 1'!$I:$I,"Су-27",'Таблиця 1'!$J:$J,"AASM-250"))</f>
        <v/>
      </c>
      <c r="J611">
        <f>IF($A611="","",SUMIFS('Таблиця 1'!$K:$K,'Таблиця 1'!$B:$B,$A611,'Таблиця 1'!$I:$I,"Mirage",'Таблиця 1'!$J:$J,"GBU-39")+SUMIFS('Таблиця 1'!$K:$K,'Таблиця 1'!$B:$B,$A611,'Таблиця 1'!$I:$I,"F-16",'Таблиця 1'!$J:$J,"GBU-39")+SUMIFS('Таблиця 1'!$K:$K,'Таблиця 1'!$B:$B,$A611,'Таблиця 1'!$I:$I,"МіГ-29",'Таблиця 1'!$J:$J,"GBU-39")+SUMIFS('Таблиця 1'!$K:$K,'Таблиця 1'!$B:$B,$A611,'Таблиця 1'!$I:$I,"Су-25",'Таблиця 1'!$J:$J,"GBU-39")+SUMIFS('Таблиця 1'!$K:$K,'Таблиця 1'!$B:$B,$A611,'Таблиця 1'!$I:$I,"Су-27",'Таблиця 1'!$J:$J,"GBU-39"))</f>
        <v/>
      </c>
      <c r="K611">
        <f>IF($A611="","",SUMIFS('Таблиця 1'!$K:$K,'Таблиця 1'!$B:$B,$A611,'Таблиця 1'!$I:$I,"Mirage",'Таблиця 1'!$J:$J,"BLU-140")+SUMIFS('Таблиця 1'!$K:$K,'Таблиця 1'!$B:$B,$A611,'Таблиця 1'!$I:$I,"F-16",'Таблиця 1'!$J:$J,"BLU-140")+SUMIFS('Таблиця 1'!$K:$K,'Таблиця 1'!$B:$B,$A611,'Таблиця 1'!$I:$I,"МіГ-29",'Таблиця 1'!$J:$J,"BLU-140")+SUMIFS('Таблиця 1'!$K:$K,'Таблиця 1'!$B:$B,$A611,'Таблиця 1'!$I:$I,"Су-25",'Таблиця 1'!$J:$J,"BLU-140")+SUMIFS('Таблиця 1'!$K:$K,'Таблиця 1'!$B:$B,$A611,'Таблиця 1'!$I:$I,"Су-27",'Таблиця 1'!$J:$J,"BLU-140"))</f>
        <v/>
      </c>
      <c r="L611">
        <f>IF($A611="","",SUMIFS('Таблиця 1'!$K:$K,'Таблиця 1'!$B:$B,$A611,'Таблиця 1'!$I:$I,"Mirage",'Таблиця 1'!$J:$J,"GBU-65")+SUMIFS('Таблиця 1'!$K:$K,'Таблиця 1'!$B:$B,$A611,'Таблиця 1'!$I:$I,"F-16",'Таблиця 1'!$J:$J,"GBU-65")+SUMIFS('Таблиця 1'!$K:$K,'Таблиця 1'!$B:$B,$A611,'Таблиця 1'!$I:$I,"МіГ-29",'Таблиця 1'!$J:$J,"GBU-65")+SUMIFS('Таблиця 1'!$K:$K,'Таблиця 1'!$B:$B,$A611,'Таблиця 1'!$I:$I,"Су-25",'Таблиця 1'!$J:$J,"GBU-65")+SUMIFS('Таблиця 1'!$K:$K,'Таблиця 1'!$B:$B,$A611,'Таблиця 1'!$I:$I,"Су-27",'Таблиця 1'!$J:$J,"GBU-65"))</f>
        <v/>
      </c>
      <c r="M611">
        <f>IF($A611="","",SUMIFS('Таблиця 1'!$K:$K,'Таблиця 1'!$B:$B,$A611,'Таблиця 1'!$I:$I,"Mirage",'Таблиця 1'!$J:$J,"GBU-62")+SUMIFS('Таблиця 1'!$K:$K,'Таблиця 1'!$B:$B,$A611,'Таблиця 1'!$I:$I,"F-16",'Таблиця 1'!$J:$J,"GBU-62")+SUMIFS('Таблиця 1'!$K:$K,'Таблиця 1'!$B:$B,$A611,'Таблиця 1'!$I:$I,"МіГ-29",'Таблиця 1'!$J:$J,"GBU-62")+SUMIFS('Таблиця 1'!$K:$K,'Таблиця 1'!$B:$B,$A611,'Таблиця 1'!$I:$I,"Су-25",'Таблиця 1'!$J:$J,"GBU-62")+SUMIFS('Таблиця 1'!$K:$K,'Таблиця 1'!$B:$B,$A611,'Таблиця 1'!$I:$I,"Су-27",'Таблиця 1'!$J:$J,"GBU-62"))</f>
        <v/>
      </c>
      <c r="N611">
        <f>IF($A611="","",SUMIFS('Таблиця 1'!$K:$K,'Таблиця 1'!$B:$B,$A611,'Таблиця 1'!$I:$I,"Mirage",'Таблиця 1'!$J:$J,"GBU-64")+SUMIFS('Таблиця 1'!$K:$K,'Таблиця 1'!$B:$B,$A611,'Таблиця 1'!$I:$I,"F-16",'Таблиця 1'!$J:$J,"GBU-64")+SUMIFS('Таблиця 1'!$K:$K,'Таблиця 1'!$B:$B,$A611,'Таблиця 1'!$I:$I,"МіГ-29",'Таблиця 1'!$J:$J,"GBU-64")+SUMIFS('Таблиця 1'!$K:$K,'Таблиця 1'!$B:$B,$A611,'Таблиця 1'!$I:$I,"Су-25",'Таблиця 1'!$J:$J,"GBU-64")+SUMIFS('Таблиця 1'!$K:$K,'Таблиця 1'!$B:$B,$A611,'Таблиця 1'!$I:$I,"Су-27",'Таблиця 1'!$J:$J,"GBU-64"))</f>
        <v/>
      </c>
      <c r="O611">
        <f>IF($A611="","",SUMIFS('Таблиця 1'!$K:$K,'Таблиця 1'!$B:$B,$A611,'Таблиця 1'!$I:$I,"Mirage",'Таблиця 1'!$J:$J,"C-13")+SUMIFS('Таблиця 1'!$K:$K,'Таблиця 1'!$B:$B,$A611,'Таблиця 1'!$I:$I,"F-16",'Таблиця 1'!$J:$J,"C-13")+SUMIFS('Таблиця 1'!$K:$K,'Таблиця 1'!$B:$B,$A611,'Таблиця 1'!$I:$I,"МіГ-29",'Таблиця 1'!$J:$J,"C-13")+SUMIFS('Таблиця 1'!$K:$K,'Таблиця 1'!$B:$B,$A611,'Таблиця 1'!$I:$I,"Су-25",'Таблиця 1'!$J:$J,"C-13")+SUMIFS('Таблиця 1'!$K:$K,'Таблиця 1'!$B:$B,$A611,'Таблиця 1'!$I:$I,"Су-27",'Таблиця 1'!$J:$J,"C-13"))</f>
        <v/>
      </c>
      <c r="P611">
        <f>IF($A611="","",SUMIFS('Таблиця 1'!$K:$K,'Таблиця 1'!$B:$B,$A611,'Таблиця 1'!$I:$I,"Mirage",'Таблиця 1'!$J:$J,"MK-32")+SUMIFS('Таблиця 1'!$K:$K,'Таблиця 1'!$B:$B,$A611,'Таблиця 1'!$I:$I,"F-16",'Таблиця 1'!$J:$J,"MK-32")+SUMIFS('Таблиця 1'!$K:$K,'Таблиця 1'!$B:$B,$A611,'Таблиця 1'!$I:$I,"МіГ-29",'Таблиця 1'!$J:$J,"MK-32")+SUMIFS('Таблиця 1'!$K:$K,'Таблиця 1'!$B:$B,$A611,'Таблиця 1'!$I:$I,"Су-25",'Таблиця 1'!$J:$J,"MK-32")+SUMIFS('Таблиця 1'!$K:$K,'Таблиця 1'!$B:$B,$A611,'Таблиця 1'!$I:$I,"Су-27",'Таблиця 1'!$J:$J,"MK-32"))</f>
        <v/>
      </c>
      <c r="Q611">
        <f>IF($A611="","",SUMIFS('Таблиця 1'!$K:$K,'Таблиця 1'!$B:$B,$A611,'Таблиця 1'!$I:$I,"Mirage",'Таблиця 1'!$J:$J,"MK-24")+SUMIFS('Таблиця 1'!$K:$K,'Таблиця 1'!$B:$B,$A611,'Таблиця 1'!$I:$I,"F-16",'Таблиця 1'!$J:$J,"MK-24")+SUMIFS('Таблиця 1'!$K:$K,'Таблиця 1'!$B:$B,$A611,'Таблиця 1'!$I:$I,"МіГ-29",'Таблиця 1'!$J:$J,"MK-24")+SUMIFS('Таблиця 1'!$K:$K,'Таблиця 1'!$B:$B,$A611,'Таблиця 1'!$I:$I,"Су-25",'Таблиця 1'!$J:$J,"MK-24")+SUMIFS('Таблиця 1'!$K:$K,'Таблиця 1'!$B:$B,$A611,'Таблиця 1'!$I:$I,"Су-27",'Таблиця 1'!$J:$J,"MK-24"))</f>
        <v/>
      </c>
      <c r="R611">
        <f>IF($A611="","",COUNTIFS('Таблиця 1'!$B:$B,$A611,'Таблиця 1'!$I:$I,"Mirage",'Таблиця 1'!$L:$L,"Уражено")+COUNTIFS('Таблиця 1'!$B:$B,$A611,'Таблиця 1'!$I:$I,"F-16",'Таблиця 1'!$L:$L,"Уражено")+COUNTIFS('Таблиця 1'!$B:$B,$A611,'Таблиця 1'!$I:$I,"МіГ-29",'Таблиця 1'!$L:$L,"Уражено")+COUNTIFS('Таблиця 1'!$B:$B,$A611,'Таблиця 1'!$I:$I,"Су-25",'Таблиця 1'!$L:$L,"Уражено")+COUNTIFS('Таблиця 1'!$B:$B,$A611,'Таблиця 1'!$I:$I,"Су-27",'Таблиця 1'!$L:$L,"Уражено"))</f>
        <v/>
      </c>
      <c r="S611">
        <f>IF($A611="","",COUNTIFS('Таблиця 1'!$B:$B,$A611,'Таблиця 1'!$I:$I,"Mirage",'Таблиця 1'!$L:$L,"НЕ уражено")+COUNTIFS('Таблиця 1'!$B:$B,$A611,'Таблиця 1'!$I:$I,"F-16",'Таблиця 1'!$L:$L,"НЕ уражено")+COUNTIFS('Таблиця 1'!$B:$B,$A611,'Таблиця 1'!$I:$I,"МіГ-29",'Таблиця 1'!$L:$L,"НЕ уражено")+COUNTIFS('Таблиця 1'!$B:$B,$A611,'Таблиця 1'!$I:$I,"Су-25",'Таблиця 1'!$L:$L,"НЕ уражено")+COUNTIFS('Таблиця 1'!$B:$B,$A611,'Таблиця 1'!$I:$I,"Су-27",'Таблиця 1'!$L:$L,"НЕ уражено"))</f>
        <v/>
      </c>
      <c r="T611">
        <f>IF($A611="","",COUNTIFS('Таблиця 1'!$B:$B,$A611,'Таблиця 1'!$I:$I,"Mirage",'Таблиця 1'!$L:$L,"Дорозвідується")+COUNTIFS('Таблиця 1'!$B:$B,$A611,'Таблиця 1'!$I:$I,"F-16",'Таблиця 1'!$L:$L,"Дорозвідується")+COUNTIFS('Таблиця 1'!$B:$B,$A611,'Таблиця 1'!$I:$I,"МіГ-29",'Таблиця 1'!$L:$L,"Дорозвідується")+COUNTIFS('Таблиця 1'!$B:$B,$A611,'Таблиця 1'!$I:$I,"Су-25",'Таблиця 1'!$L:$L,"Дорозвідується")+COUNTIFS('Таблиця 1'!$B:$B,$A611,'Таблиця 1'!$I:$I,"Су-27",'Таблиця 1'!$L:$L,"Дорозвідується"))</f>
        <v/>
      </c>
    </row>
    <row r="612">
      <c r="A612" s="273">
        <f>IF(A611="","",IF(A611+1&gt;MAX('Таблиця 1'!$B:$B),"",A611+1))</f>
        <v/>
      </c>
      <c r="B612">
        <f>IF($A612="","",COUNTIFS('Таблиця 1'!$B:$B,$A612,'Таблиця 1'!$I:$I,"Mirage")+COUNTIFS('Таблиця 1'!$B:$B,$A612,'Таблиця 1'!$I:$I,"F-16")+COUNTIFS('Таблиця 1'!$B:$B,$A612,'Таблиця 1'!$I:$I,"МіГ-29")+COUNTIFS('Таблиця 1'!$B:$B,$A612,'Таблиця 1'!$I:$I,"Су-25")+COUNTIFS('Таблиця 1'!$B:$B,$A612,'Таблиця 1'!$I:$I,"Су-27"))</f>
        <v/>
      </c>
      <c r="C612">
        <f>IF($A612="","",COUNTIFS('Таблиця 1'!$B:$B,$A612,'Таблиця 1'!$I:$I,"Mirage"))</f>
        <v/>
      </c>
      <c r="D612">
        <f>IF($A612="","",COUNTIFS('Таблиця 1'!$B:$B,$A612,'Таблиця 1'!$I:$I,"F-16"))</f>
        <v/>
      </c>
      <c r="E612">
        <f>IF($A612="","",COUNTIFS('Таблиця 1'!$B:$B,$A612,'Таблиця 1'!$I:$I,"МіГ-29"))</f>
        <v/>
      </c>
      <c r="F612">
        <f>IF($A612="","",COUNTIFS('Таблиця 1'!$B:$B,$A612,'Таблиця 1'!$I:$I,"Су-25"))</f>
        <v/>
      </c>
      <c r="G612">
        <f>IF($A612="","",COUNTIFS('Таблиця 1'!$B:$B,$A612,'Таблиця 1'!$I:$I,"Су-27"))</f>
        <v/>
      </c>
      <c r="H612">
        <f>IF($A612="","",SUMIFS('Таблиця 1'!$K:$K,'Таблиця 1'!$B:$B,$A612,'Таблиця 1'!$I:$I,"Mirage",'Таблиця 1'!$J:$J,"AGM-88")+SUMIFS('Таблиця 1'!$K:$K,'Таблиця 1'!$B:$B,$A612,'Таблиця 1'!$I:$I,"F-16",'Таблиця 1'!$J:$J,"AGM-88")+SUMIFS('Таблиця 1'!$K:$K,'Таблиця 1'!$B:$B,$A612,'Таблиця 1'!$I:$I,"МіГ-29",'Таблиця 1'!$J:$J,"AGM-88")+SUMIFS('Таблиця 1'!$K:$K,'Таблиця 1'!$B:$B,$A612,'Таблиця 1'!$I:$I,"Су-25",'Таблиця 1'!$J:$J,"AGM-88")+SUMIFS('Таблиця 1'!$K:$K,'Таблиця 1'!$B:$B,$A612,'Таблиця 1'!$I:$I,"Су-27",'Таблиця 1'!$J:$J,"AGM-88"))</f>
        <v/>
      </c>
      <c r="I612">
        <f>IF($A612="","",SUMIFS('Таблиця 1'!$K:$K,'Таблиця 1'!$B:$B,$A612,'Таблиця 1'!$I:$I,"Mirage",'Таблиця 1'!$J:$J,"AASM-250")+SUMIFS('Таблиця 1'!$K:$K,'Таблиця 1'!$B:$B,$A612,'Таблиця 1'!$I:$I,"F-16",'Таблиця 1'!$J:$J,"AASM-250")+SUMIFS('Таблиця 1'!$K:$K,'Таблиця 1'!$B:$B,$A612,'Таблиця 1'!$I:$I,"МіГ-29",'Таблиця 1'!$J:$J,"AASM-250")+SUMIFS('Таблиця 1'!$K:$K,'Таблиця 1'!$B:$B,$A612,'Таблиця 1'!$I:$I,"Су-25",'Таблиця 1'!$J:$J,"AASM-250")+SUMIFS('Таблиця 1'!$K:$K,'Таблиця 1'!$B:$B,$A612,'Таблиця 1'!$I:$I,"Су-27",'Таблиця 1'!$J:$J,"AASM-250"))</f>
        <v/>
      </c>
      <c r="J612">
        <f>IF($A612="","",SUMIFS('Таблиця 1'!$K:$K,'Таблиця 1'!$B:$B,$A612,'Таблиця 1'!$I:$I,"Mirage",'Таблиця 1'!$J:$J,"GBU-39")+SUMIFS('Таблиця 1'!$K:$K,'Таблиця 1'!$B:$B,$A612,'Таблиця 1'!$I:$I,"F-16",'Таблиця 1'!$J:$J,"GBU-39")+SUMIFS('Таблиця 1'!$K:$K,'Таблиця 1'!$B:$B,$A612,'Таблиця 1'!$I:$I,"МіГ-29",'Таблиця 1'!$J:$J,"GBU-39")+SUMIFS('Таблиця 1'!$K:$K,'Таблиця 1'!$B:$B,$A612,'Таблиця 1'!$I:$I,"Су-25",'Таблиця 1'!$J:$J,"GBU-39")+SUMIFS('Таблиця 1'!$K:$K,'Таблиця 1'!$B:$B,$A612,'Таблиця 1'!$I:$I,"Су-27",'Таблиця 1'!$J:$J,"GBU-39"))</f>
        <v/>
      </c>
      <c r="K612">
        <f>IF($A612="","",SUMIFS('Таблиця 1'!$K:$K,'Таблиця 1'!$B:$B,$A612,'Таблиця 1'!$I:$I,"Mirage",'Таблиця 1'!$J:$J,"BLU-140")+SUMIFS('Таблиця 1'!$K:$K,'Таблиця 1'!$B:$B,$A612,'Таблиця 1'!$I:$I,"F-16",'Таблиця 1'!$J:$J,"BLU-140")+SUMIFS('Таблиця 1'!$K:$K,'Таблиця 1'!$B:$B,$A612,'Таблиця 1'!$I:$I,"МіГ-29",'Таблиця 1'!$J:$J,"BLU-140")+SUMIFS('Таблиця 1'!$K:$K,'Таблиця 1'!$B:$B,$A612,'Таблиця 1'!$I:$I,"Су-25",'Таблиця 1'!$J:$J,"BLU-140")+SUMIFS('Таблиця 1'!$K:$K,'Таблиця 1'!$B:$B,$A612,'Таблиця 1'!$I:$I,"Су-27",'Таблиця 1'!$J:$J,"BLU-140"))</f>
        <v/>
      </c>
      <c r="L612">
        <f>IF($A612="","",SUMIFS('Таблиця 1'!$K:$K,'Таблиця 1'!$B:$B,$A612,'Таблиця 1'!$I:$I,"Mirage",'Таблиця 1'!$J:$J,"GBU-65")+SUMIFS('Таблиця 1'!$K:$K,'Таблиця 1'!$B:$B,$A612,'Таблиця 1'!$I:$I,"F-16",'Таблиця 1'!$J:$J,"GBU-65")+SUMIFS('Таблиця 1'!$K:$K,'Таблиця 1'!$B:$B,$A612,'Таблиця 1'!$I:$I,"МіГ-29",'Таблиця 1'!$J:$J,"GBU-65")+SUMIFS('Таблиця 1'!$K:$K,'Таблиця 1'!$B:$B,$A612,'Таблиця 1'!$I:$I,"Су-25",'Таблиця 1'!$J:$J,"GBU-65")+SUMIFS('Таблиця 1'!$K:$K,'Таблиця 1'!$B:$B,$A612,'Таблиця 1'!$I:$I,"Су-27",'Таблиця 1'!$J:$J,"GBU-65"))</f>
        <v/>
      </c>
      <c r="M612">
        <f>IF($A612="","",SUMIFS('Таблиця 1'!$K:$K,'Таблиця 1'!$B:$B,$A612,'Таблиця 1'!$I:$I,"Mirage",'Таблиця 1'!$J:$J,"GBU-62")+SUMIFS('Таблиця 1'!$K:$K,'Таблиця 1'!$B:$B,$A612,'Таблиця 1'!$I:$I,"F-16",'Таблиця 1'!$J:$J,"GBU-62")+SUMIFS('Таблиця 1'!$K:$K,'Таблиця 1'!$B:$B,$A612,'Таблиця 1'!$I:$I,"МіГ-29",'Таблиця 1'!$J:$J,"GBU-62")+SUMIFS('Таблиця 1'!$K:$K,'Таблиця 1'!$B:$B,$A612,'Таблиця 1'!$I:$I,"Су-25",'Таблиця 1'!$J:$J,"GBU-62")+SUMIFS('Таблиця 1'!$K:$K,'Таблиця 1'!$B:$B,$A612,'Таблиця 1'!$I:$I,"Су-27",'Таблиця 1'!$J:$J,"GBU-62"))</f>
        <v/>
      </c>
      <c r="N612">
        <f>IF($A612="","",SUMIFS('Таблиця 1'!$K:$K,'Таблиця 1'!$B:$B,$A612,'Таблиця 1'!$I:$I,"Mirage",'Таблиця 1'!$J:$J,"GBU-64")+SUMIFS('Таблиця 1'!$K:$K,'Таблиця 1'!$B:$B,$A612,'Таблиця 1'!$I:$I,"F-16",'Таблиця 1'!$J:$J,"GBU-64")+SUMIFS('Таблиця 1'!$K:$K,'Таблиця 1'!$B:$B,$A612,'Таблиця 1'!$I:$I,"МіГ-29",'Таблиця 1'!$J:$J,"GBU-64")+SUMIFS('Таблиця 1'!$K:$K,'Таблиця 1'!$B:$B,$A612,'Таблиця 1'!$I:$I,"Су-25",'Таблиця 1'!$J:$J,"GBU-64")+SUMIFS('Таблиця 1'!$K:$K,'Таблиця 1'!$B:$B,$A612,'Таблиця 1'!$I:$I,"Су-27",'Таблиця 1'!$J:$J,"GBU-64"))</f>
        <v/>
      </c>
      <c r="O612">
        <f>IF($A612="","",SUMIFS('Таблиця 1'!$K:$K,'Таблиця 1'!$B:$B,$A612,'Таблиця 1'!$I:$I,"Mirage",'Таблиця 1'!$J:$J,"C-13")+SUMIFS('Таблиця 1'!$K:$K,'Таблиця 1'!$B:$B,$A612,'Таблиця 1'!$I:$I,"F-16",'Таблиця 1'!$J:$J,"C-13")+SUMIFS('Таблиця 1'!$K:$K,'Таблиця 1'!$B:$B,$A612,'Таблиця 1'!$I:$I,"МіГ-29",'Таблиця 1'!$J:$J,"C-13")+SUMIFS('Таблиця 1'!$K:$K,'Таблиця 1'!$B:$B,$A612,'Таблиця 1'!$I:$I,"Су-25",'Таблиця 1'!$J:$J,"C-13")+SUMIFS('Таблиця 1'!$K:$K,'Таблиця 1'!$B:$B,$A612,'Таблиця 1'!$I:$I,"Су-27",'Таблиця 1'!$J:$J,"C-13"))</f>
        <v/>
      </c>
      <c r="P612">
        <f>IF($A612="","",SUMIFS('Таблиця 1'!$K:$K,'Таблиця 1'!$B:$B,$A612,'Таблиця 1'!$I:$I,"Mirage",'Таблиця 1'!$J:$J,"MK-32")+SUMIFS('Таблиця 1'!$K:$K,'Таблиця 1'!$B:$B,$A612,'Таблиця 1'!$I:$I,"F-16",'Таблиця 1'!$J:$J,"MK-32")+SUMIFS('Таблиця 1'!$K:$K,'Таблиця 1'!$B:$B,$A612,'Таблиця 1'!$I:$I,"МіГ-29",'Таблиця 1'!$J:$J,"MK-32")+SUMIFS('Таблиця 1'!$K:$K,'Таблиця 1'!$B:$B,$A612,'Таблиця 1'!$I:$I,"Су-25",'Таблиця 1'!$J:$J,"MK-32")+SUMIFS('Таблиця 1'!$K:$K,'Таблиця 1'!$B:$B,$A612,'Таблиця 1'!$I:$I,"Су-27",'Таблиця 1'!$J:$J,"MK-32"))</f>
        <v/>
      </c>
      <c r="Q612">
        <f>IF($A612="","",SUMIFS('Таблиця 1'!$K:$K,'Таблиця 1'!$B:$B,$A612,'Таблиця 1'!$I:$I,"Mirage",'Таблиця 1'!$J:$J,"MK-24")+SUMIFS('Таблиця 1'!$K:$K,'Таблиця 1'!$B:$B,$A612,'Таблиця 1'!$I:$I,"F-16",'Таблиця 1'!$J:$J,"MK-24")+SUMIFS('Таблиця 1'!$K:$K,'Таблиця 1'!$B:$B,$A612,'Таблиця 1'!$I:$I,"МіГ-29",'Таблиця 1'!$J:$J,"MK-24")+SUMIFS('Таблиця 1'!$K:$K,'Таблиця 1'!$B:$B,$A612,'Таблиця 1'!$I:$I,"Су-25",'Таблиця 1'!$J:$J,"MK-24")+SUMIFS('Таблиця 1'!$K:$K,'Таблиця 1'!$B:$B,$A612,'Таблиця 1'!$I:$I,"Су-27",'Таблиця 1'!$J:$J,"MK-24"))</f>
        <v/>
      </c>
      <c r="R612">
        <f>IF($A612="","",COUNTIFS('Таблиця 1'!$B:$B,$A612,'Таблиця 1'!$I:$I,"Mirage",'Таблиця 1'!$L:$L,"Уражено")+COUNTIFS('Таблиця 1'!$B:$B,$A612,'Таблиця 1'!$I:$I,"F-16",'Таблиця 1'!$L:$L,"Уражено")+COUNTIFS('Таблиця 1'!$B:$B,$A612,'Таблиця 1'!$I:$I,"МіГ-29",'Таблиця 1'!$L:$L,"Уражено")+COUNTIFS('Таблиця 1'!$B:$B,$A612,'Таблиця 1'!$I:$I,"Су-25",'Таблиця 1'!$L:$L,"Уражено")+COUNTIFS('Таблиця 1'!$B:$B,$A612,'Таблиця 1'!$I:$I,"Су-27",'Таблиця 1'!$L:$L,"Уражено"))</f>
        <v/>
      </c>
      <c r="S612">
        <f>IF($A612="","",COUNTIFS('Таблиця 1'!$B:$B,$A612,'Таблиця 1'!$I:$I,"Mirage",'Таблиця 1'!$L:$L,"НЕ уражено")+COUNTIFS('Таблиця 1'!$B:$B,$A612,'Таблиця 1'!$I:$I,"F-16",'Таблиця 1'!$L:$L,"НЕ уражено")+COUNTIFS('Таблиця 1'!$B:$B,$A612,'Таблиця 1'!$I:$I,"МіГ-29",'Таблиця 1'!$L:$L,"НЕ уражено")+COUNTIFS('Таблиця 1'!$B:$B,$A612,'Таблиця 1'!$I:$I,"Су-25",'Таблиця 1'!$L:$L,"НЕ уражено")+COUNTIFS('Таблиця 1'!$B:$B,$A612,'Таблиця 1'!$I:$I,"Су-27",'Таблиця 1'!$L:$L,"НЕ уражено"))</f>
        <v/>
      </c>
      <c r="T612">
        <f>IF($A612="","",COUNTIFS('Таблиця 1'!$B:$B,$A612,'Таблиця 1'!$I:$I,"Mirage",'Таблиця 1'!$L:$L,"Дорозвідується")+COUNTIFS('Таблиця 1'!$B:$B,$A612,'Таблиця 1'!$I:$I,"F-16",'Таблиця 1'!$L:$L,"Дорозвідується")+COUNTIFS('Таблиця 1'!$B:$B,$A612,'Таблиця 1'!$I:$I,"МіГ-29",'Таблиця 1'!$L:$L,"Дорозвідується")+COUNTIFS('Таблиця 1'!$B:$B,$A612,'Таблиця 1'!$I:$I,"Су-25",'Таблиця 1'!$L:$L,"Дорозвідується")+COUNTIFS('Таблиця 1'!$B:$B,$A612,'Таблиця 1'!$I:$I,"Су-27",'Таблиця 1'!$L:$L,"Дорозвідується"))</f>
        <v/>
      </c>
    </row>
    <row r="613">
      <c r="A613" s="273">
        <f>IF(A612="","",IF(A612+1&gt;MAX('Таблиця 1'!$B:$B),"",A612+1))</f>
        <v/>
      </c>
      <c r="B613">
        <f>IF($A613="","",COUNTIFS('Таблиця 1'!$B:$B,$A613,'Таблиця 1'!$I:$I,"Mirage")+COUNTIFS('Таблиця 1'!$B:$B,$A613,'Таблиця 1'!$I:$I,"F-16")+COUNTIFS('Таблиця 1'!$B:$B,$A613,'Таблиця 1'!$I:$I,"МіГ-29")+COUNTIFS('Таблиця 1'!$B:$B,$A613,'Таблиця 1'!$I:$I,"Су-25")+COUNTIFS('Таблиця 1'!$B:$B,$A613,'Таблиця 1'!$I:$I,"Су-27"))</f>
        <v/>
      </c>
      <c r="C613">
        <f>IF($A613="","",COUNTIFS('Таблиця 1'!$B:$B,$A613,'Таблиця 1'!$I:$I,"Mirage"))</f>
        <v/>
      </c>
      <c r="D613">
        <f>IF($A613="","",COUNTIFS('Таблиця 1'!$B:$B,$A613,'Таблиця 1'!$I:$I,"F-16"))</f>
        <v/>
      </c>
      <c r="E613">
        <f>IF($A613="","",COUNTIFS('Таблиця 1'!$B:$B,$A613,'Таблиця 1'!$I:$I,"МіГ-29"))</f>
        <v/>
      </c>
      <c r="F613">
        <f>IF($A613="","",COUNTIFS('Таблиця 1'!$B:$B,$A613,'Таблиця 1'!$I:$I,"Су-25"))</f>
        <v/>
      </c>
      <c r="G613">
        <f>IF($A613="","",COUNTIFS('Таблиця 1'!$B:$B,$A613,'Таблиця 1'!$I:$I,"Су-27"))</f>
        <v/>
      </c>
      <c r="H613">
        <f>IF($A613="","",SUMIFS('Таблиця 1'!$K:$K,'Таблиця 1'!$B:$B,$A613,'Таблиця 1'!$I:$I,"Mirage",'Таблиця 1'!$J:$J,"AGM-88")+SUMIFS('Таблиця 1'!$K:$K,'Таблиця 1'!$B:$B,$A613,'Таблиця 1'!$I:$I,"F-16",'Таблиця 1'!$J:$J,"AGM-88")+SUMIFS('Таблиця 1'!$K:$K,'Таблиця 1'!$B:$B,$A613,'Таблиця 1'!$I:$I,"МіГ-29",'Таблиця 1'!$J:$J,"AGM-88")+SUMIFS('Таблиця 1'!$K:$K,'Таблиця 1'!$B:$B,$A613,'Таблиця 1'!$I:$I,"Су-25",'Таблиця 1'!$J:$J,"AGM-88")+SUMIFS('Таблиця 1'!$K:$K,'Таблиця 1'!$B:$B,$A613,'Таблиця 1'!$I:$I,"Су-27",'Таблиця 1'!$J:$J,"AGM-88"))</f>
        <v/>
      </c>
      <c r="I613">
        <f>IF($A613="","",SUMIFS('Таблиця 1'!$K:$K,'Таблиця 1'!$B:$B,$A613,'Таблиця 1'!$I:$I,"Mirage",'Таблиця 1'!$J:$J,"AASM-250")+SUMIFS('Таблиця 1'!$K:$K,'Таблиця 1'!$B:$B,$A613,'Таблиця 1'!$I:$I,"F-16",'Таблиця 1'!$J:$J,"AASM-250")+SUMIFS('Таблиця 1'!$K:$K,'Таблиця 1'!$B:$B,$A613,'Таблиця 1'!$I:$I,"МіГ-29",'Таблиця 1'!$J:$J,"AASM-250")+SUMIFS('Таблиця 1'!$K:$K,'Таблиця 1'!$B:$B,$A613,'Таблиця 1'!$I:$I,"Су-25",'Таблиця 1'!$J:$J,"AASM-250")+SUMIFS('Таблиця 1'!$K:$K,'Таблиця 1'!$B:$B,$A613,'Таблиця 1'!$I:$I,"Су-27",'Таблиця 1'!$J:$J,"AASM-250"))</f>
        <v/>
      </c>
      <c r="J613">
        <f>IF($A613="","",SUMIFS('Таблиця 1'!$K:$K,'Таблиця 1'!$B:$B,$A613,'Таблиця 1'!$I:$I,"Mirage",'Таблиця 1'!$J:$J,"GBU-39")+SUMIFS('Таблиця 1'!$K:$K,'Таблиця 1'!$B:$B,$A613,'Таблиця 1'!$I:$I,"F-16",'Таблиця 1'!$J:$J,"GBU-39")+SUMIFS('Таблиця 1'!$K:$K,'Таблиця 1'!$B:$B,$A613,'Таблиця 1'!$I:$I,"МіГ-29",'Таблиця 1'!$J:$J,"GBU-39")+SUMIFS('Таблиця 1'!$K:$K,'Таблиця 1'!$B:$B,$A613,'Таблиця 1'!$I:$I,"Су-25",'Таблиця 1'!$J:$J,"GBU-39")+SUMIFS('Таблиця 1'!$K:$K,'Таблиця 1'!$B:$B,$A613,'Таблиця 1'!$I:$I,"Су-27",'Таблиця 1'!$J:$J,"GBU-39"))</f>
        <v/>
      </c>
      <c r="K613">
        <f>IF($A613="","",SUMIFS('Таблиця 1'!$K:$K,'Таблиця 1'!$B:$B,$A613,'Таблиця 1'!$I:$I,"Mirage",'Таблиця 1'!$J:$J,"BLU-140")+SUMIFS('Таблиця 1'!$K:$K,'Таблиця 1'!$B:$B,$A613,'Таблиця 1'!$I:$I,"F-16",'Таблиця 1'!$J:$J,"BLU-140")+SUMIFS('Таблиця 1'!$K:$K,'Таблиця 1'!$B:$B,$A613,'Таблиця 1'!$I:$I,"МіГ-29",'Таблиця 1'!$J:$J,"BLU-140")+SUMIFS('Таблиця 1'!$K:$K,'Таблиця 1'!$B:$B,$A613,'Таблиця 1'!$I:$I,"Су-25",'Таблиця 1'!$J:$J,"BLU-140")+SUMIFS('Таблиця 1'!$K:$K,'Таблиця 1'!$B:$B,$A613,'Таблиця 1'!$I:$I,"Су-27",'Таблиця 1'!$J:$J,"BLU-140"))</f>
        <v/>
      </c>
      <c r="L613">
        <f>IF($A613="","",SUMIFS('Таблиця 1'!$K:$K,'Таблиця 1'!$B:$B,$A613,'Таблиця 1'!$I:$I,"Mirage",'Таблиця 1'!$J:$J,"GBU-65")+SUMIFS('Таблиця 1'!$K:$K,'Таблиця 1'!$B:$B,$A613,'Таблиця 1'!$I:$I,"F-16",'Таблиця 1'!$J:$J,"GBU-65")+SUMIFS('Таблиця 1'!$K:$K,'Таблиця 1'!$B:$B,$A613,'Таблиця 1'!$I:$I,"МіГ-29",'Таблиця 1'!$J:$J,"GBU-65")+SUMIFS('Таблиця 1'!$K:$K,'Таблиця 1'!$B:$B,$A613,'Таблиця 1'!$I:$I,"Су-25",'Таблиця 1'!$J:$J,"GBU-65")+SUMIFS('Таблиця 1'!$K:$K,'Таблиця 1'!$B:$B,$A613,'Таблиця 1'!$I:$I,"Су-27",'Таблиця 1'!$J:$J,"GBU-65"))</f>
        <v/>
      </c>
      <c r="M613">
        <f>IF($A613="","",SUMIFS('Таблиця 1'!$K:$K,'Таблиця 1'!$B:$B,$A613,'Таблиця 1'!$I:$I,"Mirage",'Таблиця 1'!$J:$J,"GBU-62")+SUMIFS('Таблиця 1'!$K:$K,'Таблиця 1'!$B:$B,$A613,'Таблиця 1'!$I:$I,"F-16",'Таблиця 1'!$J:$J,"GBU-62")+SUMIFS('Таблиця 1'!$K:$K,'Таблиця 1'!$B:$B,$A613,'Таблиця 1'!$I:$I,"МіГ-29",'Таблиця 1'!$J:$J,"GBU-62")+SUMIFS('Таблиця 1'!$K:$K,'Таблиця 1'!$B:$B,$A613,'Таблиця 1'!$I:$I,"Су-25",'Таблиця 1'!$J:$J,"GBU-62")+SUMIFS('Таблиця 1'!$K:$K,'Таблиця 1'!$B:$B,$A613,'Таблиця 1'!$I:$I,"Су-27",'Таблиця 1'!$J:$J,"GBU-62"))</f>
        <v/>
      </c>
      <c r="N613">
        <f>IF($A613="","",SUMIFS('Таблиця 1'!$K:$K,'Таблиця 1'!$B:$B,$A613,'Таблиця 1'!$I:$I,"Mirage",'Таблиця 1'!$J:$J,"GBU-64")+SUMIFS('Таблиця 1'!$K:$K,'Таблиця 1'!$B:$B,$A613,'Таблиця 1'!$I:$I,"F-16",'Таблиця 1'!$J:$J,"GBU-64")+SUMIFS('Таблиця 1'!$K:$K,'Таблиця 1'!$B:$B,$A613,'Таблиця 1'!$I:$I,"МіГ-29",'Таблиця 1'!$J:$J,"GBU-64")+SUMIFS('Таблиця 1'!$K:$K,'Таблиця 1'!$B:$B,$A613,'Таблиця 1'!$I:$I,"Су-25",'Таблиця 1'!$J:$J,"GBU-64")+SUMIFS('Таблиця 1'!$K:$K,'Таблиця 1'!$B:$B,$A613,'Таблиця 1'!$I:$I,"Су-27",'Таблиця 1'!$J:$J,"GBU-64"))</f>
        <v/>
      </c>
      <c r="O613">
        <f>IF($A613="","",SUMIFS('Таблиця 1'!$K:$K,'Таблиця 1'!$B:$B,$A613,'Таблиця 1'!$I:$I,"Mirage",'Таблиця 1'!$J:$J,"C-13")+SUMIFS('Таблиця 1'!$K:$K,'Таблиця 1'!$B:$B,$A613,'Таблиця 1'!$I:$I,"F-16",'Таблиця 1'!$J:$J,"C-13")+SUMIFS('Таблиця 1'!$K:$K,'Таблиця 1'!$B:$B,$A613,'Таблиця 1'!$I:$I,"МіГ-29",'Таблиця 1'!$J:$J,"C-13")+SUMIFS('Таблиця 1'!$K:$K,'Таблиця 1'!$B:$B,$A613,'Таблиця 1'!$I:$I,"Су-25",'Таблиця 1'!$J:$J,"C-13")+SUMIFS('Таблиця 1'!$K:$K,'Таблиця 1'!$B:$B,$A613,'Таблиця 1'!$I:$I,"Су-27",'Таблиця 1'!$J:$J,"C-13"))</f>
        <v/>
      </c>
      <c r="P613">
        <f>IF($A613="","",SUMIFS('Таблиця 1'!$K:$K,'Таблиця 1'!$B:$B,$A613,'Таблиця 1'!$I:$I,"Mirage",'Таблиця 1'!$J:$J,"MK-32")+SUMIFS('Таблиця 1'!$K:$K,'Таблиця 1'!$B:$B,$A613,'Таблиця 1'!$I:$I,"F-16",'Таблиця 1'!$J:$J,"MK-32")+SUMIFS('Таблиця 1'!$K:$K,'Таблиця 1'!$B:$B,$A613,'Таблиця 1'!$I:$I,"МіГ-29",'Таблиця 1'!$J:$J,"MK-32")+SUMIFS('Таблиця 1'!$K:$K,'Таблиця 1'!$B:$B,$A613,'Таблиця 1'!$I:$I,"Су-25",'Таблиця 1'!$J:$J,"MK-32")+SUMIFS('Таблиця 1'!$K:$K,'Таблиця 1'!$B:$B,$A613,'Таблиця 1'!$I:$I,"Су-27",'Таблиця 1'!$J:$J,"MK-32"))</f>
        <v/>
      </c>
      <c r="Q613">
        <f>IF($A613="","",SUMIFS('Таблиця 1'!$K:$K,'Таблиця 1'!$B:$B,$A613,'Таблиця 1'!$I:$I,"Mirage",'Таблиця 1'!$J:$J,"MK-24")+SUMIFS('Таблиця 1'!$K:$K,'Таблиця 1'!$B:$B,$A613,'Таблиця 1'!$I:$I,"F-16",'Таблиця 1'!$J:$J,"MK-24")+SUMIFS('Таблиця 1'!$K:$K,'Таблиця 1'!$B:$B,$A613,'Таблиця 1'!$I:$I,"МіГ-29",'Таблиця 1'!$J:$J,"MK-24")+SUMIFS('Таблиця 1'!$K:$K,'Таблиця 1'!$B:$B,$A613,'Таблиця 1'!$I:$I,"Су-25",'Таблиця 1'!$J:$J,"MK-24")+SUMIFS('Таблиця 1'!$K:$K,'Таблиця 1'!$B:$B,$A613,'Таблиця 1'!$I:$I,"Су-27",'Таблиця 1'!$J:$J,"MK-24"))</f>
        <v/>
      </c>
      <c r="R613">
        <f>IF($A613="","",COUNTIFS('Таблиця 1'!$B:$B,$A613,'Таблиця 1'!$I:$I,"Mirage",'Таблиця 1'!$L:$L,"Уражено")+COUNTIFS('Таблиця 1'!$B:$B,$A613,'Таблиця 1'!$I:$I,"F-16",'Таблиця 1'!$L:$L,"Уражено")+COUNTIFS('Таблиця 1'!$B:$B,$A613,'Таблиця 1'!$I:$I,"МіГ-29",'Таблиця 1'!$L:$L,"Уражено")+COUNTIFS('Таблиця 1'!$B:$B,$A613,'Таблиця 1'!$I:$I,"Су-25",'Таблиця 1'!$L:$L,"Уражено")+COUNTIFS('Таблиця 1'!$B:$B,$A613,'Таблиця 1'!$I:$I,"Су-27",'Таблиця 1'!$L:$L,"Уражено"))</f>
        <v/>
      </c>
      <c r="S613">
        <f>IF($A613="","",COUNTIFS('Таблиця 1'!$B:$B,$A613,'Таблиця 1'!$I:$I,"Mirage",'Таблиця 1'!$L:$L,"НЕ уражено")+COUNTIFS('Таблиця 1'!$B:$B,$A613,'Таблиця 1'!$I:$I,"F-16",'Таблиця 1'!$L:$L,"НЕ уражено")+COUNTIFS('Таблиця 1'!$B:$B,$A613,'Таблиця 1'!$I:$I,"МіГ-29",'Таблиця 1'!$L:$L,"НЕ уражено")+COUNTIFS('Таблиця 1'!$B:$B,$A613,'Таблиця 1'!$I:$I,"Су-25",'Таблиця 1'!$L:$L,"НЕ уражено")+COUNTIFS('Таблиця 1'!$B:$B,$A613,'Таблиця 1'!$I:$I,"Су-27",'Таблиця 1'!$L:$L,"НЕ уражено"))</f>
        <v/>
      </c>
      <c r="T613">
        <f>IF($A613="","",COUNTIFS('Таблиця 1'!$B:$B,$A613,'Таблиця 1'!$I:$I,"Mirage",'Таблиця 1'!$L:$L,"Дорозвідується")+COUNTIFS('Таблиця 1'!$B:$B,$A613,'Таблиця 1'!$I:$I,"F-16",'Таблиця 1'!$L:$L,"Дорозвідується")+COUNTIFS('Таблиця 1'!$B:$B,$A613,'Таблиця 1'!$I:$I,"МіГ-29",'Таблиця 1'!$L:$L,"Дорозвідується")+COUNTIFS('Таблиця 1'!$B:$B,$A613,'Таблиця 1'!$I:$I,"Су-25",'Таблиця 1'!$L:$L,"Дорозвідується")+COUNTIFS('Таблиця 1'!$B:$B,$A613,'Таблиця 1'!$I:$I,"Су-27",'Таблиця 1'!$L:$L,"Дорозвідується"))</f>
        <v/>
      </c>
    </row>
    <row r="614">
      <c r="A614" s="273">
        <f>IF(A613="","",IF(A613+1&gt;MAX('Таблиця 1'!$B:$B),"",A613+1))</f>
        <v/>
      </c>
      <c r="B614">
        <f>IF($A614="","",COUNTIFS('Таблиця 1'!$B:$B,$A614,'Таблиця 1'!$I:$I,"Mirage")+COUNTIFS('Таблиця 1'!$B:$B,$A614,'Таблиця 1'!$I:$I,"F-16")+COUNTIFS('Таблиця 1'!$B:$B,$A614,'Таблиця 1'!$I:$I,"МіГ-29")+COUNTIFS('Таблиця 1'!$B:$B,$A614,'Таблиця 1'!$I:$I,"Су-25")+COUNTIFS('Таблиця 1'!$B:$B,$A614,'Таблиця 1'!$I:$I,"Су-27"))</f>
        <v/>
      </c>
      <c r="C614">
        <f>IF($A614="","",COUNTIFS('Таблиця 1'!$B:$B,$A614,'Таблиця 1'!$I:$I,"Mirage"))</f>
        <v/>
      </c>
      <c r="D614">
        <f>IF($A614="","",COUNTIFS('Таблиця 1'!$B:$B,$A614,'Таблиця 1'!$I:$I,"F-16"))</f>
        <v/>
      </c>
      <c r="E614">
        <f>IF($A614="","",COUNTIFS('Таблиця 1'!$B:$B,$A614,'Таблиця 1'!$I:$I,"МіГ-29"))</f>
        <v/>
      </c>
      <c r="F614">
        <f>IF($A614="","",COUNTIFS('Таблиця 1'!$B:$B,$A614,'Таблиця 1'!$I:$I,"Су-25"))</f>
        <v/>
      </c>
      <c r="G614">
        <f>IF($A614="","",COUNTIFS('Таблиця 1'!$B:$B,$A614,'Таблиця 1'!$I:$I,"Су-27"))</f>
        <v/>
      </c>
      <c r="H614">
        <f>IF($A614="","",SUMIFS('Таблиця 1'!$K:$K,'Таблиця 1'!$B:$B,$A614,'Таблиця 1'!$I:$I,"Mirage",'Таблиця 1'!$J:$J,"AGM-88")+SUMIFS('Таблиця 1'!$K:$K,'Таблиця 1'!$B:$B,$A614,'Таблиця 1'!$I:$I,"F-16",'Таблиця 1'!$J:$J,"AGM-88")+SUMIFS('Таблиця 1'!$K:$K,'Таблиця 1'!$B:$B,$A614,'Таблиця 1'!$I:$I,"МіГ-29",'Таблиця 1'!$J:$J,"AGM-88")+SUMIFS('Таблиця 1'!$K:$K,'Таблиця 1'!$B:$B,$A614,'Таблиця 1'!$I:$I,"Су-25",'Таблиця 1'!$J:$J,"AGM-88")+SUMIFS('Таблиця 1'!$K:$K,'Таблиця 1'!$B:$B,$A614,'Таблиця 1'!$I:$I,"Су-27",'Таблиця 1'!$J:$J,"AGM-88"))</f>
        <v/>
      </c>
      <c r="I614">
        <f>IF($A614="","",SUMIFS('Таблиця 1'!$K:$K,'Таблиця 1'!$B:$B,$A614,'Таблиця 1'!$I:$I,"Mirage",'Таблиця 1'!$J:$J,"AASM-250")+SUMIFS('Таблиця 1'!$K:$K,'Таблиця 1'!$B:$B,$A614,'Таблиця 1'!$I:$I,"F-16",'Таблиця 1'!$J:$J,"AASM-250")+SUMIFS('Таблиця 1'!$K:$K,'Таблиця 1'!$B:$B,$A614,'Таблиця 1'!$I:$I,"МіГ-29",'Таблиця 1'!$J:$J,"AASM-250")+SUMIFS('Таблиця 1'!$K:$K,'Таблиця 1'!$B:$B,$A614,'Таблиця 1'!$I:$I,"Су-25",'Таблиця 1'!$J:$J,"AASM-250")+SUMIFS('Таблиця 1'!$K:$K,'Таблиця 1'!$B:$B,$A614,'Таблиця 1'!$I:$I,"Су-27",'Таблиця 1'!$J:$J,"AASM-250"))</f>
        <v/>
      </c>
      <c r="J614">
        <f>IF($A614="","",SUMIFS('Таблиця 1'!$K:$K,'Таблиця 1'!$B:$B,$A614,'Таблиця 1'!$I:$I,"Mirage",'Таблиця 1'!$J:$J,"GBU-39")+SUMIFS('Таблиця 1'!$K:$K,'Таблиця 1'!$B:$B,$A614,'Таблиця 1'!$I:$I,"F-16",'Таблиця 1'!$J:$J,"GBU-39")+SUMIFS('Таблиця 1'!$K:$K,'Таблиця 1'!$B:$B,$A614,'Таблиця 1'!$I:$I,"МіГ-29",'Таблиця 1'!$J:$J,"GBU-39")+SUMIFS('Таблиця 1'!$K:$K,'Таблиця 1'!$B:$B,$A614,'Таблиця 1'!$I:$I,"Су-25",'Таблиця 1'!$J:$J,"GBU-39")+SUMIFS('Таблиця 1'!$K:$K,'Таблиця 1'!$B:$B,$A614,'Таблиця 1'!$I:$I,"Су-27",'Таблиця 1'!$J:$J,"GBU-39"))</f>
        <v/>
      </c>
      <c r="K614">
        <f>IF($A614="","",SUMIFS('Таблиця 1'!$K:$K,'Таблиця 1'!$B:$B,$A614,'Таблиця 1'!$I:$I,"Mirage",'Таблиця 1'!$J:$J,"BLU-140")+SUMIFS('Таблиця 1'!$K:$K,'Таблиця 1'!$B:$B,$A614,'Таблиця 1'!$I:$I,"F-16",'Таблиця 1'!$J:$J,"BLU-140")+SUMIFS('Таблиця 1'!$K:$K,'Таблиця 1'!$B:$B,$A614,'Таблиця 1'!$I:$I,"МіГ-29",'Таблиця 1'!$J:$J,"BLU-140")+SUMIFS('Таблиця 1'!$K:$K,'Таблиця 1'!$B:$B,$A614,'Таблиця 1'!$I:$I,"Су-25",'Таблиця 1'!$J:$J,"BLU-140")+SUMIFS('Таблиця 1'!$K:$K,'Таблиця 1'!$B:$B,$A614,'Таблиця 1'!$I:$I,"Су-27",'Таблиця 1'!$J:$J,"BLU-140"))</f>
        <v/>
      </c>
      <c r="L614">
        <f>IF($A614="","",SUMIFS('Таблиця 1'!$K:$K,'Таблиця 1'!$B:$B,$A614,'Таблиця 1'!$I:$I,"Mirage",'Таблиця 1'!$J:$J,"GBU-65")+SUMIFS('Таблиця 1'!$K:$K,'Таблиця 1'!$B:$B,$A614,'Таблиця 1'!$I:$I,"F-16",'Таблиця 1'!$J:$J,"GBU-65")+SUMIFS('Таблиця 1'!$K:$K,'Таблиця 1'!$B:$B,$A614,'Таблиця 1'!$I:$I,"МіГ-29",'Таблиця 1'!$J:$J,"GBU-65")+SUMIFS('Таблиця 1'!$K:$K,'Таблиця 1'!$B:$B,$A614,'Таблиця 1'!$I:$I,"Су-25",'Таблиця 1'!$J:$J,"GBU-65")+SUMIFS('Таблиця 1'!$K:$K,'Таблиця 1'!$B:$B,$A614,'Таблиця 1'!$I:$I,"Су-27",'Таблиця 1'!$J:$J,"GBU-65"))</f>
        <v/>
      </c>
      <c r="M614">
        <f>IF($A614="","",SUMIFS('Таблиця 1'!$K:$K,'Таблиця 1'!$B:$B,$A614,'Таблиця 1'!$I:$I,"Mirage",'Таблиця 1'!$J:$J,"GBU-62")+SUMIFS('Таблиця 1'!$K:$K,'Таблиця 1'!$B:$B,$A614,'Таблиця 1'!$I:$I,"F-16",'Таблиця 1'!$J:$J,"GBU-62")+SUMIFS('Таблиця 1'!$K:$K,'Таблиця 1'!$B:$B,$A614,'Таблиця 1'!$I:$I,"МіГ-29",'Таблиця 1'!$J:$J,"GBU-62")+SUMIFS('Таблиця 1'!$K:$K,'Таблиця 1'!$B:$B,$A614,'Таблиця 1'!$I:$I,"Су-25",'Таблиця 1'!$J:$J,"GBU-62")+SUMIFS('Таблиця 1'!$K:$K,'Таблиця 1'!$B:$B,$A614,'Таблиця 1'!$I:$I,"Су-27",'Таблиця 1'!$J:$J,"GBU-62"))</f>
        <v/>
      </c>
      <c r="N614">
        <f>IF($A614="","",SUMIFS('Таблиця 1'!$K:$K,'Таблиця 1'!$B:$B,$A614,'Таблиця 1'!$I:$I,"Mirage",'Таблиця 1'!$J:$J,"GBU-64")+SUMIFS('Таблиця 1'!$K:$K,'Таблиця 1'!$B:$B,$A614,'Таблиця 1'!$I:$I,"F-16",'Таблиця 1'!$J:$J,"GBU-64")+SUMIFS('Таблиця 1'!$K:$K,'Таблиця 1'!$B:$B,$A614,'Таблиця 1'!$I:$I,"МіГ-29",'Таблиця 1'!$J:$J,"GBU-64")+SUMIFS('Таблиця 1'!$K:$K,'Таблиця 1'!$B:$B,$A614,'Таблиця 1'!$I:$I,"Су-25",'Таблиця 1'!$J:$J,"GBU-64")+SUMIFS('Таблиця 1'!$K:$K,'Таблиця 1'!$B:$B,$A614,'Таблиця 1'!$I:$I,"Су-27",'Таблиця 1'!$J:$J,"GBU-64"))</f>
        <v/>
      </c>
      <c r="O614">
        <f>IF($A614="","",SUMIFS('Таблиця 1'!$K:$K,'Таблиця 1'!$B:$B,$A614,'Таблиця 1'!$I:$I,"Mirage",'Таблиця 1'!$J:$J,"C-13")+SUMIFS('Таблиця 1'!$K:$K,'Таблиця 1'!$B:$B,$A614,'Таблиця 1'!$I:$I,"F-16",'Таблиця 1'!$J:$J,"C-13")+SUMIFS('Таблиця 1'!$K:$K,'Таблиця 1'!$B:$B,$A614,'Таблиця 1'!$I:$I,"МіГ-29",'Таблиця 1'!$J:$J,"C-13")+SUMIFS('Таблиця 1'!$K:$K,'Таблиця 1'!$B:$B,$A614,'Таблиця 1'!$I:$I,"Су-25",'Таблиця 1'!$J:$J,"C-13")+SUMIFS('Таблиця 1'!$K:$K,'Таблиця 1'!$B:$B,$A614,'Таблиця 1'!$I:$I,"Су-27",'Таблиця 1'!$J:$J,"C-13"))</f>
        <v/>
      </c>
      <c r="P614">
        <f>IF($A614="","",SUMIFS('Таблиця 1'!$K:$K,'Таблиця 1'!$B:$B,$A614,'Таблиця 1'!$I:$I,"Mirage",'Таблиця 1'!$J:$J,"MK-32")+SUMIFS('Таблиця 1'!$K:$K,'Таблиця 1'!$B:$B,$A614,'Таблиця 1'!$I:$I,"F-16",'Таблиця 1'!$J:$J,"MK-32")+SUMIFS('Таблиця 1'!$K:$K,'Таблиця 1'!$B:$B,$A614,'Таблиця 1'!$I:$I,"МіГ-29",'Таблиця 1'!$J:$J,"MK-32")+SUMIFS('Таблиця 1'!$K:$K,'Таблиця 1'!$B:$B,$A614,'Таблиця 1'!$I:$I,"Су-25",'Таблиця 1'!$J:$J,"MK-32")+SUMIFS('Таблиця 1'!$K:$K,'Таблиця 1'!$B:$B,$A614,'Таблиця 1'!$I:$I,"Су-27",'Таблиця 1'!$J:$J,"MK-32"))</f>
        <v/>
      </c>
      <c r="Q614">
        <f>IF($A614="","",SUMIFS('Таблиця 1'!$K:$K,'Таблиця 1'!$B:$B,$A614,'Таблиця 1'!$I:$I,"Mirage",'Таблиця 1'!$J:$J,"MK-24")+SUMIFS('Таблиця 1'!$K:$K,'Таблиця 1'!$B:$B,$A614,'Таблиця 1'!$I:$I,"F-16",'Таблиця 1'!$J:$J,"MK-24")+SUMIFS('Таблиця 1'!$K:$K,'Таблиця 1'!$B:$B,$A614,'Таблиця 1'!$I:$I,"МіГ-29",'Таблиця 1'!$J:$J,"MK-24")+SUMIFS('Таблиця 1'!$K:$K,'Таблиця 1'!$B:$B,$A614,'Таблиця 1'!$I:$I,"Су-25",'Таблиця 1'!$J:$J,"MK-24")+SUMIFS('Таблиця 1'!$K:$K,'Таблиця 1'!$B:$B,$A614,'Таблиця 1'!$I:$I,"Су-27",'Таблиця 1'!$J:$J,"MK-24"))</f>
        <v/>
      </c>
      <c r="R614">
        <f>IF($A614="","",COUNTIFS('Таблиця 1'!$B:$B,$A614,'Таблиця 1'!$I:$I,"Mirage",'Таблиця 1'!$L:$L,"Уражено")+COUNTIFS('Таблиця 1'!$B:$B,$A614,'Таблиця 1'!$I:$I,"F-16",'Таблиця 1'!$L:$L,"Уражено")+COUNTIFS('Таблиця 1'!$B:$B,$A614,'Таблиця 1'!$I:$I,"МіГ-29",'Таблиця 1'!$L:$L,"Уражено")+COUNTIFS('Таблиця 1'!$B:$B,$A614,'Таблиця 1'!$I:$I,"Су-25",'Таблиця 1'!$L:$L,"Уражено")+COUNTIFS('Таблиця 1'!$B:$B,$A614,'Таблиця 1'!$I:$I,"Су-27",'Таблиця 1'!$L:$L,"Уражено"))</f>
        <v/>
      </c>
      <c r="S614">
        <f>IF($A614="","",COUNTIFS('Таблиця 1'!$B:$B,$A614,'Таблиця 1'!$I:$I,"Mirage",'Таблиця 1'!$L:$L,"НЕ уражено")+COUNTIFS('Таблиця 1'!$B:$B,$A614,'Таблиця 1'!$I:$I,"F-16",'Таблиця 1'!$L:$L,"НЕ уражено")+COUNTIFS('Таблиця 1'!$B:$B,$A614,'Таблиця 1'!$I:$I,"МіГ-29",'Таблиця 1'!$L:$L,"НЕ уражено")+COUNTIFS('Таблиця 1'!$B:$B,$A614,'Таблиця 1'!$I:$I,"Су-25",'Таблиця 1'!$L:$L,"НЕ уражено")+COUNTIFS('Таблиця 1'!$B:$B,$A614,'Таблиця 1'!$I:$I,"Су-27",'Таблиця 1'!$L:$L,"НЕ уражено"))</f>
        <v/>
      </c>
      <c r="T614">
        <f>IF($A614="","",COUNTIFS('Таблиця 1'!$B:$B,$A614,'Таблиця 1'!$I:$I,"Mirage",'Таблиця 1'!$L:$L,"Дорозвідується")+COUNTIFS('Таблиця 1'!$B:$B,$A614,'Таблиця 1'!$I:$I,"F-16",'Таблиця 1'!$L:$L,"Дорозвідується")+COUNTIFS('Таблиця 1'!$B:$B,$A614,'Таблиця 1'!$I:$I,"МіГ-29",'Таблиця 1'!$L:$L,"Дорозвідується")+COUNTIFS('Таблиця 1'!$B:$B,$A614,'Таблиця 1'!$I:$I,"Су-25",'Таблиця 1'!$L:$L,"Дорозвідується")+COUNTIFS('Таблиця 1'!$B:$B,$A614,'Таблиця 1'!$I:$I,"Су-27",'Таблиця 1'!$L:$L,"Дорозвідується"))</f>
        <v/>
      </c>
    </row>
    <row r="615">
      <c r="A615" s="273">
        <f>IF(A614="","",IF(A614+1&gt;MAX('Таблиця 1'!$B:$B),"",A614+1))</f>
        <v/>
      </c>
      <c r="B615">
        <f>IF($A615="","",COUNTIFS('Таблиця 1'!$B:$B,$A615,'Таблиця 1'!$I:$I,"Mirage")+COUNTIFS('Таблиця 1'!$B:$B,$A615,'Таблиця 1'!$I:$I,"F-16")+COUNTIFS('Таблиця 1'!$B:$B,$A615,'Таблиця 1'!$I:$I,"МіГ-29")+COUNTIFS('Таблиця 1'!$B:$B,$A615,'Таблиця 1'!$I:$I,"Су-25")+COUNTIFS('Таблиця 1'!$B:$B,$A615,'Таблиця 1'!$I:$I,"Су-27"))</f>
        <v/>
      </c>
      <c r="C615">
        <f>IF($A615="","",COUNTIFS('Таблиця 1'!$B:$B,$A615,'Таблиця 1'!$I:$I,"Mirage"))</f>
        <v/>
      </c>
      <c r="D615">
        <f>IF($A615="","",COUNTIFS('Таблиця 1'!$B:$B,$A615,'Таблиця 1'!$I:$I,"F-16"))</f>
        <v/>
      </c>
      <c r="E615">
        <f>IF($A615="","",COUNTIFS('Таблиця 1'!$B:$B,$A615,'Таблиця 1'!$I:$I,"МіГ-29"))</f>
        <v/>
      </c>
      <c r="F615">
        <f>IF($A615="","",COUNTIFS('Таблиця 1'!$B:$B,$A615,'Таблиця 1'!$I:$I,"Су-25"))</f>
        <v/>
      </c>
      <c r="G615">
        <f>IF($A615="","",COUNTIFS('Таблиця 1'!$B:$B,$A615,'Таблиця 1'!$I:$I,"Су-27"))</f>
        <v/>
      </c>
      <c r="H615">
        <f>IF($A615="","",SUMIFS('Таблиця 1'!$K:$K,'Таблиця 1'!$B:$B,$A615,'Таблиця 1'!$I:$I,"Mirage",'Таблиця 1'!$J:$J,"AGM-88")+SUMIFS('Таблиця 1'!$K:$K,'Таблиця 1'!$B:$B,$A615,'Таблиця 1'!$I:$I,"F-16",'Таблиця 1'!$J:$J,"AGM-88")+SUMIFS('Таблиця 1'!$K:$K,'Таблиця 1'!$B:$B,$A615,'Таблиця 1'!$I:$I,"МіГ-29",'Таблиця 1'!$J:$J,"AGM-88")+SUMIFS('Таблиця 1'!$K:$K,'Таблиця 1'!$B:$B,$A615,'Таблиця 1'!$I:$I,"Су-25",'Таблиця 1'!$J:$J,"AGM-88")+SUMIFS('Таблиця 1'!$K:$K,'Таблиця 1'!$B:$B,$A615,'Таблиця 1'!$I:$I,"Су-27",'Таблиця 1'!$J:$J,"AGM-88"))</f>
        <v/>
      </c>
      <c r="I615">
        <f>IF($A615="","",SUMIFS('Таблиця 1'!$K:$K,'Таблиця 1'!$B:$B,$A615,'Таблиця 1'!$I:$I,"Mirage",'Таблиця 1'!$J:$J,"AASM-250")+SUMIFS('Таблиця 1'!$K:$K,'Таблиця 1'!$B:$B,$A615,'Таблиця 1'!$I:$I,"F-16",'Таблиця 1'!$J:$J,"AASM-250")+SUMIFS('Таблиця 1'!$K:$K,'Таблиця 1'!$B:$B,$A615,'Таблиця 1'!$I:$I,"МіГ-29",'Таблиця 1'!$J:$J,"AASM-250")+SUMIFS('Таблиця 1'!$K:$K,'Таблиця 1'!$B:$B,$A615,'Таблиця 1'!$I:$I,"Су-25",'Таблиця 1'!$J:$J,"AASM-250")+SUMIFS('Таблиця 1'!$K:$K,'Таблиця 1'!$B:$B,$A615,'Таблиця 1'!$I:$I,"Су-27",'Таблиця 1'!$J:$J,"AASM-250"))</f>
        <v/>
      </c>
      <c r="J615">
        <f>IF($A615="","",SUMIFS('Таблиця 1'!$K:$K,'Таблиця 1'!$B:$B,$A615,'Таблиця 1'!$I:$I,"Mirage",'Таблиця 1'!$J:$J,"GBU-39")+SUMIFS('Таблиця 1'!$K:$K,'Таблиця 1'!$B:$B,$A615,'Таблиця 1'!$I:$I,"F-16",'Таблиця 1'!$J:$J,"GBU-39")+SUMIFS('Таблиця 1'!$K:$K,'Таблиця 1'!$B:$B,$A615,'Таблиця 1'!$I:$I,"МіГ-29",'Таблиця 1'!$J:$J,"GBU-39")+SUMIFS('Таблиця 1'!$K:$K,'Таблиця 1'!$B:$B,$A615,'Таблиця 1'!$I:$I,"Су-25",'Таблиця 1'!$J:$J,"GBU-39")+SUMIFS('Таблиця 1'!$K:$K,'Таблиця 1'!$B:$B,$A615,'Таблиця 1'!$I:$I,"Су-27",'Таблиця 1'!$J:$J,"GBU-39"))</f>
        <v/>
      </c>
      <c r="K615">
        <f>IF($A615="","",SUMIFS('Таблиця 1'!$K:$K,'Таблиця 1'!$B:$B,$A615,'Таблиця 1'!$I:$I,"Mirage",'Таблиця 1'!$J:$J,"BLU-140")+SUMIFS('Таблиця 1'!$K:$K,'Таблиця 1'!$B:$B,$A615,'Таблиця 1'!$I:$I,"F-16",'Таблиця 1'!$J:$J,"BLU-140")+SUMIFS('Таблиця 1'!$K:$K,'Таблиця 1'!$B:$B,$A615,'Таблиця 1'!$I:$I,"МіГ-29",'Таблиця 1'!$J:$J,"BLU-140")+SUMIFS('Таблиця 1'!$K:$K,'Таблиця 1'!$B:$B,$A615,'Таблиця 1'!$I:$I,"Су-25",'Таблиця 1'!$J:$J,"BLU-140")+SUMIFS('Таблиця 1'!$K:$K,'Таблиця 1'!$B:$B,$A615,'Таблиця 1'!$I:$I,"Су-27",'Таблиця 1'!$J:$J,"BLU-140"))</f>
        <v/>
      </c>
      <c r="L615">
        <f>IF($A615="","",SUMIFS('Таблиця 1'!$K:$K,'Таблиця 1'!$B:$B,$A615,'Таблиця 1'!$I:$I,"Mirage",'Таблиця 1'!$J:$J,"GBU-65")+SUMIFS('Таблиця 1'!$K:$K,'Таблиця 1'!$B:$B,$A615,'Таблиця 1'!$I:$I,"F-16",'Таблиця 1'!$J:$J,"GBU-65")+SUMIFS('Таблиця 1'!$K:$K,'Таблиця 1'!$B:$B,$A615,'Таблиця 1'!$I:$I,"МіГ-29",'Таблиця 1'!$J:$J,"GBU-65")+SUMIFS('Таблиця 1'!$K:$K,'Таблиця 1'!$B:$B,$A615,'Таблиця 1'!$I:$I,"Су-25",'Таблиця 1'!$J:$J,"GBU-65")+SUMIFS('Таблиця 1'!$K:$K,'Таблиця 1'!$B:$B,$A615,'Таблиця 1'!$I:$I,"Су-27",'Таблиця 1'!$J:$J,"GBU-65"))</f>
        <v/>
      </c>
      <c r="M615">
        <f>IF($A615="","",SUMIFS('Таблиця 1'!$K:$K,'Таблиця 1'!$B:$B,$A615,'Таблиця 1'!$I:$I,"Mirage",'Таблиця 1'!$J:$J,"GBU-62")+SUMIFS('Таблиця 1'!$K:$K,'Таблиця 1'!$B:$B,$A615,'Таблиця 1'!$I:$I,"F-16",'Таблиця 1'!$J:$J,"GBU-62")+SUMIFS('Таблиця 1'!$K:$K,'Таблиця 1'!$B:$B,$A615,'Таблиця 1'!$I:$I,"МіГ-29",'Таблиця 1'!$J:$J,"GBU-62")+SUMIFS('Таблиця 1'!$K:$K,'Таблиця 1'!$B:$B,$A615,'Таблиця 1'!$I:$I,"Су-25",'Таблиця 1'!$J:$J,"GBU-62")+SUMIFS('Таблиця 1'!$K:$K,'Таблиця 1'!$B:$B,$A615,'Таблиця 1'!$I:$I,"Су-27",'Таблиця 1'!$J:$J,"GBU-62"))</f>
        <v/>
      </c>
      <c r="N615">
        <f>IF($A615="","",SUMIFS('Таблиця 1'!$K:$K,'Таблиця 1'!$B:$B,$A615,'Таблиця 1'!$I:$I,"Mirage",'Таблиця 1'!$J:$J,"GBU-64")+SUMIFS('Таблиця 1'!$K:$K,'Таблиця 1'!$B:$B,$A615,'Таблиця 1'!$I:$I,"F-16",'Таблиця 1'!$J:$J,"GBU-64")+SUMIFS('Таблиця 1'!$K:$K,'Таблиця 1'!$B:$B,$A615,'Таблиця 1'!$I:$I,"МіГ-29",'Таблиця 1'!$J:$J,"GBU-64")+SUMIFS('Таблиця 1'!$K:$K,'Таблиця 1'!$B:$B,$A615,'Таблиця 1'!$I:$I,"Су-25",'Таблиця 1'!$J:$J,"GBU-64")+SUMIFS('Таблиця 1'!$K:$K,'Таблиця 1'!$B:$B,$A615,'Таблиця 1'!$I:$I,"Су-27",'Таблиця 1'!$J:$J,"GBU-64"))</f>
        <v/>
      </c>
      <c r="O615">
        <f>IF($A615="","",SUMIFS('Таблиця 1'!$K:$K,'Таблиця 1'!$B:$B,$A615,'Таблиця 1'!$I:$I,"Mirage",'Таблиця 1'!$J:$J,"C-13")+SUMIFS('Таблиця 1'!$K:$K,'Таблиця 1'!$B:$B,$A615,'Таблиця 1'!$I:$I,"F-16",'Таблиця 1'!$J:$J,"C-13")+SUMIFS('Таблиця 1'!$K:$K,'Таблиця 1'!$B:$B,$A615,'Таблиця 1'!$I:$I,"МіГ-29",'Таблиця 1'!$J:$J,"C-13")+SUMIFS('Таблиця 1'!$K:$K,'Таблиця 1'!$B:$B,$A615,'Таблиця 1'!$I:$I,"Су-25",'Таблиця 1'!$J:$J,"C-13")+SUMIFS('Таблиця 1'!$K:$K,'Таблиця 1'!$B:$B,$A615,'Таблиця 1'!$I:$I,"Су-27",'Таблиця 1'!$J:$J,"C-13"))</f>
        <v/>
      </c>
      <c r="P615">
        <f>IF($A615="","",SUMIFS('Таблиця 1'!$K:$K,'Таблиця 1'!$B:$B,$A615,'Таблиця 1'!$I:$I,"Mirage",'Таблиця 1'!$J:$J,"MK-32")+SUMIFS('Таблиця 1'!$K:$K,'Таблиця 1'!$B:$B,$A615,'Таблиця 1'!$I:$I,"F-16",'Таблиця 1'!$J:$J,"MK-32")+SUMIFS('Таблиця 1'!$K:$K,'Таблиця 1'!$B:$B,$A615,'Таблиця 1'!$I:$I,"МіГ-29",'Таблиця 1'!$J:$J,"MK-32")+SUMIFS('Таблиця 1'!$K:$K,'Таблиця 1'!$B:$B,$A615,'Таблиця 1'!$I:$I,"Су-25",'Таблиця 1'!$J:$J,"MK-32")+SUMIFS('Таблиця 1'!$K:$K,'Таблиця 1'!$B:$B,$A615,'Таблиця 1'!$I:$I,"Су-27",'Таблиця 1'!$J:$J,"MK-32"))</f>
        <v/>
      </c>
      <c r="Q615">
        <f>IF($A615="","",SUMIFS('Таблиця 1'!$K:$K,'Таблиця 1'!$B:$B,$A615,'Таблиця 1'!$I:$I,"Mirage",'Таблиця 1'!$J:$J,"MK-24")+SUMIFS('Таблиця 1'!$K:$K,'Таблиця 1'!$B:$B,$A615,'Таблиця 1'!$I:$I,"F-16",'Таблиця 1'!$J:$J,"MK-24")+SUMIFS('Таблиця 1'!$K:$K,'Таблиця 1'!$B:$B,$A615,'Таблиця 1'!$I:$I,"МіГ-29",'Таблиця 1'!$J:$J,"MK-24")+SUMIFS('Таблиця 1'!$K:$K,'Таблиця 1'!$B:$B,$A615,'Таблиця 1'!$I:$I,"Су-25",'Таблиця 1'!$J:$J,"MK-24")+SUMIFS('Таблиця 1'!$K:$K,'Таблиця 1'!$B:$B,$A615,'Таблиця 1'!$I:$I,"Су-27",'Таблиця 1'!$J:$J,"MK-24"))</f>
        <v/>
      </c>
      <c r="R615">
        <f>IF($A615="","",COUNTIFS('Таблиця 1'!$B:$B,$A615,'Таблиця 1'!$I:$I,"Mirage",'Таблиця 1'!$L:$L,"Уражено")+COUNTIFS('Таблиця 1'!$B:$B,$A615,'Таблиця 1'!$I:$I,"F-16",'Таблиця 1'!$L:$L,"Уражено")+COUNTIFS('Таблиця 1'!$B:$B,$A615,'Таблиця 1'!$I:$I,"МіГ-29",'Таблиця 1'!$L:$L,"Уражено")+COUNTIFS('Таблиця 1'!$B:$B,$A615,'Таблиця 1'!$I:$I,"Су-25",'Таблиця 1'!$L:$L,"Уражено")+COUNTIFS('Таблиця 1'!$B:$B,$A615,'Таблиця 1'!$I:$I,"Су-27",'Таблиця 1'!$L:$L,"Уражено"))</f>
        <v/>
      </c>
      <c r="S615">
        <f>IF($A615="","",COUNTIFS('Таблиця 1'!$B:$B,$A615,'Таблиця 1'!$I:$I,"Mirage",'Таблиця 1'!$L:$L,"НЕ уражено")+COUNTIFS('Таблиця 1'!$B:$B,$A615,'Таблиця 1'!$I:$I,"F-16",'Таблиця 1'!$L:$L,"НЕ уражено")+COUNTIFS('Таблиця 1'!$B:$B,$A615,'Таблиця 1'!$I:$I,"МіГ-29",'Таблиця 1'!$L:$L,"НЕ уражено")+COUNTIFS('Таблиця 1'!$B:$B,$A615,'Таблиця 1'!$I:$I,"Су-25",'Таблиця 1'!$L:$L,"НЕ уражено")+COUNTIFS('Таблиця 1'!$B:$B,$A615,'Таблиця 1'!$I:$I,"Су-27",'Таблиця 1'!$L:$L,"НЕ уражено"))</f>
        <v/>
      </c>
      <c r="T615">
        <f>IF($A615="","",COUNTIFS('Таблиця 1'!$B:$B,$A615,'Таблиця 1'!$I:$I,"Mirage",'Таблиця 1'!$L:$L,"Дорозвідується")+COUNTIFS('Таблиця 1'!$B:$B,$A615,'Таблиця 1'!$I:$I,"F-16",'Таблиця 1'!$L:$L,"Дорозвідується")+COUNTIFS('Таблиця 1'!$B:$B,$A615,'Таблиця 1'!$I:$I,"МіГ-29",'Таблиця 1'!$L:$L,"Дорозвідується")+COUNTIFS('Таблиця 1'!$B:$B,$A615,'Таблиця 1'!$I:$I,"Су-25",'Таблиця 1'!$L:$L,"Дорозвідується")+COUNTIFS('Таблиця 1'!$B:$B,$A615,'Таблиця 1'!$I:$I,"Су-27",'Таблиця 1'!$L:$L,"Дорозвідується"))</f>
        <v/>
      </c>
    </row>
    <row r="616">
      <c r="A616" s="273">
        <f>IF(A615="","",IF(A615+1&gt;MAX('Таблиця 1'!$B:$B),"",A615+1))</f>
        <v/>
      </c>
      <c r="B616">
        <f>IF($A616="","",COUNTIFS('Таблиця 1'!$B:$B,$A616,'Таблиця 1'!$I:$I,"Mirage")+COUNTIFS('Таблиця 1'!$B:$B,$A616,'Таблиця 1'!$I:$I,"F-16")+COUNTIFS('Таблиця 1'!$B:$B,$A616,'Таблиця 1'!$I:$I,"МіГ-29")+COUNTIFS('Таблиця 1'!$B:$B,$A616,'Таблиця 1'!$I:$I,"Су-25")+COUNTIFS('Таблиця 1'!$B:$B,$A616,'Таблиця 1'!$I:$I,"Су-27"))</f>
        <v/>
      </c>
      <c r="C616">
        <f>IF($A616="","",COUNTIFS('Таблиця 1'!$B:$B,$A616,'Таблиця 1'!$I:$I,"Mirage"))</f>
        <v/>
      </c>
      <c r="D616">
        <f>IF($A616="","",COUNTIFS('Таблиця 1'!$B:$B,$A616,'Таблиця 1'!$I:$I,"F-16"))</f>
        <v/>
      </c>
      <c r="E616">
        <f>IF($A616="","",COUNTIFS('Таблиця 1'!$B:$B,$A616,'Таблиця 1'!$I:$I,"МіГ-29"))</f>
        <v/>
      </c>
      <c r="F616">
        <f>IF($A616="","",COUNTIFS('Таблиця 1'!$B:$B,$A616,'Таблиця 1'!$I:$I,"Су-25"))</f>
        <v/>
      </c>
      <c r="G616">
        <f>IF($A616="","",COUNTIFS('Таблиця 1'!$B:$B,$A616,'Таблиця 1'!$I:$I,"Су-27"))</f>
        <v/>
      </c>
      <c r="H616">
        <f>IF($A616="","",SUMIFS('Таблиця 1'!$K:$K,'Таблиця 1'!$B:$B,$A616,'Таблиця 1'!$I:$I,"Mirage",'Таблиця 1'!$J:$J,"AGM-88")+SUMIFS('Таблиця 1'!$K:$K,'Таблиця 1'!$B:$B,$A616,'Таблиця 1'!$I:$I,"F-16",'Таблиця 1'!$J:$J,"AGM-88")+SUMIFS('Таблиця 1'!$K:$K,'Таблиця 1'!$B:$B,$A616,'Таблиця 1'!$I:$I,"МіГ-29",'Таблиця 1'!$J:$J,"AGM-88")+SUMIFS('Таблиця 1'!$K:$K,'Таблиця 1'!$B:$B,$A616,'Таблиця 1'!$I:$I,"Су-25",'Таблиця 1'!$J:$J,"AGM-88")+SUMIFS('Таблиця 1'!$K:$K,'Таблиця 1'!$B:$B,$A616,'Таблиця 1'!$I:$I,"Су-27",'Таблиця 1'!$J:$J,"AGM-88"))</f>
        <v/>
      </c>
      <c r="I616">
        <f>IF($A616="","",SUMIFS('Таблиця 1'!$K:$K,'Таблиця 1'!$B:$B,$A616,'Таблиця 1'!$I:$I,"Mirage",'Таблиця 1'!$J:$J,"AASM-250")+SUMIFS('Таблиця 1'!$K:$K,'Таблиця 1'!$B:$B,$A616,'Таблиця 1'!$I:$I,"F-16",'Таблиця 1'!$J:$J,"AASM-250")+SUMIFS('Таблиця 1'!$K:$K,'Таблиця 1'!$B:$B,$A616,'Таблиця 1'!$I:$I,"МіГ-29",'Таблиця 1'!$J:$J,"AASM-250")+SUMIFS('Таблиця 1'!$K:$K,'Таблиця 1'!$B:$B,$A616,'Таблиця 1'!$I:$I,"Су-25",'Таблиця 1'!$J:$J,"AASM-250")+SUMIFS('Таблиця 1'!$K:$K,'Таблиця 1'!$B:$B,$A616,'Таблиця 1'!$I:$I,"Су-27",'Таблиця 1'!$J:$J,"AASM-250"))</f>
        <v/>
      </c>
      <c r="J616">
        <f>IF($A616="","",SUMIFS('Таблиця 1'!$K:$K,'Таблиця 1'!$B:$B,$A616,'Таблиця 1'!$I:$I,"Mirage",'Таблиця 1'!$J:$J,"GBU-39")+SUMIFS('Таблиця 1'!$K:$K,'Таблиця 1'!$B:$B,$A616,'Таблиця 1'!$I:$I,"F-16",'Таблиця 1'!$J:$J,"GBU-39")+SUMIFS('Таблиця 1'!$K:$K,'Таблиця 1'!$B:$B,$A616,'Таблиця 1'!$I:$I,"МіГ-29",'Таблиця 1'!$J:$J,"GBU-39")+SUMIFS('Таблиця 1'!$K:$K,'Таблиця 1'!$B:$B,$A616,'Таблиця 1'!$I:$I,"Су-25",'Таблиця 1'!$J:$J,"GBU-39")+SUMIFS('Таблиця 1'!$K:$K,'Таблиця 1'!$B:$B,$A616,'Таблиця 1'!$I:$I,"Су-27",'Таблиця 1'!$J:$J,"GBU-39"))</f>
        <v/>
      </c>
      <c r="K616">
        <f>IF($A616="","",SUMIFS('Таблиця 1'!$K:$K,'Таблиця 1'!$B:$B,$A616,'Таблиця 1'!$I:$I,"Mirage",'Таблиця 1'!$J:$J,"BLU-140")+SUMIFS('Таблиця 1'!$K:$K,'Таблиця 1'!$B:$B,$A616,'Таблиця 1'!$I:$I,"F-16",'Таблиця 1'!$J:$J,"BLU-140")+SUMIFS('Таблиця 1'!$K:$K,'Таблиця 1'!$B:$B,$A616,'Таблиця 1'!$I:$I,"МіГ-29",'Таблиця 1'!$J:$J,"BLU-140")+SUMIFS('Таблиця 1'!$K:$K,'Таблиця 1'!$B:$B,$A616,'Таблиця 1'!$I:$I,"Су-25",'Таблиця 1'!$J:$J,"BLU-140")+SUMIFS('Таблиця 1'!$K:$K,'Таблиця 1'!$B:$B,$A616,'Таблиця 1'!$I:$I,"Су-27",'Таблиця 1'!$J:$J,"BLU-140"))</f>
        <v/>
      </c>
      <c r="L616">
        <f>IF($A616="","",SUMIFS('Таблиця 1'!$K:$K,'Таблиця 1'!$B:$B,$A616,'Таблиця 1'!$I:$I,"Mirage",'Таблиця 1'!$J:$J,"GBU-65")+SUMIFS('Таблиця 1'!$K:$K,'Таблиця 1'!$B:$B,$A616,'Таблиця 1'!$I:$I,"F-16",'Таблиця 1'!$J:$J,"GBU-65")+SUMIFS('Таблиця 1'!$K:$K,'Таблиця 1'!$B:$B,$A616,'Таблиця 1'!$I:$I,"МіГ-29",'Таблиця 1'!$J:$J,"GBU-65")+SUMIFS('Таблиця 1'!$K:$K,'Таблиця 1'!$B:$B,$A616,'Таблиця 1'!$I:$I,"Су-25",'Таблиця 1'!$J:$J,"GBU-65")+SUMIFS('Таблиця 1'!$K:$K,'Таблиця 1'!$B:$B,$A616,'Таблиця 1'!$I:$I,"Су-27",'Таблиця 1'!$J:$J,"GBU-65"))</f>
        <v/>
      </c>
      <c r="M616">
        <f>IF($A616="","",SUMIFS('Таблиця 1'!$K:$K,'Таблиця 1'!$B:$B,$A616,'Таблиця 1'!$I:$I,"Mirage",'Таблиця 1'!$J:$J,"GBU-62")+SUMIFS('Таблиця 1'!$K:$K,'Таблиця 1'!$B:$B,$A616,'Таблиця 1'!$I:$I,"F-16",'Таблиця 1'!$J:$J,"GBU-62")+SUMIFS('Таблиця 1'!$K:$K,'Таблиця 1'!$B:$B,$A616,'Таблиця 1'!$I:$I,"МіГ-29",'Таблиця 1'!$J:$J,"GBU-62")+SUMIFS('Таблиця 1'!$K:$K,'Таблиця 1'!$B:$B,$A616,'Таблиця 1'!$I:$I,"Су-25",'Таблиця 1'!$J:$J,"GBU-62")+SUMIFS('Таблиця 1'!$K:$K,'Таблиця 1'!$B:$B,$A616,'Таблиця 1'!$I:$I,"Су-27",'Таблиця 1'!$J:$J,"GBU-62"))</f>
        <v/>
      </c>
      <c r="N616">
        <f>IF($A616="","",SUMIFS('Таблиця 1'!$K:$K,'Таблиця 1'!$B:$B,$A616,'Таблиця 1'!$I:$I,"Mirage",'Таблиця 1'!$J:$J,"GBU-64")+SUMIFS('Таблиця 1'!$K:$K,'Таблиця 1'!$B:$B,$A616,'Таблиця 1'!$I:$I,"F-16",'Таблиця 1'!$J:$J,"GBU-64")+SUMIFS('Таблиця 1'!$K:$K,'Таблиця 1'!$B:$B,$A616,'Таблиця 1'!$I:$I,"МіГ-29",'Таблиця 1'!$J:$J,"GBU-64")+SUMIFS('Таблиця 1'!$K:$K,'Таблиця 1'!$B:$B,$A616,'Таблиця 1'!$I:$I,"Су-25",'Таблиця 1'!$J:$J,"GBU-64")+SUMIFS('Таблиця 1'!$K:$K,'Таблиця 1'!$B:$B,$A616,'Таблиця 1'!$I:$I,"Су-27",'Таблиця 1'!$J:$J,"GBU-64"))</f>
        <v/>
      </c>
      <c r="O616">
        <f>IF($A616="","",SUMIFS('Таблиця 1'!$K:$K,'Таблиця 1'!$B:$B,$A616,'Таблиця 1'!$I:$I,"Mirage",'Таблиця 1'!$J:$J,"C-13")+SUMIFS('Таблиця 1'!$K:$K,'Таблиця 1'!$B:$B,$A616,'Таблиця 1'!$I:$I,"F-16",'Таблиця 1'!$J:$J,"C-13")+SUMIFS('Таблиця 1'!$K:$K,'Таблиця 1'!$B:$B,$A616,'Таблиця 1'!$I:$I,"МіГ-29",'Таблиця 1'!$J:$J,"C-13")+SUMIFS('Таблиця 1'!$K:$K,'Таблиця 1'!$B:$B,$A616,'Таблиця 1'!$I:$I,"Су-25",'Таблиця 1'!$J:$J,"C-13")+SUMIFS('Таблиця 1'!$K:$K,'Таблиця 1'!$B:$B,$A616,'Таблиця 1'!$I:$I,"Су-27",'Таблиця 1'!$J:$J,"C-13"))</f>
        <v/>
      </c>
      <c r="P616">
        <f>IF($A616="","",SUMIFS('Таблиця 1'!$K:$K,'Таблиця 1'!$B:$B,$A616,'Таблиця 1'!$I:$I,"Mirage",'Таблиця 1'!$J:$J,"MK-32")+SUMIFS('Таблиця 1'!$K:$K,'Таблиця 1'!$B:$B,$A616,'Таблиця 1'!$I:$I,"F-16",'Таблиця 1'!$J:$J,"MK-32")+SUMIFS('Таблиця 1'!$K:$K,'Таблиця 1'!$B:$B,$A616,'Таблиця 1'!$I:$I,"МіГ-29",'Таблиця 1'!$J:$J,"MK-32")+SUMIFS('Таблиця 1'!$K:$K,'Таблиця 1'!$B:$B,$A616,'Таблиця 1'!$I:$I,"Су-25",'Таблиця 1'!$J:$J,"MK-32")+SUMIFS('Таблиця 1'!$K:$K,'Таблиця 1'!$B:$B,$A616,'Таблиця 1'!$I:$I,"Су-27",'Таблиця 1'!$J:$J,"MK-32"))</f>
        <v/>
      </c>
      <c r="Q616">
        <f>IF($A616="","",SUMIFS('Таблиця 1'!$K:$K,'Таблиця 1'!$B:$B,$A616,'Таблиця 1'!$I:$I,"Mirage",'Таблиця 1'!$J:$J,"MK-24")+SUMIFS('Таблиця 1'!$K:$K,'Таблиця 1'!$B:$B,$A616,'Таблиця 1'!$I:$I,"F-16",'Таблиця 1'!$J:$J,"MK-24")+SUMIFS('Таблиця 1'!$K:$K,'Таблиця 1'!$B:$B,$A616,'Таблиця 1'!$I:$I,"МіГ-29",'Таблиця 1'!$J:$J,"MK-24")+SUMIFS('Таблиця 1'!$K:$K,'Таблиця 1'!$B:$B,$A616,'Таблиця 1'!$I:$I,"Су-25",'Таблиця 1'!$J:$J,"MK-24")+SUMIFS('Таблиця 1'!$K:$K,'Таблиця 1'!$B:$B,$A616,'Таблиця 1'!$I:$I,"Су-27",'Таблиця 1'!$J:$J,"MK-24"))</f>
        <v/>
      </c>
      <c r="R616">
        <f>IF($A616="","",COUNTIFS('Таблиця 1'!$B:$B,$A616,'Таблиця 1'!$I:$I,"Mirage",'Таблиця 1'!$L:$L,"Уражено")+COUNTIFS('Таблиця 1'!$B:$B,$A616,'Таблиця 1'!$I:$I,"F-16",'Таблиця 1'!$L:$L,"Уражено")+COUNTIFS('Таблиця 1'!$B:$B,$A616,'Таблиця 1'!$I:$I,"МіГ-29",'Таблиця 1'!$L:$L,"Уражено")+COUNTIFS('Таблиця 1'!$B:$B,$A616,'Таблиця 1'!$I:$I,"Су-25",'Таблиця 1'!$L:$L,"Уражено")+COUNTIFS('Таблиця 1'!$B:$B,$A616,'Таблиця 1'!$I:$I,"Су-27",'Таблиця 1'!$L:$L,"Уражено"))</f>
        <v/>
      </c>
      <c r="S616">
        <f>IF($A616="","",COUNTIFS('Таблиця 1'!$B:$B,$A616,'Таблиця 1'!$I:$I,"Mirage",'Таблиця 1'!$L:$L,"НЕ уражено")+COUNTIFS('Таблиця 1'!$B:$B,$A616,'Таблиця 1'!$I:$I,"F-16",'Таблиця 1'!$L:$L,"НЕ уражено")+COUNTIFS('Таблиця 1'!$B:$B,$A616,'Таблиця 1'!$I:$I,"МіГ-29",'Таблиця 1'!$L:$L,"НЕ уражено")+COUNTIFS('Таблиця 1'!$B:$B,$A616,'Таблиця 1'!$I:$I,"Су-25",'Таблиця 1'!$L:$L,"НЕ уражено")+COUNTIFS('Таблиця 1'!$B:$B,$A616,'Таблиця 1'!$I:$I,"Су-27",'Таблиця 1'!$L:$L,"НЕ уражено"))</f>
        <v/>
      </c>
      <c r="T616">
        <f>IF($A616="","",COUNTIFS('Таблиця 1'!$B:$B,$A616,'Таблиця 1'!$I:$I,"Mirage",'Таблиця 1'!$L:$L,"Дорозвідується")+COUNTIFS('Таблиця 1'!$B:$B,$A616,'Таблиця 1'!$I:$I,"F-16",'Таблиця 1'!$L:$L,"Дорозвідується")+COUNTIFS('Таблиця 1'!$B:$B,$A616,'Таблиця 1'!$I:$I,"МіГ-29",'Таблиця 1'!$L:$L,"Дорозвідується")+COUNTIFS('Таблиця 1'!$B:$B,$A616,'Таблиця 1'!$I:$I,"Су-25",'Таблиця 1'!$L:$L,"Дорозвідується")+COUNTIFS('Таблиця 1'!$B:$B,$A616,'Таблиця 1'!$I:$I,"Су-27",'Таблиця 1'!$L:$L,"Дорозвідується"))</f>
        <v/>
      </c>
    </row>
    <row r="617">
      <c r="A617" s="273">
        <f>IF(A616="","",IF(A616+1&gt;MAX('Таблиця 1'!$B:$B),"",A616+1))</f>
        <v/>
      </c>
      <c r="B617">
        <f>IF($A617="","",COUNTIFS('Таблиця 1'!$B:$B,$A617,'Таблиця 1'!$I:$I,"Mirage")+COUNTIFS('Таблиця 1'!$B:$B,$A617,'Таблиця 1'!$I:$I,"F-16")+COUNTIFS('Таблиця 1'!$B:$B,$A617,'Таблиця 1'!$I:$I,"МіГ-29")+COUNTIFS('Таблиця 1'!$B:$B,$A617,'Таблиця 1'!$I:$I,"Су-25")+COUNTIFS('Таблиця 1'!$B:$B,$A617,'Таблиця 1'!$I:$I,"Су-27"))</f>
        <v/>
      </c>
      <c r="C617">
        <f>IF($A617="","",COUNTIFS('Таблиця 1'!$B:$B,$A617,'Таблиця 1'!$I:$I,"Mirage"))</f>
        <v/>
      </c>
      <c r="D617">
        <f>IF($A617="","",COUNTIFS('Таблиця 1'!$B:$B,$A617,'Таблиця 1'!$I:$I,"F-16"))</f>
        <v/>
      </c>
      <c r="E617">
        <f>IF($A617="","",COUNTIFS('Таблиця 1'!$B:$B,$A617,'Таблиця 1'!$I:$I,"МіГ-29"))</f>
        <v/>
      </c>
      <c r="F617">
        <f>IF($A617="","",COUNTIFS('Таблиця 1'!$B:$B,$A617,'Таблиця 1'!$I:$I,"Су-25"))</f>
        <v/>
      </c>
      <c r="G617">
        <f>IF($A617="","",COUNTIFS('Таблиця 1'!$B:$B,$A617,'Таблиця 1'!$I:$I,"Су-27"))</f>
        <v/>
      </c>
      <c r="H617">
        <f>IF($A617="","",SUMIFS('Таблиця 1'!$K:$K,'Таблиця 1'!$B:$B,$A617,'Таблиця 1'!$I:$I,"Mirage",'Таблиця 1'!$J:$J,"AGM-88")+SUMIFS('Таблиця 1'!$K:$K,'Таблиця 1'!$B:$B,$A617,'Таблиця 1'!$I:$I,"F-16",'Таблиця 1'!$J:$J,"AGM-88")+SUMIFS('Таблиця 1'!$K:$K,'Таблиця 1'!$B:$B,$A617,'Таблиця 1'!$I:$I,"МіГ-29",'Таблиця 1'!$J:$J,"AGM-88")+SUMIFS('Таблиця 1'!$K:$K,'Таблиця 1'!$B:$B,$A617,'Таблиця 1'!$I:$I,"Су-25",'Таблиця 1'!$J:$J,"AGM-88")+SUMIFS('Таблиця 1'!$K:$K,'Таблиця 1'!$B:$B,$A617,'Таблиця 1'!$I:$I,"Су-27",'Таблиця 1'!$J:$J,"AGM-88"))</f>
        <v/>
      </c>
      <c r="I617">
        <f>IF($A617="","",SUMIFS('Таблиця 1'!$K:$K,'Таблиця 1'!$B:$B,$A617,'Таблиця 1'!$I:$I,"Mirage",'Таблиця 1'!$J:$J,"AASM-250")+SUMIFS('Таблиця 1'!$K:$K,'Таблиця 1'!$B:$B,$A617,'Таблиця 1'!$I:$I,"F-16",'Таблиця 1'!$J:$J,"AASM-250")+SUMIFS('Таблиця 1'!$K:$K,'Таблиця 1'!$B:$B,$A617,'Таблиця 1'!$I:$I,"МіГ-29",'Таблиця 1'!$J:$J,"AASM-250")+SUMIFS('Таблиця 1'!$K:$K,'Таблиця 1'!$B:$B,$A617,'Таблиця 1'!$I:$I,"Су-25",'Таблиця 1'!$J:$J,"AASM-250")+SUMIFS('Таблиця 1'!$K:$K,'Таблиця 1'!$B:$B,$A617,'Таблиця 1'!$I:$I,"Су-27",'Таблиця 1'!$J:$J,"AASM-250"))</f>
        <v/>
      </c>
      <c r="J617">
        <f>IF($A617="","",SUMIFS('Таблиця 1'!$K:$K,'Таблиця 1'!$B:$B,$A617,'Таблиця 1'!$I:$I,"Mirage",'Таблиця 1'!$J:$J,"GBU-39")+SUMIFS('Таблиця 1'!$K:$K,'Таблиця 1'!$B:$B,$A617,'Таблиця 1'!$I:$I,"F-16",'Таблиця 1'!$J:$J,"GBU-39")+SUMIFS('Таблиця 1'!$K:$K,'Таблиця 1'!$B:$B,$A617,'Таблиця 1'!$I:$I,"МіГ-29",'Таблиця 1'!$J:$J,"GBU-39")+SUMIFS('Таблиця 1'!$K:$K,'Таблиця 1'!$B:$B,$A617,'Таблиця 1'!$I:$I,"Су-25",'Таблиця 1'!$J:$J,"GBU-39")+SUMIFS('Таблиця 1'!$K:$K,'Таблиця 1'!$B:$B,$A617,'Таблиця 1'!$I:$I,"Су-27",'Таблиця 1'!$J:$J,"GBU-39"))</f>
        <v/>
      </c>
      <c r="K617">
        <f>IF($A617="","",SUMIFS('Таблиця 1'!$K:$K,'Таблиця 1'!$B:$B,$A617,'Таблиця 1'!$I:$I,"Mirage",'Таблиця 1'!$J:$J,"BLU-140")+SUMIFS('Таблиця 1'!$K:$K,'Таблиця 1'!$B:$B,$A617,'Таблиця 1'!$I:$I,"F-16",'Таблиця 1'!$J:$J,"BLU-140")+SUMIFS('Таблиця 1'!$K:$K,'Таблиця 1'!$B:$B,$A617,'Таблиця 1'!$I:$I,"МіГ-29",'Таблиця 1'!$J:$J,"BLU-140")+SUMIFS('Таблиця 1'!$K:$K,'Таблиця 1'!$B:$B,$A617,'Таблиця 1'!$I:$I,"Су-25",'Таблиця 1'!$J:$J,"BLU-140")+SUMIFS('Таблиця 1'!$K:$K,'Таблиця 1'!$B:$B,$A617,'Таблиця 1'!$I:$I,"Су-27",'Таблиця 1'!$J:$J,"BLU-140"))</f>
        <v/>
      </c>
      <c r="L617">
        <f>IF($A617="","",SUMIFS('Таблиця 1'!$K:$K,'Таблиця 1'!$B:$B,$A617,'Таблиця 1'!$I:$I,"Mirage",'Таблиця 1'!$J:$J,"GBU-65")+SUMIFS('Таблиця 1'!$K:$K,'Таблиця 1'!$B:$B,$A617,'Таблиця 1'!$I:$I,"F-16",'Таблиця 1'!$J:$J,"GBU-65")+SUMIFS('Таблиця 1'!$K:$K,'Таблиця 1'!$B:$B,$A617,'Таблиця 1'!$I:$I,"МіГ-29",'Таблиця 1'!$J:$J,"GBU-65")+SUMIFS('Таблиця 1'!$K:$K,'Таблиця 1'!$B:$B,$A617,'Таблиця 1'!$I:$I,"Су-25",'Таблиця 1'!$J:$J,"GBU-65")+SUMIFS('Таблиця 1'!$K:$K,'Таблиця 1'!$B:$B,$A617,'Таблиця 1'!$I:$I,"Су-27",'Таблиця 1'!$J:$J,"GBU-65"))</f>
        <v/>
      </c>
      <c r="M617">
        <f>IF($A617="","",SUMIFS('Таблиця 1'!$K:$K,'Таблиця 1'!$B:$B,$A617,'Таблиця 1'!$I:$I,"Mirage",'Таблиця 1'!$J:$J,"GBU-62")+SUMIFS('Таблиця 1'!$K:$K,'Таблиця 1'!$B:$B,$A617,'Таблиця 1'!$I:$I,"F-16",'Таблиця 1'!$J:$J,"GBU-62")+SUMIFS('Таблиця 1'!$K:$K,'Таблиця 1'!$B:$B,$A617,'Таблиця 1'!$I:$I,"МіГ-29",'Таблиця 1'!$J:$J,"GBU-62")+SUMIFS('Таблиця 1'!$K:$K,'Таблиця 1'!$B:$B,$A617,'Таблиця 1'!$I:$I,"Су-25",'Таблиця 1'!$J:$J,"GBU-62")+SUMIFS('Таблиця 1'!$K:$K,'Таблиця 1'!$B:$B,$A617,'Таблиця 1'!$I:$I,"Су-27",'Таблиця 1'!$J:$J,"GBU-62"))</f>
        <v/>
      </c>
      <c r="N617">
        <f>IF($A617="","",SUMIFS('Таблиця 1'!$K:$K,'Таблиця 1'!$B:$B,$A617,'Таблиця 1'!$I:$I,"Mirage",'Таблиця 1'!$J:$J,"GBU-64")+SUMIFS('Таблиця 1'!$K:$K,'Таблиця 1'!$B:$B,$A617,'Таблиця 1'!$I:$I,"F-16",'Таблиця 1'!$J:$J,"GBU-64")+SUMIFS('Таблиця 1'!$K:$K,'Таблиця 1'!$B:$B,$A617,'Таблиця 1'!$I:$I,"МіГ-29",'Таблиця 1'!$J:$J,"GBU-64")+SUMIFS('Таблиця 1'!$K:$K,'Таблиця 1'!$B:$B,$A617,'Таблиця 1'!$I:$I,"Су-25",'Таблиця 1'!$J:$J,"GBU-64")+SUMIFS('Таблиця 1'!$K:$K,'Таблиця 1'!$B:$B,$A617,'Таблиця 1'!$I:$I,"Су-27",'Таблиця 1'!$J:$J,"GBU-64"))</f>
        <v/>
      </c>
      <c r="O617">
        <f>IF($A617="","",SUMIFS('Таблиця 1'!$K:$K,'Таблиця 1'!$B:$B,$A617,'Таблиця 1'!$I:$I,"Mirage",'Таблиця 1'!$J:$J,"C-13")+SUMIFS('Таблиця 1'!$K:$K,'Таблиця 1'!$B:$B,$A617,'Таблиця 1'!$I:$I,"F-16",'Таблиця 1'!$J:$J,"C-13")+SUMIFS('Таблиця 1'!$K:$K,'Таблиця 1'!$B:$B,$A617,'Таблиця 1'!$I:$I,"МіГ-29",'Таблиця 1'!$J:$J,"C-13")+SUMIFS('Таблиця 1'!$K:$K,'Таблиця 1'!$B:$B,$A617,'Таблиця 1'!$I:$I,"Су-25",'Таблиця 1'!$J:$J,"C-13")+SUMIFS('Таблиця 1'!$K:$K,'Таблиця 1'!$B:$B,$A617,'Таблиця 1'!$I:$I,"Су-27",'Таблиця 1'!$J:$J,"C-13"))</f>
        <v/>
      </c>
      <c r="P617">
        <f>IF($A617="","",SUMIFS('Таблиця 1'!$K:$K,'Таблиця 1'!$B:$B,$A617,'Таблиця 1'!$I:$I,"Mirage",'Таблиця 1'!$J:$J,"MK-32")+SUMIFS('Таблиця 1'!$K:$K,'Таблиця 1'!$B:$B,$A617,'Таблиця 1'!$I:$I,"F-16",'Таблиця 1'!$J:$J,"MK-32")+SUMIFS('Таблиця 1'!$K:$K,'Таблиця 1'!$B:$B,$A617,'Таблиця 1'!$I:$I,"МіГ-29",'Таблиця 1'!$J:$J,"MK-32")+SUMIFS('Таблиця 1'!$K:$K,'Таблиця 1'!$B:$B,$A617,'Таблиця 1'!$I:$I,"Су-25",'Таблиця 1'!$J:$J,"MK-32")+SUMIFS('Таблиця 1'!$K:$K,'Таблиця 1'!$B:$B,$A617,'Таблиця 1'!$I:$I,"Су-27",'Таблиця 1'!$J:$J,"MK-32"))</f>
        <v/>
      </c>
      <c r="Q617">
        <f>IF($A617="","",SUMIFS('Таблиця 1'!$K:$K,'Таблиця 1'!$B:$B,$A617,'Таблиця 1'!$I:$I,"Mirage",'Таблиця 1'!$J:$J,"MK-24")+SUMIFS('Таблиця 1'!$K:$K,'Таблиця 1'!$B:$B,$A617,'Таблиця 1'!$I:$I,"F-16",'Таблиця 1'!$J:$J,"MK-24")+SUMIFS('Таблиця 1'!$K:$K,'Таблиця 1'!$B:$B,$A617,'Таблиця 1'!$I:$I,"МіГ-29",'Таблиця 1'!$J:$J,"MK-24")+SUMIFS('Таблиця 1'!$K:$K,'Таблиця 1'!$B:$B,$A617,'Таблиця 1'!$I:$I,"Су-25",'Таблиця 1'!$J:$J,"MK-24")+SUMIFS('Таблиця 1'!$K:$K,'Таблиця 1'!$B:$B,$A617,'Таблиця 1'!$I:$I,"Су-27",'Таблиця 1'!$J:$J,"MK-24"))</f>
        <v/>
      </c>
      <c r="R617">
        <f>IF($A617="","",COUNTIFS('Таблиця 1'!$B:$B,$A617,'Таблиця 1'!$I:$I,"Mirage",'Таблиця 1'!$L:$L,"Уражено")+COUNTIFS('Таблиця 1'!$B:$B,$A617,'Таблиця 1'!$I:$I,"F-16",'Таблиця 1'!$L:$L,"Уражено")+COUNTIFS('Таблиця 1'!$B:$B,$A617,'Таблиця 1'!$I:$I,"МіГ-29",'Таблиця 1'!$L:$L,"Уражено")+COUNTIFS('Таблиця 1'!$B:$B,$A617,'Таблиця 1'!$I:$I,"Су-25",'Таблиця 1'!$L:$L,"Уражено")+COUNTIFS('Таблиця 1'!$B:$B,$A617,'Таблиця 1'!$I:$I,"Су-27",'Таблиця 1'!$L:$L,"Уражено"))</f>
        <v/>
      </c>
      <c r="S617">
        <f>IF($A617="","",COUNTIFS('Таблиця 1'!$B:$B,$A617,'Таблиця 1'!$I:$I,"Mirage",'Таблиця 1'!$L:$L,"НЕ уражено")+COUNTIFS('Таблиця 1'!$B:$B,$A617,'Таблиця 1'!$I:$I,"F-16",'Таблиця 1'!$L:$L,"НЕ уражено")+COUNTIFS('Таблиця 1'!$B:$B,$A617,'Таблиця 1'!$I:$I,"МіГ-29",'Таблиця 1'!$L:$L,"НЕ уражено")+COUNTIFS('Таблиця 1'!$B:$B,$A617,'Таблиця 1'!$I:$I,"Су-25",'Таблиця 1'!$L:$L,"НЕ уражено")+COUNTIFS('Таблиця 1'!$B:$B,$A617,'Таблиця 1'!$I:$I,"Су-27",'Таблиця 1'!$L:$L,"НЕ уражено"))</f>
        <v/>
      </c>
      <c r="T617">
        <f>IF($A617="","",COUNTIFS('Таблиця 1'!$B:$B,$A617,'Таблиця 1'!$I:$I,"Mirage",'Таблиця 1'!$L:$L,"Дорозвідується")+COUNTIFS('Таблиця 1'!$B:$B,$A617,'Таблиця 1'!$I:$I,"F-16",'Таблиця 1'!$L:$L,"Дорозвідується")+COUNTIFS('Таблиця 1'!$B:$B,$A617,'Таблиця 1'!$I:$I,"МіГ-29",'Таблиця 1'!$L:$L,"Дорозвідується")+COUNTIFS('Таблиця 1'!$B:$B,$A617,'Таблиця 1'!$I:$I,"Су-25",'Таблиця 1'!$L:$L,"Дорозвідується")+COUNTIFS('Таблиця 1'!$B:$B,$A617,'Таблиця 1'!$I:$I,"Су-27",'Таблиця 1'!$L:$L,"Дорозвідується"))</f>
        <v/>
      </c>
    </row>
    <row r="618">
      <c r="A618" s="273">
        <f>IF(A617="","",IF(A617+1&gt;MAX('Таблиця 1'!$B:$B),"",A617+1))</f>
        <v/>
      </c>
      <c r="B618">
        <f>IF($A618="","",COUNTIFS('Таблиця 1'!$B:$B,$A618,'Таблиця 1'!$I:$I,"Mirage")+COUNTIFS('Таблиця 1'!$B:$B,$A618,'Таблиця 1'!$I:$I,"F-16")+COUNTIFS('Таблиця 1'!$B:$B,$A618,'Таблиця 1'!$I:$I,"МіГ-29")+COUNTIFS('Таблиця 1'!$B:$B,$A618,'Таблиця 1'!$I:$I,"Су-25")+COUNTIFS('Таблиця 1'!$B:$B,$A618,'Таблиця 1'!$I:$I,"Су-27"))</f>
        <v/>
      </c>
      <c r="C618">
        <f>IF($A618="","",COUNTIFS('Таблиця 1'!$B:$B,$A618,'Таблиця 1'!$I:$I,"Mirage"))</f>
        <v/>
      </c>
      <c r="D618">
        <f>IF($A618="","",COUNTIFS('Таблиця 1'!$B:$B,$A618,'Таблиця 1'!$I:$I,"F-16"))</f>
        <v/>
      </c>
      <c r="E618">
        <f>IF($A618="","",COUNTIFS('Таблиця 1'!$B:$B,$A618,'Таблиця 1'!$I:$I,"МіГ-29"))</f>
        <v/>
      </c>
      <c r="F618">
        <f>IF($A618="","",COUNTIFS('Таблиця 1'!$B:$B,$A618,'Таблиця 1'!$I:$I,"Су-25"))</f>
        <v/>
      </c>
      <c r="G618">
        <f>IF($A618="","",COUNTIFS('Таблиця 1'!$B:$B,$A618,'Таблиця 1'!$I:$I,"Су-27"))</f>
        <v/>
      </c>
      <c r="H618">
        <f>IF($A618="","",SUMIFS('Таблиця 1'!$K:$K,'Таблиця 1'!$B:$B,$A618,'Таблиця 1'!$I:$I,"Mirage",'Таблиця 1'!$J:$J,"AGM-88")+SUMIFS('Таблиця 1'!$K:$K,'Таблиця 1'!$B:$B,$A618,'Таблиця 1'!$I:$I,"F-16",'Таблиця 1'!$J:$J,"AGM-88")+SUMIFS('Таблиця 1'!$K:$K,'Таблиця 1'!$B:$B,$A618,'Таблиця 1'!$I:$I,"МіГ-29",'Таблиця 1'!$J:$J,"AGM-88")+SUMIFS('Таблиця 1'!$K:$K,'Таблиця 1'!$B:$B,$A618,'Таблиця 1'!$I:$I,"Су-25",'Таблиця 1'!$J:$J,"AGM-88")+SUMIFS('Таблиця 1'!$K:$K,'Таблиця 1'!$B:$B,$A618,'Таблиця 1'!$I:$I,"Су-27",'Таблиця 1'!$J:$J,"AGM-88"))</f>
        <v/>
      </c>
      <c r="I618">
        <f>IF($A618="","",SUMIFS('Таблиця 1'!$K:$K,'Таблиця 1'!$B:$B,$A618,'Таблиця 1'!$I:$I,"Mirage",'Таблиця 1'!$J:$J,"AASM-250")+SUMIFS('Таблиця 1'!$K:$K,'Таблиця 1'!$B:$B,$A618,'Таблиця 1'!$I:$I,"F-16",'Таблиця 1'!$J:$J,"AASM-250")+SUMIFS('Таблиця 1'!$K:$K,'Таблиця 1'!$B:$B,$A618,'Таблиця 1'!$I:$I,"МіГ-29",'Таблиця 1'!$J:$J,"AASM-250")+SUMIFS('Таблиця 1'!$K:$K,'Таблиця 1'!$B:$B,$A618,'Таблиця 1'!$I:$I,"Су-25",'Таблиця 1'!$J:$J,"AASM-250")+SUMIFS('Таблиця 1'!$K:$K,'Таблиця 1'!$B:$B,$A618,'Таблиця 1'!$I:$I,"Су-27",'Таблиця 1'!$J:$J,"AASM-250"))</f>
        <v/>
      </c>
      <c r="J618">
        <f>IF($A618="","",SUMIFS('Таблиця 1'!$K:$K,'Таблиця 1'!$B:$B,$A618,'Таблиця 1'!$I:$I,"Mirage",'Таблиця 1'!$J:$J,"GBU-39")+SUMIFS('Таблиця 1'!$K:$K,'Таблиця 1'!$B:$B,$A618,'Таблиця 1'!$I:$I,"F-16",'Таблиця 1'!$J:$J,"GBU-39")+SUMIFS('Таблиця 1'!$K:$K,'Таблиця 1'!$B:$B,$A618,'Таблиця 1'!$I:$I,"МіГ-29",'Таблиця 1'!$J:$J,"GBU-39")+SUMIFS('Таблиця 1'!$K:$K,'Таблиця 1'!$B:$B,$A618,'Таблиця 1'!$I:$I,"Су-25",'Таблиця 1'!$J:$J,"GBU-39")+SUMIFS('Таблиця 1'!$K:$K,'Таблиця 1'!$B:$B,$A618,'Таблиця 1'!$I:$I,"Су-27",'Таблиця 1'!$J:$J,"GBU-39"))</f>
        <v/>
      </c>
      <c r="K618">
        <f>IF($A618="","",SUMIFS('Таблиця 1'!$K:$K,'Таблиця 1'!$B:$B,$A618,'Таблиця 1'!$I:$I,"Mirage",'Таблиця 1'!$J:$J,"BLU-140")+SUMIFS('Таблиця 1'!$K:$K,'Таблиця 1'!$B:$B,$A618,'Таблиця 1'!$I:$I,"F-16",'Таблиця 1'!$J:$J,"BLU-140")+SUMIFS('Таблиця 1'!$K:$K,'Таблиця 1'!$B:$B,$A618,'Таблиця 1'!$I:$I,"МіГ-29",'Таблиця 1'!$J:$J,"BLU-140")+SUMIFS('Таблиця 1'!$K:$K,'Таблиця 1'!$B:$B,$A618,'Таблиця 1'!$I:$I,"Су-25",'Таблиця 1'!$J:$J,"BLU-140")+SUMIFS('Таблиця 1'!$K:$K,'Таблиця 1'!$B:$B,$A618,'Таблиця 1'!$I:$I,"Су-27",'Таблиця 1'!$J:$J,"BLU-140"))</f>
        <v/>
      </c>
      <c r="L618">
        <f>IF($A618="","",SUMIFS('Таблиця 1'!$K:$K,'Таблиця 1'!$B:$B,$A618,'Таблиця 1'!$I:$I,"Mirage",'Таблиця 1'!$J:$J,"GBU-65")+SUMIFS('Таблиця 1'!$K:$K,'Таблиця 1'!$B:$B,$A618,'Таблиця 1'!$I:$I,"F-16",'Таблиця 1'!$J:$J,"GBU-65")+SUMIFS('Таблиця 1'!$K:$K,'Таблиця 1'!$B:$B,$A618,'Таблиця 1'!$I:$I,"МіГ-29",'Таблиця 1'!$J:$J,"GBU-65")+SUMIFS('Таблиця 1'!$K:$K,'Таблиця 1'!$B:$B,$A618,'Таблиця 1'!$I:$I,"Су-25",'Таблиця 1'!$J:$J,"GBU-65")+SUMIFS('Таблиця 1'!$K:$K,'Таблиця 1'!$B:$B,$A618,'Таблиця 1'!$I:$I,"Су-27",'Таблиця 1'!$J:$J,"GBU-65"))</f>
        <v/>
      </c>
      <c r="M618">
        <f>IF($A618="","",SUMIFS('Таблиця 1'!$K:$K,'Таблиця 1'!$B:$B,$A618,'Таблиця 1'!$I:$I,"Mirage",'Таблиця 1'!$J:$J,"GBU-62")+SUMIFS('Таблиця 1'!$K:$K,'Таблиця 1'!$B:$B,$A618,'Таблиця 1'!$I:$I,"F-16",'Таблиця 1'!$J:$J,"GBU-62")+SUMIFS('Таблиця 1'!$K:$K,'Таблиця 1'!$B:$B,$A618,'Таблиця 1'!$I:$I,"МіГ-29",'Таблиця 1'!$J:$J,"GBU-62")+SUMIFS('Таблиця 1'!$K:$K,'Таблиця 1'!$B:$B,$A618,'Таблиця 1'!$I:$I,"Су-25",'Таблиця 1'!$J:$J,"GBU-62")+SUMIFS('Таблиця 1'!$K:$K,'Таблиця 1'!$B:$B,$A618,'Таблиця 1'!$I:$I,"Су-27",'Таблиця 1'!$J:$J,"GBU-62"))</f>
        <v/>
      </c>
      <c r="N618">
        <f>IF($A618="","",SUMIFS('Таблиця 1'!$K:$K,'Таблиця 1'!$B:$B,$A618,'Таблиця 1'!$I:$I,"Mirage",'Таблиця 1'!$J:$J,"GBU-64")+SUMIFS('Таблиця 1'!$K:$K,'Таблиця 1'!$B:$B,$A618,'Таблиця 1'!$I:$I,"F-16",'Таблиця 1'!$J:$J,"GBU-64")+SUMIFS('Таблиця 1'!$K:$K,'Таблиця 1'!$B:$B,$A618,'Таблиця 1'!$I:$I,"МіГ-29",'Таблиця 1'!$J:$J,"GBU-64")+SUMIFS('Таблиця 1'!$K:$K,'Таблиця 1'!$B:$B,$A618,'Таблиця 1'!$I:$I,"Су-25",'Таблиця 1'!$J:$J,"GBU-64")+SUMIFS('Таблиця 1'!$K:$K,'Таблиця 1'!$B:$B,$A618,'Таблиця 1'!$I:$I,"Су-27",'Таблиця 1'!$J:$J,"GBU-64"))</f>
        <v/>
      </c>
      <c r="O618">
        <f>IF($A618="","",SUMIFS('Таблиця 1'!$K:$K,'Таблиця 1'!$B:$B,$A618,'Таблиця 1'!$I:$I,"Mirage",'Таблиця 1'!$J:$J,"C-13")+SUMIFS('Таблиця 1'!$K:$K,'Таблиця 1'!$B:$B,$A618,'Таблиця 1'!$I:$I,"F-16",'Таблиця 1'!$J:$J,"C-13")+SUMIFS('Таблиця 1'!$K:$K,'Таблиця 1'!$B:$B,$A618,'Таблиця 1'!$I:$I,"МіГ-29",'Таблиця 1'!$J:$J,"C-13")+SUMIFS('Таблиця 1'!$K:$K,'Таблиця 1'!$B:$B,$A618,'Таблиця 1'!$I:$I,"Су-25",'Таблиця 1'!$J:$J,"C-13")+SUMIFS('Таблиця 1'!$K:$K,'Таблиця 1'!$B:$B,$A618,'Таблиця 1'!$I:$I,"Су-27",'Таблиця 1'!$J:$J,"C-13"))</f>
        <v/>
      </c>
      <c r="P618">
        <f>IF($A618="","",SUMIFS('Таблиця 1'!$K:$K,'Таблиця 1'!$B:$B,$A618,'Таблиця 1'!$I:$I,"Mirage",'Таблиця 1'!$J:$J,"MK-32")+SUMIFS('Таблиця 1'!$K:$K,'Таблиця 1'!$B:$B,$A618,'Таблиця 1'!$I:$I,"F-16",'Таблиця 1'!$J:$J,"MK-32")+SUMIFS('Таблиця 1'!$K:$K,'Таблиця 1'!$B:$B,$A618,'Таблиця 1'!$I:$I,"МіГ-29",'Таблиця 1'!$J:$J,"MK-32")+SUMIFS('Таблиця 1'!$K:$K,'Таблиця 1'!$B:$B,$A618,'Таблиця 1'!$I:$I,"Су-25",'Таблиця 1'!$J:$J,"MK-32")+SUMIFS('Таблиця 1'!$K:$K,'Таблиця 1'!$B:$B,$A618,'Таблиця 1'!$I:$I,"Су-27",'Таблиця 1'!$J:$J,"MK-32"))</f>
        <v/>
      </c>
      <c r="Q618">
        <f>IF($A618="","",SUMIFS('Таблиця 1'!$K:$K,'Таблиця 1'!$B:$B,$A618,'Таблиця 1'!$I:$I,"Mirage",'Таблиця 1'!$J:$J,"MK-24")+SUMIFS('Таблиця 1'!$K:$K,'Таблиця 1'!$B:$B,$A618,'Таблиця 1'!$I:$I,"F-16",'Таблиця 1'!$J:$J,"MK-24")+SUMIFS('Таблиця 1'!$K:$K,'Таблиця 1'!$B:$B,$A618,'Таблиця 1'!$I:$I,"МіГ-29",'Таблиця 1'!$J:$J,"MK-24")+SUMIFS('Таблиця 1'!$K:$K,'Таблиця 1'!$B:$B,$A618,'Таблиця 1'!$I:$I,"Су-25",'Таблиця 1'!$J:$J,"MK-24")+SUMIFS('Таблиця 1'!$K:$K,'Таблиця 1'!$B:$B,$A618,'Таблиця 1'!$I:$I,"Су-27",'Таблиця 1'!$J:$J,"MK-24"))</f>
        <v/>
      </c>
      <c r="R618">
        <f>IF($A618="","",COUNTIFS('Таблиця 1'!$B:$B,$A618,'Таблиця 1'!$I:$I,"Mirage",'Таблиця 1'!$L:$L,"Уражено")+COUNTIFS('Таблиця 1'!$B:$B,$A618,'Таблиця 1'!$I:$I,"F-16",'Таблиця 1'!$L:$L,"Уражено")+COUNTIFS('Таблиця 1'!$B:$B,$A618,'Таблиця 1'!$I:$I,"МіГ-29",'Таблиця 1'!$L:$L,"Уражено")+COUNTIFS('Таблиця 1'!$B:$B,$A618,'Таблиця 1'!$I:$I,"Су-25",'Таблиця 1'!$L:$L,"Уражено")+COUNTIFS('Таблиця 1'!$B:$B,$A618,'Таблиця 1'!$I:$I,"Су-27",'Таблиця 1'!$L:$L,"Уражено"))</f>
        <v/>
      </c>
      <c r="S618">
        <f>IF($A618="","",COUNTIFS('Таблиця 1'!$B:$B,$A618,'Таблиця 1'!$I:$I,"Mirage",'Таблиця 1'!$L:$L,"НЕ уражено")+COUNTIFS('Таблиця 1'!$B:$B,$A618,'Таблиця 1'!$I:$I,"F-16",'Таблиця 1'!$L:$L,"НЕ уражено")+COUNTIFS('Таблиця 1'!$B:$B,$A618,'Таблиця 1'!$I:$I,"МіГ-29",'Таблиця 1'!$L:$L,"НЕ уражено")+COUNTIFS('Таблиця 1'!$B:$B,$A618,'Таблиця 1'!$I:$I,"Су-25",'Таблиця 1'!$L:$L,"НЕ уражено")+COUNTIFS('Таблиця 1'!$B:$B,$A618,'Таблиця 1'!$I:$I,"Су-27",'Таблиця 1'!$L:$L,"НЕ уражено"))</f>
        <v/>
      </c>
      <c r="T618">
        <f>IF($A618="","",COUNTIFS('Таблиця 1'!$B:$B,$A618,'Таблиця 1'!$I:$I,"Mirage",'Таблиця 1'!$L:$L,"Дорозвідується")+COUNTIFS('Таблиця 1'!$B:$B,$A618,'Таблиця 1'!$I:$I,"F-16",'Таблиця 1'!$L:$L,"Дорозвідується")+COUNTIFS('Таблиця 1'!$B:$B,$A618,'Таблиця 1'!$I:$I,"МіГ-29",'Таблиця 1'!$L:$L,"Дорозвідується")+COUNTIFS('Таблиця 1'!$B:$B,$A618,'Таблиця 1'!$I:$I,"Су-25",'Таблиця 1'!$L:$L,"Дорозвідується")+COUNTIFS('Таблиця 1'!$B:$B,$A618,'Таблиця 1'!$I:$I,"Су-27",'Таблиця 1'!$L:$L,"Дорозвідується"))</f>
        <v/>
      </c>
    </row>
    <row r="619">
      <c r="A619" s="273">
        <f>IF(A618="","",IF(A618+1&gt;MAX('Таблиця 1'!$B:$B),"",A618+1))</f>
        <v/>
      </c>
      <c r="B619">
        <f>IF($A619="","",COUNTIFS('Таблиця 1'!$B:$B,$A619,'Таблиця 1'!$I:$I,"Mirage")+COUNTIFS('Таблиця 1'!$B:$B,$A619,'Таблиця 1'!$I:$I,"F-16")+COUNTIFS('Таблиця 1'!$B:$B,$A619,'Таблиця 1'!$I:$I,"МіГ-29")+COUNTIFS('Таблиця 1'!$B:$B,$A619,'Таблиця 1'!$I:$I,"Су-25")+COUNTIFS('Таблиця 1'!$B:$B,$A619,'Таблиця 1'!$I:$I,"Су-27"))</f>
        <v/>
      </c>
      <c r="C619">
        <f>IF($A619="","",COUNTIFS('Таблиця 1'!$B:$B,$A619,'Таблиця 1'!$I:$I,"Mirage"))</f>
        <v/>
      </c>
      <c r="D619">
        <f>IF($A619="","",COUNTIFS('Таблиця 1'!$B:$B,$A619,'Таблиця 1'!$I:$I,"F-16"))</f>
        <v/>
      </c>
      <c r="E619">
        <f>IF($A619="","",COUNTIFS('Таблиця 1'!$B:$B,$A619,'Таблиця 1'!$I:$I,"МіГ-29"))</f>
        <v/>
      </c>
      <c r="F619">
        <f>IF($A619="","",COUNTIFS('Таблиця 1'!$B:$B,$A619,'Таблиця 1'!$I:$I,"Су-25"))</f>
        <v/>
      </c>
      <c r="G619">
        <f>IF($A619="","",COUNTIFS('Таблиця 1'!$B:$B,$A619,'Таблиця 1'!$I:$I,"Су-27"))</f>
        <v/>
      </c>
      <c r="H619">
        <f>IF($A619="","",SUMIFS('Таблиця 1'!$K:$K,'Таблиця 1'!$B:$B,$A619,'Таблиця 1'!$I:$I,"Mirage",'Таблиця 1'!$J:$J,"AGM-88")+SUMIFS('Таблиця 1'!$K:$K,'Таблиця 1'!$B:$B,$A619,'Таблиця 1'!$I:$I,"F-16",'Таблиця 1'!$J:$J,"AGM-88")+SUMIFS('Таблиця 1'!$K:$K,'Таблиця 1'!$B:$B,$A619,'Таблиця 1'!$I:$I,"МіГ-29",'Таблиця 1'!$J:$J,"AGM-88")+SUMIFS('Таблиця 1'!$K:$K,'Таблиця 1'!$B:$B,$A619,'Таблиця 1'!$I:$I,"Су-25",'Таблиця 1'!$J:$J,"AGM-88")+SUMIFS('Таблиця 1'!$K:$K,'Таблиця 1'!$B:$B,$A619,'Таблиця 1'!$I:$I,"Су-27",'Таблиця 1'!$J:$J,"AGM-88"))</f>
        <v/>
      </c>
      <c r="I619">
        <f>IF($A619="","",SUMIFS('Таблиця 1'!$K:$K,'Таблиця 1'!$B:$B,$A619,'Таблиця 1'!$I:$I,"Mirage",'Таблиця 1'!$J:$J,"AASM-250")+SUMIFS('Таблиця 1'!$K:$K,'Таблиця 1'!$B:$B,$A619,'Таблиця 1'!$I:$I,"F-16",'Таблиця 1'!$J:$J,"AASM-250")+SUMIFS('Таблиця 1'!$K:$K,'Таблиця 1'!$B:$B,$A619,'Таблиця 1'!$I:$I,"МіГ-29",'Таблиця 1'!$J:$J,"AASM-250")+SUMIFS('Таблиця 1'!$K:$K,'Таблиця 1'!$B:$B,$A619,'Таблиця 1'!$I:$I,"Су-25",'Таблиця 1'!$J:$J,"AASM-250")+SUMIFS('Таблиця 1'!$K:$K,'Таблиця 1'!$B:$B,$A619,'Таблиця 1'!$I:$I,"Су-27",'Таблиця 1'!$J:$J,"AASM-250"))</f>
        <v/>
      </c>
      <c r="J619">
        <f>IF($A619="","",SUMIFS('Таблиця 1'!$K:$K,'Таблиця 1'!$B:$B,$A619,'Таблиця 1'!$I:$I,"Mirage",'Таблиця 1'!$J:$J,"GBU-39")+SUMIFS('Таблиця 1'!$K:$K,'Таблиця 1'!$B:$B,$A619,'Таблиця 1'!$I:$I,"F-16",'Таблиця 1'!$J:$J,"GBU-39")+SUMIFS('Таблиця 1'!$K:$K,'Таблиця 1'!$B:$B,$A619,'Таблиця 1'!$I:$I,"МіГ-29",'Таблиця 1'!$J:$J,"GBU-39")+SUMIFS('Таблиця 1'!$K:$K,'Таблиця 1'!$B:$B,$A619,'Таблиця 1'!$I:$I,"Су-25",'Таблиця 1'!$J:$J,"GBU-39")+SUMIFS('Таблиця 1'!$K:$K,'Таблиця 1'!$B:$B,$A619,'Таблиця 1'!$I:$I,"Су-27",'Таблиця 1'!$J:$J,"GBU-39"))</f>
        <v/>
      </c>
      <c r="K619">
        <f>IF($A619="","",SUMIFS('Таблиця 1'!$K:$K,'Таблиця 1'!$B:$B,$A619,'Таблиця 1'!$I:$I,"Mirage",'Таблиця 1'!$J:$J,"BLU-140")+SUMIFS('Таблиця 1'!$K:$K,'Таблиця 1'!$B:$B,$A619,'Таблиця 1'!$I:$I,"F-16",'Таблиця 1'!$J:$J,"BLU-140")+SUMIFS('Таблиця 1'!$K:$K,'Таблиця 1'!$B:$B,$A619,'Таблиця 1'!$I:$I,"МіГ-29",'Таблиця 1'!$J:$J,"BLU-140")+SUMIFS('Таблиця 1'!$K:$K,'Таблиця 1'!$B:$B,$A619,'Таблиця 1'!$I:$I,"Су-25",'Таблиця 1'!$J:$J,"BLU-140")+SUMIFS('Таблиця 1'!$K:$K,'Таблиця 1'!$B:$B,$A619,'Таблиця 1'!$I:$I,"Су-27",'Таблиця 1'!$J:$J,"BLU-140"))</f>
        <v/>
      </c>
      <c r="L619">
        <f>IF($A619="","",SUMIFS('Таблиця 1'!$K:$K,'Таблиця 1'!$B:$B,$A619,'Таблиця 1'!$I:$I,"Mirage",'Таблиця 1'!$J:$J,"GBU-65")+SUMIFS('Таблиця 1'!$K:$K,'Таблиця 1'!$B:$B,$A619,'Таблиця 1'!$I:$I,"F-16",'Таблиця 1'!$J:$J,"GBU-65")+SUMIFS('Таблиця 1'!$K:$K,'Таблиця 1'!$B:$B,$A619,'Таблиця 1'!$I:$I,"МіГ-29",'Таблиця 1'!$J:$J,"GBU-65")+SUMIFS('Таблиця 1'!$K:$K,'Таблиця 1'!$B:$B,$A619,'Таблиця 1'!$I:$I,"Су-25",'Таблиця 1'!$J:$J,"GBU-65")+SUMIFS('Таблиця 1'!$K:$K,'Таблиця 1'!$B:$B,$A619,'Таблиця 1'!$I:$I,"Су-27",'Таблиця 1'!$J:$J,"GBU-65"))</f>
        <v/>
      </c>
      <c r="M619">
        <f>IF($A619="","",SUMIFS('Таблиця 1'!$K:$K,'Таблиця 1'!$B:$B,$A619,'Таблиця 1'!$I:$I,"Mirage",'Таблиця 1'!$J:$J,"GBU-62")+SUMIFS('Таблиця 1'!$K:$K,'Таблиця 1'!$B:$B,$A619,'Таблиця 1'!$I:$I,"F-16",'Таблиця 1'!$J:$J,"GBU-62")+SUMIFS('Таблиця 1'!$K:$K,'Таблиця 1'!$B:$B,$A619,'Таблиця 1'!$I:$I,"МіГ-29",'Таблиця 1'!$J:$J,"GBU-62")+SUMIFS('Таблиця 1'!$K:$K,'Таблиця 1'!$B:$B,$A619,'Таблиця 1'!$I:$I,"Су-25",'Таблиця 1'!$J:$J,"GBU-62")+SUMIFS('Таблиця 1'!$K:$K,'Таблиця 1'!$B:$B,$A619,'Таблиця 1'!$I:$I,"Су-27",'Таблиця 1'!$J:$J,"GBU-62"))</f>
        <v/>
      </c>
      <c r="N619">
        <f>IF($A619="","",SUMIFS('Таблиця 1'!$K:$K,'Таблиця 1'!$B:$B,$A619,'Таблиця 1'!$I:$I,"Mirage",'Таблиця 1'!$J:$J,"GBU-64")+SUMIFS('Таблиця 1'!$K:$K,'Таблиця 1'!$B:$B,$A619,'Таблиця 1'!$I:$I,"F-16",'Таблиця 1'!$J:$J,"GBU-64")+SUMIFS('Таблиця 1'!$K:$K,'Таблиця 1'!$B:$B,$A619,'Таблиця 1'!$I:$I,"МіГ-29",'Таблиця 1'!$J:$J,"GBU-64")+SUMIFS('Таблиця 1'!$K:$K,'Таблиця 1'!$B:$B,$A619,'Таблиця 1'!$I:$I,"Су-25",'Таблиця 1'!$J:$J,"GBU-64")+SUMIFS('Таблиця 1'!$K:$K,'Таблиця 1'!$B:$B,$A619,'Таблиця 1'!$I:$I,"Су-27",'Таблиця 1'!$J:$J,"GBU-64"))</f>
        <v/>
      </c>
      <c r="O619">
        <f>IF($A619="","",SUMIFS('Таблиця 1'!$K:$K,'Таблиця 1'!$B:$B,$A619,'Таблиця 1'!$I:$I,"Mirage",'Таблиця 1'!$J:$J,"C-13")+SUMIFS('Таблиця 1'!$K:$K,'Таблиця 1'!$B:$B,$A619,'Таблиця 1'!$I:$I,"F-16",'Таблиця 1'!$J:$J,"C-13")+SUMIFS('Таблиця 1'!$K:$K,'Таблиця 1'!$B:$B,$A619,'Таблиця 1'!$I:$I,"МіГ-29",'Таблиця 1'!$J:$J,"C-13")+SUMIFS('Таблиця 1'!$K:$K,'Таблиця 1'!$B:$B,$A619,'Таблиця 1'!$I:$I,"Су-25",'Таблиця 1'!$J:$J,"C-13")+SUMIFS('Таблиця 1'!$K:$K,'Таблиця 1'!$B:$B,$A619,'Таблиця 1'!$I:$I,"Су-27",'Таблиця 1'!$J:$J,"C-13"))</f>
        <v/>
      </c>
      <c r="P619">
        <f>IF($A619="","",SUMIFS('Таблиця 1'!$K:$K,'Таблиця 1'!$B:$B,$A619,'Таблиця 1'!$I:$I,"Mirage",'Таблиця 1'!$J:$J,"MK-32")+SUMIFS('Таблиця 1'!$K:$K,'Таблиця 1'!$B:$B,$A619,'Таблиця 1'!$I:$I,"F-16",'Таблиця 1'!$J:$J,"MK-32")+SUMIFS('Таблиця 1'!$K:$K,'Таблиця 1'!$B:$B,$A619,'Таблиця 1'!$I:$I,"МіГ-29",'Таблиця 1'!$J:$J,"MK-32")+SUMIFS('Таблиця 1'!$K:$K,'Таблиця 1'!$B:$B,$A619,'Таблиця 1'!$I:$I,"Су-25",'Таблиця 1'!$J:$J,"MK-32")+SUMIFS('Таблиця 1'!$K:$K,'Таблиця 1'!$B:$B,$A619,'Таблиця 1'!$I:$I,"Су-27",'Таблиця 1'!$J:$J,"MK-32"))</f>
        <v/>
      </c>
      <c r="Q619">
        <f>IF($A619="","",SUMIFS('Таблиця 1'!$K:$K,'Таблиця 1'!$B:$B,$A619,'Таблиця 1'!$I:$I,"Mirage",'Таблиця 1'!$J:$J,"MK-24")+SUMIFS('Таблиця 1'!$K:$K,'Таблиця 1'!$B:$B,$A619,'Таблиця 1'!$I:$I,"F-16",'Таблиця 1'!$J:$J,"MK-24")+SUMIFS('Таблиця 1'!$K:$K,'Таблиця 1'!$B:$B,$A619,'Таблиця 1'!$I:$I,"МіГ-29",'Таблиця 1'!$J:$J,"MK-24")+SUMIFS('Таблиця 1'!$K:$K,'Таблиця 1'!$B:$B,$A619,'Таблиця 1'!$I:$I,"Су-25",'Таблиця 1'!$J:$J,"MK-24")+SUMIFS('Таблиця 1'!$K:$K,'Таблиця 1'!$B:$B,$A619,'Таблиця 1'!$I:$I,"Су-27",'Таблиця 1'!$J:$J,"MK-24"))</f>
        <v/>
      </c>
      <c r="R619">
        <f>IF($A619="","",COUNTIFS('Таблиця 1'!$B:$B,$A619,'Таблиця 1'!$I:$I,"Mirage",'Таблиця 1'!$L:$L,"Уражено")+COUNTIFS('Таблиця 1'!$B:$B,$A619,'Таблиця 1'!$I:$I,"F-16",'Таблиця 1'!$L:$L,"Уражено")+COUNTIFS('Таблиця 1'!$B:$B,$A619,'Таблиця 1'!$I:$I,"МіГ-29",'Таблиця 1'!$L:$L,"Уражено")+COUNTIFS('Таблиця 1'!$B:$B,$A619,'Таблиця 1'!$I:$I,"Су-25",'Таблиця 1'!$L:$L,"Уражено")+COUNTIFS('Таблиця 1'!$B:$B,$A619,'Таблиця 1'!$I:$I,"Су-27",'Таблиця 1'!$L:$L,"Уражено"))</f>
        <v/>
      </c>
      <c r="S619">
        <f>IF($A619="","",COUNTIFS('Таблиця 1'!$B:$B,$A619,'Таблиця 1'!$I:$I,"Mirage",'Таблиця 1'!$L:$L,"НЕ уражено")+COUNTIFS('Таблиця 1'!$B:$B,$A619,'Таблиця 1'!$I:$I,"F-16",'Таблиця 1'!$L:$L,"НЕ уражено")+COUNTIFS('Таблиця 1'!$B:$B,$A619,'Таблиця 1'!$I:$I,"МіГ-29",'Таблиця 1'!$L:$L,"НЕ уражено")+COUNTIFS('Таблиця 1'!$B:$B,$A619,'Таблиця 1'!$I:$I,"Су-25",'Таблиця 1'!$L:$L,"НЕ уражено")+COUNTIFS('Таблиця 1'!$B:$B,$A619,'Таблиця 1'!$I:$I,"Су-27",'Таблиця 1'!$L:$L,"НЕ уражено"))</f>
        <v/>
      </c>
      <c r="T619">
        <f>IF($A619="","",COUNTIFS('Таблиця 1'!$B:$B,$A619,'Таблиця 1'!$I:$I,"Mirage",'Таблиця 1'!$L:$L,"Дорозвідується")+COUNTIFS('Таблиця 1'!$B:$B,$A619,'Таблиця 1'!$I:$I,"F-16",'Таблиця 1'!$L:$L,"Дорозвідується")+COUNTIFS('Таблиця 1'!$B:$B,$A619,'Таблиця 1'!$I:$I,"МіГ-29",'Таблиця 1'!$L:$L,"Дорозвідується")+COUNTIFS('Таблиця 1'!$B:$B,$A619,'Таблиця 1'!$I:$I,"Су-25",'Таблиця 1'!$L:$L,"Дорозвідується")+COUNTIFS('Таблиця 1'!$B:$B,$A619,'Таблиця 1'!$I:$I,"Су-27",'Таблиця 1'!$L:$L,"Дорозвідується"))</f>
        <v/>
      </c>
    </row>
    <row r="620">
      <c r="A620" s="273">
        <f>IF(A619="","",IF(A619+1&gt;MAX('Таблиця 1'!$B:$B),"",A619+1))</f>
        <v/>
      </c>
      <c r="B620">
        <f>IF($A620="","",COUNTIFS('Таблиця 1'!$B:$B,$A620,'Таблиця 1'!$I:$I,"Mirage")+COUNTIFS('Таблиця 1'!$B:$B,$A620,'Таблиця 1'!$I:$I,"F-16")+COUNTIFS('Таблиця 1'!$B:$B,$A620,'Таблиця 1'!$I:$I,"МіГ-29")+COUNTIFS('Таблиця 1'!$B:$B,$A620,'Таблиця 1'!$I:$I,"Су-25")+COUNTIFS('Таблиця 1'!$B:$B,$A620,'Таблиця 1'!$I:$I,"Су-27"))</f>
        <v/>
      </c>
      <c r="C620">
        <f>IF($A620="","",COUNTIFS('Таблиця 1'!$B:$B,$A620,'Таблиця 1'!$I:$I,"Mirage"))</f>
        <v/>
      </c>
      <c r="D620">
        <f>IF($A620="","",COUNTIFS('Таблиця 1'!$B:$B,$A620,'Таблиця 1'!$I:$I,"F-16"))</f>
        <v/>
      </c>
      <c r="E620">
        <f>IF($A620="","",COUNTIFS('Таблиця 1'!$B:$B,$A620,'Таблиця 1'!$I:$I,"МіГ-29"))</f>
        <v/>
      </c>
      <c r="F620">
        <f>IF($A620="","",COUNTIFS('Таблиця 1'!$B:$B,$A620,'Таблиця 1'!$I:$I,"Су-25"))</f>
        <v/>
      </c>
      <c r="G620">
        <f>IF($A620="","",COUNTIFS('Таблиця 1'!$B:$B,$A620,'Таблиця 1'!$I:$I,"Су-27"))</f>
        <v/>
      </c>
      <c r="H620">
        <f>IF($A620="","",SUMIFS('Таблиця 1'!$K:$K,'Таблиця 1'!$B:$B,$A620,'Таблиця 1'!$I:$I,"Mirage",'Таблиця 1'!$J:$J,"AGM-88")+SUMIFS('Таблиця 1'!$K:$K,'Таблиця 1'!$B:$B,$A620,'Таблиця 1'!$I:$I,"F-16",'Таблиця 1'!$J:$J,"AGM-88")+SUMIFS('Таблиця 1'!$K:$K,'Таблиця 1'!$B:$B,$A620,'Таблиця 1'!$I:$I,"МіГ-29",'Таблиця 1'!$J:$J,"AGM-88")+SUMIFS('Таблиця 1'!$K:$K,'Таблиця 1'!$B:$B,$A620,'Таблиця 1'!$I:$I,"Су-25",'Таблиця 1'!$J:$J,"AGM-88")+SUMIFS('Таблиця 1'!$K:$K,'Таблиця 1'!$B:$B,$A620,'Таблиця 1'!$I:$I,"Су-27",'Таблиця 1'!$J:$J,"AGM-88"))</f>
        <v/>
      </c>
      <c r="I620">
        <f>IF($A620="","",SUMIFS('Таблиця 1'!$K:$K,'Таблиця 1'!$B:$B,$A620,'Таблиця 1'!$I:$I,"Mirage",'Таблиця 1'!$J:$J,"AASM-250")+SUMIFS('Таблиця 1'!$K:$K,'Таблиця 1'!$B:$B,$A620,'Таблиця 1'!$I:$I,"F-16",'Таблиця 1'!$J:$J,"AASM-250")+SUMIFS('Таблиця 1'!$K:$K,'Таблиця 1'!$B:$B,$A620,'Таблиця 1'!$I:$I,"МіГ-29",'Таблиця 1'!$J:$J,"AASM-250")+SUMIFS('Таблиця 1'!$K:$K,'Таблиця 1'!$B:$B,$A620,'Таблиця 1'!$I:$I,"Су-25",'Таблиця 1'!$J:$J,"AASM-250")+SUMIFS('Таблиця 1'!$K:$K,'Таблиця 1'!$B:$B,$A620,'Таблиця 1'!$I:$I,"Су-27",'Таблиця 1'!$J:$J,"AASM-250"))</f>
        <v/>
      </c>
      <c r="J620">
        <f>IF($A620="","",SUMIFS('Таблиця 1'!$K:$K,'Таблиця 1'!$B:$B,$A620,'Таблиця 1'!$I:$I,"Mirage",'Таблиця 1'!$J:$J,"GBU-39")+SUMIFS('Таблиця 1'!$K:$K,'Таблиця 1'!$B:$B,$A620,'Таблиця 1'!$I:$I,"F-16",'Таблиця 1'!$J:$J,"GBU-39")+SUMIFS('Таблиця 1'!$K:$K,'Таблиця 1'!$B:$B,$A620,'Таблиця 1'!$I:$I,"МіГ-29",'Таблиця 1'!$J:$J,"GBU-39")+SUMIFS('Таблиця 1'!$K:$K,'Таблиця 1'!$B:$B,$A620,'Таблиця 1'!$I:$I,"Су-25",'Таблиця 1'!$J:$J,"GBU-39")+SUMIFS('Таблиця 1'!$K:$K,'Таблиця 1'!$B:$B,$A620,'Таблиця 1'!$I:$I,"Су-27",'Таблиця 1'!$J:$J,"GBU-39"))</f>
        <v/>
      </c>
      <c r="K620">
        <f>IF($A620="","",SUMIFS('Таблиця 1'!$K:$K,'Таблиця 1'!$B:$B,$A620,'Таблиця 1'!$I:$I,"Mirage",'Таблиця 1'!$J:$J,"BLU-140")+SUMIFS('Таблиця 1'!$K:$K,'Таблиця 1'!$B:$B,$A620,'Таблиця 1'!$I:$I,"F-16",'Таблиця 1'!$J:$J,"BLU-140")+SUMIFS('Таблиця 1'!$K:$K,'Таблиця 1'!$B:$B,$A620,'Таблиця 1'!$I:$I,"МіГ-29",'Таблиця 1'!$J:$J,"BLU-140")+SUMIFS('Таблиця 1'!$K:$K,'Таблиця 1'!$B:$B,$A620,'Таблиця 1'!$I:$I,"Су-25",'Таблиця 1'!$J:$J,"BLU-140")+SUMIFS('Таблиця 1'!$K:$K,'Таблиця 1'!$B:$B,$A620,'Таблиця 1'!$I:$I,"Су-27",'Таблиця 1'!$J:$J,"BLU-140"))</f>
        <v/>
      </c>
      <c r="L620">
        <f>IF($A620="","",SUMIFS('Таблиця 1'!$K:$K,'Таблиця 1'!$B:$B,$A620,'Таблиця 1'!$I:$I,"Mirage",'Таблиця 1'!$J:$J,"GBU-65")+SUMIFS('Таблиця 1'!$K:$K,'Таблиця 1'!$B:$B,$A620,'Таблиця 1'!$I:$I,"F-16",'Таблиця 1'!$J:$J,"GBU-65")+SUMIFS('Таблиця 1'!$K:$K,'Таблиця 1'!$B:$B,$A620,'Таблиця 1'!$I:$I,"МіГ-29",'Таблиця 1'!$J:$J,"GBU-65")+SUMIFS('Таблиця 1'!$K:$K,'Таблиця 1'!$B:$B,$A620,'Таблиця 1'!$I:$I,"Су-25",'Таблиця 1'!$J:$J,"GBU-65")+SUMIFS('Таблиця 1'!$K:$K,'Таблиця 1'!$B:$B,$A620,'Таблиця 1'!$I:$I,"Су-27",'Таблиця 1'!$J:$J,"GBU-65"))</f>
        <v/>
      </c>
      <c r="M620">
        <f>IF($A620="","",SUMIFS('Таблиця 1'!$K:$K,'Таблиця 1'!$B:$B,$A620,'Таблиця 1'!$I:$I,"Mirage",'Таблиця 1'!$J:$J,"GBU-62")+SUMIFS('Таблиця 1'!$K:$K,'Таблиця 1'!$B:$B,$A620,'Таблиця 1'!$I:$I,"F-16",'Таблиця 1'!$J:$J,"GBU-62")+SUMIFS('Таблиця 1'!$K:$K,'Таблиця 1'!$B:$B,$A620,'Таблиця 1'!$I:$I,"МіГ-29",'Таблиця 1'!$J:$J,"GBU-62")+SUMIFS('Таблиця 1'!$K:$K,'Таблиця 1'!$B:$B,$A620,'Таблиця 1'!$I:$I,"Су-25",'Таблиця 1'!$J:$J,"GBU-62")+SUMIFS('Таблиця 1'!$K:$K,'Таблиця 1'!$B:$B,$A620,'Таблиця 1'!$I:$I,"Су-27",'Таблиця 1'!$J:$J,"GBU-62"))</f>
        <v/>
      </c>
      <c r="N620">
        <f>IF($A620="","",SUMIFS('Таблиця 1'!$K:$K,'Таблиця 1'!$B:$B,$A620,'Таблиця 1'!$I:$I,"Mirage",'Таблиця 1'!$J:$J,"GBU-64")+SUMIFS('Таблиця 1'!$K:$K,'Таблиця 1'!$B:$B,$A620,'Таблиця 1'!$I:$I,"F-16",'Таблиця 1'!$J:$J,"GBU-64")+SUMIFS('Таблиця 1'!$K:$K,'Таблиця 1'!$B:$B,$A620,'Таблиця 1'!$I:$I,"МіГ-29",'Таблиця 1'!$J:$J,"GBU-64")+SUMIFS('Таблиця 1'!$K:$K,'Таблиця 1'!$B:$B,$A620,'Таблиця 1'!$I:$I,"Су-25",'Таблиця 1'!$J:$J,"GBU-64")+SUMIFS('Таблиця 1'!$K:$K,'Таблиця 1'!$B:$B,$A620,'Таблиця 1'!$I:$I,"Су-27",'Таблиця 1'!$J:$J,"GBU-64"))</f>
        <v/>
      </c>
      <c r="O620">
        <f>IF($A620="","",SUMIFS('Таблиця 1'!$K:$K,'Таблиця 1'!$B:$B,$A620,'Таблиця 1'!$I:$I,"Mirage",'Таблиця 1'!$J:$J,"C-13")+SUMIFS('Таблиця 1'!$K:$K,'Таблиця 1'!$B:$B,$A620,'Таблиця 1'!$I:$I,"F-16",'Таблиця 1'!$J:$J,"C-13")+SUMIFS('Таблиця 1'!$K:$K,'Таблиця 1'!$B:$B,$A620,'Таблиця 1'!$I:$I,"МіГ-29",'Таблиця 1'!$J:$J,"C-13")+SUMIFS('Таблиця 1'!$K:$K,'Таблиця 1'!$B:$B,$A620,'Таблиця 1'!$I:$I,"Су-25",'Таблиця 1'!$J:$J,"C-13")+SUMIFS('Таблиця 1'!$K:$K,'Таблиця 1'!$B:$B,$A620,'Таблиця 1'!$I:$I,"Су-27",'Таблиця 1'!$J:$J,"C-13"))</f>
        <v/>
      </c>
      <c r="P620">
        <f>IF($A620="","",SUMIFS('Таблиця 1'!$K:$K,'Таблиця 1'!$B:$B,$A620,'Таблиця 1'!$I:$I,"Mirage",'Таблиця 1'!$J:$J,"MK-32")+SUMIFS('Таблиця 1'!$K:$K,'Таблиця 1'!$B:$B,$A620,'Таблиця 1'!$I:$I,"F-16",'Таблиця 1'!$J:$J,"MK-32")+SUMIFS('Таблиця 1'!$K:$K,'Таблиця 1'!$B:$B,$A620,'Таблиця 1'!$I:$I,"МіГ-29",'Таблиця 1'!$J:$J,"MK-32")+SUMIFS('Таблиця 1'!$K:$K,'Таблиця 1'!$B:$B,$A620,'Таблиця 1'!$I:$I,"Су-25",'Таблиця 1'!$J:$J,"MK-32")+SUMIFS('Таблиця 1'!$K:$K,'Таблиця 1'!$B:$B,$A620,'Таблиця 1'!$I:$I,"Су-27",'Таблиця 1'!$J:$J,"MK-32"))</f>
        <v/>
      </c>
      <c r="Q620">
        <f>IF($A620="","",SUMIFS('Таблиця 1'!$K:$K,'Таблиця 1'!$B:$B,$A620,'Таблиця 1'!$I:$I,"Mirage",'Таблиця 1'!$J:$J,"MK-24")+SUMIFS('Таблиця 1'!$K:$K,'Таблиця 1'!$B:$B,$A620,'Таблиця 1'!$I:$I,"F-16",'Таблиця 1'!$J:$J,"MK-24")+SUMIFS('Таблиця 1'!$K:$K,'Таблиця 1'!$B:$B,$A620,'Таблиця 1'!$I:$I,"МіГ-29",'Таблиця 1'!$J:$J,"MK-24")+SUMIFS('Таблиця 1'!$K:$K,'Таблиця 1'!$B:$B,$A620,'Таблиця 1'!$I:$I,"Су-25",'Таблиця 1'!$J:$J,"MK-24")+SUMIFS('Таблиця 1'!$K:$K,'Таблиця 1'!$B:$B,$A620,'Таблиця 1'!$I:$I,"Су-27",'Таблиця 1'!$J:$J,"MK-24"))</f>
        <v/>
      </c>
      <c r="R620">
        <f>IF($A620="","",COUNTIFS('Таблиця 1'!$B:$B,$A620,'Таблиця 1'!$I:$I,"Mirage",'Таблиця 1'!$L:$L,"Уражено")+COUNTIFS('Таблиця 1'!$B:$B,$A620,'Таблиця 1'!$I:$I,"F-16",'Таблиця 1'!$L:$L,"Уражено")+COUNTIFS('Таблиця 1'!$B:$B,$A620,'Таблиця 1'!$I:$I,"МіГ-29",'Таблиця 1'!$L:$L,"Уражено")+COUNTIFS('Таблиця 1'!$B:$B,$A620,'Таблиця 1'!$I:$I,"Су-25",'Таблиця 1'!$L:$L,"Уражено")+COUNTIFS('Таблиця 1'!$B:$B,$A620,'Таблиця 1'!$I:$I,"Су-27",'Таблиця 1'!$L:$L,"Уражено"))</f>
        <v/>
      </c>
      <c r="S620">
        <f>IF($A620="","",COUNTIFS('Таблиця 1'!$B:$B,$A620,'Таблиця 1'!$I:$I,"Mirage",'Таблиця 1'!$L:$L,"НЕ уражено")+COUNTIFS('Таблиця 1'!$B:$B,$A620,'Таблиця 1'!$I:$I,"F-16",'Таблиця 1'!$L:$L,"НЕ уражено")+COUNTIFS('Таблиця 1'!$B:$B,$A620,'Таблиця 1'!$I:$I,"МіГ-29",'Таблиця 1'!$L:$L,"НЕ уражено")+COUNTIFS('Таблиця 1'!$B:$B,$A620,'Таблиця 1'!$I:$I,"Су-25",'Таблиця 1'!$L:$L,"НЕ уражено")+COUNTIFS('Таблиця 1'!$B:$B,$A620,'Таблиця 1'!$I:$I,"Су-27",'Таблиця 1'!$L:$L,"НЕ уражено"))</f>
        <v/>
      </c>
      <c r="T620">
        <f>IF($A620="","",COUNTIFS('Таблиця 1'!$B:$B,$A620,'Таблиця 1'!$I:$I,"Mirage",'Таблиця 1'!$L:$L,"Дорозвідується")+COUNTIFS('Таблиця 1'!$B:$B,$A620,'Таблиця 1'!$I:$I,"F-16",'Таблиця 1'!$L:$L,"Дорозвідується")+COUNTIFS('Таблиця 1'!$B:$B,$A620,'Таблиця 1'!$I:$I,"МіГ-29",'Таблиця 1'!$L:$L,"Дорозвідується")+COUNTIFS('Таблиця 1'!$B:$B,$A620,'Таблиця 1'!$I:$I,"Су-25",'Таблиця 1'!$L:$L,"Дорозвідується")+COUNTIFS('Таблиця 1'!$B:$B,$A620,'Таблиця 1'!$I:$I,"Су-27",'Таблиця 1'!$L:$L,"Дорозвідується"))</f>
        <v/>
      </c>
    </row>
    <row r="621">
      <c r="A621" s="273">
        <f>IF(A620="","",IF(A620+1&gt;MAX('Таблиця 1'!$B:$B),"",A620+1))</f>
        <v/>
      </c>
      <c r="B621">
        <f>IF($A621="","",COUNTIFS('Таблиця 1'!$B:$B,$A621,'Таблиця 1'!$I:$I,"Mirage")+COUNTIFS('Таблиця 1'!$B:$B,$A621,'Таблиця 1'!$I:$I,"F-16")+COUNTIFS('Таблиця 1'!$B:$B,$A621,'Таблиця 1'!$I:$I,"МіГ-29")+COUNTIFS('Таблиця 1'!$B:$B,$A621,'Таблиця 1'!$I:$I,"Су-25")+COUNTIFS('Таблиця 1'!$B:$B,$A621,'Таблиця 1'!$I:$I,"Су-27"))</f>
        <v/>
      </c>
      <c r="C621">
        <f>IF($A621="","",COUNTIFS('Таблиця 1'!$B:$B,$A621,'Таблиця 1'!$I:$I,"Mirage"))</f>
        <v/>
      </c>
      <c r="D621">
        <f>IF($A621="","",COUNTIFS('Таблиця 1'!$B:$B,$A621,'Таблиця 1'!$I:$I,"F-16"))</f>
        <v/>
      </c>
      <c r="E621">
        <f>IF($A621="","",COUNTIFS('Таблиця 1'!$B:$B,$A621,'Таблиця 1'!$I:$I,"МіГ-29"))</f>
        <v/>
      </c>
      <c r="F621">
        <f>IF($A621="","",COUNTIFS('Таблиця 1'!$B:$B,$A621,'Таблиця 1'!$I:$I,"Су-25"))</f>
        <v/>
      </c>
      <c r="G621">
        <f>IF($A621="","",COUNTIFS('Таблиця 1'!$B:$B,$A621,'Таблиця 1'!$I:$I,"Су-27"))</f>
        <v/>
      </c>
      <c r="H621">
        <f>IF($A621="","",SUMIFS('Таблиця 1'!$K:$K,'Таблиця 1'!$B:$B,$A621,'Таблиця 1'!$I:$I,"Mirage",'Таблиця 1'!$J:$J,"AGM-88")+SUMIFS('Таблиця 1'!$K:$K,'Таблиця 1'!$B:$B,$A621,'Таблиця 1'!$I:$I,"F-16",'Таблиця 1'!$J:$J,"AGM-88")+SUMIFS('Таблиця 1'!$K:$K,'Таблиця 1'!$B:$B,$A621,'Таблиця 1'!$I:$I,"МіГ-29",'Таблиця 1'!$J:$J,"AGM-88")+SUMIFS('Таблиця 1'!$K:$K,'Таблиця 1'!$B:$B,$A621,'Таблиця 1'!$I:$I,"Су-25",'Таблиця 1'!$J:$J,"AGM-88")+SUMIFS('Таблиця 1'!$K:$K,'Таблиця 1'!$B:$B,$A621,'Таблиця 1'!$I:$I,"Су-27",'Таблиця 1'!$J:$J,"AGM-88"))</f>
        <v/>
      </c>
      <c r="I621">
        <f>IF($A621="","",SUMIFS('Таблиця 1'!$K:$K,'Таблиця 1'!$B:$B,$A621,'Таблиця 1'!$I:$I,"Mirage",'Таблиця 1'!$J:$J,"AASM-250")+SUMIFS('Таблиця 1'!$K:$K,'Таблиця 1'!$B:$B,$A621,'Таблиця 1'!$I:$I,"F-16",'Таблиця 1'!$J:$J,"AASM-250")+SUMIFS('Таблиця 1'!$K:$K,'Таблиця 1'!$B:$B,$A621,'Таблиця 1'!$I:$I,"МіГ-29",'Таблиця 1'!$J:$J,"AASM-250")+SUMIFS('Таблиця 1'!$K:$K,'Таблиця 1'!$B:$B,$A621,'Таблиця 1'!$I:$I,"Су-25",'Таблиця 1'!$J:$J,"AASM-250")+SUMIFS('Таблиця 1'!$K:$K,'Таблиця 1'!$B:$B,$A621,'Таблиця 1'!$I:$I,"Су-27",'Таблиця 1'!$J:$J,"AASM-250"))</f>
        <v/>
      </c>
      <c r="J621">
        <f>IF($A621="","",SUMIFS('Таблиця 1'!$K:$K,'Таблиця 1'!$B:$B,$A621,'Таблиця 1'!$I:$I,"Mirage",'Таблиця 1'!$J:$J,"GBU-39")+SUMIFS('Таблиця 1'!$K:$K,'Таблиця 1'!$B:$B,$A621,'Таблиця 1'!$I:$I,"F-16",'Таблиця 1'!$J:$J,"GBU-39")+SUMIFS('Таблиця 1'!$K:$K,'Таблиця 1'!$B:$B,$A621,'Таблиця 1'!$I:$I,"МіГ-29",'Таблиця 1'!$J:$J,"GBU-39")+SUMIFS('Таблиця 1'!$K:$K,'Таблиця 1'!$B:$B,$A621,'Таблиця 1'!$I:$I,"Су-25",'Таблиця 1'!$J:$J,"GBU-39")+SUMIFS('Таблиця 1'!$K:$K,'Таблиця 1'!$B:$B,$A621,'Таблиця 1'!$I:$I,"Су-27",'Таблиця 1'!$J:$J,"GBU-39"))</f>
        <v/>
      </c>
      <c r="K621">
        <f>IF($A621="","",SUMIFS('Таблиця 1'!$K:$K,'Таблиця 1'!$B:$B,$A621,'Таблиця 1'!$I:$I,"Mirage",'Таблиця 1'!$J:$J,"BLU-140")+SUMIFS('Таблиця 1'!$K:$K,'Таблиця 1'!$B:$B,$A621,'Таблиця 1'!$I:$I,"F-16",'Таблиця 1'!$J:$J,"BLU-140")+SUMIFS('Таблиця 1'!$K:$K,'Таблиця 1'!$B:$B,$A621,'Таблиця 1'!$I:$I,"МіГ-29",'Таблиця 1'!$J:$J,"BLU-140")+SUMIFS('Таблиця 1'!$K:$K,'Таблиця 1'!$B:$B,$A621,'Таблиця 1'!$I:$I,"Су-25",'Таблиця 1'!$J:$J,"BLU-140")+SUMIFS('Таблиця 1'!$K:$K,'Таблиця 1'!$B:$B,$A621,'Таблиця 1'!$I:$I,"Су-27",'Таблиця 1'!$J:$J,"BLU-140"))</f>
        <v/>
      </c>
      <c r="L621">
        <f>IF($A621="","",SUMIFS('Таблиця 1'!$K:$K,'Таблиця 1'!$B:$B,$A621,'Таблиця 1'!$I:$I,"Mirage",'Таблиця 1'!$J:$J,"GBU-65")+SUMIFS('Таблиця 1'!$K:$K,'Таблиця 1'!$B:$B,$A621,'Таблиця 1'!$I:$I,"F-16",'Таблиця 1'!$J:$J,"GBU-65")+SUMIFS('Таблиця 1'!$K:$K,'Таблиця 1'!$B:$B,$A621,'Таблиця 1'!$I:$I,"МіГ-29",'Таблиця 1'!$J:$J,"GBU-65")+SUMIFS('Таблиця 1'!$K:$K,'Таблиця 1'!$B:$B,$A621,'Таблиця 1'!$I:$I,"Су-25",'Таблиця 1'!$J:$J,"GBU-65")+SUMIFS('Таблиця 1'!$K:$K,'Таблиця 1'!$B:$B,$A621,'Таблиця 1'!$I:$I,"Су-27",'Таблиця 1'!$J:$J,"GBU-65"))</f>
        <v/>
      </c>
      <c r="M621">
        <f>IF($A621="","",SUMIFS('Таблиця 1'!$K:$K,'Таблиця 1'!$B:$B,$A621,'Таблиця 1'!$I:$I,"Mirage",'Таблиця 1'!$J:$J,"GBU-62")+SUMIFS('Таблиця 1'!$K:$K,'Таблиця 1'!$B:$B,$A621,'Таблиця 1'!$I:$I,"F-16",'Таблиця 1'!$J:$J,"GBU-62")+SUMIFS('Таблиця 1'!$K:$K,'Таблиця 1'!$B:$B,$A621,'Таблиця 1'!$I:$I,"МіГ-29",'Таблиця 1'!$J:$J,"GBU-62")+SUMIFS('Таблиця 1'!$K:$K,'Таблиця 1'!$B:$B,$A621,'Таблиця 1'!$I:$I,"Су-25",'Таблиця 1'!$J:$J,"GBU-62")+SUMIFS('Таблиця 1'!$K:$K,'Таблиця 1'!$B:$B,$A621,'Таблиця 1'!$I:$I,"Су-27",'Таблиця 1'!$J:$J,"GBU-62"))</f>
        <v/>
      </c>
      <c r="N621">
        <f>IF($A621="","",SUMIFS('Таблиця 1'!$K:$K,'Таблиця 1'!$B:$B,$A621,'Таблиця 1'!$I:$I,"Mirage",'Таблиця 1'!$J:$J,"GBU-64")+SUMIFS('Таблиця 1'!$K:$K,'Таблиця 1'!$B:$B,$A621,'Таблиця 1'!$I:$I,"F-16",'Таблиця 1'!$J:$J,"GBU-64")+SUMIFS('Таблиця 1'!$K:$K,'Таблиця 1'!$B:$B,$A621,'Таблиця 1'!$I:$I,"МіГ-29",'Таблиця 1'!$J:$J,"GBU-64")+SUMIFS('Таблиця 1'!$K:$K,'Таблиця 1'!$B:$B,$A621,'Таблиця 1'!$I:$I,"Су-25",'Таблиця 1'!$J:$J,"GBU-64")+SUMIFS('Таблиця 1'!$K:$K,'Таблиця 1'!$B:$B,$A621,'Таблиця 1'!$I:$I,"Су-27",'Таблиця 1'!$J:$J,"GBU-64"))</f>
        <v/>
      </c>
      <c r="O621">
        <f>IF($A621="","",SUMIFS('Таблиця 1'!$K:$K,'Таблиця 1'!$B:$B,$A621,'Таблиця 1'!$I:$I,"Mirage",'Таблиця 1'!$J:$J,"C-13")+SUMIFS('Таблиця 1'!$K:$K,'Таблиця 1'!$B:$B,$A621,'Таблиця 1'!$I:$I,"F-16",'Таблиця 1'!$J:$J,"C-13")+SUMIFS('Таблиця 1'!$K:$K,'Таблиця 1'!$B:$B,$A621,'Таблиця 1'!$I:$I,"МіГ-29",'Таблиця 1'!$J:$J,"C-13")+SUMIFS('Таблиця 1'!$K:$K,'Таблиця 1'!$B:$B,$A621,'Таблиця 1'!$I:$I,"Су-25",'Таблиця 1'!$J:$J,"C-13")+SUMIFS('Таблиця 1'!$K:$K,'Таблиця 1'!$B:$B,$A621,'Таблиця 1'!$I:$I,"Су-27",'Таблиця 1'!$J:$J,"C-13"))</f>
        <v/>
      </c>
      <c r="P621">
        <f>IF($A621="","",SUMIFS('Таблиця 1'!$K:$K,'Таблиця 1'!$B:$B,$A621,'Таблиця 1'!$I:$I,"Mirage",'Таблиця 1'!$J:$J,"MK-32")+SUMIFS('Таблиця 1'!$K:$K,'Таблиця 1'!$B:$B,$A621,'Таблиця 1'!$I:$I,"F-16",'Таблиця 1'!$J:$J,"MK-32")+SUMIFS('Таблиця 1'!$K:$K,'Таблиця 1'!$B:$B,$A621,'Таблиця 1'!$I:$I,"МіГ-29",'Таблиця 1'!$J:$J,"MK-32")+SUMIFS('Таблиця 1'!$K:$K,'Таблиця 1'!$B:$B,$A621,'Таблиця 1'!$I:$I,"Су-25",'Таблиця 1'!$J:$J,"MK-32")+SUMIFS('Таблиця 1'!$K:$K,'Таблиця 1'!$B:$B,$A621,'Таблиця 1'!$I:$I,"Су-27",'Таблиця 1'!$J:$J,"MK-32"))</f>
        <v/>
      </c>
      <c r="Q621">
        <f>IF($A621="","",SUMIFS('Таблиця 1'!$K:$K,'Таблиця 1'!$B:$B,$A621,'Таблиця 1'!$I:$I,"Mirage",'Таблиця 1'!$J:$J,"MK-24")+SUMIFS('Таблиця 1'!$K:$K,'Таблиця 1'!$B:$B,$A621,'Таблиця 1'!$I:$I,"F-16",'Таблиця 1'!$J:$J,"MK-24")+SUMIFS('Таблиця 1'!$K:$K,'Таблиця 1'!$B:$B,$A621,'Таблиця 1'!$I:$I,"МіГ-29",'Таблиця 1'!$J:$J,"MK-24")+SUMIFS('Таблиця 1'!$K:$K,'Таблиця 1'!$B:$B,$A621,'Таблиця 1'!$I:$I,"Су-25",'Таблиця 1'!$J:$J,"MK-24")+SUMIFS('Таблиця 1'!$K:$K,'Таблиця 1'!$B:$B,$A621,'Таблиця 1'!$I:$I,"Су-27",'Таблиця 1'!$J:$J,"MK-24"))</f>
        <v/>
      </c>
      <c r="R621">
        <f>IF($A621="","",COUNTIFS('Таблиця 1'!$B:$B,$A621,'Таблиця 1'!$I:$I,"Mirage",'Таблиця 1'!$L:$L,"Уражено")+COUNTIFS('Таблиця 1'!$B:$B,$A621,'Таблиця 1'!$I:$I,"F-16",'Таблиця 1'!$L:$L,"Уражено")+COUNTIFS('Таблиця 1'!$B:$B,$A621,'Таблиця 1'!$I:$I,"МіГ-29",'Таблиця 1'!$L:$L,"Уражено")+COUNTIFS('Таблиця 1'!$B:$B,$A621,'Таблиця 1'!$I:$I,"Су-25",'Таблиця 1'!$L:$L,"Уражено")+COUNTIFS('Таблиця 1'!$B:$B,$A621,'Таблиця 1'!$I:$I,"Су-27",'Таблиця 1'!$L:$L,"Уражено"))</f>
        <v/>
      </c>
      <c r="S621">
        <f>IF($A621="","",COUNTIFS('Таблиця 1'!$B:$B,$A621,'Таблиця 1'!$I:$I,"Mirage",'Таблиця 1'!$L:$L,"НЕ уражено")+COUNTIFS('Таблиця 1'!$B:$B,$A621,'Таблиця 1'!$I:$I,"F-16",'Таблиця 1'!$L:$L,"НЕ уражено")+COUNTIFS('Таблиця 1'!$B:$B,$A621,'Таблиця 1'!$I:$I,"МіГ-29",'Таблиця 1'!$L:$L,"НЕ уражено")+COUNTIFS('Таблиця 1'!$B:$B,$A621,'Таблиця 1'!$I:$I,"Су-25",'Таблиця 1'!$L:$L,"НЕ уражено")+COUNTIFS('Таблиця 1'!$B:$B,$A621,'Таблиця 1'!$I:$I,"Су-27",'Таблиця 1'!$L:$L,"НЕ уражено"))</f>
        <v/>
      </c>
      <c r="T621">
        <f>IF($A621="","",COUNTIFS('Таблиця 1'!$B:$B,$A621,'Таблиця 1'!$I:$I,"Mirage",'Таблиця 1'!$L:$L,"Дорозвідується")+COUNTIFS('Таблиця 1'!$B:$B,$A621,'Таблиця 1'!$I:$I,"F-16",'Таблиця 1'!$L:$L,"Дорозвідується")+COUNTIFS('Таблиця 1'!$B:$B,$A621,'Таблиця 1'!$I:$I,"МіГ-29",'Таблиця 1'!$L:$L,"Дорозвідується")+COUNTIFS('Таблиця 1'!$B:$B,$A621,'Таблиця 1'!$I:$I,"Су-25",'Таблиця 1'!$L:$L,"Дорозвідується")+COUNTIFS('Таблиця 1'!$B:$B,$A621,'Таблиця 1'!$I:$I,"Су-27",'Таблиця 1'!$L:$L,"Дорозвідується"))</f>
        <v/>
      </c>
    </row>
    <row r="622">
      <c r="A622" s="273">
        <f>IF(A621="","",IF(A621+1&gt;MAX('Таблиця 1'!$B:$B),"",A621+1))</f>
        <v/>
      </c>
      <c r="B622">
        <f>IF($A622="","",COUNTIFS('Таблиця 1'!$B:$B,$A622,'Таблиця 1'!$I:$I,"Mirage")+COUNTIFS('Таблиця 1'!$B:$B,$A622,'Таблиця 1'!$I:$I,"F-16")+COUNTIFS('Таблиця 1'!$B:$B,$A622,'Таблиця 1'!$I:$I,"МіГ-29")+COUNTIFS('Таблиця 1'!$B:$B,$A622,'Таблиця 1'!$I:$I,"Су-25")+COUNTIFS('Таблиця 1'!$B:$B,$A622,'Таблиця 1'!$I:$I,"Су-27"))</f>
        <v/>
      </c>
      <c r="C622">
        <f>IF($A622="","",COUNTIFS('Таблиця 1'!$B:$B,$A622,'Таблиця 1'!$I:$I,"Mirage"))</f>
        <v/>
      </c>
      <c r="D622">
        <f>IF($A622="","",COUNTIFS('Таблиця 1'!$B:$B,$A622,'Таблиця 1'!$I:$I,"F-16"))</f>
        <v/>
      </c>
      <c r="E622">
        <f>IF($A622="","",COUNTIFS('Таблиця 1'!$B:$B,$A622,'Таблиця 1'!$I:$I,"МіГ-29"))</f>
        <v/>
      </c>
      <c r="F622">
        <f>IF($A622="","",COUNTIFS('Таблиця 1'!$B:$B,$A622,'Таблиця 1'!$I:$I,"Су-25"))</f>
        <v/>
      </c>
      <c r="G622">
        <f>IF($A622="","",COUNTIFS('Таблиця 1'!$B:$B,$A622,'Таблиця 1'!$I:$I,"Су-27"))</f>
        <v/>
      </c>
      <c r="H622">
        <f>IF($A622="","",SUMIFS('Таблиця 1'!$K:$K,'Таблиця 1'!$B:$B,$A622,'Таблиця 1'!$I:$I,"Mirage",'Таблиця 1'!$J:$J,"AGM-88")+SUMIFS('Таблиця 1'!$K:$K,'Таблиця 1'!$B:$B,$A622,'Таблиця 1'!$I:$I,"F-16",'Таблиця 1'!$J:$J,"AGM-88")+SUMIFS('Таблиця 1'!$K:$K,'Таблиця 1'!$B:$B,$A622,'Таблиця 1'!$I:$I,"МіГ-29",'Таблиця 1'!$J:$J,"AGM-88")+SUMIFS('Таблиця 1'!$K:$K,'Таблиця 1'!$B:$B,$A622,'Таблиця 1'!$I:$I,"Су-25",'Таблиця 1'!$J:$J,"AGM-88")+SUMIFS('Таблиця 1'!$K:$K,'Таблиця 1'!$B:$B,$A622,'Таблиця 1'!$I:$I,"Су-27",'Таблиця 1'!$J:$J,"AGM-88"))</f>
        <v/>
      </c>
      <c r="I622">
        <f>IF($A622="","",SUMIFS('Таблиця 1'!$K:$K,'Таблиця 1'!$B:$B,$A622,'Таблиця 1'!$I:$I,"Mirage",'Таблиця 1'!$J:$J,"AASM-250")+SUMIFS('Таблиця 1'!$K:$K,'Таблиця 1'!$B:$B,$A622,'Таблиця 1'!$I:$I,"F-16",'Таблиця 1'!$J:$J,"AASM-250")+SUMIFS('Таблиця 1'!$K:$K,'Таблиця 1'!$B:$B,$A622,'Таблиця 1'!$I:$I,"МіГ-29",'Таблиця 1'!$J:$J,"AASM-250")+SUMIFS('Таблиця 1'!$K:$K,'Таблиця 1'!$B:$B,$A622,'Таблиця 1'!$I:$I,"Су-25",'Таблиця 1'!$J:$J,"AASM-250")+SUMIFS('Таблиця 1'!$K:$K,'Таблиця 1'!$B:$B,$A622,'Таблиця 1'!$I:$I,"Су-27",'Таблиця 1'!$J:$J,"AASM-250"))</f>
        <v/>
      </c>
      <c r="J622">
        <f>IF($A622="","",SUMIFS('Таблиця 1'!$K:$K,'Таблиця 1'!$B:$B,$A622,'Таблиця 1'!$I:$I,"Mirage",'Таблиця 1'!$J:$J,"GBU-39")+SUMIFS('Таблиця 1'!$K:$K,'Таблиця 1'!$B:$B,$A622,'Таблиця 1'!$I:$I,"F-16",'Таблиця 1'!$J:$J,"GBU-39")+SUMIFS('Таблиця 1'!$K:$K,'Таблиця 1'!$B:$B,$A622,'Таблиця 1'!$I:$I,"МіГ-29",'Таблиця 1'!$J:$J,"GBU-39")+SUMIFS('Таблиця 1'!$K:$K,'Таблиця 1'!$B:$B,$A622,'Таблиця 1'!$I:$I,"Су-25",'Таблиця 1'!$J:$J,"GBU-39")+SUMIFS('Таблиця 1'!$K:$K,'Таблиця 1'!$B:$B,$A622,'Таблиця 1'!$I:$I,"Су-27",'Таблиця 1'!$J:$J,"GBU-39"))</f>
        <v/>
      </c>
      <c r="K622">
        <f>IF($A622="","",SUMIFS('Таблиця 1'!$K:$K,'Таблиця 1'!$B:$B,$A622,'Таблиця 1'!$I:$I,"Mirage",'Таблиця 1'!$J:$J,"BLU-140")+SUMIFS('Таблиця 1'!$K:$K,'Таблиця 1'!$B:$B,$A622,'Таблиця 1'!$I:$I,"F-16",'Таблиця 1'!$J:$J,"BLU-140")+SUMIFS('Таблиця 1'!$K:$K,'Таблиця 1'!$B:$B,$A622,'Таблиця 1'!$I:$I,"МіГ-29",'Таблиця 1'!$J:$J,"BLU-140")+SUMIFS('Таблиця 1'!$K:$K,'Таблиця 1'!$B:$B,$A622,'Таблиця 1'!$I:$I,"Су-25",'Таблиця 1'!$J:$J,"BLU-140")+SUMIFS('Таблиця 1'!$K:$K,'Таблиця 1'!$B:$B,$A622,'Таблиця 1'!$I:$I,"Су-27",'Таблиця 1'!$J:$J,"BLU-140"))</f>
        <v/>
      </c>
      <c r="L622">
        <f>IF($A622="","",SUMIFS('Таблиця 1'!$K:$K,'Таблиця 1'!$B:$B,$A622,'Таблиця 1'!$I:$I,"Mirage",'Таблиця 1'!$J:$J,"GBU-65")+SUMIFS('Таблиця 1'!$K:$K,'Таблиця 1'!$B:$B,$A622,'Таблиця 1'!$I:$I,"F-16",'Таблиця 1'!$J:$J,"GBU-65")+SUMIFS('Таблиця 1'!$K:$K,'Таблиця 1'!$B:$B,$A622,'Таблиця 1'!$I:$I,"МіГ-29",'Таблиця 1'!$J:$J,"GBU-65")+SUMIFS('Таблиця 1'!$K:$K,'Таблиця 1'!$B:$B,$A622,'Таблиця 1'!$I:$I,"Су-25",'Таблиця 1'!$J:$J,"GBU-65")+SUMIFS('Таблиця 1'!$K:$K,'Таблиця 1'!$B:$B,$A622,'Таблиця 1'!$I:$I,"Су-27",'Таблиця 1'!$J:$J,"GBU-65"))</f>
        <v/>
      </c>
      <c r="M622">
        <f>IF($A622="","",SUMIFS('Таблиця 1'!$K:$K,'Таблиця 1'!$B:$B,$A622,'Таблиця 1'!$I:$I,"Mirage",'Таблиця 1'!$J:$J,"GBU-62")+SUMIFS('Таблиця 1'!$K:$K,'Таблиця 1'!$B:$B,$A622,'Таблиця 1'!$I:$I,"F-16",'Таблиця 1'!$J:$J,"GBU-62")+SUMIFS('Таблиця 1'!$K:$K,'Таблиця 1'!$B:$B,$A622,'Таблиця 1'!$I:$I,"МіГ-29",'Таблиця 1'!$J:$J,"GBU-62")+SUMIFS('Таблиця 1'!$K:$K,'Таблиця 1'!$B:$B,$A622,'Таблиця 1'!$I:$I,"Су-25",'Таблиця 1'!$J:$J,"GBU-62")+SUMIFS('Таблиця 1'!$K:$K,'Таблиця 1'!$B:$B,$A622,'Таблиця 1'!$I:$I,"Су-27",'Таблиця 1'!$J:$J,"GBU-62"))</f>
        <v/>
      </c>
      <c r="N622">
        <f>IF($A622="","",SUMIFS('Таблиця 1'!$K:$K,'Таблиця 1'!$B:$B,$A622,'Таблиця 1'!$I:$I,"Mirage",'Таблиця 1'!$J:$J,"GBU-64")+SUMIFS('Таблиця 1'!$K:$K,'Таблиця 1'!$B:$B,$A622,'Таблиця 1'!$I:$I,"F-16",'Таблиця 1'!$J:$J,"GBU-64")+SUMIFS('Таблиця 1'!$K:$K,'Таблиця 1'!$B:$B,$A622,'Таблиця 1'!$I:$I,"МіГ-29",'Таблиця 1'!$J:$J,"GBU-64")+SUMIFS('Таблиця 1'!$K:$K,'Таблиця 1'!$B:$B,$A622,'Таблиця 1'!$I:$I,"Су-25",'Таблиця 1'!$J:$J,"GBU-64")+SUMIFS('Таблиця 1'!$K:$K,'Таблиця 1'!$B:$B,$A622,'Таблиця 1'!$I:$I,"Су-27",'Таблиця 1'!$J:$J,"GBU-64"))</f>
        <v/>
      </c>
      <c r="O622">
        <f>IF($A622="","",SUMIFS('Таблиця 1'!$K:$K,'Таблиця 1'!$B:$B,$A622,'Таблиця 1'!$I:$I,"Mirage",'Таблиця 1'!$J:$J,"C-13")+SUMIFS('Таблиця 1'!$K:$K,'Таблиця 1'!$B:$B,$A622,'Таблиця 1'!$I:$I,"F-16",'Таблиця 1'!$J:$J,"C-13")+SUMIFS('Таблиця 1'!$K:$K,'Таблиця 1'!$B:$B,$A622,'Таблиця 1'!$I:$I,"МіГ-29",'Таблиця 1'!$J:$J,"C-13")+SUMIFS('Таблиця 1'!$K:$K,'Таблиця 1'!$B:$B,$A622,'Таблиця 1'!$I:$I,"Су-25",'Таблиця 1'!$J:$J,"C-13")+SUMIFS('Таблиця 1'!$K:$K,'Таблиця 1'!$B:$B,$A622,'Таблиця 1'!$I:$I,"Су-27",'Таблиця 1'!$J:$J,"C-13"))</f>
        <v/>
      </c>
      <c r="P622">
        <f>IF($A622="","",SUMIFS('Таблиця 1'!$K:$K,'Таблиця 1'!$B:$B,$A622,'Таблиця 1'!$I:$I,"Mirage",'Таблиця 1'!$J:$J,"MK-32")+SUMIFS('Таблиця 1'!$K:$K,'Таблиця 1'!$B:$B,$A622,'Таблиця 1'!$I:$I,"F-16",'Таблиця 1'!$J:$J,"MK-32")+SUMIFS('Таблиця 1'!$K:$K,'Таблиця 1'!$B:$B,$A622,'Таблиця 1'!$I:$I,"МіГ-29",'Таблиця 1'!$J:$J,"MK-32")+SUMIFS('Таблиця 1'!$K:$K,'Таблиця 1'!$B:$B,$A622,'Таблиця 1'!$I:$I,"Су-25",'Таблиця 1'!$J:$J,"MK-32")+SUMIFS('Таблиця 1'!$K:$K,'Таблиця 1'!$B:$B,$A622,'Таблиця 1'!$I:$I,"Су-27",'Таблиця 1'!$J:$J,"MK-32"))</f>
        <v/>
      </c>
      <c r="Q622">
        <f>IF($A622="","",SUMIFS('Таблиця 1'!$K:$K,'Таблиця 1'!$B:$B,$A622,'Таблиця 1'!$I:$I,"Mirage",'Таблиця 1'!$J:$J,"MK-24")+SUMIFS('Таблиця 1'!$K:$K,'Таблиця 1'!$B:$B,$A622,'Таблиця 1'!$I:$I,"F-16",'Таблиця 1'!$J:$J,"MK-24")+SUMIFS('Таблиця 1'!$K:$K,'Таблиця 1'!$B:$B,$A622,'Таблиця 1'!$I:$I,"МіГ-29",'Таблиця 1'!$J:$J,"MK-24")+SUMIFS('Таблиця 1'!$K:$K,'Таблиця 1'!$B:$B,$A622,'Таблиця 1'!$I:$I,"Су-25",'Таблиця 1'!$J:$J,"MK-24")+SUMIFS('Таблиця 1'!$K:$K,'Таблиця 1'!$B:$B,$A622,'Таблиця 1'!$I:$I,"Су-27",'Таблиця 1'!$J:$J,"MK-24"))</f>
        <v/>
      </c>
      <c r="R622">
        <f>IF($A622="","",COUNTIFS('Таблиця 1'!$B:$B,$A622,'Таблиця 1'!$I:$I,"Mirage",'Таблиця 1'!$L:$L,"Уражено")+COUNTIFS('Таблиця 1'!$B:$B,$A622,'Таблиця 1'!$I:$I,"F-16",'Таблиця 1'!$L:$L,"Уражено")+COUNTIFS('Таблиця 1'!$B:$B,$A622,'Таблиця 1'!$I:$I,"МіГ-29",'Таблиця 1'!$L:$L,"Уражено")+COUNTIFS('Таблиця 1'!$B:$B,$A622,'Таблиця 1'!$I:$I,"Су-25",'Таблиця 1'!$L:$L,"Уражено")+COUNTIFS('Таблиця 1'!$B:$B,$A622,'Таблиця 1'!$I:$I,"Су-27",'Таблиця 1'!$L:$L,"Уражено"))</f>
        <v/>
      </c>
      <c r="S622">
        <f>IF($A622="","",COUNTIFS('Таблиця 1'!$B:$B,$A622,'Таблиця 1'!$I:$I,"Mirage",'Таблиця 1'!$L:$L,"НЕ уражено")+COUNTIFS('Таблиця 1'!$B:$B,$A622,'Таблиця 1'!$I:$I,"F-16",'Таблиця 1'!$L:$L,"НЕ уражено")+COUNTIFS('Таблиця 1'!$B:$B,$A622,'Таблиця 1'!$I:$I,"МіГ-29",'Таблиця 1'!$L:$L,"НЕ уражено")+COUNTIFS('Таблиця 1'!$B:$B,$A622,'Таблиця 1'!$I:$I,"Су-25",'Таблиця 1'!$L:$L,"НЕ уражено")+COUNTIFS('Таблиця 1'!$B:$B,$A622,'Таблиця 1'!$I:$I,"Су-27",'Таблиця 1'!$L:$L,"НЕ уражено"))</f>
        <v/>
      </c>
      <c r="T622">
        <f>IF($A622="","",COUNTIFS('Таблиця 1'!$B:$B,$A622,'Таблиця 1'!$I:$I,"Mirage",'Таблиця 1'!$L:$L,"Дорозвідується")+COUNTIFS('Таблиця 1'!$B:$B,$A622,'Таблиця 1'!$I:$I,"F-16",'Таблиця 1'!$L:$L,"Дорозвідується")+COUNTIFS('Таблиця 1'!$B:$B,$A622,'Таблиця 1'!$I:$I,"МіГ-29",'Таблиця 1'!$L:$L,"Дорозвідується")+COUNTIFS('Таблиця 1'!$B:$B,$A622,'Таблиця 1'!$I:$I,"Су-25",'Таблиця 1'!$L:$L,"Дорозвідується")+COUNTIFS('Таблиця 1'!$B:$B,$A622,'Таблиця 1'!$I:$I,"Су-27",'Таблиця 1'!$L:$L,"Дорозвідується"))</f>
        <v/>
      </c>
    </row>
    <row r="623">
      <c r="A623" s="273">
        <f>IF(A622="","",IF(A622+1&gt;MAX('Таблиця 1'!$B:$B),"",A622+1))</f>
        <v/>
      </c>
      <c r="B623">
        <f>IF($A623="","",COUNTIFS('Таблиця 1'!$B:$B,$A623,'Таблиця 1'!$I:$I,"Mirage")+COUNTIFS('Таблиця 1'!$B:$B,$A623,'Таблиця 1'!$I:$I,"F-16")+COUNTIFS('Таблиця 1'!$B:$B,$A623,'Таблиця 1'!$I:$I,"МіГ-29")+COUNTIFS('Таблиця 1'!$B:$B,$A623,'Таблиця 1'!$I:$I,"Су-25")+COUNTIFS('Таблиця 1'!$B:$B,$A623,'Таблиця 1'!$I:$I,"Су-27"))</f>
        <v/>
      </c>
      <c r="C623">
        <f>IF($A623="","",COUNTIFS('Таблиця 1'!$B:$B,$A623,'Таблиця 1'!$I:$I,"Mirage"))</f>
        <v/>
      </c>
      <c r="D623">
        <f>IF($A623="","",COUNTIFS('Таблиця 1'!$B:$B,$A623,'Таблиця 1'!$I:$I,"F-16"))</f>
        <v/>
      </c>
      <c r="E623">
        <f>IF($A623="","",COUNTIFS('Таблиця 1'!$B:$B,$A623,'Таблиця 1'!$I:$I,"МіГ-29"))</f>
        <v/>
      </c>
      <c r="F623">
        <f>IF($A623="","",COUNTIFS('Таблиця 1'!$B:$B,$A623,'Таблиця 1'!$I:$I,"Су-25"))</f>
        <v/>
      </c>
      <c r="G623">
        <f>IF($A623="","",COUNTIFS('Таблиця 1'!$B:$B,$A623,'Таблиця 1'!$I:$I,"Су-27"))</f>
        <v/>
      </c>
      <c r="H623">
        <f>IF($A623="","",SUMIFS('Таблиця 1'!$K:$K,'Таблиця 1'!$B:$B,$A623,'Таблиця 1'!$I:$I,"Mirage",'Таблиця 1'!$J:$J,"AGM-88")+SUMIFS('Таблиця 1'!$K:$K,'Таблиця 1'!$B:$B,$A623,'Таблиця 1'!$I:$I,"F-16",'Таблиця 1'!$J:$J,"AGM-88")+SUMIFS('Таблиця 1'!$K:$K,'Таблиця 1'!$B:$B,$A623,'Таблиця 1'!$I:$I,"МіГ-29",'Таблиця 1'!$J:$J,"AGM-88")+SUMIFS('Таблиця 1'!$K:$K,'Таблиця 1'!$B:$B,$A623,'Таблиця 1'!$I:$I,"Су-25",'Таблиця 1'!$J:$J,"AGM-88")+SUMIFS('Таблиця 1'!$K:$K,'Таблиця 1'!$B:$B,$A623,'Таблиця 1'!$I:$I,"Су-27",'Таблиця 1'!$J:$J,"AGM-88"))</f>
        <v/>
      </c>
      <c r="I623">
        <f>IF($A623="","",SUMIFS('Таблиця 1'!$K:$K,'Таблиця 1'!$B:$B,$A623,'Таблиця 1'!$I:$I,"Mirage",'Таблиця 1'!$J:$J,"AASM-250")+SUMIFS('Таблиця 1'!$K:$K,'Таблиця 1'!$B:$B,$A623,'Таблиця 1'!$I:$I,"F-16",'Таблиця 1'!$J:$J,"AASM-250")+SUMIFS('Таблиця 1'!$K:$K,'Таблиця 1'!$B:$B,$A623,'Таблиця 1'!$I:$I,"МіГ-29",'Таблиця 1'!$J:$J,"AASM-250")+SUMIFS('Таблиця 1'!$K:$K,'Таблиця 1'!$B:$B,$A623,'Таблиця 1'!$I:$I,"Су-25",'Таблиця 1'!$J:$J,"AASM-250")+SUMIFS('Таблиця 1'!$K:$K,'Таблиця 1'!$B:$B,$A623,'Таблиця 1'!$I:$I,"Су-27",'Таблиця 1'!$J:$J,"AASM-250"))</f>
        <v/>
      </c>
      <c r="J623">
        <f>IF($A623="","",SUMIFS('Таблиця 1'!$K:$K,'Таблиця 1'!$B:$B,$A623,'Таблиця 1'!$I:$I,"Mirage",'Таблиця 1'!$J:$J,"GBU-39")+SUMIFS('Таблиця 1'!$K:$K,'Таблиця 1'!$B:$B,$A623,'Таблиця 1'!$I:$I,"F-16",'Таблиця 1'!$J:$J,"GBU-39")+SUMIFS('Таблиця 1'!$K:$K,'Таблиця 1'!$B:$B,$A623,'Таблиця 1'!$I:$I,"МіГ-29",'Таблиця 1'!$J:$J,"GBU-39")+SUMIFS('Таблиця 1'!$K:$K,'Таблиця 1'!$B:$B,$A623,'Таблиця 1'!$I:$I,"Су-25",'Таблиця 1'!$J:$J,"GBU-39")+SUMIFS('Таблиця 1'!$K:$K,'Таблиця 1'!$B:$B,$A623,'Таблиця 1'!$I:$I,"Су-27",'Таблиця 1'!$J:$J,"GBU-39"))</f>
        <v/>
      </c>
      <c r="K623">
        <f>IF($A623="","",SUMIFS('Таблиця 1'!$K:$K,'Таблиця 1'!$B:$B,$A623,'Таблиця 1'!$I:$I,"Mirage",'Таблиця 1'!$J:$J,"BLU-140")+SUMIFS('Таблиця 1'!$K:$K,'Таблиця 1'!$B:$B,$A623,'Таблиця 1'!$I:$I,"F-16",'Таблиця 1'!$J:$J,"BLU-140")+SUMIFS('Таблиця 1'!$K:$K,'Таблиця 1'!$B:$B,$A623,'Таблиця 1'!$I:$I,"МіГ-29",'Таблиця 1'!$J:$J,"BLU-140")+SUMIFS('Таблиця 1'!$K:$K,'Таблиця 1'!$B:$B,$A623,'Таблиця 1'!$I:$I,"Су-25",'Таблиця 1'!$J:$J,"BLU-140")+SUMIFS('Таблиця 1'!$K:$K,'Таблиця 1'!$B:$B,$A623,'Таблиця 1'!$I:$I,"Су-27",'Таблиця 1'!$J:$J,"BLU-140"))</f>
        <v/>
      </c>
      <c r="L623">
        <f>IF($A623="","",SUMIFS('Таблиця 1'!$K:$K,'Таблиця 1'!$B:$B,$A623,'Таблиця 1'!$I:$I,"Mirage",'Таблиця 1'!$J:$J,"GBU-65")+SUMIFS('Таблиця 1'!$K:$K,'Таблиця 1'!$B:$B,$A623,'Таблиця 1'!$I:$I,"F-16",'Таблиця 1'!$J:$J,"GBU-65")+SUMIFS('Таблиця 1'!$K:$K,'Таблиця 1'!$B:$B,$A623,'Таблиця 1'!$I:$I,"МіГ-29",'Таблиця 1'!$J:$J,"GBU-65")+SUMIFS('Таблиця 1'!$K:$K,'Таблиця 1'!$B:$B,$A623,'Таблиця 1'!$I:$I,"Су-25",'Таблиця 1'!$J:$J,"GBU-65")+SUMIFS('Таблиця 1'!$K:$K,'Таблиця 1'!$B:$B,$A623,'Таблиця 1'!$I:$I,"Су-27",'Таблиця 1'!$J:$J,"GBU-65"))</f>
        <v/>
      </c>
      <c r="M623">
        <f>IF($A623="","",SUMIFS('Таблиця 1'!$K:$K,'Таблиця 1'!$B:$B,$A623,'Таблиця 1'!$I:$I,"Mirage",'Таблиця 1'!$J:$J,"GBU-62")+SUMIFS('Таблиця 1'!$K:$K,'Таблиця 1'!$B:$B,$A623,'Таблиця 1'!$I:$I,"F-16",'Таблиця 1'!$J:$J,"GBU-62")+SUMIFS('Таблиця 1'!$K:$K,'Таблиця 1'!$B:$B,$A623,'Таблиця 1'!$I:$I,"МіГ-29",'Таблиця 1'!$J:$J,"GBU-62")+SUMIFS('Таблиця 1'!$K:$K,'Таблиця 1'!$B:$B,$A623,'Таблиця 1'!$I:$I,"Су-25",'Таблиця 1'!$J:$J,"GBU-62")+SUMIFS('Таблиця 1'!$K:$K,'Таблиця 1'!$B:$B,$A623,'Таблиця 1'!$I:$I,"Су-27",'Таблиця 1'!$J:$J,"GBU-62"))</f>
        <v/>
      </c>
      <c r="N623">
        <f>IF($A623="","",SUMIFS('Таблиця 1'!$K:$K,'Таблиця 1'!$B:$B,$A623,'Таблиця 1'!$I:$I,"Mirage",'Таблиця 1'!$J:$J,"GBU-64")+SUMIFS('Таблиця 1'!$K:$K,'Таблиця 1'!$B:$B,$A623,'Таблиця 1'!$I:$I,"F-16",'Таблиця 1'!$J:$J,"GBU-64")+SUMIFS('Таблиця 1'!$K:$K,'Таблиця 1'!$B:$B,$A623,'Таблиця 1'!$I:$I,"МіГ-29",'Таблиця 1'!$J:$J,"GBU-64")+SUMIFS('Таблиця 1'!$K:$K,'Таблиця 1'!$B:$B,$A623,'Таблиця 1'!$I:$I,"Су-25",'Таблиця 1'!$J:$J,"GBU-64")+SUMIFS('Таблиця 1'!$K:$K,'Таблиця 1'!$B:$B,$A623,'Таблиця 1'!$I:$I,"Су-27",'Таблиця 1'!$J:$J,"GBU-64"))</f>
        <v/>
      </c>
      <c r="O623">
        <f>IF($A623="","",SUMIFS('Таблиця 1'!$K:$K,'Таблиця 1'!$B:$B,$A623,'Таблиця 1'!$I:$I,"Mirage",'Таблиця 1'!$J:$J,"C-13")+SUMIFS('Таблиця 1'!$K:$K,'Таблиця 1'!$B:$B,$A623,'Таблиця 1'!$I:$I,"F-16",'Таблиця 1'!$J:$J,"C-13")+SUMIFS('Таблиця 1'!$K:$K,'Таблиця 1'!$B:$B,$A623,'Таблиця 1'!$I:$I,"МіГ-29",'Таблиця 1'!$J:$J,"C-13")+SUMIFS('Таблиця 1'!$K:$K,'Таблиця 1'!$B:$B,$A623,'Таблиця 1'!$I:$I,"Су-25",'Таблиця 1'!$J:$J,"C-13")+SUMIFS('Таблиця 1'!$K:$K,'Таблиця 1'!$B:$B,$A623,'Таблиця 1'!$I:$I,"Су-27",'Таблиця 1'!$J:$J,"C-13"))</f>
        <v/>
      </c>
      <c r="P623">
        <f>IF($A623="","",SUMIFS('Таблиця 1'!$K:$K,'Таблиця 1'!$B:$B,$A623,'Таблиця 1'!$I:$I,"Mirage",'Таблиця 1'!$J:$J,"MK-32")+SUMIFS('Таблиця 1'!$K:$K,'Таблиця 1'!$B:$B,$A623,'Таблиця 1'!$I:$I,"F-16",'Таблиця 1'!$J:$J,"MK-32")+SUMIFS('Таблиця 1'!$K:$K,'Таблиця 1'!$B:$B,$A623,'Таблиця 1'!$I:$I,"МіГ-29",'Таблиця 1'!$J:$J,"MK-32")+SUMIFS('Таблиця 1'!$K:$K,'Таблиця 1'!$B:$B,$A623,'Таблиця 1'!$I:$I,"Су-25",'Таблиця 1'!$J:$J,"MK-32")+SUMIFS('Таблиця 1'!$K:$K,'Таблиця 1'!$B:$B,$A623,'Таблиця 1'!$I:$I,"Су-27",'Таблиця 1'!$J:$J,"MK-32"))</f>
        <v/>
      </c>
      <c r="Q623">
        <f>IF($A623="","",SUMIFS('Таблиця 1'!$K:$K,'Таблиця 1'!$B:$B,$A623,'Таблиця 1'!$I:$I,"Mirage",'Таблиця 1'!$J:$J,"MK-24")+SUMIFS('Таблиця 1'!$K:$K,'Таблиця 1'!$B:$B,$A623,'Таблиця 1'!$I:$I,"F-16",'Таблиця 1'!$J:$J,"MK-24")+SUMIFS('Таблиця 1'!$K:$K,'Таблиця 1'!$B:$B,$A623,'Таблиця 1'!$I:$I,"МіГ-29",'Таблиця 1'!$J:$J,"MK-24")+SUMIFS('Таблиця 1'!$K:$K,'Таблиця 1'!$B:$B,$A623,'Таблиця 1'!$I:$I,"Су-25",'Таблиця 1'!$J:$J,"MK-24")+SUMIFS('Таблиця 1'!$K:$K,'Таблиця 1'!$B:$B,$A623,'Таблиця 1'!$I:$I,"Су-27",'Таблиця 1'!$J:$J,"MK-24"))</f>
        <v/>
      </c>
      <c r="R623">
        <f>IF($A623="","",COUNTIFS('Таблиця 1'!$B:$B,$A623,'Таблиця 1'!$I:$I,"Mirage",'Таблиця 1'!$L:$L,"Уражено")+COUNTIFS('Таблиця 1'!$B:$B,$A623,'Таблиця 1'!$I:$I,"F-16",'Таблиця 1'!$L:$L,"Уражено")+COUNTIFS('Таблиця 1'!$B:$B,$A623,'Таблиця 1'!$I:$I,"МіГ-29",'Таблиця 1'!$L:$L,"Уражено")+COUNTIFS('Таблиця 1'!$B:$B,$A623,'Таблиця 1'!$I:$I,"Су-25",'Таблиця 1'!$L:$L,"Уражено")+COUNTIFS('Таблиця 1'!$B:$B,$A623,'Таблиця 1'!$I:$I,"Су-27",'Таблиця 1'!$L:$L,"Уражено"))</f>
        <v/>
      </c>
      <c r="S623">
        <f>IF($A623="","",COUNTIFS('Таблиця 1'!$B:$B,$A623,'Таблиця 1'!$I:$I,"Mirage",'Таблиця 1'!$L:$L,"НЕ уражено")+COUNTIFS('Таблиця 1'!$B:$B,$A623,'Таблиця 1'!$I:$I,"F-16",'Таблиця 1'!$L:$L,"НЕ уражено")+COUNTIFS('Таблиця 1'!$B:$B,$A623,'Таблиця 1'!$I:$I,"МіГ-29",'Таблиця 1'!$L:$L,"НЕ уражено")+COUNTIFS('Таблиця 1'!$B:$B,$A623,'Таблиця 1'!$I:$I,"Су-25",'Таблиця 1'!$L:$L,"НЕ уражено")+COUNTIFS('Таблиця 1'!$B:$B,$A623,'Таблиця 1'!$I:$I,"Су-27",'Таблиця 1'!$L:$L,"НЕ уражено"))</f>
        <v/>
      </c>
      <c r="T623">
        <f>IF($A623="","",COUNTIFS('Таблиця 1'!$B:$B,$A623,'Таблиця 1'!$I:$I,"Mirage",'Таблиця 1'!$L:$L,"Дорозвідується")+COUNTIFS('Таблиця 1'!$B:$B,$A623,'Таблиця 1'!$I:$I,"F-16",'Таблиця 1'!$L:$L,"Дорозвідується")+COUNTIFS('Таблиця 1'!$B:$B,$A623,'Таблиця 1'!$I:$I,"МіГ-29",'Таблиця 1'!$L:$L,"Дорозвідується")+COUNTIFS('Таблиця 1'!$B:$B,$A623,'Таблиця 1'!$I:$I,"Су-25",'Таблиця 1'!$L:$L,"Дорозвідується")+COUNTIFS('Таблиця 1'!$B:$B,$A623,'Таблиця 1'!$I:$I,"Су-27",'Таблиця 1'!$L:$L,"Дорозвідується"))</f>
        <v/>
      </c>
    </row>
    <row r="624">
      <c r="A624" s="273">
        <f>IF(A623="","",IF(A623+1&gt;MAX('Таблиця 1'!$B:$B),"",A623+1))</f>
        <v/>
      </c>
      <c r="B624">
        <f>IF($A624="","",COUNTIFS('Таблиця 1'!$B:$B,$A624,'Таблиця 1'!$I:$I,"Mirage")+COUNTIFS('Таблиця 1'!$B:$B,$A624,'Таблиця 1'!$I:$I,"F-16")+COUNTIFS('Таблиця 1'!$B:$B,$A624,'Таблиця 1'!$I:$I,"МіГ-29")+COUNTIFS('Таблиця 1'!$B:$B,$A624,'Таблиця 1'!$I:$I,"Су-25")+COUNTIFS('Таблиця 1'!$B:$B,$A624,'Таблиця 1'!$I:$I,"Су-27"))</f>
        <v/>
      </c>
      <c r="C624">
        <f>IF($A624="","",COUNTIFS('Таблиця 1'!$B:$B,$A624,'Таблиця 1'!$I:$I,"Mirage"))</f>
        <v/>
      </c>
      <c r="D624">
        <f>IF($A624="","",COUNTIFS('Таблиця 1'!$B:$B,$A624,'Таблиця 1'!$I:$I,"F-16"))</f>
        <v/>
      </c>
      <c r="E624">
        <f>IF($A624="","",COUNTIFS('Таблиця 1'!$B:$B,$A624,'Таблиця 1'!$I:$I,"МіГ-29"))</f>
        <v/>
      </c>
      <c r="F624">
        <f>IF($A624="","",COUNTIFS('Таблиця 1'!$B:$B,$A624,'Таблиця 1'!$I:$I,"Су-25"))</f>
        <v/>
      </c>
      <c r="G624">
        <f>IF($A624="","",COUNTIFS('Таблиця 1'!$B:$B,$A624,'Таблиця 1'!$I:$I,"Су-27"))</f>
        <v/>
      </c>
      <c r="H624">
        <f>IF($A624="","",SUMIFS('Таблиця 1'!$K:$K,'Таблиця 1'!$B:$B,$A624,'Таблиця 1'!$I:$I,"Mirage",'Таблиця 1'!$J:$J,"AGM-88")+SUMIFS('Таблиця 1'!$K:$K,'Таблиця 1'!$B:$B,$A624,'Таблиця 1'!$I:$I,"F-16",'Таблиця 1'!$J:$J,"AGM-88")+SUMIFS('Таблиця 1'!$K:$K,'Таблиця 1'!$B:$B,$A624,'Таблиця 1'!$I:$I,"МіГ-29",'Таблиця 1'!$J:$J,"AGM-88")+SUMIFS('Таблиця 1'!$K:$K,'Таблиця 1'!$B:$B,$A624,'Таблиця 1'!$I:$I,"Су-25",'Таблиця 1'!$J:$J,"AGM-88")+SUMIFS('Таблиця 1'!$K:$K,'Таблиця 1'!$B:$B,$A624,'Таблиця 1'!$I:$I,"Су-27",'Таблиця 1'!$J:$J,"AGM-88"))</f>
        <v/>
      </c>
      <c r="I624">
        <f>IF($A624="","",SUMIFS('Таблиця 1'!$K:$K,'Таблиця 1'!$B:$B,$A624,'Таблиця 1'!$I:$I,"Mirage",'Таблиця 1'!$J:$J,"AASM-250")+SUMIFS('Таблиця 1'!$K:$K,'Таблиця 1'!$B:$B,$A624,'Таблиця 1'!$I:$I,"F-16",'Таблиця 1'!$J:$J,"AASM-250")+SUMIFS('Таблиця 1'!$K:$K,'Таблиця 1'!$B:$B,$A624,'Таблиця 1'!$I:$I,"МіГ-29",'Таблиця 1'!$J:$J,"AASM-250")+SUMIFS('Таблиця 1'!$K:$K,'Таблиця 1'!$B:$B,$A624,'Таблиця 1'!$I:$I,"Су-25",'Таблиця 1'!$J:$J,"AASM-250")+SUMIFS('Таблиця 1'!$K:$K,'Таблиця 1'!$B:$B,$A624,'Таблиця 1'!$I:$I,"Су-27",'Таблиця 1'!$J:$J,"AASM-250"))</f>
        <v/>
      </c>
      <c r="J624">
        <f>IF($A624="","",SUMIFS('Таблиця 1'!$K:$K,'Таблиця 1'!$B:$B,$A624,'Таблиця 1'!$I:$I,"Mirage",'Таблиця 1'!$J:$J,"GBU-39")+SUMIFS('Таблиця 1'!$K:$K,'Таблиця 1'!$B:$B,$A624,'Таблиця 1'!$I:$I,"F-16",'Таблиця 1'!$J:$J,"GBU-39")+SUMIFS('Таблиця 1'!$K:$K,'Таблиця 1'!$B:$B,$A624,'Таблиця 1'!$I:$I,"МіГ-29",'Таблиця 1'!$J:$J,"GBU-39")+SUMIFS('Таблиця 1'!$K:$K,'Таблиця 1'!$B:$B,$A624,'Таблиця 1'!$I:$I,"Су-25",'Таблиця 1'!$J:$J,"GBU-39")+SUMIFS('Таблиця 1'!$K:$K,'Таблиця 1'!$B:$B,$A624,'Таблиця 1'!$I:$I,"Су-27",'Таблиця 1'!$J:$J,"GBU-39"))</f>
        <v/>
      </c>
      <c r="K624">
        <f>IF($A624="","",SUMIFS('Таблиця 1'!$K:$K,'Таблиця 1'!$B:$B,$A624,'Таблиця 1'!$I:$I,"Mirage",'Таблиця 1'!$J:$J,"BLU-140")+SUMIFS('Таблиця 1'!$K:$K,'Таблиця 1'!$B:$B,$A624,'Таблиця 1'!$I:$I,"F-16",'Таблиця 1'!$J:$J,"BLU-140")+SUMIFS('Таблиця 1'!$K:$K,'Таблиця 1'!$B:$B,$A624,'Таблиця 1'!$I:$I,"МіГ-29",'Таблиця 1'!$J:$J,"BLU-140")+SUMIFS('Таблиця 1'!$K:$K,'Таблиця 1'!$B:$B,$A624,'Таблиця 1'!$I:$I,"Су-25",'Таблиця 1'!$J:$J,"BLU-140")+SUMIFS('Таблиця 1'!$K:$K,'Таблиця 1'!$B:$B,$A624,'Таблиця 1'!$I:$I,"Су-27",'Таблиця 1'!$J:$J,"BLU-140"))</f>
        <v/>
      </c>
      <c r="L624">
        <f>IF($A624="","",SUMIFS('Таблиця 1'!$K:$K,'Таблиця 1'!$B:$B,$A624,'Таблиця 1'!$I:$I,"Mirage",'Таблиця 1'!$J:$J,"GBU-65")+SUMIFS('Таблиця 1'!$K:$K,'Таблиця 1'!$B:$B,$A624,'Таблиця 1'!$I:$I,"F-16",'Таблиця 1'!$J:$J,"GBU-65")+SUMIFS('Таблиця 1'!$K:$K,'Таблиця 1'!$B:$B,$A624,'Таблиця 1'!$I:$I,"МіГ-29",'Таблиця 1'!$J:$J,"GBU-65")+SUMIFS('Таблиця 1'!$K:$K,'Таблиця 1'!$B:$B,$A624,'Таблиця 1'!$I:$I,"Су-25",'Таблиця 1'!$J:$J,"GBU-65")+SUMIFS('Таблиця 1'!$K:$K,'Таблиця 1'!$B:$B,$A624,'Таблиця 1'!$I:$I,"Су-27",'Таблиця 1'!$J:$J,"GBU-65"))</f>
        <v/>
      </c>
      <c r="M624">
        <f>IF($A624="","",SUMIFS('Таблиця 1'!$K:$K,'Таблиця 1'!$B:$B,$A624,'Таблиця 1'!$I:$I,"Mirage",'Таблиця 1'!$J:$J,"GBU-62")+SUMIFS('Таблиця 1'!$K:$K,'Таблиця 1'!$B:$B,$A624,'Таблиця 1'!$I:$I,"F-16",'Таблиця 1'!$J:$J,"GBU-62")+SUMIFS('Таблиця 1'!$K:$K,'Таблиця 1'!$B:$B,$A624,'Таблиця 1'!$I:$I,"МіГ-29",'Таблиця 1'!$J:$J,"GBU-62")+SUMIFS('Таблиця 1'!$K:$K,'Таблиця 1'!$B:$B,$A624,'Таблиця 1'!$I:$I,"Су-25",'Таблиця 1'!$J:$J,"GBU-62")+SUMIFS('Таблиця 1'!$K:$K,'Таблиця 1'!$B:$B,$A624,'Таблиця 1'!$I:$I,"Су-27",'Таблиця 1'!$J:$J,"GBU-62"))</f>
        <v/>
      </c>
      <c r="N624">
        <f>IF($A624="","",SUMIFS('Таблиця 1'!$K:$K,'Таблиця 1'!$B:$B,$A624,'Таблиця 1'!$I:$I,"Mirage",'Таблиця 1'!$J:$J,"GBU-64")+SUMIFS('Таблиця 1'!$K:$K,'Таблиця 1'!$B:$B,$A624,'Таблиця 1'!$I:$I,"F-16",'Таблиця 1'!$J:$J,"GBU-64")+SUMIFS('Таблиця 1'!$K:$K,'Таблиця 1'!$B:$B,$A624,'Таблиця 1'!$I:$I,"МіГ-29",'Таблиця 1'!$J:$J,"GBU-64")+SUMIFS('Таблиця 1'!$K:$K,'Таблиця 1'!$B:$B,$A624,'Таблиця 1'!$I:$I,"Су-25",'Таблиця 1'!$J:$J,"GBU-64")+SUMIFS('Таблиця 1'!$K:$K,'Таблиця 1'!$B:$B,$A624,'Таблиця 1'!$I:$I,"Су-27",'Таблиця 1'!$J:$J,"GBU-64"))</f>
        <v/>
      </c>
      <c r="O624">
        <f>IF($A624="","",SUMIFS('Таблиця 1'!$K:$K,'Таблиця 1'!$B:$B,$A624,'Таблиця 1'!$I:$I,"Mirage",'Таблиця 1'!$J:$J,"C-13")+SUMIFS('Таблиця 1'!$K:$K,'Таблиця 1'!$B:$B,$A624,'Таблиця 1'!$I:$I,"F-16",'Таблиця 1'!$J:$J,"C-13")+SUMIFS('Таблиця 1'!$K:$K,'Таблиця 1'!$B:$B,$A624,'Таблиця 1'!$I:$I,"МіГ-29",'Таблиця 1'!$J:$J,"C-13")+SUMIFS('Таблиця 1'!$K:$K,'Таблиця 1'!$B:$B,$A624,'Таблиця 1'!$I:$I,"Су-25",'Таблиця 1'!$J:$J,"C-13")+SUMIFS('Таблиця 1'!$K:$K,'Таблиця 1'!$B:$B,$A624,'Таблиця 1'!$I:$I,"Су-27",'Таблиця 1'!$J:$J,"C-13"))</f>
        <v/>
      </c>
      <c r="P624">
        <f>IF($A624="","",SUMIFS('Таблиця 1'!$K:$K,'Таблиця 1'!$B:$B,$A624,'Таблиця 1'!$I:$I,"Mirage",'Таблиця 1'!$J:$J,"MK-32")+SUMIFS('Таблиця 1'!$K:$K,'Таблиця 1'!$B:$B,$A624,'Таблиця 1'!$I:$I,"F-16",'Таблиця 1'!$J:$J,"MK-32")+SUMIFS('Таблиця 1'!$K:$K,'Таблиця 1'!$B:$B,$A624,'Таблиця 1'!$I:$I,"МіГ-29",'Таблиця 1'!$J:$J,"MK-32")+SUMIFS('Таблиця 1'!$K:$K,'Таблиця 1'!$B:$B,$A624,'Таблиця 1'!$I:$I,"Су-25",'Таблиця 1'!$J:$J,"MK-32")+SUMIFS('Таблиця 1'!$K:$K,'Таблиця 1'!$B:$B,$A624,'Таблиця 1'!$I:$I,"Су-27",'Таблиця 1'!$J:$J,"MK-32"))</f>
        <v/>
      </c>
      <c r="Q624">
        <f>IF($A624="","",SUMIFS('Таблиця 1'!$K:$K,'Таблиця 1'!$B:$B,$A624,'Таблиця 1'!$I:$I,"Mirage",'Таблиця 1'!$J:$J,"MK-24")+SUMIFS('Таблиця 1'!$K:$K,'Таблиця 1'!$B:$B,$A624,'Таблиця 1'!$I:$I,"F-16",'Таблиця 1'!$J:$J,"MK-24")+SUMIFS('Таблиця 1'!$K:$K,'Таблиця 1'!$B:$B,$A624,'Таблиця 1'!$I:$I,"МіГ-29",'Таблиця 1'!$J:$J,"MK-24")+SUMIFS('Таблиця 1'!$K:$K,'Таблиця 1'!$B:$B,$A624,'Таблиця 1'!$I:$I,"Су-25",'Таблиця 1'!$J:$J,"MK-24")+SUMIFS('Таблиця 1'!$K:$K,'Таблиця 1'!$B:$B,$A624,'Таблиця 1'!$I:$I,"Су-27",'Таблиця 1'!$J:$J,"MK-24"))</f>
        <v/>
      </c>
      <c r="R624">
        <f>IF($A624="","",COUNTIFS('Таблиця 1'!$B:$B,$A624,'Таблиця 1'!$I:$I,"Mirage",'Таблиця 1'!$L:$L,"Уражено")+COUNTIFS('Таблиця 1'!$B:$B,$A624,'Таблиця 1'!$I:$I,"F-16",'Таблиця 1'!$L:$L,"Уражено")+COUNTIFS('Таблиця 1'!$B:$B,$A624,'Таблиця 1'!$I:$I,"МіГ-29",'Таблиця 1'!$L:$L,"Уражено")+COUNTIFS('Таблиця 1'!$B:$B,$A624,'Таблиця 1'!$I:$I,"Су-25",'Таблиця 1'!$L:$L,"Уражено")+COUNTIFS('Таблиця 1'!$B:$B,$A624,'Таблиця 1'!$I:$I,"Су-27",'Таблиця 1'!$L:$L,"Уражено"))</f>
        <v/>
      </c>
      <c r="S624">
        <f>IF($A624="","",COUNTIFS('Таблиця 1'!$B:$B,$A624,'Таблиця 1'!$I:$I,"Mirage",'Таблиця 1'!$L:$L,"НЕ уражено")+COUNTIFS('Таблиця 1'!$B:$B,$A624,'Таблиця 1'!$I:$I,"F-16",'Таблиця 1'!$L:$L,"НЕ уражено")+COUNTIFS('Таблиця 1'!$B:$B,$A624,'Таблиця 1'!$I:$I,"МіГ-29",'Таблиця 1'!$L:$L,"НЕ уражено")+COUNTIFS('Таблиця 1'!$B:$B,$A624,'Таблиця 1'!$I:$I,"Су-25",'Таблиця 1'!$L:$L,"НЕ уражено")+COUNTIFS('Таблиця 1'!$B:$B,$A624,'Таблиця 1'!$I:$I,"Су-27",'Таблиця 1'!$L:$L,"НЕ уражено"))</f>
        <v/>
      </c>
      <c r="T624">
        <f>IF($A624="","",COUNTIFS('Таблиця 1'!$B:$B,$A624,'Таблиця 1'!$I:$I,"Mirage",'Таблиця 1'!$L:$L,"Дорозвідується")+COUNTIFS('Таблиця 1'!$B:$B,$A624,'Таблиця 1'!$I:$I,"F-16",'Таблиця 1'!$L:$L,"Дорозвідується")+COUNTIFS('Таблиця 1'!$B:$B,$A624,'Таблиця 1'!$I:$I,"МіГ-29",'Таблиця 1'!$L:$L,"Дорозвідується")+COUNTIFS('Таблиця 1'!$B:$B,$A624,'Таблиця 1'!$I:$I,"Су-25",'Таблиця 1'!$L:$L,"Дорозвідується")+COUNTIFS('Таблиця 1'!$B:$B,$A624,'Таблиця 1'!$I:$I,"Су-27",'Таблиця 1'!$L:$L,"Дорозвідується"))</f>
        <v/>
      </c>
    </row>
    <row r="625">
      <c r="A625" s="273">
        <f>IF(A624="","",IF(A624+1&gt;MAX('Таблиця 1'!$B:$B),"",A624+1))</f>
        <v/>
      </c>
      <c r="B625">
        <f>IF($A625="","",COUNTIFS('Таблиця 1'!$B:$B,$A625,'Таблиця 1'!$I:$I,"Mirage")+COUNTIFS('Таблиця 1'!$B:$B,$A625,'Таблиця 1'!$I:$I,"F-16")+COUNTIFS('Таблиця 1'!$B:$B,$A625,'Таблиця 1'!$I:$I,"МіГ-29")+COUNTIFS('Таблиця 1'!$B:$B,$A625,'Таблиця 1'!$I:$I,"Су-25")+COUNTIFS('Таблиця 1'!$B:$B,$A625,'Таблиця 1'!$I:$I,"Су-27"))</f>
        <v/>
      </c>
      <c r="C625">
        <f>IF($A625="","",COUNTIFS('Таблиця 1'!$B:$B,$A625,'Таблиця 1'!$I:$I,"Mirage"))</f>
        <v/>
      </c>
      <c r="D625">
        <f>IF($A625="","",COUNTIFS('Таблиця 1'!$B:$B,$A625,'Таблиця 1'!$I:$I,"F-16"))</f>
        <v/>
      </c>
      <c r="E625">
        <f>IF($A625="","",COUNTIFS('Таблиця 1'!$B:$B,$A625,'Таблиця 1'!$I:$I,"МіГ-29"))</f>
        <v/>
      </c>
      <c r="F625">
        <f>IF($A625="","",COUNTIFS('Таблиця 1'!$B:$B,$A625,'Таблиця 1'!$I:$I,"Су-25"))</f>
        <v/>
      </c>
      <c r="G625">
        <f>IF($A625="","",COUNTIFS('Таблиця 1'!$B:$B,$A625,'Таблиця 1'!$I:$I,"Су-27"))</f>
        <v/>
      </c>
      <c r="H625">
        <f>IF($A625="","",SUMIFS('Таблиця 1'!$K:$K,'Таблиця 1'!$B:$B,$A625,'Таблиця 1'!$I:$I,"Mirage",'Таблиця 1'!$J:$J,"AGM-88")+SUMIFS('Таблиця 1'!$K:$K,'Таблиця 1'!$B:$B,$A625,'Таблиця 1'!$I:$I,"F-16",'Таблиця 1'!$J:$J,"AGM-88")+SUMIFS('Таблиця 1'!$K:$K,'Таблиця 1'!$B:$B,$A625,'Таблиця 1'!$I:$I,"МіГ-29",'Таблиця 1'!$J:$J,"AGM-88")+SUMIFS('Таблиця 1'!$K:$K,'Таблиця 1'!$B:$B,$A625,'Таблиця 1'!$I:$I,"Су-25",'Таблиця 1'!$J:$J,"AGM-88")+SUMIFS('Таблиця 1'!$K:$K,'Таблиця 1'!$B:$B,$A625,'Таблиця 1'!$I:$I,"Су-27",'Таблиця 1'!$J:$J,"AGM-88"))</f>
        <v/>
      </c>
      <c r="I625">
        <f>IF($A625="","",SUMIFS('Таблиця 1'!$K:$K,'Таблиця 1'!$B:$B,$A625,'Таблиця 1'!$I:$I,"Mirage",'Таблиця 1'!$J:$J,"AASM-250")+SUMIFS('Таблиця 1'!$K:$K,'Таблиця 1'!$B:$B,$A625,'Таблиця 1'!$I:$I,"F-16",'Таблиця 1'!$J:$J,"AASM-250")+SUMIFS('Таблиця 1'!$K:$K,'Таблиця 1'!$B:$B,$A625,'Таблиця 1'!$I:$I,"МіГ-29",'Таблиця 1'!$J:$J,"AASM-250")+SUMIFS('Таблиця 1'!$K:$K,'Таблиця 1'!$B:$B,$A625,'Таблиця 1'!$I:$I,"Су-25",'Таблиця 1'!$J:$J,"AASM-250")+SUMIFS('Таблиця 1'!$K:$K,'Таблиця 1'!$B:$B,$A625,'Таблиця 1'!$I:$I,"Су-27",'Таблиця 1'!$J:$J,"AASM-250"))</f>
        <v/>
      </c>
      <c r="J625">
        <f>IF($A625="","",SUMIFS('Таблиця 1'!$K:$K,'Таблиця 1'!$B:$B,$A625,'Таблиця 1'!$I:$I,"Mirage",'Таблиця 1'!$J:$J,"GBU-39")+SUMIFS('Таблиця 1'!$K:$K,'Таблиця 1'!$B:$B,$A625,'Таблиця 1'!$I:$I,"F-16",'Таблиця 1'!$J:$J,"GBU-39")+SUMIFS('Таблиця 1'!$K:$K,'Таблиця 1'!$B:$B,$A625,'Таблиця 1'!$I:$I,"МіГ-29",'Таблиця 1'!$J:$J,"GBU-39")+SUMIFS('Таблиця 1'!$K:$K,'Таблиця 1'!$B:$B,$A625,'Таблиця 1'!$I:$I,"Су-25",'Таблиця 1'!$J:$J,"GBU-39")+SUMIFS('Таблиця 1'!$K:$K,'Таблиця 1'!$B:$B,$A625,'Таблиця 1'!$I:$I,"Су-27",'Таблиця 1'!$J:$J,"GBU-39"))</f>
        <v/>
      </c>
      <c r="K625">
        <f>IF($A625="","",SUMIFS('Таблиця 1'!$K:$K,'Таблиця 1'!$B:$B,$A625,'Таблиця 1'!$I:$I,"Mirage",'Таблиця 1'!$J:$J,"BLU-140")+SUMIFS('Таблиця 1'!$K:$K,'Таблиця 1'!$B:$B,$A625,'Таблиця 1'!$I:$I,"F-16",'Таблиця 1'!$J:$J,"BLU-140")+SUMIFS('Таблиця 1'!$K:$K,'Таблиця 1'!$B:$B,$A625,'Таблиця 1'!$I:$I,"МіГ-29",'Таблиця 1'!$J:$J,"BLU-140")+SUMIFS('Таблиця 1'!$K:$K,'Таблиця 1'!$B:$B,$A625,'Таблиця 1'!$I:$I,"Су-25",'Таблиця 1'!$J:$J,"BLU-140")+SUMIFS('Таблиця 1'!$K:$K,'Таблиця 1'!$B:$B,$A625,'Таблиця 1'!$I:$I,"Су-27",'Таблиця 1'!$J:$J,"BLU-140"))</f>
        <v/>
      </c>
      <c r="L625">
        <f>IF($A625="","",SUMIFS('Таблиця 1'!$K:$K,'Таблиця 1'!$B:$B,$A625,'Таблиця 1'!$I:$I,"Mirage",'Таблиця 1'!$J:$J,"GBU-65")+SUMIFS('Таблиця 1'!$K:$K,'Таблиця 1'!$B:$B,$A625,'Таблиця 1'!$I:$I,"F-16",'Таблиця 1'!$J:$J,"GBU-65")+SUMIFS('Таблиця 1'!$K:$K,'Таблиця 1'!$B:$B,$A625,'Таблиця 1'!$I:$I,"МіГ-29",'Таблиця 1'!$J:$J,"GBU-65")+SUMIFS('Таблиця 1'!$K:$K,'Таблиця 1'!$B:$B,$A625,'Таблиця 1'!$I:$I,"Су-25",'Таблиця 1'!$J:$J,"GBU-65")+SUMIFS('Таблиця 1'!$K:$K,'Таблиця 1'!$B:$B,$A625,'Таблиця 1'!$I:$I,"Су-27",'Таблиця 1'!$J:$J,"GBU-65"))</f>
        <v/>
      </c>
      <c r="M625">
        <f>IF($A625="","",SUMIFS('Таблиця 1'!$K:$K,'Таблиця 1'!$B:$B,$A625,'Таблиця 1'!$I:$I,"Mirage",'Таблиця 1'!$J:$J,"GBU-62")+SUMIFS('Таблиця 1'!$K:$K,'Таблиця 1'!$B:$B,$A625,'Таблиця 1'!$I:$I,"F-16",'Таблиця 1'!$J:$J,"GBU-62")+SUMIFS('Таблиця 1'!$K:$K,'Таблиця 1'!$B:$B,$A625,'Таблиця 1'!$I:$I,"МіГ-29",'Таблиця 1'!$J:$J,"GBU-62")+SUMIFS('Таблиця 1'!$K:$K,'Таблиця 1'!$B:$B,$A625,'Таблиця 1'!$I:$I,"Су-25",'Таблиця 1'!$J:$J,"GBU-62")+SUMIFS('Таблиця 1'!$K:$K,'Таблиця 1'!$B:$B,$A625,'Таблиця 1'!$I:$I,"Су-27",'Таблиця 1'!$J:$J,"GBU-62"))</f>
        <v/>
      </c>
      <c r="N625">
        <f>IF($A625="","",SUMIFS('Таблиця 1'!$K:$K,'Таблиця 1'!$B:$B,$A625,'Таблиця 1'!$I:$I,"Mirage",'Таблиця 1'!$J:$J,"GBU-64")+SUMIFS('Таблиця 1'!$K:$K,'Таблиця 1'!$B:$B,$A625,'Таблиця 1'!$I:$I,"F-16",'Таблиця 1'!$J:$J,"GBU-64")+SUMIFS('Таблиця 1'!$K:$K,'Таблиця 1'!$B:$B,$A625,'Таблиця 1'!$I:$I,"МіГ-29",'Таблиця 1'!$J:$J,"GBU-64")+SUMIFS('Таблиця 1'!$K:$K,'Таблиця 1'!$B:$B,$A625,'Таблиця 1'!$I:$I,"Су-25",'Таблиця 1'!$J:$J,"GBU-64")+SUMIFS('Таблиця 1'!$K:$K,'Таблиця 1'!$B:$B,$A625,'Таблиця 1'!$I:$I,"Су-27",'Таблиця 1'!$J:$J,"GBU-64"))</f>
        <v/>
      </c>
      <c r="O625">
        <f>IF($A625="","",SUMIFS('Таблиця 1'!$K:$K,'Таблиця 1'!$B:$B,$A625,'Таблиця 1'!$I:$I,"Mirage",'Таблиця 1'!$J:$J,"C-13")+SUMIFS('Таблиця 1'!$K:$K,'Таблиця 1'!$B:$B,$A625,'Таблиця 1'!$I:$I,"F-16",'Таблиця 1'!$J:$J,"C-13")+SUMIFS('Таблиця 1'!$K:$K,'Таблиця 1'!$B:$B,$A625,'Таблиця 1'!$I:$I,"МіГ-29",'Таблиця 1'!$J:$J,"C-13")+SUMIFS('Таблиця 1'!$K:$K,'Таблиця 1'!$B:$B,$A625,'Таблиця 1'!$I:$I,"Су-25",'Таблиця 1'!$J:$J,"C-13")+SUMIFS('Таблиця 1'!$K:$K,'Таблиця 1'!$B:$B,$A625,'Таблиця 1'!$I:$I,"Су-27",'Таблиця 1'!$J:$J,"C-13"))</f>
        <v/>
      </c>
      <c r="P625">
        <f>IF($A625="","",SUMIFS('Таблиця 1'!$K:$K,'Таблиця 1'!$B:$B,$A625,'Таблиця 1'!$I:$I,"Mirage",'Таблиця 1'!$J:$J,"MK-32")+SUMIFS('Таблиця 1'!$K:$K,'Таблиця 1'!$B:$B,$A625,'Таблиця 1'!$I:$I,"F-16",'Таблиця 1'!$J:$J,"MK-32")+SUMIFS('Таблиця 1'!$K:$K,'Таблиця 1'!$B:$B,$A625,'Таблиця 1'!$I:$I,"МіГ-29",'Таблиця 1'!$J:$J,"MK-32")+SUMIFS('Таблиця 1'!$K:$K,'Таблиця 1'!$B:$B,$A625,'Таблиця 1'!$I:$I,"Су-25",'Таблиця 1'!$J:$J,"MK-32")+SUMIFS('Таблиця 1'!$K:$K,'Таблиця 1'!$B:$B,$A625,'Таблиця 1'!$I:$I,"Су-27",'Таблиця 1'!$J:$J,"MK-32"))</f>
        <v/>
      </c>
      <c r="Q625">
        <f>IF($A625="","",SUMIFS('Таблиця 1'!$K:$K,'Таблиця 1'!$B:$B,$A625,'Таблиця 1'!$I:$I,"Mirage",'Таблиця 1'!$J:$J,"MK-24")+SUMIFS('Таблиця 1'!$K:$K,'Таблиця 1'!$B:$B,$A625,'Таблиця 1'!$I:$I,"F-16",'Таблиця 1'!$J:$J,"MK-24")+SUMIFS('Таблиця 1'!$K:$K,'Таблиця 1'!$B:$B,$A625,'Таблиця 1'!$I:$I,"МіГ-29",'Таблиця 1'!$J:$J,"MK-24")+SUMIFS('Таблиця 1'!$K:$K,'Таблиця 1'!$B:$B,$A625,'Таблиця 1'!$I:$I,"Су-25",'Таблиця 1'!$J:$J,"MK-24")+SUMIFS('Таблиця 1'!$K:$K,'Таблиця 1'!$B:$B,$A625,'Таблиця 1'!$I:$I,"Су-27",'Таблиця 1'!$J:$J,"MK-24"))</f>
        <v/>
      </c>
      <c r="R625">
        <f>IF($A625="","",COUNTIFS('Таблиця 1'!$B:$B,$A625,'Таблиця 1'!$I:$I,"Mirage",'Таблиця 1'!$L:$L,"Уражено")+COUNTIFS('Таблиця 1'!$B:$B,$A625,'Таблиця 1'!$I:$I,"F-16",'Таблиця 1'!$L:$L,"Уражено")+COUNTIFS('Таблиця 1'!$B:$B,$A625,'Таблиця 1'!$I:$I,"МіГ-29",'Таблиця 1'!$L:$L,"Уражено")+COUNTIFS('Таблиця 1'!$B:$B,$A625,'Таблиця 1'!$I:$I,"Су-25",'Таблиця 1'!$L:$L,"Уражено")+COUNTIFS('Таблиця 1'!$B:$B,$A625,'Таблиця 1'!$I:$I,"Су-27",'Таблиця 1'!$L:$L,"Уражено"))</f>
        <v/>
      </c>
      <c r="S625">
        <f>IF($A625="","",COUNTIFS('Таблиця 1'!$B:$B,$A625,'Таблиця 1'!$I:$I,"Mirage",'Таблиця 1'!$L:$L,"НЕ уражено")+COUNTIFS('Таблиця 1'!$B:$B,$A625,'Таблиця 1'!$I:$I,"F-16",'Таблиця 1'!$L:$L,"НЕ уражено")+COUNTIFS('Таблиця 1'!$B:$B,$A625,'Таблиця 1'!$I:$I,"МіГ-29",'Таблиця 1'!$L:$L,"НЕ уражено")+COUNTIFS('Таблиця 1'!$B:$B,$A625,'Таблиця 1'!$I:$I,"Су-25",'Таблиця 1'!$L:$L,"НЕ уражено")+COUNTIFS('Таблиця 1'!$B:$B,$A625,'Таблиця 1'!$I:$I,"Су-27",'Таблиця 1'!$L:$L,"НЕ уражено"))</f>
        <v/>
      </c>
      <c r="T625">
        <f>IF($A625="","",COUNTIFS('Таблиця 1'!$B:$B,$A625,'Таблиця 1'!$I:$I,"Mirage",'Таблиця 1'!$L:$L,"Дорозвідується")+COUNTIFS('Таблиця 1'!$B:$B,$A625,'Таблиця 1'!$I:$I,"F-16",'Таблиця 1'!$L:$L,"Дорозвідується")+COUNTIFS('Таблиця 1'!$B:$B,$A625,'Таблиця 1'!$I:$I,"МіГ-29",'Таблиця 1'!$L:$L,"Дорозвідується")+COUNTIFS('Таблиця 1'!$B:$B,$A625,'Таблиця 1'!$I:$I,"Су-25",'Таблиця 1'!$L:$L,"Дорозвідується")+COUNTIFS('Таблиця 1'!$B:$B,$A625,'Таблиця 1'!$I:$I,"Су-27",'Таблиця 1'!$L:$L,"Дорозвідується"))</f>
        <v/>
      </c>
    </row>
    <row r="626">
      <c r="A626" s="273">
        <f>IF(A625="","",IF(A625+1&gt;MAX('Таблиця 1'!$B:$B),"",A625+1))</f>
        <v/>
      </c>
      <c r="B626">
        <f>IF($A626="","",COUNTIFS('Таблиця 1'!$B:$B,$A626,'Таблиця 1'!$I:$I,"Mirage")+COUNTIFS('Таблиця 1'!$B:$B,$A626,'Таблиця 1'!$I:$I,"F-16")+COUNTIFS('Таблиця 1'!$B:$B,$A626,'Таблиця 1'!$I:$I,"МіГ-29")+COUNTIFS('Таблиця 1'!$B:$B,$A626,'Таблиця 1'!$I:$I,"Су-25")+COUNTIFS('Таблиця 1'!$B:$B,$A626,'Таблиця 1'!$I:$I,"Су-27"))</f>
        <v/>
      </c>
      <c r="C626">
        <f>IF($A626="","",COUNTIFS('Таблиця 1'!$B:$B,$A626,'Таблиця 1'!$I:$I,"Mirage"))</f>
        <v/>
      </c>
      <c r="D626">
        <f>IF($A626="","",COUNTIFS('Таблиця 1'!$B:$B,$A626,'Таблиця 1'!$I:$I,"F-16"))</f>
        <v/>
      </c>
      <c r="E626">
        <f>IF($A626="","",COUNTIFS('Таблиця 1'!$B:$B,$A626,'Таблиця 1'!$I:$I,"МіГ-29"))</f>
        <v/>
      </c>
      <c r="F626">
        <f>IF($A626="","",COUNTIFS('Таблиця 1'!$B:$B,$A626,'Таблиця 1'!$I:$I,"Су-25"))</f>
        <v/>
      </c>
      <c r="G626">
        <f>IF($A626="","",COUNTIFS('Таблиця 1'!$B:$B,$A626,'Таблиця 1'!$I:$I,"Су-27"))</f>
        <v/>
      </c>
      <c r="H626">
        <f>IF($A626="","",SUMIFS('Таблиця 1'!$K:$K,'Таблиця 1'!$B:$B,$A626,'Таблиця 1'!$I:$I,"Mirage",'Таблиця 1'!$J:$J,"AGM-88")+SUMIFS('Таблиця 1'!$K:$K,'Таблиця 1'!$B:$B,$A626,'Таблиця 1'!$I:$I,"F-16",'Таблиця 1'!$J:$J,"AGM-88")+SUMIFS('Таблиця 1'!$K:$K,'Таблиця 1'!$B:$B,$A626,'Таблиця 1'!$I:$I,"МіГ-29",'Таблиця 1'!$J:$J,"AGM-88")+SUMIFS('Таблиця 1'!$K:$K,'Таблиця 1'!$B:$B,$A626,'Таблиця 1'!$I:$I,"Су-25",'Таблиця 1'!$J:$J,"AGM-88")+SUMIFS('Таблиця 1'!$K:$K,'Таблиця 1'!$B:$B,$A626,'Таблиця 1'!$I:$I,"Су-27",'Таблиця 1'!$J:$J,"AGM-88"))</f>
        <v/>
      </c>
      <c r="I626">
        <f>IF($A626="","",SUMIFS('Таблиця 1'!$K:$K,'Таблиця 1'!$B:$B,$A626,'Таблиця 1'!$I:$I,"Mirage",'Таблиця 1'!$J:$J,"AASM-250")+SUMIFS('Таблиця 1'!$K:$K,'Таблиця 1'!$B:$B,$A626,'Таблиця 1'!$I:$I,"F-16",'Таблиця 1'!$J:$J,"AASM-250")+SUMIFS('Таблиця 1'!$K:$K,'Таблиця 1'!$B:$B,$A626,'Таблиця 1'!$I:$I,"МіГ-29",'Таблиця 1'!$J:$J,"AASM-250")+SUMIFS('Таблиця 1'!$K:$K,'Таблиця 1'!$B:$B,$A626,'Таблиця 1'!$I:$I,"Су-25",'Таблиця 1'!$J:$J,"AASM-250")+SUMIFS('Таблиця 1'!$K:$K,'Таблиця 1'!$B:$B,$A626,'Таблиця 1'!$I:$I,"Су-27",'Таблиця 1'!$J:$J,"AASM-250"))</f>
        <v/>
      </c>
      <c r="J626">
        <f>IF($A626="","",SUMIFS('Таблиця 1'!$K:$K,'Таблиця 1'!$B:$B,$A626,'Таблиця 1'!$I:$I,"Mirage",'Таблиця 1'!$J:$J,"GBU-39")+SUMIFS('Таблиця 1'!$K:$K,'Таблиця 1'!$B:$B,$A626,'Таблиця 1'!$I:$I,"F-16",'Таблиця 1'!$J:$J,"GBU-39")+SUMIFS('Таблиця 1'!$K:$K,'Таблиця 1'!$B:$B,$A626,'Таблиця 1'!$I:$I,"МіГ-29",'Таблиця 1'!$J:$J,"GBU-39")+SUMIFS('Таблиця 1'!$K:$K,'Таблиця 1'!$B:$B,$A626,'Таблиця 1'!$I:$I,"Су-25",'Таблиця 1'!$J:$J,"GBU-39")+SUMIFS('Таблиця 1'!$K:$K,'Таблиця 1'!$B:$B,$A626,'Таблиця 1'!$I:$I,"Су-27",'Таблиця 1'!$J:$J,"GBU-39"))</f>
        <v/>
      </c>
      <c r="K626">
        <f>IF($A626="","",SUMIFS('Таблиця 1'!$K:$K,'Таблиця 1'!$B:$B,$A626,'Таблиця 1'!$I:$I,"Mirage",'Таблиця 1'!$J:$J,"BLU-140")+SUMIFS('Таблиця 1'!$K:$K,'Таблиця 1'!$B:$B,$A626,'Таблиця 1'!$I:$I,"F-16",'Таблиця 1'!$J:$J,"BLU-140")+SUMIFS('Таблиця 1'!$K:$K,'Таблиця 1'!$B:$B,$A626,'Таблиця 1'!$I:$I,"МіГ-29",'Таблиця 1'!$J:$J,"BLU-140")+SUMIFS('Таблиця 1'!$K:$K,'Таблиця 1'!$B:$B,$A626,'Таблиця 1'!$I:$I,"Су-25",'Таблиця 1'!$J:$J,"BLU-140")+SUMIFS('Таблиця 1'!$K:$K,'Таблиця 1'!$B:$B,$A626,'Таблиця 1'!$I:$I,"Су-27",'Таблиця 1'!$J:$J,"BLU-140"))</f>
        <v/>
      </c>
      <c r="L626">
        <f>IF($A626="","",SUMIFS('Таблиця 1'!$K:$K,'Таблиця 1'!$B:$B,$A626,'Таблиця 1'!$I:$I,"Mirage",'Таблиця 1'!$J:$J,"GBU-65")+SUMIFS('Таблиця 1'!$K:$K,'Таблиця 1'!$B:$B,$A626,'Таблиця 1'!$I:$I,"F-16",'Таблиця 1'!$J:$J,"GBU-65")+SUMIFS('Таблиця 1'!$K:$K,'Таблиця 1'!$B:$B,$A626,'Таблиця 1'!$I:$I,"МіГ-29",'Таблиця 1'!$J:$J,"GBU-65")+SUMIFS('Таблиця 1'!$K:$K,'Таблиця 1'!$B:$B,$A626,'Таблиця 1'!$I:$I,"Су-25",'Таблиця 1'!$J:$J,"GBU-65")+SUMIFS('Таблиця 1'!$K:$K,'Таблиця 1'!$B:$B,$A626,'Таблиця 1'!$I:$I,"Су-27",'Таблиця 1'!$J:$J,"GBU-65"))</f>
        <v/>
      </c>
      <c r="M626">
        <f>IF($A626="","",SUMIFS('Таблиця 1'!$K:$K,'Таблиця 1'!$B:$B,$A626,'Таблиця 1'!$I:$I,"Mirage",'Таблиця 1'!$J:$J,"GBU-62")+SUMIFS('Таблиця 1'!$K:$K,'Таблиця 1'!$B:$B,$A626,'Таблиця 1'!$I:$I,"F-16",'Таблиця 1'!$J:$J,"GBU-62")+SUMIFS('Таблиця 1'!$K:$K,'Таблиця 1'!$B:$B,$A626,'Таблиця 1'!$I:$I,"МіГ-29",'Таблиця 1'!$J:$J,"GBU-62")+SUMIFS('Таблиця 1'!$K:$K,'Таблиця 1'!$B:$B,$A626,'Таблиця 1'!$I:$I,"Су-25",'Таблиця 1'!$J:$J,"GBU-62")+SUMIFS('Таблиця 1'!$K:$K,'Таблиця 1'!$B:$B,$A626,'Таблиця 1'!$I:$I,"Су-27",'Таблиця 1'!$J:$J,"GBU-62"))</f>
        <v/>
      </c>
      <c r="N626">
        <f>IF($A626="","",SUMIFS('Таблиця 1'!$K:$K,'Таблиця 1'!$B:$B,$A626,'Таблиця 1'!$I:$I,"Mirage",'Таблиця 1'!$J:$J,"GBU-64")+SUMIFS('Таблиця 1'!$K:$K,'Таблиця 1'!$B:$B,$A626,'Таблиця 1'!$I:$I,"F-16",'Таблиця 1'!$J:$J,"GBU-64")+SUMIFS('Таблиця 1'!$K:$K,'Таблиця 1'!$B:$B,$A626,'Таблиця 1'!$I:$I,"МіГ-29",'Таблиця 1'!$J:$J,"GBU-64")+SUMIFS('Таблиця 1'!$K:$K,'Таблиця 1'!$B:$B,$A626,'Таблиця 1'!$I:$I,"Су-25",'Таблиця 1'!$J:$J,"GBU-64")+SUMIFS('Таблиця 1'!$K:$K,'Таблиця 1'!$B:$B,$A626,'Таблиця 1'!$I:$I,"Су-27",'Таблиця 1'!$J:$J,"GBU-64"))</f>
        <v/>
      </c>
      <c r="O626">
        <f>IF($A626="","",SUMIFS('Таблиця 1'!$K:$K,'Таблиця 1'!$B:$B,$A626,'Таблиця 1'!$I:$I,"Mirage",'Таблиця 1'!$J:$J,"C-13")+SUMIFS('Таблиця 1'!$K:$K,'Таблиця 1'!$B:$B,$A626,'Таблиця 1'!$I:$I,"F-16",'Таблиця 1'!$J:$J,"C-13")+SUMIFS('Таблиця 1'!$K:$K,'Таблиця 1'!$B:$B,$A626,'Таблиця 1'!$I:$I,"МіГ-29",'Таблиця 1'!$J:$J,"C-13")+SUMIFS('Таблиця 1'!$K:$K,'Таблиця 1'!$B:$B,$A626,'Таблиця 1'!$I:$I,"Су-25",'Таблиця 1'!$J:$J,"C-13")+SUMIFS('Таблиця 1'!$K:$K,'Таблиця 1'!$B:$B,$A626,'Таблиця 1'!$I:$I,"Су-27",'Таблиця 1'!$J:$J,"C-13"))</f>
        <v/>
      </c>
      <c r="P626">
        <f>IF($A626="","",SUMIFS('Таблиця 1'!$K:$K,'Таблиця 1'!$B:$B,$A626,'Таблиця 1'!$I:$I,"Mirage",'Таблиця 1'!$J:$J,"MK-32")+SUMIFS('Таблиця 1'!$K:$K,'Таблиця 1'!$B:$B,$A626,'Таблиця 1'!$I:$I,"F-16",'Таблиця 1'!$J:$J,"MK-32")+SUMIFS('Таблиця 1'!$K:$K,'Таблиця 1'!$B:$B,$A626,'Таблиця 1'!$I:$I,"МіГ-29",'Таблиця 1'!$J:$J,"MK-32")+SUMIFS('Таблиця 1'!$K:$K,'Таблиця 1'!$B:$B,$A626,'Таблиця 1'!$I:$I,"Су-25",'Таблиця 1'!$J:$J,"MK-32")+SUMIFS('Таблиця 1'!$K:$K,'Таблиця 1'!$B:$B,$A626,'Таблиця 1'!$I:$I,"Су-27",'Таблиця 1'!$J:$J,"MK-32"))</f>
        <v/>
      </c>
      <c r="Q626">
        <f>IF($A626="","",SUMIFS('Таблиця 1'!$K:$K,'Таблиця 1'!$B:$B,$A626,'Таблиця 1'!$I:$I,"Mirage",'Таблиця 1'!$J:$J,"MK-24")+SUMIFS('Таблиця 1'!$K:$K,'Таблиця 1'!$B:$B,$A626,'Таблиця 1'!$I:$I,"F-16",'Таблиця 1'!$J:$J,"MK-24")+SUMIFS('Таблиця 1'!$K:$K,'Таблиця 1'!$B:$B,$A626,'Таблиця 1'!$I:$I,"МіГ-29",'Таблиця 1'!$J:$J,"MK-24")+SUMIFS('Таблиця 1'!$K:$K,'Таблиця 1'!$B:$B,$A626,'Таблиця 1'!$I:$I,"Су-25",'Таблиця 1'!$J:$J,"MK-24")+SUMIFS('Таблиця 1'!$K:$K,'Таблиця 1'!$B:$B,$A626,'Таблиця 1'!$I:$I,"Су-27",'Таблиця 1'!$J:$J,"MK-24"))</f>
        <v/>
      </c>
      <c r="R626">
        <f>IF($A626="","",COUNTIFS('Таблиця 1'!$B:$B,$A626,'Таблиця 1'!$I:$I,"Mirage",'Таблиця 1'!$L:$L,"Уражено")+COUNTIFS('Таблиця 1'!$B:$B,$A626,'Таблиця 1'!$I:$I,"F-16",'Таблиця 1'!$L:$L,"Уражено")+COUNTIFS('Таблиця 1'!$B:$B,$A626,'Таблиця 1'!$I:$I,"МіГ-29",'Таблиця 1'!$L:$L,"Уражено")+COUNTIFS('Таблиця 1'!$B:$B,$A626,'Таблиця 1'!$I:$I,"Су-25",'Таблиця 1'!$L:$L,"Уражено")+COUNTIFS('Таблиця 1'!$B:$B,$A626,'Таблиця 1'!$I:$I,"Су-27",'Таблиця 1'!$L:$L,"Уражено"))</f>
        <v/>
      </c>
      <c r="S626">
        <f>IF($A626="","",COUNTIFS('Таблиця 1'!$B:$B,$A626,'Таблиця 1'!$I:$I,"Mirage",'Таблиця 1'!$L:$L,"НЕ уражено")+COUNTIFS('Таблиця 1'!$B:$B,$A626,'Таблиця 1'!$I:$I,"F-16",'Таблиця 1'!$L:$L,"НЕ уражено")+COUNTIFS('Таблиця 1'!$B:$B,$A626,'Таблиця 1'!$I:$I,"МіГ-29",'Таблиця 1'!$L:$L,"НЕ уражено")+COUNTIFS('Таблиця 1'!$B:$B,$A626,'Таблиця 1'!$I:$I,"Су-25",'Таблиця 1'!$L:$L,"НЕ уражено")+COUNTIFS('Таблиця 1'!$B:$B,$A626,'Таблиця 1'!$I:$I,"Су-27",'Таблиця 1'!$L:$L,"НЕ уражено"))</f>
        <v/>
      </c>
      <c r="T626">
        <f>IF($A626="","",COUNTIFS('Таблиця 1'!$B:$B,$A626,'Таблиця 1'!$I:$I,"Mirage",'Таблиця 1'!$L:$L,"Дорозвідується")+COUNTIFS('Таблиця 1'!$B:$B,$A626,'Таблиця 1'!$I:$I,"F-16",'Таблиця 1'!$L:$L,"Дорозвідується")+COUNTIFS('Таблиця 1'!$B:$B,$A626,'Таблиця 1'!$I:$I,"МіГ-29",'Таблиця 1'!$L:$L,"Дорозвідується")+COUNTIFS('Таблиця 1'!$B:$B,$A626,'Таблиця 1'!$I:$I,"Су-25",'Таблиця 1'!$L:$L,"Дорозвідується")+COUNTIFS('Таблиця 1'!$B:$B,$A626,'Таблиця 1'!$I:$I,"Су-27",'Таблиця 1'!$L:$L,"Дорозвідується"))</f>
        <v/>
      </c>
    </row>
    <row r="627">
      <c r="A627" s="273">
        <f>IF(A626="","",IF(A626+1&gt;MAX('Таблиця 1'!$B:$B),"",A626+1))</f>
        <v/>
      </c>
      <c r="B627">
        <f>IF($A627="","",COUNTIFS('Таблиця 1'!$B:$B,$A627,'Таблиця 1'!$I:$I,"Mirage")+COUNTIFS('Таблиця 1'!$B:$B,$A627,'Таблиця 1'!$I:$I,"F-16")+COUNTIFS('Таблиця 1'!$B:$B,$A627,'Таблиця 1'!$I:$I,"МіГ-29")+COUNTIFS('Таблиця 1'!$B:$B,$A627,'Таблиця 1'!$I:$I,"Су-25")+COUNTIFS('Таблиця 1'!$B:$B,$A627,'Таблиця 1'!$I:$I,"Су-27"))</f>
        <v/>
      </c>
      <c r="C627">
        <f>IF($A627="","",COUNTIFS('Таблиця 1'!$B:$B,$A627,'Таблиця 1'!$I:$I,"Mirage"))</f>
        <v/>
      </c>
      <c r="D627">
        <f>IF($A627="","",COUNTIFS('Таблиця 1'!$B:$B,$A627,'Таблиця 1'!$I:$I,"F-16"))</f>
        <v/>
      </c>
      <c r="E627">
        <f>IF($A627="","",COUNTIFS('Таблиця 1'!$B:$B,$A627,'Таблиця 1'!$I:$I,"МіГ-29"))</f>
        <v/>
      </c>
      <c r="F627">
        <f>IF($A627="","",COUNTIFS('Таблиця 1'!$B:$B,$A627,'Таблиця 1'!$I:$I,"Су-25"))</f>
        <v/>
      </c>
      <c r="G627">
        <f>IF($A627="","",COUNTIFS('Таблиця 1'!$B:$B,$A627,'Таблиця 1'!$I:$I,"Су-27"))</f>
        <v/>
      </c>
      <c r="H627">
        <f>IF($A627="","",SUMIFS('Таблиця 1'!$K:$K,'Таблиця 1'!$B:$B,$A627,'Таблиця 1'!$I:$I,"Mirage",'Таблиця 1'!$J:$J,"AGM-88")+SUMIFS('Таблиця 1'!$K:$K,'Таблиця 1'!$B:$B,$A627,'Таблиця 1'!$I:$I,"F-16",'Таблиця 1'!$J:$J,"AGM-88")+SUMIFS('Таблиця 1'!$K:$K,'Таблиця 1'!$B:$B,$A627,'Таблиця 1'!$I:$I,"МіГ-29",'Таблиця 1'!$J:$J,"AGM-88")+SUMIFS('Таблиця 1'!$K:$K,'Таблиця 1'!$B:$B,$A627,'Таблиця 1'!$I:$I,"Су-25",'Таблиця 1'!$J:$J,"AGM-88")+SUMIFS('Таблиця 1'!$K:$K,'Таблиця 1'!$B:$B,$A627,'Таблиця 1'!$I:$I,"Су-27",'Таблиця 1'!$J:$J,"AGM-88"))</f>
        <v/>
      </c>
      <c r="I627">
        <f>IF($A627="","",SUMIFS('Таблиця 1'!$K:$K,'Таблиця 1'!$B:$B,$A627,'Таблиця 1'!$I:$I,"Mirage",'Таблиця 1'!$J:$J,"AASM-250")+SUMIFS('Таблиця 1'!$K:$K,'Таблиця 1'!$B:$B,$A627,'Таблиця 1'!$I:$I,"F-16",'Таблиця 1'!$J:$J,"AASM-250")+SUMIFS('Таблиця 1'!$K:$K,'Таблиця 1'!$B:$B,$A627,'Таблиця 1'!$I:$I,"МіГ-29",'Таблиця 1'!$J:$J,"AASM-250")+SUMIFS('Таблиця 1'!$K:$K,'Таблиця 1'!$B:$B,$A627,'Таблиця 1'!$I:$I,"Су-25",'Таблиця 1'!$J:$J,"AASM-250")+SUMIFS('Таблиця 1'!$K:$K,'Таблиця 1'!$B:$B,$A627,'Таблиця 1'!$I:$I,"Су-27",'Таблиця 1'!$J:$J,"AASM-250"))</f>
        <v/>
      </c>
      <c r="J627">
        <f>IF($A627="","",SUMIFS('Таблиця 1'!$K:$K,'Таблиця 1'!$B:$B,$A627,'Таблиця 1'!$I:$I,"Mirage",'Таблиця 1'!$J:$J,"GBU-39")+SUMIFS('Таблиця 1'!$K:$K,'Таблиця 1'!$B:$B,$A627,'Таблиця 1'!$I:$I,"F-16",'Таблиця 1'!$J:$J,"GBU-39")+SUMIFS('Таблиця 1'!$K:$K,'Таблиця 1'!$B:$B,$A627,'Таблиця 1'!$I:$I,"МіГ-29",'Таблиця 1'!$J:$J,"GBU-39")+SUMIFS('Таблиця 1'!$K:$K,'Таблиця 1'!$B:$B,$A627,'Таблиця 1'!$I:$I,"Су-25",'Таблиця 1'!$J:$J,"GBU-39")+SUMIFS('Таблиця 1'!$K:$K,'Таблиця 1'!$B:$B,$A627,'Таблиця 1'!$I:$I,"Су-27",'Таблиця 1'!$J:$J,"GBU-39"))</f>
        <v/>
      </c>
      <c r="K627">
        <f>IF($A627="","",SUMIFS('Таблиця 1'!$K:$K,'Таблиця 1'!$B:$B,$A627,'Таблиця 1'!$I:$I,"Mirage",'Таблиця 1'!$J:$J,"BLU-140")+SUMIFS('Таблиця 1'!$K:$K,'Таблиця 1'!$B:$B,$A627,'Таблиця 1'!$I:$I,"F-16",'Таблиця 1'!$J:$J,"BLU-140")+SUMIFS('Таблиця 1'!$K:$K,'Таблиця 1'!$B:$B,$A627,'Таблиця 1'!$I:$I,"МіГ-29",'Таблиця 1'!$J:$J,"BLU-140")+SUMIFS('Таблиця 1'!$K:$K,'Таблиця 1'!$B:$B,$A627,'Таблиця 1'!$I:$I,"Су-25",'Таблиця 1'!$J:$J,"BLU-140")+SUMIFS('Таблиця 1'!$K:$K,'Таблиця 1'!$B:$B,$A627,'Таблиця 1'!$I:$I,"Су-27",'Таблиця 1'!$J:$J,"BLU-140"))</f>
        <v/>
      </c>
      <c r="L627">
        <f>IF($A627="","",SUMIFS('Таблиця 1'!$K:$K,'Таблиця 1'!$B:$B,$A627,'Таблиця 1'!$I:$I,"Mirage",'Таблиця 1'!$J:$J,"GBU-65")+SUMIFS('Таблиця 1'!$K:$K,'Таблиця 1'!$B:$B,$A627,'Таблиця 1'!$I:$I,"F-16",'Таблиця 1'!$J:$J,"GBU-65")+SUMIFS('Таблиця 1'!$K:$K,'Таблиця 1'!$B:$B,$A627,'Таблиця 1'!$I:$I,"МіГ-29",'Таблиця 1'!$J:$J,"GBU-65")+SUMIFS('Таблиця 1'!$K:$K,'Таблиця 1'!$B:$B,$A627,'Таблиця 1'!$I:$I,"Су-25",'Таблиця 1'!$J:$J,"GBU-65")+SUMIFS('Таблиця 1'!$K:$K,'Таблиця 1'!$B:$B,$A627,'Таблиця 1'!$I:$I,"Су-27",'Таблиця 1'!$J:$J,"GBU-65"))</f>
        <v/>
      </c>
      <c r="M627">
        <f>IF($A627="","",SUMIFS('Таблиця 1'!$K:$K,'Таблиця 1'!$B:$B,$A627,'Таблиця 1'!$I:$I,"Mirage",'Таблиця 1'!$J:$J,"GBU-62")+SUMIFS('Таблиця 1'!$K:$K,'Таблиця 1'!$B:$B,$A627,'Таблиця 1'!$I:$I,"F-16",'Таблиця 1'!$J:$J,"GBU-62")+SUMIFS('Таблиця 1'!$K:$K,'Таблиця 1'!$B:$B,$A627,'Таблиця 1'!$I:$I,"МіГ-29",'Таблиця 1'!$J:$J,"GBU-62")+SUMIFS('Таблиця 1'!$K:$K,'Таблиця 1'!$B:$B,$A627,'Таблиця 1'!$I:$I,"Су-25",'Таблиця 1'!$J:$J,"GBU-62")+SUMIFS('Таблиця 1'!$K:$K,'Таблиця 1'!$B:$B,$A627,'Таблиця 1'!$I:$I,"Су-27",'Таблиця 1'!$J:$J,"GBU-62"))</f>
        <v/>
      </c>
      <c r="N627">
        <f>IF($A627="","",SUMIFS('Таблиця 1'!$K:$K,'Таблиця 1'!$B:$B,$A627,'Таблиця 1'!$I:$I,"Mirage",'Таблиця 1'!$J:$J,"GBU-64")+SUMIFS('Таблиця 1'!$K:$K,'Таблиця 1'!$B:$B,$A627,'Таблиця 1'!$I:$I,"F-16",'Таблиця 1'!$J:$J,"GBU-64")+SUMIFS('Таблиця 1'!$K:$K,'Таблиця 1'!$B:$B,$A627,'Таблиця 1'!$I:$I,"МіГ-29",'Таблиця 1'!$J:$J,"GBU-64")+SUMIFS('Таблиця 1'!$K:$K,'Таблиця 1'!$B:$B,$A627,'Таблиця 1'!$I:$I,"Су-25",'Таблиця 1'!$J:$J,"GBU-64")+SUMIFS('Таблиця 1'!$K:$K,'Таблиця 1'!$B:$B,$A627,'Таблиця 1'!$I:$I,"Су-27",'Таблиця 1'!$J:$J,"GBU-64"))</f>
        <v/>
      </c>
      <c r="O627">
        <f>IF($A627="","",SUMIFS('Таблиця 1'!$K:$K,'Таблиця 1'!$B:$B,$A627,'Таблиця 1'!$I:$I,"Mirage",'Таблиця 1'!$J:$J,"C-13")+SUMIFS('Таблиця 1'!$K:$K,'Таблиця 1'!$B:$B,$A627,'Таблиця 1'!$I:$I,"F-16",'Таблиця 1'!$J:$J,"C-13")+SUMIFS('Таблиця 1'!$K:$K,'Таблиця 1'!$B:$B,$A627,'Таблиця 1'!$I:$I,"МіГ-29",'Таблиця 1'!$J:$J,"C-13")+SUMIFS('Таблиця 1'!$K:$K,'Таблиця 1'!$B:$B,$A627,'Таблиця 1'!$I:$I,"Су-25",'Таблиця 1'!$J:$J,"C-13")+SUMIFS('Таблиця 1'!$K:$K,'Таблиця 1'!$B:$B,$A627,'Таблиця 1'!$I:$I,"Су-27",'Таблиця 1'!$J:$J,"C-13"))</f>
        <v/>
      </c>
      <c r="P627">
        <f>IF($A627="","",SUMIFS('Таблиця 1'!$K:$K,'Таблиця 1'!$B:$B,$A627,'Таблиця 1'!$I:$I,"Mirage",'Таблиця 1'!$J:$J,"MK-32")+SUMIFS('Таблиця 1'!$K:$K,'Таблиця 1'!$B:$B,$A627,'Таблиця 1'!$I:$I,"F-16",'Таблиця 1'!$J:$J,"MK-32")+SUMIFS('Таблиця 1'!$K:$K,'Таблиця 1'!$B:$B,$A627,'Таблиця 1'!$I:$I,"МіГ-29",'Таблиця 1'!$J:$J,"MK-32")+SUMIFS('Таблиця 1'!$K:$K,'Таблиця 1'!$B:$B,$A627,'Таблиця 1'!$I:$I,"Су-25",'Таблиця 1'!$J:$J,"MK-32")+SUMIFS('Таблиця 1'!$K:$K,'Таблиця 1'!$B:$B,$A627,'Таблиця 1'!$I:$I,"Су-27",'Таблиця 1'!$J:$J,"MK-32"))</f>
        <v/>
      </c>
      <c r="Q627">
        <f>IF($A627="","",SUMIFS('Таблиця 1'!$K:$K,'Таблиця 1'!$B:$B,$A627,'Таблиця 1'!$I:$I,"Mirage",'Таблиця 1'!$J:$J,"MK-24")+SUMIFS('Таблиця 1'!$K:$K,'Таблиця 1'!$B:$B,$A627,'Таблиця 1'!$I:$I,"F-16",'Таблиця 1'!$J:$J,"MK-24")+SUMIFS('Таблиця 1'!$K:$K,'Таблиця 1'!$B:$B,$A627,'Таблиця 1'!$I:$I,"МіГ-29",'Таблиця 1'!$J:$J,"MK-24")+SUMIFS('Таблиця 1'!$K:$K,'Таблиця 1'!$B:$B,$A627,'Таблиця 1'!$I:$I,"Су-25",'Таблиця 1'!$J:$J,"MK-24")+SUMIFS('Таблиця 1'!$K:$K,'Таблиця 1'!$B:$B,$A627,'Таблиця 1'!$I:$I,"Су-27",'Таблиця 1'!$J:$J,"MK-24"))</f>
        <v/>
      </c>
      <c r="R627">
        <f>IF($A627="","",COUNTIFS('Таблиця 1'!$B:$B,$A627,'Таблиця 1'!$I:$I,"Mirage",'Таблиця 1'!$L:$L,"Уражено")+COUNTIFS('Таблиця 1'!$B:$B,$A627,'Таблиця 1'!$I:$I,"F-16",'Таблиця 1'!$L:$L,"Уражено")+COUNTIFS('Таблиця 1'!$B:$B,$A627,'Таблиця 1'!$I:$I,"МіГ-29",'Таблиця 1'!$L:$L,"Уражено")+COUNTIFS('Таблиця 1'!$B:$B,$A627,'Таблиця 1'!$I:$I,"Су-25",'Таблиця 1'!$L:$L,"Уражено")+COUNTIFS('Таблиця 1'!$B:$B,$A627,'Таблиця 1'!$I:$I,"Су-27",'Таблиця 1'!$L:$L,"Уражено"))</f>
        <v/>
      </c>
      <c r="S627">
        <f>IF($A627="","",COUNTIFS('Таблиця 1'!$B:$B,$A627,'Таблиця 1'!$I:$I,"Mirage",'Таблиця 1'!$L:$L,"НЕ уражено")+COUNTIFS('Таблиця 1'!$B:$B,$A627,'Таблиця 1'!$I:$I,"F-16",'Таблиця 1'!$L:$L,"НЕ уражено")+COUNTIFS('Таблиця 1'!$B:$B,$A627,'Таблиця 1'!$I:$I,"МіГ-29",'Таблиця 1'!$L:$L,"НЕ уражено")+COUNTIFS('Таблиця 1'!$B:$B,$A627,'Таблиця 1'!$I:$I,"Су-25",'Таблиця 1'!$L:$L,"НЕ уражено")+COUNTIFS('Таблиця 1'!$B:$B,$A627,'Таблиця 1'!$I:$I,"Су-27",'Таблиця 1'!$L:$L,"НЕ уражено"))</f>
        <v/>
      </c>
      <c r="T627">
        <f>IF($A627="","",COUNTIFS('Таблиця 1'!$B:$B,$A627,'Таблиця 1'!$I:$I,"Mirage",'Таблиця 1'!$L:$L,"Дорозвідується")+COUNTIFS('Таблиця 1'!$B:$B,$A627,'Таблиця 1'!$I:$I,"F-16",'Таблиця 1'!$L:$L,"Дорозвідується")+COUNTIFS('Таблиця 1'!$B:$B,$A627,'Таблиця 1'!$I:$I,"МіГ-29",'Таблиця 1'!$L:$L,"Дорозвідується")+COUNTIFS('Таблиця 1'!$B:$B,$A627,'Таблиця 1'!$I:$I,"Су-25",'Таблиця 1'!$L:$L,"Дорозвідується")+COUNTIFS('Таблиця 1'!$B:$B,$A627,'Таблиця 1'!$I:$I,"Су-27",'Таблиця 1'!$L:$L,"Дорозвідується"))</f>
        <v/>
      </c>
    </row>
    <row r="628">
      <c r="A628" s="273">
        <f>IF(A627="","",IF(A627+1&gt;MAX('Таблиця 1'!$B:$B),"",A627+1))</f>
        <v/>
      </c>
      <c r="B628">
        <f>IF($A628="","",COUNTIFS('Таблиця 1'!$B:$B,$A628,'Таблиця 1'!$I:$I,"Mirage")+COUNTIFS('Таблиця 1'!$B:$B,$A628,'Таблиця 1'!$I:$I,"F-16")+COUNTIFS('Таблиця 1'!$B:$B,$A628,'Таблиця 1'!$I:$I,"МіГ-29")+COUNTIFS('Таблиця 1'!$B:$B,$A628,'Таблиця 1'!$I:$I,"Су-25")+COUNTIFS('Таблиця 1'!$B:$B,$A628,'Таблиця 1'!$I:$I,"Су-27"))</f>
        <v/>
      </c>
      <c r="C628">
        <f>IF($A628="","",COUNTIFS('Таблиця 1'!$B:$B,$A628,'Таблиця 1'!$I:$I,"Mirage"))</f>
        <v/>
      </c>
      <c r="D628">
        <f>IF($A628="","",COUNTIFS('Таблиця 1'!$B:$B,$A628,'Таблиця 1'!$I:$I,"F-16"))</f>
        <v/>
      </c>
      <c r="E628">
        <f>IF($A628="","",COUNTIFS('Таблиця 1'!$B:$B,$A628,'Таблиця 1'!$I:$I,"МіГ-29"))</f>
        <v/>
      </c>
      <c r="F628">
        <f>IF($A628="","",COUNTIFS('Таблиця 1'!$B:$B,$A628,'Таблиця 1'!$I:$I,"Су-25"))</f>
        <v/>
      </c>
      <c r="G628">
        <f>IF($A628="","",COUNTIFS('Таблиця 1'!$B:$B,$A628,'Таблиця 1'!$I:$I,"Су-27"))</f>
        <v/>
      </c>
      <c r="H628">
        <f>IF($A628="","",SUMIFS('Таблиця 1'!$K:$K,'Таблиця 1'!$B:$B,$A628,'Таблиця 1'!$I:$I,"Mirage",'Таблиця 1'!$J:$J,"AGM-88")+SUMIFS('Таблиця 1'!$K:$K,'Таблиця 1'!$B:$B,$A628,'Таблиця 1'!$I:$I,"F-16",'Таблиця 1'!$J:$J,"AGM-88")+SUMIFS('Таблиця 1'!$K:$K,'Таблиця 1'!$B:$B,$A628,'Таблиця 1'!$I:$I,"МіГ-29",'Таблиця 1'!$J:$J,"AGM-88")+SUMIFS('Таблиця 1'!$K:$K,'Таблиця 1'!$B:$B,$A628,'Таблиця 1'!$I:$I,"Су-25",'Таблиця 1'!$J:$J,"AGM-88")+SUMIFS('Таблиця 1'!$K:$K,'Таблиця 1'!$B:$B,$A628,'Таблиця 1'!$I:$I,"Су-27",'Таблиця 1'!$J:$J,"AGM-88"))</f>
        <v/>
      </c>
      <c r="I628">
        <f>IF($A628="","",SUMIFS('Таблиця 1'!$K:$K,'Таблиця 1'!$B:$B,$A628,'Таблиця 1'!$I:$I,"Mirage",'Таблиця 1'!$J:$J,"AASM-250")+SUMIFS('Таблиця 1'!$K:$K,'Таблиця 1'!$B:$B,$A628,'Таблиця 1'!$I:$I,"F-16",'Таблиця 1'!$J:$J,"AASM-250")+SUMIFS('Таблиця 1'!$K:$K,'Таблиця 1'!$B:$B,$A628,'Таблиця 1'!$I:$I,"МіГ-29",'Таблиця 1'!$J:$J,"AASM-250")+SUMIFS('Таблиця 1'!$K:$K,'Таблиця 1'!$B:$B,$A628,'Таблиця 1'!$I:$I,"Су-25",'Таблиця 1'!$J:$J,"AASM-250")+SUMIFS('Таблиця 1'!$K:$K,'Таблиця 1'!$B:$B,$A628,'Таблиця 1'!$I:$I,"Су-27",'Таблиця 1'!$J:$J,"AASM-250"))</f>
        <v/>
      </c>
      <c r="J628">
        <f>IF($A628="","",SUMIFS('Таблиця 1'!$K:$K,'Таблиця 1'!$B:$B,$A628,'Таблиця 1'!$I:$I,"Mirage",'Таблиця 1'!$J:$J,"GBU-39")+SUMIFS('Таблиця 1'!$K:$K,'Таблиця 1'!$B:$B,$A628,'Таблиця 1'!$I:$I,"F-16",'Таблиця 1'!$J:$J,"GBU-39")+SUMIFS('Таблиця 1'!$K:$K,'Таблиця 1'!$B:$B,$A628,'Таблиця 1'!$I:$I,"МіГ-29",'Таблиця 1'!$J:$J,"GBU-39")+SUMIFS('Таблиця 1'!$K:$K,'Таблиця 1'!$B:$B,$A628,'Таблиця 1'!$I:$I,"Су-25",'Таблиця 1'!$J:$J,"GBU-39")+SUMIFS('Таблиця 1'!$K:$K,'Таблиця 1'!$B:$B,$A628,'Таблиця 1'!$I:$I,"Су-27",'Таблиця 1'!$J:$J,"GBU-39"))</f>
        <v/>
      </c>
      <c r="K628">
        <f>IF($A628="","",SUMIFS('Таблиця 1'!$K:$K,'Таблиця 1'!$B:$B,$A628,'Таблиця 1'!$I:$I,"Mirage",'Таблиця 1'!$J:$J,"BLU-140")+SUMIFS('Таблиця 1'!$K:$K,'Таблиця 1'!$B:$B,$A628,'Таблиця 1'!$I:$I,"F-16",'Таблиця 1'!$J:$J,"BLU-140")+SUMIFS('Таблиця 1'!$K:$K,'Таблиця 1'!$B:$B,$A628,'Таблиця 1'!$I:$I,"МіГ-29",'Таблиця 1'!$J:$J,"BLU-140")+SUMIFS('Таблиця 1'!$K:$K,'Таблиця 1'!$B:$B,$A628,'Таблиця 1'!$I:$I,"Су-25",'Таблиця 1'!$J:$J,"BLU-140")+SUMIFS('Таблиця 1'!$K:$K,'Таблиця 1'!$B:$B,$A628,'Таблиця 1'!$I:$I,"Су-27",'Таблиця 1'!$J:$J,"BLU-140"))</f>
        <v/>
      </c>
      <c r="L628">
        <f>IF($A628="","",SUMIFS('Таблиця 1'!$K:$K,'Таблиця 1'!$B:$B,$A628,'Таблиця 1'!$I:$I,"Mirage",'Таблиця 1'!$J:$J,"GBU-65")+SUMIFS('Таблиця 1'!$K:$K,'Таблиця 1'!$B:$B,$A628,'Таблиця 1'!$I:$I,"F-16",'Таблиця 1'!$J:$J,"GBU-65")+SUMIFS('Таблиця 1'!$K:$K,'Таблиця 1'!$B:$B,$A628,'Таблиця 1'!$I:$I,"МіГ-29",'Таблиця 1'!$J:$J,"GBU-65")+SUMIFS('Таблиця 1'!$K:$K,'Таблиця 1'!$B:$B,$A628,'Таблиця 1'!$I:$I,"Су-25",'Таблиця 1'!$J:$J,"GBU-65")+SUMIFS('Таблиця 1'!$K:$K,'Таблиця 1'!$B:$B,$A628,'Таблиця 1'!$I:$I,"Су-27",'Таблиця 1'!$J:$J,"GBU-65"))</f>
        <v/>
      </c>
      <c r="M628">
        <f>IF($A628="","",SUMIFS('Таблиця 1'!$K:$K,'Таблиця 1'!$B:$B,$A628,'Таблиця 1'!$I:$I,"Mirage",'Таблиця 1'!$J:$J,"GBU-62")+SUMIFS('Таблиця 1'!$K:$K,'Таблиця 1'!$B:$B,$A628,'Таблиця 1'!$I:$I,"F-16",'Таблиця 1'!$J:$J,"GBU-62")+SUMIFS('Таблиця 1'!$K:$K,'Таблиця 1'!$B:$B,$A628,'Таблиця 1'!$I:$I,"МіГ-29",'Таблиця 1'!$J:$J,"GBU-62")+SUMIFS('Таблиця 1'!$K:$K,'Таблиця 1'!$B:$B,$A628,'Таблиця 1'!$I:$I,"Су-25",'Таблиця 1'!$J:$J,"GBU-62")+SUMIFS('Таблиця 1'!$K:$K,'Таблиця 1'!$B:$B,$A628,'Таблиця 1'!$I:$I,"Су-27",'Таблиця 1'!$J:$J,"GBU-62"))</f>
        <v/>
      </c>
      <c r="N628">
        <f>IF($A628="","",SUMIFS('Таблиця 1'!$K:$K,'Таблиця 1'!$B:$B,$A628,'Таблиця 1'!$I:$I,"Mirage",'Таблиця 1'!$J:$J,"GBU-64")+SUMIFS('Таблиця 1'!$K:$K,'Таблиця 1'!$B:$B,$A628,'Таблиця 1'!$I:$I,"F-16",'Таблиця 1'!$J:$J,"GBU-64")+SUMIFS('Таблиця 1'!$K:$K,'Таблиця 1'!$B:$B,$A628,'Таблиця 1'!$I:$I,"МіГ-29",'Таблиця 1'!$J:$J,"GBU-64")+SUMIFS('Таблиця 1'!$K:$K,'Таблиця 1'!$B:$B,$A628,'Таблиця 1'!$I:$I,"Су-25",'Таблиця 1'!$J:$J,"GBU-64")+SUMIFS('Таблиця 1'!$K:$K,'Таблиця 1'!$B:$B,$A628,'Таблиця 1'!$I:$I,"Су-27",'Таблиця 1'!$J:$J,"GBU-64"))</f>
        <v/>
      </c>
      <c r="O628">
        <f>IF($A628="","",SUMIFS('Таблиця 1'!$K:$K,'Таблиця 1'!$B:$B,$A628,'Таблиця 1'!$I:$I,"Mirage",'Таблиця 1'!$J:$J,"C-13")+SUMIFS('Таблиця 1'!$K:$K,'Таблиця 1'!$B:$B,$A628,'Таблиця 1'!$I:$I,"F-16",'Таблиця 1'!$J:$J,"C-13")+SUMIFS('Таблиця 1'!$K:$K,'Таблиця 1'!$B:$B,$A628,'Таблиця 1'!$I:$I,"МіГ-29",'Таблиця 1'!$J:$J,"C-13")+SUMIFS('Таблиця 1'!$K:$K,'Таблиця 1'!$B:$B,$A628,'Таблиця 1'!$I:$I,"Су-25",'Таблиця 1'!$J:$J,"C-13")+SUMIFS('Таблиця 1'!$K:$K,'Таблиця 1'!$B:$B,$A628,'Таблиця 1'!$I:$I,"Су-27",'Таблиця 1'!$J:$J,"C-13"))</f>
        <v/>
      </c>
      <c r="P628">
        <f>IF($A628="","",SUMIFS('Таблиця 1'!$K:$K,'Таблиця 1'!$B:$B,$A628,'Таблиця 1'!$I:$I,"Mirage",'Таблиця 1'!$J:$J,"MK-32")+SUMIFS('Таблиця 1'!$K:$K,'Таблиця 1'!$B:$B,$A628,'Таблиця 1'!$I:$I,"F-16",'Таблиця 1'!$J:$J,"MK-32")+SUMIFS('Таблиця 1'!$K:$K,'Таблиця 1'!$B:$B,$A628,'Таблиця 1'!$I:$I,"МіГ-29",'Таблиця 1'!$J:$J,"MK-32")+SUMIFS('Таблиця 1'!$K:$K,'Таблиця 1'!$B:$B,$A628,'Таблиця 1'!$I:$I,"Су-25",'Таблиця 1'!$J:$J,"MK-32")+SUMIFS('Таблиця 1'!$K:$K,'Таблиця 1'!$B:$B,$A628,'Таблиця 1'!$I:$I,"Су-27",'Таблиця 1'!$J:$J,"MK-32"))</f>
        <v/>
      </c>
      <c r="Q628">
        <f>IF($A628="","",SUMIFS('Таблиця 1'!$K:$K,'Таблиця 1'!$B:$B,$A628,'Таблиця 1'!$I:$I,"Mirage",'Таблиця 1'!$J:$J,"MK-24")+SUMIFS('Таблиця 1'!$K:$K,'Таблиця 1'!$B:$B,$A628,'Таблиця 1'!$I:$I,"F-16",'Таблиця 1'!$J:$J,"MK-24")+SUMIFS('Таблиця 1'!$K:$K,'Таблиця 1'!$B:$B,$A628,'Таблиця 1'!$I:$I,"МіГ-29",'Таблиця 1'!$J:$J,"MK-24")+SUMIFS('Таблиця 1'!$K:$K,'Таблиця 1'!$B:$B,$A628,'Таблиця 1'!$I:$I,"Су-25",'Таблиця 1'!$J:$J,"MK-24")+SUMIFS('Таблиця 1'!$K:$K,'Таблиця 1'!$B:$B,$A628,'Таблиця 1'!$I:$I,"Су-27",'Таблиця 1'!$J:$J,"MK-24"))</f>
        <v/>
      </c>
      <c r="R628">
        <f>IF($A628="","",COUNTIFS('Таблиця 1'!$B:$B,$A628,'Таблиця 1'!$I:$I,"Mirage",'Таблиця 1'!$L:$L,"Уражено")+COUNTIFS('Таблиця 1'!$B:$B,$A628,'Таблиця 1'!$I:$I,"F-16",'Таблиця 1'!$L:$L,"Уражено")+COUNTIFS('Таблиця 1'!$B:$B,$A628,'Таблиця 1'!$I:$I,"МіГ-29",'Таблиця 1'!$L:$L,"Уражено")+COUNTIFS('Таблиця 1'!$B:$B,$A628,'Таблиця 1'!$I:$I,"Су-25",'Таблиця 1'!$L:$L,"Уражено")+COUNTIFS('Таблиця 1'!$B:$B,$A628,'Таблиця 1'!$I:$I,"Су-27",'Таблиця 1'!$L:$L,"Уражено"))</f>
        <v/>
      </c>
      <c r="S628">
        <f>IF($A628="","",COUNTIFS('Таблиця 1'!$B:$B,$A628,'Таблиця 1'!$I:$I,"Mirage",'Таблиця 1'!$L:$L,"НЕ уражено")+COUNTIFS('Таблиця 1'!$B:$B,$A628,'Таблиця 1'!$I:$I,"F-16",'Таблиця 1'!$L:$L,"НЕ уражено")+COUNTIFS('Таблиця 1'!$B:$B,$A628,'Таблиця 1'!$I:$I,"МіГ-29",'Таблиця 1'!$L:$L,"НЕ уражено")+COUNTIFS('Таблиця 1'!$B:$B,$A628,'Таблиця 1'!$I:$I,"Су-25",'Таблиця 1'!$L:$L,"НЕ уражено")+COUNTIFS('Таблиця 1'!$B:$B,$A628,'Таблиця 1'!$I:$I,"Су-27",'Таблиця 1'!$L:$L,"НЕ уражено"))</f>
        <v/>
      </c>
      <c r="T628">
        <f>IF($A628="","",COUNTIFS('Таблиця 1'!$B:$B,$A628,'Таблиця 1'!$I:$I,"Mirage",'Таблиця 1'!$L:$L,"Дорозвідується")+COUNTIFS('Таблиця 1'!$B:$B,$A628,'Таблиця 1'!$I:$I,"F-16",'Таблиця 1'!$L:$L,"Дорозвідується")+COUNTIFS('Таблиця 1'!$B:$B,$A628,'Таблиця 1'!$I:$I,"МіГ-29",'Таблиця 1'!$L:$L,"Дорозвідується")+COUNTIFS('Таблиця 1'!$B:$B,$A628,'Таблиця 1'!$I:$I,"Су-25",'Таблиця 1'!$L:$L,"Дорозвідується")+COUNTIFS('Таблиця 1'!$B:$B,$A628,'Таблиця 1'!$I:$I,"Су-27",'Таблиця 1'!$L:$L,"Дорозвідується"))</f>
        <v/>
      </c>
    </row>
    <row r="629">
      <c r="A629" s="273">
        <f>IF(A628="","",IF(A628+1&gt;MAX('Таблиця 1'!$B:$B),"",A628+1))</f>
        <v/>
      </c>
      <c r="B629">
        <f>IF($A629="","",COUNTIFS('Таблиця 1'!$B:$B,$A629,'Таблиця 1'!$I:$I,"Mirage")+COUNTIFS('Таблиця 1'!$B:$B,$A629,'Таблиця 1'!$I:$I,"F-16")+COUNTIFS('Таблиця 1'!$B:$B,$A629,'Таблиця 1'!$I:$I,"МіГ-29")+COUNTIFS('Таблиця 1'!$B:$B,$A629,'Таблиця 1'!$I:$I,"Су-25")+COUNTIFS('Таблиця 1'!$B:$B,$A629,'Таблиця 1'!$I:$I,"Су-27"))</f>
        <v/>
      </c>
      <c r="C629">
        <f>IF($A629="","",COUNTIFS('Таблиця 1'!$B:$B,$A629,'Таблиця 1'!$I:$I,"Mirage"))</f>
        <v/>
      </c>
      <c r="D629">
        <f>IF($A629="","",COUNTIFS('Таблиця 1'!$B:$B,$A629,'Таблиця 1'!$I:$I,"F-16"))</f>
        <v/>
      </c>
      <c r="E629">
        <f>IF($A629="","",COUNTIFS('Таблиця 1'!$B:$B,$A629,'Таблиця 1'!$I:$I,"МіГ-29"))</f>
        <v/>
      </c>
      <c r="F629">
        <f>IF($A629="","",COUNTIFS('Таблиця 1'!$B:$B,$A629,'Таблиця 1'!$I:$I,"Су-25"))</f>
        <v/>
      </c>
      <c r="G629">
        <f>IF($A629="","",COUNTIFS('Таблиця 1'!$B:$B,$A629,'Таблиця 1'!$I:$I,"Су-27"))</f>
        <v/>
      </c>
      <c r="H629">
        <f>IF($A629="","",SUMIFS('Таблиця 1'!$K:$K,'Таблиця 1'!$B:$B,$A629,'Таблиця 1'!$I:$I,"Mirage",'Таблиця 1'!$J:$J,"AGM-88")+SUMIFS('Таблиця 1'!$K:$K,'Таблиця 1'!$B:$B,$A629,'Таблиця 1'!$I:$I,"F-16",'Таблиця 1'!$J:$J,"AGM-88")+SUMIFS('Таблиця 1'!$K:$K,'Таблиця 1'!$B:$B,$A629,'Таблиця 1'!$I:$I,"МіГ-29",'Таблиця 1'!$J:$J,"AGM-88")+SUMIFS('Таблиця 1'!$K:$K,'Таблиця 1'!$B:$B,$A629,'Таблиця 1'!$I:$I,"Су-25",'Таблиця 1'!$J:$J,"AGM-88")+SUMIFS('Таблиця 1'!$K:$K,'Таблиця 1'!$B:$B,$A629,'Таблиця 1'!$I:$I,"Су-27",'Таблиця 1'!$J:$J,"AGM-88"))</f>
        <v/>
      </c>
      <c r="I629">
        <f>IF($A629="","",SUMIFS('Таблиця 1'!$K:$K,'Таблиця 1'!$B:$B,$A629,'Таблиця 1'!$I:$I,"Mirage",'Таблиця 1'!$J:$J,"AASM-250")+SUMIFS('Таблиця 1'!$K:$K,'Таблиця 1'!$B:$B,$A629,'Таблиця 1'!$I:$I,"F-16",'Таблиця 1'!$J:$J,"AASM-250")+SUMIFS('Таблиця 1'!$K:$K,'Таблиця 1'!$B:$B,$A629,'Таблиця 1'!$I:$I,"МіГ-29",'Таблиця 1'!$J:$J,"AASM-250")+SUMIFS('Таблиця 1'!$K:$K,'Таблиця 1'!$B:$B,$A629,'Таблиця 1'!$I:$I,"Су-25",'Таблиця 1'!$J:$J,"AASM-250")+SUMIFS('Таблиця 1'!$K:$K,'Таблиця 1'!$B:$B,$A629,'Таблиця 1'!$I:$I,"Су-27",'Таблиця 1'!$J:$J,"AASM-250"))</f>
        <v/>
      </c>
      <c r="J629">
        <f>IF($A629="","",SUMIFS('Таблиця 1'!$K:$K,'Таблиця 1'!$B:$B,$A629,'Таблиця 1'!$I:$I,"Mirage",'Таблиця 1'!$J:$J,"GBU-39")+SUMIFS('Таблиця 1'!$K:$K,'Таблиця 1'!$B:$B,$A629,'Таблиця 1'!$I:$I,"F-16",'Таблиця 1'!$J:$J,"GBU-39")+SUMIFS('Таблиця 1'!$K:$K,'Таблиця 1'!$B:$B,$A629,'Таблиця 1'!$I:$I,"МіГ-29",'Таблиця 1'!$J:$J,"GBU-39")+SUMIFS('Таблиця 1'!$K:$K,'Таблиця 1'!$B:$B,$A629,'Таблиця 1'!$I:$I,"Су-25",'Таблиця 1'!$J:$J,"GBU-39")+SUMIFS('Таблиця 1'!$K:$K,'Таблиця 1'!$B:$B,$A629,'Таблиця 1'!$I:$I,"Су-27",'Таблиця 1'!$J:$J,"GBU-39"))</f>
        <v/>
      </c>
      <c r="K629">
        <f>IF($A629="","",SUMIFS('Таблиця 1'!$K:$K,'Таблиця 1'!$B:$B,$A629,'Таблиця 1'!$I:$I,"Mirage",'Таблиця 1'!$J:$J,"BLU-140")+SUMIFS('Таблиця 1'!$K:$K,'Таблиця 1'!$B:$B,$A629,'Таблиця 1'!$I:$I,"F-16",'Таблиця 1'!$J:$J,"BLU-140")+SUMIFS('Таблиця 1'!$K:$K,'Таблиця 1'!$B:$B,$A629,'Таблиця 1'!$I:$I,"МіГ-29",'Таблиця 1'!$J:$J,"BLU-140")+SUMIFS('Таблиця 1'!$K:$K,'Таблиця 1'!$B:$B,$A629,'Таблиця 1'!$I:$I,"Су-25",'Таблиця 1'!$J:$J,"BLU-140")+SUMIFS('Таблиця 1'!$K:$K,'Таблиця 1'!$B:$B,$A629,'Таблиця 1'!$I:$I,"Су-27",'Таблиця 1'!$J:$J,"BLU-140"))</f>
        <v/>
      </c>
      <c r="L629">
        <f>IF($A629="","",SUMIFS('Таблиця 1'!$K:$K,'Таблиця 1'!$B:$B,$A629,'Таблиця 1'!$I:$I,"Mirage",'Таблиця 1'!$J:$J,"GBU-65")+SUMIFS('Таблиця 1'!$K:$K,'Таблиця 1'!$B:$B,$A629,'Таблиця 1'!$I:$I,"F-16",'Таблиця 1'!$J:$J,"GBU-65")+SUMIFS('Таблиця 1'!$K:$K,'Таблиця 1'!$B:$B,$A629,'Таблиця 1'!$I:$I,"МіГ-29",'Таблиця 1'!$J:$J,"GBU-65")+SUMIFS('Таблиця 1'!$K:$K,'Таблиця 1'!$B:$B,$A629,'Таблиця 1'!$I:$I,"Су-25",'Таблиця 1'!$J:$J,"GBU-65")+SUMIFS('Таблиця 1'!$K:$K,'Таблиця 1'!$B:$B,$A629,'Таблиця 1'!$I:$I,"Су-27",'Таблиця 1'!$J:$J,"GBU-65"))</f>
        <v/>
      </c>
      <c r="M629">
        <f>IF($A629="","",SUMIFS('Таблиця 1'!$K:$K,'Таблиця 1'!$B:$B,$A629,'Таблиця 1'!$I:$I,"Mirage",'Таблиця 1'!$J:$J,"GBU-62")+SUMIFS('Таблиця 1'!$K:$K,'Таблиця 1'!$B:$B,$A629,'Таблиця 1'!$I:$I,"F-16",'Таблиця 1'!$J:$J,"GBU-62")+SUMIFS('Таблиця 1'!$K:$K,'Таблиця 1'!$B:$B,$A629,'Таблиця 1'!$I:$I,"МіГ-29",'Таблиця 1'!$J:$J,"GBU-62")+SUMIFS('Таблиця 1'!$K:$K,'Таблиця 1'!$B:$B,$A629,'Таблиця 1'!$I:$I,"Су-25",'Таблиця 1'!$J:$J,"GBU-62")+SUMIFS('Таблиця 1'!$K:$K,'Таблиця 1'!$B:$B,$A629,'Таблиця 1'!$I:$I,"Су-27",'Таблиця 1'!$J:$J,"GBU-62"))</f>
        <v/>
      </c>
      <c r="N629">
        <f>IF($A629="","",SUMIFS('Таблиця 1'!$K:$K,'Таблиця 1'!$B:$B,$A629,'Таблиця 1'!$I:$I,"Mirage",'Таблиця 1'!$J:$J,"GBU-64")+SUMIFS('Таблиця 1'!$K:$K,'Таблиця 1'!$B:$B,$A629,'Таблиця 1'!$I:$I,"F-16",'Таблиця 1'!$J:$J,"GBU-64")+SUMIFS('Таблиця 1'!$K:$K,'Таблиця 1'!$B:$B,$A629,'Таблиця 1'!$I:$I,"МіГ-29",'Таблиця 1'!$J:$J,"GBU-64")+SUMIFS('Таблиця 1'!$K:$K,'Таблиця 1'!$B:$B,$A629,'Таблиця 1'!$I:$I,"Су-25",'Таблиця 1'!$J:$J,"GBU-64")+SUMIFS('Таблиця 1'!$K:$K,'Таблиця 1'!$B:$B,$A629,'Таблиця 1'!$I:$I,"Су-27",'Таблиця 1'!$J:$J,"GBU-64"))</f>
        <v/>
      </c>
      <c r="O629">
        <f>IF($A629="","",SUMIFS('Таблиця 1'!$K:$K,'Таблиця 1'!$B:$B,$A629,'Таблиця 1'!$I:$I,"Mirage",'Таблиця 1'!$J:$J,"C-13")+SUMIFS('Таблиця 1'!$K:$K,'Таблиця 1'!$B:$B,$A629,'Таблиця 1'!$I:$I,"F-16",'Таблиця 1'!$J:$J,"C-13")+SUMIFS('Таблиця 1'!$K:$K,'Таблиця 1'!$B:$B,$A629,'Таблиця 1'!$I:$I,"МіГ-29",'Таблиця 1'!$J:$J,"C-13")+SUMIFS('Таблиця 1'!$K:$K,'Таблиця 1'!$B:$B,$A629,'Таблиця 1'!$I:$I,"Су-25",'Таблиця 1'!$J:$J,"C-13")+SUMIFS('Таблиця 1'!$K:$K,'Таблиця 1'!$B:$B,$A629,'Таблиця 1'!$I:$I,"Су-27",'Таблиця 1'!$J:$J,"C-13"))</f>
        <v/>
      </c>
      <c r="P629">
        <f>IF($A629="","",SUMIFS('Таблиця 1'!$K:$K,'Таблиця 1'!$B:$B,$A629,'Таблиця 1'!$I:$I,"Mirage",'Таблиця 1'!$J:$J,"MK-32")+SUMIFS('Таблиця 1'!$K:$K,'Таблиця 1'!$B:$B,$A629,'Таблиця 1'!$I:$I,"F-16",'Таблиця 1'!$J:$J,"MK-32")+SUMIFS('Таблиця 1'!$K:$K,'Таблиця 1'!$B:$B,$A629,'Таблиця 1'!$I:$I,"МіГ-29",'Таблиця 1'!$J:$J,"MK-32")+SUMIFS('Таблиця 1'!$K:$K,'Таблиця 1'!$B:$B,$A629,'Таблиця 1'!$I:$I,"Су-25",'Таблиця 1'!$J:$J,"MK-32")+SUMIFS('Таблиця 1'!$K:$K,'Таблиця 1'!$B:$B,$A629,'Таблиця 1'!$I:$I,"Су-27",'Таблиця 1'!$J:$J,"MK-32"))</f>
        <v/>
      </c>
      <c r="Q629">
        <f>IF($A629="","",SUMIFS('Таблиця 1'!$K:$K,'Таблиця 1'!$B:$B,$A629,'Таблиця 1'!$I:$I,"Mirage",'Таблиця 1'!$J:$J,"MK-24")+SUMIFS('Таблиця 1'!$K:$K,'Таблиця 1'!$B:$B,$A629,'Таблиця 1'!$I:$I,"F-16",'Таблиця 1'!$J:$J,"MK-24")+SUMIFS('Таблиця 1'!$K:$K,'Таблиця 1'!$B:$B,$A629,'Таблиця 1'!$I:$I,"МіГ-29",'Таблиця 1'!$J:$J,"MK-24")+SUMIFS('Таблиця 1'!$K:$K,'Таблиця 1'!$B:$B,$A629,'Таблиця 1'!$I:$I,"Су-25",'Таблиця 1'!$J:$J,"MK-24")+SUMIFS('Таблиця 1'!$K:$K,'Таблиця 1'!$B:$B,$A629,'Таблиця 1'!$I:$I,"Су-27",'Таблиця 1'!$J:$J,"MK-24"))</f>
        <v/>
      </c>
      <c r="R629">
        <f>IF($A629="","",COUNTIFS('Таблиця 1'!$B:$B,$A629,'Таблиця 1'!$I:$I,"Mirage",'Таблиця 1'!$L:$L,"Уражено")+COUNTIFS('Таблиця 1'!$B:$B,$A629,'Таблиця 1'!$I:$I,"F-16",'Таблиця 1'!$L:$L,"Уражено")+COUNTIFS('Таблиця 1'!$B:$B,$A629,'Таблиця 1'!$I:$I,"МіГ-29",'Таблиця 1'!$L:$L,"Уражено")+COUNTIFS('Таблиця 1'!$B:$B,$A629,'Таблиця 1'!$I:$I,"Су-25",'Таблиця 1'!$L:$L,"Уражено")+COUNTIFS('Таблиця 1'!$B:$B,$A629,'Таблиця 1'!$I:$I,"Су-27",'Таблиця 1'!$L:$L,"Уражено"))</f>
        <v/>
      </c>
      <c r="S629">
        <f>IF($A629="","",COUNTIFS('Таблиця 1'!$B:$B,$A629,'Таблиця 1'!$I:$I,"Mirage",'Таблиця 1'!$L:$L,"НЕ уражено")+COUNTIFS('Таблиця 1'!$B:$B,$A629,'Таблиця 1'!$I:$I,"F-16",'Таблиця 1'!$L:$L,"НЕ уражено")+COUNTIFS('Таблиця 1'!$B:$B,$A629,'Таблиця 1'!$I:$I,"МіГ-29",'Таблиця 1'!$L:$L,"НЕ уражено")+COUNTIFS('Таблиця 1'!$B:$B,$A629,'Таблиця 1'!$I:$I,"Су-25",'Таблиця 1'!$L:$L,"НЕ уражено")+COUNTIFS('Таблиця 1'!$B:$B,$A629,'Таблиця 1'!$I:$I,"Су-27",'Таблиця 1'!$L:$L,"НЕ уражено"))</f>
        <v/>
      </c>
      <c r="T629">
        <f>IF($A629="","",COUNTIFS('Таблиця 1'!$B:$B,$A629,'Таблиця 1'!$I:$I,"Mirage",'Таблиця 1'!$L:$L,"Дорозвідується")+COUNTIFS('Таблиця 1'!$B:$B,$A629,'Таблиця 1'!$I:$I,"F-16",'Таблиця 1'!$L:$L,"Дорозвідується")+COUNTIFS('Таблиця 1'!$B:$B,$A629,'Таблиця 1'!$I:$I,"МіГ-29",'Таблиця 1'!$L:$L,"Дорозвідується")+COUNTIFS('Таблиця 1'!$B:$B,$A629,'Таблиця 1'!$I:$I,"Су-25",'Таблиця 1'!$L:$L,"Дорозвідується")+COUNTIFS('Таблиця 1'!$B:$B,$A629,'Таблиця 1'!$I:$I,"Су-27",'Таблиця 1'!$L:$L,"Дорозвідується"))</f>
        <v/>
      </c>
    </row>
    <row r="630">
      <c r="A630" s="273">
        <f>IF(A629="","",IF(A629+1&gt;MAX('Таблиця 1'!$B:$B),"",A629+1))</f>
        <v/>
      </c>
      <c r="B630">
        <f>IF($A630="","",COUNTIFS('Таблиця 1'!$B:$B,$A630,'Таблиця 1'!$I:$I,"Mirage")+COUNTIFS('Таблиця 1'!$B:$B,$A630,'Таблиця 1'!$I:$I,"F-16")+COUNTIFS('Таблиця 1'!$B:$B,$A630,'Таблиця 1'!$I:$I,"МіГ-29")+COUNTIFS('Таблиця 1'!$B:$B,$A630,'Таблиця 1'!$I:$I,"Су-25")+COUNTIFS('Таблиця 1'!$B:$B,$A630,'Таблиця 1'!$I:$I,"Су-27"))</f>
        <v/>
      </c>
      <c r="C630">
        <f>IF($A630="","",COUNTIFS('Таблиця 1'!$B:$B,$A630,'Таблиця 1'!$I:$I,"Mirage"))</f>
        <v/>
      </c>
      <c r="D630">
        <f>IF($A630="","",COUNTIFS('Таблиця 1'!$B:$B,$A630,'Таблиця 1'!$I:$I,"F-16"))</f>
        <v/>
      </c>
      <c r="E630">
        <f>IF($A630="","",COUNTIFS('Таблиця 1'!$B:$B,$A630,'Таблиця 1'!$I:$I,"МіГ-29"))</f>
        <v/>
      </c>
      <c r="F630">
        <f>IF($A630="","",COUNTIFS('Таблиця 1'!$B:$B,$A630,'Таблиця 1'!$I:$I,"Су-25"))</f>
        <v/>
      </c>
      <c r="G630">
        <f>IF($A630="","",COUNTIFS('Таблиця 1'!$B:$B,$A630,'Таблиця 1'!$I:$I,"Су-27"))</f>
        <v/>
      </c>
      <c r="H630">
        <f>IF($A630="","",SUMIFS('Таблиця 1'!$K:$K,'Таблиця 1'!$B:$B,$A630,'Таблиця 1'!$I:$I,"Mirage",'Таблиця 1'!$J:$J,"AGM-88")+SUMIFS('Таблиця 1'!$K:$K,'Таблиця 1'!$B:$B,$A630,'Таблиця 1'!$I:$I,"F-16",'Таблиця 1'!$J:$J,"AGM-88")+SUMIFS('Таблиця 1'!$K:$K,'Таблиця 1'!$B:$B,$A630,'Таблиця 1'!$I:$I,"МіГ-29",'Таблиця 1'!$J:$J,"AGM-88")+SUMIFS('Таблиця 1'!$K:$K,'Таблиця 1'!$B:$B,$A630,'Таблиця 1'!$I:$I,"Су-25",'Таблиця 1'!$J:$J,"AGM-88")+SUMIFS('Таблиця 1'!$K:$K,'Таблиця 1'!$B:$B,$A630,'Таблиця 1'!$I:$I,"Су-27",'Таблиця 1'!$J:$J,"AGM-88"))</f>
        <v/>
      </c>
      <c r="I630">
        <f>IF($A630="","",SUMIFS('Таблиця 1'!$K:$K,'Таблиця 1'!$B:$B,$A630,'Таблиця 1'!$I:$I,"Mirage",'Таблиця 1'!$J:$J,"AASM-250")+SUMIFS('Таблиця 1'!$K:$K,'Таблиця 1'!$B:$B,$A630,'Таблиця 1'!$I:$I,"F-16",'Таблиця 1'!$J:$J,"AASM-250")+SUMIFS('Таблиця 1'!$K:$K,'Таблиця 1'!$B:$B,$A630,'Таблиця 1'!$I:$I,"МіГ-29",'Таблиця 1'!$J:$J,"AASM-250")+SUMIFS('Таблиця 1'!$K:$K,'Таблиця 1'!$B:$B,$A630,'Таблиця 1'!$I:$I,"Су-25",'Таблиця 1'!$J:$J,"AASM-250")+SUMIFS('Таблиця 1'!$K:$K,'Таблиця 1'!$B:$B,$A630,'Таблиця 1'!$I:$I,"Су-27",'Таблиця 1'!$J:$J,"AASM-250"))</f>
        <v/>
      </c>
      <c r="J630">
        <f>IF($A630="","",SUMIFS('Таблиця 1'!$K:$K,'Таблиця 1'!$B:$B,$A630,'Таблиця 1'!$I:$I,"Mirage",'Таблиця 1'!$J:$J,"GBU-39")+SUMIFS('Таблиця 1'!$K:$K,'Таблиця 1'!$B:$B,$A630,'Таблиця 1'!$I:$I,"F-16",'Таблиця 1'!$J:$J,"GBU-39")+SUMIFS('Таблиця 1'!$K:$K,'Таблиця 1'!$B:$B,$A630,'Таблиця 1'!$I:$I,"МіГ-29",'Таблиця 1'!$J:$J,"GBU-39")+SUMIFS('Таблиця 1'!$K:$K,'Таблиця 1'!$B:$B,$A630,'Таблиця 1'!$I:$I,"Су-25",'Таблиця 1'!$J:$J,"GBU-39")+SUMIFS('Таблиця 1'!$K:$K,'Таблиця 1'!$B:$B,$A630,'Таблиця 1'!$I:$I,"Су-27",'Таблиця 1'!$J:$J,"GBU-39"))</f>
        <v/>
      </c>
      <c r="K630">
        <f>IF($A630="","",SUMIFS('Таблиця 1'!$K:$K,'Таблиця 1'!$B:$B,$A630,'Таблиця 1'!$I:$I,"Mirage",'Таблиця 1'!$J:$J,"BLU-140")+SUMIFS('Таблиця 1'!$K:$K,'Таблиця 1'!$B:$B,$A630,'Таблиця 1'!$I:$I,"F-16",'Таблиця 1'!$J:$J,"BLU-140")+SUMIFS('Таблиця 1'!$K:$K,'Таблиця 1'!$B:$B,$A630,'Таблиця 1'!$I:$I,"МіГ-29",'Таблиця 1'!$J:$J,"BLU-140")+SUMIFS('Таблиця 1'!$K:$K,'Таблиця 1'!$B:$B,$A630,'Таблиця 1'!$I:$I,"Су-25",'Таблиця 1'!$J:$J,"BLU-140")+SUMIFS('Таблиця 1'!$K:$K,'Таблиця 1'!$B:$B,$A630,'Таблиця 1'!$I:$I,"Су-27",'Таблиця 1'!$J:$J,"BLU-140"))</f>
        <v/>
      </c>
      <c r="L630">
        <f>IF($A630="","",SUMIFS('Таблиця 1'!$K:$K,'Таблиця 1'!$B:$B,$A630,'Таблиця 1'!$I:$I,"Mirage",'Таблиця 1'!$J:$J,"GBU-65")+SUMIFS('Таблиця 1'!$K:$K,'Таблиця 1'!$B:$B,$A630,'Таблиця 1'!$I:$I,"F-16",'Таблиця 1'!$J:$J,"GBU-65")+SUMIFS('Таблиця 1'!$K:$K,'Таблиця 1'!$B:$B,$A630,'Таблиця 1'!$I:$I,"МіГ-29",'Таблиця 1'!$J:$J,"GBU-65")+SUMIFS('Таблиця 1'!$K:$K,'Таблиця 1'!$B:$B,$A630,'Таблиця 1'!$I:$I,"Су-25",'Таблиця 1'!$J:$J,"GBU-65")+SUMIFS('Таблиця 1'!$K:$K,'Таблиця 1'!$B:$B,$A630,'Таблиця 1'!$I:$I,"Су-27",'Таблиця 1'!$J:$J,"GBU-65"))</f>
        <v/>
      </c>
      <c r="M630">
        <f>IF($A630="","",SUMIFS('Таблиця 1'!$K:$K,'Таблиця 1'!$B:$B,$A630,'Таблиця 1'!$I:$I,"Mirage",'Таблиця 1'!$J:$J,"GBU-62")+SUMIFS('Таблиця 1'!$K:$K,'Таблиця 1'!$B:$B,$A630,'Таблиця 1'!$I:$I,"F-16",'Таблиця 1'!$J:$J,"GBU-62")+SUMIFS('Таблиця 1'!$K:$K,'Таблиця 1'!$B:$B,$A630,'Таблиця 1'!$I:$I,"МіГ-29",'Таблиця 1'!$J:$J,"GBU-62")+SUMIFS('Таблиця 1'!$K:$K,'Таблиця 1'!$B:$B,$A630,'Таблиця 1'!$I:$I,"Су-25",'Таблиця 1'!$J:$J,"GBU-62")+SUMIFS('Таблиця 1'!$K:$K,'Таблиця 1'!$B:$B,$A630,'Таблиця 1'!$I:$I,"Су-27",'Таблиця 1'!$J:$J,"GBU-62"))</f>
        <v/>
      </c>
      <c r="N630">
        <f>IF($A630="","",SUMIFS('Таблиця 1'!$K:$K,'Таблиця 1'!$B:$B,$A630,'Таблиця 1'!$I:$I,"Mirage",'Таблиця 1'!$J:$J,"GBU-64")+SUMIFS('Таблиця 1'!$K:$K,'Таблиця 1'!$B:$B,$A630,'Таблиця 1'!$I:$I,"F-16",'Таблиця 1'!$J:$J,"GBU-64")+SUMIFS('Таблиця 1'!$K:$K,'Таблиця 1'!$B:$B,$A630,'Таблиця 1'!$I:$I,"МіГ-29",'Таблиця 1'!$J:$J,"GBU-64")+SUMIFS('Таблиця 1'!$K:$K,'Таблиця 1'!$B:$B,$A630,'Таблиця 1'!$I:$I,"Су-25",'Таблиця 1'!$J:$J,"GBU-64")+SUMIFS('Таблиця 1'!$K:$K,'Таблиця 1'!$B:$B,$A630,'Таблиця 1'!$I:$I,"Су-27",'Таблиця 1'!$J:$J,"GBU-64"))</f>
        <v/>
      </c>
      <c r="O630">
        <f>IF($A630="","",SUMIFS('Таблиця 1'!$K:$K,'Таблиця 1'!$B:$B,$A630,'Таблиця 1'!$I:$I,"Mirage",'Таблиця 1'!$J:$J,"C-13")+SUMIFS('Таблиця 1'!$K:$K,'Таблиця 1'!$B:$B,$A630,'Таблиця 1'!$I:$I,"F-16",'Таблиця 1'!$J:$J,"C-13")+SUMIFS('Таблиця 1'!$K:$K,'Таблиця 1'!$B:$B,$A630,'Таблиця 1'!$I:$I,"МіГ-29",'Таблиця 1'!$J:$J,"C-13")+SUMIFS('Таблиця 1'!$K:$K,'Таблиця 1'!$B:$B,$A630,'Таблиця 1'!$I:$I,"Су-25",'Таблиця 1'!$J:$J,"C-13")+SUMIFS('Таблиця 1'!$K:$K,'Таблиця 1'!$B:$B,$A630,'Таблиця 1'!$I:$I,"Су-27",'Таблиця 1'!$J:$J,"C-13"))</f>
        <v/>
      </c>
      <c r="P630">
        <f>IF($A630="","",SUMIFS('Таблиця 1'!$K:$K,'Таблиця 1'!$B:$B,$A630,'Таблиця 1'!$I:$I,"Mirage",'Таблиця 1'!$J:$J,"MK-32")+SUMIFS('Таблиця 1'!$K:$K,'Таблиця 1'!$B:$B,$A630,'Таблиця 1'!$I:$I,"F-16",'Таблиця 1'!$J:$J,"MK-32")+SUMIFS('Таблиця 1'!$K:$K,'Таблиця 1'!$B:$B,$A630,'Таблиця 1'!$I:$I,"МіГ-29",'Таблиця 1'!$J:$J,"MK-32")+SUMIFS('Таблиця 1'!$K:$K,'Таблиця 1'!$B:$B,$A630,'Таблиця 1'!$I:$I,"Су-25",'Таблиця 1'!$J:$J,"MK-32")+SUMIFS('Таблиця 1'!$K:$K,'Таблиця 1'!$B:$B,$A630,'Таблиця 1'!$I:$I,"Су-27",'Таблиця 1'!$J:$J,"MK-32"))</f>
        <v/>
      </c>
      <c r="Q630">
        <f>IF($A630="","",SUMIFS('Таблиця 1'!$K:$K,'Таблиця 1'!$B:$B,$A630,'Таблиця 1'!$I:$I,"Mirage",'Таблиця 1'!$J:$J,"MK-24")+SUMIFS('Таблиця 1'!$K:$K,'Таблиця 1'!$B:$B,$A630,'Таблиця 1'!$I:$I,"F-16",'Таблиця 1'!$J:$J,"MK-24")+SUMIFS('Таблиця 1'!$K:$K,'Таблиця 1'!$B:$B,$A630,'Таблиця 1'!$I:$I,"МіГ-29",'Таблиця 1'!$J:$J,"MK-24")+SUMIFS('Таблиця 1'!$K:$K,'Таблиця 1'!$B:$B,$A630,'Таблиця 1'!$I:$I,"Су-25",'Таблиця 1'!$J:$J,"MK-24")+SUMIFS('Таблиця 1'!$K:$K,'Таблиця 1'!$B:$B,$A630,'Таблиця 1'!$I:$I,"Су-27",'Таблиця 1'!$J:$J,"MK-24"))</f>
        <v/>
      </c>
      <c r="R630">
        <f>IF($A630="","",COUNTIFS('Таблиця 1'!$B:$B,$A630,'Таблиця 1'!$I:$I,"Mirage",'Таблиця 1'!$L:$L,"Уражено")+COUNTIFS('Таблиця 1'!$B:$B,$A630,'Таблиця 1'!$I:$I,"F-16",'Таблиця 1'!$L:$L,"Уражено")+COUNTIFS('Таблиця 1'!$B:$B,$A630,'Таблиця 1'!$I:$I,"МіГ-29",'Таблиця 1'!$L:$L,"Уражено")+COUNTIFS('Таблиця 1'!$B:$B,$A630,'Таблиця 1'!$I:$I,"Су-25",'Таблиця 1'!$L:$L,"Уражено")+COUNTIFS('Таблиця 1'!$B:$B,$A630,'Таблиця 1'!$I:$I,"Су-27",'Таблиця 1'!$L:$L,"Уражено"))</f>
        <v/>
      </c>
      <c r="S630">
        <f>IF($A630="","",COUNTIFS('Таблиця 1'!$B:$B,$A630,'Таблиця 1'!$I:$I,"Mirage",'Таблиця 1'!$L:$L,"НЕ уражено")+COUNTIFS('Таблиця 1'!$B:$B,$A630,'Таблиця 1'!$I:$I,"F-16",'Таблиця 1'!$L:$L,"НЕ уражено")+COUNTIFS('Таблиця 1'!$B:$B,$A630,'Таблиця 1'!$I:$I,"МіГ-29",'Таблиця 1'!$L:$L,"НЕ уражено")+COUNTIFS('Таблиця 1'!$B:$B,$A630,'Таблиця 1'!$I:$I,"Су-25",'Таблиця 1'!$L:$L,"НЕ уражено")+COUNTIFS('Таблиця 1'!$B:$B,$A630,'Таблиця 1'!$I:$I,"Су-27",'Таблиця 1'!$L:$L,"НЕ уражено"))</f>
        <v/>
      </c>
      <c r="T630">
        <f>IF($A630="","",COUNTIFS('Таблиця 1'!$B:$B,$A630,'Таблиця 1'!$I:$I,"Mirage",'Таблиця 1'!$L:$L,"Дорозвідується")+COUNTIFS('Таблиця 1'!$B:$B,$A630,'Таблиця 1'!$I:$I,"F-16",'Таблиця 1'!$L:$L,"Дорозвідується")+COUNTIFS('Таблиця 1'!$B:$B,$A630,'Таблиця 1'!$I:$I,"МіГ-29",'Таблиця 1'!$L:$L,"Дорозвідується")+COUNTIFS('Таблиця 1'!$B:$B,$A630,'Таблиця 1'!$I:$I,"Су-25",'Таблиця 1'!$L:$L,"Дорозвідується")+COUNTIFS('Таблиця 1'!$B:$B,$A630,'Таблиця 1'!$I:$I,"Су-27",'Таблиця 1'!$L:$L,"Дорозвідується"))</f>
        <v/>
      </c>
    </row>
    <row r="631">
      <c r="A631" s="273">
        <f>IF(A630="","",IF(A630+1&gt;MAX('Таблиця 1'!$B:$B),"",A630+1))</f>
        <v/>
      </c>
      <c r="B631">
        <f>IF($A631="","",COUNTIFS('Таблиця 1'!$B:$B,$A631,'Таблиця 1'!$I:$I,"Mirage")+COUNTIFS('Таблиця 1'!$B:$B,$A631,'Таблиця 1'!$I:$I,"F-16")+COUNTIFS('Таблиця 1'!$B:$B,$A631,'Таблиця 1'!$I:$I,"МіГ-29")+COUNTIFS('Таблиця 1'!$B:$B,$A631,'Таблиця 1'!$I:$I,"Су-25")+COUNTIFS('Таблиця 1'!$B:$B,$A631,'Таблиця 1'!$I:$I,"Су-27"))</f>
        <v/>
      </c>
      <c r="C631">
        <f>IF($A631="","",COUNTIFS('Таблиця 1'!$B:$B,$A631,'Таблиця 1'!$I:$I,"Mirage"))</f>
        <v/>
      </c>
      <c r="D631">
        <f>IF($A631="","",COUNTIFS('Таблиця 1'!$B:$B,$A631,'Таблиця 1'!$I:$I,"F-16"))</f>
        <v/>
      </c>
      <c r="E631">
        <f>IF($A631="","",COUNTIFS('Таблиця 1'!$B:$B,$A631,'Таблиця 1'!$I:$I,"МіГ-29"))</f>
        <v/>
      </c>
      <c r="F631">
        <f>IF($A631="","",COUNTIFS('Таблиця 1'!$B:$B,$A631,'Таблиця 1'!$I:$I,"Су-25"))</f>
        <v/>
      </c>
      <c r="G631">
        <f>IF($A631="","",COUNTIFS('Таблиця 1'!$B:$B,$A631,'Таблиця 1'!$I:$I,"Су-27"))</f>
        <v/>
      </c>
      <c r="H631">
        <f>IF($A631="","",SUMIFS('Таблиця 1'!$K:$K,'Таблиця 1'!$B:$B,$A631,'Таблиця 1'!$I:$I,"Mirage",'Таблиця 1'!$J:$J,"AGM-88")+SUMIFS('Таблиця 1'!$K:$K,'Таблиця 1'!$B:$B,$A631,'Таблиця 1'!$I:$I,"F-16",'Таблиця 1'!$J:$J,"AGM-88")+SUMIFS('Таблиця 1'!$K:$K,'Таблиця 1'!$B:$B,$A631,'Таблиця 1'!$I:$I,"МіГ-29",'Таблиця 1'!$J:$J,"AGM-88")+SUMIFS('Таблиця 1'!$K:$K,'Таблиця 1'!$B:$B,$A631,'Таблиця 1'!$I:$I,"Су-25",'Таблиця 1'!$J:$J,"AGM-88")+SUMIFS('Таблиця 1'!$K:$K,'Таблиця 1'!$B:$B,$A631,'Таблиця 1'!$I:$I,"Су-27",'Таблиця 1'!$J:$J,"AGM-88"))</f>
        <v/>
      </c>
      <c r="I631">
        <f>IF($A631="","",SUMIFS('Таблиця 1'!$K:$K,'Таблиця 1'!$B:$B,$A631,'Таблиця 1'!$I:$I,"Mirage",'Таблиця 1'!$J:$J,"AASM-250")+SUMIFS('Таблиця 1'!$K:$K,'Таблиця 1'!$B:$B,$A631,'Таблиця 1'!$I:$I,"F-16",'Таблиця 1'!$J:$J,"AASM-250")+SUMIFS('Таблиця 1'!$K:$K,'Таблиця 1'!$B:$B,$A631,'Таблиця 1'!$I:$I,"МіГ-29",'Таблиця 1'!$J:$J,"AASM-250")+SUMIFS('Таблиця 1'!$K:$K,'Таблиця 1'!$B:$B,$A631,'Таблиця 1'!$I:$I,"Су-25",'Таблиця 1'!$J:$J,"AASM-250")+SUMIFS('Таблиця 1'!$K:$K,'Таблиця 1'!$B:$B,$A631,'Таблиця 1'!$I:$I,"Су-27",'Таблиця 1'!$J:$J,"AASM-250"))</f>
        <v/>
      </c>
      <c r="J631">
        <f>IF($A631="","",SUMIFS('Таблиця 1'!$K:$K,'Таблиця 1'!$B:$B,$A631,'Таблиця 1'!$I:$I,"Mirage",'Таблиця 1'!$J:$J,"GBU-39")+SUMIFS('Таблиця 1'!$K:$K,'Таблиця 1'!$B:$B,$A631,'Таблиця 1'!$I:$I,"F-16",'Таблиця 1'!$J:$J,"GBU-39")+SUMIFS('Таблиця 1'!$K:$K,'Таблиця 1'!$B:$B,$A631,'Таблиця 1'!$I:$I,"МіГ-29",'Таблиця 1'!$J:$J,"GBU-39")+SUMIFS('Таблиця 1'!$K:$K,'Таблиця 1'!$B:$B,$A631,'Таблиця 1'!$I:$I,"Су-25",'Таблиця 1'!$J:$J,"GBU-39")+SUMIFS('Таблиця 1'!$K:$K,'Таблиця 1'!$B:$B,$A631,'Таблиця 1'!$I:$I,"Су-27",'Таблиця 1'!$J:$J,"GBU-39"))</f>
        <v/>
      </c>
      <c r="K631">
        <f>IF($A631="","",SUMIFS('Таблиця 1'!$K:$K,'Таблиця 1'!$B:$B,$A631,'Таблиця 1'!$I:$I,"Mirage",'Таблиця 1'!$J:$J,"BLU-140")+SUMIFS('Таблиця 1'!$K:$K,'Таблиця 1'!$B:$B,$A631,'Таблиця 1'!$I:$I,"F-16",'Таблиця 1'!$J:$J,"BLU-140")+SUMIFS('Таблиця 1'!$K:$K,'Таблиця 1'!$B:$B,$A631,'Таблиця 1'!$I:$I,"МіГ-29",'Таблиця 1'!$J:$J,"BLU-140")+SUMIFS('Таблиця 1'!$K:$K,'Таблиця 1'!$B:$B,$A631,'Таблиця 1'!$I:$I,"Су-25",'Таблиця 1'!$J:$J,"BLU-140")+SUMIFS('Таблиця 1'!$K:$K,'Таблиця 1'!$B:$B,$A631,'Таблиця 1'!$I:$I,"Су-27",'Таблиця 1'!$J:$J,"BLU-140"))</f>
        <v/>
      </c>
      <c r="L631">
        <f>IF($A631="","",SUMIFS('Таблиця 1'!$K:$K,'Таблиця 1'!$B:$B,$A631,'Таблиця 1'!$I:$I,"Mirage",'Таблиця 1'!$J:$J,"GBU-65")+SUMIFS('Таблиця 1'!$K:$K,'Таблиця 1'!$B:$B,$A631,'Таблиця 1'!$I:$I,"F-16",'Таблиця 1'!$J:$J,"GBU-65")+SUMIFS('Таблиця 1'!$K:$K,'Таблиця 1'!$B:$B,$A631,'Таблиця 1'!$I:$I,"МіГ-29",'Таблиця 1'!$J:$J,"GBU-65")+SUMIFS('Таблиця 1'!$K:$K,'Таблиця 1'!$B:$B,$A631,'Таблиця 1'!$I:$I,"Су-25",'Таблиця 1'!$J:$J,"GBU-65")+SUMIFS('Таблиця 1'!$K:$K,'Таблиця 1'!$B:$B,$A631,'Таблиця 1'!$I:$I,"Су-27",'Таблиця 1'!$J:$J,"GBU-65"))</f>
        <v/>
      </c>
      <c r="M631">
        <f>IF($A631="","",SUMIFS('Таблиця 1'!$K:$K,'Таблиця 1'!$B:$B,$A631,'Таблиця 1'!$I:$I,"Mirage",'Таблиця 1'!$J:$J,"GBU-62")+SUMIFS('Таблиця 1'!$K:$K,'Таблиця 1'!$B:$B,$A631,'Таблиця 1'!$I:$I,"F-16",'Таблиця 1'!$J:$J,"GBU-62")+SUMIFS('Таблиця 1'!$K:$K,'Таблиця 1'!$B:$B,$A631,'Таблиця 1'!$I:$I,"МіГ-29",'Таблиця 1'!$J:$J,"GBU-62")+SUMIFS('Таблиця 1'!$K:$K,'Таблиця 1'!$B:$B,$A631,'Таблиця 1'!$I:$I,"Су-25",'Таблиця 1'!$J:$J,"GBU-62")+SUMIFS('Таблиця 1'!$K:$K,'Таблиця 1'!$B:$B,$A631,'Таблиця 1'!$I:$I,"Су-27",'Таблиця 1'!$J:$J,"GBU-62"))</f>
        <v/>
      </c>
      <c r="N631">
        <f>IF($A631="","",SUMIFS('Таблиця 1'!$K:$K,'Таблиця 1'!$B:$B,$A631,'Таблиця 1'!$I:$I,"Mirage",'Таблиця 1'!$J:$J,"GBU-64")+SUMIFS('Таблиця 1'!$K:$K,'Таблиця 1'!$B:$B,$A631,'Таблиця 1'!$I:$I,"F-16",'Таблиця 1'!$J:$J,"GBU-64")+SUMIFS('Таблиця 1'!$K:$K,'Таблиця 1'!$B:$B,$A631,'Таблиця 1'!$I:$I,"МіГ-29",'Таблиця 1'!$J:$J,"GBU-64")+SUMIFS('Таблиця 1'!$K:$K,'Таблиця 1'!$B:$B,$A631,'Таблиця 1'!$I:$I,"Су-25",'Таблиця 1'!$J:$J,"GBU-64")+SUMIFS('Таблиця 1'!$K:$K,'Таблиця 1'!$B:$B,$A631,'Таблиця 1'!$I:$I,"Су-27",'Таблиця 1'!$J:$J,"GBU-64"))</f>
        <v/>
      </c>
      <c r="O631">
        <f>IF($A631="","",SUMIFS('Таблиця 1'!$K:$K,'Таблиця 1'!$B:$B,$A631,'Таблиця 1'!$I:$I,"Mirage",'Таблиця 1'!$J:$J,"C-13")+SUMIFS('Таблиця 1'!$K:$K,'Таблиця 1'!$B:$B,$A631,'Таблиця 1'!$I:$I,"F-16",'Таблиця 1'!$J:$J,"C-13")+SUMIFS('Таблиця 1'!$K:$K,'Таблиця 1'!$B:$B,$A631,'Таблиця 1'!$I:$I,"МіГ-29",'Таблиця 1'!$J:$J,"C-13")+SUMIFS('Таблиця 1'!$K:$K,'Таблиця 1'!$B:$B,$A631,'Таблиця 1'!$I:$I,"Су-25",'Таблиця 1'!$J:$J,"C-13")+SUMIFS('Таблиця 1'!$K:$K,'Таблиця 1'!$B:$B,$A631,'Таблиця 1'!$I:$I,"Су-27",'Таблиця 1'!$J:$J,"C-13"))</f>
        <v/>
      </c>
      <c r="P631">
        <f>IF($A631="","",SUMIFS('Таблиця 1'!$K:$K,'Таблиця 1'!$B:$B,$A631,'Таблиця 1'!$I:$I,"Mirage",'Таблиця 1'!$J:$J,"MK-32")+SUMIFS('Таблиця 1'!$K:$K,'Таблиця 1'!$B:$B,$A631,'Таблиця 1'!$I:$I,"F-16",'Таблиця 1'!$J:$J,"MK-32")+SUMIFS('Таблиця 1'!$K:$K,'Таблиця 1'!$B:$B,$A631,'Таблиця 1'!$I:$I,"МіГ-29",'Таблиця 1'!$J:$J,"MK-32")+SUMIFS('Таблиця 1'!$K:$K,'Таблиця 1'!$B:$B,$A631,'Таблиця 1'!$I:$I,"Су-25",'Таблиця 1'!$J:$J,"MK-32")+SUMIFS('Таблиця 1'!$K:$K,'Таблиця 1'!$B:$B,$A631,'Таблиця 1'!$I:$I,"Су-27",'Таблиця 1'!$J:$J,"MK-32"))</f>
        <v/>
      </c>
      <c r="Q631">
        <f>IF($A631="","",SUMIFS('Таблиця 1'!$K:$K,'Таблиця 1'!$B:$B,$A631,'Таблиця 1'!$I:$I,"Mirage",'Таблиця 1'!$J:$J,"MK-24")+SUMIFS('Таблиця 1'!$K:$K,'Таблиця 1'!$B:$B,$A631,'Таблиця 1'!$I:$I,"F-16",'Таблиця 1'!$J:$J,"MK-24")+SUMIFS('Таблиця 1'!$K:$K,'Таблиця 1'!$B:$B,$A631,'Таблиця 1'!$I:$I,"МіГ-29",'Таблиця 1'!$J:$J,"MK-24")+SUMIFS('Таблиця 1'!$K:$K,'Таблиця 1'!$B:$B,$A631,'Таблиця 1'!$I:$I,"Су-25",'Таблиця 1'!$J:$J,"MK-24")+SUMIFS('Таблиця 1'!$K:$K,'Таблиця 1'!$B:$B,$A631,'Таблиця 1'!$I:$I,"Су-27",'Таблиця 1'!$J:$J,"MK-24"))</f>
        <v/>
      </c>
      <c r="R631">
        <f>IF($A631="","",COUNTIFS('Таблиця 1'!$B:$B,$A631,'Таблиця 1'!$I:$I,"Mirage",'Таблиця 1'!$L:$L,"Уражено")+COUNTIFS('Таблиця 1'!$B:$B,$A631,'Таблиця 1'!$I:$I,"F-16",'Таблиця 1'!$L:$L,"Уражено")+COUNTIFS('Таблиця 1'!$B:$B,$A631,'Таблиця 1'!$I:$I,"МіГ-29",'Таблиця 1'!$L:$L,"Уражено")+COUNTIFS('Таблиця 1'!$B:$B,$A631,'Таблиця 1'!$I:$I,"Су-25",'Таблиця 1'!$L:$L,"Уражено")+COUNTIFS('Таблиця 1'!$B:$B,$A631,'Таблиця 1'!$I:$I,"Су-27",'Таблиця 1'!$L:$L,"Уражено"))</f>
        <v/>
      </c>
      <c r="S631">
        <f>IF($A631="","",COUNTIFS('Таблиця 1'!$B:$B,$A631,'Таблиця 1'!$I:$I,"Mirage",'Таблиця 1'!$L:$L,"НЕ уражено")+COUNTIFS('Таблиця 1'!$B:$B,$A631,'Таблиця 1'!$I:$I,"F-16",'Таблиця 1'!$L:$L,"НЕ уражено")+COUNTIFS('Таблиця 1'!$B:$B,$A631,'Таблиця 1'!$I:$I,"МіГ-29",'Таблиця 1'!$L:$L,"НЕ уражено")+COUNTIFS('Таблиця 1'!$B:$B,$A631,'Таблиця 1'!$I:$I,"Су-25",'Таблиця 1'!$L:$L,"НЕ уражено")+COUNTIFS('Таблиця 1'!$B:$B,$A631,'Таблиця 1'!$I:$I,"Су-27",'Таблиця 1'!$L:$L,"НЕ уражено"))</f>
        <v/>
      </c>
      <c r="T631">
        <f>IF($A631="","",COUNTIFS('Таблиця 1'!$B:$B,$A631,'Таблиця 1'!$I:$I,"Mirage",'Таблиця 1'!$L:$L,"Дорозвідується")+COUNTIFS('Таблиця 1'!$B:$B,$A631,'Таблиця 1'!$I:$I,"F-16",'Таблиця 1'!$L:$L,"Дорозвідується")+COUNTIFS('Таблиця 1'!$B:$B,$A631,'Таблиця 1'!$I:$I,"МіГ-29",'Таблиця 1'!$L:$L,"Дорозвідується")+COUNTIFS('Таблиця 1'!$B:$B,$A631,'Таблиця 1'!$I:$I,"Су-25",'Таблиця 1'!$L:$L,"Дорозвідується")+COUNTIFS('Таблиця 1'!$B:$B,$A631,'Таблиця 1'!$I:$I,"Су-27",'Таблиця 1'!$L:$L,"Дорозвідується"))</f>
        <v/>
      </c>
    </row>
    <row r="632">
      <c r="A632" s="273">
        <f>IF(A631="","",IF(A631+1&gt;MAX('Таблиця 1'!$B:$B),"",A631+1))</f>
        <v/>
      </c>
      <c r="B632">
        <f>IF($A632="","",COUNTIFS('Таблиця 1'!$B:$B,$A632,'Таблиця 1'!$I:$I,"Mirage")+COUNTIFS('Таблиця 1'!$B:$B,$A632,'Таблиця 1'!$I:$I,"F-16")+COUNTIFS('Таблиця 1'!$B:$B,$A632,'Таблиця 1'!$I:$I,"МіГ-29")+COUNTIFS('Таблиця 1'!$B:$B,$A632,'Таблиця 1'!$I:$I,"Су-25")+COUNTIFS('Таблиця 1'!$B:$B,$A632,'Таблиця 1'!$I:$I,"Су-27"))</f>
        <v/>
      </c>
      <c r="C632">
        <f>IF($A632="","",COUNTIFS('Таблиця 1'!$B:$B,$A632,'Таблиця 1'!$I:$I,"Mirage"))</f>
        <v/>
      </c>
      <c r="D632">
        <f>IF($A632="","",COUNTIFS('Таблиця 1'!$B:$B,$A632,'Таблиця 1'!$I:$I,"F-16"))</f>
        <v/>
      </c>
      <c r="E632">
        <f>IF($A632="","",COUNTIFS('Таблиця 1'!$B:$B,$A632,'Таблиця 1'!$I:$I,"МіГ-29"))</f>
        <v/>
      </c>
      <c r="F632">
        <f>IF($A632="","",COUNTIFS('Таблиця 1'!$B:$B,$A632,'Таблиця 1'!$I:$I,"Су-25"))</f>
        <v/>
      </c>
      <c r="G632">
        <f>IF($A632="","",COUNTIFS('Таблиця 1'!$B:$B,$A632,'Таблиця 1'!$I:$I,"Су-27"))</f>
        <v/>
      </c>
      <c r="H632">
        <f>IF($A632="","",SUMIFS('Таблиця 1'!$K:$K,'Таблиця 1'!$B:$B,$A632,'Таблиця 1'!$I:$I,"Mirage",'Таблиця 1'!$J:$J,"AGM-88")+SUMIFS('Таблиця 1'!$K:$K,'Таблиця 1'!$B:$B,$A632,'Таблиця 1'!$I:$I,"F-16",'Таблиця 1'!$J:$J,"AGM-88")+SUMIFS('Таблиця 1'!$K:$K,'Таблиця 1'!$B:$B,$A632,'Таблиця 1'!$I:$I,"МіГ-29",'Таблиця 1'!$J:$J,"AGM-88")+SUMIFS('Таблиця 1'!$K:$K,'Таблиця 1'!$B:$B,$A632,'Таблиця 1'!$I:$I,"Су-25",'Таблиця 1'!$J:$J,"AGM-88")+SUMIFS('Таблиця 1'!$K:$K,'Таблиця 1'!$B:$B,$A632,'Таблиця 1'!$I:$I,"Су-27",'Таблиця 1'!$J:$J,"AGM-88"))</f>
        <v/>
      </c>
      <c r="I632">
        <f>IF($A632="","",SUMIFS('Таблиця 1'!$K:$K,'Таблиця 1'!$B:$B,$A632,'Таблиця 1'!$I:$I,"Mirage",'Таблиця 1'!$J:$J,"AASM-250")+SUMIFS('Таблиця 1'!$K:$K,'Таблиця 1'!$B:$B,$A632,'Таблиця 1'!$I:$I,"F-16",'Таблиця 1'!$J:$J,"AASM-250")+SUMIFS('Таблиця 1'!$K:$K,'Таблиця 1'!$B:$B,$A632,'Таблиця 1'!$I:$I,"МіГ-29",'Таблиця 1'!$J:$J,"AASM-250")+SUMIFS('Таблиця 1'!$K:$K,'Таблиця 1'!$B:$B,$A632,'Таблиця 1'!$I:$I,"Су-25",'Таблиця 1'!$J:$J,"AASM-250")+SUMIFS('Таблиця 1'!$K:$K,'Таблиця 1'!$B:$B,$A632,'Таблиця 1'!$I:$I,"Су-27",'Таблиця 1'!$J:$J,"AASM-250"))</f>
        <v/>
      </c>
      <c r="J632">
        <f>IF($A632="","",SUMIFS('Таблиця 1'!$K:$K,'Таблиця 1'!$B:$B,$A632,'Таблиця 1'!$I:$I,"Mirage",'Таблиця 1'!$J:$J,"GBU-39")+SUMIFS('Таблиця 1'!$K:$K,'Таблиця 1'!$B:$B,$A632,'Таблиця 1'!$I:$I,"F-16",'Таблиця 1'!$J:$J,"GBU-39")+SUMIFS('Таблиця 1'!$K:$K,'Таблиця 1'!$B:$B,$A632,'Таблиця 1'!$I:$I,"МіГ-29",'Таблиця 1'!$J:$J,"GBU-39")+SUMIFS('Таблиця 1'!$K:$K,'Таблиця 1'!$B:$B,$A632,'Таблиця 1'!$I:$I,"Су-25",'Таблиця 1'!$J:$J,"GBU-39")+SUMIFS('Таблиця 1'!$K:$K,'Таблиця 1'!$B:$B,$A632,'Таблиця 1'!$I:$I,"Су-27",'Таблиця 1'!$J:$J,"GBU-39"))</f>
        <v/>
      </c>
      <c r="K632">
        <f>IF($A632="","",SUMIFS('Таблиця 1'!$K:$K,'Таблиця 1'!$B:$B,$A632,'Таблиця 1'!$I:$I,"Mirage",'Таблиця 1'!$J:$J,"BLU-140")+SUMIFS('Таблиця 1'!$K:$K,'Таблиця 1'!$B:$B,$A632,'Таблиця 1'!$I:$I,"F-16",'Таблиця 1'!$J:$J,"BLU-140")+SUMIFS('Таблиця 1'!$K:$K,'Таблиця 1'!$B:$B,$A632,'Таблиця 1'!$I:$I,"МіГ-29",'Таблиця 1'!$J:$J,"BLU-140")+SUMIFS('Таблиця 1'!$K:$K,'Таблиця 1'!$B:$B,$A632,'Таблиця 1'!$I:$I,"Су-25",'Таблиця 1'!$J:$J,"BLU-140")+SUMIFS('Таблиця 1'!$K:$K,'Таблиця 1'!$B:$B,$A632,'Таблиця 1'!$I:$I,"Су-27",'Таблиця 1'!$J:$J,"BLU-140"))</f>
        <v/>
      </c>
      <c r="L632">
        <f>IF($A632="","",SUMIFS('Таблиця 1'!$K:$K,'Таблиця 1'!$B:$B,$A632,'Таблиця 1'!$I:$I,"Mirage",'Таблиця 1'!$J:$J,"GBU-65")+SUMIFS('Таблиця 1'!$K:$K,'Таблиця 1'!$B:$B,$A632,'Таблиця 1'!$I:$I,"F-16",'Таблиця 1'!$J:$J,"GBU-65")+SUMIFS('Таблиця 1'!$K:$K,'Таблиця 1'!$B:$B,$A632,'Таблиця 1'!$I:$I,"МіГ-29",'Таблиця 1'!$J:$J,"GBU-65")+SUMIFS('Таблиця 1'!$K:$K,'Таблиця 1'!$B:$B,$A632,'Таблиця 1'!$I:$I,"Су-25",'Таблиця 1'!$J:$J,"GBU-65")+SUMIFS('Таблиця 1'!$K:$K,'Таблиця 1'!$B:$B,$A632,'Таблиця 1'!$I:$I,"Су-27",'Таблиця 1'!$J:$J,"GBU-65"))</f>
        <v/>
      </c>
      <c r="M632">
        <f>IF($A632="","",SUMIFS('Таблиця 1'!$K:$K,'Таблиця 1'!$B:$B,$A632,'Таблиця 1'!$I:$I,"Mirage",'Таблиця 1'!$J:$J,"GBU-62")+SUMIFS('Таблиця 1'!$K:$K,'Таблиця 1'!$B:$B,$A632,'Таблиця 1'!$I:$I,"F-16",'Таблиця 1'!$J:$J,"GBU-62")+SUMIFS('Таблиця 1'!$K:$K,'Таблиця 1'!$B:$B,$A632,'Таблиця 1'!$I:$I,"МіГ-29",'Таблиця 1'!$J:$J,"GBU-62")+SUMIFS('Таблиця 1'!$K:$K,'Таблиця 1'!$B:$B,$A632,'Таблиця 1'!$I:$I,"Су-25",'Таблиця 1'!$J:$J,"GBU-62")+SUMIFS('Таблиця 1'!$K:$K,'Таблиця 1'!$B:$B,$A632,'Таблиця 1'!$I:$I,"Су-27",'Таблиця 1'!$J:$J,"GBU-62"))</f>
        <v/>
      </c>
      <c r="N632">
        <f>IF($A632="","",SUMIFS('Таблиця 1'!$K:$K,'Таблиця 1'!$B:$B,$A632,'Таблиця 1'!$I:$I,"Mirage",'Таблиця 1'!$J:$J,"GBU-64")+SUMIFS('Таблиця 1'!$K:$K,'Таблиця 1'!$B:$B,$A632,'Таблиця 1'!$I:$I,"F-16",'Таблиця 1'!$J:$J,"GBU-64")+SUMIFS('Таблиця 1'!$K:$K,'Таблиця 1'!$B:$B,$A632,'Таблиця 1'!$I:$I,"МіГ-29",'Таблиця 1'!$J:$J,"GBU-64")+SUMIFS('Таблиця 1'!$K:$K,'Таблиця 1'!$B:$B,$A632,'Таблиця 1'!$I:$I,"Су-25",'Таблиця 1'!$J:$J,"GBU-64")+SUMIFS('Таблиця 1'!$K:$K,'Таблиця 1'!$B:$B,$A632,'Таблиця 1'!$I:$I,"Су-27",'Таблиця 1'!$J:$J,"GBU-64"))</f>
        <v/>
      </c>
      <c r="O632">
        <f>IF($A632="","",SUMIFS('Таблиця 1'!$K:$K,'Таблиця 1'!$B:$B,$A632,'Таблиця 1'!$I:$I,"Mirage",'Таблиця 1'!$J:$J,"C-13")+SUMIFS('Таблиця 1'!$K:$K,'Таблиця 1'!$B:$B,$A632,'Таблиця 1'!$I:$I,"F-16",'Таблиця 1'!$J:$J,"C-13")+SUMIFS('Таблиця 1'!$K:$K,'Таблиця 1'!$B:$B,$A632,'Таблиця 1'!$I:$I,"МіГ-29",'Таблиця 1'!$J:$J,"C-13")+SUMIFS('Таблиця 1'!$K:$K,'Таблиця 1'!$B:$B,$A632,'Таблиця 1'!$I:$I,"Су-25",'Таблиця 1'!$J:$J,"C-13")+SUMIFS('Таблиця 1'!$K:$K,'Таблиця 1'!$B:$B,$A632,'Таблиця 1'!$I:$I,"Су-27",'Таблиця 1'!$J:$J,"C-13"))</f>
        <v/>
      </c>
      <c r="P632">
        <f>IF($A632="","",SUMIFS('Таблиця 1'!$K:$K,'Таблиця 1'!$B:$B,$A632,'Таблиця 1'!$I:$I,"Mirage",'Таблиця 1'!$J:$J,"MK-32")+SUMIFS('Таблиця 1'!$K:$K,'Таблиця 1'!$B:$B,$A632,'Таблиця 1'!$I:$I,"F-16",'Таблиця 1'!$J:$J,"MK-32")+SUMIFS('Таблиця 1'!$K:$K,'Таблиця 1'!$B:$B,$A632,'Таблиця 1'!$I:$I,"МіГ-29",'Таблиця 1'!$J:$J,"MK-32")+SUMIFS('Таблиця 1'!$K:$K,'Таблиця 1'!$B:$B,$A632,'Таблиця 1'!$I:$I,"Су-25",'Таблиця 1'!$J:$J,"MK-32")+SUMIFS('Таблиця 1'!$K:$K,'Таблиця 1'!$B:$B,$A632,'Таблиця 1'!$I:$I,"Су-27",'Таблиця 1'!$J:$J,"MK-32"))</f>
        <v/>
      </c>
      <c r="Q632">
        <f>IF($A632="","",SUMIFS('Таблиця 1'!$K:$K,'Таблиця 1'!$B:$B,$A632,'Таблиця 1'!$I:$I,"Mirage",'Таблиця 1'!$J:$J,"MK-24")+SUMIFS('Таблиця 1'!$K:$K,'Таблиця 1'!$B:$B,$A632,'Таблиця 1'!$I:$I,"F-16",'Таблиця 1'!$J:$J,"MK-24")+SUMIFS('Таблиця 1'!$K:$K,'Таблиця 1'!$B:$B,$A632,'Таблиця 1'!$I:$I,"МіГ-29",'Таблиця 1'!$J:$J,"MK-24")+SUMIFS('Таблиця 1'!$K:$K,'Таблиця 1'!$B:$B,$A632,'Таблиця 1'!$I:$I,"Су-25",'Таблиця 1'!$J:$J,"MK-24")+SUMIFS('Таблиця 1'!$K:$K,'Таблиця 1'!$B:$B,$A632,'Таблиця 1'!$I:$I,"Су-27",'Таблиця 1'!$J:$J,"MK-24"))</f>
        <v/>
      </c>
      <c r="R632">
        <f>IF($A632="","",COUNTIFS('Таблиця 1'!$B:$B,$A632,'Таблиця 1'!$I:$I,"Mirage",'Таблиця 1'!$L:$L,"Уражено")+COUNTIFS('Таблиця 1'!$B:$B,$A632,'Таблиця 1'!$I:$I,"F-16",'Таблиця 1'!$L:$L,"Уражено")+COUNTIFS('Таблиця 1'!$B:$B,$A632,'Таблиця 1'!$I:$I,"МіГ-29",'Таблиця 1'!$L:$L,"Уражено")+COUNTIFS('Таблиця 1'!$B:$B,$A632,'Таблиця 1'!$I:$I,"Су-25",'Таблиця 1'!$L:$L,"Уражено")+COUNTIFS('Таблиця 1'!$B:$B,$A632,'Таблиця 1'!$I:$I,"Су-27",'Таблиця 1'!$L:$L,"Уражено"))</f>
        <v/>
      </c>
      <c r="S632">
        <f>IF($A632="","",COUNTIFS('Таблиця 1'!$B:$B,$A632,'Таблиця 1'!$I:$I,"Mirage",'Таблиця 1'!$L:$L,"НЕ уражено")+COUNTIFS('Таблиця 1'!$B:$B,$A632,'Таблиця 1'!$I:$I,"F-16",'Таблиця 1'!$L:$L,"НЕ уражено")+COUNTIFS('Таблиця 1'!$B:$B,$A632,'Таблиця 1'!$I:$I,"МіГ-29",'Таблиця 1'!$L:$L,"НЕ уражено")+COUNTIFS('Таблиця 1'!$B:$B,$A632,'Таблиця 1'!$I:$I,"Су-25",'Таблиця 1'!$L:$L,"НЕ уражено")+COUNTIFS('Таблиця 1'!$B:$B,$A632,'Таблиця 1'!$I:$I,"Су-27",'Таблиця 1'!$L:$L,"НЕ уражено"))</f>
        <v/>
      </c>
      <c r="T632">
        <f>IF($A632="","",COUNTIFS('Таблиця 1'!$B:$B,$A632,'Таблиця 1'!$I:$I,"Mirage",'Таблиця 1'!$L:$L,"Дорозвідується")+COUNTIFS('Таблиця 1'!$B:$B,$A632,'Таблиця 1'!$I:$I,"F-16",'Таблиця 1'!$L:$L,"Дорозвідується")+COUNTIFS('Таблиця 1'!$B:$B,$A632,'Таблиця 1'!$I:$I,"МіГ-29",'Таблиця 1'!$L:$L,"Дорозвідується")+COUNTIFS('Таблиця 1'!$B:$B,$A632,'Таблиця 1'!$I:$I,"Су-25",'Таблиця 1'!$L:$L,"Дорозвідується")+COUNTIFS('Таблиця 1'!$B:$B,$A632,'Таблиця 1'!$I:$I,"Су-27",'Таблиця 1'!$L:$L,"Дорозвідується"))</f>
        <v/>
      </c>
    </row>
    <row r="633">
      <c r="A633" s="273">
        <f>IF(A632="","",IF(A632+1&gt;MAX('Таблиця 1'!$B:$B),"",A632+1))</f>
        <v/>
      </c>
      <c r="B633">
        <f>IF($A633="","",COUNTIFS('Таблиця 1'!$B:$B,$A633,'Таблиця 1'!$I:$I,"Mirage")+COUNTIFS('Таблиця 1'!$B:$B,$A633,'Таблиця 1'!$I:$I,"F-16")+COUNTIFS('Таблиця 1'!$B:$B,$A633,'Таблиця 1'!$I:$I,"МіГ-29")+COUNTIFS('Таблиця 1'!$B:$B,$A633,'Таблиця 1'!$I:$I,"Су-25")+COUNTIFS('Таблиця 1'!$B:$B,$A633,'Таблиця 1'!$I:$I,"Су-27"))</f>
        <v/>
      </c>
      <c r="C633">
        <f>IF($A633="","",COUNTIFS('Таблиця 1'!$B:$B,$A633,'Таблиця 1'!$I:$I,"Mirage"))</f>
        <v/>
      </c>
      <c r="D633">
        <f>IF($A633="","",COUNTIFS('Таблиця 1'!$B:$B,$A633,'Таблиця 1'!$I:$I,"F-16"))</f>
        <v/>
      </c>
      <c r="E633">
        <f>IF($A633="","",COUNTIFS('Таблиця 1'!$B:$B,$A633,'Таблиця 1'!$I:$I,"МіГ-29"))</f>
        <v/>
      </c>
      <c r="F633">
        <f>IF($A633="","",COUNTIFS('Таблиця 1'!$B:$B,$A633,'Таблиця 1'!$I:$I,"Су-25"))</f>
        <v/>
      </c>
      <c r="G633">
        <f>IF($A633="","",COUNTIFS('Таблиця 1'!$B:$B,$A633,'Таблиця 1'!$I:$I,"Су-27"))</f>
        <v/>
      </c>
      <c r="H633">
        <f>IF($A633="","",SUMIFS('Таблиця 1'!$K:$K,'Таблиця 1'!$B:$B,$A633,'Таблиця 1'!$I:$I,"Mirage",'Таблиця 1'!$J:$J,"AGM-88")+SUMIFS('Таблиця 1'!$K:$K,'Таблиця 1'!$B:$B,$A633,'Таблиця 1'!$I:$I,"F-16",'Таблиця 1'!$J:$J,"AGM-88")+SUMIFS('Таблиця 1'!$K:$K,'Таблиця 1'!$B:$B,$A633,'Таблиця 1'!$I:$I,"МіГ-29",'Таблиця 1'!$J:$J,"AGM-88")+SUMIFS('Таблиця 1'!$K:$K,'Таблиця 1'!$B:$B,$A633,'Таблиця 1'!$I:$I,"Су-25",'Таблиця 1'!$J:$J,"AGM-88")+SUMIFS('Таблиця 1'!$K:$K,'Таблиця 1'!$B:$B,$A633,'Таблиця 1'!$I:$I,"Су-27",'Таблиця 1'!$J:$J,"AGM-88"))</f>
        <v/>
      </c>
      <c r="I633">
        <f>IF($A633="","",SUMIFS('Таблиця 1'!$K:$K,'Таблиця 1'!$B:$B,$A633,'Таблиця 1'!$I:$I,"Mirage",'Таблиця 1'!$J:$J,"AASM-250")+SUMIFS('Таблиця 1'!$K:$K,'Таблиця 1'!$B:$B,$A633,'Таблиця 1'!$I:$I,"F-16",'Таблиця 1'!$J:$J,"AASM-250")+SUMIFS('Таблиця 1'!$K:$K,'Таблиця 1'!$B:$B,$A633,'Таблиця 1'!$I:$I,"МіГ-29",'Таблиця 1'!$J:$J,"AASM-250")+SUMIFS('Таблиця 1'!$K:$K,'Таблиця 1'!$B:$B,$A633,'Таблиця 1'!$I:$I,"Су-25",'Таблиця 1'!$J:$J,"AASM-250")+SUMIFS('Таблиця 1'!$K:$K,'Таблиця 1'!$B:$B,$A633,'Таблиця 1'!$I:$I,"Су-27",'Таблиця 1'!$J:$J,"AASM-250"))</f>
        <v/>
      </c>
      <c r="J633">
        <f>IF($A633="","",SUMIFS('Таблиця 1'!$K:$K,'Таблиця 1'!$B:$B,$A633,'Таблиця 1'!$I:$I,"Mirage",'Таблиця 1'!$J:$J,"GBU-39")+SUMIFS('Таблиця 1'!$K:$K,'Таблиця 1'!$B:$B,$A633,'Таблиця 1'!$I:$I,"F-16",'Таблиця 1'!$J:$J,"GBU-39")+SUMIFS('Таблиця 1'!$K:$K,'Таблиця 1'!$B:$B,$A633,'Таблиця 1'!$I:$I,"МіГ-29",'Таблиця 1'!$J:$J,"GBU-39")+SUMIFS('Таблиця 1'!$K:$K,'Таблиця 1'!$B:$B,$A633,'Таблиця 1'!$I:$I,"Су-25",'Таблиця 1'!$J:$J,"GBU-39")+SUMIFS('Таблиця 1'!$K:$K,'Таблиця 1'!$B:$B,$A633,'Таблиця 1'!$I:$I,"Су-27",'Таблиця 1'!$J:$J,"GBU-39"))</f>
        <v/>
      </c>
      <c r="K633">
        <f>IF($A633="","",SUMIFS('Таблиця 1'!$K:$K,'Таблиця 1'!$B:$B,$A633,'Таблиця 1'!$I:$I,"Mirage",'Таблиця 1'!$J:$J,"BLU-140")+SUMIFS('Таблиця 1'!$K:$K,'Таблиця 1'!$B:$B,$A633,'Таблиця 1'!$I:$I,"F-16",'Таблиця 1'!$J:$J,"BLU-140")+SUMIFS('Таблиця 1'!$K:$K,'Таблиця 1'!$B:$B,$A633,'Таблиця 1'!$I:$I,"МіГ-29",'Таблиця 1'!$J:$J,"BLU-140")+SUMIFS('Таблиця 1'!$K:$K,'Таблиця 1'!$B:$B,$A633,'Таблиця 1'!$I:$I,"Су-25",'Таблиця 1'!$J:$J,"BLU-140")+SUMIFS('Таблиця 1'!$K:$K,'Таблиця 1'!$B:$B,$A633,'Таблиця 1'!$I:$I,"Су-27",'Таблиця 1'!$J:$J,"BLU-140"))</f>
        <v/>
      </c>
      <c r="L633">
        <f>IF($A633="","",SUMIFS('Таблиця 1'!$K:$K,'Таблиця 1'!$B:$B,$A633,'Таблиця 1'!$I:$I,"Mirage",'Таблиця 1'!$J:$J,"GBU-65")+SUMIFS('Таблиця 1'!$K:$K,'Таблиця 1'!$B:$B,$A633,'Таблиця 1'!$I:$I,"F-16",'Таблиця 1'!$J:$J,"GBU-65")+SUMIFS('Таблиця 1'!$K:$K,'Таблиця 1'!$B:$B,$A633,'Таблиця 1'!$I:$I,"МіГ-29",'Таблиця 1'!$J:$J,"GBU-65")+SUMIFS('Таблиця 1'!$K:$K,'Таблиця 1'!$B:$B,$A633,'Таблиця 1'!$I:$I,"Су-25",'Таблиця 1'!$J:$J,"GBU-65")+SUMIFS('Таблиця 1'!$K:$K,'Таблиця 1'!$B:$B,$A633,'Таблиця 1'!$I:$I,"Су-27",'Таблиця 1'!$J:$J,"GBU-65"))</f>
        <v/>
      </c>
      <c r="M633">
        <f>IF($A633="","",SUMIFS('Таблиця 1'!$K:$K,'Таблиця 1'!$B:$B,$A633,'Таблиця 1'!$I:$I,"Mirage",'Таблиця 1'!$J:$J,"GBU-62")+SUMIFS('Таблиця 1'!$K:$K,'Таблиця 1'!$B:$B,$A633,'Таблиця 1'!$I:$I,"F-16",'Таблиця 1'!$J:$J,"GBU-62")+SUMIFS('Таблиця 1'!$K:$K,'Таблиця 1'!$B:$B,$A633,'Таблиця 1'!$I:$I,"МіГ-29",'Таблиця 1'!$J:$J,"GBU-62")+SUMIFS('Таблиця 1'!$K:$K,'Таблиця 1'!$B:$B,$A633,'Таблиця 1'!$I:$I,"Су-25",'Таблиця 1'!$J:$J,"GBU-62")+SUMIFS('Таблиця 1'!$K:$K,'Таблиця 1'!$B:$B,$A633,'Таблиця 1'!$I:$I,"Су-27",'Таблиця 1'!$J:$J,"GBU-62"))</f>
        <v/>
      </c>
      <c r="N633">
        <f>IF($A633="","",SUMIFS('Таблиця 1'!$K:$K,'Таблиця 1'!$B:$B,$A633,'Таблиця 1'!$I:$I,"Mirage",'Таблиця 1'!$J:$J,"GBU-64")+SUMIFS('Таблиця 1'!$K:$K,'Таблиця 1'!$B:$B,$A633,'Таблиця 1'!$I:$I,"F-16",'Таблиця 1'!$J:$J,"GBU-64")+SUMIFS('Таблиця 1'!$K:$K,'Таблиця 1'!$B:$B,$A633,'Таблиця 1'!$I:$I,"МіГ-29",'Таблиця 1'!$J:$J,"GBU-64")+SUMIFS('Таблиця 1'!$K:$K,'Таблиця 1'!$B:$B,$A633,'Таблиця 1'!$I:$I,"Су-25",'Таблиця 1'!$J:$J,"GBU-64")+SUMIFS('Таблиця 1'!$K:$K,'Таблиця 1'!$B:$B,$A633,'Таблиця 1'!$I:$I,"Су-27",'Таблиця 1'!$J:$J,"GBU-64"))</f>
        <v/>
      </c>
      <c r="O633">
        <f>IF($A633="","",SUMIFS('Таблиця 1'!$K:$K,'Таблиця 1'!$B:$B,$A633,'Таблиця 1'!$I:$I,"Mirage",'Таблиця 1'!$J:$J,"C-13")+SUMIFS('Таблиця 1'!$K:$K,'Таблиця 1'!$B:$B,$A633,'Таблиця 1'!$I:$I,"F-16",'Таблиця 1'!$J:$J,"C-13")+SUMIFS('Таблиця 1'!$K:$K,'Таблиця 1'!$B:$B,$A633,'Таблиця 1'!$I:$I,"МіГ-29",'Таблиця 1'!$J:$J,"C-13")+SUMIFS('Таблиця 1'!$K:$K,'Таблиця 1'!$B:$B,$A633,'Таблиця 1'!$I:$I,"Су-25",'Таблиця 1'!$J:$J,"C-13")+SUMIFS('Таблиця 1'!$K:$K,'Таблиця 1'!$B:$B,$A633,'Таблиця 1'!$I:$I,"Су-27",'Таблиця 1'!$J:$J,"C-13"))</f>
        <v/>
      </c>
      <c r="P633">
        <f>IF($A633="","",SUMIFS('Таблиця 1'!$K:$K,'Таблиця 1'!$B:$B,$A633,'Таблиця 1'!$I:$I,"Mirage",'Таблиця 1'!$J:$J,"MK-32")+SUMIFS('Таблиця 1'!$K:$K,'Таблиця 1'!$B:$B,$A633,'Таблиця 1'!$I:$I,"F-16",'Таблиця 1'!$J:$J,"MK-32")+SUMIFS('Таблиця 1'!$K:$K,'Таблиця 1'!$B:$B,$A633,'Таблиця 1'!$I:$I,"МіГ-29",'Таблиця 1'!$J:$J,"MK-32")+SUMIFS('Таблиця 1'!$K:$K,'Таблиця 1'!$B:$B,$A633,'Таблиця 1'!$I:$I,"Су-25",'Таблиця 1'!$J:$J,"MK-32")+SUMIFS('Таблиця 1'!$K:$K,'Таблиця 1'!$B:$B,$A633,'Таблиця 1'!$I:$I,"Су-27",'Таблиця 1'!$J:$J,"MK-32"))</f>
        <v/>
      </c>
      <c r="Q633">
        <f>IF($A633="","",SUMIFS('Таблиця 1'!$K:$K,'Таблиця 1'!$B:$B,$A633,'Таблиця 1'!$I:$I,"Mirage",'Таблиця 1'!$J:$J,"MK-24")+SUMIFS('Таблиця 1'!$K:$K,'Таблиця 1'!$B:$B,$A633,'Таблиця 1'!$I:$I,"F-16",'Таблиця 1'!$J:$J,"MK-24")+SUMIFS('Таблиця 1'!$K:$K,'Таблиця 1'!$B:$B,$A633,'Таблиця 1'!$I:$I,"МіГ-29",'Таблиця 1'!$J:$J,"MK-24")+SUMIFS('Таблиця 1'!$K:$K,'Таблиця 1'!$B:$B,$A633,'Таблиця 1'!$I:$I,"Су-25",'Таблиця 1'!$J:$J,"MK-24")+SUMIFS('Таблиця 1'!$K:$K,'Таблиця 1'!$B:$B,$A633,'Таблиця 1'!$I:$I,"Су-27",'Таблиця 1'!$J:$J,"MK-24"))</f>
        <v/>
      </c>
      <c r="R633">
        <f>IF($A633="","",COUNTIFS('Таблиця 1'!$B:$B,$A633,'Таблиця 1'!$I:$I,"Mirage",'Таблиця 1'!$L:$L,"Уражено")+COUNTIFS('Таблиця 1'!$B:$B,$A633,'Таблиця 1'!$I:$I,"F-16",'Таблиця 1'!$L:$L,"Уражено")+COUNTIFS('Таблиця 1'!$B:$B,$A633,'Таблиця 1'!$I:$I,"МіГ-29",'Таблиця 1'!$L:$L,"Уражено")+COUNTIFS('Таблиця 1'!$B:$B,$A633,'Таблиця 1'!$I:$I,"Су-25",'Таблиця 1'!$L:$L,"Уражено")+COUNTIFS('Таблиця 1'!$B:$B,$A633,'Таблиця 1'!$I:$I,"Су-27",'Таблиця 1'!$L:$L,"Уражено"))</f>
        <v/>
      </c>
      <c r="S633">
        <f>IF($A633="","",COUNTIFS('Таблиця 1'!$B:$B,$A633,'Таблиця 1'!$I:$I,"Mirage",'Таблиця 1'!$L:$L,"НЕ уражено")+COUNTIFS('Таблиця 1'!$B:$B,$A633,'Таблиця 1'!$I:$I,"F-16",'Таблиця 1'!$L:$L,"НЕ уражено")+COUNTIFS('Таблиця 1'!$B:$B,$A633,'Таблиця 1'!$I:$I,"МіГ-29",'Таблиця 1'!$L:$L,"НЕ уражено")+COUNTIFS('Таблиця 1'!$B:$B,$A633,'Таблиця 1'!$I:$I,"Су-25",'Таблиця 1'!$L:$L,"НЕ уражено")+COUNTIFS('Таблиця 1'!$B:$B,$A633,'Таблиця 1'!$I:$I,"Су-27",'Таблиця 1'!$L:$L,"НЕ уражено"))</f>
        <v/>
      </c>
      <c r="T633">
        <f>IF($A633="","",COUNTIFS('Таблиця 1'!$B:$B,$A633,'Таблиця 1'!$I:$I,"Mirage",'Таблиця 1'!$L:$L,"Дорозвідується")+COUNTIFS('Таблиця 1'!$B:$B,$A633,'Таблиця 1'!$I:$I,"F-16",'Таблиця 1'!$L:$L,"Дорозвідується")+COUNTIFS('Таблиця 1'!$B:$B,$A633,'Таблиця 1'!$I:$I,"МіГ-29",'Таблиця 1'!$L:$L,"Дорозвідується")+COUNTIFS('Таблиця 1'!$B:$B,$A633,'Таблиця 1'!$I:$I,"Су-25",'Таблиця 1'!$L:$L,"Дорозвідується")+COUNTIFS('Таблиця 1'!$B:$B,$A633,'Таблиця 1'!$I:$I,"Су-27",'Таблиця 1'!$L:$L,"Дорозвідується"))</f>
        <v/>
      </c>
    </row>
    <row r="634">
      <c r="A634" s="273">
        <f>IF(A633="","",IF(A633+1&gt;MAX('Таблиця 1'!$B:$B),"",A633+1))</f>
        <v/>
      </c>
      <c r="B634">
        <f>IF($A634="","",COUNTIFS('Таблиця 1'!$B:$B,$A634,'Таблиця 1'!$I:$I,"Mirage")+COUNTIFS('Таблиця 1'!$B:$B,$A634,'Таблиця 1'!$I:$I,"F-16")+COUNTIFS('Таблиця 1'!$B:$B,$A634,'Таблиця 1'!$I:$I,"МіГ-29")+COUNTIFS('Таблиця 1'!$B:$B,$A634,'Таблиця 1'!$I:$I,"Су-25")+COUNTIFS('Таблиця 1'!$B:$B,$A634,'Таблиця 1'!$I:$I,"Су-27"))</f>
        <v/>
      </c>
      <c r="C634">
        <f>IF($A634="","",COUNTIFS('Таблиця 1'!$B:$B,$A634,'Таблиця 1'!$I:$I,"Mirage"))</f>
        <v/>
      </c>
      <c r="D634">
        <f>IF($A634="","",COUNTIFS('Таблиця 1'!$B:$B,$A634,'Таблиця 1'!$I:$I,"F-16"))</f>
        <v/>
      </c>
      <c r="E634">
        <f>IF($A634="","",COUNTIFS('Таблиця 1'!$B:$B,$A634,'Таблиця 1'!$I:$I,"МіГ-29"))</f>
        <v/>
      </c>
      <c r="F634">
        <f>IF($A634="","",COUNTIFS('Таблиця 1'!$B:$B,$A634,'Таблиця 1'!$I:$I,"Су-25"))</f>
        <v/>
      </c>
      <c r="G634">
        <f>IF($A634="","",COUNTIFS('Таблиця 1'!$B:$B,$A634,'Таблиця 1'!$I:$I,"Су-27"))</f>
        <v/>
      </c>
      <c r="H634">
        <f>IF($A634="","",SUMIFS('Таблиця 1'!$K:$K,'Таблиця 1'!$B:$B,$A634,'Таблиця 1'!$I:$I,"Mirage",'Таблиця 1'!$J:$J,"AGM-88")+SUMIFS('Таблиця 1'!$K:$K,'Таблиця 1'!$B:$B,$A634,'Таблиця 1'!$I:$I,"F-16",'Таблиця 1'!$J:$J,"AGM-88")+SUMIFS('Таблиця 1'!$K:$K,'Таблиця 1'!$B:$B,$A634,'Таблиця 1'!$I:$I,"МіГ-29",'Таблиця 1'!$J:$J,"AGM-88")+SUMIFS('Таблиця 1'!$K:$K,'Таблиця 1'!$B:$B,$A634,'Таблиця 1'!$I:$I,"Су-25",'Таблиця 1'!$J:$J,"AGM-88")+SUMIFS('Таблиця 1'!$K:$K,'Таблиця 1'!$B:$B,$A634,'Таблиця 1'!$I:$I,"Су-27",'Таблиця 1'!$J:$J,"AGM-88"))</f>
        <v/>
      </c>
      <c r="I634">
        <f>IF($A634="","",SUMIFS('Таблиця 1'!$K:$K,'Таблиця 1'!$B:$B,$A634,'Таблиця 1'!$I:$I,"Mirage",'Таблиця 1'!$J:$J,"AASM-250")+SUMIFS('Таблиця 1'!$K:$K,'Таблиця 1'!$B:$B,$A634,'Таблиця 1'!$I:$I,"F-16",'Таблиця 1'!$J:$J,"AASM-250")+SUMIFS('Таблиця 1'!$K:$K,'Таблиця 1'!$B:$B,$A634,'Таблиця 1'!$I:$I,"МіГ-29",'Таблиця 1'!$J:$J,"AASM-250")+SUMIFS('Таблиця 1'!$K:$K,'Таблиця 1'!$B:$B,$A634,'Таблиця 1'!$I:$I,"Су-25",'Таблиця 1'!$J:$J,"AASM-250")+SUMIFS('Таблиця 1'!$K:$K,'Таблиця 1'!$B:$B,$A634,'Таблиця 1'!$I:$I,"Су-27",'Таблиця 1'!$J:$J,"AASM-250"))</f>
        <v/>
      </c>
      <c r="J634">
        <f>IF($A634="","",SUMIFS('Таблиця 1'!$K:$K,'Таблиця 1'!$B:$B,$A634,'Таблиця 1'!$I:$I,"Mirage",'Таблиця 1'!$J:$J,"GBU-39")+SUMIFS('Таблиця 1'!$K:$K,'Таблиця 1'!$B:$B,$A634,'Таблиця 1'!$I:$I,"F-16",'Таблиця 1'!$J:$J,"GBU-39")+SUMIFS('Таблиця 1'!$K:$K,'Таблиця 1'!$B:$B,$A634,'Таблиця 1'!$I:$I,"МіГ-29",'Таблиця 1'!$J:$J,"GBU-39")+SUMIFS('Таблиця 1'!$K:$K,'Таблиця 1'!$B:$B,$A634,'Таблиця 1'!$I:$I,"Су-25",'Таблиця 1'!$J:$J,"GBU-39")+SUMIFS('Таблиця 1'!$K:$K,'Таблиця 1'!$B:$B,$A634,'Таблиця 1'!$I:$I,"Су-27",'Таблиця 1'!$J:$J,"GBU-39"))</f>
        <v/>
      </c>
      <c r="K634">
        <f>IF($A634="","",SUMIFS('Таблиця 1'!$K:$K,'Таблиця 1'!$B:$B,$A634,'Таблиця 1'!$I:$I,"Mirage",'Таблиця 1'!$J:$J,"BLU-140")+SUMIFS('Таблиця 1'!$K:$K,'Таблиця 1'!$B:$B,$A634,'Таблиця 1'!$I:$I,"F-16",'Таблиця 1'!$J:$J,"BLU-140")+SUMIFS('Таблиця 1'!$K:$K,'Таблиця 1'!$B:$B,$A634,'Таблиця 1'!$I:$I,"МіГ-29",'Таблиця 1'!$J:$J,"BLU-140")+SUMIFS('Таблиця 1'!$K:$K,'Таблиця 1'!$B:$B,$A634,'Таблиця 1'!$I:$I,"Су-25",'Таблиця 1'!$J:$J,"BLU-140")+SUMIFS('Таблиця 1'!$K:$K,'Таблиця 1'!$B:$B,$A634,'Таблиця 1'!$I:$I,"Су-27",'Таблиця 1'!$J:$J,"BLU-140"))</f>
        <v/>
      </c>
      <c r="L634">
        <f>IF($A634="","",SUMIFS('Таблиця 1'!$K:$K,'Таблиця 1'!$B:$B,$A634,'Таблиця 1'!$I:$I,"Mirage",'Таблиця 1'!$J:$J,"GBU-65")+SUMIFS('Таблиця 1'!$K:$K,'Таблиця 1'!$B:$B,$A634,'Таблиця 1'!$I:$I,"F-16",'Таблиця 1'!$J:$J,"GBU-65")+SUMIFS('Таблиця 1'!$K:$K,'Таблиця 1'!$B:$B,$A634,'Таблиця 1'!$I:$I,"МіГ-29",'Таблиця 1'!$J:$J,"GBU-65")+SUMIFS('Таблиця 1'!$K:$K,'Таблиця 1'!$B:$B,$A634,'Таблиця 1'!$I:$I,"Су-25",'Таблиця 1'!$J:$J,"GBU-65")+SUMIFS('Таблиця 1'!$K:$K,'Таблиця 1'!$B:$B,$A634,'Таблиця 1'!$I:$I,"Су-27",'Таблиця 1'!$J:$J,"GBU-65"))</f>
        <v/>
      </c>
      <c r="M634">
        <f>IF($A634="","",SUMIFS('Таблиця 1'!$K:$K,'Таблиця 1'!$B:$B,$A634,'Таблиця 1'!$I:$I,"Mirage",'Таблиця 1'!$J:$J,"GBU-62")+SUMIFS('Таблиця 1'!$K:$K,'Таблиця 1'!$B:$B,$A634,'Таблиця 1'!$I:$I,"F-16",'Таблиця 1'!$J:$J,"GBU-62")+SUMIFS('Таблиця 1'!$K:$K,'Таблиця 1'!$B:$B,$A634,'Таблиця 1'!$I:$I,"МіГ-29",'Таблиця 1'!$J:$J,"GBU-62")+SUMIFS('Таблиця 1'!$K:$K,'Таблиця 1'!$B:$B,$A634,'Таблиця 1'!$I:$I,"Су-25",'Таблиця 1'!$J:$J,"GBU-62")+SUMIFS('Таблиця 1'!$K:$K,'Таблиця 1'!$B:$B,$A634,'Таблиця 1'!$I:$I,"Су-27",'Таблиця 1'!$J:$J,"GBU-62"))</f>
        <v/>
      </c>
      <c r="N634">
        <f>IF($A634="","",SUMIFS('Таблиця 1'!$K:$K,'Таблиця 1'!$B:$B,$A634,'Таблиця 1'!$I:$I,"Mirage",'Таблиця 1'!$J:$J,"GBU-64")+SUMIFS('Таблиця 1'!$K:$K,'Таблиця 1'!$B:$B,$A634,'Таблиця 1'!$I:$I,"F-16",'Таблиця 1'!$J:$J,"GBU-64")+SUMIFS('Таблиця 1'!$K:$K,'Таблиця 1'!$B:$B,$A634,'Таблиця 1'!$I:$I,"МіГ-29",'Таблиця 1'!$J:$J,"GBU-64")+SUMIFS('Таблиця 1'!$K:$K,'Таблиця 1'!$B:$B,$A634,'Таблиця 1'!$I:$I,"Су-25",'Таблиця 1'!$J:$J,"GBU-64")+SUMIFS('Таблиця 1'!$K:$K,'Таблиця 1'!$B:$B,$A634,'Таблиця 1'!$I:$I,"Су-27",'Таблиця 1'!$J:$J,"GBU-64"))</f>
        <v/>
      </c>
      <c r="O634">
        <f>IF($A634="","",SUMIFS('Таблиця 1'!$K:$K,'Таблиця 1'!$B:$B,$A634,'Таблиця 1'!$I:$I,"Mirage",'Таблиця 1'!$J:$J,"C-13")+SUMIFS('Таблиця 1'!$K:$K,'Таблиця 1'!$B:$B,$A634,'Таблиця 1'!$I:$I,"F-16",'Таблиця 1'!$J:$J,"C-13")+SUMIFS('Таблиця 1'!$K:$K,'Таблиця 1'!$B:$B,$A634,'Таблиця 1'!$I:$I,"МіГ-29",'Таблиця 1'!$J:$J,"C-13")+SUMIFS('Таблиця 1'!$K:$K,'Таблиця 1'!$B:$B,$A634,'Таблиця 1'!$I:$I,"Су-25",'Таблиця 1'!$J:$J,"C-13")+SUMIFS('Таблиця 1'!$K:$K,'Таблиця 1'!$B:$B,$A634,'Таблиця 1'!$I:$I,"Су-27",'Таблиця 1'!$J:$J,"C-13"))</f>
        <v/>
      </c>
      <c r="P634">
        <f>IF($A634="","",SUMIFS('Таблиця 1'!$K:$K,'Таблиця 1'!$B:$B,$A634,'Таблиця 1'!$I:$I,"Mirage",'Таблиця 1'!$J:$J,"MK-32")+SUMIFS('Таблиця 1'!$K:$K,'Таблиця 1'!$B:$B,$A634,'Таблиця 1'!$I:$I,"F-16",'Таблиця 1'!$J:$J,"MK-32")+SUMIFS('Таблиця 1'!$K:$K,'Таблиця 1'!$B:$B,$A634,'Таблиця 1'!$I:$I,"МіГ-29",'Таблиця 1'!$J:$J,"MK-32")+SUMIFS('Таблиця 1'!$K:$K,'Таблиця 1'!$B:$B,$A634,'Таблиця 1'!$I:$I,"Су-25",'Таблиця 1'!$J:$J,"MK-32")+SUMIFS('Таблиця 1'!$K:$K,'Таблиця 1'!$B:$B,$A634,'Таблиця 1'!$I:$I,"Су-27",'Таблиця 1'!$J:$J,"MK-32"))</f>
        <v/>
      </c>
      <c r="Q634">
        <f>IF($A634="","",SUMIFS('Таблиця 1'!$K:$K,'Таблиця 1'!$B:$B,$A634,'Таблиця 1'!$I:$I,"Mirage",'Таблиця 1'!$J:$J,"MK-24")+SUMIFS('Таблиця 1'!$K:$K,'Таблиця 1'!$B:$B,$A634,'Таблиця 1'!$I:$I,"F-16",'Таблиця 1'!$J:$J,"MK-24")+SUMIFS('Таблиця 1'!$K:$K,'Таблиця 1'!$B:$B,$A634,'Таблиця 1'!$I:$I,"МіГ-29",'Таблиця 1'!$J:$J,"MK-24")+SUMIFS('Таблиця 1'!$K:$K,'Таблиця 1'!$B:$B,$A634,'Таблиця 1'!$I:$I,"Су-25",'Таблиця 1'!$J:$J,"MK-24")+SUMIFS('Таблиця 1'!$K:$K,'Таблиця 1'!$B:$B,$A634,'Таблиця 1'!$I:$I,"Су-27",'Таблиця 1'!$J:$J,"MK-24"))</f>
        <v/>
      </c>
      <c r="R634">
        <f>IF($A634="","",COUNTIFS('Таблиця 1'!$B:$B,$A634,'Таблиця 1'!$I:$I,"Mirage",'Таблиця 1'!$L:$L,"Уражено")+COUNTIFS('Таблиця 1'!$B:$B,$A634,'Таблиця 1'!$I:$I,"F-16",'Таблиця 1'!$L:$L,"Уражено")+COUNTIFS('Таблиця 1'!$B:$B,$A634,'Таблиця 1'!$I:$I,"МіГ-29",'Таблиця 1'!$L:$L,"Уражено")+COUNTIFS('Таблиця 1'!$B:$B,$A634,'Таблиця 1'!$I:$I,"Су-25",'Таблиця 1'!$L:$L,"Уражено")+COUNTIFS('Таблиця 1'!$B:$B,$A634,'Таблиця 1'!$I:$I,"Су-27",'Таблиця 1'!$L:$L,"Уражено"))</f>
        <v/>
      </c>
      <c r="S634">
        <f>IF($A634="","",COUNTIFS('Таблиця 1'!$B:$B,$A634,'Таблиця 1'!$I:$I,"Mirage",'Таблиця 1'!$L:$L,"НЕ уражено")+COUNTIFS('Таблиця 1'!$B:$B,$A634,'Таблиця 1'!$I:$I,"F-16",'Таблиця 1'!$L:$L,"НЕ уражено")+COUNTIFS('Таблиця 1'!$B:$B,$A634,'Таблиця 1'!$I:$I,"МіГ-29",'Таблиця 1'!$L:$L,"НЕ уражено")+COUNTIFS('Таблиця 1'!$B:$B,$A634,'Таблиця 1'!$I:$I,"Су-25",'Таблиця 1'!$L:$L,"НЕ уражено")+COUNTIFS('Таблиця 1'!$B:$B,$A634,'Таблиця 1'!$I:$I,"Су-27",'Таблиця 1'!$L:$L,"НЕ уражено"))</f>
        <v/>
      </c>
      <c r="T634">
        <f>IF($A634="","",COUNTIFS('Таблиця 1'!$B:$B,$A634,'Таблиця 1'!$I:$I,"Mirage",'Таблиця 1'!$L:$L,"Дорозвідується")+COUNTIFS('Таблиця 1'!$B:$B,$A634,'Таблиця 1'!$I:$I,"F-16",'Таблиця 1'!$L:$L,"Дорозвідується")+COUNTIFS('Таблиця 1'!$B:$B,$A634,'Таблиця 1'!$I:$I,"МіГ-29",'Таблиця 1'!$L:$L,"Дорозвідується")+COUNTIFS('Таблиця 1'!$B:$B,$A634,'Таблиця 1'!$I:$I,"Су-25",'Таблиця 1'!$L:$L,"Дорозвідується")+COUNTIFS('Таблиця 1'!$B:$B,$A634,'Таблиця 1'!$I:$I,"Су-27",'Таблиця 1'!$L:$L,"Дорозвідується"))</f>
        <v/>
      </c>
    </row>
    <row r="635">
      <c r="A635" s="273">
        <f>IF(A634="","",IF(A634+1&gt;MAX('Таблиця 1'!$B:$B),"",A634+1))</f>
        <v/>
      </c>
      <c r="B635">
        <f>IF($A635="","",COUNTIFS('Таблиця 1'!$B:$B,$A635,'Таблиця 1'!$I:$I,"Mirage")+COUNTIFS('Таблиця 1'!$B:$B,$A635,'Таблиця 1'!$I:$I,"F-16")+COUNTIFS('Таблиця 1'!$B:$B,$A635,'Таблиця 1'!$I:$I,"МіГ-29")+COUNTIFS('Таблиця 1'!$B:$B,$A635,'Таблиця 1'!$I:$I,"Су-25")+COUNTIFS('Таблиця 1'!$B:$B,$A635,'Таблиця 1'!$I:$I,"Су-27"))</f>
        <v/>
      </c>
      <c r="C635">
        <f>IF($A635="","",COUNTIFS('Таблиця 1'!$B:$B,$A635,'Таблиця 1'!$I:$I,"Mirage"))</f>
        <v/>
      </c>
      <c r="D635">
        <f>IF($A635="","",COUNTIFS('Таблиця 1'!$B:$B,$A635,'Таблиця 1'!$I:$I,"F-16"))</f>
        <v/>
      </c>
      <c r="E635">
        <f>IF($A635="","",COUNTIFS('Таблиця 1'!$B:$B,$A635,'Таблиця 1'!$I:$I,"МіГ-29"))</f>
        <v/>
      </c>
      <c r="F635">
        <f>IF($A635="","",COUNTIFS('Таблиця 1'!$B:$B,$A635,'Таблиця 1'!$I:$I,"Су-25"))</f>
        <v/>
      </c>
      <c r="G635">
        <f>IF($A635="","",COUNTIFS('Таблиця 1'!$B:$B,$A635,'Таблиця 1'!$I:$I,"Су-27"))</f>
        <v/>
      </c>
      <c r="H635">
        <f>IF($A635="","",SUMIFS('Таблиця 1'!$K:$K,'Таблиця 1'!$B:$B,$A635,'Таблиця 1'!$I:$I,"Mirage",'Таблиця 1'!$J:$J,"AGM-88")+SUMIFS('Таблиця 1'!$K:$K,'Таблиця 1'!$B:$B,$A635,'Таблиця 1'!$I:$I,"F-16",'Таблиця 1'!$J:$J,"AGM-88")+SUMIFS('Таблиця 1'!$K:$K,'Таблиця 1'!$B:$B,$A635,'Таблиця 1'!$I:$I,"МіГ-29",'Таблиця 1'!$J:$J,"AGM-88")+SUMIFS('Таблиця 1'!$K:$K,'Таблиця 1'!$B:$B,$A635,'Таблиця 1'!$I:$I,"Су-25",'Таблиця 1'!$J:$J,"AGM-88")+SUMIFS('Таблиця 1'!$K:$K,'Таблиця 1'!$B:$B,$A635,'Таблиця 1'!$I:$I,"Су-27",'Таблиця 1'!$J:$J,"AGM-88"))</f>
        <v/>
      </c>
      <c r="I635">
        <f>IF($A635="","",SUMIFS('Таблиця 1'!$K:$K,'Таблиця 1'!$B:$B,$A635,'Таблиця 1'!$I:$I,"Mirage",'Таблиця 1'!$J:$J,"AASM-250")+SUMIFS('Таблиця 1'!$K:$K,'Таблиця 1'!$B:$B,$A635,'Таблиця 1'!$I:$I,"F-16",'Таблиця 1'!$J:$J,"AASM-250")+SUMIFS('Таблиця 1'!$K:$K,'Таблиця 1'!$B:$B,$A635,'Таблиця 1'!$I:$I,"МіГ-29",'Таблиця 1'!$J:$J,"AASM-250")+SUMIFS('Таблиця 1'!$K:$K,'Таблиця 1'!$B:$B,$A635,'Таблиця 1'!$I:$I,"Су-25",'Таблиця 1'!$J:$J,"AASM-250")+SUMIFS('Таблиця 1'!$K:$K,'Таблиця 1'!$B:$B,$A635,'Таблиця 1'!$I:$I,"Су-27",'Таблиця 1'!$J:$J,"AASM-250"))</f>
        <v/>
      </c>
      <c r="J635">
        <f>IF($A635="","",SUMIFS('Таблиця 1'!$K:$K,'Таблиця 1'!$B:$B,$A635,'Таблиця 1'!$I:$I,"Mirage",'Таблиця 1'!$J:$J,"GBU-39")+SUMIFS('Таблиця 1'!$K:$K,'Таблиця 1'!$B:$B,$A635,'Таблиця 1'!$I:$I,"F-16",'Таблиця 1'!$J:$J,"GBU-39")+SUMIFS('Таблиця 1'!$K:$K,'Таблиця 1'!$B:$B,$A635,'Таблиця 1'!$I:$I,"МіГ-29",'Таблиця 1'!$J:$J,"GBU-39")+SUMIFS('Таблиця 1'!$K:$K,'Таблиця 1'!$B:$B,$A635,'Таблиця 1'!$I:$I,"Су-25",'Таблиця 1'!$J:$J,"GBU-39")+SUMIFS('Таблиця 1'!$K:$K,'Таблиця 1'!$B:$B,$A635,'Таблиця 1'!$I:$I,"Су-27",'Таблиця 1'!$J:$J,"GBU-39"))</f>
        <v/>
      </c>
      <c r="K635">
        <f>IF($A635="","",SUMIFS('Таблиця 1'!$K:$K,'Таблиця 1'!$B:$B,$A635,'Таблиця 1'!$I:$I,"Mirage",'Таблиця 1'!$J:$J,"BLU-140")+SUMIFS('Таблиця 1'!$K:$K,'Таблиця 1'!$B:$B,$A635,'Таблиця 1'!$I:$I,"F-16",'Таблиця 1'!$J:$J,"BLU-140")+SUMIFS('Таблиця 1'!$K:$K,'Таблиця 1'!$B:$B,$A635,'Таблиця 1'!$I:$I,"МіГ-29",'Таблиця 1'!$J:$J,"BLU-140")+SUMIFS('Таблиця 1'!$K:$K,'Таблиця 1'!$B:$B,$A635,'Таблиця 1'!$I:$I,"Су-25",'Таблиця 1'!$J:$J,"BLU-140")+SUMIFS('Таблиця 1'!$K:$K,'Таблиця 1'!$B:$B,$A635,'Таблиця 1'!$I:$I,"Су-27",'Таблиця 1'!$J:$J,"BLU-140"))</f>
        <v/>
      </c>
      <c r="L635">
        <f>IF($A635="","",SUMIFS('Таблиця 1'!$K:$K,'Таблиця 1'!$B:$B,$A635,'Таблиця 1'!$I:$I,"Mirage",'Таблиця 1'!$J:$J,"GBU-65")+SUMIFS('Таблиця 1'!$K:$K,'Таблиця 1'!$B:$B,$A635,'Таблиця 1'!$I:$I,"F-16",'Таблиця 1'!$J:$J,"GBU-65")+SUMIFS('Таблиця 1'!$K:$K,'Таблиця 1'!$B:$B,$A635,'Таблиця 1'!$I:$I,"МіГ-29",'Таблиця 1'!$J:$J,"GBU-65")+SUMIFS('Таблиця 1'!$K:$K,'Таблиця 1'!$B:$B,$A635,'Таблиця 1'!$I:$I,"Су-25",'Таблиця 1'!$J:$J,"GBU-65")+SUMIFS('Таблиця 1'!$K:$K,'Таблиця 1'!$B:$B,$A635,'Таблиця 1'!$I:$I,"Су-27",'Таблиця 1'!$J:$J,"GBU-65"))</f>
        <v/>
      </c>
      <c r="M635">
        <f>IF($A635="","",SUMIFS('Таблиця 1'!$K:$K,'Таблиця 1'!$B:$B,$A635,'Таблиця 1'!$I:$I,"Mirage",'Таблиця 1'!$J:$J,"GBU-62")+SUMIFS('Таблиця 1'!$K:$K,'Таблиця 1'!$B:$B,$A635,'Таблиця 1'!$I:$I,"F-16",'Таблиця 1'!$J:$J,"GBU-62")+SUMIFS('Таблиця 1'!$K:$K,'Таблиця 1'!$B:$B,$A635,'Таблиця 1'!$I:$I,"МіГ-29",'Таблиця 1'!$J:$J,"GBU-62")+SUMIFS('Таблиця 1'!$K:$K,'Таблиця 1'!$B:$B,$A635,'Таблиця 1'!$I:$I,"Су-25",'Таблиця 1'!$J:$J,"GBU-62")+SUMIFS('Таблиця 1'!$K:$K,'Таблиця 1'!$B:$B,$A635,'Таблиця 1'!$I:$I,"Су-27",'Таблиця 1'!$J:$J,"GBU-62"))</f>
        <v/>
      </c>
      <c r="N635">
        <f>IF($A635="","",SUMIFS('Таблиця 1'!$K:$K,'Таблиця 1'!$B:$B,$A635,'Таблиця 1'!$I:$I,"Mirage",'Таблиця 1'!$J:$J,"GBU-64")+SUMIFS('Таблиця 1'!$K:$K,'Таблиця 1'!$B:$B,$A635,'Таблиця 1'!$I:$I,"F-16",'Таблиця 1'!$J:$J,"GBU-64")+SUMIFS('Таблиця 1'!$K:$K,'Таблиця 1'!$B:$B,$A635,'Таблиця 1'!$I:$I,"МіГ-29",'Таблиця 1'!$J:$J,"GBU-64")+SUMIFS('Таблиця 1'!$K:$K,'Таблиця 1'!$B:$B,$A635,'Таблиця 1'!$I:$I,"Су-25",'Таблиця 1'!$J:$J,"GBU-64")+SUMIFS('Таблиця 1'!$K:$K,'Таблиця 1'!$B:$B,$A635,'Таблиця 1'!$I:$I,"Су-27",'Таблиця 1'!$J:$J,"GBU-64"))</f>
        <v/>
      </c>
      <c r="O635">
        <f>IF($A635="","",SUMIFS('Таблиця 1'!$K:$K,'Таблиця 1'!$B:$B,$A635,'Таблиця 1'!$I:$I,"Mirage",'Таблиця 1'!$J:$J,"C-13")+SUMIFS('Таблиця 1'!$K:$K,'Таблиця 1'!$B:$B,$A635,'Таблиця 1'!$I:$I,"F-16",'Таблиця 1'!$J:$J,"C-13")+SUMIFS('Таблиця 1'!$K:$K,'Таблиця 1'!$B:$B,$A635,'Таблиця 1'!$I:$I,"МіГ-29",'Таблиця 1'!$J:$J,"C-13")+SUMIFS('Таблиця 1'!$K:$K,'Таблиця 1'!$B:$B,$A635,'Таблиця 1'!$I:$I,"Су-25",'Таблиця 1'!$J:$J,"C-13")+SUMIFS('Таблиця 1'!$K:$K,'Таблиця 1'!$B:$B,$A635,'Таблиця 1'!$I:$I,"Су-27",'Таблиця 1'!$J:$J,"C-13"))</f>
        <v/>
      </c>
      <c r="P635">
        <f>IF($A635="","",SUMIFS('Таблиця 1'!$K:$K,'Таблиця 1'!$B:$B,$A635,'Таблиця 1'!$I:$I,"Mirage",'Таблиця 1'!$J:$J,"MK-32")+SUMIFS('Таблиця 1'!$K:$K,'Таблиця 1'!$B:$B,$A635,'Таблиця 1'!$I:$I,"F-16",'Таблиця 1'!$J:$J,"MK-32")+SUMIFS('Таблиця 1'!$K:$K,'Таблиця 1'!$B:$B,$A635,'Таблиця 1'!$I:$I,"МіГ-29",'Таблиця 1'!$J:$J,"MK-32")+SUMIFS('Таблиця 1'!$K:$K,'Таблиця 1'!$B:$B,$A635,'Таблиця 1'!$I:$I,"Су-25",'Таблиця 1'!$J:$J,"MK-32")+SUMIFS('Таблиця 1'!$K:$K,'Таблиця 1'!$B:$B,$A635,'Таблиця 1'!$I:$I,"Су-27",'Таблиця 1'!$J:$J,"MK-32"))</f>
        <v/>
      </c>
      <c r="Q635">
        <f>IF($A635="","",SUMIFS('Таблиця 1'!$K:$K,'Таблиця 1'!$B:$B,$A635,'Таблиця 1'!$I:$I,"Mirage",'Таблиця 1'!$J:$J,"MK-24")+SUMIFS('Таблиця 1'!$K:$K,'Таблиця 1'!$B:$B,$A635,'Таблиця 1'!$I:$I,"F-16",'Таблиця 1'!$J:$J,"MK-24")+SUMIFS('Таблиця 1'!$K:$K,'Таблиця 1'!$B:$B,$A635,'Таблиця 1'!$I:$I,"МіГ-29",'Таблиця 1'!$J:$J,"MK-24")+SUMIFS('Таблиця 1'!$K:$K,'Таблиця 1'!$B:$B,$A635,'Таблиця 1'!$I:$I,"Су-25",'Таблиця 1'!$J:$J,"MK-24")+SUMIFS('Таблиця 1'!$K:$K,'Таблиця 1'!$B:$B,$A635,'Таблиця 1'!$I:$I,"Су-27",'Таблиця 1'!$J:$J,"MK-24"))</f>
        <v/>
      </c>
      <c r="R635">
        <f>IF($A635="","",COUNTIFS('Таблиця 1'!$B:$B,$A635,'Таблиця 1'!$I:$I,"Mirage",'Таблиця 1'!$L:$L,"Уражено")+COUNTIFS('Таблиця 1'!$B:$B,$A635,'Таблиця 1'!$I:$I,"F-16",'Таблиця 1'!$L:$L,"Уражено")+COUNTIFS('Таблиця 1'!$B:$B,$A635,'Таблиця 1'!$I:$I,"МіГ-29",'Таблиця 1'!$L:$L,"Уражено")+COUNTIFS('Таблиця 1'!$B:$B,$A635,'Таблиця 1'!$I:$I,"Су-25",'Таблиця 1'!$L:$L,"Уражено")+COUNTIFS('Таблиця 1'!$B:$B,$A635,'Таблиця 1'!$I:$I,"Су-27",'Таблиця 1'!$L:$L,"Уражено"))</f>
        <v/>
      </c>
      <c r="S635">
        <f>IF($A635="","",COUNTIFS('Таблиця 1'!$B:$B,$A635,'Таблиця 1'!$I:$I,"Mirage",'Таблиця 1'!$L:$L,"НЕ уражено")+COUNTIFS('Таблиця 1'!$B:$B,$A635,'Таблиця 1'!$I:$I,"F-16",'Таблиця 1'!$L:$L,"НЕ уражено")+COUNTIFS('Таблиця 1'!$B:$B,$A635,'Таблиця 1'!$I:$I,"МіГ-29",'Таблиця 1'!$L:$L,"НЕ уражено")+COUNTIFS('Таблиця 1'!$B:$B,$A635,'Таблиця 1'!$I:$I,"Су-25",'Таблиця 1'!$L:$L,"НЕ уражено")+COUNTIFS('Таблиця 1'!$B:$B,$A635,'Таблиця 1'!$I:$I,"Су-27",'Таблиця 1'!$L:$L,"НЕ уражено"))</f>
        <v/>
      </c>
      <c r="T635">
        <f>IF($A635="","",COUNTIFS('Таблиця 1'!$B:$B,$A635,'Таблиця 1'!$I:$I,"Mirage",'Таблиця 1'!$L:$L,"Дорозвідується")+COUNTIFS('Таблиця 1'!$B:$B,$A635,'Таблиця 1'!$I:$I,"F-16",'Таблиця 1'!$L:$L,"Дорозвідується")+COUNTIFS('Таблиця 1'!$B:$B,$A635,'Таблиця 1'!$I:$I,"МіГ-29",'Таблиця 1'!$L:$L,"Дорозвідується")+COUNTIFS('Таблиця 1'!$B:$B,$A635,'Таблиця 1'!$I:$I,"Су-25",'Таблиця 1'!$L:$L,"Дорозвідується")+COUNTIFS('Таблиця 1'!$B:$B,$A635,'Таблиця 1'!$I:$I,"Су-27",'Таблиця 1'!$L:$L,"Дорозвідується"))</f>
        <v/>
      </c>
    </row>
    <row r="636">
      <c r="A636" s="273">
        <f>IF(A635="","",IF(A635+1&gt;MAX('Таблиця 1'!$B:$B),"",A635+1))</f>
        <v/>
      </c>
      <c r="B636">
        <f>IF($A636="","",COUNTIFS('Таблиця 1'!$B:$B,$A636,'Таблиця 1'!$I:$I,"Mirage")+COUNTIFS('Таблиця 1'!$B:$B,$A636,'Таблиця 1'!$I:$I,"F-16")+COUNTIFS('Таблиця 1'!$B:$B,$A636,'Таблиця 1'!$I:$I,"МіГ-29")+COUNTIFS('Таблиця 1'!$B:$B,$A636,'Таблиця 1'!$I:$I,"Су-25")+COUNTIFS('Таблиця 1'!$B:$B,$A636,'Таблиця 1'!$I:$I,"Су-27"))</f>
        <v/>
      </c>
      <c r="C636">
        <f>IF($A636="","",COUNTIFS('Таблиця 1'!$B:$B,$A636,'Таблиця 1'!$I:$I,"Mirage"))</f>
        <v/>
      </c>
      <c r="D636">
        <f>IF($A636="","",COUNTIFS('Таблиця 1'!$B:$B,$A636,'Таблиця 1'!$I:$I,"F-16"))</f>
        <v/>
      </c>
      <c r="E636">
        <f>IF($A636="","",COUNTIFS('Таблиця 1'!$B:$B,$A636,'Таблиця 1'!$I:$I,"МіГ-29"))</f>
        <v/>
      </c>
      <c r="F636">
        <f>IF($A636="","",COUNTIFS('Таблиця 1'!$B:$B,$A636,'Таблиця 1'!$I:$I,"Су-25"))</f>
        <v/>
      </c>
      <c r="G636">
        <f>IF($A636="","",COUNTIFS('Таблиця 1'!$B:$B,$A636,'Таблиця 1'!$I:$I,"Су-27"))</f>
        <v/>
      </c>
      <c r="H636">
        <f>IF($A636="","",SUMIFS('Таблиця 1'!$K:$K,'Таблиця 1'!$B:$B,$A636,'Таблиця 1'!$I:$I,"Mirage",'Таблиця 1'!$J:$J,"AGM-88")+SUMIFS('Таблиця 1'!$K:$K,'Таблиця 1'!$B:$B,$A636,'Таблиця 1'!$I:$I,"F-16",'Таблиця 1'!$J:$J,"AGM-88")+SUMIFS('Таблиця 1'!$K:$K,'Таблиця 1'!$B:$B,$A636,'Таблиця 1'!$I:$I,"МіГ-29",'Таблиця 1'!$J:$J,"AGM-88")+SUMIFS('Таблиця 1'!$K:$K,'Таблиця 1'!$B:$B,$A636,'Таблиця 1'!$I:$I,"Су-25",'Таблиця 1'!$J:$J,"AGM-88")+SUMIFS('Таблиця 1'!$K:$K,'Таблиця 1'!$B:$B,$A636,'Таблиця 1'!$I:$I,"Су-27",'Таблиця 1'!$J:$J,"AGM-88"))</f>
        <v/>
      </c>
      <c r="I636">
        <f>IF($A636="","",SUMIFS('Таблиця 1'!$K:$K,'Таблиця 1'!$B:$B,$A636,'Таблиця 1'!$I:$I,"Mirage",'Таблиця 1'!$J:$J,"AASM-250")+SUMIFS('Таблиця 1'!$K:$K,'Таблиця 1'!$B:$B,$A636,'Таблиця 1'!$I:$I,"F-16",'Таблиця 1'!$J:$J,"AASM-250")+SUMIFS('Таблиця 1'!$K:$K,'Таблиця 1'!$B:$B,$A636,'Таблиця 1'!$I:$I,"МіГ-29",'Таблиця 1'!$J:$J,"AASM-250")+SUMIFS('Таблиця 1'!$K:$K,'Таблиця 1'!$B:$B,$A636,'Таблиця 1'!$I:$I,"Су-25",'Таблиця 1'!$J:$J,"AASM-250")+SUMIFS('Таблиця 1'!$K:$K,'Таблиця 1'!$B:$B,$A636,'Таблиця 1'!$I:$I,"Су-27",'Таблиця 1'!$J:$J,"AASM-250"))</f>
        <v/>
      </c>
      <c r="J636">
        <f>IF($A636="","",SUMIFS('Таблиця 1'!$K:$K,'Таблиця 1'!$B:$B,$A636,'Таблиця 1'!$I:$I,"Mirage",'Таблиця 1'!$J:$J,"GBU-39")+SUMIFS('Таблиця 1'!$K:$K,'Таблиця 1'!$B:$B,$A636,'Таблиця 1'!$I:$I,"F-16",'Таблиця 1'!$J:$J,"GBU-39")+SUMIFS('Таблиця 1'!$K:$K,'Таблиця 1'!$B:$B,$A636,'Таблиця 1'!$I:$I,"МіГ-29",'Таблиця 1'!$J:$J,"GBU-39")+SUMIFS('Таблиця 1'!$K:$K,'Таблиця 1'!$B:$B,$A636,'Таблиця 1'!$I:$I,"Су-25",'Таблиця 1'!$J:$J,"GBU-39")+SUMIFS('Таблиця 1'!$K:$K,'Таблиця 1'!$B:$B,$A636,'Таблиця 1'!$I:$I,"Су-27",'Таблиця 1'!$J:$J,"GBU-39"))</f>
        <v/>
      </c>
      <c r="K636">
        <f>IF($A636="","",SUMIFS('Таблиця 1'!$K:$K,'Таблиця 1'!$B:$B,$A636,'Таблиця 1'!$I:$I,"Mirage",'Таблиця 1'!$J:$J,"BLU-140")+SUMIFS('Таблиця 1'!$K:$K,'Таблиця 1'!$B:$B,$A636,'Таблиця 1'!$I:$I,"F-16",'Таблиця 1'!$J:$J,"BLU-140")+SUMIFS('Таблиця 1'!$K:$K,'Таблиця 1'!$B:$B,$A636,'Таблиця 1'!$I:$I,"МіГ-29",'Таблиця 1'!$J:$J,"BLU-140")+SUMIFS('Таблиця 1'!$K:$K,'Таблиця 1'!$B:$B,$A636,'Таблиця 1'!$I:$I,"Су-25",'Таблиця 1'!$J:$J,"BLU-140")+SUMIFS('Таблиця 1'!$K:$K,'Таблиця 1'!$B:$B,$A636,'Таблиця 1'!$I:$I,"Су-27",'Таблиця 1'!$J:$J,"BLU-140"))</f>
        <v/>
      </c>
      <c r="L636">
        <f>IF($A636="","",SUMIFS('Таблиця 1'!$K:$K,'Таблиця 1'!$B:$B,$A636,'Таблиця 1'!$I:$I,"Mirage",'Таблиця 1'!$J:$J,"GBU-65")+SUMIFS('Таблиця 1'!$K:$K,'Таблиця 1'!$B:$B,$A636,'Таблиця 1'!$I:$I,"F-16",'Таблиця 1'!$J:$J,"GBU-65")+SUMIFS('Таблиця 1'!$K:$K,'Таблиця 1'!$B:$B,$A636,'Таблиця 1'!$I:$I,"МіГ-29",'Таблиця 1'!$J:$J,"GBU-65")+SUMIFS('Таблиця 1'!$K:$K,'Таблиця 1'!$B:$B,$A636,'Таблиця 1'!$I:$I,"Су-25",'Таблиця 1'!$J:$J,"GBU-65")+SUMIFS('Таблиця 1'!$K:$K,'Таблиця 1'!$B:$B,$A636,'Таблиця 1'!$I:$I,"Су-27",'Таблиця 1'!$J:$J,"GBU-65"))</f>
        <v/>
      </c>
      <c r="M636">
        <f>IF($A636="","",SUMIFS('Таблиця 1'!$K:$K,'Таблиця 1'!$B:$B,$A636,'Таблиця 1'!$I:$I,"Mirage",'Таблиця 1'!$J:$J,"GBU-62")+SUMIFS('Таблиця 1'!$K:$K,'Таблиця 1'!$B:$B,$A636,'Таблиця 1'!$I:$I,"F-16",'Таблиця 1'!$J:$J,"GBU-62")+SUMIFS('Таблиця 1'!$K:$K,'Таблиця 1'!$B:$B,$A636,'Таблиця 1'!$I:$I,"МіГ-29",'Таблиця 1'!$J:$J,"GBU-62")+SUMIFS('Таблиця 1'!$K:$K,'Таблиця 1'!$B:$B,$A636,'Таблиця 1'!$I:$I,"Су-25",'Таблиця 1'!$J:$J,"GBU-62")+SUMIFS('Таблиця 1'!$K:$K,'Таблиця 1'!$B:$B,$A636,'Таблиця 1'!$I:$I,"Су-27",'Таблиця 1'!$J:$J,"GBU-62"))</f>
        <v/>
      </c>
      <c r="N636">
        <f>IF($A636="","",SUMIFS('Таблиця 1'!$K:$K,'Таблиця 1'!$B:$B,$A636,'Таблиця 1'!$I:$I,"Mirage",'Таблиця 1'!$J:$J,"GBU-64")+SUMIFS('Таблиця 1'!$K:$K,'Таблиця 1'!$B:$B,$A636,'Таблиця 1'!$I:$I,"F-16",'Таблиця 1'!$J:$J,"GBU-64")+SUMIFS('Таблиця 1'!$K:$K,'Таблиця 1'!$B:$B,$A636,'Таблиця 1'!$I:$I,"МіГ-29",'Таблиця 1'!$J:$J,"GBU-64")+SUMIFS('Таблиця 1'!$K:$K,'Таблиця 1'!$B:$B,$A636,'Таблиця 1'!$I:$I,"Су-25",'Таблиця 1'!$J:$J,"GBU-64")+SUMIFS('Таблиця 1'!$K:$K,'Таблиця 1'!$B:$B,$A636,'Таблиця 1'!$I:$I,"Су-27",'Таблиця 1'!$J:$J,"GBU-64"))</f>
        <v/>
      </c>
      <c r="O636">
        <f>IF($A636="","",SUMIFS('Таблиця 1'!$K:$K,'Таблиця 1'!$B:$B,$A636,'Таблиця 1'!$I:$I,"Mirage",'Таблиця 1'!$J:$J,"C-13")+SUMIFS('Таблиця 1'!$K:$K,'Таблиця 1'!$B:$B,$A636,'Таблиця 1'!$I:$I,"F-16",'Таблиця 1'!$J:$J,"C-13")+SUMIFS('Таблиця 1'!$K:$K,'Таблиця 1'!$B:$B,$A636,'Таблиця 1'!$I:$I,"МіГ-29",'Таблиця 1'!$J:$J,"C-13")+SUMIFS('Таблиця 1'!$K:$K,'Таблиця 1'!$B:$B,$A636,'Таблиця 1'!$I:$I,"Су-25",'Таблиця 1'!$J:$J,"C-13")+SUMIFS('Таблиця 1'!$K:$K,'Таблиця 1'!$B:$B,$A636,'Таблиця 1'!$I:$I,"Су-27",'Таблиця 1'!$J:$J,"C-13"))</f>
        <v/>
      </c>
      <c r="P636">
        <f>IF($A636="","",SUMIFS('Таблиця 1'!$K:$K,'Таблиця 1'!$B:$B,$A636,'Таблиця 1'!$I:$I,"Mirage",'Таблиця 1'!$J:$J,"MK-32")+SUMIFS('Таблиця 1'!$K:$K,'Таблиця 1'!$B:$B,$A636,'Таблиця 1'!$I:$I,"F-16",'Таблиця 1'!$J:$J,"MK-32")+SUMIFS('Таблиця 1'!$K:$K,'Таблиця 1'!$B:$B,$A636,'Таблиця 1'!$I:$I,"МіГ-29",'Таблиця 1'!$J:$J,"MK-32")+SUMIFS('Таблиця 1'!$K:$K,'Таблиця 1'!$B:$B,$A636,'Таблиця 1'!$I:$I,"Су-25",'Таблиця 1'!$J:$J,"MK-32")+SUMIFS('Таблиця 1'!$K:$K,'Таблиця 1'!$B:$B,$A636,'Таблиця 1'!$I:$I,"Су-27",'Таблиця 1'!$J:$J,"MK-32"))</f>
        <v/>
      </c>
      <c r="Q636">
        <f>IF($A636="","",SUMIFS('Таблиця 1'!$K:$K,'Таблиця 1'!$B:$B,$A636,'Таблиця 1'!$I:$I,"Mirage",'Таблиця 1'!$J:$J,"MK-24")+SUMIFS('Таблиця 1'!$K:$K,'Таблиця 1'!$B:$B,$A636,'Таблиця 1'!$I:$I,"F-16",'Таблиця 1'!$J:$J,"MK-24")+SUMIFS('Таблиця 1'!$K:$K,'Таблиця 1'!$B:$B,$A636,'Таблиця 1'!$I:$I,"МіГ-29",'Таблиця 1'!$J:$J,"MK-24")+SUMIFS('Таблиця 1'!$K:$K,'Таблиця 1'!$B:$B,$A636,'Таблиця 1'!$I:$I,"Су-25",'Таблиця 1'!$J:$J,"MK-24")+SUMIFS('Таблиця 1'!$K:$K,'Таблиця 1'!$B:$B,$A636,'Таблиця 1'!$I:$I,"Су-27",'Таблиця 1'!$J:$J,"MK-24"))</f>
        <v/>
      </c>
      <c r="R636">
        <f>IF($A636="","",COUNTIFS('Таблиця 1'!$B:$B,$A636,'Таблиця 1'!$I:$I,"Mirage",'Таблиця 1'!$L:$L,"Уражено")+COUNTIFS('Таблиця 1'!$B:$B,$A636,'Таблиця 1'!$I:$I,"F-16",'Таблиця 1'!$L:$L,"Уражено")+COUNTIFS('Таблиця 1'!$B:$B,$A636,'Таблиця 1'!$I:$I,"МіГ-29",'Таблиця 1'!$L:$L,"Уражено")+COUNTIFS('Таблиця 1'!$B:$B,$A636,'Таблиця 1'!$I:$I,"Су-25",'Таблиця 1'!$L:$L,"Уражено")+COUNTIFS('Таблиця 1'!$B:$B,$A636,'Таблиця 1'!$I:$I,"Су-27",'Таблиця 1'!$L:$L,"Уражено"))</f>
        <v/>
      </c>
      <c r="S636">
        <f>IF($A636="","",COUNTIFS('Таблиця 1'!$B:$B,$A636,'Таблиця 1'!$I:$I,"Mirage",'Таблиця 1'!$L:$L,"НЕ уражено")+COUNTIFS('Таблиця 1'!$B:$B,$A636,'Таблиця 1'!$I:$I,"F-16",'Таблиця 1'!$L:$L,"НЕ уражено")+COUNTIFS('Таблиця 1'!$B:$B,$A636,'Таблиця 1'!$I:$I,"МіГ-29",'Таблиця 1'!$L:$L,"НЕ уражено")+COUNTIFS('Таблиця 1'!$B:$B,$A636,'Таблиця 1'!$I:$I,"Су-25",'Таблиця 1'!$L:$L,"НЕ уражено")+COUNTIFS('Таблиця 1'!$B:$B,$A636,'Таблиця 1'!$I:$I,"Су-27",'Таблиця 1'!$L:$L,"НЕ уражено"))</f>
        <v/>
      </c>
      <c r="T636">
        <f>IF($A636="","",COUNTIFS('Таблиця 1'!$B:$B,$A636,'Таблиця 1'!$I:$I,"Mirage",'Таблиця 1'!$L:$L,"Дорозвідується")+COUNTIFS('Таблиця 1'!$B:$B,$A636,'Таблиця 1'!$I:$I,"F-16",'Таблиця 1'!$L:$L,"Дорозвідується")+COUNTIFS('Таблиця 1'!$B:$B,$A636,'Таблиця 1'!$I:$I,"МіГ-29",'Таблиця 1'!$L:$L,"Дорозвідується")+COUNTIFS('Таблиця 1'!$B:$B,$A636,'Таблиця 1'!$I:$I,"Су-25",'Таблиця 1'!$L:$L,"Дорозвідується")+COUNTIFS('Таблиця 1'!$B:$B,$A636,'Таблиця 1'!$I:$I,"Су-27",'Таблиця 1'!$L:$L,"Дорозвідується"))</f>
        <v/>
      </c>
    </row>
    <row r="637">
      <c r="A637" s="273">
        <f>IF(A636="","",IF(A636+1&gt;MAX('Таблиця 1'!$B:$B),"",A636+1))</f>
        <v/>
      </c>
      <c r="B637">
        <f>IF($A637="","",COUNTIFS('Таблиця 1'!$B:$B,$A637,'Таблиця 1'!$I:$I,"Mirage")+COUNTIFS('Таблиця 1'!$B:$B,$A637,'Таблиця 1'!$I:$I,"F-16")+COUNTIFS('Таблиця 1'!$B:$B,$A637,'Таблиця 1'!$I:$I,"МіГ-29")+COUNTIFS('Таблиця 1'!$B:$B,$A637,'Таблиця 1'!$I:$I,"Су-25")+COUNTIFS('Таблиця 1'!$B:$B,$A637,'Таблиця 1'!$I:$I,"Су-27"))</f>
        <v/>
      </c>
      <c r="C637">
        <f>IF($A637="","",COUNTIFS('Таблиця 1'!$B:$B,$A637,'Таблиця 1'!$I:$I,"Mirage"))</f>
        <v/>
      </c>
      <c r="D637">
        <f>IF($A637="","",COUNTIFS('Таблиця 1'!$B:$B,$A637,'Таблиця 1'!$I:$I,"F-16"))</f>
        <v/>
      </c>
      <c r="E637">
        <f>IF($A637="","",COUNTIFS('Таблиця 1'!$B:$B,$A637,'Таблиця 1'!$I:$I,"МіГ-29"))</f>
        <v/>
      </c>
      <c r="F637">
        <f>IF($A637="","",COUNTIFS('Таблиця 1'!$B:$B,$A637,'Таблиця 1'!$I:$I,"Су-25"))</f>
        <v/>
      </c>
      <c r="G637">
        <f>IF($A637="","",COUNTIFS('Таблиця 1'!$B:$B,$A637,'Таблиця 1'!$I:$I,"Су-27"))</f>
        <v/>
      </c>
      <c r="H637">
        <f>IF($A637="","",SUMIFS('Таблиця 1'!$K:$K,'Таблиця 1'!$B:$B,$A637,'Таблиця 1'!$I:$I,"Mirage",'Таблиця 1'!$J:$J,"AGM-88")+SUMIFS('Таблиця 1'!$K:$K,'Таблиця 1'!$B:$B,$A637,'Таблиця 1'!$I:$I,"F-16",'Таблиця 1'!$J:$J,"AGM-88")+SUMIFS('Таблиця 1'!$K:$K,'Таблиця 1'!$B:$B,$A637,'Таблиця 1'!$I:$I,"МіГ-29",'Таблиця 1'!$J:$J,"AGM-88")+SUMIFS('Таблиця 1'!$K:$K,'Таблиця 1'!$B:$B,$A637,'Таблиця 1'!$I:$I,"Су-25",'Таблиця 1'!$J:$J,"AGM-88")+SUMIFS('Таблиця 1'!$K:$K,'Таблиця 1'!$B:$B,$A637,'Таблиця 1'!$I:$I,"Су-27",'Таблиця 1'!$J:$J,"AGM-88"))</f>
        <v/>
      </c>
      <c r="I637">
        <f>IF($A637="","",SUMIFS('Таблиця 1'!$K:$K,'Таблиця 1'!$B:$B,$A637,'Таблиця 1'!$I:$I,"Mirage",'Таблиця 1'!$J:$J,"AASM-250")+SUMIFS('Таблиця 1'!$K:$K,'Таблиця 1'!$B:$B,$A637,'Таблиця 1'!$I:$I,"F-16",'Таблиця 1'!$J:$J,"AASM-250")+SUMIFS('Таблиця 1'!$K:$K,'Таблиця 1'!$B:$B,$A637,'Таблиця 1'!$I:$I,"МіГ-29",'Таблиця 1'!$J:$J,"AASM-250")+SUMIFS('Таблиця 1'!$K:$K,'Таблиця 1'!$B:$B,$A637,'Таблиця 1'!$I:$I,"Су-25",'Таблиця 1'!$J:$J,"AASM-250")+SUMIFS('Таблиця 1'!$K:$K,'Таблиця 1'!$B:$B,$A637,'Таблиця 1'!$I:$I,"Су-27",'Таблиця 1'!$J:$J,"AASM-250"))</f>
        <v/>
      </c>
      <c r="J637">
        <f>IF($A637="","",SUMIFS('Таблиця 1'!$K:$K,'Таблиця 1'!$B:$B,$A637,'Таблиця 1'!$I:$I,"Mirage",'Таблиця 1'!$J:$J,"GBU-39")+SUMIFS('Таблиця 1'!$K:$K,'Таблиця 1'!$B:$B,$A637,'Таблиця 1'!$I:$I,"F-16",'Таблиця 1'!$J:$J,"GBU-39")+SUMIFS('Таблиця 1'!$K:$K,'Таблиця 1'!$B:$B,$A637,'Таблиця 1'!$I:$I,"МіГ-29",'Таблиця 1'!$J:$J,"GBU-39")+SUMIFS('Таблиця 1'!$K:$K,'Таблиця 1'!$B:$B,$A637,'Таблиця 1'!$I:$I,"Су-25",'Таблиця 1'!$J:$J,"GBU-39")+SUMIFS('Таблиця 1'!$K:$K,'Таблиця 1'!$B:$B,$A637,'Таблиця 1'!$I:$I,"Су-27",'Таблиця 1'!$J:$J,"GBU-39"))</f>
        <v/>
      </c>
      <c r="K637">
        <f>IF($A637="","",SUMIFS('Таблиця 1'!$K:$K,'Таблиця 1'!$B:$B,$A637,'Таблиця 1'!$I:$I,"Mirage",'Таблиця 1'!$J:$J,"BLU-140")+SUMIFS('Таблиця 1'!$K:$K,'Таблиця 1'!$B:$B,$A637,'Таблиця 1'!$I:$I,"F-16",'Таблиця 1'!$J:$J,"BLU-140")+SUMIFS('Таблиця 1'!$K:$K,'Таблиця 1'!$B:$B,$A637,'Таблиця 1'!$I:$I,"МіГ-29",'Таблиця 1'!$J:$J,"BLU-140")+SUMIFS('Таблиця 1'!$K:$K,'Таблиця 1'!$B:$B,$A637,'Таблиця 1'!$I:$I,"Су-25",'Таблиця 1'!$J:$J,"BLU-140")+SUMIFS('Таблиця 1'!$K:$K,'Таблиця 1'!$B:$B,$A637,'Таблиця 1'!$I:$I,"Су-27",'Таблиця 1'!$J:$J,"BLU-140"))</f>
        <v/>
      </c>
      <c r="L637">
        <f>IF($A637="","",SUMIFS('Таблиця 1'!$K:$K,'Таблиця 1'!$B:$B,$A637,'Таблиця 1'!$I:$I,"Mirage",'Таблиця 1'!$J:$J,"GBU-65")+SUMIFS('Таблиця 1'!$K:$K,'Таблиця 1'!$B:$B,$A637,'Таблиця 1'!$I:$I,"F-16",'Таблиця 1'!$J:$J,"GBU-65")+SUMIFS('Таблиця 1'!$K:$K,'Таблиця 1'!$B:$B,$A637,'Таблиця 1'!$I:$I,"МіГ-29",'Таблиця 1'!$J:$J,"GBU-65")+SUMIFS('Таблиця 1'!$K:$K,'Таблиця 1'!$B:$B,$A637,'Таблиця 1'!$I:$I,"Су-25",'Таблиця 1'!$J:$J,"GBU-65")+SUMIFS('Таблиця 1'!$K:$K,'Таблиця 1'!$B:$B,$A637,'Таблиця 1'!$I:$I,"Су-27",'Таблиця 1'!$J:$J,"GBU-65"))</f>
        <v/>
      </c>
      <c r="M637">
        <f>IF($A637="","",SUMIFS('Таблиця 1'!$K:$K,'Таблиця 1'!$B:$B,$A637,'Таблиця 1'!$I:$I,"Mirage",'Таблиця 1'!$J:$J,"GBU-62")+SUMIFS('Таблиця 1'!$K:$K,'Таблиця 1'!$B:$B,$A637,'Таблиця 1'!$I:$I,"F-16",'Таблиця 1'!$J:$J,"GBU-62")+SUMIFS('Таблиця 1'!$K:$K,'Таблиця 1'!$B:$B,$A637,'Таблиця 1'!$I:$I,"МіГ-29",'Таблиця 1'!$J:$J,"GBU-62")+SUMIFS('Таблиця 1'!$K:$K,'Таблиця 1'!$B:$B,$A637,'Таблиця 1'!$I:$I,"Су-25",'Таблиця 1'!$J:$J,"GBU-62")+SUMIFS('Таблиця 1'!$K:$K,'Таблиця 1'!$B:$B,$A637,'Таблиця 1'!$I:$I,"Су-27",'Таблиця 1'!$J:$J,"GBU-62"))</f>
        <v/>
      </c>
      <c r="N637">
        <f>IF($A637="","",SUMIFS('Таблиця 1'!$K:$K,'Таблиця 1'!$B:$B,$A637,'Таблиця 1'!$I:$I,"Mirage",'Таблиця 1'!$J:$J,"GBU-64")+SUMIFS('Таблиця 1'!$K:$K,'Таблиця 1'!$B:$B,$A637,'Таблиця 1'!$I:$I,"F-16",'Таблиця 1'!$J:$J,"GBU-64")+SUMIFS('Таблиця 1'!$K:$K,'Таблиця 1'!$B:$B,$A637,'Таблиця 1'!$I:$I,"МіГ-29",'Таблиця 1'!$J:$J,"GBU-64")+SUMIFS('Таблиця 1'!$K:$K,'Таблиця 1'!$B:$B,$A637,'Таблиця 1'!$I:$I,"Су-25",'Таблиця 1'!$J:$J,"GBU-64")+SUMIFS('Таблиця 1'!$K:$K,'Таблиця 1'!$B:$B,$A637,'Таблиця 1'!$I:$I,"Су-27",'Таблиця 1'!$J:$J,"GBU-64"))</f>
        <v/>
      </c>
      <c r="O637">
        <f>IF($A637="","",SUMIFS('Таблиця 1'!$K:$K,'Таблиця 1'!$B:$B,$A637,'Таблиця 1'!$I:$I,"Mirage",'Таблиця 1'!$J:$J,"C-13")+SUMIFS('Таблиця 1'!$K:$K,'Таблиця 1'!$B:$B,$A637,'Таблиця 1'!$I:$I,"F-16",'Таблиця 1'!$J:$J,"C-13")+SUMIFS('Таблиця 1'!$K:$K,'Таблиця 1'!$B:$B,$A637,'Таблиця 1'!$I:$I,"МіГ-29",'Таблиця 1'!$J:$J,"C-13")+SUMIFS('Таблиця 1'!$K:$K,'Таблиця 1'!$B:$B,$A637,'Таблиця 1'!$I:$I,"Су-25",'Таблиця 1'!$J:$J,"C-13")+SUMIFS('Таблиця 1'!$K:$K,'Таблиця 1'!$B:$B,$A637,'Таблиця 1'!$I:$I,"Су-27",'Таблиця 1'!$J:$J,"C-13"))</f>
        <v/>
      </c>
      <c r="P637">
        <f>IF($A637="","",SUMIFS('Таблиця 1'!$K:$K,'Таблиця 1'!$B:$B,$A637,'Таблиця 1'!$I:$I,"Mirage",'Таблиця 1'!$J:$J,"MK-32")+SUMIFS('Таблиця 1'!$K:$K,'Таблиця 1'!$B:$B,$A637,'Таблиця 1'!$I:$I,"F-16",'Таблиця 1'!$J:$J,"MK-32")+SUMIFS('Таблиця 1'!$K:$K,'Таблиця 1'!$B:$B,$A637,'Таблиця 1'!$I:$I,"МіГ-29",'Таблиця 1'!$J:$J,"MK-32")+SUMIFS('Таблиця 1'!$K:$K,'Таблиця 1'!$B:$B,$A637,'Таблиця 1'!$I:$I,"Су-25",'Таблиця 1'!$J:$J,"MK-32")+SUMIFS('Таблиця 1'!$K:$K,'Таблиця 1'!$B:$B,$A637,'Таблиця 1'!$I:$I,"Су-27",'Таблиця 1'!$J:$J,"MK-32"))</f>
        <v/>
      </c>
      <c r="Q637">
        <f>IF($A637="","",SUMIFS('Таблиця 1'!$K:$K,'Таблиця 1'!$B:$B,$A637,'Таблиця 1'!$I:$I,"Mirage",'Таблиця 1'!$J:$J,"MK-24")+SUMIFS('Таблиця 1'!$K:$K,'Таблиця 1'!$B:$B,$A637,'Таблиця 1'!$I:$I,"F-16",'Таблиця 1'!$J:$J,"MK-24")+SUMIFS('Таблиця 1'!$K:$K,'Таблиця 1'!$B:$B,$A637,'Таблиця 1'!$I:$I,"МіГ-29",'Таблиця 1'!$J:$J,"MK-24")+SUMIFS('Таблиця 1'!$K:$K,'Таблиця 1'!$B:$B,$A637,'Таблиця 1'!$I:$I,"Су-25",'Таблиця 1'!$J:$J,"MK-24")+SUMIFS('Таблиця 1'!$K:$K,'Таблиця 1'!$B:$B,$A637,'Таблиця 1'!$I:$I,"Су-27",'Таблиця 1'!$J:$J,"MK-24"))</f>
        <v/>
      </c>
      <c r="R637">
        <f>IF($A637="","",COUNTIFS('Таблиця 1'!$B:$B,$A637,'Таблиця 1'!$I:$I,"Mirage",'Таблиця 1'!$L:$L,"Уражено")+COUNTIFS('Таблиця 1'!$B:$B,$A637,'Таблиця 1'!$I:$I,"F-16",'Таблиця 1'!$L:$L,"Уражено")+COUNTIFS('Таблиця 1'!$B:$B,$A637,'Таблиця 1'!$I:$I,"МіГ-29",'Таблиця 1'!$L:$L,"Уражено")+COUNTIFS('Таблиця 1'!$B:$B,$A637,'Таблиця 1'!$I:$I,"Су-25",'Таблиця 1'!$L:$L,"Уражено")+COUNTIFS('Таблиця 1'!$B:$B,$A637,'Таблиця 1'!$I:$I,"Су-27",'Таблиця 1'!$L:$L,"Уражено"))</f>
        <v/>
      </c>
      <c r="S637">
        <f>IF($A637="","",COUNTIFS('Таблиця 1'!$B:$B,$A637,'Таблиця 1'!$I:$I,"Mirage",'Таблиця 1'!$L:$L,"НЕ уражено")+COUNTIFS('Таблиця 1'!$B:$B,$A637,'Таблиця 1'!$I:$I,"F-16",'Таблиця 1'!$L:$L,"НЕ уражено")+COUNTIFS('Таблиця 1'!$B:$B,$A637,'Таблиця 1'!$I:$I,"МіГ-29",'Таблиця 1'!$L:$L,"НЕ уражено")+COUNTIFS('Таблиця 1'!$B:$B,$A637,'Таблиця 1'!$I:$I,"Су-25",'Таблиця 1'!$L:$L,"НЕ уражено")+COUNTIFS('Таблиця 1'!$B:$B,$A637,'Таблиця 1'!$I:$I,"Су-27",'Таблиця 1'!$L:$L,"НЕ уражено"))</f>
        <v/>
      </c>
      <c r="T637">
        <f>IF($A637="","",COUNTIFS('Таблиця 1'!$B:$B,$A637,'Таблиця 1'!$I:$I,"Mirage",'Таблиця 1'!$L:$L,"Дорозвідується")+COUNTIFS('Таблиця 1'!$B:$B,$A637,'Таблиця 1'!$I:$I,"F-16",'Таблиця 1'!$L:$L,"Дорозвідується")+COUNTIFS('Таблиця 1'!$B:$B,$A637,'Таблиця 1'!$I:$I,"МіГ-29",'Таблиця 1'!$L:$L,"Дорозвідується")+COUNTIFS('Таблиця 1'!$B:$B,$A637,'Таблиця 1'!$I:$I,"Су-25",'Таблиця 1'!$L:$L,"Дорозвідується")+COUNTIFS('Таблиця 1'!$B:$B,$A637,'Таблиця 1'!$I:$I,"Су-27",'Таблиця 1'!$L:$L,"Дорозвідується"))</f>
        <v/>
      </c>
    </row>
    <row r="638">
      <c r="A638" s="273">
        <f>IF(A637="","",IF(A637+1&gt;MAX('Таблиця 1'!$B:$B),"",A637+1))</f>
        <v/>
      </c>
      <c r="B638">
        <f>IF($A638="","",COUNTIFS('Таблиця 1'!$B:$B,$A638,'Таблиця 1'!$I:$I,"Mirage")+COUNTIFS('Таблиця 1'!$B:$B,$A638,'Таблиця 1'!$I:$I,"F-16")+COUNTIFS('Таблиця 1'!$B:$B,$A638,'Таблиця 1'!$I:$I,"МіГ-29")+COUNTIFS('Таблиця 1'!$B:$B,$A638,'Таблиця 1'!$I:$I,"Су-25")+COUNTIFS('Таблиця 1'!$B:$B,$A638,'Таблиця 1'!$I:$I,"Су-27"))</f>
        <v/>
      </c>
      <c r="C638">
        <f>IF($A638="","",COUNTIFS('Таблиця 1'!$B:$B,$A638,'Таблиця 1'!$I:$I,"Mirage"))</f>
        <v/>
      </c>
      <c r="D638">
        <f>IF($A638="","",COUNTIFS('Таблиця 1'!$B:$B,$A638,'Таблиця 1'!$I:$I,"F-16"))</f>
        <v/>
      </c>
      <c r="E638">
        <f>IF($A638="","",COUNTIFS('Таблиця 1'!$B:$B,$A638,'Таблиця 1'!$I:$I,"МіГ-29"))</f>
        <v/>
      </c>
      <c r="F638">
        <f>IF($A638="","",COUNTIFS('Таблиця 1'!$B:$B,$A638,'Таблиця 1'!$I:$I,"Су-25"))</f>
        <v/>
      </c>
      <c r="G638">
        <f>IF($A638="","",COUNTIFS('Таблиця 1'!$B:$B,$A638,'Таблиця 1'!$I:$I,"Су-27"))</f>
        <v/>
      </c>
      <c r="H638">
        <f>IF($A638="","",SUMIFS('Таблиця 1'!$K:$K,'Таблиця 1'!$B:$B,$A638,'Таблиця 1'!$I:$I,"Mirage",'Таблиця 1'!$J:$J,"AGM-88")+SUMIFS('Таблиця 1'!$K:$K,'Таблиця 1'!$B:$B,$A638,'Таблиця 1'!$I:$I,"F-16",'Таблиця 1'!$J:$J,"AGM-88")+SUMIFS('Таблиця 1'!$K:$K,'Таблиця 1'!$B:$B,$A638,'Таблиця 1'!$I:$I,"МіГ-29",'Таблиця 1'!$J:$J,"AGM-88")+SUMIFS('Таблиця 1'!$K:$K,'Таблиця 1'!$B:$B,$A638,'Таблиця 1'!$I:$I,"Су-25",'Таблиця 1'!$J:$J,"AGM-88")+SUMIFS('Таблиця 1'!$K:$K,'Таблиця 1'!$B:$B,$A638,'Таблиця 1'!$I:$I,"Су-27",'Таблиця 1'!$J:$J,"AGM-88"))</f>
        <v/>
      </c>
      <c r="I638">
        <f>IF($A638="","",SUMIFS('Таблиця 1'!$K:$K,'Таблиця 1'!$B:$B,$A638,'Таблиця 1'!$I:$I,"Mirage",'Таблиця 1'!$J:$J,"AASM-250")+SUMIFS('Таблиця 1'!$K:$K,'Таблиця 1'!$B:$B,$A638,'Таблиця 1'!$I:$I,"F-16",'Таблиця 1'!$J:$J,"AASM-250")+SUMIFS('Таблиця 1'!$K:$K,'Таблиця 1'!$B:$B,$A638,'Таблиця 1'!$I:$I,"МіГ-29",'Таблиця 1'!$J:$J,"AASM-250")+SUMIFS('Таблиця 1'!$K:$K,'Таблиця 1'!$B:$B,$A638,'Таблиця 1'!$I:$I,"Су-25",'Таблиця 1'!$J:$J,"AASM-250")+SUMIFS('Таблиця 1'!$K:$K,'Таблиця 1'!$B:$B,$A638,'Таблиця 1'!$I:$I,"Су-27",'Таблиця 1'!$J:$J,"AASM-250"))</f>
        <v/>
      </c>
      <c r="J638">
        <f>IF($A638="","",SUMIFS('Таблиця 1'!$K:$K,'Таблиця 1'!$B:$B,$A638,'Таблиця 1'!$I:$I,"Mirage",'Таблиця 1'!$J:$J,"GBU-39")+SUMIFS('Таблиця 1'!$K:$K,'Таблиця 1'!$B:$B,$A638,'Таблиця 1'!$I:$I,"F-16",'Таблиця 1'!$J:$J,"GBU-39")+SUMIFS('Таблиця 1'!$K:$K,'Таблиця 1'!$B:$B,$A638,'Таблиця 1'!$I:$I,"МіГ-29",'Таблиця 1'!$J:$J,"GBU-39")+SUMIFS('Таблиця 1'!$K:$K,'Таблиця 1'!$B:$B,$A638,'Таблиця 1'!$I:$I,"Су-25",'Таблиця 1'!$J:$J,"GBU-39")+SUMIFS('Таблиця 1'!$K:$K,'Таблиця 1'!$B:$B,$A638,'Таблиця 1'!$I:$I,"Су-27",'Таблиця 1'!$J:$J,"GBU-39"))</f>
        <v/>
      </c>
      <c r="K638">
        <f>IF($A638="","",SUMIFS('Таблиця 1'!$K:$K,'Таблиця 1'!$B:$B,$A638,'Таблиця 1'!$I:$I,"Mirage",'Таблиця 1'!$J:$J,"BLU-140")+SUMIFS('Таблиця 1'!$K:$K,'Таблиця 1'!$B:$B,$A638,'Таблиця 1'!$I:$I,"F-16",'Таблиця 1'!$J:$J,"BLU-140")+SUMIFS('Таблиця 1'!$K:$K,'Таблиця 1'!$B:$B,$A638,'Таблиця 1'!$I:$I,"МіГ-29",'Таблиця 1'!$J:$J,"BLU-140")+SUMIFS('Таблиця 1'!$K:$K,'Таблиця 1'!$B:$B,$A638,'Таблиця 1'!$I:$I,"Су-25",'Таблиця 1'!$J:$J,"BLU-140")+SUMIFS('Таблиця 1'!$K:$K,'Таблиця 1'!$B:$B,$A638,'Таблиця 1'!$I:$I,"Су-27",'Таблиця 1'!$J:$J,"BLU-140"))</f>
        <v/>
      </c>
      <c r="L638">
        <f>IF($A638="","",SUMIFS('Таблиця 1'!$K:$K,'Таблиця 1'!$B:$B,$A638,'Таблиця 1'!$I:$I,"Mirage",'Таблиця 1'!$J:$J,"GBU-65")+SUMIFS('Таблиця 1'!$K:$K,'Таблиця 1'!$B:$B,$A638,'Таблиця 1'!$I:$I,"F-16",'Таблиця 1'!$J:$J,"GBU-65")+SUMIFS('Таблиця 1'!$K:$K,'Таблиця 1'!$B:$B,$A638,'Таблиця 1'!$I:$I,"МіГ-29",'Таблиця 1'!$J:$J,"GBU-65")+SUMIFS('Таблиця 1'!$K:$K,'Таблиця 1'!$B:$B,$A638,'Таблиця 1'!$I:$I,"Су-25",'Таблиця 1'!$J:$J,"GBU-65")+SUMIFS('Таблиця 1'!$K:$K,'Таблиця 1'!$B:$B,$A638,'Таблиця 1'!$I:$I,"Су-27",'Таблиця 1'!$J:$J,"GBU-65"))</f>
        <v/>
      </c>
      <c r="M638">
        <f>IF($A638="","",SUMIFS('Таблиця 1'!$K:$K,'Таблиця 1'!$B:$B,$A638,'Таблиця 1'!$I:$I,"Mirage",'Таблиця 1'!$J:$J,"GBU-62")+SUMIFS('Таблиця 1'!$K:$K,'Таблиця 1'!$B:$B,$A638,'Таблиця 1'!$I:$I,"F-16",'Таблиця 1'!$J:$J,"GBU-62")+SUMIFS('Таблиця 1'!$K:$K,'Таблиця 1'!$B:$B,$A638,'Таблиця 1'!$I:$I,"МіГ-29",'Таблиця 1'!$J:$J,"GBU-62")+SUMIFS('Таблиця 1'!$K:$K,'Таблиця 1'!$B:$B,$A638,'Таблиця 1'!$I:$I,"Су-25",'Таблиця 1'!$J:$J,"GBU-62")+SUMIFS('Таблиця 1'!$K:$K,'Таблиця 1'!$B:$B,$A638,'Таблиця 1'!$I:$I,"Су-27",'Таблиця 1'!$J:$J,"GBU-62"))</f>
        <v/>
      </c>
      <c r="N638">
        <f>IF($A638="","",SUMIFS('Таблиця 1'!$K:$K,'Таблиця 1'!$B:$B,$A638,'Таблиця 1'!$I:$I,"Mirage",'Таблиця 1'!$J:$J,"GBU-64")+SUMIFS('Таблиця 1'!$K:$K,'Таблиця 1'!$B:$B,$A638,'Таблиця 1'!$I:$I,"F-16",'Таблиця 1'!$J:$J,"GBU-64")+SUMIFS('Таблиця 1'!$K:$K,'Таблиця 1'!$B:$B,$A638,'Таблиця 1'!$I:$I,"МіГ-29",'Таблиця 1'!$J:$J,"GBU-64")+SUMIFS('Таблиця 1'!$K:$K,'Таблиця 1'!$B:$B,$A638,'Таблиця 1'!$I:$I,"Су-25",'Таблиця 1'!$J:$J,"GBU-64")+SUMIFS('Таблиця 1'!$K:$K,'Таблиця 1'!$B:$B,$A638,'Таблиця 1'!$I:$I,"Су-27",'Таблиця 1'!$J:$J,"GBU-64"))</f>
        <v/>
      </c>
      <c r="O638">
        <f>IF($A638="","",SUMIFS('Таблиця 1'!$K:$K,'Таблиця 1'!$B:$B,$A638,'Таблиця 1'!$I:$I,"Mirage",'Таблиця 1'!$J:$J,"C-13")+SUMIFS('Таблиця 1'!$K:$K,'Таблиця 1'!$B:$B,$A638,'Таблиця 1'!$I:$I,"F-16",'Таблиця 1'!$J:$J,"C-13")+SUMIFS('Таблиця 1'!$K:$K,'Таблиця 1'!$B:$B,$A638,'Таблиця 1'!$I:$I,"МіГ-29",'Таблиця 1'!$J:$J,"C-13")+SUMIFS('Таблиця 1'!$K:$K,'Таблиця 1'!$B:$B,$A638,'Таблиця 1'!$I:$I,"Су-25",'Таблиця 1'!$J:$J,"C-13")+SUMIFS('Таблиця 1'!$K:$K,'Таблиця 1'!$B:$B,$A638,'Таблиця 1'!$I:$I,"Су-27",'Таблиця 1'!$J:$J,"C-13"))</f>
        <v/>
      </c>
      <c r="P638">
        <f>IF($A638="","",SUMIFS('Таблиця 1'!$K:$K,'Таблиця 1'!$B:$B,$A638,'Таблиця 1'!$I:$I,"Mirage",'Таблиця 1'!$J:$J,"MK-32")+SUMIFS('Таблиця 1'!$K:$K,'Таблиця 1'!$B:$B,$A638,'Таблиця 1'!$I:$I,"F-16",'Таблиця 1'!$J:$J,"MK-32")+SUMIFS('Таблиця 1'!$K:$K,'Таблиця 1'!$B:$B,$A638,'Таблиця 1'!$I:$I,"МіГ-29",'Таблиця 1'!$J:$J,"MK-32")+SUMIFS('Таблиця 1'!$K:$K,'Таблиця 1'!$B:$B,$A638,'Таблиця 1'!$I:$I,"Су-25",'Таблиця 1'!$J:$J,"MK-32")+SUMIFS('Таблиця 1'!$K:$K,'Таблиця 1'!$B:$B,$A638,'Таблиця 1'!$I:$I,"Су-27",'Таблиця 1'!$J:$J,"MK-32"))</f>
        <v/>
      </c>
      <c r="Q638">
        <f>IF($A638="","",SUMIFS('Таблиця 1'!$K:$K,'Таблиця 1'!$B:$B,$A638,'Таблиця 1'!$I:$I,"Mirage",'Таблиця 1'!$J:$J,"MK-24")+SUMIFS('Таблиця 1'!$K:$K,'Таблиця 1'!$B:$B,$A638,'Таблиця 1'!$I:$I,"F-16",'Таблиця 1'!$J:$J,"MK-24")+SUMIFS('Таблиця 1'!$K:$K,'Таблиця 1'!$B:$B,$A638,'Таблиця 1'!$I:$I,"МіГ-29",'Таблиця 1'!$J:$J,"MK-24")+SUMIFS('Таблиця 1'!$K:$K,'Таблиця 1'!$B:$B,$A638,'Таблиця 1'!$I:$I,"Су-25",'Таблиця 1'!$J:$J,"MK-24")+SUMIFS('Таблиця 1'!$K:$K,'Таблиця 1'!$B:$B,$A638,'Таблиця 1'!$I:$I,"Су-27",'Таблиця 1'!$J:$J,"MK-24"))</f>
        <v/>
      </c>
      <c r="R638">
        <f>IF($A638="","",COUNTIFS('Таблиця 1'!$B:$B,$A638,'Таблиця 1'!$I:$I,"Mirage",'Таблиця 1'!$L:$L,"Уражено")+COUNTIFS('Таблиця 1'!$B:$B,$A638,'Таблиця 1'!$I:$I,"F-16",'Таблиця 1'!$L:$L,"Уражено")+COUNTIFS('Таблиця 1'!$B:$B,$A638,'Таблиця 1'!$I:$I,"МіГ-29",'Таблиця 1'!$L:$L,"Уражено")+COUNTIFS('Таблиця 1'!$B:$B,$A638,'Таблиця 1'!$I:$I,"Су-25",'Таблиця 1'!$L:$L,"Уражено")+COUNTIFS('Таблиця 1'!$B:$B,$A638,'Таблиця 1'!$I:$I,"Су-27",'Таблиця 1'!$L:$L,"Уражено"))</f>
        <v/>
      </c>
      <c r="S638">
        <f>IF($A638="","",COUNTIFS('Таблиця 1'!$B:$B,$A638,'Таблиця 1'!$I:$I,"Mirage",'Таблиця 1'!$L:$L,"НЕ уражено")+COUNTIFS('Таблиця 1'!$B:$B,$A638,'Таблиця 1'!$I:$I,"F-16",'Таблиця 1'!$L:$L,"НЕ уражено")+COUNTIFS('Таблиця 1'!$B:$B,$A638,'Таблиця 1'!$I:$I,"МіГ-29",'Таблиця 1'!$L:$L,"НЕ уражено")+COUNTIFS('Таблиця 1'!$B:$B,$A638,'Таблиця 1'!$I:$I,"Су-25",'Таблиця 1'!$L:$L,"НЕ уражено")+COUNTIFS('Таблиця 1'!$B:$B,$A638,'Таблиця 1'!$I:$I,"Су-27",'Таблиця 1'!$L:$L,"НЕ уражено"))</f>
        <v/>
      </c>
      <c r="T638">
        <f>IF($A638="","",COUNTIFS('Таблиця 1'!$B:$B,$A638,'Таблиця 1'!$I:$I,"Mirage",'Таблиця 1'!$L:$L,"Дорозвідується")+COUNTIFS('Таблиця 1'!$B:$B,$A638,'Таблиця 1'!$I:$I,"F-16",'Таблиця 1'!$L:$L,"Дорозвідується")+COUNTIFS('Таблиця 1'!$B:$B,$A638,'Таблиця 1'!$I:$I,"МіГ-29",'Таблиця 1'!$L:$L,"Дорозвідується")+COUNTIFS('Таблиця 1'!$B:$B,$A638,'Таблиця 1'!$I:$I,"Су-25",'Таблиця 1'!$L:$L,"Дорозвідується")+COUNTIFS('Таблиця 1'!$B:$B,$A638,'Таблиця 1'!$I:$I,"Су-27",'Таблиця 1'!$L:$L,"Дорозвідується"))</f>
        <v/>
      </c>
    </row>
    <row r="639">
      <c r="A639" s="273">
        <f>IF(A638="","",IF(A638+1&gt;MAX('Таблиця 1'!$B:$B),"",A638+1))</f>
        <v/>
      </c>
      <c r="B639">
        <f>IF($A639="","",COUNTIFS('Таблиця 1'!$B:$B,$A639,'Таблиця 1'!$I:$I,"Mirage")+COUNTIFS('Таблиця 1'!$B:$B,$A639,'Таблиця 1'!$I:$I,"F-16")+COUNTIFS('Таблиця 1'!$B:$B,$A639,'Таблиця 1'!$I:$I,"МіГ-29")+COUNTIFS('Таблиця 1'!$B:$B,$A639,'Таблиця 1'!$I:$I,"Су-25")+COUNTIFS('Таблиця 1'!$B:$B,$A639,'Таблиця 1'!$I:$I,"Су-27"))</f>
        <v/>
      </c>
      <c r="C639">
        <f>IF($A639="","",COUNTIFS('Таблиця 1'!$B:$B,$A639,'Таблиця 1'!$I:$I,"Mirage"))</f>
        <v/>
      </c>
      <c r="D639">
        <f>IF($A639="","",COUNTIFS('Таблиця 1'!$B:$B,$A639,'Таблиця 1'!$I:$I,"F-16"))</f>
        <v/>
      </c>
      <c r="E639">
        <f>IF($A639="","",COUNTIFS('Таблиця 1'!$B:$B,$A639,'Таблиця 1'!$I:$I,"МіГ-29"))</f>
        <v/>
      </c>
      <c r="F639">
        <f>IF($A639="","",COUNTIFS('Таблиця 1'!$B:$B,$A639,'Таблиця 1'!$I:$I,"Су-25"))</f>
        <v/>
      </c>
      <c r="G639">
        <f>IF($A639="","",COUNTIFS('Таблиця 1'!$B:$B,$A639,'Таблиця 1'!$I:$I,"Су-27"))</f>
        <v/>
      </c>
      <c r="H639">
        <f>IF($A639="","",SUMIFS('Таблиця 1'!$K:$K,'Таблиця 1'!$B:$B,$A639,'Таблиця 1'!$I:$I,"Mirage",'Таблиця 1'!$J:$J,"AGM-88")+SUMIFS('Таблиця 1'!$K:$K,'Таблиця 1'!$B:$B,$A639,'Таблиця 1'!$I:$I,"F-16",'Таблиця 1'!$J:$J,"AGM-88")+SUMIFS('Таблиця 1'!$K:$K,'Таблиця 1'!$B:$B,$A639,'Таблиця 1'!$I:$I,"МіГ-29",'Таблиця 1'!$J:$J,"AGM-88")+SUMIFS('Таблиця 1'!$K:$K,'Таблиця 1'!$B:$B,$A639,'Таблиця 1'!$I:$I,"Су-25",'Таблиця 1'!$J:$J,"AGM-88")+SUMIFS('Таблиця 1'!$K:$K,'Таблиця 1'!$B:$B,$A639,'Таблиця 1'!$I:$I,"Су-27",'Таблиця 1'!$J:$J,"AGM-88"))</f>
        <v/>
      </c>
      <c r="I639">
        <f>IF($A639="","",SUMIFS('Таблиця 1'!$K:$K,'Таблиця 1'!$B:$B,$A639,'Таблиця 1'!$I:$I,"Mirage",'Таблиця 1'!$J:$J,"AASM-250")+SUMIFS('Таблиця 1'!$K:$K,'Таблиця 1'!$B:$B,$A639,'Таблиця 1'!$I:$I,"F-16",'Таблиця 1'!$J:$J,"AASM-250")+SUMIFS('Таблиця 1'!$K:$K,'Таблиця 1'!$B:$B,$A639,'Таблиця 1'!$I:$I,"МіГ-29",'Таблиця 1'!$J:$J,"AASM-250")+SUMIFS('Таблиця 1'!$K:$K,'Таблиця 1'!$B:$B,$A639,'Таблиця 1'!$I:$I,"Су-25",'Таблиця 1'!$J:$J,"AASM-250")+SUMIFS('Таблиця 1'!$K:$K,'Таблиця 1'!$B:$B,$A639,'Таблиця 1'!$I:$I,"Су-27",'Таблиця 1'!$J:$J,"AASM-250"))</f>
        <v/>
      </c>
      <c r="J639">
        <f>IF($A639="","",SUMIFS('Таблиця 1'!$K:$K,'Таблиця 1'!$B:$B,$A639,'Таблиця 1'!$I:$I,"Mirage",'Таблиця 1'!$J:$J,"GBU-39")+SUMIFS('Таблиця 1'!$K:$K,'Таблиця 1'!$B:$B,$A639,'Таблиця 1'!$I:$I,"F-16",'Таблиця 1'!$J:$J,"GBU-39")+SUMIFS('Таблиця 1'!$K:$K,'Таблиця 1'!$B:$B,$A639,'Таблиця 1'!$I:$I,"МіГ-29",'Таблиця 1'!$J:$J,"GBU-39")+SUMIFS('Таблиця 1'!$K:$K,'Таблиця 1'!$B:$B,$A639,'Таблиця 1'!$I:$I,"Су-25",'Таблиця 1'!$J:$J,"GBU-39")+SUMIFS('Таблиця 1'!$K:$K,'Таблиця 1'!$B:$B,$A639,'Таблиця 1'!$I:$I,"Су-27",'Таблиця 1'!$J:$J,"GBU-39"))</f>
        <v/>
      </c>
      <c r="K639">
        <f>IF($A639="","",SUMIFS('Таблиця 1'!$K:$K,'Таблиця 1'!$B:$B,$A639,'Таблиця 1'!$I:$I,"Mirage",'Таблиця 1'!$J:$J,"BLU-140")+SUMIFS('Таблиця 1'!$K:$K,'Таблиця 1'!$B:$B,$A639,'Таблиця 1'!$I:$I,"F-16",'Таблиця 1'!$J:$J,"BLU-140")+SUMIFS('Таблиця 1'!$K:$K,'Таблиця 1'!$B:$B,$A639,'Таблиця 1'!$I:$I,"МіГ-29",'Таблиця 1'!$J:$J,"BLU-140")+SUMIFS('Таблиця 1'!$K:$K,'Таблиця 1'!$B:$B,$A639,'Таблиця 1'!$I:$I,"Су-25",'Таблиця 1'!$J:$J,"BLU-140")+SUMIFS('Таблиця 1'!$K:$K,'Таблиця 1'!$B:$B,$A639,'Таблиця 1'!$I:$I,"Су-27",'Таблиця 1'!$J:$J,"BLU-140"))</f>
        <v/>
      </c>
      <c r="L639">
        <f>IF($A639="","",SUMIFS('Таблиця 1'!$K:$K,'Таблиця 1'!$B:$B,$A639,'Таблиця 1'!$I:$I,"Mirage",'Таблиця 1'!$J:$J,"GBU-65")+SUMIFS('Таблиця 1'!$K:$K,'Таблиця 1'!$B:$B,$A639,'Таблиця 1'!$I:$I,"F-16",'Таблиця 1'!$J:$J,"GBU-65")+SUMIFS('Таблиця 1'!$K:$K,'Таблиця 1'!$B:$B,$A639,'Таблиця 1'!$I:$I,"МіГ-29",'Таблиця 1'!$J:$J,"GBU-65")+SUMIFS('Таблиця 1'!$K:$K,'Таблиця 1'!$B:$B,$A639,'Таблиця 1'!$I:$I,"Су-25",'Таблиця 1'!$J:$J,"GBU-65")+SUMIFS('Таблиця 1'!$K:$K,'Таблиця 1'!$B:$B,$A639,'Таблиця 1'!$I:$I,"Су-27",'Таблиця 1'!$J:$J,"GBU-65"))</f>
        <v/>
      </c>
      <c r="M639">
        <f>IF($A639="","",SUMIFS('Таблиця 1'!$K:$K,'Таблиця 1'!$B:$B,$A639,'Таблиця 1'!$I:$I,"Mirage",'Таблиця 1'!$J:$J,"GBU-62")+SUMIFS('Таблиця 1'!$K:$K,'Таблиця 1'!$B:$B,$A639,'Таблиця 1'!$I:$I,"F-16",'Таблиця 1'!$J:$J,"GBU-62")+SUMIFS('Таблиця 1'!$K:$K,'Таблиця 1'!$B:$B,$A639,'Таблиця 1'!$I:$I,"МіГ-29",'Таблиця 1'!$J:$J,"GBU-62")+SUMIFS('Таблиця 1'!$K:$K,'Таблиця 1'!$B:$B,$A639,'Таблиця 1'!$I:$I,"Су-25",'Таблиця 1'!$J:$J,"GBU-62")+SUMIFS('Таблиця 1'!$K:$K,'Таблиця 1'!$B:$B,$A639,'Таблиця 1'!$I:$I,"Су-27",'Таблиця 1'!$J:$J,"GBU-62"))</f>
        <v/>
      </c>
      <c r="N639">
        <f>IF($A639="","",SUMIFS('Таблиця 1'!$K:$K,'Таблиця 1'!$B:$B,$A639,'Таблиця 1'!$I:$I,"Mirage",'Таблиця 1'!$J:$J,"GBU-64")+SUMIFS('Таблиця 1'!$K:$K,'Таблиця 1'!$B:$B,$A639,'Таблиця 1'!$I:$I,"F-16",'Таблиця 1'!$J:$J,"GBU-64")+SUMIFS('Таблиця 1'!$K:$K,'Таблиця 1'!$B:$B,$A639,'Таблиця 1'!$I:$I,"МіГ-29",'Таблиця 1'!$J:$J,"GBU-64")+SUMIFS('Таблиця 1'!$K:$K,'Таблиця 1'!$B:$B,$A639,'Таблиця 1'!$I:$I,"Су-25",'Таблиця 1'!$J:$J,"GBU-64")+SUMIFS('Таблиця 1'!$K:$K,'Таблиця 1'!$B:$B,$A639,'Таблиця 1'!$I:$I,"Су-27",'Таблиця 1'!$J:$J,"GBU-64"))</f>
        <v/>
      </c>
      <c r="O639">
        <f>IF($A639="","",SUMIFS('Таблиця 1'!$K:$K,'Таблиця 1'!$B:$B,$A639,'Таблиця 1'!$I:$I,"Mirage",'Таблиця 1'!$J:$J,"C-13")+SUMIFS('Таблиця 1'!$K:$K,'Таблиця 1'!$B:$B,$A639,'Таблиця 1'!$I:$I,"F-16",'Таблиця 1'!$J:$J,"C-13")+SUMIFS('Таблиця 1'!$K:$K,'Таблиця 1'!$B:$B,$A639,'Таблиця 1'!$I:$I,"МіГ-29",'Таблиця 1'!$J:$J,"C-13")+SUMIFS('Таблиця 1'!$K:$K,'Таблиця 1'!$B:$B,$A639,'Таблиця 1'!$I:$I,"Су-25",'Таблиця 1'!$J:$J,"C-13")+SUMIFS('Таблиця 1'!$K:$K,'Таблиця 1'!$B:$B,$A639,'Таблиця 1'!$I:$I,"Су-27",'Таблиця 1'!$J:$J,"C-13"))</f>
        <v/>
      </c>
      <c r="P639">
        <f>IF($A639="","",SUMIFS('Таблиця 1'!$K:$K,'Таблиця 1'!$B:$B,$A639,'Таблиця 1'!$I:$I,"Mirage",'Таблиця 1'!$J:$J,"MK-32")+SUMIFS('Таблиця 1'!$K:$K,'Таблиця 1'!$B:$B,$A639,'Таблиця 1'!$I:$I,"F-16",'Таблиця 1'!$J:$J,"MK-32")+SUMIFS('Таблиця 1'!$K:$K,'Таблиця 1'!$B:$B,$A639,'Таблиця 1'!$I:$I,"МіГ-29",'Таблиця 1'!$J:$J,"MK-32")+SUMIFS('Таблиця 1'!$K:$K,'Таблиця 1'!$B:$B,$A639,'Таблиця 1'!$I:$I,"Су-25",'Таблиця 1'!$J:$J,"MK-32")+SUMIFS('Таблиця 1'!$K:$K,'Таблиця 1'!$B:$B,$A639,'Таблиця 1'!$I:$I,"Су-27",'Таблиця 1'!$J:$J,"MK-32"))</f>
        <v/>
      </c>
      <c r="Q639">
        <f>IF($A639="","",SUMIFS('Таблиця 1'!$K:$K,'Таблиця 1'!$B:$B,$A639,'Таблиця 1'!$I:$I,"Mirage",'Таблиця 1'!$J:$J,"MK-24")+SUMIFS('Таблиця 1'!$K:$K,'Таблиця 1'!$B:$B,$A639,'Таблиця 1'!$I:$I,"F-16",'Таблиця 1'!$J:$J,"MK-24")+SUMIFS('Таблиця 1'!$K:$K,'Таблиця 1'!$B:$B,$A639,'Таблиця 1'!$I:$I,"МіГ-29",'Таблиця 1'!$J:$J,"MK-24")+SUMIFS('Таблиця 1'!$K:$K,'Таблиця 1'!$B:$B,$A639,'Таблиця 1'!$I:$I,"Су-25",'Таблиця 1'!$J:$J,"MK-24")+SUMIFS('Таблиця 1'!$K:$K,'Таблиця 1'!$B:$B,$A639,'Таблиця 1'!$I:$I,"Су-27",'Таблиця 1'!$J:$J,"MK-24"))</f>
        <v/>
      </c>
      <c r="R639">
        <f>IF($A639="","",COUNTIFS('Таблиця 1'!$B:$B,$A639,'Таблиця 1'!$I:$I,"Mirage",'Таблиця 1'!$L:$L,"Уражено")+COUNTIFS('Таблиця 1'!$B:$B,$A639,'Таблиця 1'!$I:$I,"F-16",'Таблиця 1'!$L:$L,"Уражено")+COUNTIFS('Таблиця 1'!$B:$B,$A639,'Таблиця 1'!$I:$I,"МіГ-29",'Таблиця 1'!$L:$L,"Уражено")+COUNTIFS('Таблиця 1'!$B:$B,$A639,'Таблиця 1'!$I:$I,"Су-25",'Таблиця 1'!$L:$L,"Уражено")+COUNTIFS('Таблиця 1'!$B:$B,$A639,'Таблиця 1'!$I:$I,"Су-27",'Таблиця 1'!$L:$L,"Уражено"))</f>
        <v/>
      </c>
      <c r="S639">
        <f>IF($A639="","",COUNTIFS('Таблиця 1'!$B:$B,$A639,'Таблиця 1'!$I:$I,"Mirage",'Таблиця 1'!$L:$L,"НЕ уражено")+COUNTIFS('Таблиця 1'!$B:$B,$A639,'Таблиця 1'!$I:$I,"F-16",'Таблиця 1'!$L:$L,"НЕ уражено")+COUNTIFS('Таблиця 1'!$B:$B,$A639,'Таблиця 1'!$I:$I,"МіГ-29",'Таблиця 1'!$L:$L,"НЕ уражено")+COUNTIFS('Таблиця 1'!$B:$B,$A639,'Таблиця 1'!$I:$I,"Су-25",'Таблиця 1'!$L:$L,"НЕ уражено")+COUNTIFS('Таблиця 1'!$B:$B,$A639,'Таблиця 1'!$I:$I,"Су-27",'Таблиця 1'!$L:$L,"НЕ уражено"))</f>
        <v/>
      </c>
      <c r="T639">
        <f>IF($A639="","",COUNTIFS('Таблиця 1'!$B:$B,$A639,'Таблиця 1'!$I:$I,"Mirage",'Таблиця 1'!$L:$L,"Дорозвідується")+COUNTIFS('Таблиця 1'!$B:$B,$A639,'Таблиця 1'!$I:$I,"F-16",'Таблиця 1'!$L:$L,"Дорозвідується")+COUNTIFS('Таблиця 1'!$B:$B,$A639,'Таблиця 1'!$I:$I,"МіГ-29",'Таблиця 1'!$L:$L,"Дорозвідується")+COUNTIFS('Таблиця 1'!$B:$B,$A639,'Таблиця 1'!$I:$I,"Су-25",'Таблиця 1'!$L:$L,"Дорозвідується")+COUNTIFS('Таблиця 1'!$B:$B,$A639,'Таблиця 1'!$I:$I,"Су-27",'Таблиця 1'!$L:$L,"Дорозвідується"))</f>
        <v/>
      </c>
    </row>
    <row r="640">
      <c r="A640" s="273">
        <f>IF(A639="","",IF(A639+1&gt;MAX('Таблиця 1'!$B:$B),"",A639+1))</f>
        <v/>
      </c>
      <c r="B640">
        <f>IF($A640="","",COUNTIFS('Таблиця 1'!$B:$B,$A640,'Таблиця 1'!$I:$I,"Mirage")+COUNTIFS('Таблиця 1'!$B:$B,$A640,'Таблиця 1'!$I:$I,"F-16")+COUNTIFS('Таблиця 1'!$B:$B,$A640,'Таблиця 1'!$I:$I,"МіГ-29")+COUNTIFS('Таблиця 1'!$B:$B,$A640,'Таблиця 1'!$I:$I,"Су-25")+COUNTIFS('Таблиця 1'!$B:$B,$A640,'Таблиця 1'!$I:$I,"Су-27"))</f>
        <v/>
      </c>
      <c r="C640">
        <f>IF($A640="","",COUNTIFS('Таблиця 1'!$B:$B,$A640,'Таблиця 1'!$I:$I,"Mirage"))</f>
        <v/>
      </c>
      <c r="D640">
        <f>IF($A640="","",COUNTIFS('Таблиця 1'!$B:$B,$A640,'Таблиця 1'!$I:$I,"F-16"))</f>
        <v/>
      </c>
      <c r="E640">
        <f>IF($A640="","",COUNTIFS('Таблиця 1'!$B:$B,$A640,'Таблиця 1'!$I:$I,"МіГ-29"))</f>
        <v/>
      </c>
      <c r="F640">
        <f>IF($A640="","",COUNTIFS('Таблиця 1'!$B:$B,$A640,'Таблиця 1'!$I:$I,"Су-25"))</f>
        <v/>
      </c>
      <c r="G640">
        <f>IF($A640="","",COUNTIFS('Таблиця 1'!$B:$B,$A640,'Таблиця 1'!$I:$I,"Су-27"))</f>
        <v/>
      </c>
      <c r="H640">
        <f>IF($A640="","",SUMIFS('Таблиця 1'!$K:$K,'Таблиця 1'!$B:$B,$A640,'Таблиця 1'!$I:$I,"Mirage",'Таблиця 1'!$J:$J,"AGM-88")+SUMIFS('Таблиця 1'!$K:$K,'Таблиця 1'!$B:$B,$A640,'Таблиця 1'!$I:$I,"F-16",'Таблиця 1'!$J:$J,"AGM-88")+SUMIFS('Таблиця 1'!$K:$K,'Таблиця 1'!$B:$B,$A640,'Таблиця 1'!$I:$I,"МіГ-29",'Таблиця 1'!$J:$J,"AGM-88")+SUMIFS('Таблиця 1'!$K:$K,'Таблиця 1'!$B:$B,$A640,'Таблиця 1'!$I:$I,"Су-25",'Таблиця 1'!$J:$J,"AGM-88")+SUMIFS('Таблиця 1'!$K:$K,'Таблиця 1'!$B:$B,$A640,'Таблиця 1'!$I:$I,"Су-27",'Таблиця 1'!$J:$J,"AGM-88"))</f>
        <v/>
      </c>
      <c r="I640">
        <f>IF($A640="","",SUMIFS('Таблиця 1'!$K:$K,'Таблиця 1'!$B:$B,$A640,'Таблиця 1'!$I:$I,"Mirage",'Таблиця 1'!$J:$J,"AASM-250")+SUMIFS('Таблиця 1'!$K:$K,'Таблиця 1'!$B:$B,$A640,'Таблиця 1'!$I:$I,"F-16",'Таблиця 1'!$J:$J,"AASM-250")+SUMIFS('Таблиця 1'!$K:$K,'Таблиця 1'!$B:$B,$A640,'Таблиця 1'!$I:$I,"МіГ-29",'Таблиця 1'!$J:$J,"AASM-250")+SUMIFS('Таблиця 1'!$K:$K,'Таблиця 1'!$B:$B,$A640,'Таблиця 1'!$I:$I,"Су-25",'Таблиця 1'!$J:$J,"AASM-250")+SUMIFS('Таблиця 1'!$K:$K,'Таблиця 1'!$B:$B,$A640,'Таблиця 1'!$I:$I,"Су-27",'Таблиця 1'!$J:$J,"AASM-250"))</f>
        <v/>
      </c>
      <c r="J640">
        <f>IF($A640="","",SUMIFS('Таблиця 1'!$K:$K,'Таблиця 1'!$B:$B,$A640,'Таблиця 1'!$I:$I,"Mirage",'Таблиця 1'!$J:$J,"GBU-39")+SUMIFS('Таблиця 1'!$K:$K,'Таблиця 1'!$B:$B,$A640,'Таблиця 1'!$I:$I,"F-16",'Таблиця 1'!$J:$J,"GBU-39")+SUMIFS('Таблиця 1'!$K:$K,'Таблиця 1'!$B:$B,$A640,'Таблиця 1'!$I:$I,"МіГ-29",'Таблиця 1'!$J:$J,"GBU-39")+SUMIFS('Таблиця 1'!$K:$K,'Таблиця 1'!$B:$B,$A640,'Таблиця 1'!$I:$I,"Су-25",'Таблиця 1'!$J:$J,"GBU-39")+SUMIFS('Таблиця 1'!$K:$K,'Таблиця 1'!$B:$B,$A640,'Таблиця 1'!$I:$I,"Су-27",'Таблиця 1'!$J:$J,"GBU-39"))</f>
        <v/>
      </c>
      <c r="K640">
        <f>IF($A640="","",SUMIFS('Таблиця 1'!$K:$K,'Таблиця 1'!$B:$B,$A640,'Таблиця 1'!$I:$I,"Mirage",'Таблиця 1'!$J:$J,"BLU-140")+SUMIFS('Таблиця 1'!$K:$K,'Таблиця 1'!$B:$B,$A640,'Таблиця 1'!$I:$I,"F-16",'Таблиця 1'!$J:$J,"BLU-140")+SUMIFS('Таблиця 1'!$K:$K,'Таблиця 1'!$B:$B,$A640,'Таблиця 1'!$I:$I,"МіГ-29",'Таблиця 1'!$J:$J,"BLU-140")+SUMIFS('Таблиця 1'!$K:$K,'Таблиця 1'!$B:$B,$A640,'Таблиця 1'!$I:$I,"Су-25",'Таблиця 1'!$J:$J,"BLU-140")+SUMIFS('Таблиця 1'!$K:$K,'Таблиця 1'!$B:$B,$A640,'Таблиця 1'!$I:$I,"Су-27",'Таблиця 1'!$J:$J,"BLU-140"))</f>
        <v/>
      </c>
      <c r="L640">
        <f>IF($A640="","",SUMIFS('Таблиця 1'!$K:$K,'Таблиця 1'!$B:$B,$A640,'Таблиця 1'!$I:$I,"Mirage",'Таблиця 1'!$J:$J,"GBU-65")+SUMIFS('Таблиця 1'!$K:$K,'Таблиця 1'!$B:$B,$A640,'Таблиця 1'!$I:$I,"F-16",'Таблиця 1'!$J:$J,"GBU-65")+SUMIFS('Таблиця 1'!$K:$K,'Таблиця 1'!$B:$B,$A640,'Таблиця 1'!$I:$I,"МіГ-29",'Таблиця 1'!$J:$J,"GBU-65")+SUMIFS('Таблиця 1'!$K:$K,'Таблиця 1'!$B:$B,$A640,'Таблиця 1'!$I:$I,"Су-25",'Таблиця 1'!$J:$J,"GBU-65")+SUMIFS('Таблиця 1'!$K:$K,'Таблиця 1'!$B:$B,$A640,'Таблиця 1'!$I:$I,"Су-27",'Таблиця 1'!$J:$J,"GBU-65"))</f>
        <v/>
      </c>
      <c r="M640">
        <f>IF($A640="","",SUMIFS('Таблиця 1'!$K:$K,'Таблиця 1'!$B:$B,$A640,'Таблиця 1'!$I:$I,"Mirage",'Таблиця 1'!$J:$J,"GBU-62")+SUMIFS('Таблиця 1'!$K:$K,'Таблиця 1'!$B:$B,$A640,'Таблиця 1'!$I:$I,"F-16",'Таблиця 1'!$J:$J,"GBU-62")+SUMIFS('Таблиця 1'!$K:$K,'Таблиця 1'!$B:$B,$A640,'Таблиця 1'!$I:$I,"МіГ-29",'Таблиця 1'!$J:$J,"GBU-62")+SUMIFS('Таблиця 1'!$K:$K,'Таблиця 1'!$B:$B,$A640,'Таблиця 1'!$I:$I,"Су-25",'Таблиця 1'!$J:$J,"GBU-62")+SUMIFS('Таблиця 1'!$K:$K,'Таблиця 1'!$B:$B,$A640,'Таблиця 1'!$I:$I,"Су-27",'Таблиця 1'!$J:$J,"GBU-62"))</f>
        <v/>
      </c>
      <c r="N640">
        <f>IF($A640="","",SUMIFS('Таблиця 1'!$K:$K,'Таблиця 1'!$B:$B,$A640,'Таблиця 1'!$I:$I,"Mirage",'Таблиця 1'!$J:$J,"GBU-64")+SUMIFS('Таблиця 1'!$K:$K,'Таблиця 1'!$B:$B,$A640,'Таблиця 1'!$I:$I,"F-16",'Таблиця 1'!$J:$J,"GBU-64")+SUMIFS('Таблиця 1'!$K:$K,'Таблиця 1'!$B:$B,$A640,'Таблиця 1'!$I:$I,"МіГ-29",'Таблиця 1'!$J:$J,"GBU-64")+SUMIFS('Таблиця 1'!$K:$K,'Таблиця 1'!$B:$B,$A640,'Таблиця 1'!$I:$I,"Су-25",'Таблиця 1'!$J:$J,"GBU-64")+SUMIFS('Таблиця 1'!$K:$K,'Таблиця 1'!$B:$B,$A640,'Таблиця 1'!$I:$I,"Су-27",'Таблиця 1'!$J:$J,"GBU-64"))</f>
        <v/>
      </c>
      <c r="O640">
        <f>IF($A640="","",SUMIFS('Таблиця 1'!$K:$K,'Таблиця 1'!$B:$B,$A640,'Таблиця 1'!$I:$I,"Mirage",'Таблиця 1'!$J:$J,"C-13")+SUMIFS('Таблиця 1'!$K:$K,'Таблиця 1'!$B:$B,$A640,'Таблиця 1'!$I:$I,"F-16",'Таблиця 1'!$J:$J,"C-13")+SUMIFS('Таблиця 1'!$K:$K,'Таблиця 1'!$B:$B,$A640,'Таблиця 1'!$I:$I,"МіГ-29",'Таблиця 1'!$J:$J,"C-13")+SUMIFS('Таблиця 1'!$K:$K,'Таблиця 1'!$B:$B,$A640,'Таблиця 1'!$I:$I,"Су-25",'Таблиця 1'!$J:$J,"C-13")+SUMIFS('Таблиця 1'!$K:$K,'Таблиця 1'!$B:$B,$A640,'Таблиця 1'!$I:$I,"Су-27",'Таблиця 1'!$J:$J,"C-13"))</f>
        <v/>
      </c>
      <c r="P640">
        <f>IF($A640="","",SUMIFS('Таблиця 1'!$K:$K,'Таблиця 1'!$B:$B,$A640,'Таблиця 1'!$I:$I,"Mirage",'Таблиця 1'!$J:$J,"MK-32")+SUMIFS('Таблиця 1'!$K:$K,'Таблиця 1'!$B:$B,$A640,'Таблиця 1'!$I:$I,"F-16",'Таблиця 1'!$J:$J,"MK-32")+SUMIFS('Таблиця 1'!$K:$K,'Таблиця 1'!$B:$B,$A640,'Таблиця 1'!$I:$I,"МіГ-29",'Таблиця 1'!$J:$J,"MK-32")+SUMIFS('Таблиця 1'!$K:$K,'Таблиця 1'!$B:$B,$A640,'Таблиця 1'!$I:$I,"Су-25",'Таблиця 1'!$J:$J,"MK-32")+SUMIFS('Таблиця 1'!$K:$K,'Таблиця 1'!$B:$B,$A640,'Таблиця 1'!$I:$I,"Су-27",'Таблиця 1'!$J:$J,"MK-32"))</f>
        <v/>
      </c>
      <c r="Q640">
        <f>IF($A640="","",SUMIFS('Таблиця 1'!$K:$K,'Таблиця 1'!$B:$B,$A640,'Таблиця 1'!$I:$I,"Mirage",'Таблиця 1'!$J:$J,"MK-24")+SUMIFS('Таблиця 1'!$K:$K,'Таблиця 1'!$B:$B,$A640,'Таблиця 1'!$I:$I,"F-16",'Таблиця 1'!$J:$J,"MK-24")+SUMIFS('Таблиця 1'!$K:$K,'Таблиця 1'!$B:$B,$A640,'Таблиця 1'!$I:$I,"МіГ-29",'Таблиця 1'!$J:$J,"MK-24")+SUMIFS('Таблиця 1'!$K:$K,'Таблиця 1'!$B:$B,$A640,'Таблиця 1'!$I:$I,"Су-25",'Таблиця 1'!$J:$J,"MK-24")+SUMIFS('Таблиця 1'!$K:$K,'Таблиця 1'!$B:$B,$A640,'Таблиця 1'!$I:$I,"Су-27",'Таблиця 1'!$J:$J,"MK-24"))</f>
        <v/>
      </c>
      <c r="R640">
        <f>IF($A640="","",COUNTIFS('Таблиця 1'!$B:$B,$A640,'Таблиця 1'!$I:$I,"Mirage",'Таблиця 1'!$L:$L,"Уражено")+COUNTIFS('Таблиця 1'!$B:$B,$A640,'Таблиця 1'!$I:$I,"F-16",'Таблиця 1'!$L:$L,"Уражено")+COUNTIFS('Таблиця 1'!$B:$B,$A640,'Таблиця 1'!$I:$I,"МіГ-29",'Таблиця 1'!$L:$L,"Уражено")+COUNTIFS('Таблиця 1'!$B:$B,$A640,'Таблиця 1'!$I:$I,"Су-25",'Таблиця 1'!$L:$L,"Уражено")+COUNTIFS('Таблиця 1'!$B:$B,$A640,'Таблиця 1'!$I:$I,"Су-27",'Таблиця 1'!$L:$L,"Уражено"))</f>
        <v/>
      </c>
      <c r="S640">
        <f>IF($A640="","",COUNTIFS('Таблиця 1'!$B:$B,$A640,'Таблиця 1'!$I:$I,"Mirage",'Таблиця 1'!$L:$L,"НЕ уражено")+COUNTIFS('Таблиця 1'!$B:$B,$A640,'Таблиця 1'!$I:$I,"F-16",'Таблиця 1'!$L:$L,"НЕ уражено")+COUNTIFS('Таблиця 1'!$B:$B,$A640,'Таблиця 1'!$I:$I,"МіГ-29",'Таблиця 1'!$L:$L,"НЕ уражено")+COUNTIFS('Таблиця 1'!$B:$B,$A640,'Таблиця 1'!$I:$I,"Су-25",'Таблиця 1'!$L:$L,"НЕ уражено")+COUNTIFS('Таблиця 1'!$B:$B,$A640,'Таблиця 1'!$I:$I,"Су-27",'Таблиця 1'!$L:$L,"НЕ уражено"))</f>
        <v/>
      </c>
      <c r="T640">
        <f>IF($A640="","",COUNTIFS('Таблиця 1'!$B:$B,$A640,'Таблиця 1'!$I:$I,"Mirage",'Таблиця 1'!$L:$L,"Дорозвідується")+COUNTIFS('Таблиця 1'!$B:$B,$A640,'Таблиця 1'!$I:$I,"F-16",'Таблиця 1'!$L:$L,"Дорозвідується")+COUNTIFS('Таблиця 1'!$B:$B,$A640,'Таблиця 1'!$I:$I,"МіГ-29",'Таблиця 1'!$L:$L,"Дорозвідується")+COUNTIFS('Таблиця 1'!$B:$B,$A640,'Таблиця 1'!$I:$I,"Су-25",'Таблиця 1'!$L:$L,"Дорозвідується")+COUNTIFS('Таблиця 1'!$B:$B,$A640,'Таблиця 1'!$I:$I,"Су-27",'Таблиця 1'!$L:$L,"Дорозвідується"))</f>
        <v/>
      </c>
    </row>
    <row r="641">
      <c r="A641" s="273">
        <f>IF(A640="","",IF(A640+1&gt;MAX('Таблиця 1'!$B:$B),"",A640+1))</f>
        <v/>
      </c>
      <c r="B641">
        <f>IF($A641="","",COUNTIFS('Таблиця 1'!$B:$B,$A641,'Таблиця 1'!$I:$I,"Mirage")+COUNTIFS('Таблиця 1'!$B:$B,$A641,'Таблиця 1'!$I:$I,"F-16")+COUNTIFS('Таблиця 1'!$B:$B,$A641,'Таблиця 1'!$I:$I,"МіГ-29")+COUNTIFS('Таблиця 1'!$B:$B,$A641,'Таблиця 1'!$I:$I,"Су-25")+COUNTIFS('Таблиця 1'!$B:$B,$A641,'Таблиця 1'!$I:$I,"Су-27"))</f>
        <v/>
      </c>
      <c r="C641">
        <f>IF($A641="","",COUNTIFS('Таблиця 1'!$B:$B,$A641,'Таблиця 1'!$I:$I,"Mirage"))</f>
        <v/>
      </c>
      <c r="D641">
        <f>IF($A641="","",COUNTIFS('Таблиця 1'!$B:$B,$A641,'Таблиця 1'!$I:$I,"F-16"))</f>
        <v/>
      </c>
      <c r="E641">
        <f>IF($A641="","",COUNTIFS('Таблиця 1'!$B:$B,$A641,'Таблиця 1'!$I:$I,"МіГ-29"))</f>
        <v/>
      </c>
      <c r="F641">
        <f>IF($A641="","",COUNTIFS('Таблиця 1'!$B:$B,$A641,'Таблиця 1'!$I:$I,"Су-25"))</f>
        <v/>
      </c>
      <c r="G641">
        <f>IF($A641="","",COUNTIFS('Таблиця 1'!$B:$B,$A641,'Таблиця 1'!$I:$I,"Су-27"))</f>
        <v/>
      </c>
      <c r="H641">
        <f>IF($A641="","",SUMIFS('Таблиця 1'!$K:$K,'Таблиця 1'!$B:$B,$A641,'Таблиця 1'!$I:$I,"Mirage",'Таблиця 1'!$J:$J,"AGM-88")+SUMIFS('Таблиця 1'!$K:$K,'Таблиця 1'!$B:$B,$A641,'Таблиця 1'!$I:$I,"F-16",'Таблиця 1'!$J:$J,"AGM-88")+SUMIFS('Таблиця 1'!$K:$K,'Таблиця 1'!$B:$B,$A641,'Таблиця 1'!$I:$I,"МіГ-29",'Таблиця 1'!$J:$J,"AGM-88")+SUMIFS('Таблиця 1'!$K:$K,'Таблиця 1'!$B:$B,$A641,'Таблиця 1'!$I:$I,"Су-25",'Таблиця 1'!$J:$J,"AGM-88")+SUMIFS('Таблиця 1'!$K:$K,'Таблиця 1'!$B:$B,$A641,'Таблиця 1'!$I:$I,"Су-27",'Таблиця 1'!$J:$J,"AGM-88"))</f>
        <v/>
      </c>
      <c r="I641">
        <f>IF($A641="","",SUMIFS('Таблиця 1'!$K:$K,'Таблиця 1'!$B:$B,$A641,'Таблиця 1'!$I:$I,"Mirage",'Таблиця 1'!$J:$J,"AASM-250")+SUMIFS('Таблиця 1'!$K:$K,'Таблиця 1'!$B:$B,$A641,'Таблиця 1'!$I:$I,"F-16",'Таблиця 1'!$J:$J,"AASM-250")+SUMIFS('Таблиця 1'!$K:$K,'Таблиця 1'!$B:$B,$A641,'Таблиця 1'!$I:$I,"МіГ-29",'Таблиця 1'!$J:$J,"AASM-250")+SUMIFS('Таблиця 1'!$K:$K,'Таблиця 1'!$B:$B,$A641,'Таблиця 1'!$I:$I,"Су-25",'Таблиця 1'!$J:$J,"AASM-250")+SUMIFS('Таблиця 1'!$K:$K,'Таблиця 1'!$B:$B,$A641,'Таблиця 1'!$I:$I,"Су-27",'Таблиця 1'!$J:$J,"AASM-250"))</f>
        <v/>
      </c>
      <c r="J641">
        <f>IF($A641="","",SUMIFS('Таблиця 1'!$K:$K,'Таблиця 1'!$B:$B,$A641,'Таблиця 1'!$I:$I,"Mirage",'Таблиця 1'!$J:$J,"GBU-39")+SUMIFS('Таблиця 1'!$K:$K,'Таблиця 1'!$B:$B,$A641,'Таблиця 1'!$I:$I,"F-16",'Таблиця 1'!$J:$J,"GBU-39")+SUMIFS('Таблиця 1'!$K:$K,'Таблиця 1'!$B:$B,$A641,'Таблиця 1'!$I:$I,"МіГ-29",'Таблиця 1'!$J:$J,"GBU-39")+SUMIFS('Таблиця 1'!$K:$K,'Таблиця 1'!$B:$B,$A641,'Таблиця 1'!$I:$I,"Су-25",'Таблиця 1'!$J:$J,"GBU-39")+SUMIFS('Таблиця 1'!$K:$K,'Таблиця 1'!$B:$B,$A641,'Таблиця 1'!$I:$I,"Су-27",'Таблиця 1'!$J:$J,"GBU-39"))</f>
        <v/>
      </c>
      <c r="K641">
        <f>IF($A641="","",SUMIFS('Таблиця 1'!$K:$K,'Таблиця 1'!$B:$B,$A641,'Таблиця 1'!$I:$I,"Mirage",'Таблиця 1'!$J:$J,"BLU-140")+SUMIFS('Таблиця 1'!$K:$K,'Таблиця 1'!$B:$B,$A641,'Таблиця 1'!$I:$I,"F-16",'Таблиця 1'!$J:$J,"BLU-140")+SUMIFS('Таблиця 1'!$K:$K,'Таблиця 1'!$B:$B,$A641,'Таблиця 1'!$I:$I,"МіГ-29",'Таблиця 1'!$J:$J,"BLU-140")+SUMIFS('Таблиця 1'!$K:$K,'Таблиця 1'!$B:$B,$A641,'Таблиця 1'!$I:$I,"Су-25",'Таблиця 1'!$J:$J,"BLU-140")+SUMIFS('Таблиця 1'!$K:$K,'Таблиця 1'!$B:$B,$A641,'Таблиця 1'!$I:$I,"Су-27",'Таблиця 1'!$J:$J,"BLU-140"))</f>
        <v/>
      </c>
      <c r="L641">
        <f>IF($A641="","",SUMIFS('Таблиця 1'!$K:$K,'Таблиця 1'!$B:$B,$A641,'Таблиця 1'!$I:$I,"Mirage",'Таблиця 1'!$J:$J,"GBU-65")+SUMIFS('Таблиця 1'!$K:$K,'Таблиця 1'!$B:$B,$A641,'Таблиця 1'!$I:$I,"F-16",'Таблиця 1'!$J:$J,"GBU-65")+SUMIFS('Таблиця 1'!$K:$K,'Таблиця 1'!$B:$B,$A641,'Таблиця 1'!$I:$I,"МіГ-29",'Таблиця 1'!$J:$J,"GBU-65")+SUMIFS('Таблиця 1'!$K:$K,'Таблиця 1'!$B:$B,$A641,'Таблиця 1'!$I:$I,"Су-25",'Таблиця 1'!$J:$J,"GBU-65")+SUMIFS('Таблиця 1'!$K:$K,'Таблиця 1'!$B:$B,$A641,'Таблиця 1'!$I:$I,"Су-27",'Таблиця 1'!$J:$J,"GBU-65"))</f>
        <v/>
      </c>
      <c r="M641">
        <f>IF($A641="","",SUMIFS('Таблиця 1'!$K:$K,'Таблиця 1'!$B:$B,$A641,'Таблиця 1'!$I:$I,"Mirage",'Таблиця 1'!$J:$J,"GBU-62")+SUMIFS('Таблиця 1'!$K:$K,'Таблиця 1'!$B:$B,$A641,'Таблиця 1'!$I:$I,"F-16",'Таблиця 1'!$J:$J,"GBU-62")+SUMIFS('Таблиця 1'!$K:$K,'Таблиця 1'!$B:$B,$A641,'Таблиця 1'!$I:$I,"МіГ-29",'Таблиця 1'!$J:$J,"GBU-62")+SUMIFS('Таблиця 1'!$K:$K,'Таблиця 1'!$B:$B,$A641,'Таблиця 1'!$I:$I,"Су-25",'Таблиця 1'!$J:$J,"GBU-62")+SUMIFS('Таблиця 1'!$K:$K,'Таблиця 1'!$B:$B,$A641,'Таблиця 1'!$I:$I,"Су-27",'Таблиця 1'!$J:$J,"GBU-62"))</f>
        <v/>
      </c>
      <c r="N641">
        <f>IF($A641="","",SUMIFS('Таблиця 1'!$K:$K,'Таблиця 1'!$B:$B,$A641,'Таблиця 1'!$I:$I,"Mirage",'Таблиця 1'!$J:$J,"GBU-64")+SUMIFS('Таблиця 1'!$K:$K,'Таблиця 1'!$B:$B,$A641,'Таблиця 1'!$I:$I,"F-16",'Таблиця 1'!$J:$J,"GBU-64")+SUMIFS('Таблиця 1'!$K:$K,'Таблиця 1'!$B:$B,$A641,'Таблиця 1'!$I:$I,"МіГ-29",'Таблиця 1'!$J:$J,"GBU-64")+SUMIFS('Таблиця 1'!$K:$K,'Таблиця 1'!$B:$B,$A641,'Таблиця 1'!$I:$I,"Су-25",'Таблиця 1'!$J:$J,"GBU-64")+SUMIFS('Таблиця 1'!$K:$K,'Таблиця 1'!$B:$B,$A641,'Таблиця 1'!$I:$I,"Су-27",'Таблиця 1'!$J:$J,"GBU-64"))</f>
        <v/>
      </c>
      <c r="O641">
        <f>IF($A641="","",SUMIFS('Таблиця 1'!$K:$K,'Таблиця 1'!$B:$B,$A641,'Таблиця 1'!$I:$I,"Mirage",'Таблиця 1'!$J:$J,"C-13")+SUMIFS('Таблиця 1'!$K:$K,'Таблиця 1'!$B:$B,$A641,'Таблиця 1'!$I:$I,"F-16",'Таблиця 1'!$J:$J,"C-13")+SUMIFS('Таблиця 1'!$K:$K,'Таблиця 1'!$B:$B,$A641,'Таблиця 1'!$I:$I,"МіГ-29",'Таблиця 1'!$J:$J,"C-13")+SUMIFS('Таблиця 1'!$K:$K,'Таблиця 1'!$B:$B,$A641,'Таблиця 1'!$I:$I,"Су-25",'Таблиця 1'!$J:$J,"C-13")+SUMIFS('Таблиця 1'!$K:$K,'Таблиця 1'!$B:$B,$A641,'Таблиця 1'!$I:$I,"Су-27",'Таблиця 1'!$J:$J,"C-13"))</f>
        <v/>
      </c>
      <c r="P641">
        <f>IF($A641="","",SUMIFS('Таблиця 1'!$K:$K,'Таблиця 1'!$B:$B,$A641,'Таблиця 1'!$I:$I,"Mirage",'Таблиця 1'!$J:$J,"MK-32")+SUMIFS('Таблиця 1'!$K:$K,'Таблиця 1'!$B:$B,$A641,'Таблиця 1'!$I:$I,"F-16",'Таблиця 1'!$J:$J,"MK-32")+SUMIFS('Таблиця 1'!$K:$K,'Таблиця 1'!$B:$B,$A641,'Таблиця 1'!$I:$I,"МіГ-29",'Таблиця 1'!$J:$J,"MK-32")+SUMIFS('Таблиця 1'!$K:$K,'Таблиця 1'!$B:$B,$A641,'Таблиця 1'!$I:$I,"Су-25",'Таблиця 1'!$J:$J,"MK-32")+SUMIFS('Таблиця 1'!$K:$K,'Таблиця 1'!$B:$B,$A641,'Таблиця 1'!$I:$I,"Су-27",'Таблиця 1'!$J:$J,"MK-32"))</f>
        <v/>
      </c>
      <c r="Q641">
        <f>IF($A641="","",SUMIFS('Таблиця 1'!$K:$K,'Таблиця 1'!$B:$B,$A641,'Таблиця 1'!$I:$I,"Mirage",'Таблиця 1'!$J:$J,"MK-24")+SUMIFS('Таблиця 1'!$K:$K,'Таблиця 1'!$B:$B,$A641,'Таблиця 1'!$I:$I,"F-16",'Таблиця 1'!$J:$J,"MK-24")+SUMIFS('Таблиця 1'!$K:$K,'Таблиця 1'!$B:$B,$A641,'Таблиця 1'!$I:$I,"МіГ-29",'Таблиця 1'!$J:$J,"MK-24")+SUMIFS('Таблиця 1'!$K:$K,'Таблиця 1'!$B:$B,$A641,'Таблиця 1'!$I:$I,"Су-25",'Таблиця 1'!$J:$J,"MK-24")+SUMIFS('Таблиця 1'!$K:$K,'Таблиця 1'!$B:$B,$A641,'Таблиця 1'!$I:$I,"Су-27",'Таблиця 1'!$J:$J,"MK-24"))</f>
        <v/>
      </c>
      <c r="R641">
        <f>IF($A641="","",COUNTIFS('Таблиця 1'!$B:$B,$A641,'Таблиця 1'!$I:$I,"Mirage",'Таблиця 1'!$L:$L,"Уражено")+COUNTIFS('Таблиця 1'!$B:$B,$A641,'Таблиця 1'!$I:$I,"F-16",'Таблиця 1'!$L:$L,"Уражено")+COUNTIFS('Таблиця 1'!$B:$B,$A641,'Таблиця 1'!$I:$I,"МіГ-29",'Таблиця 1'!$L:$L,"Уражено")+COUNTIFS('Таблиця 1'!$B:$B,$A641,'Таблиця 1'!$I:$I,"Су-25",'Таблиця 1'!$L:$L,"Уражено")+COUNTIFS('Таблиця 1'!$B:$B,$A641,'Таблиця 1'!$I:$I,"Су-27",'Таблиця 1'!$L:$L,"Уражено"))</f>
        <v/>
      </c>
      <c r="S641">
        <f>IF($A641="","",COUNTIFS('Таблиця 1'!$B:$B,$A641,'Таблиця 1'!$I:$I,"Mirage",'Таблиця 1'!$L:$L,"НЕ уражено")+COUNTIFS('Таблиця 1'!$B:$B,$A641,'Таблиця 1'!$I:$I,"F-16",'Таблиця 1'!$L:$L,"НЕ уражено")+COUNTIFS('Таблиця 1'!$B:$B,$A641,'Таблиця 1'!$I:$I,"МіГ-29",'Таблиця 1'!$L:$L,"НЕ уражено")+COUNTIFS('Таблиця 1'!$B:$B,$A641,'Таблиця 1'!$I:$I,"Су-25",'Таблиця 1'!$L:$L,"НЕ уражено")+COUNTIFS('Таблиця 1'!$B:$B,$A641,'Таблиця 1'!$I:$I,"Су-27",'Таблиця 1'!$L:$L,"НЕ уражено"))</f>
        <v/>
      </c>
      <c r="T641">
        <f>IF($A641="","",COUNTIFS('Таблиця 1'!$B:$B,$A641,'Таблиця 1'!$I:$I,"Mirage",'Таблиця 1'!$L:$L,"Дорозвідується")+COUNTIFS('Таблиця 1'!$B:$B,$A641,'Таблиця 1'!$I:$I,"F-16",'Таблиця 1'!$L:$L,"Дорозвідується")+COUNTIFS('Таблиця 1'!$B:$B,$A641,'Таблиця 1'!$I:$I,"МіГ-29",'Таблиця 1'!$L:$L,"Дорозвідується")+COUNTIFS('Таблиця 1'!$B:$B,$A641,'Таблиця 1'!$I:$I,"Су-25",'Таблиця 1'!$L:$L,"Дорозвідується")+COUNTIFS('Таблиця 1'!$B:$B,$A641,'Таблиця 1'!$I:$I,"Су-27",'Таблиця 1'!$L:$L,"Дорозвідується"))</f>
        <v/>
      </c>
    </row>
    <row r="642">
      <c r="A642" s="273">
        <f>IF(A641="","",IF(A641+1&gt;MAX('Таблиця 1'!$B:$B),"",A641+1))</f>
        <v/>
      </c>
      <c r="B642">
        <f>IF($A642="","",COUNTIFS('Таблиця 1'!$B:$B,$A642,'Таблиця 1'!$I:$I,"Mirage")+COUNTIFS('Таблиця 1'!$B:$B,$A642,'Таблиця 1'!$I:$I,"F-16")+COUNTIFS('Таблиця 1'!$B:$B,$A642,'Таблиця 1'!$I:$I,"МіГ-29")+COUNTIFS('Таблиця 1'!$B:$B,$A642,'Таблиця 1'!$I:$I,"Су-25")+COUNTIFS('Таблиця 1'!$B:$B,$A642,'Таблиця 1'!$I:$I,"Су-27"))</f>
        <v/>
      </c>
      <c r="C642">
        <f>IF($A642="","",COUNTIFS('Таблиця 1'!$B:$B,$A642,'Таблиця 1'!$I:$I,"Mirage"))</f>
        <v/>
      </c>
      <c r="D642">
        <f>IF($A642="","",COUNTIFS('Таблиця 1'!$B:$B,$A642,'Таблиця 1'!$I:$I,"F-16"))</f>
        <v/>
      </c>
      <c r="E642">
        <f>IF($A642="","",COUNTIFS('Таблиця 1'!$B:$B,$A642,'Таблиця 1'!$I:$I,"МіГ-29"))</f>
        <v/>
      </c>
      <c r="F642">
        <f>IF($A642="","",COUNTIFS('Таблиця 1'!$B:$B,$A642,'Таблиця 1'!$I:$I,"Су-25"))</f>
        <v/>
      </c>
      <c r="G642">
        <f>IF($A642="","",COUNTIFS('Таблиця 1'!$B:$B,$A642,'Таблиця 1'!$I:$I,"Су-27"))</f>
        <v/>
      </c>
      <c r="H642">
        <f>IF($A642="","",SUMIFS('Таблиця 1'!$K:$K,'Таблиця 1'!$B:$B,$A642,'Таблиця 1'!$I:$I,"Mirage",'Таблиця 1'!$J:$J,"AGM-88")+SUMIFS('Таблиця 1'!$K:$K,'Таблиця 1'!$B:$B,$A642,'Таблиця 1'!$I:$I,"F-16",'Таблиця 1'!$J:$J,"AGM-88")+SUMIFS('Таблиця 1'!$K:$K,'Таблиця 1'!$B:$B,$A642,'Таблиця 1'!$I:$I,"МіГ-29",'Таблиця 1'!$J:$J,"AGM-88")+SUMIFS('Таблиця 1'!$K:$K,'Таблиця 1'!$B:$B,$A642,'Таблиця 1'!$I:$I,"Су-25",'Таблиця 1'!$J:$J,"AGM-88")+SUMIFS('Таблиця 1'!$K:$K,'Таблиця 1'!$B:$B,$A642,'Таблиця 1'!$I:$I,"Су-27",'Таблиця 1'!$J:$J,"AGM-88"))</f>
        <v/>
      </c>
      <c r="I642">
        <f>IF($A642="","",SUMIFS('Таблиця 1'!$K:$K,'Таблиця 1'!$B:$B,$A642,'Таблиця 1'!$I:$I,"Mirage",'Таблиця 1'!$J:$J,"AASM-250")+SUMIFS('Таблиця 1'!$K:$K,'Таблиця 1'!$B:$B,$A642,'Таблиця 1'!$I:$I,"F-16",'Таблиця 1'!$J:$J,"AASM-250")+SUMIFS('Таблиця 1'!$K:$K,'Таблиця 1'!$B:$B,$A642,'Таблиця 1'!$I:$I,"МіГ-29",'Таблиця 1'!$J:$J,"AASM-250")+SUMIFS('Таблиця 1'!$K:$K,'Таблиця 1'!$B:$B,$A642,'Таблиця 1'!$I:$I,"Су-25",'Таблиця 1'!$J:$J,"AASM-250")+SUMIFS('Таблиця 1'!$K:$K,'Таблиця 1'!$B:$B,$A642,'Таблиця 1'!$I:$I,"Су-27",'Таблиця 1'!$J:$J,"AASM-250"))</f>
        <v/>
      </c>
      <c r="J642">
        <f>IF($A642="","",SUMIFS('Таблиця 1'!$K:$K,'Таблиця 1'!$B:$B,$A642,'Таблиця 1'!$I:$I,"Mirage",'Таблиця 1'!$J:$J,"GBU-39")+SUMIFS('Таблиця 1'!$K:$K,'Таблиця 1'!$B:$B,$A642,'Таблиця 1'!$I:$I,"F-16",'Таблиця 1'!$J:$J,"GBU-39")+SUMIFS('Таблиця 1'!$K:$K,'Таблиця 1'!$B:$B,$A642,'Таблиця 1'!$I:$I,"МіГ-29",'Таблиця 1'!$J:$J,"GBU-39")+SUMIFS('Таблиця 1'!$K:$K,'Таблиця 1'!$B:$B,$A642,'Таблиця 1'!$I:$I,"Су-25",'Таблиця 1'!$J:$J,"GBU-39")+SUMIFS('Таблиця 1'!$K:$K,'Таблиця 1'!$B:$B,$A642,'Таблиця 1'!$I:$I,"Су-27",'Таблиця 1'!$J:$J,"GBU-39"))</f>
        <v/>
      </c>
      <c r="K642">
        <f>IF($A642="","",SUMIFS('Таблиця 1'!$K:$K,'Таблиця 1'!$B:$B,$A642,'Таблиця 1'!$I:$I,"Mirage",'Таблиця 1'!$J:$J,"BLU-140")+SUMIFS('Таблиця 1'!$K:$K,'Таблиця 1'!$B:$B,$A642,'Таблиця 1'!$I:$I,"F-16",'Таблиця 1'!$J:$J,"BLU-140")+SUMIFS('Таблиця 1'!$K:$K,'Таблиця 1'!$B:$B,$A642,'Таблиця 1'!$I:$I,"МіГ-29",'Таблиця 1'!$J:$J,"BLU-140")+SUMIFS('Таблиця 1'!$K:$K,'Таблиця 1'!$B:$B,$A642,'Таблиця 1'!$I:$I,"Су-25",'Таблиця 1'!$J:$J,"BLU-140")+SUMIFS('Таблиця 1'!$K:$K,'Таблиця 1'!$B:$B,$A642,'Таблиця 1'!$I:$I,"Су-27",'Таблиця 1'!$J:$J,"BLU-140"))</f>
        <v/>
      </c>
      <c r="L642">
        <f>IF($A642="","",SUMIFS('Таблиця 1'!$K:$K,'Таблиця 1'!$B:$B,$A642,'Таблиця 1'!$I:$I,"Mirage",'Таблиця 1'!$J:$J,"GBU-65")+SUMIFS('Таблиця 1'!$K:$K,'Таблиця 1'!$B:$B,$A642,'Таблиця 1'!$I:$I,"F-16",'Таблиця 1'!$J:$J,"GBU-65")+SUMIFS('Таблиця 1'!$K:$K,'Таблиця 1'!$B:$B,$A642,'Таблиця 1'!$I:$I,"МіГ-29",'Таблиця 1'!$J:$J,"GBU-65")+SUMIFS('Таблиця 1'!$K:$K,'Таблиця 1'!$B:$B,$A642,'Таблиця 1'!$I:$I,"Су-25",'Таблиця 1'!$J:$J,"GBU-65")+SUMIFS('Таблиця 1'!$K:$K,'Таблиця 1'!$B:$B,$A642,'Таблиця 1'!$I:$I,"Су-27",'Таблиця 1'!$J:$J,"GBU-65"))</f>
        <v/>
      </c>
      <c r="M642">
        <f>IF($A642="","",SUMIFS('Таблиця 1'!$K:$K,'Таблиця 1'!$B:$B,$A642,'Таблиця 1'!$I:$I,"Mirage",'Таблиця 1'!$J:$J,"GBU-62")+SUMIFS('Таблиця 1'!$K:$K,'Таблиця 1'!$B:$B,$A642,'Таблиця 1'!$I:$I,"F-16",'Таблиця 1'!$J:$J,"GBU-62")+SUMIFS('Таблиця 1'!$K:$K,'Таблиця 1'!$B:$B,$A642,'Таблиця 1'!$I:$I,"МіГ-29",'Таблиця 1'!$J:$J,"GBU-62")+SUMIFS('Таблиця 1'!$K:$K,'Таблиця 1'!$B:$B,$A642,'Таблиця 1'!$I:$I,"Су-25",'Таблиця 1'!$J:$J,"GBU-62")+SUMIFS('Таблиця 1'!$K:$K,'Таблиця 1'!$B:$B,$A642,'Таблиця 1'!$I:$I,"Су-27",'Таблиця 1'!$J:$J,"GBU-62"))</f>
        <v/>
      </c>
      <c r="N642">
        <f>IF($A642="","",SUMIFS('Таблиця 1'!$K:$K,'Таблиця 1'!$B:$B,$A642,'Таблиця 1'!$I:$I,"Mirage",'Таблиця 1'!$J:$J,"GBU-64")+SUMIFS('Таблиця 1'!$K:$K,'Таблиця 1'!$B:$B,$A642,'Таблиця 1'!$I:$I,"F-16",'Таблиця 1'!$J:$J,"GBU-64")+SUMIFS('Таблиця 1'!$K:$K,'Таблиця 1'!$B:$B,$A642,'Таблиця 1'!$I:$I,"МіГ-29",'Таблиця 1'!$J:$J,"GBU-64")+SUMIFS('Таблиця 1'!$K:$K,'Таблиця 1'!$B:$B,$A642,'Таблиця 1'!$I:$I,"Су-25",'Таблиця 1'!$J:$J,"GBU-64")+SUMIFS('Таблиця 1'!$K:$K,'Таблиця 1'!$B:$B,$A642,'Таблиця 1'!$I:$I,"Су-27",'Таблиця 1'!$J:$J,"GBU-64"))</f>
        <v/>
      </c>
      <c r="O642">
        <f>IF($A642="","",SUMIFS('Таблиця 1'!$K:$K,'Таблиця 1'!$B:$B,$A642,'Таблиця 1'!$I:$I,"Mirage",'Таблиця 1'!$J:$J,"C-13")+SUMIFS('Таблиця 1'!$K:$K,'Таблиця 1'!$B:$B,$A642,'Таблиця 1'!$I:$I,"F-16",'Таблиця 1'!$J:$J,"C-13")+SUMIFS('Таблиця 1'!$K:$K,'Таблиця 1'!$B:$B,$A642,'Таблиця 1'!$I:$I,"МіГ-29",'Таблиця 1'!$J:$J,"C-13")+SUMIFS('Таблиця 1'!$K:$K,'Таблиця 1'!$B:$B,$A642,'Таблиця 1'!$I:$I,"Су-25",'Таблиця 1'!$J:$J,"C-13")+SUMIFS('Таблиця 1'!$K:$K,'Таблиця 1'!$B:$B,$A642,'Таблиця 1'!$I:$I,"Су-27",'Таблиця 1'!$J:$J,"C-13"))</f>
        <v/>
      </c>
      <c r="P642">
        <f>IF($A642="","",SUMIFS('Таблиця 1'!$K:$K,'Таблиця 1'!$B:$B,$A642,'Таблиця 1'!$I:$I,"Mirage",'Таблиця 1'!$J:$J,"MK-32")+SUMIFS('Таблиця 1'!$K:$K,'Таблиця 1'!$B:$B,$A642,'Таблиця 1'!$I:$I,"F-16",'Таблиця 1'!$J:$J,"MK-32")+SUMIFS('Таблиця 1'!$K:$K,'Таблиця 1'!$B:$B,$A642,'Таблиця 1'!$I:$I,"МіГ-29",'Таблиця 1'!$J:$J,"MK-32")+SUMIFS('Таблиця 1'!$K:$K,'Таблиця 1'!$B:$B,$A642,'Таблиця 1'!$I:$I,"Су-25",'Таблиця 1'!$J:$J,"MK-32")+SUMIFS('Таблиця 1'!$K:$K,'Таблиця 1'!$B:$B,$A642,'Таблиця 1'!$I:$I,"Су-27",'Таблиця 1'!$J:$J,"MK-32"))</f>
        <v/>
      </c>
      <c r="Q642">
        <f>IF($A642="","",SUMIFS('Таблиця 1'!$K:$K,'Таблиця 1'!$B:$B,$A642,'Таблиця 1'!$I:$I,"Mirage",'Таблиця 1'!$J:$J,"MK-24")+SUMIFS('Таблиця 1'!$K:$K,'Таблиця 1'!$B:$B,$A642,'Таблиця 1'!$I:$I,"F-16",'Таблиця 1'!$J:$J,"MK-24")+SUMIFS('Таблиця 1'!$K:$K,'Таблиця 1'!$B:$B,$A642,'Таблиця 1'!$I:$I,"МіГ-29",'Таблиця 1'!$J:$J,"MK-24")+SUMIFS('Таблиця 1'!$K:$K,'Таблиця 1'!$B:$B,$A642,'Таблиця 1'!$I:$I,"Су-25",'Таблиця 1'!$J:$J,"MK-24")+SUMIFS('Таблиця 1'!$K:$K,'Таблиця 1'!$B:$B,$A642,'Таблиця 1'!$I:$I,"Су-27",'Таблиця 1'!$J:$J,"MK-24"))</f>
        <v/>
      </c>
      <c r="R642">
        <f>IF($A642="","",COUNTIFS('Таблиця 1'!$B:$B,$A642,'Таблиця 1'!$I:$I,"Mirage",'Таблиця 1'!$L:$L,"Уражено")+COUNTIFS('Таблиця 1'!$B:$B,$A642,'Таблиця 1'!$I:$I,"F-16",'Таблиця 1'!$L:$L,"Уражено")+COUNTIFS('Таблиця 1'!$B:$B,$A642,'Таблиця 1'!$I:$I,"МіГ-29",'Таблиця 1'!$L:$L,"Уражено")+COUNTIFS('Таблиця 1'!$B:$B,$A642,'Таблиця 1'!$I:$I,"Су-25",'Таблиця 1'!$L:$L,"Уражено")+COUNTIFS('Таблиця 1'!$B:$B,$A642,'Таблиця 1'!$I:$I,"Су-27",'Таблиця 1'!$L:$L,"Уражено"))</f>
        <v/>
      </c>
      <c r="S642">
        <f>IF($A642="","",COUNTIFS('Таблиця 1'!$B:$B,$A642,'Таблиця 1'!$I:$I,"Mirage",'Таблиця 1'!$L:$L,"НЕ уражено")+COUNTIFS('Таблиця 1'!$B:$B,$A642,'Таблиця 1'!$I:$I,"F-16",'Таблиця 1'!$L:$L,"НЕ уражено")+COUNTIFS('Таблиця 1'!$B:$B,$A642,'Таблиця 1'!$I:$I,"МіГ-29",'Таблиця 1'!$L:$L,"НЕ уражено")+COUNTIFS('Таблиця 1'!$B:$B,$A642,'Таблиця 1'!$I:$I,"Су-25",'Таблиця 1'!$L:$L,"НЕ уражено")+COUNTIFS('Таблиця 1'!$B:$B,$A642,'Таблиця 1'!$I:$I,"Су-27",'Таблиця 1'!$L:$L,"НЕ уражено"))</f>
        <v/>
      </c>
      <c r="T642">
        <f>IF($A642="","",COUNTIFS('Таблиця 1'!$B:$B,$A642,'Таблиця 1'!$I:$I,"Mirage",'Таблиця 1'!$L:$L,"Дорозвідується")+COUNTIFS('Таблиця 1'!$B:$B,$A642,'Таблиця 1'!$I:$I,"F-16",'Таблиця 1'!$L:$L,"Дорозвідується")+COUNTIFS('Таблиця 1'!$B:$B,$A642,'Таблиця 1'!$I:$I,"МіГ-29",'Таблиця 1'!$L:$L,"Дорозвідується")+COUNTIFS('Таблиця 1'!$B:$B,$A642,'Таблиця 1'!$I:$I,"Су-25",'Таблиця 1'!$L:$L,"Дорозвідується")+COUNTIFS('Таблиця 1'!$B:$B,$A642,'Таблиця 1'!$I:$I,"Су-27",'Таблиця 1'!$L:$L,"Дорозвідується"))</f>
        <v/>
      </c>
    </row>
    <row r="643">
      <c r="A643" s="273">
        <f>IF(A642="","",IF(A642+1&gt;MAX('Таблиця 1'!$B:$B),"",A642+1))</f>
        <v/>
      </c>
      <c r="B643">
        <f>IF($A643="","",COUNTIFS('Таблиця 1'!$B:$B,$A643,'Таблиця 1'!$I:$I,"Mirage")+COUNTIFS('Таблиця 1'!$B:$B,$A643,'Таблиця 1'!$I:$I,"F-16")+COUNTIFS('Таблиця 1'!$B:$B,$A643,'Таблиця 1'!$I:$I,"МіГ-29")+COUNTIFS('Таблиця 1'!$B:$B,$A643,'Таблиця 1'!$I:$I,"Су-25")+COUNTIFS('Таблиця 1'!$B:$B,$A643,'Таблиця 1'!$I:$I,"Су-27"))</f>
        <v/>
      </c>
      <c r="C643">
        <f>IF($A643="","",COUNTIFS('Таблиця 1'!$B:$B,$A643,'Таблиця 1'!$I:$I,"Mirage"))</f>
        <v/>
      </c>
      <c r="D643">
        <f>IF($A643="","",COUNTIFS('Таблиця 1'!$B:$B,$A643,'Таблиця 1'!$I:$I,"F-16"))</f>
        <v/>
      </c>
      <c r="E643">
        <f>IF($A643="","",COUNTIFS('Таблиця 1'!$B:$B,$A643,'Таблиця 1'!$I:$I,"МіГ-29"))</f>
        <v/>
      </c>
      <c r="F643">
        <f>IF($A643="","",COUNTIFS('Таблиця 1'!$B:$B,$A643,'Таблиця 1'!$I:$I,"Су-25"))</f>
        <v/>
      </c>
      <c r="G643">
        <f>IF($A643="","",COUNTIFS('Таблиця 1'!$B:$B,$A643,'Таблиця 1'!$I:$I,"Су-27"))</f>
        <v/>
      </c>
      <c r="H643">
        <f>IF($A643="","",SUMIFS('Таблиця 1'!$K:$K,'Таблиця 1'!$B:$B,$A643,'Таблиця 1'!$I:$I,"Mirage",'Таблиця 1'!$J:$J,"AGM-88")+SUMIFS('Таблиця 1'!$K:$K,'Таблиця 1'!$B:$B,$A643,'Таблиця 1'!$I:$I,"F-16",'Таблиця 1'!$J:$J,"AGM-88")+SUMIFS('Таблиця 1'!$K:$K,'Таблиця 1'!$B:$B,$A643,'Таблиця 1'!$I:$I,"МіГ-29",'Таблиця 1'!$J:$J,"AGM-88")+SUMIFS('Таблиця 1'!$K:$K,'Таблиця 1'!$B:$B,$A643,'Таблиця 1'!$I:$I,"Су-25",'Таблиця 1'!$J:$J,"AGM-88")+SUMIFS('Таблиця 1'!$K:$K,'Таблиця 1'!$B:$B,$A643,'Таблиця 1'!$I:$I,"Су-27",'Таблиця 1'!$J:$J,"AGM-88"))</f>
        <v/>
      </c>
      <c r="I643">
        <f>IF($A643="","",SUMIFS('Таблиця 1'!$K:$K,'Таблиця 1'!$B:$B,$A643,'Таблиця 1'!$I:$I,"Mirage",'Таблиця 1'!$J:$J,"AASM-250")+SUMIFS('Таблиця 1'!$K:$K,'Таблиця 1'!$B:$B,$A643,'Таблиця 1'!$I:$I,"F-16",'Таблиця 1'!$J:$J,"AASM-250")+SUMIFS('Таблиця 1'!$K:$K,'Таблиця 1'!$B:$B,$A643,'Таблиця 1'!$I:$I,"МіГ-29",'Таблиця 1'!$J:$J,"AASM-250")+SUMIFS('Таблиця 1'!$K:$K,'Таблиця 1'!$B:$B,$A643,'Таблиця 1'!$I:$I,"Су-25",'Таблиця 1'!$J:$J,"AASM-250")+SUMIFS('Таблиця 1'!$K:$K,'Таблиця 1'!$B:$B,$A643,'Таблиця 1'!$I:$I,"Су-27",'Таблиця 1'!$J:$J,"AASM-250"))</f>
        <v/>
      </c>
      <c r="J643">
        <f>IF($A643="","",SUMIFS('Таблиця 1'!$K:$K,'Таблиця 1'!$B:$B,$A643,'Таблиця 1'!$I:$I,"Mirage",'Таблиця 1'!$J:$J,"GBU-39")+SUMIFS('Таблиця 1'!$K:$K,'Таблиця 1'!$B:$B,$A643,'Таблиця 1'!$I:$I,"F-16",'Таблиця 1'!$J:$J,"GBU-39")+SUMIFS('Таблиця 1'!$K:$K,'Таблиця 1'!$B:$B,$A643,'Таблиця 1'!$I:$I,"МіГ-29",'Таблиця 1'!$J:$J,"GBU-39")+SUMIFS('Таблиця 1'!$K:$K,'Таблиця 1'!$B:$B,$A643,'Таблиця 1'!$I:$I,"Су-25",'Таблиця 1'!$J:$J,"GBU-39")+SUMIFS('Таблиця 1'!$K:$K,'Таблиця 1'!$B:$B,$A643,'Таблиця 1'!$I:$I,"Су-27",'Таблиця 1'!$J:$J,"GBU-39"))</f>
        <v/>
      </c>
      <c r="K643">
        <f>IF($A643="","",SUMIFS('Таблиця 1'!$K:$K,'Таблиця 1'!$B:$B,$A643,'Таблиця 1'!$I:$I,"Mirage",'Таблиця 1'!$J:$J,"BLU-140")+SUMIFS('Таблиця 1'!$K:$K,'Таблиця 1'!$B:$B,$A643,'Таблиця 1'!$I:$I,"F-16",'Таблиця 1'!$J:$J,"BLU-140")+SUMIFS('Таблиця 1'!$K:$K,'Таблиця 1'!$B:$B,$A643,'Таблиця 1'!$I:$I,"МіГ-29",'Таблиця 1'!$J:$J,"BLU-140")+SUMIFS('Таблиця 1'!$K:$K,'Таблиця 1'!$B:$B,$A643,'Таблиця 1'!$I:$I,"Су-25",'Таблиця 1'!$J:$J,"BLU-140")+SUMIFS('Таблиця 1'!$K:$K,'Таблиця 1'!$B:$B,$A643,'Таблиця 1'!$I:$I,"Су-27",'Таблиця 1'!$J:$J,"BLU-140"))</f>
        <v/>
      </c>
      <c r="L643">
        <f>IF($A643="","",SUMIFS('Таблиця 1'!$K:$K,'Таблиця 1'!$B:$B,$A643,'Таблиця 1'!$I:$I,"Mirage",'Таблиця 1'!$J:$J,"GBU-65")+SUMIFS('Таблиця 1'!$K:$K,'Таблиця 1'!$B:$B,$A643,'Таблиця 1'!$I:$I,"F-16",'Таблиця 1'!$J:$J,"GBU-65")+SUMIFS('Таблиця 1'!$K:$K,'Таблиця 1'!$B:$B,$A643,'Таблиця 1'!$I:$I,"МіГ-29",'Таблиця 1'!$J:$J,"GBU-65")+SUMIFS('Таблиця 1'!$K:$K,'Таблиця 1'!$B:$B,$A643,'Таблиця 1'!$I:$I,"Су-25",'Таблиця 1'!$J:$J,"GBU-65")+SUMIFS('Таблиця 1'!$K:$K,'Таблиця 1'!$B:$B,$A643,'Таблиця 1'!$I:$I,"Су-27",'Таблиця 1'!$J:$J,"GBU-65"))</f>
        <v/>
      </c>
      <c r="M643">
        <f>IF($A643="","",SUMIFS('Таблиця 1'!$K:$K,'Таблиця 1'!$B:$B,$A643,'Таблиця 1'!$I:$I,"Mirage",'Таблиця 1'!$J:$J,"GBU-62")+SUMIFS('Таблиця 1'!$K:$K,'Таблиця 1'!$B:$B,$A643,'Таблиця 1'!$I:$I,"F-16",'Таблиця 1'!$J:$J,"GBU-62")+SUMIFS('Таблиця 1'!$K:$K,'Таблиця 1'!$B:$B,$A643,'Таблиця 1'!$I:$I,"МіГ-29",'Таблиця 1'!$J:$J,"GBU-62")+SUMIFS('Таблиця 1'!$K:$K,'Таблиця 1'!$B:$B,$A643,'Таблиця 1'!$I:$I,"Су-25",'Таблиця 1'!$J:$J,"GBU-62")+SUMIFS('Таблиця 1'!$K:$K,'Таблиця 1'!$B:$B,$A643,'Таблиця 1'!$I:$I,"Су-27",'Таблиця 1'!$J:$J,"GBU-62"))</f>
        <v/>
      </c>
      <c r="N643">
        <f>IF($A643="","",SUMIFS('Таблиця 1'!$K:$K,'Таблиця 1'!$B:$B,$A643,'Таблиця 1'!$I:$I,"Mirage",'Таблиця 1'!$J:$J,"GBU-64")+SUMIFS('Таблиця 1'!$K:$K,'Таблиця 1'!$B:$B,$A643,'Таблиця 1'!$I:$I,"F-16",'Таблиця 1'!$J:$J,"GBU-64")+SUMIFS('Таблиця 1'!$K:$K,'Таблиця 1'!$B:$B,$A643,'Таблиця 1'!$I:$I,"МіГ-29",'Таблиця 1'!$J:$J,"GBU-64")+SUMIFS('Таблиця 1'!$K:$K,'Таблиця 1'!$B:$B,$A643,'Таблиця 1'!$I:$I,"Су-25",'Таблиця 1'!$J:$J,"GBU-64")+SUMIFS('Таблиця 1'!$K:$K,'Таблиця 1'!$B:$B,$A643,'Таблиця 1'!$I:$I,"Су-27",'Таблиця 1'!$J:$J,"GBU-64"))</f>
        <v/>
      </c>
      <c r="O643">
        <f>IF($A643="","",SUMIFS('Таблиця 1'!$K:$K,'Таблиця 1'!$B:$B,$A643,'Таблиця 1'!$I:$I,"Mirage",'Таблиця 1'!$J:$J,"C-13")+SUMIFS('Таблиця 1'!$K:$K,'Таблиця 1'!$B:$B,$A643,'Таблиця 1'!$I:$I,"F-16",'Таблиця 1'!$J:$J,"C-13")+SUMIFS('Таблиця 1'!$K:$K,'Таблиця 1'!$B:$B,$A643,'Таблиця 1'!$I:$I,"МіГ-29",'Таблиця 1'!$J:$J,"C-13")+SUMIFS('Таблиця 1'!$K:$K,'Таблиця 1'!$B:$B,$A643,'Таблиця 1'!$I:$I,"Су-25",'Таблиця 1'!$J:$J,"C-13")+SUMIFS('Таблиця 1'!$K:$K,'Таблиця 1'!$B:$B,$A643,'Таблиця 1'!$I:$I,"Су-27",'Таблиця 1'!$J:$J,"C-13"))</f>
        <v/>
      </c>
      <c r="P643">
        <f>IF($A643="","",SUMIFS('Таблиця 1'!$K:$K,'Таблиця 1'!$B:$B,$A643,'Таблиця 1'!$I:$I,"Mirage",'Таблиця 1'!$J:$J,"MK-32")+SUMIFS('Таблиця 1'!$K:$K,'Таблиця 1'!$B:$B,$A643,'Таблиця 1'!$I:$I,"F-16",'Таблиця 1'!$J:$J,"MK-32")+SUMIFS('Таблиця 1'!$K:$K,'Таблиця 1'!$B:$B,$A643,'Таблиця 1'!$I:$I,"МіГ-29",'Таблиця 1'!$J:$J,"MK-32")+SUMIFS('Таблиця 1'!$K:$K,'Таблиця 1'!$B:$B,$A643,'Таблиця 1'!$I:$I,"Су-25",'Таблиця 1'!$J:$J,"MK-32")+SUMIFS('Таблиця 1'!$K:$K,'Таблиця 1'!$B:$B,$A643,'Таблиця 1'!$I:$I,"Су-27",'Таблиця 1'!$J:$J,"MK-32"))</f>
        <v/>
      </c>
      <c r="Q643">
        <f>IF($A643="","",SUMIFS('Таблиця 1'!$K:$K,'Таблиця 1'!$B:$B,$A643,'Таблиця 1'!$I:$I,"Mirage",'Таблиця 1'!$J:$J,"MK-24")+SUMIFS('Таблиця 1'!$K:$K,'Таблиця 1'!$B:$B,$A643,'Таблиця 1'!$I:$I,"F-16",'Таблиця 1'!$J:$J,"MK-24")+SUMIFS('Таблиця 1'!$K:$K,'Таблиця 1'!$B:$B,$A643,'Таблиця 1'!$I:$I,"МіГ-29",'Таблиця 1'!$J:$J,"MK-24")+SUMIFS('Таблиця 1'!$K:$K,'Таблиця 1'!$B:$B,$A643,'Таблиця 1'!$I:$I,"Су-25",'Таблиця 1'!$J:$J,"MK-24")+SUMIFS('Таблиця 1'!$K:$K,'Таблиця 1'!$B:$B,$A643,'Таблиця 1'!$I:$I,"Су-27",'Таблиця 1'!$J:$J,"MK-24"))</f>
        <v/>
      </c>
      <c r="R643">
        <f>IF($A643="","",COUNTIFS('Таблиця 1'!$B:$B,$A643,'Таблиця 1'!$I:$I,"Mirage",'Таблиця 1'!$L:$L,"Уражено")+COUNTIFS('Таблиця 1'!$B:$B,$A643,'Таблиця 1'!$I:$I,"F-16",'Таблиця 1'!$L:$L,"Уражено")+COUNTIFS('Таблиця 1'!$B:$B,$A643,'Таблиця 1'!$I:$I,"МіГ-29",'Таблиця 1'!$L:$L,"Уражено")+COUNTIFS('Таблиця 1'!$B:$B,$A643,'Таблиця 1'!$I:$I,"Су-25",'Таблиця 1'!$L:$L,"Уражено")+COUNTIFS('Таблиця 1'!$B:$B,$A643,'Таблиця 1'!$I:$I,"Су-27",'Таблиця 1'!$L:$L,"Уражено"))</f>
        <v/>
      </c>
      <c r="S643">
        <f>IF($A643="","",COUNTIFS('Таблиця 1'!$B:$B,$A643,'Таблиця 1'!$I:$I,"Mirage",'Таблиця 1'!$L:$L,"НЕ уражено")+COUNTIFS('Таблиця 1'!$B:$B,$A643,'Таблиця 1'!$I:$I,"F-16",'Таблиця 1'!$L:$L,"НЕ уражено")+COUNTIFS('Таблиця 1'!$B:$B,$A643,'Таблиця 1'!$I:$I,"МіГ-29",'Таблиця 1'!$L:$L,"НЕ уражено")+COUNTIFS('Таблиця 1'!$B:$B,$A643,'Таблиця 1'!$I:$I,"Су-25",'Таблиця 1'!$L:$L,"НЕ уражено")+COUNTIFS('Таблиця 1'!$B:$B,$A643,'Таблиця 1'!$I:$I,"Су-27",'Таблиця 1'!$L:$L,"НЕ уражено"))</f>
        <v/>
      </c>
      <c r="T643">
        <f>IF($A643="","",COUNTIFS('Таблиця 1'!$B:$B,$A643,'Таблиця 1'!$I:$I,"Mirage",'Таблиця 1'!$L:$L,"Дорозвідується")+COUNTIFS('Таблиця 1'!$B:$B,$A643,'Таблиця 1'!$I:$I,"F-16",'Таблиця 1'!$L:$L,"Дорозвідується")+COUNTIFS('Таблиця 1'!$B:$B,$A643,'Таблиця 1'!$I:$I,"МіГ-29",'Таблиця 1'!$L:$L,"Дорозвідується")+COUNTIFS('Таблиця 1'!$B:$B,$A643,'Таблиця 1'!$I:$I,"Су-25",'Таблиця 1'!$L:$L,"Дорозвідується")+COUNTIFS('Таблиця 1'!$B:$B,$A643,'Таблиця 1'!$I:$I,"Су-27",'Таблиця 1'!$L:$L,"Дорозвідується"))</f>
        <v/>
      </c>
    </row>
    <row r="644">
      <c r="A644" s="273">
        <f>IF(A643="","",IF(A643+1&gt;MAX('Таблиця 1'!$B:$B),"",A643+1))</f>
        <v/>
      </c>
      <c r="B644">
        <f>IF($A644="","",COUNTIFS('Таблиця 1'!$B:$B,$A644,'Таблиця 1'!$I:$I,"Mirage")+COUNTIFS('Таблиця 1'!$B:$B,$A644,'Таблиця 1'!$I:$I,"F-16")+COUNTIFS('Таблиця 1'!$B:$B,$A644,'Таблиця 1'!$I:$I,"МіГ-29")+COUNTIFS('Таблиця 1'!$B:$B,$A644,'Таблиця 1'!$I:$I,"Су-25")+COUNTIFS('Таблиця 1'!$B:$B,$A644,'Таблиця 1'!$I:$I,"Су-27"))</f>
        <v/>
      </c>
      <c r="C644">
        <f>IF($A644="","",COUNTIFS('Таблиця 1'!$B:$B,$A644,'Таблиця 1'!$I:$I,"Mirage"))</f>
        <v/>
      </c>
      <c r="D644">
        <f>IF($A644="","",COUNTIFS('Таблиця 1'!$B:$B,$A644,'Таблиця 1'!$I:$I,"F-16"))</f>
        <v/>
      </c>
      <c r="E644">
        <f>IF($A644="","",COUNTIFS('Таблиця 1'!$B:$B,$A644,'Таблиця 1'!$I:$I,"МіГ-29"))</f>
        <v/>
      </c>
      <c r="F644">
        <f>IF($A644="","",COUNTIFS('Таблиця 1'!$B:$B,$A644,'Таблиця 1'!$I:$I,"Су-25"))</f>
        <v/>
      </c>
      <c r="G644">
        <f>IF($A644="","",COUNTIFS('Таблиця 1'!$B:$B,$A644,'Таблиця 1'!$I:$I,"Су-27"))</f>
        <v/>
      </c>
      <c r="H644">
        <f>IF($A644="","",SUMIFS('Таблиця 1'!$K:$K,'Таблиця 1'!$B:$B,$A644,'Таблиця 1'!$I:$I,"Mirage",'Таблиця 1'!$J:$J,"AGM-88")+SUMIFS('Таблиця 1'!$K:$K,'Таблиця 1'!$B:$B,$A644,'Таблиця 1'!$I:$I,"F-16",'Таблиця 1'!$J:$J,"AGM-88")+SUMIFS('Таблиця 1'!$K:$K,'Таблиця 1'!$B:$B,$A644,'Таблиця 1'!$I:$I,"МіГ-29",'Таблиця 1'!$J:$J,"AGM-88")+SUMIFS('Таблиця 1'!$K:$K,'Таблиця 1'!$B:$B,$A644,'Таблиця 1'!$I:$I,"Су-25",'Таблиця 1'!$J:$J,"AGM-88")+SUMIFS('Таблиця 1'!$K:$K,'Таблиця 1'!$B:$B,$A644,'Таблиця 1'!$I:$I,"Су-27",'Таблиця 1'!$J:$J,"AGM-88"))</f>
        <v/>
      </c>
      <c r="I644">
        <f>IF($A644="","",SUMIFS('Таблиця 1'!$K:$K,'Таблиця 1'!$B:$B,$A644,'Таблиця 1'!$I:$I,"Mirage",'Таблиця 1'!$J:$J,"AASM-250")+SUMIFS('Таблиця 1'!$K:$K,'Таблиця 1'!$B:$B,$A644,'Таблиця 1'!$I:$I,"F-16",'Таблиця 1'!$J:$J,"AASM-250")+SUMIFS('Таблиця 1'!$K:$K,'Таблиця 1'!$B:$B,$A644,'Таблиця 1'!$I:$I,"МіГ-29",'Таблиця 1'!$J:$J,"AASM-250")+SUMIFS('Таблиця 1'!$K:$K,'Таблиця 1'!$B:$B,$A644,'Таблиця 1'!$I:$I,"Су-25",'Таблиця 1'!$J:$J,"AASM-250")+SUMIFS('Таблиця 1'!$K:$K,'Таблиця 1'!$B:$B,$A644,'Таблиця 1'!$I:$I,"Су-27",'Таблиця 1'!$J:$J,"AASM-250"))</f>
        <v/>
      </c>
      <c r="J644">
        <f>IF($A644="","",SUMIFS('Таблиця 1'!$K:$K,'Таблиця 1'!$B:$B,$A644,'Таблиця 1'!$I:$I,"Mirage",'Таблиця 1'!$J:$J,"GBU-39")+SUMIFS('Таблиця 1'!$K:$K,'Таблиця 1'!$B:$B,$A644,'Таблиця 1'!$I:$I,"F-16",'Таблиця 1'!$J:$J,"GBU-39")+SUMIFS('Таблиця 1'!$K:$K,'Таблиця 1'!$B:$B,$A644,'Таблиця 1'!$I:$I,"МіГ-29",'Таблиця 1'!$J:$J,"GBU-39")+SUMIFS('Таблиця 1'!$K:$K,'Таблиця 1'!$B:$B,$A644,'Таблиця 1'!$I:$I,"Су-25",'Таблиця 1'!$J:$J,"GBU-39")+SUMIFS('Таблиця 1'!$K:$K,'Таблиця 1'!$B:$B,$A644,'Таблиця 1'!$I:$I,"Су-27",'Таблиця 1'!$J:$J,"GBU-39"))</f>
        <v/>
      </c>
      <c r="K644">
        <f>IF($A644="","",SUMIFS('Таблиця 1'!$K:$K,'Таблиця 1'!$B:$B,$A644,'Таблиця 1'!$I:$I,"Mirage",'Таблиця 1'!$J:$J,"BLU-140")+SUMIFS('Таблиця 1'!$K:$K,'Таблиця 1'!$B:$B,$A644,'Таблиця 1'!$I:$I,"F-16",'Таблиця 1'!$J:$J,"BLU-140")+SUMIFS('Таблиця 1'!$K:$K,'Таблиця 1'!$B:$B,$A644,'Таблиця 1'!$I:$I,"МіГ-29",'Таблиця 1'!$J:$J,"BLU-140")+SUMIFS('Таблиця 1'!$K:$K,'Таблиця 1'!$B:$B,$A644,'Таблиця 1'!$I:$I,"Су-25",'Таблиця 1'!$J:$J,"BLU-140")+SUMIFS('Таблиця 1'!$K:$K,'Таблиця 1'!$B:$B,$A644,'Таблиця 1'!$I:$I,"Су-27",'Таблиця 1'!$J:$J,"BLU-140"))</f>
        <v/>
      </c>
      <c r="L644">
        <f>IF($A644="","",SUMIFS('Таблиця 1'!$K:$K,'Таблиця 1'!$B:$B,$A644,'Таблиця 1'!$I:$I,"Mirage",'Таблиця 1'!$J:$J,"GBU-65")+SUMIFS('Таблиця 1'!$K:$K,'Таблиця 1'!$B:$B,$A644,'Таблиця 1'!$I:$I,"F-16",'Таблиця 1'!$J:$J,"GBU-65")+SUMIFS('Таблиця 1'!$K:$K,'Таблиця 1'!$B:$B,$A644,'Таблиця 1'!$I:$I,"МіГ-29",'Таблиця 1'!$J:$J,"GBU-65")+SUMIFS('Таблиця 1'!$K:$K,'Таблиця 1'!$B:$B,$A644,'Таблиця 1'!$I:$I,"Су-25",'Таблиця 1'!$J:$J,"GBU-65")+SUMIFS('Таблиця 1'!$K:$K,'Таблиця 1'!$B:$B,$A644,'Таблиця 1'!$I:$I,"Су-27",'Таблиця 1'!$J:$J,"GBU-65"))</f>
        <v/>
      </c>
      <c r="M644">
        <f>IF($A644="","",SUMIFS('Таблиця 1'!$K:$K,'Таблиця 1'!$B:$B,$A644,'Таблиця 1'!$I:$I,"Mirage",'Таблиця 1'!$J:$J,"GBU-62")+SUMIFS('Таблиця 1'!$K:$K,'Таблиця 1'!$B:$B,$A644,'Таблиця 1'!$I:$I,"F-16",'Таблиця 1'!$J:$J,"GBU-62")+SUMIFS('Таблиця 1'!$K:$K,'Таблиця 1'!$B:$B,$A644,'Таблиця 1'!$I:$I,"МіГ-29",'Таблиця 1'!$J:$J,"GBU-62")+SUMIFS('Таблиця 1'!$K:$K,'Таблиця 1'!$B:$B,$A644,'Таблиця 1'!$I:$I,"Су-25",'Таблиця 1'!$J:$J,"GBU-62")+SUMIFS('Таблиця 1'!$K:$K,'Таблиця 1'!$B:$B,$A644,'Таблиця 1'!$I:$I,"Су-27",'Таблиця 1'!$J:$J,"GBU-62"))</f>
        <v/>
      </c>
      <c r="N644">
        <f>IF($A644="","",SUMIFS('Таблиця 1'!$K:$K,'Таблиця 1'!$B:$B,$A644,'Таблиця 1'!$I:$I,"Mirage",'Таблиця 1'!$J:$J,"GBU-64")+SUMIFS('Таблиця 1'!$K:$K,'Таблиця 1'!$B:$B,$A644,'Таблиця 1'!$I:$I,"F-16",'Таблиця 1'!$J:$J,"GBU-64")+SUMIFS('Таблиця 1'!$K:$K,'Таблиця 1'!$B:$B,$A644,'Таблиця 1'!$I:$I,"МіГ-29",'Таблиця 1'!$J:$J,"GBU-64")+SUMIFS('Таблиця 1'!$K:$K,'Таблиця 1'!$B:$B,$A644,'Таблиця 1'!$I:$I,"Су-25",'Таблиця 1'!$J:$J,"GBU-64")+SUMIFS('Таблиця 1'!$K:$K,'Таблиця 1'!$B:$B,$A644,'Таблиця 1'!$I:$I,"Су-27",'Таблиця 1'!$J:$J,"GBU-64"))</f>
        <v/>
      </c>
      <c r="O644">
        <f>IF($A644="","",SUMIFS('Таблиця 1'!$K:$K,'Таблиця 1'!$B:$B,$A644,'Таблиця 1'!$I:$I,"Mirage",'Таблиця 1'!$J:$J,"C-13")+SUMIFS('Таблиця 1'!$K:$K,'Таблиця 1'!$B:$B,$A644,'Таблиця 1'!$I:$I,"F-16",'Таблиця 1'!$J:$J,"C-13")+SUMIFS('Таблиця 1'!$K:$K,'Таблиця 1'!$B:$B,$A644,'Таблиця 1'!$I:$I,"МіГ-29",'Таблиця 1'!$J:$J,"C-13")+SUMIFS('Таблиця 1'!$K:$K,'Таблиця 1'!$B:$B,$A644,'Таблиця 1'!$I:$I,"Су-25",'Таблиця 1'!$J:$J,"C-13")+SUMIFS('Таблиця 1'!$K:$K,'Таблиця 1'!$B:$B,$A644,'Таблиця 1'!$I:$I,"Су-27",'Таблиця 1'!$J:$J,"C-13"))</f>
        <v/>
      </c>
      <c r="P644">
        <f>IF($A644="","",SUMIFS('Таблиця 1'!$K:$K,'Таблиця 1'!$B:$B,$A644,'Таблиця 1'!$I:$I,"Mirage",'Таблиця 1'!$J:$J,"MK-32")+SUMIFS('Таблиця 1'!$K:$K,'Таблиця 1'!$B:$B,$A644,'Таблиця 1'!$I:$I,"F-16",'Таблиця 1'!$J:$J,"MK-32")+SUMIFS('Таблиця 1'!$K:$K,'Таблиця 1'!$B:$B,$A644,'Таблиця 1'!$I:$I,"МіГ-29",'Таблиця 1'!$J:$J,"MK-32")+SUMIFS('Таблиця 1'!$K:$K,'Таблиця 1'!$B:$B,$A644,'Таблиця 1'!$I:$I,"Су-25",'Таблиця 1'!$J:$J,"MK-32")+SUMIFS('Таблиця 1'!$K:$K,'Таблиця 1'!$B:$B,$A644,'Таблиця 1'!$I:$I,"Су-27",'Таблиця 1'!$J:$J,"MK-32"))</f>
        <v/>
      </c>
      <c r="Q644">
        <f>IF($A644="","",SUMIFS('Таблиця 1'!$K:$K,'Таблиця 1'!$B:$B,$A644,'Таблиця 1'!$I:$I,"Mirage",'Таблиця 1'!$J:$J,"MK-24")+SUMIFS('Таблиця 1'!$K:$K,'Таблиця 1'!$B:$B,$A644,'Таблиця 1'!$I:$I,"F-16",'Таблиця 1'!$J:$J,"MK-24")+SUMIFS('Таблиця 1'!$K:$K,'Таблиця 1'!$B:$B,$A644,'Таблиця 1'!$I:$I,"МіГ-29",'Таблиця 1'!$J:$J,"MK-24")+SUMIFS('Таблиця 1'!$K:$K,'Таблиця 1'!$B:$B,$A644,'Таблиця 1'!$I:$I,"Су-25",'Таблиця 1'!$J:$J,"MK-24")+SUMIFS('Таблиця 1'!$K:$K,'Таблиця 1'!$B:$B,$A644,'Таблиця 1'!$I:$I,"Су-27",'Таблиця 1'!$J:$J,"MK-24"))</f>
        <v/>
      </c>
      <c r="R644">
        <f>IF($A644="","",COUNTIFS('Таблиця 1'!$B:$B,$A644,'Таблиця 1'!$I:$I,"Mirage",'Таблиця 1'!$L:$L,"Уражено")+COUNTIFS('Таблиця 1'!$B:$B,$A644,'Таблиця 1'!$I:$I,"F-16",'Таблиця 1'!$L:$L,"Уражено")+COUNTIFS('Таблиця 1'!$B:$B,$A644,'Таблиця 1'!$I:$I,"МіГ-29",'Таблиця 1'!$L:$L,"Уражено")+COUNTIFS('Таблиця 1'!$B:$B,$A644,'Таблиця 1'!$I:$I,"Су-25",'Таблиця 1'!$L:$L,"Уражено")+COUNTIFS('Таблиця 1'!$B:$B,$A644,'Таблиця 1'!$I:$I,"Су-27",'Таблиця 1'!$L:$L,"Уражено"))</f>
        <v/>
      </c>
      <c r="S644">
        <f>IF($A644="","",COUNTIFS('Таблиця 1'!$B:$B,$A644,'Таблиця 1'!$I:$I,"Mirage",'Таблиця 1'!$L:$L,"НЕ уражено")+COUNTIFS('Таблиця 1'!$B:$B,$A644,'Таблиця 1'!$I:$I,"F-16",'Таблиця 1'!$L:$L,"НЕ уражено")+COUNTIFS('Таблиця 1'!$B:$B,$A644,'Таблиця 1'!$I:$I,"МіГ-29",'Таблиця 1'!$L:$L,"НЕ уражено")+COUNTIFS('Таблиця 1'!$B:$B,$A644,'Таблиця 1'!$I:$I,"Су-25",'Таблиця 1'!$L:$L,"НЕ уражено")+COUNTIFS('Таблиця 1'!$B:$B,$A644,'Таблиця 1'!$I:$I,"Су-27",'Таблиця 1'!$L:$L,"НЕ уражено"))</f>
        <v/>
      </c>
      <c r="T644">
        <f>IF($A644="","",COUNTIFS('Таблиця 1'!$B:$B,$A644,'Таблиця 1'!$I:$I,"Mirage",'Таблиця 1'!$L:$L,"Дорозвідується")+COUNTIFS('Таблиця 1'!$B:$B,$A644,'Таблиця 1'!$I:$I,"F-16",'Таблиця 1'!$L:$L,"Дорозвідується")+COUNTIFS('Таблиця 1'!$B:$B,$A644,'Таблиця 1'!$I:$I,"МіГ-29",'Таблиця 1'!$L:$L,"Дорозвідується")+COUNTIFS('Таблиця 1'!$B:$B,$A644,'Таблиця 1'!$I:$I,"Су-25",'Таблиця 1'!$L:$L,"Дорозвідується")+COUNTIFS('Таблиця 1'!$B:$B,$A644,'Таблиця 1'!$I:$I,"Су-27",'Таблиця 1'!$L:$L,"Дорозвідується"))</f>
        <v/>
      </c>
    </row>
    <row r="645">
      <c r="A645" s="273">
        <f>IF(A644="","",IF(A644+1&gt;MAX('Таблиця 1'!$B:$B),"",A644+1))</f>
        <v/>
      </c>
      <c r="B645">
        <f>IF($A645="","",COUNTIFS('Таблиця 1'!$B:$B,$A645,'Таблиця 1'!$I:$I,"Mirage")+COUNTIFS('Таблиця 1'!$B:$B,$A645,'Таблиця 1'!$I:$I,"F-16")+COUNTIFS('Таблиця 1'!$B:$B,$A645,'Таблиця 1'!$I:$I,"МіГ-29")+COUNTIFS('Таблиця 1'!$B:$B,$A645,'Таблиця 1'!$I:$I,"Су-25")+COUNTIFS('Таблиця 1'!$B:$B,$A645,'Таблиця 1'!$I:$I,"Су-27"))</f>
        <v/>
      </c>
      <c r="C645">
        <f>IF($A645="","",COUNTIFS('Таблиця 1'!$B:$B,$A645,'Таблиця 1'!$I:$I,"Mirage"))</f>
        <v/>
      </c>
      <c r="D645">
        <f>IF($A645="","",COUNTIFS('Таблиця 1'!$B:$B,$A645,'Таблиця 1'!$I:$I,"F-16"))</f>
        <v/>
      </c>
      <c r="E645">
        <f>IF($A645="","",COUNTIFS('Таблиця 1'!$B:$B,$A645,'Таблиця 1'!$I:$I,"МіГ-29"))</f>
        <v/>
      </c>
      <c r="F645">
        <f>IF($A645="","",COUNTIFS('Таблиця 1'!$B:$B,$A645,'Таблиця 1'!$I:$I,"Су-25"))</f>
        <v/>
      </c>
      <c r="G645">
        <f>IF($A645="","",COUNTIFS('Таблиця 1'!$B:$B,$A645,'Таблиця 1'!$I:$I,"Су-27"))</f>
        <v/>
      </c>
      <c r="H645">
        <f>IF($A645="","",SUMIFS('Таблиця 1'!$K:$K,'Таблиця 1'!$B:$B,$A645,'Таблиця 1'!$I:$I,"Mirage",'Таблиця 1'!$J:$J,"AGM-88")+SUMIFS('Таблиця 1'!$K:$K,'Таблиця 1'!$B:$B,$A645,'Таблиця 1'!$I:$I,"F-16",'Таблиця 1'!$J:$J,"AGM-88")+SUMIFS('Таблиця 1'!$K:$K,'Таблиця 1'!$B:$B,$A645,'Таблиця 1'!$I:$I,"МіГ-29",'Таблиця 1'!$J:$J,"AGM-88")+SUMIFS('Таблиця 1'!$K:$K,'Таблиця 1'!$B:$B,$A645,'Таблиця 1'!$I:$I,"Су-25",'Таблиця 1'!$J:$J,"AGM-88")+SUMIFS('Таблиця 1'!$K:$K,'Таблиця 1'!$B:$B,$A645,'Таблиця 1'!$I:$I,"Су-27",'Таблиця 1'!$J:$J,"AGM-88"))</f>
        <v/>
      </c>
      <c r="I645">
        <f>IF($A645="","",SUMIFS('Таблиця 1'!$K:$K,'Таблиця 1'!$B:$B,$A645,'Таблиця 1'!$I:$I,"Mirage",'Таблиця 1'!$J:$J,"AASM-250")+SUMIFS('Таблиця 1'!$K:$K,'Таблиця 1'!$B:$B,$A645,'Таблиця 1'!$I:$I,"F-16",'Таблиця 1'!$J:$J,"AASM-250")+SUMIFS('Таблиця 1'!$K:$K,'Таблиця 1'!$B:$B,$A645,'Таблиця 1'!$I:$I,"МіГ-29",'Таблиця 1'!$J:$J,"AASM-250")+SUMIFS('Таблиця 1'!$K:$K,'Таблиця 1'!$B:$B,$A645,'Таблиця 1'!$I:$I,"Су-25",'Таблиця 1'!$J:$J,"AASM-250")+SUMIFS('Таблиця 1'!$K:$K,'Таблиця 1'!$B:$B,$A645,'Таблиця 1'!$I:$I,"Су-27",'Таблиця 1'!$J:$J,"AASM-250"))</f>
        <v/>
      </c>
      <c r="J645">
        <f>IF($A645="","",SUMIFS('Таблиця 1'!$K:$K,'Таблиця 1'!$B:$B,$A645,'Таблиця 1'!$I:$I,"Mirage",'Таблиця 1'!$J:$J,"GBU-39")+SUMIFS('Таблиця 1'!$K:$K,'Таблиця 1'!$B:$B,$A645,'Таблиця 1'!$I:$I,"F-16",'Таблиця 1'!$J:$J,"GBU-39")+SUMIFS('Таблиця 1'!$K:$K,'Таблиця 1'!$B:$B,$A645,'Таблиця 1'!$I:$I,"МіГ-29",'Таблиця 1'!$J:$J,"GBU-39")+SUMIFS('Таблиця 1'!$K:$K,'Таблиця 1'!$B:$B,$A645,'Таблиця 1'!$I:$I,"Су-25",'Таблиця 1'!$J:$J,"GBU-39")+SUMIFS('Таблиця 1'!$K:$K,'Таблиця 1'!$B:$B,$A645,'Таблиця 1'!$I:$I,"Су-27",'Таблиця 1'!$J:$J,"GBU-39"))</f>
        <v/>
      </c>
      <c r="K645">
        <f>IF($A645="","",SUMIFS('Таблиця 1'!$K:$K,'Таблиця 1'!$B:$B,$A645,'Таблиця 1'!$I:$I,"Mirage",'Таблиця 1'!$J:$J,"BLU-140")+SUMIFS('Таблиця 1'!$K:$K,'Таблиця 1'!$B:$B,$A645,'Таблиця 1'!$I:$I,"F-16",'Таблиця 1'!$J:$J,"BLU-140")+SUMIFS('Таблиця 1'!$K:$K,'Таблиця 1'!$B:$B,$A645,'Таблиця 1'!$I:$I,"МіГ-29",'Таблиця 1'!$J:$J,"BLU-140")+SUMIFS('Таблиця 1'!$K:$K,'Таблиця 1'!$B:$B,$A645,'Таблиця 1'!$I:$I,"Су-25",'Таблиця 1'!$J:$J,"BLU-140")+SUMIFS('Таблиця 1'!$K:$K,'Таблиця 1'!$B:$B,$A645,'Таблиця 1'!$I:$I,"Су-27",'Таблиця 1'!$J:$J,"BLU-140"))</f>
        <v/>
      </c>
      <c r="L645">
        <f>IF($A645="","",SUMIFS('Таблиця 1'!$K:$K,'Таблиця 1'!$B:$B,$A645,'Таблиця 1'!$I:$I,"Mirage",'Таблиця 1'!$J:$J,"GBU-65")+SUMIFS('Таблиця 1'!$K:$K,'Таблиця 1'!$B:$B,$A645,'Таблиця 1'!$I:$I,"F-16",'Таблиця 1'!$J:$J,"GBU-65")+SUMIFS('Таблиця 1'!$K:$K,'Таблиця 1'!$B:$B,$A645,'Таблиця 1'!$I:$I,"МіГ-29",'Таблиця 1'!$J:$J,"GBU-65")+SUMIFS('Таблиця 1'!$K:$K,'Таблиця 1'!$B:$B,$A645,'Таблиця 1'!$I:$I,"Су-25",'Таблиця 1'!$J:$J,"GBU-65")+SUMIFS('Таблиця 1'!$K:$K,'Таблиця 1'!$B:$B,$A645,'Таблиця 1'!$I:$I,"Су-27",'Таблиця 1'!$J:$J,"GBU-65"))</f>
        <v/>
      </c>
      <c r="M645">
        <f>IF($A645="","",SUMIFS('Таблиця 1'!$K:$K,'Таблиця 1'!$B:$B,$A645,'Таблиця 1'!$I:$I,"Mirage",'Таблиця 1'!$J:$J,"GBU-62")+SUMIFS('Таблиця 1'!$K:$K,'Таблиця 1'!$B:$B,$A645,'Таблиця 1'!$I:$I,"F-16",'Таблиця 1'!$J:$J,"GBU-62")+SUMIFS('Таблиця 1'!$K:$K,'Таблиця 1'!$B:$B,$A645,'Таблиця 1'!$I:$I,"МіГ-29",'Таблиця 1'!$J:$J,"GBU-62")+SUMIFS('Таблиця 1'!$K:$K,'Таблиця 1'!$B:$B,$A645,'Таблиця 1'!$I:$I,"Су-25",'Таблиця 1'!$J:$J,"GBU-62")+SUMIFS('Таблиця 1'!$K:$K,'Таблиця 1'!$B:$B,$A645,'Таблиця 1'!$I:$I,"Су-27",'Таблиця 1'!$J:$J,"GBU-62"))</f>
        <v/>
      </c>
      <c r="N645">
        <f>IF($A645="","",SUMIFS('Таблиця 1'!$K:$K,'Таблиця 1'!$B:$B,$A645,'Таблиця 1'!$I:$I,"Mirage",'Таблиця 1'!$J:$J,"GBU-64")+SUMIFS('Таблиця 1'!$K:$K,'Таблиця 1'!$B:$B,$A645,'Таблиця 1'!$I:$I,"F-16",'Таблиця 1'!$J:$J,"GBU-64")+SUMIFS('Таблиця 1'!$K:$K,'Таблиця 1'!$B:$B,$A645,'Таблиця 1'!$I:$I,"МіГ-29",'Таблиця 1'!$J:$J,"GBU-64")+SUMIFS('Таблиця 1'!$K:$K,'Таблиця 1'!$B:$B,$A645,'Таблиця 1'!$I:$I,"Су-25",'Таблиця 1'!$J:$J,"GBU-64")+SUMIFS('Таблиця 1'!$K:$K,'Таблиця 1'!$B:$B,$A645,'Таблиця 1'!$I:$I,"Су-27",'Таблиця 1'!$J:$J,"GBU-64"))</f>
        <v/>
      </c>
      <c r="O645">
        <f>IF($A645="","",SUMIFS('Таблиця 1'!$K:$K,'Таблиця 1'!$B:$B,$A645,'Таблиця 1'!$I:$I,"Mirage",'Таблиця 1'!$J:$J,"C-13")+SUMIFS('Таблиця 1'!$K:$K,'Таблиця 1'!$B:$B,$A645,'Таблиця 1'!$I:$I,"F-16",'Таблиця 1'!$J:$J,"C-13")+SUMIFS('Таблиця 1'!$K:$K,'Таблиця 1'!$B:$B,$A645,'Таблиця 1'!$I:$I,"МіГ-29",'Таблиця 1'!$J:$J,"C-13")+SUMIFS('Таблиця 1'!$K:$K,'Таблиця 1'!$B:$B,$A645,'Таблиця 1'!$I:$I,"Су-25",'Таблиця 1'!$J:$J,"C-13")+SUMIFS('Таблиця 1'!$K:$K,'Таблиця 1'!$B:$B,$A645,'Таблиця 1'!$I:$I,"Су-27",'Таблиця 1'!$J:$J,"C-13"))</f>
        <v/>
      </c>
      <c r="P645">
        <f>IF($A645="","",SUMIFS('Таблиця 1'!$K:$K,'Таблиця 1'!$B:$B,$A645,'Таблиця 1'!$I:$I,"Mirage",'Таблиця 1'!$J:$J,"MK-32")+SUMIFS('Таблиця 1'!$K:$K,'Таблиця 1'!$B:$B,$A645,'Таблиця 1'!$I:$I,"F-16",'Таблиця 1'!$J:$J,"MK-32")+SUMIFS('Таблиця 1'!$K:$K,'Таблиця 1'!$B:$B,$A645,'Таблиця 1'!$I:$I,"МіГ-29",'Таблиця 1'!$J:$J,"MK-32")+SUMIFS('Таблиця 1'!$K:$K,'Таблиця 1'!$B:$B,$A645,'Таблиця 1'!$I:$I,"Су-25",'Таблиця 1'!$J:$J,"MK-32")+SUMIFS('Таблиця 1'!$K:$K,'Таблиця 1'!$B:$B,$A645,'Таблиця 1'!$I:$I,"Су-27",'Таблиця 1'!$J:$J,"MK-32"))</f>
        <v/>
      </c>
      <c r="Q645">
        <f>IF($A645="","",SUMIFS('Таблиця 1'!$K:$K,'Таблиця 1'!$B:$B,$A645,'Таблиця 1'!$I:$I,"Mirage",'Таблиця 1'!$J:$J,"MK-24")+SUMIFS('Таблиця 1'!$K:$K,'Таблиця 1'!$B:$B,$A645,'Таблиця 1'!$I:$I,"F-16",'Таблиця 1'!$J:$J,"MK-24")+SUMIFS('Таблиця 1'!$K:$K,'Таблиця 1'!$B:$B,$A645,'Таблиця 1'!$I:$I,"МіГ-29",'Таблиця 1'!$J:$J,"MK-24")+SUMIFS('Таблиця 1'!$K:$K,'Таблиця 1'!$B:$B,$A645,'Таблиця 1'!$I:$I,"Су-25",'Таблиця 1'!$J:$J,"MK-24")+SUMIFS('Таблиця 1'!$K:$K,'Таблиця 1'!$B:$B,$A645,'Таблиця 1'!$I:$I,"Су-27",'Таблиця 1'!$J:$J,"MK-24"))</f>
        <v/>
      </c>
      <c r="R645">
        <f>IF($A645="","",COUNTIFS('Таблиця 1'!$B:$B,$A645,'Таблиця 1'!$I:$I,"Mirage",'Таблиця 1'!$L:$L,"Уражено")+COUNTIFS('Таблиця 1'!$B:$B,$A645,'Таблиця 1'!$I:$I,"F-16",'Таблиця 1'!$L:$L,"Уражено")+COUNTIFS('Таблиця 1'!$B:$B,$A645,'Таблиця 1'!$I:$I,"МіГ-29",'Таблиця 1'!$L:$L,"Уражено")+COUNTIFS('Таблиця 1'!$B:$B,$A645,'Таблиця 1'!$I:$I,"Су-25",'Таблиця 1'!$L:$L,"Уражено")+COUNTIFS('Таблиця 1'!$B:$B,$A645,'Таблиця 1'!$I:$I,"Су-27",'Таблиця 1'!$L:$L,"Уражено"))</f>
        <v/>
      </c>
      <c r="S645">
        <f>IF($A645="","",COUNTIFS('Таблиця 1'!$B:$B,$A645,'Таблиця 1'!$I:$I,"Mirage",'Таблиця 1'!$L:$L,"НЕ уражено")+COUNTIFS('Таблиця 1'!$B:$B,$A645,'Таблиця 1'!$I:$I,"F-16",'Таблиця 1'!$L:$L,"НЕ уражено")+COUNTIFS('Таблиця 1'!$B:$B,$A645,'Таблиця 1'!$I:$I,"МіГ-29",'Таблиця 1'!$L:$L,"НЕ уражено")+COUNTIFS('Таблиця 1'!$B:$B,$A645,'Таблиця 1'!$I:$I,"Су-25",'Таблиця 1'!$L:$L,"НЕ уражено")+COUNTIFS('Таблиця 1'!$B:$B,$A645,'Таблиця 1'!$I:$I,"Су-27",'Таблиця 1'!$L:$L,"НЕ уражено"))</f>
        <v/>
      </c>
      <c r="T645">
        <f>IF($A645="","",COUNTIFS('Таблиця 1'!$B:$B,$A645,'Таблиця 1'!$I:$I,"Mirage",'Таблиця 1'!$L:$L,"Дорозвідується")+COUNTIFS('Таблиця 1'!$B:$B,$A645,'Таблиця 1'!$I:$I,"F-16",'Таблиця 1'!$L:$L,"Дорозвідується")+COUNTIFS('Таблиця 1'!$B:$B,$A645,'Таблиця 1'!$I:$I,"МіГ-29",'Таблиця 1'!$L:$L,"Дорозвідується")+COUNTIFS('Таблиця 1'!$B:$B,$A645,'Таблиця 1'!$I:$I,"Су-25",'Таблиця 1'!$L:$L,"Дорозвідується")+COUNTIFS('Таблиця 1'!$B:$B,$A645,'Таблиця 1'!$I:$I,"Су-27",'Таблиця 1'!$L:$L,"Дорозвідується"))</f>
        <v/>
      </c>
    </row>
    <row r="646">
      <c r="A646" s="273">
        <f>IF(A645="","",IF(A645+1&gt;MAX('Таблиця 1'!$B:$B),"",A645+1))</f>
        <v/>
      </c>
      <c r="B646">
        <f>IF($A646="","",COUNTIFS('Таблиця 1'!$B:$B,$A646,'Таблиця 1'!$I:$I,"Mirage")+COUNTIFS('Таблиця 1'!$B:$B,$A646,'Таблиця 1'!$I:$I,"F-16")+COUNTIFS('Таблиця 1'!$B:$B,$A646,'Таблиця 1'!$I:$I,"МіГ-29")+COUNTIFS('Таблиця 1'!$B:$B,$A646,'Таблиця 1'!$I:$I,"Су-25")+COUNTIFS('Таблиця 1'!$B:$B,$A646,'Таблиця 1'!$I:$I,"Су-27"))</f>
        <v/>
      </c>
      <c r="C646">
        <f>IF($A646="","",COUNTIFS('Таблиця 1'!$B:$B,$A646,'Таблиця 1'!$I:$I,"Mirage"))</f>
        <v/>
      </c>
      <c r="D646">
        <f>IF($A646="","",COUNTIFS('Таблиця 1'!$B:$B,$A646,'Таблиця 1'!$I:$I,"F-16"))</f>
        <v/>
      </c>
      <c r="E646">
        <f>IF($A646="","",COUNTIFS('Таблиця 1'!$B:$B,$A646,'Таблиця 1'!$I:$I,"МіГ-29"))</f>
        <v/>
      </c>
      <c r="F646">
        <f>IF($A646="","",COUNTIFS('Таблиця 1'!$B:$B,$A646,'Таблиця 1'!$I:$I,"Су-25"))</f>
        <v/>
      </c>
      <c r="G646">
        <f>IF($A646="","",COUNTIFS('Таблиця 1'!$B:$B,$A646,'Таблиця 1'!$I:$I,"Су-27"))</f>
        <v/>
      </c>
      <c r="H646">
        <f>IF($A646="","",SUMIFS('Таблиця 1'!$K:$K,'Таблиця 1'!$B:$B,$A646,'Таблиця 1'!$I:$I,"Mirage",'Таблиця 1'!$J:$J,"AGM-88")+SUMIFS('Таблиця 1'!$K:$K,'Таблиця 1'!$B:$B,$A646,'Таблиця 1'!$I:$I,"F-16",'Таблиця 1'!$J:$J,"AGM-88")+SUMIFS('Таблиця 1'!$K:$K,'Таблиця 1'!$B:$B,$A646,'Таблиця 1'!$I:$I,"МіГ-29",'Таблиця 1'!$J:$J,"AGM-88")+SUMIFS('Таблиця 1'!$K:$K,'Таблиця 1'!$B:$B,$A646,'Таблиця 1'!$I:$I,"Су-25",'Таблиця 1'!$J:$J,"AGM-88")+SUMIFS('Таблиця 1'!$K:$K,'Таблиця 1'!$B:$B,$A646,'Таблиця 1'!$I:$I,"Су-27",'Таблиця 1'!$J:$J,"AGM-88"))</f>
        <v/>
      </c>
      <c r="I646">
        <f>IF($A646="","",SUMIFS('Таблиця 1'!$K:$K,'Таблиця 1'!$B:$B,$A646,'Таблиця 1'!$I:$I,"Mirage",'Таблиця 1'!$J:$J,"AASM-250")+SUMIFS('Таблиця 1'!$K:$K,'Таблиця 1'!$B:$B,$A646,'Таблиця 1'!$I:$I,"F-16",'Таблиця 1'!$J:$J,"AASM-250")+SUMIFS('Таблиця 1'!$K:$K,'Таблиця 1'!$B:$B,$A646,'Таблиця 1'!$I:$I,"МіГ-29",'Таблиця 1'!$J:$J,"AASM-250")+SUMIFS('Таблиця 1'!$K:$K,'Таблиця 1'!$B:$B,$A646,'Таблиця 1'!$I:$I,"Су-25",'Таблиця 1'!$J:$J,"AASM-250")+SUMIFS('Таблиця 1'!$K:$K,'Таблиця 1'!$B:$B,$A646,'Таблиця 1'!$I:$I,"Су-27",'Таблиця 1'!$J:$J,"AASM-250"))</f>
        <v/>
      </c>
      <c r="J646">
        <f>IF($A646="","",SUMIFS('Таблиця 1'!$K:$K,'Таблиця 1'!$B:$B,$A646,'Таблиця 1'!$I:$I,"Mirage",'Таблиця 1'!$J:$J,"GBU-39")+SUMIFS('Таблиця 1'!$K:$K,'Таблиця 1'!$B:$B,$A646,'Таблиця 1'!$I:$I,"F-16",'Таблиця 1'!$J:$J,"GBU-39")+SUMIFS('Таблиця 1'!$K:$K,'Таблиця 1'!$B:$B,$A646,'Таблиця 1'!$I:$I,"МіГ-29",'Таблиця 1'!$J:$J,"GBU-39")+SUMIFS('Таблиця 1'!$K:$K,'Таблиця 1'!$B:$B,$A646,'Таблиця 1'!$I:$I,"Су-25",'Таблиця 1'!$J:$J,"GBU-39")+SUMIFS('Таблиця 1'!$K:$K,'Таблиця 1'!$B:$B,$A646,'Таблиця 1'!$I:$I,"Су-27",'Таблиця 1'!$J:$J,"GBU-39"))</f>
        <v/>
      </c>
      <c r="K646">
        <f>IF($A646="","",SUMIFS('Таблиця 1'!$K:$K,'Таблиця 1'!$B:$B,$A646,'Таблиця 1'!$I:$I,"Mirage",'Таблиця 1'!$J:$J,"BLU-140")+SUMIFS('Таблиця 1'!$K:$K,'Таблиця 1'!$B:$B,$A646,'Таблиця 1'!$I:$I,"F-16",'Таблиця 1'!$J:$J,"BLU-140")+SUMIFS('Таблиця 1'!$K:$K,'Таблиця 1'!$B:$B,$A646,'Таблиця 1'!$I:$I,"МіГ-29",'Таблиця 1'!$J:$J,"BLU-140")+SUMIFS('Таблиця 1'!$K:$K,'Таблиця 1'!$B:$B,$A646,'Таблиця 1'!$I:$I,"Су-25",'Таблиця 1'!$J:$J,"BLU-140")+SUMIFS('Таблиця 1'!$K:$K,'Таблиця 1'!$B:$B,$A646,'Таблиця 1'!$I:$I,"Су-27",'Таблиця 1'!$J:$J,"BLU-140"))</f>
        <v/>
      </c>
      <c r="L646">
        <f>IF($A646="","",SUMIFS('Таблиця 1'!$K:$K,'Таблиця 1'!$B:$B,$A646,'Таблиця 1'!$I:$I,"Mirage",'Таблиця 1'!$J:$J,"GBU-65")+SUMIFS('Таблиця 1'!$K:$K,'Таблиця 1'!$B:$B,$A646,'Таблиця 1'!$I:$I,"F-16",'Таблиця 1'!$J:$J,"GBU-65")+SUMIFS('Таблиця 1'!$K:$K,'Таблиця 1'!$B:$B,$A646,'Таблиця 1'!$I:$I,"МіГ-29",'Таблиця 1'!$J:$J,"GBU-65")+SUMIFS('Таблиця 1'!$K:$K,'Таблиця 1'!$B:$B,$A646,'Таблиця 1'!$I:$I,"Су-25",'Таблиця 1'!$J:$J,"GBU-65")+SUMIFS('Таблиця 1'!$K:$K,'Таблиця 1'!$B:$B,$A646,'Таблиця 1'!$I:$I,"Су-27",'Таблиця 1'!$J:$J,"GBU-65"))</f>
        <v/>
      </c>
      <c r="M646">
        <f>IF($A646="","",SUMIFS('Таблиця 1'!$K:$K,'Таблиця 1'!$B:$B,$A646,'Таблиця 1'!$I:$I,"Mirage",'Таблиця 1'!$J:$J,"GBU-62")+SUMIFS('Таблиця 1'!$K:$K,'Таблиця 1'!$B:$B,$A646,'Таблиця 1'!$I:$I,"F-16",'Таблиця 1'!$J:$J,"GBU-62")+SUMIFS('Таблиця 1'!$K:$K,'Таблиця 1'!$B:$B,$A646,'Таблиця 1'!$I:$I,"МіГ-29",'Таблиця 1'!$J:$J,"GBU-62")+SUMIFS('Таблиця 1'!$K:$K,'Таблиця 1'!$B:$B,$A646,'Таблиця 1'!$I:$I,"Су-25",'Таблиця 1'!$J:$J,"GBU-62")+SUMIFS('Таблиця 1'!$K:$K,'Таблиця 1'!$B:$B,$A646,'Таблиця 1'!$I:$I,"Су-27",'Таблиця 1'!$J:$J,"GBU-62"))</f>
        <v/>
      </c>
      <c r="N646">
        <f>IF($A646="","",SUMIFS('Таблиця 1'!$K:$K,'Таблиця 1'!$B:$B,$A646,'Таблиця 1'!$I:$I,"Mirage",'Таблиця 1'!$J:$J,"GBU-64")+SUMIFS('Таблиця 1'!$K:$K,'Таблиця 1'!$B:$B,$A646,'Таблиця 1'!$I:$I,"F-16",'Таблиця 1'!$J:$J,"GBU-64")+SUMIFS('Таблиця 1'!$K:$K,'Таблиця 1'!$B:$B,$A646,'Таблиця 1'!$I:$I,"МіГ-29",'Таблиця 1'!$J:$J,"GBU-64")+SUMIFS('Таблиця 1'!$K:$K,'Таблиця 1'!$B:$B,$A646,'Таблиця 1'!$I:$I,"Су-25",'Таблиця 1'!$J:$J,"GBU-64")+SUMIFS('Таблиця 1'!$K:$K,'Таблиця 1'!$B:$B,$A646,'Таблиця 1'!$I:$I,"Су-27",'Таблиця 1'!$J:$J,"GBU-64"))</f>
        <v/>
      </c>
      <c r="O646">
        <f>IF($A646="","",SUMIFS('Таблиця 1'!$K:$K,'Таблиця 1'!$B:$B,$A646,'Таблиця 1'!$I:$I,"Mirage",'Таблиця 1'!$J:$J,"C-13")+SUMIFS('Таблиця 1'!$K:$K,'Таблиця 1'!$B:$B,$A646,'Таблиця 1'!$I:$I,"F-16",'Таблиця 1'!$J:$J,"C-13")+SUMIFS('Таблиця 1'!$K:$K,'Таблиця 1'!$B:$B,$A646,'Таблиця 1'!$I:$I,"МіГ-29",'Таблиця 1'!$J:$J,"C-13")+SUMIFS('Таблиця 1'!$K:$K,'Таблиця 1'!$B:$B,$A646,'Таблиця 1'!$I:$I,"Су-25",'Таблиця 1'!$J:$J,"C-13")+SUMIFS('Таблиця 1'!$K:$K,'Таблиця 1'!$B:$B,$A646,'Таблиця 1'!$I:$I,"Су-27",'Таблиця 1'!$J:$J,"C-13"))</f>
        <v/>
      </c>
      <c r="P646">
        <f>IF($A646="","",SUMIFS('Таблиця 1'!$K:$K,'Таблиця 1'!$B:$B,$A646,'Таблиця 1'!$I:$I,"Mirage",'Таблиця 1'!$J:$J,"MK-32")+SUMIFS('Таблиця 1'!$K:$K,'Таблиця 1'!$B:$B,$A646,'Таблиця 1'!$I:$I,"F-16",'Таблиця 1'!$J:$J,"MK-32")+SUMIFS('Таблиця 1'!$K:$K,'Таблиця 1'!$B:$B,$A646,'Таблиця 1'!$I:$I,"МіГ-29",'Таблиця 1'!$J:$J,"MK-32")+SUMIFS('Таблиця 1'!$K:$K,'Таблиця 1'!$B:$B,$A646,'Таблиця 1'!$I:$I,"Су-25",'Таблиця 1'!$J:$J,"MK-32")+SUMIFS('Таблиця 1'!$K:$K,'Таблиця 1'!$B:$B,$A646,'Таблиця 1'!$I:$I,"Су-27",'Таблиця 1'!$J:$J,"MK-32"))</f>
        <v/>
      </c>
      <c r="Q646">
        <f>IF($A646="","",SUMIFS('Таблиця 1'!$K:$K,'Таблиця 1'!$B:$B,$A646,'Таблиця 1'!$I:$I,"Mirage",'Таблиця 1'!$J:$J,"MK-24")+SUMIFS('Таблиця 1'!$K:$K,'Таблиця 1'!$B:$B,$A646,'Таблиця 1'!$I:$I,"F-16",'Таблиця 1'!$J:$J,"MK-24")+SUMIFS('Таблиця 1'!$K:$K,'Таблиця 1'!$B:$B,$A646,'Таблиця 1'!$I:$I,"МіГ-29",'Таблиця 1'!$J:$J,"MK-24")+SUMIFS('Таблиця 1'!$K:$K,'Таблиця 1'!$B:$B,$A646,'Таблиця 1'!$I:$I,"Су-25",'Таблиця 1'!$J:$J,"MK-24")+SUMIFS('Таблиця 1'!$K:$K,'Таблиця 1'!$B:$B,$A646,'Таблиця 1'!$I:$I,"Су-27",'Таблиця 1'!$J:$J,"MK-24"))</f>
        <v/>
      </c>
      <c r="R646">
        <f>IF($A646="","",COUNTIFS('Таблиця 1'!$B:$B,$A646,'Таблиця 1'!$I:$I,"Mirage",'Таблиця 1'!$L:$L,"Уражено")+COUNTIFS('Таблиця 1'!$B:$B,$A646,'Таблиця 1'!$I:$I,"F-16",'Таблиця 1'!$L:$L,"Уражено")+COUNTIFS('Таблиця 1'!$B:$B,$A646,'Таблиця 1'!$I:$I,"МіГ-29",'Таблиця 1'!$L:$L,"Уражено")+COUNTIFS('Таблиця 1'!$B:$B,$A646,'Таблиця 1'!$I:$I,"Су-25",'Таблиця 1'!$L:$L,"Уражено")+COUNTIFS('Таблиця 1'!$B:$B,$A646,'Таблиця 1'!$I:$I,"Су-27",'Таблиця 1'!$L:$L,"Уражено"))</f>
        <v/>
      </c>
      <c r="S646">
        <f>IF($A646="","",COUNTIFS('Таблиця 1'!$B:$B,$A646,'Таблиця 1'!$I:$I,"Mirage",'Таблиця 1'!$L:$L,"НЕ уражено")+COUNTIFS('Таблиця 1'!$B:$B,$A646,'Таблиця 1'!$I:$I,"F-16",'Таблиця 1'!$L:$L,"НЕ уражено")+COUNTIFS('Таблиця 1'!$B:$B,$A646,'Таблиця 1'!$I:$I,"МіГ-29",'Таблиця 1'!$L:$L,"НЕ уражено")+COUNTIFS('Таблиця 1'!$B:$B,$A646,'Таблиця 1'!$I:$I,"Су-25",'Таблиця 1'!$L:$L,"НЕ уражено")+COUNTIFS('Таблиця 1'!$B:$B,$A646,'Таблиця 1'!$I:$I,"Су-27",'Таблиця 1'!$L:$L,"НЕ уражено"))</f>
        <v/>
      </c>
      <c r="T646">
        <f>IF($A646="","",COUNTIFS('Таблиця 1'!$B:$B,$A646,'Таблиця 1'!$I:$I,"Mirage",'Таблиця 1'!$L:$L,"Дорозвідується")+COUNTIFS('Таблиця 1'!$B:$B,$A646,'Таблиця 1'!$I:$I,"F-16",'Таблиця 1'!$L:$L,"Дорозвідується")+COUNTIFS('Таблиця 1'!$B:$B,$A646,'Таблиця 1'!$I:$I,"МіГ-29",'Таблиця 1'!$L:$L,"Дорозвідується")+COUNTIFS('Таблиця 1'!$B:$B,$A646,'Таблиця 1'!$I:$I,"Су-25",'Таблиця 1'!$L:$L,"Дорозвідується")+COUNTIFS('Таблиця 1'!$B:$B,$A646,'Таблиця 1'!$I:$I,"Су-27",'Таблиця 1'!$L:$L,"Дорозвідується"))</f>
        <v/>
      </c>
    </row>
    <row r="647">
      <c r="A647" s="273">
        <f>IF(A646="","",IF(A646+1&gt;MAX('Таблиця 1'!$B:$B),"",A646+1))</f>
        <v/>
      </c>
      <c r="B647">
        <f>IF($A647="","",COUNTIFS('Таблиця 1'!$B:$B,$A647,'Таблиця 1'!$I:$I,"Mirage")+COUNTIFS('Таблиця 1'!$B:$B,$A647,'Таблиця 1'!$I:$I,"F-16")+COUNTIFS('Таблиця 1'!$B:$B,$A647,'Таблиця 1'!$I:$I,"МіГ-29")+COUNTIFS('Таблиця 1'!$B:$B,$A647,'Таблиця 1'!$I:$I,"Су-25")+COUNTIFS('Таблиця 1'!$B:$B,$A647,'Таблиця 1'!$I:$I,"Су-27"))</f>
        <v/>
      </c>
      <c r="C647">
        <f>IF($A647="","",COUNTIFS('Таблиця 1'!$B:$B,$A647,'Таблиця 1'!$I:$I,"Mirage"))</f>
        <v/>
      </c>
      <c r="D647">
        <f>IF($A647="","",COUNTIFS('Таблиця 1'!$B:$B,$A647,'Таблиця 1'!$I:$I,"F-16"))</f>
        <v/>
      </c>
      <c r="E647">
        <f>IF($A647="","",COUNTIFS('Таблиця 1'!$B:$B,$A647,'Таблиця 1'!$I:$I,"МіГ-29"))</f>
        <v/>
      </c>
      <c r="F647">
        <f>IF($A647="","",COUNTIFS('Таблиця 1'!$B:$B,$A647,'Таблиця 1'!$I:$I,"Су-25"))</f>
        <v/>
      </c>
      <c r="G647">
        <f>IF($A647="","",COUNTIFS('Таблиця 1'!$B:$B,$A647,'Таблиця 1'!$I:$I,"Су-27"))</f>
        <v/>
      </c>
      <c r="H647">
        <f>IF($A647="","",SUMIFS('Таблиця 1'!$K:$K,'Таблиця 1'!$B:$B,$A647,'Таблиця 1'!$I:$I,"Mirage",'Таблиця 1'!$J:$J,"AGM-88")+SUMIFS('Таблиця 1'!$K:$K,'Таблиця 1'!$B:$B,$A647,'Таблиця 1'!$I:$I,"F-16",'Таблиця 1'!$J:$J,"AGM-88")+SUMIFS('Таблиця 1'!$K:$K,'Таблиця 1'!$B:$B,$A647,'Таблиця 1'!$I:$I,"МіГ-29",'Таблиця 1'!$J:$J,"AGM-88")+SUMIFS('Таблиця 1'!$K:$K,'Таблиця 1'!$B:$B,$A647,'Таблиця 1'!$I:$I,"Су-25",'Таблиця 1'!$J:$J,"AGM-88")+SUMIFS('Таблиця 1'!$K:$K,'Таблиця 1'!$B:$B,$A647,'Таблиця 1'!$I:$I,"Су-27",'Таблиця 1'!$J:$J,"AGM-88"))</f>
        <v/>
      </c>
      <c r="I647">
        <f>IF($A647="","",SUMIFS('Таблиця 1'!$K:$K,'Таблиця 1'!$B:$B,$A647,'Таблиця 1'!$I:$I,"Mirage",'Таблиця 1'!$J:$J,"AASM-250")+SUMIFS('Таблиця 1'!$K:$K,'Таблиця 1'!$B:$B,$A647,'Таблиця 1'!$I:$I,"F-16",'Таблиця 1'!$J:$J,"AASM-250")+SUMIFS('Таблиця 1'!$K:$K,'Таблиця 1'!$B:$B,$A647,'Таблиця 1'!$I:$I,"МіГ-29",'Таблиця 1'!$J:$J,"AASM-250")+SUMIFS('Таблиця 1'!$K:$K,'Таблиця 1'!$B:$B,$A647,'Таблиця 1'!$I:$I,"Су-25",'Таблиця 1'!$J:$J,"AASM-250")+SUMIFS('Таблиця 1'!$K:$K,'Таблиця 1'!$B:$B,$A647,'Таблиця 1'!$I:$I,"Су-27",'Таблиця 1'!$J:$J,"AASM-250"))</f>
        <v/>
      </c>
      <c r="J647">
        <f>IF($A647="","",SUMIFS('Таблиця 1'!$K:$K,'Таблиця 1'!$B:$B,$A647,'Таблиця 1'!$I:$I,"Mirage",'Таблиця 1'!$J:$J,"GBU-39")+SUMIFS('Таблиця 1'!$K:$K,'Таблиця 1'!$B:$B,$A647,'Таблиця 1'!$I:$I,"F-16",'Таблиця 1'!$J:$J,"GBU-39")+SUMIFS('Таблиця 1'!$K:$K,'Таблиця 1'!$B:$B,$A647,'Таблиця 1'!$I:$I,"МіГ-29",'Таблиця 1'!$J:$J,"GBU-39")+SUMIFS('Таблиця 1'!$K:$K,'Таблиця 1'!$B:$B,$A647,'Таблиця 1'!$I:$I,"Су-25",'Таблиця 1'!$J:$J,"GBU-39")+SUMIFS('Таблиця 1'!$K:$K,'Таблиця 1'!$B:$B,$A647,'Таблиця 1'!$I:$I,"Су-27",'Таблиця 1'!$J:$J,"GBU-39"))</f>
        <v/>
      </c>
      <c r="K647">
        <f>IF($A647="","",SUMIFS('Таблиця 1'!$K:$K,'Таблиця 1'!$B:$B,$A647,'Таблиця 1'!$I:$I,"Mirage",'Таблиця 1'!$J:$J,"BLU-140")+SUMIFS('Таблиця 1'!$K:$K,'Таблиця 1'!$B:$B,$A647,'Таблиця 1'!$I:$I,"F-16",'Таблиця 1'!$J:$J,"BLU-140")+SUMIFS('Таблиця 1'!$K:$K,'Таблиця 1'!$B:$B,$A647,'Таблиця 1'!$I:$I,"МіГ-29",'Таблиця 1'!$J:$J,"BLU-140")+SUMIFS('Таблиця 1'!$K:$K,'Таблиця 1'!$B:$B,$A647,'Таблиця 1'!$I:$I,"Су-25",'Таблиця 1'!$J:$J,"BLU-140")+SUMIFS('Таблиця 1'!$K:$K,'Таблиця 1'!$B:$B,$A647,'Таблиця 1'!$I:$I,"Су-27",'Таблиця 1'!$J:$J,"BLU-140"))</f>
        <v/>
      </c>
      <c r="L647">
        <f>IF($A647="","",SUMIFS('Таблиця 1'!$K:$K,'Таблиця 1'!$B:$B,$A647,'Таблиця 1'!$I:$I,"Mirage",'Таблиця 1'!$J:$J,"GBU-65")+SUMIFS('Таблиця 1'!$K:$K,'Таблиця 1'!$B:$B,$A647,'Таблиця 1'!$I:$I,"F-16",'Таблиця 1'!$J:$J,"GBU-65")+SUMIFS('Таблиця 1'!$K:$K,'Таблиця 1'!$B:$B,$A647,'Таблиця 1'!$I:$I,"МіГ-29",'Таблиця 1'!$J:$J,"GBU-65")+SUMIFS('Таблиця 1'!$K:$K,'Таблиця 1'!$B:$B,$A647,'Таблиця 1'!$I:$I,"Су-25",'Таблиця 1'!$J:$J,"GBU-65")+SUMIFS('Таблиця 1'!$K:$K,'Таблиця 1'!$B:$B,$A647,'Таблиця 1'!$I:$I,"Су-27",'Таблиця 1'!$J:$J,"GBU-65"))</f>
        <v/>
      </c>
      <c r="M647">
        <f>IF($A647="","",SUMIFS('Таблиця 1'!$K:$K,'Таблиця 1'!$B:$B,$A647,'Таблиця 1'!$I:$I,"Mirage",'Таблиця 1'!$J:$J,"GBU-62")+SUMIFS('Таблиця 1'!$K:$K,'Таблиця 1'!$B:$B,$A647,'Таблиця 1'!$I:$I,"F-16",'Таблиця 1'!$J:$J,"GBU-62")+SUMIFS('Таблиця 1'!$K:$K,'Таблиця 1'!$B:$B,$A647,'Таблиця 1'!$I:$I,"МіГ-29",'Таблиця 1'!$J:$J,"GBU-62")+SUMIFS('Таблиця 1'!$K:$K,'Таблиця 1'!$B:$B,$A647,'Таблиця 1'!$I:$I,"Су-25",'Таблиця 1'!$J:$J,"GBU-62")+SUMIFS('Таблиця 1'!$K:$K,'Таблиця 1'!$B:$B,$A647,'Таблиця 1'!$I:$I,"Су-27",'Таблиця 1'!$J:$J,"GBU-62"))</f>
        <v/>
      </c>
      <c r="N647">
        <f>IF($A647="","",SUMIFS('Таблиця 1'!$K:$K,'Таблиця 1'!$B:$B,$A647,'Таблиця 1'!$I:$I,"Mirage",'Таблиця 1'!$J:$J,"GBU-64")+SUMIFS('Таблиця 1'!$K:$K,'Таблиця 1'!$B:$B,$A647,'Таблиця 1'!$I:$I,"F-16",'Таблиця 1'!$J:$J,"GBU-64")+SUMIFS('Таблиця 1'!$K:$K,'Таблиця 1'!$B:$B,$A647,'Таблиця 1'!$I:$I,"МіГ-29",'Таблиця 1'!$J:$J,"GBU-64")+SUMIFS('Таблиця 1'!$K:$K,'Таблиця 1'!$B:$B,$A647,'Таблиця 1'!$I:$I,"Су-25",'Таблиця 1'!$J:$J,"GBU-64")+SUMIFS('Таблиця 1'!$K:$K,'Таблиця 1'!$B:$B,$A647,'Таблиця 1'!$I:$I,"Су-27",'Таблиця 1'!$J:$J,"GBU-64"))</f>
        <v/>
      </c>
      <c r="O647">
        <f>IF($A647="","",SUMIFS('Таблиця 1'!$K:$K,'Таблиця 1'!$B:$B,$A647,'Таблиця 1'!$I:$I,"Mirage",'Таблиця 1'!$J:$J,"C-13")+SUMIFS('Таблиця 1'!$K:$K,'Таблиця 1'!$B:$B,$A647,'Таблиця 1'!$I:$I,"F-16",'Таблиця 1'!$J:$J,"C-13")+SUMIFS('Таблиця 1'!$K:$K,'Таблиця 1'!$B:$B,$A647,'Таблиця 1'!$I:$I,"МіГ-29",'Таблиця 1'!$J:$J,"C-13")+SUMIFS('Таблиця 1'!$K:$K,'Таблиця 1'!$B:$B,$A647,'Таблиця 1'!$I:$I,"Су-25",'Таблиця 1'!$J:$J,"C-13")+SUMIFS('Таблиця 1'!$K:$K,'Таблиця 1'!$B:$B,$A647,'Таблиця 1'!$I:$I,"Су-27",'Таблиця 1'!$J:$J,"C-13"))</f>
        <v/>
      </c>
      <c r="P647">
        <f>IF($A647="","",SUMIFS('Таблиця 1'!$K:$K,'Таблиця 1'!$B:$B,$A647,'Таблиця 1'!$I:$I,"Mirage",'Таблиця 1'!$J:$J,"MK-32")+SUMIFS('Таблиця 1'!$K:$K,'Таблиця 1'!$B:$B,$A647,'Таблиця 1'!$I:$I,"F-16",'Таблиця 1'!$J:$J,"MK-32")+SUMIFS('Таблиця 1'!$K:$K,'Таблиця 1'!$B:$B,$A647,'Таблиця 1'!$I:$I,"МіГ-29",'Таблиця 1'!$J:$J,"MK-32")+SUMIFS('Таблиця 1'!$K:$K,'Таблиця 1'!$B:$B,$A647,'Таблиця 1'!$I:$I,"Су-25",'Таблиця 1'!$J:$J,"MK-32")+SUMIFS('Таблиця 1'!$K:$K,'Таблиця 1'!$B:$B,$A647,'Таблиця 1'!$I:$I,"Су-27",'Таблиця 1'!$J:$J,"MK-32"))</f>
        <v/>
      </c>
      <c r="Q647">
        <f>IF($A647="","",SUMIFS('Таблиця 1'!$K:$K,'Таблиця 1'!$B:$B,$A647,'Таблиця 1'!$I:$I,"Mirage",'Таблиця 1'!$J:$J,"MK-24")+SUMIFS('Таблиця 1'!$K:$K,'Таблиця 1'!$B:$B,$A647,'Таблиця 1'!$I:$I,"F-16",'Таблиця 1'!$J:$J,"MK-24")+SUMIFS('Таблиця 1'!$K:$K,'Таблиця 1'!$B:$B,$A647,'Таблиця 1'!$I:$I,"МіГ-29",'Таблиця 1'!$J:$J,"MK-24")+SUMIFS('Таблиця 1'!$K:$K,'Таблиця 1'!$B:$B,$A647,'Таблиця 1'!$I:$I,"Су-25",'Таблиця 1'!$J:$J,"MK-24")+SUMIFS('Таблиця 1'!$K:$K,'Таблиця 1'!$B:$B,$A647,'Таблиця 1'!$I:$I,"Су-27",'Таблиця 1'!$J:$J,"MK-24"))</f>
        <v/>
      </c>
      <c r="R647">
        <f>IF($A647="","",COUNTIFS('Таблиця 1'!$B:$B,$A647,'Таблиця 1'!$I:$I,"Mirage",'Таблиця 1'!$L:$L,"Уражено")+COUNTIFS('Таблиця 1'!$B:$B,$A647,'Таблиця 1'!$I:$I,"F-16",'Таблиця 1'!$L:$L,"Уражено")+COUNTIFS('Таблиця 1'!$B:$B,$A647,'Таблиця 1'!$I:$I,"МіГ-29",'Таблиця 1'!$L:$L,"Уражено")+COUNTIFS('Таблиця 1'!$B:$B,$A647,'Таблиця 1'!$I:$I,"Су-25",'Таблиця 1'!$L:$L,"Уражено")+COUNTIFS('Таблиця 1'!$B:$B,$A647,'Таблиця 1'!$I:$I,"Су-27",'Таблиця 1'!$L:$L,"Уражено"))</f>
        <v/>
      </c>
      <c r="S647">
        <f>IF($A647="","",COUNTIFS('Таблиця 1'!$B:$B,$A647,'Таблиця 1'!$I:$I,"Mirage",'Таблиця 1'!$L:$L,"НЕ уражено")+COUNTIFS('Таблиця 1'!$B:$B,$A647,'Таблиця 1'!$I:$I,"F-16",'Таблиця 1'!$L:$L,"НЕ уражено")+COUNTIFS('Таблиця 1'!$B:$B,$A647,'Таблиця 1'!$I:$I,"МіГ-29",'Таблиця 1'!$L:$L,"НЕ уражено")+COUNTIFS('Таблиця 1'!$B:$B,$A647,'Таблиця 1'!$I:$I,"Су-25",'Таблиця 1'!$L:$L,"НЕ уражено")+COUNTIFS('Таблиця 1'!$B:$B,$A647,'Таблиця 1'!$I:$I,"Су-27",'Таблиця 1'!$L:$L,"НЕ уражено"))</f>
        <v/>
      </c>
      <c r="T647">
        <f>IF($A647="","",COUNTIFS('Таблиця 1'!$B:$B,$A647,'Таблиця 1'!$I:$I,"Mirage",'Таблиця 1'!$L:$L,"Дорозвідується")+COUNTIFS('Таблиця 1'!$B:$B,$A647,'Таблиця 1'!$I:$I,"F-16",'Таблиця 1'!$L:$L,"Дорозвідується")+COUNTIFS('Таблиця 1'!$B:$B,$A647,'Таблиця 1'!$I:$I,"МіГ-29",'Таблиця 1'!$L:$L,"Дорозвідується")+COUNTIFS('Таблиця 1'!$B:$B,$A647,'Таблиця 1'!$I:$I,"Су-25",'Таблиця 1'!$L:$L,"Дорозвідується")+COUNTIFS('Таблиця 1'!$B:$B,$A647,'Таблиця 1'!$I:$I,"Су-27",'Таблиця 1'!$L:$L,"Дорозвідується"))</f>
        <v/>
      </c>
    </row>
    <row r="648">
      <c r="A648" s="273">
        <f>IF(A647="","",IF(A647+1&gt;MAX('Таблиця 1'!$B:$B),"",A647+1))</f>
        <v/>
      </c>
      <c r="B648">
        <f>IF($A648="","",COUNTIFS('Таблиця 1'!$B:$B,$A648,'Таблиця 1'!$I:$I,"Mirage")+COUNTIFS('Таблиця 1'!$B:$B,$A648,'Таблиця 1'!$I:$I,"F-16")+COUNTIFS('Таблиця 1'!$B:$B,$A648,'Таблиця 1'!$I:$I,"МіГ-29")+COUNTIFS('Таблиця 1'!$B:$B,$A648,'Таблиця 1'!$I:$I,"Су-25")+COUNTIFS('Таблиця 1'!$B:$B,$A648,'Таблиця 1'!$I:$I,"Су-27"))</f>
        <v/>
      </c>
      <c r="C648">
        <f>IF($A648="","",COUNTIFS('Таблиця 1'!$B:$B,$A648,'Таблиця 1'!$I:$I,"Mirage"))</f>
        <v/>
      </c>
      <c r="D648">
        <f>IF($A648="","",COUNTIFS('Таблиця 1'!$B:$B,$A648,'Таблиця 1'!$I:$I,"F-16"))</f>
        <v/>
      </c>
      <c r="E648">
        <f>IF($A648="","",COUNTIFS('Таблиця 1'!$B:$B,$A648,'Таблиця 1'!$I:$I,"МіГ-29"))</f>
        <v/>
      </c>
      <c r="F648">
        <f>IF($A648="","",COUNTIFS('Таблиця 1'!$B:$B,$A648,'Таблиця 1'!$I:$I,"Су-25"))</f>
        <v/>
      </c>
      <c r="G648">
        <f>IF($A648="","",COUNTIFS('Таблиця 1'!$B:$B,$A648,'Таблиця 1'!$I:$I,"Су-27"))</f>
        <v/>
      </c>
      <c r="H648">
        <f>IF($A648="","",SUMIFS('Таблиця 1'!$K:$K,'Таблиця 1'!$B:$B,$A648,'Таблиця 1'!$I:$I,"Mirage",'Таблиця 1'!$J:$J,"AGM-88")+SUMIFS('Таблиця 1'!$K:$K,'Таблиця 1'!$B:$B,$A648,'Таблиця 1'!$I:$I,"F-16",'Таблиця 1'!$J:$J,"AGM-88")+SUMIFS('Таблиця 1'!$K:$K,'Таблиця 1'!$B:$B,$A648,'Таблиця 1'!$I:$I,"МіГ-29",'Таблиця 1'!$J:$J,"AGM-88")+SUMIFS('Таблиця 1'!$K:$K,'Таблиця 1'!$B:$B,$A648,'Таблиця 1'!$I:$I,"Су-25",'Таблиця 1'!$J:$J,"AGM-88")+SUMIFS('Таблиця 1'!$K:$K,'Таблиця 1'!$B:$B,$A648,'Таблиця 1'!$I:$I,"Су-27",'Таблиця 1'!$J:$J,"AGM-88"))</f>
        <v/>
      </c>
      <c r="I648">
        <f>IF($A648="","",SUMIFS('Таблиця 1'!$K:$K,'Таблиця 1'!$B:$B,$A648,'Таблиця 1'!$I:$I,"Mirage",'Таблиця 1'!$J:$J,"AASM-250")+SUMIFS('Таблиця 1'!$K:$K,'Таблиця 1'!$B:$B,$A648,'Таблиця 1'!$I:$I,"F-16",'Таблиця 1'!$J:$J,"AASM-250")+SUMIFS('Таблиця 1'!$K:$K,'Таблиця 1'!$B:$B,$A648,'Таблиця 1'!$I:$I,"МіГ-29",'Таблиця 1'!$J:$J,"AASM-250")+SUMIFS('Таблиця 1'!$K:$K,'Таблиця 1'!$B:$B,$A648,'Таблиця 1'!$I:$I,"Су-25",'Таблиця 1'!$J:$J,"AASM-250")+SUMIFS('Таблиця 1'!$K:$K,'Таблиця 1'!$B:$B,$A648,'Таблиця 1'!$I:$I,"Су-27",'Таблиця 1'!$J:$J,"AASM-250"))</f>
        <v/>
      </c>
      <c r="J648">
        <f>IF($A648="","",SUMIFS('Таблиця 1'!$K:$K,'Таблиця 1'!$B:$B,$A648,'Таблиця 1'!$I:$I,"Mirage",'Таблиця 1'!$J:$J,"GBU-39")+SUMIFS('Таблиця 1'!$K:$K,'Таблиця 1'!$B:$B,$A648,'Таблиця 1'!$I:$I,"F-16",'Таблиця 1'!$J:$J,"GBU-39")+SUMIFS('Таблиця 1'!$K:$K,'Таблиця 1'!$B:$B,$A648,'Таблиця 1'!$I:$I,"МіГ-29",'Таблиця 1'!$J:$J,"GBU-39")+SUMIFS('Таблиця 1'!$K:$K,'Таблиця 1'!$B:$B,$A648,'Таблиця 1'!$I:$I,"Су-25",'Таблиця 1'!$J:$J,"GBU-39")+SUMIFS('Таблиця 1'!$K:$K,'Таблиця 1'!$B:$B,$A648,'Таблиця 1'!$I:$I,"Су-27",'Таблиця 1'!$J:$J,"GBU-39"))</f>
        <v/>
      </c>
      <c r="K648">
        <f>IF($A648="","",SUMIFS('Таблиця 1'!$K:$K,'Таблиця 1'!$B:$B,$A648,'Таблиця 1'!$I:$I,"Mirage",'Таблиця 1'!$J:$J,"BLU-140")+SUMIFS('Таблиця 1'!$K:$K,'Таблиця 1'!$B:$B,$A648,'Таблиця 1'!$I:$I,"F-16",'Таблиця 1'!$J:$J,"BLU-140")+SUMIFS('Таблиця 1'!$K:$K,'Таблиця 1'!$B:$B,$A648,'Таблиця 1'!$I:$I,"МіГ-29",'Таблиця 1'!$J:$J,"BLU-140")+SUMIFS('Таблиця 1'!$K:$K,'Таблиця 1'!$B:$B,$A648,'Таблиця 1'!$I:$I,"Су-25",'Таблиця 1'!$J:$J,"BLU-140")+SUMIFS('Таблиця 1'!$K:$K,'Таблиця 1'!$B:$B,$A648,'Таблиця 1'!$I:$I,"Су-27",'Таблиця 1'!$J:$J,"BLU-140"))</f>
        <v/>
      </c>
      <c r="L648">
        <f>IF($A648="","",SUMIFS('Таблиця 1'!$K:$K,'Таблиця 1'!$B:$B,$A648,'Таблиця 1'!$I:$I,"Mirage",'Таблиця 1'!$J:$J,"GBU-65")+SUMIFS('Таблиця 1'!$K:$K,'Таблиця 1'!$B:$B,$A648,'Таблиця 1'!$I:$I,"F-16",'Таблиця 1'!$J:$J,"GBU-65")+SUMIFS('Таблиця 1'!$K:$K,'Таблиця 1'!$B:$B,$A648,'Таблиця 1'!$I:$I,"МіГ-29",'Таблиця 1'!$J:$J,"GBU-65")+SUMIFS('Таблиця 1'!$K:$K,'Таблиця 1'!$B:$B,$A648,'Таблиця 1'!$I:$I,"Су-25",'Таблиця 1'!$J:$J,"GBU-65")+SUMIFS('Таблиця 1'!$K:$K,'Таблиця 1'!$B:$B,$A648,'Таблиця 1'!$I:$I,"Су-27",'Таблиця 1'!$J:$J,"GBU-65"))</f>
        <v/>
      </c>
      <c r="M648">
        <f>IF($A648="","",SUMIFS('Таблиця 1'!$K:$K,'Таблиця 1'!$B:$B,$A648,'Таблиця 1'!$I:$I,"Mirage",'Таблиця 1'!$J:$J,"GBU-62")+SUMIFS('Таблиця 1'!$K:$K,'Таблиця 1'!$B:$B,$A648,'Таблиця 1'!$I:$I,"F-16",'Таблиця 1'!$J:$J,"GBU-62")+SUMIFS('Таблиця 1'!$K:$K,'Таблиця 1'!$B:$B,$A648,'Таблиця 1'!$I:$I,"МіГ-29",'Таблиця 1'!$J:$J,"GBU-62")+SUMIFS('Таблиця 1'!$K:$K,'Таблиця 1'!$B:$B,$A648,'Таблиця 1'!$I:$I,"Су-25",'Таблиця 1'!$J:$J,"GBU-62")+SUMIFS('Таблиця 1'!$K:$K,'Таблиця 1'!$B:$B,$A648,'Таблиця 1'!$I:$I,"Су-27",'Таблиця 1'!$J:$J,"GBU-62"))</f>
        <v/>
      </c>
      <c r="N648">
        <f>IF($A648="","",SUMIFS('Таблиця 1'!$K:$K,'Таблиця 1'!$B:$B,$A648,'Таблиця 1'!$I:$I,"Mirage",'Таблиця 1'!$J:$J,"GBU-64")+SUMIFS('Таблиця 1'!$K:$K,'Таблиця 1'!$B:$B,$A648,'Таблиця 1'!$I:$I,"F-16",'Таблиця 1'!$J:$J,"GBU-64")+SUMIFS('Таблиця 1'!$K:$K,'Таблиця 1'!$B:$B,$A648,'Таблиця 1'!$I:$I,"МіГ-29",'Таблиця 1'!$J:$J,"GBU-64")+SUMIFS('Таблиця 1'!$K:$K,'Таблиця 1'!$B:$B,$A648,'Таблиця 1'!$I:$I,"Су-25",'Таблиця 1'!$J:$J,"GBU-64")+SUMIFS('Таблиця 1'!$K:$K,'Таблиця 1'!$B:$B,$A648,'Таблиця 1'!$I:$I,"Су-27",'Таблиця 1'!$J:$J,"GBU-64"))</f>
        <v/>
      </c>
      <c r="O648">
        <f>IF($A648="","",SUMIFS('Таблиця 1'!$K:$K,'Таблиця 1'!$B:$B,$A648,'Таблиця 1'!$I:$I,"Mirage",'Таблиця 1'!$J:$J,"C-13")+SUMIFS('Таблиця 1'!$K:$K,'Таблиця 1'!$B:$B,$A648,'Таблиця 1'!$I:$I,"F-16",'Таблиця 1'!$J:$J,"C-13")+SUMIFS('Таблиця 1'!$K:$K,'Таблиця 1'!$B:$B,$A648,'Таблиця 1'!$I:$I,"МіГ-29",'Таблиця 1'!$J:$J,"C-13")+SUMIFS('Таблиця 1'!$K:$K,'Таблиця 1'!$B:$B,$A648,'Таблиця 1'!$I:$I,"Су-25",'Таблиця 1'!$J:$J,"C-13")+SUMIFS('Таблиця 1'!$K:$K,'Таблиця 1'!$B:$B,$A648,'Таблиця 1'!$I:$I,"Су-27",'Таблиця 1'!$J:$J,"C-13"))</f>
        <v/>
      </c>
      <c r="P648">
        <f>IF($A648="","",SUMIFS('Таблиця 1'!$K:$K,'Таблиця 1'!$B:$B,$A648,'Таблиця 1'!$I:$I,"Mirage",'Таблиця 1'!$J:$J,"MK-32")+SUMIFS('Таблиця 1'!$K:$K,'Таблиця 1'!$B:$B,$A648,'Таблиця 1'!$I:$I,"F-16",'Таблиця 1'!$J:$J,"MK-32")+SUMIFS('Таблиця 1'!$K:$K,'Таблиця 1'!$B:$B,$A648,'Таблиця 1'!$I:$I,"МіГ-29",'Таблиця 1'!$J:$J,"MK-32")+SUMIFS('Таблиця 1'!$K:$K,'Таблиця 1'!$B:$B,$A648,'Таблиця 1'!$I:$I,"Су-25",'Таблиця 1'!$J:$J,"MK-32")+SUMIFS('Таблиця 1'!$K:$K,'Таблиця 1'!$B:$B,$A648,'Таблиця 1'!$I:$I,"Су-27",'Таблиця 1'!$J:$J,"MK-32"))</f>
        <v/>
      </c>
      <c r="Q648">
        <f>IF($A648="","",SUMIFS('Таблиця 1'!$K:$K,'Таблиця 1'!$B:$B,$A648,'Таблиця 1'!$I:$I,"Mirage",'Таблиця 1'!$J:$J,"MK-24")+SUMIFS('Таблиця 1'!$K:$K,'Таблиця 1'!$B:$B,$A648,'Таблиця 1'!$I:$I,"F-16",'Таблиця 1'!$J:$J,"MK-24")+SUMIFS('Таблиця 1'!$K:$K,'Таблиця 1'!$B:$B,$A648,'Таблиця 1'!$I:$I,"МіГ-29",'Таблиця 1'!$J:$J,"MK-24")+SUMIFS('Таблиця 1'!$K:$K,'Таблиця 1'!$B:$B,$A648,'Таблиця 1'!$I:$I,"Су-25",'Таблиця 1'!$J:$J,"MK-24")+SUMIFS('Таблиця 1'!$K:$K,'Таблиця 1'!$B:$B,$A648,'Таблиця 1'!$I:$I,"Су-27",'Таблиця 1'!$J:$J,"MK-24"))</f>
        <v/>
      </c>
      <c r="R648">
        <f>IF($A648="","",COUNTIFS('Таблиця 1'!$B:$B,$A648,'Таблиця 1'!$I:$I,"Mirage",'Таблиця 1'!$L:$L,"Уражено")+COUNTIFS('Таблиця 1'!$B:$B,$A648,'Таблиця 1'!$I:$I,"F-16",'Таблиця 1'!$L:$L,"Уражено")+COUNTIFS('Таблиця 1'!$B:$B,$A648,'Таблиця 1'!$I:$I,"МіГ-29",'Таблиця 1'!$L:$L,"Уражено")+COUNTIFS('Таблиця 1'!$B:$B,$A648,'Таблиця 1'!$I:$I,"Су-25",'Таблиця 1'!$L:$L,"Уражено")+COUNTIFS('Таблиця 1'!$B:$B,$A648,'Таблиця 1'!$I:$I,"Су-27",'Таблиця 1'!$L:$L,"Уражено"))</f>
        <v/>
      </c>
      <c r="S648">
        <f>IF($A648="","",COUNTIFS('Таблиця 1'!$B:$B,$A648,'Таблиця 1'!$I:$I,"Mirage",'Таблиця 1'!$L:$L,"НЕ уражено")+COUNTIFS('Таблиця 1'!$B:$B,$A648,'Таблиця 1'!$I:$I,"F-16",'Таблиця 1'!$L:$L,"НЕ уражено")+COUNTIFS('Таблиця 1'!$B:$B,$A648,'Таблиця 1'!$I:$I,"МіГ-29",'Таблиця 1'!$L:$L,"НЕ уражено")+COUNTIFS('Таблиця 1'!$B:$B,$A648,'Таблиця 1'!$I:$I,"Су-25",'Таблиця 1'!$L:$L,"НЕ уражено")+COUNTIFS('Таблиця 1'!$B:$B,$A648,'Таблиця 1'!$I:$I,"Су-27",'Таблиця 1'!$L:$L,"НЕ уражено"))</f>
        <v/>
      </c>
      <c r="T648">
        <f>IF($A648="","",COUNTIFS('Таблиця 1'!$B:$B,$A648,'Таблиця 1'!$I:$I,"Mirage",'Таблиця 1'!$L:$L,"Дорозвідується")+COUNTIFS('Таблиця 1'!$B:$B,$A648,'Таблиця 1'!$I:$I,"F-16",'Таблиця 1'!$L:$L,"Дорозвідується")+COUNTIFS('Таблиця 1'!$B:$B,$A648,'Таблиця 1'!$I:$I,"МіГ-29",'Таблиця 1'!$L:$L,"Дорозвідується")+COUNTIFS('Таблиця 1'!$B:$B,$A648,'Таблиця 1'!$I:$I,"Су-25",'Таблиця 1'!$L:$L,"Дорозвідується")+COUNTIFS('Таблиця 1'!$B:$B,$A648,'Таблиця 1'!$I:$I,"Су-27",'Таблиця 1'!$L:$L,"Дорозвідується"))</f>
        <v/>
      </c>
    </row>
    <row r="649">
      <c r="A649" s="273">
        <f>IF(A648="","",IF(A648+1&gt;MAX('Таблиця 1'!$B:$B),"",A648+1))</f>
        <v/>
      </c>
      <c r="B649">
        <f>IF($A649="","",COUNTIFS('Таблиця 1'!$B:$B,$A649,'Таблиця 1'!$I:$I,"Mirage")+COUNTIFS('Таблиця 1'!$B:$B,$A649,'Таблиця 1'!$I:$I,"F-16")+COUNTIFS('Таблиця 1'!$B:$B,$A649,'Таблиця 1'!$I:$I,"МіГ-29")+COUNTIFS('Таблиця 1'!$B:$B,$A649,'Таблиця 1'!$I:$I,"Су-25")+COUNTIFS('Таблиця 1'!$B:$B,$A649,'Таблиця 1'!$I:$I,"Су-27"))</f>
        <v/>
      </c>
      <c r="C649">
        <f>IF($A649="","",COUNTIFS('Таблиця 1'!$B:$B,$A649,'Таблиця 1'!$I:$I,"Mirage"))</f>
        <v/>
      </c>
      <c r="D649">
        <f>IF($A649="","",COUNTIFS('Таблиця 1'!$B:$B,$A649,'Таблиця 1'!$I:$I,"F-16"))</f>
        <v/>
      </c>
      <c r="E649">
        <f>IF($A649="","",COUNTIFS('Таблиця 1'!$B:$B,$A649,'Таблиця 1'!$I:$I,"МіГ-29"))</f>
        <v/>
      </c>
      <c r="F649">
        <f>IF($A649="","",COUNTIFS('Таблиця 1'!$B:$B,$A649,'Таблиця 1'!$I:$I,"Су-25"))</f>
        <v/>
      </c>
      <c r="G649">
        <f>IF($A649="","",COUNTIFS('Таблиця 1'!$B:$B,$A649,'Таблиця 1'!$I:$I,"Су-27"))</f>
        <v/>
      </c>
      <c r="H649">
        <f>IF($A649="","",SUMIFS('Таблиця 1'!$K:$K,'Таблиця 1'!$B:$B,$A649,'Таблиця 1'!$I:$I,"Mirage",'Таблиця 1'!$J:$J,"AGM-88")+SUMIFS('Таблиця 1'!$K:$K,'Таблиця 1'!$B:$B,$A649,'Таблиця 1'!$I:$I,"F-16",'Таблиця 1'!$J:$J,"AGM-88")+SUMIFS('Таблиця 1'!$K:$K,'Таблиця 1'!$B:$B,$A649,'Таблиця 1'!$I:$I,"МіГ-29",'Таблиця 1'!$J:$J,"AGM-88")+SUMIFS('Таблиця 1'!$K:$K,'Таблиця 1'!$B:$B,$A649,'Таблиця 1'!$I:$I,"Су-25",'Таблиця 1'!$J:$J,"AGM-88")+SUMIFS('Таблиця 1'!$K:$K,'Таблиця 1'!$B:$B,$A649,'Таблиця 1'!$I:$I,"Су-27",'Таблиця 1'!$J:$J,"AGM-88"))</f>
        <v/>
      </c>
      <c r="I649">
        <f>IF($A649="","",SUMIFS('Таблиця 1'!$K:$K,'Таблиця 1'!$B:$B,$A649,'Таблиця 1'!$I:$I,"Mirage",'Таблиця 1'!$J:$J,"AASM-250")+SUMIFS('Таблиця 1'!$K:$K,'Таблиця 1'!$B:$B,$A649,'Таблиця 1'!$I:$I,"F-16",'Таблиця 1'!$J:$J,"AASM-250")+SUMIFS('Таблиця 1'!$K:$K,'Таблиця 1'!$B:$B,$A649,'Таблиця 1'!$I:$I,"МіГ-29",'Таблиця 1'!$J:$J,"AASM-250")+SUMIFS('Таблиця 1'!$K:$K,'Таблиця 1'!$B:$B,$A649,'Таблиця 1'!$I:$I,"Су-25",'Таблиця 1'!$J:$J,"AASM-250")+SUMIFS('Таблиця 1'!$K:$K,'Таблиця 1'!$B:$B,$A649,'Таблиця 1'!$I:$I,"Су-27",'Таблиця 1'!$J:$J,"AASM-250"))</f>
        <v/>
      </c>
      <c r="J649">
        <f>IF($A649="","",SUMIFS('Таблиця 1'!$K:$K,'Таблиця 1'!$B:$B,$A649,'Таблиця 1'!$I:$I,"Mirage",'Таблиця 1'!$J:$J,"GBU-39")+SUMIFS('Таблиця 1'!$K:$K,'Таблиця 1'!$B:$B,$A649,'Таблиця 1'!$I:$I,"F-16",'Таблиця 1'!$J:$J,"GBU-39")+SUMIFS('Таблиця 1'!$K:$K,'Таблиця 1'!$B:$B,$A649,'Таблиця 1'!$I:$I,"МіГ-29",'Таблиця 1'!$J:$J,"GBU-39")+SUMIFS('Таблиця 1'!$K:$K,'Таблиця 1'!$B:$B,$A649,'Таблиця 1'!$I:$I,"Су-25",'Таблиця 1'!$J:$J,"GBU-39")+SUMIFS('Таблиця 1'!$K:$K,'Таблиця 1'!$B:$B,$A649,'Таблиця 1'!$I:$I,"Су-27",'Таблиця 1'!$J:$J,"GBU-39"))</f>
        <v/>
      </c>
      <c r="K649">
        <f>IF($A649="","",SUMIFS('Таблиця 1'!$K:$K,'Таблиця 1'!$B:$B,$A649,'Таблиця 1'!$I:$I,"Mirage",'Таблиця 1'!$J:$J,"BLU-140")+SUMIFS('Таблиця 1'!$K:$K,'Таблиця 1'!$B:$B,$A649,'Таблиця 1'!$I:$I,"F-16",'Таблиця 1'!$J:$J,"BLU-140")+SUMIFS('Таблиця 1'!$K:$K,'Таблиця 1'!$B:$B,$A649,'Таблиця 1'!$I:$I,"МіГ-29",'Таблиця 1'!$J:$J,"BLU-140")+SUMIFS('Таблиця 1'!$K:$K,'Таблиця 1'!$B:$B,$A649,'Таблиця 1'!$I:$I,"Су-25",'Таблиця 1'!$J:$J,"BLU-140")+SUMIFS('Таблиця 1'!$K:$K,'Таблиця 1'!$B:$B,$A649,'Таблиця 1'!$I:$I,"Су-27",'Таблиця 1'!$J:$J,"BLU-140"))</f>
        <v/>
      </c>
      <c r="L649">
        <f>IF($A649="","",SUMIFS('Таблиця 1'!$K:$K,'Таблиця 1'!$B:$B,$A649,'Таблиця 1'!$I:$I,"Mirage",'Таблиця 1'!$J:$J,"GBU-65")+SUMIFS('Таблиця 1'!$K:$K,'Таблиця 1'!$B:$B,$A649,'Таблиця 1'!$I:$I,"F-16",'Таблиця 1'!$J:$J,"GBU-65")+SUMIFS('Таблиця 1'!$K:$K,'Таблиця 1'!$B:$B,$A649,'Таблиця 1'!$I:$I,"МіГ-29",'Таблиця 1'!$J:$J,"GBU-65")+SUMIFS('Таблиця 1'!$K:$K,'Таблиця 1'!$B:$B,$A649,'Таблиця 1'!$I:$I,"Су-25",'Таблиця 1'!$J:$J,"GBU-65")+SUMIFS('Таблиця 1'!$K:$K,'Таблиця 1'!$B:$B,$A649,'Таблиця 1'!$I:$I,"Су-27",'Таблиця 1'!$J:$J,"GBU-65"))</f>
        <v/>
      </c>
      <c r="M649">
        <f>IF($A649="","",SUMIFS('Таблиця 1'!$K:$K,'Таблиця 1'!$B:$B,$A649,'Таблиця 1'!$I:$I,"Mirage",'Таблиця 1'!$J:$J,"GBU-62")+SUMIFS('Таблиця 1'!$K:$K,'Таблиця 1'!$B:$B,$A649,'Таблиця 1'!$I:$I,"F-16",'Таблиця 1'!$J:$J,"GBU-62")+SUMIFS('Таблиця 1'!$K:$K,'Таблиця 1'!$B:$B,$A649,'Таблиця 1'!$I:$I,"МіГ-29",'Таблиця 1'!$J:$J,"GBU-62")+SUMIFS('Таблиця 1'!$K:$K,'Таблиця 1'!$B:$B,$A649,'Таблиця 1'!$I:$I,"Су-25",'Таблиця 1'!$J:$J,"GBU-62")+SUMIFS('Таблиця 1'!$K:$K,'Таблиця 1'!$B:$B,$A649,'Таблиця 1'!$I:$I,"Су-27",'Таблиця 1'!$J:$J,"GBU-62"))</f>
        <v/>
      </c>
      <c r="N649">
        <f>IF($A649="","",SUMIFS('Таблиця 1'!$K:$K,'Таблиця 1'!$B:$B,$A649,'Таблиця 1'!$I:$I,"Mirage",'Таблиця 1'!$J:$J,"GBU-64")+SUMIFS('Таблиця 1'!$K:$K,'Таблиця 1'!$B:$B,$A649,'Таблиця 1'!$I:$I,"F-16",'Таблиця 1'!$J:$J,"GBU-64")+SUMIFS('Таблиця 1'!$K:$K,'Таблиця 1'!$B:$B,$A649,'Таблиця 1'!$I:$I,"МіГ-29",'Таблиця 1'!$J:$J,"GBU-64")+SUMIFS('Таблиця 1'!$K:$K,'Таблиця 1'!$B:$B,$A649,'Таблиця 1'!$I:$I,"Су-25",'Таблиця 1'!$J:$J,"GBU-64")+SUMIFS('Таблиця 1'!$K:$K,'Таблиця 1'!$B:$B,$A649,'Таблиця 1'!$I:$I,"Су-27",'Таблиця 1'!$J:$J,"GBU-64"))</f>
        <v/>
      </c>
      <c r="O649">
        <f>IF($A649="","",SUMIFS('Таблиця 1'!$K:$K,'Таблиця 1'!$B:$B,$A649,'Таблиця 1'!$I:$I,"Mirage",'Таблиця 1'!$J:$J,"C-13")+SUMIFS('Таблиця 1'!$K:$K,'Таблиця 1'!$B:$B,$A649,'Таблиця 1'!$I:$I,"F-16",'Таблиця 1'!$J:$J,"C-13")+SUMIFS('Таблиця 1'!$K:$K,'Таблиця 1'!$B:$B,$A649,'Таблиця 1'!$I:$I,"МіГ-29",'Таблиця 1'!$J:$J,"C-13")+SUMIFS('Таблиця 1'!$K:$K,'Таблиця 1'!$B:$B,$A649,'Таблиця 1'!$I:$I,"Су-25",'Таблиця 1'!$J:$J,"C-13")+SUMIFS('Таблиця 1'!$K:$K,'Таблиця 1'!$B:$B,$A649,'Таблиця 1'!$I:$I,"Су-27",'Таблиця 1'!$J:$J,"C-13"))</f>
        <v/>
      </c>
      <c r="P649">
        <f>IF($A649="","",SUMIFS('Таблиця 1'!$K:$K,'Таблиця 1'!$B:$B,$A649,'Таблиця 1'!$I:$I,"Mirage",'Таблиця 1'!$J:$J,"MK-32")+SUMIFS('Таблиця 1'!$K:$K,'Таблиця 1'!$B:$B,$A649,'Таблиця 1'!$I:$I,"F-16",'Таблиця 1'!$J:$J,"MK-32")+SUMIFS('Таблиця 1'!$K:$K,'Таблиця 1'!$B:$B,$A649,'Таблиця 1'!$I:$I,"МіГ-29",'Таблиця 1'!$J:$J,"MK-32")+SUMIFS('Таблиця 1'!$K:$K,'Таблиця 1'!$B:$B,$A649,'Таблиця 1'!$I:$I,"Су-25",'Таблиця 1'!$J:$J,"MK-32")+SUMIFS('Таблиця 1'!$K:$K,'Таблиця 1'!$B:$B,$A649,'Таблиця 1'!$I:$I,"Су-27",'Таблиця 1'!$J:$J,"MK-32"))</f>
        <v/>
      </c>
      <c r="Q649">
        <f>IF($A649="","",SUMIFS('Таблиця 1'!$K:$K,'Таблиця 1'!$B:$B,$A649,'Таблиця 1'!$I:$I,"Mirage",'Таблиця 1'!$J:$J,"MK-24")+SUMIFS('Таблиця 1'!$K:$K,'Таблиця 1'!$B:$B,$A649,'Таблиця 1'!$I:$I,"F-16",'Таблиця 1'!$J:$J,"MK-24")+SUMIFS('Таблиця 1'!$K:$K,'Таблиця 1'!$B:$B,$A649,'Таблиця 1'!$I:$I,"МіГ-29",'Таблиця 1'!$J:$J,"MK-24")+SUMIFS('Таблиця 1'!$K:$K,'Таблиця 1'!$B:$B,$A649,'Таблиця 1'!$I:$I,"Су-25",'Таблиця 1'!$J:$J,"MK-24")+SUMIFS('Таблиця 1'!$K:$K,'Таблиця 1'!$B:$B,$A649,'Таблиця 1'!$I:$I,"Су-27",'Таблиця 1'!$J:$J,"MK-24"))</f>
        <v/>
      </c>
      <c r="R649">
        <f>IF($A649="","",COUNTIFS('Таблиця 1'!$B:$B,$A649,'Таблиця 1'!$I:$I,"Mirage",'Таблиця 1'!$L:$L,"Уражено")+COUNTIFS('Таблиця 1'!$B:$B,$A649,'Таблиця 1'!$I:$I,"F-16",'Таблиця 1'!$L:$L,"Уражено")+COUNTIFS('Таблиця 1'!$B:$B,$A649,'Таблиця 1'!$I:$I,"МіГ-29",'Таблиця 1'!$L:$L,"Уражено")+COUNTIFS('Таблиця 1'!$B:$B,$A649,'Таблиця 1'!$I:$I,"Су-25",'Таблиця 1'!$L:$L,"Уражено")+COUNTIFS('Таблиця 1'!$B:$B,$A649,'Таблиця 1'!$I:$I,"Су-27",'Таблиця 1'!$L:$L,"Уражено"))</f>
        <v/>
      </c>
      <c r="S649">
        <f>IF($A649="","",COUNTIFS('Таблиця 1'!$B:$B,$A649,'Таблиця 1'!$I:$I,"Mirage",'Таблиця 1'!$L:$L,"НЕ уражено")+COUNTIFS('Таблиця 1'!$B:$B,$A649,'Таблиця 1'!$I:$I,"F-16",'Таблиця 1'!$L:$L,"НЕ уражено")+COUNTIFS('Таблиця 1'!$B:$B,$A649,'Таблиця 1'!$I:$I,"МіГ-29",'Таблиця 1'!$L:$L,"НЕ уражено")+COUNTIFS('Таблиця 1'!$B:$B,$A649,'Таблиця 1'!$I:$I,"Су-25",'Таблиця 1'!$L:$L,"НЕ уражено")+COUNTIFS('Таблиця 1'!$B:$B,$A649,'Таблиця 1'!$I:$I,"Су-27",'Таблиця 1'!$L:$L,"НЕ уражено"))</f>
        <v/>
      </c>
      <c r="T649">
        <f>IF($A649="","",COUNTIFS('Таблиця 1'!$B:$B,$A649,'Таблиця 1'!$I:$I,"Mirage",'Таблиця 1'!$L:$L,"Дорозвідується")+COUNTIFS('Таблиця 1'!$B:$B,$A649,'Таблиця 1'!$I:$I,"F-16",'Таблиця 1'!$L:$L,"Дорозвідується")+COUNTIFS('Таблиця 1'!$B:$B,$A649,'Таблиця 1'!$I:$I,"МіГ-29",'Таблиця 1'!$L:$L,"Дорозвідується")+COUNTIFS('Таблиця 1'!$B:$B,$A649,'Таблиця 1'!$I:$I,"Су-25",'Таблиця 1'!$L:$L,"Дорозвідується")+COUNTIFS('Таблиця 1'!$B:$B,$A649,'Таблиця 1'!$I:$I,"Су-27",'Таблиця 1'!$L:$L,"Дорозвідується"))</f>
        <v/>
      </c>
    </row>
    <row r="650">
      <c r="A650" s="273">
        <f>IF(A649="","",IF(A649+1&gt;MAX('Таблиця 1'!$B:$B),"",A649+1))</f>
        <v/>
      </c>
      <c r="B650">
        <f>IF($A650="","",COUNTIFS('Таблиця 1'!$B:$B,$A650,'Таблиця 1'!$I:$I,"Mirage")+COUNTIFS('Таблиця 1'!$B:$B,$A650,'Таблиця 1'!$I:$I,"F-16")+COUNTIFS('Таблиця 1'!$B:$B,$A650,'Таблиця 1'!$I:$I,"МіГ-29")+COUNTIFS('Таблиця 1'!$B:$B,$A650,'Таблиця 1'!$I:$I,"Су-25")+COUNTIFS('Таблиця 1'!$B:$B,$A650,'Таблиця 1'!$I:$I,"Су-27"))</f>
        <v/>
      </c>
      <c r="C650">
        <f>IF($A650="","",COUNTIFS('Таблиця 1'!$B:$B,$A650,'Таблиця 1'!$I:$I,"Mirage"))</f>
        <v/>
      </c>
      <c r="D650">
        <f>IF($A650="","",COUNTIFS('Таблиця 1'!$B:$B,$A650,'Таблиця 1'!$I:$I,"F-16"))</f>
        <v/>
      </c>
      <c r="E650">
        <f>IF($A650="","",COUNTIFS('Таблиця 1'!$B:$B,$A650,'Таблиця 1'!$I:$I,"МіГ-29"))</f>
        <v/>
      </c>
      <c r="F650">
        <f>IF($A650="","",COUNTIFS('Таблиця 1'!$B:$B,$A650,'Таблиця 1'!$I:$I,"Су-25"))</f>
        <v/>
      </c>
      <c r="G650">
        <f>IF($A650="","",COUNTIFS('Таблиця 1'!$B:$B,$A650,'Таблиця 1'!$I:$I,"Су-27"))</f>
        <v/>
      </c>
      <c r="H650">
        <f>IF($A650="","",SUMIFS('Таблиця 1'!$K:$K,'Таблиця 1'!$B:$B,$A650,'Таблиця 1'!$I:$I,"Mirage",'Таблиця 1'!$J:$J,"AGM-88")+SUMIFS('Таблиця 1'!$K:$K,'Таблиця 1'!$B:$B,$A650,'Таблиця 1'!$I:$I,"F-16",'Таблиця 1'!$J:$J,"AGM-88")+SUMIFS('Таблиця 1'!$K:$K,'Таблиця 1'!$B:$B,$A650,'Таблиця 1'!$I:$I,"МіГ-29",'Таблиця 1'!$J:$J,"AGM-88")+SUMIFS('Таблиця 1'!$K:$K,'Таблиця 1'!$B:$B,$A650,'Таблиця 1'!$I:$I,"Су-25",'Таблиця 1'!$J:$J,"AGM-88")+SUMIFS('Таблиця 1'!$K:$K,'Таблиця 1'!$B:$B,$A650,'Таблиця 1'!$I:$I,"Су-27",'Таблиця 1'!$J:$J,"AGM-88"))</f>
        <v/>
      </c>
      <c r="I650">
        <f>IF($A650="","",SUMIFS('Таблиця 1'!$K:$K,'Таблиця 1'!$B:$B,$A650,'Таблиця 1'!$I:$I,"Mirage",'Таблиця 1'!$J:$J,"AASM-250")+SUMIFS('Таблиця 1'!$K:$K,'Таблиця 1'!$B:$B,$A650,'Таблиця 1'!$I:$I,"F-16",'Таблиця 1'!$J:$J,"AASM-250")+SUMIFS('Таблиця 1'!$K:$K,'Таблиця 1'!$B:$B,$A650,'Таблиця 1'!$I:$I,"МіГ-29",'Таблиця 1'!$J:$J,"AASM-250")+SUMIFS('Таблиця 1'!$K:$K,'Таблиця 1'!$B:$B,$A650,'Таблиця 1'!$I:$I,"Су-25",'Таблиця 1'!$J:$J,"AASM-250")+SUMIFS('Таблиця 1'!$K:$K,'Таблиця 1'!$B:$B,$A650,'Таблиця 1'!$I:$I,"Су-27",'Таблиця 1'!$J:$J,"AASM-250"))</f>
        <v/>
      </c>
      <c r="J650">
        <f>IF($A650="","",SUMIFS('Таблиця 1'!$K:$K,'Таблиця 1'!$B:$B,$A650,'Таблиця 1'!$I:$I,"Mirage",'Таблиця 1'!$J:$J,"GBU-39")+SUMIFS('Таблиця 1'!$K:$K,'Таблиця 1'!$B:$B,$A650,'Таблиця 1'!$I:$I,"F-16",'Таблиця 1'!$J:$J,"GBU-39")+SUMIFS('Таблиця 1'!$K:$K,'Таблиця 1'!$B:$B,$A650,'Таблиця 1'!$I:$I,"МіГ-29",'Таблиця 1'!$J:$J,"GBU-39")+SUMIFS('Таблиця 1'!$K:$K,'Таблиця 1'!$B:$B,$A650,'Таблиця 1'!$I:$I,"Су-25",'Таблиця 1'!$J:$J,"GBU-39")+SUMIFS('Таблиця 1'!$K:$K,'Таблиця 1'!$B:$B,$A650,'Таблиця 1'!$I:$I,"Су-27",'Таблиця 1'!$J:$J,"GBU-39"))</f>
        <v/>
      </c>
      <c r="K650">
        <f>IF($A650="","",SUMIFS('Таблиця 1'!$K:$K,'Таблиця 1'!$B:$B,$A650,'Таблиця 1'!$I:$I,"Mirage",'Таблиця 1'!$J:$J,"BLU-140")+SUMIFS('Таблиця 1'!$K:$K,'Таблиця 1'!$B:$B,$A650,'Таблиця 1'!$I:$I,"F-16",'Таблиця 1'!$J:$J,"BLU-140")+SUMIFS('Таблиця 1'!$K:$K,'Таблиця 1'!$B:$B,$A650,'Таблиця 1'!$I:$I,"МіГ-29",'Таблиця 1'!$J:$J,"BLU-140")+SUMIFS('Таблиця 1'!$K:$K,'Таблиця 1'!$B:$B,$A650,'Таблиця 1'!$I:$I,"Су-25",'Таблиця 1'!$J:$J,"BLU-140")+SUMIFS('Таблиця 1'!$K:$K,'Таблиця 1'!$B:$B,$A650,'Таблиця 1'!$I:$I,"Су-27",'Таблиця 1'!$J:$J,"BLU-140"))</f>
        <v/>
      </c>
      <c r="L650">
        <f>IF($A650="","",SUMIFS('Таблиця 1'!$K:$K,'Таблиця 1'!$B:$B,$A650,'Таблиця 1'!$I:$I,"Mirage",'Таблиця 1'!$J:$J,"GBU-65")+SUMIFS('Таблиця 1'!$K:$K,'Таблиця 1'!$B:$B,$A650,'Таблиця 1'!$I:$I,"F-16",'Таблиця 1'!$J:$J,"GBU-65")+SUMIFS('Таблиця 1'!$K:$K,'Таблиця 1'!$B:$B,$A650,'Таблиця 1'!$I:$I,"МіГ-29",'Таблиця 1'!$J:$J,"GBU-65")+SUMIFS('Таблиця 1'!$K:$K,'Таблиця 1'!$B:$B,$A650,'Таблиця 1'!$I:$I,"Су-25",'Таблиця 1'!$J:$J,"GBU-65")+SUMIFS('Таблиця 1'!$K:$K,'Таблиця 1'!$B:$B,$A650,'Таблиця 1'!$I:$I,"Су-27",'Таблиця 1'!$J:$J,"GBU-65"))</f>
        <v/>
      </c>
      <c r="M650">
        <f>IF($A650="","",SUMIFS('Таблиця 1'!$K:$K,'Таблиця 1'!$B:$B,$A650,'Таблиця 1'!$I:$I,"Mirage",'Таблиця 1'!$J:$J,"GBU-62")+SUMIFS('Таблиця 1'!$K:$K,'Таблиця 1'!$B:$B,$A650,'Таблиця 1'!$I:$I,"F-16",'Таблиця 1'!$J:$J,"GBU-62")+SUMIFS('Таблиця 1'!$K:$K,'Таблиця 1'!$B:$B,$A650,'Таблиця 1'!$I:$I,"МіГ-29",'Таблиця 1'!$J:$J,"GBU-62")+SUMIFS('Таблиця 1'!$K:$K,'Таблиця 1'!$B:$B,$A650,'Таблиця 1'!$I:$I,"Су-25",'Таблиця 1'!$J:$J,"GBU-62")+SUMIFS('Таблиця 1'!$K:$K,'Таблиця 1'!$B:$B,$A650,'Таблиця 1'!$I:$I,"Су-27",'Таблиця 1'!$J:$J,"GBU-62"))</f>
        <v/>
      </c>
      <c r="N650">
        <f>IF($A650="","",SUMIFS('Таблиця 1'!$K:$K,'Таблиця 1'!$B:$B,$A650,'Таблиця 1'!$I:$I,"Mirage",'Таблиця 1'!$J:$J,"GBU-64")+SUMIFS('Таблиця 1'!$K:$K,'Таблиця 1'!$B:$B,$A650,'Таблиця 1'!$I:$I,"F-16",'Таблиця 1'!$J:$J,"GBU-64")+SUMIFS('Таблиця 1'!$K:$K,'Таблиця 1'!$B:$B,$A650,'Таблиця 1'!$I:$I,"МіГ-29",'Таблиця 1'!$J:$J,"GBU-64")+SUMIFS('Таблиця 1'!$K:$K,'Таблиця 1'!$B:$B,$A650,'Таблиця 1'!$I:$I,"Су-25",'Таблиця 1'!$J:$J,"GBU-64")+SUMIFS('Таблиця 1'!$K:$K,'Таблиця 1'!$B:$B,$A650,'Таблиця 1'!$I:$I,"Су-27",'Таблиця 1'!$J:$J,"GBU-64"))</f>
        <v/>
      </c>
      <c r="O650">
        <f>IF($A650="","",SUMIFS('Таблиця 1'!$K:$K,'Таблиця 1'!$B:$B,$A650,'Таблиця 1'!$I:$I,"Mirage",'Таблиця 1'!$J:$J,"C-13")+SUMIFS('Таблиця 1'!$K:$K,'Таблиця 1'!$B:$B,$A650,'Таблиця 1'!$I:$I,"F-16",'Таблиця 1'!$J:$J,"C-13")+SUMIFS('Таблиця 1'!$K:$K,'Таблиця 1'!$B:$B,$A650,'Таблиця 1'!$I:$I,"МіГ-29",'Таблиця 1'!$J:$J,"C-13")+SUMIFS('Таблиця 1'!$K:$K,'Таблиця 1'!$B:$B,$A650,'Таблиця 1'!$I:$I,"Су-25",'Таблиця 1'!$J:$J,"C-13")+SUMIFS('Таблиця 1'!$K:$K,'Таблиця 1'!$B:$B,$A650,'Таблиця 1'!$I:$I,"Су-27",'Таблиця 1'!$J:$J,"C-13"))</f>
        <v/>
      </c>
      <c r="P650">
        <f>IF($A650="","",SUMIFS('Таблиця 1'!$K:$K,'Таблиця 1'!$B:$B,$A650,'Таблиця 1'!$I:$I,"Mirage",'Таблиця 1'!$J:$J,"MK-32")+SUMIFS('Таблиця 1'!$K:$K,'Таблиця 1'!$B:$B,$A650,'Таблиця 1'!$I:$I,"F-16",'Таблиця 1'!$J:$J,"MK-32")+SUMIFS('Таблиця 1'!$K:$K,'Таблиця 1'!$B:$B,$A650,'Таблиця 1'!$I:$I,"МіГ-29",'Таблиця 1'!$J:$J,"MK-32")+SUMIFS('Таблиця 1'!$K:$K,'Таблиця 1'!$B:$B,$A650,'Таблиця 1'!$I:$I,"Су-25",'Таблиця 1'!$J:$J,"MK-32")+SUMIFS('Таблиця 1'!$K:$K,'Таблиця 1'!$B:$B,$A650,'Таблиця 1'!$I:$I,"Су-27",'Таблиця 1'!$J:$J,"MK-32"))</f>
        <v/>
      </c>
      <c r="Q650">
        <f>IF($A650="","",SUMIFS('Таблиця 1'!$K:$K,'Таблиця 1'!$B:$B,$A650,'Таблиця 1'!$I:$I,"Mirage",'Таблиця 1'!$J:$J,"MK-24")+SUMIFS('Таблиця 1'!$K:$K,'Таблиця 1'!$B:$B,$A650,'Таблиця 1'!$I:$I,"F-16",'Таблиця 1'!$J:$J,"MK-24")+SUMIFS('Таблиця 1'!$K:$K,'Таблиця 1'!$B:$B,$A650,'Таблиця 1'!$I:$I,"МіГ-29",'Таблиця 1'!$J:$J,"MK-24")+SUMIFS('Таблиця 1'!$K:$K,'Таблиця 1'!$B:$B,$A650,'Таблиця 1'!$I:$I,"Су-25",'Таблиця 1'!$J:$J,"MK-24")+SUMIFS('Таблиця 1'!$K:$K,'Таблиця 1'!$B:$B,$A650,'Таблиця 1'!$I:$I,"Су-27",'Таблиця 1'!$J:$J,"MK-24"))</f>
        <v/>
      </c>
      <c r="R650">
        <f>IF($A650="","",COUNTIFS('Таблиця 1'!$B:$B,$A650,'Таблиця 1'!$I:$I,"Mirage",'Таблиця 1'!$L:$L,"Уражено")+COUNTIFS('Таблиця 1'!$B:$B,$A650,'Таблиця 1'!$I:$I,"F-16",'Таблиця 1'!$L:$L,"Уражено")+COUNTIFS('Таблиця 1'!$B:$B,$A650,'Таблиця 1'!$I:$I,"МіГ-29",'Таблиця 1'!$L:$L,"Уражено")+COUNTIFS('Таблиця 1'!$B:$B,$A650,'Таблиця 1'!$I:$I,"Су-25",'Таблиця 1'!$L:$L,"Уражено")+COUNTIFS('Таблиця 1'!$B:$B,$A650,'Таблиця 1'!$I:$I,"Су-27",'Таблиця 1'!$L:$L,"Уражено"))</f>
        <v/>
      </c>
      <c r="S650">
        <f>IF($A650="","",COUNTIFS('Таблиця 1'!$B:$B,$A650,'Таблиця 1'!$I:$I,"Mirage",'Таблиця 1'!$L:$L,"НЕ уражено")+COUNTIFS('Таблиця 1'!$B:$B,$A650,'Таблиця 1'!$I:$I,"F-16",'Таблиця 1'!$L:$L,"НЕ уражено")+COUNTIFS('Таблиця 1'!$B:$B,$A650,'Таблиця 1'!$I:$I,"МіГ-29",'Таблиця 1'!$L:$L,"НЕ уражено")+COUNTIFS('Таблиця 1'!$B:$B,$A650,'Таблиця 1'!$I:$I,"Су-25",'Таблиця 1'!$L:$L,"НЕ уражено")+COUNTIFS('Таблиця 1'!$B:$B,$A650,'Таблиця 1'!$I:$I,"Су-27",'Таблиця 1'!$L:$L,"НЕ уражено"))</f>
        <v/>
      </c>
      <c r="T650">
        <f>IF($A650="","",COUNTIFS('Таблиця 1'!$B:$B,$A650,'Таблиця 1'!$I:$I,"Mirage",'Таблиця 1'!$L:$L,"Дорозвідується")+COUNTIFS('Таблиця 1'!$B:$B,$A650,'Таблиця 1'!$I:$I,"F-16",'Таблиця 1'!$L:$L,"Дорозвідується")+COUNTIFS('Таблиця 1'!$B:$B,$A650,'Таблиця 1'!$I:$I,"МіГ-29",'Таблиця 1'!$L:$L,"Дорозвідується")+COUNTIFS('Таблиця 1'!$B:$B,$A650,'Таблиця 1'!$I:$I,"Су-25",'Таблиця 1'!$L:$L,"Дорозвідується")+COUNTIFS('Таблиця 1'!$B:$B,$A650,'Таблиця 1'!$I:$I,"Су-27",'Таблиця 1'!$L:$L,"Дорозвідується"))</f>
        <v/>
      </c>
    </row>
    <row r="651">
      <c r="A651" s="273">
        <f>IF(A650="","",IF(A650+1&gt;MAX('Таблиця 1'!$B:$B),"",A650+1))</f>
        <v/>
      </c>
      <c r="B651">
        <f>IF($A651="","",COUNTIFS('Таблиця 1'!$B:$B,$A651,'Таблиця 1'!$I:$I,"Mirage")+COUNTIFS('Таблиця 1'!$B:$B,$A651,'Таблиця 1'!$I:$I,"F-16")+COUNTIFS('Таблиця 1'!$B:$B,$A651,'Таблиця 1'!$I:$I,"МіГ-29")+COUNTIFS('Таблиця 1'!$B:$B,$A651,'Таблиця 1'!$I:$I,"Су-25")+COUNTIFS('Таблиця 1'!$B:$B,$A651,'Таблиця 1'!$I:$I,"Су-27"))</f>
        <v/>
      </c>
      <c r="C651">
        <f>IF($A651="","",COUNTIFS('Таблиця 1'!$B:$B,$A651,'Таблиця 1'!$I:$I,"Mirage"))</f>
        <v/>
      </c>
      <c r="D651">
        <f>IF($A651="","",COUNTIFS('Таблиця 1'!$B:$B,$A651,'Таблиця 1'!$I:$I,"F-16"))</f>
        <v/>
      </c>
      <c r="E651">
        <f>IF($A651="","",COUNTIFS('Таблиця 1'!$B:$B,$A651,'Таблиця 1'!$I:$I,"МіГ-29"))</f>
        <v/>
      </c>
      <c r="F651">
        <f>IF($A651="","",COUNTIFS('Таблиця 1'!$B:$B,$A651,'Таблиця 1'!$I:$I,"Су-25"))</f>
        <v/>
      </c>
      <c r="G651">
        <f>IF($A651="","",COUNTIFS('Таблиця 1'!$B:$B,$A651,'Таблиця 1'!$I:$I,"Су-27"))</f>
        <v/>
      </c>
      <c r="H651">
        <f>IF($A651="","",SUMIFS('Таблиця 1'!$K:$K,'Таблиця 1'!$B:$B,$A651,'Таблиця 1'!$I:$I,"Mirage",'Таблиця 1'!$J:$J,"AGM-88")+SUMIFS('Таблиця 1'!$K:$K,'Таблиця 1'!$B:$B,$A651,'Таблиця 1'!$I:$I,"F-16",'Таблиця 1'!$J:$J,"AGM-88")+SUMIFS('Таблиця 1'!$K:$K,'Таблиця 1'!$B:$B,$A651,'Таблиця 1'!$I:$I,"МіГ-29",'Таблиця 1'!$J:$J,"AGM-88")+SUMIFS('Таблиця 1'!$K:$K,'Таблиця 1'!$B:$B,$A651,'Таблиця 1'!$I:$I,"Су-25",'Таблиця 1'!$J:$J,"AGM-88")+SUMIFS('Таблиця 1'!$K:$K,'Таблиця 1'!$B:$B,$A651,'Таблиця 1'!$I:$I,"Су-27",'Таблиця 1'!$J:$J,"AGM-88"))</f>
        <v/>
      </c>
      <c r="I651">
        <f>IF($A651="","",SUMIFS('Таблиця 1'!$K:$K,'Таблиця 1'!$B:$B,$A651,'Таблиця 1'!$I:$I,"Mirage",'Таблиця 1'!$J:$J,"AASM-250")+SUMIFS('Таблиця 1'!$K:$K,'Таблиця 1'!$B:$B,$A651,'Таблиця 1'!$I:$I,"F-16",'Таблиця 1'!$J:$J,"AASM-250")+SUMIFS('Таблиця 1'!$K:$K,'Таблиця 1'!$B:$B,$A651,'Таблиця 1'!$I:$I,"МіГ-29",'Таблиця 1'!$J:$J,"AASM-250")+SUMIFS('Таблиця 1'!$K:$K,'Таблиця 1'!$B:$B,$A651,'Таблиця 1'!$I:$I,"Су-25",'Таблиця 1'!$J:$J,"AASM-250")+SUMIFS('Таблиця 1'!$K:$K,'Таблиця 1'!$B:$B,$A651,'Таблиця 1'!$I:$I,"Су-27",'Таблиця 1'!$J:$J,"AASM-250"))</f>
        <v/>
      </c>
      <c r="J651">
        <f>IF($A651="","",SUMIFS('Таблиця 1'!$K:$K,'Таблиця 1'!$B:$B,$A651,'Таблиця 1'!$I:$I,"Mirage",'Таблиця 1'!$J:$J,"GBU-39")+SUMIFS('Таблиця 1'!$K:$K,'Таблиця 1'!$B:$B,$A651,'Таблиця 1'!$I:$I,"F-16",'Таблиця 1'!$J:$J,"GBU-39")+SUMIFS('Таблиця 1'!$K:$K,'Таблиця 1'!$B:$B,$A651,'Таблиця 1'!$I:$I,"МіГ-29",'Таблиця 1'!$J:$J,"GBU-39")+SUMIFS('Таблиця 1'!$K:$K,'Таблиця 1'!$B:$B,$A651,'Таблиця 1'!$I:$I,"Су-25",'Таблиця 1'!$J:$J,"GBU-39")+SUMIFS('Таблиця 1'!$K:$K,'Таблиця 1'!$B:$B,$A651,'Таблиця 1'!$I:$I,"Су-27",'Таблиця 1'!$J:$J,"GBU-39"))</f>
        <v/>
      </c>
      <c r="K651">
        <f>IF($A651="","",SUMIFS('Таблиця 1'!$K:$K,'Таблиця 1'!$B:$B,$A651,'Таблиця 1'!$I:$I,"Mirage",'Таблиця 1'!$J:$J,"BLU-140")+SUMIFS('Таблиця 1'!$K:$K,'Таблиця 1'!$B:$B,$A651,'Таблиця 1'!$I:$I,"F-16",'Таблиця 1'!$J:$J,"BLU-140")+SUMIFS('Таблиця 1'!$K:$K,'Таблиця 1'!$B:$B,$A651,'Таблиця 1'!$I:$I,"МіГ-29",'Таблиця 1'!$J:$J,"BLU-140")+SUMIFS('Таблиця 1'!$K:$K,'Таблиця 1'!$B:$B,$A651,'Таблиця 1'!$I:$I,"Су-25",'Таблиця 1'!$J:$J,"BLU-140")+SUMIFS('Таблиця 1'!$K:$K,'Таблиця 1'!$B:$B,$A651,'Таблиця 1'!$I:$I,"Су-27",'Таблиця 1'!$J:$J,"BLU-140"))</f>
        <v/>
      </c>
      <c r="L651">
        <f>IF($A651="","",SUMIFS('Таблиця 1'!$K:$K,'Таблиця 1'!$B:$B,$A651,'Таблиця 1'!$I:$I,"Mirage",'Таблиця 1'!$J:$J,"GBU-65")+SUMIFS('Таблиця 1'!$K:$K,'Таблиця 1'!$B:$B,$A651,'Таблиця 1'!$I:$I,"F-16",'Таблиця 1'!$J:$J,"GBU-65")+SUMIFS('Таблиця 1'!$K:$K,'Таблиця 1'!$B:$B,$A651,'Таблиця 1'!$I:$I,"МіГ-29",'Таблиця 1'!$J:$J,"GBU-65")+SUMIFS('Таблиця 1'!$K:$K,'Таблиця 1'!$B:$B,$A651,'Таблиця 1'!$I:$I,"Су-25",'Таблиця 1'!$J:$J,"GBU-65")+SUMIFS('Таблиця 1'!$K:$K,'Таблиця 1'!$B:$B,$A651,'Таблиця 1'!$I:$I,"Су-27",'Таблиця 1'!$J:$J,"GBU-65"))</f>
        <v/>
      </c>
      <c r="M651">
        <f>IF($A651="","",SUMIFS('Таблиця 1'!$K:$K,'Таблиця 1'!$B:$B,$A651,'Таблиця 1'!$I:$I,"Mirage",'Таблиця 1'!$J:$J,"GBU-62")+SUMIFS('Таблиця 1'!$K:$K,'Таблиця 1'!$B:$B,$A651,'Таблиця 1'!$I:$I,"F-16",'Таблиця 1'!$J:$J,"GBU-62")+SUMIFS('Таблиця 1'!$K:$K,'Таблиця 1'!$B:$B,$A651,'Таблиця 1'!$I:$I,"МіГ-29",'Таблиця 1'!$J:$J,"GBU-62")+SUMIFS('Таблиця 1'!$K:$K,'Таблиця 1'!$B:$B,$A651,'Таблиця 1'!$I:$I,"Су-25",'Таблиця 1'!$J:$J,"GBU-62")+SUMIFS('Таблиця 1'!$K:$K,'Таблиця 1'!$B:$B,$A651,'Таблиця 1'!$I:$I,"Су-27",'Таблиця 1'!$J:$J,"GBU-62"))</f>
        <v/>
      </c>
      <c r="N651">
        <f>IF($A651="","",SUMIFS('Таблиця 1'!$K:$K,'Таблиця 1'!$B:$B,$A651,'Таблиця 1'!$I:$I,"Mirage",'Таблиця 1'!$J:$J,"GBU-64")+SUMIFS('Таблиця 1'!$K:$K,'Таблиця 1'!$B:$B,$A651,'Таблиця 1'!$I:$I,"F-16",'Таблиця 1'!$J:$J,"GBU-64")+SUMIFS('Таблиця 1'!$K:$K,'Таблиця 1'!$B:$B,$A651,'Таблиця 1'!$I:$I,"МіГ-29",'Таблиця 1'!$J:$J,"GBU-64")+SUMIFS('Таблиця 1'!$K:$K,'Таблиця 1'!$B:$B,$A651,'Таблиця 1'!$I:$I,"Су-25",'Таблиця 1'!$J:$J,"GBU-64")+SUMIFS('Таблиця 1'!$K:$K,'Таблиця 1'!$B:$B,$A651,'Таблиця 1'!$I:$I,"Су-27",'Таблиця 1'!$J:$J,"GBU-64"))</f>
        <v/>
      </c>
      <c r="O651">
        <f>IF($A651="","",SUMIFS('Таблиця 1'!$K:$K,'Таблиця 1'!$B:$B,$A651,'Таблиця 1'!$I:$I,"Mirage",'Таблиця 1'!$J:$J,"C-13")+SUMIFS('Таблиця 1'!$K:$K,'Таблиця 1'!$B:$B,$A651,'Таблиця 1'!$I:$I,"F-16",'Таблиця 1'!$J:$J,"C-13")+SUMIFS('Таблиця 1'!$K:$K,'Таблиця 1'!$B:$B,$A651,'Таблиця 1'!$I:$I,"МіГ-29",'Таблиця 1'!$J:$J,"C-13")+SUMIFS('Таблиця 1'!$K:$K,'Таблиця 1'!$B:$B,$A651,'Таблиця 1'!$I:$I,"Су-25",'Таблиця 1'!$J:$J,"C-13")+SUMIFS('Таблиця 1'!$K:$K,'Таблиця 1'!$B:$B,$A651,'Таблиця 1'!$I:$I,"Су-27",'Таблиця 1'!$J:$J,"C-13"))</f>
        <v/>
      </c>
      <c r="P651">
        <f>IF($A651="","",SUMIFS('Таблиця 1'!$K:$K,'Таблиця 1'!$B:$B,$A651,'Таблиця 1'!$I:$I,"Mirage",'Таблиця 1'!$J:$J,"MK-32")+SUMIFS('Таблиця 1'!$K:$K,'Таблиця 1'!$B:$B,$A651,'Таблиця 1'!$I:$I,"F-16",'Таблиця 1'!$J:$J,"MK-32")+SUMIFS('Таблиця 1'!$K:$K,'Таблиця 1'!$B:$B,$A651,'Таблиця 1'!$I:$I,"МіГ-29",'Таблиця 1'!$J:$J,"MK-32")+SUMIFS('Таблиця 1'!$K:$K,'Таблиця 1'!$B:$B,$A651,'Таблиця 1'!$I:$I,"Су-25",'Таблиця 1'!$J:$J,"MK-32")+SUMIFS('Таблиця 1'!$K:$K,'Таблиця 1'!$B:$B,$A651,'Таблиця 1'!$I:$I,"Су-27",'Таблиця 1'!$J:$J,"MK-32"))</f>
        <v/>
      </c>
      <c r="Q651">
        <f>IF($A651="","",SUMIFS('Таблиця 1'!$K:$K,'Таблиця 1'!$B:$B,$A651,'Таблиця 1'!$I:$I,"Mirage",'Таблиця 1'!$J:$J,"MK-24")+SUMIFS('Таблиця 1'!$K:$K,'Таблиця 1'!$B:$B,$A651,'Таблиця 1'!$I:$I,"F-16",'Таблиця 1'!$J:$J,"MK-24")+SUMIFS('Таблиця 1'!$K:$K,'Таблиця 1'!$B:$B,$A651,'Таблиця 1'!$I:$I,"МіГ-29",'Таблиця 1'!$J:$J,"MK-24")+SUMIFS('Таблиця 1'!$K:$K,'Таблиця 1'!$B:$B,$A651,'Таблиця 1'!$I:$I,"Су-25",'Таблиця 1'!$J:$J,"MK-24")+SUMIFS('Таблиця 1'!$K:$K,'Таблиця 1'!$B:$B,$A651,'Таблиця 1'!$I:$I,"Су-27",'Таблиця 1'!$J:$J,"MK-24"))</f>
        <v/>
      </c>
      <c r="R651">
        <f>IF($A651="","",COUNTIFS('Таблиця 1'!$B:$B,$A651,'Таблиця 1'!$I:$I,"Mirage",'Таблиця 1'!$L:$L,"Уражено")+COUNTIFS('Таблиця 1'!$B:$B,$A651,'Таблиця 1'!$I:$I,"F-16",'Таблиця 1'!$L:$L,"Уражено")+COUNTIFS('Таблиця 1'!$B:$B,$A651,'Таблиця 1'!$I:$I,"МіГ-29",'Таблиця 1'!$L:$L,"Уражено")+COUNTIFS('Таблиця 1'!$B:$B,$A651,'Таблиця 1'!$I:$I,"Су-25",'Таблиця 1'!$L:$L,"Уражено")+COUNTIFS('Таблиця 1'!$B:$B,$A651,'Таблиця 1'!$I:$I,"Су-27",'Таблиця 1'!$L:$L,"Уражено"))</f>
        <v/>
      </c>
      <c r="S651">
        <f>IF($A651="","",COUNTIFS('Таблиця 1'!$B:$B,$A651,'Таблиця 1'!$I:$I,"Mirage",'Таблиця 1'!$L:$L,"НЕ уражено")+COUNTIFS('Таблиця 1'!$B:$B,$A651,'Таблиця 1'!$I:$I,"F-16",'Таблиця 1'!$L:$L,"НЕ уражено")+COUNTIFS('Таблиця 1'!$B:$B,$A651,'Таблиця 1'!$I:$I,"МіГ-29",'Таблиця 1'!$L:$L,"НЕ уражено")+COUNTIFS('Таблиця 1'!$B:$B,$A651,'Таблиця 1'!$I:$I,"Су-25",'Таблиця 1'!$L:$L,"НЕ уражено")+COUNTIFS('Таблиця 1'!$B:$B,$A651,'Таблиця 1'!$I:$I,"Су-27",'Таблиця 1'!$L:$L,"НЕ уражено"))</f>
        <v/>
      </c>
      <c r="T651">
        <f>IF($A651="","",COUNTIFS('Таблиця 1'!$B:$B,$A651,'Таблиця 1'!$I:$I,"Mirage",'Таблиця 1'!$L:$L,"Дорозвідується")+COUNTIFS('Таблиця 1'!$B:$B,$A651,'Таблиця 1'!$I:$I,"F-16",'Таблиця 1'!$L:$L,"Дорозвідується")+COUNTIFS('Таблиця 1'!$B:$B,$A651,'Таблиця 1'!$I:$I,"МіГ-29",'Таблиця 1'!$L:$L,"Дорозвідується")+COUNTIFS('Таблиця 1'!$B:$B,$A651,'Таблиця 1'!$I:$I,"Су-25",'Таблиця 1'!$L:$L,"Дорозвідується")+COUNTIFS('Таблиця 1'!$B:$B,$A651,'Таблиця 1'!$I:$I,"Су-27",'Таблиця 1'!$L:$L,"Дорозвідується"))</f>
        <v/>
      </c>
    </row>
    <row r="652">
      <c r="A652" s="273">
        <f>IF(A651="","",IF(A651+1&gt;MAX('Таблиця 1'!$B:$B),"",A651+1))</f>
        <v/>
      </c>
      <c r="B652">
        <f>IF($A652="","",COUNTIFS('Таблиця 1'!$B:$B,$A652,'Таблиця 1'!$I:$I,"Mirage")+COUNTIFS('Таблиця 1'!$B:$B,$A652,'Таблиця 1'!$I:$I,"F-16")+COUNTIFS('Таблиця 1'!$B:$B,$A652,'Таблиця 1'!$I:$I,"МіГ-29")+COUNTIFS('Таблиця 1'!$B:$B,$A652,'Таблиця 1'!$I:$I,"Су-25")+COUNTIFS('Таблиця 1'!$B:$B,$A652,'Таблиця 1'!$I:$I,"Су-27"))</f>
        <v/>
      </c>
      <c r="C652">
        <f>IF($A652="","",COUNTIFS('Таблиця 1'!$B:$B,$A652,'Таблиця 1'!$I:$I,"Mirage"))</f>
        <v/>
      </c>
      <c r="D652">
        <f>IF($A652="","",COUNTIFS('Таблиця 1'!$B:$B,$A652,'Таблиця 1'!$I:$I,"F-16"))</f>
        <v/>
      </c>
      <c r="E652">
        <f>IF($A652="","",COUNTIFS('Таблиця 1'!$B:$B,$A652,'Таблиця 1'!$I:$I,"МіГ-29"))</f>
        <v/>
      </c>
      <c r="F652">
        <f>IF($A652="","",COUNTIFS('Таблиця 1'!$B:$B,$A652,'Таблиця 1'!$I:$I,"Су-25"))</f>
        <v/>
      </c>
      <c r="G652">
        <f>IF($A652="","",COUNTIFS('Таблиця 1'!$B:$B,$A652,'Таблиця 1'!$I:$I,"Су-27"))</f>
        <v/>
      </c>
      <c r="H652">
        <f>IF($A652="","",SUMIFS('Таблиця 1'!$K:$K,'Таблиця 1'!$B:$B,$A652,'Таблиця 1'!$I:$I,"Mirage",'Таблиця 1'!$J:$J,"AGM-88")+SUMIFS('Таблиця 1'!$K:$K,'Таблиця 1'!$B:$B,$A652,'Таблиця 1'!$I:$I,"F-16",'Таблиця 1'!$J:$J,"AGM-88")+SUMIFS('Таблиця 1'!$K:$K,'Таблиця 1'!$B:$B,$A652,'Таблиця 1'!$I:$I,"МіГ-29",'Таблиця 1'!$J:$J,"AGM-88")+SUMIFS('Таблиця 1'!$K:$K,'Таблиця 1'!$B:$B,$A652,'Таблиця 1'!$I:$I,"Су-25",'Таблиця 1'!$J:$J,"AGM-88")+SUMIFS('Таблиця 1'!$K:$K,'Таблиця 1'!$B:$B,$A652,'Таблиця 1'!$I:$I,"Су-27",'Таблиця 1'!$J:$J,"AGM-88"))</f>
        <v/>
      </c>
      <c r="I652">
        <f>IF($A652="","",SUMIFS('Таблиця 1'!$K:$K,'Таблиця 1'!$B:$B,$A652,'Таблиця 1'!$I:$I,"Mirage",'Таблиця 1'!$J:$J,"AASM-250")+SUMIFS('Таблиця 1'!$K:$K,'Таблиця 1'!$B:$B,$A652,'Таблиця 1'!$I:$I,"F-16",'Таблиця 1'!$J:$J,"AASM-250")+SUMIFS('Таблиця 1'!$K:$K,'Таблиця 1'!$B:$B,$A652,'Таблиця 1'!$I:$I,"МіГ-29",'Таблиця 1'!$J:$J,"AASM-250")+SUMIFS('Таблиця 1'!$K:$K,'Таблиця 1'!$B:$B,$A652,'Таблиця 1'!$I:$I,"Су-25",'Таблиця 1'!$J:$J,"AASM-250")+SUMIFS('Таблиця 1'!$K:$K,'Таблиця 1'!$B:$B,$A652,'Таблиця 1'!$I:$I,"Су-27",'Таблиця 1'!$J:$J,"AASM-250"))</f>
        <v/>
      </c>
      <c r="J652">
        <f>IF($A652="","",SUMIFS('Таблиця 1'!$K:$K,'Таблиця 1'!$B:$B,$A652,'Таблиця 1'!$I:$I,"Mirage",'Таблиця 1'!$J:$J,"GBU-39")+SUMIFS('Таблиця 1'!$K:$K,'Таблиця 1'!$B:$B,$A652,'Таблиця 1'!$I:$I,"F-16",'Таблиця 1'!$J:$J,"GBU-39")+SUMIFS('Таблиця 1'!$K:$K,'Таблиця 1'!$B:$B,$A652,'Таблиця 1'!$I:$I,"МіГ-29",'Таблиця 1'!$J:$J,"GBU-39")+SUMIFS('Таблиця 1'!$K:$K,'Таблиця 1'!$B:$B,$A652,'Таблиця 1'!$I:$I,"Су-25",'Таблиця 1'!$J:$J,"GBU-39")+SUMIFS('Таблиця 1'!$K:$K,'Таблиця 1'!$B:$B,$A652,'Таблиця 1'!$I:$I,"Су-27",'Таблиця 1'!$J:$J,"GBU-39"))</f>
        <v/>
      </c>
      <c r="K652">
        <f>IF($A652="","",SUMIFS('Таблиця 1'!$K:$K,'Таблиця 1'!$B:$B,$A652,'Таблиця 1'!$I:$I,"Mirage",'Таблиця 1'!$J:$J,"BLU-140")+SUMIFS('Таблиця 1'!$K:$K,'Таблиця 1'!$B:$B,$A652,'Таблиця 1'!$I:$I,"F-16",'Таблиця 1'!$J:$J,"BLU-140")+SUMIFS('Таблиця 1'!$K:$K,'Таблиця 1'!$B:$B,$A652,'Таблиця 1'!$I:$I,"МіГ-29",'Таблиця 1'!$J:$J,"BLU-140")+SUMIFS('Таблиця 1'!$K:$K,'Таблиця 1'!$B:$B,$A652,'Таблиця 1'!$I:$I,"Су-25",'Таблиця 1'!$J:$J,"BLU-140")+SUMIFS('Таблиця 1'!$K:$K,'Таблиця 1'!$B:$B,$A652,'Таблиця 1'!$I:$I,"Су-27",'Таблиця 1'!$J:$J,"BLU-140"))</f>
        <v/>
      </c>
      <c r="L652">
        <f>IF($A652="","",SUMIFS('Таблиця 1'!$K:$K,'Таблиця 1'!$B:$B,$A652,'Таблиця 1'!$I:$I,"Mirage",'Таблиця 1'!$J:$J,"GBU-65")+SUMIFS('Таблиця 1'!$K:$K,'Таблиця 1'!$B:$B,$A652,'Таблиця 1'!$I:$I,"F-16",'Таблиця 1'!$J:$J,"GBU-65")+SUMIFS('Таблиця 1'!$K:$K,'Таблиця 1'!$B:$B,$A652,'Таблиця 1'!$I:$I,"МіГ-29",'Таблиця 1'!$J:$J,"GBU-65")+SUMIFS('Таблиця 1'!$K:$K,'Таблиця 1'!$B:$B,$A652,'Таблиця 1'!$I:$I,"Су-25",'Таблиця 1'!$J:$J,"GBU-65")+SUMIFS('Таблиця 1'!$K:$K,'Таблиця 1'!$B:$B,$A652,'Таблиця 1'!$I:$I,"Су-27",'Таблиця 1'!$J:$J,"GBU-65"))</f>
        <v/>
      </c>
      <c r="M652">
        <f>IF($A652="","",SUMIFS('Таблиця 1'!$K:$K,'Таблиця 1'!$B:$B,$A652,'Таблиця 1'!$I:$I,"Mirage",'Таблиця 1'!$J:$J,"GBU-62")+SUMIFS('Таблиця 1'!$K:$K,'Таблиця 1'!$B:$B,$A652,'Таблиця 1'!$I:$I,"F-16",'Таблиця 1'!$J:$J,"GBU-62")+SUMIFS('Таблиця 1'!$K:$K,'Таблиця 1'!$B:$B,$A652,'Таблиця 1'!$I:$I,"МіГ-29",'Таблиця 1'!$J:$J,"GBU-62")+SUMIFS('Таблиця 1'!$K:$K,'Таблиця 1'!$B:$B,$A652,'Таблиця 1'!$I:$I,"Су-25",'Таблиця 1'!$J:$J,"GBU-62")+SUMIFS('Таблиця 1'!$K:$K,'Таблиця 1'!$B:$B,$A652,'Таблиця 1'!$I:$I,"Су-27",'Таблиця 1'!$J:$J,"GBU-62"))</f>
        <v/>
      </c>
      <c r="N652">
        <f>IF($A652="","",SUMIFS('Таблиця 1'!$K:$K,'Таблиця 1'!$B:$B,$A652,'Таблиця 1'!$I:$I,"Mirage",'Таблиця 1'!$J:$J,"GBU-64")+SUMIFS('Таблиця 1'!$K:$K,'Таблиця 1'!$B:$B,$A652,'Таблиця 1'!$I:$I,"F-16",'Таблиця 1'!$J:$J,"GBU-64")+SUMIFS('Таблиця 1'!$K:$K,'Таблиця 1'!$B:$B,$A652,'Таблиця 1'!$I:$I,"МіГ-29",'Таблиця 1'!$J:$J,"GBU-64")+SUMIFS('Таблиця 1'!$K:$K,'Таблиця 1'!$B:$B,$A652,'Таблиця 1'!$I:$I,"Су-25",'Таблиця 1'!$J:$J,"GBU-64")+SUMIFS('Таблиця 1'!$K:$K,'Таблиця 1'!$B:$B,$A652,'Таблиця 1'!$I:$I,"Су-27",'Таблиця 1'!$J:$J,"GBU-64"))</f>
        <v/>
      </c>
      <c r="O652">
        <f>IF($A652="","",SUMIFS('Таблиця 1'!$K:$K,'Таблиця 1'!$B:$B,$A652,'Таблиця 1'!$I:$I,"Mirage",'Таблиця 1'!$J:$J,"C-13")+SUMIFS('Таблиця 1'!$K:$K,'Таблиця 1'!$B:$B,$A652,'Таблиця 1'!$I:$I,"F-16",'Таблиця 1'!$J:$J,"C-13")+SUMIFS('Таблиця 1'!$K:$K,'Таблиця 1'!$B:$B,$A652,'Таблиця 1'!$I:$I,"МіГ-29",'Таблиця 1'!$J:$J,"C-13")+SUMIFS('Таблиця 1'!$K:$K,'Таблиця 1'!$B:$B,$A652,'Таблиця 1'!$I:$I,"Су-25",'Таблиця 1'!$J:$J,"C-13")+SUMIFS('Таблиця 1'!$K:$K,'Таблиця 1'!$B:$B,$A652,'Таблиця 1'!$I:$I,"Су-27",'Таблиця 1'!$J:$J,"C-13"))</f>
        <v/>
      </c>
      <c r="P652">
        <f>IF($A652="","",SUMIFS('Таблиця 1'!$K:$K,'Таблиця 1'!$B:$B,$A652,'Таблиця 1'!$I:$I,"Mirage",'Таблиця 1'!$J:$J,"MK-32")+SUMIFS('Таблиця 1'!$K:$K,'Таблиця 1'!$B:$B,$A652,'Таблиця 1'!$I:$I,"F-16",'Таблиця 1'!$J:$J,"MK-32")+SUMIFS('Таблиця 1'!$K:$K,'Таблиця 1'!$B:$B,$A652,'Таблиця 1'!$I:$I,"МіГ-29",'Таблиця 1'!$J:$J,"MK-32")+SUMIFS('Таблиця 1'!$K:$K,'Таблиця 1'!$B:$B,$A652,'Таблиця 1'!$I:$I,"Су-25",'Таблиця 1'!$J:$J,"MK-32")+SUMIFS('Таблиця 1'!$K:$K,'Таблиця 1'!$B:$B,$A652,'Таблиця 1'!$I:$I,"Су-27",'Таблиця 1'!$J:$J,"MK-32"))</f>
        <v/>
      </c>
      <c r="Q652">
        <f>IF($A652="","",SUMIFS('Таблиця 1'!$K:$K,'Таблиця 1'!$B:$B,$A652,'Таблиця 1'!$I:$I,"Mirage",'Таблиця 1'!$J:$J,"MK-24")+SUMIFS('Таблиця 1'!$K:$K,'Таблиця 1'!$B:$B,$A652,'Таблиця 1'!$I:$I,"F-16",'Таблиця 1'!$J:$J,"MK-24")+SUMIFS('Таблиця 1'!$K:$K,'Таблиця 1'!$B:$B,$A652,'Таблиця 1'!$I:$I,"МіГ-29",'Таблиця 1'!$J:$J,"MK-24")+SUMIFS('Таблиця 1'!$K:$K,'Таблиця 1'!$B:$B,$A652,'Таблиця 1'!$I:$I,"Су-25",'Таблиця 1'!$J:$J,"MK-24")+SUMIFS('Таблиця 1'!$K:$K,'Таблиця 1'!$B:$B,$A652,'Таблиця 1'!$I:$I,"Су-27",'Таблиця 1'!$J:$J,"MK-24"))</f>
        <v/>
      </c>
      <c r="R652">
        <f>IF($A652="","",COUNTIFS('Таблиця 1'!$B:$B,$A652,'Таблиця 1'!$I:$I,"Mirage",'Таблиця 1'!$L:$L,"Уражено")+COUNTIFS('Таблиця 1'!$B:$B,$A652,'Таблиця 1'!$I:$I,"F-16",'Таблиця 1'!$L:$L,"Уражено")+COUNTIFS('Таблиця 1'!$B:$B,$A652,'Таблиця 1'!$I:$I,"МіГ-29",'Таблиця 1'!$L:$L,"Уражено")+COUNTIFS('Таблиця 1'!$B:$B,$A652,'Таблиця 1'!$I:$I,"Су-25",'Таблиця 1'!$L:$L,"Уражено")+COUNTIFS('Таблиця 1'!$B:$B,$A652,'Таблиця 1'!$I:$I,"Су-27",'Таблиця 1'!$L:$L,"Уражено"))</f>
        <v/>
      </c>
      <c r="S652">
        <f>IF($A652="","",COUNTIFS('Таблиця 1'!$B:$B,$A652,'Таблиця 1'!$I:$I,"Mirage",'Таблиця 1'!$L:$L,"НЕ уражено")+COUNTIFS('Таблиця 1'!$B:$B,$A652,'Таблиця 1'!$I:$I,"F-16",'Таблиця 1'!$L:$L,"НЕ уражено")+COUNTIFS('Таблиця 1'!$B:$B,$A652,'Таблиця 1'!$I:$I,"МіГ-29",'Таблиця 1'!$L:$L,"НЕ уражено")+COUNTIFS('Таблиця 1'!$B:$B,$A652,'Таблиця 1'!$I:$I,"Су-25",'Таблиця 1'!$L:$L,"НЕ уражено")+COUNTIFS('Таблиця 1'!$B:$B,$A652,'Таблиця 1'!$I:$I,"Су-27",'Таблиця 1'!$L:$L,"НЕ уражено"))</f>
        <v/>
      </c>
      <c r="T652">
        <f>IF($A652="","",COUNTIFS('Таблиця 1'!$B:$B,$A652,'Таблиця 1'!$I:$I,"Mirage",'Таблиця 1'!$L:$L,"Дорозвідується")+COUNTIFS('Таблиця 1'!$B:$B,$A652,'Таблиця 1'!$I:$I,"F-16",'Таблиця 1'!$L:$L,"Дорозвідується")+COUNTIFS('Таблиця 1'!$B:$B,$A652,'Таблиця 1'!$I:$I,"МіГ-29",'Таблиця 1'!$L:$L,"Дорозвідується")+COUNTIFS('Таблиця 1'!$B:$B,$A652,'Таблиця 1'!$I:$I,"Су-25",'Таблиця 1'!$L:$L,"Дорозвідується")+COUNTIFS('Таблиця 1'!$B:$B,$A652,'Таблиця 1'!$I:$I,"Су-27",'Таблиця 1'!$L:$L,"Дорозвідується"))</f>
        <v/>
      </c>
    </row>
    <row r="653">
      <c r="A653" s="273">
        <f>IF(A652="","",IF(A652+1&gt;MAX('Таблиця 1'!$B:$B),"",A652+1))</f>
        <v/>
      </c>
      <c r="B653">
        <f>IF($A653="","",COUNTIFS('Таблиця 1'!$B:$B,$A653,'Таблиця 1'!$I:$I,"Mirage")+COUNTIFS('Таблиця 1'!$B:$B,$A653,'Таблиця 1'!$I:$I,"F-16")+COUNTIFS('Таблиця 1'!$B:$B,$A653,'Таблиця 1'!$I:$I,"МіГ-29")+COUNTIFS('Таблиця 1'!$B:$B,$A653,'Таблиця 1'!$I:$I,"Су-25")+COUNTIFS('Таблиця 1'!$B:$B,$A653,'Таблиця 1'!$I:$I,"Су-27"))</f>
        <v/>
      </c>
      <c r="C653">
        <f>IF($A653="","",COUNTIFS('Таблиця 1'!$B:$B,$A653,'Таблиця 1'!$I:$I,"Mirage"))</f>
        <v/>
      </c>
      <c r="D653">
        <f>IF($A653="","",COUNTIFS('Таблиця 1'!$B:$B,$A653,'Таблиця 1'!$I:$I,"F-16"))</f>
        <v/>
      </c>
      <c r="E653">
        <f>IF($A653="","",COUNTIFS('Таблиця 1'!$B:$B,$A653,'Таблиця 1'!$I:$I,"МіГ-29"))</f>
        <v/>
      </c>
      <c r="F653">
        <f>IF($A653="","",COUNTIFS('Таблиця 1'!$B:$B,$A653,'Таблиця 1'!$I:$I,"Су-25"))</f>
        <v/>
      </c>
      <c r="G653">
        <f>IF($A653="","",COUNTIFS('Таблиця 1'!$B:$B,$A653,'Таблиця 1'!$I:$I,"Су-27"))</f>
        <v/>
      </c>
      <c r="H653">
        <f>IF($A653="","",SUMIFS('Таблиця 1'!$K:$K,'Таблиця 1'!$B:$B,$A653,'Таблиця 1'!$I:$I,"Mirage",'Таблиця 1'!$J:$J,"AGM-88")+SUMIFS('Таблиця 1'!$K:$K,'Таблиця 1'!$B:$B,$A653,'Таблиця 1'!$I:$I,"F-16",'Таблиця 1'!$J:$J,"AGM-88")+SUMIFS('Таблиця 1'!$K:$K,'Таблиця 1'!$B:$B,$A653,'Таблиця 1'!$I:$I,"МіГ-29",'Таблиця 1'!$J:$J,"AGM-88")+SUMIFS('Таблиця 1'!$K:$K,'Таблиця 1'!$B:$B,$A653,'Таблиця 1'!$I:$I,"Су-25",'Таблиця 1'!$J:$J,"AGM-88")+SUMIFS('Таблиця 1'!$K:$K,'Таблиця 1'!$B:$B,$A653,'Таблиця 1'!$I:$I,"Су-27",'Таблиця 1'!$J:$J,"AGM-88"))</f>
        <v/>
      </c>
      <c r="I653">
        <f>IF($A653="","",SUMIFS('Таблиця 1'!$K:$K,'Таблиця 1'!$B:$B,$A653,'Таблиця 1'!$I:$I,"Mirage",'Таблиця 1'!$J:$J,"AASM-250")+SUMIFS('Таблиця 1'!$K:$K,'Таблиця 1'!$B:$B,$A653,'Таблиця 1'!$I:$I,"F-16",'Таблиця 1'!$J:$J,"AASM-250")+SUMIFS('Таблиця 1'!$K:$K,'Таблиця 1'!$B:$B,$A653,'Таблиця 1'!$I:$I,"МіГ-29",'Таблиця 1'!$J:$J,"AASM-250")+SUMIFS('Таблиця 1'!$K:$K,'Таблиця 1'!$B:$B,$A653,'Таблиця 1'!$I:$I,"Су-25",'Таблиця 1'!$J:$J,"AASM-250")+SUMIFS('Таблиця 1'!$K:$K,'Таблиця 1'!$B:$B,$A653,'Таблиця 1'!$I:$I,"Су-27",'Таблиця 1'!$J:$J,"AASM-250"))</f>
        <v/>
      </c>
      <c r="J653">
        <f>IF($A653="","",SUMIFS('Таблиця 1'!$K:$K,'Таблиця 1'!$B:$B,$A653,'Таблиця 1'!$I:$I,"Mirage",'Таблиця 1'!$J:$J,"GBU-39")+SUMIFS('Таблиця 1'!$K:$K,'Таблиця 1'!$B:$B,$A653,'Таблиця 1'!$I:$I,"F-16",'Таблиця 1'!$J:$J,"GBU-39")+SUMIFS('Таблиця 1'!$K:$K,'Таблиця 1'!$B:$B,$A653,'Таблиця 1'!$I:$I,"МіГ-29",'Таблиця 1'!$J:$J,"GBU-39")+SUMIFS('Таблиця 1'!$K:$K,'Таблиця 1'!$B:$B,$A653,'Таблиця 1'!$I:$I,"Су-25",'Таблиця 1'!$J:$J,"GBU-39")+SUMIFS('Таблиця 1'!$K:$K,'Таблиця 1'!$B:$B,$A653,'Таблиця 1'!$I:$I,"Су-27",'Таблиця 1'!$J:$J,"GBU-39"))</f>
        <v/>
      </c>
      <c r="K653">
        <f>IF($A653="","",SUMIFS('Таблиця 1'!$K:$K,'Таблиця 1'!$B:$B,$A653,'Таблиця 1'!$I:$I,"Mirage",'Таблиця 1'!$J:$J,"BLU-140")+SUMIFS('Таблиця 1'!$K:$K,'Таблиця 1'!$B:$B,$A653,'Таблиця 1'!$I:$I,"F-16",'Таблиця 1'!$J:$J,"BLU-140")+SUMIFS('Таблиця 1'!$K:$K,'Таблиця 1'!$B:$B,$A653,'Таблиця 1'!$I:$I,"МіГ-29",'Таблиця 1'!$J:$J,"BLU-140")+SUMIFS('Таблиця 1'!$K:$K,'Таблиця 1'!$B:$B,$A653,'Таблиця 1'!$I:$I,"Су-25",'Таблиця 1'!$J:$J,"BLU-140")+SUMIFS('Таблиця 1'!$K:$K,'Таблиця 1'!$B:$B,$A653,'Таблиця 1'!$I:$I,"Су-27",'Таблиця 1'!$J:$J,"BLU-140"))</f>
        <v/>
      </c>
      <c r="L653">
        <f>IF($A653="","",SUMIFS('Таблиця 1'!$K:$K,'Таблиця 1'!$B:$B,$A653,'Таблиця 1'!$I:$I,"Mirage",'Таблиця 1'!$J:$J,"GBU-65")+SUMIFS('Таблиця 1'!$K:$K,'Таблиця 1'!$B:$B,$A653,'Таблиця 1'!$I:$I,"F-16",'Таблиця 1'!$J:$J,"GBU-65")+SUMIFS('Таблиця 1'!$K:$K,'Таблиця 1'!$B:$B,$A653,'Таблиця 1'!$I:$I,"МіГ-29",'Таблиця 1'!$J:$J,"GBU-65")+SUMIFS('Таблиця 1'!$K:$K,'Таблиця 1'!$B:$B,$A653,'Таблиця 1'!$I:$I,"Су-25",'Таблиця 1'!$J:$J,"GBU-65")+SUMIFS('Таблиця 1'!$K:$K,'Таблиця 1'!$B:$B,$A653,'Таблиця 1'!$I:$I,"Су-27",'Таблиця 1'!$J:$J,"GBU-65"))</f>
        <v/>
      </c>
      <c r="M653">
        <f>IF($A653="","",SUMIFS('Таблиця 1'!$K:$K,'Таблиця 1'!$B:$B,$A653,'Таблиця 1'!$I:$I,"Mirage",'Таблиця 1'!$J:$J,"GBU-62")+SUMIFS('Таблиця 1'!$K:$K,'Таблиця 1'!$B:$B,$A653,'Таблиця 1'!$I:$I,"F-16",'Таблиця 1'!$J:$J,"GBU-62")+SUMIFS('Таблиця 1'!$K:$K,'Таблиця 1'!$B:$B,$A653,'Таблиця 1'!$I:$I,"МіГ-29",'Таблиця 1'!$J:$J,"GBU-62")+SUMIFS('Таблиця 1'!$K:$K,'Таблиця 1'!$B:$B,$A653,'Таблиця 1'!$I:$I,"Су-25",'Таблиця 1'!$J:$J,"GBU-62")+SUMIFS('Таблиця 1'!$K:$K,'Таблиця 1'!$B:$B,$A653,'Таблиця 1'!$I:$I,"Су-27",'Таблиця 1'!$J:$J,"GBU-62"))</f>
        <v/>
      </c>
      <c r="N653">
        <f>IF($A653="","",SUMIFS('Таблиця 1'!$K:$K,'Таблиця 1'!$B:$B,$A653,'Таблиця 1'!$I:$I,"Mirage",'Таблиця 1'!$J:$J,"GBU-64")+SUMIFS('Таблиця 1'!$K:$K,'Таблиця 1'!$B:$B,$A653,'Таблиця 1'!$I:$I,"F-16",'Таблиця 1'!$J:$J,"GBU-64")+SUMIFS('Таблиця 1'!$K:$K,'Таблиця 1'!$B:$B,$A653,'Таблиця 1'!$I:$I,"МіГ-29",'Таблиця 1'!$J:$J,"GBU-64")+SUMIFS('Таблиця 1'!$K:$K,'Таблиця 1'!$B:$B,$A653,'Таблиця 1'!$I:$I,"Су-25",'Таблиця 1'!$J:$J,"GBU-64")+SUMIFS('Таблиця 1'!$K:$K,'Таблиця 1'!$B:$B,$A653,'Таблиця 1'!$I:$I,"Су-27",'Таблиця 1'!$J:$J,"GBU-64"))</f>
        <v/>
      </c>
      <c r="O653">
        <f>IF($A653="","",SUMIFS('Таблиця 1'!$K:$K,'Таблиця 1'!$B:$B,$A653,'Таблиця 1'!$I:$I,"Mirage",'Таблиця 1'!$J:$J,"C-13")+SUMIFS('Таблиця 1'!$K:$K,'Таблиця 1'!$B:$B,$A653,'Таблиця 1'!$I:$I,"F-16",'Таблиця 1'!$J:$J,"C-13")+SUMIFS('Таблиця 1'!$K:$K,'Таблиця 1'!$B:$B,$A653,'Таблиця 1'!$I:$I,"МіГ-29",'Таблиця 1'!$J:$J,"C-13")+SUMIFS('Таблиця 1'!$K:$K,'Таблиця 1'!$B:$B,$A653,'Таблиця 1'!$I:$I,"Су-25",'Таблиця 1'!$J:$J,"C-13")+SUMIFS('Таблиця 1'!$K:$K,'Таблиця 1'!$B:$B,$A653,'Таблиця 1'!$I:$I,"Су-27",'Таблиця 1'!$J:$J,"C-13"))</f>
        <v/>
      </c>
      <c r="P653">
        <f>IF($A653="","",SUMIFS('Таблиця 1'!$K:$K,'Таблиця 1'!$B:$B,$A653,'Таблиця 1'!$I:$I,"Mirage",'Таблиця 1'!$J:$J,"MK-32")+SUMIFS('Таблиця 1'!$K:$K,'Таблиця 1'!$B:$B,$A653,'Таблиця 1'!$I:$I,"F-16",'Таблиця 1'!$J:$J,"MK-32")+SUMIFS('Таблиця 1'!$K:$K,'Таблиця 1'!$B:$B,$A653,'Таблиця 1'!$I:$I,"МіГ-29",'Таблиця 1'!$J:$J,"MK-32")+SUMIFS('Таблиця 1'!$K:$K,'Таблиця 1'!$B:$B,$A653,'Таблиця 1'!$I:$I,"Су-25",'Таблиця 1'!$J:$J,"MK-32")+SUMIFS('Таблиця 1'!$K:$K,'Таблиця 1'!$B:$B,$A653,'Таблиця 1'!$I:$I,"Су-27",'Таблиця 1'!$J:$J,"MK-32"))</f>
        <v/>
      </c>
      <c r="Q653">
        <f>IF($A653="","",SUMIFS('Таблиця 1'!$K:$K,'Таблиця 1'!$B:$B,$A653,'Таблиця 1'!$I:$I,"Mirage",'Таблиця 1'!$J:$J,"MK-24")+SUMIFS('Таблиця 1'!$K:$K,'Таблиця 1'!$B:$B,$A653,'Таблиця 1'!$I:$I,"F-16",'Таблиця 1'!$J:$J,"MK-24")+SUMIFS('Таблиця 1'!$K:$K,'Таблиця 1'!$B:$B,$A653,'Таблиця 1'!$I:$I,"МіГ-29",'Таблиця 1'!$J:$J,"MK-24")+SUMIFS('Таблиця 1'!$K:$K,'Таблиця 1'!$B:$B,$A653,'Таблиця 1'!$I:$I,"Су-25",'Таблиця 1'!$J:$J,"MK-24")+SUMIFS('Таблиця 1'!$K:$K,'Таблиця 1'!$B:$B,$A653,'Таблиця 1'!$I:$I,"Су-27",'Таблиця 1'!$J:$J,"MK-24"))</f>
        <v/>
      </c>
      <c r="R653">
        <f>IF($A653="","",COUNTIFS('Таблиця 1'!$B:$B,$A653,'Таблиця 1'!$I:$I,"Mirage",'Таблиця 1'!$L:$L,"Уражено")+COUNTIFS('Таблиця 1'!$B:$B,$A653,'Таблиця 1'!$I:$I,"F-16",'Таблиця 1'!$L:$L,"Уражено")+COUNTIFS('Таблиця 1'!$B:$B,$A653,'Таблиця 1'!$I:$I,"МіГ-29",'Таблиця 1'!$L:$L,"Уражено")+COUNTIFS('Таблиця 1'!$B:$B,$A653,'Таблиця 1'!$I:$I,"Су-25",'Таблиця 1'!$L:$L,"Уражено")+COUNTIFS('Таблиця 1'!$B:$B,$A653,'Таблиця 1'!$I:$I,"Су-27",'Таблиця 1'!$L:$L,"Уражено"))</f>
        <v/>
      </c>
      <c r="S653">
        <f>IF($A653="","",COUNTIFS('Таблиця 1'!$B:$B,$A653,'Таблиця 1'!$I:$I,"Mirage",'Таблиця 1'!$L:$L,"НЕ уражено")+COUNTIFS('Таблиця 1'!$B:$B,$A653,'Таблиця 1'!$I:$I,"F-16",'Таблиця 1'!$L:$L,"НЕ уражено")+COUNTIFS('Таблиця 1'!$B:$B,$A653,'Таблиця 1'!$I:$I,"МіГ-29",'Таблиця 1'!$L:$L,"НЕ уражено")+COUNTIFS('Таблиця 1'!$B:$B,$A653,'Таблиця 1'!$I:$I,"Су-25",'Таблиця 1'!$L:$L,"НЕ уражено")+COUNTIFS('Таблиця 1'!$B:$B,$A653,'Таблиця 1'!$I:$I,"Су-27",'Таблиця 1'!$L:$L,"НЕ уражено"))</f>
        <v/>
      </c>
      <c r="T653">
        <f>IF($A653="","",COUNTIFS('Таблиця 1'!$B:$B,$A653,'Таблиця 1'!$I:$I,"Mirage",'Таблиця 1'!$L:$L,"Дорозвідується")+COUNTIFS('Таблиця 1'!$B:$B,$A653,'Таблиця 1'!$I:$I,"F-16",'Таблиця 1'!$L:$L,"Дорозвідується")+COUNTIFS('Таблиця 1'!$B:$B,$A653,'Таблиця 1'!$I:$I,"МіГ-29",'Таблиця 1'!$L:$L,"Дорозвідується")+COUNTIFS('Таблиця 1'!$B:$B,$A653,'Таблиця 1'!$I:$I,"Су-25",'Таблиця 1'!$L:$L,"Дорозвідується")+COUNTIFS('Таблиця 1'!$B:$B,$A653,'Таблиця 1'!$I:$I,"Су-27",'Таблиця 1'!$L:$L,"Дорозвідується"))</f>
        <v/>
      </c>
    </row>
    <row r="654">
      <c r="A654" s="273">
        <f>IF(A653="","",IF(A653+1&gt;MAX('Таблиця 1'!$B:$B),"",A653+1))</f>
        <v/>
      </c>
      <c r="B654">
        <f>IF($A654="","",COUNTIFS('Таблиця 1'!$B:$B,$A654,'Таблиця 1'!$I:$I,"Mirage")+COUNTIFS('Таблиця 1'!$B:$B,$A654,'Таблиця 1'!$I:$I,"F-16")+COUNTIFS('Таблиця 1'!$B:$B,$A654,'Таблиця 1'!$I:$I,"МіГ-29")+COUNTIFS('Таблиця 1'!$B:$B,$A654,'Таблиця 1'!$I:$I,"Су-25")+COUNTIFS('Таблиця 1'!$B:$B,$A654,'Таблиця 1'!$I:$I,"Су-27"))</f>
        <v/>
      </c>
      <c r="C654">
        <f>IF($A654="","",COUNTIFS('Таблиця 1'!$B:$B,$A654,'Таблиця 1'!$I:$I,"Mirage"))</f>
        <v/>
      </c>
      <c r="D654">
        <f>IF($A654="","",COUNTIFS('Таблиця 1'!$B:$B,$A654,'Таблиця 1'!$I:$I,"F-16"))</f>
        <v/>
      </c>
      <c r="E654">
        <f>IF($A654="","",COUNTIFS('Таблиця 1'!$B:$B,$A654,'Таблиця 1'!$I:$I,"МіГ-29"))</f>
        <v/>
      </c>
      <c r="F654">
        <f>IF($A654="","",COUNTIFS('Таблиця 1'!$B:$B,$A654,'Таблиця 1'!$I:$I,"Су-25"))</f>
        <v/>
      </c>
      <c r="G654">
        <f>IF($A654="","",COUNTIFS('Таблиця 1'!$B:$B,$A654,'Таблиця 1'!$I:$I,"Су-27"))</f>
        <v/>
      </c>
      <c r="H654">
        <f>IF($A654="","",SUMIFS('Таблиця 1'!$K:$K,'Таблиця 1'!$B:$B,$A654,'Таблиця 1'!$I:$I,"Mirage",'Таблиця 1'!$J:$J,"AGM-88")+SUMIFS('Таблиця 1'!$K:$K,'Таблиця 1'!$B:$B,$A654,'Таблиця 1'!$I:$I,"F-16",'Таблиця 1'!$J:$J,"AGM-88")+SUMIFS('Таблиця 1'!$K:$K,'Таблиця 1'!$B:$B,$A654,'Таблиця 1'!$I:$I,"МіГ-29",'Таблиця 1'!$J:$J,"AGM-88")+SUMIFS('Таблиця 1'!$K:$K,'Таблиця 1'!$B:$B,$A654,'Таблиця 1'!$I:$I,"Су-25",'Таблиця 1'!$J:$J,"AGM-88")+SUMIFS('Таблиця 1'!$K:$K,'Таблиця 1'!$B:$B,$A654,'Таблиця 1'!$I:$I,"Су-27",'Таблиця 1'!$J:$J,"AGM-88"))</f>
        <v/>
      </c>
      <c r="I654">
        <f>IF($A654="","",SUMIFS('Таблиця 1'!$K:$K,'Таблиця 1'!$B:$B,$A654,'Таблиця 1'!$I:$I,"Mirage",'Таблиця 1'!$J:$J,"AASM-250")+SUMIFS('Таблиця 1'!$K:$K,'Таблиця 1'!$B:$B,$A654,'Таблиця 1'!$I:$I,"F-16",'Таблиця 1'!$J:$J,"AASM-250")+SUMIFS('Таблиця 1'!$K:$K,'Таблиця 1'!$B:$B,$A654,'Таблиця 1'!$I:$I,"МіГ-29",'Таблиця 1'!$J:$J,"AASM-250")+SUMIFS('Таблиця 1'!$K:$K,'Таблиця 1'!$B:$B,$A654,'Таблиця 1'!$I:$I,"Су-25",'Таблиця 1'!$J:$J,"AASM-250")+SUMIFS('Таблиця 1'!$K:$K,'Таблиця 1'!$B:$B,$A654,'Таблиця 1'!$I:$I,"Су-27",'Таблиця 1'!$J:$J,"AASM-250"))</f>
        <v/>
      </c>
      <c r="J654">
        <f>IF($A654="","",SUMIFS('Таблиця 1'!$K:$K,'Таблиця 1'!$B:$B,$A654,'Таблиця 1'!$I:$I,"Mirage",'Таблиця 1'!$J:$J,"GBU-39")+SUMIFS('Таблиця 1'!$K:$K,'Таблиця 1'!$B:$B,$A654,'Таблиця 1'!$I:$I,"F-16",'Таблиця 1'!$J:$J,"GBU-39")+SUMIFS('Таблиця 1'!$K:$K,'Таблиця 1'!$B:$B,$A654,'Таблиця 1'!$I:$I,"МіГ-29",'Таблиця 1'!$J:$J,"GBU-39")+SUMIFS('Таблиця 1'!$K:$K,'Таблиця 1'!$B:$B,$A654,'Таблиця 1'!$I:$I,"Су-25",'Таблиця 1'!$J:$J,"GBU-39")+SUMIFS('Таблиця 1'!$K:$K,'Таблиця 1'!$B:$B,$A654,'Таблиця 1'!$I:$I,"Су-27",'Таблиця 1'!$J:$J,"GBU-39"))</f>
        <v/>
      </c>
      <c r="K654">
        <f>IF($A654="","",SUMIFS('Таблиця 1'!$K:$K,'Таблиця 1'!$B:$B,$A654,'Таблиця 1'!$I:$I,"Mirage",'Таблиця 1'!$J:$J,"BLU-140")+SUMIFS('Таблиця 1'!$K:$K,'Таблиця 1'!$B:$B,$A654,'Таблиця 1'!$I:$I,"F-16",'Таблиця 1'!$J:$J,"BLU-140")+SUMIFS('Таблиця 1'!$K:$K,'Таблиця 1'!$B:$B,$A654,'Таблиця 1'!$I:$I,"МіГ-29",'Таблиця 1'!$J:$J,"BLU-140")+SUMIFS('Таблиця 1'!$K:$K,'Таблиця 1'!$B:$B,$A654,'Таблиця 1'!$I:$I,"Су-25",'Таблиця 1'!$J:$J,"BLU-140")+SUMIFS('Таблиця 1'!$K:$K,'Таблиця 1'!$B:$B,$A654,'Таблиця 1'!$I:$I,"Су-27",'Таблиця 1'!$J:$J,"BLU-140"))</f>
        <v/>
      </c>
      <c r="L654">
        <f>IF($A654="","",SUMIFS('Таблиця 1'!$K:$K,'Таблиця 1'!$B:$B,$A654,'Таблиця 1'!$I:$I,"Mirage",'Таблиця 1'!$J:$J,"GBU-65")+SUMIFS('Таблиця 1'!$K:$K,'Таблиця 1'!$B:$B,$A654,'Таблиця 1'!$I:$I,"F-16",'Таблиця 1'!$J:$J,"GBU-65")+SUMIFS('Таблиця 1'!$K:$K,'Таблиця 1'!$B:$B,$A654,'Таблиця 1'!$I:$I,"МіГ-29",'Таблиця 1'!$J:$J,"GBU-65")+SUMIFS('Таблиця 1'!$K:$K,'Таблиця 1'!$B:$B,$A654,'Таблиця 1'!$I:$I,"Су-25",'Таблиця 1'!$J:$J,"GBU-65")+SUMIFS('Таблиця 1'!$K:$K,'Таблиця 1'!$B:$B,$A654,'Таблиця 1'!$I:$I,"Су-27",'Таблиця 1'!$J:$J,"GBU-65"))</f>
        <v/>
      </c>
      <c r="M654">
        <f>IF($A654="","",SUMIFS('Таблиця 1'!$K:$K,'Таблиця 1'!$B:$B,$A654,'Таблиця 1'!$I:$I,"Mirage",'Таблиця 1'!$J:$J,"GBU-62")+SUMIFS('Таблиця 1'!$K:$K,'Таблиця 1'!$B:$B,$A654,'Таблиця 1'!$I:$I,"F-16",'Таблиця 1'!$J:$J,"GBU-62")+SUMIFS('Таблиця 1'!$K:$K,'Таблиця 1'!$B:$B,$A654,'Таблиця 1'!$I:$I,"МіГ-29",'Таблиця 1'!$J:$J,"GBU-62")+SUMIFS('Таблиця 1'!$K:$K,'Таблиця 1'!$B:$B,$A654,'Таблиця 1'!$I:$I,"Су-25",'Таблиця 1'!$J:$J,"GBU-62")+SUMIFS('Таблиця 1'!$K:$K,'Таблиця 1'!$B:$B,$A654,'Таблиця 1'!$I:$I,"Су-27",'Таблиця 1'!$J:$J,"GBU-62"))</f>
        <v/>
      </c>
      <c r="N654">
        <f>IF($A654="","",SUMIFS('Таблиця 1'!$K:$K,'Таблиця 1'!$B:$B,$A654,'Таблиця 1'!$I:$I,"Mirage",'Таблиця 1'!$J:$J,"GBU-64")+SUMIFS('Таблиця 1'!$K:$K,'Таблиця 1'!$B:$B,$A654,'Таблиця 1'!$I:$I,"F-16",'Таблиця 1'!$J:$J,"GBU-64")+SUMIFS('Таблиця 1'!$K:$K,'Таблиця 1'!$B:$B,$A654,'Таблиця 1'!$I:$I,"МіГ-29",'Таблиця 1'!$J:$J,"GBU-64")+SUMIFS('Таблиця 1'!$K:$K,'Таблиця 1'!$B:$B,$A654,'Таблиця 1'!$I:$I,"Су-25",'Таблиця 1'!$J:$J,"GBU-64")+SUMIFS('Таблиця 1'!$K:$K,'Таблиця 1'!$B:$B,$A654,'Таблиця 1'!$I:$I,"Су-27",'Таблиця 1'!$J:$J,"GBU-64"))</f>
        <v/>
      </c>
      <c r="O654">
        <f>IF($A654="","",SUMIFS('Таблиця 1'!$K:$K,'Таблиця 1'!$B:$B,$A654,'Таблиця 1'!$I:$I,"Mirage",'Таблиця 1'!$J:$J,"C-13")+SUMIFS('Таблиця 1'!$K:$K,'Таблиця 1'!$B:$B,$A654,'Таблиця 1'!$I:$I,"F-16",'Таблиця 1'!$J:$J,"C-13")+SUMIFS('Таблиця 1'!$K:$K,'Таблиця 1'!$B:$B,$A654,'Таблиця 1'!$I:$I,"МіГ-29",'Таблиця 1'!$J:$J,"C-13")+SUMIFS('Таблиця 1'!$K:$K,'Таблиця 1'!$B:$B,$A654,'Таблиця 1'!$I:$I,"Су-25",'Таблиця 1'!$J:$J,"C-13")+SUMIFS('Таблиця 1'!$K:$K,'Таблиця 1'!$B:$B,$A654,'Таблиця 1'!$I:$I,"Су-27",'Таблиця 1'!$J:$J,"C-13"))</f>
        <v/>
      </c>
      <c r="P654">
        <f>IF($A654="","",SUMIFS('Таблиця 1'!$K:$K,'Таблиця 1'!$B:$B,$A654,'Таблиця 1'!$I:$I,"Mirage",'Таблиця 1'!$J:$J,"MK-32")+SUMIFS('Таблиця 1'!$K:$K,'Таблиця 1'!$B:$B,$A654,'Таблиця 1'!$I:$I,"F-16",'Таблиця 1'!$J:$J,"MK-32")+SUMIFS('Таблиця 1'!$K:$K,'Таблиця 1'!$B:$B,$A654,'Таблиця 1'!$I:$I,"МіГ-29",'Таблиця 1'!$J:$J,"MK-32")+SUMIFS('Таблиця 1'!$K:$K,'Таблиця 1'!$B:$B,$A654,'Таблиця 1'!$I:$I,"Су-25",'Таблиця 1'!$J:$J,"MK-32")+SUMIFS('Таблиця 1'!$K:$K,'Таблиця 1'!$B:$B,$A654,'Таблиця 1'!$I:$I,"Су-27",'Таблиця 1'!$J:$J,"MK-32"))</f>
        <v/>
      </c>
      <c r="Q654">
        <f>IF($A654="","",SUMIFS('Таблиця 1'!$K:$K,'Таблиця 1'!$B:$B,$A654,'Таблиця 1'!$I:$I,"Mirage",'Таблиця 1'!$J:$J,"MK-24")+SUMIFS('Таблиця 1'!$K:$K,'Таблиця 1'!$B:$B,$A654,'Таблиця 1'!$I:$I,"F-16",'Таблиця 1'!$J:$J,"MK-24")+SUMIFS('Таблиця 1'!$K:$K,'Таблиця 1'!$B:$B,$A654,'Таблиця 1'!$I:$I,"МіГ-29",'Таблиця 1'!$J:$J,"MK-24")+SUMIFS('Таблиця 1'!$K:$K,'Таблиця 1'!$B:$B,$A654,'Таблиця 1'!$I:$I,"Су-25",'Таблиця 1'!$J:$J,"MK-24")+SUMIFS('Таблиця 1'!$K:$K,'Таблиця 1'!$B:$B,$A654,'Таблиця 1'!$I:$I,"Су-27",'Таблиця 1'!$J:$J,"MK-24"))</f>
        <v/>
      </c>
      <c r="R654">
        <f>IF($A654="","",COUNTIFS('Таблиця 1'!$B:$B,$A654,'Таблиця 1'!$I:$I,"Mirage",'Таблиця 1'!$L:$L,"Уражено")+COUNTIFS('Таблиця 1'!$B:$B,$A654,'Таблиця 1'!$I:$I,"F-16",'Таблиця 1'!$L:$L,"Уражено")+COUNTIFS('Таблиця 1'!$B:$B,$A654,'Таблиця 1'!$I:$I,"МіГ-29",'Таблиця 1'!$L:$L,"Уражено")+COUNTIFS('Таблиця 1'!$B:$B,$A654,'Таблиця 1'!$I:$I,"Су-25",'Таблиця 1'!$L:$L,"Уражено")+COUNTIFS('Таблиця 1'!$B:$B,$A654,'Таблиця 1'!$I:$I,"Су-27",'Таблиця 1'!$L:$L,"Уражено"))</f>
        <v/>
      </c>
      <c r="S654">
        <f>IF($A654="","",COUNTIFS('Таблиця 1'!$B:$B,$A654,'Таблиця 1'!$I:$I,"Mirage",'Таблиця 1'!$L:$L,"НЕ уражено")+COUNTIFS('Таблиця 1'!$B:$B,$A654,'Таблиця 1'!$I:$I,"F-16",'Таблиця 1'!$L:$L,"НЕ уражено")+COUNTIFS('Таблиця 1'!$B:$B,$A654,'Таблиця 1'!$I:$I,"МіГ-29",'Таблиця 1'!$L:$L,"НЕ уражено")+COUNTIFS('Таблиця 1'!$B:$B,$A654,'Таблиця 1'!$I:$I,"Су-25",'Таблиця 1'!$L:$L,"НЕ уражено")+COUNTIFS('Таблиця 1'!$B:$B,$A654,'Таблиця 1'!$I:$I,"Су-27",'Таблиця 1'!$L:$L,"НЕ уражено"))</f>
        <v/>
      </c>
      <c r="T654">
        <f>IF($A654="","",COUNTIFS('Таблиця 1'!$B:$B,$A654,'Таблиця 1'!$I:$I,"Mirage",'Таблиця 1'!$L:$L,"Дорозвідується")+COUNTIFS('Таблиця 1'!$B:$B,$A654,'Таблиця 1'!$I:$I,"F-16",'Таблиця 1'!$L:$L,"Дорозвідується")+COUNTIFS('Таблиця 1'!$B:$B,$A654,'Таблиця 1'!$I:$I,"МіГ-29",'Таблиця 1'!$L:$L,"Дорозвідується")+COUNTIFS('Таблиця 1'!$B:$B,$A654,'Таблиця 1'!$I:$I,"Су-25",'Таблиця 1'!$L:$L,"Дорозвідується")+COUNTIFS('Таблиця 1'!$B:$B,$A654,'Таблиця 1'!$I:$I,"Су-27",'Таблиця 1'!$L:$L,"Дорозвідується"))</f>
        <v/>
      </c>
    </row>
    <row r="655">
      <c r="A655" s="273">
        <f>IF(A654="","",IF(A654+1&gt;MAX('Таблиця 1'!$B:$B),"",A654+1))</f>
        <v/>
      </c>
      <c r="B655">
        <f>IF($A655="","",COUNTIFS('Таблиця 1'!$B:$B,$A655,'Таблиця 1'!$I:$I,"Mirage")+COUNTIFS('Таблиця 1'!$B:$B,$A655,'Таблиця 1'!$I:$I,"F-16")+COUNTIFS('Таблиця 1'!$B:$B,$A655,'Таблиця 1'!$I:$I,"МіГ-29")+COUNTIFS('Таблиця 1'!$B:$B,$A655,'Таблиця 1'!$I:$I,"Су-25")+COUNTIFS('Таблиця 1'!$B:$B,$A655,'Таблиця 1'!$I:$I,"Су-27"))</f>
        <v/>
      </c>
      <c r="C655">
        <f>IF($A655="","",COUNTIFS('Таблиця 1'!$B:$B,$A655,'Таблиця 1'!$I:$I,"Mirage"))</f>
        <v/>
      </c>
      <c r="D655">
        <f>IF($A655="","",COUNTIFS('Таблиця 1'!$B:$B,$A655,'Таблиця 1'!$I:$I,"F-16"))</f>
        <v/>
      </c>
      <c r="E655">
        <f>IF($A655="","",COUNTIFS('Таблиця 1'!$B:$B,$A655,'Таблиця 1'!$I:$I,"МіГ-29"))</f>
        <v/>
      </c>
      <c r="F655">
        <f>IF($A655="","",COUNTIFS('Таблиця 1'!$B:$B,$A655,'Таблиця 1'!$I:$I,"Су-25"))</f>
        <v/>
      </c>
      <c r="G655">
        <f>IF($A655="","",COUNTIFS('Таблиця 1'!$B:$B,$A655,'Таблиця 1'!$I:$I,"Су-27"))</f>
        <v/>
      </c>
      <c r="H655">
        <f>IF($A655="","",SUMIFS('Таблиця 1'!$K:$K,'Таблиця 1'!$B:$B,$A655,'Таблиця 1'!$I:$I,"Mirage",'Таблиця 1'!$J:$J,"AGM-88")+SUMIFS('Таблиця 1'!$K:$K,'Таблиця 1'!$B:$B,$A655,'Таблиця 1'!$I:$I,"F-16",'Таблиця 1'!$J:$J,"AGM-88")+SUMIFS('Таблиця 1'!$K:$K,'Таблиця 1'!$B:$B,$A655,'Таблиця 1'!$I:$I,"МіГ-29",'Таблиця 1'!$J:$J,"AGM-88")+SUMIFS('Таблиця 1'!$K:$K,'Таблиця 1'!$B:$B,$A655,'Таблиця 1'!$I:$I,"Су-25",'Таблиця 1'!$J:$J,"AGM-88")+SUMIFS('Таблиця 1'!$K:$K,'Таблиця 1'!$B:$B,$A655,'Таблиця 1'!$I:$I,"Су-27",'Таблиця 1'!$J:$J,"AGM-88"))</f>
        <v/>
      </c>
      <c r="I655">
        <f>IF($A655="","",SUMIFS('Таблиця 1'!$K:$K,'Таблиця 1'!$B:$B,$A655,'Таблиця 1'!$I:$I,"Mirage",'Таблиця 1'!$J:$J,"AASM-250")+SUMIFS('Таблиця 1'!$K:$K,'Таблиця 1'!$B:$B,$A655,'Таблиця 1'!$I:$I,"F-16",'Таблиця 1'!$J:$J,"AASM-250")+SUMIFS('Таблиця 1'!$K:$K,'Таблиця 1'!$B:$B,$A655,'Таблиця 1'!$I:$I,"МіГ-29",'Таблиця 1'!$J:$J,"AASM-250")+SUMIFS('Таблиця 1'!$K:$K,'Таблиця 1'!$B:$B,$A655,'Таблиця 1'!$I:$I,"Су-25",'Таблиця 1'!$J:$J,"AASM-250")+SUMIFS('Таблиця 1'!$K:$K,'Таблиця 1'!$B:$B,$A655,'Таблиця 1'!$I:$I,"Су-27",'Таблиця 1'!$J:$J,"AASM-250"))</f>
        <v/>
      </c>
      <c r="J655">
        <f>IF($A655="","",SUMIFS('Таблиця 1'!$K:$K,'Таблиця 1'!$B:$B,$A655,'Таблиця 1'!$I:$I,"Mirage",'Таблиця 1'!$J:$J,"GBU-39")+SUMIFS('Таблиця 1'!$K:$K,'Таблиця 1'!$B:$B,$A655,'Таблиця 1'!$I:$I,"F-16",'Таблиця 1'!$J:$J,"GBU-39")+SUMIFS('Таблиця 1'!$K:$K,'Таблиця 1'!$B:$B,$A655,'Таблиця 1'!$I:$I,"МіГ-29",'Таблиця 1'!$J:$J,"GBU-39")+SUMIFS('Таблиця 1'!$K:$K,'Таблиця 1'!$B:$B,$A655,'Таблиця 1'!$I:$I,"Су-25",'Таблиця 1'!$J:$J,"GBU-39")+SUMIFS('Таблиця 1'!$K:$K,'Таблиця 1'!$B:$B,$A655,'Таблиця 1'!$I:$I,"Су-27",'Таблиця 1'!$J:$J,"GBU-39"))</f>
        <v/>
      </c>
      <c r="K655">
        <f>IF($A655="","",SUMIFS('Таблиця 1'!$K:$K,'Таблиця 1'!$B:$B,$A655,'Таблиця 1'!$I:$I,"Mirage",'Таблиця 1'!$J:$J,"BLU-140")+SUMIFS('Таблиця 1'!$K:$K,'Таблиця 1'!$B:$B,$A655,'Таблиця 1'!$I:$I,"F-16",'Таблиця 1'!$J:$J,"BLU-140")+SUMIFS('Таблиця 1'!$K:$K,'Таблиця 1'!$B:$B,$A655,'Таблиця 1'!$I:$I,"МіГ-29",'Таблиця 1'!$J:$J,"BLU-140")+SUMIFS('Таблиця 1'!$K:$K,'Таблиця 1'!$B:$B,$A655,'Таблиця 1'!$I:$I,"Су-25",'Таблиця 1'!$J:$J,"BLU-140")+SUMIFS('Таблиця 1'!$K:$K,'Таблиця 1'!$B:$B,$A655,'Таблиця 1'!$I:$I,"Су-27",'Таблиця 1'!$J:$J,"BLU-140"))</f>
        <v/>
      </c>
      <c r="L655">
        <f>IF($A655="","",SUMIFS('Таблиця 1'!$K:$K,'Таблиця 1'!$B:$B,$A655,'Таблиця 1'!$I:$I,"Mirage",'Таблиця 1'!$J:$J,"GBU-65")+SUMIFS('Таблиця 1'!$K:$K,'Таблиця 1'!$B:$B,$A655,'Таблиця 1'!$I:$I,"F-16",'Таблиця 1'!$J:$J,"GBU-65")+SUMIFS('Таблиця 1'!$K:$K,'Таблиця 1'!$B:$B,$A655,'Таблиця 1'!$I:$I,"МіГ-29",'Таблиця 1'!$J:$J,"GBU-65")+SUMIFS('Таблиця 1'!$K:$K,'Таблиця 1'!$B:$B,$A655,'Таблиця 1'!$I:$I,"Су-25",'Таблиця 1'!$J:$J,"GBU-65")+SUMIFS('Таблиця 1'!$K:$K,'Таблиця 1'!$B:$B,$A655,'Таблиця 1'!$I:$I,"Су-27",'Таблиця 1'!$J:$J,"GBU-65"))</f>
        <v/>
      </c>
      <c r="M655">
        <f>IF($A655="","",SUMIFS('Таблиця 1'!$K:$K,'Таблиця 1'!$B:$B,$A655,'Таблиця 1'!$I:$I,"Mirage",'Таблиця 1'!$J:$J,"GBU-62")+SUMIFS('Таблиця 1'!$K:$K,'Таблиця 1'!$B:$B,$A655,'Таблиця 1'!$I:$I,"F-16",'Таблиця 1'!$J:$J,"GBU-62")+SUMIFS('Таблиця 1'!$K:$K,'Таблиця 1'!$B:$B,$A655,'Таблиця 1'!$I:$I,"МіГ-29",'Таблиця 1'!$J:$J,"GBU-62")+SUMIFS('Таблиця 1'!$K:$K,'Таблиця 1'!$B:$B,$A655,'Таблиця 1'!$I:$I,"Су-25",'Таблиця 1'!$J:$J,"GBU-62")+SUMIFS('Таблиця 1'!$K:$K,'Таблиця 1'!$B:$B,$A655,'Таблиця 1'!$I:$I,"Су-27",'Таблиця 1'!$J:$J,"GBU-62"))</f>
        <v/>
      </c>
      <c r="N655">
        <f>IF($A655="","",SUMIFS('Таблиця 1'!$K:$K,'Таблиця 1'!$B:$B,$A655,'Таблиця 1'!$I:$I,"Mirage",'Таблиця 1'!$J:$J,"GBU-64")+SUMIFS('Таблиця 1'!$K:$K,'Таблиця 1'!$B:$B,$A655,'Таблиця 1'!$I:$I,"F-16",'Таблиця 1'!$J:$J,"GBU-64")+SUMIFS('Таблиця 1'!$K:$K,'Таблиця 1'!$B:$B,$A655,'Таблиця 1'!$I:$I,"МіГ-29",'Таблиця 1'!$J:$J,"GBU-64")+SUMIFS('Таблиця 1'!$K:$K,'Таблиця 1'!$B:$B,$A655,'Таблиця 1'!$I:$I,"Су-25",'Таблиця 1'!$J:$J,"GBU-64")+SUMIFS('Таблиця 1'!$K:$K,'Таблиця 1'!$B:$B,$A655,'Таблиця 1'!$I:$I,"Су-27",'Таблиця 1'!$J:$J,"GBU-64"))</f>
        <v/>
      </c>
      <c r="O655">
        <f>IF($A655="","",SUMIFS('Таблиця 1'!$K:$K,'Таблиця 1'!$B:$B,$A655,'Таблиця 1'!$I:$I,"Mirage",'Таблиця 1'!$J:$J,"C-13")+SUMIFS('Таблиця 1'!$K:$K,'Таблиця 1'!$B:$B,$A655,'Таблиця 1'!$I:$I,"F-16",'Таблиця 1'!$J:$J,"C-13")+SUMIFS('Таблиця 1'!$K:$K,'Таблиця 1'!$B:$B,$A655,'Таблиця 1'!$I:$I,"МіГ-29",'Таблиця 1'!$J:$J,"C-13")+SUMIFS('Таблиця 1'!$K:$K,'Таблиця 1'!$B:$B,$A655,'Таблиця 1'!$I:$I,"Су-25",'Таблиця 1'!$J:$J,"C-13")+SUMIFS('Таблиця 1'!$K:$K,'Таблиця 1'!$B:$B,$A655,'Таблиця 1'!$I:$I,"Су-27",'Таблиця 1'!$J:$J,"C-13"))</f>
        <v/>
      </c>
      <c r="P655">
        <f>IF($A655="","",SUMIFS('Таблиця 1'!$K:$K,'Таблиця 1'!$B:$B,$A655,'Таблиця 1'!$I:$I,"Mirage",'Таблиця 1'!$J:$J,"MK-32")+SUMIFS('Таблиця 1'!$K:$K,'Таблиця 1'!$B:$B,$A655,'Таблиця 1'!$I:$I,"F-16",'Таблиця 1'!$J:$J,"MK-32")+SUMIFS('Таблиця 1'!$K:$K,'Таблиця 1'!$B:$B,$A655,'Таблиця 1'!$I:$I,"МіГ-29",'Таблиця 1'!$J:$J,"MK-32")+SUMIFS('Таблиця 1'!$K:$K,'Таблиця 1'!$B:$B,$A655,'Таблиця 1'!$I:$I,"Су-25",'Таблиця 1'!$J:$J,"MK-32")+SUMIFS('Таблиця 1'!$K:$K,'Таблиця 1'!$B:$B,$A655,'Таблиця 1'!$I:$I,"Су-27",'Таблиця 1'!$J:$J,"MK-32"))</f>
        <v/>
      </c>
      <c r="Q655">
        <f>IF($A655="","",SUMIFS('Таблиця 1'!$K:$K,'Таблиця 1'!$B:$B,$A655,'Таблиця 1'!$I:$I,"Mirage",'Таблиця 1'!$J:$J,"MK-24")+SUMIFS('Таблиця 1'!$K:$K,'Таблиця 1'!$B:$B,$A655,'Таблиця 1'!$I:$I,"F-16",'Таблиця 1'!$J:$J,"MK-24")+SUMIFS('Таблиця 1'!$K:$K,'Таблиця 1'!$B:$B,$A655,'Таблиця 1'!$I:$I,"МіГ-29",'Таблиця 1'!$J:$J,"MK-24")+SUMIFS('Таблиця 1'!$K:$K,'Таблиця 1'!$B:$B,$A655,'Таблиця 1'!$I:$I,"Су-25",'Таблиця 1'!$J:$J,"MK-24")+SUMIFS('Таблиця 1'!$K:$K,'Таблиця 1'!$B:$B,$A655,'Таблиця 1'!$I:$I,"Су-27",'Таблиця 1'!$J:$J,"MK-24"))</f>
        <v/>
      </c>
      <c r="R655">
        <f>IF($A655="","",COUNTIFS('Таблиця 1'!$B:$B,$A655,'Таблиця 1'!$I:$I,"Mirage",'Таблиця 1'!$L:$L,"Уражено")+COUNTIFS('Таблиця 1'!$B:$B,$A655,'Таблиця 1'!$I:$I,"F-16",'Таблиця 1'!$L:$L,"Уражено")+COUNTIFS('Таблиця 1'!$B:$B,$A655,'Таблиця 1'!$I:$I,"МіГ-29",'Таблиця 1'!$L:$L,"Уражено")+COUNTIFS('Таблиця 1'!$B:$B,$A655,'Таблиця 1'!$I:$I,"Су-25",'Таблиця 1'!$L:$L,"Уражено")+COUNTIFS('Таблиця 1'!$B:$B,$A655,'Таблиця 1'!$I:$I,"Су-27",'Таблиця 1'!$L:$L,"Уражено"))</f>
        <v/>
      </c>
      <c r="S655">
        <f>IF($A655="","",COUNTIFS('Таблиця 1'!$B:$B,$A655,'Таблиця 1'!$I:$I,"Mirage",'Таблиця 1'!$L:$L,"НЕ уражено")+COUNTIFS('Таблиця 1'!$B:$B,$A655,'Таблиця 1'!$I:$I,"F-16",'Таблиця 1'!$L:$L,"НЕ уражено")+COUNTIFS('Таблиця 1'!$B:$B,$A655,'Таблиця 1'!$I:$I,"МіГ-29",'Таблиця 1'!$L:$L,"НЕ уражено")+COUNTIFS('Таблиця 1'!$B:$B,$A655,'Таблиця 1'!$I:$I,"Су-25",'Таблиця 1'!$L:$L,"НЕ уражено")+COUNTIFS('Таблиця 1'!$B:$B,$A655,'Таблиця 1'!$I:$I,"Су-27",'Таблиця 1'!$L:$L,"НЕ уражено"))</f>
        <v/>
      </c>
      <c r="T655">
        <f>IF($A655="","",COUNTIFS('Таблиця 1'!$B:$B,$A655,'Таблиця 1'!$I:$I,"Mirage",'Таблиця 1'!$L:$L,"Дорозвідується")+COUNTIFS('Таблиця 1'!$B:$B,$A655,'Таблиця 1'!$I:$I,"F-16",'Таблиця 1'!$L:$L,"Дорозвідується")+COUNTIFS('Таблиця 1'!$B:$B,$A655,'Таблиця 1'!$I:$I,"МіГ-29",'Таблиця 1'!$L:$L,"Дорозвідується")+COUNTIFS('Таблиця 1'!$B:$B,$A655,'Таблиця 1'!$I:$I,"Су-25",'Таблиця 1'!$L:$L,"Дорозвідується")+COUNTIFS('Таблиця 1'!$B:$B,$A655,'Таблиця 1'!$I:$I,"Су-27",'Таблиця 1'!$L:$L,"Дорозвідується"))</f>
        <v/>
      </c>
    </row>
    <row r="656">
      <c r="A656" s="273">
        <f>IF(A655="","",IF(A655+1&gt;MAX('Таблиця 1'!$B:$B),"",A655+1))</f>
        <v/>
      </c>
      <c r="B656">
        <f>IF($A656="","",COUNTIFS('Таблиця 1'!$B:$B,$A656,'Таблиця 1'!$I:$I,"Mirage")+COUNTIFS('Таблиця 1'!$B:$B,$A656,'Таблиця 1'!$I:$I,"F-16")+COUNTIFS('Таблиця 1'!$B:$B,$A656,'Таблиця 1'!$I:$I,"МіГ-29")+COUNTIFS('Таблиця 1'!$B:$B,$A656,'Таблиця 1'!$I:$I,"Су-25")+COUNTIFS('Таблиця 1'!$B:$B,$A656,'Таблиця 1'!$I:$I,"Су-27"))</f>
        <v/>
      </c>
      <c r="C656">
        <f>IF($A656="","",COUNTIFS('Таблиця 1'!$B:$B,$A656,'Таблиця 1'!$I:$I,"Mirage"))</f>
        <v/>
      </c>
      <c r="D656">
        <f>IF($A656="","",COUNTIFS('Таблиця 1'!$B:$B,$A656,'Таблиця 1'!$I:$I,"F-16"))</f>
        <v/>
      </c>
      <c r="E656">
        <f>IF($A656="","",COUNTIFS('Таблиця 1'!$B:$B,$A656,'Таблиця 1'!$I:$I,"МіГ-29"))</f>
        <v/>
      </c>
      <c r="F656">
        <f>IF($A656="","",COUNTIFS('Таблиця 1'!$B:$B,$A656,'Таблиця 1'!$I:$I,"Су-25"))</f>
        <v/>
      </c>
      <c r="G656">
        <f>IF($A656="","",COUNTIFS('Таблиця 1'!$B:$B,$A656,'Таблиця 1'!$I:$I,"Су-27"))</f>
        <v/>
      </c>
      <c r="H656">
        <f>IF($A656="","",SUMIFS('Таблиця 1'!$K:$K,'Таблиця 1'!$B:$B,$A656,'Таблиця 1'!$I:$I,"Mirage",'Таблиця 1'!$J:$J,"AGM-88")+SUMIFS('Таблиця 1'!$K:$K,'Таблиця 1'!$B:$B,$A656,'Таблиця 1'!$I:$I,"F-16",'Таблиця 1'!$J:$J,"AGM-88")+SUMIFS('Таблиця 1'!$K:$K,'Таблиця 1'!$B:$B,$A656,'Таблиця 1'!$I:$I,"МіГ-29",'Таблиця 1'!$J:$J,"AGM-88")+SUMIFS('Таблиця 1'!$K:$K,'Таблиця 1'!$B:$B,$A656,'Таблиця 1'!$I:$I,"Су-25",'Таблиця 1'!$J:$J,"AGM-88")+SUMIFS('Таблиця 1'!$K:$K,'Таблиця 1'!$B:$B,$A656,'Таблиця 1'!$I:$I,"Су-27",'Таблиця 1'!$J:$J,"AGM-88"))</f>
        <v/>
      </c>
      <c r="I656">
        <f>IF($A656="","",SUMIFS('Таблиця 1'!$K:$K,'Таблиця 1'!$B:$B,$A656,'Таблиця 1'!$I:$I,"Mirage",'Таблиця 1'!$J:$J,"AASM-250")+SUMIFS('Таблиця 1'!$K:$K,'Таблиця 1'!$B:$B,$A656,'Таблиця 1'!$I:$I,"F-16",'Таблиця 1'!$J:$J,"AASM-250")+SUMIFS('Таблиця 1'!$K:$K,'Таблиця 1'!$B:$B,$A656,'Таблиця 1'!$I:$I,"МіГ-29",'Таблиця 1'!$J:$J,"AASM-250")+SUMIFS('Таблиця 1'!$K:$K,'Таблиця 1'!$B:$B,$A656,'Таблиця 1'!$I:$I,"Су-25",'Таблиця 1'!$J:$J,"AASM-250")+SUMIFS('Таблиця 1'!$K:$K,'Таблиця 1'!$B:$B,$A656,'Таблиця 1'!$I:$I,"Су-27",'Таблиця 1'!$J:$J,"AASM-250"))</f>
        <v/>
      </c>
      <c r="J656">
        <f>IF($A656="","",SUMIFS('Таблиця 1'!$K:$K,'Таблиця 1'!$B:$B,$A656,'Таблиця 1'!$I:$I,"Mirage",'Таблиця 1'!$J:$J,"GBU-39")+SUMIFS('Таблиця 1'!$K:$K,'Таблиця 1'!$B:$B,$A656,'Таблиця 1'!$I:$I,"F-16",'Таблиця 1'!$J:$J,"GBU-39")+SUMIFS('Таблиця 1'!$K:$K,'Таблиця 1'!$B:$B,$A656,'Таблиця 1'!$I:$I,"МіГ-29",'Таблиця 1'!$J:$J,"GBU-39")+SUMIFS('Таблиця 1'!$K:$K,'Таблиця 1'!$B:$B,$A656,'Таблиця 1'!$I:$I,"Су-25",'Таблиця 1'!$J:$J,"GBU-39")+SUMIFS('Таблиця 1'!$K:$K,'Таблиця 1'!$B:$B,$A656,'Таблиця 1'!$I:$I,"Су-27",'Таблиця 1'!$J:$J,"GBU-39"))</f>
        <v/>
      </c>
      <c r="K656">
        <f>IF($A656="","",SUMIFS('Таблиця 1'!$K:$K,'Таблиця 1'!$B:$B,$A656,'Таблиця 1'!$I:$I,"Mirage",'Таблиця 1'!$J:$J,"BLU-140")+SUMIFS('Таблиця 1'!$K:$K,'Таблиця 1'!$B:$B,$A656,'Таблиця 1'!$I:$I,"F-16",'Таблиця 1'!$J:$J,"BLU-140")+SUMIFS('Таблиця 1'!$K:$K,'Таблиця 1'!$B:$B,$A656,'Таблиця 1'!$I:$I,"МіГ-29",'Таблиця 1'!$J:$J,"BLU-140")+SUMIFS('Таблиця 1'!$K:$K,'Таблиця 1'!$B:$B,$A656,'Таблиця 1'!$I:$I,"Су-25",'Таблиця 1'!$J:$J,"BLU-140")+SUMIFS('Таблиця 1'!$K:$K,'Таблиця 1'!$B:$B,$A656,'Таблиця 1'!$I:$I,"Су-27",'Таблиця 1'!$J:$J,"BLU-140"))</f>
        <v/>
      </c>
      <c r="L656">
        <f>IF($A656="","",SUMIFS('Таблиця 1'!$K:$K,'Таблиця 1'!$B:$B,$A656,'Таблиця 1'!$I:$I,"Mirage",'Таблиця 1'!$J:$J,"GBU-65")+SUMIFS('Таблиця 1'!$K:$K,'Таблиця 1'!$B:$B,$A656,'Таблиця 1'!$I:$I,"F-16",'Таблиця 1'!$J:$J,"GBU-65")+SUMIFS('Таблиця 1'!$K:$K,'Таблиця 1'!$B:$B,$A656,'Таблиця 1'!$I:$I,"МіГ-29",'Таблиця 1'!$J:$J,"GBU-65")+SUMIFS('Таблиця 1'!$K:$K,'Таблиця 1'!$B:$B,$A656,'Таблиця 1'!$I:$I,"Су-25",'Таблиця 1'!$J:$J,"GBU-65")+SUMIFS('Таблиця 1'!$K:$K,'Таблиця 1'!$B:$B,$A656,'Таблиця 1'!$I:$I,"Су-27",'Таблиця 1'!$J:$J,"GBU-65"))</f>
        <v/>
      </c>
      <c r="M656">
        <f>IF($A656="","",SUMIFS('Таблиця 1'!$K:$K,'Таблиця 1'!$B:$B,$A656,'Таблиця 1'!$I:$I,"Mirage",'Таблиця 1'!$J:$J,"GBU-62")+SUMIFS('Таблиця 1'!$K:$K,'Таблиця 1'!$B:$B,$A656,'Таблиця 1'!$I:$I,"F-16",'Таблиця 1'!$J:$J,"GBU-62")+SUMIFS('Таблиця 1'!$K:$K,'Таблиця 1'!$B:$B,$A656,'Таблиця 1'!$I:$I,"МіГ-29",'Таблиця 1'!$J:$J,"GBU-62")+SUMIFS('Таблиця 1'!$K:$K,'Таблиця 1'!$B:$B,$A656,'Таблиця 1'!$I:$I,"Су-25",'Таблиця 1'!$J:$J,"GBU-62")+SUMIFS('Таблиця 1'!$K:$K,'Таблиця 1'!$B:$B,$A656,'Таблиця 1'!$I:$I,"Су-27",'Таблиця 1'!$J:$J,"GBU-62"))</f>
        <v/>
      </c>
      <c r="N656">
        <f>IF($A656="","",SUMIFS('Таблиця 1'!$K:$K,'Таблиця 1'!$B:$B,$A656,'Таблиця 1'!$I:$I,"Mirage",'Таблиця 1'!$J:$J,"GBU-64")+SUMIFS('Таблиця 1'!$K:$K,'Таблиця 1'!$B:$B,$A656,'Таблиця 1'!$I:$I,"F-16",'Таблиця 1'!$J:$J,"GBU-64")+SUMIFS('Таблиця 1'!$K:$K,'Таблиця 1'!$B:$B,$A656,'Таблиця 1'!$I:$I,"МіГ-29",'Таблиця 1'!$J:$J,"GBU-64")+SUMIFS('Таблиця 1'!$K:$K,'Таблиця 1'!$B:$B,$A656,'Таблиця 1'!$I:$I,"Су-25",'Таблиця 1'!$J:$J,"GBU-64")+SUMIFS('Таблиця 1'!$K:$K,'Таблиця 1'!$B:$B,$A656,'Таблиця 1'!$I:$I,"Су-27",'Таблиця 1'!$J:$J,"GBU-64"))</f>
        <v/>
      </c>
      <c r="O656">
        <f>IF($A656="","",SUMIFS('Таблиця 1'!$K:$K,'Таблиця 1'!$B:$B,$A656,'Таблиця 1'!$I:$I,"Mirage",'Таблиця 1'!$J:$J,"C-13")+SUMIFS('Таблиця 1'!$K:$K,'Таблиця 1'!$B:$B,$A656,'Таблиця 1'!$I:$I,"F-16",'Таблиця 1'!$J:$J,"C-13")+SUMIFS('Таблиця 1'!$K:$K,'Таблиця 1'!$B:$B,$A656,'Таблиця 1'!$I:$I,"МіГ-29",'Таблиця 1'!$J:$J,"C-13")+SUMIFS('Таблиця 1'!$K:$K,'Таблиця 1'!$B:$B,$A656,'Таблиця 1'!$I:$I,"Су-25",'Таблиця 1'!$J:$J,"C-13")+SUMIFS('Таблиця 1'!$K:$K,'Таблиця 1'!$B:$B,$A656,'Таблиця 1'!$I:$I,"Су-27",'Таблиця 1'!$J:$J,"C-13"))</f>
        <v/>
      </c>
      <c r="P656">
        <f>IF($A656="","",SUMIFS('Таблиця 1'!$K:$K,'Таблиця 1'!$B:$B,$A656,'Таблиця 1'!$I:$I,"Mirage",'Таблиця 1'!$J:$J,"MK-32")+SUMIFS('Таблиця 1'!$K:$K,'Таблиця 1'!$B:$B,$A656,'Таблиця 1'!$I:$I,"F-16",'Таблиця 1'!$J:$J,"MK-32")+SUMIFS('Таблиця 1'!$K:$K,'Таблиця 1'!$B:$B,$A656,'Таблиця 1'!$I:$I,"МіГ-29",'Таблиця 1'!$J:$J,"MK-32")+SUMIFS('Таблиця 1'!$K:$K,'Таблиця 1'!$B:$B,$A656,'Таблиця 1'!$I:$I,"Су-25",'Таблиця 1'!$J:$J,"MK-32")+SUMIFS('Таблиця 1'!$K:$K,'Таблиця 1'!$B:$B,$A656,'Таблиця 1'!$I:$I,"Су-27",'Таблиця 1'!$J:$J,"MK-32"))</f>
        <v/>
      </c>
      <c r="Q656">
        <f>IF($A656="","",SUMIFS('Таблиця 1'!$K:$K,'Таблиця 1'!$B:$B,$A656,'Таблиця 1'!$I:$I,"Mirage",'Таблиця 1'!$J:$J,"MK-24")+SUMIFS('Таблиця 1'!$K:$K,'Таблиця 1'!$B:$B,$A656,'Таблиця 1'!$I:$I,"F-16",'Таблиця 1'!$J:$J,"MK-24")+SUMIFS('Таблиця 1'!$K:$K,'Таблиця 1'!$B:$B,$A656,'Таблиця 1'!$I:$I,"МіГ-29",'Таблиця 1'!$J:$J,"MK-24")+SUMIFS('Таблиця 1'!$K:$K,'Таблиця 1'!$B:$B,$A656,'Таблиця 1'!$I:$I,"Су-25",'Таблиця 1'!$J:$J,"MK-24")+SUMIFS('Таблиця 1'!$K:$K,'Таблиця 1'!$B:$B,$A656,'Таблиця 1'!$I:$I,"Су-27",'Таблиця 1'!$J:$J,"MK-24"))</f>
        <v/>
      </c>
      <c r="R656">
        <f>IF($A656="","",COUNTIFS('Таблиця 1'!$B:$B,$A656,'Таблиця 1'!$I:$I,"Mirage",'Таблиця 1'!$L:$L,"Уражено")+COUNTIFS('Таблиця 1'!$B:$B,$A656,'Таблиця 1'!$I:$I,"F-16",'Таблиця 1'!$L:$L,"Уражено")+COUNTIFS('Таблиця 1'!$B:$B,$A656,'Таблиця 1'!$I:$I,"МіГ-29",'Таблиця 1'!$L:$L,"Уражено")+COUNTIFS('Таблиця 1'!$B:$B,$A656,'Таблиця 1'!$I:$I,"Су-25",'Таблиця 1'!$L:$L,"Уражено")+COUNTIFS('Таблиця 1'!$B:$B,$A656,'Таблиця 1'!$I:$I,"Су-27",'Таблиця 1'!$L:$L,"Уражено"))</f>
        <v/>
      </c>
      <c r="S656">
        <f>IF($A656="","",COUNTIFS('Таблиця 1'!$B:$B,$A656,'Таблиця 1'!$I:$I,"Mirage",'Таблиця 1'!$L:$L,"НЕ уражено")+COUNTIFS('Таблиця 1'!$B:$B,$A656,'Таблиця 1'!$I:$I,"F-16",'Таблиця 1'!$L:$L,"НЕ уражено")+COUNTIFS('Таблиця 1'!$B:$B,$A656,'Таблиця 1'!$I:$I,"МіГ-29",'Таблиця 1'!$L:$L,"НЕ уражено")+COUNTIFS('Таблиця 1'!$B:$B,$A656,'Таблиця 1'!$I:$I,"Су-25",'Таблиця 1'!$L:$L,"НЕ уражено")+COUNTIFS('Таблиця 1'!$B:$B,$A656,'Таблиця 1'!$I:$I,"Су-27",'Таблиця 1'!$L:$L,"НЕ уражено"))</f>
        <v/>
      </c>
      <c r="T656">
        <f>IF($A656="","",COUNTIFS('Таблиця 1'!$B:$B,$A656,'Таблиця 1'!$I:$I,"Mirage",'Таблиця 1'!$L:$L,"Дорозвідується")+COUNTIFS('Таблиця 1'!$B:$B,$A656,'Таблиця 1'!$I:$I,"F-16",'Таблиця 1'!$L:$L,"Дорозвідується")+COUNTIFS('Таблиця 1'!$B:$B,$A656,'Таблиця 1'!$I:$I,"МіГ-29",'Таблиця 1'!$L:$L,"Дорозвідується")+COUNTIFS('Таблиця 1'!$B:$B,$A656,'Таблиця 1'!$I:$I,"Су-25",'Таблиця 1'!$L:$L,"Дорозвідується")+COUNTIFS('Таблиця 1'!$B:$B,$A656,'Таблиця 1'!$I:$I,"Су-27",'Таблиця 1'!$L:$L,"Дорозвідується"))</f>
        <v/>
      </c>
    </row>
    <row r="657">
      <c r="A657" s="273">
        <f>IF(A656="","",IF(A656+1&gt;MAX('Таблиця 1'!$B:$B),"",A656+1))</f>
        <v/>
      </c>
      <c r="B657">
        <f>IF($A657="","",COUNTIFS('Таблиця 1'!$B:$B,$A657,'Таблиця 1'!$I:$I,"Mirage")+COUNTIFS('Таблиця 1'!$B:$B,$A657,'Таблиця 1'!$I:$I,"F-16")+COUNTIFS('Таблиця 1'!$B:$B,$A657,'Таблиця 1'!$I:$I,"МіГ-29")+COUNTIFS('Таблиця 1'!$B:$B,$A657,'Таблиця 1'!$I:$I,"Су-25")+COUNTIFS('Таблиця 1'!$B:$B,$A657,'Таблиця 1'!$I:$I,"Су-27"))</f>
        <v/>
      </c>
      <c r="C657">
        <f>IF($A657="","",COUNTIFS('Таблиця 1'!$B:$B,$A657,'Таблиця 1'!$I:$I,"Mirage"))</f>
        <v/>
      </c>
      <c r="D657">
        <f>IF($A657="","",COUNTIFS('Таблиця 1'!$B:$B,$A657,'Таблиця 1'!$I:$I,"F-16"))</f>
        <v/>
      </c>
      <c r="E657">
        <f>IF($A657="","",COUNTIFS('Таблиця 1'!$B:$B,$A657,'Таблиця 1'!$I:$I,"МіГ-29"))</f>
        <v/>
      </c>
      <c r="F657">
        <f>IF($A657="","",COUNTIFS('Таблиця 1'!$B:$B,$A657,'Таблиця 1'!$I:$I,"Су-25"))</f>
        <v/>
      </c>
      <c r="G657">
        <f>IF($A657="","",COUNTIFS('Таблиця 1'!$B:$B,$A657,'Таблиця 1'!$I:$I,"Су-27"))</f>
        <v/>
      </c>
      <c r="H657">
        <f>IF($A657="","",SUMIFS('Таблиця 1'!$K:$K,'Таблиця 1'!$B:$B,$A657,'Таблиця 1'!$I:$I,"Mirage",'Таблиця 1'!$J:$J,"AGM-88")+SUMIFS('Таблиця 1'!$K:$K,'Таблиця 1'!$B:$B,$A657,'Таблиця 1'!$I:$I,"F-16",'Таблиця 1'!$J:$J,"AGM-88")+SUMIFS('Таблиця 1'!$K:$K,'Таблиця 1'!$B:$B,$A657,'Таблиця 1'!$I:$I,"МіГ-29",'Таблиця 1'!$J:$J,"AGM-88")+SUMIFS('Таблиця 1'!$K:$K,'Таблиця 1'!$B:$B,$A657,'Таблиця 1'!$I:$I,"Су-25",'Таблиця 1'!$J:$J,"AGM-88")+SUMIFS('Таблиця 1'!$K:$K,'Таблиця 1'!$B:$B,$A657,'Таблиця 1'!$I:$I,"Су-27",'Таблиця 1'!$J:$J,"AGM-88"))</f>
        <v/>
      </c>
      <c r="I657">
        <f>IF($A657="","",SUMIFS('Таблиця 1'!$K:$K,'Таблиця 1'!$B:$B,$A657,'Таблиця 1'!$I:$I,"Mirage",'Таблиця 1'!$J:$J,"AASM-250")+SUMIFS('Таблиця 1'!$K:$K,'Таблиця 1'!$B:$B,$A657,'Таблиця 1'!$I:$I,"F-16",'Таблиця 1'!$J:$J,"AASM-250")+SUMIFS('Таблиця 1'!$K:$K,'Таблиця 1'!$B:$B,$A657,'Таблиця 1'!$I:$I,"МіГ-29",'Таблиця 1'!$J:$J,"AASM-250")+SUMIFS('Таблиця 1'!$K:$K,'Таблиця 1'!$B:$B,$A657,'Таблиця 1'!$I:$I,"Су-25",'Таблиця 1'!$J:$J,"AASM-250")+SUMIFS('Таблиця 1'!$K:$K,'Таблиця 1'!$B:$B,$A657,'Таблиця 1'!$I:$I,"Су-27",'Таблиця 1'!$J:$J,"AASM-250"))</f>
        <v/>
      </c>
      <c r="J657">
        <f>IF($A657="","",SUMIFS('Таблиця 1'!$K:$K,'Таблиця 1'!$B:$B,$A657,'Таблиця 1'!$I:$I,"Mirage",'Таблиця 1'!$J:$J,"GBU-39")+SUMIFS('Таблиця 1'!$K:$K,'Таблиця 1'!$B:$B,$A657,'Таблиця 1'!$I:$I,"F-16",'Таблиця 1'!$J:$J,"GBU-39")+SUMIFS('Таблиця 1'!$K:$K,'Таблиця 1'!$B:$B,$A657,'Таблиця 1'!$I:$I,"МіГ-29",'Таблиця 1'!$J:$J,"GBU-39")+SUMIFS('Таблиця 1'!$K:$K,'Таблиця 1'!$B:$B,$A657,'Таблиця 1'!$I:$I,"Су-25",'Таблиця 1'!$J:$J,"GBU-39")+SUMIFS('Таблиця 1'!$K:$K,'Таблиця 1'!$B:$B,$A657,'Таблиця 1'!$I:$I,"Су-27",'Таблиця 1'!$J:$J,"GBU-39"))</f>
        <v/>
      </c>
      <c r="K657">
        <f>IF($A657="","",SUMIFS('Таблиця 1'!$K:$K,'Таблиця 1'!$B:$B,$A657,'Таблиця 1'!$I:$I,"Mirage",'Таблиця 1'!$J:$J,"BLU-140")+SUMIFS('Таблиця 1'!$K:$K,'Таблиця 1'!$B:$B,$A657,'Таблиця 1'!$I:$I,"F-16",'Таблиця 1'!$J:$J,"BLU-140")+SUMIFS('Таблиця 1'!$K:$K,'Таблиця 1'!$B:$B,$A657,'Таблиця 1'!$I:$I,"МіГ-29",'Таблиця 1'!$J:$J,"BLU-140")+SUMIFS('Таблиця 1'!$K:$K,'Таблиця 1'!$B:$B,$A657,'Таблиця 1'!$I:$I,"Су-25",'Таблиця 1'!$J:$J,"BLU-140")+SUMIFS('Таблиця 1'!$K:$K,'Таблиця 1'!$B:$B,$A657,'Таблиця 1'!$I:$I,"Су-27",'Таблиця 1'!$J:$J,"BLU-140"))</f>
        <v/>
      </c>
      <c r="L657">
        <f>IF($A657="","",SUMIFS('Таблиця 1'!$K:$K,'Таблиця 1'!$B:$B,$A657,'Таблиця 1'!$I:$I,"Mirage",'Таблиця 1'!$J:$J,"GBU-65")+SUMIFS('Таблиця 1'!$K:$K,'Таблиця 1'!$B:$B,$A657,'Таблиця 1'!$I:$I,"F-16",'Таблиця 1'!$J:$J,"GBU-65")+SUMIFS('Таблиця 1'!$K:$K,'Таблиця 1'!$B:$B,$A657,'Таблиця 1'!$I:$I,"МіГ-29",'Таблиця 1'!$J:$J,"GBU-65")+SUMIFS('Таблиця 1'!$K:$K,'Таблиця 1'!$B:$B,$A657,'Таблиця 1'!$I:$I,"Су-25",'Таблиця 1'!$J:$J,"GBU-65")+SUMIFS('Таблиця 1'!$K:$K,'Таблиця 1'!$B:$B,$A657,'Таблиця 1'!$I:$I,"Су-27",'Таблиця 1'!$J:$J,"GBU-65"))</f>
        <v/>
      </c>
      <c r="M657">
        <f>IF($A657="","",SUMIFS('Таблиця 1'!$K:$K,'Таблиця 1'!$B:$B,$A657,'Таблиця 1'!$I:$I,"Mirage",'Таблиця 1'!$J:$J,"GBU-62")+SUMIFS('Таблиця 1'!$K:$K,'Таблиця 1'!$B:$B,$A657,'Таблиця 1'!$I:$I,"F-16",'Таблиця 1'!$J:$J,"GBU-62")+SUMIFS('Таблиця 1'!$K:$K,'Таблиця 1'!$B:$B,$A657,'Таблиця 1'!$I:$I,"МіГ-29",'Таблиця 1'!$J:$J,"GBU-62")+SUMIFS('Таблиця 1'!$K:$K,'Таблиця 1'!$B:$B,$A657,'Таблиця 1'!$I:$I,"Су-25",'Таблиця 1'!$J:$J,"GBU-62")+SUMIFS('Таблиця 1'!$K:$K,'Таблиця 1'!$B:$B,$A657,'Таблиця 1'!$I:$I,"Су-27",'Таблиця 1'!$J:$J,"GBU-62"))</f>
        <v/>
      </c>
      <c r="N657">
        <f>IF($A657="","",SUMIFS('Таблиця 1'!$K:$K,'Таблиця 1'!$B:$B,$A657,'Таблиця 1'!$I:$I,"Mirage",'Таблиця 1'!$J:$J,"GBU-64")+SUMIFS('Таблиця 1'!$K:$K,'Таблиця 1'!$B:$B,$A657,'Таблиця 1'!$I:$I,"F-16",'Таблиця 1'!$J:$J,"GBU-64")+SUMIFS('Таблиця 1'!$K:$K,'Таблиця 1'!$B:$B,$A657,'Таблиця 1'!$I:$I,"МіГ-29",'Таблиця 1'!$J:$J,"GBU-64")+SUMIFS('Таблиця 1'!$K:$K,'Таблиця 1'!$B:$B,$A657,'Таблиця 1'!$I:$I,"Су-25",'Таблиця 1'!$J:$J,"GBU-64")+SUMIFS('Таблиця 1'!$K:$K,'Таблиця 1'!$B:$B,$A657,'Таблиця 1'!$I:$I,"Су-27",'Таблиця 1'!$J:$J,"GBU-64"))</f>
        <v/>
      </c>
      <c r="O657">
        <f>IF($A657="","",SUMIFS('Таблиця 1'!$K:$K,'Таблиця 1'!$B:$B,$A657,'Таблиця 1'!$I:$I,"Mirage",'Таблиця 1'!$J:$J,"C-13")+SUMIFS('Таблиця 1'!$K:$K,'Таблиця 1'!$B:$B,$A657,'Таблиця 1'!$I:$I,"F-16",'Таблиця 1'!$J:$J,"C-13")+SUMIFS('Таблиця 1'!$K:$K,'Таблиця 1'!$B:$B,$A657,'Таблиця 1'!$I:$I,"МіГ-29",'Таблиця 1'!$J:$J,"C-13")+SUMIFS('Таблиця 1'!$K:$K,'Таблиця 1'!$B:$B,$A657,'Таблиця 1'!$I:$I,"Су-25",'Таблиця 1'!$J:$J,"C-13")+SUMIFS('Таблиця 1'!$K:$K,'Таблиця 1'!$B:$B,$A657,'Таблиця 1'!$I:$I,"Су-27",'Таблиця 1'!$J:$J,"C-13"))</f>
        <v/>
      </c>
      <c r="P657">
        <f>IF($A657="","",SUMIFS('Таблиця 1'!$K:$K,'Таблиця 1'!$B:$B,$A657,'Таблиця 1'!$I:$I,"Mirage",'Таблиця 1'!$J:$J,"MK-32")+SUMIFS('Таблиця 1'!$K:$K,'Таблиця 1'!$B:$B,$A657,'Таблиця 1'!$I:$I,"F-16",'Таблиця 1'!$J:$J,"MK-32")+SUMIFS('Таблиця 1'!$K:$K,'Таблиця 1'!$B:$B,$A657,'Таблиця 1'!$I:$I,"МіГ-29",'Таблиця 1'!$J:$J,"MK-32")+SUMIFS('Таблиця 1'!$K:$K,'Таблиця 1'!$B:$B,$A657,'Таблиця 1'!$I:$I,"Су-25",'Таблиця 1'!$J:$J,"MK-32")+SUMIFS('Таблиця 1'!$K:$K,'Таблиця 1'!$B:$B,$A657,'Таблиця 1'!$I:$I,"Су-27",'Таблиця 1'!$J:$J,"MK-32"))</f>
        <v/>
      </c>
      <c r="Q657">
        <f>IF($A657="","",SUMIFS('Таблиця 1'!$K:$K,'Таблиця 1'!$B:$B,$A657,'Таблиця 1'!$I:$I,"Mirage",'Таблиця 1'!$J:$J,"MK-24")+SUMIFS('Таблиця 1'!$K:$K,'Таблиця 1'!$B:$B,$A657,'Таблиця 1'!$I:$I,"F-16",'Таблиця 1'!$J:$J,"MK-24")+SUMIFS('Таблиця 1'!$K:$K,'Таблиця 1'!$B:$B,$A657,'Таблиця 1'!$I:$I,"МіГ-29",'Таблиця 1'!$J:$J,"MK-24")+SUMIFS('Таблиця 1'!$K:$K,'Таблиця 1'!$B:$B,$A657,'Таблиця 1'!$I:$I,"Су-25",'Таблиця 1'!$J:$J,"MK-24")+SUMIFS('Таблиця 1'!$K:$K,'Таблиця 1'!$B:$B,$A657,'Таблиця 1'!$I:$I,"Су-27",'Таблиця 1'!$J:$J,"MK-24"))</f>
        <v/>
      </c>
      <c r="R657">
        <f>IF($A657="","",COUNTIFS('Таблиця 1'!$B:$B,$A657,'Таблиця 1'!$I:$I,"Mirage",'Таблиця 1'!$L:$L,"Уражено")+COUNTIFS('Таблиця 1'!$B:$B,$A657,'Таблиця 1'!$I:$I,"F-16",'Таблиця 1'!$L:$L,"Уражено")+COUNTIFS('Таблиця 1'!$B:$B,$A657,'Таблиця 1'!$I:$I,"МіГ-29",'Таблиця 1'!$L:$L,"Уражено")+COUNTIFS('Таблиця 1'!$B:$B,$A657,'Таблиця 1'!$I:$I,"Су-25",'Таблиця 1'!$L:$L,"Уражено")+COUNTIFS('Таблиця 1'!$B:$B,$A657,'Таблиця 1'!$I:$I,"Су-27",'Таблиця 1'!$L:$L,"Уражено"))</f>
        <v/>
      </c>
      <c r="S657">
        <f>IF($A657="","",COUNTIFS('Таблиця 1'!$B:$B,$A657,'Таблиця 1'!$I:$I,"Mirage",'Таблиця 1'!$L:$L,"НЕ уражено")+COUNTIFS('Таблиця 1'!$B:$B,$A657,'Таблиця 1'!$I:$I,"F-16",'Таблиця 1'!$L:$L,"НЕ уражено")+COUNTIFS('Таблиця 1'!$B:$B,$A657,'Таблиця 1'!$I:$I,"МіГ-29",'Таблиця 1'!$L:$L,"НЕ уражено")+COUNTIFS('Таблиця 1'!$B:$B,$A657,'Таблиця 1'!$I:$I,"Су-25",'Таблиця 1'!$L:$L,"НЕ уражено")+COUNTIFS('Таблиця 1'!$B:$B,$A657,'Таблиця 1'!$I:$I,"Су-27",'Таблиця 1'!$L:$L,"НЕ уражено"))</f>
        <v/>
      </c>
      <c r="T657">
        <f>IF($A657="","",COUNTIFS('Таблиця 1'!$B:$B,$A657,'Таблиця 1'!$I:$I,"Mirage",'Таблиця 1'!$L:$L,"Дорозвідується")+COUNTIFS('Таблиця 1'!$B:$B,$A657,'Таблиця 1'!$I:$I,"F-16",'Таблиця 1'!$L:$L,"Дорозвідується")+COUNTIFS('Таблиця 1'!$B:$B,$A657,'Таблиця 1'!$I:$I,"МіГ-29",'Таблиця 1'!$L:$L,"Дорозвідується")+COUNTIFS('Таблиця 1'!$B:$B,$A657,'Таблиця 1'!$I:$I,"Су-25",'Таблиця 1'!$L:$L,"Дорозвідується")+COUNTIFS('Таблиця 1'!$B:$B,$A657,'Таблиця 1'!$I:$I,"Су-27",'Таблиця 1'!$L:$L,"Дорозвідується"))</f>
        <v/>
      </c>
    </row>
    <row r="658">
      <c r="A658" s="273">
        <f>IF(A657="","",IF(A657+1&gt;MAX('Таблиця 1'!$B:$B),"",A657+1))</f>
        <v/>
      </c>
      <c r="B658">
        <f>IF($A658="","",COUNTIFS('Таблиця 1'!$B:$B,$A658,'Таблиця 1'!$I:$I,"Mirage")+COUNTIFS('Таблиця 1'!$B:$B,$A658,'Таблиця 1'!$I:$I,"F-16")+COUNTIFS('Таблиця 1'!$B:$B,$A658,'Таблиця 1'!$I:$I,"МіГ-29")+COUNTIFS('Таблиця 1'!$B:$B,$A658,'Таблиця 1'!$I:$I,"Су-25")+COUNTIFS('Таблиця 1'!$B:$B,$A658,'Таблиця 1'!$I:$I,"Су-27"))</f>
        <v/>
      </c>
      <c r="C658">
        <f>IF($A658="","",COUNTIFS('Таблиця 1'!$B:$B,$A658,'Таблиця 1'!$I:$I,"Mirage"))</f>
        <v/>
      </c>
      <c r="D658">
        <f>IF($A658="","",COUNTIFS('Таблиця 1'!$B:$B,$A658,'Таблиця 1'!$I:$I,"F-16"))</f>
        <v/>
      </c>
      <c r="E658">
        <f>IF($A658="","",COUNTIFS('Таблиця 1'!$B:$B,$A658,'Таблиця 1'!$I:$I,"МіГ-29"))</f>
        <v/>
      </c>
      <c r="F658">
        <f>IF($A658="","",COUNTIFS('Таблиця 1'!$B:$B,$A658,'Таблиця 1'!$I:$I,"Су-25"))</f>
        <v/>
      </c>
      <c r="G658">
        <f>IF($A658="","",COUNTIFS('Таблиця 1'!$B:$B,$A658,'Таблиця 1'!$I:$I,"Су-27"))</f>
        <v/>
      </c>
      <c r="H658">
        <f>IF($A658="","",SUMIFS('Таблиця 1'!$K:$K,'Таблиця 1'!$B:$B,$A658,'Таблиця 1'!$I:$I,"Mirage",'Таблиця 1'!$J:$J,"AGM-88")+SUMIFS('Таблиця 1'!$K:$K,'Таблиця 1'!$B:$B,$A658,'Таблиця 1'!$I:$I,"F-16",'Таблиця 1'!$J:$J,"AGM-88")+SUMIFS('Таблиця 1'!$K:$K,'Таблиця 1'!$B:$B,$A658,'Таблиця 1'!$I:$I,"МіГ-29",'Таблиця 1'!$J:$J,"AGM-88")+SUMIFS('Таблиця 1'!$K:$K,'Таблиця 1'!$B:$B,$A658,'Таблиця 1'!$I:$I,"Су-25",'Таблиця 1'!$J:$J,"AGM-88")+SUMIFS('Таблиця 1'!$K:$K,'Таблиця 1'!$B:$B,$A658,'Таблиця 1'!$I:$I,"Су-27",'Таблиця 1'!$J:$J,"AGM-88"))</f>
        <v/>
      </c>
      <c r="I658">
        <f>IF($A658="","",SUMIFS('Таблиця 1'!$K:$K,'Таблиця 1'!$B:$B,$A658,'Таблиця 1'!$I:$I,"Mirage",'Таблиця 1'!$J:$J,"AASM-250")+SUMIFS('Таблиця 1'!$K:$K,'Таблиця 1'!$B:$B,$A658,'Таблиця 1'!$I:$I,"F-16",'Таблиця 1'!$J:$J,"AASM-250")+SUMIFS('Таблиця 1'!$K:$K,'Таблиця 1'!$B:$B,$A658,'Таблиця 1'!$I:$I,"МіГ-29",'Таблиця 1'!$J:$J,"AASM-250")+SUMIFS('Таблиця 1'!$K:$K,'Таблиця 1'!$B:$B,$A658,'Таблиця 1'!$I:$I,"Су-25",'Таблиця 1'!$J:$J,"AASM-250")+SUMIFS('Таблиця 1'!$K:$K,'Таблиця 1'!$B:$B,$A658,'Таблиця 1'!$I:$I,"Су-27",'Таблиця 1'!$J:$J,"AASM-250"))</f>
        <v/>
      </c>
      <c r="J658">
        <f>IF($A658="","",SUMIFS('Таблиця 1'!$K:$K,'Таблиця 1'!$B:$B,$A658,'Таблиця 1'!$I:$I,"Mirage",'Таблиця 1'!$J:$J,"GBU-39")+SUMIFS('Таблиця 1'!$K:$K,'Таблиця 1'!$B:$B,$A658,'Таблиця 1'!$I:$I,"F-16",'Таблиця 1'!$J:$J,"GBU-39")+SUMIFS('Таблиця 1'!$K:$K,'Таблиця 1'!$B:$B,$A658,'Таблиця 1'!$I:$I,"МіГ-29",'Таблиця 1'!$J:$J,"GBU-39")+SUMIFS('Таблиця 1'!$K:$K,'Таблиця 1'!$B:$B,$A658,'Таблиця 1'!$I:$I,"Су-25",'Таблиця 1'!$J:$J,"GBU-39")+SUMIFS('Таблиця 1'!$K:$K,'Таблиця 1'!$B:$B,$A658,'Таблиця 1'!$I:$I,"Су-27",'Таблиця 1'!$J:$J,"GBU-39"))</f>
        <v/>
      </c>
      <c r="K658">
        <f>IF($A658="","",SUMIFS('Таблиця 1'!$K:$K,'Таблиця 1'!$B:$B,$A658,'Таблиця 1'!$I:$I,"Mirage",'Таблиця 1'!$J:$J,"BLU-140")+SUMIFS('Таблиця 1'!$K:$K,'Таблиця 1'!$B:$B,$A658,'Таблиця 1'!$I:$I,"F-16",'Таблиця 1'!$J:$J,"BLU-140")+SUMIFS('Таблиця 1'!$K:$K,'Таблиця 1'!$B:$B,$A658,'Таблиця 1'!$I:$I,"МіГ-29",'Таблиця 1'!$J:$J,"BLU-140")+SUMIFS('Таблиця 1'!$K:$K,'Таблиця 1'!$B:$B,$A658,'Таблиця 1'!$I:$I,"Су-25",'Таблиця 1'!$J:$J,"BLU-140")+SUMIFS('Таблиця 1'!$K:$K,'Таблиця 1'!$B:$B,$A658,'Таблиця 1'!$I:$I,"Су-27",'Таблиця 1'!$J:$J,"BLU-140"))</f>
        <v/>
      </c>
      <c r="L658">
        <f>IF($A658="","",SUMIFS('Таблиця 1'!$K:$K,'Таблиця 1'!$B:$B,$A658,'Таблиця 1'!$I:$I,"Mirage",'Таблиця 1'!$J:$J,"GBU-65")+SUMIFS('Таблиця 1'!$K:$K,'Таблиця 1'!$B:$B,$A658,'Таблиця 1'!$I:$I,"F-16",'Таблиця 1'!$J:$J,"GBU-65")+SUMIFS('Таблиця 1'!$K:$K,'Таблиця 1'!$B:$B,$A658,'Таблиця 1'!$I:$I,"МіГ-29",'Таблиця 1'!$J:$J,"GBU-65")+SUMIFS('Таблиця 1'!$K:$K,'Таблиця 1'!$B:$B,$A658,'Таблиця 1'!$I:$I,"Су-25",'Таблиця 1'!$J:$J,"GBU-65")+SUMIFS('Таблиця 1'!$K:$K,'Таблиця 1'!$B:$B,$A658,'Таблиця 1'!$I:$I,"Су-27",'Таблиця 1'!$J:$J,"GBU-65"))</f>
        <v/>
      </c>
      <c r="M658">
        <f>IF($A658="","",SUMIFS('Таблиця 1'!$K:$K,'Таблиця 1'!$B:$B,$A658,'Таблиця 1'!$I:$I,"Mirage",'Таблиця 1'!$J:$J,"GBU-62")+SUMIFS('Таблиця 1'!$K:$K,'Таблиця 1'!$B:$B,$A658,'Таблиця 1'!$I:$I,"F-16",'Таблиця 1'!$J:$J,"GBU-62")+SUMIFS('Таблиця 1'!$K:$K,'Таблиця 1'!$B:$B,$A658,'Таблиця 1'!$I:$I,"МіГ-29",'Таблиця 1'!$J:$J,"GBU-62")+SUMIFS('Таблиця 1'!$K:$K,'Таблиця 1'!$B:$B,$A658,'Таблиця 1'!$I:$I,"Су-25",'Таблиця 1'!$J:$J,"GBU-62")+SUMIFS('Таблиця 1'!$K:$K,'Таблиця 1'!$B:$B,$A658,'Таблиця 1'!$I:$I,"Су-27",'Таблиця 1'!$J:$J,"GBU-62"))</f>
        <v/>
      </c>
      <c r="N658">
        <f>IF($A658="","",SUMIFS('Таблиця 1'!$K:$K,'Таблиця 1'!$B:$B,$A658,'Таблиця 1'!$I:$I,"Mirage",'Таблиця 1'!$J:$J,"GBU-64")+SUMIFS('Таблиця 1'!$K:$K,'Таблиця 1'!$B:$B,$A658,'Таблиця 1'!$I:$I,"F-16",'Таблиця 1'!$J:$J,"GBU-64")+SUMIFS('Таблиця 1'!$K:$K,'Таблиця 1'!$B:$B,$A658,'Таблиця 1'!$I:$I,"МіГ-29",'Таблиця 1'!$J:$J,"GBU-64")+SUMIFS('Таблиця 1'!$K:$K,'Таблиця 1'!$B:$B,$A658,'Таблиця 1'!$I:$I,"Су-25",'Таблиця 1'!$J:$J,"GBU-64")+SUMIFS('Таблиця 1'!$K:$K,'Таблиця 1'!$B:$B,$A658,'Таблиця 1'!$I:$I,"Су-27",'Таблиця 1'!$J:$J,"GBU-64"))</f>
        <v/>
      </c>
      <c r="O658">
        <f>IF($A658="","",SUMIFS('Таблиця 1'!$K:$K,'Таблиця 1'!$B:$B,$A658,'Таблиця 1'!$I:$I,"Mirage",'Таблиця 1'!$J:$J,"C-13")+SUMIFS('Таблиця 1'!$K:$K,'Таблиця 1'!$B:$B,$A658,'Таблиця 1'!$I:$I,"F-16",'Таблиця 1'!$J:$J,"C-13")+SUMIFS('Таблиця 1'!$K:$K,'Таблиця 1'!$B:$B,$A658,'Таблиця 1'!$I:$I,"МіГ-29",'Таблиця 1'!$J:$J,"C-13")+SUMIFS('Таблиця 1'!$K:$K,'Таблиця 1'!$B:$B,$A658,'Таблиця 1'!$I:$I,"Су-25",'Таблиця 1'!$J:$J,"C-13")+SUMIFS('Таблиця 1'!$K:$K,'Таблиця 1'!$B:$B,$A658,'Таблиця 1'!$I:$I,"Су-27",'Таблиця 1'!$J:$J,"C-13"))</f>
        <v/>
      </c>
      <c r="P658">
        <f>IF($A658="","",SUMIFS('Таблиця 1'!$K:$K,'Таблиця 1'!$B:$B,$A658,'Таблиця 1'!$I:$I,"Mirage",'Таблиця 1'!$J:$J,"MK-32")+SUMIFS('Таблиця 1'!$K:$K,'Таблиця 1'!$B:$B,$A658,'Таблиця 1'!$I:$I,"F-16",'Таблиця 1'!$J:$J,"MK-32")+SUMIFS('Таблиця 1'!$K:$K,'Таблиця 1'!$B:$B,$A658,'Таблиця 1'!$I:$I,"МіГ-29",'Таблиця 1'!$J:$J,"MK-32")+SUMIFS('Таблиця 1'!$K:$K,'Таблиця 1'!$B:$B,$A658,'Таблиця 1'!$I:$I,"Су-25",'Таблиця 1'!$J:$J,"MK-32")+SUMIFS('Таблиця 1'!$K:$K,'Таблиця 1'!$B:$B,$A658,'Таблиця 1'!$I:$I,"Су-27",'Таблиця 1'!$J:$J,"MK-32"))</f>
        <v/>
      </c>
      <c r="Q658">
        <f>IF($A658="","",SUMIFS('Таблиця 1'!$K:$K,'Таблиця 1'!$B:$B,$A658,'Таблиця 1'!$I:$I,"Mirage",'Таблиця 1'!$J:$J,"MK-24")+SUMIFS('Таблиця 1'!$K:$K,'Таблиця 1'!$B:$B,$A658,'Таблиця 1'!$I:$I,"F-16",'Таблиця 1'!$J:$J,"MK-24")+SUMIFS('Таблиця 1'!$K:$K,'Таблиця 1'!$B:$B,$A658,'Таблиця 1'!$I:$I,"МіГ-29",'Таблиця 1'!$J:$J,"MK-24")+SUMIFS('Таблиця 1'!$K:$K,'Таблиця 1'!$B:$B,$A658,'Таблиця 1'!$I:$I,"Су-25",'Таблиця 1'!$J:$J,"MK-24")+SUMIFS('Таблиця 1'!$K:$K,'Таблиця 1'!$B:$B,$A658,'Таблиця 1'!$I:$I,"Су-27",'Таблиця 1'!$J:$J,"MK-24"))</f>
        <v/>
      </c>
      <c r="R658">
        <f>IF($A658="","",COUNTIFS('Таблиця 1'!$B:$B,$A658,'Таблиця 1'!$I:$I,"Mirage",'Таблиця 1'!$L:$L,"Уражено")+COUNTIFS('Таблиця 1'!$B:$B,$A658,'Таблиця 1'!$I:$I,"F-16",'Таблиця 1'!$L:$L,"Уражено")+COUNTIFS('Таблиця 1'!$B:$B,$A658,'Таблиця 1'!$I:$I,"МіГ-29",'Таблиця 1'!$L:$L,"Уражено")+COUNTIFS('Таблиця 1'!$B:$B,$A658,'Таблиця 1'!$I:$I,"Су-25",'Таблиця 1'!$L:$L,"Уражено")+COUNTIFS('Таблиця 1'!$B:$B,$A658,'Таблиця 1'!$I:$I,"Су-27",'Таблиця 1'!$L:$L,"Уражено"))</f>
        <v/>
      </c>
      <c r="S658">
        <f>IF($A658="","",COUNTIFS('Таблиця 1'!$B:$B,$A658,'Таблиця 1'!$I:$I,"Mirage",'Таблиця 1'!$L:$L,"НЕ уражено")+COUNTIFS('Таблиця 1'!$B:$B,$A658,'Таблиця 1'!$I:$I,"F-16",'Таблиця 1'!$L:$L,"НЕ уражено")+COUNTIFS('Таблиця 1'!$B:$B,$A658,'Таблиця 1'!$I:$I,"МіГ-29",'Таблиця 1'!$L:$L,"НЕ уражено")+COUNTIFS('Таблиця 1'!$B:$B,$A658,'Таблиця 1'!$I:$I,"Су-25",'Таблиця 1'!$L:$L,"НЕ уражено")+COUNTIFS('Таблиця 1'!$B:$B,$A658,'Таблиця 1'!$I:$I,"Су-27",'Таблиця 1'!$L:$L,"НЕ уражено"))</f>
        <v/>
      </c>
      <c r="T658">
        <f>IF($A658="","",COUNTIFS('Таблиця 1'!$B:$B,$A658,'Таблиця 1'!$I:$I,"Mirage",'Таблиця 1'!$L:$L,"Дорозвідується")+COUNTIFS('Таблиця 1'!$B:$B,$A658,'Таблиця 1'!$I:$I,"F-16",'Таблиця 1'!$L:$L,"Дорозвідується")+COUNTIFS('Таблиця 1'!$B:$B,$A658,'Таблиця 1'!$I:$I,"МіГ-29",'Таблиця 1'!$L:$L,"Дорозвідується")+COUNTIFS('Таблиця 1'!$B:$B,$A658,'Таблиця 1'!$I:$I,"Су-25",'Таблиця 1'!$L:$L,"Дорозвідується")+COUNTIFS('Таблиця 1'!$B:$B,$A658,'Таблиця 1'!$I:$I,"Су-27",'Таблиця 1'!$L:$L,"Дорозвідується"))</f>
        <v/>
      </c>
    </row>
    <row r="659">
      <c r="A659" s="273">
        <f>IF(A658="","",IF(A658+1&gt;MAX('Таблиця 1'!$B:$B),"",A658+1))</f>
        <v/>
      </c>
      <c r="B659">
        <f>IF($A659="","",COUNTIFS('Таблиця 1'!$B:$B,$A659,'Таблиця 1'!$I:$I,"Mirage")+COUNTIFS('Таблиця 1'!$B:$B,$A659,'Таблиця 1'!$I:$I,"F-16")+COUNTIFS('Таблиця 1'!$B:$B,$A659,'Таблиця 1'!$I:$I,"МіГ-29")+COUNTIFS('Таблиця 1'!$B:$B,$A659,'Таблиця 1'!$I:$I,"Су-25")+COUNTIFS('Таблиця 1'!$B:$B,$A659,'Таблиця 1'!$I:$I,"Су-27"))</f>
        <v/>
      </c>
      <c r="C659">
        <f>IF($A659="","",COUNTIFS('Таблиця 1'!$B:$B,$A659,'Таблиця 1'!$I:$I,"Mirage"))</f>
        <v/>
      </c>
      <c r="D659">
        <f>IF($A659="","",COUNTIFS('Таблиця 1'!$B:$B,$A659,'Таблиця 1'!$I:$I,"F-16"))</f>
        <v/>
      </c>
      <c r="E659">
        <f>IF($A659="","",COUNTIFS('Таблиця 1'!$B:$B,$A659,'Таблиця 1'!$I:$I,"МіГ-29"))</f>
        <v/>
      </c>
      <c r="F659">
        <f>IF($A659="","",COUNTIFS('Таблиця 1'!$B:$B,$A659,'Таблиця 1'!$I:$I,"Су-25"))</f>
        <v/>
      </c>
      <c r="G659">
        <f>IF($A659="","",COUNTIFS('Таблиця 1'!$B:$B,$A659,'Таблиця 1'!$I:$I,"Су-27"))</f>
        <v/>
      </c>
      <c r="H659">
        <f>IF($A659="","",SUMIFS('Таблиця 1'!$K:$K,'Таблиця 1'!$B:$B,$A659,'Таблиця 1'!$I:$I,"Mirage",'Таблиця 1'!$J:$J,"AGM-88")+SUMIFS('Таблиця 1'!$K:$K,'Таблиця 1'!$B:$B,$A659,'Таблиця 1'!$I:$I,"F-16",'Таблиця 1'!$J:$J,"AGM-88")+SUMIFS('Таблиця 1'!$K:$K,'Таблиця 1'!$B:$B,$A659,'Таблиця 1'!$I:$I,"МіГ-29",'Таблиця 1'!$J:$J,"AGM-88")+SUMIFS('Таблиця 1'!$K:$K,'Таблиця 1'!$B:$B,$A659,'Таблиця 1'!$I:$I,"Су-25",'Таблиця 1'!$J:$J,"AGM-88")+SUMIFS('Таблиця 1'!$K:$K,'Таблиця 1'!$B:$B,$A659,'Таблиця 1'!$I:$I,"Су-27",'Таблиця 1'!$J:$J,"AGM-88"))</f>
        <v/>
      </c>
      <c r="I659">
        <f>IF($A659="","",SUMIFS('Таблиця 1'!$K:$K,'Таблиця 1'!$B:$B,$A659,'Таблиця 1'!$I:$I,"Mirage",'Таблиця 1'!$J:$J,"AASM-250")+SUMIFS('Таблиця 1'!$K:$K,'Таблиця 1'!$B:$B,$A659,'Таблиця 1'!$I:$I,"F-16",'Таблиця 1'!$J:$J,"AASM-250")+SUMIFS('Таблиця 1'!$K:$K,'Таблиця 1'!$B:$B,$A659,'Таблиця 1'!$I:$I,"МіГ-29",'Таблиця 1'!$J:$J,"AASM-250")+SUMIFS('Таблиця 1'!$K:$K,'Таблиця 1'!$B:$B,$A659,'Таблиця 1'!$I:$I,"Су-25",'Таблиця 1'!$J:$J,"AASM-250")+SUMIFS('Таблиця 1'!$K:$K,'Таблиця 1'!$B:$B,$A659,'Таблиця 1'!$I:$I,"Су-27",'Таблиця 1'!$J:$J,"AASM-250"))</f>
        <v/>
      </c>
      <c r="J659">
        <f>IF($A659="","",SUMIFS('Таблиця 1'!$K:$K,'Таблиця 1'!$B:$B,$A659,'Таблиця 1'!$I:$I,"Mirage",'Таблиця 1'!$J:$J,"GBU-39")+SUMIFS('Таблиця 1'!$K:$K,'Таблиця 1'!$B:$B,$A659,'Таблиця 1'!$I:$I,"F-16",'Таблиця 1'!$J:$J,"GBU-39")+SUMIFS('Таблиця 1'!$K:$K,'Таблиця 1'!$B:$B,$A659,'Таблиця 1'!$I:$I,"МіГ-29",'Таблиця 1'!$J:$J,"GBU-39")+SUMIFS('Таблиця 1'!$K:$K,'Таблиця 1'!$B:$B,$A659,'Таблиця 1'!$I:$I,"Су-25",'Таблиця 1'!$J:$J,"GBU-39")+SUMIFS('Таблиця 1'!$K:$K,'Таблиця 1'!$B:$B,$A659,'Таблиця 1'!$I:$I,"Су-27",'Таблиця 1'!$J:$J,"GBU-39"))</f>
        <v/>
      </c>
      <c r="K659">
        <f>IF($A659="","",SUMIFS('Таблиця 1'!$K:$K,'Таблиця 1'!$B:$B,$A659,'Таблиця 1'!$I:$I,"Mirage",'Таблиця 1'!$J:$J,"BLU-140")+SUMIFS('Таблиця 1'!$K:$K,'Таблиця 1'!$B:$B,$A659,'Таблиця 1'!$I:$I,"F-16",'Таблиця 1'!$J:$J,"BLU-140")+SUMIFS('Таблиця 1'!$K:$K,'Таблиця 1'!$B:$B,$A659,'Таблиця 1'!$I:$I,"МіГ-29",'Таблиця 1'!$J:$J,"BLU-140")+SUMIFS('Таблиця 1'!$K:$K,'Таблиця 1'!$B:$B,$A659,'Таблиця 1'!$I:$I,"Су-25",'Таблиця 1'!$J:$J,"BLU-140")+SUMIFS('Таблиця 1'!$K:$K,'Таблиця 1'!$B:$B,$A659,'Таблиця 1'!$I:$I,"Су-27",'Таблиця 1'!$J:$J,"BLU-140"))</f>
        <v/>
      </c>
      <c r="L659">
        <f>IF($A659="","",SUMIFS('Таблиця 1'!$K:$K,'Таблиця 1'!$B:$B,$A659,'Таблиця 1'!$I:$I,"Mirage",'Таблиця 1'!$J:$J,"GBU-65")+SUMIFS('Таблиця 1'!$K:$K,'Таблиця 1'!$B:$B,$A659,'Таблиця 1'!$I:$I,"F-16",'Таблиця 1'!$J:$J,"GBU-65")+SUMIFS('Таблиця 1'!$K:$K,'Таблиця 1'!$B:$B,$A659,'Таблиця 1'!$I:$I,"МіГ-29",'Таблиця 1'!$J:$J,"GBU-65")+SUMIFS('Таблиця 1'!$K:$K,'Таблиця 1'!$B:$B,$A659,'Таблиця 1'!$I:$I,"Су-25",'Таблиця 1'!$J:$J,"GBU-65")+SUMIFS('Таблиця 1'!$K:$K,'Таблиця 1'!$B:$B,$A659,'Таблиця 1'!$I:$I,"Су-27",'Таблиця 1'!$J:$J,"GBU-65"))</f>
        <v/>
      </c>
      <c r="M659">
        <f>IF($A659="","",SUMIFS('Таблиця 1'!$K:$K,'Таблиця 1'!$B:$B,$A659,'Таблиця 1'!$I:$I,"Mirage",'Таблиця 1'!$J:$J,"GBU-62")+SUMIFS('Таблиця 1'!$K:$K,'Таблиця 1'!$B:$B,$A659,'Таблиця 1'!$I:$I,"F-16",'Таблиця 1'!$J:$J,"GBU-62")+SUMIFS('Таблиця 1'!$K:$K,'Таблиця 1'!$B:$B,$A659,'Таблиця 1'!$I:$I,"МіГ-29",'Таблиця 1'!$J:$J,"GBU-62")+SUMIFS('Таблиця 1'!$K:$K,'Таблиця 1'!$B:$B,$A659,'Таблиця 1'!$I:$I,"Су-25",'Таблиця 1'!$J:$J,"GBU-62")+SUMIFS('Таблиця 1'!$K:$K,'Таблиця 1'!$B:$B,$A659,'Таблиця 1'!$I:$I,"Су-27",'Таблиця 1'!$J:$J,"GBU-62"))</f>
        <v/>
      </c>
      <c r="N659">
        <f>IF($A659="","",SUMIFS('Таблиця 1'!$K:$K,'Таблиця 1'!$B:$B,$A659,'Таблиця 1'!$I:$I,"Mirage",'Таблиця 1'!$J:$J,"GBU-64")+SUMIFS('Таблиця 1'!$K:$K,'Таблиця 1'!$B:$B,$A659,'Таблиця 1'!$I:$I,"F-16",'Таблиця 1'!$J:$J,"GBU-64")+SUMIFS('Таблиця 1'!$K:$K,'Таблиця 1'!$B:$B,$A659,'Таблиця 1'!$I:$I,"МіГ-29",'Таблиця 1'!$J:$J,"GBU-64")+SUMIFS('Таблиця 1'!$K:$K,'Таблиця 1'!$B:$B,$A659,'Таблиця 1'!$I:$I,"Су-25",'Таблиця 1'!$J:$J,"GBU-64")+SUMIFS('Таблиця 1'!$K:$K,'Таблиця 1'!$B:$B,$A659,'Таблиця 1'!$I:$I,"Су-27",'Таблиця 1'!$J:$J,"GBU-64"))</f>
        <v/>
      </c>
      <c r="O659">
        <f>IF($A659="","",SUMIFS('Таблиця 1'!$K:$K,'Таблиця 1'!$B:$B,$A659,'Таблиця 1'!$I:$I,"Mirage",'Таблиця 1'!$J:$J,"C-13")+SUMIFS('Таблиця 1'!$K:$K,'Таблиця 1'!$B:$B,$A659,'Таблиця 1'!$I:$I,"F-16",'Таблиця 1'!$J:$J,"C-13")+SUMIFS('Таблиця 1'!$K:$K,'Таблиця 1'!$B:$B,$A659,'Таблиця 1'!$I:$I,"МіГ-29",'Таблиця 1'!$J:$J,"C-13")+SUMIFS('Таблиця 1'!$K:$K,'Таблиця 1'!$B:$B,$A659,'Таблиця 1'!$I:$I,"Су-25",'Таблиця 1'!$J:$J,"C-13")+SUMIFS('Таблиця 1'!$K:$K,'Таблиця 1'!$B:$B,$A659,'Таблиця 1'!$I:$I,"Су-27",'Таблиця 1'!$J:$J,"C-13"))</f>
        <v/>
      </c>
      <c r="P659">
        <f>IF($A659="","",SUMIFS('Таблиця 1'!$K:$K,'Таблиця 1'!$B:$B,$A659,'Таблиця 1'!$I:$I,"Mirage",'Таблиця 1'!$J:$J,"MK-32")+SUMIFS('Таблиця 1'!$K:$K,'Таблиця 1'!$B:$B,$A659,'Таблиця 1'!$I:$I,"F-16",'Таблиця 1'!$J:$J,"MK-32")+SUMIFS('Таблиця 1'!$K:$K,'Таблиця 1'!$B:$B,$A659,'Таблиця 1'!$I:$I,"МіГ-29",'Таблиця 1'!$J:$J,"MK-32")+SUMIFS('Таблиця 1'!$K:$K,'Таблиця 1'!$B:$B,$A659,'Таблиця 1'!$I:$I,"Су-25",'Таблиця 1'!$J:$J,"MK-32")+SUMIFS('Таблиця 1'!$K:$K,'Таблиця 1'!$B:$B,$A659,'Таблиця 1'!$I:$I,"Су-27",'Таблиця 1'!$J:$J,"MK-32"))</f>
        <v/>
      </c>
      <c r="Q659">
        <f>IF($A659="","",SUMIFS('Таблиця 1'!$K:$K,'Таблиця 1'!$B:$B,$A659,'Таблиця 1'!$I:$I,"Mirage",'Таблиця 1'!$J:$J,"MK-24")+SUMIFS('Таблиця 1'!$K:$K,'Таблиця 1'!$B:$B,$A659,'Таблиця 1'!$I:$I,"F-16",'Таблиця 1'!$J:$J,"MK-24")+SUMIFS('Таблиця 1'!$K:$K,'Таблиця 1'!$B:$B,$A659,'Таблиця 1'!$I:$I,"МіГ-29",'Таблиця 1'!$J:$J,"MK-24")+SUMIFS('Таблиця 1'!$K:$K,'Таблиця 1'!$B:$B,$A659,'Таблиця 1'!$I:$I,"Су-25",'Таблиця 1'!$J:$J,"MK-24")+SUMIFS('Таблиця 1'!$K:$K,'Таблиця 1'!$B:$B,$A659,'Таблиця 1'!$I:$I,"Су-27",'Таблиця 1'!$J:$J,"MK-24"))</f>
        <v/>
      </c>
      <c r="R659">
        <f>IF($A659="","",COUNTIFS('Таблиця 1'!$B:$B,$A659,'Таблиця 1'!$I:$I,"Mirage",'Таблиця 1'!$L:$L,"Уражено")+COUNTIFS('Таблиця 1'!$B:$B,$A659,'Таблиця 1'!$I:$I,"F-16",'Таблиця 1'!$L:$L,"Уражено")+COUNTIFS('Таблиця 1'!$B:$B,$A659,'Таблиця 1'!$I:$I,"МіГ-29",'Таблиця 1'!$L:$L,"Уражено")+COUNTIFS('Таблиця 1'!$B:$B,$A659,'Таблиця 1'!$I:$I,"Су-25",'Таблиця 1'!$L:$L,"Уражено")+COUNTIFS('Таблиця 1'!$B:$B,$A659,'Таблиця 1'!$I:$I,"Су-27",'Таблиця 1'!$L:$L,"Уражено"))</f>
        <v/>
      </c>
      <c r="S659">
        <f>IF($A659="","",COUNTIFS('Таблиця 1'!$B:$B,$A659,'Таблиця 1'!$I:$I,"Mirage",'Таблиця 1'!$L:$L,"НЕ уражено")+COUNTIFS('Таблиця 1'!$B:$B,$A659,'Таблиця 1'!$I:$I,"F-16",'Таблиця 1'!$L:$L,"НЕ уражено")+COUNTIFS('Таблиця 1'!$B:$B,$A659,'Таблиця 1'!$I:$I,"МіГ-29",'Таблиця 1'!$L:$L,"НЕ уражено")+COUNTIFS('Таблиця 1'!$B:$B,$A659,'Таблиця 1'!$I:$I,"Су-25",'Таблиця 1'!$L:$L,"НЕ уражено")+COUNTIFS('Таблиця 1'!$B:$B,$A659,'Таблиця 1'!$I:$I,"Су-27",'Таблиця 1'!$L:$L,"НЕ уражено"))</f>
        <v/>
      </c>
      <c r="T659">
        <f>IF($A659="","",COUNTIFS('Таблиця 1'!$B:$B,$A659,'Таблиця 1'!$I:$I,"Mirage",'Таблиця 1'!$L:$L,"Дорозвідується")+COUNTIFS('Таблиця 1'!$B:$B,$A659,'Таблиця 1'!$I:$I,"F-16",'Таблиця 1'!$L:$L,"Дорозвідується")+COUNTIFS('Таблиця 1'!$B:$B,$A659,'Таблиця 1'!$I:$I,"МіГ-29",'Таблиця 1'!$L:$L,"Дорозвідується")+COUNTIFS('Таблиця 1'!$B:$B,$A659,'Таблиця 1'!$I:$I,"Су-25",'Таблиця 1'!$L:$L,"Дорозвідується")+COUNTIFS('Таблиця 1'!$B:$B,$A659,'Таблиця 1'!$I:$I,"Су-27",'Таблиця 1'!$L:$L,"Дорозвідується"))</f>
        <v/>
      </c>
    </row>
    <row r="660">
      <c r="A660" s="273">
        <f>IF(A659="","",IF(A659+1&gt;MAX('Таблиця 1'!$B:$B),"",A659+1))</f>
        <v/>
      </c>
      <c r="B660">
        <f>IF($A660="","",COUNTIFS('Таблиця 1'!$B:$B,$A660,'Таблиця 1'!$I:$I,"Mirage")+COUNTIFS('Таблиця 1'!$B:$B,$A660,'Таблиця 1'!$I:$I,"F-16")+COUNTIFS('Таблиця 1'!$B:$B,$A660,'Таблиця 1'!$I:$I,"МіГ-29")+COUNTIFS('Таблиця 1'!$B:$B,$A660,'Таблиця 1'!$I:$I,"Су-25")+COUNTIFS('Таблиця 1'!$B:$B,$A660,'Таблиця 1'!$I:$I,"Су-27"))</f>
        <v/>
      </c>
      <c r="C660">
        <f>IF($A660="","",COUNTIFS('Таблиця 1'!$B:$B,$A660,'Таблиця 1'!$I:$I,"Mirage"))</f>
        <v/>
      </c>
      <c r="D660">
        <f>IF($A660="","",COUNTIFS('Таблиця 1'!$B:$B,$A660,'Таблиця 1'!$I:$I,"F-16"))</f>
        <v/>
      </c>
      <c r="E660">
        <f>IF($A660="","",COUNTIFS('Таблиця 1'!$B:$B,$A660,'Таблиця 1'!$I:$I,"МіГ-29"))</f>
        <v/>
      </c>
      <c r="F660">
        <f>IF($A660="","",COUNTIFS('Таблиця 1'!$B:$B,$A660,'Таблиця 1'!$I:$I,"Су-25"))</f>
        <v/>
      </c>
      <c r="G660">
        <f>IF($A660="","",COUNTIFS('Таблиця 1'!$B:$B,$A660,'Таблиця 1'!$I:$I,"Су-27"))</f>
        <v/>
      </c>
      <c r="H660">
        <f>IF($A660="","",SUMIFS('Таблиця 1'!$K:$K,'Таблиця 1'!$B:$B,$A660,'Таблиця 1'!$I:$I,"Mirage",'Таблиця 1'!$J:$J,"AGM-88")+SUMIFS('Таблиця 1'!$K:$K,'Таблиця 1'!$B:$B,$A660,'Таблиця 1'!$I:$I,"F-16",'Таблиця 1'!$J:$J,"AGM-88")+SUMIFS('Таблиця 1'!$K:$K,'Таблиця 1'!$B:$B,$A660,'Таблиця 1'!$I:$I,"МіГ-29",'Таблиця 1'!$J:$J,"AGM-88")+SUMIFS('Таблиця 1'!$K:$K,'Таблиця 1'!$B:$B,$A660,'Таблиця 1'!$I:$I,"Су-25",'Таблиця 1'!$J:$J,"AGM-88")+SUMIFS('Таблиця 1'!$K:$K,'Таблиця 1'!$B:$B,$A660,'Таблиця 1'!$I:$I,"Су-27",'Таблиця 1'!$J:$J,"AGM-88"))</f>
        <v/>
      </c>
      <c r="I660">
        <f>IF($A660="","",SUMIFS('Таблиця 1'!$K:$K,'Таблиця 1'!$B:$B,$A660,'Таблиця 1'!$I:$I,"Mirage",'Таблиця 1'!$J:$J,"AASM-250")+SUMIFS('Таблиця 1'!$K:$K,'Таблиця 1'!$B:$B,$A660,'Таблиця 1'!$I:$I,"F-16",'Таблиця 1'!$J:$J,"AASM-250")+SUMIFS('Таблиця 1'!$K:$K,'Таблиця 1'!$B:$B,$A660,'Таблиця 1'!$I:$I,"МіГ-29",'Таблиця 1'!$J:$J,"AASM-250")+SUMIFS('Таблиця 1'!$K:$K,'Таблиця 1'!$B:$B,$A660,'Таблиця 1'!$I:$I,"Су-25",'Таблиця 1'!$J:$J,"AASM-250")+SUMIFS('Таблиця 1'!$K:$K,'Таблиця 1'!$B:$B,$A660,'Таблиця 1'!$I:$I,"Су-27",'Таблиця 1'!$J:$J,"AASM-250"))</f>
        <v/>
      </c>
      <c r="J660">
        <f>IF($A660="","",SUMIFS('Таблиця 1'!$K:$K,'Таблиця 1'!$B:$B,$A660,'Таблиця 1'!$I:$I,"Mirage",'Таблиця 1'!$J:$J,"GBU-39")+SUMIFS('Таблиця 1'!$K:$K,'Таблиця 1'!$B:$B,$A660,'Таблиця 1'!$I:$I,"F-16",'Таблиця 1'!$J:$J,"GBU-39")+SUMIFS('Таблиця 1'!$K:$K,'Таблиця 1'!$B:$B,$A660,'Таблиця 1'!$I:$I,"МіГ-29",'Таблиця 1'!$J:$J,"GBU-39")+SUMIFS('Таблиця 1'!$K:$K,'Таблиця 1'!$B:$B,$A660,'Таблиця 1'!$I:$I,"Су-25",'Таблиця 1'!$J:$J,"GBU-39")+SUMIFS('Таблиця 1'!$K:$K,'Таблиця 1'!$B:$B,$A660,'Таблиця 1'!$I:$I,"Су-27",'Таблиця 1'!$J:$J,"GBU-39"))</f>
        <v/>
      </c>
      <c r="K660">
        <f>IF($A660="","",SUMIFS('Таблиця 1'!$K:$K,'Таблиця 1'!$B:$B,$A660,'Таблиця 1'!$I:$I,"Mirage",'Таблиця 1'!$J:$J,"BLU-140")+SUMIFS('Таблиця 1'!$K:$K,'Таблиця 1'!$B:$B,$A660,'Таблиця 1'!$I:$I,"F-16",'Таблиця 1'!$J:$J,"BLU-140")+SUMIFS('Таблиця 1'!$K:$K,'Таблиця 1'!$B:$B,$A660,'Таблиця 1'!$I:$I,"МіГ-29",'Таблиця 1'!$J:$J,"BLU-140")+SUMIFS('Таблиця 1'!$K:$K,'Таблиця 1'!$B:$B,$A660,'Таблиця 1'!$I:$I,"Су-25",'Таблиця 1'!$J:$J,"BLU-140")+SUMIFS('Таблиця 1'!$K:$K,'Таблиця 1'!$B:$B,$A660,'Таблиця 1'!$I:$I,"Су-27",'Таблиця 1'!$J:$J,"BLU-140"))</f>
        <v/>
      </c>
      <c r="L660">
        <f>IF($A660="","",SUMIFS('Таблиця 1'!$K:$K,'Таблиця 1'!$B:$B,$A660,'Таблиця 1'!$I:$I,"Mirage",'Таблиця 1'!$J:$J,"GBU-65")+SUMIFS('Таблиця 1'!$K:$K,'Таблиця 1'!$B:$B,$A660,'Таблиця 1'!$I:$I,"F-16",'Таблиця 1'!$J:$J,"GBU-65")+SUMIFS('Таблиця 1'!$K:$K,'Таблиця 1'!$B:$B,$A660,'Таблиця 1'!$I:$I,"МіГ-29",'Таблиця 1'!$J:$J,"GBU-65")+SUMIFS('Таблиця 1'!$K:$K,'Таблиця 1'!$B:$B,$A660,'Таблиця 1'!$I:$I,"Су-25",'Таблиця 1'!$J:$J,"GBU-65")+SUMIFS('Таблиця 1'!$K:$K,'Таблиця 1'!$B:$B,$A660,'Таблиця 1'!$I:$I,"Су-27",'Таблиця 1'!$J:$J,"GBU-65"))</f>
        <v/>
      </c>
      <c r="M660">
        <f>IF($A660="","",SUMIFS('Таблиця 1'!$K:$K,'Таблиця 1'!$B:$B,$A660,'Таблиця 1'!$I:$I,"Mirage",'Таблиця 1'!$J:$J,"GBU-62")+SUMIFS('Таблиця 1'!$K:$K,'Таблиця 1'!$B:$B,$A660,'Таблиця 1'!$I:$I,"F-16",'Таблиця 1'!$J:$J,"GBU-62")+SUMIFS('Таблиця 1'!$K:$K,'Таблиця 1'!$B:$B,$A660,'Таблиця 1'!$I:$I,"МіГ-29",'Таблиця 1'!$J:$J,"GBU-62")+SUMIFS('Таблиця 1'!$K:$K,'Таблиця 1'!$B:$B,$A660,'Таблиця 1'!$I:$I,"Су-25",'Таблиця 1'!$J:$J,"GBU-62")+SUMIFS('Таблиця 1'!$K:$K,'Таблиця 1'!$B:$B,$A660,'Таблиця 1'!$I:$I,"Су-27",'Таблиця 1'!$J:$J,"GBU-62"))</f>
        <v/>
      </c>
      <c r="N660">
        <f>IF($A660="","",SUMIFS('Таблиця 1'!$K:$K,'Таблиця 1'!$B:$B,$A660,'Таблиця 1'!$I:$I,"Mirage",'Таблиця 1'!$J:$J,"GBU-64")+SUMIFS('Таблиця 1'!$K:$K,'Таблиця 1'!$B:$B,$A660,'Таблиця 1'!$I:$I,"F-16",'Таблиця 1'!$J:$J,"GBU-64")+SUMIFS('Таблиця 1'!$K:$K,'Таблиця 1'!$B:$B,$A660,'Таблиця 1'!$I:$I,"МіГ-29",'Таблиця 1'!$J:$J,"GBU-64")+SUMIFS('Таблиця 1'!$K:$K,'Таблиця 1'!$B:$B,$A660,'Таблиця 1'!$I:$I,"Су-25",'Таблиця 1'!$J:$J,"GBU-64")+SUMIFS('Таблиця 1'!$K:$K,'Таблиця 1'!$B:$B,$A660,'Таблиця 1'!$I:$I,"Су-27",'Таблиця 1'!$J:$J,"GBU-64"))</f>
        <v/>
      </c>
      <c r="O660">
        <f>IF($A660="","",SUMIFS('Таблиця 1'!$K:$K,'Таблиця 1'!$B:$B,$A660,'Таблиця 1'!$I:$I,"Mirage",'Таблиця 1'!$J:$J,"C-13")+SUMIFS('Таблиця 1'!$K:$K,'Таблиця 1'!$B:$B,$A660,'Таблиця 1'!$I:$I,"F-16",'Таблиця 1'!$J:$J,"C-13")+SUMIFS('Таблиця 1'!$K:$K,'Таблиця 1'!$B:$B,$A660,'Таблиця 1'!$I:$I,"МіГ-29",'Таблиця 1'!$J:$J,"C-13")+SUMIFS('Таблиця 1'!$K:$K,'Таблиця 1'!$B:$B,$A660,'Таблиця 1'!$I:$I,"Су-25",'Таблиця 1'!$J:$J,"C-13")+SUMIFS('Таблиця 1'!$K:$K,'Таблиця 1'!$B:$B,$A660,'Таблиця 1'!$I:$I,"Су-27",'Таблиця 1'!$J:$J,"C-13"))</f>
        <v/>
      </c>
      <c r="P660">
        <f>IF($A660="","",SUMIFS('Таблиця 1'!$K:$K,'Таблиця 1'!$B:$B,$A660,'Таблиця 1'!$I:$I,"Mirage",'Таблиця 1'!$J:$J,"MK-32")+SUMIFS('Таблиця 1'!$K:$K,'Таблиця 1'!$B:$B,$A660,'Таблиця 1'!$I:$I,"F-16",'Таблиця 1'!$J:$J,"MK-32")+SUMIFS('Таблиця 1'!$K:$K,'Таблиця 1'!$B:$B,$A660,'Таблиця 1'!$I:$I,"МіГ-29",'Таблиця 1'!$J:$J,"MK-32")+SUMIFS('Таблиця 1'!$K:$K,'Таблиця 1'!$B:$B,$A660,'Таблиця 1'!$I:$I,"Су-25",'Таблиця 1'!$J:$J,"MK-32")+SUMIFS('Таблиця 1'!$K:$K,'Таблиця 1'!$B:$B,$A660,'Таблиця 1'!$I:$I,"Су-27",'Таблиця 1'!$J:$J,"MK-32"))</f>
        <v/>
      </c>
      <c r="Q660">
        <f>IF($A660="","",SUMIFS('Таблиця 1'!$K:$K,'Таблиця 1'!$B:$B,$A660,'Таблиця 1'!$I:$I,"Mirage",'Таблиця 1'!$J:$J,"MK-24")+SUMIFS('Таблиця 1'!$K:$K,'Таблиця 1'!$B:$B,$A660,'Таблиця 1'!$I:$I,"F-16",'Таблиця 1'!$J:$J,"MK-24")+SUMIFS('Таблиця 1'!$K:$K,'Таблиця 1'!$B:$B,$A660,'Таблиця 1'!$I:$I,"МіГ-29",'Таблиця 1'!$J:$J,"MK-24")+SUMIFS('Таблиця 1'!$K:$K,'Таблиця 1'!$B:$B,$A660,'Таблиця 1'!$I:$I,"Су-25",'Таблиця 1'!$J:$J,"MK-24")+SUMIFS('Таблиця 1'!$K:$K,'Таблиця 1'!$B:$B,$A660,'Таблиця 1'!$I:$I,"Су-27",'Таблиця 1'!$J:$J,"MK-24"))</f>
        <v/>
      </c>
      <c r="R660">
        <f>IF($A660="","",COUNTIFS('Таблиця 1'!$B:$B,$A660,'Таблиця 1'!$I:$I,"Mirage",'Таблиця 1'!$L:$L,"Уражено")+COUNTIFS('Таблиця 1'!$B:$B,$A660,'Таблиця 1'!$I:$I,"F-16",'Таблиця 1'!$L:$L,"Уражено")+COUNTIFS('Таблиця 1'!$B:$B,$A660,'Таблиця 1'!$I:$I,"МіГ-29",'Таблиця 1'!$L:$L,"Уражено")+COUNTIFS('Таблиця 1'!$B:$B,$A660,'Таблиця 1'!$I:$I,"Су-25",'Таблиця 1'!$L:$L,"Уражено")+COUNTIFS('Таблиця 1'!$B:$B,$A660,'Таблиця 1'!$I:$I,"Су-27",'Таблиця 1'!$L:$L,"Уражено"))</f>
        <v/>
      </c>
      <c r="S660">
        <f>IF($A660="","",COUNTIFS('Таблиця 1'!$B:$B,$A660,'Таблиця 1'!$I:$I,"Mirage",'Таблиця 1'!$L:$L,"НЕ уражено")+COUNTIFS('Таблиця 1'!$B:$B,$A660,'Таблиця 1'!$I:$I,"F-16",'Таблиця 1'!$L:$L,"НЕ уражено")+COUNTIFS('Таблиця 1'!$B:$B,$A660,'Таблиця 1'!$I:$I,"МіГ-29",'Таблиця 1'!$L:$L,"НЕ уражено")+COUNTIFS('Таблиця 1'!$B:$B,$A660,'Таблиця 1'!$I:$I,"Су-25",'Таблиця 1'!$L:$L,"НЕ уражено")+COUNTIFS('Таблиця 1'!$B:$B,$A660,'Таблиця 1'!$I:$I,"Су-27",'Таблиця 1'!$L:$L,"НЕ уражено"))</f>
        <v/>
      </c>
      <c r="T660">
        <f>IF($A660="","",COUNTIFS('Таблиця 1'!$B:$B,$A660,'Таблиця 1'!$I:$I,"Mirage",'Таблиця 1'!$L:$L,"Дорозвідується")+COUNTIFS('Таблиця 1'!$B:$B,$A660,'Таблиця 1'!$I:$I,"F-16",'Таблиця 1'!$L:$L,"Дорозвідується")+COUNTIFS('Таблиця 1'!$B:$B,$A660,'Таблиця 1'!$I:$I,"МіГ-29",'Таблиця 1'!$L:$L,"Дорозвідується")+COUNTIFS('Таблиця 1'!$B:$B,$A660,'Таблиця 1'!$I:$I,"Су-25",'Таблиця 1'!$L:$L,"Дорозвідується")+COUNTIFS('Таблиця 1'!$B:$B,$A660,'Таблиця 1'!$I:$I,"Су-27",'Таблиця 1'!$L:$L,"Дорозвідується"))</f>
        <v/>
      </c>
    </row>
    <row r="661">
      <c r="A661" s="273">
        <f>IF(A660="","",IF(A660+1&gt;MAX('Таблиця 1'!$B:$B),"",A660+1))</f>
        <v/>
      </c>
      <c r="B661">
        <f>IF($A661="","",COUNTIFS('Таблиця 1'!$B:$B,$A661,'Таблиця 1'!$I:$I,"Mirage")+COUNTIFS('Таблиця 1'!$B:$B,$A661,'Таблиця 1'!$I:$I,"F-16")+COUNTIFS('Таблиця 1'!$B:$B,$A661,'Таблиця 1'!$I:$I,"МіГ-29")+COUNTIFS('Таблиця 1'!$B:$B,$A661,'Таблиця 1'!$I:$I,"Су-25")+COUNTIFS('Таблиця 1'!$B:$B,$A661,'Таблиця 1'!$I:$I,"Су-27"))</f>
        <v/>
      </c>
      <c r="C661">
        <f>IF($A661="","",COUNTIFS('Таблиця 1'!$B:$B,$A661,'Таблиця 1'!$I:$I,"Mirage"))</f>
        <v/>
      </c>
      <c r="D661">
        <f>IF($A661="","",COUNTIFS('Таблиця 1'!$B:$B,$A661,'Таблиця 1'!$I:$I,"F-16"))</f>
        <v/>
      </c>
      <c r="E661">
        <f>IF($A661="","",COUNTIFS('Таблиця 1'!$B:$B,$A661,'Таблиця 1'!$I:$I,"МіГ-29"))</f>
        <v/>
      </c>
      <c r="F661">
        <f>IF($A661="","",COUNTIFS('Таблиця 1'!$B:$B,$A661,'Таблиця 1'!$I:$I,"Су-25"))</f>
        <v/>
      </c>
      <c r="G661">
        <f>IF($A661="","",COUNTIFS('Таблиця 1'!$B:$B,$A661,'Таблиця 1'!$I:$I,"Су-27"))</f>
        <v/>
      </c>
      <c r="H661">
        <f>IF($A661="","",SUMIFS('Таблиця 1'!$K:$K,'Таблиця 1'!$B:$B,$A661,'Таблиця 1'!$I:$I,"Mirage",'Таблиця 1'!$J:$J,"AGM-88")+SUMIFS('Таблиця 1'!$K:$K,'Таблиця 1'!$B:$B,$A661,'Таблиця 1'!$I:$I,"F-16",'Таблиця 1'!$J:$J,"AGM-88")+SUMIFS('Таблиця 1'!$K:$K,'Таблиця 1'!$B:$B,$A661,'Таблиця 1'!$I:$I,"МіГ-29",'Таблиця 1'!$J:$J,"AGM-88")+SUMIFS('Таблиця 1'!$K:$K,'Таблиця 1'!$B:$B,$A661,'Таблиця 1'!$I:$I,"Су-25",'Таблиця 1'!$J:$J,"AGM-88")+SUMIFS('Таблиця 1'!$K:$K,'Таблиця 1'!$B:$B,$A661,'Таблиця 1'!$I:$I,"Су-27",'Таблиця 1'!$J:$J,"AGM-88"))</f>
        <v/>
      </c>
      <c r="I661">
        <f>IF($A661="","",SUMIFS('Таблиця 1'!$K:$K,'Таблиця 1'!$B:$B,$A661,'Таблиця 1'!$I:$I,"Mirage",'Таблиця 1'!$J:$J,"AASM-250")+SUMIFS('Таблиця 1'!$K:$K,'Таблиця 1'!$B:$B,$A661,'Таблиця 1'!$I:$I,"F-16",'Таблиця 1'!$J:$J,"AASM-250")+SUMIFS('Таблиця 1'!$K:$K,'Таблиця 1'!$B:$B,$A661,'Таблиця 1'!$I:$I,"МіГ-29",'Таблиця 1'!$J:$J,"AASM-250")+SUMIFS('Таблиця 1'!$K:$K,'Таблиця 1'!$B:$B,$A661,'Таблиця 1'!$I:$I,"Су-25",'Таблиця 1'!$J:$J,"AASM-250")+SUMIFS('Таблиця 1'!$K:$K,'Таблиця 1'!$B:$B,$A661,'Таблиця 1'!$I:$I,"Су-27",'Таблиця 1'!$J:$J,"AASM-250"))</f>
        <v/>
      </c>
      <c r="J661">
        <f>IF($A661="","",SUMIFS('Таблиця 1'!$K:$K,'Таблиця 1'!$B:$B,$A661,'Таблиця 1'!$I:$I,"Mirage",'Таблиця 1'!$J:$J,"GBU-39")+SUMIFS('Таблиця 1'!$K:$K,'Таблиця 1'!$B:$B,$A661,'Таблиця 1'!$I:$I,"F-16",'Таблиця 1'!$J:$J,"GBU-39")+SUMIFS('Таблиця 1'!$K:$K,'Таблиця 1'!$B:$B,$A661,'Таблиця 1'!$I:$I,"МіГ-29",'Таблиця 1'!$J:$J,"GBU-39")+SUMIFS('Таблиця 1'!$K:$K,'Таблиця 1'!$B:$B,$A661,'Таблиця 1'!$I:$I,"Су-25",'Таблиця 1'!$J:$J,"GBU-39")+SUMIFS('Таблиця 1'!$K:$K,'Таблиця 1'!$B:$B,$A661,'Таблиця 1'!$I:$I,"Су-27",'Таблиця 1'!$J:$J,"GBU-39"))</f>
        <v/>
      </c>
      <c r="K661">
        <f>IF($A661="","",SUMIFS('Таблиця 1'!$K:$K,'Таблиця 1'!$B:$B,$A661,'Таблиця 1'!$I:$I,"Mirage",'Таблиця 1'!$J:$J,"BLU-140")+SUMIFS('Таблиця 1'!$K:$K,'Таблиця 1'!$B:$B,$A661,'Таблиця 1'!$I:$I,"F-16",'Таблиця 1'!$J:$J,"BLU-140")+SUMIFS('Таблиця 1'!$K:$K,'Таблиця 1'!$B:$B,$A661,'Таблиця 1'!$I:$I,"МіГ-29",'Таблиця 1'!$J:$J,"BLU-140")+SUMIFS('Таблиця 1'!$K:$K,'Таблиця 1'!$B:$B,$A661,'Таблиця 1'!$I:$I,"Су-25",'Таблиця 1'!$J:$J,"BLU-140")+SUMIFS('Таблиця 1'!$K:$K,'Таблиця 1'!$B:$B,$A661,'Таблиця 1'!$I:$I,"Су-27",'Таблиця 1'!$J:$J,"BLU-140"))</f>
        <v/>
      </c>
      <c r="L661">
        <f>IF($A661="","",SUMIFS('Таблиця 1'!$K:$K,'Таблиця 1'!$B:$B,$A661,'Таблиця 1'!$I:$I,"Mirage",'Таблиця 1'!$J:$J,"GBU-65")+SUMIFS('Таблиця 1'!$K:$K,'Таблиця 1'!$B:$B,$A661,'Таблиця 1'!$I:$I,"F-16",'Таблиця 1'!$J:$J,"GBU-65")+SUMIFS('Таблиця 1'!$K:$K,'Таблиця 1'!$B:$B,$A661,'Таблиця 1'!$I:$I,"МіГ-29",'Таблиця 1'!$J:$J,"GBU-65")+SUMIFS('Таблиця 1'!$K:$K,'Таблиця 1'!$B:$B,$A661,'Таблиця 1'!$I:$I,"Су-25",'Таблиця 1'!$J:$J,"GBU-65")+SUMIFS('Таблиця 1'!$K:$K,'Таблиця 1'!$B:$B,$A661,'Таблиця 1'!$I:$I,"Су-27",'Таблиця 1'!$J:$J,"GBU-65"))</f>
        <v/>
      </c>
      <c r="M661">
        <f>IF($A661="","",SUMIFS('Таблиця 1'!$K:$K,'Таблиця 1'!$B:$B,$A661,'Таблиця 1'!$I:$I,"Mirage",'Таблиця 1'!$J:$J,"GBU-62")+SUMIFS('Таблиця 1'!$K:$K,'Таблиця 1'!$B:$B,$A661,'Таблиця 1'!$I:$I,"F-16",'Таблиця 1'!$J:$J,"GBU-62")+SUMIFS('Таблиця 1'!$K:$K,'Таблиця 1'!$B:$B,$A661,'Таблиця 1'!$I:$I,"МіГ-29",'Таблиця 1'!$J:$J,"GBU-62")+SUMIFS('Таблиця 1'!$K:$K,'Таблиця 1'!$B:$B,$A661,'Таблиця 1'!$I:$I,"Су-25",'Таблиця 1'!$J:$J,"GBU-62")+SUMIFS('Таблиця 1'!$K:$K,'Таблиця 1'!$B:$B,$A661,'Таблиця 1'!$I:$I,"Су-27",'Таблиця 1'!$J:$J,"GBU-62"))</f>
        <v/>
      </c>
      <c r="N661">
        <f>IF($A661="","",SUMIFS('Таблиця 1'!$K:$K,'Таблиця 1'!$B:$B,$A661,'Таблиця 1'!$I:$I,"Mirage",'Таблиця 1'!$J:$J,"GBU-64")+SUMIFS('Таблиця 1'!$K:$K,'Таблиця 1'!$B:$B,$A661,'Таблиця 1'!$I:$I,"F-16",'Таблиця 1'!$J:$J,"GBU-64")+SUMIFS('Таблиця 1'!$K:$K,'Таблиця 1'!$B:$B,$A661,'Таблиця 1'!$I:$I,"МіГ-29",'Таблиця 1'!$J:$J,"GBU-64")+SUMIFS('Таблиця 1'!$K:$K,'Таблиця 1'!$B:$B,$A661,'Таблиця 1'!$I:$I,"Су-25",'Таблиця 1'!$J:$J,"GBU-64")+SUMIFS('Таблиця 1'!$K:$K,'Таблиця 1'!$B:$B,$A661,'Таблиця 1'!$I:$I,"Су-27",'Таблиця 1'!$J:$J,"GBU-64"))</f>
        <v/>
      </c>
      <c r="O661">
        <f>IF($A661="","",SUMIFS('Таблиця 1'!$K:$K,'Таблиця 1'!$B:$B,$A661,'Таблиця 1'!$I:$I,"Mirage",'Таблиця 1'!$J:$J,"C-13")+SUMIFS('Таблиця 1'!$K:$K,'Таблиця 1'!$B:$B,$A661,'Таблиця 1'!$I:$I,"F-16",'Таблиця 1'!$J:$J,"C-13")+SUMIFS('Таблиця 1'!$K:$K,'Таблиця 1'!$B:$B,$A661,'Таблиця 1'!$I:$I,"МіГ-29",'Таблиця 1'!$J:$J,"C-13")+SUMIFS('Таблиця 1'!$K:$K,'Таблиця 1'!$B:$B,$A661,'Таблиця 1'!$I:$I,"Су-25",'Таблиця 1'!$J:$J,"C-13")+SUMIFS('Таблиця 1'!$K:$K,'Таблиця 1'!$B:$B,$A661,'Таблиця 1'!$I:$I,"Су-27",'Таблиця 1'!$J:$J,"C-13"))</f>
        <v/>
      </c>
      <c r="P661">
        <f>IF($A661="","",SUMIFS('Таблиця 1'!$K:$K,'Таблиця 1'!$B:$B,$A661,'Таблиця 1'!$I:$I,"Mirage",'Таблиця 1'!$J:$J,"MK-32")+SUMIFS('Таблиця 1'!$K:$K,'Таблиця 1'!$B:$B,$A661,'Таблиця 1'!$I:$I,"F-16",'Таблиця 1'!$J:$J,"MK-32")+SUMIFS('Таблиця 1'!$K:$K,'Таблиця 1'!$B:$B,$A661,'Таблиця 1'!$I:$I,"МіГ-29",'Таблиця 1'!$J:$J,"MK-32")+SUMIFS('Таблиця 1'!$K:$K,'Таблиця 1'!$B:$B,$A661,'Таблиця 1'!$I:$I,"Су-25",'Таблиця 1'!$J:$J,"MK-32")+SUMIFS('Таблиця 1'!$K:$K,'Таблиця 1'!$B:$B,$A661,'Таблиця 1'!$I:$I,"Су-27",'Таблиця 1'!$J:$J,"MK-32"))</f>
        <v/>
      </c>
      <c r="Q661">
        <f>IF($A661="","",SUMIFS('Таблиця 1'!$K:$K,'Таблиця 1'!$B:$B,$A661,'Таблиця 1'!$I:$I,"Mirage",'Таблиця 1'!$J:$J,"MK-24")+SUMIFS('Таблиця 1'!$K:$K,'Таблиця 1'!$B:$B,$A661,'Таблиця 1'!$I:$I,"F-16",'Таблиця 1'!$J:$J,"MK-24")+SUMIFS('Таблиця 1'!$K:$K,'Таблиця 1'!$B:$B,$A661,'Таблиця 1'!$I:$I,"МіГ-29",'Таблиця 1'!$J:$J,"MK-24")+SUMIFS('Таблиця 1'!$K:$K,'Таблиця 1'!$B:$B,$A661,'Таблиця 1'!$I:$I,"Су-25",'Таблиця 1'!$J:$J,"MK-24")+SUMIFS('Таблиця 1'!$K:$K,'Таблиця 1'!$B:$B,$A661,'Таблиця 1'!$I:$I,"Су-27",'Таблиця 1'!$J:$J,"MK-24"))</f>
        <v/>
      </c>
      <c r="R661">
        <f>IF($A661="","",COUNTIFS('Таблиця 1'!$B:$B,$A661,'Таблиця 1'!$I:$I,"Mirage",'Таблиця 1'!$L:$L,"Уражено")+COUNTIFS('Таблиця 1'!$B:$B,$A661,'Таблиця 1'!$I:$I,"F-16",'Таблиця 1'!$L:$L,"Уражено")+COUNTIFS('Таблиця 1'!$B:$B,$A661,'Таблиця 1'!$I:$I,"МіГ-29",'Таблиця 1'!$L:$L,"Уражено")+COUNTIFS('Таблиця 1'!$B:$B,$A661,'Таблиця 1'!$I:$I,"Су-25",'Таблиця 1'!$L:$L,"Уражено")+COUNTIFS('Таблиця 1'!$B:$B,$A661,'Таблиця 1'!$I:$I,"Су-27",'Таблиця 1'!$L:$L,"Уражено"))</f>
        <v/>
      </c>
      <c r="S661">
        <f>IF($A661="","",COUNTIFS('Таблиця 1'!$B:$B,$A661,'Таблиця 1'!$I:$I,"Mirage",'Таблиця 1'!$L:$L,"НЕ уражено")+COUNTIFS('Таблиця 1'!$B:$B,$A661,'Таблиця 1'!$I:$I,"F-16",'Таблиця 1'!$L:$L,"НЕ уражено")+COUNTIFS('Таблиця 1'!$B:$B,$A661,'Таблиця 1'!$I:$I,"МіГ-29",'Таблиця 1'!$L:$L,"НЕ уражено")+COUNTIFS('Таблиця 1'!$B:$B,$A661,'Таблиця 1'!$I:$I,"Су-25",'Таблиця 1'!$L:$L,"НЕ уражено")+COUNTIFS('Таблиця 1'!$B:$B,$A661,'Таблиця 1'!$I:$I,"Су-27",'Таблиця 1'!$L:$L,"НЕ уражено"))</f>
        <v/>
      </c>
      <c r="T661">
        <f>IF($A661="","",COUNTIFS('Таблиця 1'!$B:$B,$A661,'Таблиця 1'!$I:$I,"Mirage",'Таблиця 1'!$L:$L,"Дорозвідується")+COUNTIFS('Таблиця 1'!$B:$B,$A661,'Таблиця 1'!$I:$I,"F-16",'Таблиця 1'!$L:$L,"Дорозвідується")+COUNTIFS('Таблиця 1'!$B:$B,$A661,'Таблиця 1'!$I:$I,"МіГ-29",'Таблиця 1'!$L:$L,"Дорозвідується")+COUNTIFS('Таблиця 1'!$B:$B,$A661,'Таблиця 1'!$I:$I,"Су-25",'Таблиця 1'!$L:$L,"Дорозвідується")+COUNTIFS('Таблиця 1'!$B:$B,$A661,'Таблиця 1'!$I:$I,"Су-27",'Таблиця 1'!$L:$L,"Дорозвідується"))</f>
        <v/>
      </c>
    </row>
    <row r="662">
      <c r="A662" s="273">
        <f>IF(A661="","",IF(A661+1&gt;MAX('Таблиця 1'!$B:$B),"",A661+1))</f>
        <v/>
      </c>
      <c r="B662">
        <f>IF($A662="","",COUNTIFS('Таблиця 1'!$B:$B,$A662,'Таблиця 1'!$I:$I,"Mirage")+COUNTIFS('Таблиця 1'!$B:$B,$A662,'Таблиця 1'!$I:$I,"F-16")+COUNTIFS('Таблиця 1'!$B:$B,$A662,'Таблиця 1'!$I:$I,"МіГ-29")+COUNTIFS('Таблиця 1'!$B:$B,$A662,'Таблиця 1'!$I:$I,"Су-25")+COUNTIFS('Таблиця 1'!$B:$B,$A662,'Таблиця 1'!$I:$I,"Су-27"))</f>
        <v/>
      </c>
      <c r="C662">
        <f>IF($A662="","",COUNTIFS('Таблиця 1'!$B:$B,$A662,'Таблиця 1'!$I:$I,"Mirage"))</f>
        <v/>
      </c>
      <c r="D662">
        <f>IF($A662="","",COUNTIFS('Таблиця 1'!$B:$B,$A662,'Таблиця 1'!$I:$I,"F-16"))</f>
        <v/>
      </c>
      <c r="E662">
        <f>IF($A662="","",COUNTIFS('Таблиця 1'!$B:$B,$A662,'Таблиця 1'!$I:$I,"МіГ-29"))</f>
        <v/>
      </c>
      <c r="F662">
        <f>IF($A662="","",COUNTIFS('Таблиця 1'!$B:$B,$A662,'Таблиця 1'!$I:$I,"Су-25"))</f>
        <v/>
      </c>
      <c r="G662">
        <f>IF($A662="","",COUNTIFS('Таблиця 1'!$B:$B,$A662,'Таблиця 1'!$I:$I,"Су-27"))</f>
        <v/>
      </c>
      <c r="H662">
        <f>IF($A662="","",SUMIFS('Таблиця 1'!$K:$K,'Таблиця 1'!$B:$B,$A662,'Таблиця 1'!$I:$I,"Mirage",'Таблиця 1'!$J:$J,"AGM-88")+SUMIFS('Таблиця 1'!$K:$K,'Таблиця 1'!$B:$B,$A662,'Таблиця 1'!$I:$I,"F-16",'Таблиця 1'!$J:$J,"AGM-88")+SUMIFS('Таблиця 1'!$K:$K,'Таблиця 1'!$B:$B,$A662,'Таблиця 1'!$I:$I,"МіГ-29",'Таблиця 1'!$J:$J,"AGM-88")+SUMIFS('Таблиця 1'!$K:$K,'Таблиця 1'!$B:$B,$A662,'Таблиця 1'!$I:$I,"Су-25",'Таблиця 1'!$J:$J,"AGM-88")+SUMIFS('Таблиця 1'!$K:$K,'Таблиця 1'!$B:$B,$A662,'Таблиця 1'!$I:$I,"Су-27",'Таблиця 1'!$J:$J,"AGM-88"))</f>
        <v/>
      </c>
      <c r="I662">
        <f>IF($A662="","",SUMIFS('Таблиця 1'!$K:$K,'Таблиця 1'!$B:$B,$A662,'Таблиця 1'!$I:$I,"Mirage",'Таблиця 1'!$J:$J,"AASM-250")+SUMIFS('Таблиця 1'!$K:$K,'Таблиця 1'!$B:$B,$A662,'Таблиця 1'!$I:$I,"F-16",'Таблиця 1'!$J:$J,"AASM-250")+SUMIFS('Таблиця 1'!$K:$K,'Таблиця 1'!$B:$B,$A662,'Таблиця 1'!$I:$I,"МіГ-29",'Таблиця 1'!$J:$J,"AASM-250")+SUMIFS('Таблиця 1'!$K:$K,'Таблиця 1'!$B:$B,$A662,'Таблиця 1'!$I:$I,"Су-25",'Таблиця 1'!$J:$J,"AASM-250")+SUMIFS('Таблиця 1'!$K:$K,'Таблиця 1'!$B:$B,$A662,'Таблиця 1'!$I:$I,"Су-27",'Таблиця 1'!$J:$J,"AASM-250"))</f>
        <v/>
      </c>
      <c r="J662">
        <f>IF($A662="","",SUMIFS('Таблиця 1'!$K:$K,'Таблиця 1'!$B:$B,$A662,'Таблиця 1'!$I:$I,"Mirage",'Таблиця 1'!$J:$J,"GBU-39")+SUMIFS('Таблиця 1'!$K:$K,'Таблиця 1'!$B:$B,$A662,'Таблиця 1'!$I:$I,"F-16",'Таблиця 1'!$J:$J,"GBU-39")+SUMIFS('Таблиця 1'!$K:$K,'Таблиця 1'!$B:$B,$A662,'Таблиця 1'!$I:$I,"МіГ-29",'Таблиця 1'!$J:$J,"GBU-39")+SUMIFS('Таблиця 1'!$K:$K,'Таблиця 1'!$B:$B,$A662,'Таблиця 1'!$I:$I,"Су-25",'Таблиця 1'!$J:$J,"GBU-39")+SUMIFS('Таблиця 1'!$K:$K,'Таблиця 1'!$B:$B,$A662,'Таблиця 1'!$I:$I,"Су-27",'Таблиця 1'!$J:$J,"GBU-39"))</f>
        <v/>
      </c>
      <c r="K662">
        <f>IF($A662="","",SUMIFS('Таблиця 1'!$K:$K,'Таблиця 1'!$B:$B,$A662,'Таблиця 1'!$I:$I,"Mirage",'Таблиця 1'!$J:$J,"BLU-140")+SUMIFS('Таблиця 1'!$K:$K,'Таблиця 1'!$B:$B,$A662,'Таблиця 1'!$I:$I,"F-16",'Таблиця 1'!$J:$J,"BLU-140")+SUMIFS('Таблиця 1'!$K:$K,'Таблиця 1'!$B:$B,$A662,'Таблиця 1'!$I:$I,"МіГ-29",'Таблиця 1'!$J:$J,"BLU-140")+SUMIFS('Таблиця 1'!$K:$K,'Таблиця 1'!$B:$B,$A662,'Таблиця 1'!$I:$I,"Су-25",'Таблиця 1'!$J:$J,"BLU-140")+SUMIFS('Таблиця 1'!$K:$K,'Таблиця 1'!$B:$B,$A662,'Таблиця 1'!$I:$I,"Су-27",'Таблиця 1'!$J:$J,"BLU-140"))</f>
        <v/>
      </c>
      <c r="L662">
        <f>IF($A662="","",SUMIFS('Таблиця 1'!$K:$K,'Таблиця 1'!$B:$B,$A662,'Таблиця 1'!$I:$I,"Mirage",'Таблиця 1'!$J:$J,"GBU-65")+SUMIFS('Таблиця 1'!$K:$K,'Таблиця 1'!$B:$B,$A662,'Таблиця 1'!$I:$I,"F-16",'Таблиця 1'!$J:$J,"GBU-65")+SUMIFS('Таблиця 1'!$K:$K,'Таблиця 1'!$B:$B,$A662,'Таблиця 1'!$I:$I,"МіГ-29",'Таблиця 1'!$J:$J,"GBU-65")+SUMIFS('Таблиця 1'!$K:$K,'Таблиця 1'!$B:$B,$A662,'Таблиця 1'!$I:$I,"Су-25",'Таблиця 1'!$J:$J,"GBU-65")+SUMIFS('Таблиця 1'!$K:$K,'Таблиця 1'!$B:$B,$A662,'Таблиця 1'!$I:$I,"Су-27",'Таблиця 1'!$J:$J,"GBU-65"))</f>
        <v/>
      </c>
      <c r="M662">
        <f>IF($A662="","",SUMIFS('Таблиця 1'!$K:$K,'Таблиця 1'!$B:$B,$A662,'Таблиця 1'!$I:$I,"Mirage",'Таблиця 1'!$J:$J,"GBU-62")+SUMIFS('Таблиця 1'!$K:$K,'Таблиця 1'!$B:$B,$A662,'Таблиця 1'!$I:$I,"F-16",'Таблиця 1'!$J:$J,"GBU-62")+SUMIFS('Таблиця 1'!$K:$K,'Таблиця 1'!$B:$B,$A662,'Таблиця 1'!$I:$I,"МіГ-29",'Таблиця 1'!$J:$J,"GBU-62")+SUMIFS('Таблиця 1'!$K:$K,'Таблиця 1'!$B:$B,$A662,'Таблиця 1'!$I:$I,"Су-25",'Таблиця 1'!$J:$J,"GBU-62")+SUMIFS('Таблиця 1'!$K:$K,'Таблиця 1'!$B:$B,$A662,'Таблиця 1'!$I:$I,"Су-27",'Таблиця 1'!$J:$J,"GBU-62"))</f>
        <v/>
      </c>
      <c r="N662">
        <f>IF($A662="","",SUMIFS('Таблиця 1'!$K:$K,'Таблиця 1'!$B:$B,$A662,'Таблиця 1'!$I:$I,"Mirage",'Таблиця 1'!$J:$J,"GBU-64")+SUMIFS('Таблиця 1'!$K:$K,'Таблиця 1'!$B:$B,$A662,'Таблиця 1'!$I:$I,"F-16",'Таблиця 1'!$J:$J,"GBU-64")+SUMIFS('Таблиця 1'!$K:$K,'Таблиця 1'!$B:$B,$A662,'Таблиця 1'!$I:$I,"МіГ-29",'Таблиця 1'!$J:$J,"GBU-64")+SUMIFS('Таблиця 1'!$K:$K,'Таблиця 1'!$B:$B,$A662,'Таблиця 1'!$I:$I,"Су-25",'Таблиця 1'!$J:$J,"GBU-64")+SUMIFS('Таблиця 1'!$K:$K,'Таблиця 1'!$B:$B,$A662,'Таблиця 1'!$I:$I,"Су-27",'Таблиця 1'!$J:$J,"GBU-64"))</f>
        <v/>
      </c>
      <c r="O662">
        <f>IF($A662="","",SUMIFS('Таблиця 1'!$K:$K,'Таблиця 1'!$B:$B,$A662,'Таблиця 1'!$I:$I,"Mirage",'Таблиця 1'!$J:$J,"C-13")+SUMIFS('Таблиця 1'!$K:$K,'Таблиця 1'!$B:$B,$A662,'Таблиця 1'!$I:$I,"F-16",'Таблиця 1'!$J:$J,"C-13")+SUMIFS('Таблиця 1'!$K:$K,'Таблиця 1'!$B:$B,$A662,'Таблиця 1'!$I:$I,"МіГ-29",'Таблиця 1'!$J:$J,"C-13")+SUMIFS('Таблиця 1'!$K:$K,'Таблиця 1'!$B:$B,$A662,'Таблиця 1'!$I:$I,"Су-25",'Таблиця 1'!$J:$J,"C-13")+SUMIFS('Таблиця 1'!$K:$K,'Таблиця 1'!$B:$B,$A662,'Таблиця 1'!$I:$I,"Су-27",'Таблиця 1'!$J:$J,"C-13"))</f>
        <v/>
      </c>
      <c r="P662">
        <f>IF($A662="","",SUMIFS('Таблиця 1'!$K:$K,'Таблиця 1'!$B:$B,$A662,'Таблиця 1'!$I:$I,"Mirage",'Таблиця 1'!$J:$J,"MK-32")+SUMIFS('Таблиця 1'!$K:$K,'Таблиця 1'!$B:$B,$A662,'Таблиця 1'!$I:$I,"F-16",'Таблиця 1'!$J:$J,"MK-32")+SUMIFS('Таблиця 1'!$K:$K,'Таблиця 1'!$B:$B,$A662,'Таблиця 1'!$I:$I,"МіГ-29",'Таблиця 1'!$J:$J,"MK-32")+SUMIFS('Таблиця 1'!$K:$K,'Таблиця 1'!$B:$B,$A662,'Таблиця 1'!$I:$I,"Су-25",'Таблиця 1'!$J:$J,"MK-32")+SUMIFS('Таблиця 1'!$K:$K,'Таблиця 1'!$B:$B,$A662,'Таблиця 1'!$I:$I,"Су-27",'Таблиця 1'!$J:$J,"MK-32"))</f>
        <v/>
      </c>
      <c r="Q662">
        <f>IF($A662="","",SUMIFS('Таблиця 1'!$K:$K,'Таблиця 1'!$B:$B,$A662,'Таблиця 1'!$I:$I,"Mirage",'Таблиця 1'!$J:$J,"MK-24")+SUMIFS('Таблиця 1'!$K:$K,'Таблиця 1'!$B:$B,$A662,'Таблиця 1'!$I:$I,"F-16",'Таблиця 1'!$J:$J,"MK-24")+SUMIFS('Таблиця 1'!$K:$K,'Таблиця 1'!$B:$B,$A662,'Таблиця 1'!$I:$I,"МіГ-29",'Таблиця 1'!$J:$J,"MK-24")+SUMIFS('Таблиця 1'!$K:$K,'Таблиця 1'!$B:$B,$A662,'Таблиця 1'!$I:$I,"Су-25",'Таблиця 1'!$J:$J,"MK-24")+SUMIFS('Таблиця 1'!$K:$K,'Таблиця 1'!$B:$B,$A662,'Таблиця 1'!$I:$I,"Су-27",'Таблиця 1'!$J:$J,"MK-24"))</f>
        <v/>
      </c>
      <c r="R662">
        <f>IF($A662="","",COUNTIFS('Таблиця 1'!$B:$B,$A662,'Таблиця 1'!$I:$I,"Mirage",'Таблиця 1'!$L:$L,"Уражено")+COUNTIFS('Таблиця 1'!$B:$B,$A662,'Таблиця 1'!$I:$I,"F-16",'Таблиця 1'!$L:$L,"Уражено")+COUNTIFS('Таблиця 1'!$B:$B,$A662,'Таблиця 1'!$I:$I,"МіГ-29",'Таблиця 1'!$L:$L,"Уражено")+COUNTIFS('Таблиця 1'!$B:$B,$A662,'Таблиця 1'!$I:$I,"Су-25",'Таблиця 1'!$L:$L,"Уражено")+COUNTIFS('Таблиця 1'!$B:$B,$A662,'Таблиця 1'!$I:$I,"Су-27",'Таблиця 1'!$L:$L,"Уражено"))</f>
        <v/>
      </c>
      <c r="S662">
        <f>IF($A662="","",COUNTIFS('Таблиця 1'!$B:$B,$A662,'Таблиця 1'!$I:$I,"Mirage",'Таблиця 1'!$L:$L,"НЕ уражено")+COUNTIFS('Таблиця 1'!$B:$B,$A662,'Таблиця 1'!$I:$I,"F-16",'Таблиця 1'!$L:$L,"НЕ уражено")+COUNTIFS('Таблиця 1'!$B:$B,$A662,'Таблиця 1'!$I:$I,"МіГ-29",'Таблиця 1'!$L:$L,"НЕ уражено")+COUNTIFS('Таблиця 1'!$B:$B,$A662,'Таблиця 1'!$I:$I,"Су-25",'Таблиця 1'!$L:$L,"НЕ уражено")+COUNTIFS('Таблиця 1'!$B:$B,$A662,'Таблиця 1'!$I:$I,"Су-27",'Таблиця 1'!$L:$L,"НЕ уражено"))</f>
        <v/>
      </c>
      <c r="T662">
        <f>IF($A662="","",COUNTIFS('Таблиця 1'!$B:$B,$A662,'Таблиця 1'!$I:$I,"Mirage",'Таблиця 1'!$L:$L,"Дорозвідується")+COUNTIFS('Таблиця 1'!$B:$B,$A662,'Таблиця 1'!$I:$I,"F-16",'Таблиця 1'!$L:$L,"Дорозвідується")+COUNTIFS('Таблиця 1'!$B:$B,$A662,'Таблиця 1'!$I:$I,"МіГ-29",'Таблиця 1'!$L:$L,"Дорозвідується")+COUNTIFS('Таблиця 1'!$B:$B,$A662,'Таблиця 1'!$I:$I,"Су-25",'Таблиця 1'!$L:$L,"Дорозвідується")+COUNTIFS('Таблиця 1'!$B:$B,$A662,'Таблиця 1'!$I:$I,"Су-27",'Таблиця 1'!$L:$L,"Дорозвідується"))</f>
        <v/>
      </c>
    </row>
    <row r="663">
      <c r="A663" s="273">
        <f>IF(A662="","",IF(A662+1&gt;MAX('Таблиця 1'!$B:$B),"",A662+1))</f>
        <v/>
      </c>
      <c r="B663">
        <f>IF($A663="","",COUNTIFS('Таблиця 1'!$B:$B,$A663,'Таблиця 1'!$I:$I,"Mirage")+COUNTIFS('Таблиця 1'!$B:$B,$A663,'Таблиця 1'!$I:$I,"F-16")+COUNTIFS('Таблиця 1'!$B:$B,$A663,'Таблиця 1'!$I:$I,"МіГ-29")+COUNTIFS('Таблиця 1'!$B:$B,$A663,'Таблиця 1'!$I:$I,"Су-25")+COUNTIFS('Таблиця 1'!$B:$B,$A663,'Таблиця 1'!$I:$I,"Су-27"))</f>
        <v/>
      </c>
      <c r="C663">
        <f>IF($A663="","",COUNTIFS('Таблиця 1'!$B:$B,$A663,'Таблиця 1'!$I:$I,"Mirage"))</f>
        <v/>
      </c>
      <c r="D663">
        <f>IF($A663="","",COUNTIFS('Таблиця 1'!$B:$B,$A663,'Таблиця 1'!$I:$I,"F-16"))</f>
        <v/>
      </c>
      <c r="E663">
        <f>IF($A663="","",COUNTIFS('Таблиця 1'!$B:$B,$A663,'Таблиця 1'!$I:$I,"МіГ-29"))</f>
        <v/>
      </c>
      <c r="F663">
        <f>IF($A663="","",COUNTIFS('Таблиця 1'!$B:$B,$A663,'Таблиця 1'!$I:$I,"Су-25"))</f>
        <v/>
      </c>
      <c r="G663">
        <f>IF($A663="","",COUNTIFS('Таблиця 1'!$B:$B,$A663,'Таблиця 1'!$I:$I,"Су-27"))</f>
        <v/>
      </c>
      <c r="H663">
        <f>IF($A663="","",SUMIFS('Таблиця 1'!$K:$K,'Таблиця 1'!$B:$B,$A663,'Таблиця 1'!$I:$I,"Mirage",'Таблиця 1'!$J:$J,"AGM-88")+SUMIFS('Таблиця 1'!$K:$K,'Таблиця 1'!$B:$B,$A663,'Таблиця 1'!$I:$I,"F-16",'Таблиця 1'!$J:$J,"AGM-88")+SUMIFS('Таблиця 1'!$K:$K,'Таблиця 1'!$B:$B,$A663,'Таблиця 1'!$I:$I,"МіГ-29",'Таблиця 1'!$J:$J,"AGM-88")+SUMIFS('Таблиця 1'!$K:$K,'Таблиця 1'!$B:$B,$A663,'Таблиця 1'!$I:$I,"Су-25",'Таблиця 1'!$J:$J,"AGM-88")+SUMIFS('Таблиця 1'!$K:$K,'Таблиця 1'!$B:$B,$A663,'Таблиця 1'!$I:$I,"Су-27",'Таблиця 1'!$J:$J,"AGM-88"))</f>
        <v/>
      </c>
      <c r="I663">
        <f>IF($A663="","",SUMIFS('Таблиця 1'!$K:$K,'Таблиця 1'!$B:$B,$A663,'Таблиця 1'!$I:$I,"Mirage",'Таблиця 1'!$J:$J,"AASM-250")+SUMIFS('Таблиця 1'!$K:$K,'Таблиця 1'!$B:$B,$A663,'Таблиця 1'!$I:$I,"F-16",'Таблиця 1'!$J:$J,"AASM-250")+SUMIFS('Таблиця 1'!$K:$K,'Таблиця 1'!$B:$B,$A663,'Таблиця 1'!$I:$I,"МіГ-29",'Таблиця 1'!$J:$J,"AASM-250")+SUMIFS('Таблиця 1'!$K:$K,'Таблиця 1'!$B:$B,$A663,'Таблиця 1'!$I:$I,"Су-25",'Таблиця 1'!$J:$J,"AASM-250")+SUMIFS('Таблиця 1'!$K:$K,'Таблиця 1'!$B:$B,$A663,'Таблиця 1'!$I:$I,"Су-27",'Таблиця 1'!$J:$J,"AASM-250"))</f>
        <v/>
      </c>
      <c r="J663">
        <f>IF($A663="","",SUMIFS('Таблиця 1'!$K:$K,'Таблиця 1'!$B:$B,$A663,'Таблиця 1'!$I:$I,"Mirage",'Таблиця 1'!$J:$J,"GBU-39")+SUMIFS('Таблиця 1'!$K:$K,'Таблиця 1'!$B:$B,$A663,'Таблиця 1'!$I:$I,"F-16",'Таблиця 1'!$J:$J,"GBU-39")+SUMIFS('Таблиця 1'!$K:$K,'Таблиця 1'!$B:$B,$A663,'Таблиця 1'!$I:$I,"МіГ-29",'Таблиця 1'!$J:$J,"GBU-39")+SUMIFS('Таблиця 1'!$K:$K,'Таблиця 1'!$B:$B,$A663,'Таблиця 1'!$I:$I,"Су-25",'Таблиця 1'!$J:$J,"GBU-39")+SUMIFS('Таблиця 1'!$K:$K,'Таблиця 1'!$B:$B,$A663,'Таблиця 1'!$I:$I,"Су-27",'Таблиця 1'!$J:$J,"GBU-39"))</f>
        <v/>
      </c>
      <c r="K663">
        <f>IF($A663="","",SUMIFS('Таблиця 1'!$K:$K,'Таблиця 1'!$B:$B,$A663,'Таблиця 1'!$I:$I,"Mirage",'Таблиця 1'!$J:$J,"BLU-140")+SUMIFS('Таблиця 1'!$K:$K,'Таблиця 1'!$B:$B,$A663,'Таблиця 1'!$I:$I,"F-16",'Таблиця 1'!$J:$J,"BLU-140")+SUMIFS('Таблиця 1'!$K:$K,'Таблиця 1'!$B:$B,$A663,'Таблиця 1'!$I:$I,"МіГ-29",'Таблиця 1'!$J:$J,"BLU-140")+SUMIFS('Таблиця 1'!$K:$K,'Таблиця 1'!$B:$B,$A663,'Таблиця 1'!$I:$I,"Су-25",'Таблиця 1'!$J:$J,"BLU-140")+SUMIFS('Таблиця 1'!$K:$K,'Таблиця 1'!$B:$B,$A663,'Таблиця 1'!$I:$I,"Су-27",'Таблиця 1'!$J:$J,"BLU-140"))</f>
        <v/>
      </c>
      <c r="L663">
        <f>IF($A663="","",SUMIFS('Таблиця 1'!$K:$K,'Таблиця 1'!$B:$B,$A663,'Таблиця 1'!$I:$I,"Mirage",'Таблиця 1'!$J:$J,"GBU-65")+SUMIFS('Таблиця 1'!$K:$K,'Таблиця 1'!$B:$B,$A663,'Таблиця 1'!$I:$I,"F-16",'Таблиця 1'!$J:$J,"GBU-65")+SUMIFS('Таблиця 1'!$K:$K,'Таблиця 1'!$B:$B,$A663,'Таблиця 1'!$I:$I,"МіГ-29",'Таблиця 1'!$J:$J,"GBU-65")+SUMIFS('Таблиця 1'!$K:$K,'Таблиця 1'!$B:$B,$A663,'Таблиця 1'!$I:$I,"Су-25",'Таблиця 1'!$J:$J,"GBU-65")+SUMIFS('Таблиця 1'!$K:$K,'Таблиця 1'!$B:$B,$A663,'Таблиця 1'!$I:$I,"Су-27",'Таблиця 1'!$J:$J,"GBU-65"))</f>
        <v/>
      </c>
      <c r="M663">
        <f>IF($A663="","",SUMIFS('Таблиця 1'!$K:$K,'Таблиця 1'!$B:$B,$A663,'Таблиця 1'!$I:$I,"Mirage",'Таблиця 1'!$J:$J,"GBU-62")+SUMIFS('Таблиця 1'!$K:$K,'Таблиця 1'!$B:$B,$A663,'Таблиця 1'!$I:$I,"F-16",'Таблиця 1'!$J:$J,"GBU-62")+SUMIFS('Таблиця 1'!$K:$K,'Таблиця 1'!$B:$B,$A663,'Таблиця 1'!$I:$I,"МіГ-29",'Таблиця 1'!$J:$J,"GBU-62")+SUMIFS('Таблиця 1'!$K:$K,'Таблиця 1'!$B:$B,$A663,'Таблиця 1'!$I:$I,"Су-25",'Таблиця 1'!$J:$J,"GBU-62")+SUMIFS('Таблиця 1'!$K:$K,'Таблиця 1'!$B:$B,$A663,'Таблиця 1'!$I:$I,"Су-27",'Таблиця 1'!$J:$J,"GBU-62"))</f>
        <v/>
      </c>
      <c r="N663">
        <f>IF($A663="","",SUMIFS('Таблиця 1'!$K:$K,'Таблиця 1'!$B:$B,$A663,'Таблиця 1'!$I:$I,"Mirage",'Таблиця 1'!$J:$J,"GBU-64")+SUMIFS('Таблиця 1'!$K:$K,'Таблиця 1'!$B:$B,$A663,'Таблиця 1'!$I:$I,"F-16",'Таблиця 1'!$J:$J,"GBU-64")+SUMIFS('Таблиця 1'!$K:$K,'Таблиця 1'!$B:$B,$A663,'Таблиця 1'!$I:$I,"МіГ-29",'Таблиця 1'!$J:$J,"GBU-64")+SUMIFS('Таблиця 1'!$K:$K,'Таблиця 1'!$B:$B,$A663,'Таблиця 1'!$I:$I,"Су-25",'Таблиця 1'!$J:$J,"GBU-64")+SUMIFS('Таблиця 1'!$K:$K,'Таблиця 1'!$B:$B,$A663,'Таблиця 1'!$I:$I,"Су-27",'Таблиця 1'!$J:$J,"GBU-64"))</f>
        <v/>
      </c>
      <c r="O663">
        <f>IF($A663="","",SUMIFS('Таблиця 1'!$K:$K,'Таблиця 1'!$B:$B,$A663,'Таблиця 1'!$I:$I,"Mirage",'Таблиця 1'!$J:$J,"C-13")+SUMIFS('Таблиця 1'!$K:$K,'Таблиця 1'!$B:$B,$A663,'Таблиця 1'!$I:$I,"F-16",'Таблиця 1'!$J:$J,"C-13")+SUMIFS('Таблиця 1'!$K:$K,'Таблиця 1'!$B:$B,$A663,'Таблиця 1'!$I:$I,"МіГ-29",'Таблиця 1'!$J:$J,"C-13")+SUMIFS('Таблиця 1'!$K:$K,'Таблиця 1'!$B:$B,$A663,'Таблиця 1'!$I:$I,"Су-25",'Таблиця 1'!$J:$J,"C-13")+SUMIFS('Таблиця 1'!$K:$K,'Таблиця 1'!$B:$B,$A663,'Таблиця 1'!$I:$I,"Су-27",'Таблиця 1'!$J:$J,"C-13"))</f>
        <v/>
      </c>
      <c r="P663">
        <f>IF($A663="","",SUMIFS('Таблиця 1'!$K:$K,'Таблиця 1'!$B:$B,$A663,'Таблиця 1'!$I:$I,"Mirage",'Таблиця 1'!$J:$J,"MK-32")+SUMIFS('Таблиця 1'!$K:$K,'Таблиця 1'!$B:$B,$A663,'Таблиця 1'!$I:$I,"F-16",'Таблиця 1'!$J:$J,"MK-32")+SUMIFS('Таблиця 1'!$K:$K,'Таблиця 1'!$B:$B,$A663,'Таблиця 1'!$I:$I,"МіГ-29",'Таблиця 1'!$J:$J,"MK-32")+SUMIFS('Таблиця 1'!$K:$K,'Таблиця 1'!$B:$B,$A663,'Таблиця 1'!$I:$I,"Су-25",'Таблиця 1'!$J:$J,"MK-32")+SUMIFS('Таблиця 1'!$K:$K,'Таблиця 1'!$B:$B,$A663,'Таблиця 1'!$I:$I,"Су-27",'Таблиця 1'!$J:$J,"MK-32"))</f>
        <v/>
      </c>
      <c r="Q663">
        <f>IF($A663="","",SUMIFS('Таблиця 1'!$K:$K,'Таблиця 1'!$B:$B,$A663,'Таблиця 1'!$I:$I,"Mirage",'Таблиця 1'!$J:$J,"MK-24")+SUMIFS('Таблиця 1'!$K:$K,'Таблиця 1'!$B:$B,$A663,'Таблиця 1'!$I:$I,"F-16",'Таблиця 1'!$J:$J,"MK-24")+SUMIFS('Таблиця 1'!$K:$K,'Таблиця 1'!$B:$B,$A663,'Таблиця 1'!$I:$I,"МіГ-29",'Таблиця 1'!$J:$J,"MK-24")+SUMIFS('Таблиця 1'!$K:$K,'Таблиця 1'!$B:$B,$A663,'Таблиця 1'!$I:$I,"Су-25",'Таблиця 1'!$J:$J,"MK-24")+SUMIFS('Таблиця 1'!$K:$K,'Таблиця 1'!$B:$B,$A663,'Таблиця 1'!$I:$I,"Су-27",'Таблиця 1'!$J:$J,"MK-24"))</f>
        <v/>
      </c>
      <c r="R663">
        <f>IF($A663="","",COUNTIFS('Таблиця 1'!$B:$B,$A663,'Таблиця 1'!$I:$I,"Mirage",'Таблиця 1'!$L:$L,"Уражено")+COUNTIFS('Таблиця 1'!$B:$B,$A663,'Таблиця 1'!$I:$I,"F-16",'Таблиця 1'!$L:$L,"Уражено")+COUNTIFS('Таблиця 1'!$B:$B,$A663,'Таблиця 1'!$I:$I,"МіГ-29",'Таблиця 1'!$L:$L,"Уражено")+COUNTIFS('Таблиця 1'!$B:$B,$A663,'Таблиця 1'!$I:$I,"Су-25",'Таблиця 1'!$L:$L,"Уражено")+COUNTIFS('Таблиця 1'!$B:$B,$A663,'Таблиця 1'!$I:$I,"Су-27",'Таблиця 1'!$L:$L,"Уражено"))</f>
        <v/>
      </c>
      <c r="S663">
        <f>IF($A663="","",COUNTIFS('Таблиця 1'!$B:$B,$A663,'Таблиця 1'!$I:$I,"Mirage",'Таблиця 1'!$L:$L,"НЕ уражено")+COUNTIFS('Таблиця 1'!$B:$B,$A663,'Таблиця 1'!$I:$I,"F-16",'Таблиця 1'!$L:$L,"НЕ уражено")+COUNTIFS('Таблиця 1'!$B:$B,$A663,'Таблиця 1'!$I:$I,"МіГ-29",'Таблиця 1'!$L:$L,"НЕ уражено")+COUNTIFS('Таблиця 1'!$B:$B,$A663,'Таблиця 1'!$I:$I,"Су-25",'Таблиця 1'!$L:$L,"НЕ уражено")+COUNTIFS('Таблиця 1'!$B:$B,$A663,'Таблиця 1'!$I:$I,"Су-27",'Таблиця 1'!$L:$L,"НЕ уражено"))</f>
        <v/>
      </c>
      <c r="T663">
        <f>IF($A663="","",COUNTIFS('Таблиця 1'!$B:$B,$A663,'Таблиця 1'!$I:$I,"Mirage",'Таблиця 1'!$L:$L,"Дорозвідується")+COUNTIFS('Таблиця 1'!$B:$B,$A663,'Таблиця 1'!$I:$I,"F-16",'Таблиця 1'!$L:$L,"Дорозвідується")+COUNTIFS('Таблиця 1'!$B:$B,$A663,'Таблиця 1'!$I:$I,"МіГ-29",'Таблиця 1'!$L:$L,"Дорозвідується")+COUNTIFS('Таблиця 1'!$B:$B,$A663,'Таблиця 1'!$I:$I,"Су-25",'Таблиця 1'!$L:$L,"Дорозвідується")+COUNTIFS('Таблиця 1'!$B:$B,$A663,'Таблиця 1'!$I:$I,"Су-27",'Таблиця 1'!$L:$L,"Дорозвідується"))</f>
        <v/>
      </c>
    </row>
    <row r="664">
      <c r="A664" s="273">
        <f>IF(A663="","",IF(A663+1&gt;MAX('Таблиця 1'!$B:$B),"",A663+1))</f>
        <v/>
      </c>
      <c r="B664">
        <f>IF($A664="","",COUNTIFS('Таблиця 1'!$B:$B,$A664,'Таблиця 1'!$I:$I,"Mirage")+COUNTIFS('Таблиця 1'!$B:$B,$A664,'Таблиця 1'!$I:$I,"F-16")+COUNTIFS('Таблиця 1'!$B:$B,$A664,'Таблиця 1'!$I:$I,"МіГ-29")+COUNTIFS('Таблиця 1'!$B:$B,$A664,'Таблиця 1'!$I:$I,"Су-25")+COUNTIFS('Таблиця 1'!$B:$B,$A664,'Таблиця 1'!$I:$I,"Су-27"))</f>
        <v/>
      </c>
      <c r="C664">
        <f>IF($A664="","",COUNTIFS('Таблиця 1'!$B:$B,$A664,'Таблиця 1'!$I:$I,"Mirage"))</f>
        <v/>
      </c>
      <c r="D664">
        <f>IF($A664="","",COUNTIFS('Таблиця 1'!$B:$B,$A664,'Таблиця 1'!$I:$I,"F-16"))</f>
        <v/>
      </c>
      <c r="E664">
        <f>IF($A664="","",COUNTIFS('Таблиця 1'!$B:$B,$A664,'Таблиця 1'!$I:$I,"МіГ-29"))</f>
        <v/>
      </c>
      <c r="F664">
        <f>IF($A664="","",COUNTIFS('Таблиця 1'!$B:$B,$A664,'Таблиця 1'!$I:$I,"Су-25"))</f>
        <v/>
      </c>
      <c r="G664">
        <f>IF($A664="","",COUNTIFS('Таблиця 1'!$B:$B,$A664,'Таблиця 1'!$I:$I,"Су-27"))</f>
        <v/>
      </c>
      <c r="H664">
        <f>IF($A664="","",SUMIFS('Таблиця 1'!$K:$K,'Таблиця 1'!$B:$B,$A664,'Таблиця 1'!$I:$I,"Mirage",'Таблиця 1'!$J:$J,"AGM-88")+SUMIFS('Таблиця 1'!$K:$K,'Таблиця 1'!$B:$B,$A664,'Таблиця 1'!$I:$I,"F-16",'Таблиця 1'!$J:$J,"AGM-88")+SUMIFS('Таблиця 1'!$K:$K,'Таблиця 1'!$B:$B,$A664,'Таблиця 1'!$I:$I,"МіГ-29",'Таблиця 1'!$J:$J,"AGM-88")+SUMIFS('Таблиця 1'!$K:$K,'Таблиця 1'!$B:$B,$A664,'Таблиця 1'!$I:$I,"Су-25",'Таблиця 1'!$J:$J,"AGM-88")+SUMIFS('Таблиця 1'!$K:$K,'Таблиця 1'!$B:$B,$A664,'Таблиця 1'!$I:$I,"Су-27",'Таблиця 1'!$J:$J,"AGM-88"))</f>
        <v/>
      </c>
      <c r="I664">
        <f>IF($A664="","",SUMIFS('Таблиця 1'!$K:$K,'Таблиця 1'!$B:$B,$A664,'Таблиця 1'!$I:$I,"Mirage",'Таблиця 1'!$J:$J,"AASM-250")+SUMIFS('Таблиця 1'!$K:$K,'Таблиця 1'!$B:$B,$A664,'Таблиця 1'!$I:$I,"F-16",'Таблиця 1'!$J:$J,"AASM-250")+SUMIFS('Таблиця 1'!$K:$K,'Таблиця 1'!$B:$B,$A664,'Таблиця 1'!$I:$I,"МіГ-29",'Таблиця 1'!$J:$J,"AASM-250")+SUMIFS('Таблиця 1'!$K:$K,'Таблиця 1'!$B:$B,$A664,'Таблиця 1'!$I:$I,"Су-25",'Таблиця 1'!$J:$J,"AASM-250")+SUMIFS('Таблиця 1'!$K:$K,'Таблиця 1'!$B:$B,$A664,'Таблиця 1'!$I:$I,"Су-27",'Таблиця 1'!$J:$J,"AASM-250"))</f>
        <v/>
      </c>
      <c r="J664">
        <f>IF($A664="","",SUMIFS('Таблиця 1'!$K:$K,'Таблиця 1'!$B:$B,$A664,'Таблиця 1'!$I:$I,"Mirage",'Таблиця 1'!$J:$J,"GBU-39")+SUMIFS('Таблиця 1'!$K:$K,'Таблиця 1'!$B:$B,$A664,'Таблиця 1'!$I:$I,"F-16",'Таблиця 1'!$J:$J,"GBU-39")+SUMIFS('Таблиця 1'!$K:$K,'Таблиця 1'!$B:$B,$A664,'Таблиця 1'!$I:$I,"МіГ-29",'Таблиця 1'!$J:$J,"GBU-39")+SUMIFS('Таблиця 1'!$K:$K,'Таблиця 1'!$B:$B,$A664,'Таблиця 1'!$I:$I,"Су-25",'Таблиця 1'!$J:$J,"GBU-39")+SUMIFS('Таблиця 1'!$K:$K,'Таблиця 1'!$B:$B,$A664,'Таблиця 1'!$I:$I,"Су-27",'Таблиця 1'!$J:$J,"GBU-39"))</f>
        <v/>
      </c>
      <c r="K664">
        <f>IF($A664="","",SUMIFS('Таблиця 1'!$K:$K,'Таблиця 1'!$B:$B,$A664,'Таблиця 1'!$I:$I,"Mirage",'Таблиця 1'!$J:$J,"BLU-140")+SUMIFS('Таблиця 1'!$K:$K,'Таблиця 1'!$B:$B,$A664,'Таблиця 1'!$I:$I,"F-16",'Таблиця 1'!$J:$J,"BLU-140")+SUMIFS('Таблиця 1'!$K:$K,'Таблиця 1'!$B:$B,$A664,'Таблиця 1'!$I:$I,"МіГ-29",'Таблиця 1'!$J:$J,"BLU-140")+SUMIFS('Таблиця 1'!$K:$K,'Таблиця 1'!$B:$B,$A664,'Таблиця 1'!$I:$I,"Су-25",'Таблиця 1'!$J:$J,"BLU-140")+SUMIFS('Таблиця 1'!$K:$K,'Таблиця 1'!$B:$B,$A664,'Таблиця 1'!$I:$I,"Су-27",'Таблиця 1'!$J:$J,"BLU-140"))</f>
        <v/>
      </c>
      <c r="L664">
        <f>IF($A664="","",SUMIFS('Таблиця 1'!$K:$K,'Таблиця 1'!$B:$B,$A664,'Таблиця 1'!$I:$I,"Mirage",'Таблиця 1'!$J:$J,"GBU-65")+SUMIFS('Таблиця 1'!$K:$K,'Таблиця 1'!$B:$B,$A664,'Таблиця 1'!$I:$I,"F-16",'Таблиця 1'!$J:$J,"GBU-65")+SUMIFS('Таблиця 1'!$K:$K,'Таблиця 1'!$B:$B,$A664,'Таблиця 1'!$I:$I,"МіГ-29",'Таблиця 1'!$J:$J,"GBU-65")+SUMIFS('Таблиця 1'!$K:$K,'Таблиця 1'!$B:$B,$A664,'Таблиця 1'!$I:$I,"Су-25",'Таблиця 1'!$J:$J,"GBU-65")+SUMIFS('Таблиця 1'!$K:$K,'Таблиця 1'!$B:$B,$A664,'Таблиця 1'!$I:$I,"Су-27",'Таблиця 1'!$J:$J,"GBU-65"))</f>
        <v/>
      </c>
      <c r="M664">
        <f>IF($A664="","",SUMIFS('Таблиця 1'!$K:$K,'Таблиця 1'!$B:$B,$A664,'Таблиця 1'!$I:$I,"Mirage",'Таблиця 1'!$J:$J,"GBU-62")+SUMIFS('Таблиця 1'!$K:$K,'Таблиця 1'!$B:$B,$A664,'Таблиця 1'!$I:$I,"F-16",'Таблиця 1'!$J:$J,"GBU-62")+SUMIFS('Таблиця 1'!$K:$K,'Таблиця 1'!$B:$B,$A664,'Таблиця 1'!$I:$I,"МіГ-29",'Таблиця 1'!$J:$J,"GBU-62")+SUMIFS('Таблиця 1'!$K:$K,'Таблиця 1'!$B:$B,$A664,'Таблиця 1'!$I:$I,"Су-25",'Таблиця 1'!$J:$J,"GBU-62")+SUMIFS('Таблиця 1'!$K:$K,'Таблиця 1'!$B:$B,$A664,'Таблиця 1'!$I:$I,"Су-27",'Таблиця 1'!$J:$J,"GBU-62"))</f>
        <v/>
      </c>
      <c r="N664">
        <f>IF($A664="","",SUMIFS('Таблиця 1'!$K:$K,'Таблиця 1'!$B:$B,$A664,'Таблиця 1'!$I:$I,"Mirage",'Таблиця 1'!$J:$J,"GBU-64")+SUMIFS('Таблиця 1'!$K:$K,'Таблиця 1'!$B:$B,$A664,'Таблиця 1'!$I:$I,"F-16",'Таблиця 1'!$J:$J,"GBU-64")+SUMIFS('Таблиця 1'!$K:$K,'Таблиця 1'!$B:$B,$A664,'Таблиця 1'!$I:$I,"МіГ-29",'Таблиця 1'!$J:$J,"GBU-64")+SUMIFS('Таблиця 1'!$K:$K,'Таблиця 1'!$B:$B,$A664,'Таблиця 1'!$I:$I,"Су-25",'Таблиця 1'!$J:$J,"GBU-64")+SUMIFS('Таблиця 1'!$K:$K,'Таблиця 1'!$B:$B,$A664,'Таблиця 1'!$I:$I,"Су-27",'Таблиця 1'!$J:$J,"GBU-64"))</f>
        <v/>
      </c>
      <c r="O664">
        <f>IF($A664="","",SUMIFS('Таблиця 1'!$K:$K,'Таблиця 1'!$B:$B,$A664,'Таблиця 1'!$I:$I,"Mirage",'Таблиця 1'!$J:$J,"C-13")+SUMIFS('Таблиця 1'!$K:$K,'Таблиця 1'!$B:$B,$A664,'Таблиця 1'!$I:$I,"F-16",'Таблиця 1'!$J:$J,"C-13")+SUMIFS('Таблиця 1'!$K:$K,'Таблиця 1'!$B:$B,$A664,'Таблиця 1'!$I:$I,"МіГ-29",'Таблиця 1'!$J:$J,"C-13")+SUMIFS('Таблиця 1'!$K:$K,'Таблиця 1'!$B:$B,$A664,'Таблиця 1'!$I:$I,"Су-25",'Таблиця 1'!$J:$J,"C-13")+SUMIFS('Таблиця 1'!$K:$K,'Таблиця 1'!$B:$B,$A664,'Таблиця 1'!$I:$I,"Су-27",'Таблиця 1'!$J:$J,"C-13"))</f>
        <v/>
      </c>
      <c r="P664">
        <f>IF($A664="","",SUMIFS('Таблиця 1'!$K:$K,'Таблиця 1'!$B:$B,$A664,'Таблиця 1'!$I:$I,"Mirage",'Таблиця 1'!$J:$J,"MK-32")+SUMIFS('Таблиця 1'!$K:$K,'Таблиця 1'!$B:$B,$A664,'Таблиця 1'!$I:$I,"F-16",'Таблиця 1'!$J:$J,"MK-32")+SUMIFS('Таблиця 1'!$K:$K,'Таблиця 1'!$B:$B,$A664,'Таблиця 1'!$I:$I,"МіГ-29",'Таблиця 1'!$J:$J,"MK-32")+SUMIFS('Таблиця 1'!$K:$K,'Таблиця 1'!$B:$B,$A664,'Таблиця 1'!$I:$I,"Су-25",'Таблиця 1'!$J:$J,"MK-32")+SUMIFS('Таблиця 1'!$K:$K,'Таблиця 1'!$B:$B,$A664,'Таблиця 1'!$I:$I,"Су-27",'Таблиця 1'!$J:$J,"MK-32"))</f>
        <v/>
      </c>
      <c r="Q664">
        <f>IF($A664="","",SUMIFS('Таблиця 1'!$K:$K,'Таблиця 1'!$B:$B,$A664,'Таблиця 1'!$I:$I,"Mirage",'Таблиця 1'!$J:$J,"MK-24")+SUMIFS('Таблиця 1'!$K:$K,'Таблиця 1'!$B:$B,$A664,'Таблиця 1'!$I:$I,"F-16",'Таблиця 1'!$J:$J,"MK-24")+SUMIFS('Таблиця 1'!$K:$K,'Таблиця 1'!$B:$B,$A664,'Таблиця 1'!$I:$I,"МіГ-29",'Таблиця 1'!$J:$J,"MK-24")+SUMIFS('Таблиця 1'!$K:$K,'Таблиця 1'!$B:$B,$A664,'Таблиця 1'!$I:$I,"Су-25",'Таблиця 1'!$J:$J,"MK-24")+SUMIFS('Таблиця 1'!$K:$K,'Таблиця 1'!$B:$B,$A664,'Таблиця 1'!$I:$I,"Су-27",'Таблиця 1'!$J:$J,"MK-24"))</f>
        <v/>
      </c>
      <c r="R664">
        <f>IF($A664="","",COUNTIFS('Таблиця 1'!$B:$B,$A664,'Таблиця 1'!$I:$I,"Mirage",'Таблиця 1'!$L:$L,"Уражено")+COUNTIFS('Таблиця 1'!$B:$B,$A664,'Таблиця 1'!$I:$I,"F-16",'Таблиця 1'!$L:$L,"Уражено")+COUNTIFS('Таблиця 1'!$B:$B,$A664,'Таблиця 1'!$I:$I,"МіГ-29",'Таблиця 1'!$L:$L,"Уражено")+COUNTIFS('Таблиця 1'!$B:$B,$A664,'Таблиця 1'!$I:$I,"Су-25",'Таблиця 1'!$L:$L,"Уражено")+COUNTIFS('Таблиця 1'!$B:$B,$A664,'Таблиця 1'!$I:$I,"Су-27",'Таблиця 1'!$L:$L,"Уражено"))</f>
        <v/>
      </c>
      <c r="S664">
        <f>IF($A664="","",COUNTIFS('Таблиця 1'!$B:$B,$A664,'Таблиця 1'!$I:$I,"Mirage",'Таблиця 1'!$L:$L,"НЕ уражено")+COUNTIFS('Таблиця 1'!$B:$B,$A664,'Таблиця 1'!$I:$I,"F-16",'Таблиця 1'!$L:$L,"НЕ уражено")+COUNTIFS('Таблиця 1'!$B:$B,$A664,'Таблиця 1'!$I:$I,"МіГ-29",'Таблиця 1'!$L:$L,"НЕ уражено")+COUNTIFS('Таблиця 1'!$B:$B,$A664,'Таблиця 1'!$I:$I,"Су-25",'Таблиця 1'!$L:$L,"НЕ уражено")+COUNTIFS('Таблиця 1'!$B:$B,$A664,'Таблиця 1'!$I:$I,"Су-27",'Таблиця 1'!$L:$L,"НЕ уражено"))</f>
        <v/>
      </c>
      <c r="T664">
        <f>IF($A664="","",COUNTIFS('Таблиця 1'!$B:$B,$A664,'Таблиця 1'!$I:$I,"Mirage",'Таблиця 1'!$L:$L,"Дорозвідується")+COUNTIFS('Таблиця 1'!$B:$B,$A664,'Таблиця 1'!$I:$I,"F-16",'Таблиця 1'!$L:$L,"Дорозвідується")+COUNTIFS('Таблиця 1'!$B:$B,$A664,'Таблиця 1'!$I:$I,"МіГ-29",'Таблиця 1'!$L:$L,"Дорозвідується")+COUNTIFS('Таблиця 1'!$B:$B,$A664,'Таблиця 1'!$I:$I,"Су-25",'Таблиця 1'!$L:$L,"Дорозвідується")+COUNTIFS('Таблиця 1'!$B:$B,$A664,'Таблиця 1'!$I:$I,"Су-27",'Таблиця 1'!$L:$L,"Дорозвідується"))</f>
        <v/>
      </c>
    </row>
    <row r="665">
      <c r="A665" s="273">
        <f>IF(A664="","",IF(A664+1&gt;MAX('Таблиця 1'!$B:$B),"",A664+1))</f>
        <v/>
      </c>
      <c r="B665">
        <f>IF($A665="","",COUNTIFS('Таблиця 1'!$B:$B,$A665,'Таблиця 1'!$I:$I,"Mirage")+COUNTIFS('Таблиця 1'!$B:$B,$A665,'Таблиця 1'!$I:$I,"F-16")+COUNTIFS('Таблиця 1'!$B:$B,$A665,'Таблиця 1'!$I:$I,"МіГ-29")+COUNTIFS('Таблиця 1'!$B:$B,$A665,'Таблиця 1'!$I:$I,"Су-25")+COUNTIFS('Таблиця 1'!$B:$B,$A665,'Таблиця 1'!$I:$I,"Су-27"))</f>
        <v/>
      </c>
      <c r="C665">
        <f>IF($A665="","",COUNTIFS('Таблиця 1'!$B:$B,$A665,'Таблиця 1'!$I:$I,"Mirage"))</f>
        <v/>
      </c>
      <c r="D665">
        <f>IF($A665="","",COUNTIFS('Таблиця 1'!$B:$B,$A665,'Таблиця 1'!$I:$I,"F-16"))</f>
        <v/>
      </c>
      <c r="E665">
        <f>IF($A665="","",COUNTIFS('Таблиця 1'!$B:$B,$A665,'Таблиця 1'!$I:$I,"МіГ-29"))</f>
        <v/>
      </c>
      <c r="F665">
        <f>IF($A665="","",COUNTIFS('Таблиця 1'!$B:$B,$A665,'Таблиця 1'!$I:$I,"Су-25"))</f>
        <v/>
      </c>
      <c r="G665">
        <f>IF($A665="","",COUNTIFS('Таблиця 1'!$B:$B,$A665,'Таблиця 1'!$I:$I,"Су-27"))</f>
        <v/>
      </c>
      <c r="H665">
        <f>IF($A665="","",SUMIFS('Таблиця 1'!$K:$K,'Таблиця 1'!$B:$B,$A665,'Таблиця 1'!$I:$I,"Mirage",'Таблиця 1'!$J:$J,"AGM-88")+SUMIFS('Таблиця 1'!$K:$K,'Таблиця 1'!$B:$B,$A665,'Таблиця 1'!$I:$I,"F-16",'Таблиця 1'!$J:$J,"AGM-88")+SUMIFS('Таблиця 1'!$K:$K,'Таблиця 1'!$B:$B,$A665,'Таблиця 1'!$I:$I,"МіГ-29",'Таблиця 1'!$J:$J,"AGM-88")+SUMIFS('Таблиця 1'!$K:$K,'Таблиця 1'!$B:$B,$A665,'Таблиця 1'!$I:$I,"Су-25",'Таблиця 1'!$J:$J,"AGM-88")+SUMIFS('Таблиця 1'!$K:$K,'Таблиця 1'!$B:$B,$A665,'Таблиця 1'!$I:$I,"Су-27",'Таблиця 1'!$J:$J,"AGM-88"))</f>
        <v/>
      </c>
      <c r="I665">
        <f>IF($A665="","",SUMIFS('Таблиця 1'!$K:$K,'Таблиця 1'!$B:$B,$A665,'Таблиця 1'!$I:$I,"Mirage",'Таблиця 1'!$J:$J,"AASM-250")+SUMIFS('Таблиця 1'!$K:$K,'Таблиця 1'!$B:$B,$A665,'Таблиця 1'!$I:$I,"F-16",'Таблиця 1'!$J:$J,"AASM-250")+SUMIFS('Таблиця 1'!$K:$K,'Таблиця 1'!$B:$B,$A665,'Таблиця 1'!$I:$I,"МіГ-29",'Таблиця 1'!$J:$J,"AASM-250")+SUMIFS('Таблиця 1'!$K:$K,'Таблиця 1'!$B:$B,$A665,'Таблиця 1'!$I:$I,"Су-25",'Таблиця 1'!$J:$J,"AASM-250")+SUMIFS('Таблиця 1'!$K:$K,'Таблиця 1'!$B:$B,$A665,'Таблиця 1'!$I:$I,"Су-27",'Таблиця 1'!$J:$J,"AASM-250"))</f>
        <v/>
      </c>
      <c r="J665">
        <f>IF($A665="","",SUMIFS('Таблиця 1'!$K:$K,'Таблиця 1'!$B:$B,$A665,'Таблиця 1'!$I:$I,"Mirage",'Таблиця 1'!$J:$J,"GBU-39")+SUMIFS('Таблиця 1'!$K:$K,'Таблиця 1'!$B:$B,$A665,'Таблиця 1'!$I:$I,"F-16",'Таблиця 1'!$J:$J,"GBU-39")+SUMIFS('Таблиця 1'!$K:$K,'Таблиця 1'!$B:$B,$A665,'Таблиця 1'!$I:$I,"МіГ-29",'Таблиця 1'!$J:$J,"GBU-39")+SUMIFS('Таблиця 1'!$K:$K,'Таблиця 1'!$B:$B,$A665,'Таблиця 1'!$I:$I,"Су-25",'Таблиця 1'!$J:$J,"GBU-39")+SUMIFS('Таблиця 1'!$K:$K,'Таблиця 1'!$B:$B,$A665,'Таблиця 1'!$I:$I,"Су-27",'Таблиця 1'!$J:$J,"GBU-39"))</f>
        <v/>
      </c>
      <c r="K665">
        <f>IF($A665="","",SUMIFS('Таблиця 1'!$K:$K,'Таблиця 1'!$B:$B,$A665,'Таблиця 1'!$I:$I,"Mirage",'Таблиця 1'!$J:$J,"BLU-140")+SUMIFS('Таблиця 1'!$K:$K,'Таблиця 1'!$B:$B,$A665,'Таблиця 1'!$I:$I,"F-16",'Таблиця 1'!$J:$J,"BLU-140")+SUMIFS('Таблиця 1'!$K:$K,'Таблиця 1'!$B:$B,$A665,'Таблиця 1'!$I:$I,"МіГ-29",'Таблиця 1'!$J:$J,"BLU-140")+SUMIFS('Таблиця 1'!$K:$K,'Таблиця 1'!$B:$B,$A665,'Таблиця 1'!$I:$I,"Су-25",'Таблиця 1'!$J:$J,"BLU-140")+SUMIFS('Таблиця 1'!$K:$K,'Таблиця 1'!$B:$B,$A665,'Таблиця 1'!$I:$I,"Су-27",'Таблиця 1'!$J:$J,"BLU-140"))</f>
        <v/>
      </c>
      <c r="L665">
        <f>IF($A665="","",SUMIFS('Таблиця 1'!$K:$K,'Таблиця 1'!$B:$B,$A665,'Таблиця 1'!$I:$I,"Mirage",'Таблиця 1'!$J:$J,"GBU-65")+SUMIFS('Таблиця 1'!$K:$K,'Таблиця 1'!$B:$B,$A665,'Таблиця 1'!$I:$I,"F-16",'Таблиця 1'!$J:$J,"GBU-65")+SUMIFS('Таблиця 1'!$K:$K,'Таблиця 1'!$B:$B,$A665,'Таблиця 1'!$I:$I,"МіГ-29",'Таблиця 1'!$J:$J,"GBU-65")+SUMIFS('Таблиця 1'!$K:$K,'Таблиця 1'!$B:$B,$A665,'Таблиця 1'!$I:$I,"Су-25",'Таблиця 1'!$J:$J,"GBU-65")+SUMIFS('Таблиця 1'!$K:$K,'Таблиця 1'!$B:$B,$A665,'Таблиця 1'!$I:$I,"Су-27",'Таблиця 1'!$J:$J,"GBU-65"))</f>
        <v/>
      </c>
      <c r="M665">
        <f>IF($A665="","",SUMIFS('Таблиця 1'!$K:$K,'Таблиця 1'!$B:$B,$A665,'Таблиця 1'!$I:$I,"Mirage",'Таблиця 1'!$J:$J,"GBU-62")+SUMIFS('Таблиця 1'!$K:$K,'Таблиця 1'!$B:$B,$A665,'Таблиця 1'!$I:$I,"F-16",'Таблиця 1'!$J:$J,"GBU-62")+SUMIFS('Таблиця 1'!$K:$K,'Таблиця 1'!$B:$B,$A665,'Таблиця 1'!$I:$I,"МіГ-29",'Таблиця 1'!$J:$J,"GBU-62")+SUMIFS('Таблиця 1'!$K:$K,'Таблиця 1'!$B:$B,$A665,'Таблиця 1'!$I:$I,"Су-25",'Таблиця 1'!$J:$J,"GBU-62")+SUMIFS('Таблиця 1'!$K:$K,'Таблиця 1'!$B:$B,$A665,'Таблиця 1'!$I:$I,"Су-27",'Таблиця 1'!$J:$J,"GBU-62"))</f>
        <v/>
      </c>
      <c r="N665">
        <f>IF($A665="","",SUMIFS('Таблиця 1'!$K:$K,'Таблиця 1'!$B:$B,$A665,'Таблиця 1'!$I:$I,"Mirage",'Таблиця 1'!$J:$J,"GBU-64")+SUMIFS('Таблиця 1'!$K:$K,'Таблиця 1'!$B:$B,$A665,'Таблиця 1'!$I:$I,"F-16",'Таблиця 1'!$J:$J,"GBU-64")+SUMIFS('Таблиця 1'!$K:$K,'Таблиця 1'!$B:$B,$A665,'Таблиця 1'!$I:$I,"МіГ-29",'Таблиця 1'!$J:$J,"GBU-64")+SUMIFS('Таблиця 1'!$K:$K,'Таблиця 1'!$B:$B,$A665,'Таблиця 1'!$I:$I,"Су-25",'Таблиця 1'!$J:$J,"GBU-64")+SUMIFS('Таблиця 1'!$K:$K,'Таблиця 1'!$B:$B,$A665,'Таблиця 1'!$I:$I,"Су-27",'Таблиця 1'!$J:$J,"GBU-64"))</f>
        <v/>
      </c>
      <c r="O665">
        <f>IF($A665="","",SUMIFS('Таблиця 1'!$K:$K,'Таблиця 1'!$B:$B,$A665,'Таблиця 1'!$I:$I,"Mirage",'Таблиця 1'!$J:$J,"C-13")+SUMIFS('Таблиця 1'!$K:$K,'Таблиця 1'!$B:$B,$A665,'Таблиця 1'!$I:$I,"F-16",'Таблиця 1'!$J:$J,"C-13")+SUMIFS('Таблиця 1'!$K:$K,'Таблиця 1'!$B:$B,$A665,'Таблиця 1'!$I:$I,"МіГ-29",'Таблиця 1'!$J:$J,"C-13")+SUMIFS('Таблиця 1'!$K:$K,'Таблиця 1'!$B:$B,$A665,'Таблиця 1'!$I:$I,"Су-25",'Таблиця 1'!$J:$J,"C-13")+SUMIFS('Таблиця 1'!$K:$K,'Таблиця 1'!$B:$B,$A665,'Таблиця 1'!$I:$I,"Су-27",'Таблиця 1'!$J:$J,"C-13"))</f>
        <v/>
      </c>
      <c r="P665">
        <f>IF($A665="","",SUMIFS('Таблиця 1'!$K:$K,'Таблиця 1'!$B:$B,$A665,'Таблиця 1'!$I:$I,"Mirage",'Таблиця 1'!$J:$J,"MK-32")+SUMIFS('Таблиця 1'!$K:$K,'Таблиця 1'!$B:$B,$A665,'Таблиця 1'!$I:$I,"F-16",'Таблиця 1'!$J:$J,"MK-32")+SUMIFS('Таблиця 1'!$K:$K,'Таблиця 1'!$B:$B,$A665,'Таблиця 1'!$I:$I,"МіГ-29",'Таблиця 1'!$J:$J,"MK-32")+SUMIFS('Таблиця 1'!$K:$K,'Таблиця 1'!$B:$B,$A665,'Таблиця 1'!$I:$I,"Су-25",'Таблиця 1'!$J:$J,"MK-32")+SUMIFS('Таблиця 1'!$K:$K,'Таблиця 1'!$B:$B,$A665,'Таблиця 1'!$I:$I,"Су-27",'Таблиця 1'!$J:$J,"MK-32"))</f>
        <v/>
      </c>
      <c r="Q665">
        <f>IF($A665="","",SUMIFS('Таблиця 1'!$K:$K,'Таблиця 1'!$B:$B,$A665,'Таблиця 1'!$I:$I,"Mirage",'Таблиця 1'!$J:$J,"MK-24")+SUMIFS('Таблиця 1'!$K:$K,'Таблиця 1'!$B:$B,$A665,'Таблиця 1'!$I:$I,"F-16",'Таблиця 1'!$J:$J,"MK-24")+SUMIFS('Таблиця 1'!$K:$K,'Таблиця 1'!$B:$B,$A665,'Таблиця 1'!$I:$I,"МіГ-29",'Таблиця 1'!$J:$J,"MK-24")+SUMIFS('Таблиця 1'!$K:$K,'Таблиця 1'!$B:$B,$A665,'Таблиця 1'!$I:$I,"Су-25",'Таблиця 1'!$J:$J,"MK-24")+SUMIFS('Таблиця 1'!$K:$K,'Таблиця 1'!$B:$B,$A665,'Таблиця 1'!$I:$I,"Су-27",'Таблиця 1'!$J:$J,"MK-24"))</f>
        <v/>
      </c>
      <c r="R665">
        <f>IF($A665="","",COUNTIFS('Таблиця 1'!$B:$B,$A665,'Таблиця 1'!$I:$I,"Mirage",'Таблиця 1'!$L:$L,"Уражено")+COUNTIFS('Таблиця 1'!$B:$B,$A665,'Таблиця 1'!$I:$I,"F-16",'Таблиця 1'!$L:$L,"Уражено")+COUNTIFS('Таблиця 1'!$B:$B,$A665,'Таблиця 1'!$I:$I,"МіГ-29",'Таблиця 1'!$L:$L,"Уражено")+COUNTIFS('Таблиця 1'!$B:$B,$A665,'Таблиця 1'!$I:$I,"Су-25",'Таблиця 1'!$L:$L,"Уражено")+COUNTIFS('Таблиця 1'!$B:$B,$A665,'Таблиця 1'!$I:$I,"Су-27",'Таблиця 1'!$L:$L,"Уражено"))</f>
        <v/>
      </c>
      <c r="S665">
        <f>IF($A665="","",COUNTIFS('Таблиця 1'!$B:$B,$A665,'Таблиця 1'!$I:$I,"Mirage",'Таблиця 1'!$L:$L,"НЕ уражено")+COUNTIFS('Таблиця 1'!$B:$B,$A665,'Таблиця 1'!$I:$I,"F-16",'Таблиця 1'!$L:$L,"НЕ уражено")+COUNTIFS('Таблиця 1'!$B:$B,$A665,'Таблиця 1'!$I:$I,"МіГ-29",'Таблиця 1'!$L:$L,"НЕ уражено")+COUNTIFS('Таблиця 1'!$B:$B,$A665,'Таблиця 1'!$I:$I,"Су-25",'Таблиця 1'!$L:$L,"НЕ уражено")+COUNTIFS('Таблиця 1'!$B:$B,$A665,'Таблиця 1'!$I:$I,"Су-27",'Таблиця 1'!$L:$L,"НЕ уражено"))</f>
        <v/>
      </c>
      <c r="T665">
        <f>IF($A665="","",COUNTIFS('Таблиця 1'!$B:$B,$A665,'Таблиця 1'!$I:$I,"Mirage",'Таблиця 1'!$L:$L,"Дорозвідується")+COUNTIFS('Таблиця 1'!$B:$B,$A665,'Таблиця 1'!$I:$I,"F-16",'Таблиця 1'!$L:$L,"Дорозвідується")+COUNTIFS('Таблиця 1'!$B:$B,$A665,'Таблиця 1'!$I:$I,"МіГ-29",'Таблиця 1'!$L:$L,"Дорозвідується")+COUNTIFS('Таблиця 1'!$B:$B,$A665,'Таблиця 1'!$I:$I,"Су-25",'Таблиця 1'!$L:$L,"Дорозвідується")+COUNTIFS('Таблиця 1'!$B:$B,$A665,'Таблиця 1'!$I:$I,"Су-27",'Таблиця 1'!$L:$L,"Дорозвідується"))</f>
        <v/>
      </c>
    </row>
    <row r="666">
      <c r="A666" s="273">
        <f>IF(A665="","",IF(A665+1&gt;MAX('Таблиця 1'!$B:$B),"",A665+1))</f>
        <v/>
      </c>
      <c r="B666">
        <f>IF($A666="","",COUNTIFS('Таблиця 1'!$B:$B,$A666,'Таблиця 1'!$I:$I,"Mirage")+COUNTIFS('Таблиця 1'!$B:$B,$A666,'Таблиця 1'!$I:$I,"F-16")+COUNTIFS('Таблиця 1'!$B:$B,$A666,'Таблиця 1'!$I:$I,"МіГ-29")+COUNTIFS('Таблиця 1'!$B:$B,$A666,'Таблиця 1'!$I:$I,"Су-25")+COUNTIFS('Таблиця 1'!$B:$B,$A666,'Таблиця 1'!$I:$I,"Су-27"))</f>
        <v/>
      </c>
      <c r="C666">
        <f>IF($A666="","",COUNTIFS('Таблиця 1'!$B:$B,$A666,'Таблиця 1'!$I:$I,"Mirage"))</f>
        <v/>
      </c>
      <c r="D666">
        <f>IF($A666="","",COUNTIFS('Таблиця 1'!$B:$B,$A666,'Таблиця 1'!$I:$I,"F-16"))</f>
        <v/>
      </c>
      <c r="E666">
        <f>IF($A666="","",COUNTIFS('Таблиця 1'!$B:$B,$A666,'Таблиця 1'!$I:$I,"МіГ-29"))</f>
        <v/>
      </c>
      <c r="F666">
        <f>IF($A666="","",COUNTIFS('Таблиця 1'!$B:$B,$A666,'Таблиця 1'!$I:$I,"Су-25"))</f>
        <v/>
      </c>
      <c r="G666">
        <f>IF($A666="","",COUNTIFS('Таблиця 1'!$B:$B,$A666,'Таблиця 1'!$I:$I,"Су-27"))</f>
        <v/>
      </c>
      <c r="H666">
        <f>IF($A666="","",SUMIFS('Таблиця 1'!$K:$K,'Таблиця 1'!$B:$B,$A666,'Таблиця 1'!$I:$I,"Mirage",'Таблиця 1'!$J:$J,"AGM-88")+SUMIFS('Таблиця 1'!$K:$K,'Таблиця 1'!$B:$B,$A666,'Таблиця 1'!$I:$I,"F-16",'Таблиця 1'!$J:$J,"AGM-88")+SUMIFS('Таблиця 1'!$K:$K,'Таблиця 1'!$B:$B,$A666,'Таблиця 1'!$I:$I,"МіГ-29",'Таблиця 1'!$J:$J,"AGM-88")+SUMIFS('Таблиця 1'!$K:$K,'Таблиця 1'!$B:$B,$A666,'Таблиця 1'!$I:$I,"Су-25",'Таблиця 1'!$J:$J,"AGM-88")+SUMIFS('Таблиця 1'!$K:$K,'Таблиця 1'!$B:$B,$A666,'Таблиця 1'!$I:$I,"Су-27",'Таблиця 1'!$J:$J,"AGM-88"))</f>
        <v/>
      </c>
      <c r="I666">
        <f>IF($A666="","",SUMIFS('Таблиця 1'!$K:$K,'Таблиця 1'!$B:$B,$A666,'Таблиця 1'!$I:$I,"Mirage",'Таблиця 1'!$J:$J,"AASM-250")+SUMIFS('Таблиця 1'!$K:$K,'Таблиця 1'!$B:$B,$A666,'Таблиця 1'!$I:$I,"F-16",'Таблиця 1'!$J:$J,"AASM-250")+SUMIFS('Таблиця 1'!$K:$K,'Таблиця 1'!$B:$B,$A666,'Таблиця 1'!$I:$I,"МіГ-29",'Таблиця 1'!$J:$J,"AASM-250")+SUMIFS('Таблиця 1'!$K:$K,'Таблиця 1'!$B:$B,$A666,'Таблиця 1'!$I:$I,"Су-25",'Таблиця 1'!$J:$J,"AASM-250")+SUMIFS('Таблиця 1'!$K:$K,'Таблиця 1'!$B:$B,$A666,'Таблиця 1'!$I:$I,"Су-27",'Таблиця 1'!$J:$J,"AASM-250"))</f>
        <v/>
      </c>
      <c r="J666">
        <f>IF($A666="","",SUMIFS('Таблиця 1'!$K:$K,'Таблиця 1'!$B:$B,$A666,'Таблиця 1'!$I:$I,"Mirage",'Таблиця 1'!$J:$J,"GBU-39")+SUMIFS('Таблиця 1'!$K:$K,'Таблиця 1'!$B:$B,$A666,'Таблиця 1'!$I:$I,"F-16",'Таблиця 1'!$J:$J,"GBU-39")+SUMIFS('Таблиця 1'!$K:$K,'Таблиця 1'!$B:$B,$A666,'Таблиця 1'!$I:$I,"МіГ-29",'Таблиця 1'!$J:$J,"GBU-39")+SUMIFS('Таблиця 1'!$K:$K,'Таблиця 1'!$B:$B,$A666,'Таблиця 1'!$I:$I,"Су-25",'Таблиця 1'!$J:$J,"GBU-39")+SUMIFS('Таблиця 1'!$K:$K,'Таблиця 1'!$B:$B,$A666,'Таблиця 1'!$I:$I,"Су-27",'Таблиця 1'!$J:$J,"GBU-39"))</f>
        <v/>
      </c>
      <c r="K666">
        <f>IF($A666="","",SUMIFS('Таблиця 1'!$K:$K,'Таблиця 1'!$B:$B,$A666,'Таблиця 1'!$I:$I,"Mirage",'Таблиця 1'!$J:$J,"BLU-140")+SUMIFS('Таблиця 1'!$K:$K,'Таблиця 1'!$B:$B,$A666,'Таблиця 1'!$I:$I,"F-16",'Таблиця 1'!$J:$J,"BLU-140")+SUMIFS('Таблиця 1'!$K:$K,'Таблиця 1'!$B:$B,$A666,'Таблиця 1'!$I:$I,"МіГ-29",'Таблиця 1'!$J:$J,"BLU-140")+SUMIFS('Таблиця 1'!$K:$K,'Таблиця 1'!$B:$B,$A666,'Таблиця 1'!$I:$I,"Су-25",'Таблиця 1'!$J:$J,"BLU-140")+SUMIFS('Таблиця 1'!$K:$K,'Таблиця 1'!$B:$B,$A666,'Таблиця 1'!$I:$I,"Су-27",'Таблиця 1'!$J:$J,"BLU-140"))</f>
        <v/>
      </c>
      <c r="L666">
        <f>IF($A666="","",SUMIFS('Таблиця 1'!$K:$K,'Таблиця 1'!$B:$B,$A666,'Таблиця 1'!$I:$I,"Mirage",'Таблиця 1'!$J:$J,"GBU-65")+SUMIFS('Таблиця 1'!$K:$K,'Таблиця 1'!$B:$B,$A666,'Таблиця 1'!$I:$I,"F-16",'Таблиця 1'!$J:$J,"GBU-65")+SUMIFS('Таблиця 1'!$K:$K,'Таблиця 1'!$B:$B,$A666,'Таблиця 1'!$I:$I,"МіГ-29",'Таблиця 1'!$J:$J,"GBU-65")+SUMIFS('Таблиця 1'!$K:$K,'Таблиця 1'!$B:$B,$A666,'Таблиця 1'!$I:$I,"Су-25",'Таблиця 1'!$J:$J,"GBU-65")+SUMIFS('Таблиця 1'!$K:$K,'Таблиця 1'!$B:$B,$A666,'Таблиця 1'!$I:$I,"Су-27",'Таблиця 1'!$J:$J,"GBU-65"))</f>
        <v/>
      </c>
      <c r="M666">
        <f>IF($A666="","",SUMIFS('Таблиця 1'!$K:$K,'Таблиця 1'!$B:$B,$A666,'Таблиця 1'!$I:$I,"Mirage",'Таблиця 1'!$J:$J,"GBU-62")+SUMIFS('Таблиця 1'!$K:$K,'Таблиця 1'!$B:$B,$A666,'Таблиця 1'!$I:$I,"F-16",'Таблиця 1'!$J:$J,"GBU-62")+SUMIFS('Таблиця 1'!$K:$K,'Таблиця 1'!$B:$B,$A666,'Таблиця 1'!$I:$I,"МіГ-29",'Таблиця 1'!$J:$J,"GBU-62")+SUMIFS('Таблиця 1'!$K:$K,'Таблиця 1'!$B:$B,$A666,'Таблиця 1'!$I:$I,"Су-25",'Таблиця 1'!$J:$J,"GBU-62")+SUMIFS('Таблиця 1'!$K:$K,'Таблиця 1'!$B:$B,$A666,'Таблиця 1'!$I:$I,"Су-27",'Таблиця 1'!$J:$J,"GBU-62"))</f>
        <v/>
      </c>
      <c r="N666">
        <f>IF($A666="","",SUMIFS('Таблиця 1'!$K:$K,'Таблиця 1'!$B:$B,$A666,'Таблиця 1'!$I:$I,"Mirage",'Таблиця 1'!$J:$J,"GBU-64")+SUMIFS('Таблиця 1'!$K:$K,'Таблиця 1'!$B:$B,$A666,'Таблиця 1'!$I:$I,"F-16",'Таблиця 1'!$J:$J,"GBU-64")+SUMIFS('Таблиця 1'!$K:$K,'Таблиця 1'!$B:$B,$A666,'Таблиця 1'!$I:$I,"МіГ-29",'Таблиця 1'!$J:$J,"GBU-64")+SUMIFS('Таблиця 1'!$K:$K,'Таблиця 1'!$B:$B,$A666,'Таблиця 1'!$I:$I,"Су-25",'Таблиця 1'!$J:$J,"GBU-64")+SUMIFS('Таблиця 1'!$K:$K,'Таблиця 1'!$B:$B,$A666,'Таблиця 1'!$I:$I,"Су-27",'Таблиця 1'!$J:$J,"GBU-64"))</f>
        <v/>
      </c>
      <c r="O666">
        <f>IF($A666="","",SUMIFS('Таблиця 1'!$K:$K,'Таблиця 1'!$B:$B,$A666,'Таблиця 1'!$I:$I,"Mirage",'Таблиця 1'!$J:$J,"C-13")+SUMIFS('Таблиця 1'!$K:$K,'Таблиця 1'!$B:$B,$A666,'Таблиця 1'!$I:$I,"F-16",'Таблиця 1'!$J:$J,"C-13")+SUMIFS('Таблиця 1'!$K:$K,'Таблиця 1'!$B:$B,$A666,'Таблиця 1'!$I:$I,"МіГ-29",'Таблиця 1'!$J:$J,"C-13")+SUMIFS('Таблиця 1'!$K:$K,'Таблиця 1'!$B:$B,$A666,'Таблиця 1'!$I:$I,"Су-25",'Таблиця 1'!$J:$J,"C-13")+SUMIFS('Таблиця 1'!$K:$K,'Таблиця 1'!$B:$B,$A666,'Таблиця 1'!$I:$I,"Су-27",'Таблиця 1'!$J:$J,"C-13"))</f>
        <v/>
      </c>
      <c r="P666">
        <f>IF($A666="","",SUMIFS('Таблиця 1'!$K:$K,'Таблиця 1'!$B:$B,$A666,'Таблиця 1'!$I:$I,"Mirage",'Таблиця 1'!$J:$J,"MK-32")+SUMIFS('Таблиця 1'!$K:$K,'Таблиця 1'!$B:$B,$A666,'Таблиця 1'!$I:$I,"F-16",'Таблиця 1'!$J:$J,"MK-32")+SUMIFS('Таблиця 1'!$K:$K,'Таблиця 1'!$B:$B,$A666,'Таблиця 1'!$I:$I,"МіГ-29",'Таблиця 1'!$J:$J,"MK-32")+SUMIFS('Таблиця 1'!$K:$K,'Таблиця 1'!$B:$B,$A666,'Таблиця 1'!$I:$I,"Су-25",'Таблиця 1'!$J:$J,"MK-32")+SUMIFS('Таблиця 1'!$K:$K,'Таблиця 1'!$B:$B,$A666,'Таблиця 1'!$I:$I,"Су-27",'Таблиця 1'!$J:$J,"MK-32"))</f>
        <v/>
      </c>
      <c r="Q666">
        <f>IF($A666="","",SUMIFS('Таблиця 1'!$K:$K,'Таблиця 1'!$B:$B,$A666,'Таблиця 1'!$I:$I,"Mirage",'Таблиця 1'!$J:$J,"MK-24")+SUMIFS('Таблиця 1'!$K:$K,'Таблиця 1'!$B:$B,$A666,'Таблиця 1'!$I:$I,"F-16",'Таблиця 1'!$J:$J,"MK-24")+SUMIFS('Таблиця 1'!$K:$K,'Таблиця 1'!$B:$B,$A666,'Таблиця 1'!$I:$I,"МіГ-29",'Таблиця 1'!$J:$J,"MK-24")+SUMIFS('Таблиця 1'!$K:$K,'Таблиця 1'!$B:$B,$A666,'Таблиця 1'!$I:$I,"Су-25",'Таблиця 1'!$J:$J,"MK-24")+SUMIFS('Таблиця 1'!$K:$K,'Таблиця 1'!$B:$B,$A666,'Таблиця 1'!$I:$I,"Су-27",'Таблиця 1'!$J:$J,"MK-24"))</f>
        <v/>
      </c>
      <c r="R666">
        <f>IF($A666="","",COUNTIFS('Таблиця 1'!$B:$B,$A666,'Таблиця 1'!$I:$I,"Mirage",'Таблиця 1'!$L:$L,"Уражено")+COUNTIFS('Таблиця 1'!$B:$B,$A666,'Таблиця 1'!$I:$I,"F-16",'Таблиця 1'!$L:$L,"Уражено")+COUNTIFS('Таблиця 1'!$B:$B,$A666,'Таблиця 1'!$I:$I,"МіГ-29",'Таблиця 1'!$L:$L,"Уражено")+COUNTIFS('Таблиця 1'!$B:$B,$A666,'Таблиця 1'!$I:$I,"Су-25",'Таблиця 1'!$L:$L,"Уражено")+COUNTIFS('Таблиця 1'!$B:$B,$A666,'Таблиця 1'!$I:$I,"Су-27",'Таблиця 1'!$L:$L,"Уражено"))</f>
        <v/>
      </c>
      <c r="S666">
        <f>IF($A666="","",COUNTIFS('Таблиця 1'!$B:$B,$A666,'Таблиця 1'!$I:$I,"Mirage",'Таблиця 1'!$L:$L,"НЕ уражено")+COUNTIFS('Таблиця 1'!$B:$B,$A666,'Таблиця 1'!$I:$I,"F-16",'Таблиця 1'!$L:$L,"НЕ уражено")+COUNTIFS('Таблиця 1'!$B:$B,$A666,'Таблиця 1'!$I:$I,"МіГ-29",'Таблиця 1'!$L:$L,"НЕ уражено")+COUNTIFS('Таблиця 1'!$B:$B,$A666,'Таблиця 1'!$I:$I,"Су-25",'Таблиця 1'!$L:$L,"НЕ уражено")+COUNTIFS('Таблиця 1'!$B:$B,$A666,'Таблиця 1'!$I:$I,"Су-27",'Таблиця 1'!$L:$L,"НЕ уражено"))</f>
        <v/>
      </c>
      <c r="T666">
        <f>IF($A666="","",COUNTIFS('Таблиця 1'!$B:$B,$A666,'Таблиця 1'!$I:$I,"Mirage",'Таблиця 1'!$L:$L,"Дорозвідується")+COUNTIFS('Таблиця 1'!$B:$B,$A666,'Таблиця 1'!$I:$I,"F-16",'Таблиця 1'!$L:$L,"Дорозвідується")+COUNTIFS('Таблиця 1'!$B:$B,$A666,'Таблиця 1'!$I:$I,"МіГ-29",'Таблиця 1'!$L:$L,"Дорозвідується")+COUNTIFS('Таблиця 1'!$B:$B,$A666,'Таблиця 1'!$I:$I,"Су-25",'Таблиця 1'!$L:$L,"Дорозвідується")+COUNTIFS('Таблиця 1'!$B:$B,$A666,'Таблиця 1'!$I:$I,"Су-27",'Таблиця 1'!$L:$L,"Дорозвідується"))</f>
        <v/>
      </c>
    </row>
    <row r="667">
      <c r="A667" s="273">
        <f>IF(A666="","",IF(A666+1&gt;MAX('Таблиця 1'!$B:$B),"",A666+1))</f>
        <v/>
      </c>
      <c r="B667">
        <f>IF($A667="","",COUNTIFS('Таблиця 1'!$B:$B,$A667,'Таблиця 1'!$I:$I,"Mirage")+COUNTIFS('Таблиця 1'!$B:$B,$A667,'Таблиця 1'!$I:$I,"F-16")+COUNTIFS('Таблиця 1'!$B:$B,$A667,'Таблиця 1'!$I:$I,"МіГ-29")+COUNTIFS('Таблиця 1'!$B:$B,$A667,'Таблиця 1'!$I:$I,"Су-25")+COUNTIFS('Таблиця 1'!$B:$B,$A667,'Таблиця 1'!$I:$I,"Су-27"))</f>
        <v/>
      </c>
      <c r="C667">
        <f>IF($A667="","",COUNTIFS('Таблиця 1'!$B:$B,$A667,'Таблиця 1'!$I:$I,"Mirage"))</f>
        <v/>
      </c>
      <c r="D667">
        <f>IF($A667="","",COUNTIFS('Таблиця 1'!$B:$B,$A667,'Таблиця 1'!$I:$I,"F-16"))</f>
        <v/>
      </c>
      <c r="E667">
        <f>IF($A667="","",COUNTIFS('Таблиця 1'!$B:$B,$A667,'Таблиця 1'!$I:$I,"МіГ-29"))</f>
        <v/>
      </c>
      <c r="F667">
        <f>IF($A667="","",COUNTIFS('Таблиця 1'!$B:$B,$A667,'Таблиця 1'!$I:$I,"Су-25"))</f>
        <v/>
      </c>
      <c r="G667">
        <f>IF($A667="","",COUNTIFS('Таблиця 1'!$B:$B,$A667,'Таблиця 1'!$I:$I,"Су-27"))</f>
        <v/>
      </c>
      <c r="H667">
        <f>IF($A667="","",SUMIFS('Таблиця 1'!$K:$K,'Таблиця 1'!$B:$B,$A667,'Таблиця 1'!$I:$I,"Mirage",'Таблиця 1'!$J:$J,"AGM-88")+SUMIFS('Таблиця 1'!$K:$K,'Таблиця 1'!$B:$B,$A667,'Таблиця 1'!$I:$I,"F-16",'Таблиця 1'!$J:$J,"AGM-88")+SUMIFS('Таблиця 1'!$K:$K,'Таблиця 1'!$B:$B,$A667,'Таблиця 1'!$I:$I,"МіГ-29",'Таблиця 1'!$J:$J,"AGM-88")+SUMIFS('Таблиця 1'!$K:$K,'Таблиця 1'!$B:$B,$A667,'Таблиця 1'!$I:$I,"Су-25",'Таблиця 1'!$J:$J,"AGM-88")+SUMIFS('Таблиця 1'!$K:$K,'Таблиця 1'!$B:$B,$A667,'Таблиця 1'!$I:$I,"Су-27",'Таблиця 1'!$J:$J,"AGM-88"))</f>
        <v/>
      </c>
      <c r="I667">
        <f>IF($A667="","",SUMIFS('Таблиця 1'!$K:$K,'Таблиця 1'!$B:$B,$A667,'Таблиця 1'!$I:$I,"Mirage",'Таблиця 1'!$J:$J,"AASM-250")+SUMIFS('Таблиця 1'!$K:$K,'Таблиця 1'!$B:$B,$A667,'Таблиця 1'!$I:$I,"F-16",'Таблиця 1'!$J:$J,"AASM-250")+SUMIFS('Таблиця 1'!$K:$K,'Таблиця 1'!$B:$B,$A667,'Таблиця 1'!$I:$I,"МіГ-29",'Таблиця 1'!$J:$J,"AASM-250")+SUMIFS('Таблиця 1'!$K:$K,'Таблиця 1'!$B:$B,$A667,'Таблиця 1'!$I:$I,"Су-25",'Таблиця 1'!$J:$J,"AASM-250")+SUMIFS('Таблиця 1'!$K:$K,'Таблиця 1'!$B:$B,$A667,'Таблиця 1'!$I:$I,"Су-27",'Таблиця 1'!$J:$J,"AASM-250"))</f>
        <v/>
      </c>
      <c r="J667">
        <f>IF($A667="","",SUMIFS('Таблиця 1'!$K:$K,'Таблиця 1'!$B:$B,$A667,'Таблиця 1'!$I:$I,"Mirage",'Таблиця 1'!$J:$J,"GBU-39")+SUMIFS('Таблиця 1'!$K:$K,'Таблиця 1'!$B:$B,$A667,'Таблиця 1'!$I:$I,"F-16",'Таблиця 1'!$J:$J,"GBU-39")+SUMIFS('Таблиця 1'!$K:$K,'Таблиця 1'!$B:$B,$A667,'Таблиця 1'!$I:$I,"МіГ-29",'Таблиця 1'!$J:$J,"GBU-39")+SUMIFS('Таблиця 1'!$K:$K,'Таблиця 1'!$B:$B,$A667,'Таблиця 1'!$I:$I,"Су-25",'Таблиця 1'!$J:$J,"GBU-39")+SUMIFS('Таблиця 1'!$K:$K,'Таблиця 1'!$B:$B,$A667,'Таблиця 1'!$I:$I,"Су-27",'Таблиця 1'!$J:$J,"GBU-39"))</f>
        <v/>
      </c>
      <c r="K667">
        <f>IF($A667="","",SUMIFS('Таблиця 1'!$K:$K,'Таблиця 1'!$B:$B,$A667,'Таблиця 1'!$I:$I,"Mirage",'Таблиця 1'!$J:$J,"BLU-140")+SUMIFS('Таблиця 1'!$K:$K,'Таблиця 1'!$B:$B,$A667,'Таблиця 1'!$I:$I,"F-16",'Таблиця 1'!$J:$J,"BLU-140")+SUMIFS('Таблиця 1'!$K:$K,'Таблиця 1'!$B:$B,$A667,'Таблиця 1'!$I:$I,"МіГ-29",'Таблиця 1'!$J:$J,"BLU-140")+SUMIFS('Таблиця 1'!$K:$K,'Таблиця 1'!$B:$B,$A667,'Таблиця 1'!$I:$I,"Су-25",'Таблиця 1'!$J:$J,"BLU-140")+SUMIFS('Таблиця 1'!$K:$K,'Таблиця 1'!$B:$B,$A667,'Таблиця 1'!$I:$I,"Су-27",'Таблиця 1'!$J:$J,"BLU-140"))</f>
        <v/>
      </c>
      <c r="L667">
        <f>IF($A667="","",SUMIFS('Таблиця 1'!$K:$K,'Таблиця 1'!$B:$B,$A667,'Таблиця 1'!$I:$I,"Mirage",'Таблиця 1'!$J:$J,"GBU-65")+SUMIFS('Таблиця 1'!$K:$K,'Таблиця 1'!$B:$B,$A667,'Таблиця 1'!$I:$I,"F-16",'Таблиця 1'!$J:$J,"GBU-65")+SUMIFS('Таблиця 1'!$K:$K,'Таблиця 1'!$B:$B,$A667,'Таблиця 1'!$I:$I,"МіГ-29",'Таблиця 1'!$J:$J,"GBU-65")+SUMIFS('Таблиця 1'!$K:$K,'Таблиця 1'!$B:$B,$A667,'Таблиця 1'!$I:$I,"Су-25",'Таблиця 1'!$J:$J,"GBU-65")+SUMIFS('Таблиця 1'!$K:$K,'Таблиця 1'!$B:$B,$A667,'Таблиця 1'!$I:$I,"Су-27",'Таблиця 1'!$J:$J,"GBU-65"))</f>
        <v/>
      </c>
      <c r="M667">
        <f>IF($A667="","",SUMIFS('Таблиця 1'!$K:$K,'Таблиця 1'!$B:$B,$A667,'Таблиця 1'!$I:$I,"Mirage",'Таблиця 1'!$J:$J,"GBU-62")+SUMIFS('Таблиця 1'!$K:$K,'Таблиця 1'!$B:$B,$A667,'Таблиця 1'!$I:$I,"F-16",'Таблиця 1'!$J:$J,"GBU-62")+SUMIFS('Таблиця 1'!$K:$K,'Таблиця 1'!$B:$B,$A667,'Таблиця 1'!$I:$I,"МіГ-29",'Таблиця 1'!$J:$J,"GBU-62")+SUMIFS('Таблиця 1'!$K:$K,'Таблиця 1'!$B:$B,$A667,'Таблиця 1'!$I:$I,"Су-25",'Таблиця 1'!$J:$J,"GBU-62")+SUMIFS('Таблиця 1'!$K:$K,'Таблиця 1'!$B:$B,$A667,'Таблиця 1'!$I:$I,"Су-27",'Таблиця 1'!$J:$J,"GBU-62"))</f>
        <v/>
      </c>
      <c r="N667">
        <f>IF($A667="","",SUMIFS('Таблиця 1'!$K:$K,'Таблиця 1'!$B:$B,$A667,'Таблиця 1'!$I:$I,"Mirage",'Таблиця 1'!$J:$J,"GBU-64")+SUMIFS('Таблиця 1'!$K:$K,'Таблиця 1'!$B:$B,$A667,'Таблиця 1'!$I:$I,"F-16",'Таблиця 1'!$J:$J,"GBU-64")+SUMIFS('Таблиця 1'!$K:$K,'Таблиця 1'!$B:$B,$A667,'Таблиця 1'!$I:$I,"МіГ-29",'Таблиця 1'!$J:$J,"GBU-64")+SUMIFS('Таблиця 1'!$K:$K,'Таблиця 1'!$B:$B,$A667,'Таблиця 1'!$I:$I,"Су-25",'Таблиця 1'!$J:$J,"GBU-64")+SUMIFS('Таблиця 1'!$K:$K,'Таблиця 1'!$B:$B,$A667,'Таблиця 1'!$I:$I,"Су-27",'Таблиця 1'!$J:$J,"GBU-64"))</f>
        <v/>
      </c>
      <c r="O667">
        <f>IF($A667="","",SUMIFS('Таблиця 1'!$K:$K,'Таблиця 1'!$B:$B,$A667,'Таблиця 1'!$I:$I,"Mirage",'Таблиця 1'!$J:$J,"C-13")+SUMIFS('Таблиця 1'!$K:$K,'Таблиця 1'!$B:$B,$A667,'Таблиця 1'!$I:$I,"F-16",'Таблиця 1'!$J:$J,"C-13")+SUMIFS('Таблиця 1'!$K:$K,'Таблиця 1'!$B:$B,$A667,'Таблиця 1'!$I:$I,"МіГ-29",'Таблиця 1'!$J:$J,"C-13")+SUMIFS('Таблиця 1'!$K:$K,'Таблиця 1'!$B:$B,$A667,'Таблиця 1'!$I:$I,"Су-25",'Таблиця 1'!$J:$J,"C-13")+SUMIFS('Таблиця 1'!$K:$K,'Таблиця 1'!$B:$B,$A667,'Таблиця 1'!$I:$I,"Су-27",'Таблиця 1'!$J:$J,"C-13"))</f>
        <v/>
      </c>
      <c r="P667">
        <f>IF($A667="","",SUMIFS('Таблиця 1'!$K:$K,'Таблиця 1'!$B:$B,$A667,'Таблиця 1'!$I:$I,"Mirage",'Таблиця 1'!$J:$J,"MK-32")+SUMIFS('Таблиця 1'!$K:$K,'Таблиця 1'!$B:$B,$A667,'Таблиця 1'!$I:$I,"F-16",'Таблиця 1'!$J:$J,"MK-32")+SUMIFS('Таблиця 1'!$K:$K,'Таблиця 1'!$B:$B,$A667,'Таблиця 1'!$I:$I,"МіГ-29",'Таблиця 1'!$J:$J,"MK-32")+SUMIFS('Таблиця 1'!$K:$K,'Таблиця 1'!$B:$B,$A667,'Таблиця 1'!$I:$I,"Су-25",'Таблиця 1'!$J:$J,"MK-32")+SUMIFS('Таблиця 1'!$K:$K,'Таблиця 1'!$B:$B,$A667,'Таблиця 1'!$I:$I,"Су-27",'Таблиця 1'!$J:$J,"MK-32"))</f>
        <v/>
      </c>
      <c r="Q667">
        <f>IF($A667="","",SUMIFS('Таблиця 1'!$K:$K,'Таблиця 1'!$B:$B,$A667,'Таблиця 1'!$I:$I,"Mirage",'Таблиця 1'!$J:$J,"MK-24")+SUMIFS('Таблиця 1'!$K:$K,'Таблиця 1'!$B:$B,$A667,'Таблиця 1'!$I:$I,"F-16",'Таблиця 1'!$J:$J,"MK-24")+SUMIFS('Таблиця 1'!$K:$K,'Таблиця 1'!$B:$B,$A667,'Таблиця 1'!$I:$I,"МіГ-29",'Таблиця 1'!$J:$J,"MK-24")+SUMIFS('Таблиця 1'!$K:$K,'Таблиця 1'!$B:$B,$A667,'Таблиця 1'!$I:$I,"Су-25",'Таблиця 1'!$J:$J,"MK-24")+SUMIFS('Таблиця 1'!$K:$K,'Таблиця 1'!$B:$B,$A667,'Таблиця 1'!$I:$I,"Су-27",'Таблиця 1'!$J:$J,"MK-24"))</f>
        <v/>
      </c>
      <c r="R667">
        <f>IF($A667="","",COUNTIFS('Таблиця 1'!$B:$B,$A667,'Таблиця 1'!$I:$I,"Mirage",'Таблиця 1'!$L:$L,"Уражено")+COUNTIFS('Таблиця 1'!$B:$B,$A667,'Таблиця 1'!$I:$I,"F-16",'Таблиця 1'!$L:$L,"Уражено")+COUNTIFS('Таблиця 1'!$B:$B,$A667,'Таблиця 1'!$I:$I,"МіГ-29",'Таблиця 1'!$L:$L,"Уражено")+COUNTIFS('Таблиця 1'!$B:$B,$A667,'Таблиця 1'!$I:$I,"Су-25",'Таблиця 1'!$L:$L,"Уражено")+COUNTIFS('Таблиця 1'!$B:$B,$A667,'Таблиця 1'!$I:$I,"Су-27",'Таблиця 1'!$L:$L,"Уражено"))</f>
        <v/>
      </c>
      <c r="S667">
        <f>IF($A667="","",COUNTIFS('Таблиця 1'!$B:$B,$A667,'Таблиця 1'!$I:$I,"Mirage",'Таблиця 1'!$L:$L,"НЕ уражено")+COUNTIFS('Таблиця 1'!$B:$B,$A667,'Таблиця 1'!$I:$I,"F-16",'Таблиця 1'!$L:$L,"НЕ уражено")+COUNTIFS('Таблиця 1'!$B:$B,$A667,'Таблиця 1'!$I:$I,"МіГ-29",'Таблиця 1'!$L:$L,"НЕ уражено")+COUNTIFS('Таблиця 1'!$B:$B,$A667,'Таблиця 1'!$I:$I,"Су-25",'Таблиця 1'!$L:$L,"НЕ уражено")+COUNTIFS('Таблиця 1'!$B:$B,$A667,'Таблиця 1'!$I:$I,"Су-27",'Таблиця 1'!$L:$L,"НЕ уражено"))</f>
        <v/>
      </c>
      <c r="T667">
        <f>IF($A667="","",COUNTIFS('Таблиця 1'!$B:$B,$A667,'Таблиця 1'!$I:$I,"Mirage",'Таблиця 1'!$L:$L,"Дорозвідується")+COUNTIFS('Таблиця 1'!$B:$B,$A667,'Таблиця 1'!$I:$I,"F-16",'Таблиця 1'!$L:$L,"Дорозвідується")+COUNTIFS('Таблиця 1'!$B:$B,$A667,'Таблиця 1'!$I:$I,"МіГ-29",'Таблиця 1'!$L:$L,"Дорозвідується")+COUNTIFS('Таблиця 1'!$B:$B,$A667,'Таблиця 1'!$I:$I,"Су-25",'Таблиця 1'!$L:$L,"Дорозвідується")+COUNTIFS('Таблиця 1'!$B:$B,$A667,'Таблиця 1'!$I:$I,"Су-27",'Таблиця 1'!$L:$L,"Дорозвідується"))</f>
        <v/>
      </c>
    </row>
    <row r="668">
      <c r="A668" s="273">
        <f>IF(A667="","",IF(A667+1&gt;MAX('Таблиця 1'!$B:$B),"",A667+1))</f>
        <v/>
      </c>
      <c r="B668">
        <f>IF($A668="","",COUNTIFS('Таблиця 1'!$B:$B,$A668,'Таблиця 1'!$I:$I,"Mirage")+COUNTIFS('Таблиця 1'!$B:$B,$A668,'Таблиця 1'!$I:$I,"F-16")+COUNTIFS('Таблиця 1'!$B:$B,$A668,'Таблиця 1'!$I:$I,"МіГ-29")+COUNTIFS('Таблиця 1'!$B:$B,$A668,'Таблиця 1'!$I:$I,"Су-25")+COUNTIFS('Таблиця 1'!$B:$B,$A668,'Таблиця 1'!$I:$I,"Су-27"))</f>
        <v/>
      </c>
      <c r="C668">
        <f>IF($A668="","",COUNTIFS('Таблиця 1'!$B:$B,$A668,'Таблиця 1'!$I:$I,"Mirage"))</f>
        <v/>
      </c>
      <c r="D668">
        <f>IF($A668="","",COUNTIFS('Таблиця 1'!$B:$B,$A668,'Таблиця 1'!$I:$I,"F-16"))</f>
        <v/>
      </c>
      <c r="E668">
        <f>IF($A668="","",COUNTIFS('Таблиця 1'!$B:$B,$A668,'Таблиця 1'!$I:$I,"МіГ-29"))</f>
        <v/>
      </c>
      <c r="F668">
        <f>IF($A668="","",COUNTIFS('Таблиця 1'!$B:$B,$A668,'Таблиця 1'!$I:$I,"Су-25"))</f>
        <v/>
      </c>
      <c r="G668">
        <f>IF($A668="","",COUNTIFS('Таблиця 1'!$B:$B,$A668,'Таблиця 1'!$I:$I,"Су-27"))</f>
        <v/>
      </c>
      <c r="H668">
        <f>IF($A668="","",SUMIFS('Таблиця 1'!$K:$K,'Таблиця 1'!$B:$B,$A668,'Таблиця 1'!$I:$I,"Mirage",'Таблиця 1'!$J:$J,"AGM-88")+SUMIFS('Таблиця 1'!$K:$K,'Таблиця 1'!$B:$B,$A668,'Таблиця 1'!$I:$I,"F-16",'Таблиця 1'!$J:$J,"AGM-88")+SUMIFS('Таблиця 1'!$K:$K,'Таблиця 1'!$B:$B,$A668,'Таблиця 1'!$I:$I,"МіГ-29",'Таблиця 1'!$J:$J,"AGM-88")+SUMIFS('Таблиця 1'!$K:$K,'Таблиця 1'!$B:$B,$A668,'Таблиця 1'!$I:$I,"Су-25",'Таблиця 1'!$J:$J,"AGM-88")+SUMIFS('Таблиця 1'!$K:$K,'Таблиця 1'!$B:$B,$A668,'Таблиця 1'!$I:$I,"Су-27",'Таблиця 1'!$J:$J,"AGM-88"))</f>
        <v/>
      </c>
      <c r="I668">
        <f>IF($A668="","",SUMIFS('Таблиця 1'!$K:$K,'Таблиця 1'!$B:$B,$A668,'Таблиця 1'!$I:$I,"Mirage",'Таблиця 1'!$J:$J,"AASM-250")+SUMIFS('Таблиця 1'!$K:$K,'Таблиця 1'!$B:$B,$A668,'Таблиця 1'!$I:$I,"F-16",'Таблиця 1'!$J:$J,"AASM-250")+SUMIFS('Таблиця 1'!$K:$K,'Таблиця 1'!$B:$B,$A668,'Таблиця 1'!$I:$I,"МіГ-29",'Таблиця 1'!$J:$J,"AASM-250")+SUMIFS('Таблиця 1'!$K:$K,'Таблиця 1'!$B:$B,$A668,'Таблиця 1'!$I:$I,"Су-25",'Таблиця 1'!$J:$J,"AASM-250")+SUMIFS('Таблиця 1'!$K:$K,'Таблиця 1'!$B:$B,$A668,'Таблиця 1'!$I:$I,"Су-27",'Таблиця 1'!$J:$J,"AASM-250"))</f>
        <v/>
      </c>
      <c r="J668">
        <f>IF($A668="","",SUMIFS('Таблиця 1'!$K:$K,'Таблиця 1'!$B:$B,$A668,'Таблиця 1'!$I:$I,"Mirage",'Таблиця 1'!$J:$J,"GBU-39")+SUMIFS('Таблиця 1'!$K:$K,'Таблиця 1'!$B:$B,$A668,'Таблиця 1'!$I:$I,"F-16",'Таблиця 1'!$J:$J,"GBU-39")+SUMIFS('Таблиця 1'!$K:$K,'Таблиця 1'!$B:$B,$A668,'Таблиця 1'!$I:$I,"МіГ-29",'Таблиця 1'!$J:$J,"GBU-39")+SUMIFS('Таблиця 1'!$K:$K,'Таблиця 1'!$B:$B,$A668,'Таблиця 1'!$I:$I,"Су-25",'Таблиця 1'!$J:$J,"GBU-39")+SUMIFS('Таблиця 1'!$K:$K,'Таблиця 1'!$B:$B,$A668,'Таблиця 1'!$I:$I,"Су-27",'Таблиця 1'!$J:$J,"GBU-39"))</f>
        <v/>
      </c>
      <c r="K668">
        <f>IF($A668="","",SUMIFS('Таблиця 1'!$K:$K,'Таблиця 1'!$B:$B,$A668,'Таблиця 1'!$I:$I,"Mirage",'Таблиця 1'!$J:$J,"BLU-140")+SUMIFS('Таблиця 1'!$K:$K,'Таблиця 1'!$B:$B,$A668,'Таблиця 1'!$I:$I,"F-16",'Таблиця 1'!$J:$J,"BLU-140")+SUMIFS('Таблиця 1'!$K:$K,'Таблиця 1'!$B:$B,$A668,'Таблиця 1'!$I:$I,"МіГ-29",'Таблиця 1'!$J:$J,"BLU-140")+SUMIFS('Таблиця 1'!$K:$K,'Таблиця 1'!$B:$B,$A668,'Таблиця 1'!$I:$I,"Су-25",'Таблиця 1'!$J:$J,"BLU-140")+SUMIFS('Таблиця 1'!$K:$K,'Таблиця 1'!$B:$B,$A668,'Таблиця 1'!$I:$I,"Су-27",'Таблиця 1'!$J:$J,"BLU-140"))</f>
        <v/>
      </c>
      <c r="L668">
        <f>IF($A668="","",SUMIFS('Таблиця 1'!$K:$K,'Таблиця 1'!$B:$B,$A668,'Таблиця 1'!$I:$I,"Mirage",'Таблиця 1'!$J:$J,"GBU-65")+SUMIFS('Таблиця 1'!$K:$K,'Таблиця 1'!$B:$B,$A668,'Таблиця 1'!$I:$I,"F-16",'Таблиця 1'!$J:$J,"GBU-65")+SUMIFS('Таблиця 1'!$K:$K,'Таблиця 1'!$B:$B,$A668,'Таблиця 1'!$I:$I,"МіГ-29",'Таблиця 1'!$J:$J,"GBU-65")+SUMIFS('Таблиця 1'!$K:$K,'Таблиця 1'!$B:$B,$A668,'Таблиця 1'!$I:$I,"Су-25",'Таблиця 1'!$J:$J,"GBU-65")+SUMIFS('Таблиця 1'!$K:$K,'Таблиця 1'!$B:$B,$A668,'Таблиця 1'!$I:$I,"Су-27",'Таблиця 1'!$J:$J,"GBU-65"))</f>
        <v/>
      </c>
      <c r="M668">
        <f>IF($A668="","",SUMIFS('Таблиця 1'!$K:$K,'Таблиця 1'!$B:$B,$A668,'Таблиця 1'!$I:$I,"Mirage",'Таблиця 1'!$J:$J,"GBU-62")+SUMIFS('Таблиця 1'!$K:$K,'Таблиця 1'!$B:$B,$A668,'Таблиця 1'!$I:$I,"F-16",'Таблиця 1'!$J:$J,"GBU-62")+SUMIFS('Таблиця 1'!$K:$K,'Таблиця 1'!$B:$B,$A668,'Таблиця 1'!$I:$I,"МіГ-29",'Таблиця 1'!$J:$J,"GBU-62")+SUMIFS('Таблиця 1'!$K:$K,'Таблиця 1'!$B:$B,$A668,'Таблиця 1'!$I:$I,"Су-25",'Таблиця 1'!$J:$J,"GBU-62")+SUMIFS('Таблиця 1'!$K:$K,'Таблиця 1'!$B:$B,$A668,'Таблиця 1'!$I:$I,"Су-27",'Таблиця 1'!$J:$J,"GBU-62"))</f>
        <v/>
      </c>
      <c r="N668">
        <f>IF($A668="","",SUMIFS('Таблиця 1'!$K:$K,'Таблиця 1'!$B:$B,$A668,'Таблиця 1'!$I:$I,"Mirage",'Таблиця 1'!$J:$J,"GBU-64")+SUMIFS('Таблиця 1'!$K:$K,'Таблиця 1'!$B:$B,$A668,'Таблиця 1'!$I:$I,"F-16",'Таблиця 1'!$J:$J,"GBU-64")+SUMIFS('Таблиця 1'!$K:$K,'Таблиця 1'!$B:$B,$A668,'Таблиця 1'!$I:$I,"МіГ-29",'Таблиця 1'!$J:$J,"GBU-64")+SUMIFS('Таблиця 1'!$K:$K,'Таблиця 1'!$B:$B,$A668,'Таблиця 1'!$I:$I,"Су-25",'Таблиця 1'!$J:$J,"GBU-64")+SUMIFS('Таблиця 1'!$K:$K,'Таблиця 1'!$B:$B,$A668,'Таблиця 1'!$I:$I,"Су-27",'Таблиця 1'!$J:$J,"GBU-64"))</f>
        <v/>
      </c>
      <c r="O668">
        <f>IF($A668="","",SUMIFS('Таблиця 1'!$K:$K,'Таблиця 1'!$B:$B,$A668,'Таблиця 1'!$I:$I,"Mirage",'Таблиця 1'!$J:$J,"C-13")+SUMIFS('Таблиця 1'!$K:$K,'Таблиця 1'!$B:$B,$A668,'Таблиця 1'!$I:$I,"F-16",'Таблиця 1'!$J:$J,"C-13")+SUMIFS('Таблиця 1'!$K:$K,'Таблиця 1'!$B:$B,$A668,'Таблиця 1'!$I:$I,"МіГ-29",'Таблиця 1'!$J:$J,"C-13")+SUMIFS('Таблиця 1'!$K:$K,'Таблиця 1'!$B:$B,$A668,'Таблиця 1'!$I:$I,"Су-25",'Таблиця 1'!$J:$J,"C-13")+SUMIFS('Таблиця 1'!$K:$K,'Таблиця 1'!$B:$B,$A668,'Таблиця 1'!$I:$I,"Су-27",'Таблиця 1'!$J:$J,"C-13"))</f>
        <v/>
      </c>
      <c r="P668">
        <f>IF($A668="","",SUMIFS('Таблиця 1'!$K:$K,'Таблиця 1'!$B:$B,$A668,'Таблиця 1'!$I:$I,"Mirage",'Таблиця 1'!$J:$J,"MK-32")+SUMIFS('Таблиця 1'!$K:$K,'Таблиця 1'!$B:$B,$A668,'Таблиця 1'!$I:$I,"F-16",'Таблиця 1'!$J:$J,"MK-32")+SUMIFS('Таблиця 1'!$K:$K,'Таблиця 1'!$B:$B,$A668,'Таблиця 1'!$I:$I,"МіГ-29",'Таблиця 1'!$J:$J,"MK-32")+SUMIFS('Таблиця 1'!$K:$K,'Таблиця 1'!$B:$B,$A668,'Таблиця 1'!$I:$I,"Су-25",'Таблиця 1'!$J:$J,"MK-32")+SUMIFS('Таблиця 1'!$K:$K,'Таблиця 1'!$B:$B,$A668,'Таблиця 1'!$I:$I,"Су-27",'Таблиця 1'!$J:$J,"MK-32"))</f>
        <v/>
      </c>
      <c r="Q668">
        <f>IF($A668="","",SUMIFS('Таблиця 1'!$K:$K,'Таблиця 1'!$B:$B,$A668,'Таблиця 1'!$I:$I,"Mirage",'Таблиця 1'!$J:$J,"MK-24")+SUMIFS('Таблиця 1'!$K:$K,'Таблиця 1'!$B:$B,$A668,'Таблиця 1'!$I:$I,"F-16",'Таблиця 1'!$J:$J,"MK-24")+SUMIFS('Таблиця 1'!$K:$K,'Таблиця 1'!$B:$B,$A668,'Таблиця 1'!$I:$I,"МіГ-29",'Таблиця 1'!$J:$J,"MK-24")+SUMIFS('Таблиця 1'!$K:$K,'Таблиця 1'!$B:$B,$A668,'Таблиця 1'!$I:$I,"Су-25",'Таблиця 1'!$J:$J,"MK-24")+SUMIFS('Таблиця 1'!$K:$K,'Таблиця 1'!$B:$B,$A668,'Таблиця 1'!$I:$I,"Су-27",'Таблиця 1'!$J:$J,"MK-24"))</f>
        <v/>
      </c>
      <c r="R668">
        <f>IF($A668="","",COUNTIFS('Таблиця 1'!$B:$B,$A668,'Таблиця 1'!$I:$I,"Mirage",'Таблиця 1'!$L:$L,"Уражено")+COUNTIFS('Таблиця 1'!$B:$B,$A668,'Таблиця 1'!$I:$I,"F-16",'Таблиця 1'!$L:$L,"Уражено")+COUNTIFS('Таблиця 1'!$B:$B,$A668,'Таблиця 1'!$I:$I,"МіГ-29",'Таблиця 1'!$L:$L,"Уражено")+COUNTIFS('Таблиця 1'!$B:$B,$A668,'Таблиця 1'!$I:$I,"Су-25",'Таблиця 1'!$L:$L,"Уражено")+COUNTIFS('Таблиця 1'!$B:$B,$A668,'Таблиця 1'!$I:$I,"Су-27",'Таблиця 1'!$L:$L,"Уражено"))</f>
        <v/>
      </c>
      <c r="S668">
        <f>IF($A668="","",COUNTIFS('Таблиця 1'!$B:$B,$A668,'Таблиця 1'!$I:$I,"Mirage",'Таблиця 1'!$L:$L,"НЕ уражено")+COUNTIFS('Таблиця 1'!$B:$B,$A668,'Таблиця 1'!$I:$I,"F-16",'Таблиця 1'!$L:$L,"НЕ уражено")+COUNTIFS('Таблиця 1'!$B:$B,$A668,'Таблиця 1'!$I:$I,"МіГ-29",'Таблиця 1'!$L:$L,"НЕ уражено")+COUNTIFS('Таблиця 1'!$B:$B,$A668,'Таблиця 1'!$I:$I,"Су-25",'Таблиця 1'!$L:$L,"НЕ уражено")+COUNTIFS('Таблиця 1'!$B:$B,$A668,'Таблиця 1'!$I:$I,"Су-27",'Таблиця 1'!$L:$L,"НЕ уражено"))</f>
        <v/>
      </c>
      <c r="T668">
        <f>IF($A668="","",COUNTIFS('Таблиця 1'!$B:$B,$A668,'Таблиця 1'!$I:$I,"Mirage",'Таблиця 1'!$L:$L,"Дорозвідується")+COUNTIFS('Таблиця 1'!$B:$B,$A668,'Таблиця 1'!$I:$I,"F-16",'Таблиця 1'!$L:$L,"Дорозвідується")+COUNTIFS('Таблиця 1'!$B:$B,$A668,'Таблиця 1'!$I:$I,"МіГ-29",'Таблиця 1'!$L:$L,"Дорозвідується")+COUNTIFS('Таблиця 1'!$B:$B,$A668,'Таблиця 1'!$I:$I,"Су-25",'Таблиця 1'!$L:$L,"Дорозвідується")+COUNTIFS('Таблиця 1'!$B:$B,$A668,'Таблиця 1'!$I:$I,"Су-27",'Таблиця 1'!$L:$L,"Дорозвідується"))</f>
        <v/>
      </c>
    </row>
    <row r="669">
      <c r="A669" s="273">
        <f>IF(A668="","",IF(A668+1&gt;MAX('Таблиця 1'!$B:$B),"",A668+1))</f>
        <v/>
      </c>
      <c r="B669">
        <f>IF($A669="","",COUNTIFS('Таблиця 1'!$B:$B,$A669,'Таблиця 1'!$I:$I,"Mirage")+COUNTIFS('Таблиця 1'!$B:$B,$A669,'Таблиця 1'!$I:$I,"F-16")+COUNTIFS('Таблиця 1'!$B:$B,$A669,'Таблиця 1'!$I:$I,"МіГ-29")+COUNTIFS('Таблиця 1'!$B:$B,$A669,'Таблиця 1'!$I:$I,"Су-25")+COUNTIFS('Таблиця 1'!$B:$B,$A669,'Таблиця 1'!$I:$I,"Су-27"))</f>
        <v/>
      </c>
      <c r="C669">
        <f>IF($A669="","",COUNTIFS('Таблиця 1'!$B:$B,$A669,'Таблиця 1'!$I:$I,"Mirage"))</f>
        <v/>
      </c>
      <c r="D669">
        <f>IF($A669="","",COUNTIFS('Таблиця 1'!$B:$B,$A669,'Таблиця 1'!$I:$I,"F-16"))</f>
        <v/>
      </c>
      <c r="E669">
        <f>IF($A669="","",COUNTIFS('Таблиця 1'!$B:$B,$A669,'Таблиця 1'!$I:$I,"МіГ-29"))</f>
        <v/>
      </c>
      <c r="F669">
        <f>IF($A669="","",COUNTIFS('Таблиця 1'!$B:$B,$A669,'Таблиця 1'!$I:$I,"Су-25"))</f>
        <v/>
      </c>
      <c r="G669">
        <f>IF($A669="","",COUNTIFS('Таблиця 1'!$B:$B,$A669,'Таблиця 1'!$I:$I,"Су-27"))</f>
        <v/>
      </c>
      <c r="H669">
        <f>IF($A669="","",SUMIFS('Таблиця 1'!$K:$K,'Таблиця 1'!$B:$B,$A669,'Таблиця 1'!$I:$I,"Mirage",'Таблиця 1'!$J:$J,"AGM-88")+SUMIFS('Таблиця 1'!$K:$K,'Таблиця 1'!$B:$B,$A669,'Таблиця 1'!$I:$I,"F-16",'Таблиця 1'!$J:$J,"AGM-88")+SUMIFS('Таблиця 1'!$K:$K,'Таблиця 1'!$B:$B,$A669,'Таблиця 1'!$I:$I,"МіГ-29",'Таблиця 1'!$J:$J,"AGM-88")+SUMIFS('Таблиця 1'!$K:$K,'Таблиця 1'!$B:$B,$A669,'Таблиця 1'!$I:$I,"Су-25",'Таблиця 1'!$J:$J,"AGM-88")+SUMIFS('Таблиця 1'!$K:$K,'Таблиця 1'!$B:$B,$A669,'Таблиця 1'!$I:$I,"Су-27",'Таблиця 1'!$J:$J,"AGM-88"))</f>
        <v/>
      </c>
      <c r="I669">
        <f>IF($A669="","",SUMIFS('Таблиця 1'!$K:$K,'Таблиця 1'!$B:$B,$A669,'Таблиця 1'!$I:$I,"Mirage",'Таблиця 1'!$J:$J,"AASM-250")+SUMIFS('Таблиця 1'!$K:$K,'Таблиця 1'!$B:$B,$A669,'Таблиця 1'!$I:$I,"F-16",'Таблиця 1'!$J:$J,"AASM-250")+SUMIFS('Таблиця 1'!$K:$K,'Таблиця 1'!$B:$B,$A669,'Таблиця 1'!$I:$I,"МіГ-29",'Таблиця 1'!$J:$J,"AASM-250")+SUMIFS('Таблиця 1'!$K:$K,'Таблиця 1'!$B:$B,$A669,'Таблиця 1'!$I:$I,"Су-25",'Таблиця 1'!$J:$J,"AASM-250")+SUMIFS('Таблиця 1'!$K:$K,'Таблиця 1'!$B:$B,$A669,'Таблиця 1'!$I:$I,"Су-27",'Таблиця 1'!$J:$J,"AASM-250"))</f>
        <v/>
      </c>
      <c r="J669">
        <f>IF($A669="","",SUMIFS('Таблиця 1'!$K:$K,'Таблиця 1'!$B:$B,$A669,'Таблиця 1'!$I:$I,"Mirage",'Таблиця 1'!$J:$J,"GBU-39")+SUMIFS('Таблиця 1'!$K:$K,'Таблиця 1'!$B:$B,$A669,'Таблиця 1'!$I:$I,"F-16",'Таблиця 1'!$J:$J,"GBU-39")+SUMIFS('Таблиця 1'!$K:$K,'Таблиця 1'!$B:$B,$A669,'Таблиця 1'!$I:$I,"МіГ-29",'Таблиця 1'!$J:$J,"GBU-39")+SUMIFS('Таблиця 1'!$K:$K,'Таблиця 1'!$B:$B,$A669,'Таблиця 1'!$I:$I,"Су-25",'Таблиця 1'!$J:$J,"GBU-39")+SUMIFS('Таблиця 1'!$K:$K,'Таблиця 1'!$B:$B,$A669,'Таблиця 1'!$I:$I,"Су-27",'Таблиця 1'!$J:$J,"GBU-39"))</f>
        <v/>
      </c>
      <c r="K669">
        <f>IF($A669="","",SUMIFS('Таблиця 1'!$K:$K,'Таблиця 1'!$B:$B,$A669,'Таблиця 1'!$I:$I,"Mirage",'Таблиця 1'!$J:$J,"BLU-140")+SUMIFS('Таблиця 1'!$K:$K,'Таблиця 1'!$B:$B,$A669,'Таблиця 1'!$I:$I,"F-16",'Таблиця 1'!$J:$J,"BLU-140")+SUMIFS('Таблиця 1'!$K:$K,'Таблиця 1'!$B:$B,$A669,'Таблиця 1'!$I:$I,"МіГ-29",'Таблиця 1'!$J:$J,"BLU-140")+SUMIFS('Таблиця 1'!$K:$K,'Таблиця 1'!$B:$B,$A669,'Таблиця 1'!$I:$I,"Су-25",'Таблиця 1'!$J:$J,"BLU-140")+SUMIFS('Таблиця 1'!$K:$K,'Таблиця 1'!$B:$B,$A669,'Таблиця 1'!$I:$I,"Су-27",'Таблиця 1'!$J:$J,"BLU-140"))</f>
        <v/>
      </c>
      <c r="L669">
        <f>IF($A669="","",SUMIFS('Таблиця 1'!$K:$K,'Таблиця 1'!$B:$B,$A669,'Таблиця 1'!$I:$I,"Mirage",'Таблиця 1'!$J:$J,"GBU-65")+SUMIFS('Таблиця 1'!$K:$K,'Таблиця 1'!$B:$B,$A669,'Таблиця 1'!$I:$I,"F-16",'Таблиця 1'!$J:$J,"GBU-65")+SUMIFS('Таблиця 1'!$K:$K,'Таблиця 1'!$B:$B,$A669,'Таблиця 1'!$I:$I,"МіГ-29",'Таблиця 1'!$J:$J,"GBU-65")+SUMIFS('Таблиця 1'!$K:$K,'Таблиця 1'!$B:$B,$A669,'Таблиця 1'!$I:$I,"Су-25",'Таблиця 1'!$J:$J,"GBU-65")+SUMIFS('Таблиця 1'!$K:$K,'Таблиця 1'!$B:$B,$A669,'Таблиця 1'!$I:$I,"Су-27",'Таблиця 1'!$J:$J,"GBU-65"))</f>
        <v/>
      </c>
      <c r="M669">
        <f>IF($A669="","",SUMIFS('Таблиця 1'!$K:$K,'Таблиця 1'!$B:$B,$A669,'Таблиця 1'!$I:$I,"Mirage",'Таблиця 1'!$J:$J,"GBU-62")+SUMIFS('Таблиця 1'!$K:$K,'Таблиця 1'!$B:$B,$A669,'Таблиця 1'!$I:$I,"F-16",'Таблиця 1'!$J:$J,"GBU-62")+SUMIFS('Таблиця 1'!$K:$K,'Таблиця 1'!$B:$B,$A669,'Таблиця 1'!$I:$I,"МіГ-29",'Таблиця 1'!$J:$J,"GBU-62")+SUMIFS('Таблиця 1'!$K:$K,'Таблиця 1'!$B:$B,$A669,'Таблиця 1'!$I:$I,"Су-25",'Таблиця 1'!$J:$J,"GBU-62")+SUMIFS('Таблиця 1'!$K:$K,'Таблиця 1'!$B:$B,$A669,'Таблиця 1'!$I:$I,"Су-27",'Таблиця 1'!$J:$J,"GBU-62"))</f>
        <v/>
      </c>
      <c r="N669">
        <f>IF($A669="","",SUMIFS('Таблиця 1'!$K:$K,'Таблиця 1'!$B:$B,$A669,'Таблиця 1'!$I:$I,"Mirage",'Таблиця 1'!$J:$J,"GBU-64")+SUMIFS('Таблиця 1'!$K:$K,'Таблиця 1'!$B:$B,$A669,'Таблиця 1'!$I:$I,"F-16",'Таблиця 1'!$J:$J,"GBU-64")+SUMIFS('Таблиця 1'!$K:$K,'Таблиця 1'!$B:$B,$A669,'Таблиця 1'!$I:$I,"МіГ-29",'Таблиця 1'!$J:$J,"GBU-64")+SUMIFS('Таблиця 1'!$K:$K,'Таблиця 1'!$B:$B,$A669,'Таблиця 1'!$I:$I,"Су-25",'Таблиця 1'!$J:$J,"GBU-64")+SUMIFS('Таблиця 1'!$K:$K,'Таблиця 1'!$B:$B,$A669,'Таблиця 1'!$I:$I,"Су-27",'Таблиця 1'!$J:$J,"GBU-64"))</f>
        <v/>
      </c>
      <c r="O669">
        <f>IF($A669="","",SUMIFS('Таблиця 1'!$K:$K,'Таблиця 1'!$B:$B,$A669,'Таблиця 1'!$I:$I,"Mirage",'Таблиця 1'!$J:$J,"C-13")+SUMIFS('Таблиця 1'!$K:$K,'Таблиця 1'!$B:$B,$A669,'Таблиця 1'!$I:$I,"F-16",'Таблиця 1'!$J:$J,"C-13")+SUMIFS('Таблиця 1'!$K:$K,'Таблиця 1'!$B:$B,$A669,'Таблиця 1'!$I:$I,"МіГ-29",'Таблиця 1'!$J:$J,"C-13")+SUMIFS('Таблиця 1'!$K:$K,'Таблиця 1'!$B:$B,$A669,'Таблиця 1'!$I:$I,"Су-25",'Таблиця 1'!$J:$J,"C-13")+SUMIFS('Таблиця 1'!$K:$K,'Таблиця 1'!$B:$B,$A669,'Таблиця 1'!$I:$I,"Су-27",'Таблиця 1'!$J:$J,"C-13"))</f>
        <v/>
      </c>
      <c r="P669">
        <f>IF($A669="","",SUMIFS('Таблиця 1'!$K:$K,'Таблиця 1'!$B:$B,$A669,'Таблиця 1'!$I:$I,"Mirage",'Таблиця 1'!$J:$J,"MK-32")+SUMIFS('Таблиця 1'!$K:$K,'Таблиця 1'!$B:$B,$A669,'Таблиця 1'!$I:$I,"F-16",'Таблиця 1'!$J:$J,"MK-32")+SUMIFS('Таблиця 1'!$K:$K,'Таблиця 1'!$B:$B,$A669,'Таблиця 1'!$I:$I,"МіГ-29",'Таблиця 1'!$J:$J,"MK-32")+SUMIFS('Таблиця 1'!$K:$K,'Таблиця 1'!$B:$B,$A669,'Таблиця 1'!$I:$I,"Су-25",'Таблиця 1'!$J:$J,"MK-32")+SUMIFS('Таблиця 1'!$K:$K,'Таблиця 1'!$B:$B,$A669,'Таблиця 1'!$I:$I,"Су-27",'Таблиця 1'!$J:$J,"MK-32"))</f>
        <v/>
      </c>
      <c r="Q669">
        <f>IF($A669="","",SUMIFS('Таблиця 1'!$K:$K,'Таблиця 1'!$B:$B,$A669,'Таблиця 1'!$I:$I,"Mirage",'Таблиця 1'!$J:$J,"MK-24")+SUMIFS('Таблиця 1'!$K:$K,'Таблиця 1'!$B:$B,$A669,'Таблиця 1'!$I:$I,"F-16",'Таблиця 1'!$J:$J,"MK-24")+SUMIFS('Таблиця 1'!$K:$K,'Таблиця 1'!$B:$B,$A669,'Таблиця 1'!$I:$I,"МіГ-29",'Таблиця 1'!$J:$J,"MK-24")+SUMIFS('Таблиця 1'!$K:$K,'Таблиця 1'!$B:$B,$A669,'Таблиця 1'!$I:$I,"Су-25",'Таблиця 1'!$J:$J,"MK-24")+SUMIFS('Таблиця 1'!$K:$K,'Таблиця 1'!$B:$B,$A669,'Таблиця 1'!$I:$I,"Су-27",'Таблиця 1'!$J:$J,"MK-24"))</f>
        <v/>
      </c>
      <c r="R669">
        <f>IF($A669="","",COUNTIFS('Таблиця 1'!$B:$B,$A669,'Таблиця 1'!$I:$I,"Mirage",'Таблиця 1'!$L:$L,"Уражено")+COUNTIFS('Таблиця 1'!$B:$B,$A669,'Таблиця 1'!$I:$I,"F-16",'Таблиця 1'!$L:$L,"Уражено")+COUNTIFS('Таблиця 1'!$B:$B,$A669,'Таблиця 1'!$I:$I,"МіГ-29",'Таблиця 1'!$L:$L,"Уражено")+COUNTIFS('Таблиця 1'!$B:$B,$A669,'Таблиця 1'!$I:$I,"Су-25",'Таблиця 1'!$L:$L,"Уражено")+COUNTIFS('Таблиця 1'!$B:$B,$A669,'Таблиця 1'!$I:$I,"Су-27",'Таблиця 1'!$L:$L,"Уражено"))</f>
        <v/>
      </c>
      <c r="S669">
        <f>IF($A669="","",COUNTIFS('Таблиця 1'!$B:$B,$A669,'Таблиця 1'!$I:$I,"Mirage",'Таблиця 1'!$L:$L,"НЕ уражено")+COUNTIFS('Таблиця 1'!$B:$B,$A669,'Таблиця 1'!$I:$I,"F-16",'Таблиця 1'!$L:$L,"НЕ уражено")+COUNTIFS('Таблиця 1'!$B:$B,$A669,'Таблиця 1'!$I:$I,"МіГ-29",'Таблиця 1'!$L:$L,"НЕ уражено")+COUNTIFS('Таблиця 1'!$B:$B,$A669,'Таблиця 1'!$I:$I,"Су-25",'Таблиця 1'!$L:$L,"НЕ уражено")+COUNTIFS('Таблиця 1'!$B:$B,$A669,'Таблиця 1'!$I:$I,"Су-27",'Таблиця 1'!$L:$L,"НЕ уражено"))</f>
        <v/>
      </c>
      <c r="T669">
        <f>IF($A669="","",COUNTIFS('Таблиця 1'!$B:$B,$A669,'Таблиця 1'!$I:$I,"Mirage",'Таблиця 1'!$L:$L,"Дорозвідується")+COUNTIFS('Таблиця 1'!$B:$B,$A669,'Таблиця 1'!$I:$I,"F-16",'Таблиця 1'!$L:$L,"Дорозвідується")+COUNTIFS('Таблиця 1'!$B:$B,$A669,'Таблиця 1'!$I:$I,"МіГ-29",'Таблиця 1'!$L:$L,"Дорозвідується")+COUNTIFS('Таблиця 1'!$B:$B,$A669,'Таблиця 1'!$I:$I,"Су-25",'Таблиця 1'!$L:$L,"Дорозвідується")+COUNTIFS('Таблиця 1'!$B:$B,$A669,'Таблиця 1'!$I:$I,"Су-27",'Таблиця 1'!$L:$L,"Дорозвідується"))</f>
        <v/>
      </c>
    </row>
    <row r="670">
      <c r="A670" s="273">
        <f>IF(A669="","",IF(A669+1&gt;MAX('Таблиця 1'!$B:$B),"",A669+1))</f>
        <v/>
      </c>
      <c r="B670">
        <f>IF($A670="","",COUNTIFS('Таблиця 1'!$B:$B,$A670,'Таблиця 1'!$I:$I,"Mirage")+COUNTIFS('Таблиця 1'!$B:$B,$A670,'Таблиця 1'!$I:$I,"F-16")+COUNTIFS('Таблиця 1'!$B:$B,$A670,'Таблиця 1'!$I:$I,"МіГ-29")+COUNTIFS('Таблиця 1'!$B:$B,$A670,'Таблиця 1'!$I:$I,"Су-25")+COUNTIFS('Таблиця 1'!$B:$B,$A670,'Таблиця 1'!$I:$I,"Су-27"))</f>
        <v/>
      </c>
      <c r="C670">
        <f>IF($A670="","",COUNTIFS('Таблиця 1'!$B:$B,$A670,'Таблиця 1'!$I:$I,"Mirage"))</f>
        <v/>
      </c>
      <c r="D670">
        <f>IF($A670="","",COUNTIFS('Таблиця 1'!$B:$B,$A670,'Таблиця 1'!$I:$I,"F-16"))</f>
        <v/>
      </c>
      <c r="E670">
        <f>IF($A670="","",COUNTIFS('Таблиця 1'!$B:$B,$A670,'Таблиця 1'!$I:$I,"МіГ-29"))</f>
        <v/>
      </c>
      <c r="F670">
        <f>IF($A670="","",COUNTIFS('Таблиця 1'!$B:$B,$A670,'Таблиця 1'!$I:$I,"Су-25"))</f>
        <v/>
      </c>
      <c r="G670">
        <f>IF($A670="","",COUNTIFS('Таблиця 1'!$B:$B,$A670,'Таблиця 1'!$I:$I,"Су-27"))</f>
        <v/>
      </c>
      <c r="H670">
        <f>IF($A670="","",SUMIFS('Таблиця 1'!$K:$K,'Таблиця 1'!$B:$B,$A670,'Таблиця 1'!$I:$I,"Mirage",'Таблиця 1'!$J:$J,"AGM-88")+SUMIFS('Таблиця 1'!$K:$K,'Таблиця 1'!$B:$B,$A670,'Таблиця 1'!$I:$I,"F-16",'Таблиця 1'!$J:$J,"AGM-88")+SUMIFS('Таблиця 1'!$K:$K,'Таблиця 1'!$B:$B,$A670,'Таблиця 1'!$I:$I,"МіГ-29",'Таблиця 1'!$J:$J,"AGM-88")+SUMIFS('Таблиця 1'!$K:$K,'Таблиця 1'!$B:$B,$A670,'Таблиця 1'!$I:$I,"Су-25",'Таблиця 1'!$J:$J,"AGM-88")+SUMIFS('Таблиця 1'!$K:$K,'Таблиця 1'!$B:$B,$A670,'Таблиця 1'!$I:$I,"Су-27",'Таблиця 1'!$J:$J,"AGM-88"))</f>
        <v/>
      </c>
      <c r="I670">
        <f>IF($A670="","",SUMIFS('Таблиця 1'!$K:$K,'Таблиця 1'!$B:$B,$A670,'Таблиця 1'!$I:$I,"Mirage",'Таблиця 1'!$J:$J,"AASM-250")+SUMIFS('Таблиця 1'!$K:$K,'Таблиця 1'!$B:$B,$A670,'Таблиця 1'!$I:$I,"F-16",'Таблиця 1'!$J:$J,"AASM-250")+SUMIFS('Таблиця 1'!$K:$K,'Таблиця 1'!$B:$B,$A670,'Таблиця 1'!$I:$I,"МіГ-29",'Таблиця 1'!$J:$J,"AASM-250")+SUMIFS('Таблиця 1'!$K:$K,'Таблиця 1'!$B:$B,$A670,'Таблиця 1'!$I:$I,"Су-25",'Таблиця 1'!$J:$J,"AASM-250")+SUMIFS('Таблиця 1'!$K:$K,'Таблиця 1'!$B:$B,$A670,'Таблиця 1'!$I:$I,"Су-27",'Таблиця 1'!$J:$J,"AASM-250"))</f>
        <v/>
      </c>
      <c r="J670">
        <f>IF($A670="","",SUMIFS('Таблиця 1'!$K:$K,'Таблиця 1'!$B:$B,$A670,'Таблиця 1'!$I:$I,"Mirage",'Таблиця 1'!$J:$J,"GBU-39")+SUMIFS('Таблиця 1'!$K:$K,'Таблиця 1'!$B:$B,$A670,'Таблиця 1'!$I:$I,"F-16",'Таблиця 1'!$J:$J,"GBU-39")+SUMIFS('Таблиця 1'!$K:$K,'Таблиця 1'!$B:$B,$A670,'Таблиця 1'!$I:$I,"МіГ-29",'Таблиця 1'!$J:$J,"GBU-39")+SUMIFS('Таблиця 1'!$K:$K,'Таблиця 1'!$B:$B,$A670,'Таблиця 1'!$I:$I,"Су-25",'Таблиця 1'!$J:$J,"GBU-39")+SUMIFS('Таблиця 1'!$K:$K,'Таблиця 1'!$B:$B,$A670,'Таблиця 1'!$I:$I,"Су-27",'Таблиця 1'!$J:$J,"GBU-39"))</f>
        <v/>
      </c>
      <c r="K670">
        <f>IF($A670="","",SUMIFS('Таблиця 1'!$K:$K,'Таблиця 1'!$B:$B,$A670,'Таблиця 1'!$I:$I,"Mirage",'Таблиця 1'!$J:$J,"BLU-140")+SUMIFS('Таблиця 1'!$K:$K,'Таблиця 1'!$B:$B,$A670,'Таблиця 1'!$I:$I,"F-16",'Таблиця 1'!$J:$J,"BLU-140")+SUMIFS('Таблиця 1'!$K:$K,'Таблиця 1'!$B:$B,$A670,'Таблиця 1'!$I:$I,"МіГ-29",'Таблиця 1'!$J:$J,"BLU-140")+SUMIFS('Таблиця 1'!$K:$K,'Таблиця 1'!$B:$B,$A670,'Таблиця 1'!$I:$I,"Су-25",'Таблиця 1'!$J:$J,"BLU-140")+SUMIFS('Таблиця 1'!$K:$K,'Таблиця 1'!$B:$B,$A670,'Таблиця 1'!$I:$I,"Су-27",'Таблиця 1'!$J:$J,"BLU-140"))</f>
        <v/>
      </c>
      <c r="L670">
        <f>IF($A670="","",SUMIFS('Таблиця 1'!$K:$K,'Таблиця 1'!$B:$B,$A670,'Таблиця 1'!$I:$I,"Mirage",'Таблиця 1'!$J:$J,"GBU-65")+SUMIFS('Таблиця 1'!$K:$K,'Таблиця 1'!$B:$B,$A670,'Таблиця 1'!$I:$I,"F-16",'Таблиця 1'!$J:$J,"GBU-65")+SUMIFS('Таблиця 1'!$K:$K,'Таблиця 1'!$B:$B,$A670,'Таблиця 1'!$I:$I,"МіГ-29",'Таблиця 1'!$J:$J,"GBU-65")+SUMIFS('Таблиця 1'!$K:$K,'Таблиця 1'!$B:$B,$A670,'Таблиця 1'!$I:$I,"Су-25",'Таблиця 1'!$J:$J,"GBU-65")+SUMIFS('Таблиця 1'!$K:$K,'Таблиця 1'!$B:$B,$A670,'Таблиця 1'!$I:$I,"Су-27",'Таблиця 1'!$J:$J,"GBU-65"))</f>
        <v/>
      </c>
      <c r="M670">
        <f>IF($A670="","",SUMIFS('Таблиця 1'!$K:$K,'Таблиця 1'!$B:$B,$A670,'Таблиця 1'!$I:$I,"Mirage",'Таблиця 1'!$J:$J,"GBU-62")+SUMIFS('Таблиця 1'!$K:$K,'Таблиця 1'!$B:$B,$A670,'Таблиця 1'!$I:$I,"F-16",'Таблиця 1'!$J:$J,"GBU-62")+SUMIFS('Таблиця 1'!$K:$K,'Таблиця 1'!$B:$B,$A670,'Таблиця 1'!$I:$I,"МіГ-29",'Таблиця 1'!$J:$J,"GBU-62")+SUMIFS('Таблиця 1'!$K:$K,'Таблиця 1'!$B:$B,$A670,'Таблиця 1'!$I:$I,"Су-25",'Таблиця 1'!$J:$J,"GBU-62")+SUMIFS('Таблиця 1'!$K:$K,'Таблиця 1'!$B:$B,$A670,'Таблиця 1'!$I:$I,"Су-27",'Таблиця 1'!$J:$J,"GBU-62"))</f>
        <v/>
      </c>
      <c r="N670">
        <f>IF($A670="","",SUMIFS('Таблиця 1'!$K:$K,'Таблиця 1'!$B:$B,$A670,'Таблиця 1'!$I:$I,"Mirage",'Таблиця 1'!$J:$J,"GBU-64")+SUMIFS('Таблиця 1'!$K:$K,'Таблиця 1'!$B:$B,$A670,'Таблиця 1'!$I:$I,"F-16",'Таблиця 1'!$J:$J,"GBU-64")+SUMIFS('Таблиця 1'!$K:$K,'Таблиця 1'!$B:$B,$A670,'Таблиця 1'!$I:$I,"МіГ-29",'Таблиця 1'!$J:$J,"GBU-64")+SUMIFS('Таблиця 1'!$K:$K,'Таблиця 1'!$B:$B,$A670,'Таблиця 1'!$I:$I,"Су-25",'Таблиця 1'!$J:$J,"GBU-64")+SUMIFS('Таблиця 1'!$K:$K,'Таблиця 1'!$B:$B,$A670,'Таблиця 1'!$I:$I,"Су-27",'Таблиця 1'!$J:$J,"GBU-64"))</f>
        <v/>
      </c>
      <c r="O670">
        <f>IF($A670="","",SUMIFS('Таблиця 1'!$K:$K,'Таблиця 1'!$B:$B,$A670,'Таблиця 1'!$I:$I,"Mirage",'Таблиця 1'!$J:$J,"C-13")+SUMIFS('Таблиця 1'!$K:$K,'Таблиця 1'!$B:$B,$A670,'Таблиця 1'!$I:$I,"F-16",'Таблиця 1'!$J:$J,"C-13")+SUMIFS('Таблиця 1'!$K:$K,'Таблиця 1'!$B:$B,$A670,'Таблиця 1'!$I:$I,"МіГ-29",'Таблиця 1'!$J:$J,"C-13")+SUMIFS('Таблиця 1'!$K:$K,'Таблиця 1'!$B:$B,$A670,'Таблиця 1'!$I:$I,"Су-25",'Таблиця 1'!$J:$J,"C-13")+SUMIFS('Таблиця 1'!$K:$K,'Таблиця 1'!$B:$B,$A670,'Таблиця 1'!$I:$I,"Су-27",'Таблиця 1'!$J:$J,"C-13"))</f>
        <v/>
      </c>
      <c r="P670">
        <f>IF($A670="","",SUMIFS('Таблиця 1'!$K:$K,'Таблиця 1'!$B:$B,$A670,'Таблиця 1'!$I:$I,"Mirage",'Таблиця 1'!$J:$J,"MK-32")+SUMIFS('Таблиця 1'!$K:$K,'Таблиця 1'!$B:$B,$A670,'Таблиця 1'!$I:$I,"F-16",'Таблиця 1'!$J:$J,"MK-32")+SUMIFS('Таблиця 1'!$K:$K,'Таблиця 1'!$B:$B,$A670,'Таблиця 1'!$I:$I,"МіГ-29",'Таблиця 1'!$J:$J,"MK-32")+SUMIFS('Таблиця 1'!$K:$K,'Таблиця 1'!$B:$B,$A670,'Таблиця 1'!$I:$I,"Су-25",'Таблиця 1'!$J:$J,"MK-32")+SUMIFS('Таблиця 1'!$K:$K,'Таблиця 1'!$B:$B,$A670,'Таблиця 1'!$I:$I,"Су-27",'Таблиця 1'!$J:$J,"MK-32"))</f>
        <v/>
      </c>
      <c r="Q670">
        <f>IF($A670="","",SUMIFS('Таблиця 1'!$K:$K,'Таблиця 1'!$B:$B,$A670,'Таблиця 1'!$I:$I,"Mirage",'Таблиця 1'!$J:$J,"MK-24")+SUMIFS('Таблиця 1'!$K:$K,'Таблиця 1'!$B:$B,$A670,'Таблиця 1'!$I:$I,"F-16",'Таблиця 1'!$J:$J,"MK-24")+SUMIFS('Таблиця 1'!$K:$K,'Таблиця 1'!$B:$B,$A670,'Таблиця 1'!$I:$I,"МіГ-29",'Таблиця 1'!$J:$J,"MK-24")+SUMIFS('Таблиця 1'!$K:$K,'Таблиця 1'!$B:$B,$A670,'Таблиця 1'!$I:$I,"Су-25",'Таблиця 1'!$J:$J,"MK-24")+SUMIFS('Таблиця 1'!$K:$K,'Таблиця 1'!$B:$B,$A670,'Таблиця 1'!$I:$I,"Су-27",'Таблиця 1'!$J:$J,"MK-24"))</f>
        <v/>
      </c>
      <c r="R670">
        <f>IF($A670="","",COUNTIFS('Таблиця 1'!$B:$B,$A670,'Таблиця 1'!$I:$I,"Mirage",'Таблиця 1'!$L:$L,"Уражено")+COUNTIFS('Таблиця 1'!$B:$B,$A670,'Таблиця 1'!$I:$I,"F-16",'Таблиця 1'!$L:$L,"Уражено")+COUNTIFS('Таблиця 1'!$B:$B,$A670,'Таблиця 1'!$I:$I,"МіГ-29",'Таблиця 1'!$L:$L,"Уражено")+COUNTIFS('Таблиця 1'!$B:$B,$A670,'Таблиця 1'!$I:$I,"Су-25",'Таблиця 1'!$L:$L,"Уражено")+COUNTIFS('Таблиця 1'!$B:$B,$A670,'Таблиця 1'!$I:$I,"Су-27",'Таблиця 1'!$L:$L,"Уражено"))</f>
        <v/>
      </c>
      <c r="S670">
        <f>IF($A670="","",COUNTIFS('Таблиця 1'!$B:$B,$A670,'Таблиця 1'!$I:$I,"Mirage",'Таблиця 1'!$L:$L,"НЕ уражено")+COUNTIFS('Таблиця 1'!$B:$B,$A670,'Таблиця 1'!$I:$I,"F-16",'Таблиця 1'!$L:$L,"НЕ уражено")+COUNTIFS('Таблиця 1'!$B:$B,$A670,'Таблиця 1'!$I:$I,"МіГ-29",'Таблиця 1'!$L:$L,"НЕ уражено")+COUNTIFS('Таблиця 1'!$B:$B,$A670,'Таблиця 1'!$I:$I,"Су-25",'Таблиця 1'!$L:$L,"НЕ уражено")+COUNTIFS('Таблиця 1'!$B:$B,$A670,'Таблиця 1'!$I:$I,"Су-27",'Таблиця 1'!$L:$L,"НЕ уражено"))</f>
        <v/>
      </c>
      <c r="T670">
        <f>IF($A670="","",COUNTIFS('Таблиця 1'!$B:$B,$A670,'Таблиця 1'!$I:$I,"Mirage",'Таблиця 1'!$L:$L,"Дорозвідується")+COUNTIFS('Таблиця 1'!$B:$B,$A670,'Таблиця 1'!$I:$I,"F-16",'Таблиця 1'!$L:$L,"Дорозвідується")+COUNTIFS('Таблиця 1'!$B:$B,$A670,'Таблиця 1'!$I:$I,"МіГ-29",'Таблиця 1'!$L:$L,"Дорозвідується")+COUNTIFS('Таблиця 1'!$B:$B,$A670,'Таблиця 1'!$I:$I,"Су-25",'Таблиця 1'!$L:$L,"Дорозвідується")+COUNTIFS('Таблиця 1'!$B:$B,$A670,'Таблиця 1'!$I:$I,"Су-27",'Таблиця 1'!$L:$L,"Дорозвідується"))</f>
        <v/>
      </c>
    </row>
    <row r="671">
      <c r="A671" s="273">
        <f>IF(A670="","",IF(A670+1&gt;MAX('Таблиця 1'!$B:$B),"",A670+1))</f>
        <v/>
      </c>
      <c r="B671">
        <f>IF($A671="","",COUNTIFS('Таблиця 1'!$B:$B,$A671,'Таблиця 1'!$I:$I,"Mirage")+COUNTIFS('Таблиця 1'!$B:$B,$A671,'Таблиця 1'!$I:$I,"F-16")+COUNTIFS('Таблиця 1'!$B:$B,$A671,'Таблиця 1'!$I:$I,"МіГ-29")+COUNTIFS('Таблиця 1'!$B:$B,$A671,'Таблиця 1'!$I:$I,"Су-25")+COUNTIFS('Таблиця 1'!$B:$B,$A671,'Таблиця 1'!$I:$I,"Су-27"))</f>
        <v/>
      </c>
      <c r="C671">
        <f>IF($A671="","",COUNTIFS('Таблиця 1'!$B:$B,$A671,'Таблиця 1'!$I:$I,"Mirage"))</f>
        <v/>
      </c>
      <c r="D671">
        <f>IF($A671="","",COUNTIFS('Таблиця 1'!$B:$B,$A671,'Таблиця 1'!$I:$I,"F-16"))</f>
        <v/>
      </c>
      <c r="E671">
        <f>IF($A671="","",COUNTIFS('Таблиця 1'!$B:$B,$A671,'Таблиця 1'!$I:$I,"МіГ-29"))</f>
        <v/>
      </c>
      <c r="F671">
        <f>IF($A671="","",COUNTIFS('Таблиця 1'!$B:$B,$A671,'Таблиця 1'!$I:$I,"Су-25"))</f>
        <v/>
      </c>
      <c r="G671">
        <f>IF($A671="","",COUNTIFS('Таблиця 1'!$B:$B,$A671,'Таблиця 1'!$I:$I,"Су-27"))</f>
        <v/>
      </c>
      <c r="H671">
        <f>IF($A671="","",SUMIFS('Таблиця 1'!$K:$K,'Таблиця 1'!$B:$B,$A671,'Таблиця 1'!$I:$I,"Mirage",'Таблиця 1'!$J:$J,"AGM-88")+SUMIFS('Таблиця 1'!$K:$K,'Таблиця 1'!$B:$B,$A671,'Таблиця 1'!$I:$I,"F-16",'Таблиця 1'!$J:$J,"AGM-88")+SUMIFS('Таблиця 1'!$K:$K,'Таблиця 1'!$B:$B,$A671,'Таблиця 1'!$I:$I,"МіГ-29",'Таблиця 1'!$J:$J,"AGM-88")+SUMIFS('Таблиця 1'!$K:$K,'Таблиця 1'!$B:$B,$A671,'Таблиця 1'!$I:$I,"Су-25",'Таблиця 1'!$J:$J,"AGM-88")+SUMIFS('Таблиця 1'!$K:$K,'Таблиця 1'!$B:$B,$A671,'Таблиця 1'!$I:$I,"Су-27",'Таблиця 1'!$J:$J,"AGM-88"))</f>
        <v/>
      </c>
      <c r="I671">
        <f>IF($A671="","",SUMIFS('Таблиця 1'!$K:$K,'Таблиця 1'!$B:$B,$A671,'Таблиця 1'!$I:$I,"Mirage",'Таблиця 1'!$J:$J,"AASM-250")+SUMIFS('Таблиця 1'!$K:$K,'Таблиця 1'!$B:$B,$A671,'Таблиця 1'!$I:$I,"F-16",'Таблиця 1'!$J:$J,"AASM-250")+SUMIFS('Таблиця 1'!$K:$K,'Таблиця 1'!$B:$B,$A671,'Таблиця 1'!$I:$I,"МіГ-29",'Таблиця 1'!$J:$J,"AASM-250")+SUMIFS('Таблиця 1'!$K:$K,'Таблиця 1'!$B:$B,$A671,'Таблиця 1'!$I:$I,"Су-25",'Таблиця 1'!$J:$J,"AASM-250")+SUMIFS('Таблиця 1'!$K:$K,'Таблиця 1'!$B:$B,$A671,'Таблиця 1'!$I:$I,"Су-27",'Таблиця 1'!$J:$J,"AASM-250"))</f>
        <v/>
      </c>
      <c r="J671">
        <f>IF($A671="","",SUMIFS('Таблиця 1'!$K:$K,'Таблиця 1'!$B:$B,$A671,'Таблиця 1'!$I:$I,"Mirage",'Таблиця 1'!$J:$J,"GBU-39")+SUMIFS('Таблиця 1'!$K:$K,'Таблиця 1'!$B:$B,$A671,'Таблиця 1'!$I:$I,"F-16",'Таблиця 1'!$J:$J,"GBU-39")+SUMIFS('Таблиця 1'!$K:$K,'Таблиця 1'!$B:$B,$A671,'Таблиця 1'!$I:$I,"МіГ-29",'Таблиця 1'!$J:$J,"GBU-39")+SUMIFS('Таблиця 1'!$K:$K,'Таблиця 1'!$B:$B,$A671,'Таблиця 1'!$I:$I,"Су-25",'Таблиця 1'!$J:$J,"GBU-39")+SUMIFS('Таблиця 1'!$K:$K,'Таблиця 1'!$B:$B,$A671,'Таблиця 1'!$I:$I,"Су-27",'Таблиця 1'!$J:$J,"GBU-39"))</f>
        <v/>
      </c>
      <c r="K671">
        <f>IF($A671="","",SUMIFS('Таблиця 1'!$K:$K,'Таблиця 1'!$B:$B,$A671,'Таблиця 1'!$I:$I,"Mirage",'Таблиця 1'!$J:$J,"BLU-140")+SUMIFS('Таблиця 1'!$K:$K,'Таблиця 1'!$B:$B,$A671,'Таблиця 1'!$I:$I,"F-16",'Таблиця 1'!$J:$J,"BLU-140")+SUMIFS('Таблиця 1'!$K:$K,'Таблиця 1'!$B:$B,$A671,'Таблиця 1'!$I:$I,"МіГ-29",'Таблиця 1'!$J:$J,"BLU-140")+SUMIFS('Таблиця 1'!$K:$K,'Таблиця 1'!$B:$B,$A671,'Таблиця 1'!$I:$I,"Су-25",'Таблиця 1'!$J:$J,"BLU-140")+SUMIFS('Таблиця 1'!$K:$K,'Таблиця 1'!$B:$B,$A671,'Таблиця 1'!$I:$I,"Су-27",'Таблиця 1'!$J:$J,"BLU-140"))</f>
        <v/>
      </c>
      <c r="L671">
        <f>IF($A671="","",SUMIFS('Таблиця 1'!$K:$K,'Таблиця 1'!$B:$B,$A671,'Таблиця 1'!$I:$I,"Mirage",'Таблиця 1'!$J:$J,"GBU-65")+SUMIFS('Таблиця 1'!$K:$K,'Таблиця 1'!$B:$B,$A671,'Таблиця 1'!$I:$I,"F-16",'Таблиця 1'!$J:$J,"GBU-65")+SUMIFS('Таблиця 1'!$K:$K,'Таблиця 1'!$B:$B,$A671,'Таблиця 1'!$I:$I,"МіГ-29",'Таблиця 1'!$J:$J,"GBU-65")+SUMIFS('Таблиця 1'!$K:$K,'Таблиця 1'!$B:$B,$A671,'Таблиця 1'!$I:$I,"Су-25",'Таблиця 1'!$J:$J,"GBU-65")+SUMIFS('Таблиця 1'!$K:$K,'Таблиця 1'!$B:$B,$A671,'Таблиця 1'!$I:$I,"Су-27",'Таблиця 1'!$J:$J,"GBU-65"))</f>
        <v/>
      </c>
      <c r="M671">
        <f>IF($A671="","",SUMIFS('Таблиця 1'!$K:$K,'Таблиця 1'!$B:$B,$A671,'Таблиця 1'!$I:$I,"Mirage",'Таблиця 1'!$J:$J,"GBU-62")+SUMIFS('Таблиця 1'!$K:$K,'Таблиця 1'!$B:$B,$A671,'Таблиця 1'!$I:$I,"F-16",'Таблиця 1'!$J:$J,"GBU-62")+SUMIFS('Таблиця 1'!$K:$K,'Таблиця 1'!$B:$B,$A671,'Таблиця 1'!$I:$I,"МіГ-29",'Таблиця 1'!$J:$J,"GBU-62")+SUMIFS('Таблиця 1'!$K:$K,'Таблиця 1'!$B:$B,$A671,'Таблиця 1'!$I:$I,"Су-25",'Таблиця 1'!$J:$J,"GBU-62")+SUMIFS('Таблиця 1'!$K:$K,'Таблиця 1'!$B:$B,$A671,'Таблиця 1'!$I:$I,"Су-27",'Таблиця 1'!$J:$J,"GBU-62"))</f>
        <v/>
      </c>
      <c r="N671">
        <f>IF($A671="","",SUMIFS('Таблиця 1'!$K:$K,'Таблиця 1'!$B:$B,$A671,'Таблиця 1'!$I:$I,"Mirage",'Таблиця 1'!$J:$J,"GBU-64")+SUMIFS('Таблиця 1'!$K:$K,'Таблиця 1'!$B:$B,$A671,'Таблиця 1'!$I:$I,"F-16",'Таблиця 1'!$J:$J,"GBU-64")+SUMIFS('Таблиця 1'!$K:$K,'Таблиця 1'!$B:$B,$A671,'Таблиця 1'!$I:$I,"МіГ-29",'Таблиця 1'!$J:$J,"GBU-64")+SUMIFS('Таблиця 1'!$K:$K,'Таблиця 1'!$B:$B,$A671,'Таблиця 1'!$I:$I,"Су-25",'Таблиця 1'!$J:$J,"GBU-64")+SUMIFS('Таблиця 1'!$K:$K,'Таблиця 1'!$B:$B,$A671,'Таблиця 1'!$I:$I,"Су-27",'Таблиця 1'!$J:$J,"GBU-64"))</f>
        <v/>
      </c>
      <c r="O671">
        <f>IF($A671="","",SUMIFS('Таблиця 1'!$K:$K,'Таблиця 1'!$B:$B,$A671,'Таблиця 1'!$I:$I,"Mirage",'Таблиця 1'!$J:$J,"C-13")+SUMIFS('Таблиця 1'!$K:$K,'Таблиця 1'!$B:$B,$A671,'Таблиця 1'!$I:$I,"F-16",'Таблиця 1'!$J:$J,"C-13")+SUMIFS('Таблиця 1'!$K:$K,'Таблиця 1'!$B:$B,$A671,'Таблиця 1'!$I:$I,"МіГ-29",'Таблиця 1'!$J:$J,"C-13")+SUMIFS('Таблиця 1'!$K:$K,'Таблиця 1'!$B:$B,$A671,'Таблиця 1'!$I:$I,"Су-25",'Таблиця 1'!$J:$J,"C-13")+SUMIFS('Таблиця 1'!$K:$K,'Таблиця 1'!$B:$B,$A671,'Таблиця 1'!$I:$I,"Су-27",'Таблиця 1'!$J:$J,"C-13"))</f>
        <v/>
      </c>
      <c r="P671">
        <f>IF($A671="","",SUMIFS('Таблиця 1'!$K:$K,'Таблиця 1'!$B:$B,$A671,'Таблиця 1'!$I:$I,"Mirage",'Таблиця 1'!$J:$J,"MK-32")+SUMIFS('Таблиця 1'!$K:$K,'Таблиця 1'!$B:$B,$A671,'Таблиця 1'!$I:$I,"F-16",'Таблиця 1'!$J:$J,"MK-32")+SUMIFS('Таблиця 1'!$K:$K,'Таблиця 1'!$B:$B,$A671,'Таблиця 1'!$I:$I,"МіГ-29",'Таблиця 1'!$J:$J,"MK-32")+SUMIFS('Таблиця 1'!$K:$K,'Таблиця 1'!$B:$B,$A671,'Таблиця 1'!$I:$I,"Су-25",'Таблиця 1'!$J:$J,"MK-32")+SUMIFS('Таблиця 1'!$K:$K,'Таблиця 1'!$B:$B,$A671,'Таблиця 1'!$I:$I,"Су-27",'Таблиця 1'!$J:$J,"MK-32"))</f>
        <v/>
      </c>
      <c r="Q671">
        <f>IF($A671="","",SUMIFS('Таблиця 1'!$K:$K,'Таблиця 1'!$B:$B,$A671,'Таблиця 1'!$I:$I,"Mirage",'Таблиця 1'!$J:$J,"MK-24")+SUMIFS('Таблиця 1'!$K:$K,'Таблиця 1'!$B:$B,$A671,'Таблиця 1'!$I:$I,"F-16",'Таблиця 1'!$J:$J,"MK-24")+SUMIFS('Таблиця 1'!$K:$K,'Таблиця 1'!$B:$B,$A671,'Таблиця 1'!$I:$I,"МіГ-29",'Таблиця 1'!$J:$J,"MK-24")+SUMIFS('Таблиця 1'!$K:$K,'Таблиця 1'!$B:$B,$A671,'Таблиця 1'!$I:$I,"Су-25",'Таблиця 1'!$J:$J,"MK-24")+SUMIFS('Таблиця 1'!$K:$K,'Таблиця 1'!$B:$B,$A671,'Таблиця 1'!$I:$I,"Су-27",'Таблиця 1'!$J:$J,"MK-24"))</f>
        <v/>
      </c>
      <c r="R671">
        <f>IF($A671="","",COUNTIFS('Таблиця 1'!$B:$B,$A671,'Таблиця 1'!$I:$I,"Mirage",'Таблиця 1'!$L:$L,"Уражено")+COUNTIFS('Таблиця 1'!$B:$B,$A671,'Таблиця 1'!$I:$I,"F-16",'Таблиця 1'!$L:$L,"Уражено")+COUNTIFS('Таблиця 1'!$B:$B,$A671,'Таблиця 1'!$I:$I,"МіГ-29",'Таблиця 1'!$L:$L,"Уражено")+COUNTIFS('Таблиця 1'!$B:$B,$A671,'Таблиця 1'!$I:$I,"Су-25",'Таблиця 1'!$L:$L,"Уражено")+COUNTIFS('Таблиця 1'!$B:$B,$A671,'Таблиця 1'!$I:$I,"Су-27",'Таблиця 1'!$L:$L,"Уражено"))</f>
        <v/>
      </c>
      <c r="S671">
        <f>IF($A671="","",COUNTIFS('Таблиця 1'!$B:$B,$A671,'Таблиця 1'!$I:$I,"Mirage",'Таблиця 1'!$L:$L,"НЕ уражено")+COUNTIFS('Таблиця 1'!$B:$B,$A671,'Таблиця 1'!$I:$I,"F-16",'Таблиця 1'!$L:$L,"НЕ уражено")+COUNTIFS('Таблиця 1'!$B:$B,$A671,'Таблиця 1'!$I:$I,"МіГ-29",'Таблиця 1'!$L:$L,"НЕ уражено")+COUNTIFS('Таблиця 1'!$B:$B,$A671,'Таблиця 1'!$I:$I,"Су-25",'Таблиця 1'!$L:$L,"НЕ уражено")+COUNTIFS('Таблиця 1'!$B:$B,$A671,'Таблиця 1'!$I:$I,"Су-27",'Таблиця 1'!$L:$L,"НЕ уражено"))</f>
        <v/>
      </c>
      <c r="T671">
        <f>IF($A671="","",COUNTIFS('Таблиця 1'!$B:$B,$A671,'Таблиця 1'!$I:$I,"Mirage",'Таблиця 1'!$L:$L,"Дорозвідується")+COUNTIFS('Таблиця 1'!$B:$B,$A671,'Таблиця 1'!$I:$I,"F-16",'Таблиця 1'!$L:$L,"Дорозвідується")+COUNTIFS('Таблиця 1'!$B:$B,$A671,'Таблиця 1'!$I:$I,"МіГ-29",'Таблиця 1'!$L:$L,"Дорозвідується")+COUNTIFS('Таблиця 1'!$B:$B,$A671,'Таблиця 1'!$I:$I,"Су-25",'Таблиця 1'!$L:$L,"Дорозвідується")+COUNTIFS('Таблиця 1'!$B:$B,$A671,'Таблиця 1'!$I:$I,"Су-27",'Таблиця 1'!$L:$L,"Дорозвідується"))</f>
        <v/>
      </c>
    </row>
    <row r="672">
      <c r="A672" s="273">
        <f>IF(A671="","",IF(A671+1&gt;MAX('Таблиця 1'!$B:$B),"",A671+1))</f>
        <v/>
      </c>
      <c r="B672">
        <f>IF($A672="","",COUNTIFS('Таблиця 1'!$B:$B,$A672,'Таблиця 1'!$I:$I,"Mirage")+COUNTIFS('Таблиця 1'!$B:$B,$A672,'Таблиця 1'!$I:$I,"F-16")+COUNTIFS('Таблиця 1'!$B:$B,$A672,'Таблиця 1'!$I:$I,"МіГ-29")+COUNTIFS('Таблиця 1'!$B:$B,$A672,'Таблиця 1'!$I:$I,"Су-25")+COUNTIFS('Таблиця 1'!$B:$B,$A672,'Таблиця 1'!$I:$I,"Су-27"))</f>
        <v/>
      </c>
      <c r="C672">
        <f>IF($A672="","",COUNTIFS('Таблиця 1'!$B:$B,$A672,'Таблиця 1'!$I:$I,"Mirage"))</f>
        <v/>
      </c>
      <c r="D672">
        <f>IF($A672="","",COUNTIFS('Таблиця 1'!$B:$B,$A672,'Таблиця 1'!$I:$I,"F-16"))</f>
        <v/>
      </c>
      <c r="E672">
        <f>IF($A672="","",COUNTIFS('Таблиця 1'!$B:$B,$A672,'Таблиця 1'!$I:$I,"МіГ-29"))</f>
        <v/>
      </c>
      <c r="F672">
        <f>IF($A672="","",COUNTIFS('Таблиця 1'!$B:$B,$A672,'Таблиця 1'!$I:$I,"Су-25"))</f>
        <v/>
      </c>
      <c r="G672">
        <f>IF($A672="","",COUNTIFS('Таблиця 1'!$B:$B,$A672,'Таблиця 1'!$I:$I,"Су-27"))</f>
        <v/>
      </c>
      <c r="H672">
        <f>IF($A672="","",SUMIFS('Таблиця 1'!$K:$K,'Таблиця 1'!$B:$B,$A672,'Таблиця 1'!$I:$I,"Mirage",'Таблиця 1'!$J:$J,"AGM-88")+SUMIFS('Таблиця 1'!$K:$K,'Таблиця 1'!$B:$B,$A672,'Таблиця 1'!$I:$I,"F-16",'Таблиця 1'!$J:$J,"AGM-88")+SUMIFS('Таблиця 1'!$K:$K,'Таблиця 1'!$B:$B,$A672,'Таблиця 1'!$I:$I,"МіГ-29",'Таблиця 1'!$J:$J,"AGM-88")+SUMIFS('Таблиця 1'!$K:$K,'Таблиця 1'!$B:$B,$A672,'Таблиця 1'!$I:$I,"Су-25",'Таблиця 1'!$J:$J,"AGM-88")+SUMIFS('Таблиця 1'!$K:$K,'Таблиця 1'!$B:$B,$A672,'Таблиця 1'!$I:$I,"Су-27",'Таблиця 1'!$J:$J,"AGM-88"))</f>
        <v/>
      </c>
      <c r="I672">
        <f>IF($A672="","",SUMIFS('Таблиця 1'!$K:$K,'Таблиця 1'!$B:$B,$A672,'Таблиця 1'!$I:$I,"Mirage",'Таблиця 1'!$J:$J,"AASM-250")+SUMIFS('Таблиця 1'!$K:$K,'Таблиця 1'!$B:$B,$A672,'Таблиця 1'!$I:$I,"F-16",'Таблиця 1'!$J:$J,"AASM-250")+SUMIFS('Таблиця 1'!$K:$K,'Таблиця 1'!$B:$B,$A672,'Таблиця 1'!$I:$I,"МіГ-29",'Таблиця 1'!$J:$J,"AASM-250")+SUMIFS('Таблиця 1'!$K:$K,'Таблиця 1'!$B:$B,$A672,'Таблиця 1'!$I:$I,"Су-25",'Таблиця 1'!$J:$J,"AASM-250")+SUMIFS('Таблиця 1'!$K:$K,'Таблиця 1'!$B:$B,$A672,'Таблиця 1'!$I:$I,"Су-27",'Таблиця 1'!$J:$J,"AASM-250"))</f>
        <v/>
      </c>
      <c r="J672">
        <f>IF($A672="","",SUMIFS('Таблиця 1'!$K:$K,'Таблиця 1'!$B:$B,$A672,'Таблиця 1'!$I:$I,"Mirage",'Таблиця 1'!$J:$J,"GBU-39")+SUMIFS('Таблиця 1'!$K:$K,'Таблиця 1'!$B:$B,$A672,'Таблиця 1'!$I:$I,"F-16",'Таблиця 1'!$J:$J,"GBU-39")+SUMIFS('Таблиця 1'!$K:$K,'Таблиця 1'!$B:$B,$A672,'Таблиця 1'!$I:$I,"МіГ-29",'Таблиця 1'!$J:$J,"GBU-39")+SUMIFS('Таблиця 1'!$K:$K,'Таблиця 1'!$B:$B,$A672,'Таблиця 1'!$I:$I,"Су-25",'Таблиця 1'!$J:$J,"GBU-39")+SUMIFS('Таблиця 1'!$K:$K,'Таблиця 1'!$B:$B,$A672,'Таблиця 1'!$I:$I,"Су-27",'Таблиця 1'!$J:$J,"GBU-39"))</f>
        <v/>
      </c>
      <c r="K672">
        <f>IF($A672="","",SUMIFS('Таблиця 1'!$K:$K,'Таблиця 1'!$B:$B,$A672,'Таблиця 1'!$I:$I,"Mirage",'Таблиця 1'!$J:$J,"BLU-140")+SUMIFS('Таблиця 1'!$K:$K,'Таблиця 1'!$B:$B,$A672,'Таблиця 1'!$I:$I,"F-16",'Таблиця 1'!$J:$J,"BLU-140")+SUMIFS('Таблиця 1'!$K:$K,'Таблиця 1'!$B:$B,$A672,'Таблиця 1'!$I:$I,"МіГ-29",'Таблиця 1'!$J:$J,"BLU-140")+SUMIFS('Таблиця 1'!$K:$K,'Таблиця 1'!$B:$B,$A672,'Таблиця 1'!$I:$I,"Су-25",'Таблиця 1'!$J:$J,"BLU-140")+SUMIFS('Таблиця 1'!$K:$K,'Таблиця 1'!$B:$B,$A672,'Таблиця 1'!$I:$I,"Су-27",'Таблиця 1'!$J:$J,"BLU-140"))</f>
        <v/>
      </c>
      <c r="L672">
        <f>IF($A672="","",SUMIFS('Таблиця 1'!$K:$K,'Таблиця 1'!$B:$B,$A672,'Таблиця 1'!$I:$I,"Mirage",'Таблиця 1'!$J:$J,"GBU-65")+SUMIFS('Таблиця 1'!$K:$K,'Таблиця 1'!$B:$B,$A672,'Таблиця 1'!$I:$I,"F-16",'Таблиця 1'!$J:$J,"GBU-65")+SUMIFS('Таблиця 1'!$K:$K,'Таблиця 1'!$B:$B,$A672,'Таблиця 1'!$I:$I,"МіГ-29",'Таблиця 1'!$J:$J,"GBU-65")+SUMIFS('Таблиця 1'!$K:$K,'Таблиця 1'!$B:$B,$A672,'Таблиця 1'!$I:$I,"Су-25",'Таблиця 1'!$J:$J,"GBU-65")+SUMIFS('Таблиця 1'!$K:$K,'Таблиця 1'!$B:$B,$A672,'Таблиця 1'!$I:$I,"Су-27",'Таблиця 1'!$J:$J,"GBU-65"))</f>
        <v/>
      </c>
      <c r="M672">
        <f>IF($A672="","",SUMIFS('Таблиця 1'!$K:$K,'Таблиця 1'!$B:$B,$A672,'Таблиця 1'!$I:$I,"Mirage",'Таблиця 1'!$J:$J,"GBU-62")+SUMIFS('Таблиця 1'!$K:$K,'Таблиця 1'!$B:$B,$A672,'Таблиця 1'!$I:$I,"F-16",'Таблиця 1'!$J:$J,"GBU-62")+SUMIFS('Таблиця 1'!$K:$K,'Таблиця 1'!$B:$B,$A672,'Таблиця 1'!$I:$I,"МіГ-29",'Таблиця 1'!$J:$J,"GBU-62")+SUMIFS('Таблиця 1'!$K:$K,'Таблиця 1'!$B:$B,$A672,'Таблиця 1'!$I:$I,"Су-25",'Таблиця 1'!$J:$J,"GBU-62")+SUMIFS('Таблиця 1'!$K:$K,'Таблиця 1'!$B:$B,$A672,'Таблиця 1'!$I:$I,"Су-27",'Таблиця 1'!$J:$J,"GBU-62"))</f>
        <v/>
      </c>
      <c r="N672">
        <f>IF($A672="","",SUMIFS('Таблиця 1'!$K:$K,'Таблиця 1'!$B:$B,$A672,'Таблиця 1'!$I:$I,"Mirage",'Таблиця 1'!$J:$J,"GBU-64")+SUMIFS('Таблиця 1'!$K:$K,'Таблиця 1'!$B:$B,$A672,'Таблиця 1'!$I:$I,"F-16",'Таблиця 1'!$J:$J,"GBU-64")+SUMIFS('Таблиця 1'!$K:$K,'Таблиця 1'!$B:$B,$A672,'Таблиця 1'!$I:$I,"МіГ-29",'Таблиця 1'!$J:$J,"GBU-64")+SUMIFS('Таблиця 1'!$K:$K,'Таблиця 1'!$B:$B,$A672,'Таблиця 1'!$I:$I,"Су-25",'Таблиця 1'!$J:$J,"GBU-64")+SUMIFS('Таблиця 1'!$K:$K,'Таблиця 1'!$B:$B,$A672,'Таблиця 1'!$I:$I,"Су-27",'Таблиця 1'!$J:$J,"GBU-64"))</f>
        <v/>
      </c>
      <c r="O672">
        <f>IF($A672="","",SUMIFS('Таблиця 1'!$K:$K,'Таблиця 1'!$B:$B,$A672,'Таблиця 1'!$I:$I,"Mirage",'Таблиця 1'!$J:$J,"C-13")+SUMIFS('Таблиця 1'!$K:$K,'Таблиця 1'!$B:$B,$A672,'Таблиця 1'!$I:$I,"F-16",'Таблиця 1'!$J:$J,"C-13")+SUMIFS('Таблиця 1'!$K:$K,'Таблиця 1'!$B:$B,$A672,'Таблиця 1'!$I:$I,"МіГ-29",'Таблиця 1'!$J:$J,"C-13")+SUMIFS('Таблиця 1'!$K:$K,'Таблиця 1'!$B:$B,$A672,'Таблиця 1'!$I:$I,"Су-25",'Таблиця 1'!$J:$J,"C-13")+SUMIFS('Таблиця 1'!$K:$K,'Таблиця 1'!$B:$B,$A672,'Таблиця 1'!$I:$I,"Су-27",'Таблиця 1'!$J:$J,"C-13"))</f>
        <v/>
      </c>
      <c r="P672">
        <f>IF($A672="","",SUMIFS('Таблиця 1'!$K:$K,'Таблиця 1'!$B:$B,$A672,'Таблиця 1'!$I:$I,"Mirage",'Таблиця 1'!$J:$J,"MK-32")+SUMIFS('Таблиця 1'!$K:$K,'Таблиця 1'!$B:$B,$A672,'Таблиця 1'!$I:$I,"F-16",'Таблиця 1'!$J:$J,"MK-32")+SUMIFS('Таблиця 1'!$K:$K,'Таблиця 1'!$B:$B,$A672,'Таблиця 1'!$I:$I,"МіГ-29",'Таблиця 1'!$J:$J,"MK-32")+SUMIFS('Таблиця 1'!$K:$K,'Таблиця 1'!$B:$B,$A672,'Таблиця 1'!$I:$I,"Су-25",'Таблиця 1'!$J:$J,"MK-32")+SUMIFS('Таблиця 1'!$K:$K,'Таблиця 1'!$B:$B,$A672,'Таблиця 1'!$I:$I,"Су-27",'Таблиця 1'!$J:$J,"MK-32"))</f>
        <v/>
      </c>
      <c r="Q672">
        <f>IF($A672="","",SUMIFS('Таблиця 1'!$K:$K,'Таблиця 1'!$B:$B,$A672,'Таблиця 1'!$I:$I,"Mirage",'Таблиця 1'!$J:$J,"MK-24")+SUMIFS('Таблиця 1'!$K:$K,'Таблиця 1'!$B:$B,$A672,'Таблиця 1'!$I:$I,"F-16",'Таблиця 1'!$J:$J,"MK-24")+SUMIFS('Таблиця 1'!$K:$K,'Таблиця 1'!$B:$B,$A672,'Таблиця 1'!$I:$I,"МіГ-29",'Таблиця 1'!$J:$J,"MK-24")+SUMIFS('Таблиця 1'!$K:$K,'Таблиця 1'!$B:$B,$A672,'Таблиця 1'!$I:$I,"Су-25",'Таблиця 1'!$J:$J,"MK-24")+SUMIFS('Таблиця 1'!$K:$K,'Таблиця 1'!$B:$B,$A672,'Таблиця 1'!$I:$I,"Су-27",'Таблиця 1'!$J:$J,"MK-24"))</f>
        <v/>
      </c>
      <c r="R672">
        <f>IF($A672="","",COUNTIFS('Таблиця 1'!$B:$B,$A672,'Таблиця 1'!$I:$I,"Mirage",'Таблиця 1'!$L:$L,"Уражено")+COUNTIFS('Таблиця 1'!$B:$B,$A672,'Таблиця 1'!$I:$I,"F-16",'Таблиця 1'!$L:$L,"Уражено")+COUNTIFS('Таблиця 1'!$B:$B,$A672,'Таблиця 1'!$I:$I,"МіГ-29",'Таблиця 1'!$L:$L,"Уражено")+COUNTIFS('Таблиця 1'!$B:$B,$A672,'Таблиця 1'!$I:$I,"Су-25",'Таблиця 1'!$L:$L,"Уражено")+COUNTIFS('Таблиця 1'!$B:$B,$A672,'Таблиця 1'!$I:$I,"Су-27",'Таблиця 1'!$L:$L,"Уражено"))</f>
        <v/>
      </c>
      <c r="S672">
        <f>IF($A672="","",COUNTIFS('Таблиця 1'!$B:$B,$A672,'Таблиця 1'!$I:$I,"Mirage",'Таблиця 1'!$L:$L,"НЕ уражено")+COUNTIFS('Таблиця 1'!$B:$B,$A672,'Таблиця 1'!$I:$I,"F-16",'Таблиця 1'!$L:$L,"НЕ уражено")+COUNTIFS('Таблиця 1'!$B:$B,$A672,'Таблиця 1'!$I:$I,"МіГ-29",'Таблиця 1'!$L:$L,"НЕ уражено")+COUNTIFS('Таблиця 1'!$B:$B,$A672,'Таблиця 1'!$I:$I,"Су-25",'Таблиця 1'!$L:$L,"НЕ уражено")+COUNTIFS('Таблиця 1'!$B:$B,$A672,'Таблиця 1'!$I:$I,"Су-27",'Таблиця 1'!$L:$L,"НЕ уражено"))</f>
        <v/>
      </c>
      <c r="T672">
        <f>IF($A672="","",COUNTIFS('Таблиця 1'!$B:$B,$A672,'Таблиця 1'!$I:$I,"Mirage",'Таблиця 1'!$L:$L,"Дорозвідується")+COUNTIFS('Таблиця 1'!$B:$B,$A672,'Таблиця 1'!$I:$I,"F-16",'Таблиця 1'!$L:$L,"Дорозвідується")+COUNTIFS('Таблиця 1'!$B:$B,$A672,'Таблиця 1'!$I:$I,"МіГ-29",'Таблиця 1'!$L:$L,"Дорозвідується")+COUNTIFS('Таблиця 1'!$B:$B,$A672,'Таблиця 1'!$I:$I,"Су-25",'Таблиця 1'!$L:$L,"Дорозвідується")+COUNTIFS('Таблиця 1'!$B:$B,$A672,'Таблиця 1'!$I:$I,"Су-27",'Таблиця 1'!$L:$L,"Дорозвідується"))</f>
        <v/>
      </c>
    </row>
    <row r="673">
      <c r="A673" s="273">
        <f>IF(A672="","",IF(A672+1&gt;MAX('Таблиця 1'!$B:$B),"",A672+1))</f>
        <v/>
      </c>
      <c r="B673">
        <f>IF($A673="","",COUNTIFS('Таблиця 1'!$B:$B,$A673,'Таблиця 1'!$I:$I,"Mirage")+COUNTIFS('Таблиця 1'!$B:$B,$A673,'Таблиця 1'!$I:$I,"F-16")+COUNTIFS('Таблиця 1'!$B:$B,$A673,'Таблиця 1'!$I:$I,"МіГ-29")+COUNTIFS('Таблиця 1'!$B:$B,$A673,'Таблиця 1'!$I:$I,"Су-25")+COUNTIFS('Таблиця 1'!$B:$B,$A673,'Таблиця 1'!$I:$I,"Су-27"))</f>
        <v/>
      </c>
      <c r="C673">
        <f>IF($A673="","",COUNTIFS('Таблиця 1'!$B:$B,$A673,'Таблиця 1'!$I:$I,"Mirage"))</f>
        <v/>
      </c>
      <c r="D673">
        <f>IF($A673="","",COUNTIFS('Таблиця 1'!$B:$B,$A673,'Таблиця 1'!$I:$I,"F-16"))</f>
        <v/>
      </c>
      <c r="E673">
        <f>IF($A673="","",COUNTIFS('Таблиця 1'!$B:$B,$A673,'Таблиця 1'!$I:$I,"МіГ-29"))</f>
        <v/>
      </c>
      <c r="F673">
        <f>IF($A673="","",COUNTIFS('Таблиця 1'!$B:$B,$A673,'Таблиця 1'!$I:$I,"Су-25"))</f>
        <v/>
      </c>
      <c r="G673">
        <f>IF($A673="","",COUNTIFS('Таблиця 1'!$B:$B,$A673,'Таблиця 1'!$I:$I,"Су-27"))</f>
        <v/>
      </c>
      <c r="H673">
        <f>IF($A673="","",SUMIFS('Таблиця 1'!$K:$K,'Таблиця 1'!$B:$B,$A673,'Таблиця 1'!$I:$I,"Mirage",'Таблиця 1'!$J:$J,"AGM-88")+SUMIFS('Таблиця 1'!$K:$K,'Таблиця 1'!$B:$B,$A673,'Таблиця 1'!$I:$I,"F-16",'Таблиця 1'!$J:$J,"AGM-88")+SUMIFS('Таблиця 1'!$K:$K,'Таблиця 1'!$B:$B,$A673,'Таблиця 1'!$I:$I,"МіГ-29",'Таблиця 1'!$J:$J,"AGM-88")+SUMIFS('Таблиця 1'!$K:$K,'Таблиця 1'!$B:$B,$A673,'Таблиця 1'!$I:$I,"Су-25",'Таблиця 1'!$J:$J,"AGM-88")+SUMIFS('Таблиця 1'!$K:$K,'Таблиця 1'!$B:$B,$A673,'Таблиця 1'!$I:$I,"Су-27",'Таблиця 1'!$J:$J,"AGM-88"))</f>
        <v/>
      </c>
      <c r="I673">
        <f>IF($A673="","",SUMIFS('Таблиця 1'!$K:$K,'Таблиця 1'!$B:$B,$A673,'Таблиця 1'!$I:$I,"Mirage",'Таблиця 1'!$J:$J,"AASM-250")+SUMIFS('Таблиця 1'!$K:$K,'Таблиця 1'!$B:$B,$A673,'Таблиця 1'!$I:$I,"F-16",'Таблиця 1'!$J:$J,"AASM-250")+SUMIFS('Таблиця 1'!$K:$K,'Таблиця 1'!$B:$B,$A673,'Таблиця 1'!$I:$I,"МіГ-29",'Таблиця 1'!$J:$J,"AASM-250")+SUMIFS('Таблиця 1'!$K:$K,'Таблиця 1'!$B:$B,$A673,'Таблиця 1'!$I:$I,"Су-25",'Таблиця 1'!$J:$J,"AASM-250")+SUMIFS('Таблиця 1'!$K:$K,'Таблиця 1'!$B:$B,$A673,'Таблиця 1'!$I:$I,"Су-27",'Таблиця 1'!$J:$J,"AASM-250"))</f>
        <v/>
      </c>
      <c r="J673">
        <f>IF($A673="","",SUMIFS('Таблиця 1'!$K:$K,'Таблиця 1'!$B:$B,$A673,'Таблиця 1'!$I:$I,"Mirage",'Таблиця 1'!$J:$J,"GBU-39")+SUMIFS('Таблиця 1'!$K:$K,'Таблиця 1'!$B:$B,$A673,'Таблиця 1'!$I:$I,"F-16",'Таблиця 1'!$J:$J,"GBU-39")+SUMIFS('Таблиця 1'!$K:$K,'Таблиця 1'!$B:$B,$A673,'Таблиця 1'!$I:$I,"МіГ-29",'Таблиця 1'!$J:$J,"GBU-39")+SUMIFS('Таблиця 1'!$K:$K,'Таблиця 1'!$B:$B,$A673,'Таблиця 1'!$I:$I,"Су-25",'Таблиця 1'!$J:$J,"GBU-39")+SUMIFS('Таблиця 1'!$K:$K,'Таблиця 1'!$B:$B,$A673,'Таблиця 1'!$I:$I,"Су-27",'Таблиця 1'!$J:$J,"GBU-39"))</f>
        <v/>
      </c>
      <c r="K673">
        <f>IF($A673="","",SUMIFS('Таблиця 1'!$K:$K,'Таблиця 1'!$B:$B,$A673,'Таблиця 1'!$I:$I,"Mirage",'Таблиця 1'!$J:$J,"BLU-140")+SUMIFS('Таблиця 1'!$K:$K,'Таблиця 1'!$B:$B,$A673,'Таблиця 1'!$I:$I,"F-16",'Таблиця 1'!$J:$J,"BLU-140")+SUMIFS('Таблиця 1'!$K:$K,'Таблиця 1'!$B:$B,$A673,'Таблиця 1'!$I:$I,"МіГ-29",'Таблиця 1'!$J:$J,"BLU-140")+SUMIFS('Таблиця 1'!$K:$K,'Таблиця 1'!$B:$B,$A673,'Таблиця 1'!$I:$I,"Су-25",'Таблиця 1'!$J:$J,"BLU-140")+SUMIFS('Таблиця 1'!$K:$K,'Таблиця 1'!$B:$B,$A673,'Таблиця 1'!$I:$I,"Су-27",'Таблиця 1'!$J:$J,"BLU-140"))</f>
        <v/>
      </c>
      <c r="L673">
        <f>IF($A673="","",SUMIFS('Таблиця 1'!$K:$K,'Таблиця 1'!$B:$B,$A673,'Таблиця 1'!$I:$I,"Mirage",'Таблиця 1'!$J:$J,"GBU-65")+SUMIFS('Таблиця 1'!$K:$K,'Таблиця 1'!$B:$B,$A673,'Таблиця 1'!$I:$I,"F-16",'Таблиця 1'!$J:$J,"GBU-65")+SUMIFS('Таблиця 1'!$K:$K,'Таблиця 1'!$B:$B,$A673,'Таблиця 1'!$I:$I,"МіГ-29",'Таблиця 1'!$J:$J,"GBU-65")+SUMIFS('Таблиця 1'!$K:$K,'Таблиця 1'!$B:$B,$A673,'Таблиця 1'!$I:$I,"Су-25",'Таблиця 1'!$J:$J,"GBU-65")+SUMIFS('Таблиця 1'!$K:$K,'Таблиця 1'!$B:$B,$A673,'Таблиця 1'!$I:$I,"Су-27",'Таблиця 1'!$J:$J,"GBU-65"))</f>
        <v/>
      </c>
      <c r="M673">
        <f>IF($A673="","",SUMIFS('Таблиця 1'!$K:$K,'Таблиця 1'!$B:$B,$A673,'Таблиця 1'!$I:$I,"Mirage",'Таблиця 1'!$J:$J,"GBU-62")+SUMIFS('Таблиця 1'!$K:$K,'Таблиця 1'!$B:$B,$A673,'Таблиця 1'!$I:$I,"F-16",'Таблиця 1'!$J:$J,"GBU-62")+SUMIFS('Таблиця 1'!$K:$K,'Таблиця 1'!$B:$B,$A673,'Таблиця 1'!$I:$I,"МіГ-29",'Таблиця 1'!$J:$J,"GBU-62")+SUMIFS('Таблиця 1'!$K:$K,'Таблиця 1'!$B:$B,$A673,'Таблиця 1'!$I:$I,"Су-25",'Таблиця 1'!$J:$J,"GBU-62")+SUMIFS('Таблиця 1'!$K:$K,'Таблиця 1'!$B:$B,$A673,'Таблиця 1'!$I:$I,"Су-27",'Таблиця 1'!$J:$J,"GBU-62"))</f>
        <v/>
      </c>
      <c r="N673">
        <f>IF($A673="","",SUMIFS('Таблиця 1'!$K:$K,'Таблиця 1'!$B:$B,$A673,'Таблиця 1'!$I:$I,"Mirage",'Таблиця 1'!$J:$J,"GBU-64")+SUMIFS('Таблиця 1'!$K:$K,'Таблиця 1'!$B:$B,$A673,'Таблиця 1'!$I:$I,"F-16",'Таблиця 1'!$J:$J,"GBU-64")+SUMIFS('Таблиця 1'!$K:$K,'Таблиця 1'!$B:$B,$A673,'Таблиця 1'!$I:$I,"МіГ-29",'Таблиця 1'!$J:$J,"GBU-64")+SUMIFS('Таблиця 1'!$K:$K,'Таблиця 1'!$B:$B,$A673,'Таблиця 1'!$I:$I,"Су-25",'Таблиця 1'!$J:$J,"GBU-64")+SUMIFS('Таблиця 1'!$K:$K,'Таблиця 1'!$B:$B,$A673,'Таблиця 1'!$I:$I,"Су-27",'Таблиця 1'!$J:$J,"GBU-64"))</f>
        <v/>
      </c>
      <c r="O673">
        <f>IF($A673="","",SUMIFS('Таблиця 1'!$K:$K,'Таблиця 1'!$B:$B,$A673,'Таблиця 1'!$I:$I,"Mirage",'Таблиця 1'!$J:$J,"C-13")+SUMIFS('Таблиця 1'!$K:$K,'Таблиця 1'!$B:$B,$A673,'Таблиця 1'!$I:$I,"F-16",'Таблиця 1'!$J:$J,"C-13")+SUMIFS('Таблиця 1'!$K:$K,'Таблиця 1'!$B:$B,$A673,'Таблиця 1'!$I:$I,"МіГ-29",'Таблиця 1'!$J:$J,"C-13")+SUMIFS('Таблиця 1'!$K:$K,'Таблиця 1'!$B:$B,$A673,'Таблиця 1'!$I:$I,"Су-25",'Таблиця 1'!$J:$J,"C-13")+SUMIFS('Таблиця 1'!$K:$K,'Таблиця 1'!$B:$B,$A673,'Таблиця 1'!$I:$I,"Су-27",'Таблиця 1'!$J:$J,"C-13"))</f>
        <v/>
      </c>
      <c r="P673">
        <f>IF($A673="","",SUMIFS('Таблиця 1'!$K:$K,'Таблиця 1'!$B:$B,$A673,'Таблиця 1'!$I:$I,"Mirage",'Таблиця 1'!$J:$J,"MK-32")+SUMIFS('Таблиця 1'!$K:$K,'Таблиця 1'!$B:$B,$A673,'Таблиця 1'!$I:$I,"F-16",'Таблиця 1'!$J:$J,"MK-32")+SUMIFS('Таблиця 1'!$K:$K,'Таблиця 1'!$B:$B,$A673,'Таблиця 1'!$I:$I,"МіГ-29",'Таблиця 1'!$J:$J,"MK-32")+SUMIFS('Таблиця 1'!$K:$K,'Таблиця 1'!$B:$B,$A673,'Таблиця 1'!$I:$I,"Су-25",'Таблиця 1'!$J:$J,"MK-32")+SUMIFS('Таблиця 1'!$K:$K,'Таблиця 1'!$B:$B,$A673,'Таблиця 1'!$I:$I,"Су-27",'Таблиця 1'!$J:$J,"MK-32"))</f>
        <v/>
      </c>
      <c r="Q673">
        <f>IF($A673="","",SUMIFS('Таблиця 1'!$K:$K,'Таблиця 1'!$B:$B,$A673,'Таблиця 1'!$I:$I,"Mirage",'Таблиця 1'!$J:$J,"MK-24")+SUMIFS('Таблиця 1'!$K:$K,'Таблиця 1'!$B:$B,$A673,'Таблиця 1'!$I:$I,"F-16",'Таблиця 1'!$J:$J,"MK-24")+SUMIFS('Таблиця 1'!$K:$K,'Таблиця 1'!$B:$B,$A673,'Таблиця 1'!$I:$I,"МіГ-29",'Таблиця 1'!$J:$J,"MK-24")+SUMIFS('Таблиця 1'!$K:$K,'Таблиця 1'!$B:$B,$A673,'Таблиця 1'!$I:$I,"Су-25",'Таблиця 1'!$J:$J,"MK-24")+SUMIFS('Таблиця 1'!$K:$K,'Таблиця 1'!$B:$B,$A673,'Таблиця 1'!$I:$I,"Су-27",'Таблиця 1'!$J:$J,"MK-24"))</f>
        <v/>
      </c>
      <c r="R673">
        <f>IF($A673="","",COUNTIFS('Таблиця 1'!$B:$B,$A673,'Таблиця 1'!$I:$I,"Mirage",'Таблиця 1'!$L:$L,"Уражено")+COUNTIFS('Таблиця 1'!$B:$B,$A673,'Таблиця 1'!$I:$I,"F-16",'Таблиця 1'!$L:$L,"Уражено")+COUNTIFS('Таблиця 1'!$B:$B,$A673,'Таблиця 1'!$I:$I,"МіГ-29",'Таблиця 1'!$L:$L,"Уражено")+COUNTIFS('Таблиця 1'!$B:$B,$A673,'Таблиця 1'!$I:$I,"Су-25",'Таблиця 1'!$L:$L,"Уражено")+COUNTIFS('Таблиця 1'!$B:$B,$A673,'Таблиця 1'!$I:$I,"Су-27",'Таблиця 1'!$L:$L,"Уражено"))</f>
        <v/>
      </c>
      <c r="S673">
        <f>IF($A673="","",COUNTIFS('Таблиця 1'!$B:$B,$A673,'Таблиця 1'!$I:$I,"Mirage",'Таблиця 1'!$L:$L,"НЕ уражено")+COUNTIFS('Таблиця 1'!$B:$B,$A673,'Таблиця 1'!$I:$I,"F-16",'Таблиця 1'!$L:$L,"НЕ уражено")+COUNTIFS('Таблиця 1'!$B:$B,$A673,'Таблиця 1'!$I:$I,"МіГ-29",'Таблиця 1'!$L:$L,"НЕ уражено")+COUNTIFS('Таблиця 1'!$B:$B,$A673,'Таблиця 1'!$I:$I,"Су-25",'Таблиця 1'!$L:$L,"НЕ уражено")+COUNTIFS('Таблиця 1'!$B:$B,$A673,'Таблиця 1'!$I:$I,"Су-27",'Таблиця 1'!$L:$L,"НЕ уражено"))</f>
        <v/>
      </c>
      <c r="T673">
        <f>IF($A673="","",COUNTIFS('Таблиця 1'!$B:$B,$A673,'Таблиця 1'!$I:$I,"Mirage",'Таблиця 1'!$L:$L,"Дорозвідується")+COUNTIFS('Таблиця 1'!$B:$B,$A673,'Таблиця 1'!$I:$I,"F-16",'Таблиця 1'!$L:$L,"Дорозвідується")+COUNTIFS('Таблиця 1'!$B:$B,$A673,'Таблиця 1'!$I:$I,"МіГ-29",'Таблиця 1'!$L:$L,"Дорозвідується")+COUNTIFS('Таблиця 1'!$B:$B,$A673,'Таблиця 1'!$I:$I,"Су-25",'Таблиця 1'!$L:$L,"Дорозвідується")+COUNTIFS('Таблиця 1'!$B:$B,$A673,'Таблиця 1'!$I:$I,"Су-27",'Таблиця 1'!$L:$L,"Дорозвідується"))</f>
        <v/>
      </c>
    </row>
    <row r="674">
      <c r="A674" s="273">
        <f>IF(A673="","",IF(A673+1&gt;MAX('Таблиця 1'!$B:$B),"",A673+1))</f>
        <v/>
      </c>
      <c r="B674">
        <f>IF($A674="","",COUNTIFS('Таблиця 1'!$B:$B,$A674,'Таблиця 1'!$I:$I,"Mirage")+COUNTIFS('Таблиця 1'!$B:$B,$A674,'Таблиця 1'!$I:$I,"F-16")+COUNTIFS('Таблиця 1'!$B:$B,$A674,'Таблиця 1'!$I:$I,"МіГ-29")+COUNTIFS('Таблиця 1'!$B:$B,$A674,'Таблиця 1'!$I:$I,"Су-25")+COUNTIFS('Таблиця 1'!$B:$B,$A674,'Таблиця 1'!$I:$I,"Су-27"))</f>
        <v/>
      </c>
      <c r="C674">
        <f>IF($A674="","",COUNTIFS('Таблиця 1'!$B:$B,$A674,'Таблиця 1'!$I:$I,"Mirage"))</f>
        <v/>
      </c>
      <c r="D674">
        <f>IF($A674="","",COUNTIFS('Таблиця 1'!$B:$B,$A674,'Таблиця 1'!$I:$I,"F-16"))</f>
        <v/>
      </c>
      <c r="E674">
        <f>IF($A674="","",COUNTIFS('Таблиця 1'!$B:$B,$A674,'Таблиця 1'!$I:$I,"МіГ-29"))</f>
        <v/>
      </c>
      <c r="F674">
        <f>IF($A674="","",COUNTIFS('Таблиця 1'!$B:$B,$A674,'Таблиця 1'!$I:$I,"Су-25"))</f>
        <v/>
      </c>
      <c r="G674">
        <f>IF($A674="","",COUNTIFS('Таблиця 1'!$B:$B,$A674,'Таблиця 1'!$I:$I,"Су-27"))</f>
        <v/>
      </c>
      <c r="H674">
        <f>IF($A674="","",SUMIFS('Таблиця 1'!$K:$K,'Таблиця 1'!$B:$B,$A674,'Таблиця 1'!$I:$I,"Mirage",'Таблиця 1'!$J:$J,"AGM-88")+SUMIFS('Таблиця 1'!$K:$K,'Таблиця 1'!$B:$B,$A674,'Таблиця 1'!$I:$I,"F-16",'Таблиця 1'!$J:$J,"AGM-88")+SUMIFS('Таблиця 1'!$K:$K,'Таблиця 1'!$B:$B,$A674,'Таблиця 1'!$I:$I,"МіГ-29",'Таблиця 1'!$J:$J,"AGM-88")+SUMIFS('Таблиця 1'!$K:$K,'Таблиця 1'!$B:$B,$A674,'Таблиця 1'!$I:$I,"Су-25",'Таблиця 1'!$J:$J,"AGM-88")+SUMIFS('Таблиця 1'!$K:$K,'Таблиця 1'!$B:$B,$A674,'Таблиця 1'!$I:$I,"Су-27",'Таблиця 1'!$J:$J,"AGM-88"))</f>
        <v/>
      </c>
      <c r="I674">
        <f>IF($A674="","",SUMIFS('Таблиця 1'!$K:$K,'Таблиця 1'!$B:$B,$A674,'Таблиця 1'!$I:$I,"Mirage",'Таблиця 1'!$J:$J,"AASM-250")+SUMIFS('Таблиця 1'!$K:$K,'Таблиця 1'!$B:$B,$A674,'Таблиця 1'!$I:$I,"F-16",'Таблиця 1'!$J:$J,"AASM-250")+SUMIFS('Таблиця 1'!$K:$K,'Таблиця 1'!$B:$B,$A674,'Таблиця 1'!$I:$I,"МіГ-29",'Таблиця 1'!$J:$J,"AASM-250")+SUMIFS('Таблиця 1'!$K:$K,'Таблиця 1'!$B:$B,$A674,'Таблиця 1'!$I:$I,"Су-25",'Таблиця 1'!$J:$J,"AASM-250")+SUMIFS('Таблиця 1'!$K:$K,'Таблиця 1'!$B:$B,$A674,'Таблиця 1'!$I:$I,"Су-27",'Таблиця 1'!$J:$J,"AASM-250"))</f>
        <v/>
      </c>
      <c r="J674">
        <f>IF($A674="","",SUMIFS('Таблиця 1'!$K:$K,'Таблиця 1'!$B:$B,$A674,'Таблиця 1'!$I:$I,"Mirage",'Таблиця 1'!$J:$J,"GBU-39")+SUMIFS('Таблиця 1'!$K:$K,'Таблиця 1'!$B:$B,$A674,'Таблиця 1'!$I:$I,"F-16",'Таблиця 1'!$J:$J,"GBU-39")+SUMIFS('Таблиця 1'!$K:$K,'Таблиця 1'!$B:$B,$A674,'Таблиця 1'!$I:$I,"МіГ-29",'Таблиця 1'!$J:$J,"GBU-39")+SUMIFS('Таблиця 1'!$K:$K,'Таблиця 1'!$B:$B,$A674,'Таблиця 1'!$I:$I,"Су-25",'Таблиця 1'!$J:$J,"GBU-39")+SUMIFS('Таблиця 1'!$K:$K,'Таблиця 1'!$B:$B,$A674,'Таблиця 1'!$I:$I,"Су-27",'Таблиця 1'!$J:$J,"GBU-39"))</f>
        <v/>
      </c>
      <c r="K674">
        <f>IF($A674="","",SUMIFS('Таблиця 1'!$K:$K,'Таблиця 1'!$B:$B,$A674,'Таблиця 1'!$I:$I,"Mirage",'Таблиця 1'!$J:$J,"BLU-140")+SUMIFS('Таблиця 1'!$K:$K,'Таблиця 1'!$B:$B,$A674,'Таблиця 1'!$I:$I,"F-16",'Таблиця 1'!$J:$J,"BLU-140")+SUMIFS('Таблиця 1'!$K:$K,'Таблиця 1'!$B:$B,$A674,'Таблиця 1'!$I:$I,"МіГ-29",'Таблиця 1'!$J:$J,"BLU-140")+SUMIFS('Таблиця 1'!$K:$K,'Таблиця 1'!$B:$B,$A674,'Таблиця 1'!$I:$I,"Су-25",'Таблиця 1'!$J:$J,"BLU-140")+SUMIFS('Таблиця 1'!$K:$K,'Таблиця 1'!$B:$B,$A674,'Таблиця 1'!$I:$I,"Су-27",'Таблиця 1'!$J:$J,"BLU-140"))</f>
        <v/>
      </c>
      <c r="L674">
        <f>IF($A674="","",SUMIFS('Таблиця 1'!$K:$K,'Таблиця 1'!$B:$B,$A674,'Таблиця 1'!$I:$I,"Mirage",'Таблиця 1'!$J:$J,"GBU-65")+SUMIFS('Таблиця 1'!$K:$K,'Таблиця 1'!$B:$B,$A674,'Таблиця 1'!$I:$I,"F-16",'Таблиця 1'!$J:$J,"GBU-65")+SUMIFS('Таблиця 1'!$K:$K,'Таблиця 1'!$B:$B,$A674,'Таблиця 1'!$I:$I,"МіГ-29",'Таблиця 1'!$J:$J,"GBU-65")+SUMIFS('Таблиця 1'!$K:$K,'Таблиця 1'!$B:$B,$A674,'Таблиця 1'!$I:$I,"Су-25",'Таблиця 1'!$J:$J,"GBU-65")+SUMIFS('Таблиця 1'!$K:$K,'Таблиця 1'!$B:$B,$A674,'Таблиця 1'!$I:$I,"Су-27",'Таблиця 1'!$J:$J,"GBU-65"))</f>
        <v/>
      </c>
      <c r="M674">
        <f>IF($A674="","",SUMIFS('Таблиця 1'!$K:$K,'Таблиця 1'!$B:$B,$A674,'Таблиця 1'!$I:$I,"Mirage",'Таблиця 1'!$J:$J,"GBU-62")+SUMIFS('Таблиця 1'!$K:$K,'Таблиця 1'!$B:$B,$A674,'Таблиця 1'!$I:$I,"F-16",'Таблиця 1'!$J:$J,"GBU-62")+SUMIFS('Таблиця 1'!$K:$K,'Таблиця 1'!$B:$B,$A674,'Таблиця 1'!$I:$I,"МіГ-29",'Таблиця 1'!$J:$J,"GBU-62")+SUMIFS('Таблиця 1'!$K:$K,'Таблиця 1'!$B:$B,$A674,'Таблиця 1'!$I:$I,"Су-25",'Таблиця 1'!$J:$J,"GBU-62")+SUMIFS('Таблиця 1'!$K:$K,'Таблиця 1'!$B:$B,$A674,'Таблиця 1'!$I:$I,"Су-27",'Таблиця 1'!$J:$J,"GBU-62"))</f>
        <v/>
      </c>
      <c r="N674">
        <f>IF($A674="","",SUMIFS('Таблиця 1'!$K:$K,'Таблиця 1'!$B:$B,$A674,'Таблиця 1'!$I:$I,"Mirage",'Таблиця 1'!$J:$J,"GBU-64")+SUMIFS('Таблиця 1'!$K:$K,'Таблиця 1'!$B:$B,$A674,'Таблиця 1'!$I:$I,"F-16",'Таблиця 1'!$J:$J,"GBU-64")+SUMIFS('Таблиця 1'!$K:$K,'Таблиця 1'!$B:$B,$A674,'Таблиця 1'!$I:$I,"МіГ-29",'Таблиця 1'!$J:$J,"GBU-64")+SUMIFS('Таблиця 1'!$K:$K,'Таблиця 1'!$B:$B,$A674,'Таблиця 1'!$I:$I,"Су-25",'Таблиця 1'!$J:$J,"GBU-64")+SUMIFS('Таблиця 1'!$K:$K,'Таблиця 1'!$B:$B,$A674,'Таблиця 1'!$I:$I,"Су-27",'Таблиця 1'!$J:$J,"GBU-64"))</f>
        <v/>
      </c>
      <c r="O674">
        <f>IF($A674="","",SUMIFS('Таблиця 1'!$K:$K,'Таблиця 1'!$B:$B,$A674,'Таблиця 1'!$I:$I,"Mirage",'Таблиця 1'!$J:$J,"C-13")+SUMIFS('Таблиця 1'!$K:$K,'Таблиця 1'!$B:$B,$A674,'Таблиця 1'!$I:$I,"F-16",'Таблиця 1'!$J:$J,"C-13")+SUMIFS('Таблиця 1'!$K:$K,'Таблиця 1'!$B:$B,$A674,'Таблиця 1'!$I:$I,"МіГ-29",'Таблиця 1'!$J:$J,"C-13")+SUMIFS('Таблиця 1'!$K:$K,'Таблиця 1'!$B:$B,$A674,'Таблиця 1'!$I:$I,"Су-25",'Таблиця 1'!$J:$J,"C-13")+SUMIFS('Таблиця 1'!$K:$K,'Таблиця 1'!$B:$B,$A674,'Таблиця 1'!$I:$I,"Су-27",'Таблиця 1'!$J:$J,"C-13"))</f>
        <v/>
      </c>
      <c r="P674">
        <f>IF($A674="","",SUMIFS('Таблиця 1'!$K:$K,'Таблиця 1'!$B:$B,$A674,'Таблиця 1'!$I:$I,"Mirage",'Таблиця 1'!$J:$J,"MK-32")+SUMIFS('Таблиця 1'!$K:$K,'Таблиця 1'!$B:$B,$A674,'Таблиця 1'!$I:$I,"F-16",'Таблиця 1'!$J:$J,"MK-32")+SUMIFS('Таблиця 1'!$K:$K,'Таблиця 1'!$B:$B,$A674,'Таблиця 1'!$I:$I,"МіГ-29",'Таблиця 1'!$J:$J,"MK-32")+SUMIFS('Таблиця 1'!$K:$K,'Таблиця 1'!$B:$B,$A674,'Таблиця 1'!$I:$I,"Су-25",'Таблиця 1'!$J:$J,"MK-32")+SUMIFS('Таблиця 1'!$K:$K,'Таблиця 1'!$B:$B,$A674,'Таблиця 1'!$I:$I,"Су-27",'Таблиця 1'!$J:$J,"MK-32"))</f>
        <v/>
      </c>
      <c r="Q674">
        <f>IF($A674="","",SUMIFS('Таблиця 1'!$K:$K,'Таблиця 1'!$B:$B,$A674,'Таблиця 1'!$I:$I,"Mirage",'Таблиця 1'!$J:$J,"MK-24")+SUMIFS('Таблиця 1'!$K:$K,'Таблиця 1'!$B:$B,$A674,'Таблиця 1'!$I:$I,"F-16",'Таблиця 1'!$J:$J,"MK-24")+SUMIFS('Таблиця 1'!$K:$K,'Таблиця 1'!$B:$B,$A674,'Таблиця 1'!$I:$I,"МіГ-29",'Таблиця 1'!$J:$J,"MK-24")+SUMIFS('Таблиця 1'!$K:$K,'Таблиця 1'!$B:$B,$A674,'Таблиця 1'!$I:$I,"Су-25",'Таблиця 1'!$J:$J,"MK-24")+SUMIFS('Таблиця 1'!$K:$K,'Таблиця 1'!$B:$B,$A674,'Таблиця 1'!$I:$I,"Су-27",'Таблиця 1'!$J:$J,"MK-24"))</f>
        <v/>
      </c>
      <c r="R674">
        <f>IF($A674="","",COUNTIFS('Таблиця 1'!$B:$B,$A674,'Таблиця 1'!$I:$I,"Mirage",'Таблиця 1'!$L:$L,"Уражено")+COUNTIFS('Таблиця 1'!$B:$B,$A674,'Таблиця 1'!$I:$I,"F-16",'Таблиця 1'!$L:$L,"Уражено")+COUNTIFS('Таблиця 1'!$B:$B,$A674,'Таблиця 1'!$I:$I,"МіГ-29",'Таблиця 1'!$L:$L,"Уражено")+COUNTIFS('Таблиця 1'!$B:$B,$A674,'Таблиця 1'!$I:$I,"Су-25",'Таблиця 1'!$L:$L,"Уражено")+COUNTIFS('Таблиця 1'!$B:$B,$A674,'Таблиця 1'!$I:$I,"Су-27",'Таблиця 1'!$L:$L,"Уражено"))</f>
        <v/>
      </c>
      <c r="S674">
        <f>IF($A674="","",COUNTIFS('Таблиця 1'!$B:$B,$A674,'Таблиця 1'!$I:$I,"Mirage",'Таблиця 1'!$L:$L,"НЕ уражено")+COUNTIFS('Таблиця 1'!$B:$B,$A674,'Таблиця 1'!$I:$I,"F-16",'Таблиця 1'!$L:$L,"НЕ уражено")+COUNTIFS('Таблиця 1'!$B:$B,$A674,'Таблиця 1'!$I:$I,"МіГ-29",'Таблиця 1'!$L:$L,"НЕ уражено")+COUNTIFS('Таблиця 1'!$B:$B,$A674,'Таблиця 1'!$I:$I,"Су-25",'Таблиця 1'!$L:$L,"НЕ уражено")+COUNTIFS('Таблиця 1'!$B:$B,$A674,'Таблиця 1'!$I:$I,"Су-27",'Таблиця 1'!$L:$L,"НЕ уражено"))</f>
        <v/>
      </c>
      <c r="T674">
        <f>IF($A674="","",COUNTIFS('Таблиця 1'!$B:$B,$A674,'Таблиця 1'!$I:$I,"Mirage",'Таблиця 1'!$L:$L,"Дорозвідується")+COUNTIFS('Таблиця 1'!$B:$B,$A674,'Таблиця 1'!$I:$I,"F-16",'Таблиця 1'!$L:$L,"Дорозвідується")+COUNTIFS('Таблиця 1'!$B:$B,$A674,'Таблиця 1'!$I:$I,"МіГ-29",'Таблиця 1'!$L:$L,"Дорозвідується")+COUNTIFS('Таблиця 1'!$B:$B,$A674,'Таблиця 1'!$I:$I,"Су-25",'Таблиця 1'!$L:$L,"Дорозвідується")+COUNTIFS('Таблиця 1'!$B:$B,$A674,'Таблиця 1'!$I:$I,"Су-27",'Таблиця 1'!$L:$L,"Дорозвідується"))</f>
        <v/>
      </c>
    </row>
    <row r="675">
      <c r="A675" s="273">
        <f>IF(A674="","",IF(A674+1&gt;MAX('Таблиця 1'!$B:$B),"",A674+1))</f>
        <v/>
      </c>
      <c r="B675">
        <f>IF($A675="","",COUNTIFS('Таблиця 1'!$B:$B,$A675,'Таблиця 1'!$I:$I,"Mirage")+COUNTIFS('Таблиця 1'!$B:$B,$A675,'Таблиця 1'!$I:$I,"F-16")+COUNTIFS('Таблиця 1'!$B:$B,$A675,'Таблиця 1'!$I:$I,"МіГ-29")+COUNTIFS('Таблиця 1'!$B:$B,$A675,'Таблиця 1'!$I:$I,"Су-25")+COUNTIFS('Таблиця 1'!$B:$B,$A675,'Таблиця 1'!$I:$I,"Су-27"))</f>
        <v/>
      </c>
      <c r="C675">
        <f>IF($A675="","",COUNTIFS('Таблиця 1'!$B:$B,$A675,'Таблиця 1'!$I:$I,"Mirage"))</f>
        <v/>
      </c>
      <c r="D675">
        <f>IF($A675="","",COUNTIFS('Таблиця 1'!$B:$B,$A675,'Таблиця 1'!$I:$I,"F-16"))</f>
        <v/>
      </c>
      <c r="E675">
        <f>IF($A675="","",COUNTIFS('Таблиця 1'!$B:$B,$A675,'Таблиця 1'!$I:$I,"МіГ-29"))</f>
        <v/>
      </c>
      <c r="F675">
        <f>IF($A675="","",COUNTIFS('Таблиця 1'!$B:$B,$A675,'Таблиця 1'!$I:$I,"Су-25"))</f>
        <v/>
      </c>
      <c r="G675">
        <f>IF($A675="","",COUNTIFS('Таблиця 1'!$B:$B,$A675,'Таблиця 1'!$I:$I,"Су-27"))</f>
        <v/>
      </c>
      <c r="H675">
        <f>IF($A675="","",SUMIFS('Таблиця 1'!$K:$K,'Таблиця 1'!$B:$B,$A675,'Таблиця 1'!$I:$I,"Mirage",'Таблиця 1'!$J:$J,"AGM-88")+SUMIFS('Таблиця 1'!$K:$K,'Таблиця 1'!$B:$B,$A675,'Таблиця 1'!$I:$I,"F-16",'Таблиця 1'!$J:$J,"AGM-88")+SUMIFS('Таблиця 1'!$K:$K,'Таблиця 1'!$B:$B,$A675,'Таблиця 1'!$I:$I,"МіГ-29",'Таблиця 1'!$J:$J,"AGM-88")+SUMIFS('Таблиця 1'!$K:$K,'Таблиця 1'!$B:$B,$A675,'Таблиця 1'!$I:$I,"Су-25",'Таблиця 1'!$J:$J,"AGM-88")+SUMIFS('Таблиця 1'!$K:$K,'Таблиця 1'!$B:$B,$A675,'Таблиця 1'!$I:$I,"Су-27",'Таблиця 1'!$J:$J,"AGM-88"))</f>
        <v/>
      </c>
      <c r="I675">
        <f>IF($A675="","",SUMIFS('Таблиця 1'!$K:$K,'Таблиця 1'!$B:$B,$A675,'Таблиця 1'!$I:$I,"Mirage",'Таблиця 1'!$J:$J,"AASM-250")+SUMIFS('Таблиця 1'!$K:$K,'Таблиця 1'!$B:$B,$A675,'Таблиця 1'!$I:$I,"F-16",'Таблиця 1'!$J:$J,"AASM-250")+SUMIFS('Таблиця 1'!$K:$K,'Таблиця 1'!$B:$B,$A675,'Таблиця 1'!$I:$I,"МіГ-29",'Таблиця 1'!$J:$J,"AASM-250")+SUMIFS('Таблиця 1'!$K:$K,'Таблиця 1'!$B:$B,$A675,'Таблиця 1'!$I:$I,"Су-25",'Таблиця 1'!$J:$J,"AASM-250")+SUMIFS('Таблиця 1'!$K:$K,'Таблиця 1'!$B:$B,$A675,'Таблиця 1'!$I:$I,"Су-27",'Таблиця 1'!$J:$J,"AASM-250"))</f>
        <v/>
      </c>
      <c r="J675">
        <f>IF($A675="","",SUMIFS('Таблиця 1'!$K:$K,'Таблиця 1'!$B:$B,$A675,'Таблиця 1'!$I:$I,"Mirage",'Таблиця 1'!$J:$J,"GBU-39")+SUMIFS('Таблиця 1'!$K:$K,'Таблиця 1'!$B:$B,$A675,'Таблиця 1'!$I:$I,"F-16",'Таблиця 1'!$J:$J,"GBU-39")+SUMIFS('Таблиця 1'!$K:$K,'Таблиця 1'!$B:$B,$A675,'Таблиця 1'!$I:$I,"МіГ-29",'Таблиця 1'!$J:$J,"GBU-39")+SUMIFS('Таблиця 1'!$K:$K,'Таблиця 1'!$B:$B,$A675,'Таблиця 1'!$I:$I,"Су-25",'Таблиця 1'!$J:$J,"GBU-39")+SUMIFS('Таблиця 1'!$K:$K,'Таблиця 1'!$B:$B,$A675,'Таблиця 1'!$I:$I,"Су-27",'Таблиця 1'!$J:$J,"GBU-39"))</f>
        <v/>
      </c>
      <c r="K675">
        <f>IF($A675="","",SUMIFS('Таблиця 1'!$K:$K,'Таблиця 1'!$B:$B,$A675,'Таблиця 1'!$I:$I,"Mirage",'Таблиця 1'!$J:$J,"BLU-140")+SUMIFS('Таблиця 1'!$K:$K,'Таблиця 1'!$B:$B,$A675,'Таблиця 1'!$I:$I,"F-16",'Таблиця 1'!$J:$J,"BLU-140")+SUMIFS('Таблиця 1'!$K:$K,'Таблиця 1'!$B:$B,$A675,'Таблиця 1'!$I:$I,"МіГ-29",'Таблиця 1'!$J:$J,"BLU-140")+SUMIFS('Таблиця 1'!$K:$K,'Таблиця 1'!$B:$B,$A675,'Таблиця 1'!$I:$I,"Су-25",'Таблиця 1'!$J:$J,"BLU-140")+SUMIFS('Таблиця 1'!$K:$K,'Таблиця 1'!$B:$B,$A675,'Таблиця 1'!$I:$I,"Су-27",'Таблиця 1'!$J:$J,"BLU-140"))</f>
        <v/>
      </c>
      <c r="L675">
        <f>IF($A675="","",SUMIFS('Таблиця 1'!$K:$K,'Таблиця 1'!$B:$B,$A675,'Таблиця 1'!$I:$I,"Mirage",'Таблиця 1'!$J:$J,"GBU-65")+SUMIFS('Таблиця 1'!$K:$K,'Таблиця 1'!$B:$B,$A675,'Таблиця 1'!$I:$I,"F-16",'Таблиця 1'!$J:$J,"GBU-65")+SUMIFS('Таблиця 1'!$K:$K,'Таблиця 1'!$B:$B,$A675,'Таблиця 1'!$I:$I,"МіГ-29",'Таблиця 1'!$J:$J,"GBU-65")+SUMIFS('Таблиця 1'!$K:$K,'Таблиця 1'!$B:$B,$A675,'Таблиця 1'!$I:$I,"Су-25",'Таблиця 1'!$J:$J,"GBU-65")+SUMIFS('Таблиця 1'!$K:$K,'Таблиця 1'!$B:$B,$A675,'Таблиця 1'!$I:$I,"Су-27",'Таблиця 1'!$J:$J,"GBU-65"))</f>
        <v/>
      </c>
      <c r="M675">
        <f>IF($A675="","",SUMIFS('Таблиця 1'!$K:$K,'Таблиця 1'!$B:$B,$A675,'Таблиця 1'!$I:$I,"Mirage",'Таблиця 1'!$J:$J,"GBU-62")+SUMIFS('Таблиця 1'!$K:$K,'Таблиця 1'!$B:$B,$A675,'Таблиця 1'!$I:$I,"F-16",'Таблиця 1'!$J:$J,"GBU-62")+SUMIFS('Таблиця 1'!$K:$K,'Таблиця 1'!$B:$B,$A675,'Таблиця 1'!$I:$I,"МіГ-29",'Таблиця 1'!$J:$J,"GBU-62")+SUMIFS('Таблиця 1'!$K:$K,'Таблиця 1'!$B:$B,$A675,'Таблиця 1'!$I:$I,"Су-25",'Таблиця 1'!$J:$J,"GBU-62")+SUMIFS('Таблиця 1'!$K:$K,'Таблиця 1'!$B:$B,$A675,'Таблиця 1'!$I:$I,"Су-27",'Таблиця 1'!$J:$J,"GBU-62"))</f>
        <v/>
      </c>
      <c r="N675">
        <f>IF($A675="","",SUMIFS('Таблиця 1'!$K:$K,'Таблиця 1'!$B:$B,$A675,'Таблиця 1'!$I:$I,"Mirage",'Таблиця 1'!$J:$J,"GBU-64")+SUMIFS('Таблиця 1'!$K:$K,'Таблиця 1'!$B:$B,$A675,'Таблиця 1'!$I:$I,"F-16",'Таблиця 1'!$J:$J,"GBU-64")+SUMIFS('Таблиця 1'!$K:$K,'Таблиця 1'!$B:$B,$A675,'Таблиця 1'!$I:$I,"МіГ-29",'Таблиця 1'!$J:$J,"GBU-64")+SUMIFS('Таблиця 1'!$K:$K,'Таблиця 1'!$B:$B,$A675,'Таблиця 1'!$I:$I,"Су-25",'Таблиця 1'!$J:$J,"GBU-64")+SUMIFS('Таблиця 1'!$K:$K,'Таблиця 1'!$B:$B,$A675,'Таблиця 1'!$I:$I,"Су-27",'Таблиця 1'!$J:$J,"GBU-64"))</f>
        <v/>
      </c>
      <c r="O675">
        <f>IF($A675="","",SUMIFS('Таблиця 1'!$K:$K,'Таблиця 1'!$B:$B,$A675,'Таблиця 1'!$I:$I,"Mirage",'Таблиця 1'!$J:$J,"C-13")+SUMIFS('Таблиця 1'!$K:$K,'Таблиця 1'!$B:$B,$A675,'Таблиця 1'!$I:$I,"F-16",'Таблиця 1'!$J:$J,"C-13")+SUMIFS('Таблиця 1'!$K:$K,'Таблиця 1'!$B:$B,$A675,'Таблиця 1'!$I:$I,"МіГ-29",'Таблиця 1'!$J:$J,"C-13")+SUMIFS('Таблиця 1'!$K:$K,'Таблиця 1'!$B:$B,$A675,'Таблиця 1'!$I:$I,"Су-25",'Таблиця 1'!$J:$J,"C-13")+SUMIFS('Таблиця 1'!$K:$K,'Таблиця 1'!$B:$B,$A675,'Таблиця 1'!$I:$I,"Су-27",'Таблиця 1'!$J:$J,"C-13"))</f>
        <v/>
      </c>
      <c r="P675">
        <f>IF($A675="","",SUMIFS('Таблиця 1'!$K:$K,'Таблиця 1'!$B:$B,$A675,'Таблиця 1'!$I:$I,"Mirage",'Таблиця 1'!$J:$J,"MK-32")+SUMIFS('Таблиця 1'!$K:$K,'Таблиця 1'!$B:$B,$A675,'Таблиця 1'!$I:$I,"F-16",'Таблиця 1'!$J:$J,"MK-32")+SUMIFS('Таблиця 1'!$K:$K,'Таблиця 1'!$B:$B,$A675,'Таблиця 1'!$I:$I,"МіГ-29",'Таблиця 1'!$J:$J,"MK-32")+SUMIFS('Таблиця 1'!$K:$K,'Таблиця 1'!$B:$B,$A675,'Таблиця 1'!$I:$I,"Су-25",'Таблиця 1'!$J:$J,"MK-32")+SUMIFS('Таблиця 1'!$K:$K,'Таблиця 1'!$B:$B,$A675,'Таблиця 1'!$I:$I,"Су-27",'Таблиця 1'!$J:$J,"MK-32"))</f>
        <v/>
      </c>
      <c r="Q675">
        <f>IF($A675="","",SUMIFS('Таблиця 1'!$K:$K,'Таблиця 1'!$B:$B,$A675,'Таблиця 1'!$I:$I,"Mirage",'Таблиця 1'!$J:$J,"MK-24")+SUMIFS('Таблиця 1'!$K:$K,'Таблиця 1'!$B:$B,$A675,'Таблиця 1'!$I:$I,"F-16",'Таблиця 1'!$J:$J,"MK-24")+SUMIFS('Таблиця 1'!$K:$K,'Таблиця 1'!$B:$B,$A675,'Таблиця 1'!$I:$I,"МіГ-29",'Таблиця 1'!$J:$J,"MK-24")+SUMIFS('Таблиця 1'!$K:$K,'Таблиця 1'!$B:$B,$A675,'Таблиця 1'!$I:$I,"Су-25",'Таблиця 1'!$J:$J,"MK-24")+SUMIFS('Таблиця 1'!$K:$K,'Таблиця 1'!$B:$B,$A675,'Таблиця 1'!$I:$I,"Су-27",'Таблиця 1'!$J:$J,"MK-24"))</f>
        <v/>
      </c>
      <c r="R675">
        <f>IF($A675="","",COUNTIFS('Таблиця 1'!$B:$B,$A675,'Таблиця 1'!$I:$I,"Mirage",'Таблиця 1'!$L:$L,"Уражено")+COUNTIFS('Таблиця 1'!$B:$B,$A675,'Таблиця 1'!$I:$I,"F-16",'Таблиця 1'!$L:$L,"Уражено")+COUNTIFS('Таблиця 1'!$B:$B,$A675,'Таблиця 1'!$I:$I,"МіГ-29",'Таблиця 1'!$L:$L,"Уражено")+COUNTIFS('Таблиця 1'!$B:$B,$A675,'Таблиця 1'!$I:$I,"Су-25",'Таблиця 1'!$L:$L,"Уражено")+COUNTIFS('Таблиця 1'!$B:$B,$A675,'Таблиця 1'!$I:$I,"Су-27",'Таблиця 1'!$L:$L,"Уражено"))</f>
        <v/>
      </c>
      <c r="S675">
        <f>IF($A675="","",COUNTIFS('Таблиця 1'!$B:$B,$A675,'Таблиця 1'!$I:$I,"Mirage",'Таблиця 1'!$L:$L,"НЕ уражено")+COUNTIFS('Таблиця 1'!$B:$B,$A675,'Таблиця 1'!$I:$I,"F-16",'Таблиця 1'!$L:$L,"НЕ уражено")+COUNTIFS('Таблиця 1'!$B:$B,$A675,'Таблиця 1'!$I:$I,"МіГ-29",'Таблиця 1'!$L:$L,"НЕ уражено")+COUNTIFS('Таблиця 1'!$B:$B,$A675,'Таблиця 1'!$I:$I,"Су-25",'Таблиця 1'!$L:$L,"НЕ уражено")+COUNTIFS('Таблиця 1'!$B:$B,$A675,'Таблиця 1'!$I:$I,"Су-27",'Таблиця 1'!$L:$L,"НЕ уражено"))</f>
        <v/>
      </c>
      <c r="T675">
        <f>IF($A675="","",COUNTIFS('Таблиця 1'!$B:$B,$A675,'Таблиця 1'!$I:$I,"Mirage",'Таблиця 1'!$L:$L,"Дорозвідується")+COUNTIFS('Таблиця 1'!$B:$B,$A675,'Таблиця 1'!$I:$I,"F-16",'Таблиця 1'!$L:$L,"Дорозвідується")+COUNTIFS('Таблиця 1'!$B:$B,$A675,'Таблиця 1'!$I:$I,"МіГ-29",'Таблиця 1'!$L:$L,"Дорозвідується")+COUNTIFS('Таблиця 1'!$B:$B,$A675,'Таблиця 1'!$I:$I,"Су-25",'Таблиця 1'!$L:$L,"Дорозвідується")+COUNTIFS('Таблиця 1'!$B:$B,$A675,'Таблиця 1'!$I:$I,"Су-27",'Таблиця 1'!$L:$L,"Дорозвідується"))</f>
        <v/>
      </c>
    </row>
    <row r="676">
      <c r="A676" s="273">
        <f>IF(A675="","",IF(A675+1&gt;MAX('Таблиця 1'!$B:$B),"",A675+1))</f>
        <v/>
      </c>
      <c r="B676">
        <f>IF($A676="","",COUNTIFS('Таблиця 1'!$B:$B,$A676,'Таблиця 1'!$I:$I,"Mirage")+COUNTIFS('Таблиця 1'!$B:$B,$A676,'Таблиця 1'!$I:$I,"F-16")+COUNTIFS('Таблиця 1'!$B:$B,$A676,'Таблиця 1'!$I:$I,"МіГ-29")+COUNTIFS('Таблиця 1'!$B:$B,$A676,'Таблиця 1'!$I:$I,"Су-25")+COUNTIFS('Таблиця 1'!$B:$B,$A676,'Таблиця 1'!$I:$I,"Су-27"))</f>
        <v/>
      </c>
      <c r="C676">
        <f>IF($A676="","",COUNTIFS('Таблиця 1'!$B:$B,$A676,'Таблиця 1'!$I:$I,"Mirage"))</f>
        <v/>
      </c>
      <c r="D676">
        <f>IF($A676="","",COUNTIFS('Таблиця 1'!$B:$B,$A676,'Таблиця 1'!$I:$I,"F-16"))</f>
        <v/>
      </c>
      <c r="E676">
        <f>IF($A676="","",COUNTIFS('Таблиця 1'!$B:$B,$A676,'Таблиця 1'!$I:$I,"МіГ-29"))</f>
        <v/>
      </c>
      <c r="F676">
        <f>IF($A676="","",COUNTIFS('Таблиця 1'!$B:$B,$A676,'Таблиця 1'!$I:$I,"Су-25"))</f>
        <v/>
      </c>
      <c r="G676">
        <f>IF($A676="","",COUNTIFS('Таблиця 1'!$B:$B,$A676,'Таблиця 1'!$I:$I,"Су-27"))</f>
        <v/>
      </c>
      <c r="H676">
        <f>IF($A676="","",SUMIFS('Таблиця 1'!$K:$K,'Таблиця 1'!$B:$B,$A676,'Таблиця 1'!$I:$I,"Mirage",'Таблиця 1'!$J:$J,"AGM-88")+SUMIFS('Таблиця 1'!$K:$K,'Таблиця 1'!$B:$B,$A676,'Таблиця 1'!$I:$I,"F-16",'Таблиця 1'!$J:$J,"AGM-88")+SUMIFS('Таблиця 1'!$K:$K,'Таблиця 1'!$B:$B,$A676,'Таблиця 1'!$I:$I,"МіГ-29",'Таблиця 1'!$J:$J,"AGM-88")+SUMIFS('Таблиця 1'!$K:$K,'Таблиця 1'!$B:$B,$A676,'Таблиця 1'!$I:$I,"Су-25",'Таблиця 1'!$J:$J,"AGM-88")+SUMIFS('Таблиця 1'!$K:$K,'Таблиця 1'!$B:$B,$A676,'Таблиця 1'!$I:$I,"Су-27",'Таблиця 1'!$J:$J,"AGM-88"))</f>
        <v/>
      </c>
      <c r="I676">
        <f>IF($A676="","",SUMIFS('Таблиця 1'!$K:$K,'Таблиця 1'!$B:$B,$A676,'Таблиця 1'!$I:$I,"Mirage",'Таблиця 1'!$J:$J,"AASM-250")+SUMIFS('Таблиця 1'!$K:$K,'Таблиця 1'!$B:$B,$A676,'Таблиця 1'!$I:$I,"F-16",'Таблиця 1'!$J:$J,"AASM-250")+SUMIFS('Таблиця 1'!$K:$K,'Таблиця 1'!$B:$B,$A676,'Таблиця 1'!$I:$I,"МіГ-29",'Таблиця 1'!$J:$J,"AASM-250")+SUMIFS('Таблиця 1'!$K:$K,'Таблиця 1'!$B:$B,$A676,'Таблиця 1'!$I:$I,"Су-25",'Таблиця 1'!$J:$J,"AASM-250")+SUMIFS('Таблиця 1'!$K:$K,'Таблиця 1'!$B:$B,$A676,'Таблиця 1'!$I:$I,"Су-27",'Таблиця 1'!$J:$J,"AASM-250"))</f>
        <v/>
      </c>
      <c r="J676">
        <f>IF($A676="","",SUMIFS('Таблиця 1'!$K:$K,'Таблиця 1'!$B:$B,$A676,'Таблиця 1'!$I:$I,"Mirage",'Таблиця 1'!$J:$J,"GBU-39")+SUMIFS('Таблиця 1'!$K:$K,'Таблиця 1'!$B:$B,$A676,'Таблиця 1'!$I:$I,"F-16",'Таблиця 1'!$J:$J,"GBU-39")+SUMIFS('Таблиця 1'!$K:$K,'Таблиця 1'!$B:$B,$A676,'Таблиця 1'!$I:$I,"МіГ-29",'Таблиця 1'!$J:$J,"GBU-39")+SUMIFS('Таблиця 1'!$K:$K,'Таблиця 1'!$B:$B,$A676,'Таблиця 1'!$I:$I,"Су-25",'Таблиця 1'!$J:$J,"GBU-39")+SUMIFS('Таблиця 1'!$K:$K,'Таблиця 1'!$B:$B,$A676,'Таблиця 1'!$I:$I,"Су-27",'Таблиця 1'!$J:$J,"GBU-39"))</f>
        <v/>
      </c>
      <c r="K676">
        <f>IF($A676="","",SUMIFS('Таблиця 1'!$K:$K,'Таблиця 1'!$B:$B,$A676,'Таблиця 1'!$I:$I,"Mirage",'Таблиця 1'!$J:$J,"BLU-140")+SUMIFS('Таблиця 1'!$K:$K,'Таблиця 1'!$B:$B,$A676,'Таблиця 1'!$I:$I,"F-16",'Таблиця 1'!$J:$J,"BLU-140")+SUMIFS('Таблиця 1'!$K:$K,'Таблиця 1'!$B:$B,$A676,'Таблиця 1'!$I:$I,"МіГ-29",'Таблиця 1'!$J:$J,"BLU-140")+SUMIFS('Таблиця 1'!$K:$K,'Таблиця 1'!$B:$B,$A676,'Таблиця 1'!$I:$I,"Су-25",'Таблиця 1'!$J:$J,"BLU-140")+SUMIFS('Таблиця 1'!$K:$K,'Таблиця 1'!$B:$B,$A676,'Таблиця 1'!$I:$I,"Су-27",'Таблиця 1'!$J:$J,"BLU-140"))</f>
        <v/>
      </c>
      <c r="L676">
        <f>IF($A676="","",SUMIFS('Таблиця 1'!$K:$K,'Таблиця 1'!$B:$B,$A676,'Таблиця 1'!$I:$I,"Mirage",'Таблиця 1'!$J:$J,"GBU-65")+SUMIFS('Таблиця 1'!$K:$K,'Таблиця 1'!$B:$B,$A676,'Таблиця 1'!$I:$I,"F-16",'Таблиця 1'!$J:$J,"GBU-65")+SUMIFS('Таблиця 1'!$K:$K,'Таблиця 1'!$B:$B,$A676,'Таблиця 1'!$I:$I,"МіГ-29",'Таблиця 1'!$J:$J,"GBU-65")+SUMIFS('Таблиця 1'!$K:$K,'Таблиця 1'!$B:$B,$A676,'Таблиця 1'!$I:$I,"Су-25",'Таблиця 1'!$J:$J,"GBU-65")+SUMIFS('Таблиця 1'!$K:$K,'Таблиця 1'!$B:$B,$A676,'Таблиця 1'!$I:$I,"Су-27",'Таблиця 1'!$J:$J,"GBU-65"))</f>
        <v/>
      </c>
      <c r="M676">
        <f>IF($A676="","",SUMIFS('Таблиця 1'!$K:$K,'Таблиця 1'!$B:$B,$A676,'Таблиця 1'!$I:$I,"Mirage",'Таблиця 1'!$J:$J,"GBU-62")+SUMIFS('Таблиця 1'!$K:$K,'Таблиця 1'!$B:$B,$A676,'Таблиця 1'!$I:$I,"F-16",'Таблиця 1'!$J:$J,"GBU-62")+SUMIFS('Таблиця 1'!$K:$K,'Таблиця 1'!$B:$B,$A676,'Таблиця 1'!$I:$I,"МіГ-29",'Таблиця 1'!$J:$J,"GBU-62")+SUMIFS('Таблиця 1'!$K:$K,'Таблиця 1'!$B:$B,$A676,'Таблиця 1'!$I:$I,"Су-25",'Таблиця 1'!$J:$J,"GBU-62")+SUMIFS('Таблиця 1'!$K:$K,'Таблиця 1'!$B:$B,$A676,'Таблиця 1'!$I:$I,"Су-27",'Таблиця 1'!$J:$J,"GBU-62"))</f>
        <v/>
      </c>
      <c r="N676">
        <f>IF($A676="","",SUMIFS('Таблиця 1'!$K:$K,'Таблиця 1'!$B:$B,$A676,'Таблиця 1'!$I:$I,"Mirage",'Таблиця 1'!$J:$J,"GBU-64")+SUMIFS('Таблиця 1'!$K:$K,'Таблиця 1'!$B:$B,$A676,'Таблиця 1'!$I:$I,"F-16",'Таблиця 1'!$J:$J,"GBU-64")+SUMIFS('Таблиця 1'!$K:$K,'Таблиця 1'!$B:$B,$A676,'Таблиця 1'!$I:$I,"МіГ-29",'Таблиця 1'!$J:$J,"GBU-64")+SUMIFS('Таблиця 1'!$K:$K,'Таблиця 1'!$B:$B,$A676,'Таблиця 1'!$I:$I,"Су-25",'Таблиця 1'!$J:$J,"GBU-64")+SUMIFS('Таблиця 1'!$K:$K,'Таблиця 1'!$B:$B,$A676,'Таблиця 1'!$I:$I,"Су-27",'Таблиця 1'!$J:$J,"GBU-64"))</f>
        <v/>
      </c>
      <c r="O676">
        <f>IF($A676="","",SUMIFS('Таблиця 1'!$K:$K,'Таблиця 1'!$B:$B,$A676,'Таблиця 1'!$I:$I,"Mirage",'Таблиця 1'!$J:$J,"C-13")+SUMIFS('Таблиця 1'!$K:$K,'Таблиця 1'!$B:$B,$A676,'Таблиця 1'!$I:$I,"F-16",'Таблиця 1'!$J:$J,"C-13")+SUMIFS('Таблиця 1'!$K:$K,'Таблиця 1'!$B:$B,$A676,'Таблиця 1'!$I:$I,"МіГ-29",'Таблиця 1'!$J:$J,"C-13")+SUMIFS('Таблиця 1'!$K:$K,'Таблиця 1'!$B:$B,$A676,'Таблиця 1'!$I:$I,"Су-25",'Таблиця 1'!$J:$J,"C-13")+SUMIFS('Таблиця 1'!$K:$K,'Таблиця 1'!$B:$B,$A676,'Таблиця 1'!$I:$I,"Су-27",'Таблиця 1'!$J:$J,"C-13"))</f>
        <v/>
      </c>
      <c r="P676">
        <f>IF($A676="","",SUMIFS('Таблиця 1'!$K:$K,'Таблиця 1'!$B:$B,$A676,'Таблиця 1'!$I:$I,"Mirage",'Таблиця 1'!$J:$J,"MK-32")+SUMIFS('Таблиця 1'!$K:$K,'Таблиця 1'!$B:$B,$A676,'Таблиця 1'!$I:$I,"F-16",'Таблиця 1'!$J:$J,"MK-32")+SUMIFS('Таблиця 1'!$K:$K,'Таблиця 1'!$B:$B,$A676,'Таблиця 1'!$I:$I,"МіГ-29",'Таблиця 1'!$J:$J,"MK-32")+SUMIFS('Таблиця 1'!$K:$K,'Таблиця 1'!$B:$B,$A676,'Таблиця 1'!$I:$I,"Су-25",'Таблиця 1'!$J:$J,"MK-32")+SUMIFS('Таблиця 1'!$K:$K,'Таблиця 1'!$B:$B,$A676,'Таблиця 1'!$I:$I,"Су-27",'Таблиця 1'!$J:$J,"MK-32"))</f>
        <v/>
      </c>
      <c r="Q676">
        <f>IF($A676="","",SUMIFS('Таблиця 1'!$K:$K,'Таблиця 1'!$B:$B,$A676,'Таблиця 1'!$I:$I,"Mirage",'Таблиця 1'!$J:$J,"MK-24")+SUMIFS('Таблиця 1'!$K:$K,'Таблиця 1'!$B:$B,$A676,'Таблиця 1'!$I:$I,"F-16",'Таблиця 1'!$J:$J,"MK-24")+SUMIFS('Таблиця 1'!$K:$K,'Таблиця 1'!$B:$B,$A676,'Таблиця 1'!$I:$I,"МіГ-29",'Таблиця 1'!$J:$J,"MK-24")+SUMIFS('Таблиця 1'!$K:$K,'Таблиця 1'!$B:$B,$A676,'Таблиця 1'!$I:$I,"Су-25",'Таблиця 1'!$J:$J,"MK-24")+SUMIFS('Таблиця 1'!$K:$K,'Таблиця 1'!$B:$B,$A676,'Таблиця 1'!$I:$I,"Су-27",'Таблиця 1'!$J:$J,"MK-24"))</f>
        <v/>
      </c>
      <c r="R676">
        <f>IF($A676="","",COUNTIFS('Таблиця 1'!$B:$B,$A676,'Таблиця 1'!$I:$I,"Mirage",'Таблиця 1'!$L:$L,"Уражено")+COUNTIFS('Таблиця 1'!$B:$B,$A676,'Таблиця 1'!$I:$I,"F-16",'Таблиця 1'!$L:$L,"Уражено")+COUNTIFS('Таблиця 1'!$B:$B,$A676,'Таблиця 1'!$I:$I,"МіГ-29",'Таблиця 1'!$L:$L,"Уражено")+COUNTIFS('Таблиця 1'!$B:$B,$A676,'Таблиця 1'!$I:$I,"Су-25",'Таблиця 1'!$L:$L,"Уражено")+COUNTIFS('Таблиця 1'!$B:$B,$A676,'Таблиця 1'!$I:$I,"Су-27",'Таблиця 1'!$L:$L,"Уражено"))</f>
        <v/>
      </c>
      <c r="S676">
        <f>IF($A676="","",COUNTIFS('Таблиця 1'!$B:$B,$A676,'Таблиця 1'!$I:$I,"Mirage",'Таблиця 1'!$L:$L,"НЕ уражено")+COUNTIFS('Таблиця 1'!$B:$B,$A676,'Таблиця 1'!$I:$I,"F-16",'Таблиця 1'!$L:$L,"НЕ уражено")+COUNTIFS('Таблиця 1'!$B:$B,$A676,'Таблиця 1'!$I:$I,"МіГ-29",'Таблиця 1'!$L:$L,"НЕ уражено")+COUNTIFS('Таблиця 1'!$B:$B,$A676,'Таблиця 1'!$I:$I,"Су-25",'Таблиця 1'!$L:$L,"НЕ уражено")+COUNTIFS('Таблиця 1'!$B:$B,$A676,'Таблиця 1'!$I:$I,"Су-27",'Таблиця 1'!$L:$L,"НЕ уражено"))</f>
        <v/>
      </c>
      <c r="T676">
        <f>IF($A676="","",COUNTIFS('Таблиця 1'!$B:$B,$A676,'Таблиця 1'!$I:$I,"Mirage",'Таблиця 1'!$L:$L,"Дорозвідується")+COUNTIFS('Таблиця 1'!$B:$B,$A676,'Таблиця 1'!$I:$I,"F-16",'Таблиця 1'!$L:$L,"Дорозвідується")+COUNTIFS('Таблиця 1'!$B:$B,$A676,'Таблиця 1'!$I:$I,"МіГ-29",'Таблиця 1'!$L:$L,"Дорозвідується")+COUNTIFS('Таблиця 1'!$B:$B,$A676,'Таблиця 1'!$I:$I,"Су-25",'Таблиця 1'!$L:$L,"Дорозвідується")+COUNTIFS('Таблиця 1'!$B:$B,$A676,'Таблиця 1'!$I:$I,"Су-27",'Таблиця 1'!$L:$L,"Дорозвідується"))</f>
        <v/>
      </c>
    </row>
    <row r="677">
      <c r="A677" s="273">
        <f>IF(A676="","",IF(A676+1&gt;MAX('Таблиця 1'!$B:$B),"",A676+1))</f>
        <v/>
      </c>
      <c r="B677">
        <f>IF($A677="","",COUNTIFS('Таблиця 1'!$B:$B,$A677,'Таблиця 1'!$I:$I,"Mirage")+COUNTIFS('Таблиця 1'!$B:$B,$A677,'Таблиця 1'!$I:$I,"F-16")+COUNTIFS('Таблиця 1'!$B:$B,$A677,'Таблиця 1'!$I:$I,"МіГ-29")+COUNTIFS('Таблиця 1'!$B:$B,$A677,'Таблиця 1'!$I:$I,"Су-25")+COUNTIFS('Таблиця 1'!$B:$B,$A677,'Таблиця 1'!$I:$I,"Су-27"))</f>
        <v/>
      </c>
      <c r="C677">
        <f>IF($A677="","",COUNTIFS('Таблиця 1'!$B:$B,$A677,'Таблиця 1'!$I:$I,"Mirage"))</f>
        <v/>
      </c>
      <c r="D677">
        <f>IF($A677="","",COUNTIFS('Таблиця 1'!$B:$B,$A677,'Таблиця 1'!$I:$I,"F-16"))</f>
        <v/>
      </c>
      <c r="E677">
        <f>IF($A677="","",COUNTIFS('Таблиця 1'!$B:$B,$A677,'Таблиця 1'!$I:$I,"МіГ-29"))</f>
        <v/>
      </c>
      <c r="F677">
        <f>IF($A677="","",COUNTIFS('Таблиця 1'!$B:$B,$A677,'Таблиця 1'!$I:$I,"Су-25"))</f>
        <v/>
      </c>
      <c r="G677">
        <f>IF($A677="","",COUNTIFS('Таблиця 1'!$B:$B,$A677,'Таблиця 1'!$I:$I,"Су-27"))</f>
        <v/>
      </c>
      <c r="H677">
        <f>IF($A677="","",SUMIFS('Таблиця 1'!$K:$K,'Таблиця 1'!$B:$B,$A677,'Таблиця 1'!$I:$I,"Mirage",'Таблиця 1'!$J:$J,"AGM-88")+SUMIFS('Таблиця 1'!$K:$K,'Таблиця 1'!$B:$B,$A677,'Таблиця 1'!$I:$I,"F-16",'Таблиця 1'!$J:$J,"AGM-88")+SUMIFS('Таблиця 1'!$K:$K,'Таблиця 1'!$B:$B,$A677,'Таблиця 1'!$I:$I,"МіГ-29",'Таблиця 1'!$J:$J,"AGM-88")+SUMIFS('Таблиця 1'!$K:$K,'Таблиця 1'!$B:$B,$A677,'Таблиця 1'!$I:$I,"Су-25",'Таблиця 1'!$J:$J,"AGM-88")+SUMIFS('Таблиця 1'!$K:$K,'Таблиця 1'!$B:$B,$A677,'Таблиця 1'!$I:$I,"Су-27",'Таблиця 1'!$J:$J,"AGM-88"))</f>
        <v/>
      </c>
      <c r="I677">
        <f>IF($A677="","",SUMIFS('Таблиця 1'!$K:$K,'Таблиця 1'!$B:$B,$A677,'Таблиця 1'!$I:$I,"Mirage",'Таблиця 1'!$J:$J,"AASM-250")+SUMIFS('Таблиця 1'!$K:$K,'Таблиця 1'!$B:$B,$A677,'Таблиця 1'!$I:$I,"F-16",'Таблиця 1'!$J:$J,"AASM-250")+SUMIFS('Таблиця 1'!$K:$K,'Таблиця 1'!$B:$B,$A677,'Таблиця 1'!$I:$I,"МіГ-29",'Таблиця 1'!$J:$J,"AASM-250")+SUMIFS('Таблиця 1'!$K:$K,'Таблиця 1'!$B:$B,$A677,'Таблиця 1'!$I:$I,"Су-25",'Таблиця 1'!$J:$J,"AASM-250")+SUMIFS('Таблиця 1'!$K:$K,'Таблиця 1'!$B:$B,$A677,'Таблиця 1'!$I:$I,"Су-27",'Таблиця 1'!$J:$J,"AASM-250"))</f>
        <v/>
      </c>
      <c r="J677">
        <f>IF($A677="","",SUMIFS('Таблиця 1'!$K:$K,'Таблиця 1'!$B:$B,$A677,'Таблиця 1'!$I:$I,"Mirage",'Таблиця 1'!$J:$J,"GBU-39")+SUMIFS('Таблиця 1'!$K:$K,'Таблиця 1'!$B:$B,$A677,'Таблиця 1'!$I:$I,"F-16",'Таблиця 1'!$J:$J,"GBU-39")+SUMIFS('Таблиця 1'!$K:$K,'Таблиця 1'!$B:$B,$A677,'Таблиця 1'!$I:$I,"МіГ-29",'Таблиця 1'!$J:$J,"GBU-39")+SUMIFS('Таблиця 1'!$K:$K,'Таблиця 1'!$B:$B,$A677,'Таблиця 1'!$I:$I,"Су-25",'Таблиця 1'!$J:$J,"GBU-39")+SUMIFS('Таблиця 1'!$K:$K,'Таблиця 1'!$B:$B,$A677,'Таблиця 1'!$I:$I,"Су-27",'Таблиця 1'!$J:$J,"GBU-39"))</f>
        <v/>
      </c>
      <c r="K677">
        <f>IF($A677="","",SUMIFS('Таблиця 1'!$K:$K,'Таблиця 1'!$B:$B,$A677,'Таблиця 1'!$I:$I,"Mirage",'Таблиця 1'!$J:$J,"BLU-140")+SUMIFS('Таблиця 1'!$K:$K,'Таблиця 1'!$B:$B,$A677,'Таблиця 1'!$I:$I,"F-16",'Таблиця 1'!$J:$J,"BLU-140")+SUMIFS('Таблиця 1'!$K:$K,'Таблиця 1'!$B:$B,$A677,'Таблиця 1'!$I:$I,"МіГ-29",'Таблиця 1'!$J:$J,"BLU-140")+SUMIFS('Таблиця 1'!$K:$K,'Таблиця 1'!$B:$B,$A677,'Таблиця 1'!$I:$I,"Су-25",'Таблиця 1'!$J:$J,"BLU-140")+SUMIFS('Таблиця 1'!$K:$K,'Таблиця 1'!$B:$B,$A677,'Таблиця 1'!$I:$I,"Су-27",'Таблиця 1'!$J:$J,"BLU-140"))</f>
        <v/>
      </c>
      <c r="L677">
        <f>IF($A677="","",SUMIFS('Таблиця 1'!$K:$K,'Таблиця 1'!$B:$B,$A677,'Таблиця 1'!$I:$I,"Mirage",'Таблиця 1'!$J:$J,"GBU-65")+SUMIFS('Таблиця 1'!$K:$K,'Таблиця 1'!$B:$B,$A677,'Таблиця 1'!$I:$I,"F-16",'Таблиця 1'!$J:$J,"GBU-65")+SUMIFS('Таблиця 1'!$K:$K,'Таблиця 1'!$B:$B,$A677,'Таблиця 1'!$I:$I,"МіГ-29",'Таблиця 1'!$J:$J,"GBU-65")+SUMIFS('Таблиця 1'!$K:$K,'Таблиця 1'!$B:$B,$A677,'Таблиця 1'!$I:$I,"Су-25",'Таблиця 1'!$J:$J,"GBU-65")+SUMIFS('Таблиця 1'!$K:$K,'Таблиця 1'!$B:$B,$A677,'Таблиця 1'!$I:$I,"Су-27",'Таблиця 1'!$J:$J,"GBU-65"))</f>
        <v/>
      </c>
      <c r="M677">
        <f>IF($A677="","",SUMIFS('Таблиця 1'!$K:$K,'Таблиця 1'!$B:$B,$A677,'Таблиця 1'!$I:$I,"Mirage",'Таблиця 1'!$J:$J,"GBU-62")+SUMIFS('Таблиця 1'!$K:$K,'Таблиця 1'!$B:$B,$A677,'Таблиця 1'!$I:$I,"F-16",'Таблиця 1'!$J:$J,"GBU-62")+SUMIFS('Таблиця 1'!$K:$K,'Таблиця 1'!$B:$B,$A677,'Таблиця 1'!$I:$I,"МіГ-29",'Таблиця 1'!$J:$J,"GBU-62")+SUMIFS('Таблиця 1'!$K:$K,'Таблиця 1'!$B:$B,$A677,'Таблиця 1'!$I:$I,"Су-25",'Таблиця 1'!$J:$J,"GBU-62")+SUMIFS('Таблиця 1'!$K:$K,'Таблиця 1'!$B:$B,$A677,'Таблиця 1'!$I:$I,"Су-27",'Таблиця 1'!$J:$J,"GBU-62"))</f>
        <v/>
      </c>
      <c r="N677">
        <f>IF($A677="","",SUMIFS('Таблиця 1'!$K:$K,'Таблиця 1'!$B:$B,$A677,'Таблиця 1'!$I:$I,"Mirage",'Таблиця 1'!$J:$J,"GBU-64")+SUMIFS('Таблиця 1'!$K:$K,'Таблиця 1'!$B:$B,$A677,'Таблиця 1'!$I:$I,"F-16",'Таблиця 1'!$J:$J,"GBU-64")+SUMIFS('Таблиця 1'!$K:$K,'Таблиця 1'!$B:$B,$A677,'Таблиця 1'!$I:$I,"МіГ-29",'Таблиця 1'!$J:$J,"GBU-64")+SUMIFS('Таблиця 1'!$K:$K,'Таблиця 1'!$B:$B,$A677,'Таблиця 1'!$I:$I,"Су-25",'Таблиця 1'!$J:$J,"GBU-64")+SUMIFS('Таблиця 1'!$K:$K,'Таблиця 1'!$B:$B,$A677,'Таблиця 1'!$I:$I,"Су-27",'Таблиця 1'!$J:$J,"GBU-64"))</f>
        <v/>
      </c>
      <c r="O677">
        <f>IF($A677="","",SUMIFS('Таблиця 1'!$K:$K,'Таблиця 1'!$B:$B,$A677,'Таблиця 1'!$I:$I,"Mirage",'Таблиця 1'!$J:$J,"C-13")+SUMIFS('Таблиця 1'!$K:$K,'Таблиця 1'!$B:$B,$A677,'Таблиця 1'!$I:$I,"F-16",'Таблиця 1'!$J:$J,"C-13")+SUMIFS('Таблиця 1'!$K:$K,'Таблиця 1'!$B:$B,$A677,'Таблиця 1'!$I:$I,"МіГ-29",'Таблиця 1'!$J:$J,"C-13")+SUMIFS('Таблиця 1'!$K:$K,'Таблиця 1'!$B:$B,$A677,'Таблиця 1'!$I:$I,"Су-25",'Таблиця 1'!$J:$J,"C-13")+SUMIFS('Таблиця 1'!$K:$K,'Таблиця 1'!$B:$B,$A677,'Таблиця 1'!$I:$I,"Су-27",'Таблиця 1'!$J:$J,"C-13"))</f>
        <v/>
      </c>
      <c r="P677">
        <f>IF($A677="","",SUMIFS('Таблиця 1'!$K:$K,'Таблиця 1'!$B:$B,$A677,'Таблиця 1'!$I:$I,"Mirage",'Таблиця 1'!$J:$J,"MK-32")+SUMIFS('Таблиця 1'!$K:$K,'Таблиця 1'!$B:$B,$A677,'Таблиця 1'!$I:$I,"F-16",'Таблиця 1'!$J:$J,"MK-32")+SUMIFS('Таблиця 1'!$K:$K,'Таблиця 1'!$B:$B,$A677,'Таблиця 1'!$I:$I,"МіГ-29",'Таблиця 1'!$J:$J,"MK-32")+SUMIFS('Таблиця 1'!$K:$K,'Таблиця 1'!$B:$B,$A677,'Таблиця 1'!$I:$I,"Су-25",'Таблиця 1'!$J:$J,"MK-32")+SUMIFS('Таблиця 1'!$K:$K,'Таблиця 1'!$B:$B,$A677,'Таблиця 1'!$I:$I,"Су-27",'Таблиця 1'!$J:$J,"MK-32"))</f>
        <v/>
      </c>
      <c r="Q677">
        <f>IF($A677="","",SUMIFS('Таблиця 1'!$K:$K,'Таблиця 1'!$B:$B,$A677,'Таблиця 1'!$I:$I,"Mirage",'Таблиця 1'!$J:$J,"MK-24")+SUMIFS('Таблиця 1'!$K:$K,'Таблиця 1'!$B:$B,$A677,'Таблиця 1'!$I:$I,"F-16",'Таблиця 1'!$J:$J,"MK-24")+SUMIFS('Таблиця 1'!$K:$K,'Таблиця 1'!$B:$B,$A677,'Таблиця 1'!$I:$I,"МіГ-29",'Таблиця 1'!$J:$J,"MK-24")+SUMIFS('Таблиця 1'!$K:$K,'Таблиця 1'!$B:$B,$A677,'Таблиця 1'!$I:$I,"Су-25",'Таблиця 1'!$J:$J,"MK-24")+SUMIFS('Таблиця 1'!$K:$K,'Таблиця 1'!$B:$B,$A677,'Таблиця 1'!$I:$I,"Су-27",'Таблиця 1'!$J:$J,"MK-24"))</f>
        <v/>
      </c>
      <c r="R677">
        <f>IF($A677="","",COUNTIFS('Таблиця 1'!$B:$B,$A677,'Таблиця 1'!$I:$I,"Mirage",'Таблиця 1'!$L:$L,"Уражено")+COUNTIFS('Таблиця 1'!$B:$B,$A677,'Таблиця 1'!$I:$I,"F-16",'Таблиця 1'!$L:$L,"Уражено")+COUNTIFS('Таблиця 1'!$B:$B,$A677,'Таблиця 1'!$I:$I,"МіГ-29",'Таблиця 1'!$L:$L,"Уражено")+COUNTIFS('Таблиця 1'!$B:$B,$A677,'Таблиця 1'!$I:$I,"Су-25",'Таблиця 1'!$L:$L,"Уражено")+COUNTIFS('Таблиця 1'!$B:$B,$A677,'Таблиця 1'!$I:$I,"Су-27",'Таблиця 1'!$L:$L,"Уражено"))</f>
        <v/>
      </c>
      <c r="S677">
        <f>IF($A677="","",COUNTIFS('Таблиця 1'!$B:$B,$A677,'Таблиця 1'!$I:$I,"Mirage",'Таблиця 1'!$L:$L,"НЕ уражено")+COUNTIFS('Таблиця 1'!$B:$B,$A677,'Таблиця 1'!$I:$I,"F-16",'Таблиця 1'!$L:$L,"НЕ уражено")+COUNTIFS('Таблиця 1'!$B:$B,$A677,'Таблиця 1'!$I:$I,"МіГ-29",'Таблиця 1'!$L:$L,"НЕ уражено")+COUNTIFS('Таблиця 1'!$B:$B,$A677,'Таблиця 1'!$I:$I,"Су-25",'Таблиця 1'!$L:$L,"НЕ уражено")+COUNTIFS('Таблиця 1'!$B:$B,$A677,'Таблиця 1'!$I:$I,"Су-27",'Таблиця 1'!$L:$L,"НЕ уражено"))</f>
        <v/>
      </c>
      <c r="T677">
        <f>IF($A677="","",COUNTIFS('Таблиця 1'!$B:$B,$A677,'Таблиця 1'!$I:$I,"Mirage",'Таблиця 1'!$L:$L,"Дорозвідується")+COUNTIFS('Таблиця 1'!$B:$B,$A677,'Таблиця 1'!$I:$I,"F-16",'Таблиця 1'!$L:$L,"Дорозвідується")+COUNTIFS('Таблиця 1'!$B:$B,$A677,'Таблиця 1'!$I:$I,"МіГ-29",'Таблиця 1'!$L:$L,"Дорозвідується")+COUNTIFS('Таблиця 1'!$B:$B,$A677,'Таблиця 1'!$I:$I,"Су-25",'Таблиця 1'!$L:$L,"Дорозвідується")+COUNTIFS('Таблиця 1'!$B:$B,$A677,'Таблиця 1'!$I:$I,"Су-27",'Таблиця 1'!$L:$L,"Дорозвідується"))</f>
        <v/>
      </c>
    </row>
    <row r="678">
      <c r="A678" s="273">
        <f>IF(A677="","",IF(A677+1&gt;MAX('Таблиця 1'!$B:$B),"",A677+1))</f>
        <v/>
      </c>
      <c r="B678">
        <f>IF($A678="","",COUNTIFS('Таблиця 1'!$B:$B,$A678,'Таблиця 1'!$I:$I,"Mirage")+COUNTIFS('Таблиця 1'!$B:$B,$A678,'Таблиця 1'!$I:$I,"F-16")+COUNTIFS('Таблиця 1'!$B:$B,$A678,'Таблиця 1'!$I:$I,"МіГ-29")+COUNTIFS('Таблиця 1'!$B:$B,$A678,'Таблиця 1'!$I:$I,"Су-25")+COUNTIFS('Таблиця 1'!$B:$B,$A678,'Таблиця 1'!$I:$I,"Су-27"))</f>
        <v/>
      </c>
      <c r="C678">
        <f>IF($A678="","",COUNTIFS('Таблиця 1'!$B:$B,$A678,'Таблиця 1'!$I:$I,"Mirage"))</f>
        <v/>
      </c>
      <c r="D678">
        <f>IF($A678="","",COUNTIFS('Таблиця 1'!$B:$B,$A678,'Таблиця 1'!$I:$I,"F-16"))</f>
        <v/>
      </c>
      <c r="E678">
        <f>IF($A678="","",COUNTIFS('Таблиця 1'!$B:$B,$A678,'Таблиця 1'!$I:$I,"МіГ-29"))</f>
        <v/>
      </c>
      <c r="F678">
        <f>IF($A678="","",COUNTIFS('Таблиця 1'!$B:$B,$A678,'Таблиця 1'!$I:$I,"Су-25"))</f>
        <v/>
      </c>
      <c r="G678">
        <f>IF($A678="","",COUNTIFS('Таблиця 1'!$B:$B,$A678,'Таблиця 1'!$I:$I,"Су-27"))</f>
        <v/>
      </c>
      <c r="H678">
        <f>IF($A678="","",SUMIFS('Таблиця 1'!$K:$K,'Таблиця 1'!$B:$B,$A678,'Таблиця 1'!$I:$I,"Mirage",'Таблиця 1'!$J:$J,"AGM-88")+SUMIFS('Таблиця 1'!$K:$K,'Таблиця 1'!$B:$B,$A678,'Таблиця 1'!$I:$I,"F-16",'Таблиця 1'!$J:$J,"AGM-88")+SUMIFS('Таблиця 1'!$K:$K,'Таблиця 1'!$B:$B,$A678,'Таблиця 1'!$I:$I,"МіГ-29",'Таблиця 1'!$J:$J,"AGM-88")+SUMIFS('Таблиця 1'!$K:$K,'Таблиця 1'!$B:$B,$A678,'Таблиця 1'!$I:$I,"Су-25",'Таблиця 1'!$J:$J,"AGM-88")+SUMIFS('Таблиця 1'!$K:$K,'Таблиця 1'!$B:$B,$A678,'Таблиця 1'!$I:$I,"Су-27",'Таблиця 1'!$J:$J,"AGM-88"))</f>
        <v/>
      </c>
      <c r="I678">
        <f>IF($A678="","",SUMIFS('Таблиця 1'!$K:$K,'Таблиця 1'!$B:$B,$A678,'Таблиця 1'!$I:$I,"Mirage",'Таблиця 1'!$J:$J,"AASM-250")+SUMIFS('Таблиця 1'!$K:$K,'Таблиця 1'!$B:$B,$A678,'Таблиця 1'!$I:$I,"F-16",'Таблиця 1'!$J:$J,"AASM-250")+SUMIFS('Таблиця 1'!$K:$K,'Таблиця 1'!$B:$B,$A678,'Таблиця 1'!$I:$I,"МіГ-29",'Таблиця 1'!$J:$J,"AASM-250")+SUMIFS('Таблиця 1'!$K:$K,'Таблиця 1'!$B:$B,$A678,'Таблиця 1'!$I:$I,"Су-25",'Таблиця 1'!$J:$J,"AASM-250")+SUMIFS('Таблиця 1'!$K:$K,'Таблиця 1'!$B:$B,$A678,'Таблиця 1'!$I:$I,"Су-27",'Таблиця 1'!$J:$J,"AASM-250"))</f>
        <v/>
      </c>
      <c r="J678">
        <f>IF($A678="","",SUMIFS('Таблиця 1'!$K:$K,'Таблиця 1'!$B:$B,$A678,'Таблиця 1'!$I:$I,"Mirage",'Таблиця 1'!$J:$J,"GBU-39")+SUMIFS('Таблиця 1'!$K:$K,'Таблиця 1'!$B:$B,$A678,'Таблиця 1'!$I:$I,"F-16",'Таблиця 1'!$J:$J,"GBU-39")+SUMIFS('Таблиця 1'!$K:$K,'Таблиця 1'!$B:$B,$A678,'Таблиця 1'!$I:$I,"МіГ-29",'Таблиця 1'!$J:$J,"GBU-39")+SUMIFS('Таблиця 1'!$K:$K,'Таблиця 1'!$B:$B,$A678,'Таблиця 1'!$I:$I,"Су-25",'Таблиця 1'!$J:$J,"GBU-39")+SUMIFS('Таблиця 1'!$K:$K,'Таблиця 1'!$B:$B,$A678,'Таблиця 1'!$I:$I,"Су-27",'Таблиця 1'!$J:$J,"GBU-39"))</f>
        <v/>
      </c>
      <c r="K678">
        <f>IF($A678="","",SUMIFS('Таблиця 1'!$K:$K,'Таблиця 1'!$B:$B,$A678,'Таблиця 1'!$I:$I,"Mirage",'Таблиця 1'!$J:$J,"BLU-140")+SUMIFS('Таблиця 1'!$K:$K,'Таблиця 1'!$B:$B,$A678,'Таблиця 1'!$I:$I,"F-16",'Таблиця 1'!$J:$J,"BLU-140")+SUMIFS('Таблиця 1'!$K:$K,'Таблиця 1'!$B:$B,$A678,'Таблиця 1'!$I:$I,"МіГ-29",'Таблиця 1'!$J:$J,"BLU-140")+SUMIFS('Таблиця 1'!$K:$K,'Таблиця 1'!$B:$B,$A678,'Таблиця 1'!$I:$I,"Су-25",'Таблиця 1'!$J:$J,"BLU-140")+SUMIFS('Таблиця 1'!$K:$K,'Таблиця 1'!$B:$B,$A678,'Таблиця 1'!$I:$I,"Су-27",'Таблиця 1'!$J:$J,"BLU-140"))</f>
        <v/>
      </c>
      <c r="L678">
        <f>IF($A678="","",SUMIFS('Таблиця 1'!$K:$K,'Таблиця 1'!$B:$B,$A678,'Таблиця 1'!$I:$I,"Mirage",'Таблиця 1'!$J:$J,"GBU-65")+SUMIFS('Таблиця 1'!$K:$K,'Таблиця 1'!$B:$B,$A678,'Таблиця 1'!$I:$I,"F-16",'Таблиця 1'!$J:$J,"GBU-65")+SUMIFS('Таблиця 1'!$K:$K,'Таблиця 1'!$B:$B,$A678,'Таблиця 1'!$I:$I,"МіГ-29",'Таблиця 1'!$J:$J,"GBU-65")+SUMIFS('Таблиця 1'!$K:$K,'Таблиця 1'!$B:$B,$A678,'Таблиця 1'!$I:$I,"Су-25",'Таблиця 1'!$J:$J,"GBU-65")+SUMIFS('Таблиця 1'!$K:$K,'Таблиця 1'!$B:$B,$A678,'Таблиця 1'!$I:$I,"Су-27",'Таблиця 1'!$J:$J,"GBU-65"))</f>
        <v/>
      </c>
      <c r="M678">
        <f>IF($A678="","",SUMIFS('Таблиця 1'!$K:$K,'Таблиця 1'!$B:$B,$A678,'Таблиця 1'!$I:$I,"Mirage",'Таблиця 1'!$J:$J,"GBU-62")+SUMIFS('Таблиця 1'!$K:$K,'Таблиця 1'!$B:$B,$A678,'Таблиця 1'!$I:$I,"F-16",'Таблиця 1'!$J:$J,"GBU-62")+SUMIFS('Таблиця 1'!$K:$K,'Таблиця 1'!$B:$B,$A678,'Таблиця 1'!$I:$I,"МіГ-29",'Таблиця 1'!$J:$J,"GBU-62")+SUMIFS('Таблиця 1'!$K:$K,'Таблиця 1'!$B:$B,$A678,'Таблиця 1'!$I:$I,"Су-25",'Таблиця 1'!$J:$J,"GBU-62")+SUMIFS('Таблиця 1'!$K:$K,'Таблиця 1'!$B:$B,$A678,'Таблиця 1'!$I:$I,"Су-27",'Таблиця 1'!$J:$J,"GBU-62"))</f>
        <v/>
      </c>
      <c r="N678">
        <f>IF($A678="","",SUMIFS('Таблиця 1'!$K:$K,'Таблиця 1'!$B:$B,$A678,'Таблиця 1'!$I:$I,"Mirage",'Таблиця 1'!$J:$J,"GBU-64")+SUMIFS('Таблиця 1'!$K:$K,'Таблиця 1'!$B:$B,$A678,'Таблиця 1'!$I:$I,"F-16",'Таблиця 1'!$J:$J,"GBU-64")+SUMIFS('Таблиця 1'!$K:$K,'Таблиця 1'!$B:$B,$A678,'Таблиця 1'!$I:$I,"МіГ-29",'Таблиця 1'!$J:$J,"GBU-64")+SUMIFS('Таблиця 1'!$K:$K,'Таблиця 1'!$B:$B,$A678,'Таблиця 1'!$I:$I,"Су-25",'Таблиця 1'!$J:$J,"GBU-64")+SUMIFS('Таблиця 1'!$K:$K,'Таблиця 1'!$B:$B,$A678,'Таблиця 1'!$I:$I,"Су-27",'Таблиця 1'!$J:$J,"GBU-64"))</f>
        <v/>
      </c>
      <c r="O678">
        <f>IF($A678="","",SUMIFS('Таблиця 1'!$K:$K,'Таблиця 1'!$B:$B,$A678,'Таблиця 1'!$I:$I,"Mirage",'Таблиця 1'!$J:$J,"C-13")+SUMIFS('Таблиця 1'!$K:$K,'Таблиця 1'!$B:$B,$A678,'Таблиця 1'!$I:$I,"F-16",'Таблиця 1'!$J:$J,"C-13")+SUMIFS('Таблиця 1'!$K:$K,'Таблиця 1'!$B:$B,$A678,'Таблиця 1'!$I:$I,"МіГ-29",'Таблиця 1'!$J:$J,"C-13")+SUMIFS('Таблиця 1'!$K:$K,'Таблиця 1'!$B:$B,$A678,'Таблиця 1'!$I:$I,"Су-25",'Таблиця 1'!$J:$J,"C-13")+SUMIFS('Таблиця 1'!$K:$K,'Таблиця 1'!$B:$B,$A678,'Таблиця 1'!$I:$I,"Су-27",'Таблиця 1'!$J:$J,"C-13"))</f>
        <v/>
      </c>
      <c r="P678">
        <f>IF($A678="","",SUMIFS('Таблиця 1'!$K:$K,'Таблиця 1'!$B:$B,$A678,'Таблиця 1'!$I:$I,"Mirage",'Таблиця 1'!$J:$J,"MK-32")+SUMIFS('Таблиця 1'!$K:$K,'Таблиця 1'!$B:$B,$A678,'Таблиця 1'!$I:$I,"F-16",'Таблиця 1'!$J:$J,"MK-32")+SUMIFS('Таблиця 1'!$K:$K,'Таблиця 1'!$B:$B,$A678,'Таблиця 1'!$I:$I,"МіГ-29",'Таблиця 1'!$J:$J,"MK-32")+SUMIFS('Таблиця 1'!$K:$K,'Таблиця 1'!$B:$B,$A678,'Таблиця 1'!$I:$I,"Су-25",'Таблиця 1'!$J:$J,"MK-32")+SUMIFS('Таблиця 1'!$K:$K,'Таблиця 1'!$B:$B,$A678,'Таблиця 1'!$I:$I,"Су-27",'Таблиця 1'!$J:$J,"MK-32"))</f>
        <v/>
      </c>
      <c r="Q678">
        <f>IF($A678="","",SUMIFS('Таблиця 1'!$K:$K,'Таблиця 1'!$B:$B,$A678,'Таблиця 1'!$I:$I,"Mirage",'Таблиця 1'!$J:$J,"MK-24")+SUMIFS('Таблиця 1'!$K:$K,'Таблиця 1'!$B:$B,$A678,'Таблиця 1'!$I:$I,"F-16",'Таблиця 1'!$J:$J,"MK-24")+SUMIFS('Таблиця 1'!$K:$K,'Таблиця 1'!$B:$B,$A678,'Таблиця 1'!$I:$I,"МіГ-29",'Таблиця 1'!$J:$J,"MK-24")+SUMIFS('Таблиця 1'!$K:$K,'Таблиця 1'!$B:$B,$A678,'Таблиця 1'!$I:$I,"Су-25",'Таблиця 1'!$J:$J,"MK-24")+SUMIFS('Таблиця 1'!$K:$K,'Таблиця 1'!$B:$B,$A678,'Таблиця 1'!$I:$I,"Су-27",'Таблиця 1'!$J:$J,"MK-24"))</f>
        <v/>
      </c>
      <c r="R678">
        <f>IF($A678="","",COUNTIFS('Таблиця 1'!$B:$B,$A678,'Таблиця 1'!$I:$I,"Mirage",'Таблиця 1'!$L:$L,"Уражено")+COUNTIFS('Таблиця 1'!$B:$B,$A678,'Таблиця 1'!$I:$I,"F-16",'Таблиця 1'!$L:$L,"Уражено")+COUNTIFS('Таблиця 1'!$B:$B,$A678,'Таблиця 1'!$I:$I,"МіГ-29",'Таблиця 1'!$L:$L,"Уражено")+COUNTIFS('Таблиця 1'!$B:$B,$A678,'Таблиця 1'!$I:$I,"Су-25",'Таблиця 1'!$L:$L,"Уражено")+COUNTIFS('Таблиця 1'!$B:$B,$A678,'Таблиця 1'!$I:$I,"Су-27",'Таблиця 1'!$L:$L,"Уражено"))</f>
        <v/>
      </c>
      <c r="S678">
        <f>IF($A678="","",COUNTIFS('Таблиця 1'!$B:$B,$A678,'Таблиця 1'!$I:$I,"Mirage",'Таблиця 1'!$L:$L,"НЕ уражено")+COUNTIFS('Таблиця 1'!$B:$B,$A678,'Таблиця 1'!$I:$I,"F-16",'Таблиця 1'!$L:$L,"НЕ уражено")+COUNTIFS('Таблиця 1'!$B:$B,$A678,'Таблиця 1'!$I:$I,"МіГ-29",'Таблиця 1'!$L:$L,"НЕ уражено")+COUNTIFS('Таблиця 1'!$B:$B,$A678,'Таблиця 1'!$I:$I,"Су-25",'Таблиця 1'!$L:$L,"НЕ уражено")+COUNTIFS('Таблиця 1'!$B:$B,$A678,'Таблиця 1'!$I:$I,"Су-27",'Таблиця 1'!$L:$L,"НЕ уражено"))</f>
        <v/>
      </c>
      <c r="T678">
        <f>IF($A678="","",COUNTIFS('Таблиця 1'!$B:$B,$A678,'Таблиця 1'!$I:$I,"Mirage",'Таблиця 1'!$L:$L,"Дорозвідується")+COUNTIFS('Таблиця 1'!$B:$B,$A678,'Таблиця 1'!$I:$I,"F-16",'Таблиця 1'!$L:$L,"Дорозвідується")+COUNTIFS('Таблиця 1'!$B:$B,$A678,'Таблиця 1'!$I:$I,"МіГ-29",'Таблиця 1'!$L:$L,"Дорозвідується")+COUNTIFS('Таблиця 1'!$B:$B,$A678,'Таблиця 1'!$I:$I,"Су-25",'Таблиця 1'!$L:$L,"Дорозвідується")+COUNTIFS('Таблиця 1'!$B:$B,$A678,'Таблиця 1'!$I:$I,"Су-27",'Таблиця 1'!$L:$L,"Дорозвідується"))</f>
        <v/>
      </c>
    </row>
    <row r="679">
      <c r="A679" s="273">
        <f>IF(A678="","",IF(A678+1&gt;MAX('Таблиця 1'!$B:$B),"",A678+1))</f>
        <v/>
      </c>
      <c r="B679">
        <f>IF($A679="","",COUNTIFS('Таблиця 1'!$B:$B,$A679,'Таблиця 1'!$I:$I,"Mirage")+COUNTIFS('Таблиця 1'!$B:$B,$A679,'Таблиця 1'!$I:$I,"F-16")+COUNTIFS('Таблиця 1'!$B:$B,$A679,'Таблиця 1'!$I:$I,"МіГ-29")+COUNTIFS('Таблиця 1'!$B:$B,$A679,'Таблиця 1'!$I:$I,"Су-25")+COUNTIFS('Таблиця 1'!$B:$B,$A679,'Таблиця 1'!$I:$I,"Су-27"))</f>
        <v/>
      </c>
      <c r="C679">
        <f>IF($A679="","",COUNTIFS('Таблиця 1'!$B:$B,$A679,'Таблиця 1'!$I:$I,"Mirage"))</f>
        <v/>
      </c>
      <c r="D679">
        <f>IF($A679="","",COUNTIFS('Таблиця 1'!$B:$B,$A679,'Таблиця 1'!$I:$I,"F-16"))</f>
        <v/>
      </c>
      <c r="E679">
        <f>IF($A679="","",COUNTIFS('Таблиця 1'!$B:$B,$A679,'Таблиця 1'!$I:$I,"МіГ-29"))</f>
        <v/>
      </c>
      <c r="F679">
        <f>IF($A679="","",COUNTIFS('Таблиця 1'!$B:$B,$A679,'Таблиця 1'!$I:$I,"Су-25"))</f>
        <v/>
      </c>
      <c r="G679">
        <f>IF($A679="","",COUNTIFS('Таблиця 1'!$B:$B,$A679,'Таблиця 1'!$I:$I,"Су-27"))</f>
        <v/>
      </c>
      <c r="H679">
        <f>IF($A679="","",SUMIFS('Таблиця 1'!$K:$K,'Таблиця 1'!$B:$B,$A679,'Таблиця 1'!$I:$I,"Mirage",'Таблиця 1'!$J:$J,"AGM-88")+SUMIFS('Таблиця 1'!$K:$K,'Таблиця 1'!$B:$B,$A679,'Таблиця 1'!$I:$I,"F-16",'Таблиця 1'!$J:$J,"AGM-88")+SUMIFS('Таблиця 1'!$K:$K,'Таблиця 1'!$B:$B,$A679,'Таблиця 1'!$I:$I,"МіГ-29",'Таблиця 1'!$J:$J,"AGM-88")+SUMIFS('Таблиця 1'!$K:$K,'Таблиця 1'!$B:$B,$A679,'Таблиця 1'!$I:$I,"Су-25",'Таблиця 1'!$J:$J,"AGM-88")+SUMIFS('Таблиця 1'!$K:$K,'Таблиця 1'!$B:$B,$A679,'Таблиця 1'!$I:$I,"Су-27",'Таблиця 1'!$J:$J,"AGM-88"))</f>
        <v/>
      </c>
      <c r="I679">
        <f>IF($A679="","",SUMIFS('Таблиця 1'!$K:$K,'Таблиця 1'!$B:$B,$A679,'Таблиця 1'!$I:$I,"Mirage",'Таблиця 1'!$J:$J,"AASM-250")+SUMIFS('Таблиця 1'!$K:$K,'Таблиця 1'!$B:$B,$A679,'Таблиця 1'!$I:$I,"F-16",'Таблиця 1'!$J:$J,"AASM-250")+SUMIFS('Таблиця 1'!$K:$K,'Таблиця 1'!$B:$B,$A679,'Таблиця 1'!$I:$I,"МіГ-29",'Таблиця 1'!$J:$J,"AASM-250")+SUMIFS('Таблиця 1'!$K:$K,'Таблиця 1'!$B:$B,$A679,'Таблиця 1'!$I:$I,"Су-25",'Таблиця 1'!$J:$J,"AASM-250")+SUMIFS('Таблиця 1'!$K:$K,'Таблиця 1'!$B:$B,$A679,'Таблиця 1'!$I:$I,"Су-27",'Таблиця 1'!$J:$J,"AASM-250"))</f>
        <v/>
      </c>
      <c r="J679">
        <f>IF($A679="","",SUMIFS('Таблиця 1'!$K:$K,'Таблиця 1'!$B:$B,$A679,'Таблиця 1'!$I:$I,"Mirage",'Таблиця 1'!$J:$J,"GBU-39")+SUMIFS('Таблиця 1'!$K:$K,'Таблиця 1'!$B:$B,$A679,'Таблиця 1'!$I:$I,"F-16",'Таблиця 1'!$J:$J,"GBU-39")+SUMIFS('Таблиця 1'!$K:$K,'Таблиця 1'!$B:$B,$A679,'Таблиця 1'!$I:$I,"МіГ-29",'Таблиця 1'!$J:$J,"GBU-39")+SUMIFS('Таблиця 1'!$K:$K,'Таблиця 1'!$B:$B,$A679,'Таблиця 1'!$I:$I,"Су-25",'Таблиця 1'!$J:$J,"GBU-39")+SUMIFS('Таблиця 1'!$K:$K,'Таблиця 1'!$B:$B,$A679,'Таблиця 1'!$I:$I,"Су-27",'Таблиця 1'!$J:$J,"GBU-39"))</f>
        <v/>
      </c>
      <c r="K679">
        <f>IF($A679="","",SUMIFS('Таблиця 1'!$K:$K,'Таблиця 1'!$B:$B,$A679,'Таблиця 1'!$I:$I,"Mirage",'Таблиця 1'!$J:$J,"BLU-140")+SUMIFS('Таблиця 1'!$K:$K,'Таблиця 1'!$B:$B,$A679,'Таблиця 1'!$I:$I,"F-16",'Таблиця 1'!$J:$J,"BLU-140")+SUMIFS('Таблиця 1'!$K:$K,'Таблиця 1'!$B:$B,$A679,'Таблиця 1'!$I:$I,"МіГ-29",'Таблиця 1'!$J:$J,"BLU-140")+SUMIFS('Таблиця 1'!$K:$K,'Таблиця 1'!$B:$B,$A679,'Таблиця 1'!$I:$I,"Су-25",'Таблиця 1'!$J:$J,"BLU-140")+SUMIFS('Таблиця 1'!$K:$K,'Таблиця 1'!$B:$B,$A679,'Таблиця 1'!$I:$I,"Су-27",'Таблиця 1'!$J:$J,"BLU-140"))</f>
        <v/>
      </c>
      <c r="L679">
        <f>IF($A679="","",SUMIFS('Таблиця 1'!$K:$K,'Таблиця 1'!$B:$B,$A679,'Таблиця 1'!$I:$I,"Mirage",'Таблиця 1'!$J:$J,"GBU-65")+SUMIFS('Таблиця 1'!$K:$K,'Таблиця 1'!$B:$B,$A679,'Таблиця 1'!$I:$I,"F-16",'Таблиця 1'!$J:$J,"GBU-65")+SUMIFS('Таблиця 1'!$K:$K,'Таблиця 1'!$B:$B,$A679,'Таблиця 1'!$I:$I,"МіГ-29",'Таблиця 1'!$J:$J,"GBU-65")+SUMIFS('Таблиця 1'!$K:$K,'Таблиця 1'!$B:$B,$A679,'Таблиця 1'!$I:$I,"Су-25",'Таблиця 1'!$J:$J,"GBU-65")+SUMIFS('Таблиця 1'!$K:$K,'Таблиця 1'!$B:$B,$A679,'Таблиця 1'!$I:$I,"Су-27",'Таблиця 1'!$J:$J,"GBU-65"))</f>
        <v/>
      </c>
      <c r="M679">
        <f>IF($A679="","",SUMIFS('Таблиця 1'!$K:$K,'Таблиця 1'!$B:$B,$A679,'Таблиця 1'!$I:$I,"Mirage",'Таблиця 1'!$J:$J,"GBU-62")+SUMIFS('Таблиця 1'!$K:$K,'Таблиця 1'!$B:$B,$A679,'Таблиця 1'!$I:$I,"F-16",'Таблиця 1'!$J:$J,"GBU-62")+SUMIFS('Таблиця 1'!$K:$K,'Таблиця 1'!$B:$B,$A679,'Таблиця 1'!$I:$I,"МіГ-29",'Таблиця 1'!$J:$J,"GBU-62")+SUMIFS('Таблиця 1'!$K:$K,'Таблиця 1'!$B:$B,$A679,'Таблиця 1'!$I:$I,"Су-25",'Таблиця 1'!$J:$J,"GBU-62")+SUMIFS('Таблиця 1'!$K:$K,'Таблиця 1'!$B:$B,$A679,'Таблиця 1'!$I:$I,"Су-27",'Таблиця 1'!$J:$J,"GBU-62"))</f>
        <v/>
      </c>
      <c r="N679">
        <f>IF($A679="","",SUMIFS('Таблиця 1'!$K:$K,'Таблиця 1'!$B:$B,$A679,'Таблиця 1'!$I:$I,"Mirage",'Таблиця 1'!$J:$J,"GBU-64")+SUMIFS('Таблиця 1'!$K:$K,'Таблиця 1'!$B:$B,$A679,'Таблиця 1'!$I:$I,"F-16",'Таблиця 1'!$J:$J,"GBU-64")+SUMIFS('Таблиця 1'!$K:$K,'Таблиця 1'!$B:$B,$A679,'Таблиця 1'!$I:$I,"МіГ-29",'Таблиця 1'!$J:$J,"GBU-64")+SUMIFS('Таблиця 1'!$K:$K,'Таблиця 1'!$B:$B,$A679,'Таблиця 1'!$I:$I,"Су-25",'Таблиця 1'!$J:$J,"GBU-64")+SUMIFS('Таблиця 1'!$K:$K,'Таблиця 1'!$B:$B,$A679,'Таблиця 1'!$I:$I,"Су-27",'Таблиця 1'!$J:$J,"GBU-64"))</f>
        <v/>
      </c>
      <c r="O679">
        <f>IF($A679="","",SUMIFS('Таблиця 1'!$K:$K,'Таблиця 1'!$B:$B,$A679,'Таблиця 1'!$I:$I,"Mirage",'Таблиця 1'!$J:$J,"C-13")+SUMIFS('Таблиця 1'!$K:$K,'Таблиця 1'!$B:$B,$A679,'Таблиця 1'!$I:$I,"F-16",'Таблиця 1'!$J:$J,"C-13")+SUMIFS('Таблиця 1'!$K:$K,'Таблиця 1'!$B:$B,$A679,'Таблиця 1'!$I:$I,"МіГ-29",'Таблиця 1'!$J:$J,"C-13")+SUMIFS('Таблиця 1'!$K:$K,'Таблиця 1'!$B:$B,$A679,'Таблиця 1'!$I:$I,"Су-25",'Таблиця 1'!$J:$J,"C-13")+SUMIFS('Таблиця 1'!$K:$K,'Таблиця 1'!$B:$B,$A679,'Таблиця 1'!$I:$I,"Су-27",'Таблиця 1'!$J:$J,"C-13"))</f>
        <v/>
      </c>
      <c r="P679">
        <f>IF($A679="","",SUMIFS('Таблиця 1'!$K:$K,'Таблиця 1'!$B:$B,$A679,'Таблиця 1'!$I:$I,"Mirage",'Таблиця 1'!$J:$J,"MK-32")+SUMIFS('Таблиця 1'!$K:$K,'Таблиця 1'!$B:$B,$A679,'Таблиця 1'!$I:$I,"F-16",'Таблиця 1'!$J:$J,"MK-32")+SUMIFS('Таблиця 1'!$K:$K,'Таблиця 1'!$B:$B,$A679,'Таблиця 1'!$I:$I,"МіГ-29",'Таблиця 1'!$J:$J,"MK-32")+SUMIFS('Таблиця 1'!$K:$K,'Таблиця 1'!$B:$B,$A679,'Таблиця 1'!$I:$I,"Су-25",'Таблиця 1'!$J:$J,"MK-32")+SUMIFS('Таблиця 1'!$K:$K,'Таблиця 1'!$B:$B,$A679,'Таблиця 1'!$I:$I,"Су-27",'Таблиця 1'!$J:$J,"MK-32"))</f>
        <v/>
      </c>
      <c r="Q679">
        <f>IF($A679="","",SUMIFS('Таблиця 1'!$K:$K,'Таблиця 1'!$B:$B,$A679,'Таблиця 1'!$I:$I,"Mirage",'Таблиця 1'!$J:$J,"MK-24")+SUMIFS('Таблиця 1'!$K:$K,'Таблиця 1'!$B:$B,$A679,'Таблиця 1'!$I:$I,"F-16",'Таблиця 1'!$J:$J,"MK-24")+SUMIFS('Таблиця 1'!$K:$K,'Таблиця 1'!$B:$B,$A679,'Таблиця 1'!$I:$I,"МіГ-29",'Таблиця 1'!$J:$J,"MK-24")+SUMIFS('Таблиця 1'!$K:$K,'Таблиця 1'!$B:$B,$A679,'Таблиця 1'!$I:$I,"Су-25",'Таблиця 1'!$J:$J,"MK-24")+SUMIFS('Таблиця 1'!$K:$K,'Таблиця 1'!$B:$B,$A679,'Таблиця 1'!$I:$I,"Су-27",'Таблиця 1'!$J:$J,"MK-24"))</f>
        <v/>
      </c>
      <c r="R679">
        <f>IF($A679="","",COUNTIFS('Таблиця 1'!$B:$B,$A679,'Таблиця 1'!$I:$I,"Mirage",'Таблиця 1'!$L:$L,"Уражено")+COUNTIFS('Таблиця 1'!$B:$B,$A679,'Таблиця 1'!$I:$I,"F-16",'Таблиця 1'!$L:$L,"Уражено")+COUNTIFS('Таблиця 1'!$B:$B,$A679,'Таблиця 1'!$I:$I,"МіГ-29",'Таблиця 1'!$L:$L,"Уражено")+COUNTIFS('Таблиця 1'!$B:$B,$A679,'Таблиця 1'!$I:$I,"Су-25",'Таблиця 1'!$L:$L,"Уражено")+COUNTIFS('Таблиця 1'!$B:$B,$A679,'Таблиця 1'!$I:$I,"Су-27",'Таблиця 1'!$L:$L,"Уражено"))</f>
        <v/>
      </c>
      <c r="S679">
        <f>IF($A679="","",COUNTIFS('Таблиця 1'!$B:$B,$A679,'Таблиця 1'!$I:$I,"Mirage",'Таблиця 1'!$L:$L,"НЕ уражено")+COUNTIFS('Таблиця 1'!$B:$B,$A679,'Таблиця 1'!$I:$I,"F-16",'Таблиця 1'!$L:$L,"НЕ уражено")+COUNTIFS('Таблиця 1'!$B:$B,$A679,'Таблиця 1'!$I:$I,"МіГ-29",'Таблиця 1'!$L:$L,"НЕ уражено")+COUNTIFS('Таблиця 1'!$B:$B,$A679,'Таблиця 1'!$I:$I,"Су-25",'Таблиця 1'!$L:$L,"НЕ уражено")+COUNTIFS('Таблиця 1'!$B:$B,$A679,'Таблиця 1'!$I:$I,"Су-27",'Таблиця 1'!$L:$L,"НЕ уражено"))</f>
        <v/>
      </c>
      <c r="T679">
        <f>IF($A679="","",COUNTIFS('Таблиця 1'!$B:$B,$A679,'Таблиця 1'!$I:$I,"Mirage",'Таблиця 1'!$L:$L,"Дорозвідується")+COUNTIFS('Таблиця 1'!$B:$B,$A679,'Таблиця 1'!$I:$I,"F-16",'Таблиця 1'!$L:$L,"Дорозвідується")+COUNTIFS('Таблиця 1'!$B:$B,$A679,'Таблиця 1'!$I:$I,"МіГ-29",'Таблиця 1'!$L:$L,"Дорозвідується")+COUNTIFS('Таблиця 1'!$B:$B,$A679,'Таблиця 1'!$I:$I,"Су-25",'Таблиця 1'!$L:$L,"Дорозвідується")+COUNTIFS('Таблиця 1'!$B:$B,$A679,'Таблиця 1'!$I:$I,"Су-27",'Таблиця 1'!$L:$L,"Дорозвідується"))</f>
        <v/>
      </c>
    </row>
    <row r="680">
      <c r="A680" s="273">
        <f>IF(A679="","",IF(A679+1&gt;MAX('Таблиця 1'!$B:$B),"",A679+1))</f>
        <v/>
      </c>
      <c r="B680">
        <f>IF($A680="","",COUNTIFS('Таблиця 1'!$B:$B,$A680,'Таблиця 1'!$I:$I,"Mirage")+COUNTIFS('Таблиця 1'!$B:$B,$A680,'Таблиця 1'!$I:$I,"F-16")+COUNTIFS('Таблиця 1'!$B:$B,$A680,'Таблиця 1'!$I:$I,"МіГ-29")+COUNTIFS('Таблиця 1'!$B:$B,$A680,'Таблиця 1'!$I:$I,"Су-25")+COUNTIFS('Таблиця 1'!$B:$B,$A680,'Таблиця 1'!$I:$I,"Су-27"))</f>
        <v/>
      </c>
      <c r="C680">
        <f>IF($A680="","",COUNTIFS('Таблиця 1'!$B:$B,$A680,'Таблиця 1'!$I:$I,"Mirage"))</f>
        <v/>
      </c>
      <c r="D680">
        <f>IF($A680="","",COUNTIFS('Таблиця 1'!$B:$B,$A680,'Таблиця 1'!$I:$I,"F-16"))</f>
        <v/>
      </c>
      <c r="E680">
        <f>IF($A680="","",COUNTIFS('Таблиця 1'!$B:$B,$A680,'Таблиця 1'!$I:$I,"МіГ-29"))</f>
        <v/>
      </c>
      <c r="F680">
        <f>IF($A680="","",COUNTIFS('Таблиця 1'!$B:$B,$A680,'Таблиця 1'!$I:$I,"Су-25"))</f>
        <v/>
      </c>
      <c r="G680">
        <f>IF($A680="","",COUNTIFS('Таблиця 1'!$B:$B,$A680,'Таблиця 1'!$I:$I,"Су-27"))</f>
        <v/>
      </c>
      <c r="H680">
        <f>IF($A680="","",SUMIFS('Таблиця 1'!$K:$K,'Таблиця 1'!$B:$B,$A680,'Таблиця 1'!$I:$I,"Mirage",'Таблиця 1'!$J:$J,"AGM-88")+SUMIFS('Таблиця 1'!$K:$K,'Таблиця 1'!$B:$B,$A680,'Таблиця 1'!$I:$I,"F-16",'Таблиця 1'!$J:$J,"AGM-88")+SUMIFS('Таблиця 1'!$K:$K,'Таблиця 1'!$B:$B,$A680,'Таблиця 1'!$I:$I,"МіГ-29",'Таблиця 1'!$J:$J,"AGM-88")+SUMIFS('Таблиця 1'!$K:$K,'Таблиця 1'!$B:$B,$A680,'Таблиця 1'!$I:$I,"Су-25",'Таблиця 1'!$J:$J,"AGM-88")+SUMIFS('Таблиця 1'!$K:$K,'Таблиця 1'!$B:$B,$A680,'Таблиця 1'!$I:$I,"Су-27",'Таблиця 1'!$J:$J,"AGM-88"))</f>
        <v/>
      </c>
      <c r="I680">
        <f>IF($A680="","",SUMIFS('Таблиця 1'!$K:$K,'Таблиця 1'!$B:$B,$A680,'Таблиця 1'!$I:$I,"Mirage",'Таблиця 1'!$J:$J,"AASM-250")+SUMIFS('Таблиця 1'!$K:$K,'Таблиця 1'!$B:$B,$A680,'Таблиця 1'!$I:$I,"F-16",'Таблиця 1'!$J:$J,"AASM-250")+SUMIFS('Таблиця 1'!$K:$K,'Таблиця 1'!$B:$B,$A680,'Таблиця 1'!$I:$I,"МіГ-29",'Таблиця 1'!$J:$J,"AASM-250")+SUMIFS('Таблиця 1'!$K:$K,'Таблиця 1'!$B:$B,$A680,'Таблиця 1'!$I:$I,"Су-25",'Таблиця 1'!$J:$J,"AASM-250")+SUMIFS('Таблиця 1'!$K:$K,'Таблиця 1'!$B:$B,$A680,'Таблиця 1'!$I:$I,"Су-27",'Таблиця 1'!$J:$J,"AASM-250"))</f>
        <v/>
      </c>
      <c r="J680">
        <f>IF($A680="","",SUMIFS('Таблиця 1'!$K:$K,'Таблиця 1'!$B:$B,$A680,'Таблиця 1'!$I:$I,"Mirage",'Таблиця 1'!$J:$J,"GBU-39")+SUMIFS('Таблиця 1'!$K:$K,'Таблиця 1'!$B:$B,$A680,'Таблиця 1'!$I:$I,"F-16",'Таблиця 1'!$J:$J,"GBU-39")+SUMIFS('Таблиця 1'!$K:$K,'Таблиця 1'!$B:$B,$A680,'Таблиця 1'!$I:$I,"МіГ-29",'Таблиця 1'!$J:$J,"GBU-39")+SUMIFS('Таблиця 1'!$K:$K,'Таблиця 1'!$B:$B,$A680,'Таблиця 1'!$I:$I,"Су-25",'Таблиця 1'!$J:$J,"GBU-39")+SUMIFS('Таблиця 1'!$K:$K,'Таблиця 1'!$B:$B,$A680,'Таблиця 1'!$I:$I,"Су-27",'Таблиця 1'!$J:$J,"GBU-39"))</f>
        <v/>
      </c>
      <c r="K680">
        <f>IF($A680="","",SUMIFS('Таблиця 1'!$K:$K,'Таблиця 1'!$B:$B,$A680,'Таблиця 1'!$I:$I,"Mirage",'Таблиця 1'!$J:$J,"BLU-140")+SUMIFS('Таблиця 1'!$K:$K,'Таблиця 1'!$B:$B,$A680,'Таблиця 1'!$I:$I,"F-16",'Таблиця 1'!$J:$J,"BLU-140")+SUMIFS('Таблиця 1'!$K:$K,'Таблиця 1'!$B:$B,$A680,'Таблиця 1'!$I:$I,"МіГ-29",'Таблиця 1'!$J:$J,"BLU-140")+SUMIFS('Таблиця 1'!$K:$K,'Таблиця 1'!$B:$B,$A680,'Таблиця 1'!$I:$I,"Су-25",'Таблиця 1'!$J:$J,"BLU-140")+SUMIFS('Таблиця 1'!$K:$K,'Таблиця 1'!$B:$B,$A680,'Таблиця 1'!$I:$I,"Су-27",'Таблиця 1'!$J:$J,"BLU-140"))</f>
        <v/>
      </c>
      <c r="L680">
        <f>IF($A680="","",SUMIFS('Таблиця 1'!$K:$K,'Таблиця 1'!$B:$B,$A680,'Таблиця 1'!$I:$I,"Mirage",'Таблиця 1'!$J:$J,"GBU-65")+SUMIFS('Таблиця 1'!$K:$K,'Таблиця 1'!$B:$B,$A680,'Таблиця 1'!$I:$I,"F-16",'Таблиця 1'!$J:$J,"GBU-65")+SUMIFS('Таблиця 1'!$K:$K,'Таблиця 1'!$B:$B,$A680,'Таблиця 1'!$I:$I,"МіГ-29",'Таблиця 1'!$J:$J,"GBU-65")+SUMIFS('Таблиця 1'!$K:$K,'Таблиця 1'!$B:$B,$A680,'Таблиця 1'!$I:$I,"Су-25",'Таблиця 1'!$J:$J,"GBU-65")+SUMIFS('Таблиця 1'!$K:$K,'Таблиця 1'!$B:$B,$A680,'Таблиця 1'!$I:$I,"Су-27",'Таблиця 1'!$J:$J,"GBU-65"))</f>
        <v/>
      </c>
      <c r="M680">
        <f>IF($A680="","",SUMIFS('Таблиця 1'!$K:$K,'Таблиця 1'!$B:$B,$A680,'Таблиця 1'!$I:$I,"Mirage",'Таблиця 1'!$J:$J,"GBU-62")+SUMIFS('Таблиця 1'!$K:$K,'Таблиця 1'!$B:$B,$A680,'Таблиця 1'!$I:$I,"F-16",'Таблиця 1'!$J:$J,"GBU-62")+SUMIFS('Таблиця 1'!$K:$K,'Таблиця 1'!$B:$B,$A680,'Таблиця 1'!$I:$I,"МіГ-29",'Таблиця 1'!$J:$J,"GBU-62")+SUMIFS('Таблиця 1'!$K:$K,'Таблиця 1'!$B:$B,$A680,'Таблиця 1'!$I:$I,"Су-25",'Таблиця 1'!$J:$J,"GBU-62")+SUMIFS('Таблиця 1'!$K:$K,'Таблиця 1'!$B:$B,$A680,'Таблиця 1'!$I:$I,"Су-27",'Таблиця 1'!$J:$J,"GBU-62"))</f>
        <v/>
      </c>
      <c r="N680">
        <f>IF($A680="","",SUMIFS('Таблиця 1'!$K:$K,'Таблиця 1'!$B:$B,$A680,'Таблиця 1'!$I:$I,"Mirage",'Таблиця 1'!$J:$J,"GBU-64")+SUMIFS('Таблиця 1'!$K:$K,'Таблиця 1'!$B:$B,$A680,'Таблиця 1'!$I:$I,"F-16",'Таблиця 1'!$J:$J,"GBU-64")+SUMIFS('Таблиця 1'!$K:$K,'Таблиця 1'!$B:$B,$A680,'Таблиця 1'!$I:$I,"МіГ-29",'Таблиця 1'!$J:$J,"GBU-64")+SUMIFS('Таблиця 1'!$K:$K,'Таблиця 1'!$B:$B,$A680,'Таблиця 1'!$I:$I,"Су-25",'Таблиця 1'!$J:$J,"GBU-64")+SUMIFS('Таблиця 1'!$K:$K,'Таблиця 1'!$B:$B,$A680,'Таблиця 1'!$I:$I,"Су-27",'Таблиця 1'!$J:$J,"GBU-64"))</f>
        <v/>
      </c>
      <c r="O680">
        <f>IF($A680="","",SUMIFS('Таблиця 1'!$K:$K,'Таблиця 1'!$B:$B,$A680,'Таблиця 1'!$I:$I,"Mirage",'Таблиця 1'!$J:$J,"C-13")+SUMIFS('Таблиця 1'!$K:$K,'Таблиця 1'!$B:$B,$A680,'Таблиця 1'!$I:$I,"F-16",'Таблиця 1'!$J:$J,"C-13")+SUMIFS('Таблиця 1'!$K:$K,'Таблиця 1'!$B:$B,$A680,'Таблиця 1'!$I:$I,"МіГ-29",'Таблиця 1'!$J:$J,"C-13")+SUMIFS('Таблиця 1'!$K:$K,'Таблиця 1'!$B:$B,$A680,'Таблиця 1'!$I:$I,"Су-25",'Таблиця 1'!$J:$J,"C-13")+SUMIFS('Таблиця 1'!$K:$K,'Таблиця 1'!$B:$B,$A680,'Таблиця 1'!$I:$I,"Су-27",'Таблиця 1'!$J:$J,"C-13"))</f>
        <v/>
      </c>
      <c r="P680">
        <f>IF($A680="","",SUMIFS('Таблиця 1'!$K:$K,'Таблиця 1'!$B:$B,$A680,'Таблиця 1'!$I:$I,"Mirage",'Таблиця 1'!$J:$J,"MK-32")+SUMIFS('Таблиця 1'!$K:$K,'Таблиця 1'!$B:$B,$A680,'Таблиця 1'!$I:$I,"F-16",'Таблиця 1'!$J:$J,"MK-32")+SUMIFS('Таблиця 1'!$K:$K,'Таблиця 1'!$B:$B,$A680,'Таблиця 1'!$I:$I,"МіГ-29",'Таблиця 1'!$J:$J,"MK-32")+SUMIFS('Таблиця 1'!$K:$K,'Таблиця 1'!$B:$B,$A680,'Таблиця 1'!$I:$I,"Су-25",'Таблиця 1'!$J:$J,"MK-32")+SUMIFS('Таблиця 1'!$K:$K,'Таблиця 1'!$B:$B,$A680,'Таблиця 1'!$I:$I,"Су-27",'Таблиця 1'!$J:$J,"MK-32"))</f>
        <v/>
      </c>
      <c r="Q680">
        <f>IF($A680="","",SUMIFS('Таблиця 1'!$K:$K,'Таблиця 1'!$B:$B,$A680,'Таблиця 1'!$I:$I,"Mirage",'Таблиця 1'!$J:$J,"MK-24")+SUMIFS('Таблиця 1'!$K:$K,'Таблиця 1'!$B:$B,$A680,'Таблиця 1'!$I:$I,"F-16",'Таблиця 1'!$J:$J,"MK-24")+SUMIFS('Таблиця 1'!$K:$K,'Таблиця 1'!$B:$B,$A680,'Таблиця 1'!$I:$I,"МіГ-29",'Таблиця 1'!$J:$J,"MK-24")+SUMIFS('Таблиця 1'!$K:$K,'Таблиця 1'!$B:$B,$A680,'Таблиця 1'!$I:$I,"Су-25",'Таблиця 1'!$J:$J,"MK-24")+SUMIFS('Таблиця 1'!$K:$K,'Таблиця 1'!$B:$B,$A680,'Таблиця 1'!$I:$I,"Су-27",'Таблиця 1'!$J:$J,"MK-24"))</f>
        <v/>
      </c>
      <c r="R680">
        <f>IF($A680="","",COUNTIFS('Таблиця 1'!$B:$B,$A680,'Таблиця 1'!$I:$I,"Mirage",'Таблиця 1'!$L:$L,"Уражено")+COUNTIFS('Таблиця 1'!$B:$B,$A680,'Таблиця 1'!$I:$I,"F-16",'Таблиця 1'!$L:$L,"Уражено")+COUNTIFS('Таблиця 1'!$B:$B,$A680,'Таблиця 1'!$I:$I,"МіГ-29",'Таблиця 1'!$L:$L,"Уражено")+COUNTIFS('Таблиця 1'!$B:$B,$A680,'Таблиця 1'!$I:$I,"Су-25",'Таблиця 1'!$L:$L,"Уражено")+COUNTIFS('Таблиця 1'!$B:$B,$A680,'Таблиця 1'!$I:$I,"Су-27",'Таблиця 1'!$L:$L,"Уражено"))</f>
        <v/>
      </c>
      <c r="S680">
        <f>IF($A680="","",COUNTIFS('Таблиця 1'!$B:$B,$A680,'Таблиця 1'!$I:$I,"Mirage",'Таблиця 1'!$L:$L,"НЕ уражено")+COUNTIFS('Таблиця 1'!$B:$B,$A680,'Таблиця 1'!$I:$I,"F-16",'Таблиця 1'!$L:$L,"НЕ уражено")+COUNTIFS('Таблиця 1'!$B:$B,$A680,'Таблиця 1'!$I:$I,"МіГ-29",'Таблиця 1'!$L:$L,"НЕ уражено")+COUNTIFS('Таблиця 1'!$B:$B,$A680,'Таблиця 1'!$I:$I,"Су-25",'Таблиця 1'!$L:$L,"НЕ уражено")+COUNTIFS('Таблиця 1'!$B:$B,$A680,'Таблиця 1'!$I:$I,"Су-27",'Таблиця 1'!$L:$L,"НЕ уражено"))</f>
        <v/>
      </c>
      <c r="T680">
        <f>IF($A680="","",COUNTIFS('Таблиця 1'!$B:$B,$A680,'Таблиця 1'!$I:$I,"Mirage",'Таблиця 1'!$L:$L,"Дорозвідується")+COUNTIFS('Таблиця 1'!$B:$B,$A680,'Таблиця 1'!$I:$I,"F-16",'Таблиця 1'!$L:$L,"Дорозвідується")+COUNTIFS('Таблиця 1'!$B:$B,$A680,'Таблиця 1'!$I:$I,"МіГ-29",'Таблиця 1'!$L:$L,"Дорозвідується")+COUNTIFS('Таблиця 1'!$B:$B,$A680,'Таблиця 1'!$I:$I,"Су-25",'Таблиця 1'!$L:$L,"Дорозвідується")+COUNTIFS('Таблиця 1'!$B:$B,$A680,'Таблиця 1'!$I:$I,"Су-27",'Таблиця 1'!$L:$L,"Дорозвідується"))</f>
        <v/>
      </c>
    </row>
    <row r="681">
      <c r="A681" s="273">
        <f>IF(A680="","",IF(A680+1&gt;MAX('Таблиця 1'!$B:$B),"",A680+1))</f>
        <v/>
      </c>
      <c r="B681">
        <f>IF($A681="","",COUNTIFS('Таблиця 1'!$B:$B,$A681,'Таблиця 1'!$I:$I,"Mirage")+COUNTIFS('Таблиця 1'!$B:$B,$A681,'Таблиця 1'!$I:$I,"F-16")+COUNTIFS('Таблиця 1'!$B:$B,$A681,'Таблиця 1'!$I:$I,"МіГ-29")+COUNTIFS('Таблиця 1'!$B:$B,$A681,'Таблиця 1'!$I:$I,"Су-25")+COUNTIFS('Таблиця 1'!$B:$B,$A681,'Таблиця 1'!$I:$I,"Су-27"))</f>
        <v/>
      </c>
      <c r="C681">
        <f>IF($A681="","",COUNTIFS('Таблиця 1'!$B:$B,$A681,'Таблиця 1'!$I:$I,"Mirage"))</f>
        <v/>
      </c>
      <c r="D681">
        <f>IF($A681="","",COUNTIFS('Таблиця 1'!$B:$B,$A681,'Таблиця 1'!$I:$I,"F-16"))</f>
        <v/>
      </c>
      <c r="E681">
        <f>IF($A681="","",COUNTIFS('Таблиця 1'!$B:$B,$A681,'Таблиця 1'!$I:$I,"МіГ-29"))</f>
        <v/>
      </c>
      <c r="F681">
        <f>IF($A681="","",COUNTIFS('Таблиця 1'!$B:$B,$A681,'Таблиця 1'!$I:$I,"Су-25"))</f>
        <v/>
      </c>
      <c r="G681">
        <f>IF($A681="","",COUNTIFS('Таблиця 1'!$B:$B,$A681,'Таблиця 1'!$I:$I,"Су-27"))</f>
        <v/>
      </c>
      <c r="H681">
        <f>IF($A681="","",SUMIFS('Таблиця 1'!$K:$K,'Таблиця 1'!$B:$B,$A681,'Таблиця 1'!$I:$I,"Mirage",'Таблиця 1'!$J:$J,"AGM-88")+SUMIFS('Таблиця 1'!$K:$K,'Таблиця 1'!$B:$B,$A681,'Таблиця 1'!$I:$I,"F-16",'Таблиця 1'!$J:$J,"AGM-88")+SUMIFS('Таблиця 1'!$K:$K,'Таблиця 1'!$B:$B,$A681,'Таблиця 1'!$I:$I,"МіГ-29",'Таблиця 1'!$J:$J,"AGM-88")+SUMIFS('Таблиця 1'!$K:$K,'Таблиця 1'!$B:$B,$A681,'Таблиця 1'!$I:$I,"Су-25",'Таблиця 1'!$J:$J,"AGM-88")+SUMIFS('Таблиця 1'!$K:$K,'Таблиця 1'!$B:$B,$A681,'Таблиця 1'!$I:$I,"Су-27",'Таблиця 1'!$J:$J,"AGM-88"))</f>
        <v/>
      </c>
      <c r="I681">
        <f>IF($A681="","",SUMIFS('Таблиця 1'!$K:$K,'Таблиця 1'!$B:$B,$A681,'Таблиця 1'!$I:$I,"Mirage",'Таблиця 1'!$J:$J,"AASM-250")+SUMIFS('Таблиця 1'!$K:$K,'Таблиця 1'!$B:$B,$A681,'Таблиця 1'!$I:$I,"F-16",'Таблиця 1'!$J:$J,"AASM-250")+SUMIFS('Таблиця 1'!$K:$K,'Таблиця 1'!$B:$B,$A681,'Таблиця 1'!$I:$I,"МіГ-29",'Таблиця 1'!$J:$J,"AASM-250")+SUMIFS('Таблиця 1'!$K:$K,'Таблиця 1'!$B:$B,$A681,'Таблиця 1'!$I:$I,"Су-25",'Таблиця 1'!$J:$J,"AASM-250")+SUMIFS('Таблиця 1'!$K:$K,'Таблиця 1'!$B:$B,$A681,'Таблиця 1'!$I:$I,"Су-27",'Таблиця 1'!$J:$J,"AASM-250"))</f>
        <v/>
      </c>
      <c r="J681">
        <f>IF($A681="","",SUMIFS('Таблиця 1'!$K:$K,'Таблиця 1'!$B:$B,$A681,'Таблиця 1'!$I:$I,"Mirage",'Таблиця 1'!$J:$J,"GBU-39")+SUMIFS('Таблиця 1'!$K:$K,'Таблиця 1'!$B:$B,$A681,'Таблиця 1'!$I:$I,"F-16",'Таблиця 1'!$J:$J,"GBU-39")+SUMIFS('Таблиця 1'!$K:$K,'Таблиця 1'!$B:$B,$A681,'Таблиця 1'!$I:$I,"МіГ-29",'Таблиця 1'!$J:$J,"GBU-39")+SUMIFS('Таблиця 1'!$K:$K,'Таблиця 1'!$B:$B,$A681,'Таблиця 1'!$I:$I,"Су-25",'Таблиця 1'!$J:$J,"GBU-39")+SUMIFS('Таблиця 1'!$K:$K,'Таблиця 1'!$B:$B,$A681,'Таблиця 1'!$I:$I,"Су-27",'Таблиця 1'!$J:$J,"GBU-39"))</f>
        <v/>
      </c>
      <c r="K681">
        <f>IF($A681="","",SUMIFS('Таблиця 1'!$K:$K,'Таблиця 1'!$B:$B,$A681,'Таблиця 1'!$I:$I,"Mirage",'Таблиця 1'!$J:$J,"BLU-140")+SUMIFS('Таблиця 1'!$K:$K,'Таблиця 1'!$B:$B,$A681,'Таблиця 1'!$I:$I,"F-16",'Таблиця 1'!$J:$J,"BLU-140")+SUMIFS('Таблиця 1'!$K:$K,'Таблиця 1'!$B:$B,$A681,'Таблиця 1'!$I:$I,"МіГ-29",'Таблиця 1'!$J:$J,"BLU-140")+SUMIFS('Таблиця 1'!$K:$K,'Таблиця 1'!$B:$B,$A681,'Таблиця 1'!$I:$I,"Су-25",'Таблиця 1'!$J:$J,"BLU-140")+SUMIFS('Таблиця 1'!$K:$K,'Таблиця 1'!$B:$B,$A681,'Таблиця 1'!$I:$I,"Су-27",'Таблиця 1'!$J:$J,"BLU-140"))</f>
        <v/>
      </c>
      <c r="L681">
        <f>IF($A681="","",SUMIFS('Таблиця 1'!$K:$K,'Таблиця 1'!$B:$B,$A681,'Таблиця 1'!$I:$I,"Mirage",'Таблиця 1'!$J:$J,"GBU-65")+SUMIFS('Таблиця 1'!$K:$K,'Таблиця 1'!$B:$B,$A681,'Таблиця 1'!$I:$I,"F-16",'Таблиця 1'!$J:$J,"GBU-65")+SUMIFS('Таблиця 1'!$K:$K,'Таблиця 1'!$B:$B,$A681,'Таблиця 1'!$I:$I,"МіГ-29",'Таблиця 1'!$J:$J,"GBU-65")+SUMIFS('Таблиця 1'!$K:$K,'Таблиця 1'!$B:$B,$A681,'Таблиця 1'!$I:$I,"Су-25",'Таблиця 1'!$J:$J,"GBU-65")+SUMIFS('Таблиця 1'!$K:$K,'Таблиця 1'!$B:$B,$A681,'Таблиця 1'!$I:$I,"Су-27",'Таблиця 1'!$J:$J,"GBU-65"))</f>
        <v/>
      </c>
      <c r="M681">
        <f>IF($A681="","",SUMIFS('Таблиця 1'!$K:$K,'Таблиця 1'!$B:$B,$A681,'Таблиця 1'!$I:$I,"Mirage",'Таблиця 1'!$J:$J,"GBU-62")+SUMIFS('Таблиця 1'!$K:$K,'Таблиця 1'!$B:$B,$A681,'Таблиця 1'!$I:$I,"F-16",'Таблиця 1'!$J:$J,"GBU-62")+SUMIFS('Таблиця 1'!$K:$K,'Таблиця 1'!$B:$B,$A681,'Таблиця 1'!$I:$I,"МіГ-29",'Таблиця 1'!$J:$J,"GBU-62")+SUMIFS('Таблиця 1'!$K:$K,'Таблиця 1'!$B:$B,$A681,'Таблиця 1'!$I:$I,"Су-25",'Таблиця 1'!$J:$J,"GBU-62")+SUMIFS('Таблиця 1'!$K:$K,'Таблиця 1'!$B:$B,$A681,'Таблиця 1'!$I:$I,"Су-27",'Таблиця 1'!$J:$J,"GBU-62"))</f>
        <v/>
      </c>
      <c r="N681">
        <f>IF($A681="","",SUMIFS('Таблиця 1'!$K:$K,'Таблиця 1'!$B:$B,$A681,'Таблиця 1'!$I:$I,"Mirage",'Таблиця 1'!$J:$J,"GBU-64")+SUMIFS('Таблиця 1'!$K:$K,'Таблиця 1'!$B:$B,$A681,'Таблиця 1'!$I:$I,"F-16",'Таблиця 1'!$J:$J,"GBU-64")+SUMIFS('Таблиця 1'!$K:$K,'Таблиця 1'!$B:$B,$A681,'Таблиця 1'!$I:$I,"МіГ-29",'Таблиця 1'!$J:$J,"GBU-64")+SUMIFS('Таблиця 1'!$K:$K,'Таблиця 1'!$B:$B,$A681,'Таблиця 1'!$I:$I,"Су-25",'Таблиця 1'!$J:$J,"GBU-64")+SUMIFS('Таблиця 1'!$K:$K,'Таблиця 1'!$B:$B,$A681,'Таблиця 1'!$I:$I,"Су-27",'Таблиця 1'!$J:$J,"GBU-64"))</f>
        <v/>
      </c>
      <c r="O681">
        <f>IF($A681="","",SUMIFS('Таблиця 1'!$K:$K,'Таблиця 1'!$B:$B,$A681,'Таблиця 1'!$I:$I,"Mirage",'Таблиця 1'!$J:$J,"C-13")+SUMIFS('Таблиця 1'!$K:$K,'Таблиця 1'!$B:$B,$A681,'Таблиця 1'!$I:$I,"F-16",'Таблиця 1'!$J:$J,"C-13")+SUMIFS('Таблиця 1'!$K:$K,'Таблиця 1'!$B:$B,$A681,'Таблиця 1'!$I:$I,"МіГ-29",'Таблиця 1'!$J:$J,"C-13")+SUMIFS('Таблиця 1'!$K:$K,'Таблиця 1'!$B:$B,$A681,'Таблиця 1'!$I:$I,"Су-25",'Таблиця 1'!$J:$J,"C-13")+SUMIFS('Таблиця 1'!$K:$K,'Таблиця 1'!$B:$B,$A681,'Таблиця 1'!$I:$I,"Су-27",'Таблиця 1'!$J:$J,"C-13"))</f>
        <v/>
      </c>
      <c r="P681">
        <f>IF($A681="","",SUMIFS('Таблиця 1'!$K:$K,'Таблиця 1'!$B:$B,$A681,'Таблиця 1'!$I:$I,"Mirage",'Таблиця 1'!$J:$J,"MK-32")+SUMIFS('Таблиця 1'!$K:$K,'Таблиця 1'!$B:$B,$A681,'Таблиця 1'!$I:$I,"F-16",'Таблиця 1'!$J:$J,"MK-32")+SUMIFS('Таблиця 1'!$K:$K,'Таблиця 1'!$B:$B,$A681,'Таблиця 1'!$I:$I,"МіГ-29",'Таблиця 1'!$J:$J,"MK-32")+SUMIFS('Таблиця 1'!$K:$K,'Таблиця 1'!$B:$B,$A681,'Таблиця 1'!$I:$I,"Су-25",'Таблиця 1'!$J:$J,"MK-32")+SUMIFS('Таблиця 1'!$K:$K,'Таблиця 1'!$B:$B,$A681,'Таблиця 1'!$I:$I,"Су-27",'Таблиця 1'!$J:$J,"MK-32"))</f>
        <v/>
      </c>
      <c r="Q681">
        <f>IF($A681="","",SUMIFS('Таблиця 1'!$K:$K,'Таблиця 1'!$B:$B,$A681,'Таблиця 1'!$I:$I,"Mirage",'Таблиця 1'!$J:$J,"MK-24")+SUMIFS('Таблиця 1'!$K:$K,'Таблиця 1'!$B:$B,$A681,'Таблиця 1'!$I:$I,"F-16",'Таблиця 1'!$J:$J,"MK-24")+SUMIFS('Таблиця 1'!$K:$K,'Таблиця 1'!$B:$B,$A681,'Таблиця 1'!$I:$I,"МіГ-29",'Таблиця 1'!$J:$J,"MK-24")+SUMIFS('Таблиця 1'!$K:$K,'Таблиця 1'!$B:$B,$A681,'Таблиця 1'!$I:$I,"Су-25",'Таблиця 1'!$J:$J,"MK-24")+SUMIFS('Таблиця 1'!$K:$K,'Таблиця 1'!$B:$B,$A681,'Таблиця 1'!$I:$I,"Су-27",'Таблиця 1'!$J:$J,"MK-24"))</f>
        <v/>
      </c>
      <c r="R681">
        <f>IF($A681="","",COUNTIFS('Таблиця 1'!$B:$B,$A681,'Таблиця 1'!$I:$I,"Mirage",'Таблиця 1'!$L:$L,"Уражено")+COUNTIFS('Таблиця 1'!$B:$B,$A681,'Таблиця 1'!$I:$I,"F-16",'Таблиця 1'!$L:$L,"Уражено")+COUNTIFS('Таблиця 1'!$B:$B,$A681,'Таблиця 1'!$I:$I,"МіГ-29",'Таблиця 1'!$L:$L,"Уражено")+COUNTIFS('Таблиця 1'!$B:$B,$A681,'Таблиця 1'!$I:$I,"Су-25",'Таблиця 1'!$L:$L,"Уражено")+COUNTIFS('Таблиця 1'!$B:$B,$A681,'Таблиця 1'!$I:$I,"Су-27",'Таблиця 1'!$L:$L,"Уражено"))</f>
        <v/>
      </c>
      <c r="S681">
        <f>IF($A681="","",COUNTIFS('Таблиця 1'!$B:$B,$A681,'Таблиця 1'!$I:$I,"Mirage",'Таблиця 1'!$L:$L,"НЕ уражено")+COUNTIFS('Таблиця 1'!$B:$B,$A681,'Таблиця 1'!$I:$I,"F-16",'Таблиця 1'!$L:$L,"НЕ уражено")+COUNTIFS('Таблиця 1'!$B:$B,$A681,'Таблиця 1'!$I:$I,"МіГ-29",'Таблиця 1'!$L:$L,"НЕ уражено")+COUNTIFS('Таблиця 1'!$B:$B,$A681,'Таблиця 1'!$I:$I,"Су-25",'Таблиця 1'!$L:$L,"НЕ уражено")+COUNTIFS('Таблиця 1'!$B:$B,$A681,'Таблиця 1'!$I:$I,"Су-27",'Таблиця 1'!$L:$L,"НЕ уражено"))</f>
        <v/>
      </c>
      <c r="T681">
        <f>IF($A681="","",COUNTIFS('Таблиця 1'!$B:$B,$A681,'Таблиця 1'!$I:$I,"Mirage",'Таблиця 1'!$L:$L,"Дорозвідується")+COUNTIFS('Таблиця 1'!$B:$B,$A681,'Таблиця 1'!$I:$I,"F-16",'Таблиця 1'!$L:$L,"Дорозвідується")+COUNTIFS('Таблиця 1'!$B:$B,$A681,'Таблиця 1'!$I:$I,"МіГ-29",'Таблиця 1'!$L:$L,"Дорозвідується")+COUNTIFS('Таблиця 1'!$B:$B,$A681,'Таблиця 1'!$I:$I,"Су-25",'Таблиця 1'!$L:$L,"Дорозвідується")+COUNTIFS('Таблиця 1'!$B:$B,$A681,'Таблиця 1'!$I:$I,"Су-27",'Таблиця 1'!$L:$L,"Дорозвідується"))</f>
        <v/>
      </c>
    </row>
    <row r="682">
      <c r="A682" s="273">
        <f>IF(A681="","",IF(A681+1&gt;MAX('Таблиця 1'!$B:$B),"",A681+1))</f>
        <v/>
      </c>
      <c r="B682">
        <f>IF($A682="","",COUNTIFS('Таблиця 1'!$B:$B,$A682,'Таблиця 1'!$I:$I,"Mirage")+COUNTIFS('Таблиця 1'!$B:$B,$A682,'Таблиця 1'!$I:$I,"F-16")+COUNTIFS('Таблиця 1'!$B:$B,$A682,'Таблиця 1'!$I:$I,"МіГ-29")+COUNTIFS('Таблиця 1'!$B:$B,$A682,'Таблиця 1'!$I:$I,"Су-25")+COUNTIFS('Таблиця 1'!$B:$B,$A682,'Таблиця 1'!$I:$I,"Су-27"))</f>
        <v/>
      </c>
      <c r="C682">
        <f>IF($A682="","",COUNTIFS('Таблиця 1'!$B:$B,$A682,'Таблиця 1'!$I:$I,"Mirage"))</f>
        <v/>
      </c>
      <c r="D682">
        <f>IF($A682="","",COUNTIFS('Таблиця 1'!$B:$B,$A682,'Таблиця 1'!$I:$I,"F-16"))</f>
        <v/>
      </c>
      <c r="E682">
        <f>IF($A682="","",COUNTIFS('Таблиця 1'!$B:$B,$A682,'Таблиця 1'!$I:$I,"МіГ-29"))</f>
        <v/>
      </c>
      <c r="F682">
        <f>IF($A682="","",COUNTIFS('Таблиця 1'!$B:$B,$A682,'Таблиця 1'!$I:$I,"Су-25"))</f>
        <v/>
      </c>
      <c r="G682">
        <f>IF($A682="","",COUNTIFS('Таблиця 1'!$B:$B,$A682,'Таблиця 1'!$I:$I,"Су-27"))</f>
        <v/>
      </c>
      <c r="H682">
        <f>IF($A682="","",SUMIFS('Таблиця 1'!$K:$K,'Таблиця 1'!$B:$B,$A682,'Таблиця 1'!$I:$I,"Mirage",'Таблиця 1'!$J:$J,"AGM-88")+SUMIFS('Таблиця 1'!$K:$K,'Таблиця 1'!$B:$B,$A682,'Таблиця 1'!$I:$I,"F-16",'Таблиця 1'!$J:$J,"AGM-88")+SUMIFS('Таблиця 1'!$K:$K,'Таблиця 1'!$B:$B,$A682,'Таблиця 1'!$I:$I,"МіГ-29",'Таблиця 1'!$J:$J,"AGM-88")+SUMIFS('Таблиця 1'!$K:$K,'Таблиця 1'!$B:$B,$A682,'Таблиця 1'!$I:$I,"Су-25",'Таблиця 1'!$J:$J,"AGM-88")+SUMIFS('Таблиця 1'!$K:$K,'Таблиця 1'!$B:$B,$A682,'Таблиця 1'!$I:$I,"Су-27",'Таблиця 1'!$J:$J,"AGM-88"))</f>
        <v/>
      </c>
      <c r="I682">
        <f>IF($A682="","",SUMIFS('Таблиця 1'!$K:$K,'Таблиця 1'!$B:$B,$A682,'Таблиця 1'!$I:$I,"Mirage",'Таблиця 1'!$J:$J,"AASM-250")+SUMIFS('Таблиця 1'!$K:$K,'Таблиця 1'!$B:$B,$A682,'Таблиця 1'!$I:$I,"F-16",'Таблиця 1'!$J:$J,"AASM-250")+SUMIFS('Таблиця 1'!$K:$K,'Таблиця 1'!$B:$B,$A682,'Таблиця 1'!$I:$I,"МіГ-29",'Таблиця 1'!$J:$J,"AASM-250")+SUMIFS('Таблиця 1'!$K:$K,'Таблиця 1'!$B:$B,$A682,'Таблиця 1'!$I:$I,"Су-25",'Таблиця 1'!$J:$J,"AASM-250")+SUMIFS('Таблиця 1'!$K:$K,'Таблиця 1'!$B:$B,$A682,'Таблиця 1'!$I:$I,"Су-27",'Таблиця 1'!$J:$J,"AASM-250"))</f>
        <v/>
      </c>
      <c r="J682">
        <f>IF($A682="","",SUMIFS('Таблиця 1'!$K:$K,'Таблиця 1'!$B:$B,$A682,'Таблиця 1'!$I:$I,"Mirage",'Таблиця 1'!$J:$J,"GBU-39")+SUMIFS('Таблиця 1'!$K:$K,'Таблиця 1'!$B:$B,$A682,'Таблиця 1'!$I:$I,"F-16",'Таблиця 1'!$J:$J,"GBU-39")+SUMIFS('Таблиця 1'!$K:$K,'Таблиця 1'!$B:$B,$A682,'Таблиця 1'!$I:$I,"МіГ-29",'Таблиця 1'!$J:$J,"GBU-39")+SUMIFS('Таблиця 1'!$K:$K,'Таблиця 1'!$B:$B,$A682,'Таблиця 1'!$I:$I,"Су-25",'Таблиця 1'!$J:$J,"GBU-39")+SUMIFS('Таблиця 1'!$K:$K,'Таблиця 1'!$B:$B,$A682,'Таблиця 1'!$I:$I,"Су-27",'Таблиця 1'!$J:$J,"GBU-39"))</f>
        <v/>
      </c>
      <c r="K682">
        <f>IF($A682="","",SUMIFS('Таблиця 1'!$K:$K,'Таблиця 1'!$B:$B,$A682,'Таблиця 1'!$I:$I,"Mirage",'Таблиця 1'!$J:$J,"BLU-140")+SUMIFS('Таблиця 1'!$K:$K,'Таблиця 1'!$B:$B,$A682,'Таблиця 1'!$I:$I,"F-16",'Таблиця 1'!$J:$J,"BLU-140")+SUMIFS('Таблиця 1'!$K:$K,'Таблиця 1'!$B:$B,$A682,'Таблиця 1'!$I:$I,"МіГ-29",'Таблиця 1'!$J:$J,"BLU-140")+SUMIFS('Таблиця 1'!$K:$K,'Таблиця 1'!$B:$B,$A682,'Таблиця 1'!$I:$I,"Су-25",'Таблиця 1'!$J:$J,"BLU-140")+SUMIFS('Таблиця 1'!$K:$K,'Таблиця 1'!$B:$B,$A682,'Таблиця 1'!$I:$I,"Су-27",'Таблиця 1'!$J:$J,"BLU-140"))</f>
        <v/>
      </c>
      <c r="L682">
        <f>IF($A682="","",SUMIFS('Таблиця 1'!$K:$K,'Таблиця 1'!$B:$B,$A682,'Таблиця 1'!$I:$I,"Mirage",'Таблиця 1'!$J:$J,"GBU-65")+SUMIFS('Таблиця 1'!$K:$K,'Таблиця 1'!$B:$B,$A682,'Таблиця 1'!$I:$I,"F-16",'Таблиця 1'!$J:$J,"GBU-65")+SUMIFS('Таблиця 1'!$K:$K,'Таблиця 1'!$B:$B,$A682,'Таблиця 1'!$I:$I,"МіГ-29",'Таблиця 1'!$J:$J,"GBU-65")+SUMIFS('Таблиця 1'!$K:$K,'Таблиця 1'!$B:$B,$A682,'Таблиця 1'!$I:$I,"Су-25",'Таблиця 1'!$J:$J,"GBU-65")+SUMIFS('Таблиця 1'!$K:$K,'Таблиця 1'!$B:$B,$A682,'Таблиця 1'!$I:$I,"Су-27",'Таблиця 1'!$J:$J,"GBU-65"))</f>
        <v/>
      </c>
      <c r="M682">
        <f>IF($A682="","",SUMIFS('Таблиця 1'!$K:$K,'Таблиця 1'!$B:$B,$A682,'Таблиця 1'!$I:$I,"Mirage",'Таблиця 1'!$J:$J,"GBU-62")+SUMIFS('Таблиця 1'!$K:$K,'Таблиця 1'!$B:$B,$A682,'Таблиця 1'!$I:$I,"F-16",'Таблиця 1'!$J:$J,"GBU-62")+SUMIFS('Таблиця 1'!$K:$K,'Таблиця 1'!$B:$B,$A682,'Таблиця 1'!$I:$I,"МіГ-29",'Таблиця 1'!$J:$J,"GBU-62")+SUMIFS('Таблиця 1'!$K:$K,'Таблиця 1'!$B:$B,$A682,'Таблиця 1'!$I:$I,"Су-25",'Таблиця 1'!$J:$J,"GBU-62")+SUMIFS('Таблиця 1'!$K:$K,'Таблиця 1'!$B:$B,$A682,'Таблиця 1'!$I:$I,"Су-27",'Таблиця 1'!$J:$J,"GBU-62"))</f>
        <v/>
      </c>
      <c r="N682">
        <f>IF($A682="","",SUMIFS('Таблиця 1'!$K:$K,'Таблиця 1'!$B:$B,$A682,'Таблиця 1'!$I:$I,"Mirage",'Таблиця 1'!$J:$J,"GBU-64")+SUMIFS('Таблиця 1'!$K:$K,'Таблиця 1'!$B:$B,$A682,'Таблиця 1'!$I:$I,"F-16",'Таблиця 1'!$J:$J,"GBU-64")+SUMIFS('Таблиця 1'!$K:$K,'Таблиця 1'!$B:$B,$A682,'Таблиця 1'!$I:$I,"МіГ-29",'Таблиця 1'!$J:$J,"GBU-64")+SUMIFS('Таблиця 1'!$K:$K,'Таблиця 1'!$B:$B,$A682,'Таблиця 1'!$I:$I,"Су-25",'Таблиця 1'!$J:$J,"GBU-64")+SUMIFS('Таблиця 1'!$K:$K,'Таблиця 1'!$B:$B,$A682,'Таблиця 1'!$I:$I,"Су-27",'Таблиця 1'!$J:$J,"GBU-64"))</f>
        <v/>
      </c>
      <c r="O682">
        <f>IF($A682="","",SUMIFS('Таблиця 1'!$K:$K,'Таблиця 1'!$B:$B,$A682,'Таблиця 1'!$I:$I,"Mirage",'Таблиця 1'!$J:$J,"C-13")+SUMIFS('Таблиця 1'!$K:$K,'Таблиця 1'!$B:$B,$A682,'Таблиця 1'!$I:$I,"F-16",'Таблиця 1'!$J:$J,"C-13")+SUMIFS('Таблиця 1'!$K:$K,'Таблиця 1'!$B:$B,$A682,'Таблиця 1'!$I:$I,"МіГ-29",'Таблиця 1'!$J:$J,"C-13")+SUMIFS('Таблиця 1'!$K:$K,'Таблиця 1'!$B:$B,$A682,'Таблиця 1'!$I:$I,"Су-25",'Таблиця 1'!$J:$J,"C-13")+SUMIFS('Таблиця 1'!$K:$K,'Таблиця 1'!$B:$B,$A682,'Таблиця 1'!$I:$I,"Су-27",'Таблиця 1'!$J:$J,"C-13"))</f>
        <v/>
      </c>
      <c r="P682">
        <f>IF($A682="","",SUMIFS('Таблиця 1'!$K:$K,'Таблиця 1'!$B:$B,$A682,'Таблиця 1'!$I:$I,"Mirage",'Таблиця 1'!$J:$J,"MK-32")+SUMIFS('Таблиця 1'!$K:$K,'Таблиця 1'!$B:$B,$A682,'Таблиця 1'!$I:$I,"F-16",'Таблиця 1'!$J:$J,"MK-32")+SUMIFS('Таблиця 1'!$K:$K,'Таблиця 1'!$B:$B,$A682,'Таблиця 1'!$I:$I,"МіГ-29",'Таблиця 1'!$J:$J,"MK-32")+SUMIFS('Таблиця 1'!$K:$K,'Таблиця 1'!$B:$B,$A682,'Таблиця 1'!$I:$I,"Су-25",'Таблиця 1'!$J:$J,"MK-32")+SUMIFS('Таблиця 1'!$K:$K,'Таблиця 1'!$B:$B,$A682,'Таблиця 1'!$I:$I,"Су-27",'Таблиця 1'!$J:$J,"MK-32"))</f>
        <v/>
      </c>
      <c r="Q682">
        <f>IF($A682="","",SUMIFS('Таблиця 1'!$K:$K,'Таблиця 1'!$B:$B,$A682,'Таблиця 1'!$I:$I,"Mirage",'Таблиця 1'!$J:$J,"MK-24")+SUMIFS('Таблиця 1'!$K:$K,'Таблиця 1'!$B:$B,$A682,'Таблиця 1'!$I:$I,"F-16",'Таблиця 1'!$J:$J,"MK-24")+SUMIFS('Таблиця 1'!$K:$K,'Таблиця 1'!$B:$B,$A682,'Таблиця 1'!$I:$I,"МіГ-29",'Таблиця 1'!$J:$J,"MK-24")+SUMIFS('Таблиця 1'!$K:$K,'Таблиця 1'!$B:$B,$A682,'Таблиця 1'!$I:$I,"Су-25",'Таблиця 1'!$J:$J,"MK-24")+SUMIFS('Таблиця 1'!$K:$K,'Таблиця 1'!$B:$B,$A682,'Таблиця 1'!$I:$I,"Су-27",'Таблиця 1'!$J:$J,"MK-24"))</f>
        <v/>
      </c>
      <c r="R682">
        <f>IF($A682="","",COUNTIFS('Таблиця 1'!$B:$B,$A682,'Таблиця 1'!$I:$I,"Mirage",'Таблиця 1'!$L:$L,"Уражено")+COUNTIFS('Таблиця 1'!$B:$B,$A682,'Таблиця 1'!$I:$I,"F-16",'Таблиця 1'!$L:$L,"Уражено")+COUNTIFS('Таблиця 1'!$B:$B,$A682,'Таблиця 1'!$I:$I,"МіГ-29",'Таблиця 1'!$L:$L,"Уражено")+COUNTIFS('Таблиця 1'!$B:$B,$A682,'Таблиця 1'!$I:$I,"Су-25",'Таблиця 1'!$L:$L,"Уражено")+COUNTIFS('Таблиця 1'!$B:$B,$A682,'Таблиця 1'!$I:$I,"Су-27",'Таблиця 1'!$L:$L,"Уражено"))</f>
        <v/>
      </c>
      <c r="S682">
        <f>IF($A682="","",COUNTIFS('Таблиця 1'!$B:$B,$A682,'Таблиця 1'!$I:$I,"Mirage",'Таблиця 1'!$L:$L,"НЕ уражено")+COUNTIFS('Таблиця 1'!$B:$B,$A682,'Таблиця 1'!$I:$I,"F-16",'Таблиця 1'!$L:$L,"НЕ уражено")+COUNTIFS('Таблиця 1'!$B:$B,$A682,'Таблиця 1'!$I:$I,"МіГ-29",'Таблиця 1'!$L:$L,"НЕ уражено")+COUNTIFS('Таблиця 1'!$B:$B,$A682,'Таблиця 1'!$I:$I,"Су-25",'Таблиця 1'!$L:$L,"НЕ уражено")+COUNTIFS('Таблиця 1'!$B:$B,$A682,'Таблиця 1'!$I:$I,"Су-27",'Таблиця 1'!$L:$L,"НЕ уражено"))</f>
        <v/>
      </c>
      <c r="T682">
        <f>IF($A682="","",COUNTIFS('Таблиця 1'!$B:$B,$A682,'Таблиця 1'!$I:$I,"Mirage",'Таблиця 1'!$L:$L,"Дорозвідується")+COUNTIFS('Таблиця 1'!$B:$B,$A682,'Таблиця 1'!$I:$I,"F-16",'Таблиця 1'!$L:$L,"Дорозвідується")+COUNTIFS('Таблиця 1'!$B:$B,$A682,'Таблиця 1'!$I:$I,"МіГ-29",'Таблиця 1'!$L:$L,"Дорозвідується")+COUNTIFS('Таблиця 1'!$B:$B,$A682,'Таблиця 1'!$I:$I,"Су-25",'Таблиця 1'!$L:$L,"Дорозвідується")+COUNTIFS('Таблиця 1'!$B:$B,$A682,'Таблиця 1'!$I:$I,"Су-27",'Таблиця 1'!$L:$L,"Дорозвідується"))</f>
        <v/>
      </c>
    </row>
    <row r="683">
      <c r="A683" s="273">
        <f>IF(A682="","",IF(A682+1&gt;MAX('Таблиця 1'!$B:$B),"",A682+1))</f>
        <v/>
      </c>
      <c r="B683">
        <f>IF($A683="","",COUNTIFS('Таблиця 1'!$B:$B,$A683,'Таблиця 1'!$I:$I,"Mirage")+COUNTIFS('Таблиця 1'!$B:$B,$A683,'Таблиця 1'!$I:$I,"F-16")+COUNTIFS('Таблиця 1'!$B:$B,$A683,'Таблиця 1'!$I:$I,"МіГ-29")+COUNTIFS('Таблиця 1'!$B:$B,$A683,'Таблиця 1'!$I:$I,"Су-25")+COUNTIFS('Таблиця 1'!$B:$B,$A683,'Таблиця 1'!$I:$I,"Су-27"))</f>
        <v/>
      </c>
      <c r="C683">
        <f>IF($A683="","",COUNTIFS('Таблиця 1'!$B:$B,$A683,'Таблиця 1'!$I:$I,"Mirage"))</f>
        <v/>
      </c>
      <c r="D683">
        <f>IF($A683="","",COUNTIFS('Таблиця 1'!$B:$B,$A683,'Таблиця 1'!$I:$I,"F-16"))</f>
        <v/>
      </c>
      <c r="E683">
        <f>IF($A683="","",COUNTIFS('Таблиця 1'!$B:$B,$A683,'Таблиця 1'!$I:$I,"МіГ-29"))</f>
        <v/>
      </c>
      <c r="F683">
        <f>IF($A683="","",COUNTIFS('Таблиця 1'!$B:$B,$A683,'Таблиця 1'!$I:$I,"Су-25"))</f>
        <v/>
      </c>
      <c r="G683">
        <f>IF($A683="","",COUNTIFS('Таблиця 1'!$B:$B,$A683,'Таблиця 1'!$I:$I,"Су-27"))</f>
        <v/>
      </c>
      <c r="H683">
        <f>IF($A683="","",SUMIFS('Таблиця 1'!$K:$K,'Таблиця 1'!$B:$B,$A683,'Таблиця 1'!$I:$I,"Mirage",'Таблиця 1'!$J:$J,"AGM-88")+SUMIFS('Таблиця 1'!$K:$K,'Таблиця 1'!$B:$B,$A683,'Таблиця 1'!$I:$I,"F-16",'Таблиця 1'!$J:$J,"AGM-88")+SUMIFS('Таблиця 1'!$K:$K,'Таблиця 1'!$B:$B,$A683,'Таблиця 1'!$I:$I,"МіГ-29",'Таблиця 1'!$J:$J,"AGM-88")+SUMIFS('Таблиця 1'!$K:$K,'Таблиця 1'!$B:$B,$A683,'Таблиця 1'!$I:$I,"Су-25",'Таблиця 1'!$J:$J,"AGM-88")+SUMIFS('Таблиця 1'!$K:$K,'Таблиця 1'!$B:$B,$A683,'Таблиця 1'!$I:$I,"Су-27",'Таблиця 1'!$J:$J,"AGM-88"))</f>
        <v/>
      </c>
      <c r="I683">
        <f>IF($A683="","",SUMIFS('Таблиця 1'!$K:$K,'Таблиця 1'!$B:$B,$A683,'Таблиця 1'!$I:$I,"Mirage",'Таблиця 1'!$J:$J,"AASM-250")+SUMIFS('Таблиця 1'!$K:$K,'Таблиця 1'!$B:$B,$A683,'Таблиця 1'!$I:$I,"F-16",'Таблиця 1'!$J:$J,"AASM-250")+SUMIFS('Таблиця 1'!$K:$K,'Таблиця 1'!$B:$B,$A683,'Таблиця 1'!$I:$I,"МіГ-29",'Таблиця 1'!$J:$J,"AASM-250")+SUMIFS('Таблиця 1'!$K:$K,'Таблиця 1'!$B:$B,$A683,'Таблиця 1'!$I:$I,"Су-25",'Таблиця 1'!$J:$J,"AASM-250")+SUMIFS('Таблиця 1'!$K:$K,'Таблиця 1'!$B:$B,$A683,'Таблиця 1'!$I:$I,"Су-27",'Таблиця 1'!$J:$J,"AASM-250"))</f>
        <v/>
      </c>
      <c r="J683">
        <f>IF($A683="","",SUMIFS('Таблиця 1'!$K:$K,'Таблиця 1'!$B:$B,$A683,'Таблиця 1'!$I:$I,"Mirage",'Таблиця 1'!$J:$J,"GBU-39")+SUMIFS('Таблиця 1'!$K:$K,'Таблиця 1'!$B:$B,$A683,'Таблиця 1'!$I:$I,"F-16",'Таблиця 1'!$J:$J,"GBU-39")+SUMIFS('Таблиця 1'!$K:$K,'Таблиця 1'!$B:$B,$A683,'Таблиця 1'!$I:$I,"МіГ-29",'Таблиця 1'!$J:$J,"GBU-39")+SUMIFS('Таблиця 1'!$K:$K,'Таблиця 1'!$B:$B,$A683,'Таблиця 1'!$I:$I,"Су-25",'Таблиця 1'!$J:$J,"GBU-39")+SUMIFS('Таблиця 1'!$K:$K,'Таблиця 1'!$B:$B,$A683,'Таблиця 1'!$I:$I,"Су-27",'Таблиця 1'!$J:$J,"GBU-39"))</f>
        <v/>
      </c>
      <c r="K683">
        <f>IF($A683="","",SUMIFS('Таблиця 1'!$K:$K,'Таблиця 1'!$B:$B,$A683,'Таблиця 1'!$I:$I,"Mirage",'Таблиця 1'!$J:$J,"BLU-140")+SUMIFS('Таблиця 1'!$K:$K,'Таблиця 1'!$B:$B,$A683,'Таблиця 1'!$I:$I,"F-16",'Таблиця 1'!$J:$J,"BLU-140")+SUMIFS('Таблиця 1'!$K:$K,'Таблиця 1'!$B:$B,$A683,'Таблиця 1'!$I:$I,"МіГ-29",'Таблиця 1'!$J:$J,"BLU-140")+SUMIFS('Таблиця 1'!$K:$K,'Таблиця 1'!$B:$B,$A683,'Таблиця 1'!$I:$I,"Су-25",'Таблиця 1'!$J:$J,"BLU-140")+SUMIFS('Таблиця 1'!$K:$K,'Таблиця 1'!$B:$B,$A683,'Таблиця 1'!$I:$I,"Су-27",'Таблиця 1'!$J:$J,"BLU-140"))</f>
        <v/>
      </c>
      <c r="L683">
        <f>IF($A683="","",SUMIFS('Таблиця 1'!$K:$K,'Таблиця 1'!$B:$B,$A683,'Таблиця 1'!$I:$I,"Mirage",'Таблиця 1'!$J:$J,"GBU-65")+SUMIFS('Таблиця 1'!$K:$K,'Таблиця 1'!$B:$B,$A683,'Таблиця 1'!$I:$I,"F-16",'Таблиця 1'!$J:$J,"GBU-65")+SUMIFS('Таблиця 1'!$K:$K,'Таблиця 1'!$B:$B,$A683,'Таблиця 1'!$I:$I,"МіГ-29",'Таблиця 1'!$J:$J,"GBU-65")+SUMIFS('Таблиця 1'!$K:$K,'Таблиця 1'!$B:$B,$A683,'Таблиця 1'!$I:$I,"Су-25",'Таблиця 1'!$J:$J,"GBU-65")+SUMIFS('Таблиця 1'!$K:$K,'Таблиця 1'!$B:$B,$A683,'Таблиця 1'!$I:$I,"Су-27",'Таблиця 1'!$J:$J,"GBU-65"))</f>
        <v/>
      </c>
      <c r="M683">
        <f>IF($A683="","",SUMIFS('Таблиця 1'!$K:$K,'Таблиця 1'!$B:$B,$A683,'Таблиця 1'!$I:$I,"Mirage",'Таблиця 1'!$J:$J,"GBU-62")+SUMIFS('Таблиця 1'!$K:$K,'Таблиця 1'!$B:$B,$A683,'Таблиця 1'!$I:$I,"F-16",'Таблиця 1'!$J:$J,"GBU-62")+SUMIFS('Таблиця 1'!$K:$K,'Таблиця 1'!$B:$B,$A683,'Таблиця 1'!$I:$I,"МіГ-29",'Таблиця 1'!$J:$J,"GBU-62")+SUMIFS('Таблиця 1'!$K:$K,'Таблиця 1'!$B:$B,$A683,'Таблиця 1'!$I:$I,"Су-25",'Таблиця 1'!$J:$J,"GBU-62")+SUMIFS('Таблиця 1'!$K:$K,'Таблиця 1'!$B:$B,$A683,'Таблиця 1'!$I:$I,"Су-27",'Таблиця 1'!$J:$J,"GBU-62"))</f>
        <v/>
      </c>
      <c r="N683">
        <f>IF($A683="","",SUMIFS('Таблиця 1'!$K:$K,'Таблиця 1'!$B:$B,$A683,'Таблиця 1'!$I:$I,"Mirage",'Таблиця 1'!$J:$J,"GBU-64")+SUMIFS('Таблиця 1'!$K:$K,'Таблиця 1'!$B:$B,$A683,'Таблиця 1'!$I:$I,"F-16",'Таблиця 1'!$J:$J,"GBU-64")+SUMIFS('Таблиця 1'!$K:$K,'Таблиця 1'!$B:$B,$A683,'Таблиця 1'!$I:$I,"МіГ-29",'Таблиця 1'!$J:$J,"GBU-64")+SUMIFS('Таблиця 1'!$K:$K,'Таблиця 1'!$B:$B,$A683,'Таблиця 1'!$I:$I,"Су-25",'Таблиця 1'!$J:$J,"GBU-64")+SUMIFS('Таблиця 1'!$K:$K,'Таблиця 1'!$B:$B,$A683,'Таблиця 1'!$I:$I,"Су-27",'Таблиця 1'!$J:$J,"GBU-64"))</f>
        <v/>
      </c>
      <c r="O683">
        <f>IF($A683="","",SUMIFS('Таблиця 1'!$K:$K,'Таблиця 1'!$B:$B,$A683,'Таблиця 1'!$I:$I,"Mirage",'Таблиця 1'!$J:$J,"C-13")+SUMIFS('Таблиця 1'!$K:$K,'Таблиця 1'!$B:$B,$A683,'Таблиця 1'!$I:$I,"F-16",'Таблиця 1'!$J:$J,"C-13")+SUMIFS('Таблиця 1'!$K:$K,'Таблиця 1'!$B:$B,$A683,'Таблиця 1'!$I:$I,"МіГ-29",'Таблиця 1'!$J:$J,"C-13")+SUMIFS('Таблиця 1'!$K:$K,'Таблиця 1'!$B:$B,$A683,'Таблиця 1'!$I:$I,"Су-25",'Таблиця 1'!$J:$J,"C-13")+SUMIFS('Таблиця 1'!$K:$K,'Таблиця 1'!$B:$B,$A683,'Таблиця 1'!$I:$I,"Су-27",'Таблиця 1'!$J:$J,"C-13"))</f>
        <v/>
      </c>
      <c r="P683">
        <f>IF($A683="","",SUMIFS('Таблиця 1'!$K:$K,'Таблиця 1'!$B:$B,$A683,'Таблиця 1'!$I:$I,"Mirage",'Таблиця 1'!$J:$J,"MK-32")+SUMIFS('Таблиця 1'!$K:$K,'Таблиця 1'!$B:$B,$A683,'Таблиця 1'!$I:$I,"F-16",'Таблиця 1'!$J:$J,"MK-32")+SUMIFS('Таблиця 1'!$K:$K,'Таблиця 1'!$B:$B,$A683,'Таблиця 1'!$I:$I,"МіГ-29",'Таблиця 1'!$J:$J,"MK-32")+SUMIFS('Таблиця 1'!$K:$K,'Таблиця 1'!$B:$B,$A683,'Таблиця 1'!$I:$I,"Су-25",'Таблиця 1'!$J:$J,"MK-32")+SUMIFS('Таблиця 1'!$K:$K,'Таблиця 1'!$B:$B,$A683,'Таблиця 1'!$I:$I,"Су-27",'Таблиця 1'!$J:$J,"MK-32"))</f>
        <v/>
      </c>
      <c r="Q683">
        <f>IF($A683="","",SUMIFS('Таблиця 1'!$K:$K,'Таблиця 1'!$B:$B,$A683,'Таблиця 1'!$I:$I,"Mirage",'Таблиця 1'!$J:$J,"MK-24")+SUMIFS('Таблиця 1'!$K:$K,'Таблиця 1'!$B:$B,$A683,'Таблиця 1'!$I:$I,"F-16",'Таблиця 1'!$J:$J,"MK-24")+SUMIFS('Таблиця 1'!$K:$K,'Таблиця 1'!$B:$B,$A683,'Таблиця 1'!$I:$I,"МіГ-29",'Таблиця 1'!$J:$J,"MK-24")+SUMIFS('Таблиця 1'!$K:$K,'Таблиця 1'!$B:$B,$A683,'Таблиця 1'!$I:$I,"Су-25",'Таблиця 1'!$J:$J,"MK-24")+SUMIFS('Таблиця 1'!$K:$K,'Таблиця 1'!$B:$B,$A683,'Таблиця 1'!$I:$I,"Су-27",'Таблиця 1'!$J:$J,"MK-24"))</f>
        <v/>
      </c>
      <c r="R683">
        <f>IF($A683="","",COUNTIFS('Таблиця 1'!$B:$B,$A683,'Таблиця 1'!$I:$I,"Mirage",'Таблиця 1'!$L:$L,"Уражено")+COUNTIFS('Таблиця 1'!$B:$B,$A683,'Таблиця 1'!$I:$I,"F-16",'Таблиця 1'!$L:$L,"Уражено")+COUNTIFS('Таблиця 1'!$B:$B,$A683,'Таблиця 1'!$I:$I,"МіГ-29",'Таблиця 1'!$L:$L,"Уражено")+COUNTIFS('Таблиця 1'!$B:$B,$A683,'Таблиця 1'!$I:$I,"Су-25",'Таблиця 1'!$L:$L,"Уражено")+COUNTIFS('Таблиця 1'!$B:$B,$A683,'Таблиця 1'!$I:$I,"Су-27",'Таблиця 1'!$L:$L,"Уражено"))</f>
        <v/>
      </c>
      <c r="S683">
        <f>IF($A683="","",COUNTIFS('Таблиця 1'!$B:$B,$A683,'Таблиця 1'!$I:$I,"Mirage",'Таблиця 1'!$L:$L,"НЕ уражено")+COUNTIFS('Таблиця 1'!$B:$B,$A683,'Таблиця 1'!$I:$I,"F-16",'Таблиця 1'!$L:$L,"НЕ уражено")+COUNTIFS('Таблиця 1'!$B:$B,$A683,'Таблиця 1'!$I:$I,"МіГ-29",'Таблиця 1'!$L:$L,"НЕ уражено")+COUNTIFS('Таблиця 1'!$B:$B,$A683,'Таблиця 1'!$I:$I,"Су-25",'Таблиця 1'!$L:$L,"НЕ уражено")+COUNTIFS('Таблиця 1'!$B:$B,$A683,'Таблиця 1'!$I:$I,"Су-27",'Таблиця 1'!$L:$L,"НЕ уражено"))</f>
        <v/>
      </c>
      <c r="T683">
        <f>IF($A683="","",COUNTIFS('Таблиця 1'!$B:$B,$A683,'Таблиця 1'!$I:$I,"Mirage",'Таблиця 1'!$L:$L,"Дорозвідується")+COUNTIFS('Таблиця 1'!$B:$B,$A683,'Таблиця 1'!$I:$I,"F-16",'Таблиця 1'!$L:$L,"Дорозвідується")+COUNTIFS('Таблиця 1'!$B:$B,$A683,'Таблиця 1'!$I:$I,"МіГ-29",'Таблиця 1'!$L:$L,"Дорозвідується")+COUNTIFS('Таблиця 1'!$B:$B,$A683,'Таблиця 1'!$I:$I,"Су-25",'Таблиця 1'!$L:$L,"Дорозвідується")+COUNTIFS('Таблиця 1'!$B:$B,$A683,'Таблиця 1'!$I:$I,"Су-27",'Таблиця 1'!$L:$L,"Дорозвідується"))</f>
        <v/>
      </c>
    </row>
    <row r="684">
      <c r="A684" s="273">
        <f>IF(A683="","",IF(A683+1&gt;MAX('Таблиця 1'!$B:$B),"",A683+1))</f>
        <v/>
      </c>
      <c r="B684">
        <f>IF($A684="","",COUNTIFS('Таблиця 1'!$B:$B,$A684,'Таблиця 1'!$I:$I,"Mirage")+COUNTIFS('Таблиця 1'!$B:$B,$A684,'Таблиця 1'!$I:$I,"F-16")+COUNTIFS('Таблиця 1'!$B:$B,$A684,'Таблиця 1'!$I:$I,"МіГ-29")+COUNTIFS('Таблиця 1'!$B:$B,$A684,'Таблиця 1'!$I:$I,"Су-25")+COUNTIFS('Таблиця 1'!$B:$B,$A684,'Таблиця 1'!$I:$I,"Су-27"))</f>
        <v/>
      </c>
      <c r="C684">
        <f>IF($A684="","",COUNTIFS('Таблиця 1'!$B:$B,$A684,'Таблиця 1'!$I:$I,"Mirage"))</f>
        <v/>
      </c>
      <c r="D684">
        <f>IF($A684="","",COUNTIFS('Таблиця 1'!$B:$B,$A684,'Таблиця 1'!$I:$I,"F-16"))</f>
        <v/>
      </c>
      <c r="E684">
        <f>IF($A684="","",COUNTIFS('Таблиця 1'!$B:$B,$A684,'Таблиця 1'!$I:$I,"МіГ-29"))</f>
        <v/>
      </c>
      <c r="F684">
        <f>IF($A684="","",COUNTIFS('Таблиця 1'!$B:$B,$A684,'Таблиця 1'!$I:$I,"Су-25"))</f>
        <v/>
      </c>
      <c r="G684">
        <f>IF($A684="","",COUNTIFS('Таблиця 1'!$B:$B,$A684,'Таблиця 1'!$I:$I,"Су-27"))</f>
        <v/>
      </c>
      <c r="H684">
        <f>IF($A684="","",SUMIFS('Таблиця 1'!$K:$K,'Таблиця 1'!$B:$B,$A684,'Таблиця 1'!$I:$I,"Mirage",'Таблиця 1'!$J:$J,"AGM-88")+SUMIFS('Таблиця 1'!$K:$K,'Таблиця 1'!$B:$B,$A684,'Таблиця 1'!$I:$I,"F-16",'Таблиця 1'!$J:$J,"AGM-88")+SUMIFS('Таблиця 1'!$K:$K,'Таблиця 1'!$B:$B,$A684,'Таблиця 1'!$I:$I,"МіГ-29",'Таблиця 1'!$J:$J,"AGM-88")+SUMIFS('Таблиця 1'!$K:$K,'Таблиця 1'!$B:$B,$A684,'Таблиця 1'!$I:$I,"Су-25",'Таблиця 1'!$J:$J,"AGM-88")+SUMIFS('Таблиця 1'!$K:$K,'Таблиця 1'!$B:$B,$A684,'Таблиця 1'!$I:$I,"Су-27",'Таблиця 1'!$J:$J,"AGM-88"))</f>
        <v/>
      </c>
      <c r="I684">
        <f>IF($A684="","",SUMIFS('Таблиця 1'!$K:$K,'Таблиця 1'!$B:$B,$A684,'Таблиця 1'!$I:$I,"Mirage",'Таблиця 1'!$J:$J,"AASM-250")+SUMIFS('Таблиця 1'!$K:$K,'Таблиця 1'!$B:$B,$A684,'Таблиця 1'!$I:$I,"F-16",'Таблиця 1'!$J:$J,"AASM-250")+SUMIFS('Таблиця 1'!$K:$K,'Таблиця 1'!$B:$B,$A684,'Таблиця 1'!$I:$I,"МіГ-29",'Таблиця 1'!$J:$J,"AASM-250")+SUMIFS('Таблиця 1'!$K:$K,'Таблиця 1'!$B:$B,$A684,'Таблиця 1'!$I:$I,"Су-25",'Таблиця 1'!$J:$J,"AASM-250")+SUMIFS('Таблиця 1'!$K:$K,'Таблиця 1'!$B:$B,$A684,'Таблиця 1'!$I:$I,"Су-27",'Таблиця 1'!$J:$J,"AASM-250"))</f>
        <v/>
      </c>
      <c r="J684">
        <f>IF($A684="","",SUMIFS('Таблиця 1'!$K:$K,'Таблиця 1'!$B:$B,$A684,'Таблиця 1'!$I:$I,"Mirage",'Таблиця 1'!$J:$J,"GBU-39")+SUMIFS('Таблиця 1'!$K:$K,'Таблиця 1'!$B:$B,$A684,'Таблиця 1'!$I:$I,"F-16",'Таблиця 1'!$J:$J,"GBU-39")+SUMIFS('Таблиця 1'!$K:$K,'Таблиця 1'!$B:$B,$A684,'Таблиця 1'!$I:$I,"МіГ-29",'Таблиця 1'!$J:$J,"GBU-39")+SUMIFS('Таблиця 1'!$K:$K,'Таблиця 1'!$B:$B,$A684,'Таблиця 1'!$I:$I,"Су-25",'Таблиця 1'!$J:$J,"GBU-39")+SUMIFS('Таблиця 1'!$K:$K,'Таблиця 1'!$B:$B,$A684,'Таблиця 1'!$I:$I,"Су-27",'Таблиця 1'!$J:$J,"GBU-39"))</f>
        <v/>
      </c>
      <c r="K684">
        <f>IF($A684="","",SUMIFS('Таблиця 1'!$K:$K,'Таблиця 1'!$B:$B,$A684,'Таблиця 1'!$I:$I,"Mirage",'Таблиця 1'!$J:$J,"BLU-140")+SUMIFS('Таблиця 1'!$K:$K,'Таблиця 1'!$B:$B,$A684,'Таблиця 1'!$I:$I,"F-16",'Таблиця 1'!$J:$J,"BLU-140")+SUMIFS('Таблиця 1'!$K:$K,'Таблиця 1'!$B:$B,$A684,'Таблиця 1'!$I:$I,"МіГ-29",'Таблиця 1'!$J:$J,"BLU-140")+SUMIFS('Таблиця 1'!$K:$K,'Таблиця 1'!$B:$B,$A684,'Таблиця 1'!$I:$I,"Су-25",'Таблиця 1'!$J:$J,"BLU-140")+SUMIFS('Таблиця 1'!$K:$K,'Таблиця 1'!$B:$B,$A684,'Таблиця 1'!$I:$I,"Су-27",'Таблиця 1'!$J:$J,"BLU-140"))</f>
        <v/>
      </c>
      <c r="L684">
        <f>IF($A684="","",SUMIFS('Таблиця 1'!$K:$K,'Таблиця 1'!$B:$B,$A684,'Таблиця 1'!$I:$I,"Mirage",'Таблиця 1'!$J:$J,"GBU-65")+SUMIFS('Таблиця 1'!$K:$K,'Таблиця 1'!$B:$B,$A684,'Таблиця 1'!$I:$I,"F-16",'Таблиця 1'!$J:$J,"GBU-65")+SUMIFS('Таблиця 1'!$K:$K,'Таблиця 1'!$B:$B,$A684,'Таблиця 1'!$I:$I,"МіГ-29",'Таблиця 1'!$J:$J,"GBU-65")+SUMIFS('Таблиця 1'!$K:$K,'Таблиця 1'!$B:$B,$A684,'Таблиця 1'!$I:$I,"Су-25",'Таблиця 1'!$J:$J,"GBU-65")+SUMIFS('Таблиця 1'!$K:$K,'Таблиця 1'!$B:$B,$A684,'Таблиця 1'!$I:$I,"Су-27",'Таблиця 1'!$J:$J,"GBU-65"))</f>
        <v/>
      </c>
      <c r="M684">
        <f>IF($A684="","",SUMIFS('Таблиця 1'!$K:$K,'Таблиця 1'!$B:$B,$A684,'Таблиця 1'!$I:$I,"Mirage",'Таблиця 1'!$J:$J,"GBU-62")+SUMIFS('Таблиця 1'!$K:$K,'Таблиця 1'!$B:$B,$A684,'Таблиця 1'!$I:$I,"F-16",'Таблиця 1'!$J:$J,"GBU-62")+SUMIFS('Таблиця 1'!$K:$K,'Таблиця 1'!$B:$B,$A684,'Таблиця 1'!$I:$I,"МіГ-29",'Таблиця 1'!$J:$J,"GBU-62")+SUMIFS('Таблиця 1'!$K:$K,'Таблиця 1'!$B:$B,$A684,'Таблиця 1'!$I:$I,"Су-25",'Таблиця 1'!$J:$J,"GBU-62")+SUMIFS('Таблиця 1'!$K:$K,'Таблиця 1'!$B:$B,$A684,'Таблиця 1'!$I:$I,"Су-27",'Таблиця 1'!$J:$J,"GBU-62"))</f>
        <v/>
      </c>
      <c r="N684">
        <f>IF($A684="","",SUMIFS('Таблиця 1'!$K:$K,'Таблиця 1'!$B:$B,$A684,'Таблиця 1'!$I:$I,"Mirage",'Таблиця 1'!$J:$J,"GBU-64")+SUMIFS('Таблиця 1'!$K:$K,'Таблиця 1'!$B:$B,$A684,'Таблиця 1'!$I:$I,"F-16",'Таблиця 1'!$J:$J,"GBU-64")+SUMIFS('Таблиця 1'!$K:$K,'Таблиця 1'!$B:$B,$A684,'Таблиця 1'!$I:$I,"МіГ-29",'Таблиця 1'!$J:$J,"GBU-64")+SUMIFS('Таблиця 1'!$K:$K,'Таблиця 1'!$B:$B,$A684,'Таблиця 1'!$I:$I,"Су-25",'Таблиця 1'!$J:$J,"GBU-64")+SUMIFS('Таблиця 1'!$K:$K,'Таблиця 1'!$B:$B,$A684,'Таблиця 1'!$I:$I,"Су-27",'Таблиця 1'!$J:$J,"GBU-64"))</f>
        <v/>
      </c>
      <c r="O684">
        <f>IF($A684="","",SUMIFS('Таблиця 1'!$K:$K,'Таблиця 1'!$B:$B,$A684,'Таблиця 1'!$I:$I,"Mirage",'Таблиця 1'!$J:$J,"C-13")+SUMIFS('Таблиця 1'!$K:$K,'Таблиця 1'!$B:$B,$A684,'Таблиця 1'!$I:$I,"F-16",'Таблиця 1'!$J:$J,"C-13")+SUMIFS('Таблиця 1'!$K:$K,'Таблиця 1'!$B:$B,$A684,'Таблиця 1'!$I:$I,"МіГ-29",'Таблиця 1'!$J:$J,"C-13")+SUMIFS('Таблиця 1'!$K:$K,'Таблиця 1'!$B:$B,$A684,'Таблиця 1'!$I:$I,"Су-25",'Таблиця 1'!$J:$J,"C-13")+SUMIFS('Таблиця 1'!$K:$K,'Таблиця 1'!$B:$B,$A684,'Таблиця 1'!$I:$I,"Су-27",'Таблиця 1'!$J:$J,"C-13"))</f>
        <v/>
      </c>
      <c r="P684">
        <f>IF($A684="","",SUMIFS('Таблиця 1'!$K:$K,'Таблиця 1'!$B:$B,$A684,'Таблиця 1'!$I:$I,"Mirage",'Таблиця 1'!$J:$J,"MK-32")+SUMIFS('Таблиця 1'!$K:$K,'Таблиця 1'!$B:$B,$A684,'Таблиця 1'!$I:$I,"F-16",'Таблиця 1'!$J:$J,"MK-32")+SUMIFS('Таблиця 1'!$K:$K,'Таблиця 1'!$B:$B,$A684,'Таблиця 1'!$I:$I,"МіГ-29",'Таблиця 1'!$J:$J,"MK-32")+SUMIFS('Таблиця 1'!$K:$K,'Таблиця 1'!$B:$B,$A684,'Таблиця 1'!$I:$I,"Су-25",'Таблиця 1'!$J:$J,"MK-32")+SUMIFS('Таблиця 1'!$K:$K,'Таблиця 1'!$B:$B,$A684,'Таблиця 1'!$I:$I,"Су-27",'Таблиця 1'!$J:$J,"MK-32"))</f>
        <v/>
      </c>
      <c r="Q684">
        <f>IF($A684="","",SUMIFS('Таблиця 1'!$K:$K,'Таблиця 1'!$B:$B,$A684,'Таблиця 1'!$I:$I,"Mirage",'Таблиця 1'!$J:$J,"MK-24")+SUMIFS('Таблиця 1'!$K:$K,'Таблиця 1'!$B:$B,$A684,'Таблиця 1'!$I:$I,"F-16",'Таблиця 1'!$J:$J,"MK-24")+SUMIFS('Таблиця 1'!$K:$K,'Таблиця 1'!$B:$B,$A684,'Таблиця 1'!$I:$I,"МіГ-29",'Таблиця 1'!$J:$J,"MK-24")+SUMIFS('Таблиця 1'!$K:$K,'Таблиця 1'!$B:$B,$A684,'Таблиця 1'!$I:$I,"Су-25",'Таблиця 1'!$J:$J,"MK-24")+SUMIFS('Таблиця 1'!$K:$K,'Таблиця 1'!$B:$B,$A684,'Таблиця 1'!$I:$I,"Су-27",'Таблиця 1'!$J:$J,"MK-24"))</f>
        <v/>
      </c>
      <c r="R684">
        <f>IF($A684="","",COUNTIFS('Таблиця 1'!$B:$B,$A684,'Таблиця 1'!$I:$I,"Mirage",'Таблиця 1'!$L:$L,"Уражено")+COUNTIFS('Таблиця 1'!$B:$B,$A684,'Таблиця 1'!$I:$I,"F-16",'Таблиця 1'!$L:$L,"Уражено")+COUNTIFS('Таблиця 1'!$B:$B,$A684,'Таблиця 1'!$I:$I,"МіГ-29",'Таблиця 1'!$L:$L,"Уражено")+COUNTIFS('Таблиця 1'!$B:$B,$A684,'Таблиця 1'!$I:$I,"Су-25",'Таблиця 1'!$L:$L,"Уражено")+COUNTIFS('Таблиця 1'!$B:$B,$A684,'Таблиця 1'!$I:$I,"Су-27",'Таблиця 1'!$L:$L,"Уражено"))</f>
        <v/>
      </c>
      <c r="S684">
        <f>IF($A684="","",COUNTIFS('Таблиця 1'!$B:$B,$A684,'Таблиця 1'!$I:$I,"Mirage",'Таблиця 1'!$L:$L,"НЕ уражено")+COUNTIFS('Таблиця 1'!$B:$B,$A684,'Таблиця 1'!$I:$I,"F-16",'Таблиця 1'!$L:$L,"НЕ уражено")+COUNTIFS('Таблиця 1'!$B:$B,$A684,'Таблиця 1'!$I:$I,"МіГ-29",'Таблиця 1'!$L:$L,"НЕ уражено")+COUNTIFS('Таблиця 1'!$B:$B,$A684,'Таблиця 1'!$I:$I,"Су-25",'Таблиця 1'!$L:$L,"НЕ уражено")+COUNTIFS('Таблиця 1'!$B:$B,$A684,'Таблиця 1'!$I:$I,"Су-27",'Таблиця 1'!$L:$L,"НЕ уражено"))</f>
        <v/>
      </c>
      <c r="T684">
        <f>IF($A684="","",COUNTIFS('Таблиця 1'!$B:$B,$A684,'Таблиця 1'!$I:$I,"Mirage",'Таблиця 1'!$L:$L,"Дорозвідується")+COUNTIFS('Таблиця 1'!$B:$B,$A684,'Таблиця 1'!$I:$I,"F-16",'Таблиця 1'!$L:$L,"Дорозвідується")+COUNTIFS('Таблиця 1'!$B:$B,$A684,'Таблиця 1'!$I:$I,"МіГ-29",'Таблиця 1'!$L:$L,"Дорозвідується")+COUNTIFS('Таблиця 1'!$B:$B,$A684,'Таблиця 1'!$I:$I,"Су-25",'Таблиця 1'!$L:$L,"Дорозвідується")+COUNTIFS('Таблиця 1'!$B:$B,$A684,'Таблиця 1'!$I:$I,"Су-27",'Таблиця 1'!$L:$L,"Дорозвідується"))</f>
        <v/>
      </c>
    </row>
    <row r="685">
      <c r="A685" s="273">
        <f>IF(A684="","",IF(A684+1&gt;MAX('Таблиця 1'!$B:$B),"",A684+1))</f>
        <v/>
      </c>
      <c r="B685">
        <f>IF($A685="","",COUNTIFS('Таблиця 1'!$B:$B,$A685,'Таблиця 1'!$I:$I,"Mirage")+COUNTIFS('Таблиця 1'!$B:$B,$A685,'Таблиця 1'!$I:$I,"F-16")+COUNTIFS('Таблиця 1'!$B:$B,$A685,'Таблиця 1'!$I:$I,"МіГ-29")+COUNTIFS('Таблиця 1'!$B:$B,$A685,'Таблиця 1'!$I:$I,"Су-25")+COUNTIFS('Таблиця 1'!$B:$B,$A685,'Таблиця 1'!$I:$I,"Су-27"))</f>
        <v/>
      </c>
      <c r="C685">
        <f>IF($A685="","",COUNTIFS('Таблиця 1'!$B:$B,$A685,'Таблиця 1'!$I:$I,"Mirage"))</f>
        <v/>
      </c>
      <c r="D685">
        <f>IF($A685="","",COUNTIFS('Таблиця 1'!$B:$B,$A685,'Таблиця 1'!$I:$I,"F-16"))</f>
        <v/>
      </c>
      <c r="E685">
        <f>IF($A685="","",COUNTIFS('Таблиця 1'!$B:$B,$A685,'Таблиця 1'!$I:$I,"МіГ-29"))</f>
        <v/>
      </c>
      <c r="F685">
        <f>IF($A685="","",COUNTIFS('Таблиця 1'!$B:$B,$A685,'Таблиця 1'!$I:$I,"Су-25"))</f>
        <v/>
      </c>
      <c r="G685">
        <f>IF($A685="","",COUNTIFS('Таблиця 1'!$B:$B,$A685,'Таблиця 1'!$I:$I,"Су-27"))</f>
        <v/>
      </c>
      <c r="H685">
        <f>IF($A685="","",SUMIFS('Таблиця 1'!$K:$K,'Таблиця 1'!$B:$B,$A685,'Таблиця 1'!$I:$I,"Mirage",'Таблиця 1'!$J:$J,"AGM-88")+SUMIFS('Таблиця 1'!$K:$K,'Таблиця 1'!$B:$B,$A685,'Таблиця 1'!$I:$I,"F-16",'Таблиця 1'!$J:$J,"AGM-88")+SUMIFS('Таблиця 1'!$K:$K,'Таблиця 1'!$B:$B,$A685,'Таблиця 1'!$I:$I,"МіГ-29",'Таблиця 1'!$J:$J,"AGM-88")+SUMIFS('Таблиця 1'!$K:$K,'Таблиця 1'!$B:$B,$A685,'Таблиця 1'!$I:$I,"Су-25",'Таблиця 1'!$J:$J,"AGM-88")+SUMIFS('Таблиця 1'!$K:$K,'Таблиця 1'!$B:$B,$A685,'Таблиця 1'!$I:$I,"Су-27",'Таблиця 1'!$J:$J,"AGM-88"))</f>
        <v/>
      </c>
      <c r="I685">
        <f>IF($A685="","",SUMIFS('Таблиця 1'!$K:$K,'Таблиця 1'!$B:$B,$A685,'Таблиця 1'!$I:$I,"Mirage",'Таблиця 1'!$J:$J,"AASM-250")+SUMIFS('Таблиця 1'!$K:$K,'Таблиця 1'!$B:$B,$A685,'Таблиця 1'!$I:$I,"F-16",'Таблиця 1'!$J:$J,"AASM-250")+SUMIFS('Таблиця 1'!$K:$K,'Таблиця 1'!$B:$B,$A685,'Таблиця 1'!$I:$I,"МіГ-29",'Таблиця 1'!$J:$J,"AASM-250")+SUMIFS('Таблиця 1'!$K:$K,'Таблиця 1'!$B:$B,$A685,'Таблиця 1'!$I:$I,"Су-25",'Таблиця 1'!$J:$J,"AASM-250")+SUMIFS('Таблиця 1'!$K:$K,'Таблиця 1'!$B:$B,$A685,'Таблиця 1'!$I:$I,"Су-27",'Таблиця 1'!$J:$J,"AASM-250"))</f>
        <v/>
      </c>
      <c r="J685">
        <f>IF($A685="","",SUMIFS('Таблиця 1'!$K:$K,'Таблиця 1'!$B:$B,$A685,'Таблиця 1'!$I:$I,"Mirage",'Таблиця 1'!$J:$J,"GBU-39")+SUMIFS('Таблиця 1'!$K:$K,'Таблиця 1'!$B:$B,$A685,'Таблиця 1'!$I:$I,"F-16",'Таблиця 1'!$J:$J,"GBU-39")+SUMIFS('Таблиця 1'!$K:$K,'Таблиця 1'!$B:$B,$A685,'Таблиця 1'!$I:$I,"МіГ-29",'Таблиця 1'!$J:$J,"GBU-39")+SUMIFS('Таблиця 1'!$K:$K,'Таблиця 1'!$B:$B,$A685,'Таблиця 1'!$I:$I,"Су-25",'Таблиця 1'!$J:$J,"GBU-39")+SUMIFS('Таблиця 1'!$K:$K,'Таблиця 1'!$B:$B,$A685,'Таблиця 1'!$I:$I,"Су-27",'Таблиця 1'!$J:$J,"GBU-39"))</f>
        <v/>
      </c>
      <c r="K685">
        <f>IF($A685="","",SUMIFS('Таблиця 1'!$K:$K,'Таблиця 1'!$B:$B,$A685,'Таблиця 1'!$I:$I,"Mirage",'Таблиця 1'!$J:$J,"BLU-140")+SUMIFS('Таблиця 1'!$K:$K,'Таблиця 1'!$B:$B,$A685,'Таблиця 1'!$I:$I,"F-16",'Таблиця 1'!$J:$J,"BLU-140")+SUMIFS('Таблиця 1'!$K:$K,'Таблиця 1'!$B:$B,$A685,'Таблиця 1'!$I:$I,"МіГ-29",'Таблиця 1'!$J:$J,"BLU-140")+SUMIFS('Таблиця 1'!$K:$K,'Таблиця 1'!$B:$B,$A685,'Таблиця 1'!$I:$I,"Су-25",'Таблиця 1'!$J:$J,"BLU-140")+SUMIFS('Таблиця 1'!$K:$K,'Таблиця 1'!$B:$B,$A685,'Таблиця 1'!$I:$I,"Су-27",'Таблиця 1'!$J:$J,"BLU-140"))</f>
        <v/>
      </c>
      <c r="L685">
        <f>IF($A685="","",SUMIFS('Таблиця 1'!$K:$K,'Таблиця 1'!$B:$B,$A685,'Таблиця 1'!$I:$I,"Mirage",'Таблиця 1'!$J:$J,"GBU-65")+SUMIFS('Таблиця 1'!$K:$K,'Таблиця 1'!$B:$B,$A685,'Таблиця 1'!$I:$I,"F-16",'Таблиця 1'!$J:$J,"GBU-65")+SUMIFS('Таблиця 1'!$K:$K,'Таблиця 1'!$B:$B,$A685,'Таблиця 1'!$I:$I,"МіГ-29",'Таблиця 1'!$J:$J,"GBU-65")+SUMIFS('Таблиця 1'!$K:$K,'Таблиця 1'!$B:$B,$A685,'Таблиця 1'!$I:$I,"Су-25",'Таблиця 1'!$J:$J,"GBU-65")+SUMIFS('Таблиця 1'!$K:$K,'Таблиця 1'!$B:$B,$A685,'Таблиця 1'!$I:$I,"Су-27",'Таблиця 1'!$J:$J,"GBU-65"))</f>
        <v/>
      </c>
      <c r="M685">
        <f>IF($A685="","",SUMIFS('Таблиця 1'!$K:$K,'Таблиця 1'!$B:$B,$A685,'Таблиця 1'!$I:$I,"Mirage",'Таблиця 1'!$J:$J,"GBU-62")+SUMIFS('Таблиця 1'!$K:$K,'Таблиця 1'!$B:$B,$A685,'Таблиця 1'!$I:$I,"F-16",'Таблиця 1'!$J:$J,"GBU-62")+SUMIFS('Таблиця 1'!$K:$K,'Таблиця 1'!$B:$B,$A685,'Таблиця 1'!$I:$I,"МіГ-29",'Таблиця 1'!$J:$J,"GBU-62")+SUMIFS('Таблиця 1'!$K:$K,'Таблиця 1'!$B:$B,$A685,'Таблиця 1'!$I:$I,"Су-25",'Таблиця 1'!$J:$J,"GBU-62")+SUMIFS('Таблиця 1'!$K:$K,'Таблиця 1'!$B:$B,$A685,'Таблиця 1'!$I:$I,"Су-27",'Таблиця 1'!$J:$J,"GBU-62"))</f>
        <v/>
      </c>
      <c r="N685">
        <f>IF($A685="","",SUMIFS('Таблиця 1'!$K:$K,'Таблиця 1'!$B:$B,$A685,'Таблиця 1'!$I:$I,"Mirage",'Таблиця 1'!$J:$J,"GBU-64")+SUMIFS('Таблиця 1'!$K:$K,'Таблиця 1'!$B:$B,$A685,'Таблиця 1'!$I:$I,"F-16",'Таблиця 1'!$J:$J,"GBU-64")+SUMIFS('Таблиця 1'!$K:$K,'Таблиця 1'!$B:$B,$A685,'Таблиця 1'!$I:$I,"МіГ-29",'Таблиця 1'!$J:$J,"GBU-64")+SUMIFS('Таблиця 1'!$K:$K,'Таблиця 1'!$B:$B,$A685,'Таблиця 1'!$I:$I,"Су-25",'Таблиця 1'!$J:$J,"GBU-64")+SUMIFS('Таблиця 1'!$K:$K,'Таблиця 1'!$B:$B,$A685,'Таблиця 1'!$I:$I,"Су-27",'Таблиця 1'!$J:$J,"GBU-64"))</f>
        <v/>
      </c>
      <c r="O685">
        <f>IF($A685="","",SUMIFS('Таблиця 1'!$K:$K,'Таблиця 1'!$B:$B,$A685,'Таблиця 1'!$I:$I,"Mirage",'Таблиця 1'!$J:$J,"C-13")+SUMIFS('Таблиця 1'!$K:$K,'Таблиця 1'!$B:$B,$A685,'Таблиця 1'!$I:$I,"F-16",'Таблиця 1'!$J:$J,"C-13")+SUMIFS('Таблиця 1'!$K:$K,'Таблиця 1'!$B:$B,$A685,'Таблиця 1'!$I:$I,"МіГ-29",'Таблиця 1'!$J:$J,"C-13")+SUMIFS('Таблиця 1'!$K:$K,'Таблиця 1'!$B:$B,$A685,'Таблиця 1'!$I:$I,"Су-25",'Таблиця 1'!$J:$J,"C-13")+SUMIFS('Таблиця 1'!$K:$K,'Таблиця 1'!$B:$B,$A685,'Таблиця 1'!$I:$I,"Су-27",'Таблиця 1'!$J:$J,"C-13"))</f>
        <v/>
      </c>
      <c r="P685">
        <f>IF($A685="","",SUMIFS('Таблиця 1'!$K:$K,'Таблиця 1'!$B:$B,$A685,'Таблиця 1'!$I:$I,"Mirage",'Таблиця 1'!$J:$J,"MK-32")+SUMIFS('Таблиця 1'!$K:$K,'Таблиця 1'!$B:$B,$A685,'Таблиця 1'!$I:$I,"F-16",'Таблиця 1'!$J:$J,"MK-32")+SUMIFS('Таблиця 1'!$K:$K,'Таблиця 1'!$B:$B,$A685,'Таблиця 1'!$I:$I,"МіГ-29",'Таблиця 1'!$J:$J,"MK-32")+SUMIFS('Таблиця 1'!$K:$K,'Таблиця 1'!$B:$B,$A685,'Таблиця 1'!$I:$I,"Су-25",'Таблиця 1'!$J:$J,"MK-32")+SUMIFS('Таблиця 1'!$K:$K,'Таблиця 1'!$B:$B,$A685,'Таблиця 1'!$I:$I,"Су-27",'Таблиця 1'!$J:$J,"MK-32"))</f>
        <v/>
      </c>
      <c r="Q685">
        <f>IF($A685="","",SUMIFS('Таблиця 1'!$K:$K,'Таблиця 1'!$B:$B,$A685,'Таблиця 1'!$I:$I,"Mirage",'Таблиця 1'!$J:$J,"MK-24")+SUMIFS('Таблиця 1'!$K:$K,'Таблиця 1'!$B:$B,$A685,'Таблиця 1'!$I:$I,"F-16",'Таблиця 1'!$J:$J,"MK-24")+SUMIFS('Таблиця 1'!$K:$K,'Таблиця 1'!$B:$B,$A685,'Таблиця 1'!$I:$I,"МіГ-29",'Таблиця 1'!$J:$J,"MK-24")+SUMIFS('Таблиця 1'!$K:$K,'Таблиця 1'!$B:$B,$A685,'Таблиця 1'!$I:$I,"Су-25",'Таблиця 1'!$J:$J,"MK-24")+SUMIFS('Таблиця 1'!$K:$K,'Таблиця 1'!$B:$B,$A685,'Таблиця 1'!$I:$I,"Су-27",'Таблиця 1'!$J:$J,"MK-24"))</f>
        <v/>
      </c>
      <c r="R685">
        <f>IF($A685="","",COUNTIFS('Таблиця 1'!$B:$B,$A685,'Таблиця 1'!$I:$I,"Mirage",'Таблиця 1'!$L:$L,"Уражено")+COUNTIFS('Таблиця 1'!$B:$B,$A685,'Таблиця 1'!$I:$I,"F-16",'Таблиця 1'!$L:$L,"Уражено")+COUNTIFS('Таблиця 1'!$B:$B,$A685,'Таблиця 1'!$I:$I,"МіГ-29",'Таблиця 1'!$L:$L,"Уражено")+COUNTIFS('Таблиця 1'!$B:$B,$A685,'Таблиця 1'!$I:$I,"Су-25",'Таблиця 1'!$L:$L,"Уражено")+COUNTIFS('Таблиця 1'!$B:$B,$A685,'Таблиця 1'!$I:$I,"Су-27",'Таблиця 1'!$L:$L,"Уражено"))</f>
        <v/>
      </c>
      <c r="S685">
        <f>IF($A685="","",COUNTIFS('Таблиця 1'!$B:$B,$A685,'Таблиця 1'!$I:$I,"Mirage",'Таблиця 1'!$L:$L,"НЕ уражено")+COUNTIFS('Таблиця 1'!$B:$B,$A685,'Таблиця 1'!$I:$I,"F-16",'Таблиця 1'!$L:$L,"НЕ уражено")+COUNTIFS('Таблиця 1'!$B:$B,$A685,'Таблиця 1'!$I:$I,"МіГ-29",'Таблиця 1'!$L:$L,"НЕ уражено")+COUNTIFS('Таблиця 1'!$B:$B,$A685,'Таблиця 1'!$I:$I,"Су-25",'Таблиця 1'!$L:$L,"НЕ уражено")+COUNTIFS('Таблиця 1'!$B:$B,$A685,'Таблиця 1'!$I:$I,"Су-27",'Таблиця 1'!$L:$L,"НЕ уражено"))</f>
        <v/>
      </c>
      <c r="T685">
        <f>IF($A685="","",COUNTIFS('Таблиця 1'!$B:$B,$A685,'Таблиця 1'!$I:$I,"Mirage",'Таблиця 1'!$L:$L,"Дорозвідується")+COUNTIFS('Таблиця 1'!$B:$B,$A685,'Таблиця 1'!$I:$I,"F-16",'Таблиця 1'!$L:$L,"Дорозвідується")+COUNTIFS('Таблиця 1'!$B:$B,$A685,'Таблиця 1'!$I:$I,"МіГ-29",'Таблиця 1'!$L:$L,"Дорозвідується")+COUNTIFS('Таблиця 1'!$B:$B,$A685,'Таблиця 1'!$I:$I,"Су-25",'Таблиця 1'!$L:$L,"Дорозвідується")+COUNTIFS('Таблиця 1'!$B:$B,$A685,'Таблиця 1'!$I:$I,"Су-27",'Таблиця 1'!$L:$L,"Дорозвідується"))</f>
        <v/>
      </c>
    </row>
    <row r="686">
      <c r="A686" s="273">
        <f>IF(A685="","",IF(A685+1&gt;MAX('Таблиця 1'!$B:$B),"",A685+1))</f>
        <v/>
      </c>
      <c r="B686">
        <f>IF($A686="","",COUNTIFS('Таблиця 1'!$B:$B,$A686,'Таблиця 1'!$I:$I,"Mirage")+COUNTIFS('Таблиця 1'!$B:$B,$A686,'Таблиця 1'!$I:$I,"F-16")+COUNTIFS('Таблиця 1'!$B:$B,$A686,'Таблиця 1'!$I:$I,"МіГ-29")+COUNTIFS('Таблиця 1'!$B:$B,$A686,'Таблиця 1'!$I:$I,"Су-25")+COUNTIFS('Таблиця 1'!$B:$B,$A686,'Таблиця 1'!$I:$I,"Су-27"))</f>
        <v/>
      </c>
      <c r="C686">
        <f>IF($A686="","",COUNTIFS('Таблиця 1'!$B:$B,$A686,'Таблиця 1'!$I:$I,"Mirage"))</f>
        <v/>
      </c>
      <c r="D686">
        <f>IF($A686="","",COUNTIFS('Таблиця 1'!$B:$B,$A686,'Таблиця 1'!$I:$I,"F-16"))</f>
        <v/>
      </c>
      <c r="E686">
        <f>IF($A686="","",COUNTIFS('Таблиця 1'!$B:$B,$A686,'Таблиця 1'!$I:$I,"МіГ-29"))</f>
        <v/>
      </c>
      <c r="F686">
        <f>IF($A686="","",COUNTIFS('Таблиця 1'!$B:$B,$A686,'Таблиця 1'!$I:$I,"Су-25"))</f>
        <v/>
      </c>
      <c r="G686">
        <f>IF($A686="","",COUNTIFS('Таблиця 1'!$B:$B,$A686,'Таблиця 1'!$I:$I,"Су-27"))</f>
        <v/>
      </c>
      <c r="H686">
        <f>IF($A686="","",SUMIFS('Таблиця 1'!$K:$K,'Таблиця 1'!$B:$B,$A686,'Таблиця 1'!$I:$I,"Mirage",'Таблиця 1'!$J:$J,"AGM-88")+SUMIFS('Таблиця 1'!$K:$K,'Таблиця 1'!$B:$B,$A686,'Таблиця 1'!$I:$I,"F-16",'Таблиця 1'!$J:$J,"AGM-88")+SUMIFS('Таблиця 1'!$K:$K,'Таблиця 1'!$B:$B,$A686,'Таблиця 1'!$I:$I,"МіГ-29",'Таблиця 1'!$J:$J,"AGM-88")+SUMIFS('Таблиця 1'!$K:$K,'Таблиця 1'!$B:$B,$A686,'Таблиця 1'!$I:$I,"Су-25",'Таблиця 1'!$J:$J,"AGM-88")+SUMIFS('Таблиця 1'!$K:$K,'Таблиця 1'!$B:$B,$A686,'Таблиця 1'!$I:$I,"Су-27",'Таблиця 1'!$J:$J,"AGM-88"))</f>
        <v/>
      </c>
      <c r="I686">
        <f>IF($A686="","",SUMIFS('Таблиця 1'!$K:$K,'Таблиця 1'!$B:$B,$A686,'Таблиця 1'!$I:$I,"Mirage",'Таблиця 1'!$J:$J,"AASM-250")+SUMIFS('Таблиця 1'!$K:$K,'Таблиця 1'!$B:$B,$A686,'Таблиця 1'!$I:$I,"F-16",'Таблиця 1'!$J:$J,"AASM-250")+SUMIFS('Таблиця 1'!$K:$K,'Таблиця 1'!$B:$B,$A686,'Таблиця 1'!$I:$I,"МіГ-29",'Таблиця 1'!$J:$J,"AASM-250")+SUMIFS('Таблиця 1'!$K:$K,'Таблиця 1'!$B:$B,$A686,'Таблиця 1'!$I:$I,"Су-25",'Таблиця 1'!$J:$J,"AASM-250")+SUMIFS('Таблиця 1'!$K:$K,'Таблиця 1'!$B:$B,$A686,'Таблиця 1'!$I:$I,"Су-27",'Таблиця 1'!$J:$J,"AASM-250"))</f>
        <v/>
      </c>
      <c r="J686">
        <f>IF($A686="","",SUMIFS('Таблиця 1'!$K:$K,'Таблиця 1'!$B:$B,$A686,'Таблиця 1'!$I:$I,"Mirage",'Таблиця 1'!$J:$J,"GBU-39")+SUMIFS('Таблиця 1'!$K:$K,'Таблиця 1'!$B:$B,$A686,'Таблиця 1'!$I:$I,"F-16",'Таблиця 1'!$J:$J,"GBU-39")+SUMIFS('Таблиця 1'!$K:$K,'Таблиця 1'!$B:$B,$A686,'Таблиця 1'!$I:$I,"МіГ-29",'Таблиця 1'!$J:$J,"GBU-39")+SUMIFS('Таблиця 1'!$K:$K,'Таблиця 1'!$B:$B,$A686,'Таблиця 1'!$I:$I,"Су-25",'Таблиця 1'!$J:$J,"GBU-39")+SUMIFS('Таблиця 1'!$K:$K,'Таблиця 1'!$B:$B,$A686,'Таблиця 1'!$I:$I,"Су-27",'Таблиця 1'!$J:$J,"GBU-39"))</f>
        <v/>
      </c>
      <c r="K686">
        <f>IF($A686="","",SUMIFS('Таблиця 1'!$K:$K,'Таблиця 1'!$B:$B,$A686,'Таблиця 1'!$I:$I,"Mirage",'Таблиця 1'!$J:$J,"BLU-140")+SUMIFS('Таблиця 1'!$K:$K,'Таблиця 1'!$B:$B,$A686,'Таблиця 1'!$I:$I,"F-16",'Таблиця 1'!$J:$J,"BLU-140")+SUMIFS('Таблиця 1'!$K:$K,'Таблиця 1'!$B:$B,$A686,'Таблиця 1'!$I:$I,"МіГ-29",'Таблиця 1'!$J:$J,"BLU-140")+SUMIFS('Таблиця 1'!$K:$K,'Таблиця 1'!$B:$B,$A686,'Таблиця 1'!$I:$I,"Су-25",'Таблиця 1'!$J:$J,"BLU-140")+SUMIFS('Таблиця 1'!$K:$K,'Таблиця 1'!$B:$B,$A686,'Таблиця 1'!$I:$I,"Су-27",'Таблиця 1'!$J:$J,"BLU-140"))</f>
        <v/>
      </c>
      <c r="L686">
        <f>IF($A686="","",SUMIFS('Таблиця 1'!$K:$K,'Таблиця 1'!$B:$B,$A686,'Таблиця 1'!$I:$I,"Mirage",'Таблиця 1'!$J:$J,"GBU-65")+SUMIFS('Таблиця 1'!$K:$K,'Таблиця 1'!$B:$B,$A686,'Таблиця 1'!$I:$I,"F-16",'Таблиця 1'!$J:$J,"GBU-65")+SUMIFS('Таблиця 1'!$K:$K,'Таблиця 1'!$B:$B,$A686,'Таблиця 1'!$I:$I,"МіГ-29",'Таблиця 1'!$J:$J,"GBU-65")+SUMIFS('Таблиця 1'!$K:$K,'Таблиця 1'!$B:$B,$A686,'Таблиця 1'!$I:$I,"Су-25",'Таблиця 1'!$J:$J,"GBU-65")+SUMIFS('Таблиця 1'!$K:$K,'Таблиця 1'!$B:$B,$A686,'Таблиця 1'!$I:$I,"Су-27",'Таблиця 1'!$J:$J,"GBU-65"))</f>
        <v/>
      </c>
      <c r="M686">
        <f>IF($A686="","",SUMIFS('Таблиця 1'!$K:$K,'Таблиця 1'!$B:$B,$A686,'Таблиця 1'!$I:$I,"Mirage",'Таблиця 1'!$J:$J,"GBU-62")+SUMIFS('Таблиця 1'!$K:$K,'Таблиця 1'!$B:$B,$A686,'Таблиця 1'!$I:$I,"F-16",'Таблиця 1'!$J:$J,"GBU-62")+SUMIFS('Таблиця 1'!$K:$K,'Таблиця 1'!$B:$B,$A686,'Таблиця 1'!$I:$I,"МіГ-29",'Таблиця 1'!$J:$J,"GBU-62")+SUMIFS('Таблиця 1'!$K:$K,'Таблиця 1'!$B:$B,$A686,'Таблиця 1'!$I:$I,"Су-25",'Таблиця 1'!$J:$J,"GBU-62")+SUMIFS('Таблиця 1'!$K:$K,'Таблиця 1'!$B:$B,$A686,'Таблиця 1'!$I:$I,"Су-27",'Таблиця 1'!$J:$J,"GBU-62"))</f>
        <v/>
      </c>
      <c r="N686">
        <f>IF($A686="","",SUMIFS('Таблиця 1'!$K:$K,'Таблиця 1'!$B:$B,$A686,'Таблиця 1'!$I:$I,"Mirage",'Таблиця 1'!$J:$J,"GBU-64")+SUMIFS('Таблиця 1'!$K:$K,'Таблиця 1'!$B:$B,$A686,'Таблиця 1'!$I:$I,"F-16",'Таблиця 1'!$J:$J,"GBU-64")+SUMIFS('Таблиця 1'!$K:$K,'Таблиця 1'!$B:$B,$A686,'Таблиця 1'!$I:$I,"МіГ-29",'Таблиця 1'!$J:$J,"GBU-64")+SUMIFS('Таблиця 1'!$K:$K,'Таблиця 1'!$B:$B,$A686,'Таблиця 1'!$I:$I,"Су-25",'Таблиця 1'!$J:$J,"GBU-64")+SUMIFS('Таблиця 1'!$K:$K,'Таблиця 1'!$B:$B,$A686,'Таблиця 1'!$I:$I,"Су-27",'Таблиця 1'!$J:$J,"GBU-64"))</f>
        <v/>
      </c>
      <c r="O686">
        <f>IF($A686="","",SUMIFS('Таблиця 1'!$K:$K,'Таблиця 1'!$B:$B,$A686,'Таблиця 1'!$I:$I,"Mirage",'Таблиця 1'!$J:$J,"C-13")+SUMIFS('Таблиця 1'!$K:$K,'Таблиця 1'!$B:$B,$A686,'Таблиця 1'!$I:$I,"F-16",'Таблиця 1'!$J:$J,"C-13")+SUMIFS('Таблиця 1'!$K:$K,'Таблиця 1'!$B:$B,$A686,'Таблиця 1'!$I:$I,"МіГ-29",'Таблиця 1'!$J:$J,"C-13")+SUMIFS('Таблиця 1'!$K:$K,'Таблиця 1'!$B:$B,$A686,'Таблиця 1'!$I:$I,"Су-25",'Таблиця 1'!$J:$J,"C-13")+SUMIFS('Таблиця 1'!$K:$K,'Таблиця 1'!$B:$B,$A686,'Таблиця 1'!$I:$I,"Су-27",'Таблиця 1'!$J:$J,"C-13"))</f>
        <v/>
      </c>
      <c r="P686">
        <f>IF($A686="","",SUMIFS('Таблиця 1'!$K:$K,'Таблиця 1'!$B:$B,$A686,'Таблиця 1'!$I:$I,"Mirage",'Таблиця 1'!$J:$J,"MK-32")+SUMIFS('Таблиця 1'!$K:$K,'Таблиця 1'!$B:$B,$A686,'Таблиця 1'!$I:$I,"F-16",'Таблиця 1'!$J:$J,"MK-32")+SUMIFS('Таблиця 1'!$K:$K,'Таблиця 1'!$B:$B,$A686,'Таблиця 1'!$I:$I,"МіГ-29",'Таблиця 1'!$J:$J,"MK-32")+SUMIFS('Таблиця 1'!$K:$K,'Таблиця 1'!$B:$B,$A686,'Таблиця 1'!$I:$I,"Су-25",'Таблиця 1'!$J:$J,"MK-32")+SUMIFS('Таблиця 1'!$K:$K,'Таблиця 1'!$B:$B,$A686,'Таблиця 1'!$I:$I,"Су-27",'Таблиця 1'!$J:$J,"MK-32"))</f>
        <v/>
      </c>
      <c r="Q686">
        <f>IF($A686="","",SUMIFS('Таблиця 1'!$K:$K,'Таблиця 1'!$B:$B,$A686,'Таблиця 1'!$I:$I,"Mirage",'Таблиця 1'!$J:$J,"MK-24")+SUMIFS('Таблиця 1'!$K:$K,'Таблиця 1'!$B:$B,$A686,'Таблиця 1'!$I:$I,"F-16",'Таблиця 1'!$J:$J,"MK-24")+SUMIFS('Таблиця 1'!$K:$K,'Таблиця 1'!$B:$B,$A686,'Таблиця 1'!$I:$I,"МіГ-29",'Таблиця 1'!$J:$J,"MK-24")+SUMIFS('Таблиця 1'!$K:$K,'Таблиця 1'!$B:$B,$A686,'Таблиця 1'!$I:$I,"Су-25",'Таблиця 1'!$J:$J,"MK-24")+SUMIFS('Таблиця 1'!$K:$K,'Таблиця 1'!$B:$B,$A686,'Таблиця 1'!$I:$I,"Су-27",'Таблиця 1'!$J:$J,"MK-24"))</f>
        <v/>
      </c>
      <c r="R686">
        <f>IF($A686="","",COUNTIFS('Таблиця 1'!$B:$B,$A686,'Таблиця 1'!$I:$I,"Mirage",'Таблиця 1'!$L:$L,"Уражено")+COUNTIFS('Таблиця 1'!$B:$B,$A686,'Таблиця 1'!$I:$I,"F-16",'Таблиця 1'!$L:$L,"Уражено")+COUNTIFS('Таблиця 1'!$B:$B,$A686,'Таблиця 1'!$I:$I,"МіГ-29",'Таблиця 1'!$L:$L,"Уражено")+COUNTIFS('Таблиця 1'!$B:$B,$A686,'Таблиця 1'!$I:$I,"Су-25",'Таблиця 1'!$L:$L,"Уражено")+COUNTIFS('Таблиця 1'!$B:$B,$A686,'Таблиця 1'!$I:$I,"Су-27",'Таблиця 1'!$L:$L,"Уражено"))</f>
        <v/>
      </c>
      <c r="S686">
        <f>IF($A686="","",COUNTIFS('Таблиця 1'!$B:$B,$A686,'Таблиця 1'!$I:$I,"Mirage",'Таблиця 1'!$L:$L,"НЕ уражено")+COUNTIFS('Таблиця 1'!$B:$B,$A686,'Таблиця 1'!$I:$I,"F-16",'Таблиця 1'!$L:$L,"НЕ уражено")+COUNTIFS('Таблиця 1'!$B:$B,$A686,'Таблиця 1'!$I:$I,"МіГ-29",'Таблиця 1'!$L:$L,"НЕ уражено")+COUNTIFS('Таблиця 1'!$B:$B,$A686,'Таблиця 1'!$I:$I,"Су-25",'Таблиця 1'!$L:$L,"НЕ уражено")+COUNTIFS('Таблиця 1'!$B:$B,$A686,'Таблиця 1'!$I:$I,"Су-27",'Таблиця 1'!$L:$L,"НЕ уражено"))</f>
        <v/>
      </c>
      <c r="T686">
        <f>IF($A686="","",COUNTIFS('Таблиця 1'!$B:$B,$A686,'Таблиця 1'!$I:$I,"Mirage",'Таблиця 1'!$L:$L,"Дорозвідується")+COUNTIFS('Таблиця 1'!$B:$B,$A686,'Таблиця 1'!$I:$I,"F-16",'Таблиця 1'!$L:$L,"Дорозвідується")+COUNTIFS('Таблиця 1'!$B:$B,$A686,'Таблиця 1'!$I:$I,"МіГ-29",'Таблиця 1'!$L:$L,"Дорозвідується")+COUNTIFS('Таблиця 1'!$B:$B,$A686,'Таблиця 1'!$I:$I,"Су-25",'Таблиця 1'!$L:$L,"Дорозвідується")+COUNTIFS('Таблиця 1'!$B:$B,$A686,'Таблиця 1'!$I:$I,"Су-27",'Таблиця 1'!$L:$L,"Дорозвідується"))</f>
        <v/>
      </c>
    </row>
    <row r="687">
      <c r="A687" s="273">
        <f>IF(A686="","",IF(A686+1&gt;MAX('Таблиця 1'!$B:$B),"",A686+1))</f>
        <v/>
      </c>
      <c r="B687">
        <f>IF($A687="","",COUNTIFS('Таблиця 1'!$B:$B,$A687,'Таблиця 1'!$I:$I,"Mirage")+COUNTIFS('Таблиця 1'!$B:$B,$A687,'Таблиця 1'!$I:$I,"F-16")+COUNTIFS('Таблиця 1'!$B:$B,$A687,'Таблиця 1'!$I:$I,"МіГ-29")+COUNTIFS('Таблиця 1'!$B:$B,$A687,'Таблиця 1'!$I:$I,"Су-25")+COUNTIFS('Таблиця 1'!$B:$B,$A687,'Таблиця 1'!$I:$I,"Су-27"))</f>
        <v/>
      </c>
      <c r="C687">
        <f>IF($A687="","",COUNTIFS('Таблиця 1'!$B:$B,$A687,'Таблиця 1'!$I:$I,"Mirage"))</f>
        <v/>
      </c>
      <c r="D687">
        <f>IF($A687="","",COUNTIFS('Таблиця 1'!$B:$B,$A687,'Таблиця 1'!$I:$I,"F-16"))</f>
        <v/>
      </c>
      <c r="E687">
        <f>IF($A687="","",COUNTIFS('Таблиця 1'!$B:$B,$A687,'Таблиця 1'!$I:$I,"МіГ-29"))</f>
        <v/>
      </c>
      <c r="F687">
        <f>IF($A687="","",COUNTIFS('Таблиця 1'!$B:$B,$A687,'Таблиця 1'!$I:$I,"Су-25"))</f>
        <v/>
      </c>
      <c r="G687">
        <f>IF($A687="","",COUNTIFS('Таблиця 1'!$B:$B,$A687,'Таблиця 1'!$I:$I,"Су-27"))</f>
        <v/>
      </c>
      <c r="H687">
        <f>IF($A687="","",SUMIFS('Таблиця 1'!$K:$K,'Таблиця 1'!$B:$B,$A687,'Таблиця 1'!$I:$I,"Mirage",'Таблиця 1'!$J:$J,"AGM-88")+SUMIFS('Таблиця 1'!$K:$K,'Таблиця 1'!$B:$B,$A687,'Таблиця 1'!$I:$I,"F-16",'Таблиця 1'!$J:$J,"AGM-88")+SUMIFS('Таблиця 1'!$K:$K,'Таблиця 1'!$B:$B,$A687,'Таблиця 1'!$I:$I,"МіГ-29",'Таблиця 1'!$J:$J,"AGM-88")+SUMIFS('Таблиця 1'!$K:$K,'Таблиця 1'!$B:$B,$A687,'Таблиця 1'!$I:$I,"Су-25",'Таблиця 1'!$J:$J,"AGM-88")+SUMIFS('Таблиця 1'!$K:$K,'Таблиця 1'!$B:$B,$A687,'Таблиця 1'!$I:$I,"Су-27",'Таблиця 1'!$J:$J,"AGM-88"))</f>
        <v/>
      </c>
      <c r="I687">
        <f>IF($A687="","",SUMIFS('Таблиця 1'!$K:$K,'Таблиця 1'!$B:$B,$A687,'Таблиця 1'!$I:$I,"Mirage",'Таблиця 1'!$J:$J,"AASM-250")+SUMIFS('Таблиця 1'!$K:$K,'Таблиця 1'!$B:$B,$A687,'Таблиця 1'!$I:$I,"F-16",'Таблиця 1'!$J:$J,"AASM-250")+SUMIFS('Таблиця 1'!$K:$K,'Таблиця 1'!$B:$B,$A687,'Таблиця 1'!$I:$I,"МіГ-29",'Таблиця 1'!$J:$J,"AASM-250")+SUMIFS('Таблиця 1'!$K:$K,'Таблиця 1'!$B:$B,$A687,'Таблиця 1'!$I:$I,"Су-25",'Таблиця 1'!$J:$J,"AASM-250")+SUMIFS('Таблиця 1'!$K:$K,'Таблиця 1'!$B:$B,$A687,'Таблиця 1'!$I:$I,"Су-27",'Таблиця 1'!$J:$J,"AASM-250"))</f>
        <v/>
      </c>
      <c r="J687">
        <f>IF($A687="","",SUMIFS('Таблиця 1'!$K:$K,'Таблиця 1'!$B:$B,$A687,'Таблиця 1'!$I:$I,"Mirage",'Таблиця 1'!$J:$J,"GBU-39")+SUMIFS('Таблиця 1'!$K:$K,'Таблиця 1'!$B:$B,$A687,'Таблиця 1'!$I:$I,"F-16",'Таблиця 1'!$J:$J,"GBU-39")+SUMIFS('Таблиця 1'!$K:$K,'Таблиця 1'!$B:$B,$A687,'Таблиця 1'!$I:$I,"МіГ-29",'Таблиця 1'!$J:$J,"GBU-39")+SUMIFS('Таблиця 1'!$K:$K,'Таблиця 1'!$B:$B,$A687,'Таблиця 1'!$I:$I,"Су-25",'Таблиця 1'!$J:$J,"GBU-39")+SUMIFS('Таблиця 1'!$K:$K,'Таблиця 1'!$B:$B,$A687,'Таблиця 1'!$I:$I,"Су-27",'Таблиця 1'!$J:$J,"GBU-39"))</f>
        <v/>
      </c>
      <c r="K687">
        <f>IF($A687="","",SUMIFS('Таблиця 1'!$K:$K,'Таблиця 1'!$B:$B,$A687,'Таблиця 1'!$I:$I,"Mirage",'Таблиця 1'!$J:$J,"BLU-140")+SUMIFS('Таблиця 1'!$K:$K,'Таблиця 1'!$B:$B,$A687,'Таблиця 1'!$I:$I,"F-16",'Таблиця 1'!$J:$J,"BLU-140")+SUMIFS('Таблиця 1'!$K:$K,'Таблиця 1'!$B:$B,$A687,'Таблиця 1'!$I:$I,"МіГ-29",'Таблиця 1'!$J:$J,"BLU-140")+SUMIFS('Таблиця 1'!$K:$K,'Таблиця 1'!$B:$B,$A687,'Таблиця 1'!$I:$I,"Су-25",'Таблиця 1'!$J:$J,"BLU-140")+SUMIFS('Таблиця 1'!$K:$K,'Таблиця 1'!$B:$B,$A687,'Таблиця 1'!$I:$I,"Су-27",'Таблиця 1'!$J:$J,"BLU-140"))</f>
        <v/>
      </c>
      <c r="L687">
        <f>IF($A687="","",SUMIFS('Таблиця 1'!$K:$K,'Таблиця 1'!$B:$B,$A687,'Таблиця 1'!$I:$I,"Mirage",'Таблиця 1'!$J:$J,"GBU-65")+SUMIFS('Таблиця 1'!$K:$K,'Таблиця 1'!$B:$B,$A687,'Таблиця 1'!$I:$I,"F-16",'Таблиця 1'!$J:$J,"GBU-65")+SUMIFS('Таблиця 1'!$K:$K,'Таблиця 1'!$B:$B,$A687,'Таблиця 1'!$I:$I,"МіГ-29",'Таблиця 1'!$J:$J,"GBU-65")+SUMIFS('Таблиця 1'!$K:$K,'Таблиця 1'!$B:$B,$A687,'Таблиця 1'!$I:$I,"Су-25",'Таблиця 1'!$J:$J,"GBU-65")+SUMIFS('Таблиця 1'!$K:$K,'Таблиця 1'!$B:$B,$A687,'Таблиця 1'!$I:$I,"Су-27",'Таблиця 1'!$J:$J,"GBU-65"))</f>
        <v/>
      </c>
      <c r="M687">
        <f>IF($A687="","",SUMIFS('Таблиця 1'!$K:$K,'Таблиця 1'!$B:$B,$A687,'Таблиця 1'!$I:$I,"Mirage",'Таблиця 1'!$J:$J,"GBU-62")+SUMIFS('Таблиця 1'!$K:$K,'Таблиця 1'!$B:$B,$A687,'Таблиця 1'!$I:$I,"F-16",'Таблиця 1'!$J:$J,"GBU-62")+SUMIFS('Таблиця 1'!$K:$K,'Таблиця 1'!$B:$B,$A687,'Таблиця 1'!$I:$I,"МіГ-29",'Таблиця 1'!$J:$J,"GBU-62")+SUMIFS('Таблиця 1'!$K:$K,'Таблиця 1'!$B:$B,$A687,'Таблиця 1'!$I:$I,"Су-25",'Таблиця 1'!$J:$J,"GBU-62")+SUMIFS('Таблиця 1'!$K:$K,'Таблиця 1'!$B:$B,$A687,'Таблиця 1'!$I:$I,"Су-27",'Таблиця 1'!$J:$J,"GBU-62"))</f>
        <v/>
      </c>
      <c r="N687">
        <f>IF($A687="","",SUMIFS('Таблиця 1'!$K:$K,'Таблиця 1'!$B:$B,$A687,'Таблиця 1'!$I:$I,"Mirage",'Таблиця 1'!$J:$J,"GBU-64")+SUMIFS('Таблиця 1'!$K:$K,'Таблиця 1'!$B:$B,$A687,'Таблиця 1'!$I:$I,"F-16",'Таблиця 1'!$J:$J,"GBU-64")+SUMIFS('Таблиця 1'!$K:$K,'Таблиця 1'!$B:$B,$A687,'Таблиця 1'!$I:$I,"МіГ-29",'Таблиця 1'!$J:$J,"GBU-64")+SUMIFS('Таблиця 1'!$K:$K,'Таблиця 1'!$B:$B,$A687,'Таблиця 1'!$I:$I,"Су-25",'Таблиця 1'!$J:$J,"GBU-64")+SUMIFS('Таблиця 1'!$K:$K,'Таблиця 1'!$B:$B,$A687,'Таблиця 1'!$I:$I,"Су-27",'Таблиця 1'!$J:$J,"GBU-64"))</f>
        <v/>
      </c>
      <c r="O687">
        <f>IF($A687="","",SUMIFS('Таблиця 1'!$K:$K,'Таблиця 1'!$B:$B,$A687,'Таблиця 1'!$I:$I,"Mirage",'Таблиця 1'!$J:$J,"C-13")+SUMIFS('Таблиця 1'!$K:$K,'Таблиця 1'!$B:$B,$A687,'Таблиця 1'!$I:$I,"F-16",'Таблиця 1'!$J:$J,"C-13")+SUMIFS('Таблиця 1'!$K:$K,'Таблиця 1'!$B:$B,$A687,'Таблиця 1'!$I:$I,"МіГ-29",'Таблиця 1'!$J:$J,"C-13")+SUMIFS('Таблиця 1'!$K:$K,'Таблиця 1'!$B:$B,$A687,'Таблиця 1'!$I:$I,"Су-25",'Таблиця 1'!$J:$J,"C-13")+SUMIFS('Таблиця 1'!$K:$K,'Таблиця 1'!$B:$B,$A687,'Таблиця 1'!$I:$I,"Су-27",'Таблиця 1'!$J:$J,"C-13"))</f>
        <v/>
      </c>
      <c r="P687">
        <f>IF($A687="","",SUMIFS('Таблиця 1'!$K:$K,'Таблиця 1'!$B:$B,$A687,'Таблиця 1'!$I:$I,"Mirage",'Таблиця 1'!$J:$J,"MK-32")+SUMIFS('Таблиця 1'!$K:$K,'Таблиця 1'!$B:$B,$A687,'Таблиця 1'!$I:$I,"F-16",'Таблиця 1'!$J:$J,"MK-32")+SUMIFS('Таблиця 1'!$K:$K,'Таблиця 1'!$B:$B,$A687,'Таблиця 1'!$I:$I,"МіГ-29",'Таблиця 1'!$J:$J,"MK-32")+SUMIFS('Таблиця 1'!$K:$K,'Таблиця 1'!$B:$B,$A687,'Таблиця 1'!$I:$I,"Су-25",'Таблиця 1'!$J:$J,"MK-32")+SUMIFS('Таблиця 1'!$K:$K,'Таблиця 1'!$B:$B,$A687,'Таблиця 1'!$I:$I,"Су-27",'Таблиця 1'!$J:$J,"MK-32"))</f>
        <v/>
      </c>
      <c r="Q687">
        <f>IF($A687="","",SUMIFS('Таблиця 1'!$K:$K,'Таблиця 1'!$B:$B,$A687,'Таблиця 1'!$I:$I,"Mirage",'Таблиця 1'!$J:$J,"MK-24")+SUMIFS('Таблиця 1'!$K:$K,'Таблиця 1'!$B:$B,$A687,'Таблиця 1'!$I:$I,"F-16",'Таблиця 1'!$J:$J,"MK-24")+SUMIFS('Таблиця 1'!$K:$K,'Таблиця 1'!$B:$B,$A687,'Таблиця 1'!$I:$I,"МіГ-29",'Таблиця 1'!$J:$J,"MK-24")+SUMIFS('Таблиця 1'!$K:$K,'Таблиця 1'!$B:$B,$A687,'Таблиця 1'!$I:$I,"Су-25",'Таблиця 1'!$J:$J,"MK-24")+SUMIFS('Таблиця 1'!$K:$K,'Таблиця 1'!$B:$B,$A687,'Таблиця 1'!$I:$I,"Су-27",'Таблиця 1'!$J:$J,"MK-24"))</f>
        <v/>
      </c>
      <c r="R687">
        <f>IF($A687="","",COUNTIFS('Таблиця 1'!$B:$B,$A687,'Таблиця 1'!$I:$I,"Mirage",'Таблиця 1'!$L:$L,"Уражено")+COUNTIFS('Таблиця 1'!$B:$B,$A687,'Таблиця 1'!$I:$I,"F-16",'Таблиця 1'!$L:$L,"Уражено")+COUNTIFS('Таблиця 1'!$B:$B,$A687,'Таблиця 1'!$I:$I,"МіГ-29",'Таблиця 1'!$L:$L,"Уражено")+COUNTIFS('Таблиця 1'!$B:$B,$A687,'Таблиця 1'!$I:$I,"Су-25",'Таблиця 1'!$L:$L,"Уражено")+COUNTIFS('Таблиця 1'!$B:$B,$A687,'Таблиця 1'!$I:$I,"Су-27",'Таблиця 1'!$L:$L,"Уражено"))</f>
        <v/>
      </c>
      <c r="S687">
        <f>IF($A687="","",COUNTIFS('Таблиця 1'!$B:$B,$A687,'Таблиця 1'!$I:$I,"Mirage",'Таблиця 1'!$L:$L,"НЕ уражено")+COUNTIFS('Таблиця 1'!$B:$B,$A687,'Таблиця 1'!$I:$I,"F-16",'Таблиця 1'!$L:$L,"НЕ уражено")+COUNTIFS('Таблиця 1'!$B:$B,$A687,'Таблиця 1'!$I:$I,"МіГ-29",'Таблиця 1'!$L:$L,"НЕ уражено")+COUNTIFS('Таблиця 1'!$B:$B,$A687,'Таблиця 1'!$I:$I,"Су-25",'Таблиця 1'!$L:$L,"НЕ уражено")+COUNTIFS('Таблиця 1'!$B:$B,$A687,'Таблиця 1'!$I:$I,"Су-27",'Таблиця 1'!$L:$L,"НЕ уражено"))</f>
        <v/>
      </c>
      <c r="T687">
        <f>IF($A687="","",COUNTIFS('Таблиця 1'!$B:$B,$A687,'Таблиця 1'!$I:$I,"Mirage",'Таблиця 1'!$L:$L,"Дорозвідується")+COUNTIFS('Таблиця 1'!$B:$B,$A687,'Таблиця 1'!$I:$I,"F-16",'Таблиця 1'!$L:$L,"Дорозвідується")+COUNTIFS('Таблиця 1'!$B:$B,$A687,'Таблиця 1'!$I:$I,"МіГ-29",'Таблиця 1'!$L:$L,"Дорозвідується")+COUNTIFS('Таблиця 1'!$B:$B,$A687,'Таблиця 1'!$I:$I,"Су-25",'Таблиця 1'!$L:$L,"Дорозвідується")+COUNTIFS('Таблиця 1'!$B:$B,$A687,'Таблиця 1'!$I:$I,"Су-27",'Таблиця 1'!$L:$L,"Дорозвідується"))</f>
        <v/>
      </c>
    </row>
    <row r="688">
      <c r="A688" s="273">
        <f>IF(A687="","",IF(A687+1&gt;MAX('Таблиця 1'!$B:$B),"",A687+1))</f>
        <v/>
      </c>
      <c r="B688">
        <f>IF($A688="","",COUNTIFS('Таблиця 1'!$B:$B,$A688,'Таблиця 1'!$I:$I,"Mirage")+COUNTIFS('Таблиця 1'!$B:$B,$A688,'Таблиця 1'!$I:$I,"F-16")+COUNTIFS('Таблиця 1'!$B:$B,$A688,'Таблиця 1'!$I:$I,"МіГ-29")+COUNTIFS('Таблиця 1'!$B:$B,$A688,'Таблиця 1'!$I:$I,"Су-25")+COUNTIFS('Таблиця 1'!$B:$B,$A688,'Таблиця 1'!$I:$I,"Су-27"))</f>
        <v/>
      </c>
      <c r="C688">
        <f>IF($A688="","",COUNTIFS('Таблиця 1'!$B:$B,$A688,'Таблиця 1'!$I:$I,"Mirage"))</f>
        <v/>
      </c>
      <c r="D688">
        <f>IF($A688="","",COUNTIFS('Таблиця 1'!$B:$B,$A688,'Таблиця 1'!$I:$I,"F-16"))</f>
        <v/>
      </c>
      <c r="E688">
        <f>IF($A688="","",COUNTIFS('Таблиця 1'!$B:$B,$A688,'Таблиця 1'!$I:$I,"МіГ-29"))</f>
        <v/>
      </c>
      <c r="F688">
        <f>IF($A688="","",COUNTIFS('Таблиця 1'!$B:$B,$A688,'Таблиця 1'!$I:$I,"Су-25"))</f>
        <v/>
      </c>
      <c r="G688">
        <f>IF($A688="","",COUNTIFS('Таблиця 1'!$B:$B,$A688,'Таблиця 1'!$I:$I,"Су-27"))</f>
        <v/>
      </c>
      <c r="H688">
        <f>IF($A688="","",SUMIFS('Таблиця 1'!$K:$K,'Таблиця 1'!$B:$B,$A688,'Таблиця 1'!$I:$I,"Mirage",'Таблиця 1'!$J:$J,"AGM-88")+SUMIFS('Таблиця 1'!$K:$K,'Таблиця 1'!$B:$B,$A688,'Таблиця 1'!$I:$I,"F-16",'Таблиця 1'!$J:$J,"AGM-88")+SUMIFS('Таблиця 1'!$K:$K,'Таблиця 1'!$B:$B,$A688,'Таблиця 1'!$I:$I,"МіГ-29",'Таблиця 1'!$J:$J,"AGM-88")+SUMIFS('Таблиця 1'!$K:$K,'Таблиця 1'!$B:$B,$A688,'Таблиця 1'!$I:$I,"Су-25",'Таблиця 1'!$J:$J,"AGM-88")+SUMIFS('Таблиця 1'!$K:$K,'Таблиця 1'!$B:$B,$A688,'Таблиця 1'!$I:$I,"Су-27",'Таблиця 1'!$J:$J,"AGM-88"))</f>
        <v/>
      </c>
      <c r="I688">
        <f>IF($A688="","",SUMIFS('Таблиця 1'!$K:$K,'Таблиця 1'!$B:$B,$A688,'Таблиця 1'!$I:$I,"Mirage",'Таблиця 1'!$J:$J,"AASM-250")+SUMIFS('Таблиця 1'!$K:$K,'Таблиця 1'!$B:$B,$A688,'Таблиця 1'!$I:$I,"F-16",'Таблиця 1'!$J:$J,"AASM-250")+SUMIFS('Таблиця 1'!$K:$K,'Таблиця 1'!$B:$B,$A688,'Таблиця 1'!$I:$I,"МіГ-29",'Таблиця 1'!$J:$J,"AASM-250")+SUMIFS('Таблиця 1'!$K:$K,'Таблиця 1'!$B:$B,$A688,'Таблиця 1'!$I:$I,"Су-25",'Таблиця 1'!$J:$J,"AASM-250")+SUMIFS('Таблиця 1'!$K:$K,'Таблиця 1'!$B:$B,$A688,'Таблиця 1'!$I:$I,"Су-27",'Таблиця 1'!$J:$J,"AASM-250"))</f>
        <v/>
      </c>
      <c r="J688">
        <f>IF($A688="","",SUMIFS('Таблиця 1'!$K:$K,'Таблиця 1'!$B:$B,$A688,'Таблиця 1'!$I:$I,"Mirage",'Таблиця 1'!$J:$J,"GBU-39")+SUMIFS('Таблиця 1'!$K:$K,'Таблиця 1'!$B:$B,$A688,'Таблиця 1'!$I:$I,"F-16",'Таблиця 1'!$J:$J,"GBU-39")+SUMIFS('Таблиця 1'!$K:$K,'Таблиця 1'!$B:$B,$A688,'Таблиця 1'!$I:$I,"МіГ-29",'Таблиця 1'!$J:$J,"GBU-39")+SUMIFS('Таблиця 1'!$K:$K,'Таблиця 1'!$B:$B,$A688,'Таблиця 1'!$I:$I,"Су-25",'Таблиця 1'!$J:$J,"GBU-39")+SUMIFS('Таблиця 1'!$K:$K,'Таблиця 1'!$B:$B,$A688,'Таблиця 1'!$I:$I,"Су-27",'Таблиця 1'!$J:$J,"GBU-39"))</f>
        <v/>
      </c>
      <c r="K688">
        <f>IF($A688="","",SUMIFS('Таблиця 1'!$K:$K,'Таблиця 1'!$B:$B,$A688,'Таблиця 1'!$I:$I,"Mirage",'Таблиця 1'!$J:$J,"BLU-140")+SUMIFS('Таблиця 1'!$K:$K,'Таблиця 1'!$B:$B,$A688,'Таблиця 1'!$I:$I,"F-16",'Таблиця 1'!$J:$J,"BLU-140")+SUMIFS('Таблиця 1'!$K:$K,'Таблиця 1'!$B:$B,$A688,'Таблиця 1'!$I:$I,"МіГ-29",'Таблиця 1'!$J:$J,"BLU-140")+SUMIFS('Таблиця 1'!$K:$K,'Таблиця 1'!$B:$B,$A688,'Таблиця 1'!$I:$I,"Су-25",'Таблиця 1'!$J:$J,"BLU-140")+SUMIFS('Таблиця 1'!$K:$K,'Таблиця 1'!$B:$B,$A688,'Таблиця 1'!$I:$I,"Су-27",'Таблиця 1'!$J:$J,"BLU-140"))</f>
        <v/>
      </c>
      <c r="L688">
        <f>IF($A688="","",SUMIFS('Таблиця 1'!$K:$K,'Таблиця 1'!$B:$B,$A688,'Таблиця 1'!$I:$I,"Mirage",'Таблиця 1'!$J:$J,"GBU-65")+SUMIFS('Таблиця 1'!$K:$K,'Таблиця 1'!$B:$B,$A688,'Таблиця 1'!$I:$I,"F-16",'Таблиця 1'!$J:$J,"GBU-65")+SUMIFS('Таблиця 1'!$K:$K,'Таблиця 1'!$B:$B,$A688,'Таблиця 1'!$I:$I,"МіГ-29",'Таблиця 1'!$J:$J,"GBU-65")+SUMIFS('Таблиця 1'!$K:$K,'Таблиця 1'!$B:$B,$A688,'Таблиця 1'!$I:$I,"Су-25",'Таблиця 1'!$J:$J,"GBU-65")+SUMIFS('Таблиця 1'!$K:$K,'Таблиця 1'!$B:$B,$A688,'Таблиця 1'!$I:$I,"Су-27",'Таблиця 1'!$J:$J,"GBU-65"))</f>
        <v/>
      </c>
      <c r="M688">
        <f>IF($A688="","",SUMIFS('Таблиця 1'!$K:$K,'Таблиця 1'!$B:$B,$A688,'Таблиця 1'!$I:$I,"Mirage",'Таблиця 1'!$J:$J,"GBU-62")+SUMIFS('Таблиця 1'!$K:$K,'Таблиця 1'!$B:$B,$A688,'Таблиця 1'!$I:$I,"F-16",'Таблиця 1'!$J:$J,"GBU-62")+SUMIFS('Таблиця 1'!$K:$K,'Таблиця 1'!$B:$B,$A688,'Таблиця 1'!$I:$I,"МіГ-29",'Таблиця 1'!$J:$J,"GBU-62")+SUMIFS('Таблиця 1'!$K:$K,'Таблиця 1'!$B:$B,$A688,'Таблиця 1'!$I:$I,"Су-25",'Таблиця 1'!$J:$J,"GBU-62")+SUMIFS('Таблиця 1'!$K:$K,'Таблиця 1'!$B:$B,$A688,'Таблиця 1'!$I:$I,"Су-27",'Таблиця 1'!$J:$J,"GBU-62"))</f>
        <v/>
      </c>
      <c r="N688">
        <f>IF($A688="","",SUMIFS('Таблиця 1'!$K:$K,'Таблиця 1'!$B:$B,$A688,'Таблиця 1'!$I:$I,"Mirage",'Таблиця 1'!$J:$J,"GBU-64")+SUMIFS('Таблиця 1'!$K:$K,'Таблиця 1'!$B:$B,$A688,'Таблиця 1'!$I:$I,"F-16",'Таблиця 1'!$J:$J,"GBU-64")+SUMIFS('Таблиця 1'!$K:$K,'Таблиця 1'!$B:$B,$A688,'Таблиця 1'!$I:$I,"МіГ-29",'Таблиця 1'!$J:$J,"GBU-64")+SUMIFS('Таблиця 1'!$K:$K,'Таблиця 1'!$B:$B,$A688,'Таблиця 1'!$I:$I,"Су-25",'Таблиця 1'!$J:$J,"GBU-64")+SUMIFS('Таблиця 1'!$K:$K,'Таблиця 1'!$B:$B,$A688,'Таблиця 1'!$I:$I,"Су-27",'Таблиця 1'!$J:$J,"GBU-64"))</f>
        <v/>
      </c>
      <c r="O688">
        <f>IF($A688="","",SUMIFS('Таблиця 1'!$K:$K,'Таблиця 1'!$B:$B,$A688,'Таблиця 1'!$I:$I,"Mirage",'Таблиця 1'!$J:$J,"C-13")+SUMIFS('Таблиця 1'!$K:$K,'Таблиця 1'!$B:$B,$A688,'Таблиця 1'!$I:$I,"F-16",'Таблиця 1'!$J:$J,"C-13")+SUMIFS('Таблиця 1'!$K:$K,'Таблиця 1'!$B:$B,$A688,'Таблиця 1'!$I:$I,"МіГ-29",'Таблиця 1'!$J:$J,"C-13")+SUMIFS('Таблиця 1'!$K:$K,'Таблиця 1'!$B:$B,$A688,'Таблиця 1'!$I:$I,"Су-25",'Таблиця 1'!$J:$J,"C-13")+SUMIFS('Таблиця 1'!$K:$K,'Таблиця 1'!$B:$B,$A688,'Таблиця 1'!$I:$I,"Су-27",'Таблиця 1'!$J:$J,"C-13"))</f>
        <v/>
      </c>
      <c r="P688">
        <f>IF($A688="","",SUMIFS('Таблиця 1'!$K:$K,'Таблиця 1'!$B:$B,$A688,'Таблиця 1'!$I:$I,"Mirage",'Таблиця 1'!$J:$J,"MK-32")+SUMIFS('Таблиця 1'!$K:$K,'Таблиця 1'!$B:$B,$A688,'Таблиця 1'!$I:$I,"F-16",'Таблиця 1'!$J:$J,"MK-32")+SUMIFS('Таблиця 1'!$K:$K,'Таблиця 1'!$B:$B,$A688,'Таблиця 1'!$I:$I,"МіГ-29",'Таблиця 1'!$J:$J,"MK-32")+SUMIFS('Таблиця 1'!$K:$K,'Таблиця 1'!$B:$B,$A688,'Таблиця 1'!$I:$I,"Су-25",'Таблиця 1'!$J:$J,"MK-32")+SUMIFS('Таблиця 1'!$K:$K,'Таблиця 1'!$B:$B,$A688,'Таблиця 1'!$I:$I,"Су-27",'Таблиця 1'!$J:$J,"MK-32"))</f>
        <v/>
      </c>
      <c r="Q688">
        <f>IF($A688="","",SUMIFS('Таблиця 1'!$K:$K,'Таблиця 1'!$B:$B,$A688,'Таблиця 1'!$I:$I,"Mirage",'Таблиця 1'!$J:$J,"MK-24")+SUMIFS('Таблиця 1'!$K:$K,'Таблиця 1'!$B:$B,$A688,'Таблиця 1'!$I:$I,"F-16",'Таблиця 1'!$J:$J,"MK-24")+SUMIFS('Таблиця 1'!$K:$K,'Таблиця 1'!$B:$B,$A688,'Таблиця 1'!$I:$I,"МіГ-29",'Таблиця 1'!$J:$J,"MK-24")+SUMIFS('Таблиця 1'!$K:$K,'Таблиця 1'!$B:$B,$A688,'Таблиця 1'!$I:$I,"Су-25",'Таблиця 1'!$J:$J,"MK-24")+SUMIFS('Таблиця 1'!$K:$K,'Таблиця 1'!$B:$B,$A688,'Таблиця 1'!$I:$I,"Су-27",'Таблиця 1'!$J:$J,"MK-24"))</f>
        <v/>
      </c>
      <c r="R688">
        <f>IF($A688="","",COUNTIFS('Таблиця 1'!$B:$B,$A688,'Таблиця 1'!$I:$I,"Mirage",'Таблиця 1'!$L:$L,"Уражено")+COUNTIFS('Таблиця 1'!$B:$B,$A688,'Таблиця 1'!$I:$I,"F-16",'Таблиця 1'!$L:$L,"Уражено")+COUNTIFS('Таблиця 1'!$B:$B,$A688,'Таблиця 1'!$I:$I,"МіГ-29",'Таблиця 1'!$L:$L,"Уражено")+COUNTIFS('Таблиця 1'!$B:$B,$A688,'Таблиця 1'!$I:$I,"Су-25",'Таблиця 1'!$L:$L,"Уражено")+COUNTIFS('Таблиця 1'!$B:$B,$A688,'Таблиця 1'!$I:$I,"Су-27",'Таблиця 1'!$L:$L,"Уражено"))</f>
        <v/>
      </c>
      <c r="S688">
        <f>IF($A688="","",COUNTIFS('Таблиця 1'!$B:$B,$A688,'Таблиця 1'!$I:$I,"Mirage",'Таблиця 1'!$L:$L,"НЕ уражено")+COUNTIFS('Таблиця 1'!$B:$B,$A688,'Таблиця 1'!$I:$I,"F-16",'Таблиця 1'!$L:$L,"НЕ уражено")+COUNTIFS('Таблиця 1'!$B:$B,$A688,'Таблиця 1'!$I:$I,"МіГ-29",'Таблиця 1'!$L:$L,"НЕ уражено")+COUNTIFS('Таблиця 1'!$B:$B,$A688,'Таблиця 1'!$I:$I,"Су-25",'Таблиця 1'!$L:$L,"НЕ уражено")+COUNTIFS('Таблиця 1'!$B:$B,$A688,'Таблиця 1'!$I:$I,"Су-27",'Таблиця 1'!$L:$L,"НЕ уражено"))</f>
        <v/>
      </c>
      <c r="T688">
        <f>IF($A688="","",COUNTIFS('Таблиця 1'!$B:$B,$A688,'Таблиця 1'!$I:$I,"Mirage",'Таблиця 1'!$L:$L,"Дорозвідується")+COUNTIFS('Таблиця 1'!$B:$B,$A688,'Таблиця 1'!$I:$I,"F-16",'Таблиця 1'!$L:$L,"Дорозвідується")+COUNTIFS('Таблиця 1'!$B:$B,$A688,'Таблиця 1'!$I:$I,"МіГ-29",'Таблиця 1'!$L:$L,"Дорозвідується")+COUNTIFS('Таблиця 1'!$B:$B,$A688,'Таблиця 1'!$I:$I,"Су-25",'Таблиця 1'!$L:$L,"Дорозвідується")+COUNTIFS('Таблиця 1'!$B:$B,$A688,'Таблиця 1'!$I:$I,"Су-27",'Таблиця 1'!$L:$L,"Дорозвідується"))</f>
        <v/>
      </c>
    </row>
    <row r="689">
      <c r="A689" s="273">
        <f>IF(A688="","",IF(A688+1&gt;MAX('Таблиця 1'!$B:$B),"",A688+1))</f>
        <v/>
      </c>
      <c r="B689">
        <f>IF($A689="","",COUNTIFS('Таблиця 1'!$B:$B,$A689,'Таблиця 1'!$I:$I,"Mirage")+COUNTIFS('Таблиця 1'!$B:$B,$A689,'Таблиця 1'!$I:$I,"F-16")+COUNTIFS('Таблиця 1'!$B:$B,$A689,'Таблиця 1'!$I:$I,"МіГ-29")+COUNTIFS('Таблиця 1'!$B:$B,$A689,'Таблиця 1'!$I:$I,"Су-25")+COUNTIFS('Таблиця 1'!$B:$B,$A689,'Таблиця 1'!$I:$I,"Су-27"))</f>
        <v/>
      </c>
      <c r="C689">
        <f>IF($A689="","",COUNTIFS('Таблиця 1'!$B:$B,$A689,'Таблиця 1'!$I:$I,"Mirage"))</f>
        <v/>
      </c>
      <c r="D689">
        <f>IF($A689="","",COUNTIFS('Таблиця 1'!$B:$B,$A689,'Таблиця 1'!$I:$I,"F-16"))</f>
        <v/>
      </c>
      <c r="E689">
        <f>IF($A689="","",COUNTIFS('Таблиця 1'!$B:$B,$A689,'Таблиця 1'!$I:$I,"МіГ-29"))</f>
        <v/>
      </c>
      <c r="F689">
        <f>IF($A689="","",COUNTIFS('Таблиця 1'!$B:$B,$A689,'Таблиця 1'!$I:$I,"Су-25"))</f>
        <v/>
      </c>
      <c r="G689">
        <f>IF($A689="","",COUNTIFS('Таблиця 1'!$B:$B,$A689,'Таблиця 1'!$I:$I,"Су-27"))</f>
        <v/>
      </c>
      <c r="H689">
        <f>IF($A689="","",SUMIFS('Таблиця 1'!$K:$K,'Таблиця 1'!$B:$B,$A689,'Таблиця 1'!$I:$I,"Mirage",'Таблиця 1'!$J:$J,"AGM-88")+SUMIFS('Таблиця 1'!$K:$K,'Таблиця 1'!$B:$B,$A689,'Таблиця 1'!$I:$I,"F-16",'Таблиця 1'!$J:$J,"AGM-88")+SUMIFS('Таблиця 1'!$K:$K,'Таблиця 1'!$B:$B,$A689,'Таблиця 1'!$I:$I,"МіГ-29",'Таблиця 1'!$J:$J,"AGM-88")+SUMIFS('Таблиця 1'!$K:$K,'Таблиця 1'!$B:$B,$A689,'Таблиця 1'!$I:$I,"Су-25",'Таблиця 1'!$J:$J,"AGM-88")+SUMIFS('Таблиця 1'!$K:$K,'Таблиця 1'!$B:$B,$A689,'Таблиця 1'!$I:$I,"Су-27",'Таблиця 1'!$J:$J,"AGM-88"))</f>
        <v/>
      </c>
      <c r="I689">
        <f>IF($A689="","",SUMIFS('Таблиця 1'!$K:$K,'Таблиця 1'!$B:$B,$A689,'Таблиця 1'!$I:$I,"Mirage",'Таблиця 1'!$J:$J,"AASM-250")+SUMIFS('Таблиця 1'!$K:$K,'Таблиця 1'!$B:$B,$A689,'Таблиця 1'!$I:$I,"F-16",'Таблиця 1'!$J:$J,"AASM-250")+SUMIFS('Таблиця 1'!$K:$K,'Таблиця 1'!$B:$B,$A689,'Таблиця 1'!$I:$I,"МіГ-29",'Таблиця 1'!$J:$J,"AASM-250")+SUMIFS('Таблиця 1'!$K:$K,'Таблиця 1'!$B:$B,$A689,'Таблиця 1'!$I:$I,"Су-25",'Таблиця 1'!$J:$J,"AASM-250")+SUMIFS('Таблиця 1'!$K:$K,'Таблиця 1'!$B:$B,$A689,'Таблиця 1'!$I:$I,"Су-27",'Таблиця 1'!$J:$J,"AASM-250"))</f>
        <v/>
      </c>
      <c r="J689">
        <f>IF($A689="","",SUMIFS('Таблиця 1'!$K:$K,'Таблиця 1'!$B:$B,$A689,'Таблиця 1'!$I:$I,"Mirage",'Таблиця 1'!$J:$J,"GBU-39")+SUMIFS('Таблиця 1'!$K:$K,'Таблиця 1'!$B:$B,$A689,'Таблиця 1'!$I:$I,"F-16",'Таблиця 1'!$J:$J,"GBU-39")+SUMIFS('Таблиця 1'!$K:$K,'Таблиця 1'!$B:$B,$A689,'Таблиця 1'!$I:$I,"МіГ-29",'Таблиця 1'!$J:$J,"GBU-39")+SUMIFS('Таблиця 1'!$K:$K,'Таблиця 1'!$B:$B,$A689,'Таблиця 1'!$I:$I,"Су-25",'Таблиця 1'!$J:$J,"GBU-39")+SUMIFS('Таблиця 1'!$K:$K,'Таблиця 1'!$B:$B,$A689,'Таблиця 1'!$I:$I,"Су-27",'Таблиця 1'!$J:$J,"GBU-39"))</f>
        <v/>
      </c>
      <c r="K689">
        <f>IF($A689="","",SUMIFS('Таблиця 1'!$K:$K,'Таблиця 1'!$B:$B,$A689,'Таблиця 1'!$I:$I,"Mirage",'Таблиця 1'!$J:$J,"BLU-140")+SUMIFS('Таблиця 1'!$K:$K,'Таблиця 1'!$B:$B,$A689,'Таблиця 1'!$I:$I,"F-16",'Таблиця 1'!$J:$J,"BLU-140")+SUMIFS('Таблиця 1'!$K:$K,'Таблиця 1'!$B:$B,$A689,'Таблиця 1'!$I:$I,"МіГ-29",'Таблиця 1'!$J:$J,"BLU-140")+SUMIFS('Таблиця 1'!$K:$K,'Таблиця 1'!$B:$B,$A689,'Таблиця 1'!$I:$I,"Су-25",'Таблиця 1'!$J:$J,"BLU-140")+SUMIFS('Таблиця 1'!$K:$K,'Таблиця 1'!$B:$B,$A689,'Таблиця 1'!$I:$I,"Су-27",'Таблиця 1'!$J:$J,"BLU-140"))</f>
        <v/>
      </c>
      <c r="L689">
        <f>IF($A689="","",SUMIFS('Таблиця 1'!$K:$K,'Таблиця 1'!$B:$B,$A689,'Таблиця 1'!$I:$I,"Mirage",'Таблиця 1'!$J:$J,"GBU-65")+SUMIFS('Таблиця 1'!$K:$K,'Таблиця 1'!$B:$B,$A689,'Таблиця 1'!$I:$I,"F-16",'Таблиця 1'!$J:$J,"GBU-65")+SUMIFS('Таблиця 1'!$K:$K,'Таблиця 1'!$B:$B,$A689,'Таблиця 1'!$I:$I,"МіГ-29",'Таблиця 1'!$J:$J,"GBU-65")+SUMIFS('Таблиця 1'!$K:$K,'Таблиця 1'!$B:$B,$A689,'Таблиця 1'!$I:$I,"Су-25",'Таблиця 1'!$J:$J,"GBU-65")+SUMIFS('Таблиця 1'!$K:$K,'Таблиця 1'!$B:$B,$A689,'Таблиця 1'!$I:$I,"Су-27",'Таблиця 1'!$J:$J,"GBU-65"))</f>
        <v/>
      </c>
      <c r="M689">
        <f>IF($A689="","",SUMIFS('Таблиця 1'!$K:$K,'Таблиця 1'!$B:$B,$A689,'Таблиця 1'!$I:$I,"Mirage",'Таблиця 1'!$J:$J,"GBU-62")+SUMIFS('Таблиця 1'!$K:$K,'Таблиця 1'!$B:$B,$A689,'Таблиця 1'!$I:$I,"F-16",'Таблиця 1'!$J:$J,"GBU-62")+SUMIFS('Таблиця 1'!$K:$K,'Таблиця 1'!$B:$B,$A689,'Таблиця 1'!$I:$I,"МіГ-29",'Таблиця 1'!$J:$J,"GBU-62")+SUMIFS('Таблиця 1'!$K:$K,'Таблиця 1'!$B:$B,$A689,'Таблиця 1'!$I:$I,"Су-25",'Таблиця 1'!$J:$J,"GBU-62")+SUMIFS('Таблиця 1'!$K:$K,'Таблиця 1'!$B:$B,$A689,'Таблиця 1'!$I:$I,"Су-27",'Таблиця 1'!$J:$J,"GBU-62"))</f>
        <v/>
      </c>
      <c r="N689">
        <f>IF($A689="","",SUMIFS('Таблиця 1'!$K:$K,'Таблиця 1'!$B:$B,$A689,'Таблиця 1'!$I:$I,"Mirage",'Таблиця 1'!$J:$J,"GBU-64")+SUMIFS('Таблиця 1'!$K:$K,'Таблиця 1'!$B:$B,$A689,'Таблиця 1'!$I:$I,"F-16",'Таблиця 1'!$J:$J,"GBU-64")+SUMIFS('Таблиця 1'!$K:$K,'Таблиця 1'!$B:$B,$A689,'Таблиця 1'!$I:$I,"МіГ-29",'Таблиця 1'!$J:$J,"GBU-64")+SUMIFS('Таблиця 1'!$K:$K,'Таблиця 1'!$B:$B,$A689,'Таблиця 1'!$I:$I,"Су-25",'Таблиця 1'!$J:$J,"GBU-64")+SUMIFS('Таблиця 1'!$K:$K,'Таблиця 1'!$B:$B,$A689,'Таблиця 1'!$I:$I,"Су-27",'Таблиця 1'!$J:$J,"GBU-64"))</f>
        <v/>
      </c>
      <c r="O689">
        <f>IF($A689="","",SUMIFS('Таблиця 1'!$K:$K,'Таблиця 1'!$B:$B,$A689,'Таблиця 1'!$I:$I,"Mirage",'Таблиця 1'!$J:$J,"C-13")+SUMIFS('Таблиця 1'!$K:$K,'Таблиця 1'!$B:$B,$A689,'Таблиця 1'!$I:$I,"F-16",'Таблиця 1'!$J:$J,"C-13")+SUMIFS('Таблиця 1'!$K:$K,'Таблиця 1'!$B:$B,$A689,'Таблиця 1'!$I:$I,"МіГ-29",'Таблиця 1'!$J:$J,"C-13")+SUMIFS('Таблиця 1'!$K:$K,'Таблиця 1'!$B:$B,$A689,'Таблиця 1'!$I:$I,"Су-25",'Таблиця 1'!$J:$J,"C-13")+SUMIFS('Таблиця 1'!$K:$K,'Таблиця 1'!$B:$B,$A689,'Таблиця 1'!$I:$I,"Су-27",'Таблиця 1'!$J:$J,"C-13"))</f>
        <v/>
      </c>
      <c r="P689">
        <f>IF($A689="","",SUMIFS('Таблиця 1'!$K:$K,'Таблиця 1'!$B:$B,$A689,'Таблиця 1'!$I:$I,"Mirage",'Таблиця 1'!$J:$J,"MK-32")+SUMIFS('Таблиця 1'!$K:$K,'Таблиця 1'!$B:$B,$A689,'Таблиця 1'!$I:$I,"F-16",'Таблиця 1'!$J:$J,"MK-32")+SUMIFS('Таблиця 1'!$K:$K,'Таблиця 1'!$B:$B,$A689,'Таблиця 1'!$I:$I,"МіГ-29",'Таблиця 1'!$J:$J,"MK-32")+SUMIFS('Таблиця 1'!$K:$K,'Таблиця 1'!$B:$B,$A689,'Таблиця 1'!$I:$I,"Су-25",'Таблиця 1'!$J:$J,"MK-32")+SUMIFS('Таблиця 1'!$K:$K,'Таблиця 1'!$B:$B,$A689,'Таблиця 1'!$I:$I,"Су-27",'Таблиця 1'!$J:$J,"MK-32"))</f>
        <v/>
      </c>
      <c r="Q689">
        <f>IF($A689="","",SUMIFS('Таблиця 1'!$K:$K,'Таблиця 1'!$B:$B,$A689,'Таблиця 1'!$I:$I,"Mirage",'Таблиця 1'!$J:$J,"MK-24")+SUMIFS('Таблиця 1'!$K:$K,'Таблиця 1'!$B:$B,$A689,'Таблиця 1'!$I:$I,"F-16",'Таблиця 1'!$J:$J,"MK-24")+SUMIFS('Таблиця 1'!$K:$K,'Таблиця 1'!$B:$B,$A689,'Таблиця 1'!$I:$I,"МіГ-29",'Таблиця 1'!$J:$J,"MK-24")+SUMIFS('Таблиця 1'!$K:$K,'Таблиця 1'!$B:$B,$A689,'Таблиця 1'!$I:$I,"Су-25",'Таблиця 1'!$J:$J,"MK-24")+SUMIFS('Таблиця 1'!$K:$K,'Таблиця 1'!$B:$B,$A689,'Таблиця 1'!$I:$I,"Су-27",'Таблиця 1'!$J:$J,"MK-24"))</f>
        <v/>
      </c>
      <c r="R689">
        <f>IF($A689="","",COUNTIFS('Таблиця 1'!$B:$B,$A689,'Таблиця 1'!$I:$I,"Mirage",'Таблиця 1'!$L:$L,"Уражено")+COUNTIFS('Таблиця 1'!$B:$B,$A689,'Таблиця 1'!$I:$I,"F-16",'Таблиця 1'!$L:$L,"Уражено")+COUNTIFS('Таблиця 1'!$B:$B,$A689,'Таблиця 1'!$I:$I,"МіГ-29",'Таблиця 1'!$L:$L,"Уражено")+COUNTIFS('Таблиця 1'!$B:$B,$A689,'Таблиця 1'!$I:$I,"Су-25",'Таблиця 1'!$L:$L,"Уражено")+COUNTIFS('Таблиця 1'!$B:$B,$A689,'Таблиця 1'!$I:$I,"Су-27",'Таблиця 1'!$L:$L,"Уражено"))</f>
        <v/>
      </c>
      <c r="S689">
        <f>IF($A689="","",COUNTIFS('Таблиця 1'!$B:$B,$A689,'Таблиця 1'!$I:$I,"Mirage",'Таблиця 1'!$L:$L,"НЕ уражено")+COUNTIFS('Таблиця 1'!$B:$B,$A689,'Таблиця 1'!$I:$I,"F-16",'Таблиця 1'!$L:$L,"НЕ уражено")+COUNTIFS('Таблиця 1'!$B:$B,$A689,'Таблиця 1'!$I:$I,"МіГ-29",'Таблиця 1'!$L:$L,"НЕ уражено")+COUNTIFS('Таблиця 1'!$B:$B,$A689,'Таблиця 1'!$I:$I,"Су-25",'Таблиця 1'!$L:$L,"НЕ уражено")+COUNTIFS('Таблиця 1'!$B:$B,$A689,'Таблиця 1'!$I:$I,"Су-27",'Таблиця 1'!$L:$L,"НЕ уражено"))</f>
        <v/>
      </c>
      <c r="T689">
        <f>IF($A689="","",COUNTIFS('Таблиця 1'!$B:$B,$A689,'Таблиця 1'!$I:$I,"Mirage",'Таблиця 1'!$L:$L,"Дорозвідується")+COUNTIFS('Таблиця 1'!$B:$B,$A689,'Таблиця 1'!$I:$I,"F-16",'Таблиця 1'!$L:$L,"Дорозвідується")+COUNTIFS('Таблиця 1'!$B:$B,$A689,'Таблиця 1'!$I:$I,"МіГ-29",'Таблиця 1'!$L:$L,"Дорозвідується")+COUNTIFS('Таблиця 1'!$B:$B,$A689,'Таблиця 1'!$I:$I,"Су-25",'Таблиця 1'!$L:$L,"Дорозвідується")+COUNTIFS('Таблиця 1'!$B:$B,$A689,'Таблиця 1'!$I:$I,"Су-27",'Таблиця 1'!$L:$L,"Дорозвідується"))</f>
        <v/>
      </c>
    </row>
    <row r="690">
      <c r="A690" s="273">
        <f>IF(A689="","",IF(A689+1&gt;MAX('Таблиця 1'!$B:$B),"",A689+1))</f>
        <v/>
      </c>
      <c r="B690">
        <f>IF($A690="","",COUNTIFS('Таблиця 1'!$B:$B,$A690,'Таблиця 1'!$I:$I,"Mirage")+COUNTIFS('Таблиця 1'!$B:$B,$A690,'Таблиця 1'!$I:$I,"F-16")+COUNTIFS('Таблиця 1'!$B:$B,$A690,'Таблиця 1'!$I:$I,"МіГ-29")+COUNTIFS('Таблиця 1'!$B:$B,$A690,'Таблиця 1'!$I:$I,"Су-25")+COUNTIFS('Таблиця 1'!$B:$B,$A690,'Таблиця 1'!$I:$I,"Су-27"))</f>
        <v/>
      </c>
      <c r="C690">
        <f>IF($A690="","",COUNTIFS('Таблиця 1'!$B:$B,$A690,'Таблиця 1'!$I:$I,"Mirage"))</f>
        <v/>
      </c>
      <c r="D690">
        <f>IF($A690="","",COUNTIFS('Таблиця 1'!$B:$B,$A690,'Таблиця 1'!$I:$I,"F-16"))</f>
        <v/>
      </c>
      <c r="E690">
        <f>IF($A690="","",COUNTIFS('Таблиця 1'!$B:$B,$A690,'Таблиця 1'!$I:$I,"МіГ-29"))</f>
        <v/>
      </c>
      <c r="F690">
        <f>IF($A690="","",COUNTIFS('Таблиця 1'!$B:$B,$A690,'Таблиця 1'!$I:$I,"Су-25"))</f>
        <v/>
      </c>
      <c r="G690">
        <f>IF($A690="","",COUNTIFS('Таблиця 1'!$B:$B,$A690,'Таблиця 1'!$I:$I,"Су-27"))</f>
        <v/>
      </c>
      <c r="H690">
        <f>IF($A690="","",SUMIFS('Таблиця 1'!$K:$K,'Таблиця 1'!$B:$B,$A690,'Таблиця 1'!$I:$I,"Mirage",'Таблиця 1'!$J:$J,"AGM-88")+SUMIFS('Таблиця 1'!$K:$K,'Таблиця 1'!$B:$B,$A690,'Таблиця 1'!$I:$I,"F-16",'Таблиця 1'!$J:$J,"AGM-88")+SUMIFS('Таблиця 1'!$K:$K,'Таблиця 1'!$B:$B,$A690,'Таблиця 1'!$I:$I,"МіГ-29",'Таблиця 1'!$J:$J,"AGM-88")+SUMIFS('Таблиця 1'!$K:$K,'Таблиця 1'!$B:$B,$A690,'Таблиця 1'!$I:$I,"Су-25",'Таблиця 1'!$J:$J,"AGM-88")+SUMIFS('Таблиця 1'!$K:$K,'Таблиця 1'!$B:$B,$A690,'Таблиця 1'!$I:$I,"Су-27",'Таблиця 1'!$J:$J,"AGM-88"))</f>
        <v/>
      </c>
      <c r="I690">
        <f>IF($A690="","",SUMIFS('Таблиця 1'!$K:$K,'Таблиця 1'!$B:$B,$A690,'Таблиця 1'!$I:$I,"Mirage",'Таблиця 1'!$J:$J,"AASM-250")+SUMIFS('Таблиця 1'!$K:$K,'Таблиця 1'!$B:$B,$A690,'Таблиця 1'!$I:$I,"F-16",'Таблиця 1'!$J:$J,"AASM-250")+SUMIFS('Таблиця 1'!$K:$K,'Таблиця 1'!$B:$B,$A690,'Таблиця 1'!$I:$I,"МіГ-29",'Таблиця 1'!$J:$J,"AASM-250")+SUMIFS('Таблиця 1'!$K:$K,'Таблиця 1'!$B:$B,$A690,'Таблиця 1'!$I:$I,"Су-25",'Таблиця 1'!$J:$J,"AASM-250")+SUMIFS('Таблиця 1'!$K:$K,'Таблиця 1'!$B:$B,$A690,'Таблиця 1'!$I:$I,"Су-27",'Таблиця 1'!$J:$J,"AASM-250"))</f>
        <v/>
      </c>
      <c r="J690">
        <f>IF($A690="","",SUMIFS('Таблиця 1'!$K:$K,'Таблиця 1'!$B:$B,$A690,'Таблиця 1'!$I:$I,"Mirage",'Таблиця 1'!$J:$J,"GBU-39")+SUMIFS('Таблиця 1'!$K:$K,'Таблиця 1'!$B:$B,$A690,'Таблиця 1'!$I:$I,"F-16",'Таблиця 1'!$J:$J,"GBU-39")+SUMIFS('Таблиця 1'!$K:$K,'Таблиця 1'!$B:$B,$A690,'Таблиця 1'!$I:$I,"МіГ-29",'Таблиця 1'!$J:$J,"GBU-39")+SUMIFS('Таблиця 1'!$K:$K,'Таблиця 1'!$B:$B,$A690,'Таблиця 1'!$I:$I,"Су-25",'Таблиця 1'!$J:$J,"GBU-39")+SUMIFS('Таблиця 1'!$K:$K,'Таблиця 1'!$B:$B,$A690,'Таблиця 1'!$I:$I,"Су-27",'Таблиця 1'!$J:$J,"GBU-39"))</f>
        <v/>
      </c>
      <c r="K690">
        <f>IF($A690="","",SUMIFS('Таблиця 1'!$K:$K,'Таблиця 1'!$B:$B,$A690,'Таблиця 1'!$I:$I,"Mirage",'Таблиця 1'!$J:$J,"BLU-140")+SUMIFS('Таблиця 1'!$K:$K,'Таблиця 1'!$B:$B,$A690,'Таблиця 1'!$I:$I,"F-16",'Таблиця 1'!$J:$J,"BLU-140")+SUMIFS('Таблиця 1'!$K:$K,'Таблиця 1'!$B:$B,$A690,'Таблиця 1'!$I:$I,"МіГ-29",'Таблиця 1'!$J:$J,"BLU-140")+SUMIFS('Таблиця 1'!$K:$K,'Таблиця 1'!$B:$B,$A690,'Таблиця 1'!$I:$I,"Су-25",'Таблиця 1'!$J:$J,"BLU-140")+SUMIFS('Таблиця 1'!$K:$K,'Таблиця 1'!$B:$B,$A690,'Таблиця 1'!$I:$I,"Су-27",'Таблиця 1'!$J:$J,"BLU-140"))</f>
        <v/>
      </c>
      <c r="L690">
        <f>IF($A690="","",SUMIFS('Таблиця 1'!$K:$K,'Таблиця 1'!$B:$B,$A690,'Таблиця 1'!$I:$I,"Mirage",'Таблиця 1'!$J:$J,"GBU-65")+SUMIFS('Таблиця 1'!$K:$K,'Таблиця 1'!$B:$B,$A690,'Таблиця 1'!$I:$I,"F-16",'Таблиця 1'!$J:$J,"GBU-65")+SUMIFS('Таблиця 1'!$K:$K,'Таблиця 1'!$B:$B,$A690,'Таблиця 1'!$I:$I,"МіГ-29",'Таблиця 1'!$J:$J,"GBU-65")+SUMIFS('Таблиця 1'!$K:$K,'Таблиця 1'!$B:$B,$A690,'Таблиця 1'!$I:$I,"Су-25",'Таблиця 1'!$J:$J,"GBU-65")+SUMIFS('Таблиця 1'!$K:$K,'Таблиця 1'!$B:$B,$A690,'Таблиця 1'!$I:$I,"Су-27",'Таблиця 1'!$J:$J,"GBU-65"))</f>
        <v/>
      </c>
      <c r="M690">
        <f>IF($A690="","",SUMIFS('Таблиця 1'!$K:$K,'Таблиця 1'!$B:$B,$A690,'Таблиця 1'!$I:$I,"Mirage",'Таблиця 1'!$J:$J,"GBU-62")+SUMIFS('Таблиця 1'!$K:$K,'Таблиця 1'!$B:$B,$A690,'Таблиця 1'!$I:$I,"F-16",'Таблиця 1'!$J:$J,"GBU-62")+SUMIFS('Таблиця 1'!$K:$K,'Таблиця 1'!$B:$B,$A690,'Таблиця 1'!$I:$I,"МіГ-29",'Таблиця 1'!$J:$J,"GBU-62")+SUMIFS('Таблиця 1'!$K:$K,'Таблиця 1'!$B:$B,$A690,'Таблиця 1'!$I:$I,"Су-25",'Таблиця 1'!$J:$J,"GBU-62")+SUMIFS('Таблиця 1'!$K:$K,'Таблиця 1'!$B:$B,$A690,'Таблиця 1'!$I:$I,"Су-27",'Таблиця 1'!$J:$J,"GBU-62"))</f>
        <v/>
      </c>
      <c r="N690">
        <f>IF($A690="","",SUMIFS('Таблиця 1'!$K:$K,'Таблиця 1'!$B:$B,$A690,'Таблиця 1'!$I:$I,"Mirage",'Таблиця 1'!$J:$J,"GBU-64")+SUMIFS('Таблиця 1'!$K:$K,'Таблиця 1'!$B:$B,$A690,'Таблиця 1'!$I:$I,"F-16",'Таблиця 1'!$J:$J,"GBU-64")+SUMIFS('Таблиця 1'!$K:$K,'Таблиця 1'!$B:$B,$A690,'Таблиця 1'!$I:$I,"МіГ-29",'Таблиця 1'!$J:$J,"GBU-64")+SUMIFS('Таблиця 1'!$K:$K,'Таблиця 1'!$B:$B,$A690,'Таблиця 1'!$I:$I,"Су-25",'Таблиця 1'!$J:$J,"GBU-64")+SUMIFS('Таблиця 1'!$K:$K,'Таблиця 1'!$B:$B,$A690,'Таблиця 1'!$I:$I,"Су-27",'Таблиця 1'!$J:$J,"GBU-64"))</f>
        <v/>
      </c>
      <c r="O690">
        <f>IF($A690="","",SUMIFS('Таблиця 1'!$K:$K,'Таблиця 1'!$B:$B,$A690,'Таблиця 1'!$I:$I,"Mirage",'Таблиця 1'!$J:$J,"C-13")+SUMIFS('Таблиця 1'!$K:$K,'Таблиця 1'!$B:$B,$A690,'Таблиця 1'!$I:$I,"F-16",'Таблиця 1'!$J:$J,"C-13")+SUMIFS('Таблиця 1'!$K:$K,'Таблиця 1'!$B:$B,$A690,'Таблиця 1'!$I:$I,"МіГ-29",'Таблиця 1'!$J:$J,"C-13")+SUMIFS('Таблиця 1'!$K:$K,'Таблиця 1'!$B:$B,$A690,'Таблиця 1'!$I:$I,"Су-25",'Таблиця 1'!$J:$J,"C-13")+SUMIFS('Таблиця 1'!$K:$K,'Таблиця 1'!$B:$B,$A690,'Таблиця 1'!$I:$I,"Су-27",'Таблиця 1'!$J:$J,"C-13"))</f>
        <v/>
      </c>
      <c r="P690">
        <f>IF($A690="","",SUMIFS('Таблиця 1'!$K:$K,'Таблиця 1'!$B:$B,$A690,'Таблиця 1'!$I:$I,"Mirage",'Таблиця 1'!$J:$J,"MK-32")+SUMIFS('Таблиця 1'!$K:$K,'Таблиця 1'!$B:$B,$A690,'Таблиця 1'!$I:$I,"F-16",'Таблиця 1'!$J:$J,"MK-32")+SUMIFS('Таблиця 1'!$K:$K,'Таблиця 1'!$B:$B,$A690,'Таблиця 1'!$I:$I,"МіГ-29",'Таблиця 1'!$J:$J,"MK-32")+SUMIFS('Таблиця 1'!$K:$K,'Таблиця 1'!$B:$B,$A690,'Таблиця 1'!$I:$I,"Су-25",'Таблиця 1'!$J:$J,"MK-32")+SUMIFS('Таблиця 1'!$K:$K,'Таблиця 1'!$B:$B,$A690,'Таблиця 1'!$I:$I,"Су-27",'Таблиця 1'!$J:$J,"MK-32"))</f>
        <v/>
      </c>
      <c r="Q690">
        <f>IF($A690="","",SUMIFS('Таблиця 1'!$K:$K,'Таблиця 1'!$B:$B,$A690,'Таблиця 1'!$I:$I,"Mirage",'Таблиця 1'!$J:$J,"MK-24")+SUMIFS('Таблиця 1'!$K:$K,'Таблиця 1'!$B:$B,$A690,'Таблиця 1'!$I:$I,"F-16",'Таблиця 1'!$J:$J,"MK-24")+SUMIFS('Таблиця 1'!$K:$K,'Таблиця 1'!$B:$B,$A690,'Таблиця 1'!$I:$I,"МіГ-29",'Таблиця 1'!$J:$J,"MK-24")+SUMIFS('Таблиця 1'!$K:$K,'Таблиця 1'!$B:$B,$A690,'Таблиця 1'!$I:$I,"Су-25",'Таблиця 1'!$J:$J,"MK-24")+SUMIFS('Таблиця 1'!$K:$K,'Таблиця 1'!$B:$B,$A690,'Таблиця 1'!$I:$I,"Су-27",'Таблиця 1'!$J:$J,"MK-24"))</f>
        <v/>
      </c>
      <c r="R690">
        <f>IF($A690="","",COUNTIFS('Таблиця 1'!$B:$B,$A690,'Таблиця 1'!$I:$I,"Mirage",'Таблиця 1'!$L:$L,"Уражено")+COUNTIFS('Таблиця 1'!$B:$B,$A690,'Таблиця 1'!$I:$I,"F-16",'Таблиця 1'!$L:$L,"Уражено")+COUNTIFS('Таблиця 1'!$B:$B,$A690,'Таблиця 1'!$I:$I,"МіГ-29",'Таблиця 1'!$L:$L,"Уражено")+COUNTIFS('Таблиця 1'!$B:$B,$A690,'Таблиця 1'!$I:$I,"Су-25",'Таблиця 1'!$L:$L,"Уражено")+COUNTIFS('Таблиця 1'!$B:$B,$A690,'Таблиця 1'!$I:$I,"Су-27",'Таблиця 1'!$L:$L,"Уражено"))</f>
        <v/>
      </c>
      <c r="S690">
        <f>IF($A690="","",COUNTIFS('Таблиця 1'!$B:$B,$A690,'Таблиця 1'!$I:$I,"Mirage",'Таблиця 1'!$L:$L,"НЕ уражено")+COUNTIFS('Таблиця 1'!$B:$B,$A690,'Таблиця 1'!$I:$I,"F-16",'Таблиця 1'!$L:$L,"НЕ уражено")+COUNTIFS('Таблиця 1'!$B:$B,$A690,'Таблиця 1'!$I:$I,"МіГ-29",'Таблиця 1'!$L:$L,"НЕ уражено")+COUNTIFS('Таблиця 1'!$B:$B,$A690,'Таблиця 1'!$I:$I,"Су-25",'Таблиця 1'!$L:$L,"НЕ уражено")+COUNTIFS('Таблиця 1'!$B:$B,$A690,'Таблиця 1'!$I:$I,"Су-27",'Таблиця 1'!$L:$L,"НЕ уражено"))</f>
        <v/>
      </c>
      <c r="T690">
        <f>IF($A690="","",COUNTIFS('Таблиця 1'!$B:$B,$A690,'Таблиця 1'!$I:$I,"Mirage",'Таблиця 1'!$L:$L,"Дорозвідується")+COUNTIFS('Таблиця 1'!$B:$B,$A690,'Таблиця 1'!$I:$I,"F-16",'Таблиця 1'!$L:$L,"Дорозвідується")+COUNTIFS('Таблиця 1'!$B:$B,$A690,'Таблиця 1'!$I:$I,"МіГ-29",'Таблиця 1'!$L:$L,"Дорозвідується")+COUNTIFS('Таблиця 1'!$B:$B,$A690,'Таблиця 1'!$I:$I,"Су-25",'Таблиця 1'!$L:$L,"Дорозвідується")+COUNTIFS('Таблиця 1'!$B:$B,$A690,'Таблиця 1'!$I:$I,"Су-27",'Таблиця 1'!$L:$L,"Дорозвідується"))</f>
        <v/>
      </c>
    </row>
    <row r="691">
      <c r="A691" s="273">
        <f>IF(A690="","",IF(A690+1&gt;MAX('Таблиця 1'!$B:$B),"",A690+1))</f>
        <v/>
      </c>
      <c r="B691">
        <f>IF($A691="","",COUNTIFS('Таблиця 1'!$B:$B,$A691,'Таблиця 1'!$I:$I,"Mirage")+COUNTIFS('Таблиця 1'!$B:$B,$A691,'Таблиця 1'!$I:$I,"F-16")+COUNTIFS('Таблиця 1'!$B:$B,$A691,'Таблиця 1'!$I:$I,"МіГ-29")+COUNTIFS('Таблиця 1'!$B:$B,$A691,'Таблиця 1'!$I:$I,"Су-25")+COUNTIFS('Таблиця 1'!$B:$B,$A691,'Таблиця 1'!$I:$I,"Су-27"))</f>
        <v/>
      </c>
      <c r="C691">
        <f>IF($A691="","",COUNTIFS('Таблиця 1'!$B:$B,$A691,'Таблиця 1'!$I:$I,"Mirage"))</f>
        <v/>
      </c>
      <c r="D691">
        <f>IF($A691="","",COUNTIFS('Таблиця 1'!$B:$B,$A691,'Таблиця 1'!$I:$I,"F-16"))</f>
        <v/>
      </c>
      <c r="E691">
        <f>IF($A691="","",COUNTIFS('Таблиця 1'!$B:$B,$A691,'Таблиця 1'!$I:$I,"МіГ-29"))</f>
        <v/>
      </c>
      <c r="F691">
        <f>IF($A691="","",COUNTIFS('Таблиця 1'!$B:$B,$A691,'Таблиця 1'!$I:$I,"Су-25"))</f>
        <v/>
      </c>
      <c r="G691">
        <f>IF($A691="","",COUNTIFS('Таблиця 1'!$B:$B,$A691,'Таблиця 1'!$I:$I,"Су-27"))</f>
        <v/>
      </c>
      <c r="H691">
        <f>IF($A691="","",SUMIFS('Таблиця 1'!$K:$K,'Таблиця 1'!$B:$B,$A691,'Таблиця 1'!$I:$I,"Mirage",'Таблиця 1'!$J:$J,"AGM-88")+SUMIFS('Таблиця 1'!$K:$K,'Таблиця 1'!$B:$B,$A691,'Таблиця 1'!$I:$I,"F-16",'Таблиця 1'!$J:$J,"AGM-88")+SUMIFS('Таблиця 1'!$K:$K,'Таблиця 1'!$B:$B,$A691,'Таблиця 1'!$I:$I,"МіГ-29",'Таблиця 1'!$J:$J,"AGM-88")+SUMIFS('Таблиця 1'!$K:$K,'Таблиця 1'!$B:$B,$A691,'Таблиця 1'!$I:$I,"Су-25",'Таблиця 1'!$J:$J,"AGM-88")+SUMIFS('Таблиця 1'!$K:$K,'Таблиця 1'!$B:$B,$A691,'Таблиця 1'!$I:$I,"Су-27",'Таблиця 1'!$J:$J,"AGM-88"))</f>
        <v/>
      </c>
      <c r="I691">
        <f>IF($A691="","",SUMIFS('Таблиця 1'!$K:$K,'Таблиця 1'!$B:$B,$A691,'Таблиця 1'!$I:$I,"Mirage",'Таблиця 1'!$J:$J,"AASM-250")+SUMIFS('Таблиця 1'!$K:$K,'Таблиця 1'!$B:$B,$A691,'Таблиця 1'!$I:$I,"F-16",'Таблиця 1'!$J:$J,"AASM-250")+SUMIFS('Таблиця 1'!$K:$K,'Таблиця 1'!$B:$B,$A691,'Таблиця 1'!$I:$I,"МіГ-29",'Таблиця 1'!$J:$J,"AASM-250")+SUMIFS('Таблиця 1'!$K:$K,'Таблиця 1'!$B:$B,$A691,'Таблиця 1'!$I:$I,"Су-25",'Таблиця 1'!$J:$J,"AASM-250")+SUMIFS('Таблиця 1'!$K:$K,'Таблиця 1'!$B:$B,$A691,'Таблиця 1'!$I:$I,"Су-27",'Таблиця 1'!$J:$J,"AASM-250"))</f>
        <v/>
      </c>
      <c r="J691">
        <f>IF($A691="","",SUMIFS('Таблиця 1'!$K:$K,'Таблиця 1'!$B:$B,$A691,'Таблиця 1'!$I:$I,"Mirage",'Таблиця 1'!$J:$J,"GBU-39")+SUMIFS('Таблиця 1'!$K:$K,'Таблиця 1'!$B:$B,$A691,'Таблиця 1'!$I:$I,"F-16",'Таблиця 1'!$J:$J,"GBU-39")+SUMIFS('Таблиця 1'!$K:$K,'Таблиця 1'!$B:$B,$A691,'Таблиця 1'!$I:$I,"МіГ-29",'Таблиця 1'!$J:$J,"GBU-39")+SUMIFS('Таблиця 1'!$K:$K,'Таблиця 1'!$B:$B,$A691,'Таблиця 1'!$I:$I,"Су-25",'Таблиця 1'!$J:$J,"GBU-39")+SUMIFS('Таблиця 1'!$K:$K,'Таблиця 1'!$B:$B,$A691,'Таблиця 1'!$I:$I,"Су-27",'Таблиця 1'!$J:$J,"GBU-39"))</f>
        <v/>
      </c>
      <c r="K691">
        <f>IF($A691="","",SUMIFS('Таблиця 1'!$K:$K,'Таблиця 1'!$B:$B,$A691,'Таблиця 1'!$I:$I,"Mirage",'Таблиця 1'!$J:$J,"BLU-140")+SUMIFS('Таблиця 1'!$K:$K,'Таблиця 1'!$B:$B,$A691,'Таблиця 1'!$I:$I,"F-16",'Таблиця 1'!$J:$J,"BLU-140")+SUMIFS('Таблиця 1'!$K:$K,'Таблиця 1'!$B:$B,$A691,'Таблиця 1'!$I:$I,"МіГ-29",'Таблиця 1'!$J:$J,"BLU-140")+SUMIFS('Таблиця 1'!$K:$K,'Таблиця 1'!$B:$B,$A691,'Таблиця 1'!$I:$I,"Су-25",'Таблиця 1'!$J:$J,"BLU-140")+SUMIFS('Таблиця 1'!$K:$K,'Таблиця 1'!$B:$B,$A691,'Таблиця 1'!$I:$I,"Су-27",'Таблиця 1'!$J:$J,"BLU-140"))</f>
        <v/>
      </c>
      <c r="L691">
        <f>IF($A691="","",SUMIFS('Таблиця 1'!$K:$K,'Таблиця 1'!$B:$B,$A691,'Таблиця 1'!$I:$I,"Mirage",'Таблиця 1'!$J:$J,"GBU-65")+SUMIFS('Таблиця 1'!$K:$K,'Таблиця 1'!$B:$B,$A691,'Таблиця 1'!$I:$I,"F-16",'Таблиця 1'!$J:$J,"GBU-65")+SUMIFS('Таблиця 1'!$K:$K,'Таблиця 1'!$B:$B,$A691,'Таблиця 1'!$I:$I,"МіГ-29",'Таблиця 1'!$J:$J,"GBU-65")+SUMIFS('Таблиця 1'!$K:$K,'Таблиця 1'!$B:$B,$A691,'Таблиця 1'!$I:$I,"Су-25",'Таблиця 1'!$J:$J,"GBU-65")+SUMIFS('Таблиця 1'!$K:$K,'Таблиця 1'!$B:$B,$A691,'Таблиця 1'!$I:$I,"Су-27",'Таблиця 1'!$J:$J,"GBU-65"))</f>
        <v/>
      </c>
      <c r="M691">
        <f>IF($A691="","",SUMIFS('Таблиця 1'!$K:$K,'Таблиця 1'!$B:$B,$A691,'Таблиця 1'!$I:$I,"Mirage",'Таблиця 1'!$J:$J,"GBU-62")+SUMIFS('Таблиця 1'!$K:$K,'Таблиця 1'!$B:$B,$A691,'Таблиця 1'!$I:$I,"F-16",'Таблиця 1'!$J:$J,"GBU-62")+SUMIFS('Таблиця 1'!$K:$K,'Таблиця 1'!$B:$B,$A691,'Таблиця 1'!$I:$I,"МіГ-29",'Таблиця 1'!$J:$J,"GBU-62")+SUMIFS('Таблиця 1'!$K:$K,'Таблиця 1'!$B:$B,$A691,'Таблиця 1'!$I:$I,"Су-25",'Таблиця 1'!$J:$J,"GBU-62")+SUMIFS('Таблиця 1'!$K:$K,'Таблиця 1'!$B:$B,$A691,'Таблиця 1'!$I:$I,"Су-27",'Таблиця 1'!$J:$J,"GBU-62"))</f>
        <v/>
      </c>
      <c r="N691">
        <f>IF($A691="","",SUMIFS('Таблиця 1'!$K:$K,'Таблиця 1'!$B:$B,$A691,'Таблиця 1'!$I:$I,"Mirage",'Таблиця 1'!$J:$J,"GBU-64")+SUMIFS('Таблиця 1'!$K:$K,'Таблиця 1'!$B:$B,$A691,'Таблиця 1'!$I:$I,"F-16",'Таблиця 1'!$J:$J,"GBU-64")+SUMIFS('Таблиця 1'!$K:$K,'Таблиця 1'!$B:$B,$A691,'Таблиця 1'!$I:$I,"МіГ-29",'Таблиця 1'!$J:$J,"GBU-64")+SUMIFS('Таблиця 1'!$K:$K,'Таблиця 1'!$B:$B,$A691,'Таблиця 1'!$I:$I,"Су-25",'Таблиця 1'!$J:$J,"GBU-64")+SUMIFS('Таблиця 1'!$K:$K,'Таблиця 1'!$B:$B,$A691,'Таблиця 1'!$I:$I,"Су-27",'Таблиця 1'!$J:$J,"GBU-64"))</f>
        <v/>
      </c>
      <c r="O691">
        <f>IF($A691="","",SUMIFS('Таблиця 1'!$K:$K,'Таблиця 1'!$B:$B,$A691,'Таблиця 1'!$I:$I,"Mirage",'Таблиця 1'!$J:$J,"C-13")+SUMIFS('Таблиця 1'!$K:$K,'Таблиця 1'!$B:$B,$A691,'Таблиця 1'!$I:$I,"F-16",'Таблиця 1'!$J:$J,"C-13")+SUMIFS('Таблиця 1'!$K:$K,'Таблиця 1'!$B:$B,$A691,'Таблиця 1'!$I:$I,"МіГ-29",'Таблиця 1'!$J:$J,"C-13")+SUMIFS('Таблиця 1'!$K:$K,'Таблиця 1'!$B:$B,$A691,'Таблиця 1'!$I:$I,"Су-25",'Таблиця 1'!$J:$J,"C-13")+SUMIFS('Таблиця 1'!$K:$K,'Таблиця 1'!$B:$B,$A691,'Таблиця 1'!$I:$I,"Су-27",'Таблиця 1'!$J:$J,"C-13"))</f>
        <v/>
      </c>
      <c r="P691">
        <f>IF($A691="","",SUMIFS('Таблиця 1'!$K:$K,'Таблиця 1'!$B:$B,$A691,'Таблиця 1'!$I:$I,"Mirage",'Таблиця 1'!$J:$J,"MK-32")+SUMIFS('Таблиця 1'!$K:$K,'Таблиця 1'!$B:$B,$A691,'Таблиця 1'!$I:$I,"F-16",'Таблиця 1'!$J:$J,"MK-32")+SUMIFS('Таблиця 1'!$K:$K,'Таблиця 1'!$B:$B,$A691,'Таблиця 1'!$I:$I,"МіГ-29",'Таблиця 1'!$J:$J,"MK-32")+SUMIFS('Таблиця 1'!$K:$K,'Таблиця 1'!$B:$B,$A691,'Таблиця 1'!$I:$I,"Су-25",'Таблиця 1'!$J:$J,"MK-32")+SUMIFS('Таблиця 1'!$K:$K,'Таблиця 1'!$B:$B,$A691,'Таблиця 1'!$I:$I,"Су-27",'Таблиця 1'!$J:$J,"MK-32"))</f>
        <v/>
      </c>
      <c r="Q691">
        <f>IF($A691="","",SUMIFS('Таблиця 1'!$K:$K,'Таблиця 1'!$B:$B,$A691,'Таблиця 1'!$I:$I,"Mirage",'Таблиця 1'!$J:$J,"MK-24")+SUMIFS('Таблиця 1'!$K:$K,'Таблиця 1'!$B:$B,$A691,'Таблиця 1'!$I:$I,"F-16",'Таблиця 1'!$J:$J,"MK-24")+SUMIFS('Таблиця 1'!$K:$K,'Таблиця 1'!$B:$B,$A691,'Таблиця 1'!$I:$I,"МіГ-29",'Таблиця 1'!$J:$J,"MK-24")+SUMIFS('Таблиця 1'!$K:$K,'Таблиця 1'!$B:$B,$A691,'Таблиця 1'!$I:$I,"Су-25",'Таблиця 1'!$J:$J,"MK-24")+SUMIFS('Таблиця 1'!$K:$K,'Таблиця 1'!$B:$B,$A691,'Таблиця 1'!$I:$I,"Су-27",'Таблиця 1'!$J:$J,"MK-24"))</f>
        <v/>
      </c>
      <c r="R691">
        <f>IF($A691="","",COUNTIFS('Таблиця 1'!$B:$B,$A691,'Таблиця 1'!$I:$I,"Mirage",'Таблиця 1'!$L:$L,"Уражено")+COUNTIFS('Таблиця 1'!$B:$B,$A691,'Таблиця 1'!$I:$I,"F-16",'Таблиця 1'!$L:$L,"Уражено")+COUNTIFS('Таблиця 1'!$B:$B,$A691,'Таблиця 1'!$I:$I,"МіГ-29",'Таблиця 1'!$L:$L,"Уражено")+COUNTIFS('Таблиця 1'!$B:$B,$A691,'Таблиця 1'!$I:$I,"Су-25",'Таблиця 1'!$L:$L,"Уражено")+COUNTIFS('Таблиця 1'!$B:$B,$A691,'Таблиця 1'!$I:$I,"Су-27",'Таблиця 1'!$L:$L,"Уражено"))</f>
        <v/>
      </c>
      <c r="S691">
        <f>IF($A691="","",COUNTIFS('Таблиця 1'!$B:$B,$A691,'Таблиця 1'!$I:$I,"Mirage",'Таблиця 1'!$L:$L,"НЕ уражено")+COUNTIFS('Таблиця 1'!$B:$B,$A691,'Таблиця 1'!$I:$I,"F-16",'Таблиця 1'!$L:$L,"НЕ уражено")+COUNTIFS('Таблиця 1'!$B:$B,$A691,'Таблиця 1'!$I:$I,"МіГ-29",'Таблиця 1'!$L:$L,"НЕ уражено")+COUNTIFS('Таблиця 1'!$B:$B,$A691,'Таблиця 1'!$I:$I,"Су-25",'Таблиця 1'!$L:$L,"НЕ уражено")+COUNTIFS('Таблиця 1'!$B:$B,$A691,'Таблиця 1'!$I:$I,"Су-27",'Таблиця 1'!$L:$L,"НЕ уражено"))</f>
        <v/>
      </c>
      <c r="T691">
        <f>IF($A691="","",COUNTIFS('Таблиця 1'!$B:$B,$A691,'Таблиця 1'!$I:$I,"Mirage",'Таблиця 1'!$L:$L,"Дорозвідується")+COUNTIFS('Таблиця 1'!$B:$B,$A691,'Таблиця 1'!$I:$I,"F-16",'Таблиця 1'!$L:$L,"Дорозвідується")+COUNTIFS('Таблиця 1'!$B:$B,$A691,'Таблиця 1'!$I:$I,"МіГ-29",'Таблиця 1'!$L:$L,"Дорозвідується")+COUNTIFS('Таблиця 1'!$B:$B,$A691,'Таблиця 1'!$I:$I,"Су-25",'Таблиця 1'!$L:$L,"Дорозвідується")+COUNTIFS('Таблиця 1'!$B:$B,$A691,'Таблиця 1'!$I:$I,"Су-27",'Таблиця 1'!$L:$L,"Дорозвідується"))</f>
        <v/>
      </c>
    </row>
    <row r="692">
      <c r="A692" s="273">
        <f>IF(A691="","",IF(A691+1&gt;MAX('Таблиця 1'!$B:$B),"",A691+1))</f>
        <v/>
      </c>
      <c r="B692">
        <f>IF($A692="","",COUNTIFS('Таблиця 1'!$B:$B,$A692,'Таблиця 1'!$I:$I,"Mirage")+COUNTIFS('Таблиця 1'!$B:$B,$A692,'Таблиця 1'!$I:$I,"F-16")+COUNTIFS('Таблиця 1'!$B:$B,$A692,'Таблиця 1'!$I:$I,"МіГ-29")+COUNTIFS('Таблиця 1'!$B:$B,$A692,'Таблиця 1'!$I:$I,"Су-25")+COUNTIFS('Таблиця 1'!$B:$B,$A692,'Таблиця 1'!$I:$I,"Су-27"))</f>
        <v/>
      </c>
      <c r="C692">
        <f>IF($A692="","",COUNTIFS('Таблиця 1'!$B:$B,$A692,'Таблиця 1'!$I:$I,"Mirage"))</f>
        <v/>
      </c>
      <c r="D692">
        <f>IF($A692="","",COUNTIFS('Таблиця 1'!$B:$B,$A692,'Таблиця 1'!$I:$I,"F-16"))</f>
        <v/>
      </c>
      <c r="E692">
        <f>IF($A692="","",COUNTIFS('Таблиця 1'!$B:$B,$A692,'Таблиця 1'!$I:$I,"МіГ-29"))</f>
        <v/>
      </c>
      <c r="F692">
        <f>IF($A692="","",COUNTIFS('Таблиця 1'!$B:$B,$A692,'Таблиця 1'!$I:$I,"Су-25"))</f>
        <v/>
      </c>
      <c r="G692">
        <f>IF($A692="","",COUNTIFS('Таблиця 1'!$B:$B,$A692,'Таблиця 1'!$I:$I,"Су-27"))</f>
        <v/>
      </c>
      <c r="H692">
        <f>IF($A692="","",SUMIFS('Таблиця 1'!$K:$K,'Таблиця 1'!$B:$B,$A692,'Таблиця 1'!$I:$I,"Mirage",'Таблиця 1'!$J:$J,"AGM-88")+SUMIFS('Таблиця 1'!$K:$K,'Таблиця 1'!$B:$B,$A692,'Таблиця 1'!$I:$I,"F-16",'Таблиця 1'!$J:$J,"AGM-88")+SUMIFS('Таблиця 1'!$K:$K,'Таблиця 1'!$B:$B,$A692,'Таблиця 1'!$I:$I,"МіГ-29",'Таблиця 1'!$J:$J,"AGM-88")+SUMIFS('Таблиця 1'!$K:$K,'Таблиця 1'!$B:$B,$A692,'Таблиця 1'!$I:$I,"Су-25",'Таблиця 1'!$J:$J,"AGM-88")+SUMIFS('Таблиця 1'!$K:$K,'Таблиця 1'!$B:$B,$A692,'Таблиця 1'!$I:$I,"Су-27",'Таблиця 1'!$J:$J,"AGM-88"))</f>
        <v/>
      </c>
      <c r="I692">
        <f>IF($A692="","",SUMIFS('Таблиця 1'!$K:$K,'Таблиця 1'!$B:$B,$A692,'Таблиця 1'!$I:$I,"Mirage",'Таблиця 1'!$J:$J,"AASM-250")+SUMIFS('Таблиця 1'!$K:$K,'Таблиця 1'!$B:$B,$A692,'Таблиця 1'!$I:$I,"F-16",'Таблиця 1'!$J:$J,"AASM-250")+SUMIFS('Таблиця 1'!$K:$K,'Таблиця 1'!$B:$B,$A692,'Таблиця 1'!$I:$I,"МіГ-29",'Таблиця 1'!$J:$J,"AASM-250")+SUMIFS('Таблиця 1'!$K:$K,'Таблиця 1'!$B:$B,$A692,'Таблиця 1'!$I:$I,"Су-25",'Таблиця 1'!$J:$J,"AASM-250")+SUMIFS('Таблиця 1'!$K:$K,'Таблиця 1'!$B:$B,$A692,'Таблиця 1'!$I:$I,"Су-27",'Таблиця 1'!$J:$J,"AASM-250"))</f>
        <v/>
      </c>
      <c r="J692">
        <f>IF($A692="","",SUMIFS('Таблиця 1'!$K:$K,'Таблиця 1'!$B:$B,$A692,'Таблиця 1'!$I:$I,"Mirage",'Таблиця 1'!$J:$J,"GBU-39")+SUMIFS('Таблиця 1'!$K:$K,'Таблиця 1'!$B:$B,$A692,'Таблиця 1'!$I:$I,"F-16",'Таблиця 1'!$J:$J,"GBU-39")+SUMIFS('Таблиця 1'!$K:$K,'Таблиця 1'!$B:$B,$A692,'Таблиця 1'!$I:$I,"МіГ-29",'Таблиця 1'!$J:$J,"GBU-39")+SUMIFS('Таблиця 1'!$K:$K,'Таблиця 1'!$B:$B,$A692,'Таблиця 1'!$I:$I,"Су-25",'Таблиця 1'!$J:$J,"GBU-39")+SUMIFS('Таблиця 1'!$K:$K,'Таблиця 1'!$B:$B,$A692,'Таблиця 1'!$I:$I,"Су-27",'Таблиця 1'!$J:$J,"GBU-39"))</f>
        <v/>
      </c>
      <c r="K692">
        <f>IF($A692="","",SUMIFS('Таблиця 1'!$K:$K,'Таблиця 1'!$B:$B,$A692,'Таблиця 1'!$I:$I,"Mirage",'Таблиця 1'!$J:$J,"BLU-140")+SUMIFS('Таблиця 1'!$K:$K,'Таблиця 1'!$B:$B,$A692,'Таблиця 1'!$I:$I,"F-16",'Таблиця 1'!$J:$J,"BLU-140")+SUMIFS('Таблиця 1'!$K:$K,'Таблиця 1'!$B:$B,$A692,'Таблиця 1'!$I:$I,"МіГ-29",'Таблиця 1'!$J:$J,"BLU-140")+SUMIFS('Таблиця 1'!$K:$K,'Таблиця 1'!$B:$B,$A692,'Таблиця 1'!$I:$I,"Су-25",'Таблиця 1'!$J:$J,"BLU-140")+SUMIFS('Таблиця 1'!$K:$K,'Таблиця 1'!$B:$B,$A692,'Таблиця 1'!$I:$I,"Су-27",'Таблиця 1'!$J:$J,"BLU-140"))</f>
        <v/>
      </c>
      <c r="L692">
        <f>IF($A692="","",SUMIFS('Таблиця 1'!$K:$K,'Таблиця 1'!$B:$B,$A692,'Таблиця 1'!$I:$I,"Mirage",'Таблиця 1'!$J:$J,"GBU-65")+SUMIFS('Таблиця 1'!$K:$K,'Таблиця 1'!$B:$B,$A692,'Таблиця 1'!$I:$I,"F-16",'Таблиця 1'!$J:$J,"GBU-65")+SUMIFS('Таблиця 1'!$K:$K,'Таблиця 1'!$B:$B,$A692,'Таблиця 1'!$I:$I,"МіГ-29",'Таблиця 1'!$J:$J,"GBU-65")+SUMIFS('Таблиця 1'!$K:$K,'Таблиця 1'!$B:$B,$A692,'Таблиця 1'!$I:$I,"Су-25",'Таблиця 1'!$J:$J,"GBU-65")+SUMIFS('Таблиця 1'!$K:$K,'Таблиця 1'!$B:$B,$A692,'Таблиця 1'!$I:$I,"Су-27",'Таблиця 1'!$J:$J,"GBU-65"))</f>
        <v/>
      </c>
      <c r="M692">
        <f>IF($A692="","",SUMIFS('Таблиця 1'!$K:$K,'Таблиця 1'!$B:$B,$A692,'Таблиця 1'!$I:$I,"Mirage",'Таблиця 1'!$J:$J,"GBU-62")+SUMIFS('Таблиця 1'!$K:$K,'Таблиця 1'!$B:$B,$A692,'Таблиця 1'!$I:$I,"F-16",'Таблиця 1'!$J:$J,"GBU-62")+SUMIFS('Таблиця 1'!$K:$K,'Таблиця 1'!$B:$B,$A692,'Таблиця 1'!$I:$I,"МіГ-29",'Таблиця 1'!$J:$J,"GBU-62")+SUMIFS('Таблиця 1'!$K:$K,'Таблиця 1'!$B:$B,$A692,'Таблиця 1'!$I:$I,"Су-25",'Таблиця 1'!$J:$J,"GBU-62")+SUMIFS('Таблиця 1'!$K:$K,'Таблиця 1'!$B:$B,$A692,'Таблиця 1'!$I:$I,"Су-27",'Таблиця 1'!$J:$J,"GBU-62"))</f>
        <v/>
      </c>
      <c r="N692">
        <f>IF($A692="","",SUMIFS('Таблиця 1'!$K:$K,'Таблиця 1'!$B:$B,$A692,'Таблиця 1'!$I:$I,"Mirage",'Таблиця 1'!$J:$J,"GBU-64")+SUMIFS('Таблиця 1'!$K:$K,'Таблиця 1'!$B:$B,$A692,'Таблиця 1'!$I:$I,"F-16",'Таблиця 1'!$J:$J,"GBU-64")+SUMIFS('Таблиця 1'!$K:$K,'Таблиця 1'!$B:$B,$A692,'Таблиця 1'!$I:$I,"МіГ-29",'Таблиця 1'!$J:$J,"GBU-64")+SUMIFS('Таблиця 1'!$K:$K,'Таблиця 1'!$B:$B,$A692,'Таблиця 1'!$I:$I,"Су-25",'Таблиця 1'!$J:$J,"GBU-64")+SUMIFS('Таблиця 1'!$K:$K,'Таблиця 1'!$B:$B,$A692,'Таблиця 1'!$I:$I,"Су-27",'Таблиця 1'!$J:$J,"GBU-64"))</f>
        <v/>
      </c>
      <c r="O692">
        <f>IF($A692="","",SUMIFS('Таблиця 1'!$K:$K,'Таблиця 1'!$B:$B,$A692,'Таблиця 1'!$I:$I,"Mirage",'Таблиця 1'!$J:$J,"C-13")+SUMIFS('Таблиця 1'!$K:$K,'Таблиця 1'!$B:$B,$A692,'Таблиця 1'!$I:$I,"F-16",'Таблиця 1'!$J:$J,"C-13")+SUMIFS('Таблиця 1'!$K:$K,'Таблиця 1'!$B:$B,$A692,'Таблиця 1'!$I:$I,"МіГ-29",'Таблиця 1'!$J:$J,"C-13")+SUMIFS('Таблиця 1'!$K:$K,'Таблиця 1'!$B:$B,$A692,'Таблиця 1'!$I:$I,"Су-25",'Таблиця 1'!$J:$J,"C-13")+SUMIFS('Таблиця 1'!$K:$K,'Таблиця 1'!$B:$B,$A692,'Таблиця 1'!$I:$I,"Су-27",'Таблиця 1'!$J:$J,"C-13"))</f>
        <v/>
      </c>
      <c r="P692">
        <f>IF($A692="","",SUMIFS('Таблиця 1'!$K:$K,'Таблиця 1'!$B:$B,$A692,'Таблиця 1'!$I:$I,"Mirage",'Таблиця 1'!$J:$J,"MK-32")+SUMIFS('Таблиця 1'!$K:$K,'Таблиця 1'!$B:$B,$A692,'Таблиця 1'!$I:$I,"F-16",'Таблиця 1'!$J:$J,"MK-32")+SUMIFS('Таблиця 1'!$K:$K,'Таблиця 1'!$B:$B,$A692,'Таблиця 1'!$I:$I,"МіГ-29",'Таблиця 1'!$J:$J,"MK-32")+SUMIFS('Таблиця 1'!$K:$K,'Таблиця 1'!$B:$B,$A692,'Таблиця 1'!$I:$I,"Су-25",'Таблиця 1'!$J:$J,"MK-32")+SUMIFS('Таблиця 1'!$K:$K,'Таблиця 1'!$B:$B,$A692,'Таблиця 1'!$I:$I,"Су-27",'Таблиця 1'!$J:$J,"MK-32"))</f>
        <v/>
      </c>
      <c r="Q692">
        <f>IF($A692="","",SUMIFS('Таблиця 1'!$K:$K,'Таблиця 1'!$B:$B,$A692,'Таблиця 1'!$I:$I,"Mirage",'Таблиця 1'!$J:$J,"MK-24")+SUMIFS('Таблиця 1'!$K:$K,'Таблиця 1'!$B:$B,$A692,'Таблиця 1'!$I:$I,"F-16",'Таблиця 1'!$J:$J,"MK-24")+SUMIFS('Таблиця 1'!$K:$K,'Таблиця 1'!$B:$B,$A692,'Таблиця 1'!$I:$I,"МіГ-29",'Таблиця 1'!$J:$J,"MK-24")+SUMIFS('Таблиця 1'!$K:$K,'Таблиця 1'!$B:$B,$A692,'Таблиця 1'!$I:$I,"Су-25",'Таблиця 1'!$J:$J,"MK-24")+SUMIFS('Таблиця 1'!$K:$K,'Таблиця 1'!$B:$B,$A692,'Таблиця 1'!$I:$I,"Су-27",'Таблиця 1'!$J:$J,"MK-24"))</f>
        <v/>
      </c>
      <c r="R692">
        <f>IF($A692="","",COUNTIFS('Таблиця 1'!$B:$B,$A692,'Таблиця 1'!$I:$I,"Mirage",'Таблиця 1'!$L:$L,"Уражено")+COUNTIFS('Таблиця 1'!$B:$B,$A692,'Таблиця 1'!$I:$I,"F-16",'Таблиця 1'!$L:$L,"Уражено")+COUNTIFS('Таблиця 1'!$B:$B,$A692,'Таблиця 1'!$I:$I,"МіГ-29",'Таблиця 1'!$L:$L,"Уражено")+COUNTIFS('Таблиця 1'!$B:$B,$A692,'Таблиця 1'!$I:$I,"Су-25",'Таблиця 1'!$L:$L,"Уражено")+COUNTIFS('Таблиця 1'!$B:$B,$A692,'Таблиця 1'!$I:$I,"Су-27",'Таблиця 1'!$L:$L,"Уражено"))</f>
        <v/>
      </c>
      <c r="S692">
        <f>IF($A692="","",COUNTIFS('Таблиця 1'!$B:$B,$A692,'Таблиця 1'!$I:$I,"Mirage",'Таблиця 1'!$L:$L,"НЕ уражено")+COUNTIFS('Таблиця 1'!$B:$B,$A692,'Таблиця 1'!$I:$I,"F-16",'Таблиця 1'!$L:$L,"НЕ уражено")+COUNTIFS('Таблиця 1'!$B:$B,$A692,'Таблиця 1'!$I:$I,"МіГ-29",'Таблиця 1'!$L:$L,"НЕ уражено")+COUNTIFS('Таблиця 1'!$B:$B,$A692,'Таблиця 1'!$I:$I,"Су-25",'Таблиця 1'!$L:$L,"НЕ уражено")+COUNTIFS('Таблиця 1'!$B:$B,$A692,'Таблиця 1'!$I:$I,"Су-27",'Таблиця 1'!$L:$L,"НЕ уражено"))</f>
        <v/>
      </c>
      <c r="T692">
        <f>IF($A692="","",COUNTIFS('Таблиця 1'!$B:$B,$A692,'Таблиця 1'!$I:$I,"Mirage",'Таблиця 1'!$L:$L,"Дорозвідується")+COUNTIFS('Таблиця 1'!$B:$B,$A692,'Таблиця 1'!$I:$I,"F-16",'Таблиця 1'!$L:$L,"Дорозвідується")+COUNTIFS('Таблиця 1'!$B:$B,$A692,'Таблиця 1'!$I:$I,"МіГ-29",'Таблиця 1'!$L:$L,"Дорозвідується")+COUNTIFS('Таблиця 1'!$B:$B,$A692,'Таблиця 1'!$I:$I,"Су-25",'Таблиця 1'!$L:$L,"Дорозвідується")+COUNTIFS('Таблиця 1'!$B:$B,$A692,'Таблиця 1'!$I:$I,"Су-27",'Таблиця 1'!$L:$L,"Дорозвідується"))</f>
        <v/>
      </c>
    </row>
    <row r="693">
      <c r="A693" s="273">
        <f>IF(A692="","",IF(A692+1&gt;MAX('Таблиця 1'!$B:$B),"",A692+1))</f>
        <v/>
      </c>
      <c r="B693">
        <f>IF($A693="","",COUNTIFS('Таблиця 1'!$B:$B,$A693,'Таблиця 1'!$I:$I,"Mirage")+COUNTIFS('Таблиця 1'!$B:$B,$A693,'Таблиця 1'!$I:$I,"F-16")+COUNTIFS('Таблиця 1'!$B:$B,$A693,'Таблиця 1'!$I:$I,"МіГ-29")+COUNTIFS('Таблиця 1'!$B:$B,$A693,'Таблиця 1'!$I:$I,"Су-25")+COUNTIFS('Таблиця 1'!$B:$B,$A693,'Таблиця 1'!$I:$I,"Су-27"))</f>
        <v/>
      </c>
      <c r="C693">
        <f>IF($A693="","",COUNTIFS('Таблиця 1'!$B:$B,$A693,'Таблиця 1'!$I:$I,"Mirage"))</f>
        <v/>
      </c>
      <c r="D693">
        <f>IF($A693="","",COUNTIFS('Таблиця 1'!$B:$B,$A693,'Таблиця 1'!$I:$I,"F-16"))</f>
        <v/>
      </c>
      <c r="E693">
        <f>IF($A693="","",COUNTIFS('Таблиця 1'!$B:$B,$A693,'Таблиця 1'!$I:$I,"МіГ-29"))</f>
        <v/>
      </c>
      <c r="F693">
        <f>IF($A693="","",COUNTIFS('Таблиця 1'!$B:$B,$A693,'Таблиця 1'!$I:$I,"Су-25"))</f>
        <v/>
      </c>
      <c r="G693">
        <f>IF($A693="","",COUNTIFS('Таблиця 1'!$B:$B,$A693,'Таблиця 1'!$I:$I,"Су-27"))</f>
        <v/>
      </c>
      <c r="H693">
        <f>IF($A693="","",SUMIFS('Таблиця 1'!$K:$K,'Таблиця 1'!$B:$B,$A693,'Таблиця 1'!$I:$I,"Mirage",'Таблиця 1'!$J:$J,"AGM-88")+SUMIFS('Таблиця 1'!$K:$K,'Таблиця 1'!$B:$B,$A693,'Таблиця 1'!$I:$I,"F-16",'Таблиця 1'!$J:$J,"AGM-88")+SUMIFS('Таблиця 1'!$K:$K,'Таблиця 1'!$B:$B,$A693,'Таблиця 1'!$I:$I,"МіГ-29",'Таблиця 1'!$J:$J,"AGM-88")+SUMIFS('Таблиця 1'!$K:$K,'Таблиця 1'!$B:$B,$A693,'Таблиця 1'!$I:$I,"Су-25",'Таблиця 1'!$J:$J,"AGM-88")+SUMIFS('Таблиця 1'!$K:$K,'Таблиця 1'!$B:$B,$A693,'Таблиця 1'!$I:$I,"Су-27",'Таблиця 1'!$J:$J,"AGM-88"))</f>
        <v/>
      </c>
      <c r="I693">
        <f>IF($A693="","",SUMIFS('Таблиця 1'!$K:$K,'Таблиця 1'!$B:$B,$A693,'Таблиця 1'!$I:$I,"Mirage",'Таблиця 1'!$J:$J,"AASM-250")+SUMIFS('Таблиця 1'!$K:$K,'Таблиця 1'!$B:$B,$A693,'Таблиця 1'!$I:$I,"F-16",'Таблиця 1'!$J:$J,"AASM-250")+SUMIFS('Таблиця 1'!$K:$K,'Таблиця 1'!$B:$B,$A693,'Таблиця 1'!$I:$I,"МіГ-29",'Таблиця 1'!$J:$J,"AASM-250")+SUMIFS('Таблиця 1'!$K:$K,'Таблиця 1'!$B:$B,$A693,'Таблиця 1'!$I:$I,"Су-25",'Таблиця 1'!$J:$J,"AASM-250")+SUMIFS('Таблиця 1'!$K:$K,'Таблиця 1'!$B:$B,$A693,'Таблиця 1'!$I:$I,"Су-27",'Таблиця 1'!$J:$J,"AASM-250"))</f>
        <v/>
      </c>
      <c r="J693">
        <f>IF($A693="","",SUMIFS('Таблиця 1'!$K:$K,'Таблиця 1'!$B:$B,$A693,'Таблиця 1'!$I:$I,"Mirage",'Таблиця 1'!$J:$J,"GBU-39")+SUMIFS('Таблиця 1'!$K:$K,'Таблиця 1'!$B:$B,$A693,'Таблиця 1'!$I:$I,"F-16",'Таблиця 1'!$J:$J,"GBU-39")+SUMIFS('Таблиця 1'!$K:$K,'Таблиця 1'!$B:$B,$A693,'Таблиця 1'!$I:$I,"МіГ-29",'Таблиця 1'!$J:$J,"GBU-39")+SUMIFS('Таблиця 1'!$K:$K,'Таблиця 1'!$B:$B,$A693,'Таблиця 1'!$I:$I,"Су-25",'Таблиця 1'!$J:$J,"GBU-39")+SUMIFS('Таблиця 1'!$K:$K,'Таблиця 1'!$B:$B,$A693,'Таблиця 1'!$I:$I,"Су-27",'Таблиця 1'!$J:$J,"GBU-39"))</f>
        <v/>
      </c>
      <c r="K693">
        <f>IF($A693="","",SUMIFS('Таблиця 1'!$K:$K,'Таблиця 1'!$B:$B,$A693,'Таблиця 1'!$I:$I,"Mirage",'Таблиця 1'!$J:$J,"BLU-140")+SUMIFS('Таблиця 1'!$K:$K,'Таблиця 1'!$B:$B,$A693,'Таблиця 1'!$I:$I,"F-16",'Таблиця 1'!$J:$J,"BLU-140")+SUMIFS('Таблиця 1'!$K:$K,'Таблиця 1'!$B:$B,$A693,'Таблиця 1'!$I:$I,"МіГ-29",'Таблиця 1'!$J:$J,"BLU-140")+SUMIFS('Таблиця 1'!$K:$K,'Таблиця 1'!$B:$B,$A693,'Таблиця 1'!$I:$I,"Су-25",'Таблиця 1'!$J:$J,"BLU-140")+SUMIFS('Таблиця 1'!$K:$K,'Таблиця 1'!$B:$B,$A693,'Таблиця 1'!$I:$I,"Су-27",'Таблиця 1'!$J:$J,"BLU-140"))</f>
        <v/>
      </c>
      <c r="L693">
        <f>IF($A693="","",SUMIFS('Таблиця 1'!$K:$K,'Таблиця 1'!$B:$B,$A693,'Таблиця 1'!$I:$I,"Mirage",'Таблиця 1'!$J:$J,"GBU-65")+SUMIFS('Таблиця 1'!$K:$K,'Таблиця 1'!$B:$B,$A693,'Таблиця 1'!$I:$I,"F-16",'Таблиця 1'!$J:$J,"GBU-65")+SUMIFS('Таблиця 1'!$K:$K,'Таблиця 1'!$B:$B,$A693,'Таблиця 1'!$I:$I,"МіГ-29",'Таблиця 1'!$J:$J,"GBU-65")+SUMIFS('Таблиця 1'!$K:$K,'Таблиця 1'!$B:$B,$A693,'Таблиця 1'!$I:$I,"Су-25",'Таблиця 1'!$J:$J,"GBU-65")+SUMIFS('Таблиця 1'!$K:$K,'Таблиця 1'!$B:$B,$A693,'Таблиця 1'!$I:$I,"Су-27",'Таблиця 1'!$J:$J,"GBU-65"))</f>
        <v/>
      </c>
      <c r="M693">
        <f>IF($A693="","",SUMIFS('Таблиця 1'!$K:$K,'Таблиця 1'!$B:$B,$A693,'Таблиця 1'!$I:$I,"Mirage",'Таблиця 1'!$J:$J,"GBU-62")+SUMIFS('Таблиця 1'!$K:$K,'Таблиця 1'!$B:$B,$A693,'Таблиця 1'!$I:$I,"F-16",'Таблиця 1'!$J:$J,"GBU-62")+SUMIFS('Таблиця 1'!$K:$K,'Таблиця 1'!$B:$B,$A693,'Таблиця 1'!$I:$I,"МіГ-29",'Таблиця 1'!$J:$J,"GBU-62")+SUMIFS('Таблиця 1'!$K:$K,'Таблиця 1'!$B:$B,$A693,'Таблиця 1'!$I:$I,"Су-25",'Таблиця 1'!$J:$J,"GBU-62")+SUMIFS('Таблиця 1'!$K:$K,'Таблиця 1'!$B:$B,$A693,'Таблиця 1'!$I:$I,"Су-27",'Таблиця 1'!$J:$J,"GBU-62"))</f>
        <v/>
      </c>
      <c r="N693">
        <f>IF($A693="","",SUMIFS('Таблиця 1'!$K:$K,'Таблиця 1'!$B:$B,$A693,'Таблиця 1'!$I:$I,"Mirage",'Таблиця 1'!$J:$J,"GBU-64")+SUMIFS('Таблиця 1'!$K:$K,'Таблиця 1'!$B:$B,$A693,'Таблиця 1'!$I:$I,"F-16",'Таблиця 1'!$J:$J,"GBU-64")+SUMIFS('Таблиця 1'!$K:$K,'Таблиця 1'!$B:$B,$A693,'Таблиця 1'!$I:$I,"МіГ-29",'Таблиця 1'!$J:$J,"GBU-64")+SUMIFS('Таблиця 1'!$K:$K,'Таблиця 1'!$B:$B,$A693,'Таблиця 1'!$I:$I,"Су-25",'Таблиця 1'!$J:$J,"GBU-64")+SUMIFS('Таблиця 1'!$K:$K,'Таблиця 1'!$B:$B,$A693,'Таблиця 1'!$I:$I,"Су-27",'Таблиця 1'!$J:$J,"GBU-64"))</f>
        <v/>
      </c>
      <c r="O693">
        <f>IF($A693="","",SUMIFS('Таблиця 1'!$K:$K,'Таблиця 1'!$B:$B,$A693,'Таблиця 1'!$I:$I,"Mirage",'Таблиця 1'!$J:$J,"C-13")+SUMIFS('Таблиця 1'!$K:$K,'Таблиця 1'!$B:$B,$A693,'Таблиця 1'!$I:$I,"F-16",'Таблиця 1'!$J:$J,"C-13")+SUMIFS('Таблиця 1'!$K:$K,'Таблиця 1'!$B:$B,$A693,'Таблиця 1'!$I:$I,"МіГ-29",'Таблиця 1'!$J:$J,"C-13")+SUMIFS('Таблиця 1'!$K:$K,'Таблиця 1'!$B:$B,$A693,'Таблиця 1'!$I:$I,"Су-25",'Таблиця 1'!$J:$J,"C-13")+SUMIFS('Таблиця 1'!$K:$K,'Таблиця 1'!$B:$B,$A693,'Таблиця 1'!$I:$I,"Су-27",'Таблиця 1'!$J:$J,"C-13"))</f>
        <v/>
      </c>
      <c r="P693">
        <f>IF($A693="","",SUMIFS('Таблиця 1'!$K:$K,'Таблиця 1'!$B:$B,$A693,'Таблиця 1'!$I:$I,"Mirage",'Таблиця 1'!$J:$J,"MK-32")+SUMIFS('Таблиця 1'!$K:$K,'Таблиця 1'!$B:$B,$A693,'Таблиця 1'!$I:$I,"F-16",'Таблиця 1'!$J:$J,"MK-32")+SUMIFS('Таблиця 1'!$K:$K,'Таблиця 1'!$B:$B,$A693,'Таблиця 1'!$I:$I,"МіГ-29",'Таблиця 1'!$J:$J,"MK-32")+SUMIFS('Таблиця 1'!$K:$K,'Таблиця 1'!$B:$B,$A693,'Таблиця 1'!$I:$I,"Су-25",'Таблиця 1'!$J:$J,"MK-32")+SUMIFS('Таблиця 1'!$K:$K,'Таблиця 1'!$B:$B,$A693,'Таблиця 1'!$I:$I,"Су-27",'Таблиця 1'!$J:$J,"MK-32"))</f>
        <v/>
      </c>
      <c r="Q693">
        <f>IF($A693="","",SUMIFS('Таблиця 1'!$K:$K,'Таблиця 1'!$B:$B,$A693,'Таблиця 1'!$I:$I,"Mirage",'Таблиця 1'!$J:$J,"MK-24")+SUMIFS('Таблиця 1'!$K:$K,'Таблиця 1'!$B:$B,$A693,'Таблиця 1'!$I:$I,"F-16",'Таблиця 1'!$J:$J,"MK-24")+SUMIFS('Таблиця 1'!$K:$K,'Таблиця 1'!$B:$B,$A693,'Таблиця 1'!$I:$I,"МіГ-29",'Таблиця 1'!$J:$J,"MK-24")+SUMIFS('Таблиця 1'!$K:$K,'Таблиця 1'!$B:$B,$A693,'Таблиця 1'!$I:$I,"Су-25",'Таблиця 1'!$J:$J,"MK-24")+SUMIFS('Таблиця 1'!$K:$K,'Таблиця 1'!$B:$B,$A693,'Таблиця 1'!$I:$I,"Су-27",'Таблиця 1'!$J:$J,"MK-24"))</f>
        <v/>
      </c>
      <c r="R693">
        <f>IF($A693="","",COUNTIFS('Таблиця 1'!$B:$B,$A693,'Таблиця 1'!$I:$I,"Mirage",'Таблиця 1'!$L:$L,"Уражено")+COUNTIFS('Таблиця 1'!$B:$B,$A693,'Таблиця 1'!$I:$I,"F-16",'Таблиця 1'!$L:$L,"Уражено")+COUNTIFS('Таблиця 1'!$B:$B,$A693,'Таблиця 1'!$I:$I,"МіГ-29",'Таблиця 1'!$L:$L,"Уражено")+COUNTIFS('Таблиця 1'!$B:$B,$A693,'Таблиця 1'!$I:$I,"Су-25",'Таблиця 1'!$L:$L,"Уражено")+COUNTIFS('Таблиця 1'!$B:$B,$A693,'Таблиця 1'!$I:$I,"Су-27",'Таблиця 1'!$L:$L,"Уражено"))</f>
        <v/>
      </c>
      <c r="S693">
        <f>IF($A693="","",COUNTIFS('Таблиця 1'!$B:$B,$A693,'Таблиця 1'!$I:$I,"Mirage",'Таблиця 1'!$L:$L,"НЕ уражено")+COUNTIFS('Таблиця 1'!$B:$B,$A693,'Таблиця 1'!$I:$I,"F-16",'Таблиця 1'!$L:$L,"НЕ уражено")+COUNTIFS('Таблиця 1'!$B:$B,$A693,'Таблиця 1'!$I:$I,"МіГ-29",'Таблиця 1'!$L:$L,"НЕ уражено")+COUNTIFS('Таблиця 1'!$B:$B,$A693,'Таблиця 1'!$I:$I,"Су-25",'Таблиця 1'!$L:$L,"НЕ уражено")+COUNTIFS('Таблиця 1'!$B:$B,$A693,'Таблиця 1'!$I:$I,"Су-27",'Таблиця 1'!$L:$L,"НЕ уражено"))</f>
        <v/>
      </c>
      <c r="T693">
        <f>IF($A693="","",COUNTIFS('Таблиця 1'!$B:$B,$A693,'Таблиця 1'!$I:$I,"Mirage",'Таблиця 1'!$L:$L,"Дорозвідується")+COUNTIFS('Таблиця 1'!$B:$B,$A693,'Таблиця 1'!$I:$I,"F-16",'Таблиця 1'!$L:$L,"Дорозвідується")+COUNTIFS('Таблиця 1'!$B:$B,$A693,'Таблиця 1'!$I:$I,"МіГ-29",'Таблиця 1'!$L:$L,"Дорозвідується")+COUNTIFS('Таблиця 1'!$B:$B,$A693,'Таблиця 1'!$I:$I,"Су-25",'Таблиця 1'!$L:$L,"Дорозвідується")+COUNTIFS('Таблиця 1'!$B:$B,$A693,'Таблиця 1'!$I:$I,"Су-27",'Таблиця 1'!$L:$L,"Дорозвідується"))</f>
        <v/>
      </c>
    </row>
    <row r="694">
      <c r="A694" s="273">
        <f>IF(A693="","",IF(A693+1&gt;MAX('Таблиця 1'!$B:$B),"",A693+1))</f>
        <v/>
      </c>
      <c r="B694">
        <f>IF($A694="","",COUNTIFS('Таблиця 1'!$B:$B,$A694,'Таблиця 1'!$I:$I,"Mirage")+COUNTIFS('Таблиця 1'!$B:$B,$A694,'Таблиця 1'!$I:$I,"F-16")+COUNTIFS('Таблиця 1'!$B:$B,$A694,'Таблиця 1'!$I:$I,"МіГ-29")+COUNTIFS('Таблиця 1'!$B:$B,$A694,'Таблиця 1'!$I:$I,"Су-25")+COUNTIFS('Таблиця 1'!$B:$B,$A694,'Таблиця 1'!$I:$I,"Су-27"))</f>
        <v/>
      </c>
      <c r="C694">
        <f>IF($A694="","",COUNTIFS('Таблиця 1'!$B:$B,$A694,'Таблиця 1'!$I:$I,"Mirage"))</f>
        <v/>
      </c>
      <c r="D694">
        <f>IF($A694="","",COUNTIFS('Таблиця 1'!$B:$B,$A694,'Таблиця 1'!$I:$I,"F-16"))</f>
        <v/>
      </c>
      <c r="E694">
        <f>IF($A694="","",COUNTIFS('Таблиця 1'!$B:$B,$A694,'Таблиця 1'!$I:$I,"МіГ-29"))</f>
        <v/>
      </c>
      <c r="F694">
        <f>IF($A694="","",COUNTIFS('Таблиця 1'!$B:$B,$A694,'Таблиця 1'!$I:$I,"Су-25"))</f>
        <v/>
      </c>
      <c r="G694">
        <f>IF($A694="","",COUNTIFS('Таблиця 1'!$B:$B,$A694,'Таблиця 1'!$I:$I,"Су-27"))</f>
        <v/>
      </c>
      <c r="H694">
        <f>IF($A694="","",SUMIFS('Таблиця 1'!$K:$K,'Таблиця 1'!$B:$B,$A694,'Таблиця 1'!$I:$I,"Mirage",'Таблиця 1'!$J:$J,"AGM-88")+SUMIFS('Таблиця 1'!$K:$K,'Таблиця 1'!$B:$B,$A694,'Таблиця 1'!$I:$I,"F-16",'Таблиця 1'!$J:$J,"AGM-88")+SUMIFS('Таблиця 1'!$K:$K,'Таблиця 1'!$B:$B,$A694,'Таблиця 1'!$I:$I,"МіГ-29",'Таблиця 1'!$J:$J,"AGM-88")+SUMIFS('Таблиця 1'!$K:$K,'Таблиця 1'!$B:$B,$A694,'Таблиця 1'!$I:$I,"Су-25",'Таблиця 1'!$J:$J,"AGM-88")+SUMIFS('Таблиця 1'!$K:$K,'Таблиця 1'!$B:$B,$A694,'Таблиця 1'!$I:$I,"Су-27",'Таблиця 1'!$J:$J,"AGM-88"))</f>
        <v/>
      </c>
      <c r="I694">
        <f>IF($A694="","",SUMIFS('Таблиця 1'!$K:$K,'Таблиця 1'!$B:$B,$A694,'Таблиця 1'!$I:$I,"Mirage",'Таблиця 1'!$J:$J,"AASM-250")+SUMIFS('Таблиця 1'!$K:$K,'Таблиця 1'!$B:$B,$A694,'Таблиця 1'!$I:$I,"F-16",'Таблиця 1'!$J:$J,"AASM-250")+SUMIFS('Таблиця 1'!$K:$K,'Таблиця 1'!$B:$B,$A694,'Таблиця 1'!$I:$I,"МіГ-29",'Таблиця 1'!$J:$J,"AASM-250")+SUMIFS('Таблиця 1'!$K:$K,'Таблиця 1'!$B:$B,$A694,'Таблиця 1'!$I:$I,"Су-25",'Таблиця 1'!$J:$J,"AASM-250")+SUMIFS('Таблиця 1'!$K:$K,'Таблиця 1'!$B:$B,$A694,'Таблиця 1'!$I:$I,"Су-27",'Таблиця 1'!$J:$J,"AASM-250"))</f>
        <v/>
      </c>
      <c r="J694">
        <f>IF($A694="","",SUMIFS('Таблиця 1'!$K:$K,'Таблиця 1'!$B:$B,$A694,'Таблиця 1'!$I:$I,"Mirage",'Таблиця 1'!$J:$J,"GBU-39")+SUMIFS('Таблиця 1'!$K:$K,'Таблиця 1'!$B:$B,$A694,'Таблиця 1'!$I:$I,"F-16",'Таблиця 1'!$J:$J,"GBU-39")+SUMIFS('Таблиця 1'!$K:$K,'Таблиця 1'!$B:$B,$A694,'Таблиця 1'!$I:$I,"МіГ-29",'Таблиця 1'!$J:$J,"GBU-39")+SUMIFS('Таблиця 1'!$K:$K,'Таблиця 1'!$B:$B,$A694,'Таблиця 1'!$I:$I,"Су-25",'Таблиця 1'!$J:$J,"GBU-39")+SUMIFS('Таблиця 1'!$K:$K,'Таблиця 1'!$B:$B,$A694,'Таблиця 1'!$I:$I,"Су-27",'Таблиця 1'!$J:$J,"GBU-39"))</f>
        <v/>
      </c>
      <c r="K694">
        <f>IF($A694="","",SUMIFS('Таблиця 1'!$K:$K,'Таблиця 1'!$B:$B,$A694,'Таблиця 1'!$I:$I,"Mirage",'Таблиця 1'!$J:$J,"BLU-140")+SUMIFS('Таблиця 1'!$K:$K,'Таблиця 1'!$B:$B,$A694,'Таблиця 1'!$I:$I,"F-16",'Таблиця 1'!$J:$J,"BLU-140")+SUMIFS('Таблиця 1'!$K:$K,'Таблиця 1'!$B:$B,$A694,'Таблиця 1'!$I:$I,"МіГ-29",'Таблиця 1'!$J:$J,"BLU-140")+SUMIFS('Таблиця 1'!$K:$K,'Таблиця 1'!$B:$B,$A694,'Таблиця 1'!$I:$I,"Су-25",'Таблиця 1'!$J:$J,"BLU-140")+SUMIFS('Таблиця 1'!$K:$K,'Таблиця 1'!$B:$B,$A694,'Таблиця 1'!$I:$I,"Су-27",'Таблиця 1'!$J:$J,"BLU-140"))</f>
        <v/>
      </c>
      <c r="L694">
        <f>IF($A694="","",SUMIFS('Таблиця 1'!$K:$K,'Таблиця 1'!$B:$B,$A694,'Таблиця 1'!$I:$I,"Mirage",'Таблиця 1'!$J:$J,"GBU-65")+SUMIFS('Таблиця 1'!$K:$K,'Таблиця 1'!$B:$B,$A694,'Таблиця 1'!$I:$I,"F-16",'Таблиця 1'!$J:$J,"GBU-65")+SUMIFS('Таблиця 1'!$K:$K,'Таблиця 1'!$B:$B,$A694,'Таблиця 1'!$I:$I,"МіГ-29",'Таблиця 1'!$J:$J,"GBU-65")+SUMIFS('Таблиця 1'!$K:$K,'Таблиця 1'!$B:$B,$A694,'Таблиця 1'!$I:$I,"Су-25",'Таблиця 1'!$J:$J,"GBU-65")+SUMIFS('Таблиця 1'!$K:$K,'Таблиця 1'!$B:$B,$A694,'Таблиця 1'!$I:$I,"Су-27",'Таблиця 1'!$J:$J,"GBU-65"))</f>
        <v/>
      </c>
      <c r="M694">
        <f>IF($A694="","",SUMIFS('Таблиця 1'!$K:$K,'Таблиця 1'!$B:$B,$A694,'Таблиця 1'!$I:$I,"Mirage",'Таблиця 1'!$J:$J,"GBU-62")+SUMIFS('Таблиця 1'!$K:$K,'Таблиця 1'!$B:$B,$A694,'Таблиця 1'!$I:$I,"F-16",'Таблиця 1'!$J:$J,"GBU-62")+SUMIFS('Таблиця 1'!$K:$K,'Таблиця 1'!$B:$B,$A694,'Таблиця 1'!$I:$I,"МіГ-29",'Таблиця 1'!$J:$J,"GBU-62")+SUMIFS('Таблиця 1'!$K:$K,'Таблиця 1'!$B:$B,$A694,'Таблиця 1'!$I:$I,"Су-25",'Таблиця 1'!$J:$J,"GBU-62")+SUMIFS('Таблиця 1'!$K:$K,'Таблиця 1'!$B:$B,$A694,'Таблиця 1'!$I:$I,"Су-27",'Таблиця 1'!$J:$J,"GBU-62"))</f>
        <v/>
      </c>
      <c r="N694">
        <f>IF($A694="","",SUMIFS('Таблиця 1'!$K:$K,'Таблиця 1'!$B:$B,$A694,'Таблиця 1'!$I:$I,"Mirage",'Таблиця 1'!$J:$J,"GBU-64")+SUMIFS('Таблиця 1'!$K:$K,'Таблиця 1'!$B:$B,$A694,'Таблиця 1'!$I:$I,"F-16",'Таблиця 1'!$J:$J,"GBU-64")+SUMIFS('Таблиця 1'!$K:$K,'Таблиця 1'!$B:$B,$A694,'Таблиця 1'!$I:$I,"МіГ-29",'Таблиця 1'!$J:$J,"GBU-64")+SUMIFS('Таблиця 1'!$K:$K,'Таблиця 1'!$B:$B,$A694,'Таблиця 1'!$I:$I,"Су-25",'Таблиця 1'!$J:$J,"GBU-64")+SUMIFS('Таблиця 1'!$K:$K,'Таблиця 1'!$B:$B,$A694,'Таблиця 1'!$I:$I,"Су-27",'Таблиця 1'!$J:$J,"GBU-64"))</f>
        <v/>
      </c>
      <c r="O694">
        <f>IF($A694="","",SUMIFS('Таблиця 1'!$K:$K,'Таблиця 1'!$B:$B,$A694,'Таблиця 1'!$I:$I,"Mirage",'Таблиця 1'!$J:$J,"C-13")+SUMIFS('Таблиця 1'!$K:$K,'Таблиця 1'!$B:$B,$A694,'Таблиця 1'!$I:$I,"F-16",'Таблиця 1'!$J:$J,"C-13")+SUMIFS('Таблиця 1'!$K:$K,'Таблиця 1'!$B:$B,$A694,'Таблиця 1'!$I:$I,"МіГ-29",'Таблиця 1'!$J:$J,"C-13")+SUMIFS('Таблиця 1'!$K:$K,'Таблиця 1'!$B:$B,$A694,'Таблиця 1'!$I:$I,"Су-25",'Таблиця 1'!$J:$J,"C-13")+SUMIFS('Таблиця 1'!$K:$K,'Таблиця 1'!$B:$B,$A694,'Таблиця 1'!$I:$I,"Су-27",'Таблиця 1'!$J:$J,"C-13"))</f>
        <v/>
      </c>
      <c r="P694">
        <f>IF($A694="","",SUMIFS('Таблиця 1'!$K:$K,'Таблиця 1'!$B:$B,$A694,'Таблиця 1'!$I:$I,"Mirage",'Таблиця 1'!$J:$J,"MK-32")+SUMIFS('Таблиця 1'!$K:$K,'Таблиця 1'!$B:$B,$A694,'Таблиця 1'!$I:$I,"F-16",'Таблиця 1'!$J:$J,"MK-32")+SUMIFS('Таблиця 1'!$K:$K,'Таблиця 1'!$B:$B,$A694,'Таблиця 1'!$I:$I,"МіГ-29",'Таблиця 1'!$J:$J,"MK-32")+SUMIFS('Таблиця 1'!$K:$K,'Таблиця 1'!$B:$B,$A694,'Таблиця 1'!$I:$I,"Су-25",'Таблиця 1'!$J:$J,"MK-32")+SUMIFS('Таблиця 1'!$K:$K,'Таблиця 1'!$B:$B,$A694,'Таблиця 1'!$I:$I,"Су-27",'Таблиця 1'!$J:$J,"MK-32"))</f>
        <v/>
      </c>
      <c r="Q694">
        <f>IF($A694="","",SUMIFS('Таблиця 1'!$K:$K,'Таблиця 1'!$B:$B,$A694,'Таблиця 1'!$I:$I,"Mirage",'Таблиця 1'!$J:$J,"MK-24")+SUMIFS('Таблиця 1'!$K:$K,'Таблиця 1'!$B:$B,$A694,'Таблиця 1'!$I:$I,"F-16",'Таблиця 1'!$J:$J,"MK-24")+SUMIFS('Таблиця 1'!$K:$K,'Таблиця 1'!$B:$B,$A694,'Таблиця 1'!$I:$I,"МіГ-29",'Таблиця 1'!$J:$J,"MK-24")+SUMIFS('Таблиця 1'!$K:$K,'Таблиця 1'!$B:$B,$A694,'Таблиця 1'!$I:$I,"Су-25",'Таблиця 1'!$J:$J,"MK-24")+SUMIFS('Таблиця 1'!$K:$K,'Таблиця 1'!$B:$B,$A694,'Таблиця 1'!$I:$I,"Су-27",'Таблиця 1'!$J:$J,"MK-24"))</f>
        <v/>
      </c>
      <c r="R694">
        <f>IF($A694="","",COUNTIFS('Таблиця 1'!$B:$B,$A694,'Таблиця 1'!$I:$I,"Mirage",'Таблиця 1'!$L:$L,"Уражено")+COUNTIFS('Таблиця 1'!$B:$B,$A694,'Таблиця 1'!$I:$I,"F-16",'Таблиця 1'!$L:$L,"Уражено")+COUNTIFS('Таблиця 1'!$B:$B,$A694,'Таблиця 1'!$I:$I,"МіГ-29",'Таблиця 1'!$L:$L,"Уражено")+COUNTIFS('Таблиця 1'!$B:$B,$A694,'Таблиця 1'!$I:$I,"Су-25",'Таблиця 1'!$L:$L,"Уражено")+COUNTIFS('Таблиця 1'!$B:$B,$A694,'Таблиця 1'!$I:$I,"Су-27",'Таблиця 1'!$L:$L,"Уражено"))</f>
        <v/>
      </c>
      <c r="S694">
        <f>IF($A694="","",COUNTIFS('Таблиця 1'!$B:$B,$A694,'Таблиця 1'!$I:$I,"Mirage",'Таблиця 1'!$L:$L,"НЕ уражено")+COUNTIFS('Таблиця 1'!$B:$B,$A694,'Таблиця 1'!$I:$I,"F-16",'Таблиця 1'!$L:$L,"НЕ уражено")+COUNTIFS('Таблиця 1'!$B:$B,$A694,'Таблиця 1'!$I:$I,"МіГ-29",'Таблиця 1'!$L:$L,"НЕ уражено")+COUNTIFS('Таблиця 1'!$B:$B,$A694,'Таблиця 1'!$I:$I,"Су-25",'Таблиця 1'!$L:$L,"НЕ уражено")+COUNTIFS('Таблиця 1'!$B:$B,$A694,'Таблиця 1'!$I:$I,"Су-27",'Таблиця 1'!$L:$L,"НЕ уражено"))</f>
        <v/>
      </c>
      <c r="T694">
        <f>IF($A694="","",COUNTIFS('Таблиця 1'!$B:$B,$A694,'Таблиця 1'!$I:$I,"Mirage",'Таблиця 1'!$L:$L,"Дорозвідується")+COUNTIFS('Таблиця 1'!$B:$B,$A694,'Таблиця 1'!$I:$I,"F-16",'Таблиця 1'!$L:$L,"Дорозвідується")+COUNTIFS('Таблиця 1'!$B:$B,$A694,'Таблиця 1'!$I:$I,"МіГ-29",'Таблиця 1'!$L:$L,"Дорозвідується")+COUNTIFS('Таблиця 1'!$B:$B,$A694,'Таблиця 1'!$I:$I,"Су-25",'Таблиця 1'!$L:$L,"Дорозвідується")+COUNTIFS('Таблиця 1'!$B:$B,$A694,'Таблиця 1'!$I:$I,"Су-27",'Таблиця 1'!$L:$L,"Дорозвідується"))</f>
        <v/>
      </c>
    </row>
    <row r="695">
      <c r="A695" s="273">
        <f>IF(A694="","",IF(A694+1&gt;MAX('Таблиця 1'!$B:$B),"",A694+1))</f>
        <v/>
      </c>
      <c r="B695">
        <f>IF($A695="","",COUNTIFS('Таблиця 1'!$B:$B,$A695,'Таблиця 1'!$I:$I,"Mirage")+COUNTIFS('Таблиця 1'!$B:$B,$A695,'Таблиця 1'!$I:$I,"F-16")+COUNTIFS('Таблиця 1'!$B:$B,$A695,'Таблиця 1'!$I:$I,"МіГ-29")+COUNTIFS('Таблиця 1'!$B:$B,$A695,'Таблиця 1'!$I:$I,"Су-25")+COUNTIFS('Таблиця 1'!$B:$B,$A695,'Таблиця 1'!$I:$I,"Су-27"))</f>
        <v/>
      </c>
      <c r="C695">
        <f>IF($A695="","",COUNTIFS('Таблиця 1'!$B:$B,$A695,'Таблиця 1'!$I:$I,"Mirage"))</f>
        <v/>
      </c>
      <c r="D695">
        <f>IF($A695="","",COUNTIFS('Таблиця 1'!$B:$B,$A695,'Таблиця 1'!$I:$I,"F-16"))</f>
        <v/>
      </c>
      <c r="E695">
        <f>IF($A695="","",COUNTIFS('Таблиця 1'!$B:$B,$A695,'Таблиця 1'!$I:$I,"МіГ-29"))</f>
        <v/>
      </c>
      <c r="F695">
        <f>IF($A695="","",COUNTIFS('Таблиця 1'!$B:$B,$A695,'Таблиця 1'!$I:$I,"Су-25"))</f>
        <v/>
      </c>
      <c r="G695">
        <f>IF($A695="","",COUNTIFS('Таблиця 1'!$B:$B,$A695,'Таблиця 1'!$I:$I,"Су-27"))</f>
        <v/>
      </c>
      <c r="H695">
        <f>IF($A695="","",SUMIFS('Таблиця 1'!$K:$K,'Таблиця 1'!$B:$B,$A695,'Таблиця 1'!$I:$I,"Mirage",'Таблиця 1'!$J:$J,"AGM-88")+SUMIFS('Таблиця 1'!$K:$K,'Таблиця 1'!$B:$B,$A695,'Таблиця 1'!$I:$I,"F-16",'Таблиця 1'!$J:$J,"AGM-88")+SUMIFS('Таблиця 1'!$K:$K,'Таблиця 1'!$B:$B,$A695,'Таблиця 1'!$I:$I,"МіГ-29",'Таблиця 1'!$J:$J,"AGM-88")+SUMIFS('Таблиця 1'!$K:$K,'Таблиця 1'!$B:$B,$A695,'Таблиця 1'!$I:$I,"Су-25",'Таблиця 1'!$J:$J,"AGM-88")+SUMIFS('Таблиця 1'!$K:$K,'Таблиця 1'!$B:$B,$A695,'Таблиця 1'!$I:$I,"Су-27",'Таблиця 1'!$J:$J,"AGM-88"))</f>
        <v/>
      </c>
      <c r="I695">
        <f>IF($A695="","",SUMIFS('Таблиця 1'!$K:$K,'Таблиця 1'!$B:$B,$A695,'Таблиця 1'!$I:$I,"Mirage",'Таблиця 1'!$J:$J,"AASM-250")+SUMIFS('Таблиця 1'!$K:$K,'Таблиця 1'!$B:$B,$A695,'Таблиця 1'!$I:$I,"F-16",'Таблиця 1'!$J:$J,"AASM-250")+SUMIFS('Таблиця 1'!$K:$K,'Таблиця 1'!$B:$B,$A695,'Таблиця 1'!$I:$I,"МіГ-29",'Таблиця 1'!$J:$J,"AASM-250")+SUMIFS('Таблиця 1'!$K:$K,'Таблиця 1'!$B:$B,$A695,'Таблиця 1'!$I:$I,"Су-25",'Таблиця 1'!$J:$J,"AASM-250")+SUMIFS('Таблиця 1'!$K:$K,'Таблиця 1'!$B:$B,$A695,'Таблиця 1'!$I:$I,"Су-27",'Таблиця 1'!$J:$J,"AASM-250"))</f>
        <v/>
      </c>
      <c r="J695">
        <f>IF($A695="","",SUMIFS('Таблиця 1'!$K:$K,'Таблиця 1'!$B:$B,$A695,'Таблиця 1'!$I:$I,"Mirage",'Таблиця 1'!$J:$J,"GBU-39")+SUMIFS('Таблиця 1'!$K:$K,'Таблиця 1'!$B:$B,$A695,'Таблиця 1'!$I:$I,"F-16",'Таблиця 1'!$J:$J,"GBU-39")+SUMIFS('Таблиця 1'!$K:$K,'Таблиця 1'!$B:$B,$A695,'Таблиця 1'!$I:$I,"МіГ-29",'Таблиця 1'!$J:$J,"GBU-39")+SUMIFS('Таблиця 1'!$K:$K,'Таблиця 1'!$B:$B,$A695,'Таблиця 1'!$I:$I,"Су-25",'Таблиця 1'!$J:$J,"GBU-39")+SUMIFS('Таблиця 1'!$K:$K,'Таблиця 1'!$B:$B,$A695,'Таблиця 1'!$I:$I,"Су-27",'Таблиця 1'!$J:$J,"GBU-39"))</f>
        <v/>
      </c>
      <c r="K695">
        <f>IF($A695="","",SUMIFS('Таблиця 1'!$K:$K,'Таблиця 1'!$B:$B,$A695,'Таблиця 1'!$I:$I,"Mirage",'Таблиця 1'!$J:$J,"BLU-140")+SUMIFS('Таблиця 1'!$K:$K,'Таблиця 1'!$B:$B,$A695,'Таблиця 1'!$I:$I,"F-16",'Таблиця 1'!$J:$J,"BLU-140")+SUMIFS('Таблиця 1'!$K:$K,'Таблиця 1'!$B:$B,$A695,'Таблиця 1'!$I:$I,"МіГ-29",'Таблиця 1'!$J:$J,"BLU-140")+SUMIFS('Таблиця 1'!$K:$K,'Таблиця 1'!$B:$B,$A695,'Таблиця 1'!$I:$I,"Су-25",'Таблиця 1'!$J:$J,"BLU-140")+SUMIFS('Таблиця 1'!$K:$K,'Таблиця 1'!$B:$B,$A695,'Таблиця 1'!$I:$I,"Су-27",'Таблиця 1'!$J:$J,"BLU-140"))</f>
        <v/>
      </c>
      <c r="L695">
        <f>IF($A695="","",SUMIFS('Таблиця 1'!$K:$K,'Таблиця 1'!$B:$B,$A695,'Таблиця 1'!$I:$I,"Mirage",'Таблиця 1'!$J:$J,"GBU-65")+SUMIFS('Таблиця 1'!$K:$K,'Таблиця 1'!$B:$B,$A695,'Таблиця 1'!$I:$I,"F-16",'Таблиця 1'!$J:$J,"GBU-65")+SUMIFS('Таблиця 1'!$K:$K,'Таблиця 1'!$B:$B,$A695,'Таблиця 1'!$I:$I,"МіГ-29",'Таблиця 1'!$J:$J,"GBU-65")+SUMIFS('Таблиця 1'!$K:$K,'Таблиця 1'!$B:$B,$A695,'Таблиця 1'!$I:$I,"Су-25",'Таблиця 1'!$J:$J,"GBU-65")+SUMIFS('Таблиця 1'!$K:$K,'Таблиця 1'!$B:$B,$A695,'Таблиця 1'!$I:$I,"Су-27",'Таблиця 1'!$J:$J,"GBU-65"))</f>
        <v/>
      </c>
      <c r="M695">
        <f>IF($A695="","",SUMIFS('Таблиця 1'!$K:$K,'Таблиця 1'!$B:$B,$A695,'Таблиця 1'!$I:$I,"Mirage",'Таблиця 1'!$J:$J,"GBU-62")+SUMIFS('Таблиця 1'!$K:$K,'Таблиця 1'!$B:$B,$A695,'Таблиця 1'!$I:$I,"F-16",'Таблиця 1'!$J:$J,"GBU-62")+SUMIFS('Таблиця 1'!$K:$K,'Таблиця 1'!$B:$B,$A695,'Таблиця 1'!$I:$I,"МіГ-29",'Таблиця 1'!$J:$J,"GBU-62")+SUMIFS('Таблиця 1'!$K:$K,'Таблиця 1'!$B:$B,$A695,'Таблиця 1'!$I:$I,"Су-25",'Таблиця 1'!$J:$J,"GBU-62")+SUMIFS('Таблиця 1'!$K:$K,'Таблиця 1'!$B:$B,$A695,'Таблиця 1'!$I:$I,"Су-27",'Таблиця 1'!$J:$J,"GBU-62"))</f>
        <v/>
      </c>
      <c r="N695">
        <f>IF($A695="","",SUMIFS('Таблиця 1'!$K:$K,'Таблиця 1'!$B:$B,$A695,'Таблиця 1'!$I:$I,"Mirage",'Таблиця 1'!$J:$J,"GBU-64")+SUMIFS('Таблиця 1'!$K:$K,'Таблиця 1'!$B:$B,$A695,'Таблиця 1'!$I:$I,"F-16",'Таблиця 1'!$J:$J,"GBU-64")+SUMIFS('Таблиця 1'!$K:$K,'Таблиця 1'!$B:$B,$A695,'Таблиця 1'!$I:$I,"МіГ-29",'Таблиця 1'!$J:$J,"GBU-64")+SUMIFS('Таблиця 1'!$K:$K,'Таблиця 1'!$B:$B,$A695,'Таблиця 1'!$I:$I,"Су-25",'Таблиця 1'!$J:$J,"GBU-64")+SUMIFS('Таблиця 1'!$K:$K,'Таблиця 1'!$B:$B,$A695,'Таблиця 1'!$I:$I,"Су-27",'Таблиця 1'!$J:$J,"GBU-64"))</f>
        <v/>
      </c>
      <c r="O695">
        <f>IF($A695="","",SUMIFS('Таблиця 1'!$K:$K,'Таблиця 1'!$B:$B,$A695,'Таблиця 1'!$I:$I,"Mirage",'Таблиця 1'!$J:$J,"C-13")+SUMIFS('Таблиця 1'!$K:$K,'Таблиця 1'!$B:$B,$A695,'Таблиця 1'!$I:$I,"F-16",'Таблиця 1'!$J:$J,"C-13")+SUMIFS('Таблиця 1'!$K:$K,'Таблиця 1'!$B:$B,$A695,'Таблиця 1'!$I:$I,"МіГ-29",'Таблиця 1'!$J:$J,"C-13")+SUMIFS('Таблиця 1'!$K:$K,'Таблиця 1'!$B:$B,$A695,'Таблиця 1'!$I:$I,"Су-25",'Таблиця 1'!$J:$J,"C-13")+SUMIFS('Таблиця 1'!$K:$K,'Таблиця 1'!$B:$B,$A695,'Таблиця 1'!$I:$I,"Су-27",'Таблиця 1'!$J:$J,"C-13"))</f>
        <v/>
      </c>
      <c r="P695">
        <f>IF($A695="","",SUMIFS('Таблиця 1'!$K:$K,'Таблиця 1'!$B:$B,$A695,'Таблиця 1'!$I:$I,"Mirage",'Таблиця 1'!$J:$J,"MK-32")+SUMIFS('Таблиця 1'!$K:$K,'Таблиця 1'!$B:$B,$A695,'Таблиця 1'!$I:$I,"F-16",'Таблиця 1'!$J:$J,"MK-32")+SUMIFS('Таблиця 1'!$K:$K,'Таблиця 1'!$B:$B,$A695,'Таблиця 1'!$I:$I,"МіГ-29",'Таблиця 1'!$J:$J,"MK-32")+SUMIFS('Таблиця 1'!$K:$K,'Таблиця 1'!$B:$B,$A695,'Таблиця 1'!$I:$I,"Су-25",'Таблиця 1'!$J:$J,"MK-32")+SUMIFS('Таблиця 1'!$K:$K,'Таблиця 1'!$B:$B,$A695,'Таблиця 1'!$I:$I,"Су-27",'Таблиця 1'!$J:$J,"MK-32"))</f>
        <v/>
      </c>
      <c r="Q695">
        <f>IF($A695="","",SUMIFS('Таблиця 1'!$K:$K,'Таблиця 1'!$B:$B,$A695,'Таблиця 1'!$I:$I,"Mirage",'Таблиця 1'!$J:$J,"MK-24")+SUMIFS('Таблиця 1'!$K:$K,'Таблиця 1'!$B:$B,$A695,'Таблиця 1'!$I:$I,"F-16",'Таблиця 1'!$J:$J,"MK-24")+SUMIFS('Таблиця 1'!$K:$K,'Таблиця 1'!$B:$B,$A695,'Таблиця 1'!$I:$I,"МіГ-29",'Таблиця 1'!$J:$J,"MK-24")+SUMIFS('Таблиця 1'!$K:$K,'Таблиця 1'!$B:$B,$A695,'Таблиця 1'!$I:$I,"Су-25",'Таблиця 1'!$J:$J,"MK-24")+SUMIFS('Таблиця 1'!$K:$K,'Таблиця 1'!$B:$B,$A695,'Таблиця 1'!$I:$I,"Су-27",'Таблиця 1'!$J:$J,"MK-24"))</f>
        <v/>
      </c>
      <c r="R695">
        <f>IF($A695="","",COUNTIFS('Таблиця 1'!$B:$B,$A695,'Таблиця 1'!$I:$I,"Mirage",'Таблиця 1'!$L:$L,"Уражено")+COUNTIFS('Таблиця 1'!$B:$B,$A695,'Таблиця 1'!$I:$I,"F-16",'Таблиця 1'!$L:$L,"Уражено")+COUNTIFS('Таблиця 1'!$B:$B,$A695,'Таблиця 1'!$I:$I,"МіГ-29",'Таблиця 1'!$L:$L,"Уражено")+COUNTIFS('Таблиця 1'!$B:$B,$A695,'Таблиця 1'!$I:$I,"Су-25",'Таблиця 1'!$L:$L,"Уражено")+COUNTIFS('Таблиця 1'!$B:$B,$A695,'Таблиця 1'!$I:$I,"Су-27",'Таблиця 1'!$L:$L,"Уражено"))</f>
        <v/>
      </c>
      <c r="S695">
        <f>IF($A695="","",COUNTIFS('Таблиця 1'!$B:$B,$A695,'Таблиця 1'!$I:$I,"Mirage",'Таблиця 1'!$L:$L,"НЕ уражено")+COUNTIFS('Таблиця 1'!$B:$B,$A695,'Таблиця 1'!$I:$I,"F-16",'Таблиця 1'!$L:$L,"НЕ уражено")+COUNTIFS('Таблиця 1'!$B:$B,$A695,'Таблиця 1'!$I:$I,"МіГ-29",'Таблиця 1'!$L:$L,"НЕ уражено")+COUNTIFS('Таблиця 1'!$B:$B,$A695,'Таблиця 1'!$I:$I,"Су-25",'Таблиця 1'!$L:$L,"НЕ уражено")+COUNTIFS('Таблиця 1'!$B:$B,$A695,'Таблиця 1'!$I:$I,"Су-27",'Таблиця 1'!$L:$L,"НЕ уражено"))</f>
        <v/>
      </c>
      <c r="T695">
        <f>IF($A695="","",COUNTIFS('Таблиця 1'!$B:$B,$A695,'Таблиця 1'!$I:$I,"Mirage",'Таблиця 1'!$L:$L,"Дорозвідується")+COUNTIFS('Таблиця 1'!$B:$B,$A695,'Таблиця 1'!$I:$I,"F-16",'Таблиця 1'!$L:$L,"Дорозвідується")+COUNTIFS('Таблиця 1'!$B:$B,$A695,'Таблиця 1'!$I:$I,"МіГ-29",'Таблиця 1'!$L:$L,"Дорозвідується")+COUNTIFS('Таблиця 1'!$B:$B,$A695,'Таблиця 1'!$I:$I,"Су-25",'Таблиця 1'!$L:$L,"Дорозвідується")+COUNTIFS('Таблиця 1'!$B:$B,$A695,'Таблиця 1'!$I:$I,"Су-27",'Таблиця 1'!$L:$L,"Дорозвідується"))</f>
        <v/>
      </c>
    </row>
    <row r="696">
      <c r="A696" s="273">
        <f>IF(A695="","",IF(A695+1&gt;MAX('Таблиця 1'!$B:$B),"",A695+1))</f>
        <v/>
      </c>
      <c r="B696">
        <f>IF($A696="","",COUNTIFS('Таблиця 1'!$B:$B,$A696,'Таблиця 1'!$I:$I,"Mirage")+COUNTIFS('Таблиця 1'!$B:$B,$A696,'Таблиця 1'!$I:$I,"F-16")+COUNTIFS('Таблиця 1'!$B:$B,$A696,'Таблиця 1'!$I:$I,"МіГ-29")+COUNTIFS('Таблиця 1'!$B:$B,$A696,'Таблиця 1'!$I:$I,"Су-25")+COUNTIFS('Таблиця 1'!$B:$B,$A696,'Таблиця 1'!$I:$I,"Су-27"))</f>
        <v/>
      </c>
      <c r="C696">
        <f>IF($A696="","",COUNTIFS('Таблиця 1'!$B:$B,$A696,'Таблиця 1'!$I:$I,"Mirage"))</f>
        <v/>
      </c>
      <c r="D696">
        <f>IF($A696="","",COUNTIFS('Таблиця 1'!$B:$B,$A696,'Таблиця 1'!$I:$I,"F-16"))</f>
        <v/>
      </c>
      <c r="E696">
        <f>IF($A696="","",COUNTIFS('Таблиця 1'!$B:$B,$A696,'Таблиця 1'!$I:$I,"МіГ-29"))</f>
        <v/>
      </c>
      <c r="F696">
        <f>IF($A696="","",COUNTIFS('Таблиця 1'!$B:$B,$A696,'Таблиця 1'!$I:$I,"Су-25"))</f>
        <v/>
      </c>
      <c r="G696">
        <f>IF($A696="","",COUNTIFS('Таблиця 1'!$B:$B,$A696,'Таблиця 1'!$I:$I,"Су-27"))</f>
        <v/>
      </c>
      <c r="H696">
        <f>IF($A696="","",SUMIFS('Таблиця 1'!$K:$K,'Таблиця 1'!$B:$B,$A696,'Таблиця 1'!$I:$I,"Mirage",'Таблиця 1'!$J:$J,"AGM-88")+SUMIFS('Таблиця 1'!$K:$K,'Таблиця 1'!$B:$B,$A696,'Таблиця 1'!$I:$I,"F-16",'Таблиця 1'!$J:$J,"AGM-88")+SUMIFS('Таблиця 1'!$K:$K,'Таблиця 1'!$B:$B,$A696,'Таблиця 1'!$I:$I,"МіГ-29",'Таблиця 1'!$J:$J,"AGM-88")+SUMIFS('Таблиця 1'!$K:$K,'Таблиця 1'!$B:$B,$A696,'Таблиця 1'!$I:$I,"Су-25",'Таблиця 1'!$J:$J,"AGM-88")+SUMIFS('Таблиця 1'!$K:$K,'Таблиця 1'!$B:$B,$A696,'Таблиця 1'!$I:$I,"Су-27",'Таблиця 1'!$J:$J,"AGM-88"))</f>
        <v/>
      </c>
      <c r="I696">
        <f>IF($A696="","",SUMIFS('Таблиця 1'!$K:$K,'Таблиця 1'!$B:$B,$A696,'Таблиця 1'!$I:$I,"Mirage",'Таблиця 1'!$J:$J,"AASM-250")+SUMIFS('Таблиця 1'!$K:$K,'Таблиця 1'!$B:$B,$A696,'Таблиця 1'!$I:$I,"F-16",'Таблиця 1'!$J:$J,"AASM-250")+SUMIFS('Таблиця 1'!$K:$K,'Таблиця 1'!$B:$B,$A696,'Таблиця 1'!$I:$I,"МіГ-29",'Таблиця 1'!$J:$J,"AASM-250")+SUMIFS('Таблиця 1'!$K:$K,'Таблиця 1'!$B:$B,$A696,'Таблиця 1'!$I:$I,"Су-25",'Таблиця 1'!$J:$J,"AASM-250")+SUMIFS('Таблиця 1'!$K:$K,'Таблиця 1'!$B:$B,$A696,'Таблиця 1'!$I:$I,"Су-27",'Таблиця 1'!$J:$J,"AASM-250"))</f>
        <v/>
      </c>
      <c r="J696">
        <f>IF($A696="","",SUMIFS('Таблиця 1'!$K:$K,'Таблиця 1'!$B:$B,$A696,'Таблиця 1'!$I:$I,"Mirage",'Таблиця 1'!$J:$J,"GBU-39")+SUMIFS('Таблиця 1'!$K:$K,'Таблиця 1'!$B:$B,$A696,'Таблиця 1'!$I:$I,"F-16",'Таблиця 1'!$J:$J,"GBU-39")+SUMIFS('Таблиця 1'!$K:$K,'Таблиця 1'!$B:$B,$A696,'Таблиця 1'!$I:$I,"МіГ-29",'Таблиця 1'!$J:$J,"GBU-39")+SUMIFS('Таблиця 1'!$K:$K,'Таблиця 1'!$B:$B,$A696,'Таблиця 1'!$I:$I,"Су-25",'Таблиця 1'!$J:$J,"GBU-39")+SUMIFS('Таблиця 1'!$K:$K,'Таблиця 1'!$B:$B,$A696,'Таблиця 1'!$I:$I,"Су-27",'Таблиця 1'!$J:$J,"GBU-39"))</f>
        <v/>
      </c>
      <c r="K696">
        <f>IF($A696="","",SUMIFS('Таблиця 1'!$K:$K,'Таблиця 1'!$B:$B,$A696,'Таблиця 1'!$I:$I,"Mirage",'Таблиця 1'!$J:$J,"BLU-140")+SUMIFS('Таблиця 1'!$K:$K,'Таблиця 1'!$B:$B,$A696,'Таблиця 1'!$I:$I,"F-16",'Таблиця 1'!$J:$J,"BLU-140")+SUMIFS('Таблиця 1'!$K:$K,'Таблиця 1'!$B:$B,$A696,'Таблиця 1'!$I:$I,"МіГ-29",'Таблиця 1'!$J:$J,"BLU-140")+SUMIFS('Таблиця 1'!$K:$K,'Таблиця 1'!$B:$B,$A696,'Таблиця 1'!$I:$I,"Су-25",'Таблиця 1'!$J:$J,"BLU-140")+SUMIFS('Таблиця 1'!$K:$K,'Таблиця 1'!$B:$B,$A696,'Таблиця 1'!$I:$I,"Су-27",'Таблиця 1'!$J:$J,"BLU-140"))</f>
        <v/>
      </c>
      <c r="L696">
        <f>IF($A696="","",SUMIFS('Таблиця 1'!$K:$K,'Таблиця 1'!$B:$B,$A696,'Таблиця 1'!$I:$I,"Mirage",'Таблиця 1'!$J:$J,"GBU-65")+SUMIFS('Таблиця 1'!$K:$K,'Таблиця 1'!$B:$B,$A696,'Таблиця 1'!$I:$I,"F-16",'Таблиця 1'!$J:$J,"GBU-65")+SUMIFS('Таблиця 1'!$K:$K,'Таблиця 1'!$B:$B,$A696,'Таблиця 1'!$I:$I,"МіГ-29",'Таблиця 1'!$J:$J,"GBU-65")+SUMIFS('Таблиця 1'!$K:$K,'Таблиця 1'!$B:$B,$A696,'Таблиця 1'!$I:$I,"Су-25",'Таблиця 1'!$J:$J,"GBU-65")+SUMIFS('Таблиця 1'!$K:$K,'Таблиця 1'!$B:$B,$A696,'Таблиця 1'!$I:$I,"Су-27",'Таблиця 1'!$J:$J,"GBU-65"))</f>
        <v/>
      </c>
      <c r="M696">
        <f>IF($A696="","",SUMIFS('Таблиця 1'!$K:$K,'Таблиця 1'!$B:$B,$A696,'Таблиця 1'!$I:$I,"Mirage",'Таблиця 1'!$J:$J,"GBU-62")+SUMIFS('Таблиця 1'!$K:$K,'Таблиця 1'!$B:$B,$A696,'Таблиця 1'!$I:$I,"F-16",'Таблиця 1'!$J:$J,"GBU-62")+SUMIFS('Таблиця 1'!$K:$K,'Таблиця 1'!$B:$B,$A696,'Таблиця 1'!$I:$I,"МіГ-29",'Таблиця 1'!$J:$J,"GBU-62")+SUMIFS('Таблиця 1'!$K:$K,'Таблиця 1'!$B:$B,$A696,'Таблиця 1'!$I:$I,"Су-25",'Таблиця 1'!$J:$J,"GBU-62")+SUMIFS('Таблиця 1'!$K:$K,'Таблиця 1'!$B:$B,$A696,'Таблиця 1'!$I:$I,"Су-27",'Таблиця 1'!$J:$J,"GBU-62"))</f>
        <v/>
      </c>
      <c r="N696">
        <f>IF($A696="","",SUMIFS('Таблиця 1'!$K:$K,'Таблиця 1'!$B:$B,$A696,'Таблиця 1'!$I:$I,"Mirage",'Таблиця 1'!$J:$J,"GBU-64")+SUMIFS('Таблиця 1'!$K:$K,'Таблиця 1'!$B:$B,$A696,'Таблиця 1'!$I:$I,"F-16",'Таблиця 1'!$J:$J,"GBU-64")+SUMIFS('Таблиця 1'!$K:$K,'Таблиця 1'!$B:$B,$A696,'Таблиця 1'!$I:$I,"МіГ-29",'Таблиця 1'!$J:$J,"GBU-64")+SUMIFS('Таблиця 1'!$K:$K,'Таблиця 1'!$B:$B,$A696,'Таблиця 1'!$I:$I,"Су-25",'Таблиця 1'!$J:$J,"GBU-64")+SUMIFS('Таблиця 1'!$K:$K,'Таблиця 1'!$B:$B,$A696,'Таблиця 1'!$I:$I,"Су-27",'Таблиця 1'!$J:$J,"GBU-64"))</f>
        <v/>
      </c>
      <c r="O696">
        <f>IF($A696="","",SUMIFS('Таблиця 1'!$K:$K,'Таблиця 1'!$B:$B,$A696,'Таблиця 1'!$I:$I,"Mirage",'Таблиця 1'!$J:$J,"C-13")+SUMIFS('Таблиця 1'!$K:$K,'Таблиця 1'!$B:$B,$A696,'Таблиця 1'!$I:$I,"F-16",'Таблиця 1'!$J:$J,"C-13")+SUMIFS('Таблиця 1'!$K:$K,'Таблиця 1'!$B:$B,$A696,'Таблиця 1'!$I:$I,"МіГ-29",'Таблиця 1'!$J:$J,"C-13")+SUMIFS('Таблиця 1'!$K:$K,'Таблиця 1'!$B:$B,$A696,'Таблиця 1'!$I:$I,"Су-25",'Таблиця 1'!$J:$J,"C-13")+SUMIFS('Таблиця 1'!$K:$K,'Таблиця 1'!$B:$B,$A696,'Таблиця 1'!$I:$I,"Су-27",'Таблиця 1'!$J:$J,"C-13"))</f>
        <v/>
      </c>
      <c r="P696">
        <f>IF($A696="","",SUMIFS('Таблиця 1'!$K:$K,'Таблиця 1'!$B:$B,$A696,'Таблиця 1'!$I:$I,"Mirage",'Таблиця 1'!$J:$J,"MK-32")+SUMIFS('Таблиця 1'!$K:$K,'Таблиця 1'!$B:$B,$A696,'Таблиця 1'!$I:$I,"F-16",'Таблиця 1'!$J:$J,"MK-32")+SUMIFS('Таблиця 1'!$K:$K,'Таблиця 1'!$B:$B,$A696,'Таблиця 1'!$I:$I,"МіГ-29",'Таблиця 1'!$J:$J,"MK-32")+SUMIFS('Таблиця 1'!$K:$K,'Таблиця 1'!$B:$B,$A696,'Таблиця 1'!$I:$I,"Су-25",'Таблиця 1'!$J:$J,"MK-32")+SUMIFS('Таблиця 1'!$K:$K,'Таблиця 1'!$B:$B,$A696,'Таблиця 1'!$I:$I,"Су-27",'Таблиця 1'!$J:$J,"MK-32"))</f>
        <v/>
      </c>
      <c r="Q696">
        <f>IF($A696="","",SUMIFS('Таблиця 1'!$K:$K,'Таблиця 1'!$B:$B,$A696,'Таблиця 1'!$I:$I,"Mirage",'Таблиця 1'!$J:$J,"MK-24")+SUMIFS('Таблиця 1'!$K:$K,'Таблиця 1'!$B:$B,$A696,'Таблиця 1'!$I:$I,"F-16",'Таблиця 1'!$J:$J,"MK-24")+SUMIFS('Таблиця 1'!$K:$K,'Таблиця 1'!$B:$B,$A696,'Таблиця 1'!$I:$I,"МіГ-29",'Таблиця 1'!$J:$J,"MK-24")+SUMIFS('Таблиця 1'!$K:$K,'Таблиця 1'!$B:$B,$A696,'Таблиця 1'!$I:$I,"Су-25",'Таблиця 1'!$J:$J,"MK-24")+SUMIFS('Таблиця 1'!$K:$K,'Таблиця 1'!$B:$B,$A696,'Таблиця 1'!$I:$I,"Су-27",'Таблиця 1'!$J:$J,"MK-24"))</f>
        <v/>
      </c>
      <c r="R696">
        <f>IF($A696="","",COUNTIFS('Таблиця 1'!$B:$B,$A696,'Таблиця 1'!$I:$I,"Mirage",'Таблиця 1'!$L:$L,"Уражено")+COUNTIFS('Таблиця 1'!$B:$B,$A696,'Таблиця 1'!$I:$I,"F-16",'Таблиця 1'!$L:$L,"Уражено")+COUNTIFS('Таблиця 1'!$B:$B,$A696,'Таблиця 1'!$I:$I,"МіГ-29",'Таблиця 1'!$L:$L,"Уражено")+COUNTIFS('Таблиця 1'!$B:$B,$A696,'Таблиця 1'!$I:$I,"Су-25",'Таблиця 1'!$L:$L,"Уражено")+COUNTIFS('Таблиця 1'!$B:$B,$A696,'Таблиця 1'!$I:$I,"Су-27",'Таблиця 1'!$L:$L,"Уражено"))</f>
        <v/>
      </c>
      <c r="S696">
        <f>IF($A696="","",COUNTIFS('Таблиця 1'!$B:$B,$A696,'Таблиця 1'!$I:$I,"Mirage",'Таблиця 1'!$L:$L,"НЕ уражено")+COUNTIFS('Таблиця 1'!$B:$B,$A696,'Таблиця 1'!$I:$I,"F-16",'Таблиця 1'!$L:$L,"НЕ уражено")+COUNTIFS('Таблиця 1'!$B:$B,$A696,'Таблиця 1'!$I:$I,"МіГ-29",'Таблиця 1'!$L:$L,"НЕ уражено")+COUNTIFS('Таблиця 1'!$B:$B,$A696,'Таблиця 1'!$I:$I,"Су-25",'Таблиця 1'!$L:$L,"НЕ уражено")+COUNTIFS('Таблиця 1'!$B:$B,$A696,'Таблиця 1'!$I:$I,"Су-27",'Таблиця 1'!$L:$L,"НЕ уражено"))</f>
        <v/>
      </c>
      <c r="T696">
        <f>IF($A696="","",COUNTIFS('Таблиця 1'!$B:$B,$A696,'Таблиця 1'!$I:$I,"Mirage",'Таблиця 1'!$L:$L,"Дорозвідується")+COUNTIFS('Таблиця 1'!$B:$B,$A696,'Таблиця 1'!$I:$I,"F-16",'Таблиця 1'!$L:$L,"Дорозвідується")+COUNTIFS('Таблиця 1'!$B:$B,$A696,'Таблиця 1'!$I:$I,"МіГ-29",'Таблиця 1'!$L:$L,"Дорозвідується")+COUNTIFS('Таблиця 1'!$B:$B,$A696,'Таблиця 1'!$I:$I,"Су-25",'Таблиця 1'!$L:$L,"Дорозвідується")+COUNTIFS('Таблиця 1'!$B:$B,$A696,'Таблиця 1'!$I:$I,"Су-27",'Таблиця 1'!$L:$L,"Дорозвідується"))</f>
        <v/>
      </c>
    </row>
    <row r="697">
      <c r="A697" s="273">
        <f>IF(A696="","",IF(A696+1&gt;MAX('Таблиця 1'!$B:$B),"",A696+1))</f>
        <v/>
      </c>
      <c r="B697">
        <f>IF($A697="","",COUNTIFS('Таблиця 1'!$B:$B,$A697,'Таблиця 1'!$I:$I,"Mirage")+COUNTIFS('Таблиця 1'!$B:$B,$A697,'Таблиця 1'!$I:$I,"F-16")+COUNTIFS('Таблиця 1'!$B:$B,$A697,'Таблиця 1'!$I:$I,"МіГ-29")+COUNTIFS('Таблиця 1'!$B:$B,$A697,'Таблиця 1'!$I:$I,"Су-25")+COUNTIFS('Таблиця 1'!$B:$B,$A697,'Таблиця 1'!$I:$I,"Су-27"))</f>
        <v/>
      </c>
      <c r="C697">
        <f>IF($A697="","",COUNTIFS('Таблиця 1'!$B:$B,$A697,'Таблиця 1'!$I:$I,"Mirage"))</f>
        <v/>
      </c>
      <c r="D697">
        <f>IF($A697="","",COUNTIFS('Таблиця 1'!$B:$B,$A697,'Таблиця 1'!$I:$I,"F-16"))</f>
        <v/>
      </c>
      <c r="E697">
        <f>IF($A697="","",COUNTIFS('Таблиця 1'!$B:$B,$A697,'Таблиця 1'!$I:$I,"МіГ-29"))</f>
        <v/>
      </c>
      <c r="F697">
        <f>IF($A697="","",COUNTIFS('Таблиця 1'!$B:$B,$A697,'Таблиця 1'!$I:$I,"Су-25"))</f>
        <v/>
      </c>
      <c r="G697">
        <f>IF($A697="","",COUNTIFS('Таблиця 1'!$B:$B,$A697,'Таблиця 1'!$I:$I,"Су-27"))</f>
        <v/>
      </c>
      <c r="H697">
        <f>IF($A697="","",SUMIFS('Таблиця 1'!$K:$K,'Таблиця 1'!$B:$B,$A697,'Таблиця 1'!$I:$I,"Mirage",'Таблиця 1'!$J:$J,"AGM-88")+SUMIFS('Таблиця 1'!$K:$K,'Таблиця 1'!$B:$B,$A697,'Таблиця 1'!$I:$I,"F-16",'Таблиця 1'!$J:$J,"AGM-88")+SUMIFS('Таблиця 1'!$K:$K,'Таблиця 1'!$B:$B,$A697,'Таблиця 1'!$I:$I,"МіГ-29",'Таблиця 1'!$J:$J,"AGM-88")+SUMIFS('Таблиця 1'!$K:$K,'Таблиця 1'!$B:$B,$A697,'Таблиця 1'!$I:$I,"Су-25",'Таблиця 1'!$J:$J,"AGM-88")+SUMIFS('Таблиця 1'!$K:$K,'Таблиця 1'!$B:$B,$A697,'Таблиця 1'!$I:$I,"Су-27",'Таблиця 1'!$J:$J,"AGM-88"))</f>
        <v/>
      </c>
      <c r="I697">
        <f>IF($A697="","",SUMIFS('Таблиця 1'!$K:$K,'Таблиця 1'!$B:$B,$A697,'Таблиця 1'!$I:$I,"Mirage",'Таблиця 1'!$J:$J,"AASM-250")+SUMIFS('Таблиця 1'!$K:$K,'Таблиця 1'!$B:$B,$A697,'Таблиця 1'!$I:$I,"F-16",'Таблиця 1'!$J:$J,"AASM-250")+SUMIFS('Таблиця 1'!$K:$K,'Таблиця 1'!$B:$B,$A697,'Таблиця 1'!$I:$I,"МіГ-29",'Таблиця 1'!$J:$J,"AASM-250")+SUMIFS('Таблиця 1'!$K:$K,'Таблиця 1'!$B:$B,$A697,'Таблиця 1'!$I:$I,"Су-25",'Таблиця 1'!$J:$J,"AASM-250")+SUMIFS('Таблиця 1'!$K:$K,'Таблиця 1'!$B:$B,$A697,'Таблиця 1'!$I:$I,"Су-27",'Таблиця 1'!$J:$J,"AASM-250"))</f>
        <v/>
      </c>
      <c r="J697">
        <f>IF($A697="","",SUMIFS('Таблиця 1'!$K:$K,'Таблиця 1'!$B:$B,$A697,'Таблиця 1'!$I:$I,"Mirage",'Таблиця 1'!$J:$J,"GBU-39")+SUMIFS('Таблиця 1'!$K:$K,'Таблиця 1'!$B:$B,$A697,'Таблиця 1'!$I:$I,"F-16",'Таблиця 1'!$J:$J,"GBU-39")+SUMIFS('Таблиця 1'!$K:$K,'Таблиця 1'!$B:$B,$A697,'Таблиця 1'!$I:$I,"МіГ-29",'Таблиця 1'!$J:$J,"GBU-39")+SUMIFS('Таблиця 1'!$K:$K,'Таблиця 1'!$B:$B,$A697,'Таблиця 1'!$I:$I,"Су-25",'Таблиця 1'!$J:$J,"GBU-39")+SUMIFS('Таблиця 1'!$K:$K,'Таблиця 1'!$B:$B,$A697,'Таблиця 1'!$I:$I,"Су-27",'Таблиця 1'!$J:$J,"GBU-39"))</f>
        <v/>
      </c>
      <c r="K697">
        <f>IF($A697="","",SUMIFS('Таблиця 1'!$K:$K,'Таблиця 1'!$B:$B,$A697,'Таблиця 1'!$I:$I,"Mirage",'Таблиця 1'!$J:$J,"BLU-140")+SUMIFS('Таблиця 1'!$K:$K,'Таблиця 1'!$B:$B,$A697,'Таблиця 1'!$I:$I,"F-16",'Таблиця 1'!$J:$J,"BLU-140")+SUMIFS('Таблиця 1'!$K:$K,'Таблиця 1'!$B:$B,$A697,'Таблиця 1'!$I:$I,"МіГ-29",'Таблиця 1'!$J:$J,"BLU-140")+SUMIFS('Таблиця 1'!$K:$K,'Таблиця 1'!$B:$B,$A697,'Таблиця 1'!$I:$I,"Су-25",'Таблиця 1'!$J:$J,"BLU-140")+SUMIFS('Таблиця 1'!$K:$K,'Таблиця 1'!$B:$B,$A697,'Таблиця 1'!$I:$I,"Су-27",'Таблиця 1'!$J:$J,"BLU-140"))</f>
        <v/>
      </c>
      <c r="L697">
        <f>IF($A697="","",SUMIFS('Таблиця 1'!$K:$K,'Таблиця 1'!$B:$B,$A697,'Таблиця 1'!$I:$I,"Mirage",'Таблиця 1'!$J:$J,"GBU-65")+SUMIFS('Таблиця 1'!$K:$K,'Таблиця 1'!$B:$B,$A697,'Таблиця 1'!$I:$I,"F-16",'Таблиця 1'!$J:$J,"GBU-65")+SUMIFS('Таблиця 1'!$K:$K,'Таблиця 1'!$B:$B,$A697,'Таблиця 1'!$I:$I,"МіГ-29",'Таблиця 1'!$J:$J,"GBU-65")+SUMIFS('Таблиця 1'!$K:$K,'Таблиця 1'!$B:$B,$A697,'Таблиця 1'!$I:$I,"Су-25",'Таблиця 1'!$J:$J,"GBU-65")+SUMIFS('Таблиця 1'!$K:$K,'Таблиця 1'!$B:$B,$A697,'Таблиця 1'!$I:$I,"Су-27",'Таблиця 1'!$J:$J,"GBU-65"))</f>
        <v/>
      </c>
      <c r="M697">
        <f>IF($A697="","",SUMIFS('Таблиця 1'!$K:$K,'Таблиця 1'!$B:$B,$A697,'Таблиця 1'!$I:$I,"Mirage",'Таблиця 1'!$J:$J,"GBU-62")+SUMIFS('Таблиця 1'!$K:$K,'Таблиця 1'!$B:$B,$A697,'Таблиця 1'!$I:$I,"F-16",'Таблиця 1'!$J:$J,"GBU-62")+SUMIFS('Таблиця 1'!$K:$K,'Таблиця 1'!$B:$B,$A697,'Таблиця 1'!$I:$I,"МіГ-29",'Таблиця 1'!$J:$J,"GBU-62")+SUMIFS('Таблиця 1'!$K:$K,'Таблиця 1'!$B:$B,$A697,'Таблиця 1'!$I:$I,"Су-25",'Таблиця 1'!$J:$J,"GBU-62")+SUMIFS('Таблиця 1'!$K:$K,'Таблиця 1'!$B:$B,$A697,'Таблиця 1'!$I:$I,"Су-27",'Таблиця 1'!$J:$J,"GBU-62"))</f>
        <v/>
      </c>
      <c r="N697">
        <f>IF($A697="","",SUMIFS('Таблиця 1'!$K:$K,'Таблиця 1'!$B:$B,$A697,'Таблиця 1'!$I:$I,"Mirage",'Таблиця 1'!$J:$J,"GBU-64")+SUMIFS('Таблиця 1'!$K:$K,'Таблиця 1'!$B:$B,$A697,'Таблиця 1'!$I:$I,"F-16",'Таблиця 1'!$J:$J,"GBU-64")+SUMIFS('Таблиця 1'!$K:$K,'Таблиця 1'!$B:$B,$A697,'Таблиця 1'!$I:$I,"МіГ-29",'Таблиця 1'!$J:$J,"GBU-64")+SUMIFS('Таблиця 1'!$K:$K,'Таблиця 1'!$B:$B,$A697,'Таблиця 1'!$I:$I,"Су-25",'Таблиця 1'!$J:$J,"GBU-64")+SUMIFS('Таблиця 1'!$K:$K,'Таблиця 1'!$B:$B,$A697,'Таблиця 1'!$I:$I,"Су-27",'Таблиця 1'!$J:$J,"GBU-64"))</f>
        <v/>
      </c>
      <c r="O697">
        <f>IF($A697="","",SUMIFS('Таблиця 1'!$K:$K,'Таблиця 1'!$B:$B,$A697,'Таблиця 1'!$I:$I,"Mirage",'Таблиця 1'!$J:$J,"C-13")+SUMIFS('Таблиця 1'!$K:$K,'Таблиця 1'!$B:$B,$A697,'Таблиця 1'!$I:$I,"F-16",'Таблиця 1'!$J:$J,"C-13")+SUMIFS('Таблиця 1'!$K:$K,'Таблиця 1'!$B:$B,$A697,'Таблиця 1'!$I:$I,"МіГ-29",'Таблиця 1'!$J:$J,"C-13")+SUMIFS('Таблиця 1'!$K:$K,'Таблиця 1'!$B:$B,$A697,'Таблиця 1'!$I:$I,"Су-25",'Таблиця 1'!$J:$J,"C-13")+SUMIFS('Таблиця 1'!$K:$K,'Таблиця 1'!$B:$B,$A697,'Таблиця 1'!$I:$I,"Су-27",'Таблиця 1'!$J:$J,"C-13"))</f>
        <v/>
      </c>
      <c r="P697">
        <f>IF($A697="","",SUMIFS('Таблиця 1'!$K:$K,'Таблиця 1'!$B:$B,$A697,'Таблиця 1'!$I:$I,"Mirage",'Таблиця 1'!$J:$J,"MK-32")+SUMIFS('Таблиця 1'!$K:$K,'Таблиця 1'!$B:$B,$A697,'Таблиця 1'!$I:$I,"F-16",'Таблиця 1'!$J:$J,"MK-32")+SUMIFS('Таблиця 1'!$K:$K,'Таблиця 1'!$B:$B,$A697,'Таблиця 1'!$I:$I,"МіГ-29",'Таблиця 1'!$J:$J,"MK-32")+SUMIFS('Таблиця 1'!$K:$K,'Таблиця 1'!$B:$B,$A697,'Таблиця 1'!$I:$I,"Су-25",'Таблиця 1'!$J:$J,"MK-32")+SUMIFS('Таблиця 1'!$K:$K,'Таблиця 1'!$B:$B,$A697,'Таблиця 1'!$I:$I,"Су-27",'Таблиця 1'!$J:$J,"MK-32"))</f>
        <v/>
      </c>
      <c r="Q697">
        <f>IF($A697="","",SUMIFS('Таблиця 1'!$K:$K,'Таблиця 1'!$B:$B,$A697,'Таблиця 1'!$I:$I,"Mirage",'Таблиця 1'!$J:$J,"MK-24")+SUMIFS('Таблиця 1'!$K:$K,'Таблиця 1'!$B:$B,$A697,'Таблиця 1'!$I:$I,"F-16",'Таблиця 1'!$J:$J,"MK-24")+SUMIFS('Таблиця 1'!$K:$K,'Таблиця 1'!$B:$B,$A697,'Таблиця 1'!$I:$I,"МіГ-29",'Таблиця 1'!$J:$J,"MK-24")+SUMIFS('Таблиця 1'!$K:$K,'Таблиця 1'!$B:$B,$A697,'Таблиця 1'!$I:$I,"Су-25",'Таблиця 1'!$J:$J,"MK-24")+SUMIFS('Таблиця 1'!$K:$K,'Таблиця 1'!$B:$B,$A697,'Таблиця 1'!$I:$I,"Су-27",'Таблиця 1'!$J:$J,"MK-24"))</f>
        <v/>
      </c>
      <c r="R697">
        <f>IF($A697="","",COUNTIFS('Таблиця 1'!$B:$B,$A697,'Таблиця 1'!$I:$I,"Mirage",'Таблиця 1'!$L:$L,"Уражено")+COUNTIFS('Таблиця 1'!$B:$B,$A697,'Таблиця 1'!$I:$I,"F-16",'Таблиця 1'!$L:$L,"Уражено")+COUNTIFS('Таблиця 1'!$B:$B,$A697,'Таблиця 1'!$I:$I,"МіГ-29",'Таблиця 1'!$L:$L,"Уражено")+COUNTIFS('Таблиця 1'!$B:$B,$A697,'Таблиця 1'!$I:$I,"Су-25",'Таблиця 1'!$L:$L,"Уражено")+COUNTIFS('Таблиця 1'!$B:$B,$A697,'Таблиця 1'!$I:$I,"Су-27",'Таблиця 1'!$L:$L,"Уражено"))</f>
        <v/>
      </c>
      <c r="S697">
        <f>IF($A697="","",COUNTIFS('Таблиця 1'!$B:$B,$A697,'Таблиця 1'!$I:$I,"Mirage",'Таблиця 1'!$L:$L,"НЕ уражено")+COUNTIFS('Таблиця 1'!$B:$B,$A697,'Таблиця 1'!$I:$I,"F-16",'Таблиця 1'!$L:$L,"НЕ уражено")+COUNTIFS('Таблиця 1'!$B:$B,$A697,'Таблиця 1'!$I:$I,"МіГ-29",'Таблиця 1'!$L:$L,"НЕ уражено")+COUNTIFS('Таблиця 1'!$B:$B,$A697,'Таблиця 1'!$I:$I,"Су-25",'Таблиця 1'!$L:$L,"НЕ уражено")+COUNTIFS('Таблиця 1'!$B:$B,$A697,'Таблиця 1'!$I:$I,"Су-27",'Таблиця 1'!$L:$L,"НЕ уражено"))</f>
        <v/>
      </c>
      <c r="T697">
        <f>IF($A697="","",COUNTIFS('Таблиця 1'!$B:$B,$A697,'Таблиця 1'!$I:$I,"Mirage",'Таблиця 1'!$L:$L,"Дорозвідується")+COUNTIFS('Таблиця 1'!$B:$B,$A697,'Таблиця 1'!$I:$I,"F-16",'Таблиця 1'!$L:$L,"Дорозвідується")+COUNTIFS('Таблиця 1'!$B:$B,$A697,'Таблиця 1'!$I:$I,"МіГ-29",'Таблиця 1'!$L:$L,"Дорозвідується")+COUNTIFS('Таблиця 1'!$B:$B,$A697,'Таблиця 1'!$I:$I,"Су-25",'Таблиця 1'!$L:$L,"Дорозвідується")+COUNTIFS('Таблиця 1'!$B:$B,$A697,'Таблиця 1'!$I:$I,"Су-27",'Таблиця 1'!$L:$L,"Дорозвідується"))</f>
        <v/>
      </c>
    </row>
    <row r="698">
      <c r="A698" s="273">
        <f>IF(A697="","",IF(A697+1&gt;MAX('Таблиця 1'!$B:$B),"",A697+1))</f>
        <v/>
      </c>
      <c r="B698">
        <f>IF($A698="","",COUNTIFS('Таблиця 1'!$B:$B,$A698,'Таблиця 1'!$I:$I,"Mirage")+COUNTIFS('Таблиця 1'!$B:$B,$A698,'Таблиця 1'!$I:$I,"F-16")+COUNTIFS('Таблиця 1'!$B:$B,$A698,'Таблиця 1'!$I:$I,"МіГ-29")+COUNTIFS('Таблиця 1'!$B:$B,$A698,'Таблиця 1'!$I:$I,"Су-25")+COUNTIFS('Таблиця 1'!$B:$B,$A698,'Таблиця 1'!$I:$I,"Су-27"))</f>
        <v/>
      </c>
      <c r="C698">
        <f>IF($A698="","",COUNTIFS('Таблиця 1'!$B:$B,$A698,'Таблиця 1'!$I:$I,"Mirage"))</f>
        <v/>
      </c>
      <c r="D698">
        <f>IF($A698="","",COUNTIFS('Таблиця 1'!$B:$B,$A698,'Таблиця 1'!$I:$I,"F-16"))</f>
        <v/>
      </c>
      <c r="E698">
        <f>IF($A698="","",COUNTIFS('Таблиця 1'!$B:$B,$A698,'Таблиця 1'!$I:$I,"МіГ-29"))</f>
        <v/>
      </c>
      <c r="F698">
        <f>IF($A698="","",COUNTIFS('Таблиця 1'!$B:$B,$A698,'Таблиця 1'!$I:$I,"Су-25"))</f>
        <v/>
      </c>
      <c r="G698">
        <f>IF($A698="","",COUNTIFS('Таблиця 1'!$B:$B,$A698,'Таблиця 1'!$I:$I,"Су-27"))</f>
        <v/>
      </c>
      <c r="H698">
        <f>IF($A698="","",SUMIFS('Таблиця 1'!$K:$K,'Таблиця 1'!$B:$B,$A698,'Таблиця 1'!$I:$I,"Mirage",'Таблиця 1'!$J:$J,"AGM-88")+SUMIFS('Таблиця 1'!$K:$K,'Таблиця 1'!$B:$B,$A698,'Таблиця 1'!$I:$I,"F-16",'Таблиця 1'!$J:$J,"AGM-88")+SUMIFS('Таблиця 1'!$K:$K,'Таблиця 1'!$B:$B,$A698,'Таблиця 1'!$I:$I,"МіГ-29",'Таблиця 1'!$J:$J,"AGM-88")+SUMIFS('Таблиця 1'!$K:$K,'Таблиця 1'!$B:$B,$A698,'Таблиця 1'!$I:$I,"Су-25",'Таблиця 1'!$J:$J,"AGM-88")+SUMIFS('Таблиця 1'!$K:$K,'Таблиця 1'!$B:$B,$A698,'Таблиця 1'!$I:$I,"Су-27",'Таблиця 1'!$J:$J,"AGM-88"))</f>
        <v/>
      </c>
      <c r="I698">
        <f>IF($A698="","",SUMIFS('Таблиця 1'!$K:$K,'Таблиця 1'!$B:$B,$A698,'Таблиця 1'!$I:$I,"Mirage",'Таблиця 1'!$J:$J,"AASM-250")+SUMIFS('Таблиця 1'!$K:$K,'Таблиця 1'!$B:$B,$A698,'Таблиця 1'!$I:$I,"F-16",'Таблиця 1'!$J:$J,"AASM-250")+SUMIFS('Таблиця 1'!$K:$K,'Таблиця 1'!$B:$B,$A698,'Таблиця 1'!$I:$I,"МіГ-29",'Таблиця 1'!$J:$J,"AASM-250")+SUMIFS('Таблиця 1'!$K:$K,'Таблиця 1'!$B:$B,$A698,'Таблиця 1'!$I:$I,"Су-25",'Таблиця 1'!$J:$J,"AASM-250")+SUMIFS('Таблиця 1'!$K:$K,'Таблиця 1'!$B:$B,$A698,'Таблиця 1'!$I:$I,"Су-27",'Таблиця 1'!$J:$J,"AASM-250"))</f>
        <v/>
      </c>
      <c r="J698">
        <f>IF($A698="","",SUMIFS('Таблиця 1'!$K:$K,'Таблиця 1'!$B:$B,$A698,'Таблиця 1'!$I:$I,"Mirage",'Таблиця 1'!$J:$J,"GBU-39")+SUMIFS('Таблиця 1'!$K:$K,'Таблиця 1'!$B:$B,$A698,'Таблиця 1'!$I:$I,"F-16",'Таблиця 1'!$J:$J,"GBU-39")+SUMIFS('Таблиця 1'!$K:$K,'Таблиця 1'!$B:$B,$A698,'Таблиця 1'!$I:$I,"МіГ-29",'Таблиця 1'!$J:$J,"GBU-39")+SUMIFS('Таблиця 1'!$K:$K,'Таблиця 1'!$B:$B,$A698,'Таблиця 1'!$I:$I,"Су-25",'Таблиця 1'!$J:$J,"GBU-39")+SUMIFS('Таблиця 1'!$K:$K,'Таблиця 1'!$B:$B,$A698,'Таблиця 1'!$I:$I,"Су-27",'Таблиця 1'!$J:$J,"GBU-39"))</f>
        <v/>
      </c>
      <c r="K698">
        <f>IF($A698="","",SUMIFS('Таблиця 1'!$K:$K,'Таблиця 1'!$B:$B,$A698,'Таблиця 1'!$I:$I,"Mirage",'Таблиця 1'!$J:$J,"BLU-140")+SUMIFS('Таблиця 1'!$K:$K,'Таблиця 1'!$B:$B,$A698,'Таблиця 1'!$I:$I,"F-16",'Таблиця 1'!$J:$J,"BLU-140")+SUMIFS('Таблиця 1'!$K:$K,'Таблиця 1'!$B:$B,$A698,'Таблиця 1'!$I:$I,"МіГ-29",'Таблиця 1'!$J:$J,"BLU-140")+SUMIFS('Таблиця 1'!$K:$K,'Таблиця 1'!$B:$B,$A698,'Таблиця 1'!$I:$I,"Су-25",'Таблиця 1'!$J:$J,"BLU-140")+SUMIFS('Таблиця 1'!$K:$K,'Таблиця 1'!$B:$B,$A698,'Таблиця 1'!$I:$I,"Су-27",'Таблиця 1'!$J:$J,"BLU-140"))</f>
        <v/>
      </c>
      <c r="L698">
        <f>IF($A698="","",SUMIFS('Таблиця 1'!$K:$K,'Таблиця 1'!$B:$B,$A698,'Таблиця 1'!$I:$I,"Mirage",'Таблиця 1'!$J:$J,"GBU-65")+SUMIFS('Таблиця 1'!$K:$K,'Таблиця 1'!$B:$B,$A698,'Таблиця 1'!$I:$I,"F-16",'Таблиця 1'!$J:$J,"GBU-65")+SUMIFS('Таблиця 1'!$K:$K,'Таблиця 1'!$B:$B,$A698,'Таблиця 1'!$I:$I,"МіГ-29",'Таблиця 1'!$J:$J,"GBU-65")+SUMIFS('Таблиця 1'!$K:$K,'Таблиця 1'!$B:$B,$A698,'Таблиця 1'!$I:$I,"Су-25",'Таблиця 1'!$J:$J,"GBU-65")+SUMIFS('Таблиця 1'!$K:$K,'Таблиця 1'!$B:$B,$A698,'Таблиця 1'!$I:$I,"Су-27",'Таблиця 1'!$J:$J,"GBU-65"))</f>
        <v/>
      </c>
      <c r="M698">
        <f>IF($A698="","",SUMIFS('Таблиця 1'!$K:$K,'Таблиця 1'!$B:$B,$A698,'Таблиця 1'!$I:$I,"Mirage",'Таблиця 1'!$J:$J,"GBU-62")+SUMIFS('Таблиця 1'!$K:$K,'Таблиця 1'!$B:$B,$A698,'Таблиця 1'!$I:$I,"F-16",'Таблиця 1'!$J:$J,"GBU-62")+SUMIFS('Таблиця 1'!$K:$K,'Таблиця 1'!$B:$B,$A698,'Таблиця 1'!$I:$I,"МіГ-29",'Таблиця 1'!$J:$J,"GBU-62")+SUMIFS('Таблиця 1'!$K:$K,'Таблиця 1'!$B:$B,$A698,'Таблиця 1'!$I:$I,"Су-25",'Таблиця 1'!$J:$J,"GBU-62")+SUMIFS('Таблиця 1'!$K:$K,'Таблиця 1'!$B:$B,$A698,'Таблиця 1'!$I:$I,"Су-27",'Таблиця 1'!$J:$J,"GBU-62"))</f>
        <v/>
      </c>
      <c r="N698">
        <f>IF($A698="","",SUMIFS('Таблиця 1'!$K:$K,'Таблиця 1'!$B:$B,$A698,'Таблиця 1'!$I:$I,"Mirage",'Таблиця 1'!$J:$J,"GBU-64")+SUMIFS('Таблиця 1'!$K:$K,'Таблиця 1'!$B:$B,$A698,'Таблиця 1'!$I:$I,"F-16",'Таблиця 1'!$J:$J,"GBU-64")+SUMIFS('Таблиця 1'!$K:$K,'Таблиця 1'!$B:$B,$A698,'Таблиця 1'!$I:$I,"МіГ-29",'Таблиця 1'!$J:$J,"GBU-64")+SUMIFS('Таблиця 1'!$K:$K,'Таблиця 1'!$B:$B,$A698,'Таблиця 1'!$I:$I,"Су-25",'Таблиця 1'!$J:$J,"GBU-64")+SUMIFS('Таблиця 1'!$K:$K,'Таблиця 1'!$B:$B,$A698,'Таблиця 1'!$I:$I,"Су-27",'Таблиця 1'!$J:$J,"GBU-64"))</f>
        <v/>
      </c>
      <c r="O698">
        <f>IF($A698="","",SUMIFS('Таблиця 1'!$K:$K,'Таблиця 1'!$B:$B,$A698,'Таблиця 1'!$I:$I,"Mirage",'Таблиця 1'!$J:$J,"C-13")+SUMIFS('Таблиця 1'!$K:$K,'Таблиця 1'!$B:$B,$A698,'Таблиця 1'!$I:$I,"F-16",'Таблиця 1'!$J:$J,"C-13")+SUMIFS('Таблиця 1'!$K:$K,'Таблиця 1'!$B:$B,$A698,'Таблиця 1'!$I:$I,"МіГ-29",'Таблиця 1'!$J:$J,"C-13")+SUMIFS('Таблиця 1'!$K:$K,'Таблиця 1'!$B:$B,$A698,'Таблиця 1'!$I:$I,"Су-25",'Таблиця 1'!$J:$J,"C-13")+SUMIFS('Таблиця 1'!$K:$K,'Таблиця 1'!$B:$B,$A698,'Таблиця 1'!$I:$I,"Су-27",'Таблиця 1'!$J:$J,"C-13"))</f>
        <v/>
      </c>
      <c r="P698">
        <f>IF($A698="","",SUMIFS('Таблиця 1'!$K:$K,'Таблиця 1'!$B:$B,$A698,'Таблиця 1'!$I:$I,"Mirage",'Таблиця 1'!$J:$J,"MK-32")+SUMIFS('Таблиця 1'!$K:$K,'Таблиця 1'!$B:$B,$A698,'Таблиця 1'!$I:$I,"F-16",'Таблиця 1'!$J:$J,"MK-32")+SUMIFS('Таблиця 1'!$K:$K,'Таблиця 1'!$B:$B,$A698,'Таблиця 1'!$I:$I,"МіГ-29",'Таблиця 1'!$J:$J,"MK-32")+SUMIFS('Таблиця 1'!$K:$K,'Таблиця 1'!$B:$B,$A698,'Таблиця 1'!$I:$I,"Су-25",'Таблиця 1'!$J:$J,"MK-32")+SUMIFS('Таблиця 1'!$K:$K,'Таблиця 1'!$B:$B,$A698,'Таблиця 1'!$I:$I,"Су-27",'Таблиця 1'!$J:$J,"MK-32"))</f>
        <v/>
      </c>
      <c r="Q698">
        <f>IF($A698="","",SUMIFS('Таблиця 1'!$K:$K,'Таблиця 1'!$B:$B,$A698,'Таблиця 1'!$I:$I,"Mirage",'Таблиця 1'!$J:$J,"MK-24")+SUMIFS('Таблиця 1'!$K:$K,'Таблиця 1'!$B:$B,$A698,'Таблиця 1'!$I:$I,"F-16",'Таблиця 1'!$J:$J,"MK-24")+SUMIFS('Таблиця 1'!$K:$K,'Таблиця 1'!$B:$B,$A698,'Таблиця 1'!$I:$I,"МіГ-29",'Таблиця 1'!$J:$J,"MK-24")+SUMIFS('Таблиця 1'!$K:$K,'Таблиця 1'!$B:$B,$A698,'Таблиця 1'!$I:$I,"Су-25",'Таблиця 1'!$J:$J,"MK-24")+SUMIFS('Таблиця 1'!$K:$K,'Таблиця 1'!$B:$B,$A698,'Таблиця 1'!$I:$I,"Су-27",'Таблиця 1'!$J:$J,"MK-24"))</f>
        <v/>
      </c>
      <c r="R698">
        <f>IF($A698="","",COUNTIFS('Таблиця 1'!$B:$B,$A698,'Таблиця 1'!$I:$I,"Mirage",'Таблиця 1'!$L:$L,"Уражено")+COUNTIFS('Таблиця 1'!$B:$B,$A698,'Таблиця 1'!$I:$I,"F-16",'Таблиця 1'!$L:$L,"Уражено")+COUNTIFS('Таблиця 1'!$B:$B,$A698,'Таблиця 1'!$I:$I,"МіГ-29",'Таблиця 1'!$L:$L,"Уражено")+COUNTIFS('Таблиця 1'!$B:$B,$A698,'Таблиця 1'!$I:$I,"Су-25",'Таблиця 1'!$L:$L,"Уражено")+COUNTIFS('Таблиця 1'!$B:$B,$A698,'Таблиця 1'!$I:$I,"Су-27",'Таблиця 1'!$L:$L,"Уражено"))</f>
        <v/>
      </c>
      <c r="S698">
        <f>IF($A698="","",COUNTIFS('Таблиця 1'!$B:$B,$A698,'Таблиця 1'!$I:$I,"Mirage",'Таблиця 1'!$L:$L,"НЕ уражено")+COUNTIFS('Таблиця 1'!$B:$B,$A698,'Таблиця 1'!$I:$I,"F-16",'Таблиця 1'!$L:$L,"НЕ уражено")+COUNTIFS('Таблиця 1'!$B:$B,$A698,'Таблиця 1'!$I:$I,"МіГ-29",'Таблиця 1'!$L:$L,"НЕ уражено")+COUNTIFS('Таблиця 1'!$B:$B,$A698,'Таблиця 1'!$I:$I,"Су-25",'Таблиця 1'!$L:$L,"НЕ уражено")+COUNTIFS('Таблиця 1'!$B:$B,$A698,'Таблиця 1'!$I:$I,"Су-27",'Таблиця 1'!$L:$L,"НЕ уражено"))</f>
        <v/>
      </c>
      <c r="T698">
        <f>IF($A698="","",COUNTIFS('Таблиця 1'!$B:$B,$A698,'Таблиця 1'!$I:$I,"Mirage",'Таблиця 1'!$L:$L,"Дорозвідується")+COUNTIFS('Таблиця 1'!$B:$B,$A698,'Таблиця 1'!$I:$I,"F-16",'Таблиця 1'!$L:$L,"Дорозвідується")+COUNTIFS('Таблиця 1'!$B:$B,$A698,'Таблиця 1'!$I:$I,"МіГ-29",'Таблиця 1'!$L:$L,"Дорозвідується")+COUNTIFS('Таблиця 1'!$B:$B,$A698,'Таблиця 1'!$I:$I,"Су-25",'Таблиця 1'!$L:$L,"Дорозвідується")+COUNTIFS('Таблиця 1'!$B:$B,$A698,'Таблиця 1'!$I:$I,"Су-27",'Таблиця 1'!$L:$L,"Дорозвідується"))</f>
        <v/>
      </c>
    </row>
    <row r="699">
      <c r="A699" s="273">
        <f>IF(A698="","",IF(A698+1&gt;MAX('Таблиця 1'!$B:$B),"",A698+1))</f>
        <v/>
      </c>
      <c r="B699">
        <f>IF($A699="","",COUNTIFS('Таблиця 1'!$B:$B,$A699,'Таблиця 1'!$I:$I,"Mirage")+COUNTIFS('Таблиця 1'!$B:$B,$A699,'Таблиця 1'!$I:$I,"F-16")+COUNTIFS('Таблиця 1'!$B:$B,$A699,'Таблиця 1'!$I:$I,"МіГ-29")+COUNTIFS('Таблиця 1'!$B:$B,$A699,'Таблиця 1'!$I:$I,"Су-25")+COUNTIFS('Таблиця 1'!$B:$B,$A699,'Таблиця 1'!$I:$I,"Су-27"))</f>
        <v/>
      </c>
      <c r="C699">
        <f>IF($A699="","",COUNTIFS('Таблиця 1'!$B:$B,$A699,'Таблиця 1'!$I:$I,"Mirage"))</f>
        <v/>
      </c>
      <c r="D699">
        <f>IF($A699="","",COUNTIFS('Таблиця 1'!$B:$B,$A699,'Таблиця 1'!$I:$I,"F-16"))</f>
        <v/>
      </c>
      <c r="E699">
        <f>IF($A699="","",COUNTIFS('Таблиця 1'!$B:$B,$A699,'Таблиця 1'!$I:$I,"МіГ-29"))</f>
        <v/>
      </c>
      <c r="F699">
        <f>IF($A699="","",COUNTIFS('Таблиця 1'!$B:$B,$A699,'Таблиця 1'!$I:$I,"Су-25"))</f>
        <v/>
      </c>
      <c r="G699">
        <f>IF($A699="","",COUNTIFS('Таблиця 1'!$B:$B,$A699,'Таблиця 1'!$I:$I,"Су-27"))</f>
        <v/>
      </c>
      <c r="H699">
        <f>IF($A699="","",SUMIFS('Таблиця 1'!$K:$K,'Таблиця 1'!$B:$B,$A699,'Таблиця 1'!$I:$I,"Mirage",'Таблиця 1'!$J:$J,"AGM-88")+SUMIFS('Таблиця 1'!$K:$K,'Таблиця 1'!$B:$B,$A699,'Таблиця 1'!$I:$I,"F-16",'Таблиця 1'!$J:$J,"AGM-88")+SUMIFS('Таблиця 1'!$K:$K,'Таблиця 1'!$B:$B,$A699,'Таблиця 1'!$I:$I,"МіГ-29",'Таблиця 1'!$J:$J,"AGM-88")+SUMIFS('Таблиця 1'!$K:$K,'Таблиця 1'!$B:$B,$A699,'Таблиця 1'!$I:$I,"Су-25",'Таблиця 1'!$J:$J,"AGM-88")+SUMIFS('Таблиця 1'!$K:$K,'Таблиця 1'!$B:$B,$A699,'Таблиця 1'!$I:$I,"Су-27",'Таблиця 1'!$J:$J,"AGM-88"))</f>
        <v/>
      </c>
      <c r="I699">
        <f>IF($A699="","",SUMIFS('Таблиця 1'!$K:$K,'Таблиця 1'!$B:$B,$A699,'Таблиця 1'!$I:$I,"Mirage",'Таблиця 1'!$J:$J,"AASM-250")+SUMIFS('Таблиця 1'!$K:$K,'Таблиця 1'!$B:$B,$A699,'Таблиця 1'!$I:$I,"F-16",'Таблиця 1'!$J:$J,"AASM-250")+SUMIFS('Таблиця 1'!$K:$K,'Таблиця 1'!$B:$B,$A699,'Таблиця 1'!$I:$I,"МіГ-29",'Таблиця 1'!$J:$J,"AASM-250")+SUMIFS('Таблиця 1'!$K:$K,'Таблиця 1'!$B:$B,$A699,'Таблиця 1'!$I:$I,"Су-25",'Таблиця 1'!$J:$J,"AASM-250")+SUMIFS('Таблиця 1'!$K:$K,'Таблиця 1'!$B:$B,$A699,'Таблиця 1'!$I:$I,"Су-27",'Таблиця 1'!$J:$J,"AASM-250"))</f>
        <v/>
      </c>
      <c r="J699">
        <f>IF($A699="","",SUMIFS('Таблиця 1'!$K:$K,'Таблиця 1'!$B:$B,$A699,'Таблиця 1'!$I:$I,"Mirage",'Таблиця 1'!$J:$J,"GBU-39")+SUMIFS('Таблиця 1'!$K:$K,'Таблиця 1'!$B:$B,$A699,'Таблиця 1'!$I:$I,"F-16",'Таблиця 1'!$J:$J,"GBU-39")+SUMIFS('Таблиця 1'!$K:$K,'Таблиця 1'!$B:$B,$A699,'Таблиця 1'!$I:$I,"МіГ-29",'Таблиця 1'!$J:$J,"GBU-39")+SUMIFS('Таблиця 1'!$K:$K,'Таблиця 1'!$B:$B,$A699,'Таблиця 1'!$I:$I,"Су-25",'Таблиця 1'!$J:$J,"GBU-39")+SUMIFS('Таблиця 1'!$K:$K,'Таблиця 1'!$B:$B,$A699,'Таблиця 1'!$I:$I,"Су-27",'Таблиця 1'!$J:$J,"GBU-39"))</f>
        <v/>
      </c>
      <c r="K699">
        <f>IF($A699="","",SUMIFS('Таблиця 1'!$K:$K,'Таблиця 1'!$B:$B,$A699,'Таблиця 1'!$I:$I,"Mirage",'Таблиця 1'!$J:$J,"BLU-140")+SUMIFS('Таблиця 1'!$K:$K,'Таблиця 1'!$B:$B,$A699,'Таблиця 1'!$I:$I,"F-16",'Таблиця 1'!$J:$J,"BLU-140")+SUMIFS('Таблиця 1'!$K:$K,'Таблиця 1'!$B:$B,$A699,'Таблиця 1'!$I:$I,"МіГ-29",'Таблиця 1'!$J:$J,"BLU-140")+SUMIFS('Таблиця 1'!$K:$K,'Таблиця 1'!$B:$B,$A699,'Таблиця 1'!$I:$I,"Су-25",'Таблиця 1'!$J:$J,"BLU-140")+SUMIFS('Таблиця 1'!$K:$K,'Таблиця 1'!$B:$B,$A699,'Таблиця 1'!$I:$I,"Су-27",'Таблиця 1'!$J:$J,"BLU-140"))</f>
        <v/>
      </c>
      <c r="L699">
        <f>IF($A699="","",SUMIFS('Таблиця 1'!$K:$K,'Таблиця 1'!$B:$B,$A699,'Таблиця 1'!$I:$I,"Mirage",'Таблиця 1'!$J:$J,"GBU-65")+SUMIFS('Таблиця 1'!$K:$K,'Таблиця 1'!$B:$B,$A699,'Таблиця 1'!$I:$I,"F-16",'Таблиця 1'!$J:$J,"GBU-65")+SUMIFS('Таблиця 1'!$K:$K,'Таблиця 1'!$B:$B,$A699,'Таблиця 1'!$I:$I,"МіГ-29",'Таблиця 1'!$J:$J,"GBU-65")+SUMIFS('Таблиця 1'!$K:$K,'Таблиця 1'!$B:$B,$A699,'Таблиця 1'!$I:$I,"Су-25",'Таблиця 1'!$J:$J,"GBU-65")+SUMIFS('Таблиця 1'!$K:$K,'Таблиця 1'!$B:$B,$A699,'Таблиця 1'!$I:$I,"Су-27",'Таблиця 1'!$J:$J,"GBU-65"))</f>
        <v/>
      </c>
      <c r="M699">
        <f>IF($A699="","",SUMIFS('Таблиця 1'!$K:$K,'Таблиця 1'!$B:$B,$A699,'Таблиця 1'!$I:$I,"Mirage",'Таблиця 1'!$J:$J,"GBU-62")+SUMIFS('Таблиця 1'!$K:$K,'Таблиця 1'!$B:$B,$A699,'Таблиця 1'!$I:$I,"F-16",'Таблиця 1'!$J:$J,"GBU-62")+SUMIFS('Таблиця 1'!$K:$K,'Таблиця 1'!$B:$B,$A699,'Таблиця 1'!$I:$I,"МіГ-29",'Таблиця 1'!$J:$J,"GBU-62")+SUMIFS('Таблиця 1'!$K:$K,'Таблиця 1'!$B:$B,$A699,'Таблиця 1'!$I:$I,"Су-25",'Таблиця 1'!$J:$J,"GBU-62")+SUMIFS('Таблиця 1'!$K:$K,'Таблиця 1'!$B:$B,$A699,'Таблиця 1'!$I:$I,"Су-27",'Таблиця 1'!$J:$J,"GBU-62"))</f>
        <v/>
      </c>
      <c r="N699">
        <f>IF($A699="","",SUMIFS('Таблиця 1'!$K:$K,'Таблиця 1'!$B:$B,$A699,'Таблиця 1'!$I:$I,"Mirage",'Таблиця 1'!$J:$J,"GBU-64")+SUMIFS('Таблиця 1'!$K:$K,'Таблиця 1'!$B:$B,$A699,'Таблиця 1'!$I:$I,"F-16",'Таблиця 1'!$J:$J,"GBU-64")+SUMIFS('Таблиця 1'!$K:$K,'Таблиця 1'!$B:$B,$A699,'Таблиця 1'!$I:$I,"МіГ-29",'Таблиця 1'!$J:$J,"GBU-64")+SUMIFS('Таблиця 1'!$K:$K,'Таблиця 1'!$B:$B,$A699,'Таблиця 1'!$I:$I,"Су-25",'Таблиця 1'!$J:$J,"GBU-64")+SUMIFS('Таблиця 1'!$K:$K,'Таблиця 1'!$B:$B,$A699,'Таблиця 1'!$I:$I,"Су-27",'Таблиця 1'!$J:$J,"GBU-64"))</f>
        <v/>
      </c>
      <c r="O699">
        <f>IF($A699="","",SUMIFS('Таблиця 1'!$K:$K,'Таблиця 1'!$B:$B,$A699,'Таблиця 1'!$I:$I,"Mirage",'Таблиця 1'!$J:$J,"C-13")+SUMIFS('Таблиця 1'!$K:$K,'Таблиця 1'!$B:$B,$A699,'Таблиця 1'!$I:$I,"F-16",'Таблиця 1'!$J:$J,"C-13")+SUMIFS('Таблиця 1'!$K:$K,'Таблиця 1'!$B:$B,$A699,'Таблиця 1'!$I:$I,"МіГ-29",'Таблиця 1'!$J:$J,"C-13")+SUMIFS('Таблиця 1'!$K:$K,'Таблиця 1'!$B:$B,$A699,'Таблиця 1'!$I:$I,"Су-25",'Таблиця 1'!$J:$J,"C-13")+SUMIFS('Таблиця 1'!$K:$K,'Таблиця 1'!$B:$B,$A699,'Таблиця 1'!$I:$I,"Су-27",'Таблиця 1'!$J:$J,"C-13"))</f>
        <v/>
      </c>
      <c r="P699">
        <f>IF($A699="","",SUMIFS('Таблиця 1'!$K:$K,'Таблиця 1'!$B:$B,$A699,'Таблиця 1'!$I:$I,"Mirage",'Таблиця 1'!$J:$J,"MK-32")+SUMIFS('Таблиця 1'!$K:$K,'Таблиця 1'!$B:$B,$A699,'Таблиця 1'!$I:$I,"F-16",'Таблиця 1'!$J:$J,"MK-32")+SUMIFS('Таблиця 1'!$K:$K,'Таблиця 1'!$B:$B,$A699,'Таблиця 1'!$I:$I,"МіГ-29",'Таблиця 1'!$J:$J,"MK-32")+SUMIFS('Таблиця 1'!$K:$K,'Таблиця 1'!$B:$B,$A699,'Таблиця 1'!$I:$I,"Су-25",'Таблиця 1'!$J:$J,"MK-32")+SUMIFS('Таблиця 1'!$K:$K,'Таблиця 1'!$B:$B,$A699,'Таблиця 1'!$I:$I,"Су-27",'Таблиця 1'!$J:$J,"MK-32"))</f>
        <v/>
      </c>
      <c r="Q699">
        <f>IF($A699="","",SUMIFS('Таблиця 1'!$K:$K,'Таблиця 1'!$B:$B,$A699,'Таблиця 1'!$I:$I,"Mirage",'Таблиця 1'!$J:$J,"MK-24")+SUMIFS('Таблиця 1'!$K:$K,'Таблиця 1'!$B:$B,$A699,'Таблиця 1'!$I:$I,"F-16",'Таблиця 1'!$J:$J,"MK-24")+SUMIFS('Таблиця 1'!$K:$K,'Таблиця 1'!$B:$B,$A699,'Таблиця 1'!$I:$I,"МіГ-29",'Таблиця 1'!$J:$J,"MK-24")+SUMIFS('Таблиця 1'!$K:$K,'Таблиця 1'!$B:$B,$A699,'Таблиця 1'!$I:$I,"Су-25",'Таблиця 1'!$J:$J,"MK-24")+SUMIFS('Таблиця 1'!$K:$K,'Таблиця 1'!$B:$B,$A699,'Таблиця 1'!$I:$I,"Су-27",'Таблиця 1'!$J:$J,"MK-24"))</f>
        <v/>
      </c>
      <c r="R699">
        <f>IF($A699="","",COUNTIFS('Таблиця 1'!$B:$B,$A699,'Таблиця 1'!$I:$I,"Mirage",'Таблиця 1'!$L:$L,"Уражено")+COUNTIFS('Таблиця 1'!$B:$B,$A699,'Таблиця 1'!$I:$I,"F-16",'Таблиця 1'!$L:$L,"Уражено")+COUNTIFS('Таблиця 1'!$B:$B,$A699,'Таблиця 1'!$I:$I,"МіГ-29",'Таблиця 1'!$L:$L,"Уражено")+COUNTIFS('Таблиця 1'!$B:$B,$A699,'Таблиця 1'!$I:$I,"Су-25",'Таблиця 1'!$L:$L,"Уражено")+COUNTIFS('Таблиця 1'!$B:$B,$A699,'Таблиця 1'!$I:$I,"Су-27",'Таблиця 1'!$L:$L,"Уражено"))</f>
        <v/>
      </c>
      <c r="S699">
        <f>IF($A699="","",COUNTIFS('Таблиця 1'!$B:$B,$A699,'Таблиця 1'!$I:$I,"Mirage",'Таблиця 1'!$L:$L,"НЕ уражено")+COUNTIFS('Таблиця 1'!$B:$B,$A699,'Таблиця 1'!$I:$I,"F-16",'Таблиця 1'!$L:$L,"НЕ уражено")+COUNTIFS('Таблиця 1'!$B:$B,$A699,'Таблиця 1'!$I:$I,"МіГ-29",'Таблиця 1'!$L:$L,"НЕ уражено")+COUNTIFS('Таблиця 1'!$B:$B,$A699,'Таблиця 1'!$I:$I,"Су-25",'Таблиця 1'!$L:$L,"НЕ уражено")+COUNTIFS('Таблиця 1'!$B:$B,$A699,'Таблиця 1'!$I:$I,"Су-27",'Таблиця 1'!$L:$L,"НЕ уражено"))</f>
        <v/>
      </c>
      <c r="T699">
        <f>IF($A699="","",COUNTIFS('Таблиця 1'!$B:$B,$A699,'Таблиця 1'!$I:$I,"Mirage",'Таблиця 1'!$L:$L,"Дорозвідується")+COUNTIFS('Таблиця 1'!$B:$B,$A699,'Таблиця 1'!$I:$I,"F-16",'Таблиця 1'!$L:$L,"Дорозвідується")+COUNTIFS('Таблиця 1'!$B:$B,$A699,'Таблиця 1'!$I:$I,"МіГ-29",'Таблиця 1'!$L:$L,"Дорозвідується")+COUNTIFS('Таблиця 1'!$B:$B,$A699,'Таблиця 1'!$I:$I,"Су-25",'Таблиця 1'!$L:$L,"Дорозвідується")+COUNTIFS('Таблиця 1'!$B:$B,$A699,'Таблиця 1'!$I:$I,"Су-27",'Таблиця 1'!$L:$L,"Дорозвідується"))</f>
        <v/>
      </c>
    </row>
    <row r="700">
      <c r="A700" s="273">
        <f>IF(A699="","",IF(A699+1&gt;MAX('Таблиця 1'!$B:$B),"",A699+1))</f>
        <v/>
      </c>
      <c r="B700">
        <f>IF($A700="","",COUNTIFS('Таблиця 1'!$B:$B,$A700,'Таблиця 1'!$I:$I,"Mirage")+COUNTIFS('Таблиця 1'!$B:$B,$A700,'Таблиця 1'!$I:$I,"F-16")+COUNTIFS('Таблиця 1'!$B:$B,$A700,'Таблиця 1'!$I:$I,"МіГ-29")+COUNTIFS('Таблиця 1'!$B:$B,$A700,'Таблиця 1'!$I:$I,"Су-25")+COUNTIFS('Таблиця 1'!$B:$B,$A700,'Таблиця 1'!$I:$I,"Су-27"))</f>
        <v/>
      </c>
      <c r="C700">
        <f>IF($A700="","",COUNTIFS('Таблиця 1'!$B:$B,$A700,'Таблиця 1'!$I:$I,"Mirage"))</f>
        <v/>
      </c>
      <c r="D700">
        <f>IF($A700="","",COUNTIFS('Таблиця 1'!$B:$B,$A700,'Таблиця 1'!$I:$I,"F-16"))</f>
        <v/>
      </c>
      <c r="E700">
        <f>IF($A700="","",COUNTIFS('Таблиця 1'!$B:$B,$A700,'Таблиця 1'!$I:$I,"МіГ-29"))</f>
        <v/>
      </c>
      <c r="F700">
        <f>IF($A700="","",COUNTIFS('Таблиця 1'!$B:$B,$A700,'Таблиця 1'!$I:$I,"Су-25"))</f>
        <v/>
      </c>
      <c r="G700">
        <f>IF($A700="","",COUNTIFS('Таблиця 1'!$B:$B,$A700,'Таблиця 1'!$I:$I,"Су-27"))</f>
        <v/>
      </c>
      <c r="H700">
        <f>IF($A700="","",SUMIFS('Таблиця 1'!$K:$K,'Таблиця 1'!$B:$B,$A700,'Таблиця 1'!$I:$I,"Mirage",'Таблиця 1'!$J:$J,"AGM-88")+SUMIFS('Таблиця 1'!$K:$K,'Таблиця 1'!$B:$B,$A700,'Таблиця 1'!$I:$I,"F-16",'Таблиця 1'!$J:$J,"AGM-88")+SUMIFS('Таблиця 1'!$K:$K,'Таблиця 1'!$B:$B,$A700,'Таблиця 1'!$I:$I,"МіГ-29",'Таблиця 1'!$J:$J,"AGM-88")+SUMIFS('Таблиця 1'!$K:$K,'Таблиця 1'!$B:$B,$A700,'Таблиця 1'!$I:$I,"Су-25",'Таблиця 1'!$J:$J,"AGM-88")+SUMIFS('Таблиця 1'!$K:$K,'Таблиця 1'!$B:$B,$A700,'Таблиця 1'!$I:$I,"Су-27",'Таблиця 1'!$J:$J,"AGM-88"))</f>
        <v/>
      </c>
      <c r="I700">
        <f>IF($A700="","",SUMIFS('Таблиця 1'!$K:$K,'Таблиця 1'!$B:$B,$A700,'Таблиця 1'!$I:$I,"Mirage",'Таблиця 1'!$J:$J,"AASM-250")+SUMIFS('Таблиця 1'!$K:$K,'Таблиця 1'!$B:$B,$A700,'Таблиця 1'!$I:$I,"F-16",'Таблиця 1'!$J:$J,"AASM-250")+SUMIFS('Таблиця 1'!$K:$K,'Таблиця 1'!$B:$B,$A700,'Таблиця 1'!$I:$I,"МіГ-29",'Таблиця 1'!$J:$J,"AASM-250")+SUMIFS('Таблиця 1'!$K:$K,'Таблиця 1'!$B:$B,$A700,'Таблиця 1'!$I:$I,"Су-25",'Таблиця 1'!$J:$J,"AASM-250")+SUMIFS('Таблиця 1'!$K:$K,'Таблиця 1'!$B:$B,$A700,'Таблиця 1'!$I:$I,"Су-27",'Таблиця 1'!$J:$J,"AASM-250"))</f>
        <v/>
      </c>
      <c r="J700">
        <f>IF($A700="","",SUMIFS('Таблиця 1'!$K:$K,'Таблиця 1'!$B:$B,$A700,'Таблиця 1'!$I:$I,"Mirage",'Таблиця 1'!$J:$J,"GBU-39")+SUMIFS('Таблиця 1'!$K:$K,'Таблиця 1'!$B:$B,$A700,'Таблиця 1'!$I:$I,"F-16",'Таблиця 1'!$J:$J,"GBU-39")+SUMIFS('Таблиця 1'!$K:$K,'Таблиця 1'!$B:$B,$A700,'Таблиця 1'!$I:$I,"МіГ-29",'Таблиця 1'!$J:$J,"GBU-39")+SUMIFS('Таблиця 1'!$K:$K,'Таблиця 1'!$B:$B,$A700,'Таблиця 1'!$I:$I,"Су-25",'Таблиця 1'!$J:$J,"GBU-39")+SUMIFS('Таблиця 1'!$K:$K,'Таблиця 1'!$B:$B,$A700,'Таблиця 1'!$I:$I,"Су-27",'Таблиця 1'!$J:$J,"GBU-39"))</f>
        <v/>
      </c>
      <c r="K700">
        <f>IF($A700="","",SUMIFS('Таблиця 1'!$K:$K,'Таблиця 1'!$B:$B,$A700,'Таблиця 1'!$I:$I,"Mirage",'Таблиця 1'!$J:$J,"BLU-140")+SUMIFS('Таблиця 1'!$K:$K,'Таблиця 1'!$B:$B,$A700,'Таблиця 1'!$I:$I,"F-16",'Таблиця 1'!$J:$J,"BLU-140")+SUMIFS('Таблиця 1'!$K:$K,'Таблиця 1'!$B:$B,$A700,'Таблиця 1'!$I:$I,"МіГ-29",'Таблиця 1'!$J:$J,"BLU-140")+SUMIFS('Таблиця 1'!$K:$K,'Таблиця 1'!$B:$B,$A700,'Таблиця 1'!$I:$I,"Су-25",'Таблиця 1'!$J:$J,"BLU-140")+SUMIFS('Таблиця 1'!$K:$K,'Таблиця 1'!$B:$B,$A700,'Таблиця 1'!$I:$I,"Су-27",'Таблиця 1'!$J:$J,"BLU-140"))</f>
        <v/>
      </c>
      <c r="L700">
        <f>IF($A700="","",SUMIFS('Таблиця 1'!$K:$K,'Таблиця 1'!$B:$B,$A700,'Таблиця 1'!$I:$I,"Mirage",'Таблиця 1'!$J:$J,"GBU-65")+SUMIFS('Таблиця 1'!$K:$K,'Таблиця 1'!$B:$B,$A700,'Таблиця 1'!$I:$I,"F-16",'Таблиця 1'!$J:$J,"GBU-65")+SUMIFS('Таблиця 1'!$K:$K,'Таблиця 1'!$B:$B,$A700,'Таблиця 1'!$I:$I,"МіГ-29",'Таблиця 1'!$J:$J,"GBU-65")+SUMIFS('Таблиця 1'!$K:$K,'Таблиця 1'!$B:$B,$A700,'Таблиця 1'!$I:$I,"Су-25",'Таблиця 1'!$J:$J,"GBU-65")+SUMIFS('Таблиця 1'!$K:$K,'Таблиця 1'!$B:$B,$A700,'Таблиця 1'!$I:$I,"Су-27",'Таблиця 1'!$J:$J,"GBU-65"))</f>
        <v/>
      </c>
      <c r="M700">
        <f>IF($A700="","",SUMIFS('Таблиця 1'!$K:$K,'Таблиця 1'!$B:$B,$A700,'Таблиця 1'!$I:$I,"Mirage",'Таблиця 1'!$J:$J,"GBU-62")+SUMIFS('Таблиця 1'!$K:$K,'Таблиця 1'!$B:$B,$A700,'Таблиця 1'!$I:$I,"F-16",'Таблиця 1'!$J:$J,"GBU-62")+SUMIFS('Таблиця 1'!$K:$K,'Таблиця 1'!$B:$B,$A700,'Таблиця 1'!$I:$I,"МіГ-29",'Таблиця 1'!$J:$J,"GBU-62")+SUMIFS('Таблиця 1'!$K:$K,'Таблиця 1'!$B:$B,$A700,'Таблиця 1'!$I:$I,"Су-25",'Таблиця 1'!$J:$J,"GBU-62")+SUMIFS('Таблиця 1'!$K:$K,'Таблиця 1'!$B:$B,$A700,'Таблиця 1'!$I:$I,"Су-27",'Таблиця 1'!$J:$J,"GBU-62"))</f>
        <v/>
      </c>
      <c r="N700">
        <f>IF($A700="","",SUMIFS('Таблиця 1'!$K:$K,'Таблиця 1'!$B:$B,$A700,'Таблиця 1'!$I:$I,"Mirage",'Таблиця 1'!$J:$J,"GBU-64")+SUMIFS('Таблиця 1'!$K:$K,'Таблиця 1'!$B:$B,$A700,'Таблиця 1'!$I:$I,"F-16",'Таблиця 1'!$J:$J,"GBU-64")+SUMIFS('Таблиця 1'!$K:$K,'Таблиця 1'!$B:$B,$A700,'Таблиця 1'!$I:$I,"МіГ-29",'Таблиця 1'!$J:$J,"GBU-64")+SUMIFS('Таблиця 1'!$K:$K,'Таблиця 1'!$B:$B,$A700,'Таблиця 1'!$I:$I,"Су-25",'Таблиця 1'!$J:$J,"GBU-64")+SUMIFS('Таблиця 1'!$K:$K,'Таблиця 1'!$B:$B,$A700,'Таблиця 1'!$I:$I,"Су-27",'Таблиця 1'!$J:$J,"GBU-64"))</f>
        <v/>
      </c>
      <c r="O700">
        <f>IF($A700="","",SUMIFS('Таблиця 1'!$K:$K,'Таблиця 1'!$B:$B,$A700,'Таблиця 1'!$I:$I,"Mirage",'Таблиця 1'!$J:$J,"C-13")+SUMIFS('Таблиця 1'!$K:$K,'Таблиця 1'!$B:$B,$A700,'Таблиця 1'!$I:$I,"F-16",'Таблиця 1'!$J:$J,"C-13")+SUMIFS('Таблиця 1'!$K:$K,'Таблиця 1'!$B:$B,$A700,'Таблиця 1'!$I:$I,"МіГ-29",'Таблиця 1'!$J:$J,"C-13")+SUMIFS('Таблиця 1'!$K:$K,'Таблиця 1'!$B:$B,$A700,'Таблиця 1'!$I:$I,"Су-25",'Таблиця 1'!$J:$J,"C-13")+SUMIFS('Таблиця 1'!$K:$K,'Таблиця 1'!$B:$B,$A700,'Таблиця 1'!$I:$I,"Су-27",'Таблиця 1'!$J:$J,"C-13"))</f>
        <v/>
      </c>
      <c r="P700">
        <f>IF($A700="","",SUMIFS('Таблиця 1'!$K:$K,'Таблиця 1'!$B:$B,$A700,'Таблиця 1'!$I:$I,"Mirage",'Таблиця 1'!$J:$J,"MK-32")+SUMIFS('Таблиця 1'!$K:$K,'Таблиця 1'!$B:$B,$A700,'Таблиця 1'!$I:$I,"F-16",'Таблиця 1'!$J:$J,"MK-32")+SUMIFS('Таблиця 1'!$K:$K,'Таблиця 1'!$B:$B,$A700,'Таблиця 1'!$I:$I,"МіГ-29",'Таблиця 1'!$J:$J,"MK-32")+SUMIFS('Таблиця 1'!$K:$K,'Таблиця 1'!$B:$B,$A700,'Таблиця 1'!$I:$I,"Су-25",'Таблиця 1'!$J:$J,"MK-32")+SUMIFS('Таблиця 1'!$K:$K,'Таблиця 1'!$B:$B,$A700,'Таблиця 1'!$I:$I,"Су-27",'Таблиця 1'!$J:$J,"MK-32"))</f>
        <v/>
      </c>
      <c r="Q700">
        <f>IF($A700="","",SUMIFS('Таблиця 1'!$K:$K,'Таблиця 1'!$B:$B,$A700,'Таблиця 1'!$I:$I,"Mirage",'Таблиця 1'!$J:$J,"MK-24")+SUMIFS('Таблиця 1'!$K:$K,'Таблиця 1'!$B:$B,$A700,'Таблиця 1'!$I:$I,"F-16",'Таблиця 1'!$J:$J,"MK-24")+SUMIFS('Таблиця 1'!$K:$K,'Таблиця 1'!$B:$B,$A700,'Таблиця 1'!$I:$I,"МіГ-29",'Таблиця 1'!$J:$J,"MK-24")+SUMIFS('Таблиця 1'!$K:$K,'Таблиця 1'!$B:$B,$A700,'Таблиця 1'!$I:$I,"Су-25",'Таблиця 1'!$J:$J,"MK-24")+SUMIFS('Таблиця 1'!$K:$K,'Таблиця 1'!$B:$B,$A700,'Таблиця 1'!$I:$I,"Су-27",'Таблиця 1'!$J:$J,"MK-24"))</f>
        <v/>
      </c>
      <c r="R700">
        <f>IF($A700="","",COUNTIFS('Таблиця 1'!$B:$B,$A700,'Таблиця 1'!$I:$I,"Mirage",'Таблиця 1'!$L:$L,"Уражено")+COUNTIFS('Таблиця 1'!$B:$B,$A700,'Таблиця 1'!$I:$I,"F-16",'Таблиця 1'!$L:$L,"Уражено")+COUNTIFS('Таблиця 1'!$B:$B,$A700,'Таблиця 1'!$I:$I,"МіГ-29",'Таблиця 1'!$L:$L,"Уражено")+COUNTIFS('Таблиця 1'!$B:$B,$A700,'Таблиця 1'!$I:$I,"Су-25",'Таблиця 1'!$L:$L,"Уражено")+COUNTIFS('Таблиця 1'!$B:$B,$A700,'Таблиця 1'!$I:$I,"Су-27",'Таблиця 1'!$L:$L,"Уражено"))</f>
        <v/>
      </c>
      <c r="S700">
        <f>IF($A700="","",COUNTIFS('Таблиця 1'!$B:$B,$A700,'Таблиця 1'!$I:$I,"Mirage",'Таблиця 1'!$L:$L,"НЕ уражено")+COUNTIFS('Таблиця 1'!$B:$B,$A700,'Таблиця 1'!$I:$I,"F-16",'Таблиця 1'!$L:$L,"НЕ уражено")+COUNTIFS('Таблиця 1'!$B:$B,$A700,'Таблиця 1'!$I:$I,"МіГ-29",'Таблиця 1'!$L:$L,"НЕ уражено")+COUNTIFS('Таблиця 1'!$B:$B,$A700,'Таблиця 1'!$I:$I,"Су-25",'Таблиця 1'!$L:$L,"НЕ уражено")+COUNTIFS('Таблиця 1'!$B:$B,$A700,'Таблиця 1'!$I:$I,"Су-27",'Таблиця 1'!$L:$L,"НЕ уражено"))</f>
        <v/>
      </c>
      <c r="T700">
        <f>IF($A700="","",COUNTIFS('Таблиця 1'!$B:$B,$A700,'Таблиця 1'!$I:$I,"Mirage",'Таблиця 1'!$L:$L,"Дорозвідується")+COUNTIFS('Таблиця 1'!$B:$B,$A700,'Таблиця 1'!$I:$I,"F-16",'Таблиця 1'!$L:$L,"Дорозвідується")+COUNTIFS('Таблиця 1'!$B:$B,$A700,'Таблиця 1'!$I:$I,"МіГ-29",'Таблиця 1'!$L:$L,"Дорозвідується")+COUNTIFS('Таблиця 1'!$B:$B,$A700,'Таблиця 1'!$I:$I,"Су-25",'Таблиця 1'!$L:$L,"Дорозвідується")+COUNTIFS('Таблиця 1'!$B:$B,$A700,'Таблиця 1'!$I:$I,"Су-27",'Таблиця 1'!$L:$L,"Дорозвідується"))</f>
        <v/>
      </c>
    </row>
    <row r="701">
      <c r="A701" s="273">
        <f>IF(A700="","",IF(A700+1&gt;MAX('Таблиця 1'!$B:$B),"",A700+1))</f>
        <v/>
      </c>
      <c r="B701">
        <f>IF($A701="","",COUNTIFS('Таблиця 1'!$B:$B,$A701,'Таблиця 1'!$I:$I,"Mirage")+COUNTIFS('Таблиця 1'!$B:$B,$A701,'Таблиця 1'!$I:$I,"F-16")+COUNTIFS('Таблиця 1'!$B:$B,$A701,'Таблиця 1'!$I:$I,"МіГ-29")+COUNTIFS('Таблиця 1'!$B:$B,$A701,'Таблиця 1'!$I:$I,"Су-25")+COUNTIFS('Таблиця 1'!$B:$B,$A701,'Таблиця 1'!$I:$I,"Су-27"))</f>
        <v/>
      </c>
      <c r="C701">
        <f>IF($A701="","",COUNTIFS('Таблиця 1'!$B:$B,$A701,'Таблиця 1'!$I:$I,"Mirage"))</f>
        <v/>
      </c>
      <c r="D701">
        <f>IF($A701="","",COUNTIFS('Таблиця 1'!$B:$B,$A701,'Таблиця 1'!$I:$I,"F-16"))</f>
        <v/>
      </c>
      <c r="E701">
        <f>IF($A701="","",COUNTIFS('Таблиця 1'!$B:$B,$A701,'Таблиця 1'!$I:$I,"МіГ-29"))</f>
        <v/>
      </c>
      <c r="F701">
        <f>IF($A701="","",COUNTIFS('Таблиця 1'!$B:$B,$A701,'Таблиця 1'!$I:$I,"Су-25"))</f>
        <v/>
      </c>
      <c r="G701">
        <f>IF($A701="","",COUNTIFS('Таблиця 1'!$B:$B,$A701,'Таблиця 1'!$I:$I,"Су-27"))</f>
        <v/>
      </c>
      <c r="H701">
        <f>IF($A701="","",SUMIFS('Таблиця 1'!$K:$K,'Таблиця 1'!$B:$B,$A701,'Таблиця 1'!$I:$I,"Mirage",'Таблиця 1'!$J:$J,"AGM-88")+SUMIFS('Таблиця 1'!$K:$K,'Таблиця 1'!$B:$B,$A701,'Таблиця 1'!$I:$I,"F-16",'Таблиця 1'!$J:$J,"AGM-88")+SUMIFS('Таблиця 1'!$K:$K,'Таблиця 1'!$B:$B,$A701,'Таблиця 1'!$I:$I,"МіГ-29",'Таблиця 1'!$J:$J,"AGM-88")+SUMIFS('Таблиця 1'!$K:$K,'Таблиця 1'!$B:$B,$A701,'Таблиця 1'!$I:$I,"Су-25",'Таблиця 1'!$J:$J,"AGM-88")+SUMIFS('Таблиця 1'!$K:$K,'Таблиця 1'!$B:$B,$A701,'Таблиця 1'!$I:$I,"Су-27",'Таблиця 1'!$J:$J,"AGM-88"))</f>
        <v/>
      </c>
      <c r="I701">
        <f>IF($A701="","",SUMIFS('Таблиця 1'!$K:$K,'Таблиця 1'!$B:$B,$A701,'Таблиця 1'!$I:$I,"Mirage",'Таблиця 1'!$J:$J,"AASM-250")+SUMIFS('Таблиця 1'!$K:$K,'Таблиця 1'!$B:$B,$A701,'Таблиця 1'!$I:$I,"F-16",'Таблиця 1'!$J:$J,"AASM-250")+SUMIFS('Таблиця 1'!$K:$K,'Таблиця 1'!$B:$B,$A701,'Таблиця 1'!$I:$I,"МіГ-29",'Таблиця 1'!$J:$J,"AASM-250")+SUMIFS('Таблиця 1'!$K:$K,'Таблиця 1'!$B:$B,$A701,'Таблиця 1'!$I:$I,"Су-25",'Таблиця 1'!$J:$J,"AASM-250")+SUMIFS('Таблиця 1'!$K:$K,'Таблиця 1'!$B:$B,$A701,'Таблиця 1'!$I:$I,"Су-27",'Таблиця 1'!$J:$J,"AASM-250"))</f>
        <v/>
      </c>
      <c r="J701">
        <f>IF($A701="","",SUMIFS('Таблиця 1'!$K:$K,'Таблиця 1'!$B:$B,$A701,'Таблиця 1'!$I:$I,"Mirage",'Таблиця 1'!$J:$J,"GBU-39")+SUMIFS('Таблиця 1'!$K:$K,'Таблиця 1'!$B:$B,$A701,'Таблиця 1'!$I:$I,"F-16",'Таблиця 1'!$J:$J,"GBU-39")+SUMIFS('Таблиця 1'!$K:$K,'Таблиця 1'!$B:$B,$A701,'Таблиця 1'!$I:$I,"МіГ-29",'Таблиця 1'!$J:$J,"GBU-39")+SUMIFS('Таблиця 1'!$K:$K,'Таблиця 1'!$B:$B,$A701,'Таблиця 1'!$I:$I,"Су-25",'Таблиця 1'!$J:$J,"GBU-39")+SUMIFS('Таблиця 1'!$K:$K,'Таблиця 1'!$B:$B,$A701,'Таблиця 1'!$I:$I,"Су-27",'Таблиця 1'!$J:$J,"GBU-39"))</f>
        <v/>
      </c>
      <c r="K701">
        <f>IF($A701="","",SUMIFS('Таблиця 1'!$K:$K,'Таблиця 1'!$B:$B,$A701,'Таблиця 1'!$I:$I,"Mirage",'Таблиця 1'!$J:$J,"BLU-140")+SUMIFS('Таблиця 1'!$K:$K,'Таблиця 1'!$B:$B,$A701,'Таблиця 1'!$I:$I,"F-16",'Таблиця 1'!$J:$J,"BLU-140")+SUMIFS('Таблиця 1'!$K:$K,'Таблиця 1'!$B:$B,$A701,'Таблиця 1'!$I:$I,"МіГ-29",'Таблиця 1'!$J:$J,"BLU-140")+SUMIFS('Таблиця 1'!$K:$K,'Таблиця 1'!$B:$B,$A701,'Таблиця 1'!$I:$I,"Су-25",'Таблиця 1'!$J:$J,"BLU-140")+SUMIFS('Таблиця 1'!$K:$K,'Таблиця 1'!$B:$B,$A701,'Таблиця 1'!$I:$I,"Су-27",'Таблиця 1'!$J:$J,"BLU-140"))</f>
        <v/>
      </c>
      <c r="L701">
        <f>IF($A701="","",SUMIFS('Таблиця 1'!$K:$K,'Таблиця 1'!$B:$B,$A701,'Таблиця 1'!$I:$I,"Mirage",'Таблиця 1'!$J:$J,"GBU-65")+SUMIFS('Таблиця 1'!$K:$K,'Таблиця 1'!$B:$B,$A701,'Таблиця 1'!$I:$I,"F-16",'Таблиця 1'!$J:$J,"GBU-65")+SUMIFS('Таблиця 1'!$K:$K,'Таблиця 1'!$B:$B,$A701,'Таблиця 1'!$I:$I,"МіГ-29",'Таблиця 1'!$J:$J,"GBU-65")+SUMIFS('Таблиця 1'!$K:$K,'Таблиця 1'!$B:$B,$A701,'Таблиця 1'!$I:$I,"Су-25",'Таблиця 1'!$J:$J,"GBU-65")+SUMIFS('Таблиця 1'!$K:$K,'Таблиця 1'!$B:$B,$A701,'Таблиця 1'!$I:$I,"Су-27",'Таблиця 1'!$J:$J,"GBU-65"))</f>
        <v/>
      </c>
      <c r="M701">
        <f>IF($A701="","",SUMIFS('Таблиця 1'!$K:$K,'Таблиця 1'!$B:$B,$A701,'Таблиця 1'!$I:$I,"Mirage",'Таблиця 1'!$J:$J,"GBU-62")+SUMIFS('Таблиця 1'!$K:$K,'Таблиця 1'!$B:$B,$A701,'Таблиця 1'!$I:$I,"F-16",'Таблиця 1'!$J:$J,"GBU-62")+SUMIFS('Таблиця 1'!$K:$K,'Таблиця 1'!$B:$B,$A701,'Таблиця 1'!$I:$I,"МіГ-29",'Таблиця 1'!$J:$J,"GBU-62")+SUMIFS('Таблиця 1'!$K:$K,'Таблиця 1'!$B:$B,$A701,'Таблиця 1'!$I:$I,"Су-25",'Таблиця 1'!$J:$J,"GBU-62")+SUMIFS('Таблиця 1'!$K:$K,'Таблиця 1'!$B:$B,$A701,'Таблиця 1'!$I:$I,"Су-27",'Таблиця 1'!$J:$J,"GBU-62"))</f>
        <v/>
      </c>
      <c r="N701">
        <f>IF($A701="","",SUMIFS('Таблиця 1'!$K:$K,'Таблиця 1'!$B:$B,$A701,'Таблиця 1'!$I:$I,"Mirage",'Таблиця 1'!$J:$J,"GBU-64")+SUMIFS('Таблиця 1'!$K:$K,'Таблиця 1'!$B:$B,$A701,'Таблиця 1'!$I:$I,"F-16",'Таблиця 1'!$J:$J,"GBU-64")+SUMIFS('Таблиця 1'!$K:$K,'Таблиця 1'!$B:$B,$A701,'Таблиця 1'!$I:$I,"МіГ-29",'Таблиця 1'!$J:$J,"GBU-64")+SUMIFS('Таблиця 1'!$K:$K,'Таблиця 1'!$B:$B,$A701,'Таблиця 1'!$I:$I,"Су-25",'Таблиця 1'!$J:$J,"GBU-64")+SUMIFS('Таблиця 1'!$K:$K,'Таблиця 1'!$B:$B,$A701,'Таблиця 1'!$I:$I,"Су-27",'Таблиця 1'!$J:$J,"GBU-64"))</f>
        <v/>
      </c>
      <c r="O701">
        <f>IF($A701="","",SUMIFS('Таблиця 1'!$K:$K,'Таблиця 1'!$B:$B,$A701,'Таблиця 1'!$I:$I,"Mirage",'Таблиця 1'!$J:$J,"C-13")+SUMIFS('Таблиця 1'!$K:$K,'Таблиця 1'!$B:$B,$A701,'Таблиця 1'!$I:$I,"F-16",'Таблиця 1'!$J:$J,"C-13")+SUMIFS('Таблиця 1'!$K:$K,'Таблиця 1'!$B:$B,$A701,'Таблиця 1'!$I:$I,"МіГ-29",'Таблиця 1'!$J:$J,"C-13")+SUMIFS('Таблиця 1'!$K:$K,'Таблиця 1'!$B:$B,$A701,'Таблиця 1'!$I:$I,"Су-25",'Таблиця 1'!$J:$J,"C-13")+SUMIFS('Таблиця 1'!$K:$K,'Таблиця 1'!$B:$B,$A701,'Таблиця 1'!$I:$I,"Су-27",'Таблиця 1'!$J:$J,"C-13"))</f>
        <v/>
      </c>
      <c r="P701">
        <f>IF($A701="","",SUMIFS('Таблиця 1'!$K:$K,'Таблиця 1'!$B:$B,$A701,'Таблиця 1'!$I:$I,"Mirage",'Таблиця 1'!$J:$J,"MK-32")+SUMIFS('Таблиця 1'!$K:$K,'Таблиця 1'!$B:$B,$A701,'Таблиця 1'!$I:$I,"F-16",'Таблиця 1'!$J:$J,"MK-32")+SUMIFS('Таблиця 1'!$K:$K,'Таблиця 1'!$B:$B,$A701,'Таблиця 1'!$I:$I,"МіГ-29",'Таблиця 1'!$J:$J,"MK-32")+SUMIFS('Таблиця 1'!$K:$K,'Таблиця 1'!$B:$B,$A701,'Таблиця 1'!$I:$I,"Су-25",'Таблиця 1'!$J:$J,"MK-32")+SUMIFS('Таблиця 1'!$K:$K,'Таблиця 1'!$B:$B,$A701,'Таблиця 1'!$I:$I,"Су-27",'Таблиця 1'!$J:$J,"MK-32"))</f>
        <v/>
      </c>
      <c r="Q701">
        <f>IF($A701="","",SUMIFS('Таблиця 1'!$K:$K,'Таблиця 1'!$B:$B,$A701,'Таблиця 1'!$I:$I,"Mirage",'Таблиця 1'!$J:$J,"MK-24")+SUMIFS('Таблиця 1'!$K:$K,'Таблиця 1'!$B:$B,$A701,'Таблиця 1'!$I:$I,"F-16",'Таблиця 1'!$J:$J,"MK-24")+SUMIFS('Таблиця 1'!$K:$K,'Таблиця 1'!$B:$B,$A701,'Таблиця 1'!$I:$I,"МіГ-29",'Таблиця 1'!$J:$J,"MK-24")+SUMIFS('Таблиця 1'!$K:$K,'Таблиця 1'!$B:$B,$A701,'Таблиця 1'!$I:$I,"Су-25",'Таблиця 1'!$J:$J,"MK-24")+SUMIFS('Таблиця 1'!$K:$K,'Таблиця 1'!$B:$B,$A701,'Таблиця 1'!$I:$I,"Су-27",'Таблиця 1'!$J:$J,"MK-24"))</f>
        <v/>
      </c>
      <c r="R701">
        <f>IF($A701="","",COUNTIFS('Таблиця 1'!$B:$B,$A701,'Таблиця 1'!$I:$I,"Mirage",'Таблиця 1'!$L:$L,"Уражено")+COUNTIFS('Таблиця 1'!$B:$B,$A701,'Таблиця 1'!$I:$I,"F-16",'Таблиця 1'!$L:$L,"Уражено")+COUNTIFS('Таблиця 1'!$B:$B,$A701,'Таблиця 1'!$I:$I,"МіГ-29",'Таблиця 1'!$L:$L,"Уражено")+COUNTIFS('Таблиця 1'!$B:$B,$A701,'Таблиця 1'!$I:$I,"Су-25",'Таблиця 1'!$L:$L,"Уражено")+COUNTIFS('Таблиця 1'!$B:$B,$A701,'Таблиця 1'!$I:$I,"Су-27",'Таблиця 1'!$L:$L,"Уражено"))</f>
        <v/>
      </c>
      <c r="S701">
        <f>IF($A701="","",COUNTIFS('Таблиця 1'!$B:$B,$A701,'Таблиця 1'!$I:$I,"Mirage",'Таблиця 1'!$L:$L,"НЕ уражено")+COUNTIFS('Таблиця 1'!$B:$B,$A701,'Таблиця 1'!$I:$I,"F-16",'Таблиця 1'!$L:$L,"НЕ уражено")+COUNTIFS('Таблиця 1'!$B:$B,$A701,'Таблиця 1'!$I:$I,"МіГ-29",'Таблиця 1'!$L:$L,"НЕ уражено")+COUNTIFS('Таблиця 1'!$B:$B,$A701,'Таблиця 1'!$I:$I,"Су-25",'Таблиця 1'!$L:$L,"НЕ уражено")+COUNTIFS('Таблиця 1'!$B:$B,$A701,'Таблиця 1'!$I:$I,"Су-27",'Таблиця 1'!$L:$L,"НЕ уражено"))</f>
        <v/>
      </c>
      <c r="T701">
        <f>IF($A701="","",COUNTIFS('Таблиця 1'!$B:$B,$A701,'Таблиця 1'!$I:$I,"Mirage",'Таблиця 1'!$L:$L,"Дорозвідується")+COUNTIFS('Таблиця 1'!$B:$B,$A701,'Таблиця 1'!$I:$I,"F-16",'Таблиця 1'!$L:$L,"Дорозвідується")+COUNTIFS('Таблиця 1'!$B:$B,$A701,'Таблиця 1'!$I:$I,"МіГ-29",'Таблиця 1'!$L:$L,"Дорозвідується")+COUNTIFS('Таблиця 1'!$B:$B,$A701,'Таблиця 1'!$I:$I,"Су-25",'Таблиця 1'!$L:$L,"Дорозвідується")+COUNTIFS('Таблиця 1'!$B:$B,$A701,'Таблиця 1'!$I:$I,"Су-27",'Таблиця 1'!$L:$L,"Дорозвідується"))</f>
        <v/>
      </c>
    </row>
    <row r="702">
      <c r="A702" s="273">
        <f>IF(A701="","",IF(A701+1&gt;MAX('Таблиця 1'!$B:$B),"",A701+1))</f>
        <v/>
      </c>
      <c r="B702">
        <f>IF($A702="","",COUNTIFS('Таблиця 1'!$B:$B,$A702,'Таблиця 1'!$I:$I,"Mirage")+COUNTIFS('Таблиця 1'!$B:$B,$A702,'Таблиця 1'!$I:$I,"F-16")+COUNTIFS('Таблиця 1'!$B:$B,$A702,'Таблиця 1'!$I:$I,"МіГ-29")+COUNTIFS('Таблиця 1'!$B:$B,$A702,'Таблиця 1'!$I:$I,"Су-25")+COUNTIFS('Таблиця 1'!$B:$B,$A702,'Таблиця 1'!$I:$I,"Су-27"))</f>
        <v/>
      </c>
      <c r="C702">
        <f>IF($A702="","",COUNTIFS('Таблиця 1'!$B:$B,$A702,'Таблиця 1'!$I:$I,"Mirage"))</f>
        <v/>
      </c>
      <c r="D702">
        <f>IF($A702="","",COUNTIFS('Таблиця 1'!$B:$B,$A702,'Таблиця 1'!$I:$I,"F-16"))</f>
        <v/>
      </c>
      <c r="E702">
        <f>IF($A702="","",COUNTIFS('Таблиця 1'!$B:$B,$A702,'Таблиця 1'!$I:$I,"МіГ-29"))</f>
        <v/>
      </c>
      <c r="F702">
        <f>IF($A702="","",COUNTIFS('Таблиця 1'!$B:$B,$A702,'Таблиця 1'!$I:$I,"Су-25"))</f>
        <v/>
      </c>
      <c r="G702">
        <f>IF($A702="","",COUNTIFS('Таблиця 1'!$B:$B,$A702,'Таблиця 1'!$I:$I,"Су-27"))</f>
        <v/>
      </c>
      <c r="H702">
        <f>IF($A702="","",SUMIFS('Таблиця 1'!$K:$K,'Таблиця 1'!$B:$B,$A702,'Таблиця 1'!$I:$I,"Mirage",'Таблиця 1'!$J:$J,"AGM-88")+SUMIFS('Таблиця 1'!$K:$K,'Таблиця 1'!$B:$B,$A702,'Таблиця 1'!$I:$I,"F-16",'Таблиця 1'!$J:$J,"AGM-88")+SUMIFS('Таблиця 1'!$K:$K,'Таблиця 1'!$B:$B,$A702,'Таблиця 1'!$I:$I,"МіГ-29",'Таблиця 1'!$J:$J,"AGM-88")+SUMIFS('Таблиця 1'!$K:$K,'Таблиця 1'!$B:$B,$A702,'Таблиця 1'!$I:$I,"Су-25",'Таблиця 1'!$J:$J,"AGM-88")+SUMIFS('Таблиця 1'!$K:$K,'Таблиця 1'!$B:$B,$A702,'Таблиця 1'!$I:$I,"Су-27",'Таблиця 1'!$J:$J,"AGM-88"))</f>
        <v/>
      </c>
      <c r="I702">
        <f>IF($A702="","",SUMIFS('Таблиця 1'!$K:$K,'Таблиця 1'!$B:$B,$A702,'Таблиця 1'!$I:$I,"Mirage",'Таблиця 1'!$J:$J,"AASM-250")+SUMIFS('Таблиця 1'!$K:$K,'Таблиця 1'!$B:$B,$A702,'Таблиця 1'!$I:$I,"F-16",'Таблиця 1'!$J:$J,"AASM-250")+SUMIFS('Таблиця 1'!$K:$K,'Таблиця 1'!$B:$B,$A702,'Таблиця 1'!$I:$I,"МіГ-29",'Таблиця 1'!$J:$J,"AASM-250")+SUMIFS('Таблиця 1'!$K:$K,'Таблиця 1'!$B:$B,$A702,'Таблиця 1'!$I:$I,"Су-25",'Таблиця 1'!$J:$J,"AASM-250")+SUMIFS('Таблиця 1'!$K:$K,'Таблиця 1'!$B:$B,$A702,'Таблиця 1'!$I:$I,"Су-27",'Таблиця 1'!$J:$J,"AASM-250"))</f>
        <v/>
      </c>
      <c r="J702">
        <f>IF($A702="","",SUMIFS('Таблиця 1'!$K:$K,'Таблиця 1'!$B:$B,$A702,'Таблиця 1'!$I:$I,"Mirage",'Таблиця 1'!$J:$J,"GBU-39")+SUMIFS('Таблиця 1'!$K:$K,'Таблиця 1'!$B:$B,$A702,'Таблиця 1'!$I:$I,"F-16",'Таблиця 1'!$J:$J,"GBU-39")+SUMIFS('Таблиця 1'!$K:$K,'Таблиця 1'!$B:$B,$A702,'Таблиця 1'!$I:$I,"МіГ-29",'Таблиця 1'!$J:$J,"GBU-39")+SUMIFS('Таблиця 1'!$K:$K,'Таблиця 1'!$B:$B,$A702,'Таблиця 1'!$I:$I,"Су-25",'Таблиця 1'!$J:$J,"GBU-39")+SUMIFS('Таблиця 1'!$K:$K,'Таблиця 1'!$B:$B,$A702,'Таблиця 1'!$I:$I,"Су-27",'Таблиця 1'!$J:$J,"GBU-39"))</f>
        <v/>
      </c>
      <c r="K702">
        <f>IF($A702="","",SUMIFS('Таблиця 1'!$K:$K,'Таблиця 1'!$B:$B,$A702,'Таблиця 1'!$I:$I,"Mirage",'Таблиця 1'!$J:$J,"BLU-140")+SUMIFS('Таблиця 1'!$K:$K,'Таблиця 1'!$B:$B,$A702,'Таблиця 1'!$I:$I,"F-16",'Таблиця 1'!$J:$J,"BLU-140")+SUMIFS('Таблиця 1'!$K:$K,'Таблиця 1'!$B:$B,$A702,'Таблиця 1'!$I:$I,"МіГ-29",'Таблиця 1'!$J:$J,"BLU-140")+SUMIFS('Таблиця 1'!$K:$K,'Таблиця 1'!$B:$B,$A702,'Таблиця 1'!$I:$I,"Су-25",'Таблиця 1'!$J:$J,"BLU-140")+SUMIFS('Таблиця 1'!$K:$K,'Таблиця 1'!$B:$B,$A702,'Таблиця 1'!$I:$I,"Су-27",'Таблиця 1'!$J:$J,"BLU-140"))</f>
        <v/>
      </c>
      <c r="L702">
        <f>IF($A702="","",SUMIFS('Таблиця 1'!$K:$K,'Таблиця 1'!$B:$B,$A702,'Таблиця 1'!$I:$I,"Mirage",'Таблиця 1'!$J:$J,"GBU-65")+SUMIFS('Таблиця 1'!$K:$K,'Таблиця 1'!$B:$B,$A702,'Таблиця 1'!$I:$I,"F-16",'Таблиця 1'!$J:$J,"GBU-65")+SUMIFS('Таблиця 1'!$K:$K,'Таблиця 1'!$B:$B,$A702,'Таблиця 1'!$I:$I,"МіГ-29",'Таблиця 1'!$J:$J,"GBU-65")+SUMIFS('Таблиця 1'!$K:$K,'Таблиця 1'!$B:$B,$A702,'Таблиця 1'!$I:$I,"Су-25",'Таблиця 1'!$J:$J,"GBU-65")+SUMIFS('Таблиця 1'!$K:$K,'Таблиця 1'!$B:$B,$A702,'Таблиця 1'!$I:$I,"Су-27",'Таблиця 1'!$J:$J,"GBU-65"))</f>
        <v/>
      </c>
      <c r="M702">
        <f>IF($A702="","",SUMIFS('Таблиця 1'!$K:$K,'Таблиця 1'!$B:$B,$A702,'Таблиця 1'!$I:$I,"Mirage",'Таблиця 1'!$J:$J,"GBU-62")+SUMIFS('Таблиця 1'!$K:$K,'Таблиця 1'!$B:$B,$A702,'Таблиця 1'!$I:$I,"F-16",'Таблиця 1'!$J:$J,"GBU-62")+SUMIFS('Таблиця 1'!$K:$K,'Таблиця 1'!$B:$B,$A702,'Таблиця 1'!$I:$I,"МіГ-29",'Таблиця 1'!$J:$J,"GBU-62")+SUMIFS('Таблиця 1'!$K:$K,'Таблиця 1'!$B:$B,$A702,'Таблиця 1'!$I:$I,"Су-25",'Таблиця 1'!$J:$J,"GBU-62")+SUMIFS('Таблиця 1'!$K:$K,'Таблиця 1'!$B:$B,$A702,'Таблиця 1'!$I:$I,"Су-27",'Таблиця 1'!$J:$J,"GBU-62"))</f>
        <v/>
      </c>
      <c r="N702">
        <f>IF($A702="","",SUMIFS('Таблиця 1'!$K:$K,'Таблиця 1'!$B:$B,$A702,'Таблиця 1'!$I:$I,"Mirage",'Таблиця 1'!$J:$J,"GBU-64")+SUMIFS('Таблиця 1'!$K:$K,'Таблиця 1'!$B:$B,$A702,'Таблиця 1'!$I:$I,"F-16",'Таблиця 1'!$J:$J,"GBU-64")+SUMIFS('Таблиця 1'!$K:$K,'Таблиця 1'!$B:$B,$A702,'Таблиця 1'!$I:$I,"МіГ-29",'Таблиця 1'!$J:$J,"GBU-64")+SUMIFS('Таблиця 1'!$K:$K,'Таблиця 1'!$B:$B,$A702,'Таблиця 1'!$I:$I,"Су-25",'Таблиця 1'!$J:$J,"GBU-64")+SUMIFS('Таблиця 1'!$K:$K,'Таблиця 1'!$B:$B,$A702,'Таблиця 1'!$I:$I,"Су-27",'Таблиця 1'!$J:$J,"GBU-64"))</f>
        <v/>
      </c>
      <c r="O702">
        <f>IF($A702="","",SUMIFS('Таблиця 1'!$K:$K,'Таблиця 1'!$B:$B,$A702,'Таблиця 1'!$I:$I,"Mirage",'Таблиця 1'!$J:$J,"C-13")+SUMIFS('Таблиця 1'!$K:$K,'Таблиця 1'!$B:$B,$A702,'Таблиця 1'!$I:$I,"F-16",'Таблиця 1'!$J:$J,"C-13")+SUMIFS('Таблиця 1'!$K:$K,'Таблиця 1'!$B:$B,$A702,'Таблиця 1'!$I:$I,"МіГ-29",'Таблиця 1'!$J:$J,"C-13")+SUMIFS('Таблиця 1'!$K:$K,'Таблиця 1'!$B:$B,$A702,'Таблиця 1'!$I:$I,"Су-25",'Таблиця 1'!$J:$J,"C-13")+SUMIFS('Таблиця 1'!$K:$K,'Таблиця 1'!$B:$B,$A702,'Таблиця 1'!$I:$I,"Су-27",'Таблиця 1'!$J:$J,"C-13"))</f>
        <v/>
      </c>
      <c r="P702">
        <f>IF($A702="","",SUMIFS('Таблиця 1'!$K:$K,'Таблиця 1'!$B:$B,$A702,'Таблиця 1'!$I:$I,"Mirage",'Таблиця 1'!$J:$J,"MK-32")+SUMIFS('Таблиця 1'!$K:$K,'Таблиця 1'!$B:$B,$A702,'Таблиця 1'!$I:$I,"F-16",'Таблиця 1'!$J:$J,"MK-32")+SUMIFS('Таблиця 1'!$K:$K,'Таблиця 1'!$B:$B,$A702,'Таблиця 1'!$I:$I,"МіГ-29",'Таблиця 1'!$J:$J,"MK-32")+SUMIFS('Таблиця 1'!$K:$K,'Таблиця 1'!$B:$B,$A702,'Таблиця 1'!$I:$I,"Су-25",'Таблиця 1'!$J:$J,"MK-32")+SUMIFS('Таблиця 1'!$K:$K,'Таблиця 1'!$B:$B,$A702,'Таблиця 1'!$I:$I,"Су-27",'Таблиця 1'!$J:$J,"MK-32"))</f>
        <v/>
      </c>
      <c r="Q702">
        <f>IF($A702="","",SUMIFS('Таблиця 1'!$K:$K,'Таблиця 1'!$B:$B,$A702,'Таблиця 1'!$I:$I,"Mirage",'Таблиця 1'!$J:$J,"MK-24")+SUMIFS('Таблиця 1'!$K:$K,'Таблиця 1'!$B:$B,$A702,'Таблиця 1'!$I:$I,"F-16",'Таблиця 1'!$J:$J,"MK-24")+SUMIFS('Таблиця 1'!$K:$K,'Таблиця 1'!$B:$B,$A702,'Таблиця 1'!$I:$I,"МіГ-29",'Таблиця 1'!$J:$J,"MK-24")+SUMIFS('Таблиця 1'!$K:$K,'Таблиця 1'!$B:$B,$A702,'Таблиця 1'!$I:$I,"Су-25",'Таблиця 1'!$J:$J,"MK-24")+SUMIFS('Таблиця 1'!$K:$K,'Таблиця 1'!$B:$B,$A702,'Таблиця 1'!$I:$I,"Су-27",'Таблиця 1'!$J:$J,"MK-24"))</f>
        <v/>
      </c>
      <c r="R702">
        <f>IF($A702="","",COUNTIFS('Таблиця 1'!$B:$B,$A702,'Таблиця 1'!$I:$I,"Mirage",'Таблиця 1'!$L:$L,"Уражено")+COUNTIFS('Таблиця 1'!$B:$B,$A702,'Таблиця 1'!$I:$I,"F-16",'Таблиця 1'!$L:$L,"Уражено")+COUNTIFS('Таблиця 1'!$B:$B,$A702,'Таблиця 1'!$I:$I,"МіГ-29",'Таблиця 1'!$L:$L,"Уражено")+COUNTIFS('Таблиця 1'!$B:$B,$A702,'Таблиця 1'!$I:$I,"Су-25",'Таблиця 1'!$L:$L,"Уражено")+COUNTIFS('Таблиця 1'!$B:$B,$A702,'Таблиця 1'!$I:$I,"Су-27",'Таблиця 1'!$L:$L,"Уражено"))</f>
        <v/>
      </c>
      <c r="S702">
        <f>IF($A702="","",COUNTIFS('Таблиця 1'!$B:$B,$A702,'Таблиця 1'!$I:$I,"Mirage",'Таблиця 1'!$L:$L,"НЕ уражено")+COUNTIFS('Таблиця 1'!$B:$B,$A702,'Таблиця 1'!$I:$I,"F-16",'Таблиця 1'!$L:$L,"НЕ уражено")+COUNTIFS('Таблиця 1'!$B:$B,$A702,'Таблиця 1'!$I:$I,"МіГ-29",'Таблиця 1'!$L:$L,"НЕ уражено")+COUNTIFS('Таблиця 1'!$B:$B,$A702,'Таблиця 1'!$I:$I,"Су-25",'Таблиця 1'!$L:$L,"НЕ уражено")+COUNTIFS('Таблиця 1'!$B:$B,$A702,'Таблиця 1'!$I:$I,"Су-27",'Таблиця 1'!$L:$L,"НЕ уражено"))</f>
        <v/>
      </c>
      <c r="T702">
        <f>IF($A702="","",COUNTIFS('Таблиця 1'!$B:$B,$A702,'Таблиця 1'!$I:$I,"Mirage",'Таблиця 1'!$L:$L,"Дорозвідується")+COUNTIFS('Таблиця 1'!$B:$B,$A702,'Таблиця 1'!$I:$I,"F-16",'Таблиця 1'!$L:$L,"Дорозвідується")+COUNTIFS('Таблиця 1'!$B:$B,$A702,'Таблиця 1'!$I:$I,"МіГ-29",'Таблиця 1'!$L:$L,"Дорозвідується")+COUNTIFS('Таблиця 1'!$B:$B,$A702,'Таблиця 1'!$I:$I,"Су-25",'Таблиця 1'!$L:$L,"Дорозвідується")+COUNTIFS('Таблиця 1'!$B:$B,$A702,'Таблиця 1'!$I:$I,"Су-27",'Таблиця 1'!$L:$L,"Дорозвідується"))</f>
        <v/>
      </c>
    </row>
    <row r="703">
      <c r="A703" s="273">
        <f>IF(A702="","",IF(A702+1&gt;MAX('Таблиця 1'!$B:$B),"",A702+1))</f>
        <v/>
      </c>
      <c r="B703">
        <f>IF($A703="","",COUNTIFS('Таблиця 1'!$B:$B,$A703,'Таблиця 1'!$I:$I,"Mirage")+COUNTIFS('Таблиця 1'!$B:$B,$A703,'Таблиця 1'!$I:$I,"F-16")+COUNTIFS('Таблиця 1'!$B:$B,$A703,'Таблиця 1'!$I:$I,"МіГ-29")+COUNTIFS('Таблиця 1'!$B:$B,$A703,'Таблиця 1'!$I:$I,"Су-25")+COUNTIFS('Таблиця 1'!$B:$B,$A703,'Таблиця 1'!$I:$I,"Су-27"))</f>
        <v/>
      </c>
      <c r="C703">
        <f>IF($A703="","",COUNTIFS('Таблиця 1'!$B:$B,$A703,'Таблиця 1'!$I:$I,"Mirage"))</f>
        <v/>
      </c>
      <c r="D703">
        <f>IF($A703="","",COUNTIFS('Таблиця 1'!$B:$B,$A703,'Таблиця 1'!$I:$I,"F-16"))</f>
        <v/>
      </c>
      <c r="E703">
        <f>IF($A703="","",COUNTIFS('Таблиця 1'!$B:$B,$A703,'Таблиця 1'!$I:$I,"МіГ-29"))</f>
        <v/>
      </c>
      <c r="F703">
        <f>IF($A703="","",COUNTIFS('Таблиця 1'!$B:$B,$A703,'Таблиця 1'!$I:$I,"Су-25"))</f>
        <v/>
      </c>
      <c r="G703">
        <f>IF($A703="","",COUNTIFS('Таблиця 1'!$B:$B,$A703,'Таблиця 1'!$I:$I,"Су-27"))</f>
        <v/>
      </c>
      <c r="H703">
        <f>IF($A703="","",SUMIFS('Таблиця 1'!$K:$K,'Таблиця 1'!$B:$B,$A703,'Таблиця 1'!$I:$I,"Mirage",'Таблиця 1'!$J:$J,"AGM-88")+SUMIFS('Таблиця 1'!$K:$K,'Таблиця 1'!$B:$B,$A703,'Таблиця 1'!$I:$I,"F-16",'Таблиця 1'!$J:$J,"AGM-88")+SUMIFS('Таблиця 1'!$K:$K,'Таблиця 1'!$B:$B,$A703,'Таблиця 1'!$I:$I,"МіГ-29",'Таблиця 1'!$J:$J,"AGM-88")+SUMIFS('Таблиця 1'!$K:$K,'Таблиця 1'!$B:$B,$A703,'Таблиця 1'!$I:$I,"Су-25",'Таблиця 1'!$J:$J,"AGM-88")+SUMIFS('Таблиця 1'!$K:$K,'Таблиця 1'!$B:$B,$A703,'Таблиця 1'!$I:$I,"Су-27",'Таблиця 1'!$J:$J,"AGM-88"))</f>
        <v/>
      </c>
      <c r="I703">
        <f>IF($A703="","",SUMIFS('Таблиця 1'!$K:$K,'Таблиця 1'!$B:$B,$A703,'Таблиця 1'!$I:$I,"Mirage",'Таблиця 1'!$J:$J,"AASM-250")+SUMIFS('Таблиця 1'!$K:$K,'Таблиця 1'!$B:$B,$A703,'Таблиця 1'!$I:$I,"F-16",'Таблиця 1'!$J:$J,"AASM-250")+SUMIFS('Таблиця 1'!$K:$K,'Таблиця 1'!$B:$B,$A703,'Таблиця 1'!$I:$I,"МіГ-29",'Таблиця 1'!$J:$J,"AASM-250")+SUMIFS('Таблиця 1'!$K:$K,'Таблиця 1'!$B:$B,$A703,'Таблиця 1'!$I:$I,"Су-25",'Таблиця 1'!$J:$J,"AASM-250")+SUMIFS('Таблиця 1'!$K:$K,'Таблиця 1'!$B:$B,$A703,'Таблиця 1'!$I:$I,"Су-27",'Таблиця 1'!$J:$J,"AASM-250"))</f>
        <v/>
      </c>
      <c r="J703">
        <f>IF($A703="","",SUMIFS('Таблиця 1'!$K:$K,'Таблиця 1'!$B:$B,$A703,'Таблиця 1'!$I:$I,"Mirage",'Таблиця 1'!$J:$J,"GBU-39")+SUMIFS('Таблиця 1'!$K:$K,'Таблиця 1'!$B:$B,$A703,'Таблиця 1'!$I:$I,"F-16",'Таблиця 1'!$J:$J,"GBU-39")+SUMIFS('Таблиця 1'!$K:$K,'Таблиця 1'!$B:$B,$A703,'Таблиця 1'!$I:$I,"МіГ-29",'Таблиця 1'!$J:$J,"GBU-39")+SUMIFS('Таблиця 1'!$K:$K,'Таблиця 1'!$B:$B,$A703,'Таблиця 1'!$I:$I,"Су-25",'Таблиця 1'!$J:$J,"GBU-39")+SUMIFS('Таблиця 1'!$K:$K,'Таблиця 1'!$B:$B,$A703,'Таблиця 1'!$I:$I,"Су-27",'Таблиця 1'!$J:$J,"GBU-39"))</f>
        <v/>
      </c>
      <c r="K703">
        <f>IF($A703="","",SUMIFS('Таблиця 1'!$K:$K,'Таблиця 1'!$B:$B,$A703,'Таблиця 1'!$I:$I,"Mirage",'Таблиця 1'!$J:$J,"BLU-140")+SUMIFS('Таблиця 1'!$K:$K,'Таблиця 1'!$B:$B,$A703,'Таблиця 1'!$I:$I,"F-16",'Таблиця 1'!$J:$J,"BLU-140")+SUMIFS('Таблиця 1'!$K:$K,'Таблиця 1'!$B:$B,$A703,'Таблиця 1'!$I:$I,"МіГ-29",'Таблиця 1'!$J:$J,"BLU-140")+SUMIFS('Таблиця 1'!$K:$K,'Таблиця 1'!$B:$B,$A703,'Таблиця 1'!$I:$I,"Су-25",'Таблиця 1'!$J:$J,"BLU-140")+SUMIFS('Таблиця 1'!$K:$K,'Таблиця 1'!$B:$B,$A703,'Таблиця 1'!$I:$I,"Су-27",'Таблиця 1'!$J:$J,"BLU-140"))</f>
        <v/>
      </c>
      <c r="L703">
        <f>IF($A703="","",SUMIFS('Таблиця 1'!$K:$K,'Таблиця 1'!$B:$B,$A703,'Таблиця 1'!$I:$I,"Mirage",'Таблиця 1'!$J:$J,"GBU-65")+SUMIFS('Таблиця 1'!$K:$K,'Таблиця 1'!$B:$B,$A703,'Таблиця 1'!$I:$I,"F-16",'Таблиця 1'!$J:$J,"GBU-65")+SUMIFS('Таблиця 1'!$K:$K,'Таблиця 1'!$B:$B,$A703,'Таблиця 1'!$I:$I,"МіГ-29",'Таблиця 1'!$J:$J,"GBU-65")+SUMIFS('Таблиця 1'!$K:$K,'Таблиця 1'!$B:$B,$A703,'Таблиця 1'!$I:$I,"Су-25",'Таблиця 1'!$J:$J,"GBU-65")+SUMIFS('Таблиця 1'!$K:$K,'Таблиця 1'!$B:$B,$A703,'Таблиця 1'!$I:$I,"Су-27",'Таблиця 1'!$J:$J,"GBU-65"))</f>
        <v/>
      </c>
      <c r="M703">
        <f>IF($A703="","",SUMIFS('Таблиця 1'!$K:$K,'Таблиця 1'!$B:$B,$A703,'Таблиця 1'!$I:$I,"Mirage",'Таблиця 1'!$J:$J,"GBU-62")+SUMIFS('Таблиця 1'!$K:$K,'Таблиця 1'!$B:$B,$A703,'Таблиця 1'!$I:$I,"F-16",'Таблиця 1'!$J:$J,"GBU-62")+SUMIFS('Таблиця 1'!$K:$K,'Таблиця 1'!$B:$B,$A703,'Таблиця 1'!$I:$I,"МіГ-29",'Таблиця 1'!$J:$J,"GBU-62")+SUMIFS('Таблиця 1'!$K:$K,'Таблиця 1'!$B:$B,$A703,'Таблиця 1'!$I:$I,"Су-25",'Таблиця 1'!$J:$J,"GBU-62")+SUMIFS('Таблиця 1'!$K:$K,'Таблиця 1'!$B:$B,$A703,'Таблиця 1'!$I:$I,"Су-27",'Таблиця 1'!$J:$J,"GBU-62"))</f>
        <v/>
      </c>
      <c r="N703">
        <f>IF($A703="","",SUMIFS('Таблиця 1'!$K:$K,'Таблиця 1'!$B:$B,$A703,'Таблиця 1'!$I:$I,"Mirage",'Таблиця 1'!$J:$J,"GBU-64")+SUMIFS('Таблиця 1'!$K:$K,'Таблиця 1'!$B:$B,$A703,'Таблиця 1'!$I:$I,"F-16",'Таблиця 1'!$J:$J,"GBU-64")+SUMIFS('Таблиця 1'!$K:$K,'Таблиця 1'!$B:$B,$A703,'Таблиця 1'!$I:$I,"МіГ-29",'Таблиця 1'!$J:$J,"GBU-64")+SUMIFS('Таблиця 1'!$K:$K,'Таблиця 1'!$B:$B,$A703,'Таблиця 1'!$I:$I,"Су-25",'Таблиця 1'!$J:$J,"GBU-64")+SUMIFS('Таблиця 1'!$K:$K,'Таблиця 1'!$B:$B,$A703,'Таблиця 1'!$I:$I,"Су-27",'Таблиця 1'!$J:$J,"GBU-64"))</f>
        <v/>
      </c>
      <c r="O703">
        <f>IF($A703="","",SUMIFS('Таблиця 1'!$K:$K,'Таблиця 1'!$B:$B,$A703,'Таблиця 1'!$I:$I,"Mirage",'Таблиця 1'!$J:$J,"C-13")+SUMIFS('Таблиця 1'!$K:$K,'Таблиця 1'!$B:$B,$A703,'Таблиця 1'!$I:$I,"F-16",'Таблиця 1'!$J:$J,"C-13")+SUMIFS('Таблиця 1'!$K:$K,'Таблиця 1'!$B:$B,$A703,'Таблиця 1'!$I:$I,"МіГ-29",'Таблиця 1'!$J:$J,"C-13")+SUMIFS('Таблиця 1'!$K:$K,'Таблиця 1'!$B:$B,$A703,'Таблиця 1'!$I:$I,"Су-25",'Таблиця 1'!$J:$J,"C-13")+SUMIFS('Таблиця 1'!$K:$K,'Таблиця 1'!$B:$B,$A703,'Таблиця 1'!$I:$I,"Су-27",'Таблиця 1'!$J:$J,"C-13"))</f>
        <v/>
      </c>
      <c r="P703">
        <f>IF($A703="","",SUMIFS('Таблиця 1'!$K:$K,'Таблиця 1'!$B:$B,$A703,'Таблиця 1'!$I:$I,"Mirage",'Таблиця 1'!$J:$J,"MK-32")+SUMIFS('Таблиця 1'!$K:$K,'Таблиця 1'!$B:$B,$A703,'Таблиця 1'!$I:$I,"F-16",'Таблиця 1'!$J:$J,"MK-32")+SUMIFS('Таблиця 1'!$K:$K,'Таблиця 1'!$B:$B,$A703,'Таблиця 1'!$I:$I,"МіГ-29",'Таблиця 1'!$J:$J,"MK-32")+SUMIFS('Таблиця 1'!$K:$K,'Таблиця 1'!$B:$B,$A703,'Таблиця 1'!$I:$I,"Су-25",'Таблиця 1'!$J:$J,"MK-32")+SUMIFS('Таблиця 1'!$K:$K,'Таблиця 1'!$B:$B,$A703,'Таблиця 1'!$I:$I,"Су-27",'Таблиця 1'!$J:$J,"MK-32"))</f>
        <v/>
      </c>
      <c r="Q703">
        <f>IF($A703="","",SUMIFS('Таблиця 1'!$K:$K,'Таблиця 1'!$B:$B,$A703,'Таблиця 1'!$I:$I,"Mirage",'Таблиця 1'!$J:$J,"MK-24")+SUMIFS('Таблиця 1'!$K:$K,'Таблиця 1'!$B:$B,$A703,'Таблиця 1'!$I:$I,"F-16",'Таблиця 1'!$J:$J,"MK-24")+SUMIFS('Таблиця 1'!$K:$K,'Таблиця 1'!$B:$B,$A703,'Таблиця 1'!$I:$I,"МіГ-29",'Таблиця 1'!$J:$J,"MK-24")+SUMIFS('Таблиця 1'!$K:$K,'Таблиця 1'!$B:$B,$A703,'Таблиця 1'!$I:$I,"Су-25",'Таблиця 1'!$J:$J,"MK-24")+SUMIFS('Таблиця 1'!$K:$K,'Таблиця 1'!$B:$B,$A703,'Таблиця 1'!$I:$I,"Су-27",'Таблиця 1'!$J:$J,"MK-24"))</f>
        <v/>
      </c>
      <c r="R703">
        <f>IF($A703="","",COUNTIFS('Таблиця 1'!$B:$B,$A703,'Таблиця 1'!$I:$I,"Mirage",'Таблиця 1'!$L:$L,"Уражено")+COUNTIFS('Таблиця 1'!$B:$B,$A703,'Таблиця 1'!$I:$I,"F-16",'Таблиця 1'!$L:$L,"Уражено")+COUNTIFS('Таблиця 1'!$B:$B,$A703,'Таблиця 1'!$I:$I,"МіГ-29",'Таблиця 1'!$L:$L,"Уражено")+COUNTIFS('Таблиця 1'!$B:$B,$A703,'Таблиця 1'!$I:$I,"Су-25",'Таблиця 1'!$L:$L,"Уражено")+COUNTIFS('Таблиця 1'!$B:$B,$A703,'Таблиця 1'!$I:$I,"Су-27",'Таблиця 1'!$L:$L,"Уражено"))</f>
        <v/>
      </c>
      <c r="S703">
        <f>IF($A703="","",COUNTIFS('Таблиця 1'!$B:$B,$A703,'Таблиця 1'!$I:$I,"Mirage",'Таблиця 1'!$L:$L,"НЕ уражено")+COUNTIFS('Таблиця 1'!$B:$B,$A703,'Таблиця 1'!$I:$I,"F-16",'Таблиця 1'!$L:$L,"НЕ уражено")+COUNTIFS('Таблиця 1'!$B:$B,$A703,'Таблиця 1'!$I:$I,"МіГ-29",'Таблиця 1'!$L:$L,"НЕ уражено")+COUNTIFS('Таблиця 1'!$B:$B,$A703,'Таблиця 1'!$I:$I,"Су-25",'Таблиця 1'!$L:$L,"НЕ уражено")+COUNTIFS('Таблиця 1'!$B:$B,$A703,'Таблиця 1'!$I:$I,"Су-27",'Таблиця 1'!$L:$L,"НЕ уражено"))</f>
        <v/>
      </c>
      <c r="T703">
        <f>IF($A703="","",COUNTIFS('Таблиця 1'!$B:$B,$A703,'Таблиця 1'!$I:$I,"Mirage",'Таблиця 1'!$L:$L,"Дорозвідується")+COUNTIFS('Таблиця 1'!$B:$B,$A703,'Таблиця 1'!$I:$I,"F-16",'Таблиця 1'!$L:$L,"Дорозвідується")+COUNTIFS('Таблиця 1'!$B:$B,$A703,'Таблиця 1'!$I:$I,"МіГ-29",'Таблиця 1'!$L:$L,"Дорозвідується")+COUNTIFS('Таблиця 1'!$B:$B,$A703,'Таблиця 1'!$I:$I,"Су-25",'Таблиця 1'!$L:$L,"Дорозвідується")+COUNTIFS('Таблиця 1'!$B:$B,$A703,'Таблиця 1'!$I:$I,"Су-27",'Таблиця 1'!$L:$L,"Дорозвідується"))</f>
        <v/>
      </c>
    </row>
    <row r="704">
      <c r="A704" s="273">
        <f>IF(A703="","",IF(A703+1&gt;MAX('Таблиця 1'!$B:$B),"",A703+1))</f>
        <v/>
      </c>
      <c r="B704">
        <f>IF($A704="","",COUNTIFS('Таблиця 1'!$B:$B,$A704,'Таблиця 1'!$I:$I,"Mirage")+COUNTIFS('Таблиця 1'!$B:$B,$A704,'Таблиця 1'!$I:$I,"F-16")+COUNTIFS('Таблиця 1'!$B:$B,$A704,'Таблиця 1'!$I:$I,"МіГ-29")+COUNTIFS('Таблиця 1'!$B:$B,$A704,'Таблиця 1'!$I:$I,"Су-25")+COUNTIFS('Таблиця 1'!$B:$B,$A704,'Таблиця 1'!$I:$I,"Су-27"))</f>
        <v/>
      </c>
      <c r="C704">
        <f>IF($A704="","",COUNTIFS('Таблиця 1'!$B:$B,$A704,'Таблиця 1'!$I:$I,"Mirage"))</f>
        <v/>
      </c>
      <c r="D704">
        <f>IF($A704="","",COUNTIFS('Таблиця 1'!$B:$B,$A704,'Таблиця 1'!$I:$I,"F-16"))</f>
        <v/>
      </c>
      <c r="E704">
        <f>IF($A704="","",COUNTIFS('Таблиця 1'!$B:$B,$A704,'Таблиця 1'!$I:$I,"МіГ-29"))</f>
        <v/>
      </c>
      <c r="F704">
        <f>IF($A704="","",COUNTIFS('Таблиця 1'!$B:$B,$A704,'Таблиця 1'!$I:$I,"Су-25"))</f>
        <v/>
      </c>
      <c r="G704">
        <f>IF($A704="","",COUNTIFS('Таблиця 1'!$B:$B,$A704,'Таблиця 1'!$I:$I,"Су-27"))</f>
        <v/>
      </c>
      <c r="H704">
        <f>IF($A704="","",SUMIFS('Таблиця 1'!$K:$K,'Таблиця 1'!$B:$B,$A704,'Таблиця 1'!$I:$I,"Mirage",'Таблиця 1'!$J:$J,"AGM-88")+SUMIFS('Таблиця 1'!$K:$K,'Таблиця 1'!$B:$B,$A704,'Таблиця 1'!$I:$I,"F-16",'Таблиця 1'!$J:$J,"AGM-88")+SUMIFS('Таблиця 1'!$K:$K,'Таблиця 1'!$B:$B,$A704,'Таблиця 1'!$I:$I,"МіГ-29",'Таблиця 1'!$J:$J,"AGM-88")+SUMIFS('Таблиця 1'!$K:$K,'Таблиця 1'!$B:$B,$A704,'Таблиця 1'!$I:$I,"Су-25",'Таблиця 1'!$J:$J,"AGM-88")+SUMIFS('Таблиця 1'!$K:$K,'Таблиця 1'!$B:$B,$A704,'Таблиця 1'!$I:$I,"Су-27",'Таблиця 1'!$J:$J,"AGM-88"))</f>
        <v/>
      </c>
      <c r="I704">
        <f>IF($A704="","",SUMIFS('Таблиця 1'!$K:$K,'Таблиця 1'!$B:$B,$A704,'Таблиця 1'!$I:$I,"Mirage",'Таблиця 1'!$J:$J,"AASM-250")+SUMIFS('Таблиця 1'!$K:$K,'Таблиця 1'!$B:$B,$A704,'Таблиця 1'!$I:$I,"F-16",'Таблиця 1'!$J:$J,"AASM-250")+SUMIFS('Таблиця 1'!$K:$K,'Таблиця 1'!$B:$B,$A704,'Таблиця 1'!$I:$I,"МіГ-29",'Таблиця 1'!$J:$J,"AASM-250")+SUMIFS('Таблиця 1'!$K:$K,'Таблиця 1'!$B:$B,$A704,'Таблиця 1'!$I:$I,"Су-25",'Таблиця 1'!$J:$J,"AASM-250")+SUMIFS('Таблиця 1'!$K:$K,'Таблиця 1'!$B:$B,$A704,'Таблиця 1'!$I:$I,"Су-27",'Таблиця 1'!$J:$J,"AASM-250"))</f>
        <v/>
      </c>
      <c r="J704">
        <f>IF($A704="","",SUMIFS('Таблиця 1'!$K:$K,'Таблиця 1'!$B:$B,$A704,'Таблиця 1'!$I:$I,"Mirage",'Таблиця 1'!$J:$J,"GBU-39")+SUMIFS('Таблиця 1'!$K:$K,'Таблиця 1'!$B:$B,$A704,'Таблиця 1'!$I:$I,"F-16",'Таблиця 1'!$J:$J,"GBU-39")+SUMIFS('Таблиця 1'!$K:$K,'Таблиця 1'!$B:$B,$A704,'Таблиця 1'!$I:$I,"МіГ-29",'Таблиця 1'!$J:$J,"GBU-39")+SUMIFS('Таблиця 1'!$K:$K,'Таблиця 1'!$B:$B,$A704,'Таблиця 1'!$I:$I,"Су-25",'Таблиця 1'!$J:$J,"GBU-39")+SUMIFS('Таблиця 1'!$K:$K,'Таблиця 1'!$B:$B,$A704,'Таблиця 1'!$I:$I,"Су-27",'Таблиця 1'!$J:$J,"GBU-39"))</f>
        <v/>
      </c>
      <c r="K704">
        <f>IF($A704="","",SUMIFS('Таблиця 1'!$K:$K,'Таблиця 1'!$B:$B,$A704,'Таблиця 1'!$I:$I,"Mirage",'Таблиця 1'!$J:$J,"BLU-140")+SUMIFS('Таблиця 1'!$K:$K,'Таблиця 1'!$B:$B,$A704,'Таблиця 1'!$I:$I,"F-16",'Таблиця 1'!$J:$J,"BLU-140")+SUMIFS('Таблиця 1'!$K:$K,'Таблиця 1'!$B:$B,$A704,'Таблиця 1'!$I:$I,"МіГ-29",'Таблиця 1'!$J:$J,"BLU-140")+SUMIFS('Таблиця 1'!$K:$K,'Таблиця 1'!$B:$B,$A704,'Таблиця 1'!$I:$I,"Су-25",'Таблиця 1'!$J:$J,"BLU-140")+SUMIFS('Таблиця 1'!$K:$K,'Таблиця 1'!$B:$B,$A704,'Таблиця 1'!$I:$I,"Су-27",'Таблиця 1'!$J:$J,"BLU-140"))</f>
        <v/>
      </c>
      <c r="L704">
        <f>IF($A704="","",SUMIFS('Таблиця 1'!$K:$K,'Таблиця 1'!$B:$B,$A704,'Таблиця 1'!$I:$I,"Mirage",'Таблиця 1'!$J:$J,"GBU-65")+SUMIFS('Таблиця 1'!$K:$K,'Таблиця 1'!$B:$B,$A704,'Таблиця 1'!$I:$I,"F-16",'Таблиця 1'!$J:$J,"GBU-65")+SUMIFS('Таблиця 1'!$K:$K,'Таблиця 1'!$B:$B,$A704,'Таблиця 1'!$I:$I,"МіГ-29",'Таблиця 1'!$J:$J,"GBU-65")+SUMIFS('Таблиця 1'!$K:$K,'Таблиця 1'!$B:$B,$A704,'Таблиця 1'!$I:$I,"Су-25",'Таблиця 1'!$J:$J,"GBU-65")+SUMIFS('Таблиця 1'!$K:$K,'Таблиця 1'!$B:$B,$A704,'Таблиця 1'!$I:$I,"Су-27",'Таблиця 1'!$J:$J,"GBU-65"))</f>
        <v/>
      </c>
      <c r="M704">
        <f>IF($A704="","",SUMIFS('Таблиця 1'!$K:$K,'Таблиця 1'!$B:$B,$A704,'Таблиця 1'!$I:$I,"Mirage",'Таблиця 1'!$J:$J,"GBU-62")+SUMIFS('Таблиця 1'!$K:$K,'Таблиця 1'!$B:$B,$A704,'Таблиця 1'!$I:$I,"F-16",'Таблиця 1'!$J:$J,"GBU-62")+SUMIFS('Таблиця 1'!$K:$K,'Таблиця 1'!$B:$B,$A704,'Таблиця 1'!$I:$I,"МіГ-29",'Таблиця 1'!$J:$J,"GBU-62")+SUMIFS('Таблиця 1'!$K:$K,'Таблиця 1'!$B:$B,$A704,'Таблиця 1'!$I:$I,"Су-25",'Таблиця 1'!$J:$J,"GBU-62")+SUMIFS('Таблиця 1'!$K:$K,'Таблиця 1'!$B:$B,$A704,'Таблиця 1'!$I:$I,"Су-27",'Таблиця 1'!$J:$J,"GBU-62"))</f>
        <v/>
      </c>
      <c r="N704">
        <f>IF($A704="","",SUMIFS('Таблиця 1'!$K:$K,'Таблиця 1'!$B:$B,$A704,'Таблиця 1'!$I:$I,"Mirage",'Таблиця 1'!$J:$J,"GBU-64")+SUMIFS('Таблиця 1'!$K:$K,'Таблиця 1'!$B:$B,$A704,'Таблиця 1'!$I:$I,"F-16",'Таблиця 1'!$J:$J,"GBU-64")+SUMIFS('Таблиця 1'!$K:$K,'Таблиця 1'!$B:$B,$A704,'Таблиця 1'!$I:$I,"МіГ-29",'Таблиця 1'!$J:$J,"GBU-64")+SUMIFS('Таблиця 1'!$K:$K,'Таблиця 1'!$B:$B,$A704,'Таблиця 1'!$I:$I,"Су-25",'Таблиця 1'!$J:$J,"GBU-64")+SUMIFS('Таблиця 1'!$K:$K,'Таблиця 1'!$B:$B,$A704,'Таблиця 1'!$I:$I,"Су-27",'Таблиця 1'!$J:$J,"GBU-64"))</f>
        <v/>
      </c>
      <c r="O704">
        <f>IF($A704="","",SUMIFS('Таблиця 1'!$K:$K,'Таблиця 1'!$B:$B,$A704,'Таблиця 1'!$I:$I,"Mirage",'Таблиця 1'!$J:$J,"C-13")+SUMIFS('Таблиця 1'!$K:$K,'Таблиця 1'!$B:$B,$A704,'Таблиця 1'!$I:$I,"F-16",'Таблиця 1'!$J:$J,"C-13")+SUMIFS('Таблиця 1'!$K:$K,'Таблиця 1'!$B:$B,$A704,'Таблиця 1'!$I:$I,"МіГ-29",'Таблиця 1'!$J:$J,"C-13")+SUMIFS('Таблиця 1'!$K:$K,'Таблиця 1'!$B:$B,$A704,'Таблиця 1'!$I:$I,"Су-25",'Таблиця 1'!$J:$J,"C-13")+SUMIFS('Таблиця 1'!$K:$K,'Таблиця 1'!$B:$B,$A704,'Таблиця 1'!$I:$I,"Су-27",'Таблиця 1'!$J:$J,"C-13"))</f>
        <v/>
      </c>
      <c r="P704">
        <f>IF($A704="","",SUMIFS('Таблиця 1'!$K:$K,'Таблиця 1'!$B:$B,$A704,'Таблиця 1'!$I:$I,"Mirage",'Таблиця 1'!$J:$J,"MK-32")+SUMIFS('Таблиця 1'!$K:$K,'Таблиця 1'!$B:$B,$A704,'Таблиця 1'!$I:$I,"F-16",'Таблиця 1'!$J:$J,"MK-32")+SUMIFS('Таблиця 1'!$K:$K,'Таблиця 1'!$B:$B,$A704,'Таблиця 1'!$I:$I,"МіГ-29",'Таблиця 1'!$J:$J,"MK-32")+SUMIFS('Таблиця 1'!$K:$K,'Таблиця 1'!$B:$B,$A704,'Таблиця 1'!$I:$I,"Су-25",'Таблиця 1'!$J:$J,"MK-32")+SUMIFS('Таблиця 1'!$K:$K,'Таблиця 1'!$B:$B,$A704,'Таблиця 1'!$I:$I,"Су-27",'Таблиця 1'!$J:$J,"MK-32"))</f>
        <v/>
      </c>
      <c r="Q704">
        <f>IF($A704="","",SUMIFS('Таблиця 1'!$K:$K,'Таблиця 1'!$B:$B,$A704,'Таблиця 1'!$I:$I,"Mirage",'Таблиця 1'!$J:$J,"MK-24")+SUMIFS('Таблиця 1'!$K:$K,'Таблиця 1'!$B:$B,$A704,'Таблиця 1'!$I:$I,"F-16",'Таблиця 1'!$J:$J,"MK-24")+SUMIFS('Таблиця 1'!$K:$K,'Таблиця 1'!$B:$B,$A704,'Таблиця 1'!$I:$I,"МіГ-29",'Таблиця 1'!$J:$J,"MK-24")+SUMIFS('Таблиця 1'!$K:$K,'Таблиця 1'!$B:$B,$A704,'Таблиця 1'!$I:$I,"Су-25",'Таблиця 1'!$J:$J,"MK-24")+SUMIFS('Таблиця 1'!$K:$K,'Таблиця 1'!$B:$B,$A704,'Таблиця 1'!$I:$I,"Су-27",'Таблиця 1'!$J:$J,"MK-24"))</f>
        <v/>
      </c>
      <c r="R704">
        <f>IF($A704="","",COUNTIFS('Таблиця 1'!$B:$B,$A704,'Таблиця 1'!$I:$I,"Mirage",'Таблиця 1'!$L:$L,"Уражено")+COUNTIFS('Таблиця 1'!$B:$B,$A704,'Таблиця 1'!$I:$I,"F-16",'Таблиця 1'!$L:$L,"Уражено")+COUNTIFS('Таблиця 1'!$B:$B,$A704,'Таблиця 1'!$I:$I,"МіГ-29",'Таблиця 1'!$L:$L,"Уражено")+COUNTIFS('Таблиця 1'!$B:$B,$A704,'Таблиця 1'!$I:$I,"Су-25",'Таблиця 1'!$L:$L,"Уражено")+COUNTIFS('Таблиця 1'!$B:$B,$A704,'Таблиця 1'!$I:$I,"Су-27",'Таблиця 1'!$L:$L,"Уражено"))</f>
        <v/>
      </c>
      <c r="S704">
        <f>IF($A704="","",COUNTIFS('Таблиця 1'!$B:$B,$A704,'Таблиця 1'!$I:$I,"Mirage",'Таблиця 1'!$L:$L,"НЕ уражено")+COUNTIFS('Таблиця 1'!$B:$B,$A704,'Таблиця 1'!$I:$I,"F-16",'Таблиця 1'!$L:$L,"НЕ уражено")+COUNTIFS('Таблиця 1'!$B:$B,$A704,'Таблиця 1'!$I:$I,"МіГ-29",'Таблиця 1'!$L:$L,"НЕ уражено")+COUNTIFS('Таблиця 1'!$B:$B,$A704,'Таблиця 1'!$I:$I,"Су-25",'Таблиця 1'!$L:$L,"НЕ уражено")+COUNTIFS('Таблиця 1'!$B:$B,$A704,'Таблиця 1'!$I:$I,"Су-27",'Таблиця 1'!$L:$L,"НЕ уражено"))</f>
        <v/>
      </c>
      <c r="T704">
        <f>IF($A704="","",COUNTIFS('Таблиця 1'!$B:$B,$A704,'Таблиця 1'!$I:$I,"Mirage",'Таблиця 1'!$L:$L,"Дорозвідується")+COUNTIFS('Таблиця 1'!$B:$B,$A704,'Таблиця 1'!$I:$I,"F-16",'Таблиця 1'!$L:$L,"Дорозвідується")+COUNTIFS('Таблиця 1'!$B:$B,$A704,'Таблиця 1'!$I:$I,"МіГ-29",'Таблиця 1'!$L:$L,"Дорозвідується")+COUNTIFS('Таблиця 1'!$B:$B,$A704,'Таблиця 1'!$I:$I,"Су-25",'Таблиця 1'!$L:$L,"Дорозвідується")+COUNTIFS('Таблиця 1'!$B:$B,$A704,'Таблиця 1'!$I:$I,"Су-27",'Таблиця 1'!$L:$L,"Дорозвідується"))</f>
        <v/>
      </c>
    </row>
    <row r="705">
      <c r="A705" s="273">
        <f>IF(A704="","",IF(A704+1&gt;MAX('Таблиця 1'!$B:$B),"",A704+1))</f>
        <v/>
      </c>
      <c r="B705">
        <f>IF($A705="","",COUNTIFS('Таблиця 1'!$B:$B,$A705,'Таблиця 1'!$I:$I,"Mirage")+COUNTIFS('Таблиця 1'!$B:$B,$A705,'Таблиця 1'!$I:$I,"F-16")+COUNTIFS('Таблиця 1'!$B:$B,$A705,'Таблиця 1'!$I:$I,"МіГ-29")+COUNTIFS('Таблиця 1'!$B:$B,$A705,'Таблиця 1'!$I:$I,"Су-25")+COUNTIFS('Таблиця 1'!$B:$B,$A705,'Таблиця 1'!$I:$I,"Су-27"))</f>
        <v/>
      </c>
      <c r="C705">
        <f>IF($A705="","",COUNTIFS('Таблиця 1'!$B:$B,$A705,'Таблиця 1'!$I:$I,"Mirage"))</f>
        <v/>
      </c>
      <c r="D705">
        <f>IF($A705="","",COUNTIFS('Таблиця 1'!$B:$B,$A705,'Таблиця 1'!$I:$I,"F-16"))</f>
        <v/>
      </c>
      <c r="E705">
        <f>IF($A705="","",COUNTIFS('Таблиця 1'!$B:$B,$A705,'Таблиця 1'!$I:$I,"МіГ-29"))</f>
        <v/>
      </c>
      <c r="F705">
        <f>IF($A705="","",COUNTIFS('Таблиця 1'!$B:$B,$A705,'Таблиця 1'!$I:$I,"Су-25"))</f>
        <v/>
      </c>
      <c r="G705">
        <f>IF($A705="","",COUNTIFS('Таблиця 1'!$B:$B,$A705,'Таблиця 1'!$I:$I,"Су-27"))</f>
        <v/>
      </c>
      <c r="H705">
        <f>IF($A705="","",SUMIFS('Таблиця 1'!$K:$K,'Таблиця 1'!$B:$B,$A705,'Таблиця 1'!$I:$I,"Mirage",'Таблиця 1'!$J:$J,"AGM-88")+SUMIFS('Таблиця 1'!$K:$K,'Таблиця 1'!$B:$B,$A705,'Таблиця 1'!$I:$I,"F-16",'Таблиця 1'!$J:$J,"AGM-88")+SUMIFS('Таблиця 1'!$K:$K,'Таблиця 1'!$B:$B,$A705,'Таблиця 1'!$I:$I,"МіГ-29",'Таблиця 1'!$J:$J,"AGM-88")+SUMIFS('Таблиця 1'!$K:$K,'Таблиця 1'!$B:$B,$A705,'Таблиця 1'!$I:$I,"Су-25",'Таблиця 1'!$J:$J,"AGM-88")+SUMIFS('Таблиця 1'!$K:$K,'Таблиця 1'!$B:$B,$A705,'Таблиця 1'!$I:$I,"Су-27",'Таблиця 1'!$J:$J,"AGM-88"))</f>
        <v/>
      </c>
      <c r="I705">
        <f>IF($A705="","",SUMIFS('Таблиця 1'!$K:$K,'Таблиця 1'!$B:$B,$A705,'Таблиця 1'!$I:$I,"Mirage",'Таблиця 1'!$J:$J,"AASM-250")+SUMIFS('Таблиця 1'!$K:$K,'Таблиця 1'!$B:$B,$A705,'Таблиця 1'!$I:$I,"F-16",'Таблиця 1'!$J:$J,"AASM-250")+SUMIFS('Таблиця 1'!$K:$K,'Таблиця 1'!$B:$B,$A705,'Таблиця 1'!$I:$I,"МіГ-29",'Таблиця 1'!$J:$J,"AASM-250")+SUMIFS('Таблиця 1'!$K:$K,'Таблиця 1'!$B:$B,$A705,'Таблиця 1'!$I:$I,"Су-25",'Таблиця 1'!$J:$J,"AASM-250")+SUMIFS('Таблиця 1'!$K:$K,'Таблиця 1'!$B:$B,$A705,'Таблиця 1'!$I:$I,"Су-27",'Таблиця 1'!$J:$J,"AASM-250"))</f>
        <v/>
      </c>
      <c r="J705">
        <f>IF($A705="","",SUMIFS('Таблиця 1'!$K:$K,'Таблиця 1'!$B:$B,$A705,'Таблиця 1'!$I:$I,"Mirage",'Таблиця 1'!$J:$J,"GBU-39")+SUMIFS('Таблиця 1'!$K:$K,'Таблиця 1'!$B:$B,$A705,'Таблиця 1'!$I:$I,"F-16",'Таблиця 1'!$J:$J,"GBU-39")+SUMIFS('Таблиця 1'!$K:$K,'Таблиця 1'!$B:$B,$A705,'Таблиця 1'!$I:$I,"МіГ-29",'Таблиця 1'!$J:$J,"GBU-39")+SUMIFS('Таблиця 1'!$K:$K,'Таблиця 1'!$B:$B,$A705,'Таблиця 1'!$I:$I,"Су-25",'Таблиця 1'!$J:$J,"GBU-39")+SUMIFS('Таблиця 1'!$K:$K,'Таблиця 1'!$B:$B,$A705,'Таблиця 1'!$I:$I,"Су-27",'Таблиця 1'!$J:$J,"GBU-39"))</f>
        <v/>
      </c>
      <c r="K705">
        <f>IF($A705="","",SUMIFS('Таблиця 1'!$K:$K,'Таблиця 1'!$B:$B,$A705,'Таблиця 1'!$I:$I,"Mirage",'Таблиця 1'!$J:$J,"BLU-140")+SUMIFS('Таблиця 1'!$K:$K,'Таблиця 1'!$B:$B,$A705,'Таблиця 1'!$I:$I,"F-16",'Таблиця 1'!$J:$J,"BLU-140")+SUMIFS('Таблиця 1'!$K:$K,'Таблиця 1'!$B:$B,$A705,'Таблиця 1'!$I:$I,"МіГ-29",'Таблиця 1'!$J:$J,"BLU-140")+SUMIFS('Таблиця 1'!$K:$K,'Таблиця 1'!$B:$B,$A705,'Таблиця 1'!$I:$I,"Су-25",'Таблиця 1'!$J:$J,"BLU-140")+SUMIFS('Таблиця 1'!$K:$K,'Таблиця 1'!$B:$B,$A705,'Таблиця 1'!$I:$I,"Су-27",'Таблиця 1'!$J:$J,"BLU-140"))</f>
        <v/>
      </c>
      <c r="L705">
        <f>IF($A705="","",SUMIFS('Таблиця 1'!$K:$K,'Таблиця 1'!$B:$B,$A705,'Таблиця 1'!$I:$I,"Mirage",'Таблиця 1'!$J:$J,"GBU-65")+SUMIFS('Таблиця 1'!$K:$K,'Таблиця 1'!$B:$B,$A705,'Таблиця 1'!$I:$I,"F-16",'Таблиця 1'!$J:$J,"GBU-65")+SUMIFS('Таблиця 1'!$K:$K,'Таблиця 1'!$B:$B,$A705,'Таблиця 1'!$I:$I,"МіГ-29",'Таблиця 1'!$J:$J,"GBU-65")+SUMIFS('Таблиця 1'!$K:$K,'Таблиця 1'!$B:$B,$A705,'Таблиця 1'!$I:$I,"Су-25",'Таблиця 1'!$J:$J,"GBU-65")+SUMIFS('Таблиця 1'!$K:$K,'Таблиця 1'!$B:$B,$A705,'Таблиця 1'!$I:$I,"Су-27",'Таблиця 1'!$J:$J,"GBU-65"))</f>
        <v/>
      </c>
      <c r="M705">
        <f>IF($A705="","",SUMIFS('Таблиця 1'!$K:$K,'Таблиця 1'!$B:$B,$A705,'Таблиця 1'!$I:$I,"Mirage",'Таблиця 1'!$J:$J,"GBU-62")+SUMIFS('Таблиця 1'!$K:$K,'Таблиця 1'!$B:$B,$A705,'Таблиця 1'!$I:$I,"F-16",'Таблиця 1'!$J:$J,"GBU-62")+SUMIFS('Таблиця 1'!$K:$K,'Таблиця 1'!$B:$B,$A705,'Таблиця 1'!$I:$I,"МіГ-29",'Таблиця 1'!$J:$J,"GBU-62")+SUMIFS('Таблиця 1'!$K:$K,'Таблиця 1'!$B:$B,$A705,'Таблиця 1'!$I:$I,"Су-25",'Таблиця 1'!$J:$J,"GBU-62")+SUMIFS('Таблиця 1'!$K:$K,'Таблиця 1'!$B:$B,$A705,'Таблиця 1'!$I:$I,"Су-27",'Таблиця 1'!$J:$J,"GBU-62"))</f>
        <v/>
      </c>
      <c r="N705">
        <f>IF($A705="","",SUMIFS('Таблиця 1'!$K:$K,'Таблиця 1'!$B:$B,$A705,'Таблиця 1'!$I:$I,"Mirage",'Таблиця 1'!$J:$J,"GBU-64")+SUMIFS('Таблиця 1'!$K:$K,'Таблиця 1'!$B:$B,$A705,'Таблиця 1'!$I:$I,"F-16",'Таблиця 1'!$J:$J,"GBU-64")+SUMIFS('Таблиця 1'!$K:$K,'Таблиця 1'!$B:$B,$A705,'Таблиця 1'!$I:$I,"МіГ-29",'Таблиця 1'!$J:$J,"GBU-64")+SUMIFS('Таблиця 1'!$K:$K,'Таблиця 1'!$B:$B,$A705,'Таблиця 1'!$I:$I,"Су-25",'Таблиця 1'!$J:$J,"GBU-64")+SUMIFS('Таблиця 1'!$K:$K,'Таблиця 1'!$B:$B,$A705,'Таблиця 1'!$I:$I,"Су-27",'Таблиця 1'!$J:$J,"GBU-64"))</f>
        <v/>
      </c>
      <c r="O705">
        <f>IF($A705="","",SUMIFS('Таблиця 1'!$K:$K,'Таблиця 1'!$B:$B,$A705,'Таблиця 1'!$I:$I,"Mirage",'Таблиця 1'!$J:$J,"C-13")+SUMIFS('Таблиця 1'!$K:$K,'Таблиця 1'!$B:$B,$A705,'Таблиця 1'!$I:$I,"F-16",'Таблиця 1'!$J:$J,"C-13")+SUMIFS('Таблиця 1'!$K:$K,'Таблиця 1'!$B:$B,$A705,'Таблиця 1'!$I:$I,"МіГ-29",'Таблиця 1'!$J:$J,"C-13")+SUMIFS('Таблиця 1'!$K:$K,'Таблиця 1'!$B:$B,$A705,'Таблиця 1'!$I:$I,"Су-25",'Таблиця 1'!$J:$J,"C-13")+SUMIFS('Таблиця 1'!$K:$K,'Таблиця 1'!$B:$B,$A705,'Таблиця 1'!$I:$I,"Су-27",'Таблиця 1'!$J:$J,"C-13"))</f>
        <v/>
      </c>
      <c r="P705">
        <f>IF($A705="","",SUMIFS('Таблиця 1'!$K:$K,'Таблиця 1'!$B:$B,$A705,'Таблиця 1'!$I:$I,"Mirage",'Таблиця 1'!$J:$J,"MK-32")+SUMIFS('Таблиця 1'!$K:$K,'Таблиця 1'!$B:$B,$A705,'Таблиця 1'!$I:$I,"F-16",'Таблиця 1'!$J:$J,"MK-32")+SUMIFS('Таблиця 1'!$K:$K,'Таблиця 1'!$B:$B,$A705,'Таблиця 1'!$I:$I,"МіГ-29",'Таблиця 1'!$J:$J,"MK-32")+SUMIFS('Таблиця 1'!$K:$K,'Таблиця 1'!$B:$B,$A705,'Таблиця 1'!$I:$I,"Су-25",'Таблиця 1'!$J:$J,"MK-32")+SUMIFS('Таблиця 1'!$K:$K,'Таблиця 1'!$B:$B,$A705,'Таблиця 1'!$I:$I,"Су-27",'Таблиця 1'!$J:$J,"MK-32"))</f>
        <v/>
      </c>
      <c r="Q705">
        <f>IF($A705="","",SUMIFS('Таблиця 1'!$K:$K,'Таблиця 1'!$B:$B,$A705,'Таблиця 1'!$I:$I,"Mirage",'Таблиця 1'!$J:$J,"MK-24")+SUMIFS('Таблиця 1'!$K:$K,'Таблиця 1'!$B:$B,$A705,'Таблиця 1'!$I:$I,"F-16",'Таблиця 1'!$J:$J,"MK-24")+SUMIFS('Таблиця 1'!$K:$K,'Таблиця 1'!$B:$B,$A705,'Таблиця 1'!$I:$I,"МіГ-29",'Таблиця 1'!$J:$J,"MK-24")+SUMIFS('Таблиця 1'!$K:$K,'Таблиця 1'!$B:$B,$A705,'Таблиця 1'!$I:$I,"Су-25",'Таблиця 1'!$J:$J,"MK-24")+SUMIFS('Таблиця 1'!$K:$K,'Таблиця 1'!$B:$B,$A705,'Таблиця 1'!$I:$I,"Су-27",'Таблиця 1'!$J:$J,"MK-24"))</f>
        <v/>
      </c>
      <c r="R705">
        <f>IF($A705="","",COUNTIFS('Таблиця 1'!$B:$B,$A705,'Таблиця 1'!$I:$I,"Mirage",'Таблиця 1'!$L:$L,"Уражено")+COUNTIFS('Таблиця 1'!$B:$B,$A705,'Таблиця 1'!$I:$I,"F-16",'Таблиця 1'!$L:$L,"Уражено")+COUNTIFS('Таблиця 1'!$B:$B,$A705,'Таблиця 1'!$I:$I,"МіГ-29",'Таблиця 1'!$L:$L,"Уражено")+COUNTIFS('Таблиця 1'!$B:$B,$A705,'Таблиця 1'!$I:$I,"Су-25",'Таблиця 1'!$L:$L,"Уражено")+COUNTIFS('Таблиця 1'!$B:$B,$A705,'Таблиця 1'!$I:$I,"Су-27",'Таблиця 1'!$L:$L,"Уражено"))</f>
        <v/>
      </c>
      <c r="S705">
        <f>IF($A705="","",COUNTIFS('Таблиця 1'!$B:$B,$A705,'Таблиця 1'!$I:$I,"Mirage",'Таблиця 1'!$L:$L,"НЕ уражено")+COUNTIFS('Таблиця 1'!$B:$B,$A705,'Таблиця 1'!$I:$I,"F-16",'Таблиця 1'!$L:$L,"НЕ уражено")+COUNTIFS('Таблиця 1'!$B:$B,$A705,'Таблиця 1'!$I:$I,"МіГ-29",'Таблиця 1'!$L:$L,"НЕ уражено")+COUNTIFS('Таблиця 1'!$B:$B,$A705,'Таблиця 1'!$I:$I,"Су-25",'Таблиця 1'!$L:$L,"НЕ уражено")+COUNTIFS('Таблиця 1'!$B:$B,$A705,'Таблиця 1'!$I:$I,"Су-27",'Таблиця 1'!$L:$L,"НЕ уражено"))</f>
        <v/>
      </c>
      <c r="T705">
        <f>IF($A705="","",COUNTIFS('Таблиця 1'!$B:$B,$A705,'Таблиця 1'!$I:$I,"Mirage",'Таблиця 1'!$L:$L,"Дорозвідується")+COUNTIFS('Таблиця 1'!$B:$B,$A705,'Таблиця 1'!$I:$I,"F-16",'Таблиця 1'!$L:$L,"Дорозвідується")+COUNTIFS('Таблиця 1'!$B:$B,$A705,'Таблиця 1'!$I:$I,"МіГ-29",'Таблиця 1'!$L:$L,"Дорозвідується")+COUNTIFS('Таблиця 1'!$B:$B,$A705,'Таблиця 1'!$I:$I,"Су-25",'Таблиця 1'!$L:$L,"Дорозвідується")+COUNTIFS('Таблиця 1'!$B:$B,$A705,'Таблиця 1'!$I:$I,"Су-27",'Таблиця 1'!$L:$L,"Дорозвідується"))</f>
        <v/>
      </c>
    </row>
    <row r="706">
      <c r="A706" s="273">
        <f>IF(A705="","",IF(A705+1&gt;MAX('Таблиця 1'!$B:$B),"",A705+1))</f>
        <v/>
      </c>
      <c r="B706">
        <f>IF($A706="","",COUNTIFS('Таблиця 1'!$B:$B,$A706,'Таблиця 1'!$I:$I,"Mirage")+COUNTIFS('Таблиця 1'!$B:$B,$A706,'Таблиця 1'!$I:$I,"F-16")+COUNTIFS('Таблиця 1'!$B:$B,$A706,'Таблиця 1'!$I:$I,"МіГ-29")+COUNTIFS('Таблиця 1'!$B:$B,$A706,'Таблиця 1'!$I:$I,"Су-25")+COUNTIFS('Таблиця 1'!$B:$B,$A706,'Таблиця 1'!$I:$I,"Су-27"))</f>
        <v/>
      </c>
      <c r="C706">
        <f>IF($A706="","",COUNTIFS('Таблиця 1'!$B:$B,$A706,'Таблиця 1'!$I:$I,"Mirage"))</f>
        <v/>
      </c>
      <c r="D706">
        <f>IF($A706="","",COUNTIFS('Таблиця 1'!$B:$B,$A706,'Таблиця 1'!$I:$I,"F-16"))</f>
        <v/>
      </c>
      <c r="E706">
        <f>IF($A706="","",COUNTIFS('Таблиця 1'!$B:$B,$A706,'Таблиця 1'!$I:$I,"МіГ-29"))</f>
        <v/>
      </c>
      <c r="F706">
        <f>IF($A706="","",COUNTIFS('Таблиця 1'!$B:$B,$A706,'Таблиця 1'!$I:$I,"Су-25"))</f>
        <v/>
      </c>
      <c r="G706">
        <f>IF($A706="","",COUNTIFS('Таблиця 1'!$B:$B,$A706,'Таблиця 1'!$I:$I,"Су-27"))</f>
        <v/>
      </c>
      <c r="H706">
        <f>IF($A706="","",SUMIFS('Таблиця 1'!$K:$K,'Таблиця 1'!$B:$B,$A706,'Таблиця 1'!$I:$I,"Mirage",'Таблиця 1'!$J:$J,"AGM-88")+SUMIFS('Таблиця 1'!$K:$K,'Таблиця 1'!$B:$B,$A706,'Таблиця 1'!$I:$I,"F-16",'Таблиця 1'!$J:$J,"AGM-88")+SUMIFS('Таблиця 1'!$K:$K,'Таблиця 1'!$B:$B,$A706,'Таблиця 1'!$I:$I,"МіГ-29",'Таблиця 1'!$J:$J,"AGM-88")+SUMIFS('Таблиця 1'!$K:$K,'Таблиця 1'!$B:$B,$A706,'Таблиця 1'!$I:$I,"Су-25",'Таблиця 1'!$J:$J,"AGM-88")+SUMIFS('Таблиця 1'!$K:$K,'Таблиця 1'!$B:$B,$A706,'Таблиця 1'!$I:$I,"Су-27",'Таблиця 1'!$J:$J,"AGM-88"))</f>
        <v/>
      </c>
      <c r="I706">
        <f>IF($A706="","",SUMIFS('Таблиця 1'!$K:$K,'Таблиця 1'!$B:$B,$A706,'Таблиця 1'!$I:$I,"Mirage",'Таблиця 1'!$J:$J,"AASM-250")+SUMIFS('Таблиця 1'!$K:$K,'Таблиця 1'!$B:$B,$A706,'Таблиця 1'!$I:$I,"F-16",'Таблиця 1'!$J:$J,"AASM-250")+SUMIFS('Таблиця 1'!$K:$K,'Таблиця 1'!$B:$B,$A706,'Таблиця 1'!$I:$I,"МіГ-29",'Таблиця 1'!$J:$J,"AASM-250")+SUMIFS('Таблиця 1'!$K:$K,'Таблиця 1'!$B:$B,$A706,'Таблиця 1'!$I:$I,"Су-25",'Таблиця 1'!$J:$J,"AASM-250")+SUMIFS('Таблиця 1'!$K:$K,'Таблиця 1'!$B:$B,$A706,'Таблиця 1'!$I:$I,"Су-27",'Таблиця 1'!$J:$J,"AASM-250"))</f>
        <v/>
      </c>
      <c r="J706">
        <f>IF($A706="","",SUMIFS('Таблиця 1'!$K:$K,'Таблиця 1'!$B:$B,$A706,'Таблиця 1'!$I:$I,"Mirage",'Таблиця 1'!$J:$J,"GBU-39")+SUMIFS('Таблиця 1'!$K:$K,'Таблиця 1'!$B:$B,$A706,'Таблиця 1'!$I:$I,"F-16",'Таблиця 1'!$J:$J,"GBU-39")+SUMIFS('Таблиця 1'!$K:$K,'Таблиця 1'!$B:$B,$A706,'Таблиця 1'!$I:$I,"МіГ-29",'Таблиця 1'!$J:$J,"GBU-39")+SUMIFS('Таблиця 1'!$K:$K,'Таблиця 1'!$B:$B,$A706,'Таблиця 1'!$I:$I,"Су-25",'Таблиця 1'!$J:$J,"GBU-39")+SUMIFS('Таблиця 1'!$K:$K,'Таблиця 1'!$B:$B,$A706,'Таблиця 1'!$I:$I,"Су-27",'Таблиця 1'!$J:$J,"GBU-39"))</f>
        <v/>
      </c>
      <c r="K706">
        <f>IF($A706="","",SUMIFS('Таблиця 1'!$K:$K,'Таблиця 1'!$B:$B,$A706,'Таблиця 1'!$I:$I,"Mirage",'Таблиця 1'!$J:$J,"BLU-140")+SUMIFS('Таблиця 1'!$K:$K,'Таблиця 1'!$B:$B,$A706,'Таблиця 1'!$I:$I,"F-16",'Таблиця 1'!$J:$J,"BLU-140")+SUMIFS('Таблиця 1'!$K:$K,'Таблиця 1'!$B:$B,$A706,'Таблиця 1'!$I:$I,"МіГ-29",'Таблиця 1'!$J:$J,"BLU-140")+SUMIFS('Таблиця 1'!$K:$K,'Таблиця 1'!$B:$B,$A706,'Таблиця 1'!$I:$I,"Су-25",'Таблиця 1'!$J:$J,"BLU-140")+SUMIFS('Таблиця 1'!$K:$K,'Таблиця 1'!$B:$B,$A706,'Таблиця 1'!$I:$I,"Су-27",'Таблиця 1'!$J:$J,"BLU-140"))</f>
        <v/>
      </c>
      <c r="L706">
        <f>IF($A706="","",SUMIFS('Таблиця 1'!$K:$K,'Таблиця 1'!$B:$B,$A706,'Таблиця 1'!$I:$I,"Mirage",'Таблиця 1'!$J:$J,"GBU-65")+SUMIFS('Таблиця 1'!$K:$K,'Таблиця 1'!$B:$B,$A706,'Таблиця 1'!$I:$I,"F-16",'Таблиця 1'!$J:$J,"GBU-65")+SUMIFS('Таблиця 1'!$K:$K,'Таблиця 1'!$B:$B,$A706,'Таблиця 1'!$I:$I,"МіГ-29",'Таблиця 1'!$J:$J,"GBU-65")+SUMIFS('Таблиця 1'!$K:$K,'Таблиця 1'!$B:$B,$A706,'Таблиця 1'!$I:$I,"Су-25",'Таблиця 1'!$J:$J,"GBU-65")+SUMIFS('Таблиця 1'!$K:$K,'Таблиця 1'!$B:$B,$A706,'Таблиця 1'!$I:$I,"Су-27",'Таблиця 1'!$J:$J,"GBU-65"))</f>
        <v/>
      </c>
      <c r="M706">
        <f>IF($A706="","",SUMIFS('Таблиця 1'!$K:$K,'Таблиця 1'!$B:$B,$A706,'Таблиця 1'!$I:$I,"Mirage",'Таблиця 1'!$J:$J,"GBU-62")+SUMIFS('Таблиця 1'!$K:$K,'Таблиця 1'!$B:$B,$A706,'Таблиця 1'!$I:$I,"F-16",'Таблиця 1'!$J:$J,"GBU-62")+SUMIFS('Таблиця 1'!$K:$K,'Таблиця 1'!$B:$B,$A706,'Таблиця 1'!$I:$I,"МіГ-29",'Таблиця 1'!$J:$J,"GBU-62")+SUMIFS('Таблиця 1'!$K:$K,'Таблиця 1'!$B:$B,$A706,'Таблиця 1'!$I:$I,"Су-25",'Таблиця 1'!$J:$J,"GBU-62")+SUMIFS('Таблиця 1'!$K:$K,'Таблиця 1'!$B:$B,$A706,'Таблиця 1'!$I:$I,"Су-27",'Таблиця 1'!$J:$J,"GBU-62"))</f>
        <v/>
      </c>
      <c r="N706">
        <f>IF($A706="","",SUMIFS('Таблиця 1'!$K:$K,'Таблиця 1'!$B:$B,$A706,'Таблиця 1'!$I:$I,"Mirage",'Таблиця 1'!$J:$J,"GBU-64")+SUMIFS('Таблиця 1'!$K:$K,'Таблиця 1'!$B:$B,$A706,'Таблиця 1'!$I:$I,"F-16",'Таблиця 1'!$J:$J,"GBU-64")+SUMIFS('Таблиця 1'!$K:$K,'Таблиця 1'!$B:$B,$A706,'Таблиця 1'!$I:$I,"МіГ-29",'Таблиця 1'!$J:$J,"GBU-64")+SUMIFS('Таблиця 1'!$K:$K,'Таблиця 1'!$B:$B,$A706,'Таблиця 1'!$I:$I,"Су-25",'Таблиця 1'!$J:$J,"GBU-64")+SUMIFS('Таблиця 1'!$K:$K,'Таблиця 1'!$B:$B,$A706,'Таблиця 1'!$I:$I,"Су-27",'Таблиця 1'!$J:$J,"GBU-64"))</f>
        <v/>
      </c>
      <c r="O706">
        <f>IF($A706="","",SUMIFS('Таблиця 1'!$K:$K,'Таблиця 1'!$B:$B,$A706,'Таблиця 1'!$I:$I,"Mirage",'Таблиця 1'!$J:$J,"C-13")+SUMIFS('Таблиця 1'!$K:$K,'Таблиця 1'!$B:$B,$A706,'Таблиця 1'!$I:$I,"F-16",'Таблиця 1'!$J:$J,"C-13")+SUMIFS('Таблиця 1'!$K:$K,'Таблиця 1'!$B:$B,$A706,'Таблиця 1'!$I:$I,"МіГ-29",'Таблиця 1'!$J:$J,"C-13")+SUMIFS('Таблиця 1'!$K:$K,'Таблиця 1'!$B:$B,$A706,'Таблиця 1'!$I:$I,"Су-25",'Таблиця 1'!$J:$J,"C-13")+SUMIFS('Таблиця 1'!$K:$K,'Таблиця 1'!$B:$B,$A706,'Таблиця 1'!$I:$I,"Су-27",'Таблиця 1'!$J:$J,"C-13"))</f>
        <v/>
      </c>
      <c r="P706">
        <f>IF($A706="","",SUMIFS('Таблиця 1'!$K:$K,'Таблиця 1'!$B:$B,$A706,'Таблиця 1'!$I:$I,"Mirage",'Таблиця 1'!$J:$J,"MK-32")+SUMIFS('Таблиця 1'!$K:$K,'Таблиця 1'!$B:$B,$A706,'Таблиця 1'!$I:$I,"F-16",'Таблиця 1'!$J:$J,"MK-32")+SUMIFS('Таблиця 1'!$K:$K,'Таблиця 1'!$B:$B,$A706,'Таблиця 1'!$I:$I,"МіГ-29",'Таблиця 1'!$J:$J,"MK-32")+SUMIFS('Таблиця 1'!$K:$K,'Таблиця 1'!$B:$B,$A706,'Таблиця 1'!$I:$I,"Су-25",'Таблиця 1'!$J:$J,"MK-32")+SUMIFS('Таблиця 1'!$K:$K,'Таблиця 1'!$B:$B,$A706,'Таблиця 1'!$I:$I,"Су-27",'Таблиця 1'!$J:$J,"MK-32"))</f>
        <v/>
      </c>
      <c r="Q706">
        <f>IF($A706="","",SUMIFS('Таблиця 1'!$K:$K,'Таблиця 1'!$B:$B,$A706,'Таблиця 1'!$I:$I,"Mirage",'Таблиця 1'!$J:$J,"MK-24")+SUMIFS('Таблиця 1'!$K:$K,'Таблиця 1'!$B:$B,$A706,'Таблиця 1'!$I:$I,"F-16",'Таблиця 1'!$J:$J,"MK-24")+SUMIFS('Таблиця 1'!$K:$K,'Таблиця 1'!$B:$B,$A706,'Таблиця 1'!$I:$I,"МіГ-29",'Таблиця 1'!$J:$J,"MK-24")+SUMIFS('Таблиця 1'!$K:$K,'Таблиця 1'!$B:$B,$A706,'Таблиця 1'!$I:$I,"Су-25",'Таблиця 1'!$J:$J,"MK-24")+SUMIFS('Таблиця 1'!$K:$K,'Таблиця 1'!$B:$B,$A706,'Таблиця 1'!$I:$I,"Су-27",'Таблиця 1'!$J:$J,"MK-24"))</f>
        <v/>
      </c>
      <c r="R706">
        <f>IF($A706="","",COUNTIFS('Таблиця 1'!$B:$B,$A706,'Таблиця 1'!$I:$I,"Mirage",'Таблиця 1'!$L:$L,"Уражено")+COUNTIFS('Таблиця 1'!$B:$B,$A706,'Таблиця 1'!$I:$I,"F-16",'Таблиця 1'!$L:$L,"Уражено")+COUNTIFS('Таблиця 1'!$B:$B,$A706,'Таблиця 1'!$I:$I,"МіГ-29",'Таблиця 1'!$L:$L,"Уражено")+COUNTIFS('Таблиця 1'!$B:$B,$A706,'Таблиця 1'!$I:$I,"Су-25",'Таблиця 1'!$L:$L,"Уражено")+COUNTIFS('Таблиця 1'!$B:$B,$A706,'Таблиця 1'!$I:$I,"Су-27",'Таблиця 1'!$L:$L,"Уражено"))</f>
        <v/>
      </c>
      <c r="S706">
        <f>IF($A706="","",COUNTIFS('Таблиця 1'!$B:$B,$A706,'Таблиця 1'!$I:$I,"Mirage",'Таблиця 1'!$L:$L,"НЕ уражено")+COUNTIFS('Таблиця 1'!$B:$B,$A706,'Таблиця 1'!$I:$I,"F-16",'Таблиця 1'!$L:$L,"НЕ уражено")+COUNTIFS('Таблиця 1'!$B:$B,$A706,'Таблиця 1'!$I:$I,"МіГ-29",'Таблиця 1'!$L:$L,"НЕ уражено")+COUNTIFS('Таблиця 1'!$B:$B,$A706,'Таблиця 1'!$I:$I,"Су-25",'Таблиця 1'!$L:$L,"НЕ уражено")+COUNTIFS('Таблиця 1'!$B:$B,$A706,'Таблиця 1'!$I:$I,"Су-27",'Таблиця 1'!$L:$L,"НЕ уражено"))</f>
        <v/>
      </c>
      <c r="T706">
        <f>IF($A706="","",COUNTIFS('Таблиця 1'!$B:$B,$A706,'Таблиця 1'!$I:$I,"Mirage",'Таблиця 1'!$L:$L,"Дорозвідується")+COUNTIFS('Таблиця 1'!$B:$B,$A706,'Таблиця 1'!$I:$I,"F-16",'Таблиця 1'!$L:$L,"Дорозвідується")+COUNTIFS('Таблиця 1'!$B:$B,$A706,'Таблиця 1'!$I:$I,"МіГ-29",'Таблиця 1'!$L:$L,"Дорозвідується")+COUNTIFS('Таблиця 1'!$B:$B,$A706,'Таблиця 1'!$I:$I,"Су-25",'Таблиця 1'!$L:$L,"Дорозвідується")+COUNTIFS('Таблиця 1'!$B:$B,$A706,'Таблиця 1'!$I:$I,"Су-27",'Таблиця 1'!$L:$L,"Дорозвідується"))</f>
        <v/>
      </c>
    </row>
    <row r="707">
      <c r="A707" s="273">
        <f>IF(A706="","",IF(A706+1&gt;MAX('Таблиця 1'!$B:$B),"",A706+1))</f>
        <v/>
      </c>
      <c r="B707">
        <f>IF($A707="","",COUNTIFS('Таблиця 1'!$B:$B,$A707,'Таблиця 1'!$I:$I,"Mirage")+COUNTIFS('Таблиця 1'!$B:$B,$A707,'Таблиця 1'!$I:$I,"F-16")+COUNTIFS('Таблиця 1'!$B:$B,$A707,'Таблиця 1'!$I:$I,"МіГ-29")+COUNTIFS('Таблиця 1'!$B:$B,$A707,'Таблиця 1'!$I:$I,"Су-25")+COUNTIFS('Таблиця 1'!$B:$B,$A707,'Таблиця 1'!$I:$I,"Су-27"))</f>
        <v/>
      </c>
      <c r="C707">
        <f>IF($A707="","",COUNTIFS('Таблиця 1'!$B:$B,$A707,'Таблиця 1'!$I:$I,"Mirage"))</f>
        <v/>
      </c>
      <c r="D707">
        <f>IF($A707="","",COUNTIFS('Таблиця 1'!$B:$B,$A707,'Таблиця 1'!$I:$I,"F-16"))</f>
        <v/>
      </c>
      <c r="E707">
        <f>IF($A707="","",COUNTIFS('Таблиця 1'!$B:$B,$A707,'Таблиця 1'!$I:$I,"МіГ-29"))</f>
        <v/>
      </c>
      <c r="F707">
        <f>IF($A707="","",COUNTIFS('Таблиця 1'!$B:$B,$A707,'Таблиця 1'!$I:$I,"Су-25"))</f>
        <v/>
      </c>
      <c r="G707">
        <f>IF($A707="","",COUNTIFS('Таблиця 1'!$B:$B,$A707,'Таблиця 1'!$I:$I,"Су-27"))</f>
        <v/>
      </c>
      <c r="H707">
        <f>IF($A707="","",SUMIFS('Таблиця 1'!$K:$K,'Таблиця 1'!$B:$B,$A707,'Таблиця 1'!$I:$I,"Mirage",'Таблиця 1'!$J:$J,"AGM-88")+SUMIFS('Таблиця 1'!$K:$K,'Таблиця 1'!$B:$B,$A707,'Таблиця 1'!$I:$I,"F-16",'Таблиця 1'!$J:$J,"AGM-88")+SUMIFS('Таблиця 1'!$K:$K,'Таблиця 1'!$B:$B,$A707,'Таблиця 1'!$I:$I,"МіГ-29",'Таблиця 1'!$J:$J,"AGM-88")+SUMIFS('Таблиця 1'!$K:$K,'Таблиця 1'!$B:$B,$A707,'Таблиця 1'!$I:$I,"Су-25",'Таблиця 1'!$J:$J,"AGM-88")+SUMIFS('Таблиця 1'!$K:$K,'Таблиця 1'!$B:$B,$A707,'Таблиця 1'!$I:$I,"Су-27",'Таблиця 1'!$J:$J,"AGM-88"))</f>
        <v/>
      </c>
      <c r="I707">
        <f>IF($A707="","",SUMIFS('Таблиця 1'!$K:$K,'Таблиця 1'!$B:$B,$A707,'Таблиця 1'!$I:$I,"Mirage",'Таблиця 1'!$J:$J,"AASM-250")+SUMIFS('Таблиця 1'!$K:$K,'Таблиця 1'!$B:$B,$A707,'Таблиця 1'!$I:$I,"F-16",'Таблиця 1'!$J:$J,"AASM-250")+SUMIFS('Таблиця 1'!$K:$K,'Таблиця 1'!$B:$B,$A707,'Таблиця 1'!$I:$I,"МіГ-29",'Таблиця 1'!$J:$J,"AASM-250")+SUMIFS('Таблиця 1'!$K:$K,'Таблиця 1'!$B:$B,$A707,'Таблиця 1'!$I:$I,"Су-25",'Таблиця 1'!$J:$J,"AASM-250")+SUMIFS('Таблиця 1'!$K:$K,'Таблиця 1'!$B:$B,$A707,'Таблиця 1'!$I:$I,"Су-27",'Таблиця 1'!$J:$J,"AASM-250"))</f>
        <v/>
      </c>
      <c r="J707">
        <f>IF($A707="","",SUMIFS('Таблиця 1'!$K:$K,'Таблиця 1'!$B:$B,$A707,'Таблиця 1'!$I:$I,"Mirage",'Таблиця 1'!$J:$J,"GBU-39")+SUMIFS('Таблиця 1'!$K:$K,'Таблиця 1'!$B:$B,$A707,'Таблиця 1'!$I:$I,"F-16",'Таблиця 1'!$J:$J,"GBU-39")+SUMIFS('Таблиця 1'!$K:$K,'Таблиця 1'!$B:$B,$A707,'Таблиця 1'!$I:$I,"МіГ-29",'Таблиця 1'!$J:$J,"GBU-39")+SUMIFS('Таблиця 1'!$K:$K,'Таблиця 1'!$B:$B,$A707,'Таблиця 1'!$I:$I,"Су-25",'Таблиця 1'!$J:$J,"GBU-39")+SUMIFS('Таблиця 1'!$K:$K,'Таблиця 1'!$B:$B,$A707,'Таблиця 1'!$I:$I,"Су-27",'Таблиця 1'!$J:$J,"GBU-39"))</f>
        <v/>
      </c>
      <c r="K707">
        <f>IF($A707="","",SUMIFS('Таблиця 1'!$K:$K,'Таблиця 1'!$B:$B,$A707,'Таблиця 1'!$I:$I,"Mirage",'Таблиця 1'!$J:$J,"BLU-140")+SUMIFS('Таблиця 1'!$K:$K,'Таблиця 1'!$B:$B,$A707,'Таблиця 1'!$I:$I,"F-16",'Таблиця 1'!$J:$J,"BLU-140")+SUMIFS('Таблиця 1'!$K:$K,'Таблиця 1'!$B:$B,$A707,'Таблиця 1'!$I:$I,"МіГ-29",'Таблиця 1'!$J:$J,"BLU-140")+SUMIFS('Таблиця 1'!$K:$K,'Таблиця 1'!$B:$B,$A707,'Таблиця 1'!$I:$I,"Су-25",'Таблиця 1'!$J:$J,"BLU-140")+SUMIFS('Таблиця 1'!$K:$K,'Таблиця 1'!$B:$B,$A707,'Таблиця 1'!$I:$I,"Су-27",'Таблиця 1'!$J:$J,"BLU-140"))</f>
        <v/>
      </c>
      <c r="L707">
        <f>IF($A707="","",SUMIFS('Таблиця 1'!$K:$K,'Таблиця 1'!$B:$B,$A707,'Таблиця 1'!$I:$I,"Mirage",'Таблиця 1'!$J:$J,"GBU-65")+SUMIFS('Таблиця 1'!$K:$K,'Таблиця 1'!$B:$B,$A707,'Таблиця 1'!$I:$I,"F-16",'Таблиця 1'!$J:$J,"GBU-65")+SUMIFS('Таблиця 1'!$K:$K,'Таблиця 1'!$B:$B,$A707,'Таблиця 1'!$I:$I,"МіГ-29",'Таблиця 1'!$J:$J,"GBU-65")+SUMIFS('Таблиця 1'!$K:$K,'Таблиця 1'!$B:$B,$A707,'Таблиця 1'!$I:$I,"Су-25",'Таблиця 1'!$J:$J,"GBU-65")+SUMIFS('Таблиця 1'!$K:$K,'Таблиця 1'!$B:$B,$A707,'Таблиця 1'!$I:$I,"Су-27",'Таблиця 1'!$J:$J,"GBU-65"))</f>
        <v/>
      </c>
      <c r="M707">
        <f>IF($A707="","",SUMIFS('Таблиця 1'!$K:$K,'Таблиця 1'!$B:$B,$A707,'Таблиця 1'!$I:$I,"Mirage",'Таблиця 1'!$J:$J,"GBU-62")+SUMIFS('Таблиця 1'!$K:$K,'Таблиця 1'!$B:$B,$A707,'Таблиця 1'!$I:$I,"F-16",'Таблиця 1'!$J:$J,"GBU-62")+SUMIFS('Таблиця 1'!$K:$K,'Таблиця 1'!$B:$B,$A707,'Таблиця 1'!$I:$I,"МіГ-29",'Таблиця 1'!$J:$J,"GBU-62")+SUMIFS('Таблиця 1'!$K:$K,'Таблиця 1'!$B:$B,$A707,'Таблиця 1'!$I:$I,"Су-25",'Таблиця 1'!$J:$J,"GBU-62")+SUMIFS('Таблиця 1'!$K:$K,'Таблиця 1'!$B:$B,$A707,'Таблиця 1'!$I:$I,"Су-27",'Таблиця 1'!$J:$J,"GBU-62"))</f>
        <v/>
      </c>
      <c r="N707">
        <f>IF($A707="","",SUMIFS('Таблиця 1'!$K:$K,'Таблиця 1'!$B:$B,$A707,'Таблиця 1'!$I:$I,"Mirage",'Таблиця 1'!$J:$J,"GBU-64")+SUMIFS('Таблиця 1'!$K:$K,'Таблиця 1'!$B:$B,$A707,'Таблиця 1'!$I:$I,"F-16",'Таблиця 1'!$J:$J,"GBU-64")+SUMIFS('Таблиця 1'!$K:$K,'Таблиця 1'!$B:$B,$A707,'Таблиця 1'!$I:$I,"МіГ-29",'Таблиця 1'!$J:$J,"GBU-64")+SUMIFS('Таблиця 1'!$K:$K,'Таблиця 1'!$B:$B,$A707,'Таблиця 1'!$I:$I,"Су-25",'Таблиця 1'!$J:$J,"GBU-64")+SUMIFS('Таблиця 1'!$K:$K,'Таблиця 1'!$B:$B,$A707,'Таблиця 1'!$I:$I,"Су-27",'Таблиця 1'!$J:$J,"GBU-64"))</f>
        <v/>
      </c>
      <c r="O707">
        <f>IF($A707="","",SUMIFS('Таблиця 1'!$K:$K,'Таблиця 1'!$B:$B,$A707,'Таблиця 1'!$I:$I,"Mirage",'Таблиця 1'!$J:$J,"C-13")+SUMIFS('Таблиця 1'!$K:$K,'Таблиця 1'!$B:$B,$A707,'Таблиця 1'!$I:$I,"F-16",'Таблиця 1'!$J:$J,"C-13")+SUMIFS('Таблиця 1'!$K:$K,'Таблиця 1'!$B:$B,$A707,'Таблиця 1'!$I:$I,"МіГ-29",'Таблиця 1'!$J:$J,"C-13")+SUMIFS('Таблиця 1'!$K:$K,'Таблиця 1'!$B:$B,$A707,'Таблиця 1'!$I:$I,"Су-25",'Таблиця 1'!$J:$J,"C-13")+SUMIFS('Таблиця 1'!$K:$K,'Таблиця 1'!$B:$B,$A707,'Таблиця 1'!$I:$I,"Су-27",'Таблиця 1'!$J:$J,"C-13"))</f>
        <v/>
      </c>
      <c r="P707">
        <f>IF($A707="","",SUMIFS('Таблиця 1'!$K:$K,'Таблиця 1'!$B:$B,$A707,'Таблиця 1'!$I:$I,"Mirage",'Таблиця 1'!$J:$J,"MK-32")+SUMIFS('Таблиця 1'!$K:$K,'Таблиця 1'!$B:$B,$A707,'Таблиця 1'!$I:$I,"F-16",'Таблиця 1'!$J:$J,"MK-32")+SUMIFS('Таблиця 1'!$K:$K,'Таблиця 1'!$B:$B,$A707,'Таблиця 1'!$I:$I,"МіГ-29",'Таблиця 1'!$J:$J,"MK-32")+SUMIFS('Таблиця 1'!$K:$K,'Таблиця 1'!$B:$B,$A707,'Таблиця 1'!$I:$I,"Су-25",'Таблиця 1'!$J:$J,"MK-32")+SUMIFS('Таблиця 1'!$K:$K,'Таблиця 1'!$B:$B,$A707,'Таблиця 1'!$I:$I,"Су-27",'Таблиця 1'!$J:$J,"MK-32"))</f>
        <v/>
      </c>
      <c r="Q707">
        <f>IF($A707="","",SUMIFS('Таблиця 1'!$K:$K,'Таблиця 1'!$B:$B,$A707,'Таблиця 1'!$I:$I,"Mirage",'Таблиця 1'!$J:$J,"MK-24")+SUMIFS('Таблиця 1'!$K:$K,'Таблиця 1'!$B:$B,$A707,'Таблиця 1'!$I:$I,"F-16",'Таблиця 1'!$J:$J,"MK-24")+SUMIFS('Таблиця 1'!$K:$K,'Таблиця 1'!$B:$B,$A707,'Таблиця 1'!$I:$I,"МіГ-29",'Таблиця 1'!$J:$J,"MK-24")+SUMIFS('Таблиця 1'!$K:$K,'Таблиця 1'!$B:$B,$A707,'Таблиця 1'!$I:$I,"Су-25",'Таблиця 1'!$J:$J,"MK-24")+SUMIFS('Таблиця 1'!$K:$K,'Таблиця 1'!$B:$B,$A707,'Таблиця 1'!$I:$I,"Су-27",'Таблиця 1'!$J:$J,"MK-24"))</f>
        <v/>
      </c>
      <c r="R707">
        <f>IF($A707="","",COUNTIFS('Таблиця 1'!$B:$B,$A707,'Таблиця 1'!$I:$I,"Mirage",'Таблиця 1'!$L:$L,"Уражено")+COUNTIFS('Таблиця 1'!$B:$B,$A707,'Таблиця 1'!$I:$I,"F-16",'Таблиця 1'!$L:$L,"Уражено")+COUNTIFS('Таблиця 1'!$B:$B,$A707,'Таблиця 1'!$I:$I,"МіГ-29",'Таблиця 1'!$L:$L,"Уражено")+COUNTIFS('Таблиця 1'!$B:$B,$A707,'Таблиця 1'!$I:$I,"Су-25",'Таблиця 1'!$L:$L,"Уражено")+COUNTIFS('Таблиця 1'!$B:$B,$A707,'Таблиця 1'!$I:$I,"Су-27",'Таблиця 1'!$L:$L,"Уражено"))</f>
        <v/>
      </c>
      <c r="S707">
        <f>IF($A707="","",COUNTIFS('Таблиця 1'!$B:$B,$A707,'Таблиця 1'!$I:$I,"Mirage",'Таблиця 1'!$L:$L,"НЕ уражено")+COUNTIFS('Таблиця 1'!$B:$B,$A707,'Таблиця 1'!$I:$I,"F-16",'Таблиця 1'!$L:$L,"НЕ уражено")+COUNTIFS('Таблиця 1'!$B:$B,$A707,'Таблиця 1'!$I:$I,"МіГ-29",'Таблиця 1'!$L:$L,"НЕ уражено")+COUNTIFS('Таблиця 1'!$B:$B,$A707,'Таблиця 1'!$I:$I,"Су-25",'Таблиця 1'!$L:$L,"НЕ уражено")+COUNTIFS('Таблиця 1'!$B:$B,$A707,'Таблиця 1'!$I:$I,"Су-27",'Таблиця 1'!$L:$L,"НЕ уражено"))</f>
        <v/>
      </c>
      <c r="T707">
        <f>IF($A707="","",COUNTIFS('Таблиця 1'!$B:$B,$A707,'Таблиця 1'!$I:$I,"Mirage",'Таблиця 1'!$L:$L,"Дорозвідується")+COUNTIFS('Таблиця 1'!$B:$B,$A707,'Таблиця 1'!$I:$I,"F-16",'Таблиця 1'!$L:$L,"Дорозвідується")+COUNTIFS('Таблиця 1'!$B:$B,$A707,'Таблиця 1'!$I:$I,"МіГ-29",'Таблиця 1'!$L:$L,"Дорозвідується")+COUNTIFS('Таблиця 1'!$B:$B,$A707,'Таблиця 1'!$I:$I,"Су-25",'Таблиця 1'!$L:$L,"Дорозвідується")+COUNTIFS('Таблиця 1'!$B:$B,$A707,'Таблиця 1'!$I:$I,"Су-27",'Таблиця 1'!$L:$L,"Дорозвідується"))</f>
        <v/>
      </c>
    </row>
    <row r="708">
      <c r="A708" s="273">
        <f>IF(A707="","",IF(A707+1&gt;MAX('Таблиця 1'!$B:$B),"",A707+1))</f>
        <v/>
      </c>
      <c r="B708">
        <f>IF($A708="","",COUNTIFS('Таблиця 1'!$B:$B,$A708,'Таблиця 1'!$I:$I,"Mirage")+COUNTIFS('Таблиця 1'!$B:$B,$A708,'Таблиця 1'!$I:$I,"F-16")+COUNTIFS('Таблиця 1'!$B:$B,$A708,'Таблиця 1'!$I:$I,"МіГ-29")+COUNTIFS('Таблиця 1'!$B:$B,$A708,'Таблиця 1'!$I:$I,"Су-25")+COUNTIFS('Таблиця 1'!$B:$B,$A708,'Таблиця 1'!$I:$I,"Су-27"))</f>
        <v/>
      </c>
      <c r="C708">
        <f>IF($A708="","",COUNTIFS('Таблиця 1'!$B:$B,$A708,'Таблиця 1'!$I:$I,"Mirage"))</f>
        <v/>
      </c>
      <c r="D708">
        <f>IF($A708="","",COUNTIFS('Таблиця 1'!$B:$B,$A708,'Таблиця 1'!$I:$I,"F-16"))</f>
        <v/>
      </c>
      <c r="E708">
        <f>IF($A708="","",COUNTIFS('Таблиця 1'!$B:$B,$A708,'Таблиця 1'!$I:$I,"МіГ-29"))</f>
        <v/>
      </c>
      <c r="F708">
        <f>IF($A708="","",COUNTIFS('Таблиця 1'!$B:$B,$A708,'Таблиця 1'!$I:$I,"Су-25"))</f>
        <v/>
      </c>
      <c r="G708">
        <f>IF($A708="","",COUNTIFS('Таблиця 1'!$B:$B,$A708,'Таблиця 1'!$I:$I,"Су-27"))</f>
        <v/>
      </c>
      <c r="H708">
        <f>IF($A708="","",SUMIFS('Таблиця 1'!$K:$K,'Таблиця 1'!$B:$B,$A708,'Таблиця 1'!$I:$I,"Mirage",'Таблиця 1'!$J:$J,"AGM-88")+SUMIFS('Таблиця 1'!$K:$K,'Таблиця 1'!$B:$B,$A708,'Таблиця 1'!$I:$I,"F-16",'Таблиця 1'!$J:$J,"AGM-88")+SUMIFS('Таблиця 1'!$K:$K,'Таблиця 1'!$B:$B,$A708,'Таблиця 1'!$I:$I,"МіГ-29",'Таблиця 1'!$J:$J,"AGM-88")+SUMIFS('Таблиця 1'!$K:$K,'Таблиця 1'!$B:$B,$A708,'Таблиця 1'!$I:$I,"Су-25",'Таблиця 1'!$J:$J,"AGM-88")+SUMIFS('Таблиця 1'!$K:$K,'Таблиця 1'!$B:$B,$A708,'Таблиця 1'!$I:$I,"Су-27",'Таблиця 1'!$J:$J,"AGM-88"))</f>
        <v/>
      </c>
      <c r="I708">
        <f>IF($A708="","",SUMIFS('Таблиця 1'!$K:$K,'Таблиця 1'!$B:$B,$A708,'Таблиця 1'!$I:$I,"Mirage",'Таблиця 1'!$J:$J,"AASM-250")+SUMIFS('Таблиця 1'!$K:$K,'Таблиця 1'!$B:$B,$A708,'Таблиця 1'!$I:$I,"F-16",'Таблиця 1'!$J:$J,"AASM-250")+SUMIFS('Таблиця 1'!$K:$K,'Таблиця 1'!$B:$B,$A708,'Таблиця 1'!$I:$I,"МіГ-29",'Таблиця 1'!$J:$J,"AASM-250")+SUMIFS('Таблиця 1'!$K:$K,'Таблиця 1'!$B:$B,$A708,'Таблиця 1'!$I:$I,"Су-25",'Таблиця 1'!$J:$J,"AASM-250")+SUMIFS('Таблиця 1'!$K:$K,'Таблиця 1'!$B:$B,$A708,'Таблиця 1'!$I:$I,"Су-27",'Таблиця 1'!$J:$J,"AASM-250"))</f>
        <v/>
      </c>
      <c r="J708">
        <f>IF($A708="","",SUMIFS('Таблиця 1'!$K:$K,'Таблиця 1'!$B:$B,$A708,'Таблиця 1'!$I:$I,"Mirage",'Таблиця 1'!$J:$J,"GBU-39")+SUMIFS('Таблиця 1'!$K:$K,'Таблиця 1'!$B:$B,$A708,'Таблиця 1'!$I:$I,"F-16",'Таблиця 1'!$J:$J,"GBU-39")+SUMIFS('Таблиця 1'!$K:$K,'Таблиця 1'!$B:$B,$A708,'Таблиця 1'!$I:$I,"МіГ-29",'Таблиця 1'!$J:$J,"GBU-39")+SUMIFS('Таблиця 1'!$K:$K,'Таблиця 1'!$B:$B,$A708,'Таблиця 1'!$I:$I,"Су-25",'Таблиця 1'!$J:$J,"GBU-39")+SUMIFS('Таблиця 1'!$K:$K,'Таблиця 1'!$B:$B,$A708,'Таблиця 1'!$I:$I,"Су-27",'Таблиця 1'!$J:$J,"GBU-39"))</f>
        <v/>
      </c>
      <c r="K708">
        <f>IF($A708="","",SUMIFS('Таблиця 1'!$K:$K,'Таблиця 1'!$B:$B,$A708,'Таблиця 1'!$I:$I,"Mirage",'Таблиця 1'!$J:$J,"BLU-140")+SUMIFS('Таблиця 1'!$K:$K,'Таблиця 1'!$B:$B,$A708,'Таблиця 1'!$I:$I,"F-16",'Таблиця 1'!$J:$J,"BLU-140")+SUMIFS('Таблиця 1'!$K:$K,'Таблиця 1'!$B:$B,$A708,'Таблиця 1'!$I:$I,"МіГ-29",'Таблиця 1'!$J:$J,"BLU-140")+SUMIFS('Таблиця 1'!$K:$K,'Таблиця 1'!$B:$B,$A708,'Таблиця 1'!$I:$I,"Су-25",'Таблиця 1'!$J:$J,"BLU-140")+SUMIFS('Таблиця 1'!$K:$K,'Таблиця 1'!$B:$B,$A708,'Таблиця 1'!$I:$I,"Су-27",'Таблиця 1'!$J:$J,"BLU-140"))</f>
        <v/>
      </c>
      <c r="L708">
        <f>IF($A708="","",SUMIFS('Таблиця 1'!$K:$K,'Таблиця 1'!$B:$B,$A708,'Таблиця 1'!$I:$I,"Mirage",'Таблиця 1'!$J:$J,"GBU-65")+SUMIFS('Таблиця 1'!$K:$K,'Таблиця 1'!$B:$B,$A708,'Таблиця 1'!$I:$I,"F-16",'Таблиця 1'!$J:$J,"GBU-65")+SUMIFS('Таблиця 1'!$K:$K,'Таблиця 1'!$B:$B,$A708,'Таблиця 1'!$I:$I,"МіГ-29",'Таблиця 1'!$J:$J,"GBU-65")+SUMIFS('Таблиця 1'!$K:$K,'Таблиця 1'!$B:$B,$A708,'Таблиця 1'!$I:$I,"Су-25",'Таблиця 1'!$J:$J,"GBU-65")+SUMIFS('Таблиця 1'!$K:$K,'Таблиця 1'!$B:$B,$A708,'Таблиця 1'!$I:$I,"Су-27",'Таблиця 1'!$J:$J,"GBU-65"))</f>
        <v/>
      </c>
      <c r="M708">
        <f>IF($A708="","",SUMIFS('Таблиця 1'!$K:$K,'Таблиця 1'!$B:$B,$A708,'Таблиця 1'!$I:$I,"Mirage",'Таблиця 1'!$J:$J,"GBU-62")+SUMIFS('Таблиця 1'!$K:$K,'Таблиця 1'!$B:$B,$A708,'Таблиця 1'!$I:$I,"F-16",'Таблиця 1'!$J:$J,"GBU-62")+SUMIFS('Таблиця 1'!$K:$K,'Таблиця 1'!$B:$B,$A708,'Таблиця 1'!$I:$I,"МіГ-29",'Таблиця 1'!$J:$J,"GBU-62")+SUMIFS('Таблиця 1'!$K:$K,'Таблиця 1'!$B:$B,$A708,'Таблиця 1'!$I:$I,"Су-25",'Таблиця 1'!$J:$J,"GBU-62")+SUMIFS('Таблиця 1'!$K:$K,'Таблиця 1'!$B:$B,$A708,'Таблиця 1'!$I:$I,"Су-27",'Таблиця 1'!$J:$J,"GBU-62"))</f>
        <v/>
      </c>
      <c r="N708">
        <f>IF($A708="","",SUMIFS('Таблиця 1'!$K:$K,'Таблиця 1'!$B:$B,$A708,'Таблиця 1'!$I:$I,"Mirage",'Таблиця 1'!$J:$J,"GBU-64")+SUMIFS('Таблиця 1'!$K:$K,'Таблиця 1'!$B:$B,$A708,'Таблиця 1'!$I:$I,"F-16",'Таблиця 1'!$J:$J,"GBU-64")+SUMIFS('Таблиця 1'!$K:$K,'Таблиця 1'!$B:$B,$A708,'Таблиця 1'!$I:$I,"МіГ-29",'Таблиця 1'!$J:$J,"GBU-64")+SUMIFS('Таблиця 1'!$K:$K,'Таблиця 1'!$B:$B,$A708,'Таблиця 1'!$I:$I,"Су-25",'Таблиця 1'!$J:$J,"GBU-64")+SUMIFS('Таблиця 1'!$K:$K,'Таблиця 1'!$B:$B,$A708,'Таблиця 1'!$I:$I,"Су-27",'Таблиця 1'!$J:$J,"GBU-64"))</f>
        <v/>
      </c>
      <c r="O708">
        <f>IF($A708="","",SUMIFS('Таблиця 1'!$K:$K,'Таблиця 1'!$B:$B,$A708,'Таблиця 1'!$I:$I,"Mirage",'Таблиця 1'!$J:$J,"C-13")+SUMIFS('Таблиця 1'!$K:$K,'Таблиця 1'!$B:$B,$A708,'Таблиця 1'!$I:$I,"F-16",'Таблиця 1'!$J:$J,"C-13")+SUMIFS('Таблиця 1'!$K:$K,'Таблиця 1'!$B:$B,$A708,'Таблиця 1'!$I:$I,"МіГ-29",'Таблиця 1'!$J:$J,"C-13")+SUMIFS('Таблиця 1'!$K:$K,'Таблиця 1'!$B:$B,$A708,'Таблиця 1'!$I:$I,"Су-25",'Таблиця 1'!$J:$J,"C-13")+SUMIFS('Таблиця 1'!$K:$K,'Таблиця 1'!$B:$B,$A708,'Таблиця 1'!$I:$I,"Су-27",'Таблиця 1'!$J:$J,"C-13"))</f>
        <v/>
      </c>
      <c r="P708">
        <f>IF($A708="","",SUMIFS('Таблиця 1'!$K:$K,'Таблиця 1'!$B:$B,$A708,'Таблиця 1'!$I:$I,"Mirage",'Таблиця 1'!$J:$J,"MK-32")+SUMIFS('Таблиця 1'!$K:$K,'Таблиця 1'!$B:$B,$A708,'Таблиця 1'!$I:$I,"F-16",'Таблиця 1'!$J:$J,"MK-32")+SUMIFS('Таблиця 1'!$K:$K,'Таблиця 1'!$B:$B,$A708,'Таблиця 1'!$I:$I,"МіГ-29",'Таблиця 1'!$J:$J,"MK-32")+SUMIFS('Таблиця 1'!$K:$K,'Таблиця 1'!$B:$B,$A708,'Таблиця 1'!$I:$I,"Су-25",'Таблиця 1'!$J:$J,"MK-32")+SUMIFS('Таблиця 1'!$K:$K,'Таблиця 1'!$B:$B,$A708,'Таблиця 1'!$I:$I,"Су-27",'Таблиця 1'!$J:$J,"MK-32"))</f>
        <v/>
      </c>
      <c r="Q708">
        <f>IF($A708="","",SUMIFS('Таблиця 1'!$K:$K,'Таблиця 1'!$B:$B,$A708,'Таблиця 1'!$I:$I,"Mirage",'Таблиця 1'!$J:$J,"MK-24")+SUMIFS('Таблиця 1'!$K:$K,'Таблиця 1'!$B:$B,$A708,'Таблиця 1'!$I:$I,"F-16",'Таблиця 1'!$J:$J,"MK-24")+SUMIFS('Таблиця 1'!$K:$K,'Таблиця 1'!$B:$B,$A708,'Таблиця 1'!$I:$I,"МіГ-29",'Таблиця 1'!$J:$J,"MK-24")+SUMIFS('Таблиця 1'!$K:$K,'Таблиця 1'!$B:$B,$A708,'Таблиця 1'!$I:$I,"Су-25",'Таблиця 1'!$J:$J,"MK-24")+SUMIFS('Таблиця 1'!$K:$K,'Таблиця 1'!$B:$B,$A708,'Таблиця 1'!$I:$I,"Су-27",'Таблиця 1'!$J:$J,"MK-24"))</f>
        <v/>
      </c>
      <c r="R708">
        <f>IF($A708="","",COUNTIFS('Таблиця 1'!$B:$B,$A708,'Таблиця 1'!$I:$I,"Mirage",'Таблиця 1'!$L:$L,"Уражено")+COUNTIFS('Таблиця 1'!$B:$B,$A708,'Таблиця 1'!$I:$I,"F-16",'Таблиця 1'!$L:$L,"Уражено")+COUNTIFS('Таблиця 1'!$B:$B,$A708,'Таблиця 1'!$I:$I,"МіГ-29",'Таблиця 1'!$L:$L,"Уражено")+COUNTIFS('Таблиця 1'!$B:$B,$A708,'Таблиця 1'!$I:$I,"Су-25",'Таблиця 1'!$L:$L,"Уражено")+COUNTIFS('Таблиця 1'!$B:$B,$A708,'Таблиця 1'!$I:$I,"Су-27",'Таблиця 1'!$L:$L,"Уражено"))</f>
        <v/>
      </c>
      <c r="S708">
        <f>IF($A708="","",COUNTIFS('Таблиця 1'!$B:$B,$A708,'Таблиця 1'!$I:$I,"Mirage",'Таблиця 1'!$L:$L,"НЕ уражено")+COUNTIFS('Таблиця 1'!$B:$B,$A708,'Таблиця 1'!$I:$I,"F-16",'Таблиця 1'!$L:$L,"НЕ уражено")+COUNTIFS('Таблиця 1'!$B:$B,$A708,'Таблиця 1'!$I:$I,"МіГ-29",'Таблиця 1'!$L:$L,"НЕ уражено")+COUNTIFS('Таблиця 1'!$B:$B,$A708,'Таблиця 1'!$I:$I,"Су-25",'Таблиця 1'!$L:$L,"НЕ уражено")+COUNTIFS('Таблиця 1'!$B:$B,$A708,'Таблиця 1'!$I:$I,"Су-27",'Таблиця 1'!$L:$L,"НЕ уражено"))</f>
        <v/>
      </c>
      <c r="T708">
        <f>IF($A708="","",COUNTIFS('Таблиця 1'!$B:$B,$A708,'Таблиця 1'!$I:$I,"Mirage",'Таблиця 1'!$L:$L,"Дорозвідується")+COUNTIFS('Таблиця 1'!$B:$B,$A708,'Таблиця 1'!$I:$I,"F-16",'Таблиця 1'!$L:$L,"Дорозвідується")+COUNTIFS('Таблиця 1'!$B:$B,$A708,'Таблиця 1'!$I:$I,"МіГ-29",'Таблиця 1'!$L:$L,"Дорозвідується")+COUNTIFS('Таблиця 1'!$B:$B,$A708,'Таблиця 1'!$I:$I,"Су-25",'Таблиця 1'!$L:$L,"Дорозвідується")+COUNTIFS('Таблиця 1'!$B:$B,$A708,'Таблиця 1'!$I:$I,"Су-27",'Таблиця 1'!$L:$L,"Дорозвідується"))</f>
        <v/>
      </c>
    </row>
    <row r="709">
      <c r="A709" s="273">
        <f>IF(A708="","",IF(A708+1&gt;MAX('Таблиця 1'!$B:$B),"",A708+1))</f>
        <v/>
      </c>
      <c r="B709">
        <f>IF($A709="","",COUNTIFS('Таблиця 1'!$B:$B,$A709,'Таблиця 1'!$I:$I,"Mirage")+COUNTIFS('Таблиця 1'!$B:$B,$A709,'Таблиця 1'!$I:$I,"F-16")+COUNTIFS('Таблиця 1'!$B:$B,$A709,'Таблиця 1'!$I:$I,"МіГ-29")+COUNTIFS('Таблиця 1'!$B:$B,$A709,'Таблиця 1'!$I:$I,"Су-25")+COUNTIFS('Таблиця 1'!$B:$B,$A709,'Таблиця 1'!$I:$I,"Су-27"))</f>
        <v/>
      </c>
      <c r="C709">
        <f>IF($A709="","",COUNTIFS('Таблиця 1'!$B:$B,$A709,'Таблиця 1'!$I:$I,"Mirage"))</f>
        <v/>
      </c>
      <c r="D709">
        <f>IF($A709="","",COUNTIFS('Таблиця 1'!$B:$B,$A709,'Таблиця 1'!$I:$I,"F-16"))</f>
        <v/>
      </c>
      <c r="E709">
        <f>IF($A709="","",COUNTIFS('Таблиця 1'!$B:$B,$A709,'Таблиця 1'!$I:$I,"МіГ-29"))</f>
        <v/>
      </c>
      <c r="F709">
        <f>IF($A709="","",COUNTIFS('Таблиця 1'!$B:$B,$A709,'Таблиця 1'!$I:$I,"Су-25"))</f>
        <v/>
      </c>
      <c r="G709">
        <f>IF($A709="","",COUNTIFS('Таблиця 1'!$B:$B,$A709,'Таблиця 1'!$I:$I,"Су-27"))</f>
        <v/>
      </c>
      <c r="H709">
        <f>IF($A709="","",SUMIFS('Таблиця 1'!$K:$K,'Таблиця 1'!$B:$B,$A709,'Таблиця 1'!$I:$I,"Mirage",'Таблиця 1'!$J:$J,"AGM-88")+SUMIFS('Таблиця 1'!$K:$K,'Таблиця 1'!$B:$B,$A709,'Таблиця 1'!$I:$I,"F-16",'Таблиця 1'!$J:$J,"AGM-88")+SUMIFS('Таблиця 1'!$K:$K,'Таблиця 1'!$B:$B,$A709,'Таблиця 1'!$I:$I,"МіГ-29",'Таблиця 1'!$J:$J,"AGM-88")+SUMIFS('Таблиця 1'!$K:$K,'Таблиця 1'!$B:$B,$A709,'Таблиця 1'!$I:$I,"Су-25",'Таблиця 1'!$J:$J,"AGM-88")+SUMIFS('Таблиця 1'!$K:$K,'Таблиця 1'!$B:$B,$A709,'Таблиця 1'!$I:$I,"Су-27",'Таблиця 1'!$J:$J,"AGM-88"))</f>
        <v/>
      </c>
      <c r="I709">
        <f>IF($A709="","",SUMIFS('Таблиця 1'!$K:$K,'Таблиця 1'!$B:$B,$A709,'Таблиця 1'!$I:$I,"Mirage",'Таблиця 1'!$J:$J,"AASM-250")+SUMIFS('Таблиця 1'!$K:$K,'Таблиця 1'!$B:$B,$A709,'Таблиця 1'!$I:$I,"F-16",'Таблиця 1'!$J:$J,"AASM-250")+SUMIFS('Таблиця 1'!$K:$K,'Таблиця 1'!$B:$B,$A709,'Таблиця 1'!$I:$I,"МіГ-29",'Таблиця 1'!$J:$J,"AASM-250")+SUMIFS('Таблиця 1'!$K:$K,'Таблиця 1'!$B:$B,$A709,'Таблиця 1'!$I:$I,"Су-25",'Таблиця 1'!$J:$J,"AASM-250")+SUMIFS('Таблиця 1'!$K:$K,'Таблиця 1'!$B:$B,$A709,'Таблиця 1'!$I:$I,"Су-27",'Таблиця 1'!$J:$J,"AASM-250"))</f>
        <v/>
      </c>
      <c r="J709">
        <f>IF($A709="","",SUMIFS('Таблиця 1'!$K:$K,'Таблиця 1'!$B:$B,$A709,'Таблиця 1'!$I:$I,"Mirage",'Таблиця 1'!$J:$J,"GBU-39")+SUMIFS('Таблиця 1'!$K:$K,'Таблиця 1'!$B:$B,$A709,'Таблиця 1'!$I:$I,"F-16",'Таблиця 1'!$J:$J,"GBU-39")+SUMIFS('Таблиця 1'!$K:$K,'Таблиця 1'!$B:$B,$A709,'Таблиця 1'!$I:$I,"МіГ-29",'Таблиця 1'!$J:$J,"GBU-39")+SUMIFS('Таблиця 1'!$K:$K,'Таблиця 1'!$B:$B,$A709,'Таблиця 1'!$I:$I,"Су-25",'Таблиця 1'!$J:$J,"GBU-39")+SUMIFS('Таблиця 1'!$K:$K,'Таблиця 1'!$B:$B,$A709,'Таблиця 1'!$I:$I,"Су-27",'Таблиця 1'!$J:$J,"GBU-39"))</f>
        <v/>
      </c>
      <c r="K709">
        <f>IF($A709="","",SUMIFS('Таблиця 1'!$K:$K,'Таблиця 1'!$B:$B,$A709,'Таблиця 1'!$I:$I,"Mirage",'Таблиця 1'!$J:$J,"BLU-140")+SUMIFS('Таблиця 1'!$K:$K,'Таблиця 1'!$B:$B,$A709,'Таблиця 1'!$I:$I,"F-16",'Таблиця 1'!$J:$J,"BLU-140")+SUMIFS('Таблиця 1'!$K:$K,'Таблиця 1'!$B:$B,$A709,'Таблиця 1'!$I:$I,"МіГ-29",'Таблиця 1'!$J:$J,"BLU-140")+SUMIFS('Таблиця 1'!$K:$K,'Таблиця 1'!$B:$B,$A709,'Таблиця 1'!$I:$I,"Су-25",'Таблиця 1'!$J:$J,"BLU-140")+SUMIFS('Таблиця 1'!$K:$K,'Таблиця 1'!$B:$B,$A709,'Таблиця 1'!$I:$I,"Су-27",'Таблиця 1'!$J:$J,"BLU-140"))</f>
        <v/>
      </c>
      <c r="L709">
        <f>IF($A709="","",SUMIFS('Таблиця 1'!$K:$K,'Таблиця 1'!$B:$B,$A709,'Таблиця 1'!$I:$I,"Mirage",'Таблиця 1'!$J:$J,"GBU-65")+SUMIFS('Таблиця 1'!$K:$K,'Таблиця 1'!$B:$B,$A709,'Таблиця 1'!$I:$I,"F-16",'Таблиця 1'!$J:$J,"GBU-65")+SUMIFS('Таблиця 1'!$K:$K,'Таблиця 1'!$B:$B,$A709,'Таблиця 1'!$I:$I,"МіГ-29",'Таблиця 1'!$J:$J,"GBU-65")+SUMIFS('Таблиця 1'!$K:$K,'Таблиця 1'!$B:$B,$A709,'Таблиця 1'!$I:$I,"Су-25",'Таблиця 1'!$J:$J,"GBU-65")+SUMIFS('Таблиця 1'!$K:$K,'Таблиця 1'!$B:$B,$A709,'Таблиця 1'!$I:$I,"Су-27",'Таблиця 1'!$J:$J,"GBU-65"))</f>
        <v/>
      </c>
      <c r="M709">
        <f>IF($A709="","",SUMIFS('Таблиця 1'!$K:$K,'Таблиця 1'!$B:$B,$A709,'Таблиця 1'!$I:$I,"Mirage",'Таблиця 1'!$J:$J,"GBU-62")+SUMIFS('Таблиця 1'!$K:$K,'Таблиця 1'!$B:$B,$A709,'Таблиця 1'!$I:$I,"F-16",'Таблиця 1'!$J:$J,"GBU-62")+SUMIFS('Таблиця 1'!$K:$K,'Таблиця 1'!$B:$B,$A709,'Таблиця 1'!$I:$I,"МіГ-29",'Таблиця 1'!$J:$J,"GBU-62")+SUMIFS('Таблиця 1'!$K:$K,'Таблиця 1'!$B:$B,$A709,'Таблиця 1'!$I:$I,"Су-25",'Таблиця 1'!$J:$J,"GBU-62")+SUMIFS('Таблиця 1'!$K:$K,'Таблиця 1'!$B:$B,$A709,'Таблиця 1'!$I:$I,"Су-27",'Таблиця 1'!$J:$J,"GBU-62"))</f>
        <v/>
      </c>
      <c r="N709">
        <f>IF($A709="","",SUMIFS('Таблиця 1'!$K:$K,'Таблиця 1'!$B:$B,$A709,'Таблиця 1'!$I:$I,"Mirage",'Таблиця 1'!$J:$J,"GBU-64")+SUMIFS('Таблиця 1'!$K:$K,'Таблиця 1'!$B:$B,$A709,'Таблиця 1'!$I:$I,"F-16",'Таблиця 1'!$J:$J,"GBU-64")+SUMIFS('Таблиця 1'!$K:$K,'Таблиця 1'!$B:$B,$A709,'Таблиця 1'!$I:$I,"МіГ-29",'Таблиця 1'!$J:$J,"GBU-64")+SUMIFS('Таблиця 1'!$K:$K,'Таблиця 1'!$B:$B,$A709,'Таблиця 1'!$I:$I,"Су-25",'Таблиця 1'!$J:$J,"GBU-64")+SUMIFS('Таблиця 1'!$K:$K,'Таблиця 1'!$B:$B,$A709,'Таблиця 1'!$I:$I,"Су-27",'Таблиця 1'!$J:$J,"GBU-64"))</f>
        <v/>
      </c>
      <c r="O709">
        <f>IF($A709="","",SUMIFS('Таблиця 1'!$K:$K,'Таблиця 1'!$B:$B,$A709,'Таблиця 1'!$I:$I,"Mirage",'Таблиця 1'!$J:$J,"C-13")+SUMIFS('Таблиця 1'!$K:$K,'Таблиця 1'!$B:$B,$A709,'Таблиця 1'!$I:$I,"F-16",'Таблиця 1'!$J:$J,"C-13")+SUMIFS('Таблиця 1'!$K:$K,'Таблиця 1'!$B:$B,$A709,'Таблиця 1'!$I:$I,"МіГ-29",'Таблиця 1'!$J:$J,"C-13")+SUMIFS('Таблиця 1'!$K:$K,'Таблиця 1'!$B:$B,$A709,'Таблиця 1'!$I:$I,"Су-25",'Таблиця 1'!$J:$J,"C-13")+SUMIFS('Таблиця 1'!$K:$K,'Таблиця 1'!$B:$B,$A709,'Таблиця 1'!$I:$I,"Су-27",'Таблиця 1'!$J:$J,"C-13"))</f>
        <v/>
      </c>
      <c r="P709">
        <f>IF($A709="","",SUMIFS('Таблиця 1'!$K:$K,'Таблиця 1'!$B:$B,$A709,'Таблиця 1'!$I:$I,"Mirage",'Таблиця 1'!$J:$J,"MK-32")+SUMIFS('Таблиця 1'!$K:$K,'Таблиця 1'!$B:$B,$A709,'Таблиця 1'!$I:$I,"F-16",'Таблиця 1'!$J:$J,"MK-32")+SUMIFS('Таблиця 1'!$K:$K,'Таблиця 1'!$B:$B,$A709,'Таблиця 1'!$I:$I,"МіГ-29",'Таблиця 1'!$J:$J,"MK-32")+SUMIFS('Таблиця 1'!$K:$K,'Таблиця 1'!$B:$B,$A709,'Таблиця 1'!$I:$I,"Су-25",'Таблиця 1'!$J:$J,"MK-32")+SUMIFS('Таблиця 1'!$K:$K,'Таблиця 1'!$B:$B,$A709,'Таблиця 1'!$I:$I,"Су-27",'Таблиця 1'!$J:$J,"MK-32"))</f>
        <v/>
      </c>
      <c r="Q709">
        <f>IF($A709="","",SUMIFS('Таблиця 1'!$K:$K,'Таблиця 1'!$B:$B,$A709,'Таблиця 1'!$I:$I,"Mirage",'Таблиця 1'!$J:$J,"MK-24")+SUMIFS('Таблиця 1'!$K:$K,'Таблиця 1'!$B:$B,$A709,'Таблиця 1'!$I:$I,"F-16",'Таблиця 1'!$J:$J,"MK-24")+SUMIFS('Таблиця 1'!$K:$K,'Таблиця 1'!$B:$B,$A709,'Таблиця 1'!$I:$I,"МіГ-29",'Таблиця 1'!$J:$J,"MK-24")+SUMIFS('Таблиця 1'!$K:$K,'Таблиця 1'!$B:$B,$A709,'Таблиця 1'!$I:$I,"Су-25",'Таблиця 1'!$J:$J,"MK-24")+SUMIFS('Таблиця 1'!$K:$K,'Таблиця 1'!$B:$B,$A709,'Таблиця 1'!$I:$I,"Су-27",'Таблиця 1'!$J:$J,"MK-24"))</f>
        <v/>
      </c>
      <c r="R709">
        <f>IF($A709="","",COUNTIFS('Таблиця 1'!$B:$B,$A709,'Таблиця 1'!$I:$I,"Mirage",'Таблиця 1'!$L:$L,"Уражено")+COUNTIFS('Таблиця 1'!$B:$B,$A709,'Таблиця 1'!$I:$I,"F-16",'Таблиця 1'!$L:$L,"Уражено")+COUNTIFS('Таблиця 1'!$B:$B,$A709,'Таблиця 1'!$I:$I,"МіГ-29",'Таблиця 1'!$L:$L,"Уражено")+COUNTIFS('Таблиця 1'!$B:$B,$A709,'Таблиця 1'!$I:$I,"Су-25",'Таблиця 1'!$L:$L,"Уражено")+COUNTIFS('Таблиця 1'!$B:$B,$A709,'Таблиця 1'!$I:$I,"Су-27",'Таблиця 1'!$L:$L,"Уражено"))</f>
        <v/>
      </c>
      <c r="S709">
        <f>IF($A709="","",COUNTIFS('Таблиця 1'!$B:$B,$A709,'Таблиця 1'!$I:$I,"Mirage",'Таблиця 1'!$L:$L,"НЕ уражено")+COUNTIFS('Таблиця 1'!$B:$B,$A709,'Таблиця 1'!$I:$I,"F-16",'Таблиця 1'!$L:$L,"НЕ уражено")+COUNTIFS('Таблиця 1'!$B:$B,$A709,'Таблиця 1'!$I:$I,"МіГ-29",'Таблиця 1'!$L:$L,"НЕ уражено")+COUNTIFS('Таблиця 1'!$B:$B,$A709,'Таблиця 1'!$I:$I,"Су-25",'Таблиця 1'!$L:$L,"НЕ уражено")+COUNTIFS('Таблиця 1'!$B:$B,$A709,'Таблиця 1'!$I:$I,"Су-27",'Таблиця 1'!$L:$L,"НЕ уражено"))</f>
        <v/>
      </c>
      <c r="T709">
        <f>IF($A709="","",COUNTIFS('Таблиця 1'!$B:$B,$A709,'Таблиця 1'!$I:$I,"Mirage",'Таблиця 1'!$L:$L,"Дорозвідується")+COUNTIFS('Таблиця 1'!$B:$B,$A709,'Таблиця 1'!$I:$I,"F-16",'Таблиця 1'!$L:$L,"Дорозвідується")+COUNTIFS('Таблиця 1'!$B:$B,$A709,'Таблиця 1'!$I:$I,"МіГ-29",'Таблиця 1'!$L:$L,"Дорозвідується")+COUNTIFS('Таблиця 1'!$B:$B,$A709,'Таблиця 1'!$I:$I,"Су-25",'Таблиця 1'!$L:$L,"Дорозвідується")+COUNTIFS('Таблиця 1'!$B:$B,$A709,'Таблиця 1'!$I:$I,"Су-27",'Таблиця 1'!$L:$L,"Дорозвідується"))</f>
        <v/>
      </c>
    </row>
    <row r="710">
      <c r="A710" s="273">
        <f>IF(A709="","",IF(A709+1&gt;MAX('Таблиця 1'!$B:$B),"",A709+1))</f>
        <v/>
      </c>
      <c r="B710">
        <f>IF($A710="","",COUNTIFS('Таблиця 1'!$B:$B,$A710,'Таблиця 1'!$I:$I,"Mirage")+COUNTIFS('Таблиця 1'!$B:$B,$A710,'Таблиця 1'!$I:$I,"F-16")+COUNTIFS('Таблиця 1'!$B:$B,$A710,'Таблиця 1'!$I:$I,"МіГ-29")+COUNTIFS('Таблиця 1'!$B:$B,$A710,'Таблиця 1'!$I:$I,"Су-25")+COUNTIFS('Таблиця 1'!$B:$B,$A710,'Таблиця 1'!$I:$I,"Су-27"))</f>
        <v/>
      </c>
      <c r="C710">
        <f>IF($A710="","",COUNTIFS('Таблиця 1'!$B:$B,$A710,'Таблиця 1'!$I:$I,"Mirage"))</f>
        <v/>
      </c>
      <c r="D710">
        <f>IF($A710="","",COUNTIFS('Таблиця 1'!$B:$B,$A710,'Таблиця 1'!$I:$I,"F-16"))</f>
        <v/>
      </c>
      <c r="E710">
        <f>IF($A710="","",COUNTIFS('Таблиця 1'!$B:$B,$A710,'Таблиця 1'!$I:$I,"МіГ-29"))</f>
        <v/>
      </c>
      <c r="F710">
        <f>IF($A710="","",COUNTIFS('Таблиця 1'!$B:$B,$A710,'Таблиця 1'!$I:$I,"Су-25"))</f>
        <v/>
      </c>
      <c r="G710">
        <f>IF($A710="","",COUNTIFS('Таблиця 1'!$B:$B,$A710,'Таблиця 1'!$I:$I,"Су-27"))</f>
        <v/>
      </c>
      <c r="H710">
        <f>IF($A710="","",SUMIFS('Таблиця 1'!$K:$K,'Таблиця 1'!$B:$B,$A710,'Таблиця 1'!$I:$I,"Mirage",'Таблиця 1'!$J:$J,"AGM-88")+SUMIFS('Таблиця 1'!$K:$K,'Таблиця 1'!$B:$B,$A710,'Таблиця 1'!$I:$I,"F-16",'Таблиця 1'!$J:$J,"AGM-88")+SUMIFS('Таблиця 1'!$K:$K,'Таблиця 1'!$B:$B,$A710,'Таблиця 1'!$I:$I,"МіГ-29",'Таблиця 1'!$J:$J,"AGM-88")+SUMIFS('Таблиця 1'!$K:$K,'Таблиця 1'!$B:$B,$A710,'Таблиця 1'!$I:$I,"Су-25",'Таблиця 1'!$J:$J,"AGM-88")+SUMIFS('Таблиця 1'!$K:$K,'Таблиця 1'!$B:$B,$A710,'Таблиця 1'!$I:$I,"Су-27",'Таблиця 1'!$J:$J,"AGM-88"))</f>
        <v/>
      </c>
      <c r="I710">
        <f>IF($A710="","",SUMIFS('Таблиця 1'!$K:$K,'Таблиця 1'!$B:$B,$A710,'Таблиця 1'!$I:$I,"Mirage",'Таблиця 1'!$J:$J,"AASM-250")+SUMIFS('Таблиця 1'!$K:$K,'Таблиця 1'!$B:$B,$A710,'Таблиця 1'!$I:$I,"F-16",'Таблиця 1'!$J:$J,"AASM-250")+SUMIFS('Таблиця 1'!$K:$K,'Таблиця 1'!$B:$B,$A710,'Таблиця 1'!$I:$I,"МіГ-29",'Таблиця 1'!$J:$J,"AASM-250")+SUMIFS('Таблиця 1'!$K:$K,'Таблиця 1'!$B:$B,$A710,'Таблиця 1'!$I:$I,"Су-25",'Таблиця 1'!$J:$J,"AASM-250")+SUMIFS('Таблиця 1'!$K:$K,'Таблиця 1'!$B:$B,$A710,'Таблиця 1'!$I:$I,"Су-27",'Таблиця 1'!$J:$J,"AASM-250"))</f>
        <v/>
      </c>
      <c r="J710">
        <f>IF($A710="","",SUMIFS('Таблиця 1'!$K:$K,'Таблиця 1'!$B:$B,$A710,'Таблиця 1'!$I:$I,"Mirage",'Таблиця 1'!$J:$J,"GBU-39")+SUMIFS('Таблиця 1'!$K:$K,'Таблиця 1'!$B:$B,$A710,'Таблиця 1'!$I:$I,"F-16",'Таблиця 1'!$J:$J,"GBU-39")+SUMIFS('Таблиця 1'!$K:$K,'Таблиця 1'!$B:$B,$A710,'Таблиця 1'!$I:$I,"МіГ-29",'Таблиця 1'!$J:$J,"GBU-39")+SUMIFS('Таблиця 1'!$K:$K,'Таблиця 1'!$B:$B,$A710,'Таблиця 1'!$I:$I,"Су-25",'Таблиця 1'!$J:$J,"GBU-39")+SUMIFS('Таблиця 1'!$K:$K,'Таблиця 1'!$B:$B,$A710,'Таблиця 1'!$I:$I,"Су-27",'Таблиця 1'!$J:$J,"GBU-39"))</f>
        <v/>
      </c>
      <c r="K710">
        <f>IF($A710="","",SUMIFS('Таблиця 1'!$K:$K,'Таблиця 1'!$B:$B,$A710,'Таблиця 1'!$I:$I,"Mirage",'Таблиця 1'!$J:$J,"BLU-140")+SUMIFS('Таблиця 1'!$K:$K,'Таблиця 1'!$B:$B,$A710,'Таблиця 1'!$I:$I,"F-16",'Таблиця 1'!$J:$J,"BLU-140")+SUMIFS('Таблиця 1'!$K:$K,'Таблиця 1'!$B:$B,$A710,'Таблиця 1'!$I:$I,"МіГ-29",'Таблиця 1'!$J:$J,"BLU-140")+SUMIFS('Таблиця 1'!$K:$K,'Таблиця 1'!$B:$B,$A710,'Таблиця 1'!$I:$I,"Су-25",'Таблиця 1'!$J:$J,"BLU-140")+SUMIFS('Таблиця 1'!$K:$K,'Таблиця 1'!$B:$B,$A710,'Таблиця 1'!$I:$I,"Су-27",'Таблиця 1'!$J:$J,"BLU-140"))</f>
        <v/>
      </c>
      <c r="L710">
        <f>IF($A710="","",SUMIFS('Таблиця 1'!$K:$K,'Таблиця 1'!$B:$B,$A710,'Таблиця 1'!$I:$I,"Mirage",'Таблиця 1'!$J:$J,"GBU-65")+SUMIFS('Таблиця 1'!$K:$K,'Таблиця 1'!$B:$B,$A710,'Таблиця 1'!$I:$I,"F-16",'Таблиця 1'!$J:$J,"GBU-65")+SUMIFS('Таблиця 1'!$K:$K,'Таблиця 1'!$B:$B,$A710,'Таблиця 1'!$I:$I,"МіГ-29",'Таблиця 1'!$J:$J,"GBU-65")+SUMIFS('Таблиця 1'!$K:$K,'Таблиця 1'!$B:$B,$A710,'Таблиця 1'!$I:$I,"Су-25",'Таблиця 1'!$J:$J,"GBU-65")+SUMIFS('Таблиця 1'!$K:$K,'Таблиця 1'!$B:$B,$A710,'Таблиця 1'!$I:$I,"Су-27",'Таблиця 1'!$J:$J,"GBU-65"))</f>
        <v/>
      </c>
      <c r="M710">
        <f>IF($A710="","",SUMIFS('Таблиця 1'!$K:$K,'Таблиця 1'!$B:$B,$A710,'Таблиця 1'!$I:$I,"Mirage",'Таблиця 1'!$J:$J,"GBU-62")+SUMIFS('Таблиця 1'!$K:$K,'Таблиця 1'!$B:$B,$A710,'Таблиця 1'!$I:$I,"F-16",'Таблиця 1'!$J:$J,"GBU-62")+SUMIFS('Таблиця 1'!$K:$K,'Таблиця 1'!$B:$B,$A710,'Таблиця 1'!$I:$I,"МіГ-29",'Таблиця 1'!$J:$J,"GBU-62")+SUMIFS('Таблиця 1'!$K:$K,'Таблиця 1'!$B:$B,$A710,'Таблиця 1'!$I:$I,"Су-25",'Таблиця 1'!$J:$J,"GBU-62")+SUMIFS('Таблиця 1'!$K:$K,'Таблиця 1'!$B:$B,$A710,'Таблиця 1'!$I:$I,"Су-27",'Таблиця 1'!$J:$J,"GBU-62"))</f>
        <v/>
      </c>
      <c r="N710">
        <f>IF($A710="","",SUMIFS('Таблиця 1'!$K:$K,'Таблиця 1'!$B:$B,$A710,'Таблиця 1'!$I:$I,"Mirage",'Таблиця 1'!$J:$J,"GBU-64")+SUMIFS('Таблиця 1'!$K:$K,'Таблиця 1'!$B:$B,$A710,'Таблиця 1'!$I:$I,"F-16",'Таблиця 1'!$J:$J,"GBU-64")+SUMIFS('Таблиця 1'!$K:$K,'Таблиця 1'!$B:$B,$A710,'Таблиця 1'!$I:$I,"МіГ-29",'Таблиця 1'!$J:$J,"GBU-64")+SUMIFS('Таблиця 1'!$K:$K,'Таблиця 1'!$B:$B,$A710,'Таблиця 1'!$I:$I,"Су-25",'Таблиця 1'!$J:$J,"GBU-64")+SUMIFS('Таблиця 1'!$K:$K,'Таблиця 1'!$B:$B,$A710,'Таблиця 1'!$I:$I,"Су-27",'Таблиця 1'!$J:$J,"GBU-64"))</f>
        <v/>
      </c>
      <c r="O710">
        <f>IF($A710="","",SUMIFS('Таблиця 1'!$K:$K,'Таблиця 1'!$B:$B,$A710,'Таблиця 1'!$I:$I,"Mirage",'Таблиця 1'!$J:$J,"C-13")+SUMIFS('Таблиця 1'!$K:$K,'Таблиця 1'!$B:$B,$A710,'Таблиця 1'!$I:$I,"F-16",'Таблиця 1'!$J:$J,"C-13")+SUMIFS('Таблиця 1'!$K:$K,'Таблиця 1'!$B:$B,$A710,'Таблиця 1'!$I:$I,"МіГ-29",'Таблиця 1'!$J:$J,"C-13")+SUMIFS('Таблиця 1'!$K:$K,'Таблиця 1'!$B:$B,$A710,'Таблиця 1'!$I:$I,"Су-25",'Таблиця 1'!$J:$J,"C-13")+SUMIFS('Таблиця 1'!$K:$K,'Таблиця 1'!$B:$B,$A710,'Таблиця 1'!$I:$I,"Су-27",'Таблиця 1'!$J:$J,"C-13"))</f>
        <v/>
      </c>
      <c r="P710">
        <f>IF($A710="","",SUMIFS('Таблиця 1'!$K:$K,'Таблиця 1'!$B:$B,$A710,'Таблиця 1'!$I:$I,"Mirage",'Таблиця 1'!$J:$J,"MK-32")+SUMIFS('Таблиця 1'!$K:$K,'Таблиця 1'!$B:$B,$A710,'Таблиця 1'!$I:$I,"F-16",'Таблиця 1'!$J:$J,"MK-32")+SUMIFS('Таблиця 1'!$K:$K,'Таблиця 1'!$B:$B,$A710,'Таблиця 1'!$I:$I,"МіГ-29",'Таблиця 1'!$J:$J,"MK-32")+SUMIFS('Таблиця 1'!$K:$K,'Таблиця 1'!$B:$B,$A710,'Таблиця 1'!$I:$I,"Су-25",'Таблиця 1'!$J:$J,"MK-32")+SUMIFS('Таблиця 1'!$K:$K,'Таблиця 1'!$B:$B,$A710,'Таблиця 1'!$I:$I,"Су-27",'Таблиця 1'!$J:$J,"MK-32"))</f>
        <v/>
      </c>
      <c r="Q710">
        <f>IF($A710="","",SUMIFS('Таблиця 1'!$K:$K,'Таблиця 1'!$B:$B,$A710,'Таблиця 1'!$I:$I,"Mirage",'Таблиця 1'!$J:$J,"MK-24")+SUMIFS('Таблиця 1'!$K:$K,'Таблиця 1'!$B:$B,$A710,'Таблиця 1'!$I:$I,"F-16",'Таблиця 1'!$J:$J,"MK-24")+SUMIFS('Таблиця 1'!$K:$K,'Таблиця 1'!$B:$B,$A710,'Таблиця 1'!$I:$I,"МіГ-29",'Таблиця 1'!$J:$J,"MK-24")+SUMIFS('Таблиця 1'!$K:$K,'Таблиця 1'!$B:$B,$A710,'Таблиця 1'!$I:$I,"Су-25",'Таблиця 1'!$J:$J,"MK-24")+SUMIFS('Таблиця 1'!$K:$K,'Таблиця 1'!$B:$B,$A710,'Таблиця 1'!$I:$I,"Су-27",'Таблиця 1'!$J:$J,"MK-24"))</f>
        <v/>
      </c>
      <c r="R710">
        <f>IF($A710="","",COUNTIFS('Таблиця 1'!$B:$B,$A710,'Таблиця 1'!$I:$I,"Mirage",'Таблиця 1'!$L:$L,"Уражено")+COUNTIFS('Таблиця 1'!$B:$B,$A710,'Таблиця 1'!$I:$I,"F-16",'Таблиця 1'!$L:$L,"Уражено")+COUNTIFS('Таблиця 1'!$B:$B,$A710,'Таблиця 1'!$I:$I,"МіГ-29",'Таблиця 1'!$L:$L,"Уражено")+COUNTIFS('Таблиця 1'!$B:$B,$A710,'Таблиця 1'!$I:$I,"Су-25",'Таблиця 1'!$L:$L,"Уражено")+COUNTIFS('Таблиця 1'!$B:$B,$A710,'Таблиця 1'!$I:$I,"Су-27",'Таблиця 1'!$L:$L,"Уражено"))</f>
        <v/>
      </c>
      <c r="S710">
        <f>IF($A710="","",COUNTIFS('Таблиця 1'!$B:$B,$A710,'Таблиця 1'!$I:$I,"Mirage",'Таблиця 1'!$L:$L,"НЕ уражено")+COUNTIFS('Таблиця 1'!$B:$B,$A710,'Таблиця 1'!$I:$I,"F-16",'Таблиця 1'!$L:$L,"НЕ уражено")+COUNTIFS('Таблиця 1'!$B:$B,$A710,'Таблиця 1'!$I:$I,"МіГ-29",'Таблиця 1'!$L:$L,"НЕ уражено")+COUNTIFS('Таблиця 1'!$B:$B,$A710,'Таблиця 1'!$I:$I,"Су-25",'Таблиця 1'!$L:$L,"НЕ уражено")+COUNTIFS('Таблиця 1'!$B:$B,$A710,'Таблиця 1'!$I:$I,"Су-27",'Таблиця 1'!$L:$L,"НЕ уражено"))</f>
        <v/>
      </c>
      <c r="T710">
        <f>IF($A710="","",COUNTIFS('Таблиця 1'!$B:$B,$A710,'Таблиця 1'!$I:$I,"Mirage",'Таблиця 1'!$L:$L,"Дорозвідується")+COUNTIFS('Таблиця 1'!$B:$B,$A710,'Таблиця 1'!$I:$I,"F-16",'Таблиця 1'!$L:$L,"Дорозвідується")+COUNTIFS('Таблиця 1'!$B:$B,$A710,'Таблиця 1'!$I:$I,"МіГ-29",'Таблиця 1'!$L:$L,"Дорозвідується")+COUNTIFS('Таблиця 1'!$B:$B,$A710,'Таблиця 1'!$I:$I,"Су-25",'Таблиця 1'!$L:$L,"Дорозвідується")+COUNTIFS('Таблиця 1'!$B:$B,$A710,'Таблиця 1'!$I:$I,"Су-27",'Таблиця 1'!$L:$L,"Дорозвідується"))</f>
        <v/>
      </c>
    </row>
    <row r="711">
      <c r="A711" s="273">
        <f>IF(A710="","",IF(A710+1&gt;MAX('Таблиця 1'!$B:$B),"",A710+1))</f>
        <v/>
      </c>
      <c r="B711">
        <f>IF($A711="","",COUNTIFS('Таблиця 1'!$B:$B,$A711,'Таблиця 1'!$I:$I,"Mirage")+COUNTIFS('Таблиця 1'!$B:$B,$A711,'Таблиця 1'!$I:$I,"F-16")+COUNTIFS('Таблиця 1'!$B:$B,$A711,'Таблиця 1'!$I:$I,"МіГ-29")+COUNTIFS('Таблиця 1'!$B:$B,$A711,'Таблиця 1'!$I:$I,"Су-25")+COUNTIFS('Таблиця 1'!$B:$B,$A711,'Таблиця 1'!$I:$I,"Су-27"))</f>
        <v/>
      </c>
      <c r="C711">
        <f>IF($A711="","",COUNTIFS('Таблиця 1'!$B:$B,$A711,'Таблиця 1'!$I:$I,"Mirage"))</f>
        <v/>
      </c>
      <c r="D711">
        <f>IF($A711="","",COUNTIFS('Таблиця 1'!$B:$B,$A711,'Таблиця 1'!$I:$I,"F-16"))</f>
        <v/>
      </c>
      <c r="E711">
        <f>IF($A711="","",COUNTIFS('Таблиця 1'!$B:$B,$A711,'Таблиця 1'!$I:$I,"МіГ-29"))</f>
        <v/>
      </c>
      <c r="F711">
        <f>IF($A711="","",COUNTIFS('Таблиця 1'!$B:$B,$A711,'Таблиця 1'!$I:$I,"Су-25"))</f>
        <v/>
      </c>
      <c r="G711">
        <f>IF($A711="","",COUNTIFS('Таблиця 1'!$B:$B,$A711,'Таблиця 1'!$I:$I,"Су-27"))</f>
        <v/>
      </c>
      <c r="H711">
        <f>IF($A711="","",SUMIFS('Таблиця 1'!$K:$K,'Таблиця 1'!$B:$B,$A711,'Таблиця 1'!$I:$I,"Mirage",'Таблиця 1'!$J:$J,"AGM-88")+SUMIFS('Таблиця 1'!$K:$K,'Таблиця 1'!$B:$B,$A711,'Таблиця 1'!$I:$I,"F-16",'Таблиця 1'!$J:$J,"AGM-88")+SUMIFS('Таблиця 1'!$K:$K,'Таблиця 1'!$B:$B,$A711,'Таблиця 1'!$I:$I,"МіГ-29",'Таблиця 1'!$J:$J,"AGM-88")+SUMIFS('Таблиця 1'!$K:$K,'Таблиця 1'!$B:$B,$A711,'Таблиця 1'!$I:$I,"Су-25",'Таблиця 1'!$J:$J,"AGM-88")+SUMIFS('Таблиця 1'!$K:$K,'Таблиця 1'!$B:$B,$A711,'Таблиця 1'!$I:$I,"Су-27",'Таблиця 1'!$J:$J,"AGM-88"))</f>
        <v/>
      </c>
      <c r="I711">
        <f>IF($A711="","",SUMIFS('Таблиця 1'!$K:$K,'Таблиця 1'!$B:$B,$A711,'Таблиця 1'!$I:$I,"Mirage",'Таблиця 1'!$J:$J,"AASM-250")+SUMIFS('Таблиця 1'!$K:$K,'Таблиця 1'!$B:$B,$A711,'Таблиця 1'!$I:$I,"F-16",'Таблиця 1'!$J:$J,"AASM-250")+SUMIFS('Таблиця 1'!$K:$K,'Таблиця 1'!$B:$B,$A711,'Таблиця 1'!$I:$I,"МіГ-29",'Таблиця 1'!$J:$J,"AASM-250")+SUMIFS('Таблиця 1'!$K:$K,'Таблиця 1'!$B:$B,$A711,'Таблиця 1'!$I:$I,"Су-25",'Таблиця 1'!$J:$J,"AASM-250")+SUMIFS('Таблиця 1'!$K:$K,'Таблиця 1'!$B:$B,$A711,'Таблиця 1'!$I:$I,"Су-27",'Таблиця 1'!$J:$J,"AASM-250"))</f>
        <v/>
      </c>
      <c r="J711">
        <f>IF($A711="","",SUMIFS('Таблиця 1'!$K:$K,'Таблиця 1'!$B:$B,$A711,'Таблиця 1'!$I:$I,"Mirage",'Таблиця 1'!$J:$J,"GBU-39")+SUMIFS('Таблиця 1'!$K:$K,'Таблиця 1'!$B:$B,$A711,'Таблиця 1'!$I:$I,"F-16",'Таблиця 1'!$J:$J,"GBU-39")+SUMIFS('Таблиця 1'!$K:$K,'Таблиця 1'!$B:$B,$A711,'Таблиця 1'!$I:$I,"МіГ-29",'Таблиця 1'!$J:$J,"GBU-39")+SUMIFS('Таблиця 1'!$K:$K,'Таблиця 1'!$B:$B,$A711,'Таблиця 1'!$I:$I,"Су-25",'Таблиця 1'!$J:$J,"GBU-39")+SUMIFS('Таблиця 1'!$K:$K,'Таблиця 1'!$B:$B,$A711,'Таблиця 1'!$I:$I,"Су-27",'Таблиця 1'!$J:$J,"GBU-39"))</f>
        <v/>
      </c>
      <c r="K711">
        <f>IF($A711="","",SUMIFS('Таблиця 1'!$K:$K,'Таблиця 1'!$B:$B,$A711,'Таблиця 1'!$I:$I,"Mirage",'Таблиця 1'!$J:$J,"BLU-140")+SUMIFS('Таблиця 1'!$K:$K,'Таблиця 1'!$B:$B,$A711,'Таблиця 1'!$I:$I,"F-16",'Таблиця 1'!$J:$J,"BLU-140")+SUMIFS('Таблиця 1'!$K:$K,'Таблиця 1'!$B:$B,$A711,'Таблиця 1'!$I:$I,"МіГ-29",'Таблиця 1'!$J:$J,"BLU-140")+SUMIFS('Таблиця 1'!$K:$K,'Таблиця 1'!$B:$B,$A711,'Таблиця 1'!$I:$I,"Су-25",'Таблиця 1'!$J:$J,"BLU-140")+SUMIFS('Таблиця 1'!$K:$K,'Таблиця 1'!$B:$B,$A711,'Таблиця 1'!$I:$I,"Су-27",'Таблиця 1'!$J:$J,"BLU-140"))</f>
        <v/>
      </c>
      <c r="L711">
        <f>IF($A711="","",SUMIFS('Таблиця 1'!$K:$K,'Таблиця 1'!$B:$B,$A711,'Таблиця 1'!$I:$I,"Mirage",'Таблиця 1'!$J:$J,"GBU-65")+SUMIFS('Таблиця 1'!$K:$K,'Таблиця 1'!$B:$B,$A711,'Таблиця 1'!$I:$I,"F-16",'Таблиця 1'!$J:$J,"GBU-65")+SUMIFS('Таблиця 1'!$K:$K,'Таблиця 1'!$B:$B,$A711,'Таблиця 1'!$I:$I,"МіГ-29",'Таблиця 1'!$J:$J,"GBU-65")+SUMIFS('Таблиця 1'!$K:$K,'Таблиця 1'!$B:$B,$A711,'Таблиця 1'!$I:$I,"Су-25",'Таблиця 1'!$J:$J,"GBU-65")+SUMIFS('Таблиця 1'!$K:$K,'Таблиця 1'!$B:$B,$A711,'Таблиця 1'!$I:$I,"Су-27",'Таблиця 1'!$J:$J,"GBU-65"))</f>
        <v/>
      </c>
      <c r="M711">
        <f>IF($A711="","",SUMIFS('Таблиця 1'!$K:$K,'Таблиця 1'!$B:$B,$A711,'Таблиця 1'!$I:$I,"Mirage",'Таблиця 1'!$J:$J,"GBU-62")+SUMIFS('Таблиця 1'!$K:$K,'Таблиця 1'!$B:$B,$A711,'Таблиця 1'!$I:$I,"F-16",'Таблиця 1'!$J:$J,"GBU-62")+SUMIFS('Таблиця 1'!$K:$K,'Таблиця 1'!$B:$B,$A711,'Таблиця 1'!$I:$I,"МіГ-29",'Таблиця 1'!$J:$J,"GBU-62")+SUMIFS('Таблиця 1'!$K:$K,'Таблиця 1'!$B:$B,$A711,'Таблиця 1'!$I:$I,"Су-25",'Таблиця 1'!$J:$J,"GBU-62")+SUMIFS('Таблиця 1'!$K:$K,'Таблиця 1'!$B:$B,$A711,'Таблиця 1'!$I:$I,"Су-27",'Таблиця 1'!$J:$J,"GBU-62"))</f>
        <v/>
      </c>
      <c r="N711">
        <f>IF($A711="","",SUMIFS('Таблиця 1'!$K:$K,'Таблиця 1'!$B:$B,$A711,'Таблиця 1'!$I:$I,"Mirage",'Таблиця 1'!$J:$J,"GBU-64")+SUMIFS('Таблиця 1'!$K:$K,'Таблиця 1'!$B:$B,$A711,'Таблиця 1'!$I:$I,"F-16",'Таблиця 1'!$J:$J,"GBU-64")+SUMIFS('Таблиця 1'!$K:$K,'Таблиця 1'!$B:$B,$A711,'Таблиця 1'!$I:$I,"МіГ-29",'Таблиця 1'!$J:$J,"GBU-64")+SUMIFS('Таблиця 1'!$K:$K,'Таблиця 1'!$B:$B,$A711,'Таблиця 1'!$I:$I,"Су-25",'Таблиця 1'!$J:$J,"GBU-64")+SUMIFS('Таблиця 1'!$K:$K,'Таблиця 1'!$B:$B,$A711,'Таблиця 1'!$I:$I,"Су-27",'Таблиця 1'!$J:$J,"GBU-64"))</f>
        <v/>
      </c>
      <c r="O711">
        <f>IF($A711="","",SUMIFS('Таблиця 1'!$K:$K,'Таблиця 1'!$B:$B,$A711,'Таблиця 1'!$I:$I,"Mirage",'Таблиця 1'!$J:$J,"C-13")+SUMIFS('Таблиця 1'!$K:$K,'Таблиця 1'!$B:$B,$A711,'Таблиця 1'!$I:$I,"F-16",'Таблиця 1'!$J:$J,"C-13")+SUMIFS('Таблиця 1'!$K:$K,'Таблиця 1'!$B:$B,$A711,'Таблиця 1'!$I:$I,"МіГ-29",'Таблиця 1'!$J:$J,"C-13")+SUMIFS('Таблиця 1'!$K:$K,'Таблиця 1'!$B:$B,$A711,'Таблиця 1'!$I:$I,"Су-25",'Таблиця 1'!$J:$J,"C-13")+SUMIFS('Таблиця 1'!$K:$K,'Таблиця 1'!$B:$B,$A711,'Таблиця 1'!$I:$I,"Су-27",'Таблиця 1'!$J:$J,"C-13"))</f>
        <v/>
      </c>
      <c r="P711">
        <f>IF($A711="","",SUMIFS('Таблиця 1'!$K:$K,'Таблиця 1'!$B:$B,$A711,'Таблиця 1'!$I:$I,"Mirage",'Таблиця 1'!$J:$J,"MK-32")+SUMIFS('Таблиця 1'!$K:$K,'Таблиця 1'!$B:$B,$A711,'Таблиця 1'!$I:$I,"F-16",'Таблиця 1'!$J:$J,"MK-32")+SUMIFS('Таблиця 1'!$K:$K,'Таблиця 1'!$B:$B,$A711,'Таблиця 1'!$I:$I,"МіГ-29",'Таблиця 1'!$J:$J,"MK-32")+SUMIFS('Таблиця 1'!$K:$K,'Таблиця 1'!$B:$B,$A711,'Таблиця 1'!$I:$I,"Су-25",'Таблиця 1'!$J:$J,"MK-32")+SUMIFS('Таблиця 1'!$K:$K,'Таблиця 1'!$B:$B,$A711,'Таблиця 1'!$I:$I,"Су-27",'Таблиця 1'!$J:$J,"MK-32"))</f>
        <v/>
      </c>
      <c r="Q711">
        <f>IF($A711="","",SUMIFS('Таблиця 1'!$K:$K,'Таблиця 1'!$B:$B,$A711,'Таблиця 1'!$I:$I,"Mirage",'Таблиця 1'!$J:$J,"MK-24")+SUMIFS('Таблиця 1'!$K:$K,'Таблиця 1'!$B:$B,$A711,'Таблиця 1'!$I:$I,"F-16",'Таблиця 1'!$J:$J,"MK-24")+SUMIFS('Таблиця 1'!$K:$K,'Таблиця 1'!$B:$B,$A711,'Таблиця 1'!$I:$I,"МіГ-29",'Таблиця 1'!$J:$J,"MK-24")+SUMIFS('Таблиця 1'!$K:$K,'Таблиця 1'!$B:$B,$A711,'Таблиця 1'!$I:$I,"Су-25",'Таблиця 1'!$J:$J,"MK-24")+SUMIFS('Таблиця 1'!$K:$K,'Таблиця 1'!$B:$B,$A711,'Таблиця 1'!$I:$I,"Су-27",'Таблиця 1'!$J:$J,"MK-24"))</f>
        <v/>
      </c>
      <c r="R711">
        <f>IF($A711="","",COUNTIFS('Таблиця 1'!$B:$B,$A711,'Таблиця 1'!$I:$I,"Mirage",'Таблиця 1'!$L:$L,"Уражено")+COUNTIFS('Таблиця 1'!$B:$B,$A711,'Таблиця 1'!$I:$I,"F-16",'Таблиця 1'!$L:$L,"Уражено")+COUNTIFS('Таблиця 1'!$B:$B,$A711,'Таблиця 1'!$I:$I,"МіГ-29",'Таблиця 1'!$L:$L,"Уражено")+COUNTIFS('Таблиця 1'!$B:$B,$A711,'Таблиця 1'!$I:$I,"Су-25",'Таблиця 1'!$L:$L,"Уражено")+COUNTIFS('Таблиця 1'!$B:$B,$A711,'Таблиця 1'!$I:$I,"Су-27",'Таблиця 1'!$L:$L,"Уражено"))</f>
        <v/>
      </c>
      <c r="S711">
        <f>IF($A711="","",COUNTIFS('Таблиця 1'!$B:$B,$A711,'Таблиця 1'!$I:$I,"Mirage",'Таблиця 1'!$L:$L,"НЕ уражено")+COUNTIFS('Таблиця 1'!$B:$B,$A711,'Таблиця 1'!$I:$I,"F-16",'Таблиця 1'!$L:$L,"НЕ уражено")+COUNTIFS('Таблиця 1'!$B:$B,$A711,'Таблиця 1'!$I:$I,"МіГ-29",'Таблиця 1'!$L:$L,"НЕ уражено")+COUNTIFS('Таблиця 1'!$B:$B,$A711,'Таблиця 1'!$I:$I,"Су-25",'Таблиця 1'!$L:$L,"НЕ уражено")+COUNTIFS('Таблиця 1'!$B:$B,$A711,'Таблиця 1'!$I:$I,"Су-27",'Таблиця 1'!$L:$L,"НЕ уражено"))</f>
        <v/>
      </c>
      <c r="T711">
        <f>IF($A711="","",COUNTIFS('Таблиця 1'!$B:$B,$A711,'Таблиця 1'!$I:$I,"Mirage",'Таблиця 1'!$L:$L,"Дорозвідується")+COUNTIFS('Таблиця 1'!$B:$B,$A711,'Таблиця 1'!$I:$I,"F-16",'Таблиця 1'!$L:$L,"Дорозвідується")+COUNTIFS('Таблиця 1'!$B:$B,$A711,'Таблиця 1'!$I:$I,"МіГ-29",'Таблиця 1'!$L:$L,"Дорозвідується")+COUNTIFS('Таблиця 1'!$B:$B,$A711,'Таблиця 1'!$I:$I,"Су-25",'Таблиця 1'!$L:$L,"Дорозвідується")+COUNTIFS('Таблиця 1'!$B:$B,$A711,'Таблиця 1'!$I:$I,"Су-27",'Таблиця 1'!$L:$L,"Дорозвідується"))</f>
        <v/>
      </c>
    </row>
    <row r="712">
      <c r="A712" s="273">
        <f>IF(A711="","",IF(A711+1&gt;MAX('Таблиця 1'!$B:$B),"",A711+1))</f>
        <v/>
      </c>
      <c r="B712">
        <f>IF($A712="","",COUNTIFS('Таблиця 1'!$B:$B,$A712,'Таблиця 1'!$I:$I,"Mirage")+COUNTIFS('Таблиця 1'!$B:$B,$A712,'Таблиця 1'!$I:$I,"F-16")+COUNTIFS('Таблиця 1'!$B:$B,$A712,'Таблиця 1'!$I:$I,"МіГ-29")+COUNTIFS('Таблиця 1'!$B:$B,$A712,'Таблиця 1'!$I:$I,"Су-25")+COUNTIFS('Таблиця 1'!$B:$B,$A712,'Таблиця 1'!$I:$I,"Су-27"))</f>
        <v/>
      </c>
      <c r="C712">
        <f>IF($A712="","",COUNTIFS('Таблиця 1'!$B:$B,$A712,'Таблиця 1'!$I:$I,"Mirage"))</f>
        <v/>
      </c>
      <c r="D712">
        <f>IF($A712="","",COUNTIFS('Таблиця 1'!$B:$B,$A712,'Таблиця 1'!$I:$I,"F-16"))</f>
        <v/>
      </c>
      <c r="E712">
        <f>IF($A712="","",COUNTIFS('Таблиця 1'!$B:$B,$A712,'Таблиця 1'!$I:$I,"МіГ-29"))</f>
        <v/>
      </c>
      <c r="F712">
        <f>IF($A712="","",COUNTIFS('Таблиця 1'!$B:$B,$A712,'Таблиця 1'!$I:$I,"Су-25"))</f>
        <v/>
      </c>
      <c r="G712">
        <f>IF($A712="","",COUNTIFS('Таблиця 1'!$B:$B,$A712,'Таблиця 1'!$I:$I,"Су-27"))</f>
        <v/>
      </c>
      <c r="H712">
        <f>IF($A712="","",SUMIFS('Таблиця 1'!$K:$K,'Таблиця 1'!$B:$B,$A712,'Таблиця 1'!$I:$I,"Mirage",'Таблиця 1'!$J:$J,"AGM-88")+SUMIFS('Таблиця 1'!$K:$K,'Таблиця 1'!$B:$B,$A712,'Таблиця 1'!$I:$I,"F-16",'Таблиця 1'!$J:$J,"AGM-88")+SUMIFS('Таблиця 1'!$K:$K,'Таблиця 1'!$B:$B,$A712,'Таблиця 1'!$I:$I,"МіГ-29",'Таблиця 1'!$J:$J,"AGM-88")+SUMIFS('Таблиця 1'!$K:$K,'Таблиця 1'!$B:$B,$A712,'Таблиця 1'!$I:$I,"Су-25",'Таблиця 1'!$J:$J,"AGM-88")+SUMIFS('Таблиця 1'!$K:$K,'Таблиця 1'!$B:$B,$A712,'Таблиця 1'!$I:$I,"Су-27",'Таблиця 1'!$J:$J,"AGM-88"))</f>
        <v/>
      </c>
      <c r="I712">
        <f>IF($A712="","",SUMIFS('Таблиця 1'!$K:$K,'Таблиця 1'!$B:$B,$A712,'Таблиця 1'!$I:$I,"Mirage",'Таблиця 1'!$J:$J,"AASM-250")+SUMIFS('Таблиця 1'!$K:$K,'Таблиця 1'!$B:$B,$A712,'Таблиця 1'!$I:$I,"F-16",'Таблиця 1'!$J:$J,"AASM-250")+SUMIFS('Таблиця 1'!$K:$K,'Таблиця 1'!$B:$B,$A712,'Таблиця 1'!$I:$I,"МіГ-29",'Таблиця 1'!$J:$J,"AASM-250")+SUMIFS('Таблиця 1'!$K:$K,'Таблиця 1'!$B:$B,$A712,'Таблиця 1'!$I:$I,"Су-25",'Таблиця 1'!$J:$J,"AASM-250")+SUMIFS('Таблиця 1'!$K:$K,'Таблиця 1'!$B:$B,$A712,'Таблиця 1'!$I:$I,"Су-27",'Таблиця 1'!$J:$J,"AASM-250"))</f>
        <v/>
      </c>
      <c r="J712">
        <f>IF($A712="","",SUMIFS('Таблиця 1'!$K:$K,'Таблиця 1'!$B:$B,$A712,'Таблиця 1'!$I:$I,"Mirage",'Таблиця 1'!$J:$J,"GBU-39")+SUMIFS('Таблиця 1'!$K:$K,'Таблиця 1'!$B:$B,$A712,'Таблиця 1'!$I:$I,"F-16",'Таблиця 1'!$J:$J,"GBU-39")+SUMIFS('Таблиця 1'!$K:$K,'Таблиця 1'!$B:$B,$A712,'Таблиця 1'!$I:$I,"МіГ-29",'Таблиця 1'!$J:$J,"GBU-39")+SUMIFS('Таблиця 1'!$K:$K,'Таблиця 1'!$B:$B,$A712,'Таблиця 1'!$I:$I,"Су-25",'Таблиця 1'!$J:$J,"GBU-39")+SUMIFS('Таблиця 1'!$K:$K,'Таблиця 1'!$B:$B,$A712,'Таблиця 1'!$I:$I,"Су-27",'Таблиця 1'!$J:$J,"GBU-39"))</f>
        <v/>
      </c>
      <c r="K712">
        <f>IF($A712="","",SUMIFS('Таблиця 1'!$K:$K,'Таблиця 1'!$B:$B,$A712,'Таблиця 1'!$I:$I,"Mirage",'Таблиця 1'!$J:$J,"BLU-140")+SUMIFS('Таблиця 1'!$K:$K,'Таблиця 1'!$B:$B,$A712,'Таблиця 1'!$I:$I,"F-16",'Таблиця 1'!$J:$J,"BLU-140")+SUMIFS('Таблиця 1'!$K:$K,'Таблиця 1'!$B:$B,$A712,'Таблиця 1'!$I:$I,"МіГ-29",'Таблиця 1'!$J:$J,"BLU-140")+SUMIFS('Таблиця 1'!$K:$K,'Таблиця 1'!$B:$B,$A712,'Таблиця 1'!$I:$I,"Су-25",'Таблиця 1'!$J:$J,"BLU-140")+SUMIFS('Таблиця 1'!$K:$K,'Таблиця 1'!$B:$B,$A712,'Таблиця 1'!$I:$I,"Су-27",'Таблиця 1'!$J:$J,"BLU-140"))</f>
        <v/>
      </c>
      <c r="L712">
        <f>IF($A712="","",SUMIFS('Таблиця 1'!$K:$K,'Таблиця 1'!$B:$B,$A712,'Таблиця 1'!$I:$I,"Mirage",'Таблиця 1'!$J:$J,"GBU-65")+SUMIFS('Таблиця 1'!$K:$K,'Таблиця 1'!$B:$B,$A712,'Таблиця 1'!$I:$I,"F-16",'Таблиця 1'!$J:$J,"GBU-65")+SUMIFS('Таблиця 1'!$K:$K,'Таблиця 1'!$B:$B,$A712,'Таблиця 1'!$I:$I,"МіГ-29",'Таблиця 1'!$J:$J,"GBU-65")+SUMIFS('Таблиця 1'!$K:$K,'Таблиця 1'!$B:$B,$A712,'Таблиця 1'!$I:$I,"Су-25",'Таблиця 1'!$J:$J,"GBU-65")+SUMIFS('Таблиця 1'!$K:$K,'Таблиця 1'!$B:$B,$A712,'Таблиця 1'!$I:$I,"Су-27",'Таблиця 1'!$J:$J,"GBU-65"))</f>
        <v/>
      </c>
      <c r="M712">
        <f>IF($A712="","",SUMIFS('Таблиця 1'!$K:$K,'Таблиця 1'!$B:$B,$A712,'Таблиця 1'!$I:$I,"Mirage",'Таблиця 1'!$J:$J,"GBU-62")+SUMIFS('Таблиця 1'!$K:$K,'Таблиця 1'!$B:$B,$A712,'Таблиця 1'!$I:$I,"F-16",'Таблиця 1'!$J:$J,"GBU-62")+SUMIFS('Таблиця 1'!$K:$K,'Таблиця 1'!$B:$B,$A712,'Таблиця 1'!$I:$I,"МіГ-29",'Таблиця 1'!$J:$J,"GBU-62")+SUMIFS('Таблиця 1'!$K:$K,'Таблиця 1'!$B:$B,$A712,'Таблиця 1'!$I:$I,"Су-25",'Таблиця 1'!$J:$J,"GBU-62")+SUMIFS('Таблиця 1'!$K:$K,'Таблиця 1'!$B:$B,$A712,'Таблиця 1'!$I:$I,"Су-27",'Таблиця 1'!$J:$J,"GBU-62"))</f>
        <v/>
      </c>
      <c r="N712">
        <f>IF($A712="","",SUMIFS('Таблиця 1'!$K:$K,'Таблиця 1'!$B:$B,$A712,'Таблиця 1'!$I:$I,"Mirage",'Таблиця 1'!$J:$J,"GBU-64")+SUMIFS('Таблиця 1'!$K:$K,'Таблиця 1'!$B:$B,$A712,'Таблиця 1'!$I:$I,"F-16",'Таблиця 1'!$J:$J,"GBU-64")+SUMIFS('Таблиця 1'!$K:$K,'Таблиця 1'!$B:$B,$A712,'Таблиця 1'!$I:$I,"МіГ-29",'Таблиця 1'!$J:$J,"GBU-64")+SUMIFS('Таблиця 1'!$K:$K,'Таблиця 1'!$B:$B,$A712,'Таблиця 1'!$I:$I,"Су-25",'Таблиця 1'!$J:$J,"GBU-64")+SUMIFS('Таблиця 1'!$K:$K,'Таблиця 1'!$B:$B,$A712,'Таблиця 1'!$I:$I,"Су-27",'Таблиця 1'!$J:$J,"GBU-64"))</f>
        <v/>
      </c>
      <c r="O712">
        <f>IF($A712="","",SUMIFS('Таблиця 1'!$K:$K,'Таблиця 1'!$B:$B,$A712,'Таблиця 1'!$I:$I,"Mirage",'Таблиця 1'!$J:$J,"C-13")+SUMIFS('Таблиця 1'!$K:$K,'Таблиця 1'!$B:$B,$A712,'Таблиця 1'!$I:$I,"F-16",'Таблиця 1'!$J:$J,"C-13")+SUMIFS('Таблиця 1'!$K:$K,'Таблиця 1'!$B:$B,$A712,'Таблиця 1'!$I:$I,"МіГ-29",'Таблиця 1'!$J:$J,"C-13")+SUMIFS('Таблиця 1'!$K:$K,'Таблиця 1'!$B:$B,$A712,'Таблиця 1'!$I:$I,"Су-25",'Таблиця 1'!$J:$J,"C-13")+SUMIFS('Таблиця 1'!$K:$K,'Таблиця 1'!$B:$B,$A712,'Таблиця 1'!$I:$I,"Су-27",'Таблиця 1'!$J:$J,"C-13"))</f>
        <v/>
      </c>
      <c r="P712">
        <f>IF($A712="","",SUMIFS('Таблиця 1'!$K:$K,'Таблиця 1'!$B:$B,$A712,'Таблиця 1'!$I:$I,"Mirage",'Таблиця 1'!$J:$J,"MK-32")+SUMIFS('Таблиця 1'!$K:$K,'Таблиця 1'!$B:$B,$A712,'Таблиця 1'!$I:$I,"F-16",'Таблиця 1'!$J:$J,"MK-32")+SUMIFS('Таблиця 1'!$K:$K,'Таблиця 1'!$B:$B,$A712,'Таблиця 1'!$I:$I,"МіГ-29",'Таблиця 1'!$J:$J,"MK-32")+SUMIFS('Таблиця 1'!$K:$K,'Таблиця 1'!$B:$B,$A712,'Таблиця 1'!$I:$I,"Су-25",'Таблиця 1'!$J:$J,"MK-32")+SUMIFS('Таблиця 1'!$K:$K,'Таблиця 1'!$B:$B,$A712,'Таблиця 1'!$I:$I,"Су-27",'Таблиця 1'!$J:$J,"MK-32"))</f>
        <v/>
      </c>
      <c r="Q712">
        <f>IF($A712="","",SUMIFS('Таблиця 1'!$K:$K,'Таблиця 1'!$B:$B,$A712,'Таблиця 1'!$I:$I,"Mirage",'Таблиця 1'!$J:$J,"MK-24")+SUMIFS('Таблиця 1'!$K:$K,'Таблиця 1'!$B:$B,$A712,'Таблиця 1'!$I:$I,"F-16",'Таблиця 1'!$J:$J,"MK-24")+SUMIFS('Таблиця 1'!$K:$K,'Таблиця 1'!$B:$B,$A712,'Таблиця 1'!$I:$I,"МіГ-29",'Таблиця 1'!$J:$J,"MK-24")+SUMIFS('Таблиця 1'!$K:$K,'Таблиця 1'!$B:$B,$A712,'Таблиця 1'!$I:$I,"Су-25",'Таблиця 1'!$J:$J,"MK-24")+SUMIFS('Таблиця 1'!$K:$K,'Таблиця 1'!$B:$B,$A712,'Таблиця 1'!$I:$I,"Су-27",'Таблиця 1'!$J:$J,"MK-24"))</f>
        <v/>
      </c>
      <c r="R712">
        <f>IF($A712="","",COUNTIFS('Таблиця 1'!$B:$B,$A712,'Таблиця 1'!$I:$I,"Mirage",'Таблиця 1'!$L:$L,"Уражено")+COUNTIFS('Таблиця 1'!$B:$B,$A712,'Таблиця 1'!$I:$I,"F-16",'Таблиця 1'!$L:$L,"Уражено")+COUNTIFS('Таблиця 1'!$B:$B,$A712,'Таблиця 1'!$I:$I,"МіГ-29",'Таблиця 1'!$L:$L,"Уражено")+COUNTIFS('Таблиця 1'!$B:$B,$A712,'Таблиця 1'!$I:$I,"Су-25",'Таблиця 1'!$L:$L,"Уражено")+COUNTIFS('Таблиця 1'!$B:$B,$A712,'Таблиця 1'!$I:$I,"Су-27",'Таблиця 1'!$L:$L,"Уражено"))</f>
        <v/>
      </c>
      <c r="S712">
        <f>IF($A712="","",COUNTIFS('Таблиця 1'!$B:$B,$A712,'Таблиця 1'!$I:$I,"Mirage",'Таблиця 1'!$L:$L,"НЕ уражено")+COUNTIFS('Таблиця 1'!$B:$B,$A712,'Таблиця 1'!$I:$I,"F-16",'Таблиця 1'!$L:$L,"НЕ уражено")+COUNTIFS('Таблиця 1'!$B:$B,$A712,'Таблиця 1'!$I:$I,"МіГ-29",'Таблиця 1'!$L:$L,"НЕ уражено")+COUNTIFS('Таблиця 1'!$B:$B,$A712,'Таблиця 1'!$I:$I,"Су-25",'Таблиця 1'!$L:$L,"НЕ уражено")+COUNTIFS('Таблиця 1'!$B:$B,$A712,'Таблиця 1'!$I:$I,"Су-27",'Таблиця 1'!$L:$L,"НЕ уражено"))</f>
        <v/>
      </c>
      <c r="T712">
        <f>IF($A712="","",COUNTIFS('Таблиця 1'!$B:$B,$A712,'Таблиця 1'!$I:$I,"Mirage",'Таблиця 1'!$L:$L,"Дорозвідується")+COUNTIFS('Таблиця 1'!$B:$B,$A712,'Таблиця 1'!$I:$I,"F-16",'Таблиця 1'!$L:$L,"Дорозвідується")+COUNTIFS('Таблиця 1'!$B:$B,$A712,'Таблиця 1'!$I:$I,"МіГ-29",'Таблиця 1'!$L:$L,"Дорозвідується")+COUNTIFS('Таблиця 1'!$B:$B,$A712,'Таблиця 1'!$I:$I,"Су-25",'Таблиця 1'!$L:$L,"Дорозвідується")+COUNTIFS('Таблиця 1'!$B:$B,$A712,'Таблиця 1'!$I:$I,"Су-27",'Таблиця 1'!$L:$L,"Дорозвідується"))</f>
        <v/>
      </c>
    </row>
    <row r="713">
      <c r="A713" s="273">
        <f>IF(A712="","",IF(A712+1&gt;MAX('Таблиця 1'!$B:$B),"",A712+1))</f>
        <v/>
      </c>
      <c r="B713">
        <f>IF($A713="","",COUNTIFS('Таблиця 1'!$B:$B,$A713,'Таблиця 1'!$I:$I,"Mirage")+COUNTIFS('Таблиця 1'!$B:$B,$A713,'Таблиця 1'!$I:$I,"F-16")+COUNTIFS('Таблиця 1'!$B:$B,$A713,'Таблиця 1'!$I:$I,"МіГ-29")+COUNTIFS('Таблиця 1'!$B:$B,$A713,'Таблиця 1'!$I:$I,"Су-25")+COUNTIFS('Таблиця 1'!$B:$B,$A713,'Таблиця 1'!$I:$I,"Су-27"))</f>
        <v/>
      </c>
      <c r="C713">
        <f>IF($A713="","",COUNTIFS('Таблиця 1'!$B:$B,$A713,'Таблиця 1'!$I:$I,"Mirage"))</f>
        <v/>
      </c>
      <c r="D713">
        <f>IF($A713="","",COUNTIFS('Таблиця 1'!$B:$B,$A713,'Таблиця 1'!$I:$I,"F-16"))</f>
        <v/>
      </c>
      <c r="E713">
        <f>IF($A713="","",COUNTIFS('Таблиця 1'!$B:$B,$A713,'Таблиця 1'!$I:$I,"МіГ-29"))</f>
        <v/>
      </c>
      <c r="F713">
        <f>IF($A713="","",COUNTIFS('Таблиця 1'!$B:$B,$A713,'Таблиця 1'!$I:$I,"Су-25"))</f>
        <v/>
      </c>
      <c r="G713">
        <f>IF($A713="","",COUNTIFS('Таблиця 1'!$B:$B,$A713,'Таблиця 1'!$I:$I,"Су-27"))</f>
        <v/>
      </c>
      <c r="H713">
        <f>IF($A713="","",SUMIFS('Таблиця 1'!$K:$K,'Таблиця 1'!$B:$B,$A713,'Таблиця 1'!$I:$I,"Mirage",'Таблиця 1'!$J:$J,"AGM-88")+SUMIFS('Таблиця 1'!$K:$K,'Таблиця 1'!$B:$B,$A713,'Таблиця 1'!$I:$I,"F-16",'Таблиця 1'!$J:$J,"AGM-88")+SUMIFS('Таблиця 1'!$K:$K,'Таблиця 1'!$B:$B,$A713,'Таблиця 1'!$I:$I,"МіГ-29",'Таблиця 1'!$J:$J,"AGM-88")+SUMIFS('Таблиця 1'!$K:$K,'Таблиця 1'!$B:$B,$A713,'Таблиця 1'!$I:$I,"Су-25",'Таблиця 1'!$J:$J,"AGM-88")+SUMIFS('Таблиця 1'!$K:$K,'Таблиця 1'!$B:$B,$A713,'Таблиця 1'!$I:$I,"Су-27",'Таблиця 1'!$J:$J,"AGM-88"))</f>
        <v/>
      </c>
      <c r="I713">
        <f>IF($A713="","",SUMIFS('Таблиця 1'!$K:$K,'Таблиця 1'!$B:$B,$A713,'Таблиця 1'!$I:$I,"Mirage",'Таблиця 1'!$J:$J,"AASM-250")+SUMIFS('Таблиця 1'!$K:$K,'Таблиця 1'!$B:$B,$A713,'Таблиця 1'!$I:$I,"F-16",'Таблиця 1'!$J:$J,"AASM-250")+SUMIFS('Таблиця 1'!$K:$K,'Таблиця 1'!$B:$B,$A713,'Таблиця 1'!$I:$I,"МіГ-29",'Таблиця 1'!$J:$J,"AASM-250")+SUMIFS('Таблиця 1'!$K:$K,'Таблиця 1'!$B:$B,$A713,'Таблиця 1'!$I:$I,"Су-25",'Таблиця 1'!$J:$J,"AASM-250")+SUMIFS('Таблиця 1'!$K:$K,'Таблиця 1'!$B:$B,$A713,'Таблиця 1'!$I:$I,"Су-27",'Таблиця 1'!$J:$J,"AASM-250"))</f>
        <v/>
      </c>
      <c r="J713">
        <f>IF($A713="","",SUMIFS('Таблиця 1'!$K:$K,'Таблиця 1'!$B:$B,$A713,'Таблиця 1'!$I:$I,"Mirage",'Таблиця 1'!$J:$J,"GBU-39")+SUMIFS('Таблиця 1'!$K:$K,'Таблиця 1'!$B:$B,$A713,'Таблиця 1'!$I:$I,"F-16",'Таблиця 1'!$J:$J,"GBU-39")+SUMIFS('Таблиця 1'!$K:$K,'Таблиця 1'!$B:$B,$A713,'Таблиця 1'!$I:$I,"МіГ-29",'Таблиця 1'!$J:$J,"GBU-39")+SUMIFS('Таблиця 1'!$K:$K,'Таблиця 1'!$B:$B,$A713,'Таблиця 1'!$I:$I,"Су-25",'Таблиця 1'!$J:$J,"GBU-39")+SUMIFS('Таблиця 1'!$K:$K,'Таблиця 1'!$B:$B,$A713,'Таблиця 1'!$I:$I,"Су-27",'Таблиця 1'!$J:$J,"GBU-39"))</f>
        <v/>
      </c>
      <c r="K713">
        <f>IF($A713="","",SUMIFS('Таблиця 1'!$K:$K,'Таблиця 1'!$B:$B,$A713,'Таблиця 1'!$I:$I,"Mirage",'Таблиця 1'!$J:$J,"BLU-140")+SUMIFS('Таблиця 1'!$K:$K,'Таблиця 1'!$B:$B,$A713,'Таблиця 1'!$I:$I,"F-16",'Таблиця 1'!$J:$J,"BLU-140")+SUMIFS('Таблиця 1'!$K:$K,'Таблиця 1'!$B:$B,$A713,'Таблиця 1'!$I:$I,"МіГ-29",'Таблиця 1'!$J:$J,"BLU-140")+SUMIFS('Таблиця 1'!$K:$K,'Таблиця 1'!$B:$B,$A713,'Таблиця 1'!$I:$I,"Су-25",'Таблиця 1'!$J:$J,"BLU-140")+SUMIFS('Таблиця 1'!$K:$K,'Таблиця 1'!$B:$B,$A713,'Таблиця 1'!$I:$I,"Су-27",'Таблиця 1'!$J:$J,"BLU-140"))</f>
        <v/>
      </c>
      <c r="L713">
        <f>IF($A713="","",SUMIFS('Таблиця 1'!$K:$K,'Таблиця 1'!$B:$B,$A713,'Таблиця 1'!$I:$I,"Mirage",'Таблиця 1'!$J:$J,"GBU-65")+SUMIFS('Таблиця 1'!$K:$K,'Таблиця 1'!$B:$B,$A713,'Таблиця 1'!$I:$I,"F-16",'Таблиця 1'!$J:$J,"GBU-65")+SUMIFS('Таблиця 1'!$K:$K,'Таблиця 1'!$B:$B,$A713,'Таблиця 1'!$I:$I,"МіГ-29",'Таблиця 1'!$J:$J,"GBU-65")+SUMIFS('Таблиця 1'!$K:$K,'Таблиця 1'!$B:$B,$A713,'Таблиця 1'!$I:$I,"Су-25",'Таблиця 1'!$J:$J,"GBU-65")+SUMIFS('Таблиця 1'!$K:$K,'Таблиця 1'!$B:$B,$A713,'Таблиця 1'!$I:$I,"Су-27",'Таблиця 1'!$J:$J,"GBU-65"))</f>
        <v/>
      </c>
      <c r="M713">
        <f>IF($A713="","",SUMIFS('Таблиця 1'!$K:$K,'Таблиця 1'!$B:$B,$A713,'Таблиця 1'!$I:$I,"Mirage",'Таблиця 1'!$J:$J,"GBU-62")+SUMIFS('Таблиця 1'!$K:$K,'Таблиця 1'!$B:$B,$A713,'Таблиця 1'!$I:$I,"F-16",'Таблиця 1'!$J:$J,"GBU-62")+SUMIFS('Таблиця 1'!$K:$K,'Таблиця 1'!$B:$B,$A713,'Таблиця 1'!$I:$I,"МіГ-29",'Таблиця 1'!$J:$J,"GBU-62")+SUMIFS('Таблиця 1'!$K:$K,'Таблиця 1'!$B:$B,$A713,'Таблиця 1'!$I:$I,"Су-25",'Таблиця 1'!$J:$J,"GBU-62")+SUMIFS('Таблиця 1'!$K:$K,'Таблиця 1'!$B:$B,$A713,'Таблиця 1'!$I:$I,"Су-27",'Таблиця 1'!$J:$J,"GBU-62"))</f>
        <v/>
      </c>
      <c r="N713">
        <f>IF($A713="","",SUMIFS('Таблиця 1'!$K:$K,'Таблиця 1'!$B:$B,$A713,'Таблиця 1'!$I:$I,"Mirage",'Таблиця 1'!$J:$J,"GBU-64")+SUMIFS('Таблиця 1'!$K:$K,'Таблиця 1'!$B:$B,$A713,'Таблиця 1'!$I:$I,"F-16",'Таблиця 1'!$J:$J,"GBU-64")+SUMIFS('Таблиця 1'!$K:$K,'Таблиця 1'!$B:$B,$A713,'Таблиця 1'!$I:$I,"МіГ-29",'Таблиця 1'!$J:$J,"GBU-64")+SUMIFS('Таблиця 1'!$K:$K,'Таблиця 1'!$B:$B,$A713,'Таблиця 1'!$I:$I,"Су-25",'Таблиця 1'!$J:$J,"GBU-64")+SUMIFS('Таблиця 1'!$K:$K,'Таблиця 1'!$B:$B,$A713,'Таблиця 1'!$I:$I,"Су-27",'Таблиця 1'!$J:$J,"GBU-64"))</f>
        <v/>
      </c>
      <c r="O713">
        <f>IF($A713="","",SUMIFS('Таблиця 1'!$K:$K,'Таблиця 1'!$B:$B,$A713,'Таблиця 1'!$I:$I,"Mirage",'Таблиця 1'!$J:$J,"C-13")+SUMIFS('Таблиця 1'!$K:$K,'Таблиця 1'!$B:$B,$A713,'Таблиця 1'!$I:$I,"F-16",'Таблиця 1'!$J:$J,"C-13")+SUMIFS('Таблиця 1'!$K:$K,'Таблиця 1'!$B:$B,$A713,'Таблиця 1'!$I:$I,"МіГ-29",'Таблиця 1'!$J:$J,"C-13")+SUMIFS('Таблиця 1'!$K:$K,'Таблиця 1'!$B:$B,$A713,'Таблиця 1'!$I:$I,"Су-25",'Таблиця 1'!$J:$J,"C-13")+SUMIFS('Таблиця 1'!$K:$K,'Таблиця 1'!$B:$B,$A713,'Таблиця 1'!$I:$I,"Су-27",'Таблиця 1'!$J:$J,"C-13"))</f>
        <v/>
      </c>
      <c r="P713">
        <f>IF($A713="","",SUMIFS('Таблиця 1'!$K:$K,'Таблиця 1'!$B:$B,$A713,'Таблиця 1'!$I:$I,"Mirage",'Таблиця 1'!$J:$J,"MK-32")+SUMIFS('Таблиця 1'!$K:$K,'Таблиця 1'!$B:$B,$A713,'Таблиця 1'!$I:$I,"F-16",'Таблиця 1'!$J:$J,"MK-32")+SUMIFS('Таблиця 1'!$K:$K,'Таблиця 1'!$B:$B,$A713,'Таблиця 1'!$I:$I,"МіГ-29",'Таблиця 1'!$J:$J,"MK-32")+SUMIFS('Таблиця 1'!$K:$K,'Таблиця 1'!$B:$B,$A713,'Таблиця 1'!$I:$I,"Су-25",'Таблиця 1'!$J:$J,"MK-32")+SUMIFS('Таблиця 1'!$K:$K,'Таблиця 1'!$B:$B,$A713,'Таблиця 1'!$I:$I,"Су-27",'Таблиця 1'!$J:$J,"MK-32"))</f>
        <v/>
      </c>
      <c r="Q713">
        <f>IF($A713="","",SUMIFS('Таблиця 1'!$K:$K,'Таблиця 1'!$B:$B,$A713,'Таблиця 1'!$I:$I,"Mirage",'Таблиця 1'!$J:$J,"MK-24")+SUMIFS('Таблиця 1'!$K:$K,'Таблиця 1'!$B:$B,$A713,'Таблиця 1'!$I:$I,"F-16",'Таблиця 1'!$J:$J,"MK-24")+SUMIFS('Таблиця 1'!$K:$K,'Таблиця 1'!$B:$B,$A713,'Таблиця 1'!$I:$I,"МіГ-29",'Таблиця 1'!$J:$J,"MK-24")+SUMIFS('Таблиця 1'!$K:$K,'Таблиця 1'!$B:$B,$A713,'Таблиця 1'!$I:$I,"Су-25",'Таблиця 1'!$J:$J,"MK-24")+SUMIFS('Таблиця 1'!$K:$K,'Таблиця 1'!$B:$B,$A713,'Таблиця 1'!$I:$I,"Су-27",'Таблиця 1'!$J:$J,"MK-24"))</f>
        <v/>
      </c>
      <c r="R713">
        <f>IF($A713="","",COUNTIFS('Таблиця 1'!$B:$B,$A713,'Таблиця 1'!$I:$I,"Mirage",'Таблиця 1'!$L:$L,"Уражено")+COUNTIFS('Таблиця 1'!$B:$B,$A713,'Таблиця 1'!$I:$I,"F-16",'Таблиця 1'!$L:$L,"Уражено")+COUNTIFS('Таблиця 1'!$B:$B,$A713,'Таблиця 1'!$I:$I,"МіГ-29",'Таблиця 1'!$L:$L,"Уражено")+COUNTIFS('Таблиця 1'!$B:$B,$A713,'Таблиця 1'!$I:$I,"Су-25",'Таблиця 1'!$L:$L,"Уражено")+COUNTIFS('Таблиця 1'!$B:$B,$A713,'Таблиця 1'!$I:$I,"Су-27",'Таблиця 1'!$L:$L,"Уражено"))</f>
        <v/>
      </c>
      <c r="S713">
        <f>IF($A713="","",COUNTIFS('Таблиця 1'!$B:$B,$A713,'Таблиця 1'!$I:$I,"Mirage",'Таблиця 1'!$L:$L,"НЕ уражено")+COUNTIFS('Таблиця 1'!$B:$B,$A713,'Таблиця 1'!$I:$I,"F-16",'Таблиця 1'!$L:$L,"НЕ уражено")+COUNTIFS('Таблиця 1'!$B:$B,$A713,'Таблиця 1'!$I:$I,"МіГ-29",'Таблиця 1'!$L:$L,"НЕ уражено")+COUNTIFS('Таблиця 1'!$B:$B,$A713,'Таблиця 1'!$I:$I,"Су-25",'Таблиця 1'!$L:$L,"НЕ уражено")+COUNTIFS('Таблиця 1'!$B:$B,$A713,'Таблиця 1'!$I:$I,"Су-27",'Таблиця 1'!$L:$L,"НЕ уражено"))</f>
        <v/>
      </c>
      <c r="T713">
        <f>IF($A713="","",COUNTIFS('Таблиця 1'!$B:$B,$A713,'Таблиця 1'!$I:$I,"Mirage",'Таблиця 1'!$L:$L,"Дорозвідується")+COUNTIFS('Таблиця 1'!$B:$B,$A713,'Таблиця 1'!$I:$I,"F-16",'Таблиця 1'!$L:$L,"Дорозвідується")+COUNTIFS('Таблиця 1'!$B:$B,$A713,'Таблиця 1'!$I:$I,"МіГ-29",'Таблиця 1'!$L:$L,"Дорозвідується")+COUNTIFS('Таблиця 1'!$B:$B,$A713,'Таблиця 1'!$I:$I,"Су-25",'Таблиця 1'!$L:$L,"Дорозвідується")+COUNTIFS('Таблиця 1'!$B:$B,$A713,'Таблиця 1'!$I:$I,"Су-27",'Таблиця 1'!$L:$L,"Дорозвідується"))</f>
        <v/>
      </c>
    </row>
    <row r="714">
      <c r="A714" s="273">
        <f>IF(A713="","",IF(A713+1&gt;MAX('Таблиця 1'!$B:$B),"",A713+1))</f>
        <v/>
      </c>
      <c r="B714">
        <f>IF($A714="","",COUNTIFS('Таблиця 1'!$B:$B,$A714,'Таблиця 1'!$I:$I,"Mirage")+COUNTIFS('Таблиця 1'!$B:$B,$A714,'Таблиця 1'!$I:$I,"F-16")+COUNTIFS('Таблиця 1'!$B:$B,$A714,'Таблиця 1'!$I:$I,"МіГ-29")+COUNTIFS('Таблиця 1'!$B:$B,$A714,'Таблиця 1'!$I:$I,"Су-25")+COUNTIFS('Таблиця 1'!$B:$B,$A714,'Таблиця 1'!$I:$I,"Су-27"))</f>
        <v/>
      </c>
      <c r="C714">
        <f>IF($A714="","",COUNTIFS('Таблиця 1'!$B:$B,$A714,'Таблиця 1'!$I:$I,"Mirage"))</f>
        <v/>
      </c>
      <c r="D714">
        <f>IF($A714="","",COUNTIFS('Таблиця 1'!$B:$B,$A714,'Таблиця 1'!$I:$I,"F-16"))</f>
        <v/>
      </c>
      <c r="E714">
        <f>IF($A714="","",COUNTIFS('Таблиця 1'!$B:$B,$A714,'Таблиця 1'!$I:$I,"МіГ-29"))</f>
        <v/>
      </c>
      <c r="F714">
        <f>IF($A714="","",COUNTIFS('Таблиця 1'!$B:$B,$A714,'Таблиця 1'!$I:$I,"Су-25"))</f>
        <v/>
      </c>
      <c r="G714">
        <f>IF($A714="","",COUNTIFS('Таблиця 1'!$B:$B,$A714,'Таблиця 1'!$I:$I,"Су-27"))</f>
        <v/>
      </c>
      <c r="H714">
        <f>IF($A714="","",SUMIFS('Таблиця 1'!$K:$K,'Таблиця 1'!$B:$B,$A714,'Таблиця 1'!$I:$I,"Mirage",'Таблиця 1'!$J:$J,"AGM-88")+SUMIFS('Таблиця 1'!$K:$K,'Таблиця 1'!$B:$B,$A714,'Таблиця 1'!$I:$I,"F-16",'Таблиця 1'!$J:$J,"AGM-88")+SUMIFS('Таблиця 1'!$K:$K,'Таблиця 1'!$B:$B,$A714,'Таблиця 1'!$I:$I,"МіГ-29",'Таблиця 1'!$J:$J,"AGM-88")+SUMIFS('Таблиця 1'!$K:$K,'Таблиця 1'!$B:$B,$A714,'Таблиця 1'!$I:$I,"Су-25",'Таблиця 1'!$J:$J,"AGM-88")+SUMIFS('Таблиця 1'!$K:$K,'Таблиця 1'!$B:$B,$A714,'Таблиця 1'!$I:$I,"Су-27",'Таблиця 1'!$J:$J,"AGM-88"))</f>
        <v/>
      </c>
      <c r="I714">
        <f>IF($A714="","",SUMIFS('Таблиця 1'!$K:$K,'Таблиця 1'!$B:$B,$A714,'Таблиця 1'!$I:$I,"Mirage",'Таблиця 1'!$J:$J,"AASM-250")+SUMIFS('Таблиця 1'!$K:$K,'Таблиця 1'!$B:$B,$A714,'Таблиця 1'!$I:$I,"F-16",'Таблиця 1'!$J:$J,"AASM-250")+SUMIFS('Таблиця 1'!$K:$K,'Таблиця 1'!$B:$B,$A714,'Таблиця 1'!$I:$I,"МіГ-29",'Таблиця 1'!$J:$J,"AASM-250")+SUMIFS('Таблиця 1'!$K:$K,'Таблиця 1'!$B:$B,$A714,'Таблиця 1'!$I:$I,"Су-25",'Таблиця 1'!$J:$J,"AASM-250")+SUMIFS('Таблиця 1'!$K:$K,'Таблиця 1'!$B:$B,$A714,'Таблиця 1'!$I:$I,"Су-27",'Таблиця 1'!$J:$J,"AASM-250"))</f>
        <v/>
      </c>
      <c r="J714">
        <f>IF($A714="","",SUMIFS('Таблиця 1'!$K:$K,'Таблиця 1'!$B:$B,$A714,'Таблиця 1'!$I:$I,"Mirage",'Таблиця 1'!$J:$J,"GBU-39")+SUMIFS('Таблиця 1'!$K:$K,'Таблиця 1'!$B:$B,$A714,'Таблиця 1'!$I:$I,"F-16",'Таблиця 1'!$J:$J,"GBU-39")+SUMIFS('Таблиця 1'!$K:$K,'Таблиця 1'!$B:$B,$A714,'Таблиця 1'!$I:$I,"МіГ-29",'Таблиця 1'!$J:$J,"GBU-39")+SUMIFS('Таблиця 1'!$K:$K,'Таблиця 1'!$B:$B,$A714,'Таблиця 1'!$I:$I,"Су-25",'Таблиця 1'!$J:$J,"GBU-39")+SUMIFS('Таблиця 1'!$K:$K,'Таблиця 1'!$B:$B,$A714,'Таблиця 1'!$I:$I,"Су-27",'Таблиця 1'!$J:$J,"GBU-39"))</f>
        <v/>
      </c>
      <c r="K714">
        <f>IF($A714="","",SUMIFS('Таблиця 1'!$K:$K,'Таблиця 1'!$B:$B,$A714,'Таблиця 1'!$I:$I,"Mirage",'Таблиця 1'!$J:$J,"BLU-140")+SUMIFS('Таблиця 1'!$K:$K,'Таблиця 1'!$B:$B,$A714,'Таблиця 1'!$I:$I,"F-16",'Таблиця 1'!$J:$J,"BLU-140")+SUMIFS('Таблиця 1'!$K:$K,'Таблиця 1'!$B:$B,$A714,'Таблиця 1'!$I:$I,"МіГ-29",'Таблиця 1'!$J:$J,"BLU-140")+SUMIFS('Таблиця 1'!$K:$K,'Таблиця 1'!$B:$B,$A714,'Таблиця 1'!$I:$I,"Су-25",'Таблиця 1'!$J:$J,"BLU-140")+SUMIFS('Таблиця 1'!$K:$K,'Таблиця 1'!$B:$B,$A714,'Таблиця 1'!$I:$I,"Су-27",'Таблиця 1'!$J:$J,"BLU-140"))</f>
        <v/>
      </c>
      <c r="L714">
        <f>IF($A714="","",SUMIFS('Таблиця 1'!$K:$K,'Таблиця 1'!$B:$B,$A714,'Таблиця 1'!$I:$I,"Mirage",'Таблиця 1'!$J:$J,"GBU-65")+SUMIFS('Таблиця 1'!$K:$K,'Таблиця 1'!$B:$B,$A714,'Таблиця 1'!$I:$I,"F-16",'Таблиця 1'!$J:$J,"GBU-65")+SUMIFS('Таблиця 1'!$K:$K,'Таблиця 1'!$B:$B,$A714,'Таблиця 1'!$I:$I,"МіГ-29",'Таблиця 1'!$J:$J,"GBU-65")+SUMIFS('Таблиця 1'!$K:$K,'Таблиця 1'!$B:$B,$A714,'Таблиця 1'!$I:$I,"Су-25",'Таблиця 1'!$J:$J,"GBU-65")+SUMIFS('Таблиця 1'!$K:$K,'Таблиця 1'!$B:$B,$A714,'Таблиця 1'!$I:$I,"Су-27",'Таблиця 1'!$J:$J,"GBU-65"))</f>
        <v/>
      </c>
      <c r="M714">
        <f>IF($A714="","",SUMIFS('Таблиця 1'!$K:$K,'Таблиця 1'!$B:$B,$A714,'Таблиця 1'!$I:$I,"Mirage",'Таблиця 1'!$J:$J,"GBU-62")+SUMIFS('Таблиця 1'!$K:$K,'Таблиця 1'!$B:$B,$A714,'Таблиця 1'!$I:$I,"F-16",'Таблиця 1'!$J:$J,"GBU-62")+SUMIFS('Таблиця 1'!$K:$K,'Таблиця 1'!$B:$B,$A714,'Таблиця 1'!$I:$I,"МіГ-29",'Таблиця 1'!$J:$J,"GBU-62")+SUMIFS('Таблиця 1'!$K:$K,'Таблиця 1'!$B:$B,$A714,'Таблиця 1'!$I:$I,"Су-25",'Таблиця 1'!$J:$J,"GBU-62")+SUMIFS('Таблиця 1'!$K:$K,'Таблиця 1'!$B:$B,$A714,'Таблиця 1'!$I:$I,"Су-27",'Таблиця 1'!$J:$J,"GBU-62"))</f>
        <v/>
      </c>
      <c r="N714">
        <f>IF($A714="","",SUMIFS('Таблиця 1'!$K:$K,'Таблиця 1'!$B:$B,$A714,'Таблиця 1'!$I:$I,"Mirage",'Таблиця 1'!$J:$J,"GBU-64")+SUMIFS('Таблиця 1'!$K:$K,'Таблиця 1'!$B:$B,$A714,'Таблиця 1'!$I:$I,"F-16",'Таблиця 1'!$J:$J,"GBU-64")+SUMIFS('Таблиця 1'!$K:$K,'Таблиця 1'!$B:$B,$A714,'Таблиця 1'!$I:$I,"МіГ-29",'Таблиця 1'!$J:$J,"GBU-64")+SUMIFS('Таблиця 1'!$K:$K,'Таблиця 1'!$B:$B,$A714,'Таблиця 1'!$I:$I,"Су-25",'Таблиця 1'!$J:$J,"GBU-64")+SUMIFS('Таблиця 1'!$K:$K,'Таблиця 1'!$B:$B,$A714,'Таблиця 1'!$I:$I,"Су-27",'Таблиця 1'!$J:$J,"GBU-64"))</f>
        <v/>
      </c>
      <c r="O714">
        <f>IF($A714="","",SUMIFS('Таблиця 1'!$K:$K,'Таблиця 1'!$B:$B,$A714,'Таблиця 1'!$I:$I,"Mirage",'Таблиця 1'!$J:$J,"C-13")+SUMIFS('Таблиця 1'!$K:$K,'Таблиця 1'!$B:$B,$A714,'Таблиця 1'!$I:$I,"F-16",'Таблиця 1'!$J:$J,"C-13")+SUMIFS('Таблиця 1'!$K:$K,'Таблиця 1'!$B:$B,$A714,'Таблиця 1'!$I:$I,"МіГ-29",'Таблиця 1'!$J:$J,"C-13")+SUMIFS('Таблиця 1'!$K:$K,'Таблиця 1'!$B:$B,$A714,'Таблиця 1'!$I:$I,"Су-25",'Таблиця 1'!$J:$J,"C-13")+SUMIFS('Таблиця 1'!$K:$K,'Таблиця 1'!$B:$B,$A714,'Таблиця 1'!$I:$I,"Су-27",'Таблиця 1'!$J:$J,"C-13"))</f>
        <v/>
      </c>
      <c r="P714">
        <f>IF($A714="","",SUMIFS('Таблиця 1'!$K:$K,'Таблиця 1'!$B:$B,$A714,'Таблиця 1'!$I:$I,"Mirage",'Таблиця 1'!$J:$J,"MK-32")+SUMIFS('Таблиця 1'!$K:$K,'Таблиця 1'!$B:$B,$A714,'Таблиця 1'!$I:$I,"F-16",'Таблиця 1'!$J:$J,"MK-32")+SUMIFS('Таблиця 1'!$K:$K,'Таблиця 1'!$B:$B,$A714,'Таблиця 1'!$I:$I,"МіГ-29",'Таблиця 1'!$J:$J,"MK-32")+SUMIFS('Таблиця 1'!$K:$K,'Таблиця 1'!$B:$B,$A714,'Таблиця 1'!$I:$I,"Су-25",'Таблиця 1'!$J:$J,"MK-32")+SUMIFS('Таблиця 1'!$K:$K,'Таблиця 1'!$B:$B,$A714,'Таблиця 1'!$I:$I,"Су-27",'Таблиця 1'!$J:$J,"MK-32"))</f>
        <v/>
      </c>
      <c r="Q714">
        <f>IF($A714="","",SUMIFS('Таблиця 1'!$K:$K,'Таблиця 1'!$B:$B,$A714,'Таблиця 1'!$I:$I,"Mirage",'Таблиця 1'!$J:$J,"MK-24")+SUMIFS('Таблиця 1'!$K:$K,'Таблиця 1'!$B:$B,$A714,'Таблиця 1'!$I:$I,"F-16",'Таблиця 1'!$J:$J,"MK-24")+SUMIFS('Таблиця 1'!$K:$K,'Таблиця 1'!$B:$B,$A714,'Таблиця 1'!$I:$I,"МіГ-29",'Таблиця 1'!$J:$J,"MK-24")+SUMIFS('Таблиця 1'!$K:$K,'Таблиця 1'!$B:$B,$A714,'Таблиця 1'!$I:$I,"Су-25",'Таблиця 1'!$J:$J,"MK-24")+SUMIFS('Таблиця 1'!$K:$K,'Таблиця 1'!$B:$B,$A714,'Таблиця 1'!$I:$I,"Су-27",'Таблиця 1'!$J:$J,"MK-24"))</f>
        <v/>
      </c>
      <c r="R714">
        <f>IF($A714="","",COUNTIFS('Таблиця 1'!$B:$B,$A714,'Таблиця 1'!$I:$I,"Mirage",'Таблиця 1'!$L:$L,"Уражено")+COUNTIFS('Таблиця 1'!$B:$B,$A714,'Таблиця 1'!$I:$I,"F-16",'Таблиця 1'!$L:$L,"Уражено")+COUNTIFS('Таблиця 1'!$B:$B,$A714,'Таблиця 1'!$I:$I,"МіГ-29",'Таблиця 1'!$L:$L,"Уражено")+COUNTIFS('Таблиця 1'!$B:$B,$A714,'Таблиця 1'!$I:$I,"Су-25",'Таблиця 1'!$L:$L,"Уражено")+COUNTIFS('Таблиця 1'!$B:$B,$A714,'Таблиця 1'!$I:$I,"Су-27",'Таблиця 1'!$L:$L,"Уражено"))</f>
        <v/>
      </c>
      <c r="S714">
        <f>IF($A714="","",COUNTIFS('Таблиця 1'!$B:$B,$A714,'Таблиця 1'!$I:$I,"Mirage",'Таблиця 1'!$L:$L,"НЕ уражено")+COUNTIFS('Таблиця 1'!$B:$B,$A714,'Таблиця 1'!$I:$I,"F-16",'Таблиця 1'!$L:$L,"НЕ уражено")+COUNTIFS('Таблиця 1'!$B:$B,$A714,'Таблиця 1'!$I:$I,"МіГ-29",'Таблиця 1'!$L:$L,"НЕ уражено")+COUNTIFS('Таблиця 1'!$B:$B,$A714,'Таблиця 1'!$I:$I,"Су-25",'Таблиця 1'!$L:$L,"НЕ уражено")+COUNTIFS('Таблиця 1'!$B:$B,$A714,'Таблиця 1'!$I:$I,"Су-27",'Таблиця 1'!$L:$L,"НЕ уражено"))</f>
        <v/>
      </c>
      <c r="T714">
        <f>IF($A714="","",COUNTIFS('Таблиця 1'!$B:$B,$A714,'Таблиця 1'!$I:$I,"Mirage",'Таблиця 1'!$L:$L,"Дорозвідується")+COUNTIFS('Таблиця 1'!$B:$B,$A714,'Таблиця 1'!$I:$I,"F-16",'Таблиця 1'!$L:$L,"Дорозвідується")+COUNTIFS('Таблиця 1'!$B:$B,$A714,'Таблиця 1'!$I:$I,"МіГ-29",'Таблиця 1'!$L:$L,"Дорозвідується")+COUNTIFS('Таблиця 1'!$B:$B,$A714,'Таблиця 1'!$I:$I,"Су-25",'Таблиця 1'!$L:$L,"Дорозвідується")+COUNTIFS('Таблиця 1'!$B:$B,$A714,'Таблиця 1'!$I:$I,"Су-27",'Таблиця 1'!$L:$L,"Дорозвідується"))</f>
        <v/>
      </c>
    </row>
    <row r="715">
      <c r="A715" s="273">
        <f>IF(A714="","",IF(A714+1&gt;MAX('Таблиця 1'!$B:$B),"",A714+1))</f>
        <v/>
      </c>
      <c r="B715">
        <f>IF($A715="","",COUNTIFS('Таблиця 1'!$B:$B,$A715,'Таблиця 1'!$I:$I,"Mirage")+COUNTIFS('Таблиця 1'!$B:$B,$A715,'Таблиця 1'!$I:$I,"F-16")+COUNTIFS('Таблиця 1'!$B:$B,$A715,'Таблиця 1'!$I:$I,"МіГ-29")+COUNTIFS('Таблиця 1'!$B:$B,$A715,'Таблиця 1'!$I:$I,"Су-25")+COUNTIFS('Таблиця 1'!$B:$B,$A715,'Таблиця 1'!$I:$I,"Су-27"))</f>
        <v/>
      </c>
      <c r="C715">
        <f>IF($A715="","",COUNTIFS('Таблиця 1'!$B:$B,$A715,'Таблиця 1'!$I:$I,"Mirage"))</f>
        <v/>
      </c>
      <c r="D715">
        <f>IF($A715="","",COUNTIFS('Таблиця 1'!$B:$B,$A715,'Таблиця 1'!$I:$I,"F-16"))</f>
        <v/>
      </c>
      <c r="E715">
        <f>IF($A715="","",COUNTIFS('Таблиця 1'!$B:$B,$A715,'Таблиця 1'!$I:$I,"МіГ-29"))</f>
        <v/>
      </c>
      <c r="F715">
        <f>IF($A715="","",COUNTIFS('Таблиця 1'!$B:$B,$A715,'Таблиця 1'!$I:$I,"Су-25"))</f>
        <v/>
      </c>
      <c r="G715">
        <f>IF($A715="","",COUNTIFS('Таблиця 1'!$B:$B,$A715,'Таблиця 1'!$I:$I,"Су-27"))</f>
        <v/>
      </c>
      <c r="H715">
        <f>IF($A715="","",SUMIFS('Таблиця 1'!$K:$K,'Таблиця 1'!$B:$B,$A715,'Таблиця 1'!$I:$I,"Mirage",'Таблиця 1'!$J:$J,"AGM-88")+SUMIFS('Таблиця 1'!$K:$K,'Таблиця 1'!$B:$B,$A715,'Таблиця 1'!$I:$I,"F-16",'Таблиця 1'!$J:$J,"AGM-88")+SUMIFS('Таблиця 1'!$K:$K,'Таблиця 1'!$B:$B,$A715,'Таблиця 1'!$I:$I,"МіГ-29",'Таблиця 1'!$J:$J,"AGM-88")+SUMIFS('Таблиця 1'!$K:$K,'Таблиця 1'!$B:$B,$A715,'Таблиця 1'!$I:$I,"Су-25",'Таблиця 1'!$J:$J,"AGM-88")+SUMIFS('Таблиця 1'!$K:$K,'Таблиця 1'!$B:$B,$A715,'Таблиця 1'!$I:$I,"Су-27",'Таблиця 1'!$J:$J,"AGM-88"))</f>
        <v/>
      </c>
      <c r="I715">
        <f>IF($A715="","",SUMIFS('Таблиця 1'!$K:$K,'Таблиця 1'!$B:$B,$A715,'Таблиця 1'!$I:$I,"Mirage",'Таблиця 1'!$J:$J,"AASM-250")+SUMIFS('Таблиця 1'!$K:$K,'Таблиця 1'!$B:$B,$A715,'Таблиця 1'!$I:$I,"F-16",'Таблиця 1'!$J:$J,"AASM-250")+SUMIFS('Таблиця 1'!$K:$K,'Таблиця 1'!$B:$B,$A715,'Таблиця 1'!$I:$I,"МіГ-29",'Таблиця 1'!$J:$J,"AASM-250")+SUMIFS('Таблиця 1'!$K:$K,'Таблиця 1'!$B:$B,$A715,'Таблиця 1'!$I:$I,"Су-25",'Таблиця 1'!$J:$J,"AASM-250")+SUMIFS('Таблиця 1'!$K:$K,'Таблиця 1'!$B:$B,$A715,'Таблиця 1'!$I:$I,"Су-27",'Таблиця 1'!$J:$J,"AASM-250"))</f>
        <v/>
      </c>
      <c r="J715">
        <f>IF($A715="","",SUMIFS('Таблиця 1'!$K:$K,'Таблиця 1'!$B:$B,$A715,'Таблиця 1'!$I:$I,"Mirage",'Таблиця 1'!$J:$J,"GBU-39")+SUMIFS('Таблиця 1'!$K:$K,'Таблиця 1'!$B:$B,$A715,'Таблиця 1'!$I:$I,"F-16",'Таблиця 1'!$J:$J,"GBU-39")+SUMIFS('Таблиця 1'!$K:$K,'Таблиця 1'!$B:$B,$A715,'Таблиця 1'!$I:$I,"МіГ-29",'Таблиця 1'!$J:$J,"GBU-39")+SUMIFS('Таблиця 1'!$K:$K,'Таблиця 1'!$B:$B,$A715,'Таблиця 1'!$I:$I,"Су-25",'Таблиця 1'!$J:$J,"GBU-39")+SUMIFS('Таблиця 1'!$K:$K,'Таблиця 1'!$B:$B,$A715,'Таблиця 1'!$I:$I,"Су-27",'Таблиця 1'!$J:$J,"GBU-39"))</f>
        <v/>
      </c>
      <c r="K715">
        <f>IF($A715="","",SUMIFS('Таблиця 1'!$K:$K,'Таблиця 1'!$B:$B,$A715,'Таблиця 1'!$I:$I,"Mirage",'Таблиця 1'!$J:$J,"BLU-140")+SUMIFS('Таблиця 1'!$K:$K,'Таблиця 1'!$B:$B,$A715,'Таблиця 1'!$I:$I,"F-16",'Таблиця 1'!$J:$J,"BLU-140")+SUMIFS('Таблиця 1'!$K:$K,'Таблиця 1'!$B:$B,$A715,'Таблиця 1'!$I:$I,"МіГ-29",'Таблиця 1'!$J:$J,"BLU-140")+SUMIFS('Таблиця 1'!$K:$K,'Таблиця 1'!$B:$B,$A715,'Таблиця 1'!$I:$I,"Су-25",'Таблиця 1'!$J:$J,"BLU-140")+SUMIFS('Таблиця 1'!$K:$K,'Таблиця 1'!$B:$B,$A715,'Таблиця 1'!$I:$I,"Су-27",'Таблиця 1'!$J:$J,"BLU-140"))</f>
        <v/>
      </c>
      <c r="L715">
        <f>IF($A715="","",SUMIFS('Таблиця 1'!$K:$K,'Таблиця 1'!$B:$B,$A715,'Таблиця 1'!$I:$I,"Mirage",'Таблиця 1'!$J:$J,"GBU-65")+SUMIFS('Таблиця 1'!$K:$K,'Таблиця 1'!$B:$B,$A715,'Таблиця 1'!$I:$I,"F-16",'Таблиця 1'!$J:$J,"GBU-65")+SUMIFS('Таблиця 1'!$K:$K,'Таблиця 1'!$B:$B,$A715,'Таблиця 1'!$I:$I,"МіГ-29",'Таблиця 1'!$J:$J,"GBU-65")+SUMIFS('Таблиця 1'!$K:$K,'Таблиця 1'!$B:$B,$A715,'Таблиця 1'!$I:$I,"Су-25",'Таблиця 1'!$J:$J,"GBU-65")+SUMIFS('Таблиця 1'!$K:$K,'Таблиця 1'!$B:$B,$A715,'Таблиця 1'!$I:$I,"Су-27",'Таблиця 1'!$J:$J,"GBU-65"))</f>
        <v/>
      </c>
      <c r="M715">
        <f>IF($A715="","",SUMIFS('Таблиця 1'!$K:$K,'Таблиця 1'!$B:$B,$A715,'Таблиця 1'!$I:$I,"Mirage",'Таблиця 1'!$J:$J,"GBU-62")+SUMIFS('Таблиця 1'!$K:$K,'Таблиця 1'!$B:$B,$A715,'Таблиця 1'!$I:$I,"F-16",'Таблиця 1'!$J:$J,"GBU-62")+SUMIFS('Таблиця 1'!$K:$K,'Таблиця 1'!$B:$B,$A715,'Таблиця 1'!$I:$I,"МіГ-29",'Таблиця 1'!$J:$J,"GBU-62")+SUMIFS('Таблиця 1'!$K:$K,'Таблиця 1'!$B:$B,$A715,'Таблиця 1'!$I:$I,"Су-25",'Таблиця 1'!$J:$J,"GBU-62")+SUMIFS('Таблиця 1'!$K:$K,'Таблиця 1'!$B:$B,$A715,'Таблиця 1'!$I:$I,"Су-27",'Таблиця 1'!$J:$J,"GBU-62"))</f>
        <v/>
      </c>
      <c r="N715">
        <f>IF($A715="","",SUMIFS('Таблиця 1'!$K:$K,'Таблиця 1'!$B:$B,$A715,'Таблиця 1'!$I:$I,"Mirage",'Таблиця 1'!$J:$J,"GBU-64")+SUMIFS('Таблиця 1'!$K:$K,'Таблиця 1'!$B:$B,$A715,'Таблиця 1'!$I:$I,"F-16",'Таблиця 1'!$J:$J,"GBU-64")+SUMIFS('Таблиця 1'!$K:$K,'Таблиця 1'!$B:$B,$A715,'Таблиця 1'!$I:$I,"МіГ-29",'Таблиця 1'!$J:$J,"GBU-64")+SUMIFS('Таблиця 1'!$K:$K,'Таблиця 1'!$B:$B,$A715,'Таблиця 1'!$I:$I,"Су-25",'Таблиця 1'!$J:$J,"GBU-64")+SUMIFS('Таблиця 1'!$K:$K,'Таблиця 1'!$B:$B,$A715,'Таблиця 1'!$I:$I,"Су-27",'Таблиця 1'!$J:$J,"GBU-64"))</f>
        <v/>
      </c>
      <c r="O715">
        <f>IF($A715="","",SUMIFS('Таблиця 1'!$K:$K,'Таблиця 1'!$B:$B,$A715,'Таблиця 1'!$I:$I,"Mirage",'Таблиця 1'!$J:$J,"C-13")+SUMIFS('Таблиця 1'!$K:$K,'Таблиця 1'!$B:$B,$A715,'Таблиця 1'!$I:$I,"F-16",'Таблиця 1'!$J:$J,"C-13")+SUMIFS('Таблиця 1'!$K:$K,'Таблиця 1'!$B:$B,$A715,'Таблиця 1'!$I:$I,"МіГ-29",'Таблиця 1'!$J:$J,"C-13")+SUMIFS('Таблиця 1'!$K:$K,'Таблиця 1'!$B:$B,$A715,'Таблиця 1'!$I:$I,"Су-25",'Таблиця 1'!$J:$J,"C-13")+SUMIFS('Таблиця 1'!$K:$K,'Таблиця 1'!$B:$B,$A715,'Таблиця 1'!$I:$I,"Су-27",'Таблиця 1'!$J:$J,"C-13"))</f>
        <v/>
      </c>
      <c r="P715">
        <f>IF($A715="","",SUMIFS('Таблиця 1'!$K:$K,'Таблиця 1'!$B:$B,$A715,'Таблиця 1'!$I:$I,"Mirage",'Таблиця 1'!$J:$J,"MK-32")+SUMIFS('Таблиця 1'!$K:$K,'Таблиця 1'!$B:$B,$A715,'Таблиця 1'!$I:$I,"F-16",'Таблиця 1'!$J:$J,"MK-32")+SUMIFS('Таблиця 1'!$K:$K,'Таблиця 1'!$B:$B,$A715,'Таблиця 1'!$I:$I,"МіГ-29",'Таблиця 1'!$J:$J,"MK-32")+SUMIFS('Таблиця 1'!$K:$K,'Таблиця 1'!$B:$B,$A715,'Таблиця 1'!$I:$I,"Су-25",'Таблиця 1'!$J:$J,"MK-32")+SUMIFS('Таблиця 1'!$K:$K,'Таблиця 1'!$B:$B,$A715,'Таблиця 1'!$I:$I,"Су-27",'Таблиця 1'!$J:$J,"MK-32"))</f>
        <v/>
      </c>
      <c r="Q715">
        <f>IF($A715="","",SUMIFS('Таблиця 1'!$K:$K,'Таблиця 1'!$B:$B,$A715,'Таблиця 1'!$I:$I,"Mirage",'Таблиця 1'!$J:$J,"MK-24")+SUMIFS('Таблиця 1'!$K:$K,'Таблиця 1'!$B:$B,$A715,'Таблиця 1'!$I:$I,"F-16",'Таблиця 1'!$J:$J,"MK-24")+SUMIFS('Таблиця 1'!$K:$K,'Таблиця 1'!$B:$B,$A715,'Таблиця 1'!$I:$I,"МіГ-29",'Таблиця 1'!$J:$J,"MK-24")+SUMIFS('Таблиця 1'!$K:$K,'Таблиця 1'!$B:$B,$A715,'Таблиця 1'!$I:$I,"Су-25",'Таблиця 1'!$J:$J,"MK-24")+SUMIFS('Таблиця 1'!$K:$K,'Таблиця 1'!$B:$B,$A715,'Таблиця 1'!$I:$I,"Су-27",'Таблиця 1'!$J:$J,"MK-24"))</f>
        <v/>
      </c>
      <c r="R715">
        <f>IF($A715="","",COUNTIFS('Таблиця 1'!$B:$B,$A715,'Таблиця 1'!$I:$I,"Mirage",'Таблиця 1'!$L:$L,"Уражено")+COUNTIFS('Таблиця 1'!$B:$B,$A715,'Таблиця 1'!$I:$I,"F-16",'Таблиця 1'!$L:$L,"Уражено")+COUNTIFS('Таблиця 1'!$B:$B,$A715,'Таблиця 1'!$I:$I,"МіГ-29",'Таблиця 1'!$L:$L,"Уражено")+COUNTIFS('Таблиця 1'!$B:$B,$A715,'Таблиця 1'!$I:$I,"Су-25",'Таблиця 1'!$L:$L,"Уражено")+COUNTIFS('Таблиця 1'!$B:$B,$A715,'Таблиця 1'!$I:$I,"Су-27",'Таблиця 1'!$L:$L,"Уражено"))</f>
        <v/>
      </c>
      <c r="S715">
        <f>IF($A715="","",COUNTIFS('Таблиця 1'!$B:$B,$A715,'Таблиця 1'!$I:$I,"Mirage",'Таблиця 1'!$L:$L,"НЕ уражено")+COUNTIFS('Таблиця 1'!$B:$B,$A715,'Таблиця 1'!$I:$I,"F-16",'Таблиця 1'!$L:$L,"НЕ уражено")+COUNTIFS('Таблиця 1'!$B:$B,$A715,'Таблиця 1'!$I:$I,"МіГ-29",'Таблиця 1'!$L:$L,"НЕ уражено")+COUNTIFS('Таблиця 1'!$B:$B,$A715,'Таблиця 1'!$I:$I,"Су-25",'Таблиця 1'!$L:$L,"НЕ уражено")+COUNTIFS('Таблиця 1'!$B:$B,$A715,'Таблиця 1'!$I:$I,"Су-27",'Таблиця 1'!$L:$L,"НЕ уражено"))</f>
        <v/>
      </c>
      <c r="T715">
        <f>IF($A715="","",COUNTIFS('Таблиця 1'!$B:$B,$A715,'Таблиця 1'!$I:$I,"Mirage",'Таблиця 1'!$L:$L,"Дорозвідується")+COUNTIFS('Таблиця 1'!$B:$B,$A715,'Таблиця 1'!$I:$I,"F-16",'Таблиця 1'!$L:$L,"Дорозвідується")+COUNTIFS('Таблиця 1'!$B:$B,$A715,'Таблиця 1'!$I:$I,"МіГ-29",'Таблиця 1'!$L:$L,"Дорозвідується")+COUNTIFS('Таблиця 1'!$B:$B,$A715,'Таблиця 1'!$I:$I,"Су-25",'Таблиця 1'!$L:$L,"Дорозвідується")+COUNTIFS('Таблиця 1'!$B:$B,$A715,'Таблиця 1'!$I:$I,"Су-27",'Таблиця 1'!$L:$L,"Дорозвідується"))</f>
        <v/>
      </c>
    </row>
    <row r="716">
      <c r="A716" s="273">
        <f>IF(A715="","",IF(A715+1&gt;MAX('Таблиця 1'!$B:$B),"",A715+1))</f>
        <v/>
      </c>
      <c r="B716">
        <f>IF($A716="","",COUNTIFS('Таблиця 1'!$B:$B,$A716,'Таблиця 1'!$I:$I,"Mirage")+COUNTIFS('Таблиця 1'!$B:$B,$A716,'Таблиця 1'!$I:$I,"F-16")+COUNTIFS('Таблиця 1'!$B:$B,$A716,'Таблиця 1'!$I:$I,"МіГ-29")+COUNTIFS('Таблиця 1'!$B:$B,$A716,'Таблиця 1'!$I:$I,"Су-25")+COUNTIFS('Таблиця 1'!$B:$B,$A716,'Таблиця 1'!$I:$I,"Су-27"))</f>
        <v/>
      </c>
      <c r="C716">
        <f>IF($A716="","",COUNTIFS('Таблиця 1'!$B:$B,$A716,'Таблиця 1'!$I:$I,"Mirage"))</f>
        <v/>
      </c>
      <c r="D716">
        <f>IF($A716="","",COUNTIFS('Таблиця 1'!$B:$B,$A716,'Таблиця 1'!$I:$I,"F-16"))</f>
        <v/>
      </c>
      <c r="E716">
        <f>IF($A716="","",COUNTIFS('Таблиця 1'!$B:$B,$A716,'Таблиця 1'!$I:$I,"МіГ-29"))</f>
        <v/>
      </c>
      <c r="F716">
        <f>IF($A716="","",COUNTIFS('Таблиця 1'!$B:$B,$A716,'Таблиця 1'!$I:$I,"Су-25"))</f>
        <v/>
      </c>
      <c r="G716">
        <f>IF($A716="","",COUNTIFS('Таблиця 1'!$B:$B,$A716,'Таблиця 1'!$I:$I,"Су-27"))</f>
        <v/>
      </c>
      <c r="H716">
        <f>IF($A716="","",SUMIFS('Таблиця 1'!$K:$K,'Таблиця 1'!$B:$B,$A716,'Таблиця 1'!$I:$I,"Mirage",'Таблиця 1'!$J:$J,"AGM-88")+SUMIFS('Таблиця 1'!$K:$K,'Таблиця 1'!$B:$B,$A716,'Таблиця 1'!$I:$I,"F-16",'Таблиця 1'!$J:$J,"AGM-88")+SUMIFS('Таблиця 1'!$K:$K,'Таблиця 1'!$B:$B,$A716,'Таблиця 1'!$I:$I,"МіГ-29",'Таблиця 1'!$J:$J,"AGM-88")+SUMIFS('Таблиця 1'!$K:$K,'Таблиця 1'!$B:$B,$A716,'Таблиця 1'!$I:$I,"Су-25",'Таблиця 1'!$J:$J,"AGM-88")+SUMIFS('Таблиця 1'!$K:$K,'Таблиця 1'!$B:$B,$A716,'Таблиця 1'!$I:$I,"Су-27",'Таблиця 1'!$J:$J,"AGM-88"))</f>
        <v/>
      </c>
      <c r="I716">
        <f>IF($A716="","",SUMIFS('Таблиця 1'!$K:$K,'Таблиця 1'!$B:$B,$A716,'Таблиця 1'!$I:$I,"Mirage",'Таблиця 1'!$J:$J,"AASM-250")+SUMIFS('Таблиця 1'!$K:$K,'Таблиця 1'!$B:$B,$A716,'Таблиця 1'!$I:$I,"F-16",'Таблиця 1'!$J:$J,"AASM-250")+SUMIFS('Таблиця 1'!$K:$K,'Таблиця 1'!$B:$B,$A716,'Таблиця 1'!$I:$I,"МіГ-29",'Таблиця 1'!$J:$J,"AASM-250")+SUMIFS('Таблиця 1'!$K:$K,'Таблиця 1'!$B:$B,$A716,'Таблиця 1'!$I:$I,"Су-25",'Таблиця 1'!$J:$J,"AASM-250")+SUMIFS('Таблиця 1'!$K:$K,'Таблиця 1'!$B:$B,$A716,'Таблиця 1'!$I:$I,"Су-27",'Таблиця 1'!$J:$J,"AASM-250"))</f>
        <v/>
      </c>
      <c r="J716">
        <f>IF($A716="","",SUMIFS('Таблиця 1'!$K:$K,'Таблиця 1'!$B:$B,$A716,'Таблиця 1'!$I:$I,"Mirage",'Таблиця 1'!$J:$J,"GBU-39")+SUMIFS('Таблиця 1'!$K:$K,'Таблиця 1'!$B:$B,$A716,'Таблиця 1'!$I:$I,"F-16",'Таблиця 1'!$J:$J,"GBU-39")+SUMIFS('Таблиця 1'!$K:$K,'Таблиця 1'!$B:$B,$A716,'Таблиця 1'!$I:$I,"МіГ-29",'Таблиця 1'!$J:$J,"GBU-39")+SUMIFS('Таблиця 1'!$K:$K,'Таблиця 1'!$B:$B,$A716,'Таблиця 1'!$I:$I,"Су-25",'Таблиця 1'!$J:$J,"GBU-39")+SUMIFS('Таблиця 1'!$K:$K,'Таблиця 1'!$B:$B,$A716,'Таблиця 1'!$I:$I,"Су-27",'Таблиця 1'!$J:$J,"GBU-39"))</f>
        <v/>
      </c>
      <c r="K716">
        <f>IF($A716="","",SUMIFS('Таблиця 1'!$K:$K,'Таблиця 1'!$B:$B,$A716,'Таблиця 1'!$I:$I,"Mirage",'Таблиця 1'!$J:$J,"BLU-140")+SUMIFS('Таблиця 1'!$K:$K,'Таблиця 1'!$B:$B,$A716,'Таблиця 1'!$I:$I,"F-16",'Таблиця 1'!$J:$J,"BLU-140")+SUMIFS('Таблиця 1'!$K:$K,'Таблиця 1'!$B:$B,$A716,'Таблиця 1'!$I:$I,"МіГ-29",'Таблиця 1'!$J:$J,"BLU-140")+SUMIFS('Таблиця 1'!$K:$K,'Таблиця 1'!$B:$B,$A716,'Таблиця 1'!$I:$I,"Су-25",'Таблиця 1'!$J:$J,"BLU-140")+SUMIFS('Таблиця 1'!$K:$K,'Таблиця 1'!$B:$B,$A716,'Таблиця 1'!$I:$I,"Су-27",'Таблиця 1'!$J:$J,"BLU-140"))</f>
        <v/>
      </c>
      <c r="L716">
        <f>IF($A716="","",SUMIFS('Таблиця 1'!$K:$K,'Таблиця 1'!$B:$B,$A716,'Таблиця 1'!$I:$I,"Mirage",'Таблиця 1'!$J:$J,"GBU-65")+SUMIFS('Таблиця 1'!$K:$K,'Таблиця 1'!$B:$B,$A716,'Таблиця 1'!$I:$I,"F-16",'Таблиця 1'!$J:$J,"GBU-65")+SUMIFS('Таблиця 1'!$K:$K,'Таблиця 1'!$B:$B,$A716,'Таблиця 1'!$I:$I,"МіГ-29",'Таблиця 1'!$J:$J,"GBU-65")+SUMIFS('Таблиця 1'!$K:$K,'Таблиця 1'!$B:$B,$A716,'Таблиця 1'!$I:$I,"Су-25",'Таблиця 1'!$J:$J,"GBU-65")+SUMIFS('Таблиця 1'!$K:$K,'Таблиця 1'!$B:$B,$A716,'Таблиця 1'!$I:$I,"Су-27",'Таблиця 1'!$J:$J,"GBU-65"))</f>
        <v/>
      </c>
      <c r="M716">
        <f>IF($A716="","",SUMIFS('Таблиця 1'!$K:$K,'Таблиця 1'!$B:$B,$A716,'Таблиця 1'!$I:$I,"Mirage",'Таблиця 1'!$J:$J,"GBU-62")+SUMIFS('Таблиця 1'!$K:$K,'Таблиця 1'!$B:$B,$A716,'Таблиця 1'!$I:$I,"F-16",'Таблиця 1'!$J:$J,"GBU-62")+SUMIFS('Таблиця 1'!$K:$K,'Таблиця 1'!$B:$B,$A716,'Таблиця 1'!$I:$I,"МіГ-29",'Таблиця 1'!$J:$J,"GBU-62")+SUMIFS('Таблиця 1'!$K:$K,'Таблиця 1'!$B:$B,$A716,'Таблиця 1'!$I:$I,"Су-25",'Таблиця 1'!$J:$J,"GBU-62")+SUMIFS('Таблиця 1'!$K:$K,'Таблиця 1'!$B:$B,$A716,'Таблиця 1'!$I:$I,"Су-27",'Таблиця 1'!$J:$J,"GBU-62"))</f>
        <v/>
      </c>
      <c r="N716">
        <f>IF($A716="","",SUMIFS('Таблиця 1'!$K:$K,'Таблиця 1'!$B:$B,$A716,'Таблиця 1'!$I:$I,"Mirage",'Таблиця 1'!$J:$J,"GBU-64")+SUMIFS('Таблиця 1'!$K:$K,'Таблиця 1'!$B:$B,$A716,'Таблиця 1'!$I:$I,"F-16",'Таблиця 1'!$J:$J,"GBU-64")+SUMIFS('Таблиця 1'!$K:$K,'Таблиця 1'!$B:$B,$A716,'Таблиця 1'!$I:$I,"МіГ-29",'Таблиця 1'!$J:$J,"GBU-64")+SUMIFS('Таблиця 1'!$K:$K,'Таблиця 1'!$B:$B,$A716,'Таблиця 1'!$I:$I,"Су-25",'Таблиця 1'!$J:$J,"GBU-64")+SUMIFS('Таблиця 1'!$K:$K,'Таблиця 1'!$B:$B,$A716,'Таблиця 1'!$I:$I,"Су-27",'Таблиця 1'!$J:$J,"GBU-64"))</f>
        <v/>
      </c>
      <c r="O716">
        <f>IF($A716="","",SUMIFS('Таблиця 1'!$K:$K,'Таблиця 1'!$B:$B,$A716,'Таблиця 1'!$I:$I,"Mirage",'Таблиця 1'!$J:$J,"C-13")+SUMIFS('Таблиця 1'!$K:$K,'Таблиця 1'!$B:$B,$A716,'Таблиця 1'!$I:$I,"F-16",'Таблиця 1'!$J:$J,"C-13")+SUMIFS('Таблиця 1'!$K:$K,'Таблиця 1'!$B:$B,$A716,'Таблиця 1'!$I:$I,"МіГ-29",'Таблиця 1'!$J:$J,"C-13")+SUMIFS('Таблиця 1'!$K:$K,'Таблиця 1'!$B:$B,$A716,'Таблиця 1'!$I:$I,"Су-25",'Таблиця 1'!$J:$J,"C-13")+SUMIFS('Таблиця 1'!$K:$K,'Таблиця 1'!$B:$B,$A716,'Таблиця 1'!$I:$I,"Су-27",'Таблиця 1'!$J:$J,"C-13"))</f>
        <v/>
      </c>
      <c r="P716">
        <f>IF($A716="","",SUMIFS('Таблиця 1'!$K:$K,'Таблиця 1'!$B:$B,$A716,'Таблиця 1'!$I:$I,"Mirage",'Таблиця 1'!$J:$J,"MK-32")+SUMIFS('Таблиця 1'!$K:$K,'Таблиця 1'!$B:$B,$A716,'Таблиця 1'!$I:$I,"F-16",'Таблиця 1'!$J:$J,"MK-32")+SUMIFS('Таблиця 1'!$K:$K,'Таблиця 1'!$B:$B,$A716,'Таблиця 1'!$I:$I,"МіГ-29",'Таблиця 1'!$J:$J,"MK-32")+SUMIFS('Таблиця 1'!$K:$K,'Таблиця 1'!$B:$B,$A716,'Таблиця 1'!$I:$I,"Су-25",'Таблиця 1'!$J:$J,"MK-32")+SUMIFS('Таблиця 1'!$K:$K,'Таблиця 1'!$B:$B,$A716,'Таблиця 1'!$I:$I,"Су-27",'Таблиця 1'!$J:$J,"MK-32"))</f>
        <v/>
      </c>
      <c r="Q716">
        <f>IF($A716="","",SUMIFS('Таблиця 1'!$K:$K,'Таблиця 1'!$B:$B,$A716,'Таблиця 1'!$I:$I,"Mirage",'Таблиця 1'!$J:$J,"MK-24")+SUMIFS('Таблиця 1'!$K:$K,'Таблиця 1'!$B:$B,$A716,'Таблиця 1'!$I:$I,"F-16",'Таблиця 1'!$J:$J,"MK-24")+SUMIFS('Таблиця 1'!$K:$K,'Таблиця 1'!$B:$B,$A716,'Таблиця 1'!$I:$I,"МіГ-29",'Таблиця 1'!$J:$J,"MK-24")+SUMIFS('Таблиця 1'!$K:$K,'Таблиця 1'!$B:$B,$A716,'Таблиця 1'!$I:$I,"Су-25",'Таблиця 1'!$J:$J,"MK-24")+SUMIFS('Таблиця 1'!$K:$K,'Таблиця 1'!$B:$B,$A716,'Таблиця 1'!$I:$I,"Су-27",'Таблиця 1'!$J:$J,"MK-24"))</f>
        <v/>
      </c>
      <c r="R716">
        <f>IF($A716="","",COUNTIFS('Таблиця 1'!$B:$B,$A716,'Таблиця 1'!$I:$I,"Mirage",'Таблиця 1'!$L:$L,"Уражено")+COUNTIFS('Таблиця 1'!$B:$B,$A716,'Таблиця 1'!$I:$I,"F-16",'Таблиця 1'!$L:$L,"Уражено")+COUNTIFS('Таблиця 1'!$B:$B,$A716,'Таблиця 1'!$I:$I,"МіГ-29",'Таблиця 1'!$L:$L,"Уражено")+COUNTIFS('Таблиця 1'!$B:$B,$A716,'Таблиця 1'!$I:$I,"Су-25",'Таблиця 1'!$L:$L,"Уражено")+COUNTIFS('Таблиця 1'!$B:$B,$A716,'Таблиця 1'!$I:$I,"Су-27",'Таблиця 1'!$L:$L,"Уражено"))</f>
        <v/>
      </c>
      <c r="S716">
        <f>IF($A716="","",COUNTIFS('Таблиця 1'!$B:$B,$A716,'Таблиця 1'!$I:$I,"Mirage",'Таблиця 1'!$L:$L,"НЕ уражено")+COUNTIFS('Таблиця 1'!$B:$B,$A716,'Таблиця 1'!$I:$I,"F-16",'Таблиця 1'!$L:$L,"НЕ уражено")+COUNTIFS('Таблиця 1'!$B:$B,$A716,'Таблиця 1'!$I:$I,"МіГ-29",'Таблиця 1'!$L:$L,"НЕ уражено")+COUNTIFS('Таблиця 1'!$B:$B,$A716,'Таблиця 1'!$I:$I,"Су-25",'Таблиця 1'!$L:$L,"НЕ уражено")+COUNTIFS('Таблиця 1'!$B:$B,$A716,'Таблиця 1'!$I:$I,"Су-27",'Таблиця 1'!$L:$L,"НЕ уражено"))</f>
        <v/>
      </c>
      <c r="T716">
        <f>IF($A716="","",COUNTIFS('Таблиця 1'!$B:$B,$A716,'Таблиця 1'!$I:$I,"Mirage",'Таблиця 1'!$L:$L,"Дорозвідується")+COUNTIFS('Таблиця 1'!$B:$B,$A716,'Таблиця 1'!$I:$I,"F-16",'Таблиця 1'!$L:$L,"Дорозвідується")+COUNTIFS('Таблиця 1'!$B:$B,$A716,'Таблиця 1'!$I:$I,"МіГ-29",'Таблиця 1'!$L:$L,"Дорозвідується")+COUNTIFS('Таблиця 1'!$B:$B,$A716,'Таблиця 1'!$I:$I,"Су-25",'Таблиця 1'!$L:$L,"Дорозвідується")+COUNTIFS('Таблиця 1'!$B:$B,$A716,'Таблиця 1'!$I:$I,"Су-27",'Таблиця 1'!$L:$L,"Дорозвідується"))</f>
        <v/>
      </c>
    </row>
    <row r="717">
      <c r="A717" s="273">
        <f>IF(A716="","",IF(A716+1&gt;MAX('Таблиця 1'!$B:$B),"",A716+1))</f>
        <v/>
      </c>
      <c r="B717">
        <f>IF($A717="","",COUNTIFS('Таблиця 1'!$B:$B,$A717,'Таблиця 1'!$I:$I,"Mirage")+COUNTIFS('Таблиця 1'!$B:$B,$A717,'Таблиця 1'!$I:$I,"F-16")+COUNTIFS('Таблиця 1'!$B:$B,$A717,'Таблиця 1'!$I:$I,"МіГ-29")+COUNTIFS('Таблиця 1'!$B:$B,$A717,'Таблиця 1'!$I:$I,"Су-25")+COUNTIFS('Таблиця 1'!$B:$B,$A717,'Таблиця 1'!$I:$I,"Су-27"))</f>
        <v/>
      </c>
      <c r="C717">
        <f>IF($A717="","",COUNTIFS('Таблиця 1'!$B:$B,$A717,'Таблиця 1'!$I:$I,"Mirage"))</f>
        <v/>
      </c>
      <c r="D717">
        <f>IF($A717="","",COUNTIFS('Таблиця 1'!$B:$B,$A717,'Таблиця 1'!$I:$I,"F-16"))</f>
        <v/>
      </c>
      <c r="E717">
        <f>IF($A717="","",COUNTIFS('Таблиця 1'!$B:$B,$A717,'Таблиця 1'!$I:$I,"МіГ-29"))</f>
        <v/>
      </c>
      <c r="F717">
        <f>IF($A717="","",COUNTIFS('Таблиця 1'!$B:$B,$A717,'Таблиця 1'!$I:$I,"Су-25"))</f>
        <v/>
      </c>
      <c r="G717">
        <f>IF($A717="","",COUNTIFS('Таблиця 1'!$B:$B,$A717,'Таблиця 1'!$I:$I,"Су-27"))</f>
        <v/>
      </c>
      <c r="H717">
        <f>IF($A717="","",SUMIFS('Таблиця 1'!$K:$K,'Таблиця 1'!$B:$B,$A717,'Таблиця 1'!$I:$I,"Mirage",'Таблиця 1'!$J:$J,"AGM-88")+SUMIFS('Таблиця 1'!$K:$K,'Таблиця 1'!$B:$B,$A717,'Таблиця 1'!$I:$I,"F-16",'Таблиця 1'!$J:$J,"AGM-88")+SUMIFS('Таблиця 1'!$K:$K,'Таблиця 1'!$B:$B,$A717,'Таблиця 1'!$I:$I,"МіГ-29",'Таблиця 1'!$J:$J,"AGM-88")+SUMIFS('Таблиця 1'!$K:$K,'Таблиця 1'!$B:$B,$A717,'Таблиця 1'!$I:$I,"Су-25",'Таблиця 1'!$J:$J,"AGM-88")+SUMIFS('Таблиця 1'!$K:$K,'Таблиця 1'!$B:$B,$A717,'Таблиця 1'!$I:$I,"Су-27",'Таблиця 1'!$J:$J,"AGM-88"))</f>
        <v/>
      </c>
      <c r="I717">
        <f>IF($A717="","",SUMIFS('Таблиця 1'!$K:$K,'Таблиця 1'!$B:$B,$A717,'Таблиця 1'!$I:$I,"Mirage",'Таблиця 1'!$J:$J,"AASM-250")+SUMIFS('Таблиця 1'!$K:$K,'Таблиця 1'!$B:$B,$A717,'Таблиця 1'!$I:$I,"F-16",'Таблиця 1'!$J:$J,"AASM-250")+SUMIFS('Таблиця 1'!$K:$K,'Таблиця 1'!$B:$B,$A717,'Таблиця 1'!$I:$I,"МіГ-29",'Таблиця 1'!$J:$J,"AASM-250")+SUMIFS('Таблиця 1'!$K:$K,'Таблиця 1'!$B:$B,$A717,'Таблиця 1'!$I:$I,"Су-25",'Таблиця 1'!$J:$J,"AASM-250")+SUMIFS('Таблиця 1'!$K:$K,'Таблиця 1'!$B:$B,$A717,'Таблиця 1'!$I:$I,"Су-27",'Таблиця 1'!$J:$J,"AASM-250"))</f>
        <v/>
      </c>
      <c r="J717">
        <f>IF($A717="","",SUMIFS('Таблиця 1'!$K:$K,'Таблиця 1'!$B:$B,$A717,'Таблиця 1'!$I:$I,"Mirage",'Таблиця 1'!$J:$J,"GBU-39")+SUMIFS('Таблиця 1'!$K:$K,'Таблиця 1'!$B:$B,$A717,'Таблиця 1'!$I:$I,"F-16",'Таблиця 1'!$J:$J,"GBU-39")+SUMIFS('Таблиця 1'!$K:$K,'Таблиця 1'!$B:$B,$A717,'Таблиця 1'!$I:$I,"МіГ-29",'Таблиця 1'!$J:$J,"GBU-39")+SUMIFS('Таблиця 1'!$K:$K,'Таблиця 1'!$B:$B,$A717,'Таблиця 1'!$I:$I,"Су-25",'Таблиця 1'!$J:$J,"GBU-39")+SUMIFS('Таблиця 1'!$K:$K,'Таблиця 1'!$B:$B,$A717,'Таблиця 1'!$I:$I,"Су-27",'Таблиця 1'!$J:$J,"GBU-39"))</f>
        <v/>
      </c>
      <c r="K717">
        <f>IF($A717="","",SUMIFS('Таблиця 1'!$K:$K,'Таблиця 1'!$B:$B,$A717,'Таблиця 1'!$I:$I,"Mirage",'Таблиця 1'!$J:$J,"BLU-140")+SUMIFS('Таблиця 1'!$K:$K,'Таблиця 1'!$B:$B,$A717,'Таблиця 1'!$I:$I,"F-16",'Таблиця 1'!$J:$J,"BLU-140")+SUMIFS('Таблиця 1'!$K:$K,'Таблиця 1'!$B:$B,$A717,'Таблиця 1'!$I:$I,"МіГ-29",'Таблиця 1'!$J:$J,"BLU-140")+SUMIFS('Таблиця 1'!$K:$K,'Таблиця 1'!$B:$B,$A717,'Таблиця 1'!$I:$I,"Су-25",'Таблиця 1'!$J:$J,"BLU-140")+SUMIFS('Таблиця 1'!$K:$K,'Таблиця 1'!$B:$B,$A717,'Таблиця 1'!$I:$I,"Су-27",'Таблиця 1'!$J:$J,"BLU-140"))</f>
        <v/>
      </c>
      <c r="L717">
        <f>IF($A717="","",SUMIFS('Таблиця 1'!$K:$K,'Таблиця 1'!$B:$B,$A717,'Таблиця 1'!$I:$I,"Mirage",'Таблиця 1'!$J:$J,"GBU-65")+SUMIFS('Таблиця 1'!$K:$K,'Таблиця 1'!$B:$B,$A717,'Таблиця 1'!$I:$I,"F-16",'Таблиця 1'!$J:$J,"GBU-65")+SUMIFS('Таблиця 1'!$K:$K,'Таблиця 1'!$B:$B,$A717,'Таблиця 1'!$I:$I,"МіГ-29",'Таблиця 1'!$J:$J,"GBU-65")+SUMIFS('Таблиця 1'!$K:$K,'Таблиця 1'!$B:$B,$A717,'Таблиця 1'!$I:$I,"Су-25",'Таблиця 1'!$J:$J,"GBU-65")+SUMIFS('Таблиця 1'!$K:$K,'Таблиця 1'!$B:$B,$A717,'Таблиця 1'!$I:$I,"Су-27",'Таблиця 1'!$J:$J,"GBU-65"))</f>
        <v/>
      </c>
      <c r="M717">
        <f>IF($A717="","",SUMIFS('Таблиця 1'!$K:$K,'Таблиця 1'!$B:$B,$A717,'Таблиця 1'!$I:$I,"Mirage",'Таблиця 1'!$J:$J,"GBU-62")+SUMIFS('Таблиця 1'!$K:$K,'Таблиця 1'!$B:$B,$A717,'Таблиця 1'!$I:$I,"F-16",'Таблиця 1'!$J:$J,"GBU-62")+SUMIFS('Таблиця 1'!$K:$K,'Таблиця 1'!$B:$B,$A717,'Таблиця 1'!$I:$I,"МіГ-29",'Таблиця 1'!$J:$J,"GBU-62")+SUMIFS('Таблиця 1'!$K:$K,'Таблиця 1'!$B:$B,$A717,'Таблиця 1'!$I:$I,"Су-25",'Таблиця 1'!$J:$J,"GBU-62")+SUMIFS('Таблиця 1'!$K:$K,'Таблиця 1'!$B:$B,$A717,'Таблиця 1'!$I:$I,"Су-27",'Таблиця 1'!$J:$J,"GBU-62"))</f>
        <v/>
      </c>
      <c r="N717">
        <f>IF($A717="","",SUMIFS('Таблиця 1'!$K:$K,'Таблиця 1'!$B:$B,$A717,'Таблиця 1'!$I:$I,"Mirage",'Таблиця 1'!$J:$J,"GBU-64")+SUMIFS('Таблиця 1'!$K:$K,'Таблиця 1'!$B:$B,$A717,'Таблиця 1'!$I:$I,"F-16",'Таблиця 1'!$J:$J,"GBU-64")+SUMIFS('Таблиця 1'!$K:$K,'Таблиця 1'!$B:$B,$A717,'Таблиця 1'!$I:$I,"МіГ-29",'Таблиця 1'!$J:$J,"GBU-64")+SUMIFS('Таблиця 1'!$K:$K,'Таблиця 1'!$B:$B,$A717,'Таблиця 1'!$I:$I,"Су-25",'Таблиця 1'!$J:$J,"GBU-64")+SUMIFS('Таблиця 1'!$K:$K,'Таблиця 1'!$B:$B,$A717,'Таблиця 1'!$I:$I,"Су-27",'Таблиця 1'!$J:$J,"GBU-64"))</f>
        <v/>
      </c>
      <c r="O717">
        <f>IF($A717="","",SUMIFS('Таблиця 1'!$K:$K,'Таблиця 1'!$B:$B,$A717,'Таблиця 1'!$I:$I,"Mirage",'Таблиця 1'!$J:$J,"C-13")+SUMIFS('Таблиця 1'!$K:$K,'Таблиця 1'!$B:$B,$A717,'Таблиця 1'!$I:$I,"F-16",'Таблиця 1'!$J:$J,"C-13")+SUMIFS('Таблиця 1'!$K:$K,'Таблиця 1'!$B:$B,$A717,'Таблиця 1'!$I:$I,"МіГ-29",'Таблиця 1'!$J:$J,"C-13")+SUMIFS('Таблиця 1'!$K:$K,'Таблиця 1'!$B:$B,$A717,'Таблиця 1'!$I:$I,"Су-25",'Таблиця 1'!$J:$J,"C-13")+SUMIFS('Таблиця 1'!$K:$K,'Таблиця 1'!$B:$B,$A717,'Таблиця 1'!$I:$I,"Су-27",'Таблиця 1'!$J:$J,"C-13"))</f>
        <v/>
      </c>
      <c r="P717">
        <f>IF($A717="","",SUMIFS('Таблиця 1'!$K:$K,'Таблиця 1'!$B:$B,$A717,'Таблиця 1'!$I:$I,"Mirage",'Таблиця 1'!$J:$J,"MK-32")+SUMIFS('Таблиця 1'!$K:$K,'Таблиця 1'!$B:$B,$A717,'Таблиця 1'!$I:$I,"F-16",'Таблиця 1'!$J:$J,"MK-32")+SUMIFS('Таблиця 1'!$K:$K,'Таблиця 1'!$B:$B,$A717,'Таблиця 1'!$I:$I,"МіГ-29",'Таблиця 1'!$J:$J,"MK-32")+SUMIFS('Таблиця 1'!$K:$K,'Таблиця 1'!$B:$B,$A717,'Таблиця 1'!$I:$I,"Су-25",'Таблиця 1'!$J:$J,"MK-32")+SUMIFS('Таблиця 1'!$K:$K,'Таблиця 1'!$B:$B,$A717,'Таблиця 1'!$I:$I,"Су-27",'Таблиця 1'!$J:$J,"MK-32"))</f>
        <v/>
      </c>
      <c r="Q717">
        <f>IF($A717="","",SUMIFS('Таблиця 1'!$K:$K,'Таблиця 1'!$B:$B,$A717,'Таблиця 1'!$I:$I,"Mirage",'Таблиця 1'!$J:$J,"MK-24")+SUMIFS('Таблиця 1'!$K:$K,'Таблиця 1'!$B:$B,$A717,'Таблиця 1'!$I:$I,"F-16",'Таблиця 1'!$J:$J,"MK-24")+SUMIFS('Таблиця 1'!$K:$K,'Таблиця 1'!$B:$B,$A717,'Таблиця 1'!$I:$I,"МіГ-29",'Таблиця 1'!$J:$J,"MK-24")+SUMIFS('Таблиця 1'!$K:$K,'Таблиця 1'!$B:$B,$A717,'Таблиця 1'!$I:$I,"Су-25",'Таблиця 1'!$J:$J,"MK-24")+SUMIFS('Таблиця 1'!$K:$K,'Таблиця 1'!$B:$B,$A717,'Таблиця 1'!$I:$I,"Су-27",'Таблиця 1'!$J:$J,"MK-24"))</f>
        <v/>
      </c>
      <c r="R717">
        <f>IF($A717="","",COUNTIFS('Таблиця 1'!$B:$B,$A717,'Таблиця 1'!$I:$I,"Mirage",'Таблиця 1'!$L:$L,"Уражено")+COUNTIFS('Таблиця 1'!$B:$B,$A717,'Таблиця 1'!$I:$I,"F-16",'Таблиця 1'!$L:$L,"Уражено")+COUNTIFS('Таблиця 1'!$B:$B,$A717,'Таблиця 1'!$I:$I,"МіГ-29",'Таблиця 1'!$L:$L,"Уражено")+COUNTIFS('Таблиця 1'!$B:$B,$A717,'Таблиця 1'!$I:$I,"Су-25",'Таблиця 1'!$L:$L,"Уражено")+COUNTIFS('Таблиця 1'!$B:$B,$A717,'Таблиця 1'!$I:$I,"Су-27",'Таблиця 1'!$L:$L,"Уражено"))</f>
        <v/>
      </c>
      <c r="S717">
        <f>IF($A717="","",COUNTIFS('Таблиця 1'!$B:$B,$A717,'Таблиця 1'!$I:$I,"Mirage",'Таблиця 1'!$L:$L,"НЕ уражено")+COUNTIFS('Таблиця 1'!$B:$B,$A717,'Таблиця 1'!$I:$I,"F-16",'Таблиця 1'!$L:$L,"НЕ уражено")+COUNTIFS('Таблиця 1'!$B:$B,$A717,'Таблиця 1'!$I:$I,"МіГ-29",'Таблиця 1'!$L:$L,"НЕ уражено")+COUNTIFS('Таблиця 1'!$B:$B,$A717,'Таблиця 1'!$I:$I,"Су-25",'Таблиця 1'!$L:$L,"НЕ уражено")+COUNTIFS('Таблиця 1'!$B:$B,$A717,'Таблиця 1'!$I:$I,"Су-27",'Таблиця 1'!$L:$L,"НЕ уражено"))</f>
        <v/>
      </c>
      <c r="T717">
        <f>IF($A717="","",COUNTIFS('Таблиця 1'!$B:$B,$A717,'Таблиця 1'!$I:$I,"Mirage",'Таблиця 1'!$L:$L,"Дорозвідується")+COUNTIFS('Таблиця 1'!$B:$B,$A717,'Таблиця 1'!$I:$I,"F-16",'Таблиця 1'!$L:$L,"Дорозвідується")+COUNTIFS('Таблиця 1'!$B:$B,$A717,'Таблиця 1'!$I:$I,"МіГ-29",'Таблиця 1'!$L:$L,"Дорозвідується")+COUNTIFS('Таблиця 1'!$B:$B,$A717,'Таблиця 1'!$I:$I,"Су-25",'Таблиця 1'!$L:$L,"Дорозвідується")+COUNTIFS('Таблиця 1'!$B:$B,$A717,'Таблиця 1'!$I:$I,"Су-27",'Таблиця 1'!$L:$L,"Дорозвідується"))</f>
        <v/>
      </c>
    </row>
    <row r="718">
      <c r="A718" s="273">
        <f>IF(A717="","",IF(A717+1&gt;MAX('Таблиця 1'!$B:$B),"",A717+1))</f>
        <v/>
      </c>
      <c r="B718">
        <f>IF($A718="","",COUNTIFS('Таблиця 1'!$B:$B,$A718,'Таблиця 1'!$I:$I,"Mirage")+COUNTIFS('Таблиця 1'!$B:$B,$A718,'Таблиця 1'!$I:$I,"F-16")+COUNTIFS('Таблиця 1'!$B:$B,$A718,'Таблиця 1'!$I:$I,"МіГ-29")+COUNTIFS('Таблиця 1'!$B:$B,$A718,'Таблиця 1'!$I:$I,"Су-25")+COUNTIFS('Таблиця 1'!$B:$B,$A718,'Таблиця 1'!$I:$I,"Су-27"))</f>
        <v/>
      </c>
      <c r="C718">
        <f>IF($A718="","",COUNTIFS('Таблиця 1'!$B:$B,$A718,'Таблиця 1'!$I:$I,"Mirage"))</f>
        <v/>
      </c>
      <c r="D718">
        <f>IF($A718="","",COUNTIFS('Таблиця 1'!$B:$B,$A718,'Таблиця 1'!$I:$I,"F-16"))</f>
        <v/>
      </c>
      <c r="E718">
        <f>IF($A718="","",COUNTIFS('Таблиця 1'!$B:$B,$A718,'Таблиця 1'!$I:$I,"МіГ-29"))</f>
        <v/>
      </c>
      <c r="F718">
        <f>IF($A718="","",COUNTIFS('Таблиця 1'!$B:$B,$A718,'Таблиця 1'!$I:$I,"Су-25"))</f>
        <v/>
      </c>
      <c r="G718">
        <f>IF($A718="","",COUNTIFS('Таблиця 1'!$B:$B,$A718,'Таблиця 1'!$I:$I,"Су-27"))</f>
        <v/>
      </c>
      <c r="H718">
        <f>IF($A718="","",SUMIFS('Таблиця 1'!$K:$K,'Таблиця 1'!$B:$B,$A718,'Таблиця 1'!$I:$I,"Mirage",'Таблиця 1'!$J:$J,"AGM-88")+SUMIFS('Таблиця 1'!$K:$K,'Таблиця 1'!$B:$B,$A718,'Таблиця 1'!$I:$I,"F-16",'Таблиця 1'!$J:$J,"AGM-88")+SUMIFS('Таблиця 1'!$K:$K,'Таблиця 1'!$B:$B,$A718,'Таблиця 1'!$I:$I,"МіГ-29",'Таблиця 1'!$J:$J,"AGM-88")+SUMIFS('Таблиця 1'!$K:$K,'Таблиця 1'!$B:$B,$A718,'Таблиця 1'!$I:$I,"Су-25",'Таблиця 1'!$J:$J,"AGM-88")+SUMIFS('Таблиця 1'!$K:$K,'Таблиця 1'!$B:$B,$A718,'Таблиця 1'!$I:$I,"Су-27",'Таблиця 1'!$J:$J,"AGM-88"))</f>
        <v/>
      </c>
      <c r="I718">
        <f>IF($A718="","",SUMIFS('Таблиця 1'!$K:$K,'Таблиця 1'!$B:$B,$A718,'Таблиця 1'!$I:$I,"Mirage",'Таблиця 1'!$J:$J,"AASM-250")+SUMIFS('Таблиця 1'!$K:$K,'Таблиця 1'!$B:$B,$A718,'Таблиця 1'!$I:$I,"F-16",'Таблиця 1'!$J:$J,"AASM-250")+SUMIFS('Таблиця 1'!$K:$K,'Таблиця 1'!$B:$B,$A718,'Таблиця 1'!$I:$I,"МіГ-29",'Таблиця 1'!$J:$J,"AASM-250")+SUMIFS('Таблиця 1'!$K:$K,'Таблиця 1'!$B:$B,$A718,'Таблиця 1'!$I:$I,"Су-25",'Таблиця 1'!$J:$J,"AASM-250")+SUMIFS('Таблиця 1'!$K:$K,'Таблиця 1'!$B:$B,$A718,'Таблиця 1'!$I:$I,"Су-27",'Таблиця 1'!$J:$J,"AASM-250"))</f>
        <v/>
      </c>
      <c r="J718">
        <f>IF($A718="","",SUMIFS('Таблиця 1'!$K:$K,'Таблиця 1'!$B:$B,$A718,'Таблиця 1'!$I:$I,"Mirage",'Таблиця 1'!$J:$J,"GBU-39")+SUMIFS('Таблиця 1'!$K:$K,'Таблиця 1'!$B:$B,$A718,'Таблиця 1'!$I:$I,"F-16",'Таблиця 1'!$J:$J,"GBU-39")+SUMIFS('Таблиця 1'!$K:$K,'Таблиця 1'!$B:$B,$A718,'Таблиця 1'!$I:$I,"МіГ-29",'Таблиця 1'!$J:$J,"GBU-39")+SUMIFS('Таблиця 1'!$K:$K,'Таблиця 1'!$B:$B,$A718,'Таблиця 1'!$I:$I,"Су-25",'Таблиця 1'!$J:$J,"GBU-39")+SUMIFS('Таблиця 1'!$K:$K,'Таблиця 1'!$B:$B,$A718,'Таблиця 1'!$I:$I,"Су-27",'Таблиця 1'!$J:$J,"GBU-39"))</f>
        <v/>
      </c>
      <c r="K718">
        <f>IF($A718="","",SUMIFS('Таблиця 1'!$K:$K,'Таблиця 1'!$B:$B,$A718,'Таблиця 1'!$I:$I,"Mirage",'Таблиця 1'!$J:$J,"BLU-140")+SUMIFS('Таблиця 1'!$K:$K,'Таблиця 1'!$B:$B,$A718,'Таблиця 1'!$I:$I,"F-16",'Таблиця 1'!$J:$J,"BLU-140")+SUMIFS('Таблиця 1'!$K:$K,'Таблиця 1'!$B:$B,$A718,'Таблиця 1'!$I:$I,"МіГ-29",'Таблиця 1'!$J:$J,"BLU-140")+SUMIFS('Таблиця 1'!$K:$K,'Таблиця 1'!$B:$B,$A718,'Таблиця 1'!$I:$I,"Су-25",'Таблиця 1'!$J:$J,"BLU-140")+SUMIFS('Таблиця 1'!$K:$K,'Таблиця 1'!$B:$B,$A718,'Таблиця 1'!$I:$I,"Су-27",'Таблиця 1'!$J:$J,"BLU-140"))</f>
        <v/>
      </c>
      <c r="L718">
        <f>IF($A718="","",SUMIFS('Таблиця 1'!$K:$K,'Таблиця 1'!$B:$B,$A718,'Таблиця 1'!$I:$I,"Mirage",'Таблиця 1'!$J:$J,"GBU-65")+SUMIFS('Таблиця 1'!$K:$K,'Таблиця 1'!$B:$B,$A718,'Таблиця 1'!$I:$I,"F-16",'Таблиця 1'!$J:$J,"GBU-65")+SUMIFS('Таблиця 1'!$K:$K,'Таблиця 1'!$B:$B,$A718,'Таблиця 1'!$I:$I,"МіГ-29",'Таблиця 1'!$J:$J,"GBU-65")+SUMIFS('Таблиця 1'!$K:$K,'Таблиця 1'!$B:$B,$A718,'Таблиця 1'!$I:$I,"Су-25",'Таблиця 1'!$J:$J,"GBU-65")+SUMIFS('Таблиця 1'!$K:$K,'Таблиця 1'!$B:$B,$A718,'Таблиця 1'!$I:$I,"Су-27",'Таблиця 1'!$J:$J,"GBU-65"))</f>
        <v/>
      </c>
      <c r="M718">
        <f>IF($A718="","",SUMIFS('Таблиця 1'!$K:$K,'Таблиця 1'!$B:$B,$A718,'Таблиця 1'!$I:$I,"Mirage",'Таблиця 1'!$J:$J,"GBU-62")+SUMIFS('Таблиця 1'!$K:$K,'Таблиця 1'!$B:$B,$A718,'Таблиця 1'!$I:$I,"F-16",'Таблиця 1'!$J:$J,"GBU-62")+SUMIFS('Таблиця 1'!$K:$K,'Таблиця 1'!$B:$B,$A718,'Таблиця 1'!$I:$I,"МіГ-29",'Таблиця 1'!$J:$J,"GBU-62")+SUMIFS('Таблиця 1'!$K:$K,'Таблиця 1'!$B:$B,$A718,'Таблиця 1'!$I:$I,"Су-25",'Таблиця 1'!$J:$J,"GBU-62")+SUMIFS('Таблиця 1'!$K:$K,'Таблиця 1'!$B:$B,$A718,'Таблиця 1'!$I:$I,"Су-27",'Таблиця 1'!$J:$J,"GBU-62"))</f>
        <v/>
      </c>
      <c r="N718">
        <f>IF($A718="","",SUMIFS('Таблиця 1'!$K:$K,'Таблиця 1'!$B:$B,$A718,'Таблиця 1'!$I:$I,"Mirage",'Таблиця 1'!$J:$J,"GBU-64")+SUMIFS('Таблиця 1'!$K:$K,'Таблиця 1'!$B:$B,$A718,'Таблиця 1'!$I:$I,"F-16",'Таблиця 1'!$J:$J,"GBU-64")+SUMIFS('Таблиця 1'!$K:$K,'Таблиця 1'!$B:$B,$A718,'Таблиця 1'!$I:$I,"МіГ-29",'Таблиця 1'!$J:$J,"GBU-64")+SUMIFS('Таблиця 1'!$K:$K,'Таблиця 1'!$B:$B,$A718,'Таблиця 1'!$I:$I,"Су-25",'Таблиця 1'!$J:$J,"GBU-64")+SUMIFS('Таблиця 1'!$K:$K,'Таблиця 1'!$B:$B,$A718,'Таблиця 1'!$I:$I,"Су-27",'Таблиця 1'!$J:$J,"GBU-64"))</f>
        <v/>
      </c>
      <c r="O718">
        <f>IF($A718="","",SUMIFS('Таблиця 1'!$K:$K,'Таблиця 1'!$B:$B,$A718,'Таблиця 1'!$I:$I,"Mirage",'Таблиця 1'!$J:$J,"C-13")+SUMIFS('Таблиця 1'!$K:$K,'Таблиця 1'!$B:$B,$A718,'Таблиця 1'!$I:$I,"F-16",'Таблиця 1'!$J:$J,"C-13")+SUMIFS('Таблиця 1'!$K:$K,'Таблиця 1'!$B:$B,$A718,'Таблиця 1'!$I:$I,"МіГ-29",'Таблиця 1'!$J:$J,"C-13")+SUMIFS('Таблиця 1'!$K:$K,'Таблиця 1'!$B:$B,$A718,'Таблиця 1'!$I:$I,"Су-25",'Таблиця 1'!$J:$J,"C-13")+SUMIFS('Таблиця 1'!$K:$K,'Таблиця 1'!$B:$B,$A718,'Таблиця 1'!$I:$I,"Су-27",'Таблиця 1'!$J:$J,"C-13"))</f>
        <v/>
      </c>
      <c r="P718">
        <f>IF($A718="","",SUMIFS('Таблиця 1'!$K:$K,'Таблиця 1'!$B:$B,$A718,'Таблиця 1'!$I:$I,"Mirage",'Таблиця 1'!$J:$J,"MK-32")+SUMIFS('Таблиця 1'!$K:$K,'Таблиця 1'!$B:$B,$A718,'Таблиця 1'!$I:$I,"F-16",'Таблиця 1'!$J:$J,"MK-32")+SUMIFS('Таблиця 1'!$K:$K,'Таблиця 1'!$B:$B,$A718,'Таблиця 1'!$I:$I,"МіГ-29",'Таблиця 1'!$J:$J,"MK-32")+SUMIFS('Таблиця 1'!$K:$K,'Таблиця 1'!$B:$B,$A718,'Таблиця 1'!$I:$I,"Су-25",'Таблиця 1'!$J:$J,"MK-32")+SUMIFS('Таблиця 1'!$K:$K,'Таблиця 1'!$B:$B,$A718,'Таблиця 1'!$I:$I,"Су-27",'Таблиця 1'!$J:$J,"MK-32"))</f>
        <v/>
      </c>
      <c r="Q718">
        <f>IF($A718="","",SUMIFS('Таблиця 1'!$K:$K,'Таблиця 1'!$B:$B,$A718,'Таблиця 1'!$I:$I,"Mirage",'Таблиця 1'!$J:$J,"MK-24")+SUMIFS('Таблиця 1'!$K:$K,'Таблиця 1'!$B:$B,$A718,'Таблиця 1'!$I:$I,"F-16",'Таблиця 1'!$J:$J,"MK-24")+SUMIFS('Таблиця 1'!$K:$K,'Таблиця 1'!$B:$B,$A718,'Таблиця 1'!$I:$I,"МіГ-29",'Таблиця 1'!$J:$J,"MK-24")+SUMIFS('Таблиця 1'!$K:$K,'Таблиця 1'!$B:$B,$A718,'Таблиця 1'!$I:$I,"Су-25",'Таблиця 1'!$J:$J,"MK-24")+SUMIFS('Таблиця 1'!$K:$K,'Таблиця 1'!$B:$B,$A718,'Таблиця 1'!$I:$I,"Су-27",'Таблиця 1'!$J:$J,"MK-24"))</f>
        <v/>
      </c>
      <c r="R718">
        <f>IF($A718="","",COUNTIFS('Таблиця 1'!$B:$B,$A718,'Таблиця 1'!$I:$I,"Mirage",'Таблиця 1'!$L:$L,"Уражено")+COUNTIFS('Таблиця 1'!$B:$B,$A718,'Таблиця 1'!$I:$I,"F-16",'Таблиця 1'!$L:$L,"Уражено")+COUNTIFS('Таблиця 1'!$B:$B,$A718,'Таблиця 1'!$I:$I,"МіГ-29",'Таблиця 1'!$L:$L,"Уражено")+COUNTIFS('Таблиця 1'!$B:$B,$A718,'Таблиця 1'!$I:$I,"Су-25",'Таблиця 1'!$L:$L,"Уражено")+COUNTIFS('Таблиця 1'!$B:$B,$A718,'Таблиця 1'!$I:$I,"Су-27",'Таблиця 1'!$L:$L,"Уражено"))</f>
        <v/>
      </c>
      <c r="S718">
        <f>IF($A718="","",COUNTIFS('Таблиця 1'!$B:$B,$A718,'Таблиця 1'!$I:$I,"Mirage",'Таблиця 1'!$L:$L,"НЕ уражено")+COUNTIFS('Таблиця 1'!$B:$B,$A718,'Таблиця 1'!$I:$I,"F-16",'Таблиця 1'!$L:$L,"НЕ уражено")+COUNTIFS('Таблиця 1'!$B:$B,$A718,'Таблиця 1'!$I:$I,"МіГ-29",'Таблиця 1'!$L:$L,"НЕ уражено")+COUNTIFS('Таблиця 1'!$B:$B,$A718,'Таблиця 1'!$I:$I,"Су-25",'Таблиця 1'!$L:$L,"НЕ уражено")+COUNTIFS('Таблиця 1'!$B:$B,$A718,'Таблиця 1'!$I:$I,"Су-27",'Таблиця 1'!$L:$L,"НЕ уражено"))</f>
        <v/>
      </c>
      <c r="T718">
        <f>IF($A718="","",COUNTIFS('Таблиця 1'!$B:$B,$A718,'Таблиця 1'!$I:$I,"Mirage",'Таблиця 1'!$L:$L,"Дорозвідується")+COUNTIFS('Таблиця 1'!$B:$B,$A718,'Таблиця 1'!$I:$I,"F-16",'Таблиця 1'!$L:$L,"Дорозвідується")+COUNTIFS('Таблиця 1'!$B:$B,$A718,'Таблиця 1'!$I:$I,"МіГ-29",'Таблиця 1'!$L:$L,"Дорозвідується")+COUNTIFS('Таблиця 1'!$B:$B,$A718,'Таблиця 1'!$I:$I,"Су-25",'Таблиця 1'!$L:$L,"Дорозвідується")+COUNTIFS('Таблиця 1'!$B:$B,$A718,'Таблиця 1'!$I:$I,"Су-27",'Таблиця 1'!$L:$L,"Дорозвідується"))</f>
        <v/>
      </c>
    </row>
    <row r="719">
      <c r="A719" s="273">
        <f>IF(A718="","",IF(A718+1&gt;MAX('Таблиця 1'!$B:$B),"",A718+1))</f>
        <v/>
      </c>
      <c r="B719">
        <f>IF($A719="","",COUNTIFS('Таблиця 1'!$B:$B,$A719,'Таблиця 1'!$I:$I,"Mirage")+COUNTIFS('Таблиця 1'!$B:$B,$A719,'Таблиця 1'!$I:$I,"F-16")+COUNTIFS('Таблиця 1'!$B:$B,$A719,'Таблиця 1'!$I:$I,"МіГ-29")+COUNTIFS('Таблиця 1'!$B:$B,$A719,'Таблиця 1'!$I:$I,"Су-25")+COUNTIFS('Таблиця 1'!$B:$B,$A719,'Таблиця 1'!$I:$I,"Су-27"))</f>
        <v/>
      </c>
      <c r="C719">
        <f>IF($A719="","",COUNTIFS('Таблиця 1'!$B:$B,$A719,'Таблиця 1'!$I:$I,"Mirage"))</f>
        <v/>
      </c>
      <c r="D719">
        <f>IF($A719="","",COUNTIFS('Таблиця 1'!$B:$B,$A719,'Таблиця 1'!$I:$I,"F-16"))</f>
        <v/>
      </c>
      <c r="E719">
        <f>IF($A719="","",COUNTIFS('Таблиця 1'!$B:$B,$A719,'Таблиця 1'!$I:$I,"МіГ-29"))</f>
        <v/>
      </c>
      <c r="F719">
        <f>IF($A719="","",COUNTIFS('Таблиця 1'!$B:$B,$A719,'Таблиця 1'!$I:$I,"Су-25"))</f>
        <v/>
      </c>
      <c r="G719">
        <f>IF($A719="","",COUNTIFS('Таблиця 1'!$B:$B,$A719,'Таблиця 1'!$I:$I,"Су-27"))</f>
        <v/>
      </c>
      <c r="H719">
        <f>IF($A719="","",SUMIFS('Таблиця 1'!$K:$K,'Таблиця 1'!$B:$B,$A719,'Таблиця 1'!$I:$I,"Mirage",'Таблиця 1'!$J:$J,"AGM-88")+SUMIFS('Таблиця 1'!$K:$K,'Таблиця 1'!$B:$B,$A719,'Таблиця 1'!$I:$I,"F-16",'Таблиця 1'!$J:$J,"AGM-88")+SUMIFS('Таблиця 1'!$K:$K,'Таблиця 1'!$B:$B,$A719,'Таблиця 1'!$I:$I,"МіГ-29",'Таблиця 1'!$J:$J,"AGM-88")+SUMIFS('Таблиця 1'!$K:$K,'Таблиця 1'!$B:$B,$A719,'Таблиця 1'!$I:$I,"Су-25",'Таблиця 1'!$J:$J,"AGM-88")+SUMIFS('Таблиця 1'!$K:$K,'Таблиця 1'!$B:$B,$A719,'Таблиця 1'!$I:$I,"Су-27",'Таблиця 1'!$J:$J,"AGM-88"))</f>
        <v/>
      </c>
      <c r="I719">
        <f>IF($A719="","",SUMIFS('Таблиця 1'!$K:$K,'Таблиця 1'!$B:$B,$A719,'Таблиця 1'!$I:$I,"Mirage",'Таблиця 1'!$J:$J,"AASM-250")+SUMIFS('Таблиця 1'!$K:$K,'Таблиця 1'!$B:$B,$A719,'Таблиця 1'!$I:$I,"F-16",'Таблиця 1'!$J:$J,"AASM-250")+SUMIFS('Таблиця 1'!$K:$K,'Таблиця 1'!$B:$B,$A719,'Таблиця 1'!$I:$I,"МіГ-29",'Таблиця 1'!$J:$J,"AASM-250")+SUMIFS('Таблиця 1'!$K:$K,'Таблиця 1'!$B:$B,$A719,'Таблиця 1'!$I:$I,"Су-25",'Таблиця 1'!$J:$J,"AASM-250")+SUMIFS('Таблиця 1'!$K:$K,'Таблиця 1'!$B:$B,$A719,'Таблиця 1'!$I:$I,"Су-27",'Таблиця 1'!$J:$J,"AASM-250"))</f>
        <v/>
      </c>
      <c r="J719">
        <f>IF($A719="","",SUMIFS('Таблиця 1'!$K:$K,'Таблиця 1'!$B:$B,$A719,'Таблиця 1'!$I:$I,"Mirage",'Таблиця 1'!$J:$J,"GBU-39")+SUMIFS('Таблиця 1'!$K:$K,'Таблиця 1'!$B:$B,$A719,'Таблиця 1'!$I:$I,"F-16",'Таблиця 1'!$J:$J,"GBU-39")+SUMIFS('Таблиця 1'!$K:$K,'Таблиця 1'!$B:$B,$A719,'Таблиця 1'!$I:$I,"МіГ-29",'Таблиця 1'!$J:$J,"GBU-39")+SUMIFS('Таблиця 1'!$K:$K,'Таблиця 1'!$B:$B,$A719,'Таблиця 1'!$I:$I,"Су-25",'Таблиця 1'!$J:$J,"GBU-39")+SUMIFS('Таблиця 1'!$K:$K,'Таблиця 1'!$B:$B,$A719,'Таблиця 1'!$I:$I,"Су-27",'Таблиця 1'!$J:$J,"GBU-39"))</f>
        <v/>
      </c>
      <c r="K719">
        <f>IF($A719="","",SUMIFS('Таблиця 1'!$K:$K,'Таблиця 1'!$B:$B,$A719,'Таблиця 1'!$I:$I,"Mirage",'Таблиця 1'!$J:$J,"BLU-140")+SUMIFS('Таблиця 1'!$K:$K,'Таблиця 1'!$B:$B,$A719,'Таблиця 1'!$I:$I,"F-16",'Таблиця 1'!$J:$J,"BLU-140")+SUMIFS('Таблиця 1'!$K:$K,'Таблиця 1'!$B:$B,$A719,'Таблиця 1'!$I:$I,"МіГ-29",'Таблиця 1'!$J:$J,"BLU-140")+SUMIFS('Таблиця 1'!$K:$K,'Таблиця 1'!$B:$B,$A719,'Таблиця 1'!$I:$I,"Су-25",'Таблиця 1'!$J:$J,"BLU-140")+SUMIFS('Таблиця 1'!$K:$K,'Таблиця 1'!$B:$B,$A719,'Таблиця 1'!$I:$I,"Су-27",'Таблиця 1'!$J:$J,"BLU-140"))</f>
        <v/>
      </c>
      <c r="L719">
        <f>IF($A719="","",SUMIFS('Таблиця 1'!$K:$K,'Таблиця 1'!$B:$B,$A719,'Таблиця 1'!$I:$I,"Mirage",'Таблиця 1'!$J:$J,"GBU-65")+SUMIFS('Таблиця 1'!$K:$K,'Таблиця 1'!$B:$B,$A719,'Таблиця 1'!$I:$I,"F-16",'Таблиця 1'!$J:$J,"GBU-65")+SUMIFS('Таблиця 1'!$K:$K,'Таблиця 1'!$B:$B,$A719,'Таблиця 1'!$I:$I,"МіГ-29",'Таблиця 1'!$J:$J,"GBU-65")+SUMIFS('Таблиця 1'!$K:$K,'Таблиця 1'!$B:$B,$A719,'Таблиця 1'!$I:$I,"Су-25",'Таблиця 1'!$J:$J,"GBU-65")+SUMIFS('Таблиця 1'!$K:$K,'Таблиця 1'!$B:$B,$A719,'Таблиця 1'!$I:$I,"Су-27",'Таблиця 1'!$J:$J,"GBU-65"))</f>
        <v/>
      </c>
      <c r="M719">
        <f>IF($A719="","",SUMIFS('Таблиця 1'!$K:$K,'Таблиця 1'!$B:$B,$A719,'Таблиця 1'!$I:$I,"Mirage",'Таблиця 1'!$J:$J,"GBU-62")+SUMIFS('Таблиця 1'!$K:$K,'Таблиця 1'!$B:$B,$A719,'Таблиця 1'!$I:$I,"F-16",'Таблиця 1'!$J:$J,"GBU-62")+SUMIFS('Таблиця 1'!$K:$K,'Таблиця 1'!$B:$B,$A719,'Таблиця 1'!$I:$I,"МіГ-29",'Таблиця 1'!$J:$J,"GBU-62")+SUMIFS('Таблиця 1'!$K:$K,'Таблиця 1'!$B:$B,$A719,'Таблиця 1'!$I:$I,"Су-25",'Таблиця 1'!$J:$J,"GBU-62")+SUMIFS('Таблиця 1'!$K:$K,'Таблиця 1'!$B:$B,$A719,'Таблиця 1'!$I:$I,"Су-27",'Таблиця 1'!$J:$J,"GBU-62"))</f>
        <v/>
      </c>
      <c r="N719">
        <f>IF($A719="","",SUMIFS('Таблиця 1'!$K:$K,'Таблиця 1'!$B:$B,$A719,'Таблиця 1'!$I:$I,"Mirage",'Таблиця 1'!$J:$J,"GBU-64")+SUMIFS('Таблиця 1'!$K:$K,'Таблиця 1'!$B:$B,$A719,'Таблиця 1'!$I:$I,"F-16",'Таблиця 1'!$J:$J,"GBU-64")+SUMIFS('Таблиця 1'!$K:$K,'Таблиця 1'!$B:$B,$A719,'Таблиця 1'!$I:$I,"МіГ-29",'Таблиця 1'!$J:$J,"GBU-64")+SUMIFS('Таблиця 1'!$K:$K,'Таблиця 1'!$B:$B,$A719,'Таблиця 1'!$I:$I,"Су-25",'Таблиця 1'!$J:$J,"GBU-64")+SUMIFS('Таблиця 1'!$K:$K,'Таблиця 1'!$B:$B,$A719,'Таблиця 1'!$I:$I,"Су-27",'Таблиця 1'!$J:$J,"GBU-64"))</f>
        <v/>
      </c>
      <c r="O719">
        <f>IF($A719="","",SUMIFS('Таблиця 1'!$K:$K,'Таблиця 1'!$B:$B,$A719,'Таблиця 1'!$I:$I,"Mirage",'Таблиця 1'!$J:$J,"C-13")+SUMIFS('Таблиця 1'!$K:$K,'Таблиця 1'!$B:$B,$A719,'Таблиця 1'!$I:$I,"F-16",'Таблиця 1'!$J:$J,"C-13")+SUMIFS('Таблиця 1'!$K:$K,'Таблиця 1'!$B:$B,$A719,'Таблиця 1'!$I:$I,"МіГ-29",'Таблиця 1'!$J:$J,"C-13")+SUMIFS('Таблиця 1'!$K:$K,'Таблиця 1'!$B:$B,$A719,'Таблиця 1'!$I:$I,"Су-25",'Таблиця 1'!$J:$J,"C-13")+SUMIFS('Таблиця 1'!$K:$K,'Таблиця 1'!$B:$B,$A719,'Таблиця 1'!$I:$I,"Су-27",'Таблиця 1'!$J:$J,"C-13"))</f>
        <v/>
      </c>
      <c r="P719">
        <f>IF($A719="","",SUMIFS('Таблиця 1'!$K:$K,'Таблиця 1'!$B:$B,$A719,'Таблиця 1'!$I:$I,"Mirage",'Таблиця 1'!$J:$J,"MK-32")+SUMIFS('Таблиця 1'!$K:$K,'Таблиця 1'!$B:$B,$A719,'Таблиця 1'!$I:$I,"F-16",'Таблиця 1'!$J:$J,"MK-32")+SUMIFS('Таблиця 1'!$K:$K,'Таблиця 1'!$B:$B,$A719,'Таблиця 1'!$I:$I,"МіГ-29",'Таблиця 1'!$J:$J,"MK-32")+SUMIFS('Таблиця 1'!$K:$K,'Таблиця 1'!$B:$B,$A719,'Таблиця 1'!$I:$I,"Су-25",'Таблиця 1'!$J:$J,"MK-32")+SUMIFS('Таблиця 1'!$K:$K,'Таблиця 1'!$B:$B,$A719,'Таблиця 1'!$I:$I,"Су-27",'Таблиця 1'!$J:$J,"MK-32"))</f>
        <v/>
      </c>
      <c r="Q719">
        <f>IF($A719="","",SUMIFS('Таблиця 1'!$K:$K,'Таблиця 1'!$B:$B,$A719,'Таблиця 1'!$I:$I,"Mirage",'Таблиця 1'!$J:$J,"MK-24")+SUMIFS('Таблиця 1'!$K:$K,'Таблиця 1'!$B:$B,$A719,'Таблиця 1'!$I:$I,"F-16",'Таблиця 1'!$J:$J,"MK-24")+SUMIFS('Таблиця 1'!$K:$K,'Таблиця 1'!$B:$B,$A719,'Таблиця 1'!$I:$I,"МіГ-29",'Таблиця 1'!$J:$J,"MK-24")+SUMIFS('Таблиця 1'!$K:$K,'Таблиця 1'!$B:$B,$A719,'Таблиця 1'!$I:$I,"Су-25",'Таблиця 1'!$J:$J,"MK-24")+SUMIFS('Таблиця 1'!$K:$K,'Таблиця 1'!$B:$B,$A719,'Таблиця 1'!$I:$I,"Су-27",'Таблиця 1'!$J:$J,"MK-24"))</f>
        <v/>
      </c>
      <c r="R719">
        <f>IF($A719="","",COUNTIFS('Таблиця 1'!$B:$B,$A719,'Таблиця 1'!$I:$I,"Mirage",'Таблиця 1'!$L:$L,"Уражено")+COUNTIFS('Таблиця 1'!$B:$B,$A719,'Таблиця 1'!$I:$I,"F-16",'Таблиця 1'!$L:$L,"Уражено")+COUNTIFS('Таблиця 1'!$B:$B,$A719,'Таблиця 1'!$I:$I,"МіГ-29",'Таблиця 1'!$L:$L,"Уражено")+COUNTIFS('Таблиця 1'!$B:$B,$A719,'Таблиця 1'!$I:$I,"Су-25",'Таблиця 1'!$L:$L,"Уражено")+COUNTIFS('Таблиця 1'!$B:$B,$A719,'Таблиця 1'!$I:$I,"Су-27",'Таблиця 1'!$L:$L,"Уражено"))</f>
        <v/>
      </c>
      <c r="S719">
        <f>IF($A719="","",COUNTIFS('Таблиця 1'!$B:$B,$A719,'Таблиця 1'!$I:$I,"Mirage",'Таблиця 1'!$L:$L,"НЕ уражено")+COUNTIFS('Таблиця 1'!$B:$B,$A719,'Таблиця 1'!$I:$I,"F-16",'Таблиця 1'!$L:$L,"НЕ уражено")+COUNTIFS('Таблиця 1'!$B:$B,$A719,'Таблиця 1'!$I:$I,"МіГ-29",'Таблиця 1'!$L:$L,"НЕ уражено")+COUNTIFS('Таблиця 1'!$B:$B,$A719,'Таблиця 1'!$I:$I,"Су-25",'Таблиця 1'!$L:$L,"НЕ уражено")+COUNTIFS('Таблиця 1'!$B:$B,$A719,'Таблиця 1'!$I:$I,"Су-27",'Таблиця 1'!$L:$L,"НЕ уражено"))</f>
        <v/>
      </c>
      <c r="T719">
        <f>IF($A719="","",COUNTIFS('Таблиця 1'!$B:$B,$A719,'Таблиця 1'!$I:$I,"Mirage",'Таблиця 1'!$L:$L,"Дорозвідується")+COUNTIFS('Таблиця 1'!$B:$B,$A719,'Таблиця 1'!$I:$I,"F-16",'Таблиця 1'!$L:$L,"Дорозвідується")+COUNTIFS('Таблиця 1'!$B:$B,$A719,'Таблиця 1'!$I:$I,"МіГ-29",'Таблиця 1'!$L:$L,"Дорозвідується")+COUNTIFS('Таблиця 1'!$B:$B,$A719,'Таблиця 1'!$I:$I,"Су-25",'Таблиця 1'!$L:$L,"Дорозвідується")+COUNTIFS('Таблиця 1'!$B:$B,$A719,'Таблиця 1'!$I:$I,"Су-27",'Таблиця 1'!$L:$L,"Дорозвідується"))</f>
        <v/>
      </c>
    </row>
    <row r="720">
      <c r="A720" s="273">
        <f>IF(A719="","",IF(A719+1&gt;MAX('Таблиця 1'!$B:$B),"",A719+1))</f>
        <v/>
      </c>
      <c r="B720">
        <f>IF($A720="","",COUNTIFS('Таблиця 1'!$B:$B,$A720,'Таблиця 1'!$I:$I,"Mirage")+COUNTIFS('Таблиця 1'!$B:$B,$A720,'Таблиця 1'!$I:$I,"F-16")+COUNTIFS('Таблиця 1'!$B:$B,$A720,'Таблиця 1'!$I:$I,"МіГ-29")+COUNTIFS('Таблиця 1'!$B:$B,$A720,'Таблиця 1'!$I:$I,"Су-25")+COUNTIFS('Таблиця 1'!$B:$B,$A720,'Таблиця 1'!$I:$I,"Су-27"))</f>
        <v/>
      </c>
      <c r="C720">
        <f>IF($A720="","",COUNTIFS('Таблиця 1'!$B:$B,$A720,'Таблиця 1'!$I:$I,"Mirage"))</f>
        <v/>
      </c>
      <c r="D720">
        <f>IF($A720="","",COUNTIFS('Таблиця 1'!$B:$B,$A720,'Таблиця 1'!$I:$I,"F-16"))</f>
        <v/>
      </c>
      <c r="E720">
        <f>IF($A720="","",COUNTIFS('Таблиця 1'!$B:$B,$A720,'Таблиця 1'!$I:$I,"МіГ-29"))</f>
        <v/>
      </c>
      <c r="F720">
        <f>IF($A720="","",COUNTIFS('Таблиця 1'!$B:$B,$A720,'Таблиця 1'!$I:$I,"Су-25"))</f>
        <v/>
      </c>
      <c r="G720">
        <f>IF($A720="","",COUNTIFS('Таблиця 1'!$B:$B,$A720,'Таблиця 1'!$I:$I,"Су-27"))</f>
        <v/>
      </c>
      <c r="H720">
        <f>IF($A720="","",SUMIFS('Таблиця 1'!$K:$K,'Таблиця 1'!$B:$B,$A720,'Таблиця 1'!$I:$I,"Mirage",'Таблиця 1'!$J:$J,"AGM-88")+SUMIFS('Таблиця 1'!$K:$K,'Таблиця 1'!$B:$B,$A720,'Таблиця 1'!$I:$I,"F-16",'Таблиця 1'!$J:$J,"AGM-88")+SUMIFS('Таблиця 1'!$K:$K,'Таблиця 1'!$B:$B,$A720,'Таблиця 1'!$I:$I,"МіГ-29",'Таблиця 1'!$J:$J,"AGM-88")+SUMIFS('Таблиця 1'!$K:$K,'Таблиця 1'!$B:$B,$A720,'Таблиця 1'!$I:$I,"Су-25",'Таблиця 1'!$J:$J,"AGM-88")+SUMIFS('Таблиця 1'!$K:$K,'Таблиця 1'!$B:$B,$A720,'Таблиця 1'!$I:$I,"Су-27",'Таблиця 1'!$J:$J,"AGM-88"))</f>
        <v/>
      </c>
      <c r="I720">
        <f>IF($A720="","",SUMIFS('Таблиця 1'!$K:$K,'Таблиця 1'!$B:$B,$A720,'Таблиця 1'!$I:$I,"Mirage",'Таблиця 1'!$J:$J,"AASM-250")+SUMIFS('Таблиця 1'!$K:$K,'Таблиця 1'!$B:$B,$A720,'Таблиця 1'!$I:$I,"F-16",'Таблиця 1'!$J:$J,"AASM-250")+SUMIFS('Таблиця 1'!$K:$K,'Таблиця 1'!$B:$B,$A720,'Таблиця 1'!$I:$I,"МіГ-29",'Таблиця 1'!$J:$J,"AASM-250")+SUMIFS('Таблиця 1'!$K:$K,'Таблиця 1'!$B:$B,$A720,'Таблиця 1'!$I:$I,"Су-25",'Таблиця 1'!$J:$J,"AASM-250")+SUMIFS('Таблиця 1'!$K:$K,'Таблиця 1'!$B:$B,$A720,'Таблиця 1'!$I:$I,"Су-27",'Таблиця 1'!$J:$J,"AASM-250"))</f>
        <v/>
      </c>
      <c r="J720">
        <f>IF($A720="","",SUMIFS('Таблиця 1'!$K:$K,'Таблиця 1'!$B:$B,$A720,'Таблиця 1'!$I:$I,"Mirage",'Таблиця 1'!$J:$J,"GBU-39")+SUMIFS('Таблиця 1'!$K:$K,'Таблиця 1'!$B:$B,$A720,'Таблиця 1'!$I:$I,"F-16",'Таблиця 1'!$J:$J,"GBU-39")+SUMIFS('Таблиця 1'!$K:$K,'Таблиця 1'!$B:$B,$A720,'Таблиця 1'!$I:$I,"МіГ-29",'Таблиця 1'!$J:$J,"GBU-39")+SUMIFS('Таблиця 1'!$K:$K,'Таблиця 1'!$B:$B,$A720,'Таблиця 1'!$I:$I,"Су-25",'Таблиця 1'!$J:$J,"GBU-39")+SUMIFS('Таблиця 1'!$K:$K,'Таблиця 1'!$B:$B,$A720,'Таблиця 1'!$I:$I,"Су-27",'Таблиця 1'!$J:$J,"GBU-39"))</f>
        <v/>
      </c>
      <c r="K720">
        <f>IF($A720="","",SUMIFS('Таблиця 1'!$K:$K,'Таблиця 1'!$B:$B,$A720,'Таблиця 1'!$I:$I,"Mirage",'Таблиця 1'!$J:$J,"BLU-140")+SUMIFS('Таблиця 1'!$K:$K,'Таблиця 1'!$B:$B,$A720,'Таблиця 1'!$I:$I,"F-16",'Таблиця 1'!$J:$J,"BLU-140")+SUMIFS('Таблиця 1'!$K:$K,'Таблиця 1'!$B:$B,$A720,'Таблиця 1'!$I:$I,"МіГ-29",'Таблиця 1'!$J:$J,"BLU-140")+SUMIFS('Таблиця 1'!$K:$K,'Таблиця 1'!$B:$B,$A720,'Таблиця 1'!$I:$I,"Су-25",'Таблиця 1'!$J:$J,"BLU-140")+SUMIFS('Таблиця 1'!$K:$K,'Таблиця 1'!$B:$B,$A720,'Таблиця 1'!$I:$I,"Су-27",'Таблиця 1'!$J:$J,"BLU-140"))</f>
        <v/>
      </c>
      <c r="L720">
        <f>IF($A720="","",SUMIFS('Таблиця 1'!$K:$K,'Таблиця 1'!$B:$B,$A720,'Таблиця 1'!$I:$I,"Mirage",'Таблиця 1'!$J:$J,"GBU-65")+SUMIFS('Таблиця 1'!$K:$K,'Таблиця 1'!$B:$B,$A720,'Таблиця 1'!$I:$I,"F-16",'Таблиця 1'!$J:$J,"GBU-65")+SUMIFS('Таблиця 1'!$K:$K,'Таблиця 1'!$B:$B,$A720,'Таблиця 1'!$I:$I,"МіГ-29",'Таблиця 1'!$J:$J,"GBU-65")+SUMIFS('Таблиця 1'!$K:$K,'Таблиця 1'!$B:$B,$A720,'Таблиця 1'!$I:$I,"Су-25",'Таблиця 1'!$J:$J,"GBU-65")+SUMIFS('Таблиця 1'!$K:$K,'Таблиця 1'!$B:$B,$A720,'Таблиця 1'!$I:$I,"Су-27",'Таблиця 1'!$J:$J,"GBU-65"))</f>
        <v/>
      </c>
      <c r="M720">
        <f>IF($A720="","",SUMIFS('Таблиця 1'!$K:$K,'Таблиця 1'!$B:$B,$A720,'Таблиця 1'!$I:$I,"Mirage",'Таблиця 1'!$J:$J,"GBU-62")+SUMIFS('Таблиця 1'!$K:$K,'Таблиця 1'!$B:$B,$A720,'Таблиця 1'!$I:$I,"F-16",'Таблиця 1'!$J:$J,"GBU-62")+SUMIFS('Таблиця 1'!$K:$K,'Таблиця 1'!$B:$B,$A720,'Таблиця 1'!$I:$I,"МіГ-29",'Таблиця 1'!$J:$J,"GBU-62")+SUMIFS('Таблиця 1'!$K:$K,'Таблиця 1'!$B:$B,$A720,'Таблиця 1'!$I:$I,"Су-25",'Таблиця 1'!$J:$J,"GBU-62")+SUMIFS('Таблиця 1'!$K:$K,'Таблиця 1'!$B:$B,$A720,'Таблиця 1'!$I:$I,"Су-27",'Таблиця 1'!$J:$J,"GBU-62"))</f>
        <v/>
      </c>
      <c r="N720">
        <f>IF($A720="","",SUMIFS('Таблиця 1'!$K:$K,'Таблиця 1'!$B:$B,$A720,'Таблиця 1'!$I:$I,"Mirage",'Таблиця 1'!$J:$J,"GBU-64")+SUMIFS('Таблиця 1'!$K:$K,'Таблиця 1'!$B:$B,$A720,'Таблиця 1'!$I:$I,"F-16",'Таблиця 1'!$J:$J,"GBU-64")+SUMIFS('Таблиця 1'!$K:$K,'Таблиця 1'!$B:$B,$A720,'Таблиця 1'!$I:$I,"МіГ-29",'Таблиця 1'!$J:$J,"GBU-64")+SUMIFS('Таблиця 1'!$K:$K,'Таблиця 1'!$B:$B,$A720,'Таблиця 1'!$I:$I,"Су-25",'Таблиця 1'!$J:$J,"GBU-64")+SUMIFS('Таблиця 1'!$K:$K,'Таблиця 1'!$B:$B,$A720,'Таблиця 1'!$I:$I,"Су-27",'Таблиця 1'!$J:$J,"GBU-64"))</f>
        <v/>
      </c>
      <c r="O720">
        <f>IF($A720="","",SUMIFS('Таблиця 1'!$K:$K,'Таблиця 1'!$B:$B,$A720,'Таблиця 1'!$I:$I,"Mirage",'Таблиця 1'!$J:$J,"C-13")+SUMIFS('Таблиця 1'!$K:$K,'Таблиця 1'!$B:$B,$A720,'Таблиця 1'!$I:$I,"F-16",'Таблиця 1'!$J:$J,"C-13")+SUMIFS('Таблиця 1'!$K:$K,'Таблиця 1'!$B:$B,$A720,'Таблиця 1'!$I:$I,"МіГ-29",'Таблиця 1'!$J:$J,"C-13")+SUMIFS('Таблиця 1'!$K:$K,'Таблиця 1'!$B:$B,$A720,'Таблиця 1'!$I:$I,"Су-25",'Таблиця 1'!$J:$J,"C-13")+SUMIFS('Таблиця 1'!$K:$K,'Таблиця 1'!$B:$B,$A720,'Таблиця 1'!$I:$I,"Су-27",'Таблиця 1'!$J:$J,"C-13"))</f>
        <v/>
      </c>
      <c r="P720">
        <f>IF($A720="","",SUMIFS('Таблиця 1'!$K:$K,'Таблиця 1'!$B:$B,$A720,'Таблиця 1'!$I:$I,"Mirage",'Таблиця 1'!$J:$J,"MK-32")+SUMIFS('Таблиця 1'!$K:$K,'Таблиця 1'!$B:$B,$A720,'Таблиця 1'!$I:$I,"F-16",'Таблиця 1'!$J:$J,"MK-32")+SUMIFS('Таблиця 1'!$K:$K,'Таблиця 1'!$B:$B,$A720,'Таблиця 1'!$I:$I,"МіГ-29",'Таблиця 1'!$J:$J,"MK-32")+SUMIFS('Таблиця 1'!$K:$K,'Таблиця 1'!$B:$B,$A720,'Таблиця 1'!$I:$I,"Су-25",'Таблиця 1'!$J:$J,"MK-32")+SUMIFS('Таблиця 1'!$K:$K,'Таблиця 1'!$B:$B,$A720,'Таблиця 1'!$I:$I,"Су-27",'Таблиця 1'!$J:$J,"MK-32"))</f>
        <v/>
      </c>
      <c r="Q720">
        <f>IF($A720="","",SUMIFS('Таблиця 1'!$K:$K,'Таблиця 1'!$B:$B,$A720,'Таблиця 1'!$I:$I,"Mirage",'Таблиця 1'!$J:$J,"MK-24")+SUMIFS('Таблиця 1'!$K:$K,'Таблиця 1'!$B:$B,$A720,'Таблиця 1'!$I:$I,"F-16",'Таблиця 1'!$J:$J,"MK-24")+SUMIFS('Таблиця 1'!$K:$K,'Таблиця 1'!$B:$B,$A720,'Таблиця 1'!$I:$I,"МіГ-29",'Таблиця 1'!$J:$J,"MK-24")+SUMIFS('Таблиця 1'!$K:$K,'Таблиця 1'!$B:$B,$A720,'Таблиця 1'!$I:$I,"Су-25",'Таблиця 1'!$J:$J,"MK-24")+SUMIFS('Таблиця 1'!$K:$K,'Таблиця 1'!$B:$B,$A720,'Таблиця 1'!$I:$I,"Су-27",'Таблиця 1'!$J:$J,"MK-24"))</f>
        <v/>
      </c>
      <c r="R720">
        <f>IF($A720="","",COUNTIFS('Таблиця 1'!$B:$B,$A720,'Таблиця 1'!$I:$I,"Mirage",'Таблиця 1'!$L:$L,"Уражено")+COUNTIFS('Таблиця 1'!$B:$B,$A720,'Таблиця 1'!$I:$I,"F-16",'Таблиця 1'!$L:$L,"Уражено")+COUNTIFS('Таблиця 1'!$B:$B,$A720,'Таблиця 1'!$I:$I,"МіГ-29",'Таблиця 1'!$L:$L,"Уражено")+COUNTIFS('Таблиця 1'!$B:$B,$A720,'Таблиця 1'!$I:$I,"Су-25",'Таблиця 1'!$L:$L,"Уражено")+COUNTIFS('Таблиця 1'!$B:$B,$A720,'Таблиця 1'!$I:$I,"Су-27",'Таблиця 1'!$L:$L,"Уражено"))</f>
        <v/>
      </c>
      <c r="S720">
        <f>IF($A720="","",COUNTIFS('Таблиця 1'!$B:$B,$A720,'Таблиця 1'!$I:$I,"Mirage",'Таблиця 1'!$L:$L,"НЕ уражено")+COUNTIFS('Таблиця 1'!$B:$B,$A720,'Таблиця 1'!$I:$I,"F-16",'Таблиця 1'!$L:$L,"НЕ уражено")+COUNTIFS('Таблиця 1'!$B:$B,$A720,'Таблиця 1'!$I:$I,"МіГ-29",'Таблиця 1'!$L:$L,"НЕ уражено")+COUNTIFS('Таблиця 1'!$B:$B,$A720,'Таблиця 1'!$I:$I,"Су-25",'Таблиця 1'!$L:$L,"НЕ уражено")+COUNTIFS('Таблиця 1'!$B:$B,$A720,'Таблиця 1'!$I:$I,"Су-27",'Таблиця 1'!$L:$L,"НЕ уражено"))</f>
        <v/>
      </c>
      <c r="T720">
        <f>IF($A720="","",COUNTIFS('Таблиця 1'!$B:$B,$A720,'Таблиця 1'!$I:$I,"Mirage",'Таблиця 1'!$L:$L,"Дорозвідується")+COUNTIFS('Таблиця 1'!$B:$B,$A720,'Таблиця 1'!$I:$I,"F-16",'Таблиця 1'!$L:$L,"Дорозвідується")+COUNTIFS('Таблиця 1'!$B:$B,$A720,'Таблиця 1'!$I:$I,"МіГ-29",'Таблиця 1'!$L:$L,"Дорозвідується")+COUNTIFS('Таблиця 1'!$B:$B,$A720,'Таблиця 1'!$I:$I,"Су-25",'Таблиця 1'!$L:$L,"Дорозвідується")+COUNTIFS('Таблиця 1'!$B:$B,$A720,'Таблиця 1'!$I:$I,"Су-27",'Таблиця 1'!$L:$L,"Дорозвідується"))</f>
        <v/>
      </c>
    </row>
    <row r="721">
      <c r="A721" s="273">
        <f>IF(A720="","",IF(A720+1&gt;MAX('Таблиця 1'!$B:$B),"",A720+1))</f>
        <v/>
      </c>
      <c r="B721">
        <f>IF($A721="","",COUNTIFS('Таблиця 1'!$B:$B,$A721,'Таблиця 1'!$I:$I,"Mirage")+COUNTIFS('Таблиця 1'!$B:$B,$A721,'Таблиця 1'!$I:$I,"F-16")+COUNTIFS('Таблиця 1'!$B:$B,$A721,'Таблиця 1'!$I:$I,"МіГ-29")+COUNTIFS('Таблиця 1'!$B:$B,$A721,'Таблиця 1'!$I:$I,"Су-25")+COUNTIFS('Таблиця 1'!$B:$B,$A721,'Таблиця 1'!$I:$I,"Су-27"))</f>
        <v/>
      </c>
      <c r="C721">
        <f>IF($A721="","",COUNTIFS('Таблиця 1'!$B:$B,$A721,'Таблиця 1'!$I:$I,"Mirage"))</f>
        <v/>
      </c>
      <c r="D721">
        <f>IF($A721="","",COUNTIFS('Таблиця 1'!$B:$B,$A721,'Таблиця 1'!$I:$I,"F-16"))</f>
        <v/>
      </c>
      <c r="E721">
        <f>IF($A721="","",COUNTIFS('Таблиця 1'!$B:$B,$A721,'Таблиця 1'!$I:$I,"МіГ-29"))</f>
        <v/>
      </c>
      <c r="F721">
        <f>IF($A721="","",COUNTIFS('Таблиця 1'!$B:$B,$A721,'Таблиця 1'!$I:$I,"Су-25"))</f>
        <v/>
      </c>
      <c r="G721">
        <f>IF($A721="","",COUNTIFS('Таблиця 1'!$B:$B,$A721,'Таблиця 1'!$I:$I,"Су-27"))</f>
        <v/>
      </c>
      <c r="H721">
        <f>IF($A721="","",SUMIFS('Таблиця 1'!$K:$K,'Таблиця 1'!$B:$B,$A721,'Таблиця 1'!$I:$I,"Mirage",'Таблиця 1'!$J:$J,"AGM-88")+SUMIFS('Таблиця 1'!$K:$K,'Таблиця 1'!$B:$B,$A721,'Таблиця 1'!$I:$I,"F-16",'Таблиця 1'!$J:$J,"AGM-88")+SUMIFS('Таблиця 1'!$K:$K,'Таблиця 1'!$B:$B,$A721,'Таблиця 1'!$I:$I,"МіГ-29",'Таблиця 1'!$J:$J,"AGM-88")+SUMIFS('Таблиця 1'!$K:$K,'Таблиця 1'!$B:$B,$A721,'Таблиця 1'!$I:$I,"Су-25",'Таблиця 1'!$J:$J,"AGM-88")+SUMIFS('Таблиця 1'!$K:$K,'Таблиця 1'!$B:$B,$A721,'Таблиця 1'!$I:$I,"Су-27",'Таблиця 1'!$J:$J,"AGM-88"))</f>
        <v/>
      </c>
      <c r="I721">
        <f>IF($A721="","",SUMIFS('Таблиця 1'!$K:$K,'Таблиця 1'!$B:$B,$A721,'Таблиця 1'!$I:$I,"Mirage",'Таблиця 1'!$J:$J,"AASM-250")+SUMIFS('Таблиця 1'!$K:$K,'Таблиця 1'!$B:$B,$A721,'Таблиця 1'!$I:$I,"F-16",'Таблиця 1'!$J:$J,"AASM-250")+SUMIFS('Таблиця 1'!$K:$K,'Таблиця 1'!$B:$B,$A721,'Таблиця 1'!$I:$I,"МіГ-29",'Таблиця 1'!$J:$J,"AASM-250")+SUMIFS('Таблиця 1'!$K:$K,'Таблиця 1'!$B:$B,$A721,'Таблиця 1'!$I:$I,"Су-25",'Таблиця 1'!$J:$J,"AASM-250")+SUMIFS('Таблиця 1'!$K:$K,'Таблиця 1'!$B:$B,$A721,'Таблиця 1'!$I:$I,"Су-27",'Таблиця 1'!$J:$J,"AASM-250"))</f>
        <v/>
      </c>
      <c r="J721">
        <f>IF($A721="","",SUMIFS('Таблиця 1'!$K:$K,'Таблиця 1'!$B:$B,$A721,'Таблиця 1'!$I:$I,"Mirage",'Таблиця 1'!$J:$J,"GBU-39")+SUMIFS('Таблиця 1'!$K:$K,'Таблиця 1'!$B:$B,$A721,'Таблиця 1'!$I:$I,"F-16",'Таблиця 1'!$J:$J,"GBU-39")+SUMIFS('Таблиця 1'!$K:$K,'Таблиця 1'!$B:$B,$A721,'Таблиця 1'!$I:$I,"МіГ-29",'Таблиця 1'!$J:$J,"GBU-39")+SUMIFS('Таблиця 1'!$K:$K,'Таблиця 1'!$B:$B,$A721,'Таблиця 1'!$I:$I,"Су-25",'Таблиця 1'!$J:$J,"GBU-39")+SUMIFS('Таблиця 1'!$K:$K,'Таблиця 1'!$B:$B,$A721,'Таблиця 1'!$I:$I,"Су-27",'Таблиця 1'!$J:$J,"GBU-39"))</f>
        <v/>
      </c>
      <c r="K721">
        <f>IF($A721="","",SUMIFS('Таблиця 1'!$K:$K,'Таблиця 1'!$B:$B,$A721,'Таблиця 1'!$I:$I,"Mirage",'Таблиця 1'!$J:$J,"BLU-140")+SUMIFS('Таблиця 1'!$K:$K,'Таблиця 1'!$B:$B,$A721,'Таблиця 1'!$I:$I,"F-16",'Таблиця 1'!$J:$J,"BLU-140")+SUMIFS('Таблиця 1'!$K:$K,'Таблиця 1'!$B:$B,$A721,'Таблиця 1'!$I:$I,"МіГ-29",'Таблиця 1'!$J:$J,"BLU-140")+SUMIFS('Таблиця 1'!$K:$K,'Таблиця 1'!$B:$B,$A721,'Таблиця 1'!$I:$I,"Су-25",'Таблиця 1'!$J:$J,"BLU-140")+SUMIFS('Таблиця 1'!$K:$K,'Таблиця 1'!$B:$B,$A721,'Таблиця 1'!$I:$I,"Су-27",'Таблиця 1'!$J:$J,"BLU-140"))</f>
        <v/>
      </c>
      <c r="L721">
        <f>IF($A721="","",SUMIFS('Таблиця 1'!$K:$K,'Таблиця 1'!$B:$B,$A721,'Таблиця 1'!$I:$I,"Mirage",'Таблиця 1'!$J:$J,"GBU-65")+SUMIFS('Таблиця 1'!$K:$K,'Таблиця 1'!$B:$B,$A721,'Таблиця 1'!$I:$I,"F-16",'Таблиця 1'!$J:$J,"GBU-65")+SUMIFS('Таблиця 1'!$K:$K,'Таблиця 1'!$B:$B,$A721,'Таблиця 1'!$I:$I,"МіГ-29",'Таблиця 1'!$J:$J,"GBU-65")+SUMIFS('Таблиця 1'!$K:$K,'Таблиця 1'!$B:$B,$A721,'Таблиця 1'!$I:$I,"Су-25",'Таблиця 1'!$J:$J,"GBU-65")+SUMIFS('Таблиця 1'!$K:$K,'Таблиця 1'!$B:$B,$A721,'Таблиця 1'!$I:$I,"Су-27",'Таблиця 1'!$J:$J,"GBU-65"))</f>
        <v/>
      </c>
      <c r="M721">
        <f>IF($A721="","",SUMIFS('Таблиця 1'!$K:$K,'Таблиця 1'!$B:$B,$A721,'Таблиця 1'!$I:$I,"Mirage",'Таблиця 1'!$J:$J,"GBU-62")+SUMIFS('Таблиця 1'!$K:$K,'Таблиця 1'!$B:$B,$A721,'Таблиця 1'!$I:$I,"F-16",'Таблиця 1'!$J:$J,"GBU-62")+SUMIFS('Таблиця 1'!$K:$K,'Таблиця 1'!$B:$B,$A721,'Таблиця 1'!$I:$I,"МіГ-29",'Таблиця 1'!$J:$J,"GBU-62")+SUMIFS('Таблиця 1'!$K:$K,'Таблиця 1'!$B:$B,$A721,'Таблиця 1'!$I:$I,"Су-25",'Таблиця 1'!$J:$J,"GBU-62")+SUMIFS('Таблиця 1'!$K:$K,'Таблиця 1'!$B:$B,$A721,'Таблиця 1'!$I:$I,"Су-27",'Таблиця 1'!$J:$J,"GBU-62"))</f>
        <v/>
      </c>
      <c r="N721">
        <f>IF($A721="","",SUMIFS('Таблиця 1'!$K:$K,'Таблиця 1'!$B:$B,$A721,'Таблиця 1'!$I:$I,"Mirage",'Таблиця 1'!$J:$J,"GBU-64")+SUMIFS('Таблиця 1'!$K:$K,'Таблиця 1'!$B:$B,$A721,'Таблиця 1'!$I:$I,"F-16",'Таблиця 1'!$J:$J,"GBU-64")+SUMIFS('Таблиця 1'!$K:$K,'Таблиця 1'!$B:$B,$A721,'Таблиця 1'!$I:$I,"МіГ-29",'Таблиця 1'!$J:$J,"GBU-64")+SUMIFS('Таблиця 1'!$K:$K,'Таблиця 1'!$B:$B,$A721,'Таблиця 1'!$I:$I,"Су-25",'Таблиця 1'!$J:$J,"GBU-64")+SUMIFS('Таблиця 1'!$K:$K,'Таблиця 1'!$B:$B,$A721,'Таблиця 1'!$I:$I,"Су-27",'Таблиця 1'!$J:$J,"GBU-64"))</f>
        <v/>
      </c>
      <c r="O721">
        <f>IF($A721="","",SUMIFS('Таблиця 1'!$K:$K,'Таблиця 1'!$B:$B,$A721,'Таблиця 1'!$I:$I,"Mirage",'Таблиця 1'!$J:$J,"C-13")+SUMIFS('Таблиця 1'!$K:$K,'Таблиця 1'!$B:$B,$A721,'Таблиця 1'!$I:$I,"F-16",'Таблиця 1'!$J:$J,"C-13")+SUMIFS('Таблиця 1'!$K:$K,'Таблиця 1'!$B:$B,$A721,'Таблиця 1'!$I:$I,"МіГ-29",'Таблиця 1'!$J:$J,"C-13")+SUMIFS('Таблиця 1'!$K:$K,'Таблиця 1'!$B:$B,$A721,'Таблиця 1'!$I:$I,"Су-25",'Таблиця 1'!$J:$J,"C-13")+SUMIFS('Таблиця 1'!$K:$K,'Таблиця 1'!$B:$B,$A721,'Таблиця 1'!$I:$I,"Су-27",'Таблиця 1'!$J:$J,"C-13"))</f>
        <v/>
      </c>
      <c r="P721">
        <f>IF($A721="","",SUMIFS('Таблиця 1'!$K:$K,'Таблиця 1'!$B:$B,$A721,'Таблиця 1'!$I:$I,"Mirage",'Таблиця 1'!$J:$J,"MK-32")+SUMIFS('Таблиця 1'!$K:$K,'Таблиця 1'!$B:$B,$A721,'Таблиця 1'!$I:$I,"F-16",'Таблиця 1'!$J:$J,"MK-32")+SUMIFS('Таблиця 1'!$K:$K,'Таблиця 1'!$B:$B,$A721,'Таблиця 1'!$I:$I,"МіГ-29",'Таблиця 1'!$J:$J,"MK-32")+SUMIFS('Таблиця 1'!$K:$K,'Таблиця 1'!$B:$B,$A721,'Таблиця 1'!$I:$I,"Су-25",'Таблиця 1'!$J:$J,"MK-32")+SUMIFS('Таблиця 1'!$K:$K,'Таблиця 1'!$B:$B,$A721,'Таблиця 1'!$I:$I,"Су-27",'Таблиця 1'!$J:$J,"MK-32"))</f>
        <v/>
      </c>
      <c r="Q721">
        <f>IF($A721="","",SUMIFS('Таблиця 1'!$K:$K,'Таблиця 1'!$B:$B,$A721,'Таблиця 1'!$I:$I,"Mirage",'Таблиця 1'!$J:$J,"MK-24")+SUMIFS('Таблиця 1'!$K:$K,'Таблиця 1'!$B:$B,$A721,'Таблиця 1'!$I:$I,"F-16",'Таблиця 1'!$J:$J,"MK-24")+SUMIFS('Таблиця 1'!$K:$K,'Таблиця 1'!$B:$B,$A721,'Таблиця 1'!$I:$I,"МіГ-29",'Таблиця 1'!$J:$J,"MK-24")+SUMIFS('Таблиця 1'!$K:$K,'Таблиця 1'!$B:$B,$A721,'Таблиця 1'!$I:$I,"Су-25",'Таблиця 1'!$J:$J,"MK-24")+SUMIFS('Таблиця 1'!$K:$K,'Таблиця 1'!$B:$B,$A721,'Таблиця 1'!$I:$I,"Су-27",'Таблиця 1'!$J:$J,"MK-24"))</f>
        <v/>
      </c>
      <c r="R721">
        <f>IF($A721="","",COUNTIFS('Таблиця 1'!$B:$B,$A721,'Таблиця 1'!$I:$I,"Mirage",'Таблиця 1'!$L:$L,"Уражено")+COUNTIFS('Таблиця 1'!$B:$B,$A721,'Таблиця 1'!$I:$I,"F-16",'Таблиця 1'!$L:$L,"Уражено")+COUNTIFS('Таблиця 1'!$B:$B,$A721,'Таблиця 1'!$I:$I,"МіГ-29",'Таблиця 1'!$L:$L,"Уражено")+COUNTIFS('Таблиця 1'!$B:$B,$A721,'Таблиця 1'!$I:$I,"Су-25",'Таблиця 1'!$L:$L,"Уражено")+COUNTIFS('Таблиця 1'!$B:$B,$A721,'Таблиця 1'!$I:$I,"Су-27",'Таблиця 1'!$L:$L,"Уражено"))</f>
        <v/>
      </c>
      <c r="S721">
        <f>IF($A721="","",COUNTIFS('Таблиця 1'!$B:$B,$A721,'Таблиця 1'!$I:$I,"Mirage",'Таблиця 1'!$L:$L,"НЕ уражено")+COUNTIFS('Таблиця 1'!$B:$B,$A721,'Таблиця 1'!$I:$I,"F-16",'Таблиця 1'!$L:$L,"НЕ уражено")+COUNTIFS('Таблиця 1'!$B:$B,$A721,'Таблиця 1'!$I:$I,"МіГ-29",'Таблиця 1'!$L:$L,"НЕ уражено")+COUNTIFS('Таблиця 1'!$B:$B,$A721,'Таблиця 1'!$I:$I,"Су-25",'Таблиця 1'!$L:$L,"НЕ уражено")+COUNTIFS('Таблиця 1'!$B:$B,$A721,'Таблиця 1'!$I:$I,"Су-27",'Таблиця 1'!$L:$L,"НЕ уражено"))</f>
        <v/>
      </c>
      <c r="T721">
        <f>IF($A721="","",COUNTIFS('Таблиця 1'!$B:$B,$A721,'Таблиця 1'!$I:$I,"Mirage",'Таблиця 1'!$L:$L,"Дорозвідується")+COUNTIFS('Таблиця 1'!$B:$B,$A721,'Таблиця 1'!$I:$I,"F-16",'Таблиця 1'!$L:$L,"Дорозвідується")+COUNTIFS('Таблиця 1'!$B:$B,$A721,'Таблиця 1'!$I:$I,"МіГ-29",'Таблиця 1'!$L:$L,"Дорозвідується")+COUNTIFS('Таблиця 1'!$B:$B,$A721,'Таблиця 1'!$I:$I,"Су-25",'Таблиця 1'!$L:$L,"Дорозвідується")+COUNTIFS('Таблиця 1'!$B:$B,$A721,'Таблиця 1'!$I:$I,"Су-27",'Таблиця 1'!$L:$L,"Дорозвідується"))</f>
        <v/>
      </c>
    </row>
    <row r="722">
      <c r="A722" s="273">
        <f>IF(A721="","",IF(A721+1&gt;MAX('Таблиця 1'!$B:$B),"",A721+1))</f>
        <v/>
      </c>
      <c r="B722">
        <f>IF($A722="","",COUNTIFS('Таблиця 1'!$B:$B,$A722,'Таблиця 1'!$I:$I,"Mirage")+COUNTIFS('Таблиця 1'!$B:$B,$A722,'Таблиця 1'!$I:$I,"F-16")+COUNTIFS('Таблиця 1'!$B:$B,$A722,'Таблиця 1'!$I:$I,"МіГ-29")+COUNTIFS('Таблиця 1'!$B:$B,$A722,'Таблиця 1'!$I:$I,"Су-25")+COUNTIFS('Таблиця 1'!$B:$B,$A722,'Таблиця 1'!$I:$I,"Су-27"))</f>
        <v/>
      </c>
      <c r="C722">
        <f>IF($A722="","",COUNTIFS('Таблиця 1'!$B:$B,$A722,'Таблиця 1'!$I:$I,"Mirage"))</f>
        <v/>
      </c>
      <c r="D722">
        <f>IF($A722="","",COUNTIFS('Таблиця 1'!$B:$B,$A722,'Таблиця 1'!$I:$I,"F-16"))</f>
        <v/>
      </c>
      <c r="E722">
        <f>IF($A722="","",COUNTIFS('Таблиця 1'!$B:$B,$A722,'Таблиця 1'!$I:$I,"МіГ-29"))</f>
        <v/>
      </c>
      <c r="F722">
        <f>IF($A722="","",COUNTIFS('Таблиця 1'!$B:$B,$A722,'Таблиця 1'!$I:$I,"Су-25"))</f>
        <v/>
      </c>
      <c r="G722">
        <f>IF($A722="","",COUNTIFS('Таблиця 1'!$B:$B,$A722,'Таблиця 1'!$I:$I,"Су-27"))</f>
        <v/>
      </c>
      <c r="H722">
        <f>IF($A722="","",SUMIFS('Таблиця 1'!$K:$K,'Таблиця 1'!$B:$B,$A722,'Таблиця 1'!$I:$I,"Mirage",'Таблиця 1'!$J:$J,"AGM-88")+SUMIFS('Таблиця 1'!$K:$K,'Таблиця 1'!$B:$B,$A722,'Таблиця 1'!$I:$I,"F-16",'Таблиця 1'!$J:$J,"AGM-88")+SUMIFS('Таблиця 1'!$K:$K,'Таблиця 1'!$B:$B,$A722,'Таблиця 1'!$I:$I,"МіГ-29",'Таблиця 1'!$J:$J,"AGM-88")+SUMIFS('Таблиця 1'!$K:$K,'Таблиця 1'!$B:$B,$A722,'Таблиця 1'!$I:$I,"Су-25",'Таблиця 1'!$J:$J,"AGM-88")+SUMIFS('Таблиця 1'!$K:$K,'Таблиця 1'!$B:$B,$A722,'Таблиця 1'!$I:$I,"Су-27",'Таблиця 1'!$J:$J,"AGM-88"))</f>
        <v/>
      </c>
      <c r="I722">
        <f>IF($A722="","",SUMIFS('Таблиця 1'!$K:$K,'Таблиця 1'!$B:$B,$A722,'Таблиця 1'!$I:$I,"Mirage",'Таблиця 1'!$J:$J,"AASM-250")+SUMIFS('Таблиця 1'!$K:$K,'Таблиця 1'!$B:$B,$A722,'Таблиця 1'!$I:$I,"F-16",'Таблиця 1'!$J:$J,"AASM-250")+SUMIFS('Таблиця 1'!$K:$K,'Таблиця 1'!$B:$B,$A722,'Таблиця 1'!$I:$I,"МіГ-29",'Таблиця 1'!$J:$J,"AASM-250")+SUMIFS('Таблиця 1'!$K:$K,'Таблиця 1'!$B:$B,$A722,'Таблиця 1'!$I:$I,"Су-25",'Таблиця 1'!$J:$J,"AASM-250")+SUMIFS('Таблиця 1'!$K:$K,'Таблиця 1'!$B:$B,$A722,'Таблиця 1'!$I:$I,"Су-27",'Таблиця 1'!$J:$J,"AASM-250"))</f>
        <v/>
      </c>
      <c r="J722">
        <f>IF($A722="","",SUMIFS('Таблиця 1'!$K:$K,'Таблиця 1'!$B:$B,$A722,'Таблиця 1'!$I:$I,"Mirage",'Таблиця 1'!$J:$J,"GBU-39")+SUMIFS('Таблиця 1'!$K:$K,'Таблиця 1'!$B:$B,$A722,'Таблиця 1'!$I:$I,"F-16",'Таблиця 1'!$J:$J,"GBU-39")+SUMIFS('Таблиця 1'!$K:$K,'Таблиця 1'!$B:$B,$A722,'Таблиця 1'!$I:$I,"МіГ-29",'Таблиця 1'!$J:$J,"GBU-39")+SUMIFS('Таблиця 1'!$K:$K,'Таблиця 1'!$B:$B,$A722,'Таблиця 1'!$I:$I,"Су-25",'Таблиця 1'!$J:$J,"GBU-39")+SUMIFS('Таблиця 1'!$K:$K,'Таблиця 1'!$B:$B,$A722,'Таблиця 1'!$I:$I,"Су-27",'Таблиця 1'!$J:$J,"GBU-39"))</f>
        <v/>
      </c>
      <c r="K722">
        <f>IF($A722="","",SUMIFS('Таблиця 1'!$K:$K,'Таблиця 1'!$B:$B,$A722,'Таблиця 1'!$I:$I,"Mirage",'Таблиця 1'!$J:$J,"BLU-140")+SUMIFS('Таблиця 1'!$K:$K,'Таблиця 1'!$B:$B,$A722,'Таблиця 1'!$I:$I,"F-16",'Таблиця 1'!$J:$J,"BLU-140")+SUMIFS('Таблиця 1'!$K:$K,'Таблиця 1'!$B:$B,$A722,'Таблиця 1'!$I:$I,"МіГ-29",'Таблиця 1'!$J:$J,"BLU-140")+SUMIFS('Таблиця 1'!$K:$K,'Таблиця 1'!$B:$B,$A722,'Таблиця 1'!$I:$I,"Су-25",'Таблиця 1'!$J:$J,"BLU-140")+SUMIFS('Таблиця 1'!$K:$K,'Таблиця 1'!$B:$B,$A722,'Таблиця 1'!$I:$I,"Су-27",'Таблиця 1'!$J:$J,"BLU-140"))</f>
        <v/>
      </c>
      <c r="L722">
        <f>IF($A722="","",SUMIFS('Таблиця 1'!$K:$K,'Таблиця 1'!$B:$B,$A722,'Таблиця 1'!$I:$I,"Mirage",'Таблиця 1'!$J:$J,"GBU-65")+SUMIFS('Таблиця 1'!$K:$K,'Таблиця 1'!$B:$B,$A722,'Таблиця 1'!$I:$I,"F-16",'Таблиця 1'!$J:$J,"GBU-65")+SUMIFS('Таблиця 1'!$K:$K,'Таблиця 1'!$B:$B,$A722,'Таблиця 1'!$I:$I,"МіГ-29",'Таблиця 1'!$J:$J,"GBU-65")+SUMIFS('Таблиця 1'!$K:$K,'Таблиця 1'!$B:$B,$A722,'Таблиця 1'!$I:$I,"Су-25",'Таблиця 1'!$J:$J,"GBU-65")+SUMIFS('Таблиця 1'!$K:$K,'Таблиця 1'!$B:$B,$A722,'Таблиця 1'!$I:$I,"Су-27",'Таблиця 1'!$J:$J,"GBU-65"))</f>
        <v/>
      </c>
      <c r="M722">
        <f>IF($A722="","",SUMIFS('Таблиця 1'!$K:$K,'Таблиця 1'!$B:$B,$A722,'Таблиця 1'!$I:$I,"Mirage",'Таблиця 1'!$J:$J,"GBU-62")+SUMIFS('Таблиця 1'!$K:$K,'Таблиця 1'!$B:$B,$A722,'Таблиця 1'!$I:$I,"F-16",'Таблиця 1'!$J:$J,"GBU-62")+SUMIFS('Таблиця 1'!$K:$K,'Таблиця 1'!$B:$B,$A722,'Таблиця 1'!$I:$I,"МіГ-29",'Таблиця 1'!$J:$J,"GBU-62")+SUMIFS('Таблиця 1'!$K:$K,'Таблиця 1'!$B:$B,$A722,'Таблиця 1'!$I:$I,"Су-25",'Таблиця 1'!$J:$J,"GBU-62")+SUMIFS('Таблиця 1'!$K:$K,'Таблиця 1'!$B:$B,$A722,'Таблиця 1'!$I:$I,"Су-27",'Таблиця 1'!$J:$J,"GBU-62"))</f>
        <v/>
      </c>
      <c r="N722">
        <f>IF($A722="","",SUMIFS('Таблиця 1'!$K:$K,'Таблиця 1'!$B:$B,$A722,'Таблиця 1'!$I:$I,"Mirage",'Таблиця 1'!$J:$J,"GBU-64")+SUMIFS('Таблиця 1'!$K:$K,'Таблиця 1'!$B:$B,$A722,'Таблиця 1'!$I:$I,"F-16",'Таблиця 1'!$J:$J,"GBU-64")+SUMIFS('Таблиця 1'!$K:$K,'Таблиця 1'!$B:$B,$A722,'Таблиця 1'!$I:$I,"МіГ-29",'Таблиця 1'!$J:$J,"GBU-64")+SUMIFS('Таблиця 1'!$K:$K,'Таблиця 1'!$B:$B,$A722,'Таблиця 1'!$I:$I,"Су-25",'Таблиця 1'!$J:$J,"GBU-64")+SUMIFS('Таблиця 1'!$K:$K,'Таблиця 1'!$B:$B,$A722,'Таблиця 1'!$I:$I,"Су-27",'Таблиця 1'!$J:$J,"GBU-64"))</f>
        <v/>
      </c>
      <c r="O722">
        <f>IF($A722="","",SUMIFS('Таблиця 1'!$K:$K,'Таблиця 1'!$B:$B,$A722,'Таблиця 1'!$I:$I,"Mirage",'Таблиця 1'!$J:$J,"C-13")+SUMIFS('Таблиця 1'!$K:$K,'Таблиця 1'!$B:$B,$A722,'Таблиця 1'!$I:$I,"F-16",'Таблиця 1'!$J:$J,"C-13")+SUMIFS('Таблиця 1'!$K:$K,'Таблиця 1'!$B:$B,$A722,'Таблиця 1'!$I:$I,"МіГ-29",'Таблиця 1'!$J:$J,"C-13")+SUMIFS('Таблиця 1'!$K:$K,'Таблиця 1'!$B:$B,$A722,'Таблиця 1'!$I:$I,"Су-25",'Таблиця 1'!$J:$J,"C-13")+SUMIFS('Таблиця 1'!$K:$K,'Таблиця 1'!$B:$B,$A722,'Таблиця 1'!$I:$I,"Су-27",'Таблиця 1'!$J:$J,"C-13"))</f>
        <v/>
      </c>
      <c r="P722">
        <f>IF($A722="","",SUMIFS('Таблиця 1'!$K:$K,'Таблиця 1'!$B:$B,$A722,'Таблиця 1'!$I:$I,"Mirage",'Таблиця 1'!$J:$J,"MK-32")+SUMIFS('Таблиця 1'!$K:$K,'Таблиця 1'!$B:$B,$A722,'Таблиця 1'!$I:$I,"F-16",'Таблиця 1'!$J:$J,"MK-32")+SUMIFS('Таблиця 1'!$K:$K,'Таблиця 1'!$B:$B,$A722,'Таблиця 1'!$I:$I,"МіГ-29",'Таблиця 1'!$J:$J,"MK-32")+SUMIFS('Таблиця 1'!$K:$K,'Таблиця 1'!$B:$B,$A722,'Таблиця 1'!$I:$I,"Су-25",'Таблиця 1'!$J:$J,"MK-32")+SUMIFS('Таблиця 1'!$K:$K,'Таблиця 1'!$B:$B,$A722,'Таблиця 1'!$I:$I,"Су-27",'Таблиця 1'!$J:$J,"MK-32"))</f>
        <v/>
      </c>
      <c r="Q722">
        <f>IF($A722="","",SUMIFS('Таблиця 1'!$K:$K,'Таблиця 1'!$B:$B,$A722,'Таблиця 1'!$I:$I,"Mirage",'Таблиця 1'!$J:$J,"MK-24")+SUMIFS('Таблиця 1'!$K:$K,'Таблиця 1'!$B:$B,$A722,'Таблиця 1'!$I:$I,"F-16",'Таблиця 1'!$J:$J,"MK-24")+SUMIFS('Таблиця 1'!$K:$K,'Таблиця 1'!$B:$B,$A722,'Таблиця 1'!$I:$I,"МіГ-29",'Таблиця 1'!$J:$J,"MK-24")+SUMIFS('Таблиця 1'!$K:$K,'Таблиця 1'!$B:$B,$A722,'Таблиця 1'!$I:$I,"Су-25",'Таблиця 1'!$J:$J,"MK-24")+SUMIFS('Таблиця 1'!$K:$K,'Таблиця 1'!$B:$B,$A722,'Таблиця 1'!$I:$I,"Су-27",'Таблиця 1'!$J:$J,"MK-24"))</f>
        <v/>
      </c>
      <c r="R722">
        <f>IF($A722="","",COUNTIFS('Таблиця 1'!$B:$B,$A722,'Таблиця 1'!$I:$I,"Mirage",'Таблиця 1'!$L:$L,"Уражено")+COUNTIFS('Таблиця 1'!$B:$B,$A722,'Таблиця 1'!$I:$I,"F-16",'Таблиця 1'!$L:$L,"Уражено")+COUNTIFS('Таблиця 1'!$B:$B,$A722,'Таблиця 1'!$I:$I,"МіГ-29",'Таблиця 1'!$L:$L,"Уражено")+COUNTIFS('Таблиця 1'!$B:$B,$A722,'Таблиця 1'!$I:$I,"Су-25",'Таблиця 1'!$L:$L,"Уражено")+COUNTIFS('Таблиця 1'!$B:$B,$A722,'Таблиця 1'!$I:$I,"Су-27",'Таблиця 1'!$L:$L,"Уражено"))</f>
        <v/>
      </c>
      <c r="S722">
        <f>IF($A722="","",COUNTIFS('Таблиця 1'!$B:$B,$A722,'Таблиця 1'!$I:$I,"Mirage",'Таблиця 1'!$L:$L,"НЕ уражено")+COUNTIFS('Таблиця 1'!$B:$B,$A722,'Таблиця 1'!$I:$I,"F-16",'Таблиця 1'!$L:$L,"НЕ уражено")+COUNTIFS('Таблиця 1'!$B:$B,$A722,'Таблиця 1'!$I:$I,"МіГ-29",'Таблиця 1'!$L:$L,"НЕ уражено")+COUNTIFS('Таблиця 1'!$B:$B,$A722,'Таблиця 1'!$I:$I,"Су-25",'Таблиця 1'!$L:$L,"НЕ уражено")+COUNTIFS('Таблиця 1'!$B:$B,$A722,'Таблиця 1'!$I:$I,"Су-27",'Таблиця 1'!$L:$L,"НЕ уражено"))</f>
        <v/>
      </c>
      <c r="T722">
        <f>IF($A722="","",COUNTIFS('Таблиця 1'!$B:$B,$A722,'Таблиця 1'!$I:$I,"Mirage",'Таблиця 1'!$L:$L,"Дорозвідується")+COUNTIFS('Таблиця 1'!$B:$B,$A722,'Таблиця 1'!$I:$I,"F-16",'Таблиця 1'!$L:$L,"Дорозвідується")+COUNTIFS('Таблиця 1'!$B:$B,$A722,'Таблиця 1'!$I:$I,"МіГ-29",'Таблиця 1'!$L:$L,"Дорозвідується")+COUNTIFS('Таблиця 1'!$B:$B,$A722,'Таблиця 1'!$I:$I,"Су-25",'Таблиця 1'!$L:$L,"Дорозвідується")+COUNTIFS('Таблиця 1'!$B:$B,$A722,'Таблиця 1'!$I:$I,"Су-27",'Таблиця 1'!$L:$L,"Дорозвідується"))</f>
        <v/>
      </c>
    </row>
    <row r="723">
      <c r="A723" s="273">
        <f>IF(A722="","",IF(A722+1&gt;MAX('Таблиця 1'!$B:$B),"",A722+1))</f>
        <v/>
      </c>
      <c r="B723">
        <f>IF($A723="","",COUNTIFS('Таблиця 1'!$B:$B,$A723,'Таблиця 1'!$I:$I,"Mirage")+COUNTIFS('Таблиця 1'!$B:$B,$A723,'Таблиця 1'!$I:$I,"F-16")+COUNTIFS('Таблиця 1'!$B:$B,$A723,'Таблиця 1'!$I:$I,"МіГ-29")+COUNTIFS('Таблиця 1'!$B:$B,$A723,'Таблиця 1'!$I:$I,"Су-25")+COUNTIFS('Таблиця 1'!$B:$B,$A723,'Таблиця 1'!$I:$I,"Су-27"))</f>
        <v/>
      </c>
      <c r="C723">
        <f>IF($A723="","",COUNTIFS('Таблиця 1'!$B:$B,$A723,'Таблиця 1'!$I:$I,"Mirage"))</f>
        <v/>
      </c>
      <c r="D723">
        <f>IF($A723="","",COUNTIFS('Таблиця 1'!$B:$B,$A723,'Таблиця 1'!$I:$I,"F-16"))</f>
        <v/>
      </c>
      <c r="E723">
        <f>IF($A723="","",COUNTIFS('Таблиця 1'!$B:$B,$A723,'Таблиця 1'!$I:$I,"МіГ-29"))</f>
        <v/>
      </c>
      <c r="F723">
        <f>IF($A723="","",COUNTIFS('Таблиця 1'!$B:$B,$A723,'Таблиця 1'!$I:$I,"Су-25"))</f>
        <v/>
      </c>
      <c r="G723">
        <f>IF($A723="","",COUNTIFS('Таблиця 1'!$B:$B,$A723,'Таблиця 1'!$I:$I,"Су-27"))</f>
        <v/>
      </c>
      <c r="H723">
        <f>IF($A723="","",SUMIFS('Таблиця 1'!$K:$K,'Таблиця 1'!$B:$B,$A723,'Таблиця 1'!$I:$I,"Mirage",'Таблиця 1'!$J:$J,"AGM-88")+SUMIFS('Таблиця 1'!$K:$K,'Таблиця 1'!$B:$B,$A723,'Таблиця 1'!$I:$I,"F-16",'Таблиця 1'!$J:$J,"AGM-88")+SUMIFS('Таблиця 1'!$K:$K,'Таблиця 1'!$B:$B,$A723,'Таблиця 1'!$I:$I,"МіГ-29",'Таблиця 1'!$J:$J,"AGM-88")+SUMIFS('Таблиця 1'!$K:$K,'Таблиця 1'!$B:$B,$A723,'Таблиця 1'!$I:$I,"Су-25",'Таблиця 1'!$J:$J,"AGM-88")+SUMIFS('Таблиця 1'!$K:$K,'Таблиця 1'!$B:$B,$A723,'Таблиця 1'!$I:$I,"Су-27",'Таблиця 1'!$J:$J,"AGM-88"))</f>
        <v/>
      </c>
      <c r="I723">
        <f>IF($A723="","",SUMIFS('Таблиця 1'!$K:$K,'Таблиця 1'!$B:$B,$A723,'Таблиця 1'!$I:$I,"Mirage",'Таблиця 1'!$J:$J,"AASM-250")+SUMIFS('Таблиця 1'!$K:$K,'Таблиця 1'!$B:$B,$A723,'Таблиця 1'!$I:$I,"F-16",'Таблиця 1'!$J:$J,"AASM-250")+SUMIFS('Таблиця 1'!$K:$K,'Таблиця 1'!$B:$B,$A723,'Таблиця 1'!$I:$I,"МіГ-29",'Таблиця 1'!$J:$J,"AASM-250")+SUMIFS('Таблиця 1'!$K:$K,'Таблиця 1'!$B:$B,$A723,'Таблиця 1'!$I:$I,"Су-25",'Таблиця 1'!$J:$J,"AASM-250")+SUMIFS('Таблиця 1'!$K:$K,'Таблиця 1'!$B:$B,$A723,'Таблиця 1'!$I:$I,"Су-27",'Таблиця 1'!$J:$J,"AASM-250"))</f>
        <v/>
      </c>
      <c r="J723">
        <f>IF($A723="","",SUMIFS('Таблиця 1'!$K:$K,'Таблиця 1'!$B:$B,$A723,'Таблиця 1'!$I:$I,"Mirage",'Таблиця 1'!$J:$J,"GBU-39")+SUMIFS('Таблиця 1'!$K:$K,'Таблиця 1'!$B:$B,$A723,'Таблиця 1'!$I:$I,"F-16",'Таблиця 1'!$J:$J,"GBU-39")+SUMIFS('Таблиця 1'!$K:$K,'Таблиця 1'!$B:$B,$A723,'Таблиця 1'!$I:$I,"МіГ-29",'Таблиця 1'!$J:$J,"GBU-39")+SUMIFS('Таблиця 1'!$K:$K,'Таблиця 1'!$B:$B,$A723,'Таблиця 1'!$I:$I,"Су-25",'Таблиця 1'!$J:$J,"GBU-39")+SUMIFS('Таблиця 1'!$K:$K,'Таблиця 1'!$B:$B,$A723,'Таблиця 1'!$I:$I,"Су-27",'Таблиця 1'!$J:$J,"GBU-39"))</f>
        <v/>
      </c>
      <c r="K723">
        <f>IF($A723="","",SUMIFS('Таблиця 1'!$K:$K,'Таблиця 1'!$B:$B,$A723,'Таблиця 1'!$I:$I,"Mirage",'Таблиця 1'!$J:$J,"BLU-140")+SUMIFS('Таблиця 1'!$K:$K,'Таблиця 1'!$B:$B,$A723,'Таблиця 1'!$I:$I,"F-16",'Таблиця 1'!$J:$J,"BLU-140")+SUMIFS('Таблиця 1'!$K:$K,'Таблиця 1'!$B:$B,$A723,'Таблиця 1'!$I:$I,"МіГ-29",'Таблиця 1'!$J:$J,"BLU-140")+SUMIFS('Таблиця 1'!$K:$K,'Таблиця 1'!$B:$B,$A723,'Таблиця 1'!$I:$I,"Су-25",'Таблиця 1'!$J:$J,"BLU-140")+SUMIFS('Таблиця 1'!$K:$K,'Таблиця 1'!$B:$B,$A723,'Таблиця 1'!$I:$I,"Су-27",'Таблиця 1'!$J:$J,"BLU-140"))</f>
        <v/>
      </c>
      <c r="L723">
        <f>IF($A723="","",SUMIFS('Таблиця 1'!$K:$K,'Таблиця 1'!$B:$B,$A723,'Таблиця 1'!$I:$I,"Mirage",'Таблиця 1'!$J:$J,"GBU-65")+SUMIFS('Таблиця 1'!$K:$K,'Таблиця 1'!$B:$B,$A723,'Таблиця 1'!$I:$I,"F-16",'Таблиця 1'!$J:$J,"GBU-65")+SUMIFS('Таблиця 1'!$K:$K,'Таблиця 1'!$B:$B,$A723,'Таблиця 1'!$I:$I,"МіГ-29",'Таблиця 1'!$J:$J,"GBU-65")+SUMIFS('Таблиця 1'!$K:$K,'Таблиця 1'!$B:$B,$A723,'Таблиця 1'!$I:$I,"Су-25",'Таблиця 1'!$J:$J,"GBU-65")+SUMIFS('Таблиця 1'!$K:$K,'Таблиця 1'!$B:$B,$A723,'Таблиця 1'!$I:$I,"Су-27",'Таблиця 1'!$J:$J,"GBU-65"))</f>
        <v/>
      </c>
      <c r="M723">
        <f>IF($A723="","",SUMIFS('Таблиця 1'!$K:$K,'Таблиця 1'!$B:$B,$A723,'Таблиця 1'!$I:$I,"Mirage",'Таблиця 1'!$J:$J,"GBU-62")+SUMIFS('Таблиця 1'!$K:$K,'Таблиця 1'!$B:$B,$A723,'Таблиця 1'!$I:$I,"F-16",'Таблиця 1'!$J:$J,"GBU-62")+SUMIFS('Таблиця 1'!$K:$K,'Таблиця 1'!$B:$B,$A723,'Таблиця 1'!$I:$I,"МіГ-29",'Таблиця 1'!$J:$J,"GBU-62")+SUMIFS('Таблиця 1'!$K:$K,'Таблиця 1'!$B:$B,$A723,'Таблиця 1'!$I:$I,"Су-25",'Таблиця 1'!$J:$J,"GBU-62")+SUMIFS('Таблиця 1'!$K:$K,'Таблиця 1'!$B:$B,$A723,'Таблиця 1'!$I:$I,"Су-27",'Таблиця 1'!$J:$J,"GBU-62"))</f>
        <v/>
      </c>
      <c r="N723">
        <f>IF($A723="","",SUMIFS('Таблиця 1'!$K:$K,'Таблиця 1'!$B:$B,$A723,'Таблиця 1'!$I:$I,"Mirage",'Таблиця 1'!$J:$J,"GBU-64")+SUMIFS('Таблиця 1'!$K:$K,'Таблиця 1'!$B:$B,$A723,'Таблиця 1'!$I:$I,"F-16",'Таблиця 1'!$J:$J,"GBU-64")+SUMIFS('Таблиця 1'!$K:$K,'Таблиця 1'!$B:$B,$A723,'Таблиця 1'!$I:$I,"МіГ-29",'Таблиця 1'!$J:$J,"GBU-64")+SUMIFS('Таблиця 1'!$K:$K,'Таблиця 1'!$B:$B,$A723,'Таблиця 1'!$I:$I,"Су-25",'Таблиця 1'!$J:$J,"GBU-64")+SUMIFS('Таблиця 1'!$K:$K,'Таблиця 1'!$B:$B,$A723,'Таблиця 1'!$I:$I,"Су-27",'Таблиця 1'!$J:$J,"GBU-64"))</f>
        <v/>
      </c>
      <c r="O723">
        <f>IF($A723="","",SUMIFS('Таблиця 1'!$K:$K,'Таблиця 1'!$B:$B,$A723,'Таблиця 1'!$I:$I,"Mirage",'Таблиця 1'!$J:$J,"C-13")+SUMIFS('Таблиця 1'!$K:$K,'Таблиця 1'!$B:$B,$A723,'Таблиця 1'!$I:$I,"F-16",'Таблиця 1'!$J:$J,"C-13")+SUMIFS('Таблиця 1'!$K:$K,'Таблиця 1'!$B:$B,$A723,'Таблиця 1'!$I:$I,"МіГ-29",'Таблиця 1'!$J:$J,"C-13")+SUMIFS('Таблиця 1'!$K:$K,'Таблиця 1'!$B:$B,$A723,'Таблиця 1'!$I:$I,"Су-25",'Таблиця 1'!$J:$J,"C-13")+SUMIFS('Таблиця 1'!$K:$K,'Таблиця 1'!$B:$B,$A723,'Таблиця 1'!$I:$I,"Су-27",'Таблиця 1'!$J:$J,"C-13"))</f>
        <v/>
      </c>
      <c r="P723">
        <f>IF($A723="","",SUMIFS('Таблиця 1'!$K:$K,'Таблиця 1'!$B:$B,$A723,'Таблиця 1'!$I:$I,"Mirage",'Таблиця 1'!$J:$J,"MK-32")+SUMIFS('Таблиця 1'!$K:$K,'Таблиця 1'!$B:$B,$A723,'Таблиця 1'!$I:$I,"F-16",'Таблиця 1'!$J:$J,"MK-32")+SUMIFS('Таблиця 1'!$K:$K,'Таблиця 1'!$B:$B,$A723,'Таблиця 1'!$I:$I,"МіГ-29",'Таблиця 1'!$J:$J,"MK-32")+SUMIFS('Таблиця 1'!$K:$K,'Таблиця 1'!$B:$B,$A723,'Таблиця 1'!$I:$I,"Су-25",'Таблиця 1'!$J:$J,"MK-32")+SUMIFS('Таблиця 1'!$K:$K,'Таблиця 1'!$B:$B,$A723,'Таблиця 1'!$I:$I,"Су-27",'Таблиця 1'!$J:$J,"MK-32"))</f>
        <v/>
      </c>
      <c r="Q723">
        <f>IF($A723="","",SUMIFS('Таблиця 1'!$K:$K,'Таблиця 1'!$B:$B,$A723,'Таблиця 1'!$I:$I,"Mirage",'Таблиця 1'!$J:$J,"MK-24")+SUMIFS('Таблиця 1'!$K:$K,'Таблиця 1'!$B:$B,$A723,'Таблиця 1'!$I:$I,"F-16",'Таблиця 1'!$J:$J,"MK-24")+SUMIFS('Таблиця 1'!$K:$K,'Таблиця 1'!$B:$B,$A723,'Таблиця 1'!$I:$I,"МіГ-29",'Таблиця 1'!$J:$J,"MK-24")+SUMIFS('Таблиця 1'!$K:$K,'Таблиця 1'!$B:$B,$A723,'Таблиця 1'!$I:$I,"Су-25",'Таблиця 1'!$J:$J,"MK-24")+SUMIFS('Таблиця 1'!$K:$K,'Таблиця 1'!$B:$B,$A723,'Таблиця 1'!$I:$I,"Су-27",'Таблиця 1'!$J:$J,"MK-24"))</f>
        <v/>
      </c>
      <c r="R723">
        <f>IF($A723="","",COUNTIFS('Таблиця 1'!$B:$B,$A723,'Таблиця 1'!$I:$I,"Mirage",'Таблиця 1'!$L:$L,"Уражено")+COUNTIFS('Таблиця 1'!$B:$B,$A723,'Таблиця 1'!$I:$I,"F-16",'Таблиця 1'!$L:$L,"Уражено")+COUNTIFS('Таблиця 1'!$B:$B,$A723,'Таблиця 1'!$I:$I,"МіГ-29",'Таблиця 1'!$L:$L,"Уражено")+COUNTIFS('Таблиця 1'!$B:$B,$A723,'Таблиця 1'!$I:$I,"Су-25",'Таблиця 1'!$L:$L,"Уражено")+COUNTIFS('Таблиця 1'!$B:$B,$A723,'Таблиця 1'!$I:$I,"Су-27",'Таблиця 1'!$L:$L,"Уражено"))</f>
        <v/>
      </c>
      <c r="S723">
        <f>IF($A723="","",COUNTIFS('Таблиця 1'!$B:$B,$A723,'Таблиця 1'!$I:$I,"Mirage",'Таблиця 1'!$L:$L,"НЕ уражено")+COUNTIFS('Таблиця 1'!$B:$B,$A723,'Таблиця 1'!$I:$I,"F-16",'Таблиця 1'!$L:$L,"НЕ уражено")+COUNTIFS('Таблиця 1'!$B:$B,$A723,'Таблиця 1'!$I:$I,"МіГ-29",'Таблиця 1'!$L:$L,"НЕ уражено")+COUNTIFS('Таблиця 1'!$B:$B,$A723,'Таблиця 1'!$I:$I,"Су-25",'Таблиця 1'!$L:$L,"НЕ уражено")+COUNTIFS('Таблиця 1'!$B:$B,$A723,'Таблиця 1'!$I:$I,"Су-27",'Таблиця 1'!$L:$L,"НЕ уражено"))</f>
        <v/>
      </c>
      <c r="T723">
        <f>IF($A723="","",COUNTIFS('Таблиця 1'!$B:$B,$A723,'Таблиця 1'!$I:$I,"Mirage",'Таблиця 1'!$L:$L,"Дорозвідується")+COUNTIFS('Таблиця 1'!$B:$B,$A723,'Таблиця 1'!$I:$I,"F-16",'Таблиця 1'!$L:$L,"Дорозвідується")+COUNTIFS('Таблиця 1'!$B:$B,$A723,'Таблиця 1'!$I:$I,"МіГ-29",'Таблиця 1'!$L:$L,"Дорозвідується")+COUNTIFS('Таблиця 1'!$B:$B,$A723,'Таблиця 1'!$I:$I,"Су-25",'Таблиця 1'!$L:$L,"Дорозвідується")+COUNTIFS('Таблиця 1'!$B:$B,$A723,'Таблиця 1'!$I:$I,"Су-27",'Таблиця 1'!$L:$L,"Дорозвідується"))</f>
        <v/>
      </c>
    </row>
    <row r="724">
      <c r="A724" s="273">
        <f>IF(A723="","",IF(A723+1&gt;MAX('Таблиця 1'!$B:$B),"",A723+1))</f>
        <v/>
      </c>
      <c r="B724">
        <f>IF($A724="","",COUNTIFS('Таблиця 1'!$B:$B,$A724,'Таблиця 1'!$I:$I,"Mirage")+COUNTIFS('Таблиця 1'!$B:$B,$A724,'Таблиця 1'!$I:$I,"F-16")+COUNTIFS('Таблиця 1'!$B:$B,$A724,'Таблиця 1'!$I:$I,"МіГ-29")+COUNTIFS('Таблиця 1'!$B:$B,$A724,'Таблиця 1'!$I:$I,"Су-25")+COUNTIFS('Таблиця 1'!$B:$B,$A724,'Таблиця 1'!$I:$I,"Су-27"))</f>
        <v/>
      </c>
      <c r="C724">
        <f>IF($A724="","",COUNTIFS('Таблиця 1'!$B:$B,$A724,'Таблиця 1'!$I:$I,"Mirage"))</f>
        <v/>
      </c>
      <c r="D724">
        <f>IF($A724="","",COUNTIFS('Таблиця 1'!$B:$B,$A724,'Таблиця 1'!$I:$I,"F-16"))</f>
        <v/>
      </c>
      <c r="E724">
        <f>IF($A724="","",COUNTIFS('Таблиця 1'!$B:$B,$A724,'Таблиця 1'!$I:$I,"МіГ-29"))</f>
        <v/>
      </c>
      <c r="F724">
        <f>IF($A724="","",COUNTIFS('Таблиця 1'!$B:$B,$A724,'Таблиця 1'!$I:$I,"Су-25"))</f>
        <v/>
      </c>
      <c r="G724">
        <f>IF($A724="","",COUNTIFS('Таблиця 1'!$B:$B,$A724,'Таблиця 1'!$I:$I,"Су-27"))</f>
        <v/>
      </c>
      <c r="H724">
        <f>IF($A724="","",SUMIFS('Таблиця 1'!$K:$K,'Таблиця 1'!$B:$B,$A724,'Таблиця 1'!$I:$I,"Mirage",'Таблиця 1'!$J:$J,"AGM-88")+SUMIFS('Таблиця 1'!$K:$K,'Таблиця 1'!$B:$B,$A724,'Таблиця 1'!$I:$I,"F-16",'Таблиця 1'!$J:$J,"AGM-88")+SUMIFS('Таблиця 1'!$K:$K,'Таблиця 1'!$B:$B,$A724,'Таблиця 1'!$I:$I,"МіГ-29",'Таблиця 1'!$J:$J,"AGM-88")+SUMIFS('Таблиця 1'!$K:$K,'Таблиця 1'!$B:$B,$A724,'Таблиця 1'!$I:$I,"Су-25",'Таблиця 1'!$J:$J,"AGM-88")+SUMIFS('Таблиця 1'!$K:$K,'Таблиця 1'!$B:$B,$A724,'Таблиця 1'!$I:$I,"Су-27",'Таблиця 1'!$J:$J,"AGM-88"))</f>
        <v/>
      </c>
      <c r="I724">
        <f>IF($A724="","",SUMIFS('Таблиця 1'!$K:$K,'Таблиця 1'!$B:$B,$A724,'Таблиця 1'!$I:$I,"Mirage",'Таблиця 1'!$J:$J,"AASM-250")+SUMIFS('Таблиця 1'!$K:$K,'Таблиця 1'!$B:$B,$A724,'Таблиця 1'!$I:$I,"F-16",'Таблиця 1'!$J:$J,"AASM-250")+SUMIFS('Таблиця 1'!$K:$K,'Таблиця 1'!$B:$B,$A724,'Таблиця 1'!$I:$I,"МіГ-29",'Таблиця 1'!$J:$J,"AASM-250")+SUMIFS('Таблиця 1'!$K:$K,'Таблиця 1'!$B:$B,$A724,'Таблиця 1'!$I:$I,"Су-25",'Таблиця 1'!$J:$J,"AASM-250")+SUMIFS('Таблиця 1'!$K:$K,'Таблиця 1'!$B:$B,$A724,'Таблиця 1'!$I:$I,"Су-27",'Таблиця 1'!$J:$J,"AASM-250"))</f>
        <v/>
      </c>
      <c r="J724">
        <f>IF($A724="","",SUMIFS('Таблиця 1'!$K:$K,'Таблиця 1'!$B:$B,$A724,'Таблиця 1'!$I:$I,"Mirage",'Таблиця 1'!$J:$J,"GBU-39")+SUMIFS('Таблиця 1'!$K:$K,'Таблиця 1'!$B:$B,$A724,'Таблиця 1'!$I:$I,"F-16",'Таблиця 1'!$J:$J,"GBU-39")+SUMIFS('Таблиця 1'!$K:$K,'Таблиця 1'!$B:$B,$A724,'Таблиця 1'!$I:$I,"МіГ-29",'Таблиця 1'!$J:$J,"GBU-39")+SUMIFS('Таблиця 1'!$K:$K,'Таблиця 1'!$B:$B,$A724,'Таблиця 1'!$I:$I,"Су-25",'Таблиця 1'!$J:$J,"GBU-39")+SUMIFS('Таблиця 1'!$K:$K,'Таблиця 1'!$B:$B,$A724,'Таблиця 1'!$I:$I,"Су-27",'Таблиця 1'!$J:$J,"GBU-39"))</f>
        <v/>
      </c>
      <c r="K724">
        <f>IF($A724="","",SUMIFS('Таблиця 1'!$K:$K,'Таблиця 1'!$B:$B,$A724,'Таблиця 1'!$I:$I,"Mirage",'Таблиця 1'!$J:$J,"BLU-140")+SUMIFS('Таблиця 1'!$K:$K,'Таблиця 1'!$B:$B,$A724,'Таблиця 1'!$I:$I,"F-16",'Таблиця 1'!$J:$J,"BLU-140")+SUMIFS('Таблиця 1'!$K:$K,'Таблиця 1'!$B:$B,$A724,'Таблиця 1'!$I:$I,"МіГ-29",'Таблиця 1'!$J:$J,"BLU-140")+SUMIFS('Таблиця 1'!$K:$K,'Таблиця 1'!$B:$B,$A724,'Таблиця 1'!$I:$I,"Су-25",'Таблиця 1'!$J:$J,"BLU-140")+SUMIFS('Таблиця 1'!$K:$K,'Таблиця 1'!$B:$B,$A724,'Таблиця 1'!$I:$I,"Су-27",'Таблиця 1'!$J:$J,"BLU-140"))</f>
        <v/>
      </c>
      <c r="L724">
        <f>IF($A724="","",SUMIFS('Таблиця 1'!$K:$K,'Таблиця 1'!$B:$B,$A724,'Таблиця 1'!$I:$I,"Mirage",'Таблиця 1'!$J:$J,"GBU-65")+SUMIFS('Таблиця 1'!$K:$K,'Таблиця 1'!$B:$B,$A724,'Таблиця 1'!$I:$I,"F-16",'Таблиця 1'!$J:$J,"GBU-65")+SUMIFS('Таблиця 1'!$K:$K,'Таблиця 1'!$B:$B,$A724,'Таблиця 1'!$I:$I,"МіГ-29",'Таблиця 1'!$J:$J,"GBU-65")+SUMIFS('Таблиця 1'!$K:$K,'Таблиця 1'!$B:$B,$A724,'Таблиця 1'!$I:$I,"Су-25",'Таблиця 1'!$J:$J,"GBU-65")+SUMIFS('Таблиця 1'!$K:$K,'Таблиця 1'!$B:$B,$A724,'Таблиця 1'!$I:$I,"Су-27",'Таблиця 1'!$J:$J,"GBU-65"))</f>
        <v/>
      </c>
      <c r="M724">
        <f>IF($A724="","",SUMIFS('Таблиця 1'!$K:$K,'Таблиця 1'!$B:$B,$A724,'Таблиця 1'!$I:$I,"Mirage",'Таблиця 1'!$J:$J,"GBU-62")+SUMIFS('Таблиця 1'!$K:$K,'Таблиця 1'!$B:$B,$A724,'Таблиця 1'!$I:$I,"F-16",'Таблиця 1'!$J:$J,"GBU-62")+SUMIFS('Таблиця 1'!$K:$K,'Таблиця 1'!$B:$B,$A724,'Таблиця 1'!$I:$I,"МіГ-29",'Таблиця 1'!$J:$J,"GBU-62")+SUMIFS('Таблиця 1'!$K:$K,'Таблиця 1'!$B:$B,$A724,'Таблиця 1'!$I:$I,"Су-25",'Таблиця 1'!$J:$J,"GBU-62")+SUMIFS('Таблиця 1'!$K:$K,'Таблиця 1'!$B:$B,$A724,'Таблиця 1'!$I:$I,"Су-27",'Таблиця 1'!$J:$J,"GBU-62"))</f>
        <v/>
      </c>
      <c r="N724">
        <f>IF($A724="","",SUMIFS('Таблиця 1'!$K:$K,'Таблиця 1'!$B:$B,$A724,'Таблиця 1'!$I:$I,"Mirage",'Таблиця 1'!$J:$J,"GBU-64")+SUMIFS('Таблиця 1'!$K:$K,'Таблиця 1'!$B:$B,$A724,'Таблиця 1'!$I:$I,"F-16",'Таблиця 1'!$J:$J,"GBU-64")+SUMIFS('Таблиця 1'!$K:$K,'Таблиця 1'!$B:$B,$A724,'Таблиця 1'!$I:$I,"МіГ-29",'Таблиця 1'!$J:$J,"GBU-64")+SUMIFS('Таблиця 1'!$K:$K,'Таблиця 1'!$B:$B,$A724,'Таблиця 1'!$I:$I,"Су-25",'Таблиця 1'!$J:$J,"GBU-64")+SUMIFS('Таблиця 1'!$K:$K,'Таблиця 1'!$B:$B,$A724,'Таблиця 1'!$I:$I,"Су-27",'Таблиця 1'!$J:$J,"GBU-64"))</f>
        <v/>
      </c>
      <c r="O724">
        <f>IF($A724="","",SUMIFS('Таблиця 1'!$K:$K,'Таблиця 1'!$B:$B,$A724,'Таблиця 1'!$I:$I,"Mirage",'Таблиця 1'!$J:$J,"C-13")+SUMIFS('Таблиця 1'!$K:$K,'Таблиця 1'!$B:$B,$A724,'Таблиця 1'!$I:$I,"F-16",'Таблиця 1'!$J:$J,"C-13")+SUMIFS('Таблиця 1'!$K:$K,'Таблиця 1'!$B:$B,$A724,'Таблиця 1'!$I:$I,"МіГ-29",'Таблиця 1'!$J:$J,"C-13")+SUMIFS('Таблиця 1'!$K:$K,'Таблиця 1'!$B:$B,$A724,'Таблиця 1'!$I:$I,"Су-25",'Таблиця 1'!$J:$J,"C-13")+SUMIFS('Таблиця 1'!$K:$K,'Таблиця 1'!$B:$B,$A724,'Таблиця 1'!$I:$I,"Су-27",'Таблиця 1'!$J:$J,"C-13"))</f>
        <v/>
      </c>
      <c r="P724">
        <f>IF($A724="","",SUMIFS('Таблиця 1'!$K:$K,'Таблиця 1'!$B:$B,$A724,'Таблиця 1'!$I:$I,"Mirage",'Таблиця 1'!$J:$J,"MK-32")+SUMIFS('Таблиця 1'!$K:$K,'Таблиця 1'!$B:$B,$A724,'Таблиця 1'!$I:$I,"F-16",'Таблиця 1'!$J:$J,"MK-32")+SUMIFS('Таблиця 1'!$K:$K,'Таблиця 1'!$B:$B,$A724,'Таблиця 1'!$I:$I,"МіГ-29",'Таблиця 1'!$J:$J,"MK-32")+SUMIFS('Таблиця 1'!$K:$K,'Таблиця 1'!$B:$B,$A724,'Таблиця 1'!$I:$I,"Су-25",'Таблиця 1'!$J:$J,"MK-32")+SUMIFS('Таблиця 1'!$K:$K,'Таблиця 1'!$B:$B,$A724,'Таблиця 1'!$I:$I,"Су-27",'Таблиця 1'!$J:$J,"MK-32"))</f>
        <v/>
      </c>
      <c r="Q724">
        <f>IF($A724="","",SUMIFS('Таблиця 1'!$K:$K,'Таблиця 1'!$B:$B,$A724,'Таблиця 1'!$I:$I,"Mirage",'Таблиця 1'!$J:$J,"MK-24")+SUMIFS('Таблиця 1'!$K:$K,'Таблиця 1'!$B:$B,$A724,'Таблиця 1'!$I:$I,"F-16",'Таблиця 1'!$J:$J,"MK-24")+SUMIFS('Таблиця 1'!$K:$K,'Таблиця 1'!$B:$B,$A724,'Таблиця 1'!$I:$I,"МіГ-29",'Таблиця 1'!$J:$J,"MK-24")+SUMIFS('Таблиця 1'!$K:$K,'Таблиця 1'!$B:$B,$A724,'Таблиця 1'!$I:$I,"Су-25",'Таблиця 1'!$J:$J,"MK-24")+SUMIFS('Таблиця 1'!$K:$K,'Таблиця 1'!$B:$B,$A724,'Таблиця 1'!$I:$I,"Су-27",'Таблиця 1'!$J:$J,"MK-24"))</f>
        <v/>
      </c>
      <c r="R724">
        <f>IF($A724="","",COUNTIFS('Таблиця 1'!$B:$B,$A724,'Таблиця 1'!$I:$I,"Mirage",'Таблиця 1'!$L:$L,"Уражено")+COUNTIFS('Таблиця 1'!$B:$B,$A724,'Таблиця 1'!$I:$I,"F-16",'Таблиця 1'!$L:$L,"Уражено")+COUNTIFS('Таблиця 1'!$B:$B,$A724,'Таблиця 1'!$I:$I,"МіГ-29",'Таблиця 1'!$L:$L,"Уражено")+COUNTIFS('Таблиця 1'!$B:$B,$A724,'Таблиця 1'!$I:$I,"Су-25",'Таблиця 1'!$L:$L,"Уражено")+COUNTIFS('Таблиця 1'!$B:$B,$A724,'Таблиця 1'!$I:$I,"Су-27",'Таблиця 1'!$L:$L,"Уражено"))</f>
        <v/>
      </c>
      <c r="S724">
        <f>IF($A724="","",COUNTIFS('Таблиця 1'!$B:$B,$A724,'Таблиця 1'!$I:$I,"Mirage",'Таблиця 1'!$L:$L,"НЕ уражено")+COUNTIFS('Таблиця 1'!$B:$B,$A724,'Таблиця 1'!$I:$I,"F-16",'Таблиця 1'!$L:$L,"НЕ уражено")+COUNTIFS('Таблиця 1'!$B:$B,$A724,'Таблиця 1'!$I:$I,"МіГ-29",'Таблиця 1'!$L:$L,"НЕ уражено")+COUNTIFS('Таблиця 1'!$B:$B,$A724,'Таблиця 1'!$I:$I,"Су-25",'Таблиця 1'!$L:$L,"НЕ уражено")+COUNTIFS('Таблиця 1'!$B:$B,$A724,'Таблиця 1'!$I:$I,"Су-27",'Таблиця 1'!$L:$L,"НЕ уражено"))</f>
        <v/>
      </c>
      <c r="T724">
        <f>IF($A724="","",COUNTIFS('Таблиця 1'!$B:$B,$A724,'Таблиця 1'!$I:$I,"Mirage",'Таблиця 1'!$L:$L,"Дорозвідується")+COUNTIFS('Таблиця 1'!$B:$B,$A724,'Таблиця 1'!$I:$I,"F-16",'Таблиця 1'!$L:$L,"Дорозвідується")+COUNTIFS('Таблиця 1'!$B:$B,$A724,'Таблиця 1'!$I:$I,"МіГ-29",'Таблиця 1'!$L:$L,"Дорозвідується")+COUNTIFS('Таблиця 1'!$B:$B,$A724,'Таблиця 1'!$I:$I,"Су-25",'Таблиця 1'!$L:$L,"Дорозвідується")+COUNTIFS('Таблиця 1'!$B:$B,$A724,'Таблиця 1'!$I:$I,"Су-27",'Таблиця 1'!$L:$L,"Дорозвідується"))</f>
        <v/>
      </c>
    </row>
    <row r="725">
      <c r="A725" s="273">
        <f>IF(A724="","",IF(A724+1&gt;MAX('Таблиця 1'!$B:$B),"",A724+1))</f>
        <v/>
      </c>
      <c r="B725">
        <f>IF($A725="","",COUNTIFS('Таблиця 1'!$B:$B,$A725,'Таблиця 1'!$I:$I,"Mirage")+COUNTIFS('Таблиця 1'!$B:$B,$A725,'Таблиця 1'!$I:$I,"F-16")+COUNTIFS('Таблиця 1'!$B:$B,$A725,'Таблиця 1'!$I:$I,"МіГ-29")+COUNTIFS('Таблиця 1'!$B:$B,$A725,'Таблиця 1'!$I:$I,"Су-25")+COUNTIFS('Таблиця 1'!$B:$B,$A725,'Таблиця 1'!$I:$I,"Су-27"))</f>
        <v/>
      </c>
      <c r="C725">
        <f>IF($A725="","",COUNTIFS('Таблиця 1'!$B:$B,$A725,'Таблиця 1'!$I:$I,"Mirage"))</f>
        <v/>
      </c>
      <c r="D725">
        <f>IF($A725="","",COUNTIFS('Таблиця 1'!$B:$B,$A725,'Таблиця 1'!$I:$I,"F-16"))</f>
        <v/>
      </c>
      <c r="E725">
        <f>IF($A725="","",COUNTIFS('Таблиця 1'!$B:$B,$A725,'Таблиця 1'!$I:$I,"МіГ-29"))</f>
        <v/>
      </c>
      <c r="F725">
        <f>IF($A725="","",COUNTIFS('Таблиця 1'!$B:$B,$A725,'Таблиця 1'!$I:$I,"Су-25"))</f>
        <v/>
      </c>
      <c r="G725">
        <f>IF($A725="","",COUNTIFS('Таблиця 1'!$B:$B,$A725,'Таблиця 1'!$I:$I,"Су-27"))</f>
        <v/>
      </c>
      <c r="H725">
        <f>IF($A725="","",SUMIFS('Таблиця 1'!$K:$K,'Таблиця 1'!$B:$B,$A725,'Таблиця 1'!$I:$I,"Mirage",'Таблиця 1'!$J:$J,"AGM-88")+SUMIFS('Таблиця 1'!$K:$K,'Таблиця 1'!$B:$B,$A725,'Таблиця 1'!$I:$I,"F-16",'Таблиця 1'!$J:$J,"AGM-88")+SUMIFS('Таблиця 1'!$K:$K,'Таблиця 1'!$B:$B,$A725,'Таблиця 1'!$I:$I,"МіГ-29",'Таблиця 1'!$J:$J,"AGM-88")+SUMIFS('Таблиця 1'!$K:$K,'Таблиця 1'!$B:$B,$A725,'Таблиця 1'!$I:$I,"Су-25",'Таблиця 1'!$J:$J,"AGM-88")+SUMIFS('Таблиця 1'!$K:$K,'Таблиця 1'!$B:$B,$A725,'Таблиця 1'!$I:$I,"Су-27",'Таблиця 1'!$J:$J,"AGM-88"))</f>
        <v/>
      </c>
      <c r="I725">
        <f>IF($A725="","",SUMIFS('Таблиця 1'!$K:$K,'Таблиця 1'!$B:$B,$A725,'Таблиця 1'!$I:$I,"Mirage",'Таблиця 1'!$J:$J,"AASM-250")+SUMIFS('Таблиця 1'!$K:$K,'Таблиця 1'!$B:$B,$A725,'Таблиця 1'!$I:$I,"F-16",'Таблиця 1'!$J:$J,"AASM-250")+SUMIFS('Таблиця 1'!$K:$K,'Таблиця 1'!$B:$B,$A725,'Таблиця 1'!$I:$I,"МіГ-29",'Таблиця 1'!$J:$J,"AASM-250")+SUMIFS('Таблиця 1'!$K:$K,'Таблиця 1'!$B:$B,$A725,'Таблиця 1'!$I:$I,"Су-25",'Таблиця 1'!$J:$J,"AASM-250")+SUMIFS('Таблиця 1'!$K:$K,'Таблиця 1'!$B:$B,$A725,'Таблиця 1'!$I:$I,"Су-27",'Таблиця 1'!$J:$J,"AASM-250"))</f>
        <v/>
      </c>
      <c r="J725">
        <f>IF($A725="","",SUMIFS('Таблиця 1'!$K:$K,'Таблиця 1'!$B:$B,$A725,'Таблиця 1'!$I:$I,"Mirage",'Таблиця 1'!$J:$J,"GBU-39")+SUMIFS('Таблиця 1'!$K:$K,'Таблиця 1'!$B:$B,$A725,'Таблиця 1'!$I:$I,"F-16",'Таблиця 1'!$J:$J,"GBU-39")+SUMIFS('Таблиця 1'!$K:$K,'Таблиця 1'!$B:$B,$A725,'Таблиця 1'!$I:$I,"МіГ-29",'Таблиця 1'!$J:$J,"GBU-39")+SUMIFS('Таблиця 1'!$K:$K,'Таблиця 1'!$B:$B,$A725,'Таблиця 1'!$I:$I,"Су-25",'Таблиця 1'!$J:$J,"GBU-39")+SUMIFS('Таблиця 1'!$K:$K,'Таблиця 1'!$B:$B,$A725,'Таблиця 1'!$I:$I,"Су-27",'Таблиця 1'!$J:$J,"GBU-39"))</f>
        <v/>
      </c>
      <c r="K725">
        <f>IF($A725="","",SUMIFS('Таблиця 1'!$K:$K,'Таблиця 1'!$B:$B,$A725,'Таблиця 1'!$I:$I,"Mirage",'Таблиця 1'!$J:$J,"BLU-140")+SUMIFS('Таблиця 1'!$K:$K,'Таблиця 1'!$B:$B,$A725,'Таблиця 1'!$I:$I,"F-16",'Таблиця 1'!$J:$J,"BLU-140")+SUMIFS('Таблиця 1'!$K:$K,'Таблиця 1'!$B:$B,$A725,'Таблиця 1'!$I:$I,"МіГ-29",'Таблиця 1'!$J:$J,"BLU-140")+SUMIFS('Таблиця 1'!$K:$K,'Таблиця 1'!$B:$B,$A725,'Таблиця 1'!$I:$I,"Су-25",'Таблиця 1'!$J:$J,"BLU-140")+SUMIFS('Таблиця 1'!$K:$K,'Таблиця 1'!$B:$B,$A725,'Таблиця 1'!$I:$I,"Су-27",'Таблиця 1'!$J:$J,"BLU-140"))</f>
        <v/>
      </c>
      <c r="L725">
        <f>IF($A725="","",SUMIFS('Таблиця 1'!$K:$K,'Таблиця 1'!$B:$B,$A725,'Таблиця 1'!$I:$I,"Mirage",'Таблиця 1'!$J:$J,"GBU-65")+SUMIFS('Таблиця 1'!$K:$K,'Таблиця 1'!$B:$B,$A725,'Таблиця 1'!$I:$I,"F-16",'Таблиця 1'!$J:$J,"GBU-65")+SUMIFS('Таблиця 1'!$K:$K,'Таблиця 1'!$B:$B,$A725,'Таблиця 1'!$I:$I,"МіГ-29",'Таблиця 1'!$J:$J,"GBU-65")+SUMIFS('Таблиця 1'!$K:$K,'Таблиця 1'!$B:$B,$A725,'Таблиця 1'!$I:$I,"Су-25",'Таблиця 1'!$J:$J,"GBU-65")+SUMIFS('Таблиця 1'!$K:$K,'Таблиця 1'!$B:$B,$A725,'Таблиця 1'!$I:$I,"Су-27",'Таблиця 1'!$J:$J,"GBU-65"))</f>
        <v/>
      </c>
      <c r="M725">
        <f>IF($A725="","",SUMIFS('Таблиця 1'!$K:$K,'Таблиця 1'!$B:$B,$A725,'Таблиця 1'!$I:$I,"Mirage",'Таблиця 1'!$J:$J,"GBU-62")+SUMIFS('Таблиця 1'!$K:$K,'Таблиця 1'!$B:$B,$A725,'Таблиця 1'!$I:$I,"F-16",'Таблиця 1'!$J:$J,"GBU-62")+SUMIFS('Таблиця 1'!$K:$K,'Таблиця 1'!$B:$B,$A725,'Таблиця 1'!$I:$I,"МіГ-29",'Таблиця 1'!$J:$J,"GBU-62")+SUMIFS('Таблиця 1'!$K:$K,'Таблиця 1'!$B:$B,$A725,'Таблиця 1'!$I:$I,"Су-25",'Таблиця 1'!$J:$J,"GBU-62")+SUMIFS('Таблиця 1'!$K:$K,'Таблиця 1'!$B:$B,$A725,'Таблиця 1'!$I:$I,"Су-27",'Таблиця 1'!$J:$J,"GBU-62"))</f>
        <v/>
      </c>
      <c r="N725">
        <f>IF($A725="","",SUMIFS('Таблиця 1'!$K:$K,'Таблиця 1'!$B:$B,$A725,'Таблиця 1'!$I:$I,"Mirage",'Таблиця 1'!$J:$J,"GBU-64")+SUMIFS('Таблиця 1'!$K:$K,'Таблиця 1'!$B:$B,$A725,'Таблиця 1'!$I:$I,"F-16",'Таблиця 1'!$J:$J,"GBU-64")+SUMIFS('Таблиця 1'!$K:$K,'Таблиця 1'!$B:$B,$A725,'Таблиця 1'!$I:$I,"МіГ-29",'Таблиця 1'!$J:$J,"GBU-64")+SUMIFS('Таблиця 1'!$K:$K,'Таблиця 1'!$B:$B,$A725,'Таблиця 1'!$I:$I,"Су-25",'Таблиця 1'!$J:$J,"GBU-64")+SUMIFS('Таблиця 1'!$K:$K,'Таблиця 1'!$B:$B,$A725,'Таблиця 1'!$I:$I,"Су-27",'Таблиця 1'!$J:$J,"GBU-64"))</f>
        <v/>
      </c>
      <c r="O725">
        <f>IF($A725="","",SUMIFS('Таблиця 1'!$K:$K,'Таблиця 1'!$B:$B,$A725,'Таблиця 1'!$I:$I,"Mirage",'Таблиця 1'!$J:$J,"C-13")+SUMIFS('Таблиця 1'!$K:$K,'Таблиця 1'!$B:$B,$A725,'Таблиця 1'!$I:$I,"F-16",'Таблиця 1'!$J:$J,"C-13")+SUMIFS('Таблиця 1'!$K:$K,'Таблиця 1'!$B:$B,$A725,'Таблиця 1'!$I:$I,"МіГ-29",'Таблиця 1'!$J:$J,"C-13")+SUMIFS('Таблиця 1'!$K:$K,'Таблиця 1'!$B:$B,$A725,'Таблиця 1'!$I:$I,"Су-25",'Таблиця 1'!$J:$J,"C-13")+SUMIFS('Таблиця 1'!$K:$K,'Таблиця 1'!$B:$B,$A725,'Таблиця 1'!$I:$I,"Су-27",'Таблиця 1'!$J:$J,"C-13"))</f>
        <v/>
      </c>
      <c r="P725">
        <f>IF($A725="","",SUMIFS('Таблиця 1'!$K:$K,'Таблиця 1'!$B:$B,$A725,'Таблиця 1'!$I:$I,"Mirage",'Таблиця 1'!$J:$J,"MK-32")+SUMIFS('Таблиця 1'!$K:$K,'Таблиця 1'!$B:$B,$A725,'Таблиця 1'!$I:$I,"F-16",'Таблиця 1'!$J:$J,"MK-32")+SUMIFS('Таблиця 1'!$K:$K,'Таблиця 1'!$B:$B,$A725,'Таблиця 1'!$I:$I,"МіГ-29",'Таблиця 1'!$J:$J,"MK-32")+SUMIFS('Таблиця 1'!$K:$K,'Таблиця 1'!$B:$B,$A725,'Таблиця 1'!$I:$I,"Су-25",'Таблиця 1'!$J:$J,"MK-32")+SUMIFS('Таблиця 1'!$K:$K,'Таблиця 1'!$B:$B,$A725,'Таблиця 1'!$I:$I,"Су-27",'Таблиця 1'!$J:$J,"MK-32"))</f>
        <v/>
      </c>
      <c r="Q725">
        <f>IF($A725="","",SUMIFS('Таблиця 1'!$K:$K,'Таблиця 1'!$B:$B,$A725,'Таблиця 1'!$I:$I,"Mirage",'Таблиця 1'!$J:$J,"MK-24")+SUMIFS('Таблиця 1'!$K:$K,'Таблиця 1'!$B:$B,$A725,'Таблиця 1'!$I:$I,"F-16",'Таблиця 1'!$J:$J,"MK-24")+SUMIFS('Таблиця 1'!$K:$K,'Таблиця 1'!$B:$B,$A725,'Таблиця 1'!$I:$I,"МіГ-29",'Таблиця 1'!$J:$J,"MK-24")+SUMIFS('Таблиця 1'!$K:$K,'Таблиця 1'!$B:$B,$A725,'Таблиця 1'!$I:$I,"Су-25",'Таблиця 1'!$J:$J,"MK-24")+SUMIFS('Таблиця 1'!$K:$K,'Таблиця 1'!$B:$B,$A725,'Таблиця 1'!$I:$I,"Су-27",'Таблиця 1'!$J:$J,"MK-24"))</f>
        <v/>
      </c>
      <c r="R725">
        <f>IF($A725="","",COUNTIFS('Таблиця 1'!$B:$B,$A725,'Таблиця 1'!$I:$I,"Mirage",'Таблиця 1'!$L:$L,"Уражено")+COUNTIFS('Таблиця 1'!$B:$B,$A725,'Таблиця 1'!$I:$I,"F-16",'Таблиця 1'!$L:$L,"Уражено")+COUNTIFS('Таблиця 1'!$B:$B,$A725,'Таблиця 1'!$I:$I,"МіГ-29",'Таблиця 1'!$L:$L,"Уражено")+COUNTIFS('Таблиця 1'!$B:$B,$A725,'Таблиця 1'!$I:$I,"Су-25",'Таблиця 1'!$L:$L,"Уражено")+COUNTIFS('Таблиця 1'!$B:$B,$A725,'Таблиця 1'!$I:$I,"Су-27",'Таблиця 1'!$L:$L,"Уражено"))</f>
        <v/>
      </c>
      <c r="S725">
        <f>IF($A725="","",COUNTIFS('Таблиця 1'!$B:$B,$A725,'Таблиця 1'!$I:$I,"Mirage",'Таблиця 1'!$L:$L,"НЕ уражено")+COUNTIFS('Таблиця 1'!$B:$B,$A725,'Таблиця 1'!$I:$I,"F-16",'Таблиця 1'!$L:$L,"НЕ уражено")+COUNTIFS('Таблиця 1'!$B:$B,$A725,'Таблиця 1'!$I:$I,"МіГ-29",'Таблиця 1'!$L:$L,"НЕ уражено")+COUNTIFS('Таблиця 1'!$B:$B,$A725,'Таблиця 1'!$I:$I,"Су-25",'Таблиця 1'!$L:$L,"НЕ уражено")+COUNTIFS('Таблиця 1'!$B:$B,$A725,'Таблиця 1'!$I:$I,"Су-27",'Таблиця 1'!$L:$L,"НЕ уражено"))</f>
        <v/>
      </c>
      <c r="T725">
        <f>IF($A725="","",COUNTIFS('Таблиця 1'!$B:$B,$A725,'Таблиця 1'!$I:$I,"Mirage",'Таблиця 1'!$L:$L,"Дорозвідується")+COUNTIFS('Таблиця 1'!$B:$B,$A725,'Таблиця 1'!$I:$I,"F-16",'Таблиця 1'!$L:$L,"Дорозвідується")+COUNTIFS('Таблиця 1'!$B:$B,$A725,'Таблиця 1'!$I:$I,"МіГ-29",'Таблиця 1'!$L:$L,"Дорозвідується")+COUNTIFS('Таблиця 1'!$B:$B,$A725,'Таблиця 1'!$I:$I,"Су-25",'Таблиця 1'!$L:$L,"Дорозвідується")+COUNTIFS('Таблиця 1'!$B:$B,$A725,'Таблиця 1'!$I:$I,"Су-27",'Таблиця 1'!$L:$L,"Дорозвідується"))</f>
        <v/>
      </c>
    </row>
    <row r="726">
      <c r="A726" s="273">
        <f>IF(A725="","",IF(A725+1&gt;MAX('Таблиця 1'!$B:$B),"",A725+1))</f>
        <v/>
      </c>
      <c r="B726">
        <f>IF($A726="","",COUNTIFS('Таблиця 1'!$B:$B,$A726,'Таблиця 1'!$I:$I,"Mirage")+COUNTIFS('Таблиця 1'!$B:$B,$A726,'Таблиця 1'!$I:$I,"F-16")+COUNTIFS('Таблиця 1'!$B:$B,$A726,'Таблиця 1'!$I:$I,"МіГ-29")+COUNTIFS('Таблиця 1'!$B:$B,$A726,'Таблиця 1'!$I:$I,"Су-25")+COUNTIFS('Таблиця 1'!$B:$B,$A726,'Таблиця 1'!$I:$I,"Су-27"))</f>
        <v/>
      </c>
      <c r="C726">
        <f>IF($A726="","",COUNTIFS('Таблиця 1'!$B:$B,$A726,'Таблиця 1'!$I:$I,"Mirage"))</f>
        <v/>
      </c>
      <c r="D726">
        <f>IF($A726="","",COUNTIFS('Таблиця 1'!$B:$B,$A726,'Таблиця 1'!$I:$I,"F-16"))</f>
        <v/>
      </c>
      <c r="E726">
        <f>IF($A726="","",COUNTIFS('Таблиця 1'!$B:$B,$A726,'Таблиця 1'!$I:$I,"МіГ-29"))</f>
        <v/>
      </c>
      <c r="F726">
        <f>IF($A726="","",COUNTIFS('Таблиця 1'!$B:$B,$A726,'Таблиця 1'!$I:$I,"Су-25"))</f>
        <v/>
      </c>
      <c r="G726">
        <f>IF($A726="","",COUNTIFS('Таблиця 1'!$B:$B,$A726,'Таблиця 1'!$I:$I,"Су-27"))</f>
        <v/>
      </c>
      <c r="H726">
        <f>IF($A726="","",SUMIFS('Таблиця 1'!$K:$K,'Таблиця 1'!$B:$B,$A726,'Таблиця 1'!$I:$I,"Mirage",'Таблиця 1'!$J:$J,"AGM-88")+SUMIFS('Таблиця 1'!$K:$K,'Таблиця 1'!$B:$B,$A726,'Таблиця 1'!$I:$I,"F-16",'Таблиця 1'!$J:$J,"AGM-88")+SUMIFS('Таблиця 1'!$K:$K,'Таблиця 1'!$B:$B,$A726,'Таблиця 1'!$I:$I,"МіГ-29",'Таблиця 1'!$J:$J,"AGM-88")+SUMIFS('Таблиця 1'!$K:$K,'Таблиця 1'!$B:$B,$A726,'Таблиця 1'!$I:$I,"Су-25",'Таблиця 1'!$J:$J,"AGM-88")+SUMIFS('Таблиця 1'!$K:$K,'Таблиця 1'!$B:$B,$A726,'Таблиця 1'!$I:$I,"Су-27",'Таблиця 1'!$J:$J,"AGM-88"))</f>
        <v/>
      </c>
      <c r="I726">
        <f>IF($A726="","",SUMIFS('Таблиця 1'!$K:$K,'Таблиця 1'!$B:$B,$A726,'Таблиця 1'!$I:$I,"Mirage",'Таблиця 1'!$J:$J,"AASM-250")+SUMIFS('Таблиця 1'!$K:$K,'Таблиця 1'!$B:$B,$A726,'Таблиця 1'!$I:$I,"F-16",'Таблиця 1'!$J:$J,"AASM-250")+SUMIFS('Таблиця 1'!$K:$K,'Таблиця 1'!$B:$B,$A726,'Таблиця 1'!$I:$I,"МіГ-29",'Таблиця 1'!$J:$J,"AASM-250")+SUMIFS('Таблиця 1'!$K:$K,'Таблиця 1'!$B:$B,$A726,'Таблиця 1'!$I:$I,"Су-25",'Таблиця 1'!$J:$J,"AASM-250")+SUMIFS('Таблиця 1'!$K:$K,'Таблиця 1'!$B:$B,$A726,'Таблиця 1'!$I:$I,"Су-27",'Таблиця 1'!$J:$J,"AASM-250"))</f>
        <v/>
      </c>
      <c r="J726">
        <f>IF($A726="","",SUMIFS('Таблиця 1'!$K:$K,'Таблиця 1'!$B:$B,$A726,'Таблиця 1'!$I:$I,"Mirage",'Таблиця 1'!$J:$J,"GBU-39")+SUMIFS('Таблиця 1'!$K:$K,'Таблиця 1'!$B:$B,$A726,'Таблиця 1'!$I:$I,"F-16",'Таблиця 1'!$J:$J,"GBU-39")+SUMIFS('Таблиця 1'!$K:$K,'Таблиця 1'!$B:$B,$A726,'Таблиця 1'!$I:$I,"МіГ-29",'Таблиця 1'!$J:$J,"GBU-39")+SUMIFS('Таблиця 1'!$K:$K,'Таблиця 1'!$B:$B,$A726,'Таблиця 1'!$I:$I,"Су-25",'Таблиця 1'!$J:$J,"GBU-39")+SUMIFS('Таблиця 1'!$K:$K,'Таблиця 1'!$B:$B,$A726,'Таблиця 1'!$I:$I,"Су-27",'Таблиця 1'!$J:$J,"GBU-39"))</f>
        <v/>
      </c>
      <c r="K726">
        <f>IF($A726="","",SUMIFS('Таблиця 1'!$K:$K,'Таблиця 1'!$B:$B,$A726,'Таблиця 1'!$I:$I,"Mirage",'Таблиця 1'!$J:$J,"BLU-140")+SUMIFS('Таблиця 1'!$K:$K,'Таблиця 1'!$B:$B,$A726,'Таблиця 1'!$I:$I,"F-16",'Таблиця 1'!$J:$J,"BLU-140")+SUMIFS('Таблиця 1'!$K:$K,'Таблиця 1'!$B:$B,$A726,'Таблиця 1'!$I:$I,"МіГ-29",'Таблиця 1'!$J:$J,"BLU-140")+SUMIFS('Таблиця 1'!$K:$K,'Таблиця 1'!$B:$B,$A726,'Таблиця 1'!$I:$I,"Су-25",'Таблиця 1'!$J:$J,"BLU-140")+SUMIFS('Таблиця 1'!$K:$K,'Таблиця 1'!$B:$B,$A726,'Таблиця 1'!$I:$I,"Су-27",'Таблиця 1'!$J:$J,"BLU-140"))</f>
        <v/>
      </c>
      <c r="L726">
        <f>IF($A726="","",SUMIFS('Таблиця 1'!$K:$K,'Таблиця 1'!$B:$B,$A726,'Таблиця 1'!$I:$I,"Mirage",'Таблиця 1'!$J:$J,"GBU-65")+SUMIFS('Таблиця 1'!$K:$K,'Таблиця 1'!$B:$B,$A726,'Таблиця 1'!$I:$I,"F-16",'Таблиця 1'!$J:$J,"GBU-65")+SUMIFS('Таблиця 1'!$K:$K,'Таблиця 1'!$B:$B,$A726,'Таблиця 1'!$I:$I,"МіГ-29",'Таблиця 1'!$J:$J,"GBU-65")+SUMIFS('Таблиця 1'!$K:$K,'Таблиця 1'!$B:$B,$A726,'Таблиця 1'!$I:$I,"Су-25",'Таблиця 1'!$J:$J,"GBU-65")+SUMIFS('Таблиця 1'!$K:$K,'Таблиця 1'!$B:$B,$A726,'Таблиця 1'!$I:$I,"Су-27",'Таблиця 1'!$J:$J,"GBU-65"))</f>
        <v/>
      </c>
      <c r="M726">
        <f>IF($A726="","",SUMIFS('Таблиця 1'!$K:$K,'Таблиця 1'!$B:$B,$A726,'Таблиця 1'!$I:$I,"Mirage",'Таблиця 1'!$J:$J,"GBU-62")+SUMIFS('Таблиця 1'!$K:$K,'Таблиця 1'!$B:$B,$A726,'Таблиця 1'!$I:$I,"F-16",'Таблиця 1'!$J:$J,"GBU-62")+SUMIFS('Таблиця 1'!$K:$K,'Таблиця 1'!$B:$B,$A726,'Таблиця 1'!$I:$I,"МіГ-29",'Таблиця 1'!$J:$J,"GBU-62")+SUMIFS('Таблиця 1'!$K:$K,'Таблиця 1'!$B:$B,$A726,'Таблиця 1'!$I:$I,"Су-25",'Таблиця 1'!$J:$J,"GBU-62")+SUMIFS('Таблиця 1'!$K:$K,'Таблиця 1'!$B:$B,$A726,'Таблиця 1'!$I:$I,"Су-27",'Таблиця 1'!$J:$J,"GBU-62"))</f>
        <v/>
      </c>
      <c r="N726">
        <f>IF($A726="","",SUMIFS('Таблиця 1'!$K:$K,'Таблиця 1'!$B:$B,$A726,'Таблиця 1'!$I:$I,"Mirage",'Таблиця 1'!$J:$J,"GBU-64")+SUMIFS('Таблиця 1'!$K:$K,'Таблиця 1'!$B:$B,$A726,'Таблиця 1'!$I:$I,"F-16",'Таблиця 1'!$J:$J,"GBU-64")+SUMIFS('Таблиця 1'!$K:$K,'Таблиця 1'!$B:$B,$A726,'Таблиця 1'!$I:$I,"МіГ-29",'Таблиця 1'!$J:$J,"GBU-64")+SUMIFS('Таблиця 1'!$K:$K,'Таблиця 1'!$B:$B,$A726,'Таблиця 1'!$I:$I,"Су-25",'Таблиця 1'!$J:$J,"GBU-64")+SUMIFS('Таблиця 1'!$K:$K,'Таблиця 1'!$B:$B,$A726,'Таблиця 1'!$I:$I,"Су-27",'Таблиця 1'!$J:$J,"GBU-64"))</f>
        <v/>
      </c>
      <c r="O726">
        <f>IF($A726="","",SUMIFS('Таблиця 1'!$K:$K,'Таблиця 1'!$B:$B,$A726,'Таблиця 1'!$I:$I,"Mirage",'Таблиця 1'!$J:$J,"C-13")+SUMIFS('Таблиця 1'!$K:$K,'Таблиця 1'!$B:$B,$A726,'Таблиця 1'!$I:$I,"F-16",'Таблиця 1'!$J:$J,"C-13")+SUMIFS('Таблиця 1'!$K:$K,'Таблиця 1'!$B:$B,$A726,'Таблиця 1'!$I:$I,"МіГ-29",'Таблиця 1'!$J:$J,"C-13")+SUMIFS('Таблиця 1'!$K:$K,'Таблиця 1'!$B:$B,$A726,'Таблиця 1'!$I:$I,"Су-25",'Таблиця 1'!$J:$J,"C-13")+SUMIFS('Таблиця 1'!$K:$K,'Таблиця 1'!$B:$B,$A726,'Таблиця 1'!$I:$I,"Су-27",'Таблиця 1'!$J:$J,"C-13"))</f>
        <v/>
      </c>
      <c r="P726">
        <f>IF($A726="","",SUMIFS('Таблиця 1'!$K:$K,'Таблиця 1'!$B:$B,$A726,'Таблиця 1'!$I:$I,"Mirage",'Таблиця 1'!$J:$J,"MK-32")+SUMIFS('Таблиця 1'!$K:$K,'Таблиця 1'!$B:$B,$A726,'Таблиця 1'!$I:$I,"F-16",'Таблиця 1'!$J:$J,"MK-32")+SUMIFS('Таблиця 1'!$K:$K,'Таблиця 1'!$B:$B,$A726,'Таблиця 1'!$I:$I,"МіГ-29",'Таблиця 1'!$J:$J,"MK-32")+SUMIFS('Таблиця 1'!$K:$K,'Таблиця 1'!$B:$B,$A726,'Таблиця 1'!$I:$I,"Су-25",'Таблиця 1'!$J:$J,"MK-32")+SUMIFS('Таблиця 1'!$K:$K,'Таблиця 1'!$B:$B,$A726,'Таблиця 1'!$I:$I,"Су-27",'Таблиця 1'!$J:$J,"MK-32"))</f>
        <v/>
      </c>
      <c r="Q726">
        <f>IF($A726="","",SUMIFS('Таблиця 1'!$K:$K,'Таблиця 1'!$B:$B,$A726,'Таблиця 1'!$I:$I,"Mirage",'Таблиця 1'!$J:$J,"MK-24")+SUMIFS('Таблиця 1'!$K:$K,'Таблиця 1'!$B:$B,$A726,'Таблиця 1'!$I:$I,"F-16",'Таблиця 1'!$J:$J,"MK-24")+SUMIFS('Таблиця 1'!$K:$K,'Таблиця 1'!$B:$B,$A726,'Таблиця 1'!$I:$I,"МіГ-29",'Таблиця 1'!$J:$J,"MK-24")+SUMIFS('Таблиця 1'!$K:$K,'Таблиця 1'!$B:$B,$A726,'Таблиця 1'!$I:$I,"Су-25",'Таблиця 1'!$J:$J,"MK-24")+SUMIFS('Таблиця 1'!$K:$K,'Таблиця 1'!$B:$B,$A726,'Таблиця 1'!$I:$I,"Су-27",'Таблиця 1'!$J:$J,"MK-24"))</f>
        <v/>
      </c>
      <c r="R726">
        <f>IF($A726="","",COUNTIFS('Таблиця 1'!$B:$B,$A726,'Таблиця 1'!$I:$I,"Mirage",'Таблиця 1'!$L:$L,"Уражено")+COUNTIFS('Таблиця 1'!$B:$B,$A726,'Таблиця 1'!$I:$I,"F-16",'Таблиця 1'!$L:$L,"Уражено")+COUNTIFS('Таблиця 1'!$B:$B,$A726,'Таблиця 1'!$I:$I,"МіГ-29",'Таблиця 1'!$L:$L,"Уражено")+COUNTIFS('Таблиця 1'!$B:$B,$A726,'Таблиця 1'!$I:$I,"Су-25",'Таблиця 1'!$L:$L,"Уражено")+COUNTIFS('Таблиця 1'!$B:$B,$A726,'Таблиця 1'!$I:$I,"Су-27",'Таблиця 1'!$L:$L,"Уражено"))</f>
        <v/>
      </c>
      <c r="S726">
        <f>IF($A726="","",COUNTIFS('Таблиця 1'!$B:$B,$A726,'Таблиця 1'!$I:$I,"Mirage",'Таблиця 1'!$L:$L,"НЕ уражено")+COUNTIFS('Таблиця 1'!$B:$B,$A726,'Таблиця 1'!$I:$I,"F-16",'Таблиця 1'!$L:$L,"НЕ уражено")+COUNTIFS('Таблиця 1'!$B:$B,$A726,'Таблиця 1'!$I:$I,"МіГ-29",'Таблиця 1'!$L:$L,"НЕ уражено")+COUNTIFS('Таблиця 1'!$B:$B,$A726,'Таблиця 1'!$I:$I,"Су-25",'Таблиця 1'!$L:$L,"НЕ уражено")+COUNTIFS('Таблиця 1'!$B:$B,$A726,'Таблиця 1'!$I:$I,"Су-27",'Таблиця 1'!$L:$L,"НЕ уражено"))</f>
        <v/>
      </c>
      <c r="T726">
        <f>IF($A726="","",COUNTIFS('Таблиця 1'!$B:$B,$A726,'Таблиця 1'!$I:$I,"Mirage",'Таблиця 1'!$L:$L,"Дорозвідується")+COUNTIFS('Таблиця 1'!$B:$B,$A726,'Таблиця 1'!$I:$I,"F-16",'Таблиця 1'!$L:$L,"Дорозвідується")+COUNTIFS('Таблиця 1'!$B:$B,$A726,'Таблиця 1'!$I:$I,"МіГ-29",'Таблиця 1'!$L:$L,"Дорозвідується")+COUNTIFS('Таблиця 1'!$B:$B,$A726,'Таблиця 1'!$I:$I,"Су-25",'Таблиця 1'!$L:$L,"Дорозвідується")+COUNTIFS('Таблиця 1'!$B:$B,$A726,'Таблиця 1'!$I:$I,"Су-27",'Таблиця 1'!$L:$L,"Дорозвідується"))</f>
        <v/>
      </c>
    </row>
    <row r="727">
      <c r="A727" s="273">
        <f>IF(A726="","",IF(A726+1&gt;MAX('Таблиця 1'!$B:$B),"",A726+1))</f>
        <v/>
      </c>
      <c r="B727">
        <f>IF($A727="","",COUNTIFS('Таблиця 1'!$B:$B,$A727,'Таблиця 1'!$I:$I,"Mirage")+COUNTIFS('Таблиця 1'!$B:$B,$A727,'Таблиця 1'!$I:$I,"F-16")+COUNTIFS('Таблиця 1'!$B:$B,$A727,'Таблиця 1'!$I:$I,"МіГ-29")+COUNTIFS('Таблиця 1'!$B:$B,$A727,'Таблиця 1'!$I:$I,"Су-25")+COUNTIFS('Таблиця 1'!$B:$B,$A727,'Таблиця 1'!$I:$I,"Су-27"))</f>
        <v/>
      </c>
      <c r="C727">
        <f>IF($A727="","",COUNTIFS('Таблиця 1'!$B:$B,$A727,'Таблиця 1'!$I:$I,"Mirage"))</f>
        <v/>
      </c>
      <c r="D727">
        <f>IF($A727="","",COUNTIFS('Таблиця 1'!$B:$B,$A727,'Таблиця 1'!$I:$I,"F-16"))</f>
        <v/>
      </c>
      <c r="E727">
        <f>IF($A727="","",COUNTIFS('Таблиця 1'!$B:$B,$A727,'Таблиця 1'!$I:$I,"МіГ-29"))</f>
        <v/>
      </c>
      <c r="F727">
        <f>IF($A727="","",COUNTIFS('Таблиця 1'!$B:$B,$A727,'Таблиця 1'!$I:$I,"Су-25"))</f>
        <v/>
      </c>
      <c r="G727">
        <f>IF($A727="","",COUNTIFS('Таблиця 1'!$B:$B,$A727,'Таблиця 1'!$I:$I,"Су-27"))</f>
        <v/>
      </c>
      <c r="H727">
        <f>IF($A727="","",SUMIFS('Таблиця 1'!$K:$K,'Таблиця 1'!$B:$B,$A727,'Таблиця 1'!$I:$I,"Mirage",'Таблиця 1'!$J:$J,"AGM-88")+SUMIFS('Таблиця 1'!$K:$K,'Таблиця 1'!$B:$B,$A727,'Таблиця 1'!$I:$I,"F-16",'Таблиця 1'!$J:$J,"AGM-88")+SUMIFS('Таблиця 1'!$K:$K,'Таблиця 1'!$B:$B,$A727,'Таблиця 1'!$I:$I,"МіГ-29",'Таблиця 1'!$J:$J,"AGM-88")+SUMIFS('Таблиця 1'!$K:$K,'Таблиця 1'!$B:$B,$A727,'Таблиця 1'!$I:$I,"Су-25",'Таблиця 1'!$J:$J,"AGM-88")+SUMIFS('Таблиця 1'!$K:$K,'Таблиця 1'!$B:$B,$A727,'Таблиця 1'!$I:$I,"Су-27",'Таблиця 1'!$J:$J,"AGM-88"))</f>
        <v/>
      </c>
      <c r="I727">
        <f>IF($A727="","",SUMIFS('Таблиця 1'!$K:$K,'Таблиця 1'!$B:$B,$A727,'Таблиця 1'!$I:$I,"Mirage",'Таблиця 1'!$J:$J,"AASM-250")+SUMIFS('Таблиця 1'!$K:$K,'Таблиця 1'!$B:$B,$A727,'Таблиця 1'!$I:$I,"F-16",'Таблиця 1'!$J:$J,"AASM-250")+SUMIFS('Таблиця 1'!$K:$K,'Таблиця 1'!$B:$B,$A727,'Таблиця 1'!$I:$I,"МіГ-29",'Таблиця 1'!$J:$J,"AASM-250")+SUMIFS('Таблиця 1'!$K:$K,'Таблиця 1'!$B:$B,$A727,'Таблиця 1'!$I:$I,"Су-25",'Таблиця 1'!$J:$J,"AASM-250")+SUMIFS('Таблиця 1'!$K:$K,'Таблиця 1'!$B:$B,$A727,'Таблиця 1'!$I:$I,"Су-27",'Таблиця 1'!$J:$J,"AASM-250"))</f>
        <v/>
      </c>
      <c r="J727">
        <f>IF($A727="","",SUMIFS('Таблиця 1'!$K:$K,'Таблиця 1'!$B:$B,$A727,'Таблиця 1'!$I:$I,"Mirage",'Таблиця 1'!$J:$J,"GBU-39")+SUMIFS('Таблиця 1'!$K:$K,'Таблиця 1'!$B:$B,$A727,'Таблиця 1'!$I:$I,"F-16",'Таблиця 1'!$J:$J,"GBU-39")+SUMIFS('Таблиця 1'!$K:$K,'Таблиця 1'!$B:$B,$A727,'Таблиця 1'!$I:$I,"МіГ-29",'Таблиця 1'!$J:$J,"GBU-39")+SUMIFS('Таблиця 1'!$K:$K,'Таблиця 1'!$B:$B,$A727,'Таблиця 1'!$I:$I,"Су-25",'Таблиця 1'!$J:$J,"GBU-39")+SUMIFS('Таблиця 1'!$K:$K,'Таблиця 1'!$B:$B,$A727,'Таблиця 1'!$I:$I,"Су-27",'Таблиця 1'!$J:$J,"GBU-39"))</f>
        <v/>
      </c>
      <c r="K727">
        <f>IF($A727="","",SUMIFS('Таблиця 1'!$K:$K,'Таблиця 1'!$B:$B,$A727,'Таблиця 1'!$I:$I,"Mirage",'Таблиця 1'!$J:$J,"BLU-140")+SUMIFS('Таблиця 1'!$K:$K,'Таблиця 1'!$B:$B,$A727,'Таблиця 1'!$I:$I,"F-16",'Таблиця 1'!$J:$J,"BLU-140")+SUMIFS('Таблиця 1'!$K:$K,'Таблиця 1'!$B:$B,$A727,'Таблиця 1'!$I:$I,"МіГ-29",'Таблиця 1'!$J:$J,"BLU-140")+SUMIFS('Таблиця 1'!$K:$K,'Таблиця 1'!$B:$B,$A727,'Таблиця 1'!$I:$I,"Су-25",'Таблиця 1'!$J:$J,"BLU-140")+SUMIFS('Таблиця 1'!$K:$K,'Таблиця 1'!$B:$B,$A727,'Таблиця 1'!$I:$I,"Су-27",'Таблиця 1'!$J:$J,"BLU-140"))</f>
        <v/>
      </c>
      <c r="L727">
        <f>IF($A727="","",SUMIFS('Таблиця 1'!$K:$K,'Таблиця 1'!$B:$B,$A727,'Таблиця 1'!$I:$I,"Mirage",'Таблиця 1'!$J:$J,"GBU-65")+SUMIFS('Таблиця 1'!$K:$K,'Таблиця 1'!$B:$B,$A727,'Таблиця 1'!$I:$I,"F-16",'Таблиця 1'!$J:$J,"GBU-65")+SUMIFS('Таблиця 1'!$K:$K,'Таблиця 1'!$B:$B,$A727,'Таблиця 1'!$I:$I,"МіГ-29",'Таблиця 1'!$J:$J,"GBU-65")+SUMIFS('Таблиця 1'!$K:$K,'Таблиця 1'!$B:$B,$A727,'Таблиця 1'!$I:$I,"Су-25",'Таблиця 1'!$J:$J,"GBU-65")+SUMIFS('Таблиця 1'!$K:$K,'Таблиця 1'!$B:$B,$A727,'Таблиця 1'!$I:$I,"Су-27",'Таблиця 1'!$J:$J,"GBU-65"))</f>
        <v/>
      </c>
      <c r="M727">
        <f>IF($A727="","",SUMIFS('Таблиця 1'!$K:$K,'Таблиця 1'!$B:$B,$A727,'Таблиця 1'!$I:$I,"Mirage",'Таблиця 1'!$J:$J,"GBU-62")+SUMIFS('Таблиця 1'!$K:$K,'Таблиця 1'!$B:$B,$A727,'Таблиця 1'!$I:$I,"F-16",'Таблиця 1'!$J:$J,"GBU-62")+SUMIFS('Таблиця 1'!$K:$K,'Таблиця 1'!$B:$B,$A727,'Таблиця 1'!$I:$I,"МіГ-29",'Таблиця 1'!$J:$J,"GBU-62")+SUMIFS('Таблиця 1'!$K:$K,'Таблиця 1'!$B:$B,$A727,'Таблиця 1'!$I:$I,"Су-25",'Таблиця 1'!$J:$J,"GBU-62")+SUMIFS('Таблиця 1'!$K:$K,'Таблиця 1'!$B:$B,$A727,'Таблиця 1'!$I:$I,"Су-27",'Таблиця 1'!$J:$J,"GBU-62"))</f>
        <v/>
      </c>
      <c r="N727">
        <f>IF($A727="","",SUMIFS('Таблиця 1'!$K:$K,'Таблиця 1'!$B:$B,$A727,'Таблиця 1'!$I:$I,"Mirage",'Таблиця 1'!$J:$J,"GBU-64")+SUMIFS('Таблиця 1'!$K:$K,'Таблиця 1'!$B:$B,$A727,'Таблиця 1'!$I:$I,"F-16",'Таблиця 1'!$J:$J,"GBU-64")+SUMIFS('Таблиця 1'!$K:$K,'Таблиця 1'!$B:$B,$A727,'Таблиця 1'!$I:$I,"МіГ-29",'Таблиця 1'!$J:$J,"GBU-64")+SUMIFS('Таблиця 1'!$K:$K,'Таблиця 1'!$B:$B,$A727,'Таблиця 1'!$I:$I,"Су-25",'Таблиця 1'!$J:$J,"GBU-64")+SUMIFS('Таблиця 1'!$K:$K,'Таблиця 1'!$B:$B,$A727,'Таблиця 1'!$I:$I,"Су-27",'Таблиця 1'!$J:$J,"GBU-64"))</f>
        <v/>
      </c>
      <c r="O727">
        <f>IF($A727="","",SUMIFS('Таблиця 1'!$K:$K,'Таблиця 1'!$B:$B,$A727,'Таблиця 1'!$I:$I,"Mirage",'Таблиця 1'!$J:$J,"C-13")+SUMIFS('Таблиця 1'!$K:$K,'Таблиця 1'!$B:$B,$A727,'Таблиця 1'!$I:$I,"F-16",'Таблиця 1'!$J:$J,"C-13")+SUMIFS('Таблиця 1'!$K:$K,'Таблиця 1'!$B:$B,$A727,'Таблиця 1'!$I:$I,"МіГ-29",'Таблиця 1'!$J:$J,"C-13")+SUMIFS('Таблиця 1'!$K:$K,'Таблиця 1'!$B:$B,$A727,'Таблиця 1'!$I:$I,"Су-25",'Таблиця 1'!$J:$J,"C-13")+SUMIFS('Таблиця 1'!$K:$K,'Таблиця 1'!$B:$B,$A727,'Таблиця 1'!$I:$I,"Су-27",'Таблиця 1'!$J:$J,"C-13"))</f>
        <v/>
      </c>
      <c r="P727">
        <f>IF($A727="","",SUMIFS('Таблиця 1'!$K:$K,'Таблиця 1'!$B:$B,$A727,'Таблиця 1'!$I:$I,"Mirage",'Таблиця 1'!$J:$J,"MK-32")+SUMIFS('Таблиця 1'!$K:$K,'Таблиця 1'!$B:$B,$A727,'Таблиця 1'!$I:$I,"F-16",'Таблиця 1'!$J:$J,"MK-32")+SUMIFS('Таблиця 1'!$K:$K,'Таблиця 1'!$B:$B,$A727,'Таблиця 1'!$I:$I,"МіГ-29",'Таблиця 1'!$J:$J,"MK-32")+SUMIFS('Таблиця 1'!$K:$K,'Таблиця 1'!$B:$B,$A727,'Таблиця 1'!$I:$I,"Су-25",'Таблиця 1'!$J:$J,"MK-32")+SUMIFS('Таблиця 1'!$K:$K,'Таблиця 1'!$B:$B,$A727,'Таблиця 1'!$I:$I,"Су-27",'Таблиця 1'!$J:$J,"MK-32"))</f>
        <v/>
      </c>
      <c r="Q727">
        <f>IF($A727="","",SUMIFS('Таблиця 1'!$K:$K,'Таблиця 1'!$B:$B,$A727,'Таблиця 1'!$I:$I,"Mirage",'Таблиця 1'!$J:$J,"MK-24")+SUMIFS('Таблиця 1'!$K:$K,'Таблиця 1'!$B:$B,$A727,'Таблиця 1'!$I:$I,"F-16",'Таблиця 1'!$J:$J,"MK-24")+SUMIFS('Таблиця 1'!$K:$K,'Таблиця 1'!$B:$B,$A727,'Таблиця 1'!$I:$I,"МіГ-29",'Таблиця 1'!$J:$J,"MK-24")+SUMIFS('Таблиця 1'!$K:$K,'Таблиця 1'!$B:$B,$A727,'Таблиця 1'!$I:$I,"Су-25",'Таблиця 1'!$J:$J,"MK-24")+SUMIFS('Таблиця 1'!$K:$K,'Таблиця 1'!$B:$B,$A727,'Таблиця 1'!$I:$I,"Су-27",'Таблиця 1'!$J:$J,"MK-24"))</f>
        <v/>
      </c>
      <c r="R727">
        <f>IF($A727="","",COUNTIFS('Таблиця 1'!$B:$B,$A727,'Таблиця 1'!$I:$I,"Mirage",'Таблиця 1'!$L:$L,"Уражено")+COUNTIFS('Таблиця 1'!$B:$B,$A727,'Таблиця 1'!$I:$I,"F-16",'Таблиця 1'!$L:$L,"Уражено")+COUNTIFS('Таблиця 1'!$B:$B,$A727,'Таблиця 1'!$I:$I,"МіГ-29",'Таблиця 1'!$L:$L,"Уражено")+COUNTIFS('Таблиця 1'!$B:$B,$A727,'Таблиця 1'!$I:$I,"Су-25",'Таблиця 1'!$L:$L,"Уражено")+COUNTIFS('Таблиця 1'!$B:$B,$A727,'Таблиця 1'!$I:$I,"Су-27",'Таблиця 1'!$L:$L,"Уражено"))</f>
        <v/>
      </c>
      <c r="S727">
        <f>IF($A727="","",COUNTIFS('Таблиця 1'!$B:$B,$A727,'Таблиця 1'!$I:$I,"Mirage",'Таблиця 1'!$L:$L,"НЕ уражено")+COUNTIFS('Таблиця 1'!$B:$B,$A727,'Таблиця 1'!$I:$I,"F-16",'Таблиця 1'!$L:$L,"НЕ уражено")+COUNTIFS('Таблиця 1'!$B:$B,$A727,'Таблиця 1'!$I:$I,"МіГ-29",'Таблиця 1'!$L:$L,"НЕ уражено")+COUNTIFS('Таблиця 1'!$B:$B,$A727,'Таблиця 1'!$I:$I,"Су-25",'Таблиця 1'!$L:$L,"НЕ уражено")+COUNTIFS('Таблиця 1'!$B:$B,$A727,'Таблиця 1'!$I:$I,"Су-27",'Таблиця 1'!$L:$L,"НЕ уражено"))</f>
        <v/>
      </c>
      <c r="T727">
        <f>IF($A727="","",COUNTIFS('Таблиця 1'!$B:$B,$A727,'Таблиця 1'!$I:$I,"Mirage",'Таблиця 1'!$L:$L,"Дорозвідується")+COUNTIFS('Таблиця 1'!$B:$B,$A727,'Таблиця 1'!$I:$I,"F-16",'Таблиця 1'!$L:$L,"Дорозвідується")+COUNTIFS('Таблиця 1'!$B:$B,$A727,'Таблиця 1'!$I:$I,"МіГ-29",'Таблиця 1'!$L:$L,"Дорозвідується")+COUNTIFS('Таблиця 1'!$B:$B,$A727,'Таблиця 1'!$I:$I,"Су-25",'Таблиця 1'!$L:$L,"Дорозвідується")+COUNTIFS('Таблиця 1'!$B:$B,$A727,'Таблиця 1'!$I:$I,"Су-27",'Таблиця 1'!$L:$L,"Дорозвідується"))</f>
        <v/>
      </c>
    </row>
    <row r="728">
      <c r="A728" s="273">
        <f>IF(A727="","",IF(A727+1&gt;MAX('Таблиця 1'!$B:$B),"",A727+1))</f>
        <v/>
      </c>
      <c r="B728">
        <f>IF($A728="","",COUNTIFS('Таблиця 1'!$B:$B,$A728,'Таблиця 1'!$I:$I,"Mirage")+COUNTIFS('Таблиця 1'!$B:$B,$A728,'Таблиця 1'!$I:$I,"F-16")+COUNTIFS('Таблиця 1'!$B:$B,$A728,'Таблиця 1'!$I:$I,"МіГ-29")+COUNTIFS('Таблиця 1'!$B:$B,$A728,'Таблиця 1'!$I:$I,"Су-25")+COUNTIFS('Таблиця 1'!$B:$B,$A728,'Таблиця 1'!$I:$I,"Су-27"))</f>
        <v/>
      </c>
      <c r="C728">
        <f>IF($A728="","",COUNTIFS('Таблиця 1'!$B:$B,$A728,'Таблиця 1'!$I:$I,"Mirage"))</f>
        <v/>
      </c>
      <c r="D728">
        <f>IF($A728="","",COUNTIFS('Таблиця 1'!$B:$B,$A728,'Таблиця 1'!$I:$I,"F-16"))</f>
        <v/>
      </c>
      <c r="E728">
        <f>IF($A728="","",COUNTIFS('Таблиця 1'!$B:$B,$A728,'Таблиця 1'!$I:$I,"МіГ-29"))</f>
        <v/>
      </c>
      <c r="F728">
        <f>IF($A728="","",COUNTIFS('Таблиця 1'!$B:$B,$A728,'Таблиця 1'!$I:$I,"Су-25"))</f>
        <v/>
      </c>
      <c r="G728">
        <f>IF($A728="","",COUNTIFS('Таблиця 1'!$B:$B,$A728,'Таблиця 1'!$I:$I,"Су-27"))</f>
        <v/>
      </c>
      <c r="H728">
        <f>IF($A728="","",SUMIFS('Таблиця 1'!$K:$K,'Таблиця 1'!$B:$B,$A728,'Таблиця 1'!$I:$I,"Mirage",'Таблиця 1'!$J:$J,"AGM-88")+SUMIFS('Таблиця 1'!$K:$K,'Таблиця 1'!$B:$B,$A728,'Таблиця 1'!$I:$I,"F-16",'Таблиця 1'!$J:$J,"AGM-88")+SUMIFS('Таблиця 1'!$K:$K,'Таблиця 1'!$B:$B,$A728,'Таблиця 1'!$I:$I,"МіГ-29",'Таблиця 1'!$J:$J,"AGM-88")+SUMIFS('Таблиця 1'!$K:$K,'Таблиця 1'!$B:$B,$A728,'Таблиця 1'!$I:$I,"Су-25",'Таблиця 1'!$J:$J,"AGM-88")+SUMIFS('Таблиця 1'!$K:$K,'Таблиця 1'!$B:$B,$A728,'Таблиця 1'!$I:$I,"Су-27",'Таблиця 1'!$J:$J,"AGM-88"))</f>
        <v/>
      </c>
      <c r="I728">
        <f>IF($A728="","",SUMIFS('Таблиця 1'!$K:$K,'Таблиця 1'!$B:$B,$A728,'Таблиця 1'!$I:$I,"Mirage",'Таблиця 1'!$J:$J,"AASM-250")+SUMIFS('Таблиця 1'!$K:$K,'Таблиця 1'!$B:$B,$A728,'Таблиця 1'!$I:$I,"F-16",'Таблиця 1'!$J:$J,"AASM-250")+SUMIFS('Таблиця 1'!$K:$K,'Таблиця 1'!$B:$B,$A728,'Таблиця 1'!$I:$I,"МіГ-29",'Таблиця 1'!$J:$J,"AASM-250")+SUMIFS('Таблиця 1'!$K:$K,'Таблиця 1'!$B:$B,$A728,'Таблиця 1'!$I:$I,"Су-25",'Таблиця 1'!$J:$J,"AASM-250")+SUMIFS('Таблиця 1'!$K:$K,'Таблиця 1'!$B:$B,$A728,'Таблиця 1'!$I:$I,"Су-27",'Таблиця 1'!$J:$J,"AASM-250"))</f>
        <v/>
      </c>
      <c r="J728">
        <f>IF($A728="","",SUMIFS('Таблиця 1'!$K:$K,'Таблиця 1'!$B:$B,$A728,'Таблиця 1'!$I:$I,"Mirage",'Таблиця 1'!$J:$J,"GBU-39")+SUMIFS('Таблиця 1'!$K:$K,'Таблиця 1'!$B:$B,$A728,'Таблиця 1'!$I:$I,"F-16",'Таблиця 1'!$J:$J,"GBU-39")+SUMIFS('Таблиця 1'!$K:$K,'Таблиця 1'!$B:$B,$A728,'Таблиця 1'!$I:$I,"МіГ-29",'Таблиця 1'!$J:$J,"GBU-39")+SUMIFS('Таблиця 1'!$K:$K,'Таблиця 1'!$B:$B,$A728,'Таблиця 1'!$I:$I,"Су-25",'Таблиця 1'!$J:$J,"GBU-39")+SUMIFS('Таблиця 1'!$K:$K,'Таблиця 1'!$B:$B,$A728,'Таблиця 1'!$I:$I,"Су-27",'Таблиця 1'!$J:$J,"GBU-39"))</f>
        <v/>
      </c>
      <c r="K728">
        <f>IF($A728="","",SUMIFS('Таблиця 1'!$K:$K,'Таблиця 1'!$B:$B,$A728,'Таблиця 1'!$I:$I,"Mirage",'Таблиця 1'!$J:$J,"BLU-140")+SUMIFS('Таблиця 1'!$K:$K,'Таблиця 1'!$B:$B,$A728,'Таблиця 1'!$I:$I,"F-16",'Таблиця 1'!$J:$J,"BLU-140")+SUMIFS('Таблиця 1'!$K:$K,'Таблиця 1'!$B:$B,$A728,'Таблиця 1'!$I:$I,"МіГ-29",'Таблиця 1'!$J:$J,"BLU-140")+SUMIFS('Таблиця 1'!$K:$K,'Таблиця 1'!$B:$B,$A728,'Таблиця 1'!$I:$I,"Су-25",'Таблиця 1'!$J:$J,"BLU-140")+SUMIFS('Таблиця 1'!$K:$K,'Таблиця 1'!$B:$B,$A728,'Таблиця 1'!$I:$I,"Су-27",'Таблиця 1'!$J:$J,"BLU-140"))</f>
        <v/>
      </c>
      <c r="L728">
        <f>IF($A728="","",SUMIFS('Таблиця 1'!$K:$K,'Таблиця 1'!$B:$B,$A728,'Таблиця 1'!$I:$I,"Mirage",'Таблиця 1'!$J:$J,"GBU-65")+SUMIFS('Таблиця 1'!$K:$K,'Таблиця 1'!$B:$B,$A728,'Таблиця 1'!$I:$I,"F-16",'Таблиця 1'!$J:$J,"GBU-65")+SUMIFS('Таблиця 1'!$K:$K,'Таблиця 1'!$B:$B,$A728,'Таблиця 1'!$I:$I,"МіГ-29",'Таблиця 1'!$J:$J,"GBU-65")+SUMIFS('Таблиця 1'!$K:$K,'Таблиця 1'!$B:$B,$A728,'Таблиця 1'!$I:$I,"Су-25",'Таблиця 1'!$J:$J,"GBU-65")+SUMIFS('Таблиця 1'!$K:$K,'Таблиця 1'!$B:$B,$A728,'Таблиця 1'!$I:$I,"Су-27",'Таблиця 1'!$J:$J,"GBU-65"))</f>
        <v/>
      </c>
      <c r="M728">
        <f>IF($A728="","",SUMIFS('Таблиця 1'!$K:$K,'Таблиця 1'!$B:$B,$A728,'Таблиця 1'!$I:$I,"Mirage",'Таблиця 1'!$J:$J,"GBU-62")+SUMIFS('Таблиця 1'!$K:$K,'Таблиця 1'!$B:$B,$A728,'Таблиця 1'!$I:$I,"F-16",'Таблиця 1'!$J:$J,"GBU-62")+SUMIFS('Таблиця 1'!$K:$K,'Таблиця 1'!$B:$B,$A728,'Таблиця 1'!$I:$I,"МіГ-29",'Таблиця 1'!$J:$J,"GBU-62")+SUMIFS('Таблиця 1'!$K:$K,'Таблиця 1'!$B:$B,$A728,'Таблиця 1'!$I:$I,"Су-25",'Таблиця 1'!$J:$J,"GBU-62")+SUMIFS('Таблиця 1'!$K:$K,'Таблиця 1'!$B:$B,$A728,'Таблиця 1'!$I:$I,"Су-27",'Таблиця 1'!$J:$J,"GBU-62"))</f>
        <v/>
      </c>
      <c r="N728">
        <f>IF($A728="","",SUMIFS('Таблиця 1'!$K:$K,'Таблиця 1'!$B:$B,$A728,'Таблиця 1'!$I:$I,"Mirage",'Таблиця 1'!$J:$J,"GBU-64")+SUMIFS('Таблиця 1'!$K:$K,'Таблиця 1'!$B:$B,$A728,'Таблиця 1'!$I:$I,"F-16",'Таблиця 1'!$J:$J,"GBU-64")+SUMIFS('Таблиця 1'!$K:$K,'Таблиця 1'!$B:$B,$A728,'Таблиця 1'!$I:$I,"МіГ-29",'Таблиця 1'!$J:$J,"GBU-64")+SUMIFS('Таблиця 1'!$K:$K,'Таблиця 1'!$B:$B,$A728,'Таблиця 1'!$I:$I,"Су-25",'Таблиця 1'!$J:$J,"GBU-64")+SUMIFS('Таблиця 1'!$K:$K,'Таблиця 1'!$B:$B,$A728,'Таблиця 1'!$I:$I,"Су-27",'Таблиця 1'!$J:$J,"GBU-64"))</f>
        <v/>
      </c>
      <c r="O728">
        <f>IF($A728="","",SUMIFS('Таблиця 1'!$K:$K,'Таблиця 1'!$B:$B,$A728,'Таблиця 1'!$I:$I,"Mirage",'Таблиця 1'!$J:$J,"C-13")+SUMIFS('Таблиця 1'!$K:$K,'Таблиця 1'!$B:$B,$A728,'Таблиця 1'!$I:$I,"F-16",'Таблиця 1'!$J:$J,"C-13")+SUMIFS('Таблиця 1'!$K:$K,'Таблиця 1'!$B:$B,$A728,'Таблиця 1'!$I:$I,"МіГ-29",'Таблиця 1'!$J:$J,"C-13")+SUMIFS('Таблиця 1'!$K:$K,'Таблиця 1'!$B:$B,$A728,'Таблиця 1'!$I:$I,"Су-25",'Таблиця 1'!$J:$J,"C-13")+SUMIFS('Таблиця 1'!$K:$K,'Таблиця 1'!$B:$B,$A728,'Таблиця 1'!$I:$I,"Су-27",'Таблиця 1'!$J:$J,"C-13"))</f>
        <v/>
      </c>
      <c r="P728">
        <f>IF($A728="","",SUMIFS('Таблиця 1'!$K:$K,'Таблиця 1'!$B:$B,$A728,'Таблиця 1'!$I:$I,"Mirage",'Таблиця 1'!$J:$J,"MK-32")+SUMIFS('Таблиця 1'!$K:$K,'Таблиця 1'!$B:$B,$A728,'Таблиця 1'!$I:$I,"F-16",'Таблиця 1'!$J:$J,"MK-32")+SUMIFS('Таблиця 1'!$K:$K,'Таблиця 1'!$B:$B,$A728,'Таблиця 1'!$I:$I,"МіГ-29",'Таблиця 1'!$J:$J,"MK-32")+SUMIFS('Таблиця 1'!$K:$K,'Таблиця 1'!$B:$B,$A728,'Таблиця 1'!$I:$I,"Су-25",'Таблиця 1'!$J:$J,"MK-32")+SUMIFS('Таблиця 1'!$K:$K,'Таблиця 1'!$B:$B,$A728,'Таблиця 1'!$I:$I,"Су-27",'Таблиця 1'!$J:$J,"MK-32"))</f>
        <v/>
      </c>
      <c r="Q728">
        <f>IF($A728="","",SUMIFS('Таблиця 1'!$K:$K,'Таблиця 1'!$B:$B,$A728,'Таблиця 1'!$I:$I,"Mirage",'Таблиця 1'!$J:$J,"MK-24")+SUMIFS('Таблиця 1'!$K:$K,'Таблиця 1'!$B:$B,$A728,'Таблиця 1'!$I:$I,"F-16",'Таблиця 1'!$J:$J,"MK-24")+SUMIFS('Таблиця 1'!$K:$K,'Таблиця 1'!$B:$B,$A728,'Таблиця 1'!$I:$I,"МіГ-29",'Таблиця 1'!$J:$J,"MK-24")+SUMIFS('Таблиця 1'!$K:$K,'Таблиця 1'!$B:$B,$A728,'Таблиця 1'!$I:$I,"Су-25",'Таблиця 1'!$J:$J,"MK-24")+SUMIFS('Таблиця 1'!$K:$K,'Таблиця 1'!$B:$B,$A728,'Таблиця 1'!$I:$I,"Су-27",'Таблиця 1'!$J:$J,"MK-24"))</f>
        <v/>
      </c>
      <c r="R728">
        <f>IF($A728="","",COUNTIFS('Таблиця 1'!$B:$B,$A728,'Таблиця 1'!$I:$I,"Mirage",'Таблиця 1'!$L:$L,"Уражено")+COUNTIFS('Таблиця 1'!$B:$B,$A728,'Таблиця 1'!$I:$I,"F-16",'Таблиця 1'!$L:$L,"Уражено")+COUNTIFS('Таблиця 1'!$B:$B,$A728,'Таблиця 1'!$I:$I,"МіГ-29",'Таблиця 1'!$L:$L,"Уражено")+COUNTIFS('Таблиця 1'!$B:$B,$A728,'Таблиця 1'!$I:$I,"Су-25",'Таблиця 1'!$L:$L,"Уражено")+COUNTIFS('Таблиця 1'!$B:$B,$A728,'Таблиця 1'!$I:$I,"Су-27",'Таблиця 1'!$L:$L,"Уражено"))</f>
        <v/>
      </c>
      <c r="S728">
        <f>IF($A728="","",COUNTIFS('Таблиця 1'!$B:$B,$A728,'Таблиця 1'!$I:$I,"Mirage",'Таблиця 1'!$L:$L,"НЕ уражено")+COUNTIFS('Таблиця 1'!$B:$B,$A728,'Таблиця 1'!$I:$I,"F-16",'Таблиця 1'!$L:$L,"НЕ уражено")+COUNTIFS('Таблиця 1'!$B:$B,$A728,'Таблиця 1'!$I:$I,"МіГ-29",'Таблиця 1'!$L:$L,"НЕ уражено")+COUNTIFS('Таблиця 1'!$B:$B,$A728,'Таблиця 1'!$I:$I,"Су-25",'Таблиця 1'!$L:$L,"НЕ уражено")+COUNTIFS('Таблиця 1'!$B:$B,$A728,'Таблиця 1'!$I:$I,"Су-27",'Таблиця 1'!$L:$L,"НЕ уражено"))</f>
        <v/>
      </c>
      <c r="T728">
        <f>IF($A728="","",COUNTIFS('Таблиця 1'!$B:$B,$A728,'Таблиця 1'!$I:$I,"Mirage",'Таблиця 1'!$L:$L,"Дорозвідується")+COUNTIFS('Таблиця 1'!$B:$B,$A728,'Таблиця 1'!$I:$I,"F-16",'Таблиця 1'!$L:$L,"Дорозвідується")+COUNTIFS('Таблиця 1'!$B:$B,$A728,'Таблиця 1'!$I:$I,"МіГ-29",'Таблиця 1'!$L:$L,"Дорозвідується")+COUNTIFS('Таблиця 1'!$B:$B,$A728,'Таблиця 1'!$I:$I,"Су-25",'Таблиця 1'!$L:$L,"Дорозвідується")+COUNTIFS('Таблиця 1'!$B:$B,$A728,'Таблиця 1'!$I:$I,"Су-27",'Таблиця 1'!$L:$L,"Дорозвідується"))</f>
        <v/>
      </c>
    </row>
    <row r="729">
      <c r="A729" s="273">
        <f>IF(A728="","",IF(A728+1&gt;MAX('Таблиця 1'!$B:$B),"",A728+1))</f>
        <v/>
      </c>
      <c r="B729">
        <f>IF($A729="","",COUNTIFS('Таблиця 1'!$B:$B,$A729,'Таблиця 1'!$I:$I,"Mirage")+COUNTIFS('Таблиця 1'!$B:$B,$A729,'Таблиця 1'!$I:$I,"F-16")+COUNTIFS('Таблиця 1'!$B:$B,$A729,'Таблиця 1'!$I:$I,"МіГ-29")+COUNTIFS('Таблиця 1'!$B:$B,$A729,'Таблиця 1'!$I:$I,"Су-25")+COUNTIFS('Таблиця 1'!$B:$B,$A729,'Таблиця 1'!$I:$I,"Су-27"))</f>
        <v/>
      </c>
      <c r="C729">
        <f>IF($A729="","",COUNTIFS('Таблиця 1'!$B:$B,$A729,'Таблиця 1'!$I:$I,"Mirage"))</f>
        <v/>
      </c>
      <c r="D729">
        <f>IF($A729="","",COUNTIFS('Таблиця 1'!$B:$B,$A729,'Таблиця 1'!$I:$I,"F-16"))</f>
        <v/>
      </c>
      <c r="E729">
        <f>IF($A729="","",COUNTIFS('Таблиця 1'!$B:$B,$A729,'Таблиця 1'!$I:$I,"МіГ-29"))</f>
        <v/>
      </c>
      <c r="F729">
        <f>IF($A729="","",COUNTIFS('Таблиця 1'!$B:$B,$A729,'Таблиця 1'!$I:$I,"Су-25"))</f>
        <v/>
      </c>
      <c r="G729">
        <f>IF($A729="","",COUNTIFS('Таблиця 1'!$B:$B,$A729,'Таблиця 1'!$I:$I,"Су-27"))</f>
        <v/>
      </c>
      <c r="H729">
        <f>IF($A729="","",SUMIFS('Таблиця 1'!$K:$K,'Таблиця 1'!$B:$B,$A729,'Таблиця 1'!$I:$I,"Mirage",'Таблиця 1'!$J:$J,"AGM-88")+SUMIFS('Таблиця 1'!$K:$K,'Таблиця 1'!$B:$B,$A729,'Таблиця 1'!$I:$I,"F-16",'Таблиця 1'!$J:$J,"AGM-88")+SUMIFS('Таблиця 1'!$K:$K,'Таблиця 1'!$B:$B,$A729,'Таблиця 1'!$I:$I,"МіГ-29",'Таблиця 1'!$J:$J,"AGM-88")+SUMIFS('Таблиця 1'!$K:$K,'Таблиця 1'!$B:$B,$A729,'Таблиця 1'!$I:$I,"Су-25",'Таблиця 1'!$J:$J,"AGM-88")+SUMIFS('Таблиця 1'!$K:$K,'Таблиця 1'!$B:$B,$A729,'Таблиця 1'!$I:$I,"Су-27",'Таблиця 1'!$J:$J,"AGM-88"))</f>
        <v/>
      </c>
      <c r="I729">
        <f>IF($A729="","",SUMIFS('Таблиця 1'!$K:$K,'Таблиця 1'!$B:$B,$A729,'Таблиця 1'!$I:$I,"Mirage",'Таблиця 1'!$J:$J,"AASM-250")+SUMIFS('Таблиця 1'!$K:$K,'Таблиця 1'!$B:$B,$A729,'Таблиця 1'!$I:$I,"F-16",'Таблиця 1'!$J:$J,"AASM-250")+SUMIFS('Таблиця 1'!$K:$K,'Таблиця 1'!$B:$B,$A729,'Таблиця 1'!$I:$I,"МіГ-29",'Таблиця 1'!$J:$J,"AASM-250")+SUMIFS('Таблиця 1'!$K:$K,'Таблиця 1'!$B:$B,$A729,'Таблиця 1'!$I:$I,"Су-25",'Таблиця 1'!$J:$J,"AASM-250")+SUMIFS('Таблиця 1'!$K:$K,'Таблиця 1'!$B:$B,$A729,'Таблиця 1'!$I:$I,"Су-27",'Таблиця 1'!$J:$J,"AASM-250"))</f>
        <v/>
      </c>
      <c r="J729">
        <f>IF($A729="","",SUMIFS('Таблиця 1'!$K:$K,'Таблиця 1'!$B:$B,$A729,'Таблиця 1'!$I:$I,"Mirage",'Таблиця 1'!$J:$J,"GBU-39")+SUMIFS('Таблиця 1'!$K:$K,'Таблиця 1'!$B:$B,$A729,'Таблиця 1'!$I:$I,"F-16",'Таблиця 1'!$J:$J,"GBU-39")+SUMIFS('Таблиця 1'!$K:$K,'Таблиця 1'!$B:$B,$A729,'Таблиця 1'!$I:$I,"МіГ-29",'Таблиця 1'!$J:$J,"GBU-39")+SUMIFS('Таблиця 1'!$K:$K,'Таблиця 1'!$B:$B,$A729,'Таблиця 1'!$I:$I,"Су-25",'Таблиця 1'!$J:$J,"GBU-39")+SUMIFS('Таблиця 1'!$K:$K,'Таблиця 1'!$B:$B,$A729,'Таблиця 1'!$I:$I,"Су-27",'Таблиця 1'!$J:$J,"GBU-39"))</f>
        <v/>
      </c>
      <c r="K729">
        <f>IF($A729="","",SUMIFS('Таблиця 1'!$K:$K,'Таблиця 1'!$B:$B,$A729,'Таблиця 1'!$I:$I,"Mirage",'Таблиця 1'!$J:$J,"BLU-140")+SUMIFS('Таблиця 1'!$K:$K,'Таблиця 1'!$B:$B,$A729,'Таблиця 1'!$I:$I,"F-16",'Таблиця 1'!$J:$J,"BLU-140")+SUMIFS('Таблиця 1'!$K:$K,'Таблиця 1'!$B:$B,$A729,'Таблиця 1'!$I:$I,"МіГ-29",'Таблиця 1'!$J:$J,"BLU-140")+SUMIFS('Таблиця 1'!$K:$K,'Таблиця 1'!$B:$B,$A729,'Таблиця 1'!$I:$I,"Су-25",'Таблиця 1'!$J:$J,"BLU-140")+SUMIFS('Таблиця 1'!$K:$K,'Таблиця 1'!$B:$B,$A729,'Таблиця 1'!$I:$I,"Су-27",'Таблиця 1'!$J:$J,"BLU-140"))</f>
        <v/>
      </c>
      <c r="L729">
        <f>IF($A729="","",SUMIFS('Таблиця 1'!$K:$K,'Таблиця 1'!$B:$B,$A729,'Таблиця 1'!$I:$I,"Mirage",'Таблиця 1'!$J:$J,"GBU-65")+SUMIFS('Таблиця 1'!$K:$K,'Таблиця 1'!$B:$B,$A729,'Таблиця 1'!$I:$I,"F-16",'Таблиця 1'!$J:$J,"GBU-65")+SUMIFS('Таблиця 1'!$K:$K,'Таблиця 1'!$B:$B,$A729,'Таблиця 1'!$I:$I,"МіГ-29",'Таблиця 1'!$J:$J,"GBU-65")+SUMIFS('Таблиця 1'!$K:$K,'Таблиця 1'!$B:$B,$A729,'Таблиця 1'!$I:$I,"Су-25",'Таблиця 1'!$J:$J,"GBU-65")+SUMIFS('Таблиця 1'!$K:$K,'Таблиця 1'!$B:$B,$A729,'Таблиця 1'!$I:$I,"Су-27",'Таблиця 1'!$J:$J,"GBU-65"))</f>
        <v/>
      </c>
      <c r="M729">
        <f>IF($A729="","",SUMIFS('Таблиця 1'!$K:$K,'Таблиця 1'!$B:$B,$A729,'Таблиця 1'!$I:$I,"Mirage",'Таблиця 1'!$J:$J,"GBU-62")+SUMIFS('Таблиця 1'!$K:$K,'Таблиця 1'!$B:$B,$A729,'Таблиця 1'!$I:$I,"F-16",'Таблиця 1'!$J:$J,"GBU-62")+SUMIFS('Таблиця 1'!$K:$K,'Таблиця 1'!$B:$B,$A729,'Таблиця 1'!$I:$I,"МіГ-29",'Таблиця 1'!$J:$J,"GBU-62")+SUMIFS('Таблиця 1'!$K:$K,'Таблиця 1'!$B:$B,$A729,'Таблиця 1'!$I:$I,"Су-25",'Таблиця 1'!$J:$J,"GBU-62")+SUMIFS('Таблиця 1'!$K:$K,'Таблиця 1'!$B:$B,$A729,'Таблиця 1'!$I:$I,"Су-27",'Таблиця 1'!$J:$J,"GBU-62"))</f>
        <v/>
      </c>
      <c r="N729">
        <f>IF($A729="","",SUMIFS('Таблиця 1'!$K:$K,'Таблиця 1'!$B:$B,$A729,'Таблиця 1'!$I:$I,"Mirage",'Таблиця 1'!$J:$J,"GBU-64")+SUMIFS('Таблиця 1'!$K:$K,'Таблиця 1'!$B:$B,$A729,'Таблиця 1'!$I:$I,"F-16",'Таблиця 1'!$J:$J,"GBU-64")+SUMIFS('Таблиця 1'!$K:$K,'Таблиця 1'!$B:$B,$A729,'Таблиця 1'!$I:$I,"МіГ-29",'Таблиця 1'!$J:$J,"GBU-64")+SUMIFS('Таблиця 1'!$K:$K,'Таблиця 1'!$B:$B,$A729,'Таблиця 1'!$I:$I,"Су-25",'Таблиця 1'!$J:$J,"GBU-64")+SUMIFS('Таблиця 1'!$K:$K,'Таблиця 1'!$B:$B,$A729,'Таблиця 1'!$I:$I,"Су-27",'Таблиця 1'!$J:$J,"GBU-64"))</f>
        <v/>
      </c>
      <c r="O729">
        <f>IF($A729="","",SUMIFS('Таблиця 1'!$K:$K,'Таблиця 1'!$B:$B,$A729,'Таблиця 1'!$I:$I,"Mirage",'Таблиця 1'!$J:$J,"C-13")+SUMIFS('Таблиця 1'!$K:$K,'Таблиця 1'!$B:$B,$A729,'Таблиця 1'!$I:$I,"F-16",'Таблиця 1'!$J:$J,"C-13")+SUMIFS('Таблиця 1'!$K:$K,'Таблиця 1'!$B:$B,$A729,'Таблиця 1'!$I:$I,"МіГ-29",'Таблиця 1'!$J:$J,"C-13")+SUMIFS('Таблиця 1'!$K:$K,'Таблиця 1'!$B:$B,$A729,'Таблиця 1'!$I:$I,"Су-25",'Таблиця 1'!$J:$J,"C-13")+SUMIFS('Таблиця 1'!$K:$K,'Таблиця 1'!$B:$B,$A729,'Таблиця 1'!$I:$I,"Су-27",'Таблиця 1'!$J:$J,"C-13"))</f>
        <v/>
      </c>
      <c r="P729">
        <f>IF($A729="","",SUMIFS('Таблиця 1'!$K:$K,'Таблиця 1'!$B:$B,$A729,'Таблиця 1'!$I:$I,"Mirage",'Таблиця 1'!$J:$J,"MK-32")+SUMIFS('Таблиця 1'!$K:$K,'Таблиця 1'!$B:$B,$A729,'Таблиця 1'!$I:$I,"F-16",'Таблиця 1'!$J:$J,"MK-32")+SUMIFS('Таблиця 1'!$K:$K,'Таблиця 1'!$B:$B,$A729,'Таблиця 1'!$I:$I,"МіГ-29",'Таблиця 1'!$J:$J,"MK-32")+SUMIFS('Таблиця 1'!$K:$K,'Таблиця 1'!$B:$B,$A729,'Таблиця 1'!$I:$I,"Су-25",'Таблиця 1'!$J:$J,"MK-32")+SUMIFS('Таблиця 1'!$K:$K,'Таблиця 1'!$B:$B,$A729,'Таблиця 1'!$I:$I,"Су-27",'Таблиця 1'!$J:$J,"MK-32"))</f>
        <v/>
      </c>
      <c r="Q729">
        <f>IF($A729="","",SUMIFS('Таблиця 1'!$K:$K,'Таблиця 1'!$B:$B,$A729,'Таблиця 1'!$I:$I,"Mirage",'Таблиця 1'!$J:$J,"MK-24")+SUMIFS('Таблиця 1'!$K:$K,'Таблиця 1'!$B:$B,$A729,'Таблиця 1'!$I:$I,"F-16",'Таблиця 1'!$J:$J,"MK-24")+SUMIFS('Таблиця 1'!$K:$K,'Таблиця 1'!$B:$B,$A729,'Таблиця 1'!$I:$I,"МіГ-29",'Таблиця 1'!$J:$J,"MK-24")+SUMIFS('Таблиця 1'!$K:$K,'Таблиця 1'!$B:$B,$A729,'Таблиця 1'!$I:$I,"Су-25",'Таблиця 1'!$J:$J,"MK-24")+SUMIFS('Таблиця 1'!$K:$K,'Таблиця 1'!$B:$B,$A729,'Таблиця 1'!$I:$I,"Су-27",'Таблиця 1'!$J:$J,"MK-24"))</f>
        <v/>
      </c>
      <c r="R729">
        <f>IF($A729="","",COUNTIFS('Таблиця 1'!$B:$B,$A729,'Таблиця 1'!$I:$I,"Mirage",'Таблиця 1'!$L:$L,"Уражено")+COUNTIFS('Таблиця 1'!$B:$B,$A729,'Таблиця 1'!$I:$I,"F-16",'Таблиця 1'!$L:$L,"Уражено")+COUNTIFS('Таблиця 1'!$B:$B,$A729,'Таблиця 1'!$I:$I,"МіГ-29",'Таблиця 1'!$L:$L,"Уражено")+COUNTIFS('Таблиця 1'!$B:$B,$A729,'Таблиця 1'!$I:$I,"Су-25",'Таблиця 1'!$L:$L,"Уражено")+COUNTIFS('Таблиця 1'!$B:$B,$A729,'Таблиця 1'!$I:$I,"Су-27",'Таблиця 1'!$L:$L,"Уражено"))</f>
        <v/>
      </c>
      <c r="S729">
        <f>IF($A729="","",COUNTIFS('Таблиця 1'!$B:$B,$A729,'Таблиця 1'!$I:$I,"Mirage",'Таблиця 1'!$L:$L,"НЕ уражено")+COUNTIFS('Таблиця 1'!$B:$B,$A729,'Таблиця 1'!$I:$I,"F-16",'Таблиця 1'!$L:$L,"НЕ уражено")+COUNTIFS('Таблиця 1'!$B:$B,$A729,'Таблиця 1'!$I:$I,"МіГ-29",'Таблиця 1'!$L:$L,"НЕ уражено")+COUNTIFS('Таблиця 1'!$B:$B,$A729,'Таблиця 1'!$I:$I,"Су-25",'Таблиця 1'!$L:$L,"НЕ уражено")+COUNTIFS('Таблиця 1'!$B:$B,$A729,'Таблиця 1'!$I:$I,"Су-27",'Таблиця 1'!$L:$L,"НЕ уражено"))</f>
        <v/>
      </c>
      <c r="T729">
        <f>IF($A729="","",COUNTIFS('Таблиця 1'!$B:$B,$A729,'Таблиця 1'!$I:$I,"Mirage",'Таблиця 1'!$L:$L,"Дорозвідується")+COUNTIFS('Таблиця 1'!$B:$B,$A729,'Таблиця 1'!$I:$I,"F-16",'Таблиця 1'!$L:$L,"Дорозвідується")+COUNTIFS('Таблиця 1'!$B:$B,$A729,'Таблиця 1'!$I:$I,"МіГ-29",'Таблиця 1'!$L:$L,"Дорозвідується")+COUNTIFS('Таблиця 1'!$B:$B,$A729,'Таблиця 1'!$I:$I,"Су-25",'Таблиця 1'!$L:$L,"Дорозвідується")+COUNTIFS('Таблиця 1'!$B:$B,$A729,'Таблиця 1'!$I:$I,"Су-27",'Таблиця 1'!$L:$L,"Дорозвідується"))</f>
        <v/>
      </c>
    </row>
    <row r="730">
      <c r="A730" s="273">
        <f>IF(A729="","",IF(A729+1&gt;MAX('Таблиця 1'!$B:$B),"",A729+1))</f>
        <v/>
      </c>
      <c r="B730">
        <f>IF($A730="","",COUNTIFS('Таблиця 1'!$B:$B,$A730,'Таблиця 1'!$I:$I,"Mirage")+COUNTIFS('Таблиця 1'!$B:$B,$A730,'Таблиця 1'!$I:$I,"F-16")+COUNTIFS('Таблиця 1'!$B:$B,$A730,'Таблиця 1'!$I:$I,"МіГ-29")+COUNTIFS('Таблиця 1'!$B:$B,$A730,'Таблиця 1'!$I:$I,"Су-25")+COUNTIFS('Таблиця 1'!$B:$B,$A730,'Таблиця 1'!$I:$I,"Су-27"))</f>
        <v/>
      </c>
      <c r="C730">
        <f>IF($A730="","",COUNTIFS('Таблиця 1'!$B:$B,$A730,'Таблиця 1'!$I:$I,"Mirage"))</f>
        <v/>
      </c>
      <c r="D730">
        <f>IF($A730="","",COUNTIFS('Таблиця 1'!$B:$B,$A730,'Таблиця 1'!$I:$I,"F-16"))</f>
        <v/>
      </c>
      <c r="E730">
        <f>IF($A730="","",COUNTIFS('Таблиця 1'!$B:$B,$A730,'Таблиця 1'!$I:$I,"МіГ-29"))</f>
        <v/>
      </c>
      <c r="F730">
        <f>IF($A730="","",COUNTIFS('Таблиця 1'!$B:$B,$A730,'Таблиця 1'!$I:$I,"Су-25"))</f>
        <v/>
      </c>
      <c r="G730">
        <f>IF($A730="","",COUNTIFS('Таблиця 1'!$B:$B,$A730,'Таблиця 1'!$I:$I,"Су-27"))</f>
        <v/>
      </c>
      <c r="H730">
        <f>IF($A730="","",SUMIFS('Таблиця 1'!$K:$K,'Таблиця 1'!$B:$B,$A730,'Таблиця 1'!$I:$I,"Mirage",'Таблиця 1'!$J:$J,"AGM-88")+SUMIFS('Таблиця 1'!$K:$K,'Таблиця 1'!$B:$B,$A730,'Таблиця 1'!$I:$I,"F-16",'Таблиця 1'!$J:$J,"AGM-88")+SUMIFS('Таблиця 1'!$K:$K,'Таблиця 1'!$B:$B,$A730,'Таблиця 1'!$I:$I,"МіГ-29",'Таблиця 1'!$J:$J,"AGM-88")+SUMIFS('Таблиця 1'!$K:$K,'Таблиця 1'!$B:$B,$A730,'Таблиця 1'!$I:$I,"Су-25",'Таблиця 1'!$J:$J,"AGM-88")+SUMIFS('Таблиця 1'!$K:$K,'Таблиця 1'!$B:$B,$A730,'Таблиця 1'!$I:$I,"Су-27",'Таблиця 1'!$J:$J,"AGM-88"))</f>
        <v/>
      </c>
      <c r="I730">
        <f>IF($A730="","",SUMIFS('Таблиця 1'!$K:$K,'Таблиця 1'!$B:$B,$A730,'Таблиця 1'!$I:$I,"Mirage",'Таблиця 1'!$J:$J,"AASM-250")+SUMIFS('Таблиця 1'!$K:$K,'Таблиця 1'!$B:$B,$A730,'Таблиця 1'!$I:$I,"F-16",'Таблиця 1'!$J:$J,"AASM-250")+SUMIFS('Таблиця 1'!$K:$K,'Таблиця 1'!$B:$B,$A730,'Таблиця 1'!$I:$I,"МіГ-29",'Таблиця 1'!$J:$J,"AASM-250")+SUMIFS('Таблиця 1'!$K:$K,'Таблиця 1'!$B:$B,$A730,'Таблиця 1'!$I:$I,"Су-25",'Таблиця 1'!$J:$J,"AASM-250")+SUMIFS('Таблиця 1'!$K:$K,'Таблиця 1'!$B:$B,$A730,'Таблиця 1'!$I:$I,"Су-27",'Таблиця 1'!$J:$J,"AASM-250"))</f>
        <v/>
      </c>
      <c r="J730">
        <f>IF($A730="","",SUMIFS('Таблиця 1'!$K:$K,'Таблиця 1'!$B:$B,$A730,'Таблиця 1'!$I:$I,"Mirage",'Таблиця 1'!$J:$J,"GBU-39")+SUMIFS('Таблиця 1'!$K:$K,'Таблиця 1'!$B:$B,$A730,'Таблиця 1'!$I:$I,"F-16",'Таблиця 1'!$J:$J,"GBU-39")+SUMIFS('Таблиця 1'!$K:$K,'Таблиця 1'!$B:$B,$A730,'Таблиця 1'!$I:$I,"МіГ-29",'Таблиця 1'!$J:$J,"GBU-39")+SUMIFS('Таблиця 1'!$K:$K,'Таблиця 1'!$B:$B,$A730,'Таблиця 1'!$I:$I,"Су-25",'Таблиця 1'!$J:$J,"GBU-39")+SUMIFS('Таблиця 1'!$K:$K,'Таблиця 1'!$B:$B,$A730,'Таблиця 1'!$I:$I,"Су-27",'Таблиця 1'!$J:$J,"GBU-39"))</f>
        <v/>
      </c>
      <c r="K730">
        <f>IF($A730="","",SUMIFS('Таблиця 1'!$K:$K,'Таблиця 1'!$B:$B,$A730,'Таблиця 1'!$I:$I,"Mirage",'Таблиця 1'!$J:$J,"BLU-140")+SUMIFS('Таблиця 1'!$K:$K,'Таблиця 1'!$B:$B,$A730,'Таблиця 1'!$I:$I,"F-16",'Таблиця 1'!$J:$J,"BLU-140")+SUMIFS('Таблиця 1'!$K:$K,'Таблиця 1'!$B:$B,$A730,'Таблиця 1'!$I:$I,"МіГ-29",'Таблиця 1'!$J:$J,"BLU-140")+SUMIFS('Таблиця 1'!$K:$K,'Таблиця 1'!$B:$B,$A730,'Таблиця 1'!$I:$I,"Су-25",'Таблиця 1'!$J:$J,"BLU-140")+SUMIFS('Таблиця 1'!$K:$K,'Таблиця 1'!$B:$B,$A730,'Таблиця 1'!$I:$I,"Су-27",'Таблиця 1'!$J:$J,"BLU-140"))</f>
        <v/>
      </c>
      <c r="L730">
        <f>IF($A730="","",SUMIFS('Таблиця 1'!$K:$K,'Таблиця 1'!$B:$B,$A730,'Таблиця 1'!$I:$I,"Mirage",'Таблиця 1'!$J:$J,"GBU-65")+SUMIFS('Таблиця 1'!$K:$K,'Таблиця 1'!$B:$B,$A730,'Таблиця 1'!$I:$I,"F-16",'Таблиця 1'!$J:$J,"GBU-65")+SUMIFS('Таблиця 1'!$K:$K,'Таблиця 1'!$B:$B,$A730,'Таблиця 1'!$I:$I,"МіГ-29",'Таблиця 1'!$J:$J,"GBU-65")+SUMIFS('Таблиця 1'!$K:$K,'Таблиця 1'!$B:$B,$A730,'Таблиця 1'!$I:$I,"Су-25",'Таблиця 1'!$J:$J,"GBU-65")+SUMIFS('Таблиця 1'!$K:$K,'Таблиця 1'!$B:$B,$A730,'Таблиця 1'!$I:$I,"Су-27",'Таблиця 1'!$J:$J,"GBU-65"))</f>
        <v/>
      </c>
      <c r="M730">
        <f>IF($A730="","",SUMIFS('Таблиця 1'!$K:$K,'Таблиця 1'!$B:$B,$A730,'Таблиця 1'!$I:$I,"Mirage",'Таблиця 1'!$J:$J,"GBU-62")+SUMIFS('Таблиця 1'!$K:$K,'Таблиця 1'!$B:$B,$A730,'Таблиця 1'!$I:$I,"F-16",'Таблиця 1'!$J:$J,"GBU-62")+SUMIFS('Таблиця 1'!$K:$K,'Таблиця 1'!$B:$B,$A730,'Таблиця 1'!$I:$I,"МіГ-29",'Таблиця 1'!$J:$J,"GBU-62")+SUMIFS('Таблиця 1'!$K:$K,'Таблиця 1'!$B:$B,$A730,'Таблиця 1'!$I:$I,"Су-25",'Таблиця 1'!$J:$J,"GBU-62")+SUMIFS('Таблиця 1'!$K:$K,'Таблиця 1'!$B:$B,$A730,'Таблиця 1'!$I:$I,"Су-27",'Таблиця 1'!$J:$J,"GBU-62"))</f>
        <v/>
      </c>
      <c r="N730">
        <f>IF($A730="","",SUMIFS('Таблиця 1'!$K:$K,'Таблиця 1'!$B:$B,$A730,'Таблиця 1'!$I:$I,"Mirage",'Таблиця 1'!$J:$J,"GBU-64")+SUMIFS('Таблиця 1'!$K:$K,'Таблиця 1'!$B:$B,$A730,'Таблиця 1'!$I:$I,"F-16",'Таблиця 1'!$J:$J,"GBU-64")+SUMIFS('Таблиця 1'!$K:$K,'Таблиця 1'!$B:$B,$A730,'Таблиця 1'!$I:$I,"МіГ-29",'Таблиця 1'!$J:$J,"GBU-64")+SUMIFS('Таблиця 1'!$K:$K,'Таблиця 1'!$B:$B,$A730,'Таблиця 1'!$I:$I,"Су-25",'Таблиця 1'!$J:$J,"GBU-64")+SUMIFS('Таблиця 1'!$K:$K,'Таблиця 1'!$B:$B,$A730,'Таблиця 1'!$I:$I,"Су-27",'Таблиця 1'!$J:$J,"GBU-64"))</f>
        <v/>
      </c>
      <c r="O730">
        <f>IF($A730="","",SUMIFS('Таблиця 1'!$K:$K,'Таблиця 1'!$B:$B,$A730,'Таблиця 1'!$I:$I,"Mirage",'Таблиця 1'!$J:$J,"C-13")+SUMIFS('Таблиця 1'!$K:$K,'Таблиця 1'!$B:$B,$A730,'Таблиця 1'!$I:$I,"F-16",'Таблиця 1'!$J:$J,"C-13")+SUMIFS('Таблиця 1'!$K:$K,'Таблиця 1'!$B:$B,$A730,'Таблиця 1'!$I:$I,"МіГ-29",'Таблиця 1'!$J:$J,"C-13")+SUMIFS('Таблиця 1'!$K:$K,'Таблиця 1'!$B:$B,$A730,'Таблиця 1'!$I:$I,"Су-25",'Таблиця 1'!$J:$J,"C-13")+SUMIFS('Таблиця 1'!$K:$K,'Таблиця 1'!$B:$B,$A730,'Таблиця 1'!$I:$I,"Су-27",'Таблиця 1'!$J:$J,"C-13"))</f>
        <v/>
      </c>
      <c r="P730">
        <f>IF($A730="","",SUMIFS('Таблиця 1'!$K:$K,'Таблиця 1'!$B:$B,$A730,'Таблиця 1'!$I:$I,"Mirage",'Таблиця 1'!$J:$J,"MK-32")+SUMIFS('Таблиця 1'!$K:$K,'Таблиця 1'!$B:$B,$A730,'Таблиця 1'!$I:$I,"F-16",'Таблиця 1'!$J:$J,"MK-32")+SUMIFS('Таблиця 1'!$K:$K,'Таблиця 1'!$B:$B,$A730,'Таблиця 1'!$I:$I,"МіГ-29",'Таблиця 1'!$J:$J,"MK-32")+SUMIFS('Таблиця 1'!$K:$K,'Таблиця 1'!$B:$B,$A730,'Таблиця 1'!$I:$I,"Су-25",'Таблиця 1'!$J:$J,"MK-32")+SUMIFS('Таблиця 1'!$K:$K,'Таблиця 1'!$B:$B,$A730,'Таблиця 1'!$I:$I,"Су-27",'Таблиця 1'!$J:$J,"MK-32"))</f>
        <v/>
      </c>
      <c r="Q730">
        <f>IF($A730="","",SUMIFS('Таблиця 1'!$K:$K,'Таблиця 1'!$B:$B,$A730,'Таблиця 1'!$I:$I,"Mirage",'Таблиця 1'!$J:$J,"MK-24")+SUMIFS('Таблиця 1'!$K:$K,'Таблиця 1'!$B:$B,$A730,'Таблиця 1'!$I:$I,"F-16",'Таблиця 1'!$J:$J,"MK-24")+SUMIFS('Таблиця 1'!$K:$K,'Таблиця 1'!$B:$B,$A730,'Таблиця 1'!$I:$I,"МіГ-29",'Таблиця 1'!$J:$J,"MK-24")+SUMIFS('Таблиця 1'!$K:$K,'Таблиця 1'!$B:$B,$A730,'Таблиця 1'!$I:$I,"Су-25",'Таблиця 1'!$J:$J,"MK-24")+SUMIFS('Таблиця 1'!$K:$K,'Таблиця 1'!$B:$B,$A730,'Таблиця 1'!$I:$I,"Су-27",'Таблиця 1'!$J:$J,"MK-24"))</f>
        <v/>
      </c>
      <c r="R730">
        <f>IF($A730="","",COUNTIFS('Таблиця 1'!$B:$B,$A730,'Таблиця 1'!$I:$I,"Mirage",'Таблиця 1'!$L:$L,"Уражено")+COUNTIFS('Таблиця 1'!$B:$B,$A730,'Таблиця 1'!$I:$I,"F-16",'Таблиця 1'!$L:$L,"Уражено")+COUNTIFS('Таблиця 1'!$B:$B,$A730,'Таблиця 1'!$I:$I,"МіГ-29",'Таблиця 1'!$L:$L,"Уражено")+COUNTIFS('Таблиця 1'!$B:$B,$A730,'Таблиця 1'!$I:$I,"Су-25",'Таблиця 1'!$L:$L,"Уражено")+COUNTIFS('Таблиця 1'!$B:$B,$A730,'Таблиця 1'!$I:$I,"Су-27",'Таблиця 1'!$L:$L,"Уражено"))</f>
        <v/>
      </c>
      <c r="S730">
        <f>IF($A730="","",COUNTIFS('Таблиця 1'!$B:$B,$A730,'Таблиця 1'!$I:$I,"Mirage",'Таблиця 1'!$L:$L,"НЕ уражено")+COUNTIFS('Таблиця 1'!$B:$B,$A730,'Таблиця 1'!$I:$I,"F-16",'Таблиця 1'!$L:$L,"НЕ уражено")+COUNTIFS('Таблиця 1'!$B:$B,$A730,'Таблиця 1'!$I:$I,"МіГ-29",'Таблиця 1'!$L:$L,"НЕ уражено")+COUNTIFS('Таблиця 1'!$B:$B,$A730,'Таблиця 1'!$I:$I,"Су-25",'Таблиця 1'!$L:$L,"НЕ уражено")+COUNTIFS('Таблиця 1'!$B:$B,$A730,'Таблиця 1'!$I:$I,"Су-27",'Таблиця 1'!$L:$L,"НЕ уражено"))</f>
        <v/>
      </c>
      <c r="T730">
        <f>IF($A730="","",COUNTIFS('Таблиця 1'!$B:$B,$A730,'Таблиця 1'!$I:$I,"Mirage",'Таблиця 1'!$L:$L,"Дорозвідується")+COUNTIFS('Таблиця 1'!$B:$B,$A730,'Таблиця 1'!$I:$I,"F-16",'Таблиця 1'!$L:$L,"Дорозвідується")+COUNTIFS('Таблиця 1'!$B:$B,$A730,'Таблиця 1'!$I:$I,"МіГ-29",'Таблиця 1'!$L:$L,"Дорозвідується")+COUNTIFS('Таблиця 1'!$B:$B,$A730,'Таблиця 1'!$I:$I,"Су-25",'Таблиця 1'!$L:$L,"Дорозвідується")+COUNTIFS('Таблиця 1'!$B:$B,$A730,'Таблиця 1'!$I:$I,"Су-27",'Таблиця 1'!$L:$L,"Дорозвідується"))</f>
        <v/>
      </c>
    </row>
    <row r="731">
      <c r="A731" s="273">
        <f>IF(A730="","",IF(A730+1&gt;MAX('Таблиця 1'!$B:$B),"",A730+1))</f>
        <v/>
      </c>
      <c r="B731">
        <f>IF($A731="","",COUNTIFS('Таблиця 1'!$B:$B,$A731,'Таблиця 1'!$I:$I,"Mirage")+COUNTIFS('Таблиця 1'!$B:$B,$A731,'Таблиця 1'!$I:$I,"F-16")+COUNTIFS('Таблиця 1'!$B:$B,$A731,'Таблиця 1'!$I:$I,"МіГ-29")+COUNTIFS('Таблиця 1'!$B:$B,$A731,'Таблиця 1'!$I:$I,"Су-25")+COUNTIFS('Таблиця 1'!$B:$B,$A731,'Таблиця 1'!$I:$I,"Су-27"))</f>
        <v/>
      </c>
      <c r="C731">
        <f>IF($A731="","",COUNTIFS('Таблиця 1'!$B:$B,$A731,'Таблиця 1'!$I:$I,"Mirage"))</f>
        <v/>
      </c>
      <c r="D731">
        <f>IF($A731="","",COUNTIFS('Таблиця 1'!$B:$B,$A731,'Таблиця 1'!$I:$I,"F-16"))</f>
        <v/>
      </c>
      <c r="E731">
        <f>IF($A731="","",COUNTIFS('Таблиця 1'!$B:$B,$A731,'Таблиця 1'!$I:$I,"МіГ-29"))</f>
        <v/>
      </c>
      <c r="F731">
        <f>IF($A731="","",COUNTIFS('Таблиця 1'!$B:$B,$A731,'Таблиця 1'!$I:$I,"Су-25"))</f>
        <v/>
      </c>
      <c r="G731">
        <f>IF($A731="","",COUNTIFS('Таблиця 1'!$B:$B,$A731,'Таблиця 1'!$I:$I,"Су-27"))</f>
        <v/>
      </c>
      <c r="H731">
        <f>IF($A731="","",SUMIFS('Таблиця 1'!$K:$K,'Таблиця 1'!$B:$B,$A731,'Таблиця 1'!$I:$I,"Mirage",'Таблиця 1'!$J:$J,"AGM-88")+SUMIFS('Таблиця 1'!$K:$K,'Таблиця 1'!$B:$B,$A731,'Таблиця 1'!$I:$I,"F-16",'Таблиця 1'!$J:$J,"AGM-88")+SUMIFS('Таблиця 1'!$K:$K,'Таблиця 1'!$B:$B,$A731,'Таблиця 1'!$I:$I,"МіГ-29",'Таблиця 1'!$J:$J,"AGM-88")+SUMIFS('Таблиця 1'!$K:$K,'Таблиця 1'!$B:$B,$A731,'Таблиця 1'!$I:$I,"Су-25",'Таблиця 1'!$J:$J,"AGM-88")+SUMIFS('Таблиця 1'!$K:$K,'Таблиця 1'!$B:$B,$A731,'Таблиця 1'!$I:$I,"Су-27",'Таблиця 1'!$J:$J,"AGM-88"))</f>
        <v/>
      </c>
      <c r="I731">
        <f>IF($A731="","",SUMIFS('Таблиця 1'!$K:$K,'Таблиця 1'!$B:$B,$A731,'Таблиця 1'!$I:$I,"Mirage",'Таблиця 1'!$J:$J,"AASM-250")+SUMIFS('Таблиця 1'!$K:$K,'Таблиця 1'!$B:$B,$A731,'Таблиця 1'!$I:$I,"F-16",'Таблиця 1'!$J:$J,"AASM-250")+SUMIFS('Таблиця 1'!$K:$K,'Таблиця 1'!$B:$B,$A731,'Таблиця 1'!$I:$I,"МіГ-29",'Таблиця 1'!$J:$J,"AASM-250")+SUMIFS('Таблиця 1'!$K:$K,'Таблиця 1'!$B:$B,$A731,'Таблиця 1'!$I:$I,"Су-25",'Таблиця 1'!$J:$J,"AASM-250")+SUMIFS('Таблиця 1'!$K:$K,'Таблиця 1'!$B:$B,$A731,'Таблиця 1'!$I:$I,"Су-27",'Таблиця 1'!$J:$J,"AASM-250"))</f>
        <v/>
      </c>
      <c r="J731">
        <f>IF($A731="","",SUMIFS('Таблиця 1'!$K:$K,'Таблиця 1'!$B:$B,$A731,'Таблиця 1'!$I:$I,"Mirage",'Таблиця 1'!$J:$J,"GBU-39")+SUMIFS('Таблиця 1'!$K:$K,'Таблиця 1'!$B:$B,$A731,'Таблиця 1'!$I:$I,"F-16",'Таблиця 1'!$J:$J,"GBU-39")+SUMIFS('Таблиця 1'!$K:$K,'Таблиця 1'!$B:$B,$A731,'Таблиця 1'!$I:$I,"МіГ-29",'Таблиця 1'!$J:$J,"GBU-39")+SUMIFS('Таблиця 1'!$K:$K,'Таблиця 1'!$B:$B,$A731,'Таблиця 1'!$I:$I,"Су-25",'Таблиця 1'!$J:$J,"GBU-39")+SUMIFS('Таблиця 1'!$K:$K,'Таблиця 1'!$B:$B,$A731,'Таблиця 1'!$I:$I,"Су-27",'Таблиця 1'!$J:$J,"GBU-39"))</f>
        <v/>
      </c>
      <c r="K731">
        <f>IF($A731="","",SUMIFS('Таблиця 1'!$K:$K,'Таблиця 1'!$B:$B,$A731,'Таблиця 1'!$I:$I,"Mirage",'Таблиця 1'!$J:$J,"BLU-140")+SUMIFS('Таблиця 1'!$K:$K,'Таблиця 1'!$B:$B,$A731,'Таблиця 1'!$I:$I,"F-16",'Таблиця 1'!$J:$J,"BLU-140")+SUMIFS('Таблиця 1'!$K:$K,'Таблиця 1'!$B:$B,$A731,'Таблиця 1'!$I:$I,"МіГ-29",'Таблиця 1'!$J:$J,"BLU-140")+SUMIFS('Таблиця 1'!$K:$K,'Таблиця 1'!$B:$B,$A731,'Таблиця 1'!$I:$I,"Су-25",'Таблиця 1'!$J:$J,"BLU-140")+SUMIFS('Таблиця 1'!$K:$K,'Таблиця 1'!$B:$B,$A731,'Таблиця 1'!$I:$I,"Су-27",'Таблиця 1'!$J:$J,"BLU-140"))</f>
        <v/>
      </c>
      <c r="L731">
        <f>IF($A731="","",SUMIFS('Таблиця 1'!$K:$K,'Таблиця 1'!$B:$B,$A731,'Таблиця 1'!$I:$I,"Mirage",'Таблиця 1'!$J:$J,"GBU-65")+SUMIFS('Таблиця 1'!$K:$K,'Таблиця 1'!$B:$B,$A731,'Таблиця 1'!$I:$I,"F-16",'Таблиця 1'!$J:$J,"GBU-65")+SUMIFS('Таблиця 1'!$K:$K,'Таблиця 1'!$B:$B,$A731,'Таблиця 1'!$I:$I,"МіГ-29",'Таблиця 1'!$J:$J,"GBU-65")+SUMIFS('Таблиця 1'!$K:$K,'Таблиця 1'!$B:$B,$A731,'Таблиця 1'!$I:$I,"Су-25",'Таблиця 1'!$J:$J,"GBU-65")+SUMIFS('Таблиця 1'!$K:$K,'Таблиця 1'!$B:$B,$A731,'Таблиця 1'!$I:$I,"Су-27",'Таблиця 1'!$J:$J,"GBU-65"))</f>
        <v/>
      </c>
      <c r="M731">
        <f>IF($A731="","",SUMIFS('Таблиця 1'!$K:$K,'Таблиця 1'!$B:$B,$A731,'Таблиця 1'!$I:$I,"Mirage",'Таблиця 1'!$J:$J,"GBU-62")+SUMIFS('Таблиця 1'!$K:$K,'Таблиця 1'!$B:$B,$A731,'Таблиця 1'!$I:$I,"F-16",'Таблиця 1'!$J:$J,"GBU-62")+SUMIFS('Таблиця 1'!$K:$K,'Таблиця 1'!$B:$B,$A731,'Таблиця 1'!$I:$I,"МіГ-29",'Таблиця 1'!$J:$J,"GBU-62")+SUMIFS('Таблиця 1'!$K:$K,'Таблиця 1'!$B:$B,$A731,'Таблиця 1'!$I:$I,"Су-25",'Таблиця 1'!$J:$J,"GBU-62")+SUMIFS('Таблиця 1'!$K:$K,'Таблиця 1'!$B:$B,$A731,'Таблиця 1'!$I:$I,"Су-27",'Таблиця 1'!$J:$J,"GBU-62"))</f>
        <v/>
      </c>
      <c r="N731">
        <f>IF($A731="","",SUMIFS('Таблиця 1'!$K:$K,'Таблиця 1'!$B:$B,$A731,'Таблиця 1'!$I:$I,"Mirage",'Таблиця 1'!$J:$J,"GBU-64")+SUMIFS('Таблиця 1'!$K:$K,'Таблиця 1'!$B:$B,$A731,'Таблиця 1'!$I:$I,"F-16",'Таблиця 1'!$J:$J,"GBU-64")+SUMIFS('Таблиця 1'!$K:$K,'Таблиця 1'!$B:$B,$A731,'Таблиця 1'!$I:$I,"МіГ-29",'Таблиця 1'!$J:$J,"GBU-64")+SUMIFS('Таблиця 1'!$K:$K,'Таблиця 1'!$B:$B,$A731,'Таблиця 1'!$I:$I,"Су-25",'Таблиця 1'!$J:$J,"GBU-64")+SUMIFS('Таблиця 1'!$K:$K,'Таблиця 1'!$B:$B,$A731,'Таблиця 1'!$I:$I,"Су-27",'Таблиця 1'!$J:$J,"GBU-64"))</f>
        <v/>
      </c>
      <c r="O731">
        <f>IF($A731="","",SUMIFS('Таблиця 1'!$K:$K,'Таблиця 1'!$B:$B,$A731,'Таблиця 1'!$I:$I,"Mirage",'Таблиця 1'!$J:$J,"C-13")+SUMIFS('Таблиця 1'!$K:$K,'Таблиця 1'!$B:$B,$A731,'Таблиця 1'!$I:$I,"F-16",'Таблиця 1'!$J:$J,"C-13")+SUMIFS('Таблиця 1'!$K:$K,'Таблиця 1'!$B:$B,$A731,'Таблиця 1'!$I:$I,"МіГ-29",'Таблиця 1'!$J:$J,"C-13")+SUMIFS('Таблиця 1'!$K:$K,'Таблиця 1'!$B:$B,$A731,'Таблиця 1'!$I:$I,"Су-25",'Таблиця 1'!$J:$J,"C-13")+SUMIFS('Таблиця 1'!$K:$K,'Таблиця 1'!$B:$B,$A731,'Таблиця 1'!$I:$I,"Су-27",'Таблиця 1'!$J:$J,"C-13"))</f>
        <v/>
      </c>
      <c r="P731">
        <f>IF($A731="","",SUMIFS('Таблиця 1'!$K:$K,'Таблиця 1'!$B:$B,$A731,'Таблиця 1'!$I:$I,"Mirage",'Таблиця 1'!$J:$J,"MK-32")+SUMIFS('Таблиця 1'!$K:$K,'Таблиця 1'!$B:$B,$A731,'Таблиця 1'!$I:$I,"F-16",'Таблиця 1'!$J:$J,"MK-32")+SUMIFS('Таблиця 1'!$K:$K,'Таблиця 1'!$B:$B,$A731,'Таблиця 1'!$I:$I,"МіГ-29",'Таблиця 1'!$J:$J,"MK-32")+SUMIFS('Таблиця 1'!$K:$K,'Таблиця 1'!$B:$B,$A731,'Таблиця 1'!$I:$I,"Су-25",'Таблиця 1'!$J:$J,"MK-32")+SUMIFS('Таблиця 1'!$K:$K,'Таблиця 1'!$B:$B,$A731,'Таблиця 1'!$I:$I,"Су-27",'Таблиця 1'!$J:$J,"MK-32"))</f>
        <v/>
      </c>
      <c r="Q731">
        <f>IF($A731="","",SUMIFS('Таблиця 1'!$K:$K,'Таблиця 1'!$B:$B,$A731,'Таблиця 1'!$I:$I,"Mirage",'Таблиця 1'!$J:$J,"MK-24")+SUMIFS('Таблиця 1'!$K:$K,'Таблиця 1'!$B:$B,$A731,'Таблиця 1'!$I:$I,"F-16",'Таблиця 1'!$J:$J,"MK-24")+SUMIFS('Таблиця 1'!$K:$K,'Таблиця 1'!$B:$B,$A731,'Таблиця 1'!$I:$I,"МіГ-29",'Таблиця 1'!$J:$J,"MK-24")+SUMIFS('Таблиця 1'!$K:$K,'Таблиця 1'!$B:$B,$A731,'Таблиця 1'!$I:$I,"Су-25",'Таблиця 1'!$J:$J,"MK-24")+SUMIFS('Таблиця 1'!$K:$K,'Таблиця 1'!$B:$B,$A731,'Таблиця 1'!$I:$I,"Су-27",'Таблиця 1'!$J:$J,"MK-24"))</f>
        <v/>
      </c>
      <c r="R731">
        <f>IF($A731="","",COUNTIFS('Таблиця 1'!$B:$B,$A731,'Таблиця 1'!$I:$I,"Mirage",'Таблиця 1'!$L:$L,"Уражено")+COUNTIFS('Таблиця 1'!$B:$B,$A731,'Таблиця 1'!$I:$I,"F-16",'Таблиця 1'!$L:$L,"Уражено")+COUNTIFS('Таблиця 1'!$B:$B,$A731,'Таблиця 1'!$I:$I,"МіГ-29",'Таблиця 1'!$L:$L,"Уражено")+COUNTIFS('Таблиця 1'!$B:$B,$A731,'Таблиця 1'!$I:$I,"Су-25",'Таблиця 1'!$L:$L,"Уражено")+COUNTIFS('Таблиця 1'!$B:$B,$A731,'Таблиця 1'!$I:$I,"Су-27",'Таблиця 1'!$L:$L,"Уражено"))</f>
        <v/>
      </c>
      <c r="S731">
        <f>IF($A731="","",COUNTIFS('Таблиця 1'!$B:$B,$A731,'Таблиця 1'!$I:$I,"Mirage",'Таблиця 1'!$L:$L,"НЕ уражено")+COUNTIFS('Таблиця 1'!$B:$B,$A731,'Таблиця 1'!$I:$I,"F-16",'Таблиця 1'!$L:$L,"НЕ уражено")+COUNTIFS('Таблиця 1'!$B:$B,$A731,'Таблиця 1'!$I:$I,"МіГ-29",'Таблиця 1'!$L:$L,"НЕ уражено")+COUNTIFS('Таблиця 1'!$B:$B,$A731,'Таблиця 1'!$I:$I,"Су-25",'Таблиця 1'!$L:$L,"НЕ уражено")+COUNTIFS('Таблиця 1'!$B:$B,$A731,'Таблиця 1'!$I:$I,"Су-27",'Таблиця 1'!$L:$L,"НЕ уражено"))</f>
        <v/>
      </c>
      <c r="T731">
        <f>IF($A731="","",COUNTIFS('Таблиця 1'!$B:$B,$A731,'Таблиця 1'!$I:$I,"Mirage",'Таблиця 1'!$L:$L,"Дорозвідується")+COUNTIFS('Таблиця 1'!$B:$B,$A731,'Таблиця 1'!$I:$I,"F-16",'Таблиця 1'!$L:$L,"Дорозвідується")+COUNTIFS('Таблиця 1'!$B:$B,$A731,'Таблиця 1'!$I:$I,"МіГ-29",'Таблиця 1'!$L:$L,"Дорозвідується")+COUNTIFS('Таблиця 1'!$B:$B,$A731,'Таблиця 1'!$I:$I,"Су-25",'Таблиця 1'!$L:$L,"Дорозвідується")+COUNTIFS('Таблиця 1'!$B:$B,$A731,'Таблиця 1'!$I:$I,"Су-27",'Таблиця 1'!$L:$L,"Дорозвідується"))</f>
        <v/>
      </c>
    </row>
    <row r="732">
      <c r="A732" s="273">
        <f>IF(A731="","",IF(A731+1&gt;MAX('Таблиця 1'!$B:$B),"",A731+1))</f>
        <v/>
      </c>
      <c r="B732">
        <f>IF($A732="","",COUNTIFS('Таблиця 1'!$B:$B,$A732,'Таблиця 1'!$I:$I,"Mirage")+COUNTIFS('Таблиця 1'!$B:$B,$A732,'Таблиця 1'!$I:$I,"F-16")+COUNTIFS('Таблиця 1'!$B:$B,$A732,'Таблиця 1'!$I:$I,"МіГ-29")+COUNTIFS('Таблиця 1'!$B:$B,$A732,'Таблиця 1'!$I:$I,"Су-25")+COUNTIFS('Таблиця 1'!$B:$B,$A732,'Таблиця 1'!$I:$I,"Су-27"))</f>
        <v/>
      </c>
      <c r="C732">
        <f>IF($A732="","",COUNTIFS('Таблиця 1'!$B:$B,$A732,'Таблиця 1'!$I:$I,"Mirage"))</f>
        <v/>
      </c>
      <c r="D732">
        <f>IF($A732="","",COUNTIFS('Таблиця 1'!$B:$B,$A732,'Таблиця 1'!$I:$I,"F-16"))</f>
        <v/>
      </c>
      <c r="E732">
        <f>IF($A732="","",COUNTIFS('Таблиця 1'!$B:$B,$A732,'Таблиця 1'!$I:$I,"МіГ-29"))</f>
        <v/>
      </c>
      <c r="F732">
        <f>IF($A732="","",COUNTIFS('Таблиця 1'!$B:$B,$A732,'Таблиця 1'!$I:$I,"Су-25"))</f>
        <v/>
      </c>
      <c r="G732">
        <f>IF($A732="","",COUNTIFS('Таблиця 1'!$B:$B,$A732,'Таблиця 1'!$I:$I,"Су-27"))</f>
        <v/>
      </c>
      <c r="H732">
        <f>IF($A732="","",SUMIFS('Таблиця 1'!$K:$K,'Таблиця 1'!$B:$B,$A732,'Таблиця 1'!$I:$I,"Mirage",'Таблиця 1'!$J:$J,"AGM-88")+SUMIFS('Таблиця 1'!$K:$K,'Таблиця 1'!$B:$B,$A732,'Таблиця 1'!$I:$I,"F-16",'Таблиця 1'!$J:$J,"AGM-88")+SUMIFS('Таблиця 1'!$K:$K,'Таблиця 1'!$B:$B,$A732,'Таблиця 1'!$I:$I,"МіГ-29",'Таблиця 1'!$J:$J,"AGM-88")+SUMIFS('Таблиця 1'!$K:$K,'Таблиця 1'!$B:$B,$A732,'Таблиця 1'!$I:$I,"Су-25",'Таблиця 1'!$J:$J,"AGM-88")+SUMIFS('Таблиця 1'!$K:$K,'Таблиця 1'!$B:$B,$A732,'Таблиця 1'!$I:$I,"Су-27",'Таблиця 1'!$J:$J,"AGM-88"))</f>
        <v/>
      </c>
      <c r="I732">
        <f>IF($A732="","",SUMIFS('Таблиця 1'!$K:$K,'Таблиця 1'!$B:$B,$A732,'Таблиця 1'!$I:$I,"Mirage",'Таблиця 1'!$J:$J,"AASM-250")+SUMIFS('Таблиця 1'!$K:$K,'Таблиця 1'!$B:$B,$A732,'Таблиця 1'!$I:$I,"F-16",'Таблиця 1'!$J:$J,"AASM-250")+SUMIFS('Таблиця 1'!$K:$K,'Таблиця 1'!$B:$B,$A732,'Таблиця 1'!$I:$I,"МіГ-29",'Таблиця 1'!$J:$J,"AASM-250")+SUMIFS('Таблиця 1'!$K:$K,'Таблиця 1'!$B:$B,$A732,'Таблиця 1'!$I:$I,"Су-25",'Таблиця 1'!$J:$J,"AASM-250")+SUMIFS('Таблиця 1'!$K:$K,'Таблиця 1'!$B:$B,$A732,'Таблиця 1'!$I:$I,"Су-27",'Таблиця 1'!$J:$J,"AASM-250"))</f>
        <v/>
      </c>
      <c r="J732">
        <f>IF($A732="","",SUMIFS('Таблиця 1'!$K:$K,'Таблиця 1'!$B:$B,$A732,'Таблиця 1'!$I:$I,"Mirage",'Таблиця 1'!$J:$J,"GBU-39")+SUMIFS('Таблиця 1'!$K:$K,'Таблиця 1'!$B:$B,$A732,'Таблиця 1'!$I:$I,"F-16",'Таблиця 1'!$J:$J,"GBU-39")+SUMIFS('Таблиця 1'!$K:$K,'Таблиця 1'!$B:$B,$A732,'Таблиця 1'!$I:$I,"МіГ-29",'Таблиця 1'!$J:$J,"GBU-39")+SUMIFS('Таблиця 1'!$K:$K,'Таблиця 1'!$B:$B,$A732,'Таблиця 1'!$I:$I,"Су-25",'Таблиця 1'!$J:$J,"GBU-39")+SUMIFS('Таблиця 1'!$K:$K,'Таблиця 1'!$B:$B,$A732,'Таблиця 1'!$I:$I,"Су-27",'Таблиця 1'!$J:$J,"GBU-39"))</f>
        <v/>
      </c>
      <c r="K732">
        <f>IF($A732="","",SUMIFS('Таблиця 1'!$K:$K,'Таблиця 1'!$B:$B,$A732,'Таблиця 1'!$I:$I,"Mirage",'Таблиця 1'!$J:$J,"BLU-140")+SUMIFS('Таблиця 1'!$K:$K,'Таблиця 1'!$B:$B,$A732,'Таблиця 1'!$I:$I,"F-16",'Таблиця 1'!$J:$J,"BLU-140")+SUMIFS('Таблиця 1'!$K:$K,'Таблиця 1'!$B:$B,$A732,'Таблиця 1'!$I:$I,"МіГ-29",'Таблиця 1'!$J:$J,"BLU-140")+SUMIFS('Таблиця 1'!$K:$K,'Таблиця 1'!$B:$B,$A732,'Таблиця 1'!$I:$I,"Су-25",'Таблиця 1'!$J:$J,"BLU-140")+SUMIFS('Таблиця 1'!$K:$K,'Таблиця 1'!$B:$B,$A732,'Таблиця 1'!$I:$I,"Су-27",'Таблиця 1'!$J:$J,"BLU-140"))</f>
        <v/>
      </c>
      <c r="L732">
        <f>IF($A732="","",SUMIFS('Таблиця 1'!$K:$K,'Таблиця 1'!$B:$B,$A732,'Таблиця 1'!$I:$I,"Mirage",'Таблиця 1'!$J:$J,"GBU-65")+SUMIFS('Таблиця 1'!$K:$K,'Таблиця 1'!$B:$B,$A732,'Таблиця 1'!$I:$I,"F-16",'Таблиця 1'!$J:$J,"GBU-65")+SUMIFS('Таблиця 1'!$K:$K,'Таблиця 1'!$B:$B,$A732,'Таблиця 1'!$I:$I,"МіГ-29",'Таблиця 1'!$J:$J,"GBU-65")+SUMIFS('Таблиця 1'!$K:$K,'Таблиця 1'!$B:$B,$A732,'Таблиця 1'!$I:$I,"Су-25",'Таблиця 1'!$J:$J,"GBU-65")+SUMIFS('Таблиця 1'!$K:$K,'Таблиця 1'!$B:$B,$A732,'Таблиця 1'!$I:$I,"Су-27",'Таблиця 1'!$J:$J,"GBU-65"))</f>
        <v/>
      </c>
      <c r="M732">
        <f>IF($A732="","",SUMIFS('Таблиця 1'!$K:$K,'Таблиця 1'!$B:$B,$A732,'Таблиця 1'!$I:$I,"Mirage",'Таблиця 1'!$J:$J,"GBU-62")+SUMIFS('Таблиця 1'!$K:$K,'Таблиця 1'!$B:$B,$A732,'Таблиця 1'!$I:$I,"F-16",'Таблиця 1'!$J:$J,"GBU-62")+SUMIFS('Таблиця 1'!$K:$K,'Таблиця 1'!$B:$B,$A732,'Таблиця 1'!$I:$I,"МіГ-29",'Таблиця 1'!$J:$J,"GBU-62")+SUMIFS('Таблиця 1'!$K:$K,'Таблиця 1'!$B:$B,$A732,'Таблиця 1'!$I:$I,"Су-25",'Таблиця 1'!$J:$J,"GBU-62")+SUMIFS('Таблиця 1'!$K:$K,'Таблиця 1'!$B:$B,$A732,'Таблиця 1'!$I:$I,"Су-27",'Таблиця 1'!$J:$J,"GBU-62"))</f>
        <v/>
      </c>
      <c r="N732">
        <f>IF($A732="","",SUMIFS('Таблиця 1'!$K:$K,'Таблиця 1'!$B:$B,$A732,'Таблиця 1'!$I:$I,"Mirage",'Таблиця 1'!$J:$J,"GBU-64")+SUMIFS('Таблиця 1'!$K:$K,'Таблиця 1'!$B:$B,$A732,'Таблиця 1'!$I:$I,"F-16",'Таблиця 1'!$J:$J,"GBU-64")+SUMIFS('Таблиця 1'!$K:$K,'Таблиця 1'!$B:$B,$A732,'Таблиця 1'!$I:$I,"МіГ-29",'Таблиця 1'!$J:$J,"GBU-64")+SUMIFS('Таблиця 1'!$K:$K,'Таблиця 1'!$B:$B,$A732,'Таблиця 1'!$I:$I,"Су-25",'Таблиця 1'!$J:$J,"GBU-64")+SUMIFS('Таблиця 1'!$K:$K,'Таблиця 1'!$B:$B,$A732,'Таблиця 1'!$I:$I,"Су-27",'Таблиця 1'!$J:$J,"GBU-64"))</f>
        <v/>
      </c>
      <c r="O732">
        <f>IF($A732="","",SUMIFS('Таблиця 1'!$K:$K,'Таблиця 1'!$B:$B,$A732,'Таблиця 1'!$I:$I,"Mirage",'Таблиця 1'!$J:$J,"C-13")+SUMIFS('Таблиця 1'!$K:$K,'Таблиця 1'!$B:$B,$A732,'Таблиця 1'!$I:$I,"F-16",'Таблиця 1'!$J:$J,"C-13")+SUMIFS('Таблиця 1'!$K:$K,'Таблиця 1'!$B:$B,$A732,'Таблиця 1'!$I:$I,"МіГ-29",'Таблиця 1'!$J:$J,"C-13")+SUMIFS('Таблиця 1'!$K:$K,'Таблиця 1'!$B:$B,$A732,'Таблиця 1'!$I:$I,"Су-25",'Таблиця 1'!$J:$J,"C-13")+SUMIFS('Таблиця 1'!$K:$K,'Таблиця 1'!$B:$B,$A732,'Таблиця 1'!$I:$I,"Су-27",'Таблиця 1'!$J:$J,"C-13"))</f>
        <v/>
      </c>
      <c r="P732">
        <f>IF($A732="","",SUMIFS('Таблиця 1'!$K:$K,'Таблиця 1'!$B:$B,$A732,'Таблиця 1'!$I:$I,"Mirage",'Таблиця 1'!$J:$J,"MK-32")+SUMIFS('Таблиця 1'!$K:$K,'Таблиця 1'!$B:$B,$A732,'Таблиця 1'!$I:$I,"F-16",'Таблиця 1'!$J:$J,"MK-32")+SUMIFS('Таблиця 1'!$K:$K,'Таблиця 1'!$B:$B,$A732,'Таблиця 1'!$I:$I,"МіГ-29",'Таблиця 1'!$J:$J,"MK-32")+SUMIFS('Таблиця 1'!$K:$K,'Таблиця 1'!$B:$B,$A732,'Таблиця 1'!$I:$I,"Су-25",'Таблиця 1'!$J:$J,"MK-32")+SUMIFS('Таблиця 1'!$K:$K,'Таблиця 1'!$B:$B,$A732,'Таблиця 1'!$I:$I,"Су-27",'Таблиця 1'!$J:$J,"MK-32"))</f>
        <v/>
      </c>
      <c r="Q732">
        <f>IF($A732="","",SUMIFS('Таблиця 1'!$K:$K,'Таблиця 1'!$B:$B,$A732,'Таблиця 1'!$I:$I,"Mirage",'Таблиця 1'!$J:$J,"MK-24")+SUMIFS('Таблиця 1'!$K:$K,'Таблиця 1'!$B:$B,$A732,'Таблиця 1'!$I:$I,"F-16",'Таблиця 1'!$J:$J,"MK-24")+SUMIFS('Таблиця 1'!$K:$K,'Таблиця 1'!$B:$B,$A732,'Таблиця 1'!$I:$I,"МіГ-29",'Таблиця 1'!$J:$J,"MK-24")+SUMIFS('Таблиця 1'!$K:$K,'Таблиця 1'!$B:$B,$A732,'Таблиця 1'!$I:$I,"Су-25",'Таблиця 1'!$J:$J,"MK-24")+SUMIFS('Таблиця 1'!$K:$K,'Таблиця 1'!$B:$B,$A732,'Таблиця 1'!$I:$I,"Су-27",'Таблиця 1'!$J:$J,"MK-24"))</f>
        <v/>
      </c>
      <c r="R732">
        <f>IF($A732="","",COUNTIFS('Таблиця 1'!$B:$B,$A732,'Таблиця 1'!$I:$I,"Mirage",'Таблиця 1'!$L:$L,"Уражено")+COUNTIFS('Таблиця 1'!$B:$B,$A732,'Таблиця 1'!$I:$I,"F-16",'Таблиця 1'!$L:$L,"Уражено")+COUNTIFS('Таблиця 1'!$B:$B,$A732,'Таблиця 1'!$I:$I,"МіГ-29",'Таблиця 1'!$L:$L,"Уражено")+COUNTIFS('Таблиця 1'!$B:$B,$A732,'Таблиця 1'!$I:$I,"Су-25",'Таблиця 1'!$L:$L,"Уражено")+COUNTIFS('Таблиця 1'!$B:$B,$A732,'Таблиця 1'!$I:$I,"Су-27",'Таблиця 1'!$L:$L,"Уражено"))</f>
        <v/>
      </c>
      <c r="S732">
        <f>IF($A732="","",COUNTIFS('Таблиця 1'!$B:$B,$A732,'Таблиця 1'!$I:$I,"Mirage",'Таблиця 1'!$L:$L,"НЕ уражено")+COUNTIFS('Таблиця 1'!$B:$B,$A732,'Таблиця 1'!$I:$I,"F-16",'Таблиця 1'!$L:$L,"НЕ уражено")+COUNTIFS('Таблиця 1'!$B:$B,$A732,'Таблиця 1'!$I:$I,"МіГ-29",'Таблиця 1'!$L:$L,"НЕ уражено")+COUNTIFS('Таблиця 1'!$B:$B,$A732,'Таблиця 1'!$I:$I,"Су-25",'Таблиця 1'!$L:$L,"НЕ уражено")+COUNTIFS('Таблиця 1'!$B:$B,$A732,'Таблиця 1'!$I:$I,"Су-27",'Таблиця 1'!$L:$L,"НЕ уражено"))</f>
        <v/>
      </c>
      <c r="T732">
        <f>IF($A732="","",COUNTIFS('Таблиця 1'!$B:$B,$A732,'Таблиця 1'!$I:$I,"Mirage",'Таблиця 1'!$L:$L,"Дорозвідується")+COUNTIFS('Таблиця 1'!$B:$B,$A732,'Таблиця 1'!$I:$I,"F-16",'Таблиця 1'!$L:$L,"Дорозвідується")+COUNTIFS('Таблиця 1'!$B:$B,$A732,'Таблиця 1'!$I:$I,"МіГ-29",'Таблиця 1'!$L:$L,"Дорозвідується")+COUNTIFS('Таблиця 1'!$B:$B,$A732,'Таблиця 1'!$I:$I,"Су-25",'Таблиця 1'!$L:$L,"Дорозвідується")+COUNTIFS('Таблиця 1'!$B:$B,$A732,'Таблиця 1'!$I:$I,"Су-27",'Таблиця 1'!$L:$L,"Дорозвідується"))</f>
        <v/>
      </c>
    </row>
    <row r="733">
      <c r="A733" s="225" t="inlineStr">
        <is>
          <t>Підсумок</t>
        </is>
      </c>
      <c r="B733" s="226">
        <f>SUBTOTAL(109,Таблиця16[[АУ ]])</f>
        <v/>
      </c>
      <c r="C733" s="226">
        <f>SUBTOTAL(109,Таблиця16[Mirage])</f>
        <v/>
      </c>
      <c r="D733" s="226">
        <f>SUBTOTAL(109,Таблиця16[F-16])</f>
        <v/>
      </c>
      <c r="E733" s="226">
        <f>SUBTOTAL(109,Таблиця16[МіГ-29])</f>
        <v/>
      </c>
      <c r="F733" s="226">
        <f>SUBTOTAL(109,Таблиця16[Су-25])</f>
        <v/>
      </c>
      <c r="G733" s="226">
        <f>SUBTOTAL(109,Таблиця16[Су-27])</f>
        <v/>
      </c>
      <c r="H733" s="226">
        <f>SUBTOTAL(109,Таблиця16[AGM-88])</f>
        <v/>
      </c>
      <c r="I733" s="226">
        <f>SUBTOTAL(109,Таблиця16[AASM-250])</f>
        <v/>
      </c>
      <c r="J733" s="226">
        <f>SUBTOTAL(109,Таблиця16[GBU-39])</f>
        <v/>
      </c>
      <c r="K733" s="226">
        <f>SUBTOTAL(109,Таблиця16[BLU-140])</f>
        <v/>
      </c>
      <c r="L733" s="226">
        <f>SUBTOTAL(109,Таблиця16[GBU-65])</f>
        <v/>
      </c>
      <c r="M733" s="226">
        <f>SUBTOTAL(109,Таблиця16[GBU-62])</f>
        <v/>
      </c>
      <c r="N733" s="226">
        <f>SUBTOTAL(109,Таблиця16[GBU-64])</f>
        <v/>
      </c>
      <c r="O733" s="226">
        <f>SUBTOTAL(109,Таблиця16[C-13])</f>
        <v/>
      </c>
      <c r="P733" s="226">
        <f>SUBTOTAL(109,Таблиця16[MK-32])</f>
        <v/>
      </c>
      <c r="Q733" s="226">
        <f>SUBTOTAL(109,Таблиця16[MK-24])</f>
        <v/>
      </c>
      <c r="R733" s="226">
        <f>SUBTOTAL(109,Таблиця16[Уражено])</f>
        <v/>
      </c>
      <c r="S733" s="226">
        <f>SUBTOTAL(109,Таблиця16[НЕ уражено])</f>
        <v/>
      </c>
      <c r="T733" s="226">
        <f>SUBTOTAL(109,Таблиця16[Дорозвідується])</f>
        <v/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733"/>
  <sheetViews>
    <sheetView tabSelected="0" topLeftCell="A1202" zoomScale="60" zoomScaleNormal="60" workbookViewId="0">
      <selection activeCell="A2" sqref="A2"/>
    </sheetView>
  </sheetViews>
  <sheetFormatPr baseColWidth="8" defaultRowHeight="14.4"/>
  <cols>
    <col width="12.1015625" customWidth="1" style="84" min="1" max="1"/>
    <col width="12.1015625" customWidth="1" style="2" min="2" max="13"/>
    <col width="13.1015625" customWidth="1" style="2" min="14" max="26"/>
  </cols>
  <sheetData>
    <row r="1">
      <c r="A1" s="80" t="inlineStr">
        <is>
          <t>Дата</t>
        </is>
      </c>
      <c r="B1" s="85" t="inlineStr">
        <is>
          <t>ЖС ВЗ</t>
        </is>
      </c>
      <c r="C1" s="85" t="inlineStr">
        <is>
          <t>Арт. Системи</t>
        </is>
      </c>
      <c r="D1" s="85" t="inlineStr">
        <is>
          <t>ОВТ</t>
        </is>
      </c>
      <c r="E1" s="85" t="inlineStr">
        <is>
          <t>ППО</t>
        </is>
      </c>
      <c r="F1" s="85" t="inlineStr">
        <is>
          <t>Рембаза</t>
        </is>
      </c>
      <c r="G1" s="85" t="inlineStr">
        <is>
          <t>Склад БК</t>
        </is>
      </c>
      <c r="H1" s="85" t="inlineStr">
        <is>
          <t>Склад ВТМ</t>
        </is>
      </c>
      <c r="I1" s="85" t="inlineStr">
        <is>
          <t>ПУ БпЛА</t>
        </is>
      </c>
      <c r="J1" s="85" t="inlineStr">
        <is>
          <t>СП</t>
        </is>
      </c>
      <c r="K1" s="85" t="inlineStr">
        <is>
          <t>КСП роти</t>
        </is>
      </c>
      <c r="L1" s="85" t="inlineStr">
        <is>
          <t>ПУ бат</t>
        </is>
      </c>
      <c r="M1" s="85" t="inlineStr">
        <is>
          <t>ПУ бриг</t>
        </is>
      </c>
      <c r="N1" s="85" t="inlineStr">
        <is>
          <t>ПУ див</t>
        </is>
      </c>
      <c r="O1" s="85" t="inlineStr">
        <is>
          <t>обл. РЕБ</t>
        </is>
      </c>
      <c r="P1" s="85" t="inlineStr">
        <is>
          <t>пос РЕБ</t>
        </is>
      </c>
      <c r="Q1" s="85" t="inlineStr">
        <is>
          <t>група РЕР</t>
        </is>
      </c>
      <c r="R1" s="85" t="inlineStr">
        <is>
          <t>РЛС КББ</t>
        </is>
      </c>
      <c r="S1" s="85" t="inlineStr">
        <is>
          <t>Ретранслятор</t>
        </is>
      </c>
      <c r="T1" s="85" t="inlineStr">
        <is>
          <t>Вз.зв'язку</t>
        </is>
      </c>
      <c r="U1" s="85" t="inlineStr">
        <is>
          <t>ПММ</t>
        </is>
      </c>
      <c r="V1" s="85" t="inlineStr">
        <is>
          <t>ІФС</t>
        </is>
      </c>
      <c r="W1" s="85" t="inlineStr">
        <is>
          <t>Інфраструктура</t>
        </is>
      </c>
      <c r="X1" s="85" t="inlineStr">
        <is>
          <t>Витрата</t>
        </is>
      </c>
    </row>
    <row r="2">
      <c r="A2" s="81">
        <f>IF(COUNT('Таблиця 1'!$B:$B)=0,"",MIN('Таблиця 1'!$B:$B))</f>
        <v/>
      </c>
      <c r="B2">
        <f>IF($A2="","",COUNTIFS('Таблиця 1'!$B:$B,$A2,'Таблиця 1'!$E:$E,"ЖС ВЗ",'Таблиця 1'!$L:$L,"Уражено"))</f>
        <v/>
      </c>
      <c r="C2">
        <f>IF($A2="","",COUNTIFS('Таблиця 1'!$B:$B,$A2,'Таблиця 1'!$E:$E,"Арт. Системи",'Таблиця 1'!$L:$L,"Уражено"))</f>
        <v/>
      </c>
      <c r="D2">
        <f>IF($A2="","",COUNTIFS('Таблиця 1'!$B:$B,$A2,'Таблиця 1'!$E:$E,"ОВТ",'Таблиця 1'!$L:$L,"Уражено"))</f>
        <v/>
      </c>
      <c r="E2">
        <f>IF($A2="","",COUNTIFS('Таблиця 1'!$B:$B,$A2,'Таблиця 1'!$E:$E,"ППО",'Таблиця 1'!$L:$L,"Уражено"))</f>
        <v/>
      </c>
      <c r="F2">
        <f>IF($A2="","",COUNTIFS('Таблиця 1'!$B:$B,$A2,'Таблиця 1'!$E:$E,"Рембаза",'Таблиця 1'!$L:$L,"Уражено"))</f>
        <v/>
      </c>
      <c r="G2">
        <f>IF($A2="","",COUNTIFS('Таблиця 1'!$B:$B,$A2,'Таблиця 1'!$E:$E,"Склад БК",'Таблиця 1'!$L:$L,"Уражено"))</f>
        <v/>
      </c>
      <c r="H2">
        <f>IF($A2="","",COUNTIFS('Таблиця 1'!$B:$B,$A2,'Таблиця 1'!$E:$E,"Склад ВТМ",'Таблиця 1'!$L:$L,"Уражено"))</f>
        <v/>
      </c>
      <c r="I2">
        <f>IF($A2="","",COUNTIFS('Таблиця 1'!$B:$B,$A2,'Таблиця 1'!$E:$E,"ПУ БпЛА",'Таблиця 1'!$L:$L,"Уражено"))</f>
        <v/>
      </c>
      <c r="J2">
        <f>IF($A2="","",COUNTIFS('Таблиця 1'!$B:$B,$A2,'Таблиця 1'!$E:$E,"СП",'Таблиця 1'!$L:$L,"Уражено"))</f>
        <v/>
      </c>
      <c r="K2">
        <f>IF($A2="","",COUNTIFS('Таблиця 1'!$B:$B,$A2,'Таблиця 1'!$E:$E,"КСП роти",'Таблиця 1'!$L:$L,"Уражено"))</f>
        <v/>
      </c>
      <c r="L2">
        <f>IF($A2="","",COUNTIFS('Таблиця 1'!$B:$B,$A2,'Таблиця 1'!$E:$E,"ПУ бат",'Таблиця 1'!$L:$L,"Уражено"))</f>
        <v/>
      </c>
      <c r="M2">
        <f>IF($A2="","",COUNTIFS('Таблиця 1'!$B:$B,$A2,'Таблиця 1'!$E:$E,"ПУ бриг",'Таблиця 1'!$L:$L,"Уражено"))</f>
        <v/>
      </c>
      <c r="N2">
        <f>IF($A2="","",COUNTIFS('Таблиця 1'!$B:$B,$A2,'Таблиця 1'!$E:$E,"ПУ див",'Таблиця 1'!$L:$L,"Уражено"))</f>
        <v/>
      </c>
      <c r="O2">
        <f>IF($A2="","",COUNTIFS('Таблиця 1'!$B:$B,$A2,'Таблиця 1'!$E:$E,"обл. РЕБ",'Таблиця 1'!$L:$L,"Уражено"))</f>
        <v/>
      </c>
      <c r="P2">
        <f>IF($A2="","",COUNTIFS('Таблиця 1'!$B:$B,$A2,'Таблиця 1'!$E:$E,"пос РЕБ",'Таблиця 1'!$L:$L,"Уражено"))</f>
        <v/>
      </c>
      <c r="Q2">
        <f>IF($A2="","",COUNTIFS('Таблиця 1'!$B:$B,$A2,'Таблиця 1'!$E:$E,"група РЕР",'Таблиця 1'!$L:$L,"Уражено"))</f>
        <v/>
      </c>
      <c r="R2">
        <f>IF($A2="","",COUNTIFS('Таблиця 1'!$B:$B,$A2,'Таблиця 1'!$E:$E,"РЛС КББ",'Таблиця 1'!$L:$L,"Уражено"))</f>
        <v/>
      </c>
      <c r="S2">
        <f>IF($A2="","",COUNTIFS('Таблиця 1'!$B:$B,$A2,'Таблиця 1'!$E:$E,"Ретранслятор",'Таблиця 1'!$L:$L,"Уражено"))</f>
        <v/>
      </c>
      <c r="T2">
        <f>IF($A2="","",COUNTIFS('Таблиця 1'!$B:$B,$A2,'Таблиця 1'!$E:$E,"Вз.зв'язку",'Таблиця 1'!$L:$L,"Уражено"))</f>
        <v/>
      </c>
      <c r="U2">
        <f>IF($A2="","",COUNTIFS('Таблиця 1'!$B:$B,$A2,'Таблиця 1'!$E:$E,"ПММ",'Таблиця 1'!$L:$L,"Уражено"))</f>
        <v/>
      </c>
      <c r="V2">
        <f>IF($A2="","",COUNTIFS('Таблиця 1'!$B:$B,$A2,'Таблиця 1'!$E:$E,"ІФС",'Таблиця 1'!$L:$L,"Уражено"))</f>
        <v/>
      </c>
      <c r="W2">
        <f>IF($A2="","",COUNTIFS('Таблиця 1'!$B:$B,$A2,'Таблиця 1'!$E:$E,"Інфраструктура",'Таблиця 1'!$L:$L,"Уражено"))</f>
        <v/>
      </c>
      <c r="X2">
        <f>IF($A2="","",SUMIFS('Таблиця 1'!$K:$K,'Таблиця 1'!$B:$B,$A2))</f>
        <v/>
      </c>
    </row>
    <row r="3">
      <c r="A3" s="81">
        <f>IF(A2="","",IF(A2+1&gt;MAX('Таблиця 1'!$B:$B),"",A2+1))</f>
        <v/>
      </c>
      <c r="B3">
        <f>IF($A3="","",COUNTIFS('Таблиця 1'!$B:$B,$A3,'Таблиця 1'!$E:$E,"ЖС ВЗ",'Таблиця 1'!$L:$L,"Уражено"))</f>
        <v/>
      </c>
      <c r="C3">
        <f>IF($A3="","",COUNTIFS('Таблиця 1'!$B:$B,$A3,'Таблиця 1'!$E:$E,"Арт. Системи",'Таблиця 1'!$L:$L,"Уражено"))</f>
        <v/>
      </c>
      <c r="D3">
        <f>IF($A3="","",COUNTIFS('Таблиця 1'!$B:$B,$A3,'Таблиця 1'!$E:$E,"ОВТ",'Таблиця 1'!$L:$L,"Уражено"))</f>
        <v/>
      </c>
      <c r="E3">
        <f>IF($A3="","",COUNTIFS('Таблиця 1'!$B:$B,$A3,'Таблиця 1'!$E:$E,"ППО",'Таблиця 1'!$L:$L,"Уражено"))</f>
        <v/>
      </c>
      <c r="F3">
        <f>IF($A3="","",COUNTIFS('Таблиця 1'!$B:$B,$A3,'Таблиця 1'!$E:$E,"Рембаза",'Таблиця 1'!$L:$L,"Уражено"))</f>
        <v/>
      </c>
      <c r="G3">
        <f>IF($A3="","",COUNTIFS('Таблиця 1'!$B:$B,$A3,'Таблиця 1'!$E:$E,"Склад БК",'Таблиця 1'!$L:$L,"Уражено"))</f>
        <v/>
      </c>
      <c r="H3">
        <f>IF($A3="","",COUNTIFS('Таблиця 1'!$B:$B,$A3,'Таблиця 1'!$E:$E,"Склад ВТМ",'Таблиця 1'!$L:$L,"Уражено"))</f>
        <v/>
      </c>
      <c r="I3">
        <f>IF($A3="","",COUNTIFS('Таблиця 1'!$B:$B,$A3,'Таблиця 1'!$E:$E,"ПУ БпЛА",'Таблиця 1'!$L:$L,"Уражено"))</f>
        <v/>
      </c>
      <c r="J3">
        <f>IF($A3="","",COUNTIFS('Таблиця 1'!$B:$B,$A3,'Таблиця 1'!$E:$E,"СП",'Таблиця 1'!$L:$L,"Уражено"))</f>
        <v/>
      </c>
      <c r="K3">
        <f>IF($A3="","",COUNTIFS('Таблиця 1'!$B:$B,$A3,'Таблиця 1'!$E:$E,"КСП роти",'Таблиця 1'!$L:$L,"Уражено"))</f>
        <v/>
      </c>
      <c r="L3">
        <f>IF($A3="","",COUNTIFS('Таблиця 1'!$B:$B,$A3,'Таблиця 1'!$E:$E,"ПУ бат",'Таблиця 1'!$L:$L,"Уражено"))</f>
        <v/>
      </c>
      <c r="M3">
        <f>IF($A3="","",COUNTIFS('Таблиця 1'!$B:$B,$A3,'Таблиця 1'!$E:$E,"ПУ бриг",'Таблиця 1'!$L:$L,"Уражено"))</f>
        <v/>
      </c>
      <c r="N3">
        <f>IF($A3="","",COUNTIFS('Таблиця 1'!$B:$B,$A3,'Таблиця 1'!$E:$E,"ПУ див",'Таблиця 1'!$L:$L,"Уражено"))</f>
        <v/>
      </c>
      <c r="O3">
        <f>IF($A3="","",COUNTIFS('Таблиця 1'!$B:$B,$A3,'Таблиця 1'!$E:$E,"обл. РЕБ",'Таблиця 1'!$L:$L,"Уражено"))</f>
        <v/>
      </c>
      <c r="P3">
        <f>IF($A3="","",COUNTIFS('Таблиця 1'!$B:$B,$A3,'Таблиця 1'!$E:$E,"пос РЕБ",'Таблиця 1'!$L:$L,"Уражено"))</f>
        <v/>
      </c>
      <c r="Q3">
        <f>IF($A3="","",COUNTIFS('Таблиця 1'!$B:$B,$A3,'Таблиця 1'!$E:$E,"група РЕР",'Таблиця 1'!$L:$L,"Уражено"))</f>
        <v/>
      </c>
      <c r="R3">
        <f>IF($A3="","",COUNTIFS('Таблиця 1'!$B:$B,$A3,'Таблиця 1'!$E:$E,"РЛС КББ",'Таблиця 1'!$L:$L,"Уражено"))</f>
        <v/>
      </c>
      <c r="S3">
        <f>IF($A3="","",COUNTIFS('Таблиця 1'!$B:$B,$A3,'Таблиця 1'!$E:$E,"Ретранслятор",'Таблиця 1'!$L:$L,"Уражено"))</f>
        <v/>
      </c>
      <c r="T3">
        <f>IF($A3="","",COUNTIFS('Таблиця 1'!$B:$B,$A3,'Таблиця 1'!$E:$E,"Вз.зв'язку",'Таблиця 1'!$L:$L,"Уражено"))</f>
        <v/>
      </c>
      <c r="U3">
        <f>IF($A3="","",COUNTIFS('Таблиця 1'!$B:$B,$A3,'Таблиця 1'!$E:$E,"ПММ",'Таблиця 1'!$L:$L,"Уражено"))</f>
        <v/>
      </c>
      <c r="V3">
        <f>IF($A3="","",COUNTIFS('Таблиця 1'!$B:$B,$A3,'Таблиця 1'!$E:$E,"ІФС",'Таблиця 1'!$L:$L,"Уражено"))</f>
        <v/>
      </c>
      <c r="W3">
        <f>IF($A3="","",COUNTIFS('Таблиця 1'!$B:$B,$A3,'Таблиця 1'!$E:$E,"Інфраструктура",'Таблиця 1'!$L:$L,"Уражено"))</f>
        <v/>
      </c>
      <c r="X3">
        <f>IF($A3="","",SUMIFS('Таблиця 1'!$K:$K,'Таблиця 1'!$B:$B,$A3))</f>
        <v/>
      </c>
    </row>
    <row r="4">
      <c r="A4" s="81">
        <f>IF(A3="","",IF(A3+1&gt;MAX('Таблиця 1'!$B:$B),"",A3+1))</f>
        <v/>
      </c>
      <c r="B4">
        <f>IF($A4="","",COUNTIFS('Таблиця 1'!$B:$B,$A4,'Таблиця 1'!$E:$E,"ЖС ВЗ",'Таблиця 1'!$L:$L,"Уражено"))</f>
        <v/>
      </c>
      <c r="C4">
        <f>IF($A4="","",COUNTIFS('Таблиця 1'!$B:$B,$A4,'Таблиця 1'!$E:$E,"Арт. Системи",'Таблиця 1'!$L:$L,"Уражено"))</f>
        <v/>
      </c>
      <c r="D4">
        <f>IF($A4="","",COUNTIFS('Таблиця 1'!$B:$B,$A4,'Таблиця 1'!$E:$E,"ОВТ",'Таблиця 1'!$L:$L,"Уражено"))</f>
        <v/>
      </c>
      <c r="E4">
        <f>IF($A4="","",COUNTIFS('Таблиця 1'!$B:$B,$A4,'Таблиця 1'!$E:$E,"ППО",'Таблиця 1'!$L:$L,"Уражено"))</f>
        <v/>
      </c>
      <c r="F4">
        <f>IF($A4="","",COUNTIFS('Таблиця 1'!$B:$B,$A4,'Таблиця 1'!$E:$E,"Рембаза",'Таблиця 1'!$L:$L,"Уражено"))</f>
        <v/>
      </c>
      <c r="G4">
        <f>IF($A4="","",COUNTIFS('Таблиця 1'!$B:$B,$A4,'Таблиця 1'!$E:$E,"Склад БК",'Таблиця 1'!$L:$L,"Уражено"))</f>
        <v/>
      </c>
      <c r="H4">
        <f>IF($A4="","",COUNTIFS('Таблиця 1'!$B:$B,$A4,'Таблиця 1'!$E:$E,"Склад ВТМ",'Таблиця 1'!$L:$L,"Уражено"))</f>
        <v/>
      </c>
      <c r="I4">
        <f>IF($A4="","",COUNTIFS('Таблиця 1'!$B:$B,$A4,'Таблиця 1'!$E:$E,"ПУ БпЛА",'Таблиця 1'!$L:$L,"Уражено"))</f>
        <v/>
      </c>
      <c r="J4">
        <f>IF($A4="","",COUNTIFS('Таблиця 1'!$B:$B,$A4,'Таблиця 1'!$E:$E,"СП",'Таблиця 1'!$L:$L,"Уражено"))</f>
        <v/>
      </c>
      <c r="K4">
        <f>IF($A4="","",COUNTIFS('Таблиця 1'!$B:$B,$A4,'Таблиця 1'!$E:$E,"КСП роти",'Таблиця 1'!$L:$L,"Уражено"))</f>
        <v/>
      </c>
      <c r="L4">
        <f>IF($A4="","",COUNTIFS('Таблиця 1'!$B:$B,$A4,'Таблиця 1'!$E:$E,"ПУ бат",'Таблиця 1'!$L:$L,"Уражено"))</f>
        <v/>
      </c>
      <c r="M4">
        <f>IF($A4="","",COUNTIFS('Таблиця 1'!$B:$B,$A4,'Таблиця 1'!$E:$E,"ПУ бриг",'Таблиця 1'!$L:$L,"Уражено"))</f>
        <v/>
      </c>
      <c r="N4">
        <f>IF($A4="","",COUNTIFS('Таблиця 1'!$B:$B,$A4,'Таблиця 1'!$E:$E,"ПУ див",'Таблиця 1'!$L:$L,"Уражено"))</f>
        <v/>
      </c>
      <c r="O4">
        <f>IF($A4="","",COUNTIFS('Таблиця 1'!$B:$B,$A4,'Таблиця 1'!$E:$E,"обл. РЕБ",'Таблиця 1'!$L:$L,"Уражено"))</f>
        <v/>
      </c>
      <c r="P4">
        <f>IF($A4="","",COUNTIFS('Таблиця 1'!$B:$B,$A4,'Таблиця 1'!$E:$E,"пос РЕБ",'Таблиця 1'!$L:$L,"Уражено"))</f>
        <v/>
      </c>
      <c r="Q4">
        <f>IF($A4="","",COUNTIFS('Таблиця 1'!$B:$B,$A4,'Таблиця 1'!$E:$E,"група РЕР",'Таблиця 1'!$L:$L,"Уражено"))</f>
        <v/>
      </c>
      <c r="R4">
        <f>IF($A4="","",COUNTIFS('Таблиця 1'!$B:$B,$A4,'Таблиця 1'!$E:$E,"РЛС КББ",'Таблиця 1'!$L:$L,"Уражено"))</f>
        <v/>
      </c>
      <c r="S4">
        <f>IF($A4="","",COUNTIFS('Таблиця 1'!$B:$B,$A4,'Таблиця 1'!$E:$E,"Ретранслятор",'Таблиця 1'!$L:$L,"Уражено"))</f>
        <v/>
      </c>
      <c r="T4">
        <f>IF($A4="","",COUNTIFS('Таблиця 1'!$B:$B,$A4,'Таблиця 1'!$E:$E,"Вз.зв'язку",'Таблиця 1'!$L:$L,"Уражено"))</f>
        <v/>
      </c>
      <c r="U4">
        <f>IF($A4="","",COUNTIFS('Таблиця 1'!$B:$B,$A4,'Таблиця 1'!$E:$E,"ПММ",'Таблиця 1'!$L:$L,"Уражено"))</f>
        <v/>
      </c>
      <c r="V4">
        <f>IF($A4="","",COUNTIFS('Таблиця 1'!$B:$B,$A4,'Таблиця 1'!$E:$E,"ІФС",'Таблиця 1'!$L:$L,"Уражено"))</f>
        <v/>
      </c>
      <c r="W4">
        <f>IF($A4="","",COUNTIFS('Таблиця 1'!$B:$B,$A4,'Таблиця 1'!$E:$E,"Інфраструктура",'Таблиця 1'!$L:$L,"Уражено"))</f>
        <v/>
      </c>
      <c r="X4">
        <f>IF($A4="","",SUMIFS('Таблиця 1'!$K:$K,'Таблиця 1'!$B:$B,$A4))</f>
        <v/>
      </c>
    </row>
    <row r="5">
      <c r="A5" s="81">
        <f>IF(A4="","",IF(A4+1&gt;MAX('Таблиця 1'!$B:$B),"",A4+1))</f>
        <v/>
      </c>
      <c r="B5">
        <f>IF($A5="","",COUNTIFS('Таблиця 1'!$B:$B,$A5,'Таблиця 1'!$E:$E,"ЖС ВЗ",'Таблиця 1'!$L:$L,"Уражено"))</f>
        <v/>
      </c>
      <c r="C5">
        <f>IF($A5="","",COUNTIFS('Таблиця 1'!$B:$B,$A5,'Таблиця 1'!$E:$E,"Арт. Системи",'Таблиця 1'!$L:$L,"Уражено"))</f>
        <v/>
      </c>
      <c r="D5">
        <f>IF($A5="","",COUNTIFS('Таблиця 1'!$B:$B,$A5,'Таблиця 1'!$E:$E,"ОВТ",'Таблиця 1'!$L:$L,"Уражено"))</f>
        <v/>
      </c>
      <c r="E5">
        <f>IF($A5="","",COUNTIFS('Таблиця 1'!$B:$B,$A5,'Таблиця 1'!$E:$E,"ППО",'Таблиця 1'!$L:$L,"Уражено"))</f>
        <v/>
      </c>
      <c r="F5">
        <f>IF($A5="","",COUNTIFS('Таблиця 1'!$B:$B,$A5,'Таблиця 1'!$E:$E,"Рембаза",'Таблиця 1'!$L:$L,"Уражено"))</f>
        <v/>
      </c>
      <c r="G5">
        <f>IF($A5="","",COUNTIFS('Таблиця 1'!$B:$B,$A5,'Таблиця 1'!$E:$E,"Склад БК",'Таблиця 1'!$L:$L,"Уражено"))</f>
        <v/>
      </c>
      <c r="H5">
        <f>IF($A5="","",COUNTIFS('Таблиця 1'!$B:$B,$A5,'Таблиця 1'!$E:$E,"Склад ВТМ",'Таблиця 1'!$L:$L,"Уражено"))</f>
        <v/>
      </c>
      <c r="I5">
        <f>IF($A5="","",COUNTIFS('Таблиця 1'!$B:$B,$A5,'Таблиця 1'!$E:$E,"ПУ БпЛА",'Таблиця 1'!$L:$L,"Уражено"))</f>
        <v/>
      </c>
      <c r="J5">
        <f>IF($A5="","",COUNTIFS('Таблиця 1'!$B:$B,$A5,'Таблиця 1'!$E:$E,"СП",'Таблиця 1'!$L:$L,"Уражено"))</f>
        <v/>
      </c>
      <c r="K5">
        <f>IF($A5="","",COUNTIFS('Таблиця 1'!$B:$B,$A5,'Таблиця 1'!$E:$E,"КСП роти",'Таблиця 1'!$L:$L,"Уражено"))</f>
        <v/>
      </c>
      <c r="L5">
        <f>IF($A5="","",COUNTIFS('Таблиця 1'!$B:$B,$A5,'Таблиця 1'!$E:$E,"ПУ бат",'Таблиця 1'!$L:$L,"Уражено"))</f>
        <v/>
      </c>
      <c r="M5">
        <f>IF($A5="","",COUNTIFS('Таблиця 1'!$B:$B,$A5,'Таблиця 1'!$E:$E,"ПУ бриг",'Таблиця 1'!$L:$L,"Уражено"))</f>
        <v/>
      </c>
      <c r="N5">
        <f>IF($A5="","",COUNTIFS('Таблиця 1'!$B:$B,$A5,'Таблиця 1'!$E:$E,"ПУ див",'Таблиця 1'!$L:$L,"Уражено"))</f>
        <v/>
      </c>
      <c r="O5">
        <f>IF($A5="","",COUNTIFS('Таблиця 1'!$B:$B,$A5,'Таблиця 1'!$E:$E,"обл. РЕБ",'Таблиця 1'!$L:$L,"Уражено"))</f>
        <v/>
      </c>
      <c r="P5">
        <f>IF($A5="","",COUNTIFS('Таблиця 1'!$B:$B,$A5,'Таблиця 1'!$E:$E,"пос РЕБ",'Таблиця 1'!$L:$L,"Уражено"))</f>
        <v/>
      </c>
      <c r="Q5">
        <f>IF($A5="","",COUNTIFS('Таблиця 1'!$B:$B,$A5,'Таблиця 1'!$E:$E,"група РЕР",'Таблиця 1'!$L:$L,"Уражено"))</f>
        <v/>
      </c>
      <c r="R5">
        <f>IF($A5="","",COUNTIFS('Таблиця 1'!$B:$B,$A5,'Таблиця 1'!$E:$E,"РЛС КББ",'Таблиця 1'!$L:$L,"Уражено"))</f>
        <v/>
      </c>
      <c r="S5">
        <f>IF($A5="","",COUNTIFS('Таблиця 1'!$B:$B,$A5,'Таблиця 1'!$E:$E,"Ретранслятор",'Таблиця 1'!$L:$L,"Уражено"))</f>
        <v/>
      </c>
      <c r="T5">
        <f>IF($A5="","",COUNTIFS('Таблиця 1'!$B:$B,$A5,'Таблиця 1'!$E:$E,"Вз.зв'язку",'Таблиця 1'!$L:$L,"Уражено"))</f>
        <v/>
      </c>
      <c r="U5">
        <f>IF($A5="","",COUNTIFS('Таблиця 1'!$B:$B,$A5,'Таблиця 1'!$E:$E,"ПММ",'Таблиця 1'!$L:$L,"Уражено"))</f>
        <v/>
      </c>
      <c r="V5">
        <f>IF($A5="","",COUNTIFS('Таблиця 1'!$B:$B,$A5,'Таблиця 1'!$E:$E,"ІФС",'Таблиця 1'!$L:$L,"Уражено"))</f>
        <v/>
      </c>
      <c r="W5">
        <f>IF($A5="","",COUNTIFS('Таблиця 1'!$B:$B,$A5,'Таблиця 1'!$E:$E,"Інфраструктура",'Таблиця 1'!$L:$L,"Уражено"))</f>
        <v/>
      </c>
      <c r="X5">
        <f>IF($A5="","",SUMIFS('Таблиця 1'!$K:$K,'Таблиця 1'!$B:$B,$A5))</f>
        <v/>
      </c>
    </row>
    <row r="6">
      <c r="A6" s="81">
        <f>IF(A5="","",IF(A5+1&gt;MAX('Таблиця 1'!$B:$B),"",A5+1))</f>
        <v/>
      </c>
      <c r="B6">
        <f>IF($A6="","",COUNTIFS('Таблиця 1'!$B:$B,$A6,'Таблиця 1'!$E:$E,"ЖС ВЗ",'Таблиця 1'!$L:$L,"Уражено"))</f>
        <v/>
      </c>
      <c r="C6">
        <f>IF($A6="","",COUNTIFS('Таблиця 1'!$B:$B,$A6,'Таблиця 1'!$E:$E,"Арт. Системи",'Таблиця 1'!$L:$L,"Уражено"))</f>
        <v/>
      </c>
      <c r="D6">
        <f>IF($A6="","",COUNTIFS('Таблиця 1'!$B:$B,$A6,'Таблиця 1'!$E:$E,"ОВТ",'Таблиця 1'!$L:$L,"Уражено"))</f>
        <v/>
      </c>
      <c r="E6">
        <f>IF($A6="","",COUNTIFS('Таблиця 1'!$B:$B,$A6,'Таблиця 1'!$E:$E,"ППО",'Таблиця 1'!$L:$L,"Уражено"))</f>
        <v/>
      </c>
      <c r="F6">
        <f>IF($A6="","",COUNTIFS('Таблиця 1'!$B:$B,$A6,'Таблиця 1'!$E:$E,"Рембаза",'Таблиця 1'!$L:$L,"Уражено"))</f>
        <v/>
      </c>
      <c r="G6">
        <f>IF($A6="","",COUNTIFS('Таблиця 1'!$B:$B,$A6,'Таблиця 1'!$E:$E,"Склад БК",'Таблиця 1'!$L:$L,"Уражено"))</f>
        <v/>
      </c>
      <c r="H6">
        <f>IF($A6="","",COUNTIFS('Таблиця 1'!$B:$B,$A6,'Таблиця 1'!$E:$E,"Склад ВТМ",'Таблиця 1'!$L:$L,"Уражено"))</f>
        <v/>
      </c>
      <c r="I6">
        <f>IF($A6="","",COUNTIFS('Таблиця 1'!$B:$B,$A6,'Таблиця 1'!$E:$E,"ПУ БпЛА",'Таблиця 1'!$L:$L,"Уражено"))</f>
        <v/>
      </c>
      <c r="J6">
        <f>IF($A6="","",COUNTIFS('Таблиця 1'!$B:$B,$A6,'Таблиця 1'!$E:$E,"СП",'Таблиця 1'!$L:$L,"Уражено"))</f>
        <v/>
      </c>
      <c r="K6">
        <f>IF($A6="","",COUNTIFS('Таблиця 1'!$B:$B,$A6,'Таблиця 1'!$E:$E,"КСП роти",'Таблиця 1'!$L:$L,"Уражено"))</f>
        <v/>
      </c>
      <c r="L6">
        <f>IF($A6="","",COUNTIFS('Таблиця 1'!$B:$B,$A6,'Таблиця 1'!$E:$E,"ПУ бат",'Таблиця 1'!$L:$L,"Уражено"))</f>
        <v/>
      </c>
      <c r="M6">
        <f>IF($A6="","",COUNTIFS('Таблиця 1'!$B:$B,$A6,'Таблиця 1'!$E:$E,"ПУ бриг",'Таблиця 1'!$L:$L,"Уражено"))</f>
        <v/>
      </c>
      <c r="N6">
        <f>IF($A6="","",COUNTIFS('Таблиця 1'!$B:$B,$A6,'Таблиця 1'!$E:$E,"ПУ див",'Таблиця 1'!$L:$L,"Уражено"))</f>
        <v/>
      </c>
      <c r="O6">
        <f>IF($A6="","",COUNTIFS('Таблиця 1'!$B:$B,$A6,'Таблиця 1'!$E:$E,"обл. РЕБ",'Таблиця 1'!$L:$L,"Уражено"))</f>
        <v/>
      </c>
      <c r="P6">
        <f>IF($A6="","",COUNTIFS('Таблиця 1'!$B:$B,$A6,'Таблиця 1'!$E:$E,"пос РЕБ",'Таблиця 1'!$L:$L,"Уражено"))</f>
        <v/>
      </c>
      <c r="Q6">
        <f>IF($A6="","",COUNTIFS('Таблиця 1'!$B:$B,$A6,'Таблиця 1'!$E:$E,"група РЕР",'Таблиця 1'!$L:$L,"Уражено"))</f>
        <v/>
      </c>
      <c r="R6">
        <f>IF($A6="","",COUNTIFS('Таблиця 1'!$B:$B,$A6,'Таблиця 1'!$E:$E,"РЛС КББ",'Таблиця 1'!$L:$L,"Уражено"))</f>
        <v/>
      </c>
      <c r="S6">
        <f>IF($A6="","",COUNTIFS('Таблиця 1'!$B:$B,$A6,'Таблиця 1'!$E:$E,"Ретранслятор",'Таблиця 1'!$L:$L,"Уражено"))</f>
        <v/>
      </c>
      <c r="T6">
        <f>IF($A6="","",COUNTIFS('Таблиця 1'!$B:$B,$A6,'Таблиця 1'!$E:$E,"Вз.зв'язку",'Таблиця 1'!$L:$L,"Уражено"))</f>
        <v/>
      </c>
      <c r="U6">
        <f>IF($A6="","",COUNTIFS('Таблиця 1'!$B:$B,$A6,'Таблиця 1'!$E:$E,"ПММ",'Таблиця 1'!$L:$L,"Уражено"))</f>
        <v/>
      </c>
      <c r="V6">
        <f>IF($A6="","",COUNTIFS('Таблиця 1'!$B:$B,$A6,'Таблиця 1'!$E:$E,"ІФС",'Таблиця 1'!$L:$L,"Уражено"))</f>
        <v/>
      </c>
      <c r="W6">
        <f>IF($A6="","",COUNTIFS('Таблиця 1'!$B:$B,$A6,'Таблиця 1'!$E:$E,"Інфраструктура",'Таблиця 1'!$L:$L,"Уражено"))</f>
        <v/>
      </c>
      <c r="X6">
        <f>IF($A6="","",SUMIFS('Таблиця 1'!$K:$K,'Таблиця 1'!$B:$B,$A6))</f>
        <v/>
      </c>
    </row>
    <row r="7">
      <c r="A7" s="81">
        <f>IF(A6="","",IF(A6+1&gt;MAX('Таблиця 1'!$B:$B),"",A6+1))</f>
        <v/>
      </c>
      <c r="B7">
        <f>IF($A7="","",COUNTIFS('Таблиця 1'!$B:$B,$A7,'Таблиця 1'!$E:$E,"ЖС ВЗ",'Таблиця 1'!$L:$L,"Уражено"))</f>
        <v/>
      </c>
      <c r="C7">
        <f>IF($A7="","",COUNTIFS('Таблиця 1'!$B:$B,$A7,'Таблиця 1'!$E:$E,"Арт. Системи",'Таблиця 1'!$L:$L,"Уражено"))</f>
        <v/>
      </c>
      <c r="D7">
        <f>IF($A7="","",COUNTIFS('Таблиця 1'!$B:$B,$A7,'Таблиця 1'!$E:$E,"ОВТ",'Таблиця 1'!$L:$L,"Уражено"))</f>
        <v/>
      </c>
      <c r="E7">
        <f>IF($A7="","",COUNTIFS('Таблиця 1'!$B:$B,$A7,'Таблиця 1'!$E:$E,"ППО",'Таблиця 1'!$L:$L,"Уражено"))</f>
        <v/>
      </c>
      <c r="F7">
        <f>IF($A7="","",COUNTIFS('Таблиця 1'!$B:$B,$A7,'Таблиця 1'!$E:$E,"Рембаза",'Таблиця 1'!$L:$L,"Уражено"))</f>
        <v/>
      </c>
      <c r="G7">
        <f>IF($A7="","",COUNTIFS('Таблиця 1'!$B:$B,$A7,'Таблиця 1'!$E:$E,"Склад БК",'Таблиця 1'!$L:$L,"Уражено"))</f>
        <v/>
      </c>
      <c r="H7">
        <f>IF($A7="","",COUNTIFS('Таблиця 1'!$B:$B,$A7,'Таблиця 1'!$E:$E,"Склад ВТМ",'Таблиця 1'!$L:$L,"Уражено"))</f>
        <v/>
      </c>
      <c r="I7">
        <f>IF($A7="","",COUNTIFS('Таблиця 1'!$B:$B,$A7,'Таблиця 1'!$E:$E,"ПУ БпЛА",'Таблиця 1'!$L:$L,"Уражено"))</f>
        <v/>
      </c>
      <c r="J7">
        <f>IF($A7="","",COUNTIFS('Таблиця 1'!$B:$B,$A7,'Таблиця 1'!$E:$E,"СП",'Таблиця 1'!$L:$L,"Уражено"))</f>
        <v/>
      </c>
      <c r="K7">
        <f>IF($A7="","",COUNTIFS('Таблиця 1'!$B:$B,$A7,'Таблиця 1'!$E:$E,"КСП роти",'Таблиця 1'!$L:$L,"Уражено"))</f>
        <v/>
      </c>
      <c r="L7">
        <f>IF($A7="","",COUNTIFS('Таблиця 1'!$B:$B,$A7,'Таблиця 1'!$E:$E,"ПУ бат",'Таблиця 1'!$L:$L,"Уражено"))</f>
        <v/>
      </c>
      <c r="M7">
        <f>IF($A7="","",COUNTIFS('Таблиця 1'!$B:$B,$A7,'Таблиця 1'!$E:$E,"ПУ бриг",'Таблиця 1'!$L:$L,"Уражено"))</f>
        <v/>
      </c>
      <c r="N7">
        <f>IF($A7="","",COUNTIFS('Таблиця 1'!$B:$B,$A7,'Таблиця 1'!$E:$E,"ПУ див",'Таблиця 1'!$L:$L,"Уражено"))</f>
        <v/>
      </c>
      <c r="O7">
        <f>IF($A7="","",COUNTIFS('Таблиця 1'!$B:$B,$A7,'Таблиця 1'!$E:$E,"обл. РЕБ",'Таблиця 1'!$L:$L,"Уражено"))</f>
        <v/>
      </c>
      <c r="P7">
        <f>IF($A7="","",COUNTIFS('Таблиця 1'!$B:$B,$A7,'Таблиця 1'!$E:$E,"пос РЕБ",'Таблиця 1'!$L:$L,"Уражено"))</f>
        <v/>
      </c>
      <c r="Q7">
        <f>IF($A7="","",COUNTIFS('Таблиця 1'!$B:$B,$A7,'Таблиця 1'!$E:$E,"група РЕР",'Таблиця 1'!$L:$L,"Уражено"))</f>
        <v/>
      </c>
      <c r="R7">
        <f>IF($A7="","",COUNTIFS('Таблиця 1'!$B:$B,$A7,'Таблиця 1'!$E:$E,"РЛС КББ",'Таблиця 1'!$L:$L,"Уражено"))</f>
        <v/>
      </c>
      <c r="S7">
        <f>IF($A7="","",COUNTIFS('Таблиця 1'!$B:$B,$A7,'Таблиця 1'!$E:$E,"Ретранслятор",'Таблиця 1'!$L:$L,"Уражено"))</f>
        <v/>
      </c>
      <c r="T7">
        <f>IF($A7="","",COUNTIFS('Таблиця 1'!$B:$B,$A7,'Таблиця 1'!$E:$E,"Вз.зв'язку",'Таблиця 1'!$L:$L,"Уражено"))</f>
        <v/>
      </c>
      <c r="U7">
        <f>IF($A7="","",COUNTIFS('Таблиця 1'!$B:$B,$A7,'Таблиця 1'!$E:$E,"ПММ",'Таблиця 1'!$L:$L,"Уражено"))</f>
        <v/>
      </c>
      <c r="V7">
        <f>IF($A7="","",COUNTIFS('Таблиця 1'!$B:$B,$A7,'Таблиця 1'!$E:$E,"ІФС",'Таблиця 1'!$L:$L,"Уражено"))</f>
        <v/>
      </c>
      <c r="W7">
        <f>IF($A7="","",COUNTIFS('Таблиця 1'!$B:$B,$A7,'Таблиця 1'!$E:$E,"Інфраструктура",'Таблиця 1'!$L:$L,"Уражено"))</f>
        <v/>
      </c>
      <c r="X7">
        <f>IF($A7="","",SUMIFS('Таблиця 1'!$K:$K,'Таблиця 1'!$B:$B,$A7))</f>
        <v/>
      </c>
    </row>
    <row r="8">
      <c r="A8" s="81">
        <f>IF(A7="","",IF(A7+1&gt;MAX('Таблиця 1'!$B:$B),"",A7+1))</f>
        <v/>
      </c>
      <c r="B8">
        <f>IF($A8="","",COUNTIFS('Таблиця 1'!$B:$B,$A8,'Таблиця 1'!$E:$E,"ЖС ВЗ",'Таблиця 1'!$L:$L,"Уражено"))</f>
        <v/>
      </c>
      <c r="C8">
        <f>IF($A8="","",COUNTIFS('Таблиця 1'!$B:$B,$A8,'Таблиця 1'!$E:$E,"Арт. Системи",'Таблиця 1'!$L:$L,"Уражено"))</f>
        <v/>
      </c>
      <c r="D8">
        <f>IF($A8="","",COUNTIFS('Таблиця 1'!$B:$B,$A8,'Таблиця 1'!$E:$E,"ОВТ",'Таблиця 1'!$L:$L,"Уражено"))</f>
        <v/>
      </c>
      <c r="E8">
        <f>IF($A8="","",COUNTIFS('Таблиця 1'!$B:$B,$A8,'Таблиця 1'!$E:$E,"ППО",'Таблиця 1'!$L:$L,"Уражено"))</f>
        <v/>
      </c>
      <c r="F8">
        <f>IF($A8="","",COUNTIFS('Таблиця 1'!$B:$B,$A8,'Таблиця 1'!$E:$E,"Рембаза",'Таблиця 1'!$L:$L,"Уражено"))</f>
        <v/>
      </c>
      <c r="G8">
        <f>IF($A8="","",COUNTIFS('Таблиця 1'!$B:$B,$A8,'Таблиця 1'!$E:$E,"Склад БК",'Таблиця 1'!$L:$L,"Уражено"))</f>
        <v/>
      </c>
      <c r="H8">
        <f>IF($A8="","",COUNTIFS('Таблиця 1'!$B:$B,$A8,'Таблиця 1'!$E:$E,"Склад ВТМ",'Таблиця 1'!$L:$L,"Уражено"))</f>
        <v/>
      </c>
      <c r="I8">
        <f>IF($A8="","",COUNTIFS('Таблиця 1'!$B:$B,$A8,'Таблиця 1'!$E:$E,"ПУ БпЛА",'Таблиця 1'!$L:$L,"Уражено"))</f>
        <v/>
      </c>
      <c r="J8">
        <f>IF($A8="","",COUNTIFS('Таблиця 1'!$B:$B,$A8,'Таблиця 1'!$E:$E,"СП",'Таблиця 1'!$L:$L,"Уражено"))</f>
        <v/>
      </c>
      <c r="K8">
        <f>IF($A8="","",COUNTIFS('Таблиця 1'!$B:$B,$A8,'Таблиця 1'!$E:$E,"КСП роти",'Таблиця 1'!$L:$L,"Уражено"))</f>
        <v/>
      </c>
      <c r="L8">
        <f>IF($A8="","",COUNTIFS('Таблиця 1'!$B:$B,$A8,'Таблиця 1'!$E:$E,"ПУ бат",'Таблиця 1'!$L:$L,"Уражено"))</f>
        <v/>
      </c>
      <c r="M8">
        <f>IF($A8="","",COUNTIFS('Таблиця 1'!$B:$B,$A8,'Таблиця 1'!$E:$E,"ПУ бриг",'Таблиця 1'!$L:$L,"Уражено"))</f>
        <v/>
      </c>
      <c r="N8">
        <f>IF($A8="","",COUNTIFS('Таблиця 1'!$B:$B,$A8,'Таблиця 1'!$E:$E,"ПУ див",'Таблиця 1'!$L:$L,"Уражено"))</f>
        <v/>
      </c>
      <c r="O8">
        <f>IF($A8="","",COUNTIFS('Таблиця 1'!$B:$B,$A8,'Таблиця 1'!$E:$E,"обл. РЕБ",'Таблиця 1'!$L:$L,"Уражено"))</f>
        <v/>
      </c>
      <c r="P8">
        <f>IF($A8="","",COUNTIFS('Таблиця 1'!$B:$B,$A8,'Таблиця 1'!$E:$E,"пос РЕБ",'Таблиця 1'!$L:$L,"Уражено"))</f>
        <v/>
      </c>
      <c r="Q8">
        <f>IF($A8="","",COUNTIFS('Таблиця 1'!$B:$B,$A8,'Таблиця 1'!$E:$E,"група РЕР",'Таблиця 1'!$L:$L,"Уражено"))</f>
        <v/>
      </c>
      <c r="R8">
        <f>IF($A8="","",COUNTIFS('Таблиця 1'!$B:$B,$A8,'Таблиця 1'!$E:$E,"РЛС КББ",'Таблиця 1'!$L:$L,"Уражено"))</f>
        <v/>
      </c>
      <c r="S8">
        <f>IF($A8="","",COUNTIFS('Таблиця 1'!$B:$B,$A8,'Таблиця 1'!$E:$E,"Ретранслятор",'Таблиця 1'!$L:$L,"Уражено"))</f>
        <v/>
      </c>
      <c r="T8">
        <f>IF($A8="","",COUNTIFS('Таблиця 1'!$B:$B,$A8,'Таблиця 1'!$E:$E,"Вз.зв'язку",'Таблиця 1'!$L:$L,"Уражено"))</f>
        <v/>
      </c>
      <c r="U8">
        <f>IF($A8="","",COUNTIFS('Таблиця 1'!$B:$B,$A8,'Таблиця 1'!$E:$E,"ПММ",'Таблиця 1'!$L:$L,"Уражено"))</f>
        <v/>
      </c>
      <c r="V8">
        <f>IF($A8="","",COUNTIFS('Таблиця 1'!$B:$B,$A8,'Таблиця 1'!$E:$E,"ІФС",'Таблиця 1'!$L:$L,"Уражено"))</f>
        <v/>
      </c>
      <c r="W8">
        <f>IF($A8="","",COUNTIFS('Таблиця 1'!$B:$B,$A8,'Таблиця 1'!$E:$E,"Інфраструктура",'Таблиця 1'!$L:$L,"Уражено"))</f>
        <v/>
      </c>
      <c r="X8">
        <f>IF($A8="","",SUMIFS('Таблиця 1'!$K:$K,'Таблиця 1'!$B:$B,$A8))</f>
        <v/>
      </c>
    </row>
    <row r="9">
      <c r="A9" s="81">
        <f>IF(A8="","",IF(A8+1&gt;MAX('Таблиця 1'!$B:$B),"",A8+1))</f>
        <v/>
      </c>
      <c r="B9">
        <f>IF($A9="","",COUNTIFS('Таблиця 1'!$B:$B,$A9,'Таблиця 1'!$E:$E,"ЖС ВЗ",'Таблиця 1'!$L:$L,"Уражено"))</f>
        <v/>
      </c>
      <c r="C9">
        <f>IF($A9="","",COUNTIFS('Таблиця 1'!$B:$B,$A9,'Таблиця 1'!$E:$E,"Арт. Системи",'Таблиця 1'!$L:$L,"Уражено"))</f>
        <v/>
      </c>
      <c r="D9">
        <f>IF($A9="","",COUNTIFS('Таблиця 1'!$B:$B,$A9,'Таблиця 1'!$E:$E,"ОВТ",'Таблиця 1'!$L:$L,"Уражено"))</f>
        <v/>
      </c>
      <c r="E9">
        <f>IF($A9="","",COUNTIFS('Таблиця 1'!$B:$B,$A9,'Таблиця 1'!$E:$E,"ППО",'Таблиця 1'!$L:$L,"Уражено"))</f>
        <v/>
      </c>
      <c r="F9">
        <f>IF($A9="","",COUNTIFS('Таблиця 1'!$B:$B,$A9,'Таблиця 1'!$E:$E,"Рембаза",'Таблиця 1'!$L:$L,"Уражено"))</f>
        <v/>
      </c>
      <c r="G9">
        <f>IF($A9="","",COUNTIFS('Таблиця 1'!$B:$B,$A9,'Таблиця 1'!$E:$E,"Склад БК",'Таблиця 1'!$L:$L,"Уражено"))</f>
        <v/>
      </c>
      <c r="H9">
        <f>IF($A9="","",COUNTIFS('Таблиця 1'!$B:$B,$A9,'Таблиця 1'!$E:$E,"Склад ВТМ",'Таблиця 1'!$L:$L,"Уражено"))</f>
        <v/>
      </c>
      <c r="I9">
        <f>IF($A9="","",COUNTIFS('Таблиця 1'!$B:$B,$A9,'Таблиця 1'!$E:$E,"ПУ БпЛА",'Таблиця 1'!$L:$L,"Уражено"))</f>
        <v/>
      </c>
      <c r="J9">
        <f>IF($A9="","",COUNTIFS('Таблиця 1'!$B:$B,$A9,'Таблиця 1'!$E:$E,"СП",'Таблиця 1'!$L:$L,"Уражено"))</f>
        <v/>
      </c>
      <c r="K9">
        <f>IF($A9="","",COUNTIFS('Таблиця 1'!$B:$B,$A9,'Таблиця 1'!$E:$E,"КСП роти",'Таблиця 1'!$L:$L,"Уражено"))</f>
        <v/>
      </c>
      <c r="L9">
        <f>IF($A9="","",COUNTIFS('Таблиця 1'!$B:$B,$A9,'Таблиця 1'!$E:$E,"ПУ бат",'Таблиця 1'!$L:$L,"Уражено"))</f>
        <v/>
      </c>
      <c r="M9">
        <f>IF($A9="","",COUNTIFS('Таблиця 1'!$B:$B,$A9,'Таблиця 1'!$E:$E,"ПУ бриг",'Таблиця 1'!$L:$L,"Уражено"))</f>
        <v/>
      </c>
      <c r="N9">
        <f>IF($A9="","",COUNTIFS('Таблиця 1'!$B:$B,$A9,'Таблиця 1'!$E:$E,"ПУ див",'Таблиця 1'!$L:$L,"Уражено"))</f>
        <v/>
      </c>
      <c r="O9">
        <f>IF($A9="","",COUNTIFS('Таблиця 1'!$B:$B,$A9,'Таблиця 1'!$E:$E,"обл. РЕБ",'Таблиця 1'!$L:$L,"Уражено"))</f>
        <v/>
      </c>
      <c r="P9">
        <f>IF($A9="","",COUNTIFS('Таблиця 1'!$B:$B,$A9,'Таблиця 1'!$E:$E,"пос РЕБ",'Таблиця 1'!$L:$L,"Уражено"))</f>
        <v/>
      </c>
      <c r="Q9">
        <f>IF($A9="","",COUNTIFS('Таблиця 1'!$B:$B,$A9,'Таблиця 1'!$E:$E,"група РЕР",'Таблиця 1'!$L:$L,"Уражено"))</f>
        <v/>
      </c>
      <c r="R9">
        <f>IF($A9="","",COUNTIFS('Таблиця 1'!$B:$B,$A9,'Таблиця 1'!$E:$E,"РЛС КББ",'Таблиця 1'!$L:$L,"Уражено"))</f>
        <v/>
      </c>
      <c r="S9">
        <f>IF($A9="","",COUNTIFS('Таблиця 1'!$B:$B,$A9,'Таблиця 1'!$E:$E,"Ретранслятор",'Таблиця 1'!$L:$L,"Уражено"))</f>
        <v/>
      </c>
      <c r="T9">
        <f>IF($A9="","",COUNTIFS('Таблиця 1'!$B:$B,$A9,'Таблиця 1'!$E:$E,"Вз.зв'язку",'Таблиця 1'!$L:$L,"Уражено"))</f>
        <v/>
      </c>
      <c r="U9">
        <f>IF($A9="","",COUNTIFS('Таблиця 1'!$B:$B,$A9,'Таблиця 1'!$E:$E,"ПММ",'Таблиця 1'!$L:$L,"Уражено"))</f>
        <v/>
      </c>
      <c r="V9">
        <f>IF($A9="","",COUNTIFS('Таблиця 1'!$B:$B,$A9,'Таблиця 1'!$E:$E,"ІФС",'Таблиця 1'!$L:$L,"Уражено"))</f>
        <v/>
      </c>
      <c r="W9">
        <f>IF($A9="","",COUNTIFS('Таблиця 1'!$B:$B,$A9,'Таблиця 1'!$E:$E,"Інфраструктура",'Таблиця 1'!$L:$L,"Уражено"))</f>
        <v/>
      </c>
      <c r="X9">
        <f>IF($A9="","",SUMIFS('Таблиця 1'!$K:$K,'Таблиця 1'!$B:$B,$A9))</f>
        <v/>
      </c>
    </row>
    <row r="10">
      <c r="A10" s="81">
        <f>IF(A9="","",IF(A9+1&gt;MAX('Таблиця 1'!$B:$B),"",A9+1))</f>
        <v/>
      </c>
      <c r="B10">
        <f>IF($A10="","",COUNTIFS('Таблиця 1'!$B:$B,$A10,'Таблиця 1'!$E:$E,"ЖС ВЗ",'Таблиця 1'!$L:$L,"Уражено"))</f>
        <v/>
      </c>
      <c r="C10">
        <f>IF($A10="","",COUNTIFS('Таблиця 1'!$B:$B,$A10,'Таблиця 1'!$E:$E,"Арт. Системи",'Таблиця 1'!$L:$L,"Уражено"))</f>
        <v/>
      </c>
      <c r="D10">
        <f>IF($A10="","",COUNTIFS('Таблиця 1'!$B:$B,$A10,'Таблиця 1'!$E:$E,"ОВТ",'Таблиця 1'!$L:$L,"Уражено"))</f>
        <v/>
      </c>
      <c r="E10">
        <f>IF($A10="","",COUNTIFS('Таблиця 1'!$B:$B,$A10,'Таблиця 1'!$E:$E,"ППО",'Таблиця 1'!$L:$L,"Уражено"))</f>
        <v/>
      </c>
      <c r="F10">
        <f>IF($A10="","",COUNTIFS('Таблиця 1'!$B:$B,$A10,'Таблиця 1'!$E:$E,"Рембаза",'Таблиця 1'!$L:$L,"Уражено"))</f>
        <v/>
      </c>
      <c r="G10">
        <f>IF($A10="","",COUNTIFS('Таблиця 1'!$B:$B,$A10,'Таблиця 1'!$E:$E,"Склад БК",'Таблиця 1'!$L:$L,"Уражено"))</f>
        <v/>
      </c>
      <c r="H10">
        <f>IF($A10="","",COUNTIFS('Таблиця 1'!$B:$B,$A10,'Таблиця 1'!$E:$E,"Склад ВТМ",'Таблиця 1'!$L:$L,"Уражено"))</f>
        <v/>
      </c>
      <c r="I10">
        <f>IF($A10="","",COUNTIFS('Таблиця 1'!$B:$B,$A10,'Таблиця 1'!$E:$E,"ПУ БпЛА",'Таблиця 1'!$L:$L,"Уражено"))</f>
        <v/>
      </c>
      <c r="J10">
        <f>IF($A10="","",COUNTIFS('Таблиця 1'!$B:$B,$A10,'Таблиця 1'!$E:$E,"СП",'Таблиця 1'!$L:$L,"Уражено"))</f>
        <v/>
      </c>
      <c r="K10">
        <f>IF($A10="","",COUNTIFS('Таблиця 1'!$B:$B,$A10,'Таблиця 1'!$E:$E,"КСП роти",'Таблиця 1'!$L:$L,"Уражено"))</f>
        <v/>
      </c>
      <c r="L10">
        <f>IF($A10="","",COUNTIFS('Таблиця 1'!$B:$B,$A10,'Таблиця 1'!$E:$E,"ПУ бат",'Таблиця 1'!$L:$L,"Уражено"))</f>
        <v/>
      </c>
      <c r="M10">
        <f>IF($A10="","",COUNTIFS('Таблиця 1'!$B:$B,$A10,'Таблиця 1'!$E:$E,"ПУ бриг",'Таблиця 1'!$L:$L,"Уражено"))</f>
        <v/>
      </c>
      <c r="N10">
        <f>IF($A10="","",COUNTIFS('Таблиця 1'!$B:$B,$A10,'Таблиця 1'!$E:$E,"ПУ див",'Таблиця 1'!$L:$L,"Уражено"))</f>
        <v/>
      </c>
      <c r="O10">
        <f>IF($A10="","",COUNTIFS('Таблиця 1'!$B:$B,$A10,'Таблиця 1'!$E:$E,"обл. РЕБ",'Таблиця 1'!$L:$L,"Уражено"))</f>
        <v/>
      </c>
      <c r="P10">
        <f>IF($A10="","",COUNTIFS('Таблиця 1'!$B:$B,$A10,'Таблиця 1'!$E:$E,"пос РЕБ",'Таблиця 1'!$L:$L,"Уражено"))</f>
        <v/>
      </c>
      <c r="Q10">
        <f>IF($A10="","",COUNTIFS('Таблиця 1'!$B:$B,$A10,'Таблиця 1'!$E:$E,"група РЕР",'Таблиця 1'!$L:$L,"Уражено"))</f>
        <v/>
      </c>
      <c r="R10">
        <f>IF($A10="","",COUNTIFS('Таблиця 1'!$B:$B,$A10,'Таблиця 1'!$E:$E,"РЛС КББ",'Таблиця 1'!$L:$L,"Уражено"))</f>
        <v/>
      </c>
      <c r="S10">
        <f>IF($A10="","",COUNTIFS('Таблиця 1'!$B:$B,$A10,'Таблиця 1'!$E:$E,"Ретранслятор",'Таблиця 1'!$L:$L,"Уражено"))</f>
        <v/>
      </c>
      <c r="T10">
        <f>IF($A10="","",COUNTIFS('Таблиця 1'!$B:$B,$A10,'Таблиця 1'!$E:$E,"Вз.зв'язку",'Таблиця 1'!$L:$L,"Уражено"))</f>
        <v/>
      </c>
      <c r="U10">
        <f>IF($A10="","",COUNTIFS('Таблиця 1'!$B:$B,$A10,'Таблиця 1'!$E:$E,"ПММ",'Таблиця 1'!$L:$L,"Уражено"))</f>
        <v/>
      </c>
      <c r="V10">
        <f>IF($A10="","",COUNTIFS('Таблиця 1'!$B:$B,$A10,'Таблиця 1'!$E:$E,"ІФС",'Таблиця 1'!$L:$L,"Уражено"))</f>
        <v/>
      </c>
      <c r="W10">
        <f>IF($A10="","",COUNTIFS('Таблиця 1'!$B:$B,$A10,'Таблиця 1'!$E:$E,"Інфраструктура",'Таблиця 1'!$L:$L,"Уражено"))</f>
        <v/>
      </c>
      <c r="X10">
        <f>IF($A10="","",SUMIFS('Таблиця 1'!$K:$K,'Таблиця 1'!$B:$B,$A10))</f>
        <v/>
      </c>
    </row>
    <row r="11">
      <c r="A11" s="81">
        <f>IF(A10="","",IF(A10+1&gt;MAX('Таблиця 1'!$B:$B),"",A10+1))</f>
        <v/>
      </c>
      <c r="B11">
        <f>IF($A11="","",COUNTIFS('Таблиця 1'!$B:$B,$A11,'Таблиця 1'!$E:$E,"ЖС ВЗ",'Таблиця 1'!$L:$L,"Уражено"))</f>
        <v/>
      </c>
      <c r="C11">
        <f>IF($A11="","",COUNTIFS('Таблиця 1'!$B:$B,$A11,'Таблиця 1'!$E:$E,"Арт. Системи",'Таблиця 1'!$L:$L,"Уражено"))</f>
        <v/>
      </c>
      <c r="D11">
        <f>IF($A11="","",COUNTIFS('Таблиця 1'!$B:$B,$A11,'Таблиця 1'!$E:$E,"ОВТ",'Таблиця 1'!$L:$L,"Уражено"))</f>
        <v/>
      </c>
      <c r="E11">
        <f>IF($A11="","",COUNTIFS('Таблиця 1'!$B:$B,$A11,'Таблиця 1'!$E:$E,"ППО",'Таблиця 1'!$L:$L,"Уражено"))</f>
        <v/>
      </c>
      <c r="F11">
        <f>IF($A11="","",COUNTIFS('Таблиця 1'!$B:$B,$A11,'Таблиця 1'!$E:$E,"Рембаза",'Таблиця 1'!$L:$L,"Уражено"))</f>
        <v/>
      </c>
      <c r="G11">
        <f>IF($A11="","",COUNTIFS('Таблиця 1'!$B:$B,$A11,'Таблиця 1'!$E:$E,"Склад БК",'Таблиця 1'!$L:$L,"Уражено"))</f>
        <v/>
      </c>
      <c r="H11">
        <f>IF($A11="","",COUNTIFS('Таблиця 1'!$B:$B,$A11,'Таблиця 1'!$E:$E,"Склад ВТМ",'Таблиця 1'!$L:$L,"Уражено"))</f>
        <v/>
      </c>
      <c r="I11">
        <f>IF($A11="","",COUNTIFS('Таблиця 1'!$B:$B,$A11,'Таблиця 1'!$E:$E,"ПУ БпЛА",'Таблиця 1'!$L:$L,"Уражено"))</f>
        <v/>
      </c>
      <c r="J11">
        <f>IF($A11="","",COUNTIFS('Таблиця 1'!$B:$B,$A11,'Таблиця 1'!$E:$E,"СП",'Таблиця 1'!$L:$L,"Уражено"))</f>
        <v/>
      </c>
      <c r="K11">
        <f>IF($A11="","",COUNTIFS('Таблиця 1'!$B:$B,$A11,'Таблиця 1'!$E:$E,"КСП роти",'Таблиця 1'!$L:$L,"Уражено"))</f>
        <v/>
      </c>
      <c r="L11">
        <f>IF($A11="","",COUNTIFS('Таблиця 1'!$B:$B,$A11,'Таблиця 1'!$E:$E,"ПУ бат",'Таблиця 1'!$L:$L,"Уражено"))</f>
        <v/>
      </c>
      <c r="M11">
        <f>IF($A11="","",COUNTIFS('Таблиця 1'!$B:$B,$A11,'Таблиця 1'!$E:$E,"ПУ бриг",'Таблиця 1'!$L:$L,"Уражено"))</f>
        <v/>
      </c>
      <c r="N11">
        <f>IF($A11="","",COUNTIFS('Таблиця 1'!$B:$B,$A11,'Таблиця 1'!$E:$E,"ПУ див",'Таблиця 1'!$L:$L,"Уражено"))</f>
        <v/>
      </c>
      <c r="O11">
        <f>IF($A11="","",COUNTIFS('Таблиця 1'!$B:$B,$A11,'Таблиця 1'!$E:$E,"обл. РЕБ",'Таблиця 1'!$L:$L,"Уражено"))</f>
        <v/>
      </c>
      <c r="P11">
        <f>IF($A11="","",COUNTIFS('Таблиця 1'!$B:$B,$A11,'Таблиця 1'!$E:$E,"пос РЕБ",'Таблиця 1'!$L:$L,"Уражено"))</f>
        <v/>
      </c>
      <c r="Q11">
        <f>IF($A11="","",COUNTIFS('Таблиця 1'!$B:$B,$A11,'Таблиця 1'!$E:$E,"група РЕР",'Таблиця 1'!$L:$L,"Уражено"))</f>
        <v/>
      </c>
      <c r="R11">
        <f>IF($A11="","",COUNTIFS('Таблиця 1'!$B:$B,$A11,'Таблиця 1'!$E:$E,"РЛС КББ",'Таблиця 1'!$L:$L,"Уражено"))</f>
        <v/>
      </c>
      <c r="S11">
        <f>IF($A11="","",COUNTIFS('Таблиця 1'!$B:$B,$A11,'Таблиця 1'!$E:$E,"Ретранслятор",'Таблиця 1'!$L:$L,"Уражено"))</f>
        <v/>
      </c>
      <c r="T11">
        <f>IF($A11="","",COUNTIFS('Таблиця 1'!$B:$B,$A11,'Таблиця 1'!$E:$E,"Вз.зв'язку",'Таблиця 1'!$L:$L,"Уражено"))</f>
        <v/>
      </c>
      <c r="U11">
        <f>IF($A11="","",COUNTIFS('Таблиця 1'!$B:$B,$A11,'Таблиця 1'!$E:$E,"ПММ",'Таблиця 1'!$L:$L,"Уражено"))</f>
        <v/>
      </c>
      <c r="V11">
        <f>IF($A11="","",COUNTIFS('Таблиця 1'!$B:$B,$A11,'Таблиця 1'!$E:$E,"ІФС",'Таблиця 1'!$L:$L,"Уражено"))</f>
        <v/>
      </c>
      <c r="W11">
        <f>IF($A11="","",COUNTIFS('Таблиця 1'!$B:$B,$A11,'Таблиця 1'!$E:$E,"Інфраструктура",'Таблиця 1'!$L:$L,"Уражено"))</f>
        <v/>
      </c>
      <c r="X11">
        <f>IF($A11="","",SUMIFS('Таблиця 1'!$K:$K,'Таблиця 1'!$B:$B,$A11))</f>
        <v/>
      </c>
    </row>
    <row r="12">
      <c r="A12" s="81">
        <f>IF(A11="","",IF(A11+1&gt;MAX('Таблиця 1'!$B:$B),"",A11+1))</f>
        <v/>
      </c>
      <c r="B12">
        <f>IF($A12="","",COUNTIFS('Таблиця 1'!$B:$B,$A12,'Таблиця 1'!$E:$E,"ЖС ВЗ",'Таблиця 1'!$L:$L,"Уражено"))</f>
        <v/>
      </c>
      <c r="C12">
        <f>IF($A12="","",COUNTIFS('Таблиця 1'!$B:$B,$A12,'Таблиця 1'!$E:$E,"Арт. Системи",'Таблиця 1'!$L:$L,"Уражено"))</f>
        <v/>
      </c>
      <c r="D12">
        <f>IF($A12="","",COUNTIFS('Таблиця 1'!$B:$B,$A12,'Таблиця 1'!$E:$E,"ОВТ",'Таблиця 1'!$L:$L,"Уражено"))</f>
        <v/>
      </c>
      <c r="E12">
        <f>IF($A12="","",COUNTIFS('Таблиця 1'!$B:$B,$A12,'Таблиця 1'!$E:$E,"ППО",'Таблиця 1'!$L:$L,"Уражено"))</f>
        <v/>
      </c>
      <c r="F12">
        <f>IF($A12="","",COUNTIFS('Таблиця 1'!$B:$B,$A12,'Таблиця 1'!$E:$E,"Рембаза",'Таблиця 1'!$L:$L,"Уражено"))</f>
        <v/>
      </c>
      <c r="G12">
        <f>IF($A12="","",COUNTIFS('Таблиця 1'!$B:$B,$A12,'Таблиця 1'!$E:$E,"Склад БК",'Таблиця 1'!$L:$L,"Уражено"))</f>
        <v/>
      </c>
      <c r="H12">
        <f>IF($A12="","",COUNTIFS('Таблиця 1'!$B:$B,$A12,'Таблиця 1'!$E:$E,"Склад ВТМ",'Таблиця 1'!$L:$L,"Уражено"))</f>
        <v/>
      </c>
      <c r="I12">
        <f>IF($A12="","",COUNTIFS('Таблиця 1'!$B:$B,$A12,'Таблиця 1'!$E:$E,"ПУ БпЛА",'Таблиця 1'!$L:$L,"Уражено"))</f>
        <v/>
      </c>
      <c r="J12">
        <f>IF($A12="","",COUNTIFS('Таблиця 1'!$B:$B,$A12,'Таблиця 1'!$E:$E,"СП",'Таблиця 1'!$L:$L,"Уражено"))</f>
        <v/>
      </c>
      <c r="K12">
        <f>IF($A12="","",COUNTIFS('Таблиця 1'!$B:$B,$A12,'Таблиця 1'!$E:$E,"КСП роти",'Таблиця 1'!$L:$L,"Уражено"))</f>
        <v/>
      </c>
      <c r="L12">
        <f>IF($A12="","",COUNTIFS('Таблиця 1'!$B:$B,$A12,'Таблиця 1'!$E:$E,"ПУ бат",'Таблиця 1'!$L:$L,"Уражено"))</f>
        <v/>
      </c>
      <c r="M12">
        <f>IF($A12="","",COUNTIFS('Таблиця 1'!$B:$B,$A12,'Таблиця 1'!$E:$E,"ПУ бриг",'Таблиця 1'!$L:$L,"Уражено"))</f>
        <v/>
      </c>
      <c r="N12">
        <f>IF($A12="","",COUNTIFS('Таблиця 1'!$B:$B,$A12,'Таблиця 1'!$E:$E,"ПУ див",'Таблиця 1'!$L:$L,"Уражено"))</f>
        <v/>
      </c>
      <c r="O12">
        <f>IF($A12="","",COUNTIFS('Таблиця 1'!$B:$B,$A12,'Таблиця 1'!$E:$E,"обл. РЕБ",'Таблиця 1'!$L:$L,"Уражено"))</f>
        <v/>
      </c>
      <c r="P12">
        <f>IF($A12="","",COUNTIFS('Таблиця 1'!$B:$B,$A12,'Таблиця 1'!$E:$E,"пос РЕБ",'Таблиця 1'!$L:$L,"Уражено"))</f>
        <v/>
      </c>
      <c r="Q12">
        <f>IF($A12="","",COUNTIFS('Таблиця 1'!$B:$B,$A12,'Таблиця 1'!$E:$E,"група РЕР",'Таблиця 1'!$L:$L,"Уражено"))</f>
        <v/>
      </c>
      <c r="R12">
        <f>IF($A12="","",COUNTIFS('Таблиця 1'!$B:$B,$A12,'Таблиця 1'!$E:$E,"РЛС КББ",'Таблиця 1'!$L:$L,"Уражено"))</f>
        <v/>
      </c>
      <c r="S12">
        <f>IF($A12="","",COUNTIFS('Таблиця 1'!$B:$B,$A12,'Таблиця 1'!$E:$E,"Ретранслятор",'Таблиця 1'!$L:$L,"Уражено"))</f>
        <v/>
      </c>
      <c r="T12">
        <f>IF($A12="","",COUNTIFS('Таблиця 1'!$B:$B,$A12,'Таблиця 1'!$E:$E,"Вз.зв'язку",'Таблиця 1'!$L:$L,"Уражено"))</f>
        <v/>
      </c>
      <c r="U12">
        <f>IF($A12="","",COUNTIFS('Таблиця 1'!$B:$B,$A12,'Таблиця 1'!$E:$E,"ПММ",'Таблиця 1'!$L:$L,"Уражено"))</f>
        <v/>
      </c>
      <c r="V12">
        <f>IF($A12="","",COUNTIFS('Таблиця 1'!$B:$B,$A12,'Таблиця 1'!$E:$E,"ІФС",'Таблиця 1'!$L:$L,"Уражено"))</f>
        <v/>
      </c>
      <c r="W12">
        <f>IF($A12="","",COUNTIFS('Таблиця 1'!$B:$B,$A12,'Таблиця 1'!$E:$E,"Інфраструктура",'Таблиця 1'!$L:$L,"Уражено"))</f>
        <v/>
      </c>
      <c r="X12">
        <f>IF($A12="","",SUMIFS('Таблиця 1'!$K:$K,'Таблиця 1'!$B:$B,$A12))</f>
        <v/>
      </c>
    </row>
    <row r="13">
      <c r="A13" s="81">
        <f>IF(A12="","",IF(A12+1&gt;MAX('Таблиця 1'!$B:$B),"",A12+1))</f>
        <v/>
      </c>
      <c r="B13">
        <f>IF($A13="","",COUNTIFS('Таблиця 1'!$B:$B,$A13,'Таблиця 1'!$E:$E,"ЖС ВЗ",'Таблиця 1'!$L:$L,"Уражено"))</f>
        <v/>
      </c>
      <c r="C13">
        <f>IF($A13="","",COUNTIFS('Таблиця 1'!$B:$B,$A13,'Таблиця 1'!$E:$E,"Арт. Системи",'Таблиця 1'!$L:$L,"Уражено"))</f>
        <v/>
      </c>
      <c r="D13">
        <f>IF($A13="","",COUNTIFS('Таблиця 1'!$B:$B,$A13,'Таблиця 1'!$E:$E,"ОВТ",'Таблиця 1'!$L:$L,"Уражено"))</f>
        <v/>
      </c>
      <c r="E13">
        <f>IF($A13="","",COUNTIFS('Таблиця 1'!$B:$B,$A13,'Таблиця 1'!$E:$E,"ППО",'Таблиця 1'!$L:$L,"Уражено"))</f>
        <v/>
      </c>
      <c r="F13">
        <f>IF($A13="","",COUNTIFS('Таблиця 1'!$B:$B,$A13,'Таблиця 1'!$E:$E,"Рембаза",'Таблиця 1'!$L:$L,"Уражено"))</f>
        <v/>
      </c>
      <c r="G13">
        <f>IF($A13="","",COUNTIFS('Таблиця 1'!$B:$B,$A13,'Таблиця 1'!$E:$E,"Склад БК",'Таблиця 1'!$L:$L,"Уражено"))</f>
        <v/>
      </c>
      <c r="H13">
        <f>IF($A13="","",COUNTIFS('Таблиця 1'!$B:$B,$A13,'Таблиця 1'!$E:$E,"Склад ВТМ",'Таблиця 1'!$L:$L,"Уражено"))</f>
        <v/>
      </c>
      <c r="I13">
        <f>IF($A13="","",COUNTIFS('Таблиця 1'!$B:$B,$A13,'Таблиця 1'!$E:$E,"ПУ БпЛА",'Таблиця 1'!$L:$L,"Уражено"))</f>
        <v/>
      </c>
      <c r="J13">
        <f>IF($A13="","",COUNTIFS('Таблиця 1'!$B:$B,$A13,'Таблиця 1'!$E:$E,"СП",'Таблиця 1'!$L:$L,"Уражено"))</f>
        <v/>
      </c>
      <c r="K13">
        <f>IF($A13="","",COUNTIFS('Таблиця 1'!$B:$B,$A13,'Таблиця 1'!$E:$E,"КСП роти",'Таблиця 1'!$L:$L,"Уражено"))</f>
        <v/>
      </c>
      <c r="L13">
        <f>IF($A13="","",COUNTIFS('Таблиця 1'!$B:$B,$A13,'Таблиця 1'!$E:$E,"ПУ бат",'Таблиця 1'!$L:$L,"Уражено"))</f>
        <v/>
      </c>
      <c r="M13">
        <f>IF($A13="","",COUNTIFS('Таблиця 1'!$B:$B,$A13,'Таблиця 1'!$E:$E,"ПУ бриг",'Таблиця 1'!$L:$L,"Уражено"))</f>
        <v/>
      </c>
      <c r="N13">
        <f>IF($A13="","",COUNTIFS('Таблиця 1'!$B:$B,$A13,'Таблиця 1'!$E:$E,"ПУ див",'Таблиця 1'!$L:$L,"Уражено"))</f>
        <v/>
      </c>
      <c r="O13">
        <f>IF($A13="","",COUNTIFS('Таблиця 1'!$B:$B,$A13,'Таблиця 1'!$E:$E,"обл. РЕБ",'Таблиця 1'!$L:$L,"Уражено"))</f>
        <v/>
      </c>
      <c r="P13">
        <f>IF($A13="","",COUNTIFS('Таблиця 1'!$B:$B,$A13,'Таблиця 1'!$E:$E,"пос РЕБ",'Таблиця 1'!$L:$L,"Уражено"))</f>
        <v/>
      </c>
      <c r="Q13">
        <f>IF($A13="","",COUNTIFS('Таблиця 1'!$B:$B,$A13,'Таблиця 1'!$E:$E,"група РЕР",'Таблиця 1'!$L:$L,"Уражено"))</f>
        <v/>
      </c>
      <c r="R13">
        <f>IF($A13="","",COUNTIFS('Таблиця 1'!$B:$B,$A13,'Таблиця 1'!$E:$E,"РЛС КББ",'Таблиця 1'!$L:$L,"Уражено"))</f>
        <v/>
      </c>
      <c r="S13">
        <f>IF($A13="","",COUNTIFS('Таблиця 1'!$B:$B,$A13,'Таблиця 1'!$E:$E,"Ретранслятор",'Таблиця 1'!$L:$L,"Уражено"))</f>
        <v/>
      </c>
      <c r="T13">
        <f>IF($A13="","",COUNTIFS('Таблиця 1'!$B:$B,$A13,'Таблиця 1'!$E:$E,"Вз.зв'язку",'Таблиця 1'!$L:$L,"Уражено"))</f>
        <v/>
      </c>
      <c r="U13">
        <f>IF($A13="","",COUNTIFS('Таблиця 1'!$B:$B,$A13,'Таблиця 1'!$E:$E,"ПММ",'Таблиця 1'!$L:$L,"Уражено"))</f>
        <v/>
      </c>
      <c r="V13">
        <f>IF($A13="","",COUNTIFS('Таблиця 1'!$B:$B,$A13,'Таблиця 1'!$E:$E,"ІФС",'Таблиця 1'!$L:$L,"Уражено"))</f>
        <v/>
      </c>
      <c r="W13">
        <f>IF($A13="","",COUNTIFS('Таблиця 1'!$B:$B,$A13,'Таблиця 1'!$E:$E,"Інфраструктура",'Таблиця 1'!$L:$L,"Уражено"))</f>
        <v/>
      </c>
      <c r="X13">
        <f>IF($A13="","",SUMIFS('Таблиця 1'!$K:$K,'Таблиця 1'!$B:$B,$A13))</f>
        <v/>
      </c>
    </row>
    <row r="14">
      <c r="A14" s="81">
        <f>IF(A13="","",IF(A13+1&gt;MAX('Таблиця 1'!$B:$B),"",A13+1))</f>
        <v/>
      </c>
      <c r="B14">
        <f>IF($A14="","",COUNTIFS('Таблиця 1'!$B:$B,$A14,'Таблиця 1'!$E:$E,"ЖС ВЗ",'Таблиця 1'!$L:$L,"Уражено"))</f>
        <v/>
      </c>
      <c r="C14">
        <f>IF($A14="","",COUNTIFS('Таблиця 1'!$B:$B,$A14,'Таблиця 1'!$E:$E,"Арт. Системи",'Таблиця 1'!$L:$L,"Уражено"))</f>
        <v/>
      </c>
      <c r="D14">
        <f>IF($A14="","",COUNTIFS('Таблиця 1'!$B:$B,$A14,'Таблиця 1'!$E:$E,"ОВТ",'Таблиця 1'!$L:$L,"Уражено"))</f>
        <v/>
      </c>
      <c r="E14">
        <f>IF($A14="","",COUNTIFS('Таблиця 1'!$B:$B,$A14,'Таблиця 1'!$E:$E,"ППО",'Таблиця 1'!$L:$L,"Уражено"))</f>
        <v/>
      </c>
      <c r="F14">
        <f>IF($A14="","",COUNTIFS('Таблиця 1'!$B:$B,$A14,'Таблиця 1'!$E:$E,"Рембаза",'Таблиця 1'!$L:$L,"Уражено"))</f>
        <v/>
      </c>
      <c r="G14">
        <f>IF($A14="","",COUNTIFS('Таблиця 1'!$B:$B,$A14,'Таблиця 1'!$E:$E,"Склад БК",'Таблиця 1'!$L:$L,"Уражено"))</f>
        <v/>
      </c>
      <c r="H14">
        <f>IF($A14="","",COUNTIFS('Таблиця 1'!$B:$B,$A14,'Таблиця 1'!$E:$E,"Склад ВТМ",'Таблиця 1'!$L:$L,"Уражено"))</f>
        <v/>
      </c>
      <c r="I14">
        <f>IF($A14="","",COUNTIFS('Таблиця 1'!$B:$B,$A14,'Таблиця 1'!$E:$E,"ПУ БпЛА",'Таблиця 1'!$L:$L,"Уражено"))</f>
        <v/>
      </c>
      <c r="J14">
        <f>IF($A14="","",COUNTIFS('Таблиця 1'!$B:$B,$A14,'Таблиця 1'!$E:$E,"СП",'Таблиця 1'!$L:$L,"Уражено"))</f>
        <v/>
      </c>
      <c r="K14">
        <f>IF($A14="","",COUNTIFS('Таблиця 1'!$B:$B,$A14,'Таблиця 1'!$E:$E,"КСП роти",'Таблиця 1'!$L:$L,"Уражено"))</f>
        <v/>
      </c>
      <c r="L14">
        <f>IF($A14="","",COUNTIFS('Таблиця 1'!$B:$B,$A14,'Таблиця 1'!$E:$E,"ПУ бат",'Таблиця 1'!$L:$L,"Уражено"))</f>
        <v/>
      </c>
      <c r="M14">
        <f>IF($A14="","",COUNTIFS('Таблиця 1'!$B:$B,$A14,'Таблиця 1'!$E:$E,"ПУ бриг",'Таблиця 1'!$L:$L,"Уражено"))</f>
        <v/>
      </c>
      <c r="N14">
        <f>IF($A14="","",COUNTIFS('Таблиця 1'!$B:$B,$A14,'Таблиця 1'!$E:$E,"ПУ див",'Таблиця 1'!$L:$L,"Уражено"))</f>
        <v/>
      </c>
      <c r="O14">
        <f>IF($A14="","",COUNTIFS('Таблиця 1'!$B:$B,$A14,'Таблиця 1'!$E:$E,"обл. РЕБ",'Таблиця 1'!$L:$L,"Уражено"))</f>
        <v/>
      </c>
      <c r="P14">
        <f>IF($A14="","",COUNTIFS('Таблиця 1'!$B:$B,$A14,'Таблиця 1'!$E:$E,"пос РЕБ",'Таблиця 1'!$L:$L,"Уражено"))</f>
        <v/>
      </c>
      <c r="Q14">
        <f>IF($A14="","",COUNTIFS('Таблиця 1'!$B:$B,$A14,'Таблиця 1'!$E:$E,"група РЕР",'Таблиця 1'!$L:$L,"Уражено"))</f>
        <v/>
      </c>
      <c r="R14">
        <f>IF($A14="","",COUNTIFS('Таблиця 1'!$B:$B,$A14,'Таблиця 1'!$E:$E,"РЛС КББ",'Таблиця 1'!$L:$L,"Уражено"))</f>
        <v/>
      </c>
      <c r="S14">
        <f>IF($A14="","",COUNTIFS('Таблиця 1'!$B:$B,$A14,'Таблиця 1'!$E:$E,"Ретранслятор",'Таблиця 1'!$L:$L,"Уражено"))</f>
        <v/>
      </c>
      <c r="T14">
        <f>IF($A14="","",COUNTIFS('Таблиця 1'!$B:$B,$A14,'Таблиця 1'!$E:$E,"Вз.зв'язку",'Таблиця 1'!$L:$L,"Уражено"))</f>
        <v/>
      </c>
      <c r="U14">
        <f>IF($A14="","",COUNTIFS('Таблиця 1'!$B:$B,$A14,'Таблиця 1'!$E:$E,"ПММ",'Таблиця 1'!$L:$L,"Уражено"))</f>
        <v/>
      </c>
      <c r="V14">
        <f>IF($A14="","",COUNTIFS('Таблиця 1'!$B:$B,$A14,'Таблиця 1'!$E:$E,"ІФС",'Таблиця 1'!$L:$L,"Уражено"))</f>
        <v/>
      </c>
      <c r="W14">
        <f>IF($A14="","",COUNTIFS('Таблиця 1'!$B:$B,$A14,'Таблиця 1'!$E:$E,"Інфраструктура",'Таблиця 1'!$L:$L,"Уражено"))</f>
        <v/>
      </c>
      <c r="X14">
        <f>IF($A14="","",SUMIFS('Таблиця 1'!$K:$K,'Таблиця 1'!$B:$B,$A14))</f>
        <v/>
      </c>
    </row>
    <row r="15">
      <c r="A15" s="81">
        <f>IF(A14="","",IF(A14+1&gt;MAX('Таблиця 1'!$B:$B),"",A14+1))</f>
        <v/>
      </c>
      <c r="B15">
        <f>IF($A15="","",COUNTIFS('Таблиця 1'!$B:$B,$A15,'Таблиця 1'!$E:$E,"ЖС ВЗ",'Таблиця 1'!$L:$L,"Уражено"))</f>
        <v/>
      </c>
      <c r="C15">
        <f>IF($A15="","",COUNTIFS('Таблиця 1'!$B:$B,$A15,'Таблиця 1'!$E:$E,"Арт. Системи",'Таблиця 1'!$L:$L,"Уражено"))</f>
        <v/>
      </c>
      <c r="D15">
        <f>IF($A15="","",COUNTIFS('Таблиця 1'!$B:$B,$A15,'Таблиця 1'!$E:$E,"ОВТ",'Таблиця 1'!$L:$L,"Уражено"))</f>
        <v/>
      </c>
      <c r="E15">
        <f>IF($A15="","",COUNTIFS('Таблиця 1'!$B:$B,$A15,'Таблиця 1'!$E:$E,"ППО",'Таблиця 1'!$L:$L,"Уражено"))</f>
        <v/>
      </c>
      <c r="F15">
        <f>IF($A15="","",COUNTIFS('Таблиця 1'!$B:$B,$A15,'Таблиця 1'!$E:$E,"Рембаза",'Таблиця 1'!$L:$L,"Уражено"))</f>
        <v/>
      </c>
      <c r="G15">
        <f>IF($A15="","",COUNTIFS('Таблиця 1'!$B:$B,$A15,'Таблиця 1'!$E:$E,"Склад БК",'Таблиця 1'!$L:$L,"Уражено"))</f>
        <v/>
      </c>
      <c r="H15">
        <f>IF($A15="","",COUNTIFS('Таблиця 1'!$B:$B,$A15,'Таблиця 1'!$E:$E,"Склад ВТМ",'Таблиця 1'!$L:$L,"Уражено"))</f>
        <v/>
      </c>
      <c r="I15">
        <f>IF($A15="","",COUNTIFS('Таблиця 1'!$B:$B,$A15,'Таблиця 1'!$E:$E,"ПУ БпЛА",'Таблиця 1'!$L:$L,"Уражено"))</f>
        <v/>
      </c>
      <c r="J15">
        <f>IF($A15="","",COUNTIFS('Таблиця 1'!$B:$B,$A15,'Таблиця 1'!$E:$E,"СП",'Таблиця 1'!$L:$L,"Уражено"))</f>
        <v/>
      </c>
      <c r="K15">
        <f>IF($A15="","",COUNTIFS('Таблиця 1'!$B:$B,$A15,'Таблиця 1'!$E:$E,"КСП роти",'Таблиця 1'!$L:$L,"Уражено"))</f>
        <v/>
      </c>
      <c r="L15">
        <f>IF($A15="","",COUNTIFS('Таблиця 1'!$B:$B,$A15,'Таблиця 1'!$E:$E,"ПУ бат",'Таблиця 1'!$L:$L,"Уражено"))</f>
        <v/>
      </c>
      <c r="M15">
        <f>IF($A15="","",COUNTIFS('Таблиця 1'!$B:$B,$A15,'Таблиця 1'!$E:$E,"ПУ бриг",'Таблиця 1'!$L:$L,"Уражено"))</f>
        <v/>
      </c>
      <c r="N15">
        <f>IF($A15="","",COUNTIFS('Таблиця 1'!$B:$B,$A15,'Таблиця 1'!$E:$E,"ПУ див",'Таблиця 1'!$L:$L,"Уражено"))</f>
        <v/>
      </c>
      <c r="O15">
        <f>IF($A15="","",COUNTIFS('Таблиця 1'!$B:$B,$A15,'Таблиця 1'!$E:$E,"обл. РЕБ",'Таблиця 1'!$L:$L,"Уражено"))</f>
        <v/>
      </c>
      <c r="P15">
        <f>IF($A15="","",COUNTIFS('Таблиця 1'!$B:$B,$A15,'Таблиця 1'!$E:$E,"пос РЕБ",'Таблиця 1'!$L:$L,"Уражено"))</f>
        <v/>
      </c>
      <c r="Q15">
        <f>IF($A15="","",COUNTIFS('Таблиця 1'!$B:$B,$A15,'Таблиця 1'!$E:$E,"група РЕР",'Таблиця 1'!$L:$L,"Уражено"))</f>
        <v/>
      </c>
      <c r="R15">
        <f>IF($A15="","",COUNTIFS('Таблиця 1'!$B:$B,$A15,'Таблиця 1'!$E:$E,"РЛС КББ",'Таблиця 1'!$L:$L,"Уражено"))</f>
        <v/>
      </c>
      <c r="S15">
        <f>IF($A15="","",COUNTIFS('Таблиця 1'!$B:$B,$A15,'Таблиця 1'!$E:$E,"Ретранслятор",'Таблиця 1'!$L:$L,"Уражено"))</f>
        <v/>
      </c>
      <c r="T15">
        <f>IF($A15="","",COUNTIFS('Таблиця 1'!$B:$B,$A15,'Таблиця 1'!$E:$E,"Вз.зв'язку",'Таблиця 1'!$L:$L,"Уражено"))</f>
        <v/>
      </c>
      <c r="U15">
        <f>IF($A15="","",COUNTIFS('Таблиця 1'!$B:$B,$A15,'Таблиця 1'!$E:$E,"ПММ",'Таблиця 1'!$L:$L,"Уражено"))</f>
        <v/>
      </c>
      <c r="V15">
        <f>IF($A15="","",COUNTIFS('Таблиця 1'!$B:$B,$A15,'Таблиця 1'!$E:$E,"ІФС",'Таблиця 1'!$L:$L,"Уражено"))</f>
        <v/>
      </c>
      <c r="W15">
        <f>IF($A15="","",COUNTIFS('Таблиця 1'!$B:$B,$A15,'Таблиця 1'!$E:$E,"Інфраструктура",'Таблиця 1'!$L:$L,"Уражено"))</f>
        <v/>
      </c>
      <c r="X15">
        <f>IF($A15="","",SUMIFS('Таблиця 1'!$K:$K,'Таблиця 1'!$B:$B,$A15))</f>
        <v/>
      </c>
    </row>
    <row r="16">
      <c r="A16" s="81">
        <f>IF(A15="","",IF(A15+1&gt;MAX('Таблиця 1'!$B:$B),"",A15+1))</f>
        <v/>
      </c>
      <c r="B16">
        <f>IF($A16="","",COUNTIFS('Таблиця 1'!$B:$B,$A16,'Таблиця 1'!$E:$E,"ЖС ВЗ",'Таблиця 1'!$L:$L,"Уражено"))</f>
        <v/>
      </c>
      <c r="C16">
        <f>IF($A16="","",COUNTIFS('Таблиця 1'!$B:$B,$A16,'Таблиця 1'!$E:$E,"Арт. Системи",'Таблиця 1'!$L:$L,"Уражено"))</f>
        <v/>
      </c>
      <c r="D16">
        <f>IF($A16="","",COUNTIFS('Таблиця 1'!$B:$B,$A16,'Таблиця 1'!$E:$E,"ОВТ",'Таблиця 1'!$L:$L,"Уражено"))</f>
        <v/>
      </c>
      <c r="E16">
        <f>IF($A16="","",COUNTIFS('Таблиця 1'!$B:$B,$A16,'Таблиця 1'!$E:$E,"ППО",'Таблиця 1'!$L:$L,"Уражено"))</f>
        <v/>
      </c>
      <c r="F16">
        <f>IF($A16="","",COUNTIFS('Таблиця 1'!$B:$B,$A16,'Таблиця 1'!$E:$E,"Рембаза",'Таблиця 1'!$L:$L,"Уражено"))</f>
        <v/>
      </c>
      <c r="G16">
        <f>IF($A16="","",COUNTIFS('Таблиця 1'!$B:$B,$A16,'Таблиця 1'!$E:$E,"Склад БК",'Таблиця 1'!$L:$L,"Уражено"))</f>
        <v/>
      </c>
      <c r="H16">
        <f>IF($A16="","",COUNTIFS('Таблиця 1'!$B:$B,$A16,'Таблиця 1'!$E:$E,"Склад ВТМ",'Таблиця 1'!$L:$L,"Уражено"))</f>
        <v/>
      </c>
      <c r="I16">
        <f>IF($A16="","",COUNTIFS('Таблиця 1'!$B:$B,$A16,'Таблиця 1'!$E:$E,"ПУ БпЛА",'Таблиця 1'!$L:$L,"Уражено"))</f>
        <v/>
      </c>
      <c r="J16">
        <f>IF($A16="","",COUNTIFS('Таблиця 1'!$B:$B,$A16,'Таблиця 1'!$E:$E,"СП",'Таблиця 1'!$L:$L,"Уражено"))</f>
        <v/>
      </c>
      <c r="K16">
        <f>IF($A16="","",COUNTIFS('Таблиця 1'!$B:$B,$A16,'Таблиця 1'!$E:$E,"КСП роти",'Таблиця 1'!$L:$L,"Уражено"))</f>
        <v/>
      </c>
      <c r="L16">
        <f>IF($A16="","",COUNTIFS('Таблиця 1'!$B:$B,$A16,'Таблиця 1'!$E:$E,"ПУ бат",'Таблиця 1'!$L:$L,"Уражено"))</f>
        <v/>
      </c>
      <c r="M16">
        <f>IF($A16="","",COUNTIFS('Таблиця 1'!$B:$B,$A16,'Таблиця 1'!$E:$E,"ПУ бриг",'Таблиця 1'!$L:$L,"Уражено"))</f>
        <v/>
      </c>
      <c r="N16">
        <f>IF($A16="","",COUNTIFS('Таблиця 1'!$B:$B,$A16,'Таблиця 1'!$E:$E,"ПУ див",'Таблиця 1'!$L:$L,"Уражено"))</f>
        <v/>
      </c>
      <c r="O16">
        <f>IF($A16="","",COUNTIFS('Таблиця 1'!$B:$B,$A16,'Таблиця 1'!$E:$E,"обл. РЕБ",'Таблиця 1'!$L:$L,"Уражено"))</f>
        <v/>
      </c>
      <c r="P16">
        <f>IF($A16="","",COUNTIFS('Таблиця 1'!$B:$B,$A16,'Таблиця 1'!$E:$E,"пос РЕБ",'Таблиця 1'!$L:$L,"Уражено"))</f>
        <v/>
      </c>
      <c r="Q16">
        <f>IF($A16="","",COUNTIFS('Таблиця 1'!$B:$B,$A16,'Таблиця 1'!$E:$E,"група РЕР",'Таблиця 1'!$L:$L,"Уражено"))</f>
        <v/>
      </c>
      <c r="R16">
        <f>IF($A16="","",COUNTIFS('Таблиця 1'!$B:$B,$A16,'Таблиця 1'!$E:$E,"РЛС КББ",'Таблиця 1'!$L:$L,"Уражено"))</f>
        <v/>
      </c>
      <c r="S16">
        <f>IF($A16="","",COUNTIFS('Таблиця 1'!$B:$B,$A16,'Таблиця 1'!$E:$E,"Ретранслятор",'Таблиця 1'!$L:$L,"Уражено"))</f>
        <v/>
      </c>
      <c r="T16">
        <f>IF($A16="","",COUNTIFS('Таблиця 1'!$B:$B,$A16,'Таблиця 1'!$E:$E,"Вз.зв'язку",'Таблиця 1'!$L:$L,"Уражено"))</f>
        <v/>
      </c>
      <c r="U16">
        <f>IF($A16="","",COUNTIFS('Таблиця 1'!$B:$B,$A16,'Таблиця 1'!$E:$E,"ПММ",'Таблиця 1'!$L:$L,"Уражено"))</f>
        <v/>
      </c>
      <c r="V16">
        <f>IF($A16="","",COUNTIFS('Таблиця 1'!$B:$B,$A16,'Таблиця 1'!$E:$E,"ІФС",'Таблиця 1'!$L:$L,"Уражено"))</f>
        <v/>
      </c>
      <c r="W16">
        <f>IF($A16="","",COUNTIFS('Таблиця 1'!$B:$B,$A16,'Таблиця 1'!$E:$E,"Інфраструктура",'Таблиця 1'!$L:$L,"Уражено"))</f>
        <v/>
      </c>
      <c r="X16">
        <f>IF($A16="","",SUMIFS('Таблиця 1'!$K:$K,'Таблиця 1'!$B:$B,$A16))</f>
        <v/>
      </c>
    </row>
    <row r="17">
      <c r="A17" s="81">
        <f>IF(A16="","",IF(A16+1&gt;MAX('Таблиця 1'!$B:$B),"",A16+1))</f>
        <v/>
      </c>
      <c r="B17">
        <f>IF($A17="","",COUNTIFS('Таблиця 1'!$B:$B,$A17,'Таблиця 1'!$E:$E,"ЖС ВЗ",'Таблиця 1'!$L:$L,"Уражено"))</f>
        <v/>
      </c>
      <c r="C17">
        <f>IF($A17="","",COUNTIFS('Таблиця 1'!$B:$B,$A17,'Таблиця 1'!$E:$E,"Арт. Системи",'Таблиця 1'!$L:$L,"Уражено"))</f>
        <v/>
      </c>
      <c r="D17">
        <f>IF($A17="","",COUNTIFS('Таблиця 1'!$B:$B,$A17,'Таблиця 1'!$E:$E,"ОВТ",'Таблиця 1'!$L:$L,"Уражено"))</f>
        <v/>
      </c>
      <c r="E17">
        <f>IF($A17="","",COUNTIFS('Таблиця 1'!$B:$B,$A17,'Таблиця 1'!$E:$E,"ППО",'Таблиця 1'!$L:$L,"Уражено"))</f>
        <v/>
      </c>
      <c r="F17">
        <f>IF($A17="","",COUNTIFS('Таблиця 1'!$B:$B,$A17,'Таблиця 1'!$E:$E,"Рембаза",'Таблиця 1'!$L:$L,"Уражено"))</f>
        <v/>
      </c>
      <c r="G17">
        <f>IF($A17="","",COUNTIFS('Таблиця 1'!$B:$B,$A17,'Таблиця 1'!$E:$E,"Склад БК",'Таблиця 1'!$L:$L,"Уражено"))</f>
        <v/>
      </c>
      <c r="H17">
        <f>IF($A17="","",COUNTIFS('Таблиця 1'!$B:$B,$A17,'Таблиця 1'!$E:$E,"Склад ВТМ",'Таблиця 1'!$L:$L,"Уражено"))</f>
        <v/>
      </c>
      <c r="I17">
        <f>IF($A17="","",COUNTIFS('Таблиця 1'!$B:$B,$A17,'Таблиця 1'!$E:$E,"ПУ БпЛА",'Таблиця 1'!$L:$L,"Уражено"))</f>
        <v/>
      </c>
      <c r="J17">
        <f>IF($A17="","",COUNTIFS('Таблиця 1'!$B:$B,$A17,'Таблиця 1'!$E:$E,"СП",'Таблиця 1'!$L:$L,"Уражено"))</f>
        <v/>
      </c>
      <c r="K17">
        <f>IF($A17="","",COUNTIFS('Таблиця 1'!$B:$B,$A17,'Таблиця 1'!$E:$E,"КСП роти",'Таблиця 1'!$L:$L,"Уражено"))</f>
        <v/>
      </c>
      <c r="L17">
        <f>IF($A17="","",COUNTIFS('Таблиця 1'!$B:$B,$A17,'Таблиця 1'!$E:$E,"ПУ бат",'Таблиця 1'!$L:$L,"Уражено"))</f>
        <v/>
      </c>
      <c r="M17">
        <f>IF($A17="","",COUNTIFS('Таблиця 1'!$B:$B,$A17,'Таблиця 1'!$E:$E,"ПУ бриг",'Таблиця 1'!$L:$L,"Уражено"))</f>
        <v/>
      </c>
      <c r="N17">
        <f>IF($A17="","",COUNTIFS('Таблиця 1'!$B:$B,$A17,'Таблиця 1'!$E:$E,"ПУ див",'Таблиця 1'!$L:$L,"Уражено"))</f>
        <v/>
      </c>
      <c r="O17">
        <f>IF($A17="","",COUNTIFS('Таблиця 1'!$B:$B,$A17,'Таблиця 1'!$E:$E,"обл. РЕБ",'Таблиця 1'!$L:$L,"Уражено"))</f>
        <v/>
      </c>
      <c r="P17">
        <f>IF($A17="","",COUNTIFS('Таблиця 1'!$B:$B,$A17,'Таблиця 1'!$E:$E,"пос РЕБ",'Таблиця 1'!$L:$L,"Уражено"))</f>
        <v/>
      </c>
      <c r="Q17">
        <f>IF($A17="","",COUNTIFS('Таблиця 1'!$B:$B,$A17,'Таблиця 1'!$E:$E,"група РЕР",'Таблиця 1'!$L:$L,"Уражено"))</f>
        <v/>
      </c>
      <c r="R17">
        <f>IF($A17="","",COUNTIFS('Таблиця 1'!$B:$B,$A17,'Таблиця 1'!$E:$E,"РЛС КББ",'Таблиця 1'!$L:$L,"Уражено"))</f>
        <v/>
      </c>
      <c r="S17">
        <f>IF($A17="","",COUNTIFS('Таблиця 1'!$B:$B,$A17,'Таблиця 1'!$E:$E,"Ретранслятор",'Таблиця 1'!$L:$L,"Уражено"))</f>
        <v/>
      </c>
      <c r="T17">
        <f>IF($A17="","",COUNTIFS('Таблиця 1'!$B:$B,$A17,'Таблиця 1'!$E:$E,"Вз.зв'язку",'Таблиця 1'!$L:$L,"Уражено"))</f>
        <v/>
      </c>
      <c r="U17">
        <f>IF($A17="","",COUNTIFS('Таблиця 1'!$B:$B,$A17,'Таблиця 1'!$E:$E,"ПММ",'Таблиця 1'!$L:$L,"Уражено"))</f>
        <v/>
      </c>
      <c r="V17">
        <f>IF($A17="","",COUNTIFS('Таблиця 1'!$B:$B,$A17,'Таблиця 1'!$E:$E,"ІФС",'Таблиця 1'!$L:$L,"Уражено"))</f>
        <v/>
      </c>
      <c r="W17">
        <f>IF($A17="","",COUNTIFS('Таблиця 1'!$B:$B,$A17,'Таблиця 1'!$E:$E,"Інфраструктура",'Таблиця 1'!$L:$L,"Уражено"))</f>
        <v/>
      </c>
      <c r="X17">
        <f>IF($A17="","",SUMIFS('Таблиця 1'!$K:$K,'Таблиця 1'!$B:$B,$A17))</f>
        <v/>
      </c>
    </row>
    <row r="18">
      <c r="A18" s="81">
        <f>IF(A17="","",IF(A17+1&gt;MAX('Таблиця 1'!$B:$B),"",A17+1))</f>
        <v/>
      </c>
      <c r="B18">
        <f>IF($A18="","",COUNTIFS('Таблиця 1'!$B:$B,$A18,'Таблиця 1'!$E:$E,"ЖС ВЗ",'Таблиця 1'!$L:$L,"Уражено"))</f>
        <v/>
      </c>
      <c r="C18">
        <f>IF($A18="","",COUNTIFS('Таблиця 1'!$B:$B,$A18,'Таблиця 1'!$E:$E,"Арт. Системи",'Таблиця 1'!$L:$L,"Уражено"))</f>
        <v/>
      </c>
      <c r="D18">
        <f>IF($A18="","",COUNTIFS('Таблиця 1'!$B:$B,$A18,'Таблиця 1'!$E:$E,"ОВТ",'Таблиця 1'!$L:$L,"Уражено"))</f>
        <v/>
      </c>
      <c r="E18">
        <f>IF($A18="","",COUNTIFS('Таблиця 1'!$B:$B,$A18,'Таблиця 1'!$E:$E,"ППО",'Таблиця 1'!$L:$L,"Уражено"))</f>
        <v/>
      </c>
      <c r="F18">
        <f>IF($A18="","",COUNTIFS('Таблиця 1'!$B:$B,$A18,'Таблиця 1'!$E:$E,"Рембаза",'Таблиця 1'!$L:$L,"Уражено"))</f>
        <v/>
      </c>
      <c r="G18">
        <f>IF($A18="","",COUNTIFS('Таблиця 1'!$B:$B,$A18,'Таблиця 1'!$E:$E,"Склад БК",'Таблиця 1'!$L:$L,"Уражено"))</f>
        <v/>
      </c>
      <c r="H18">
        <f>IF($A18="","",COUNTIFS('Таблиця 1'!$B:$B,$A18,'Таблиця 1'!$E:$E,"Склад ВТМ",'Таблиця 1'!$L:$L,"Уражено"))</f>
        <v/>
      </c>
      <c r="I18">
        <f>IF($A18="","",COUNTIFS('Таблиця 1'!$B:$B,$A18,'Таблиця 1'!$E:$E,"ПУ БпЛА",'Таблиця 1'!$L:$L,"Уражено"))</f>
        <v/>
      </c>
      <c r="J18">
        <f>IF($A18="","",COUNTIFS('Таблиця 1'!$B:$B,$A18,'Таблиця 1'!$E:$E,"СП",'Таблиця 1'!$L:$L,"Уражено"))</f>
        <v/>
      </c>
      <c r="K18">
        <f>IF($A18="","",COUNTIFS('Таблиця 1'!$B:$B,$A18,'Таблиця 1'!$E:$E,"КСП роти",'Таблиця 1'!$L:$L,"Уражено"))</f>
        <v/>
      </c>
      <c r="L18">
        <f>IF($A18="","",COUNTIFS('Таблиця 1'!$B:$B,$A18,'Таблиця 1'!$E:$E,"ПУ бат",'Таблиця 1'!$L:$L,"Уражено"))</f>
        <v/>
      </c>
      <c r="M18">
        <f>IF($A18="","",COUNTIFS('Таблиця 1'!$B:$B,$A18,'Таблиця 1'!$E:$E,"ПУ бриг",'Таблиця 1'!$L:$L,"Уражено"))</f>
        <v/>
      </c>
      <c r="N18">
        <f>IF($A18="","",COUNTIFS('Таблиця 1'!$B:$B,$A18,'Таблиця 1'!$E:$E,"ПУ див",'Таблиця 1'!$L:$L,"Уражено"))</f>
        <v/>
      </c>
      <c r="O18">
        <f>IF($A18="","",COUNTIFS('Таблиця 1'!$B:$B,$A18,'Таблиця 1'!$E:$E,"обл. РЕБ",'Таблиця 1'!$L:$L,"Уражено"))</f>
        <v/>
      </c>
      <c r="P18">
        <f>IF($A18="","",COUNTIFS('Таблиця 1'!$B:$B,$A18,'Таблиця 1'!$E:$E,"пос РЕБ",'Таблиця 1'!$L:$L,"Уражено"))</f>
        <v/>
      </c>
      <c r="Q18">
        <f>IF($A18="","",COUNTIFS('Таблиця 1'!$B:$B,$A18,'Таблиця 1'!$E:$E,"група РЕР",'Таблиця 1'!$L:$L,"Уражено"))</f>
        <v/>
      </c>
      <c r="R18">
        <f>IF($A18="","",COUNTIFS('Таблиця 1'!$B:$B,$A18,'Таблиця 1'!$E:$E,"РЛС КББ",'Таблиця 1'!$L:$L,"Уражено"))</f>
        <v/>
      </c>
      <c r="S18">
        <f>IF($A18="","",COUNTIFS('Таблиця 1'!$B:$B,$A18,'Таблиця 1'!$E:$E,"Ретранслятор",'Таблиця 1'!$L:$L,"Уражено"))</f>
        <v/>
      </c>
      <c r="T18">
        <f>IF($A18="","",COUNTIFS('Таблиця 1'!$B:$B,$A18,'Таблиця 1'!$E:$E,"Вз.зв'язку",'Таблиця 1'!$L:$L,"Уражено"))</f>
        <v/>
      </c>
      <c r="U18">
        <f>IF($A18="","",COUNTIFS('Таблиця 1'!$B:$B,$A18,'Таблиця 1'!$E:$E,"ПММ",'Таблиця 1'!$L:$L,"Уражено"))</f>
        <v/>
      </c>
      <c r="V18">
        <f>IF($A18="","",COUNTIFS('Таблиця 1'!$B:$B,$A18,'Таблиця 1'!$E:$E,"ІФС",'Таблиця 1'!$L:$L,"Уражено"))</f>
        <v/>
      </c>
      <c r="W18">
        <f>IF($A18="","",COUNTIFS('Таблиця 1'!$B:$B,$A18,'Таблиця 1'!$E:$E,"Інфраструктура",'Таблиця 1'!$L:$L,"Уражено"))</f>
        <v/>
      </c>
      <c r="X18">
        <f>IF($A18="","",SUMIFS('Таблиця 1'!$K:$K,'Таблиця 1'!$B:$B,$A18))</f>
        <v/>
      </c>
    </row>
    <row r="19">
      <c r="A19" s="81">
        <f>IF(A18="","",IF(A18+1&gt;MAX('Таблиця 1'!$B:$B),"",A18+1))</f>
        <v/>
      </c>
      <c r="B19">
        <f>IF($A19="","",COUNTIFS('Таблиця 1'!$B:$B,$A19,'Таблиця 1'!$E:$E,"ЖС ВЗ",'Таблиця 1'!$L:$L,"Уражено"))</f>
        <v/>
      </c>
      <c r="C19">
        <f>IF($A19="","",COUNTIFS('Таблиця 1'!$B:$B,$A19,'Таблиця 1'!$E:$E,"Арт. Системи",'Таблиця 1'!$L:$L,"Уражено"))</f>
        <v/>
      </c>
      <c r="D19">
        <f>IF($A19="","",COUNTIFS('Таблиця 1'!$B:$B,$A19,'Таблиця 1'!$E:$E,"ОВТ",'Таблиця 1'!$L:$L,"Уражено"))</f>
        <v/>
      </c>
      <c r="E19">
        <f>IF($A19="","",COUNTIFS('Таблиця 1'!$B:$B,$A19,'Таблиця 1'!$E:$E,"ППО",'Таблиця 1'!$L:$L,"Уражено"))</f>
        <v/>
      </c>
      <c r="F19">
        <f>IF($A19="","",COUNTIFS('Таблиця 1'!$B:$B,$A19,'Таблиця 1'!$E:$E,"Рембаза",'Таблиця 1'!$L:$L,"Уражено"))</f>
        <v/>
      </c>
      <c r="G19">
        <f>IF($A19="","",COUNTIFS('Таблиця 1'!$B:$B,$A19,'Таблиця 1'!$E:$E,"Склад БК",'Таблиця 1'!$L:$L,"Уражено"))</f>
        <v/>
      </c>
      <c r="H19">
        <f>IF($A19="","",COUNTIFS('Таблиця 1'!$B:$B,$A19,'Таблиця 1'!$E:$E,"Склад ВТМ",'Таблиця 1'!$L:$L,"Уражено"))</f>
        <v/>
      </c>
      <c r="I19">
        <f>IF($A19="","",COUNTIFS('Таблиця 1'!$B:$B,$A19,'Таблиця 1'!$E:$E,"ПУ БпЛА",'Таблиця 1'!$L:$L,"Уражено"))</f>
        <v/>
      </c>
      <c r="J19">
        <f>IF($A19="","",COUNTIFS('Таблиця 1'!$B:$B,$A19,'Таблиця 1'!$E:$E,"СП",'Таблиця 1'!$L:$L,"Уражено"))</f>
        <v/>
      </c>
      <c r="K19">
        <f>IF($A19="","",COUNTIFS('Таблиця 1'!$B:$B,$A19,'Таблиця 1'!$E:$E,"КСП роти",'Таблиця 1'!$L:$L,"Уражено"))</f>
        <v/>
      </c>
      <c r="L19">
        <f>IF($A19="","",COUNTIFS('Таблиця 1'!$B:$B,$A19,'Таблиця 1'!$E:$E,"ПУ бат",'Таблиця 1'!$L:$L,"Уражено"))</f>
        <v/>
      </c>
      <c r="M19">
        <f>IF($A19="","",COUNTIFS('Таблиця 1'!$B:$B,$A19,'Таблиця 1'!$E:$E,"ПУ бриг",'Таблиця 1'!$L:$L,"Уражено"))</f>
        <v/>
      </c>
      <c r="N19">
        <f>IF($A19="","",COUNTIFS('Таблиця 1'!$B:$B,$A19,'Таблиця 1'!$E:$E,"ПУ див",'Таблиця 1'!$L:$L,"Уражено"))</f>
        <v/>
      </c>
      <c r="O19">
        <f>IF($A19="","",COUNTIFS('Таблиця 1'!$B:$B,$A19,'Таблиця 1'!$E:$E,"обл. РЕБ",'Таблиця 1'!$L:$L,"Уражено"))</f>
        <v/>
      </c>
      <c r="P19">
        <f>IF($A19="","",COUNTIFS('Таблиця 1'!$B:$B,$A19,'Таблиця 1'!$E:$E,"пос РЕБ",'Таблиця 1'!$L:$L,"Уражено"))</f>
        <v/>
      </c>
      <c r="Q19">
        <f>IF($A19="","",COUNTIFS('Таблиця 1'!$B:$B,$A19,'Таблиця 1'!$E:$E,"група РЕР",'Таблиця 1'!$L:$L,"Уражено"))</f>
        <v/>
      </c>
      <c r="R19">
        <f>IF($A19="","",COUNTIFS('Таблиця 1'!$B:$B,$A19,'Таблиця 1'!$E:$E,"РЛС КББ",'Таблиця 1'!$L:$L,"Уражено"))</f>
        <v/>
      </c>
      <c r="S19">
        <f>IF($A19="","",COUNTIFS('Таблиця 1'!$B:$B,$A19,'Таблиця 1'!$E:$E,"Ретранслятор",'Таблиця 1'!$L:$L,"Уражено"))</f>
        <v/>
      </c>
      <c r="T19">
        <f>IF($A19="","",COUNTIFS('Таблиця 1'!$B:$B,$A19,'Таблиця 1'!$E:$E,"Вз.зв'язку",'Таблиця 1'!$L:$L,"Уражено"))</f>
        <v/>
      </c>
      <c r="U19">
        <f>IF($A19="","",COUNTIFS('Таблиця 1'!$B:$B,$A19,'Таблиця 1'!$E:$E,"ПММ",'Таблиця 1'!$L:$L,"Уражено"))</f>
        <v/>
      </c>
      <c r="V19">
        <f>IF($A19="","",COUNTIFS('Таблиця 1'!$B:$B,$A19,'Таблиця 1'!$E:$E,"ІФС",'Таблиця 1'!$L:$L,"Уражено"))</f>
        <v/>
      </c>
      <c r="W19">
        <f>IF($A19="","",COUNTIFS('Таблиця 1'!$B:$B,$A19,'Таблиця 1'!$E:$E,"Інфраструктура",'Таблиця 1'!$L:$L,"Уражено"))</f>
        <v/>
      </c>
      <c r="X19">
        <f>IF($A19="","",SUMIFS('Таблиця 1'!$K:$K,'Таблиця 1'!$B:$B,$A19))</f>
        <v/>
      </c>
    </row>
    <row r="20">
      <c r="A20" s="81">
        <f>IF(A19="","",IF(A19+1&gt;MAX('Таблиця 1'!$B:$B),"",A19+1))</f>
        <v/>
      </c>
      <c r="B20">
        <f>IF($A20="","",COUNTIFS('Таблиця 1'!$B:$B,$A20,'Таблиця 1'!$E:$E,"ЖС ВЗ",'Таблиця 1'!$L:$L,"Уражено"))</f>
        <v/>
      </c>
      <c r="C20">
        <f>IF($A20="","",COUNTIFS('Таблиця 1'!$B:$B,$A20,'Таблиця 1'!$E:$E,"Арт. Системи",'Таблиця 1'!$L:$L,"Уражено"))</f>
        <v/>
      </c>
      <c r="D20">
        <f>IF($A20="","",COUNTIFS('Таблиця 1'!$B:$B,$A20,'Таблиця 1'!$E:$E,"ОВТ",'Таблиця 1'!$L:$L,"Уражено"))</f>
        <v/>
      </c>
      <c r="E20">
        <f>IF($A20="","",COUNTIFS('Таблиця 1'!$B:$B,$A20,'Таблиця 1'!$E:$E,"ППО",'Таблиця 1'!$L:$L,"Уражено"))</f>
        <v/>
      </c>
      <c r="F20">
        <f>IF($A20="","",COUNTIFS('Таблиця 1'!$B:$B,$A20,'Таблиця 1'!$E:$E,"Рембаза",'Таблиця 1'!$L:$L,"Уражено"))</f>
        <v/>
      </c>
      <c r="G20">
        <f>IF($A20="","",COUNTIFS('Таблиця 1'!$B:$B,$A20,'Таблиця 1'!$E:$E,"Склад БК",'Таблиця 1'!$L:$L,"Уражено"))</f>
        <v/>
      </c>
      <c r="H20">
        <f>IF($A20="","",COUNTIFS('Таблиця 1'!$B:$B,$A20,'Таблиця 1'!$E:$E,"Склад ВТМ",'Таблиця 1'!$L:$L,"Уражено"))</f>
        <v/>
      </c>
      <c r="I20">
        <f>IF($A20="","",COUNTIFS('Таблиця 1'!$B:$B,$A20,'Таблиця 1'!$E:$E,"ПУ БпЛА",'Таблиця 1'!$L:$L,"Уражено"))</f>
        <v/>
      </c>
      <c r="J20">
        <f>IF($A20="","",COUNTIFS('Таблиця 1'!$B:$B,$A20,'Таблиця 1'!$E:$E,"СП",'Таблиця 1'!$L:$L,"Уражено"))</f>
        <v/>
      </c>
      <c r="K20">
        <f>IF($A20="","",COUNTIFS('Таблиця 1'!$B:$B,$A20,'Таблиця 1'!$E:$E,"КСП роти",'Таблиця 1'!$L:$L,"Уражено"))</f>
        <v/>
      </c>
      <c r="L20">
        <f>IF($A20="","",COUNTIFS('Таблиця 1'!$B:$B,$A20,'Таблиця 1'!$E:$E,"ПУ бат",'Таблиця 1'!$L:$L,"Уражено"))</f>
        <v/>
      </c>
      <c r="M20">
        <f>IF($A20="","",COUNTIFS('Таблиця 1'!$B:$B,$A20,'Таблиця 1'!$E:$E,"ПУ бриг",'Таблиця 1'!$L:$L,"Уражено"))</f>
        <v/>
      </c>
      <c r="N20">
        <f>IF($A20="","",COUNTIFS('Таблиця 1'!$B:$B,$A20,'Таблиця 1'!$E:$E,"ПУ див",'Таблиця 1'!$L:$L,"Уражено"))</f>
        <v/>
      </c>
      <c r="O20">
        <f>IF($A20="","",COUNTIFS('Таблиця 1'!$B:$B,$A20,'Таблиця 1'!$E:$E,"обл. РЕБ",'Таблиця 1'!$L:$L,"Уражено"))</f>
        <v/>
      </c>
      <c r="P20">
        <f>IF($A20="","",COUNTIFS('Таблиця 1'!$B:$B,$A20,'Таблиця 1'!$E:$E,"пос РЕБ",'Таблиця 1'!$L:$L,"Уражено"))</f>
        <v/>
      </c>
      <c r="Q20">
        <f>IF($A20="","",COUNTIFS('Таблиця 1'!$B:$B,$A20,'Таблиця 1'!$E:$E,"група РЕР",'Таблиця 1'!$L:$L,"Уражено"))</f>
        <v/>
      </c>
      <c r="R20">
        <f>IF($A20="","",COUNTIFS('Таблиця 1'!$B:$B,$A20,'Таблиця 1'!$E:$E,"РЛС КББ",'Таблиця 1'!$L:$L,"Уражено"))</f>
        <v/>
      </c>
      <c r="S20">
        <f>IF($A20="","",COUNTIFS('Таблиця 1'!$B:$B,$A20,'Таблиця 1'!$E:$E,"Ретранслятор",'Таблиця 1'!$L:$L,"Уражено"))</f>
        <v/>
      </c>
      <c r="T20">
        <f>IF($A20="","",COUNTIFS('Таблиця 1'!$B:$B,$A20,'Таблиця 1'!$E:$E,"Вз.зв'язку",'Таблиця 1'!$L:$L,"Уражено"))</f>
        <v/>
      </c>
      <c r="U20">
        <f>IF($A20="","",COUNTIFS('Таблиця 1'!$B:$B,$A20,'Таблиця 1'!$E:$E,"ПММ",'Таблиця 1'!$L:$L,"Уражено"))</f>
        <v/>
      </c>
      <c r="V20">
        <f>IF($A20="","",COUNTIFS('Таблиця 1'!$B:$B,$A20,'Таблиця 1'!$E:$E,"ІФС",'Таблиця 1'!$L:$L,"Уражено"))</f>
        <v/>
      </c>
      <c r="W20">
        <f>IF($A20="","",COUNTIFS('Таблиця 1'!$B:$B,$A20,'Таблиця 1'!$E:$E,"Інфраструктура",'Таблиця 1'!$L:$L,"Уражено"))</f>
        <v/>
      </c>
      <c r="X20">
        <f>IF($A20="","",SUMIFS('Таблиця 1'!$K:$K,'Таблиця 1'!$B:$B,$A20))</f>
        <v/>
      </c>
    </row>
    <row r="21">
      <c r="A21" s="81">
        <f>IF(A20="","",IF(A20+1&gt;MAX('Таблиця 1'!$B:$B),"",A20+1))</f>
        <v/>
      </c>
      <c r="B21">
        <f>IF($A21="","",COUNTIFS('Таблиця 1'!$B:$B,$A21,'Таблиця 1'!$E:$E,"ЖС ВЗ",'Таблиця 1'!$L:$L,"Уражено"))</f>
        <v/>
      </c>
      <c r="C21">
        <f>IF($A21="","",COUNTIFS('Таблиця 1'!$B:$B,$A21,'Таблиця 1'!$E:$E,"Арт. Системи",'Таблиця 1'!$L:$L,"Уражено"))</f>
        <v/>
      </c>
      <c r="D21">
        <f>IF($A21="","",COUNTIFS('Таблиця 1'!$B:$B,$A21,'Таблиця 1'!$E:$E,"ОВТ",'Таблиця 1'!$L:$L,"Уражено"))</f>
        <v/>
      </c>
      <c r="E21">
        <f>IF($A21="","",COUNTIFS('Таблиця 1'!$B:$B,$A21,'Таблиця 1'!$E:$E,"ППО",'Таблиця 1'!$L:$L,"Уражено"))</f>
        <v/>
      </c>
      <c r="F21">
        <f>IF($A21="","",COUNTIFS('Таблиця 1'!$B:$B,$A21,'Таблиця 1'!$E:$E,"Рембаза",'Таблиця 1'!$L:$L,"Уражено"))</f>
        <v/>
      </c>
      <c r="G21">
        <f>IF($A21="","",COUNTIFS('Таблиця 1'!$B:$B,$A21,'Таблиця 1'!$E:$E,"Склад БК",'Таблиця 1'!$L:$L,"Уражено"))</f>
        <v/>
      </c>
      <c r="H21">
        <f>IF($A21="","",COUNTIFS('Таблиця 1'!$B:$B,$A21,'Таблиця 1'!$E:$E,"Склад ВТМ",'Таблиця 1'!$L:$L,"Уражено"))</f>
        <v/>
      </c>
      <c r="I21">
        <f>IF($A21="","",COUNTIFS('Таблиця 1'!$B:$B,$A21,'Таблиця 1'!$E:$E,"ПУ БпЛА",'Таблиця 1'!$L:$L,"Уражено"))</f>
        <v/>
      </c>
      <c r="J21">
        <f>IF($A21="","",COUNTIFS('Таблиця 1'!$B:$B,$A21,'Таблиця 1'!$E:$E,"СП",'Таблиця 1'!$L:$L,"Уражено"))</f>
        <v/>
      </c>
      <c r="K21">
        <f>IF($A21="","",COUNTIFS('Таблиця 1'!$B:$B,$A21,'Таблиця 1'!$E:$E,"КСП роти",'Таблиця 1'!$L:$L,"Уражено"))</f>
        <v/>
      </c>
      <c r="L21">
        <f>IF($A21="","",COUNTIFS('Таблиця 1'!$B:$B,$A21,'Таблиця 1'!$E:$E,"ПУ бат",'Таблиця 1'!$L:$L,"Уражено"))</f>
        <v/>
      </c>
      <c r="M21">
        <f>IF($A21="","",COUNTIFS('Таблиця 1'!$B:$B,$A21,'Таблиця 1'!$E:$E,"ПУ бриг",'Таблиця 1'!$L:$L,"Уражено"))</f>
        <v/>
      </c>
      <c r="N21">
        <f>IF($A21="","",COUNTIFS('Таблиця 1'!$B:$B,$A21,'Таблиця 1'!$E:$E,"ПУ див",'Таблиця 1'!$L:$L,"Уражено"))</f>
        <v/>
      </c>
      <c r="O21">
        <f>IF($A21="","",COUNTIFS('Таблиця 1'!$B:$B,$A21,'Таблиця 1'!$E:$E,"обл. РЕБ",'Таблиця 1'!$L:$L,"Уражено"))</f>
        <v/>
      </c>
      <c r="P21">
        <f>IF($A21="","",COUNTIFS('Таблиця 1'!$B:$B,$A21,'Таблиця 1'!$E:$E,"пос РЕБ",'Таблиця 1'!$L:$L,"Уражено"))</f>
        <v/>
      </c>
      <c r="Q21">
        <f>IF($A21="","",COUNTIFS('Таблиця 1'!$B:$B,$A21,'Таблиця 1'!$E:$E,"група РЕР",'Таблиця 1'!$L:$L,"Уражено"))</f>
        <v/>
      </c>
      <c r="R21">
        <f>IF($A21="","",COUNTIFS('Таблиця 1'!$B:$B,$A21,'Таблиця 1'!$E:$E,"РЛС КББ",'Таблиця 1'!$L:$L,"Уражено"))</f>
        <v/>
      </c>
      <c r="S21">
        <f>IF($A21="","",COUNTIFS('Таблиця 1'!$B:$B,$A21,'Таблиця 1'!$E:$E,"Ретранслятор",'Таблиця 1'!$L:$L,"Уражено"))</f>
        <v/>
      </c>
      <c r="T21">
        <f>IF($A21="","",COUNTIFS('Таблиця 1'!$B:$B,$A21,'Таблиця 1'!$E:$E,"Вз.зв'язку",'Таблиця 1'!$L:$L,"Уражено"))</f>
        <v/>
      </c>
      <c r="U21">
        <f>IF($A21="","",COUNTIFS('Таблиця 1'!$B:$B,$A21,'Таблиця 1'!$E:$E,"ПММ",'Таблиця 1'!$L:$L,"Уражено"))</f>
        <v/>
      </c>
      <c r="V21">
        <f>IF($A21="","",COUNTIFS('Таблиця 1'!$B:$B,$A21,'Таблиця 1'!$E:$E,"ІФС",'Таблиця 1'!$L:$L,"Уражено"))</f>
        <v/>
      </c>
      <c r="W21">
        <f>IF($A21="","",COUNTIFS('Таблиця 1'!$B:$B,$A21,'Таблиця 1'!$E:$E,"Інфраструктура",'Таблиця 1'!$L:$L,"Уражено"))</f>
        <v/>
      </c>
      <c r="X21">
        <f>IF($A21="","",SUMIFS('Таблиця 1'!$K:$K,'Таблиця 1'!$B:$B,$A21))</f>
        <v/>
      </c>
    </row>
    <row r="22">
      <c r="A22" s="81">
        <f>IF(A21="","",IF(A21+1&gt;MAX('Таблиця 1'!$B:$B),"",A21+1))</f>
        <v/>
      </c>
      <c r="B22">
        <f>IF($A22="","",COUNTIFS('Таблиця 1'!$B:$B,$A22,'Таблиця 1'!$E:$E,"ЖС ВЗ",'Таблиця 1'!$L:$L,"Уражено"))</f>
        <v/>
      </c>
      <c r="C22">
        <f>IF($A22="","",COUNTIFS('Таблиця 1'!$B:$B,$A22,'Таблиця 1'!$E:$E,"Арт. Системи",'Таблиця 1'!$L:$L,"Уражено"))</f>
        <v/>
      </c>
      <c r="D22">
        <f>IF($A22="","",COUNTIFS('Таблиця 1'!$B:$B,$A22,'Таблиця 1'!$E:$E,"ОВТ",'Таблиця 1'!$L:$L,"Уражено"))</f>
        <v/>
      </c>
      <c r="E22">
        <f>IF($A22="","",COUNTIFS('Таблиця 1'!$B:$B,$A22,'Таблиця 1'!$E:$E,"ППО",'Таблиця 1'!$L:$L,"Уражено"))</f>
        <v/>
      </c>
      <c r="F22">
        <f>IF($A22="","",COUNTIFS('Таблиця 1'!$B:$B,$A22,'Таблиця 1'!$E:$E,"Рембаза",'Таблиця 1'!$L:$L,"Уражено"))</f>
        <v/>
      </c>
      <c r="G22">
        <f>IF($A22="","",COUNTIFS('Таблиця 1'!$B:$B,$A22,'Таблиця 1'!$E:$E,"Склад БК",'Таблиця 1'!$L:$L,"Уражено"))</f>
        <v/>
      </c>
      <c r="H22">
        <f>IF($A22="","",COUNTIFS('Таблиця 1'!$B:$B,$A22,'Таблиця 1'!$E:$E,"Склад ВТМ",'Таблиця 1'!$L:$L,"Уражено"))</f>
        <v/>
      </c>
      <c r="I22">
        <f>IF($A22="","",COUNTIFS('Таблиця 1'!$B:$B,$A22,'Таблиця 1'!$E:$E,"ПУ БпЛА",'Таблиця 1'!$L:$L,"Уражено"))</f>
        <v/>
      </c>
      <c r="J22">
        <f>IF($A22="","",COUNTIFS('Таблиця 1'!$B:$B,$A22,'Таблиця 1'!$E:$E,"СП",'Таблиця 1'!$L:$L,"Уражено"))</f>
        <v/>
      </c>
      <c r="K22">
        <f>IF($A22="","",COUNTIFS('Таблиця 1'!$B:$B,$A22,'Таблиця 1'!$E:$E,"КСП роти",'Таблиця 1'!$L:$L,"Уражено"))</f>
        <v/>
      </c>
      <c r="L22">
        <f>IF($A22="","",COUNTIFS('Таблиця 1'!$B:$B,$A22,'Таблиця 1'!$E:$E,"ПУ бат",'Таблиця 1'!$L:$L,"Уражено"))</f>
        <v/>
      </c>
      <c r="M22">
        <f>IF($A22="","",COUNTIFS('Таблиця 1'!$B:$B,$A22,'Таблиця 1'!$E:$E,"ПУ бриг",'Таблиця 1'!$L:$L,"Уражено"))</f>
        <v/>
      </c>
      <c r="N22">
        <f>IF($A22="","",COUNTIFS('Таблиця 1'!$B:$B,$A22,'Таблиця 1'!$E:$E,"ПУ див",'Таблиця 1'!$L:$L,"Уражено"))</f>
        <v/>
      </c>
      <c r="O22">
        <f>IF($A22="","",COUNTIFS('Таблиця 1'!$B:$B,$A22,'Таблиця 1'!$E:$E,"обл. РЕБ",'Таблиця 1'!$L:$L,"Уражено"))</f>
        <v/>
      </c>
      <c r="P22">
        <f>IF($A22="","",COUNTIFS('Таблиця 1'!$B:$B,$A22,'Таблиця 1'!$E:$E,"пос РЕБ",'Таблиця 1'!$L:$L,"Уражено"))</f>
        <v/>
      </c>
      <c r="Q22">
        <f>IF($A22="","",COUNTIFS('Таблиця 1'!$B:$B,$A22,'Таблиця 1'!$E:$E,"група РЕР",'Таблиця 1'!$L:$L,"Уражено"))</f>
        <v/>
      </c>
      <c r="R22">
        <f>IF($A22="","",COUNTIFS('Таблиця 1'!$B:$B,$A22,'Таблиця 1'!$E:$E,"РЛС КББ",'Таблиця 1'!$L:$L,"Уражено"))</f>
        <v/>
      </c>
      <c r="S22">
        <f>IF($A22="","",COUNTIFS('Таблиця 1'!$B:$B,$A22,'Таблиця 1'!$E:$E,"Ретранслятор",'Таблиця 1'!$L:$L,"Уражено"))</f>
        <v/>
      </c>
      <c r="T22">
        <f>IF($A22="","",COUNTIFS('Таблиця 1'!$B:$B,$A22,'Таблиця 1'!$E:$E,"Вз.зв'язку",'Таблиця 1'!$L:$L,"Уражено"))</f>
        <v/>
      </c>
      <c r="U22">
        <f>IF($A22="","",COUNTIFS('Таблиця 1'!$B:$B,$A22,'Таблиця 1'!$E:$E,"ПММ",'Таблиця 1'!$L:$L,"Уражено"))</f>
        <v/>
      </c>
      <c r="V22">
        <f>IF($A22="","",COUNTIFS('Таблиця 1'!$B:$B,$A22,'Таблиця 1'!$E:$E,"ІФС",'Таблиця 1'!$L:$L,"Уражено"))</f>
        <v/>
      </c>
      <c r="W22">
        <f>IF($A22="","",COUNTIFS('Таблиця 1'!$B:$B,$A22,'Таблиця 1'!$E:$E,"Інфраструктура",'Таблиця 1'!$L:$L,"Уражено"))</f>
        <v/>
      </c>
      <c r="X22">
        <f>IF($A22="","",SUMIFS('Таблиця 1'!$K:$K,'Таблиця 1'!$B:$B,$A22))</f>
        <v/>
      </c>
    </row>
    <row r="23">
      <c r="A23" s="81">
        <f>IF(A22="","",IF(A22+1&gt;MAX('Таблиця 1'!$B:$B),"",A22+1))</f>
        <v/>
      </c>
      <c r="B23">
        <f>IF($A23="","",COUNTIFS('Таблиця 1'!$B:$B,$A23,'Таблиця 1'!$E:$E,"ЖС ВЗ",'Таблиця 1'!$L:$L,"Уражено"))</f>
        <v/>
      </c>
      <c r="C23">
        <f>IF($A23="","",COUNTIFS('Таблиця 1'!$B:$B,$A23,'Таблиця 1'!$E:$E,"Арт. Системи",'Таблиця 1'!$L:$L,"Уражено"))</f>
        <v/>
      </c>
      <c r="D23">
        <f>IF($A23="","",COUNTIFS('Таблиця 1'!$B:$B,$A23,'Таблиця 1'!$E:$E,"ОВТ",'Таблиця 1'!$L:$L,"Уражено"))</f>
        <v/>
      </c>
      <c r="E23">
        <f>IF($A23="","",COUNTIFS('Таблиця 1'!$B:$B,$A23,'Таблиця 1'!$E:$E,"ППО",'Таблиця 1'!$L:$L,"Уражено"))</f>
        <v/>
      </c>
      <c r="F23">
        <f>IF($A23="","",COUNTIFS('Таблиця 1'!$B:$B,$A23,'Таблиця 1'!$E:$E,"Рембаза",'Таблиця 1'!$L:$L,"Уражено"))</f>
        <v/>
      </c>
      <c r="G23">
        <f>IF($A23="","",COUNTIFS('Таблиця 1'!$B:$B,$A23,'Таблиця 1'!$E:$E,"Склад БК",'Таблиця 1'!$L:$L,"Уражено"))</f>
        <v/>
      </c>
      <c r="H23">
        <f>IF($A23="","",COUNTIFS('Таблиця 1'!$B:$B,$A23,'Таблиця 1'!$E:$E,"Склад ВТМ",'Таблиця 1'!$L:$L,"Уражено"))</f>
        <v/>
      </c>
      <c r="I23">
        <f>IF($A23="","",COUNTIFS('Таблиця 1'!$B:$B,$A23,'Таблиця 1'!$E:$E,"ПУ БпЛА",'Таблиця 1'!$L:$L,"Уражено"))</f>
        <v/>
      </c>
      <c r="J23">
        <f>IF($A23="","",COUNTIFS('Таблиця 1'!$B:$B,$A23,'Таблиця 1'!$E:$E,"СП",'Таблиця 1'!$L:$L,"Уражено"))</f>
        <v/>
      </c>
      <c r="K23">
        <f>IF($A23="","",COUNTIFS('Таблиця 1'!$B:$B,$A23,'Таблиця 1'!$E:$E,"КСП роти",'Таблиця 1'!$L:$L,"Уражено"))</f>
        <v/>
      </c>
      <c r="L23">
        <f>IF($A23="","",COUNTIFS('Таблиця 1'!$B:$B,$A23,'Таблиця 1'!$E:$E,"ПУ бат",'Таблиця 1'!$L:$L,"Уражено"))</f>
        <v/>
      </c>
      <c r="M23">
        <f>IF($A23="","",COUNTIFS('Таблиця 1'!$B:$B,$A23,'Таблиця 1'!$E:$E,"ПУ бриг",'Таблиця 1'!$L:$L,"Уражено"))</f>
        <v/>
      </c>
      <c r="N23">
        <f>IF($A23="","",COUNTIFS('Таблиця 1'!$B:$B,$A23,'Таблиця 1'!$E:$E,"ПУ див",'Таблиця 1'!$L:$L,"Уражено"))</f>
        <v/>
      </c>
      <c r="O23">
        <f>IF($A23="","",COUNTIFS('Таблиця 1'!$B:$B,$A23,'Таблиця 1'!$E:$E,"обл. РЕБ",'Таблиця 1'!$L:$L,"Уражено"))</f>
        <v/>
      </c>
      <c r="P23">
        <f>IF($A23="","",COUNTIFS('Таблиця 1'!$B:$B,$A23,'Таблиця 1'!$E:$E,"пос РЕБ",'Таблиця 1'!$L:$L,"Уражено"))</f>
        <v/>
      </c>
      <c r="Q23">
        <f>IF($A23="","",COUNTIFS('Таблиця 1'!$B:$B,$A23,'Таблиця 1'!$E:$E,"група РЕР",'Таблиця 1'!$L:$L,"Уражено"))</f>
        <v/>
      </c>
      <c r="R23">
        <f>IF($A23="","",COUNTIFS('Таблиця 1'!$B:$B,$A23,'Таблиця 1'!$E:$E,"РЛС КББ",'Таблиця 1'!$L:$L,"Уражено"))</f>
        <v/>
      </c>
      <c r="S23">
        <f>IF($A23="","",COUNTIFS('Таблиця 1'!$B:$B,$A23,'Таблиця 1'!$E:$E,"Ретранслятор",'Таблиця 1'!$L:$L,"Уражено"))</f>
        <v/>
      </c>
      <c r="T23">
        <f>IF($A23="","",COUNTIFS('Таблиця 1'!$B:$B,$A23,'Таблиця 1'!$E:$E,"Вз.зв'язку",'Таблиця 1'!$L:$L,"Уражено"))</f>
        <v/>
      </c>
      <c r="U23">
        <f>IF($A23="","",COUNTIFS('Таблиця 1'!$B:$B,$A23,'Таблиця 1'!$E:$E,"ПММ",'Таблиця 1'!$L:$L,"Уражено"))</f>
        <v/>
      </c>
      <c r="V23">
        <f>IF($A23="","",COUNTIFS('Таблиця 1'!$B:$B,$A23,'Таблиця 1'!$E:$E,"ІФС",'Таблиця 1'!$L:$L,"Уражено"))</f>
        <v/>
      </c>
      <c r="W23">
        <f>IF($A23="","",COUNTIFS('Таблиця 1'!$B:$B,$A23,'Таблиця 1'!$E:$E,"Інфраструктура",'Таблиця 1'!$L:$L,"Уражено"))</f>
        <v/>
      </c>
      <c r="X23">
        <f>IF($A23="","",SUMIFS('Таблиця 1'!$K:$K,'Таблиця 1'!$B:$B,$A23))</f>
        <v/>
      </c>
    </row>
    <row r="24">
      <c r="A24" s="81">
        <f>IF(A23="","",IF(A23+1&gt;MAX('Таблиця 1'!$B:$B),"",A23+1))</f>
        <v/>
      </c>
      <c r="B24">
        <f>IF($A24="","",COUNTIFS('Таблиця 1'!$B:$B,$A24,'Таблиця 1'!$E:$E,"ЖС ВЗ",'Таблиця 1'!$L:$L,"Уражено"))</f>
        <v/>
      </c>
      <c r="C24">
        <f>IF($A24="","",COUNTIFS('Таблиця 1'!$B:$B,$A24,'Таблиця 1'!$E:$E,"Арт. Системи",'Таблиця 1'!$L:$L,"Уражено"))</f>
        <v/>
      </c>
      <c r="D24">
        <f>IF($A24="","",COUNTIFS('Таблиця 1'!$B:$B,$A24,'Таблиця 1'!$E:$E,"ОВТ",'Таблиця 1'!$L:$L,"Уражено"))</f>
        <v/>
      </c>
      <c r="E24">
        <f>IF($A24="","",COUNTIFS('Таблиця 1'!$B:$B,$A24,'Таблиця 1'!$E:$E,"ППО",'Таблиця 1'!$L:$L,"Уражено"))</f>
        <v/>
      </c>
      <c r="F24">
        <f>IF($A24="","",COUNTIFS('Таблиця 1'!$B:$B,$A24,'Таблиця 1'!$E:$E,"Рембаза",'Таблиця 1'!$L:$L,"Уражено"))</f>
        <v/>
      </c>
      <c r="G24">
        <f>IF($A24="","",COUNTIFS('Таблиця 1'!$B:$B,$A24,'Таблиця 1'!$E:$E,"Склад БК",'Таблиця 1'!$L:$L,"Уражено"))</f>
        <v/>
      </c>
      <c r="H24">
        <f>IF($A24="","",COUNTIFS('Таблиця 1'!$B:$B,$A24,'Таблиця 1'!$E:$E,"Склад ВТМ",'Таблиця 1'!$L:$L,"Уражено"))</f>
        <v/>
      </c>
      <c r="I24">
        <f>IF($A24="","",COUNTIFS('Таблиця 1'!$B:$B,$A24,'Таблиця 1'!$E:$E,"ПУ БпЛА",'Таблиця 1'!$L:$L,"Уражено"))</f>
        <v/>
      </c>
      <c r="J24">
        <f>IF($A24="","",COUNTIFS('Таблиця 1'!$B:$B,$A24,'Таблиця 1'!$E:$E,"СП",'Таблиця 1'!$L:$L,"Уражено"))</f>
        <v/>
      </c>
      <c r="K24">
        <f>IF($A24="","",COUNTIFS('Таблиця 1'!$B:$B,$A24,'Таблиця 1'!$E:$E,"КСП роти",'Таблиця 1'!$L:$L,"Уражено"))</f>
        <v/>
      </c>
      <c r="L24">
        <f>IF($A24="","",COUNTIFS('Таблиця 1'!$B:$B,$A24,'Таблиця 1'!$E:$E,"ПУ бат",'Таблиця 1'!$L:$L,"Уражено"))</f>
        <v/>
      </c>
      <c r="M24">
        <f>IF($A24="","",COUNTIFS('Таблиця 1'!$B:$B,$A24,'Таблиця 1'!$E:$E,"ПУ бриг",'Таблиця 1'!$L:$L,"Уражено"))</f>
        <v/>
      </c>
      <c r="N24">
        <f>IF($A24="","",COUNTIFS('Таблиця 1'!$B:$B,$A24,'Таблиця 1'!$E:$E,"ПУ див",'Таблиця 1'!$L:$L,"Уражено"))</f>
        <v/>
      </c>
      <c r="O24">
        <f>IF($A24="","",COUNTIFS('Таблиця 1'!$B:$B,$A24,'Таблиця 1'!$E:$E,"обл. РЕБ",'Таблиця 1'!$L:$L,"Уражено"))</f>
        <v/>
      </c>
      <c r="P24">
        <f>IF($A24="","",COUNTIFS('Таблиця 1'!$B:$B,$A24,'Таблиця 1'!$E:$E,"пос РЕБ",'Таблиця 1'!$L:$L,"Уражено"))</f>
        <v/>
      </c>
      <c r="Q24">
        <f>IF($A24="","",COUNTIFS('Таблиця 1'!$B:$B,$A24,'Таблиця 1'!$E:$E,"група РЕР",'Таблиця 1'!$L:$L,"Уражено"))</f>
        <v/>
      </c>
      <c r="R24">
        <f>IF($A24="","",COUNTIFS('Таблиця 1'!$B:$B,$A24,'Таблиця 1'!$E:$E,"РЛС КББ",'Таблиця 1'!$L:$L,"Уражено"))</f>
        <v/>
      </c>
      <c r="S24">
        <f>IF($A24="","",COUNTIFS('Таблиця 1'!$B:$B,$A24,'Таблиця 1'!$E:$E,"Ретранслятор",'Таблиця 1'!$L:$L,"Уражено"))</f>
        <v/>
      </c>
      <c r="T24">
        <f>IF($A24="","",COUNTIFS('Таблиця 1'!$B:$B,$A24,'Таблиця 1'!$E:$E,"Вз.зв'язку",'Таблиця 1'!$L:$L,"Уражено"))</f>
        <v/>
      </c>
      <c r="U24">
        <f>IF($A24="","",COUNTIFS('Таблиця 1'!$B:$B,$A24,'Таблиця 1'!$E:$E,"ПММ",'Таблиця 1'!$L:$L,"Уражено"))</f>
        <v/>
      </c>
      <c r="V24">
        <f>IF($A24="","",COUNTIFS('Таблиця 1'!$B:$B,$A24,'Таблиця 1'!$E:$E,"ІФС",'Таблиця 1'!$L:$L,"Уражено"))</f>
        <v/>
      </c>
      <c r="W24">
        <f>IF($A24="","",COUNTIFS('Таблиця 1'!$B:$B,$A24,'Таблиця 1'!$E:$E,"Інфраструктура",'Таблиця 1'!$L:$L,"Уражено"))</f>
        <v/>
      </c>
      <c r="X24">
        <f>IF($A24="","",SUMIFS('Таблиця 1'!$K:$K,'Таблиця 1'!$B:$B,$A24))</f>
        <v/>
      </c>
    </row>
    <row r="25">
      <c r="A25" s="81">
        <f>IF(A24="","",IF(A24+1&gt;MAX('Таблиця 1'!$B:$B),"",A24+1))</f>
        <v/>
      </c>
      <c r="B25">
        <f>IF($A25="","",COUNTIFS('Таблиця 1'!$B:$B,$A25,'Таблиця 1'!$E:$E,"ЖС ВЗ",'Таблиця 1'!$L:$L,"Уражено"))</f>
        <v/>
      </c>
      <c r="C25">
        <f>IF($A25="","",COUNTIFS('Таблиця 1'!$B:$B,$A25,'Таблиця 1'!$E:$E,"Арт. Системи",'Таблиця 1'!$L:$L,"Уражено"))</f>
        <v/>
      </c>
      <c r="D25">
        <f>IF($A25="","",COUNTIFS('Таблиця 1'!$B:$B,$A25,'Таблиця 1'!$E:$E,"ОВТ",'Таблиця 1'!$L:$L,"Уражено"))</f>
        <v/>
      </c>
      <c r="E25">
        <f>IF($A25="","",COUNTIFS('Таблиця 1'!$B:$B,$A25,'Таблиця 1'!$E:$E,"ППО",'Таблиця 1'!$L:$L,"Уражено"))</f>
        <v/>
      </c>
      <c r="F25">
        <f>IF($A25="","",COUNTIFS('Таблиця 1'!$B:$B,$A25,'Таблиця 1'!$E:$E,"Рембаза",'Таблиця 1'!$L:$L,"Уражено"))</f>
        <v/>
      </c>
      <c r="G25">
        <f>IF($A25="","",COUNTIFS('Таблиця 1'!$B:$B,$A25,'Таблиця 1'!$E:$E,"Склад БК",'Таблиця 1'!$L:$L,"Уражено"))</f>
        <v/>
      </c>
      <c r="H25">
        <f>IF($A25="","",COUNTIFS('Таблиця 1'!$B:$B,$A25,'Таблиця 1'!$E:$E,"Склад ВТМ",'Таблиця 1'!$L:$L,"Уражено"))</f>
        <v/>
      </c>
      <c r="I25">
        <f>IF($A25="","",COUNTIFS('Таблиця 1'!$B:$B,$A25,'Таблиця 1'!$E:$E,"ПУ БпЛА",'Таблиця 1'!$L:$L,"Уражено"))</f>
        <v/>
      </c>
      <c r="J25">
        <f>IF($A25="","",COUNTIFS('Таблиця 1'!$B:$B,$A25,'Таблиця 1'!$E:$E,"СП",'Таблиця 1'!$L:$L,"Уражено"))</f>
        <v/>
      </c>
      <c r="K25">
        <f>IF($A25="","",COUNTIFS('Таблиця 1'!$B:$B,$A25,'Таблиця 1'!$E:$E,"КСП роти",'Таблиця 1'!$L:$L,"Уражено"))</f>
        <v/>
      </c>
      <c r="L25">
        <f>IF($A25="","",COUNTIFS('Таблиця 1'!$B:$B,$A25,'Таблиця 1'!$E:$E,"ПУ бат",'Таблиця 1'!$L:$L,"Уражено"))</f>
        <v/>
      </c>
      <c r="M25">
        <f>IF($A25="","",COUNTIFS('Таблиця 1'!$B:$B,$A25,'Таблиця 1'!$E:$E,"ПУ бриг",'Таблиця 1'!$L:$L,"Уражено"))</f>
        <v/>
      </c>
      <c r="N25">
        <f>IF($A25="","",COUNTIFS('Таблиця 1'!$B:$B,$A25,'Таблиця 1'!$E:$E,"ПУ див",'Таблиця 1'!$L:$L,"Уражено"))</f>
        <v/>
      </c>
      <c r="O25">
        <f>IF($A25="","",COUNTIFS('Таблиця 1'!$B:$B,$A25,'Таблиця 1'!$E:$E,"обл. РЕБ",'Таблиця 1'!$L:$L,"Уражено"))</f>
        <v/>
      </c>
      <c r="P25">
        <f>IF($A25="","",COUNTIFS('Таблиця 1'!$B:$B,$A25,'Таблиця 1'!$E:$E,"пос РЕБ",'Таблиця 1'!$L:$L,"Уражено"))</f>
        <v/>
      </c>
      <c r="Q25">
        <f>IF($A25="","",COUNTIFS('Таблиця 1'!$B:$B,$A25,'Таблиця 1'!$E:$E,"група РЕР",'Таблиця 1'!$L:$L,"Уражено"))</f>
        <v/>
      </c>
      <c r="R25">
        <f>IF($A25="","",COUNTIFS('Таблиця 1'!$B:$B,$A25,'Таблиця 1'!$E:$E,"РЛС КББ",'Таблиця 1'!$L:$L,"Уражено"))</f>
        <v/>
      </c>
      <c r="S25">
        <f>IF($A25="","",COUNTIFS('Таблиця 1'!$B:$B,$A25,'Таблиця 1'!$E:$E,"Ретранслятор",'Таблиця 1'!$L:$L,"Уражено"))</f>
        <v/>
      </c>
      <c r="T25">
        <f>IF($A25="","",COUNTIFS('Таблиця 1'!$B:$B,$A25,'Таблиця 1'!$E:$E,"Вз.зв'язку",'Таблиця 1'!$L:$L,"Уражено"))</f>
        <v/>
      </c>
      <c r="U25">
        <f>IF($A25="","",COUNTIFS('Таблиця 1'!$B:$B,$A25,'Таблиця 1'!$E:$E,"ПММ",'Таблиця 1'!$L:$L,"Уражено"))</f>
        <v/>
      </c>
      <c r="V25">
        <f>IF($A25="","",COUNTIFS('Таблиця 1'!$B:$B,$A25,'Таблиця 1'!$E:$E,"ІФС",'Таблиця 1'!$L:$L,"Уражено"))</f>
        <v/>
      </c>
      <c r="W25">
        <f>IF($A25="","",COUNTIFS('Таблиця 1'!$B:$B,$A25,'Таблиця 1'!$E:$E,"Інфраструктура",'Таблиця 1'!$L:$L,"Уражено"))</f>
        <v/>
      </c>
      <c r="X25">
        <f>IF($A25="","",SUMIFS('Таблиця 1'!$K:$K,'Таблиця 1'!$B:$B,$A25))</f>
        <v/>
      </c>
    </row>
    <row r="26">
      <c r="A26" s="81">
        <f>IF(A25="","",IF(A25+1&gt;MAX('Таблиця 1'!$B:$B),"",A25+1))</f>
        <v/>
      </c>
      <c r="B26">
        <f>IF($A26="","",COUNTIFS('Таблиця 1'!$B:$B,$A26,'Таблиця 1'!$E:$E,"ЖС ВЗ",'Таблиця 1'!$L:$L,"Уражено"))</f>
        <v/>
      </c>
      <c r="C26">
        <f>IF($A26="","",COUNTIFS('Таблиця 1'!$B:$B,$A26,'Таблиця 1'!$E:$E,"Арт. Системи",'Таблиця 1'!$L:$L,"Уражено"))</f>
        <v/>
      </c>
      <c r="D26">
        <f>IF($A26="","",COUNTIFS('Таблиця 1'!$B:$B,$A26,'Таблиця 1'!$E:$E,"ОВТ",'Таблиця 1'!$L:$L,"Уражено"))</f>
        <v/>
      </c>
      <c r="E26">
        <f>IF($A26="","",COUNTIFS('Таблиця 1'!$B:$B,$A26,'Таблиця 1'!$E:$E,"ППО",'Таблиця 1'!$L:$L,"Уражено"))</f>
        <v/>
      </c>
      <c r="F26">
        <f>IF($A26="","",COUNTIFS('Таблиця 1'!$B:$B,$A26,'Таблиця 1'!$E:$E,"Рембаза",'Таблиця 1'!$L:$L,"Уражено"))</f>
        <v/>
      </c>
      <c r="G26">
        <f>IF($A26="","",COUNTIFS('Таблиця 1'!$B:$B,$A26,'Таблиця 1'!$E:$E,"Склад БК",'Таблиця 1'!$L:$L,"Уражено"))</f>
        <v/>
      </c>
      <c r="H26">
        <f>IF($A26="","",COUNTIFS('Таблиця 1'!$B:$B,$A26,'Таблиця 1'!$E:$E,"Склад ВТМ",'Таблиця 1'!$L:$L,"Уражено"))</f>
        <v/>
      </c>
      <c r="I26">
        <f>IF($A26="","",COUNTIFS('Таблиця 1'!$B:$B,$A26,'Таблиця 1'!$E:$E,"ПУ БпЛА",'Таблиця 1'!$L:$L,"Уражено"))</f>
        <v/>
      </c>
      <c r="J26">
        <f>IF($A26="","",COUNTIFS('Таблиця 1'!$B:$B,$A26,'Таблиця 1'!$E:$E,"СП",'Таблиця 1'!$L:$L,"Уражено"))</f>
        <v/>
      </c>
      <c r="K26">
        <f>IF($A26="","",COUNTIFS('Таблиця 1'!$B:$B,$A26,'Таблиця 1'!$E:$E,"КСП роти",'Таблиця 1'!$L:$L,"Уражено"))</f>
        <v/>
      </c>
      <c r="L26">
        <f>IF($A26="","",COUNTIFS('Таблиця 1'!$B:$B,$A26,'Таблиця 1'!$E:$E,"ПУ бат",'Таблиця 1'!$L:$L,"Уражено"))</f>
        <v/>
      </c>
      <c r="M26">
        <f>IF($A26="","",COUNTIFS('Таблиця 1'!$B:$B,$A26,'Таблиця 1'!$E:$E,"ПУ бриг",'Таблиця 1'!$L:$L,"Уражено"))</f>
        <v/>
      </c>
      <c r="N26">
        <f>IF($A26="","",COUNTIFS('Таблиця 1'!$B:$B,$A26,'Таблиця 1'!$E:$E,"ПУ див",'Таблиця 1'!$L:$L,"Уражено"))</f>
        <v/>
      </c>
      <c r="O26">
        <f>IF($A26="","",COUNTIFS('Таблиця 1'!$B:$B,$A26,'Таблиця 1'!$E:$E,"обл. РЕБ",'Таблиця 1'!$L:$L,"Уражено"))</f>
        <v/>
      </c>
      <c r="P26">
        <f>IF($A26="","",COUNTIFS('Таблиця 1'!$B:$B,$A26,'Таблиця 1'!$E:$E,"пос РЕБ",'Таблиця 1'!$L:$L,"Уражено"))</f>
        <v/>
      </c>
      <c r="Q26">
        <f>IF($A26="","",COUNTIFS('Таблиця 1'!$B:$B,$A26,'Таблиця 1'!$E:$E,"група РЕР",'Таблиця 1'!$L:$L,"Уражено"))</f>
        <v/>
      </c>
      <c r="R26">
        <f>IF($A26="","",COUNTIFS('Таблиця 1'!$B:$B,$A26,'Таблиця 1'!$E:$E,"РЛС КББ",'Таблиця 1'!$L:$L,"Уражено"))</f>
        <v/>
      </c>
      <c r="S26">
        <f>IF($A26="","",COUNTIFS('Таблиця 1'!$B:$B,$A26,'Таблиця 1'!$E:$E,"Ретранслятор",'Таблиця 1'!$L:$L,"Уражено"))</f>
        <v/>
      </c>
      <c r="T26">
        <f>IF($A26="","",COUNTIFS('Таблиця 1'!$B:$B,$A26,'Таблиця 1'!$E:$E,"Вз.зв'язку",'Таблиця 1'!$L:$L,"Уражено"))</f>
        <v/>
      </c>
      <c r="U26">
        <f>IF($A26="","",COUNTIFS('Таблиця 1'!$B:$B,$A26,'Таблиця 1'!$E:$E,"ПММ",'Таблиця 1'!$L:$L,"Уражено"))</f>
        <v/>
      </c>
      <c r="V26">
        <f>IF($A26="","",COUNTIFS('Таблиця 1'!$B:$B,$A26,'Таблиця 1'!$E:$E,"ІФС",'Таблиця 1'!$L:$L,"Уражено"))</f>
        <v/>
      </c>
      <c r="W26">
        <f>IF($A26="","",COUNTIFS('Таблиця 1'!$B:$B,$A26,'Таблиця 1'!$E:$E,"Інфраструктура",'Таблиця 1'!$L:$L,"Уражено"))</f>
        <v/>
      </c>
      <c r="X26">
        <f>IF($A26="","",SUMIFS('Таблиця 1'!$K:$K,'Таблиця 1'!$B:$B,$A26))</f>
        <v/>
      </c>
    </row>
    <row r="27">
      <c r="A27" s="81">
        <f>IF(A26="","",IF(A26+1&gt;MAX('Таблиця 1'!$B:$B),"",A26+1))</f>
        <v/>
      </c>
      <c r="B27">
        <f>IF($A27="","",COUNTIFS('Таблиця 1'!$B:$B,$A27,'Таблиця 1'!$E:$E,"ЖС ВЗ",'Таблиця 1'!$L:$L,"Уражено"))</f>
        <v/>
      </c>
      <c r="C27">
        <f>IF($A27="","",COUNTIFS('Таблиця 1'!$B:$B,$A27,'Таблиця 1'!$E:$E,"Арт. Системи",'Таблиця 1'!$L:$L,"Уражено"))</f>
        <v/>
      </c>
      <c r="D27">
        <f>IF($A27="","",COUNTIFS('Таблиця 1'!$B:$B,$A27,'Таблиця 1'!$E:$E,"ОВТ",'Таблиця 1'!$L:$L,"Уражено"))</f>
        <v/>
      </c>
      <c r="E27">
        <f>IF($A27="","",COUNTIFS('Таблиця 1'!$B:$B,$A27,'Таблиця 1'!$E:$E,"ППО",'Таблиця 1'!$L:$L,"Уражено"))</f>
        <v/>
      </c>
      <c r="F27">
        <f>IF($A27="","",COUNTIFS('Таблиця 1'!$B:$B,$A27,'Таблиця 1'!$E:$E,"Рембаза",'Таблиця 1'!$L:$L,"Уражено"))</f>
        <v/>
      </c>
      <c r="G27">
        <f>IF($A27="","",COUNTIFS('Таблиця 1'!$B:$B,$A27,'Таблиця 1'!$E:$E,"Склад БК",'Таблиця 1'!$L:$L,"Уражено"))</f>
        <v/>
      </c>
      <c r="H27">
        <f>IF($A27="","",COUNTIFS('Таблиця 1'!$B:$B,$A27,'Таблиця 1'!$E:$E,"Склад ВТМ",'Таблиця 1'!$L:$L,"Уражено"))</f>
        <v/>
      </c>
      <c r="I27">
        <f>IF($A27="","",COUNTIFS('Таблиця 1'!$B:$B,$A27,'Таблиця 1'!$E:$E,"ПУ БпЛА",'Таблиця 1'!$L:$L,"Уражено"))</f>
        <v/>
      </c>
      <c r="J27">
        <f>IF($A27="","",COUNTIFS('Таблиця 1'!$B:$B,$A27,'Таблиця 1'!$E:$E,"СП",'Таблиця 1'!$L:$L,"Уражено"))</f>
        <v/>
      </c>
      <c r="K27">
        <f>IF($A27="","",COUNTIFS('Таблиця 1'!$B:$B,$A27,'Таблиця 1'!$E:$E,"КСП роти",'Таблиця 1'!$L:$L,"Уражено"))</f>
        <v/>
      </c>
      <c r="L27">
        <f>IF($A27="","",COUNTIFS('Таблиця 1'!$B:$B,$A27,'Таблиця 1'!$E:$E,"ПУ бат",'Таблиця 1'!$L:$L,"Уражено"))</f>
        <v/>
      </c>
      <c r="M27">
        <f>IF($A27="","",COUNTIFS('Таблиця 1'!$B:$B,$A27,'Таблиця 1'!$E:$E,"ПУ бриг",'Таблиця 1'!$L:$L,"Уражено"))</f>
        <v/>
      </c>
      <c r="N27">
        <f>IF($A27="","",COUNTIFS('Таблиця 1'!$B:$B,$A27,'Таблиця 1'!$E:$E,"ПУ див",'Таблиця 1'!$L:$L,"Уражено"))</f>
        <v/>
      </c>
      <c r="O27">
        <f>IF($A27="","",COUNTIFS('Таблиця 1'!$B:$B,$A27,'Таблиця 1'!$E:$E,"обл. РЕБ",'Таблиця 1'!$L:$L,"Уражено"))</f>
        <v/>
      </c>
      <c r="P27">
        <f>IF($A27="","",COUNTIFS('Таблиця 1'!$B:$B,$A27,'Таблиця 1'!$E:$E,"пос РЕБ",'Таблиця 1'!$L:$L,"Уражено"))</f>
        <v/>
      </c>
      <c r="Q27">
        <f>IF($A27="","",COUNTIFS('Таблиця 1'!$B:$B,$A27,'Таблиця 1'!$E:$E,"група РЕР",'Таблиця 1'!$L:$L,"Уражено"))</f>
        <v/>
      </c>
      <c r="R27">
        <f>IF($A27="","",COUNTIFS('Таблиця 1'!$B:$B,$A27,'Таблиця 1'!$E:$E,"РЛС КББ",'Таблиця 1'!$L:$L,"Уражено"))</f>
        <v/>
      </c>
      <c r="S27">
        <f>IF($A27="","",COUNTIFS('Таблиця 1'!$B:$B,$A27,'Таблиця 1'!$E:$E,"Ретранслятор",'Таблиця 1'!$L:$L,"Уражено"))</f>
        <v/>
      </c>
      <c r="T27">
        <f>IF($A27="","",COUNTIFS('Таблиця 1'!$B:$B,$A27,'Таблиця 1'!$E:$E,"Вз.зв'язку",'Таблиця 1'!$L:$L,"Уражено"))</f>
        <v/>
      </c>
      <c r="U27">
        <f>IF($A27="","",COUNTIFS('Таблиця 1'!$B:$B,$A27,'Таблиця 1'!$E:$E,"ПММ",'Таблиця 1'!$L:$L,"Уражено"))</f>
        <v/>
      </c>
      <c r="V27">
        <f>IF($A27="","",COUNTIFS('Таблиця 1'!$B:$B,$A27,'Таблиця 1'!$E:$E,"ІФС",'Таблиця 1'!$L:$L,"Уражено"))</f>
        <v/>
      </c>
      <c r="W27">
        <f>IF($A27="","",COUNTIFS('Таблиця 1'!$B:$B,$A27,'Таблиця 1'!$E:$E,"Інфраструктура",'Таблиця 1'!$L:$L,"Уражено"))</f>
        <v/>
      </c>
      <c r="X27">
        <f>IF($A27="","",SUMIFS('Таблиця 1'!$K:$K,'Таблиця 1'!$B:$B,$A27))</f>
        <v/>
      </c>
    </row>
    <row r="28">
      <c r="A28" s="81">
        <f>IF(A27="","",IF(A27+1&gt;MAX('Таблиця 1'!$B:$B),"",A27+1))</f>
        <v/>
      </c>
      <c r="B28">
        <f>IF($A28="","",COUNTIFS('Таблиця 1'!$B:$B,$A28,'Таблиця 1'!$E:$E,"ЖС ВЗ",'Таблиця 1'!$L:$L,"Уражено"))</f>
        <v/>
      </c>
      <c r="C28">
        <f>IF($A28="","",COUNTIFS('Таблиця 1'!$B:$B,$A28,'Таблиця 1'!$E:$E,"Арт. Системи",'Таблиця 1'!$L:$L,"Уражено"))</f>
        <v/>
      </c>
      <c r="D28">
        <f>IF($A28="","",COUNTIFS('Таблиця 1'!$B:$B,$A28,'Таблиця 1'!$E:$E,"ОВТ",'Таблиця 1'!$L:$L,"Уражено"))</f>
        <v/>
      </c>
      <c r="E28">
        <f>IF($A28="","",COUNTIFS('Таблиця 1'!$B:$B,$A28,'Таблиця 1'!$E:$E,"ППО",'Таблиця 1'!$L:$L,"Уражено"))</f>
        <v/>
      </c>
      <c r="F28">
        <f>IF($A28="","",COUNTIFS('Таблиця 1'!$B:$B,$A28,'Таблиця 1'!$E:$E,"Рембаза",'Таблиця 1'!$L:$L,"Уражено"))</f>
        <v/>
      </c>
      <c r="G28">
        <f>IF($A28="","",COUNTIFS('Таблиця 1'!$B:$B,$A28,'Таблиця 1'!$E:$E,"Склад БК",'Таблиця 1'!$L:$L,"Уражено"))</f>
        <v/>
      </c>
      <c r="H28">
        <f>IF($A28="","",COUNTIFS('Таблиця 1'!$B:$B,$A28,'Таблиця 1'!$E:$E,"Склад ВТМ",'Таблиця 1'!$L:$L,"Уражено"))</f>
        <v/>
      </c>
      <c r="I28">
        <f>IF($A28="","",COUNTIFS('Таблиця 1'!$B:$B,$A28,'Таблиця 1'!$E:$E,"ПУ БпЛА",'Таблиця 1'!$L:$L,"Уражено"))</f>
        <v/>
      </c>
      <c r="J28">
        <f>IF($A28="","",COUNTIFS('Таблиця 1'!$B:$B,$A28,'Таблиця 1'!$E:$E,"СП",'Таблиця 1'!$L:$L,"Уражено"))</f>
        <v/>
      </c>
      <c r="K28">
        <f>IF($A28="","",COUNTIFS('Таблиця 1'!$B:$B,$A28,'Таблиця 1'!$E:$E,"КСП роти",'Таблиця 1'!$L:$L,"Уражено"))</f>
        <v/>
      </c>
      <c r="L28">
        <f>IF($A28="","",COUNTIFS('Таблиця 1'!$B:$B,$A28,'Таблиця 1'!$E:$E,"ПУ бат",'Таблиця 1'!$L:$L,"Уражено"))</f>
        <v/>
      </c>
      <c r="M28">
        <f>IF($A28="","",COUNTIFS('Таблиця 1'!$B:$B,$A28,'Таблиця 1'!$E:$E,"ПУ бриг",'Таблиця 1'!$L:$L,"Уражено"))</f>
        <v/>
      </c>
      <c r="N28">
        <f>IF($A28="","",COUNTIFS('Таблиця 1'!$B:$B,$A28,'Таблиця 1'!$E:$E,"ПУ див",'Таблиця 1'!$L:$L,"Уражено"))</f>
        <v/>
      </c>
      <c r="O28">
        <f>IF($A28="","",COUNTIFS('Таблиця 1'!$B:$B,$A28,'Таблиця 1'!$E:$E,"обл. РЕБ",'Таблиця 1'!$L:$L,"Уражено"))</f>
        <v/>
      </c>
      <c r="P28">
        <f>IF($A28="","",COUNTIFS('Таблиця 1'!$B:$B,$A28,'Таблиця 1'!$E:$E,"пос РЕБ",'Таблиця 1'!$L:$L,"Уражено"))</f>
        <v/>
      </c>
      <c r="Q28">
        <f>IF($A28="","",COUNTIFS('Таблиця 1'!$B:$B,$A28,'Таблиця 1'!$E:$E,"група РЕР",'Таблиця 1'!$L:$L,"Уражено"))</f>
        <v/>
      </c>
      <c r="R28">
        <f>IF($A28="","",COUNTIFS('Таблиця 1'!$B:$B,$A28,'Таблиця 1'!$E:$E,"РЛС КББ",'Таблиця 1'!$L:$L,"Уражено"))</f>
        <v/>
      </c>
      <c r="S28">
        <f>IF($A28="","",COUNTIFS('Таблиця 1'!$B:$B,$A28,'Таблиця 1'!$E:$E,"Ретранслятор",'Таблиця 1'!$L:$L,"Уражено"))</f>
        <v/>
      </c>
      <c r="T28">
        <f>IF($A28="","",COUNTIFS('Таблиця 1'!$B:$B,$A28,'Таблиця 1'!$E:$E,"Вз.зв'язку",'Таблиця 1'!$L:$L,"Уражено"))</f>
        <v/>
      </c>
      <c r="U28">
        <f>IF($A28="","",COUNTIFS('Таблиця 1'!$B:$B,$A28,'Таблиця 1'!$E:$E,"ПММ",'Таблиця 1'!$L:$L,"Уражено"))</f>
        <v/>
      </c>
      <c r="V28">
        <f>IF($A28="","",COUNTIFS('Таблиця 1'!$B:$B,$A28,'Таблиця 1'!$E:$E,"ІФС",'Таблиця 1'!$L:$L,"Уражено"))</f>
        <v/>
      </c>
      <c r="W28">
        <f>IF($A28="","",COUNTIFS('Таблиця 1'!$B:$B,$A28,'Таблиця 1'!$E:$E,"Інфраструктура",'Таблиця 1'!$L:$L,"Уражено"))</f>
        <v/>
      </c>
      <c r="X28">
        <f>IF($A28="","",SUMIFS('Таблиця 1'!$K:$K,'Таблиця 1'!$B:$B,$A28))</f>
        <v/>
      </c>
    </row>
    <row r="29">
      <c r="A29" s="81">
        <f>IF(A28="","",IF(A28+1&gt;MAX('Таблиця 1'!$B:$B),"",A28+1))</f>
        <v/>
      </c>
      <c r="B29">
        <f>IF($A29="","",COUNTIFS('Таблиця 1'!$B:$B,$A29,'Таблиця 1'!$E:$E,"ЖС ВЗ",'Таблиця 1'!$L:$L,"Уражено"))</f>
        <v/>
      </c>
      <c r="C29">
        <f>IF($A29="","",COUNTIFS('Таблиця 1'!$B:$B,$A29,'Таблиця 1'!$E:$E,"Арт. Системи",'Таблиця 1'!$L:$L,"Уражено"))</f>
        <v/>
      </c>
      <c r="D29">
        <f>IF($A29="","",COUNTIFS('Таблиця 1'!$B:$B,$A29,'Таблиця 1'!$E:$E,"ОВТ",'Таблиця 1'!$L:$L,"Уражено"))</f>
        <v/>
      </c>
      <c r="E29">
        <f>IF($A29="","",COUNTIFS('Таблиця 1'!$B:$B,$A29,'Таблиця 1'!$E:$E,"ППО",'Таблиця 1'!$L:$L,"Уражено"))</f>
        <v/>
      </c>
      <c r="F29">
        <f>IF($A29="","",COUNTIFS('Таблиця 1'!$B:$B,$A29,'Таблиця 1'!$E:$E,"Рембаза",'Таблиця 1'!$L:$L,"Уражено"))</f>
        <v/>
      </c>
      <c r="G29">
        <f>IF($A29="","",COUNTIFS('Таблиця 1'!$B:$B,$A29,'Таблиця 1'!$E:$E,"Склад БК",'Таблиця 1'!$L:$L,"Уражено"))</f>
        <v/>
      </c>
      <c r="H29">
        <f>IF($A29="","",COUNTIFS('Таблиця 1'!$B:$B,$A29,'Таблиця 1'!$E:$E,"Склад ВТМ",'Таблиця 1'!$L:$L,"Уражено"))</f>
        <v/>
      </c>
      <c r="I29">
        <f>IF($A29="","",COUNTIFS('Таблиця 1'!$B:$B,$A29,'Таблиця 1'!$E:$E,"ПУ БпЛА",'Таблиця 1'!$L:$L,"Уражено"))</f>
        <v/>
      </c>
      <c r="J29">
        <f>IF($A29="","",COUNTIFS('Таблиця 1'!$B:$B,$A29,'Таблиця 1'!$E:$E,"СП",'Таблиця 1'!$L:$L,"Уражено"))</f>
        <v/>
      </c>
      <c r="K29">
        <f>IF($A29="","",COUNTIFS('Таблиця 1'!$B:$B,$A29,'Таблиця 1'!$E:$E,"КСП роти",'Таблиця 1'!$L:$L,"Уражено"))</f>
        <v/>
      </c>
      <c r="L29">
        <f>IF($A29="","",COUNTIFS('Таблиця 1'!$B:$B,$A29,'Таблиця 1'!$E:$E,"ПУ бат",'Таблиця 1'!$L:$L,"Уражено"))</f>
        <v/>
      </c>
      <c r="M29">
        <f>IF($A29="","",COUNTIFS('Таблиця 1'!$B:$B,$A29,'Таблиця 1'!$E:$E,"ПУ бриг",'Таблиця 1'!$L:$L,"Уражено"))</f>
        <v/>
      </c>
      <c r="N29">
        <f>IF($A29="","",COUNTIFS('Таблиця 1'!$B:$B,$A29,'Таблиця 1'!$E:$E,"ПУ див",'Таблиця 1'!$L:$L,"Уражено"))</f>
        <v/>
      </c>
      <c r="O29">
        <f>IF($A29="","",COUNTIFS('Таблиця 1'!$B:$B,$A29,'Таблиця 1'!$E:$E,"обл. РЕБ",'Таблиця 1'!$L:$L,"Уражено"))</f>
        <v/>
      </c>
      <c r="P29">
        <f>IF($A29="","",COUNTIFS('Таблиця 1'!$B:$B,$A29,'Таблиця 1'!$E:$E,"пос РЕБ",'Таблиця 1'!$L:$L,"Уражено"))</f>
        <v/>
      </c>
      <c r="Q29">
        <f>IF($A29="","",COUNTIFS('Таблиця 1'!$B:$B,$A29,'Таблиця 1'!$E:$E,"група РЕР",'Таблиця 1'!$L:$L,"Уражено"))</f>
        <v/>
      </c>
      <c r="R29">
        <f>IF($A29="","",COUNTIFS('Таблиця 1'!$B:$B,$A29,'Таблиця 1'!$E:$E,"РЛС КББ",'Таблиця 1'!$L:$L,"Уражено"))</f>
        <v/>
      </c>
      <c r="S29">
        <f>IF($A29="","",COUNTIFS('Таблиця 1'!$B:$B,$A29,'Таблиця 1'!$E:$E,"Ретранслятор",'Таблиця 1'!$L:$L,"Уражено"))</f>
        <v/>
      </c>
      <c r="T29">
        <f>IF($A29="","",COUNTIFS('Таблиця 1'!$B:$B,$A29,'Таблиця 1'!$E:$E,"Вз.зв'язку",'Таблиця 1'!$L:$L,"Уражено"))</f>
        <v/>
      </c>
      <c r="U29">
        <f>IF($A29="","",COUNTIFS('Таблиця 1'!$B:$B,$A29,'Таблиця 1'!$E:$E,"ПММ",'Таблиця 1'!$L:$L,"Уражено"))</f>
        <v/>
      </c>
      <c r="V29">
        <f>IF($A29="","",COUNTIFS('Таблиця 1'!$B:$B,$A29,'Таблиця 1'!$E:$E,"ІФС",'Таблиця 1'!$L:$L,"Уражено"))</f>
        <v/>
      </c>
      <c r="W29">
        <f>IF($A29="","",COUNTIFS('Таблиця 1'!$B:$B,$A29,'Таблиця 1'!$E:$E,"Інфраструктура",'Таблиця 1'!$L:$L,"Уражено"))</f>
        <v/>
      </c>
      <c r="X29">
        <f>IF($A29="","",SUMIFS('Таблиця 1'!$K:$K,'Таблиця 1'!$B:$B,$A29))</f>
        <v/>
      </c>
    </row>
    <row r="30">
      <c r="A30" s="81">
        <f>IF(A29="","",IF(A29+1&gt;MAX('Таблиця 1'!$B:$B),"",A29+1))</f>
        <v/>
      </c>
      <c r="B30">
        <f>IF($A30="","",COUNTIFS('Таблиця 1'!$B:$B,$A30,'Таблиця 1'!$E:$E,"ЖС ВЗ",'Таблиця 1'!$L:$L,"Уражено"))</f>
        <v/>
      </c>
      <c r="C30">
        <f>IF($A30="","",COUNTIFS('Таблиця 1'!$B:$B,$A30,'Таблиця 1'!$E:$E,"Арт. Системи",'Таблиця 1'!$L:$L,"Уражено"))</f>
        <v/>
      </c>
      <c r="D30">
        <f>IF($A30="","",COUNTIFS('Таблиця 1'!$B:$B,$A30,'Таблиця 1'!$E:$E,"ОВТ",'Таблиця 1'!$L:$L,"Уражено"))</f>
        <v/>
      </c>
      <c r="E30">
        <f>IF($A30="","",COUNTIFS('Таблиця 1'!$B:$B,$A30,'Таблиця 1'!$E:$E,"ППО",'Таблиця 1'!$L:$L,"Уражено"))</f>
        <v/>
      </c>
      <c r="F30">
        <f>IF($A30="","",COUNTIFS('Таблиця 1'!$B:$B,$A30,'Таблиця 1'!$E:$E,"Рембаза",'Таблиця 1'!$L:$L,"Уражено"))</f>
        <v/>
      </c>
      <c r="G30">
        <f>IF($A30="","",COUNTIFS('Таблиця 1'!$B:$B,$A30,'Таблиця 1'!$E:$E,"Склад БК",'Таблиця 1'!$L:$L,"Уражено"))</f>
        <v/>
      </c>
      <c r="H30">
        <f>IF($A30="","",COUNTIFS('Таблиця 1'!$B:$B,$A30,'Таблиця 1'!$E:$E,"Склад ВТМ",'Таблиця 1'!$L:$L,"Уражено"))</f>
        <v/>
      </c>
      <c r="I30">
        <f>IF($A30="","",COUNTIFS('Таблиця 1'!$B:$B,$A30,'Таблиця 1'!$E:$E,"ПУ БпЛА",'Таблиця 1'!$L:$L,"Уражено"))</f>
        <v/>
      </c>
      <c r="J30">
        <f>IF($A30="","",COUNTIFS('Таблиця 1'!$B:$B,$A30,'Таблиця 1'!$E:$E,"СП",'Таблиця 1'!$L:$L,"Уражено"))</f>
        <v/>
      </c>
      <c r="K30">
        <f>IF($A30="","",COUNTIFS('Таблиця 1'!$B:$B,$A30,'Таблиця 1'!$E:$E,"КСП роти",'Таблиця 1'!$L:$L,"Уражено"))</f>
        <v/>
      </c>
      <c r="L30">
        <f>IF($A30="","",COUNTIFS('Таблиця 1'!$B:$B,$A30,'Таблиця 1'!$E:$E,"ПУ бат",'Таблиця 1'!$L:$L,"Уражено"))</f>
        <v/>
      </c>
      <c r="M30">
        <f>IF($A30="","",COUNTIFS('Таблиця 1'!$B:$B,$A30,'Таблиця 1'!$E:$E,"ПУ бриг",'Таблиця 1'!$L:$L,"Уражено"))</f>
        <v/>
      </c>
      <c r="N30">
        <f>IF($A30="","",COUNTIFS('Таблиця 1'!$B:$B,$A30,'Таблиця 1'!$E:$E,"ПУ див",'Таблиця 1'!$L:$L,"Уражено"))</f>
        <v/>
      </c>
      <c r="O30">
        <f>IF($A30="","",COUNTIFS('Таблиця 1'!$B:$B,$A30,'Таблиця 1'!$E:$E,"обл. РЕБ",'Таблиця 1'!$L:$L,"Уражено"))</f>
        <v/>
      </c>
      <c r="P30">
        <f>IF($A30="","",COUNTIFS('Таблиця 1'!$B:$B,$A30,'Таблиця 1'!$E:$E,"пос РЕБ",'Таблиця 1'!$L:$L,"Уражено"))</f>
        <v/>
      </c>
      <c r="Q30">
        <f>IF($A30="","",COUNTIFS('Таблиця 1'!$B:$B,$A30,'Таблиця 1'!$E:$E,"група РЕР",'Таблиця 1'!$L:$L,"Уражено"))</f>
        <v/>
      </c>
      <c r="R30">
        <f>IF($A30="","",COUNTIFS('Таблиця 1'!$B:$B,$A30,'Таблиця 1'!$E:$E,"РЛС КББ",'Таблиця 1'!$L:$L,"Уражено"))</f>
        <v/>
      </c>
      <c r="S30">
        <f>IF($A30="","",COUNTIFS('Таблиця 1'!$B:$B,$A30,'Таблиця 1'!$E:$E,"Ретранслятор",'Таблиця 1'!$L:$L,"Уражено"))</f>
        <v/>
      </c>
      <c r="T30">
        <f>IF($A30="","",COUNTIFS('Таблиця 1'!$B:$B,$A30,'Таблиця 1'!$E:$E,"Вз.зв'язку",'Таблиця 1'!$L:$L,"Уражено"))</f>
        <v/>
      </c>
      <c r="U30">
        <f>IF($A30="","",COUNTIFS('Таблиця 1'!$B:$B,$A30,'Таблиця 1'!$E:$E,"ПММ",'Таблиця 1'!$L:$L,"Уражено"))</f>
        <v/>
      </c>
      <c r="V30">
        <f>IF($A30="","",COUNTIFS('Таблиця 1'!$B:$B,$A30,'Таблиця 1'!$E:$E,"ІФС",'Таблиця 1'!$L:$L,"Уражено"))</f>
        <v/>
      </c>
      <c r="W30">
        <f>IF($A30="","",COUNTIFS('Таблиця 1'!$B:$B,$A30,'Таблиця 1'!$E:$E,"Інфраструктура",'Таблиця 1'!$L:$L,"Уражено"))</f>
        <v/>
      </c>
      <c r="X30">
        <f>IF($A30="","",SUMIFS('Таблиця 1'!$K:$K,'Таблиця 1'!$B:$B,$A30))</f>
        <v/>
      </c>
    </row>
    <row r="31">
      <c r="A31" s="81">
        <f>IF(A30="","",IF(A30+1&gt;MAX('Таблиця 1'!$B:$B),"",A30+1))</f>
        <v/>
      </c>
      <c r="B31">
        <f>IF($A31="","",COUNTIFS('Таблиця 1'!$B:$B,$A31,'Таблиця 1'!$E:$E,"ЖС ВЗ",'Таблиця 1'!$L:$L,"Уражено"))</f>
        <v/>
      </c>
      <c r="C31">
        <f>IF($A31="","",COUNTIFS('Таблиця 1'!$B:$B,$A31,'Таблиця 1'!$E:$E,"Арт. Системи",'Таблиця 1'!$L:$L,"Уражено"))</f>
        <v/>
      </c>
      <c r="D31">
        <f>IF($A31="","",COUNTIFS('Таблиця 1'!$B:$B,$A31,'Таблиця 1'!$E:$E,"ОВТ",'Таблиця 1'!$L:$L,"Уражено"))</f>
        <v/>
      </c>
      <c r="E31">
        <f>IF($A31="","",COUNTIFS('Таблиця 1'!$B:$B,$A31,'Таблиця 1'!$E:$E,"ППО",'Таблиця 1'!$L:$L,"Уражено"))</f>
        <v/>
      </c>
      <c r="F31">
        <f>IF($A31="","",COUNTIFS('Таблиця 1'!$B:$B,$A31,'Таблиця 1'!$E:$E,"Рембаза",'Таблиця 1'!$L:$L,"Уражено"))</f>
        <v/>
      </c>
      <c r="G31">
        <f>IF($A31="","",COUNTIFS('Таблиця 1'!$B:$B,$A31,'Таблиця 1'!$E:$E,"Склад БК",'Таблиця 1'!$L:$L,"Уражено"))</f>
        <v/>
      </c>
      <c r="H31">
        <f>IF($A31="","",COUNTIFS('Таблиця 1'!$B:$B,$A31,'Таблиця 1'!$E:$E,"Склад ВТМ",'Таблиця 1'!$L:$L,"Уражено"))</f>
        <v/>
      </c>
      <c r="I31">
        <f>IF($A31="","",COUNTIFS('Таблиця 1'!$B:$B,$A31,'Таблиця 1'!$E:$E,"ПУ БпЛА",'Таблиця 1'!$L:$L,"Уражено"))</f>
        <v/>
      </c>
      <c r="J31">
        <f>IF($A31="","",COUNTIFS('Таблиця 1'!$B:$B,$A31,'Таблиця 1'!$E:$E,"СП",'Таблиця 1'!$L:$L,"Уражено"))</f>
        <v/>
      </c>
      <c r="K31">
        <f>IF($A31="","",COUNTIFS('Таблиця 1'!$B:$B,$A31,'Таблиця 1'!$E:$E,"КСП роти",'Таблиця 1'!$L:$L,"Уражено"))</f>
        <v/>
      </c>
      <c r="L31">
        <f>IF($A31="","",COUNTIFS('Таблиця 1'!$B:$B,$A31,'Таблиця 1'!$E:$E,"ПУ бат",'Таблиця 1'!$L:$L,"Уражено"))</f>
        <v/>
      </c>
      <c r="M31">
        <f>IF($A31="","",COUNTIFS('Таблиця 1'!$B:$B,$A31,'Таблиця 1'!$E:$E,"ПУ бриг",'Таблиця 1'!$L:$L,"Уражено"))</f>
        <v/>
      </c>
      <c r="N31">
        <f>IF($A31="","",COUNTIFS('Таблиця 1'!$B:$B,$A31,'Таблиця 1'!$E:$E,"ПУ див",'Таблиця 1'!$L:$L,"Уражено"))</f>
        <v/>
      </c>
      <c r="O31">
        <f>IF($A31="","",COUNTIFS('Таблиця 1'!$B:$B,$A31,'Таблиця 1'!$E:$E,"обл. РЕБ",'Таблиця 1'!$L:$L,"Уражено"))</f>
        <v/>
      </c>
      <c r="P31">
        <f>IF($A31="","",COUNTIFS('Таблиця 1'!$B:$B,$A31,'Таблиця 1'!$E:$E,"пос РЕБ",'Таблиця 1'!$L:$L,"Уражено"))</f>
        <v/>
      </c>
      <c r="Q31">
        <f>IF($A31="","",COUNTIFS('Таблиця 1'!$B:$B,$A31,'Таблиця 1'!$E:$E,"група РЕР",'Таблиця 1'!$L:$L,"Уражено"))</f>
        <v/>
      </c>
      <c r="R31">
        <f>IF($A31="","",COUNTIFS('Таблиця 1'!$B:$B,$A31,'Таблиця 1'!$E:$E,"РЛС КББ",'Таблиця 1'!$L:$L,"Уражено"))</f>
        <v/>
      </c>
      <c r="S31">
        <f>IF($A31="","",COUNTIFS('Таблиця 1'!$B:$B,$A31,'Таблиця 1'!$E:$E,"Ретранслятор",'Таблиця 1'!$L:$L,"Уражено"))</f>
        <v/>
      </c>
      <c r="T31">
        <f>IF($A31="","",COUNTIFS('Таблиця 1'!$B:$B,$A31,'Таблиця 1'!$E:$E,"Вз.зв'язку",'Таблиця 1'!$L:$L,"Уражено"))</f>
        <v/>
      </c>
      <c r="U31">
        <f>IF($A31="","",COUNTIFS('Таблиця 1'!$B:$B,$A31,'Таблиця 1'!$E:$E,"ПММ",'Таблиця 1'!$L:$L,"Уражено"))</f>
        <v/>
      </c>
      <c r="V31">
        <f>IF($A31="","",COUNTIFS('Таблиця 1'!$B:$B,$A31,'Таблиця 1'!$E:$E,"ІФС",'Таблиця 1'!$L:$L,"Уражено"))</f>
        <v/>
      </c>
      <c r="W31">
        <f>IF($A31="","",COUNTIFS('Таблиця 1'!$B:$B,$A31,'Таблиця 1'!$E:$E,"Інфраструктура",'Таблиця 1'!$L:$L,"Уражено"))</f>
        <v/>
      </c>
      <c r="X31">
        <f>IF($A31="","",SUMIFS('Таблиця 1'!$K:$K,'Таблиця 1'!$B:$B,$A31))</f>
        <v/>
      </c>
    </row>
    <row r="32">
      <c r="A32" s="81">
        <f>IF(A31="","",IF(A31+1&gt;MAX('Таблиця 1'!$B:$B),"",A31+1))</f>
        <v/>
      </c>
      <c r="B32">
        <f>IF($A32="","",COUNTIFS('Таблиця 1'!$B:$B,$A32,'Таблиця 1'!$E:$E,"ЖС ВЗ",'Таблиця 1'!$L:$L,"Уражено"))</f>
        <v/>
      </c>
      <c r="C32">
        <f>IF($A32="","",COUNTIFS('Таблиця 1'!$B:$B,$A32,'Таблиця 1'!$E:$E,"Арт. Системи",'Таблиця 1'!$L:$L,"Уражено"))</f>
        <v/>
      </c>
      <c r="D32">
        <f>IF($A32="","",COUNTIFS('Таблиця 1'!$B:$B,$A32,'Таблиця 1'!$E:$E,"ОВТ",'Таблиця 1'!$L:$L,"Уражено"))</f>
        <v/>
      </c>
      <c r="E32">
        <f>IF($A32="","",COUNTIFS('Таблиця 1'!$B:$B,$A32,'Таблиця 1'!$E:$E,"ППО",'Таблиця 1'!$L:$L,"Уражено"))</f>
        <v/>
      </c>
      <c r="F32">
        <f>IF($A32="","",COUNTIFS('Таблиця 1'!$B:$B,$A32,'Таблиця 1'!$E:$E,"Рембаза",'Таблиця 1'!$L:$L,"Уражено"))</f>
        <v/>
      </c>
      <c r="G32">
        <f>IF($A32="","",COUNTIFS('Таблиця 1'!$B:$B,$A32,'Таблиця 1'!$E:$E,"Склад БК",'Таблиця 1'!$L:$L,"Уражено"))</f>
        <v/>
      </c>
      <c r="H32">
        <f>IF($A32="","",COUNTIFS('Таблиця 1'!$B:$B,$A32,'Таблиця 1'!$E:$E,"Склад ВТМ",'Таблиця 1'!$L:$L,"Уражено"))</f>
        <v/>
      </c>
      <c r="I32">
        <f>IF($A32="","",COUNTIFS('Таблиця 1'!$B:$B,$A32,'Таблиця 1'!$E:$E,"ПУ БпЛА",'Таблиця 1'!$L:$L,"Уражено"))</f>
        <v/>
      </c>
      <c r="J32">
        <f>IF($A32="","",COUNTIFS('Таблиця 1'!$B:$B,$A32,'Таблиця 1'!$E:$E,"СП",'Таблиця 1'!$L:$L,"Уражено"))</f>
        <v/>
      </c>
      <c r="K32">
        <f>IF($A32="","",COUNTIFS('Таблиця 1'!$B:$B,$A32,'Таблиця 1'!$E:$E,"КСП роти",'Таблиця 1'!$L:$L,"Уражено"))</f>
        <v/>
      </c>
      <c r="L32">
        <f>IF($A32="","",COUNTIFS('Таблиця 1'!$B:$B,$A32,'Таблиця 1'!$E:$E,"ПУ бат",'Таблиця 1'!$L:$L,"Уражено"))</f>
        <v/>
      </c>
      <c r="M32">
        <f>IF($A32="","",COUNTIFS('Таблиця 1'!$B:$B,$A32,'Таблиця 1'!$E:$E,"ПУ бриг",'Таблиця 1'!$L:$L,"Уражено"))</f>
        <v/>
      </c>
      <c r="N32">
        <f>IF($A32="","",COUNTIFS('Таблиця 1'!$B:$B,$A32,'Таблиця 1'!$E:$E,"ПУ див",'Таблиця 1'!$L:$L,"Уражено"))</f>
        <v/>
      </c>
      <c r="O32">
        <f>IF($A32="","",COUNTIFS('Таблиця 1'!$B:$B,$A32,'Таблиця 1'!$E:$E,"обл. РЕБ",'Таблиця 1'!$L:$L,"Уражено"))</f>
        <v/>
      </c>
      <c r="P32">
        <f>IF($A32="","",COUNTIFS('Таблиця 1'!$B:$B,$A32,'Таблиця 1'!$E:$E,"пос РЕБ",'Таблиця 1'!$L:$L,"Уражено"))</f>
        <v/>
      </c>
      <c r="Q32">
        <f>IF($A32="","",COUNTIFS('Таблиця 1'!$B:$B,$A32,'Таблиця 1'!$E:$E,"група РЕР",'Таблиця 1'!$L:$L,"Уражено"))</f>
        <v/>
      </c>
      <c r="R32">
        <f>IF($A32="","",COUNTIFS('Таблиця 1'!$B:$B,$A32,'Таблиця 1'!$E:$E,"РЛС КББ",'Таблиця 1'!$L:$L,"Уражено"))</f>
        <v/>
      </c>
      <c r="S32">
        <f>IF($A32="","",COUNTIFS('Таблиця 1'!$B:$B,$A32,'Таблиця 1'!$E:$E,"Ретранслятор",'Таблиця 1'!$L:$L,"Уражено"))</f>
        <v/>
      </c>
      <c r="T32">
        <f>IF($A32="","",COUNTIFS('Таблиця 1'!$B:$B,$A32,'Таблиця 1'!$E:$E,"Вз.зв'язку",'Таблиця 1'!$L:$L,"Уражено"))</f>
        <v/>
      </c>
      <c r="U32">
        <f>IF($A32="","",COUNTIFS('Таблиця 1'!$B:$B,$A32,'Таблиця 1'!$E:$E,"ПММ",'Таблиця 1'!$L:$L,"Уражено"))</f>
        <v/>
      </c>
      <c r="V32">
        <f>IF($A32="","",COUNTIFS('Таблиця 1'!$B:$B,$A32,'Таблиця 1'!$E:$E,"ІФС",'Таблиця 1'!$L:$L,"Уражено"))</f>
        <v/>
      </c>
      <c r="W32">
        <f>IF($A32="","",COUNTIFS('Таблиця 1'!$B:$B,$A32,'Таблиця 1'!$E:$E,"Інфраструктура",'Таблиця 1'!$L:$L,"Уражено"))</f>
        <v/>
      </c>
      <c r="X32">
        <f>IF($A32="","",SUMIFS('Таблиця 1'!$K:$K,'Таблиця 1'!$B:$B,$A32))</f>
        <v/>
      </c>
    </row>
    <row r="33">
      <c r="A33" s="81">
        <f>IF(A32="","",IF(A32+1&gt;MAX('Таблиця 1'!$B:$B),"",A32+1))</f>
        <v/>
      </c>
      <c r="B33">
        <f>IF($A33="","",COUNTIFS('Таблиця 1'!$B:$B,$A33,'Таблиця 1'!$E:$E,"ЖС ВЗ",'Таблиця 1'!$L:$L,"Уражено"))</f>
        <v/>
      </c>
      <c r="C33">
        <f>IF($A33="","",COUNTIFS('Таблиця 1'!$B:$B,$A33,'Таблиця 1'!$E:$E,"Арт. Системи",'Таблиця 1'!$L:$L,"Уражено"))</f>
        <v/>
      </c>
      <c r="D33">
        <f>IF($A33="","",COUNTIFS('Таблиця 1'!$B:$B,$A33,'Таблиця 1'!$E:$E,"ОВТ",'Таблиця 1'!$L:$L,"Уражено"))</f>
        <v/>
      </c>
      <c r="E33">
        <f>IF($A33="","",COUNTIFS('Таблиця 1'!$B:$B,$A33,'Таблиця 1'!$E:$E,"ППО",'Таблиця 1'!$L:$L,"Уражено"))</f>
        <v/>
      </c>
      <c r="F33">
        <f>IF($A33="","",COUNTIFS('Таблиця 1'!$B:$B,$A33,'Таблиця 1'!$E:$E,"Рембаза",'Таблиця 1'!$L:$L,"Уражено"))</f>
        <v/>
      </c>
      <c r="G33">
        <f>IF($A33="","",COUNTIFS('Таблиця 1'!$B:$B,$A33,'Таблиця 1'!$E:$E,"Склад БК",'Таблиця 1'!$L:$L,"Уражено"))</f>
        <v/>
      </c>
      <c r="H33">
        <f>IF($A33="","",COUNTIFS('Таблиця 1'!$B:$B,$A33,'Таблиця 1'!$E:$E,"Склад ВТМ",'Таблиця 1'!$L:$L,"Уражено"))</f>
        <v/>
      </c>
      <c r="I33">
        <f>IF($A33="","",COUNTIFS('Таблиця 1'!$B:$B,$A33,'Таблиця 1'!$E:$E,"ПУ БпЛА",'Таблиця 1'!$L:$L,"Уражено"))</f>
        <v/>
      </c>
      <c r="J33">
        <f>IF($A33="","",COUNTIFS('Таблиця 1'!$B:$B,$A33,'Таблиця 1'!$E:$E,"СП",'Таблиця 1'!$L:$L,"Уражено"))</f>
        <v/>
      </c>
      <c r="K33">
        <f>IF($A33="","",COUNTIFS('Таблиця 1'!$B:$B,$A33,'Таблиця 1'!$E:$E,"КСП роти",'Таблиця 1'!$L:$L,"Уражено"))</f>
        <v/>
      </c>
      <c r="L33">
        <f>IF($A33="","",COUNTIFS('Таблиця 1'!$B:$B,$A33,'Таблиця 1'!$E:$E,"ПУ бат",'Таблиця 1'!$L:$L,"Уражено"))</f>
        <v/>
      </c>
      <c r="M33">
        <f>IF($A33="","",COUNTIFS('Таблиця 1'!$B:$B,$A33,'Таблиця 1'!$E:$E,"ПУ бриг",'Таблиця 1'!$L:$L,"Уражено"))</f>
        <v/>
      </c>
      <c r="N33">
        <f>IF($A33="","",COUNTIFS('Таблиця 1'!$B:$B,$A33,'Таблиця 1'!$E:$E,"ПУ див",'Таблиця 1'!$L:$L,"Уражено"))</f>
        <v/>
      </c>
      <c r="O33">
        <f>IF($A33="","",COUNTIFS('Таблиця 1'!$B:$B,$A33,'Таблиця 1'!$E:$E,"обл. РЕБ",'Таблиця 1'!$L:$L,"Уражено"))</f>
        <v/>
      </c>
      <c r="P33">
        <f>IF($A33="","",COUNTIFS('Таблиця 1'!$B:$B,$A33,'Таблиця 1'!$E:$E,"пос РЕБ",'Таблиця 1'!$L:$L,"Уражено"))</f>
        <v/>
      </c>
      <c r="Q33">
        <f>IF($A33="","",COUNTIFS('Таблиця 1'!$B:$B,$A33,'Таблиця 1'!$E:$E,"група РЕР",'Таблиця 1'!$L:$L,"Уражено"))</f>
        <v/>
      </c>
      <c r="R33">
        <f>IF($A33="","",COUNTIFS('Таблиця 1'!$B:$B,$A33,'Таблиця 1'!$E:$E,"РЛС КББ",'Таблиця 1'!$L:$L,"Уражено"))</f>
        <v/>
      </c>
      <c r="S33">
        <f>IF($A33="","",COUNTIFS('Таблиця 1'!$B:$B,$A33,'Таблиця 1'!$E:$E,"Ретранслятор",'Таблиця 1'!$L:$L,"Уражено"))</f>
        <v/>
      </c>
      <c r="T33">
        <f>IF($A33="","",COUNTIFS('Таблиця 1'!$B:$B,$A33,'Таблиця 1'!$E:$E,"Вз.зв'язку",'Таблиця 1'!$L:$L,"Уражено"))</f>
        <v/>
      </c>
      <c r="U33">
        <f>IF($A33="","",COUNTIFS('Таблиця 1'!$B:$B,$A33,'Таблиця 1'!$E:$E,"ПММ",'Таблиця 1'!$L:$L,"Уражено"))</f>
        <v/>
      </c>
      <c r="V33">
        <f>IF($A33="","",COUNTIFS('Таблиця 1'!$B:$B,$A33,'Таблиця 1'!$E:$E,"ІФС",'Таблиця 1'!$L:$L,"Уражено"))</f>
        <v/>
      </c>
      <c r="W33">
        <f>IF($A33="","",COUNTIFS('Таблиця 1'!$B:$B,$A33,'Таблиця 1'!$E:$E,"Інфраструктура",'Таблиця 1'!$L:$L,"Уражено"))</f>
        <v/>
      </c>
      <c r="X33">
        <f>IF($A33="","",SUMIFS('Таблиця 1'!$K:$K,'Таблиця 1'!$B:$B,$A33))</f>
        <v/>
      </c>
    </row>
    <row r="34">
      <c r="A34" s="81">
        <f>IF(A33="","",IF(A33+1&gt;MAX('Таблиця 1'!$B:$B),"",A33+1))</f>
        <v/>
      </c>
      <c r="B34">
        <f>IF($A34="","",COUNTIFS('Таблиця 1'!$B:$B,$A34,'Таблиця 1'!$E:$E,"ЖС ВЗ",'Таблиця 1'!$L:$L,"Уражено"))</f>
        <v/>
      </c>
      <c r="C34">
        <f>IF($A34="","",COUNTIFS('Таблиця 1'!$B:$B,$A34,'Таблиця 1'!$E:$E,"Арт. Системи",'Таблиця 1'!$L:$L,"Уражено"))</f>
        <v/>
      </c>
      <c r="D34">
        <f>IF($A34="","",COUNTIFS('Таблиця 1'!$B:$B,$A34,'Таблиця 1'!$E:$E,"ОВТ",'Таблиця 1'!$L:$L,"Уражено"))</f>
        <v/>
      </c>
      <c r="E34">
        <f>IF($A34="","",COUNTIFS('Таблиця 1'!$B:$B,$A34,'Таблиця 1'!$E:$E,"ППО",'Таблиця 1'!$L:$L,"Уражено"))</f>
        <v/>
      </c>
      <c r="F34">
        <f>IF($A34="","",COUNTIFS('Таблиця 1'!$B:$B,$A34,'Таблиця 1'!$E:$E,"Рембаза",'Таблиця 1'!$L:$L,"Уражено"))</f>
        <v/>
      </c>
      <c r="G34">
        <f>IF($A34="","",COUNTIFS('Таблиця 1'!$B:$B,$A34,'Таблиця 1'!$E:$E,"Склад БК",'Таблиця 1'!$L:$L,"Уражено"))</f>
        <v/>
      </c>
      <c r="H34">
        <f>IF($A34="","",COUNTIFS('Таблиця 1'!$B:$B,$A34,'Таблиця 1'!$E:$E,"Склад ВТМ",'Таблиця 1'!$L:$L,"Уражено"))</f>
        <v/>
      </c>
      <c r="I34">
        <f>IF($A34="","",COUNTIFS('Таблиця 1'!$B:$B,$A34,'Таблиця 1'!$E:$E,"ПУ БпЛА",'Таблиця 1'!$L:$L,"Уражено"))</f>
        <v/>
      </c>
      <c r="J34">
        <f>IF($A34="","",COUNTIFS('Таблиця 1'!$B:$B,$A34,'Таблиця 1'!$E:$E,"СП",'Таблиця 1'!$L:$L,"Уражено"))</f>
        <v/>
      </c>
      <c r="K34">
        <f>IF($A34="","",COUNTIFS('Таблиця 1'!$B:$B,$A34,'Таблиця 1'!$E:$E,"КСП роти",'Таблиця 1'!$L:$L,"Уражено"))</f>
        <v/>
      </c>
      <c r="L34">
        <f>IF($A34="","",COUNTIFS('Таблиця 1'!$B:$B,$A34,'Таблиця 1'!$E:$E,"ПУ бат",'Таблиця 1'!$L:$L,"Уражено"))</f>
        <v/>
      </c>
      <c r="M34">
        <f>IF($A34="","",COUNTIFS('Таблиця 1'!$B:$B,$A34,'Таблиця 1'!$E:$E,"ПУ бриг",'Таблиця 1'!$L:$L,"Уражено"))</f>
        <v/>
      </c>
      <c r="N34">
        <f>IF($A34="","",COUNTIFS('Таблиця 1'!$B:$B,$A34,'Таблиця 1'!$E:$E,"ПУ див",'Таблиця 1'!$L:$L,"Уражено"))</f>
        <v/>
      </c>
      <c r="O34">
        <f>IF($A34="","",COUNTIFS('Таблиця 1'!$B:$B,$A34,'Таблиця 1'!$E:$E,"обл. РЕБ",'Таблиця 1'!$L:$L,"Уражено"))</f>
        <v/>
      </c>
      <c r="P34">
        <f>IF($A34="","",COUNTIFS('Таблиця 1'!$B:$B,$A34,'Таблиця 1'!$E:$E,"пос РЕБ",'Таблиця 1'!$L:$L,"Уражено"))</f>
        <v/>
      </c>
      <c r="Q34">
        <f>IF($A34="","",COUNTIFS('Таблиця 1'!$B:$B,$A34,'Таблиця 1'!$E:$E,"група РЕР",'Таблиця 1'!$L:$L,"Уражено"))</f>
        <v/>
      </c>
      <c r="R34">
        <f>IF($A34="","",COUNTIFS('Таблиця 1'!$B:$B,$A34,'Таблиця 1'!$E:$E,"РЛС КББ",'Таблиця 1'!$L:$L,"Уражено"))</f>
        <v/>
      </c>
      <c r="S34">
        <f>IF($A34="","",COUNTIFS('Таблиця 1'!$B:$B,$A34,'Таблиця 1'!$E:$E,"Ретранслятор",'Таблиця 1'!$L:$L,"Уражено"))</f>
        <v/>
      </c>
      <c r="T34">
        <f>IF($A34="","",COUNTIFS('Таблиця 1'!$B:$B,$A34,'Таблиця 1'!$E:$E,"Вз.зв'язку",'Таблиця 1'!$L:$L,"Уражено"))</f>
        <v/>
      </c>
      <c r="U34">
        <f>IF($A34="","",COUNTIFS('Таблиця 1'!$B:$B,$A34,'Таблиця 1'!$E:$E,"ПММ",'Таблиця 1'!$L:$L,"Уражено"))</f>
        <v/>
      </c>
      <c r="V34">
        <f>IF($A34="","",COUNTIFS('Таблиця 1'!$B:$B,$A34,'Таблиця 1'!$E:$E,"ІФС",'Таблиця 1'!$L:$L,"Уражено"))</f>
        <v/>
      </c>
      <c r="W34">
        <f>IF($A34="","",COUNTIFS('Таблиця 1'!$B:$B,$A34,'Таблиця 1'!$E:$E,"Інфраструктура",'Таблиця 1'!$L:$L,"Уражено"))</f>
        <v/>
      </c>
      <c r="X34">
        <f>IF($A34="","",SUMIFS('Таблиця 1'!$K:$K,'Таблиця 1'!$B:$B,$A34))</f>
        <v/>
      </c>
    </row>
    <row r="35">
      <c r="A35" s="81">
        <f>IF(A34="","",IF(A34+1&gt;MAX('Таблиця 1'!$B:$B),"",A34+1))</f>
        <v/>
      </c>
      <c r="B35">
        <f>IF($A35="","",COUNTIFS('Таблиця 1'!$B:$B,$A35,'Таблиця 1'!$E:$E,"ЖС ВЗ",'Таблиця 1'!$L:$L,"Уражено"))</f>
        <v/>
      </c>
      <c r="C35">
        <f>IF($A35="","",COUNTIFS('Таблиця 1'!$B:$B,$A35,'Таблиця 1'!$E:$E,"Арт. Системи",'Таблиця 1'!$L:$L,"Уражено"))</f>
        <v/>
      </c>
      <c r="D35">
        <f>IF($A35="","",COUNTIFS('Таблиця 1'!$B:$B,$A35,'Таблиця 1'!$E:$E,"ОВТ",'Таблиця 1'!$L:$L,"Уражено"))</f>
        <v/>
      </c>
      <c r="E35">
        <f>IF($A35="","",COUNTIFS('Таблиця 1'!$B:$B,$A35,'Таблиця 1'!$E:$E,"ППО",'Таблиця 1'!$L:$L,"Уражено"))</f>
        <v/>
      </c>
      <c r="F35">
        <f>IF($A35="","",COUNTIFS('Таблиця 1'!$B:$B,$A35,'Таблиця 1'!$E:$E,"Рембаза",'Таблиця 1'!$L:$L,"Уражено"))</f>
        <v/>
      </c>
      <c r="G35">
        <f>IF($A35="","",COUNTIFS('Таблиця 1'!$B:$B,$A35,'Таблиця 1'!$E:$E,"Склад БК",'Таблиця 1'!$L:$L,"Уражено"))</f>
        <v/>
      </c>
      <c r="H35">
        <f>IF($A35="","",COUNTIFS('Таблиця 1'!$B:$B,$A35,'Таблиця 1'!$E:$E,"Склад ВТМ",'Таблиця 1'!$L:$L,"Уражено"))</f>
        <v/>
      </c>
      <c r="I35">
        <f>IF($A35="","",COUNTIFS('Таблиця 1'!$B:$B,$A35,'Таблиця 1'!$E:$E,"ПУ БпЛА",'Таблиця 1'!$L:$L,"Уражено"))</f>
        <v/>
      </c>
      <c r="J35">
        <f>IF($A35="","",COUNTIFS('Таблиця 1'!$B:$B,$A35,'Таблиця 1'!$E:$E,"СП",'Таблиця 1'!$L:$L,"Уражено"))</f>
        <v/>
      </c>
      <c r="K35">
        <f>IF($A35="","",COUNTIFS('Таблиця 1'!$B:$B,$A35,'Таблиця 1'!$E:$E,"КСП роти",'Таблиця 1'!$L:$L,"Уражено"))</f>
        <v/>
      </c>
      <c r="L35">
        <f>IF($A35="","",COUNTIFS('Таблиця 1'!$B:$B,$A35,'Таблиця 1'!$E:$E,"ПУ бат",'Таблиця 1'!$L:$L,"Уражено"))</f>
        <v/>
      </c>
      <c r="M35">
        <f>IF($A35="","",COUNTIFS('Таблиця 1'!$B:$B,$A35,'Таблиця 1'!$E:$E,"ПУ бриг",'Таблиця 1'!$L:$L,"Уражено"))</f>
        <v/>
      </c>
      <c r="N35">
        <f>IF($A35="","",COUNTIFS('Таблиця 1'!$B:$B,$A35,'Таблиця 1'!$E:$E,"ПУ див",'Таблиця 1'!$L:$L,"Уражено"))</f>
        <v/>
      </c>
      <c r="O35">
        <f>IF($A35="","",COUNTIFS('Таблиця 1'!$B:$B,$A35,'Таблиця 1'!$E:$E,"обл. РЕБ",'Таблиця 1'!$L:$L,"Уражено"))</f>
        <v/>
      </c>
      <c r="P35">
        <f>IF($A35="","",COUNTIFS('Таблиця 1'!$B:$B,$A35,'Таблиця 1'!$E:$E,"пос РЕБ",'Таблиця 1'!$L:$L,"Уражено"))</f>
        <v/>
      </c>
      <c r="Q35">
        <f>IF($A35="","",COUNTIFS('Таблиця 1'!$B:$B,$A35,'Таблиця 1'!$E:$E,"група РЕР",'Таблиця 1'!$L:$L,"Уражено"))</f>
        <v/>
      </c>
      <c r="R35">
        <f>IF($A35="","",COUNTIFS('Таблиця 1'!$B:$B,$A35,'Таблиця 1'!$E:$E,"РЛС КББ",'Таблиця 1'!$L:$L,"Уражено"))</f>
        <v/>
      </c>
      <c r="S35">
        <f>IF($A35="","",COUNTIFS('Таблиця 1'!$B:$B,$A35,'Таблиця 1'!$E:$E,"Ретранслятор",'Таблиця 1'!$L:$L,"Уражено"))</f>
        <v/>
      </c>
      <c r="T35">
        <f>IF($A35="","",COUNTIFS('Таблиця 1'!$B:$B,$A35,'Таблиця 1'!$E:$E,"Вз.зв'язку",'Таблиця 1'!$L:$L,"Уражено"))</f>
        <v/>
      </c>
      <c r="U35">
        <f>IF($A35="","",COUNTIFS('Таблиця 1'!$B:$B,$A35,'Таблиця 1'!$E:$E,"ПММ",'Таблиця 1'!$L:$L,"Уражено"))</f>
        <v/>
      </c>
      <c r="V35">
        <f>IF($A35="","",COUNTIFS('Таблиця 1'!$B:$B,$A35,'Таблиця 1'!$E:$E,"ІФС",'Таблиця 1'!$L:$L,"Уражено"))</f>
        <v/>
      </c>
      <c r="W35">
        <f>IF($A35="","",COUNTIFS('Таблиця 1'!$B:$B,$A35,'Таблиця 1'!$E:$E,"Інфраструктура",'Таблиця 1'!$L:$L,"Уражено"))</f>
        <v/>
      </c>
      <c r="X35">
        <f>IF($A35="","",SUMIFS('Таблиця 1'!$K:$K,'Таблиця 1'!$B:$B,$A35))</f>
        <v/>
      </c>
    </row>
    <row r="36">
      <c r="A36" s="81">
        <f>IF(A35="","",IF(A35+1&gt;MAX('Таблиця 1'!$B:$B),"",A35+1))</f>
        <v/>
      </c>
      <c r="B36">
        <f>IF($A36="","",COUNTIFS('Таблиця 1'!$B:$B,$A36,'Таблиця 1'!$E:$E,"ЖС ВЗ",'Таблиця 1'!$L:$L,"Уражено"))</f>
        <v/>
      </c>
      <c r="C36">
        <f>IF($A36="","",COUNTIFS('Таблиця 1'!$B:$B,$A36,'Таблиця 1'!$E:$E,"Арт. Системи",'Таблиця 1'!$L:$L,"Уражено"))</f>
        <v/>
      </c>
      <c r="D36">
        <f>IF($A36="","",COUNTIFS('Таблиця 1'!$B:$B,$A36,'Таблиця 1'!$E:$E,"ОВТ",'Таблиця 1'!$L:$L,"Уражено"))</f>
        <v/>
      </c>
      <c r="E36">
        <f>IF($A36="","",COUNTIFS('Таблиця 1'!$B:$B,$A36,'Таблиця 1'!$E:$E,"ППО",'Таблиця 1'!$L:$L,"Уражено"))</f>
        <v/>
      </c>
      <c r="F36">
        <f>IF($A36="","",COUNTIFS('Таблиця 1'!$B:$B,$A36,'Таблиця 1'!$E:$E,"Рембаза",'Таблиця 1'!$L:$L,"Уражено"))</f>
        <v/>
      </c>
      <c r="G36">
        <f>IF($A36="","",COUNTIFS('Таблиця 1'!$B:$B,$A36,'Таблиця 1'!$E:$E,"Склад БК",'Таблиця 1'!$L:$L,"Уражено"))</f>
        <v/>
      </c>
      <c r="H36">
        <f>IF($A36="","",COUNTIFS('Таблиця 1'!$B:$B,$A36,'Таблиця 1'!$E:$E,"Склад ВТМ",'Таблиця 1'!$L:$L,"Уражено"))</f>
        <v/>
      </c>
      <c r="I36">
        <f>IF($A36="","",COUNTIFS('Таблиця 1'!$B:$B,$A36,'Таблиця 1'!$E:$E,"ПУ БпЛА",'Таблиця 1'!$L:$L,"Уражено"))</f>
        <v/>
      </c>
      <c r="J36">
        <f>IF($A36="","",COUNTIFS('Таблиця 1'!$B:$B,$A36,'Таблиця 1'!$E:$E,"СП",'Таблиця 1'!$L:$L,"Уражено"))</f>
        <v/>
      </c>
      <c r="K36">
        <f>IF($A36="","",COUNTIFS('Таблиця 1'!$B:$B,$A36,'Таблиця 1'!$E:$E,"КСП роти",'Таблиця 1'!$L:$L,"Уражено"))</f>
        <v/>
      </c>
      <c r="L36">
        <f>IF($A36="","",COUNTIFS('Таблиця 1'!$B:$B,$A36,'Таблиця 1'!$E:$E,"ПУ бат",'Таблиця 1'!$L:$L,"Уражено"))</f>
        <v/>
      </c>
      <c r="M36">
        <f>IF($A36="","",COUNTIFS('Таблиця 1'!$B:$B,$A36,'Таблиця 1'!$E:$E,"ПУ бриг",'Таблиця 1'!$L:$L,"Уражено"))</f>
        <v/>
      </c>
      <c r="N36">
        <f>IF($A36="","",COUNTIFS('Таблиця 1'!$B:$B,$A36,'Таблиця 1'!$E:$E,"ПУ див",'Таблиця 1'!$L:$L,"Уражено"))</f>
        <v/>
      </c>
      <c r="O36">
        <f>IF($A36="","",COUNTIFS('Таблиця 1'!$B:$B,$A36,'Таблиця 1'!$E:$E,"обл. РЕБ",'Таблиця 1'!$L:$L,"Уражено"))</f>
        <v/>
      </c>
      <c r="P36">
        <f>IF($A36="","",COUNTIFS('Таблиця 1'!$B:$B,$A36,'Таблиця 1'!$E:$E,"пос РЕБ",'Таблиця 1'!$L:$L,"Уражено"))</f>
        <v/>
      </c>
      <c r="Q36">
        <f>IF($A36="","",COUNTIFS('Таблиця 1'!$B:$B,$A36,'Таблиця 1'!$E:$E,"група РЕР",'Таблиця 1'!$L:$L,"Уражено"))</f>
        <v/>
      </c>
      <c r="R36">
        <f>IF($A36="","",COUNTIFS('Таблиця 1'!$B:$B,$A36,'Таблиця 1'!$E:$E,"РЛС КББ",'Таблиця 1'!$L:$L,"Уражено"))</f>
        <v/>
      </c>
      <c r="S36">
        <f>IF($A36="","",COUNTIFS('Таблиця 1'!$B:$B,$A36,'Таблиця 1'!$E:$E,"Ретранслятор",'Таблиця 1'!$L:$L,"Уражено"))</f>
        <v/>
      </c>
      <c r="T36">
        <f>IF($A36="","",COUNTIFS('Таблиця 1'!$B:$B,$A36,'Таблиця 1'!$E:$E,"Вз.зв'язку",'Таблиця 1'!$L:$L,"Уражено"))</f>
        <v/>
      </c>
      <c r="U36">
        <f>IF($A36="","",COUNTIFS('Таблиця 1'!$B:$B,$A36,'Таблиця 1'!$E:$E,"ПММ",'Таблиця 1'!$L:$L,"Уражено"))</f>
        <v/>
      </c>
      <c r="V36">
        <f>IF($A36="","",COUNTIFS('Таблиця 1'!$B:$B,$A36,'Таблиця 1'!$E:$E,"ІФС",'Таблиця 1'!$L:$L,"Уражено"))</f>
        <v/>
      </c>
      <c r="W36">
        <f>IF($A36="","",COUNTIFS('Таблиця 1'!$B:$B,$A36,'Таблиця 1'!$E:$E,"Інфраструктура",'Таблиця 1'!$L:$L,"Уражено"))</f>
        <v/>
      </c>
      <c r="X36">
        <f>IF($A36="","",SUMIFS('Таблиця 1'!$K:$K,'Таблиця 1'!$B:$B,$A36))</f>
        <v/>
      </c>
    </row>
    <row r="37">
      <c r="A37" s="81">
        <f>IF(A36="","",IF(A36+1&gt;MAX('Таблиця 1'!$B:$B),"",A36+1))</f>
        <v/>
      </c>
      <c r="B37">
        <f>IF($A37="","",COUNTIFS('Таблиця 1'!$B:$B,$A37,'Таблиця 1'!$E:$E,"ЖС ВЗ",'Таблиця 1'!$L:$L,"Уражено"))</f>
        <v/>
      </c>
      <c r="C37">
        <f>IF($A37="","",COUNTIFS('Таблиця 1'!$B:$B,$A37,'Таблиця 1'!$E:$E,"Арт. Системи",'Таблиця 1'!$L:$L,"Уражено"))</f>
        <v/>
      </c>
      <c r="D37">
        <f>IF($A37="","",COUNTIFS('Таблиця 1'!$B:$B,$A37,'Таблиця 1'!$E:$E,"ОВТ",'Таблиця 1'!$L:$L,"Уражено"))</f>
        <v/>
      </c>
      <c r="E37">
        <f>IF($A37="","",COUNTIFS('Таблиця 1'!$B:$B,$A37,'Таблиця 1'!$E:$E,"ППО",'Таблиця 1'!$L:$L,"Уражено"))</f>
        <v/>
      </c>
      <c r="F37">
        <f>IF($A37="","",COUNTIFS('Таблиця 1'!$B:$B,$A37,'Таблиця 1'!$E:$E,"Рембаза",'Таблиця 1'!$L:$L,"Уражено"))</f>
        <v/>
      </c>
      <c r="G37">
        <f>IF($A37="","",COUNTIFS('Таблиця 1'!$B:$B,$A37,'Таблиця 1'!$E:$E,"Склад БК",'Таблиця 1'!$L:$L,"Уражено"))</f>
        <v/>
      </c>
      <c r="H37">
        <f>IF($A37="","",COUNTIFS('Таблиця 1'!$B:$B,$A37,'Таблиця 1'!$E:$E,"Склад ВТМ",'Таблиця 1'!$L:$L,"Уражено"))</f>
        <v/>
      </c>
      <c r="I37">
        <f>IF($A37="","",COUNTIFS('Таблиця 1'!$B:$B,$A37,'Таблиця 1'!$E:$E,"ПУ БпЛА",'Таблиця 1'!$L:$L,"Уражено"))</f>
        <v/>
      </c>
      <c r="J37">
        <f>IF($A37="","",COUNTIFS('Таблиця 1'!$B:$B,$A37,'Таблиця 1'!$E:$E,"СП",'Таблиця 1'!$L:$L,"Уражено"))</f>
        <v/>
      </c>
      <c r="K37">
        <f>IF($A37="","",COUNTIFS('Таблиця 1'!$B:$B,$A37,'Таблиця 1'!$E:$E,"КСП роти",'Таблиця 1'!$L:$L,"Уражено"))</f>
        <v/>
      </c>
      <c r="L37">
        <f>IF($A37="","",COUNTIFS('Таблиця 1'!$B:$B,$A37,'Таблиця 1'!$E:$E,"ПУ бат",'Таблиця 1'!$L:$L,"Уражено"))</f>
        <v/>
      </c>
      <c r="M37">
        <f>IF($A37="","",COUNTIFS('Таблиця 1'!$B:$B,$A37,'Таблиця 1'!$E:$E,"ПУ бриг",'Таблиця 1'!$L:$L,"Уражено"))</f>
        <v/>
      </c>
      <c r="N37">
        <f>IF($A37="","",COUNTIFS('Таблиця 1'!$B:$B,$A37,'Таблиця 1'!$E:$E,"ПУ див",'Таблиця 1'!$L:$L,"Уражено"))</f>
        <v/>
      </c>
      <c r="O37">
        <f>IF($A37="","",COUNTIFS('Таблиця 1'!$B:$B,$A37,'Таблиця 1'!$E:$E,"обл. РЕБ",'Таблиця 1'!$L:$L,"Уражено"))</f>
        <v/>
      </c>
      <c r="P37">
        <f>IF($A37="","",COUNTIFS('Таблиця 1'!$B:$B,$A37,'Таблиця 1'!$E:$E,"пос РЕБ",'Таблиця 1'!$L:$L,"Уражено"))</f>
        <v/>
      </c>
      <c r="Q37">
        <f>IF($A37="","",COUNTIFS('Таблиця 1'!$B:$B,$A37,'Таблиця 1'!$E:$E,"група РЕР",'Таблиця 1'!$L:$L,"Уражено"))</f>
        <v/>
      </c>
      <c r="R37">
        <f>IF($A37="","",COUNTIFS('Таблиця 1'!$B:$B,$A37,'Таблиця 1'!$E:$E,"РЛС КББ",'Таблиця 1'!$L:$L,"Уражено"))</f>
        <v/>
      </c>
      <c r="S37">
        <f>IF($A37="","",COUNTIFS('Таблиця 1'!$B:$B,$A37,'Таблиця 1'!$E:$E,"Ретранслятор",'Таблиця 1'!$L:$L,"Уражено"))</f>
        <v/>
      </c>
      <c r="T37">
        <f>IF($A37="","",COUNTIFS('Таблиця 1'!$B:$B,$A37,'Таблиця 1'!$E:$E,"Вз.зв'язку",'Таблиця 1'!$L:$L,"Уражено"))</f>
        <v/>
      </c>
      <c r="U37">
        <f>IF($A37="","",COUNTIFS('Таблиця 1'!$B:$B,$A37,'Таблиця 1'!$E:$E,"ПММ",'Таблиця 1'!$L:$L,"Уражено"))</f>
        <v/>
      </c>
      <c r="V37">
        <f>IF($A37="","",COUNTIFS('Таблиця 1'!$B:$B,$A37,'Таблиця 1'!$E:$E,"ІФС",'Таблиця 1'!$L:$L,"Уражено"))</f>
        <v/>
      </c>
      <c r="W37">
        <f>IF($A37="","",COUNTIFS('Таблиця 1'!$B:$B,$A37,'Таблиця 1'!$E:$E,"Інфраструктура",'Таблиця 1'!$L:$L,"Уражено"))</f>
        <v/>
      </c>
      <c r="X37">
        <f>IF($A37="","",SUMIFS('Таблиця 1'!$K:$K,'Таблиця 1'!$B:$B,$A37))</f>
        <v/>
      </c>
    </row>
    <row r="38">
      <c r="A38" s="81">
        <f>IF(A37="","",IF(A37+1&gt;MAX('Таблиця 1'!$B:$B),"",A37+1))</f>
        <v/>
      </c>
      <c r="B38">
        <f>IF($A38="","",COUNTIFS('Таблиця 1'!$B:$B,$A38,'Таблиця 1'!$E:$E,"ЖС ВЗ",'Таблиця 1'!$L:$L,"Уражено"))</f>
        <v/>
      </c>
      <c r="C38">
        <f>IF($A38="","",COUNTIFS('Таблиця 1'!$B:$B,$A38,'Таблиця 1'!$E:$E,"Арт. Системи",'Таблиця 1'!$L:$L,"Уражено"))</f>
        <v/>
      </c>
      <c r="D38">
        <f>IF($A38="","",COUNTIFS('Таблиця 1'!$B:$B,$A38,'Таблиця 1'!$E:$E,"ОВТ",'Таблиця 1'!$L:$L,"Уражено"))</f>
        <v/>
      </c>
      <c r="E38">
        <f>IF($A38="","",COUNTIFS('Таблиця 1'!$B:$B,$A38,'Таблиця 1'!$E:$E,"ППО",'Таблиця 1'!$L:$L,"Уражено"))</f>
        <v/>
      </c>
      <c r="F38">
        <f>IF($A38="","",COUNTIFS('Таблиця 1'!$B:$B,$A38,'Таблиця 1'!$E:$E,"Рембаза",'Таблиця 1'!$L:$L,"Уражено"))</f>
        <v/>
      </c>
      <c r="G38">
        <f>IF($A38="","",COUNTIFS('Таблиця 1'!$B:$B,$A38,'Таблиця 1'!$E:$E,"Склад БК",'Таблиця 1'!$L:$L,"Уражено"))</f>
        <v/>
      </c>
      <c r="H38">
        <f>IF($A38="","",COUNTIFS('Таблиця 1'!$B:$B,$A38,'Таблиця 1'!$E:$E,"Склад ВТМ",'Таблиця 1'!$L:$L,"Уражено"))</f>
        <v/>
      </c>
      <c r="I38">
        <f>IF($A38="","",COUNTIFS('Таблиця 1'!$B:$B,$A38,'Таблиця 1'!$E:$E,"ПУ БпЛА",'Таблиця 1'!$L:$L,"Уражено"))</f>
        <v/>
      </c>
      <c r="J38">
        <f>IF($A38="","",COUNTIFS('Таблиця 1'!$B:$B,$A38,'Таблиця 1'!$E:$E,"СП",'Таблиця 1'!$L:$L,"Уражено"))</f>
        <v/>
      </c>
      <c r="K38">
        <f>IF($A38="","",COUNTIFS('Таблиця 1'!$B:$B,$A38,'Таблиця 1'!$E:$E,"КСП роти",'Таблиця 1'!$L:$L,"Уражено"))</f>
        <v/>
      </c>
      <c r="L38">
        <f>IF($A38="","",COUNTIFS('Таблиця 1'!$B:$B,$A38,'Таблиця 1'!$E:$E,"ПУ бат",'Таблиця 1'!$L:$L,"Уражено"))</f>
        <v/>
      </c>
      <c r="M38">
        <f>IF($A38="","",COUNTIFS('Таблиця 1'!$B:$B,$A38,'Таблиця 1'!$E:$E,"ПУ бриг",'Таблиця 1'!$L:$L,"Уражено"))</f>
        <v/>
      </c>
      <c r="N38">
        <f>IF($A38="","",COUNTIFS('Таблиця 1'!$B:$B,$A38,'Таблиця 1'!$E:$E,"ПУ див",'Таблиця 1'!$L:$L,"Уражено"))</f>
        <v/>
      </c>
      <c r="O38">
        <f>IF($A38="","",COUNTIFS('Таблиця 1'!$B:$B,$A38,'Таблиця 1'!$E:$E,"обл. РЕБ",'Таблиця 1'!$L:$L,"Уражено"))</f>
        <v/>
      </c>
      <c r="P38">
        <f>IF($A38="","",COUNTIFS('Таблиця 1'!$B:$B,$A38,'Таблиця 1'!$E:$E,"пос РЕБ",'Таблиця 1'!$L:$L,"Уражено"))</f>
        <v/>
      </c>
      <c r="Q38">
        <f>IF($A38="","",COUNTIFS('Таблиця 1'!$B:$B,$A38,'Таблиця 1'!$E:$E,"група РЕР",'Таблиця 1'!$L:$L,"Уражено"))</f>
        <v/>
      </c>
      <c r="R38">
        <f>IF($A38="","",COUNTIFS('Таблиця 1'!$B:$B,$A38,'Таблиця 1'!$E:$E,"РЛС КББ",'Таблиця 1'!$L:$L,"Уражено"))</f>
        <v/>
      </c>
      <c r="S38">
        <f>IF($A38="","",COUNTIFS('Таблиця 1'!$B:$B,$A38,'Таблиця 1'!$E:$E,"Ретранслятор",'Таблиця 1'!$L:$L,"Уражено"))</f>
        <v/>
      </c>
      <c r="T38">
        <f>IF($A38="","",COUNTIFS('Таблиця 1'!$B:$B,$A38,'Таблиця 1'!$E:$E,"Вз.зв'язку",'Таблиця 1'!$L:$L,"Уражено"))</f>
        <v/>
      </c>
      <c r="U38">
        <f>IF($A38="","",COUNTIFS('Таблиця 1'!$B:$B,$A38,'Таблиця 1'!$E:$E,"ПММ",'Таблиця 1'!$L:$L,"Уражено"))</f>
        <v/>
      </c>
      <c r="V38">
        <f>IF($A38="","",COUNTIFS('Таблиця 1'!$B:$B,$A38,'Таблиця 1'!$E:$E,"ІФС",'Таблиця 1'!$L:$L,"Уражено"))</f>
        <v/>
      </c>
      <c r="W38">
        <f>IF($A38="","",COUNTIFS('Таблиця 1'!$B:$B,$A38,'Таблиця 1'!$E:$E,"Інфраструктура",'Таблиця 1'!$L:$L,"Уражено"))</f>
        <v/>
      </c>
      <c r="X38">
        <f>IF($A38="","",SUMIFS('Таблиця 1'!$K:$K,'Таблиця 1'!$B:$B,$A38))</f>
        <v/>
      </c>
    </row>
    <row r="39">
      <c r="A39" s="81">
        <f>IF(A38="","",IF(A38+1&gt;MAX('Таблиця 1'!$B:$B),"",A38+1))</f>
        <v/>
      </c>
      <c r="B39">
        <f>IF($A39="","",COUNTIFS('Таблиця 1'!$B:$B,$A39,'Таблиця 1'!$E:$E,"ЖС ВЗ",'Таблиця 1'!$L:$L,"Уражено"))</f>
        <v/>
      </c>
      <c r="C39">
        <f>IF($A39="","",COUNTIFS('Таблиця 1'!$B:$B,$A39,'Таблиця 1'!$E:$E,"Арт. Системи",'Таблиця 1'!$L:$L,"Уражено"))</f>
        <v/>
      </c>
      <c r="D39">
        <f>IF($A39="","",COUNTIFS('Таблиця 1'!$B:$B,$A39,'Таблиця 1'!$E:$E,"ОВТ",'Таблиця 1'!$L:$L,"Уражено"))</f>
        <v/>
      </c>
      <c r="E39">
        <f>IF($A39="","",COUNTIFS('Таблиця 1'!$B:$B,$A39,'Таблиця 1'!$E:$E,"ППО",'Таблиця 1'!$L:$L,"Уражено"))</f>
        <v/>
      </c>
      <c r="F39">
        <f>IF($A39="","",COUNTIFS('Таблиця 1'!$B:$B,$A39,'Таблиця 1'!$E:$E,"Рембаза",'Таблиця 1'!$L:$L,"Уражено"))</f>
        <v/>
      </c>
      <c r="G39">
        <f>IF($A39="","",COUNTIFS('Таблиця 1'!$B:$B,$A39,'Таблиця 1'!$E:$E,"Склад БК",'Таблиця 1'!$L:$L,"Уражено"))</f>
        <v/>
      </c>
      <c r="H39">
        <f>IF($A39="","",COUNTIFS('Таблиця 1'!$B:$B,$A39,'Таблиця 1'!$E:$E,"Склад ВТМ",'Таблиця 1'!$L:$L,"Уражено"))</f>
        <v/>
      </c>
      <c r="I39">
        <f>IF($A39="","",COUNTIFS('Таблиця 1'!$B:$B,$A39,'Таблиця 1'!$E:$E,"ПУ БпЛА",'Таблиця 1'!$L:$L,"Уражено"))</f>
        <v/>
      </c>
      <c r="J39">
        <f>IF($A39="","",COUNTIFS('Таблиця 1'!$B:$B,$A39,'Таблиця 1'!$E:$E,"СП",'Таблиця 1'!$L:$L,"Уражено"))</f>
        <v/>
      </c>
      <c r="K39">
        <f>IF($A39="","",COUNTIFS('Таблиця 1'!$B:$B,$A39,'Таблиця 1'!$E:$E,"КСП роти",'Таблиця 1'!$L:$L,"Уражено"))</f>
        <v/>
      </c>
      <c r="L39">
        <f>IF($A39="","",COUNTIFS('Таблиця 1'!$B:$B,$A39,'Таблиця 1'!$E:$E,"ПУ бат",'Таблиця 1'!$L:$L,"Уражено"))</f>
        <v/>
      </c>
      <c r="M39">
        <f>IF($A39="","",COUNTIFS('Таблиця 1'!$B:$B,$A39,'Таблиця 1'!$E:$E,"ПУ бриг",'Таблиця 1'!$L:$L,"Уражено"))</f>
        <v/>
      </c>
      <c r="N39">
        <f>IF($A39="","",COUNTIFS('Таблиця 1'!$B:$B,$A39,'Таблиця 1'!$E:$E,"ПУ див",'Таблиця 1'!$L:$L,"Уражено"))</f>
        <v/>
      </c>
      <c r="O39">
        <f>IF($A39="","",COUNTIFS('Таблиця 1'!$B:$B,$A39,'Таблиця 1'!$E:$E,"обл. РЕБ",'Таблиця 1'!$L:$L,"Уражено"))</f>
        <v/>
      </c>
      <c r="P39">
        <f>IF($A39="","",COUNTIFS('Таблиця 1'!$B:$B,$A39,'Таблиця 1'!$E:$E,"пос РЕБ",'Таблиця 1'!$L:$L,"Уражено"))</f>
        <v/>
      </c>
      <c r="Q39">
        <f>IF($A39="","",COUNTIFS('Таблиця 1'!$B:$B,$A39,'Таблиця 1'!$E:$E,"група РЕР",'Таблиця 1'!$L:$L,"Уражено"))</f>
        <v/>
      </c>
      <c r="R39">
        <f>IF($A39="","",COUNTIFS('Таблиця 1'!$B:$B,$A39,'Таблиця 1'!$E:$E,"РЛС КББ",'Таблиця 1'!$L:$L,"Уражено"))</f>
        <v/>
      </c>
      <c r="S39">
        <f>IF($A39="","",COUNTIFS('Таблиця 1'!$B:$B,$A39,'Таблиця 1'!$E:$E,"Ретранслятор",'Таблиця 1'!$L:$L,"Уражено"))</f>
        <v/>
      </c>
      <c r="T39">
        <f>IF($A39="","",COUNTIFS('Таблиця 1'!$B:$B,$A39,'Таблиця 1'!$E:$E,"Вз.зв'язку",'Таблиця 1'!$L:$L,"Уражено"))</f>
        <v/>
      </c>
      <c r="U39">
        <f>IF($A39="","",COUNTIFS('Таблиця 1'!$B:$B,$A39,'Таблиця 1'!$E:$E,"ПММ",'Таблиця 1'!$L:$L,"Уражено"))</f>
        <v/>
      </c>
      <c r="V39">
        <f>IF($A39="","",COUNTIFS('Таблиця 1'!$B:$B,$A39,'Таблиця 1'!$E:$E,"ІФС",'Таблиця 1'!$L:$L,"Уражено"))</f>
        <v/>
      </c>
      <c r="W39">
        <f>IF($A39="","",COUNTIFS('Таблиця 1'!$B:$B,$A39,'Таблиця 1'!$E:$E,"Інфраструктура",'Таблиця 1'!$L:$L,"Уражено"))</f>
        <v/>
      </c>
      <c r="X39">
        <f>IF($A39="","",SUMIFS('Таблиця 1'!$K:$K,'Таблиця 1'!$B:$B,$A39))</f>
        <v/>
      </c>
    </row>
    <row r="40">
      <c r="A40" s="81">
        <f>IF(A39="","",IF(A39+1&gt;MAX('Таблиця 1'!$B:$B),"",A39+1))</f>
        <v/>
      </c>
      <c r="B40">
        <f>IF($A40="","",COUNTIFS('Таблиця 1'!$B:$B,$A40,'Таблиця 1'!$E:$E,"ЖС ВЗ",'Таблиця 1'!$L:$L,"Уражено"))</f>
        <v/>
      </c>
      <c r="C40">
        <f>IF($A40="","",COUNTIFS('Таблиця 1'!$B:$B,$A40,'Таблиця 1'!$E:$E,"Арт. Системи",'Таблиця 1'!$L:$L,"Уражено"))</f>
        <v/>
      </c>
      <c r="D40">
        <f>IF($A40="","",COUNTIFS('Таблиця 1'!$B:$B,$A40,'Таблиця 1'!$E:$E,"ОВТ",'Таблиця 1'!$L:$L,"Уражено"))</f>
        <v/>
      </c>
      <c r="E40">
        <f>IF($A40="","",COUNTIFS('Таблиця 1'!$B:$B,$A40,'Таблиця 1'!$E:$E,"ППО",'Таблиця 1'!$L:$L,"Уражено"))</f>
        <v/>
      </c>
      <c r="F40">
        <f>IF($A40="","",COUNTIFS('Таблиця 1'!$B:$B,$A40,'Таблиця 1'!$E:$E,"Рембаза",'Таблиця 1'!$L:$L,"Уражено"))</f>
        <v/>
      </c>
      <c r="G40">
        <f>IF($A40="","",COUNTIFS('Таблиця 1'!$B:$B,$A40,'Таблиця 1'!$E:$E,"Склад БК",'Таблиця 1'!$L:$L,"Уражено"))</f>
        <v/>
      </c>
      <c r="H40">
        <f>IF($A40="","",COUNTIFS('Таблиця 1'!$B:$B,$A40,'Таблиця 1'!$E:$E,"Склад ВТМ",'Таблиця 1'!$L:$L,"Уражено"))</f>
        <v/>
      </c>
      <c r="I40">
        <f>IF($A40="","",COUNTIFS('Таблиця 1'!$B:$B,$A40,'Таблиця 1'!$E:$E,"ПУ БпЛА",'Таблиця 1'!$L:$L,"Уражено"))</f>
        <v/>
      </c>
      <c r="J40">
        <f>IF($A40="","",COUNTIFS('Таблиця 1'!$B:$B,$A40,'Таблиця 1'!$E:$E,"СП",'Таблиця 1'!$L:$L,"Уражено"))</f>
        <v/>
      </c>
      <c r="K40">
        <f>IF($A40="","",COUNTIFS('Таблиця 1'!$B:$B,$A40,'Таблиця 1'!$E:$E,"КСП роти",'Таблиця 1'!$L:$L,"Уражено"))</f>
        <v/>
      </c>
      <c r="L40">
        <f>IF($A40="","",COUNTIFS('Таблиця 1'!$B:$B,$A40,'Таблиця 1'!$E:$E,"ПУ бат",'Таблиця 1'!$L:$L,"Уражено"))</f>
        <v/>
      </c>
      <c r="M40">
        <f>IF($A40="","",COUNTIFS('Таблиця 1'!$B:$B,$A40,'Таблиця 1'!$E:$E,"ПУ бриг",'Таблиця 1'!$L:$L,"Уражено"))</f>
        <v/>
      </c>
      <c r="N40">
        <f>IF($A40="","",COUNTIFS('Таблиця 1'!$B:$B,$A40,'Таблиця 1'!$E:$E,"ПУ див",'Таблиця 1'!$L:$L,"Уражено"))</f>
        <v/>
      </c>
      <c r="O40">
        <f>IF($A40="","",COUNTIFS('Таблиця 1'!$B:$B,$A40,'Таблиця 1'!$E:$E,"обл. РЕБ",'Таблиця 1'!$L:$L,"Уражено"))</f>
        <v/>
      </c>
      <c r="P40">
        <f>IF($A40="","",COUNTIFS('Таблиця 1'!$B:$B,$A40,'Таблиця 1'!$E:$E,"пос РЕБ",'Таблиця 1'!$L:$L,"Уражено"))</f>
        <v/>
      </c>
      <c r="Q40">
        <f>IF($A40="","",COUNTIFS('Таблиця 1'!$B:$B,$A40,'Таблиця 1'!$E:$E,"група РЕР",'Таблиця 1'!$L:$L,"Уражено"))</f>
        <v/>
      </c>
      <c r="R40">
        <f>IF($A40="","",COUNTIFS('Таблиця 1'!$B:$B,$A40,'Таблиця 1'!$E:$E,"РЛС КББ",'Таблиця 1'!$L:$L,"Уражено"))</f>
        <v/>
      </c>
      <c r="S40">
        <f>IF($A40="","",COUNTIFS('Таблиця 1'!$B:$B,$A40,'Таблиця 1'!$E:$E,"Ретранслятор",'Таблиця 1'!$L:$L,"Уражено"))</f>
        <v/>
      </c>
      <c r="T40">
        <f>IF($A40="","",COUNTIFS('Таблиця 1'!$B:$B,$A40,'Таблиця 1'!$E:$E,"Вз.зв'язку",'Таблиця 1'!$L:$L,"Уражено"))</f>
        <v/>
      </c>
      <c r="U40">
        <f>IF($A40="","",COUNTIFS('Таблиця 1'!$B:$B,$A40,'Таблиця 1'!$E:$E,"ПММ",'Таблиця 1'!$L:$L,"Уражено"))</f>
        <v/>
      </c>
      <c r="V40">
        <f>IF($A40="","",COUNTIFS('Таблиця 1'!$B:$B,$A40,'Таблиця 1'!$E:$E,"ІФС",'Таблиця 1'!$L:$L,"Уражено"))</f>
        <v/>
      </c>
      <c r="W40">
        <f>IF($A40="","",COUNTIFS('Таблиця 1'!$B:$B,$A40,'Таблиця 1'!$E:$E,"Інфраструктура",'Таблиця 1'!$L:$L,"Уражено"))</f>
        <v/>
      </c>
      <c r="X40">
        <f>IF($A40="","",SUMIFS('Таблиця 1'!$K:$K,'Таблиця 1'!$B:$B,$A40))</f>
        <v/>
      </c>
    </row>
    <row r="41">
      <c r="A41" s="81">
        <f>IF(A40="","",IF(A40+1&gt;MAX('Таблиця 1'!$B:$B),"",A40+1))</f>
        <v/>
      </c>
      <c r="B41">
        <f>IF($A41="","",COUNTIFS('Таблиця 1'!$B:$B,$A41,'Таблиця 1'!$E:$E,"ЖС ВЗ",'Таблиця 1'!$L:$L,"Уражено"))</f>
        <v/>
      </c>
      <c r="C41">
        <f>IF($A41="","",COUNTIFS('Таблиця 1'!$B:$B,$A41,'Таблиця 1'!$E:$E,"Арт. Системи",'Таблиця 1'!$L:$L,"Уражено"))</f>
        <v/>
      </c>
      <c r="D41">
        <f>IF($A41="","",COUNTIFS('Таблиця 1'!$B:$B,$A41,'Таблиця 1'!$E:$E,"ОВТ",'Таблиця 1'!$L:$L,"Уражено"))</f>
        <v/>
      </c>
      <c r="E41">
        <f>IF($A41="","",COUNTIFS('Таблиця 1'!$B:$B,$A41,'Таблиця 1'!$E:$E,"ППО",'Таблиця 1'!$L:$L,"Уражено"))</f>
        <v/>
      </c>
      <c r="F41">
        <f>IF($A41="","",COUNTIFS('Таблиця 1'!$B:$B,$A41,'Таблиця 1'!$E:$E,"Рембаза",'Таблиця 1'!$L:$L,"Уражено"))</f>
        <v/>
      </c>
      <c r="G41">
        <f>IF($A41="","",COUNTIFS('Таблиця 1'!$B:$B,$A41,'Таблиця 1'!$E:$E,"Склад БК",'Таблиця 1'!$L:$L,"Уражено"))</f>
        <v/>
      </c>
      <c r="H41">
        <f>IF($A41="","",COUNTIFS('Таблиця 1'!$B:$B,$A41,'Таблиця 1'!$E:$E,"Склад ВТМ",'Таблиця 1'!$L:$L,"Уражено"))</f>
        <v/>
      </c>
      <c r="I41">
        <f>IF($A41="","",COUNTIFS('Таблиця 1'!$B:$B,$A41,'Таблиця 1'!$E:$E,"ПУ БпЛА",'Таблиця 1'!$L:$L,"Уражено"))</f>
        <v/>
      </c>
      <c r="J41">
        <f>IF($A41="","",COUNTIFS('Таблиця 1'!$B:$B,$A41,'Таблиця 1'!$E:$E,"СП",'Таблиця 1'!$L:$L,"Уражено"))</f>
        <v/>
      </c>
      <c r="K41">
        <f>IF($A41="","",COUNTIFS('Таблиця 1'!$B:$B,$A41,'Таблиця 1'!$E:$E,"КСП роти",'Таблиця 1'!$L:$L,"Уражено"))</f>
        <v/>
      </c>
      <c r="L41">
        <f>IF($A41="","",COUNTIFS('Таблиця 1'!$B:$B,$A41,'Таблиця 1'!$E:$E,"ПУ бат",'Таблиця 1'!$L:$L,"Уражено"))</f>
        <v/>
      </c>
      <c r="M41">
        <f>IF($A41="","",COUNTIFS('Таблиця 1'!$B:$B,$A41,'Таблиця 1'!$E:$E,"ПУ бриг",'Таблиця 1'!$L:$L,"Уражено"))</f>
        <v/>
      </c>
      <c r="N41">
        <f>IF($A41="","",COUNTIFS('Таблиця 1'!$B:$B,$A41,'Таблиця 1'!$E:$E,"ПУ див",'Таблиця 1'!$L:$L,"Уражено"))</f>
        <v/>
      </c>
      <c r="O41">
        <f>IF($A41="","",COUNTIFS('Таблиця 1'!$B:$B,$A41,'Таблиця 1'!$E:$E,"обл. РЕБ",'Таблиця 1'!$L:$L,"Уражено"))</f>
        <v/>
      </c>
      <c r="P41">
        <f>IF($A41="","",COUNTIFS('Таблиця 1'!$B:$B,$A41,'Таблиця 1'!$E:$E,"пос РЕБ",'Таблиця 1'!$L:$L,"Уражено"))</f>
        <v/>
      </c>
      <c r="Q41">
        <f>IF($A41="","",COUNTIFS('Таблиця 1'!$B:$B,$A41,'Таблиця 1'!$E:$E,"група РЕР",'Таблиця 1'!$L:$L,"Уражено"))</f>
        <v/>
      </c>
      <c r="R41">
        <f>IF($A41="","",COUNTIFS('Таблиця 1'!$B:$B,$A41,'Таблиця 1'!$E:$E,"РЛС КББ",'Таблиця 1'!$L:$L,"Уражено"))</f>
        <v/>
      </c>
      <c r="S41">
        <f>IF($A41="","",COUNTIFS('Таблиця 1'!$B:$B,$A41,'Таблиця 1'!$E:$E,"Ретранслятор",'Таблиця 1'!$L:$L,"Уражено"))</f>
        <v/>
      </c>
      <c r="T41">
        <f>IF($A41="","",COUNTIFS('Таблиця 1'!$B:$B,$A41,'Таблиця 1'!$E:$E,"Вз.зв'язку",'Таблиця 1'!$L:$L,"Уражено"))</f>
        <v/>
      </c>
      <c r="U41">
        <f>IF($A41="","",COUNTIFS('Таблиця 1'!$B:$B,$A41,'Таблиця 1'!$E:$E,"ПММ",'Таблиця 1'!$L:$L,"Уражено"))</f>
        <v/>
      </c>
      <c r="V41">
        <f>IF($A41="","",COUNTIFS('Таблиця 1'!$B:$B,$A41,'Таблиця 1'!$E:$E,"ІФС",'Таблиця 1'!$L:$L,"Уражено"))</f>
        <v/>
      </c>
      <c r="W41">
        <f>IF($A41="","",COUNTIFS('Таблиця 1'!$B:$B,$A41,'Таблиця 1'!$E:$E,"Інфраструктура",'Таблиця 1'!$L:$L,"Уражено"))</f>
        <v/>
      </c>
      <c r="X41">
        <f>IF($A41="","",SUMIFS('Таблиця 1'!$K:$K,'Таблиця 1'!$B:$B,$A41))</f>
        <v/>
      </c>
    </row>
    <row r="42">
      <c r="A42" s="81">
        <f>IF(A41="","",IF(A41+1&gt;MAX('Таблиця 1'!$B:$B),"",A41+1))</f>
        <v/>
      </c>
      <c r="B42">
        <f>IF($A42="","",COUNTIFS('Таблиця 1'!$B:$B,$A42,'Таблиця 1'!$E:$E,"ЖС ВЗ",'Таблиця 1'!$L:$L,"Уражено"))</f>
        <v/>
      </c>
      <c r="C42">
        <f>IF($A42="","",COUNTIFS('Таблиця 1'!$B:$B,$A42,'Таблиця 1'!$E:$E,"Арт. Системи",'Таблиця 1'!$L:$L,"Уражено"))</f>
        <v/>
      </c>
      <c r="D42">
        <f>IF($A42="","",COUNTIFS('Таблиця 1'!$B:$B,$A42,'Таблиця 1'!$E:$E,"ОВТ",'Таблиця 1'!$L:$L,"Уражено"))</f>
        <v/>
      </c>
      <c r="E42">
        <f>IF($A42="","",COUNTIFS('Таблиця 1'!$B:$B,$A42,'Таблиця 1'!$E:$E,"ППО",'Таблиця 1'!$L:$L,"Уражено"))</f>
        <v/>
      </c>
      <c r="F42">
        <f>IF($A42="","",COUNTIFS('Таблиця 1'!$B:$B,$A42,'Таблиця 1'!$E:$E,"Рембаза",'Таблиця 1'!$L:$L,"Уражено"))</f>
        <v/>
      </c>
      <c r="G42">
        <f>IF($A42="","",COUNTIFS('Таблиця 1'!$B:$B,$A42,'Таблиця 1'!$E:$E,"Склад БК",'Таблиця 1'!$L:$L,"Уражено"))</f>
        <v/>
      </c>
      <c r="H42">
        <f>IF($A42="","",COUNTIFS('Таблиця 1'!$B:$B,$A42,'Таблиця 1'!$E:$E,"Склад ВТМ",'Таблиця 1'!$L:$L,"Уражено"))</f>
        <v/>
      </c>
      <c r="I42">
        <f>IF($A42="","",COUNTIFS('Таблиця 1'!$B:$B,$A42,'Таблиця 1'!$E:$E,"ПУ БпЛА",'Таблиця 1'!$L:$L,"Уражено"))</f>
        <v/>
      </c>
      <c r="J42">
        <f>IF($A42="","",COUNTIFS('Таблиця 1'!$B:$B,$A42,'Таблиця 1'!$E:$E,"СП",'Таблиця 1'!$L:$L,"Уражено"))</f>
        <v/>
      </c>
      <c r="K42">
        <f>IF($A42="","",COUNTIFS('Таблиця 1'!$B:$B,$A42,'Таблиця 1'!$E:$E,"КСП роти",'Таблиця 1'!$L:$L,"Уражено"))</f>
        <v/>
      </c>
      <c r="L42">
        <f>IF($A42="","",COUNTIFS('Таблиця 1'!$B:$B,$A42,'Таблиця 1'!$E:$E,"ПУ бат",'Таблиця 1'!$L:$L,"Уражено"))</f>
        <v/>
      </c>
      <c r="M42">
        <f>IF($A42="","",COUNTIFS('Таблиця 1'!$B:$B,$A42,'Таблиця 1'!$E:$E,"ПУ бриг",'Таблиця 1'!$L:$L,"Уражено"))</f>
        <v/>
      </c>
      <c r="N42">
        <f>IF($A42="","",COUNTIFS('Таблиця 1'!$B:$B,$A42,'Таблиця 1'!$E:$E,"ПУ див",'Таблиця 1'!$L:$L,"Уражено"))</f>
        <v/>
      </c>
      <c r="O42">
        <f>IF($A42="","",COUNTIFS('Таблиця 1'!$B:$B,$A42,'Таблиця 1'!$E:$E,"обл. РЕБ",'Таблиця 1'!$L:$L,"Уражено"))</f>
        <v/>
      </c>
      <c r="P42">
        <f>IF($A42="","",COUNTIFS('Таблиця 1'!$B:$B,$A42,'Таблиця 1'!$E:$E,"пос РЕБ",'Таблиця 1'!$L:$L,"Уражено"))</f>
        <v/>
      </c>
      <c r="Q42">
        <f>IF($A42="","",COUNTIFS('Таблиця 1'!$B:$B,$A42,'Таблиця 1'!$E:$E,"група РЕР",'Таблиця 1'!$L:$L,"Уражено"))</f>
        <v/>
      </c>
      <c r="R42">
        <f>IF($A42="","",COUNTIFS('Таблиця 1'!$B:$B,$A42,'Таблиця 1'!$E:$E,"РЛС КББ",'Таблиця 1'!$L:$L,"Уражено"))</f>
        <v/>
      </c>
      <c r="S42">
        <f>IF($A42="","",COUNTIFS('Таблиця 1'!$B:$B,$A42,'Таблиця 1'!$E:$E,"Ретранслятор",'Таблиця 1'!$L:$L,"Уражено"))</f>
        <v/>
      </c>
      <c r="T42">
        <f>IF($A42="","",COUNTIFS('Таблиця 1'!$B:$B,$A42,'Таблиця 1'!$E:$E,"Вз.зв'язку",'Таблиця 1'!$L:$L,"Уражено"))</f>
        <v/>
      </c>
      <c r="U42">
        <f>IF($A42="","",COUNTIFS('Таблиця 1'!$B:$B,$A42,'Таблиця 1'!$E:$E,"ПММ",'Таблиця 1'!$L:$L,"Уражено"))</f>
        <v/>
      </c>
      <c r="V42">
        <f>IF($A42="","",COUNTIFS('Таблиця 1'!$B:$B,$A42,'Таблиця 1'!$E:$E,"ІФС",'Таблиця 1'!$L:$L,"Уражено"))</f>
        <v/>
      </c>
      <c r="W42">
        <f>IF($A42="","",COUNTIFS('Таблиця 1'!$B:$B,$A42,'Таблиця 1'!$E:$E,"Інфраструктура",'Таблиця 1'!$L:$L,"Уражено"))</f>
        <v/>
      </c>
      <c r="X42">
        <f>IF($A42="","",SUMIFS('Таблиця 1'!$K:$K,'Таблиця 1'!$B:$B,$A42))</f>
        <v/>
      </c>
    </row>
    <row r="43">
      <c r="A43" s="81">
        <f>IF(A42="","",IF(A42+1&gt;MAX('Таблиця 1'!$B:$B),"",A42+1))</f>
        <v/>
      </c>
      <c r="B43">
        <f>IF($A43="","",COUNTIFS('Таблиця 1'!$B:$B,$A43,'Таблиця 1'!$E:$E,"ЖС ВЗ",'Таблиця 1'!$L:$L,"Уражено"))</f>
        <v/>
      </c>
      <c r="C43">
        <f>IF($A43="","",COUNTIFS('Таблиця 1'!$B:$B,$A43,'Таблиця 1'!$E:$E,"Арт. Системи",'Таблиця 1'!$L:$L,"Уражено"))</f>
        <v/>
      </c>
      <c r="D43">
        <f>IF($A43="","",COUNTIFS('Таблиця 1'!$B:$B,$A43,'Таблиця 1'!$E:$E,"ОВТ",'Таблиця 1'!$L:$L,"Уражено"))</f>
        <v/>
      </c>
      <c r="E43">
        <f>IF($A43="","",COUNTIFS('Таблиця 1'!$B:$B,$A43,'Таблиця 1'!$E:$E,"ППО",'Таблиця 1'!$L:$L,"Уражено"))</f>
        <v/>
      </c>
      <c r="F43">
        <f>IF($A43="","",COUNTIFS('Таблиця 1'!$B:$B,$A43,'Таблиця 1'!$E:$E,"Рембаза",'Таблиця 1'!$L:$L,"Уражено"))</f>
        <v/>
      </c>
      <c r="G43">
        <f>IF($A43="","",COUNTIFS('Таблиця 1'!$B:$B,$A43,'Таблиця 1'!$E:$E,"Склад БК",'Таблиця 1'!$L:$L,"Уражено"))</f>
        <v/>
      </c>
      <c r="H43">
        <f>IF($A43="","",COUNTIFS('Таблиця 1'!$B:$B,$A43,'Таблиця 1'!$E:$E,"Склад ВТМ",'Таблиця 1'!$L:$L,"Уражено"))</f>
        <v/>
      </c>
      <c r="I43">
        <f>IF($A43="","",COUNTIFS('Таблиця 1'!$B:$B,$A43,'Таблиця 1'!$E:$E,"ПУ БпЛА",'Таблиця 1'!$L:$L,"Уражено"))</f>
        <v/>
      </c>
      <c r="J43">
        <f>IF($A43="","",COUNTIFS('Таблиця 1'!$B:$B,$A43,'Таблиця 1'!$E:$E,"СП",'Таблиця 1'!$L:$L,"Уражено"))</f>
        <v/>
      </c>
      <c r="K43">
        <f>IF($A43="","",COUNTIFS('Таблиця 1'!$B:$B,$A43,'Таблиця 1'!$E:$E,"КСП роти",'Таблиця 1'!$L:$L,"Уражено"))</f>
        <v/>
      </c>
      <c r="L43">
        <f>IF($A43="","",COUNTIFS('Таблиця 1'!$B:$B,$A43,'Таблиця 1'!$E:$E,"ПУ бат",'Таблиця 1'!$L:$L,"Уражено"))</f>
        <v/>
      </c>
      <c r="M43">
        <f>IF($A43="","",COUNTIFS('Таблиця 1'!$B:$B,$A43,'Таблиця 1'!$E:$E,"ПУ бриг",'Таблиця 1'!$L:$L,"Уражено"))</f>
        <v/>
      </c>
      <c r="N43">
        <f>IF($A43="","",COUNTIFS('Таблиця 1'!$B:$B,$A43,'Таблиця 1'!$E:$E,"ПУ див",'Таблиця 1'!$L:$L,"Уражено"))</f>
        <v/>
      </c>
      <c r="O43">
        <f>IF($A43="","",COUNTIFS('Таблиця 1'!$B:$B,$A43,'Таблиця 1'!$E:$E,"обл. РЕБ",'Таблиця 1'!$L:$L,"Уражено"))</f>
        <v/>
      </c>
      <c r="P43">
        <f>IF($A43="","",COUNTIFS('Таблиця 1'!$B:$B,$A43,'Таблиця 1'!$E:$E,"пос РЕБ",'Таблиця 1'!$L:$L,"Уражено"))</f>
        <v/>
      </c>
      <c r="Q43">
        <f>IF($A43="","",COUNTIFS('Таблиця 1'!$B:$B,$A43,'Таблиця 1'!$E:$E,"група РЕР",'Таблиця 1'!$L:$L,"Уражено"))</f>
        <v/>
      </c>
      <c r="R43">
        <f>IF($A43="","",COUNTIFS('Таблиця 1'!$B:$B,$A43,'Таблиця 1'!$E:$E,"РЛС КББ",'Таблиця 1'!$L:$L,"Уражено"))</f>
        <v/>
      </c>
      <c r="S43">
        <f>IF($A43="","",COUNTIFS('Таблиця 1'!$B:$B,$A43,'Таблиця 1'!$E:$E,"Ретранслятор",'Таблиця 1'!$L:$L,"Уражено"))</f>
        <v/>
      </c>
      <c r="T43">
        <f>IF($A43="","",COUNTIFS('Таблиця 1'!$B:$B,$A43,'Таблиця 1'!$E:$E,"Вз.зв'язку",'Таблиця 1'!$L:$L,"Уражено"))</f>
        <v/>
      </c>
      <c r="U43">
        <f>IF($A43="","",COUNTIFS('Таблиця 1'!$B:$B,$A43,'Таблиця 1'!$E:$E,"ПММ",'Таблиця 1'!$L:$L,"Уражено"))</f>
        <v/>
      </c>
      <c r="V43">
        <f>IF($A43="","",COUNTIFS('Таблиця 1'!$B:$B,$A43,'Таблиця 1'!$E:$E,"ІФС",'Таблиця 1'!$L:$L,"Уражено"))</f>
        <v/>
      </c>
      <c r="W43">
        <f>IF($A43="","",COUNTIFS('Таблиця 1'!$B:$B,$A43,'Таблиця 1'!$E:$E,"Інфраструктура",'Таблиця 1'!$L:$L,"Уражено"))</f>
        <v/>
      </c>
      <c r="X43">
        <f>IF($A43="","",SUMIFS('Таблиця 1'!$K:$K,'Таблиця 1'!$B:$B,$A43))</f>
        <v/>
      </c>
    </row>
    <row r="44">
      <c r="A44" s="81">
        <f>IF(A43="","",IF(A43+1&gt;MAX('Таблиця 1'!$B:$B),"",A43+1))</f>
        <v/>
      </c>
      <c r="B44">
        <f>IF($A44="","",COUNTIFS('Таблиця 1'!$B:$B,$A44,'Таблиця 1'!$E:$E,"ЖС ВЗ",'Таблиця 1'!$L:$L,"Уражено"))</f>
        <v/>
      </c>
      <c r="C44">
        <f>IF($A44="","",COUNTIFS('Таблиця 1'!$B:$B,$A44,'Таблиця 1'!$E:$E,"Арт. Системи",'Таблиця 1'!$L:$L,"Уражено"))</f>
        <v/>
      </c>
      <c r="D44">
        <f>IF($A44="","",COUNTIFS('Таблиця 1'!$B:$B,$A44,'Таблиця 1'!$E:$E,"ОВТ",'Таблиця 1'!$L:$L,"Уражено"))</f>
        <v/>
      </c>
      <c r="E44">
        <f>IF($A44="","",COUNTIFS('Таблиця 1'!$B:$B,$A44,'Таблиця 1'!$E:$E,"ППО",'Таблиця 1'!$L:$L,"Уражено"))</f>
        <v/>
      </c>
      <c r="F44">
        <f>IF($A44="","",COUNTIFS('Таблиця 1'!$B:$B,$A44,'Таблиця 1'!$E:$E,"Рембаза",'Таблиця 1'!$L:$L,"Уражено"))</f>
        <v/>
      </c>
      <c r="G44">
        <f>IF($A44="","",COUNTIFS('Таблиця 1'!$B:$B,$A44,'Таблиця 1'!$E:$E,"Склад БК",'Таблиця 1'!$L:$L,"Уражено"))</f>
        <v/>
      </c>
      <c r="H44">
        <f>IF($A44="","",COUNTIFS('Таблиця 1'!$B:$B,$A44,'Таблиця 1'!$E:$E,"Склад ВТМ",'Таблиця 1'!$L:$L,"Уражено"))</f>
        <v/>
      </c>
      <c r="I44">
        <f>IF($A44="","",COUNTIFS('Таблиця 1'!$B:$B,$A44,'Таблиця 1'!$E:$E,"ПУ БпЛА",'Таблиця 1'!$L:$L,"Уражено"))</f>
        <v/>
      </c>
      <c r="J44">
        <f>IF($A44="","",COUNTIFS('Таблиця 1'!$B:$B,$A44,'Таблиця 1'!$E:$E,"СП",'Таблиця 1'!$L:$L,"Уражено"))</f>
        <v/>
      </c>
      <c r="K44">
        <f>IF($A44="","",COUNTIFS('Таблиця 1'!$B:$B,$A44,'Таблиця 1'!$E:$E,"КСП роти",'Таблиця 1'!$L:$L,"Уражено"))</f>
        <v/>
      </c>
      <c r="L44">
        <f>IF($A44="","",COUNTIFS('Таблиця 1'!$B:$B,$A44,'Таблиця 1'!$E:$E,"ПУ бат",'Таблиця 1'!$L:$L,"Уражено"))</f>
        <v/>
      </c>
      <c r="M44">
        <f>IF($A44="","",COUNTIFS('Таблиця 1'!$B:$B,$A44,'Таблиця 1'!$E:$E,"ПУ бриг",'Таблиця 1'!$L:$L,"Уражено"))</f>
        <v/>
      </c>
      <c r="N44">
        <f>IF($A44="","",COUNTIFS('Таблиця 1'!$B:$B,$A44,'Таблиця 1'!$E:$E,"ПУ див",'Таблиця 1'!$L:$L,"Уражено"))</f>
        <v/>
      </c>
      <c r="O44">
        <f>IF($A44="","",COUNTIFS('Таблиця 1'!$B:$B,$A44,'Таблиця 1'!$E:$E,"обл. РЕБ",'Таблиця 1'!$L:$L,"Уражено"))</f>
        <v/>
      </c>
      <c r="P44">
        <f>IF($A44="","",COUNTIFS('Таблиця 1'!$B:$B,$A44,'Таблиця 1'!$E:$E,"пос РЕБ",'Таблиця 1'!$L:$L,"Уражено"))</f>
        <v/>
      </c>
      <c r="Q44">
        <f>IF($A44="","",COUNTIFS('Таблиця 1'!$B:$B,$A44,'Таблиця 1'!$E:$E,"група РЕР",'Таблиця 1'!$L:$L,"Уражено"))</f>
        <v/>
      </c>
      <c r="R44">
        <f>IF($A44="","",COUNTIFS('Таблиця 1'!$B:$B,$A44,'Таблиця 1'!$E:$E,"РЛС КББ",'Таблиця 1'!$L:$L,"Уражено"))</f>
        <v/>
      </c>
      <c r="S44">
        <f>IF($A44="","",COUNTIFS('Таблиця 1'!$B:$B,$A44,'Таблиця 1'!$E:$E,"Ретранслятор",'Таблиця 1'!$L:$L,"Уражено"))</f>
        <v/>
      </c>
      <c r="T44">
        <f>IF($A44="","",COUNTIFS('Таблиця 1'!$B:$B,$A44,'Таблиця 1'!$E:$E,"Вз.зв'язку",'Таблиця 1'!$L:$L,"Уражено"))</f>
        <v/>
      </c>
      <c r="U44">
        <f>IF($A44="","",COUNTIFS('Таблиця 1'!$B:$B,$A44,'Таблиця 1'!$E:$E,"ПММ",'Таблиця 1'!$L:$L,"Уражено"))</f>
        <v/>
      </c>
      <c r="V44">
        <f>IF($A44="","",COUNTIFS('Таблиця 1'!$B:$B,$A44,'Таблиця 1'!$E:$E,"ІФС",'Таблиця 1'!$L:$L,"Уражено"))</f>
        <v/>
      </c>
      <c r="W44">
        <f>IF($A44="","",COUNTIFS('Таблиця 1'!$B:$B,$A44,'Таблиця 1'!$E:$E,"Інфраструктура",'Таблиця 1'!$L:$L,"Уражено"))</f>
        <v/>
      </c>
      <c r="X44">
        <f>IF($A44="","",SUMIFS('Таблиця 1'!$K:$K,'Таблиця 1'!$B:$B,$A44))</f>
        <v/>
      </c>
    </row>
    <row r="45">
      <c r="A45" s="81">
        <f>IF(A44="","",IF(A44+1&gt;MAX('Таблиця 1'!$B:$B),"",A44+1))</f>
        <v/>
      </c>
      <c r="B45">
        <f>IF($A45="","",COUNTIFS('Таблиця 1'!$B:$B,$A45,'Таблиця 1'!$E:$E,"ЖС ВЗ",'Таблиця 1'!$L:$L,"Уражено"))</f>
        <v/>
      </c>
      <c r="C45">
        <f>IF($A45="","",COUNTIFS('Таблиця 1'!$B:$B,$A45,'Таблиця 1'!$E:$E,"Арт. Системи",'Таблиця 1'!$L:$L,"Уражено"))</f>
        <v/>
      </c>
      <c r="D45">
        <f>IF($A45="","",COUNTIFS('Таблиця 1'!$B:$B,$A45,'Таблиця 1'!$E:$E,"ОВТ",'Таблиця 1'!$L:$L,"Уражено"))</f>
        <v/>
      </c>
      <c r="E45">
        <f>IF($A45="","",COUNTIFS('Таблиця 1'!$B:$B,$A45,'Таблиця 1'!$E:$E,"ППО",'Таблиця 1'!$L:$L,"Уражено"))</f>
        <v/>
      </c>
      <c r="F45">
        <f>IF($A45="","",COUNTIFS('Таблиця 1'!$B:$B,$A45,'Таблиця 1'!$E:$E,"Рембаза",'Таблиця 1'!$L:$L,"Уражено"))</f>
        <v/>
      </c>
      <c r="G45">
        <f>IF($A45="","",COUNTIFS('Таблиця 1'!$B:$B,$A45,'Таблиця 1'!$E:$E,"Склад БК",'Таблиця 1'!$L:$L,"Уражено"))</f>
        <v/>
      </c>
      <c r="H45">
        <f>IF($A45="","",COUNTIFS('Таблиця 1'!$B:$B,$A45,'Таблиця 1'!$E:$E,"Склад ВТМ",'Таблиця 1'!$L:$L,"Уражено"))</f>
        <v/>
      </c>
      <c r="I45">
        <f>IF($A45="","",COUNTIFS('Таблиця 1'!$B:$B,$A45,'Таблиця 1'!$E:$E,"ПУ БпЛА",'Таблиця 1'!$L:$L,"Уражено"))</f>
        <v/>
      </c>
      <c r="J45">
        <f>IF($A45="","",COUNTIFS('Таблиця 1'!$B:$B,$A45,'Таблиця 1'!$E:$E,"СП",'Таблиця 1'!$L:$L,"Уражено"))</f>
        <v/>
      </c>
      <c r="K45">
        <f>IF($A45="","",COUNTIFS('Таблиця 1'!$B:$B,$A45,'Таблиця 1'!$E:$E,"КСП роти",'Таблиця 1'!$L:$L,"Уражено"))</f>
        <v/>
      </c>
      <c r="L45">
        <f>IF($A45="","",COUNTIFS('Таблиця 1'!$B:$B,$A45,'Таблиця 1'!$E:$E,"ПУ бат",'Таблиця 1'!$L:$L,"Уражено"))</f>
        <v/>
      </c>
      <c r="M45">
        <f>IF($A45="","",COUNTIFS('Таблиця 1'!$B:$B,$A45,'Таблиця 1'!$E:$E,"ПУ бриг",'Таблиця 1'!$L:$L,"Уражено"))</f>
        <v/>
      </c>
      <c r="N45">
        <f>IF($A45="","",COUNTIFS('Таблиця 1'!$B:$B,$A45,'Таблиця 1'!$E:$E,"ПУ див",'Таблиця 1'!$L:$L,"Уражено"))</f>
        <v/>
      </c>
      <c r="O45">
        <f>IF($A45="","",COUNTIFS('Таблиця 1'!$B:$B,$A45,'Таблиця 1'!$E:$E,"обл. РЕБ",'Таблиця 1'!$L:$L,"Уражено"))</f>
        <v/>
      </c>
      <c r="P45">
        <f>IF($A45="","",COUNTIFS('Таблиця 1'!$B:$B,$A45,'Таблиця 1'!$E:$E,"пос РЕБ",'Таблиця 1'!$L:$L,"Уражено"))</f>
        <v/>
      </c>
      <c r="Q45">
        <f>IF($A45="","",COUNTIFS('Таблиця 1'!$B:$B,$A45,'Таблиця 1'!$E:$E,"група РЕР",'Таблиця 1'!$L:$L,"Уражено"))</f>
        <v/>
      </c>
      <c r="R45">
        <f>IF($A45="","",COUNTIFS('Таблиця 1'!$B:$B,$A45,'Таблиця 1'!$E:$E,"РЛС КББ",'Таблиця 1'!$L:$L,"Уражено"))</f>
        <v/>
      </c>
      <c r="S45">
        <f>IF($A45="","",COUNTIFS('Таблиця 1'!$B:$B,$A45,'Таблиця 1'!$E:$E,"Ретранслятор",'Таблиця 1'!$L:$L,"Уражено"))</f>
        <v/>
      </c>
      <c r="T45">
        <f>IF($A45="","",COUNTIFS('Таблиця 1'!$B:$B,$A45,'Таблиця 1'!$E:$E,"Вз.зв'язку",'Таблиця 1'!$L:$L,"Уражено"))</f>
        <v/>
      </c>
      <c r="U45">
        <f>IF($A45="","",COUNTIFS('Таблиця 1'!$B:$B,$A45,'Таблиця 1'!$E:$E,"ПММ",'Таблиця 1'!$L:$L,"Уражено"))</f>
        <v/>
      </c>
      <c r="V45">
        <f>IF($A45="","",COUNTIFS('Таблиця 1'!$B:$B,$A45,'Таблиця 1'!$E:$E,"ІФС",'Таблиця 1'!$L:$L,"Уражено"))</f>
        <v/>
      </c>
      <c r="W45">
        <f>IF($A45="","",COUNTIFS('Таблиця 1'!$B:$B,$A45,'Таблиця 1'!$E:$E,"Інфраструктура",'Таблиця 1'!$L:$L,"Уражено"))</f>
        <v/>
      </c>
      <c r="X45">
        <f>IF($A45="","",SUMIFS('Таблиця 1'!$K:$K,'Таблиця 1'!$B:$B,$A45))</f>
        <v/>
      </c>
    </row>
    <row r="46">
      <c r="A46" s="81">
        <f>IF(A45="","",IF(A45+1&gt;MAX('Таблиця 1'!$B:$B),"",A45+1))</f>
        <v/>
      </c>
      <c r="B46">
        <f>IF($A46="","",COUNTIFS('Таблиця 1'!$B:$B,$A46,'Таблиця 1'!$E:$E,"ЖС ВЗ",'Таблиця 1'!$L:$L,"Уражено"))</f>
        <v/>
      </c>
      <c r="C46">
        <f>IF($A46="","",COUNTIFS('Таблиця 1'!$B:$B,$A46,'Таблиця 1'!$E:$E,"Арт. Системи",'Таблиця 1'!$L:$L,"Уражено"))</f>
        <v/>
      </c>
      <c r="D46">
        <f>IF($A46="","",COUNTIFS('Таблиця 1'!$B:$B,$A46,'Таблиця 1'!$E:$E,"ОВТ",'Таблиця 1'!$L:$L,"Уражено"))</f>
        <v/>
      </c>
      <c r="E46">
        <f>IF($A46="","",COUNTIFS('Таблиця 1'!$B:$B,$A46,'Таблиця 1'!$E:$E,"ППО",'Таблиця 1'!$L:$L,"Уражено"))</f>
        <v/>
      </c>
      <c r="F46">
        <f>IF($A46="","",COUNTIFS('Таблиця 1'!$B:$B,$A46,'Таблиця 1'!$E:$E,"Рембаза",'Таблиця 1'!$L:$L,"Уражено"))</f>
        <v/>
      </c>
      <c r="G46">
        <f>IF($A46="","",COUNTIFS('Таблиця 1'!$B:$B,$A46,'Таблиця 1'!$E:$E,"Склад БК",'Таблиця 1'!$L:$L,"Уражено"))</f>
        <v/>
      </c>
      <c r="H46">
        <f>IF($A46="","",COUNTIFS('Таблиця 1'!$B:$B,$A46,'Таблиця 1'!$E:$E,"Склад ВТМ",'Таблиця 1'!$L:$L,"Уражено"))</f>
        <v/>
      </c>
      <c r="I46">
        <f>IF($A46="","",COUNTIFS('Таблиця 1'!$B:$B,$A46,'Таблиця 1'!$E:$E,"ПУ БпЛА",'Таблиця 1'!$L:$L,"Уражено"))</f>
        <v/>
      </c>
      <c r="J46">
        <f>IF($A46="","",COUNTIFS('Таблиця 1'!$B:$B,$A46,'Таблиця 1'!$E:$E,"СП",'Таблиця 1'!$L:$L,"Уражено"))</f>
        <v/>
      </c>
      <c r="K46">
        <f>IF($A46="","",COUNTIFS('Таблиця 1'!$B:$B,$A46,'Таблиця 1'!$E:$E,"КСП роти",'Таблиця 1'!$L:$L,"Уражено"))</f>
        <v/>
      </c>
      <c r="L46">
        <f>IF($A46="","",COUNTIFS('Таблиця 1'!$B:$B,$A46,'Таблиця 1'!$E:$E,"ПУ бат",'Таблиця 1'!$L:$L,"Уражено"))</f>
        <v/>
      </c>
      <c r="M46">
        <f>IF($A46="","",COUNTIFS('Таблиця 1'!$B:$B,$A46,'Таблиця 1'!$E:$E,"ПУ бриг",'Таблиця 1'!$L:$L,"Уражено"))</f>
        <v/>
      </c>
      <c r="N46">
        <f>IF($A46="","",COUNTIFS('Таблиця 1'!$B:$B,$A46,'Таблиця 1'!$E:$E,"ПУ див",'Таблиця 1'!$L:$L,"Уражено"))</f>
        <v/>
      </c>
      <c r="O46">
        <f>IF($A46="","",COUNTIFS('Таблиця 1'!$B:$B,$A46,'Таблиця 1'!$E:$E,"обл. РЕБ",'Таблиця 1'!$L:$L,"Уражено"))</f>
        <v/>
      </c>
      <c r="P46">
        <f>IF($A46="","",COUNTIFS('Таблиця 1'!$B:$B,$A46,'Таблиця 1'!$E:$E,"пос РЕБ",'Таблиця 1'!$L:$L,"Уражено"))</f>
        <v/>
      </c>
      <c r="Q46">
        <f>IF($A46="","",COUNTIFS('Таблиця 1'!$B:$B,$A46,'Таблиця 1'!$E:$E,"група РЕР",'Таблиця 1'!$L:$L,"Уражено"))</f>
        <v/>
      </c>
      <c r="R46">
        <f>IF($A46="","",COUNTIFS('Таблиця 1'!$B:$B,$A46,'Таблиця 1'!$E:$E,"РЛС КББ",'Таблиця 1'!$L:$L,"Уражено"))</f>
        <v/>
      </c>
      <c r="S46">
        <f>IF($A46="","",COUNTIFS('Таблиця 1'!$B:$B,$A46,'Таблиця 1'!$E:$E,"Ретранслятор",'Таблиця 1'!$L:$L,"Уражено"))</f>
        <v/>
      </c>
      <c r="T46">
        <f>IF($A46="","",COUNTIFS('Таблиця 1'!$B:$B,$A46,'Таблиця 1'!$E:$E,"Вз.зв'язку",'Таблиця 1'!$L:$L,"Уражено"))</f>
        <v/>
      </c>
      <c r="U46">
        <f>IF($A46="","",COUNTIFS('Таблиця 1'!$B:$B,$A46,'Таблиця 1'!$E:$E,"ПММ",'Таблиця 1'!$L:$L,"Уражено"))</f>
        <v/>
      </c>
      <c r="V46">
        <f>IF($A46="","",COUNTIFS('Таблиця 1'!$B:$B,$A46,'Таблиця 1'!$E:$E,"ІФС",'Таблиця 1'!$L:$L,"Уражено"))</f>
        <v/>
      </c>
      <c r="W46">
        <f>IF($A46="","",COUNTIFS('Таблиця 1'!$B:$B,$A46,'Таблиця 1'!$E:$E,"Інфраструктура",'Таблиця 1'!$L:$L,"Уражено"))</f>
        <v/>
      </c>
      <c r="X46">
        <f>IF($A46="","",SUMIFS('Таблиця 1'!$K:$K,'Таблиця 1'!$B:$B,$A46))</f>
        <v/>
      </c>
    </row>
    <row r="47">
      <c r="A47" s="81">
        <f>IF(A46="","",IF(A46+1&gt;MAX('Таблиця 1'!$B:$B),"",A46+1))</f>
        <v/>
      </c>
      <c r="B47">
        <f>IF($A47="","",COUNTIFS('Таблиця 1'!$B:$B,$A47,'Таблиця 1'!$E:$E,"ЖС ВЗ",'Таблиця 1'!$L:$L,"Уражено"))</f>
        <v/>
      </c>
      <c r="C47">
        <f>IF($A47="","",COUNTIFS('Таблиця 1'!$B:$B,$A47,'Таблиця 1'!$E:$E,"Арт. Системи",'Таблиця 1'!$L:$L,"Уражено"))</f>
        <v/>
      </c>
      <c r="D47">
        <f>IF($A47="","",COUNTIFS('Таблиця 1'!$B:$B,$A47,'Таблиця 1'!$E:$E,"ОВТ",'Таблиця 1'!$L:$L,"Уражено"))</f>
        <v/>
      </c>
      <c r="E47">
        <f>IF($A47="","",COUNTIFS('Таблиця 1'!$B:$B,$A47,'Таблиця 1'!$E:$E,"ППО",'Таблиця 1'!$L:$L,"Уражено"))</f>
        <v/>
      </c>
      <c r="F47">
        <f>IF($A47="","",COUNTIFS('Таблиця 1'!$B:$B,$A47,'Таблиця 1'!$E:$E,"Рембаза",'Таблиця 1'!$L:$L,"Уражено"))</f>
        <v/>
      </c>
      <c r="G47">
        <f>IF($A47="","",COUNTIFS('Таблиця 1'!$B:$B,$A47,'Таблиця 1'!$E:$E,"Склад БК",'Таблиця 1'!$L:$L,"Уражено"))</f>
        <v/>
      </c>
      <c r="H47">
        <f>IF($A47="","",COUNTIFS('Таблиця 1'!$B:$B,$A47,'Таблиця 1'!$E:$E,"Склад ВТМ",'Таблиця 1'!$L:$L,"Уражено"))</f>
        <v/>
      </c>
      <c r="I47">
        <f>IF($A47="","",COUNTIFS('Таблиця 1'!$B:$B,$A47,'Таблиця 1'!$E:$E,"ПУ БпЛА",'Таблиця 1'!$L:$L,"Уражено"))</f>
        <v/>
      </c>
      <c r="J47">
        <f>IF($A47="","",COUNTIFS('Таблиця 1'!$B:$B,$A47,'Таблиця 1'!$E:$E,"СП",'Таблиця 1'!$L:$L,"Уражено"))</f>
        <v/>
      </c>
      <c r="K47">
        <f>IF($A47="","",COUNTIFS('Таблиця 1'!$B:$B,$A47,'Таблиця 1'!$E:$E,"КСП роти",'Таблиця 1'!$L:$L,"Уражено"))</f>
        <v/>
      </c>
      <c r="L47">
        <f>IF($A47="","",COUNTIFS('Таблиця 1'!$B:$B,$A47,'Таблиця 1'!$E:$E,"ПУ бат",'Таблиця 1'!$L:$L,"Уражено"))</f>
        <v/>
      </c>
      <c r="M47">
        <f>IF($A47="","",COUNTIFS('Таблиця 1'!$B:$B,$A47,'Таблиця 1'!$E:$E,"ПУ бриг",'Таблиця 1'!$L:$L,"Уражено"))</f>
        <v/>
      </c>
      <c r="N47">
        <f>IF($A47="","",COUNTIFS('Таблиця 1'!$B:$B,$A47,'Таблиця 1'!$E:$E,"ПУ див",'Таблиця 1'!$L:$L,"Уражено"))</f>
        <v/>
      </c>
      <c r="O47">
        <f>IF($A47="","",COUNTIFS('Таблиця 1'!$B:$B,$A47,'Таблиця 1'!$E:$E,"обл. РЕБ",'Таблиця 1'!$L:$L,"Уражено"))</f>
        <v/>
      </c>
      <c r="P47">
        <f>IF($A47="","",COUNTIFS('Таблиця 1'!$B:$B,$A47,'Таблиця 1'!$E:$E,"пос РЕБ",'Таблиця 1'!$L:$L,"Уражено"))</f>
        <v/>
      </c>
      <c r="Q47">
        <f>IF($A47="","",COUNTIFS('Таблиця 1'!$B:$B,$A47,'Таблиця 1'!$E:$E,"група РЕР",'Таблиця 1'!$L:$L,"Уражено"))</f>
        <v/>
      </c>
      <c r="R47">
        <f>IF($A47="","",COUNTIFS('Таблиця 1'!$B:$B,$A47,'Таблиця 1'!$E:$E,"РЛС КББ",'Таблиця 1'!$L:$L,"Уражено"))</f>
        <v/>
      </c>
      <c r="S47">
        <f>IF($A47="","",COUNTIFS('Таблиця 1'!$B:$B,$A47,'Таблиця 1'!$E:$E,"Ретранслятор",'Таблиця 1'!$L:$L,"Уражено"))</f>
        <v/>
      </c>
      <c r="T47">
        <f>IF($A47="","",COUNTIFS('Таблиця 1'!$B:$B,$A47,'Таблиця 1'!$E:$E,"Вз.зв'язку",'Таблиця 1'!$L:$L,"Уражено"))</f>
        <v/>
      </c>
      <c r="U47">
        <f>IF($A47="","",COUNTIFS('Таблиця 1'!$B:$B,$A47,'Таблиця 1'!$E:$E,"ПММ",'Таблиця 1'!$L:$L,"Уражено"))</f>
        <v/>
      </c>
      <c r="V47">
        <f>IF($A47="","",COUNTIFS('Таблиця 1'!$B:$B,$A47,'Таблиця 1'!$E:$E,"ІФС",'Таблиця 1'!$L:$L,"Уражено"))</f>
        <v/>
      </c>
      <c r="W47">
        <f>IF($A47="","",COUNTIFS('Таблиця 1'!$B:$B,$A47,'Таблиця 1'!$E:$E,"Інфраструктура",'Таблиця 1'!$L:$L,"Уражено"))</f>
        <v/>
      </c>
      <c r="X47">
        <f>IF($A47="","",SUMIFS('Таблиця 1'!$K:$K,'Таблиця 1'!$B:$B,$A47))</f>
        <v/>
      </c>
    </row>
    <row r="48">
      <c r="A48" s="81">
        <f>IF(A47="","",IF(A47+1&gt;MAX('Таблиця 1'!$B:$B),"",A47+1))</f>
        <v/>
      </c>
      <c r="B48">
        <f>IF($A48="","",COUNTIFS('Таблиця 1'!$B:$B,$A48,'Таблиця 1'!$E:$E,"ЖС ВЗ",'Таблиця 1'!$L:$L,"Уражено"))</f>
        <v/>
      </c>
      <c r="C48">
        <f>IF($A48="","",COUNTIFS('Таблиця 1'!$B:$B,$A48,'Таблиця 1'!$E:$E,"Арт. Системи",'Таблиця 1'!$L:$L,"Уражено"))</f>
        <v/>
      </c>
      <c r="D48">
        <f>IF($A48="","",COUNTIFS('Таблиця 1'!$B:$B,$A48,'Таблиця 1'!$E:$E,"ОВТ",'Таблиця 1'!$L:$L,"Уражено"))</f>
        <v/>
      </c>
      <c r="E48">
        <f>IF($A48="","",COUNTIFS('Таблиця 1'!$B:$B,$A48,'Таблиця 1'!$E:$E,"ППО",'Таблиця 1'!$L:$L,"Уражено"))</f>
        <v/>
      </c>
      <c r="F48">
        <f>IF($A48="","",COUNTIFS('Таблиця 1'!$B:$B,$A48,'Таблиця 1'!$E:$E,"Рембаза",'Таблиця 1'!$L:$L,"Уражено"))</f>
        <v/>
      </c>
      <c r="G48">
        <f>IF($A48="","",COUNTIFS('Таблиця 1'!$B:$B,$A48,'Таблиця 1'!$E:$E,"Склад БК",'Таблиця 1'!$L:$L,"Уражено"))</f>
        <v/>
      </c>
      <c r="H48">
        <f>IF($A48="","",COUNTIFS('Таблиця 1'!$B:$B,$A48,'Таблиця 1'!$E:$E,"Склад ВТМ",'Таблиця 1'!$L:$L,"Уражено"))</f>
        <v/>
      </c>
      <c r="I48">
        <f>IF($A48="","",COUNTIFS('Таблиця 1'!$B:$B,$A48,'Таблиця 1'!$E:$E,"ПУ БпЛА",'Таблиця 1'!$L:$L,"Уражено"))</f>
        <v/>
      </c>
      <c r="J48">
        <f>IF($A48="","",COUNTIFS('Таблиця 1'!$B:$B,$A48,'Таблиця 1'!$E:$E,"СП",'Таблиця 1'!$L:$L,"Уражено"))</f>
        <v/>
      </c>
      <c r="K48">
        <f>IF($A48="","",COUNTIFS('Таблиця 1'!$B:$B,$A48,'Таблиця 1'!$E:$E,"КСП роти",'Таблиця 1'!$L:$L,"Уражено"))</f>
        <v/>
      </c>
      <c r="L48">
        <f>IF($A48="","",COUNTIFS('Таблиця 1'!$B:$B,$A48,'Таблиця 1'!$E:$E,"ПУ бат",'Таблиця 1'!$L:$L,"Уражено"))</f>
        <v/>
      </c>
      <c r="M48">
        <f>IF($A48="","",COUNTIFS('Таблиця 1'!$B:$B,$A48,'Таблиця 1'!$E:$E,"ПУ бриг",'Таблиця 1'!$L:$L,"Уражено"))</f>
        <v/>
      </c>
      <c r="N48">
        <f>IF($A48="","",COUNTIFS('Таблиця 1'!$B:$B,$A48,'Таблиця 1'!$E:$E,"ПУ див",'Таблиця 1'!$L:$L,"Уражено"))</f>
        <v/>
      </c>
      <c r="O48">
        <f>IF($A48="","",COUNTIFS('Таблиця 1'!$B:$B,$A48,'Таблиця 1'!$E:$E,"обл. РЕБ",'Таблиця 1'!$L:$L,"Уражено"))</f>
        <v/>
      </c>
      <c r="P48">
        <f>IF($A48="","",COUNTIFS('Таблиця 1'!$B:$B,$A48,'Таблиця 1'!$E:$E,"пос РЕБ",'Таблиця 1'!$L:$L,"Уражено"))</f>
        <v/>
      </c>
      <c r="Q48">
        <f>IF($A48="","",COUNTIFS('Таблиця 1'!$B:$B,$A48,'Таблиця 1'!$E:$E,"група РЕР",'Таблиця 1'!$L:$L,"Уражено"))</f>
        <v/>
      </c>
      <c r="R48">
        <f>IF($A48="","",COUNTIFS('Таблиця 1'!$B:$B,$A48,'Таблиця 1'!$E:$E,"РЛС КББ",'Таблиця 1'!$L:$L,"Уражено"))</f>
        <v/>
      </c>
      <c r="S48">
        <f>IF($A48="","",COUNTIFS('Таблиця 1'!$B:$B,$A48,'Таблиця 1'!$E:$E,"Ретранслятор",'Таблиця 1'!$L:$L,"Уражено"))</f>
        <v/>
      </c>
      <c r="T48">
        <f>IF($A48="","",COUNTIFS('Таблиця 1'!$B:$B,$A48,'Таблиця 1'!$E:$E,"Вз.зв'язку",'Таблиця 1'!$L:$L,"Уражено"))</f>
        <v/>
      </c>
      <c r="U48">
        <f>IF($A48="","",COUNTIFS('Таблиця 1'!$B:$B,$A48,'Таблиця 1'!$E:$E,"ПММ",'Таблиця 1'!$L:$L,"Уражено"))</f>
        <v/>
      </c>
      <c r="V48">
        <f>IF($A48="","",COUNTIFS('Таблиця 1'!$B:$B,$A48,'Таблиця 1'!$E:$E,"ІФС",'Таблиця 1'!$L:$L,"Уражено"))</f>
        <v/>
      </c>
      <c r="W48">
        <f>IF($A48="","",COUNTIFS('Таблиця 1'!$B:$B,$A48,'Таблиця 1'!$E:$E,"Інфраструктура",'Таблиця 1'!$L:$L,"Уражено"))</f>
        <v/>
      </c>
      <c r="X48">
        <f>IF($A48="","",SUMIFS('Таблиця 1'!$K:$K,'Таблиця 1'!$B:$B,$A48))</f>
        <v/>
      </c>
    </row>
    <row r="49">
      <c r="A49" s="81">
        <f>IF(A48="","",IF(A48+1&gt;MAX('Таблиця 1'!$B:$B),"",A48+1))</f>
        <v/>
      </c>
      <c r="B49">
        <f>IF($A49="","",COUNTIFS('Таблиця 1'!$B:$B,$A49,'Таблиця 1'!$E:$E,"ЖС ВЗ",'Таблиця 1'!$L:$L,"Уражено"))</f>
        <v/>
      </c>
      <c r="C49">
        <f>IF($A49="","",COUNTIFS('Таблиця 1'!$B:$B,$A49,'Таблиця 1'!$E:$E,"Арт. Системи",'Таблиця 1'!$L:$L,"Уражено"))</f>
        <v/>
      </c>
      <c r="D49">
        <f>IF($A49="","",COUNTIFS('Таблиця 1'!$B:$B,$A49,'Таблиця 1'!$E:$E,"ОВТ",'Таблиця 1'!$L:$L,"Уражено"))</f>
        <v/>
      </c>
      <c r="E49">
        <f>IF($A49="","",COUNTIFS('Таблиця 1'!$B:$B,$A49,'Таблиця 1'!$E:$E,"ППО",'Таблиця 1'!$L:$L,"Уражено"))</f>
        <v/>
      </c>
      <c r="F49">
        <f>IF($A49="","",COUNTIFS('Таблиця 1'!$B:$B,$A49,'Таблиця 1'!$E:$E,"Рембаза",'Таблиця 1'!$L:$L,"Уражено"))</f>
        <v/>
      </c>
      <c r="G49">
        <f>IF($A49="","",COUNTIFS('Таблиця 1'!$B:$B,$A49,'Таблиця 1'!$E:$E,"Склад БК",'Таблиця 1'!$L:$L,"Уражено"))</f>
        <v/>
      </c>
      <c r="H49">
        <f>IF($A49="","",COUNTIFS('Таблиця 1'!$B:$B,$A49,'Таблиця 1'!$E:$E,"Склад ВТМ",'Таблиця 1'!$L:$L,"Уражено"))</f>
        <v/>
      </c>
      <c r="I49">
        <f>IF($A49="","",COUNTIFS('Таблиця 1'!$B:$B,$A49,'Таблиця 1'!$E:$E,"ПУ БпЛА",'Таблиця 1'!$L:$L,"Уражено"))</f>
        <v/>
      </c>
      <c r="J49">
        <f>IF($A49="","",COUNTIFS('Таблиця 1'!$B:$B,$A49,'Таблиця 1'!$E:$E,"СП",'Таблиця 1'!$L:$L,"Уражено"))</f>
        <v/>
      </c>
      <c r="K49">
        <f>IF($A49="","",COUNTIFS('Таблиця 1'!$B:$B,$A49,'Таблиця 1'!$E:$E,"КСП роти",'Таблиця 1'!$L:$L,"Уражено"))</f>
        <v/>
      </c>
      <c r="L49">
        <f>IF($A49="","",COUNTIFS('Таблиця 1'!$B:$B,$A49,'Таблиця 1'!$E:$E,"ПУ бат",'Таблиця 1'!$L:$L,"Уражено"))</f>
        <v/>
      </c>
      <c r="M49">
        <f>IF($A49="","",COUNTIFS('Таблиця 1'!$B:$B,$A49,'Таблиця 1'!$E:$E,"ПУ бриг",'Таблиця 1'!$L:$L,"Уражено"))</f>
        <v/>
      </c>
      <c r="N49">
        <f>IF($A49="","",COUNTIFS('Таблиця 1'!$B:$B,$A49,'Таблиця 1'!$E:$E,"ПУ див",'Таблиця 1'!$L:$L,"Уражено"))</f>
        <v/>
      </c>
      <c r="O49">
        <f>IF($A49="","",COUNTIFS('Таблиця 1'!$B:$B,$A49,'Таблиця 1'!$E:$E,"обл. РЕБ",'Таблиця 1'!$L:$L,"Уражено"))</f>
        <v/>
      </c>
      <c r="P49">
        <f>IF($A49="","",COUNTIFS('Таблиця 1'!$B:$B,$A49,'Таблиця 1'!$E:$E,"пос РЕБ",'Таблиця 1'!$L:$L,"Уражено"))</f>
        <v/>
      </c>
      <c r="Q49">
        <f>IF($A49="","",COUNTIFS('Таблиця 1'!$B:$B,$A49,'Таблиця 1'!$E:$E,"група РЕР",'Таблиця 1'!$L:$L,"Уражено"))</f>
        <v/>
      </c>
      <c r="R49">
        <f>IF($A49="","",COUNTIFS('Таблиця 1'!$B:$B,$A49,'Таблиця 1'!$E:$E,"РЛС КББ",'Таблиця 1'!$L:$L,"Уражено"))</f>
        <v/>
      </c>
      <c r="S49">
        <f>IF($A49="","",COUNTIFS('Таблиця 1'!$B:$B,$A49,'Таблиця 1'!$E:$E,"Ретранслятор",'Таблиця 1'!$L:$L,"Уражено"))</f>
        <v/>
      </c>
      <c r="T49">
        <f>IF($A49="","",COUNTIFS('Таблиця 1'!$B:$B,$A49,'Таблиця 1'!$E:$E,"Вз.зв'язку",'Таблиця 1'!$L:$L,"Уражено"))</f>
        <v/>
      </c>
      <c r="U49">
        <f>IF($A49="","",COUNTIFS('Таблиця 1'!$B:$B,$A49,'Таблиця 1'!$E:$E,"ПММ",'Таблиця 1'!$L:$L,"Уражено"))</f>
        <v/>
      </c>
      <c r="V49">
        <f>IF($A49="","",COUNTIFS('Таблиця 1'!$B:$B,$A49,'Таблиця 1'!$E:$E,"ІФС",'Таблиця 1'!$L:$L,"Уражено"))</f>
        <v/>
      </c>
      <c r="W49">
        <f>IF($A49="","",COUNTIFS('Таблиця 1'!$B:$B,$A49,'Таблиця 1'!$E:$E,"Інфраструктура",'Таблиця 1'!$L:$L,"Уражено"))</f>
        <v/>
      </c>
      <c r="X49">
        <f>IF($A49="","",SUMIFS('Таблиця 1'!$K:$K,'Таблиця 1'!$B:$B,$A49))</f>
        <v/>
      </c>
    </row>
    <row r="50">
      <c r="A50" s="81">
        <f>IF(A49="","",IF(A49+1&gt;MAX('Таблиця 1'!$B:$B),"",A49+1))</f>
        <v/>
      </c>
      <c r="B50">
        <f>IF($A50="","",COUNTIFS('Таблиця 1'!$B:$B,$A50,'Таблиця 1'!$E:$E,"ЖС ВЗ",'Таблиця 1'!$L:$L,"Уражено"))</f>
        <v/>
      </c>
      <c r="C50">
        <f>IF($A50="","",COUNTIFS('Таблиця 1'!$B:$B,$A50,'Таблиця 1'!$E:$E,"Арт. Системи",'Таблиця 1'!$L:$L,"Уражено"))</f>
        <v/>
      </c>
      <c r="D50">
        <f>IF($A50="","",COUNTIFS('Таблиця 1'!$B:$B,$A50,'Таблиця 1'!$E:$E,"ОВТ",'Таблиця 1'!$L:$L,"Уражено"))</f>
        <v/>
      </c>
      <c r="E50">
        <f>IF($A50="","",COUNTIFS('Таблиця 1'!$B:$B,$A50,'Таблиця 1'!$E:$E,"ППО",'Таблиця 1'!$L:$L,"Уражено"))</f>
        <v/>
      </c>
      <c r="F50">
        <f>IF($A50="","",COUNTIFS('Таблиця 1'!$B:$B,$A50,'Таблиця 1'!$E:$E,"Рембаза",'Таблиця 1'!$L:$L,"Уражено"))</f>
        <v/>
      </c>
      <c r="G50">
        <f>IF($A50="","",COUNTIFS('Таблиця 1'!$B:$B,$A50,'Таблиця 1'!$E:$E,"Склад БК",'Таблиця 1'!$L:$L,"Уражено"))</f>
        <v/>
      </c>
      <c r="H50">
        <f>IF($A50="","",COUNTIFS('Таблиця 1'!$B:$B,$A50,'Таблиця 1'!$E:$E,"Склад ВТМ",'Таблиця 1'!$L:$L,"Уражено"))</f>
        <v/>
      </c>
      <c r="I50">
        <f>IF($A50="","",COUNTIFS('Таблиця 1'!$B:$B,$A50,'Таблиця 1'!$E:$E,"ПУ БпЛА",'Таблиця 1'!$L:$L,"Уражено"))</f>
        <v/>
      </c>
      <c r="J50">
        <f>IF($A50="","",COUNTIFS('Таблиця 1'!$B:$B,$A50,'Таблиця 1'!$E:$E,"СП",'Таблиця 1'!$L:$L,"Уражено"))</f>
        <v/>
      </c>
      <c r="K50">
        <f>IF($A50="","",COUNTIFS('Таблиця 1'!$B:$B,$A50,'Таблиця 1'!$E:$E,"КСП роти",'Таблиця 1'!$L:$L,"Уражено"))</f>
        <v/>
      </c>
      <c r="L50">
        <f>IF($A50="","",COUNTIFS('Таблиця 1'!$B:$B,$A50,'Таблиця 1'!$E:$E,"ПУ бат",'Таблиця 1'!$L:$L,"Уражено"))</f>
        <v/>
      </c>
      <c r="M50">
        <f>IF($A50="","",COUNTIFS('Таблиця 1'!$B:$B,$A50,'Таблиця 1'!$E:$E,"ПУ бриг",'Таблиця 1'!$L:$L,"Уражено"))</f>
        <v/>
      </c>
      <c r="N50">
        <f>IF($A50="","",COUNTIFS('Таблиця 1'!$B:$B,$A50,'Таблиця 1'!$E:$E,"ПУ див",'Таблиця 1'!$L:$L,"Уражено"))</f>
        <v/>
      </c>
      <c r="O50">
        <f>IF($A50="","",COUNTIFS('Таблиця 1'!$B:$B,$A50,'Таблиця 1'!$E:$E,"обл. РЕБ",'Таблиця 1'!$L:$L,"Уражено"))</f>
        <v/>
      </c>
      <c r="P50">
        <f>IF($A50="","",COUNTIFS('Таблиця 1'!$B:$B,$A50,'Таблиця 1'!$E:$E,"пос РЕБ",'Таблиця 1'!$L:$L,"Уражено"))</f>
        <v/>
      </c>
      <c r="Q50">
        <f>IF($A50="","",COUNTIFS('Таблиця 1'!$B:$B,$A50,'Таблиця 1'!$E:$E,"група РЕР",'Таблиця 1'!$L:$L,"Уражено"))</f>
        <v/>
      </c>
      <c r="R50">
        <f>IF($A50="","",COUNTIFS('Таблиця 1'!$B:$B,$A50,'Таблиця 1'!$E:$E,"РЛС КББ",'Таблиця 1'!$L:$L,"Уражено"))</f>
        <v/>
      </c>
      <c r="S50">
        <f>IF($A50="","",COUNTIFS('Таблиця 1'!$B:$B,$A50,'Таблиця 1'!$E:$E,"Ретранслятор",'Таблиця 1'!$L:$L,"Уражено"))</f>
        <v/>
      </c>
      <c r="T50">
        <f>IF($A50="","",COUNTIFS('Таблиця 1'!$B:$B,$A50,'Таблиця 1'!$E:$E,"Вз.зв'язку",'Таблиця 1'!$L:$L,"Уражено"))</f>
        <v/>
      </c>
      <c r="U50">
        <f>IF($A50="","",COUNTIFS('Таблиця 1'!$B:$B,$A50,'Таблиця 1'!$E:$E,"ПММ",'Таблиця 1'!$L:$L,"Уражено"))</f>
        <v/>
      </c>
      <c r="V50">
        <f>IF($A50="","",COUNTIFS('Таблиця 1'!$B:$B,$A50,'Таблиця 1'!$E:$E,"ІФС",'Таблиця 1'!$L:$L,"Уражено"))</f>
        <v/>
      </c>
      <c r="W50">
        <f>IF($A50="","",COUNTIFS('Таблиця 1'!$B:$B,$A50,'Таблиця 1'!$E:$E,"Інфраструктура",'Таблиця 1'!$L:$L,"Уражено"))</f>
        <v/>
      </c>
      <c r="X50">
        <f>IF($A50="","",SUMIFS('Таблиця 1'!$K:$K,'Таблиця 1'!$B:$B,$A50))</f>
        <v/>
      </c>
    </row>
    <row r="51">
      <c r="A51" s="81">
        <f>IF(A50="","",IF(A50+1&gt;MAX('Таблиця 1'!$B:$B),"",A50+1))</f>
        <v/>
      </c>
      <c r="B51">
        <f>IF($A51="","",COUNTIFS('Таблиця 1'!$B:$B,$A51,'Таблиця 1'!$E:$E,"ЖС ВЗ",'Таблиця 1'!$L:$L,"Уражено"))</f>
        <v/>
      </c>
      <c r="C51">
        <f>IF($A51="","",COUNTIFS('Таблиця 1'!$B:$B,$A51,'Таблиця 1'!$E:$E,"Арт. Системи",'Таблиця 1'!$L:$L,"Уражено"))</f>
        <v/>
      </c>
      <c r="D51">
        <f>IF($A51="","",COUNTIFS('Таблиця 1'!$B:$B,$A51,'Таблиця 1'!$E:$E,"ОВТ",'Таблиця 1'!$L:$L,"Уражено"))</f>
        <v/>
      </c>
      <c r="E51">
        <f>IF($A51="","",COUNTIFS('Таблиця 1'!$B:$B,$A51,'Таблиця 1'!$E:$E,"ППО",'Таблиця 1'!$L:$L,"Уражено"))</f>
        <v/>
      </c>
      <c r="F51">
        <f>IF($A51="","",COUNTIFS('Таблиця 1'!$B:$B,$A51,'Таблиця 1'!$E:$E,"Рембаза",'Таблиця 1'!$L:$L,"Уражено"))</f>
        <v/>
      </c>
      <c r="G51">
        <f>IF($A51="","",COUNTIFS('Таблиця 1'!$B:$B,$A51,'Таблиця 1'!$E:$E,"Склад БК",'Таблиця 1'!$L:$L,"Уражено"))</f>
        <v/>
      </c>
      <c r="H51">
        <f>IF($A51="","",COUNTIFS('Таблиця 1'!$B:$B,$A51,'Таблиця 1'!$E:$E,"Склад ВТМ",'Таблиця 1'!$L:$L,"Уражено"))</f>
        <v/>
      </c>
      <c r="I51">
        <f>IF($A51="","",COUNTIFS('Таблиця 1'!$B:$B,$A51,'Таблиця 1'!$E:$E,"ПУ БпЛА",'Таблиця 1'!$L:$L,"Уражено"))</f>
        <v/>
      </c>
      <c r="J51">
        <f>IF($A51="","",COUNTIFS('Таблиця 1'!$B:$B,$A51,'Таблиця 1'!$E:$E,"СП",'Таблиця 1'!$L:$L,"Уражено"))</f>
        <v/>
      </c>
      <c r="K51">
        <f>IF($A51="","",COUNTIFS('Таблиця 1'!$B:$B,$A51,'Таблиця 1'!$E:$E,"КСП роти",'Таблиця 1'!$L:$L,"Уражено"))</f>
        <v/>
      </c>
      <c r="L51">
        <f>IF($A51="","",COUNTIFS('Таблиця 1'!$B:$B,$A51,'Таблиця 1'!$E:$E,"ПУ бат",'Таблиця 1'!$L:$L,"Уражено"))</f>
        <v/>
      </c>
      <c r="M51">
        <f>IF($A51="","",COUNTIFS('Таблиця 1'!$B:$B,$A51,'Таблиця 1'!$E:$E,"ПУ бриг",'Таблиця 1'!$L:$L,"Уражено"))</f>
        <v/>
      </c>
      <c r="N51">
        <f>IF($A51="","",COUNTIFS('Таблиця 1'!$B:$B,$A51,'Таблиця 1'!$E:$E,"ПУ див",'Таблиця 1'!$L:$L,"Уражено"))</f>
        <v/>
      </c>
      <c r="O51">
        <f>IF($A51="","",COUNTIFS('Таблиця 1'!$B:$B,$A51,'Таблиця 1'!$E:$E,"обл. РЕБ",'Таблиця 1'!$L:$L,"Уражено"))</f>
        <v/>
      </c>
      <c r="P51">
        <f>IF($A51="","",COUNTIFS('Таблиця 1'!$B:$B,$A51,'Таблиця 1'!$E:$E,"пос РЕБ",'Таблиця 1'!$L:$L,"Уражено"))</f>
        <v/>
      </c>
      <c r="Q51">
        <f>IF($A51="","",COUNTIFS('Таблиця 1'!$B:$B,$A51,'Таблиця 1'!$E:$E,"група РЕР",'Таблиця 1'!$L:$L,"Уражено"))</f>
        <v/>
      </c>
      <c r="R51">
        <f>IF($A51="","",COUNTIFS('Таблиця 1'!$B:$B,$A51,'Таблиця 1'!$E:$E,"РЛС КББ",'Таблиця 1'!$L:$L,"Уражено"))</f>
        <v/>
      </c>
      <c r="S51">
        <f>IF($A51="","",COUNTIFS('Таблиця 1'!$B:$B,$A51,'Таблиця 1'!$E:$E,"Ретранслятор",'Таблиця 1'!$L:$L,"Уражено"))</f>
        <v/>
      </c>
      <c r="T51">
        <f>IF($A51="","",COUNTIFS('Таблиця 1'!$B:$B,$A51,'Таблиця 1'!$E:$E,"Вз.зв'язку",'Таблиця 1'!$L:$L,"Уражено"))</f>
        <v/>
      </c>
      <c r="U51">
        <f>IF($A51="","",COUNTIFS('Таблиця 1'!$B:$B,$A51,'Таблиця 1'!$E:$E,"ПММ",'Таблиця 1'!$L:$L,"Уражено"))</f>
        <v/>
      </c>
      <c r="V51">
        <f>IF($A51="","",COUNTIFS('Таблиця 1'!$B:$B,$A51,'Таблиця 1'!$E:$E,"ІФС",'Таблиця 1'!$L:$L,"Уражено"))</f>
        <v/>
      </c>
      <c r="W51">
        <f>IF($A51="","",COUNTIFS('Таблиця 1'!$B:$B,$A51,'Таблиця 1'!$E:$E,"Інфраструктура",'Таблиця 1'!$L:$L,"Уражено"))</f>
        <v/>
      </c>
      <c r="X51">
        <f>IF($A51="","",SUMIFS('Таблиця 1'!$K:$K,'Таблиця 1'!$B:$B,$A51))</f>
        <v/>
      </c>
    </row>
    <row r="52">
      <c r="A52" s="81">
        <f>IF(A51="","",IF(A51+1&gt;MAX('Таблиця 1'!$B:$B),"",A51+1))</f>
        <v/>
      </c>
      <c r="B52">
        <f>IF($A52="","",COUNTIFS('Таблиця 1'!$B:$B,$A52,'Таблиця 1'!$E:$E,"ЖС ВЗ",'Таблиця 1'!$L:$L,"Уражено"))</f>
        <v/>
      </c>
      <c r="C52">
        <f>IF($A52="","",COUNTIFS('Таблиця 1'!$B:$B,$A52,'Таблиця 1'!$E:$E,"Арт. Системи",'Таблиця 1'!$L:$L,"Уражено"))</f>
        <v/>
      </c>
      <c r="D52">
        <f>IF($A52="","",COUNTIFS('Таблиця 1'!$B:$B,$A52,'Таблиця 1'!$E:$E,"ОВТ",'Таблиця 1'!$L:$L,"Уражено"))</f>
        <v/>
      </c>
      <c r="E52">
        <f>IF($A52="","",COUNTIFS('Таблиця 1'!$B:$B,$A52,'Таблиця 1'!$E:$E,"ППО",'Таблиця 1'!$L:$L,"Уражено"))</f>
        <v/>
      </c>
      <c r="F52">
        <f>IF($A52="","",COUNTIFS('Таблиця 1'!$B:$B,$A52,'Таблиця 1'!$E:$E,"Рембаза",'Таблиця 1'!$L:$L,"Уражено"))</f>
        <v/>
      </c>
      <c r="G52">
        <f>IF($A52="","",COUNTIFS('Таблиця 1'!$B:$B,$A52,'Таблиця 1'!$E:$E,"Склад БК",'Таблиця 1'!$L:$L,"Уражено"))</f>
        <v/>
      </c>
      <c r="H52">
        <f>IF($A52="","",COUNTIFS('Таблиця 1'!$B:$B,$A52,'Таблиця 1'!$E:$E,"Склад ВТМ",'Таблиця 1'!$L:$L,"Уражено"))</f>
        <v/>
      </c>
      <c r="I52">
        <f>IF($A52="","",COUNTIFS('Таблиця 1'!$B:$B,$A52,'Таблиця 1'!$E:$E,"ПУ БпЛА",'Таблиця 1'!$L:$L,"Уражено"))</f>
        <v/>
      </c>
      <c r="J52">
        <f>IF($A52="","",COUNTIFS('Таблиця 1'!$B:$B,$A52,'Таблиця 1'!$E:$E,"СП",'Таблиця 1'!$L:$L,"Уражено"))</f>
        <v/>
      </c>
      <c r="K52">
        <f>IF($A52="","",COUNTIFS('Таблиця 1'!$B:$B,$A52,'Таблиця 1'!$E:$E,"КСП роти",'Таблиця 1'!$L:$L,"Уражено"))</f>
        <v/>
      </c>
      <c r="L52">
        <f>IF($A52="","",COUNTIFS('Таблиця 1'!$B:$B,$A52,'Таблиця 1'!$E:$E,"ПУ бат",'Таблиця 1'!$L:$L,"Уражено"))</f>
        <v/>
      </c>
      <c r="M52">
        <f>IF($A52="","",COUNTIFS('Таблиця 1'!$B:$B,$A52,'Таблиця 1'!$E:$E,"ПУ бриг",'Таблиця 1'!$L:$L,"Уражено"))</f>
        <v/>
      </c>
      <c r="N52">
        <f>IF($A52="","",COUNTIFS('Таблиця 1'!$B:$B,$A52,'Таблиця 1'!$E:$E,"ПУ див",'Таблиця 1'!$L:$L,"Уражено"))</f>
        <v/>
      </c>
      <c r="O52">
        <f>IF($A52="","",COUNTIFS('Таблиця 1'!$B:$B,$A52,'Таблиця 1'!$E:$E,"обл. РЕБ",'Таблиця 1'!$L:$L,"Уражено"))</f>
        <v/>
      </c>
      <c r="P52">
        <f>IF($A52="","",COUNTIFS('Таблиця 1'!$B:$B,$A52,'Таблиця 1'!$E:$E,"пос РЕБ",'Таблиця 1'!$L:$L,"Уражено"))</f>
        <v/>
      </c>
      <c r="Q52">
        <f>IF($A52="","",COUNTIFS('Таблиця 1'!$B:$B,$A52,'Таблиця 1'!$E:$E,"група РЕР",'Таблиця 1'!$L:$L,"Уражено"))</f>
        <v/>
      </c>
      <c r="R52">
        <f>IF($A52="","",COUNTIFS('Таблиця 1'!$B:$B,$A52,'Таблиця 1'!$E:$E,"РЛС КББ",'Таблиця 1'!$L:$L,"Уражено"))</f>
        <v/>
      </c>
      <c r="S52">
        <f>IF($A52="","",COUNTIFS('Таблиця 1'!$B:$B,$A52,'Таблиця 1'!$E:$E,"Ретранслятор",'Таблиця 1'!$L:$L,"Уражено"))</f>
        <v/>
      </c>
      <c r="T52">
        <f>IF($A52="","",COUNTIFS('Таблиця 1'!$B:$B,$A52,'Таблиця 1'!$E:$E,"Вз.зв'язку",'Таблиця 1'!$L:$L,"Уражено"))</f>
        <v/>
      </c>
      <c r="U52">
        <f>IF($A52="","",COUNTIFS('Таблиця 1'!$B:$B,$A52,'Таблиця 1'!$E:$E,"ПММ",'Таблиця 1'!$L:$L,"Уражено"))</f>
        <v/>
      </c>
      <c r="V52">
        <f>IF($A52="","",COUNTIFS('Таблиця 1'!$B:$B,$A52,'Таблиця 1'!$E:$E,"ІФС",'Таблиця 1'!$L:$L,"Уражено"))</f>
        <v/>
      </c>
      <c r="W52">
        <f>IF($A52="","",COUNTIFS('Таблиця 1'!$B:$B,$A52,'Таблиця 1'!$E:$E,"Інфраструктура",'Таблиця 1'!$L:$L,"Уражено"))</f>
        <v/>
      </c>
      <c r="X52">
        <f>IF($A52="","",SUMIFS('Таблиця 1'!$K:$K,'Таблиця 1'!$B:$B,$A52))</f>
        <v/>
      </c>
    </row>
    <row r="53">
      <c r="A53" s="81">
        <f>IF(A52="","",IF(A52+1&gt;MAX('Таблиця 1'!$B:$B),"",A52+1))</f>
        <v/>
      </c>
      <c r="B53">
        <f>IF($A53="","",COUNTIFS('Таблиця 1'!$B:$B,$A53,'Таблиця 1'!$E:$E,"ЖС ВЗ",'Таблиця 1'!$L:$L,"Уражено"))</f>
        <v/>
      </c>
      <c r="C53">
        <f>IF($A53="","",COUNTIFS('Таблиця 1'!$B:$B,$A53,'Таблиця 1'!$E:$E,"Арт. Системи",'Таблиця 1'!$L:$L,"Уражено"))</f>
        <v/>
      </c>
      <c r="D53">
        <f>IF($A53="","",COUNTIFS('Таблиця 1'!$B:$B,$A53,'Таблиця 1'!$E:$E,"ОВТ",'Таблиця 1'!$L:$L,"Уражено"))</f>
        <v/>
      </c>
      <c r="E53">
        <f>IF($A53="","",COUNTIFS('Таблиця 1'!$B:$B,$A53,'Таблиця 1'!$E:$E,"ППО",'Таблиця 1'!$L:$L,"Уражено"))</f>
        <v/>
      </c>
      <c r="F53">
        <f>IF($A53="","",COUNTIFS('Таблиця 1'!$B:$B,$A53,'Таблиця 1'!$E:$E,"Рембаза",'Таблиця 1'!$L:$L,"Уражено"))</f>
        <v/>
      </c>
      <c r="G53">
        <f>IF($A53="","",COUNTIFS('Таблиця 1'!$B:$B,$A53,'Таблиця 1'!$E:$E,"Склад БК",'Таблиця 1'!$L:$L,"Уражено"))</f>
        <v/>
      </c>
      <c r="H53">
        <f>IF($A53="","",COUNTIFS('Таблиця 1'!$B:$B,$A53,'Таблиця 1'!$E:$E,"Склад ВТМ",'Таблиця 1'!$L:$L,"Уражено"))</f>
        <v/>
      </c>
      <c r="I53">
        <f>IF($A53="","",COUNTIFS('Таблиця 1'!$B:$B,$A53,'Таблиця 1'!$E:$E,"ПУ БпЛА",'Таблиця 1'!$L:$L,"Уражено"))</f>
        <v/>
      </c>
      <c r="J53">
        <f>IF($A53="","",COUNTIFS('Таблиця 1'!$B:$B,$A53,'Таблиця 1'!$E:$E,"СП",'Таблиця 1'!$L:$L,"Уражено"))</f>
        <v/>
      </c>
      <c r="K53">
        <f>IF($A53="","",COUNTIFS('Таблиця 1'!$B:$B,$A53,'Таблиця 1'!$E:$E,"КСП роти",'Таблиця 1'!$L:$L,"Уражено"))</f>
        <v/>
      </c>
      <c r="L53">
        <f>IF($A53="","",COUNTIFS('Таблиця 1'!$B:$B,$A53,'Таблиця 1'!$E:$E,"ПУ бат",'Таблиця 1'!$L:$L,"Уражено"))</f>
        <v/>
      </c>
      <c r="M53">
        <f>IF($A53="","",COUNTIFS('Таблиця 1'!$B:$B,$A53,'Таблиця 1'!$E:$E,"ПУ бриг",'Таблиця 1'!$L:$L,"Уражено"))</f>
        <v/>
      </c>
      <c r="N53">
        <f>IF($A53="","",COUNTIFS('Таблиця 1'!$B:$B,$A53,'Таблиця 1'!$E:$E,"ПУ див",'Таблиця 1'!$L:$L,"Уражено"))</f>
        <v/>
      </c>
      <c r="O53">
        <f>IF($A53="","",COUNTIFS('Таблиця 1'!$B:$B,$A53,'Таблиця 1'!$E:$E,"обл. РЕБ",'Таблиця 1'!$L:$L,"Уражено"))</f>
        <v/>
      </c>
      <c r="P53">
        <f>IF($A53="","",COUNTIFS('Таблиця 1'!$B:$B,$A53,'Таблиця 1'!$E:$E,"пос РЕБ",'Таблиця 1'!$L:$L,"Уражено"))</f>
        <v/>
      </c>
      <c r="Q53">
        <f>IF($A53="","",COUNTIFS('Таблиця 1'!$B:$B,$A53,'Таблиця 1'!$E:$E,"група РЕР",'Таблиця 1'!$L:$L,"Уражено"))</f>
        <v/>
      </c>
      <c r="R53">
        <f>IF($A53="","",COUNTIFS('Таблиця 1'!$B:$B,$A53,'Таблиця 1'!$E:$E,"РЛС КББ",'Таблиця 1'!$L:$L,"Уражено"))</f>
        <v/>
      </c>
      <c r="S53">
        <f>IF($A53="","",COUNTIFS('Таблиця 1'!$B:$B,$A53,'Таблиця 1'!$E:$E,"Ретранслятор",'Таблиця 1'!$L:$L,"Уражено"))</f>
        <v/>
      </c>
      <c r="T53">
        <f>IF($A53="","",COUNTIFS('Таблиця 1'!$B:$B,$A53,'Таблиця 1'!$E:$E,"Вз.зв'язку",'Таблиця 1'!$L:$L,"Уражено"))</f>
        <v/>
      </c>
      <c r="U53">
        <f>IF($A53="","",COUNTIFS('Таблиця 1'!$B:$B,$A53,'Таблиця 1'!$E:$E,"ПММ",'Таблиця 1'!$L:$L,"Уражено"))</f>
        <v/>
      </c>
      <c r="V53">
        <f>IF($A53="","",COUNTIFS('Таблиця 1'!$B:$B,$A53,'Таблиця 1'!$E:$E,"ІФС",'Таблиця 1'!$L:$L,"Уражено"))</f>
        <v/>
      </c>
      <c r="W53">
        <f>IF($A53="","",COUNTIFS('Таблиця 1'!$B:$B,$A53,'Таблиця 1'!$E:$E,"Інфраструктура",'Таблиця 1'!$L:$L,"Уражено"))</f>
        <v/>
      </c>
      <c r="X53">
        <f>IF($A53="","",SUMIFS('Таблиця 1'!$K:$K,'Таблиця 1'!$B:$B,$A53))</f>
        <v/>
      </c>
    </row>
    <row r="54">
      <c r="A54" s="81">
        <f>IF(A53="","",IF(A53+1&gt;MAX('Таблиця 1'!$B:$B),"",A53+1))</f>
        <v/>
      </c>
      <c r="B54">
        <f>IF($A54="","",COUNTIFS('Таблиця 1'!$B:$B,$A54,'Таблиця 1'!$E:$E,"ЖС ВЗ",'Таблиця 1'!$L:$L,"Уражено"))</f>
        <v/>
      </c>
      <c r="C54">
        <f>IF($A54="","",COUNTIFS('Таблиця 1'!$B:$B,$A54,'Таблиця 1'!$E:$E,"Арт. Системи",'Таблиця 1'!$L:$L,"Уражено"))</f>
        <v/>
      </c>
      <c r="D54">
        <f>IF($A54="","",COUNTIFS('Таблиця 1'!$B:$B,$A54,'Таблиця 1'!$E:$E,"ОВТ",'Таблиця 1'!$L:$L,"Уражено"))</f>
        <v/>
      </c>
      <c r="E54">
        <f>IF($A54="","",COUNTIFS('Таблиця 1'!$B:$B,$A54,'Таблиця 1'!$E:$E,"ППО",'Таблиця 1'!$L:$L,"Уражено"))</f>
        <v/>
      </c>
      <c r="F54">
        <f>IF($A54="","",COUNTIFS('Таблиця 1'!$B:$B,$A54,'Таблиця 1'!$E:$E,"Рембаза",'Таблиця 1'!$L:$L,"Уражено"))</f>
        <v/>
      </c>
      <c r="G54">
        <f>IF($A54="","",COUNTIFS('Таблиця 1'!$B:$B,$A54,'Таблиця 1'!$E:$E,"Склад БК",'Таблиця 1'!$L:$L,"Уражено"))</f>
        <v/>
      </c>
      <c r="H54">
        <f>IF($A54="","",COUNTIFS('Таблиця 1'!$B:$B,$A54,'Таблиця 1'!$E:$E,"Склад ВТМ",'Таблиця 1'!$L:$L,"Уражено"))</f>
        <v/>
      </c>
      <c r="I54">
        <f>IF($A54="","",COUNTIFS('Таблиця 1'!$B:$B,$A54,'Таблиця 1'!$E:$E,"ПУ БпЛА",'Таблиця 1'!$L:$L,"Уражено"))</f>
        <v/>
      </c>
      <c r="J54">
        <f>IF($A54="","",COUNTIFS('Таблиця 1'!$B:$B,$A54,'Таблиця 1'!$E:$E,"СП",'Таблиця 1'!$L:$L,"Уражено"))</f>
        <v/>
      </c>
      <c r="K54">
        <f>IF($A54="","",COUNTIFS('Таблиця 1'!$B:$B,$A54,'Таблиця 1'!$E:$E,"КСП роти",'Таблиця 1'!$L:$L,"Уражено"))</f>
        <v/>
      </c>
      <c r="L54">
        <f>IF($A54="","",COUNTIFS('Таблиця 1'!$B:$B,$A54,'Таблиця 1'!$E:$E,"ПУ бат",'Таблиця 1'!$L:$L,"Уражено"))</f>
        <v/>
      </c>
      <c r="M54">
        <f>IF($A54="","",COUNTIFS('Таблиця 1'!$B:$B,$A54,'Таблиця 1'!$E:$E,"ПУ бриг",'Таблиця 1'!$L:$L,"Уражено"))</f>
        <v/>
      </c>
      <c r="N54">
        <f>IF($A54="","",COUNTIFS('Таблиця 1'!$B:$B,$A54,'Таблиця 1'!$E:$E,"ПУ див",'Таблиця 1'!$L:$L,"Уражено"))</f>
        <v/>
      </c>
      <c r="O54">
        <f>IF($A54="","",COUNTIFS('Таблиця 1'!$B:$B,$A54,'Таблиця 1'!$E:$E,"обл. РЕБ",'Таблиця 1'!$L:$L,"Уражено"))</f>
        <v/>
      </c>
      <c r="P54">
        <f>IF($A54="","",COUNTIFS('Таблиця 1'!$B:$B,$A54,'Таблиця 1'!$E:$E,"пос РЕБ",'Таблиця 1'!$L:$L,"Уражено"))</f>
        <v/>
      </c>
      <c r="Q54">
        <f>IF($A54="","",COUNTIFS('Таблиця 1'!$B:$B,$A54,'Таблиця 1'!$E:$E,"група РЕР",'Таблиця 1'!$L:$L,"Уражено"))</f>
        <v/>
      </c>
      <c r="R54">
        <f>IF($A54="","",COUNTIFS('Таблиця 1'!$B:$B,$A54,'Таблиця 1'!$E:$E,"РЛС КББ",'Таблиця 1'!$L:$L,"Уражено"))</f>
        <v/>
      </c>
      <c r="S54">
        <f>IF($A54="","",COUNTIFS('Таблиця 1'!$B:$B,$A54,'Таблиця 1'!$E:$E,"Ретранслятор",'Таблиця 1'!$L:$L,"Уражено"))</f>
        <v/>
      </c>
      <c r="T54">
        <f>IF($A54="","",COUNTIFS('Таблиця 1'!$B:$B,$A54,'Таблиця 1'!$E:$E,"Вз.зв'язку",'Таблиця 1'!$L:$L,"Уражено"))</f>
        <v/>
      </c>
      <c r="U54">
        <f>IF($A54="","",COUNTIFS('Таблиця 1'!$B:$B,$A54,'Таблиця 1'!$E:$E,"ПММ",'Таблиця 1'!$L:$L,"Уражено"))</f>
        <v/>
      </c>
      <c r="V54">
        <f>IF($A54="","",COUNTIFS('Таблиця 1'!$B:$B,$A54,'Таблиця 1'!$E:$E,"ІФС",'Таблиця 1'!$L:$L,"Уражено"))</f>
        <v/>
      </c>
      <c r="W54">
        <f>IF($A54="","",COUNTIFS('Таблиця 1'!$B:$B,$A54,'Таблиця 1'!$E:$E,"Інфраструктура",'Таблиця 1'!$L:$L,"Уражено"))</f>
        <v/>
      </c>
      <c r="X54">
        <f>IF($A54="","",SUMIFS('Таблиця 1'!$K:$K,'Таблиця 1'!$B:$B,$A54))</f>
        <v/>
      </c>
    </row>
    <row r="55">
      <c r="A55" s="81">
        <f>IF(A54="","",IF(A54+1&gt;MAX('Таблиця 1'!$B:$B),"",A54+1))</f>
        <v/>
      </c>
      <c r="B55">
        <f>IF($A55="","",COUNTIFS('Таблиця 1'!$B:$B,$A55,'Таблиця 1'!$E:$E,"ЖС ВЗ",'Таблиця 1'!$L:$L,"Уражено"))</f>
        <v/>
      </c>
      <c r="C55">
        <f>IF($A55="","",COUNTIFS('Таблиця 1'!$B:$B,$A55,'Таблиця 1'!$E:$E,"Арт. Системи",'Таблиця 1'!$L:$L,"Уражено"))</f>
        <v/>
      </c>
      <c r="D55">
        <f>IF($A55="","",COUNTIFS('Таблиця 1'!$B:$B,$A55,'Таблиця 1'!$E:$E,"ОВТ",'Таблиця 1'!$L:$L,"Уражено"))</f>
        <v/>
      </c>
      <c r="E55">
        <f>IF($A55="","",COUNTIFS('Таблиця 1'!$B:$B,$A55,'Таблиця 1'!$E:$E,"ППО",'Таблиця 1'!$L:$L,"Уражено"))</f>
        <v/>
      </c>
      <c r="F55">
        <f>IF($A55="","",COUNTIFS('Таблиця 1'!$B:$B,$A55,'Таблиця 1'!$E:$E,"Рембаза",'Таблиця 1'!$L:$L,"Уражено"))</f>
        <v/>
      </c>
      <c r="G55">
        <f>IF($A55="","",COUNTIFS('Таблиця 1'!$B:$B,$A55,'Таблиця 1'!$E:$E,"Склад БК",'Таблиця 1'!$L:$L,"Уражено"))</f>
        <v/>
      </c>
      <c r="H55">
        <f>IF($A55="","",COUNTIFS('Таблиця 1'!$B:$B,$A55,'Таблиця 1'!$E:$E,"Склад ВТМ",'Таблиця 1'!$L:$L,"Уражено"))</f>
        <v/>
      </c>
      <c r="I55">
        <f>IF($A55="","",COUNTIFS('Таблиця 1'!$B:$B,$A55,'Таблиця 1'!$E:$E,"ПУ БпЛА",'Таблиця 1'!$L:$L,"Уражено"))</f>
        <v/>
      </c>
      <c r="J55">
        <f>IF($A55="","",COUNTIFS('Таблиця 1'!$B:$B,$A55,'Таблиця 1'!$E:$E,"СП",'Таблиця 1'!$L:$L,"Уражено"))</f>
        <v/>
      </c>
      <c r="K55">
        <f>IF($A55="","",COUNTIFS('Таблиця 1'!$B:$B,$A55,'Таблиця 1'!$E:$E,"КСП роти",'Таблиця 1'!$L:$L,"Уражено"))</f>
        <v/>
      </c>
      <c r="L55">
        <f>IF($A55="","",COUNTIFS('Таблиця 1'!$B:$B,$A55,'Таблиця 1'!$E:$E,"ПУ бат",'Таблиця 1'!$L:$L,"Уражено"))</f>
        <v/>
      </c>
      <c r="M55">
        <f>IF($A55="","",COUNTIFS('Таблиця 1'!$B:$B,$A55,'Таблиця 1'!$E:$E,"ПУ бриг",'Таблиця 1'!$L:$L,"Уражено"))</f>
        <v/>
      </c>
      <c r="N55">
        <f>IF($A55="","",COUNTIFS('Таблиця 1'!$B:$B,$A55,'Таблиця 1'!$E:$E,"ПУ див",'Таблиця 1'!$L:$L,"Уражено"))</f>
        <v/>
      </c>
      <c r="O55">
        <f>IF($A55="","",COUNTIFS('Таблиця 1'!$B:$B,$A55,'Таблиця 1'!$E:$E,"обл. РЕБ",'Таблиця 1'!$L:$L,"Уражено"))</f>
        <v/>
      </c>
      <c r="P55">
        <f>IF($A55="","",COUNTIFS('Таблиця 1'!$B:$B,$A55,'Таблиця 1'!$E:$E,"пос РЕБ",'Таблиця 1'!$L:$L,"Уражено"))</f>
        <v/>
      </c>
      <c r="Q55">
        <f>IF($A55="","",COUNTIFS('Таблиця 1'!$B:$B,$A55,'Таблиця 1'!$E:$E,"група РЕР",'Таблиця 1'!$L:$L,"Уражено"))</f>
        <v/>
      </c>
      <c r="R55">
        <f>IF($A55="","",COUNTIFS('Таблиця 1'!$B:$B,$A55,'Таблиця 1'!$E:$E,"РЛС КББ",'Таблиця 1'!$L:$L,"Уражено"))</f>
        <v/>
      </c>
      <c r="S55">
        <f>IF($A55="","",COUNTIFS('Таблиця 1'!$B:$B,$A55,'Таблиця 1'!$E:$E,"Ретранслятор",'Таблиця 1'!$L:$L,"Уражено"))</f>
        <v/>
      </c>
      <c r="T55">
        <f>IF($A55="","",COUNTIFS('Таблиця 1'!$B:$B,$A55,'Таблиця 1'!$E:$E,"Вз.зв'язку",'Таблиця 1'!$L:$L,"Уражено"))</f>
        <v/>
      </c>
      <c r="U55">
        <f>IF($A55="","",COUNTIFS('Таблиця 1'!$B:$B,$A55,'Таблиця 1'!$E:$E,"ПММ",'Таблиця 1'!$L:$L,"Уражено"))</f>
        <v/>
      </c>
      <c r="V55">
        <f>IF($A55="","",COUNTIFS('Таблиця 1'!$B:$B,$A55,'Таблиця 1'!$E:$E,"ІФС",'Таблиця 1'!$L:$L,"Уражено"))</f>
        <v/>
      </c>
      <c r="W55">
        <f>IF($A55="","",COUNTIFS('Таблиця 1'!$B:$B,$A55,'Таблиця 1'!$E:$E,"Інфраструктура",'Таблиця 1'!$L:$L,"Уражено"))</f>
        <v/>
      </c>
      <c r="X55">
        <f>IF($A55="","",SUMIFS('Таблиця 1'!$K:$K,'Таблиця 1'!$B:$B,$A55))</f>
        <v/>
      </c>
    </row>
    <row r="56">
      <c r="A56" s="81">
        <f>IF(A55="","",IF(A55+1&gt;MAX('Таблиця 1'!$B:$B),"",A55+1))</f>
        <v/>
      </c>
      <c r="B56">
        <f>IF($A56="","",COUNTIFS('Таблиця 1'!$B:$B,$A56,'Таблиця 1'!$E:$E,"ЖС ВЗ",'Таблиця 1'!$L:$L,"Уражено"))</f>
        <v/>
      </c>
      <c r="C56">
        <f>IF($A56="","",COUNTIFS('Таблиця 1'!$B:$B,$A56,'Таблиця 1'!$E:$E,"Арт. Системи",'Таблиця 1'!$L:$L,"Уражено"))</f>
        <v/>
      </c>
      <c r="D56">
        <f>IF($A56="","",COUNTIFS('Таблиця 1'!$B:$B,$A56,'Таблиця 1'!$E:$E,"ОВТ",'Таблиця 1'!$L:$L,"Уражено"))</f>
        <v/>
      </c>
      <c r="E56">
        <f>IF($A56="","",COUNTIFS('Таблиця 1'!$B:$B,$A56,'Таблиця 1'!$E:$E,"ППО",'Таблиця 1'!$L:$L,"Уражено"))</f>
        <v/>
      </c>
      <c r="F56">
        <f>IF($A56="","",COUNTIFS('Таблиця 1'!$B:$B,$A56,'Таблиця 1'!$E:$E,"Рембаза",'Таблиця 1'!$L:$L,"Уражено"))</f>
        <v/>
      </c>
      <c r="G56">
        <f>IF($A56="","",COUNTIFS('Таблиця 1'!$B:$B,$A56,'Таблиця 1'!$E:$E,"Склад БК",'Таблиця 1'!$L:$L,"Уражено"))</f>
        <v/>
      </c>
      <c r="H56">
        <f>IF($A56="","",COUNTIFS('Таблиця 1'!$B:$B,$A56,'Таблиця 1'!$E:$E,"Склад ВТМ",'Таблиця 1'!$L:$L,"Уражено"))</f>
        <v/>
      </c>
      <c r="I56">
        <f>IF($A56="","",COUNTIFS('Таблиця 1'!$B:$B,$A56,'Таблиця 1'!$E:$E,"ПУ БпЛА",'Таблиця 1'!$L:$L,"Уражено"))</f>
        <v/>
      </c>
      <c r="J56">
        <f>IF($A56="","",COUNTIFS('Таблиця 1'!$B:$B,$A56,'Таблиця 1'!$E:$E,"СП",'Таблиця 1'!$L:$L,"Уражено"))</f>
        <v/>
      </c>
      <c r="K56">
        <f>IF($A56="","",COUNTIFS('Таблиця 1'!$B:$B,$A56,'Таблиця 1'!$E:$E,"КСП роти",'Таблиця 1'!$L:$L,"Уражено"))</f>
        <v/>
      </c>
      <c r="L56">
        <f>IF($A56="","",COUNTIFS('Таблиця 1'!$B:$B,$A56,'Таблиця 1'!$E:$E,"ПУ бат",'Таблиця 1'!$L:$L,"Уражено"))</f>
        <v/>
      </c>
      <c r="M56">
        <f>IF($A56="","",COUNTIFS('Таблиця 1'!$B:$B,$A56,'Таблиця 1'!$E:$E,"ПУ бриг",'Таблиця 1'!$L:$L,"Уражено"))</f>
        <v/>
      </c>
      <c r="N56">
        <f>IF($A56="","",COUNTIFS('Таблиця 1'!$B:$B,$A56,'Таблиця 1'!$E:$E,"ПУ див",'Таблиця 1'!$L:$L,"Уражено"))</f>
        <v/>
      </c>
      <c r="O56">
        <f>IF($A56="","",COUNTIFS('Таблиця 1'!$B:$B,$A56,'Таблиця 1'!$E:$E,"обл. РЕБ",'Таблиця 1'!$L:$L,"Уражено"))</f>
        <v/>
      </c>
      <c r="P56">
        <f>IF($A56="","",COUNTIFS('Таблиця 1'!$B:$B,$A56,'Таблиця 1'!$E:$E,"пос РЕБ",'Таблиця 1'!$L:$L,"Уражено"))</f>
        <v/>
      </c>
      <c r="Q56">
        <f>IF($A56="","",COUNTIFS('Таблиця 1'!$B:$B,$A56,'Таблиця 1'!$E:$E,"група РЕР",'Таблиця 1'!$L:$L,"Уражено"))</f>
        <v/>
      </c>
      <c r="R56">
        <f>IF($A56="","",COUNTIFS('Таблиця 1'!$B:$B,$A56,'Таблиця 1'!$E:$E,"РЛС КББ",'Таблиця 1'!$L:$L,"Уражено"))</f>
        <v/>
      </c>
      <c r="S56">
        <f>IF($A56="","",COUNTIFS('Таблиця 1'!$B:$B,$A56,'Таблиця 1'!$E:$E,"Ретранслятор",'Таблиця 1'!$L:$L,"Уражено"))</f>
        <v/>
      </c>
      <c r="T56">
        <f>IF($A56="","",COUNTIFS('Таблиця 1'!$B:$B,$A56,'Таблиця 1'!$E:$E,"Вз.зв'язку",'Таблиця 1'!$L:$L,"Уражено"))</f>
        <v/>
      </c>
      <c r="U56">
        <f>IF($A56="","",COUNTIFS('Таблиця 1'!$B:$B,$A56,'Таблиця 1'!$E:$E,"ПММ",'Таблиця 1'!$L:$L,"Уражено"))</f>
        <v/>
      </c>
      <c r="V56">
        <f>IF($A56="","",COUNTIFS('Таблиця 1'!$B:$B,$A56,'Таблиця 1'!$E:$E,"ІФС",'Таблиця 1'!$L:$L,"Уражено"))</f>
        <v/>
      </c>
      <c r="W56">
        <f>IF($A56="","",COUNTIFS('Таблиця 1'!$B:$B,$A56,'Таблиця 1'!$E:$E,"Інфраструктура",'Таблиця 1'!$L:$L,"Уражено"))</f>
        <v/>
      </c>
      <c r="X56">
        <f>IF($A56="","",SUMIFS('Таблиця 1'!$K:$K,'Таблиця 1'!$B:$B,$A56))</f>
        <v/>
      </c>
    </row>
    <row r="57">
      <c r="A57" s="81">
        <f>IF(A56="","",IF(A56+1&gt;MAX('Таблиця 1'!$B:$B),"",A56+1))</f>
        <v/>
      </c>
      <c r="B57">
        <f>IF($A57="","",COUNTIFS('Таблиця 1'!$B:$B,$A57,'Таблиця 1'!$E:$E,"ЖС ВЗ",'Таблиця 1'!$L:$L,"Уражено"))</f>
        <v/>
      </c>
      <c r="C57">
        <f>IF($A57="","",COUNTIFS('Таблиця 1'!$B:$B,$A57,'Таблиця 1'!$E:$E,"Арт. Системи",'Таблиця 1'!$L:$L,"Уражено"))</f>
        <v/>
      </c>
      <c r="D57">
        <f>IF($A57="","",COUNTIFS('Таблиця 1'!$B:$B,$A57,'Таблиця 1'!$E:$E,"ОВТ",'Таблиця 1'!$L:$L,"Уражено"))</f>
        <v/>
      </c>
      <c r="E57">
        <f>IF($A57="","",COUNTIFS('Таблиця 1'!$B:$B,$A57,'Таблиця 1'!$E:$E,"ППО",'Таблиця 1'!$L:$L,"Уражено"))</f>
        <v/>
      </c>
      <c r="F57">
        <f>IF($A57="","",COUNTIFS('Таблиця 1'!$B:$B,$A57,'Таблиця 1'!$E:$E,"Рембаза",'Таблиця 1'!$L:$L,"Уражено"))</f>
        <v/>
      </c>
      <c r="G57">
        <f>IF($A57="","",COUNTIFS('Таблиця 1'!$B:$B,$A57,'Таблиця 1'!$E:$E,"Склад БК",'Таблиця 1'!$L:$L,"Уражено"))</f>
        <v/>
      </c>
      <c r="H57">
        <f>IF($A57="","",COUNTIFS('Таблиця 1'!$B:$B,$A57,'Таблиця 1'!$E:$E,"Склад ВТМ",'Таблиця 1'!$L:$L,"Уражено"))</f>
        <v/>
      </c>
      <c r="I57">
        <f>IF($A57="","",COUNTIFS('Таблиця 1'!$B:$B,$A57,'Таблиця 1'!$E:$E,"ПУ БпЛА",'Таблиця 1'!$L:$L,"Уражено"))</f>
        <v/>
      </c>
      <c r="J57">
        <f>IF($A57="","",COUNTIFS('Таблиця 1'!$B:$B,$A57,'Таблиця 1'!$E:$E,"СП",'Таблиця 1'!$L:$L,"Уражено"))</f>
        <v/>
      </c>
      <c r="K57">
        <f>IF($A57="","",COUNTIFS('Таблиця 1'!$B:$B,$A57,'Таблиця 1'!$E:$E,"КСП роти",'Таблиця 1'!$L:$L,"Уражено"))</f>
        <v/>
      </c>
      <c r="L57">
        <f>IF($A57="","",COUNTIFS('Таблиця 1'!$B:$B,$A57,'Таблиця 1'!$E:$E,"ПУ бат",'Таблиця 1'!$L:$L,"Уражено"))</f>
        <v/>
      </c>
      <c r="M57">
        <f>IF($A57="","",COUNTIFS('Таблиця 1'!$B:$B,$A57,'Таблиця 1'!$E:$E,"ПУ бриг",'Таблиця 1'!$L:$L,"Уражено"))</f>
        <v/>
      </c>
      <c r="N57">
        <f>IF($A57="","",COUNTIFS('Таблиця 1'!$B:$B,$A57,'Таблиця 1'!$E:$E,"ПУ див",'Таблиця 1'!$L:$L,"Уражено"))</f>
        <v/>
      </c>
      <c r="O57">
        <f>IF($A57="","",COUNTIFS('Таблиця 1'!$B:$B,$A57,'Таблиця 1'!$E:$E,"обл. РЕБ",'Таблиця 1'!$L:$L,"Уражено"))</f>
        <v/>
      </c>
      <c r="P57">
        <f>IF($A57="","",COUNTIFS('Таблиця 1'!$B:$B,$A57,'Таблиця 1'!$E:$E,"пос РЕБ",'Таблиця 1'!$L:$L,"Уражено"))</f>
        <v/>
      </c>
      <c r="Q57">
        <f>IF($A57="","",COUNTIFS('Таблиця 1'!$B:$B,$A57,'Таблиця 1'!$E:$E,"група РЕР",'Таблиця 1'!$L:$L,"Уражено"))</f>
        <v/>
      </c>
      <c r="R57">
        <f>IF($A57="","",COUNTIFS('Таблиця 1'!$B:$B,$A57,'Таблиця 1'!$E:$E,"РЛС КББ",'Таблиця 1'!$L:$L,"Уражено"))</f>
        <v/>
      </c>
      <c r="S57">
        <f>IF($A57="","",COUNTIFS('Таблиця 1'!$B:$B,$A57,'Таблиця 1'!$E:$E,"Ретранслятор",'Таблиця 1'!$L:$L,"Уражено"))</f>
        <v/>
      </c>
      <c r="T57">
        <f>IF($A57="","",COUNTIFS('Таблиця 1'!$B:$B,$A57,'Таблиця 1'!$E:$E,"Вз.зв'язку",'Таблиця 1'!$L:$L,"Уражено"))</f>
        <v/>
      </c>
      <c r="U57">
        <f>IF($A57="","",COUNTIFS('Таблиця 1'!$B:$B,$A57,'Таблиця 1'!$E:$E,"ПММ",'Таблиця 1'!$L:$L,"Уражено"))</f>
        <v/>
      </c>
      <c r="V57">
        <f>IF($A57="","",COUNTIFS('Таблиця 1'!$B:$B,$A57,'Таблиця 1'!$E:$E,"ІФС",'Таблиця 1'!$L:$L,"Уражено"))</f>
        <v/>
      </c>
      <c r="W57">
        <f>IF($A57="","",COUNTIFS('Таблиця 1'!$B:$B,$A57,'Таблиця 1'!$E:$E,"Інфраструктура",'Таблиця 1'!$L:$L,"Уражено"))</f>
        <v/>
      </c>
      <c r="X57">
        <f>IF($A57="","",SUMIFS('Таблиця 1'!$K:$K,'Таблиця 1'!$B:$B,$A57))</f>
        <v/>
      </c>
    </row>
    <row r="58">
      <c r="A58" s="81">
        <f>IF(A57="","",IF(A57+1&gt;MAX('Таблиця 1'!$B:$B),"",A57+1))</f>
        <v/>
      </c>
      <c r="B58">
        <f>IF($A58="","",COUNTIFS('Таблиця 1'!$B:$B,$A58,'Таблиця 1'!$E:$E,"ЖС ВЗ",'Таблиця 1'!$L:$L,"Уражено"))</f>
        <v/>
      </c>
      <c r="C58">
        <f>IF($A58="","",COUNTIFS('Таблиця 1'!$B:$B,$A58,'Таблиця 1'!$E:$E,"Арт. Системи",'Таблиця 1'!$L:$L,"Уражено"))</f>
        <v/>
      </c>
      <c r="D58">
        <f>IF($A58="","",COUNTIFS('Таблиця 1'!$B:$B,$A58,'Таблиця 1'!$E:$E,"ОВТ",'Таблиця 1'!$L:$L,"Уражено"))</f>
        <v/>
      </c>
      <c r="E58">
        <f>IF($A58="","",COUNTIFS('Таблиця 1'!$B:$B,$A58,'Таблиця 1'!$E:$E,"ППО",'Таблиця 1'!$L:$L,"Уражено"))</f>
        <v/>
      </c>
      <c r="F58">
        <f>IF($A58="","",COUNTIFS('Таблиця 1'!$B:$B,$A58,'Таблиця 1'!$E:$E,"Рембаза",'Таблиця 1'!$L:$L,"Уражено"))</f>
        <v/>
      </c>
      <c r="G58">
        <f>IF($A58="","",COUNTIFS('Таблиця 1'!$B:$B,$A58,'Таблиця 1'!$E:$E,"Склад БК",'Таблиця 1'!$L:$L,"Уражено"))</f>
        <v/>
      </c>
      <c r="H58">
        <f>IF($A58="","",COUNTIFS('Таблиця 1'!$B:$B,$A58,'Таблиця 1'!$E:$E,"Склад ВТМ",'Таблиця 1'!$L:$L,"Уражено"))</f>
        <v/>
      </c>
      <c r="I58">
        <f>IF($A58="","",COUNTIFS('Таблиця 1'!$B:$B,$A58,'Таблиця 1'!$E:$E,"ПУ БпЛА",'Таблиця 1'!$L:$L,"Уражено"))</f>
        <v/>
      </c>
      <c r="J58">
        <f>IF($A58="","",COUNTIFS('Таблиця 1'!$B:$B,$A58,'Таблиця 1'!$E:$E,"СП",'Таблиця 1'!$L:$L,"Уражено"))</f>
        <v/>
      </c>
      <c r="K58">
        <f>IF($A58="","",COUNTIFS('Таблиця 1'!$B:$B,$A58,'Таблиця 1'!$E:$E,"КСП роти",'Таблиця 1'!$L:$L,"Уражено"))</f>
        <v/>
      </c>
      <c r="L58">
        <f>IF($A58="","",COUNTIFS('Таблиця 1'!$B:$B,$A58,'Таблиця 1'!$E:$E,"ПУ бат",'Таблиця 1'!$L:$L,"Уражено"))</f>
        <v/>
      </c>
      <c r="M58">
        <f>IF($A58="","",COUNTIFS('Таблиця 1'!$B:$B,$A58,'Таблиця 1'!$E:$E,"ПУ бриг",'Таблиця 1'!$L:$L,"Уражено"))</f>
        <v/>
      </c>
      <c r="N58">
        <f>IF($A58="","",COUNTIFS('Таблиця 1'!$B:$B,$A58,'Таблиця 1'!$E:$E,"ПУ див",'Таблиця 1'!$L:$L,"Уражено"))</f>
        <v/>
      </c>
      <c r="O58">
        <f>IF($A58="","",COUNTIFS('Таблиця 1'!$B:$B,$A58,'Таблиця 1'!$E:$E,"обл. РЕБ",'Таблиця 1'!$L:$L,"Уражено"))</f>
        <v/>
      </c>
      <c r="P58">
        <f>IF($A58="","",COUNTIFS('Таблиця 1'!$B:$B,$A58,'Таблиця 1'!$E:$E,"пос РЕБ",'Таблиця 1'!$L:$L,"Уражено"))</f>
        <v/>
      </c>
      <c r="Q58">
        <f>IF($A58="","",COUNTIFS('Таблиця 1'!$B:$B,$A58,'Таблиця 1'!$E:$E,"група РЕР",'Таблиця 1'!$L:$L,"Уражено"))</f>
        <v/>
      </c>
      <c r="R58">
        <f>IF($A58="","",COUNTIFS('Таблиця 1'!$B:$B,$A58,'Таблиця 1'!$E:$E,"РЛС КББ",'Таблиця 1'!$L:$L,"Уражено"))</f>
        <v/>
      </c>
      <c r="S58">
        <f>IF($A58="","",COUNTIFS('Таблиця 1'!$B:$B,$A58,'Таблиця 1'!$E:$E,"Ретранслятор",'Таблиця 1'!$L:$L,"Уражено"))</f>
        <v/>
      </c>
      <c r="T58">
        <f>IF($A58="","",COUNTIFS('Таблиця 1'!$B:$B,$A58,'Таблиця 1'!$E:$E,"Вз.зв'язку",'Таблиця 1'!$L:$L,"Уражено"))</f>
        <v/>
      </c>
      <c r="U58">
        <f>IF($A58="","",COUNTIFS('Таблиця 1'!$B:$B,$A58,'Таблиця 1'!$E:$E,"ПММ",'Таблиця 1'!$L:$L,"Уражено"))</f>
        <v/>
      </c>
      <c r="V58">
        <f>IF($A58="","",COUNTIFS('Таблиця 1'!$B:$B,$A58,'Таблиця 1'!$E:$E,"ІФС",'Таблиця 1'!$L:$L,"Уражено"))</f>
        <v/>
      </c>
      <c r="W58">
        <f>IF($A58="","",COUNTIFS('Таблиця 1'!$B:$B,$A58,'Таблиця 1'!$E:$E,"Інфраструктура",'Таблиця 1'!$L:$L,"Уражено"))</f>
        <v/>
      </c>
      <c r="X58">
        <f>IF($A58="","",SUMIFS('Таблиця 1'!$K:$K,'Таблиця 1'!$B:$B,$A58))</f>
        <v/>
      </c>
    </row>
    <row r="59">
      <c r="A59" s="81">
        <f>IF(A58="","",IF(A58+1&gt;MAX('Таблиця 1'!$B:$B),"",A58+1))</f>
        <v/>
      </c>
      <c r="B59">
        <f>IF($A59="","",COUNTIFS('Таблиця 1'!$B:$B,$A59,'Таблиця 1'!$E:$E,"ЖС ВЗ",'Таблиця 1'!$L:$L,"Уражено"))</f>
        <v/>
      </c>
      <c r="C59">
        <f>IF($A59="","",COUNTIFS('Таблиця 1'!$B:$B,$A59,'Таблиця 1'!$E:$E,"Арт. Системи",'Таблиця 1'!$L:$L,"Уражено"))</f>
        <v/>
      </c>
      <c r="D59">
        <f>IF($A59="","",COUNTIFS('Таблиця 1'!$B:$B,$A59,'Таблиця 1'!$E:$E,"ОВТ",'Таблиця 1'!$L:$L,"Уражено"))</f>
        <v/>
      </c>
      <c r="E59">
        <f>IF($A59="","",COUNTIFS('Таблиця 1'!$B:$B,$A59,'Таблиця 1'!$E:$E,"ППО",'Таблиця 1'!$L:$L,"Уражено"))</f>
        <v/>
      </c>
      <c r="F59">
        <f>IF($A59="","",COUNTIFS('Таблиця 1'!$B:$B,$A59,'Таблиця 1'!$E:$E,"Рембаза",'Таблиця 1'!$L:$L,"Уражено"))</f>
        <v/>
      </c>
      <c r="G59">
        <f>IF($A59="","",COUNTIFS('Таблиця 1'!$B:$B,$A59,'Таблиця 1'!$E:$E,"Склад БК",'Таблиця 1'!$L:$L,"Уражено"))</f>
        <v/>
      </c>
      <c r="H59">
        <f>IF($A59="","",COUNTIFS('Таблиця 1'!$B:$B,$A59,'Таблиця 1'!$E:$E,"Склад ВТМ",'Таблиця 1'!$L:$L,"Уражено"))</f>
        <v/>
      </c>
      <c r="I59">
        <f>IF($A59="","",COUNTIFS('Таблиця 1'!$B:$B,$A59,'Таблиця 1'!$E:$E,"ПУ БпЛА",'Таблиця 1'!$L:$L,"Уражено"))</f>
        <v/>
      </c>
      <c r="J59">
        <f>IF($A59="","",COUNTIFS('Таблиця 1'!$B:$B,$A59,'Таблиця 1'!$E:$E,"СП",'Таблиця 1'!$L:$L,"Уражено"))</f>
        <v/>
      </c>
      <c r="K59">
        <f>IF($A59="","",COUNTIFS('Таблиця 1'!$B:$B,$A59,'Таблиця 1'!$E:$E,"КСП роти",'Таблиця 1'!$L:$L,"Уражено"))</f>
        <v/>
      </c>
      <c r="L59">
        <f>IF($A59="","",COUNTIFS('Таблиця 1'!$B:$B,$A59,'Таблиця 1'!$E:$E,"ПУ бат",'Таблиця 1'!$L:$L,"Уражено"))</f>
        <v/>
      </c>
      <c r="M59">
        <f>IF($A59="","",COUNTIFS('Таблиця 1'!$B:$B,$A59,'Таблиця 1'!$E:$E,"ПУ бриг",'Таблиця 1'!$L:$L,"Уражено"))</f>
        <v/>
      </c>
      <c r="N59">
        <f>IF($A59="","",COUNTIFS('Таблиця 1'!$B:$B,$A59,'Таблиця 1'!$E:$E,"ПУ див",'Таблиця 1'!$L:$L,"Уражено"))</f>
        <v/>
      </c>
      <c r="O59">
        <f>IF($A59="","",COUNTIFS('Таблиця 1'!$B:$B,$A59,'Таблиця 1'!$E:$E,"обл. РЕБ",'Таблиця 1'!$L:$L,"Уражено"))</f>
        <v/>
      </c>
      <c r="P59">
        <f>IF($A59="","",COUNTIFS('Таблиця 1'!$B:$B,$A59,'Таблиця 1'!$E:$E,"пос РЕБ",'Таблиця 1'!$L:$L,"Уражено"))</f>
        <v/>
      </c>
      <c r="Q59">
        <f>IF($A59="","",COUNTIFS('Таблиця 1'!$B:$B,$A59,'Таблиця 1'!$E:$E,"група РЕР",'Таблиця 1'!$L:$L,"Уражено"))</f>
        <v/>
      </c>
      <c r="R59">
        <f>IF($A59="","",COUNTIFS('Таблиця 1'!$B:$B,$A59,'Таблиця 1'!$E:$E,"РЛС КББ",'Таблиця 1'!$L:$L,"Уражено"))</f>
        <v/>
      </c>
      <c r="S59">
        <f>IF($A59="","",COUNTIFS('Таблиця 1'!$B:$B,$A59,'Таблиця 1'!$E:$E,"Ретранслятор",'Таблиця 1'!$L:$L,"Уражено"))</f>
        <v/>
      </c>
      <c r="T59">
        <f>IF($A59="","",COUNTIFS('Таблиця 1'!$B:$B,$A59,'Таблиця 1'!$E:$E,"Вз.зв'язку",'Таблиця 1'!$L:$L,"Уражено"))</f>
        <v/>
      </c>
      <c r="U59">
        <f>IF($A59="","",COUNTIFS('Таблиця 1'!$B:$B,$A59,'Таблиця 1'!$E:$E,"ПММ",'Таблиця 1'!$L:$L,"Уражено"))</f>
        <v/>
      </c>
      <c r="V59">
        <f>IF($A59="","",COUNTIFS('Таблиця 1'!$B:$B,$A59,'Таблиця 1'!$E:$E,"ІФС",'Таблиця 1'!$L:$L,"Уражено"))</f>
        <v/>
      </c>
      <c r="W59">
        <f>IF($A59="","",COUNTIFS('Таблиця 1'!$B:$B,$A59,'Таблиця 1'!$E:$E,"Інфраструктура",'Таблиця 1'!$L:$L,"Уражено"))</f>
        <v/>
      </c>
      <c r="X59">
        <f>IF($A59="","",SUMIFS('Таблиця 1'!$K:$K,'Таблиця 1'!$B:$B,$A59))</f>
        <v/>
      </c>
    </row>
    <row r="60">
      <c r="A60" s="81">
        <f>IF(A59="","",IF(A59+1&gt;MAX('Таблиця 1'!$B:$B),"",A59+1))</f>
        <v/>
      </c>
      <c r="B60">
        <f>IF($A60="","",COUNTIFS('Таблиця 1'!$B:$B,$A60,'Таблиця 1'!$E:$E,"ЖС ВЗ",'Таблиця 1'!$L:$L,"Уражено"))</f>
        <v/>
      </c>
      <c r="C60">
        <f>IF($A60="","",COUNTIFS('Таблиця 1'!$B:$B,$A60,'Таблиця 1'!$E:$E,"Арт. Системи",'Таблиця 1'!$L:$L,"Уражено"))</f>
        <v/>
      </c>
      <c r="D60">
        <f>IF($A60="","",COUNTIFS('Таблиця 1'!$B:$B,$A60,'Таблиця 1'!$E:$E,"ОВТ",'Таблиця 1'!$L:$L,"Уражено"))</f>
        <v/>
      </c>
      <c r="E60">
        <f>IF($A60="","",COUNTIFS('Таблиця 1'!$B:$B,$A60,'Таблиця 1'!$E:$E,"ППО",'Таблиця 1'!$L:$L,"Уражено"))</f>
        <v/>
      </c>
      <c r="F60">
        <f>IF($A60="","",COUNTIFS('Таблиця 1'!$B:$B,$A60,'Таблиця 1'!$E:$E,"Рембаза",'Таблиця 1'!$L:$L,"Уражено"))</f>
        <v/>
      </c>
      <c r="G60">
        <f>IF($A60="","",COUNTIFS('Таблиця 1'!$B:$B,$A60,'Таблиця 1'!$E:$E,"Склад БК",'Таблиця 1'!$L:$L,"Уражено"))</f>
        <v/>
      </c>
      <c r="H60">
        <f>IF($A60="","",COUNTIFS('Таблиця 1'!$B:$B,$A60,'Таблиця 1'!$E:$E,"Склад ВТМ",'Таблиця 1'!$L:$L,"Уражено"))</f>
        <v/>
      </c>
      <c r="I60">
        <f>IF($A60="","",COUNTIFS('Таблиця 1'!$B:$B,$A60,'Таблиця 1'!$E:$E,"ПУ БпЛА",'Таблиця 1'!$L:$L,"Уражено"))</f>
        <v/>
      </c>
      <c r="J60">
        <f>IF($A60="","",COUNTIFS('Таблиця 1'!$B:$B,$A60,'Таблиця 1'!$E:$E,"СП",'Таблиця 1'!$L:$L,"Уражено"))</f>
        <v/>
      </c>
      <c r="K60">
        <f>IF($A60="","",COUNTIFS('Таблиця 1'!$B:$B,$A60,'Таблиця 1'!$E:$E,"КСП роти",'Таблиця 1'!$L:$L,"Уражено"))</f>
        <v/>
      </c>
      <c r="L60">
        <f>IF($A60="","",COUNTIFS('Таблиця 1'!$B:$B,$A60,'Таблиця 1'!$E:$E,"ПУ бат",'Таблиця 1'!$L:$L,"Уражено"))</f>
        <v/>
      </c>
      <c r="M60">
        <f>IF($A60="","",COUNTIFS('Таблиця 1'!$B:$B,$A60,'Таблиця 1'!$E:$E,"ПУ бриг",'Таблиця 1'!$L:$L,"Уражено"))</f>
        <v/>
      </c>
      <c r="N60">
        <f>IF($A60="","",COUNTIFS('Таблиця 1'!$B:$B,$A60,'Таблиця 1'!$E:$E,"ПУ див",'Таблиця 1'!$L:$L,"Уражено"))</f>
        <v/>
      </c>
      <c r="O60">
        <f>IF($A60="","",COUNTIFS('Таблиця 1'!$B:$B,$A60,'Таблиця 1'!$E:$E,"обл. РЕБ",'Таблиця 1'!$L:$L,"Уражено"))</f>
        <v/>
      </c>
      <c r="P60">
        <f>IF($A60="","",COUNTIFS('Таблиця 1'!$B:$B,$A60,'Таблиця 1'!$E:$E,"пос РЕБ",'Таблиця 1'!$L:$L,"Уражено"))</f>
        <v/>
      </c>
      <c r="Q60">
        <f>IF($A60="","",COUNTIFS('Таблиця 1'!$B:$B,$A60,'Таблиця 1'!$E:$E,"група РЕР",'Таблиця 1'!$L:$L,"Уражено"))</f>
        <v/>
      </c>
      <c r="R60">
        <f>IF($A60="","",COUNTIFS('Таблиця 1'!$B:$B,$A60,'Таблиця 1'!$E:$E,"РЛС КББ",'Таблиця 1'!$L:$L,"Уражено"))</f>
        <v/>
      </c>
      <c r="S60">
        <f>IF($A60="","",COUNTIFS('Таблиця 1'!$B:$B,$A60,'Таблиця 1'!$E:$E,"Ретранслятор",'Таблиця 1'!$L:$L,"Уражено"))</f>
        <v/>
      </c>
      <c r="T60">
        <f>IF($A60="","",COUNTIFS('Таблиця 1'!$B:$B,$A60,'Таблиця 1'!$E:$E,"Вз.зв'язку",'Таблиця 1'!$L:$L,"Уражено"))</f>
        <v/>
      </c>
      <c r="U60">
        <f>IF($A60="","",COUNTIFS('Таблиця 1'!$B:$B,$A60,'Таблиця 1'!$E:$E,"ПММ",'Таблиця 1'!$L:$L,"Уражено"))</f>
        <v/>
      </c>
      <c r="V60">
        <f>IF($A60="","",COUNTIFS('Таблиця 1'!$B:$B,$A60,'Таблиця 1'!$E:$E,"ІФС",'Таблиця 1'!$L:$L,"Уражено"))</f>
        <v/>
      </c>
      <c r="W60">
        <f>IF($A60="","",COUNTIFS('Таблиця 1'!$B:$B,$A60,'Таблиця 1'!$E:$E,"Інфраструктура",'Таблиця 1'!$L:$L,"Уражено"))</f>
        <v/>
      </c>
      <c r="X60">
        <f>IF($A60="","",SUMIFS('Таблиця 1'!$K:$K,'Таблиця 1'!$B:$B,$A60))</f>
        <v/>
      </c>
    </row>
    <row r="61">
      <c r="A61" s="81">
        <f>IF(A60="","",IF(A60+1&gt;MAX('Таблиця 1'!$B:$B),"",A60+1))</f>
        <v/>
      </c>
      <c r="B61">
        <f>IF($A61="","",COUNTIFS('Таблиця 1'!$B:$B,$A61,'Таблиця 1'!$E:$E,"ЖС ВЗ",'Таблиця 1'!$L:$L,"Уражено"))</f>
        <v/>
      </c>
      <c r="C61">
        <f>IF($A61="","",COUNTIFS('Таблиця 1'!$B:$B,$A61,'Таблиця 1'!$E:$E,"Арт. Системи",'Таблиця 1'!$L:$L,"Уражено"))</f>
        <v/>
      </c>
      <c r="D61">
        <f>IF($A61="","",COUNTIFS('Таблиця 1'!$B:$B,$A61,'Таблиця 1'!$E:$E,"ОВТ",'Таблиця 1'!$L:$L,"Уражено"))</f>
        <v/>
      </c>
      <c r="E61">
        <f>IF($A61="","",COUNTIFS('Таблиця 1'!$B:$B,$A61,'Таблиця 1'!$E:$E,"ППО",'Таблиця 1'!$L:$L,"Уражено"))</f>
        <v/>
      </c>
      <c r="F61">
        <f>IF($A61="","",COUNTIFS('Таблиця 1'!$B:$B,$A61,'Таблиця 1'!$E:$E,"Рембаза",'Таблиця 1'!$L:$L,"Уражено"))</f>
        <v/>
      </c>
      <c r="G61">
        <f>IF($A61="","",COUNTIFS('Таблиця 1'!$B:$B,$A61,'Таблиця 1'!$E:$E,"Склад БК",'Таблиця 1'!$L:$L,"Уражено"))</f>
        <v/>
      </c>
      <c r="H61">
        <f>IF($A61="","",COUNTIFS('Таблиця 1'!$B:$B,$A61,'Таблиця 1'!$E:$E,"Склад ВТМ",'Таблиця 1'!$L:$L,"Уражено"))</f>
        <v/>
      </c>
      <c r="I61">
        <f>IF($A61="","",COUNTIFS('Таблиця 1'!$B:$B,$A61,'Таблиця 1'!$E:$E,"ПУ БпЛА",'Таблиця 1'!$L:$L,"Уражено"))</f>
        <v/>
      </c>
      <c r="J61">
        <f>IF($A61="","",COUNTIFS('Таблиця 1'!$B:$B,$A61,'Таблиця 1'!$E:$E,"СП",'Таблиця 1'!$L:$L,"Уражено"))</f>
        <v/>
      </c>
      <c r="K61">
        <f>IF($A61="","",COUNTIFS('Таблиця 1'!$B:$B,$A61,'Таблиця 1'!$E:$E,"КСП роти",'Таблиця 1'!$L:$L,"Уражено"))</f>
        <v/>
      </c>
      <c r="L61">
        <f>IF($A61="","",COUNTIFS('Таблиця 1'!$B:$B,$A61,'Таблиця 1'!$E:$E,"ПУ бат",'Таблиця 1'!$L:$L,"Уражено"))</f>
        <v/>
      </c>
      <c r="M61">
        <f>IF($A61="","",COUNTIFS('Таблиця 1'!$B:$B,$A61,'Таблиця 1'!$E:$E,"ПУ бриг",'Таблиця 1'!$L:$L,"Уражено"))</f>
        <v/>
      </c>
      <c r="N61">
        <f>IF($A61="","",COUNTIFS('Таблиця 1'!$B:$B,$A61,'Таблиця 1'!$E:$E,"ПУ див",'Таблиця 1'!$L:$L,"Уражено"))</f>
        <v/>
      </c>
      <c r="O61">
        <f>IF($A61="","",COUNTIFS('Таблиця 1'!$B:$B,$A61,'Таблиця 1'!$E:$E,"обл. РЕБ",'Таблиця 1'!$L:$L,"Уражено"))</f>
        <v/>
      </c>
      <c r="P61">
        <f>IF($A61="","",COUNTIFS('Таблиця 1'!$B:$B,$A61,'Таблиця 1'!$E:$E,"пос РЕБ",'Таблиця 1'!$L:$L,"Уражено"))</f>
        <v/>
      </c>
      <c r="Q61">
        <f>IF($A61="","",COUNTIFS('Таблиця 1'!$B:$B,$A61,'Таблиця 1'!$E:$E,"група РЕР",'Таблиця 1'!$L:$L,"Уражено"))</f>
        <v/>
      </c>
      <c r="R61">
        <f>IF($A61="","",COUNTIFS('Таблиця 1'!$B:$B,$A61,'Таблиця 1'!$E:$E,"РЛС КББ",'Таблиця 1'!$L:$L,"Уражено"))</f>
        <v/>
      </c>
      <c r="S61">
        <f>IF($A61="","",COUNTIFS('Таблиця 1'!$B:$B,$A61,'Таблиця 1'!$E:$E,"Ретранслятор",'Таблиця 1'!$L:$L,"Уражено"))</f>
        <v/>
      </c>
      <c r="T61">
        <f>IF($A61="","",COUNTIFS('Таблиця 1'!$B:$B,$A61,'Таблиця 1'!$E:$E,"Вз.зв'язку",'Таблиця 1'!$L:$L,"Уражено"))</f>
        <v/>
      </c>
      <c r="U61">
        <f>IF($A61="","",COUNTIFS('Таблиця 1'!$B:$B,$A61,'Таблиця 1'!$E:$E,"ПММ",'Таблиця 1'!$L:$L,"Уражено"))</f>
        <v/>
      </c>
      <c r="V61">
        <f>IF($A61="","",COUNTIFS('Таблиця 1'!$B:$B,$A61,'Таблиця 1'!$E:$E,"ІФС",'Таблиця 1'!$L:$L,"Уражено"))</f>
        <v/>
      </c>
      <c r="W61">
        <f>IF($A61="","",COUNTIFS('Таблиця 1'!$B:$B,$A61,'Таблиця 1'!$E:$E,"Інфраструктура",'Таблиця 1'!$L:$L,"Уражено"))</f>
        <v/>
      </c>
      <c r="X61">
        <f>IF($A61="","",SUMIFS('Таблиця 1'!$K:$K,'Таблиця 1'!$B:$B,$A61))</f>
        <v/>
      </c>
    </row>
    <row r="62">
      <c r="A62" s="81">
        <f>IF(A61="","",IF(A61+1&gt;MAX('Таблиця 1'!$B:$B),"",A61+1))</f>
        <v/>
      </c>
      <c r="B62">
        <f>IF($A62="","",COUNTIFS('Таблиця 1'!$B:$B,$A62,'Таблиця 1'!$E:$E,"ЖС ВЗ",'Таблиця 1'!$L:$L,"Уражено"))</f>
        <v/>
      </c>
      <c r="C62">
        <f>IF($A62="","",COUNTIFS('Таблиця 1'!$B:$B,$A62,'Таблиця 1'!$E:$E,"Арт. Системи",'Таблиця 1'!$L:$L,"Уражено"))</f>
        <v/>
      </c>
      <c r="D62">
        <f>IF($A62="","",COUNTIFS('Таблиця 1'!$B:$B,$A62,'Таблиця 1'!$E:$E,"ОВТ",'Таблиця 1'!$L:$L,"Уражено"))</f>
        <v/>
      </c>
      <c r="E62">
        <f>IF($A62="","",COUNTIFS('Таблиця 1'!$B:$B,$A62,'Таблиця 1'!$E:$E,"ППО",'Таблиця 1'!$L:$L,"Уражено"))</f>
        <v/>
      </c>
      <c r="F62">
        <f>IF($A62="","",COUNTIFS('Таблиця 1'!$B:$B,$A62,'Таблиця 1'!$E:$E,"Рембаза",'Таблиця 1'!$L:$L,"Уражено"))</f>
        <v/>
      </c>
      <c r="G62">
        <f>IF($A62="","",COUNTIFS('Таблиця 1'!$B:$B,$A62,'Таблиця 1'!$E:$E,"Склад БК",'Таблиця 1'!$L:$L,"Уражено"))</f>
        <v/>
      </c>
      <c r="H62">
        <f>IF($A62="","",COUNTIFS('Таблиця 1'!$B:$B,$A62,'Таблиця 1'!$E:$E,"Склад ВТМ",'Таблиця 1'!$L:$L,"Уражено"))</f>
        <v/>
      </c>
      <c r="I62">
        <f>IF($A62="","",COUNTIFS('Таблиця 1'!$B:$B,$A62,'Таблиця 1'!$E:$E,"ПУ БпЛА",'Таблиця 1'!$L:$L,"Уражено"))</f>
        <v/>
      </c>
      <c r="J62">
        <f>IF($A62="","",COUNTIFS('Таблиця 1'!$B:$B,$A62,'Таблиця 1'!$E:$E,"СП",'Таблиця 1'!$L:$L,"Уражено"))</f>
        <v/>
      </c>
      <c r="K62">
        <f>IF($A62="","",COUNTIFS('Таблиця 1'!$B:$B,$A62,'Таблиця 1'!$E:$E,"КСП роти",'Таблиця 1'!$L:$L,"Уражено"))</f>
        <v/>
      </c>
      <c r="L62">
        <f>IF($A62="","",COUNTIFS('Таблиця 1'!$B:$B,$A62,'Таблиця 1'!$E:$E,"ПУ бат",'Таблиця 1'!$L:$L,"Уражено"))</f>
        <v/>
      </c>
      <c r="M62">
        <f>IF($A62="","",COUNTIFS('Таблиця 1'!$B:$B,$A62,'Таблиця 1'!$E:$E,"ПУ бриг",'Таблиця 1'!$L:$L,"Уражено"))</f>
        <v/>
      </c>
      <c r="N62">
        <f>IF($A62="","",COUNTIFS('Таблиця 1'!$B:$B,$A62,'Таблиця 1'!$E:$E,"ПУ див",'Таблиця 1'!$L:$L,"Уражено"))</f>
        <v/>
      </c>
      <c r="O62">
        <f>IF($A62="","",COUNTIFS('Таблиця 1'!$B:$B,$A62,'Таблиця 1'!$E:$E,"обл. РЕБ",'Таблиця 1'!$L:$L,"Уражено"))</f>
        <v/>
      </c>
      <c r="P62">
        <f>IF($A62="","",COUNTIFS('Таблиця 1'!$B:$B,$A62,'Таблиця 1'!$E:$E,"пос РЕБ",'Таблиця 1'!$L:$L,"Уражено"))</f>
        <v/>
      </c>
      <c r="Q62">
        <f>IF($A62="","",COUNTIFS('Таблиця 1'!$B:$B,$A62,'Таблиця 1'!$E:$E,"група РЕР",'Таблиця 1'!$L:$L,"Уражено"))</f>
        <v/>
      </c>
      <c r="R62">
        <f>IF($A62="","",COUNTIFS('Таблиця 1'!$B:$B,$A62,'Таблиця 1'!$E:$E,"РЛС КББ",'Таблиця 1'!$L:$L,"Уражено"))</f>
        <v/>
      </c>
      <c r="S62">
        <f>IF($A62="","",COUNTIFS('Таблиця 1'!$B:$B,$A62,'Таблиця 1'!$E:$E,"Ретранслятор",'Таблиця 1'!$L:$L,"Уражено"))</f>
        <v/>
      </c>
      <c r="T62">
        <f>IF($A62="","",COUNTIFS('Таблиця 1'!$B:$B,$A62,'Таблиця 1'!$E:$E,"Вз.зв'язку",'Таблиця 1'!$L:$L,"Уражено"))</f>
        <v/>
      </c>
      <c r="U62">
        <f>IF($A62="","",COUNTIFS('Таблиця 1'!$B:$B,$A62,'Таблиця 1'!$E:$E,"ПММ",'Таблиця 1'!$L:$L,"Уражено"))</f>
        <v/>
      </c>
      <c r="V62">
        <f>IF($A62="","",COUNTIFS('Таблиця 1'!$B:$B,$A62,'Таблиця 1'!$E:$E,"ІФС",'Таблиця 1'!$L:$L,"Уражено"))</f>
        <v/>
      </c>
      <c r="W62">
        <f>IF($A62="","",COUNTIFS('Таблиця 1'!$B:$B,$A62,'Таблиця 1'!$E:$E,"Інфраструктура",'Таблиця 1'!$L:$L,"Уражено"))</f>
        <v/>
      </c>
      <c r="X62">
        <f>IF($A62="","",SUMIFS('Таблиця 1'!$K:$K,'Таблиця 1'!$B:$B,$A62))</f>
        <v/>
      </c>
    </row>
    <row r="63">
      <c r="A63" s="81">
        <f>IF(A62="","",IF(A62+1&gt;MAX('Таблиця 1'!$B:$B),"",A62+1))</f>
        <v/>
      </c>
      <c r="B63">
        <f>IF($A63="","",COUNTIFS('Таблиця 1'!$B:$B,$A63,'Таблиця 1'!$E:$E,"ЖС ВЗ",'Таблиця 1'!$L:$L,"Уражено"))</f>
        <v/>
      </c>
      <c r="C63">
        <f>IF($A63="","",COUNTIFS('Таблиця 1'!$B:$B,$A63,'Таблиця 1'!$E:$E,"Арт. Системи",'Таблиця 1'!$L:$L,"Уражено"))</f>
        <v/>
      </c>
      <c r="D63">
        <f>IF($A63="","",COUNTIFS('Таблиця 1'!$B:$B,$A63,'Таблиця 1'!$E:$E,"ОВТ",'Таблиця 1'!$L:$L,"Уражено"))</f>
        <v/>
      </c>
      <c r="E63">
        <f>IF($A63="","",COUNTIFS('Таблиця 1'!$B:$B,$A63,'Таблиця 1'!$E:$E,"ППО",'Таблиця 1'!$L:$L,"Уражено"))</f>
        <v/>
      </c>
      <c r="F63">
        <f>IF($A63="","",COUNTIFS('Таблиця 1'!$B:$B,$A63,'Таблиця 1'!$E:$E,"Рембаза",'Таблиця 1'!$L:$L,"Уражено"))</f>
        <v/>
      </c>
      <c r="G63">
        <f>IF($A63="","",COUNTIFS('Таблиця 1'!$B:$B,$A63,'Таблиця 1'!$E:$E,"Склад БК",'Таблиця 1'!$L:$L,"Уражено"))</f>
        <v/>
      </c>
      <c r="H63">
        <f>IF($A63="","",COUNTIFS('Таблиця 1'!$B:$B,$A63,'Таблиця 1'!$E:$E,"Склад ВТМ",'Таблиця 1'!$L:$L,"Уражено"))</f>
        <v/>
      </c>
      <c r="I63">
        <f>IF($A63="","",COUNTIFS('Таблиця 1'!$B:$B,$A63,'Таблиця 1'!$E:$E,"ПУ БпЛА",'Таблиця 1'!$L:$L,"Уражено"))</f>
        <v/>
      </c>
      <c r="J63">
        <f>IF($A63="","",COUNTIFS('Таблиця 1'!$B:$B,$A63,'Таблиця 1'!$E:$E,"СП",'Таблиця 1'!$L:$L,"Уражено"))</f>
        <v/>
      </c>
      <c r="K63">
        <f>IF($A63="","",COUNTIFS('Таблиця 1'!$B:$B,$A63,'Таблиця 1'!$E:$E,"КСП роти",'Таблиця 1'!$L:$L,"Уражено"))</f>
        <v/>
      </c>
      <c r="L63">
        <f>IF($A63="","",COUNTIFS('Таблиця 1'!$B:$B,$A63,'Таблиця 1'!$E:$E,"ПУ бат",'Таблиця 1'!$L:$L,"Уражено"))</f>
        <v/>
      </c>
      <c r="M63">
        <f>IF($A63="","",COUNTIFS('Таблиця 1'!$B:$B,$A63,'Таблиця 1'!$E:$E,"ПУ бриг",'Таблиця 1'!$L:$L,"Уражено"))</f>
        <v/>
      </c>
      <c r="N63">
        <f>IF($A63="","",COUNTIFS('Таблиця 1'!$B:$B,$A63,'Таблиця 1'!$E:$E,"ПУ див",'Таблиця 1'!$L:$L,"Уражено"))</f>
        <v/>
      </c>
      <c r="O63">
        <f>IF($A63="","",COUNTIFS('Таблиця 1'!$B:$B,$A63,'Таблиця 1'!$E:$E,"обл. РЕБ",'Таблиця 1'!$L:$L,"Уражено"))</f>
        <v/>
      </c>
      <c r="P63">
        <f>IF($A63="","",COUNTIFS('Таблиця 1'!$B:$B,$A63,'Таблиця 1'!$E:$E,"пос РЕБ",'Таблиця 1'!$L:$L,"Уражено"))</f>
        <v/>
      </c>
      <c r="Q63">
        <f>IF($A63="","",COUNTIFS('Таблиця 1'!$B:$B,$A63,'Таблиця 1'!$E:$E,"група РЕР",'Таблиця 1'!$L:$L,"Уражено"))</f>
        <v/>
      </c>
      <c r="R63">
        <f>IF($A63="","",COUNTIFS('Таблиця 1'!$B:$B,$A63,'Таблиця 1'!$E:$E,"РЛС КББ",'Таблиця 1'!$L:$L,"Уражено"))</f>
        <v/>
      </c>
      <c r="S63">
        <f>IF($A63="","",COUNTIFS('Таблиця 1'!$B:$B,$A63,'Таблиця 1'!$E:$E,"Ретранслятор",'Таблиця 1'!$L:$L,"Уражено"))</f>
        <v/>
      </c>
      <c r="T63">
        <f>IF($A63="","",COUNTIFS('Таблиця 1'!$B:$B,$A63,'Таблиця 1'!$E:$E,"Вз.зв'язку",'Таблиця 1'!$L:$L,"Уражено"))</f>
        <v/>
      </c>
      <c r="U63">
        <f>IF($A63="","",COUNTIFS('Таблиця 1'!$B:$B,$A63,'Таблиця 1'!$E:$E,"ПММ",'Таблиця 1'!$L:$L,"Уражено"))</f>
        <v/>
      </c>
      <c r="V63">
        <f>IF($A63="","",COUNTIFS('Таблиця 1'!$B:$B,$A63,'Таблиця 1'!$E:$E,"ІФС",'Таблиця 1'!$L:$L,"Уражено"))</f>
        <v/>
      </c>
      <c r="W63">
        <f>IF($A63="","",COUNTIFS('Таблиця 1'!$B:$B,$A63,'Таблиця 1'!$E:$E,"Інфраструктура",'Таблиця 1'!$L:$L,"Уражено"))</f>
        <v/>
      </c>
      <c r="X63">
        <f>IF($A63="","",SUMIFS('Таблиця 1'!$K:$K,'Таблиця 1'!$B:$B,$A63))</f>
        <v/>
      </c>
    </row>
    <row r="64">
      <c r="A64" s="81">
        <f>IF(A63="","",IF(A63+1&gt;MAX('Таблиця 1'!$B:$B),"",A63+1))</f>
        <v/>
      </c>
      <c r="B64">
        <f>IF($A64="","",COUNTIFS('Таблиця 1'!$B:$B,$A64,'Таблиця 1'!$E:$E,"ЖС ВЗ",'Таблиця 1'!$L:$L,"Уражено"))</f>
        <v/>
      </c>
      <c r="C64">
        <f>IF($A64="","",COUNTIFS('Таблиця 1'!$B:$B,$A64,'Таблиця 1'!$E:$E,"Арт. Системи",'Таблиця 1'!$L:$L,"Уражено"))</f>
        <v/>
      </c>
      <c r="D64">
        <f>IF($A64="","",COUNTIFS('Таблиця 1'!$B:$B,$A64,'Таблиця 1'!$E:$E,"ОВТ",'Таблиця 1'!$L:$L,"Уражено"))</f>
        <v/>
      </c>
      <c r="E64">
        <f>IF($A64="","",COUNTIFS('Таблиця 1'!$B:$B,$A64,'Таблиця 1'!$E:$E,"ППО",'Таблиця 1'!$L:$L,"Уражено"))</f>
        <v/>
      </c>
      <c r="F64">
        <f>IF($A64="","",COUNTIFS('Таблиця 1'!$B:$B,$A64,'Таблиця 1'!$E:$E,"Рембаза",'Таблиця 1'!$L:$L,"Уражено"))</f>
        <v/>
      </c>
      <c r="G64">
        <f>IF($A64="","",COUNTIFS('Таблиця 1'!$B:$B,$A64,'Таблиця 1'!$E:$E,"Склад БК",'Таблиця 1'!$L:$L,"Уражено"))</f>
        <v/>
      </c>
      <c r="H64">
        <f>IF($A64="","",COUNTIFS('Таблиця 1'!$B:$B,$A64,'Таблиця 1'!$E:$E,"Склад ВТМ",'Таблиця 1'!$L:$L,"Уражено"))</f>
        <v/>
      </c>
      <c r="I64">
        <f>IF($A64="","",COUNTIFS('Таблиця 1'!$B:$B,$A64,'Таблиця 1'!$E:$E,"ПУ БпЛА",'Таблиця 1'!$L:$L,"Уражено"))</f>
        <v/>
      </c>
      <c r="J64">
        <f>IF($A64="","",COUNTIFS('Таблиця 1'!$B:$B,$A64,'Таблиця 1'!$E:$E,"СП",'Таблиця 1'!$L:$L,"Уражено"))</f>
        <v/>
      </c>
      <c r="K64">
        <f>IF($A64="","",COUNTIFS('Таблиця 1'!$B:$B,$A64,'Таблиця 1'!$E:$E,"КСП роти",'Таблиця 1'!$L:$L,"Уражено"))</f>
        <v/>
      </c>
      <c r="L64">
        <f>IF($A64="","",COUNTIFS('Таблиця 1'!$B:$B,$A64,'Таблиця 1'!$E:$E,"ПУ бат",'Таблиця 1'!$L:$L,"Уражено"))</f>
        <v/>
      </c>
      <c r="M64">
        <f>IF($A64="","",COUNTIFS('Таблиця 1'!$B:$B,$A64,'Таблиця 1'!$E:$E,"ПУ бриг",'Таблиця 1'!$L:$L,"Уражено"))</f>
        <v/>
      </c>
      <c r="N64">
        <f>IF($A64="","",COUNTIFS('Таблиця 1'!$B:$B,$A64,'Таблиця 1'!$E:$E,"ПУ див",'Таблиця 1'!$L:$L,"Уражено"))</f>
        <v/>
      </c>
      <c r="O64">
        <f>IF($A64="","",COUNTIFS('Таблиця 1'!$B:$B,$A64,'Таблиця 1'!$E:$E,"обл. РЕБ",'Таблиця 1'!$L:$L,"Уражено"))</f>
        <v/>
      </c>
      <c r="P64">
        <f>IF($A64="","",COUNTIFS('Таблиця 1'!$B:$B,$A64,'Таблиця 1'!$E:$E,"пос РЕБ",'Таблиця 1'!$L:$L,"Уражено"))</f>
        <v/>
      </c>
      <c r="Q64">
        <f>IF($A64="","",COUNTIFS('Таблиця 1'!$B:$B,$A64,'Таблиця 1'!$E:$E,"група РЕР",'Таблиця 1'!$L:$L,"Уражено"))</f>
        <v/>
      </c>
      <c r="R64">
        <f>IF($A64="","",COUNTIFS('Таблиця 1'!$B:$B,$A64,'Таблиця 1'!$E:$E,"РЛС КББ",'Таблиця 1'!$L:$L,"Уражено"))</f>
        <v/>
      </c>
      <c r="S64">
        <f>IF($A64="","",COUNTIFS('Таблиця 1'!$B:$B,$A64,'Таблиця 1'!$E:$E,"Ретранслятор",'Таблиця 1'!$L:$L,"Уражено"))</f>
        <v/>
      </c>
      <c r="T64">
        <f>IF($A64="","",COUNTIFS('Таблиця 1'!$B:$B,$A64,'Таблиця 1'!$E:$E,"Вз.зв'язку",'Таблиця 1'!$L:$L,"Уражено"))</f>
        <v/>
      </c>
      <c r="U64">
        <f>IF($A64="","",COUNTIFS('Таблиця 1'!$B:$B,$A64,'Таблиця 1'!$E:$E,"ПММ",'Таблиця 1'!$L:$L,"Уражено"))</f>
        <v/>
      </c>
      <c r="V64">
        <f>IF($A64="","",COUNTIFS('Таблиця 1'!$B:$B,$A64,'Таблиця 1'!$E:$E,"ІФС",'Таблиця 1'!$L:$L,"Уражено"))</f>
        <v/>
      </c>
      <c r="W64">
        <f>IF($A64="","",COUNTIFS('Таблиця 1'!$B:$B,$A64,'Таблиця 1'!$E:$E,"Інфраструктура",'Таблиця 1'!$L:$L,"Уражено"))</f>
        <v/>
      </c>
      <c r="X64">
        <f>IF($A64="","",SUMIFS('Таблиця 1'!$K:$K,'Таблиця 1'!$B:$B,$A64))</f>
        <v/>
      </c>
    </row>
    <row r="65">
      <c r="A65" s="81">
        <f>IF(A64="","",IF(A64+1&gt;MAX('Таблиця 1'!$B:$B),"",A64+1))</f>
        <v/>
      </c>
      <c r="B65">
        <f>IF($A65="","",COUNTIFS('Таблиця 1'!$B:$B,$A65,'Таблиця 1'!$E:$E,"ЖС ВЗ",'Таблиця 1'!$L:$L,"Уражено"))</f>
        <v/>
      </c>
      <c r="C65">
        <f>IF($A65="","",COUNTIFS('Таблиця 1'!$B:$B,$A65,'Таблиця 1'!$E:$E,"Арт. Системи",'Таблиця 1'!$L:$L,"Уражено"))</f>
        <v/>
      </c>
      <c r="D65">
        <f>IF($A65="","",COUNTIFS('Таблиця 1'!$B:$B,$A65,'Таблиця 1'!$E:$E,"ОВТ",'Таблиця 1'!$L:$L,"Уражено"))</f>
        <v/>
      </c>
      <c r="E65">
        <f>IF($A65="","",COUNTIFS('Таблиця 1'!$B:$B,$A65,'Таблиця 1'!$E:$E,"ППО",'Таблиця 1'!$L:$L,"Уражено"))</f>
        <v/>
      </c>
      <c r="F65">
        <f>IF($A65="","",COUNTIFS('Таблиця 1'!$B:$B,$A65,'Таблиця 1'!$E:$E,"Рембаза",'Таблиця 1'!$L:$L,"Уражено"))</f>
        <v/>
      </c>
      <c r="G65">
        <f>IF($A65="","",COUNTIFS('Таблиця 1'!$B:$B,$A65,'Таблиця 1'!$E:$E,"Склад БК",'Таблиця 1'!$L:$L,"Уражено"))</f>
        <v/>
      </c>
      <c r="H65">
        <f>IF($A65="","",COUNTIFS('Таблиця 1'!$B:$B,$A65,'Таблиця 1'!$E:$E,"Склад ВТМ",'Таблиця 1'!$L:$L,"Уражено"))</f>
        <v/>
      </c>
      <c r="I65">
        <f>IF($A65="","",COUNTIFS('Таблиця 1'!$B:$B,$A65,'Таблиця 1'!$E:$E,"ПУ БпЛА",'Таблиця 1'!$L:$L,"Уражено"))</f>
        <v/>
      </c>
      <c r="J65">
        <f>IF($A65="","",COUNTIFS('Таблиця 1'!$B:$B,$A65,'Таблиця 1'!$E:$E,"СП",'Таблиця 1'!$L:$L,"Уражено"))</f>
        <v/>
      </c>
      <c r="K65">
        <f>IF($A65="","",COUNTIFS('Таблиця 1'!$B:$B,$A65,'Таблиця 1'!$E:$E,"КСП роти",'Таблиця 1'!$L:$L,"Уражено"))</f>
        <v/>
      </c>
      <c r="L65">
        <f>IF($A65="","",COUNTIFS('Таблиця 1'!$B:$B,$A65,'Таблиця 1'!$E:$E,"ПУ бат",'Таблиця 1'!$L:$L,"Уражено"))</f>
        <v/>
      </c>
      <c r="M65">
        <f>IF($A65="","",COUNTIFS('Таблиця 1'!$B:$B,$A65,'Таблиця 1'!$E:$E,"ПУ бриг",'Таблиця 1'!$L:$L,"Уражено"))</f>
        <v/>
      </c>
      <c r="N65">
        <f>IF($A65="","",COUNTIFS('Таблиця 1'!$B:$B,$A65,'Таблиця 1'!$E:$E,"ПУ див",'Таблиця 1'!$L:$L,"Уражено"))</f>
        <v/>
      </c>
      <c r="O65">
        <f>IF($A65="","",COUNTIFS('Таблиця 1'!$B:$B,$A65,'Таблиця 1'!$E:$E,"обл. РЕБ",'Таблиця 1'!$L:$L,"Уражено"))</f>
        <v/>
      </c>
      <c r="P65">
        <f>IF($A65="","",COUNTIFS('Таблиця 1'!$B:$B,$A65,'Таблиця 1'!$E:$E,"пос РЕБ",'Таблиця 1'!$L:$L,"Уражено"))</f>
        <v/>
      </c>
      <c r="Q65">
        <f>IF($A65="","",COUNTIFS('Таблиця 1'!$B:$B,$A65,'Таблиця 1'!$E:$E,"група РЕР",'Таблиця 1'!$L:$L,"Уражено"))</f>
        <v/>
      </c>
      <c r="R65">
        <f>IF($A65="","",COUNTIFS('Таблиця 1'!$B:$B,$A65,'Таблиця 1'!$E:$E,"РЛС КББ",'Таблиця 1'!$L:$L,"Уражено"))</f>
        <v/>
      </c>
      <c r="S65">
        <f>IF($A65="","",COUNTIFS('Таблиця 1'!$B:$B,$A65,'Таблиця 1'!$E:$E,"Ретранслятор",'Таблиця 1'!$L:$L,"Уражено"))</f>
        <v/>
      </c>
      <c r="T65">
        <f>IF($A65="","",COUNTIFS('Таблиця 1'!$B:$B,$A65,'Таблиця 1'!$E:$E,"Вз.зв'язку",'Таблиця 1'!$L:$L,"Уражено"))</f>
        <v/>
      </c>
      <c r="U65">
        <f>IF($A65="","",COUNTIFS('Таблиця 1'!$B:$B,$A65,'Таблиця 1'!$E:$E,"ПММ",'Таблиця 1'!$L:$L,"Уражено"))</f>
        <v/>
      </c>
      <c r="V65">
        <f>IF($A65="","",COUNTIFS('Таблиця 1'!$B:$B,$A65,'Таблиця 1'!$E:$E,"ІФС",'Таблиця 1'!$L:$L,"Уражено"))</f>
        <v/>
      </c>
      <c r="W65">
        <f>IF($A65="","",COUNTIFS('Таблиця 1'!$B:$B,$A65,'Таблиця 1'!$E:$E,"Інфраструктура",'Таблиця 1'!$L:$L,"Уражено"))</f>
        <v/>
      </c>
      <c r="X65">
        <f>IF($A65="","",SUMIFS('Таблиця 1'!$K:$K,'Таблиця 1'!$B:$B,$A65))</f>
        <v/>
      </c>
    </row>
    <row r="66">
      <c r="A66" s="81">
        <f>IF(A65="","",IF(A65+1&gt;MAX('Таблиця 1'!$B:$B),"",A65+1))</f>
        <v/>
      </c>
      <c r="B66">
        <f>IF($A66="","",COUNTIFS('Таблиця 1'!$B:$B,$A66,'Таблиця 1'!$E:$E,"ЖС ВЗ",'Таблиця 1'!$L:$L,"Уражено"))</f>
        <v/>
      </c>
      <c r="C66">
        <f>IF($A66="","",COUNTIFS('Таблиця 1'!$B:$B,$A66,'Таблиця 1'!$E:$E,"Арт. Системи",'Таблиця 1'!$L:$L,"Уражено"))</f>
        <v/>
      </c>
      <c r="D66">
        <f>IF($A66="","",COUNTIFS('Таблиця 1'!$B:$B,$A66,'Таблиця 1'!$E:$E,"ОВТ",'Таблиця 1'!$L:$L,"Уражено"))</f>
        <v/>
      </c>
      <c r="E66">
        <f>IF($A66="","",COUNTIFS('Таблиця 1'!$B:$B,$A66,'Таблиця 1'!$E:$E,"ППО",'Таблиця 1'!$L:$L,"Уражено"))</f>
        <v/>
      </c>
      <c r="F66">
        <f>IF($A66="","",COUNTIFS('Таблиця 1'!$B:$B,$A66,'Таблиця 1'!$E:$E,"Рембаза",'Таблиця 1'!$L:$L,"Уражено"))</f>
        <v/>
      </c>
      <c r="G66">
        <f>IF($A66="","",COUNTIFS('Таблиця 1'!$B:$B,$A66,'Таблиця 1'!$E:$E,"Склад БК",'Таблиця 1'!$L:$L,"Уражено"))</f>
        <v/>
      </c>
      <c r="H66">
        <f>IF($A66="","",COUNTIFS('Таблиця 1'!$B:$B,$A66,'Таблиця 1'!$E:$E,"Склад ВТМ",'Таблиця 1'!$L:$L,"Уражено"))</f>
        <v/>
      </c>
      <c r="I66">
        <f>IF($A66="","",COUNTIFS('Таблиця 1'!$B:$B,$A66,'Таблиця 1'!$E:$E,"ПУ БпЛА",'Таблиця 1'!$L:$L,"Уражено"))</f>
        <v/>
      </c>
      <c r="J66">
        <f>IF($A66="","",COUNTIFS('Таблиця 1'!$B:$B,$A66,'Таблиця 1'!$E:$E,"СП",'Таблиця 1'!$L:$L,"Уражено"))</f>
        <v/>
      </c>
      <c r="K66">
        <f>IF($A66="","",COUNTIFS('Таблиця 1'!$B:$B,$A66,'Таблиця 1'!$E:$E,"КСП роти",'Таблиця 1'!$L:$L,"Уражено"))</f>
        <v/>
      </c>
      <c r="L66">
        <f>IF($A66="","",COUNTIFS('Таблиця 1'!$B:$B,$A66,'Таблиця 1'!$E:$E,"ПУ бат",'Таблиця 1'!$L:$L,"Уражено"))</f>
        <v/>
      </c>
      <c r="M66">
        <f>IF($A66="","",COUNTIFS('Таблиця 1'!$B:$B,$A66,'Таблиця 1'!$E:$E,"ПУ бриг",'Таблиця 1'!$L:$L,"Уражено"))</f>
        <v/>
      </c>
      <c r="N66">
        <f>IF($A66="","",COUNTIFS('Таблиця 1'!$B:$B,$A66,'Таблиця 1'!$E:$E,"ПУ див",'Таблиця 1'!$L:$L,"Уражено"))</f>
        <v/>
      </c>
      <c r="O66">
        <f>IF($A66="","",COUNTIFS('Таблиця 1'!$B:$B,$A66,'Таблиця 1'!$E:$E,"обл. РЕБ",'Таблиця 1'!$L:$L,"Уражено"))</f>
        <v/>
      </c>
      <c r="P66">
        <f>IF($A66="","",COUNTIFS('Таблиця 1'!$B:$B,$A66,'Таблиця 1'!$E:$E,"пос РЕБ",'Таблиця 1'!$L:$L,"Уражено"))</f>
        <v/>
      </c>
      <c r="Q66">
        <f>IF($A66="","",COUNTIFS('Таблиця 1'!$B:$B,$A66,'Таблиця 1'!$E:$E,"група РЕР",'Таблиця 1'!$L:$L,"Уражено"))</f>
        <v/>
      </c>
      <c r="R66">
        <f>IF($A66="","",COUNTIFS('Таблиця 1'!$B:$B,$A66,'Таблиця 1'!$E:$E,"РЛС КББ",'Таблиця 1'!$L:$L,"Уражено"))</f>
        <v/>
      </c>
      <c r="S66">
        <f>IF($A66="","",COUNTIFS('Таблиця 1'!$B:$B,$A66,'Таблиця 1'!$E:$E,"Ретранслятор",'Таблиця 1'!$L:$L,"Уражено"))</f>
        <v/>
      </c>
      <c r="T66">
        <f>IF($A66="","",COUNTIFS('Таблиця 1'!$B:$B,$A66,'Таблиця 1'!$E:$E,"Вз.зв'язку",'Таблиця 1'!$L:$L,"Уражено"))</f>
        <v/>
      </c>
      <c r="U66">
        <f>IF($A66="","",COUNTIFS('Таблиця 1'!$B:$B,$A66,'Таблиця 1'!$E:$E,"ПММ",'Таблиця 1'!$L:$L,"Уражено"))</f>
        <v/>
      </c>
      <c r="V66">
        <f>IF($A66="","",COUNTIFS('Таблиця 1'!$B:$B,$A66,'Таблиця 1'!$E:$E,"ІФС",'Таблиця 1'!$L:$L,"Уражено"))</f>
        <v/>
      </c>
      <c r="W66">
        <f>IF($A66="","",COUNTIFS('Таблиця 1'!$B:$B,$A66,'Таблиця 1'!$E:$E,"Інфраструктура",'Таблиця 1'!$L:$L,"Уражено"))</f>
        <v/>
      </c>
      <c r="X66">
        <f>IF($A66="","",SUMIFS('Таблиця 1'!$K:$K,'Таблиця 1'!$B:$B,$A66))</f>
        <v/>
      </c>
    </row>
    <row r="67">
      <c r="A67" s="81">
        <f>IF(A66="","",IF(A66+1&gt;MAX('Таблиця 1'!$B:$B),"",A66+1))</f>
        <v/>
      </c>
      <c r="B67">
        <f>IF($A67="","",COUNTIFS('Таблиця 1'!$B:$B,$A67,'Таблиця 1'!$E:$E,"ЖС ВЗ",'Таблиця 1'!$L:$L,"Уражено"))</f>
        <v/>
      </c>
      <c r="C67">
        <f>IF($A67="","",COUNTIFS('Таблиця 1'!$B:$B,$A67,'Таблиця 1'!$E:$E,"Арт. Системи",'Таблиця 1'!$L:$L,"Уражено"))</f>
        <v/>
      </c>
      <c r="D67">
        <f>IF($A67="","",COUNTIFS('Таблиця 1'!$B:$B,$A67,'Таблиця 1'!$E:$E,"ОВТ",'Таблиця 1'!$L:$L,"Уражено"))</f>
        <v/>
      </c>
      <c r="E67">
        <f>IF($A67="","",COUNTIFS('Таблиця 1'!$B:$B,$A67,'Таблиця 1'!$E:$E,"ППО",'Таблиця 1'!$L:$L,"Уражено"))</f>
        <v/>
      </c>
      <c r="F67">
        <f>IF($A67="","",COUNTIFS('Таблиця 1'!$B:$B,$A67,'Таблиця 1'!$E:$E,"Рембаза",'Таблиця 1'!$L:$L,"Уражено"))</f>
        <v/>
      </c>
      <c r="G67">
        <f>IF($A67="","",COUNTIFS('Таблиця 1'!$B:$B,$A67,'Таблиця 1'!$E:$E,"Склад БК",'Таблиця 1'!$L:$L,"Уражено"))</f>
        <v/>
      </c>
      <c r="H67">
        <f>IF($A67="","",COUNTIFS('Таблиця 1'!$B:$B,$A67,'Таблиця 1'!$E:$E,"Склад ВТМ",'Таблиця 1'!$L:$L,"Уражено"))</f>
        <v/>
      </c>
      <c r="I67">
        <f>IF($A67="","",COUNTIFS('Таблиця 1'!$B:$B,$A67,'Таблиця 1'!$E:$E,"ПУ БпЛА",'Таблиця 1'!$L:$L,"Уражено"))</f>
        <v/>
      </c>
      <c r="J67">
        <f>IF($A67="","",COUNTIFS('Таблиця 1'!$B:$B,$A67,'Таблиця 1'!$E:$E,"СП",'Таблиця 1'!$L:$L,"Уражено"))</f>
        <v/>
      </c>
      <c r="K67">
        <f>IF($A67="","",COUNTIFS('Таблиця 1'!$B:$B,$A67,'Таблиця 1'!$E:$E,"КСП роти",'Таблиця 1'!$L:$L,"Уражено"))</f>
        <v/>
      </c>
      <c r="L67">
        <f>IF($A67="","",COUNTIFS('Таблиця 1'!$B:$B,$A67,'Таблиця 1'!$E:$E,"ПУ бат",'Таблиця 1'!$L:$L,"Уражено"))</f>
        <v/>
      </c>
      <c r="M67">
        <f>IF($A67="","",COUNTIFS('Таблиця 1'!$B:$B,$A67,'Таблиця 1'!$E:$E,"ПУ бриг",'Таблиця 1'!$L:$L,"Уражено"))</f>
        <v/>
      </c>
      <c r="N67">
        <f>IF($A67="","",COUNTIFS('Таблиця 1'!$B:$B,$A67,'Таблиця 1'!$E:$E,"ПУ див",'Таблиця 1'!$L:$L,"Уражено"))</f>
        <v/>
      </c>
      <c r="O67">
        <f>IF($A67="","",COUNTIFS('Таблиця 1'!$B:$B,$A67,'Таблиця 1'!$E:$E,"обл. РЕБ",'Таблиця 1'!$L:$L,"Уражено"))</f>
        <v/>
      </c>
      <c r="P67">
        <f>IF($A67="","",COUNTIFS('Таблиця 1'!$B:$B,$A67,'Таблиця 1'!$E:$E,"пос РЕБ",'Таблиця 1'!$L:$L,"Уражено"))</f>
        <v/>
      </c>
      <c r="Q67">
        <f>IF($A67="","",COUNTIFS('Таблиця 1'!$B:$B,$A67,'Таблиця 1'!$E:$E,"група РЕР",'Таблиця 1'!$L:$L,"Уражено"))</f>
        <v/>
      </c>
      <c r="R67">
        <f>IF($A67="","",COUNTIFS('Таблиця 1'!$B:$B,$A67,'Таблиця 1'!$E:$E,"РЛС КББ",'Таблиця 1'!$L:$L,"Уражено"))</f>
        <v/>
      </c>
      <c r="S67">
        <f>IF($A67="","",COUNTIFS('Таблиця 1'!$B:$B,$A67,'Таблиця 1'!$E:$E,"Ретранслятор",'Таблиця 1'!$L:$L,"Уражено"))</f>
        <v/>
      </c>
      <c r="T67">
        <f>IF($A67="","",COUNTIFS('Таблиця 1'!$B:$B,$A67,'Таблиця 1'!$E:$E,"Вз.зв'язку",'Таблиця 1'!$L:$L,"Уражено"))</f>
        <v/>
      </c>
      <c r="U67">
        <f>IF($A67="","",COUNTIFS('Таблиця 1'!$B:$B,$A67,'Таблиця 1'!$E:$E,"ПММ",'Таблиця 1'!$L:$L,"Уражено"))</f>
        <v/>
      </c>
      <c r="V67">
        <f>IF($A67="","",COUNTIFS('Таблиця 1'!$B:$B,$A67,'Таблиця 1'!$E:$E,"ІФС",'Таблиця 1'!$L:$L,"Уражено"))</f>
        <v/>
      </c>
      <c r="W67">
        <f>IF($A67="","",COUNTIFS('Таблиця 1'!$B:$B,$A67,'Таблиця 1'!$E:$E,"Інфраструктура",'Таблиця 1'!$L:$L,"Уражено"))</f>
        <v/>
      </c>
      <c r="X67">
        <f>IF($A67="","",SUMIFS('Таблиця 1'!$K:$K,'Таблиця 1'!$B:$B,$A67))</f>
        <v/>
      </c>
    </row>
    <row r="68">
      <c r="A68" s="81">
        <f>IF(A67="","",IF(A67+1&gt;MAX('Таблиця 1'!$B:$B),"",A67+1))</f>
        <v/>
      </c>
      <c r="B68">
        <f>IF($A68="","",COUNTIFS('Таблиця 1'!$B:$B,$A68,'Таблиця 1'!$E:$E,"ЖС ВЗ",'Таблиця 1'!$L:$L,"Уражено"))</f>
        <v/>
      </c>
      <c r="C68">
        <f>IF($A68="","",COUNTIFS('Таблиця 1'!$B:$B,$A68,'Таблиця 1'!$E:$E,"Арт. Системи",'Таблиця 1'!$L:$L,"Уражено"))</f>
        <v/>
      </c>
      <c r="D68">
        <f>IF($A68="","",COUNTIFS('Таблиця 1'!$B:$B,$A68,'Таблиця 1'!$E:$E,"ОВТ",'Таблиця 1'!$L:$L,"Уражено"))</f>
        <v/>
      </c>
      <c r="E68">
        <f>IF($A68="","",COUNTIFS('Таблиця 1'!$B:$B,$A68,'Таблиця 1'!$E:$E,"ППО",'Таблиця 1'!$L:$L,"Уражено"))</f>
        <v/>
      </c>
      <c r="F68">
        <f>IF($A68="","",COUNTIFS('Таблиця 1'!$B:$B,$A68,'Таблиця 1'!$E:$E,"Рембаза",'Таблиця 1'!$L:$L,"Уражено"))</f>
        <v/>
      </c>
      <c r="G68">
        <f>IF($A68="","",COUNTIFS('Таблиця 1'!$B:$B,$A68,'Таблиця 1'!$E:$E,"Склад БК",'Таблиця 1'!$L:$L,"Уражено"))</f>
        <v/>
      </c>
      <c r="H68">
        <f>IF($A68="","",COUNTIFS('Таблиця 1'!$B:$B,$A68,'Таблиця 1'!$E:$E,"Склад ВТМ",'Таблиця 1'!$L:$L,"Уражено"))</f>
        <v/>
      </c>
      <c r="I68">
        <f>IF($A68="","",COUNTIFS('Таблиця 1'!$B:$B,$A68,'Таблиця 1'!$E:$E,"ПУ БпЛА",'Таблиця 1'!$L:$L,"Уражено"))</f>
        <v/>
      </c>
      <c r="J68">
        <f>IF($A68="","",COUNTIFS('Таблиця 1'!$B:$B,$A68,'Таблиця 1'!$E:$E,"СП",'Таблиця 1'!$L:$L,"Уражено"))</f>
        <v/>
      </c>
      <c r="K68">
        <f>IF($A68="","",COUNTIFS('Таблиця 1'!$B:$B,$A68,'Таблиця 1'!$E:$E,"КСП роти",'Таблиця 1'!$L:$L,"Уражено"))</f>
        <v/>
      </c>
      <c r="L68">
        <f>IF($A68="","",COUNTIFS('Таблиця 1'!$B:$B,$A68,'Таблиця 1'!$E:$E,"ПУ бат",'Таблиця 1'!$L:$L,"Уражено"))</f>
        <v/>
      </c>
      <c r="M68">
        <f>IF($A68="","",COUNTIFS('Таблиця 1'!$B:$B,$A68,'Таблиця 1'!$E:$E,"ПУ бриг",'Таблиця 1'!$L:$L,"Уражено"))</f>
        <v/>
      </c>
      <c r="N68">
        <f>IF($A68="","",COUNTIFS('Таблиця 1'!$B:$B,$A68,'Таблиця 1'!$E:$E,"ПУ див",'Таблиця 1'!$L:$L,"Уражено"))</f>
        <v/>
      </c>
      <c r="O68">
        <f>IF($A68="","",COUNTIFS('Таблиця 1'!$B:$B,$A68,'Таблиця 1'!$E:$E,"обл. РЕБ",'Таблиця 1'!$L:$L,"Уражено"))</f>
        <v/>
      </c>
      <c r="P68">
        <f>IF($A68="","",COUNTIFS('Таблиця 1'!$B:$B,$A68,'Таблиця 1'!$E:$E,"пос РЕБ",'Таблиця 1'!$L:$L,"Уражено"))</f>
        <v/>
      </c>
      <c r="Q68">
        <f>IF($A68="","",COUNTIFS('Таблиця 1'!$B:$B,$A68,'Таблиця 1'!$E:$E,"група РЕР",'Таблиця 1'!$L:$L,"Уражено"))</f>
        <v/>
      </c>
      <c r="R68">
        <f>IF($A68="","",COUNTIFS('Таблиця 1'!$B:$B,$A68,'Таблиця 1'!$E:$E,"РЛС КББ",'Таблиця 1'!$L:$L,"Уражено"))</f>
        <v/>
      </c>
      <c r="S68">
        <f>IF($A68="","",COUNTIFS('Таблиця 1'!$B:$B,$A68,'Таблиця 1'!$E:$E,"Ретранслятор",'Таблиця 1'!$L:$L,"Уражено"))</f>
        <v/>
      </c>
      <c r="T68">
        <f>IF($A68="","",COUNTIFS('Таблиця 1'!$B:$B,$A68,'Таблиця 1'!$E:$E,"Вз.зв'язку",'Таблиця 1'!$L:$L,"Уражено"))</f>
        <v/>
      </c>
      <c r="U68">
        <f>IF($A68="","",COUNTIFS('Таблиця 1'!$B:$B,$A68,'Таблиця 1'!$E:$E,"ПММ",'Таблиця 1'!$L:$L,"Уражено"))</f>
        <v/>
      </c>
      <c r="V68">
        <f>IF($A68="","",COUNTIFS('Таблиця 1'!$B:$B,$A68,'Таблиця 1'!$E:$E,"ІФС",'Таблиця 1'!$L:$L,"Уражено"))</f>
        <v/>
      </c>
      <c r="W68">
        <f>IF($A68="","",COUNTIFS('Таблиця 1'!$B:$B,$A68,'Таблиця 1'!$E:$E,"Інфраструктура",'Таблиця 1'!$L:$L,"Уражено"))</f>
        <v/>
      </c>
      <c r="X68">
        <f>IF($A68="","",SUMIFS('Таблиця 1'!$K:$K,'Таблиця 1'!$B:$B,$A68))</f>
        <v/>
      </c>
    </row>
    <row r="69">
      <c r="A69" s="81">
        <f>IF(A68="","",IF(A68+1&gt;MAX('Таблиця 1'!$B:$B),"",A68+1))</f>
        <v/>
      </c>
      <c r="B69">
        <f>IF($A69="","",COUNTIFS('Таблиця 1'!$B:$B,$A69,'Таблиця 1'!$E:$E,"ЖС ВЗ",'Таблиця 1'!$L:$L,"Уражено"))</f>
        <v/>
      </c>
      <c r="C69">
        <f>IF($A69="","",COUNTIFS('Таблиця 1'!$B:$B,$A69,'Таблиця 1'!$E:$E,"Арт. Системи",'Таблиця 1'!$L:$L,"Уражено"))</f>
        <v/>
      </c>
      <c r="D69">
        <f>IF($A69="","",COUNTIFS('Таблиця 1'!$B:$B,$A69,'Таблиця 1'!$E:$E,"ОВТ",'Таблиця 1'!$L:$L,"Уражено"))</f>
        <v/>
      </c>
      <c r="E69">
        <f>IF($A69="","",COUNTIFS('Таблиця 1'!$B:$B,$A69,'Таблиця 1'!$E:$E,"ППО",'Таблиця 1'!$L:$L,"Уражено"))</f>
        <v/>
      </c>
      <c r="F69">
        <f>IF($A69="","",COUNTIFS('Таблиця 1'!$B:$B,$A69,'Таблиця 1'!$E:$E,"Рембаза",'Таблиця 1'!$L:$L,"Уражено"))</f>
        <v/>
      </c>
      <c r="G69">
        <f>IF($A69="","",COUNTIFS('Таблиця 1'!$B:$B,$A69,'Таблиця 1'!$E:$E,"Склад БК",'Таблиця 1'!$L:$L,"Уражено"))</f>
        <v/>
      </c>
      <c r="H69">
        <f>IF($A69="","",COUNTIFS('Таблиця 1'!$B:$B,$A69,'Таблиця 1'!$E:$E,"Склад ВТМ",'Таблиця 1'!$L:$L,"Уражено"))</f>
        <v/>
      </c>
      <c r="I69">
        <f>IF($A69="","",COUNTIFS('Таблиця 1'!$B:$B,$A69,'Таблиця 1'!$E:$E,"ПУ БпЛА",'Таблиця 1'!$L:$L,"Уражено"))</f>
        <v/>
      </c>
      <c r="J69">
        <f>IF($A69="","",COUNTIFS('Таблиця 1'!$B:$B,$A69,'Таблиця 1'!$E:$E,"СП",'Таблиця 1'!$L:$L,"Уражено"))</f>
        <v/>
      </c>
      <c r="K69">
        <f>IF($A69="","",COUNTIFS('Таблиця 1'!$B:$B,$A69,'Таблиця 1'!$E:$E,"КСП роти",'Таблиця 1'!$L:$L,"Уражено"))</f>
        <v/>
      </c>
      <c r="L69">
        <f>IF($A69="","",COUNTIFS('Таблиця 1'!$B:$B,$A69,'Таблиця 1'!$E:$E,"ПУ бат",'Таблиця 1'!$L:$L,"Уражено"))</f>
        <v/>
      </c>
      <c r="M69">
        <f>IF($A69="","",COUNTIFS('Таблиця 1'!$B:$B,$A69,'Таблиця 1'!$E:$E,"ПУ бриг",'Таблиця 1'!$L:$L,"Уражено"))</f>
        <v/>
      </c>
      <c r="N69">
        <f>IF($A69="","",COUNTIFS('Таблиця 1'!$B:$B,$A69,'Таблиця 1'!$E:$E,"ПУ див",'Таблиця 1'!$L:$L,"Уражено"))</f>
        <v/>
      </c>
      <c r="O69">
        <f>IF($A69="","",COUNTIFS('Таблиця 1'!$B:$B,$A69,'Таблиця 1'!$E:$E,"обл. РЕБ",'Таблиця 1'!$L:$L,"Уражено"))</f>
        <v/>
      </c>
      <c r="P69">
        <f>IF($A69="","",COUNTIFS('Таблиця 1'!$B:$B,$A69,'Таблиця 1'!$E:$E,"пос РЕБ",'Таблиця 1'!$L:$L,"Уражено"))</f>
        <v/>
      </c>
      <c r="Q69">
        <f>IF($A69="","",COUNTIFS('Таблиця 1'!$B:$B,$A69,'Таблиця 1'!$E:$E,"група РЕР",'Таблиця 1'!$L:$L,"Уражено"))</f>
        <v/>
      </c>
      <c r="R69">
        <f>IF($A69="","",COUNTIFS('Таблиця 1'!$B:$B,$A69,'Таблиця 1'!$E:$E,"РЛС КББ",'Таблиця 1'!$L:$L,"Уражено"))</f>
        <v/>
      </c>
      <c r="S69">
        <f>IF($A69="","",COUNTIFS('Таблиця 1'!$B:$B,$A69,'Таблиця 1'!$E:$E,"Ретранслятор",'Таблиця 1'!$L:$L,"Уражено"))</f>
        <v/>
      </c>
      <c r="T69">
        <f>IF($A69="","",COUNTIFS('Таблиця 1'!$B:$B,$A69,'Таблиця 1'!$E:$E,"Вз.зв'язку",'Таблиця 1'!$L:$L,"Уражено"))</f>
        <v/>
      </c>
      <c r="U69">
        <f>IF($A69="","",COUNTIFS('Таблиця 1'!$B:$B,$A69,'Таблиця 1'!$E:$E,"ПММ",'Таблиця 1'!$L:$L,"Уражено"))</f>
        <v/>
      </c>
      <c r="V69">
        <f>IF($A69="","",COUNTIFS('Таблиця 1'!$B:$B,$A69,'Таблиця 1'!$E:$E,"ІФС",'Таблиця 1'!$L:$L,"Уражено"))</f>
        <v/>
      </c>
      <c r="W69">
        <f>IF($A69="","",COUNTIFS('Таблиця 1'!$B:$B,$A69,'Таблиця 1'!$E:$E,"Інфраструктура",'Таблиця 1'!$L:$L,"Уражено"))</f>
        <v/>
      </c>
      <c r="X69">
        <f>IF($A69="","",SUMIFS('Таблиця 1'!$K:$K,'Таблиця 1'!$B:$B,$A69))</f>
        <v/>
      </c>
    </row>
    <row r="70">
      <c r="A70" s="81">
        <f>IF(A69="","",IF(A69+1&gt;MAX('Таблиця 1'!$B:$B),"",A69+1))</f>
        <v/>
      </c>
      <c r="B70">
        <f>IF($A70="","",COUNTIFS('Таблиця 1'!$B:$B,$A70,'Таблиця 1'!$E:$E,"ЖС ВЗ",'Таблиця 1'!$L:$L,"Уражено"))</f>
        <v/>
      </c>
      <c r="C70">
        <f>IF($A70="","",COUNTIFS('Таблиця 1'!$B:$B,$A70,'Таблиця 1'!$E:$E,"Арт. Системи",'Таблиця 1'!$L:$L,"Уражено"))</f>
        <v/>
      </c>
      <c r="D70">
        <f>IF($A70="","",COUNTIFS('Таблиця 1'!$B:$B,$A70,'Таблиця 1'!$E:$E,"ОВТ",'Таблиця 1'!$L:$L,"Уражено"))</f>
        <v/>
      </c>
      <c r="E70">
        <f>IF($A70="","",COUNTIFS('Таблиця 1'!$B:$B,$A70,'Таблиця 1'!$E:$E,"ППО",'Таблиця 1'!$L:$L,"Уражено"))</f>
        <v/>
      </c>
      <c r="F70">
        <f>IF($A70="","",COUNTIFS('Таблиця 1'!$B:$B,$A70,'Таблиця 1'!$E:$E,"Рембаза",'Таблиця 1'!$L:$L,"Уражено"))</f>
        <v/>
      </c>
      <c r="G70">
        <f>IF($A70="","",COUNTIFS('Таблиця 1'!$B:$B,$A70,'Таблиця 1'!$E:$E,"Склад БК",'Таблиця 1'!$L:$L,"Уражено"))</f>
        <v/>
      </c>
      <c r="H70">
        <f>IF($A70="","",COUNTIFS('Таблиця 1'!$B:$B,$A70,'Таблиця 1'!$E:$E,"Склад ВТМ",'Таблиця 1'!$L:$L,"Уражено"))</f>
        <v/>
      </c>
      <c r="I70">
        <f>IF($A70="","",COUNTIFS('Таблиця 1'!$B:$B,$A70,'Таблиця 1'!$E:$E,"ПУ БпЛА",'Таблиця 1'!$L:$L,"Уражено"))</f>
        <v/>
      </c>
      <c r="J70">
        <f>IF($A70="","",COUNTIFS('Таблиця 1'!$B:$B,$A70,'Таблиця 1'!$E:$E,"СП",'Таблиця 1'!$L:$L,"Уражено"))</f>
        <v/>
      </c>
      <c r="K70">
        <f>IF($A70="","",COUNTIFS('Таблиця 1'!$B:$B,$A70,'Таблиця 1'!$E:$E,"КСП роти",'Таблиця 1'!$L:$L,"Уражено"))</f>
        <v/>
      </c>
      <c r="L70">
        <f>IF($A70="","",COUNTIFS('Таблиця 1'!$B:$B,$A70,'Таблиця 1'!$E:$E,"ПУ бат",'Таблиця 1'!$L:$L,"Уражено"))</f>
        <v/>
      </c>
      <c r="M70">
        <f>IF($A70="","",COUNTIFS('Таблиця 1'!$B:$B,$A70,'Таблиця 1'!$E:$E,"ПУ бриг",'Таблиця 1'!$L:$L,"Уражено"))</f>
        <v/>
      </c>
      <c r="N70">
        <f>IF($A70="","",COUNTIFS('Таблиця 1'!$B:$B,$A70,'Таблиця 1'!$E:$E,"ПУ див",'Таблиця 1'!$L:$L,"Уражено"))</f>
        <v/>
      </c>
      <c r="O70">
        <f>IF($A70="","",COUNTIFS('Таблиця 1'!$B:$B,$A70,'Таблиця 1'!$E:$E,"обл. РЕБ",'Таблиця 1'!$L:$L,"Уражено"))</f>
        <v/>
      </c>
      <c r="P70">
        <f>IF($A70="","",COUNTIFS('Таблиця 1'!$B:$B,$A70,'Таблиця 1'!$E:$E,"пос РЕБ",'Таблиця 1'!$L:$L,"Уражено"))</f>
        <v/>
      </c>
      <c r="Q70">
        <f>IF($A70="","",COUNTIFS('Таблиця 1'!$B:$B,$A70,'Таблиця 1'!$E:$E,"група РЕР",'Таблиця 1'!$L:$L,"Уражено"))</f>
        <v/>
      </c>
      <c r="R70">
        <f>IF($A70="","",COUNTIFS('Таблиця 1'!$B:$B,$A70,'Таблиця 1'!$E:$E,"РЛС КББ",'Таблиця 1'!$L:$L,"Уражено"))</f>
        <v/>
      </c>
      <c r="S70">
        <f>IF($A70="","",COUNTIFS('Таблиця 1'!$B:$B,$A70,'Таблиця 1'!$E:$E,"Ретранслятор",'Таблиця 1'!$L:$L,"Уражено"))</f>
        <v/>
      </c>
      <c r="T70">
        <f>IF($A70="","",COUNTIFS('Таблиця 1'!$B:$B,$A70,'Таблиця 1'!$E:$E,"Вз.зв'язку",'Таблиця 1'!$L:$L,"Уражено"))</f>
        <v/>
      </c>
      <c r="U70">
        <f>IF($A70="","",COUNTIFS('Таблиця 1'!$B:$B,$A70,'Таблиця 1'!$E:$E,"ПММ",'Таблиця 1'!$L:$L,"Уражено"))</f>
        <v/>
      </c>
      <c r="V70">
        <f>IF($A70="","",COUNTIFS('Таблиця 1'!$B:$B,$A70,'Таблиця 1'!$E:$E,"ІФС",'Таблиця 1'!$L:$L,"Уражено"))</f>
        <v/>
      </c>
      <c r="W70">
        <f>IF($A70="","",COUNTIFS('Таблиця 1'!$B:$B,$A70,'Таблиця 1'!$E:$E,"Інфраструктура",'Таблиця 1'!$L:$L,"Уражено"))</f>
        <v/>
      </c>
      <c r="X70">
        <f>IF($A70="","",SUMIFS('Таблиця 1'!$K:$K,'Таблиця 1'!$B:$B,$A70))</f>
        <v/>
      </c>
    </row>
    <row r="71">
      <c r="A71" s="81">
        <f>IF(A70="","",IF(A70+1&gt;MAX('Таблиця 1'!$B:$B),"",A70+1))</f>
        <v/>
      </c>
      <c r="B71">
        <f>IF($A71="","",COUNTIFS('Таблиця 1'!$B:$B,$A71,'Таблиця 1'!$E:$E,"ЖС ВЗ",'Таблиця 1'!$L:$L,"Уражено"))</f>
        <v/>
      </c>
      <c r="C71">
        <f>IF($A71="","",COUNTIFS('Таблиця 1'!$B:$B,$A71,'Таблиця 1'!$E:$E,"Арт. Системи",'Таблиця 1'!$L:$L,"Уражено"))</f>
        <v/>
      </c>
      <c r="D71">
        <f>IF($A71="","",COUNTIFS('Таблиця 1'!$B:$B,$A71,'Таблиця 1'!$E:$E,"ОВТ",'Таблиця 1'!$L:$L,"Уражено"))</f>
        <v/>
      </c>
      <c r="E71">
        <f>IF($A71="","",COUNTIFS('Таблиця 1'!$B:$B,$A71,'Таблиця 1'!$E:$E,"ППО",'Таблиця 1'!$L:$L,"Уражено"))</f>
        <v/>
      </c>
      <c r="F71">
        <f>IF($A71="","",COUNTIFS('Таблиця 1'!$B:$B,$A71,'Таблиця 1'!$E:$E,"Рембаза",'Таблиця 1'!$L:$L,"Уражено"))</f>
        <v/>
      </c>
      <c r="G71">
        <f>IF($A71="","",COUNTIFS('Таблиця 1'!$B:$B,$A71,'Таблиця 1'!$E:$E,"Склад БК",'Таблиця 1'!$L:$L,"Уражено"))</f>
        <v/>
      </c>
      <c r="H71">
        <f>IF($A71="","",COUNTIFS('Таблиця 1'!$B:$B,$A71,'Таблиця 1'!$E:$E,"Склад ВТМ",'Таблиця 1'!$L:$L,"Уражено"))</f>
        <v/>
      </c>
      <c r="I71">
        <f>IF($A71="","",COUNTIFS('Таблиця 1'!$B:$B,$A71,'Таблиця 1'!$E:$E,"ПУ БпЛА",'Таблиця 1'!$L:$L,"Уражено"))</f>
        <v/>
      </c>
      <c r="J71">
        <f>IF($A71="","",COUNTIFS('Таблиця 1'!$B:$B,$A71,'Таблиця 1'!$E:$E,"СП",'Таблиця 1'!$L:$L,"Уражено"))</f>
        <v/>
      </c>
      <c r="K71">
        <f>IF($A71="","",COUNTIFS('Таблиця 1'!$B:$B,$A71,'Таблиця 1'!$E:$E,"КСП роти",'Таблиця 1'!$L:$L,"Уражено"))</f>
        <v/>
      </c>
      <c r="L71">
        <f>IF($A71="","",COUNTIFS('Таблиця 1'!$B:$B,$A71,'Таблиця 1'!$E:$E,"ПУ бат",'Таблиця 1'!$L:$L,"Уражено"))</f>
        <v/>
      </c>
      <c r="M71">
        <f>IF($A71="","",COUNTIFS('Таблиця 1'!$B:$B,$A71,'Таблиця 1'!$E:$E,"ПУ бриг",'Таблиця 1'!$L:$L,"Уражено"))</f>
        <v/>
      </c>
      <c r="N71">
        <f>IF($A71="","",COUNTIFS('Таблиця 1'!$B:$B,$A71,'Таблиця 1'!$E:$E,"ПУ див",'Таблиця 1'!$L:$L,"Уражено"))</f>
        <v/>
      </c>
      <c r="O71">
        <f>IF($A71="","",COUNTIFS('Таблиця 1'!$B:$B,$A71,'Таблиця 1'!$E:$E,"обл. РЕБ",'Таблиця 1'!$L:$L,"Уражено"))</f>
        <v/>
      </c>
      <c r="P71">
        <f>IF($A71="","",COUNTIFS('Таблиця 1'!$B:$B,$A71,'Таблиця 1'!$E:$E,"пос РЕБ",'Таблиця 1'!$L:$L,"Уражено"))</f>
        <v/>
      </c>
      <c r="Q71">
        <f>IF($A71="","",COUNTIFS('Таблиця 1'!$B:$B,$A71,'Таблиця 1'!$E:$E,"група РЕР",'Таблиця 1'!$L:$L,"Уражено"))</f>
        <v/>
      </c>
      <c r="R71">
        <f>IF($A71="","",COUNTIFS('Таблиця 1'!$B:$B,$A71,'Таблиця 1'!$E:$E,"РЛС КББ",'Таблиця 1'!$L:$L,"Уражено"))</f>
        <v/>
      </c>
      <c r="S71">
        <f>IF($A71="","",COUNTIFS('Таблиця 1'!$B:$B,$A71,'Таблиця 1'!$E:$E,"Ретранслятор",'Таблиця 1'!$L:$L,"Уражено"))</f>
        <v/>
      </c>
      <c r="T71">
        <f>IF($A71="","",COUNTIFS('Таблиця 1'!$B:$B,$A71,'Таблиця 1'!$E:$E,"Вз.зв'язку",'Таблиця 1'!$L:$L,"Уражено"))</f>
        <v/>
      </c>
      <c r="U71">
        <f>IF($A71="","",COUNTIFS('Таблиця 1'!$B:$B,$A71,'Таблиця 1'!$E:$E,"ПММ",'Таблиця 1'!$L:$L,"Уражено"))</f>
        <v/>
      </c>
      <c r="V71">
        <f>IF($A71="","",COUNTIFS('Таблиця 1'!$B:$B,$A71,'Таблиця 1'!$E:$E,"ІФС",'Таблиця 1'!$L:$L,"Уражено"))</f>
        <v/>
      </c>
      <c r="W71">
        <f>IF($A71="","",COUNTIFS('Таблиця 1'!$B:$B,$A71,'Таблиця 1'!$E:$E,"Інфраструктура",'Таблиця 1'!$L:$L,"Уражено"))</f>
        <v/>
      </c>
      <c r="X71">
        <f>IF($A71="","",SUMIFS('Таблиця 1'!$K:$K,'Таблиця 1'!$B:$B,$A71))</f>
        <v/>
      </c>
    </row>
    <row r="72">
      <c r="A72" s="81">
        <f>IF(A71="","",IF(A71+1&gt;MAX('Таблиця 1'!$B:$B),"",A71+1))</f>
        <v/>
      </c>
      <c r="B72">
        <f>IF($A72="","",COUNTIFS('Таблиця 1'!$B:$B,$A72,'Таблиця 1'!$E:$E,"ЖС ВЗ",'Таблиця 1'!$L:$L,"Уражено"))</f>
        <v/>
      </c>
      <c r="C72">
        <f>IF($A72="","",COUNTIFS('Таблиця 1'!$B:$B,$A72,'Таблиця 1'!$E:$E,"Арт. Системи",'Таблиця 1'!$L:$L,"Уражено"))</f>
        <v/>
      </c>
      <c r="D72">
        <f>IF($A72="","",COUNTIFS('Таблиця 1'!$B:$B,$A72,'Таблиця 1'!$E:$E,"ОВТ",'Таблиця 1'!$L:$L,"Уражено"))</f>
        <v/>
      </c>
      <c r="E72">
        <f>IF($A72="","",COUNTIFS('Таблиця 1'!$B:$B,$A72,'Таблиця 1'!$E:$E,"ППО",'Таблиця 1'!$L:$L,"Уражено"))</f>
        <v/>
      </c>
      <c r="F72">
        <f>IF($A72="","",COUNTIFS('Таблиця 1'!$B:$B,$A72,'Таблиця 1'!$E:$E,"Рембаза",'Таблиця 1'!$L:$L,"Уражено"))</f>
        <v/>
      </c>
      <c r="G72">
        <f>IF($A72="","",COUNTIFS('Таблиця 1'!$B:$B,$A72,'Таблиця 1'!$E:$E,"Склад БК",'Таблиця 1'!$L:$L,"Уражено"))</f>
        <v/>
      </c>
      <c r="H72">
        <f>IF($A72="","",COUNTIFS('Таблиця 1'!$B:$B,$A72,'Таблиця 1'!$E:$E,"Склад ВТМ",'Таблиця 1'!$L:$L,"Уражено"))</f>
        <v/>
      </c>
      <c r="I72">
        <f>IF($A72="","",COUNTIFS('Таблиця 1'!$B:$B,$A72,'Таблиця 1'!$E:$E,"ПУ БпЛА",'Таблиця 1'!$L:$L,"Уражено"))</f>
        <v/>
      </c>
      <c r="J72">
        <f>IF($A72="","",COUNTIFS('Таблиця 1'!$B:$B,$A72,'Таблиця 1'!$E:$E,"СП",'Таблиця 1'!$L:$L,"Уражено"))</f>
        <v/>
      </c>
      <c r="K72">
        <f>IF($A72="","",COUNTIFS('Таблиця 1'!$B:$B,$A72,'Таблиця 1'!$E:$E,"КСП роти",'Таблиця 1'!$L:$L,"Уражено"))</f>
        <v/>
      </c>
      <c r="L72">
        <f>IF($A72="","",COUNTIFS('Таблиця 1'!$B:$B,$A72,'Таблиця 1'!$E:$E,"ПУ бат",'Таблиця 1'!$L:$L,"Уражено"))</f>
        <v/>
      </c>
      <c r="M72">
        <f>IF($A72="","",COUNTIFS('Таблиця 1'!$B:$B,$A72,'Таблиця 1'!$E:$E,"ПУ бриг",'Таблиця 1'!$L:$L,"Уражено"))</f>
        <v/>
      </c>
      <c r="N72">
        <f>IF($A72="","",COUNTIFS('Таблиця 1'!$B:$B,$A72,'Таблиця 1'!$E:$E,"ПУ див",'Таблиця 1'!$L:$L,"Уражено"))</f>
        <v/>
      </c>
      <c r="O72">
        <f>IF($A72="","",COUNTIFS('Таблиця 1'!$B:$B,$A72,'Таблиця 1'!$E:$E,"обл. РЕБ",'Таблиця 1'!$L:$L,"Уражено"))</f>
        <v/>
      </c>
      <c r="P72">
        <f>IF($A72="","",COUNTIFS('Таблиця 1'!$B:$B,$A72,'Таблиця 1'!$E:$E,"пос РЕБ",'Таблиця 1'!$L:$L,"Уражено"))</f>
        <v/>
      </c>
      <c r="Q72">
        <f>IF($A72="","",COUNTIFS('Таблиця 1'!$B:$B,$A72,'Таблиця 1'!$E:$E,"група РЕР",'Таблиця 1'!$L:$L,"Уражено"))</f>
        <v/>
      </c>
      <c r="R72">
        <f>IF($A72="","",COUNTIFS('Таблиця 1'!$B:$B,$A72,'Таблиця 1'!$E:$E,"РЛС КББ",'Таблиця 1'!$L:$L,"Уражено"))</f>
        <v/>
      </c>
      <c r="S72">
        <f>IF($A72="","",COUNTIFS('Таблиця 1'!$B:$B,$A72,'Таблиця 1'!$E:$E,"Ретранслятор",'Таблиця 1'!$L:$L,"Уражено"))</f>
        <v/>
      </c>
      <c r="T72">
        <f>IF($A72="","",COUNTIFS('Таблиця 1'!$B:$B,$A72,'Таблиця 1'!$E:$E,"Вз.зв'язку",'Таблиця 1'!$L:$L,"Уражено"))</f>
        <v/>
      </c>
      <c r="U72">
        <f>IF($A72="","",COUNTIFS('Таблиця 1'!$B:$B,$A72,'Таблиця 1'!$E:$E,"ПММ",'Таблиця 1'!$L:$L,"Уражено"))</f>
        <v/>
      </c>
      <c r="V72">
        <f>IF($A72="","",COUNTIFS('Таблиця 1'!$B:$B,$A72,'Таблиця 1'!$E:$E,"ІФС",'Таблиця 1'!$L:$L,"Уражено"))</f>
        <v/>
      </c>
      <c r="W72">
        <f>IF($A72="","",COUNTIFS('Таблиця 1'!$B:$B,$A72,'Таблиця 1'!$E:$E,"Інфраструктура",'Таблиця 1'!$L:$L,"Уражено"))</f>
        <v/>
      </c>
      <c r="X72">
        <f>IF($A72="","",SUMIFS('Таблиця 1'!$K:$K,'Таблиця 1'!$B:$B,$A72))</f>
        <v/>
      </c>
    </row>
    <row r="73">
      <c r="A73" s="81">
        <f>IF(A72="","",IF(A72+1&gt;MAX('Таблиця 1'!$B:$B),"",A72+1))</f>
        <v/>
      </c>
      <c r="B73">
        <f>IF($A73="","",COUNTIFS('Таблиця 1'!$B:$B,$A73,'Таблиця 1'!$E:$E,"ЖС ВЗ",'Таблиця 1'!$L:$L,"Уражено"))</f>
        <v/>
      </c>
      <c r="C73">
        <f>IF($A73="","",COUNTIFS('Таблиця 1'!$B:$B,$A73,'Таблиця 1'!$E:$E,"Арт. Системи",'Таблиця 1'!$L:$L,"Уражено"))</f>
        <v/>
      </c>
      <c r="D73">
        <f>IF($A73="","",COUNTIFS('Таблиця 1'!$B:$B,$A73,'Таблиця 1'!$E:$E,"ОВТ",'Таблиця 1'!$L:$L,"Уражено"))</f>
        <v/>
      </c>
      <c r="E73">
        <f>IF($A73="","",COUNTIFS('Таблиця 1'!$B:$B,$A73,'Таблиця 1'!$E:$E,"ППО",'Таблиця 1'!$L:$L,"Уражено"))</f>
        <v/>
      </c>
      <c r="F73">
        <f>IF($A73="","",COUNTIFS('Таблиця 1'!$B:$B,$A73,'Таблиця 1'!$E:$E,"Рембаза",'Таблиця 1'!$L:$L,"Уражено"))</f>
        <v/>
      </c>
      <c r="G73">
        <f>IF($A73="","",COUNTIFS('Таблиця 1'!$B:$B,$A73,'Таблиця 1'!$E:$E,"Склад БК",'Таблиця 1'!$L:$L,"Уражено"))</f>
        <v/>
      </c>
      <c r="H73">
        <f>IF($A73="","",COUNTIFS('Таблиця 1'!$B:$B,$A73,'Таблиця 1'!$E:$E,"Склад ВТМ",'Таблиця 1'!$L:$L,"Уражено"))</f>
        <v/>
      </c>
      <c r="I73">
        <f>IF($A73="","",COUNTIFS('Таблиця 1'!$B:$B,$A73,'Таблиця 1'!$E:$E,"ПУ БпЛА",'Таблиця 1'!$L:$L,"Уражено"))</f>
        <v/>
      </c>
      <c r="J73">
        <f>IF($A73="","",COUNTIFS('Таблиця 1'!$B:$B,$A73,'Таблиця 1'!$E:$E,"СП",'Таблиця 1'!$L:$L,"Уражено"))</f>
        <v/>
      </c>
      <c r="K73">
        <f>IF($A73="","",COUNTIFS('Таблиця 1'!$B:$B,$A73,'Таблиця 1'!$E:$E,"КСП роти",'Таблиця 1'!$L:$L,"Уражено"))</f>
        <v/>
      </c>
      <c r="L73">
        <f>IF($A73="","",COUNTIFS('Таблиця 1'!$B:$B,$A73,'Таблиця 1'!$E:$E,"ПУ бат",'Таблиця 1'!$L:$L,"Уражено"))</f>
        <v/>
      </c>
      <c r="M73">
        <f>IF($A73="","",COUNTIFS('Таблиця 1'!$B:$B,$A73,'Таблиця 1'!$E:$E,"ПУ бриг",'Таблиця 1'!$L:$L,"Уражено"))</f>
        <v/>
      </c>
      <c r="N73">
        <f>IF($A73="","",COUNTIFS('Таблиця 1'!$B:$B,$A73,'Таблиця 1'!$E:$E,"ПУ див",'Таблиця 1'!$L:$L,"Уражено"))</f>
        <v/>
      </c>
      <c r="O73">
        <f>IF($A73="","",COUNTIFS('Таблиця 1'!$B:$B,$A73,'Таблиця 1'!$E:$E,"обл. РЕБ",'Таблиця 1'!$L:$L,"Уражено"))</f>
        <v/>
      </c>
      <c r="P73">
        <f>IF($A73="","",COUNTIFS('Таблиця 1'!$B:$B,$A73,'Таблиця 1'!$E:$E,"пос РЕБ",'Таблиця 1'!$L:$L,"Уражено"))</f>
        <v/>
      </c>
      <c r="Q73">
        <f>IF($A73="","",COUNTIFS('Таблиця 1'!$B:$B,$A73,'Таблиця 1'!$E:$E,"група РЕР",'Таблиця 1'!$L:$L,"Уражено"))</f>
        <v/>
      </c>
      <c r="R73">
        <f>IF($A73="","",COUNTIFS('Таблиця 1'!$B:$B,$A73,'Таблиця 1'!$E:$E,"РЛС КББ",'Таблиця 1'!$L:$L,"Уражено"))</f>
        <v/>
      </c>
      <c r="S73">
        <f>IF($A73="","",COUNTIFS('Таблиця 1'!$B:$B,$A73,'Таблиця 1'!$E:$E,"Ретранслятор",'Таблиця 1'!$L:$L,"Уражено"))</f>
        <v/>
      </c>
      <c r="T73">
        <f>IF($A73="","",COUNTIFS('Таблиця 1'!$B:$B,$A73,'Таблиця 1'!$E:$E,"Вз.зв'язку",'Таблиця 1'!$L:$L,"Уражено"))</f>
        <v/>
      </c>
      <c r="U73">
        <f>IF($A73="","",COUNTIFS('Таблиця 1'!$B:$B,$A73,'Таблиця 1'!$E:$E,"ПММ",'Таблиця 1'!$L:$L,"Уражено"))</f>
        <v/>
      </c>
      <c r="V73">
        <f>IF($A73="","",COUNTIFS('Таблиця 1'!$B:$B,$A73,'Таблиця 1'!$E:$E,"ІФС",'Таблиця 1'!$L:$L,"Уражено"))</f>
        <v/>
      </c>
      <c r="W73">
        <f>IF($A73="","",COUNTIFS('Таблиця 1'!$B:$B,$A73,'Таблиця 1'!$E:$E,"Інфраструктура",'Таблиця 1'!$L:$L,"Уражено"))</f>
        <v/>
      </c>
      <c r="X73">
        <f>IF($A73="","",SUMIFS('Таблиця 1'!$K:$K,'Таблиця 1'!$B:$B,$A73))</f>
        <v/>
      </c>
    </row>
    <row r="74">
      <c r="A74" s="81">
        <f>IF(A73="","",IF(A73+1&gt;MAX('Таблиця 1'!$B:$B),"",A73+1))</f>
        <v/>
      </c>
      <c r="B74">
        <f>IF($A74="","",COUNTIFS('Таблиця 1'!$B:$B,$A74,'Таблиця 1'!$E:$E,"ЖС ВЗ",'Таблиця 1'!$L:$L,"Уражено"))</f>
        <v/>
      </c>
      <c r="C74">
        <f>IF($A74="","",COUNTIFS('Таблиця 1'!$B:$B,$A74,'Таблиця 1'!$E:$E,"Арт. Системи",'Таблиця 1'!$L:$L,"Уражено"))</f>
        <v/>
      </c>
      <c r="D74">
        <f>IF($A74="","",COUNTIFS('Таблиця 1'!$B:$B,$A74,'Таблиця 1'!$E:$E,"ОВТ",'Таблиця 1'!$L:$L,"Уражено"))</f>
        <v/>
      </c>
      <c r="E74">
        <f>IF($A74="","",COUNTIFS('Таблиця 1'!$B:$B,$A74,'Таблиця 1'!$E:$E,"ППО",'Таблиця 1'!$L:$L,"Уражено"))</f>
        <v/>
      </c>
      <c r="F74">
        <f>IF($A74="","",COUNTIFS('Таблиця 1'!$B:$B,$A74,'Таблиця 1'!$E:$E,"Рембаза",'Таблиця 1'!$L:$L,"Уражено"))</f>
        <v/>
      </c>
      <c r="G74">
        <f>IF($A74="","",COUNTIFS('Таблиця 1'!$B:$B,$A74,'Таблиця 1'!$E:$E,"Склад БК",'Таблиця 1'!$L:$L,"Уражено"))</f>
        <v/>
      </c>
      <c r="H74">
        <f>IF($A74="","",COUNTIFS('Таблиця 1'!$B:$B,$A74,'Таблиця 1'!$E:$E,"Склад ВТМ",'Таблиця 1'!$L:$L,"Уражено"))</f>
        <v/>
      </c>
      <c r="I74">
        <f>IF($A74="","",COUNTIFS('Таблиця 1'!$B:$B,$A74,'Таблиця 1'!$E:$E,"ПУ БпЛА",'Таблиця 1'!$L:$L,"Уражено"))</f>
        <v/>
      </c>
      <c r="J74">
        <f>IF($A74="","",COUNTIFS('Таблиця 1'!$B:$B,$A74,'Таблиця 1'!$E:$E,"СП",'Таблиця 1'!$L:$L,"Уражено"))</f>
        <v/>
      </c>
      <c r="K74">
        <f>IF($A74="","",COUNTIFS('Таблиця 1'!$B:$B,$A74,'Таблиця 1'!$E:$E,"КСП роти",'Таблиця 1'!$L:$L,"Уражено"))</f>
        <v/>
      </c>
      <c r="L74">
        <f>IF($A74="","",COUNTIFS('Таблиця 1'!$B:$B,$A74,'Таблиця 1'!$E:$E,"ПУ бат",'Таблиця 1'!$L:$L,"Уражено"))</f>
        <v/>
      </c>
      <c r="M74">
        <f>IF($A74="","",COUNTIFS('Таблиця 1'!$B:$B,$A74,'Таблиця 1'!$E:$E,"ПУ бриг",'Таблиця 1'!$L:$L,"Уражено"))</f>
        <v/>
      </c>
      <c r="N74">
        <f>IF($A74="","",COUNTIFS('Таблиця 1'!$B:$B,$A74,'Таблиця 1'!$E:$E,"ПУ див",'Таблиця 1'!$L:$L,"Уражено"))</f>
        <v/>
      </c>
      <c r="O74">
        <f>IF($A74="","",COUNTIFS('Таблиця 1'!$B:$B,$A74,'Таблиця 1'!$E:$E,"обл. РЕБ",'Таблиця 1'!$L:$L,"Уражено"))</f>
        <v/>
      </c>
      <c r="P74">
        <f>IF($A74="","",COUNTIFS('Таблиця 1'!$B:$B,$A74,'Таблиця 1'!$E:$E,"пос РЕБ",'Таблиця 1'!$L:$L,"Уражено"))</f>
        <v/>
      </c>
      <c r="Q74">
        <f>IF($A74="","",COUNTIFS('Таблиця 1'!$B:$B,$A74,'Таблиця 1'!$E:$E,"група РЕР",'Таблиця 1'!$L:$L,"Уражено"))</f>
        <v/>
      </c>
      <c r="R74">
        <f>IF($A74="","",COUNTIFS('Таблиця 1'!$B:$B,$A74,'Таблиця 1'!$E:$E,"РЛС КББ",'Таблиця 1'!$L:$L,"Уражено"))</f>
        <v/>
      </c>
      <c r="S74">
        <f>IF($A74="","",COUNTIFS('Таблиця 1'!$B:$B,$A74,'Таблиця 1'!$E:$E,"Ретранслятор",'Таблиця 1'!$L:$L,"Уражено"))</f>
        <v/>
      </c>
      <c r="T74">
        <f>IF($A74="","",COUNTIFS('Таблиця 1'!$B:$B,$A74,'Таблиця 1'!$E:$E,"Вз.зв'язку",'Таблиця 1'!$L:$L,"Уражено"))</f>
        <v/>
      </c>
      <c r="U74">
        <f>IF($A74="","",COUNTIFS('Таблиця 1'!$B:$B,$A74,'Таблиця 1'!$E:$E,"ПММ",'Таблиця 1'!$L:$L,"Уражено"))</f>
        <v/>
      </c>
      <c r="V74">
        <f>IF($A74="","",COUNTIFS('Таблиця 1'!$B:$B,$A74,'Таблиця 1'!$E:$E,"ІФС",'Таблиця 1'!$L:$L,"Уражено"))</f>
        <v/>
      </c>
      <c r="W74">
        <f>IF($A74="","",COUNTIFS('Таблиця 1'!$B:$B,$A74,'Таблиця 1'!$E:$E,"Інфраструктура",'Таблиця 1'!$L:$L,"Уражено"))</f>
        <v/>
      </c>
      <c r="X74">
        <f>IF($A74="","",SUMIFS('Таблиця 1'!$K:$K,'Таблиця 1'!$B:$B,$A74))</f>
        <v/>
      </c>
    </row>
    <row r="75">
      <c r="A75" s="81">
        <f>IF(A74="","",IF(A74+1&gt;MAX('Таблиця 1'!$B:$B),"",A74+1))</f>
        <v/>
      </c>
      <c r="B75">
        <f>IF($A75="","",COUNTIFS('Таблиця 1'!$B:$B,$A75,'Таблиця 1'!$E:$E,"ЖС ВЗ",'Таблиця 1'!$L:$L,"Уражено"))</f>
        <v/>
      </c>
      <c r="C75">
        <f>IF($A75="","",COUNTIFS('Таблиця 1'!$B:$B,$A75,'Таблиця 1'!$E:$E,"Арт. Системи",'Таблиця 1'!$L:$L,"Уражено"))</f>
        <v/>
      </c>
      <c r="D75">
        <f>IF($A75="","",COUNTIFS('Таблиця 1'!$B:$B,$A75,'Таблиця 1'!$E:$E,"ОВТ",'Таблиця 1'!$L:$L,"Уражено"))</f>
        <v/>
      </c>
      <c r="E75">
        <f>IF($A75="","",COUNTIFS('Таблиця 1'!$B:$B,$A75,'Таблиця 1'!$E:$E,"ППО",'Таблиця 1'!$L:$L,"Уражено"))</f>
        <v/>
      </c>
      <c r="F75">
        <f>IF($A75="","",COUNTIFS('Таблиця 1'!$B:$B,$A75,'Таблиця 1'!$E:$E,"Рембаза",'Таблиця 1'!$L:$L,"Уражено"))</f>
        <v/>
      </c>
      <c r="G75">
        <f>IF($A75="","",COUNTIFS('Таблиця 1'!$B:$B,$A75,'Таблиця 1'!$E:$E,"Склад БК",'Таблиця 1'!$L:$L,"Уражено"))</f>
        <v/>
      </c>
      <c r="H75">
        <f>IF($A75="","",COUNTIFS('Таблиця 1'!$B:$B,$A75,'Таблиця 1'!$E:$E,"Склад ВТМ",'Таблиця 1'!$L:$L,"Уражено"))</f>
        <v/>
      </c>
      <c r="I75">
        <f>IF($A75="","",COUNTIFS('Таблиця 1'!$B:$B,$A75,'Таблиця 1'!$E:$E,"ПУ БпЛА",'Таблиця 1'!$L:$L,"Уражено"))</f>
        <v/>
      </c>
      <c r="J75">
        <f>IF($A75="","",COUNTIFS('Таблиця 1'!$B:$B,$A75,'Таблиця 1'!$E:$E,"СП",'Таблиця 1'!$L:$L,"Уражено"))</f>
        <v/>
      </c>
      <c r="K75">
        <f>IF($A75="","",COUNTIFS('Таблиця 1'!$B:$B,$A75,'Таблиця 1'!$E:$E,"КСП роти",'Таблиця 1'!$L:$L,"Уражено"))</f>
        <v/>
      </c>
      <c r="L75">
        <f>IF($A75="","",COUNTIFS('Таблиця 1'!$B:$B,$A75,'Таблиця 1'!$E:$E,"ПУ бат",'Таблиця 1'!$L:$L,"Уражено"))</f>
        <v/>
      </c>
      <c r="M75">
        <f>IF($A75="","",COUNTIFS('Таблиця 1'!$B:$B,$A75,'Таблиця 1'!$E:$E,"ПУ бриг",'Таблиця 1'!$L:$L,"Уражено"))</f>
        <v/>
      </c>
      <c r="N75">
        <f>IF($A75="","",COUNTIFS('Таблиця 1'!$B:$B,$A75,'Таблиця 1'!$E:$E,"ПУ див",'Таблиця 1'!$L:$L,"Уражено"))</f>
        <v/>
      </c>
      <c r="O75">
        <f>IF($A75="","",COUNTIFS('Таблиця 1'!$B:$B,$A75,'Таблиця 1'!$E:$E,"обл. РЕБ",'Таблиця 1'!$L:$L,"Уражено"))</f>
        <v/>
      </c>
      <c r="P75">
        <f>IF($A75="","",COUNTIFS('Таблиця 1'!$B:$B,$A75,'Таблиця 1'!$E:$E,"пос РЕБ",'Таблиця 1'!$L:$L,"Уражено"))</f>
        <v/>
      </c>
      <c r="Q75">
        <f>IF($A75="","",COUNTIFS('Таблиця 1'!$B:$B,$A75,'Таблиця 1'!$E:$E,"група РЕР",'Таблиця 1'!$L:$L,"Уражено"))</f>
        <v/>
      </c>
      <c r="R75">
        <f>IF($A75="","",COUNTIFS('Таблиця 1'!$B:$B,$A75,'Таблиця 1'!$E:$E,"РЛС КББ",'Таблиця 1'!$L:$L,"Уражено"))</f>
        <v/>
      </c>
      <c r="S75">
        <f>IF($A75="","",COUNTIFS('Таблиця 1'!$B:$B,$A75,'Таблиця 1'!$E:$E,"Ретранслятор",'Таблиця 1'!$L:$L,"Уражено"))</f>
        <v/>
      </c>
      <c r="T75">
        <f>IF($A75="","",COUNTIFS('Таблиця 1'!$B:$B,$A75,'Таблиця 1'!$E:$E,"Вз.зв'язку",'Таблиця 1'!$L:$L,"Уражено"))</f>
        <v/>
      </c>
      <c r="U75">
        <f>IF($A75="","",COUNTIFS('Таблиця 1'!$B:$B,$A75,'Таблиця 1'!$E:$E,"ПММ",'Таблиця 1'!$L:$L,"Уражено"))</f>
        <v/>
      </c>
      <c r="V75">
        <f>IF($A75="","",COUNTIFS('Таблиця 1'!$B:$B,$A75,'Таблиця 1'!$E:$E,"ІФС",'Таблиця 1'!$L:$L,"Уражено"))</f>
        <v/>
      </c>
      <c r="W75">
        <f>IF($A75="","",COUNTIFS('Таблиця 1'!$B:$B,$A75,'Таблиця 1'!$E:$E,"Інфраструктура",'Таблиця 1'!$L:$L,"Уражено"))</f>
        <v/>
      </c>
      <c r="X75">
        <f>IF($A75="","",SUMIFS('Таблиця 1'!$K:$K,'Таблиця 1'!$B:$B,$A75))</f>
        <v/>
      </c>
    </row>
    <row r="76">
      <c r="A76" s="81">
        <f>IF(A75="","",IF(A75+1&gt;MAX('Таблиця 1'!$B:$B),"",A75+1))</f>
        <v/>
      </c>
      <c r="B76">
        <f>IF($A76="","",COUNTIFS('Таблиця 1'!$B:$B,$A76,'Таблиця 1'!$E:$E,"ЖС ВЗ",'Таблиця 1'!$L:$L,"Уражено"))</f>
        <v/>
      </c>
      <c r="C76">
        <f>IF($A76="","",COUNTIFS('Таблиця 1'!$B:$B,$A76,'Таблиця 1'!$E:$E,"Арт. Системи",'Таблиця 1'!$L:$L,"Уражено"))</f>
        <v/>
      </c>
      <c r="D76">
        <f>IF($A76="","",COUNTIFS('Таблиця 1'!$B:$B,$A76,'Таблиця 1'!$E:$E,"ОВТ",'Таблиця 1'!$L:$L,"Уражено"))</f>
        <v/>
      </c>
      <c r="E76">
        <f>IF($A76="","",COUNTIFS('Таблиця 1'!$B:$B,$A76,'Таблиця 1'!$E:$E,"ППО",'Таблиця 1'!$L:$L,"Уражено"))</f>
        <v/>
      </c>
      <c r="F76">
        <f>IF($A76="","",COUNTIFS('Таблиця 1'!$B:$B,$A76,'Таблиця 1'!$E:$E,"Рембаза",'Таблиця 1'!$L:$L,"Уражено"))</f>
        <v/>
      </c>
      <c r="G76">
        <f>IF($A76="","",COUNTIFS('Таблиця 1'!$B:$B,$A76,'Таблиця 1'!$E:$E,"Склад БК",'Таблиця 1'!$L:$L,"Уражено"))</f>
        <v/>
      </c>
      <c r="H76">
        <f>IF($A76="","",COUNTIFS('Таблиця 1'!$B:$B,$A76,'Таблиця 1'!$E:$E,"Склад ВТМ",'Таблиця 1'!$L:$L,"Уражено"))</f>
        <v/>
      </c>
      <c r="I76">
        <f>IF($A76="","",COUNTIFS('Таблиця 1'!$B:$B,$A76,'Таблиця 1'!$E:$E,"ПУ БпЛА",'Таблиця 1'!$L:$L,"Уражено"))</f>
        <v/>
      </c>
      <c r="J76">
        <f>IF($A76="","",COUNTIFS('Таблиця 1'!$B:$B,$A76,'Таблиця 1'!$E:$E,"СП",'Таблиця 1'!$L:$L,"Уражено"))</f>
        <v/>
      </c>
      <c r="K76">
        <f>IF($A76="","",COUNTIFS('Таблиця 1'!$B:$B,$A76,'Таблиця 1'!$E:$E,"КСП роти",'Таблиця 1'!$L:$L,"Уражено"))</f>
        <v/>
      </c>
      <c r="L76">
        <f>IF($A76="","",COUNTIFS('Таблиця 1'!$B:$B,$A76,'Таблиця 1'!$E:$E,"ПУ бат",'Таблиця 1'!$L:$L,"Уражено"))</f>
        <v/>
      </c>
      <c r="M76">
        <f>IF($A76="","",COUNTIFS('Таблиця 1'!$B:$B,$A76,'Таблиця 1'!$E:$E,"ПУ бриг",'Таблиця 1'!$L:$L,"Уражено"))</f>
        <v/>
      </c>
      <c r="N76">
        <f>IF($A76="","",COUNTIFS('Таблиця 1'!$B:$B,$A76,'Таблиця 1'!$E:$E,"ПУ див",'Таблиця 1'!$L:$L,"Уражено"))</f>
        <v/>
      </c>
      <c r="O76">
        <f>IF($A76="","",COUNTIFS('Таблиця 1'!$B:$B,$A76,'Таблиця 1'!$E:$E,"обл. РЕБ",'Таблиця 1'!$L:$L,"Уражено"))</f>
        <v/>
      </c>
      <c r="P76">
        <f>IF($A76="","",COUNTIFS('Таблиця 1'!$B:$B,$A76,'Таблиця 1'!$E:$E,"пос РЕБ",'Таблиця 1'!$L:$L,"Уражено"))</f>
        <v/>
      </c>
      <c r="Q76">
        <f>IF($A76="","",COUNTIFS('Таблиця 1'!$B:$B,$A76,'Таблиця 1'!$E:$E,"група РЕР",'Таблиця 1'!$L:$L,"Уражено"))</f>
        <v/>
      </c>
      <c r="R76">
        <f>IF($A76="","",COUNTIFS('Таблиця 1'!$B:$B,$A76,'Таблиця 1'!$E:$E,"РЛС КББ",'Таблиця 1'!$L:$L,"Уражено"))</f>
        <v/>
      </c>
      <c r="S76">
        <f>IF($A76="","",COUNTIFS('Таблиця 1'!$B:$B,$A76,'Таблиця 1'!$E:$E,"Ретранслятор",'Таблиця 1'!$L:$L,"Уражено"))</f>
        <v/>
      </c>
      <c r="T76">
        <f>IF($A76="","",COUNTIFS('Таблиця 1'!$B:$B,$A76,'Таблиця 1'!$E:$E,"Вз.зв'язку",'Таблиця 1'!$L:$L,"Уражено"))</f>
        <v/>
      </c>
      <c r="U76">
        <f>IF($A76="","",COUNTIFS('Таблиця 1'!$B:$B,$A76,'Таблиця 1'!$E:$E,"ПММ",'Таблиця 1'!$L:$L,"Уражено"))</f>
        <v/>
      </c>
      <c r="V76">
        <f>IF($A76="","",COUNTIFS('Таблиця 1'!$B:$B,$A76,'Таблиця 1'!$E:$E,"ІФС",'Таблиця 1'!$L:$L,"Уражено"))</f>
        <v/>
      </c>
      <c r="W76">
        <f>IF($A76="","",COUNTIFS('Таблиця 1'!$B:$B,$A76,'Таблиця 1'!$E:$E,"Інфраструктура",'Таблиця 1'!$L:$L,"Уражено"))</f>
        <v/>
      </c>
      <c r="X76">
        <f>IF($A76="","",SUMIFS('Таблиця 1'!$K:$K,'Таблиця 1'!$B:$B,$A76))</f>
        <v/>
      </c>
    </row>
    <row r="77">
      <c r="A77" s="81">
        <f>IF(A76="","",IF(A76+1&gt;MAX('Таблиця 1'!$B:$B),"",A76+1))</f>
        <v/>
      </c>
      <c r="B77">
        <f>IF($A77="","",COUNTIFS('Таблиця 1'!$B:$B,$A77,'Таблиця 1'!$E:$E,"ЖС ВЗ",'Таблиця 1'!$L:$L,"Уражено"))</f>
        <v/>
      </c>
      <c r="C77">
        <f>IF($A77="","",COUNTIFS('Таблиця 1'!$B:$B,$A77,'Таблиця 1'!$E:$E,"Арт. Системи",'Таблиця 1'!$L:$L,"Уражено"))</f>
        <v/>
      </c>
      <c r="D77">
        <f>IF($A77="","",COUNTIFS('Таблиця 1'!$B:$B,$A77,'Таблиця 1'!$E:$E,"ОВТ",'Таблиця 1'!$L:$L,"Уражено"))</f>
        <v/>
      </c>
      <c r="E77">
        <f>IF($A77="","",COUNTIFS('Таблиця 1'!$B:$B,$A77,'Таблиця 1'!$E:$E,"ППО",'Таблиця 1'!$L:$L,"Уражено"))</f>
        <v/>
      </c>
      <c r="F77">
        <f>IF($A77="","",COUNTIFS('Таблиця 1'!$B:$B,$A77,'Таблиця 1'!$E:$E,"Рембаза",'Таблиця 1'!$L:$L,"Уражено"))</f>
        <v/>
      </c>
      <c r="G77">
        <f>IF($A77="","",COUNTIFS('Таблиця 1'!$B:$B,$A77,'Таблиця 1'!$E:$E,"Склад БК",'Таблиця 1'!$L:$L,"Уражено"))</f>
        <v/>
      </c>
      <c r="H77">
        <f>IF($A77="","",COUNTIFS('Таблиця 1'!$B:$B,$A77,'Таблиця 1'!$E:$E,"Склад ВТМ",'Таблиця 1'!$L:$L,"Уражено"))</f>
        <v/>
      </c>
      <c r="I77">
        <f>IF($A77="","",COUNTIFS('Таблиця 1'!$B:$B,$A77,'Таблиця 1'!$E:$E,"ПУ БпЛА",'Таблиця 1'!$L:$L,"Уражено"))</f>
        <v/>
      </c>
      <c r="J77">
        <f>IF($A77="","",COUNTIFS('Таблиця 1'!$B:$B,$A77,'Таблиця 1'!$E:$E,"СП",'Таблиця 1'!$L:$L,"Уражено"))</f>
        <v/>
      </c>
      <c r="K77">
        <f>IF($A77="","",COUNTIFS('Таблиця 1'!$B:$B,$A77,'Таблиця 1'!$E:$E,"КСП роти",'Таблиця 1'!$L:$L,"Уражено"))</f>
        <v/>
      </c>
      <c r="L77">
        <f>IF($A77="","",COUNTIFS('Таблиця 1'!$B:$B,$A77,'Таблиця 1'!$E:$E,"ПУ бат",'Таблиця 1'!$L:$L,"Уражено"))</f>
        <v/>
      </c>
      <c r="M77">
        <f>IF($A77="","",COUNTIFS('Таблиця 1'!$B:$B,$A77,'Таблиця 1'!$E:$E,"ПУ бриг",'Таблиця 1'!$L:$L,"Уражено"))</f>
        <v/>
      </c>
      <c r="N77">
        <f>IF($A77="","",COUNTIFS('Таблиця 1'!$B:$B,$A77,'Таблиця 1'!$E:$E,"ПУ див",'Таблиця 1'!$L:$L,"Уражено"))</f>
        <v/>
      </c>
      <c r="O77">
        <f>IF($A77="","",COUNTIFS('Таблиця 1'!$B:$B,$A77,'Таблиця 1'!$E:$E,"обл. РЕБ",'Таблиця 1'!$L:$L,"Уражено"))</f>
        <v/>
      </c>
      <c r="P77">
        <f>IF($A77="","",COUNTIFS('Таблиця 1'!$B:$B,$A77,'Таблиця 1'!$E:$E,"пос РЕБ",'Таблиця 1'!$L:$L,"Уражено"))</f>
        <v/>
      </c>
      <c r="Q77">
        <f>IF($A77="","",COUNTIFS('Таблиця 1'!$B:$B,$A77,'Таблиця 1'!$E:$E,"група РЕР",'Таблиця 1'!$L:$L,"Уражено"))</f>
        <v/>
      </c>
      <c r="R77">
        <f>IF($A77="","",COUNTIFS('Таблиця 1'!$B:$B,$A77,'Таблиця 1'!$E:$E,"РЛС КББ",'Таблиця 1'!$L:$L,"Уражено"))</f>
        <v/>
      </c>
      <c r="S77">
        <f>IF($A77="","",COUNTIFS('Таблиця 1'!$B:$B,$A77,'Таблиця 1'!$E:$E,"Ретранслятор",'Таблиця 1'!$L:$L,"Уражено"))</f>
        <v/>
      </c>
      <c r="T77">
        <f>IF($A77="","",COUNTIFS('Таблиця 1'!$B:$B,$A77,'Таблиця 1'!$E:$E,"Вз.зв'язку",'Таблиця 1'!$L:$L,"Уражено"))</f>
        <v/>
      </c>
      <c r="U77">
        <f>IF($A77="","",COUNTIFS('Таблиця 1'!$B:$B,$A77,'Таблиця 1'!$E:$E,"ПММ",'Таблиця 1'!$L:$L,"Уражено"))</f>
        <v/>
      </c>
      <c r="V77">
        <f>IF($A77="","",COUNTIFS('Таблиця 1'!$B:$B,$A77,'Таблиця 1'!$E:$E,"ІФС",'Таблиця 1'!$L:$L,"Уражено"))</f>
        <v/>
      </c>
      <c r="W77">
        <f>IF($A77="","",COUNTIFS('Таблиця 1'!$B:$B,$A77,'Таблиця 1'!$E:$E,"Інфраструктура",'Таблиця 1'!$L:$L,"Уражено"))</f>
        <v/>
      </c>
      <c r="X77">
        <f>IF($A77="","",SUMIFS('Таблиця 1'!$K:$K,'Таблиця 1'!$B:$B,$A77))</f>
        <v/>
      </c>
    </row>
    <row r="78">
      <c r="A78" s="81">
        <f>IF(A77="","",IF(A77+1&gt;MAX('Таблиця 1'!$B:$B),"",A77+1))</f>
        <v/>
      </c>
      <c r="B78">
        <f>IF($A78="","",COUNTIFS('Таблиця 1'!$B:$B,$A78,'Таблиця 1'!$E:$E,"ЖС ВЗ",'Таблиця 1'!$L:$L,"Уражено"))</f>
        <v/>
      </c>
      <c r="C78">
        <f>IF($A78="","",COUNTIFS('Таблиця 1'!$B:$B,$A78,'Таблиця 1'!$E:$E,"Арт. Системи",'Таблиця 1'!$L:$L,"Уражено"))</f>
        <v/>
      </c>
      <c r="D78">
        <f>IF($A78="","",COUNTIFS('Таблиця 1'!$B:$B,$A78,'Таблиця 1'!$E:$E,"ОВТ",'Таблиця 1'!$L:$L,"Уражено"))</f>
        <v/>
      </c>
      <c r="E78">
        <f>IF($A78="","",COUNTIFS('Таблиця 1'!$B:$B,$A78,'Таблиця 1'!$E:$E,"ППО",'Таблиця 1'!$L:$L,"Уражено"))</f>
        <v/>
      </c>
      <c r="F78">
        <f>IF($A78="","",COUNTIFS('Таблиця 1'!$B:$B,$A78,'Таблиця 1'!$E:$E,"Рембаза",'Таблиця 1'!$L:$L,"Уражено"))</f>
        <v/>
      </c>
      <c r="G78">
        <f>IF($A78="","",COUNTIFS('Таблиця 1'!$B:$B,$A78,'Таблиця 1'!$E:$E,"Склад БК",'Таблиця 1'!$L:$L,"Уражено"))</f>
        <v/>
      </c>
      <c r="H78">
        <f>IF($A78="","",COUNTIFS('Таблиця 1'!$B:$B,$A78,'Таблиця 1'!$E:$E,"Склад ВТМ",'Таблиця 1'!$L:$L,"Уражено"))</f>
        <v/>
      </c>
      <c r="I78">
        <f>IF($A78="","",COUNTIFS('Таблиця 1'!$B:$B,$A78,'Таблиця 1'!$E:$E,"ПУ БпЛА",'Таблиця 1'!$L:$L,"Уражено"))</f>
        <v/>
      </c>
      <c r="J78">
        <f>IF($A78="","",COUNTIFS('Таблиця 1'!$B:$B,$A78,'Таблиця 1'!$E:$E,"СП",'Таблиця 1'!$L:$L,"Уражено"))</f>
        <v/>
      </c>
      <c r="K78">
        <f>IF($A78="","",COUNTIFS('Таблиця 1'!$B:$B,$A78,'Таблиця 1'!$E:$E,"КСП роти",'Таблиця 1'!$L:$L,"Уражено"))</f>
        <v/>
      </c>
      <c r="L78">
        <f>IF($A78="","",COUNTIFS('Таблиця 1'!$B:$B,$A78,'Таблиця 1'!$E:$E,"ПУ бат",'Таблиця 1'!$L:$L,"Уражено"))</f>
        <v/>
      </c>
      <c r="M78">
        <f>IF($A78="","",COUNTIFS('Таблиця 1'!$B:$B,$A78,'Таблиця 1'!$E:$E,"ПУ бриг",'Таблиця 1'!$L:$L,"Уражено"))</f>
        <v/>
      </c>
      <c r="N78">
        <f>IF($A78="","",COUNTIFS('Таблиця 1'!$B:$B,$A78,'Таблиця 1'!$E:$E,"ПУ див",'Таблиця 1'!$L:$L,"Уражено"))</f>
        <v/>
      </c>
      <c r="O78">
        <f>IF($A78="","",COUNTIFS('Таблиця 1'!$B:$B,$A78,'Таблиця 1'!$E:$E,"обл. РЕБ",'Таблиця 1'!$L:$L,"Уражено"))</f>
        <v/>
      </c>
      <c r="P78">
        <f>IF($A78="","",COUNTIFS('Таблиця 1'!$B:$B,$A78,'Таблиця 1'!$E:$E,"пос РЕБ",'Таблиця 1'!$L:$L,"Уражено"))</f>
        <v/>
      </c>
      <c r="Q78">
        <f>IF($A78="","",COUNTIFS('Таблиця 1'!$B:$B,$A78,'Таблиця 1'!$E:$E,"група РЕР",'Таблиця 1'!$L:$L,"Уражено"))</f>
        <v/>
      </c>
      <c r="R78">
        <f>IF($A78="","",COUNTIFS('Таблиця 1'!$B:$B,$A78,'Таблиця 1'!$E:$E,"РЛС КББ",'Таблиця 1'!$L:$L,"Уражено"))</f>
        <v/>
      </c>
      <c r="S78">
        <f>IF($A78="","",COUNTIFS('Таблиця 1'!$B:$B,$A78,'Таблиця 1'!$E:$E,"Ретранслятор",'Таблиця 1'!$L:$L,"Уражено"))</f>
        <v/>
      </c>
      <c r="T78">
        <f>IF($A78="","",COUNTIFS('Таблиця 1'!$B:$B,$A78,'Таблиця 1'!$E:$E,"Вз.зв'язку",'Таблиця 1'!$L:$L,"Уражено"))</f>
        <v/>
      </c>
      <c r="U78">
        <f>IF($A78="","",COUNTIFS('Таблиця 1'!$B:$B,$A78,'Таблиця 1'!$E:$E,"ПММ",'Таблиця 1'!$L:$L,"Уражено"))</f>
        <v/>
      </c>
      <c r="V78">
        <f>IF($A78="","",COUNTIFS('Таблиця 1'!$B:$B,$A78,'Таблиця 1'!$E:$E,"ІФС",'Таблиця 1'!$L:$L,"Уражено"))</f>
        <v/>
      </c>
      <c r="W78">
        <f>IF($A78="","",COUNTIFS('Таблиця 1'!$B:$B,$A78,'Таблиця 1'!$E:$E,"Інфраструктура",'Таблиця 1'!$L:$L,"Уражено"))</f>
        <v/>
      </c>
      <c r="X78">
        <f>IF($A78="","",SUMIFS('Таблиця 1'!$K:$K,'Таблиця 1'!$B:$B,$A78))</f>
        <v/>
      </c>
    </row>
    <row r="79">
      <c r="A79" s="81">
        <f>IF(A78="","",IF(A78+1&gt;MAX('Таблиця 1'!$B:$B),"",A78+1))</f>
        <v/>
      </c>
      <c r="B79">
        <f>IF($A79="","",COUNTIFS('Таблиця 1'!$B:$B,$A79,'Таблиця 1'!$E:$E,"ЖС ВЗ",'Таблиця 1'!$L:$L,"Уражено"))</f>
        <v/>
      </c>
      <c r="C79">
        <f>IF($A79="","",COUNTIFS('Таблиця 1'!$B:$B,$A79,'Таблиця 1'!$E:$E,"Арт. Системи",'Таблиця 1'!$L:$L,"Уражено"))</f>
        <v/>
      </c>
      <c r="D79">
        <f>IF($A79="","",COUNTIFS('Таблиця 1'!$B:$B,$A79,'Таблиця 1'!$E:$E,"ОВТ",'Таблиця 1'!$L:$L,"Уражено"))</f>
        <v/>
      </c>
      <c r="E79">
        <f>IF($A79="","",COUNTIFS('Таблиця 1'!$B:$B,$A79,'Таблиця 1'!$E:$E,"ППО",'Таблиця 1'!$L:$L,"Уражено"))</f>
        <v/>
      </c>
      <c r="F79">
        <f>IF($A79="","",COUNTIFS('Таблиця 1'!$B:$B,$A79,'Таблиця 1'!$E:$E,"Рембаза",'Таблиця 1'!$L:$L,"Уражено"))</f>
        <v/>
      </c>
      <c r="G79">
        <f>IF($A79="","",COUNTIFS('Таблиця 1'!$B:$B,$A79,'Таблиця 1'!$E:$E,"Склад БК",'Таблиця 1'!$L:$L,"Уражено"))</f>
        <v/>
      </c>
      <c r="H79">
        <f>IF($A79="","",COUNTIFS('Таблиця 1'!$B:$B,$A79,'Таблиця 1'!$E:$E,"Склад ВТМ",'Таблиця 1'!$L:$L,"Уражено"))</f>
        <v/>
      </c>
      <c r="I79">
        <f>IF($A79="","",COUNTIFS('Таблиця 1'!$B:$B,$A79,'Таблиця 1'!$E:$E,"ПУ БпЛА",'Таблиця 1'!$L:$L,"Уражено"))</f>
        <v/>
      </c>
      <c r="J79">
        <f>IF($A79="","",COUNTIFS('Таблиця 1'!$B:$B,$A79,'Таблиця 1'!$E:$E,"СП",'Таблиця 1'!$L:$L,"Уражено"))</f>
        <v/>
      </c>
      <c r="K79">
        <f>IF($A79="","",COUNTIFS('Таблиця 1'!$B:$B,$A79,'Таблиця 1'!$E:$E,"КСП роти",'Таблиця 1'!$L:$L,"Уражено"))</f>
        <v/>
      </c>
      <c r="L79">
        <f>IF($A79="","",COUNTIFS('Таблиця 1'!$B:$B,$A79,'Таблиця 1'!$E:$E,"ПУ бат",'Таблиця 1'!$L:$L,"Уражено"))</f>
        <v/>
      </c>
      <c r="M79">
        <f>IF($A79="","",COUNTIFS('Таблиця 1'!$B:$B,$A79,'Таблиця 1'!$E:$E,"ПУ бриг",'Таблиця 1'!$L:$L,"Уражено"))</f>
        <v/>
      </c>
      <c r="N79">
        <f>IF($A79="","",COUNTIFS('Таблиця 1'!$B:$B,$A79,'Таблиця 1'!$E:$E,"ПУ див",'Таблиця 1'!$L:$L,"Уражено"))</f>
        <v/>
      </c>
      <c r="O79">
        <f>IF($A79="","",COUNTIFS('Таблиця 1'!$B:$B,$A79,'Таблиця 1'!$E:$E,"обл. РЕБ",'Таблиця 1'!$L:$L,"Уражено"))</f>
        <v/>
      </c>
      <c r="P79">
        <f>IF($A79="","",COUNTIFS('Таблиця 1'!$B:$B,$A79,'Таблиця 1'!$E:$E,"пос РЕБ",'Таблиця 1'!$L:$L,"Уражено"))</f>
        <v/>
      </c>
      <c r="Q79">
        <f>IF($A79="","",COUNTIFS('Таблиця 1'!$B:$B,$A79,'Таблиця 1'!$E:$E,"група РЕР",'Таблиця 1'!$L:$L,"Уражено"))</f>
        <v/>
      </c>
      <c r="R79">
        <f>IF($A79="","",COUNTIFS('Таблиця 1'!$B:$B,$A79,'Таблиця 1'!$E:$E,"РЛС КББ",'Таблиця 1'!$L:$L,"Уражено"))</f>
        <v/>
      </c>
      <c r="S79">
        <f>IF($A79="","",COUNTIFS('Таблиця 1'!$B:$B,$A79,'Таблиця 1'!$E:$E,"Ретранслятор",'Таблиця 1'!$L:$L,"Уражено"))</f>
        <v/>
      </c>
      <c r="T79">
        <f>IF($A79="","",COUNTIFS('Таблиця 1'!$B:$B,$A79,'Таблиця 1'!$E:$E,"Вз.зв'язку",'Таблиця 1'!$L:$L,"Уражено"))</f>
        <v/>
      </c>
      <c r="U79">
        <f>IF($A79="","",COUNTIFS('Таблиця 1'!$B:$B,$A79,'Таблиця 1'!$E:$E,"ПММ",'Таблиця 1'!$L:$L,"Уражено"))</f>
        <v/>
      </c>
      <c r="V79">
        <f>IF($A79="","",COUNTIFS('Таблиця 1'!$B:$B,$A79,'Таблиця 1'!$E:$E,"ІФС",'Таблиця 1'!$L:$L,"Уражено"))</f>
        <v/>
      </c>
      <c r="W79">
        <f>IF($A79="","",COUNTIFS('Таблиця 1'!$B:$B,$A79,'Таблиця 1'!$E:$E,"Інфраструктура",'Таблиця 1'!$L:$L,"Уражено"))</f>
        <v/>
      </c>
      <c r="X79">
        <f>IF($A79="","",SUMIFS('Таблиця 1'!$K:$K,'Таблиця 1'!$B:$B,$A79))</f>
        <v/>
      </c>
    </row>
    <row r="80">
      <c r="A80" s="81">
        <f>IF(A79="","",IF(A79+1&gt;MAX('Таблиця 1'!$B:$B),"",A79+1))</f>
        <v/>
      </c>
      <c r="B80">
        <f>IF($A80="","",COUNTIFS('Таблиця 1'!$B:$B,$A80,'Таблиця 1'!$E:$E,"ЖС ВЗ",'Таблиця 1'!$L:$L,"Уражено"))</f>
        <v/>
      </c>
      <c r="C80">
        <f>IF($A80="","",COUNTIFS('Таблиця 1'!$B:$B,$A80,'Таблиця 1'!$E:$E,"Арт. Системи",'Таблиця 1'!$L:$L,"Уражено"))</f>
        <v/>
      </c>
      <c r="D80">
        <f>IF($A80="","",COUNTIFS('Таблиця 1'!$B:$B,$A80,'Таблиця 1'!$E:$E,"ОВТ",'Таблиця 1'!$L:$L,"Уражено"))</f>
        <v/>
      </c>
      <c r="E80">
        <f>IF($A80="","",COUNTIFS('Таблиця 1'!$B:$B,$A80,'Таблиця 1'!$E:$E,"ППО",'Таблиця 1'!$L:$L,"Уражено"))</f>
        <v/>
      </c>
      <c r="F80">
        <f>IF($A80="","",COUNTIFS('Таблиця 1'!$B:$B,$A80,'Таблиця 1'!$E:$E,"Рембаза",'Таблиця 1'!$L:$L,"Уражено"))</f>
        <v/>
      </c>
      <c r="G80">
        <f>IF($A80="","",COUNTIFS('Таблиця 1'!$B:$B,$A80,'Таблиця 1'!$E:$E,"Склад БК",'Таблиця 1'!$L:$L,"Уражено"))</f>
        <v/>
      </c>
      <c r="H80">
        <f>IF($A80="","",COUNTIFS('Таблиця 1'!$B:$B,$A80,'Таблиця 1'!$E:$E,"Склад ВТМ",'Таблиця 1'!$L:$L,"Уражено"))</f>
        <v/>
      </c>
      <c r="I80">
        <f>IF($A80="","",COUNTIFS('Таблиця 1'!$B:$B,$A80,'Таблиця 1'!$E:$E,"ПУ БпЛА",'Таблиця 1'!$L:$L,"Уражено"))</f>
        <v/>
      </c>
      <c r="J80">
        <f>IF($A80="","",COUNTIFS('Таблиця 1'!$B:$B,$A80,'Таблиця 1'!$E:$E,"СП",'Таблиця 1'!$L:$L,"Уражено"))</f>
        <v/>
      </c>
      <c r="K80">
        <f>IF($A80="","",COUNTIFS('Таблиця 1'!$B:$B,$A80,'Таблиця 1'!$E:$E,"КСП роти",'Таблиця 1'!$L:$L,"Уражено"))</f>
        <v/>
      </c>
      <c r="L80">
        <f>IF($A80="","",COUNTIFS('Таблиця 1'!$B:$B,$A80,'Таблиця 1'!$E:$E,"ПУ бат",'Таблиця 1'!$L:$L,"Уражено"))</f>
        <v/>
      </c>
      <c r="M80">
        <f>IF($A80="","",COUNTIFS('Таблиця 1'!$B:$B,$A80,'Таблиця 1'!$E:$E,"ПУ бриг",'Таблиця 1'!$L:$L,"Уражено"))</f>
        <v/>
      </c>
      <c r="N80">
        <f>IF($A80="","",COUNTIFS('Таблиця 1'!$B:$B,$A80,'Таблиця 1'!$E:$E,"ПУ див",'Таблиця 1'!$L:$L,"Уражено"))</f>
        <v/>
      </c>
      <c r="O80">
        <f>IF($A80="","",COUNTIFS('Таблиця 1'!$B:$B,$A80,'Таблиця 1'!$E:$E,"обл. РЕБ",'Таблиця 1'!$L:$L,"Уражено"))</f>
        <v/>
      </c>
      <c r="P80">
        <f>IF($A80="","",COUNTIFS('Таблиця 1'!$B:$B,$A80,'Таблиця 1'!$E:$E,"пос РЕБ",'Таблиця 1'!$L:$L,"Уражено"))</f>
        <v/>
      </c>
      <c r="Q80">
        <f>IF($A80="","",COUNTIFS('Таблиця 1'!$B:$B,$A80,'Таблиця 1'!$E:$E,"група РЕР",'Таблиця 1'!$L:$L,"Уражено"))</f>
        <v/>
      </c>
      <c r="R80">
        <f>IF($A80="","",COUNTIFS('Таблиця 1'!$B:$B,$A80,'Таблиця 1'!$E:$E,"РЛС КББ",'Таблиця 1'!$L:$L,"Уражено"))</f>
        <v/>
      </c>
      <c r="S80">
        <f>IF($A80="","",COUNTIFS('Таблиця 1'!$B:$B,$A80,'Таблиця 1'!$E:$E,"Ретранслятор",'Таблиця 1'!$L:$L,"Уражено"))</f>
        <v/>
      </c>
      <c r="T80">
        <f>IF($A80="","",COUNTIFS('Таблиця 1'!$B:$B,$A80,'Таблиця 1'!$E:$E,"Вз.зв'язку",'Таблиця 1'!$L:$L,"Уражено"))</f>
        <v/>
      </c>
      <c r="U80">
        <f>IF($A80="","",COUNTIFS('Таблиця 1'!$B:$B,$A80,'Таблиця 1'!$E:$E,"ПММ",'Таблиця 1'!$L:$L,"Уражено"))</f>
        <v/>
      </c>
      <c r="V80">
        <f>IF($A80="","",COUNTIFS('Таблиця 1'!$B:$B,$A80,'Таблиця 1'!$E:$E,"ІФС",'Таблиця 1'!$L:$L,"Уражено"))</f>
        <v/>
      </c>
      <c r="W80">
        <f>IF($A80="","",COUNTIFS('Таблиця 1'!$B:$B,$A80,'Таблиця 1'!$E:$E,"Інфраструктура",'Таблиця 1'!$L:$L,"Уражено"))</f>
        <v/>
      </c>
      <c r="X80">
        <f>IF($A80="","",SUMIFS('Таблиця 1'!$K:$K,'Таблиця 1'!$B:$B,$A80))</f>
        <v/>
      </c>
    </row>
    <row r="81">
      <c r="A81" s="81">
        <f>IF(A80="","",IF(A80+1&gt;MAX('Таблиця 1'!$B:$B),"",A80+1))</f>
        <v/>
      </c>
      <c r="B81">
        <f>IF($A81="","",COUNTIFS('Таблиця 1'!$B:$B,$A81,'Таблиця 1'!$E:$E,"ЖС ВЗ",'Таблиця 1'!$L:$L,"Уражено"))</f>
        <v/>
      </c>
      <c r="C81">
        <f>IF($A81="","",COUNTIFS('Таблиця 1'!$B:$B,$A81,'Таблиця 1'!$E:$E,"Арт. Системи",'Таблиця 1'!$L:$L,"Уражено"))</f>
        <v/>
      </c>
      <c r="D81">
        <f>IF($A81="","",COUNTIFS('Таблиця 1'!$B:$B,$A81,'Таблиця 1'!$E:$E,"ОВТ",'Таблиця 1'!$L:$L,"Уражено"))</f>
        <v/>
      </c>
      <c r="E81">
        <f>IF($A81="","",COUNTIFS('Таблиця 1'!$B:$B,$A81,'Таблиця 1'!$E:$E,"ППО",'Таблиця 1'!$L:$L,"Уражено"))</f>
        <v/>
      </c>
      <c r="F81">
        <f>IF($A81="","",COUNTIFS('Таблиця 1'!$B:$B,$A81,'Таблиця 1'!$E:$E,"Рембаза",'Таблиця 1'!$L:$L,"Уражено"))</f>
        <v/>
      </c>
      <c r="G81">
        <f>IF($A81="","",COUNTIFS('Таблиця 1'!$B:$B,$A81,'Таблиця 1'!$E:$E,"Склад БК",'Таблиця 1'!$L:$L,"Уражено"))</f>
        <v/>
      </c>
      <c r="H81">
        <f>IF($A81="","",COUNTIFS('Таблиця 1'!$B:$B,$A81,'Таблиця 1'!$E:$E,"Склад ВТМ",'Таблиця 1'!$L:$L,"Уражено"))</f>
        <v/>
      </c>
      <c r="I81">
        <f>IF($A81="","",COUNTIFS('Таблиця 1'!$B:$B,$A81,'Таблиця 1'!$E:$E,"ПУ БпЛА",'Таблиця 1'!$L:$L,"Уражено"))</f>
        <v/>
      </c>
      <c r="J81">
        <f>IF($A81="","",COUNTIFS('Таблиця 1'!$B:$B,$A81,'Таблиця 1'!$E:$E,"СП",'Таблиця 1'!$L:$L,"Уражено"))</f>
        <v/>
      </c>
      <c r="K81">
        <f>IF($A81="","",COUNTIFS('Таблиця 1'!$B:$B,$A81,'Таблиця 1'!$E:$E,"КСП роти",'Таблиця 1'!$L:$L,"Уражено"))</f>
        <v/>
      </c>
      <c r="L81">
        <f>IF($A81="","",COUNTIFS('Таблиця 1'!$B:$B,$A81,'Таблиця 1'!$E:$E,"ПУ бат",'Таблиця 1'!$L:$L,"Уражено"))</f>
        <v/>
      </c>
      <c r="M81">
        <f>IF($A81="","",COUNTIFS('Таблиця 1'!$B:$B,$A81,'Таблиця 1'!$E:$E,"ПУ бриг",'Таблиця 1'!$L:$L,"Уражено"))</f>
        <v/>
      </c>
      <c r="N81">
        <f>IF($A81="","",COUNTIFS('Таблиця 1'!$B:$B,$A81,'Таблиця 1'!$E:$E,"ПУ див",'Таблиця 1'!$L:$L,"Уражено"))</f>
        <v/>
      </c>
      <c r="O81">
        <f>IF($A81="","",COUNTIFS('Таблиця 1'!$B:$B,$A81,'Таблиця 1'!$E:$E,"обл. РЕБ",'Таблиця 1'!$L:$L,"Уражено"))</f>
        <v/>
      </c>
      <c r="P81">
        <f>IF($A81="","",COUNTIFS('Таблиця 1'!$B:$B,$A81,'Таблиця 1'!$E:$E,"пос РЕБ",'Таблиця 1'!$L:$L,"Уражено"))</f>
        <v/>
      </c>
      <c r="Q81">
        <f>IF($A81="","",COUNTIFS('Таблиця 1'!$B:$B,$A81,'Таблиця 1'!$E:$E,"група РЕР",'Таблиця 1'!$L:$L,"Уражено"))</f>
        <v/>
      </c>
      <c r="R81">
        <f>IF($A81="","",COUNTIFS('Таблиця 1'!$B:$B,$A81,'Таблиця 1'!$E:$E,"РЛС КББ",'Таблиця 1'!$L:$L,"Уражено"))</f>
        <v/>
      </c>
      <c r="S81">
        <f>IF($A81="","",COUNTIFS('Таблиця 1'!$B:$B,$A81,'Таблиця 1'!$E:$E,"Ретранслятор",'Таблиця 1'!$L:$L,"Уражено"))</f>
        <v/>
      </c>
      <c r="T81">
        <f>IF($A81="","",COUNTIFS('Таблиця 1'!$B:$B,$A81,'Таблиця 1'!$E:$E,"Вз.зв'язку",'Таблиця 1'!$L:$L,"Уражено"))</f>
        <v/>
      </c>
      <c r="U81">
        <f>IF($A81="","",COUNTIFS('Таблиця 1'!$B:$B,$A81,'Таблиця 1'!$E:$E,"ПММ",'Таблиця 1'!$L:$L,"Уражено"))</f>
        <v/>
      </c>
      <c r="V81">
        <f>IF($A81="","",COUNTIFS('Таблиця 1'!$B:$B,$A81,'Таблиця 1'!$E:$E,"ІФС",'Таблиця 1'!$L:$L,"Уражено"))</f>
        <v/>
      </c>
      <c r="W81">
        <f>IF($A81="","",COUNTIFS('Таблиця 1'!$B:$B,$A81,'Таблиця 1'!$E:$E,"Інфраструктура",'Таблиця 1'!$L:$L,"Уражено"))</f>
        <v/>
      </c>
      <c r="X81">
        <f>IF($A81="","",SUMIFS('Таблиця 1'!$K:$K,'Таблиця 1'!$B:$B,$A81))</f>
        <v/>
      </c>
    </row>
    <row r="82">
      <c r="A82" s="81">
        <f>IF(A81="","",IF(A81+1&gt;MAX('Таблиця 1'!$B:$B),"",A81+1))</f>
        <v/>
      </c>
      <c r="B82">
        <f>IF($A82="","",COUNTIFS('Таблиця 1'!$B:$B,$A82,'Таблиця 1'!$E:$E,"ЖС ВЗ",'Таблиця 1'!$L:$L,"Уражено"))</f>
        <v/>
      </c>
      <c r="C82">
        <f>IF($A82="","",COUNTIFS('Таблиця 1'!$B:$B,$A82,'Таблиця 1'!$E:$E,"Арт. Системи",'Таблиця 1'!$L:$L,"Уражено"))</f>
        <v/>
      </c>
      <c r="D82">
        <f>IF($A82="","",COUNTIFS('Таблиця 1'!$B:$B,$A82,'Таблиця 1'!$E:$E,"ОВТ",'Таблиця 1'!$L:$L,"Уражено"))</f>
        <v/>
      </c>
      <c r="E82">
        <f>IF($A82="","",COUNTIFS('Таблиця 1'!$B:$B,$A82,'Таблиця 1'!$E:$E,"ППО",'Таблиця 1'!$L:$L,"Уражено"))</f>
        <v/>
      </c>
      <c r="F82">
        <f>IF($A82="","",COUNTIFS('Таблиця 1'!$B:$B,$A82,'Таблиця 1'!$E:$E,"Рембаза",'Таблиця 1'!$L:$L,"Уражено"))</f>
        <v/>
      </c>
      <c r="G82">
        <f>IF($A82="","",COUNTIFS('Таблиця 1'!$B:$B,$A82,'Таблиця 1'!$E:$E,"Склад БК",'Таблиця 1'!$L:$L,"Уражено"))</f>
        <v/>
      </c>
      <c r="H82">
        <f>IF($A82="","",COUNTIFS('Таблиця 1'!$B:$B,$A82,'Таблиця 1'!$E:$E,"Склад ВТМ",'Таблиця 1'!$L:$L,"Уражено"))</f>
        <v/>
      </c>
      <c r="I82">
        <f>IF($A82="","",COUNTIFS('Таблиця 1'!$B:$B,$A82,'Таблиця 1'!$E:$E,"ПУ БпЛА",'Таблиця 1'!$L:$L,"Уражено"))</f>
        <v/>
      </c>
      <c r="J82">
        <f>IF($A82="","",COUNTIFS('Таблиця 1'!$B:$B,$A82,'Таблиця 1'!$E:$E,"СП",'Таблиця 1'!$L:$L,"Уражено"))</f>
        <v/>
      </c>
      <c r="K82">
        <f>IF($A82="","",COUNTIFS('Таблиця 1'!$B:$B,$A82,'Таблиця 1'!$E:$E,"КСП роти",'Таблиця 1'!$L:$L,"Уражено"))</f>
        <v/>
      </c>
      <c r="L82">
        <f>IF($A82="","",COUNTIFS('Таблиця 1'!$B:$B,$A82,'Таблиця 1'!$E:$E,"ПУ бат",'Таблиця 1'!$L:$L,"Уражено"))</f>
        <v/>
      </c>
      <c r="M82">
        <f>IF($A82="","",COUNTIFS('Таблиця 1'!$B:$B,$A82,'Таблиця 1'!$E:$E,"ПУ бриг",'Таблиця 1'!$L:$L,"Уражено"))</f>
        <v/>
      </c>
      <c r="N82">
        <f>IF($A82="","",COUNTIFS('Таблиця 1'!$B:$B,$A82,'Таблиця 1'!$E:$E,"ПУ див",'Таблиця 1'!$L:$L,"Уражено"))</f>
        <v/>
      </c>
      <c r="O82">
        <f>IF($A82="","",COUNTIFS('Таблиця 1'!$B:$B,$A82,'Таблиця 1'!$E:$E,"обл. РЕБ",'Таблиця 1'!$L:$L,"Уражено"))</f>
        <v/>
      </c>
      <c r="P82">
        <f>IF($A82="","",COUNTIFS('Таблиця 1'!$B:$B,$A82,'Таблиця 1'!$E:$E,"пос РЕБ",'Таблиця 1'!$L:$L,"Уражено"))</f>
        <v/>
      </c>
      <c r="Q82">
        <f>IF($A82="","",COUNTIFS('Таблиця 1'!$B:$B,$A82,'Таблиця 1'!$E:$E,"група РЕР",'Таблиця 1'!$L:$L,"Уражено"))</f>
        <v/>
      </c>
      <c r="R82">
        <f>IF($A82="","",COUNTIFS('Таблиця 1'!$B:$B,$A82,'Таблиця 1'!$E:$E,"РЛС КББ",'Таблиця 1'!$L:$L,"Уражено"))</f>
        <v/>
      </c>
      <c r="S82">
        <f>IF($A82="","",COUNTIFS('Таблиця 1'!$B:$B,$A82,'Таблиця 1'!$E:$E,"Ретранслятор",'Таблиця 1'!$L:$L,"Уражено"))</f>
        <v/>
      </c>
      <c r="T82">
        <f>IF($A82="","",COUNTIFS('Таблиця 1'!$B:$B,$A82,'Таблиця 1'!$E:$E,"Вз.зв'язку",'Таблиця 1'!$L:$L,"Уражено"))</f>
        <v/>
      </c>
      <c r="U82">
        <f>IF($A82="","",COUNTIFS('Таблиця 1'!$B:$B,$A82,'Таблиця 1'!$E:$E,"ПММ",'Таблиця 1'!$L:$L,"Уражено"))</f>
        <v/>
      </c>
      <c r="V82">
        <f>IF($A82="","",COUNTIFS('Таблиця 1'!$B:$B,$A82,'Таблиця 1'!$E:$E,"ІФС",'Таблиця 1'!$L:$L,"Уражено"))</f>
        <v/>
      </c>
      <c r="W82">
        <f>IF($A82="","",COUNTIFS('Таблиця 1'!$B:$B,$A82,'Таблиця 1'!$E:$E,"Інфраструктура",'Таблиця 1'!$L:$L,"Уражено"))</f>
        <v/>
      </c>
      <c r="X82">
        <f>IF($A82="","",SUMIFS('Таблиця 1'!$K:$K,'Таблиця 1'!$B:$B,$A82))</f>
        <v/>
      </c>
    </row>
    <row r="83">
      <c r="A83" s="81">
        <f>IF(A82="","",IF(A82+1&gt;MAX('Таблиця 1'!$B:$B),"",A82+1))</f>
        <v/>
      </c>
      <c r="B83">
        <f>IF($A83="","",COUNTIFS('Таблиця 1'!$B:$B,$A83,'Таблиця 1'!$E:$E,"ЖС ВЗ",'Таблиця 1'!$L:$L,"Уражено"))</f>
        <v/>
      </c>
      <c r="C83">
        <f>IF($A83="","",COUNTIFS('Таблиця 1'!$B:$B,$A83,'Таблиця 1'!$E:$E,"Арт. Системи",'Таблиця 1'!$L:$L,"Уражено"))</f>
        <v/>
      </c>
      <c r="D83">
        <f>IF($A83="","",COUNTIFS('Таблиця 1'!$B:$B,$A83,'Таблиця 1'!$E:$E,"ОВТ",'Таблиця 1'!$L:$L,"Уражено"))</f>
        <v/>
      </c>
      <c r="E83">
        <f>IF($A83="","",COUNTIFS('Таблиця 1'!$B:$B,$A83,'Таблиця 1'!$E:$E,"ППО",'Таблиця 1'!$L:$L,"Уражено"))</f>
        <v/>
      </c>
      <c r="F83">
        <f>IF($A83="","",COUNTIFS('Таблиця 1'!$B:$B,$A83,'Таблиця 1'!$E:$E,"Рембаза",'Таблиця 1'!$L:$L,"Уражено"))</f>
        <v/>
      </c>
      <c r="G83">
        <f>IF($A83="","",COUNTIFS('Таблиця 1'!$B:$B,$A83,'Таблиця 1'!$E:$E,"Склад БК",'Таблиця 1'!$L:$L,"Уражено"))</f>
        <v/>
      </c>
      <c r="H83">
        <f>IF($A83="","",COUNTIFS('Таблиця 1'!$B:$B,$A83,'Таблиця 1'!$E:$E,"Склад ВТМ",'Таблиця 1'!$L:$L,"Уражено"))</f>
        <v/>
      </c>
      <c r="I83">
        <f>IF($A83="","",COUNTIFS('Таблиця 1'!$B:$B,$A83,'Таблиця 1'!$E:$E,"ПУ БпЛА",'Таблиця 1'!$L:$L,"Уражено"))</f>
        <v/>
      </c>
      <c r="J83">
        <f>IF($A83="","",COUNTIFS('Таблиця 1'!$B:$B,$A83,'Таблиця 1'!$E:$E,"СП",'Таблиця 1'!$L:$L,"Уражено"))</f>
        <v/>
      </c>
      <c r="K83">
        <f>IF($A83="","",COUNTIFS('Таблиця 1'!$B:$B,$A83,'Таблиця 1'!$E:$E,"КСП роти",'Таблиця 1'!$L:$L,"Уражено"))</f>
        <v/>
      </c>
      <c r="L83">
        <f>IF($A83="","",COUNTIFS('Таблиця 1'!$B:$B,$A83,'Таблиця 1'!$E:$E,"ПУ бат",'Таблиця 1'!$L:$L,"Уражено"))</f>
        <v/>
      </c>
      <c r="M83">
        <f>IF($A83="","",COUNTIFS('Таблиця 1'!$B:$B,$A83,'Таблиця 1'!$E:$E,"ПУ бриг",'Таблиця 1'!$L:$L,"Уражено"))</f>
        <v/>
      </c>
      <c r="N83">
        <f>IF($A83="","",COUNTIFS('Таблиця 1'!$B:$B,$A83,'Таблиця 1'!$E:$E,"ПУ див",'Таблиця 1'!$L:$L,"Уражено"))</f>
        <v/>
      </c>
      <c r="O83">
        <f>IF($A83="","",COUNTIFS('Таблиця 1'!$B:$B,$A83,'Таблиця 1'!$E:$E,"обл. РЕБ",'Таблиця 1'!$L:$L,"Уражено"))</f>
        <v/>
      </c>
      <c r="P83">
        <f>IF($A83="","",COUNTIFS('Таблиця 1'!$B:$B,$A83,'Таблиця 1'!$E:$E,"пос РЕБ",'Таблиця 1'!$L:$L,"Уражено"))</f>
        <v/>
      </c>
      <c r="Q83">
        <f>IF($A83="","",COUNTIFS('Таблиця 1'!$B:$B,$A83,'Таблиця 1'!$E:$E,"група РЕР",'Таблиця 1'!$L:$L,"Уражено"))</f>
        <v/>
      </c>
      <c r="R83">
        <f>IF($A83="","",COUNTIFS('Таблиця 1'!$B:$B,$A83,'Таблиця 1'!$E:$E,"РЛС КББ",'Таблиця 1'!$L:$L,"Уражено"))</f>
        <v/>
      </c>
      <c r="S83">
        <f>IF($A83="","",COUNTIFS('Таблиця 1'!$B:$B,$A83,'Таблиця 1'!$E:$E,"Ретранслятор",'Таблиця 1'!$L:$L,"Уражено"))</f>
        <v/>
      </c>
      <c r="T83">
        <f>IF($A83="","",COUNTIFS('Таблиця 1'!$B:$B,$A83,'Таблиця 1'!$E:$E,"Вз.зв'язку",'Таблиця 1'!$L:$L,"Уражено"))</f>
        <v/>
      </c>
      <c r="U83">
        <f>IF($A83="","",COUNTIFS('Таблиця 1'!$B:$B,$A83,'Таблиця 1'!$E:$E,"ПММ",'Таблиця 1'!$L:$L,"Уражено"))</f>
        <v/>
      </c>
      <c r="V83">
        <f>IF($A83="","",COUNTIFS('Таблиця 1'!$B:$B,$A83,'Таблиця 1'!$E:$E,"ІФС",'Таблиця 1'!$L:$L,"Уражено"))</f>
        <v/>
      </c>
      <c r="W83">
        <f>IF($A83="","",COUNTIFS('Таблиця 1'!$B:$B,$A83,'Таблиця 1'!$E:$E,"Інфраструктура",'Таблиця 1'!$L:$L,"Уражено"))</f>
        <v/>
      </c>
      <c r="X83">
        <f>IF($A83="","",SUMIFS('Таблиця 1'!$K:$K,'Таблиця 1'!$B:$B,$A83))</f>
        <v/>
      </c>
    </row>
    <row r="84">
      <c r="A84" s="81">
        <f>IF(A83="","",IF(A83+1&gt;MAX('Таблиця 1'!$B:$B),"",A83+1))</f>
        <v/>
      </c>
      <c r="B84">
        <f>IF($A84="","",COUNTIFS('Таблиця 1'!$B:$B,$A84,'Таблиця 1'!$E:$E,"ЖС ВЗ",'Таблиця 1'!$L:$L,"Уражено"))</f>
        <v/>
      </c>
      <c r="C84">
        <f>IF($A84="","",COUNTIFS('Таблиця 1'!$B:$B,$A84,'Таблиця 1'!$E:$E,"Арт. Системи",'Таблиця 1'!$L:$L,"Уражено"))</f>
        <v/>
      </c>
      <c r="D84">
        <f>IF($A84="","",COUNTIFS('Таблиця 1'!$B:$B,$A84,'Таблиця 1'!$E:$E,"ОВТ",'Таблиця 1'!$L:$L,"Уражено"))</f>
        <v/>
      </c>
      <c r="E84">
        <f>IF($A84="","",COUNTIFS('Таблиця 1'!$B:$B,$A84,'Таблиця 1'!$E:$E,"ППО",'Таблиця 1'!$L:$L,"Уражено"))</f>
        <v/>
      </c>
      <c r="F84">
        <f>IF($A84="","",COUNTIFS('Таблиця 1'!$B:$B,$A84,'Таблиця 1'!$E:$E,"Рембаза",'Таблиця 1'!$L:$L,"Уражено"))</f>
        <v/>
      </c>
      <c r="G84">
        <f>IF($A84="","",COUNTIFS('Таблиця 1'!$B:$B,$A84,'Таблиця 1'!$E:$E,"Склад БК",'Таблиця 1'!$L:$L,"Уражено"))</f>
        <v/>
      </c>
      <c r="H84">
        <f>IF($A84="","",COUNTIFS('Таблиця 1'!$B:$B,$A84,'Таблиця 1'!$E:$E,"Склад ВТМ",'Таблиця 1'!$L:$L,"Уражено"))</f>
        <v/>
      </c>
      <c r="I84">
        <f>IF($A84="","",COUNTIFS('Таблиця 1'!$B:$B,$A84,'Таблиця 1'!$E:$E,"ПУ БпЛА",'Таблиця 1'!$L:$L,"Уражено"))</f>
        <v/>
      </c>
      <c r="J84">
        <f>IF($A84="","",COUNTIFS('Таблиця 1'!$B:$B,$A84,'Таблиця 1'!$E:$E,"СП",'Таблиця 1'!$L:$L,"Уражено"))</f>
        <v/>
      </c>
      <c r="K84">
        <f>IF($A84="","",COUNTIFS('Таблиця 1'!$B:$B,$A84,'Таблиця 1'!$E:$E,"КСП роти",'Таблиця 1'!$L:$L,"Уражено"))</f>
        <v/>
      </c>
      <c r="L84">
        <f>IF($A84="","",COUNTIFS('Таблиця 1'!$B:$B,$A84,'Таблиця 1'!$E:$E,"ПУ бат",'Таблиця 1'!$L:$L,"Уражено"))</f>
        <v/>
      </c>
      <c r="M84">
        <f>IF($A84="","",COUNTIFS('Таблиця 1'!$B:$B,$A84,'Таблиця 1'!$E:$E,"ПУ бриг",'Таблиця 1'!$L:$L,"Уражено"))</f>
        <v/>
      </c>
      <c r="N84">
        <f>IF($A84="","",COUNTIFS('Таблиця 1'!$B:$B,$A84,'Таблиця 1'!$E:$E,"ПУ див",'Таблиця 1'!$L:$L,"Уражено"))</f>
        <v/>
      </c>
      <c r="O84">
        <f>IF($A84="","",COUNTIFS('Таблиця 1'!$B:$B,$A84,'Таблиця 1'!$E:$E,"обл. РЕБ",'Таблиця 1'!$L:$L,"Уражено"))</f>
        <v/>
      </c>
      <c r="P84">
        <f>IF($A84="","",COUNTIFS('Таблиця 1'!$B:$B,$A84,'Таблиця 1'!$E:$E,"пос РЕБ",'Таблиця 1'!$L:$L,"Уражено"))</f>
        <v/>
      </c>
      <c r="Q84">
        <f>IF($A84="","",COUNTIFS('Таблиця 1'!$B:$B,$A84,'Таблиця 1'!$E:$E,"група РЕР",'Таблиця 1'!$L:$L,"Уражено"))</f>
        <v/>
      </c>
      <c r="R84">
        <f>IF($A84="","",COUNTIFS('Таблиця 1'!$B:$B,$A84,'Таблиця 1'!$E:$E,"РЛС КББ",'Таблиця 1'!$L:$L,"Уражено"))</f>
        <v/>
      </c>
      <c r="S84">
        <f>IF($A84="","",COUNTIFS('Таблиця 1'!$B:$B,$A84,'Таблиця 1'!$E:$E,"Ретранслятор",'Таблиця 1'!$L:$L,"Уражено"))</f>
        <v/>
      </c>
      <c r="T84">
        <f>IF($A84="","",COUNTIFS('Таблиця 1'!$B:$B,$A84,'Таблиця 1'!$E:$E,"Вз.зв'язку",'Таблиця 1'!$L:$L,"Уражено"))</f>
        <v/>
      </c>
      <c r="U84">
        <f>IF($A84="","",COUNTIFS('Таблиця 1'!$B:$B,$A84,'Таблиця 1'!$E:$E,"ПММ",'Таблиця 1'!$L:$L,"Уражено"))</f>
        <v/>
      </c>
      <c r="V84">
        <f>IF($A84="","",COUNTIFS('Таблиця 1'!$B:$B,$A84,'Таблиця 1'!$E:$E,"ІФС",'Таблиця 1'!$L:$L,"Уражено"))</f>
        <v/>
      </c>
      <c r="W84">
        <f>IF($A84="","",COUNTIFS('Таблиця 1'!$B:$B,$A84,'Таблиця 1'!$E:$E,"Інфраструктура",'Таблиця 1'!$L:$L,"Уражено"))</f>
        <v/>
      </c>
      <c r="X84">
        <f>IF($A84="","",SUMIFS('Таблиця 1'!$K:$K,'Таблиця 1'!$B:$B,$A84))</f>
        <v/>
      </c>
    </row>
    <row r="85">
      <c r="A85" s="81">
        <f>IF(A84="","",IF(A84+1&gt;MAX('Таблиця 1'!$B:$B),"",A84+1))</f>
        <v/>
      </c>
      <c r="B85">
        <f>IF($A85="","",COUNTIFS('Таблиця 1'!$B:$B,$A85,'Таблиця 1'!$E:$E,"ЖС ВЗ",'Таблиця 1'!$L:$L,"Уражено"))</f>
        <v/>
      </c>
      <c r="C85">
        <f>IF($A85="","",COUNTIFS('Таблиця 1'!$B:$B,$A85,'Таблиця 1'!$E:$E,"Арт. Системи",'Таблиця 1'!$L:$L,"Уражено"))</f>
        <v/>
      </c>
      <c r="D85">
        <f>IF($A85="","",COUNTIFS('Таблиця 1'!$B:$B,$A85,'Таблиця 1'!$E:$E,"ОВТ",'Таблиця 1'!$L:$L,"Уражено"))</f>
        <v/>
      </c>
      <c r="E85">
        <f>IF($A85="","",COUNTIFS('Таблиця 1'!$B:$B,$A85,'Таблиця 1'!$E:$E,"ППО",'Таблиця 1'!$L:$L,"Уражено"))</f>
        <v/>
      </c>
      <c r="F85">
        <f>IF($A85="","",COUNTIFS('Таблиця 1'!$B:$B,$A85,'Таблиця 1'!$E:$E,"Рембаза",'Таблиця 1'!$L:$L,"Уражено"))</f>
        <v/>
      </c>
      <c r="G85">
        <f>IF($A85="","",COUNTIFS('Таблиця 1'!$B:$B,$A85,'Таблиця 1'!$E:$E,"Склад БК",'Таблиця 1'!$L:$L,"Уражено"))</f>
        <v/>
      </c>
      <c r="H85">
        <f>IF($A85="","",COUNTIFS('Таблиця 1'!$B:$B,$A85,'Таблиця 1'!$E:$E,"Склад ВТМ",'Таблиця 1'!$L:$L,"Уражено"))</f>
        <v/>
      </c>
      <c r="I85">
        <f>IF($A85="","",COUNTIFS('Таблиця 1'!$B:$B,$A85,'Таблиця 1'!$E:$E,"ПУ БпЛА",'Таблиця 1'!$L:$L,"Уражено"))</f>
        <v/>
      </c>
      <c r="J85">
        <f>IF($A85="","",COUNTIFS('Таблиця 1'!$B:$B,$A85,'Таблиця 1'!$E:$E,"СП",'Таблиця 1'!$L:$L,"Уражено"))</f>
        <v/>
      </c>
      <c r="K85">
        <f>IF($A85="","",COUNTIFS('Таблиця 1'!$B:$B,$A85,'Таблиця 1'!$E:$E,"КСП роти",'Таблиця 1'!$L:$L,"Уражено"))</f>
        <v/>
      </c>
      <c r="L85">
        <f>IF($A85="","",COUNTIFS('Таблиця 1'!$B:$B,$A85,'Таблиця 1'!$E:$E,"ПУ бат",'Таблиця 1'!$L:$L,"Уражено"))</f>
        <v/>
      </c>
      <c r="M85">
        <f>IF($A85="","",COUNTIFS('Таблиця 1'!$B:$B,$A85,'Таблиця 1'!$E:$E,"ПУ бриг",'Таблиця 1'!$L:$L,"Уражено"))</f>
        <v/>
      </c>
      <c r="N85">
        <f>IF($A85="","",COUNTIFS('Таблиця 1'!$B:$B,$A85,'Таблиця 1'!$E:$E,"ПУ див",'Таблиця 1'!$L:$L,"Уражено"))</f>
        <v/>
      </c>
      <c r="O85">
        <f>IF($A85="","",COUNTIFS('Таблиця 1'!$B:$B,$A85,'Таблиця 1'!$E:$E,"обл. РЕБ",'Таблиця 1'!$L:$L,"Уражено"))</f>
        <v/>
      </c>
      <c r="P85">
        <f>IF($A85="","",COUNTIFS('Таблиця 1'!$B:$B,$A85,'Таблиця 1'!$E:$E,"пос РЕБ",'Таблиця 1'!$L:$L,"Уражено"))</f>
        <v/>
      </c>
      <c r="Q85">
        <f>IF($A85="","",COUNTIFS('Таблиця 1'!$B:$B,$A85,'Таблиця 1'!$E:$E,"група РЕР",'Таблиця 1'!$L:$L,"Уражено"))</f>
        <v/>
      </c>
      <c r="R85">
        <f>IF($A85="","",COUNTIFS('Таблиця 1'!$B:$B,$A85,'Таблиця 1'!$E:$E,"РЛС КББ",'Таблиця 1'!$L:$L,"Уражено"))</f>
        <v/>
      </c>
      <c r="S85">
        <f>IF($A85="","",COUNTIFS('Таблиця 1'!$B:$B,$A85,'Таблиця 1'!$E:$E,"Ретранслятор",'Таблиця 1'!$L:$L,"Уражено"))</f>
        <v/>
      </c>
      <c r="T85">
        <f>IF($A85="","",COUNTIFS('Таблиця 1'!$B:$B,$A85,'Таблиця 1'!$E:$E,"Вз.зв'язку",'Таблиця 1'!$L:$L,"Уражено"))</f>
        <v/>
      </c>
      <c r="U85">
        <f>IF($A85="","",COUNTIFS('Таблиця 1'!$B:$B,$A85,'Таблиця 1'!$E:$E,"ПММ",'Таблиця 1'!$L:$L,"Уражено"))</f>
        <v/>
      </c>
      <c r="V85">
        <f>IF($A85="","",COUNTIFS('Таблиця 1'!$B:$B,$A85,'Таблиця 1'!$E:$E,"ІФС",'Таблиця 1'!$L:$L,"Уражено"))</f>
        <v/>
      </c>
      <c r="W85">
        <f>IF($A85="","",COUNTIFS('Таблиця 1'!$B:$B,$A85,'Таблиця 1'!$E:$E,"Інфраструктура",'Таблиця 1'!$L:$L,"Уражено"))</f>
        <v/>
      </c>
      <c r="X85">
        <f>IF($A85="","",SUMIFS('Таблиця 1'!$K:$K,'Таблиця 1'!$B:$B,$A85))</f>
        <v/>
      </c>
    </row>
    <row r="86">
      <c r="A86" s="81">
        <f>IF(A85="","",IF(A85+1&gt;MAX('Таблиця 1'!$B:$B),"",A85+1))</f>
        <v/>
      </c>
      <c r="B86">
        <f>IF($A86="","",COUNTIFS('Таблиця 1'!$B:$B,$A86,'Таблиця 1'!$E:$E,"ЖС ВЗ",'Таблиця 1'!$L:$L,"Уражено"))</f>
        <v/>
      </c>
      <c r="C86">
        <f>IF($A86="","",COUNTIFS('Таблиця 1'!$B:$B,$A86,'Таблиця 1'!$E:$E,"Арт. Системи",'Таблиця 1'!$L:$L,"Уражено"))</f>
        <v/>
      </c>
      <c r="D86">
        <f>IF($A86="","",COUNTIFS('Таблиця 1'!$B:$B,$A86,'Таблиця 1'!$E:$E,"ОВТ",'Таблиця 1'!$L:$L,"Уражено"))</f>
        <v/>
      </c>
      <c r="E86">
        <f>IF($A86="","",COUNTIFS('Таблиця 1'!$B:$B,$A86,'Таблиця 1'!$E:$E,"ППО",'Таблиця 1'!$L:$L,"Уражено"))</f>
        <v/>
      </c>
      <c r="F86">
        <f>IF($A86="","",COUNTIFS('Таблиця 1'!$B:$B,$A86,'Таблиця 1'!$E:$E,"Рембаза",'Таблиця 1'!$L:$L,"Уражено"))</f>
        <v/>
      </c>
      <c r="G86">
        <f>IF($A86="","",COUNTIFS('Таблиця 1'!$B:$B,$A86,'Таблиця 1'!$E:$E,"Склад БК",'Таблиця 1'!$L:$L,"Уражено"))</f>
        <v/>
      </c>
      <c r="H86">
        <f>IF($A86="","",COUNTIFS('Таблиця 1'!$B:$B,$A86,'Таблиця 1'!$E:$E,"Склад ВТМ",'Таблиця 1'!$L:$L,"Уражено"))</f>
        <v/>
      </c>
      <c r="I86">
        <f>IF($A86="","",COUNTIFS('Таблиця 1'!$B:$B,$A86,'Таблиця 1'!$E:$E,"ПУ БпЛА",'Таблиця 1'!$L:$L,"Уражено"))</f>
        <v/>
      </c>
      <c r="J86">
        <f>IF($A86="","",COUNTIFS('Таблиця 1'!$B:$B,$A86,'Таблиця 1'!$E:$E,"СП",'Таблиця 1'!$L:$L,"Уражено"))</f>
        <v/>
      </c>
      <c r="K86">
        <f>IF($A86="","",COUNTIFS('Таблиця 1'!$B:$B,$A86,'Таблиця 1'!$E:$E,"КСП роти",'Таблиця 1'!$L:$L,"Уражено"))</f>
        <v/>
      </c>
      <c r="L86">
        <f>IF($A86="","",COUNTIFS('Таблиця 1'!$B:$B,$A86,'Таблиця 1'!$E:$E,"ПУ бат",'Таблиця 1'!$L:$L,"Уражено"))</f>
        <v/>
      </c>
      <c r="M86">
        <f>IF($A86="","",COUNTIFS('Таблиця 1'!$B:$B,$A86,'Таблиця 1'!$E:$E,"ПУ бриг",'Таблиця 1'!$L:$L,"Уражено"))</f>
        <v/>
      </c>
      <c r="N86">
        <f>IF($A86="","",COUNTIFS('Таблиця 1'!$B:$B,$A86,'Таблиця 1'!$E:$E,"ПУ див",'Таблиця 1'!$L:$L,"Уражено"))</f>
        <v/>
      </c>
      <c r="O86">
        <f>IF($A86="","",COUNTIFS('Таблиця 1'!$B:$B,$A86,'Таблиця 1'!$E:$E,"обл. РЕБ",'Таблиця 1'!$L:$L,"Уражено"))</f>
        <v/>
      </c>
      <c r="P86">
        <f>IF($A86="","",COUNTIFS('Таблиця 1'!$B:$B,$A86,'Таблиця 1'!$E:$E,"пос РЕБ",'Таблиця 1'!$L:$L,"Уражено"))</f>
        <v/>
      </c>
      <c r="Q86">
        <f>IF($A86="","",COUNTIFS('Таблиця 1'!$B:$B,$A86,'Таблиця 1'!$E:$E,"група РЕР",'Таблиця 1'!$L:$L,"Уражено"))</f>
        <v/>
      </c>
      <c r="R86">
        <f>IF($A86="","",COUNTIFS('Таблиця 1'!$B:$B,$A86,'Таблиця 1'!$E:$E,"РЛС КББ",'Таблиця 1'!$L:$L,"Уражено"))</f>
        <v/>
      </c>
      <c r="S86">
        <f>IF($A86="","",COUNTIFS('Таблиця 1'!$B:$B,$A86,'Таблиця 1'!$E:$E,"Ретранслятор",'Таблиця 1'!$L:$L,"Уражено"))</f>
        <v/>
      </c>
      <c r="T86">
        <f>IF($A86="","",COUNTIFS('Таблиця 1'!$B:$B,$A86,'Таблиця 1'!$E:$E,"Вз.зв'язку",'Таблиця 1'!$L:$L,"Уражено"))</f>
        <v/>
      </c>
      <c r="U86">
        <f>IF($A86="","",COUNTIFS('Таблиця 1'!$B:$B,$A86,'Таблиця 1'!$E:$E,"ПММ",'Таблиця 1'!$L:$L,"Уражено"))</f>
        <v/>
      </c>
      <c r="V86">
        <f>IF($A86="","",COUNTIFS('Таблиця 1'!$B:$B,$A86,'Таблиця 1'!$E:$E,"ІФС",'Таблиця 1'!$L:$L,"Уражено"))</f>
        <v/>
      </c>
      <c r="W86">
        <f>IF($A86="","",COUNTIFS('Таблиця 1'!$B:$B,$A86,'Таблиця 1'!$E:$E,"Інфраструктура",'Таблиця 1'!$L:$L,"Уражено"))</f>
        <v/>
      </c>
      <c r="X86">
        <f>IF($A86="","",SUMIFS('Таблиця 1'!$K:$K,'Таблиця 1'!$B:$B,$A86))</f>
        <v/>
      </c>
    </row>
    <row r="87">
      <c r="A87" s="81">
        <f>IF(A86="","",IF(A86+1&gt;MAX('Таблиця 1'!$B:$B),"",A86+1))</f>
        <v/>
      </c>
      <c r="B87">
        <f>IF($A87="","",COUNTIFS('Таблиця 1'!$B:$B,$A87,'Таблиця 1'!$E:$E,"ЖС ВЗ",'Таблиця 1'!$L:$L,"Уражено"))</f>
        <v/>
      </c>
      <c r="C87">
        <f>IF($A87="","",COUNTIFS('Таблиця 1'!$B:$B,$A87,'Таблиця 1'!$E:$E,"Арт. Системи",'Таблиця 1'!$L:$L,"Уражено"))</f>
        <v/>
      </c>
      <c r="D87">
        <f>IF($A87="","",COUNTIFS('Таблиця 1'!$B:$B,$A87,'Таблиця 1'!$E:$E,"ОВТ",'Таблиця 1'!$L:$L,"Уражено"))</f>
        <v/>
      </c>
      <c r="E87">
        <f>IF($A87="","",COUNTIFS('Таблиця 1'!$B:$B,$A87,'Таблиця 1'!$E:$E,"ППО",'Таблиця 1'!$L:$L,"Уражено"))</f>
        <v/>
      </c>
      <c r="F87">
        <f>IF($A87="","",COUNTIFS('Таблиця 1'!$B:$B,$A87,'Таблиця 1'!$E:$E,"Рембаза",'Таблиця 1'!$L:$L,"Уражено"))</f>
        <v/>
      </c>
      <c r="G87">
        <f>IF($A87="","",COUNTIFS('Таблиця 1'!$B:$B,$A87,'Таблиця 1'!$E:$E,"Склад БК",'Таблиця 1'!$L:$L,"Уражено"))</f>
        <v/>
      </c>
      <c r="H87">
        <f>IF($A87="","",COUNTIFS('Таблиця 1'!$B:$B,$A87,'Таблиця 1'!$E:$E,"Склад ВТМ",'Таблиця 1'!$L:$L,"Уражено"))</f>
        <v/>
      </c>
      <c r="I87">
        <f>IF($A87="","",COUNTIFS('Таблиця 1'!$B:$B,$A87,'Таблиця 1'!$E:$E,"ПУ БпЛА",'Таблиця 1'!$L:$L,"Уражено"))</f>
        <v/>
      </c>
      <c r="J87">
        <f>IF($A87="","",COUNTIFS('Таблиця 1'!$B:$B,$A87,'Таблиця 1'!$E:$E,"СП",'Таблиця 1'!$L:$L,"Уражено"))</f>
        <v/>
      </c>
      <c r="K87">
        <f>IF($A87="","",COUNTIFS('Таблиця 1'!$B:$B,$A87,'Таблиця 1'!$E:$E,"КСП роти",'Таблиця 1'!$L:$L,"Уражено"))</f>
        <v/>
      </c>
      <c r="L87">
        <f>IF($A87="","",COUNTIFS('Таблиця 1'!$B:$B,$A87,'Таблиця 1'!$E:$E,"ПУ бат",'Таблиця 1'!$L:$L,"Уражено"))</f>
        <v/>
      </c>
      <c r="M87">
        <f>IF($A87="","",COUNTIFS('Таблиця 1'!$B:$B,$A87,'Таблиця 1'!$E:$E,"ПУ бриг",'Таблиця 1'!$L:$L,"Уражено"))</f>
        <v/>
      </c>
      <c r="N87">
        <f>IF($A87="","",COUNTIFS('Таблиця 1'!$B:$B,$A87,'Таблиця 1'!$E:$E,"ПУ див",'Таблиця 1'!$L:$L,"Уражено"))</f>
        <v/>
      </c>
      <c r="O87">
        <f>IF($A87="","",COUNTIFS('Таблиця 1'!$B:$B,$A87,'Таблиця 1'!$E:$E,"обл. РЕБ",'Таблиця 1'!$L:$L,"Уражено"))</f>
        <v/>
      </c>
      <c r="P87">
        <f>IF($A87="","",COUNTIFS('Таблиця 1'!$B:$B,$A87,'Таблиця 1'!$E:$E,"пос РЕБ",'Таблиця 1'!$L:$L,"Уражено"))</f>
        <v/>
      </c>
      <c r="Q87">
        <f>IF($A87="","",COUNTIFS('Таблиця 1'!$B:$B,$A87,'Таблиця 1'!$E:$E,"група РЕР",'Таблиця 1'!$L:$L,"Уражено"))</f>
        <v/>
      </c>
      <c r="R87">
        <f>IF($A87="","",COUNTIFS('Таблиця 1'!$B:$B,$A87,'Таблиця 1'!$E:$E,"РЛС КББ",'Таблиця 1'!$L:$L,"Уражено"))</f>
        <v/>
      </c>
      <c r="S87">
        <f>IF($A87="","",COUNTIFS('Таблиця 1'!$B:$B,$A87,'Таблиця 1'!$E:$E,"Ретранслятор",'Таблиця 1'!$L:$L,"Уражено"))</f>
        <v/>
      </c>
      <c r="T87">
        <f>IF($A87="","",COUNTIFS('Таблиця 1'!$B:$B,$A87,'Таблиця 1'!$E:$E,"Вз.зв'язку",'Таблиця 1'!$L:$L,"Уражено"))</f>
        <v/>
      </c>
      <c r="U87">
        <f>IF($A87="","",COUNTIFS('Таблиця 1'!$B:$B,$A87,'Таблиця 1'!$E:$E,"ПММ",'Таблиця 1'!$L:$L,"Уражено"))</f>
        <v/>
      </c>
      <c r="V87">
        <f>IF($A87="","",COUNTIFS('Таблиця 1'!$B:$B,$A87,'Таблиця 1'!$E:$E,"ІФС",'Таблиця 1'!$L:$L,"Уражено"))</f>
        <v/>
      </c>
      <c r="W87">
        <f>IF($A87="","",COUNTIFS('Таблиця 1'!$B:$B,$A87,'Таблиця 1'!$E:$E,"Інфраструктура",'Таблиця 1'!$L:$L,"Уражено"))</f>
        <v/>
      </c>
      <c r="X87">
        <f>IF($A87="","",SUMIFS('Таблиця 1'!$K:$K,'Таблиця 1'!$B:$B,$A87))</f>
        <v/>
      </c>
    </row>
    <row r="88">
      <c r="A88" s="81">
        <f>IF(A87="","",IF(A87+1&gt;MAX('Таблиця 1'!$B:$B),"",A87+1))</f>
        <v/>
      </c>
      <c r="B88">
        <f>IF($A88="","",COUNTIFS('Таблиця 1'!$B:$B,$A88,'Таблиця 1'!$E:$E,"ЖС ВЗ",'Таблиця 1'!$L:$L,"Уражено"))</f>
        <v/>
      </c>
      <c r="C88">
        <f>IF($A88="","",COUNTIFS('Таблиця 1'!$B:$B,$A88,'Таблиця 1'!$E:$E,"Арт. Системи",'Таблиця 1'!$L:$L,"Уражено"))</f>
        <v/>
      </c>
      <c r="D88">
        <f>IF($A88="","",COUNTIFS('Таблиця 1'!$B:$B,$A88,'Таблиця 1'!$E:$E,"ОВТ",'Таблиця 1'!$L:$L,"Уражено"))</f>
        <v/>
      </c>
      <c r="E88">
        <f>IF($A88="","",COUNTIFS('Таблиця 1'!$B:$B,$A88,'Таблиця 1'!$E:$E,"ППО",'Таблиця 1'!$L:$L,"Уражено"))</f>
        <v/>
      </c>
      <c r="F88">
        <f>IF($A88="","",COUNTIFS('Таблиця 1'!$B:$B,$A88,'Таблиця 1'!$E:$E,"Рембаза",'Таблиця 1'!$L:$L,"Уражено"))</f>
        <v/>
      </c>
      <c r="G88">
        <f>IF($A88="","",COUNTIFS('Таблиця 1'!$B:$B,$A88,'Таблиця 1'!$E:$E,"Склад БК",'Таблиця 1'!$L:$L,"Уражено"))</f>
        <v/>
      </c>
      <c r="H88">
        <f>IF($A88="","",COUNTIFS('Таблиця 1'!$B:$B,$A88,'Таблиця 1'!$E:$E,"Склад ВТМ",'Таблиця 1'!$L:$L,"Уражено"))</f>
        <v/>
      </c>
      <c r="I88">
        <f>IF($A88="","",COUNTIFS('Таблиця 1'!$B:$B,$A88,'Таблиця 1'!$E:$E,"ПУ БпЛА",'Таблиця 1'!$L:$L,"Уражено"))</f>
        <v/>
      </c>
      <c r="J88">
        <f>IF($A88="","",COUNTIFS('Таблиця 1'!$B:$B,$A88,'Таблиця 1'!$E:$E,"СП",'Таблиця 1'!$L:$L,"Уражено"))</f>
        <v/>
      </c>
      <c r="K88">
        <f>IF($A88="","",COUNTIFS('Таблиця 1'!$B:$B,$A88,'Таблиця 1'!$E:$E,"КСП роти",'Таблиця 1'!$L:$L,"Уражено"))</f>
        <v/>
      </c>
      <c r="L88">
        <f>IF($A88="","",COUNTIFS('Таблиця 1'!$B:$B,$A88,'Таблиця 1'!$E:$E,"ПУ бат",'Таблиця 1'!$L:$L,"Уражено"))</f>
        <v/>
      </c>
      <c r="M88">
        <f>IF($A88="","",COUNTIFS('Таблиця 1'!$B:$B,$A88,'Таблиця 1'!$E:$E,"ПУ бриг",'Таблиця 1'!$L:$L,"Уражено"))</f>
        <v/>
      </c>
      <c r="N88">
        <f>IF($A88="","",COUNTIFS('Таблиця 1'!$B:$B,$A88,'Таблиця 1'!$E:$E,"ПУ див",'Таблиця 1'!$L:$L,"Уражено"))</f>
        <v/>
      </c>
      <c r="O88">
        <f>IF($A88="","",COUNTIFS('Таблиця 1'!$B:$B,$A88,'Таблиця 1'!$E:$E,"обл. РЕБ",'Таблиця 1'!$L:$L,"Уражено"))</f>
        <v/>
      </c>
      <c r="P88">
        <f>IF($A88="","",COUNTIFS('Таблиця 1'!$B:$B,$A88,'Таблиця 1'!$E:$E,"пос РЕБ",'Таблиця 1'!$L:$L,"Уражено"))</f>
        <v/>
      </c>
      <c r="Q88">
        <f>IF($A88="","",COUNTIFS('Таблиця 1'!$B:$B,$A88,'Таблиця 1'!$E:$E,"група РЕР",'Таблиця 1'!$L:$L,"Уражено"))</f>
        <v/>
      </c>
      <c r="R88">
        <f>IF($A88="","",COUNTIFS('Таблиця 1'!$B:$B,$A88,'Таблиця 1'!$E:$E,"РЛС КББ",'Таблиця 1'!$L:$L,"Уражено"))</f>
        <v/>
      </c>
      <c r="S88">
        <f>IF($A88="","",COUNTIFS('Таблиця 1'!$B:$B,$A88,'Таблиця 1'!$E:$E,"Ретранслятор",'Таблиця 1'!$L:$L,"Уражено"))</f>
        <v/>
      </c>
      <c r="T88">
        <f>IF($A88="","",COUNTIFS('Таблиця 1'!$B:$B,$A88,'Таблиця 1'!$E:$E,"Вз.зв'язку",'Таблиця 1'!$L:$L,"Уражено"))</f>
        <v/>
      </c>
      <c r="U88">
        <f>IF($A88="","",COUNTIFS('Таблиця 1'!$B:$B,$A88,'Таблиця 1'!$E:$E,"ПММ",'Таблиця 1'!$L:$L,"Уражено"))</f>
        <v/>
      </c>
      <c r="V88">
        <f>IF($A88="","",COUNTIFS('Таблиця 1'!$B:$B,$A88,'Таблиця 1'!$E:$E,"ІФС",'Таблиця 1'!$L:$L,"Уражено"))</f>
        <v/>
      </c>
      <c r="W88">
        <f>IF($A88="","",COUNTIFS('Таблиця 1'!$B:$B,$A88,'Таблиця 1'!$E:$E,"Інфраструктура",'Таблиця 1'!$L:$L,"Уражено"))</f>
        <v/>
      </c>
      <c r="X88">
        <f>IF($A88="","",SUMIFS('Таблиця 1'!$K:$K,'Таблиця 1'!$B:$B,$A88))</f>
        <v/>
      </c>
    </row>
    <row r="89">
      <c r="A89" s="81">
        <f>IF(A88="","",IF(A88+1&gt;MAX('Таблиця 1'!$B:$B),"",A88+1))</f>
        <v/>
      </c>
      <c r="B89">
        <f>IF($A89="","",COUNTIFS('Таблиця 1'!$B:$B,$A89,'Таблиця 1'!$E:$E,"ЖС ВЗ",'Таблиця 1'!$L:$L,"Уражено"))</f>
        <v/>
      </c>
      <c r="C89">
        <f>IF($A89="","",COUNTIFS('Таблиця 1'!$B:$B,$A89,'Таблиця 1'!$E:$E,"Арт. Системи",'Таблиця 1'!$L:$L,"Уражено"))</f>
        <v/>
      </c>
      <c r="D89">
        <f>IF($A89="","",COUNTIFS('Таблиця 1'!$B:$B,$A89,'Таблиця 1'!$E:$E,"ОВТ",'Таблиця 1'!$L:$L,"Уражено"))</f>
        <v/>
      </c>
      <c r="E89">
        <f>IF($A89="","",COUNTIFS('Таблиця 1'!$B:$B,$A89,'Таблиця 1'!$E:$E,"ППО",'Таблиця 1'!$L:$L,"Уражено"))</f>
        <v/>
      </c>
      <c r="F89">
        <f>IF($A89="","",COUNTIFS('Таблиця 1'!$B:$B,$A89,'Таблиця 1'!$E:$E,"Рембаза",'Таблиця 1'!$L:$L,"Уражено"))</f>
        <v/>
      </c>
      <c r="G89">
        <f>IF($A89="","",COUNTIFS('Таблиця 1'!$B:$B,$A89,'Таблиця 1'!$E:$E,"Склад БК",'Таблиця 1'!$L:$L,"Уражено"))</f>
        <v/>
      </c>
      <c r="H89">
        <f>IF($A89="","",COUNTIFS('Таблиця 1'!$B:$B,$A89,'Таблиця 1'!$E:$E,"Склад ВТМ",'Таблиця 1'!$L:$L,"Уражено"))</f>
        <v/>
      </c>
      <c r="I89">
        <f>IF($A89="","",COUNTIFS('Таблиця 1'!$B:$B,$A89,'Таблиця 1'!$E:$E,"ПУ БпЛА",'Таблиця 1'!$L:$L,"Уражено"))</f>
        <v/>
      </c>
      <c r="J89">
        <f>IF($A89="","",COUNTIFS('Таблиця 1'!$B:$B,$A89,'Таблиця 1'!$E:$E,"СП",'Таблиця 1'!$L:$L,"Уражено"))</f>
        <v/>
      </c>
      <c r="K89">
        <f>IF($A89="","",COUNTIFS('Таблиця 1'!$B:$B,$A89,'Таблиця 1'!$E:$E,"КСП роти",'Таблиця 1'!$L:$L,"Уражено"))</f>
        <v/>
      </c>
      <c r="L89">
        <f>IF($A89="","",COUNTIFS('Таблиця 1'!$B:$B,$A89,'Таблиця 1'!$E:$E,"ПУ бат",'Таблиця 1'!$L:$L,"Уражено"))</f>
        <v/>
      </c>
      <c r="M89">
        <f>IF($A89="","",COUNTIFS('Таблиця 1'!$B:$B,$A89,'Таблиця 1'!$E:$E,"ПУ бриг",'Таблиця 1'!$L:$L,"Уражено"))</f>
        <v/>
      </c>
      <c r="N89">
        <f>IF($A89="","",COUNTIFS('Таблиця 1'!$B:$B,$A89,'Таблиця 1'!$E:$E,"ПУ див",'Таблиця 1'!$L:$L,"Уражено"))</f>
        <v/>
      </c>
      <c r="O89">
        <f>IF($A89="","",COUNTIFS('Таблиця 1'!$B:$B,$A89,'Таблиця 1'!$E:$E,"обл. РЕБ",'Таблиця 1'!$L:$L,"Уражено"))</f>
        <v/>
      </c>
      <c r="P89">
        <f>IF($A89="","",COUNTIFS('Таблиця 1'!$B:$B,$A89,'Таблиця 1'!$E:$E,"пос РЕБ",'Таблиця 1'!$L:$L,"Уражено"))</f>
        <v/>
      </c>
      <c r="Q89">
        <f>IF($A89="","",COUNTIFS('Таблиця 1'!$B:$B,$A89,'Таблиця 1'!$E:$E,"група РЕР",'Таблиця 1'!$L:$L,"Уражено"))</f>
        <v/>
      </c>
      <c r="R89">
        <f>IF($A89="","",COUNTIFS('Таблиця 1'!$B:$B,$A89,'Таблиця 1'!$E:$E,"РЛС КББ",'Таблиця 1'!$L:$L,"Уражено"))</f>
        <v/>
      </c>
      <c r="S89">
        <f>IF($A89="","",COUNTIFS('Таблиця 1'!$B:$B,$A89,'Таблиця 1'!$E:$E,"Ретранслятор",'Таблиця 1'!$L:$L,"Уражено"))</f>
        <v/>
      </c>
      <c r="T89">
        <f>IF($A89="","",COUNTIFS('Таблиця 1'!$B:$B,$A89,'Таблиця 1'!$E:$E,"Вз.зв'язку",'Таблиця 1'!$L:$L,"Уражено"))</f>
        <v/>
      </c>
      <c r="U89">
        <f>IF($A89="","",COUNTIFS('Таблиця 1'!$B:$B,$A89,'Таблиця 1'!$E:$E,"ПММ",'Таблиця 1'!$L:$L,"Уражено"))</f>
        <v/>
      </c>
      <c r="V89">
        <f>IF($A89="","",COUNTIFS('Таблиця 1'!$B:$B,$A89,'Таблиця 1'!$E:$E,"ІФС",'Таблиця 1'!$L:$L,"Уражено"))</f>
        <v/>
      </c>
      <c r="W89">
        <f>IF($A89="","",COUNTIFS('Таблиця 1'!$B:$B,$A89,'Таблиця 1'!$E:$E,"Інфраструктура",'Таблиця 1'!$L:$L,"Уражено"))</f>
        <v/>
      </c>
      <c r="X89">
        <f>IF($A89="","",SUMIFS('Таблиця 1'!$K:$K,'Таблиця 1'!$B:$B,$A89))</f>
        <v/>
      </c>
    </row>
    <row r="90">
      <c r="A90" s="81">
        <f>IF(A89="","",IF(A89+1&gt;MAX('Таблиця 1'!$B:$B),"",A89+1))</f>
        <v/>
      </c>
      <c r="B90">
        <f>IF($A90="","",COUNTIFS('Таблиця 1'!$B:$B,$A90,'Таблиця 1'!$E:$E,"ЖС ВЗ",'Таблиця 1'!$L:$L,"Уражено"))</f>
        <v/>
      </c>
      <c r="C90">
        <f>IF($A90="","",COUNTIFS('Таблиця 1'!$B:$B,$A90,'Таблиця 1'!$E:$E,"Арт. Системи",'Таблиця 1'!$L:$L,"Уражено"))</f>
        <v/>
      </c>
      <c r="D90">
        <f>IF($A90="","",COUNTIFS('Таблиця 1'!$B:$B,$A90,'Таблиця 1'!$E:$E,"ОВТ",'Таблиця 1'!$L:$L,"Уражено"))</f>
        <v/>
      </c>
      <c r="E90">
        <f>IF($A90="","",COUNTIFS('Таблиця 1'!$B:$B,$A90,'Таблиця 1'!$E:$E,"ППО",'Таблиця 1'!$L:$L,"Уражено"))</f>
        <v/>
      </c>
      <c r="F90">
        <f>IF($A90="","",COUNTIFS('Таблиця 1'!$B:$B,$A90,'Таблиця 1'!$E:$E,"Рембаза",'Таблиця 1'!$L:$L,"Уражено"))</f>
        <v/>
      </c>
      <c r="G90">
        <f>IF($A90="","",COUNTIFS('Таблиця 1'!$B:$B,$A90,'Таблиця 1'!$E:$E,"Склад БК",'Таблиця 1'!$L:$L,"Уражено"))</f>
        <v/>
      </c>
      <c r="H90">
        <f>IF($A90="","",COUNTIFS('Таблиця 1'!$B:$B,$A90,'Таблиця 1'!$E:$E,"Склад ВТМ",'Таблиця 1'!$L:$L,"Уражено"))</f>
        <v/>
      </c>
      <c r="I90">
        <f>IF($A90="","",COUNTIFS('Таблиця 1'!$B:$B,$A90,'Таблиця 1'!$E:$E,"ПУ БпЛА",'Таблиця 1'!$L:$L,"Уражено"))</f>
        <v/>
      </c>
      <c r="J90">
        <f>IF($A90="","",COUNTIFS('Таблиця 1'!$B:$B,$A90,'Таблиця 1'!$E:$E,"СП",'Таблиця 1'!$L:$L,"Уражено"))</f>
        <v/>
      </c>
      <c r="K90">
        <f>IF($A90="","",COUNTIFS('Таблиця 1'!$B:$B,$A90,'Таблиця 1'!$E:$E,"КСП роти",'Таблиця 1'!$L:$L,"Уражено"))</f>
        <v/>
      </c>
      <c r="L90">
        <f>IF($A90="","",COUNTIFS('Таблиця 1'!$B:$B,$A90,'Таблиця 1'!$E:$E,"ПУ бат",'Таблиця 1'!$L:$L,"Уражено"))</f>
        <v/>
      </c>
      <c r="M90">
        <f>IF($A90="","",COUNTIFS('Таблиця 1'!$B:$B,$A90,'Таблиця 1'!$E:$E,"ПУ бриг",'Таблиця 1'!$L:$L,"Уражено"))</f>
        <v/>
      </c>
      <c r="N90">
        <f>IF($A90="","",COUNTIFS('Таблиця 1'!$B:$B,$A90,'Таблиця 1'!$E:$E,"ПУ див",'Таблиця 1'!$L:$L,"Уражено"))</f>
        <v/>
      </c>
      <c r="O90">
        <f>IF($A90="","",COUNTIFS('Таблиця 1'!$B:$B,$A90,'Таблиця 1'!$E:$E,"обл. РЕБ",'Таблиця 1'!$L:$L,"Уражено"))</f>
        <v/>
      </c>
      <c r="P90">
        <f>IF($A90="","",COUNTIFS('Таблиця 1'!$B:$B,$A90,'Таблиця 1'!$E:$E,"пос РЕБ",'Таблиця 1'!$L:$L,"Уражено"))</f>
        <v/>
      </c>
      <c r="Q90">
        <f>IF($A90="","",COUNTIFS('Таблиця 1'!$B:$B,$A90,'Таблиця 1'!$E:$E,"група РЕР",'Таблиця 1'!$L:$L,"Уражено"))</f>
        <v/>
      </c>
      <c r="R90">
        <f>IF($A90="","",COUNTIFS('Таблиця 1'!$B:$B,$A90,'Таблиця 1'!$E:$E,"РЛС КББ",'Таблиця 1'!$L:$L,"Уражено"))</f>
        <v/>
      </c>
      <c r="S90">
        <f>IF($A90="","",COUNTIFS('Таблиця 1'!$B:$B,$A90,'Таблиця 1'!$E:$E,"Ретранслятор",'Таблиця 1'!$L:$L,"Уражено"))</f>
        <v/>
      </c>
      <c r="T90">
        <f>IF($A90="","",COUNTIFS('Таблиця 1'!$B:$B,$A90,'Таблиця 1'!$E:$E,"Вз.зв'язку",'Таблиця 1'!$L:$L,"Уражено"))</f>
        <v/>
      </c>
      <c r="U90">
        <f>IF($A90="","",COUNTIFS('Таблиця 1'!$B:$B,$A90,'Таблиця 1'!$E:$E,"ПММ",'Таблиця 1'!$L:$L,"Уражено"))</f>
        <v/>
      </c>
      <c r="V90">
        <f>IF($A90="","",COUNTIFS('Таблиця 1'!$B:$B,$A90,'Таблиця 1'!$E:$E,"ІФС",'Таблиця 1'!$L:$L,"Уражено"))</f>
        <v/>
      </c>
      <c r="W90">
        <f>IF($A90="","",COUNTIFS('Таблиця 1'!$B:$B,$A90,'Таблиця 1'!$E:$E,"Інфраструктура",'Таблиця 1'!$L:$L,"Уражено"))</f>
        <v/>
      </c>
      <c r="X90">
        <f>IF($A90="","",SUMIFS('Таблиця 1'!$K:$K,'Таблиця 1'!$B:$B,$A90))</f>
        <v/>
      </c>
    </row>
    <row r="91">
      <c r="A91" s="81">
        <f>IF(A90="","",IF(A90+1&gt;MAX('Таблиця 1'!$B:$B),"",A90+1))</f>
        <v/>
      </c>
      <c r="B91">
        <f>IF($A91="","",COUNTIFS('Таблиця 1'!$B:$B,$A91,'Таблиця 1'!$E:$E,"ЖС ВЗ",'Таблиця 1'!$L:$L,"Уражено"))</f>
        <v/>
      </c>
      <c r="C91">
        <f>IF($A91="","",COUNTIFS('Таблиця 1'!$B:$B,$A91,'Таблиця 1'!$E:$E,"Арт. Системи",'Таблиця 1'!$L:$L,"Уражено"))</f>
        <v/>
      </c>
      <c r="D91">
        <f>IF($A91="","",COUNTIFS('Таблиця 1'!$B:$B,$A91,'Таблиця 1'!$E:$E,"ОВТ",'Таблиця 1'!$L:$L,"Уражено"))</f>
        <v/>
      </c>
      <c r="E91">
        <f>IF($A91="","",COUNTIFS('Таблиця 1'!$B:$B,$A91,'Таблиця 1'!$E:$E,"ППО",'Таблиця 1'!$L:$L,"Уражено"))</f>
        <v/>
      </c>
      <c r="F91">
        <f>IF($A91="","",COUNTIFS('Таблиця 1'!$B:$B,$A91,'Таблиця 1'!$E:$E,"Рембаза",'Таблиця 1'!$L:$L,"Уражено"))</f>
        <v/>
      </c>
      <c r="G91">
        <f>IF($A91="","",COUNTIFS('Таблиця 1'!$B:$B,$A91,'Таблиця 1'!$E:$E,"Склад БК",'Таблиця 1'!$L:$L,"Уражено"))</f>
        <v/>
      </c>
      <c r="H91">
        <f>IF($A91="","",COUNTIFS('Таблиця 1'!$B:$B,$A91,'Таблиця 1'!$E:$E,"Склад ВТМ",'Таблиця 1'!$L:$L,"Уражено"))</f>
        <v/>
      </c>
      <c r="I91">
        <f>IF($A91="","",COUNTIFS('Таблиця 1'!$B:$B,$A91,'Таблиця 1'!$E:$E,"ПУ БпЛА",'Таблиця 1'!$L:$L,"Уражено"))</f>
        <v/>
      </c>
      <c r="J91">
        <f>IF($A91="","",COUNTIFS('Таблиця 1'!$B:$B,$A91,'Таблиця 1'!$E:$E,"СП",'Таблиця 1'!$L:$L,"Уражено"))</f>
        <v/>
      </c>
      <c r="K91">
        <f>IF($A91="","",COUNTIFS('Таблиця 1'!$B:$B,$A91,'Таблиця 1'!$E:$E,"КСП роти",'Таблиця 1'!$L:$L,"Уражено"))</f>
        <v/>
      </c>
      <c r="L91">
        <f>IF($A91="","",COUNTIFS('Таблиця 1'!$B:$B,$A91,'Таблиця 1'!$E:$E,"ПУ бат",'Таблиця 1'!$L:$L,"Уражено"))</f>
        <v/>
      </c>
      <c r="M91">
        <f>IF($A91="","",COUNTIFS('Таблиця 1'!$B:$B,$A91,'Таблиця 1'!$E:$E,"ПУ бриг",'Таблиця 1'!$L:$L,"Уражено"))</f>
        <v/>
      </c>
      <c r="N91">
        <f>IF($A91="","",COUNTIFS('Таблиця 1'!$B:$B,$A91,'Таблиця 1'!$E:$E,"ПУ див",'Таблиця 1'!$L:$L,"Уражено"))</f>
        <v/>
      </c>
      <c r="O91">
        <f>IF($A91="","",COUNTIFS('Таблиця 1'!$B:$B,$A91,'Таблиця 1'!$E:$E,"обл. РЕБ",'Таблиця 1'!$L:$L,"Уражено"))</f>
        <v/>
      </c>
      <c r="P91">
        <f>IF($A91="","",COUNTIFS('Таблиця 1'!$B:$B,$A91,'Таблиця 1'!$E:$E,"пос РЕБ",'Таблиця 1'!$L:$L,"Уражено"))</f>
        <v/>
      </c>
      <c r="Q91">
        <f>IF($A91="","",COUNTIFS('Таблиця 1'!$B:$B,$A91,'Таблиця 1'!$E:$E,"група РЕР",'Таблиця 1'!$L:$L,"Уражено"))</f>
        <v/>
      </c>
      <c r="R91">
        <f>IF($A91="","",COUNTIFS('Таблиця 1'!$B:$B,$A91,'Таблиця 1'!$E:$E,"РЛС КББ",'Таблиця 1'!$L:$L,"Уражено"))</f>
        <v/>
      </c>
      <c r="S91">
        <f>IF($A91="","",COUNTIFS('Таблиця 1'!$B:$B,$A91,'Таблиця 1'!$E:$E,"Ретранслятор",'Таблиця 1'!$L:$L,"Уражено"))</f>
        <v/>
      </c>
      <c r="T91">
        <f>IF($A91="","",COUNTIFS('Таблиця 1'!$B:$B,$A91,'Таблиця 1'!$E:$E,"Вз.зв'язку",'Таблиця 1'!$L:$L,"Уражено"))</f>
        <v/>
      </c>
      <c r="U91">
        <f>IF($A91="","",COUNTIFS('Таблиця 1'!$B:$B,$A91,'Таблиця 1'!$E:$E,"ПММ",'Таблиця 1'!$L:$L,"Уражено"))</f>
        <v/>
      </c>
      <c r="V91">
        <f>IF($A91="","",COUNTIFS('Таблиця 1'!$B:$B,$A91,'Таблиця 1'!$E:$E,"ІФС",'Таблиця 1'!$L:$L,"Уражено"))</f>
        <v/>
      </c>
      <c r="W91">
        <f>IF($A91="","",COUNTIFS('Таблиця 1'!$B:$B,$A91,'Таблиця 1'!$E:$E,"Інфраструктура",'Таблиця 1'!$L:$L,"Уражено"))</f>
        <v/>
      </c>
      <c r="X91">
        <f>IF($A91="","",SUMIFS('Таблиця 1'!$K:$K,'Таблиця 1'!$B:$B,$A91))</f>
        <v/>
      </c>
    </row>
    <row r="92">
      <c r="A92" s="81">
        <f>IF(A91="","",IF(A91+1&gt;MAX('Таблиця 1'!$B:$B),"",A91+1))</f>
        <v/>
      </c>
      <c r="B92">
        <f>IF($A92="","",COUNTIFS('Таблиця 1'!$B:$B,$A92,'Таблиця 1'!$E:$E,"ЖС ВЗ",'Таблиця 1'!$L:$L,"Уражено"))</f>
        <v/>
      </c>
      <c r="C92">
        <f>IF($A92="","",COUNTIFS('Таблиця 1'!$B:$B,$A92,'Таблиця 1'!$E:$E,"Арт. Системи",'Таблиця 1'!$L:$L,"Уражено"))</f>
        <v/>
      </c>
      <c r="D92">
        <f>IF($A92="","",COUNTIFS('Таблиця 1'!$B:$B,$A92,'Таблиця 1'!$E:$E,"ОВТ",'Таблиця 1'!$L:$L,"Уражено"))</f>
        <v/>
      </c>
      <c r="E92">
        <f>IF($A92="","",COUNTIFS('Таблиця 1'!$B:$B,$A92,'Таблиця 1'!$E:$E,"ППО",'Таблиця 1'!$L:$L,"Уражено"))</f>
        <v/>
      </c>
      <c r="F92">
        <f>IF($A92="","",COUNTIFS('Таблиця 1'!$B:$B,$A92,'Таблиця 1'!$E:$E,"Рембаза",'Таблиця 1'!$L:$L,"Уражено"))</f>
        <v/>
      </c>
      <c r="G92">
        <f>IF($A92="","",COUNTIFS('Таблиця 1'!$B:$B,$A92,'Таблиця 1'!$E:$E,"Склад БК",'Таблиця 1'!$L:$L,"Уражено"))</f>
        <v/>
      </c>
      <c r="H92">
        <f>IF($A92="","",COUNTIFS('Таблиця 1'!$B:$B,$A92,'Таблиця 1'!$E:$E,"Склад ВТМ",'Таблиця 1'!$L:$L,"Уражено"))</f>
        <v/>
      </c>
      <c r="I92">
        <f>IF($A92="","",COUNTIFS('Таблиця 1'!$B:$B,$A92,'Таблиця 1'!$E:$E,"ПУ БпЛА",'Таблиця 1'!$L:$L,"Уражено"))</f>
        <v/>
      </c>
      <c r="J92">
        <f>IF($A92="","",COUNTIFS('Таблиця 1'!$B:$B,$A92,'Таблиця 1'!$E:$E,"СП",'Таблиця 1'!$L:$L,"Уражено"))</f>
        <v/>
      </c>
      <c r="K92">
        <f>IF($A92="","",COUNTIFS('Таблиця 1'!$B:$B,$A92,'Таблиця 1'!$E:$E,"КСП роти",'Таблиця 1'!$L:$L,"Уражено"))</f>
        <v/>
      </c>
      <c r="L92">
        <f>IF($A92="","",COUNTIFS('Таблиця 1'!$B:$B,$A92,'Таблиця 1'!$E:$E,"ПУ бат",'Таблиця 1'!$L:$L,"Уражено"))</f>
        <v/>
      </c>
      <c r="M92">
        <f>IF($A92="","",COUNTIFS('Таблиця 1'!$B:$B,$A92,'Таблиця 1'!$E:$E,"ПУ бриг",'Таблиця 1'!$L:$L,"Уражено"))</f>
        <v/>
      </c>
      <c r="N92">
        <f>IF($A92="","",COUNTIFS('Таблиця 1'!$B:$B,$A92,'Таблиця 1'!$E:$E,"ПУ див",'Таблиця 1'!$L:$L,"Уражено"))</f>
        <v/>
      </c>
      <c r="O92">
        <f>IF($A92="","",COUNTIFS('Таблиця 1'!$B:$B,$A92,'Таблиця 1'!$E:$E,"обл. РЕБ",'Таблиця 1'!$L:$L,"Уражено"))</f>
        <v/>
      </c>
      <c r="P92">
        <f>IF($A92="","",COUNTIFS('Таблиця 1'!$B:$B,$A92,'Таблиця 1'!$E:$E,"пос РЕБ",'Таблиця 1'!$L:$L,"Уражено"))</f>
        <v/>
      </c>
      <c r="Q92">
        <f>IF($A92="","",COUNTIFS('Таблиця 1'!$B:$B,$A92,'Таблиця 1'!$E:$E,"група РЕР",'Таблиця 1'!$L:$L,"Уражено"))</f>
        <v/>
      </c>
      <c r="R92">
        <f>IF($A92="","",COUNTIFS('Таблиця 1'!$B:$B,$A92,'Таблиця 1'!$E:$E,"РЛС КББ",'Таблиця 1'!$L:$L,"Уражено"))</f>
        <v/>
      </c>
      <c r="S92">
        <f>IF($A92="","",COUNTIFS('Таблиця 1'!$B:$B,$A92,'Таблиця 1'!$E:$E,"Ретранслятор",'Таблиця 1'!$L:$L,"Уражено"))</f>
        <v/>
      </c>
      <c r="T92">
        <f>IF($A92="","",COUNTIFS('Таблиця 1'!$B:$B,$A92,'Таблиця 1'!$E:$E,"Вз.зв'язку",'Таблиця 1'!$L:$L,"Уражено"))</f>
        <v/>
      </c>
      <c r="U92">
        <f>IF($A92="","",COUNTIFS('Таблиця 1'!$B:$B,$A92,'Таблиця 1'!$E:$E,"ПММ",'Таблиця 1'!$L:$L,"Уражено"))</f>
        <v/>
      </c>
      <c r="V92">
        <f>IF($A92="","",COUNTIFS('Таблиця 1'!$B:$B,$A92,'Таблиця 1'!$E:$E,"ІФС",'Таблиця 1'!$L:$L,"Уражено"))</f>
        <v/>
      </c>
      <c r="W92">
        <f>IF($A92="","",COUNTIFS('Таблиця 1'!$B:$B,$A92,'Таблиця 1'!$E:$E,"Інфраструктура",'Таблиця 1'!$L:$L,"Уражено"))</f>
        <v/>
      </c>
      <c r="X92">
        <f>IF($A92="","",SUMIFS('Таблиця 1'!$K:$K,'Таблиця 1'!$B:$B,$A92))</f>
        <v/>
      </c>
    </row>
    <row r="93">
      <c r="A93" s="81">
        <f>IF(A92="","",IF(A92+1&gt;MAX('Таблиця 1'!$B:$B),"",A92+1))</f>
        <v/>
      </c>
      <c r="B93">
        <f>IF($A93="","",COUNTIFS('Таблиця 1'!$B:$B,$A93,'Таблиця 1'!$E:$E,"ЖС ВЗ",'Таблиця 1'!$L:$L,"Уражено"))</f>
        <v/>
      </c>
      <c r="C93">
        <f>IF($A93="","",COUNTIFS('Таблиця 1'!$B:$B,$A93,'Таблиця 1'!$E:$E,"Арт. Системи",'Таблиця 1'!$L:$L,"Уражено"))</f>
        <v/>
      </c>
      <c r="D93">
        <f>IF($A93="","",COUNTIFS('Таблиця 1'!$B:$B,$A93,'Таблиця 1'!$E:$E,"ОВТ",'Таблиця 1'!$L:$L,"Уражено"))</f>
        <v/>
      </c>
      <c r="E93">
        <f>IF($A93="","",COUNTIFS('Таблиця 1'!$B:$B,$A93,'Таблиця 1'!$E:$E,"ППО",'Таблиця 1'!$L:$L,"Уражено"))</f>
        <v/>
      </c>
      <c r="F93">
        <f>IF($A93="","",COUNTIFS('Таблиця 1'!$B:$B,$A93,'Таблиця 1'!$E:$E,"Рембаза",'Таблиця 1'!$L:$L,"Уражено"))</f>
        <v/>
      </c>
      <c r="G93">
        <f>IF($A93="","",COUNTIFS('Таблиця 1'!$B:$B,$A93,'Таблиця 1'!$E:$E,"Склад БК",'Таблиця 1'!$L:$L,"Уражено"))</f>
        <v/>
      </c>
      <c r="H93">
        <f>IF($A93="","",COUNTIFS('Таблиця 1'!$B:$B,$A93,'Таблиця 1'!$E:$E,"Склад ВТМ",'Таблиця 1'!$L:$L,"Уражено"))</f>
        <v/>
      </c>
      <c r="I93">
        <f>IF($A93="","",COUNTIFS('Таблиця 1'!$B:$B,$A93,'Таблиця 1'!$E:$E,"ПУ БпЛА",'Таблиця 1'!$L:$L,"Уражено"))</f>
        <v/>
      </c>
      <c r="J93">
        <f>IF($A93="","",COUNTIFS('Таблиця 1'!$B:$B,$A93,'Таблиця 1'!$E:$E,"СП",'Таблиця 1'!$L:$L,"Уражено"))</f>
        <v/>
      </c>
      <c r="K93">
        <f>IF($A93="","",COUNTIFS('Таблиця 1'!$B:$B,$A93,'Таблиця 1'!$E:$E,"КСП роти",'Таблиця 1'!$L:$L,"Уражено"))</f>
        <v/>
      </c>
      <c r="L93">
        <f>IF($A93="","",COUNTIFS('Таблиця 1'!$B:$B,$A93,'Таблиця 1'!$E:$E,"ПУ бат",'Таблиця 1'!$L:$L,"Уражено"))</f>
        <v/>
      </c>
      <c r="M93">
        <f>IF($A93="","",COUNTIFS('Таблиця 1'!$B:$B,$A93,'Таблиця 1'!$E:$E,"ПУ бриг",'Таблиця 1'!$L:$L,"Уражено"))</f>
        <v/>
      </c>
      <c r="N93">
        <f>IF($A93="","",COUNTIFS('Таблиця 1'!$B:$B,$A93,'Таблиця 1'!$E:$E,"ПУ див",'Таблиця 1'!$L:$L,"Уражено"))</f>
        <v/>
      </c>
      <c r="O93">
        <f>IF($A93="","",COUNTIFS('Таблиця 1'!$B:$B,$A93,'Таблиця 1'!$E:$E,"обл. РЕБ",'Таблиця 1'!$L:$L,"Уражено"))</f>
        <v/>
      </c>
      <c r="P93">
        <f>IF($A93="","",COUNTIFS('Таблиця 1'!$B:$B,$A93,'Таблиця 1'!$E:$E,"пос РЕБ",'Таблиця 1'!$L:$L,"Уражено"))</f>
        <v/>
      </c>
      <c r="Q93">
        <f>IF($A93="","",COUNTIFS('Таблиця 1'!$B:$B,$A93,'Таблиця 1'!$E:$E,"група РЕР",'Таблиця 1'!$L:$L,"Уражено"))</f>
        <v/>
      </c>
      <c r="R93">
        <f>IF($A93="","",COUNTIFS('Таблиця 1'!$B:$B,$A93,'Таблиця 1'!$E:$E,"РЛС КББ",'Таблиця 1'!$L:$L,"Уражено"))</f>
        <v/>
      </c>
      <c r="S93">
        <f>IF($A93="","",COUNTIFS('Таблиця 1'!$B:$B,$A93,'Таблиця 1'!$E:$E,"Ретранслятор",'Таблиця 1'!$L:$L,"Уражено"))</f>
        <v/>
      </c>
      <c r="T93">
        <f>IF($A93="","",COUNTIFS('Таблиця 1'!$B:$B,$A93,'Таблиця 1'!$E:$E,"Вз.зв'язку",'Таблиця 1'!$L:$L,"Уражено"))</f>
        <v/>
      </c>
      <c r="U93">
        <f>IF($A93="","",COUNTIFS('Таблиця 1'!$B:$B,$A93,'Таблиця 1'!$E:$E,"ПММ",'Таблиця 1'!$L:$L,"Уражено"))</f>
        <v/>
      </c>
      <c r="V93">
        <f>IF($A93="","",COUNTIFS('Таблиця 1'!$B:$B,$A93,'Таблиця 1'!$E:$E,"ІФС",'Таблиця 1'!$L:$L,"Уражено"))</f>
        <v/>
      </c>
      <c r="W93">
        <f>IF($A93="","",COUNTIFS('Таблиця 1'!$B:$B,$A93,'Таблиця 1'!$E:$E,"Інфраструктура",'Таблиця 1'!$L:$L,"Уражено"))</f>
        <v/>
      </c>
      <c r="X93">
        <f>IF($A93="","",SUMIFS('Таблиця 1'!$K:$K,'Таблиця 1'!$B:$B,$A93))</f>
        <v/>
      </c>
    </row>
    <row r="94">
      <c r="A94" s="81">
        <f>IF(A93="","",IF(A93+1&gt;MAX('Таблиця 1'!$B:$B),"",A93+1))</f>
        <v/>
      </c>
      <c r="B94">
        <f>IF($A94="","",COUNTIFS('Таблиця 1'!$B:$B,$A94,'Таблиця 1'!$E:$E,"ЖС ВЗ",'Таблиця 1'!$L:$L,"Уражено"))</f>
        <v/>
      </c>
      <c r="C94">
        <f>IF($A94="","",COUNTIFS('Таблиця 1'!$B:$B,$A94,'Таблиця 1'!$E:$E,"Арт. Системи",'Таблиця 1'!$L:$L,"Уражено"))</f>
        <v/>
      </c>
      <c r="D94">
        <f>IF($A94="","",COUNTIFS('Таблиця 1'!$B:$B,$A94,'Таблиця 1'!$E:$E,"ОВТ",'Таблиця 1'!$L:$L,"Уражено"))</f>
        <v/>
      </c>
      <c r="E94">
        <f>IF($A94="","",COUNTIFS('Таблиця 1'!$B:$B,$A94,'Таблиця 1'!$E:$E,"ППО",'Таблиця 1'!$L:$L,"Уражено"))</f>
        <v/>
      </c>
      <c r="F94">
        <f>IF($A94="","",COUNTIFS('Таблиця 1'!$B:$B,$A94,'Таблиця 1'!$E:$E,"Рембаза",'Таблиця 1'!$L:$L,"Уражено"))</f>
        <v/>
      </c>
      <c r="G94">
        <f>IF($A94="","",COUNTIFS('Таблиця 1'!$B:$B,$A94,'Таблиця 1'!$E:$E,"Склад БК",'Таблиця 1'!$L:$L,"Уражено"))</f>
        <v/>
      </c>
      <c r="H94">
        <f>IF($A94="","",COUNTIFS('Таблиця 1'!$B:$B,$A94,'Таблиця 1'!$E:$E,"Склад ВТМ",'Таблиця 1'!$L:$L,"Уражено"))</f>
        <v/>
      </c>
      <c r="I94">
        <f>IF($A94="","",COUNTIFS('Таблиця 1'!$B:$B,$A94,'Таблиця 1'!$E:$E,"ПУ БпЛА",'Таблиця 1'!$L:$L,"Уражено"))</f>
        <v/>
      </c>
      <c r="J94">
        <f>IF($A94="","",COUNTIFS('Таблиця 1'!$B:$B,$A94,'Таблиця 1'!$E:$E,"СП",'Таблиця 1'!$L:$L,"Уражено"))</f>
        <v/>
      </c>
      <c r="K94">
        <f>IF($A94="","",COUNTIFS('Таблиця 1'!$B:$B,$A94,'Таблиця 1'!$E:$E,"КСП роти",'Таблиця 1'!$L:$L,"Уражено"))</f>
        <v/>
      </c>
      <c r="L94">
        <f>IF($A94="","",COUNTIFS('Таблиця 1'!$B:$B,$A94,'Таблиця 1'!$E:$E,"ПУ бат",'Таблиця 1'!$L:$L,"Уражено"))</f>
        <v/>
      </c>
      <c r="M94">
        <f>IF($A94="","",COUNTIFS('Таблиця 1'!$B:$B,$A94,'Таблиця 1'!$E:$E,"ПУ бриг",'Таблиця 1'!$L:$L,"Уражено"))</f>
        <v/>
      </c>
      <c r="N94">
        <f>IF($A94="","",COUNTIFS('Таблиця 1'!$B:$B,$A94,'Таблиця 1'!$E:$E,"ПУ див",'Таблиця 1'!$L:$L,"Уражено"))</f>
        <v/>
      </c>
      <c r="O94">
        <f>IF($A94="","",COUNTIFS('Таблиця 1'!$B:$B,$A94,'Таблиця 1'!$E:$E,"обл. РЕБ",'Таблиця 1'!$L:$L,"Уражено"))</f>
        <v/>
      </c>
      <c r="P94">
        <f>IF($A94="","",COUNTIFS('Таблиця 1'!$B:$B,$A94,'Таблиця 1'!$E:$E,"пос РЕБ",'Таблиця 1'!$L:$L,"Уражено"))</f>
        <v/>
      </c>
      <c r="Q94">
        <f>IF($A94="","",COUNTIFS('Таблиця 1'!$B:$B,$A94,'Таблиця 1'!$E:$E,"група РЕР",'Таблиця 1'!$L:$L,"Уражено"))</f>
        <v/>
      </c>
      <c r="R94">
        <f>IF($A94="","",COUNTIFS('Таблиця 1'!$B:$B,$A94,'Таблиця 1'!$E:$E,"РЛС КББ",'Таблиця 1'!$L:$L,"Уражено"))</f>
        <v/>
      </c>
      <c r="S94">
        <f>IF($A94="","",COUNTIFS('Таблиця 1'!$B:$B,$A94,'Таблиця 1'!$E:$E,"Ретранслятор",'Таблиця 1'!$L:$L,"Уражено"))</f>
        <v/>
      </c>
      <c r="T94">
        <f>IF($A94="","",COUNTIFS('Таблиця 1'!$B:$B,$A94,'Таблиця 1'!$E:$E,"Вз.зв'язку",'Таблиця 1'!$L:$L,"Уражено"))</f>
        <v/>
      </c>
      <c r="U94">
        <f>IF($A94="","",COUNTIFS('Таблиця 1'!$B:$B,$A94,'Таблиця 1'!$E:$E,"ПММ",'Таблиця 1'!$L:$L,"Уражено"))</f>
        <v/>
      </c>
      <c r="V94">
        <f>IF($A94="","",COUNTIFS('Таблиця 1'!$B:$B,$A94,'Таблиця 1'!$E:$E,"ІФС",'Таблиця 1'!$L:$L,"Уражено"))</f>
        <v/>
      </c>
      <c r="W94">
        <f>IF($A94="","",COUNTIFS('Таблиця 1'!$B:$B,$A94,'Таблиця 1'!$E:$E,"Інфраструктура",'Таблиця 1'!$L:$L,"Уражено"))</f>
        <v/>
      </c>
      <c r="X94">
        <f>IF($A94="","",SUMIFS('Таблиця 1'!$K:$K,'Таблиця 1'!$B:$B,$A94))</f>
        <v/>
      </c>
    </row>
    <row r="95">
      <c r="A95" s="81">
        <f>IF(A94="","",IF(A94+1&gt;MAX('Таблиця 1'!$B:$B),"",A94+1))</f>
        <v/>
      </c>
      <c r="B95">
        <f>IF($A95="","",COUNTIFS('Таблиця 1'!$B:$B,$A95,'Таблиця 1'!$E:$E,"ЖС ВЗ",'Таблиця 1'!$L:$L,"Уражено"))</f>
        <v/>
      </c>
      <c r="C95">
        <f>IF($A95="","",COUNTIFS('Таблиця 1'!$B:$B,$A95,'Таблиця 1'!$E:$E,"Арт. Системи",'Таблиця 1'!$L:$L,"Уражено"))</f>
        <v/>
      </c>
      <c r="D95">
        <f>IF($A95="","",COUNTIFS('Таблиця 1'!$B:$B,$A95,'Таблиця 1'!$E:$E,"ОВТ",'Таблиця 1'!$L:$L,"Уражено"))</f>
        <v/>
      </c>
      <c r="E95">
        <f>IF($A95="","",COUNTIFS('Таблиця 1'!$B:$B,$A95,'Таблиця 1'!$E:$E,"ППО",'Таблиця 1'!$L:$L,"Уражено"))</f>
        <v/>
      </c>
      <c r="F95">
        <f>IF($A95="","",COUNTIFS('Таблиця 1'!$B:$B,$A95,'Таблиця 1'!$E:$E,"Рембаза",'Таблиця 1'!$L:$L,"Уражено"))</f>
        <v/>
      </c>
      <c r="G95">
        <f>IF($A95="","",COUNTIFS('Таблиця 1'!$B:$B,$A95,'Таблиця 1'!$E:$E,"Склад БК",'Таблиця 1'!$L:$L,"Уражено"))</f>
        <v/>
      </c>
      <c r="H95">
        <f>IF($A95="","",COUNTIFS('Таблиця 1'!$B:$B,$A95,'Таблиця 1'!$E:$E,"Склад ВТМ",'Таблиця 1'!$L:$L,"Уражено"))</f>
        <v/>
      </c>
      <c r="I95">
        <f>IF($A95="","",COUNTIFS('Таблиця 1'!$B:$B,$A95,'Таблиця 1'!$E:$E,"ПУ БпЛА",'Таблиця 1'!$L:$L,"Уражено"))</f>
        <v/>
      </c>
      <c r="J95">
        <f>IF($A95="","",COUNTIFS('Таблиця 1'!$B:$B,$A95,'Таблиця 1'!$E:$E,"СП",'Таблиця 1'!$L:$L,"Уражено"))</f>
        <v/>
      </c>
      <c r="K95">
        <f>IF($A95="","",COUNTIFS('Таблиця 1'!$B:$B,$A95,'Таблиця 1'!$E:$E,"КСП роти",'Таблиця 1'!$L:$L,"Уражено"))</f>
        <v/>
      </c>
      <c r="L95">
        <f>IF($A95="","",COUNTIFS('Таблиця 1'!$B:$B,$A95,'Таблиця 1'!$E:$E,"ПУ бат",'Таблиця 1'!$L:$L,"Уражено"))</f>
        <v/>
      </c>
      <c r="M95">
        <f>IF($A95="","",COUNTIFS('Таблиця 1'!$B:$B,$A95,'Таблиця 1'!$E:$E,"ПУ бриг",'Таблиця 1'!$L:$L,"Уражено"))</f>
        <v/>
      </c>
      <c r="N95">
        <f>IF($A95="","",COUNTIFS('Таблиця 1'!$B:$B,$A95,'Таблиця 1'!$E:$E,"ПУ див",'Таблиця 1'!$L:$L,"Уражено"))</f>
        <v/>
      </c>
      <c r="O95">
        <f>IF($A95="","",COUNTIFS('Таблиця 1'!$B:$B,$A95,'Таблиця 1'!$E:$E,"обл. РЕБ",'Таблиця 1'!$L:$L,"Уражено"))</f>
        <v/>
      </c>
      <c r="P95">
        <f>IF($A95="","",COUNTIFS('Таблиця 1'!$B:$B,$A95,'Таблиця 1'!$E:$E,"пос РЕБ",'Таблиця 1'!$L:$L,"Уражено"))</f>
        <v/>
      </c>
      <c r="Q95">
        <f>IF($A95="","",COUNTIFS('Таблиця 1'!$B:$B,$A95,'Таблиця 1'!$E:$E,"група РЕР",'Таблиця 1'!$L:$L,"Уражено"))</f>
        <v/>
      </c>
      <c r="R95">
        <f>IF($A95="","",COUNTIFS('Таблиця 1'!$B:$B,$A95,'Таблиця 1'!$E:$E,"РЛС КББ",'Таблиця 1'!$L:$L,"Уражено"))</f>
        <v/>
      </c>
      <c r="S95">
        <f>IF($A95="","",COUNTIFS('Таблиця 1'!$B:$B,$A95,'Таблиця 1'!$E:$E,"Ретранслятор",'Таблиця 1'!$L:$L,"Уражено"))</f>
        <v/>
      </c>
      <c r="T95">
        <f>IF($A95="","",COUNTIFS('Таблиця 1'!$B:$B,$A95,'Таблиця 1'!$E:$E,"Вз.зв'язку",'Таблиця 1'!$L:$L,"Уражено"))</f>
        <v/>
      </c>
      <c r="U95">
        <f>IF($A95="","",COUNTIFS('Таблиця 1'!$B:$B,$A95,'Таблиця 1'!$E:$E,"ПММ",'Таблиця 1'!$L:$L,"Уражено"))</f>
        <v/>
      </c>
      <c r="V95">
        <f>IF($A95="","",COUNTIFS('Таблиця 1'!$B:$B,$A95,'Таблиця 1'!$E:$E,"ІФС",'Таблиця 1'!$L:$L,"Уражено"))</f>
        <v/>
      </c>
      <c r="W95">
        <f>IF($A95="","",COUNTIFS('Таблиця 1'!$B:$B,$A95,'Таблиця 1'!$E:$E,"Інфраструктура",'Таблиця 1'!$L:$L,"Уражено"))</f>
        <v/>
      </c>
      <c r="X95">
        <f>IF($A95="","",SUMIFS('Таблиця 1'!$K:$K,'Таблиця 1'!$B:$B,$A95))</f>
        <v/>
      </c>
    </row>
    <row r="96">
      <c r="A96" s="81">
        <f>IF(A95="","",IF(A95+1&gt;MAX('Таблиця 1'!$B:$B),"",A95+1))</f>
        <v/>
      </c>
      <c r="B96">
        <f>IF($A96="","",COUNTIFS('Таблиця 1'!$B:$B,$A96,'Таблиця 1'!$E:$E,"ЖС ВЗ",'Таблиця 1'!$L:$L,"Уражено"))</f>
        <v/>
      </c>
      <c r="C96">
        <f>IF($A96="","",COUNTIFS('Таблиця 1'!$B:$B,$A96,'Таблиця 1'!$E:$E,"Арт. Системи",'Таблиця 1'!$L:$L,"Уражено"))</f>
        <v/>
      </c>
      <c r="D96">
        <f>IF($A96="","",COUNTIFS('Таблиця 1'!$B:$B,$A96,'Таблиця 1'!$E:$E,"ОВТ",'Таблиця 1'!$L:$L,"Уражено"))</f>
        <v/>
      </c>
      <c r="E96">
        <f>IF($A96="","",COUNTIFS('Таблиця 1'!$B:$B,$A96,'Таблиця 1'!$E:$E,"ППО",'Таблиця 1'!$L:$L,"Уражено"))</f>
        <v/>
      </c>
      <c r="F96">
        <f>IF($A96="","",COUNTIFS('Таблиця 1'!$B:$B,$A96,'Таблиця 1'!$E:$E,"Рембаза",'Таблиця 1'!$L:$L,"Уражено"))</f>
        <v/>
      </c>
      <c r="G96">
        <f>IF($A96="","",COUNTIFS('Таблиця 1'!$B:$B,$A96,'Таблиця 1'!$E:$E,"Склад БК",'Таблиця 1'!$L:$L,"Уражено"))</f>
        <v/>
      </c>
      <c r="H96">
        <f>IF($A96="","",COUNTIFS('Таблиця 1'!$B:$B,$A96,'Таблиця 1'!$E:$E,"Склад ВТМ",'Таблиця 1'!$L:$L,"Уражено"))</f>
        <v/>
      </c>
      <c r="I96">
        <f>IF($A96="","",COUNTIFS('Таблиця 1'!$B:$B,$A96,'Таблиця 1'!$E:$E,"ПУ БпЛА",'Таблиця 1'!$L:$L,"Уражено"))</f>
        <v/>
      </c>
      <c r="J96">
        <f>IF($A96="","",COUNTIFS('Таблиця 1'!$B:$B,$A96,'Таблиця 1'!$E:$E,"СП",'Таблиця 1'!$L:$L,"Уражено"))</f>
        <v/>
      </c>
      <c r="K96">
        <f>IF($A96="","",COUNTIFS('Таблиця 1'!$B:$B,$A96,'Таблиця 1'!$E:$E,"КСП роти",'Таблиця 1'!$L:$L,"Уражено"))</f>
        <v/>
      </c>
      <c r="L96">
        <f>IF($A96="","",COUNTIFS('Таблиця 1'!$B:$B,$A96,'Таблиця 1'!$E:$E,"ПУ бат",'Таблиця 1'!$L:$L,"Уражено"))</f>
        <v/>
      </c>
      <c r="M96">
        <f>IF($A96="","",COUNTIFS('Таблиця 1'!$B:$B,$A96,'Таблиця 1'!$E:$E,"ПУ бриг",'Таблиця 1'!$L:$L,"Уражено"))</f>
        <v/>
      </c>
      <c r="N96">
        <f>IF($A96="","",COUNTIFS('Таблиця 1'!$B:$B,$A96,'Таблиця 1'!$E:$E,"ПУ див",'Таблиця 1'!$L:$L,"Уражено"))</f>
        <v/>
      </c>
      <c r="O96">
        <f>IF($A96="","",COUNTIFS('Таблиця 1'!$B:$B,$A96,'Таблиця 1'!$E:$E,"обл. РЕБ",'Таблиця 1'!$L:$L,"Уражено"))</f>
        <v/>
      </c>
      <c r="P96">
        <f>IF($A96="","",COUNTIFS('Таблиця 1'!$B:$B,$A96,'Таблиця 1'!$E:$E,"пос РЕБ",'Таблиця 1'!$L:$L,"Уражено"))</f>
        <v/>
      </c>
      <c r="Q96">
        <f>IF($A96="","",COUNTIFS('Таблиця 1'!$B:$B,$A96,'Таблиця 1'!$E:$E,"група РЕР",'Таблиця 1'!$L:$L,"Уражено"))</f>
        <v/>
      </c>
      <c r="R96">
        <f>IF($A96="","",COUNTIFS('Таблиця 1'!$B:$B,$A96,'Таблиця 1'!$E:$E,"РЛС КББ",'Таблиця 1'!$L:$L,"Уражено"))</f>
        <v/>
      </c>
      <c r="S96">
        <f>IF($A96="","",COUNTIFS('Таблиця 1'!$B:$B,$A96,'Таблиця 1'!$E:$E,"Ретранслятор",'Таблиця 1'!$L:$L,"Уражено"))</f>
        <v/>
      </c>
      <c r="T96">
        <f>IF($A96="","",COUNTIFS('Таблиця 1'!$B:$B,$A96,'Таблиця 1'!$E:$E,"Вз.зв'язку",'Таблиця 1'!$L:$L,"Уражено"))</f>
        <v/>
      </c>
      <c r="U96">
        <f>IF($A96="","",COUNTIFS('Таблиця 1'!$B:$B,$A96,'Таблиця 1'!$E:$E,"ПММ",'Таблиця 1'!$L:$L,"Уражено"))</f>
        <v/>
      </c>
      <c r="V96">
        <f>IF($A96="","",COUNTIFS('Таблиця 1'!$B:$B,$A96,'Таблиця 1'!$E:$E,"ІФС",'Таблиця 1'!$L:$L,"Уражено"))</f>
        <v/>
      </c>
      <c r="W96">
        <f>IF($A96="","",COUNTIFS('Таблиця 1'!$B:$B,$A96,'Таблиця 1'!$E:$E,"Інфраструктура",'Таблиця 1'!$L:$L,"Уражено"))</f>
        <v/>
      </c>
      <c r="X96">
        <f>IF($A96="","",SUMIFS('Таблиця 1'!$K:$K,'Таблиця 1'!$B:$B,$A96))</f>
        <v/>
      </c>
    </row>
    <row r="97">
      <c r="A97" s="81">
        <f>IF(A96="","",IF(A96+1&gt;MAX('Таблиця 1'!$B:$B),"",A96+1))</f>
        <v/>
      </c>
      <c r="B97">
        <f>IF($A97="","",COUNTIFS('Таблиця 1'!$B:$B,$A97,'Таблиця 1'!$E:$E,"ЖС ВЗ",'Таблиця 1'!$L:$L,"Уражено"))</f>
        <v/>
      </c>
      <c r="C97">
        <f>IF($A97="","",COUNTIFS('Таблиця 1'!$B:$B,$A97,'Таблиця 1'!$E:$E,"Арт. Системи",'Таблиця 1'!$L:$L,"Уражено"))</f>
        <v/>
      </c>
      <c r="D97">
        <f>IF($A97="","",COUNTIFS('Таблиця 1'!$B:$B,$A97,'Таблиця 1'!$E:$E,"ОВТ",'Таблиця 1'!$L:$L,"Уражено"))</f>
        <v/>
      </c>
      <c r="E97">
        <f>IF($A97="","",COUNTIFS('Таблиця 1'!$B:$B,$A97,'Таблиця 1'!$E:$E,"ППО",'Таблиця 1'!$L:$L,"Уражено"))</f>
        <v/>
      </c>
      <c r="F97">
        <f>IF($A97="","",COUNTIFS('Таблиця 1'!$B:$B,$A97,'Таблиця 1'!$E:$E,"Рембаза",'Таблиця 1'!$L:$L,"Уражено"))</f>
        <v/>
      </c>
      <c r="G97">
        <f>IF($A97="","",COUNTIFS('Таблиця 1'!$B:$B,$A97,'Таблиця 1'!$E:$E,"Склад БК",'Таблиця 1'!$L:$L,"Уражено"))</f>
        <v/>
      </c>
      <c r="H97">
        <f>IF($A97="","",COUNTIFS('Таблиця 1'!$B:$B,$A97,'Таблиця 1'!$E:$E,"Склад ВТМ",'Таблиця 1'!$L:$L,"Уражено"))</f>
        <v/>
      </c>
      <c r="I97">
        <f>IF($A97="","",COUNTIFS('Таблиця 1'!$B:$B,$A97,'Таблиця 1'!$E:$E,"ПУ БпЛА",'Таблиця 1'!$L:$L,"Уражено"))</f>
        <v/>
      </c>
      <c r="J97">
        <f>IF($A97="","",COUNTIFS('Таблиця 1'!$B:$B,$A97,'Таблиця 1'!$E:$E,"СП",'Таблиця 1'!$L:$L,"Уражено"))</f>
        <v/>
      </c>
      <c r="K97">
        <f>IF($A97="","",COUNTIFS('Таблиця 1'!$B:$B,$A97,'Таблиця 1'!$E:$E,"КСП роти",'Таблиця 1'!$L:$L,"Уражено"))</f>
        <v/>
      </c>
      <c r="L97">
        <f>IF($A97="","",COUNTIFS('Таблиця 1'!$B:$B,$A97,'Таблиця 1'!$E:$E,"ПУ бат",'Таблиця 1'!$L:$L,"Уражено"))</f>
        <v/>
      </c>
      <c r="M97">
        <f>IF($A97="","",COUNTIFS('Таблиця 1'!$B:$B,$A97,'Таблиця 1'!$E:$E,"ПУ бриг",'Таблиця 1'!$L:$L,"Уражено"))</f>
        <v/>
      </c>
      <c r="N97">
        <f>IF($A97="","",COUNTIFS('Таблиця 1'!$B:$B,$A97,'Таблиця 1'!$E:$E,"ПУ див",'Таблиця 1'!$L:$L,"Уражено"))</f>
        <v/>
      </c>
      <c r="O97">
        <f>IF($A97="","",COUNTIFS('Таблиця 1'!$B:$B,$A97,'Таблиця 1'!$E:$E,"обл. РЕБ",'Таблиця 1'!$L:$L,"Уражено"))</f>
        <v/>
      </c>
      <c r="P97">
        <f>IF($A97="","",COUNTIFS('Таблиця 1'!$B:$B,$A97,'Таблиця 1'!$E:$E,"пос РЕБ",'Таблиця 1'!$L:$L,"Уражено"))</f>
        <v/>
      </c>
      <c r="Q97">
        <f>IF($A97="","",COUNTIFS('Таблиця 1'!$B:$B,$A97,'Таблиця 1'!$E:$E,"група РЕР",'Таблиця 1'!$L:$L,"Уражено"))</f>
        <v/>
      </c>
      <c r="R97">
        <f>IF($A97="","",COUNTIFS('Таблиця 1'!$B:$B,$A97,'Таблиця 1'!$E:$E,"РЛС КББ",'Таблиця 1'!$L:$L,"Уражено"))</f>
        <v/>
      </c>
      <c r="S97">
        <f>IF($A97="","",COUNTIFS('Таблиця 1'!$B:$B,$A97,'Таблиця 1'!$E:$E,"Ретранслятор",'Таблиця 1'!$L:$L,"Уражено"))</f>
        <v/>
      </c>
      <c r="T97">
        <f>IF($A97="","",COUNTIFS('Таблиця 1'!$B:$B,$A97,'Таблиця 1'!$E:$E,"Вз.зв'язку",'Таблиця 1'!$L:$L,"Уражено"))</f>
        <v/>
      </c>
      <c r="U97">
        <f>IF($A97="","",COUNTIFS('Таблиця 1'!$B:$B,$A97,'Таблиця 1'!$E:$E,"ПММ",'Таблиця 1'!$L:$L,"Уражено"))</f>
        <v/>
      </c>
      <c r="V97">
        <f>IF($A97="","",COUNTIFS('Таблиця 1'!$B:$B,$A97,'Таблиця 1'!$E:$E,"ІФС",'Таблиця 1'!$L:$L,"Уражено"))</f>
        <v/>
      </c>
      <c r="W97">
        <f>IF($A97="","",COUNTIFS('Таблиця 1'!$B:$B,$A97,'Таблиця 1'!$E:$E,"Інфраструктура",'Таблиця 1'!$L:$L,"Уражено"))</f>
        <v/>
      </c>
      <c r="X97">
        <f>IF($A97="","",SUMIFS('Таблиця 1'!$K:$K,'Таблиця 1'!$B:$B,$A97))</f>
        <v/>
      </c>
    </row>
    <row r="98">
      <c r="A98" s="81">
        <f>IF(A97="","",IF(A97+1&gt;MAX('Таблиця 1'!$B:$B),"",A97+1))</f>
        <v/>
      </c>
      <c r="B98">
        <f>IF($A98="","",COUNTIFS('Таблиця 1'!$B:$B,$A98,'Таблиця 1'!$E:$E,"ЖС ВЗ",'Таблиця 1'!$L:$L,"Уражено"))</f>
        <v/>
      </c>
      <c r="C98">
        <f>IF($A98="","",COUNTIFS('Таблиця 1'!$B:$B,$A98,'Таблиця 1'!$E:$E,"Арт. Системи",'Таблиця 1'!$L:$L,"Уражено"))</f>
        <v/>
      </c>
      <c r="D98">
        <f>IF($A98="","",COUNTIFS('Таблиця 1'!$B:$B,$A98,'Таблиця 1'!$E:$E,"ОВТ",'Таблиця 1'!$L:$L,"Уражено"))</f>
        <v/>
      </c>
      <c r="E98">
        <f>IF($A98="","",COUNTIFS('Таблиця 1'!$B:$B,$A98,'Таблиця 1'!$E:$E,"ППО",'Таблиця 1'!$L:$L,"Уражено"))</f>
        <v/>
      </c>
      <c r="F98">
        <f>IF($A98="","",COUNTIFS('Таблиця 1'!$B:$B,$A98,'Таблиця 1'!$E:$E,"Рембаза",'Таблиця 1'!$L:$L,"Уражено"))</f>
        <v/>
      </c>
      <c r="G98">
        <f>IF($A98="","",COUNTIFS('Таблиця 1'!$B:$B,$A98,'Таблиця 1'!$E:$E,"Склад БК",'Таблиця 1'!$L:$L,"Уражено"))</f>
        <v/>
      </c>
      <c r="H98">
        <f>IF($A98="","",COUNTIFS('Таблиця 1'!$B:$B,$A98,'Таблиця 1'!$E:$E,"Склад ВТМ",'Таблиця 1'!$L:$L,"Уражено"))</f>
        <v/>
      </c>
      <c r="I98">
        <f>IF($A98="","",COUNTIFS('Таблиця 1'!$B:$B,$A98,'Таблиця 1'!$E:$E,"ПУ БпЛА",'Таблиця 1'!$L:$L,"Уражено"))</f>
        <v/>
      </c>
      <c r="J98">
        <f>IF($A98="","",COUNTIFS('Таблиця 1'!$B:$B,$A98,'Таблиця 1'!$E:$E,"СП",'Таблиця 1'!$L:$L,"Уражено"))</f>
        <v/>
      </c>
      <c r="K98">
        <f>IF($A98="","",COUNTIFS('Таблиця 1'!$B:$B,$A98,'Таблиця 1'!$E:$E,"КСП роти",'Таблиця 1'!$L:$L,"Уражено"))</f>
        <v/>
      </c>
      <c r="L98">
        <f>IF($A98="","",COUNTIFS('Таблиця 1'!$B:$B,$A98,'Таблиця 1'!$E:$E,"ПУ бат",'Таблиця 1'!$L:$L,"Уражено"))</f>
        <v/>
      </c>
      <c r="M98">
        <f>IF($A98="","",COUNTIFS('Таблиця 1'!$B:$B,$A98,'Таблиця 1'!$E:$E,"ПУ бриг",'Таблиця 1'!$L:$L,"Уражено"))</f>
        <v/>
      </c>
      <c r="N98">
        <f>IF($A98="","",COUNTIFS('Таблиця 1'!$B:$B,$A98,'Таблиця 1'!$E:$E,"ПУ див",'Таблиця 1'!$L:$L,"Уражено"))</f>
        <v/>
      </c>
      <c r="O98">
        <f>IF($A98="","",COUNTIFS('Таблиця 1'!$B:$B,$A98,'Таблиця 1'!$E:$E,"обл. РЕБ",'Таблиця 1'!$L:$L,"Уражено"))</f>
        <v/>
      </c>
      <c r="P98">
        <f>IF($A98="","",COUNTIFS('Таблиця 1'!$B:$B,$A98,'Таблиця 1'!$E:$E,"пос РЕБ",'Таблиця 1'!$L:$L,"Уражено"))</f>
        <v/>
      </c>
      <c r="Q98">
        <f>IF($A98="","",COUNTIFS('Таблиця 1'!$B:$B,$A98,'Таблиця 1'!$E:$E,"група РЕР",'Таблиця 1'!$L:$L,"Уражено"))</f>
        <v/>
      </c>
      <c r="R98">
        <f>IF($A98="","",COUNTIFS('Таблиця 1'!$B:$B,$A98,'Таблиця 1'!$E:$E,"РЛС КББ",'Таблиця 1'!$L:$L,"Уражено"))</f>
        <v/>
      </c>
      <c r="S98">
        <f>IF($A98="","",COUNTIFS('Таблиця 1'!$B:$B,$A98,'Таблиця 1'!$E:$E,"Ретранслятор",'Таблиця 1'!$L:$L,"Уражено"))</f>
        <v/>
      </c>
      <c r="T98">
        <f>IF($A98="","",COUNTIFS('Таблиця 1'!$B:$B,$A98,'Таблиця 1'!$E:$E,"Вз.зв'язку",'Таблиця 1'!$L:$L,"Уражено"))</f>
        <v/>
      </c>
      <c r="U98">
        <f>IF($A98="","",COUNTIFS('Таблиця 1'!$B:$B,$A98,'Таблиця 1'!$E:$E,"ПММ",'Таблиця 1'!$L:$L,"Уражено"))</f>
        <v/>
      </c>
      <c r="V98">
        <f>IF($A98="","",COUNTIFS('Таблиця 1'!$B:$B,$A98,'Таблиця 1'!$E:$E,"ІФС",'Таблиця 1'!$L:$L,"Уражено"))</f>
        <v/>
      </c>
      <c r="W98">
        <f>IF($A98="","",COUNTIFS('Таблиця 1'!$B:$B,$A98,'Таблиця 1'!$E:$E,"Інфраструктура",'Таблиця 1'!$L:$L,"Уражено"))</f>
        <v/>
      </c>
      <c r="X98">
        <f>IF($A98="","",SUMIFS('Таблиця 1'!$K:$K,'Таблиця 1'!$B:$B,$A98))</f>
        <v/>
      </c>
    </row>
    <row r="99">
      <c r="A99" s="81">
        <f>IF(A98="","",IF(A98+1&gt;MAX('Таблиця 1'!$B:$B),"",A98+1))</f>
        <v/>
      </c>
      <c r="B99">
        <f>IF($A99="","",COUNTIFS('Таблиця 1'!$B:$B,$A99,'Таблиця 1'!$E:$E,"ЖС ВЗ",'Таблиця 1'!$L:$L,"Уражено"))</f>
        <v/>
      </c>
      <c r="C99">
        <f>IF($A99="","",COUNTIFS('Таблиця 1'!$B:$B,$A99,'Таблиця 1'!$E:$E,"Арт. Системи",'Таблиця 1'!$L:$L,"Уражено"))</f>
        <v/>
      </c>
      <c r="D99">
        <f>IF($A99="","",COUNTIFS('Таблиця 1'!$B:$B,$A99,'Таблиця 1'!$E:$E,"ОВТ",'Таблиця 1'!$L:$L,"Уражено"))</f>
        <v/>
      </c>
      <c r="E99">
        <f>IF($A99="","",COUNTIFS('Таблиця 1'!$B:$B,$A99,'Таблиця 1'!$E:$E,"ППО",'Таблиця 1'!$L:$L,"Уражено"))</f>
        <v/>
      </c>
      <c r="F99">
        <f>IF($A99="","",COUNTIFS('Таблиця 1'!$B:$B,$A99,'Таблиця 1'!$E:$E,"Рембаза",'Таблиця 1'!$L:$L,"Уражено"))</f>
        <v/>
      </c>
      <c r="G99">
        <f>IF($A99="","",COUNTIFS('Таблиця 1'!$B:$B,$A99,'Таблиця 1'!$E:$E,"Склад БК",'Таблиця 1'!$L:$L,"Уражено"))</f>
        <v/>
      </c>
      <c r="H99">
        <f>IF($A99="","",COUNTIFS('Таблиця 1'!$B:$B,$A99,'Таблиця 1'!$E:$E,"Склад ВТМ",'Таблиця 1'!$L:$L,"Уражено"))</f>
        <v/>
      </c>
      <c r="I99">
        <f>IF($A99="","",COUNTIFS('Таблиця 1'!$B:$B,$A99,'Таблиця 1'!$E:$E,"ПУ БпЛА",'Таблиця 1'!$L:$L,"Уражено"))</f>
        <v/>
      </c>
      <c r="J99">
        <f>IF($A99="","",COUNTIFS('Таблиця 1'!$B:$B,$A99,'Таблиця 1'!$E:$E,"СП",'Таблиця 1'!$L:$L,"Уражено"))</f>
        <v/>
      </c>
      <c r="K99">
        <f>IF($A99="","",COUNTIFS('Таблиця 1'!$B:$B,$A99,'Таблиця 1'!$E:$E,"КСП роти",'Таблиця 1'!$L:$L,"Уражено"))</f>
        <v/>
      </c>
      <c r="L99">
        <f>IF($A99="","",COUNTIFS('Таблиця 1'!$B:$B,$A99,'Таблиця 1'!$E:$E,"ПУ бат",'Таблиця 1'!$L:$L,"Уражено"))</f>
        <v/>
      </c>
      <c r="M99">
        <f>IF($A99="","",COUNTIFS('Таблиця 1'!$B:$B,$A99,'Таблиця 1'!$E:$E,"ПУ бриг",'Таблиця 1'!$L:$L,"Уражено"))</f>
        <v/>
      </c>
      <c r="N99">
        <f>IF($A99="","",COUNTIFS('Таблиця 1'!$B:$B,$A99,'Таблиця 1'!$E:$E,"ПУ див",'Таблиця 1'!$L:$L,"Уражено"))</f>
        <v/>
      </c>
      <c r="O99">
        <f>IF($A99="","",COUNTIFS('Таблиця 1'!$B:$B,$A99,'Таблиця 1'!$E:$E,"обл. РЕБ",'Таблиця 1'!$L:$L,"Уражено"))</f>
        <v/>
      </c>
      <c r="P99">
        <f>IF($A99="","",COUNTIFS('Таблиця 1'!$B:$B,$A99,'Таблиця 1'!$E:$E,"пос РЕБ",'Таблиця 1'!$L:$L,"Уражено"))</f>
        <v/>
      </c>
      <c r="Q99">
        <f>IF($A99="","",COUNTIFS('Таблиця 1'!$B:$B,$A99,'Таблиця 1'!$E:$E,"група РЕР",'Таблиця 1'!$L:$L,"Уражено"))</f>
        <v/>
      </c>
      <c r="R99">
        <f>IF($A99="","",COUNTIFS('Таблиця 1'!$B:$B,$A99,'Таблиця 1'!$E:$E,"РЛС КББ",'Таблиця 1'!$L:$L,"Уражено"))</f>
        <v/>
      </c>
      <c r="S99">
        <f>IF($A99="","",COUNTIFS('Таблиця 1'!$B:$B,$A99,'Таблиця 1'!$E:$E,"Ретранслятор",'Таблиця 1'!$L:$L,"Уражено"))</f>
        <v/>
      </c>
      <c r="T99">
        <f>IF($A99="","",COUNTIFS('Таблиця 1'!$B:$B,$A99,'Таблиця 1'!$E:$E,"Вз.зв'язку",'Таблиця 1'!$L:$L,"Уражено"))</f>
        <v/>
      </c>
      <c r="U99">
        <f>IF($A99="","",COUNTIFS('Таблиця 1'!$B:$B,$A99,'Таблиця 1'!$E:$E,"ПММ",'Таблиця 1'!$L:$L,"Уражено"))</f>
        <v/>
      </c>
      <c r="V99">
        <f>IF($A99="","",COUNTIFS('Таблиця 1'!$B:$B,$A99,'Таблиця 1'!$E:$E,"ІФС",'Таблиця 1'!$L:$L,"Уражено"))</f>
        <v/>
      </c>
      <c r="W99">
        <f>IF($A99="","",COUNTIFS('Таблиця 1'!$B:$B,$A99,'Таблиця 1'!$E:$E,"Інфраструктура",'Таблиця 1'!$L:$L,"Уражено"))</f>
        <v/>
      </c>
      <c r="X99">
        <f>IF($A99="","",SUMIFS('Таблиця 1'!$K:$K,'Таблиця 1'!$B:$B,$A99))</f>
        <v/>
      </c>
    </row>
    <row r="100">
      <c r="A100" s="81">
        <f>IF(A99="","",IF(A99+1&gt;MAX('Таблиця 1'!$B:$B),"",A99+1))</f>
        <v/>
      </c>
      <c r="B100">
        <f>IF($A100="","",COUNTIFS('Таблиця 1'!$B:$B,$A100,'Таблиця 1'!$E:$E,"ЖС ВЗ",'Таблиця 1'!$L:$L,"Уражено"))</f>
        <v/>
      </c>
      <c r="C100">
        <f>IF($A100="","",COUNTIFS('Таблиця 1'!$B:$B,$A100,'Таблиця 1'!$E:$E,"Арт. Системи",'Таблиця 1'!$L:$L,"Уражено"))</f>
        <v/>
      </c>
      <c r="D100">
        <f>IF($A100="","",COUNTIFS('Таблиця 1'!$B:$B,$A100,'Таблиця 1'!$E:$E,"ОВТ",'Таблиця 1'!$L:$L,"Уражено"))</f>
        <v/>
      </c>
      <c r="E100">
        <f>IF($A100="","",COUNTIFS('Таблиця 1'!$B:$B,$A100,'Таблиця 1'!$E:$E,"ППО",'Таблиця 1'!$L:$L,"Уражено"))</f>
        <v/>
      </c>
      <c r="F100">
        <f>IF($A100="","",COUNTIFS('Таблиця 1'!$B:$B,$A100,'Таблиця 1'!$E:$E,"Рембаза",'Таблиця 1'!$L:$L,"Уражено"))</f>
        <v/>
      </c>
      <c r="G100">
        <f>IF($A100="","",COUNTIFS('Таблиця 1'!$B:$B,$A100,'Таблиця 1'!$E:$E,"Склад БК",'Таблиця 1'!$L:$L,"Уражено"))</f>
        <v/>
      </c>
      <c r="H100">
        <f>IF($A100="","",COUNTIFS('Таблиця 1'!$B:$B,$A100,'Таблиця 1'!$E:$E,"Склад ВТМ",'Таблиця 1'!$L:$L,"Уражено"))</f>
        <v/>
      </c>
      <c r="I100">
        <f>IF($A100="","",COUNTIFS('Таблиця 1'!$B:$B,$A100,'Таблиця 1'!$E:$E,"ПУ БпЛА",'Таблиця 1'!$L:$L,"Уражено"))</f>
        <v/>
      </c>
      <c r="J100">
        <f>IF($A100="","",COUNTIFS('Таблиця 1'!$B:$B,$A100,'Таблиця 1'!$E:$E,"СП",'Таблиця 1'!$L:$L,"Уражено"))</f>
        <v/>
      </c>
      <c r="K100">
        <f>IF($A100="","",COUNTIFS('Таблиця 1'!$B:$B,$A100,'Таблиця 1'!$E:$E,"КСП роти",'Таблиця 1'!$L:$L,"Уражено"))</f>
        <v/>
      </c>
      <c r="L100">
        <f>IF($A100="","",COUNTIFS('Таблиця 1'!$B:$B,$A100,'Таблиця 1'!$E:$E,"ПУ бат",'Таблиця 1'!$L:$L,"Уражено"))</f>
        <v/>
      </c>
      <c r="M100">
        <f>IF($A100="","",COUNTIFS('Таблиця 1'!$B:$B,$A100,'Таблиця 1'!$E:$E,"ПУ бриг",'Таблиця 1'!$L:$L,"Уражено"))</f>
        <v/>
      </c>
      <c r="N100">
        <f>IF($A100="","",COUNTIFS('Таблиця 1'!$B:$B,$A100,'Таблиця 1'!$E:$E,"ПУ див",'Таблиця 1'!$L:$L,"Уражено"))</f>
        <v/>
      </c>
      <c r="O100">
        <f>IF($A100="","",COUNTIFS('Таблиця 1'!$B:$B,$A100,'Таблиця 1'!$E:$E,"обл. РЕБ",'Таблиця 1'!$L:$L,"Уражено"))</f>
        <v/>
      </c>
      <c r="P100">
        <f>IF($A100="","",COUNTIFS('Таблиця 1'!$B:$B,$A100,'Таблиця 1'!$E:$E,"пос РЕБ",'Таблиця 1'!$L:$L,"Уражено"))</f>
        <v/>
      </c>
      <c r="Q100">
        <f>IF($A100="","",COUNTIFS('Таблиця 1'!$B:$B,$A100,'Таблиця 1'!$E:$E,"група РЕР",'Таблиця 1'!$L:$L,"Уражено"))</f>
        <v/>
      </c>
      <c r="R100">
        <f>IF($A100="","",COUNTIFS('Таблиця 1'!$B:$B,$A100,'Таблиця 1'!$E:$E,"РЛС КББ",'Таблиця 1'!$L:$L,"Уражено"))</f>
        <v/>
      </c>
      <c r="S100">
        <f>IF($A100="","",COUNTIFS('Таблиця 1'!$B:$B,$A100,'Таблиця 1'!$E:$E,"Ретранслятор",'Таблиця 1'!$L:$L,"Уражено"))</f>
        <v/>
      </c>
      <c r="T100">
        <f>IF($A100="","",COUNTIFS('Таблиця 1'!$B:$B,$A100,'Таблиця 1'!$E:$E,"Вз.зв'язку",'Таблиця 1'!$L:$L,"Уражено"))</f>
        <v/>
      </c>
      <c r="U100">
        <f>IF($A100="","",COUNTIFS('Таблиця 1'!$B:$B,$A100,'Таблиця 1'!$E:$E,"ПММ",'Таблиця 1'!$L:$L,"Уражено"))</f>
        <v/>
      </c>
      <c r="V100">
        <f>IF($A100="","",COUNTIFS('Таблиця 1'!$B:$B,$A100,'Таблиця 1'!$E:$E,"ІФС",'Таблиця 1'!$L:$L,"Уражено"))</f>
        <v/>
      </c>
      <c r="W100">
        <f>IF($A100="","",COUNTIFS('Таблиця 1'!$B:$B,$A100,'Таблиця 1'!$E:$E,"Інфраструктура",'Таблиця 1'!$L:$L,"Уражено"))</f>
        <v/>
      </c>
      <c r="X100">
        <f>IF($A100="","",SUMIFS('Таблиця 1'!$K:$K,'Таблиця 1'!$B:$B,$A100))</f>
        <v/>
      </c>
    </row>
    <row r="101">
      <c r="A101" s="81">
        <f>IF(A100="","",IF(A100+1&gt;MAX('Таблиця 1'!$B:$B),"",A100+1))</f>
        <v/>
      </c>
      <c r="B101">
        <f>IF($A101="","",COUNTIFS('Таблиця 1'!$B:$B,$A101,'Таблиця 1'!$E:$E,"ЖС ВЗ",'Таблиця 1'!$L:$L,"Уражено"))</f>
        <v/>
      </c>
      <c r="C101">
        <f>IF($A101="","",COUNTIFS('Таблиця 1'!$B:$B,$A101,'Таблиця 1'!$E:$E,"Арт. Системи",'Таблиця 1'!$L:$L,"Уражено"))</f>
        <v/>
      </c>
      <c r="D101">
        <f>IF($A101="","",COUNTIFS('Таблиця 1'!$B:$B,$A101,'Таблиця 1'!$E:$E,"ОВТ",'Таблиця 1'!$L:$L,"Уражено"))</f>
        <v/>
      </c>
      <c r="E101">
        <f>IF($A101="","",COUNTIFS('Таблиця 1'!$B:$B,$A101,'Таблиця 1'!$E:$E,"ППО",'Таблиця 1'!$L:$L,"Уражено"))</f>
        <v/>
      </c>
      <c r="F101">
        <f>IF($A101="","",COUNTIFS('Таблиця 1'!$B:$B,$A101,'Таблиця 1'!$E:$E,"Рембаза",'Таблиця 1'!$L:$L,"Уражено"))</f>
        <v/>
      </c>
      <c r="G101">
        <f>IF($A101="","",COUNTIFS('Таблиця 1'!$B:$B,$A101,'Таблиця 1'!$E:$E,"Склад БК",'Таблиця 1'!$L:$L,"Уражено"))</f>
        <v/>
      </c>
      <c r="H101">
        <f>IF($A101="","",COUNTIFS('Таблиця 1'!$B:$B,$A101,'Таблиця 1'!$E:$E,"Склад ВТМ",'Таблиця 1'!$L:$L,"Уражено"))</f>
        <v/>
      </c>
      <c r="I101">
        <f>IF($A101="","",COUNTIFS('Таблиця 1'!$B:$B,$A101,'Таблиця 1'!$E:$E,"ПУ БпЛА",'Таблиця 1'!$L:$L,"Уражено"))</f>
        <v/>
      </c>
      <c r="J101">
        <f>IF($A101="","",COUNTIFS('Таблиця 1'!$B:$B,$A101,'Таблиця 1'!$E:$E,"СП",'Таблиця 1'!$L:$L,"Уражено"))</f>
        <v/>
      </c>
      <c r="K101">
        <f>IF($A101="","",COUNTIFS('Таблиця 1'!$B:$B,$A101,'Таблиця 1'!$E:$E,"КСП роти",'Таблиця 1'!$L:$L,"Уражено"))</f>
        <v/>
      </c>
      <c r="L101">
        <f>IF($A101="","",COUNTIFS('Таблиця 1'!$B:$B,$A101,'Таблиця 1'!$E:$E,"ПУ бат",'Таблиця 1'!$L:$L,"Уражено"))</f>
        <v/>
      </c>
      <c r="M101">
        <f>IF($A101="","",COUNTIFS('Таблиця 1'!$B:$B,$A101,'Таблиця 1'!$E:$E,"ПУ бриг",'Таблиця 1'!$L:$L,"Уражено"))</f>
        <v/>
      </c>
      <c r="N101">
        <f>IF($A101="","",COUNTIFS('Таблиця 1'!$B:$B,$A101,'Таблиця 1'!$E:$E,"ПУ див",'Таблиця 1'!$L:$L,"Уражено"))</f>
        <v/>
      </c>
      <c r="O101">
        <f>IF($A101="","",COUNTIFS('Таблиця 1'!$B:$B,$A101,'Таблиця 1'!$E:$E,"обл. РЕБ",'Таблиця 1'!$L:$L,"Уражено"))</f>
        <v/>
      </c>
      <c r="P101">
        <f>IF($A101="","",COUNTIFS('Таблиця 1'!$B:$B,$A101,'Таблиця 1'!$E:$E,"пос РЕБ",'Таблиця 1'!$L:$L,"Уражено"))</f>
        <v/>
      </c>
      <c r="Q101">
        <f>IF($A101="","",COUNTIFS('Таблиця 1'!$B:$B,$A101,'Таблиця 1'!$E:$E,"група РЕР",'Таблиця 1'!$L:$L,"Уражено"))</f>
        <v/>
      </c>
      <c r="R101">
        <f>IF($A101="","",COUNTIFS('Таблиця 1'!$B:$B,$A101,'Таблиця 1'!$E:$E,"РЛС КББ",'Таблиця 1'!$L:$L,"Уражено"))</f>
        <v/>
      </c>
      <c r="S101">
        <f>IF($A101="","",COUNTIFS('Таблиця 1'!$B:$B,$A101,'Таблиця 1'!$E:$E,"Ретранслятор",'Таблиця 1'!$L:$L,"Уражено"))</f>
        <v/>
      </c>
      <c r="T101">
        <f>IF($A101="","",COUNTIFS('Таблиця 1'!$B:$B,$A101,'Таблиця 1'!$E:$E,"Вз.зв'язку",'Таблиця 1'!$L:$L,"Уражено"))</f>
        <v/>
      </c>
      <c r="U101">
        <f>IF($A101="","",COUNTIFS('Таблиця 1'!$B:$B,$A101,'Таблиця 1'!$E:$E,"ПММ",'Таблиця 1'!$L:$L,"Уражено"))</f>
        <v/>
      </c>
      <c r="V101">
        <f>IF($A101="","",COUNTIFS('Таблиця 1'!$B:$B,$A101,'Таблиця 1'!$E:$E,"ІФС",'Таблиця 1'!$L:$L,"Уражено"))</f>
        <v/>
      </c>
      <c r="W101">
        <f>IF($A101="","",COUNTIFS('Таблиця 1'!$B:$B,$A101,'Таблиця 1'!$E:$E,"Інфраструктура",'Таблиця 1'!$L:$L,"Уражено"))</f>
        <v/>
      </c>
      <c r="X101">
        <f>IF($A101="","",SUMIFS('Таблиця 1'!$K:$K,'Таблиця 1'!$B:$B,$A101))</f>
        <v/>
      </c>
    </row>
    <row r="102">
      <c r="A102" s="81">
        <f>IF(A101="","",IF(A101+1&gt;MAX('Таблиця 1'!$B:$B),"",A101+1))</f>
        <v/>
      </c>
      <c r="B102">
        <f>IF($A102="","",COUNTIFS('Таблиця 1'!$B:$B,$A102,'Таблиця 1'!$E:$E,"ЖС ВЗ",'Таблиця 1'!$L:$L,"Уражено"))</f>
        <v/>
      </c>
      <c r="C102">
        <f>IF($A102="","",COUNTIFS('Таблиця 1'!$B:$B,$A102,'Таблиця 1'!$E:$E,"Арт. Системи",'Таблиця 1'!$L:$L,"Уражено"))</f>
        <v/>
      </c>
      <c r="D102">
        <f>IF($A102="","",COUNTIFS('Таблиця 1'!$B:$B,$A102,'Таблиця 1'!$E:$E,"ОВТ",'Таблиця 1'!$L:$L,"Уражено"))</f>
        <v/>
      </c>
      <c r="E102">
        <f>IF($A102="","",COUNTIFS('Таблиця 1'!$B:$B,$A102,'Таблиця 1'!$E:$E,"ППО",'Таблиця 1'!$L:$L,"Уражено"))</f>
        <v/>
      </c>
      <c r="F102">
        <f>IF($A102="","",COUNTIFS('Таблиця 1'!$B:$B,$A102,'Таблиця 1'!$E:$E,"Рембаза",'Таблиця 1'!$L:$L,"Уражено"))</f>
        <v/>
      </c>
      <c r="G102">
        <f>IF($A102="","",COUNTIFS('Таблиця 1'!$B:$B,$A102,'Таблиця 1'!$E:$E,"Склад БК",'Таблиця 1'!$L:$L,"Уражено"))</f>
        <v/>
      </c>
      <c r="H102">
        <f>IF($A102="","",COUNTIFS('Таблиця 1'!$B:$B,$A102,'Таблиця 1'!$E:$E,"Склад ВТМ",'Таблиця 1'!$L:$L,"Уражено"))</f>
        <v/>
      </c>
      <c r="I102">
        <f>IF($A102="","",COUNTIFS('Таблиця 1'!$B:$B,$A102,'Таблиця 1'!$E:$E,"ПУ БпЛА",'Таблиця 1'!$L:$L,"Уражено"))</f>
        <v/>
      </c>
      <c r="J102">
        <f>IF($A102="","",COUNTIFS('Таблиця 1'!$B:$B,$A102,'Таблиця 1'!$E:$E,"СП",'Таблиця 1'!$L:$L,"Уражено"))</f>
        <v/>
      </c>
      <c r="K102">
        <f>IF($A102="","",COUNTIFS('Таблиця 1'!$B:$B,$A102,'Таблиця 1'!$E:$E,"КСП роти",'Таблиця 1'!$L:$L,"Уражено"))</f>
        <v/>
      </c>
      <c r="L102">
        <f>IF($A102="","",COUNTIFS('Таблиця 1'!$B:$B,$A102,'Таблиця 1'!$E:$E,"ПУ бат",'Таблиця 1'!$L:$L,"Уражено"))</f>
        <v/>
      </c>
      <c r="M102">
        <f>IF($A102="","",COUNTIFS('Таблиця 1'!$B:$B,$A102,'Таблиця 1'!$E:$E,"ПУ бриг",'Таблиця 1'!$L:$L,"Уражено"))</f>
        <v/>
      </c>
      <c r="N102">
        <f>IF($A102="","",COUNTIFS('Таблиця 1'!$B:$B,$A102,'Таблиця 1'!$E:$E,"ПУ див",'Таблиця 1'!$L:$L,"Уражено"))</f>
        <v/>
      </c>
      <c r="O102">
        <f>IF($A102="","",COUNTIFS('Таблиця 1'!$B:$B,$A102,'Таблиця 1'!$E:$E,"обл. РЕБ",'Таблиця 1'!$L:$L,"Уражено"))</f>
        <v/>
      </c>
      <c r="P102">
        <f>IF($A102="","",COUNTIFS('Таблиця 1'!$B:$B,$A102,'Таблиця 1'!$E:$E,"пос РЕБ",'Таблиця 1'!$L:$L,"Уражено"))</f>
        <v/>
      </c>
      <c r="Q102">
        <f>IF($A102="","",COUNTIFS('Таблиця 1'!$B:$B,$A102,'Таблиця 1'!$E:$E,"група РЕР",'Таблиця 1'!$L:$L,"Уражено"))</f>
        <v/>
      </c>
      <c r="R102">
        <f>IF($A102="","",COUNTIFS('Таблиця 1'!$B:$B,$A102,'Таблиця 1'!$E:$E,"РЛС КББ",'Таблиця 1'!$L:$L,"Уражено"))</f>
        <v/>
      </c>
      <c r="S102">
        <f>IF($A102="","",COUNTIFS('Таблиця 1'!$B:$B,$A102,'Таблиця 1'!$E:$E,"Ретранслятор",'Таблиця 1'!$L:$L,"Уражено"))</f>
        <v/>
      </c>
      <c r="T102">
        <f>IF($A102="","",COUNTIFS('Таблиця 1'!$B:$B,$A102,'Таблиця 1'!$E:$E,"Вз.зв'язку",'Таблиця 1'!$L:$L,"Уражено"))</f>
        <v/>
      </c>
      <c r="U102">
        <f>IF($A102="","",COUNTIFS('Таблиця 1'!$B:$B,$A102,'Таблиця 1'!$E:$E,"ПММ",'Таблиця 1'!$L:$L,"Уражено"))</f>
        <v/>
      </c>
      <c r="V102">
        <f>IF($A102="","",COUNTIFS('Таблиця 1'!$B:$B,$A102,'Таблиця 1'!$E:$E,"ІФС",'Таблиця 1'!$L:$L,"Уражено"))</f>
        <v/>
      </c>
      <c r="W102">
        <f>IF($A102="","",COUNTIFS('Таблиця 1'!$B:$B,$A102,'Таблиця 1'!$E:$E,"Інфраструктура",'Таблиця 1'!$L:$L,"Уражено"))</f>
        <v/>
      </c>
      <c r="X102">
        <f>IF($A102="","",SUMIFS('Таблиця 1'!$K:$K,'Таблиця 1'!$B:$B,$A102))</f>
        <v/>
      </c>
    </row>
    <row r="103">
      <c r="A103" s="81">
        <f>IF(A102="","",IF(A102+1&gt;MAX('Таблиця 1'!$B:$B),"",A102+1))</f>
        <v/>
      </c>
      <c r="B103">
        <f>IF($A103="","",COUNTIFS('Таблиця 1'!$B:$B,$A103,'Таблиця 1'!$E:$E,"ЖС ВЗ",'Таблиця 1'!$L:$L,"Уражено"))</f>
        <v/>
      </c>
      <c r="C103">
        <f>IF($A103="","",COUNTIFS('Таблиця 1'!$B:$B,$A103,'Таблиця 1'!$E:$E,"Арт. Системи",'Таблиця 1'!$L:$L,"Уражено"))</f>
        <v/>
      </c>
      <c r="D103">
        <f>IF($A103="","",COUNTIFS('Таблиця 1'!$B:$B,$A103,'Таблиця 1'!$E:$E,"ОВТ",'Таблиця 1'!$L:$L,"Уражено"))</f>
        <v/>
      </c>
      <c r="E103">
        <f>IF($A103="","",COUNTIFS('Таблиця 1'!$B:$B,$A103,'Таблиця 1'!$E:$E,"ППО",'Таблиця 1'!$L:$L,"Уражено"))</f>
        <v/>
      </c>
      <c r="F103">
        <f>IF($A103="","",COUNTIFS('Таблиця 1'!$B:$B,$A103,'Таблиця 1'!$E:$E,"Рембаза",'Таблиця 1'!$L:$L,"Уражено"))</f>
        <v/>
      </c>
      <c r="G103">
        <f>IF($A103="","",COUNTIFS('Таблиця 1'!$B:$B,$A103,'Таблиця 1'!$E:$E,"Склад БК",'Таблиця 1'!$L:$L,"Уражено"))</f>
        <v/>
      </c>
      <c r="H103">
        <f>IF($A103="","",COUNTIFS('Таблиця 1'!$B:$B,$A103,'Таблиця 1'!$E:$E,"Склад ВТМ",'Таблиця 1'!$L:$L,"Уражено"))</f>
        <v/>
      </c>
      <c r="I103">
        <f>IF($A103="","",COUNTIFS('Таблиця 1'!$B:$B,$A103,'Таблиця 1'!$E:$E,"ПУ БпЛА",'Таблиця 1'!$L:$L,"Уражено"))</f>
        <v/>
      </c>
      <c r="J103">
        <f>IF($A103="","",COUNTIFS('Таблиця 1'!$B:$B,$A103,'Таблиця 1'!$E:$E,"СП",'Таблиця 1'!$L:$L,"Уражено"))</f>
        <v/>
      </c>
      <c r="K103">
        <f>IF($A103="","",COUNTIFS('Таблиця 1'!$B:$B,$A103,'Таблиця 1'!$E:$E,"КСП роти",'Таблиця 1'!$L:$L,"Уражено"))</f>
        <v/>
      </c>
      <c r="L103">
        <f>IF($A103="","",COUNTIFS('Таблиця 1'!$B:$B,$A103,'Таблиця 1'!$E:$E,"ПУ бат",'Таблиця 1'!$L:$L,"Уражено"))</f>
        <v/>
      </c>
      <c r="M103">
        <f>IF($A103="","",COUNTIFS('Таблиця 1'!$B:$B,$A103,'Таблиця 1'!$E:$E,"ПУ бриг",'Таблиця 1'!$L:$L,"Уражено"))</f>
        <v/>
      </c>
      <c r="N103">
        <f>IF($A103="","",COUNTIFS('Таблиця 1'!$B:$B,$A103,'Таблиця 1'!$E:$E,"ПУ див",'Таблиця 1'!$L:$L,"Уражено"))</f>
        <v/>
      </c>
      <c r="O103">
        <f>IF($A103="","",COUNTIFS('Таблиця 1'!$B:$B,$A103,'Таблиця 1'!$E:$E,"обл. РЕБ",'Таблиця 1'!$L:$L,"Уражено"))</f>
        <v/>
      </c>
      <c r="P103">
        <f>IF($A103="","",COUNTIFS('Таблиця 1'!$B:$B,$A103,'Таблиця 1'!$E:$E,"пос РЕБ",'Таблиця 1'!$L:$L,"Уражено"))</f>
        <v/>
      </c>
      <c r="Q103">
        <f>IF($A103="","",COUNTIFS('Таблиця 1'!$B:$B,$A103,'Таблиця 1'!$E:$E,"група РЕР",'Таблиця 1'!$L:$L,"Уражено"))</f>
        <v/>
      </c>
      <c r="R103">
        <f>IF($A103="","",COUNTIFS('Таблиця 1'!$B:$B,$A103,'Таблиця 1'!$E:$E,"РЛС КББ",'Таблиця 1'!$L:$L,"Уражено"))</f>
        <v/>
      </c>
      <c r="S103">
        <f>IF($A103="","",COUNTIFS('Таблиця 1'!$B:$B,$A103,'Таблиця 1'!$E:$E,"Ретранслятор",'Таблиця 1'!$L:$L,"Уражено"))</f>
        <v/>
      </c>
      <c r="T103">
        <f>IF($A103="","",COUNTIFS('Таблиця 1'!$B:$B,$A103,'Таблиця 1'!$E:$E,"Вз.зв'язку",'Таблиця 1'!$L:$L,"Уражено"))</f>
        <v/>
      </c>
      <c r="U103">
        <f>IF($A103="","",COUNTIFS('Таблиця 1'!$B:$B,$A103,'Таблиця 1'!$E:$E,"ПММ",'Таблиця 1'!$L:$L,"Уражено"))</f>
        <v/>
      </c>
      <c r="V103">
        <f>IF($A103="","",COUNTIFS('Таблиця 1'!$B:$B,$A103,'Таблиця 1'!$E:$E,"ІФС",'Таблиця 1'!$L:$L,"Уражено"))</f>
        <v/>
      </c>
      <c r="W103">
        <f>IF($A103="","",COUNTIFS('Таблиця 1'!$B:$B,$A103,'Таблиця 1'!$E:$E,"Інфраструктура",'Таблиця 1'!$L:$L,"Уражено"))</f>
        <v/>
      </c>
      <c r="X103">
        <f>IF($A103="","",SUMIFS('Таблиця 1'!$K:$K,'Таблиця 1'!$B:$B,$A103))</f>
        <v/>
      </c>
    </row>
    <row r="104">
      <c r="A104" s="81">
        <f>IF(A103="","",IF(A103+1&gt;MAX('Таблиця 1'!$B:$B),"",A103+1))</f>
        <v/>
      </c>
      <c r="B104">
        <f>IF($A104="","",COUNTIFS('Таблиця 1'!$B:$B,$A104,'Таблиця 1'!$E:$E,"ЖС ВЗ",'Таблиця 1'!$L:$L,"Уражено"))</f>
        <v/>
      </c>
      <c r="C104">
        <f>IF($A104="","",COUNTIFS('Таблиця 1'!$B:$B,$A104,'Таблиця 1'!$E:$E,"Арт. Системи",'Таблиця 1'!$L:$L,"Уражено"))</f>
        <v/>
      </c>
      <c r="D104">
        <f>IF($A104="","",COUNTIFS('Таблиця 1'!$B:$B,$A104,'Таблиця 1'!$E:$E,"ОВТ",'Таблиця 1'!$L:$L,"Уражено"))</f>
        <v/>
      </c>
      <c r="E104">
        <f>IF($A104="","",COUNTIFS('Таблиця 1'!$B:$B,$A104,'Таблиця 1'!$E:$E,"ППО",'Таблиця 1'!$L:$L,"Уражено"))</f>
        <v/>
      </c>
      <c r="F104">
        <f>IF($A104="","",COUNTIFS('Таблиця 1'!$B:$B,$A104,'Таблиця 1'!$E:$E,"Рембаза",'Таблиця 1'!$L:$L,"Уражено"))</f>
        <v/>
      </c>
      <c r="G104">
        <f>IF($A104="","",COUNTIFS('Таблиця 1'!$B:$B,$A104,'Таблиця 1'!$E:$E,"Склад БК",'Таблиця 1'!$L:$L,"Уражено"))</f>
        <v/>
      </c>
      <c r="H104">
        <f>IF($A104="","",COUNTIFS('Таблиця 1'!$B:$B,$A104,'Таблиця 1'!$E:$E,"Склад ВТМ",'Таблиця 1'!$L:$L,"Уражено"))</f>
        <v/>
      </c>
      <c r="I104">
        <f>IF($A104="","",COUNTIFS('Таблиця 1'!$B:$B,$A104,'Таблиця 1'!$E:$E,"ПУ БпЛА",'Таблиця 1'!$L:$L,"Уражено"))</f>
        <v/>
      </c>
      <c r="J104">
        <f>IF($A104="","",COUNTIFS('Таблиця 1'!$B:$B,$A104,'Таблиця 1'!$E:$E,"СП",'Таблиця 1'!$L:$L,"Уражено"))</f>
        <v/>
      </c>
      <c r="K104">
        <f>IF($A104="","",COUNTIFS('Таблиця 1'!$B:$B,$A104,'Таблиця 1'!$E:$E,"КСП роти",'Таблиця 1'!$L:$L,"Уражено"))</f>
        <v/>
      </c>
      <c r="L104">
        <f>IF($A104="","",COUNTIFS('Таблиця 1'!$B:$B,$A104,'Таблиця 1'!$E:$E,"ПУ бат",'Таблиця 1'!$L:$L,"Уражено"))</f>
        <v/>
      </c>
      <c r="M104">
        <f>IF($A104="","",COUNTIFS('Таблиця 1'!$B:$B,$A104,'Таблиця 1'!$E:$E,"ПУ бриг",'Таблиця 1'!$L:$L,"Уражено"))</f>
        <v/>
      </c>
      <c r="N104">
        <f>IF($A104="","",COUNTIFS('Таблиця 1'!$B:$B,$A104,'Таблиця 1'!$E:$E,"ПУ див",'Таблиця 1'!$L:$L,"Уражено"))</f>
        <v/>
      </c>
      <c r="O104">
        <f>IF($A104="","",COUNTIFS('Таблиця 1'!$B:$B,$A104,'Таблиця 1'!$E:$E,"обл. РЕБ",'Таблиця 1'!$L:$L,"Уражено"))</f>
        <v/>
      </c>
      <c r="P104">
        <f>IF($A104="","",COUNTIFS('Таблиця 1'!$B:$B,$A104,'Таблиця 1'!$E:$E,"пос РЕБ",'Таблиця 1'!$L:$L,"Уражено"))</f>
        <v/>
      </c>
      <c r="Q104">
        <f>IF($A104="","",COUNTIFS('Таблиця 1'!$B:$B,$A104,'Таблиця 1'!$E:$E,"група РЕР",'Таблиця 1'!$L:$L,"Уражено"))</f>
        <v/>
      </c>
      <c r="R104">
        <f>IF($A104="","",COUNTIFS('Таблиця 1'!$B:$B,$A104,'Таблиця 1'!$E:$E,"РЛС КББ",'Таблиця 1'!$L:$L,"Уражено"))</f>
        <v/>
      </c>
      <c r="S104">
        <f>IF($A104="","",COUNTIFS('Таблиця 1'!$B:$B,$A104,'Таблиця 1'!$E:$E,"Ретранслятор",'Таблиця 1'!$L:$L,"Уражено"))</f>
        <v/>
      </c>
      <c r="T104">
        <f>IF($A104="","",COUNTIFS('Таблиця 1'!$B:$B,$A104,'Таблиця 1'!$E:$E,"Вз.зв'язку",'Таблиця 1'!$L:$L,"Уражено"))</f>
        <v/>
      </c>
      <c r="U104">
        <f>IF($A104="","",COUNTIFS('Таблиця 1'!$B:$B,$A104,'Таблиця 1'!$E:$E,"ПММ",'Таблиця 1'!$L:$L,"Уражено"))</f>
        <v/>
      </c>
      <c r="V104">
        <f>IF($A104="","",COUNTIFS('Таблиця 1'!$B:$B,$A104,'Таблиця 1'!$E:$E,"ІФС",'Таблиця 1'!$L:$L,"Уражено"))</f>
        <v/>
      </c>
      <c r="W104">
        <f>IF($A104="","",COUNTIFS('Таблиця 1'!$B:$B,$A104,'Таблиця 1'!$E:$E,"Інфраструктура",'Таблиця 1'!$L:$L,"Уражено"))</f>
        <v/>
      </c>
      <c r="X104">
        <f>IF($A104="","",SUMIFS('Таблиця 1'!$K:$K,'Таблиця 1'!$B:$B,$A104))</f>
        <v/>
      </c>
    </row>
    <row r="105">
      <c r="A105" s="81">
        <f>IF(A104="","",IF(A104+1&gt;MAX('Таблиця 1'!$B:$B),"",A104+1))</f>
        <v/>
      </c>
      <c r="B105">
        <f>IF($A105="","",COUNTIFS('Таблиця 1'!$B:$B,$A105,'Таблиця 1'!$E:$E,"ЖС ВЗ",'Таблиця 1'!$L:$L,"Уражено"))</f>
        <v/>
      </c>
      <c r="C105">
        <f>IF($A105="","",COUNTIFS('Таблиця 1'!$B:$B,$A105,'Таблиця 1'!$E:$E,"Арт. Системи",'Таблиця 1'!$L:$L,"Уражено"))</f>
        <v/>
      </c>
      <c r="D105">
        <f>IF($A105="","",COUNTIFS('Таблиця 1'!$B:$B,$A105,'Таблиця 1'!$E:$E,"ОВТ",'Таблиця 1'!$L:$L,"Уражено"))</f>
        <v/>
      </c>
      <c r="E105">
        <f>IF($A105="","",COUNTIFS('Таблиця 1'!$B:$B,$A105,'Таблиця 1'!$E:$E,"ППО",'Таблиця 1'!$L:$L,"Уражено"))</f>
        <v/>
      </c>
      <c r="F105">
        <f>IF($A105="","",COUNTIFS('Таблиця 1'!$B:$B,$A105,'Таблиця 1'!$E:$E,"Рембаза",'Таблиця 1'!$L:$L,"Уражено"))</f>
        <v/>
      </c>
      <c r="G105">
        <f>IF($A105="","",COUNTIFS('Таблиця 1'!$B:$B,$A105,'Таблиця 1'!$E:$E,"Склад БК",'Таблиця 1'!$L:$L,"Уражено"))</f>
        <v/>
      </c>
      <c r="H105">
        <f>IF($A105="","",COUNTIFS('Таблиця 1'!$B:$B,$A105,'Таблиця 1'!$E:$E,"Склад ВТМ",'Таблиця 1'!$L:$L,"Уражено"))</f>
        <v/>
      </c>
      <c r="I105">
        <f>IF($A105="","",COUNTIFS('Таблиця 1'!$B:$B,$A105,'Таблиця 1'!$E:$E,"ПУ БпЛА",'Таблиця 1'!$L:$L,"Уражено"))</f>
        <v/>
      </c>
      <c r="J105">
        <f>IF($A105="","",COUNTIFS('Таблиця 1'!$B:$B,$A105,'Таблиця 1'!$E:$E,"СП",'Таблиця 1'!$L:$L,"Уражено"))</f>
        <v/>
      </c>
      <c r="K105">
        <f>IF($A105="","",COUNTIFS('Таблиця 1'!$B:$B,$A105,'Таблиця 1'!$E:$E,"КСП роти",'Таблиця 1'!$L:$L,"Уражено"))</f>
        <v/>
      </c>
      <c r="L105">
        <f>IF($A105="","",COUNTIFS('Таблиця 1'!$B:$B,$A105,'Таблиця 1'!$E:$E,"ПУ бат",'Таблиця 1'!$L:$L,"Уражено"))</f>
        <v/>
      </c>
      <c r="M105">
        <f>IF($A105="","",COUNTIFS('Таблиця 1'!$B:$B,$A105,'Таблиця 1'!$E:$E,"ПУ бриг",'Таблиця 1'!$L:$L,"Уражено"))</f>
        <v/>
      </c>
      <c r="N105">
        <f>IF($A105="","",COUNTIFS('Таблиця 1'!$B:$B,$A105,'Таблиця 1'!$E:$E,"ПУ див",'Таблиця 1'!$L:$L,"Уражено"))</f>
        <v/>
      </c>
      <c r="O105">
        <f>IF($A105="","",COUNTIFS('Таблиця 1'!$B:$B,$A105,'Таблиця 1'!$E:$E,"обл. РЕБ",'Таблиця 1'!$L:$L,"Уражено"))</f>
        <v/>
      </c>
      <c r="P105">
        <f>IF($A105="","",COUNTIFS('Таблиця 1'!$B:$B,$A105,'Таблиця 1'!$E:$E,"пос РЕБ",'Таблиця 1'!$L:$L,"Уражено"))</f>
        <v/>
      </c>
      <c r="Q105">
        <f>IF($A105="","",COUNTIFS('Таблиця 1'!$B:$B,$A105,'Таблиця 1'!$E:$E,"група РЕР",'Таблиця 1'!$L:$L,"Уражено"))</f>
        <v/>
      </c>
      <c r="R105">
        <f>IF($A105="","",COUNTIFS('Таблиця 1'!$B:$B,$A105,'Таблиця 1'!$E:$E,"РЛС КББ",'Таблиця 1'!$L:$L,"Уражено"))</f>
        <v/>
      </c>
      <c r="S105">
        <f>IF($A105="","",COUNTIFS('Таблиця 1'!$B:$B,$A105,'Таблиця 1'!$E:$E,"Ретранслятор",'Таблиця 1'!$L:$L,"Уражено"))</f>
        <v/>
      </c>
      <c r="T105">
        <f>IF($A105="","",COUNTIFS('Таблиця 1'!$B:$B,$A105,'Таблиця 1'!$E:$E,"Вз.зв'язку",'Таблиця 1'!$L:$L,"Уражено"))</f>
        <v/>
      </c>
      <c r="U105">
        <f>IF($A105="","",COUNTIFS('Таблиця 1'!$B:$B,$A105,'Таблиця 1'!$E:$E,"ПММ",'Таблиця 1'!$L:$L,"Уражено"))</f>
        <v/>
      </c>
      <c r="V105">
        <f>IF($A105="","",COUNTIFS('Таблиця 1'!$B:$B,$A105,'Таблиця 1'!$E:$E,"ІФС",'Таблиця 1'!$L:$L,"Уражено"))</f>
        <v/>
      </c>
      <c r="W105">
        <f>IF($A105="","",COUNTIFS('Таблиця 1'!$B:$B,$A105,'Таблиця 1'!$E:$E,"Інфраструктура",'Таблиця 1'!$L:$L,"Уражено"))</f>
        <v/>
      </c>
      <c r="X105">
        <f>IF($A105="","",SUMIFS('Таблиця 1'!$K:$K,'Таблиця 1'!$B:$B,$A105))</f>
        <v/>
      </c>
    </row>
    <row r="106">
      <c r="A106" s="81">
        <f>IF(A105="","",IF(A105+1&gt;MAX('Таблиця 1'!$B:$B),"",A105+1))</f>
        <v/>
      </c>
      <c r="B106">
        <f>IF($A106="","",COUNTIFS('Таблиця 1'!$B:$B,$A106,'Таблиця 1'!$E:$E,"ЖС ВЗ",'Таблиця 1'!$L:$L,"Уражено"))</f>
        <v/>
      </c>
      <c r="C106">
        <f>IF($A106="","",COUNTIFS('Таблиця 1'!$B:$B,$A106,'Таблиця 1'!$E:$E,"Арт. Системи",'Таблиця 1'!$L:$L,"Уражено"))</f>
        <v/>
      </c>
      <c r="D106">
        <f>IF($A106="","",COUNTIFS('Таблиця 1'!$B:$B,$A106,'Таблиця 1'!$E:$E,"ОВТ",'Таблиця 1'!$L:$L,"Уражено"))</f>
        <v/>
      </c>
      <c r="E106">
        <f>IF($A106="","",COUNTIFS('Таблиця 1'!$B:$B,$A106,'Таблиця 1'!$E:$E,"ППО",'Таблиця 1'!$L:$L,"Уражено"))</f>
        <v/>
      </c>
      <c r="F106">
        <f>IF($A106="","",COUNTIFS('Таблиця 1'!$B:$B,$A106,'Таблиця 1'!$E:$E,"Рембаза",'Таблиця 1'!$L:$L,"Уражено"))</f>
        <v/>
      </c>
      <c r="G106">
        <f>IF($A106="","",COUNTIFS('Таблиця 1'!$B:$B,$A106,'Таблиця 1'!$E:$E,"Склад БК",'Таблиця 1'!$L:$L,"Уражено"))</f>
        <v/>
      </c>
      <c r="H106">
        <f>IF($A106="","",COUNTIFS('Таблиця 1'!$B:$B,$A106,'Таблиця 1'!$E:$E,"Склад ВТМ",'Таблиця 1'!$L:$L,"Уражено"))</f>
        <v/>
      </c>
      <c r="I106">
        <f>IF($A106="","",COUNTIFS('Таблиця 1'!$B:$B,$A106,'Таблиця 1'!$E:$E,"ПУ БпЛА",'Таблиця 1'!$L:$L,"Уражено"))</f>
        <v/>
      </c>
      <c r="J106">
        <f>IF($A106="","",COUNTIFS('Таблиця 1'!$B:$B,$A106,'Таблиця 1'!$E:$E,"СП",'Таблиця 1'!$L:$L,"Уражено"))</f>
        <v/>
      </c>
      <c r="K106">
        <f>IF($A106="","",COUNTIFS('Таблиця 1'!$B:$B,$A106,'Таблиця 1'!$E:$E,"КСП роти",'Таблиця 1'!$L:$L,"Уражено"))</f>
        <v/>
      </c>
      <c r="L106">
        <f>IF($A106="","",COUNTIFS('Таблиця 1'!$B:$B,$A106,'Таблиця 1'!$E:$E,"ПУ бат",'Таблиця 1'!$L:$L,"Уражено"))</f>
        <v/>
      </c>
      <c r="M106">
        <f>IF($A106="","",COUNTIFS('Таблиця 1'!$B:$B,$A106,'Таблиця 1'!$E:$E,"ПУ бриг",'Таблиця 1'!$L:$L,"Уражено"))</f>
        <v/>
      </c>
      <c r="N106">
        <f>IF($A106="","",COUNTIFS('Таблиця 1'!$B:$B,$A106,'Таблиця 1'!$E:$E,"ПУ див",'Таблиця 1'!$L:$L,"Уражено"))</f>
        <v/>
      </c>
      <c r="O106">
        <f>IF($A106="","",COUNTIFS('Таблиця 1'!$B:$B,$A106,'Таблиця 1'!$E:$E,"обл. РЕБ",'Таблиця 1'!$L:$L,"Уражено"))</f>
        <v/>
      </c>
      <c r="P106">
        <f>IF($A106="","",COUNTIFS('Таблиця 1'!$B:$B,$A106,'Таблиця 1'!$E:$E,"пос РЕБ",'Таблиця 1'!$L:$L,"Уражено"))</f>
        <v/>
      </c>
      <c r="Q106">
        <f>IF($A106="","",COUNTIFS('Таблиця 1'!$B:$B,$A106,'Таблиця 1'!$E:$E,"група РЕР",'Таблиця 1'!$L:$L,"Уражено"))</f>
        <v/>
      </c>
      <c r="R106">
        <f>IF($A106="","",COUNTIFS('Таблиця 1'!$B:$B,$A106,'Таблиця 1'!$E:$E,"РЛС КББ",'Таблиця 1'!$L:$L,"Уражено"))</f>
        <v/>
      </c>
      <c r="S106">
        <f>IF($A106="","",COUNTIFS('Таблиця 1'!$B:$B,$A106,'Таблиця 1'!$E:$E,"Ретранслятор",'Таблиця 1'!$L:$L,"Уражено"))</f>
        <v/>
      </c>
      <c r="T106">
        <f>IF($A106="","",COUNTIFS('Таблиця 1'!$B:$B,$A106,'Таблиця 1'!$E:$E,"Вз.зв'язку",'Таблиця 1'!$L:$L,"Уражено"))</f>
        <v/>
      </c>
      <c r="U106">
        <f>IF($A106="","",COUNTIFS('Таблиця 1'!$B:$B,$A106,'Таблиця 1'!$E:$E,"ПММ",'Таблиця 1'!$L:$L,"Уражено"))</f>
        <v/>
      </c>
      <c r="V106">
        <f>IF($A106="","",COUNTIFS('Таблиця 1'!$B:$B,$A106,'Таблиця 1'!$E:$E,"ІФС",'Таблиця 1'!$L:$L,"Уражено"))</f>
        <v/>
      </c>
      <c r="W106">
        <f>IF($A106="","",COUNTIFS('Таблиця 1'!$B:$B,$A106,'Таблиця 1'!$E:$E,"Інфраструктура",'Таблиця 1'!$L:$L,"Уражено"))</f>
        <v/>
      </c>
      <c r="X106">
        <f>IF($A106="","",SUMIFS('Таблиця 1'!$K:$K,'Таблиця 1'!$B:$B,$A106))</f>
        <v/>
      </c>
    </row>
    <row r="107">
      <c r="A107" s="81">
        <f>IF(A106="","",IF(A106+1&gt;MAX('Таблиця 1'!$B:$B),"",A106+1))</f>
        <v/>
      </c>
      <c r="B107">
        <f>IF($A107="","",COUNTIFS('Таблиця 1'!$B:$B,$A107,'Таблиця 1'!$E:$E,"ЖС ВЗ",'Таблиця 1'!$L:$L,"Уражено"))</f>
        <v/>
      </c>
      <c r="C107">
        <f>IF($A107="","",COUNTIFS('Таблиця 1'!$B:$B,$A107,'Таблиця 1'!$E:$E,"Арт. Системи",'Таблиця 1'!$L:$L,"Уражено"))</f>
        <v/>
      </c>
      <c r="D107">
        <f>IF($A107="","",COUNTIFS('Таблиця 1'!$B:$B,$A107,'Таблиця 1'!$E:$E,"ОВТ",'Таблиця 1'!$L:$L,"Уражено"))</f>
        <v/>
      </c>
      <c r="E107">
        <f>IF($A107="","",COUNTIFS('Таблиця 1'!$B:$B,$A107,'Таблиця 1'!$E:$E,"ППО",'Таблиця 1'!$L:$L,"Уражено"))</f>
        <v/>
      </c>
      <c r="F107">
        <f>IF($A107="","",COUNTIFS('Таблиця 1'!$B:$B,$A107,'Таблиця 1'!$E:$E,"Рембаза",'Таблиця 1'!$L:$L,"Уражено"))</f>
        <v/>
      </c>
      <c r="G107">
        <f>IF($A107="","",COUNTIFS('Таблиця 1'!$B:$B,$A107,'Таблиця 1'!$E:$E,"Склад БК",'Таблиця 1'!$L:$L,"Уражено"))</f>
        <v/>
      </c>
      <c r="H107">
        <f>IF($A107="","",COUNTIFS('Таблиця 1'!$B:$B,$A107,'Таблиця 1'!$E:$E,"Склад ВТМ",'Таблиця 1'!$L:$L,"Уражено"))</f>
        <v/>
      </c>
      <c r="I107">
        <f>IF($A107="","",COUNTIFS('Таблиця 1'!$B:$B,$A107,'Таблиця 1'!$E:$E,"ПУ БпЛА",'Таблиця 1'!$L:$L,"Уражено"))</f>
        <v/>
      </c>
      <c r="J107">
        <f>IF($A107="","",COUNTIFS('Таблиця 1'!$B:$B,$A107,'Таблиця 1'!$E:$E,"СП",'Таблиця 1'!$L:$L,"Уражено"))</f>
        <v/>
      </c>
      <c r="K107">
        <f>IF($A107="","",COUNTIFS('Таблиця 1'!$B:$B,$A107,'Таблиця 1'!$E:$E,"КСП роти",'Таблиця 1'!$L:$L,"Уражено"))</f>
        <v/>
      </c>
      <c r="L107">
        <f>IF($A107="","",COUNTIFS('Таблиця 1'!$B:$B,$A107,'Таблиця 1'!$E:$E,"ПУ бат",'Таблиця 1'!$L:$L,"Уражено"))</f>
        <v/>
      </c>
      <c r="M107">
        <f>IF($A107="","",COUNTIFS('Таблиця 1'!$B:$B,$A107,'Таблиця 1'!$E:$E,"ПУ бриг",'Таблиця 1'!$L:$L,"Уражено"))</f>
        <v/>
      </c>
      <c r="N107">
        <f>IF($A107="","",COUNTIFS('Таблиця 1'!$B:$B,$A107,'Таблиця 1'!$E:$E,"ПУ див",'Таблиця 1'!$L:$L,"Уражено"))</f>
        <v/>
      </c>
      <c r="O107">
        <f>IF($A107="","",COUNTIFS('Таблиця 1'!$B:$B,$A107,'Таблиця 1'!$E:$E,"обл. РЕБ",'Таблиця 1'!$L:$L,"Уражено"))</f>
        <v/>
      </c>
      <c r="P107">
        <f>IF($A107="","",COUNTIFS('Таблиця 1'!$B:$B,$A107,'Таблиця 1'!$E:$E,"пос РЕБ",'Таблиця 1'!$L:$L,"Уражено"))</f>
        <v/>
      </c>
      <c r="Q107">
        <f>IF($A107="","",COUNTIFS('Таблиця 1'!$B:$B,$A107,'Таблиця 1'!$E:$E,"група РЕР",'Таблиця 1'!$L:$L,"Уражено"))</f>
        <v/>
      </c>
      <c r="R107">
        <f>IF($A107="","",COUNTIFS('Таблиця 1'!$B:$B,$A107,'Таблиця 1'!$E:$E,"РЛС КББ",'Таблиця 1'!$L:$L,"Уражено"))</f>
        <v/>
      </c>
      <c r="S107">
        <f>IF($A107="","",COUNTIFS('Таблиця 1'!$B:$B,$A107,'Таблиця 1'!$E:$E,"Ретранслятор",'Таблиця 1'!$L:$L,"Уражено"))</f>
        <v/>
      </c>
      <c r="T107">
        <f>IF($A107="","",COUNTIFS('Таблиця 1'!$B:$B,$A107,'Таблиця 1'!$E:$E,"Вз.зв'язку",'Таблиця 1'!$L:$L,"Уражено"))</f>
        <v/>
      </c>
      <c r="U107">
        <f>IF($A107="","",COUNTIFS('Таблиця 1'!$B:$B,$A107,'Таблиця 1'!$E:$E,"ПММ",'Таблиця 1'!$L:$L,"Уражено"))</f>
        <v/>
      </c>
      <c r="V107">
        <f>IF($A107="","",COUNTIFS('Таблиця 1'!$B:$B,$A107,'Таблиця 1'!$E:$E,"ІФС",'Таблиця 1'!$L:$L,"Уражено"))</f>
        <v/>
      </c>
      <c r="W107">
        <f>IF($A107="","",COUNTIFS('Таблиця 1'!$B:$B,$A107,'Таблиця 1'!$E:$E,"Інфраструктура",'Таблиця 1'!$L:$L,"Уражено"))</f>
        <v/>
      </c>
      <c r="X107">
        <f>IF($A107="","",SUMIFS('Таблиця 1'!$K:$K,'Таблиця 1'!$B:$B,$A107))</f>
        <v/>
      </c>
    </row>
    <row r="108">
      <c r="A108" s="81">
        <f>IF(A107="","",IF(A107+1&gt;MAX('Таблиця 1'!$B:$B),"",A107+1))</f>
        <v/>
      </c>
      <c r="B108">
        <f>IF($A108="","",COUNTIFS('Таблиця 1'!$B:$B,$A108,'Таблиця 1'!$E:$E,"ЖС ВЗ",'Таблиця 1'!$L:$L,"Уражено"))</f>
        <v/>
      </c>
      <c r="C108">
        <f>IF($A108="","",COUNTIFS('Таблиця 1'!$B:$B,$A108,'Таблиця 1'!$E:$E,"Арт. Системи",'Таблиця 1'!$L:$L,"Уражено"))</f>
        <v/>
      </c>
      <c r="D108">
        <f>IF($A108="","",COUNTIFS('Таблиця 1'!$B:$B,$A108,'Таблиця 1'!$E:$E,"ОВТ",'Таблиця 1'!$L:$L,"Уражено"))</f>
        <v/>
      </c>
      <c r="E108">
        <f>IF($A108="","",COUNTIFS('Таблиця 1'!$B:$B,$A108,'Таблиця 1'!$E:$E,"ППО",'Таблиця 1'!$L:$L,"Уражено"))</f>
        <v/>
      </c>
      <c r="F108">
        <f>IF($A108="","",COUNTIFS('Таблиця 1'!$B:$B,$A108,'Таблиця 1'!$E:$E,"Рембаза",'Таблиця 1'!$L:$L,"Уражено"))</f>
        <v/>
      </c>
      <c r="G108">
        <f>IF($A108="","",COUNTIFS('Таблиця 1'!$B:$B,$A108,'Таблиця 1'!$E:$E,"Склад БК",'Таблиця 1'!$L:$L,"Уражено"))</f>
        <v/>
      </c>
      <c r="H108">
        <f>IF($A108="","",COUNTIFS('Таблиця 1'!$B:$B,$A108,'Таблиця 1'!$E:$E,"Склад ВТМ",'Таблиця 1'!$L:$L,"Уражено"))</f>
        <v/>
      </c>
      <c r="I108">
        <f>IF($A108="","",COUNTIFS('Таблиця 1'!$B:$B,$A108,'Таблиця 1'!$E:$E,"ПУ БпЛА",'Таблиця 1'!$L:$L,"Уражено"))</f>
        <v/>
      </c>
      <c r="J108">
        <f>IF($A108="","",COUNTIFS('Таблиця 1'!$B:$B,$A108,'Таблиця 1'!$E:$E,"СП",'Таблиця 1'!$L:$L,"Уражено"))</f>
        <v/>
      </c>
      <c r="K108">
        <f>IF($A108="","",COUNTIFS('Таблиця 1'!$B:$B,$A108,'Таблиця 1'!$E:$E,"КСП роти",'Таблиця 1'!$L:$L,"Уражено"))</f>
        <v/>
      </c>
      <c r="L108">
        <f>IF($A108="","",COUNTIFS('Таблиця 1'!$B:$B,$A108,'Таблиця 1'!$E:$E,"ПУ бат",'Таблиця 1'!$L:$L,"Уражено"))</f>
        <v/>
      </c>
      <c r="M108">
        <f>IF($A108="","",COUNTIFS('Таблиця 1'!$B:$B,$A108,'Таблиця 1'!$E:$E,"ПУ бриг",'Таблиця 1'!$L:$L,"Уражено"))</f>
        <v/>
      </c>
      <c r="N108">
        <f>IF($A108="","",COUNTIFS('Таблиця 1'!$B:$B,$A108,'Таблиця 1'!$E:$E,"ПУ див",'Таблиця 1'!$L:$L,"Уражено"))</f>
        <v/>
      </c>
      <c r="O108">
        <f>IF($A108="","",COUNTIFS('Таблиця 1'!$B:$B,$A108,'Таблиця 1'!$E:$E,"обл. РЕБ",'Таблиця 1'!$L:$L,"Уражено"))</f>
        <v/>
      </c>
      <c r="P108">
        <f>IF($A108="","",COUNTIFS('Таблиця 1'!$B:$B,$A108,'Таблиця 1'!$E:$E,"пос РЕБ",'Таблиця 1'!$L:$L,"Уражено"))</f>
        <v/>
      </c>
      <c r="Q108">
        <f>IF($A108="","",COUNTIFS('Таблиця 1'!$B:$B,$A108,'Таблиця 1'!$E:$E,"група РЕР",'Таблиця 1'!$L:$L,"Уражено"))</f>
        <v/>
      </c>
      <c r="R108">
        <f>IF($A108="","",COUNTIFS('Таблиця 1'!$B:$B,$A108,'Таблиця 1'!$E:$E,"РЛС КББ",'Таблиця 1'!$L:$L,"Уражено"))</f>
        <v/>
      </c>
      <c r="S108">
        <f>IF($A108="","",COUNTIFS('Таблиця 1'!$B:$B,$A108,'Таблиця 1'!$E:$E,"Ретранслятор",'Таблиця 1'!$L:$L,"Уражено"))</f>
        <v/>
      </c>
      <c r="T108">
        <f>IF($A108="","",COUNTIFS('Таблиця 1'!$B:$B,$A108,'Таблиця 1'!$E:$E,"Вз.зв'язку",'Таблиця 1'!$L:$L,"Уражено"))</f>
        <v/>
      </c>
      <c r="U108">
        <f>IF($A108="","",COUNTIFS('Таблиця 1'!$B:$B,$A108,'Таблиця 1'!$E:$E,"ПММ",'Таблиця 1'!$L:$L,"Уражено"))</f>
        <v/>
      </c>
      <c r="V108">
        <f>IF($A108="","",COUNTIFS('Таблиця 1'!$B:$B,$A108,'Таблиця 1'!$E:$E,"ІФС",'Таблиця 1'!$L:$L,"Уражено"))</f>
        <v/>
      </c>
      <c r="W108">
        <f>IF($A108="","",COUNTIFS('Таблиця 1'!$B:$B,$A108,'Таблиця 1'!$E:$E,"Інфраструктура",'Таблиця 1'!$L:$L,"Уражено"))</f>
        <v/>
      </c>
      <c r="X108">
        <f>IF($A108="","",SUMIFS('Таблиця 1'!$K:$K,'Таблиця 1'!$B:$B,$A108))</f>
        <v/>
      </c>
    </row>
    <row r="109">
      <c r="A109" s="81">
        <f>IF(A108="","",IF(A108+1&gt;MAX('Таблиця 1'!$B:$B),"",A108+1))</f>
        <v/>
      </c>
      <c r="B109">
        <f>IF($A109="","",COUNTIFS('Таблиця 1'!$B:$B,$A109,'Таблиця 1'!$E:$E,"ЖС ВЗ",'Таблиця 1'!$L:$L,"Уражено"))</f>
        <v/>
      </c>
      <c r="C109">
        <f>IF($A109="","",COUNTIFS('Таблиця 1'!$B:$B,$A109,'Таблиця 1'!$E:$E,"Арт. Системи",'Таблиця 1'!$L:$L,"Уражено"))</f>
        <v/>
      </c>
      <c r="D109">
        <f>IF($A109="","",COUNTIFS('Таблиця 1'!$B:$B,$A109,'Таблиця 1'!$E:$E,"ОВТ",'Таблиця 1'!$L:$L,"Уражено"))</f>
        <v/>
      </c>
      <c r="E109">
        <f>IF($A109="","",COUNTIFS('Таблиця 1'!$B:$B,$A109,'Таблиця 1'!$E:$E,"ППО",'Таблиця 1'!$L:$L,"Уражено"))</f>
        <v/>
      </c>
      <c r="F109">
        <f>IF($A109="","",COUNTIFS('Таблиця 1'!$B:$B,$A109,'Таблиця 1'!$E:$E,"Рембаза",'Таблиця 1'!$L:$L,"Уражено"))</f>
        <v/>
      </c>
      <c r="G109">
        <f>IF($A109="","",COUNTIFS('Таблиця 1'!$B:$B,$A109,'Таблиця 1'!$E:$E,"Склад БК",'Таблиця 1'!$L:$L,"Уражено"))</f>
        <v/>
      </c>
      <c r="H109">
        <f>IF($A109="","",COUNTIFS('Таблиця 1'!$B:$B,$A109,'Таблиця 1'!$E:$E,"Склад ВТМ",'Таблиця 1'!$L:$L,"Уражено"))</f>
        <v/>
      </c>
      <c r="I109">
        <f>IF($A109="","",COUNTIFS('Таблиця 1'!$B:$B,$A109,'Таблиця 1'!$E:$E,"ПУ БпЛА",'Таблиця 1'!$L:$L,"Уражено"))</f>
        <v/>
      </c>
      <c r="J109">
        <f>IF($A109="","",COUNTIFS('Таблиця 1'!$B:$B,$A109,'Таблиця 1'!$E:$E,"СП",'Таблиця 1'!$L:$L,"Уражено"))</f>
        <v/>
      </c>
      <c r="K109">
        <f>IF($A109="","",COUNTIFS('Таблиця 1'!$B:$B,$A109,'Таблиця 1'!$E:$E,"КСП роти",'Таблиця 1'!$L:$L,"Уражено"))</f>
        <v/>
      </c>
      <c r="L109">
        <f>IF($A109="","",COUNTIFS('Таблиця 1'!$B:$B,$A109,'Таблиця 1'!$E:$E,"ПУ бат",'Таблиця 1'!$L:$L,"Уражено"))</f>
        <v/>
      </c>
      <c r="M109">
        <f>IF($A109="","",COUNTIFS('Таблиця 1'!$B:$B,$A109,'Таблиця 1'!$E:$E,"ПУ бриг",'Таблиця 1'!$L:$L,"Уражено"))</f>
        <v/>
      </c>
      <c r="N109">
        <f>IF($A109="","",COUNTIFS('Таблиця 1'!$B:$B,$A109,'Таблиця 1'!$E:$E,"ПУ див",'Таблиця 1'!$L:$L,"Уражено"))</f>
        <v/>
      </c>
      <c r="O109">
        <f>IF($A109="","",COUNTIFS('Таблиця 1'!$B:$B,$A109,'Таблиця 1'!$E:$E,"обл. РЕБ",'Таблиця 1'!$L:$L,"Уражено"))</f>
        <v/>
      </c>
      <c r="P109">
        <f>IF($A109="","",COUNTIFS('Таблиця 1'!$B:$B,$A109,'Таблиця 1'!$E:$E,"пос РЕБ",'Таблиця 1'!$L:$L,"Уражено"))</f>
        <v/>
      </c>
      <c r="Q109">
        <f>IF($A109="","",COUNTIFS('Таблиця 1'!$B:$B,$A109,'Таблиця 1'!$E:$E,"група РЕР",'Таблиця 1'!$L:$L,"Уражено"))</f>
        <v/>
      </c>
      <c r="R109">
        <f>IF($A109="","",COUNTIFS('Таблиця 1'!$B:$B,$A109,'Таблиця 1'!$E:$E,"РЛС КББ",'Таблиця 1'!$L:$L,"Уражено"))</f>
        <v/>
      </c>
      <c r="S109">
        <f>IF($A109="","",COUNTIFS('Таблиця 1'!$B:$B,$A109,'Таблиця 1'!$E:$E,"Ретранслятор",'Таблиця 1'!$L:$L,"Уражено"))</f>
        <v/>
      </c>
      <c r="T109">
        <f>IF($A109="","",COUNTIFS('Таблиця 1'!$B:$B,$A109,'Таблиця 1'!$E:$E,"Вз.зв'язку",'Таблиця 1'!$L:$L,"Уражено"))</f>
        <v/>
      </c>
      <c r="U109">
        <f>IF($A109="","",COUNTIFS('Таблиця 1'!$B:$B,$A109,'Таблиця 1'!$E:$E,"ПММ",'Таблиця 1'!$L:$L,"Уражено"))</f>
        <v/>
      </c>
      <c r="V109">
        <f>IF($A109="","",COUNTIFS('Таблиця 1'!$B:$B,$A109,'Таблиця 1'!$E:$E,"ІФС",'Таблиця 1'!$L:$L,"Уражено"))</f>
        <v/>
      </c>
      <c r="W109">
        <f>IF($A109="","",COUNTIFS('Таблиця 1'!$B:$B,$A109,'Таблиця 1'!$E:$E,"Інфраструктура",'Таблиця 1'!$L:$L,"Уражено"))</f>
        <v/>
      </c>
      <c r="X109">
        <f>IF($A109="","",SUMIFS('Таблиця 1'!$K:$K,'Таблиця 1'!$B:$B,$A109))</f>
        <v/>
      </c>
    </row>
    <row r="110">
      <c r="A110" s="81">
        <f>IF(A109="","",IF(A109+1&gt;MAX('Таблиця 1'!$B:$B),"",A109+1))</f>
        <v/>
      </c>
      <c r="B110">
        <f>IF($A110="","",COUNTIFS('Таблиця 1'!$B:$B,$A110,'Таблиця 1'!$E:$E,"ЖС ВЗ",'Таблиця 1'!$L:$L,"Уражено"))</f>
        <v/>
      </c>
      <c r="C110">
        <f>IF($A110="","",COUNTIFS('Таблиця 1'!$B:$B,$A110,'Таблиця 1'!$E:$E,"Арт. Системи",'Таблиця 1'!$L:$L,"Уражено"))</f>
        <v/>
      </c>
      <c r="D110">
        <f>IF($A110="","",COUNTIFS('Таблиця 1'!$B:$B,$A110,'Таблиця 1'!$E:$E,"ОВТ",'Таблиця 1'!$L:$L,"Уражено"))</f>
        <v/>
      </c>
      <c r="E110">
        <f>IF($A110="","",COUNTIFS('Таблиця 1'!$B:$B,$A110,'Таблиця 1'!$E:$E,"ППО",'Таблиця 1'!$L:$L,"Уражено"))</f>
        <v/>
      </c>
      <c r="F110">
        <f>IF($A110="","",COUNTIFS('Таблиця 1'!$B:$B,$A110,'Таблиця 1'!$E:$E,"Рембаза",'Таблиця 1'!$L:$L,"Уражено"))</f>
        <v/>
      </c>
      <c r="G110">
        <f>IF($A110="","",COUNTIFS('Таблиця 1'!$B:$B,$A110,'Таблиця 1'!$E:$E,"Склад БК",'Таблиця 1'!$L:$L,"Уражено"))</f>
        <v/>
      </c>
      <c r="H110">
        <f>IF($A110="","",COUNTIFS('Таблиця 1'!$B:$B,$A110,'Таблиця 1'!$E:$E,"Склад ВТМ",'Таблиця 1'!$L:$L,"Уражено"))</f>
        <v/>
      </c>
      <c r="I110">
        <f>IF($A110="","",COUNTIFS('Таблиця 1'!$B:$B,$A110,'Таблиця 1'!$E:$E,"ПУ БпЛА",'Таблиця 1'!$L:$L,"Уражено"))</f>
        <v/>
      </c>
      <c r="J110">
        <f>IF($A110="","",COUNTIFS('Таблиця 1'!$B:$B,$A110,'Таблиця 1'!$E:$E,"СП",'Таблиця 1'!$L:$L,"Уражено"))</f>
        <v/>
      </c>
      <c r="K110">
        <f>IF($A110="","",COUNTIFS('Таблиця 1'!$B:$B,$A110,'Таблиця 1'!$E:$E,"КСП роти",'Таблиця 1'!$L:$L,"Уражено"))</f>
        <v/>
      </c>
      <c r="L110">
        <f>IF($A110="","",COUNTIFS('Таблиця 1'!$B:$B,$A110,'Таблиця 1'!$E:$E,"ПУ бат",'Таблиця 1'!$L:$L,"Уражено"))</f>
        <v/>
      </c>
      <c r="M110">
        <f>IF($A110="","",COUNTIFS('Таблиця 1'!$B:$B,$A110,'Таблиця 1'!$E:$E,"ПУ бриг",'Таблиця 1'!$L:$L,"Уражено"))</f>
        <v/>
      </c>
      <c r="N110">
        <f>IF($A110="","",COUNTIFS('Таблиця 1'!$B:$B,$A110,'Таблиця 1'!$E:$E,"ПУ див",'Таблиця 1'!$L:$L,"Уражено"))</f>
        <v/>
      </c>
      <c r="O110">
        <f>IF($A110="","",COUNTIFS('Таблиця 1'!$B:$B,$A110,'Таблиця 1'!$E:$E,"обл. РЕБ",'Таблиця 1'!$L:$L,"Уражено"))</f>
        <v/>
      </c>
      <c r="P110">
        <f>IF($A110="","",COUNTIFS('Таблиця 1'!$B:$B,$A110,'Таблиця 1'!$E:$E,"пос РЕБ",'Таблиця 1'!$L:$L,"Уражено"))</f>
        <v/>
      </c>
      <c r="Q110">
        <f>IF($A110="","",COUNTIFS('Таблиця 1'!$B:$B,$A110,'Таблиця 1'!$E:$E,"група РЕР",'Таблиця 1'!$L:$L,"Уражено"))</f>
        <v/>
      </c>
      <c r="R110">
        <f>IF($A110="","",COUNTIFS('Таблиця 1'!$B:$B,$A110,'Таблиця 1'!$E:$E,"РЛС КББ",'Таблиця 1'!$L:$L,"Уражено"))</f>
        <v/>
      </c>
      <c r="S110">
        <f>IF($A110="","",COUNTIFS('Таблиця 1'!$B:$B,$A110,'Таблиця 1'!$E:$E,"Ретранслятор",'Таблиця 1'!$L:$L,"Уражено"))</f>
        <v/>
      </c>
      <c r="T110">
        <f>IF($A110="","",COUNTIFS('Таблиця 1'!$B:$B,$A110,'Таблиця 1'!$E:$E,"Вз.зв'язку",'Таблиця 1'!$L:$L,"Уражено"))</f>
        <v/>
      </c>
      <c r="U110">
        <f>IF($A110="","",COUNTIFS('Таблиця 1'!$B:$B,$A110,'Таблиця 1'!$E:$E,"ПММ",'Таблиця 1'!$L:$L,"Уражено"))</f>
        <v/>
      </c>
      <c r="V110">
        <f>IF($A110="","",COUNTIFS('Таблиця 1'!$B:$B,$A110,'Таблиця 1'!$E:$E,"ІФС",'Таблиця 1'!$L:$L,"Уражено"))</f>
        <v/>
      </c>
      <c r="W110">
        <f>IF($A110="","",COUNTIFS('Таблиця 1'!$B:$B,$A110,'Таблиця 1'!$E:$E,"Інфраструктура",'Таблиця 1'!$L:$L,"Уражено"))</f>
        <v/>
      </c>
      <c r="X110">
        <f>IF($A110="","",SUMIFS('Таблиця 1'!$K:$K,'Таблиця 1'!$B:$B,$A110))</f>
        <v/>
      </c>
    </row>
    <row r="111">
      <c r="A111" s="81">
        <f>IF(A110="","",IF(A110+1&gt;MAX('Таблиця 1'!$B:$B),"",A110+1))</f>
        <v/>
      </c>
      <c r="B111">
        <f>IF($A111="","",COUNTIFS('Таблиця 1'!$B:$B,$A111,'Таблиця 1'!$E:$E,"ЖС ВЗ",'Таблиця 1'!$L:$L,"Уражено"))</f>
        <v/>
      </c>
      <c r="C111">
        <f>IF($A111="","",COUNTIFS('Таблиця 1'!$B:$B,$A111,'Таблиця 1'!$E:$E,"Арт. Системи",'Таблиця 1'!$L:$L,"Уражено"))</f>
        <v/>
      </c>
      <c r="D111">
        <f>IF($A111="","",COUNTIFS('Таблиця 1'!$B:$B,$A111,'Таблиця 1'!$E:$E,"ОВТ",'Таблиця 1'!$L:$L,"Уражено"))</f>
        <v/>
      </c>
      <c r="E111">
        <f>IF($A111="","",COUNTIFS('Таблиця 1'!$B:$B,$A111,'Таблиця 1'!$E:$E,"ППО",'Таблиця 1'!$L:$L,"Уражено"))</f>
        <v/>
      </c>
      <c r="F111">
        <f>IF($A111="","",COUNTIFS('Таблиця 1'!$B:$B,$A111,'Таблиця 1'!$E:$E,"Рембаза",'Таблиця 1'!$L:$L,"Уражено"))</f>
        <v/>
      </c>
      <c r="G111">
        <f>IF($A111="","",COUNTIFS('Таблиця 1'!$B:$B,$A111,'Таблиця 1'!$E:$E,"Склад БК",'Таблиця 1'!$L:$L,"Уражено"))</f>
        <v/>
      </c>
      <c r="H111">
        <f>IF($A111="","",COUNTIFS('Таблиця 1'!$B:$B,$A111,'Таблиця 1'!$E:$E,"Склад ВТМ",'Таблиця 1'!$L:$L,"Уражено"))</f>
        <v/>
      </c>
      <c r="I111">
        <f>IF($A111="","",COUNTIFS('Таблиця 1'!$B:$B,$A111,'Таблиця 1'!$E:$E,"ПУ БпЛА",'Таблиця 1'!$L:$L,"Уражено"))</f>
        <v/>
      </c>
      <c r="J111">
        <f>IF($A111="","",COUNTIFS('Таблиця 1'!$B:$B,$A111,'Таблиця 1'!$E:$E,"СП",'Таблиця 1'!$L:$L,"Уражено"))</f>
        <v/>
      </c>
      <c r="K111">
        <f>IF($A111="","",COUNTIFS('Таблиця 1'!$B:$B,$A111,'Таблиця 1'!$E:$E,"КСП роти",'Таблиця 1'!$L:$L,"Уражено"))</f>
        <v/>
      </c>
      <c r="L111">
        <f>IF($A111="","",COUNTIFS('Таблиця 1'!$B:$B,$A111,'Таблиця 1'!$E:$E,"ПУ бат",'Таблиця 1'!$L:$L,"Уражено"))</f>
        <v/>
      </c>
      <c r="M111">
        <f>IF($A111="","",COUNTIFS('Таблиця 1'!$B:$B,$A111,'Таблиця 1'!$E:$E,"ПУ бриг",'Таблиця 1'!$L:$L,"Уражено"))</f>
        <v/>
      </c>
      <c r="N111">
        <f>IF($A111="","",COUNTIFS('Таблиця 1'!$B:$B,$A111,'Таблиця 1'!$E:$E,"ПУ див",'Таблиця 1'!$L:$L,"Уражено"))</f>
        <v/>
      </c>
      <c r="O111">
        <f>IF($A111="","",COUNTIFS('Таблиця 1'!$B:$B,$A111,'Таблиця 1'!$E:$E,"обл. РЕБ",'Таблиця 1'!$L:$L,"Уражено"))</f>
        <v/>
      </c>
      <c r="P111">
        <f>IF($A111="","",COUNTIFS('Таблиця 1'!$B:$B,$A111,'Таблиця 1'!$E:$E,"пос РЕБ",'Таблиця 1'!$L:$L,"Уражено"))</f>
        <v/>
      </c>
      <c r="Q111">
        <f>IF($A111="","",COUNTIFS('Таблиця 1'!$B:$B,$A111,'Таблиця 1'!$E:$E,"група РЕР",'Таблиця 1'!$L:$L,"Уражено"))</f>
        <v/>
      </c>
      <c r="R111">
        <f>IF($A111="","",COUNTIFS('Таблиця 1'!$B:$B,$A111,'Таблиця 1'!$E:$E,"РЛС КББ",'Таблиця 1'!$L:$L,"Уражено"))</f>
        <v/>
      </c>
      <c r="S111">
        <f>IF($A111="","",COUNTIFS('Таблиця 1'!$B:$B,$A111,'Таблиця 1'!$E:$E,"Ретранслятор",'Таблиця 1'!$L:$L,"Уражено"))</f>
        <v/>
      </c>
      <c r="T111">
        <f>IF($A111="","",COUNTIFS('Таблиця 1'!$B:$B,$A111,'Таблиця 1'!$E:$E,"Вз.зв'язку",'Таблиця 1'!$L:$L,"Уражено"))</f>
        <v/>
      </c>
      <c r="U111">
        <f>IF($A111="","",COUNTIFS('Таблиця 1'!$B:$B,$A111,'Таблиця 1'!$E:$E,"ПММ",'Таблиця 1'!$L:$L,"Уражено"))</f>
        <v/>
      </c>
      <c r="V111">
        <f>IF($A111="","",COUNTIFS('Таблиця 1'!$B:$B,$A111,'Таблиця 1'!$E:$E,"ІФС",'Таблиця 1'!$L:$L,"Уражено"))</f>
        <v/>
      </c>
      <c r="W111">
        <f>IF($A111="","",COUNTIFS('Таблиця 1'!$B:$B,$A111,'Таблиця 1'!$E:$E,"Інфраструктура",'Таблиця 1'!$L:$L,"Уражено"))</f>
        <v/>
      </c>
      <c r="X111">
        <f>IF($A111="","",SUMIFS('Таблиця 1'!$K:$K,'Таблиця 1'!$B:$B,$A111))</f>
        <v/>
      </c>
    </row>
    <row r="112">
      <c r="A112" s="81">
        <f>IF(A111="","",IF(A111+1&gt;MAX('Таблиця 1'!$B:$B),"",A111+1))</f>
        <v/>
      </c>
      <c r="B112">
        <f>IF($A112="","",COUNTIFS('Таблиця 1'!$B:$B,$A112,'Таблиця 1'!$E:$E,"ЖС ВЗ",'Таблиця 1'!$L:$L,"Уражено"))</f>
        <v/>
      </c>
      <c r="C112">
        <f>IF($A112="","",COUNTIFS('Таблиця 1'!$B:$B,$A112,'Таблиця 1'!$E:$E,"Арт. Системи",'Таблиця 1'!$L:$L,"Уражено"))</f>
        <v/>
      </c>
      <c r="D112">
        <f>IF($A112="","",COUNTIFS('Таблиця 1'!$B:$B,$A112,'Таблиця 1'!$E:$E,"ОВТ",'Таблиця 1'!$L:$L,"Уражено"))</f>
        <v/>
      </c>
      <c r="E112">
        <f>IF($A112="","",COUNTIFS('Таблиця 1'!$B:$B,$A112,'Таблиця 1'!$E:$E,"ППО",'Таблиця 1'!$L:$L,"Уражено"))</f>
        <v/>
      </c>
      <c r="F112">
        <f>IF($A112="","",COUNTIFS('Таблиця 1'!$B:$B,$A112,'Таблиця 1'!$E:$E,"Рембаза",'Таблиця 1'!$L:$L,"Уражено"))</f>
        <v/>
      </c>
      <c r="G112">
        <f>IF($A112="","",COUNTIFS('Таблиця 1'!$B:$B,$A112,'Таблиця 1'!$E:$E,"Склад БК",'Таблиця 1'!$L:$L,"Уражено"))</f>
        <v/>
      </c>
      <c r="H112">
        <f>IF($A112="","",COUNTIFS('Таблиця 1'!$B:$B,$A112,'Таблиця 1'!$E:$E,"Склад ВТМ",'Таблиця 1'!$L:$L,"Уражено"))</f>
        <v/>
      </c>
      <c r="I112">
        <f>IF($A112="","",COUNTIFS('Таблиця 1'!$B:$B,$A112,'Таблиця 1'!$E:$E,"ПУ БпЛА",'Таблиця 1'!$L:$L,"Уражено"))</f>
        <v/>
      </c>
      <c r="J112">
        <f>IF($A112="","",COUNTIFS('Таблиця 1'!$B:$B,$A112,'Таблиця 1'!$E:$E,"СП",'Таблиця 1'!$L:$L,"Уражено"))</f>
        <v/>
      </c>
      <c r="K112">
        <f>IF($A112="","",COUNTIFS('Таблиця 1'!$B:$B,$A112,'Таблиця 1'!$E:$E,"КСП роти",'Таблиця 1'!$L:$L,"Уражено"))</f>
        <v/>
      </c>
      <c r="L112">
        <f>IF($A112="","",COUNTIFS('Таблиця 1'!$B:$B,$A112,'Таблиця 1'!$E:$E,"ПУ бат",'Таблиця 1'!$L:$L,"Уражено"))</f>
        <v/>
      </c>
      <c r="M112">
        <f>IF($A112="","",COUNTIFS('Таблиця 1'!$B:$B,$A112,'Таблиця 1'!$E:$E,"ПУ бриг",'Таблиця 1'!$L:$L,"Уражено"))</f>
        <v/>
      </c>
      <c r="N112">
        <f>IF($A112="","",COUNTIFS('Таблиця 1'!$B:$B,$A112,'Таблиця 1'!$E:$E,"ПУ див",'Таблиця 1'!$L:$L,"Уражено"))</f>
        <v/>
      </c>
      <c r="O112">
        <f>IF($A112="","",COUNTIFS('Таблиця 1'!$B:$B,$A112,'Таблиця 1'!$E:$E,"обл. РЕБ",'Таблиця 1'!$L:$L,"Уражено"))</f>
        <v/>
      </c>
      <c r="P112">
        <f>IF($A112="","",COUNTIFS('Таблиця 1'!$B:$B,$A112,'Таблиця 1'!$E:$E,"пос РЕБ",'Таблиця 1'!$L:$L,"Уражено"))</f>
        <v/>
      </c>
      <c r="Q112">
        <f>IF($A112="","",COUNTIFS('Таблиця 1'!$B:$B,$A112,'Таблиця 1'!$E:$E,"група РЕР",'Таблиця 1'!$L:$L,"Уражено"))</f>
        <v/>
      </c>
      <c r="R112">
        <f>IF($A112="","",COUNTIFS('Таблиця 1'!$B:$B,$A112,'Таблиця 1'!$E:$E,"РЛС КББ",'Таблиця 1'!$L:$L,"Уражено"))</f>
        <v/>
      </c>
      <c r="S112">
        <f>IF($A112="","",COUNTIFS('Таблиця 1'!$B:$B,$A112,'Таблиця 1'!$E:$E,"Ретранслятор",'Таблиця 1'!$L:$L,"Уражено"))</f>
        <v/>
      </c>
      <c r="T112">
        <f>IF($A112="","",COUNTIFS('Таблиця 1'!$B:$B,$A112,'Таблиця 1'!$E:$E,"Вз.зв'язку",'Таблиця 1'!$L:$L,"Уражено"))</f>
        <v/>
      </c>
      <c r="U112">
        <f>IF($A112="","",COUNTIFS('Таблиця 1'!$B:$B,$A112,'Таблиця 1'!$E:$E,"ПММ",'Таблиця 1'!$L:$L,"Уражено"))</f>
        <v/>
      </c>
      <c r="V112">
        <f>IF($A112="","",COUNTIFS('Таблиця 1'!$B:$B,$A112,'Таблиця 1'!$E:$E,"ІФС",'Таблиця 1'!$L:$L,"Уражено"))</f>
        <v/>
      </c>
      <c r="W112">
        <f>IF($A112="","",COUNTIFS('Таблиця 1'!$B:$B,$A112,'Таблиця 1'!$E:$E,"Інфраструктура",'Таблиця 1'!$L:$L,"Уражено"))</f>
        <v/>
      </c>
      <c r="X112">
        <f>IF($A112="","",SUMIFS('Таблиця 1'!$K:$K,'Таблиця 1'!$B:$B,$A112))</f>
        <v/>
      </c>
    </row>
    <row r="113">
      <c r="A113" s="81">
        <f>IF(A112="","",IF(A112+1&gt;MAX('Таблиця 1'!$B:$B),"",A112+1))</f>
        <v/>
      </c>
      <c r="B113">
        <f>IF($A113="","",COUNTIFS('Таблиця 1'!$B:$B,$A113,'Таблиця 1'!$E:$E,"ЖС ВЗ",'Таблиця 1'!$L:$L,"Уражено"))</f>
        <v/>
      </c>
      <c r="C113">
        <f>IF($A113="","",COUNTIFS('Таблиця 1'!$B:$B,$A113,'Таблиця 1'!$E:$E,"Арт. Системи",'Таблиця 1'!$L:$L,"Уражено"))</f>
        <v/>
      </c>
      <c r="D113">
        <f>IF($A113="","",COUNTIFS('Таблиця 1'!$B:$B,$A113,'Таблиця 1'!$E:$E,"ОВТ",'Таблиця 1'!$L:$L,"Уражено"))</f>
        <v/>
      </c>
      <c r="E113">
        <f>IF($A113="","",COUNTIFS('Таблиця 1'!$B:$B,$A113,'Таблиця 1'!$E:$E,"ППО",'Таблиця 1'!$L:$L,"Уражено"))</f>
        <v/>
      </c>
      <c r="F113">
        <f>IF($A113="","",COUNTIFS('Таблиця 1'!$B:$B,$A113,'Таблиця 1'!$E:$E,"Рембаза",'Таблиця 1'!$L:$L,"Уражено"))</f>
        <v/>
      </c>
      <c r="G113">
        <f>IF($A113="","",COUNTIFS('Таблиця 1'!$B:$B,$A113,'Таблиця 1'!$E:$E,"Склад БК",'Таблиця 1'!$L:$L,"Уражено"))</f>
        <v/>
      </c>
      <c r="H113">
        <f>IF($A113="","",COUNTIFS('Таблиця 1'!$B:$B,$A113,'Таблиця 1'!$E:$E,"Склад ВТМ",'Таблиця 1'!$L:$L,"Уражено"))</f>
        <v/>
      </c>
      <c r="I113">
        <f>IF($A113="","",COUNTIFS('Таблиця 1'!$B:$B,$A113,'Таблиця 1'!$E:$E,"ПУ БпЛА",'Таблиця 1'!$L:$L,"Уражено"))</f>
        <v/>
      </c>
      <c r="J113">
        <f>IF($A113="","",COUNTIFS('Таблиця 1'!$B:$B,$A113,'Таблиця 1'!$E:$E,"СП",'Таблиця 1'!$L:$L,"Уражено"))</f>
        <v/>
      </c>
      <c r="K113">
        <f>IF($A113="","",COUNTIFS('Таблиця 1'!$B:$B,$A113,'Таблиця 1'!$E:$E,"КСП роти",'Таблиця 1'!$L:$L,"Уражено"))</f>
        <v/>
      </c>
      <c r="L113">
        <f>IF($A113="","",COUNTIFS('Таблиця 1'!$B:$B,$A113,'Таблиця 1'!$E:$E,"ПУ бат",'Таблиця 1'!$L:$L,"Уражено"))</f>
        <v/>
      </c>
      <c r="M113">
        <f>IF($A113="","",COUNTIFS('Таблиця 1'!$B:$B,$A113,'Таблиця 1'!$E:$E,"ПУ бриг",'Таблиця 1'!$L:$L,"Уражено"))</f>
        <v/>
      </c>
      <c r="N113">
        <f>IF($A113="","",COUNTIFS('Таблиця 1'!$B:$B,$A113,'Таблиця 1'!$E:$E,"ПУ див",'Таблиця 1'!$L:$L,"Уражено"))</f>
        <v/>
      </c>
      <c r="O113">
        <f>IF($A113="","",COUNTIFS('Таблиця 1'!$B:$B,$A113,'Таблиця 1'!$E:$E,"обл. РЕБ",'Таблиця 1'!$L:$L,"Уражено"))</f>
        <v/>
      </c>
      <c r="P113">
        <f>IF($A113="","",COUNTIFS('Таблиця 1'!$B:$B,$A113,'Таблиця 1'!$E:$E,"пос РЕБ",'Таблиця 1'!$L:$L,"Уражено"))</f>
        <v/>
      </c>
      <c r="Q113">
        <f>IF($A113="","",COUNTIFS('Таблиця 1'!$B:$B,$A113,'Таблиця 1'!$E:$E,"група РЕР",'Таблиця 1'!$L:$L,"Уражено"))</f>
        <v/>
      </c>
      <c r="R113">
        <f>IF($A113="","",COUNTIFS('Таблиця 1'!$B:$B,$A113,'Таблиця 1'!$E:$E,"РЛС КББ",'Таблиця 1'!$L:$L,"Уражено"))</f>
        <v/>
      </c>
      <c r="S113">
        <f>IF($A113="","",COUNTIFS('Таблиця 1'!$B:$B,$A113,'Таблиця 1'!$E:$E,"Ретранслятор",'Таблиця 1'!$L:$L,"Уражено"))</f>
        <v/>
      </c>
      <c r="T113">
        <f>IF($A113="","",COUNTIFS('Таблиця 1'!$B:$B,$A113,'Таблиця 1'!$E:$E,"Вз.зв'язку",'Таблиця 1'!$L:$L,"Уражено"))</f>
        <v/>
      </c>
      <c r="U113">
        <f>IF($A113="","",COUNTIFS('Таблиця 1'!$B:$B,$A113,'Таблиця 1'!$E:$E,"ПММ",'Таблиця 1'!$L:$L,"Уражено"))</f>
        <v/>
      </c>
      <c r="V113">
        <f>IF($A113="","",COUNTIFS('Таблиця 1'!$B:$B,$A113,'Таблиця 1'!$E:$E,"ІФС",'Таблиця 1'!$L:$L,"Уражено"))</f>
        <v/>
      </c>
      <c r="W113">
        <f>IF($A113="","",COUNTIFS('Таблиця 1'!$B:$B,$A113,'Таблиця 1'!$E:$E,"Інфраструктура",'Таблиця 1'!$L:$L,"Уражено"))</f>
        <v/>
      </c>
      <c r="X113">
        <f>IF($A113="","",SUMIFS('Таблиця 1'!$K:$K,'Таблиця 1'!$B:$B,$A113))</f>
        <v/>
      </c>
    </row>
    <row r="114">
      <c r="A114" s="81">
        <f>IF(A113="","",IF(A113+1&gt;MAX('Таблиця 1'!$B:$B),"",A113+1))</f>
        <v/>
      </c>
      <c r="B114">
        <f>IF($A114="","",COUNTIFS('Таблиця 1'!$B:$B,$A114,'Таблиця 1'!$E:$E,"ЖС ВЗ",'Таблиця 1'!$L:$L,"Уражено"))</f>
        <v/>
      </c>
      <c r="C114">
        <f>IF($A114="","",COUNTIFS('Таблиця 1'!$B:$B,$A114,'Таблиця 1'!$E:$E,"Арт. Системи",'Таблиця 1'!$L:$L,"Уражено"))</f>
        <v/>
      </c>
      <c r="D114">
        <f>IF($A114="","",COUNTIFS('Таблиця 1'!$B:$B,$A114,'Таблиця 1'!$E:$E,"ОВТ",'Таблиця 1'!$L:$L,"Уражено"))</f>
        <v/>
      </c>
      <c r="E114">
        <f>IF($A114="","",COUNTIFS('Таблиця 1'!$B:$B,$A114,'Таблиця 1'!$E:$E,"ППО",'Таблиця 1'!$L:$L,"Уражено"))</f>
        <v/>
      </c>
      <c r="F114">
        <f>IF($A114="","",COUNTIFS('Таблиця 1'!$B:$B,$A114,'Таблиця 1'!$E:$E,"Рембаза",'Таблиця 1'!$L:$L,"Уражено"))</f>
        <v/>
      </c>
      <c r="G114">
        <f>IF($A114="","",COUNTIFS('Таблиця 1'!$B:$B,$A114,'Таблиця 1'!$E:$E,"Склад БК",'Таблиця 1'!$L:$L,"Уражено"))</f>
        <v/>
      </c>
      <c r="H114">
        <f>IF($A114="","",COUNTIFS('Таблиця 1'!$B:$B,$A114,'Таблиця 1'!$E:$E,"Склад ВТМ",'Таблиця 1'!$L:$L,"Уражено"))</f>
        <v/>
      </c>
      <c r="I114">
        <f>IF($A114="","",COUNTIFS('Таблиця 1'!$B:$B,$A114,'Таблиця 1'!$E:$E,"ПУ БпЛА",'Таблиця 1'!$L:$L,"Уражено"))</f>
        <v/>
      </c>
      <c r="J114">
        <f>IF($A114="","",COUNTIFS('Таблиця 1'!$B:$B,$A114,'Таблиця 1'!$E:$E,"СП",'Таблиця 1'!$L:$L,"Уражено"))</f>
        <v/>
      </c>
      <c r="K114">
        <f>IF($A114="","",COUNTIFS('Таблиця 1'!$B:$B,$A114,'Таблиця 1'!$E:$E,"КСП роти",'Таблиця 1'!$L:$L,"Уражено"))</f>
        <v/>
      </c>
      <c r="L114">
        <f>IF($A114="","",COUNTIFS('Таблиця 1'!$B:$B,$A114,'Таблиця 1'!$E:$E,"ПУ бат",'Таблиця 1'!$L:$L,"Уражено"))</f>
        <v/>
      </c>
      <c r="M114">
        <f>IF($A114="","",COUNTIFS('Таблиця 1'!$B:$B,$A114,'Таблиця 1'!$E:$E,"ПУ бриг",'Таблиця 1'!$L:$L,"Уражено"))</f>
        <v/>
      </c>
      <c r="N114">
        <f>IF($A114="","",COUNTIFS('Таблиця 1'!$B:$B,$A114,'Таблиця 1'!$E:$E,"ПУ див",'Таблиця 1'!$L:$L,"Уражено"))</f>
        <v/>
      </c>
      <c r="O114">
        <f>IF($A114="","",COUNTIFS('Таблиця 1'!$B:$B,$A114,'Таблиця 1'!$E:$E,"обл. РЕБ",'Таблиця 1'!$L:$L,"Уражено"))</f>
        <v/>
      </c>
      <c r="P114">
        <f>IF($A114="","",COUNTIFS('Таблиця 1'!$B:$B,$A114,'Таблиця 1'!$E:$E,"пос РЕБ",'Таблиця 1'!$L:$L,"Уражено"))</f>
        <v/>
      </c>
      <c r="Q114">
        <f>IF($A114="","",COUNTIFS('Таблиця 1'!$B:$B,$A114,'Таблиця 1'!$E:$E,"група РЕР",'Таблиця 1'!$L:$L,"Уражено"))</f>
        <v/>
      </c>
      <c r="R114">
        <f>IF($A114="","",COUNTIFS('Таблиця 1'!$B:$B,$A114,'Таблиця 1'!$E:$E,"РЛС КББ",'Таблиця 1'!$L:$L,"Уражено"))</f>
        <v/>
      </c>
      <c r="S114">
        <f>IF($A114="","",COUNTIFS('Таблиця 1'!$B:$B,$A114,'Таблиця 1'!$E:$E,"Ретранслятор",'Таблиця 1'!$L:$L,"Уражено"))</f>
        <v/>
      </c>
      <c r="T114">
        <f>IF($A114="","",COUNTIFS('Таблиця 1'!$B:$B,$A114,'Таблиця 1'!$E:$E,"Вз.зв'язку",'Таблиця 1'!$L:$L,"Уражено"))</f>
        <v/>
      </c>
      <c r="U114">
        <f>IF($A114="","",COUNTIFS('Таблиця 1'!$B:$B,$A114,'Таблиця 1'!$E:$E,"ПММ",'Таблиця 1'!$L:$L,"Уражено"))</f>
        <v/>
      </c>
      <c r="V114">
        <f>IF($A114="","",COUNTIFS('Таблиця 1'!$B:$B,$A114,'Таблиця 1'!$E:$E,"ІФС",'Таблиця 1'!$L:$L,"Уражено"))</f>
        <v/>
      </c>
      <c r="W114">
        <f>IF($A114="","",COUNTIFS('Таблиця 1'!$B:$B,$A114,'Таблиця 1'!$E:$E,"Інфраструктура",'Таблиця 1'!$L:$L,"Уражено"))</f>
        <v/>
      </c>
      <c r="X114">
        <f>IF($A114="","",SUMIFS('Таблиця 1'!$K:$K,'Таблиця 1'!$B:$B,$A114))</f>
        <v/>
      </c>
    </row>
    <row r="115">
      <c r="A115" s="81">
        <f>IF(A114="","",IF(A114+1&gt;MAX('Таблиця 1'!$B:$B),"",A114+1))</f>
        <v/>
      </c>
      <c r="B115">
        <f>IF($A115="","",COUNTIFS('Таблиця 1'!$B:$B,$A115,'Таблиця 1'!$E:$E,"ЖС ВЗ",'Таблиця 1'!$L:$L,"Уражено"))</f>
        <v/>
      </c>
      <c r="C115">
        <f>IF($A115="","",COUNTIFS('Таблиця 1'!$B:$B,$A115,'Таблиця 1'!$E:$E,"Арт. Системи",'Таблиця 1'!$L:$L,"Уражено"))</f>
        <v/>
      </c>
      <c r="D115">
        <f>IF($A115="","",COUNTIFS('Таблиця 1'!$B:$B,$A115,'Таблиця 1'!$E:$E,"ОВТ",'Таблиця 1'!$L:$L,"Уражено"))</f>
        <v/>
      </c>
      <c r="E115">
        <f>IF($A115="","",COUNTIFS('Таблиця 1'!$B:$B,$A115,'Таблиця 1'!$E:$E,"ППО",'Таблиця 1'!$L:$L,"Уражено"))</f>
        <v/>
      </c>
      <c r="F115">
        <f>IF($A115="","",COUNTIFS('Таблиця 1'!$B:$B,$A115,'Таблиця 1'!$E:$E,"Рембаза",'Таблиця 1'!$L:$L,"Уражено"))</f>
        <v/>
      </c>
      <c r="G115">
        <f>IF($A115="","",COUNTIFS('Таблиця 1'!$B:$B,$A115,'Таблиця 1'!$E:$E,"Склад БК",'Таблиця 1'!$L:$L,"Уражено"))</f>
        <v/>
      </c>
      <c r="H115">
        <f>IF($A115="","",COUNTIFS('Таблиця 1'!$B:$B,$A115,'Таблиця 1'!$E:$E,"Склад ВТМ",'Таблиця 1'!$L:$L,"Уражено"))</f>
        <v/>
      </c>
      <c r="I115">
        <f>IF($A115="","",COUNTIFS('Таблиця 1'!$B:$B,$A115,'Таблиця 1'!$E:$E,"ПУ БпЛА",'Таблиця 1'!$L:$L,"Уражено"))</f>
        <v/>
      </c>
      <c r="J115">
        <f>IF($A115="","",COUNTIFS('Таблиця 1'!$B:$B,$A115,'Таблиця 1'!$E:$E,"СП",'Таблиця 1'!$L:$L,"Уражено"))</f>
        <v/>
      </c>
      <c r="K115">
        <f>IF($A115="","",COUNTIFS('Таблиця 1'!$B:$B,$A115,'Таблиця 1'!$E:$E,"КСП роти",'Таблиця 1'!$L:$L,"Уражено"))</f>
        <v/>
      </c>
      <c r="L115">
        <f>IF($A115="","",COUNTIFS('Таблиця 1'!$B:$B,$A115,'Таблиця 1'!$E:$E,"ПУ бат",'Таблиця 1'!$L:$L,"Уражено"))</f>
        <v/>
      </c>
      <c r="M115">
        <f>IF($A115="","",COUNTIFS('Таблиця 1'!$B:$B,$A115,'Таблиця 1'!$E:$E,"ПУ бриг",'Таблиця 1'!$L:$L,"Уражено"))</f>
        <v/>
      </c>
      <c r="N115">
        <f>IF($A115="","",COUNTIFS('Таблиця 1'!$B:$B,$A115,'Таблиця 1'!$E:$E,"ПУ див",'Таблиця 1'!$L:$L,"Уражено"))</f>
        <v/>
      </c>
      <c r="O115">
        <f>IF($A115="","",COUNTIFS('Таблиця 1'!$B:$B,$A115,'Таблиця 1'!$E:$E,"обл. РЕБ",'Таблиця 1'!$L:$L,"Уражено"))</f>
        <v/>
      </c>
      <c r="P115">
        <f>IF($A115="","",COUNTIFS('Таблиця 1'!$B:$B,$A115,'Таблиця 1'!$E:$E,"пос РЕБ",'Таблиця 1'!$L:$L,"Уражено"))</f>
        <v/>
      </c>
      <c r="Q115">
        <f>IF($A115="","",COUNTIFS('Таблиця 1'!$B:$B,$A115,'Таблиця 1'!$E:$E,"група РЕР",'Таблиця 1'!$L:$L,"Уражено"))</f>
        <v/>
      </c>
      <c r="R115">
        <f>IF($A115="","",COUNTIFS('Таблиця 1'!$B:$B,$A115,'Таблиця 1'!$E:$E,"РЛС КББ",'Таблиця 1'!$L:$L,"Уражено"))</f>
        <v/>
      </c>
      <c r="S115">
        <f>IF($A115="","",COUNTIFS('Таблиця 1'!$B:$B,$A115,'Таблиця 1'!$E:$E,"Ретранслятор",'Таблиця 1'!$L:$L,"Уражено"))</f>
        <v/>
      </c>
      <c r="T115">
        <f>IF($A115="","",COUNTIFS('Таблиця 1'!$B:$B,$A115,'Таблиця 1'!$E:$E,"Вз.зв'язку",'Таблиця 1'!$L:$L,"Уражено"))</f>
        <v/>
      </c>
      <c r="U115">
        <f>IF($A115="","",COUNTIFS('Таблиця 1'!$B:$B,$A115,'Таблиця 1'!$E:$E,"ПММ",'Таблиця 1'!$L:$L,"Уражено"))</f>
        <v/>
      </c>
      <c r="V115">
        <f>IF($A115="","",COUNTIFS('Таблиця 1'!$B:$B,$A115,'Таблиця 1'!$E:$E,"ІФС",'Таблиця 1'!$L:$L,"Уражено"))</f>
        <v/>
      </c>
      <c r="W115">
        <f>IF($A115="","",COUNTIFS('Таблиця 1'!$B:$B,$A115,'Таблиця 1'!$E:$E,"Інфраструктура",'Таблиця 1'!$L:$L,"Уражено"))</f>
        <v/>
      </c>
      <c r="X115">
        <f>IF($A115="","",SUMIFS('Таблиця 1'!$K:$K,'Таблиця 1'!$B:$B,$A115))</f>
        <v/>
      </c>
    </row>
    <row r="116">
      <c r="A116" s="81">
        <f>IF(A115="","",IF(A115+1&gt;MAX('Таблиця 1'!$B:$B),"",A115+1))</f>
        <v/>
      </c>
      <c r="B116">
        <f>IF($A116="","",COUNTIFS('Таблиця 1'!$B:$B,$A116,'Таблиця 1'!$E:$E,"ЖС ВЗ",'Таблиця 1'!$L:$L,"Уражено"))</f>
        <v/>
      </c>
      <c r="C116">
        <f>IF($A116="","",COUNTIFS('Таблиця 1'!$B:$B,$A116,'Таблиця 1'!$E:$E,"Арт. Системи",'Таблиця 1'!$L:$L,"Уражено"))</f>
        <v/>
      </c>
      <c r="D116">
        <f>IF($A116="","",COUNTIFS('Таблиця 1'!$B:$B,$A116,'Таблиця 1'!$E:$E,"ОВТ",'Таблиця 1'!$L:$L,"Уражено"))</f>
        <v/>
      </c>
      <c r="E116">
        <f>IF($A116="","",COUNTIFS('Таблиця 1'!$B:$B,$A116,'Таблиця 1'!$E:$E,"ППО",'Таблиця 1'!$L:$L,"Уражено"))</f>
        <v/>
      </c>
      <c r="F116">
        <f>IF($A116="","",COUNTIFS('Таблиця 1'!$B:$B,$A116,'Таблиця 1'!$E:$E,"Рембаза",'Таблиця 1'!$L:$L,"Уражено"))</f>
        <v/>
      </c>
      <c r="G116">
        <f>IF($A116="","",COUNTIFS('Таблиця 1'!$B:$B,$A116,'Таблиця 1'!$E:$E,"Склад БК",'Таблиця 1'!$L:$L,"Уражено"))</f>
        <v/>
      </c>
      <c r="H116">
        <f>IF($A116="","",COUNTIFS('Таблиця 1'!$B:$B,$A116,'Таблиця 1'!$E:$E,"Склад ВТМ",'Таблиця 1'!$L:$L,"Уражено"))</f>
        <v/>
      </c>
      <c r="I116">
        <f>IF($A116="","",COUNTIFS('Таблиця 1'!$B:$B,$A116,'Таблиця 1'!$E:$E,"ПУ БпЛА",'Таблиця 1'!$L:$L,"Уражено"))</f>
        <v/>
      </c>
      <c r="J116">
        <f>IF($A116="","",COUNTIFS('Таблиця 1'!$B:$B,$A116,'Таблиця 1'!$E:$E,"СП",'Таблиця 1'!$L:$L,"Уражено"))</f>
        <v/>
      </c>
      <c r="K116">
        <f>IF($A116="","",COUNTIFS('Таблиця 1'!$B:$B,$A116,'Таблиця 1'!$E:$E,"КСП роти",'Таблиця 1'!$L:$L,"Уражено"))</f>
        <v/>
      </c>
      <c r="L116">
        <f>IF($A116="","",COUNTIFS('Таблиця 1'!$B:$B,$A116,'Таблиця 1'!$E:$E,"ПУ бат",'Таблиця 1'!$L:$L,"Уражено"))</f>
        <v/>
      </c>
      <c r="M116">
        <f>IF($A116="","",COUNTIFS('Таблиця 1'!$B:$B,$A116,'Таблиця 1'!$E:$E,"ПУ бриг",'Таблиця 1'!$L:$L,"Уражено"))</f>
        <v/>
      </c>
      <c r="N116">
        <f>IF($A116="","",COUNTIFS('Таблиця 1'!$B:$B,$A116,'Таблиця 1'!$E:$E,"ПУ див",'Таблиця 1'!$L:$L,"Уражено"))</f>
        <v/>
      </c>
      <c r="O116">
        <f>IF($A116="","",COUNTIFS('Таблиця 1'!$B:$B,$A116,'Таблиця 1'!$E:$E,"обл. РЕБ",'Таблиця 1'!$L:$L,"Уражено"))</f>
        <v/>
      </c>
      <c r="P116">
        <f>IF($A116="","",COUNTIFS('Таблиця 1'!$B:$B,$A116,'Таблиця 1'!$E:$E,"пос РЕБ",'Таблиця 1'!$L:$L,"Уражено"))</f>
        <v/>
      </c>
      <c r="Q116">
        <f>IF($A116="","",COUNTIFS('Таблиця 1'!$B:$B,$A116,'Таблиця 1'!$E:$E,"група РЕР",'Таблиця 1'!$L:$L,"Уражено"))</f>
        <v/>
      </c>
      <c r="R116">
        <f>IF($A116="","",COUNTIFS('Таблиця 1'!$B:$B,$A116,'Таблиця 1'!$E:$E,"РЛС КББ",'Таблиця 1'!$L:$L,"Уражено"))</f>
        <v/>
      </c>
      <c r="S116">
        <f>IF($A116="","",COUNTIFS('Таблиця 1'!$B:$B,$A116,'Таблиця 1'!$E:$E,"Ретранслятор",'Таблиця 1'!$L:$L,"Уражено"))</f>
        <v/>
      </c>
      <c r="T116">
        <f>IF($A116="","",COUNTIFS('Таблиця 1'!$B:$B,$A116,'Таблиця 1'!$E:$E,"Вз.зв'язку",'Таблиця 1'!$L:$L,"Уражено"))</f>
        <v/>
      </c>
      <c r="U116">
        <f>IF($A116="","",COUNTIFS('Таблиця 1'!$B:$B,$A116,'Таблиця 1'!$E:$E,"ПММ",'Таблиця 1'!$L:$L,"Уражено"))</f>
        <v/>
      </c>
      <c r="V116">
        <f>IF($A116="","",COUNTIFS('Таблиця 1'!$B:$B,$A116,'Таблиця 1'!$E:$E,"ІФС",'Таблиця 1'!$L:$L,"Уражено"))</f>
        <v/>
      </c>
      <c r="W116">
        <f>IF($A116="","",COUNTIFS('Таблиця 1'!$B:$B,$A116,'Таблиця 1'!$E:$E,"Інфраструктура",'Таблиця 1'!$L:$L,"Уражено"))</f>
        <v/>
      </c>
      <c r="X116">
        <f>IF($A116="","",SUMIFS('Таблиця 1'!$K:$K,'Таблиця 1'!$B:$B,$A116))</f>
        <v/>
      </c>
    </row>
    <row r="117">
      <c r="A117" s="81">
        <f>IF(A116="","",IF(A116+1&gt;MAX('Таблиця 1'!$B:$B),"",A116+1))</f>
        <v/>
      </c>
      <c r="B117">
        <f>IF($A117="","",COUNTIFS('Таблиця 1'!$B:$B,$A117,'Таблиця 1'!$E:$E,"ЖС ВЗ",'Таблиця 1'!$L:$L,"Уражено"))</f>
        <v/>
      </c>
      <c r="C117">
        <f>IF($A117="","",COUNTIFS('Таблиця 1'!$B:$B,$A117,'Таблиця 1'!$E:$E,"Арт. Системи",'Таблиця 1'!$L:$L,"Уражено"))</f>
        <v/>
      </c>
      <c r="D117">
        <f>IF($A117="","",COUNTIFS('Таблиця 1'!$B:$B,$A117,'Таблиця 1'!$E:$E,"ОВТ",'Таблиця 1'!$L:$L,"Уражено"))</f>
        <v/>
      </c>
      <c r="E117">
        <f>IF($A117="","",COUNTIFS('Таблиця 1'!$B:$B,$A117,'Таблиця 1'!$E:$E,"ППО",'Таблиця 1'!$L:$L,"Уражено"))</f>
        <v/>
      </c>
      <c r="F117">
        <f>IF($A117="","",COUNTIFS('Таблиця 1'!$B:$B,$A117,'Таблиця 1'!$E:$E,"Рембаза",'Таблиця 1'!$L:$L,"Уражено"))</f>
        <v/>
      </c>
      <c r="G117">
        <f>IF($A117="","",COUNTIFS('Таблиця 1'!$B:$B,$A117,'Таблиця 1'!$E:$E,"Склад БК",'Таблиця 1'!$L:$L,"Уражено"))</f>
        <v/>
      </c>
      <c r="H117">
        <f>IF($A117="","",COUNTIFS('Таблиця 1'!$B:$B,$A117,'Таблиця 1'!$E:$E,"Склад ВТМ",'Таблиця 1'!$L:$L,"Уражено"))</f>
        <v/>
      </c>
      <c r="I117">
        <f>IF($A117="","",COUNTIFS('Таблиця 1'!$B:$B,$A117,'Таблиця 1'!$E:$E,"ПУ БпЛА",'Таблиця 1'!$L:$L,"Уражено"))</f>
        <v/>
      </c>
      <c r="J117">
        <f>IF($A117="","",COUNTIFS('Таблиця 1'!$B:$B,$A117,'Таблиця 1'!$E:$E,"СП",'Таблиця 1'!$L:$L,"Уражено"))</f>
        <v/>
      </c>
      <c r="K117">
        <f>IF($A117="","",COUNTIFS('Таблиця 1'!$B:$B,$A117,'Таблиця 1'!$E:$E,"КСП роти",'Таблиця 1'!$L:$L,"Уражено"))</f>
        <v/>
      </c>
      <c r="L117">
        <f>IF($A117="","",COUNTIFS('Таблиця 1'!$B:$B,$A117,'Таблиця 1'!$E:$E,"ПУ бат",'Таблиця 1'!$L:$L,"Уражено"))</f>
        <v/>
      </c>
      <c r="M117">
        <f>IF($A117="","",COUNTIFS('Таблиця 1'!$B:$B,$A117,'Таблиця 1'!$E:$E,"ПУ бриг",'Таблиця 1'!$L:$L,"Уражено"))</f>
        <v/>
      </c>
      <c r="N117">
        <f>IF($A117="","",COUNTIFS('Таблиця 1'!$B:$B,$A117,'Таблиця 1'!$E:$E,"ПУ див",'Таблиця 1'!$L:$L,"Уражено"))</f>
        <v/>
      </c>
      <c r="O117">
        <f>IF($A117="","",COUNTIFS('Таблиця 1'!$B:$B,$A117,'Таблиця 1'!$E:$E,"обл. РЕБ",'Таблиця 1'!$L:$L,"Уражено"))</f>
        <v/>
      </c>
      <c r="P117">
        <f>IF($A117="","",COUNTIFS('Таблиця 1'!$B:$B,$A117,'Таблиця 1'!$E:$E,"пос РЕБ",'Таблиця 1'!$L:$L,"Уражено"))</f>
        <v/>
      </c>
      <c r="Q117">
        <f>IF($A117="","",COUNTIFS('Таблиця 1'!$B:$B,$A117,'Таблиця 1'!$E:$E,"група РЕР",'Таблиця 1'!$L:$L,"Уражено"))</f>
        <v/>
      </c>
      <c r="R117">
        <f>IF($A117="","",COUNTIFS('Таблиця 1'!$B:$B,$A117,'Таблиця 1'!$E:$E,"РЛС КББ",'Таблиця 1'!$L:$L,"Уражено"))</f>
        <v/>
      </c>
      <c r="S117">
        <f>IF($A117="","",COUNTIFS('Таблиця 1'!$B:$B,$A117,'Таблиця 1'!$E:$E,"Ретранслятор",'Таблиця 1'!$L:$L,"Уражено"))</f>
        <v/>
      </c>
      <c r="T117">
        <f>IF($A117="","",COUNTIFS('Таблиця 1'!$B:$B,$A117,'Таблиця 1'!$E:$E,"Вз.зв'язку",'Таблиця 1'!$L:$L,"Уражено"))</f>
        <v/>
      </c>
      <c r="U117">
        <f>IF($A117="","",COUNTIFS('Таблиця 1'!$B:$B,$A117,'Таблиця 1'!$E:$E,"ПММ",'Таблиця 1'!$L:$L,"Уражено"))</f>
        <v/>
      </c>
      <c r="V117">
        <f>IF($A117="","",COUNTIFS('Таблиця 1'!$B:$B,$A117,'Таблиця 1'!$E:$E,"ІФС",'Таблиця 1'!$L:$L,"Уражено"))</f>
        <v/>
      </c>
      <c r="W117">
        <f>IF($A117="","",COUNTIFS('Таблиця 1'!$B:$B,$A117,'Таблиця 1'!$E:$E,"Інфраструктура",'Таблиця 1'!$L:$L,"Уражено"))</f>
        <v/>
      </c>
      <c r="X117">
        <f>IF($A117="","",SUMIFS('Таблиця 1'!$K:$K,'Таблиця 1'!$B:$B,$A117))</f>
        <v/>
      </c>
    </row>
    <row r="118">
      <c r="A118" s="81">
        <f>IF(A117="","",IF(A117+1&gt;MAX('Таблиця 1'!$B:$B),"",A117+1))</f>
        <v/>
      </c>
      <c r="B118">
        <f>IF($A118="","",COUNTIFS('Таблиця 1'!$B:$B,$A118,'Таблиця 1'!$E:$E,"ЖС ВЗ",'Таблиця 1'!$L:$L,"Уражено"))</f>
        <v/>
      </c>
      <c r="C118">
        <f>IF($A118="","",COUNTIFS('Таблиця 1'!$B:$B,$A118,'Таблиця 1'!$E:$E,"Арт. Системи",'Таблиця 1'!$L:$L,"Уражено"))</f>
        <v/>
      </c>
      <c r="D118">
        <f>IF($A118="","",COUNTIFS('Таблиця 1'!$B:$B,$A118,'Таблиця 1'!$E:$E,"ОВТ",'Таблиця 1'!$L:$L,"Уражено"))</f>
        <v/>
      </c>
      <c r="E118">
        <f>IF($A118="","",COUNTIFS('Таблиця 1'!$B:$B,$A118,'Таблиця 1'!$E:$E,"ППО",'Таблиця 1'!$L:$L,"Уражено"))</f>
        <v/>
      </c>
      <c r="F118">
        <f>IF($A118="","",COUNTIFS('Таблиця 1'!$B:$B,$A118,'Таблиця 1'!$E:$E,"Рембаза",'Таблиця 1'!$L:$L,"Уражено"))</f>
        <v/>
      </c>
      <c r="G118">
        <f>IF($A118="","",COUNTIFS('Таблиця 1'!$B:$B,$A118,'Таблиця 1'!$E:$E,"Склад БК",'Таблиця 1'!$L:$L,"Уражено"))</f>
        <v/>
      </c>
      <c r="H118">
        <f>IF($A118="","",COUNTIFS('Таблиця 1'!$B:$B,$A118,'Таблиця 1'!$E:$E,"Склад ВТМ",'Таблиця 1'!$L:$L,"Уражено"))</f>
        <v/>
      </c>
      <c r="I118">
        <f>IF($A118="","",COUNTIFS('Таблиця 1'!$B:$B,$A118,'Таблиця 1'!$E:$E,"ПУ БпЛА",'Таблиця 1'!$L:$L,"Уражено"))</f>
        <v/>
      </c>
      <c r="J118">
        <f>IF($A118="","",COUNTIFS('Таблиця 1'!$B:$B,$A118,'Таблиця 1'!$E:$E,"СП",'Таблиця 1'!$L:$L,"Уражено"))</f>
        <v/>
      </c>
      <c r="K118">
        <f>IF($A118="","",COUNTIFS('Таблиця 1'!$B:$B,$A118,'Таблиця 1'!$E:$E,"КСП роти",'Таблиця 1'!$L:$L,"Уражено"))</f>
        <v/>
      </c>
      <c r="L118">
        <f>IF($A118="","",COUNTIFS('Таблиця 1'!$B:$B,$A118,'Таблиця 1'!$E:$E,"ПУ бат",'Таблиця 1'!$L:$L,"Уражено"))</f>
        <v/>
      </c>
      <c r="M118">
        <f>IF($A118="","",COUNTIFS('Таблиця 1'!$B:$B,$A118,'Таблиця 1'!$E:$E,"ПУ бриг",'Таблиця 1'!$L:$L,"Уражено"))</f>
        <v/>
      </c>
      <c r="N118">
        <f>IF($A118="","",COUNTIFS('Таблиця 1'!$B:$B,$A118,'Таблиця 1'!$E:$E,"ПУ див",'Таблиця 1'!$L:$L,"Уражено"))</f>
        <v/>
      </c>
      <c r="O118">
        <f>IF($A118="","",COUNTIFS('Таблиця 1'!$B:$B,$A118,'Таблиця 1'!$E:$E,"обл. РЕБ",'Таблиця 1'!$L:$L,"Уражено"))</f>
        <v/>
      </c>
      <c r="P118">
        <f>IF($A118="","",COUNTIFS('Таблиця 1'!$B:$B,$A118,'Таблиця 1'!$E:$E,"пос РЕБ",'Таблиця 1'!$L:$L,"Уражено"))</f>
        <v/>
      </c>
      <c r="Q118">
        <f>IF($A118="","",COUNTIFS('Таблиця 1'!$B:$B,$A118,'Таблиця 1'!$E:$E,"група РЕР",'Таблиця 1'!$L:$L,"Уражено"))</f>
        <v/>
      </c>
      <c r="R118">
        <f>IF($A118="","",COUNTIFS('Таблиця 1'!$B:$B,$A118,'Таблиця 1'!$E:$E,"РЛС КББ",'Таблиця 1'!$L:$L,"Уражено"))</f>
        <v/>
      </c>
      <c r="S118">
        <f>IF($A118="","",COUNTIFS('Таблиця 1'!$B:$B,$A118,'Таблиця 1'!$E:$E,"Ретранслятор",'Таблиця 1'!$L:$L,"Уражено"))</f>
        <v/>
      </c>
      <c r="T118">
        <f>IF($A118="","",COUNTIFS('Таблиця 1'!$B:$B,$A118,'Таблиця 1'!$E:$E,"Вз.зв'язку",'Таблиця 1'!$L:$L,"Уражено"))</f>
        <v/>
      </c>
      <c r="U118">
        <f>IF($A118="","",COUNTIFS('Таблиця 1'!$B:$B,$A118,'Таблиця 1'!$E:$E,"ПММ",'Таблиця 1'!$L:$L,"Уражено"))</f>
        <v/>
      </c>
      <c r="V118">
        <f>IF($A118="","",COUNTIFS('Таблиця 1'!$B:$B,$A118,'Таблиця 1'!$E:$E,"ІФС",'Таблиця 1'!$L:$L,"Уражено"))</f>
        <v/>
      </c>
      <c r="W118">
        <f>IF($A118="","",COUNTIFS('Таблиця 1'!$B:$B,$A118,'Таблиця 1'!$E:$E,"Інфраструктура",'Таблиця 1'!$L:$L,"Уражено"))</f>
        <v/>
      </c>
      <c r="X118">
        <f>IF($A118="","",SUMIFS('Таблиця 1'!$K:$K,'Таблиця 1'!$B:$B,$A118))</f>
        <v/>
      </c>
    </row>
    <row r="119">
      <c r="A119" s="81">
        <f>IF(A118="","",IF(A118+1&gt;MAX('Таблиця 1'!$B:$B),"",A118+1))</f>
        <v/>
      </c>
      <c r="B119">
        <f>IF($A119="","",COUNTIFS('Таблиця 1'!$B:$B,$A119,'Таблиця 1'!$E:$E,"ЖС ВЗ",'Таблиця 1'!$L:$L,"Уражено"))</f>
        <v/>
      </c>
      <c r="C119">
        <f>IF($A119="","",COUNTIFS('Таблиця 1'!$B:$B,$A119,'Таблиця 1'!$E:$E,"Арт. Системи",'Таблиця 1'!$L:$L,"Уражено"))</f>
        <v/>
      </c>
      <c r="D119">
        <f>IF($A119="","",COUNTIFS('Таблиця 1'!$B:$B,$A119,'Таблиця 1'!$E:$E,"ОВТ",'Таблиця 1'!$L:$L,"Уражено"))</f>
        <v/>
      </c>
      <c r="E119">
        <f>IF($A119="","",COUNTIFS('Таблиця 1'!$B:$B,$A119,'Таблиця 1'!$E:$E,"ППО",'Таблиця 1'!$L:$L,"Уражено"))</f>
        <v/>
      </c>
      <c r="F119">
        <f>IF($A119="","",COUNTIFS('Таблиця 1'!$B:$B,$A119,'Таблиця 1'!$E:$E,"Рембаза",'Таблиця 1'!$L:$L,"Уражено"))</f>
        <v/>
      </c>
      <c r="G119">
        <f>IF($A119="","",COUNTIFS('Таблиця 1'!$B:$B,$A119,'Таблиця 1'!$E:$E,"Склад БК",'Таблиця 1'!$L:$L,"Уражено"))</f>
        <v/>
      </c>
      <c r="H119">
        <f>IF($A119="","",COUNTIFS('Таблиця 1'!$B:$B,$A119,'Таблиця 1'!$E:$E,"Склад ВТМ",'Таблиця 1'!$L:$L,"Уражено"))</f>
        <v/>
      </c>
      <c r="I119">
        <f>IF($A119="","",COUNTIFS('Таблиця 1'!$B:$B,$A119,'Таблиця 1'!$E:$E,"ПУ БпЛА",'Таблиця 1'!$L:$L,"Уражено"))</f>
        <v/>
      </c>
      <c r="J119">
        <f>IF($A119="","",COUNTIFS('Таблиця 1'!$B:$B,$A119,'Таблиця 1'!$E:$E,"СП",'Таблиця 1'!$L:$L,"Уражено"))</f>
        <v/>
      </c>
      <c r="K119">
        <f>IF($A119="","",COUNTIFS('Таблиця 1'!$B:$B,$A119,'Таблиця 1'!$E:$E,"КСП роти",'Таблиця 1'!$L:$L,"Уражено"))</f>
        <v/>
      </c>
      <c r="L119">
        <f>IF($A119="","",COUNTIFS('Таблиця 1'!$B:$B,$A119,'Таблиця 1'!$E:$E,"ПУ бат",'Таблиця 1'!$L:$L,"Уражено"))</f>
        <v/>
      </c>
      <c r="M119">
        <f>IF($A119="","",COUNTIFS('Таблиця 1'!$B:$B,$A119,'Таблиця 1'!$E:$E,"ПУ бриг",'Таблиця 1'!$L:$L,"Уражено"))</f>
        <v/>
      </c>
      <c r="N119">
        <f>IF($A119="","",COUNTIFS('Таблиця 1'!$B:$B,$A119,'Таблиця 1'!$E:$E,"ПУ див",'Таблиця 1'!$L:$L,"Уражено"))</f>
        <v/>
      </c>
      <c r="O119">
        <f>IF($A119="","",COUNTIFS('Таблиця 1'!$B:$B,$A119,'Таблиця 1'!$E:$E,"обл. РЕБ",'Таблиця 1'!$L:$L,"Уражено"))</f>
        <v/>
      </c>
      <c r="P119">
        <f>IF($A119="","",COUNTIFS('Таблиця 1'!$B:$B,$A119,'Таблиця 1'!$E:$E,"пос РЕБ",'Таблиця 1'!$L:$L,"Уражено"))</f>
        <v/>
      </c>
      <c r="Q119">
        <f>IF($A119="","",COUNTIFS('Таблиця 1'!$B:$B,$A119,'Таблиця 1'!$E:$E,"група РЕР",'Таблиця 1'!$L:$L,"Уражено"))</f>
        <v/>
      </c>
      <c r="R119">
        <f>IF($A119="","",COUNTIFS('Таблиця 1'!$B:$B,$A119,'Таблиця 1'!$E:$E,"РЛС КББ",'Таблиця 1'!$L:$L,"Уражено"))</f>
        <v/>
      </c>
      <c r="S119">
        <f>IF($A119="","",COUNTIFS('Таблиця 1'!$B:$B,$A119,'Таблиця 1'!$E:$E,"Ретранслятор",'Таблиця 1'!$L:$L,"Уражено"))</f>
        <v/>
      </c>
      <c r="T119">
        <f>IF($A119="","",COUNTIFS('Таблиця 1'!$B:$B,$A119,'Таблиця 1'!$E:$E,"Вз.зв'язку",'Таблиця 1'!$L:$L,"Уражено"))</f>
        <v/>
      </c>
      <c r="U119">
        <f>IF($A119="","",COUNTIFS('Таблиця 1'!$B:$B,$A119,'Таблиця 1'!$E:$E,"ПММ",'Таблиця 1'!$L:$L,"Уражено"))</f>
        <v/>
      </c>
      <c r="V119">
        <f>IF($A119="","",COUNTIFS('Таблиця 1'!$B:$B,$A119,'Таблиця 1'!$E:$E,"ІФС",'Таблиця 1'!$L:$L,"Уражено"))</f>
        <v/>
      </c>
      <c r="W119">
        <f>IF($A119="","",COUNTIFS('Таблиця 1'!$B:$B,$A119,'Таблиця 1'!$E:$E,"Інфраструктура",'Таблиця 1'!$L:$L,"Уражено"))</f>
        <v/>
      </c>
      <c r="X119">
        <f>IF($A119="","",SUMIFS('Таблиця 1'!$K:$K,'Таблиця 1'!$B:$B,$A119))</f>
        <v/>
      </c>
    </row>
    <row r="120">
      <c r="A120" s="81">
        <f>IF(A119="","",IF(A119+1&gt;MAX('Таблиця 1'!$B:$B),"",A119+1))</f>
        <v/>
      </c>
      <c r="B120">
        <f>IF($A120="","",COUNTIFS('Таблиця 1'!$B:$B,$A120,'Таблиця 1'!$E:$E,"ЖС ВЗ",'Таблиця 1'!$L:$L,"Уражено"))</f>
        <v/>
      </c>
      <c r="C120">
        <f>IF($A120="","",COUNTIFS('Таблиця 1'!$B:$B,$A120,'Таблиця 1'!$E:$E,"Арт. Системи",'Таблиця 1'!$L:$L,"Уражено"))</f>
        <v/>
      </c>
      <c r="D120">
        <f>IF($A120="","",COUNTIFS('Таблиця 1'!$B:$B,$A120,'Таблиця 1'!$E:$E,"ОВТ",'Таблиця 1'!$L:$L,"Уражено"))</f>
        <v/>
      </c>
      <c r="E120">
        <f>IF($A120="","",COUNTIFS('Таблиця 1'!$B:$B,$A120,'Таблиця 1'!$E:$E,"ППО",'Таблиця 1'!$L:$L,"Уражено"))</f>
        <v/>
      </c>
      <c r="F120">
        <f>IF($A120="","",COUNTIFS('Таблиця 1'!$B:$B,$A120,'Таблиця 1'!$E:$E,"Рембаза",'Таблиця 1'!$L:$L,"Уражено"))</f>
        <v/>
      </c>
      <c r="G120">
        <f>IF($A120="","",COUNTIFS('Таблиця 1'!$B:$B,$A120,'Таблиця 1'!$E:$E,"Склад БК",'Таблиця 1'!$L:$L,"Уражено"))</f>
        <v/>
      </c>
      <c r="H120">
        <f>IF($A120="","",COUNTIFS('Таблиця 1'!$B:$B,$A120,'Таблиця 1'!$E:$E,"Склад ВТМ",'Таблиця 1'!$L:$L,"Уражено"))</f>
        <v/>
      </c>
      <c r="I120">
        <f>IF($A120="","",COUNTIFS('Таблиця 1'!$B:$B,$A120,'Таблиця 1'!$E:$E,"ПУ БпЛА",'Таблиця 1'!$L:$L,"Уражено"))</f>
        <v/>
      </c>
      <c r="J120">
        <f>IF($A120="","",COUNTIFS('Таблиця 1'!$B:$B,$A120,'Таблиця 1'!$E:$E,"СП",'Таблиця 1'!$L:$L,"Уражено"))</f>
        <v/>
      </c>
      <c r="K120">
        <f>IF($A120="","",COUNTIFS('Таблиця 1'!$B:$B,$A120,'Таблиця 1'!$E:$E,"КСП роти",'Таблиця 1'!$L:$L,"Уражено"))</f>
        <v/>
      </c>
      <c r="L120">
        <f>IF($A120="","",COUNTIFS('Таблиця 1'!$B:$B,$A120,'Таблиця 1'!$E:$E,"ПУ бат",'Таблиця 1'!$L:$L,"Уражено"))</f>
        <v/>
      </c>
      <c r="M120">
        <f>IF($A120="","",COUNTIFS('Таблиця 1'!$B:$B,$A120,'Таблиця 1'!$E:$E,"ПУ бриг",'Таблиця 1'!$L:$L,"Уражено"))</f>
        <v/>
      </c>
      <c r="N120">
        <f>IF($A120="","",COUNTIFS('Таблиця 1'!$B:$B,$A120,'Таблиця 1'!$E:$E,"ПУ див",'Таблиця 1'!$L:$L,"Уражено"))</f>
        <v/>
      </c>
      <c r="O120">
        <f>IF($A120="","",COUNTIFS('Таблиця 1'!$B:$B,$A120,'Таблиця 1'!$E:$E,"обл. РЕБ",'Таблиця 1'!$L:$L,"Уражено"))</f>
        <v/>
      </c>
      <c r="P120">
        <f>IF($A120="","",COUNTIFS('Таблиця 1'!$B:$B,$A120,'Таблиця 1'!$E:$E,"пос РЕБ",'Таблиця 1'!$L:$L,"Уражено"))</f>
        <v/>
      </c>
      <c r="Q120">
        <f>IF($A120="","",COUNTIFS('Таблиця 1'!$B:$B,$A120,'Таблиця 1'!$E:$E,"група РЕР",'Таблиця 1'!$L:$L,"Уражено"))</f>
        <v/>
      </c>
      <c r="R120">
        <f>IF($A120="","",COUNTIFS('Таблиця 1'!$B:$B,$A120,'Таблиця 1'!$E:$E,"РЛС КББ",'Таблиця 1'!$L:$L,"Уражено"))</f>
        <v/>
      </c>
      <c r="S120">
        <f>IF($A120="","",COUNTIFS('Таблиця 1'!$B:$B,$A120,'Таблиця 1'!$E:$E,"Ретранслятор",'Таблиця 1'!$L:$L,"Уражено"))</f>
        <v/>
      </c>
      <c r="T120">
        <f>IF($A120="","",COUNTIFS('Таблиця 1'!$B:$B,$A120,'Таблиця 1'!$E:$E,"Вз.зв'язку",'Таблиця 1'!$L:$L,"Уражено"))</f>
        <v/>
      </c>
      <c r="U120">
        <f>IF($A120="","",COUNTIFS('Таблиця 1'!$B:$B,$A120,'Таблиця 1'!$E:$E,"ПММ",'Таблиця 1'!$L:$L,"Уражено"))</f>
        <v/>
      </c>
      <c r="V120">
        <f>IF($A120="","",COUNTIFS('Таблиця 1'!$B:$B,$A120,'Таблиця 1'!$E:$E,"ІФС",'Таблиця 1'!$L:$L,"Уражено"))</f>
        <v/>
      </c>
      <c r="W120">
        <f>IF($A120="","",COUNTIFS('Таблиця 1'!$B:$B,$A120,'Таблиця 1'!$E:$E,"Інфраструктура",'Таблиця 1'!$L:$L,"Уражено"))</f>
        <v/>
      </c>
      <c r="X120">
        <f>IF($A120="","",SUMIFS('Таблиця 1'!$K:$K,'Таблиця 1'!$B:$B,$A120))</f>
        <v/>
      </c>
    </row>
    <row r="121">
      <c r="A121" s="81">
        <f>IF(A120="","",IF(A120+1&gt;MAX('Таблиця 1'!$B:$B),"",A120+1))</f>
        <v/>
      </c>
      <c r="B121">
        <f>IF($A121="","",COUNTIFS('Таблиця 1'!$B:$B,$A121,'Таблиця 1'!$E:$E,"ЖС ВЗ",'Таблиця 1'!$L:$L,"Уражено"))</f>
        <v/>
      </c>
      <c r="C121">
        <f>IF($A121="","",COUNTIFS('Таблиця 1'!$B:$B,$A121,'Таблиця 1'!$E:$E,"Арт. Системи",'Таблиця 1'!$L:$L,"Уражено"))</f>
        <v/>
      </c>
      <c r="D121">
        <f>IF($A121="","",COUNTIFS('Таблиця 1'!$B:$B,$A121,'Таблиця 1'!$E:$E,"ОВТ",'Таблиця 1'!$L:$L,"Уражено"))</f>
        <v/>
      </c>
      <c r="E121">
        <f>IF($A121="","",COUNTIFS('Таблиця 1'!$B:$B,$A121,'Таблиця 1'!$E:$E,"ППО",'Таблиця 1'!$L:$L,"Уражено"))</f>
        <v/>
      </c>
      <c r="F121">
        <f>IF($A121="","",COUNTIFS('Таблиця 1'!$B:$B,$A121,'Таблиця 1'!$E:$E,"Рембаза",'Таблиця 1'!$L:$L,"Уражено"))</f>
        <v/>
      </c>
      <c r="G121">
        <f>IF($A121="","",COUNTIFS('Таблиця 1'!$B:$B,$A121,'Таблиця 1'!$E:$E,"Склад БК",'Таблиця 1'!$L:$L,"Уражено"))</f>
        <v/>
      </c>
      <c r="H121">
        <f>IF($A121="","",COUNTIFS('Таблиця 1'!$B:$B,$A121,'Таблиця 1'!$E:$E,"Склад ВТМ",'Таблиця 1'!$L:$L,"Уражено"))</f>
        <v/>
      </c>
      <c r="I121">
        <f>IF($A121="","",COUNTIFS('Таблиця 1'!$B:$B,$A121,'Таблиця 1'!$E:$E,"ПУ БпЛА",'Таблиця 1'!$L:$L,"Уражено"))</f>
        <v/>
      </c>
      <c r="J121">
        <f>IF($A121="","",COUNTIFS('Таблиця 1'!$B:$B,$A121,'Таблиця 1'!$E:$E,"СП",'Таблиця 1'!$L:$L,"Уражено"))</f>
        <v/>
      </c>
      <c r="K121">
        <f>IF($A121="","",COUNTIFS('Таблиця 1'!$B:$B,$A121,'Таблиця 1'!$E:$E,"КСП роти",'Таблиця 1'!$L:$L,"Уражено"))</f>
        <v/>
      </c>
      <c r="L121">
        <f>IF($A121="","",COUNTIFS('Таблиця 1'!$B:$B,$A121,'Таблиця 1'!$E:$E,"ПУ бат",'Таблиця 1'!$L:$L,"Уражено"))</f>
        <v/>
      </c>
      <c r="M121">
        <f>IF($A121="","",COUNTIFS('Таблиця 1'!$B:$B,$A121,'Таблиця 1'!$E:$E,"ПУ бриг",'Таблиця 1'!$L:$L,"Уражено"))</f>
        <v/>
      </c>
      <c r="N121">
        <f>IF($A121="","",COUNTIFS('Таблиця 1'!$B:$B,$A121,'Таблиця 1'!$E:$E,"ПУ див",'Таблиця 1'!$L:$L,"Уражено"))</f>
        <v/>
      </c>
      <c r="O121">
        <f>IF($A121="","",COUNTIFS('Таблиця 1'!$B:$B,$A121,'Таблиця 1'!$E:$E,"обл. РЕБ",'Таблиця 1'!$L:$L,"Уражено"))</f>
        <v/>
      </c>
      <c r="P121">
        <f>IF($A121="","",COUNTIFS('Таблиця 1'!$B:$B,$A121,'Таблиця 1'!$E:$E,"пос РЕБ",'Таблиця 1'!$L:$L,"Уражено"))</f>
        <v/>
      </c>
      <c r="Q121">
        <f>IF($A121="","",COUNTIFS('Таблиця 1'!$B:$B,$A121,'Таблиця 1'!$E:$E,"група РЕР",'Таблиця 1'!$L:$L,"Уражено"))</f>
        <v/>
      </c>
      <c r="R121">
        <f>IF($A121="","",COUNTIFS('Таблиця 1'!$B:$B,$A121,'Таблиця 1'!$E:$E,"РЛС КББ",'Таблиця 1'!$L:$L,"Уражено"))</f>
        <v/>
      </c>
      <c r="S121">
        <f>IF($A121="","",COUNTIFS('Таблиця 1'!$B:$B,$A121,'Таблиця 1'!$E:$E,"Ретранслятор",'Таблиця 1'!$L:$L,"Уражено"))</f>
        <v/>
      </c>
      <c r="T121">
        <f>IF($A121="","",COUNTIFS('Таблиця 1'!$B:$B,$A121,'Таблиця 1'!$E:$E,"Вз.зв'язку",'Таблиця 1'!$L:$L,"Уражено"))</f>
        <v/>
      </c>
      <c r="U121">
        <f>IF($A121="","",COUNTIFS('Таблиця 1'!$B:$B,$A121,'Таблиця 1'!$E:$E,"ПММ",'Таблиця 1'!$L:$L,"Уражено"))</f>
        <v/>
      </c>
      <c r="V121">
        <f>IF($A121="","",COUNTIFS('Таблиця 1'!$B:$B,$A121,'Таблиця 1'!$E:$E,"ІФС",'Таблиця 1'!$L:$L,"Уражено"))</f>
        <v/>
      </c>
      <c r="W121">
        <f>IF($A121="","",COUNTIFS('Таблиця 1'!$B:$B,$A121,'Таблиця 1'!$E:$E,"Інфраструктура",'Таблиця 1'!$L:$L,"Уражено"))</f>
        <v/>
      </c>
      <c r="X121">
        <f>IF($A121="","",SUMIFS('Таблиця 1'!$K:$K,'Таблиця 1'!$B:$B,$A121))</f>
        <v/>
      </c>
    </row>
    <row r="122">
      <c r="A122" s="81">
        <f>IF(A121="","",IF(A121+1&gt;MAX('Таблиця 1'!$B:$B),"",A121+1))</f>
        <v/>
      </c>
      <c r="B122">
        <f>IF($A122="","",COUNTIFS('Таблиця 1'!$B:$B,$A122,'Таблиця 1'!$E:$E,"ЖС ВЗ",'Таблиця 1'!$L:$L,"Уражено"))</f>
        <v/>
      </c>
      <c r="C122">
        <f>IF($A122="","",COUNTIFS('Таблиця 1'!$B:$B,$A122,'Таблиця 1'!$E:$E,"Арт. Системи",'Таблиця 1'!$L:$L,"Уражено"))</f>
        <v/>
      </c>
      <c r="D122">
        <f>IF($A122="","",COUNTIFS('Таблиця 1'!$B:$B,$A122,'Таблиця 1'!$E:$E,"ОВТ",'Таблиця 1'!$L:$L,"Уражено"))</f>
        <v/>
      </c>
      <c r="E122">
        <f>IF($A122="","",COUNTIFS('Таблиця 1'!$B:$B,$A122,'Таблиця 1'!$E:$E,"ППО",'Таблиця 1'!$L:$L,"Уражено"))</f>
        <v/>
      </c>
      <c r="F122">
        <f>IF($A122="","",COUNTIFS('Таблиця 1'!$B:$B,$A122,'Таблиця 1'!$E:$E,"Рембаза",'Таблиця 1'!$L:$L,"Уражено"))</f>
        <v/>
      </c>
      <c r="G122">
        <f>IF($A122="","",COUNTIFS('Таблиця 1'!$B:$B,$A122,'Таблиця 1'!$E:$E,"Склад БК",'Таблиця 1'!$L:$L,"Уражено"))</f>
        <v/>
      </c>
      <c r="H122">
        <f>IF($A122="","",COUNTIFS('Таблиця 1'!$B:$B,$A122,'Таблиця 1'!$E:$E,"Склад ВТМ",'Таблиця 1'!$L:$L,"Уражено"))</f>
        <v/>
      </c>
      <c r="I122">
        <f>IF($A122="","",COUNTIFS('Таблиця 1'!$B:$B,$A122,'Таблиця 1'!$E:$E,"ПУ БпЛА",'Таблиця 1'!$L:$L,"Уражено"))</f>
        <v/>
      </c>
      <c r="J122">
        <f>IF($A122="","",COUNTIFS('Таблиця 1'!$B:$B,$A122,'Таблиця 1'!$E:$E,"СП",'Таблиця 1'!$L:$L,"Уражено"))</f>
        <v/>
      </c>
      <c r="K122">
        <f>IF($A122="","",COUNTIFS('Таблиця 1'!$B:$B,$A122,'Таблиця 1'!$E:$E,"КСП роти",'Таблиця 1'!$L:$L,"Уражено"))</f>
        <v/>
      </c>
      <c r="L122">
        <f>IF($A122="","",COUNTIFS('Таблиця 1'!$B:$B,$A122,'Таблиця 1'!$E:$E,"ПУ бат",'Таблиця 1'!$L:$L,"Уражено"))</f>
        <v/>
      </c>
      <c r="M122">
        <f>IF($A122="","",COUNTIFS('Таблиця 1'!$B:$B,$A122,'Таблиця 1'!$E:$E,"ПУ бриг",'Таблиця 1'!$L:$L,"Уражено"))</f>
        <v/>
      </c>
      <c r="N122">
        <f>IF($A122="","",COUNTIFS('Таблиця 1'!$B:$B,$A122,'Таблиця 1'!$E:$E,"ПУ див",'Таблиця 1'!$L:$L,"Уражено"))</f>
        <v/>
      </c>
      <c r="O122">
        <f>IF($A122="","",COUNTIFS('Таблиця 1'!$B:$B,$A122,'Таблиця 1'!$E:$E,"обл. РЕБ",'Таблиця 1'!$L:$L,"Уражено"))</f>
        <v/>
      </c>
      <c r="P122">
        <f>IF($A122="","",COUNTIFS('Таблиця 1'!$B:$B,$A122,'Таблиця 1'!$E:$E,"пос РЕБ",'Таблиця 1'!$L:$L,"Уражено"))</f>
        <v/>
      </c>
      <c r="Q122">
        <f>IF($A122="","",COUNTIFS('Таблиця 1'!$B:$B,$A122,'Таблиця 1'!$E:$E,"група РЕР",'Таблиця 1'!$L:$L,"Уражено"))</f>
        <v/>
      </c>
      <c r="R122">
        <f>IF($A122="","",COUNTIFS('Таблиця 1'!$B:$B,$A122,'Таблиця 1'!$E:$E,"РЛС КББ",'Таблиця 1'!$L:$L,"Уражено"))</f>
        <v/>
      </c>
      <c r="S122">
        <f>IF($A122="","",COUNTIFS('Таблиця 1'!$B:$B,$A122,'Таблиця 1'!$E:$E,"Ретранслятор",'Таблиця 1'!$L:$L,"Уражено"))</f>
        <v/>
      </c>
      <c r="T122">
        <f>IF($A122="","",COUNTIFS('Таблиця 1'!$B:$B,$A122,'Таблиця 1'!$E:$E,"Вз.зв'язку",'Таблиця 1'!$L:$L,"Уражено"))</f>
        <v/>
      </c>
      <c r="U122">
        <f>IF($A122="","",COUNTIFS('Таблиця 1'!$B:$B,$A122,'Таблиця 1'!$E:$E,"ПММ",'Таблиця 1'!$L:$L,"Уражено"))</f>
        <v/>
      </c>
      <c r="V122">
        <f>IF($A122="","",COUNTIFS('Таблиця 1'!$B:$B,$A122,'Таблиця 1'!$E:$E,"ІФС",'Таблиця 1'!$L:$L,"Уражено"))</f>
        <v/>
      </c>
      <c r="W122">
        <f>IF($A122="","",COUNTIFS('Таблиця 1'!$B:$B,$A122,'Таблиця 1'!$E:$E,"Інфраструктура",'Таблиця 1'!$L:$L,"Уражено"))</f>
        <v/>
      </c>
      <c r="X122">
        <f>IF($A122="","",SUMIFS('Таблиця 1'!$K:$K,'Таблиця 1'!$B:$B,$A122))</f>
        <v/>
      </c>
    </row>
    <row r="123">
      <c r="A123" s="81">
        <f>IF(A122="","",IF(A122+1&gt;MAX('Таблиця 1'!$B:$B),"",A122+1))</f>
        <v/>
      </c>
      <c r="B123">
        <f>IF($A123="","",COUNTIFS('Таблиця 1'!$B:$B,$A123,'Таблиця 1'!$E:$E,"ЖС ВЗ",'Таблиця 1'!$L:$L,"Уражено"))</f>
        <v/>
      </c>
      <c r="C123">
        <f>IF($A123="","",COUNTIFS('Таблиця 1'!$B:$B,$A123,'Таблиця 1'!$E:$E,"Арт. Системи",'Таблиця 1'!$L:$L,"Уражено"))</f>
        <v/>
      </c>
      <c r="D123">
        <f>IF($A123="","",COUNTIFS('Таблиця 1'!$B:$B,$A123,'Таблиця 1'!$E:$E,"ОВТ",'Таблиця 1'!$L:$L,"Уражено"))</f>
        <v/>
      </c>
      <c r="E123">
        <f>IF($A123="","",COUNTIFS('Таблиця 1'!$B:$B,$A123,'Таблиця 1'!$E:$E,"ППО",'Таблиця 1'!$L:$L,"Уражено"))</f>
        <v/>
      </c>
      <c r="F123">
        <f>IF($A123="","",COUNTIFS('Таблиця 1'!$B:$B,$A123,'Таблиця 1'!$E:$E,"Рембаза",'Таблиця 1'!$L:$L,"Уражено"))</f>
        <v/>
      </c>
      <c r="G123">
        <f>IF($A123="","",COUNTIFS('Таблиця 1'!$B:$B,$A123,'Таблиця 1'!$E:$E,"Склад БК",'Таблиця 1'!$L:$L,"Уражено"))</f>
        <v/>
      </c>
      <c r="H123">
        <f>IF($A123="","",COUNTIFS('Таблиця 1'!$B:$B,$A123,'Таблиця 1'!$E:$E,"Склад ВТМ",'Таблиця 1'!$L:$L,"Уражено"))</f>
        <v/>
      </c>
      <c r="I123">
        <f>IF($A123="","",COUNTIFS('Таблиця 1'!$B:$B,$A123,'Таблиця 1'!$E:$E,"ПУ БпЛА",'Таблиця 1'!$L:$L,"Уражено"))</f>
        <v/>
      </c>
      <c r="J123">
        <f>IF($A123="","",COUNTIFS('Таблиця 1'!$B:$B,$A123,'Таблиця 1'!$E:$E,"СП",'Таблиця 1'!$L:$L,"Уражено"))</f>
        <v/>
      </c>
      <c r="K123">
        <f>IF($A123="","",COUNTIFS('Таблиця 1'!$B:$B,$A123,'Таблиця 1'!$E:$E,"КСП роти",'Таблиця 1'!$L:$L,"Уражено"))</f>
        <v/>
      </c>
      <c r="L123">
        <f>IF($A123="","",COUNTIFS('Таблиця 1'!$B:$B,$A123,'Таблиця 1'!$E:$E,"ПУ бат",'Таблиця 1'!$L:$L,"Уражено"))</f>
        <v/>
      </c>
      <c r="M123">
        <f>IF($A123="","",COUNTIFS('Таблиця 1'!$B:$B,$A123,'Таблиця 1'!$E:$E,"ПУ бриг",'Таблиця 1'!$L:$L,"Уражено"))</f>
        <v/>
      </c>
      <c r="N123">
        <f>IF($A123="","",COUNTIFS('Таблиця 1'!$B:$B,$A123,'Таблиця 1'!$E:$E,"ПУ див",'Таблиця 1'!$L:$L,"Уражено"))</f>
        <v/>
      </c>
      <c r="O123">
        <f>IF($A123="","",COUNTIFS('Таблиця 1'!$B:$B,$A123,'Таблиця 1'!$E:$E,"обл. РЕБ",'Таблиця 1'!$L:$L,"Уражено"))</f>
        <v/>
      </c>
      <c r="P123">
        <f>IF($A123="","",COUNTIFS('Таблиця 1'!$B:$B,$A123,'Таблиця 1'!$E:$E,"пос РЕБ",'Таблиця 1'!$L:$L,"Уражено"))</f>
        <v/>
      </c>
      <c r="Q123">
        <f>IF($A123="","",COUNTIFS('Таблиця 1'!$B:$B,$A123,'Таблиця 1'!$E:$E,"група РЕР",'Таблиця 1'!$L:$L,"Уражено"))</f>
        <v/>
      </c>
      <c r="R123">
        <f>IF($A123="","",COUNTIFS('Таблиця 1'!$B:$B,$A123,'Таблиця 1'!$E:$E,"РЛС КББ",'Таблиця 1'!$L:$L,"Уражено"))</f>
        <v/>
      </c>
      <c r="S123">
        <f>IF($A123="","",COUNTIFS('Таблиця 1'!$B:$B,$A123,'Таблиця 1'!$E:$E,"Ретранслятор",'Таблиця 1'!$L:$L,"Уражено"))</f>
        <v/>
      </c>
      <c r="T123">
        <f>IF($A123="","",COUNTIFS('Таблиця 1'!$B:$B,$A123,'Таблиця 1'!$E:$E,"Вз.зв'язку",'Таблиця 1'!$L:$L,"Уражено"))</f>
        <v/>
      </c>
      <c r="U123">
        <f>IF($A123="","",COUNTIFS('Таблиця 1'!$B:$B,$A123,'Таблиця 1'!$E:$E,"ПММ",'Таблиця 1'!$L:$L,"Уражено"))</f>
        <v/>
      </c>
      <c r="V123">
        <f>IF($A123="","",COUNTIFS('Таблиця 1'!$B:$B,$A123,'Таблиця 1'!$E:$E,"ІФС",'Таблиця 1'!$L:$L,"Уражено"))</f>
        <v/>
      </c>
      <c r="W123">
        <f>IF($A123="","",COUNTIFS('Таблиця 1'!$B:$B,$A123,'Таблиця 1'!$E:$E,"Інфраструктура",'Таблиця 1'!$L:$L,"Уражено"))</f>
        <v/>
      </c>
      <c r="X123">
        <f>IF($A123="","",SUMIFS('Таблиця 1'!$K:$K,'Таблиця 1'!$B:$B,$A123))</f>
        <v/>
      </c>
    </row>
    <row r="124">
      <c r="A124" s="81">
        <f>IF(A123="","",IF(A123+1&gt;MAX('Таблиця 1'!$B:$B),"",A123+1))</f>
        <v/>
      </c>
      <c r="B124">
        <f>IF($A124="","",COUNTIFS('Таблиця 1'!$B:$B,$A124,'Таблиця 1'!$E:$E,"ЖС ВЗ",'Таблиця 1'!$L:$L,"Уражено"))</f>
        <v/>
      </c>
      <c r="C124">
        <f>IF($A124="","",COUNTIFS('Таблиця 1'!$B:$B,$A124,'Таблиця 1'!$E:$E,"Арт. Системи",'Таблиця 1'!$L:$L,"Уражено"))</f>
        <v/>
      </c>
      <c r="D124">
        <f>IF($A124="","",COUNTIFS('Таблиця 1'!$B:$B,$A124,'Таблиця 1'!$E:$E,"ОВТ",'Таблиця 1'!$L:$L,"Уражено"))</f>
        <v/>
      </c>
      <c r="E124">
        <f>IF($A124="","",COUNTIFS('Таблиця 1'!$B:$B,$A124,'Таблиця 1'!$E:$E,"ППО",'Таблиця 1'!$L:$L,"Уражено"))</f>
        <v/>
      </c>
      <c r="F124">
        <f>IF($A124="","",COUNTIFS('Таблиця 1'!$B:$B,$A124,'Таблиця 1'!$E:$E,"Рембаза",'Таблиця 1'!$L:$L,"Уражено"))</f>
        <v/>
      </c>
      <c r="G124">
        <f>IF($A124="","",COUNTIFS('Таблиця 1'!$B:$B,$A124,'Таблиця 1'!$E:$E,"Склад БК",'Таблиця 1'!$L:$L,"Уражено"))</f>
        <v/>
      </c>
      <c r="H124">
        <f>IF($A124="","",COUNTIFS('Таблиця 1'!$B:$B,$A124,'Таблиця 1'!$E:$E,"Склад ВТМ",'Таблиця 1'!$L:$L,"Уражено"))</f>
        <v/>
      </c>
      <c r="I124">
        <f>IF($A124="","",COUNTIFS('Таблиця 1'!$B:$B,$A124,'Таблиця 1'!$E:$E,"ПУ БпЛА",'Таблиця 1'!$L:$L,"Уражено"))</f>
        <v/>
      </c>
      <c r="J124">
        <f>IF($A124="","",COUNTIFS('Таблиця 1'!$B:$B,$A124,'Таблиця 1'!$E:$E,"СП",'Таблиця 1'!$L:$L,"Уражено"))</f>
        <v/>
      </c>
      <c r="K124">
        <f>IF($A124="","",COUNTIFS('Таблиця 1'!$B:$B,$A124,'Таблиця 1'!$E:$E,"КСП роти",'Таблиця 1'!$L:$L,"Уражено"))</f>
        <v/>
      </c>
      <c r="L124">
        <f>IF($A124="","",COUNTIFS('Таблиця 1'!$B:$B,$A124,'Таблиця 1'!$E:$E,"ПУ бат",'Таблиця 1'!$L:$L,"Уражено"))</f>
        <v/>
      </c>
      <c r="M124">
        <f>IF($A124="","",COUNTIFS('Таблиця 1'!$B:$B,$A124,'Таблиця 1'!$E:$E,"ПУ бриг",'Таблиця 1'!$L:$L,"Уражено"))</f>
        <v/>
      </c>
      <c r="N124">
        <f>IF($A124="","",COUNTIFS('Таблиця 1'!$B:$B,$A124,'Таблиця 1'!$E:$E,"ПУ див",'Таблиця 1'!$L:$L,"Уражено"))</f>
        <v/>
      </c>
      <c r="O124">
        <f>IF($A124="","",COUNTIFS('Таблиця 1'!$B:$B,$A124,'Таблиця 1'!$E:$E,"обл. РЕБ",'Таблиця 1'!$L:$L,"Уражено"))</f>
        <v/>
      </c>
      <c r="P124">
        <f>IF($A124="","",COUNTIFS('Таблиця 1'!$B:$B,$A124,'Таблиця 1'!$E:$E,"пос РЕБ",'Таблиця 1'!$L:$L,"Уражено"))</f>
        <v/>
      </c>
      <c r="Q124">
        <f>IF($A124="","",COUNTIFS('Таблиця 1'!$B:$B,$A124,'Таблиця 1'!$E:$E,"група РЕР",'Таблиця 1'!$L:$L,"Уражено"))</f>
        <v/>
      </c>
      <c r="R124">
        <f>IF($A124="","",COUNTIFS('Таблиця 1'!$B:$B,$A124,'Таблиця 1'!$E:$E,"РЛС КББ",'Таблиця 1'!$L:$L,"Уражено"))</f>
        <v/>
      </c>
      <c r="S124">
        <f>IF($A124="","",COUNTIFS('Таблиця 1'!$B:$B,$A124,'Таблиця 1'!$E:$E,"Ретранслятор",'Таблиця 1'!$L:$L,"Уражено"))</f>
        <v/>
      </c>
      <c r="T124">
        <f>IF($A124="","",COUNTIFS('Таблиця 1'!$B:$B,$A124,'Таблиця 1'!$E:$E,"Вз.зв'язку",'Таблиця 1'!$L:$L,"Уражено"))</f>
        <v/>
      </c>
      <c r="U124">
        <f>IF($A124="","",COUNTIFS('Таблиця 1'!$B:$B,$A124,'Таблиця 1'!$E:$E,"ПММ",'Таблиця 1'!$L:$L,"Уражено"))</f>
        <v/>
      </c>
      <c r="V124">
        <f>IF($A124="","",COUNTIFS('Таблиця 1'!$B:$B,$A124,'Таблиця 1'!$E:$E,"ІФС",'Таблиця 1'!$L:$L,"Уражено"))</f>
        <v/>
      </c>
      <c r="W124">
        <f>IF($A124="","",COUNTIFS('Таблиця 1'!$B:$B,$A124,'Таблиця 1'!$E:$E,"Інфраструктура",'Таблиця 1'!$L:$L,"Уражено"))</f>
        <v/>
      </c>
      <c r="X124">
        <f>IF($A124="","",SUMIFS('Таблиця 1'!$K:$K,'Таблиця 1'!$B:$B,$A124))</f>
        <v/>
      </c>
    </row>
    <row r="125">
      <c r="A125" s="81">
        <f>IF(A124="","",IF(A124+1&gt;MAX('Таблиця 1'!$B:$B),"",A124+1))</f>
        <v/>
      </c>
      <c r="B125">
        <f>IF($A125="","",COUNTIFS('Таблиця 1'!$B:$B,$A125,'Таблиця 1'!$E:$E,"ЖС ВЗ",'Таблиця 1'!$L:$L,"Уражено"))</f>
        <v/>
      </c>
      <c r="C125">
        <f>IF($A125="","",COUNTIFS('Таблиця 1'!$B:$B,$A125,'Таблиця 1'!$E:$E,"Арт. Системи",'Таблиця 1'!$L:$L,"Уражено"))</f>
        <v/>
      </c>
      <c r="D125">
        <f>IF($A125="","",COUNTIFS('Таблиця 1'!$B:$B,$A125,'Таблиця 1'!$E:$E,"ОВТ",'Таблиця 1'!$L:$L,"Уражено"))</f>
        <v/>
      </c>
      <c r="E125">
        <f>IF($A125="","",COUNTIFS('Таблиця 1'!$B:$B,$A125,'Таблиця 1'!$E:$E,"ППО",'Таблиця 1'!$L:$L,"Уражено"))</f>
        <v/>
      </c>
      <c r="F125">
        <f>IF($A125="","",COUNTIFS('Таблиця 1'!$B:$B,$A125,'Таблиця 1'!$E:$E,"Рембаза",'Таблиця 1'!$L:$L,"Уражено"))</f>
        <v/>
      </c>
      <c r="G125">
        <f>IF($A125="","",COUNTIFS('Таблиця 1'!$B:$B,$A125,'Таблиця 1'!$E:$E,"Склад БК",'Таблиця 1'!$L:$L,"Уражено"))</f>
        <v/>
      </c>
      <c r="H125">
        <f>IF($A125="","",COUNTIFS('Таблиця 1'!$B:$B,$A125,'Таблиця 1'!$E:$E,"Склад ВТМ",'Таблиця 1'!$L:$L,"Уражено"))</f>
        <v/>
      </c>
      <c r="I125">
        <f>IF($A125="","",COUNTIFS('Таблиця 1'!$B:$B,$A125,'Таблиця 1'!$E:$E,"ПУ БпЛА",'Таблиця 1'!$L:$L,"Уражено"))</f>
        <v/>
      </c>
      <c r="J125">
        <f>IF($A125="","",COUNTIFS('Таблиця 1'!$B:$B,$A125,'Таблиця 1'!$E:$E,"СП",'Таблиця 1'!$L:$L,"Уражено"))</f>
        <v/>
      </c>
      <c r="K125">
        <f>IF($A125="","",COUNTIFS('Таблиця 1'!$B:$B,$A125,'Таблиця 1'!$E:$E,"КСП роти",'Таблиця 1'!$L:$L,"Уражено"))</f>
        <v/>
      </c>
      <c r="L125">
        <f>IF($A125="","",COUNTIFS('Таблиця 1'!$B:$B,$A125,'Таблиця 1'!$E:$E,"ПУ бат",'Таблиця 1'!$L:$L,"Уражено"))</f>
        <v/>
      </c>
      <c r="M125">
        <f>IF($A125="","",COUNTIFS('Таблиця 1'!$B:$B,$A125,'Таблиця 1'!$E:$E,"ПУ бриг",'Таблиця 1'!$L:$L,"Уражено"))</f>
        <v/>
      </c>
      <c r="N125">
        <f>IF($A125="","",COUNTIFS('Таблиця 1'!$B:$B,$A125,'Таблиця 1'!$E:$E,"ПУ див",'Таблиця 1'!$L:$L,"Уражено"))</f>
        <v/>
      </c>
      <c r="O125">
        <f>IF($A125="","",COUNTIFS('Таблиця 1'!$B:$B,$A125,'Таблиця 1'!$E:$E,"обл. РЕБ",'Таблиця 1'!$L:$L,"Уражено"))</f>
        <v/>
      </c>
      <c r="P125">
        <f>IF($A125="","",COUNTIFS('Таблиця 1'!$B:$B,$A125,'Таблиця 1'!$E:$E,"пос РЕБ",'Таблиця 1'!$L:$L,"Уражено"))</f>
        <v/>
      </c>
      <c r="Q125">
        <f>IF($A125="","",COUNTIFS('Таблиця 1'!$B:$B,$A125,'Таблиця 1'!$E:$E,"група РЕР",'Таблиця 1'!$L:$L,"Уражено"))</f>
        <v/>
      </c>
      <c r="R125">
        <f>IF($A125="","",COUNTIFS('Таблиця 1'!$B:$B,$A125,'Таблиця 1'!$E:$E,"РЛС КББ",'Таблиця 1'!$L:$L,"Уражено"))</f>
        <v/>
      </c>
      <c r="S125">
        <f>IF($A125="","",COUNTIFS('Таблиця 1'!$B:$B,$A125,'Таблиця 1'!$E:$E,"Ретранслятор",'Таблиця 1'!$L:$L,"Уражено"))</f>
        <v/>
      </c>
      <c r="T125">
        <f>IF($A125="","",COUNTIFS('Таблиця 1'!$B:$B,$A125,'Таблиця 1'!$E:$E,"Вз.зв'язку",'Таблиця 1'!$L:$L,"Уражено"))</f>
        <v/>
      </c>
      <c r="U125">
        <f>IF($A125="","",COUNTIFS('Таблиця 1'!$B:$B,$A125,'Таблиця 1'!$E:$E,"ПММ",'Таблиця 1'!$L:$L,"Уражено"))</f>
        <v/>
      </c>
      <c r="V125">
        <f>IF($A125="","",COUNTIFS('Таблиця 1'!$B:$B,$A125,'Таблиця 1'!$E:$E,"ІФС",'Таблиця 1'!$L:$L,"Уражено"))</f>
        <v/>
      </c>
      <c r="W125">
        <f>IF($A125="","",COUNTIFS('Таблиця 1'!$B:$B,$A125,'Таблиця 1'!$E:$E,"Інфраструктура",'Таблиця 1'!$L:$L,"Уражено"))</f>
        <v/>
      </c>
      <c r="X125">
        <f>IF($A125="","",SUMIFS('Таблиця 1'!$K:$K,'Таблиця 1'!$B:$B,$A125))</f>
        <v/>
      </c>
    </row>
    <row r="126">
      <c r="A126" s="81">
        <f>IF(A125="","",IF(A125+1&gt;MAX('Таблиця 1'!$B:$B),"",A125+1))</f>
        <v/>
      </c>
      <c r="B126">
        <f>IF($A126="","",COUNTIFS('Таблиця 1'!$B:$B,$A126,'Таблиця 1'!$E:$E,"ЖС ВЗ",'Таблиця 1'!$L:$L,"Уражено"))</f>
        <v/>
      </c>
      <c r="C126">
        <f>IF($A126="","",COUNTIFS('Таблиця 1'!$B:$B,$A126,'Таблиця 1'!$E:$E,"Арт. Системи",'Таблиця 1'!$L:$L,"Уражено"))</f>
        <v/>
      </c>
      <c r="D126">
        <f>IF($A126="","",COUNTIFS('Таблиця 1'!$B:$B,$A126,'Таблиця 1'!$E:$E,"ОВТ",'Таблиця 1'!$L:$L,"Уражено"))</f>
        <v/>
      </c>
      <c r="E126">
        <f>IF($A126="","",COUNTIFS('Таблиця 1'!$B:$B,$A126,'Таблиця 1'!$E:$E,"ППО",'Таблиця 1'!$L:$L,"Уражено"))</f>
        <v/>
      </c>
      <c r="F126">
        <f>IF($A126="","",COUNTIFS('Таблиця 1'!$B:$B,$A126,'Таблиця 1'!$E:$E,"Рембаза",'Таблиця 1'!$L:$L,"Уражено"))</f>
        <v/>
      </c>
      <c r="G126">
        <f>IF($A126="","",COUNTIFS('Таблиця 1'!$B:$B,$A126,'Таблиця 1'!$E:$E,"Склад БК",'Таблиця 1'!$L:$L,"Уражено"))</f>
        <v/>
      </c>
      <c r="H126">
        <f>IF($A126="","",COUNTIFS('Таблиця 1'!$B:$B,$A126,'Таблиця 1'!$E:$E,"Склад ВТМ",'Таблиця 1'!$L:$L,"Уражено"))</f>
        <v/>
      </c>
      <c r="I126">
        <f>IF($A126="","",COUNTIFS('Таблиця 1'!$B:$B,$A126,'Таблиця 1'!$E:$E,"ПУ БпЛА",'Таблиця 1'!$L:$L,"Уражено"))</f>
        <v/>
      </c>
      <c r="J126">
        <f>IF($A126="","",COUNTIFS('Таблиця 1'!$B:$B,$A126,'Таблиця 1'!$E:$E,"СП",'Таблиця 1'!$L:$L,"Уражено"))</f>
        <v/>
      </c>
      <c r="K126">
        <f>IF($A126="","",COUNTIFS('Таблиця 1'!$B:$B,$A126,'Таблиця 1'!$E:$E,"КСП роти",'Таблиця 1'!$L:$L,"Уражено"))</f>
        <v/>
      </c>
      <c r="L126">
        <f>IF($A126="","",COUNTIFS('Таблиця 1'!$B:$B,$A126,'Таблиця 1'!$E:$E,"ПУ бат",'Таблиця 1'!$L:$L,"Уражено"))</f>
        <v/>
      </c>
      <c r="M126">
        <f>IF($A126="","",COUNTIFS('Таблиця 1'!$B:$B,$A126,'Таблиця 1'!$E:$E,"ПУ бриг",'Таблиця 1'!$L:$L,"Уражено"))</f>
        <v/>
      </c>
      <c r="N126">
        <f>IF($A126="","",COUNTIFS('Таблиця 1'!$B:$B,$A126,'Таблиця 1'!$E:$E,"ПУ див",'Таблиця 1'!$L:$L,"Уражено"))</f>
        <v/>
      </c>
      <c r="O126">
        <f>IF($A126="","",COUNTIFS('Таблиця 1'!$B:$B,$A126,'Таблиця 1'!$E:$E,"обл. РЕБ",'Таблиця 1'!$L:$L,"Уражено"))</f>
        <v/>
      </c>
      <c r="P126">
        <f>IF($A126="","",COUNTIFS('Таблиця 1'!$B:$B,$A126,'Таблиця 1'!$E:$E,"пос РЕБ",'Таблиця 1'!$L:$L,"Уражено"))</f>
        <v/>
      </c>
      <c r="Q126">
        <f>IF($A126="","",COUNTIFS('Таблиця 1'!$B:$B,$A126,'Таблиця 1'!$E:$E,"група РЕР",'Таблиця 1'!$L:$L,"Уражено"))</f>
        <v/>
      </c>
      <c r="R126">
        <f>IF($A126="","",COUNTIFS('Таблиця 1'!$B:$B,$A126,'Таблиця 1'!$E:$E,"РЛС КББ",'Таблиця 1'!$L:$L,"Уражено"))</f>
        <v/>
      </c>
      <c r="S126">
        <f>IF($A126="","",COUNTIFS('Таблиця 1'!$B:$B,$A126,'Таблиця 1'!$E:$E,"Ретранслятор",'Таблиця 1'!$L:$L,"Уражено"))</f>
        <v/>
      </c>
      <c r="T126">
        <f>IF($A126="","",COUNTIFS('Таблиця 1'!$B:$B,$A126,'Таблиця 1'!$E:$E,"Вз.зв'язку",'Таблиця 1'!$L:$L,"Уражено"))</f>
        <v/>
      </c>
      <c r="U126">
        <f>IF($A126="","",COUNTIFS('Таблиця 1'!$B:$B,$A126,'Таблиця 1'!$E:$E,"ПММ",'Таблиця 1'!$L:$L,"Уражено"))</f>
        <v/>
      </c>
      <c r="V126">
        <f>IF($A126="","",COUNTIFS('Таблиця 1'!$B:$B,$A126,'Таблиця 1'!$E:$E,"ІФС",'Таблиця 1'!$L:$L,"Уражено"))</f>
        <v/>
      </c>
      <c r="W126">
        <f>IF($A126="","",COUNTIFS('Таблиця 1'!$B:$B,$A126,'Таблиця 1'!$E:$E,"Інфраструктура",'Таблиця 1'!$L:$L,"Уражено"))</f>
        <v/>
      </c>
      <c r="X126">
        <f>IF($A126="","",SUMIFS('Таблиця 1'!$K:$K,'Таблиця 1'!$B:$B,$A126))</f>
        <v/>
      </c>
    </row>
    <row r="127">
      <c r="A127" s="81">
        <f>IF(A126="","",IF(A126+1&gt;MAX('Таблиця 1'!$B:$B),"",A126+1))</f>
        <v/>
      </c>
      <c r="B127">
        <f>IF($A127="","",COUNTIFS('Таблиця 1'!$B:$B,$A127,'Таблиця 1'!$E:$E,"ЖС ВЗ",'Таблиця 1'!$L:$L,"Уражено"))</f>
        <v/>
      </c>
      <c r="C127">
        <f>IF($A127="","",COUNTIFS('Таблиця 1'!$B:$B,$A127,'Таблиця 1'!$E:$E,"Арт. Системи",'Таблиця 1'!$L:$L,"Уражено"))</f>
        <v/>
      </c>
      <c r="D127">
        <f>IF($A127="","",COUNTIFS('Таблиця 1'!$B:$B,$A127,'Таблиця 1'!$E:$E,"ОВТ",'Таблиця 1'!$L:$L,"Уражено"))</f>
        <v/>
      </c>
      <c r="E127">
        <f>IF($A127="","",COUNTIFS('Таблиця 1'!$B:$B,$A127,'Таблиця 1'!$E:$E,"ППО",'Таблиця 1'!$L:$L,"Уражено"))</f>
        <v/>
      </c>
      <c r="F127">
        <f>IF($A127="","",COUNTIFS('Таблиця 1'!$B:$B,$A127,'Таблиця 1'!$E:$E,"Рембаза",'Таблиця 1'!$L:$L,"Уражено"))</f>
        <v/>
      </c>
      <c r="G127">
        <f>IF($A127="","",COUNTIFS('Таблиця 1'!$B:$B,$A127,'Таблиця 1'!$E:$E,"Склад БК",'Таблиця 1'!$L:$L,"Уражено"))</f>
        <v/>
      </c>
      <c r="H127">
        <f>IF($A127="","",COUNTIFS('Таблиця 1'!$B:$B,$A127,'Таблиця 1'!$E:$E,"Склад ВТМ",'Таблиця 1'!$L:$L,"Уражено"))</f>
        <v/>
      </c>
      <c r="I127">
        <f>IF($A127="","",COUNTIFS('Таблиця 1'!$B:$B,$A127,'Таблиця 1'!$E:$E,"ПУ БпЛА",'Таблиця 1'!$L:$L,"Уражено"))</f>
        <v/>
      </c>
      <c r="J127">
        <f>IF($A127="","",COUNTIFS('Таблиця 1'!$B:$B,$A127,'Таблиця 1'!$E:$E,"СП",'Таблиця 1'!$L:$L,"Уражено"))</f>
        <v/>
      </c>
      <c r="K127">
        <f>IF($A127="","",COUNTIFS('Таблиця 1'!$B:$B,$A127,'Таблиця 1'!$E:$E,"КСП роти",'Таблиця 1'!$L:$L,"Уражено"))</f>
        <v/>
      </c>
      <c r="L127">
        <f>IF($A127="","",COUNTIFS('Таблиця 1'!$B:$B,$A127,'Таблиця 1'!$E:$E,"ПУ бат",'Таблиця 1'!$L:$L,"Уражено"))</f>
        <v/>
      </c>
      <c r="M127">
        <f>IF($A127="","",COUNTIFS('Таблиця 1'!$B:$B,$A127,'Таблиця 1'!$E:$E,"ПУ бриг",'Таблиця 1'!$L:$L,"Уражено"))</f>
        <v/>
      </c>
      <c r="N127">
        <f>IF($A127="","",COUNTIFS('Таблиця 1'!$B:$B,$A127,'Таблиця 1'!$E:$E,"ПУ див",'Таблиця 1'!$L:$L,"Уражено"))</f>
        <v/>
      </c>
      <c r="O127">
        <f>IF($A127="","",COUNTIFS('Таблиця 1'!$B:$B,$A127,'Таблиця 1'!$E:$E,"обл. РЕБ",'Таблиця 1'!$L:$L,"Уражено"))</f>
        <v/>
      </c>
      <c r="P127">
        <f>IF($A127="","",COUNTIFS('Таблиця 1'!$B:$B,$A127,'Таблиця 1'!$E:$E,"пос РЕБ",'Таблиця 1'!$L:$L,"Уражено"))</f>
        <v/>
      </c>
      <c r="Q127">
        <f>IF($A127="","",COUNTIFS('Таблиця 1'!$B:$B,$A127,'Таблиця 1'!$E:$E,"група РЕР",'Таблиця 1'!$L:$L,"Уражено"))</f>
        <v/>
      </c>
      <c r="R127">
        <f>IF($A127="","",COUNTIFS('Таблиця 1'!$B:$B,$A127,'Таблиця 1'!$E:$E,"РЛС КББ",'Таблиця 1'!$L:$L,"Уражено"))</f>
        <v/>
      </c>
      <c r="S127">
        <f>IF($A127="","",COUNTIFS('Таблиця 1'!$B:$B,$A127,'Таблиця 1'!$E:$E,"Ретранслятор",'Таблиця 1'!$L:$L,"Уражено"))</f>
        <v/>
      </c>
      <c r="T127">
        <f>IF($A127="","",COUNTIFS('Таблиця 1'!$B:$B,$A127,'Таблиця 1'!$E:$E,"Вз.зв'язку",'Таблиця 1'!$L:$L,"Уражено"))</f>
        <v/>
      </c>
      <c r="U127">
        <f>IF($A127="","",COUNTIFS('Таблиця 1'!$B:$B,$A127,'Таблиця 1'!$E:$E,"ПММ",'Таблиця 1'!$L:$L,"Уражено"))</f>
        <v/>
      </c>
      <c r="V127">
        <f>IF($A127="","",COUNTIFS('Таблиця 1'!$B:$B,$A127,'Таблиця 1'!$E:$E,"ІФС",'Таблиця 1'!$L:$L,"Уражено"))</f>
        <v/>
      </c>
      <c r="W127">
        <f>IF($A127="","",COUNTIFS('Таблиця 1'!$B:$B,$A127,'Таблиця 1'!$E:$E,"Інфраструктура",'Таблиця 1'!$L:$L,"Уражено"))</f>
        <v/>
      </c>
      <c r="X127">
        <f>IF($A127="","",SUMIFS('Таблиця 1'!$K:$K,'Таблиця 1'!$B:$B,$A127))</f>
        <v/>
      </c>
    </row>
    <row r="128">
      <c r="A128" s="81">
        <f>IF(A127="","",IF(A127+1&gt;MAX('Таблиця 1'!$B:$B),"",A127+1))</f>
        <v/>
      </c>
      <c r="B128">
        <f>IF($A128="","",COUNTIFS('Таблиця 1'!$B:$B,$A128,'Таблиця 1'!$E:$E,"ЖС ВЗ",'Таблиця 1'!$L:$L,"Уражено"))</f>
        <v/>
      </c>
      <c r="C128">
        <f>IF($A128="","",COUNTIFS('Таблиця 1'!$B:$B,$A128,'Таблиця 1'!$E:$E,"Арт. Системи",'Таблиця 1'!$L:$L,"Уражено"))</f>
        <v/>
      </c>
      <c r="D128">
        <f>IF($A128="","",COUNTIFS('Таблиця 1'!$B:$B,$A128,'Таблиця 1'!$E:$E,"ОВТ",'Таблиця 1'!$L:$L,"Уражено"))</f>
        <v/>
      </c>
      <c r="E128">
        <f>IF($A128="","",COUNTIFS('Таблиця 1'!$B:$B,$A128,'Таблиця 1'!$E:$E,"ППО",'Таблиця 1'!$L:$L,"Уражено"))</f>
        <v/>
      </c>
      <c r="F128">
        <f>IF($A128="","",COUNTIFS('Таблиця 1'!$B:$B,$A128,'Таблиця 1'!$E:$E,"Рембаза",'Таблиця 1'!$L:$L,"Уражено"))</f>
        <v/>
      </c>
      <c r="G128">
        <f>IF($A128="","",COUNTIFS('Таблиця 1'!$B:$B,$A128,'Таблиця 1'!$E:$E,"Склад БК",'Таблиця 1'!$L:$L,"Уражено"))</f>
        <v/>
      </c>
      <c r="H128">
        <f>IF($A128="","",COUNTIFS('Таблиця 1'!$B:$B,$A128,'Таблиця 1'!$E:$E,"Склад ВТМ",'Таблиця 1'!$L:$L,"Уражено"))</f>
        <v/>
      </c>
      <c r="I128">
        <f>IF($A128="","",COUNTIFS('Таблиця 1'!$B:$B,$A128,'Таблиця 1'!$E:$E,"ПУ БпЛА",'Таблиця 1'!$L:$L,"Уражено"))</f>
        <v/>
      </c>
      <c r="J128">
        <f>IF($A128="","",COUNTIFS('Таблиця 1'!$B:$B,$A128,'Таблиця 1'!$E:$E,"СП",'Таблиця 1'!$L:$L,"Уражено"))</f>
        <v/>
      </c>
      <c r="K128">
        <f>IF($A128="","",COUNTIFS('Таблиця 1'!$B:$B,$A128,'Таблиця 1'!$E:$E,"КСП роти",'Таблиця 1'!$L:$L,"Уражено"))</f>
        <v/>
      </c>
      <c r="L128">
        <f>IF($A128="","",COUNTIFS('Таблиця 1'!$B:$B,$A128,'Таблиця 1'!$E:$E,"ПУ бат",'Таблиця 1'!$L:$L,"Уражено"))</f>
        <v/>
      </c>
      <c r="M128">
        <f>IF($A128="","",COUNTIFS('Таблиця 1'!$B:$B,$A128,'Таблиця 1'!$E:$E,"ПУ бриг",'Таблиця 1'!$L:$L,"Уражено"))</f>
        <v/>
      </c>
      <c r="N128">
        <f>IF($A128="","",COUNTIFS('Таблиця 1'!$B:$B,$A128,'Таблиця 1'!$E:$E,"ПУ див",'Таблиця 1'!$L:$L,"Уражено"))</f>
        <v/>
      </c>
      <c r="O128">
        <f>IF($A128="","",COUNTIFS('Таблиця 1'!$B:$B,$A128,'Таблиця 1'!$E:$E,"обл. РЕБ",'Таблиця 1'!$L:$L,"Уражено"))</f>
        <v/>
      </c>
      <c r="P128">
        <f>IF($A128="","",COUNTIFS('Таблиця 1'!$B:$B,$A128,'Таблиця 1'!$E:$E,"пос РЕБ",'Таблиця 1'!$L:$L,"Уражено"))</f>
        <v/>
      </c>
      <c r="Q128">
        <f>IF($A128="","",COUNTIFS('Таблиця 1'!$B:$B,$A128,'Таблиця 1'!$E:$E,"група РЕР",'Таблиця 1'!$L:$L,"Уражено"))</f>
        <v/>
      </c>
      <c r="R128">
        <f>IF($A128="","",COUNTIFS('Таблиця 1'!$B:$B,$A128,'Таблиця 1'!$E:$E,"РЛС КББ",'Таблиця 1'!$L:$L,"Уражено"))</f>
        <v/>
      </c>
      <c r="S128">
        <f>IF($A128="","",COUNTIFS('Таблиця 1'!$B:$B,$A128,'Таблиця 1'!$E:$E,"Ретранслятор",'Таблиця 1'!$L:$L,"Уражено"))</f>
        <v/>
      </c>
      <c r="T128">
        <f>IF($A128="","",COUNTIFS('Таблиця 1'!$B:$B,$A128,'Таблиця 1'!$E:$E,"Вз.зв'язку",'Таблиця 1'!$L:$L,"Уражено"))</f>
        <v/>
      </c>
      <c r="U128">
        <f>IF($A128="","",COUNTIFS('Таблиця 1'!$B:$B,$A128,'Таблиця 1'!$E:$E,"ПММ",'Таблиця 1'!$L:$L,"Уражено"))</f>
        <v/>
      </c>
      <c r="V128">
        <f>IF($A128="","",COUNTIFS('Таблиця 1'!$B:$B,$A128,'Таблиця 1'!$E:$E,"ІФС",'Таблиця 1'!$L:$L,"Уражено"))</f>
        <v/>
      </c>
      <c r="W128">
        <f>IF($A128="","",COUNTIFS('Таблиця 1'!$B:$B,$A128,'Таблиця 1'!$E:$E,"Інфраструктура",'Таблиця 1'!$L:$L,"Уражено"))</f>
        <v/>
      </c>
      <c r="X128">
        <f>IF($A128="","",SUMIFS('Таблиця 1'!$K:$K,'Таблиця 1'!$B:$B,$A128))</f>
        <v/>
      </c>
    </row>
    <row r="129">
      <c r="A129" s="81">
        <f>IF(A128="","",IF(A128+1&gt;MAX('Таблиця 1'!$B:$B),"",A128+1))</f>
        <v/>
      </c>
      <c r="B129">
        <f>IF($A129="","",COUNTIFS('Таблиця 1'!$B:$B,$A129,'Таблиця 1'!$E:$E,"ЖС ВЗ",'Таблиця 1'!$L:$L,"Уражено"))</f>
        <v/>
      </c>
      <c r="C129">
        <f>IF($A129="","",COUNTIFS('Таблиця 1'!$B:$B,$A129,'Таблиця 1'!$E:$E,"Арт. Системи",'Таблиця 1'!$L:$L,"Уражено"))</f>
        <v/>
      </c>
      <c r="D129">
        <f>IF($A129="","",COUNTIFS('Таблиця 1'!$B:$B,$A129,'Таблиця 1'!$E:$E,"ОВТ",'Таблиця 1'!$L:$L,"Уражено"))</f>
        <v/>
      </c>
      <c r="E129">
        <f>IF($A129="","",COUNTIFS('Таблиця 1'!$B:$B,$A129,'Таблиця 1'!$E:$E,"ППО",'Таблиця 1'!$L:$L,"Уражено"))</f>
        <v/>
      </c>
      <c r="F129">
        <f>IF($A129="","",COUNTIFS('Таблиця 1'!$B:$B,$A129,'Таблиця 1'!$E:$E,"Рембаза",'Таблиця 1'!$L:$L,"Уражено"))</f>
        <v/>
      </c>
      <c r="G129">
        <f>IF($A129="","",COUNTIFS('Таблиця 1'!$B:$B,$A129,'Таблиця 1'!$E:$E,"Склад БК",'Таблиця 1'!$L:$L,"Уражено"))</f>
        <v/>
      </c>
      <c r="H129">
        <f>IF($A129="","",COUNTIFS('Таблиця 1'!$B:$B,$A129,'Таблиця 1'!$E:$E,"Склад ВТМ",'Таблиця 1'!$L:$L,"Уражено"))</f>
        <v/>
      </c>
      <c r="I129">
        <f>IF($A129="","",COUNTIFS('Таблиця 1'!$B:$B,$A129,'Таблиця 1'!$E:$E,"ПУ БпЛА",'Таблиця 1'!$L:$L,"Уражено"))</f>
        <v/>
      </c>
      <c r="J129">
        <f>IF($A129="","",COUNTIFS('Таблиця 1'!$B:$B,$A129,'Таблиця 1'!$E:$E,"СП",'Таблиця 1'!$L:$L,"Уражено"))</f>
        <v/>
      </c>
      <c r="K129">
        <f>IF($A129="","",COUNTIFS('Таблиця 1'!$B:$B,$A129,'Таблиця 1'!$E:$E,"КСП роти",'Таблиця 1'!$L:$L,"Уражено"))</f>
        <v/>
      </c>
      <c r="L129">
        <f>IF($A129="","",COUNTIFS('Таблиця 1'!$B:$B,$A129,'Таблиця 1'!$E:$E,"ПУ бат",'Таблиця 1'!$L:$L,"Уражено"))</f>
        <v/>
      </c>
      <c r="M129">
        <f>IF($A129="","",COUNTIFS('Таблиця 1'!$B:$B,$A129,'Таблиця 1'!$E:$E,"ПУ бриг",'Таблиця 1'!$L:$L,"Уражено"))</f>
        <v/>
      </c>
      <c r="N129">
        <f>IF($A129="","",COUNTIFS('Таблиця 1'!$B:$B,$A129,'Таблиця 1'!$E:$E,"ПУ див",'Таблиця 1'!$L:$L,"Уражено"))</f>
        <v/>
      </c>
      <c r="O129">
        <f>IF($A129="","",COUNTIFS('Таблиця 1'!$B:$B,$A129,'Таблиця 1'!$E:$E,"обл. РЕБ",'Таблиця 1'!$L:$L,"Уражено"))</f>
        <v/>
      </c>
      <c r="P129">
        <f>IF($A129="","",COUNTIFS('Таблиця 1'!$B:$B,$A129,'Таблиця 1'!$E:$E,"пос РЕБ",'Таблиця 1'!$L:$L,"Уражено"))</f>
        <v/>
      </c>
      <c r="Q129">
        <f>IF($A129="","",COUNTIFS('Таблиця 1'!$B:$B,$A129,'Таблиця 1'!$E:$E,"група РЕР",'Таблиця 1'!$L:$L,"Уражено"))</f>
        <v/>
      </c>
      <c r="R129">
        <f>IF($A129="","",COUNTIFS('Таблиця 1'!$B:$B,$A129,'Таблиця 1'!$E:$E,"РЛС КББ",'Таблиця 1'!$L:$L,"Уражено"))</f>
        <v/>
      </c>
      <c r="S129">
        <f>IF($A129="","",COUNTIFS('Таблиця 1'!$B:$B,$A129,'Таблиця 1'!$E:$E,"Ретранслятор",'Таблиця 1'!$L:$L,"Уражено"))</f>
        <v/>
      </c>
      <c r="T129">
        <f>IF($A129="","",COUNTIFS('Таблиця 1'!$B:$B,$A129,'Таблиця 1'!$E:$E,"Вз.зв'язку",'Таблиця 1'!$L:$L,"Уражено"))</f>
        <v/>
      </c>
      <c r="U129">
        <f>IF($A129="","",COUNTIFS('Таблиця 1'!$B:$B,$A129,'Таблиця 1'!$E:$E,"ПММ",'Таблиця 1'!$L:$L,"Уражено"))</f>
        <v/>
      </c>
      <c r="V129">
        <f>IF($A129="","",COUNTIFS('Таблиця 1'!$B:$B,$A129,'Таблиця 1'!$E:$E,"ІФС",'Таблиця 1'!$L:$L,"Уражено"))</f>
        <v/>
      </c>
      <c r="W129">
        <f>IF($A129="","",COUNTIFS('Таблиця 1'!$B:$B,$A129,'Таблиця 1'!$E:$E,"Інфраструктура",'Таблиця 1'!$L:$L,"Уражено"))</f>
        <v/>
      </c>
      <c r="X129">
        <f>IF($A129="","",SUMIFS('Таблиця 1'!$K:$K,'Таблиця 1'!$B:$B,$A129))</f>
        <v/>
      </c>
    </row>
    <row r="130">
      <c r="A130" s="81">
        <f>IF(A129="","",IF(A129+1&gt;MAX('Таблиця 1'!$B:$B),"",A129+1))</f>
        <v/>
      </c>
      <c r="B130">
        <f>IF($A130="","",COUNTIFS('Таблиця 1'!$B:$B,$A130,'Таблиця 1'!$E:$E,"ЖС ВЗ",'Таблиця 1'!$L:$L,"Уражено"))</f>
        <v/>
      </c>
      <c r="C130">
        <f>IF($A130="","",COUNTIFS('Таблиця 1'!$B:$B,$A130,'Таблиця 1'!$E:$E,"Арт. Системи",'Таблиця 1'!$L:$L,"Уражено"))</f>
        <v/>
      </c>
      <c r="D130">
        <f>IF($A130="","",COUNTIFS('Таблиця 1'!$B:$B,$A130,'Таблиця 1'!$E:$E,"ОВТ",'Таблиця 1'!$L:$L,"Уражено"))</f>
        <v/>
      </c>
      <c r="E130">
        <f>IF($A130="","",COUNTIFS('Таблиця 1'!$B:$B,$A130,'Таблиця 1'!$E:$E,"ППО",'Таблиця 1'!$L:$L,"Уражено"))</f>
        <v/>
      </c>
      <c r="F130">
        <f>IF($A130="","",COUNTIFS('Таблиця 1'!$B:$B,$A130,'Таблиця 1'!$E:$E,"Рембаза",'Таблиця 1'!$L:$L,"Уражено"))</f>
        <v/>
      </c>
      <c r="G130">
        <f>IF($A130="","",COUNTIFS('Таблиця 1'!$B:$B,$A130,'Таблиця 1'!$E:$E,"Склад БК",'Таблиця 1'!$L:$L,"Уражено"))</f>
        <v/>
      </c>
      <c r="H130">
        <f>IF($A130="","",COUNTIFS('Таблиця 1'!$B:$B,$A130,'Таблиця 1'!$E:$E,"Склад ВТМ",'Таблиця 1'!$L:$L,"Уражено"))</f>
        <v/>
      </c>
      <c r="I130">
        <f>IF($A130="","",COUNTIFS('Таблиця 1'!$B:$B,$A130,'Таблиця 1'!$E:$E,"ПУ БпЛА",'Таблиця 1'!$L:$L,"Уражено"))</f>
        <v/>
      </c>
      <c r="J130">
        <f>IF($A130="","",COUNTIFS('Таблиця 1'!$B:$B,$A130,'Таблиця 1'!$E:$E,"СП",'Таблиця 1'!$L:$L,"Уражено"))</f>
        <v/>
      </c>
      <c r="K130">
        <f>IF($A130="","",COUNTIFS('Таблиця 1'!$B:$B,$A130,'Таблиця 1'!$E:$E,"КСП роти",'Таблиця 1'!$L:$L,"Уражено"))</f>
        <v/>
      </c>
      <c r="L130">
        <f>IF($A130="","",COUNTIFS('Таблиця 1'!$B:$B,$A130,'Таблиця 1'!$E:$E,"ПУ бат",'Таблиця 1'!$L:$L,"Уражено"))</f>
        <v/>
      </c>
      <c r="M130">
        <f>IF($A130="","",COUNTIFS('Таблиця 1'!$B:$B,$A130,'Таблиця 1'!$E:$E,"ПУ бриг",'Таблиця 1'!$L:$L,"Уражено"))</f>
        <v/>
      </c>
      <c r="N130">
        <f>IF($A130="","",COUNTIFS('Таблиця 1'!$B:$B,$A130,'Таблиця 1'!$E:$E,"ПУ див",'Таблиця 1'!$L:$L,"Уражено"))</f>
        <v/>
      </c>
      <c r="O130">
        <f>IF($A130="","",COUNTIFS('Таблиця 1'!$B:$B,$A130,'Таблиця 1'!$E:$E,"обл. РЕБ",'Таблиця 1'!$L:$L,"Уражено"))</f>
        <v/>
      </c>
      <c r="P130">
        <f>IF($A130="","",COUNTIFS('Таблиця 1'!$B:$B,$A130,'Таблиця 1'!$E:$E,"пос РЕБ",'Таблиця 1'!$L:$L,"Уражено"))</f>
        <v/>
      </c>
      <c r="Q130">
        <f>IF($A130="","",COUNTIFS('Таблиця 1'!$B:$B,$A130,'Таблиця 1'!$E:$E,"група РЕР",'Таблиця 1'!$L:$L,"Уражено"))</f>
        <v/>
      </c>
      <c r="R130">
        <f>IF($A130="","",COUNTIFS('Таблиця 1'!$B:$B,$A130,'Таблиця 1'!$E:$E,"РЛС КББ",'Таблиця 1'!$L:$L,"Уражено"))</f>
        <v/>
      </c>
      <c r="S130">
        <f>IF($A130="","",COUNTIFS('Таблиця 1'!$B:$B,$A130,'Таблиця 1'!$E:$E,"Ретранслятор",'Таблиця 1'!$L:$L,"Уражено"))</f>
        <v/>
      </c>
      <c r="T130">
        <f>IF($A130="","",COUNTIFS('Таблиця 1'!$B:$B,$A130,'Таблиця 1'!$E:$E,"Вз.зв'язку",'Таблиця 1'!$L:$L,"Уражено"))</f>
        <v/>
      </c>
      <c r="U130">
        <f>IF($A130="","",COUNTIFS('Таблиця 1'!$B:$B,$A130,'Таблиця 1'!$E:$E,"ПММ",'Таблиця 1'!$L:$L,"Уражено"))</f>
        <v/>
      </c>
      <c r="V130">
        <f>IF($A130="","",COUNTIFS('Таблиця 1'!$B:$B,$A130,'Таблиця 1'!$E:$E,"ІФС",'Таблиця 1'!$L:$L,"Уражено"))</f>
        <v/>
      </c>
      <c r="W130">
        <f>IF($A130="","",COUNTIFS('Таблиця 1'!$B:$B,$A130,'Таблиця 1'!$E:$E,"Інфраструктура",'Таблиця 1'!$L:$L,"Уражено"))</f>
        <v/>
      </c>
      <c r="X130">
        <f>IF($A130="","",SUMIFS('Таблиця 1'!$K:$K,'Таблиця 1'!$B:$B,$A130))</f>
        <v/>
      </c>
    </row>
    <row r="131">
      <c r="A131" s="81">
        <f>IF(A130="","",IF(A130+1&gt;MAX('Таблиця 1'!$B:$B),"",A130+1))</f>
        <v/>
      </c>
      <c r="B131">
        <f>IF($A131="","",COUNTIFS('Таблиця 1'!$B:$B,$A131,'Таблиця 1'!$E:$E,"ЖС ВЗ",'Таблиця 1'!$L:$L,"Уражено"))</f>
        <v/>
      </c>
      <c r="C131">
        <f>IF($A131="","",COUNTIFS('Таблиця 1'!$B:$B,$A131,'Таблиця 1'!$E:$E,"Арт. Системи",'Таблиця 1'!$L:$L,"Уражено"))</f>
        <v/>
      </c>
      <c r="D131">
        <f>IF($A131="","",COUNTIFS('Таблиця 1'!$B:$B,$A131,'Таблиця 1'!$E:$E,"ОВТ",'Таблиця 1'!$L:$L,"Уражено"))</f>
        <v/>
      </c>
      <c r="E131">
        <f>IF($A131="","",COUNTIFS('Таблиця 1'!$B:$B,$A131,'Таблиця 1'!$E:$E,"ППО",'Таблиця 1'!$L:$L,"Уражено"))</f>
        <v/>
      </c>
      <c r="F131">
        <f>IF($A131="","",COUNTIFS('Таблиця 1'!$B:$B,$A131,'Таблиця 1'!$E:$E,"Рембаза",'Таблиця 1'!$L:$L,"Уражено"))</f>
        <v/>
      </c>
      <c r="G131">
        <f>IF($A131="","",COUNTIFS('Таблиця 1'!$B:$B,$A131,'Таблиця 1'!$E:$E,"Склад БК",'Таблиця 1'!$L:$L,"Уражено"))</f>
        <v/>
      </c>
      <c r="H131">
        <f>IF($A131="","",COUNTIFS('Таблиця 1'!$B:$B,$A131,'Таблиця 1'!$E:$E,"Склад ВТМ",'Таблиця 1'!$L:$L,"Уражено"))</f>
        <v/>
      </c>
      <c r="I131">
        <f>IF($A131="","",COUNTIFS('Таблиця 1'!$B:$B,$A131,'Таблиця 1'!$E:$E,"ПУ БпЛА",'Таблиця 1'!$L:$L,"Уражено"))</f>
        <v/>
      </c>
      <c r="J131">
        <f>IF($A131="","",COUNTIFS('Таблиця 1'!$B:$B,$A131,'Таблиця 1'!$E:$E,"СП",'Таблиця 1'!$L:$L,"Уражено"))</f>
        <v/>
      </c>
      <c r="K131">
        <f>IF($A131="","",COUNTIFS('Таблиця 1'!$B:$B,$A131,'Таблиця 1'!$E:$E,"КСП роти",'Таблиця 1'!$L:$L,"Уражено"))</f>
        <v/>
      </c>
      <c r="L131">
        <f>IF($A131="","",COUNTIFS('Таблиця 1'!$B:$B,$A131,'Таблиця 1'!$E:$E,"ПУ бат",'Таблиця 1'!$L:$L,"Уражено"))</f>
        <v/>
      </c>
      <c r="M131">
        <f>IF($A131="","",COUNTIFS('Таблиця 1'!$B:$B,$A131,'Таблиця 1'!$E:$E,"ПУ бриг",'Таблиця 1'!$L:$L,"Уражено"))</f>
        <v/>
      </c>
      <c r="N131">
        <f>IF($A131="","",COUNTIFS('Таблиця 1'!$B:$B,$A131,'Таблиця 1'!$E:$E,"ПУ див",'Таблиця 1'!$L:$L,"Уражено"))</f>
        <v/>
      </c>
      <c r="O131">
        <f>IF($A131="","",COUNTIFS('Таблиця 1'!$B:$B,$A131,'Таблиця 1'!$E:$E,"обл. РЕБ",'Таблиця 1'!$L:$L,"Уражено"))</f>
        <v/>
      </c>
      <c r="P131">
        <f>IF($A131="","",COUNTIFS('Таблиця 1'!$B:$B,$A131,'Таблиця 1'!$E:$E,"пос РЕБ",'Таблиця 1'!$L:$L,"Уражено"))</f>
        <v/>
      </c>
      <c r="Q131">
        <f>IF($A131="","",COUNTIFS('Таблиця 1'!$B:$B,$A131,'Таблиця 1'!$E:$E,"група РЕР",'Таблиця 1'!$L:$L,"Уражено"))</f>
        <v/>
      </c>
      <c r="R131">
        <f>IF($A131="","",COUNTIFS('Таблиця 1'!$B:$B,$A131,'Таблиця 1'!$E:$E,"РЛС КББ",'Таблиця 1'!$L:$L,"Уражено"))</f>
        <v/>
      </c>
      <c r="S131">
        <f>IF($A131="","",COUNTIFS('Таблиця 1'!$B:$B,$A131,'Таблиця 1'!$E:$E,"Ретранслятор",'Таблиця 1'!$L:$L,"Уражено"))</f>
        <v/>
      </c>
      <c r="T131">
        <f>IF($A131="","",COUNTIFS('Таблиця 1'!$B:$B,$A131,'Таблиця 1'!$E:$E,"Вз.зв'язку",'Таблиця 1'!$L:$L,"Уражено"))</f>
        <v/>
      </c>
      <c r="U131">
        <f>IF($A131="","",COUNTIFS('Таблиця 1'!$B:$B,$A131,'Таблиця 1'!$E:$E,"ПММ",'Таблиця 1'!$L:$L,"Уражено"))</f>
        <v/>
      </c>
      <c r="V131">
        <f>IF($A131="","",COUNTIFS('Таблиця 1'!$B:$B,$A131,'Таблиця 1'!$E:$E,"ІФС",'Таблиця 1'!$L:$L,"Уражено"))</f>
        <v/>
      </c>
      <c r="W131">
        <f>IF($A131="","",COUNTIFS('Таблиця 1'!$B:$B,$A131,'Таблиця 1'!$E:$E,"Інфраструктура",'Таблиця 1'!$L:$L,"Уражено"))</f>
        <v/>
      </c>
      <c r="X131">
        <f>IF($A131="","",SUMIFS('Таблиця 1'!$K:$K,'Таблиця 1'!$B:$B,$A131))</f>
        <v/>
      </c>
    </row>
    <row r="132">
      <c r="A132" s="81">
        <f>IF(A131="","",IF(A131+1&gt;MAX('Таблиця 1'!$B:$B),"",A131+1))</f>
        <v/>
      </c>
      <c r="B132">
        <f>IF($A132="","",COUNTIFS('Таблиця 1'!$B:$B,$A132,'Таблиця 1'!$E:$E,"ЖС ВЗ",'Таблиця 1'!$L:$L,"Уражено"))</f>
        <v/>
      </c>
      <c r="C132">
        <f>IF($A132="","",COUNTIFS('Таблиця 1'!$B:$B,$A132,'Таблиця 1'!$E:$E,"Арт. Системи",'Таблиця 1'!$L:$L,"Уражено"))</f>
        <v/>
      </c>
      <c r="D132">
        <f>IF($A132="","",COUNTIFS('Таблиця 1'!$B:$B,$A132,'Таблиця 1'!$E:$E,"ОВТ",'Таблиця 1'!$L:$L,"Уражено"))</f>
        <v/>
      </c>
      <c r="E132">
        <f>IF($A132="","",COUNTIFS('Таблиця 1'!$B:$B,$A132,'Таблиця 1'!$E:$E,"ППО",'Таблиця 1'!$L:$L,"Уражено"))</f>
        <v/>
      </c>
      <c r="F132">
        <f>IF($A132="","",COUNTIFS('Таблиця 1'!$B:$B,$A132,'Таблиця 1'!$E:$E,"Рембаза",'Таблиця 1'!$L:$L,"Уражено"))</f>
        <v/>
      </c>
      <c r="G132">
        <f>IF($A132="","",COUNTIFS('Таблиця 1'!$B:$B,$A132,'Таблиця 1'!$E:$E,"Склад БК",'Таблиця 1'!$L:$L,"Уражено"))</f>
        <v/>
      </c>
      <c r="H132">
        <f>IF($A132="","",COUNTIFS('Таблиця 1'!$B:$B,$A132,'Таблиця 1'!$E:$E,"Склад ВТМ",'Таблиця 1'!$L:$L,"Уражено"))</f>
        <v/>
      </c>
      <c r="I132">
        <f>IF($A132="","",COUNTIFS('Таблиця 1'!$B:$B,$A132,'Таблиця 1'!$E:$E,"ПУ БпЛА",'Таблиця 1'!$L:$L,"Уражено"))</f>
        <v/>
      </c>
      <c r="J132">
        <f>IF($A132="","",COUNTIFS('Таблиця 1'!$B:$B,$A132,'Таблиця 1'!$E:$E,"СП",'Таблиця 1'!$L:$L,"Уражено"))</f>
        <v/>
      </c>
      <c r="K132">
        <f>IF($A132="","",COUNTIFS('Таблиця 1'!$B:$B,$A132,'Таблиця 1'!$E:$E,"КСП роти",'Таблиця 1'!$L:$L,"Уражено"))</f>
        <v/>
      </c>
      <c r="L132">
        <f>IF($A132="","",COUNTIFS('Таблиця 1'!$B:$B,$A132,'Таблиця 1'!$E:$E,"ПУ бат",'Таблиця 1'!$L:$L,"Уражено"))</f>
        <v/>
      </c>
      <c r="M132">
        <f>IF($A132="","",COUNTIFS('Таблиця 1'!$B:$B,$A132,'Таблиця 1'!$E:$E,"ПУ бриг",'Таблиця 1'!$L:$L,"Уражено"))</f>
        <v/>
      </c>
      <c r="N132">
        <f>IF($A132="","",COUNTIFS('Таблиця 1'!$B:$B,$A132,'Таблиця 1'!$E:$E,"ПУ див",'Таблиця 1'!$L:$L,"Уражено"))</f>
        <v/>
      </c>
      <c r="O132">
        <f>IF($A132="","",COUNTIFS('Таблиця 1'!$B:$B,$A132,'Таблиця 1'!$E:$E,"обл. РЕБ",'Таблиця 1'!$L:$L,"Уражено"))</f>
        <v/>
      </c>
      <c r="P132">
        <f>IF($A132="","",COUNTIFS('Таблиця 1'!$B:$B,$A132,'Таблиця 1'!$E:$E,"пос РЕБ",'Таблиця 1'!$L:$L,"Уражено"))</f>
        <v/>
      </c>
      <c r="Q132">
        <f>IF($A132="","",COUNTIFS('Таблиця 1'!$B:$B,$A132,'Таблиця 1'!$E:$E,"група РЕР",'Таблиця 1'!$L:$L,"Уражено"))</f>
        <v/>
      </c>
      <c r="R132">
        <f>IF($A132="","",COUNTIFS('Таблиця 1'!$B:$B,$A132,'Таблиця 1'!$E:$E,"РЛС КББ",'Таблиця 1'!$L:$L,"Уражено"))</f>
        <v/>
      </c>
      <c r="S132">
        <f>IF($A132="","",COUNTIFS('Таблиця 1'!$B:$B,$A132,'Таблиця 1'!$E:$E,"Ретранслятор",'Таблиця 1'!$L:$L,"Уражено"))</f>
        <v/>
      </c>
      <c r="T132">
        <f>IF($A132="","",COUNTIFS('Таблиця 1'!$B:$B,$A132,'Таблиця 1'!$E:$E,"Вз.зв'язку",'Таблиця 1'!$L:$L,"Уражено"))</f>
        <v/>
      </c>
      <c r="U132">
        <f>IF($A132="","",COUNTIFS('Таблиця 1'!$B:$B,$A132,'Таблиця 1'!$E:$E,"ПММ",'Таблиця 1'!$L:$L,"Уражено"))</f>
        <v/>
      </c>
      <c r="V132">
        <f>IF($A132="","",COUNTIFS('Таблиця 1'!$B:$B,$A132,'Таблиця 1'!$E:$E,"ІФС",'Таблиця 1'!$L:$L,"Уражено"))</f>
        <v/>
      </c>
      <c r="W132">
        <f>IF($A132="","",COUNTIFS('Таблиця 1'!$B:$B,$A132,'Таблиця 1'!$E:$E,"Інфраструктура",'Таблиця 1'!$L:$L,"Уражено"))</f>
        <v/>
      </c>
      <c r="X132">
        <f>IF($A132="","",SUMIFS('Таблиця 1'!$K:$K,'Таблиця 1'!$B:$B,$A132))</f>
        <v/>
      </c>
    </row>
    <row r="133">
      <c r="A133" s="81">
        <f>IF(A132="","",IF(A132+1&gt;MAX('Таблиця 1'!$B:$B),"",A132+1))</f>
        <v/>
      </c>
      <c r="B133">
        <f>IF($A133="","",COUNTIFS('Таблиця 1'!$B:$B,$A133,'Таблиця 1'!$E:$E,"ЖС ВЗ",'Таблиця 1'!$L:$L,"Уражено"))</f>
        <v/>
      </c>
      <c r="C133">
        <f>IF($A133="","",COUNTIFS('Таблиця 1'!$B:$B,$A133,'Таблиця 1'!$E:$E,"Арт. Системи",'Таблиця 1'!$L:$L,"Уражено"))</f>
        <v/>
      </c>
      <c r="D133">
        <f>IF($A133="","",COUNTIFS('Таблиця 1'!$B:$B,$A133,'Таблиця 1'!$E:$E,"ОВТ",'Таблиця 1'!$L:$L,"Уражено"))</f>
        <v/>
      </c>
      <c r="E133">
        <f>IF($A133="","",COUNTIFS('Таблиця 1'!$B:$B,$A133,'Таблиця 1'!$E:$E,"ППО",'Таблиця 1'!$L:$L,"Уражено"))</f>
        <v/>
      </c>
      <c r="F133">
        <f>IF($A133="","",COUNTIFS('Таблиця 1'!$B:$B,$A133,'Таблиця 1'!$E:$E,"Рембаза",'Таблиця 1'!$L:$L,"Уражено"))</f>
        <v/>
      </c>
      <c r="G133">
        <f>IF($A133="","",COUNTIFS('Таблиця 1'!$B:$B,$A133,'Таблиця 1'!$E:$E,"Склад БК",'Таблиця 1'!$L:$L,"Уражено"))</f>
        <v/>
      </c>
      <c r="H133">
        <f>IF($A133="","",COUNTIFS('Таблиця 1'!$B:$B,$A133,'Таблиця 1'!$E:$E,"Склад ВТМ",'Таблиця 1'!$L:$L,"Уражено"))</f>
        <v/>
      </c>
      <c r="I133">
        <f>IF($A133="","",COUNTIFS('Таблиця 1'!$B:$B,$A133,'Таблиця 1'!$E:$E,"ПУ БпЛА",'Таблиця 1'!$L:$L,"Уражено"))</f>
        <v/>
      </c>
      <c r="J133">
        <f>IF($A133="","",COUNTIFS('Таблиця 1'!$B:$B,$A133,'Таблиця 1'!$E:$E,"СП",'Таблиця 1'!$L:$L,"Уражено"))</f>
        <v/>
      </c>
      <c r="K133">
        <f>IF($A133="","",COUNTIFS('Таблиця 1'!$B:$B,$A133,'Таблиця 1'!$E:$E,"КСП роти",'Таблиця 1'!$L:$L,"Уражено"))</f>
        <v/>
      </c>
      <c r="L133">
        <f>IF($A133="","",COUNTIFS('Таблиця 1'!$B:$B,$A133,'Таблиця 1'!$E:$E,"ПУ бат",'Таблиця 1'!$L:$L,"Уражено"))</f>
        <v/>
      </c>
      <c r="M133">
        <f>IF($A133="","",COUNTIFS('Таблиця 1'!$B:$B,$A133,'Таблиця 1'!$E:$E,"ПУ бриг",'Таблиця 1'!$L:$L,"Уражено"))</f>
        <v/>
      </c>
      <c r="N133">
        <f>IF($A133="","",COUNTIFS('Таблиця 1'!$B:$B,$A133,'Таблиця 1'!$E:$E,"ПУ див",'Таблиця 1'!$L:$L,"Уражено"))</f>
        <v/>
      </c>
      <c r="O133">
        <f>IF($A133="","",COUNTIFS('Таблиця 1'!$B:$B,$A133,'Таблиця 1'!$E:$E,"обл. РЕБ",'Таблиця 1'!$L:$L,"Уражено"))</f>
        <v/>
      </c>
      <c r="P133">
        <f>IF($A133="","",COUNTIFS('Таблиця 1'!$B:$B,$A133,'Таблиця 1'!$E:$E,"пос РЕБ",'Таблиця 1'!$L:$L,"Уражено"))</f>
        <v/>
      </c>
      <c r="Q133">
        <f>IF($A133="","",COUNTIFS('Таблиця 1'!$B:$B,$A133,'Таблиця 1'!$E:$E,"група РЕР",'Таблиця 1'!$L:$L,"Уражено"))</f>
        <v/>
      </c>
      <c r="R133">
        <f>IF($A133="","",COUNTIFS('Таблиця 1'!$B:$B,$A133,'Таблиця 1'!$E:$E,"РЛС КББ",'Таблиця 1'!$L:$L,"Уражено"))</f>
        <v/>
      </c>
      <c r="S133">
        <f>IF($A133="","",COUNTIFS('Таблиця 1'!$B:$B,$A133,'Таблиця 1'!$E:$E,"Ретранслятор",'Таблиця 1'!$L:$L,"Уражено"))</f>
        <v/>
      </c>
      <c r="T133">
        <f>IF($A133="","",COUNTIFS('Таблиця 1'!$B:$B,$A133,'Таблиця 1'!$E:$E,"Вз.зв'язку",'Таблиця 1'!$L:$L,"Уражено"))</f>
        <v/>
      </c>
      <c r="U133">
        <f>IF($A133="","",COUNTIFS('Таблиця 1'!$B:$B,$A133,'Таблиця 1'!$E:$E,"ПММ",'Таблиця 1'!$L:$L,"Уражено"))</f>
        <v/>
      </c>
      <c r="V133">
        <f>IF($A133="","",COUNTIFS('Таблиця 1'!$B:$B,$A133,'Таблиця 1'!$E:$E,"ІФС",'Таблиця 1'!$L:$L,"Уражено"))</f>
        <v/>
      </c>
      <c r="W133">
        <f>IF($A133="","",COUNTIFS('Таблиця 1'!$B:$B,$A133,'Таблиця 1'!$E:$E,"Інфраструктура",'Таблиця 1'!$L:$L,"Уражено"))</f>
        <v/>
      </c>
      <c r="X133">
        <f>IF($A133="","",SUMIFS('Таблиця 1'!$K:$K,'Таблиця 1'!$B:$B,$A133))</f>
        <v/>
      </c>
    </row>
    <row r="134">
      <c r="A134" s="81">
        <f>IF(A133="","",IF(A133+1&gt;MAX('Таблиця 1'!$B:$B),"",A133+1))</f>
        <v/>
      </c>
      <c r="B134">
        <f>IF($A134="","",COUNTIFS('Таблиця 1'!$B:$B,$A134,'Таблиця 1'!$E:$E,"ЖС ВЗ",'Таблиця 1'!$L:$L,"Уражено"))</f>
        <v/>
      </c>
      <c r="C134">
        <f>IF($A134="","",COUNTIFS('Таблиця 1'!$B:$B,$A134,'Таблиця 1'!$E:$E,"Арт. Системи",'Таблиця 1'!$L:$L,"Уражено"))</f>
        <v/>
      </c>
      <c r="D134">
        <f>IF($A134="","",COUNTIFS('Таблиця 1'!$B:$B,$A134,'Таблиця 1'!$E:$E,"ОВТ",'Таблиця 1'!$L:$L,"Уражено"))</f>
        <v/>
      </c>
      <c r="E134">
        <f>IF($A134="","",COUNTIFS('Таблиця 1'!$B:$B,$A134,'Таблиця 1'!$E:$E,"ППО",'Таблиця 1'!$L:$L,"Уражено"))</f>
        <v/>
      </c>
      <c r="F134">
        <f>IF($A134="","",COUNTIFS('Таблиця 1'!$B:$B,$A134,'Таблиця 1'!$E:$E,"Рембаза",'Таблиця 1'!$L:$L,"Уражено"))</f>
        <v/>
      </c>
      <c r="G134">
        <f>IF($A134="","",COUNTIFS('Таблиця 1'!$B:$B,$A134,'Таблиця 1'!$E:$E,"Склад БК",'Таблиця 1'!$L:$L,"Уражено"))</f>
        <v/>
      </c>
      <c r="H134">
        <f>IF($A134="","",COUNTIFS('Таблиця 1'!$B:$B,$A134,'Таблиця 1'!$E:$E,"Склад ВТМ",'Таблиця 1'!$L:$L,"Уражено"))</f>
        <v/>
      </c>
      <c r="I134">
        <f>IF($A134="","",COUNTIFS('Таблиця 1'!$B:$B,$A134,'Таблиця 1'!$E:$E,"ПУ БпЛА",'Таблиця 1'!$L:$L,"Уражено"))</f>
        <v/>
      </c>
      <c r="J134">
        <f>IF($A134="","",COUNTIFS('Таблиця 1'!$B:$B,$A134,'Таблиця 1'!$E:$E,"СП",'Таблиця 1'!$L:$L,"Уражено"))</f>
        <v/>
      </c>
      <c r="K134">
        <f>IF($A134="","",COUNTIFS('Таблиця 1'!$B:$B,$A134,'Таблиця 1'!$E:$E,"КСП роти",'Таблиця 1'!$L:$L,"Уражено"))</f>
        <v/>
      </c>
      <c r="L134">
        <f>IF($A134="","",COUNTIFS('Таблиця 1'!$B:$B,$A134,'Таблиця 1'!$E:$E,"ПУ бат",'Таблиця 1'!$L:$L,"Уражено"))</f>
        <v/>
      </c>
      <c r="M134">
        <f>IF($A134="","",COUNTIFS('Таблиця 1'!$B:$B,$A134,'Таблиця 1'!$E:$E,"ПУ бриг",'Таблиця 1'!$L:$L,"Уражено"))</f>
        <v/>
      </c>
      <c r="N134">
        <f>IF($A134="","",COUNTIFS('Таблиця 1'!$B:$B,$A134,'Таблиця 1'!$E:$E,"ПУ див",'Таблиця 1'!$L:$L,"Уражено"))</f>
        <v/>
      </c>
      <c r="O134">
        <f>IF($A134="","",COUNTIFS('Таблиця 1'!$B:$B,$A134,'Таблиця 1'!$E:$E,"обл. РЕБ",'Таблиця 1'!$L:$L,"Уражено"))</f>
        <v/>
      </c>
      <c r="P134">
        <f>IF($A134="","",COUNTIFS('Таблиця 1'!$B:$B,$A134,'Таблиця 1'!$E:$E,"пос РЕБ",'Таблиця 1'!$L:$L,"Уражено"))</f>
        <v/>
      </c>
      <c r="Q134">
        <f>IF($A134="","",COUNTIFS('Таблиця 1'!$B:$B,$A134,'Таблиця 1'!$E:$E,"група РЕР",'Таблиця 1'!$L:$L,"Уражено"))</f>
        <v/>
      </c>
      <c r="R134">
        <f>IF($A134="","",COUNTIFS('Таблиця 1'!$B:$B,$A134,'Таблиця 1'!$E:$E,"РЛС КББ",'Таблиця 1'!$L:$L,"Уражено"))</f>
        <v/>
      </c>
      <c r="S134">
        <f>IF($A134="","",COUNTIFS('Таблиця 1'!$B:$B,$A134,'Таблиця 1'!$E:$E,"Ретранслятор",'Таблиця 1'!$L:$L,"Уражено"))</f>
        <v/>
      </c>
      <c r="T134">
        <f>IF($A134="","",COUNTIFS('Таблиця 1'!$B:$B,$A134,'Таблиця 1'!$E:$E,"Вз.зв'язку",'Таблиця 1'!$L:$L,"Уражено"))</f>
        <v/>
      </c>
      <c r="U134">
        <f>IF($A134="","",COUNTIFS('Таблиця 1'!$B:$B,$A134,'Таблиця 1'!$E:$E,"ПММ",'Таблиця 1'!$L:$L,"Уражено"))</f>
        <v/>
      </c>
      <c r="V134">
        <f>IF($A134="","",COUNTIFS('Таблиця 1'!$B:$B,$A134,'Таблиця 1'!$E:$E,"ІФС",'Таблиця 1'!$L:$L,"Уражено"))</f>
        <v/>
      </c>
      <c r="W134">
        <f>IF($A134="","",COUNTIFS('Таблиця 1'!$B:$B,$A134,'Таблиця 1'!$E:$E,"Інфраструктура",'Таблиця 1'!$L:$L,"Уражено"))</f>
        <v/>
      </c>
      <c r="X134">
        <f>IF($A134="","",SUMIFS('Таблиця 1'!$K:$K,'Таблиця 1'!$B:$B,$A134))</f>
        <v/>
      </c>
    </row>
    <row r="135">
      <c r="A135" s="81">
        <f>IF(A134="","",IF(A134+1&gt;MAX('Таблиця 1'!$B:$B),"",A134+1))</f>
        <v/>
      </c>
      <c r="B135">
        <f>IF($A135="","",COUNTIFS('Таблиця 1'!$B:$B,$A135,'Таблиця 1'!$E:$E,"ЖС ВЗ",'Таблиця 1'!$L:$L,"Уражено"))</f>
        <v/>
      </c>
      <c r="C135">
        <f>IF($A135="","",COUNTIFS('Таблиця 1'!$B:$B,$A135,'Таблиця 1'!$E:$E,"Арт. Системи",'Таблиця 1'!$L:$L,"Уражено"))</f>
        <v/>
      </c>
      <c r="D135">
        <f>IF($A135="","",COUNTIFS('Таблиця 1'!$B:$B,$A135,'Таблиця 1'!$E:$E,"ОВТ",'Таблиця 1'!$L:$L,"Уражено"))</f>
        <v/>
      </c>
      <c r="E135">
        <f>IF($A135="","",COUNTIFS('Таблиця 1'!$B:$B,$A135,'Таблиця 1'!$E:$E,"ППО",'Таблиця 1'!$L:$L,"Уражено"))</f>
        <v/>
      </c>
      <c r="F135">
        <f>IF($A135="","",COUNTIFS('Таблиця 1'!$B:$B,$A135,'Таблиця 1'!$E:$E,"Рембаза",'Таблиця 1'!$L:$L,"Уражено"))</f>
        <v/>
      </c>
      <c r="G135">
        <f>IF($A135="","",COUNTIFS('Таблиця 1'!$B:$B,$A135,'Таблиця 1'!$E:$E,"Склад БК",'Таблиця 1'!$L:$L,"Уражено"))</f>
        <v/>
      </c>
      <c r="H135">
        <f>IF($A135="","",COUNTIFS('Таблиця 1'!$B:$B,$A135,'Таблиця 1'!$E:$E,"Склад ВТМ",'Таблиця 1'!$L:$L,"Уражено"))</f>
        <v/>
      </c>
      <c r="I135">
        <f>IF($A135="","",COUNTIFS('Таблиця 1'!$B:$B,$A135,'Таблиця 1'!$E:$E,"ПУ БпЛА",'Таблиця 1'!$L:$L,"Уражено"))</f>
        <v/>
      </c>
      <c r="J135">
        <f>IF($A135="","",COUNTIFS('Таблиця 1'!$B:$B,$A135,'Таблиця 1'!$E:$E,"СП",'Таблиця 1'!$L:$L,"Уражено"))</f>
        <v/>
      </c>
      <c r="K135">
        <f>IF($A135="","",COUNTIFS('Таблиця 1'!$B:$B,$A135,'Таблиця 1'!$E:$E,"КСП роти",'Таблиця 1'!$L:$L,"Уражено"))</f>
        <v/>
      </c>
      <c r="L135">
        <f>IF($A135="","",COUNTIFS('Таблиця 1'!$B:$B,$A135,'Таблиця 1'!$E:$E,"ПУ бат",'Таблиця 1'!$L:$L,"Уражено"))</f>
        <v/>
      </c>
      <c r="M135">
        <f>IF($A135="","",COUNTIFS('Таблиця 1'!$B:$B,$A135,'Таблиця 1'!$E:$E,"ПУ бриг",'Таблиця 1'!$L:$L,"Уражено"))</f>
        <v/>
      </c>
      <c r="N135">
        <f>IF($A135="","",COUNTIFS('Таблиця 1'!$B:$B,$A135,'Таблиця 1'!$E:$E,"ПУ див",'Таблиця 1'!$L:$L,"Уражено"))</f>
        <v/>
      </c>
      <c r="O135">
        <f>IF($A135="","",COUNTIFS('Таблиця 1'!$B:$B,$A135,'Таблиця 1'!$E:$E,"обл. РЕБ",'Таблиця 1'!$L:$L,"Уражено"))</f>
        <v/>
      </c>
      <c r="P135">
        <f>IF($A135="","",COUNTIFS('Таблиця 1'!$B:$B,$A135,'Таблиця 1'!$E:$E,"пос РЕБ",'Таблиця 1'!$L:$L,"Уражено"))</f>
        <v/>
      </c>
      <c r="Q135">
        <f>IF($A135="","",COUNTIFS('Таблиця 1'!$B:$B,$A135,'Таблиця 1'!$E:$E,"група РЕР",'Таблиця 1'!$L:$L,"Уражено"))</f>
        <v/>
      </c>
      <c r="R135">
        <f>IF($A135="","",COUNTIFS('Таблиця 1'!$B:$B,$A135,'Таблиця 1'!$E:$E,"РЛС КББ",'Таблиця 1'!$L:$L,"Уражено"))</f>
        <v/>
      </c>
      <c r="S135">
        <f>IF($A135="","",COUNTIFS('Таблиця 1'!$B:$B,$A135,'Таблиця 1'!$E:$E,"Ретранслятор",'Таблиця 1'!$L:$L,"Уражено"))</f>
        <v/>
      </c>
      <c r="T135">
        <f>IF($A135="","",COUNTIFS('Таблиця 1'!$B:$B,$A135,'Таблиця 1'!$E:$E,"Вз.зв'язку",'Таблиця 1'!$L:$L,"Уражено"))</f>
        <v/>
      </c>
      <c r="U135">
        <f>IF($A135="","",COUNTIFS('Таблиця 1'!$B:$B,$A135,'Таблиця 1'!$E:$E,"ПММ",'Таблиця 1'!$L:$L,"Уражено"))</f>
        <v/>
      </c>
      <c r="V135">
        <f>IF($A135="","",COUNTIFS('Таблиця 1'!$B:$B,$A135,'Таблиця 1'!$E:$E,"ІФС",'Таблиця 1'!$L:$L,"Уражено"))</f>
        <v/>
      </c>
      <c r="W135">
        <f>IF($A135="","",COUNTIFS('Таблиця 1'!$B:$B,$A135,'Таблиця 1'!$E:$E,"Інфраструктура",'Таблиця 1'!$L:$L,"Уражено"))</f>
        <v/>
      </c>
      <c r="X135">
        <f>IF($A135="","",SUMIFS('Таблиця 1'!$K:$K,'Таблиця 1'!$B:$B,$A135))</f>
        <v/>
      </c>
    </row>
    <row r="136">
      <c r="A136" s="81">
        <f>IF(A135="","",IF(A135+1&gt;MAX('Таблиця 1'!$B:$B),"",A135+1))</f>
        <v/>
      </c>
      <c r="B136">
        <f>IF($A136="","",COUNTIFS('Таблиця 1'!$B:$B,$A136,'Таблиця 1'!$E:$E,"ЖС ВЗ",'Таблиця 1'!$L:$L,"Уражено"))</f>
        <v/>
      </c>
      <c r="C136">
        <f>IF($A136="","",COUNTIFS('Таблиця 1'!$B:$B,$A136,'Таблиця 1'!$E:$E,"Арт. Системи",'Таблиця 1'!$L:$L,"Уражено"))</f>
        <v/>
      </c>
      <c r="D136">
        <f>IF($A136="","",COUNTIFS('Таблиця 1'!$B:$B,$A136,'Таблиця 1'!$E:$E,"ОВТ",'Таблиця 1'!$L:$L,"Уражено"))</f>
        <v/>
      </c>
      <c r="E136">
        <f>IF($A136="","",COUNTIFS('Таблиця 1'!$B:$B,$A136,'Таблиця 1'!$E:$E,"ППО",'Таблиця 1'!$L:$L,"Уражено"))</f>
        <v/>
      </c>
      <c r="F136">
        <f>IF($A136="","",COUNTIFS('Таблиця 1'!$B:$B,$A136,'Таблиця 1'!$E:$E,"Рембаза",'Таблиця 1'!$L:$L,"Уражено"))</f>
        <v/>
      </c>
      <c r="G136">
        <f>IF($A136="","",COUNTIFS('Таблиця 1'!$B:$B,$A136,'Таблиця 1'!$E:$E,"Склад БК",'Таблиця 1'!$L:$L,"Уражено"))</f>
        <v/>
      </c>
      <c r="H136">
        <f>IF($A136="","",COUNTIFS('Таблиця 1'!$B:$B,$A136,'Таблиця 1'!$E:$E,"Склад ВТМ",'Таблиця 1'!$L:$L,"Уражено"))</f>
        <v/>
      </c>
      <c r="I136">
        <f>IF($A136="","",COUNTIFS('Таблиця 1'!$B:$B,$A136,'Таблиця 1'!$E:$E,"ПУ БпЛА",'Таблиця 1'!$L:$L,"Уражено"))</f>
        <v/>
      </c>
      <c r="J136">
        <f>IF($A136="","",COUNTIFS('Таблиця 1'!$B:$B,$A136,'Таблиця 1'!$E:$E,"СП",'Таблиця 1'!$L:$L,"Уражено"))</f>
        <v/>
      </c>
      <c r="K136">
        <f>IF($A136="","",COUNTIFS('Таблиця 1'!$B:$B,$A136,'Таблиця 1'!$E:$E,"КСП роти",'Таблиця 1'!$L:$L,"Уражено"))</f>
        <v/>
      </c>
      <c r="L136">
        <f>IF($A136="","",COUNTIFS('Таблиця 1'!$B:$B,$A136,'Таблиця 1'!$E:$E,"ПУ бат",'Таблиця 1'!$L:$L,"Уражено"))</f>
        <v/>
      </c>
      <c r="M136">
        <f>IF($A136="","",COUNTIFS('Таблиця 1'!$B:$B,$A136,'Таблиця 1'!$E:$E,"ПУ бриг",'Таблиця 1'!$L:$L,"Уражено"))</f>
        <v/>
      </c>
      <c r="N136">
        <f>IF($A136="","",COUNTIFS('Таблиця 1'!$B:$B,$A136,'Таблиця 1'!$E:$E,"ПУ див",'Таблиця 1'!$L:$L,"Уражено"))</f>
        <v/>
      </c>
      <c r="O136">
        <f>IF($A136="","",COUNTIFS('Таблиця 1'!$B:$B,$A136,'Таблиця 1'!$E:$E,"обл. РЕБ",'Таблиця 1'!$L:$L,"Уражено"))</f>
        <v/>
      </c>
      <c r="P136">
        <f>IF($A136="","",COUNTIFS('Таблиця 1'!$B:$B,$A136,'Таблиця 1'!$E:$E,"пос РЕБ",'Таблиця 1'!$L:$L,"Уражено"))</f>
        <v/>
      </c>
      <c r="Q136">
        <f>IF($A136="","",COUNTIFS('Таблиця 1'!$B:$B,$A136,'Таблиця 1'!$E:$E,"група РЕР",'Таблиця 1'!$L:$L,"Уражено"))</f>
        <v/>
      </c>
      <c r="R136">
        <f>IF($A136="","",COUNTIFS('Таблиця 1'!$B:$B,$A136,'Таблиця 1'!$E:$E,"РЛС КББ",'Таблиця 1'!$L:$L,"Уражено"))</f>
        <v/>
      </c>
      <c r="S136">
        <f>IF($A136="","",COUNTIFS('Таблиця 1'!$B:$B,$A136,'Таблиця 1'!$E:$E,"Ретранслятор",'Таблиця 1'!$L:$L,"Уражено"))</f>
        <v/>
      </c>
      <c r="T136">
        <f>IF($A136="","",COUNTIFS('Таблиця 1'!$B:$B,$A136,'Таблиця 1'!$E:$E,"Вз.зв'язку",'Таблиця 1'!$L:$L,"Уражено"))</f>
        <v/>
      </c>
      <c r="U136">
        <f>IF($A136="","",COUNTIFS('Таблиця 1'!$B:$B,$A136,'Таблиця 1'!$E:$E,"ПММ",'Таблиця 1'!$L:$L,"Уражено"))</f>
        <v/>
      </c>
      <c r="V136">
        <f>IF($A136="","",COUNTIFS('Таблиця 1'!$B:$B,$A136,'Таблиця 1'!$E:$E,"ІФС",'Таблиця 1'!$L:$L,"Уражено"))</f>
        <v/>
      </c>
      <c r="W136">
        <f>IF($A136="","",COUNTIFS('Таблиця 1'!$B:$B,$A136,'Таблиця 1'!$E:$E,"Інфраструктура",'Таблиця 1'!$L:$L,"Уражено"))</f>
        <v/>
      </c>
      <c r="X136">
        <f>IF($A136="","",SUMIFS('Таблиця 1'!$K:$K,'Таблиця 1'!$B:$B,$A136))</f>
        <v/>
      </c>
    </row>
    <row r="137">
      <c r="A137" s="81">
        <f>IF(A136="","",IF(A136+1&gt;MAX('Таблиця 1'!$B:$B),"",A136+1))</f>
        <v/>
      </c>
      <c r="B137">
        <f>IF($A137="","",COUNTIFS('Таблиця 1'!$B:$B,$A137,'Таблиця 1'!$E:$E,"ЖС ВЗ",'Таблиця 1'!$L:$L,"Уражено"))</f>
        <v/>
      </c>
      <c r="C137">
        <f>IF($A137="","",COUNTIFS('Таблиця 1'!$B:$B,$A137,'Таблиця 1'!$E:$E,"Арт. Системи",'Таблиця 1'!$L:$L,"Уражено"))</f>
        <v/>
      </c>
      <c r="D137">
        <f>IF($A137="","",COUNTIFS('Таблиця 1'!$B:$B,$A137,'Таблиця 1'!$E:$E,"ОВТ",'Таблиця 1'!$L:$L,"Уражено"))</f>
        <v/>
      </c>
      <c r="E137">
        <f>IF($A137="","",COUNTIFS('Таблиця 1'!$B:$B,$A137,'Таблиця 1'!$E:$E,"ППО",'Таблиця 1'!$L:$L,"Уражено"))</f>
        <v/>
      </c>
      <c r="F137">
        <f>IF($A137="","",COUNTIFS('Таблиця 1'!$B:$B,$A137,'Таблиця 1'!$E:$E,"Рембаза",'Таблиця 1'!$L:$L,"Уражено"))</f>
        <v/>
      </c>
      <c r="G137">
        <f>IF($A137="","",COUNTIFS('Таблиця 1'!$B:$B,$A137,'Таблиця 1'!$E:$E,"Склад БК",'Таблиця 1'!$L:$L,"Уражено"))</f>
        <v/>
      </c>
      <c r="H137">
        <f>IF($A137="","",COUNTIFS('Таблиця 1'!$B:$B,$A137,'Таблиця 1'!$E:$E,"Склад ВТМ",'Таблиця 1'!$L:$L,"Уражено"))</f>
        <v/>
      </c>
      <c r="I137">
        <f>IF($A137="","",COUNTIFS('Таблиця 1'!$B:$B,$A137,'Таблиця 1'!$E:$E,"ПУ БпЛА",'Таблиця 1'!$L:$L,"Уражено"))</f>
        <v/>
      </c>
      <c r="J137">
        <f>IF($A137="","",COUNTIFS('Таблиця 1'!$B:$B,$A137,'Таблиця 1'!$E:$E,"СП",'Таблиця 1'!$L:$L,"Уражено"))</f>
        <v/>
      </c>
      <c r="K137">
        <f>IF($A137="","",COUNTIFS('Таблиця 1'!$B:$B,$A137,'Таблиця 1'!$E:$E,"КСП роти",'Таблиця 1'!$L:$L,"Уражено"))</f>
        <v/>
      </c>
      <c r="L137">
        <f>IF($A137="","",COUNTIFS('Таблиця 1'!$B:$B,$A137,'Таблиця 1'!$E:$E,"ПУ бат",'Таблиця 1'!$L:$L,"Уражено"))</f>
        <v/>
      </c>
      <c r="M137">
        <f>IF($A137="","",COUNTIFS('Таблиця 1'!$B:$B,$A137,'Таблиця 1'!$E:$E,"ПУ бриг",'Таблиця 1'!$L:$L,"Уражено"))</f>
        <v/>
      </c>
      <c r="N137">
        <f>IF($A137="","",COUNTIFS('Таблиця 1'!$B:$B,$A137,'Таблиця 1'!$E:$E,"ПУ див",'Таблиця 1'!$L:$L,"Уражено"))</f>
        <v/>
      </c>
      <c r="O137">
        <f>IF($A137="","",COUNTIFS('Таблиця 1'!$B:$B,$A137,'Таблиця 1'!$E:$E,"обл. РЕБ",'Таблиця 1'!$L:$L,"Уражено"))</f>
        <v/>
      </c>
      <c r="P137">
        <f>IF($A137="","",COUNTIFS('Таблиця 1'!$B:$B,$A137,'Таблиця 1'!$E:$E,"пос РЕБ",'Таблиця 1'!$L:$L,"Уражено"))</f>
        <v/>
      </c>
      <c r="Q137">
        <f>IF($A137="","",COUNTIFS('Таблиця 1'!$B:$B,$A137,'Таблиця 1'!$E:$E,"група РЕР",'Таблиця 1'!$L:$L,"Уражено"))</f>
        <v/>
      </c>
      <c r="R137">
        <f>IF($A137="","",COUNTIFS('Таблиця 1'!$B:$B,$A137,'Таблиця 1'!$E:$E,"РЛС КББ",'Таблиця 1'!$L:$L,"Уражено"))</f>
        <v/>
      </c>
      <c r="S137">
        <f>IF($A137="","",COUNTIFS('Таблиця 1'!$B:$B,$A137,'Таблиця 1'!$E:$E,"Ретранслятор",'Таблиця 1'!$L:$L,"Уражено"))</f>
        <v/>
      </c>
      <c r="T137">
        <f>IF($A137="","",COUNTIFS('Таблиця 1'!$B:$B,$A137,'Таблиця 1'!$E:$E,"Вз.зв'язку",'Таблиця 1'!$L:$L,"Уражено"))</f>
        <v/>
      </c>
      <c r="U137">
        <f>IF($A137="","",COUNTIFS('Таблиця 1'!$B:$B,$A137,'Таблиця 1'!$E:$E,"ПММ",'Таблиця 1'!$L:$L,"Уражено"))</f>
        <v/>
      </c>
      <c r="V137">
        <f>IF($A137="","",COUNTIFS('Таблиця 1'!$B:$B,$A137,'Таблиця 1'!$E:$E,"ІФС",'Таблиця 1'!$L:$L,"Уражено"))</f>
        <v/>
      </c>
      <c r="W137">
        <f>IF($A137="","",COUNTIFS('Таблиця 1'!$B:$B,$A137,'Таблиця 1'!$E:$E,"Інфраструктура",'Таблиця 1'!$L:$L,"Уражено"))</f>
        <v/>
      </c>
      <c r="X137">
        <f>IF($A137="","",SUMIFS('Таблиця 1'!$K:$K,'Таблиця 1'!$B:$B,$A137))</f>
        <v/>
      </c>
    </row>
    <row r="138">
      <c r="A138" s="81">
        <f>IF(A137="","",IF(A137+1&gt;MAX('Таблиця 1'!$B:$B),"",A137+1))</f>
        <v/>
      </c>
      <c r="B138">
        <f>IF($A138="","",COUNTIFS('Таблиця 1'!$B:$B,$A138,'Таблиця 1'!$E:$E,"ЖС ВЗ",'Таблиця 1'!$L:$L,"Уражено"))</f>
        <v/>
      </c>
      <c r="C138">
        <f>IF($A138="","",COUNTIFS('Таблиця 1'!$B:$B,$A138,'Таблиця 1'!$E:$E,"Арт. Системи",'Таблиця 1'!$L:$L,"Уражено"))</f>
        <v/>
      </c>
      <c r="D138">
        <f>IF($A138="","",COUNTIFS('Таблиця 1'!$B:$B,$A138,'Таблиця 1'!$E:$E,"ОВТ",'Таблиця 1'!$L:$L,"Уражено"))</f>
        <v/>
      </c>
      <c r="E138">
        <f>IF($A138="","",COUNTIFS('Таблиця 1'!$B:$B,$A138,'Таблиця 1'!$E:$E,"ППО",'Таблиця 1'!$L:$L,"Уражено"))</f>
        <v/>
      </c>
      <c r="F138">
        <f>IF($A138="","",COUNTIFS('Таблиця 1'!$B:$B,$A138,'Таблиця 1'!$E:$E,"Рембаза",'Таблиця 1'!$L:$L,"Уражено"))</f>
        <v/>
      </c>
      <c r="G138">
        <f>IF($A138="","",COUNTIFS('Таблиця 1'!$B:$B,$A138,'Таблиця 1'!$E:$E,"Склад БК",'Таблиця 1'!$L:$L,"Уражено"))</f>
        <v/>
      </c>
      <c r="H138">
        <f>IF($A138="","",COUNTIFS('Таблиця 1'!$B:$B,$A138,'Таблиця 1'!$E:$E,"Склад ВТМ",'Таблиця 1'!$L:$L,"Уражено"))</f>
        <v/>
      </c>
      <c r="I138">
        <f>IF($A138="","",COUNTIFS('Таблиця 1'!$B:$B,$A138,'Таблиця 1'!$E:$E,"ПУ БпЛА",'Таблиця 1'!$L:$L,"Уражено"))</f>
        <v/>
      </c>
      <c r="J138">
        <f>IF($A138="","",COUNTIFS('Таблиця 1'!$B:$B,$A138,'Таблиця 1'!$E:$E,"СП",'Таблиця 1'!$L:$L,"Уражено"))</f>
        <v/>
      </c>
      <c r="K138">
        <f>IF($A138="","",COUNTIFS('Таблиця 1'!$B:$B,$A138,'Таблиця 1'!$E:$E,"КСП роти",'Таблиця 1'!$L:$L,"Уражено"))</f>
        <v/>
      </c>
      <c r="L138">
        <f>IF($A138="","",COUNTIFS('Таблиця 1'!$B:$B,$A138,'Таблиця 1'!$E:$E,"ПУ бат",'Таблиця 1'!$L:$L,"Уражено"))</f>
        <v/>
      </c>
      <c r="M138">
        <f>IF($A138="","",COUNTIFS('Таблиця 1'!$B:$B,$A138,'Таблиця 1'!$E:$E,"ПУ бриг",'Таблиця 1'!$L:$L,"Уражено"))</f>
        <v/>
      </c>
      <c r="N138">
        <f>IF($A138="","",COUNTIFS('Таблиця 1'!$B:$B,$A138,'Таблиця 1'!$E:$E,"ПУ див",'Таблиця 1'!$L:$L,"Уражено"))</f>
        <v/>
      </c>
      <c r="O138">
        <f>IF($A138="","",COUNTIFS('Таблиця 1'!$B:$B,$A138,'Таблиця 1'!$E:$E,"обл. РЕБ",'Таблиця 1'!$L:$L,"Уражено"))</f>
        <v/>
      </c>
      <c r="P138">
        <f>IF($A138="","",COUNTIFS('Таблиця 1'!$B:$B,$A138,'Таблиця 1'!$E:$E,"пос РЕБ",'Таблиця 1'!$L:$L,"Уражено"))</f>
        <v/>
      </c>
      <c r="Q138">
        <f>IF($A138="","",COUNTIFS('Таблиця 1'!$B:$B,$A138,'Таблиця 1'!$E:$E,"група РЕР",'Таблиця 1'!$L:$L,"Уражено"))</f>
        <v/>
      </c>
      <c r="R138">
        <f>IF($A138="","",COUNTIFS('Таблиця 1'!$B:$B,$A138,'Таблиця 1'!$E:$E,"РЛС КББ",'Таблиця 1'!$L:$L,"Уражено"))</f>
        <v/>
      </c>
      <c r="S138">
        <f>IF($A138="","",COUNTIFS('Таблиця 1'!$B:$B,$A138,'Таблиця 1'!$E:$E,"Ретранслятор",'Таблиця 1'!$L:$L,"Уражено"))</f>
        <v/>
      </c>
      <c r="T138">
        <f>IF($A138="","",COUNTIFS('Таблиця 1'!$B:$B,$A138,'Таблиця 1'!$E:$E,"Вз.зв'язку",'Таблиця 1'!$L:$L,"Уражено"))</f>
        <v/>
      </c>
      <c r="U138">
        <f>IF($A138="","",COUNTIFS('Таблиця 1'!$B:$B,$A138,'Таблиця 1'!$E:$E,"ПММ",'Таблиця 1'!$L:$L,"Уражено"))</f>
        <v/>
      </c>
      <c r="V138">
        <f>IF($A138="","",COUNTIFS('Таблиця 1'!$B:$B,$A138,'Таблиця 1'!$E:$E,"ІФС",'Таблиця 1'!$L:$L,"Уражено"))</f>
        <v/>
      </c>
      <c r="W138">
        <f>IF($A138="","",COUNTIFS('Таблиця 1'!$B:$B,$A138,'Таблиця 1'!$E:$E,"Інфраструктура",'Таблиця 1'!$L:$L,"Уражено"))</f>
        <v/>
      </c>
      <c r="X138">
        <f>IF($A138="","",SUMIFS('Таблиця 1'!$K:$K,'Таблиця 1'!$B:$B,$A138))</f>
        <v/>
      </c>
    </row>
    <row r="139">
      <c r="A139" s="81">
        <f>IF(A138="","",IF(A138+1&gt;MAX('Таблиця 1'!$B:$B),"",A138+1))</f>
        <v/>
      </c>
      <c r="B139">
        <f>IF($A139="","",COUNTIFS('Таблиця 1'!$B:$B,$A139,'Таблиця 1'!$E:$E,"ЖС ВЗ",'Таблиця 1'!$L:$L,"Уражено"))</f>
        <v/>
      </c>
      <c r="C139">
        <f>IF($A139="","",COUNTIFS('Таблиця 1'!$B:$B,$A139,'Таблиця 1'!$E:$E,"Арт. Системи",'Таблиця 1'!$L:$L,"Уражено"))</f>
        <v/>
      </c>
      <c r="D139">
        <f>IF($A139="","",COUNTIFS('Таблиця 1'!$B:$B,$A139,'Таблиця 1'!$E:$E,"ОВТ",'Таблиця 1'!$L:$L,"Уражено"))</f>
        <v/>
      </c>
      <c r="E139">
        <f>IF($A139="","",COUNTIFS('Таблиця 1'!$B:$B,$A139,'Таблиця 1'!$E:$E,"ППО",'Таблиця 1'!$L:$L,"Уражено"))</f>
        <v/>
      </c>
      <c r="F139">
        <f>IF($A139="","",COUNTIFS('Таблиця 1'!$B:$B,$A139,'Таблиця 1'!$E:$E,"Рембаза",'Таблиця 1'!$L:$L,"Уражено"))</f>
        <v/>
      </c>
      <c r="G139">
        <f>IF($A139="","",COUNTIFS('Таблиця 1'!$B:$B,$A139,'Таблиця 1'!$E:$E,"Склад БК",'Таблиця 1'!$L:$L,"Уражено"))</f>
        <v/>
      </c>
      <c r="H139">
        <f>IF($A139="","",COUNTIFS('Таблиця 1'!$B:$B,$A139,'Таблиця 1'!$E:$E,"Склад ВТМ",'Таблиця 1'!$L:$L,"Уражено"))</f>
        <v/>
      </c>
      <c r="I139">
        <f>IF($A139="","",COUNTIFS('Таблиця 1'!$B:$B,$A139,'Таблиця 1'!$E:$E,"ПУ БпЛА",'Таблиця 1'!$L:$L,"Уражено"))</f>
        <v/>
      </c>
      <c r="J139">
        <f>IF($A139="","",COUNTIFS('Таблиця 1'!$B:$B,$A139,'Таблиця 1'!$E:$E,"СП",'Таблиця 1'!$L:$L,"Уражено"))</f>
        <v/>
      </c>
      <c r="K139">
        <f>IF($A139="","",COUNTIFS('Таблиця 1'!$B:$B,$A139,'Таблиця 1'!$E:$E,"КСП роти",'Таблиця 1'!$L:$L,"Уражено"))</f>
        <v/>
      </c>
      <c r="L139">
        <f>IF($A139="","",COUNTIFS('Таблиця 1'!$B:$B,$A139,'Таблиця 1'!$E:$E,"ПУ бат",'Таблиця 1'!$L:$L,"Уражено"))</f>
        <v/>
      </c>
      <c r="M139">
        <f>IF($A139="","",COUNTIFS('Таблиця 1'!$B:$B,$A139,'Таблиця 1'!$E:$E,"ПУ бриг",'Таблиця 1'!$L:$L,"Уражено"))</f>
        <v/>
      </c>
      <c r="N139">
        <f>IF($A139="","",COUNTIFS('Таблиця 1'!$B:$B,$A139,'Таблиця 1'!$E:$E,"ПУ див",'Таблиця 1'!$L:$L,"Уражено"))</f>
        <v/>
      </c>
      <c r="O139">
        <f>IF($A139="","",COUNTIFS('Таблиця 1'!$B:$B,$A139,'Таблиця 1'!$E:$E,"обл. РЕБ",'Таблиця 1'!$L:$L,"Уражено"))</f>
        <v/>
      </c>
      <c r="P139">
        <f>IF($A139="","",COUNTIFS('Таблиця 1'!$B:$B,$A139,'Таблиця 1'!$E:$E,"пос РЕБ",'Таблиця 1'!$L:$L,"Уражено"))</f>
        <v/>
      </c>
      <c r="Q139">
        <f>IF($A139="","",COUNTIFS('Таблиця 1'!$B:$B,$A139,'Таблиця 1'!$E:$E,"група РЕР",'Таблиця 1'!$L:$L,"Уражено"))</f>
        <v/>
      </c>
      <c r="R139">
        <f>IF($A139="","",COUNTIFS('Таблиця 1'!$B:$B,$A139,'Таблиця 1'!$E:$E,"РЛС КББ",'Таблиця 1'!$L:$L,"Уражено"))</f>
        <v/>
      </c>
      <c r="S139">
        <f>IF($A139="","",COUNTIFS('Таблиця 1'!$B:$B,$A139,'Таблиця 1'!$E:$E,"Ретранслятор",'Таблиця 1'!$L:$L,"Уражено"))</f>
        <v/>
      </c>
      <c r="T139">
        <f>IF($A139="","",COUNTIFS('Таблиця 1'!$B:$B,$A139,'Таблиця 1'!$E:$E,"Вз.зв'язку",'Таблиця 1'!$L:$L,"Уражено"))</f>
        <v/>
      </c>
      <c r="U139">
        <f>IF($A139="","",COUNTIFS('Таблиця 1'!$B:$B,$A139,'Таблиця 1'!$E:$E,"ПММ",'Таблиця 1'!$L:$L,"Уражено"))</f>
        <v/>
      </c>
      <c r="V139">
        <f>IF($A139="","",COUNTIFS('Таблиця 1'!$B:$B,$A139,'Таблиця 1'!$E:$E,"ІФС",'Таблиця 1'!$L:$L,"Уражено"))</f>
        <v/>
      </c>
      <c r="W139">
        <f>IF($A139="","",COUNTIFS('Таблиця 1'!$B:$B,$A139,'Таблиця 1'!$E:$E,"Інфраструктура",'Таблиця 1'!$L:$L,"Уражено"))</f>
        <v/>
      </c>
      <c r="X139">
        <f>IF($A139="","",SUMIFS('Таблиця 1'!$K:$K,'Таблиця 1'!$B:$B,$A139))</f>
        <v/>
      </c>
    </row>
    <row r="140">
      <c r="A140" s="81">
        <f>IF(A139="","",IF(A139+1&gt;MAX('Таблиця 1'!$B:$B),"",A139+1))</f>
        <v/>
      </c>
      <c r="B140">
        <f>IF($A140="","",COUNTIFS('Таблиця 1'!$B:$B,$A140,'Таблиця 1'!$E:$E,"ЖС ВЗ",'Таблиця 1'!$L:$L,"Уражено"))</f>
        <v/>
      </c>
      <c r="C140">
        <f>IF($A140="","",COUNTIFS('Таблиця 1'!$B:$B,$A140,'Таблиця 1'!$E:$E,"Арт. Системи",'Таблиця 1'!$L:$L,"Уражено"))</f>
        <v/>
      </c>
      <c r="D140">
        <f>IF($A140="","",COUNTIFS('Таблиця 1'!$B:$B,$A140,'Таблиця 1'!$E:$E,"ОВТ",'Таблиця 1'!$L:$L,"Уражено"))</f>
        <v/>
      </c>
      <c r="E140">
        <f>IF($A140="","",COUNTIFS('Таблиця 1'!$B:$B,$A140,'Таблиця 1'!$E:$E,"ППО",'Таблиця 1'!$L:$L,"Уражено"))</f>
        <v/>
      </c>
      <c r="F140">
        <f>IF($A140="","",COUNTIFS('Таблиця 1'!$B:$B,$A140,'Таблиця 1'!$E:$E,"Рембаза",'Таблиця 1'!$L:$L,"Уражено"))</f>
        <v/>
      </c>
      <c r="G140">
        <f>IF($A140="","",COUNTIFS('Таблиця 1'!$B:$B,$A140,'Таблиця 1'!$E:$E,"Склад БК",'Таблиця 1'!$L:$L,"Уражено"))</f>
        <v/>
      </c>
      <c r="H140">
        <f>IF($A140="","",COUNTIFS('Таблиця 1'!$B:$B,$A140,'Таблиця 1'!$E:$E,"Склад ВТМ",'Таблиця 1'!$L:$L,"Уражено"))</f>
        <v/>
      </c>
      <c r="I140">
        <f>IF($A140="","",COUNTIFS('Таблиця 1'!$B:$B,$A140,'Таблиця 1'!$E:$E,"ПУ БпЛА",'Таблиця 1'!$L:$L,"Уражено"))</f>
        <v/>
      </c>
      <c r="J140">
        <f>IF($A140="","",COUNTIFS('Таблиця 1'!$B:$B,$A140,'Таблиця 1'!$E:$E,"СП",'Таблиця 1'!$L:$L,"Уражено"))</f>
        <v/>
      </c>
      <c r="K140">
        <f>IF($A140="","",COUNTIFS('Таблиця 1'!$B:$B,$A140,'Таблиця 1'!$E:$E,"КСП роти",'Таблиця 1'!$L:$L,"Уражено"))</f>
        <v/>
      </c>
      <c r="L140">
        <f>IF($A140="","",COUNTIFS('Таблиця 1'!$B:$B,$A140,'Таблиця 1'!$E:$E,"ПУ бат",'Таблиця 1'!$L:$L,"Уражено"))</f>
        <v/>
      </c>
      <c r="M140">
        <f>IF($A140="","",COUNTIFS('Таблиця 1'!$B:$B,$A140,'Таблиця 1'!$E:$E,"ПУ бриг",'Таблиця 1'!$L:$L,"Уражено"))</f>
        <v/>
      </c>
      <c r="N140">
        <f>IF($A140="","",COUNTIFS('Таблиця 1'!$B:$B,$A140,'Таблиця 1'!$E:$E,"ПУ див",'Таблиця 1'!$L:$L,"Уражено"))</f>
        <v/>
      </c>
      <c r="O140">
        <f>IF($A140="","",COUNTIFS('Таблиця 1'!$B:$B,$A140,'Таблиця 1'!$E:$E,"обл. РЕБ",'Таблиця 1'!$L:$L,"Уражено"))</f>
        <v/>
      </c>
      <c r="P140">
        <f>IF($A140="","",COUNTIFS('Таблиця 1'!$B:$B,$A140,'Таблиця 1'!$E:$E,"пос РЕБ",'Таблиця 1'!$L:$L,"Уражено"))</f>
        <v/>
      </c>
      <c r="Q140">
        <f>IF($A140="","",COUNTIFS('Таблиця 1'!$B:$B,$A140,'Таблиця 1'!$E:$E,"група РЕР",'Таблиця 1'!$L:$L,"Уражено"))</f>
        <v/>
      </c>
      <c r="R140">
        <f>IF($A140="","",COUNTIFS('Таблиця 1'!$B:$B,$A140,'Таблиця 1'!$E:$E,"РЛС КББ",'Таблиця 1'!$L:$L,"Уражено"))</f>
        <v/>
      </c>
      <c r="S140">
        <f>IF($A140="","",COUNTIFS('Таблиця 1'!$B:$B,$A140,'Таблиця 1'!$E:$E,"Ретранслятор",'Таблиця 1'!$L:$L,"Уражено"))</f>
        <v/>
      </c>
      <c r="T140">
        <f>IF($A140="","",COUNTIFS('Таблиця 1'!$B:$B,$A140,'Таблиця 1'!$E:$E,"Вз.зв'язку",'Таблиця 1'!$L:$L,"Уражено"))</f>
        <v/>
      </c>
      <c r="U140">
        <f>IF($A140="","",COUNTIFS('Таблиця 1'!$B:$B,$A140,'Таблиця 1'!$E:$E,"ПММ",'Таблиця 1'!$L:$L,"Уражено"))</f>
        <v/>
      </c>
      <c r="V140">
        <f>IF($A140="","",COUNTIFS('Таблиця 1'!$B:$B,$A140,'Таблиця 1'!$E:$E,"ІФС",'Таблиця 1'!$L:$L,"Уражено"))</f>
        <v/>
      </c>
      <c r="W140">
        <f>IF($A140="","",COUNTIFS('Таблиця 1'!$B:$B,$A140,'Таблиця 1'!$E:$E,"Інфраструктура",'Таблиця 1'!$L:$L,"Уражено"))</f>
        <v/>
      </c>
      <c r="X140">
        <f>IF($A140="","",SUMIFS('Таблиця 1'!$K:$K,'Таблиця 1'!$B:$B,$A140))</f>
        <v/>
      </c>
    </row>
    <row r="141">
      <c r="A141" s="81">
        <f>IF(A140="","",IF(A140+1&gt;MAX('Таблиця 1'!$B:$B),"",A140+1))</f>
        <v/>
      </c>
      <c r="B141">
        <f>IF($A141="","",COUNTIFS('Таблиця 1'!$B:$B,$A141,'Таблиця 1'!$E:$E,"ЖС ВЗ",'Таблиця 1'!$L:$L,"Уражено"))</f>
        <v/>
      </c>
      <c r="C141">
        <f>IF($A141="","",COUNTIFS('Таблиця 1'!$B:$B,$A141,'Таблиця 1'!$E:$E,"Арт. Системи",'Таблиця 1'!$L:$L,"Уражено"))</f>
        <v/>
      </c>
      <c r="D141">
        <f>IF($A141="","",COUNTIFS('Таблиця 1'!$B:$B,$A141,'Таблиця 1'!$E:$E,"ОВТ",'Таблиця 1'!$L:$L,"Уражено"))</f>
        <v/>
      </c>
      <c r="E141">
        <f>IF($A141="","",COUNTIFS('Таблиця 1'!$B:$B,$A141,'Таблиця 1'!$E:$E,"ППО",'Таблиця 1'!$L:$L,"Уражено"))</f>
        <v/>
      </c>
      <c r="F141">
        <f>IF($A141="","",COUNTIFS('Таблиця 1'!$B:$B,$A141,'Таблиця 1'!$E:$E,"Рембаза",'Таблиця 1'!$L:$L,"Уражено"))</f>
        <v/>
      </c>
      <c r="G141">
        <f>IF($A141="","",COUNTIFS('Таблиця 1'!$B:$B,$A141,'Таблиця 1'!$E:$E,"Склад БК",'Таблиця 1'!$L:$L,"Уражено"))</f>
        <v/>
      </c>
      <c r="H141">
        <f>IF($A141="","",COUNTIFS('Таблиця 1'!$B:$B,$A141,'Таблиця 1'!$E:$E,"Склад ВТМ",'Таблиця 1'!$L:$L,"Уражено"))</f>
        <v/>
      </c>
      <c r="I141">
        <f>IF($A141="","",COUNTIFS('Таблиця 1'!$B:$B,$A141,'Таблиця 1'!$E:$E,"ПУ БпЛА",'Таблиця 1'!$L:$L,"Уражено"))</f>
        <v/>
      </c>
      <c r="J141">
        <f>IF($A141="","",COUNTIFS('Таблиця 1'!$B:$B,$A141,'Таблиця 1'!$E:$E,"СП",'Таблиця 1'!$L:$L,"Уражено"))</f>
        <v/>
      </c>
      <c r="K141">
        <f>IF($A141="","",COUNTIFS('Таблиця 1'!$B:$B,$A141,'Таблиця 1'!$E:$E,"КСП роти",'Таблиця 1'!$L:$L,"Уражено"))</f>
        <v/>
      </c>
      <c r="L141">
        <f>IF($A141="","",COUNTIFS('Таблиця 1'!$B:$B,$A141,'Таблиця 1'!$E:$E,"ПУ бат",'Таблиця 1'!$L:$L,"Уражено"))</f>
        <v/>
      </c>
      <c r="M141">
        <f>IF($A141="","",COUNTIFS('Таблиця 1'!$B:$B,$A141,'Таблиця 1'!$E:$E,"ПУ бриг",'Таблиця 1'!$L:$L,"Уражено"))</f>
        <v/>
      </c>
      <c r="N141">
        <f>IF($A141="","",COUNTIFS('Таблиця 1'!$B:$B,$A141,'Таблиця 1'!$E:$E,"ПУ див",'Таблиця 1'!$L:$L,"Уражено"))</f>
        <v/>
      </c>
      <c r="O141">
        <f>IF($A141="","",COUNTIFS('Таблиця 1'!$B:$B,$A141,'Таблиця 1'!$E:$E,"обл. РЕБ",'Таблиця 1'!$L:$L,"Уражено"))</f>
        <v/>
      </c>
      <c r="P141">
        <f>IF($A141="","",COUNTIFS('Таблиця 1'!$B:$B,$A141,'Таблиця 1'!$E:$E,"пос РЕБ",'Таблиця 1'!$L:$L,"Уражено"))</f>
        <v/>
      </c>
      <c r="Q141">
        <f>IF($A141="","",COUNTIFS('Таблиця 1'!$B:$B,$A141,'Таблиця 1'!$E:$E,"група РЕР",'Таблиця 1'!$L:$L,"Уражено"))</f>
        <v/>
      </c>
      <c r="R141">
        <f>IF($A141="","",COUNTIFS('Таблиця 1'!$B:$B,$A141,'Таблиця 1'!$E:$E,"РЛС КББ",'Таблиця 1'!$L:$L,"Уражено"))</f>
        <v/>
      </c>
      <c r="S141">
        <f>IF($A141="","",COUNTIFS('Таблиця 1'!$B:$B,$A141,'Таблиця 1'!$E:$E,"Ретранслятор",'Таблиця 1'!$L:$L,"Уражено"))</f>
        <v/>
      </c>
      <c r="T141">
        <f>IF($A141="","",COUNTIFS('Таблиця 1'!$B:$B,$A141,'Таблиця 1'!$E:$E,"Вз.зв'язку",'Таблиця 1'!$L:$L,"Уражено"))</f>
        <v/>
      </c>
      <c r="U141">
        <f>IF($A141="","",COUNTIFS('Таблиця 1'!$B:$B,$A141,'Таблиця 1'!$E:$E,"ПММ",'Таблиця 1'!$L:$L,"Уражено"))</f>
        <v/>
      </c>
      <c r="V141">
        <f>IF($A141="","",COUNTIFS('Таблиця 1'!$B:$B,$A141,'Таблиця 1'!$E:$E,"ІФС",'Таблиця 1'!$L:$L,"Уражено"))</f>
        <v/>
      </c>
      <c r="W141">
        <f>IF($A141="","",COUNTIFS('Таблиця 1'!$B:$B,$A141,'Таблиця 1'!$E:$E,"Інфраструктура",'Таблиця 1'!$L:$L,"Уражено"))</f>
        <v/>
      </c>
      <c r="X141">
        <f>IF($A141="","",SUMIFS('Таблиця 1'!$K:$K,'Таблиця 1'!$B:$B,$A141))</f>
        <v/>
      </c>
    </row>
    <row r="142">
      <c r="A142" s="81">
        <f>IF(A141="","",IF(A141+1&gt;MAX('Таблиця 1'!$B:$B),"",A141+1))</f>
        <v/>
      </c>
      <c r="B142">
        <f>IF($A142="","",COUNTIFS('Таблиця 1'!$B:$B,$A142,'Таблиця 1'!$E:$E,"ЖС ВЗ",'Таблиця 1'!$L:$L,"Уражено"))</f>
        <v/>
      </c>
      <c r="C142">
        <f>IF($A142="","",COUNTIFS('Таблиця 1'!$B:$B,$A142,'Таблиця 1'!$E:$E,"Арт. Системи",'Таблиця 1'!$L:$L,"Уражено"))</f>
        <v/>
      </c>
      <c r="D142">
        <f>IF($A142="","",COUNTIFS('Таблиця 1'!$B:$B,$A142,'Таблиця 1'!$E:$E,"ОВТ",'Таблиця 1'!$L:$L,"Уражено"))</f>
        <v/>
      </c>
      <c r="E142">
        <f>IF($A142="","",COUNTIFS('Таблиця 1'!$B:$B,$A142,'Таблиця 1'!$E:$E,"ППО",'Таблиця 1'!$L:$L,"Уражено"))</f>
        <v/>
      </c>
      <c r="F142">
        <f>IF($A142="","",COUNTIFS('Таблиця 1'!$B:$B,$A142,'Таблиця 1'!$E:$E,"Рембаза",'Таблиця 1'!$L:$L,"Уражено"))</f>
        <v/>
      </c>
      <c r="G142">
        <f>IF($A142="","",COUNTIFS('Таблиця 1'!$B:$B,$A142,'Таблиця 1'!$E:$E,"Склад БК",'Таблиця 1'!$L:$L,"Уражено"))</f>
        <v/>
      </c>
      <c r="H142">
        <f>IF($A142="","",COUNTIFS('Таблиця 1'!$B:$B,$A142,'Таблиця 1'!$E:$E,"Склад ВТМ",'Таблиця 1'!$L:$L,"Уражено"))</f>
        <v/>
      </c>
      <c r="I142">
        <f>IF($A142="","",COUNTIFS('Таблиця 1'!$B:$B,$A142,'Таблиця 1'!$E:$E,"ПУ БпЛА",'Таблиця 1'!$L:$L,"Уражено"))</f>
        <v/>
      </c>
      <c r="J142">
        <f>IF($A142="","",COUNTIFS('Таблиця 1'!$B:$B,$A142,'Таблиця 1'!$E:$E,"СП",'Таблиця 1'!$L:$L,"Уражено"))</f>
        <v/>
      </c>
      <c r="K142">
        <f>IF($A142="","",COUNTIFS('Таблиця 1'!$B:$B,$A142,'Таблиця 1'!$E:$E,"КСП роти",'Таблиця 1'!$L:$L,"Уражено"))</f>
        <v/>
      </c>
      <c r="L142">
        <f>IF($A142="","",COUNTIFS('Таблиця 1'!$B:$B,$A142,'Таблиця 1'!$E:$E,"ПУ бат",'Таблиця 1'!$L:$L,"Уражено"))</f>
        <v/>
      </c>
      <c r="M142">
        <f>IF($A142="","",COUNTIFS('Таблиця 1'!$B:$B,$A142,'Таблиця 1'!$E:$E,"ПУ бриг",'Таблиця 1'!$L:$L,"Уражено"))</f>
        <v/>
      </c>
      <c r="N142">
        <f>IF($A142="","",COUNTIFS('Таблиця 1'!$B:$B,$A142,'Таблиця 1'!$E:$E,"ПУ див",'Таблиця 1'!$L:$L,"Уражено"))</f>
        <v/>
      </c>
      <c r="O142">
        <f>IF($A142="","",COUNTIFS('Таблиця 1'!$B:$B,$A142,'Таблиця 1'!$E:$E,"обл. РЕБ",'Таблиця 1'!$L:$L,"Уражено"))</f>
        <v/>
      </c>
      <c r="P142">
        <f>IF($A142="","",COUNTIFS('Таблиця 1'!$B:$B,$A142,'Таблиця 1'!$E:$E,"пос РЕБ",'Таблиця 1'!$L:$L,"Уражено"))</f>
        <v/>
      </c>
      <c r="Q142">
        <f>IF($A142="","",COUNTIFS('Таблиця 1'!$B:$B,$A142,'Таблиця 1'!$E:$E,"група РЕР",'Таблиця 1'!$L:$L,"Уражено"))</f>
        <v/>
      </c>
      <c r="R142">
        <f>IF($A142="","",COUNTIFS('Таблиця 1'!$B:$B,$A142,'Таблиця 1'!$E:$E,"РЛС КББ",'Таблиця 1'!$L:$L,"Уражено"))</f>
        <v/>
      </c>
      <c r="S142">
        <f>IF($A142="","",COUNTIFS('Таблиця 1'!$B:$B,$A142,'Таблиця 1'!$E:$E,"Ретранслятор",'Таблиця 1'!$L:$L,"Уражено"))</f>
        <v/>
      </c>
      <c r="T142">
        <f>IF($A142="","",COUNTIFS('Таблиця 1'!$B:$B,$A142,'Таблиця 1'!$E:$E,"Вз.зв'язку",'Таблиця 1'!$L:$L,"Уражено"))</f>
        <v/>
      </c>
      <c r="U142">
        <f>IF($A142="","",COUNTIFS('Таблиця 1'!$B:$B,$A142,'Таблиця 1'!$E:$E,"ПММ",'Таблиця 1'!$L:$L,"Уражено"))</f>
        <v/>
      </c>
      <c r="V142">
        <f>IF($A142="","",COUNTIFS('Таблиця 1'!$B:$B,$A142,'Таблиця 1'!$E:$E,"ІФС",'Таблиця 1'!$L:$L,"Уражено"))</f>
        <v/>
      </c>
      <c r="W142">
        <f>IF($A142="","",COUNTIFS('Таблиця 1'!$B:$B,$A142,'Таблиця 1'!$E:$E,"Інфраструктура",'Таблиця 1'!$L:$L,"Уражено"))</f>
        <v/>
      </c>
      <c r="X142">
        <f>IF($A142="","",SUMIFS('Таблиця 1'!$K:$K,'Таблиця 1'!$B:$B,$A142))</f>
        <v/>
      </c>
    </row>
    <row r="143">
      <c r="A143" s="81">
        <f>IF(A142="","",IF(A142+1&gt;MAX('Таблиця 1'!$B:$B),"",A142+1))</f>
        <v/>
      </c>
      <c r="B143">
        <f>IF($A143="","",COUNTIFS('Таблиця 1'!$B:$B,$A143,'Таблиця 1'!$E:$E,"ЖС ВЗ",'Таблиця 1'!$L:$L,"Уражено"))</f>
        <v/>
      </c>
      <c r="C143">
        <f>IF($A143="","",COUNTIFS('Таблиця 1'!$B:$B,$A143,'Таблиця 1'!$E:$E,"Арт. Системи",'Таблиця 1'!$L:$L,"Уражено"))</f>
        <v/>
      </c>
      <c r="D143">
        <f>IF($A143="","",COUNTIFS('Таблиця 1'!$B:$B,$A143,'Таблиця 1'!$E:$E,"ОВТ",'Таблиця 1'!$L:$L,"Уражено"))</f>
        <v/>
      </c>
      <c r="E143">
        <f>IF($A143="","",COUNTIFS('Таблиця 1'!$B:$B,$A143,'Таблиця 1'!$E:$E,"ППО",'Таблиця 1'!$L:$L,"Уражено"))</f>
        <v/>
      </c>
      <c r="F143">
        <f>IF($A143="","",COUNTIFS('Таблиця 1'!$B:$B,$A143,'Таблиця 1'!$E:$E,"Рембаза",'Таблиця 1'!$L:$L,"Уражено"))</f>
        <v/>
      </c>
      <c r="G143">
        <f>IF($A143="","",COUNTIFS('Таблиця 1'!$B:$B,$A143,'Таблиця 1'!$E:$E,"Склад БК",'Таблиця 1'!$L:$L,"Уражено"))</f>
        <v/>
      </c>
      <c r="H143">
        <f>IF($A143="","",COUNTIFS('Таблиця 1'!$B:$B,$A143,'Таблиця 1'!$E:$E,"Склад ВТМ",'Таблиця 1'!$L:$L,"Уражено"))</f>
        <v/>
      </c>
      <c r="I143">
        <f>IF($A143="","",COUNTIFS('Таблиця 1'!$B:$B,$A143,'Таблиця 1'!$E:$E,"ПУ БпЛА",'Таблиця 1'!$L:$L,"Уражено"))</f>
        <v/>
      </c>
      <c r="J143">
        <f>IF($A143="","",COUNTIFS('Таблиця 1'!$B:$B,$A143,'Таблиця 1'!$E:$E,"СП",'Таблиця 1'!$L:$L,"Уражено"))</f>
        <v/>
      </c>
      <c r="K143">
        <f>IF($A143="","",COUNTIFS('Таблиця 1'!$B:$B,$A143,'Таблиця 1'!$E:$E,"КСП роти",'Таблиця 1'!$L:$L,"Уражено"))</f>
        <v/>
      </c>
      <c r="L143">
        <f>IF($A143="","",COUNTIFS('Таблиця 1'!$B:$B,$A143,'Таблиця 1'!$E:$E,"ПУ бат",'Таблиця 1'!$L:$L,"Уражено"))</f>
        <v/>
      </c>
      <c r="M143">
        <f>IF($A143="","",COUNTIFS('Таблиця 1'!$B:$B,$A143,'Таблиця 1'!$E:$E,"ПУ бриг",'Таблиця 1'!$L:$L,"Уражено"))</f>
        <v/>
      </c>
      <c r="N143">
        <f>IF($A143="","",COUNTIFS('Таблиця 1'!$B:$B,$A143,'Таблиця 1'!$E:$E,"ПУ див",'Таблиця 1'!$L:$L,"Уражено"))</f>
        <v/>
      </c>
      <c r="O143">
        <f>IF($A143="","",COUNTIFS('Таблиця 1'!$B:$B,$A143,'Таблиця 1'!$E:$E,"обл. РЕБ",'Таблиця 1'!$L:$L,"Уражено"))</f>
        <v/>
      </c>
      <c r="P143">
        <f>IF($A143="","",COUNTIFS('Таблиця 1'!$B:$B,$A143,'Таблиця 1'!$E:$E,"пос РЕБ",'Таблиця 1'!$L:$L,"Уражено"))</f>
        <v/>
      </c>
      <c r="Q143">
        <f>IF($A143="","",COUNTIFS('Таблиця 1'!$B:$B,$A143,'Таблиця 1'!$E:$E,"група РЕР",'Таблиця 1'!$L:$L,"Уражено"))</f>
        <v/>
      </c>
      <c r="R143">
        <f>IF($A143="","",COUNTIFS('Таблиця 1'!$B:$B,$A143,'Таблиця 1'!$E:$E,"РЛС КББ",'Таблиця 1'!$L:$L,"Уражено"))</f>
        <v/>
      </c>
      <c r="S143">
        <f>IF($A143="","",COUNTIFS('Таблиця 1'!$B:$B,$A143,'Таблиця 1'!$E:$E,"Ретранслятор",'Таблиця 1'!$L:$L,"Уражено"))</f>
        <v/>
      </c>
      <c r="T143">
        <f>IF($A143="","",COUNTIFS('Таблиця 1'!$B:$B,$A143,'Таблиця 1'!$E:$E,"Вз.зв'язку",'Таблиця 1'!$L:$L,"Уражено"))</f>
        <v/>
      </c>
      <c r="U143">
        <f>IF($A143="","",COUNTIFS('Таблиця 1'!$B:$B,$A143,'Таблиця 1'!$E:$E,"ПММ",'Таблиця 1'!$L:$L,"Уражено"))</f>
        <v/>
      </c>
      <c r="V143">
        <f>IF($A143="","",COUNTIFS('Таблиця 1'!$B:$B,$A143,'Таблиця 1'!$E:$E,"ІФС",'Таблиця 1'!$L:$L,"Уражено"))</f>
        <v/>
      </c>
      <c r="W143">
        <f>IF($A143="","",COUNTIFS('Таблиця 1'!$B:$B,$A143,'Таблиця 1'!$E:$E,"Інфраструктура",'Таблиця 1'!$L:$L,"Уражено"))</f>
        <v/>
      </c>
      <c r="X143">
        <f>IF($A143="","",SUMIFS('Таблиця 1'!$K:$K,'Таблиця 1'!$B:$B,$A143))</f>
        <v/>
      </c>
    </row>
    <row r="144">
      <c r="A144" s="81">
        <f>IF(A143="","",IF(A143+1&gt;MAX('Таблиця 1'!$B:$B),"",A143+1))</f>
        <v/>
      </c>
      <c r="B144">
        <f>IF($A144="","",COUNTIFS('Таблиця 1'!$B:$B,$A144,'Таблиця 1'!$E:$E,"ЖС ВЗ",'Таблиця 1'!$L:$L,"Уражено"))</f>
        <v/>
      </c>
      <c r="C144">
        <f>IF($A144="","",COUNTIFS('Таблиця 1'!$B:$B,$A144,'Таблиця 1'!$E:$E,"Арт. Системи",'Таблиця 1'!$L:$L,"Уражено"))</f>
        <v/>
      </c>
      <c r="D144">
        <f>IF($A144="","",COUNTIFS('Таблиця 1'!$B:$B,$A144,'Таблиця 1'!$E:$E,"ОВТ",'Таблиця 1'!$L:$L,"Уражено"))</f>
        <v/>
      </c>
      <c r="E144">
        <f>IF($A144="","",COUNTIFS('Таблиця 1'!$B:$B,$A144,'Таблиця 1'!$E:$E,"ППО",'Таблиця 1'!$L:$L,"Уражено"))</f>
        <v/>
      </c>
      <c r="F144">
        <f>IF($A144="","",COUNTIFS('Таблиця 1'!$B:$B,$A144,'Таблиця 1'!$E:$E,"Рембаза",'Таблиця 1'!$L:$L,"Уражено"))</f>
        <v/>
      </c>
      <c r="G144">
        <f>IF($A144="","",COUNTIFS('Таблиця 1'!$B:$B,$A144,'Таблиця 1'!$E:$E,"Склад БК",'Таблиця 1'!$L:$L,"Уражено"))</f>
        <v/>
      </c>
      <c r="H144">
        <f>IF($A144="","",COUNTIFS('Таблиця 1'!$B:$B,$A144,'Таблиця 1'!$E:$E,"Склад ВТМ",'Таблиця 1'!$L:$L,"Уражено"))</f>
        <v/>
      </c>
      <c r="I144">
        <f>IF($A144="","",COUNTIFS('Таблиця 1'!$B:$B,$A144,'Таблиця 1'!$E:$E,"ПУ БпЛА",'Таблиця 1'!$L:$L,"Уражено"))</f>
        <v/>
      </c>
      <c r="J144">
        <f>IF($A144="","",COUNTIFS('Таблиця 1'!$B:$B,$A144,'Таблиця 1'!$E:$E,"СП",'Таблиця 1'!$L:$L,"Уражено"))</f>
        <v/>
      </c>
      <c r="K144">
        <f>IF($A144="","",COUNTIFS('Таблиця 1'!$B:$B,$A144,'Таблиця 1'!$E:$E,"КСП роти",'Таблиця 1'!$L:$L,"Уражено"))</f>
        <v/>
      </c>
      <c r="L144">
        <f>IF($A144="","",COUNTIFS('Таблиця 1'!$B:$B,$A144,'Таблиця 1'!$E:$E,"ПУ бат",'Таблиця 1'!$L:$L,"Уражено"))</f>
        <v/>
      </c>
      <c r="M144">
        <f>IF($A144="","",COUNTIFS('Таблиця 1'!$B:$B,$A144,'Таблиця 1'!$E:$E,"ПУ бриг",'Таблиця 1'!$L:$L,"Уражено"))</f>
        <v/>
      </c>
      <c r="N144">
        <f>IF($A144="","",COUNTIFS('Таблиця 1'!$B:$B,$A144,'Таблиця 1'!$E:$E,"ПУ див",'Таблиця 1'!$L:$L,"Уражено"))</f>
        <v/>
      </c>
      <c r="O144">
        <f>IF($A144="","",COUNTIFS('Таблиця 1'!$B:$B,$A144,'Таблиця 1'!$E:$E,"обл. РЕБ",'Таблиця 1'!$L:$L,"Уражено"))</f>
        <v/>
      </c>
      <c r="P144">
        <f>IF($A144="","",COUNTIFS('Таблиця 1'!$B:$B,$A144,'Таблиця 1'!$E:$E,"пос РЕБ",'Таблиця 1'!$L:$L,"Уражено"))</f>
        <v/>
      </c>
      <c r="Q144">
        <f>IF($A144="","",COUNTIFS('Таблиця 1'!$B:$B,$A144,'Таблиця 1'!$E:$E,"група РЕР",'Таблиця 1'!$L:$L,"Уражено"))</f>
        <v/>
      </c>
      <c r="R144">
        <f>IF($A144="","",COUNTIFS('Таблиця 1'!$B:$B,$A144,'Таблиця 1'!$E:$E,"РЛС КББ",'Таблиця 1'!$L:$L,"Уражено"))</f>
        <v/>
      </c>
      <c r="S144">
        <f>IF($A144="","",COUNTIFS('Таблиця 1'!$B:$B,$A144,'Таблиця 1'!$E:$E,"Ретранслятор",'Таблиця 1'!$L:$L,"Уражено"))</f>
        <v/>
      </c>
      <c r="T144">
        <f>IF($A144="","",COUNTIFS('Таблиця 1'!$B:$B,$A144,'Таблиця 1'!$E:$E,"Вз.зв'язку",'Таблиця 1'!$L:$L,"Уражено"))</f>
        <v/>
      </c>
      <c r="U144">
        <f>IF($A144="","",COUNTIFS('Таблиця 1'!$B:$B,$A144,'Таблиця 1'!$E:$E,"ПММ",'Таблиця 1'!$L:$L,"Уражено"))</f>
        <v/>
      </c>
      <c r="V144">
        <f>IF($A144="","",COUNTIFS('Таблиця 1'!$B:$B,$A144,'Таблиця 1'!$E:$E,"ІФС",'Таблиця 1'!$L:$L,"Уражено"))</f>
        <v/>
      </c>
      <c r="W144">
        <f>IF($A144="","",COUNTIFS('Таблиця 1'!$B:$B,$A144,'Таблиця 1'!$E:$E,"Інфраструктура",'Таблиця 1'!$L:$L,"Уражено"))</f>
        <v/>
      </c>
      <c r="X144">
        <f>IF($A144="","",SUMIFS('Таблиця 1'!$K:$K,'Таблиця 1'!$B:$B,$A144))</f>
        <v/>
      </c>
    </row>
    <row r="145">
      <c r="A145" s="81">
        <f>IF(A144="","",IF(A144+1&gt;MAX('Таблиця 1'!$B:$B),"",A144+1))</f>
        <v/>
      </c>
      <c r="B145">
        <f>IF($A145="","",COUNTIFS('Таблиця 1'!$B:$B,$A145,'Таблиця 1'!$E:$E,"ЖС ВЗ",'Таблиця 1'!$L:$L,"Уражено"))</f>
        <v/>
      </c>
      <c r="C145">
        <f>IF($A145="","",COUNTIFS('Таблиця 1'!$B:$B,$A145,'Таблиця 1'!$E:$E,"Арт. Системи",'Таблиця 1'!$L:$L,"Уражено"))</f>
        <v/>
      </c>
      <c r="D145">
        <f>IF($A145="","",COUNTIFS('Таблиця 1'!$B:$B,$A145,'Таблиця 1'!$E:$E,"ОВТ",'Таблиця 1'!$L:$L,"Уражено"))</f>
        <v/>
      </c>
      <c r="E145">
        <f>IF($A145="","",COUNTIFS('Таблиця 1'!$B:$B,$A145,'Таблиця 1'!$E:$E,"ППО",'Таблиця 1'!$L:$L,"Уражено"))</f>
        <v/>
      </c>
      <c r="F145">
        <f>IF($A145="","",COUNTIFS('Таблиця 1'!$B:$B,$A145,'Таблиця 1'!$E:$E,"Рембаза",'Таблиця 1'!$L:$L,"Уражено"))</f>
        <v/>
      </c>
      <c r="G145">
        <f>IF($A145="","",COUNTIFS('Таблиця 1'!$B:$B,$A145,'Таблиця 1'!$E:$E,"Склад БК",'Таблиця 1'!$L:$L,"Уражено"))</f>
        <v/>
      </c>
      <c r="H145">
        <f>IF($A145="","",COUNTIFS('Таблиця 1'!$B:$B,$A145,'Таблиця 1'!$E:$E,"Склад ВТМ",'Таблиця 1'!$L:$L,"Уражено"))</f>
        <v/>
      </c>
      <c r="I145">
        <f>IF($A145="","",COUNTIFS('Таблиця 1'!$B:$B,$A145,'Таблиця 1'!$E:$E,"ПУ БпЛА",'Таблиця 1'!$L:$L,"Уражено"))</f>
        <v/>
      </c>
      <c r="J145">
        <f>IF($A145="","",COUNTIFS('Таблиця 1'!$B:$B,$A145,'Таблиця 1'!$E:$E,"СП",'Таблиця 1'!$L:$L,"Уражено"))</f>
        <v/>
      </c>
      <c r="K145">
        <f>IF($A145="","",COUNTIFS('Таблиця 1'!$B:$B,$A145,'Таблиця 1'!$E:$E,"КСП роти",'Таблиця 1'!$L:$L,"Уражено"))</f>
        <v/>
      </c>
      <c r="L145">
        <f>IF($A145="","",COUNTIFS('Таблиця 1'!$B:$B,$A145,'Таблиця 1'!$E:$E,"ПУ бат",'Таблиця 1'!$L:$L,"Уражено"))</f>
        <v/>
      </c>
      <c r="M145">
        <f>IF($A145="","",COUNTIFS('Таблиця 1'!$B:$B,$A145,'Таблиця 1'!$E:$E,"ПУ бриг",'Таблиця 1'!$L:$L,"Уражено"))</f>
        <v/>
      </c>
      <c r="N145">
        <f>IF($A145="","",COUNTIFS('Таблиця 1'!$B:$B,$A145,'Таблиця 1'!$E:$E,"ПУ див",'Таблиця 1'!$L:$L,"Уражено"))</f>
        <v/>
      </c>
      <c r="O145">
        <f>IF($A145="","",COUNTIFS('Таблиця 1'!$B:$B,$A145,'Таблиця 1'!$E:$E,"обл. РЕБ",'Таблиця 1'!$L:$L,"Уражено"))</f>
        <v/>
      </c>
      <c r="P145">
        <f>IF($A145="","",COUNTIFS('Таблиця 1'!$B:$B,$A145,'Таблиця 1'!$E:$E,"пос РЕБ",'Таблиця 1'!$L:$L,"Уражено"))</f>
        <v/>
      </c>
      <c r="Q145">
        <f>IF($A145="","",COUNTIFS('Таблиця 1'!$B:$B,$A145,'Таблиця 1'!$E:$E,"група РЕР",'Таблиця 1'!$L:$L,"Уражено"))</f>
        <v/>
      </c>
      <c r="R145">
        <f>IF($A145="","",COUNTIFS('Таблиця 1'!$B:$B,$A145,'Таблиця 1'!$E:$E,"РЛС КББ",'Таблиця 1'!$L:$L,"Уражено"))</f>
        <v/>
      </c>
      <c r="S145">
        <f>IF($A145="","",COUNTIFS('Таблиця 1'!$B:$B,$A145,'Таблиця 1'!$E:$E,"Ретранслятор",'Таблиця 1'!$L:$L,"Уражено"))</f>
        <v/>
      </c>
      <c r="T145">
        <f>IF($A145="","",COUNTIFS('Таблиця 1'!$B:$B,$A145,'Таблиця 1'!$E:$E,"Вз.зв'язку",'Таблиця 1'!$L:$L,"Уражено"))</f>
        <v/>
      </c>
      <c r="U145">
        <f>IF($A145="","",COUNTIFS('Таблиця 1'!$B:$B,$A145,'Таблиця 1'!$E:$E,"ПММ",'Таблиця 1'!$L:$L,"Уражено"))</f>
        <v/>
      </c>
      <c r="V145">
        <f>IF($A145="","",COUNTIFS('Таблиця 1'!$B:$B,$A145,'Таблиця 1'!$E:$E,"ІФС",'Таблиця 1'!$L:$L,"Уражено"))</f>
        <v/>
      </c>
      <c r="W145">
        <f>IF($A145="","",COUNTIFS('Таблиця 1'!$B:$B,$A145,'Таблиця 1'!$E:$E,"Інфраструктура",'Таблиця 1'!$L:$L,"Уражено"))</f>
        <v/>
      </c>
      <c r="X145">
        <f>IF($A145="","",SUMIFS('Таблиця 1'!$K:$K,'Таблиця 1'!$B:$B,$A145))</f>
        <v/>
      </c>
    </row>
    <row r="146">
      <c r="A146" s="81">
        <f>IF(A145="","",IF(A145+1&gt;MAX('Таблиця 1'!$B:$B),"",A145+1))</f>
        <v/>
      </c>
      <c r="B146">
        <f>IF($A146="","",COUNTIFS('Таблиця 1'!$B:$B,$A146,'Таблиця 1'!$E:$E,"ЖС ВЗ",'Таблиця 1'!$L:$L,"Уражено"))</f>
        <v/>
      </c>
      <c r="C146">
        <f>IF($A146="","",COUNTIFS('Таблиця 1'!$B:$B,$A146,'Таблиця 1'!$E:$E,"Арт. Системи",'Таблиця 1'!$L:$L,"Уражено"))</f>
        <v/>
      </c>
      <c r="D146">
        <f>IF($A146="","",COUNTIFS('Таблиця 1'!$B:$B,$A146,'Таблиця 1'!$E:$E,"ОВТ",'Таблиця 1'!$L:$L,"Уражено"))</f>
        <v/>
      </c>
      <c r="E146">
        <f>IF($A146="","",COUNTIFS('Таблиця 1'!$B:$B,$A146,'Таблиця 1'!$E:$E,"ППО",'Таблиця 1'!$L:$L,"Уражено"))</f>
        <v/>
      </c>
      <c r="F146">
        <f>IF($A146="","",COUNTIFS('Таблиця 1'!$B:$B,$A146,'Таблиця 1'!$E:$E,"Рембаза",'Таблиця 1'!$L:$L,"Уражено"))</f>
        <v/>
      </c>
      <c r="G146">
        <f>IF($A146="","",COUNTIFS('Таблиця 1'!$B:$B,$A146,'Таблиця 1'!$E:$E,"Склад БК",'Таблиця 1'!$L:$L,"Уражено"))</f>
        <v/>
      </c>
      <c r="H146">
        <f>IF($A146="","",COUNTIFS('Таблиця 1'!$B:$B,$A146,'Таблиця 1'!$E:$E,"Склад ВТМ",'Таблиця 1'!$L:$L,"Уражено"))</f>
        <v/>
      </c>
      <c r="I146">
        <f>IF($A146="","",COUNTIFS('Таблиця 1'!$B:$B,$A146,'Таблиця 1'!$E:$E,"ПУ БпЛА",'Таблиця 1'!$L:$L,"Уражено"))</f>
        <v/>
      </c>
      <c r="J146">
        <f>IF($A146="","",COUNTIFS('Таблиця 1'!$B:$B,$A146,'Таблиця 1'!$E:$E,"СП",'Таблиця 1'!$L:$L,"Уражено"))</f>
        <v/>
      </c>
      <c r="K146">
        <f>IF($A146="","",COUNTIFS('Таблиця 1'!$B:$B,$A146,'Таблиця 1'!$E:$E,"КСП роти",'Таблиця 1'!$L:$L,"Уражено"))</f>
        <v/>
      </c>
      <c r="L146">
        <f>IF($A146="","",COUNTIFS('Таблиця 1'!$B:$B,$A146,'Таблиця 1'!$E:$E,"ПУ бат",'Таблиця 1'!$L:$L,"Уражено"))</f>
        <v/>
      </c>
      <c r="M146">
        <f>IF($A146="","",COUNTIFS('Таблиця 1'!$B:$B,$A146,'Таблиця 1'!$E:$E,"ПУ бриг",'Таблиця 1'!$L:$L,"Уражено"))</f>
        <v/>
      </c>
      <c r="N146">
        <f>IF($A146="","",COUNTIFS('Таблиця 1'!$B:$B,$A146,'Таблиця 1'!$E:$E,"ПУ див",'Таблиця 1'!$L:$L,"Уражено"))</f>
        <v/>
      </c>
      <c r="O146">
        <f>IF($A146="","",COUNTIFS('Таблиця 1'!$B:$B,$A146,'Таблиця 1'!$E:$E,"обл. РЕБ",'Таблиця 1'!$L:$L,"Уражено"))</f>
        <v/>
      </c>
      <c r="P146">
        <f>IF($A146="","",COUNTIFS('Таблиця 1'!$B:$B,$A146,'Таблиця 1'!$E:$E,"пос РЕБ",'Таблиця 1'!$L:$L,"Уражено"))</f>
        <v/>
      </c>
      <c r="Q146">
        <f>IF($A146="","",COUNTIFS('Таблиця 1'!$B:$B,$A146,'Таблиця 1'!$E:$E,"група РЕР",'Таблиця 1'!$L:$L,"Уражено"))</f>
        <v/>
      </c>
      <c r="R146">
        <f>IF($A146="","",COUNTIFS('Таблиця 1'!$B:$B,$A146,'Таблиця 1'!$E:$E,"РЛС КББ",'Таблиця 1'!$L:$L,"Уражено"))</f>
        <v/>
      </c>
      <c r="S146">
        <f>IF($A146="","",COUNTIFS('Таблиця 1'!$B:$B,$A146,'Таблиця 1'!$E:$E,"Ретранслятор",'Таблиця 1'!$L:$L,"Уражено"))</f>
        <v/>
      </c>
      <c r="T146">
        <f>IF($A146="","",COUNTIFS('Таблиця 1'!$B:$B,$A146,'Таблиця 1'!$E:$E,"Вз.зв'язку",'Таблиця 1'!$L:$L,"Уражено"))</f>
        <v/>
      </c>
      <c r="U146">
        <f>IF($A146="","",COUNTIFS('Таблиця 1'!$B:$B,$A146,'Таблиця 1'!$E:$E,"ПММ",'Таблиця 1'!$L:$L,"Уражено"))</f>
        <v/>
      </c>
      <c r="V146">
        <f>IF($A146="","",COUNTIFS('Таблиця 1'!$B:$B,$A146,'Таблиця 1'!$E:$E,"ІФС",'Таблиця 1'!$L:$L,"Уражено"))</f>
        <v/>
      </c>
      <c r="W146">
        <f>IF($A146="","",COUNTIFS('Таблиця 1'!$B:$B,$A146,'Таблиця 1'!$E:$E,"Інфраструктура",'Таблиця 1'!$L:$L,"Уражено"))</f>
        <v/>
      </c>
      <c r="X146">
        <f>IF($A146="","",SUMIFS('Таблиця 1'!$K:$K,'Таблиця 1'!$B:$B,$A146))</f>
        <v/>
      </c>
    </row>
    <row r="147">
      <c r="A147" s="81">
        <f>IF(A146="","",IF(A146+1&gt;MAX('Таблиця 1'!$B:$B),"",A146+1))</f>
        <v/>
      </c>
      <c r="B147">
        <f>IF($A147="","",COUNTIFS('Таблиця 1'!$B:$B,$A147,'Таблиця 1'!$E:$E,"ЖС ВЗ",'Таблиця 1'!$L:$L,"Уражено"))</f>
        <v/>
      </c>
      <c r="C147">
        <f>IF($A147="","",COUNTIFS('Таблиця 1'!$B:$B,$A147,'Таблиця 1'!$E:$E,"Арт. Системи",'Таблиця 1'!$L:$L,"Уражено"))</f>
        <v/>
      </c>
      <c r="D147">
        <f>IF($A147="","",COUNTIFS('Таблиця 1'!$B:$B,$A147,'Таблиця 1'!$E:$E,"ОВТ",'Таблиця 1'!$L:$L,"Уражено"))</f>
        <v/>
      </c>
      <c r="E147">
        <f>IF($A147="","",COUNTIFS('Таблиця 1'!$B:$B,$A147,'Таблиця 1'!$E:$E,"ППО",'Таблиця 1'!$L:$L,"Уражено"))</f>
        <v/>
      </c>
      <c r="F147">
        <f>IF($A147="","",COUNTIFS('Таблиця 1'!$B:$B,$A147,'Таблиця 1'!$E:$E,"Рембаза",'Таблиця 1'!$L:$L,"Уражено"))</f>
        <v/>
      </c>
      <c r="G147">
        <f>IF($A147="","",COUNTIFS('Таблиця 1'!$B:$B,$A147,'Таблиця 1'!$E:$E,"Склад БК",'Таблиця 1'!$L:$L,"Уражено"))</f>
        <v/>
      </c>
      <c r="H147">
        <f>IF($A147="","",COUNTIFS('Таблиця 1'!$B:$B,$A147,'Таблиця 1'!$E:$E,"Склад ВТМ",'Таблиця 1'!$L:$L,"Уражено"))</f>
        <v/>
      </c>
      <c r="I147">
        <f>IF($A147="","",COUNTIFS('Таблиця 1'!$B:$B,$A147,'Таблиця 1'!$E:$E,"ПУ БпЛА",'Таблиця 1'!$L:$L,"Уражено"))</f>
        <v/>
      </c>
      <c r="J147">
        <f>IF($A147="","",COUNTIFS('Таблиця 1'!$B:$B,$A147,'Таблиця 1'!$E:$E,"СП",'Таблиця 1'!$L:$L,"Уражено"))</f>
        <v/>
      </c>
      <c r="K147">
        <f>IF($A147="","",COUNTIFS('Таблиця 1'!$B:$B,$A147,'Таблиця 1'!$E:$E,"КСП роти",'Таблиця 1'!$L:$L,"Уражено"))</f>
        <v/>
      </c>
      <c r="L147">
        <f>IF($A147="","",COUNTIFS('Таблиця 1'!$B:$B,$A147,'Таблиця 1'!$E:$E,"ПУ бат",'Таблиця 1'!$L:$L,"Уражено"))</f>
        <v/>
      </c>
      <c r="M147">
        <f>IF($A147="","",COUNTIFS('Таблиця 1'!$B:$B,$A147,'Таблиця 1'!$E:$E,"ПУ бриг",'Таблиця 1'!$L:$L,"Уражено"))</f>
        <v/>
      </c>
      <c r="N147">
        <f>IF($A147="","",COUNTIFS('Таблиця 1'!$B:$B,$A147,'Таблиця 1'!$E:$E,"ПУ див",'Таблиця 1'!$L:$L,"Уражено"))</f>
        <v/>
      </c>
      <c r="O147">
        <f>IF($A147="","",COUNTIFS('Таблиця 1'!$B:$B,$A147,'Таблиця 1'!$E:$E,"обл. РЕБ",'Таблиця 1'!$L:$L,"Уражено"))</f>
        <v/>
      </c>
      <c r="P147">
        <f>IF($A147="","",COUNTIFS('Таблиця 1'!$B:$B,$A147,'Таблиця 1'!$E:$E,"пос РЕБ",'Таблиця 1'!$L:$L,"Уражено"))</f>
        <v/>
      </c>
      <c r="Q147">
        <f>IF($A147="","",COUNTIFS('Таблиця 1'!$B:$B,$A147,'Таблиця 1'!$E:$E,"група РЕР",'Таблиця 1'!$L:$L,"Уражено"))</f>
        <v/>
      </c>
      <c r="R147">
        <f>IF($A147="","",COUNTIFS('Таблиця 1'!$B:$B,$A147,'Таблиця 1'!$E:$E,"РЛС КББ",'Таблиця 1'!$L:$L,"Уражено"))</f>
        <v/>
      </c>
      <c r="S147">
        <f>IF($A147="","",COUNTIFS('Таблиця 1'!$B:$B,$A147,'Таблиця 1'!$E:$E,"Ретранслятор",'Таблиця 1'!$L:$L,"Уражено"))</f>
        <v/>
      </c>
      <c r="T147">
        <f>IF($A147="","",COUNTIFS('Таблиця 1'!$B:$B,$A147,'Таблиця 1'!$E:$E,"Вз.зв'язку",'Таблиця 1'!$L:$L,"Уражено"))</f>
        <v/>
      </c>
      <c r="U147">
        <f>IF($A147="","",COUNTIFS('Таблиця 1'!$B:$B,$A147,'Таблиця 1'!$E:$E,"ПММ",'Таблиця 1'!$L:$L,"Уражено"))</f>
        <v/>
      </c>
      <c r="V147">
        <f>IF($A147="","",COUNTIFS('Таблиця 1'!$B:$B,$A147,'Таблиця 1'!$E:$E,"ІФС",'Таблиця 1'!$L:$L,"Уражено"))</f>
        <v/>
      </c>
      <c r="W147">
        <f>IF($A147="","",COUNTIFS('Таблиця 1'!$B:$B,$A147,'Таблиця 1'!$E:$E,"Інфраструктура",'Таблиця 1'!$L:$L,"Уражено"))</f>
        <v/>
      </c>
      <c r="X147">
        <f>IF($A147="","",SUMIFS('Таблиця 1'!$K:$K,'Таблиця 1'!$B:$B,$A147))</f>
        <v/>
      </c>
    </row>
    <row r="148">
      <c r="A148" s="81">
        <f>IF(A147="","",IF(A147+1&gt;MAX('Таблиця 1'!$B:$B),"",A147+1))</f>
        <v/>
      </c>
      <c r="B148">
        <f>IF($A148="","",COUNTIFS('Таблиця 1'!$B:$B,$A148,'Таблиця 1'!$E:$E,"ЖС ВЗ",'Таблиця 1'!$L:$L,"Уражено"))</f>
        <v/>
      </c>
      <c r="C148">
        <f>IF($A148="","",COUNTIFS('Таблиця 1'!$B:$B,$A148,'Таблиця 1'!$E:$E,"Арт. Системи",'Таблиця 1'!$L:$L,"Уражено"))</f>
        <v/>
      </c>
      <c r="D148">
        <f>IF($A148="","",COUNTIFS('Таблиця 1'!$B:$B,$A148,'Таблиця 1'!$E:$E,"ОВТ",'Таблиця 1'!$L:$L,"Уражено"))</f>
        <v/>
      </c>
      <c r="E148">
        <f>IF($A148="","",COUNTIFS('Таблиця 1'!$B:$B,$A148,'Таблиця 1'!$E:$E,"ППО",'Таблиця 1'!$L:$L,"Уражено"))</f>
        <v/>
      </c>
      <c r="F148">
        <f>IF($A148="","",COUNTIFS('Таблиця 1'!$B:$B,$A148,'Таблиця 1'!$E:$E,"Рембаза",'Таблиця 1'!$L:$L,"Уражено"))</f>
        <v/>
      </c>
      <c r="G148">
        <f>IF($A148="","",COUNTIFS('Таблиця 1'!$B:$B,$A148,'Таблиця 1'!$E:$E,"Склад БК",'Таблиця 1'!$L:$L,"Уражено"))</f>
        <v/>
      </c>
      <c r="H148">
        <f>IF($A148="","",COUNTIFS('Таблиця 1'!$B:$B,$A148,'Таблиця 1'!$E:$E,"Склад ВТМ",'Таблиця 1'!$L:$L,"Уражено"))</f>
        <v/>
      </c>
      <c r="I148">
        <f>IF($A148="","",COUNTIFS('Таблиця 1'!$B:$B,$A148,'Таблиця 1'!$E:$E,"ПУ БпЛА",'Таблиця 1'!$L:$L,"Уражено"))</f>
        <v/>
      </c>
      <c r="J148">
        <f>IF($A148="","",COUNTIFS('Таблиця 1'!$B:$B,$A148,'Таблиця 1'!$E:$E,"СП",'Таблиця 1'!$L:$L,"Уражено"))</f>
        <v/>
      </c>
      <c r="K148">
        <f>IF($A148="","",COUNTIFS('Таблиця 1'!$B:$B,$A148,'Таблиця 1'!$E:$E,"КСП роти",'Таблиця 1'!$L:$L,"Уражено"))</f>
        <v/>
      </c>
      <c r="L148">
        <f>IF($A148="","",COUNTIFS('Таблиця 1'!$B:$B,$A148,'Таблиця 1'!$E:$E,"ПУ бат",'Таблиця 1'!$L:$L,"Уражено"))</f>
        <v/>
      </c>
      <c r="M148">
        <f>IF($A148="","",COUNTIFS('Таблиця 1'!$B:$B,$A148,'Таблиця 1'!$E:$E,"ПУ бриг",'Таблиця 1'!$L:$L,"Уражено"))</f>
        <v/>
      </c>
      <c r="N148">
        <f>IF($A148="","",COUNTIFS('Таблиця 1'!$B:$B,$A148,'Таблиця 1'!$E:$E,"ПУ див",'Таблиця 1'!$L:$L,"Уражено"))</f>
        <v/>
      </c>
      <c r="O148">
        <f>IF($A148="","",COUNTIFS('Таблиця 1'!$B:$B,$A148,'Таблиця 1'!$E:$E,"обл. РЕБ",'Таблиця 1'!$L:$L,"Уражено"))</f>
        <v/>
      </c>
      <c r="P148">
        <f>IF($A148="","",COUNTIFS('Таблиця 1'!$B:$B,$A148,'Таблиця 1'!$E:$E,"пос РЕБ",'Таблиця 1'!$L:$L,"Уражено"))</f>
        <v/>
      </c>
      <c r="Q148">
        <f>IF($A148="","",COUNTIFS('Таблиця 1'!$B:$B,$A148,'Таблиця 1'!$E:$E,"група РЕР",'Таблиця 1'!$L:$L,"Уражено"))</f>
        <v/>
      </c>
      <c r="R148">
        <f>IF($A148="","",COUNTIFS('Таблиця 1'!$B:$B,$A148,'Таблиця 1'!$E:$E,"РЛС КББ",'Таблиця 1'!$L:$L,"Уражено"))</f>
        <v/>
      </c>
      <c r="S148">
        <f>IF($A148="","",COUNTIFS('Таблиця 1'!$B:$B,$A148,'Таблиця 1'!$E:$E,"Ретранслятор",'Таблиця 1'!$L:$L,"Уражено"))</f>
        <v/>
      </c>
      <c r="T148">
        <f>IF($A148="","",COUNTIFS('Таблиця 1'!$B:$B,$A148,'Таблиця 1'!$E:$E,"Вз.зв'язку",'Таблиця 1'!$L:$L,"Уражено"))</f>
        <v/>
      </c>
      <c r="U148">
        <f>IF($A148="","",COUNTIFS('Таблиця 1'!$B:$B,$A148,'Таблиця 1'!$E:$E,"ПММ",'Таблиця 1'!$L:$L,"Уражено"))</f>
        <v/>
      </c>
      <c r="V148">
        <f>IF($A148="","",COUNTIFS('Таблиця 1'!$B:$B,$A148,'Таблиця 1'!$E:$E,"ІФС",'Таблиця 1'!$L:$L,"Уражено"))</f>
        <v/>
      </c>
      <c r="W148">
        <f>IF($A148="","",COUNTIFS('Таблиця 1'!$B:$B,$A148,'Таблиця 1'!$E:$E,"Інфраструктура",'Таблиця 1'!$L:$L,"Уражено"))</f>
        <v/>
      </c>
      <c r="X148">
        <f>IF($A148="","",SUMIFS('Таблиця 1'!$K:$K,'Таблиця 1'!$B:$B,$A148))</f>
        <v/>
      </c>
    </row>
    <row r="149">
      <c r="A149" s="81">
        <f>IF(A148="","",IF(A148+1&gt;MAX('Таблиця 1'!$B:$B),"",A148+1))</f>
        <v/>
      </c>
      <c r="B149">
        <f>IF($A149="","",COUNTIFS('Таблиця 1'!$B:$B,$A149,'Таблиця 1'!$E:$E,"ЖС ВЗ",'Таблиця 1'!$L:$L,"Уражено"))</f>
        <v/>
      </c>
      <c r="C149">
        <f>IF($A149="","",COUNTIFS('Таблиця 1'!$B:$B,$A149,'Таблиця 1'!$E:$E,"Арт. Системи",'Таблиця 1'!$L:$L,"Уражено"))</f>
        <v/>
      </c>
      <c r="D149">
        <f>IF($A149="","",COUNTIFS('Таблиця 1'!$B:$B,$A149,'Таблиця 1'!$E:$E,"ОВТ",'Таблиця 1'!$L:$L,"Уражено"))</f>
        <v/>
      </c>
      <c r="E149">
        <f>IF($A149="","",COUNTIFS('Таблиця 1'!$B:$B,$A149,'Таблиця 1'!$E:$E,"ППО",'Таблиця 1'!$L:$L,"Уражено"))</f>
        <v/>
      </c>
      <c r="F149">
        <f>IF($A149="","",COUNTIFS('Таблиця 1'!$B:$B,$A149,'Таблиця 1'!$E:$E,"Рембаза",'Таблиця 1'!$L:$L,"Уражено"))</f>
        <v/>
      </c>
      <c r="G149">
        <f>IF($A149="","",COUNTIFS('Таблиця 1'!$B:$B,$A149,'Таблиця 1'!$E:$E,"Склад БК",'Таблиця 1'!$L:$L,"Уражено"))</f>
        <v/>
      </c>
      <c r="H149">
        <f>IF($A149="","",COUNTIFS('Таблиця 1'!$B:$B,$A149,'Таблиця 1'!$E:$E,"Склад ВТМ",'Таблиця 1'!$L:$L,"Уражено"))</f>
        <v/>
      </c>
      <c r="I149">
        <f>IF($A149="","",COUNTIFS('Таблиця 1'!$B:$B,$A149,'Таблиця 1'!$E:$E,"ПУ БпЛА",'Таблиця 1'!$L:$L,"Уражено"))</f>
        <v/>
      </c>
      <c r="J149">
        <f>IF($A149="","",COUNTIFS('Таблиця 1'!$B:$B,$A149,'Таблиця 1'!$E:$E,"СП",'Таблиця 1'!$L:$L,"Уражено"))</f>
        <v/>
      </c>
      <c r="K149">
        <f>IF($A149="","",COUNTIFS('Таблиця 1'!$B:$B,$A149,'Таблиця 1'!$E:$E,"КСП роти",'Таблиця 1'!$L:$L,"Уражено"))</f>
        <v/>
      </c>
      <c r="L149">
        <f>IF($A149="","",COUNTIFS('Таблиця 1'!$B:$B,$A149,'Таблиця 1'!$E:$E,"ПУ бат",'Таблиця 1'!$L:$L,"Уражено"))</f>
        <v/>
      </c>
      <c r="M149">
        <f>IF($A149="","",COUNTIFS('Таблиця 1'!$B:$B,$A149,'Таблиця 1'!$E:$E,"ПУ бриг",'Таблиця 1'!$L:$L,"Уражено"))</f>
        <v/>
      </c>
      <c r="N149">
        <f>IF($A149="","",COUNTIFS('Таблиця 1'!$B:$B,$A149,'Таблиця 1'!$E:$E,"ПУ див",'Таблиця 1'!$L:$L,"Уражено"))</f>
        <v/>
      </c>
      <c r="O149">
        <f>IF($A149="","",COUNTIFS('Таблиця 1'!$B:$B,$A149,'Таблиця 1'!$E:$E,"обл. РЕБ",'Таблиця 1'!$L:$L,"Уражено"))</f>
        <v/>
      </c>
      <c r="P149">
        <f>IF($A149="","",COUNTIFS('Таблиця 1'!$B:$B,$A149,'Таблиця 1'!$E:$E,"пос РЕБ",'Таблиця 1'!$L:$L,"Уражено"))</f>
        <v/>
      </c>
      <c r="Q149">
        <f>IF($A149="","",COUNTIFS('Таблиця 1'!$B:$B,$A149,'Таблиця 1'!$E:$E,"група РЕР",'Таблиця 1'!$L:$L,"Уражено"))</f>
        <v/>
      </c>
      <c r="R149">
        <f>IF($A149="","",COUNTIFS('Таблиця 1'!$B:$B,$A149,'Таблиця 1'!$E:$E,"РЛС КББ",'Таблиця 1'!$L:$L,"Уражено"))</f>
        <v/>
      </c>
      <c r="S149">
        <f>IF($A149="","",COUNTIFS('Таблиця 1'!$B:$B,$A149,'Таблиця 1'!$E:$E,"Ретранслятор",'Таблиця 1'!$L:$L,"Уражено"))</f>
        <v/>
      </c>
      <c r="T149">
        <f>IF($A149="","",COUNTIFS('Таблиця 1'!$B:$B,$A149,'Таблиця 1'!$E:$E,"Вз.зв'язку",'Таблиця 1'!$L:$L,"Уражено"))</f>
        <v/>
      </c>
      <c r="U149">
        <f>IF($A149="","",COUNTIFS('Таблиця 1'!$B:$B,$A149,'Таблиця 1'!$E:$E,"ПММ",'Таблиця 1'!$L:$L,"Уражено"))</f>
        <v/>
      </c>
      <c r="V149">
        <f>IF($A149="","",COUNTIFS('Таблиця 1'!$B:$B,$A149,'Таблиця 1'!$E:$E,"ІФС",'Таблиця 1'!$L:$L,"Уражено"))</f>
        <v/>
      </c>
      <c r="W149">
        <f>IF($A149="","",COUNTIFS('Таблиця 1'!$B:$B,$A149,'Таблиця 1'!$E:$E,"Інфраструктура",'Таблиця 1'!$L:$L,"Уражено"))</f>
        <v/>
      </c>
      <c r="X149">
        <f>IF($A149="","",SUMIFS('Таблиця 1'!$K:$K,'Таблиця 1'!$B:$B,$A149))</f>
        <v/>
      </c>
    </row>
    <row r="150">
      <c r="A150" s="81">
        <f>IF(A149="","",IF(A149+1&gt;MAX('Таблиця 1'!$B:$B),"",A149+1))</f>
        <v/>
      </c>
      <c r="B150">
        <f>IF($A150="","",COUNTIFS('Таблиця 1'!$B:$B,$A150,'Таблиця 1'!$E:$E,"ЖС ВЗ",'Таблиця 1'!$L:$L,"Уражено"))</f>
        <v/>
      </c>
      <c r="C150">
        <f>IF($A150="","",COUNTIFS('Таблиця 1'!$B:$B,$A150,'Таблиця 1'!$E:$E,"Арт. Системи",'Таблиця 1'!$L:$L,"Уражено"))</f>
        <v/>
      </c>
      <c r="D150">
        <f>IF($A150="","",COUNTIFS('Таблиця 1'!$B:$B,$A150,'Таблиця 1'!$E:$E,"ОВТ",'Таблиця 1'!$L:$L,"Уражено"))</f>
        <v/>
      </c>
      <c r="E150">
        <f>IF($A150="","",COUNTIFS('Таблиця 1'!$B:$B,$A150,'Таблиця 1'!$E:$E,"ППО",'Таблиця 1'!$L:$L,"Уражено"))</f>
        <v/>
      </c>
      <c r="F150">
        <f>IF($A150="","",COUNTIFS('Таблиця 1'!$B:$B,$A150,'Таблиця 1'!$E:$E,"Рембаза",'Таблиця 1'!$L:$L,"Уражено"))</f>
        <v/>
      </c>
      <c r="G150">
        <f>IF($A150="","",COUNTIFS('Таблиця 1'!$B:$B,$A150,'Таблиця 1'!$E:$E,"Склад БК",'Таблиця 1'!$L:$L,"Уражено"))</f>
        <v/>
      </c>
      <c r="H150">
        <f>IF($A150="","",COUNTIFS('Таблиця 1'!$B:$B,$A150,'Таблиця 1'!$E:$E,"Склад ВТМ",'Таблиця 1'!$L:$L,"Уражено"))</f>
        <v/>
      </c>
      <c r="I150">
        <f>IF($A150="","",COUNTIFS('Таблиця 1'!$B:$B,$A150,'Таблиця 1'!$E:$E,"ПУ БпЛА",'Таблиця 1'!$L:$L,"Уражено"))</f>
        <v/>
      </c>
      <c r="J150">
        <f>IF($A150="","",COUNTIFS('Таблиця 1'!$B:$B,$A150,'Таблиця 1'!$E:$E,"СП",'Таблиця 1'!$L:$L,"Уражено"))</f>
        <v/>
      </c>
      <c r="K150">
        <f>IF($A150="","",COUNTIFS('Таблиця 1'!$B:$B,$A150,'Таблиця 1'!$E:$E,"КСП роти",'Таблиця 1'!$L:$L,"Уражено"))</f>
        <v/>
      </c>
      <c r="L150">
        <f>IF($A150="","",COUNTIFS('Таблиця 1'!$B:$B,$A150,'Таблиця 1'!$E:$E,"ПУ бат",'Таблиця 1'!$L:$L,"Уражено"))</f>
        <v/>
      </c>
      <c r="M150">
        <f>IF($A150="","",COUNTIFS('Таблиця 1'!$B:$B,$A150,'Таблиця 1'!$E:$E,"ПУ бриг",'Таблиця 1'!$L:$L,"Уражено"))</f>
        <v/>
      </c>
      <c r="N150">
        <f>IF($A150="","",COUNTIFS('Таблиця 1'!$B:$B,$A150,'Таблиця 1'!$E:$E,"ПУ див",'Таблиця 1'!$L:$L,"Уражено"))</f>
        <v/>
      </c>
      <c r="O150">
        <f>IF($A150="","",COUNTIFS('Таблиця 1'!$B:$B,$A150,'Таблиця 1'!$E:$E,"обл. РЕБ",'Таблиця 1'!$L:$L,"Уражено"))</f>
        <v/>
      </c>
      <c r="P150">
        <f>IF($A150="","",COUNTIFS('Таблиця 1'!$B:$B,$A150,'Таблиця 1'!$E:$E,"пос РЕБ",'Таблиця 1'!$L:$L,"Уражено"))</f>
        <v/>
      </c>
      <c r="Q150">
        <f>IF($A150="","",COUNTIFS('Таблиця 1'!$B:$B,$A150,'Таблиця 1'!$E:$E,"група РЕР",'Таблиця 1'!$L:$L,"Уражено"))</f>
        <v/>
      </c>
      <c r="R150">
        <f>IF($A150="","",COUNTIFS('Таблиця 1'!$B:$B,$A150,'Таблиця 1'!$E:$E,"РЛС КББ",'Таблиця 1'!$L:$L,"Уражено"))</f>
        <v/>
      </c>
      <c r="S150">
        <f>IF($A150="","",COUNTIFS('Таблиця 1'!$B:$B,$A150,'Таблиця 1'!$E:$E,"Ретранслятор",'Таблиця 1'!$L:$L,"Уражено"))</f>
        <v/>
      </c>
      <c r="T150">
        <f>IF($A150="","",COUNTIFS('Таблиця 1'!$B:$B,$A150,'Таблиця 1'!$E:$E,"Вз.зв'язку",'Таблиця 1'!$L:$L,"Уражено"))</f>
        <v/>
      </c>
      <c r="U150">
        <f>IF($A150="","",COUNTIFS('Таблиця 1'!$B:$B,$A150,'Таблиця 1'!$E:$E,"ПММ",'Таблиця 1'!$L:$L,"Уражено"))</f>
        <v/>
      </c>
      <c r="V150">
        <f>IF($A150="","",COUNTIFS('Таблиця 1'!$B:$B,$A150,'Таблиця 1'!$E:$E,"ІФС",'Таблиця 1'!$L:$L,"Уражено"))</f>
        <v/>
      </c>
      <c r="W150">
        <f>IF($A150="","",COUNTIFS('Таблиця 1'!$B:$B,$A150,'Таблиця 1'!$E:$E,"Інфраструктура",'Таблиця 1'!$L:$L,"Уражено"))</f>
        <v/>
      </c>
      <c r="X150">
        <f>IF($A150="","",SUMIFS('Таблиця 1'!$K:$K,'Таблиця 1'!$B:$B,$A150))</f>
        <v/>
      </c>
    </row>
    <row r="151">
      <c r="A151" s="81">
        <f>IF(A150="","",IF(A150+1&gt;MAX('Таблиця 1'!$B:$B),"",A150+1))</f>
        <v/>
      </c>
      <c r="B151">
        <f>IF($A151="","",COUNTIFS('Таблиця 1'!$B:$B,$A151,'Таблиця 1'!$E:$E,"ЖС ВЗ",'Таблиця 1'!$L:$L,"Уражено"))</f>
        <v/>
      </c>
      <c r="C151">
        <f>IF($A151="","",COUNTIFS('Таблиця 1'!$B:$B,$A151,'Таблиця 1'!$E:$E,"Арт. Системи",'Таблиця 1'!$L:$L,"Уражено"))</f>
        <v/>
      </c>
      <c r="D151">
        <f>IF($A151="","",COUNTIFS('Таблиця 1'!$B:$B,$A151,'Таблиця 1'!$E:$E,"ОВТ",'Таблиця 1'!$L:$L,"Уражено"))</f>
        <v/>
      </c>
      <c r="E151">
        <f>IF($A151="","",COUNTIFS('Таблиця 1'!$B:$B,$A151,'Таблиця 1'!$E:$E,"ППО",'Таблиця 1'!$L:$L,"Уражено"))</f>
        <v/>
      </c>
      <c r="F151">
        <f>IF($A151="","",COUNTIFS('Таблиця 1'!$B:$B,$A151,'Таблиця 1'!$E:$E,"Рембаза",'Таблиця 1'!$L:$L,"Уражено"))</f>
        <v/>
      </c>
      <c r="G151">
        <f>IF($A151="","",COUNTIFS('Таблиця 1'!$B:$B,$A151,'Таблиця 1'!$E:$E,"Склад БК",'Таблиця 1'!$L:$L,"Уражено"))</f>
        <v/>
      </c>
      <c r="H151">
        <f>IF($A151="","",COUNTIFS('Таблиця 1'!$B:$B,$A151,'Таблиця 1'!$E:$E,"Склад ВТМ",'Таблиця 1'!$L:$L,"Уражено"))</f>
        <v/>
      </c>
      <c r="I151">
        <f>IF($A151="","",COUNTIFS('Таблиця 1'!$B:$B,$A151,'Таблиця 1'!$E:$E,"ПУ БпЛА",'Таблиця 1'!$L:$L,"Уражено"))</f>
        <v/>
      </c>
      <c r="J151">
        <f>IF($A151="","",COUNTIFS('Таблиця 1'!$B:$B,$A151,'Таблиця 1'!$E:$E,"СП",'Таблиця 1'!$L:$L,"Уражено"))</f>
        <v/>
      </c>
      <c r="K151">
        <f>IF($A151="","",COUNTIFS('Таблиця 1'!$B:$B,$A151,'Таблиця 1'!$E:$E,"КСП роти",'Таблиця 1'!$L:$L,"Уражено"))</f>
        <v/>
      </c>
      <c r="L151">
        <f>IF($A151="","",COUNTIFS('Таблиця 1'!$B:$B,$A151,'Таблиця 1'!$E:$E,"ПУ бат",'Таблиця 1'!$L:$L,"Уражено"))</f>
        <v/>
      </c>
      <c r="M151">
        <f>IF($A151="","",COUNTIFS('Таблиця 1'!$B:$B,$A151,'Таблиця 1'!$E:$E,"ПУ бриг",'Таблиця 1'!$L:$L,"Уражено"))</f>
        <v/>
      </c>
      <c r="N151">
        <f>IF($A151="","",COUNTIFS('Таблиця 1'!$B:$B,$A151,'Таблиця 1'!$E:$E,"ПУ див",'Таблиця 1'!$L:$L,"Уражено"))</f>
        <v/>
      </c>
      <c r="O151">
        <f>IF($A151="","",COUNTIFS('Таблиця 1'!$B:$B,$A151,'Таблиця 1'!$E:$E,"обл. РЕБ",'Таблиця 1'!$L:$L,"Уражено"))</f>
        <v/>
      </c>
      <c r="P151">
        <f>IF($A151="","",COUNTIFS('Таблиця 1'!$B:$B,$A151,'Таблиця 1'!$E:$E,"пос РЕБ",'Таблиця 1'!$L:$L,"Уражено"))</f>
        <v/>
      </c>
      <c r="Q151">
        <f>IF($A151="","",COUNTIFS('Таблиця 1'!$B:$B,$A151,'Таблиця 1'!$E:$E,"група РЕР",'Таблиця 1'!$L:$L,"Уражено"))</f>
        <v/>
      </c>
      <c r="R151">
        <f>IF($A151="","",COUNTIFS('Таблиця 1'!$B:$B,$A151,'Таблиця 1'!$E:$E,"РЛС КББ",'Таблиця 1'!$L:$L,"Уражено"))</f>
        <v/>
      </c>
      <c r="S151">
        <f>IF($A151="","",COUNTIFS('Таблиця 1'!$B:$B,$A151,'Таблиця 1'!$E:$E,"Ретранслятор",'Таблиця 1'!$L:$L,"Уражено"))</f>
        <v/>
      </c>
      <c r="T151">
        <f>IF($A151="","",COUNTIFS('Таблиця 1'!$B:$B,$A151,'Таблиця 1'!$E:$E,"Вз.зв'язку",'Таблиця 1'!$L:$L,"Уражено"))</f>
        <v/>
      </c>
      <c r="U151">
        <f>IF($A151="","",COUNTIFS('Таблиця 1'!$B:$B,$A151,'Таблиця 1'!$E:$E,"ПММ",'Таблиця 1'!$L:$L,"Уражено"))</f>
        <v/>
      </c>
      <c r="V151">
        <f>IF($A151="","",COUNTIFS('Таблиця 1'!$B:$B,$A151,'Таблиця 1'!$E:$E,"ІФС",'Таблиця 1'!$L:$L,"Уражено"))</f>
        <v/>
      </c>
      <c r="W151">
        <f>IF($A151="","",COUNTIFS('Таблиця 1'!$B:$B,$A151,'Таблиця 1'!$E:$E,"Інфраструктура",'Таблиця 1'!$L:$L,"Уражено"))</f>
        <v/>
      </c>
      <c r="X151">
        <f>IF($A151="","",SUMIFS('Таблиця 1'!$K:$K,'Таблиця 1'!$B:$B,$A151))</f>
        <v/>
      </c>
    </row>
    <row r="152">
      <c r="A152" s="81">
        <f>IF(A151="","",IF(A151+1&gt;MAX('Таблиця 1'!$B:$B),"",A151+1))</f>
        <v/>
      </c>
      <c r="B152">
        <f>IF($A152="","",COUNTIFS('Таблиця 1'!$B:$B,$A152,'Таблиця 1'!$E:$E,"ЖС ВЗ",'Таблиця 1'!$L:$L,"Уражено"))</f>
        <v/>
      </c>
      <c r="C152">
        <f>IF($A152="","",COUNTIFS('Таблиця 1'!$B:$B,$A152,'Таблиця 1'!$E:$E,"Арт. Системи",'Таблиця 1'!$L:$L,"Уражено"))</f>
        <v/>
      </c>
      <c r="D152">
        <f>IF($A152="","",COUNTIFS('Таблиця 1'!$B:$B,$A152,'Таблиця 1'!$E:$E,"ОВТ",'Таблиця 1'!$L:$L,"Уражено"))</f>
        <v/>
      </c>
      <c r="E152">
        <f>IF($A152="","",COUNTIFS('Таблиця 1'!$B:$B,$A152,'Таблиця 1'!$E:$E,"ППО",'Таблиця 1'!$L:$L,"Уражено"))</f>
        <v/>
      </c>
      <c r="F152">
        <f>IF($A152="","",COUNTIFS('Таблиця 1'!$B:$B,$A152,'Таблиця 1'!$E:$E,"Рембаза",'Таблиця 1'!$L:$L,"Уражено"))</f>
        <v/>
      </c>
      <c r="G152">
        <f>IF($A152="","",COUNTIFS('Таблиця 1'!$B:$B,$A152,'Таблиця 1'!$E:$E,"Склад БК",'Таблиця 1'!$L:$L,"Уражено"))</f>
        <v/>
      </c>
      <c r="H152">
        <f>IF($A152="","",COUNTIFS('Таблиця 1'!$B:$B,$A152,'Таблиця 1'!$E:$E,"Склад ВТМ",'Таблиця 1'!$L:$L,"Уражено"))</f>
        <v/>
      </c>
      <c r="I152">
        <f>IF($A152="","",COUNTIFS('Таблиця 1'!$B:$B,$A152,'Таблиця 1'!$E:$E,"ПУ БпЛА",'Таблиця 1'!$L:$L,"Уражено"))</f>
        <v/>
      </c>
      <c r="J152">
        <f>IF($A152="","",COUNTIFS('Таблиця 1'!$B:$B,$A152,'Таблиця 1'!$E:$E,"СП",'Таблиця 1'!$L:$L,"Уражено"))</f>
        <v/>
      </c>
      <c r="K152">
        <f>IF($A152="","",COUNTIFS('Таблиця 1'!$B:$B,$A152,'Таблиця 1'!$E:$E,"КСП роти",'Таблиця 1'!$L:$L,"Уражено"))</f>
        <v/>
      </c>
      <c r="L152">
        <f>IF($A152="","",COUNTIFS('Таблиця 1'!$B:$B,$A152,'Таблиця 1'!$E:$E,"ПУ бат",'Таблиця 1'!$L:$L,"Уражено"))</f>
        <v/>
      </c>
      <c r="M152">
        <f>IF($A152="","",COUNTIFS('Таблиця 1'!$B:$B,$A152,'Таблиця 1'!$E:$E,"ПУ бриг",'Таблиця 1'!$L:$L,"Уражено"))</f>
        <v/>
      </c>
      <c r="N152">
        <f>IF($A152="","",COUNTIFS('Таблиця 1'!$B:$B,$A152,'Таблиця 1'!$E:$E,"ПУ див",'Таблиця 1'!$L:$L,"Уражено"))</f>
        <v/>
      </c>
      <c r="O152">
        <f>IF($A152="","",COUNTIFS('Таблиця 1'!$B:$B,$A152,'Таблиця 1'!$E:$E,"обл. РЕБ",'Таблиця 1'!$L:$L,"Уражено"))</f>
        <v/>
      </c>
      <c r="P152">
        <f>IF($A152="","",COUNTIFS('Таблиця 1'!$B:$B,$A152,'Таблиця 1'!$E:$E,"пос РЕБ",'Таблиця 1'!$L:$L,"Уражено"))</f>
        <v/>
      </c>
      <c r="Q152">
        <f>IF($A152="","",COUNTIFS('Таблиця 1'!$B:$B,$A152,'Таблиця 1'!$E:$E,"група РЕР",'Таблиця 1'!$L:$L,"Уражено"))</f>
        <v/>
      </c>
      <c r="R152">
        <f>IF($A152="","",COUNTIFS('Таблиця 1'!$B:$B,$A152,'Таблиця 1'!$E:$E,"РЛС КББ",'Таблиця 1'!$L:$L,"Уражено"))</f>
        <v/>
      </c>
      <c r="S152">
        <f>IF($A152="","",COUNTIFS('Таблиця 1'!$B:$B,$A152,'Таблиця 1'!$E:$E,"Ретранслятор",'Таблиця 1'!$L:$L,"Уражено"))</f>
        <v/>
      </c>
      <c r="T152">
        <f>IF($A152="","",COUNTIFS('Таблиця 1'!$B:$B,$A152,'Таблиця 1'!$E:$E,"Вз.зв'язку",'Таблиця 1'!$L:$L,"Уражено"))</f>
        <v/>
      </c>
      <c r="U152">
        <f>IF($A152="","",COUNTIFS('Таблиця 1'!$B:$B,$A152,'Таблиця 1'!$E:$E,"ПММ",'Таблиця 1'!$L:$L,"Уражено"))</f>
        <v/>
      </c>
      <c r="V152">
        <f>IF($A152="","",COUNTIFS('Таблиця 1'!$B:$B,$A152,'Таблиця 1'!$E:$E,"ІФС",'Таблиця 1'!$L:$L,"Уражено"))</f>
        <v/>
      </c>
      <c r="W152">
        <f>IF($A152="","",COUNTIFS('Таблиця 1'!$B:$B,$A152,'Таблиця 1'!$E:$E,"Інфраструктура",'Таблиця 1'!$L:$L,"Уражено"))</f>
        <v/>
      </c>
      <c r="X152">
        <f>IF($A152="","",SUMIFS('Таблиця 1'!$K:$K,'Таблиця 1'!$B:$B,$A152))</f>
        <v/>
      </c>
    </row>
    <row r="153">
      <c r="A153" s="81">
        <f>IF(A152="","",IF(A152+1&gt;MAX('Таблиця 1'!$B:$B),"",A152+1))</f>
        <v/>
      </c>
      <c r="B153">
        <f>IF($A153="","",COUNTIFS('Таблиця 1'!$B:$B,$A153,'Таблиця 1'!$E:$E,"ЖС ВЗ",'Таблиця 1'!$L:$L,"Уражено"))</f>
        <v/>
      </c>
      <c r="C153">
        <f>IF($A153="","",COUNTIFS('Таблиця 1'!$B:$B,$A153,'Таблиця 1'!$E:$E,"Арт. Системи",'Таблиця 1'!$L:$L,"Уражено"))</f>
        <v/>
      </c>
      <c r="D153">
        <f>IF($A153="","",COUNTIFS('Таблиця 1'!$B:$B,$A153,'Таблиця 1'!$E:$E,"ОВТ",'Таблиця 1'!$L:$L,"Уражено"))</f>
        <v/>
      </c>
      <c r="E153">
        <f>IF($A153="","",COUNTIFS('Таблиця 1'!$B:$B,$A153,'Таблиця 1'!$E:$E,"ППО",'Таблиця 1'!$L:$L,"Уражено"))</f>
        <v/>
      </c>
      <c r="F153">
        <f>IF($A153="","",COUNTIFS('Таблиця 1'!$B:$B,$A153,'Таблиця 1'!$E:$E,"Рембаза",'Таблиця 1'!$L:$L,"Уражено"))</f>
        <v/>
      </c>
      <c r="G153">
        <f>IF($A153="","",COUNTIFS('Таблиця 1'!$B:$B,$A153,'Таблиця 1'!$E:$E,"Склад БК",'Таблиця 1'!$L:$L,"Уражено"))</f>
        <v/>
      </c>
      <c r="H153">
        <f>IF($A153="","",COUNTIFS('Таблиця 1'!$B:$B,$A153,'Таблиця 1'!$E:$E,"Склад ВТМ",'Таблиця 1'!$L:$L,"Уражено"))</f>
        <v/>
      </c>
      <c r="I153">
        <f>IF($A153="","",COUNTIFS('Таблиця 1'!$B:$B,$A153,'Таблиця 1'!$E:$E,"ПУ БпЛА",'Таблиця 1'!$L:$L,"Уражено"))</f>
        <v/>
      </c>
      <c r="J153">
        <f>IF($A153="","",COUNTIFS('Таблиця 1'!$B:$B,$A153,'Таблиця 1'!$E:$E,"СП",'Таблиця 1'!$L:$L,"Уражено"))</f>
        <v/>
      </c>
      <c r="K153">
        <f>IF($A153="","",COUNTIFS('Таблиця 1'!$B:$B,$A153,'Таблиця 1'!$E:$E,"КСП роти",'Таблиця 1'!$L:$L,"Уражено"))</f>
        <v/>
      </c>
      <c r="L153">
        <f>IF($A153="","",COUNTIFS('Таблиця 1'!$B:$B,$A153,'Таблиця 1'!$E:$E,"ПУ бат",'Таблиця 1'!$L:$L,"Уражено"))</f>
        <v/>
      </c>
      <c r="M153">
        <f>IF($A153="","",COUNTIFS('Таблиця 1'!$B:$B,$A153,'Таблиця 1'!$E:$E,"ПУ бриг",'Таблиця 1'!$L:$L,"Уражено"))</f>
        <v/>
      </c>
      <c r="N153">
        <f>IF($A153="","",COUNTIFS('Таблиця 1'!$B:$B,$A153,'Таблиця 1'!$E:$E,"ПУ див",'Таблиця 1'!$L:$L,"Уражено"))</f>
        <v/>
      </c>
      <c r="O153">
        <f>IF($A153="","",COUNTIFS('Таблиця 1'!$B:$B,$A153,'Таблиця 1'!$E:$E,"обл. РЕБ",'Таблиця 1'!$L:$L,"Уражено"))</f>
        <v/>
      </c>
      <c r="P153">
        <f>IF($A153="","",COUNTIFS('Таблиця 1'!$B:$B,$A153,'Таблиця 1'!$E:$E,"пос РЕБ",'Таблиця 1'!$L:$L,"Уражено"))</f>
        <v/>
      </c>
      <c r="Q153">
        <f>IF($A153="","",COUNTIFS('Таблиця 1'!$B:$B,$A153,'Таблиця 1'!$E:$E,"група РЕР",'Таблиця 1'!$L:$L,"Уражено"))</f>
        <v/>
      </c>
      <c r="R153">
        <f>IF($A153="","",COUNTIFS('Таблиця 1'!$B:$B,$A153,'Таблиця 1'!$E:$E,"РЛС КББ",'Таблиця 1'!$L:$L,"Уражено"))</f>
        <v/>
      </c>
      <c r="S153">
        <f>IF($A153="","",COUNTIFS('Таблиця 1'!$B:$B,$A153,'Таблиця 1'!$E:$E,"Ретранслятор",'Таблиця 1'!$L:$L,"Уражено"))</f>
        <v/>
      </c>
      <c r="T153">
        <f>IF($A153="","",COUNTIFS('Таблиця 1'!$B:$B,$A153,'Таблиця 1'!$E:$E,"Вз.зв'язку",'Таблиця 1'!$L:$L,"Уражено"))</f>
        <v/>
      </c>
      <c r="U153">
        <f>IF($A153="","",COUNTIFS('Таблиця 1'!$B:$B,$A153,'Таблиця 1'!$E:$E,"ПММ",'Таблиця 1'!$L:$L,"Уражено"))</f>
        <v/>
      </c>
      <c r="V153">
        <f>IF($A153="","",COUNTIFS('Таблиця 1'!$B:$B,$A153,'Таблиця 1'!$E:$E,"ІФС",'Таблиця 1'!$L:$L,"Уражено"))</f>
        <v/>
      </c>
      <c r="W153">
        <f>IF($A153="","",COUNTIFS('Таблиця 1'!$B:$B,$A153,'Таблиця 1'!$E:$E,"Інфраструктура",'Таблиця 1'!$L:$L,"Уражено"))</f>
        <v/>
      </c>
      <c r="X153">
        <f>IF($A153="","",SUMIFS('Таблиця 1'!$K:$K,'Таблиця 1'!$B:$B,$A153))</f>
        <v/>
      </c>
    </row>
    <row r="154">
      <c r="A154" s="81">
        <f>IF(A153="","",IF(A153+1&gt;MAX('Таблиця 1'!$B:$B),"",A153+1))</f>
        <v/>
      </c>
      <c r="B154">
        <f>IF($A154="","",COUNTIFS('Таблиця 1'!$B:$B,$A154,'Таблиця 1'!$E:$E,"ЖС ВЗ",'Таблиця 1'!$L:$L,"Уражено"))</f>
        <v/>
      </c>
      <c r="C154">
        <f>IF($A154="","",COUNTIFS('Таблиця 1'!$B:$B,$A154,'Таблиця 1'!$E:$E,"Арт. Системи",'Таблиця 1'!$L:$L,"Уражено"))</f>
        <v/>
      </c>
      <c r="D154">
        <f>IF($A154="","",COUNTIFS('Таблиця 1'!$B:$B,$A154,'Таблиця 1'!$E:$E,"ОВТ",'Таблиця 1'!$L:$L,"Уражено"))</f>
        <v/>
      </c>
      <c r="E154">
        <f>IF($A154="","",COUNTIFS('Таблиця 1'!$B:$B,$A154,'Таблиця 1'!$E:$E,"ППО",'Таблиця 1'!$L:$L,"Уражено"))</f>
        <v/>
      </c>
      <c r="F154">
        <f>IF($A154="","",COUNTIFS('Таблиця 1'!$B:$B,$A154,'Таблиця 1'!$E:$E,"Рембаза",'Таблиця 1'!$L:$L,"Уражено"))</f>
        <v/>
      </c>
      <c r="G154">
        <f>IF($A154="","",COUNTIFS('Таблиця 1'!$B:$B,$A154,'Таблиця 1'!$E:$E,"Склад БК",'Таблиця 1'!$L:$L,"Уражено"))</f>
        <v/>
      </c>
      <c r="H154">
        <f>IF($A154="","",COUNTIFS('Таблиця 1'!$B:$B,$A154,'Таблиця 1'!$E:$E,"Склад ВТМ",'Таблиця 1'!$L:$L,"Уражено"))</f>
        <v/>
      </c>
      <c r="I154">
        <f>IF($A154="","",COUNTIFS('Таблиця 1'!$B:$B,$A154,'Таблиця 1'!$E:$E,"ПУ БпЛА",'Таблиця 1'!$L:$L,"Уражено"))</f>
        <v/>
      </c>
      <c r="J154">
        <f>IF($A154="","",COUNTIFS('Таблиця 1'!$B:$B,$A154,'Таблиця 1'!$E:$E,"СП",'Таблиця 1'!$L:$L,"Уражено"))</f>
        <v/>
      </c>
      <c r="K154">
        <f>IF($A154="","",COUNTIFS('Таблиця 1'!$B:$B,$A154,'Таблиця 1'!$E:$E,"КСП роти",'Таблиця 1'!$L:$L,"Уражено"))</f>
        <v/>
      </c>
      <c r="L154">
        <f>IF($A154="","",COUNTIFS('Таблиця 1'!$B:$B,$A154,'Таблиця 1'!$E:$E,"ПУ бат",'Таблиця 1'!$L:$L,"Уражено"))</f>
        <v/>
      </c>
      <c r="M154">
        <f>IF($A154="","",COUNTIFS('Таблиця 1'!$B:$B,$A154,'Таблиця 1'!$E:$E,"ПУ бриг",'Таблиця 1'!$L:$L,"Уражено"))</f>
        <v/>
      </c>
      <c r="N154">
        <f>IF($A154="","",COUNTIFS('Таблиця 1'!$B:$B,$A154,'Таблиця 1'!$E:$E,"ПУ див",'Таблиця 1'!$L:$L,"Уражено"))</f>
        <v/>
      </c>
      <c r="O154">
        <f>IF($A154="","",COUNTIFS('Таблиця 1'!$B:$B,$A154,'Таблиця 1'!$E:$E,"обл. РЕБ",'Таблиця 1'!$L:$L,"Уражено"))</f>
        <v/>
      </c>
      <c r="P154">
        <f>IF($A154="","",COUNTIFS('Таблиця 1'!$B:$B,$A154,'Таблиця 1'!$E:$E,"пос РЕБ",'Таблиця 1'!$L:$L,"Уражено"))</f>
        <v/>
      </c>
      <c r="Q154">
        <f>IF($A154="","",COUNTIFS('Таблиця 1'!$B:$B,$A154,'Таблиця 1'!$E:$E,"група РЕР",'Таблиця 1'!$L:$L,"Уражено"))</f>
        <v/>
      </c>
      <c r="R154">
        <f>IF($A154="","",COUNTIFS('Таблиця 1'!$B:$B,$A154,'Таблиця 1'!$E:$E,"РЛС КББ",'Таблиця 1'!$L:$L,"Уражено"))</f>
        <v/>
      </c>
      <c r="S154">
        <f>IF($A154="","",COUNTIFS('Таблиця 1'!$B:$B,$A154,'Таблиця 1'!$E:$E,"Ретранслятор",'Таблиця 1'!$L:$L,"Уражено"))</f>
        <v/>
      </c>
      <c r="T154">
        <f>IF($A154="","",COUNTIFS('Таблиця 1'!$B:$B,$A154,'Таблиця 1'!$E:$E,"Вз.зв'язку",'Таблиця 1'!$L:$L,"Уражено"))</f>
        <v/>
      </c>
      <c r="U154">
        <f>IF($A154="","",COUNTIFS('Таблиця 1'!$B:$B,$A154,'Таблиця 1'!$E:$E,"ПММ",'Таблиця 1'!$L:$L,"Уражено"))</f>
        <v/>
      </c>
      <c r="V154">
        <f>IF($A154="","",COUNTIFS('Таблиця 1'!$B:$B,$A154,'Таблиця 1'!$E:$E,"ІФС",'Таблиця 1'!$L:$L,"Уражено"))</f>
        <v/>
      </c>
      <c r="W154">
        <f>IF($A154="","",COUNTIFS('Таблиця 1'!$B:$B,$A154,'Таблиця 1'!$E:$E,"Інфраструктура",'Таблиця 1'!$L:$L,"Уражено"))</f>
        <v/>
      </c>
      <c r="X154">
        <f>IF($A154="","",SUMIFS('Таблиця 1'!$K:$K,'Таблиця 1'!$B:$B,$A154))</f>
        <v/>
      </c>
    </row>
    <row r="155">
      <c r="A155" s="81">
        <f>IF(A154="","",IF(A154+1&gt;MAX('Таблиця 1'!$B:$B),"",A154+1))</f>
        <v/>
      </c>
      <c r="B155">
        <f>IF($A155="","",COUNTIFS('Таблиця 1'!$B:$B,$A155,'Таблиця 1'!$E:$E,"ЖС ВЗ",'Таблиця 1'!$L:$L,"Уражено"))</f>
        <v/>
      </c>
      <c r="C155">
        <f>IF($A155="","",COUNTIFS('Таблиця 1'!$B:$B,$A155,'Таблиця 1'!$E:$E,"Арт. Системи",'Таблиця 1'!$L:$L,"Уражено"))</f>
        <v/>
      </c>
      <c r="D155">
        <f>IF($A155="","",COUNTIFS('Таблиця 1'!$B:$B,$A155,'Таблиця 1'!$E:$E,"ОВТ",'Таблиця 1'!$L:$L,"Уражено"))</f>
        <v/>
      </c>
      <c r="E155">
        <f>IF($A155="","",COUNTIFS('Таблиця 1'!$B:$B,$A155,'Таблиця 1'!$E:$E,"ППО",'Таблиця 1'!$L:$L,"Уражено"))</f>
        <v/>
      </c>
      <c r="F155">
        <f>IF($A155="","",COUNTIFS('Таблиця 1'!$B:$B,$A155,'Таблиця 1'!$E:$E,"Рембаза",'Таблиця 1'!$L:$L,"Уражено"))</f>
        <v/>
      </c>
      <c r="G155">
        <f>IF($A155="","",COUNTIFS('Таблиця 1'!$B:$B,$A155,'Таблиця 1'!$E:$E,"Склад БК",'Таблиця 1'!$L:$L,"Уражено"))</f>
        <v/>
      </c>
      <c r="H155">
        <f>IF($A155="","",COUNTIFS('Таблиця 1'!$B:$B,$A155,'Таблиця 1'!$E:$E,"Склад ВТМ",'Таблиця 1'!$L:$L,"Уражено"))</f>
        <v/>
      </c>
      <c r="I155">
        <f>IF($A155="","",COUNTIFS('Таблиця 1'!$B:$B,$A155,'Таблиця 1'!$E:$E,"ПУ БпЛА",'Таблиця 1'!$L:$L,"Уражено"))</f>
        <v/>
      </c>
      <c r="J155">
        <f>IF($A155="","",COUNTIFS('Таблиця 1'!$B:$B,$A155,'Таблиця 1'!$E:$E,"СП",'Таблиця 1'!$L:$L,"Уражено"))</f>
        <v/>
      </c>
      <c r="K155">
        <f>IF($A155="","",COUNTIFS('Таблиця 1'!$B:$B,$A155,'Таблиця 1'!$E:$E,"КСП роти",'Таблиця 1'!$L:$L,"Уражено"))</f>
        <v/>
      </c>
      <c r="L155">
        <f>IF($A155="","",COUNTIFS('Таблиця 1'!$B:$B,$A155,'Таблиця 1'!$E:$E,"ПУ бат",'Таблиця 1'!$L:$L,"Уражено"))</f>
        <v/>
      </c>
      <c r="M155">
        <f>IF($A155="","",COUNTIFS('Таблиця 1'!$B:$B,$A155,'Таблиця 1'!$E:$E,"ПУ бриг",'Таблиця 1'!$L:$L,"Уражено"))</f>
        <v/>
      </c>
      <c r="N155">
        <f>IF($A155="","",COUNTIFS('Таблиця 1'!$B:$B,$A155,'Таблиця 1'!$E:$E,"ПУ див",'Таблиця 1'!$L:$L,"Уражено"))</f>
        <v/>
      </c>
      <c r="O155">
        <f>IF($A155="","",COUNTIFS('Таблиця 1'!$B:$B,$A155,'Таблиця 1'!$E:$E,"обл. РЕБ",'Таблиця 1'!$L:$L,"Уражено"))</f>
        <v/>
      </c>
      <c r="P155">
        <f>IF($A155="","",COUNTIFS('Таблиця 1'!$B:$B,$A155,'Таблиця 1'!$E:$E,"пос РЕБ",'Таблиця 1'!$L:$L,"Уражено"))</f>
        <v/>
      </c>
      <c r="Q155">
        <f>IF($A155="","",COUNTIFS('Таблиця 1'!$B:$B,$A155,'Таблиця 1'!$E:$E,"група РЕР",'Таблиця 1'!$L:$L,"Уражено"))</f>
        <v/>
      </c>
      <c r="R155">
        <f>IF($A155="","",COUNTIFS('Таблиця 1'!$B:$B,$A155,'Таблиця 1'!$E:$E,"РЛС КББ",'Таблиця 1'!$L:$L,"Уражено"))</f>
        <v/>
      </c>
      <c r="S155">
        <f>IF($A155="","",COUNTIFS('Таблиця 1'!$B:$B,$A155,'Таблиця 1'!$E:$E,"Ретранслятор",'Таблиця 1'!$L:$L,"Уражено"))</f>
        <v/>
      </c>
      <c r="T155">
        <f>IF($A155="","",COUNTIFS('Таблиця 1'!$B:$B,$A155,'Таблиця 1'!$E:$E,"Вз.зв'язку",'Таблиця 1'!$L:$L,"Уражено"))</f>
        <v/>
      </c>
      <c r="U155">
        <f>IF($A155="","",COUNTIFS('Таблиця 1'!$B:$B,$A155,'Таблиця 1'!$E:$E,"ПММ",'Таблиця 1'!$L:$L,"Уражено"))</f>
        <v/>
      </c>
      <c r="V155">
        <f>IF($A155="","",COUNTIFS('Таблиця 1'!$B:$B,$A155,'Таблиця 1'!$E:$E,"ІФС",'Таблиця 1'!$L:$L,"Уражено"))</f>
        <v/>
      </c>
      <c r="W155">
        <f>IF($A155="","",COUNTIFS('Таблиця 1'!$B:$B,$A155,'Таблиця 1'!$E:$E,"Інфраструктура",'Таблиця 1'!$L:$L,"Уражено"))</f>
        <v/>
      </c>
      <c r="X155">
        <f>IF($A155="","",SUMIFS('Таблиця 1'!$K:$K,'Таблиця 1'!$B:$B,$A155))</f>
        <v/>
      </c>
    </row>
    <row r="156">
      <c r="A156" s="81">
        <f>IF(A155="","",IF(A155+1&gt;MAX('Таблиця 1'!$B:$B),"",A155+1))</f>
        <v/>
      </c>
      <c r="B156">
        <f>IF($A156="","",COUNTIFS('Таблиця 1'!$B:$B,$A156,'Таблиця 1'!$E:$E,"ЖС ВЗ",'Таблиця 1'!$L:$L,"Уражено"))</f>
        <v/>
      </c>
      <c r="C156">
        <f>IF($A156="","",COUNTIFS('Таблиця 1'!$B:$B,$A156,'Таблиця 1'!$E:$E,"Арт. Системи",'Таблиця 1'!$L:$L,"Уражено"))</f>
        <v/>
      </c>
      <c r="D156">
        <f>IF($A156="","",COUNTIFS('Таблиця 1'!$B:$B,$A156,'Таблиця 1'!$E:$E,"ОВТ",'Таблиця 1'!$L:$L,"Уражено"))</f>
        <v/>
      </c>
      <c r="E156">
        <f>IF($A156="","",COUNTIFS('Таблиця 1'!$B:$B,$A156,'Таблиця 1'!$E:$E,"ППО",'Таблиця 1'!$L:$L,"Уражено"))</f>
        <v/>
      </c>
      <c r="F156">
        <f>IF($A156="","",COUNTIFS('Таблиця 1'!$B:$B,$A156,'Таблиця 1'!$E:$E,"Рембаза",'Таблиця 1'!$L:$L,"Уражено"))</f>
        <v/>
      </c>
      <c r="G156">
        <f>IF($A156="","",COUNTIFS('Таблиця 1'!$B:$B,$A156,'Таблиця 1'!$E:$E,"Склад БК",'Таблиця 1'!$L:$L,"Уражено"))</f>
        <v/>
      </c>
      <c r="H156">
        <f>IF($A156="","",COUNTIFS('Таблиця 1'!$B:$B,$A156,'Таблиця 1'!$E:$E,"Склад ВТМ",'Таблиця 1'!$L:$L,"Уражено"))</f>
        <v/>
      </c>
      <c r="I156">
        <f>IF($A156="","",COUNTIFS('Таблиця 1'!$B:$B,$A156,'Таблиця 1'!$E:$E,"ПУ БпЛА",'Таблиця 1'!$L:$L,"Уражено"))</f>
        <v/>
      </c>
      <c r="J156">
        <f>IF($A156="","",COUNTIFS('Таблиця 1'!$B:$B,$A156,'Таблиця 1'!$E:$E,"СП",'Таблиця 1'!$L:$L,"Уражено"))</f>
        <v/>
      </c>
      <c r="K156">
        <f>IF($A156="","",COUNTIFS('Таблиця 1'!$B:$B,$A156,'Таблиця 1'!$E:$E,"КСП роти",'Таблиця 1'!$L:$L,"Уражено"))</f>
        <v/>
      </c>
      <c r="L156">
        <f>IF($A156="","",COUNTIFS('Таблиця 1'!$B:$B,$A156,'Таблиця 1'!$E:$E,"ПУ бат",'Таблиця 1'!$L:$L,"Уражено"))</f>
        <v/>
      </c>
      <c r="M156">
        <f>IF($A156="","",COUNTIFS('Таблиця 1'!$B:$B,$A156,'Таблиця 1'!$E:$E,"ПУ бриг",'Таблиця 1'!$L:$L,"Уражено"))</f>
        <v/>
      </c>
      <c r="N156">
        <f>IF($A156="","",COUNTIFS('Таблиця 1'!$B:$B,$A156,'Таблиця 1'!$E:$E,"ПУ див",'Таблиця 1'!$L:$L,"Уражено"))</f>
        <v/>
      </c>
      <c r="O156">
        <f>IF($A156="","",COUNTIFS('Таблиця 1'!$B:$B,$A156,'Таблиця 1'!$E:$E,"обл. РЕБ",'Таблиця 1'!$L:$L,"Уражено"))</f>
        <v/>
      </c>
      <c r="P156">
        <f>IF($A156="","",COUNTIFS('Таблиця 1'!$B:$B,$A156,'Таблиця 1'!$E:$E,"пос РЕБ",'Таблиця 1'!$L:$L,"Уражено"))</f>
        <v/>
      </c>
      <c r="Q156">
        <f>IF($A156="","",COUNTIFS('Таблиця 1'!$B:$B,$A156,'Таблиця 1'!$E:$E,"група РЕР",'Таблиця 1'!$L:$L,"Уражено"))</f>
        <v/>
      </c>
      <c r="R156">
        <f>IF($A156="","",COUNTIFS('Таблиця 1'!$B:$B,$A156,'Таблиця 1'!$E:$E,"РЛС КББ",'Таблиця 1'!$L:$L,"Уражено"))</f>
        <v/>
      </c>
      <c r="S156">
        <f>IF($A156="","",COUNTIFS('Таблиця 1'!$B:$B,$A156,'Таблиця 1'!$E:$E,"Ретранслятор",'Таблиця 1'!$L:$L,"Уражено"))</f>
        <v/>
      </c>
      <c r="T156">
        <f>IF($A156="","",COUNTIFS('Таблиця 1'!$B:$B,$A156,'Таблиця 1'!$E:$E,"Вз.зв'язку",'Таблиця 1'!$L:$L,"Уражено"))</f>
        <v/>
      </c>
      <c r="U156">
        <f>IF($A156="","",COUNTIFS('Таблиця 1'!$B:$B,$A156,'Таблиця 1'!$E:$E,"ПММ",'Таблиця 1'!$L:$L,"Уражено"))</f>
        <v/>
      </c>
      <c r="V156">
        <f>IF($A156="","",COUNTIFS('Таблиця 1'!$B:$B,$A156,'Таблиця 1'!$E:$E,"ІФС",'Таблиця 1'!$L:$L,"Уражено"))</f>
        <v/>
      </c>
      <c r="W156">
        <f>IF($A156="","",COUNTIFS('Таблиця 1'!$B:$B,$A156,'Таблиця 1'!$E:$E,"Інфраструктура",'Таблиця 1'!$L:$L,"Уражено"))</f>
        <v/>
      </c>
      <c r="X156">
        <f>IF($A156="","",SUMIFS('Таблиця 1'!$K:$K,'Таблиця 1'!$B:$B,$A156))</f>
        <v/>
      </c>
    </row>
    <row r="157">
      <c r="A157" s="81">
        <f>IF(A156="","",IF(A156+1&gt;MAX('Таблиця 1'!$B:$B),"",A156+1))</f>
        <v/>
      </c>
      <c r="B157">
        <f>IF($A157="","",COUNTIFS('Таблиця 1'!$B:$B,$A157,'Таблиця 1'!$E:$E,"ЖС ВЗ",'Таблиця 1'!$L:$L,"Уражено"))</f>
        <v/>
      </c>
      <c r="C157">
        <f>IF($A157="","",COUNTIFS('Таблиця 1'!$B:$B,$A157,'Таблиця 1'!$E:$E,"Арт. Системи",'Таблиця 1'!$L:$L,"Уражено"))</f>
        <v/>
      </c>
      <c r="D157">
        <f>IF($A157="","",COUNTIFS('Таблиця 1'!$B:$B,$A157,'Таблиця 1'!$E:$E,"ОВТ",'Таблиця 1'!$L:$L,"Уражено"))</f>
        <v/>
      </c>
      <c r="E157">
        <f>IF($A157="","",COUNTIFS('Таблиця 1'!$B:$B,$A157,'Таблиця 1'!$E:$E,"ППО",'Таблиця 1'!$L:$L,"Уражено"))</f>
        <v/>
      </c>
      <c r="F157">
        <f>IF($A157="","",COUNTIFS('Таблиця 1'!$B:$B,$A157,'Таблиця 1'!$E:$E,"Рембаза",'Таблиця 1'!$L:$L,"Уражено"))</f>
        <v/>
      </c>
      <c r="G157">
        <f>IF($A157="","",COUNTIFS('Таблиця 1'!$B:$B,$A157,'Таблиця 1'!$E:$E,"Склад БК",'Таблиця 1'!$L:$L,"Уражено"))</f>
        <v/>
      </c>
      <c r="H157">
        <f>IF($A157="","",COUNTIFS('Таблиця 1'!$B:$B,$A157,'Таблиця 1'!$E:$E,"Склад ВТМ",'Таблиця 1'!$L:$L,"Уражено"))</f>
        <v/>
      </c>
      <c r="I157">
        <f>IF($A157="","",COUNTIFS('Таблиця 1'!$B:$B,$A157,'Таблиця 1'!$E:$E,"ПУ БпЛА",'Таблиця 1'!$L:$L,"Уражено"))</f>
        <v/>
      </c>
      <c r="J157">
        <f>IF($A157="","",COUNTIFS('Таблиця 1'!$B:$B,$A157,'Таблиця 1'!$E:$E,"СП",'Таблиця 1'!$L:$L,"Уражено"))</f>
        <v/>
      </c>
      <c r="K157">
        <f>IF($A157="","",COUNTIFS('Таблиця 1'!$B:$B,$A157,'Таблиця 1'!$E:$E,"КСП роти",'Таблиця 1'!$L:$L,"Уражено"))</f>
        <v/>
      </c>
      <c r="L157">
        <f>IF($A157="","",COUNTIFS('Таблиця 1'!$B:$B,$A157,'Таблиця 1'!$E:$E,"ПУ бат",'Таблиця 1'!$L:$L,"Уражено"))</f>
        <v/>
      </c>
      <c r="M157">
        <f>IF($A157="","",COUNTIFS('Таблиця 1'!$B:$B,$A157,'Таблиця 1'!$E:$E,"ПУ бриг",'Таблиця 1'!$L:$L,"Уражено"))</f>
        <v/>
      </c>
      <c r="N157">
        <f>IF($A157="","",COUNTIFS('Таблиця 1'!$B:$B,$A157,'Таблиця 1'!$E:$E,"ПУ див",'Таблиця 1'!$L:$L,"Уражено"))</f>
        <v/>
      </c>
      <c r="O157">
        <f>IF($A157="","",COUNTIFS('Таблиця 1'!$B:$B,$A157,'Таблиця 1'!$E:$E,"обл. РЕБ",'Таблиця 1'!$L:$L,"Уражено"))</f>
        <v/>
      </c>
      <c r="P157">
        <f>IF($A157="","",COUNTIFS('Таблиця 1'!$B:$B,$A157,'Таблиця 1'!$E:$E,"пос РЕБ",'Таблиця 1'!$L:$L,"Уражено"))</f>
        <v/>
      </c>
      <c r="Q157">
        <f>IF($A157="","",COUNTIFS('Таблиця 1'!$B:$B,$A157,'Таблиця 1'!$E:$E,"група РЕР",'Таблиця 1'!$L:$L,"Уражено"))</f>
        <v/>
      </c>
      <c r="R157">
        <f>IF($A157="","",COUNTIFS('Таблиця 1'!$B:$B,$A157,'Таблиця 1'!$E:$E,"РЛС КББ",'Таблиця 1'!$L:$L,"Уражено"))</f>
        <v/>
      </c>
      <c r="S157">
        <f>IF($A157="","",COUNTIFS('Таблиця 1'!$B:$B,$A157,'Таблиця 1'!$E:$E,"Ретранслятор",'Таблиця 1'!$L:$L,"Уражено"))</f>
        <v/>
      </c>
      <c r="T157">
        <f>IF($A157="","",COUNTIFS('Таблиця 1'!$B:$B,$A157,'Таблиця 1'!$E:$E,"Вз.зв'язку",'Таблиця 1'!$L:$L,"Уражено"))</f>
        <v/>
      </c>
      <c r="U157">
        <f>IF($A157="","",COUNTIFS('Таблиця 1'!$B:$B,$A157,'Таблиця 1'!$E:$E,"ПММ",'Таблиця 1'!$L:$L,"Уражено"))</f>
        <v/>
      </c>
      <c r="V157">
        <f>IF($A157="","",COUNTIFS('Таблиця 1'!$B:$B,$A157,'Таблиця 1'!$E:$E,"ІФС",'Таблиця 1'!$L:$L,"Уражено"))</f>
        <v/>
      </c>
      <c r="W157">
        <f>IF($A157="","",COUNTIFS('Таблиця 1'!$B:$B,$A157,'Таблиця 1'!$E:$E,"Інфраструктура",'Таблиця 1'!$L:$L,"Уражено"))</f>
        <v/>
      </c>
      <c r="X157">
        <f>IF($A157="","",SUMIFS('Таблиця 1'!$K:$K,'Таблиця 1'!$B:$B,$A157))</f>
        <v/>
      </c>
    </row>
    <row r="158">
      <c r="A158" s="81">
        <f>IF(A157="","",IF(A157+1&gt;MAX('Таблиця 1'!$B:$B),"",A157+1))</f>
        <v/>
      </c>
      <c r="B158">
        <f>IF($A158="","",COUNTIFS('Таблиця 1'!$B:$B,$A158,'Таблиця 1'!$E:$E,"ЖС ВЗ",'Таблиця 1'!$L:$L,"Уражено"))</f>
        <v/>
      </c>
      <c r="C158">
        <f>IF($A158="","",COUNTIFS('Таблиця 1'!$B:$B,$A158,'Таблиця 1'!$E:$E,"Арт. Системи",'Таблиця 1'!$L:$L,"Уражено"))</f>
        <v/>
      </c>
      <c r="D158">
        <f>IF($A158="","",COUNTIFS('Таблиця 1'!$B:$B,$A158,'Таблиця 1'!$E:$E,"ОВТ",'Таблиця 1'!$L:$L,"Уражено"))</f>
        <v/>
      </c>
      <c r="E158">
        <f>IF($A158="","",COUNTIFS('Таблиця 1'!$B:$B,$A158,'Таблиця 1'!$E:$E,"ППО",'Таблиця 1'!$L:$L,"Уражено"))</f>
        <v/>
      </c>
      <c r="F158">
        <f>IF($A158="","",COUNTIFS('Таблиця 1'!$B:$B,$A158,'Таблиця 1'!$E:$E,"Рембаза",'Таблиця 1'!$L:$L,"Уражено"))</f>
        <v/>
      </c>
      <c r="G158">
        <f>IF($A158="","",COUNTIFS('Таблиця 1'!$B:$B,$A158,'Таблиця 1'!$E:$E,"Склад БК",'Таблиця 1'!$L:$L,"Уражено"))</f>
        <v/>
      </c>
      <c r="H158">
        <f>IF($A158="","",COUNTIFS('Таблиця 1'!$B:$B,$A158,'Таблиця 1'!$E:$E,"Склад ВТМ",'Таблиця 1'!$L:$L,"Уражено"))</f>
        <v/>
      </c>
      <c r="I158">
        <f>IF($A158="","",COUNTIFS('Таблиця 1'!$B:$B,$A158,'Таблиця 1'!$E:$E,"ПУ БпЛА",'Таблиця 1'!$L:$L,"Уражено"))</f>
        <v/>
      </c>
      <c r="J158">
        <f>IF($A158="","",COUNTIFS('Таблиця 1'!$B:$B,$A158,'Таблиця 1'!$E:$E,"СП",'Таблиця 1'!$L:$L,"Уражено"))</f>
        <v/>
      </c>
      <c r="K158">
        <f>IF($A158="","",COUNTIFS('Таблиця 1'!$B:$B,$A158,'Таблиця 1'!$E:$E,"КСП роти",'Таблиця 1'!$L:$L,"Уражено"))</f>
        <v/>
      </c>
      <c r="L158">
        <f>IF($A158="","",COUNTIFS('Таблиця 1'!$B:$B,$A158,'Таблиця 1'!$E:$E,"ПУ бат",'Таблиця 1'!$L:$L,"Уражено"))</f>
        <v/>
      </c>
      <c r="M158">
        <f>IF($A158="","",COUNTIFS('Таблиця 1'!$B:$B,$A158,'Таблиця 1'!$E:$E,"ПУ бриг",'Таблиця 1'!$L:$L,"Уражено"))</f>
        <v/>
      </c>
      <c r="N158">
        <f>IF($A158="","",COUNTIFS('Таблиця 1'!$B:$B,$A158,'Таблиця 1'!$E:$E,"ПУ див",'Таблиця 1'!$L:$L,"Уражено"))</f>
        <v/>
      </c>
      <c r="O158">
        <f>IF($A158="","",COUNTIFS('Таблиця 1'!$B:$B,$A158,'Таблиця 1'!$E:$E,"обл. РЕБ",'Таблиця 1'!$L:$L,"Уражено"))</f>
        <v/>
      </c>
      <c r="P158">
        <f>IF($A158="","",COUNTIFS('Таблиця 1'!$B:$B,$A158,'Таблиця 1'!$E:$E,"пос РЕБ",'Таблиця 1'!$L:$L,"Уражено"))</f>
        <v/>
      </c>
      <c r="Q158">
        <f>IF($A158="","",COUNTIFS('Таблиця 1'!$B:$B,$A158,'Таблиця 1'!$E:$E,"група РЕР",'Таблиця 1'!$L:$L,"Уражено"))</f>
        <v/>
      </c>
      <c r="R158">
        <f>IF($A158="","",COUNTIFS('Таблиця 1'!$B:$B,$A158,'Таблиця 1'!$E:$E,"РЛС КББ",'Таблиця 1'!$L:$L,"Уражено"))</f>
        <v/>
      </c>
      <c r="S158">
        <f>IF($A158="","",COUNTIFS('Таблиця 1'!$B:$B,$A158,'Таблиця 1'!$E:$E,"Ретранслятор",'Таблиця 1'!$L:$L,"Уражено"))</f>
        <v/>
      </c>
      <c r="T158">
        <f>IF($A158="","",COUNTIFS('Таблиця 1'!$B:$B,$A158,'Таблиця 1'!$E:$E,"Вз.зв'язку",'Таблиця 1'!$L:$L,"Уражено"))</f>
        <v/>
      </c>
      <c r="U158">
        <f>IF($A158="","",COUNTIFS('Таблиця 1'!$B:$B,$A158,'Таблиця 1'!$E:$E,"ПММ",'Таблиця 1'!$L:$L,"Уражено"))</f>
        <v/>
      </c>
      <c r="V158">
        <f>IF($A158="","",COUNTIFS('Таблиця 1'!$B:$B,$A158,'Таблиця 1'!$E:$E,"ІФС",'Таблиця 1'!$L:$L,"Уражено"))</f>
        <v/>
      </c>
      <c r="W158">
        <f>IF($A158="","",COUNTIFS('Таблиця 1'!$B:$B,$A158,'Таблиця 1'!$E:$E,"Інфраструктура",'Таблиця 1'!$L:$L,"Уражено"))</f>
        <v/>
      </c>
      <c r="X158">
        <f>IF($A158="","",SUMIFS('Таблиця 1'!$K:$K,'Таблиця 1'!$B:$B,$A158))</f>
        <v/>
      </c>
    </row>
    <row r="159">
      <c r="A159" s="81">
        <f>IF(A158="","",IF(A158+1&gt;MAX('Таблиця 1'!$B:$B),"",A158+1))</f>
        <v/>
      </c>
      <c r="B159">
        <f>IF($A159="","",COUNTIFS('Таблиця 1'!$B:$B,$A159,'Таблиця 1'!$E:$E,"ЖС ВЗ",'Таблиця 1'!$L:$L,"Уражено"))</f>
        <v/>
      </c>
      <c r="C159">
        <f>IF($A159="","",COUNTIFS('Таблиця 1'!$B:$B,$A159,'Таблиця 1'!$E:$E,"Арт. Системи",'Таблиця 1'!$L:$L,"Уражено"))</f>
        <v/>
      </c>
      <c r="D159">
        <f>IF($A159="","",COUNTIFS('Таблиця 1'!$B:$B,$A159,'Таблиця 1'!$E:$E,"ОВТ",'Таблиця 1'!$L:$L,"Уражено"))</f>
        <v/>
      </c>
      <c r="E159">
        <f>IF($A159="","",COUNTIFS('Таблиця 1'!$B:$B,$A159,'Таблиця 1'!$E:$E,"ППО",'Таблиця 1'!$L:$L,"Уражено"))</f>
        <v/>
      </c>
      <c r="F159">
        <f>IF($A159="","",COUNTIFS('Таблиця 1'!$B:$B,$A159,'Таблиця 1'!$E:$E,"Рембаза",'Таблиця 1'!$L:$L,"Уражено"))</f>
        <v/>
      </c>
      <c r="G159">
        <f>IF($A159="","",COUNTIFS('Таблиця 1'!$B:$B,$A159,'Таблиця 1'!$E:$E,"Склад БК",'Таблиця 1'!$L:$L,"Уражено"))</f>
        <v/>
      </c>
      <c r="H159">
        <f>IF($A159="","",COUNTIFS('Таблиця 1'!$B:$B,$A159,'Таблиця 1'!$E:$E,"Склад ВТМ",'Таблиця 1'!$L:$L,"Уражено"))</f>
        <v/>
      </c>
      <c r="I159">
        <f>IF($A159="","",COUNTIFS('Таблиця 1'!$B:$B,$A159,'Таблиця 1'!$E:$E,"ПУ БпЛА",'Таблиця 1'!$L:$L,"Уражено"))</f>
        <v/>
      </c>
      <c r="J159">
        <f>IF($A159="","",COUNTIFS('Таблиця 1'!$B:$B,$A159,'Таблиця 1'!$E:$E,"СП",'Таблиця 1'!$L:$L,"Уражено"))</f>
        <v/>
      </c>
      <c r="K159">
        <f>IF($A159="","",COUNTIFS('Таблиця 1'!$B:$B,$A159,'Таблиця 1'!$E:$E,"КСП роти",'Таблиця 1'!$L:$L,"Уражено"))</f>
        <v/>
      </c>
      <c r="L159">
        <f>IF($A159="","",COUNTIFS('Таблиця 1'!$B:$B,$A159,'Таблиця 1'!$E:$E,"ПУ бат",'Таблиця 1'!$L:$L,"Уражено"))</f>
        <v/>
      </c>
      <c r="M159">
        <f>IF($A159="","",COUNTIFS('Таблиця 1'!$B:$B,$A159,'Таблиця 1'!$E:$E,"ПУ бриг",'Таблиця 1'!$L:$L,"Уражено"))</f>
        <v/>
      </c>
      <c r="N159">
        <f>IF($A159="","",COUNTIFS('Таблиця 1'!$B:$B,$A159,'Таблиця 1'!$E:$E,"ПУ див",'Таблиця 1'!$L:$L,"Уражено"))</f>
        <v/>
      </c>
      <c r="O159">
        <f>IF($A159="","",COUNTIFS('Таблиця 1'!$B:$B,$A159,'Таблиця 1'!$E:$E,"обл. РЕБ",'Таблиця 1'!$L:$L,"Уражено"))</f>
        <v/>
      </c>
      <c r="P159">
        <f>IF($A159="","",COUNTIFS('Таблиця 1'!$B:$B,$A159,'Таблиця 1'!$E:$E,"пос РЕБ",'Таблиця 1'!$L:$L,"Уражено"))</f>
        <v/>
      </c>
      <c r="Q159">
        <f>IF($A159="","",COUNTIFS('Таблиця 1'!$B:$B,$A159,'Таблиця 1'!$E:$E,"група РЕР",'Таблиця 1'!$L:$L,"Уражено"))</f>
        <v/>
      </c>
      <c r="R159">
        <f>IF($A159="","",COUNTIFS('Таблиця 1'!$B:$B,$A159,'Таблиця 1'!$E:$E,"РЛС КББ",'Таблиця 1'!$L:$L,"Уражено"))</f>
        <v/>
      </c>
      <c r="S159">
        <f>IF($A159="","",COUNTIFS('Таблиця 1'!$B:$B,$A159,'Таблиця 1'!$E:$E,"Ретранслятор",'Таблиця 1'!$L:$L,"Уражено"))</f>
        <v/>
      </c>
      <c r="T159">
        <f>IF($A159="","",COUNTIFS('Таблиця 1'!$B:$B,$A159,'Таблиця 1'!$E:$E,"Вз.зв'язку",'Таблиця 1'!$L:$L,"Уражено"))</f>
        <v/>
      </c>
      <c r="U159">
        <f>IF($A159="","",COUNTIFS('Таблиця 1'!$B:$B,$A159,'Таблиця 1'!$E:$E,"ПММ",'Таблиця 1'!$L:$L,"Уражено"))</f>
        <v/>
      </c>
      <c r="V159">
        <f>IF($A159="","",COUNTIFS('Таблиця 1'!$B:$B,$A159,'Таблиця 1'!$E:$E,"ІФС",'Таблиця 1'!$L:$L,"Уражено"))</f>
        <v/>
      </c>
      <c r="W159">
        <f>IF($A159="","",COUNTIFS('Таблиця 1'!$B:$B,$A159,'Таблиця 1'!$E:$E,"Інфраструктура",'Таблиця 1'!$L:$L,"Уражено"))</f>
        <v/>
      </c>
      <c r="X159">
        <f>IF($A159="","",SUMIFS('Таблиця 1'!$K:$K,'Таблиця 1'!$B:$B,$A159))</f>
        <v/>
      </c>
    </row>
    <row r="160">
      <c r="A160" s="81">
        <f>IF(A159="","",IF(A159+1&gt;MAX('Таблиця 1'!$B:$B),"",A159+1))</f>
        <v/>
      </c>
      <c r="B160">
        <f>IF($A160="","",COUNTIFS('Таблиця 1'!$B:$B,$A160,'Таблиця 1'!$E:$E,"ЖС ВЗ",'Таблиця 1'!$L:$L,"Уражено"))</f>
        <v/>
      </c>
      <c r="C160">
        <f>IF($A160="","",COUNTIFS('Таблиця 1'!$B:$B,$A160,'Таблиця 1'!$E:$E,"Арт. Системи",'Таблиця 1'!$L:$L,"Уражено"))</f>
        <v/>
      </c>
      <c r="D160">
        <f>IF($A160="","",COUNTIFS('Таблиця 1'!$B:$B,$A160,'Таблиця 1'!$E:$E,"ОВТ",'Таблиця 1'!$L:$L,"Уражено"))</f>
        <v/>
      </c>
      <c r="E160">
        <f>IF($A160="","",COUNTIFS('Таблиця 1'!$B:$B,$A160,'Таблиця 1'!$E:$E,"ППО",'Таблиця 1'!$L:$L,"Уражено"))</f>
        <v/>
      </c>
      <c r="F160">
        <f>IF($A160="","",COUNTIFS('Таблиця 1'!$B:$B,$A160,'Таблиця 1'!$E:$E,"Рембаза",'Таблиця 1'!$L:$L,"Уражено"))</f>
        <v/>
      </c>
      <c r="G160">
        <f>IF($A160="","",COUNTIFS('Таблиця 1'!$B:$B,$A160,'Таблиця 1'!$E:$E,"Склад БК",'Таблиця 1'!$L:$L,"Уражено"))</f>
        <v/>
      </c>
      <c r="H160">
        <f>IF($A160="","",COUNTIFS('Таблиця 1'!$B:$B,$A160,'Таблиця 1'!$E:$E,"Склад ВТМ",'Таблиця 1'!$L:$L,"Уражено"))</f>
        <v/>
      </c>
      <c r="I160">
        <f>IF($A160="","",COUNTIFS('Таблиця 1'!$B:$B,$A160,'Таблиця 1'!$E:$E,"ПУ БпЛА",'Таблиця 1'!$L:$L,"Уражено"))</f>
        <v/>
      </c>
      <c r="J160">
        <f>IF($A160="","",COUNTIFS('Таблиця 1'!$B:$B,$A160,'Таблиця 1'!$E:$E,"СП",'Таблиця 1'!$L:$L,"Уражено"))</f>
        <v/>
      </c>
      <c r="K160">
        <f>IF($A160="","",COUNTIFS('Таблиця 1'!$B:$B,$A160,'Таблиця 1'!$E:$E,"КСП роти",'Таблиця 1'!$L:$L,"Уражено"))</f>
        <v/>
      </c>
      <c r="L160">
        <f>IF($A160="","",COUNTIFS('Таблиця 1'!$B:$B,$A160,'Таблиця 1'!$E:$E,"ПУ бат",'Таблиця 1'!$L:$L,"Уражено"))</f>
        <v/>
      </c>
      <c r="M160">
        <f>IF($A160="","",COUNTIFS('Таблиця 1'!$B:$B,$A160,'Таблиця 1'!$E:$E,"ПУ бриг",'Таблиця 1'!$L:$L,"Уражено"))</f>
        <v/>
      </c>
      <c r="N160">
        <f>IF($A160="","",COUNTIFS('Таблиця 1'!$B:$B,$A160,'Таблиця 1'!$E:$E,"ПУ див",'Таблиця 1'!$L:$L,"Уражено"))</f>
        <v/>
      </c>
      <c r="O160">
        <f>IF($A160="","",COUNTIFS('Таблиця 1'!$B:$B,$A160,'Таблиця 1'!$E:$E,"обл. РЕБ",'Таблиця 1'!$L:$L,"Уражено"))</f>
        <v/>
      </c>
      <c r="P160">
        <f>IF($A160="","",COUNTIFS('Таблиця 1'!$B:$B,$A160,'Таблиця 1'!$E:$E,"пос РЕБ",'Таблиця 1'!$L:$L,"Уражено"))</f>
        <v/>
      </c>
      <c r="Q160">
        <f>IF($A160="","",COUNTIFS('Таблиця 1'!$B:$B,$A160,'Таблиця 1'!$E:$E,"група РЕР",'Таблиця 1'!$L:$L,"Уражено"))</f>
        <v/>
      </c>
      <c r="R160">
        <f>IF($A160="","",COUNTIFS('Таблиця 1'!$B:$B,$A160,'Таблиця 1'!$E:$E,"РЛС КББ",'Таблиця 1'!$L:$L,"Уражено"))</f>
        <v/>
      </c>
      <c r="S160">
        <f>IF($A160="","",COUNTIFS('Таблиця 1'!$B:$B,$A160,'Таблиця 1'!$E:$E,"Ретранслятор",'Таблиця 1'!$L:$L,"Уражено"))</f>
        <v/>
      </c>
      <c r="T160">
        <f>IF($A160="","",COUNTIFS('Таблиця 1'!$B:$B,$A160,'Таблиця 1'!$E:$E,"Вз.зв'язку",'Таблиця 1'!$L:$L,"Уражено"))</f>
        <v/>
      </c>
      <c r="U160">
        <f>IF($A160="","",COUNTIFS('Таблиця 1'!$B:$B,$A160,'Таблиця 1'!$E:$E,"ПММ",'Таблиця 1'!$L:$L,"Уражено"))</f>
        <v/>
      </c>
      <c r="V160">
        <f>IF($A160="","",COUNTIFS('Таблиця 1'!$B:$B,$A160,'Таблиця 1'!$E:$E,"ІФС",'Таблиця 1'!$L:$L,"Уражено"))</f>
        <v/>
      </c>
      <c r="W160">
        <f>IF($A160="","",COUNTIFS('Таблиця 1'!$B:$B,$A160,'Таблиця 1'!$E:$E,"Інфраструктура",'Таблиця 1'!$L:$L,"Уражено"))</f>
        <v/>
      </c>
      <c r="X160">
        <f>IF($A160="","",SUMIFS('Таблиця 1'!$K:$K,'Таблиця 1'!$B:$B,$A160))</f>
        <v/>
      </c>
    </row>
    <row r="161">
      <c r="A161" s="81">
        <f>IF(A160="","",IF(A160+1&gt;MAX('Таблиця 1'!$B:$B),"",A160+1))</f>
        <v/>
      </c>
      <c r="B161">
        <f>IF($A161="","",COUNTIFS('Таблиця 1'!$B:$B,$A161,'Таблиця 1'!$E:$E,"ЖС ВЗ",'Таблиця 1'!$L:$L,"Уражено"))</f>
        <v/>
      </c>
      <c r="C161">
        <f>IF($A161="","",COUNTIFS('Таблиця 1'!$B:$B,$A161,'Таблиця 1'!$E:$E,"Арт. Системи",'Таблиця 1'!$L:$L,"Уражено"))</f>
        <v/>
      </c>
      <c r="D161">
        <f>IF($A161="","",COUNTIFS('Таблиця 1'!$B:$B,$A161,'Таблиця 1'!$E:$E,"ОВТ",'Таблиця 1'!$L:$L,"Уражено"))</f>
        <v/>
      </c>
      <c r="E161">
        <f>IF($A161="","",COUNTIFS('Таблиця 1'!$B:$B,$A161,'Таблиця 1'!$E:$E,"ППО",'Таблиця 1'!$L:$L,"Уражено"))</f>
        <v/>
      </c>
      <c r="F161">
        <f>IF($A161="","",COUNTIFS('Таблиця 1'!$B:$B,$A161,'Таблиця 1'!$E:$E,"Рембаза",'Таблиця 1'!$L:$L,"Уражено"))</f>
        <v/>
      </c>
      <c r="G161">
        <f>IF($A161="","",COUNTIFS('Таблиця 1'!$B:$B,$A161,'Таблиця 1'!$E:$E,"Склад БК",'Таблиця 1'!$L:$L,"Уражено"))</f>
        <v/>
      </c>
      <c r="H161">
        <f>IF($A161="","",COUNTIFS('Таблиця 1'!$B:$B,$A161,'Таблиця 1'!$E:$E,"Склад ВТМ",'Таблиця 1'!$L:$L,"Уражено"))</f>
        <v/>
      </c>
      <c r="I161">
        <f>IF($A161="","",COUNTIFS('Таблиця 1'!$B:$B,$A161,'Таблиця 1'!$E:$E,"ПУ БпЛА",'Таблиця 1'!$L:$L,"Уражено"))</f>
        <v/>
      </c>
      <c r="J161">
        <f>IF($A161="","",COUNTIFS('Таблиця 1'!$B:$B,$A161,'Таблиця 1'!$E:$E,"СП",'Таблиця 1'!$L:$L,"Уражено"))</f>
        <v/>
      </c>
      <c r="K161">
        <f>IF($A161="","",COUNTIFS('Таблиця 1'!$B:$B,$A161,'Таблиця 1'!$E:$E,"КСП роти",'Таблиця 1'!$L:$L,"Уражено"))</f>
        <v/>
      </c>
      <c r="L161">
        <f>IF($A161="","",COUNTIFS('Таблиця 1'!$B:$B,$A161,'Таблиця 1'!$E:$E,"ПУ бат",'Таблиця 1'!$L:$L,"Уражено"))</f>
        <v/>
      </c>
      <c r="M161">
        <f>IF($A161="","",COUNTIFS('Таблиця 1'!$B:$B,$A161,'Таблиця 1'!$E:$E,"ПУ бриг",'Таблиця 1'!$L:$L,"Уражено"))</f>
        <v/>
      </c>
      <c r="N161">
        <f>IF($A161="","",COUNTIFS('Таблиця 1'!$B:$B,$A161,'Таблиця 1'!$E:$E,"ПУ див",'Таблиця 1'!$L:$L,"Уражено"))</f>
        <v/>
      </c>
      <c r="O161">
        <f>IF($A161="","",COUNTIFS('Таблиця 1'!$B:$B,$A161,'Таблиця 1'!$E:$E,"обл. РЕБ",'Таблиця 1'!$L:$L,"Уражено"))</f>
        <v/>
      </c>
      <c r="P161">
        <f>IF($A161="","",COUNTIFS('Таблиця 1'!$B:$B,$A161,'Таблиця 1'!$E:$E,"пос РЕБ",'Таблиця 1'!$L:$L,"Уражено"))</f>
        <v/>
      </c>
      <c r="Q161">
        <f>IF($A161="","",COUNTIFS('Таблиця 1'!$B:$B,$A161,'Таблиця 1'!$E:$E,"група РЕР",'Таблиця 1'!$L:$L,"Уражено"))</f>
        <v/>
      </c>
      <c r="R161">
        <f>IF($A161="","",COUNTIFS('Таблиця 1'!$B:$B,$A161,'Таблиця 1'!$E:$E,"РЛС КББ",'Таблиця 1'!$L:$L,"Уражено"))</f>
        <v/>
      </c>
      <c r="S161">
        <f>IF($A161="","",COUNTIFS('Таблиця 1'!$B:$B,$A161,'Таблиця 1'!$E:$E,"Ретранслятор",'Таблиця 1'!$L:$L,"Уражено"))</f>
        <v/>
      </c>
      <c r="T161">
        <f>IF($A161="","",COUNTIFS('Таблиця 1'!$B:$B,$A161,'Таблиця 1'!$E:$E,"Вз.зв'язку",'Таблиця 1'!$L:$L,"Уражено"))</f>
        <v/>
      </c>
      <c r="U161">
        <f>IF($A161="","",COUNTIFS('Таблиця 1'!$B:$B,$A161,'Таблиця 1'!$E:$E,"ПММ",'Таблиця 1'!$L:$L,"Уражено"))</f>
        <v/>
      </c>
      <c r="V161">
        <f>IF($A161="","",COUNTIFS('Таблиця 1'!$B:$B,$A161,'Таблиця 1'!$E:$E,"ІФС",'Таблиця 1'!$L:$L,"Уражено"))</f>
        <v/>
      </c>
      <c r="W161">
        <f>IF($A161="","",COUNTIFS('Таблиця 1'!$B:$B,$A161,'Таблиця 1'!$E:$E,"Інфраструктура",'Таблиця 1'!$L:$L,"Уражено"))</f>
        <v/>
      </c>
      <c r="X161">
        <f>IF($A161="","",SUMIFS('Таблиця 1'!$K:$K,'Таблиця 1'!$B:$B,$A161))</f>
        <v/>
      </c>
    </row>
    <row r="162">
      <c r="A162" s="81">
        <f>IF(A161="","",IF(A161+1&gt;MAX('Таблиця 1'!$B:$B),"",A161+1))</f>
        <v/>
      </c>
      <c r="B162">
        <f>IF($A162="","",COUNTIFS('Таблиця 1'!$B:$B,$A162,'Таблиця 1'!$E:$E,"ЖС ВЗ",'Таблиця 1'!$L:$L,"Уражено"))</f>
        <v/>
      </c>
      <c r="C162">
        <f>IF($A162="","",COUNTIFS('Таблиця 1'!$B:$B,$A162,'Таблиця 1'!$E:$E,"Арт. Системи",'Таблиця 1'!$L:$L,"Уражено"))</f>
        <v/>
      </c>
      <c r="D162">
        <f>IF($A162="","",COUNTIFS('Таблиця 1'!$B:$B,$A162,'Таблиця 1'!$E:$E,"ОВТ",'Таблиця 1'!$L:$L,"Уражено"))</f>
        <v/>
      </c>
      <c r="E162">
        <f>IF($A162="","",COUNTIFS('Таблиця 1'!$B:$B,$A162,'Таблиця 1'!$E:$E,"ППО",'Таблиця 1'!$L:$L,"Уражено"))</f>
        <v/>
      </c>
      <c r="F162">
        <f>IF($A162="","",COUNTIFS('Таблиця 1'!$B:$B,$A162,'Таблиця 1'!$E:$E,"Рембаза",'Таблиця 1'!$L:$L,"Уражено"))</f>
        <v/>
      </c>
      <c r="G162">
        <f>IF($A162="","",COUNTIFS('Таблиця 1'!$B:$B,$A162,'Таблиця 1'!$E:$E,"Склад БК",'Таблиця 1'!$L:$L,"Уражено"))</f>
        <v/>
      </c>
      <c r="H162">
        <f>IF($A162="","",COUNTIFS('Таблиця 1'!$B:$B,$A162,'Таблиця 1'!$E:$E,"Склад ВТМ",'Таблиця 1'!$L:$L,"Уражено"))</f>
        <v/>
      </c>
      <c r="I162">
        <f>IF($A162="","",COUNTIFS('Таблиця 1'!$B:$B,$A162,'Таблиця 1'!$E:$E,"ПУ БпЛА",'Таблиця 1'!$L:$L,"Уражено"))</f>
        <v/>
      </c>
      <c r="J162">
        <f>IF($A162="","",COUNTIFS('Таблиця 1'!$B:$B,$A162,'Таблиця 1'!$E:$E,"СП",'Таблиця 1'!$L:$L,"Уражено"))</f>
        <v/>
      </c>
      <c r="K162">
        <f>IF($A162="","",COUNTIFS('Таблиця 1'!$B:$B,$A162,'Таблиця 1'!$E:$E,"КСП роти",'Таблиця 1'!$L:$L,"Уражено"))</f>
        <v/>
      </c>
      <c r="L162">
        <f>IF($A162="","",COUNTIFS('Таблиця 1'!$B:$B,$A162,'Таблиця 1'!$E:$E,"ПУ бат",'Таблиця 1'!$L:$L,"Уражено"))</f>
        <v/>
      </c>
      <c r="M162">
        <f>IF($A162="","",COUNTIFS('Таблиця 1'!$B:$B,$A162,'Таблиця 1'!$E:$E,"ПУ бриг",'Таблиця 1'!$L:$L,"Уражено"))</f>
        <v/>
      </c>
      <c r="N162">
        <f>IF($A162="","",COUNTIFS('Таблиця 1'!$B:$B,$A162,'Таблиця 1'!$E:$E,"ПУ див",'Таблиця 1'!$L:$L,"Уражено"))</f>
        <v/>
      </c>
      <c r="O162">
        <f>IF($A162="","",COUNTIFS('Таблиця 1'!$B:$B,$A162,'Таблиця 1'!$E:$E,"обл. РЕБ",'Таблиця 1'!$L:$L,"Уражено"))</f>
        <v/>
      </c>
      <c r="P162">
        <f>IF($A162="","",COUNTIFS('Таблиця 1'!$B:$B,$A162,'Таблиця 1'!$E:$E,"пос РЕБ",'Таблиця 1'!$L:$L,"Уражено"))</f>
        <v/>
      </c>
      <c r="Q162">
        <f>IF($A162="","",COUNTIFS('Таблиця 1'!$B:$B,$A162,'Таблиця 1'!$E:$E,"група РЕР",'Таблиця 1'!$L:$L,"Уражено"))</f>
        <v/>
      </c>
      <c r="R162">
        <f>IF($A162="","",COUNTIFS('Таблиця 1'!$B:$B,$A162,'Таблиця 1'!$E:$E,"РЛС КББ",'Таблиця 1'!$L:$L,"Уражено"))</f>
        <v/>
      </c>
      <c r="S162">
        <f>IF($A162="","",COUNTIFS('Таблиця 1'!$B:$B,$A162,'Таблиця 1'!$E:$E,"Ретранслятор",'Таблиця 1'!$L:$L,"Уражено"))</f>
        <v/>
      </c>
      <c r="T162">
        <f>IF($A162="","",COUNTIFS('Таблиця 1'!$B:$B,$A162,'Таблиця 1'!$E:$E,"Вз.зв'язку",'Таблиця 1'!$L:$L,"Уражено"))</f>
        <v/>
      </c>
      <c r="U162">
        <f>IF($A162="","",COUNTIFS('Таблиця 1'!$B:$B,$A162,'Таблиця 1'!$E:$E,"ПММ",'Таблиця 1'!$L:$L,"Уражено"))</f>
        <v/>
      </c>
      <c r="V162">
        <f>IF($A162="","",COUNTIFS('Таблиця 1'!$B:$B,$A162,'Таблиця 1'!$E:$E,"ІФС",'Таблиця 1'!$L:$L,"Уражено"))</f>
        <v/>
      </c>
      <c r="W162">
        <f>IF($A162="","",COUNTIFS('Таблиця 1'!$B:$B,$A162,'Таблиця 1'!$E:$E,"Інфраструктура",'Таблиця 1'!$L:$L,"Уражено"))</f>
        <v/>
      </c>
      <c r="X162">
        <f>IF($A162="","",SUMIFS('Таблиця 1'!$K:$K,'Таблиця 1'!$B:$B,$A162))</f>
        <v/>
      </c>
    </row>
    <row r="163">
      <c r="A163" s="81">
        <f>IF(A162="","",IF(A162+1&gt;MAX('Таблиця 1'!$B:$B),"",A162+1))</f>
        <v/>
      </c>
      <c r="B163">
        <f>IF($A163="","",COUNTIFS('Таблиця 1'!$B:$B,$A163,'Таблиця 1'!$E:$E,"ЖС ВЗ",'Таблиця 1'!$L:$L,"Уражено"))</f>
        <v/>
      </c>
      <c r="C163">
        <f>IF($A163="","",COUNTIFS('Таблиця 1'!$B:$B,$A163,'Таблиця 1'!$E:$E,"Арт. Системи",'Таблиця 1'!$L:$L,"Уражено"))</f>
        <v/>
      </c>
      <c r="D163">
        <f>IF($A163="","",COUNTIFS('Таблиця 1'!$B:$B,$A163,'Таблиця 1'!$E:$E,"ОВТ",'Таблиця 1'!$L:$L,"Уражено"))</f>
        <v/>
      </c>
      <c r="E163">
        <f>IF($A163="","",COUNTIFS('Таблиця 1'!$B:$B,$A163,'Таблиця 1'!$E:$E,"ППО",'Таблиця 1'!$L:$L,"Уражено"))</f>
        <v/>
      </c>
      <c r="F163">
        <f>IF($A163="","",COUNTIFS('Таблиця 1'!$B:$B,$A163,'Таблиця 1'!$E:$E,"Рембаза",'Таблиця 1'!$L:$L,"Уражено"))</f>
        <v/>
      </c>
      <c r="G163">
        <f>IF($A163="","",COUNTIFS('Таблиця 1'!$B:$B,$A163,'Таблиця 1'!$E:$E,"Склад БК",'Таблиця 1'!$L:$L,"Уражено"))</f>
        <v/>
      </c>
      <c r="H163">
        <f>IF($A163="","",COUNTIFS('Таблиця 1'!$B:$B,$A163,'Таблиця 1'!$E:$E,"Склад ВТМ",'Таблиця 1'!$L:$L,"Уражено"))</f>
        <v/>
      </c>
      <c r="I163">
        <f>IF($A163="","",COUNTIFS('Таблиця 1'!$B:$B,$A163,'Таблиця 1'!$E:$E,"ПУ БпЛА",'Таблиця 1'!$L:$L,"Уражено"))</f>
        <v/>
      </c>
      <c r="J163">
        <f>IF($A163="","",COUNTIFS('Таблиця 1'!$B:$B,$A163,'Таблиця 1'!$E:$E,"СП",'Таблиця 1'!$L:$L,"Уражено"))</f>
        <v/>
      </c>
      <c r="K163">
        <f>IF($A163="","",COUNTIFS('Таблиця 1'!$B:$B,$A163,'Таблиця 1'!$E:$E,"КСП роти",'Таблиця 1'!$L:$L,"Уражено"))</f>
        <v/>
      </c>
      <c r="L163">
        <f>IF($A163="","",COUNTIFS('Таблиця 1'!$B:$B,$A163,'Таблиця 1'!$E:$E,"ПУ бат",'Таблиця 1'!$L:$L,"Уражено"))</f>
        <v/>
      </c>
      <c r="M163">
        <f>IF($A163="","",COUNTIFS('Таблиця 1'!$B:$B,$A163,'Таблиця 1'!$E:$E,"ПУ бриг",'Таблиця 1'!$L:$L,"Уражено"))</f>
        <v/>
      </c>
      <c r="N163">
        <f>IF($A163="","",COUNTIFS('Таблиця 1'!$B:$B,$A163,'Таблиця 1'!$E:$E,"ПУ див",'Таблиця 1'!$L:$L,"Уражено"))</f>
        <v/>
      </c>
      <c r="O163">
        <f>IF($A163="","",COUNTIFS('Таблиця 1'!$B:$B,$A163,'Таблиця 1'!$E:$E,"обл. РЕБ",'Таблиця 1'!$L:$L,"Уражено"))</f>
        <v/>
      </c>
      <c r="P163">
        <f>IF($A163="","",COUNTIFS('Таблиця 1'!$B:$B,$A163,'Таблиця 1'!$E:$E,"пос РЕБ",'Таблиця 1'!$L:$L,"Уражено"))</f>
        <v/>
      </c>
      <c r="Q163">
        <f>IF($A163="","",COUNTIFS('Таблиця 1'!$B:$B,$A163,'Таблиця 1'!$E:$E,"група РЕР",'Таблиця 1'!$L:$L,"Уражено"))</f>
        <v/>
      </c>
      <c r="R163">
        <f>IF($A163="","",COUNTIFS('Таблиця 1'!$B:$B,$A163,'Таблиця 1'!$E:$E,"РЛС КББ",'Таблиця 1'!$L:$L,"Уражено"))</f>
        <v/>
      </c>
      <c r="S163">
        <f>IF($A163="","",COUNTIFS('Таблиця 1'!$B:$B,$A163,'Таблиця 1'!$E:$E,"Ретранслятор",'Таблиця 1'!$L:$L,"Уражено"))</f>
        <v/>
      </c>
      <c r="T163">
        <f>IF($A163="","",COUNTIFS('Таблиця 1'!$B:$B,$A163,'Таблиця 1'!$E:$E,"Вз.зв'язку",'Таблиця 1'!$L:$L,"Уражено"))</f>
        <v/>
      </c>
      <c r="U163">
        <f>IF($A163="","",COUNTIFS('Таблиця 1'!$B:$B,$A163,'Таблиця 1'!$E:$E,"ПММ",'Таблиця 1'!$L:$L,"Уражено"))</f>
        <v/>
      </c>
      <c r="V163">
        <f>IF($A163="","",COUNTIFS('Таблиця 1'!$B:$B,$A163,'Таблиця 1'!$E:$E,"ІФС",'Таблиця 1'!$L:$L,"Уражено"))</f>
        <v/>
      </c>
      <c r="W163">
        <f>IF($A163="","",COUNTIFS('Таблиця 1'!$B:$B,$A163,'Таблиця 1'!$E:$E,"Інфраструктура",'Таблиця 1'!$L:$L,"Уражено"))</f>
        <v/>
      </c>
      <c r="X163">
        <f>IF($A163="","",SUMIFS('Таблиця 1'!$K:$K,'Таблиця 1'!$B:$B,$A163))</f>
        <v/>
      </c>
    </row>
    <row r="164">
      <c r="A164" s="81">
        <f>IF(A163="","",IF(A163+1&gt;MAX('Таблиця 1'!$B:$B),"",A163+1))</f>
        <v/>
      </c>
      <c r="B164">
        <f>IF($A164="","",COUNTIFS('Таблиця 1'!$B:$B,$A164,'Таблиця 1'!$E:$E,"ЖС ВЗ",'Таблиця 1'!$L:$L,"Уражено"))</f>
        <v/>
      </c>
      <c r="C164">
        <f>IF($A164="","",COUNTIFS('Таблиця 1'!$B:$B,$A164,'Таблиця 1'!$E:$E,"Арт. Системи",'Таблиця 1'!$L:$L,"Уражено"))</f>
        <v/>
      </c>
      <c r="D164">
        <f>IF($A164="","",COUNTIFS('Таблиця 1'!$B:$B,$A164,'Таблиця 1'!$E:$E,"ОВТ",'Таблиця 1'!$L:$L,"Уражено"))</f>
        <v/>
      </c>
      <c r="E164">
        <f>IF($A164="","",COUNTIFS('Таблиця 1'!$B:$B,$A164,'Таблиця 1'!$E:$E,"ППО",'Таблиця 1'!$L:$L,"Уражено"))</f>
        <v/>
      </c>
      <c r="F164">
        <f>IF($A164="","",COUNTIFS('Таблиця 1'!$B:$B,$A164,'Таблиця 1'!$E:$E,"Рембаза",'Таблиця 1'!$L:$L,"Уражено"))</f>
        <v/>
      </c>
      <c r="G164">
        <f>IF($A164="","",COUNTIFS('Таблиця 1'!$B:$B,$A164,'Таблиця 1'!$E:$E,"Склад БК",'Таблиця 1'!$L:$L,"Уражено"))</f>
        <v/>
      </c>
      <c r="H164">
        <f>IF($A164="","",COUNTIFS('Таблиця 1'!$B:$B,$A164,'Таблиця 1'!$E:$E,"Склад ВТМ",'Таблиця 1'!$L:$L,"Уражено"))</f>
        <v/>
      </c>
      <c r="I164">
        <f>IF($A164="","",COUNTIFS('Таблиця 1'!$B:$B,$A164,'Таблиця 1'!$E:$E,"ПУ БпЛА",'Таблиця 1'!$L:$L,"Уражено"))</f>
        <v/>
      </c>
      <c r="J164">
        <f>IF($A164="","",COUNTIFS('Таблиця 1'!$B:$B,$A164,'Таблиця 1'!$E:$E,"СП",'Таблиця 1'!$L:$L,"Уражено"))</f>
        <v/>
      </c>
      <c r="K164">
        <f>IF($A164="","",COUNTIFS('Таблиця 1'!$B:$B,$A164,'Таблиця 1'!$E:$E,"КСП роти",'Таблиця 1'!$L:$L,"Уражено"))</f>
        <v/>
      </c>
      <c r="L164">
        <f>IF($A164="","",COUNTIFS('Таблиця 1'!$B:$B,$A164,'Таблиця 1'!$E:$E,"ПУ бат",'Таблиця 1'!$L:$L,"Уражено"))</f>
        <v/>
      </c>
      <c r="M164">
        <f>IF($A164="","",COUNTIFS('Таблиця 1'!$B:$B,$A164,'Таблиця 1'!$E:$E,"ПУ бриг",'Таблиця 1'!$L:$L,"Уражено"))</f>
        <v/>
      </c>
      <c r="N164">
        <f>IF($A164="","",COUNTIFS('Таблиця 1'!$B:$B,$A164,'Таблиця 1'!$E:$E,"ПУ див",'Таблиця 1'!$L:$L,"Уражено"))</f>
        <v/>
      </c>
      <c r="O164">
        <f>IF($A164="","",COUNTIFS('Таблиця 1'!$B:$B,$A164,'Таблиця 1'!$E:$E,"обл. РЕБ",'Таблиця 1'!$L:$L,"Уражено"))</f>
        <v/>
      </c>
      <c r="P164">
        <f>IF($A164="","",COUNTIFS('Таблиця 1'!$B:$B,$A164,'Таблиця 1'!$E:$E,"пос РЕБ",'Таблиця 1'!$L:$L,"Уражено"))</f>
        <v/>
      </c>
      <c r="Q164">
        <f>IF($A164="","",COUNTIFS('Таблиця 1'!$B:$B,$A164,'Таблиця 1'!$E:$E,"група РЕР",'Таблиця 1'!$L:$L,"Уражено"))</f>
        <v/>
      </c>
      <c r="R164">
        <f>IF($A164="","",COUNTIFS('Таблиця 1'!$B:$B,$A164,'Таблиця 1'!$E:$E,"РЛС КББ",'Таблиця 1'!$L:$L,"Уражено"))</f>
        <v/>
      </c>
      <c r="S164">
        <f>IF($A164="","",COUNTIFS('Таблиця 1'!$B:$B,$A164,'Таблиця 1'!$E:$E,"Ретранслятор",'Таблиця 1'!$L:$L,"Уражено"))</f>
        <v/>
      </c>
      <c r="T164">
        <f>IF($A164="","",COUNTIFS('Таблиця 1'!$B:$B,$A164,'Таблиця 1'!$E:$E,"Вз.зв'язку",'Таблиця 1'!$L:$L,"Уражено"))</f>
        <v/>
      </c>
      <c r="U164">
        <f>IF($A164="","",COUNTIFS('Таблиця 1'!$B:$B,$A164,'Таблиця 1'!$E:$E,"ПММ",'Таблиця 1'!$L:$L,"Уражено"))</f>
        <v/>
      </c>
      <c r="V164">
        <f>IF($A164="","",COUNTIFS('Таблиця 1'!$B:$B,$A164,'Таблиця 1'!$E:$E,"ІФС",'Таблиця 1'!$L:$L,"Уражено"))</f>
        <v/>
      </c>
      <c r="W164">
        <f>IF($A164="","",COUNTIFS('Таблиця 1'!$B:$B,$A164,'Таблиця 1'!$E:$E,"Інфраструктура",'Таблиця 1'!$L:$L,"Уражено"))</f>
        <v/>
      </c>
      <c r="X164">
        <f>IF($A164="","",SUMIFS('Таблиця 1'!$K:$K,'Таблиця 1'!$B:$B,$A164))</f>
        <v/>
      </c>
    </row>
    <row r="165">
      <c r="A165" s="81">
        <f>IF(A164="","",IF(A164+1&gt;MAX('Таблиця 1'!$B:$B),"",A164+1))</f>
        <v/>
      </c>
      <c r="B165">
        <f>IF($A165="","",COUNTIFS('Таблиця 1'!$B:$B,$A165,'Таблиця 1'!$E:$E,"ЖС ВЗ",'Таблиця 1'!$L:$L,"Уражено"))</f>
        <v/>
      </c>
      <c r="C165">
        <f>IF($A165="","",COUNTIFS('Таблиця 1'!$B:$B,$A165,'Таблиця 1'!$E:$E,"Арт. Системи",'Таблиця 1'!$L:$L,"Уражено"))</f>
        <v/>
      </c>
      <c r="D165">
        <f>IF($A165="","",COUNTIFS('Таблиця 1'!$B:$B,$A165,'Таблиця 1'!$E:$E,"ОВТ",'Таблиця 1'!$L:$L,"Уражено"))</f>
        <v/>
      </c>
      <c r="E165">
        <f>IF($A165="","",COUNTIFS('Таблиця 1'!$B:$B,$A165,'Таблиця 1'!$E:$E,"ППО",'Таблиця 1'!$L:$L,"Уражено"))</f>
        <v/>
      </c>
      <c r="F165">
        <f>IF($A165="","",COUNTIFS('Таблиця 1'!$B:$B,$A165,'Таблиця 1'!$E:$E,"Рембаза",'Таблиця 1'!$L:$L,"Уражено"))</f>
        <v/>
      </c>
      <c r="G165">
        <f>IF($A165="","",COUNTIFS('Таблиця 1'!$B:$B,$A165,'Таблиця 1'!$E:$E,"Склад БК",'Таблиця 1'!$L:$L,"Уражено"))</f>
        <v/>
      </c>
      <c r="H165">
        <f>IF($A165="","",COUNTIFS('Таблиця 1'!$B:$B,$A165,'Таблиця 1'!$E:$E,"Склад ВТМ",'Таблиця 1'!$L:$L,"Уражено"))</f>
        <v/>
      </c>
      <c r="I165">
        <f>IF($A165="","",COUNTIFS('Таблиця 1'!$B:$B,$A165,'Таблиця 1'!$E:$E,"ПУ БпЛА",'Таблиця 1'!$L:$L,"Уражено"))</f>
        <v/>
      </c>
      <c r="J165">
        <f>IF($A165="","",COUNTIFS('Таблиця 1'!$B:$B,$A165,'Таблиця 1'!$E:$E,"СП",'Таблиця 1'!$L:$L,"Уражено"))</f>
        <v/>
      </c>
      <c r="K165">
        <f>IF($A165="","",COUNTIFS('Таблиця 1'!$B:$B,$A165,'Таблиця 1'!$E:$E,"КСП роти",'Таблиця 1'!$L:$L,"Уражено"))</f>
        <v/>
      </c>
      <c r="L165">
        <f>IF($A165="","",COUNTIFS('Таблиця 1'!$B:$B,$A165,'Таблиця 1'!$E:$E,"ПУ бат",'Таблиця 1'!$L:$L,"Уражено"))</f>
        <v/>
      </c>
      <c r="M165">
        <f>IF($A165="","",COUNTIFS('Таблиця 1'!$B:$B,$A165,'Таблиця 1'!$E:$E,"ПУ бриг",'Таблиця 1'!$L:$L,"Уражено"))</f>
        <v/>
      </c>
      <c r="N165">
        <f>IF($A165="","",COUNTIFS('Таблиця 1'!$B:$B,$A165,'Таблиця 1'!$E:$E,"ПУ див",'Таблиця 1'!$L:$L,"Уражено"))</f>
        <v/>
      </c>
      <c r="O165">
        <f>IF($A165="","",COUNTIFS('Таблиця 1'!$B:$B,$A165,'Таблиця 1'!$E:$E,"обл. РЕБ",'Таблиця 1'!$L:$L,"Уражено"))</f>
        <v/>
      </c>
      <c r="P165">
        <f>IF($A165="","",COUNTIFS('Таблиця 1'!$B:$B,$A165,'Таблиця 1'!$E:$E,"пос РЕБ",'Таблиця 1'!$L:$L,"Уражено"))</f>
        <v/>
      </c>
      <c r="Q165">
        <f>IF($A165="","",COUNTIFS('Таблиця 1'!$B:$B,$A165,'Таблиця 1'!$E:$E,"група РЕР",'Таблиця 1'!$L:$L,"Уражено"))</f>
        <v/>
      </c>
      <c r="R165">
        <f>IF($A165="","",COUNTIFS('Таблиця 1'!$B:$B,$A165,'Таблиця 1'!$E:$E,"РЛС КББ",'Таблиця 1'!$L:$L,"Уражено"))</f>
        <v/>
      </c>
      <c r="S165">
        <f>IF($A165="","",COUNTIFS('Таблиця 1'!$B:$B,$A165,'Таблиця 1'!$E:$E,"Ретранслятор",'Таблиця 1'!$L:$L,"Уражено"))</f>
        <v/>
      </c>
      <c r="T165">
        <f>IF($A165="","",COUNTIFS('Таблиця 1'!$B:$B,$A165,'Таблиця 1'!$E:$E,"Вз.зв'язку",'Таблиця 1'!$L:$L,"Уражено"))</f>
        <v/>
      </c>
      <c r="U165">
        <f>IF($A165="","",COUNTIFS('Таблиця 1'!$B:$B,$A165,'Таблиця 1'!$E:$E,"ПММ",'Таблиця 1'!$L:$L,"Уражено"))</f>
        <v/>
      </c>
      <c r="V165">
        <f>IF($A165="","",COUNTIFS('Таблиця 1'!$B:$B,$A165,'Таблиця 1'!$E:$E,"ІФС",'Таблиця 1'!$L:$L,"Уражено"))</f>
        <v/>
      </c>
      <c r="W165">
        <f>IF($A165="","",COUNTIFS('Таблиця 1'!$B:$B,$A165,'Таблиця 1'!$E:$E,"Інфраструктура",'Таблиця 1'!$L:$L,"Уражено"))</f>
        <v/>
      </c>
      <c r="X165">
        <f>IF($A165="","",SUMIFS('Таблиця 1'!$K:$K,'Таблиця 1'!$B:$B,$A165))</f>
        <v/>
      </c>
    </row>
    <row r="166">
      <c r="A166" s="81">
        <f>IF(A165="","",IF(A165+1&gt;MAX('Таблиця 1'!$B:$B),"",A165+1))</f>
        <v/>
      </c>
      <c r="B166">
        <f>IF($A166="","",COUNTIFS('Таблиця 1'!$B:$B,$A166,'Таблиця 1'!$E:$E,"ЖС ВЗ",'Таблиця 1'!$L:$L,"Уражено"))</f>
        <v/>
      </c>
      <c r="C166">
        <f>IF($A166="","",COUNTIFS('Таблиця 1'!$B:$B,$A166,'Таблиця 1'!$E:$E,"Арт. Системи",'Таблиця 1'!$L:$L,"Уражено"))</f>
        <v/>
      </c>
      <c r="D166">
        <f>IF($A166="","",COUNTIFS('Таблиця 1'!$B:$B,$A166,'Таблиця 1'!$E:$E,"ОВТ",'Таблиця 1'!$L:$L,"Уражено"))</f>
        <v/>
      </c>
      <c r="E166">
        <f>IF($A166="","",COUNTIFS('Таблиця 1'!$B:$B,$A166,'Таблиця 1'!$E:$E,"ППО",'Таблиця 1'!$L:$L,"Уражено"))</f>
        <v/>
      </c>
      <c r="F166">
        <f>IF($A166="","",COUNTIFS('Таблиця 1'!$B:$B,$A166,'Таблиця 1'!$E:$E,"Рембаза",'Таблиця 1'!$L:$L,"Уражено"))</f>
        <v/>
      </c>
      <c r="G166">
        <f>IF($A166="","",COUNTIFS('Таблиця 1'!$B:$B,$A166,'Таблиця 1'!$E:$E,"Склад БК",'Таблиця 1'!$L:$L,"Уражено"))</f>
        <v/>
      </c>
      <c r="H166">
        <f>IF($A166="","",COUNTIFS('Таблиця 1'!$B:$B,$A166,'Таблиця 1'!$E:$E,"Склад ВТМ",'Таблиця 1'!$L:$L,"Уражено"))</f>
        <v/>
      </c>
      <c r="I166">
        <f>IF($A166="","",COUNTIFS('Таблиця 1'!$B:$B,$A166,'Таблиця 1'!$E:$E,"ПУ БпЛА",'Таблиця 1'!$L:$L,"Уражено"))</f>
        <v/>
      </c>
      <c r="J166">
        <f>IF($A166="","",COUNTIFS('Таблиця 1'!$B:$B,$A166,'Таблиця 1'!$E:$E,"СП",'Таблиця 1'!$L:$L,"Уражено"))</f>
        <v/>
      </c>
      <c r="K166">
        <f>IF($A166="","",COUNTIFS('Таблиця 1'!$B:$B,$A166,'Таблиця 1'!$E:$E,"КСП роти",'Таблиця 1'!$L:$L,"Уражено"))</f>
        <v/>
      </c>
      <c r="L166">
        <f>IF($A166="","",COUNTIFS('Таблиця 1'!$B:$B,$A166,'Таблиця 1'!$E:$E,"ПУ бат",'Таблиця 1'!$L:$L,"Уражено"))</f>
        <v/>
      </c>
      <c r="M166">
        <f>IF($A166="","",COUNTIFS('Таблиця 1'!$B:$B,$A166,'Таблиця 1'!$E:$E,"ПУ бриг",'Таблиця 1'!$L:$L,"Уражено"))</f>
        <v/>
      </c>
      <c r="N166">
        <f>IF($A166="","",COUNTIFS('Таблиця 1'!$B:$B,$A166,'Таблиця 1'!$E:$E,"ПУ див",'Таблиця 1'!$L:$L,"Уражено"))</f>
        <v/>
      </c>
      <c r="O166">
        <f>IF($A166="","",COUNTIFS('Таблиця 1'!$B:$B,$A166,'Таблиця 1'!$E:$E,"обл. РЕБ",'Таблиця 1'!$L:$L,"Уражено"))</f>
        <v/>
      </c>
      <c r="P166">
        <f>IF($A166="","",COUNTIFS('Таблиця 1'!$B:$B,$A166,'Таблиця 1'!$E:$E,"пос РЕБ",'Таблиця 1'!$L:$L,"Уражено"))</f>
        <v/>
      </c>
      <c r="Q166">
        <f>IF($A166="","",COUNTIFS('Таблиця 1'!$B:$B,$A166,'Таблиця 1'!$E:$E,"група РЕР",'Таблиця 1'!$L:$L,"Уражено"))</f>
        <v/>
      </c>
      <c r="R166">
        <f>IF($A166="","",COUNTIFS('Таблиця 1'!$B:$B,$A166,'Таблиця 1'!$E:$E,"РЛС КББ",'Таблиця 1'!$L:$L,"Уражено"))</f>
        <v/>
      </c>
      <c r="S166">
        <f>IF($A166="","",COUNTIFS('Таблиця 1'!$B:$B,$A166,'Таблиця 1'!$E:$E,"Ретранслятор",'Таблиця 1'!$L:$L,"Уражено"))</f>
        <v/>
      </c>
      <c r="T166">
        <f>IF($A166="","",COUNTIFS('Таблиця 1'!$B:$B,$A166,'Таблиця 1'!$E:$E,"Вз.зв'язку",'Таблиця 1'!$L:$L,"Уражено"))</f>
        <v/>
      </c>
      <c r="U166">
        <f>IF($A166="","",COUNTIFS('Таблиця 1'!$B:$B,$A166,'Таблиця 1'!$E:$E,"ПММ",'Таблиця 1'!$L:$L,"Уражено"))</f>
        <v/>
      </c>
      <c r="V166">
        <f>IF($A166="","",COUNTIFS('Таблиця 1'!$B:$B,$A166,'Таблиця 1'!$E:$E,"ІФС",'Таблиця 1'!$L:$L,"Уражено"))</f>
        <v/>
      </c>
      <c r="W166">
        <f>IF($A166="","",COUNTIFS('Таблиця 1'!$B:$B,$A166,'Таблиця 1'!$E:$E,"Інфраструктура",'Таблиця 1'!$L:$L,"Уражено"))</f>
        <v/>
      </c>
      <c r="X166">
        <f>IF($A166="","",SUMIFS('Таблиця 1'!$K:$K,'Таблиця 1'!$B:$B,$A166))</f>
        <v/>
      </c>
    </row>
    <row r="167">
      <c r="A167" s="81">
        <f>IF(A166="","",IF(A166+1&gt;MAX('Таблиця 1'!$B:$B),"",A166+1))</f>
        <v/>
      </c>
      <c r="B167">
        <f>IF($A167="","",COUNTIFS('Таблиця 1'!$B:$B,$A167,'Таблиця 1'!$E:$E,"ЖС ВЗ",'Таблиця 1'!$L:$L,"Уражено"))</f>
        <v/>
      </c>
      <c r="C167">
        <f>IF($A167="","",COUNTIFS('Таблиця 1'!$B:$B,$A167,'Таблиця 1'!$E:$E,"Арт. Системи",'Таблиця 1'!$L:$L,"Уражено"))</f>
        <v/>
      </c>
      <c r="D167">
        <f>IF($A167="","",COUNTIFS('Таблиця 1'!$B:$B,$A167,'Таблиця 1'!$E:$E,"ОВТ",'Таблиця 1'!$L:$L,"Уражено"))</f>
        <v/>
      </c>
      <c r="E167">
        <f>IF($A167="","",COUNTIFS('Таблиця 1'!$B:$B,$A167,'Таблиця 1'!$E:$E,"ППО",'Таблиця 1'!$L:$L,"Уражено"))</f>
        <v/>
      </c>
      <c r="F167">
        <f>IF($A167="","",COUNTIFS('Таблиця 1'!$B:$B,$A167,'Таблиця 1'!$E:$E,"Рембаза",'Таблиця 1'!$L:$L,"Уражено"))</f>
        <v/>
      </c>
      <c r="G167">
        <f>IF($A167="","",COUNTIFS('Таблиця 1'!$B:$B,$A167,'Таблиця 1'!$E:$E,"Склад БК",'Таблиця 1'!$L:$L,"Уражено"))</f>
        <v/>
      </c>
      <c r="H167">
        <f>IF($A167="","",COUNTIFS('Таблиця 1'!$B:$B,$A167,'Таблиця 1'!$E:$E,"Склад ВТМ",'Таблиця 1'!$L:$L,"Уражено"))</f>
        <v/>
      </c>
      <c r="I167">
        <f>IF($A167="","",COUNTIFS('Таблиця 1'!$B:$B,$A167,'Таблиця 1'!$E:$E,"ПУ БпЛА",'Таблиця 1'!$L:$L,"Уражено"))</f>
        <v/>
      </c>
      <c r="J167">
        <f>IF($A167="","",COUNTIFS('Таблиця 1'!$B:$B,$A167,'Таблиця 1'!$E:$E,"СП",'Таблиця 1'!$L:$L,"Уражено"))</f>
        <v/>
      </c>
      <c r="K167">
        <f>IF($A167="","",COUNTIFS('Таблиця 1'!$B:$B,$A167,'Таблиця 1'!$E:$E,"КСП роти",'Таблиця 1'!$L:$L,"Уражено"))</f>
        <v/>
      </c>
      <c r="L167">
        <f>IF($A167="","",COUNTIFS('Таблиця 1'!$B:$B,$A167,'Таблиця 1'!$E:$E,"ПУ бат",'Таблиця 1'!$L:$L,"Уражено"))</f>
        <v/>
      </c>
      <c r="M167">
        <f>IF($A167="","",COUNTIFS('Таблиця 1'!$B:$B,$A167,'Таблиця 1'!$E:$E,"ПУ бриг",'Таблиця 1'!$L:$L,"Уражено"))</f>
        <v/>
      </c>
      <c r="N167">
        <f>IF($A167="","",COUNTIFS('Таблиця 1'!$B:$B,$A167,'Таблиця 1'!$E:$E,"ПУ див",'Таблиця 1'!$L:$L,"Уражено"))</f>
        <v/>
      </c>
      <c r="O167">
        <f>IF($A167="","",COUNTIFS('Таблиця 1'!$B:$B,$A167,'Таблиця 1'!$E:$E,"обл. РЕБ",'Таблиця 1'!$L:$L,"Уражено"))</f>
        <v/>
      </c>
      <c r="P167">
        <f>IF($A167="","",COUNTIFS('Таблиця 1'!$B:$B,$A167,'Таблиця 1'!$E:$E,"пос РЕБ",'Таблиця 1'!$L:$L,"Уражено"))</f>
        <v/>
      </c>
      <c r="Q167">
        <f>IF($A167="","",COUNTIFS('Таблиця 1'!$B:$B,$A167,'Таблиця 1'!$E:$E,"група РЕР",'Таблиця 1'!$L:$L,"Уражено"))</f>
        <v/>
      </c>
      <c r="R167">
        <f>IF($A167="","",COUNTIFS('Таблиця 1'!$B:$B,$A167,'Таблиця 1'!$E:$E,"РЛС КББ",'Таблиця 1'!$L:$L,"Уражено"))</f>
        <v/>
      </c>
      <c r="S167">
        <f>IF($A167="","",COUNTIFS('Таблиця 1'!$B:$B,$A167,'Таблиця 1'!$E:$E,"Ретранслятор",'Таблиця 1'!$L:$L,"Уражено"))</f>
        <v/>
      </c>
      <c r="T167">
        <f>IF($A167="","",COUNTIFS('Таблиця 1'!$B:$B,$A167,'Таблиця 1'!$E:$E,"Вз.зв'язку",'Таблиця 1'!$L:$L,"Уражено"))</f>
        <v/>
      </c>
      <c r="U167">
        <f>IF($A167="","",COUNTIFS('Таблиця 1'!$B:$B,$A167,'Таблиця 1'!$E:$E,"ПММ",'Таблиця 1'!$L:$L,"Уражено"))</f>
        <v/>
      </c>
      <c r="V167">
        <f>IF($A167="","",COUNTIFS('Таблиця 1'!$B:$B,$A167,'Таблиця 1'!$E:$E,"ІФС",'Таблиця 1'!$L:$L,"Уражено"))</f>
        <v/>
      </c>
      <c r="W167">
        <f>IF($A167="","",COUNTIFS('Таблиця 1'!$B:$B,$A167,'Таблиця 1'!$E:$E,"Інфраструктура",'Таблиця 1'!$L:$L,"Уражено"))</f>
        <v/>
      </c>
      <c r="X167">
        <f>IF($A167="","",SUMIFS('Таблиця 1'!$K:$K,'Таблиця 1'!$B:$B,$A167))</f>
        <v/>
      </c>
    </row>
    <row r="168">
      <c r="A168" s="81">
        <f>IF(A167="","",IF(A167+1&gt;MAX('Таблиця 1'!$B:$B),"",A167+1))</f>
        <v/>
      </c>
      <c r="B168">
        <f>IF($A168="","",COUNTIFS('Таблиця 1'!$B:$B,$A168,'Таблиця 1'!$E:$E,"ЖС ВЗ",'Таблиця 1'!$L:$L,"Уражено"))</f>
        <v/>
      </c>
      <c r="C168">
        <f>IF($A168="","",COUNTIFS('Таблиця 1'!$B:$B,$A168,'Таблиця 1'!$E:$E,"Арт. Системи",'Таблиця 1'!$L:$L,"Уражено"))</f>
        <v/>
      </c>
      <c r="D168">
        <f>IF($A168="","",COUNTIFS('Таблиця 1'!$B:$B,$A168,'Таблиця 1'!$E:$E,"ОВТ",'Таблиця 1'!$L:$L,"Уражено"))</f>
        <v/>
      </c>
      <c r="E168">
        <f>IF($A168="","",COUNTIFS('Таблиця 1'!$B:$B,$A168,'Таблиця 1'!$E:$E,"ППО",'Таблиця 1'!$L:$L,"Уражено"))</f>
        <v/>
      </c>
      <c r="F168">
        <f>IF($A168="","",COUNTIFS('Таблиця 1'!$B:$B,$A168,'Таблиця 1'!$E:$E,"Рембаза",'Таблиця 1'!$L:$L,"Уражено"))</f>
        <v/>
      </c>
      <c r="G168">
        <f>IF($A168="","",COUNTIFS('Таблиця 1'!$B:$B,$A168,'Таблиця 1'!$E:$E,"Склад БК",'Таблиця 1'!$L:$L,"Уражено"))</f>
        <v/>
      </c>
      <c r="H168">
        <f>IF($A168="","",COUNTIFS('Таблиця 1'!$B:$B,$A168,'Таблиця 1'!$E:$E,"Склад ВТМ",'Таблиця 1'!$L:$L,"Уражено"))</f>
        <v/>
      </c>
      <c r="I168">
        <f>IF($A168="","",COUNTIFS('Таблиця 1'!$B:$B,$A168,'Таблиця 1'!$E:$E,"ПУ БпЛА",'Таблиця 1'!$L:$L,"Уражено"))</f>
        <v/>
      </c>
      <c r="J168">
        <f>IF($A168="","",COUNTIFS('Таблиця 1'!$B:$B,$A168,'Таблиця 1'!$E:$E,"СП",'Таблиця 1'!$L:$L,"Уражено"))</f>
        <v/>
      </c>
      <c r="K168">
        <f>IF($A168="","",COUNTIFS('Таблиця 1'!$B:$B,$A168,'Таблиця 1'!$E:$E,"КСП роти",'Таблиця 1'!$L:$L,"Уражено"))</f>
        <v/>
      </c>
      <c r="L168">
        <f>IF($A168="","",COUNTIFS('Таблиця 1'!$B:$B,$A168,'Таблиця 1'!$E:$E,"ПУ бат",'Таблиця 1'!$L:$L,"Уражено"))</f>
        <v/>
      </c>
      <c r="M168">
        <f>IF($A168="","",COUNTIFS('Таблиця 1'!$B:$B,$A168,'Таблиця 1'!$E:$E,"ПУ бриг",'Таблиця 1'!$L:$L,"Уражено"))</f>
        <v/>
      </c>
      <c r="N168">
        <f>IF($A168="","",COUNTIFS('Таблиця 1'!$B:$B,$A168,'Таблиця 1'!$E:$E,"ПУ див",'Таблиця 1'!$L:$L,"Уражено"))</f>
        <v/>
      </c>
      <c r="O168">
        <f>IF($A168="","",COUNTIFS('Таблиця 1'!$B:$B,$A168,'Таблиця 1'!$E:$E,"обл. РЕБ",'Таблиця 1'!$L:$L,"Уражено"))</f>
        <v/>
      </c>
      <c r="P168">
        <f>IF($A168="","",COUNTIFS('Таблиця 1'!$B:$B,$A168,'Таблиця 1'!$E:$E,"пос РЕБ",'Таблиця 1'!$L:$L,"Уражено"))</f>
        <v/>
      </c>
      <c r="Q168">
        <f>IF($A168="","",COUNTIFS('Таблиця 1'!$B:$B,$A168,'Таблиця 1'!$E:$E,"група РЕР",'Таблиця 1'!$L:$L,"Уражено"))</f>
        <v/>
      </c>
      <c r="R168">
        <f>IF($A168="","",COUNTIFS('Таблиця 1'!$B:$B,$A168,'Таблиця 1'!$E:$E,"РЛС КББ",'Таблиця 1'!$L:$L,"Уражено"))</f>
        <v/>
      </c>
      <c r="S168">
        <f>IF($A168="","",COUNTIFS('Таблиця 1'!$B:$B,$A168,'Таблиця 1'!$E:$E,"Ретранслятор",'Таблиця 1'!$L:$L,"Уражено"))</f>
        <v/>
      </c>
      <c r="T168">
        <f>IF($A168="","",COUNTIFS('Таблиця 1'!$B:$B,$A168,'Таблиця 1'!$E:$E,"Вз.зв'язку",'Таблиця 1'!$L:$L,"Уражено"))</f>
        <v/>
      </c>
      <c r="U168">
        <f>IF($A168="","",COUNTIFS('Таблиця 1'!$B:$B,$A168,'Таблиця 1'!$E:$E,"ПММ",'Таблиця 1'!$L:$L,"Уражено"))</f>
        <v/>
      </c>
      <c r="V168">
        <f>IF($A168="","",COUNTIFS('Таблиця 1'!$B:$B,$A168,'Таблиця 1'!$E:$E,"ІФС",'Таблиця 1'!$L:$L,"Уражено"))</f>
        <v/>
      </c>
      <c r="W168">
        <f>IF($A168="","",COUNTIFS('Таблиця 1'!$B:$B,$A168,'Таблиця 1'!$E:$E,"Інфраструктура",'Таблиця 1'!$L:$L,"Уражено"))</f>
        <v/>
      </c>
      <c r="X168">
        <f>IF($A168="","",SUMIFS('Таблиця 1'!$K:$K,'Таблиця 1'!$B:$B,$A168))</f>
        <v/>
      </c>
    </row>
    <row r="169">
      <c r="A169" s="81">
        <f>IF(A168="","",IF(A168+1&gt;MAX('Таблиця 1'!$B:$B),"",A168+1))</f>
        <v/>
      </c>
      <c r="B169">
        <f>IF($A169="","",COUNTIFS('Таблиця 1'!$B:$B,$A169,'Таблиця 1'!$E:$E,"ЖС ВЗ",'Таблиця 1'!$L:$L,"Уражено"))</f>
        <v/>
      </c>
      <c r="C169">
        <f>IF($A169="","",COUNTIFS('Таблиця 1'!$B:$B,$A169,'Таблиця 1'!$E:$E,"Арт. Системи",'Таблиця 1'!$L:$L,"Уражено"))</f>
        <v/>
      </c>
      <c r="D169">
        <f>IF($A169="","",COUNTIFS('Таблиця 1'!$B:$B,$A169,'Таблиця 1'!$E:$E,"ОВТ",'Таблиця 1'!$L:$L,"Уражено"))</f>
        <v/>
      </c>
      <c r="E169">
        <f>IF($A169="","",COUNTIFS('Таблиця 1'!$B:$B,$A169,'Таблиця 1'!$E:$E,"ППО",'Таблиця 1'!$L:$L,"Уражено"))</f>
        <v/>
      </c>
      <c r="F169">
        <f>IF($A169="","",COUNTIFS('Таблиця 1'!$B:$B,$A169,'Таблиця 1'!$E:$E,"Рембаза",'Таблиця 1'!$L:$L,"Уражено"))</f>
        <v/>
      </c>
      <c r="G169">
        <f>IF($A169="","",COUNTIFS('Таблиця 1'!$B:$B,$A169,'Таблиця 1'!$E:$E,"Склад БК",'Таблиця 1'!$L:$L,"Уражено"))</f>
        <v/>
      </c>
      <c r="H169">
        <f>IF($A169="","",COUNTIFS('Таблиця 1'!$B:$B,$A169,'Таблиця 1'!$E:$E,"Склад ВТМ",'Таблиця 1'!$L:$L,"Уражено"))</f>
        <v/>
      </c>
      <c r="I169">
        <f>IF($A169="","",COUNTIFS('Таблиця 1'!$B:$B,$A169,'Таблиця 1'!$E:$E,"ПУ БпЛА",'Таблиця 1'!$L:$L,"Уражено"))</f>
        <v/>
      </c>
      <c r="J169">
        <f>IF($A169="","",COUNTIFS('Таблиця 1'!$B:$B,$A169,'Таблиця 1'!$E:$E,"СП",'Таблиця 1'!$L:$L,"Уражено"))</f>
        <v/>
      </c>
      <c r="K169">
        <f>IF($A169="","",COUNTIFS('Таблиця 1'!$B:$B,$A169,'Таблиця 1'!$E:$E,"КСП роти",'Таблиця 1'!$L:$L,"Уражено"))</f>
        <v/>
      </c>
      <c r="L169">
        <f>IF($A169="","",COUNTIFS('Таблиця 1'!$B:$B,$A169,'Таблиця 1'!$E:$E,"ПУ бат",'Таблиця 1'!$L:$L,"Уражено"))</f>
        <v/>
      </c>
      <c r="M169">
        <f>IF($A169="","",COUNTIFS('Таблиця 1'!$B:$B,$A169,'Таблиця 1'!$E:$E,"ПУ бриг",'Таблиця 1'!$L:$L,"Уражено"))</f>
        <v/>
      </c>
      <c r="N169">
        <f>IF($A169="","",COUNTIFS('Таблиця 1'!$B:$B,$A169,'Таблиця 1'!$E:$E,"ПУ див",'Таблиця 1'!$L:$L,"Уражено"))</f>
        <v/>
      </c>
      <c r="O169">
        <f>IF($A169="","",COUNTIFS('Таблиця 1'!$B:$B,$A169,'Таблиця 1'!$E:$E,"обл. РЕБ",'Таблиця 1'!$L:$L,"Уражено"))</f>
        <v/>
      </c>
      <c r="P169">
        <f>IF($A169="","",COUNTIFS('Таблиця 1'!$B:$B,$A169,'Таблиця 1'!$E:$E,"пос РЕБ",'Таблиця 1'!$L:$L,"Уражено"))</f>
        <v/>
      </c>
      <c r="Q169">
        <f>IF($A169="","",COUNTIFS('Таблиця 1'!$B:$B,$A169,'Таблиця 1'!$E:$E,"група РЕР",'Таблиця 1'!$L:$L,"Уражено"))</f>
        <v/>
      </c>
      <c r="R169">
        <f>IF($A169="","",COUNTIFS('Таблиця 1'!$B:$B,$A169,'Таблиця 1'!$E:$E,"РЛС КББ",'Таблиця 1'!$L:$L,"Уражено"))</f>
        <v/>
      </c>
      <c r="S169">
        <f>IF($A169="","",COUNTIFS('Таблиця 1'!$B:$B,$A169,'Таблиця 1'!$E:$E,"Ретранслятор",'Таблиця 1'!$L:$L,"Уражено"))</f>
        <v/>
      </c>
      <c r="T169">
        <f>IF($A169="","",COUNTIFS('Таблиця 1'!$B:$B,$A169,'Таблиця 1'!$E:$E,"Вз.зв'язку",'Таблиця 1'!$L:$L,"Уражено"))</f>
        <v/>
      </c>
      <c r="U169">
        <f>IF($A169="","",COUNTIFS('Таблиця 1'!$B:$B,$A169,'Таблиця 1'!$E:$E,"ПММ",'Таблиця 1'!$L:$L,"Уражено"))</f>
        <v/>
      </c>
      <c r="V169">
        <f>IF($A169="","",COUNTIFS('Таблиця 1'!$B:$B,$A169,'Таблиця 1'!$E:$E,"ІФС",'Таблиця 1'!$L:$L,"Уражено"))</f>
        <v/>
      </c>
      <c r="W169">
        <f>IF($A169="","",COUNTIFS('Таблиця 1'!$B:$B,$A169,'Таблиця 1'!$E:$E,"Інфраструктура",'Таблиця 1'!$L:$L,"Уражено"))</f>
        <v/>
      </c>
      <c r="X169">
        <f>IF($A169="","",SUMIFS('Таблиця 1'!$K:$K,'Таблиця 1'!$B:$B,$A169))</f>
        <v/>
      </c>
    </row>
    <row r="170">
      <c r="A170" s="81">
        <f>IF(A169="","",IF(A169+1&gt;MAX('Таблиця 1'!$B:$B),"",A169+1))</f>
        <v/>
      </c>
      <c r="B170">
        <f>IF($A170="","",COUNTIFS('Таблиця 1'!$B:$B,$A170,'Таблиця 1'!$E:$E,"ЖС ВЗ",'Таблиця 1'!$L:$L,"Уражено"))</f>
        <v/>
      </c>
      <c r="C170">
        <f>IF($A170="","",COUNTIFS('Таблиця 1'!$B:$B,$A170,'Таблиця 1'!$E:$E,"Арт. Системи",'Таблиця 1'!$L:$L,"Уражено"))</f>
        <v/>
      </c>
      <c r="D170">
        <f>IF($A170="","",COUNTIFS('Таблиця 1'!$B:$B,$A170,'Таблиця 1'!$E:$E,"ОВТ",'Таблиця 1'!$L:$L,"Уражено"))</f>
        <v/>
      </c>
      <c r="E170">
        <f>IF($A170="","",COUNTIFS('Таблиця 1'!$B:$B,$A170,'Таблиця 1'!$E:$E,"ППО",'Таблиця 1'!$L:$L,"Уражено"))</f>
        <v/>
      </c>
      <c r="F170">
        <f>IF($A170="","",COUNTIFS('Таблиця 1'!$B:$B,$A170,'Таблиця 1'!$E:$E,"Рембаза",'Таблиця 1'!$L:$L,"Уражено"))</f>
        <v/>
      </c>
      <c r="G170">
        <f>IF($A170="","",COUNTIFS('Таблиця 1'!$B:$B,$A170,'Таблиця 1'!$E:$E,"Склад БК",'Таблиця 1'!$L:$L,"Уражено"))</f>
        <v/>
      </c>
      <c r="H170">
        <f>IF($A170="","",COUNTIFS('Таблиця 1'!$B:$B,$A170,'Таблиця 1'!$E:$E,"Склад ВТМ",'Таблиця 1'!$L:$L,"Уражено"))</f>
        <v/>
      </c>
      <c r="I170">
        <f>IF($A170="","",COUNTIFS('Таблиця 1'!$B:$B,$A170,'Таблиця 1'!$E:$E,"ПУ БпЛА",'Таблиця 1'!$L:$L,"Уражено"))</f>
        <v/>
      </c>
      <c r="J170">
        <f>IF($A170="","",COUNTIFS('Таблиця 1'!$B:$B,$A170,'Таблиця 1'!$E:$E,"СП",'Таблиця 1'!$L:$L,"Уражено"))</f>
        <v/>
      </c>
      <c r="K170">
        <f>IF($A170="","",COUNTIFS('Таблиця 1'!$B:$B,$A170,'Таблиця 1'!$E:$E,"КСП роти",'Таблиця 1'!$L:$L,"Уражено"))</f>
        <v/>
      </c>
      <c r="L170">
        <f>IF($A170="","",COUNTIFS('Таблиця 1'!$B:$B,$A170,'Таблиця 1'!$E:$E,"ПУ бат",'Таблиця 1'!$L:$L,"Уражено"))</f>
        <v/>
      </c>
      <c r="M170">
        <f>IF($A170="","",COUNTIFS('Таблиця 1'!$B:$B,$A170,'Таблиця 1'!$E:$E,"ПУ бриг",'Таблиця 1'!$L:$L,"Уражено"))</f>
        <v/>
      </c>
      <c r="N170">
        <f>IF($A170="","",COUNTIFS('Таблиця 1'!$B:$B,$A170,'Таблиця 1'!$E:$E,"ПУ див",'Таблиця 1'!$L:$L,"Уражено"))</f>
        <v/>
      </c>
      <c r="O170">
        <f>IF($A170="","",COUNTIFS('Таблиця 1'!$B:$B,$A170,'Таблиця 1'!$E:$E,"обл. РЕБ",'Таблиця 1'!$L:$L,"Уражено"))</f>
        <v/>
      </c>
      <c r="P170">
        <f>IF($A170="","",COUNTIFS('Таблиця 1'!$B:$B,$A170,'Таблиця 1'!$E:$E,"пос РЕБ",'Таблиця 1'!$L:$L,"Уражено"))</f>
        <v/>
      </c>
      <c r="Q170">
        <f>IF($A170="","",COUNTIFS('Таблиця 1'!$B:$B,$A170,'Таблиця 1'!$E:$E,"група РЕР",'Таблиця 1'!$L:$L,"Уражено"))</f>
        <v/>
      </c>
      <c r="R170">
        <f>IF($A170="","",COUNTIFS('Таблиця 1'!$B:$B,$A170,'Таблиця 1'!$E:$E,"РЛС КББ",'Таблиця 1'!$L:$L,"Уражено"))</f>
        <v/>
      </c>
      <c r="S170">
        <f>IF($A170="","",COUNTIFS('Таблиця 1'!$B:$B,$A170,'Таблиця 1'!$E:$E,"Ретранслятор",'Таблиця 1'!$L:$L,"Уражено"))</f>
        <v/>
      </c>
      <c r="T170">
        <f>IF($A170="","",COUNTIFS('Таблиця 1'!$B:$B,$A170,'Таблиця 1'!$E:$E,"Вз.зв'язку",'Таблиця 1'!$L:$L,"Уражено"))</f>
        <v/>
      </c>
      <c r="U170">
        <f>IF($A170="","",COUNTIFS('Таблиця 1'!$B:$B,$A170,'Таблиця 1'!$E:$E,"ПММ",'Таблиця 1'!$L:$L,"Уражено"))</f>
        <v/>
      </c>
      <c r="V170">
        <f>IF($A170="","",COUNTIFS('Таблиця 1'!$B:$B,$A170,'Таблиця 1'!$E:$E,"ІФС",'Таблиця 1'!$L:$L,"Уражено"))</f>
        <v/>
      </c>
      <c r="W170">
        <f>IF($A170="","",COUNTIFS('Таблиця 1'!$B:$B,$A170,'Таблиця 1'!$E:$E,"Інфраструктура",'Таблиця 1'!$L:$L,"Уражено"))</f>
        <v/>
      </c>
      <c r="X170">
        <f>IF($A170="","",SUMIFS('Таблиця 1'!$K:$K,'Таблиця 1'!$B:$B,$A170))</f>
        <v/>
      </c>
    </row>
    <row r="171">
      <c r="A171" s="81">
        <f>IF(A170="","",IF(A170+1&gt;MAX('Таблиця 1'!$B:$B),"",A170+1))</f>
        <v/>
      </c>
      <c r="B171">
        <f>IF($A171="","",COUNTIFS('Таблиця 1'!$B:$B,$A171,'Таблиця 1'!$E:$E,"ЖС ВЗ",'Таблиця 1'!$L:$L,"Уражено"))</f>
        <v/>
      </c>
      <c r="C171">
        <f>IF($A171="","",COUNTIFS('Таблиця 1'!$B:$B,$A171,'Таблиця 1'!$E:$E,"Арт. Системи",'Таблиця 1'!$L:$L,"Уражено"))</f>
        <v/>
      </c>
      <c r="D171">
        <f>IF($A171="","",COUNTIFS('Таблиця 1'!$B:$B,$A171,'Таблиця 1'!$E:$E,"ОВТ",'Таблиця 1'!$L:$L,"Уражено"))</f>
        <v/>
      </c>
      <c r="E171">
        <f>IF($A171="","",COUNTIFS('Таблиця 1'!$B:$B,$A171,'Таблиця 1'!$E:$E,"ППО",'Таблиця 1'!$L:$L,"Уражено"))</f>
        <v/>
      </c>
      <c r="F171">
        <f>IF($A171="","",COUNTIFS('Таблиця 1'!$B:$B,$A171,'Таблиця 1'!$E:$E,"Рембаза",'Таблиця 1'!$L:$L,"Уражено"))</f>
        <v/>
      </c>
      <c r="G171">
        <f>IF($A171="","",COUNTIFS('Таблиця 1'!$B:$B,$A171,'Таблиця 1'!$E:$E,"Склад БК",'Таблиця 1'!$L:$L,"Уражено"))</f>
        <v/>
      </c>
      <c r="H171">
        <f>IF($A171="","",COUNTIFS('Таблиця 1'!$B:$B,$A171,'Таблиця 1'!$E:$E,"Склад ВТМ",'Таблиця 1'!$L:$L,"Уражено"))</f>
        <v/>
      </c>
      <c r="I171">
        <f>IF($A171="","",COUNTIFS('Таблиця 1'!$B:$B,$A171,'Таблиця 1'!$E:$E,"ПУ БпЛА",'Таблиця 1'!$L:$L,"Уражено"))</f>
        <v/>
      </c>
      <c r="J171">
        <f>IF($A171="","",COUNTIFS('Таблиця 1'!$B:$B,$A171,'Таблиця 1'!$E:$E,"СП",'Таблиця 1'!$L:$L,"Уражено"))</f>
        <v/>
      </c>
      <c r="K171">
        <f>IF($A171="","",COUNTIFS('Таблиця 1'!$B:$B,$A171,'Таблиця 1'!$E:$E,"КСП роти",'Таблиця 1'!$L:$L,"Уражено"))</f>
        <v/>
      </c>
      <c r="L171">
        <f>IF($A171="","",COUNTIFS('Таблиця 1'!$B:$B,$A171,'Таблиця 1'!$E:$E,"ПУ бат",'Таблиця 1'!$L:$L,"Уражено"))</f>
        <v/>
      </c>
      <c r="M171">
        <f>IF($A171="","",COUNTIFS('Таблиця 1'!$B:$B,$A171,'Таблиця 1'!$E:$E,"ПУ бриг",'Таблиця 1'!$L:$L,"Уражено"))</f>
        <v/>
      </c>
      <c r="N171">
        <f>IF($A171="","",COUNTIFS('Таблиця 1'!$B:$B,$A171,'Таблиця 1'!$E:$E,"ПУ див",'Таблиця 1'!$L:$L,"Уражено"))</f>
        <v/>
      </c>
      <c r="O171">
        <f>IF($A171="","",COUNTIFS('Таблиця 1'!$B:$B,$A171,'Таблиця 1'!$E:$E,"обл. РЕБ",'Таблиця 1'!$L:$L,"Уражено"))</f>
        <v/>
      </c>
      <c r="P171">
        <f>IF($A171="","",COUNTIFS('Таблиця 1'!$B:$B,$A171,'Таблиця 1'!$E:$E,"пос РЕБ",'Таблиця 1'!$L:$L,"Уражено"))</f>
        <v/>
      </c>
      <c r="Q171">
        <f>IF($A171="","",COUNTIFS('Таблиця 1'!$B:$B,$A171,'Таблиця 1'!$E:$E,"група РЕР",'Таблиця 1'!$L:$L,"Уражено"))</f>
        <v/>
      </c>
      <c r="R171">
        <f>IF($A171="","",COUNTIFS('Таблиця 1'!$B:$B,$A171,'Таблиця 1'!$E:$E,"РЛС КББ",'Таблиця 1'!$L:$L,"Уражено"))</f>
        <v/>
      </c>
      <c r="S171">
        <f>IF($A171="","",COUNTIFS('Таблиця 1'!$B:$B,$A171,'Таблиця 1'!$E:$E,"Ретранслятор",'Таблиця 1'!$L:$L,"Уражено"))</f>
        <v/>
      </c>
      <c r="T171">
        <f>IF($A171="","",COUNTIFS('Таблиця 1'!$B:$B,$A171,'Таблиця 1'!$E:$E,"Вз.зв'язку",'Таблиця 1'!$L:$L,"Уражено"))</f>
        <v/>
      </c>
      <c r="U171">
        <f>IF($A171="","",COUNTIFS('Таблиця 1'!$B:$B,$A171,'Таблиця 1'!$E:$E,"ПММ",'Таблиця 1'!$L:$L,"Уражено"))</f>
        <v/>
      </c>
      <c r="V171">
        <f>IF($A171="","",COUNTIFS('Таблиця 1'!$B:$B,$A171,'Таблиця 1'!$E:$E,"ІФС",'Таблиця 1'!$L:$L,"Уражено"))</f>
        <v/>
      </c>
      <c r="W171">
        <f>IF($A171="","",COUNTIFS('Таблиця 1'!$B:$B,$A171,'Таблиця 1'!$E:$E,"Інфраструктура",'Таблиця 1'!$L:$L,"Уражено"))</f>
        <v/>
      </c>
      <c r="X171">
        <f>IF($A171="","",SUMIFS('Таблиця 1'!$K:$K,'Таблиця 1'!$B:$B,$A171))</f>
        <v/>
      </c>
    </row>
    <row r="172">
      <c r="A172" s="81">
        <f>IF(A171="","",IF(A171+1&gt;MAX('Таблиця 1'!$B:$B),"",A171+1))</f>
        <v/>
      </c>
      <c r="B172">
        <f>IF($A172="","",COUNTIFS('Таблиця 1'!$B:$B,$A172,'Таблиця 1'!$E:$E,"ЖС ВЗ",'Таблиця 1'!$L:$L,"Уражено"))</f>
        <v/>
      </c>
      <c r="C172">
        <f>IF($A172="","",COUNTIFS('Таблиця 1'!$B:$B,$A172,'Таблиця 1'!$E:$E,"Арт. Системи",'Таблиця 1'!$L:$L,"Уражено"))</f>
        <v/>
      </c>
      <c r="D172">
        <f>IF($A172="","",COUNTIFS('Таблиця 1'!$B:$B,$A172,'Таблиця 1'!$E:$E,"ОВТ",'Таблиця 1'!$L:$L,"Уражено"))</f>
        <v/>
      </c>
      <c r="E172">
        <f>IF($A172="","",COUNTIFS('Таблиця 1'!$B:$B,$A172,'Таблиця 1'!$E:$E,"ППО",'Таблиця 1'!$L:$L,"Уражено"))</f>
        <v/>
      </c>
      <c r="F172">
        <f>IF($A172="","",COUNTIFS('Таблиця 1'!$B:$B,$A172,'Таблиця 1'!$E:$E,"Рембаза",'Таблиця 1'!$L:$L,"Уражено"))</f>
        <v/>
      </c>
      <c r="G172">
        <f>IF($A172="","",COUNTIFS('Таблиця 1'!$B:$B,$A172,'Таблиця 1'!$E:$E,"Склад БК",'Таблиця 1'!$L:$L,"Уражено"))</f>
        <v/>
      </c>
      <c r="H172">
        <f>IF($A172="","",COUNTIFS('Таблиця 1'!$B:$B,$A172,'Таблиця 1'!$E:$E,"Склад ВТМ",'Таблиця 1'!$L:$L,"Уражено"))</f>
        <v/>
      </c>
      <c r="I172">
        <f>IF($A172="","",COUNTIFS('Таблиця 1'!$B:$B,$A172,'Таблиця 1'!$E:$E,"ПУ БпЛА",'Таблиця 1'!$L:$L,"Уражено"))</f>
        <v/>
      </c>
      <c r="J172">
        <f>IF($A172="","",COUNTIFS('Таблиця 1'!$B:$B,$A172,'Таблиця 1'!$E:$E,"СП",'Таблиця 1'!$L:$L,"Уражено"))</f>
        <v/>
      </c>
      <c r="K172">
        <f>IF($A172="","",COUNTIFS('Таблиця 1'!$B:$B,$A172,'Таблиця 1'!$E:$E,"КСП роти",'Таблиця 1'!$L:$L,"Уражено"))</f>
        <v/>
      </c>
      <c r="L172">
        <f>IF($A172="","",COUNTIFS('Таблиця 1'!$B:$B,$A172,'Таблиця 1'!$E:$E,"ПУ бат",'Таблиця 1'!$L:$L,"Уражено"))</f>
        <v/>
      </c>
      <c r="M172">
        <f>IF($A172="","",COUNTIFS('Таблиця 1'!$B:$B,$A172,'Таблиця 1'!$E:$E,"ПУ бриг",'Таблиця 1'!$L:$L,"Уражено"))</f>
        <v/>
      </c>
      <c r="N172">
        <f>IF($A172="","",COUNTIFS('Таблиця 1'!$B:$B,$A172,'Таблиця 1'!$E:$E,"ПУ див",'Таблиця 1'!$L:$L,"Уражено"))</f>
        <v/>
      </c>
      <c r="O172">
        <f>IF($A172="","",COUNTIFS('Таблиця 1'!$B:$B,$A172,'Таблиця 1'!$E:$E,"обл. РЕБ",'Таблиця 1'!$L:$L,"Уражено"))</f>
        <v/>
      </c>
      <c r="P172">
        <f>IF($A172="","",COUNTIFS('Таблиця 1'!$B:$B,$A172,'Таблиця 1'!$E:$E,"пос РЕБ",'Таблиця 1'!$L:$L,"Уражено"))</f>
        <v/>
      </c>
      <c r="Q172">
        <f>IF($A172="","",COUNTIFS('Таблиця 1'!$B:$B,$A172,'Таблиця 1'!$E:$E,"група РЕР",'Таблиця 1'!$L:$L,"Уражено"))</f>
        <v/>
      </c>
      <c r="R172">
        <f>IF($A172="","",COUNTIFS('Таблиця 1'!$B:$B,$A172,'Таблиця 1'!$E:$E,"РЛС КББ",'Таблиця 1'!$L:$L,"Уражено"))</f>
        <v/>
      </c>
      <c r="S172">
        <f>IF($A172="","",COUNTIFS('Таблиця 1'!$B:$B,$A172,'Таблиця 1'!$E:$E,"Ретранслятор",'Таблиця 1'!$L:$L,"Уражено"))</f>
        <v/>
      </c>
      <c r="T172">
        <f>IF($A172="","",COUNTIFS('Таблиця 1'!$B:$B,$A172,'Таблиця 1'!$E:$E,"Вз.зв'язку",'Таблиця 1'!$L:$L,"Уражено"))</f>
        <v/>
      </c>
      <c r="U172">
        <f>IF($A172="","",COUNTIFS('Таблиця 1'!$B:$B,$A172,'Таблиця 1'!$E:$E,"ПММ",'Таблиця 1'!$L:$L,"Уражено"))</f>
        <v/>
      </c>
      <c r="V172">
        <f>IF($A172="","",COUNTIFS('Таблиця 1'!$B:$B,$A172,'Таблиця 1'!$E:$E,"ІФС",'Таблиця 1'!$L:$L,"Уражено"))</f>
        <v/>
      </c>
      <c r="W172">
        <f>IF($A172="","",COUNTIFS('Таблиця 1'!$B:$B,$A172,'Таблиця 1'!$E:$E,"Інфраструктура",'Таблиця 1'!$L:$L,"Уражено"))</f>
        <v/>
      </c>
      <c r="X172">
        <f>IF($A172="","",SUMIFS('Таблиця 1'!$K:$K,'Таблиця 1'!$B:$B,$A172))</f>
        <v/>
      </c>
    </row>
    <row r="173">
      <c r="A173" s="81">
        <f>IF(A172="","",IF(A172+1&gt;MAX('Таблиця 1'!$B:$B),"",A172+1))</f>
        <v/>
      </c>
      <c r="B173">
        <f>IF($A173="","",COUNTIFS('Таблиця 1'!$B:$B,$A173,'Таблиця 1'!$E:$E,"ЖС ВЗ",'Таблиця 1'!$L:$L,"Уражено"))</f>
        <v/>
      </c>
      <c r="C173">
        <f>IF($A173="","",COUNTIFS('Таблиця 1'!$B:$B,$A173,'Таблиця 1'!$E:$E,"Арт. Системи",'Таблиця 1'!$L:$L,"Уражено"))</f>
        <v/>
      </c>
      <c r="D173">
        <f>IF($A173="","",COUNTIFS('Таблиця 1'!$B:$B,$A173,'Таблиця 1'!$E:$E,"ОВТ",'Таблиця 1'!$L:$L,"Уражено"))</f>
        <v/>
      </c>
      <c r="E173">
        <f>IF($A173="","",COUNTIFS('Таблиця 1'!$B:$B,$A173,'Таблиця 1'!$E:$E,"ППО",'Таблиця 1'!$L:$L,"Уражено"))</f>
        <v/>
      </c>
      <c r="F173">
        <f>IF($A173="","",COUNTIFS('Таблиця 1'!$B:$B,$A173,'Таблиця 1'!$E:$E,"Рембаза",'Таблиця 1'!$L:$L,"Уражено"))</f>
        <v/>
      </c>
      <c r="G173">
        <f>IF($A173="","",COUNTIFS('Таблиця 1'!$B:$B,$A173,'Таблиця 1'!$E:$E,"Склад БК",'Таблиця 1'!$L:$L,"Уражено"))</f>
        <v/>
      </c>
      <c r="H173">
        <f>IF($A173="","",COUNTIFS('Таблиця 1'!$B:$B,$A173,'Таблиця 1'!$E:$E,"Склад ВТМ",'Таблиця 1'!$L:$L,"Уражено"))</f>
        <v/>
      </c>
      <c r="I173">
        <f>IF($A173="","",COUNTIFS('Таблиця 1'!$B:$B,$A173,'Таблиця 1'!$E:$E,"ПУ БпЛА",'Таблиця 1'!$L:$L,"Уражено"))</f>
        <v/>
      </c>
      <c r="J173">
        <f>IF($A173="","",COUNTIFS('Таблиця 1'!$B:$B,$A173,'Таблиця 1'!$E:$E,"СП",'Таблиця 1'!$L:$L,"Уражено"))</f>
        <v/>
      </c>
      <c r="K173">
        <f>IF($A173="","",COUNTIFS('Таблиця 1'!$B:$B,$A173,'Таблиця 1'!$E:$E,"КСП роти",'Таблиця 1'!$L:$L,"Уражено"))</f>
        <v/>
      </c>
      <c r="L173">
        <f>IF($A173="","",COUNTIFS('Таблиця 1'!$B:$B,$A173,'Таблиця 1'!$E:$E,"ПУ бат",'Таблиця 1'!$L:$L,"Уражено"))</f>
        <v/>
      </c>
      <c r="M173">
        <f>IF($A173="","",COUNTIFS('Таблиця 1'!$B:$B,$A173,'Таблиця 1'!$E:$E,"ПУ бриг",'Таблиця 1'!$L:$L,"Уражено"))</f>
        <v/>
      </c>
      <c r="N173">
        <f>IF($A173="","",COUNTIFS('Таблиця 1'!$B:$B,$A173,'Таблиця 1'!$E:$E,"ПУ див",'Таблиця 1'!$L:$L,"Уражено"))</f>
        <v/>
      </c>
      <c r="O173">
        <f>IF($A173="","",COUNTIFS('Таблиця 1'!$B:$B,$A173,'Таблиця 1'!$E:$E,"обл. РЕБ",'Таблиця 1'!$L:$L,"Уражено"))</f>
        <v/>
      </c>
      <c r="P173">
        <f>IF($A173="","",COUNTIFS('Таблиця 1'!$B:$B,$A173,'Таблиця 1'!$E:$E,"пос РЕБ",'Таблиця 1'!$L:$L,"Уражено"))</f>
        <v/>
      </c>
      <c r="Q173">
        <f>IF($A173="","",COUNTIFS('Таблиця 1'!$B:$B,$A173,'Таблиця 1'!$E:$E,"група РЕР",'Таблиця 1'!$L:$L,"Уражено"))</f>
        <v/>
      </c>
      <c r="R173">
        <f>IF($A173="","",COUNTIFS('Таблиця 1'!$B:$B,$A173,'Таблиця 1'!$E:$E,"РЛС КББ",'Таблиця 1'!$L:$L,"Уражено"))</f>
        <v/>
      </c>
      <c r="S173">
        <f>IF($A173="","",COUNTIFS('Таблиця 1'!$B:$B,$A173,'Таблиця 1'!$E:$E,"Ретранслятор",'Таблиця 1'!$L:$L,"Уражено"))</f>
        <v/>
      </c>
      <c r="T173">
        <f>IF($A173="","",COUNTIFS('Таблиця 1'!$B:$B,$A173,'Таблиця 1'!$E:$E,"Вз.зв'язку",'Таблиця 1'!$L:$L,"Уражено"))</f>
        <v/>
      </c>
      <c r="U173">
        <f>IF($A173="","",COUNTIFS('Таблиця 1'!$B:$B,$A173,'Таблиця 1'!$E:$E,"ПММ",'Таблиця 1'!$L:$L,"Уражено"))</f>
        <v/>
      </c>
      <c r="V173">
        <f>IF($A173="","",COUNTIFS('Таблиця 1'!$B:$B,$A173,'Таблиця 1'!$E:$E,"ІФС",'Таблиця 1'!$L:$L,"Уражено"))</f>
        <v/>
      </c>
      <c r="W173">
        <f>IF($A173="","",COUNTIFS('Таблиця 1'!$B:$B,$A173,'Таблиця 1'!$E:$E,"Інфраструктура",'Таблиця 1'!$L:$L,"Уражено"))</f>
        <v/>
      </c>
      <c r="X173">
        <f>IF($A173="","",SUMIFS('Таблиця 1'!$K:$K,'Таблиця 1'!$B:$B,$A173))</f>
        <v/>
      </c>
    </row>
    <row r="174">
      <c r="A174" s="81">
        <f>IF(A173="","",IF(A173+1&gt;MAX('Таблиця 1'!$B:$B),"",A173+1))</f>
        <v/>
      </c>
      <c r="B174">
        <f>IF($A174="","",COUNTIFS('Таблиця 1'!$B:$B,$A174,'Таблиця 1'!$E:$E,"ЖС ВЗ",'Таблиця 1'!$L:$L,"Уражено"))</f>
        <v/>
      </c>
      <c r="C174">
        <f>IF($A174="","",COUNTIFS('Таблиця 1'!$B:$B,$A174,'Таблиця 1'!$E:$E,"Арт. Системи",'Таблиця 1'!$L:$L,"Уражено"))</f>
        <v/>
      </c>
      <c r="D174">
        <f>IF($A174="","",COUNTIFS('Таблиця 1'!$B:$B,$A174,'Таблиця 1'!$E:$E,"ОВТ",'Таблиця 1'!$L:$L,"Уражено"))</f>
        <v/>
      </c>
      <c r="E174">
        <f>IF($A174="","",COUNTIFS('Таблиця 1'!$B:$B,$A174,'Таблиця 1'!$E:$E,"ППО",'Таблиця 1'!$L:$L,"Уражено"))</f>
        <v/>
      </c>
      <c r="F174">
        <f>IF($A174="","",COUNTIFS('Таблиця 1'!$B:$B,$A174,'Таблиця 1'!$E:$E,"Рембаза",'Таблиця 1'!$L:$L,"Уражено"))</f>
        <v/>
      </c>
      <c r="G174">
        <f>IF($A174="","",COUNTIFS('Таблиця 1'!$B:$B,$A174,'Таблиця 1'!$E:$E,"Склад БК",'Таблиця 1'!$L:$L,"Уражено"))</f>
        <v/>
      </c>
      <c r="H174">
        <f>IF($A174="","",COUNTIFS('Таблиця 1'!$B:$B,$A174,'Таблиця 1'!$E:$E,"Склад ВТМ",'Таблиця 1'!$L:$L,"Уражено"))</f>
        <v/>
      </c>
      <c r="I174">
        <f>IF($A174="","",COUNTIFS('Таблиця 1'!$B:$B,$A174,'Таблиця 1'!$E:$E,"ПУ БпЛА",'Таблиця 1'!$L:$L,"Уражено"))</f>
        <v/>
      </c>
      <c r="J174">
        <f>IF($A174="","",COUNTIFS('Таблиця 1'!$B:$B,$A174,'Таблиця 1'!$E:$E,"СП",'Таблиця 1'!$L:$L,"Уражено"))</f>
        <v/>
      </c>
      <c r="K174">
        <f>IF($A174="","",COUNTIFS('Таблиця 1'!$B:$B,$A174,'Таблиця 1'!$E:$E,"КСП роти",'Таблиця 1'!$L:$L,"Уражено"))</f>
        <v/>
      </c>
      <c r="L174">
        <f>IF($A174="","",COUNTIFS('Таблиця 1'!$B:$B,$A174,'Таблиця 1'!$E:$E,"ПУ бат",'Таблиця 1'!$L:$L,"Уражено"))</f>
        <v/>
      </c>
      <c r="M174">
        <f>IF($A174="","",COUNTIFS('Таблиця 1'!$B:$B,$A174,'Таблиця 1'!$E:$E,"ПУ бриг",'Таблиця 1'!$L:$L,"Уражено"))</f>
        <v/>
      </c>
      <c r="N174">
        <f>IF($A174="","",COUNTIFS('Таблиця 1'!$B:$B,$A174,'Таблиця 1'!$E:$E,"ПУ див",'Таблиця 1'!$L:$L,"Уражено"))</f>
        <v/>
      </c>
      <c r="O174">
        <f>IF($A174="","",COUNTIFS('Таблиця 1'!$B:$B,$A174,'Таблиця 1'!$E:$E,"обл. РЕБ",'Таблиця 1'!$L:$L,"Уражено"))</f>
        <v/>
      </c>
      <c r="P174">
        <f>IF($A174="","",COUNTIFS('Таблиця 1'!$B:$B,$A174,'Таблиця 1'!$E:$E,"пос РЕБ",'Таблиця 1'!$L:$L,"Уражено"))</f>
        <v/>
      </c>
      <c r="Q174">
        <f>IF($A174="","",COUNTIFS('Таблиця 1'!$B:$B,$A174,'Таблиця 1'!$E:$E,"група РЕР",'Таблиця 1'!$L:$L,"Уражено"))</f>
        <v/>
      </c>
      <c r="R174">
        <f>IF($A174="","",COUNTIFS('Таблиця 1'!$B:$B,$A174,'Таблиця 1'!$E:$E,"РЛС КББ",'Таблиця 1'!$L:$L,"Уражено"))</f>
        <v/>
      </c>
      <c r="S174">
        <f>IF($A174="","",COUNTIFS('Таблиця 1'!$B:$B,$A174,'Таблиця 1'!$E:$E,"Ретранслятор",'Таблиця 1'!$L:$L,"Уражено"))</f>
        <v/>
      </c>
      <c r="T174">
        <f>IF($A174="","",COUNTIFS('Таблиця 1'!$B:$B,$A174,'Таблиця 1'!$E:$E,"Вз.зв'язку",'Таблиця 1'!$L:$L,"Уражено"))</f>
        <v/>
      </c>
      <c r="U174">
        <f>IF($A174="","",COUNTIFS('Таблиця 1'!$B:$B,$A174,'Таблиця 1'!$E:$E,"ПММ",'Таблиця 1'!$L:$L,"Уражено"))</f>
        <v/>
      </c>
      <c r="V174">
        <f>IF($A174="","",COUNTIFS('Таблиця 1'!$B:$B,$A174,'Таблиця 1'!$E:$E,"ІФС",'Таблиця 1'!$L:$L,"Уражено"))</f>
        <v/>
      </c>
      <c r="W174">
        <f>IF($A174="","",COUNTIFS('Таблиця 1'!$B:$B,$A174,'Таблиця 1'!$E:$E,"Інфраструктура",'Таблиця 1'!$L:$L,"Уражено"))</f>
        <v/>
      </c>
      <c r="X174">
        <f>IF($A174="","",SUMIFS('Таблиця 1'!$K:$K,'Таблиця 1'!$B:$B,$A174))</f>
        <v/>
      </c>
    </row>
    <row r="175">
      <c r="A175" s="81">
        <f>IF(A174="","",IF(A174+1&gt;MAX('Таблиця 1'!$B:$B),"",A174+1))</f>
        <v/>
      </c>
      <c r="B175">
        <f>IF($A175="","",COUNTIFS('Таблиця 1'!$B:$B,$A175,'Таблиця 1'!$E:$E,"ЖС ВЗ",'Таблиця 1'!$L:$L,"Уражено"))</f>
        <v/>
      </c>
      <c r="C175">
        <f>IF($A175="","",COUNTIFS('Таблиця 1'!$B:$B,$A175,'Таблиця 1'!$E:$E,"Арт. Системи",'Таблиця 1'!$L:$L,"Уражено"))</f>
        <v/>
      </c>
      <c r="D175">
        <f>IF($A175="","",COUNTIFS('Таблиця 1'!$B:$B,$A175,'Таблиця 1'!$E:$E,"ОВТ",'Таблиця 1'!$L:$L,"Уражено"))</f>
        <v/>
      </c>
      <c r="E175">
        <f>IF($A175="","",COUNTIFS('Таблиця 1'!$B:$B,$A175,'Таблиця 1'!$E:$E,"ППО",'Таблиця 1'!$L:$L,"Уражено"))</f>
        <v/>
      </c>
      <c r="F175">
        <f>IF($A175="","",COUNTIFS('Таблиця 1'!$B:$B,$A175,'Таблиця 1'!$E:$E,"Рембаза",'Таблиця 1'!$L:$L,"Уражено"))</f>
        <v/>
      </c>
      <c r="G175">
        <f>IF($A175="","",COUNTIFS('Таблиця 1'!$B:$B,$A175,'Таблиця 1'!$E:$E,"Склад БК",'Таблиця 1'!$L:$L,"Уражено"))</f>
        <v/>
      </c>
      <c r="H175">
        <f>IF($A175="","",COUNTIFS('Таблиця 1'!$B:$B,$A175,'Таблиця 1'!$E:$E,"Склад ВТМ",'Таблиця 1'!$L:$L,"Уражено"))</f>
        <v/>
      </c>
      <c r="I175">
        <f>IF($A175="","",COUNTIFS('Таблиця 1'!$B:$B,$A175,'Таблиця 1'!$E:$E,"ПУ БпЛА",'Таблиця 1'!$L:$L,"Уражено"))</f>
        <v/>
      </c>
      <c r="J175">
        <f>IF($A175="","",COUNTIFS('Таблиця 1'!$B:$B,$A175,'Таблиця 1'!$E:$E,"СП",'Таблиця 1'!$L:$L,"Уражено"))</f>
        <v/>
      </c>
      <c r="K175">
        <f>IF($A175="","",COUNTIFS('Таблиця 1'!$B:$B,$A175,'Таблиця 1'!$E:$E,"КСП роти",'Таблиця 1'!$L:$L,"Уражено"))</f>
        <v/>
      </c>
      <c r="L175">
        <f>IF($A175="","",COUNTIFS('Таблиця 1'!$B:$B,$A175,'Таблиця 1'!$E:$E,"ПУ бат",'Таблиця 1'!$L:$L,"Уражено"))</f>
        <v/>
      </c>
      <c r="M175">
        <f>IF($A175="","",COUNTIFS('Таблиця 1'!$B:$B,$A175,'Таблиця 1'!$E:$E,"ПУ бриг",'Таблиця 1'!$L:$L,"Уражено"))</f>
        <v/>
      </c>
      <c r="N175">
        <f>IF($A175="","",COUNTIFS('Таблиця 1'!$B:$B,$A175,'Таблиця 1'!$E:$E,"ПУ див",'Таблиця 1'!$L:$L,"Уражено"))</f>
        <v/>
      </c>
      <c r="O175">
        <f>IF($A175="","",COUNTIFS('Таблиця 1'!$B:$B,$A175,'Таблиця 1'!$E:$E,"обл. РЕБ",'Таблиця 1'!$L:$L,"Уражено"))</f>
        <v/>
      </c>
      <c r="P175">
        <f>IF($A175="","",COUNTIFS('Таблиця 1'!$B:$B,$A175,'Таблиця 1'!$E:$E,"пос РЕБ",'Таблиця 1'!$L:$L,"Уражено"))</f>
        <v/>
      </c>
      <c r="Q175">
        <f>IF($A175="","",COUNTIFS('Таблиця 1'!$B:$B,$A175,'Таблиця 1'!$E:$E,"група РЕР",'Таблиця 1'!$L:$L,"Уражено"))</f>
        <v/>
      </c>
      <c r="R175">
        <f>IF($A175="","",COUNTIFS('Таблиця 1'!$B:$B,$A175,'Таблиця 1'!$E:$E,"РЛС КББ",'Таблиця 1'!$L:$L,"Уражено"))</f>
        <v/>
      </c>
      <c r="S175">
        <f>IF($A175="","",COUNTIFS('Таблиця 1'!$B:$B,$A175,'Таблиця 1'!$E:$E,"Ретранслятор",'Таблиця 1'!$L:$L,"Уражено"))</f>
        <v/>
      </c>
      <c r="T175">
        <f>IF($A175="","",COUNTIFS('Таблиця 1'!$B:$B,$A175,'Таблиця 1'!$E:$E,"Вз.зв'язку",'Таблиця 1'!$L:$L,"Уражено"))</f>
        <v/>
      </c>
      <c r="U175">
        <f>IF($A175="","",COUNTIFS('Таблиця 1'!$B:$B,$A175,'Таблиця 1'!$E:$E,"ПММ",'Таблиця 1'!$L:$L,"Уражено"))</f>
        <v/>
      </c>
      <c r="V175">
        <f>IF($A175="","",COUNTIFS('Таблиця 1'!$B:$B,$A175,'Таблиця 1'!$E:$E,"ІФС",'Таблиця 1'!$L:$L,"Уражено"))</f>
        <v/>
      </c>
      <c r="W175">
        <f>IF($A175="","",COUNTIFS('Таблиця 1'!$B:$B,$A175,'Таблиця 1'!$E:$E,"Інфраструктура",'Таблиця 1'!$L:$L,"Уражено"))</f>
        <v/>
      </c>
      <c r="X175">
        <f>IF($A175="","",SUMIFS('Таблиця 1'!$K:$K,'Таблиця 1'!$B:$B,$A175))</f>
        <v/>
      </c>
    </row>
    <row r="176">
      <c r="A176" s="81">
        <f>IF(A175="","",IF(A175+1&gt;MAX('Таблиця 1'!$B:$B),"",A175+1))</f>
        <v/>
      </c>
      <c r="B176">
        <f>IF($A176="","",COUNTIFS('Таблиця 1'!$B:$B,$A176,'Таблиця 1'!$E:$E,"ЖС ВЗ",'Таблиця 1'!$L:$L,"Уражено"))</f>
        <v/>
      </c>
      <c r="C176">
        <f>IF($A176="","",COUNTIFS('Таблиця 1'!$B:$B,$A176,'Таблиця 1'!$E:$E,"Арт. Системи",'Таблиця 1'!$L:$L,"Уражено"))</f>
        <v/>
      </c>
      <c r="D176">
        <f>IF($A176="","",COUNTIFS('Таблиця 1'!$B:$B,$A176,'Таблиця 1'!$E:$E,"ОВТ",'Таблиця 1'!$L:$L,"Уражено"))</f>
        <v/>
      </c>
      <c r="E176">
        <f>IF($A176="","",COUNTIFS('Таблиця 1'!$B:$B,$A176,'Таблиця 1'!$E:$E,"ППО",'Таблиця 1'!$L:$L,"Уражено"))</f>
        <v/>
      </c>
      <c r="F176">
        <f>IF($A176="","",COUNTIFS('Таблиця 1'!$B:$B,$A176,'Таблиця 1'!$E:$E,"Рембаза",'Таблиця 1'!$L:$L,"Уражено"))</f>
        <v/>
      </c>
      <c r="G176">
        <f>IF($A176="","",COUNTIFS('Таблиця 1'!$B:$B,$A176,'Таблиця 1'!$E:$E,"Склад БК",'Таблиця 1'!$L:$L,"Уражено"))</f>
        <v/>
      </c>
      <c r="H176">
        <f>IF($A176="","",COUNTIFS('Таблиця 1'!$B:$B,$A176,'Таблиця 1'!$E:$E,"Склад ВТМ",'Таблиця 1'!$L:$L,"Уражено"))</f>
        <v/>
      </c>
      <c r="I176">
        <f>IF($A176="","",COUNTIFS('Таблиця 1'!$B:$B,$A176,'Таблиця 1'!$E:$E,"ПУ БпЛА",'Таблиця 1'!$L:$L,"Уражено"))</f>
        <v/>
      </c>
      <c r="J176">
        <f>IF($A176="","",COUNTIFS('Таблиця 1'!$B:$B,$A176,'Таблиця 1'!$E:$E,"СП",'Таблиця 1'!$L:$L,"Уражено"))</f>
        <v/>
      </c>
      <c r="K176">
        <f>IF($A176="","",COUNTIFS('Таблиця 1'!$B:$B,$A176,'Таблиця 1'!$E:$E,"КСП роти",'Таблиця 1'!$L:$L,"Уражено"))</f>
        <v/>
      </c>
      <c r="L176">
        <f>IF($A176="","",COUNTIFS('Таблиця 1'!$B:$B,$A176,'Таблиця 1'!$E:$E,"ПУ бат",'Таблиця 1'!$L:$L,"Уражено"))</f>
        <v/>
      </c>
      <c r="M176">
        <f>IF($A176="","",COUNTIFS('Таблиця 1'!$B:$B,$A176,'Таблиця 1'!$E:$E,"ПУ бриг",'Таблиця 1'!$L:$L,"Уражено"))</f>
        <v/>
      </c>
      <c r="N176">
        <f>IF($A176="","",COUNTIFS('Таблиця 1'!$B:$B,$A176,'Таблиця 1'!$E:$E,"ПУ див",'Таблиця 1'!$L:$L,"Уражено"))</f>
        <v/>
      </c>
      <c r="O176">
        <f>IF($A176="","",COUNTIFS('Таблиця 1'!$B:$B,$A176,'Таблиця 1'!$E:$E,"обл. РЕБ",'Таблиця 1'!$L:$L,"Уражено"))</f>
        <v/>
      </c>
      <c r="P176">
        <f>IF($A176="","",COUNTIFS('Таблиця 1'!$B:$B,$A176,'Таблиця 1'!$E:$E,"пос РЕБ",'Таблиця 1'!$L:$L,"Уражено"))</f>
        <v/>
      </c>
      <c r="Q176">
        <f>IF($A176="","",COUNTIFS('Таблиця 1'!$B:$B,$A176,'Таблиця 1'!$E:$E,"група РЕР",'Таблиця 1'!$L:$L,"Уражено"))</f>
        <v/>
      </c>
      <c r="R176">
        <f>IF($A176="","",COUNTIFS('Таблиця 1'!$B:$B,$A176,'Таблиця 1'!$E:$E,"РЛС КББ",'Таблиця 1'!$L:$L,"Уражено"))</f>
        <v/>
      </c>
      <c r="S176">
        <f>IF($A176="","",COUNTIFS('Таблиця 1'!$B:$B,$A176,'Таблиця 1'!$E:$E,"Ретранслятор",'Таблиця 1'!$L:$L,"Уражено"))</f>
        <v/>
      </c>
      <c r="T176">
        <f>IF($A176="","",COUNTIFS('Таблиця 1'!$B:$B,$A176,'Таблиця 1'!$E:$E,"Вз.зв'язку",'Таблиця 1'!$L:$L,"Уражено"))</f>
        <v/>
      </c>
      <c r="U176">
        <f>IF($A176="","",COUNTIFS('Таблиця 1'!$B:$B,$A176,'Таблиця 1'!$E:$E,"ПММ",'Таблиця 1'!$L:$L,"Уражено"))</f>
        <v/>
      </c>
      <c r="V176">
        <f>IF($A176="","",COUNTIFS('Таблиця 1'!$B:$B,$A176,'Таблиця 1'!$E:$E,"ІФС",'Таблиця 1'!$L:$L,"Уражено"))</f>
        <v/>
      </c>
      <c r="W176">
        <f>IF($A176="","",COUNTIFS('Таблиця 1'!$B:$B,$A176,'Таблиця 1'!$E:$E,"Інфраструктура",'Таблиця 1'!$L:$L,"Уражено"))</f>
        <v/>
      </c>
      <c r="X176">
        <f>IF($A176="","",SUMIFS('Таблиця 1'!$K:$K,'Таблиця 1'!$B:$B,$A176))</f>
        <v/>
      </c>
    </row>
    <row r="177">
      <c r="A177" s="81">
        <f>IF(A176="","",IF(A176+1&gt;MAX('Таблиця 1'!$B:$B),"",A176+1))</f>
        <v/>
      </c>
      <c r="B177">
        <f>IF($A177="","",COUNTIFS('Таблиця 1'!$B:$B,$A177,'Таблиця 1'!$E:$E,"ЖС ВЗ",'Таблиця 1'!$L:$L,"Уражено"))</f>
        <v/>
      </c>
      <c r="C177">
        <f>IF($A177="","",COUNTIFS('Таблиця 1'!$B:$B,$A177,'Таблиця 1'!$E:$E,"Арт. Системи",'Таблиця 1'!$L:$L,"Уражено"))</f>
        <v/>
      </c>
      <c r="D177">
        <f>IF($A177="","",COUNTIFS('Таблиця 1'!$B:$B,$A177,'Таблиця 1'!$E:$E,"ОВТ",'Таблиця 1'!$L:$L,"Уражено"))</f>
        <v/>
      </c>
      <c r="E177">
        <f>IF($A177="","",COUNTIFS('Таблиця 1'!$B:$B,$A177,'Таблиця 1'!$E:$E,"ППО",'Таблиця 1'!$L:$L,"Уражено"))</f>
        <v/>
      </c>
      <c r="F177">
        <f>IF($A177="","",COUNTIFS('Таблиця 1'!$B:$B,$A177,'Таблиця 1'!$E:$E,"Рембаза",'Таблиця 1'!$L:$L,"Уражено"))</f>
        <v/>
      </c>
      <c r="G177">
        <f>IF($A177="","",COUNTIFS('Таблиця 1'!$B:$B,$A177,'Таблиця 1'!$E:$E,"Склад БК",'Таблиця 1'!$L:$L,"Уражено"))</f>
        <v/>
      </c>
      <c r="H177">
        <f>IF($A177="","",COUNTIFS('Таблиця 1'!$B:$B,$A177,'Таблиця 1'!$E:$E,"Склад ВТМ",'Таблиця 1'!$L:$L,"Уражено"))</f>
        <v/>
      </c>
      <c r="I177">
        <f>IF($A177="","",COUNTIFS('Таблиця 1'!$B:$B,$A177,'Таблиця 1'!$E:$E,"ПУ БпЛА",'Таблиця 1'!$L:$L,"Уражено"))</f>
        <v/>
      </c>
      <c r="J177">
        <f>IF($A177="","",COUNTIFS('Таблиця 1'!$B:$B,$A177,'Таблиця 1'!$E:$E,"СП",'Таблиця 1'!$L:$L,"Уражено"))</f>
        <v/>
      </c>
      <c r="K177">
        <f>IF($A177="","",COUNTIFS('Таблиця 1'!$B:$B,$A177,'Таблиця 1'!$E:$E,"КСП роти",'Таблиця 1'!$L:$L,"Уражено"))</f>
        <v/>
      </c>
      <c r="L177">
        <f>IF($A177="","",COUNTIFS('Таблиця 1'!$B:$B,$A177,'Таблиця 1'!$E:$E,"ПУ бат",'Таблиця 1'!$L:$L,"Уражено"))</f>
        <v/>
      </c>
      <c r="M177">
        <f>IF($A177="","",COUNTIFS('Таблиця 1'!$B:$B,$A177,'Таблиця 1'!$E:$E,"ПУ бриг",'Таблиця 1'!$L:$L,"Уражено"))</f>
        <v/>
      </c>
      <c r="N177">
        <f>IF($A177="","",COUNTIFS('Таблиця 1'!$B:$B,$A177,'Таблиця 1'!$E:$E,"ПУ див",'Таблиця 1'!$L:$L,"Уражено"))</f>
        <v/>
      </c>
      <c r="O177">
        <f>IF($A177="","",COUNTIFS('Таблиця 1'!$B:$B,$A177,'Таблиця 1'!$E:$E,"обл. РЕБ",'Таблиця 1'!$L:$L,"Уражено"))</f>
        <v/>
      </c>
      <c r="P177">
        <f>IF($A177="","",COUNTIFS('Таблиця 1'!$B:$B,$A177,'Таблиця 1'!$E:$E,"пос РЕБ",'Таблиця 1'!$L:$L,"Уражено"))</f>
        <v/>
      </c>
      <c r="Q177">
        <f>IF($A177="","",COUNTIFS('Таблиця 1'!$B:$B,$A177,'Таблиця 1'!$E:$E,"група РЕР",'Таблиця 1'!$L:$L,"Уражено"))</f>
        <v/>
      </c>
      <c r="R177">
        <f>IF($A177="","",COUNTIFS('Таблиця 1'!$B:$B,$A177,'Таблиця 1'!$E:$E,"РЛС КББ",'Таблиця 1'!$L:$L,"Уражено"))</f>
        <v/>
      </c>
      <c r="S177">
        <f>IF($A177="","",COUNTIFS('Таблиця 1'!$B:$B,$A177,'Таблиця 1'!$E:$E,"Ретранслятор",'Таблиця 1'!$L:$L,"Уражено"))</f>
        <v/>
      </c>
      <c r="T177">
        <f>IF($A177="","",COUNTIFS('Таблиця 1'!$B:$B,$A177,'Таблиця 1'!$E:$E,"Вз.зв'язку",'Таблиця 1'!$L:$L,"Уражено"))</f>
        <v/>
      </c>
      <c r="U177">
        <f>IF($A177="","",COUNTIFS('Таблиця 1'!$B:$B,$A177,'Таблиця 1'!$E:$E,"ПММ",'Таблиця 1'!$L:$L,"Уражено"))</f>
        <v/>
      </c>
      <c r="V177">
        <f>IF($A177="","",COUNTIFS('Таблиця 1'!$B:$B,$A177,'Таблиця 1'!$E:$E,"ІФС",'Таблиця 1'!$L:$L,"Уражено"))</f>
        <v/>
      </c>
      <c r="W177">
        <f>IF($A177="","",COUNTIFS('Таблиця 1'!$B:$B,$A177,'Таблиця 1'!$E:$E,"Інфраструктура",'Таблиця 1'!$L:$L,"Уражено"))</f>
        <v/>
      </c>
      <c r="X177">
        <f>IF($A177="","",SUMIFS('Таблиця 1'!$K:$K,'Таблиця 1'!$B:$B,$A177))</f>
        <v/>
      </c>
    </row>
    <row r="178">
      <c r="A178" s="81">
        <f>IF(A177="","",IF(A177+1&gt;MAX('Таблиця 1'!$B:$B),"",A177+1))</f>
        <v/>
      </c>
      <c r="B178">
        <f>IF($A178="","",COUNTIFS('Таблиця 1'!$B:$B,$A178,'Таблиця 1'!$E:$E,"ЖС ВЗ",'Таблиця 1'!$L:$L,"Уражено"))</f>
        <v/>
      </c>
      <c r="C178">
        <f>IF($A178="","",COUNTIFS('Таблиця 1'!$B:$B,$A178,'Таблиця 1'!$E:$E,"Арт. Системи",'Таблиця 1'!$L:$L,"Уражено"))</f>
        <v/>
      </c>
      <c r="D178">
        <f>IF($A178="","",COUNTIFS('Таблиця 1'!$B:$B,$A178,'Таблиця 1'!$E:$E,"ОВТ",'Таблиця 1'!$L:$L,"Уражено"))</f>
        <v/>
      </c>
      <c r="E178">
        <f>IF($A178="","",COUNTIFS('Таблиця 1'!$B:$B,$A178,'Таблиця 1'!$E:$E,"ППО",'Таблиця 1'!$L:$L,"Уражено"))</f>
        <v/>
      </c>
      <c r="F178">
        <f>IF($A178="","",COUNTIFS('Таблиця 1'!$B:$B,$A178,'Таблиця 1'!$E:$E,"Рембаза",'Таблиця 1'!$L:$L,"Уражено"))</f>
        <v/>
      </c>
      <c r="G178">
        <f>IF($A178="","",COUNTIFS('Таблиця 1'!$B:$B,$A178,'Таблиця 1'!$E:$E,"Склад БК",'Таблиця 1'!$L:$L,"Уражено"))</f>
        <v/>
      </c>
      <c r="H178">
        <f>IF($A178="","",COUNTIFS('Таблиця 1'!$B:$B,$A178,'Таблиця 1'!$E:$E,"Склад ВТМ",'Таблиця 1'!$L:$L,"Уражено"))</f>
        <v/>
      </c>
      <c r="I178">
        <f>IF($A178="","",COUNTIFS('Таблиця 1'!$B:$B,$A178,'Таблиця 1'!$E:$E,"ПУ БпЛА",'Таблиця 1'!$L:$L,"Уражено"))</f>
        <v/>
      </c>
      <c r="J178">
        <f>IF($A178="","",COUNTIFS('Таблиця 1'!$B:$B,$A178,'Таблиця 1'!$E:$E,"СП",'Таблиця 1'!$L:$L,"Уражено"))</f>
        <v/>
      </c>
      <c r="K178">
        <f>IF($A178="","",COUNTIFS('Таблиця 1'!$B:$B,$A178,'Таблиця 1'!$E:$E,"КСП роти",'Таблиця 1'!$L:$L,"Уражено"))</f>
        <v/>
      </c>
      <c r="L178">
        <f>IF($A178="","",COUNTIFS('Таблиця 1'!$B:$B,$A178,'Таблиця 1'!$E:$E,"ПУ бат",'Таблиця 1'!$L:$L,"Уражено"))</f>
        <v/>
      </c>
      <c r="M178">
        <f>IF($A178="","",COUNTIFS('Таблиця 1'!$B:$B,$A178,'Таблиця 1'!$E:$E,"ПУ бриг",'Таблиця 1'!$L:$L,"Уражено"))</f>
        <v/>
      </c>
      <c r="N178">
        <f>IF($A178="","",COUNTIFS('Таблиця 1'!$B:$B,$A178,'Таблиця 1'!$E:$E,"ПУ див",'Таблиця 1'!$L:$L,"Уражено"))</f>
        <v/>
      </c>
      <c r="O178">
        <f>IF($A178="","",COUNTIFS('Таблиця 1'!$B:$B,$A178,'Таблиця 1'!$E:$E,"обл. РЕБ",'Таблиця 1'!$L:$L,"Уражено"))</f>
        <v/>
      </c>
      <c r="P178">
        <f>IF($A178="","",COUNTIFS('Таблиця 1'!$B:$B,$A178,'Таблиця 1'!$E:$E,"пос РЕБ",'Таблиця 1'!$L:$L,"Уражено"))</f>
        <v/>
      </c>
      <c r="Q178">
        <f>IF($A178="","",COUNTIFS('Таблиця 1'!$B:$B,$A178,'Таблиця 1'!$E:$E,"група РЕР",'Таблиця 1'!$L:$L,"Уражено"))</f>
        <v/>
      </c>
      <c r="R178">
        <f>IF($A178="","",COUNTIFS('Таблиця 1'!$B:$B,$A178,'Таблиця 1'!$E:$E,"РЛС КББ",'Таблиця 1'!$L:$L,"Уражено"))</f>
        <v/>
      </c>
      <c r="S178">
        <f>IF($A178="","",COUNTIFS('Таблиця 1'!$B:$B,$A178,'Таблиця 1'!$E:$E,"Ретранслятор",'Таблиця 1'!$L:$L,"Уражено"))</f>
        <v/>
      </c>
      <c r="T178">
        <f>IF($A178="","",COUNTIFS('Таблиця 1'!$B:$B,$A178,'Таблиця 1'!$E:$E,"Вз.зв'язку",'Таблиця 1'!$L:$L,"Уражено"))</f>
        <v/>
      </c>
      <c r="U178">
        <f>IF($A178="","",COUNTIFS('Таблиця 1'!$B:$B,$A178,'Таблиця 1'!$E:$E,"ПММ",'Таблиця 1'!$L:$L,"Уражено"))</f>
        <v/>
      </c>
      <c r="V178">
        <f>IF($A178="","",COUNTIFS('Таблиця 1'!$B:$B,$A178,'Таблиця 1'!$E:$E,"ІФС",'Таблиця 1'!$L:$L,"Уражено"))</f>
        <v/>
      </c>
      <c r="W178">
        <f>IF($A178="","",COUNTIFS('Таблиця 1'!$B:$B,$A178,'Таблиця 1'!$E:$E,"Інфраструктура",'Таблиця 1'!$L:$L,"Уражено"))</f>
        <v/>
      </c>
      <c r="X178">
        <f>IF($A178="","",SUMIFS('Таблиця 1'!$K:$K,'Таблиця 1'!$B:$B,$A178))</f>
        <v/>
      </c>
    </row>
    <row r="179">
      <c r="A179" s="81">
        <f>IF(A178="","",IF(A178+1&gt;MAX('Таблиця 1'!$B:$B),"",A178+1))</f>
        <v/>
      </c>
      <c r="B179">
        <f>IF($A179="","",COUNTIFS('Таблиця 1'!$B:$B,$A179,'Таблиця 1'!$E:$E,"ЖС ВЗ",'Таблиця 1'!$L:$L,"Уражено"))</f>
        <v/>
      </c>
      <c r="C179">
        <f>IF($A179="","",COUNTIFS('Таблиця 1'!$B:$B,$A179,'Таблиця 1'!$E:$E,"Арт. Системи",'Таблиця 1'!$L:$L,"Уражено"))</f>
        <v/>
      </c>
      <c r="D179">
        <f>IF($A179="","",COUNTIFS('Таблиця 1'!$B:$B,$A179,'Таблиця 1'!$E:$E,"ОВТ",'Таблиця 1'!$L:$L,"Уражено"))</f>
        <v/>
      </c>
      <c r="E179">
        <f>IF($A179="","",COUNTIFS('Таблиця 1'!$B:$B,$A179,'Таблиця 1'!$E:$E,"ППО",'Таблиця 1'!$L:$L,"Уражено"))</f>
        <v/>
      </c>
      <c r="F179">
        <f>IF($A179="","",COUNTIFS('Таблиця 1'!$B:$B,$A179,'Таблиця 1'!$E:$E,"Рембаза",'Таблиця 1'!$L:$L,"Уражено"))</f>
        <v/>
      </c>
      <c r="G179">
        <f>IF($A179="","",COUNTIFS('Таблиця 1'!$B:$B,$A179,'Таблиця 1'!$E:$E,"Склад БК",'Таблиця 1'!$L:$L,"Уражено"))</f>
        <v/>
      </c>
      <c r="H179">
        <f>IF($A179="","",COUNTIFS('Таблиця 1'!$B:$B,$A179,'Таблиця 1'!$E:$E,"Склад ВТМ",'Таблиця 1'!$L:$L,"Уражено"))</f>
        <v/>
      </c>
      <c r="I179">
        <f>IF($A179="","",COUNTIFS('Таблиця 1'!$B:$B,$A179,'Таблиця 1'!$E:$E,"ПУ БпЛА",'Таблиця 1'!$L:$L,"Уражено"))</f>
        <v/>
      </c>
      <c r="J179">
        <f>IF($A179="","",COUNTIFS('Таблиця 1'!$B:$B,$A179,'Таблиця 1'!$E:$E,"СП",'Таблиця 1'!$L:$L,"Уражено"))</f>
        <v/>
      </c>
      <c r="K179">
        <f>IF($A179="","",COUNTIFS('Таблиця 1'!$B:$B,$A179,'Таблиця 1'!$E:$E,"КСП роти",'Таблиця 1'!$L:$L,"Уражено"))</f>
        <v/>
      </c>
      <c r="L179">
        <f>IF($A179="","",COUNTIFS('Таблиця 1'!$B:$B,$A179,'Таблиця 1'!$E:$E,"ПУ бат",'Таблиця 1'!$L:$L,"Уражено"))</f>
        <v/>
      </c>
      <c r="M179">
        <f>IF($A179="","",COUNTIFS('Таблиця 1'!$B:$B,$A179,'Таблиця 1'!$E:$E,"ПУ бриг",'Таблиця 1'!$L:$L,"Уражено"))</f>
        <v/>
      </c>
      <c r="N179">
        <f>IF($A179="","",COUNTIFS('Таблиця 1'!$B:$B,$A179,'Таблиця 1'!$E:$E,"ПУ див",'Таблиця 1'!$L:$L,"Уражено"))</f>
        <v/>
      </c>
      <c r="O179">
        <f>IF($A179="","",COUNTIFS('Таблиця 1'!$B:$B,$A179,'Таблиця 1'!$E:$E,"обл. РЕБ",'Таблиця 1'!$L:$L,"Уражено"))</f>
        <v/>
      </c>
      <c r="P179">
        <f>IF($A179="","",COUNTIFS('Таблиця 1'!$B:$B,$A179,'Таблиця 1'!$E:$E,"пос РЕБ",'Таблиця 1'!$L:$L,"Уражено"))</f>
        <v/>
      </c>
      <c r="Q179">
        <f>IF($A179="","",COUNTIFS('Таблиця 1'!$B:$B,$A179,'Таблиця 1'!$E:$E,"група РЕР",'Таблиця 1'!$L:$L,"Уражено"))</f>
        <v/>
      </c>
      <c r="R179">
        <f>IF($A179="","",COUNTIFS('Таблиця 1'!$B:$B,$A179,'Таблиця 1'!$E:$E,"РЛС КББ",'Таблиця 1'!$L:$L,"Уражено"))</f>
        <v/>
      </c>
      <c r="S179">
        <f>IF($A179="","",COUNTIFS('Таблиця 1'!$B:$B,$A179,'Таблиця 1'!$E:$E,"Ретранслятор",'Таблиця 1'!$L:$L,"Уражено"))</f>
        <v/>
      </c>
      <c r="T179">
        <f>IF($A179="","",COUNTIFS('Таблиця 1'!$B:$B,$A179,'Таблиця 1'!$E:$E,"Вз.зв'язку",'Таблиця 1'!$L:$L,"Уражено"))</f>
        <v/>
      </c>
      <c r="U179">
        <f>IF($A179="","",COUNTIFS('Таблиця 1'!$B:$B,$A179,'Таблиця 1'!$E:$E,"ПММ",'Таблиця 1'!$L:$L,"Уражено"))</f>
        <v/>
      </c>
      <c r="V179">
        <f>IF($A179="","",COUNTIFS('Таблиця 1'!$B:$B,$A179,'Таблиця 1'!$E:$E,"ІФС",'Таблиця 1'!$L:$L,"Уражено"))</f>
        <v/>
      </c>
      <c r="W179">
        <f>IF($A179="","",COUNTIFS('Таблиця 1'!$B:$B,$A179,'Таблиця 1'!$E:$E,"Інфраструктура",'Таблиця 1'!$L:$L,"Уражено"))</f>
        <v/>
      </c>
      <c r="X179">
        <f>IF($A179="","",SUMIFS('Таблиця 1'!$K:$K,'Таблиця 1'!$B:$B,$A179))</f>
        <v/>
      </c>
    </row>
    <row r="180">
      <c r="A180" s="81">
        <f>IF(A179="","",IF(A179+1&gt;MAX('Таблиця 1'!$B:$B),"",A179+1))</f>
        <v/>
      </c>
      <c r="B180">
        <f>IF($A180="","",COUNTIFS('Таблиця 1'!$B:$B,$A180,'Таблиця 1'!$E:$E,"ЖС ВЗ",'Таблиця 1'!$L:$L,"Уражено"))</f>
        <v/>
      </c>
      <c r="C180">
        <f>IF($A180="","",COUNTIFS('Таблиця 1'!$B:$B,$A180,'Таблиця 1'!$E:$E,"Арт. Системи",'Таблиця 1'!$L:$L,"Уражено"))</f>
        <v/>
      </c>
      <c r="D180">
        <f>IF($A180="","",COUNTIFS('Таблиця 1'!$B:$B,$A180,'Таблиця 1'!$E:$E,"ОВТ",'Таблиця 1'!$L:$L,"Уражено"))</f>
        <v/>
      </c>
      <c r="E180">
        <f>IF($A180="","",COUNTIFS('Таблиця 1'!$B:$B,$A180,'Таблиця 1'!$E:$E,"ППО",'Таблиця 1'!$L:$L,"Уражено"))</f>
        <v/>
      </c>
      <c r="F180">
        <f>IF($A180="","",COUNTIFS('Таблиця 1'!$B:$B,$A180,'Таблиця 1'!$E:$E,"Рембаза",'Таблиця 1'!$L:$L,"Уражено"))</f>
        <v/>
      </c>
      <c r="G180">
        <f>IF($A180="","",COUNTIFS('Таблиця 1'!$B:$B,$A180,'Таблиця 1'!$E:$E,"Склад БК",'Таблиця 1'!$L:$L,"Уражено"))</f>
        <v/>
      </c>
      <c r="H180">
        <f>IF($A180="","",COUNTIFS('Таблиця 1'!$B:$B,$A180,'Таблиця 1'!$E:$E,"Склад ВТМ",'Таблиця 1'!$L:$L,"Уражено"))</f>
        <v/>
      </c>
      <c r="I180">
        <f>IF($A180="","",COUNTIFS('Таблиця 1'!$B:$B,$A180,'Таблиця 1'!$E:$E,"ПУ БпЛА",'Таблиця 1'!$L:$L,"Уражено"))</f>
        <v/>
      </c>
      <c r="J180">
        <f>IF($A180="","",COUNTIFS('Таблиця 1'!$B:$B,$A180,'Таблиця 1'!$E:$E,"СП",'Таблиця 1'!$L:$L,"Уражено"))</f>
        <v/>
      </c>
      <c r="K180">
        <f>IF($A180="","",COUNTIFS('Таблиця 1'!$B:$B,$A180,'Таблиця 1'!$E:$E,"КСП роти",'Таблиця 1'!$L:$L,"Уражено"))</f>
        <v/>
      </c>
      <c r="L180">
        <f>IF($A180="","",COUNTIFS('Таблиця 1'!$B:$B,$A180,'Таблиця 1'!$E:$E,"ПУ бат",'Таблиця 1'!$L:$L,"Уражено"))</f>
        <v/>
      </c>
      <c r="M180">
        <f>IF($A180="","",COUNTIFS('Таблиця 1'!$B:$B,$A180,'Таблиця 1'!$E:$E,"ПУ бриг",'Таблиця 1'!$L:$L,"Уражено"))</f>
        <v/>
      </c>
      <c r="N180">
        <f>IF($A180="","",COUNTIFS('Таблиця 1'!$B:$B,$A180,'Таблиця 1'!$E:$E,"ПУ див",'Таблиця 1'!$L:$L,"Уражено"))</f>
        <v/>
      </c>
      <c r="O180">
        <f>IF($A180="","",COUNTIFS('Таблиця 1'!$B:$B,$A180,'Таблиця 1'!$E:$E,"обл. РЕБ",'Таблиця 1'!$L:$L,"Уражено"))</f>
        <v/>
      </c>
      <c r="P180">
        <f>IF($A180="","",COUNTIFS('Таблиця 1'!$B:$B,$A180,'Таблиця 1'!$E:$E,"пос РЕБ",'Таблиця 1'!$L:$L,"Уражено"))</f>
        <v/>
      </c>
      <c r="Q180">
        <f>IF($A180="","",COUNTIFS('Таблиця 1'!$B:$B,$A180,'Таблиця 1'!$E:$E,"група РЕР",'Таблиця 1'!$L:$L,"Уражено"))</f>
        <v/>
      </c>
      <c r="R180">
        <f>IF($A180="","",COUNTIFS('Таблиця 1'!$B:$B,$A180,'Таблиця 1'!$E:$E,"РЛС КББ",'Таблиця 1'!$L:$L,"Уражено"))</f>
        <v/>
      </c>
      <c r="S180">
        <f>IF($A180="","",COUNTIFS('Таблиця 1'!$B:$B,$A180,'Таблиця 1'!$E:$E,"Ретранслятор",'Таблиця 1'!$L:$L,"Уражено"))</f>
        <v/>
      </c>
      <c r="T180">
        <f>IF($A180="","",COUNTIFS('Таблиця 1'!$B:$B,$A180,'Таблиця 1'!$E:$E,"Вз.зв'язку",'Таблиця 1'!$L:$L,"Уражено"))</f>
        <v/>
      </c>
      <c r="U180">
        <f>IF($A180="","",COUNTIFS('Таблиця 1'!$B:$B,$A180,'Таблиця 1'!$E:$E,"ПММ",'Таблиця 1'!$L:$L,"Уражено"))</f>
        <v/>
      </c>
      <c r="V180">
        <f>IF($A180="","",COUNTIFS('Таблиця 1'!$B:$B,$A180,'Таблиця 1'!$E:$E,"ІФС",'Таблиця 1'!$L:$L,"Уражено"))</f>
        <v/>
      </c>
      <c r="W180">
        <f>IF($A180="","",COUNTIFS('Таблиця 1'!$B:$B,$A180,'Таблиця 1'!$E:$E,"Інфраструктура",'Таблиця 1'!$L:$L,"Уражено"))</f>
        <v/>
      </c>
      <c r="X180">
        <f>IF($A180="","",SUMIFS('Таблиця 1'!$K:$K,'Таблиця 1'!$B:$B,$A180))</f>
        <v/>
      </c>
    </row>
    <row r="181">
      <c r="A181" s="81">
        <f>IF(A180="","",IF(A180+1&gt;MAX('Таблиця 1'!$B:$B),"",A180+1))</f>
        <v/>
      </c>
      <c r="B181">
        <f>IF($A181="","",COUNTIFS('Таблиця 1'!$B:$B,$A181,'Таблиця 1'!$E:$E,"ЖС ВЗ",'Таблиця 1'!$L:$L,"Уражено"))</f>
        <v/>
      </c>
      <c r="C181">
        <f>IF($A181="","",COUNTIFS('Таблиця 1'!$B:$B,$A181,'Таблиця 1'!$E:$E,"Арт. Системи",'Таблиця 1'!$L:$L,"Уражено"))</f>
        <v/>
      </c>
      <c r="D181">
        <f>IF($A181="","",COUNTIFS('Таблиця 1'!$B:$B,$A181,'Таблиця 1'!$E:$E,"ОВТ",'Таблиця 1'!$L:$L,"Уражено"))</f>
        <v/>
      </c>
      <c r="E181">
        <f>IF($A181="","",COUNTIFS('Таблиця 1'!$B:$B,$A181,'Таблиця 1'!$E:$E,"ППО",'Таблиця 1'!$L:$L,"Уражено"))</f>
        <v/>
      </c>
      <c r="F181">
        <f>IF($A181="","",COUNTIFS('Таблиця 1'!$B:$B,$A181,'Таблиця 1'!$E:$E,"Рембаза",'Таблиця 1'!$L:$L,"Уражено"))</f>
        <v/>
      </c>
      <c r="G181">
        <f>IF($A181="","",COUNTIFS('Таблиця 1'!$B:$B,$A181,'Таблиця 1'!$E:$E,"Склад БК",'Таблиця 1'!$L:$L,"Уражено"))</f>
        <v/>
      </c>
      <c r="H181">
        <f>IF($A181="","",COUNTIFS('Таблиця 1'!$B:$B,$A181,'Таблиця 1'!$E:$E,"Склад ВТМ",'Таблиця 1'!$L:$L,"Уражено"))</f>
        <v/>
      </c>
      <c r="I181">
        <f>IF($A181="","",COUNTIFS('Таблиця 1'!$B:$B,$A181,'Таблиця 1'!$E:$E,"ПУ БпЛА",'Таблиця 1'!$L:$L,"Уражено"))</f>
        <v/>
      </c>
      <c r="J181">
        <f>IF($A181="","",COUNTIFS('Таблиця 1'!$B:$B,$A181,'Таблиця 1'!$E:$E,"СП",'Таблиця 1'!$L:$L,"Уражено"))</f>
        <v/>
      </c>
      <c r="K181">
        <f>IF($A181="","",COUNTIFS('Таблиця 1'!$B:$B,$A181,'Таблиця 1'!$E:$E,"КСП роти",'Таблиця 1'!$L:$L,"Уражено"))</f>
        <v/>
      </c>
      <c r="L181">
        <f>IF($A181="","",COUNTIFS('Таблиця 1'!$B:$B,$A181,'Таблиця 1'!$E:$E,"ПУ бат",'Таблиця 1'!$L:$L,"Уражено"))</f>
        <v/>
      </c>
      <c r="M181">
        <f>IF($A181="","",COUNTIFS('Таблиця 1'!$B:$B,$A181,'Таблиця 1'!$E:$E,"ПУ бриг",'Таблиця 1'!$L:$L,"Уражено"))</f>
        <v/>
      </c>
      <c r="N181">
        <f>IF($A181="","",COUNTIFS('Таблиця 1'!$B:$B,$A181,'Таблиця 1'!$E:$E,"ПУ див",'Таблиця 1'!$L:$L,"Уражено"))</f>
        <v/>
      </c>
      <c r="O181">
        <f>IF($A181="","",COUNTIFS('Таблиця 1'!$B:$B,$A181,'Таблиця 1'!$E:$E,"обл. РЕБ",'Таблиця 1'!$L:$L,"Уражено"))</f>
        <v/>
      </c>
      <c r="P181">
        <f>IF($A181="","",COUNTIFS('Таблиця 1'!$B:$B,$A181,'Таблиця 1'!$E:$E,"пос РЕБ",'Таблиця 1'!$L:$L,"Уражено"))</f>
        <v/>
      </c>
      <c r="Q181">
        <f>IF($A181="","",COUNTIFS('Таблиця 1'!$B:$B,$A181,'Таблиця 1'!$E:$E,"група РЕР",'Таблиця 1'!$L:$L,"Уражено"))</f>
        <v/>
      </c>
      <c r="R181">
        <f>IF($A181="","",COUNTIFS('Таблиця 1'!$B:$B,$A181,'Таблиця 1'!$E:$E,"РЛС КББ",'Таблиця 1'!$L:$L,"Уражено"))</f>
        <v/>
      </c>
      <c r="S181">
        <f>IF($A181="","",COUNTIFS('Таблиця 1'!$B:$B,$A181,'Таблиця 1'!$E:$E,"Ретранслятор",'Таблиця 1'!$L:$L,"Уражено"))</f>
        <v/>
      </c>
      <c r="T181">
        <f>IF($A181="","",COUNTIFS('Таблиця 1'!$B:$B,$A181,'Таблиця 1'!$E:$E,"Вз.зв'язку",'Таблиця 1'!$L:$L,"Уражено"))</f>
        <v/>
      </c>
      <c r="U181">
        <f>IF($A181="","",COUNTIFS('Таблиця 1'!$B:$B,$A181,'Таблиця 1'!$E:$E,"ПММ",'Таблиця 1'!$L:$L,"Уражено"))</f>
        <v/>
      </c>
      <c r="V181">
        <f>IF($A181="","",COUNTIFS('Таблиця 1'!$B:$B,$A181,'Таблиця 1'!$E:$E,"ІФС",'Таблиця 1'!$L:$L,"Уражено"))</f>
        <v/>
      </c>
      <c r="W181">
        <f>IF($A181="","",COUNTIFS('Таблиця 1'!$B:$B,$A181,'Таблиця 1'!$E:$E,"Інфраструктура",'Таблиця 1'!$L:$L,"Уражено"))</f>
        <v/>
      </c>
      <c r="X181">
        <f>IF($A181="","",SUMIFS('Таблиця 1'!$K:$K,'Таблиця 1'!$B:$B,$A181))</f>
        <v/>
      </c>
    </row>
    <row r="182">
      <c r="A182" s="81">
        <f>IF(A181="","",IF(A181+1&gt;MAX('Таблиця 1'!$B:$B),"",A181+1))</f>
        <v/>
      </c>
      <c r="B182">
        <f>IF($A182="","",COUNTIFS('Таблиця 1'!$B:$B,$A182,'Таблиця 1'!$E:$E,"ЖС ВЗ",'Таблиця 1'!$L:$L,"Уражено"))</f>
        <v/>
      </c>
      <c r="C182">
        <f>IF($A182="","",COUNTIFS('Таблиця 1'!$B:$B,$A182,'Таблиця 1'!$E:$E,"Арт. Системи",'Таблиця 1'!$L:$L,"Уражено"))</f>
        <v/>
      </c>
      <c r="D182">
        <f>IF($A182="","",COUNTIFS('Таблиця 1'!$B:$B,$A182,'Таблиця 1'!$E:$E,"ОВТ",'Таблиця 1'!$L:$L,"Уражено"))</f>
        <v/>
      </c>
      <c r="E182">
        <f>IF($A182="","",COUNTIFS('Таблиця 1'!$B:$B,$A182,'Таблиця 1'!$E:$E,"ППО",'Таблиця 1'!$L:$L,"Уражено"))</f>
        <v/>
      </c>
      <c r="F182">
        <f>IF($A182="","",COUNTIFS('Таблиця 1'!$B:$B,$A182,'Таблиця 1'!$E:$E,"Рембаза",'Таблиця 1'!$L:$L,"Уражено"))</f>
        <v/>
      </c>
      <c r="G182">
        <f>IF($A182="","",COUNTIFS('Таблиця 1'!$B:$B,$A182,'Таблиця 1'!$E:$E,"Склад БК",'Таблиця 1'!$L:$L,"Уражено"))</f>
        <v/>
      </c>
      <c r="H182">
        <f>IF($A182="","",COUNTIFS('Таблиця 1'!$B:$B,$A182,'Таблиця 1'!$E:$E,"Склад ВТМ",'Таблиця 1'!$L:$L,"Уражено"))</f>
        <v/>
      </c>
      <c r="I182">
        <f>IF($A182="","",COUNTIFS('Таблиця 1'!$B:$B,$A182,'Таблиця 1'!$E:$E,"ПУ БпЛА",'Таблиця 1'!$L:$L,"Уражено"))</f>
        <v/>
      </c>
      <c r="J182">
        <f>IF($A182="","",COUNTIFS('Таблиця 1'!$B:$B,$A182,'Таблиця 1'!$E:$E,"СП",'Таблиця 1'!$L:$L,"Уражено"))</f>
        <v/>
      </c>
      <c r="K182">
        <f>IF($A182="","",COUNTIFS('Таблиця 1'!$B:$B,$A182,'Таблиця 1'!$E:$E,"КСП роти",'Таблиця 1'!$L:$L,"Уражено"))</f>
        <v/>
      </c>
      <c r="L182">
        <f>IF($A182="","",COUNTIFS('Таблиця 1'!$B:$B,$A182,'Таблиця 1'!$E:$E,"ПУ бат",'Таблиця 1'!$L:$L,"Уражено"))</f>
        <v/>
      </c>
      <c r="M182">
        <f>IF($A182="","",COUNTIFS('Таблиця 1'!$B:$B,$A182,'Таблиця 1'!$E:$E,"ПУ бриг",'Таблиця 1'!$L:$L,"Уражено"))</f>
        <v/>
      </c>
      <c r="N182">
        <f>IF($A182="","",COUNTIFS('Таблиця 1'!$B:$B,$A182,'Таблиця 1'!$E:$E,"ПУ див",'Таблиця 1'!$L:$L,"Уражено"))</f>
        <v/>
      </c>
      <c r="O182">
        <f>IF($A182="","",COUNTIFS('Таблиця 1'!$B:$B,$A182,'Таблиця 1'!$E:$E,"обл. РЕБ",'Таблиця 1'!$L:$L,"Уражено"))</f>
        <v/>
      </c>
      <c r="P182">
        <f>IF($A182="","",COUNTIFS('Таблиця 1'!$B:$B,$A182,'Таблиця 1'!$E:$E,"пос РЕБ",'Таблиця 1'!$L:$L,"Уражено"))</f>
        <v/>
      </c>
      <c r="Q182">
        <f>IF($A182="","",COUNTIFS('Таблиця 1'!$B:$B,$A182,'Таблиця 1'!$E:$E,"група РЕР",'Таблиця 1'!$L:$L,"Уражено"))</f>
        <v/>
      </c>
      <c r="R182">
        <f>IF($A182="","",COUNTIFS('Таблиця 1'!$B:$B,$A182,'Таблиця 1'!$E:$E,"РЛС КББ",'Таблиця 1'!$L:$L,"Уражено"))</f>
        <v/>
      </c>
      <c r="S182">
        <f>IF($A182="","",COUNTIFS('Таблиця 1'!$B:$B,$A182,'Таблиця 1'!$E:$E,"Ретранслятор",'Таблиця 1'!$L:$L,"Уражено"))</f>
        <v/>
      </c>
      <c r="T182">
        <f>IF($A182="","",COUNTIFS('Таблиця 1'!$B:$B,$A182,'Таблиця 1'!$E:$E,"Вз.зв'язку",'Таблиця 1'!$L:$L,"Уражено"))</f>
        <v/>
      </c>
      <c r="U182">
        <f>IF($A182="","",COUNTIFS('Таблиця 1'!$B:$B,$A182,'Таблиця 1'!$E:$E,"ПММ",'Таблиця 1'!$L:$L,"Уражено"))</f>
        <v/>
      </c>
      <c r="V182">
        <f>IF($A182="","",COUNTIFS('Таблиця 1'!$B:$B,$A182,'Таблиця 1'!$E:$E,"ІФС",'Таблиця 1'!$L:$L,"Уражено"))</f>
        <v/>
      </c>
      <c r="W182">
        <f>IF($A182="","",COUNTIFS('Таблиця 1'!$B:$B,$A182,'Таблиця 1'!$E:$E,"Інфраструктура",'Таблиця 1'!$L:$L,"Уражено"))</f>
        <v/>
      </c>
      <c r="X182">
        <f>IF($A182="","",SUMIFS('Таблиця 1'!$K:$K,'Таблиця 1'!$B:$B,$A182))</f>
        <v/>
      </c>
    </row>
    <row r="183">
      <c r="A183" s="81">
        <f>IF(A182="","",IF(A182+1&gt;MAX('Таблиця 1'!$B:$B),"",A182+1))</f>
        <v/>
      </c>
      <c r="B183">
        <f>IF($A183="","",COUNTIFS('Таблиця 1'!$B:$B,$A183,'Таблиця 1'!$E:$E,"ЖС ВЗ",'Таблиця 1'!$L:$L,"Уражено"))</f>
        <v/>
      </c>
      <c r="C183">
        <f>IF($A183="","",COUNTIFS('Таблиця 1'!$B:$B,$A183,'Таблиця 1'!$E:$E,"Арт. Системи",'Таблиця 1'!$L:$L,"Уражено"))</f>
        <v/>
      </c>
      <c r="D183">
        <f>IF($A183="","",COUNTIFS('Таблиця 1'!$B:$B,$A183,'Таблиця 1'!$E:$E,"ОВТ",'Таблиця 1'!$L:$L,"Уражено"))</f>
        <v/>
      </c>
      <c r="E183">
        <f>IF($A183="","",COUNTIFS('Таблиця 1'!$B:$B,$A183,'Таблиця 1'!$E:$E,"ППО",'Таблиця 1'!$L:$L,"Уражено"))</f>
        <v/>
      </c>
      <c r="F183">
        <f>IF($A183="","",COUNTIFS('Таблиця 1'!$B:$B,$A183,'Таблиця 1'!$E:$E,"Рембаза",'Таблиця 1'!$L:$L,"Уражено"))</f>
        <v/>
      </c>
      <c r="G183">
        <f>IF($A183="","",COUNTIFS('Таблиця 1'!$B:$B,$A183,'Таблиця 1'!$E:$E,"Склад БК",'Таблиця 1'!$L:$L,"Уражено"))</f>
        <v/>
      </c>
      <c r="H183">
        <f>IF($A183="","",COUNTIFS('Таблиця 1'!$B:$B,$A183,'Таблиця 1'!$E:$E,"Склад ВТМ",'Таблиця 1'!$L:$L,"Уражено"))</f>
        <v/>
      </c>
      <c r="I183">
        <f>IF($A183="","",COUNTIFS('Таблиця 1'!$B:$B,$A183,'Таблиця 1'!$E:$E,"ПУ БпЛА",'Таблиця 1'!$L:$L,"Уражено"))</f>
        <v/>
      </c>
      <c r="J183">
        <f>IF($A183="","",COUNTIFS('Таблиця 1'!$B:$B,$A183,'Таблиця 1'!$E:$E,"СП",'Таблиця 1'!$L:$L,"Уражено"))</f>
        <v/>
      </c>
      <c r="K183">
        <f>IF($A183="","",COUNTIFS('Таблиця 1'!$B:$B,$A183,'Таблиця 1'!$E:$E,"КСП роти",'Таблиця 1'!$L:$L,"Уражено"))</f>
        <v/>
      </c>
      <c r="L183">
        <f>IF($A183="","",COUNTIFS('Таблиця 1'!$B:$B,$A183,'Таблиця 1'!$E:$E,"ПУ бат",'Таблиця 1'!$L:$L,"Уражено"))</f>
        <v/>
      </c>
      <c r="M183">
        <f>IF($A183="","",COUNTIFS('Таблиця 1'!$B:$B,$A183,'Таблиця 1'!$E:$E,"ПУ бриг",'Таблиця 1'!$L:$L,"Уражено"))</f>
        <v/>
      </c>
      <c r="N183">
        <f>IF($A183="","",COUNTIFS('Таблиця 1'!$B:$B,$A183,'Таблиця 1'!$E:$E,"ПУ див",'Таблиця 1'!$L:$L,"Уражено"))</f>
        <v/>
      </c>
      <c r="O183">
        <f>IF($A183="","",COUNTIFS('Таблиця 1'!$B:$B,$A183,'Таблиця 1'!$E:$E,"обл. РЕБ",'Таблиця 1'!$L:$L,"Уражено"))</f>
        <v/>
      </c>
      <c r="P183">
        <f>IF($A183="","",COUNTIFS('Таблиця 1'!$B:$B,$A183,'Таблиця 1'!$E:$E,"пос РЕБ",'Таблиця 1'!$L:$L,"Уражено"))</f>
        <v/>
      </c>
      <c r="Q183">
        <f>IF($A183="","",COUNTIFS('Таблиця 1'!$B:$B,$A183,'Таблиця 1'!$E:$E,"група РЕР",'Таблиця 1'!$L:$L,"Уражено"))</f>
        <v/>
      </c>
      <c r="R183">
        <f>IF($A183="","",COUNTIFS('Таблиця 1'!$B:$B,$A183,'Таблиця 1'!$E:$E,"РЛС КББ",'Таблиця 1'!$L:$L,"Уражено"))</f>
        <v/>
      </c>
      <c r="S183">
        <f>IF($A183="","",COUNTIFS('Таблиця 1'!$B:$B,$A183,'Таблиця 1'!$E:$E,"Ретранслятор",'Таблиця 1'!$L:$L,"Уражено"))</f>
        <v/>
      </c>
      <c r="T183">
        <f>IF($A183="","",COUNTIFS('Таблиця 1'!$B:$B,$A183,'Таблиця 1'!$E:$E,"Вз.зв'язку",'Таблиця 1'!$L:$L,"Уражено"))</f>
        <v/>
      </c>
      <c r="U183">
        <f>IF($A183="","",COUNTIFS('Таблиця 1'!$B:$B,$A183,'Таблиця 1'!$E:$E,"ПММ",'Таблиця 1'!$L:$L,"Уражено"))</f>
        <v/>
      </c>
      <c r="V183">
        <f>IF($A183="","",COUNTIFS('Таблиця 1'!$B:$B,$A183,'Таблиця 1'!$E:$E,"ІФС",'Таблиця 1'!$L:$L,"Уражено"))</f>
        <v/>
      </c>
      <c r="W183">
        <f>IF($A183="","",COUNTIFS('Таблиця 1'!$B:$B,$A183,'Таблиця 1'!$E:$E,"Інфраструктура",'Таблиця 1'!$L:$L,"Уражено"))</f>
        <v/>
      </c>
      <c r="X183">
        <f>IF($A183="","",SUMIFS('Таблиця 1'!$K:$K,'Таблиця 1'!$B:$B,$A183))</f>
        <v/>
      </c>
    </row>
    <row r="184">
      <c r="A184" s="81">
        <f>IF(A183="","",IF(A183+1&gt;MAX('Таблиця 1'!$B:$B),"",A183+1))</f>
        <v/>
      </c>
      <c r="B184">
        <f>IF($A184="","",COUNTIFS('Таблиця 1'!$B:$B,$A184,'Таблиця 1'!$E:$E,"ЖС ВЗ",'Таблиця 1'!$L:$L,"Уражено"))</f>
        <v/>
      </c>
      <c r="C184">
        <f>IF($A184="","",COUNTIFS('Таблиця 1'!$B:$B,$A184,'Таблиця 1'!$E:$E,"Арт. Системи",'Таблиця 1'!$L:$L,"Уражено"))</f>
        <v/>
      </c>
      <c r="D184">
        <f>IF($A184="","",COUNTIFS('Таблиця 1'!$B:$B,$A184,'Таблиця 1'!$E:$E,"ОВТ",'Таблиця 1'!$L:$L,"Уражено"))</f>
        <v/>
      </c>
      <c r="E184">
        <f>IF($A184="","",COUNTIFS('Таблиця 1'!$B:$B,$A184,'Таблиця 1'!$E:$E,"ППО",'Таблиця 1'!$L:$L,"Уражено"))</f>
        <v/>
      </c>
      <c r="F184">
        <f>IF($A184="","",COUNTIFS('Таблиця 1'!$B:$B,$A184,'Таблиця 1'!$E:$E,"Рембаза",'Таблиця 1'!$L:$L,"Уражено"))</f>
        <v/>
      </c>
      <c r="G184">
        <f>IF($A184="","",COUNTIFS('Таблиця 1'!$B:$B,$A184,'Таблиця 1'!$E:$E,"Склад БК",'Таблиця 1'!$L:$L,"Уражено"))</f>
        <v/>
      </c>
      <c r="H184">
        <f>IF($A184="","",COUNTIFS('Таблиця 1'!$B:$B,$A184,'Таблиця 1'!$E:$E,"Склад ВТМ",'Таблиця 1'!$L:$L,"Уражено"))</f>
        <v/>
      </c>
      <c r="I184">
        <f>IF($A184="","",COUNTIFS('Таблиця 1'!$B:$B,$A184,'Таблиця 1'!$E:$E,"ПУ БпЛА",'Таблиця 1'!$L:$L,"Уражено"))</f>
        <v/>
      </c>
      <c r="J184">
        <f>IF($A184="","",COUNTIFS('Таблиця 1'!$B:$B,$A184,'Таблиця 1'!$E:$E,"СП",'Таблиця 1'!$L:$L,"Уражено"))</f>
        <v/>
      </c>
      <c r="K184">
        <f>IF($A184="","",COUNTIFS('Таблиця 1'!$B:$B,$A184,'Таблиця 1'!$E:$E,"КСП роти",'Таблиця 1'!$L:$L,"Уражено"))</f>
        <v/>
      </c>
      <c r="L184">
        <f>IF($A184="","",COUNTIFS('Таблиця 1'!$B:$B,$A184,'Таблиця 1'!$E:$E,"ПУ бат",'Таблиця 1'!$L:$L,"Уражено"))</f>
        <v/>
      </c>
      <c r="M184">
        <f>IF($A184="","",COUNTIFS('Таблиця 1'!$B:$B,$A184,'Таблиця 1'!$E:$E,"ПУ бриг",'Таблиця 1'!$L:$L,"Уражено"))</f>
        <v/>
      </c>
      <c r="N184">
        <f>IF($A184="","",COUNTIFS('Таблиця 1'!$B:$B,$A184,'Таблиця 1'!$E:$E,"ПУ див",'Таблиця 1'!$L:$L,"Уражено"))</f>
        <v/>
      </c>
      <c r="O184">
        <f>IF($A184="","",COUNTIFS('Таблиця 1'!$B:$B,$A184,'Таблиця 1'!$E:$E,"обл. РЕБ",'Таблиця 1'!$L:$L,"Уражено"))</f>
        <v/>
      </c>
      <c r="P184">
        <f>IF($A184="","",COUNTIFS('Таблиця 1'!$B:$B,$A184,'Таблиця 1'!$E:$E,"пос РЕБ",'Таблиця 1'!$L:$L,"Уражено"))</f>
        <v/>
      </c>
      <c r="Q184">
        <f>IF($A184="","",COUNTIFS('Таблиця 1'!$B:$B,$A184,'Таблиця 1'!$E:$E,"група РЕР",'Таблиця 1'!$L:$L,"Уражено"))</f>
        <v/>
      </c>
      <c r="R184">
        <f>IF($A184="","",COUNTIFS('Таблиця 1'!$B:$B,$A184,'Таблиця 1'!$E:$E,"РЛС КББ",'Таблиця 1'!$L:$L,"Уражено"))</f>
        <v/>
      </c>
      <c r="S184">
        <f>IF($A184="","",COUNTIFS('Таблиця 1'!$B:$B,$A184,'Таблиця 1'!$E:$E,"Ретранслятор",'Таблиця 1'!$L:$L,"Уражено"))</f>
        <v/>
      </c>
      <c r="T184">
        <f>IF($A184="","",COUNTIFS('Таблиця 1'!$B:$B,$A184,'Таблиця 1'!$E:$E,"Вз.зв'язку",'Таблиця 1'!$L:$L,"Уражено"))</f>
        <v/>
      </c>
      <c r="U184">
        <f>IF($A184="","",COUNTIFS('Таблиця 1'!$B:$B,$A184,'Таблиця 1'!$E:$E,"ПММ",'Таблиця 1'!$L:$L,"Уражено"))</f>
        <v/>
      </c>
      <c r="V184">
        <f>IF($A184="","",COUNTIFS('Таблиця 1'!$B:$B,$A184,'Таблиця 1'!$E:$E,"ІФС",'Таблиця 1'!$L:$L,"Уражено"))</f>
        <v/>
      </c>
      <c r="W184">
        <f>IF($A184="","",COUNTIFS('Таблиця 1'!$B:$B,$A184,'Таблиця 1'!$E:$E,"Інфраструктура",'Таблиця 1'!$L:$L,"Уражено"))</f>
        <v/>
      </c>
      <c r="X184">
        <f>IF($A184="","",SUMIFS('Таблиця 1'!$K:$K,'Таблиця 1'!$B:$B,$A184))</f>
        <v/>
      </c>
    </row>
    <row r="185">
      <c r="A185" s="81">
        <f>IF(A184="","",IF(A184+1&gt;MAX('Таблиця 1'!$B:$B),"",A184+1))</f>
        <v/>
      </c>
      <c r="B185">
        <f>IF($A185="","",COUNTIFS('Таблиця 1'!$B:$B,$A185,'Таблиця 1'!$E:$E,"ЖС ВЗ",'Таблиця 1'!$L:$L,"Уражено"))</f>
        <v/>
      </c>
      <c r="C185">
        <f>IF($A185="","",COUNTIFS('Таблиця 1'!$B:$B,$A185,'Таблиця 1'!$E:$E,"Арт. Системи",'Таблиця 1'!$L:$L,"Уражено"))</f>
        <v/>
      </c>
      <c r="D185">
        <f>IF($A185="","",COUNTIFS('Таблиця 1'!$B:$B,$A185,'Таблиця 1'!$E:$E,"ОВТ",'Таблиця 1'!$L:$L,"Уражено"))</f>
        <v/>
      </c>
      <c r="E185">
        <f>IF($A185="","",COUNTIFS('Таблиця 1'!$B:$B,$A185,'Таблиця 1'!$E:$E,"ППО",'Таблиця 1'!$L:$L,"Уражено"))</f>
        <v/>
      </c>
      <c r="F185">
        <f>IF($A185="","",COUNTIFS('Таблиця 1'!$B:$B,$A185,'Таблиця 1'!$E:$E,"Рембаза",'Таблиця 1'!$L:$L,"Уражено"))</f>
        <v/>
      </c>
      <c r="G185">
        <f>IF($A185="","",COUNTIFS('Таблиця 1'!$B:$B,$A185,'Таблиця 1'!$E:$E,"Склад БК",'Таблиця 1'!$L:$L,"Уражено"))</f>
        <v/>
      </c>
      <c r="H185">
        <f>IF($A185="","",COUNTIFS('Таблиця 1'!$B:$B,$A185,'Таблиця 1'!$E:$E,"Склад ВТМ",'Таблиця 1'!$L:$L,"Уражено"))</f>
        <v/>
      </c>
      <c r="I185">
        <f>IF($A185="","",COUNTIFS('Таблиця 1'!$B:$B,$A185,'Таблиця 1'!$E:$E,"ПУ БпЛА",'Таблиця 1'!$L:$L,"Уражено"))</f>
        <v/>
      </c>
      <c r="J185">
        <f>IF($A185="","",COUNTIFS('Таблиця 1'!$B:$B,$A185,'Таблиця 1'!$E:$E,"СП",'Таблиця 1'!$L:$L,"Уражено"))</f>
        <v/>
      </c>
      <c r="K185">
        <f>IF($A185="","",COUNTIFS('Таблиця 1'!$B:$B,$A185,'Таблиця 1'!$E:$E,"КСП роти",'Таблиця 1'!$L:$L,"Уражено"))</f>
        <v/>
      </c>
      <c r="L185">
        <f>IF($A185="","",COUNTIFS('Таблиця 1'!$B:$B,$A185,'Таблиця 1'!$E:$E,"ПУ бат",'Таблиця 1'!$L:$L,"Уражено"))</f>
        <v/>
      </c>
      <c r="M185">
        <f>IF($A185="","",COUNTIFS('Таблиця 1'!$B:$B,$A185,'Таблиця 1'!$E:$E,"ПУ бриг",'Таблиця 1'!$L:$L,"Уражено"))</f>
        <v/>
      </c>
      <c r="N185">
        <f>IF($A185="","",COUNTIFS('Таблиця 1'!$B:$B,$A185,'Таблиця 1'!$E:$E,"ПУ див",'Таблиця 1'!$L:$L,"Уражено"))</f>
        <v/>
      </c>
      <c r="O185">
        <f>IF($A185="","",COUNTIFS('Таблиця 1'!$B:$B,$A185,'Таблиця 1'!$E:$E,"обл. РЕБ",'Таблиця 1'!$L:$L,"Уражено"))</f>
        <v/>
      </c>
      <c r="P185">
        <f>IF($A185="","",COUNTIFS('Таблиця 1'!$B:$B,$A185,'Таблиця 1'!$E:$E,"пос РЕБ",'Таблиця 1'!$L:$L,"Уражено"))</f>
        <v/>
      </c>
      <c r="Q185">
        <f>IF($A185="","",COUNTIFS('Таблиця 1'!$B:$B,$A185,'Таблиця 1'!$E:$E,"група РЕР",'Таблиця 1'!$L:$L,"Уражено"))</f>
        <v/>
      </c>
      <c r="R185">
        <f>IF($A185="","",COUNTIFS('Таблиця 1'!$B:$B,$A185,'Таблиця 1'!$E:$E,"РЛС КББ",'Таблиця 1'!$L:$L,"Уражено"))</f>
        <v/>
      </c>
      <c r="S185">
        <f>IF($A185="","",COUNTIFS('Таблиця 1'!$B:$B,$A185,'Таблиця 1'!$E:$E,"Ретранслятор",'Таблиця 1'!$L:$L,"Уражено"))</f>
        <v/>
      </c>
      <c r="T185">
        <f>IF($A185="","",COUNTIFS('Таблиця 1'!$B:$B,$A185,'Таблиця 1'!$E:$E,"Вз.зв'язку",'Таблиця 1'!$L:$L,"Уражено"))</f>
        <v/>
      </c>
      <c r="U185">
        <f>IF($A185="","",COUNTIFS('Таблиця 1'!$B:$B,$A185,'Таблиця 1'!$E:$E,"ПММ",'Таблиця 1'!$L:$L,"Уражено"))</f>
        <v/>
      </c>
      <c r="V185">
        <f>IF($A185="","",COUNTIFS('Таблиця 1'!$B:$B,$A185,'Таблиця 1'!$E:$E,"ІФС",'Таблиця 1'!$L:$L,"Уражено"))</f>
        <v/>
      </c>
      <c r="W185">
        <f>IF($A185="","",COUNTIFS('Таблиця 1'!$B:$B,$A185,'Таблиця 1'!$E:$E,"Інфраструктура",'Таблиця 1'!$L:$L,"Уражено"))</f>
        <v/>
      </c>
      <c r="X185">
        <f>IF($A185="","",SUMIFS('Таблиця 1'!$K:$K,'Таблиця 1'!$B:$B,$A185))</f>
        <v/>
      </c>
    </row>
    <row r="186">
      <c r="A186" s="81">
        <f>IF(A185="","",IF(A185+1&gt;MAX('Таблиця 1'!$B:$B),"",A185+1))</f>
        <v/>
      </c>
      <c r="B186">
        <f>IF($A186="","",COUNTIFS('Таблиця 1'!$B:$B,$A186,'Таблиця 1'!$E:$E,"ЖС ВЗ",'Таблиця 1'!$L:$L,"Уражено"))</f>
        <v/>
      </c>
      <c r="C186">
        <f>IF($A186="","",COUNTIFS('Таблиця 1'!$B:$B,$A186,'Таблиця 1'!$E:$E,"Арт. Системи",'Таблиця 1'!$L:$L,"Уражено"))</f>
        <v/>
      </c>
      <c r="D186">
        <f>IF($A186="","",COUNTIFS('Таблиця 1'!$B:$B,$A186,'Таблиця 1'!$E:$E,"ОВТ",'Таблиця 1'!$L:$L,"Уражено"))</f>
        <v/>
      </c>
      <c r="E186">
        <f>IF($A186="","",COUNTIFS('Таблиця 1'!$B:$B,$A186,'Таблиця 1'!$E:$E,"ППО",'Таблиця 1'!$L:$L,"Уражено"))</f>
        <v/>
      </c>
      <c r="F186">
        <f>IF($A186="","",COUNTIFS('Таблиця 1'!$B:$B,$A186,'Таблиця 1'!$E:$E,"Рембаза",'Таблиця 1'!$L:$L,"Уражено"))</f>
        <v/>
      </c>
      <c r="G186">
        <f>IF($A186="","",COUNTIFS('Таблиця 1'!$B:$B,$A186,'Таблиця 1'!$E:$E,"Склад БК",'Таблиця 1'!$L:$L,"Уражено"))</f>
        <v/>
      </c>
      <c r="H186">
        <f>IF($A186="","",COUNTIFS('Таблиця 1'!$B:$B,$A186,'Таблиця 1'!$E:$E,"Склад ВТМ",'Таблиця 1'!$L:$L,"Уражено"))</f>
        <v/>
      </c>
      <c r="I186">
        <f>IF($A186="","",COUNTIFS('Таблиця 1'!$B:$B,$A186,'Таблиця 1'!$E:$E,"ПУ БпЛА",'Таблиця 1'!$L:$L,"Уражено"))</f>
        <v/>
      </c>
      <c r="J186">
        <f>IF($A186="","",COUNTIFS('Таблиця 1'!$B:$B,$A186,'Таблиця 1'!$E:$E,"СП",'Таблиця 1'!$L:$L,"Уражено"))</f>
        <v/>
      </c>
      <c r="K186">
        <f>IF($A186="","",COUNTIFS('Таблиця 1'!$B:$B,$A186,'Таблиця 1'!$E:$E,"КСП роти",'Таблиця 1'!$L:$L,"Уражено"))</f>
        <v/>
      </c>
      <c r="L186">
        <f>IF($A186="","",COUNTIFS('Таблиця 1'!$B:$B,$A186,'Таблиця 1'!$E:$E,"ПУ бат",'Таблиця 1'!$L:$L,"Уражено"))</f>
        <v/>
      </c>
      <c r="M186">
        <f>IF($A186="","",COUNTIFS('Таблиця 1'!$B:$B,$A186,'Таблиця 1'!$E:$E,"ПУ бриг",'Таблиця 1'!$L:$L,"Уражено"))</f>
        <v/>
      </c>
      <c r="N186">
        <f>IF($A186="","",COUNTIFS('Таблиця 1'!$B:$B,$A186,'Таблиця 1'!$E:$E,"ПУ див",'Таблиця 1'!$L:$L,"Уражено"))</f>
        <v/>
      </c>
      <c r="O186">
        <f>IF($A186="","",COUNTIFS('Таблиця 1'!$B:$B,$A186,'Таблиця 1'!$E:$E,"обл. РЕБ",'Таблиця 1'!$L:$L,"Уражено"))</f>
        <v/>
      </c>
      <c r="P186">
        <f>IF($A186="","",COUNTIFS('Таблиця 1'!$B:$B,$A186,'Таблиця 1'!$E:$E,"пос РЕБ",'Таблиця 1'!$L:$L,"Уражено"))</f>
        <v/>
      </c>
      <c r="Q186">
        <f>IF($A186="","",COUNTIFS('Таблиця 1'!$B:$B,$A186,'Таблиця 1'!$E:$E,"група РЕР",'Таблиця 1'!$L:$L,"Уражено"))</f>
        <v/>
      </c>
      <c r="R186">
        <f>IF($A186="","",COUNTIFS('Таблиця 1'!$B:$B,$A186,'Таблиця 1'!$E:$E,"РЛС КББ",'Таблиця 1'!$L:$L,"Уражено"))</f>
        <v/>
      </c>
      <c r="S186">
        <f>IF($A186="","",COUNTIFS('Таблиця 1'!$B:$B,$A186,'Таблиця 1'!$E:$E,"Ретранслятор",'Таблиця 1'!$L:$L,"Уражено"))</f>
        <v/>
      </c>
      <c r="T186">
        <f>IF($A186="","",COUNTIFS('Таблиця 1'!$B:$B,$A186,'Таблиця 1'!$E:$E,"Вз.зв'язку",'Таблиця 1'!$L:$L,"Уражено"))</f>
        <v/>
      </c>
      <c r="U186">
        <f>IF($A186="","",COUNTIFS('Таблиця 1'!$B:$B,$A186,'Таблиця 1'!$E:$E,"ПММ",'Таблиця 1'!$L:$L,"Уражено"))</f>
        <v/>
      </c>
      <c r="V186">
        <f>IF($A186="","",COUNTIFS('Таблиця 1'!$B:$B,$A186,'Таблиця 1'!$E:$E,"ІФС",'Таблиця 1'!$L:$L,"Уражено"))</f>
        <v/>
      </c>
      <c r="W186">
        <f>IF($A186="","",COUNTIFS('Таблиця 1'!$B:$B,$A186,'Таблиця 1'!$E:$E,"Інфраструктура",'Таблиця 1'!$L:$L,"Уражено"))</f>
        <v/>
      </c>
      <c r="X186">
        <f>IF($A186="","",SUMIFS('Таблиця 1'!$K:$K,'Таблиця 1'!$B:$B,$A186))</f>
        <v/>
      </c>
    </row>
    <row r="187">
      <c r="A187" s="81">
        <f>IF(A186="","",IF(A186+1&gt;MAX('Таблиця 1'!$B:$B),"",A186+1))</f>
        <v/>
      </c>
      <c r="B187">
        <f>IF($A187="","",COUNTIFS('Таблиця 1'!$B:$B,$A187,'Таблиця 1'!$E:$E,"ЖС ВЗ",'Таблиця 1'!$L:$L,"Уражено"))</f>
        <v/>
      </c>
      <c r="C187">
        <f>IF($A187="","",COUNTIFS('Таблиця 1'!$B:$B,$A187,'Таблиця 1'!$E:$E,"Арт. Системи",'Таблиця 1'!$L:$L,"Уражено"))</f>
        <v/>
      </c>
      <c r="D187">
        <f>IF($A187="","",COUNTIFS('Таблиця 1'!$B:$B,$A187,'Таблиця 1'!$E:$E,"ОВТ",'Таблиця 1'!$L:$L,"Уражено"))</f>
        <v/>
      </c>
      <c r="E187">
        <f>IF($A187="","",COUNTIFS('Таблиця 1'!$B:$B,$A187,'Таблиця 1'!$E:$E,"ППО",'Таблиця 1'!$L:$L,"Уражено"))</f>
        <v/>
      </c>
      <c r="F187">
        <f>IF($A187="","",COUNTIFS('Таблиця 1'!$B:$B,$A187,'Таблиця 1'!$E:$E,"Рембаза",'Таблиця 1'!$L:$L,"Уражено"))</f>
        <v/>
      </c>
      <c r="G187">
        <f>IF($A187="","",COUNTIFS('Таблиця 1'!$B:$B,$A187,'Таблиця 1'!$E:$E,"Склад БК",'Таблиця 1'!$L:$L,"Уражено"))</f>
        <v/>
      </c>
      <c r="H187">
        <f>IF($A187="","",COUNTIFS('Таблиця 1'!$B:$B,$A187,'Таблиця 1'!$E:$E,"Склад ВТМ",'Таблиця 1'!$L:$L,"Уражено"))</f>
        <v/>
      </c>
      <c r="I187">
        <f>IF($A187="","",COUNTIFS('Таблиця 1'!$B:$B,$A187,'Таблиця 1'!$E:$E,"ПУ БпЛА",'Таблиця 1'!$L:$L,"Уражено"))</f>
        <v/>
      </c>
      <c r="J187">
        <f>IF($A187="","",COUNTIFS('Таблиця 1'!$B:$B,$A187,'Таблиця 1'!$E:$E,"СП",'Таблиця 1'!$L:$L,"Уражено"))</f>
        <v/>
      </c>
      <c r="K187">
        <f>IF($A187="","",COUNTIFS('Таблиця 1'!$B:$B,$A187,'Таблиця 1'!$E:$E,"КСП роти",'Таблиця 1'!$L:$L,"Уражено"))</f>
        <v/>
      </c>
      <c r="L187">
        <f>IF($A187="","",COUNTIFS('Таблиця 1'!$B:$B,$A187,'Таблиця 1'!$E:$E,"ПУ бат",'Таблиця 1'!$L:$L,"Уражено"))</f>
        <v/>
      </c>
      <c r="M187">
        <f>IF($A187="","",COUNTIFS('Таблиця 1'!$B:$B,$A187,'Таблиця 1'!$E:$E,"ПУ бриг",'Таблиця 1'!$L:$L,"Уражено"))</f>
        <v/>
      </c>
      <c r="N187">
        <f>IF($A187="","",COUNTIFS('Таблиця 1'!$B:$B,$A187,'Таблиця 1'!$E:$E,"ПУ див",'Таблиця 1'!$L:$L,"Уражено"))</f>
        <v/>
      </c>
      <c r="O187">
        <f>IF($A187="","",COUNTIFS('Таблиця 1'!$B:$B,$A187,'Таблиця 1'!$E:$E,"обл. РЕБ",'Таблиця 1'!$L:$L,"Уражено"))</f>
        <v/>
      </c>
      <c r="P187">
        <f>IF($A187="","",COUNTIFS('Таблиця 1'!$B:$B,$A187,'Таблиця 1'!$E:$E,"пос РЕБ",'Таблиця 1'!$L:$L,"Уражено"))</f>
        <v/>
      </c>
      <c r="Q187">
        <f>IF($A187="","",COUNTIFS('Таблиця 1'!$B:$B,$A187,'Таблиця 1'!$E:$E,"група РЕР",'Таблиця 1'!$L:$L,"Уражено"))</f>
        <v/>
      </c>
      <c r="R187">
        <f>IF($A187="","",COUNTIFS('Таблиця 1'!$B:$B,$A187,'Таблиця 1'!$E:$E,"РЛС КББ",'Таблиця 1'!$L:$L,"Уражено"))</f>
        <v/>
      </c>
      <c r="S187">
        <f>IF($A187="","",COUNTIFS('Таблиця 1'!$B:$B,$A187,'Таблиця 1'!$E:$E,"Ретранслятор",'Таблиця 1'!$L:$L,"Уражено"))</f>
        <v/>
      </c>
      <c r="T187">
        <f>IF($A187="","",COUNTIFS('Таблиця 1'!$B:$B,$A187,'Таблиця 1'!$E:$E,"Вз.зв'язку",'Таблиця 1'!$L:$L,"Уражено"))</f>
        <v/>
      </c>
      <c r="U187">
        <f>IF($A187="","",COUNTIFS('Таблиця 1'!$B:$B,$A187,'Таблиця 1'!$E:$E,"ПММ",'Таблиця 1'!$L:$L,"Уражено"))</f>
        <v/>
      </c>
      <c r="V187">
        <f>IF($A187="","",COUNTIFS('Таблиця 1'!$B:$B,$A187,'Таблиця 1'!$E:$E,"ІФС",'Таблиця 1'!$L:$L,"Уражено"))</f>
        <v/>
      </c>
      <c r="W187">
        <f>IF($A187="","",COUNTIFS('Таблиця 1'!$B:$B,$A187,'Таблиця 1'!$E:$E,"Інфраструктура",'Таблиця 1'!$L:$L,"Уражено"))</f>
        <v/>
      </c>
      <c r="X187">
        <f>IF($A187="","",SUMIFS('Таблиця 1'!$K:$K,'Таблиця 1'!$B:$B,$A187))</f>
        <v/>
      </c>
    </row>
    <row r="188">
      <c r="A188" s="81">
        <f>IF(A187="","",IF(A187+1&gt;MAX('Таблиця 1'!$B:$B),"",A187+1))</f>
        <v/>
      </c>
      <c r="B188">
        <f>IF($A188="","",COUNTIFS('Таблиця 1'!$B:$B,$A188,'Таблиця 1'!$E:$E,"ЖС ВЗ",'Таблиця 1'!$L:$L,"Уражено"))</f>
        <v/>
      </c>
      <c r="C188">
        <f>IF($A188="","",COUNTIFS('Таблиця 1'!$B:$B,$A188,'Таблиця 1'!$E:$E,"Арт. Системи",'Таблиця 1'!$L:$L,"Уражено"))</f>
        <v/>
      </c>
      <c r="D188">
        <f>IF($A188="","",COUNTIFS('Таблиця 1'!$B:$B,$A188,'Таблиця 1'!$E:$E,"ОВТ",'Таблиця 1'!$L:$L,"Уражено"))</f>
        <v/>
      </c>
      <c r="E188">
        <f>IF($A188="","",COUNTIFS('Таблиця 1'!$B:$B,$A188,'Таблиця 1'!$E:$E,"ППО",'Таблиця 1'!$L:$L,"Уражено"))</f>
        <v/>
      </c>
      <c r="F188">
        <f>IF($A188="","",COUNTIFS('Таблиця 1'!$B:$B,$A188,'Таблиця 1'!$E:$E,"Рембаза",'Таблиця 1'!$L:$L,"Уражено"))</f>
        <v/>
      </c>
      <c r="G188">
        <f>IF($A188="","",COUNTIFS('Таблиця 1'!$B:$B,$A188,'Таблиця 1'!$E:$E,"Склад БК",'Таблиця 1'!$L:$L,"Уражено"))</f>
        <v/>
      </c>
      <c r="H188">
        <f>IF($A188="","",COUNTIFS('Таблиця 1'!$B:$B,$A188,'Таблиця 1'!$E:$E,"Склад ВТМ",'Таблиця 1'!$L:$L,"Уражено"))</f>
        <v/>
      </c>
      <c r="I188">
        <f>IF($A188="","",COUNTIFS('Таблиця 1'!$B:$B,$A188,'Таблиця 1'!$E:$E,"ПУ БпЛА",'Таблиця 1'!$L:$L,"Уражено"))</f>
        <v/>
      </c>
      <c r="J188">
        <f>IF($A188="","",COUNTIFS('Таблиця 1'!$B:$B,$A188,'Таблиця 1'!$E:$E,"СП",'Таблиця 1'!$L:$L,"Уражено"))</f>
        <v/>
      </c>
      <c r="K188">
        <f>IF($A188="","",COUNTIFS('Таблиця 1'!$B:$B,$A188,'Таблиця 1'!$E:$E,"КСП роти",'Таблиця 1'!$L:$L,"Уражено"))</f>
        <v/>
      </c>
      <c r="L188">
        <f>IF($A188="","",COUNTIFS('Таблиця 1'!$B:$B,$A188,'Таблиця 1'!$E:$E,"ПУ бат",'Таблиця 1'!$L:$L,"Уражено"))</f>
        <v/>
      </c>
      <c r="M188">
        <f>IF($A188="","",COUNTIFS('Таблиця 1'!$B:$B,$A188,'Таблиця 1'!$E:$E,"ПУ бриг",'Таблиця 1'!$L:$L,"Уражено"))</f>
        <v/>
      </c>
      <c r="N188">
        <f>IF($A188="","",COUNTIFS('Таблиця 1'!$B:$B,$A188,'Таблиця 1'!$E:$E,"ПУ див",'Таблиця 1'!$L:$L,"Уражено"))</f>
        <v/>
      </c>
      <c r="O188">
        <f>IF($A188="","",COUNTIFS('Таблиця 1'!$B:$B,$A188,'Таблиця 1'!$E:$E,"обл. РЕБ",'Таблиця 1'!$L:$L,"Уражено"))</f>
        <v/>
      </c>
      <c r="P188">
        <f>IF($A188="","",COUNTIFS('Таблиця 1'!$B:$B,$A188,'Таблиця 1'!$E:$E,"пос РЕБ",'Таблиця 1'!$L:$L,"Уражено"))</f>
        <v/>
      </c>
      <c r="Q188">
        <f>IF($A188="","",COUNTIFS('Таблиця 1'!$B:$B,$A188,'Таблиця 1'!$E:$E,"група РЕР",'Таблиця 1'!$L:$L,"Уражено"))</f>
        <v/>
      </c>
      <c r="R188">
        <f>IF($A188="","",COUNTIFS('Таблиця 1'!$B:$B,$A188,'Таблиця 1'!$E:$E,"РЛС КББ",'Таблиця 1'!$L:$L,"Уражено"))</f>
        <v/>
      </c>
      <c r="S188">
        <f>IF($A188="","",COUNTIFS('Таблиця 1'!$B:$B,$A188,'Таблиця 1'!$E:$E,"Ретранслятор",'Таблиця 1'!$L:$L,"Уражено"))</f>
        <v/>
      </c>
      <c r="T188">
        <f>IF($A188="","",COUNTIFS('Таблиця 1'!$B:$B,$A188,'Таблиця 1'!$E:$E,"Вз.зв'язку",'Таблиця 1'!$L:$L,"Уражено"))</f>
        <v/>
      </c>
      <c r="U188">
        <f>IF($A188="","",COUNTIFS('Таблиця 1'!$B:$B,$A188,'Таблиця 1'!$E:$E,"ПММ",'Таблиця 1'!$L:$L,"Уражено"))</f>
        <v/>
      </c>
      <c r="V188">
        <f>IF($A188="","",COUNTIFS('Таблиця 1'!$B:$B,$A188,'Таблиця 1'!$E:$E,"ІФС",'Таблиця 1'!$L:$L,"Уражено"))</f>
        <v/>
      </c>
      <c r="W188">
        <f>IF($A188="","",COUNTIFS('Таблиця 1'!$B:$B,$A188,'Таблиця 1'!$E:$E,"Інфраструктура",'Таблиця 1'!$L:$L,"Уражено"))</f>
        <v/>
      </c>
      <c r="X188">
        <f>IF($A188="","",SUMIFS('Таблиця 1'!$K:$K,'Таблиця 1'!$B:$B,$A188))</f>
        <v/>
      </c>
    </row>
    <row r="189">
      <c r="A189" s="81">
        <f>IF(A188="","",IF(A188+1&gt;MAX('Таблиця 1'!$B:$B),"",A188+1))</f>
        <v/>
      </c>
      <c r="B189">
        <f>IF($A189="","",COUNTIFS('Таблиця 1'!$B:$B,$A189,'Таблиця 1'!$E:$E,"ЖС ВЗ",'Таблиця 1'!$L:$L,"Уражено"))</f>
        <v/>
      </c>
      <c r="C189">
        <f>IF($A189="","",COUNTIFS('Таблиця 1'!$B:$B,$A189,'Таблиця 1'!$E:$E,"Арт. Системи",'Таблиця 1'!$L:$L,"Уражено"))</f>
        <v/>
      </c>
      <c r="D189">
        <f>IF($A189="","",COUNTIFS('Таблиця 1'!$B:$B,$A189,'Таблиця 1'!$E:$E,"ОВТ",'Таблиця 1'!$L:$L,"Уражено"))</f>
        <v/>
      </c>
      <c r="E189">
        <f>IF($A189="","",COUNTIFS('Таблиця 1'!$B:$B,$A189,'Таблиця 1'!$E:$E,"ППО",'Таблиця 1'!$L:$L,"Уражено"))</f>
        <v/>
      </c>
      <c r="F189">
        <f>IF($A189="","",COUNTIFS('Таблиця 1'!$B:$B,$A189,'Таблиця 1'!$E:$E,"Рембаза",'Таблиця 1'!$L:$L,"Уражено"))</f>
        <v/>
      </c>
      <c r="G189">
        <f>IF($A189="","",COUNTIFS('Таблиця 1'!$B:$B,$A189,'Таблиця 1'!$E:$E,"Склад БК",'Таблиця 1'!$L:$L,"Уражено"))</f>
        <v/>
      </c>
      <c r="H189">
        <f>IF($A189="","",COUNTIFS('Таблиця 1'!$B:$B,$A189,'Таблиця 1'!$E:$E,"Склад ВТМ",'Таблиця 1'!$L:$L,"Уражено"))</f>
        <v/>
      </c>
      <c r="I189">
        <f>IF($A189="","",COUNTIFS('Таблиця 1'!$B:$B,$A189,'Таблиця 1'!$E:$E,"ПУ БпЛА",'Таблиця 1'!$L:$L,"Уражено"))</f>
        <v/>
      </c>
      <c r="J189">
        <f>IF($A189="","",COUNTIFS('Таблиця 1'!$B:$B,$A189,'Таблиця 1'!$E:$E,"СП",'Таблиця 1'!$L:$L,"Уражено"))</f>
        <v/>
      </c>
      <c r="K189">
        <f>IF($A189="","",COUNTIFS('Таблиця 1'!$B:$B,$A189,'Таблиця 1'!$E:$E,"КСП роти",'Таблиця 1'!$L:$L,"Уражено"))</f>
        <v/>
      </c>
      <c r="L189">
        <f>IF($A189="","",COUNTIFS('Таблиця 1'!$B:$B,$A189,'Таблиця 1'!$E:$E,"ПУ бат",'Таблиця 1'!$L:$L,"Уражено"))</f>
        <v/>
      </c>
      <c r="M189">
        <f>IF($A189="","",COUNTIFS('Таблиця 1'!$B:$B,$A189,'Таблиця 1'!$E:$E,"ПУ бриг",'Таблиця 1'!$L:$L,"Уражено"))</f>
        <v/>
      </c>
      <c r="N189">
        <f>IF($A189="","",COUNTIFS('Таблиця 1'!$B:$B,$A189,'Таблиця 1'!$E:$E,"ПУ див",'Таблиця 1'!$L:$L,"Уражено"))</f>
        <v/>
      </c>
      <c r="O189">
        <f>IF($A189="","",COUNTIFS('Таблиця 1'!$B:$B,$A189,'Таблиця 1'!$E:$E,"обл. РЕБ",'Таблиця 1'!$L:$L,"Уражено"))</f>
        <v/>
      </c>
      <c r="P189">
        <f>IF($A189="","",COUNTIFS('Таблиця 1'!$B:$B,$A189,'Таблиця 1'!$E:$E,"пос РЕБ",'Таблиця 1'!$L:$L,"Уражено"))</f>
        <v/>
      </c>
      <c r="Q189">
        <f>IF($A189="","",COUNTIFS('Таблиця 1'!$B:$B,$A189,'Таблиця 1'!$E:$E,"група РЕР",'Таблиця 1'!$L:$L,"Уражено"))</f>
        <v/>
      </c>
      <c r="R189">
        <f>IF($A189="","",COUNTIFS('Таблиця 1'!$B:$B,$A189,'Таблиця 1'!$E:$E,"РЛС КББ",'Таблиця 1'!$L:$L,"Уражено"))</f>
        <v/>
      </c>
      <c r="S189">
        <f>IF($A189="","",COUNTIFS('Таблиця 1'!$B:$B,$A189,'Таблиця 1'!$E:$E,"Ретранслятор",'Таблиця 1'!$L:$L,"Уражено"))</f>
        <v/>
      </c>
      <c r="T189">
        <f>IF($A189="","",COUNTIFS('Таблиця 1'!$B:$B,$A189,'Таблиця 1'!$E:$E,"Вз.зв'язку",'Таблиця 1'!$L:$L,"Уражено"))</f>
        <v/>
      </c>
      <c r="U189">
        <f>IF($A189="","",COUNTIFS('Таблиця 1'!$B:$B,$A189,'Таблиця 1'!$E:$E,"ПММ",'Таблиця 1'!$L:$L,"Уражено"))</f>
        <v/>
      </c>
      <c r="V189">
        <f>IF($A189="","",COUNTIFS('Таблиця 1'!$B:$B,$A189,'Таблиця 1'!$E:$E,"ІФС",'Таблиця 1'!$L:$L,"Уражено"))</f>
        <v/>
      </c>
      <c r="W189">
        <f>IF($A189="","",COUNTIFS('Таблиця 1'!$B:$B,$A189,'Таблиця 1'!$E:$E,"Інфраструктура",'Таблиця 1'!$L:$L,"Уражено"))</f>
        <v/>
      </c>
      <c r="X189">
        <f>IF($A189="","",SUMIFS('Таблиця 1'!$K:$K,'Таблиця 1'!$B:$B,$A189))</f>
        <v/>
      </c>
    </row>
    <row r="190">
      <c r="A190" s="81">
        <f>IF(A189="","",IF(A189+1&gt;MAX('Таблиця 1'!$B:$B),"",A189+1))</f>
        <v/>
      </c>
      <c r="B190">
        <f>IF($A190="","",COUNTIFS('Таблиця 1'!$B:$B,$A190,'Таблиця 1'!$E:$E,"ЖС ВЗ",'Таблиця 1'!$L:$L,"Уражено"))</f>
        <v/>
      </c>
      <c r="C190">
        <f>IF($A190="","",COUNTIFS('Таблиця 1'!$B:$B,$A190,'Таблиця 1'!$E:$E,"Арт. Системи",'Таблиця 1'!$L:$L,"Уражено"))</f>
        <v/>
      </c>
      <c r="D190">
        <f>IF($A190="","",COUNTIFS('Таблиця 1'!$B:$B,$A190,'Таблиця 1'!$E:$E,"ОВТ",'Таблиця 1'!$L:$L,"Уражено"))</f>
        <v/>
      </c>
      <c r="E190">
        <f>IF($A190="","",COUNTIFS('Таблиця 1'!$B:$B,$A190,'Таблиця 1'!$E:$E,"ППО",'Таблиця 1'!$L:$L,"Уражено"))</f>
        <v/>
      </c>
      <c r="F190">
        <f>IF($A190="","",COUNTIFS('Таблиця 1'!$B:$B,$A190,'Таблиця 1'!$E:$E,"Рембаза",'Таблиця 1'!$L:$L,"Уражено"))</f>
        <v/>
      </c>
      <c r="G190">
        <f>IF($A190="","",COUNTIFS('Таблиця 1'!$B:$B,$A190,'Таблиця 1'!$E:$E,"Склад БК",'Таблиця 1'!$L:$L,"Уражено"))</f>
        <v/>
      </c>
      <c r="H190">
        <f>IF($A190="","",COUNTIFS('Таблиця 1'!$B:$B,$A190,'Таблиця 1'!$E:$E,"Склад ВТМ",'Таблиця 1'!$L:$L,"Уражено"))</f>
        <v/>
      </c>
      <c r="I190">
        <f>IF($A190="","",COUNTIFS('Таблиця 1'!$B:$B,$A190,'Таблиця 1'!$E:$E,"ПУ БпЛА",'Таблиця 1'!$L:$L,"Уражено"))</f>
        <v/>
      </c>
      <c r="J190">
        <f>IF($A190="","",COUNTIFS('Таблиця 1'!$B:$B,$A190,'Таблиця 1'!$E:$E,"СП",'Таблиця 1'!$L:$L,"Уражено"))</f>
        <v/>
      </c>
      <c r="K190">
        <f>IF($A190="","",COUNTIFS('Таблиця 1'!$B:$B,$A190,'Таблиця 1'!$E:$E,"КСП роти",'Таблиця 1'!$L:$L,"Уражено"))</f>
        <v/>
      </c>
      <c r="L190">
        <f>IF($A190="","",COUNTIFS('Таблиця 1'!$B:$B,$A190,'Таблиця 1'!$E:$E,"ПУ бат",'Таблиця 1'!$L:$L,"Уражено"))</f>
        <v/>
      </c>
      <c r="M190">
        <f>IF($A190="","",COUNTIFS('Таблиця 1'!$B:$B,$A190,'Таблиця 1'!$E:$E,"ПУ бриг",'Таблиця 1'!$L:$L,"Уражено"))</f>
        <v/>
      </c>
      <c r="N190">
        <f>IF($A190="","",COUNTIFS('Таблиця 1'!$B:$B,$A190,'Таблиця 1'!$E:$E,"ПУ див",'Таблиця 1'!$L:$L,"Уражено"))</f>
        <v/>
      </c>
      <c r="O190">
        <f>IF($A190="","",COUNTIFS('Таблиця 1'!$B:$B,$A190,'Таблиця 1'!$E:$E,"обл. РЕБ",'Таблиця 1'!$L:$L,"Уражено"))</f>
        <v/>
      </c>
      <c r="P190">
        <f>IF($A190="","",COUNTIFS('Таблиця 1'!$B:$B,$A190,'Таблиця 1'!$E:$E,"пос РЕБ",'Таблиця 1'!$L:$L,"Уражено"))</f>
        <v/>
      </c>
      <c r="Q190">
        <f>IF($A190="","",COUNTIFS('Таблиця 1'!$B:$B,$A190,'Таблиця 1'!$E:$E,"група РЕР",'Таблиця 1'!$L:$L,"Уражено"))</f>
        <v/>
      </c>
      <c r="R190">
        <f>IF($A190="","",COUNTIFS('Таблиця 1'!$B:$B,$A190,'Таблиця 1'!$E:$E,"РЛС КББ",'Таблиця 1'!$L:$L,"Уражено"))</f>
        <v/>
      </c>
      <c r="S190">
        <f>IF($A190="","",COUNTIFS('Таблиця 1'!$B:$B,$A190,'Таблиця 1'!$E:$E,"Ретранслятор",'Таблиця 1'!$L:$L,"Уражено"))</f>
        <v/>
      </c>
      <c r="T190">
        <f>IF($A190="","",COUNTIFS('Таблиця 1'!$B:$B,$A190,'Таблиця 1'!$E:$E,"Вз.зв'язку",'Таблиця 1'!$L:$L,"Уражено"))</f>
        <v/>
      </c>
      <c r="U190">
        <f>IF($A190="","",COUNTIFS('Таблиця 1'!$B:$B,$A190,'Таблиця 1'!$E:$E,"ПММ",'Таблиця 1'!$L:$L,"Уражено"))</f>
        <v/>
      </c>
      <c r="V190">
        <f>IF($A190="","",COUNTIFS('Таблиця 1'!$B:$B,$A190,'Таблиця 1'!$E:$E,"ІФС",'Таблиця 1'!$L:$L,"Уражено"))</f>
        <v/>
      </c>
      <c r="W190">
        <f>IF($A190="","",COUNTIFS('Таблиця 1'!$B:$B,$A190,'Таблиця 1'!$E:$E,"Інфраструктура",'Таблиця 1'!$L:$L,"Уражено"))</f>
        <v/>
      </c>
      <c r="X190">
        <f>IF($A190="","",SUMIFS('Таблиця 1'!$K:$K,'Таблиця 1'!$B:$B,$A190))</f>
        <v/>
      </c>
    </row>
    <row r="191">
      <c r="A191" s="81">
        <f>IF(A190="","",IF(A190+1&gt;MAX('Таблиця 1'!$B:$B),"",A190+1))</f>
        <v/>
      </c>
      <c r="B191">
        <f>IF($A191="","",COUNTIFS('Таблиця 1'!$B:$B,$A191,'Таблиця 1'!$E:$E,"ЖС ВЗ",'Таблиця 1'!$L:$L,"Уражено"))</f>
        <v/>
      </c>
      <c r="C191">
        <f>IF($A191="","",COUNTIFS('Таблиця 1'!$B:$B,$A191,'Таблиця 1'!$E:$E,"Арт. Системи",'Таблиця 1'!$L:$L,"Уражено"))</f>
        <v/>
      </c>
      <c r="D191">
        <f>IF($A191="","",COUNTIFS('Таблиця 1'!$B:$B,$A191,'Таблиця 1'!$E:$E,"ОВТ",'Таблиця 1'!$L:$L,"Уражено"))</f>
        <v/>
      </c>
      <c r="E191">
        <f>IF($A191="","",COUNTIFS('Таблиця 1'!$B:$B,$A191,'Таблиця 1'!$E:$E,"ППО",'Таблиця 1'!$L:$L,"Уражено"))</f>
        <v/>
      </c>
      <c r="F191">
        <f>IF($A191="","",COUNTIFS('Таблиця 1'!$B:$B,$A191,'Таблиця 1'!$E:$E,"Рембаза",'Таблиця 1'!$L:$L,"Уражено"))</f>
        <v/>
      </c>
      <c r="G191">
        <f>IF($A191="","",COUNTIFS('Таблиця 1'!$B:$B,$A191,'Таблиця 1'!$E:$E,"Склад БК",'Таблиця 1'!$L:$L,"Уражено"))</f>
        <v/>
      </c>
      <c r="H191">
        <f>IF($A191="","",COUNTIFS('Таблиця 1'!$B:$B,$A191,'Таблиця 1'!$E:$E,"Склад ВТМ",'Таблиця 1'!$L:$L,"Уражено"))</f>
        <v/>
      </c>
      <c r="I191">
        <f>IF($A191="","",COUNTIFS('Таблиця 1'!$B:$B,$A191,'Таблиця 1'!$E:$E,"ПУ БпЛА",'Таблиця 1'!$L:$L,"Уражено"))</f>
        <v/>
      </c>
      <c r="J191">
        <f>IF($A191="","",COUNTIFS('Таблиця 1'!$B:$B,$A191,'Таблиця 1'!$E:$E,"СП",'Таблиця 1'!$L:$L,"Уражено"))</f>
        <v/>
      </c>
      <c r="K191">
        <f>IF($A191="","",COUNTIFS('Таблиця 1'!$B:$B,$A191,'Таблиця 1'!$E:$E,"КСП роти",'Таблиця 1'!$L:$L,"Уражено"))</f>
        <v/>
      </c>
      <c r="L191">
        <f>IF($A191="","",COUNTIFS('Таблиця 1'!$B:$B,$A191,'Таблиця 1'!$E:$E,"ПУ бат",'Таблиця 1'!$L:$L,"Уражено"))</f>
        <v/>
      </c>
      <c r="M191">
        <f>IF($A191="","",COUNTIFS('Таблиця 1'!$B:$B,$A191,'Таблиця 1'!$E:$E,"ПУ бриг",'Таблиця 1'!$L:$L,"Уражено"))</f>
        <v/>
      </c>
      <c r="N191">
        <f>IF($A191="","",COUNTIFS('Таблиця 1'!$B:$B,$A191,'Таблиця 1'!$E:$E,"ПУ див",'Таблиця 1'!$L:$L,"Уражено"))</f>
        <v/>
      </c>
      <c r="O191">
        <f>IF($A191="","",COUNTIFS('Таблиця 1'!$B:$B,$A191,'Таблиця 1'!$E:$E,"обл. РЕБ",'Таблиця 1'!$L:$L,"Уражено"))</f>
        <v/>
      </c>
      <c r="P191">
        <f>IF($A191="","",COUNTIFS('Таблиця 1'!$B:$B,$A191,'Таблиця 1'!$E:$E,"пос РЕБ",'Таблиця 1'!$L:$L,"Уражено"))</f>
        <v/>
      </c>
      <c r="Q191">
        <f>IF($A191="","",COUNTIFS('Таблиця 1'!$B:$B,$A191,'Таблиця 1'!$E:$E,"група РЕР",'Таблиця 1'!$L:$L,"Уражено"))</f>
        <v/>
      </c>
      <c r="R191">
        <f>IF($A191="","",COUNTIFS('Таблиця 1'!$B:$B,$A191,'Таблиця 1'!$E:$E,"РЛС КББ",'Таблиця 1'!$L:$L,"Уражено"))</f>
        <v/>
      </c>
      <c r="S191">
        <f>IF($A191="","",COUNTIFS('Таблиця 1'!$B:$B,$A191,'Таблиця 1'!$E:$E,"Ретранслятор",'Таблиця 1'!$L:$L,"Уражено"))</f>
        <v/>
      </c>
      <c r="T191">
        <f>IF($A191="","",COUNTIFS('Таблиця 1'!$B:$B,$A191,'Таблиця 1'!$E:$E,"Вз.зв'язку",'Таблиця 1'!$L:$L,"Уражено"))</f>
        <v/>
      </c>
      <c r="U191">
        <f>IF($A191="","",COUNTIFS('Таблиця 1'!$B:$B,$A191,'Таблиця 1'!$E:$E,"ПММ",'Таблиця 1'!$L:$L,"Уражено"))</f>
        <v/>
      </c>
      <c r="V191">
        <f>IF($A191="","",COUNTIFS('Таблиця 1'!$B:$B,$A191,'Таблиця 1'!$E:$E,"ІФС",'Таблиця 1'!$L:$L,"Уражено"))</f>
        <v/>
      </c>
      <c r="W191">
        <f>IF($A191="","",COUNTIFS('Таблиця 1'!$B:$B,$A191,'Таблиця 1'!$E:$E,"Інфраструктура",'Таблиця 1'!$L:$L,"Уражено"))</f>
        <v/>
      </c>
      <c r="X191">
        <f>IF($A191="","",SUMIFS('Таблиця 1'!$K:$K,'Таблиця 1'!$B:$B,$A191))</f>
        <v/>
      </c>
    </row>
    <row r="192">
      <c r="A192" s="81">
        <f>IF(A191="","",IF(A191+1&gt;MAX('Таблиця 1'!$B:$B),"",A191+1))</f>
        <v/>
      </c>
      <c r="B192">
        <f>IF($A192="","",COUNTIFS('Таблиця 1'!$B:$B,$A192,'Таблиця 1'!$E:$E,"ЖС ВЗ",'Таблиця 1'!$L:$L,"Уражено"))</f>
        <v/>
      </c>
      <c r="C192">
        <f>IF($A192="","",COUNTIFS('Таблиця 1'!$B:$B,$A192,'Таблиця 1'!$E:$E,"Арт. Системи",'Таблиця 1'!$L:$L,"Уражено"))</f>
        <v/>
      </c>
      <c r="D192">
        <f>IF($A192="","",COUNTIFS('Таблиця 1'!$B:$B,$A192,'Таблиця 1'!$E:$E,"ОВТ",'Таблиця 1'!$L:$L,"Уражено"))</f>
        <v/>
      </c>
      <c r="E192">
        <f>IF($A192="","",COUNTIFS('Таблиця 1'!$B:$B,$A192,'Таблиця 1'!$E:$E,"ППО",'Таблиця 1'!$L:$L,"Уражено"))</f>
        <v/>
      </c>
      <c r="F192">
        <f>IF($A192="","",COUNTIFS('Таблиця 1'!$B:$B,$A192,'Таблиця 1'!$E:$E,"Рембаза",'Таблиця 1'!$L:$L,"Уражено"))</f>
        <v/>
      </c>
      <c r="G192">
        <f>IF($A192="","",COUNTIFS('Таблиця 1'!$B:$B,$A192,'Таблиця 1'!$E:$E,"Склад БК",'Таблиця 1'!$L:$L,"Уражено"))</f>
        <v/>
      </c>
      <c r="H192">
        <f>IF($A192="","",COUNTIFS('Таблиця 1'!$B:$B,$A192,'Таблиця 1'!$E:$E,"Склад ВТМ",'Таблиця 1'!$L:$L,"Уражено"))</f>
        <v/>
      </c>
      <c r="I192">
        <f>IF($A192="","",COUNTIFS('Таблиця 1'!$B:$B,$A192,'Таблиця 1'!$E:$E,"ПУ БпЛА",'Таблиця 1'!$L:$L,"Уражено"))</f>
        <v/>
      </c>
      <c r="J192">
        <f>IF($A192="","",COUNTIFS('Таблиця 1'!$B:$B,$A192,'Таблиця 1'!$E:$E,"СП",'Таблиця 1'!$L:$L,"Уражено"))</f>
        <v/>
      </c>
      <c r="K192">
        <f>IF($A192="","",COUNTIFS('Таблиця 1'!$B:$B,$A192,'Таблиця 1'!$E:$E,"КСП роти",'Таблиця 1'!$L:$L,"Уражено"))</f>
        <v/>
      </c>
      <c r="L192">
        <f>IF($A192="","",COUNTIFS('Таблиця 1'!$B:$B,$A192,'Таблиця 1'!$E:$E,"ПУ бат",'Таблиця 1'!$L:$L,"Уражено"))</f>
        <v/>
      </c>
      <c r="M192">
        <f>IF($A192="","",COUNTIFS('Таблиця 1'!$B:$B,$A192,'Таблиця 1'!$E:$E,"ПУ бриг",'Таблиця 1'!$L:$L,"Уражено"))</f>
        <v/>
      </c>
      <c r="N192">
        <f>IF($A192="","",COUNTIFS('Таблиця 1'!$B:$B,$A192,'Таблиця 1'!$E:$E,"ПУ див",'Таблиця 1'!$L:$L,"Уражено"))</f>
        <v/>
      </c>
      <c r="O192">
        <f>IF($A192="","",COUNTIFS('Таблиця 1'!$B:$B,$A192,'Таблиця 1'!$E:$E,"обл. РЕБ",'Таблиця 1'!$L:$L,"Уражено"))</f>
        <v/>
      </c>
      <c r="P192">
        <f>IF($A192="","",COUNTIFS('Таблиця 1'!$B:$B,$A192,'Таблиця 1'!$E:$E,"пос РЕБ",'Таблиця 1'!$L:$L,"Уражено"))</f>
        <v/>
      </c>
      <c r="Q192">
        <f>IF($A192="","",COUNTIFS('Таблиця 1'!$B:$B,$A192,'Таблиця 1'!$E:$E,"група РЕР",'Таблиця 1'!$L:$L,"Уражено"))</f>
        <v/>
      </c>
      <c r="R192">
        <f>IF($A192="","",COUNTIFS('Таблиця 1'!$B:$B,$A192,'Таблиця 1'!$E:$E,"РЛС КББ",'Таблиця 1'!$L:$L,"Уражено"))</f>
        <v/>
      </c>
      <c r="S192">
        <f>IF($A192="","",COUNTIFS('Таблиця 1'!$B:$B,$A192,'Таблиця 1'!$E:$E,"Ретранслятор",'Таблиця 1'!$L:$L,"Уражено"))</f>
        <v/>
      </c>
      <c r="T192">
        <f>IF($A192="","",COUNTIFS('Таблиця 1'!$B:$B,$A192,'Таблиця 1'!$E:$E,"Вз.зв'язку",'Таблиця 1'!$L:$L,"Уражено"))</f>
        <v/>
      </c>
      <c r="U192">
        <f>IF($A192="","",COUNTIFS('Таблиця 1'!$B:$B,$A192,'Таблиця 1'!$E:$E,"ПММ",'Таблиця 1'!$L:$L,"Уражено"))</f>
        <v/>
      </c>
      <c r="V192">
        <f>IF($A192="","",COUNTIFS('Таблиця 1'!$B:$B,$A192,'Таблиця 1'!$E:$E,"ІФС",'Таблиця 1'!$L:$L,"Уражено"))</f>
        <v/>
      </c>
      <c r="W192">
        <f>IF($A192="","",COUNTIFS('Таблиця 1'!$B:$B,$A192,'Таблиця 1'!$E:$E,"Інфраструктура",'Таблиця 1'!$L:$L,"Уражено"))</f>
        <v/>
      </c>
      <c r="X192">
        <f>IF($A192="","",SUMIFS('Таблиця 1'!$K:$K,'Таблиця 1'!$B:$B,$A192))</f>
        <v/>
      </c>
    </row>
    <row r="193">
      <c r="A193" s="81">
        <f>IF(A192="","",IF(A192+1&gt;MAX('Таблиця 1'!$B:$B),"",A192+1))</f>
        <v/>
      </c>
      <c r="B193">
        <f>IF($A193="","",COUNTIFS('Таблиця 1'!$B:$B,$A193,'Таблиця 1'!$E:$E,"ЖС ВЗ",'Таблиця 1'!$L:$L,"Уражено"))</f>
        <v/>
      </c>
      <c r="C193">
        <f>IF($A193="","",COUNTIFS('Таблиця 1'!$B:$B,$A193,'Таблиця 1'!$E:$E,"Арт. Системи",'Таблиця 1'!$L:$L,"Уражено"))</f>
        <v/>
      </c>
      <c r="D193">
        <f>IF($A193="","",COUNTIFS('Таблиця 1'!$B:$B,$A193,'Таблиця 1'!$E:$E,"ОВТ",'Таблиця 1'!$L:$L,"Уражено"))</f>
        <v/>
      </c>
      <c r="E193">
        <f>IF($A193="","",COUNTIFS('Таблиця 1'!$B:$B,$A193,'Таблиця 1'!$E:$E,"ППО",'Таблиця 1'!$L:$L,"Уражено"))</f>
        <v/>
      </c>
      <c r="F193">
        <f>IF($A193="","",COUNTIFS('Таблиця 1'!$B:$B,$A193,'Таблиця 1'!$E:$E,"Рембаза",'Таблиця 1'!$L:$L,"Уражено"))</f>
        <v/>
      </c>
      <c r="G193">
        <f>IF($A193="","",COUNTIFS('Таблиця 1'!$B:$B,$A193,'Таблиця 1'!$E:$E,"Склад БК",'Таблиця 1'!$L:$L,"Уражено"))</f>
        <v/>
      </c>
      <c r="H193">
        <f>IF($A193="","",COUNTIFS('Таблиця 1'!$B:$B,$A193,'Таблиця 1'!$E:$E,"Склад ВТМ",'Таблиця 1'!$L:$L,"Уражено"))</f>
        <v/>
      </c>
      <c r="I193">
        <f>IF($A193="","",COUNTIFS('Таблиця 1'!$B:$B,$A193,'Таблиця 1'!$E:$E,"ПУ БпЛА",'Таблиця 1'!$L:$L,"Уражено"))</f>
        <v/>
      </c>
      <c r="J193">
        <f>IF($A193="","",COUNTIFS('Таблиця 1'!$B:$B,$A193,'Таблиця 1'!$E:$E,"СП",'Таблиця 1'!$L:$L,"Уражено"))</f>
        <v/>
      </c>
      <c r="K193">
        <f>IF($A193="","",COUNTIFS('Таблиця 1'!$B:$B,$A193,'Таблиця 1'!$E:$E,"КСП роти",'Таблиця 1'!$L:$L,"Уражено"))</f>
        <v/>
      </c>
      <c r="L193">
        <f>IF($A193="","",COUNTIFS('Таблиця 1'!$B:$B,$A193,'Таблиця 1'!$E:$E,"ПУ бат",'Таблиця 1'!$L:$L,"Уражено"))</f>
        <v/>
      </c>
      <c r="M193">
        <f>IF($A193="","",COUNTIFS('Таблиця 1'!$B:$B,$A193,'Таблиця 1'!$E:$E,"ПУ бриг",'Таблиця 1'!$L:$L,"Уражено"))</f>
        <v/>
      </c>
      <c r="N193">
        <f>IF($A193="","",COUNTIFS('Таблиця 1'!$B:$B,$A193,'Таблиця 1'!$E:$E,"ПУ див",'Таблиця 1'!$L:$L,"Уражено"))</f>
        <v/>
      </c>
      <c r="O193">
        <f>IF($A193="","",COUNTIFS('Таблиця 1'!$B:$B,$A193,'Таблиця 1'!$E:$E,"обл. РЕБ",'Таблиця 1'!$L:$L,"Уражено"))</f>
        <v/>
      </c>
      <c r="P193">
        <f>IF($A193="","",COUNTIFS('Таблиця 1'!$B:$B,$A193,'Таблиця 1'!$E:$E,"пос РЕБ",'Таблиця 1'!$L:$L,"Уражено"))</f>
        <v/>
      </c>
      <c r="Q193">
        <f>IF($A193="","",COUNTIFS('Таблиця 1'!$B:$B,$A193,'Таблиця 1'!$E:$E,"група РЕР",'Таблиця 1'!$L:$L,"Уражено"))</f>
        <v/>
      </c>
      <c r="R193">
        <f>IF($A193="","",COUNTIFS('Таблиця 1'!$B:$B,$A193,'Таблиця 1'!$E:$E,"РЛС КББ",'Таблиця 1'!$L:$L,"Уражено"))</f>
        <v/>
      </c>
      <c r="S193">
        <f>IF($A193="","",COUNTIFS('Таблиця 1'!$B:$B,$A193,'Таблиця 1'!$E:$E,"Ретранслятор",'Таблиця 1'!$L:$L,"Уражено"))</f>
        <v/>
      </c>
      <c r="T193">
        <f>IF($A193="","",COUNTIFS('Таблиця 1'!$B:$B,$A193,'Таблиця 1'!$E:$E,"Вз.зв'язку",'Таблиця 1'!$L:$L,"Уражено"))</f>
        <v/>
      </c>
      <c r="U193">
        <f>IF($A193="","",COUNTIFS('Таблиця 1'!$B:$B,$A193,'Таблиця 1'!$E:$E,"ПММ",'Таблиця 1'!$L:$L,"Уражено"))</f>
        <v/>
      </c>
      <c r="V193">
        <f>IF($A193="","",COUNTIFS('Таблиця 1'!$B:$B,$A193,'Таблиця 1'!$E:$E,"ІФС",'Таблиця 1'!$L:$L,"Уражено"))</f>
        <v/>
      </c>
      <c r="W193">
        <f>IF($A193="","",COUNTIFS('Таблиця 1'!$B:$B,$A193,'Таблиця 1'!$E:$E,"Інфраструктура",'Таблиця 1'!$L:$L,"Уражено"))</f>
        <v/>
      </c>
      <c r="X193">
        <f>IF($A193="","",SUMIFS('Таблиця 1'!$K:$K,'Таблиця 1'!$B:$B,$A193))</f>
        <v/>
      </c>
    </row>
    <row r="194">
      <c r="A194" s="81">
        <f>IF(A193="","",IF(A193+1&gt;MAX('Таблиця 1'!$B:$B),"",A193+1))</f>
        <v/>
      </c>
      <c r="B194">
        <f>IF($A194="","",COUNTIFS('Таблиця 1'!$B:$B,$A194,'Таблиця 1'!$E:$E,"ЖС ВЗ",'Таблиця 1'!$L:$L,"Уражено"))</f>
        <v/>
      </c>
      <c r="C194">
        <f>IF($A194="","",COUNTIFS('Таблиця 1'!$B:$B,$A194,'Таблиця 1'!$E:$E,"Арт. Системи",'Таблиця 1'!$L:$L,"Уражено"))</f>
        <v/>
      </c>
      <c r="D194">
        <f>IF($A194="","",COUNTIFS('Таблиця 1'!$B:$B,$A194,'Таблиця 1'!$E:$E,"ОВТ",'Таблиця 1'!$L:$L,"Уражено"))</f>
        <v/>
      </c>
      <c r="E194">
        <f>IF($A194="","",COUNTIFS('Таблиця 1'!$B:$B,$A194,'Таблиця 1'!$E:$E,"ППО",'Таблиця 1'!$L:$L,"Уражено"))</f>
        <v/>
      </c>
      <c r="F194">
        <f>IF($A194="","",COUNTIFS('Таблиця 1'!$B:$B,$A194,'Таблиця 1'!$E:$E,"Рембаза",'Таблиця 1'!$L:$L,"Уражено"))</f>
        <v/>
      </c>
      <c r="G194">
        <f>IF($A194="","",COUNTIFS('Таблиця 1'!$B:$B,$A194,'Таблиця 1'!$E:$E,"Склад БК",'Таблиця 1'!$L:$L,"Уражено"))</f>
        <v/>
      </c>
      <c r="H194">
        <f>IF($A194="","",COUNTIFS('Таблиця 1'!$B:$B,$A194,'Таблиця 1'!$E:$E,"Склад ВТМ",'Таблиця 1'!$L:$L,"Уражено"))</f>
        <v/>
      </c>
      <c r="I194">
        <f>IF($A194="","",COUNTIFS('Таблиця 1'!$B:$B,$A194,'Таблиця 1'!$E:$E,"ПУ БпЛА",'Таблиця 1'!$L:$L,"Уражено"))</f>
        <v/>
      </c>
      <c r="J194">
        <f>IF($A194="","",COUNTIFS('Таблиця 1'!$B:$B,$A194,'Таблиця 1'!$E:$E,"СП",'Таблиця 1'!$L:$L,"Уражено"))</f>
        <v/>
      </c>
      <c r="K194">
        <f>IF($A194="","",COUNTIFS('Таблиця 1'!$B:$B,$A194,'Таблиця 1'!$E:$E,"КСП роти",'Таблиця 1'!$L:$L,"Уражено"))</f>
        <v/>
      </c>
      <c r="L194">
        <f>IF($A194="","",COUNTIFS('Таблиця 1'!$B:$B,$A194,'Таблиця 1'!$E:$E,"ПУ бат",'Таблиця 1'!$L:$L,"Уражено"))</f>
        <v/>
      </c>
      <c r="M194">
        <f>IF($A194="","",COUNTIFS('Таблиця 1'!$B:$B,$A194,'Таблиця 1'!$E:$E,"ПУ бриг",'Таблиця 1'!$L:$L,"Уражено"))</f>
        <v/>
      </c>
      <c r="N194">
        <f>IF($A194="","",COUNTIFS('Таблиця 1'!$B:$B,$A194,'Таблиця 1'!$E:$E,"ПУ див",'Таблиця 1'!$L:$L,"Уражено"))</f>
        <v/>
      </c>
      <c r="O194">
        <f>IF($A194="","",COUNTIFS('Таблиця 1'!$B:$B,$A194,'Таблиця 1'!$E:$E,"обл. РЕБ",'Таблиця 1'!$L:$L,"Уражено"))</f>
        <v/>
      </c>
      <c r="P194">
        <f>IF($A194="","",COUNTIFS('Таблиця 1'!$B:$B,$A194,'Таблиця 1'!$E:$E,"пос РЕБ",'Таблиця 1'!$L:$L,"Уражено"))</f>
        <v/>
      </c>
      <c r="Q194">
        <f>IF($A194="","",COUNTIFS('Таблиця 1'!$B:$B,$A194,'Таблиця 1'!$E:$E,"група РЕР",'Таблиця 1'!$L:$L,"Уражено"))</f>
        <v/>
      </c>
      <c r="R194">
        <f>IF($A194="","",COUNTIFS('Таблиця 1'!$B:$B,$A194,'Таблиця 1'!$E:$E,"РЛС КББ",'Таблиця 1'!$L:$L,"Уражено"))</f>
        <v/>
      </c>
      <c r="S194">
        <f>IF($A194="","",COUNTIFS('Таблиця 1'!$B:$B,$A194,'Таблиця 1'!$E:$E,"Ретранслятор",'Таблиця 1'!$L:$L,"Уражено"))</f>
        <v/>
      </c>
      <c r="T194">
        <f>IF($A194="","",COUNTIFS('Таблиця 1'!$B:$B,$A194,'Таблиця 1'!$E:$E,"Вз.зв'язку",'Таблиця 1'!$L:$L,"Уражено"))</f>
        <v/>
      </c>
      <c r="U194">
        <f>IF($A194="","",COUNTIFS('Таблиця 1'!$B:$B,$A194,'Таблиця 1'!$E:$E,"ПММ",'Таблиця 1'!$L:$L,"Уражено"))</f>
        <v/>
      </c>
      <c r="V194">
        <f>IF($A194="","",COUNTIFS('Таблиця 1'!$B:$B,$A194,'Таблиця 1'!$E:$E,"ІФС",'Таблиця 1'!$L:$L,"Уражено"))</f>
        <v/>
      </c>
      <c r="W194">
        <f>IF($A194="","",COUNTIFS('Таблиця 1'!$B:$B,$A194,'Таблиця 1'!$E:$E,"Інфраструктура",'Таблиця 1'!$L:$L,"Уражено"))</f>
        <v/>
      </c>
      <c r="X194">
        <f>IF($A194="","",SUMIFS('Таблиця 1'!$K:$K,'Таблиця 1'!$B:$B,$A194))</f>
        <v/>
      </c>
    </row>
    <row r="195">
      <c r="A195" s="81">
        <f>IF(A194="","",IF(A194+1&gt;MAX('Таблиця 1'!$B:$B),"",A194+1))</f>
        <v/>
      </c>
      <c r="B195">
        <f>IF($A195="","",COUNTIFS('Таблиця 1'!$B:$B,$A195,'Таблиця 1'!$E:$E,"ЖС ВЗ",'Таблиця 1'!$L:$L,"Уражено"))</f>
        <v/>
      </c>
      <c r="C195">
        <f>IF($A195="","",COUNTIFS('Таблиця 1'!$B:$B,$A195,'Таблиця 1'!$E:$E,"Арт. Системи",'Таблиця 1'!$L:$L,"Уражено"))</f>
        <v/>
      </c>
      <c r="D195">
        <f>IF($A195="","",COUNTIFS('Таблиця 1'!$B:$B,$A195,'Таблиця 1'!$E:$E,"ОВТ",'Таблиця 1'!$L:$L,"Уражено"))</f>
        <v/>
      </c>
      <c r="E195">
        <f>IF($A195="","",COUNTIFS('Таблиця 1'!$B:$B,$A195,'Таблиця 1'!$E:$E,"ППО",'Таблиця 1'!$L:$L,"Уражено"))</f>
        <v/>
      </c>
      <c r="F195">
        <f>IF($A195="","",COUNTIFS('Таблиця 1'!$B:$B,$A195,'Таблиця 1'!$E:$E,"Рембаза",'Таблиця 1'!$L:$L,"Уражено"))</f>
        <v/>
      </c>
      <c r="G195">
        <f>IF($A195="","",COUNTIFS('Таблиця 1'!$B:$B,$A195,'Таблиця 1'!$E:$E,"Склад БК",'Таблиця 1'!$L:$L,"Уражено"))</f>
        <v/>
      </c>
      <c r="H195">
        <f>IF($A195="","",COUNTIFS('Таблиця 1'!$B:$B,$A195,'Таблиця 1'!$E:$E,"Склад ВТМ",'Таблиця 1'!$L:$L,"Уражено"))</f>
        <v/>
      </c>
      <c r="I195">
        <f>IF($A195="","",COUNTIFS('Таблиця 1'!$B:$B,$A195,'Таблиця 1'!$E:$E,"ПУ БпЛА",'Таблиця 1'!$L:$L,"Уражено"))</f>
        <v/>
      </c>
      <c r="J195">
        <f>IF($A195="","",COUNTIFS('Таблиця 1'!$B:$B,$A195,'Таблиця 1'!$E:$E,"СП",'Таблиця 1'!$L:$L,"Уражено"))</f>
        <v/>
      </c>
      <c r="K195">
        <f>IF($A195="","",COUNTIFS('Таблиця 1'!$B:$B,$A195,'Таблиця 1'!$E:$E,"КСП роти",'Таблиця 1'!$L:$L,"Уражено"))</f>
        <v/>
      </c>
      <c r="L195">
        <f>IF($A195="","",COUNTIFS('Таблиця 1'!$B:$B,$A195,'Таблиця 1'!$E:$E,"ПУ бат",'Таблиця 1'!$L:$L,"Уражено"))</f>
        <v/>
      </c>
      <c r="M195">
        <f>IF($A195="","",COUNTIFS('Таблиця 1'!$B:$B,$A195,'Таблиця 1'!$E:$E,"ПУ бриг",'Таблиця 1'!$L:$L,"Уражено"))</f>
        <v/>
      </c>
      <c r="N195">
        <f>IF($A195="","",COUNTIFS('Таблиця 1'!$B:$B,$A195,'Таблиця 1'!$E:$E,"ПУ див",'Таблиця 1'!$L:$L,"Уражено"))</f>
        <v/>
      </c>
      <c r="O195">
        <f>IF($A195="","",COUNTIFS('Таблиця 1'!$B:$B,$A195,'Таблиця 1'!$E:$E,"обл. РЕБ",'Таблиця 1'!$L:$L,"Уражено"))</f>
        <v/>
      </c>
      <c r="P195">
        <f>IF($A195="","",COUNTIFS('Таблиця 1'!$B:$B,$A195,'Таблиця 1'!$E:$E,"пос РЕБ",'Таблиця 1'!$L:$L,"Уражено"))</f>
        <v/>
      </c>
      <c r="Q195">
        <f>IF($A195="","",COUNTIFS('Таблиця 1'!$B:$B,$A195,'Таблиця 1'!$E:$E,"група РЕР",'Таблиця 1'!$L:$L,"Уражено"))</f>
        <v/>
      </c>
      <c r="R195">
        <f>IF($A195="","",COUNTIFS('Таблиця 1'!$B:$B,$A195,'Таблиця 1'!$E:$E,"РЛС КББ",'Таблиця 1'!$L:$L,"Уражено"))</f>
        <v/>
      </c>
      <c r="S195">
        <f>IF($A195="","",COUNTIFS('Таблиця 1'!$B:$B,$A195,'Таблиця 1'!$E:$E,"Ретранслятор",'Таблиця 1'!$L:$L,"Уражено"))</f>
        <v/>
      </c>
      <c r="T195">
        <f>IF($A195="","",COUNTIFS('Таблиця 1'!$B:$B,$A195,'Таблиця 1'!$E:$E,"Вз.зв'язку",'Таблиця 1'!$L:$L,"Уражено"))</f>
        <v/>
      </c>
      <c r="U195">
        <f>IF($A195="","",COUNTIFS('Таблиця 1'!$B:$B,$A195,'Таблиця 1'!$E:$E,"ПММ",'Таблиця 1'!$L:$L,"Уражено"))</f>
        <v/>
      </c>
      <c r="V195">
        <f>IF($A195="","",COUNTIFS('Таблиця 1'!$B:$B,$A195,'Таблиця 1'!$E:$E,"ІФС",'Таблиця 1'!$L:$L,"Уражено"))</f>
        <v/>
      </c>
      <c r="W195">
        <f>IF($A195="","",COUNTIFS('Таблиця 1'!$B:$B,$A195,'Таблиця 1'!$E:$E,"Інфраструктура",'Таблиця 1'!$L:$L,"Уражено"))</f>
        <v/>
      </c>
      <c r="X195">
        <f>IF($A195="","",SUMIFS('Таблиця 1'!$K:$K,'Таблиця 1'!$B:$B,$A195))</f>
        <v/>
      </c>
    </row>
    <row r="196">
      <c r="A196" s="81">
        <f>IF(A195="","",IF(A195+1&gt;MAX('Таблиця 1'!$B:$B),"",A195+1))</f>
        <v/>
      </c>
      <c r="B196">
        <f>IF($A196="","",COUNTIFS('Таблиця 1'!$B:$B,$A196,'Таблиця 1'!$E:$E,"ЖС ВЗ",'Таблиця 1'!$L:$L,"Уражено"))</f>
        <v/>
      </c>
      <c r="C196">
        <f>IF($A196="","",COUNTIFS('Таблиця 1'!$B:$B,$A196,'Таблиця 1'!$E:$E,"Арт. Системи",'Таблиця 1'!$L:$L,"Уражено"))</f>
        <v/>
      </c>
      <c r="D196">
        <f>IF($A196="","",COUNTIFS('Таблиця 1'!$B:$B,$A196,'Таблиця 1'!$E:$E,"ОВТ",'Таблиця 1'!$L:$L,"Уражено"))</f>
        <v/>
      </c>
      <c r="E196">
        <f>IF($A196="","",COUNTIFS('Таблиця 1'!$B:$B,$A196,'Таблиця 1'!$E:$E,"ППО",'Таблиця 1'!$L:$L,"Уражено"))</f>
        <v/>
      </c>
      <c r="F196">
        <f>IF($A196="","",COUNTIFS('Таблиця 1'!$B:$B,$A196,'Таблиця 1'!$E:$E,"Рембаза",'Таблиця 1'!$L:$L,"Уражено"))</f>
        <v/>
      </c>
      <c r="G196">
        <f>IF($A196="","",COUNTIFS('Таблиця 1'!$B:$B,$A196,'Таблиця 1'!$E:$E,"Склад БК",'Таблиця 1'!$L:$L,"Уражено"))</f>
        <v/>
      </c>
      <c r="H196">
        <f>IF($A196="","",COUNTIFS('Таблиця 1'!$B:$B,$A196,'Таблиця 1'!$E:$E,"Склад ВТМ",'Таблиця 1'!$L:$L,"Уражено"))</f>
        <v/>
      </c>
      <c r="I196">
        <f>IF($A196="","",COUNTIFS('Таблиця 1'!$B:$B,$A196,'Таблиця 1'!$E:$E,"ПУ БпЛА",'Таблиця 1'!$L:$L,"Уражено"))</f>
        <v/>
      </c>
      <c r="J196">
        <f>IF($A196="","",COUNTIFS('Таблиця 1'!$B:$B,$A196,'Таблиця 1'!$E:$E,"СП",'Таблиця 1'!$L:$L,"Уражено"))</f>
        <v/>
      </c>
      <c r="K196">
        <f>IF($A196="","",COUNTIFS('Таблиця 1'!$B:$B,$A196,'Таблиця 1'!$E:$E,"КСП роти",'Таблиця 1'!$L:$L,"Уражено"))</f>
        <v/>
      </c>
      <c r="L196">
        <f>IF($A196="","",COUNTIFS('Таблиця 1'!$B:$B,$A196,'Таблиця 1'!$E:$E,"ПУ бат",'Таблиця 1'!$L:$L,"Уражено"))</f>
        <v/>
      </c>
      <c r="M196">
        <f>IF($A196="","",COUNTIFS('Таблиця 1'!$B:$B,$A196,'Таблиця 1'!$E:$E,"ПУ бриг",'Таблиця 1'!$L:$L,"Уражено"))</f>
        <v/>
      </c>
      <c r="N196">
        <f>IF($A196="","",COUNTIFS('Таблиця 1'!$B:$B,$A196,'Таблиця 1'!$E:$E,"ПУ див",'Таблиця 1'!$L:$L,"Уражено"))</f>
        <v/>
      </c>
      <c r="O196">
        <f>IF($A196="","",COUNTIFS('Таблиця 1'!$B:$B,$A196,'Таблиця 1'!$E:$E,"обл. РЕБ",'Таблиця 1'!$L:$L,"Уражено"))</f>
        <v/>
      </c>
      <c r="P196">
        <f>IF($A196="","",COUNTIFS('Таблиця 1'!$B:$B,$A196,'Таблиця 1'!$E:$E,"пос РЕБ",'Таблиця 1'!$L:$L,"Уражено"))</f>
        <v/>
      </c>
      <c r="Q196">
        <f>IF($A196="","",COUNTIFS('Таблиця 1'!$B:$B,$A196,'Таблиця 1'!$E:$E,"група РЕР",'Таблиця 1'!$L:$L,"Уражено"))</f>
        <v/>
      </c>
      <c r="R196">
        <f>IF($A196="","",COUNTIFS('Таблиця 1'!$B:$B,$A196,'Таблиця 1'!$E:$E,"РЛС КББ",'Таблиця 1'!$L:$L,"Уражено"))</f>
        <v/>
      </c>
      <c r="S196">
        <f>IF($A196="","",COUNTIFS('Таблиця 1'!$B:$B,$A196,'Таблиця 1'!$E:$E,"Ретранслятор",'Таблиця 1'!$L:$L,"Уражено"))</f>
        <v/>
      </c>
      <c r="T196">
        <f>IF($A196="","",COUNTIFS('Таблиця 1'!$B:$B,$A196,'Таблиця 1'!$E:$E,"Вз.зв'язку",'Таблиця 1'!$L:$L,"Уражено"))</f>
        <v/>
      </c>
      <c r="U196">
        <f>IF($A196="","",COUNTIFS('Таблиця 1'!$B:$B,$A196,'Таблиця 1'!$E:$E,"ПММ",'Таблиця 1'!$L:$L,"Уражено"))</f>
        <v/>
      </c>
      <c r="V196">
        <f>IF($A196="","",COUNTIFS('Таблиця 1'!$B:$B,$A196,'Таблиця 1'!$E:$E,"ІФС",'Таблиця 1'!$L:$L,"Уражено"))</f>
        <v/>
      </c>
      <c r="W196">
        <f>IF($A196="","",COUNTIFS('Таблиця 1'!$B:$B,$A196,'Таблиця 1'!$E:$E,"Інфраструктура",'Таблиця 1'!$L:$L,"Уражено"))</f>
        <v/>
      </c>
      <c r="X196">
        <f>IF($A196="","",SUMIFS('Таблиця 1'!$K:$K,'Таблиця 1'!$B:$B,$A196))</f>
        <v/>
      </c>
    </row>
    <row r="197">
      <c r="A197" s="81">
        <f>IF(A196="","",IF(A196+1&gt;MAX('Таблиця 1'!$B:$B),"",A196+1))</f>
        <v/>
      </c>
      <c r="B197">
        <f>IF($A197="","",COUNTIFS('Таблиця 1'!$B:$B,$A197,'Таблиця 1'!$E:$E,"ЖС ВЗ",'Таблиця 1'!$L:$L,"Уражено"))</f>
        <v/>
      </c>
      <c r="C197">
        <f>IF($A197="","",COUNTIFS('Таблиця 1'!$B:$B,$A197,'Таблиця 1'!$E:$E,"Арт. Системи",'Таблиця 1'!$L:$L,"Уражено"))</f>
        <v/>
      </c>
      <c r="D197">
        <f>IF($A197="","",COUNTIFS('Таблиця 1'!$B:$B,$A197,'Таблиця 1'!$E:$E,"ОВТ",'Таблиця 1'!$L:$L,"Уражено"))</f>
        <v/>
      </c>
      <c r="E197">
        <f>IF($A197="","",COUNTIFS('Таблиця 1'!$B:$B,$A197,'Таблиця 1'!$E:$E,"ППО",'Таблиця 1'!$L:$L,"Уражено"))</f>
        <v/>
      </c>
      <c r="F197">
        <f>IF($A197="","",COUNTIFS('Таблиця 1'!$B:$B,$A197,'Таблиця 1'!$E:$E,"Рембаза",'Таблиця 1'!$L:$L,"Уражено"))</f>
        <v/>
      </c>
      <c r="G197">
        <f>IF($A197="","",COUNTIFS('Таблиця 1'!$B:$B,$A197,'Таблиця 1'!$E:$E,"Склад БК",'Таблиця 1'!$L:$L,"Уражено"))</f>
        <v/>
      </c>
      <c r="H197">
        <f>IF($A197="","",COUNTIFS('Таблиця 1'!$B:$B,$A197,'Таблиця 1'!$E:$E,"Склад ВТМ",'Таблиця 1'!$L:$L,"Уражено"))</f>
        <v/>
      </c>
      <c r="I197">
        <f>IF($A197="","",COUNTIFS('Таблиця 1'!$B:$B,$A197,'Таблиця 1'!$E:$E,"ПУ БпЛА",'Таблиця 1'!$L:$L,"Уражено"))</f>
        <v/>
      </c>
      <c r="J197">
        <f>IF($A197="","",COUNTIFS('Таблиця 1'!$B:$B,$A197,'Таблиця 1'!$E:$E,"СП",'Таблиця 1'!$L:$L,"Уражено"))</f>
        <v/>
      </c>
      <c r="K197">
        <f>IF($A197="","",COUNTIFS('Таблиця 1'!$B:$B,$A197,'Таблиця 1'!$E:$E,"КСП роти",'Таблиця 1'!$L:$L,"Уражено"))</f>
        <v/>
      </c>
      <c r="L197">
        <f>IF($A197="","",COUNTIFS('Таблиця 1'!$B:$B,$A197,'Таблиця 1'!$E:$E,"ПУ бат",'Таблиця 1'!$L:$L,"Уражено"))</f>
        <v/>
      </c>
      <c r="M197">
        <f>IF($A197="","",COUNTIFS('Таблиця 1'!$B:$B,$A197,'Таблиця 1'!$E:$E,"ПУ бриг",'Таблиця 1'!$L:$L,"Уражено"))</f>
        <v/>
      </c>
      <c r="N197">
        <f>IF($A197="","",COUNTIFS('Таблиця 1'!$B:$B,$A197,'Таблиця 1'!$E:$E,"ПУ див",'Таблиця 1'!$L:$L,"Уражено"))</f>
        <v/>
      </c>
      <c r="O197">
        <f>IF($A197="","",COUNTIFS('Таблиця 1'!$B:$B,$A197,'Таблиця 1'!$E:$E,"обл. РЕБ",'Таблиця 1'!$L:$L,"Уражено"))</f>
        <v/>
      </c>
      <c r="P197">
        <f>IF($A197="","",COUNTIFS('Таблиця 1'!$B:$B,$A197,'Таблиця 1'!$E:$E,"пос РЕБ",'Таблиця 1'!$L:$L,"Уражено"))</f>
        <v/>
      </c>
      <c r="Q197">
        <f>IF($A197="","",COUNTIFS('Таблиця 1'!$B:$B,$A197,'Таблиця 1'!$E:$E,"група РЕР",'Таблиця 1'!$L:$L,"Уражено"))</f>
        <v/>
      </c>
      <c r="R197">
        <f>IF($A197="","",COUNTIFS('Таблиця 1'!$B:$B,$A197,'Таблиця 1'!$E:$E,"РЛС КББ",'Таблиця 1'!$L:$L,"Уражено"))</f>
        <v/>
      </c>
      <c r="S197">
        <f>IF($A197="","",COUNTIFS('Таблиця 1'!$B:$B,$A197,'Таблиця 1'!$E:$E,"Ретранслятор",'Таблиця 1'!$L:$L,"Уражено"))</f>
        <v/>
      </c>
      <c r="T197">
        <f>IF($A197="","",COUNTIFS('Таблиця 1'!$B:$B,$A197,'Таблиця 1'!$E:$E,"Вз.зв'язку",'Таблиця 1'!$L:$L,"Уражено"))</f>
        <v/>
      </c>
      <c r="U197">
        <f>IF($A197="","",COUNTIFS('Таблиця 1'!$B:$B,$A197,'Таблиця 1'!$E:$E,"ПММ",'Таблиця 1'!$L:$L,"Уражено"))</f>
        <v/>
      </c>
      <c r="V197">
        <f>IF($A197="","",COUNTIFS('Таблиця 1'!$B:$B,$A197,'Таблиця 1'!$E:$E,"ІФС",'Таблиця 1'!$L:$L,"Уражено"))</f>
        <v/>
      </c>
      <c r="W197">
        <f>IF($A197="","",COUNTIFS('Таблиця 1'!$B:$B,$A197,'Таблиця 1'!$E:$E,"Інфраструктура",'Таблиця 1'!$L:$L,"Уражено"))</f>
        <v/>
      </c>
      <c r="X197">
        <f>IF($A197="","",SUMIFS('Таблиця 1'!$K:$K,'Таблиця 1'!$B:$B,$A197))</f>
        <v/>
      </c>
    </row>
    <row r="198">
      <c r="A198" s="81">
        <f>IF(A197="","",IF(A197+1&gt;MAX('Таблиця 1'!$B:$B),"",A197+1))</f>
        <v/>
      </c>
      <c r="B198">
        <f>IF($A198="","",COUNTIFS('Таблиця 1'!$B:$B,$A198,'Таблиця 1'!$E:$E,"ЖС ВЗ",'Таблиця 1'!$L:$L,"Уражено"))</f>
        <v/>
      </c>
      <c r="C198">
        <f>IF($A198="","",COUNTIFS('Таблиця 1'!$B:$B,$A198,'Таблиця 1'!$E:$E,"Арт. Системи",'Таблиця 1'!$L:$L,"Уражено"))</f>
        <v/>
      </c>
      <c r="D198">
        <f>IF($A198="","",COUNTIFS('Таблиця 1'!$B:$B,$A198,'Таблиця 1'!$E:$E,"ОВТ",'Таблиця 1'!$L:$L,"Уражено"))</f>
        <v/>
      </c>
      <c r="E198">
        <f>IF($A198="","",COUNTIFS('Таблиця 1'!$B:$B,$A198,'Таблиця 1'!$E:$E,"ППО",'Таблиця 1'!$L:$L,"Уражено"))</f>
        <v/>
      </c>
      <c r="F198">
        <f>IF($A198="","",COUNTIFS('Таблиця 1'!$B:$B,$A198,'Таблиця 1'!$E:$E,"Рембаза",'Таблиця 1'!$L:$L,"Уражено"))</f>
        <v/>
      </c>
      <c r="G198">
        <f>IF($A198="","",COUNTIFS('Таблиця 1'!$B:$B,$A198,'Таблиця 1'!$E:$E,"Склад БК",'Таблиця 1'!$L:$L,"Уражено"))</f>
        <v/>
      </c>
      <c r="H198">
        <f>IF($A198="","",COUNTIFS('Таблиця 1'!$B:$B,$A198,'Таблиця 1'!$E:$E,"Склад ВТМ",'Таблиця 1'!$L:$L,"Уражено"))</f>
        <v/>
      </c>
      <c r="I198">
        <f>IF($A198="","",COUNTIFS('Таблиця 1'!$B:$B,$A198,'Таблиця 1'!$E:$E,"ПУ БпЛА",'Таблиця 1'!$L:$L,"Уражено"))</f>
        <v/>
      </c>
      <c r="J198">
        <f>IF($A198="","",COUNTIFS('Таблиця 1'!$B:$B,$A198,'Таблиця 1'!$E:$E,"СП",'Таблиця 1'!$L:$L,"Уражено"))</f>
        <v/>
      </c>
      <c r="K198">
        <f>IF($A198="","",COUNTIFS('Таблиця 1'!$B:$B,$A198,'Таблиця 1'!$E:$E,"КСП роти",'Таблиця 1'!$L:$L,"Уражено"))</f>
        <v/>
      </c>
      <c r="L198">
        <f>IF($A198="","",COUNTIFS('Таблиця 1'!$B:$B,$A198,'Таблиця 1'!$E:$E,"ПУ бат",'Таблиця 1'!$L:$L,"Уражено"))</f>
        <v/>
      </c>
      <c r="M198">
        <f>IF($A198="","",COUNTIFS('Таблиця 1'!$B:$B,$A198,'Таблиця 1'!$E:$E,"ПУ бриг",'Таблиця 1'!$L:$L,"Уражено"))</f>
        <v/>
      </c>
      <c r="N198">
        <f>IF($A198="","",COUNTIFS('Таблиця 1'!$B:$B,$A198,'Таблиця 1'!$E:$E,"ПУ див",'Таблиця 1'!$L:$L,"Уражено"))</f>
        <v/>
      </c>
      <c r="O198">
        <f>IF($A198="","",COUNTIFS('Таблиця 1'!$B:$B,$A198,'Таблиця 1'!$E:$E,"обл. РЕБ",'Таблиця 1'!$L:$L,"Уражено"))</f>
        <v/>
      </c>
      <c r="P198">
        <f>IF($A198="","",COUNTIFS('Таблиця 1'!$B:$B,$A198,'Таблиця 1'!$E:$E,"пос РЕБ",'Таблиця 1'!$L:$L,"Уражено"))</f>
        <v/>
      </c>
      <c r="Q198">
        <f>IF($A198="","",COUNTIFS('Таблиця 1'!$B:$B,$A198,'Таблиця 1'!$E:$E,"група РЕР",'Таблиця 1'!$L:$L,"Уражено"))</f>
        <v/>
      </c>
      <c r="R198">
        <f>IF($A198="","",COUNTIFS('Таблиця 1'!$B:$B,$A198,'Таблиця 1'!$E:$E,"РЛС КББ",'Таблиця 1'!$L:$L,"Уражено"))</f>
        <v/>
      </c>
      <c r="S198">
        <f>IF($A198="","",COUNTIFS('Таблиця 1'!$B:$B,$A198,'Таблиця 1'!$E:$E,"Ретранслятор",'Таблиця 1'!$L:$L,"Уражено"))</f>
        <v/>
      </c>
      <c r="T198">
        <f>IF($A198="","",COUNTIFS('Таблиця 1'!$B:$B,$A198,'Таблиця 1'!$E:$E,"Вз.зв'язку",'Таблиця 1'!$L:$L,"Уражено"))</f>
        <v/>
      </c>
      <c r="U198">
        <f>IF($A198="","",COUNTIFS('Таблиця 1'!$B:$B,$A198,'Таблиця 1'!$E:$E,"ПММ",'Таблиця 1'!$L:$L,"Уражено"))</f>
        <v/>
      </c>
      <c r="V198">
        <f>IF($A198="","",COUNTIFS('Таблиця 1'!$B:$B,$A198,'Таблиця 1'!$E:$E,"ІФС",'Таблиця 1'!$L:$L,"Уражено"))</f>
        <v/>
      </c>
      <c r="W198">
        <f>IF($A198="","",COUNTIFS('Таблиця 1'!$B:$B,$A198,'Таблиця 1'!$E:$E,"Інфраструктура",'Таблиця 1'!$L:$L,"Уражено"))</f>
        <v/>
      </c>
      <c r="X198">
        <f>IF($A198="","",SUMIFS('Таблиця 1'!$K:$K,'Таблиця 1'!$B:$B,$A198))</f>
        <v/>
      </c>
    </row>
    <row r="199">
      <c r="A199" s="81">
        <f>IF(A198="","",IF(A198+1&gt;MAX('Таблиця 1'!$B:$B),"",A198+1))</f>
        <v/>
      </c>
      <c r="B199">
        <f>IF($A199="","",COUNTIFS('Таблиця 1'!$B:$B,$A199,'Таблиця 1'!$E:$E,"ЖС ВЗ",'Таблиця 1'!$L:$L,"Уражено"))</f>
        <v/>
      </c>
      <c r="C199">
        <f>IF($A199="","",COUNTIFS('Таблиця 1'!$B:$B,$A199,'Таблиця 1'!$E:$E,"Арт. Системи",'Таблиця 1'!$L:$L,"Уражено"))</f>
        <v/>
      </c>
      <c r="D199">
        <f>IF($A199="","",COUNTIFS('Таблиця 1'!$B:$B,$A199,'Таблиця 1'!$E:$E,"ОВТ",'Таблиця 1'!$L:$L,"Уражено"))</f>
        <v/>
      </c>
      <c r="E199">
        <f>IF($A199="","",COUNTIFS('Таблиця 1'!$B:$B,$A199,'Таблиця 1'!$E:$E,"ППО",'Таблиця 1'!$L:$L,"Уражено"))</f>
        <v/>
      </c>
      <c r="F199">
        <f>IF($A199="","",COUNTIFS('Таблиця 1'!$B:$B,$A199,'Таблиця 1'!$E:$E,"Рембаза",'Таблиця 1'!$L:$L,"Уражено"))</f>
        <v/>
      </c>
      <c r="G199">
        <f>IF($A199="","",COUNTIFS('Таблиця 1'!$B:$B,$A199,'Таблиця 1'!$E:$E,"Склад БК",'Таблиця 1'!$L:$L,"Уражено"))</f>
        <v/>
      </c>
      <c r="H199">
        <f>IF($A199="","",COUNTIFS('Таблиця 1'!$B:$B,$A199,'Таблиця 1'!$E:$E,"Склад ВТМ",'Таблиця 1'!$L:$L,"Уражено"))</f>
        <v/>
      </c>
      <c r="I199">
        <f>IF($A199="","",COUNTIFS('Таблиця 1'!$B:$B,$A199,'Таблиця 1'!$E:$E,"ПУ БпЛА",'Таблиця 1'!$L:$L,"Уражено"))</f>
        <v/>
      </c>
      <c r="J199">
        <f>IF($A199="","",COUNTIFS('Таблиця 1'!$B:$B,$A199,'Таблиця 1'!$E:$E,"СП",'Таблиця 1'!$L:$L,"Уражено"))</f>
        <v/>
      </c>
      <c r="K199">
        <f>IF($A199="","",COUNTIFS('Таблиця 1'!$B:$B,$A199,'Таблиця 1'!$E:$E,"КСП роти",'Таблиця 1'!$L:$L,"Уражено"))</f>
        <v/>
      </c>
      <c r="L199">
        <f>IF($A199="","",COUNTIFS('Таблиця 1'!$B:$B,$A199,'Таблиця 1'!$E:$E,"ПУ бат",'Таблиця 1'!$L:$L,"Уражено"))</f>
        <v/>
      </c>
      <c r="M199">
        <f>IF($A199="","",COUNTIFS('Таблиця 1'!$B:$B,$A199,'Таблиця 1'!$E:$E,"ПУ бриг",'Таблиця 1'!$L:$L,"Уражено"))</f>
        <v/>
      </c>
      <c r="N199">
        <f>IF($A199="","",COUNTIFS('Таблиця 1'!$B:$B,$A199,'Таблиця 1'!$E:$E,"ПУ див",'Таблиця 1'!$L:$L,"Уражено"))</f>
        <v/>
      </c>
      <c r="O199">
        <f>IF($A199="","",COUNTIFS('Таблиця 1'!$B:$B,$A199,'Таблиця 1'!$E:$E,"обл. РЕБ",'Таблиця 1'!$L:$L,"Уражено"))</f>
        <v/>
      </c>
      <c r="P199">
        <f>IF($A199="","",COUNTIFS('Таблиця 1'!$B:$B,$A199,'Таблиця 1'!$E:$E,"пос РЕБ",'Таблиця 1'!$L:$L,"Уражено"))</f>
        <v/>
      </c>
      <c r="Q199">
        <f>IF($A199="","",COUNTIFS('Таблиця 1'!$B:$B,$A199,'Таблиця 1'!$E:$E,"група РЕР",'Таблиця 1'!$L:$L,"Уражено"))</f>
        <v/>
      </c>
      <c r="R199">
        <f>IF($A199="","",COUNTIFS('Таблиця 1'!$B:$B,$A199,'Таблиця 1'!$E:$E,"РЛС КББ",'Таблиця 1'!$L:$L,"Уражено"))</f>
        <v/>
      </c>
      <c r="S199">
        <f>IF($A199="","",COUNTIFS('Таблиця 1'!$B:$B,$A199,'Таблиця 1'!$E:$E,"Ретранслятор",'Таблиця 1'!$L:$L,"Уражено"))</f>
        <v/>
      </c>
      <c r="T199">
        <f>IF($A199="","",COUNTIFS('Таблиця 1'!$B:$B,$A199,'Таблиця 1'!$E:$E,"Вз.зв'язку",'Таблиця 1'!$L:$L,"Уражено"))</f>
        <v/>
      </c>
      <c r="U199">
        <f>IF($A199="","",COUNTIFS('Таблиця 1'!$B:$B,$A199,'Таблиця 1'!$E:$E,"ПММ",'Таблиця 1'!$L:$L,"Уражено"))</f>
        <v/>
      </c>
      <c r="V199">
        <f>IF($A199="","",COUNTIFS('Таблиця 1'!$B:$B,$A199,'Таблиця 1'!$E:$E,"ІФС",'Таблиця 1'!$L:$L,"Уражено"))</f>
        <v/>
      </c>
      <c r="W199">
        <f>IF($A199="","",COUNTIFS('Таблиця 1'!$B:$B,$A199,'Таблиця 1'!$E:$E,"Інфраструктура",'Таблиця 1'!$L:$L,"Уражено"))</f>
        <v/>
      </c>
      <c r="X199">
        <f>IF($A199="","",SUMIFS('Таблиця 1'!$K:$K,'Таблиця 1'!$B:$B,$A199))</f>
        <v/>
      </c>
    </row>
    <row r="200">
      <c r="A200" s="81">
        <f>IF(A199="","",IF(A199+1&gt;MAX('Таблиця 1'!$B:$B),"",A199+1))</f>
        <v/>
      </c>
      <c r="B200">
        <f>IF($A200="","",COUNTIFS('Таблиця 1'!$B:$B,$A200,'Таблиця 1'!$E:$E,"ЖС ВЗ",'Таблиця 1'!$L:$L,"Уражено"))</f>
        <v/>
      </c>
      <c r="C200">
        <f>IF($A200="","",COUNTIFS('Таблиця 1'!$B:$B,$A200,'Таблиця 1'!$E:$E,"Арт. Системи",'Таблиця 1'!$L:$L,"Уражено"))</f>
        <v/>
      </c>
      <c r="D200">
        <f>IF($A200="","",COUNTIFS('Таблиця 1'!$B:$B,$A200,'Таблиця 1'!$E:$E,"ОВТ",'Таблиця 1'!$L:$L,"Уражено"))</f>
        <v/>
      </c>
      <c r="E200">
        <f>IF($A200="","",COUNTIFS('Таблиця 1'!$B:$B,$A200,'Таблиця 1'!$E:$E,"ППО",'Таблиця 1'!$L:$L,"Уражено"))</f>
        <v/>
      </c>
      <c r="F200">
        <f>IF($A200="","",COUNTIFS('Таблиця 1'!$B:$B,$A200,'Таблиця 1'!$E:$E,"Рембаза",'Таблиця 1'!$L:$L,"Уражено"))</f>
        <v/>
      </c>
      <c r="G200">
        <f>IF($A200="","",COUNTIFS('Таблиця 1'!$B:$B,$A200,'Таблиця 1'!$E:$E,"Склад БК",'Таблиця 1'!$L:$L,"Уражено"))</f>
        <v/>
      </c>
      <c r="H200">
        <f>IF($A200="","",COUNTIFS('Таблиця 1'!$B:$B,$A200,'Таблиця 1'!$E:$E,"Склад ВТМ",'Таблиця 1'!$L:$L,"Уражено"))</f>
        <v/>
      </c>
      <c r="I200">
        <f>IF($A200="","",COUNTIFS('Таблиця 1'!$B:$B,$A200,'Таблиця 1'!$E:$E,"ПУ БпЛА",'Таблиця 1'!$L:$L,"Уражено"))</f>
        <v/>
      </c>
      <c r="J200">
        <f>IF($A200="","",COUNTIFS('Таблиця 1'!$B:$B,$A200,'Таблиця 1'!$E:$E,"СП",'Таблиця 1'!$L:$L,"Уражено"))</f>
        <v/>
      </c>
      <c r="K200">
        <f>IF($A200="","",COUNTIFS('Таблиця 1'!$B:$B,$A200,'Таблиця 1'!$E:$E,"КСП роти",'Таблиця 1'!$L:$L,"Уражено"))</f>
        <v/>
      </c>
      <c r="L200">
        <f>IF($A200="","",COUNTIFS('Таблиця 1'!$B:$B,$A200,'Таблиця 1'!$E:$E,"ПУ бат",'Таблиця 1'!$L:$L,"Уражено"))</f>
        <v/>
      </c>
      <c r="M200">
        <f>IF($A200="","",COUNTIFS('Таблиця 1'!$B:$B,$A200,'Таблиця 1'!$E:$E,"ПУ бриг",'Таблиця 1'!$L:$L,"Уражено"))</f>
        <v/>
      </c>
      <c r="N200">
        <f>IF($A200="","",COUNTIFS('Таблиця 1'!$B:$B,$A200,'Таблиця 1'!$E:$E,"ПУ див",'Таблиця 1'!$L:$L,"Уражено"))</f>
        <v/>
      </c>
      <c r="O200">
        <f>IF($A200="","",COUNTIFS('Таблиця 1'!$B:$B,$A200,'Таблиця 1'!$E:$E,"обл. РЕБ",'Таблиця 1'!$L:$L,"Уражено"))</f>
        <v/>
      </c>
      <c r="P200">
        <f>IF($A200="","",COUNTIFS('Таблиця 1'!$B:$B,$A200,'Таблиця 1'!$E:$E,"пос РЕБ",'Таблиця 1'!$L:$L,"Уражено"))</f>
        <v/>
      </c>
      <c r="Q200">
        <f>IF($A200="","",COUNTIFS('Таблиця 1'!$B:$B,$A200,'Таблиця 1'!$E:$E,"група РЕР",'Таблиця 1'!$L:$L,"Уражено"))</f>
        <v/>
      </c>
      <c r="R200">
        <f>IF($A200="","",COUNTIFS('Таблиця 1'!$B:$B,$A200,'Таблиця 1'!$E:$E,"РЛС КББ",'Таблиця 1'!$L:$L,"Уражено"))</f>
        <v/>
      </c>
      <c r="S200">
        <f>IF($A200="","",COUNTIFS('Таблиця 1'!$B:$B,$A200,'Таблиця 1'!$E:$E,"Ретранслятор",'Таблиця 1'!$L:$L,"Уражено"))</f>
        <v/>
      </c>
      <c r="T200">
        <f>IF($A200="","",COUNTIFS('Таблиця 1'!$B:$B,$A200,'Таблиця 1'!$E:$E,"Вз.зв'язку",'Таблиця 1'!$L:$L,"Уражено"))</f>
        <v/>
      </c>
      <c r="U200">
        <f>IF($A200="","",COUNTIFS('Таблиця 1'!$B:$B,$A200,'Таблиця 1'!$E:$E,"ПММ",'Таблиця 1'!$L:$L,"Уражено"))</f>
        <v/>
      </c>
      <c r="V200">
        <f>IF($A200="","",COUNTIFS('Таблиця 1'!$B:$B,$A200,'Таблиця 1'!$E:$E,"ІФС",'Таблиця 1'!$L:$L,"Уражено"))</f>
        <v/>
      </c>
      <c r="W200">
        <f>IF($A200="","",COUNTIFS('Таблиця 1'!$B:$B,$A200,'Таблиця 1'!$E:$E,"Інфраструктура",'Таблиця 1'!$L:$L,"Уражено"))</f>
        <v/>
      </c>
      <c r="X200">
        <f>IF($A200="","",SUMIFS('Таблиця 1'!$K:$K,'Таблиця 1'!$B:$B,$A200))</f>
        <v/>
      </c>
    </row>
    <row r="201">
      <c r="A201" s="81">
        <f>IF(A200="","",IF(A200+1&gt;MAX('Таблиця 1'!$B:$B),"",A200+1))</f>
        <v/>
      </c>
      <c r="B201">
        <f>IF($A201="","",COUNTIFS('Таблиця 1'!$B:$B,$A201,'Таблиця 1'!$E:$E,"ЖС ВЗ",'Таблиця 1'!$L:$L,"Уражено"))</f>
        <v/>
      </c>
      <c r="C201">
        <f>IF($A201="","",COUNTIFS('Таблиця 1'!$B:$B,$A201,'Таблиця 1'!$E:$E,"Арт. Системи",'Таблиця 1'!$L:$L,"Уражено"))</f>
        <v/>
      </c>
      <c r="D201">
        <f>IF($A201="","",COUNTIFS('Таблиця 1'!$B:$B,$A201,'Таблиця 1'!$E:$E,"ОВТ",'Таблиця 1'!$L:$L,"Уражено"))</f>
        <v/>
      </c>
      <c r="E201">
        <f>IF($A201="","",COUNTIFS('Таблиця 1'!$B:$B,$A201,'Таблиця 1'!$E:$E,"ППО",'Таблиця 1'!$L:$L,"Уражено"))</f>
        <v/>
      </c>
      <c r="F201">
        <f>IF($A201="","",COUNTIFS('Таблиця 1'!$B:$B,$A201,'Таблиця 1'!$E:$E,"Рембаза",'Таблиця 1'!$L:$L,"Уражено"))</f>
        <v/>
      </c>
      <c r="G201">
        <f>IF($A201="","",COUNTIFS('Таблиця 1'!$B:$B,$A201,'Таблиця 1'!$E:$E,"Склад БК",'Таблиця 1'!$L:$L,"Уражено"))</f>
        <v/>
      </c>
      <c r="H201">
        <f>IF($A201="","",COUNTIFS('Таблиця 1'!$B:$B,$A201,'Таблиця 1'!$E:$E,"Склад ВТМ",'Таблиця 1'!$L:$L,"Уражено"))</f>
        <v/>
      </c>
      <c r="I201">
        <f>IF($A201="","",COUNTIFS('Таблиця 1'!$B:$B,$A201,'Таблиця 1'!$E:$E,"ПУ БпЛА",'Таблиця 1'!$L:$L,"Уражено"))</f>
        <v/>
      </c>
      <c r="J201">
        <f>IF($A201="","",COUNTIFS('Таблиця 1'!$B:$B,$A201,'Таблиця 1'!$E:$E,"СП",'Таблиця 1'!$L:$L,"Уражено"))</f>
        <v/>
      </c>
      <c r="K201">
        <f>IF($A201="","",COUNTIFS('Таблиця 1'!$B:$B,$A201,'Таблиця 1'!$E:$E,"КСП роти",'Таблиця 1'!$L:$L,"Уражено"))</f>
        <v/>
      </c>
      <c r="L201">
        <f>IF($A201="","",COUNTIFS('Таблиця 1'!$B:$B,$A201,'Таблиця 1'!$E:$E,"ПУ бат",'Таблиця 1'!$L:$L,"Уражено"))</f>
        <v/>
      </c>
      <c r="M201">
        <f>IF($A201="","",COUNTIFS('Таблиця 1'!$B:$B,$A201,'Таблиця 1'!$E:$E,"ПУ бриг",'Таблиця 1'!$L:$L,"Уражено"))</f>
        <v/>
      </c>
      <c r="N201">
        <f>IF($A201="","",COUNTIFS('Таблиця 1'!$B:$B,$A201,'Таблиця 1'!$E:$E,"ПУ див",'Таблиця 1'!$L:$L,"Уражено"))</f>
        <v/>
      </c>
      <c r="O201">
        <f>IF($A201="","",COUNTIFS('Таблиця 1'!$B:$B,$A201,'Таблиця 1'!$E:$E,"обл. РЕБ",'Таблиця 1'!$L:$L,"Уражено"))</f>
        <v/>
      </c>
      <c r="P201">
        <f>IF($A201="","",COUNTIFS('Таблиця 1'!$B:$B,$A201,'Таблиця 1'!$E:$E,"пос РЕБ",'Таблиця 1'!$L:$L,"Уражено"))</f>
        <v/>
      </c>
      <c r="Q201">
        <f>IF($A201="","",COUNTIFS('Таблиця 1'!$B:$B,$A201,'Таблиця 1'!$E:$E,"група РЕР",'Таблиця 1'!$L:$L,"Уражено"))</f>
        <v/>
      </c>
      <c r="R201">
        <f>IF($A201="","",COUNTIFS('Таблиця 1'!$B:$B,$A201,'Таблиця 1'!$E:$E,"РЛС КББ",'Таблиця 1'!$L:$L,"Уражено"))</f>
        <v/>
      </c>
      <c r="S201">
        <f>IF($A201="","",COUNTIFS('Таблиця 1'!$B:$B,$A201,'Таблиця 1'!$E:$E,"Ретранслятор",'Таблиця 1'!$L:$L,"Уражено"))</f>
        <v/>
      </c>
      <c r="T201">
        <f>IF($A201="","",COUNTIFS('Таблиця 1'!$B:$B,$A201,'Таблиця 1'!$E:$E,"Вз.зв'язку",'Таблиця 1'!$L:$L,"Уражено"))</f>
        <v/>
      </c>
      <c r="U201">
        <f>IF($A201="","",COUNTIFS('Таблиця 1'!$B:$B,$A201,'Таблиця 1'!$E:$E,"ПММ",'Таблиця 1'!$L:$L,"Уражено"))</f>
        <v/>
      </c>
      <c r="V201">
        <f>IF($A201="","",COUNTIFS('Таблиця 1'!$B:$B,$A201,'Таблиця 1'!$E:$E,"ІФС",'Таблиця 1'!$L:$L,"Уражено"))</f>
        <v/>
      </c>
      <c r="W201">
        <f>IF($A201="","",COUNTIFS('Таблиця 1'!$B:$B,$A201,'Таблиця 1'!$E:$E,"Інфраструктура",'Таблиця 1'!$L:$L,"Уражено"))</f>
        <v/>
      </c>
      <c r="X201">
        <f>IF($A201="","",SUMIFS('Таблиця 1'!$K:$K,'Таблиця 1'!$B:$B,$A201))</f>
        <v/>
      </c>
    </row>
    <row r="202">
      <c r="A202" s="81">
        <f>IF(A201="","",IF(A201+1&gt;MAX('Таблиця 1'!$B:$B),"",A201+1))</f>
        <v/>
      </c>
      <c r="B202">
        <f>IF($A202="","",COUNTIFS('Таблиця 1'!$B:$B,$A202,'Таблиця 1'!$E:$E,"ЖС ВЗ",'Таблиця 1'!$L:$L,"Уражено"))</f>
        <v/>
      </c>
      <c r="C202">
        <f>IF($A202="","",COUNTIFS('Таблиця 1'!$B:$B,$A202,'Таблиця 1'!$E:$E,"Арт. Системи",'Таблиця 1'!$L:$L,"Уражено"))</f>
        <v/>
      </c>
      <c r="D202">
        <f>IF($A202="","",COUNTIFS('Таблиця 1'!$B:$B,$A202,'Таблиця 1'!$E:$E,"ОВТ",'Таблиця 1'!$L:$L,"Уражено"))</f>
        <v/>
      </c>
      <c r="E202">
        <f>IF($A202="","",COUNTIFS('Таблиця 1'!$B:$B,$A202,'Таблиця 1'!$E:$E,"ППО",'Таблиця 1'!$L:$L,"Уражено"))</f>
        <v/>
      </c>
      <c r="F202">
        <f>IF($A202="","",COUNTIFS('Таблиця 1'!$B:$B,$A202,'Таблиця 1'!$E:$E,"Рембаза",'Таблиця 1'!$L:$L,"Уражено"))</f>
        <v/>
      </c>
      <c r="G202">
        <f>IF($A202="","",COUNTIFS('Таблиця 1'!$B:$B,$A202,'Таблиця 1'!$E:$E,"Склад БК",'Таблиця 1'!$L:$L,"Уражено"))</f>
        <v/>
      </c>
      <c r="H202">
        <f>IF($A202="","",COUNTIFS('Таблиця 1'!$B:$B,$A202,'Таблиця 1'!$E:$E,"Склад ВТМ",'Таблиця 1'!$L:$L,"Уражено"))</f>
        <v/>
      </c>
      <c r="I202">
        <f>IF($A202="","",COUNTIFS('Таблиця 1'!$B:$B,$A202,'Таблиця 1'!$E:$E,"ПУ БпЛА",'Таблиця 1'!$L:$L,"Уражено"))</f>
        <v/>
      </c>
      <c r="J202">
        <f>IF($A202="","",COUNTIFS('Таблиця 1'!$B:$B,$A202,'Таблиця 1'!$E:$E,"СП",'Таблиця 1'!$L:$L,"Уражено"))</f>
        <v/>
      </c>
      <c r="K202">
        <f>IF($A202="","",COUNTIFS('Таблиця 1'!$B:$B,$A202,'Таблиця 1'!$E:$E,"КСП роти",'Таблиця 1'!$L:$L,"Уражено"))</f>
        <v/>
      </c>
      <c r="L202">
        <f>IF($A202="","",COUNTIFS('Таблиця 1'!$B:$B,$A202,'Таблиця 1'!$E:$E,"ПУ бат",'Таблиця 1'!$L:$L,"Уражено"))</f>
        <v/>
      </c>
      <c r="M202">
        <f>IF($A202="","",COUNTIFS('Таблиця 1'!$B:$B,$A202,'Таблиця 1'!$E:$E,"ПУ бриг",'Таблиця 1'!$L:$L,"Уражено"))</f>
        <v/>
      </c>
      <c r="N202">
        <f>IF($A202="","",COUNTIFS('Таблиця 1'!$B:$B,$A202,'Таблиця 1'!$E:$E,"ПУ див",'Таблиця 1'!$L:$L,"Уражено"))</f>
        <v/>
      </c>
      <c r="O202">
        <f>IF($A202="","",COUNTIFS('Таблиця 1'!$B:$B,$A202,'Таблиця 1'!$E:$E,"обл. РЕБ",'Таблиця 1'!$L:$L,"Уражено"))</f>
        <v/>
      </c>
      <c r="P202">
        <f>IF($A202="","",COUNTIFS('Таблиця 1'!$B:$B,$A202,'Таблиця 1'!$E:$E,"пос РЕБ",'Таблиця 1'!$L:$L,"Уражено"))</f>
        <v/>
      </c>
      <c r="Q202">
        <f>IF($A202="","",COUNTIFS('Таблиця 1'!$B:$B,$A202,'Таблиця 1'!$E:$E,"група РЕР",'Таблиця 1'!$L:$L,"Уражено"))</f>
        <v/>
      </c>
      <c r="R202">
        <f>IF($A202="","",COUNTIFS('Таблиця 1'!$B:$B,$A202,'Таблиця 1'!$E:$E,"РЛС КББ",'Таблиця 1'!$L:$L,"Уражено"))</f>
        <v/>
      </c>
      <c r="S202">
        <f>IF($A202="","",COUNTIFS('Таблиця 1'!$B:$B,$A202,'Таблиця 1'!$E:$E,"Ретранслятор",'Таблиця 1'!$L:$L,"Уражено"))</f>
        <v/>
      </c>
      <c r="T202">
        <f>IF($A202="","",COUNTIFS('Таблиця 1'!$B:$B,$A202,'Таблиця 1'!$E:$E,"Вз.зв'язку",'Таблиця 1'!$L:$L,"Уражено"))</f>
        <v/>
      </c>
      <c r="U202">
        <f>IF($A202="","",COUNTIFS('Таблиця 1'!$B:$B,$A202,'Таблиця 1'!$E:$E,"ПММ",'Таблиця 1'!$L:$L,"Уражено"))</f>
        <v/>
      </c>
      <c r="V202">
        <f>IF($A202="","",COUNTIFS('Таблиця 1'!$B:$B,$A202,'Таблиця 1'!$E:$E,"ІФС",'Таблиця 1'!$L:$L,"Уражено"))</f>
        <v/>
      </c>
      <c r="W202">
        <f>IF($A202="","",COUNTIFS('Таблиця 1'!$B:$B,$A202,'Таблиця 1'!$E:$E,"Інфраструктура",'Таблиця 1'!$L:$L,"Уражено"))</f>
        <v/>
      </c>
      <c r="X202">
        <f>IF($A202="","",SUMIFS('Таблиця 1'!$K:$K,'Таблиця 1'!$B:$B,$A202))</f>
        <v/>
      </c>
    </row>
    <row r="203">
      <c r="A203" s="81">
        <f>IF(A202="","",IF(A202+1&gt;MAX('Таблиця 1'!$B:$B),"",A202+1))</f>
        <v/>
      </c>
      <c r="B203">
        <f>IF($A203="","",COUNTIFS('Таблиця 1'!$B:$B,$A203,'Таблиця 1'!$E:$E,"ЖС ВЗ",'Таблиця 1'!$L:$L,"Уражено"))</f>
        <v/>
      </c>
      <c r="C203">
        <f>IF($A203="","",COUNTIFS('Таблиця 1'!$B:$B,$A203,'Таблиця 1'!$E:$E,"Арт. Системи",'Таблиця 1'!$L:$L,"Уражено"))</f>
        <v/>
      </c>
      <c r="D203">
        <f>IF($A203="","",COUNTIFS('Таблиця 1'!$B:$B,$A203,'Таблиця 1'!$E:$E,"ОВТ",'Таблиця 1'!$L:$L,"Уражено"))</f>
        <v/>
      </c>
      <c r="E203">
        <f>IF($A203="","",COUNTIFS('Таблиця 1'!$B:$B,$A203,'Таблиця 1'!$E:$E,"ППО",'Таблиця 1'!$L:$L,"Уражено"))</f>
        <v/>
      </c>
      <c r="F203">
        <f>IF($A203="","",COUNTIFS('Таблиця 1'!$B:$B,$A203,'Таблиця 1'!$E:$E,"Рембаза",'Таблиця 1'!$L:$L,"Уражено"))</f>
        <v/>
      </c>
      <c r="G203">
        <f>IF($A203="","",COUNTIFS('Таблиця 1'!$B:$B,$A203,'Таблиця 1'!$E:$E,"Склад БК",'Таблиця 1'!$L:$L,"Уражено"))</f>
        <v/>
      </c>
      <c r="H203">
        <f>IF($A203="","",COUNTIFS('Таблиця 1'!$B:$B,$A203,'Таблиця 1'!$E:$E,"Склад ВТМ",'Таблиця 1'!$L:$L,"Уражено"))</f>
        <v/>
      </c>
      <c r="I203">
        <f>IF($A203="","",COUNTIFS('Таблиця 1'!$B:$B,$A203,'Таблиця 1'!$E:$E,"ПУ БпЛА",'Таблиця 1'!$L:$L,"Уражено"))</f>
        <v/>
      </c>
      <c r="J203">
        <f>IF($A203="","",COUNTIFS('Таблиця 1'!$B:$B,$A203,'Таблиця 1'!$E:$E,"СП",'Таблиця 1'!$L:$L,"Уражено"))</f>
        <v/>
      </c>
      <c r="K203">
        <f>IF($A203="","",COUNTIFS('Таблиця 1'!$B:$B,$A203,'Таблиця 1'!$E:$E,"КСП роти",'Таблиця 1'!$L:$L,"Уражено"))</f>
        <v/>
      </c>
      <c r="L203">
        <f>IF($A203="","",COUNTIFS('Таблиця 1'!$B:$B,$A203,'Таблиця 1'!$E:$E,"ПУ бат",'Таблиця 1'!$L:$L,"Уражено"))</f>
        <v/>
      </c>
      <c r="M203">
        <f>IF($A203="","",COUNTIFS('Таблиця 1'!$B:$B,$A203,'Таблиця 1'!$E:$E,"ПУ бриг",'Таблиця 1'!$L:$L,"Уражено"))</f>
        <v/>
      </c>
      <c r="N203">
        <f>IF($A203="","",COUNTIFS('Таблиця 1'!$B:$B,$A203,'Таблиця 1'!$E:$E,"ПУ див",'Таблиця 1'!$L:$L,"Уражено"))</f>
        <v/>
      </c>
      <c r="O203">
        <f>IF($A203="","",COUNTIFS('Таблиця 1'!$B:$B,$A203,'Таблиця 1'!$E:$E,"обл. РЕБ",'Таблиця 1'!$L:$L,"Уражено"))</f>
        <v/>
      </c>
      <c r="P203">
        <f>IF($A203="","",COUNTIFS('Таблиця 1'!$B:$B,$A203,'Таблиця 1'!$E:$E,"пос РЕБ",'Таблиця 1'!$L:$L,"Уражено"))</f>
        <v/>
      </c>
      <c r="Q203">
        <f>IF($A203="","",COUNTIFS('Таблиця 1'!$B:$B,$A203,'Таблиця 1'!$E:$E,"група РЕР",'Таблиця 1'!$L:$L,"Уражено"))</f>
        <v/>
      </c>
      <c r="R203">
        <f>IF($A203="","",COUNTIFS('Таблиця 1'!$B:$B,$A203,'Таблиця 1'!$E:$E,"РЛС КББ",'Таблиця 1'!$L:$L,"Уражено"))</f>
        <v/>
      </c>
      <c r="S203">
        <f>IF($A203="","",COUNTIFS('Таблиця 1'!$B:$B,$A203,'Таблиця 1'!$E:$E,"Ретранслятор",'Таблиця 1'!$L:$L,"Уражено"))</f>
        <v/>
      </c>
      <c r="T203">
        <f>IF($A203="","",COUNTIFS('Таблиця 1'!$B:$B,$A203,'Таблиця 1'!$E:$E,"Вз.зв'язку",'Таблиця 1'!$L:$L,"Уражено"))</f>
        <v/>
      </c>
      <c r="U203">
        <f>IF($A203="","",COUNTIFS('Таблиця 1'!$B:$B,$A203,'Таблиця 1'!$E:$E,"ПММ",'Таблиця 1'!$L:$L,"Уражено"))</f>
        <v/>
      </c>
      <c r="V203">
        <f>IF($A203="","",COUNTIFS('Таблиця 1'!$B:$B,$A203,'Таблиця 1'!$E:$E,"ІФС",'Таблиця 1'!$L:$L,"Уражено"))</f>
        <v/>
      </c>
      <c r="W203">
        <f>IF($A203="","",COUNTIFS('Таблиця 1'!$B:$B,$A203,'Таблиця 1'!$E:$E,"Інфраструктура",'Таблиця 1'!$L:$L,"Уражено"))</f>
        <v/>
      </c>
      <c r="X203">
        <f>IF($A203="","",SUMIFS('Таблиця 1'!$K:$K,'Таблиця 1'!$B:$B,$A203))</f>
        <v/>
      </c>
    </row>
    <row r="204">
      <c r="A204" s="81">
        <f>IF(A203="","",IF(A203+1&gt;MAX('Таблиця 1'!$B:$B),"",A203+1))</f>
        <v/>
      </c>
      <c r="B204">
        <f>IF($A204="","",COUNTIFS('Таблиця 1'!$B:$B,$A204,'Таблиця 1'!$E:$E,"ЖС ВЗ",'Таблиця 1'!$L:$L,"Уражено"))</f>
        <v/>
      </c>
      <c r="C204">
        <f>IF($A204="","",COUNTIFS('Таблиця 1'!$B:$B,$A204,'Таблиця 1'!$E:$E,"Арт. Системи",'Таблиця 1'!$L:$L,"Уражено"))</f>
        <v/>
      </c>
      <c r="D204">
        <f>IF($A204="","",COUNTIFS('Таблиця 1'!$B:$B,$A204,'Таблиця 1'!$E:$E,"ОВТ",'Таблиця 1'!$L:$L,"Уражено"))</f>
        <v/>
      </c>
      <c r="E204">
        <f>IF($A204="","",COUNTIFS('Таблиця 1'!$B:$B,$A204,'Таблиця 1'!$E:$E,"ППО",'Таблиця 1'!$L:$L,"Уражено"))</f>
        <v/>
      </c>
      <c r="F204">
        <f>IF($A204="","",COUNTIFS('Таблиця 1'!$B:$B,$A204,'Таблиця 1'!$E:$E,"Рембаза",'Таблиця 1'!$L:$L,"Уражено"))</f>
        <v/>
      </c>
      <c r="G204">
        <f>IF($A204="","",COUNTIFS('Таблиця 1'!$B:$B,$A204,'Таблиця 1'!$E:$E,"Склад БК",'Таблиця 1'!$L:$L,"Уражено"))</f>
        <v/>
      </c>
      <c r="H204">
        <f>IF($A204="","",COUNTIFS('Таблиця 1'!$B:$B,$A204,'Таблиця 1'!$E:$E,"Склад ВТМ",'Таблиця 1'!$L:$L,"Уражено"))</f>
        <v/>
      </c>
      <c r="I204">
        <f>IF($A204="","",COUNTIFS('Таблиця 1'!$B:$B,$A204,'Таблиця 1'!$E:$E,"ПУ БпЛА",'Таблиця 1'!$L:$L,"Уражено"))</f>
        <v/>
      </c>
      <c r="J204">
        <f>IF($A204="","",COUNTIFS('Таблиця 1'!$B:$B,$A204,'Таблиця 1'!$E:$E,"СП",'Таблиця 1'!$L:$L,"Уражено"))</f>
        <v/>
      </c>
      <c r="K204">
        <f>IF($A204="","",COUNTIFS('Таблиця 1'!$B:$B,$A204,'Таблиця 1'!$E:$E,"КСП роти",'Таблиця 1'!$L:$L,"Уражено"))</f>
        <v/>
      </c>
      <c r="L204">
        <f>IF($A204="","",COUNTIFS('Таблиця 1'!$B:$B,$A204,'Таблиця 1'!$E:$E,"ПУ бат",'Таблиця 1'!$L:$L,"Уражено"))</f>
        <v/>
      </c>
      <c r="M204">
        <f>IF($A204="","",COUNTIFS('Таблиця 1'!$B:$B,$A204,'Таблиця 1'!$E:$E,"ПУ бриг",'Таблиця 1'!$L:$L,"Уражено"))</f>
        <v/>
      </c>
      <c r="N204">
        <f>IF($A204="","",COUNTIFS('Таблиця 1'!$B:$B,$A204,'Таблиця 1'!$E:$E,"ПУ див",'Таблиця 1'!$L:$L,"Уражено"))</f>
        <v/>
      </c>
      <c r="O204">
        <f>IF($A204="","",COUNTIFS('Таблиця 1'!$B:$B,$A204,'Таблиця 1'!$E:$E,"обл. РЕБ",'Таблиця 1'!$L:$L,"Уражено"))</f>
        <v/>
      </c>
      <c r="P204">
        <f>IF($A204="","",COUNTIFS('Таблиця 1'!$B:$B,$A204,'Таблиця 1'!$E:$E,"пос РЕБ",'Таблиця 1'!$L:$L,"Уражено"))</f>
        <v/>
      </c>
      <c r="Q204">
        <f>IF($A204="","",COUNTIFS('Таблиця 1'!$B:$B,$A204,'Таблиця 1'!$E:$E,"група РЕР",'Таблиця 1'!$L:$L,"Уражено"))</f>
        <v/>
      </c>
      <c r="R204">
        <f>IF($A204="","",COUNTIFS('Таблиця 1'!$B:$B,$A204,'Таблиця 1'!$E:$E,"РЛС КББ",'Таблиця 1'!$L:$L,"Уражено"))</f>
        <v/>
      </c>
      <c r="S204">
        <f>IF($A204="","",COUNTIFS('Таблиця 1'!$B:$B,$A204,'Таблиця 1'!$E:$E,"Ретранслятор",'Таблиця 1'!$L:$L,"Уражено"))</f>
        <v/>
      </c>
      <c r="T204">
        <f>IF($A204="","",COUNTIFS('Таблиця 1'!$B:$B,$A204,'Таблиця 1'!$E:$E,"Вз.зв'язку",'Таблиця 1'!$L:$L,"Уражено"))</f>
        <v/>
      </c>
      <c r="U204">
        <f>IF($A204="","",COUNTIFS('Таблиця 1'!$B:$B,$A204,'Таблиця 1'!$E:$E,"ПММ",'Таблиця 1'!$L:$L,"Уражено"))</f>
        <v/>
      </c>
      <c r="V204">
        <f>IF($A204="","",COUNTIFS('Таблиця 1'!$B:$B,$A204,'Таблиця 1'!$E:$E,"ІФС",'Таблиця 1'!$L:$L,"Уражено"))</f>
        <v/>
      </c>
      <c r="W204">
        <f>IF($A204="","",COUNTIFS('Таблиця 1'!$B:$B,$A204,'Таблиця 1'!$E:$E,"Інфраструктура",'Таблиця 1'!$L:$L,"Уражено"))</f>
        <v/>
      </c>
      <c r="X204">
        <f>IF($A204="","",SUMIFS('Таблиця 1'!$K:$K,'Таблиця 1'!$B:$B,$A204))</f>
        <v/>
      </c>
    </row>
    <row r="205">
      <c r="A205" s="81">
        <f>IF(A204="","",IF(A204+1&gt;MAX('Таблиця 1'!$B:$B),"",A204+1))</f>
        <v/>
      </c>
      <c r="B205">
        <f>IF($A205="","",COUNTIFS('Таблиця 1'!$B:$B,$A205,'Таблиця 1'!$E:$E,"ЖС ВЗ",'Таблиця 1'!$L:$L,"Уражено"))</f>
        <v/>
      </c>
      <c r="C205">
        <f>IF($A205="","",COUNTIFS('Таблиця 1'!$B:$B,$A205,'Таблиця 1'!$E:$E,"Арт. Системи",'Таблиця 1'!$L:$L,"Уражено"))</f>
        <v/>
      </c>
      <c r="D205">
        <f>IF($A205="","",COUNTIFS('Таблиця 1'!$B:$B,$A205,'Таблиця 1'!$E:$E,"ОВТ",'Таблиця 1'!$L:$L,"Уражено"))</f>
        <v/>
      </c>
      <c r="E205">
        <f>IF($A205="","",COUNTIFS('Таблиця 1'!$B:$B,$A205,'Таблиця 1'!$E:$E,"ППО",'Таблиця 1'!$L:$L,"Уражено"))</f>
        <v/>
      </c>
      <c r="F205">
        <f>IF($A205="","",COUNTIFS('Таблиця 1'!$B:$B,$A205,'Таблиця 1'!$E:$E,"Рембаза",'Таблиця 1'!$L:$L,"Уражено"))</f>
        <v/>
      </c>
      <c r="G205">
        <f>IF($A205="","",COUNTIFS('Таблиця 1'!$B:$B,$A205,'Таблиця 1'!$E:$E,"Склад БК",'Таблиця 1'!$L:$L,"Уражено"))</f>
        <v/>
      </c>
      <c r="H205">
        <f>IF($A205="","",COUNTIFS('Таблиця 1'!$B:$B,$A205,'Таблиця 1'!$E:$E,"Склад ВТМ",'Таблиця 1'!$L:$L,"Уражено"))</f>
        <v/>
      </c>
      <c r="I205">
        <f>IF($A205="","",COUNTIFS('Таблиця 1'!$B:$B,$A205,'Таблиця 1'!$E:$E,"ПУ БпЛА",'Таблиця 1'!$L:$L,"Уражено"))</f>
        <v/>
      </c>
      <c r="J205">
        <f>IF($A205="","",COUNTIFS('Таблиця 1'!$B:$B,$A205,'Таблиця 1'!$E:$E,"СП",'Таблиця 1'!$L:$L,"Уражено"))</f>
        <v/>
      </c>
      <c r="K205">
        <f>IF($A205="","",COUNTIFS('Таблиця 1'!$B:$B,$A205,'Таблиця 1'!$E:$E,"КСП роти",'Таблиця 1'!$L:$L,"Уражено"))</f>
        <v/>
      </c>
      <c r="L205">
        <f>IF($A205="","",COUNTIFS('Таблиця 1'!$B:$B,$A205,'Таблиця 1'!$E:$E,"ПУ бат",'Таблиця 1'!$L:$L,"Уражено"))</f>
        <v/>
      </c>
      <c r="M205">
        <f>IF($A205="","",COUNTIFS('Таблиця 1'!$B:$B,$A205,'Таблиця 1'!$E:$E,"ПУ бриг",'Таблиця 1'!$L:$L,"Уражено"))</f>
        <v/>
      </c>
      <c r="N205">
        <f>IF($A205="","",COUNTIFS('Таблиця 1'!$B:$B,$A205,'Таблиця 1'!$E:$E,"ПУ див",'Таблиця 1'!$L:$L,"Уражено"))</f>
        <v/>
      </c>
      <c r="O205">
        <f>IF($A205="","",COUNTIFS('Таблиця 1'!$B:$B,$A205,'Таблиця 1'!$E:$E,"обл. РЕБ",'Таблиця 1'!$L:$L,"Уражено"))</f>
        <v/>
      </c>
      <c r="P205">
        <f>IF($A205="","",COUNTIFS('Таблиця 1'!$B:$B,$A205,'Таблиця 1'!$E:$E,"пос РЕБ",'Таблиця 1'!$L:$L,"Уражено"))</f>
        <v/>
      </c>
      <c r="Q205">
        <f>IF($A205="","",COUNTIFS('Таблиця 1'!$B:$B,$A205,'Таблиця 1'!$E:$E,"група РЕР",'Таблиця 1'!$L:$L,"Уражено"))</f>
        <v/>
      </c>
      <c r="R205">
        <f>IF($A205="","",COUNTIFS('Таблиця 1'!$B:$B,$A205,'Таблиця 1'!$E:$E,"РЛС КББ",'Таблиця 1'!$L:$L,"Уражено"))</f>
        <v/>
      </c>
      <c r="S205">
        <f>IF($A205="","",COUNTIFS('Таблиця 1'!$B:$B,$A205,'Таблиця 1'!$E:$E,"Ретранслятор",'Таблиця 1'!$L:$L,"Уражено"))</f>
        <v/>
      </c>
      <c r="T205">
        <f>IF($A205="","",COUNTIFS('Таблиця 1'!$B:$B,$A205,'Таблиця 1'!$E:$E,"Вз.зв'язку",'Таблиця 1'!$L:$L,"Уражено"))</f>
        <v/>
      </c>
      <c r="U205">
        <f>IF($A205="","",COUNTIFS('Таблиця 1'!$B:$B,$A205,'Таблиця 1'!$E:$E,"ПММ",'Таблиця 1'!$L:$L,"Уражено"))</f>
        <v/>
      </c>
      <c r="V205">
        <f>IF($A205="","",COUNTIFS('Таблиця 1'!$B:$B,$A205,'Таблиця 1'!$E:$E,"ІФС",'Таблиця 1'!$L:$L,"Уражено"))</f>
        <v/>
      </c>
      <c r="W205">
        <f>IF($A205="","",COUNTIFS('Таблиця 1'!$B:$B,$A205,'Таблиця 1'!$E:$E,"Інфраструктура",'Таблиця 1'!$L:$L,"Уражено"))</f>
        <v/>
      </c>
      <c r="X205">
        <f>IF($A205="","",SUMIFS('Таблиця 1'!$K:$K,'Таблиця 1'!$B:$B,$A205))</f>
        <v/>
      </c>
    </row>
    <row r="206">
      <c r="A206" s="81">
        <f>IF(A205="","",IF(A205+1&gt;MAX('Таблиця 1'!$B:$B),"",A205+1))</f>
        <v/>
      </c>
      <c r="B206">
        <f>IF($A206="","",COUNTIFS('Таблиця 1'!$B:$B,$A206,'Таблиця 1'!$E:$E,"ЖС ВЗ",'Таблиця 1'!$L:$L,"Уражено"))</f>
        <v/>
      </c>
      <c r="C206">
        <f>IF($A206="","",COUNTIFS('Таблиця 1'!$B:$B,$A206,'Таблиця 1'!$E:$E,"Арт. Системи",'Таблиця 1'!$L:$L,"Уражено"))</f>
        <v/>
      </c>
      <c r="D206">
        <f>IF($A206="","",COUNTIFS('Таблиця 1'!$B:$B,$A206,'Таблиця 1'!$E:$E,"ОВТ",'Таблиця 1'!$L:$L,"Уражено"))</f>
        <v/>
      </c>
      <c r="E206">
        <f>IF($A206="","",COUNTIFS('Таблиця 1'!$B:$B,$A206,'Таблиця 1'!$E:$E,"ППО",'Таблиця 1'!$L:$L,"Уражено"))</f>
        <v/>
      </c>
      <c r="F206">
        <f>IF($A206="","",COUNTIFS('Таблиця 1'!$B:$B,$A206,'Таблиця 1'!$E:$E,"Рембаза",'Таблиця 1'!$L:$L,"Уражено"))</f>
        <v/>
      </c>
      <c r="G206">
        <f>IF($A206="","",COUNTIFS('Таблиця 1'!$B:$B,$A206,'Таблиця 1'!$E:$E,"Склад БК",'Таблиця 1'!$L:$L,"Уражено"))</f>
        <v/>
      </c>
      <c r="H206">
        <f>IF($A206="","",COUNTIFS('Таблиця 1'!$B:$B,$A206,'Таблиця 1'!$E:$E,"Склад ВТМ",'Таблиця 1'!$L:$L,"Уражено"))</f>
        <v/>
      </c>
      <c r="I206">
        <f>IF($A206="","",COUNTIFS('Таблиця 1'!$B:$B,$A206,'Таблиця 1'!$E:$E,"ПУ БпЛА",'Таблиця 1'!$L:$L,"Уражено"))</f>
        <v/>
      </c>
      <c r="J206">
        <f>IF($A206="","",COUNTIFS('Таблиця 1'!$B:$B,$A206,'Таблиця 1'!$E:$E,"СП",'Таблиця 1'!$L:$L,"Уражено"))</f>
        <v/>
      </c>
      <c r="K206">
        <f>IF($A206="","",COUNTIFS('Таблиця 1'!$B:$B,$A206,'Таблиця 1'!$E:$E,"КСП роти",'Таблиця 1'!$L:$L,"Уражено"))</f>
        <v/>
      </c>
      <c r="L206">
        <f>IF($A206="","",COUNTIFS('Таблиця 1'!$B:$B,$A206,'Таблиця 1'!$E:$E,"ПУ бат",'Таблиця 1'!$L:$L,"Уражено"))</f>
        <v/>
      </c>
      <c r="M206">
        <f>IF($A206="","",COUNTIFS('Таблиця 1'!$B:$B,$A206,'Таблиця 1'!$E:$E,"ПУ бриг",'Таблиця 1'!$L:$L,"Уражено"))</f>
        <v/>
      </c>
      <c r="N206">
        <f>IF($A206="","",COUNTIFS('Таблиця 1'!$B:$B,$A206,'Таблиця 1'!$E:$E,"ПУ див",'Таблиця 1'!$L:$L,"Уражено"))</f>
        <v/>
      </c>
      <c r="O206">
        <f>IF($A206="","",COUNTIFS('Таблиця 1'!$B:$B,$A206,'Таблиця 1'!$E:$E,"обл. РЕБ",'Таблиця 1'!$L:$L,"Уражено"))</f>
        <v/>
      </c>
      <c r="P206">
        <f>IF($A206="","",COUNTIFS('Таблиця 1'!$B:$B,$A206,'Таблиця 1'!$E:$E,"пос РЕБ",'Таблиця 1'!$L:$L,"Уражено"))</f>
        <v/>
      </c>
      <c r="Q206">
        <f>IF($A206="","",COUNTIFS('Таблиця 1'!$B:$B,$A206,'Таблиця 1'!$E:$E,"група РЕР",'Таблиця 1'!$L:$L,"Уражено"))</f>
        <v/>
      </c>
      <c r="R206">
        <f>IF($A206="","",COUNTIFS('Таблиця 1'!$B:$B,$A206,'Таблиця 1'!$E:$E,"РЛС КББ",'Таблиця 1'!$L:$L,"Уражено"))</f>
        <v/>
      </c>
      <c r="S206">
        <f>IF($A206="","",COUNTIFS('Таблиця 1'!$B:$B,$A206,'Таблиця 1'!$E:$E,"Ретранслятор",'Таблиця 1'!$L:$L,"Уражено"))</f>
        <v/>
      </c>
      <c r="T206">
        <f>IF($A206="","",COUNTIFS('Таблиця 1'!$B:$B,$A206,'Таблиця 1'!$E:$E,"Вз.зв'язку",'Таблиця 1'!$L:$L,"Уражено"))</f>
        <v/>
      </c>
      <c r="U206">
        <f>IF($A206="","",COUNTIFS('Таблиця 1'!$B:$B,$A206,'Таблиця 1'!$E:$E,"ПММ",'Таблиця 1'!$L:$L,"Уражено"))</f>
        <v/>
      </c>
      <c r="V206">
        <f>IF($A206="","",COUNTIFS('Таблиця 1'!$B:$B,$A206,'Таблиця 1'!$E:$E,"ІФС",'Таблиця 1'!$L:$L,"Уражено"))</f>
        <v/>
      </c>
      <c r="W206">
        <f>IF($A206="","",COUNTIFS('Таблиця 1'!$B:$B,$A206,'Таблиця 1'!$E:$E,"Інфраструктура",'Таблиця 1'!$L:$L,"Уражено"))</f>
        <v/>
      </c>
      <c r="X206">
        <f>IF($A206="","",SUMIFS('Таблиця 1'!$K:$K,'Таблиця 1'!$B:$B,$A206))</f>
        <v/>
      </c>
    </row>
    <row r="207">
      <c r="A207" s="81">
        <f>IF(A206="","",IF(A206+1&gt;MAX('Таблиця 1'!$B:$B),"",A206+1))</f>
        <v/>
      </c>
      <c r="B207">
        <f>IF($A207="","",COUNTIFS('Таблиця 1'!$B:$B,$A207,'Таблиця 1'!$E:$E,"ЖС ВЗ",'Таблиця 1'!$L:$L,"Уражено"))</f>
        <v/>
      </c>
      <c r="C207">
        <f>IF($A207="","",COUNTIFS('Таблиця 1'!$B:$B,$A207,'Таблиця 1'!$E:$E,"Арт. Системи",'Таблиця 1'!$L:$L,"Уражено"))</f>
        <v/>
      </c>
      <c r="D207">
        <f>IF($A207="","",COUNTIFS('Таблиця 1'!$B:$B,$A207,'Таблиця 1'!$E:$E,"ОВТ",'Таблиця 1'!$L:$L,"Уражено"))</f>
        <v/>
      </c>
      <c r="E207">
        <f>IF($A207="","",COUNTIFS('Таблиця 1'!$B:$B,$A207,'Таблиця 1'!$E:$E,"ППО",'Таблиця 1'!$L:$L,"Уражено"))</f>
        <v/>
      </c>
      <c r="F207">
        <f>IF($A207="","",COUNTIFS('Таблиця 1'!$B:$B,$A207,'Таблиця 1'!$E:$E,"Рембаза",'Таблиця 1'!$L:$L,"Уражено"))</f>
        <v/>
      </c>
      <c r="G207">
        <f>IF($A207="","",COUNTIFS('Таблиця 1'!$B:$B,$A207,'Таблиця 1'!$E:$E,"Склад БК",'Таблиця 1'!$L:$L,"Уражено"))</f>
        <v/>
      </c>
      <c r="H207">
        <f>IF($A207="","",COUNTIFS('Таблиця 1'!$B:$B,$A207,'Таблиця 1'!$E:$E,"Склад ВТМ",'Таблиця 1'!$L:$L,"Уражено"))</f>
        <v/>
      </c>
      <c r="I207">
        <f>IF($A207="","",COUNTIFS('Таблиця 1'!$B:$B,$A207,'Таблиця 1'!$E:$E,"ПУ БпЛА",'Таблиця 1'!$L:$L,"Уражено"))</f>
        <v/>
      </c>
      <c r="J207">
        <f>IF($A207="","",COUNTIFS('Таблиця 1'!$B:$B,$A207,'Таблиця 1'!$E:$E,"СП",'Таблиця 1'!$L:$L,"Уражено"))</f>
        <v/>
      </c>
      <c r="K207">
        <f>IF($A207="","",COUNTIFS('Таблиця 1'!$B:$B,$A207,'Таблиця 1'!$E:$E,"КСП роти",'Таблиця 1'!$L:$L,"Уражено"))</f>
        <v/>
      </c>
      <c r="L207">
        <f>IF($A207="","",COUNTIFS('Таблиця 1'!$B:$B,$A207,'Таблиця 1'!$E:$E,"ПУ бат",'Таблиця 1'!$L:$L,"Уражено"))</f>
        <v/>
      </c>
      <c r="M207">
        <f>IF($A207="","",COUNTIFS('Таблиця 1'!$B:$B,$A207,'Таблиця 1'!$E:$E,"ПУ бриг",'Таблиця 1'!$L:$L,"Уражено"))</f>
        <v/>
      </c>
      <c r="N207">
        <f>IF($A207="","",COUNTIFS('Таблиця 1'!$B:$B,$A207,'Таблиця 1'!$E:$E,"ПУ див",'Таблиця 1'!$L:$L,"Уражено"))</f>
        <v/>
      </c>
      <c r="O207">
        <f>IF($A207="","",COUNTIFS('Таблиця 1'!$B:$B,$A207,'Таблиця 1'!$E:$E,"обл. РЕБ",'Таблиця 1'!$L:$L,"Уражено"))</f>
        <v/>
      </c>
      <c r="P207">
        <f>IF($A207="","",COUNTIFS('Таблиця 1'!$B:$B,$A207,'Таблиця 1'!$E:$E,"пос РЕБ",'Таблиця 1'!$L:$L,"Уражено"))</f>
        <v/>
      </c>
      <c r="Q207">
        <f>IF($A207="","",COUNTIFS('Таблиця 1'!$B:$B,$A207,'Таблиця 1'!$E:$E,"група РЕР",'Таблиця 1'!$L:$L,"Уражено"))</f>
        <v/>
      </c>
      <c r="R207">
        <f>IF($A207="","",COUNTIFS('Таблиця 1'!$B:$B,$A207,'Таблиця 1'!$E:$E,"РЛС КББ",'Таблиця 1'!$L:$L,"Уражено"))</f>
        <v/>
      </c>
      <c r="S207">
        <f>IF($A207="","",COUNTIFS('Таблиця 1'!$B:$B,$A207,'Таблиця 1'!$E:$E,"Ретранслятор",'Таблиця 1'!$L:$L,"Уражено"))</f>
        <v/>
      </c>
      <c r="T207">
        <f>IF($A207="","",COUNTIFS('Таблиця 1'!$B:$B,$A207,'Таблиця 1'!$E:$E,"Вз.зв'язку",'Таблиця 1'!$L:$L,"Уражено"))</f>
        <v/>
      </c>
      <c r="U207">
        <f>IF($A207="","",COUNTIFS('Таблиця 1'!$B:$B,$A207,'Таблиця 1'!$E:$E,"ПММ",'Таблиця 1'!$L:$L,"Уражено"))</f>
        <v/>
      </c>
      <c r="V207">
        <f>IF($A207="","",COUNTIFS('Таблиця 1'!$B:$B,$A207,'Таблиця 1'!$E:$E,"ІФС",'Таблиця 1'!$L:$L,"Уражено"))</f>
        <v/>
      </c>
      <c r="W207">
        <f>IF($A207="","",COUNTIFS('Таблиця 1'!$B:$B,$A207,'Таблиця 1'!$E:$E,"Інфраструктура",'Таблиця 1'!$L:$L,"Уражено"))</f>
        <v/>
      </c>
      <c r="X207">
        <f>IF($A207="","",SUMIFS('Таблиця 1'!$K:$K,'Таблиця 1'!$B:$B,$A207))</f>
        <v/>
      </c>
    </row>
    <row r="208">
      <c r="A208" s="81">
        <f>IF(A207="","",IF(A207+1&gt;MAX('Таблиця 1'!$B:$B),"",A207+1))</f>
        <v/>
      </c>
      <c r="B208">
        <f>IF($A208="","",COUNTIFS('Таблиця 1'!$B:$B,$A208,'Таблиця 1'!$E:$E,"ЖС ВЗ",'Таблиця 1'!$L:$L,"Уражено"))</f>
        <v/>
      </c>
      <c r="C208">
        <f>IF($A208="","",COUNTIFS('Таблиця 1'!$B:$B,$A208,'Таблиця 1'!$E:$E,"Арт. Системи",'Таблиця 1'!$L:$L,"Уражено"))</f>
        <v/>
      </c>
      <c r="D208">
        <f>IF($A208="","",COUNTIFS('Таблиця 1'!$B:$B,$A208,'Таблиця 1'!$E:$E,"ОВТ",'Таблиця 1'!$L:$L,"Уражено"))</f>
        <v/>
      </c>
      <c r="E208">
        <f>IF($A208="","",COUNTIFS('Таблиця 1'!$B:$B,$A208,'Таблиця 1'!$E:$E,"ППО",'Таблиця 1'!$L:$L,"Уражено"))</f>
        <v/>
      </c>
      <c r="F208">
        <f>IF($A208="","",COUNTIFS('Таблиця 1'!$B:$B,$A208,'Таблиця 1'!$E:$E,"Рембаза",'Таблиця 1'!$L:$L,"Уражено"))</f>
        <v/>
      </c>
      <c r="G208">
        <f>IF($A208="","",COUNTIFS('Таблиця 1'!$B:$B,$A208,'Таблиця 1'!$E:$E,"Склад БК",'Таблиця 1'!$L:$L,"Уражено"))</f>
        <v/>
      </c>
      <c r="H208">
        <f>IF($A208="","",COUNTIFS('Таблиця 1'!$B:$B,$A208,'Таблиця 1'!$E:$E,"Склад ВТМ",'Таблиця 1'!$L:$L,"Уражено"))</f>
        <v/>
      </c>
      <c r="I208">
        <f>IF($A208="","",COUNTIFS('Таблиця 1'!$B:$B,$A208,'Таблиця 1'!$E:$E,"ПУ БпЛА",'Таблиця 1'!$L:$L,"Уражено"))</f>
        <v/>
      </c>
      <c r="J208">
        <f>IF($A208="","",COUNTIFS('Таблиця 1'!$B:$B,$A208,'Таблиця 1'!$E:$E,"СП",'Таблиця 1'!$L:$L,"Уражено"))</f>
        <v/>
      </c>
      <c r="K208">
        <f>IF($A208="","",COUNTIFS('Таблиця 1'!$B:$B,$A208,'Таблиця 1'!$E:$E,"КСП роти",'Таблиця 1'!$L:$L,"Уражено"))</f>
        <v/>
      </c>
      <c r="L208">
        <f>IF($A208="","",COUNTIFS('Таблиця 1'!$B:$B,$A208,'Таблиця 1'!$E:$E,"ПУ бат",'Таблиця 1'!$L:$L,"Уражено"))</f>
        <v/>
      </c>
      <c r="M208">
        <f>IF($A208="","",COUNTIFS('Таблиця 1'!$B:$B,$A208,'Таблиця 1'!$E:$E,"ПУ бриг",'Таблиця 1'!$L:$L,"Уражено"))</f>
        <v/>
      </c>
      <c r="N208">
        <f>IF($A208="","",COUNTIFS('Таблиця 1'!$B:$B,$A208,'Таблиця 1'!$E:$E,"ПУ див",'Таблиця 1'!$L:$L,"Уражено"))</f>
        <v/>
      </c>
      <c r="O208">
        <f>IF($A208="","",COUNTIFS('Таблиця 1'!$B:$B,$A208,'Таблиця 1'!$E:$E,"обл. РЕБ",'Таблиця 1'!$L:$L,"Уражено"))</f>
        <v/>
      </c>
      <c r="P208">
        <f>IF($A208="","",COUNTIFS('Таблиця 1'!$B:$B,$A208,'Таблиця 1'!$E:$E,"пос РЕБ",'Таблиця 1'!$L:$L,"Уражено"))</f>
        <v/>
      </c>
      <c r="Q208">
        <f>IF($A208="","",COUNTIFS('Таблиця 1'!$B:$B,$A208,'Таблиця 1'!$E:$E,"група РЕР",'Таблиця 1'!$L:$L,"Уражено"))</f>
        <v/>
      </c>
      <c r="R208">
        <f>IF($A208="","",COUNTIFS('Таблиця 1'!$B:$B,$A208,'Таблиця 1'!$E:$E,"РЛС КББ",'Таблиця 1'!$L:$L,"Уражено"))</f>
        <v/>
      </c>
      <c r="S208">
        <f>IF($A208="","",COUNTIFS('Таблиця 1'!$B:$B,$A208,'Таблиця 1'!$E:$E,"Ретранслятор",'Таблиця 1'!$L:$L,"Уражено"))</f>
        <v/>
      </c>
      <c r="T208">
        <f>IF($A208="","",COUNTIFS('Таблиця 1'!$B:$B,$A208,'Таблиця 1'!$E:$E,"Вз.зв'язку",'Таблиця 1'!$L:$L,"Уражено"))</f>
        <v/>
      </c>
      <c r="U208">
        <f>IF($A208="","",COUNTIFS('Таблиця 1'!$B:$B,$A208,'Таблиця 1'!$E:$E,"ПММ",'Таблиця 1'!$L:$L,"Уражено"))</f>
        <v/>
      </c>
      <c r="V208">
        <f>IF($A208="","",COUNTIFS('Таблиця 1'!$B:$B,$A208,'Таблиця 1'!$E:$E,"ІФС",'Таблиця 1'!$L:$L,"Уражено"))</f>
        <v/>
      </c>
      <c r="W208">
        <f>IF($A208="","",COUNTIFS('Таблиця 1'!$B:$B,$A208,'Таблиця 1'!$E:$E,"Інфраструктура",'Таблиця 1'!$L:$L,"Уражено"))</f>
        <v/>
      </c>
      <c r="X208">
        <f>IF($A208="","",SUMIFS('Таблиця 1'!$K:$K,'Таблиця 1'!$B:$B,$A208))</f>
        <v/>
      </c>
    </row>
    <row r="209">
      <c r="A209" s="81">
        <f>IF(A208="","",IF(A208+1&gt;MAX('Таблиця 1'!$B:$B),"",A208+1))</f>
        <v/>
      </c>
      <c r="B209">
        <f>IF($A209="","",COUNTIFS('Таблиця 1'!$B:$B,$A209,'Таблиця 1'!$E:$E,"ЖС ВЗ",'Таблиця 1'!$L:$L,"Уражено"))</f>
        <v/>
      </c>
      <c r="C209">
        <f>IF($A209="","",COUNTIFS('Таблиця 1'!$B:$B,$A209,'Таблиця 1'!$E:$E,"Арт. Системи",'Таблиця 1'!$L:$L,"Уражено"))</f>
        <v/>
      </c>
      <c r="D209">
        <f>IF($A209="","",COUNTIFS('Таблиця 1'!$B:$B,$A209,'Таблиця 1'!$E:$E,"ОВТ",'Таблиця 1'!$L:$L,"Уражено"))</f>
        <v/>
      </c>
      <c r="E209">
        <f>IF($A209="","",COUNTIFS('Таблиця 1'!$B:$B,$A209,'Таблиця 1'!$E:$E,"ППО",'Таблиця 1'!$L:$L,"Уражено"))</f>
        <v/>
      </c>
      <c r="F209">
        <f>IF($A209="","",COUNTIFS('Таблиця 1'!$B:$B,$A209,'Таблиця 1'!$E:$E,"Рембаза",'Таблиця 1'!$L:$L,"Уражено"))</f>
        <v/>
      </c>
      <c r="G209">
        <f>IF($A209="","",COUNTIFS('Таблиця 1'!$B:$B,$A209,'Таблиця 1'!$E:$E,"Склад БК",'Таблиця 1'!$L:$L,"Уражено"))</f>
        <v/>
      </c>
      <c r="H209">
        <f>IF($A209="","",COUNTIFS('Таблиця 1'!$B:$B,$A209,'Таблиця 1'!$E:$E,"Склад ВТМ",'Таблиця 1'!$L:$L,"Уражено"))</f>
        <v/>
      </c>
      <c r="I209">
        <f>IF($A209="","",COUNTIFS('Таблиця 1'!$B:$B,$A209,'Таблиця 1'!$E:$E,"ПУ БпЛА",'Таблиця 1'!$L:$L,"Уражено"))</f>
        <v/>
      </c>
      <c r="J209">
        <f>IF($A209="","",COUNTIFS('Таблиця 1'!$B:$B,$A209,'Таблиця 1'!$E:$E,"СП",'Таблиця 1'!$L:$L,"Уражено"))</f>
        <v/>
      </c>
      <c r="K209">
        <f>IF($A209="","",COUNTIFS('Таблиця 1'!$B:$B,$A209,'Таблиця 1'!$E:$E,"КСП роти",'Таблиця 1'!$L:$L,"Уражено"))</f>
        <v/>
      </c>
      <c r="L209">
        <f>IF($A209="","",COUNTIFS('Таблиця 1'!$B:$B,$A209,'Таблиця 1'!$E:$E,"ПУ бат",'Таблиця 1'!$L:$L,"Уражено"))</f>
        <v/>
      </c>
      <c r="M209">
        <f>IF($A209="","",COUNTIFS('Таблиця 1'!$B:$B,$A209,'Таблиця 1'!$E:$E,"ПУ бриг",'Таблиця 1'!$L:$L,"Уражено"))</f>
        <v/>
      </c>
      <c r="N209">
        <f>IF($A209="","",COUNTIFS('Таблиця 1'!$B:$B,$A209,'Таблиця 1'!$E:$E,"ПУ див",'Таблиця 1'!$L:$L,"Уражено"))</f>
        <v/>
      </c>
      <c r="O209">
        <f>IF($A209="","",COUNTIFS('Таблиця 1'!$B:$B,$A209,'Таблиця 1'!$E:$E,"обл. РЕБ",'Таблиця 1'!$L:$L,"Уражено"))</f>
        <v/>
      </c>
      <c r="P209">
        <f>IF($A209="","",COUNTIFS('Таблиця 1'!$B:$B,$A209,'Таблиця 1'!$E:$E,"пос РЕБ",'Таблиця 1'!$L:$L,"Уражено"))</f>
        <v/>
      </c>
      <c r="Q209">
        <f>IF($A209="","",COUNTIFS('Таблиця 1'!$B:$B,$A209,'Таблиця 1'!$E:$E,"група РЕР",'Таблиця 1'!$L:$L,"Уражено"))</f>
        <v/>
      </c>
      <c r="R209">
        <f>IF($A209="","",COUNTIFS('Таблиця 1'!$B:$B,$A209,'Таблиця 1'!$E:$E,"РЛС КББ",'Таблиця 1'!$L:$L,"Уражено"))</f>
        <v/>
      </c>
      <c r="S209">
        <f>IF($A209="","",COUNTIFS('Таблиця 1'!$B:$B,$A209,'Таблиця 1'!$E:$E,"Ретранслятор",'Таблиця 1'!$L:$L,"Уражено"))</f>
        <v/>
      </c>
      <c r="T209">
        <f>IF($A209="","",COUNTIFS('Таблиця 1'!$B:$B,$A209,'Таблиця 1'!$E:$E,"Вз.зв'язку",'Таблиця 1'!$L:$L,"Уражено"))</f>
        <v/>
      </c>
      <c r="U209">
        <f>IF($A209="","",COUNTIFS('Таблиця 1'!$B:$B,$A209,'Таблиця 1'!$E:$E,"ПММ",'Таблиця 1'!$L:$L,"Уражено"))</f>
        <v/>
      </c>
      <c r="V209">
        <f>IF($A209="","",COUNTIFS('Таблиця 1'!$B:$B,$A209,'Таблиця 1'!$E:$E,"ІФС",'Таблиця 1'!$L:$L,"Уражено"))</f>
        <v/>
      </c>
      <c r="W209">
        <f>IF($A209="","",COUNTIFS('Таблиця 1'!$B:$B,$A209,'Таблиця 1'!$E:$E,"Інфраструктура",'Таблиця 1'!$L:$L,"Уражено"))</f>
        <v/>
      </c>
      <c r="X209">
        <f>IF($A209="","",SUMIFS('Таблиця 1'!$K:$K,'Таблиця 1'!$B:$B,$A209))</f>
        <v/>
      </c>
    </row>
    <row r="210">
      <c r="A210" s="81">
        <f>IF(A209="","",IF(A209+1&gt;MAX('Таблиця 1'!$B:$B),"",A209+1))</f>
        <v/>
      </c>
      <c r="B210">
        <f>IF($A210="","",COUNTIFS('Таблиця 1'!$B:$B,$A210,'Таблиця 1'!$E:$E,"ЖС ВЗ",'Таблиця 1'!$L:$L,"Уражено"))</f>
        <v/>
      </c>
      <c r="C210">
        <f>IF($A210="","",COUNTIFS('Таблиця 1'!$B:$B,$A210,'Таблиця 1'!$E:$E,"Арт. Системи",'Таблиця 1'!$L:$L,"Уражено"))</f>
        <v/>
      </c>
      <c r="D210">
        <f>IF($A210="","",COUNTIFS('Таблиця 1'!$B:$B,$A210,'Таблиця 1'!$E:$E,"ОВТ",'Таблиця 1'!$L:$L,"Уражено"))</f>
        <v/>
      </c>
      <c r="E210">
        <f>IF($A210="","",COUNTIFS('Таблиця 1'!$B:$B,$A210,'Таблиця 1'!$E:$E,"ППО",'Таблиця 1'!$L:$L,"Уражено"))</f>
        <v/>
      </c>
      <c r="F210">
        <f>IF($A210="","",COUNTIFS('Таблиця 1'!$B:$B,$A210,'Таблиця 1'!$E:$E,"Рембаза",'Таблиця 1'!$L:$L,"Уражено"))</f>
        <v/>
      </c>
      <c r="G210">
        <f>IF($A210="","",COUNTIFS('Таблиця 1'!$B:$B,$A210,'Таблиця 1'!$E:$E,"Склад БК",'Таблиця 1'!$L:$L,"Уражено"))</f>
        <v/>
      </c>
      <c r="H210">
        <f>IF($A210="","",COUNTIFS('Таблиця 1'!$B:$B,$A210,'Таблиця 1'!$E:$E,"Склад ВТМ",'Таблиця 1'!$L:$L,"Уражено"))</f>
        <v/>
      </c>
      <c r="I210">
        <f>IF($A210="","",COUNTIFS('Таблиця 1'!$B:$B,$A210,'Таблиця 1'!$E:$E,"ПУ БпЛА",'Таблиця 1'!$L:$L,"Уражено"))</f>
        <v/>
      </c>
      <c r="J210">
        <f>IF($A210="","",COUNTIFS('Таблиця 1'!$B:$B,$A210,'Таблиця 1'!$E:$E,"СП",'Таблиця 1'!$L:$L,"Уражено"))</f>
        <v/>
      </c>
      <c r="K210">
        <f>IF($A210="","",COUNTIFS('Таблиця 1'!$B:$B,$A210,'Таблиця 1'!$E:$E,"КСП роти",'Таблиця 1'!$L:$L,"Уражено"))</f>
        <v/>
      </c>
      <c r="L210">
        <f>IF($A210="","",COUNTIFS('Таблиця 1'!$B:$B,$A210,'Таблиця 1'!$E:$E,"ПУ бат",'Таблиця 1'!$L:$L,"Уражено"))</f>
        <v/>
      </c>
      <c r="M210">
        <f>IF($A210="","",COUNTIFS('Таблиця 1'!$B:$B,$A210,'Таблиця 1'!$E:$E,"ПУ бриг",'Таблиця 1'!$L:$L,"Уражено"))</f>
        <v/>
      </c>
      <c r="N210">
        <f>IF($A210="","",COUNTIFS('Таблиця 1'!$B:$B,$A210,'Таблиця 1'!$E:$E,"ПУ див",'Таблиця 1'!$L:$L,"Уражено"))</f>
        <v/>
      </c>
      <c r="O210">
        <f>IF($A210="","",COUNTIFS('Таблиця 1'!$B:$B,$A210,'Таблиця 1'!$E:$E,"обл. РЕБ",'Таблиця 1'!$L:$L,"Уражено"))</f>
        <v/>
      </c>
      <c r="P210">
        <f>IF($A210="","",COUNTIFS('Таблиця 1'!$B:$B,$A210,'Таблиця 1'!$E:$E,"пос РЕБ",'Таблиця 1'!$L:$L,"Уражено"))</f>
        <v/>
      </c>
      <c r="Q210">
        <f>IF($A210="","",COUNTIFS('Таблиця 1'!$B:$B,$A210,'Таблиця 1'!$E:$E,"група РЕР",'Таблиця 1'!$L:$L,"Уражено"))</f>
        <v/>
      </c>
      <c r="R210">
        <f>IF($A210="","",COUNTIFS('Таблиця 1'!$B:$B,$A210,'Таблиця 1'!$E:$E,"РЛС КББ",'Таблиця 1'!$L:$L,"Уражено"))</f>
        <v/>
      </c>
      <c r="S210">
        <f>IF($A210="","",COUNTIFS('Таблиця 1'!$B:$B,$A210,'Таблиця 1'!$E:$E,"Ретранслятор",'Таблиця 1'!$L:$L,"Уражено"))</f>
        <v/>
      </c>
      <c r="T210">
        <f>IF($A210="","",COUNTIFS('Таблиця 1'!$B:$B,$A210,'Таблиця 1'!$E:$E,"Вз.зв'язку",'Таблиця 1'!$L:$L,"Уражено"))</f>
        <v/>
      </c>
      <c r="U210">
        <f>IF($A210="","",COUNTIFS('Таблиця 1'!$B:$B,$A210,'Таблиця 1'!$E:$E,"ПММ",'Таблиця 1'!$L:$L,"Уражено"))</f>
        <v/>
      </c>
      <c r="V210">
        <f>IF($A210="","",COUNTIFS('Таблиця 1'!$B:$B,$A210,'Таблиця 1'!$E:$E,"ІФС",'Таблиця 1'!$L:$L,"Уражено"))</f>
        <v/>
      </c>
      <c r="W210">
        <f>IF($A210="","",COUNTIFS('Таблиця 1'!$B:$B,$A210,'Таблиця 1'!$E:$E,"Інфраструктура",'Таблиця 1'!$L:$L,"Уражено"))</f>
        <v/>
      </c>
      <c r="X210">
        <f>IF($A210="","",SUMIFS('Таблиця 1'!$K:$K,'Таблиця 1'!$B:$B,$A210))</f>
        <v/>
      </c>
    </row>
    <row r="211">
      <c r="A211" s="81">
        <f>IF(A210="","",IF(A210+1&gt;MAX('Таблиця 1'!$B:$B),"",A210+1))</f>
        <v/>
      </c>
      <c r="B211">
        <f>IF($A211="","",COUNTIFS('Таблиця 1'!$B:$B,$A211,'Таблиця 1'!$E:$E,"ЖС ВЗ",'Таблиця 1'!$L:$L,"Уражено"))</f>
        <v/>
      </c>
      <c r="C211">
        <f>IF($A211="","",COUNTIFS('Таблиця 1'!$B:$B,$A211,'Таблиця 1'!$E:$E,"Арт. Системи",'Таблиця 1'!$L:$L,"Уражено"))</f>
        <v/>
      </c>
      <c r="D211">
        <f>IF($A211="","",COUNTIFS('Таблиця 1'!$B:$B,$A211,'Таблиця 1'!$E:$E,"ОВТ",'Таблиця 1'!$L:$L,"Уражено"))</f>
        <v/>
      </c>
      <c r="E211">
        <f>IF($A211="","",COUNTIFS('Таблиця 1'!$B:$B,$A211,'Таблиця 1'!$E:$E,"ППО",'Таблиця 1'!$L:$L,"Уражено"))</f>
        <v/>
      </c>
      <c r="F211">
        <f>IF($A211="","",COUNTIFS('Таблиця 1'!$B:$B,$A211,'Таблиця 1'!$E:$E,"Рембаза",'Таблиця 1'!$L:$L,"Уражено"))</f>
        <v/>
      </c>
      <c r="G211">
        <f>IF($A211="","",COUNTIFS('Таблиця 1'!$B:$B,$A211,'Таблиця 1'!$E:$E,"Склад БК",'Таблиця 1'!$L:$L,"Уражено"))</f>
        <v/>
      </c>
      <c r="H211">
        <f>IF($A211="","",COUNTIFS('Таблиця 1'!$B:$B,$A211,'Таблиця 1'!$E:$E,"Склад ВТМ",'Таблиця 1'!$L:$L,"Уражено"))</f>
        <v/>
      </c>
      <c r="I211">
        <f>IF($A211="","",COUNTIFS('Таблиця 1'!$B:$B,$A211,'Таблиця 1'!$E:$E,"ПУ БпЛА",'Таблиця 1'!$L:$L,"Уражено"))</f>
        <v/>
      </c>
      <c r="J211">
        <f>IF($A211="","",COUNTIFS('Таблиця 1'!$B:$B,$A211,'Таблиця 1'!$E:$E,"СП",'Таблиця 1'!$L:$L,"Уражено"))</f>
        <v/>
      </c>
      <c r="K211">
        <f>IF($A211="","",COUNTIFS('Таблиця 1'!$B:$B,$A211,'Таблиця 1'!$E:$E,"КСП роти",'Таблиця 1'!$L:$L,"Уражено"))</f>
        <v/>
      </c>
      <c r="L211">
        <f>IF($A211="","",COUNTIFS('Таблиця 1'!$B:$B,$A211,'Таблиця 1'!$E:$E,"ПУ бат",'Таблиця 1'!$L:$L,"Уражено"))</f>
        <v/>
      </c>
      <c r="M211">
        <f>IF($A211="","",COUNTIFS('Таблиця 1'!$B:$B,$A211,'Таблиця 1'!$E:$E,"ПУ бриг",'Таблиця 1'!$L:$L,"Уражено"))</f>
        <v/>
      </c>
      <c r="N211">
        <f>IF($A211="","",COUNTIFS('Таблиця 1'!$B:$B,$A211,'Таблиця 1'!$E:$E,"ПУ див",'Таблиця 1'!$L:$L,"Уражено"))</f>
        <v/>
      </c>
      <c r="O211">
        <f>IF($A211="","",COUNTIFS('Таблиця 1'!$B:$B,$A211,'Таблиця 1'!$E:$E,"обл. РЕБ",'Таблиця 1'!$L:$L,"Уражено"))</f>
        <v/>
      </c>
      <c r="P211">
        <f>IF($A211="","",COUNTIFS('Таблиця 1'!$B:$B,$A211,'Таблиця 1'!$E:$E,"пос РЕБ",'Таблиця 1'!$L:$L,"Уражено"))</f>
        <v/>
      </c>
      <c r="Q211">
        <f>IF($A211="","",COUNTIFS('Таблиця 1'!$B:$B,$A211,'Таблиця 1'!$E:$E,"група РЕР",'Таблиця 1'!$L:$L,"Уражено"))</f>
        <v/>
      </c>
      <c r="R211">
        <f>IF($A211="","",COUNTIFS('Таблиця 1'!$B:$B,$A211,'Таблиця 1'!$E:$E,"РЛС КББ",'Таблиця 1'!$L:$L,"Уражено"))</f>
        <v/>
      </c>
      <c r="S211">
        <f>IF($A211="","",COUNTIFS('Таблиця 1'!$B:$B,$A211,'Таблиця 1'!$E:$E,"Ретранслятор",'Таблиця 1'!$L:$L,"Уражено"))</f>
        <v/>
      </c>
      <c r="T211">
        <f>IF($A211="","",COUNTIFS('Таблиця 1'!$B:$B,$A211,'Таблиця 1'!$E:$E,"Вз.зв'язку",'Таблиця 1'!$L:$L,"Уражено"))</f>
        <v/>
      </c>
      <c r="U211">
        <f>IF($A211="","",COUNTIFS('Таблиця 1'!$B:$B,$A211,'Таблиця 1'!$E:$E,"ПММ",'Таблиця 1'!$L:$L,"Уражено"))</f>
        <v/>
      </c>
      <c r="V211">
        <f>IF($A211="","",COUNTIFS('Таблиця 1'!$B:$B,$A211,'Таблиця 1'!$E:$E,"ІФС",'Таблиця 1'!$L:$L,"Уражено"))</f>
        <v/>
      </c>
      <c r="W211">
        <f>IF($A211="","",COUNTIFS('Таблиця 1'!$B:$B,$A211,'Таблиця 1'!$E:$E,"Інфраструктура",'Таблиця 1'!$L:$L,"Уражено"))</f>
        <v/>
      </c>
      <c r="X211">
        <f>IF($A211="","",SUMIFS('Таблиця 1'!$K:$K,'Таблиця 1'!$B:$B,$A211))</f>
        <v/>
      </c>
    </row>
    <row r="212">
      <c r="A212" s="81">
        <f>IF(A211="","",IF(A211+1&gt;MAX('Таблиця 1'!$B:$B),"",A211+1))</f>
        <v/>
      </c>
      <c r="B212">
        <f>IF($A212="","",COUNTIFS('Таблиця 1'!$B:$B,$A212,'Таблиця 1'!$E:$E,"ЖС ВЗ",'Таблиця 1'!$L:$L,"Уражено"))</f>
        <v/>
      </c>
      <c r="C212">
        <f>IF($A212="","",COUNTIFS('Таблиця 1'!$B:$B,$A212,'Таблиця 1'!$E:$E,"Арт. Системи",'Таблиця 1'!$L:$L,"Уражено"))</f>
        <v/>
      </c>
      <c r="D212">
        <f>IF($A212="","",COUNTIFS('Таблиця 1'!$B:$B,$A212,'Таблиця 1'!$E:$E,"ОВТ",'Таблиця 1'!$L:$L,"Уражено"))</f>
        <v/>
      </c>
      <c r="E212">
        <f>IF($A212="","",COUNTIFS('Таблиця 1'!$B:$B,$A212,'Таблиця 1'!$E:$E,"ППО",'Таблиця 1'!$L:$L,"Уражено"))</f>
        <v/>
      </c>
      <c r="F212">
        <f>IF($A212="","",COUNTIFS('Таблиця 1'!$B:$B,$A212,'Таблиця 1'!$E:$E,"Рембаза",'Таблиця 1'!$L:$L,"Уражено"))</f>
        <v/>
      </c>
      <c r="G212">
        <f>IF($A212="","",COUNTIFS('Таблиця 1'!$B:$B,$A212,'Таблиця 1'!$E:$E,"Склад БК",'Таблиця 1'!$L:$L,"Уражено"))</f>
        <v/>
      </c>
      <c r="H212">
        <f>IF($A212="","",COUNTIFS('Таблиця 1'!$B:$B,$A212,'Таблиця 1'!$E:$E,"Склад ВТМ",'Таблиця 1'!$L:$L,"Уражено"))</f>
        <v/>
      </c>
      <c r="I212">
        <f>IF($A212="","",COUNTIFS('Таблиця 1'!$B:$B,$A212,'Таблиця 1'!$E:$E,"ПУ БпЛА",'Таблиця 1'!$L:$L,"Уражено"))</f>
        <v/>
      </c>
      <c r="J212">
        <f>IF($A212="","",COUNTIFS('Таблиця 1'!$B:$B,$A212,'Таблиця 1'!$E:$E,"СП",'Таблиця 1'!$L:$L,"Уражено"))</f>
        <v/>
      </c>
      <c r="K212">
        <f>IF($A212="","",COUNTIFS('Таблиця 1'!$B:$B,$A212,'Таблиця 1'!$E:$E,"КСП роти",'Таблиця 1'!$L:$L,"Уражено"))</f>
        <v/>
      </c>
      <c r="L212">
        <f>IF($A212="","",COUNTIFS('Таблиця 1'!$B:$B,$A212,'Таблиця 1'!$E:$E,"ПУ бат",'Таблиця 1'!$L:$L,"Уражено"))</f>
        <v/>
      </c>
      <c r="M212">
        <f>IF($A212="","",COUNTIFS('Таблиця 1'!$B:$B,$A212,'Таблиця 1'!$E:$E,"ПУ бриг",'Таблиця 1'!$L:$L,"Уражено"))</f>
        <v/>
      </c>
      <c r="N212">
        <f>IF($A212="","",COUNTIFS('Таблиця 1'!$B:$B,$A212,'Таблиця 1'!$E:$E,"ПУ див",'Таблиця 1'!$L:$L,"Уражено"))</f>
        <v/>
      </c>
      <c r="O212">
        <f>IF($A212="","",COUNTIFS('Таблиця 1'!$B:$B,$A212,'Таблиця 1'!$E:$E,"обл. РЕБ",'Таблиця 1'!$L:$L,"Уражено"))</f>
        <v/>
      </c>
      <c r="P212">
        <f>IF($A212="","",COUNTIFS('Таблиця 1'!$B:$B,$A212,'Таблиця 1'!$E:$E,"пос РЕБ",'Таблиця 1'!$L:$L,"Уражено"))</f>
        <v/>
      </c>
      <c r="Q212">
        <f>IF($A212="","",COUNTIFS('Таблиця 1'!$B:$B,$A212,'Таблиця 1'!$E:$E,"група РЕР",'Таблиця 1'!$L:$L,"Уражено"))</f>
        <v/>
      </c>
      <c r="R212">
        <f>IF($A212="","",COUNTIFS('Таблиця 1'!$B:$B,$A212,'Таблиця 1'!$E:$E,"РЛС КББ",'Таблиця 1'!$L:$L,"Уражено"))</f>
        <v/>
      </c>
      <c r="S212">
        <f>IF($A212="","",COUNTIFS('Таблиця 1'!$B:$B,$A212,'Таблиця 1'!$E:$E,"Ретранслятор",'Таблиця 1'!$L:$L,"Уражено"))</f>
        <v/>
      </c>
      <c r="T212">
        <f>IF($A212="","",COUNTIFS('Таблиця 1'!$B:$B,$A212,'Таблиця 1'!$E:$E,"Вз.зв'язку",'Таблиця 1'!$L:$L,"Уражено"))</f>
        <v/>
      </c>
      <c r="U212">
        <f>IF($A212="","",COUNTIFS('Таблиця 1'!$B:$B,$A212,'Таблиця 1'!$E:$E,"ПММ",'Таблиця 1'!$L:$L,"Уражено"))</f>
        <v/>
      </c>
      <c r="V212">
        <f>IF($A212="","",COUNTIFS('Таблиця 1'!$B:$B,$A212,'Таблиця 1'!$E:$E,"ІФС",'Таблиця 1'!$L:$L,"Уражено"))</f>
        <v/>
      </c>
      <c r="W212">
        <f>IF($A212="","",COUNTIFS('Таблиця 1'!$B:$B,$A212,'Таблиця 1'!$E:$E,"Інфраструктура",'Таблиця 1'!$L:$L,"Уражено"))</f>
        <v/>
      </c>
      <c r="X212">
        <f>IF($A212="","",SUMIFS('Таблиця 1'!$K:$K,'Таблиця 1'!$B:$B,$A212))</f>
        <v/>
      </c>
    </row>
    <row r="213">
      <c r="A213" s="81">
        <f>IF(A212="","",IF(A212+1&gt;MAX('Таблиця 1'!$B:$B),"",A212+1))</f>
        <v/>
      </c>
      <c r="B213">
        <f>IF($A213="","",COUNTIFS('Таблиця 1'!$B:$B,$A213,'Таблиця 1'!$E:$E,"ЖС ВЗ",'Таблиця 1'!$L:$L,"Уражено"))</f>
        <v/>
      </c>
      <c r="C213">
        <f>IF($A213="","",COUNTIFS('Таблиця 1'!$B:$B,$A213,'Таблиця 1'!$E:$E,"Арт. Системи",'Таблиця 1'!$L:$L,"Уражено"))</f>
        <v/>
      </c>
      <c r="D213">
        <f>IF($A213="","",COUNTIFS('Таблиця 1'!$B:$B,$A213,'Таблиця 1'!$E:$E,"ОВТ",'Таблиця 1'!$L:$L,"Уражено"))</f>
        <v/>
      </c>
      <c r="E213">
        <f>IF($A213="","",COUNTIFS('Таблиця 1'!$B:$B,$A213,'Таблиця 1'!$E:$E,"ППО",'Таблиця 1'!$L:$L,"Уражено"))</f>
        <v/>
      </c>
      <c r="F213">
        <f>IF($A213="","",COUNTIFS('Таблиця 1'!$B:$B,$A213,'Таблиця 1'!$E:$E,"Рембаза",'Таблиця 1'!$L:$L,"Уражено"))</f>
        <v/>
      </c>
      <c r="G213">
        <f>IF($A213="","",COUNTIFS('Таблиця 1'!$B:$B,$A213,'Таблиця 1'!$E:$E,"Склад БК",'Таблиця 1'!$L:$L,"Уражено"))</f>
        <v/>
      </c>
      <c r="H213">
        <f>IF($A213="","",COUNTIFS('Таблиця 1'!$B:$B,$A213,'Таблиця 1'!$E:$E,"Склад ВТМ",'Таблиця 1'!$L:$L,"Уражено"))</f>
        <v/>
      </c>
      <c r="I213">
        <f>IF($A213="","",COUNTIFS('Таблиця 1'!$B:$B,$A213,'Таблиця 1'!$E:$E,"ПУ БпЛА",'Таблиця 1'!$L:$L,"Уражено"))</f>
        <v/>
      </c>
      <c r="J213">
        <f>IF($A213="","",COUNTIFS('Таблиця 1'!$B:$B,$A213,'Таблиця 1'!$E:$E,"СП",'Таблиця 1'!$L:$L,"Уражено"))</f>
        <v/>
      </c>
      <c r="K213">
        <f>IF($A213="","",COUNTIFS('Таблиця 1'!$B:$B,$A213,'Таблиця 1'!$E:$E,"КСП роти",'Таблиця 1'!$L:$L,"Уражено"))</f>
        <v/>
      </c>
      <c r="L213">
        <f>IF($A213="","",COUNTIFS('Таблиця 1'!$B:$B,$A213,'Таблиця 1'!$E:$E,"ПУ бат",'Таблиця 1'!$L:$L,"Уражено"))</f>
        <v/>
      </c>
      <c r="M213">
        <f>IF($A213="","",COUNTIFS('Таблиця 1'!$B:$B,$A213,'Таблиця 1'!$E:$E,"ПУ бриг",'Таблиця 1'!$L:$L,"Уражено"))</f>
        <v/>
      </c>
      <c r="N213">
        <f>IF($A213="","",COUNTIFS('Таблиця 1'!$B:$B,$A213,'Таблиця 1'!$E:$E,"ПУ див",'Таблиця 1'!$L:$L,"Уражено"))</f>
        <v/>
      </c>
      <c r="O213">
        <f>IF($A213="","",COUNTIFS('Таблиця 1'!$B:$B,$A213,'Таблиця 1'!$E:$E,"обл. РЕБ",'Таблиця 1'!$L:$L,"Уражено"))</f>
        <v/>
      </c>
      <c r="P213">
        <f>IF($A213="","",COUNTIFS('Таблиця 1'!$B:$B,$A213,'Таблиця 1'!$E:$E,"пос РЕБ",'Таблиця 1'!$L:$L,"Уражено"))</f>
        <v/>
      </c>
      <c r="Q213">
        <f>IF($A213="","",COUNTIFS('Таблиця 1'!$B:$B,$A213,'Таблиця 1'!$E:$E,"група РЕР",'Таблиця 1'!$L:$L,"Уражено"))</f>
        <v/>
      </c>
      <c r="R213">
        <f>IF($A213="","",COUNTIFS('Таблиця 1'!$B:$B,$A213,'Таблиця 1'!$E:$E,"РЛС КББ",'Таблиця 1'!$L:$L,"Уражено"))</f>
        <v/>
      </c>
      <c r="S213">
        <f>IF($A213="","",COUNTIFS('Таблиця 1'!$B:$B,$A213,'Таблиця 1'!$E:$E,"Ретранслятор",'Таблиця 1'!$L:$L,"Уражено"))</f>
        <v/>
      </c>
      <c r="T213">
        <f>IF($A213="","",COUNTIFS('Таблиця 1'!$B:$B,$A213,'Таблиця 1'!$E:$E,"Вз.зв'язку",'Таблиця 1'!$L:$L,"Уражено"))</f>
        <v/>
      </c>
      <c r="U213">
        <f>IF($A213="","",COUNTIFS('Таблиця 1'!$B:$B,$A213,'Таблиця 1'!$E:$E,"ПММ",'Таблиця 1'!$L:$L,"Уражено"))</f>
        <v/>
      </c>
      <c r="V213">
        <f>IF($A213="","",COUNTIFS('Таблиця 1'!$B:$B,$A213,'Таблиця 1'!$E:$E,"ІФС",'Таблиця 1'!$L:$L,"Уражено"))</f>
        <v/>
      </c>
      <c r="W213">
        <f>IF($A213="","",COUNTIFS('Таблиця 1'!$B:$B,$A213,'Таблиця 1'!$E:$E,"Інфраструктура",'Таблиця 1'!$L:$L,"Уражено"))</f>
        <v/>
      </c>
      <c r="X213">
        <f>IF($A213="","",SUMIFS('Таблиця 1'!$K:$K,'Таблиця 1'!$B:$B,$A213))</f>
        <v/>
      </c>
    </row>
    <row r="214">
      <c r="A214" s="81">
        <f>IF(A213="","",IF(A213+1&gt;MAX('Таблиця 1'!$B:$B),"",A213+1))</f>
        <v/>
      </c>
      <c r="B214">
        <f>IF($A214="","",COUNTIFS('Таблиця 1'!$B:$B,$A214,'Таблиця 1'!$E:$E,"ЖС ВЗ",'Таблиця 1'!$L:$L,"Уражено"))</f>
        <v/>
      </c>
      <c r="C214">
        <f>IF($A214="","",COUNTIFS('Таблиця 1'!$B:$B,$A214,'Таблиця 1'!$E:$E,"Арт. Системи",'Таблиця 1'!$L:$L,"Уражено"))</f>
        <v/>
      </c>
      <c r="D214">
        <f>IF($A214="","",COUNTIFS('Таблиця 1'!$B:$B,$A214,'Таблиця 1'!$E:$E,"ОВТ",'Таблиця 1'!$L:$L,"Уражено"))</f>
        <v/>
      </c>
      <c r="E214">
        <f>IF($A214="","",COUNTIFS('Таблиця 1'!$B:$B,$A214,'Таблиця 1'!$E:$E,"ППО",'Таблиця 1'!$L:$L,"Уражено"))</f>
        <v/>
      </c>
      <c r="F214">
        <f>IF($A214="","",COUNTIFS('Таблиця 1'!$B:$B,$A214,'Таблиця 1'!$E:$E,"Рембаза",'Таблиця 1'!$L:$L,"Уражено"))</f>
        <v/>
      </c>
      <c r="G214">
        <f>IF($A214="","",COUNTIFS('Таблиця 1'!$B:$B,$A214,'Таблиця 1'!$E:$E,"Склад БК",'Таблиця 1'!$L:$L,"Уражено"))</f>
        <v/>
      </c>
      <c r="H214">
        <f>IF($A214="","",COUNTIFS('Таблиця 1'!$B:$B,$A214,'Таблиця 1'!$E:$E,"Склад ВТМ",'Таблиця 1'!$L:$L,"Уражено"))</f>
        <v/>
      </c>
      <c r="I214">
        <f>IF($A214="","",COUNTIFS('Таблиця 1'!$B:$B,$A214,'Таблиця 1'!$E:$E,"ПУ БпЛА",'Таблиця 1'!$L:$L,"Уражено"))</f>
        <v/>
      </c>
      <c r="J214">
        <f>IF($A214="","",COUNTIFS('Таблиця 1'!$B:$B,$A214,'Таблиця 1'!$E:$E,"СП",'Таблиця 1'!$L:$L,"Уражено"))</f>
        <v/>
      </c>
      <c r="K214">
        <f>IF($A214="","",COUNTIFS('Таблиця 1'!$B:$B,$A214,'Таблиця 1'!$E:$E,"КСП роти",'Таблиця 1'!$L:$L,"Уражено"))</f>
        <v/>
      </c>
      <c r="L214">
        <f>IF($A214="","",COUNTIFS('Таблиця 1'!$B:$B,$A214,'Таблиця 1'!$E:$E,"ПУ бат",'Таблиця 1'!$L:$L,"Уражено"))</f>
        <v/>
      </c>
      <c r="M214">
        <f>IF($A214="","",COUNTIFS('Таблиця 1'!$B:$B,$A214,'Таблиця 1'!$E:$E,"ПУ бриг",'Таблиця 1'!$L:$L,"Уражено"))</f>
        <v/>
      </c>
      <c r="N214">
        <f>IF($A214="","",COUNTIFS('Таблиця 1'!$B:$B,$A214,'Таблиця 1'!$E:$E,"ПУ див",'Таблиця 1'!$L:$L,"Уражено"))</f>
        <v/>
      </c>
      <c r="O214">
        <f>IF($A214="","",COUNTIFS('Таблиця 1'!$B:$B,$A214,'Таблиця 1'!$E:$E,"обл. РЕБ",'Таблиця 1'!$L:$L,"Уражено"))</f>
        <v/>
      </c>
      <c r="P214">
        <f>IF($A214="","",COUNTIFS('Таблиця 1'!$B:$B,$A214,'Таблиця 1'!$E:$E,"пос РЕБ",'Таблиця 1'!$L:$L,"Уражено"))</f>
        <v/>
      </c>
      <c r="Q214">
        <f>IF($A214="","",COUNTIFS('Таблиця 1'!$B:$B,$A214,'Таблиця 1'!$E:$E,"група РЕР",'Таблиця 1'!$L:$L,"Уражено"))</f>
        <v/>
      </c>
      <c r="R214">
        <f>IF($A214="","",COUNTIFS('Таблиця 1'!$B:$B,$A214,'Таблиця 1'!$E:$E,"РЛС КББ",'Таблиця 1'!$L:$L,"Уражено"))</f>
        <v/>
      </c>
      <c r="S214">
        <f>IF($A214="","",COUNTIFS('Таблиця 1'!$B:$B,$A214,'Таблиця 1'!$E:$E,"Ретранслятор",'Таблиця 1'!$L:$L,"Уражено"))</f>
        <v/>
      </c>
      <c r="T214">
        <f>IF($A214="","",COUNTIFS('Таблиця 1'!$B:$B,$A214,'Таблиця 1'!$E:$E,"Вз.зв'язку",'Таблиця 1'!$L:$L,"Уражено"))</f>
        <v/>
      </c>
      <c r="U214">
        <f>IF($A214="","",COUNTIFS('Таблиця 1'!$B:$B,$A214,'Таблиця 1'!$E:$E,"ПММ",'Таблиця 1'!$L:$L,"Уражено"))</f>
        <v/>
      </c>
      <c r="V214">
        <f>IF($A214="","",COUNTIFS('Таблиця 1'!$B:$B,$A214,'Таблиця 1'!$E:$E,"ІФС",'Таблиця 1'!$L:$L,"Уражено"))</f>
        <v/>
      </c>
      <c r="W214">
        <f>IF($A214="","",COUNTIFS('Таблиця 1'!$B:$B,$A214,'Таблиця 1'!$E:$E,"Інфраструктура",'Таблиця 1'!$L:$L,"Уражено"))</f>
        <v/>
      </c>
      <c r="X214">
        <f>IF($A214="","",SUMIFS('Таблиця 1'!$K:$K,'Таблиця 1'!$B:$B,$A214))</f>
        <v/>
      </c>
    </row>
    <row r="215">
      <c r="A215" s="81">
        <f>IF(A214="","",IF(A214+1&gt;MAX('Таблиця 1'!$B:$B),"",A214+1))</f>
        <v/>
      </c>
      <c r="B215">
        <f>IF($A215="","",COUNTIFS('Таблиця 1'!$B:$B,$A215,'Таблиця 1'!$E:$E,"ЖС ВЗ",'Таблиця 1'!$L:$L,"Уражено"))</f>
        <v/>
      </c>
      <c r="C215">
        <f>IF($A215="","",COUNTIFS('Таблиця 1'!$B:$B,$A215,'Таблиця 1'!$E:$E,"Арт. Системи",'Таблиця 1'!$L:$L,"Уражено"))</f>
        <v/>
      </c>
      <c r="D215">
        <f>IF($A215="","",COUNTIFS('Таблиця 1'!$B:$B,$A215,'Таблиця 1'!$E:$E,"ОВТ",'Таблиця 1'!$L:$L,"Уражено"))</f>
        <v/>
      </c>
      <c r="E215">
        <f>IF($A215="","",COUNTIFS('Таблиця 1'!$B:$B,$A215,'Таблиця 1'!$E:$E,"ППО",'Таблиця 1'!$L:$L,"Уражено"))</f>
        <v/>
      </c>
      <c r="F215">
        <f>IF($A215="","",COUNTIFS('Таблиця 1'!$B:$B,$A215,'Таблиця 1'!$E:$E,"Рембаза",'Таблиця 1'!$L:$L,"Уражено"))</f>
        <v/>
      </c>
      <c r="G215">
        <f>IF($A215="","",COUNTIFS('Таблиця 1'!$B:$B,$A215,'Таблиця 1'!$E:$E,"Склад БК",'Таблиця 1'!$L:$L,"Уражено"))</f>
        <v/>
      </c>
      <c r="H215">
        <f>IF($A215="","",COUNTIFS('Таблиця 1'!$B:$B,$A215,'Таблиця 1'!$E:$E,"Склад ВТМ",'Таблиця 1'!$L:$L,"Уражено"))</f>
        <v/>
      </c>
      <c r="I215">
        <f>IF($A215="","",COUNTIFS('Таблиця 1'!$B:$B,$A215,'Таблиця 1'!$E:$E,"ПУ БпЛА",'Таблиця 1'!$L:$L,"Уражено"))</f>
        <v/>
      </c>
      <c r="J215">
        <f>IF($A215="","",COUNTIFS('Таблиця 1'!$B:$B,$A215,'Таблиця 1'!$E:$E,"СП",'Таблиця 1'!$L:$L,"Уражено"))</f>
        <v/>
      </c>
      <c r="K215">
        <f>IF($A215="","",COUNTIFS('Таблиця 1'!$B:$B,$A215,'Таблиця 1'!$E:$E,"КСП роти",'Таблиця 1'!$L:$L,"Уражено"))</f>
        <v/>
      </c>
      <c r="L215">
        <f>IF($A215="","",COUNTIFS('Таблиця 1'!$B:$B,$A215,'Таблиця 1'!$E:$E,"ПУ бат",'Таблиця 1'!$L:$L,"Уражено"))</f>
        <v/>
      </c>
      <c r="M215">
        <f>IF($A215="","",COUNTIFS('Таблиця 1'!$B:$B,$A215,'Таблиця 1'!$E:$E,"ПУ бриг",'Таблиця 1'!$L:$L,"Уражено"))</f>
        <v/>
      </c>
      <c r="N215">
        <f>IF($A215="","",COUNTIFS('Таблиця 1'!$B:$B,$A215,'Таблиця 1'!$E:$E,"ПУ див",'Таблиця 1'!$L:$L,"Уражено"))</f>
        <v/>
      </c>
      <c r="O215">
        <f>IF($A215="","",COUNTIFS('Таблиця 1'!$B:$B,$A215,'Таблиця 1'!$E:$E,"обл. РЕБ",'Таблиця 1'!$L:$L,"Уражено"))</f>
        <v/>
      </c>
      <c r="P215">
        <f>IF($A215="","",COUNTIFS('Таблиця 1'!$B:$B,$A215,'Таблиця 1'!$E:$E,"пос РЕБ",'Таблиця 1'!$L:$L,"Уражено"))</f>
        <v/>
      </c>
      <c r="Q215">
        <f>IF($A215="","",COUNTIFS('Таблиця 1'!$B:$B,$A215,'Таблиця 1'!$E:$E,"група РЕР",'Таблиця 1'!$L:$L,"Уражено"))</f>
        <v/>
      </c>
      <c r="R215">
        <f>IF($A215="","",COUNTIFS('Таблиця 1'!$B:$B,$A215,'Таблиця 1'!$E:$E,"РЛС КББ",'Таблиця 1'!$L:$L,"Уражено"))</f>
        <v/>
      </c>
      <c r="S215">
        <f>IF($A215="","",COUNTIFS('Таблиця 1'!$B:$B,$A215,'Таблиця 1'!$E:$E,"Ретранслятор",'Таблиця 1'!$L:$L,"Уражено"))</f>
        <v/>
      </c>
      <c r="T215">
        <f>IF($A215="","",COUNTIFS('Таблиця 1'!$B:$B,$A215,'Таблиця 1'!$E:$E,"Вз.зв'язку",'Таблиця 1'!$L:$L,"Уражено"))</f>
        <v/>
      </c>
      <c r="U215">
        <f>IF($A215="","",COUNTIFS('Таблиця 1'!$B:$B,$A215,'Таблиця 1'!$E:$E,"ПММ",'Таблиця 1'!$L:$L,"Уражено"))</f>
        <v/>
      </c>
      <c r="V215">
        <f>IF($A215="","",COUNTIFS('Таблиця 1'!$B:$B,$A215,'Таблиця 1'!$E:$E,"ІФС",'Таблиця 1'!$L:$L,"Уражено"))</f>
        <v/>
      </c>
      <c r="W215">
        <f>IF($A215="","",COUNTIFS('Таблиця 1'!$B:$B,$A215,'Таблиця 1'!$E:$E,"Інфраструктура",'Таблиця 1'!$L:$L,"Уражено"))</f>
        <v/>
      </c>
      <c r="X215">
        <f>IF($A215="","",SUMIFS('Таблиця 1'!$K:$K,'Таблиця 1'!$B:$B,$A215))</f>
        <v/>
      </c>
    </row>
    <row r="216">
      <c r="A216" s="81">
        <f>IF(A215="","",IF(A215+1&gt;MAX('Таблиця 1'!$B:$B),"",A215+1))</f>
        <v/>
      </c>
      <c r="B216">
        <f>IF($A216="","",COUNTIFS('Таблиця 1'!$B:$B,$A216,'Таблиця 1'!$E:$E,"ЖС ВЗ",'Таблиця 1'!$L:$L,"Уражено"))</f>
        <v/>
      </c>
      <c r="C216">
        <f>IF($A216="","",COUNTIFS('Таблиця 1'!$B:$B,$A216,'Таблиця 1'!$E:$E,"Арт. Системи",'Таблиця 1'!$L:$L,"Уражено"))</f>
        <v/>
      </c>
      <c r="D216">
        <f>IF($A216="","",COUNTIFS('Таблиця 1'!$B:$B,$A216,'Таблиця 1'!$E:$E,"ОВТ",'Таблиця 1'!$L:$L,"Уражено"))</f>
        <v/>
      </c>
      <c r="E216">
        <f>IF($A216="","",COUNTIFS('Таблиця 1'!$B:$B,$A216,'Таблиця 1'!$E:$E,"ППО",'Таблиця 1'!$L:$L,"Уражено"))</f>
        <v/>
      </c>
      <c r="F216">
        <f>IF($A216="","",COUNTIFS('Таблиця 1'!$B:$B,$A216,'Таблиця 1'!$E:$E,"Рембаза",'Таблиця 1'!$L:$L,"Уражено"))</f>
        <v/>
      </c>
      <c r="G216">
        <f>IF($A216="","",COUNTIFS('Таблиця 1'!$B:$B,$A216,'Таблиця 1'!$E:$E,"Склад БК",'Таблиця 1'!$L:$L,"Уражено"))</f>
        <v/>
      </c>
      <c r="H216">
        <f>IF($A216="","",COUNTIFS('Таблиця 1'!$B:$B,$A216,'Таблиця 1'!$E:$E,"Склад ВТМ",'Таблиця 1'!$L:$L,"Уражено"))</f>
        <v/>
      </c>
      <c r="I216">
        <f>IF($A216="","",COUNTIFS('Таблиця 1'!$B:$B,$A216,'Таблиця 1'!$E:$E,"ПУ БпЛА",'Таблиця 1'!$L:$L,"Уражено"))</f>
        <v/>
      </c>
      <c r="J216">
        <f>IF($A216="","",COUNTIFS('Таблиця 1'!$B:$B,$A216,'Таблиця 1'!$E:$E,"СП",'Таблиця 1'!$L:$L,"Уражено"))</f>
        <v/>
      </c>
      <c r="K216">
        <f>IF($A216="","",COUNTIFS('Таблиця 1'!$B:$B,$A216,'Таблиця 1'!$E:$E,"КСП роти",'Таблиця 1'!$L:$L,"Уражено"))</f>
        <v/>
      </c>
      <c r="L216">
        <f>IF($A216="","",COUNTIFS('Таблиця 1'!$B:$B,$A216,'Таблиця 1'!$E:$E,"ПУ бат",'Таблиця 1'!$L:$L,"Уражено"))</f>
        <v/>
      </c>
      <c r="M216">
        <f>IF($A216="","",COUNTIFS('Таблиця 1'!$B:$B,$A216,'Таблиця 1'!$E:$E,"ПУ бриг",'Таблиця 1'!$L:$L,"Уражено"))</f>
        <v/>
      </c>
      <c r="N216">
        <f>IF($A216="","",COUNTIFS('Таблиця 1'!$B:$B,$A216,'Таблиця 1'!$E:$E,"ПУ див",'Таблиця 1'!$L:$L,"Уражено"))</f>
        <v/>
      </c>
      <c r="O216">
        <f>IF($A216="","",COUNTIFS('Таблиця 1'!$B:$B,$A216,'Таблиця 1'!$E:$E,"обл. РЕБ",'Таблиця 1'!$L:$L,"Уражено"))</f>
        <v/>
      </c>
      <c r="P216">
        <f>IF($A216="","",COUNTIFS('Таблиця 1'!$B:$B,$A216,'Таблиця 1'!$E:$E,"пос РЕБ",'Таблиця 1'!$L:$L,"Уражено"))</f>
        <v/>
      </c>
      <c r="Q216">
        <f>IF($A216="","",COUNTIFS('Таблиця 1'!$B:$B,$A216,'Таблиця 1'!$E:$E,"група РЕР",'Таблиця 1'!$L:$L,"Уражено"))</f>
        <v/>
      </c>
      <c r="R216">
        <f>IF($A216="","",COUNTIFS('Таблиця 1'!$B:$B,$A216,'Таблиця 1'!$E:$E,"РЛС КББ",'Таблиця 1'!$L:$L,"Уражено"))</f>
        <v/>
      </c>
      <c r="S216">
        <f>IF($A216="","",COUNTIFS('Таблиця 1'!$B:$B,$A216,'Таблиця 1'!$E:$E,"Ретранслятор",'Таблиця 1'!$L:$L,"Уражено"))</f>
        <v/>
      </c>
      <c r="T216">
        <f>IF($A216="","",COUNTIFS('Таблиця 1'!$B:$B,$A216,'Таблиця 1'!$E:$E,"Вз.зв'язку",'Таблиця 1'!$L:$L,"Уражено"))</f>
        <v/>
      </c>
      <c r="U216">
        <f>IF($A216="","",COUNTIFS('Таблиця 1'!$B:$B,$A216,'Таблиця 1'!$E:$E,"ПММ",'Таблиця 1'!$L:$L,"Уражено"))</f>
        <v/>
      </c>
      <c r="V216">
        <f>IF($A216="","",COUNTIFS('Таблиця 1'!$B:$B,$A216,'Таблиця 1'!$E:$E,"ІФС",'Таблиця 1'!$L:$L,"Уражено"))</f>
        <v/>
      </c>
      <c r="W216">
        <f>IF($A216="","",COUNTIFS('Таблиця 1'!$B:$B,$A216,'Таблиця 1'!$E:$E,"Інфраструктура",'Таблиця 1'!$L:$L,"Уражено"))</f>
        <v/>
      </c>
      <c r="X216">
        <f>IF($A216="","",SUMIFS('Таблиця 1'!$K:$K,'Таблиця 1'!$B:$B,$A216))</f>
        <v/>
      </c>
    </row>
    <row r="217">
      <c r="A217" s="81">
        <f>IF(A216="","",IF(A216+1&gt;MAX('Таблиця 1'!$B:$B),"",A216+1))</f>
        <v/>
      </c>
      <c r="B217">
        <f>IF($A217="","",COUNTIFS('Таблиця 1'!$B:$B,$A217,'Таблиця 1'!$E:$E,"ЖС ВЗ",'Таблиця 1'!$L:$L,"Уражено"))</f>
        <v/>
      </c>
      <c r="C217">
        <f>IF($A217="","",COUNTIFS('Таблиця 1'!$B:$B,$A217,'Таблиця 1'!$E:$E,"Арт. Системи",'Таблиця 1'!$L:$L,"Уражено"))</f>
        <v/>
      </c>
      <c r="D217">
        <f>IF($A217="","",COUNTIFS('Таблиця 1'!$B:$B,$A217,'Таблиця 1'!$E:$E,"ОВТ",'Таблиця 1'!$L:$L,"Уражено"))</f>
        <v/>
      </c>
      <c r="E217">
        <f>IF($A217="","",COUNTIFS('Таблиця 1'!$B:$B,$A217,'Таблиця 1'!$E:$E,"ППО",'Таблиця 1'!$L:$L,"Уражено"))</f>
        <v/>
      </c>
      <c r="F217">
        <f>IF($A217="","",COUNTIFS('Таблиця 1'!$B:$B,$A217,'Таблиця 1'!$E:$E,"Рембаза",'Таблиця 1'!$L:$L,"Уражено"))</f>
        <v/>
      </c>
      <c r="G217">
        <f>IF($A217="","",COUNTIFS('Таблиця 1'!$B:$B,$A217,'Таблиця 1'!$E:$E,"Склад БК",'Таблиця 1'!$L:$L,"Уражено"))</f>
        <v/>
      </c>
      <c r="H217">
        <f>IF($A217="","",COUNTIFS('Таблиця 1'!$B:$B,$A217,'Таблиця 1'!$E:$E,"Склад ВТМ",'Таблиця 1'!$L:$L,"Уражено"))</f>
        <v/>
      </c>
      <c r="I217">
        <f>IF($A217="","",COUNTIFS('Таблиця 1'!$B:$B,$A217,'Таблиця 1'!$E:$E,"ПУ БпЛА",'Таблиця 1'!$L:$L,"Уражено"))</f>
        <v/>
      </c>
      <c r="J217">
        <f>IF($A217="","",COUNTIFS('Таблиця 1'!$B:$B,$A217,'Таблиця 1'!$E:$E,"СП",'Таблиця 1'!$L:$L,"Уражено"))</f>
        <v/>
      </c>
      <c r="K217">
        <f>IF($A217="","",COUNTIFS('Таблиця 1'!$B:$B,$A217,'Таблиця 1'!$E:$E,"КСП роти",'Таблиця 1'!$L:$L,"Уражено"))</f>
        <v/>
      </c>
      <c r="L217">
        <f>IF($A217="","",COUNTIFS('Таблиця 1'!$B:$B,$A217,'Таблиця 1'!$E:$E,"ПУ бат",'Таблиця 1'!$L:$L,"Уражено"))</f>
        <v/>
      </c>
      <c r="M217">
        <f>IF($A217="","",COUNTIFS('Таблиця 1'!$B:$B,$A217,'Таблиця 1'!$E:$E,"ПУ бриг",'Таблиця 1'!$L:$L,"Уражено"))</f>
        <v/>
      </c>
      <c r="N217">
        <f>IF($A217="","",COUNTIFS('Таблиця 1'!$B:$B,$A217,'Таблиця 1'!$E:$E,"ПУ див",'Таблиця 1'!$L:$L,"Уражено"))</f>
        <v/>
      </c>
      <c r="O217">
        <f>IF($A217="","",COUNTIFS('Таблиця 1'!$B:$B,$A217,'Таблиця 1'!$E:$E,"обл. РЕБ",'Таблиця 1'!$L:$L,"Уражено"))</f>
        <v/>
      </c>
      <c r="P217">
        <f>IF($A217="","",COUNTIFS('Таблиця 1'!$B:$B,$A217,'Таблиця 1'!$E:$E,"пос РЕБ",'Таблиця 1'!$L:$L,"Уражено"))</f>
        <v/>
      </c>
      <c r="Q217">
        <f>IF($A217="","",COUNTIFS('Таблиця 1'!$B:$B,$A217,'Таблиця 1'!$E:$E,"група РЕР",'Таблиця 1'!$L:$L,"Уражено"))</f>
        <v/>
      </c>
      <c r="R217">
        <f>IF($A217="","",COUNTIFS('Таблиця 1'!$B:$B,$A217,'Таблиця 1'!$E:$E,"РЛС КББ",'Таблиця 1'!$L:$L,"Уражено"))</f>
        <v/>
      </c>
      <c r="S217">
        <f>IF($A217="","",COUNTIFS('Таблиця 1'!$B:$B,$A217,'Таблиця 1'!$E:$E,"Ретранслятор",'Таблиця 1'!$L:$L,"Уражено"))</f>
        <v/>
      </c>
      <c r="T217">
        <f>IF($A217="","",COUNTIFS('Таблиця 1'!$B:$B,$A217,'Таблиця 1'!$E:$E,"Вз.зв'язку",'Таблиця 1'!$L:$L,"Уражено"))</f>
        <v/>
      </c>
      <c r="U217">
        <f>IF($A217="","",COUNTIFS('Таблиця 1'!$B:$B,$A217,'Таблиця 1'!$E:$E,"ПММ",'Таблиця 1'!$L:$L,"Уражено"))</f>
        <v/>
      </c>
      <c r="V217">
        <f>IF($A217="","",COUNTIFS('Таблиця 1'!$B:$B,$A217,'Таблиця 1'!$E:$E,"ІФС",'Таблиця 1'!$L:$L,"Уражено"))</f>
        <v/>
      </c>
      <c r="W217">
        <f>IF($A217="","",COUNTIFS('Таблиця 1'!$B:$B,$A217,'Таблиця 1'!$E:$E,"Інфраструктура",'Таблиця 1'!$L:$L,"Уражено"))</f>
        <v/>
      </c>
      <c r="X217">
        <f>IF($A217="","",SUMIFS('Таблиця 1'!$K:$K,'Таблиця 1'!$B:$B,$A217))</f>
        <v/>
      </c>
    </row>
    <row r="218">
      <c r="A218" s="81">
        <f>IF(A217="","",IF(A217+1&gt;MAX('Таблиця 1'!$B:$B),"",A217+1))</f>
        <v/>
      </c>
      <c r="B218">
        <f>IF($A218="","",COUNTIFS('Таблиця 1'!$B:$B,$A218,'Таблиця 1'!$E:$E,"ЖС ВЗ",'Таблиця 1'!$L:$L,"Уражено"))</f>
        <v/>
      </c>
      <c r="C218">
        <f>IF($A218="","",COUNTIFS('Таблиця 1'!$B:$B,$A218,'Таблиця 1'!$E:$E,"Арт. Системи",'Таблиця 1'!$L:$L,"Уражено"))</f>
        <v/>
      </c>
      <c r="D218">
        <f>IF($A218="","",COUNTIFS('Таблиця 1'!$B:$B,$A218,'Таблиця 1'!$E:$E,"ОВТ",'Таблиця 1'!$L:$L,"Уражено"))</f>
        <v/>
      </c>
      <c r="E218">
        <f>IF($A218="","",COUNTIFS('Таблиця 1'!$B:$B,$A218,'Таблиця 1'!$E:$E,"ППО",'Таблиця 1'!$L:$L,"Уражено"))</f>
        <v/>
      </c>
      <c r="F218">
        <f>IF($A218="","",COUNTIFS('Таблиця 1'!$B:$B,$A218,'Таблиця 1'!$E:$E,"Рембаза",'Таблиця 1'!$L:$L,"Уражено"))</f>
        <v/>
      </c>
      <c r="G218">
        <f>IF($A218="","",COUNTIFS('Таблиця 1'!$B:$B,$A218,'Таблиця 1'!$E:$E,"Склад БК",'Таблиця 1'!$L:$L,"Уражено"))</f>
        <v/>
      </c>
      <c r="H218">
        <f>IF($A218="","",COUNTIFS('Таблиця 1'!$B:$B,$A218,'Таблиця 1'!$E:$E,"Склад ВТМ",'Таблиця 1'!$L:$L,"Уражено"))</f>
        <v/>
      </c>
      <c r="I218">
        <f>IF($A218="","",COUNTIFS('Таблиця 1'!$B:$B,$A218,'Таблиця 1'!$E:$E,"ПУ БпЛА",'Таблиця 1'!$L:$L,"Уражено"))</f>
        <v/>
      </c>
      <c r="J218">
        <f>IF($A218="","",COUNTIFS('Таблиця 1'!$B:$B,$A218,'Таблиця 1'!$E:$E,"СП",'Таблиця 1'!$L:$L,"Уражено"))</f>
        <v/>
      </c>
      <c r="K218">
        <f>IF($A218="","",COUNTIFS('Таблиця 1'!$B:$B,$A218,'Таблиця 1'!$E:$E,"КСП роти",'Таблиця 1'!$L:$L,"Уражено"))</f>
        <v/>
      </c>
      <c r="L218">
        <f>IF($A218="","",COUNTIFS('Таблиця 1'!$B:$B,$A218,'Таблиця 1'!$E:$E,"ПУ бат",'Таблиця 1'!$L:$L,"Уражено"))</f>
        <v/>
      </c>
      <c r="M218">
        <f>IF($A218="","",COUNTIFS('Таблиця 1'!$B:$B,$A218,'Таблиця 1'!$E:$E,"ПУ бриг",'Таблиця 1'!$L:$L,"Уражено"))</f>
        <v/>
      </c>
      <c r="N218">
        <f>IF($A218="","",COUNTIFS('Таблиця 1'!$B:$B,$A218,'Таблиця 1'!$E:$E,"ПУ див",'Таблиця 1'!$L:$L,"Уражено"))</f>
        <v/>
      </c>
      <c r="O218">
        <f>IF($A218="","",COUNTIFS('Таблиця 1'!$B:$B,$A218,'Таблиця 1'!$E:$E,"обл. РЕБ",'Таблиця 1'!$L:$L,"Уражено"))</f>
        <v/>
      </c>
      <c r="P218">
        <f>IF($A218="","",COUNTIFS('Таблиця 1'!$B:$B,$A218,'Таблиця 1'!$E:$E,"пос РЕБ",'Таблиця 1'!$L:$L,"Уражено"))</f>
        <v/>
      </c>
      <c r="Q218">
        <f>IF($A218="","",COUNTIFS('Таблиця 1'!$B:$B,$A218,'Таблиця 1'!$E:$E,"група РЕР",'Таблиця 1'!$L:$L,"Уражено"))</f>
        <v/>
      </c>
      <c r="R218">
        <f>IF($A218="","",COUNTIFS('Таблиця 1'!$B:$B,$A218,'Таблиця 1'!$E:$E,"РЛС КББ",'Таблиця 1'!$L:$L,"Уражено"))</f>
        <v/>
      </c>
      <c r="S218">
        <f>IF($A218="","",COUNTIFS('Таблиця 1'!$B:$B,$A218,'Таблиця 1'!$E:$E,"Ретранслятор",'Таблиця 1'!$L:$L,"Уражено"))</f>
        <v/>
      </c>
      <c r="T218">
        <f>IF($A218="","",COUNTIFS('Таблиця 1'!$B:$B,$A218,'Таблиця 1'!$E:$E,"Вз.зв'язку",'Таблиця 1'!$L:$L,"Уражено"))</f>
        <v/>
      </c>
      <c r="U218">
        <f>IF($A218="","",COUNTIFS('Таблиця 1'!$B:$B,$A218,'Таблиця 1'!$E:$E,"ПММ",'Таблиця 1'!$L:$L,"Уражено"))</f>
        <v/>
      </c>
      <c r="V218">
        <f>IF($A218="","",COUNTIFS('Таблиця 1'!$B:$B,$A218,'Таблиця 1'!$E:$E,"ІФС",'Таблиця 1'!$L:$L,"Уражено"))</f>
        <v/>
      </c>
      <c r="W218">
        <f>IF($A218="","",COUNTIFS('Таблиця 1'!$B:$B,$A218,'Таблиця 1'!$E:$E,"Інфраструктура",'Таблиця 1'!$L:$L,"Уражено"))</f>
        <v/>
      </c>
      <c r="X218">
        <f>IF($A218="","",SUMIFS('Таблиця 1'!$K:$K,'Таблиця 1'!$B:$B,$A218))</f>
        <v/>
      </c>
    </row>
    <row r="219">
      <c r="A219" s="81">
        <f>IF(A218="","",IF(A218+1&gt;MAX('Таблиця 1'!$B:$B),"",A218+1))</f>
        <v/>
      </c>
      <c r="B219">
        <f>IF($A219="","",COUNTIFS('Таблиця 1'!$B:$B,$A219,'Таблиця 1'!$E:$E,"ЖС ВЗ",'Таблиця 1'!$L:$L,"Уражено"))</f>
        <v/>
      </c>
      <c r="C219">
        <f>IF($A219="","",COUNTIFS('Таблиця 1'!$B:$B,$A219,'Таблиця 1'!$E:$E,"Арт. Системи",'Таблиця 1'!$L:$L,"Уражено"))</f>
        <v/>
      </c>
      <c r="D219">
        <f>IF($A219="","",COUNTIFS('Таблиця 1'!$B:$B,$A219,'Таблиця 1'!$E:$E,"ОВТ",'Таблиця 1'!$L:$L,"Уражено"))</f>
        <v/>
      </c>
      <c r="E219">
        <f>IF($A219="","",COUNTIFS('Таблиця 1'!$B:$B,$A219,'Таблиця 1'!$E:$E,"ППО",'Таблиця 1'!$L:$L,"Уражено"))</f>
        <v/>
      </c>
      <c r="F219">
        <f>IF($A219="","",COUNTIFS('Таблиця 1'!$B:$B,$A219,'Таблиця 1'!$E:$E,"Рембаза",'Таблиця 1'!$L:$L,"Уражено"))</f>
        <v/>
      </c>
      <c r="G219">
        <f>IF($A219="","",COUNTIFS('Таблиця 1'!$B:$B,$A219,'Таблиця 1'!$E:$E,"Склад БК",'Таблиця 1'!$L:$L,"Уражено"))</f>
        <v/>
      </c>
      <c r="H219">
        <f>IF($A219="","",COUNTIFS('Таблиця 1'!$B:$B,$A219,'Таблиця 1'!$E:$E,"Склад ВТМ",'Таблиця 1'!$L:$L,"Уражено"))</f>
        <v/>
      </c>
      <c r="I219">
        <f>IF($A219="","",COUNTIFS('Таблиця 1'!$B:$B,$A219,'Таблиця 1'!$E:$E,"ПУ БпЛА",'Таблиця 1'!$L:$L,"Уражено"))</f>
        <v/>
      </c>
      <c r="J219">
        <f>IF($A219="","",COUNTIFS('Таблиця 1'!$B:$B,$A219,'Таблиця 1'!$E:$E,"СП",'Таблиця 1'!$L:$L,"Уражено"))</f>
        <v/>
      </c>
      <c r="K219">
        <f>IF($A219="","",COUNTIFS('Таблиця 1'!$B:$B,$A219,'Таблиця 1'!$E:$E,"КСП роти",'Таблиця 1'!$L:$L,"Уражено"))</f>
        <v/>
      </c>
      <c r="L219">
        <f>IF($A219="","",COUNTIFS('Таблиця 1'!$B:$B,$A219,'Таблиця 1'!$E:$E,"ПУ бат",'Таблиця 1'!$L:$L,"Уражено"))</f>
        <v/>
      </c>
      <c r="M219">
        <f>IF($A219="","",COUNTIFS('Таблиця 1'!$B:$B,$A219,'Таблиця 1'!$E:$E,"ПУ бриг",'Таблиця 1'!$L:$L,"Уражено"))</f>
        <v/>
      </c>
      <c r="N219">
        <f>IF($A219="","",COUNTIFS('Таблиця 1'!$B:$B,$A219,'Таблиця 1'!$E:$E,"ПУ див",'Таблиця 1'!$L:$L,"Уражено"))</f>
        <v/>
      </c>
      <c r="O219">
        <f>IF($A219="","",COUNTIFS('Таблиця 1'!$B:$B,$A219,'Таблиця 1'!$E:$E,"обл. РЕБ",'Таблиця 1'!$L:$L,"Уражено"))</f>
        <v/>
      </c>
      <c r="P219">
        <f>IF($A219="","",COUNTIFS('Таблиця 1'!$B:$B,$A219,'Таблиця 1'!$E:$E,"пос РЕБ",'Таблиця 1'!$L:$L,"Уражено"))</f>
        <v/>
      </c>
      <c r="Q219">
        <f>IF($A219="","",COUNTIFS('Таблиця 1'!$B:$B,$A219,'Таблиця 1'!$E:$E,"група РЕР",'Таблиця 1'!$L:$L,"Уражено"))</f>
        <v/>
      </c>
      <c r="R219">
        <f>IF($A219="","",COUNTIFS('Таблиця 1'!$B:$B,$A219,'Таблиця 1'!$E:$E,"РЛС КББ",'Таблиця 1'!$L:$L,"Уражено"))</f>
        <v/>
      </c>
      <c r="S219">
        <f>IF($A219="","",COUNTIFS('Таблиця 1'!$B:$B,$A219,'Таблиця 1'!$E:$E,"Ретранслятор",'Таблиця 1'!$L:$L,"Уражено"))</f>
        <v/>
      </c>
      <c r="T219">
        <f>IF($A219="","",COUNTIFS('Таблиця 1'!$B:$B,$A219,'Таблиця 1'!$E:$E,"Вз.зв'язку",'Таблиця 1'!$L:$L,"Уражено"))</f>
        <v/>
      </c>
      <c r="U219">
        <f>IF($A219="","",COUNTIFS('Таблиця 1'!$B:$B,$A219,'Таблиця 1'!$E:$E,"ПММ",'Таблиця 1'!$L:$L,"Уражено"))</f>
        <v/>
      </c>
      <c r="V219">
        <f>IF($A219="","",COUNTIFS('Таблиця 1'!$B:$B,$A219,'Таблиця 1'!$E:$E,"ІФС",'Таблиця 1'!$L:$L,"Уражено"))</f>
        <v/>
      </c>
      <c r="W219">
        <f>IF($A219="","",COUNTIFS('Таблиця 1'!$B:$B,$A219,'Таблиця 1'!$E:$E,"Інфраструктура",'Таблиця 1'!$L:$L,"Уражено"))</f>
        <v/>
      </c>
      <c r="X219">
        <f>IF($A219="","",SUMIFS('Таблиця 1'!$K:$K,'Таблиця 1'!$B:$B,$A219))</f>
        <v/>
      </c>
    </row>
    <row r="220">
      <c r="A220" s="81">
        <f>IF(A219="","",IF(A219+1&gt;MAX('Таблиця 1'!$B:$B),"",A219+1))</f>
        <v/>
      </c>
      <c r="B220">
        <f>IF($A220="","",COUNTIFS('Таблиця 1'!$B:$B,$A220,'Таблиця 1'!$E:$E,"ЖС ВЗ",'Таблиця 1'!$L:$L,"Уражено"))</f>
        <v/>
      </c>
      <c r="C220">
        <f>IF($A220="","",COUNTIFS('Таблиця 1'!$B:$B,$A220,'Таблиця 1'!$E:$E,"Арт. Системи",'Таблиця 1'!$L:$L,"Уражено"))</f>
        <v/>
      </c>
      <c r="D220">
        <f>IF($A220="","",COUNTIFS('Таблиця 1'!$B:$B,$A220,'Таблиця 1'!$E:$E,"ОВТ",'Таблиця 1'!$L:$L,"Уражено"))</f>
        <v/>
      </c>
      <c r="E220">
        <f>IF($A220="","",COUNTIFS('Таблиця 1'!$B:$B,$A220,'Таблиця 1'!$E:$E,"ППО",'Таблиця 1'!$L:$L,"Уражено"))</f>
        <v/>
      </c>
      <c r="F220">
        <f>IF($A220="","",COUNTIFS('Таблиця 1'!$B:$B,$A220,'Таблиця 1'!$E:$E,"Рембаза",'Таблиця 1'!$L:$L,"Уражено"))</f>
        <v/>
      </c>
      <c r="G220">
        <f>IF($A220="","",COUNTIFS('Таблиця 1'!$B:$B,$A220,'Таблиця 1'!$E:$E,"Склад БК",'Таблиця 1'!$L:$L,"Уражено"))</f>
        <v/>
      </c>
      <c r="H220">
        <f>IF($A220="","",COUNTIFS('Таблиця 1'!$B:$B,$A220,'Таблиця 1'!$E:$E,"Склад ВТМ",'Таблиця 1'!$L:$L,"Уражено"))</f>
        <v/>
      </c>
      <c r="I220">
        <f>IF($A220="","",COUNTIFS('Таблиця 1'!$B:$B,$A220,'Таблиця 1'!$E:$E,"ПУ БпЛА",'Таблиця 1'!$L:$L,"Уражено"))</f>
        <v/>
      </c>
      <c r="J220">
        <f>IF($A220="","",COUNTIFS('Таблиця 1'!$B:$B,$A220,'Таблиця 1'!$E:$E,"СП",'Таблиця 1'!$L:$L,"Уражено"))</f>
        <v/>
      </c>
      <c r="K220">
        <f>IF($A220="","",COUNTIFS('Таблиця 1'!$B:$B,$A220,'Таблиця 1'!$E:$E,"КСП роти",'Таблиця 1'!$L:$L,"Уражено"))</f>
        <v/>
      </c>
      <c r="L220">
        <f>IF($A220="","",COUNTIFS('Таблиця 1'!$B:$B,$A220,'Таблиця 1'!$E:$E,"ПУ бат",'Таблиця 1'!$L:$L,"Уражено"))</f>
        <v/>
      </c>
      <c r="M220">
        <f>IF($A220="","",COUNTIFS('Таблиця 1'!$B:$B,$A220,'Таблиця 1'!$E:$E,"ПУ бриг",'Таблиця 1'!$L:$L,"Уражено"))</f>
        <v/>
      </c>
      <c r="N220">
        <f>IF($A220="","",COUNTIFS('Таблиця 1'!$B:$B,$A220,'Таблиця 1'!$E:$E,"ПУ див",'Таблиця 1'!$L:$L,"Уражено"))</f>
        <v/>
      </c>
      <c r="O220">
        <f>IF($A220="","",COUNTIFS('Таблиця 1'!$B:$B,$A220,'Таблиця 1'!$E:$E,"обл. РЕБ",'Таблиця 1'!$L:$L,"Уражено"))</f>
        <v/>
      </c>
      <c r="P220">
        <f>IF($A220="","",COUNTIFS('Таблиця 1'!$B:$B,$A220,'Таблиця 1'!$E:$E,"пос РЕБ",'Таблиця 1'!$L:$L,"Уражено"))</f>
        <v/>
      </c>
      <c r="Q220">
        <f>IF($A220="","",COUNTIFS('Таблиця 1'!$B:$B,$A220,'Таблиця 1'!$E:$E,"група РЕР",'Таблиця 1'!$L:$L,"Уражено"))</f>
        <v/>
      </c>
      <c r="R220">
        <f>IF($A220="","",COUNTIFS('Таблиця 1'!$B:$B,$A220,'Таблиця 1'!$E:$E,"РЛС КББ",'Таблиця 1'!$L:$L,"Уражено"))</f>
        <v/>
      </c>
      <c r="S220">
        <f>IF($A220="","",COUNTIFS('Таблиця 1'!$B:$B,$A220,'Таблиця 1'!$E:$E,"Ретранслятор",'Таблиця 1'!$L:$L,"Уражено"))</f>
        <v/>
      </c>
      <c r="T220">
        <f>IF($A220="","",COUNTIFS('Таблиця 1'!$B:$B,$A220,'Таблиця 1'!$E:$E,"Вз.зв'язку",'Таблиця 1'!$L:$L,"Уражено"))</f>
        <v/>
      </c>
      <c r="U220">
        <f>IF($A220="","",COUNTIFS('Таблиця 1'!$B:$B,$A220,'Таблиця 1'!$E:$E,"ПММ",'Таблиця 1'!$L:$L,"Уражено"))</f>
        <v/>
      </c>
      <c r="V220">
        <f>IF($A220="","",COUNTIFS('Таблиця 1'!$B:$B,$A220,'Таблиця 1'!$E:$E,"ІФС",'Таблиця 1'!$L:$L,"Уражено"))</f>
        <v/>
      </c>
      <c r="W220">
        <f>IF($A220="","",COUNTIFS('Таблиця 1'!$B:$B,$A220,'Таблиця 1'!$E:$E,"Інфраструктура",'Таблиця 1'!$L:$L,"Уражено"))</f>
        <v/>
      </c>
      <c r="X220">
        <f>IF($A220="","",SUMIFS('Таблиця 1'!$K:$K,'Таблиця 1'!$B:$B,$A220))</f>
        <v/>
      </c>
    </row>
    <row r="221">
      <c r="A221" s="81">
        <f>IF(A220="","",IF(A220+1&gt;MAX('Таблиця 1'!$B:$B),"",A220+1))</f>
        <v/>
      </c>
      <c r="B221">
        <f>IF($A221="","",COUNTIFS('Таблиця 1'!$B:$B,$A221,'Таблиця 1'!$E:$E,"ЖС ВЗ",'Таблиця 1'!$L:$L,"Уражено"))</f>
        <v/>
      </c>
      <c r="C221">
        <f>IF($A221="","",COUNTIFS('Таблиця 1'!$B:$B,$A221,'Таблиця 1'!$E:$E,"Арт. Системи",'Таблиця 1'!$L:$L,"Уражено"))</f>
        <v/>
      </c>
      <c r="D221">
        <f>IF($A221="","",COUNTIFS('Таблиця 1'!$B:$B,$A221,'Таблиця 1'!$E:$E,"ОВТ",'Таблиця 1'!$L:$L,"Уражено"))</f>
        <v/>
      </c>
      <c r="E221">
        <f>IF($A221="","",COUNTIFS('Таблиця 1'!$B:$B,$A221,'Таблиця 1'!$E:$E,"ППО",'Таблиця 1'!$L:$L,"Уражено"))</f>
        <v/>
      </c>
      <c r="F221">
        <f>IF($A221="","",COUNTIFS('Таблиця 1'!$B:$B,$A221,'Таблиця 1'!$E:$E,"Рембаза",'Таблиця 1'!$L:$L,"Уражено"))</f>
        <v/>
      </c>
      <c r="G221">
        <f>IF($A221="","",COUNTIFS('Таблиця 1'!$B:$B,$A221,'Таблиця 1'!$E:$E,"Склад БК",'Таблиця 1'!$L:$L,"Уражено"))</f>
        <v/>
      </c>
      <c r="H221">
        <f>IF($A221="","",COUNTIFS('Таблиця 1'!$B:$B,$A221,'Таблиця 1'!$E:$E,"Склад ВТМ",'Таблиця 1'!$L:$L,"Уражено"))</f>
        <v/>
      </c>
      <c r="I221">
        <f>IF($A221="","",COUNTIFS('Таблиця 1'!$B:$B,$A221,'Таблиця 1'!$E:$E,"ПУ БпЛА",'Таблиця 1'!$L:$L,"Уражено"))</f>
        <v/>
      </c>
      <c r="J221">
        <f>IF($A221="","",COUNTIFS('Таблиця 1'!$B:$B,$A221,'Таблиця 1'!$E:$E,"СП",'Таблиця 1'!$L:$L,"Уражено"))</f>
        <v/>
      </c>
      <c r="K221">
        <f>IF($A221="","",COUNTIFS('Таблиця 1'!$B:$B,$A221,'Таблиця 1'!$E:$E,"КСП роти",'Таблиця 1'!$L:$L,"Уражено"))</f>
        <v/>
      </c>
      <c r="L221">
        <f>IF($A221="","",COUNTIFS('Таблиця 1'!$B:$B,$A221,'Таблиця 1'!$E:$E,"ПУ бат",'Таблиця 1'!$L:$L,"Уражено"))</f>
        <v/>
      </c>
      <c r="M221">
        <f>IF($A221="","",COUNTIFS('Таблиця 1'!$B:$B,$A221,'Таблиця 1'!$E:$E,"ПУ бриг",'Таблиця 1'!$L:$L,"Уражено"))</f>
        <v/>
      </c>
      <c r="N221">
        <f>IF($A221="","",COUNTIFS('Таблиця 1'!$B:$B,$A221,'Таблиця 1'!$E:$E,"ПУ див",'Таблиця 1'!$L:$L,"Уражено"))</f>
        <v/>
      </c>
      <c r="O221">
        <f>IF($A221="","",COUNTIFS('Таблиця 1'!$B:$B,$A221,'Таблиця 1'!$E:$E,"обл. РЕБ",'Таблиця 1'!$L:$L,"Уражено"))</f>
        <v/>
      </c>
      <c r="P221">
        <f>IF($A221="","",COUNTIFS('Таблиця 1'!$B:$B,$A221,'Таблиця 1'!$E:$E,"пос РЕБ",'Таблиця 1'!$L:$L,"Уражено"))</f>
        <v/>
      </c>
      <c r="Q221">
        <f>IF($A221="","",COUNTIFS('Таблиця 1'!$B:$B,$A221,'Таблиця 1'!$E:$E,"група РЕР",'Таблиця 1'!$L:$L,"Уражено"))</f>
        <v/>
      </c>
      <c r="R221">
        <f>IF($A221="","",COUNTIFS('Таблиця 1'!$B:$B,$A221,'Таблиця 1'!$E:$E,"РЛС КББ",'Таблиця 1'!$L:$L,"Уражено"))</f>
        <v/>
      </c>
      <c r="S221">
        <f>IF($A221="","",COUNTIFS('Таблиця 1'!$B:$B,$A221,'Таблиця 1'!$E:$E,"Ретранслятор",'Таблиця 1'!$L:$L,"Уражено"))</f>
        <v/>
      </c>
      <c r="T221">
        <f>IF($A221="","",COUNTIFS('Таблиця 1'!$B:$B,$A221,'Таблиця 1'!$E:$E,"Вз.зв'язку",'Таблиця 1'!$L:$L,"Уражено"))</f>
        <v/>
      </c>
      <c r="U221">
        <f>IF($A221="","",COUNTIFS('Таблиця 1'!$B:$B,$A221,'Таблиця 1'!$E:$E,"ПММ",'Таблиця 1'!$L:$L,"Уражено"))</f>
        <v/>
      </c>
      <c r="V221">
        <f>IF($A221="","",COUNTIFS('Таблиця 1'!$B:$B,$A221,'Таблиця 1'!$E:$E,"ІФС",'Таблиця 1'!$L:$L,"Уражено"))</f>
        <v/>
      </c>
      <c r="W221">
        <f>IF($A221="","",COUNTIFS('Таблиця 1'!$B:$B,$A221,'Таблиця 1'!$E:$E,"Інфраструктура",'Таблиця 1'!$L:$L,"Уражено"))</f>
        <v/>
      </c>
      <c r="X221">
        <f>IF($A221="","",SUMIFS('Таблиця 1'!$K:$K,'Таблиця 1'!$B:$B,$A221))</f>
        <v/>
      </c>
    </row>
    <row r="222">
      <c r="A222" s="81">
        <f>IF(A221="","",IF(A221+1&gt;MAX('Таблиця 1'!$B:$B),"",A221+1))</f>
        <v/>
      </c>
      <c r="B222">
        <f>IF($A222="","",COUNTIFS('Таблиця 1'!$B:$B,$A222,'Таблиця 1'!$E:$E,"ЖС ВЗ",'Таблиця 1'!$L:$L,"Уражено"))</f>
        <v/>
      </c>
      <c r="C222">
        <f>IF($A222="","",COUNTIFS('Таблиця 1'!$B:$B,$A222,'Таблиця 1'!$E:$E,"Арт. Системи",'Таблиця 1'!$L:$L,"Уражено"))</f>
        <v/>
      </c>
      <c r="D222">
        <f>IF($A222="","",COUNTIFS('Таблиця 1'!$B:$B,$A222,'Таблиця 1'!$E:$E,"ОВТ",'Таблиця 1'!$L:$L,"Уражено"))</f>
        <v/>
      </c>
      <c r="E222">
        <f>IF($A222="","",COUNTIFS('Таблиця 1'!$B:$B,$A222,'Таблиця 1'!$E:$E,"ППО",'Таблиця 1'!$L:$L,"Уражено"))</f>
        <v/>
      </c>
      <c r="F222">
        <f>IF($A222="","",COUNTIFS('Таблиця 1'!$B:$B,$A222,'Таблиця 1'!$E:$E,"Рембаза",'Таблиця 1'!$L:$L,"Уражено"))</f>
        <v/>
      </c>
      <c r="G222">
        <f>IF($A222="","",COUNTIFS('Таблиця 1'!$B:$B,$A222,'Таблиця 1'!$E:$E,"Склад БК",'Таблиця 1'!$L:$L,"Уражено"))</f>
        <v/>
      </c>
      <c r="H222">
        <f>IF($A222="","",COUNTIFS('Таблиця 1'!$B:$B,$A222,'Таблиця 1'!$E:$E,"Склад ВТМ",'Таблиця 1'!$L:$L,"Уражено"))</f>
        <v/>
      </c>
      <c r="I222">
        <f>IF($A222="","",COUNTIFS('Таблиця 1'!$B:$B,$A222,'Таблиця 1'!$E:$E,"ПУ БпЛА",'Таблиця 1'!$L:$L,"Уражено"))</f>
        <v/>
      </c>
      <c r="J222">
        <f>IF($A222="","",COUNTIFS('Таблиця 1'!$B:$B,$A222,'Таблиця 1'!$E:$E,"СП",'Таблиця 1'!$L:$L,"Уражено"))</f>
        <v/>
      </c>
      <c r="K222">
        <f>IF($A222="","",COUNTIFS('Таблиця 1'!$B:$B,$A222,'Таблиця 1'!$E:$E,"КСП роти",'Таблиця 1'!$L:$L,"Уражено"))</f>
        <v/>
      </c>
      <c r="L222">
        <f>IF($A222="","",COUNTIFS('Таблиця 1'!$B:$B,$A222,'Таблиця 1'!$E:$E,"ПУ бат",'Таблиця 1'!$L:$L,"Уражено"))</f>
        <v/>
      </c>
      <c r="M222">
        <f>IF($A222="","",COUNTIFS('Таблиця 1'!$B:$B,$A222,'Таблиця 1'!$E:$E,"ПУ бриг",'Таблиця 1'!$L:$L,"Уражено"))</f>
        <v/>
      </c>
      <c r="N222">
        <f>IF($A222="","",COUNTIFS('Таблиця 1'!$B:$B,$A222,'Таблиця 1'!$E:$E,"ПУ див",'Таблиця 1'!$L:$L,"Уражено"))</f>
        <v/>
      </c>
      <c r="O222">
        <f>IF($A222="","",COUNTIFS('Таблиця 1'!$B:$B,$A222,'Таблиця 1'!$E:$E,"обл. РЕБ",'Таблиця 1'!$L:$L,"Уражено"))</f>
        <v/>
      </c>
      <c r="P222">
        <f>IF($A222="","",COUNTIFS('Таблиця 1'!$B:$B,$A222,'Таблиця 1'!$E:$E,"пос РЕБ",'Таблиця 1'!$L:$L,"Уражено"))</f>
        <v/>
      </c>
      <c r="Q222">
        <f>IF($A222="","",COUNTIFS('Таблиця 1'!$B:$B,$A222,'Таблиця 1'!$E:$E,"група РЕР",'Таблиця 1'!$L:$L,"Уражено"))</f>
        <v/>
      </c>
      <c r="R222">
        <f>IF($A222="","",COUNTIFS('Таблиця 1'!$B:$B,$A222,'Таблиця 1'!$E:$E,"РЛС КББ",'Таблиця 1'!$L:$L,"Уражено"))</f>
        <v/>
      </c>
      <c r="S222">
        <f>IF($A222="","",COUNTIFS('Таблиця 1'!$B:$B,$A222,'Таблиця 1'!$E:$E,"Ретранслятор",'Таблиця 1'!$L:$L,"Уражено"))</f>
        <v/>
      </c>
      <c r="T222">
        <f>IF($A222="","",COUNTIFS('Таблиця 1'!$B:$B,$A222,'Таблиця 1'!$E:$E,"Вз.зв'язку",'Таблиця 1'!$L:$L,"Уражено"))</f>
        <v/>
      </c>
      <c r="U222">
        <f>IF($A222="","",COUNTIFS('Таблиця 1'!$B:$B,$A222,'Таблиця 1'!$E:$E,"ПММ",'Таблиця 1'!$L:$L,"Уражено"))</f>
        <v/>
      </c>
      <c r="V222">
        <f>IF($A222="","",COUNTIFS('Таблиця 1'!$B:$B,$A222,'Таблиця 1'!$E:$E,"ІФС",'Таблиця 1'!$L:$L,"Уражено"))</f>
        <v/>
      </c>
      <c r="W222">
        <f>IF($A222="","",COUNTIFS('Таблиця 1'!$B:$B,$A222,'Таблиця 1'!$E:$E,"Інфраструктура",'Таблиця 1'!$L:$L,"Уражено"))</f>
        <v/>
      </c>
      <c r="X222">
        <f>IF($A222="","",SUMIFS('Таблиця 1'!$K:$K,'Таблиця 1'!$B:$B,$A222))</f>
        <v/>
      </c>
    </row>
    <row r="223">
      <c r="A223" s="81">
        <f>IF(A222="","",IF(A222+1&gt;MAX('Таблиця 1'!$B:$B),"",A222+1))</f>
        <v/>
      </c>
      <c r="B223">
        <f>IF($A223="","",COUNTIFS('Таблиця 1'!$B:$B,$A223,'Таблиця 1'!$E:$E,"ЖС ВЗ",'Таблиця 1'!$L:$L,"Уражено"))</f>
        <v/>
      </c>
      <c r="C223">
        <f>IF($A223="","",COUNTIFS('Таблиця 1'!$B:$B,$A223,'Таблиця 1'!$E:$E,"Арт. Системи",'Таблиця 1'!$L:$L,"Уражено"))</f>
        <v/>
      </c>
      <c r="D223">
        <f>IF($A223="","",COUNTIFS('Таблиця 1'!$B:$B,$A223,'Таблиця 1'!$E:$E,"ОВТ",'Таблиця 1'!$L:$L,"Уражено"))</f>
        <v/>
      </c>
      <c r="E223">
        <f>IF($A223="","",COUNTIFS('Таблиця 1'!$B:$B,$A223,'Таблиця 1'!$E:$E,"ППО",'Таблиця 1'!$L:$L,"Уражено"))</f>
        <v/>
      </c>
      <c r="F223">
        <f>IF($A223="","",COUNTIFS('Таблиця 1'!$B:$B,$A223,'Таблиця 1'!$E:$E,"Рембаза",'Таблиця 1'!$L:$L,"Уражено"))</f>
        <v/>
      </c>
      <c r="G223">
        <f>IF($A223="","",COUNTIFS('Таблиця 1'!$B:$B,$A223,'Таблиця 1'!$E:$E,"Склад БК",'Таблиця 1'!$L:$L,"Уражено"))</f>
        <v/>
      </c>
      <c r="H223">
        <f>IF($A223="","",COUNTIFS('Таблиця 1'!$B:$B,$A223,'Таблиця 1'!$E:$E,"Склад ВТМ",'Таблиця 1'!$L:$L,"Уражено"))</f>
        <v/>
      </c>
      <c r="I223">
        <f>IF($A223="","",COUNTIFS('Таблиця 1'!$B:$B,$A223,'Таблиця 1'!$E:$E,"ПУ БпЛА",'Таблиця 1'!$L:$L,"Уражено"))</f>
        <v/>
      </c>
      <c r="J223">
        <f>IF($A223="","",COUNTIFS('Таблиця 1'!$B:$B,$A223,'Таблиця 1'!$E:$E,"СП",'Таблиця 1'!$L:$L,"Уражено"))</f>
        <v/>
      </c>
      <c r="K223">
        <f>IF($A223="","",COUNTIFS('Таблиця 1'!$B:$B,$A223,'Таблиця 1'!$E:$E,"КСП роти",'Таблиця 1'!$L:$L,"Уражено"))</f>
        <v/>
      </c>
      <c r="L223">
        <f>IF($A223="","",COUNTIFS('Таблиця 1'!$B:$B,$A223,'Таблиця 1'!$E:$E,"ПУ бат",'Таблиця 1'!$L:$L,"Уражено"))</f>
        <v/>
      </c>
      <c r="M223">
        <f>IF($A223="","",COUNTIFS('Таблиця 1'!$B:$B,$A223,'Таблиця 1'!$E:$E,"ПУ бриг",'Таблиця 1'!$L:$L,"Уражено"))</f>
        <v/>
      </c>
      <c r="N223">
        <f>IF($A223="","",COUNTIFS('Таблиця 1'!$B:$B,$A223,'Таблиця 1'!$E:$E,"ПУ див",'Таблиця 1'!$L:$L,"Уражено"))</f>
        <v/>
      </c>
      <c r="O223">
        <f>IF($A223="","",COUNTIFS('Таблиця 1'!$B:$B,$A223,'Таблиця 1'!$E:$E,"обл. РЕБ",'Таблиця 1'!$L:$L,"Уражено"))</f>
        <v/>
      </c>
      <c r="P223">
        <f>IF($A223="","",COUNTIFS('Таблиця 1'!$B:$B,$A223,'Таблиця 1'!$E:$E,"пос РЕБ",'Таблиця 1'!$L:$L,"Уражено"))</f>
        <v/>
      </c>
      <c r="Q223">
        <f>IF($A223="","",COUNTIFS('Таблиця 1'!$B:$B,$A223,'Таблиця 1'!$E:$E,"група РЕР",'Таблиця 1'!$L:$L,"Уражено"))</f>
        <v/>
      </c>
      <c r="R223">
        <f>IF($A223="","",COUNTIFS('Таблиця 1'!$B:$B,$A223,'Таблиця 1'!$E:$E,"РЛС КББ",'Таблиця 1'!$L:$L,"Уражено"))</f>
        <v/>
      </c>
      <c r="S223">
        <f>IF($A223="","",COUNTIFS('Таблиця 1'!$B:$B,$A223,'Таблиця 1'!$E:$E,"Ретранслятор",'Таблиця 1'!$L:$L,"Уражено"))</f>
        <v/>
      </c>
      <c r="T223">
        <f>IF($A223="","",COUNTIFS('Таблиця 1'!$B:$B,$A223,'Таблиця 1'!$E:$E,"Вз.зв'язку",'Таблиця 1'!$L:$L,"Уражено"))</f>
        <v/>
      </c>
      <c r="U223">
        <f>IF($A223="","",COUNTIFS('Таблиця 1'!$B:$B,$A223,'Таблиця 1'!$E:$E,"ПММ",'Таблиця 1'!$L:$L,"Уражено"))</f>
        <v/>
      </c>
      <c r="V223">
        <f>IF($A223="","",COUNTIFS('Таблиця 1'!$B:$B,$A223,'Таблиця 1'!$E:$E,"ІФС",'Таблиця 1'!$L:$L,"Уражено"))</f>
        <v/>
      </c>
      <c r="W223">
        <f>IF($A223="","",COUNTIFS('Таблиця 1'!$B:$B,$A223,'Таблиця 1'!$E:$E,"Інфраструктура",'Таблиця 1'!$L:$L,"Уражено"))</f>
        <v/>
      </c>
      <c r="X223">
        <f>IF($A223="","",SUMIFS('Таблиця 1'!$K:$K,'Таблиця 1'!$B:$B,$A223))</f>
        <v/>
      </c>
    </row>
    <row r="224">
      <c r="A224" s="81">
        <f>IF(A223="","",IF(A223+1&gt;MAX('Таблиця 1'!$B:$B),"",A223+1))</f>
        <v/>
      </c>
      <c r="B224">
        <f>IF($A224="","",COUNTIFS('Таблиця 1'!$B:$B,$A224,'Таблиця 1'!$E:$E,"ЖС ВЗ",'Таблиця 1'!$L:$L,"Уражено"))</f>
        <v/>
      </c>
      <c r="C224">
        <f>IF($A224="","",COUNTIFS('Таблиця 1'!$B:$B,$A224,'Таблиця 1'!$E:$E,"Арт. Системи",'Таблиця 1'!$L:$L,"Уражено"))</f>
        <v/>
      </c>
      <c r="D224">
        <f>IF($A224="","",COUNTIFS('Таблиця 1'!$B:$B,$A224,'Таблиця 1'!$E:$E,"ОВТ",'Таблиця 1'!$L:$L,"Уражено"))</f>
        <v/>
      </c>
      <c r="E224">
        <f>IF($A224="","",COUNTIFS('Таблиця 1'!$B:$B,$A224,'Таблиця 1'!$E:$E,"ППО",'Таблиця 1'!$L:$L,"Уражено"))</f>
        <v/>
      </c>
      <c r="F224">
        <f>IF($A224="","",COUNTIFS('Таблиця 1'!$B:$B,$A224,'Таблиця 1'!$E:$E,"Рембаза",'Таблиця 1'!$L:$L,"Уражено"))</f>
        <v/>
      </c>
      <c r="G224">
        <f>IF($A224="","",COUNTIFS('Таблиця 1'!$B:$B,$A224,'Таблиця 1'!$E:$E,"Склад БК",'Таблиця 1'!$L:$L,"Уражено"))</f>
        <v/>
      </c>
      <c r="H224">
        <f>IF($A224="","",COUNTIFS('Таблиця 1'!$B:$B,$A224,'Таблиця 1'!$E:$E,"Склад ВТМ",'Таблиця 1'!$L:$L,"Уражено"))</f>
        <v/>
      </c>
      <c r="I224">
        <f>IF($A224="","",COUNTIFS('Таблиця 1'!$B:$B,$A224,'Таблиця 1'!$E:$E,"ПУ БпЛА",'Таблиця 1'!$L:$L,"Уражено"))</f>
        <v/>
      </c>
      <c r="J224">
        <f>IF($A224="","",COUNTIFS('Таблиця 1'!$B:$B,$A224,'Таблиця 1'!$E:$E,"СП",'Таблиця 1'!$L:$L,"Уражено"))</f>
        <v/>
      </c>
      <c r="K224">
        <f>IF($A224="","",COUNTIFS('Таблиця 1'!$B:$B,$A224,'Таблиця 1'!$E:$E,"КСП роти",'Таблиця 1'!$L:$L,"Уражено"))</f>
        <v/>
      </c>
      <c r="L224">
        <f>IF($A224="","",COUNTIFS('Таблиця 1'!$B:$B,$A224,'Таблиця 1'!$E:$E,"ПУ бат",'Таблиця 1'!$L:$L,"Уражено"))</f>
        <v/>
      </c>
      <c r="M224">
        <f>IF($A224="","",COUNTIFS('Таблиця 1'!$B:$B,$A224,'Таблиця 1'!$E:$E,"ПУ бриг",'Таблиця 1'!$L:$L,"Уражено"))</f>
        <v/>
      </c>
      <c r="N224">
        <f>IF($A224="","",COUNTIFS('Таблиця 1'!$B:$B,$A224,'Таблиця 1'!$E:$E,"ПУ див",'Таблиця 1'!$L:$L,"Уражено"))</f>
        <v/>
      </c>
      <c r="O224">
        <f>IF($A224="","",COUNTIFS('Таблиця 1'!$B:$B,$A224,'Таблиця 1'!$E:$E,"обл. РЕБ",'Таблиця 1'!$L:$L,"Уражено"))</f>
        <v/>
      </c>
      <c r="P224">
        <f>IF($A224="","",COUNTIFS('Таблиця 1'!$B:$B,$A224,'Таблиця 1'!$E:$E,"пос РЕБ",'Таблиця 1'!$L:$L,"Уражено"))</f>
        <v/>
      </c>
      <c r="Q224">
        <f>IF($A224="","",COUNTIFS('Таблиця 1'!$B:$B,$A224,'Таблиця 1'!$E:$E,"група РЕР",'Таблиця 1'!$L:$L,"Уражено"))</f>
        <v/>
      </c>
      <c r="R224">
        <f>IF($A224="","",COUNTIFS('Таблиця 1'!$B:$B,$A224,'Таблиця 1'!$E:$E,"РЛС КББ",'Таблиця 1'!$L:$L,"Уражено"))</f>
        <v/>
      </c>
      <c r="S224">
        <f>IF($A224="","",COUNTIFS('Таблиця 1'!$B:$B,$A224,'Таблиця 1'!$E:$E,"Ретранслятор",'Таблиця 1'!$L:$L,"Уражено"))</f>
        <v/>
      </c>
      <c r="T224">
        <f>IF($A224="","",COUNTIFS('Таблиця 1'!$B:$B,$A224,'Таблиця 1'!$E:$E,"Вз.зв'язку",'Таблиця 1'!$L:$L,"Уражено"))</f>
        <v/>
      </c>
      <c r="U224">
        <f>IF($A224="","",COUNTIFS('Таблиця 1'!$B:$B,$A224,'Таблиця 1'!$E:$E,"ПММ",'Таблиця 1'!$L:$L,"Уражено"))</f>
        <v/>
      </c>
      <c r="V224">
        <f>IF($A224="","",COUNTIFS('Таблиця 1'!$B:$B,$A224,'Таблиця 1'!$E:$E,"ІФС",'Таблиця 1'!$L:$L,"Уражено"))</f>
        <v/>
      </c>
      <c r="W224">
        <f>IF($A224="","",COUNTIFS('Таблиця 1'!$B:$B,$A224,'Таблиця 1'!$E:$E,"Інфраструктура",'Таблиця 1'!$L:$L,"Уражено"))</f>
        <v/>
      </c>
      <c r="X224">
        <f>IF($A224="","",SUMIFS('Таблиця 1'!$K:$K,'Таблиця 1'!$B:$B,$A224))</f>
        <v/>
      </c>
    </row>
    <row r="225">
      <c r="A225" s="81">
        <f>IF(A224="","",IF(A224+1&gt;MAX('Таблиця 1'!$B:$B),"",A224+1))</f>
        <v/>
      </c>
      <c r="B225">
        <f>IF($A225="","",COUNTIFS('Таблиця 1'!$B:$B,$A225,'Таблиця 1'!$E:$E,"ЖС ВЗ",'Таблиця 1'!$L:$L,"Уражено"))</f>
        <v/>
      </c>
      <c r="C225">
        <f>IF($A225="","",COUNTIFS('Таблиця 1'!$B:$B,$A225,'Таблиця 1'!$E:$E,"Арт. Системи",'Таблиця 1'!$L:$L,"Уражено"))</f>
        <v/>
      </c>
      <c r="D225">
        <f>IF($A225="","",COUNTIFS('Таблиця 1'!$B:$B,$A225,'Таблиця 1'!$E:$E,"ОВТ",'Таблиця 1'!$L:$L,"Уражено"))</f>
        <v/>
      </c>
      <c r="E225">
        <f>IF($A225="","",COUNTIFS('Таблиця 1'!$B:$B,$A225,'Таблиця 1'!$E:$E,"ППО",'Таблиця 1'!$L:$L,"Уражено"))</f>
        <v/>
      </c>
      <c r="F225">
        <f>IF($A225="","",COUNTIFS('Таблиця 1'!$B:$B,$A225,'Таблиця 1'!$E:$E,"Рембаза",'Таблиця 1'!$L:$L,"Уражено"))</f>
        <v/>
      </c>
      <c r="G225">
        <f>IF($A225="","",COUNTIFS('Таблиця 1'!$B:$B,$A225,'Таблиця 1'!$E:$E,"Склад БК",'Таблиця 1'!$L:$L,"Уражено"))</f>
        <v/>
      </c>
      <c r="H225">
        <f>IF($A225="","",COUNTIFS('Таблиця 1'!$B:$B,$A225,'Таблиця 1'!$E:$E,"Склад ВТМ",'Таблиця 1'!$L:$L,"Уражено"))</f>
        <v/>
      </c>
      <c r="I225">
        <f>IF($A225="","",COUNTIFS('Таблиця 1'!$B:$B,$A225,'Таблиця 1'!$E:$E,"ПУ БпЛА",'Таблиця 1'!$L:$L,"Уражено"))</f>
        <v/>
      </c>
      <c r="J225">
        <f>IF($A225="","",COUNTIFS('Таблиця 1'!$B:$B,$A225,'Таблиця 1'!$E:$E,"СП",'Таблиця 1'!$L:$L,"Уражено"))</f>
        <v/>
      </c>
      <c r="K225">
        <f>IF($A225="","",COUNTIFS('Таблиця 1'!$B:$B,$A225,'Таблиця 1'!$E:$E,"КСП роти",'Таблиця 1'!$L:$L,"Уражено"))</f>
        <v/>
      </c>
      <c r="L225">
        <f>IF($A225="","",COUNTIFS('Таблиця 1'!$B:$B,$A225,'Таблиця 1'!$E:$E,"ПУ бат",'Таблиця 1'!$L:$L,"Уражено"))</f>
        <v/>
      </c>
      <c r="M225">
        <f>IF($A225="","",COUNTIFS('Таблиця 1'!$B:$B,$A225,'Таблиця 1'!$E:$E,"ПУ бриг",'Таблиця 1'!$L:$L,"Уражено"))</f>
        <v/>
      </c>
      <c r="N225">
        <f>IF($A225="","",COUNTIFS('Таблиця 1'!$B:$B,$A225,'Таблиця 1'!$E:$E,"ПУ див",'Таблиця 1'!$L:$L,"Уражено"))</f>
        <v/>
      </c>
      <c r="O225">
        <f>IF($A225="","",COUNTIFS('Таблиця 1'!$B:$B,$A225,'Таблиця 1'!$E:$E,"обл. РЕБ",'Таблиця 1'!$L:$L,"Уражено"))</f>
        <v/>
      </c>
      <c r="P225">
        <f>IF($A225="","",COUNTIFS('Таблиця 1'!$B:$B,$A225,'Таблиця 1'!$E:$E,"пос РЕБ",'Таблиця 1'!$L:$L,"Уражено"))</f>
        <v/>
      </c>
      <c r="Q225">
        <f>IF($A225="","",COUNTIFS('Таблиця 1'!$B:$B,$A225,'Таблиця 1'!$E:$E,"група РЕР",'Таблиця 1'!$L:$L,"Уражено"))</f>
        <v/>
      </c>
      <c r="R225">
        <f>IF($A225="","",COUNTIFS('Таблиця 1'!$B:$B,$A225,'Таблиця 1'!$E:$E,"РЛС КББ",'Таблиця 1'!$L:$L,"Уражено"))</f>
        <v/>
      </c>
      <c r="S225">
        <f>IF($A225="","",COUNTIFS('Таблиця 1'!$B:$B,$A225,'Таблиця 1'!$E:$E,"Ретранслятор",'Таблиця 1'!$L:$L,"Уражено"))</f>
        <v/>
      </c>
      <c r="T225">
        <f>IF($A225="","",COUNTIFS('Таблиця 1'!$B:$B,$A225,'Таблиця 1'!$E:$E,"Вз.зв'язку",'Таблиця 1'!$L:$L,"Уражено"))</f>
        <v/>
      </c>
      <c r="U225">
        <f>IF($A225="","",COUNTIFS('Таблиця 1'!$B:$B,$A225,'Таблиця 1'!$E:$E,"ПММ",'Таблиця 1'!$L:$L,"Уражено"))</f>
        <v/>
      </c>
      <c r="V225">
        <f>IF($A225="","",COUNTIFS('Таблиця 1'!$B:$B,$A225,'Таблиця 1'!$E:$E,"ІФС",'Таблиця 1'!$L:$L,"Уражено"))</f>
        <v/>
      </c>
      <c r="W225">
        <f>IF($A225="","",COUNTIFS('Таблиця 1'!$B:$B,$A225,'Таблиця 1'!$E:$E,"Інфраструктура",'Таблиця 1'!$L:$L,"Уражено"))</f>
        <v/>
      </c>
      <c r="X225">
        <f>IF($A225="","",SUMIFS('Таблиця 1'!$K:$K,'Таблиця 1'!$B:$B,$A225))</f>
        <v/>
      </c>
    </row>
    <row r="226">
      <c r="A226" s="81">
        <f>IF(A225="","",IF(A225+1&gt;MAX('Таблиця 1'!$B:$B),"",A225+1))</f>
        <v/>
      </c>
      <c r="B226">
        <f>IF($A226="","",COUNTIFS('Таблиця 1'!$B:$B,$A226,'Таблиця 1'!$E:$E,"ЖС ВЗ",'Таблиця 1'!$L:$L,"Уражено"))</f>
        <v/>
      </c>
      <c r="C226">
        <f>IF($A226="","",COUNTIFS('Таблиця 1'!$B:$B,$A226,'Таблиця 1'!$E:$E,"Арт. Системи",'Таблиця 1'!$L:$L,"Уражено"))</f>
        <v/>
      </c>
      <c r="D226">
        <f>IF($A226="","",COUNTIFS('Таблиця 1'!$B:$B,$A226,'Таблиця 1'!$E:$E,"ОВТ",'Таблиця 1'!$L:$L,"Уражено"))</f>
        <v/>
      </c>
      <c r="E226">
        <f>IF($A226="","",COUNTIFS('Таблиця 1'!$B:$B,$A226,'Таблиця 1'!$E:$E,"ППО",'Таблиця 1'!$L:$L,"Уражено"))</f>
        <v/>
      </c>
      <c r="F226">
        <f>IF($A226="","",COUNTIFS('Таблиця 1'!$B:$B,$A226,'Таблиця 1'!$E:$E,"Рембаза",'Таблиця 1'!$L:$L,"Уражено"))</f>
        <v/>
      </c>
      <c r="G226">
        <f>IF($A226="","",COUNTIFS('Таблиця 1'!$B:$B,$A226,'Таблиця 1'!$E:$E,"Склад БК",'Таблиця 1'!$L:$L,"Уражено"))</f>
        <v/>
      </c>
      <c r="H226">
        <f>IF($A226="","",COUNTIFS('Таблиця 1'!$B:$B,$A226,'Таблиця 1'!$E:$E,"Склад ВТМ",'Таблиця 1'!$L:$L,"Уражено"))</f>
        <v/>
      </c>
      <c r="I226">
        <f>IF($A226="","",COUNTIFS('Таблиця 1'!$B:$B,$A226,'Таблиця 1'!$E:$E,"ПУ БпЛА",'Таблиця 1'!$L:$L,"Уражено"))</f>
        <v/>
      </c>
      <c r="J226">
        <f>IF($A226="","",COUNTIFS('Таблиця 1'!$B:$B,$A226,'Таблиця 1'!$E:$E,"СП",'Таблиця 1'!$L:$L,"Уражено"))</f>
        <v/>
      </c>
      <c r="K226">
        <f>IF($A226="","",COUNTIFS('Таблиця 1'!$B:$B,$A226,'Таблиця 1'!$E:$E,"КСП роти",'Таблиця 1'!$L:$L,"Уражено"))</f>
        <v/>
      </c>
      <c r="L226">
        <f>IF($A226="","",COUNTIFS('Таблиця 1'!$B:$B,$A226,'Таблиця 1'!$E:$E,"ПУ бат",'Таблиця 1'!$L:$L,"Уражено"))</f>
        <v/>
      </c>
      <c r="M226">
        <f>IF($A226="","",COUNTIFS('Таблиця 1'!$B:$B,$A226,'Таблиця 1'!$E:$E,"ПУ бриг",'Таблиця 1'!$L:$L,"Уражено"))</f>
        <v/>
      </c>
      <c r="N226">
        <f>IF($A226="","",COUNTIFS('Таблиця 1'!$B:$B,$A226,'Таблиця 1'!$E:$E,"ПУ див",'Таблиця 1'!$L:$L,"Уражено"))</f>
        <v/>
      </c>
      <c r="O226">
        <f>IF($A226="","",COUNTIFS('Таблиця 1'!$B:$B,$A226,'Таблиця 1'!$E:$E,"обл. РЕБ",'Таблиця 1'!$L:$L,"Уражено"))</f>
        <v/>
      </c>
      <c r="P226">
        <f>IF($A226="","",COUNTIFS('Таблиця 1'!$B:$B,$A226,'Таблиця 1'!$E:$E,"пос РЕБ",'Таблиця 1'!$L:$L,"Уражено"))</f>
        <v/>
      </c>
      <c r="Q226">
        <f>IF($A226="","",COUNTIFS('Таблиця 1'!$B:$B,$A226,'Таблиця 1'!$E:$E,"група РЕР",'Таблиця 1'!$L:$L,"Уражено"))</f>
        <v/>
      </c>
      <c r="R226">
        <f>IF($A226="","",COUNTIFS('Таблиця 1'!$B:$B,$A226,'Таблиця 1'!$E:$E,"РЛС КББ",'Таблиця 1'!$L:$L,"Уражено"))</f>
        <v/>
      </c>
      <c r="S226">
        <f>IF($A226="","",COUNTIFS('Таблиця 1'!$B:$B,$A226,'Таблиця 1'!$E:$E,"Ретранслятор",'Таблиця 1'!$L:$L,"Уражено"))</f>
        <v/>
      </c>
      <c r="T226">
        <f>IF($A226="","",COUNTIFS('Таблиця 1'!$B:$B,$A226,'Таблиця 1'!$E:$E,"Вз.зв'язку",'Таблиця 1'!$L:$L,"Уражено"))</f>
        <v/>
      </c>
      <c r="U226">
        <f>IF($A226="","",COUNTIFS('Таблиця 1'!$B:$B,$A226,'Таблиця 1'!$E:$E,"ПММ",'Таблиця 1'!$L:$L,"Уражено"))</f>
        <v/>
      </c>
      <c r="V226">
        <f>IF($A226="","",COUNTIFS('Таблиця 1'!$B:$B,$A226,'Таблиця 1'!$E:$E,"ІФС",'Таблиця 1'!$L:$L,"Уражено"))</f>
        <v/>
      </c>
      <c r="W226">
        <f>IF($A226="","",COUNTIFS('Таблиця 1'!$B:$B,$A226,'Таблиця 1'!$E:$E,"Інфраструктура",'Таблиця 1'!$L:$L,"Уражено"))</f>
        <v/>
      </c>
      <c r="X226">
        <f>IF($A226="","",SUMIFS('Таблиця 1'!$K:$K,'Таблиця 1'!$B:$B,$A226))</f>
        <v/>
      </c>
    </row>
    <row r="227">
      <c r="A227" s="81">
        <f>IF(A226="","",IF(A226+1&gt;MAX('Таблиця 1'!$B:$B),"",A226+1))</f>
        <v/>
      </c>
      <c r="B227">
        <f>IF($A227="","",COUNTIFS('Таблиця 1'!$B:$B,$A227,'Таблиця 1'!$E:$E,"ЖС ВЗ",'Таблиця 1'!$L:$L,"Уражено"))</f>
        <v/>
      </c>
      <c r="C227">
        <f>IF($A227="","",COUNTIFS('Таблиця 1'!$B:$B,$A227,'Таблиця 1'!$E:$E,"Арт. Системи",'Таблиця 1'!$L:$L,"Уражено"))</f>
        <v/>
      </c>
      <c r="D227">
        <f>IF($A227="","",COUNTIFS('Таблиця 1'!$B:$B,$A227,'Таблиця 1'!$E:$E,"ОВТ",'Таблиця 1'!$L:$L,"Уражено"))</f>
        <v/>
      </c>
      <c r="E227">
        <f>IF($A227="","",COUNTIFS('Таблиця 1'!$B:$B,$A227,'Таблиця 1'!$E:$E,"ППО",'Таблиця 1'!$L:$L,"Уражено"))</f>
        <v/>
      </c>
      <c r="F227">
        <f>IF($A227="","",COUNTIFS('Таблиця 1'!$B:$B,$A227,'Таблиця 1'!$E:$E,"Рембаза",'Таблиця 1'!$L:$L,"Уражено"))</f>
        <v/>
      </c>
      <c r="G227">
        <f>IF($A227="","",COUNTIFS('Таблиця 1'!$B:$B,$A227,'Таблиця 1'!$E:$E,"Склад БК",'Таблиця 1'!$L:$L,"Уражено"))</f>
        <v/>
      </c>
      <c r="H227">
        <f>IF($A227="","",COUNTIFS('Таблиця 1'!$B:$B,$A227,'Таблиця 1'!$E:$E,"Склад ВТМ",'Таблиця 1'!$L:$L,"Уражено"))</f>
        <v/>
      </c>
      <c r="I227">
        <f>IF($A227="","",COUNTIFS('Таблиця 1'!$B:$B,$A227,'Таблиця 1'!$E:$E,"ПУ БпЛА",'Таблиця 1'!$L:$L,"Уражено"))</f>
        <v/>
      </c>
      <c r="J227">
        <f>IF($A227="","",COUNTIFS('Таблиця 1'!$B:$B,$A227,'Таблиця 1'!$E:$E,"СП",'Таблиця 1'!$L:$L,"Уражено"))</f>
        <v/>
      </c>
      <c r="K227">
        <f>IF($A227="","",COUNTIFS('Таблиця 1'!$B:$B,$A227,'Таблиця 1'!$E:$E,"КСП роти",'Таблиця 1'!$L:$L,"Уражено"))</f>
        <v/>
      </c>
      <c r="L227">
        <f>IF($A227="","",COUNTIFS('Таблиця 1'!$B:$B,$A227,'Таблиця 1'!$E:$E,"ПУ бат",'Таблиця 1'!$L:$L,"Уражено"))</f>
        <v/>
      </c>
      <c r="M227">
        <f>IF($A227="","",COUNTIFS('Таблиця 1'!$B:$B,$A227,'Таблиця 1'!$E:$E,"ПУ бриг",'Таблиця 1'!$L:$L,"Уражено"))</f>
        <v/>
      </c>
      <c r="N227">
        <f>IF($A227="","",COUNTIFS('Таблиця 1'!$B:$B,$A227,'Таблиця 1'!$E:$E,"ПУ див",'Таблиця 1'!$L:$L,"Уражено"))</f>
        <v/>
      </c>
      <c r="O227">
        <f>IF($A227="","",COUNTIFS('Таблиця 1'!$B:$B,$A227,'Таблиця 1'!$E:$E,"обл. РЕБ",'Таблиця 1'!$L:$L,"Уражено"))</f>
        <v/>
      </c>
      <c r="P227">
        <f>IF($A227="","",COUNTIFS('Таблиця 1'!$B:$B,$A227,'Таблиця 1'!$E:$E,"пос РЕБ",'Таблиця 1'!$L:$L,"Уражено"))</f>
        <v/>
      </c>
      <c r="Q227">
        <f>IF($A227="","",COUNTIFS('Таблиця 1'!$B:$B,$A227,'Таблиця 1'!$E:$E,"група РЕР",'Таблиця 1'!$L:$L,"Уражено"))</f>
        <v/>
      </c>
      <c r="R227">
        <f>IF($A227="","",COUNTIFS('Таблиця 1'!$B:$B,$A227,'Таблиця 1'!$E:$E,"РЛС КББ",'Таблиця 1'!$L:$L,"Уражено"))</f>
        <v/>
      </c>
      <c r="S227">
        <f>IF($A227="","",COUNTIFS('Таблиця 1'!$B:$B,$A227,'Таблиця 1'!$E:$E,"Ретранслятор",'Таблиця 1'!$L:$L,"Уражено"))</f>
        <v/>
      </c>
      <c r="T227">
        <f>IF($A227="","",COUNTIFS('Таблиця 1'!$B:$B,$A227,'Таблиця 1'!$E:$E,"Вз.зв'язку",'Таблиця 1'!$L:$L,"Уражено"))</f>
        <v/>
      </c>
      <c r="U227">
        <f>IF($A227="","",COUNTIFS('Таблиця 1'!$B:$B,$A227,'Таблиця 1'!$E:$E,"ПММ",'Таблиця 1'!$L:$L,"Уражено"))</f>
        <v/>
      </c>
      <c r="V227">
        <f>IF($A227="","",COUNTIFS('Таблиця 1'!$B:$B,$A227,'Таблиця 1'!$E:$E,"ІФС",'Таблиця 1'!$L:$L,"Уражено"))</f>
        <v/>
      </c>
      <c r="W227">
        <f>IF($A227="","",COUNTIFS('Таблиця 1'!$B:$B,$A227,'Таблиця 1'!$E:$E,"Інфраструктура",'Таблиця 1'!$L:$L,"Уражено"))</f>
        <v/>
      </c>
      <c r="X227">
        <f>IF($A227="","",SUMIFS('Таблиця 1'!$K:$K,'Таблиця 1'!$B:$B,$A227))</f>
        <v/>
      </c>
    </row>
    <row r="228">
      <c r="A228" s="81">
        <f>IF(A227="","",IF(A227+1&gt;MAX('Таблиця 1'!$B:$B),"",A227+1))</f>
        <v/>
      </c>
      <c r="B228">
        <f>IF($A228="","",COUNTIFS('Таблиця 1'!$B:$B,$A228,'Таблиця 1'!$E:$E,"ЖС ВЗ",'Таблиця 1'!$L:$L,"Уражено"))</f>
        <v/>
      </c>
      <c r="C228">
        <f>IF($A228="","",COUNTIFS('Таблиця 1'!$B:$B,$A228,'Таблиця 1'!$E:$E,"Арт. Системи",'Таблиця 1'!$L:$L,"Уражено"))</f>
        <v/>
      </c>
      <c r="D228">
        <f>IF($A228="","",COUNTIFS('Таблиця 1'!$B:$B,$A228,'Таблиця 1'!$E:$E,"ОВТ",'Таблиця 1'!$L:$L,"Уражено"))</f>
        <v/>
      </c>
      <c r="E228">
        <f>IF($A228="","",COUNTIFS('Таблиця 1'!$B:$B,$A228,'Таблиця 1'!$E:$E,"ППО",'Таблиця 1'!$L:$L,"Уражено"))</f>
        <v/>
      </c>
      <c r="F228">
        <f>IF($A228="","",COUNTIFS('Таблиця 1'!$B:$B,$A228,'Таблиця 1'!$E:$E,"Рембаза",'Таблиця 1'!$L:$L,"Уражено"))</f>
        <v/>
      </c>
      <c r="G228">
        <f>IF($A228="","",COUNTIFS('Таблиця 1'!$B:$B,$A228,'Таблиця 1'!$E:$E,"Склад БК",'Таблиця 1'!$L:$L,"Уражено"))</f>
        <v/>
      </c>
      <c r="H228">
        <f>IF($A228="","",COUNTIFS('Таблиця 1'!$B:$B,$A228,'Таблиця 1'!$E:$E,"Склад ВТМ",'Таблиця 1'!$L:$L,"Уражено"))</f>
        <v/>
      </c>
      <c r="I228">
        <f>IF($A228="","",COUNTIFS('Таблиця 1'!$B:$B,$A228,'Таблиця 1'!$E:$E,"ПУ БпЛА",'Таблиця 1'!$L:$L,"Уражено"))</f>
        <v/>
      </c>
      <c r="J228">
        <f>IF($A228="","",COUNTIFS('Таблиця 1'!$B:$B,$A228,'Таблиця 1'!$E:$E,"СП",'Таблиця 1'!$L:$L,"Уражено"))</f>
        <v/>
      </c>
      <c r="K228">
        <f>IF($A228="","",COUNTIFS('Таблиця 1'!$B:$B,$A228,'Таблиця 1'!$E:$E,"КСП роти",'Таблиця 1'!$L:$L,"Уражено"))</f>
        <v/>
      </c>
      <c r="L228">
        <f>IF($A228="","",COUNTIFS('Таблиця 1'!$B:$B,$A228,'Таблиця 1'!$E:$E,"ПУ бат",'Таблиця 1'!$L:$L,"Уражено"))</f>
        <v/>
      </c>
      <c r="M228">
        <f>IF($A228="","",COUNTIFS('Таблиця 1'!$B:$B,$A228,'Таблиця 1'!$E:$E,"ПУ бриг",'Таблиця 1'!$L:$L,"Уражено"))</f>
        <v/>
      </c>
      <c r="N228">
        <f>IF($A228="","",COUNTIFS('Таблиця 1'!$B:$B,$A228,'Таблиця 1'!$E:$E,"ПУ див",'Таблиця 1'!$L:$L,"Уражено"))</f>
        <v/>
      </c>
      <c r="O228">
        <f>IF($A228="","",COUNTIFS('Таблиця 1'!$B:$B,$A228,'Таблиця 1'!$E:$E,"обл. РЕБ",'Таблиця 1'!$L:$L,"Уражено"))</f>
        <v/>
      </c>
      <c r="P228">
        <f>IF($A228="","",COUNTIFS('Таблиця 1'!$B:$B,$A228,'Таблиця 1'!$E:$E,"пос РЕБ",'Таблиця 1'!$L:$L,"Уражено"))</f>
        <v/>
      </c>
      <c r="Q228">
        <f>IF($A228="","",COUNTIFS('Таблиця 1'!$B:$B,$A228,'Таблиця 1'!$E:$E,"група РЕР",'Таблиця 1'!$L:$L,"Уражено"))</f>
        <v/>
      </c>
      <c r="R228">
        <f>IF($A228="","",COUNTIFS('Таблиця 1'!$B:$B,$A228,'Таблиця 1'!$E:$E,"РЛС КББ",'Таблиця 1'!$L:$L,"Уражено"))</f>
        <v/>
      </c>
      <c r="S228">
        <f>IF($A228="","",COUNTIFS('Таблиця 1'!$B:$B,$A228,'Таблиця 1'!$E:$E,"Ретранслятор",'Таблиця 1'!$L:$L,"Уражено"))</f>
        <v/>
      </c>
      <c r="T228">
        <f>IF($A228="","",COUNTIFS('Таблиця 1'!$B:$B,$A228,'Таблиця 1'!$E:$E,"Вз.зв'язку",'Таблиця 1'!$L:$L,"Уражено"))</f>
        <v/>
      </c>
      <c r="U228">
        <f>IF($A228="","",COUNTIFS('Таблиця 1'!$B:$B,$A228,'Таблиця 1'!$E:$E,"ПММ",'Таблиця 1'!$L:$L,"Уражено"))</f>
        <v/>
      </c>
      <c r="V228">
        <f>IF($A228="","",COUNTIFS('Таблиця 1'!$B:$B,$A228,'Таблиця 1'!$E:$E,"ІФС",'Таблиця 1'!$L:$L,"Уражено"))</f>
        <v/>
      </c>
      <c r="W228">
        <f>IF($A228="","",COUNTIFS('Таблиця 1'!$B:$B,$A228,'Таблиця 1'!$E:$E,"Інфраструктура",'Таблиця 1'!$L:$L,"Уражено"))</f>
        <v/>
      </c>
      <c r="X228">
        <f>IF($A228="","",SUMIFS('Таблиця 1'!$K:$K,'Таблиця 1'!$B:$B,$A228))</f>
        <v/>
      </c>
    </row>
    <row r="229">
      <c r="A229" s="81">
        <f>IF(A228="","",IF(A228+1&gt;MAX('Таблиця 1'!$B:$B),"",A228+1))</f>
        <v/>
      </c>
      <c r="B229">
        <f>IF($A229="","",COUNTIFS('Таблиця 1'!$B:$B,$A229,'Таблиця 1'!$E:$E,"ЖС ВЗ",'Таблиця 1'!$L:$L,"Уражено"))</f>
        <v/>
      </c>
      <c r="C229">
        <f>IF($A229="","",COUNTIFS('Таблиця 1'!$B:$B,$A229,'Таблиця 1'!$E:$E,"Арт. Системи",'Таблиця 1'!$L:$L,"Уражено"))</f>
        <v/>
      </c>
      <c r="D229">
        <f>IF($A229="","",COUNTIFS('Таблиця 1'!$B:$B,$A229,'Таблиця 1'!$E:$E,"ОВТ",'Таблиця 1'!$L:$L,"Уражено"))</f>
        <v/>
      </c>
      <c r="E229">
        <f>IF($A229="","",COUNTIFS('Таблиця 1'!$B:$B,$A229,'Таблиця 1'!$E:$E,"ППО",'Таблиця 1'!$L:$L,"Уражено"))</f>
        <v/>
      </c>
      <c r="F229">
        <f>IF($A229="","",COUNTIFS('Таблиця 1'!$B:$B,$A229,'Таблиця 1'!$E:$E,"Рембаза",'Таблиця 1'!$L:$L,"Уражено"))</f>
        <v/>
      </c>
      <c r="G229">
        <f>IF($A229="","",COUNTIFS('Таблиця 1'!$B:$B,$A229,'Таблиця 1'!$E:$E,"Склад БК",'Таблиця 1'!$L:$L,"Уражено"))</f>
        <v/>
      </c>
      <c r="H229">
        <f>IF($A229="","",COUNTIFS('Таблиця 1'!$B:$B,$A229,'Таблиця 1'!$E:$E,"Склад ВТМ",'Таблиця 1'!$L:$L,"Уражено"))</f>
        <v/>
      </c>
      <c r="I229">
        <f>IF($A229="","",COUNTIFS('Таблиця 1'!$B:$B,$A229,'Таблиця 1'!$E:$E,"ПУ БпЛА",'Таблиця 1'!$L:$L,"Уражено"))</f>
        <v/>
      </c>
      <c r="J229">
        <f>IF($A229="","",COUNTIFS('Таблиця 1'!$B:$B,$A229,'Таблиця 1'!$E:$E,"СП",'Таблиця 1'!$L:$L,"Уражено"))</f>
        <v/>
      </c>
      <c r="K229">
        <f>IF($A229="","",COUNTIFS('Таблиця 1'!$B:$B,$A229,'Таблиця 1'!$E:$E,"КСП роти",'Таблиця 1'!$L:$L,"Уражено"))</f>
        <v/>
      </c>
      <c r="L229">
        <f>IF($A229="","",COUNTIFS('Таблиця 1'!$B:$B,$A229,'Таблиця 1'!$E:$E,"ПУ бат",'Таблиця 1'!$L:$L,"Уражено"))</f>
        <v/>
      </c>
      <c r="M229">
        <f>IF($A229="","",COUNTIFS('Таблиця 1'!$B:$B,$A229,'Таблиця 1'!$E:$E,"ПУ бриг",'Таблиця 1'!$L:$L,"Уражено"))</f>
        <v/>
      </c>
      <c r="N229">
        <f>IF($A229="","",COUNTIFS('Таблиця 1'!$B:$B,$A229,'Таблиця 1'!$E:$E,"ПУ див",'Таблиця 1'!$L:$L,"Уражено"))</f>
        <v/>
      </c>
      <c r="O229">
        <f>IF($A229="","",COUNTIFS('Таблиця 1'!$B:$B,$A229,'Таблиця 1'!$E:$E,"обл. РЕБ",'Таблиця 1'!$L:$L,"Уражено"))</f>
        <v/>
      </c>
      <c r="P229">
        <f>IF($A229="","",COUNTIFS('Таблиця 1'!$B:$B,$A229,'Таблиця 1'!$E:$E,"пос РЕБ",'Таблиця 1'!$L:$L,"Уражено"))</f>
        <v/>
      </c>
      <c r="Q229">
        <f>IF($A229="","",COUNTIFS('Таблиця 1'!$B:$B,$A229,'Таблиця 1'!$E:$E,"група РЕР",'Таблиця 1'!$L:$L,"Уражено"))</f>
        <v/>
      </c>
      <c r="R229">
        <f>IF($A229="","",COUNTIFS('Таблиця 1'!$B:$B,$A229,'Таблиця 1'!$E:$E,"РЛС КББ",'Таблиця 1'!$L:$L,"Уражено"))</f>
        <v/>
      </c>
      <c r="S229">
        <f>IF($A229="","",COUNTIFS('Таблиця 1'!$B:$B,$A229,'Таблиця 1'!$E:$E,"Ретранслятор",'Таблиця 1'!$L:$L,"Уражено"))</f>
        <v/>
      </c>
      <c r="T229">
        <f>IF($A229="","",COUNTIFS('Таблиця 1'!$B:$B,$A229,'Таблиця 1'!$E:$E,"Вз.зв'язку",'Таблиця 1'!$L:$L,"Уражено"))</f>
        <v/>
      </c>
      <c r="U229">
        <f>IF($A229="","",COUNTIFS('Таблиця 1'!$B:$B,$A229,'Таблиця 1'!$E:$E,"ПММ",'Таблиця 1'!$L:$L,"Уражено"))</f>
        <v/>
      </c>
      <c r="V229">
        <f>IF($A229="","",COUNTIFS('Таблиця 1'!$B:$B,$A229,'Таблиця 1'!$E:$E,"ІФС",'Таблиця 1'!$L:$L,"Уражено"))</f>
        <v/>
      </c>
      <c r="W229">
        <f>IF($A229="","",COUNTIFS('Таблиця 1'!$B:$B,$A229,'Таблиця 1'!$E:$E,"Інфраструктура",'Таблиця 1'!$L:$L,"Уражено"))</f>
        <v/>
      </c>
      <c r="X229">
        <f>IF($A229="","",SUMIFS('Таблиця 1'!$K:$K,'Таблиця 1'!$B:$B,$A229))</f>
        <v/>
      </c>
    </row>
    <row r="230">
      <c r="A230" s="81">
        <f>IF(A229="","",IF(A229+1&gt;MAX('Таблиця 1'!$B:$B),"",A229+1))</f>
        <v/>
      </c>
      <c r="B230">
        <f>IF($A230="","",COUNTIFS('Таблиця 1'!$B:$B,$A230,'Таблиця 1'!$E:$E,"ЖС ВЗ",'Таблиця 1'!$L:$L,"Уражено"))</f>
        <v/>
      </c>
      <c r="C230">
        <f>IF($A230="","",COUNTIFS('Таблиця 1'!$B:$B,$A230,'Таблиця 1'!$E:$E,"Арт. Системи",'Таблиця 1'!$L:$L,"Уражено"))</f>
        <v/>
      </c>
      <c r="D230">
        <f>IF($A230="","",COUNTIFS('Таблиця 1'!$B:$B,$A230,'Таблиця 1'!$E:$E,"ОВТ",'Таблиця 1'!$L:$L,"Уражено"))</f>
        <v/>
      </c>
      <c r="E230">
        <f>IF($A230="","",COUNTIFS('Таблиця 1'!$B:$B,$A230,'Таблиця 1'!$E:$E,"ППО",'Таблиця 1'!$L:$L,"Уражено"))</f>
        <v/>
      </c>
      <c r="F230">
        <f>IF($A230="","",COUNTIFS('Таблиця 1'!$B:$B,$A230,'Таблиця 1'!$E:$E,"Рембаза",'Таблиця 1'!$L:$L,"Уражено"))</f>
        <v/>
      </c>
      <c r="G230">
        <f>IF($A230="","",COUNTIFS('Таблиця 1'!$B:$B,$A230,'Таблиця 1'!$E:$E,"Склад БК",'Таблиця 1'!$L:$L,"Уражено"))</f>
        <v/>
      </c>
      <c r="H230">
        <f>IF($A230="","",COUNTIFS('Таблиця 1'!$B:$B,$A230,'Таблиця 1'!$E:$E,"Склад ВТМ",'Таблиця 1'!$L:$L,"Уражено"))</f>
        <v/>
      </c>
      <c r="I230">
        <f>IF($A230="","",COUNTIFS('Таблиця 1'!$B:$B,$A230,'Таблиця 1'!$E:$E,"ПУ БпЛА",'Таблиця 1'!$L:$L,"Уражено"))</f>
        <v/>
      </c>
      <c r="J230">
        <f>IF($A230="","",COUNTIFS('Таблиця 1'!$B:$B,$A230,'Таблиця 1'!$E:$E,"СП",'Таблиця 1'!$L:$L,"Уражено"))</f>
        <v/>
      </c>
      <c r="K230">
        <f>IF($A230="","",COUNTIFS('Таблиця 1'!$B:$B,$A230,'Таблиця 1'!$E:$E,"КСП роти",'Таблиця 1'!$L:$L,"Уражено"))</f>
        <v/>
      </c>
      <c r="L230">
        <f>IF($A230="","",COUNTIFS('Таблиця 1'!$B:$B,$A230,'Таблиця 1'!$E:$E,"ПУ бат",'Таблиця 1'!$L:$L,"Уражено"))</f>
        <v/>
      </c>
      <c r="M230">
        <f>IF($A230="","",COUNTIFS('Таблиця 1'!$B:$B,$A230,'Таблиця 1'!$E:$E,"ПУ бриг",'Таблиця 1'!$L:$L,"Уражено"))</f>
        <v/>
      </c>
      <c r="N230">
        <f>IF($A230="","",COUNTIFS('Таблиця 1'!$B:$B,$A230,'Таблиця 1'!$E:$E,"ПУ див",'Таблиця 1'!$L:$L,"Уражено"))</f>
        <v/>
      </c>
      <c r="O230">
        <f>IF($A230="","",COUNTIFS('Таблиця 1'!$B:$B,$A230,'Таблиця 1'!$E:$E,"обл. РЕБ",'Таблиця 1'!$L:$L,"Уражено"))</f>
        <v/>
      </c>
      <c r="P230">
        <f>IF($A230="","",COUNTIFS('Таблиця 1'!$B:$B,$A230,'Таблиця 1'!$E:$E,"пос РЕБ",'Таблиця 1'!$L:$L,"Уражено"))</f>
        <v/>
      </c>
      <c r="Q230">
        <f>IF($A230="","",COUNTIFS('Таблиця 1'!$B:$B,$A230,'Таблиця 1'!$E:$E,"група РЕР",'Таблиця 1'!$L:$L,"Уражено"))</f>
        <v/>
      </c>
      <c r="R230">
        <f>IF($A230="","",COUNTIFS('Таблиця 1'!$B:$B,$A230,'Таблиця 1'!$E:$E,"РЛС КББ",'Таблиця 1'!$L:$L,"Уражено"))</f>
        <v/>
      </c>
      <c r="S230">
        <f>IF($A230="","",COUNTIFS('Таблиця 1'!$B:$B,$A230,'Таблиця 1'!$E:$E,"Ретранслятор",'Таблиця 1'!$L:$L,"Уражено"))</f>
        <v/>
      </c>
      <c r="T230">
        <f>IF($A230="","",COUNTIFS('Таблиця 1'!$B:$B,$A230,'Таблиця 1'!$E:$E,"Вз.зв'язку",'Таблиця 1'!$L:$L,"Уражено"))</f>
        <v/>
      </c>
      <c r="U230">
        <f>IF($A230="","",COUNTIFS('Таблиця 1'!$B:$B,$A230,'Таблиця 1'!$E:$E,"ПММ",'Таблиця 1'!$L:$L,"Уражено"))</f>
        <v/>
      </c>
      <c r="V230">
        <f>IF($A230="","",COUNTIFS('Таблиця 1'!$B:$B,$A230,'Таблиця 1'!$E:$E,"ІФС",'Таблиця 1'!$L:$L,"Уражено"))</f>
        <v/>
      </c>
      <c r="W230">
        <f>IF($A230="","",COUNTIFS('Таблиця 1'!$B:$B,$A230,'Таблиця 1'!$E:$E,"Інфраструктура",'Таблиця 1'!$L:$L,"Уражено"))</f>
        <v/>
      </c>
      <c r="X230">
        <f>IF($A230="","",SUMIFS('Таблиця 1'!$K:$K,'Таблиця 1'!$B:$B,$A230))</f>
        <v/>
      </c>
    </row>
    <row r="231">
      <c r="A231" s="81">
        <f>IF(A230="","",IF(A230+1&gt;MAX('Таблиця 1'!$B:$B),"",A230+1))</f>
        <v/>
      </c>
      <c r="B231">
        <f>IF($A231="","",COUNTIFS('Таблиця 1'!$B:$B,$A231,'Таблиця 1'!$E:$E,"ЖС ВЗ",'Таблиця 1'!$L:$L,"Уражено"))</f>
        <v/>
      </c>
      <c r="C231">
        <f>IF($A231="","",COUNTIFS('Таблиця 1'!$B:$B,$A231,'Таблиця 1'!$E:$E,"Арт. Системи",'Таблиця 1'!$L:$L,"Уражено"))</f>
        <v/>
      </c>
      <c r="D231">
        <f>IF($A231="","",COUNTIFS('Таблиця 1'!$B:$B,$A231,'Таблиця 1'!$E:$E,"ОВТ",'Таблиця 1'!$L:$L,"Уражено"))</f>
        <v/>
      </c>
      <c r="E231">
        <f>IF($A231="","",COUNTIFS('Таблиця 1'!$B:$B,$A231,'Таблиця 1'!$E:$E,"ППО",'Таблиця 1'!$L:$L,"Уражено"))</f>
        <v/>
      </c>
      <c r="F231">
        <f>IF($A231="","",COUNTIFS('Таблиця 1'!$B:$B,$A231,'Таблиця 1'!$E:$E,"Рембаза",'Таблиця 1'!$L:$L,"Уражено"))</f>
        <v/>
      </c>
      <c r="G231">
        <f>IF($A231="","",COUNTIFS('Таблиця 1'!$B:$B,$A231,'Таблиця 1'!$E:$E,"Склад БК",'Таблиця 1'!$L:$L,"Уражено"))</f>
        <v/>
      </c>
      <c r="H231">
        <f>IF($A231="","",COUNTIFS('Таблиця 1'!$B:$B,$A231,'Таблиця 1'!$E:$E,"Склад ВТМ",'Таблиця 1'!$L:$L,"Уражено"))</f>
        <v/>
      </c>
      <c r="I231">
        <f>IF($A231="","",COUNTIFS('Таблиця 1'!$B:$B,$A231,'Таблиця 1'!$E:$E,"ПУ БпЛА",'Таблиця 1'!$L:$L,"Уражено"))</f>
        <v/>
      </c>
      <c r="J231">
        <f>IF($A231="","",COUNTIFS('Таблиця 1'!$B:$B,$A231,'Таблиця 1'!$E:$E,"СП",'Таблиця 1'!$L:$L,"Уражено"))</f>
        <v/>
      </c>
      <c r="K231">
        <f>IF($A231="","",COUNTIFS('Таблиця 1'!$B:$B,$A231,'Таблиця 1'!$E:$E,"КСП роти",'Таблиця 1'!$L:$L,"Уражено"))</f>
        <v/>
      </c>
      <c r="L231">
        <f>IF($A231="","",COUNTIFS('Таблиця 1'!$B:$B,$A231,'Таблиця 1'!$E:$E,"ПУ бат",'Таблиця 1'!$L:$L,"Уражено"))</f>
        <v/>
      </c>
      <c r="M231">
        <f>IF($A231="","",COUNTIFS('Таблиця 1'!$B:$B,$A231,'Таблиця 1'!$E:$E,"ПУ бриг",'Таблиця 1'!$L:$L,"Уражено"))</f>
        <v/>
      </c>
      <c r="N231">
        <f>IF($A231="","",COUNTIFS('Таблиця 1'!$B:$B,$A231,'Таблиця 1'!$E:$E,"ПУ див",'Таблиця 1'!$L:$L,"Уражено"))</f>
        <v/>
      </c>
      <c r="O231">
        <f>IF($A231="","",COUNTIFS('Таблиця 1'!$B:$B,$A231,'Таблиця 1'!$E:$E,"обл. РЕБ",'Таблиця 1'!$L:$L,"Уражено"))</f>
        <v/>
      </c>
      <c r="P231">
        <f>IF($A231="","",COUNTIFS('Таблиця 1'!$B:$B,$A231,'Таблиця 1'!$E:$E,"пос РЕБ",'Таблиця 1'!$L:$L,"Уражено"))</f>
        <v/>
      </c>
      <c r="Q231">
        <f>IF($A231="","",COUNTIFS('Таблиця 1'!$B:$B,$A231,'Таблиця 1'!$E:$E,"група РЕР",'Таблиця 1'!$L:$L,"Уражено"))</f>
        <v/>
      </c>
      <c r="R231">
        <f>IF($A231="","",COUNTIFS('Таблиця 1'!$B:$B,$A231,'Таблиця 1'!$E:$E,"РЛС КББ",'Таблиця 1'!$L:$L,"Уражено"))</f>
        <v/>
      </c>
      <c r="S231">
        <f>IF($A231="","",COUNTIFS('Таблиця 1'!$B:$B,$A231,'Таблиця 1'!$E:$E,"Ретранслятор",'Таблиця 1'!$L:$L,"Уражено"))</f>
        <v/>
      </c>
      <c r="T231">
        <f>IF($A231="","",COUNTIFS('Таблиця 1'!$B:$B,$A231,'Таблиця 1'!$E:$E,"Вз.зв'язку",'Таблиця 1'!$L:$L,"Уражено"))</f>
        <v/>
      </c>
      <c r="U231">
        <f>IF($A231="","",COUNTIFS('Таблиця 1'!$B:$B,$A231,'Таблиця 1'!$E:$E,"ПММ",'Таблиця 1'!$L:$L,"Уражено"))</f>
        <v/>
      </c>
      <c r="V231">
        <f>IF($A231="","",COUNTIFS('Таблиця 1'!$B:$B,$A231,'Таблиця 1'!$E:$E,"ІФС",'Таблиця 1'!$L:$L,"Уражено"))</f>
        <v/>
      </c>
      <c r="W231">
        <f>IF($A231="","",COUNTIFS('Таблиця 1'!$B:$B,$A231,'Таблиця 1'!$E:$E,"Інфраструктура",'Таблиця 1'!$L:$L,"Уражено"))</f>
        <v/>
      </c>
      <c r="X231">
        <f>IF($A231="","",SUMIFS('Таблиця 1'!$K:$K,'Таблиця 1'!$B:$B,$A231))</f>
        <v/>
      </c>
    </row>
    <row r="232">
      <c r="A232" s="81">
        <f>IF(A231="","",IF(A231+1&gt;MAX('Таблиця 1'!$B:$B),"",A231+1))</f>
        <v/>
      </c>
      <c r="B232">
        <f>IF($A232="","",COUNTIFS('Таблиця 1'!$B:$B,$A232,'Таблиця 1'!$E:$E,"ЖС ВЗ",'Таблиця 1'!$L:$L,"Уражено"))</f>
        <v/>
      </c>
      <c r="C232">
        <f>IF($A232="","",COUNTIFS('Таблиця 1'!$B:$B,$A232,'Таблиця 1'!$E:$E,"Арт. Системи",'Таблиця 1'!$L:$L,"Уражено"))</f>
        <v/>
      </c>
      <c r="D232">
        <f>IF($A232="","",COUNTIFS('Таблиця 1'!$B:$B,$A232,'Таблиця 1'!$E:$E,"ОВТ",'Таблиця 1'!$L:$L,"Уражено"))</f>
        <v/>
      </c>
      <c r="E232">
        <f>IF($A232="","",COUNTIFS('Таблиця 1'!$B:$B,$A232,'Таблиця 1'!$E:$E,"ППО",'Таблиця 1'!$L:$L,"Уражено"))</f>
        <v/>
      </c>
      <c r="F232">
        <f>IF($A232="","",COUNTIFS('Таблиця 1'!$B:$B,$A232,'Таблиця 1'!$E:$E,"Рембаза",'Таблиця 1'!$L:$L,"Уражено"))</f>
        <v/>
      </c>
      <c r="G232">
        <f>IF($A232="","",COUNTIFS('Таблиця 1'!$B:$B,$A232,'Таблиця 1'!$E:$E,"Склад БК",'Таблиця 1'!$L:$L,"Уражено"))</f>
        <v/>
      </c>
      <c r="H232">
        <f>IF($A232="","",COUNTIFS('Таблиця 1'!$B:$B,$A232,'Таблиця 1'!$E:$E,"Склад ВТМ",'Таблиця 1'!$L:$L,"Уражено"))</f>
        <v/>
      </c>
      <c r="I232">
        <f>IF($A232="","",COUNTIFS('Таблиця 1'!$B:$B,$A232,'Таблиця 1'!$E:$E,"ПУ БпЛА",'Таблиця 1'!$L:$L,"Уражено"))</f>
        <v/>
      </c>
      <c r="J232">
        <f>IF($A232="","",COUNTIFS('Таблиця 1'!$B:$B,$A232,'Таблиця 1'!$E:$E,"СП",'Таблиця 1'!$L:$L,"Уражено"))</f>
        <v/>
      </c>
      <c r="K232">
        <f>IF($A232="","",COUNTIFS('Таблиця 1'!$B:$B,$A232,'Таблиця 1'!$E:$E,"КСП роти",'Таблиця 1'!$L:$L,"Уражено"))</f>
        <v/>
      </c>
      <c r="L232">
        <f>IF($A232="","",COUNTIFS('Таблиця 1'!$B:$B,$A232,'Таблиця 1'!$E:$E,"ПУ бат",'Таблиця 1'!$L:$L,"Уражено"))</f>
        <v/>
      </c>
      <c r="M232">
        <f>IF($A232="","",COUNTIFS('Таблиця 1'!$B:$B,$A232,'Таблиця 1'!$E:$E,"ПУ бриг",'Таблиця 1'!$L:$L,"Уражено"))</f>
        <v/>
      </c>
      <c r="N232">
        <f>IF($A232="","",COUNTIFS('Таблиця 1'!$B:$B,$A232,'Таблиця 1'!$E:$E,"ПУ див",'Таблиця 1'!$L:$L,"Уражено"))</f>
        <v/>
      </c>
      <c r="O232">
        <f>IF($A232="","",COUNTIFS('Таблиця 1'!$B:$B,$A232,'Таблиця 1'!$E:$E,"обл. РЕБ",'Таблиця 1'!$L:$L,"Уражено"))</f>
        <v/>
      </c>
      <c r="P232">
        <f>IF($A232="","",COUNTIFS('Таблиця 1'!$B:$B,$A232,'Таблиця 1'!$E:$E,"пос РЕБ",'Таблиця 1'!$L:$L,"Уражено"))</f>
        <v/>
      </c>
      <c r="Q232">
        <f>IF($A232="","",COUNTIFS('Таблиця 1'!$B:$B,$A232,'Таблиця 1'!$E:$E,"група РЕР",'Таблиця 1'!$L:$L,"Уражено"))</f>
        <v/>
      </c>
      <c r="R232">
        <f>IF($A232="","",COUNTIFS('Таблиця 1'!$B:$B,$A232,'Таблиця 1'!$E:$E,"РЛС КББ",'Таблиця 1'!$L:$L,"Уражено"))</f>
        <v/>
      </c>
      <c r="S232">
        <f>IF($A232="","",COUNTIFS('Таблиця 1'!$B:$B,$A232,'Таблиця 1'!$E:$E,"Ретранслятор",'Таблиця 1'!$L:$L,"Уражено"))</f>
        <v/>
      </c>
      <c r="T232">
        <f>IF($A232="","",COUNTIFS('Таблиця 1'!$B:$B,$A232,'Таблиця 1'!$E:$E,"Вз.зв'язку",'Таблиця 1'!$L:$L,"Уражено"))</f>
        <v/>
      </c>
      <c r="U232">
        <f>IF($A232="","",COUNTIFS('Таблиця 1'!$B:$B,$A232,'Таблиця 1'!$E:$E,"ПММ",'Таблиця 1'!$L:$L,"Уражено"))</f>
        <v/>
      </c>
      <c r="V232">
        <f>IF($A232="","",COUNTIFS('Таблиця 1'!$B:$B,$A232,'Таблиця 1'!$E:$E,"ІФС",'Таблиця 1'!$L:$L,"Уражено"))</f>
        <v/>
      </c>
      <c r="W232">
        <f>IF($A232="","",COUNTIFS('Таблиця 1'!$B:$B,$A232,'Таблиця 1'!$E:$E,"Інфраструктура",'Таблиця 1'!$L:$L,"Уражено"))</f>
        <v/>
      </c>
      <c r="X232">
        <f>IF($A232="","",SUMIFS('Таблиця 1'!$K:$K,'Таблиця 1'!$B:$B,$A232))</f>
        <v/>
      </c>
    </row>
    <row r="233">
      <c r="A233" s="81">
        <f>IF(A232="","",IF(A232+1&gt;MAX('Таблиця 1'!$B:$B),"",A232+1))</f>
        <v/>
      </c>
      <c r="B233">
        <f>IF($A233="","",COUNTIFS('Таблиця 1'!$B:$B,$A233,'Таблиця 1'!$E:$E,"ЖС ВЗ",'Таблиця 1'!$L:$L,"Уражено"))</f>
        <v/>
      </c>
      <c r="C233">
        <f>IF($A233="","",COUNTIFS('Таблиця 1'!$B:$B,$A233,'Таблиця 1'!$E:$E,"Арт. Системи",'Таблиця 1'!$L:$L,"Уражено"))</f>
        <v/>
      </c>
      <c r="D233">
        <f>IF($A233="","",COUNTIFS('Таблиця 1'!$B:$B,$A233,'Таблиця 1'!$E:$E,"ОВТ",'Таблиця 1'!$L:$L,"Уражено"))</f>
        <v/>
      </c>
      <c r="E233">
        <f>IF($A233="","",COUNTIFS('Таблиця 1'!$B:$B,$A233,'Таблиця 1'!$E:$E,"ППО",'Таблиця 1'!$L:$L,"Уражено"))</f>
        <v/>
      </c>
      <c r="F233">
        <f>IF($A233="","",COUNTIFS('Таблиця 1'!$B:$B,$A233,'Таблиця 1'!$E:$E,"Рембаза",'Таблиця 1'!$L:$L,"Уражено"))</f>
        <v/>
      </c>
      <c r="G233">
        <f>IF($A233="","",COUNTIFS('Таблиця 1'!$B:$B,$A233,'Таблиця 1'!$E:$E,"Склад БК",'Таблиця 1'!$L:$L,"Уражено"))</f>
        <v/>
      </c>
      <c r="H233">
        <f>IF($A233="","",COUNTIFS('Таблиця 1'!$B:$B,$A233,'Таблиця 1'!$E:$E,"Склад ВТМ",'Таблиця 1'!$L:$L,"Уражено"))</f>
        <v/>
      </c>
      <c r="I233">
        <f>IF($A233="","",COUNTIFS('Таблиця 1'!$B:$B,$A233,'Таблиця 1'!$E:$E,"ПУ БпЛА",'Таблиця 1'!$L:$L,"Уражено"))</f>
        <v/>
      </c>
      <c r="J233">
        <f>IF($A233="","",COUNTIFS('Таблиця 1'!$B:$B,$A233,'Таблиця 1'!$E:$E,"СП",'Таблиця 1'!$L:$L,"Уражено"))</f>
        <v/>
      </c>
      <c r="K233">
        <f>IF($A233="","",COUNTIFS('Таблиця 1'!$B:$B,$A233,'Таблиця 1'!$E:$E,"КСП роти",'Таблиця 1'!$L:$L,"Уражено"))</f>
        <v/>
      </c>
      <c r="L233">
        <f>IF($A233="","",COUNTIFS('Таблиця 1'!$B:$B,$A233,'Таблиця 1'!$E:$E,"ПУ бат",'Таблиця 1'!$L:$L,"Уражено"))</f>
        <v/>
      </c>
      <c r="M233">
        <f>IF($A233="","",COUNTIFS('Таблиця 1'!$B:$B,$A233,'Таблиця 1'!$E:$E,"ПУ бриг",'Таблиця 1'!$L:$L,"Уражено"))</f>
        <v/>
      </c>
      <c r="N233">
        <f>IF($A233="","",COUNTIFS('Таблиця 1'!$B:$B,$A233,'Таблиця 1'!$E:$E,"ПУ див",'Таблиця 1'!$L:$L,"Уражено"))</f>
        <v/>
      </c>
      <c r="O233">
        <f>IF($A233="","",COUNTIFS('Таблиця 1'!$B:$B,$A233,'Таблиця 1'!$E:$E,"обл. РЕБ",'Таблиця 1'!$L:$L,"Уражено"))</f>
        <v/>
      </c>
      <c r="P233">
        <f>IF($A233="","",COUNTIFS('Таблиця 1'!$B:$B,$A233,'Таблиця 1'!$E:$E,"пос РЕБ",'Таблиця 1'!$L:$L,"Уражено"))</f>
        <v/>
      </c>
      <c r="Q233">
        <f>IF($A233="","",COUNTIFS('Таблиця 1'!$B:$B,$A233,'Таблиця 1'!$E:$E,"група РЕР",'Таблиця 1'!$L:$L,"Уражено"))</f>
        <v/>
      </c>
      <c r="R233">
        <f>IF($A233="","",COUNTIFS('Таблиця 1'!$B:$B,$A233,'Таблиця 1'!$E:$E,"РЛС КББ",'Таблиця 1'!$L:$L,"Уражено"))</f>
        <v/>
      </c>
      <c r="S233">
        <f>IF($A233="","",COUNTIFS('Таблиця 1'!$B:$B,$A233,'Таблиця 1'!$E:$E,"Ретранслятор",'Таблиця 1'!$L:$L,"Уражено"))</f>
        <v/>
      </c>
      <c r="T233">
        <f>IF($A233="","",COUNTIFS('Таблиця 1'!$B:$B,$A233,'Таблиця 1'!$E:$E,"Вз.зв'язку",'Таблиця 1'!$L:$L,"Уражено"))</f>
        <v/>
      </c>
      <c r="U233">
        <f>IF($A233="","",COUNTIFS('Таблиця 1'!$B:$B,$A233,'Таблиця 1'!$E:$E,"ПММ",'Таблиця 1'!$L:$L,"Уражено"))</f>
        <v/>
      </c>
      <c r="V233">
        <f>IF($A233="","",COUNTIFS('Таблиця 1'!$B:$B,$A233,'Таблиця 1'!$E:$E,"ІФС",'Таблиця 1'!$L:$L,"Уражено"))</f>
        <v/>
      </c>
      <c r="W233">
        <f>IF($A233="","",COUNTIFS('Таблиця 1'!$B:$B,$A233,'Таблиця 1'!$E:$E,"Інфраструктура",'Таблиця 1'!$L:$L,"Уражено"))</f>
        <v/>
      </c>
      <c r="X233">
        <f>IF($A233="","",SUMIFS('Таблиця 1'!$K:$K,'Таблиця 1'!$B:$B,$A233))</f>
        <v/>
      </c>
    </row>
    <row r="234">
      <c r="A234" s="81">
        <f>IF(A233="","",IF(A233+1&gt;MAX('Таблиця 1'!$B:$B),"",A233+1))</f>
        <v/>
      </c>
      <c r="B234">
        <f>IF($A234="","",COUNTIFS('Таблиця 1'!$B:$B,$A234,'Таблиця 1'!$E:$E,"ЖС ВЗ",'Таблиця 1'!$L:$L,"Уражено"))</f>
        <v/>
      </c>
      <c r="C234">
        <f>IF($A234="","",COUNTIFS('Таблиця 1'!$B:$B,$A234,'Таблиця 1'!$E:$E,"Арт. Системи",'Таблиця 1'!$L:$L,"Уражено"))</f>
        <v/>
      </c>
      <c r="D234">
        <f>IF($A234="","",COUNTIFS('Таблиця 1'!$B:$B,$A234,'Таблиця 1'!$E:$E,"ОВТ",'Таблиця 1'!$L:$L,"Уражено"))</f>
        <v/>
      </c>
      <c r="E234">
        <f>IF($A234="","",COUNTIFS('Таблиця 1'!$B:$B,$A234,'Таблиця 1'!$E:$E,"ППО",'Таблиця 1'!$L:$L,"Уражено"))</f>
        <v/>
      </c>
      <c r="F234">
        <f>IF($A234="","",COUNTIFS('Таблиця 1'!$B:$B,$A234,'Таблиця 1'!$E:$E,"Рембаза",'Таблиця 1'!$L:$L,"Уражено"))</f>
        <v/>
      </c>
      <c r="G234">
        <f>IF($A234="","",COUNTIFS('Таблиця 1'!$B:$B,$A234,'Таблиця 1'!$E:$E,"Склад БК",'Таблиця 1'!$L:$L,"Уражено"))</f>
        <v/>
      </c>
      <c r="H234">
        <f>IF($A234="","",COUNTIFS('Таблиця 1'!$B:$B,$A234,'Таблиця 1'!$E:$E,"Склад ВТМ",'Таблиця 1'!$L:$L,"Уражено"))</f>
        <v/>
      </c>
      <c r="I234">
        <f>IF($A234="","",COUNTIFS('Таблиця 1'!$B:$B,$A234,'Таблиця 1'!$E:$E,"ПУ БпЛА",'Таблиця 1'!$L:$L,"Уражено"))</f>
        <v/>
      </c>
      <c r="J234">
        <f>IF($A234="","",COUNTIFS('Таблиця 1'!$B:$B,$A234,'Таблиця 1'!$E:$E,"СП",'Таблиця 1'!$L:$L,"Уражено"))</f>
        <v/>
      </c>
      <c r="K234">
        <f>IF($A234="","",COUNTIFS('Таблиця 1'!$B:$B,$A234,'Таблиця 1'!$E:$E,"КСП роти",'Таблиця 1'!$L:$L,"Уражено"))</f>
        <v/>
      </c>
      <c r="L234">
        <f>IF($A234="","",COUNTIFS('Таблиця 1'!$B:$B,$A234,'Таблиця 1'!$E:$E,"ПУ бат",'Таблиця 1'!$L:$L,"Уражено"))</f>
        <v/>
      </c>
      <c r="M234">
        <f>IF($A234="","",COUNTIFS('Таблиця 1'!$B:$B,$A234,'Таблиця 1'!$E:$E,"ПУ бриг",'Таблиця 1'!$L:$L,"Уражено"))</f>
        <v/>
      </c>
      <c r="N234">
        <f>IF($A234="","",COUNTIFS('Таблиця 1'!$B:$B,$A234,'Таблиця 1'!$E:$E,"ПУ див",'Таблиця 1'!$L:$L,"Уражено"))</f>
        <v/>
      </c>
      <c r="O234">
        <f>IF($A234="","",COUNTIFS('Таблиця 1'!$B:$B,$A234,'Таблиця 1'!$E:$E,"обл. РЕБ",'Таблиця 1'!$L:$L,"Уражено"))</f>
        <v/>
      </c>
      <c r="P234">
        <f>IF($A234="","",COUNTIFS('Таблиця 1'!$B:$B,$A234,'Таблиця 1'!$E:$E,"пос РЕБ",'Таблиця 1'!$L:$L,"Уражено"))</f>
        <v/>
      </c>
      <c r="Q234">
        <f>IF($A234="","",COUNTIFS('Таблиця 1'!$B:$B,$A234,'Таблиця 1'!$E:$E,"група РЕР",'Таблиця 1'!$L:$L,"Уражено"))</f>
        <v/>
      </c>
      <c r="R234">
        <f>IF($A234="","",COUNTIFS('Таблиця 1'!$B:$B,$A234,'Таблиця 1'!$E:$E,"РЛС КББ",'Таблиця 1'!$L:$L,"Уражено"))</f>
        <v/>
      </c>
      <c r="S234">
        <f>IF($A234="","",COUNTIFS('Таблиця 1'!$B:$B,$A234,'Таблиця 1'!$E:$E,"Ретранслятор",'Таблиця 1'!$L:$L,"Уражено"))</f>
        <v/>
      </c>
      <c r="T234">
        <f>IF($A234="","",COUNTIFS('Таблиця 1'!$B:$B,$A234,'Таблиця 1'!$E:$E,"Вз.зв'язку",'Таблиця 1'!$L:$L,"Уражено"))</f>
        <v/>
      </c>
      <c r="U234">
        <f>IF($A234="","",COUNTIFS('Таблиця 1'!$B:$B,$A234,'Таблиця 1'!$E:$E,"ПММ",'Таблиця 1'!$L:$L,"Уражено"))</f>
        <v/>
      </c>
      <c r="V234">
        <f>IF($A234="","",COUNTIFS('Таблиця 1'!$B:$B,$A234,'Таблиця 1'!$E:$E,"ІФС",'Таблиця 1'!$L:$L,"Уражено"))</f>
        <v/>
      </c>
      <c r="W234">
        <f>IF($A234="","",COUNTIFS('Таблиця 1'!$B:$B,$A234,'Таблиця 1'!$E:$E,"Інфраструктура",'Таблиця 1'!$L:$L,"Уражено"))</f>
        <v/>
      </c>
      <c r="X234">
        <f>IF($A234="","",SUMIFS('Таблиця 1'!$K:$K,'Таблиця 1'!$B:$B,$A234))</f>
        <v/>
      </c>
    </row>
    <row r="235">
      <c r="A235" s="81">
        <f>IF(A234="","",IF(A234+1&gt;MAX('Таблиця 1'!$B:$B),"",A234+1))</f>
        <v/>
      </c>
      <c r="B235">
        <f>IF($A235="","",COUNTIFS('Таблиця 1'!$B:$B,$A235,'Таблиця 1'!$E:$E,"ЖС ВЗ",'Таблиця 1'!$L:$L,"Уражено"))</f>
        <v/>
      </c>
      <c r="C235">
        <f>IF($A235="","",COUNTIFS('Таблиця 1'!$B:$B,$A235,'Таблиця 1'!$E:$E,"Арт. Системи",'Таблиця 1'!$L:$L,"Уражено"))</f>
        <v/>
      </c>
      <c r="D235">
        <f>IF($A235="","",COUNTIFS('Таблиця 1'!$B:$B,$A235,'Таблиця 1'!$E:$E,"ОВТ",'Таблиця 1'!$L:$L,"Уражено"))</f>
        <v/>
      </c>
      <c r="E235">
        <f>IF($A235="","",COUNTIFS('Таблиця 1'!$B:$B,$A235,'Таблиця 1'!$E:$E,"ППО",'Таблиця 1'!$L:$L,"Уражено"))</f>
        <v/>
      </c>
      <c r="F235">
        <f>IF($A235="","",COUNTIFS('Таблиця 1'!$B:$B,$A235,'Таблиця 1'!$E:$E,"Рембаза",'Таблиця 1'!$L:$L,"Уражено"))</f>
        <v/>
      </c>
      <c r="G235">
        <f>IF($A235="","",COUNTIFS('Таблиця 1'!$B:$B,$A235,'Таблиця 1'!$E:$E,"Склад БК",'Таблиця 1'!$L:$L,"Уражено"))</f>
        <v/>
      </c>
      <c r="H235">
        <f>IF($A235="","",COUNTIFS('Таблиця 1'!$B:$B,$A235,'Таблиця 1'!$E:$E,"Склад ВТМ",'Таблиця 1'!$L:$L,"Уражено"))</f>
        <v/>
      </c>
      <c r="I235">
        <f>IF($A235="","",COUNTIFS('Таблиця 1'!$B:$B,$A235,'Таблиця 1'!$E:$E,"ПУ БпЛА",'Таблиця 1'!$L:$L,"Уражено"))</f>
        <v/>
      </c>
      <c r="J235">
        <f>IF($A235="","",COUNTIFS('Таблиця 1'!$B:$B,$A235,'Таблиця 1'!$E:$E,"СП",'Таблиця 1'!$L:$L,"Уражено"))</f>
        <v/>
      </c>
      <c r="K235">
        <f>IF($A235="","",COUNTIFS('Таблиця 1'!$B:$B,$A235,'Таблиця 1'!$E:$E,"КСП роти",'Таблиця 1'!$L:$L,"Уражено"))</f>
        <v/>
      </c>
      <c r="L235">
        <f>IF($A235="","",COUNTIFS('Таблиця 1'!$B:$B,$A235,'Таблиця 1'!$E:$E,"ПУ бат",'Таблиця 1'!$L:$L,"Уражено"))</f>
        <v/>
      </c>
      <c r="M235">
        <f>IF($A235="","",COUNTIFS('Таблиця 1'!$B:$B,$A235,'Таблиця 1'!$E:$E,"ПУ бриг",'Таблиця 1'!$L:$L,"Уражено"))</f>
        <v/>
      </c>
      <c r="N235">
        <f>IF($A235="","",COUNTIFS('Таблиця 1'!$B:$B,$A235,'Таблиця 1'!$E:$E,"ПУ див",'Таблиця 1'!$L:$L,"Уражено"))</f>
        <v/>
      </c>
      <c r="O235">
        <f>IF($A235="","",COUNTIFS('Таблиця 1'!$B:$B,$A235,'Таблиця 1'!$E:$E,"обл. РЕБ",'Таблиця 1'!$L:$L,"Уражено"))</f>
        <v/>
      </c>
      <c r="P235">
        <f>IF($A235="","",COUNTIFS('Таблиця 1'!$B:$B,$A235,'Таблиця 1'!$E:$E,"пос РЕБ",'Таблиця 1'!$L:$L,"Уражено"))</f>
        <v/>
      </c>
      <c r="Q235">
        <f>IF($A235="","",COUNTIFS('Таблиця 1'!$B:$B,$A235,'Таблиця 1'!$E:$E,"група РЕР",'Таблиця 1'!$L:$L,"Уражено"))</f>
        <v/>
      </c>
      <c r="R235">
        <f>IF($A235="","",COUNTIFS('Таблиця 1'!$B:$B,$A235,'Таблиця 1'!$E:$E,"РЛС КББ",'Таблиця 1'!$L:$L,"Уражено"))</f>
        <v/>
      </c>
      <c r="S235">
        <f>IF($A235="","",COUNTIFS('Таблиця 1'!$B:$B,$A235,'Таблиця 1'!$E:$E,"Ретранслятор",'Таблиця 1'!$L:$L,"Уражено"))</f>
        <v/>
      </c>
      <c r="T235">
        <f>IF($A235="","",COUNTIFS('Таблиця 1'!$B:$B,$A235,'Таблиця 1'!$E:$E,"Вз.зв'язку",'Таблиця 1'!$L:$L,"Уражено"))</f>
        <v/>
      </c>
      <c r="U235">
        <f>IF($A235="","",COUNTIFS('Таблиця 1'!$B:$B,$A235,'Таблиця 1'!$E:$E,"ПММ",'Таблиця 1'!$L:$L,"Уражено"))</f>
        <v/>
      </c>
      <c r="V235">
        <f>IF($A235="","",COUNTIFS('Таблиця 1'!$B:$B,$A235,'Таблиця 1'!$E:$E,"ІФС",'Таблиця 1'!$L:$L,"Уражено"))</f>
        <v/>
      </c>
      <c r="W235">
        <f>IF($A235="","",COUNTIFS('Таблиця 1'!$B:$B,$A235,'Таблиця 1'!$E:$E,"Інфраструктура",'Таблиця 1'!$L:$L,"Уражено"))</f>
        <v/>
      </c>
      <c r="X235">
        <f>IF($A235="","",SUMIFS('Таблиця 1'!$K:$K,'Таблиця 1'!$B:$B,$A235))</f>
        <v/>
      </c>
    </row>
    <row r="236">
      <c r="A236" s="81">
        <f>IF(A235="","",IF(A235+1&gt;MAX('Таблиця 1'!$B:$B),"",A235+1))</f>
        <v/>
      </c>
      <c r="B236">
        <f>IF($A236="","",COUNTIFS('Таблиця 1'!$B:$B,$A236,'Таблиця 1'!$E:$E,"ЖС ВЗ",'Таблиця 1'!$L:$L,"Уражено"))</f>
        <v/>
      </c>
      <c r="C236">
        <f>IF($A236="","",COUNTIFS('Таблиця 1'!$B:$B,$A236,'Таблиця 1'!$E:$E,"Арт. Системи",'Таблиця 1'!$L:$L,"Уражено"))</f>
        <v/>
      </c>
      <c r="D236">
        <f>IF($A236="","",COUNTIFS('Таблиця 1'!$B:$B,$A236,'Таблиця 1'!$E:$E,"ОВТ",'Таблиця 1'!$L:$L,"Уражено"))</f>
        <v/>
      </c>
      <c r="E236">
        <f>IF($A236="","",COUNTIFS('Таблиця 1'!$B:$B,$A236,'Таблиця 1'!$E:$E,"ППО",'Таблиця 1'!$L:$L,"Уражено"))</f>
        <v/>
      </c>
      <c r="F236">
        <f>IF($A236="","",COUNTIFS('Таблиця 1'!$B:$B,$A236,'Таблиця 1'!$E:$E,"Рембаза",'Таблиця 1'!$L:$L,"Уражено"))</f>
        <v/>
      </c>
      <c r="G236">
        <f>IF($A236="","",COUNTIFS('Таблиця 1'!$B:$B,$A236,'Таблиця 1'!$E:$E,"Склад БК",'Таблиця 1'!$L:$L,"Уражено"))</f>
        <v/>
      </c>
      <c r="H236">
        <f>IF($A236="","",COUNTIFS('Таблиця 1'!$B:$B,$A236,'Таблиця 1'!$E:$E,"Склад ВТМ",'Таблиця 1'!$L:$L,"Уражено"))</f>
        <v/>
      </c>
      <c r="I236">
        <f>IF($A236="","",COUNTIFS('Таблиця 1'!$B:$B,$A236,'Таблиця 1'!$E:$E,"ПУ БпЛА",'Таблиця 1'!$L:$L,"Уражено"))</f>
        <v/>
      </c>
      <c r="J236">
        <f>IF($A236="","",COUNTIFS('Таблиця 1'!$B:$B,$A236,'Таблиця 1'!$E:$E,"СП",'Таблиця 1'!$L:$L,"Уражено"))</f>
        <v/>
      </c>
      <c r="K236">
        <f>IF($A236="","",COUNTIFS('Таблиця 1'!$B:$B,$A236,'Таблиця 1'!$E:$E,"КСП роти",'Таблиця 1'!$L:$L,"Уражено"))</f>
        <v/>
      </c>
      <c r="L236">
        <f>IF($A236="","",COUNTIFS('Таблиця 1'!$B:$B,$A236,'Таблиця 1'!$E:$E,"ПУ бат",'Таблиця 1'!$L:$L,"Уражено"))</f>
        <v/>
      </c>
      <c r="M236">
        <f>IF($A236="","",COUNTIFS('Таблиця 1'!$B:$B,$A236,'Таблиця 1'!$E:$E,"ПУ бриг",'Таблиця 1'!$L:$L,"Уражено"))</f>
        <v/>
      </c>
      <c r="N236">
        <f>IF($A236="","",COUNTIFS('Таблиця 1'!$B:$B,$A236,'Таблиця 1'!$E:$E,"ПУ див",'Таблиця 1'!$L:$L,"Уражено"))</f>
        <v/>
      </c>
      <c r="O236">
        <f>IF($A236="","",COUNTIFS('Таблиця 1'!$B:$B,$A236,'Таблиця 1'!$E:$E,"обл. РЕБ",'Таблиця 1'!$L:$L,"Уражено"))</f>
        <v/>
      </c>
      <c r="P236">
        <f>IF($A236="","",COUNTIFS('Таблиця 1'!$B:$B,$A236,'Таблиця 1'!$E:$E,"пос РЕБ",'Таблиця 1'!$L:$L,"Уражено"))</f>
        <v/>
      </c>
      <c r="Q236">
        <f>IF($A236="","",COUNTIFS('Таблиця 1'!$B:$B,$A236,'Таблиця 1'!$E:$E,"група РЕР",'Таблиця 1'!$L:$L,"Уражено"))</f>
        <v/>
      </c>
      <c r="R236">
        <f>IF($A236="","",COUNTIFS('Таблиця 1'!$B:$B,$A236,'Таблиця 1'!$E:$E,"РЛС КББ",'Таблиця 1'!$L:$L,"Уражено"))</f>
        <v/>
      </c>
      <c r="S236">
        <f>IF($A236="","",COUNTIFS('Таблиця 1'!$B:$B,$A236,'Таблиця 1'!$E:$E,"Ретранслятор",'Таблиця 1'!$L:$L,"Уражено"))</f>
        <v/>
      </c>
      <c r="T236">
        <f>IF($A236="","",COUNTIFS('Таблиця 1'!$B:$B,$A236,'Таблиця 1'!$E:$E,"Вз.зв'язку",'Таблиця 1'!$L:$L,"Уражено"))</f>
        <v/>
      </c>
      <c r="U236">
        <f>IF($A236="","",COUNTIFS('Таблиця 1'!$B:$B,$A236,'Таблиця 1'!$E:$E,"ПММ",'Таблиця 1'!$L:$L,"Уражено"))</f>
        <v/>
      </c>
      <c r="V236">
        <f>IF($A236="","",COUNTIFS('Таблиця 1'!$B:$B,$A236,'Таблиця 1'!$E:$E,"ІФС",'Таблиця 1'!$L:$L,"Уражено"))</f>
        <v/>
      </c>
      <c r="W236">
        <f>IF($A236="","",COUNTIFS('Таблиця 1'!$B:$B,$A236,'Таблиця 1'!$E:$E,"Інфраструктура",'Таблиця 1'!$L:$L,"Уражено"))</f>
        <v/>
      </c>
      <c r="X236">
        <f>IF($A236="","",SUMIFS('Таблиця 1'!$K:$K,'Таблиця 1'!$B:$B,$A236))</f>
        <v/>
      </c>
    </row>
    <row r="237">
      <c r="A237" s="81">
        <f>IF(A236="","",IF(A236+1&gt;MAX('Таблиця 1'!$B:$B),"",A236+1))</f>
        <v/>
      </c>
      <c r="B237">
        <f>IF($A237="","",COUNTIFS('Таблиця 1'!$B:$B,$A237,'Таблиця 1'!$E:$E,"ЖС ВЗ",'Таблиця 1'!$L:$L,"Уражено"))</f>
        <v/>
      </c>
      <c r="C237">
        <f>IF($A237="","",COUNTIFS('Таблиця 1'!$B:$B,$A237,'Таблиця 1'!$E:$E,"Арт. Системи",'Таблиця 1'!$L:$L,"Уражено"))</f>
        <v/>
      </c>
      <c r="D237">
        <f>IF($A237="","",COUNTIFS('Таблиця 1'!$B:$B,$A237,'Таблиця 1'!$E:$E,"ОВТ",'Таблиця 1'!$L:$L,"Уражено"))</f>
        <v/>
      </c>
      <c r="E237">
        <f>IF($A237="","",COUNTIFS('Таблиця 1'!$B:$B,$A237,'Таблиця 1'!$E:$E,"ППО",'Таблиця 1'!$L:$L,"Уражено"))</f>
        <v/>
      </c>
      <c r="F237">
        <f>IF($A237="","",COUNTIFS('Таблиця 1'!$B:$B,$A237,'Таблиця 1'!$E:$E,"Рембаза",'Таблиця 1'!$L:$L,"Уражено"))</f>
        <v/>
      </c>
      <c r="G237">
        <f>IF($A237="","",COUNTIFS('Таблиця 1'!$B:$B,$A237,'Таблиця 1'!$E:$E,"Склад БК",'Таблиця 1'!$L:$L,"Уражено"))</f>
        <v/>
      </c>
      <c r="H237">
        <f>IF($A237="","",COUNTIFS('Таблиця 1'!$B:$B,$A237,'Таблиця 1'!$E:$E,"Склад ВТМ",'Таблиця 1'!$L:$L,"Уражено"))</f>
        <v/>
      </c>
      <c r="I237">
        <f>IF($A237="","",COUNTIFS('Таблиця 1'!$B:$B,$A237,'Таблиця 1'!$E:$E,"ПУ БпЛА",'Таблиця 1'!$L:$L,"Уражено"))</f>
        <v/>
      </c>
      <c r="J237">
        <f>IF($A237="","",COUNTIFS('Таблиця 1'!$B:$B,$A237,'Таблиця 1'!$E:$E,"СП",'Таблиця 1'!$L:$L,"Уражено"))</f>
        <v/>
      </c>
      <c r="K237">
        <f>IF($A237="","",COUNTIFS('Таблиця 1'!$B:$B,$A237,'Таблиця 1'!$E:$E,"КСП роти",'Таблиця 1'!$L:$L,"Уражено"))</f>
        <v/>
      </c>
      <c r="L237">
        <f>IF($A237="","",COUNTIFS('Таблиця 1'!$B:$B,$A237,'Таблиця 1'!$E:$E,"ПУ бат",'Таблиця 1'!$L:$L,"Уражено"))</f>
        <v/>
      </c>
      <c r="M237">
        <f>IF($A237="","",COUNTIFS('Таблиця 1'!$B:$B,$A237,'Таблиця 1'!$E:$E,"ПУ бриг",'Таблиця 1'!$L:$L,"Уражено"))</f>
        <v/>
      </c>
      <c r="N237">
        <f>IF($A237="","",COUNTIFS('Таблиця 1'!$B:$B,$A237,'Таблиця 1'!$E:$E,"ПУ див",'Таблиця 1'!$L:$L,"Уражено"))</f>
        <v/>
      </c>
      <c r="O237">
        <f>IF($A237="","",COUNTIFS('Таблиця 1'!$B:$B,$A237,'Таблиця 1'!$E:$E,"обл. РЕБ",'Таблиця 1'!$L:$L,"Уражено"))</f>
        <v/>
      </c>
      <c r="P237">
        <f>IF($A237="","",COUNTIFS('Таблиця 1'!$B:$B,$A237,'Таблиця 1'!$E:$E,"пос РЕБ",'Таблиця 1'!$L:$L,"Уражено"))</f>
        <v/>
      </c>
      <c r="Q237">
        <f>IF($A237="","",COUNTIFS('Таблиця 1'!$B:$B,$A237,'Таблиця 1'!$E:$E,"група РЕР",'Таблиця 1'!$L:$L,"Уражено"))</f>
        <v/>
      </c>
      <c r="R237">
        <f>IF($A237="","",COUNTIFS('Таблиця 1'!$B:$B,$A237,'Таблиця 1'!$E:$E,"РЛС КББ",'Таблиця 1'!$L:$L,"Уражено"))</f>
        <v/>
      </c>
      <c r="S237">
        <f>IF($A237="","",COUNTIFS('Таблиця 1'!$B:$B,$A237,'Таблиця 1'!$E:$E,"Ретранслятор",'Таблиця 1'!$L:$L,"Уражено"))</f>
        <v/>
      </c>
      <c r="T237">
        <f>IF($A237="","",COUNTIFS('Таблиця 1'!$B:$B,$A237,'Таблиця 1'!$E:$E,"Вз.зв'язку",'Таблиця 1'!$L:$L,"Уражено"))</f>
        <v/>
      </c>
      <c r="U237">
        <f>IF($A237="","",COUNTIFS('Таблиця 1'!$B:$B,$A237,'Таблиця 1'!$E:$E,"ПММ",'Таблиця 1'!$L:$L,"Уражено"))</f>
        <v/>
      </c>
      <c r="V237">
        <f>IF($A237="","",COUNTIFS('Таблиця 1'!$B:$B,$A237,'Таблиця 1'!$E:$E,"ІФС",'Таблиця 1'!$L:$L,"Уражено"))</f>
        <v/>
      </c>
      <c r="W237">
        <f>IF($A237="","",COUNTIFS('Таблиця 1'!$B:$B,$A237,'Таблиця 1'!$E:$E,"Інфраструктура",'Таблиця 1'!$L:$L,"Уражено"))</f>
        <v/>
      </c>
      <c r="X237">
        <f>IF($A237="","",SUMIFS('Таблиця 1'!$K:$K,'Таблиця 1'!$B:$B,$A237))</f>
        <v/>
      </c>
    </row>
    <row r="238">
      <c r="A238" s="81">
        <f>IF(A237="","",IF(A237+1&gt;MAX('Таблиця 1'!$B:$B),"",A237+1))</f>
        <v/>
      </c>
      <c r="B238">
        <f>IF($A238="","",COUNTIFS('Таблиця 1'!$B:$B,$A238,'Таблиця 1'!$E:$E,"ЖС ВЗ",'Таблиця 1'!$L:$L,"Уражено"))</f>
        <v/>
      </c>
      <c r="C238">
        <f>IF($A238="","",COUNTIFS('Таблиця 1'!$B:$B,$A238,'Таблиця 1'!$E:$E,"Арт. Системи",'Таблиця 1'!$L:$L,"Уражено"))</f>
        <v/>
      </c>
      <c r="D238">
        <f>IF($A238="","",COUNTIFS('Таблиця 1'!$B:$B,$A238,'Таблиця 1'!$E:$E,"ОВТ",'Таблиця 1'!$L:$L,"Уражено"))</f>
        <v/>
      </c>
      <c r="E238">
        <f>IF($A238="","",COUNTIFS('Таблиця 1'!$B:$B,$A238,'Таблиця 1'!$E:$E,"ППО",'Таблиця 1'!$L:$L,"Уражено"))</f>
        <v/>
      </c>
      <c r="F238">
        <f>IF($A238="","",COUNTIFS('Таблиця 1'!$B:$B,$A238,'Таблиця 1'!$E:$E,"Рембаза",'Таблиця 1'!$L:$L,"Уражено"))</f>
        <v/>
      </c>
      <c r="G238">
        <f>IF($A238="","",COUNTIFS('Таблиця 1'!$B:$B,$A238,'Таблиця 1'!$E:$E,"Склад БК",'Таблиця 1'!$L:$L,"Уражено"))</f>
        <v/>
      </c>
      <c r="H238">
        <f>IF($A238="","",COUNTIFS('Таблиця 1'!$B:$B,$A238,'Таблиця 1'!$E:$E,"Склад ВТМ",'Таблиця 1'!$L:$L,"Уражено"))</f>
        <v/>
      </c>
      <c r="I238">
        <f>IF($A238="","",COUNTIFS('Таблиця 1'!$B:$B,$A238,'Таблиця 1'!$E:$E,"ПУ БпЛА",'Таблиця 1'!$L:$L,"Уражено"))</f>
        <v/>
      </c>
      <c r="J238">
        <f>IF($A238="","",COUNTIFS('Таблиця 1'!$B:$B,$A238,'Таблиця 1'!$E:$E,"СП",'Таблиця 1'!$L:$L,"Уражено"))</f>
        <v/>
      </c>
      <c r="K238">
        <f>IF($A238="","",COUNTIFS('Таблиця 1'!$B:$B,$A238,'Таблиця 1'!$E:$E,"КСП роти",'Таблиця 1'!$L:$L,"Уражено"))</f>
        <v/>
      </c>
      <c r="L238">
        <f>IF($A238="","",COUNTIFS('Таблиця 1'!$B:$B,$A238,'Таблиця 1'!$E:$E,"ПУ бат",'Таблиця 1'!$L:$L,"Уражено"))</f>
        <v/>
      </c>
      <c r="M238">
        <f>IF($A238="","",COUNTIFS('Таблиця 1'!$B:$B,$A238,'Таблиця 1'!$E:$E,"ПУ бриг",'Таблиця 1'!$L:$L,"Уражено"))</f>
        <v/>
      </c>
      <c r="N238">
        <f>IF($A238="","",COUNTIFS('Таблиця 1'!$B:$B,$A238,'Таблиця 1'!$E:$E,"ПУ див",'Таблиця 1'!$L:$L,"Уражено"))</f>
        <v/>
      </c>
      <c r="O238">
        <f>IF($A238="","",COUNTIFS('Таблиця 1'!$B:$B,$A238,'Таблиця 1'!$E:$E,"обл. РЕБ",'Таблиця 1'!$L:$L,"Уражено"))</f>
        <v/>
      </c>
      <c r="P238">
        <f>IF($A238="","",COUNTIFS('Таблиця 1'!$B:$B,$A238,'Таблиця 1'!$E:$E,"пос РЕБ",'Таблиця 1'!$L:$L,"Уражено"))</f>
        <v/>
      </c>
      <c r="Q238">
        <f>IF($A238="","",COUNTIFS('Таблиця 1'!$B:$B,$A238,'Таблиця 1'!$E:$E,"група РЕР",'Таблиця 1'!$L:$L,"Уражено"))</f>
        <v/>
      </c>
      <c r="R238">
        <f>IF($A238="","",COUNTIFS('Таблиця 1'!$B:$B,$A238,'Таблиця 1'!$E:$E,"РЛС КББ",'Таблиця 1'!$L:$L,"Уражено"))</f>
        <v/>
      </c>
      <c r="S238">
        <f>IF($A238="","",COUNTIFS('Таблиця 1'!$B:$B,$A238,'Таблиця 1'!$E:$E,"Ретранслятор",'Таблиця 1'!$L:$L,"Уражено"))</f>
        <v/>
      </c>
      <c r="T238">
        <f>IF($A238="","",COUNTIFS('Таблиця 1'!$B:$B,$A238,'Таблиця 1'!$E:$E,"Вз.зв'язку",'Таблиця 1'!$L:$L,"Уражено"))</f>
        <v/>
      </c>
      <c r="U238">
        <f>IF($A238="","",COUNTIFS('Таблиця 1'!$B:$B,$A238,'Таблиця 1'!$E:$E,"ПММ",'Таблиця 1'!$L:$L,"Уражено"))</f>
        <v/>
      </c>
      <c r="V238">
        <f>IF($A238="","",COUNTIFS('Таблиця 1'!$B:$B,$A238,'Таблиця 1'!$E:$E,"ІФС",'Таблиця 1'!$L:$L,"Уражено"))</f>
        <v/>
      </c>
      <c r="W238">
        <f>IF($A238="","",COUNTIFS('Таблиця 1'!$B:$B,$A238,'Таблиця 1'!$E:$E,"Інфраструктура",'Таблиця 1'!$L:$L,"Уражено"))</f>
        <v/>
      </c>
      <c r="X238">
        <f>IF($A238="","",SUMIFS('Таблиця 1'!$K:$K,'Таблиця 1'!$B:$B,$A238))</f>
        <v/>
      </c>
    </row>
    <row r="239">
      <c r="A239" s="81">
        <f>IF(A238="","",IF(A238+1&gt;MAX('Таблиця 1'!$B:$B),"",A238+1))</f>
        <v/>
      </c>
      <c r="B239">
        <f>IF($A239="","",COUNTIFS('Таблиця 1'!$B:$B,$A239,'Таблиця 1'!$E:$E,"ЖС ВЗ",'Таблиця 1'!$L:$L,"Уражено"))</f>
        <v/>
      </c>
      <c r="C239">
        <f>IF($A239="","",COUNTIFS('Таблиця 1'!$B:$B,$A239,'Таблиця 1'!$E:$E,"Арт. Системи",'Таблиця 1'!$L:$L,"Уражено"))</f>
        <v/>
      </c>
      <c r="D239">
        <f>IF($A239="","",COUNTIFS('Таблиця 1'!$B:$B,$A239,'Таблиця 1'!$E:$E,"ОВТ",'Таблиця 1'!$L:$L,"Уражено"))</f>
        <v/>
      </c>
      <c r="E239">
        <f>IF($A239="","",COUNTIFS('Таблиця 1'!$B:$B,$A239,'Таблиця 1'!$E:$E,"ППО",'Таблиця 1'!$L:$L,"Уражено"))</f>
        <v/>
      </c>
      <c r="F239">
        <f>IF($A239="","",COUNTIFS('Таблиця 1'!$B:$B,$A239,'Таблиця 1'!$E:$E,"Рембаза",'Таблиця 1'!$L:$L,"Уражено"))</f>
        <v/>
      </c>
      <c r="G239">
        <f>IF($A239="","",COUNTIFS('Таблиця 1'!$B:$B,$A239,'Таблиця 1'!$E:$E,"Склад БК",'Таблиця 1'!$L:$L,"Уражено"))</f>
        <v/>
      </c>
      <c r="H239">
        <f>IF($A239="","",COUNTIFS('Таблиця 1'!$B:$B,$A239,'Таблиця 1'!$E:$E,"Склад ВТМ",'Таблиця 1'!$L:$L,"Уражено"))</f>
        <v/>
      </c>
      <c r="I239">
        <f>IF($A239="","",COUNTIFS('Таблиця 1'!$B:$B,$A239,'Таблиця 1'!$E:$E,"ПУ БпЛА",'Таблиця 1'!$L:$L,"Уражено"))</f>
        <v/>
      </c>
      <c r="J239">
        <f>IF($A239="","",COUNTIFS('Таблиця 1'!$B:$B,$A239,'Таблиця 1'!$E:$E,"СП",'Таблиця 1'!$L:$L,"Уражено"))</f>
        <v/>
      </c>
      <c r="K239">
        <f>IF($A239="","",COUNTIFS('Таблиця 1'!$B:$B,$A239,'Таблиця 1'!$E:$E,"КСП роти",'Таблиця 1'!$L:$L,"Уражено"))</f>
        <v/>
      </c>
      <c r="L239">
        <f>IF($A239="","",COUNTIFS('Таблиця 1'!$B:$B,$A239,'Таблиця 1'!$E:$E,"ПУ бат",'Таблиця 1'!$L:$L,"Уражено"))</f>
        <v/>
      </c>
      <c r="M239">
        <f>IF($A239="","",COUNTIFS('Таблиця 1'!$B:$B,$A239,'Таблиця 1'!$E:$E,"ПУ бриг",'Таблиця 1'!$L:$L,"Уражено"))</f>
        <v/>
      </c>
      <c r="N239">
        <f>IF($A239="","",COUNTIFS('Таблиця 1'!$B:$B,$A239,'Таблиця 1'!$E:$E,"ПУ див",'Таблиця 1'!$L:$L,"Уражено"))</f>
        <v/>
      </c>
      <c r="O239">
        <f>IF($A239="","",COUNTIFS('Таблиця 1'!$B:$B,$A239,'Таблиця 1'!$E:$E,"обл. РЕБ",'Таблиця 1'!$L:$L,"Уражено"))</f>
        <v/>
      </c>
      <c r="P239">
        <f>IF($A239="","",COUNTIFS('Таблиця 1'!$B:$B,$A239,'Таблиця 1'!$E:$E,"пос РЕБ",'Таблиця 1'!$L:$L,"Уражено"))</f>
        <v/>
      </c>
      <c r="Q239">
        <f>IF($A239="","",COUNTIFS('Таблиця 1'!$B:$B,$A239,'Таблиця 1'!$E:$E,"група РЕР",'Таблиця 1'!$L:$L,"Уражено"))</f>
        <v/>
      </c>
      <c r="R239">
        <f>IF($A239="","",COUNTIFS('Таблиця 1'!$B:$B,$A239,'Таблиця 1'!$E:$E,"РЛС КББ",'Таблиця 1'!$L:$L,"Уражено"))</f>
        <v/>
      </c>
      <c r="S239">
        <f>IF($A239="","",COUNTIFS('Таблиця 1'!$B:$B,$A239,'Таблиця 1'!$E:$E,"Ретранслятор",'Таблиця 1'!$L:$L,"Уражено"))</f>
        <v/>
      </c>
      <c r="T239">
        <f>IF($A239="","",COUNTIFS('Таблиця 1'!$B:$B,$A239,'Таблиця 1'!$E:$E,"Вз.зв'язку",'Таблиця 1'!$L:$L,"Уражено"))</f>
        <v/>
      </c>
      <c r="U239">
        <f>IF($A239="","",COUNTIFS('Таблиця 1'!$B:$B,$A239,'Таблиця 1'!$E:$E,"ПММ",'Таблиця 1'!$L:$L,"Уражено"))</f>
        <v/>
      </c>
      <c r="V239">
        <f>IF($A239="","",COUNTIFS('Таблиця 1'!$B:$B,$A239,'Таблиця 1'!$E:$E,"ІФС",'Таблиця 1'!$L:$L,"Уражено"))</f>
        <v/>
      </c>
      <c r="W239">
        <f>IF($A239="","",COUNTIFS('Таблиця 1'!$B:$B,$A239,'Таблиця 1'!$E:$E,"Інфраструктура",'Таблиця 1'!$L:$L,"Уражено"))</f>
        <v/>
      </c>
      <c r="X239">
        <f>IF($A239="","",SUMIFS('Таблиця 1'!$K:$K,'Таблиця 1'!$B:$B,$A239))</f>
        <v/>
      </c>
    </row>
    <row r="240">
      <c r="A240" s="81">
        <f>IF(A239="","",IF(A239+1&gt;MAX('Таблиця 1'!$B:$B),"",A239+1))</f>
        <v/>
      </c>
      <c r="B240">
        <f>IF($A240="","",COUNTIFS('Таблиця 1'!$B:$B,$A240,'Таблиця 1'!$E:$E,"ЖС ВЗ",'Таблиця 1'!$L:$L,"Уражено"))</f>
        <v/>
      </c>
      <c r="C240">
        <f>IF($A240="","",COUNTIFS('Таблиця 1'!$B:$B,$A240,'Таблиця 1'!$E:$E,"Арт. Системи",'Таблиця 1'!$L:$L,"Уражено"))</f>
        <v/>
      </c>
      <c r="D240">
        <f>IF($A240="","",COUNTIFS('Таблиця 1'!$B:$B,$A240,'Таблиця 1'!$E:$E,"ОВТ",'Таблиця 1'!$L:$L,"Уражено"))</f>
        <v/>
      </c>
      <c r="E240">
        <f>IF($A240="","",COUNTIFS('Таблиця 1'!$B:$B,$A240,'Таблиця 1'!$E:$E,"ППО",'Таблиця 1'!$L:$L,"Уражено"))</f>
        <v/>
      </c>
      <c r="F240">
        <f>IF($A240="","",COUNTIFS('Таблиця 1'!$B:$B,$A240,'Таблиця 1'!$E:$E,"Рембаза",'Таблиця 1'!$L:$L,"Уражено"))</f>
        <v/>
      </c>
      <c r="G240">
        <f>IF($A240="","",COUNTIFS('Таблиця 1'!$B:$B,$A240,'Таблиця 1'!$E:$E,"Склад БК",'Таблиця 1'!$L:$L,"Уражено"))</f>
        <v/>
      </c>
      <c r="H240">
        <f>IF($A240="","",COUNTIFS('Таблиця 1'!$B:$B,$A240,'Таблиця 1'!$E:$E,"Склад ВТМ",'Таблиця 1'!$L:$L,"Уражено"))</f>
        <v/>
      </c>
      <c r="I240">
        <f>IF($A240="","",COUNTIFS('Таблиця 1'!$B:$B,$A240,'Таблиця 1'!$E:$E,"ПУ БпЛА",'Таблиця 1'!$L:$L,"Уражено"))</f>
        <v/>
      </c>
      <c r="J240">
        <f>IF($A240="","",COUNTIFS('Таблиця 1'!$B:$B,$A240,'Таблиця 1'!$E:$E,"СП",'Таблиця 1'!$L:$L,"Уражено"))</f>
        <v/>
      </c>
      <c r="K240">
        <f>IF($A240="","",COUNTIFS('Таблиця 1'!$B:$B,$A240,'Таблиця 1'!$E:$E,"КСП роти",'Таблиця 1'!$L:$L,"Уражено"))</f>
        <v/>
      </c>
      <c r="L240">
        <f>IF($A240="","",COUNTIFS('Таблиця 1'!$B:$B,$A240,'Таблиця 1'!$E:$E,"ПУ бат",'Таблиця 1'!$L:$L,"Уражено"))</f>
        <v/>
      </c>
      <c r="M240">
        <f>IF($A240="","",COUNTIFS('Таблиця 1'!$B:$B,$A240,'Таблиця 1'!$E:$E,"ПУ бриг",'Таблиця 1'!$L:$L,"Уражено"))</f>
        <v/>
      </c>
      <c r="N240">
        <f>IF($A240="","",COUNTIFS('Таблиця 1'!$B:$B,$A240,'Таблиця 1'!$E:$E,"ПУ див",'Таблиця 1'!$L:$L,"Уражено"))</f>
        <v/>
      </c>
      <c r="O240">
        <f>IF($A240="","",COUNTIFS('Таблиця 1'!$B:$B,$A240,'Таблиця 1'!$E:$E,"обл. РЕБ",'Таблиця 1'!$L:$L,"Уражено"))</f>
        <v/>
      </c>
      <c r="P240">
        <f>IF($A240="","",COUNTIFS('Таблиця 1'!$B:$B,$A240,'Таблиця 1'!$E:$E,"пос РЕБ",'Таблиця 1'!$L:$L,"Уражено"))</f>
        <v/>
      </c>
      <c r="Q240">
        <f>IF($A240="","",COUNTIFS('Таблиця 1'!$B:$B,$A240,'Таблиця 1'!$E:$E,"група РЕР",'Таблиця 1'!$L:$L,"Уражено"))</f>
        <v/>
      </c>
      <c r="R240">
        <f>IF($A240="","",COUNTIFS('Таблиця 1'!$B:$B,$A240,'Таблиця 1'!$E:$E,"РЛС КББ",'Таблиця 1'!$L:$L,"Уражено"))</f>
        <v/>
      </c>
      <c r="S240">
        <f>IF($A240="","",COUNTIFS('Таблиця 1'!$B:$B,$A240,'Таблиця 1'!$E:$E,"Ретранслятор",'Таблиця 1'!$L:$L,"Уражено"))</f>
        <v/>
      </c>
      <c r="T240">
        <f>IF($A240="","",COUNTIFS('Таблиця 1'!$B:$B,$A240,'Таблиця 1'!$E:$E,"Вз.зв'язку",'Таблиця 1'!$L:$L,"Уражено"))</f>
        <v/>
      </c>
      <c r="U240">
        <f>IF($A240="","",COUNTIFS('Таблиця 1'!$B:$B,$A240,'Таблиця 1'!$E:$E,"ПММ",'Таблиця 1'!$L:$L,"Уражено"))</f>
        <v/>
      </c>
      <c r="V240">
        <f>IF($A240="","",COUNTIFS('Таблиця 1'!$B:$B,$A240,'Таблиця 1'!$E:$E,"ІФС",'Таблиця 1'!$L:$L,"Уражено"))</f>
        <v/>
      </c>
      <c r="W240">
        <f>IF($A240="","",COUNTIFS('Таблиця 1'!$B:$B,$A240,'Таблиця 1'!$E:$E,"Інфраструктура",'Таблиця 1'!$L:$L,"Уражено"))</f>
        <v/>
      </c>
      <c r="X240">
        <f>IF($A240="","",SUMIFS('Таблиця 1'!$K:$K,'Таблиця 1'!$B:$B,$A240))</f>
        <v/>
      </c>
    </row>
    <row r="241">
      <c r="A241" s="81">
        <f>IF(A240="","",IF(A240+1&gt;MAX('Таблиця 1'!$B:$B),"",A240+1))</f>
        <v/>
      </c>
      <c r="B241">
        <f>IF($A241="","",COUNTIFS('Таблиця 1'!$B:$B,$A241,'Таблиця 1'!$E:$E,"ЖС ВЗ",'Таблиця 1'!$L:$L,"Уражено"))</f>
        <v/>
      </c>
      <c r="C241">
        <f>IF($A241="","",COUNTIFS('Таблиця 1'!$B:$B,$A241,'Таблиця 1'!$E:$E,"Арт. Системи",'Таблиця 1'!$L:$L,"Уражено"))</f>
        <v/>
      </c>
      <c r="D241">
        <f>IF($A241="","",COUNTIFS('Таблиця 1'!$B:$B,$A241,'Таблиця 1'!$E:$E,"ОВТ",'Таблиця 1'!$L:$L,"Уражено"))</f>
        <v/>
      </c>
      <c r="E241">
        <f>IF($A241="","",COUNTIFS('Таблиця 1'!$B:$B,$A241,'Таблиця 1'!$E:$E,"ППО",'Таблиця 1'!$L:$L,"Уражено"))</f>
        <v/>
      </c>
      <c r="F241">
        <f>IF($A241="","",COUNTIFS('Таблиця 1'!$B:$B,$A241,'Таблиця 1'!$E:$E,"Рембаза",'Таблиця 1'!$L:$L,"Уражено"))</f>
        <v/>
      </c>
      <c r="G241">
        <f>IF($A241="","",COUNTIFS('Таблиця 1'!$B:$B,$A241,'Таблиця 1'!$E:$E,"Склад БК",'Таблиця 1'!$L:$L,"Уражено"))</f>
        <v/>
      </c>
      <c r="H241">
        <f>IF($A241="","",COUNTIFS('Таблиця 1'!$B:$B,$A241,'Таблиця 1'!$E:$E,"Склад ВТМ",'Таблиця 1'!$L:$L,"Уражено"))</f>
        <v/>
      </c>
      <c r="I241">
        <f>IF($A241="","",COUNTIFS('Таблиця 1'!$B:$B,$A241,'Таблиця 1'!$E:$E,"ПУ БпЛА",'Таблиця 1'!$L:$L,"Уражено"))</f>
        <v/>
      </c>
      <c r="J241">
        <f>IF($A241="","",COUNTIFS('Таблиця 1'!$B:$B,$A241,'Таблиця 1'!$E:$E,"СП",'Таблиця 1'!$L:$L,"Уражено"))</f>
        <v/>
      </c>
      <c r="K241">
        <f>IF($A241="","",COUNTIFS('Таблиця 1'!$B:$B,$A241,'Таблиця 1'!$E:$E,"КСП роти",'Таблиця 1'!$L:$L,"Уражено"))</f>
        <v/>
      </c>
      <c r="L241">
        <f>IF($A241="","",COUNTIFS('Таблиця 1'!$B:$B,$A241,'Таблиця 1'!$E:$E,"ПУ бат",'Таблиця 1'!$L:$L,"Уражено"))</f>
        <v/>
      </c>
      <c r="M241">
        <f>IF($A241="","",COUNTIFS('Таблиця 1'!$B:$B,$A241,'Таблиця 1'!$E:$E,"ПУ бриг",'Таблиця 1'!$L:$L,"Уражено"))</f>
        <v/>
      </c>
      <c r="N241">
        <f>IF($A241="","",COUNTIFS('Таблиця 1'!$B:$B,$A241,'Таблиця 1'!$E:$E,"ПУ див",'Таблиця 1'!$L:$L,"Уражено"))</f>
        <v/>
      </c>
      <c r="O241">
        <f>IF($A241="","",COUNTIFS('Таблиця 1'!$B:$B,$A241,'Таблиця 1'!$E:$E,"обл. РЕБ",'Таблиця 1'!$L:$L,"Уражено"))</f>
        <v/>
      </c>
      <c r="P241">
        <f>IF($A241="","",COUNTIFS('Таблиця 1'!$B:$B,$A241,'Таблиця 1'!$E:$E,"пос РЕБ",'Таблиця 1'!$L:$L,"Уражено"))</f>
        <v/>
      </c>
      <c r="Q241">
        <f>IF($A241="","",COUNTIFS('Таблиця 1'!$B:$B,$A241,'Таблиця 1'!$E:$E,"група РЕР",'Таблиця 1'!$L:$L,"Уражено"))</f>
        <v/>
      </c>
      <c r="R241">
        <f>IF($A241="","",COUNTIFS('Таблиця 1'!$B:$B,$A241,'Таблиця 1'!$E:$E,"РЛС КББ",'Таблиця 1'!$L:$L,"Уражено"))</f>
        <v/>
      </c>
      <c r="S241">
        <f>IF($A241="","",COUNTIFS('Таблиця 1'!$B:$B,$A241,'Таблиця 1'!$E:$E,"Ретранслятор",'Таблиця 1'!$L:$L,"Уражено"))</f>
        <v/>
      </c>
      <c r="T241">
        <f>IF($A241="","",COUNTIFS('Таблиця 1'!$B:$B,$A241,'Таблиця 1'!$E:$E,"Вз.зв'язку",'Таблиця 1'!$L:$L,"Уражено"))</f>
        <v/>
      </c>
      <c r="U241">
        <f>IF($A241="","",COUNTIFS('Таблиця 1'!$B:$B,$A241,'Таблиця 1'!$E:$E,"ПММ",'Таблиця 1'!$L:$L,"Уражено"))</f>
        <v/>
      </c>
      <c r="V241">
        <f>IF($A241="","",COUNTIFS('Таблиця 1'!$B:$B,$A241,'Таблиця 1'!$E:$E,"ІФС",'Таблиця 1'!$L:$L,"Уражено"))</f>
        <v/>
      </c>
      <c r="W241">
        <f>IF($A241="","",COUNTIFS('Таблиця 1'!$B:$B,$A241,'Таблиця 1'!$E:$E,"Інфраструктура",'Таблиця 1'!$L:$L,"Уражено"))</f>
        <v/>
      </c>
      <c r="X241">
        <f>IF($A241="","",SUMIFS('Таблиця 1'!$K:$K,'Таблиця 1'!$B:$B,$A241))</f>
        <v/>
      </c>
    </row>
    <row r="242">
      <c r="A242" s="81">
        <f>IF(A241="","",IF(A241+1&gt;MAX('Таблиця 1'!$B:$B),"",A241+1))</f>
        <v/>
      </c>
      <c r="B242">
        <f>IF($A242="","",COUNTIFS('Таблиця 1'!$B:$B,$A242,'Таблиця 1'!$E:$E,"ЖС ВЗ",'Таблиця 1'!$L:$L,"Уражено"))</f>
        <v/>
      </c>
      <c r="C242">
        <f>IF($A242="","",COUNTIFS('Таблиця 1'!$B:$B,$A242,'Таблиця 1'!$E:$E,"Арт. Системи",'Таблиця 1'!$L:$L,"Уражено"))</f>
        <v/>
      </c>
      <c r="D242">
        <f>IF($A242="","",COUNTIFS('Таблиця 1'!$B:$B,$A242,'Таблиця 1'!$E:$E,"ОВТ",'Таблиця 1'!$L:$L,"Уражено"))</f>
        <v/>
      </c>
      <c r="E242">
        <f>IF($A242="","",COUNTIFS('Таблиця 1'!$B:$B,$A242,'Таблиця 1'!$E:$E,"ППО",'Таблиця 1'!$L:$L,"Уражено"))</f>
        <v/>
      </c>
      <c r="F242">
        <f>IF($A242="","",COUNTIFS('Таблиця 1'!$B:$B,$A242,'Таблиця 1'!$E:$E,"Рембаза",'Таблиця 1'!$L:$L,"Уражено"))</f>
        <v/>
      </c>
      <c r="G242">
        <f>IF($A242="","",COUNTIFS('Таблиця 1'!$B:$B,$A242,'Таблиця 1'!$E:$E,"Склад БК",'Таблиця 1'!$L:$L,"Уражено"))</f>
        <v/>
      </c>
      <c r="H242">
        <f>IF($A242="","",COUNTIFS('Таблиця 1'!$B:$B,$A242,'Таблиця 1'!$E:$E,"Склад ВТМ",'Таблиця 1'!$L:$L,"Уражено"))</f>
        <v/>
      </c>
      <c r="I242">
        <f>IF($A242="","",COUNTIFS('Таблиця 1'!$B:$B,$A242,'Таблиця 1'!$E:$E,"ПУ БпЛА",'Таблиця 1'!$L:$L,"Уражено"))</f>
        <v/>
      </c>
      <c r="J242">
        <f>IF($A242="","",COUNTIFS('Таблиця 1'!$B:$B,$A242,'Таблиця 1'!$E:$E,"СП",'Таблиця 1'!$L:$L,"Уражено"))</f>
        <v/>
      </c>
      <c r="K242">
        <f>IF($A242="","",COUNTIFS('Таблиця 1'!$B:$B,$A242,'Таблиця 1'!$E:$E,"КСП роти",'Таблиця 1'!$L:$L,"Уражено"))</f>
        <v/>
      </c>
      <c r="L242">
        <f>IF($A242="","",COUNTIFS('Таблиця 1'!$B:$B,$A242,'Таблиця 1'!$E:$E,"ПУ бат",'Таблиця 1'!$L:$L,"Уражено"))</f>
        <v/>
      </c>
      <c r="M242">
        <f>IF($A242="","",COUNTIFS('Таблиця 1'!$B:$B,$A242,'Таблиця 1'!$E:$E,"ПУ бриг",'Таблиця 1'!$L:$L,"Уражено"))</f>
        <v/>
      </c>
      <c r="N242">
        <f>IF($A242="","",COUNTIFS('Таблиця 1'!$B:$B,$A242,'Таблиця 1'!$E:$E,"ПУ див",'Таблиця 1'!$L:$L,"Уражено"))</f>
        <v/>
      </c>
      <c r="O242">
        <f>IF($A242="","",COUNTIFS('Таблиця 1'!$B:$B,$A242,'Таблиця 1'!$E:$E,"обл. РЕБ",'Таблиця 1'!$L:$L,"Уражено"))</f>
        <v/>
      </c>
      <c r="P242">
        <f>IF($A242="","",COUNTIFS('Таблиця 1'!$B:$B,$A242,'Таблиця 1'!$E:$E,"пос РЕБ",'Таблиця 1'!$L:$L,"Уражено"))</f>
        <v/>
      </c>
      <c r="Q242">
        <f>IF($A242="","",COUNTIFS('Таблиця 1'!$B:$B,$A242,'Таблиця 1'!$E:$E,"група РЕР",'Таблиця 1'!$L:$L,"Уражено"))</f>
        <v/>
      </c>
      <c r="R242">
        <f>IF($A242="","",COUNTIFS('Таблиця 1'!$B:$B,$A242,'Таблиця 1'!$E:$E,"РЛС КББ",'Таблиця 1'!$L:$L,"Уражено"))</f>
        <v/>
      </c>
      <c r="S242">
        <f>IF($A242="","",COUNTIFS('Таблиця 1'!$B:$B,$A242,'Таблиця 1'!$E:$E,"Ретранслятор",'Таблиця 1'!$L:$L,"Уражено"))</f>
        <v/>
      </c>
      <c r="T242">
        <f>IF($A242="","",COUNTIFS('Таблиця 1'!$B:$B,$A242,'Таблиця 1'!$E:$E,"Вз.зв'язку",'Таблиця 1'!$L:$L,"Уражено"))</f>
        <v/>
      </c>
      <c r="U242">
        <f>IF($A242="","",COUNTIFS('Таблиця 1'!$B:$B,$A242,'Таблиця 1'!$E:$E,"ПММ",'Таблиця 1'!$L:$L,"Уражено"))</f>
        <v/>
      </c>
      <c r="V242">
        <f>IF($A242="","",COUNTIFS('Таблиця 1'!$B:$B,$A242,'Таблиця 1'!$E:$E,"ІФС",'Таблиця 1'!$L:$L,"Уражено"))</f>
        <v/>
      </c>
      <c r="W242">
        <f>IF($A242="","",COUNTIFS('Таблиця 1'!$B:$B,$A242,'Таблиця 1'!$E:$E,"Інфраструктура",'Таблиця 1'!$L:$L,"Уражено"))</f>
        <v/>
      </c>
      <c r="X242">
        <f>IF($A242="","",SUMIFS('Таблиця 1'!$K:$K,'Таблиця 1'!$B:$B,$A242))</f>
        <v/>
      </c>
    </row>
    <row r="243">
      <c r="A243" s="81">
        <f>IF(A242="","",IF(A242+1&gt;MAX('Таблиця 1'!$B:$B),"",A242+1))</f>
        <v/>
      </c>
      <c r="B243">
        <f>IF($A243="","",COUNTIFS('Таблиця 1'!$B:$B,$A243,'Таблиця 1'!$E:$E,"ЖС ВЗ",'Таблиця 1'!$L:$L,"Уражено"))</f>
        <v/>
      </c>
      <c r="C243">
        <f>IF($A243="","",COUNTIFS('Таблиця 1'!$B:$B,$A243,'Таблиця 1'!$E:$E,"Арт. Системи",'Таблиця 1'!$L:$L,"Уражено"))</f>
        <v/>
      </c>
      <c r="D243">
        <f>IF($A243="","",COUNTIFS('Таблиця 1'!$B:$B,$A243,'Таблиця 1'!$E:$E,"ОВТ",'Таблиця 1'!$L:$L,"Уражено"))</f>
        <v/>
      </c>
      <c r="E243">
        <f>IF($A243="","",COUNTIFS('Таблиця 1'!$B:$B,$A243,'Таблиця 1'!$E:$E,"ППО",'Таблиця 1'!$L:$L,"Уражено"))</f>
        <v/>
      </c>
      <c r="F243">
        <f>IF($A243="","",COUNTIFS('Таблиця 1'!$B:$B,$A243,'Таблиця 1'!$E:$E,"Рембаза",'Таблиця 1'!$L:$L,"Уражено"))</f>
        <v/>
      </c>
      <c r="G243">
        <f>IF($A243="","",COUNTIFS('Таблиця 1'!$B:$B,$A243,'Таблиця 1'!$E:$E,"Склад БК",'Таблиця 1'!$L:$L,"Уражено"))</f>
        <v/>
      </c>
      <c r="H243">
        <f>IF($A243="","",COUNTIFS('Таблиця 1'!$B:$B,$A243,'Таблиця 1'!$E:$E,"Склад ВТМ",'Таблиця 1'!$L:$L,"Уражено"))</f>
        <v/>
      </c>
      <c r="I243">
        <f>IF($A243="","",COUNTIFS('Таблиця 1'!$B:$B,$A243,'Таблиця 1'!$E:$E,"ПУ БпЛА",'Таблиця 1'!$L:$L,"Уражено"))</f>
        <v/>
      </c>
      <c r="J243">
        <f>IF($A243="","",COUNTIFS('Таблиця 1'!$B:$B,$A243,'Таблиця 1'!$E:$E,"СП",'Таблиця 1'!$L:$L,"Уражено"))</f>
        <v/>
      </c>
      <c r="K243">
        <f>IF($A243="","",COUNTIFS('Таблиця 1'!$B:$B,$A243,'Таблиця 1'!$E:$E,"КСП роти",'Таблиця 1'!$L:$L,"Уражено"))</f>
        <v/>
      </c>
      <c r="L243">
        <f>IF($A243="","",COUNTIFS('Таблиця 1'!$B:$B,$A243,'Таблиця 1'!$E:$E,"ПУ бат",'Таблиця 1'!$L:$L,"Уражено"))</f>
        <v/>
      </c>
      <c r="M243">
        <f>IF($A243="","",COUNTIFS('Таблиця 1'!$B:$B,$A243,'Таблиця 1'!$E:$E,"ПУ бриг",'Таблиця 1'!$L:$L,"Уражено"))</f>
        <v/>
      </c>
      <c r="N243">
        <f>IF($A243="","",COUNTIFS('Таблиця 1'!$B:$B,$A243,'Таблиця 1'!$E:$E,"ПУ див",'Таблиця 1'!$L:$L,"Уражено"))</f>
        <v/>
      </c>
      <c r="O243">
        <f>IF($A243="","",COUNTIFS('Таблиця 1'!$B:$B,$A243,'Таблиця 1'!$E:$E,"обл. РЕБ",'Таблиця 1'!$L:$L,"Уражено"))</f>
        <v/>
      </c>
      <c r="P243">
        <f>IF($A243="","",COUNTIFS('Таблиця 1'!$B:$B,$A243,'Таблиця 1'!$E:$E,"пос РЕБ",'Таблиця 1'!$L:$L,"Уражено"))</f>
        <v/>
      </c>
      <c r="Q243">
        <f>IF($A243="","",COUNTIFS('Таблиця 1'!$B:$B,$A243,'Таблиця 1'!$E:$E,"група РЕР",'Таблиця 1'!$L:$L,"Уражено"))</f>
        <v/>
      </c>
      <c r="R243">
        <f>IF($A243="","",COUNTIFS('Таблиця 1'!$B:$B,$A243,'Таблиця 1'!$E:$E,"РЛС КББ",'Таблиця 1'!$L:$L,"Уражено"))</f>
        <v/>
      </c>
      <c r="S243">
        <f>IF($A243="","",COUNTIFS('Таблиця 1'!$B:$B,$A243,'Таблиця 1'!$E:$E,"Ретранслятор",'Таблиця 1'!$L:$L,"Уражено"))</f>
        <v/>
      </c>
      <c r="T243">
        <f>IF($A243="","",COUNTIFS('Таблиця 1'!$B:$B,$A243,'Таблиця 1'!$E:$E,"Вз.зв'язку",'Таблиця 1'!$L:$L,"Уражено"))</f>
        <v/>
      </c>
      <c r="U243">
        <f>IF($A243="","",COUNTIFS('Таблиця 1'!$B:$B,$A243,'Таблиця 1'!$E:$E,"ПММ",'Таблиця 1'!$L:$L,"Уражено"))</f>
        <v/>
      </c>
      <c r="V243">
        <f>IF($A243="","",COUNTIFS('Таблиця 1'!$B:$B,$A243,'Таблиця 1'!$E:$E,"ІФС",'Таблиця 1'!$L:$L,"Уражено"))</f>
        <v/>
      </c>
      <c r="W243">
        <f>IF($A243="","",COUNTIFS('Таблиця 1'!$B:$B,$A243,'Таблиця 1'!$E:$E,"Інфраструктура",'Таблиця 1'!$L:$L,"Уражено"))</f>
        <v/>
      </c>
      <c r="X243">
        <f>IF($A243="","",SUMIFS('Таблиця 1'!$K:$K,'Таблиця 1'!$B:$B,$A243))</f>
        <v/>
      </c>
    </row>
    <row r="244">
      <c r="A244" s="81">
        <f>IF(A243="","",IF(A243+1&gt;MAX('Таблиця 1'!$B:$B),"",A243+1))</f>
        <v/>
      </c>
      <c r="B244">
        <f>IF($A244="","",COUNTIFS('Таблиця 1'!$B:$B,$A244,'Таблиця 1'!$E:$E,"ЖС ВЗ",'Таблиця 1'!$L:$L,"Уражено"))</f>
        <v/>
      </c>
      <c r="C244">
        <f>IF($A244="","",COUNTIFS('Таблиця 1'!$B:$B,$A244,'Таблиця 1'!$E:$E,"Арт. Системи",'Таблиця 1'!$L:$L,"Уражено"))</f>
        <v/>
      </c>
      <c r="D244">
        <f>IF($A244="","",COUNTIFS('Таблиця 1'!$B:$B,$A244,'Таблиця 1'!$E:$E,"ОВТ",'Таблиця 1'!$L:$L,"Уражено"))</f>
        <v/>
      </c>
      <c r="E244">
        <f>IF($A244="","",COUNTIFS('Таблиця 1'!$B:$B,$A244,'Таблиця 1'!$E:$E,"ППО",'Таблиця 1'!$L:$L,"Уражено"))</f>
        <v/>
      </c>
      <c r="F244">
        <f>IF($A244="","",COUNTIFS('Таблиця 1'!$B:$B,$A244,'Таблиця 1'!$E:$E,"Рембаза",'Таблиця 1'!$L:$L,"Уражено"))</f>
        <v/>
      </c>
      <c r="G244">
        <f>IF($A244="","",COUNTIFS('Таблиця 1'!$B:$B,$A244,'Таблиця 1'!$E:$E,"Склад БК",'Таблиця 1'!$L:$L,"Уражено"))</f>
        <v/>
      </c>
      <c r="H244">
        <f>IF($A244="","",COUNTIFS('Таблиця 1'!$B:$B,$A244,'Таблиця 1'!$E:$E,"Склад ВТМ",'Таблиця 1'!$L:$L,"Уражено"))</f>
        <v/>
      </c>
      <c r="I244">
        <f>IF($A244="","",COUNTIFS('Таблиця 1'!$B:$B,$A244,'Таблиця 1'!$E:$E,"ПУ БпЛА",'Таблиця 1'!$L:$L,"Уражено"))</f>
        <v/>
      </c>
      <c r="J244">
        <f>IF($A244="","",COUNTIFS('Таблиця 1'!$B:$B,$A244,'Таблиця 1'!$E:$E,"СП",'Таблиця 1'!$L:$L,"Уражено"))</f>
        <v/>
      </c>
      <c r="K244">
        <f>IF($A244="","",COUNTIFS('Таблиця 1'!$B:$B,$A244,'Таблиця 1'!$E:$E,"КСП роти",'Таблиця 1'!$L:$L,"Уражено"))</f>
        <v/>
      </c>
      <c r="L244">
        <f>IF($A244="","",COUNTIFS('Таблиця 1'!$B:$B,$A244,'Таблиця 1'!$E:$E,"ПУ бат",'Таблиця 1'!$L:$L,"Уражено"))</f>
        <v/>
      </c>
      <c r="M244">
        <f>IF($A244="","",COUNTIFS('Таблиця 1'!$B:$B,$A244,'Таблиця 1'!$E:$E,"ПУ бриг",'Таблиця 1'!$L:$L,"Уражено"))</f>
        <v/>
      </c>
      <c r="N244">
        <f>IF($A244="","",COUNTIFS('Таблиця 1'!$B:$B,$A244,'Таблиця 1'!$E:$E,"ПУ див",'Таблиця 1'!$L:$L,"Уражено"))</f>
        <v/>
      </c>
      <c r="O244">
        <f>IF($A244="","",COUNTIFS('Таблиця 1'!$B:$B,$A244,'Таблиця 1'!$E:$E,"обл. РЕБ",'Таблиця 1'!$L:$L,"Уражено"))</f>
        <v/>
      </c>
      <c r="P244">
        <f>IF($A244="","",COUNTIFS('Таблиця 1'!$B:$B,$A244,'Таблиця 1'!$E:$E,"пос РЕБ",'Таблиця 1'!$L:$L,"Уражено"))</f>
        <v/>
      </c>
      <c r="Q244">
        <f>IF($A244="","",COUNTIFS('Таблиця 1'!$B:$B,$A244,'Таблиця 1'!$E:$E,"група РЕР",'Таблиця 1'!$L:$L,"Уражено"))</f>
        <v/>
      </c>
      <c r="R244">
        <f>IF($A244="","",COUNTIFS('Таблиця 1'!$B:$B,$A244,'Таблиця 1'!$E:$E,"РЛС КББ",'Таблиця 1'!$L:$L,"Уражено"))</f>
        <v/>
      </c>
      <c r="S244">
        <f>IF($A244="","",COUNTIFS('Таблиця 1'!$B:$B,$A244,'Таблиця 1'!$E:$E,"Ретранслятор",'Таблиця 1'!$L:$L,"Уражено"))</f>
        <v/>
      </c>
      <c r="T244">
        <f>IF($A244="","",COUNTIFS('Таблиця 1'!$B:$B,$A244,'Таблиця 1'!$E:$E,"Вз.зв'язку",'Таблиця 1'!$L:$L,"Уражено"))</f>
        <v/>
      </c>
      <c r="U244">
        <f>IF($A244="","",COUNTIFS('Таблиця 1'!$B:$B,$A244,'Таблиця 1'!$E:$E,"ПММ",'Таблиця 1'!$L:$L,"Уражено"))</f>
        <v/>
      </c>
      <c r="V244">
        <f>IF($A244="","",COUNTIFS('Таблиця 1'!$B:$B,$A244,'Таблиця 1'!$E:$E,"ІФС",'Таблиця 1'!$L:$L,"Уражено"))</f>
        <v/>
      </c>
      <c r="W244">
        <f>IF($A244="","",COUNTIFS('Таблиця 1'!$B:$B,$A244,'Таблиця 1'!$E:$E,"Інфраструктура",'Таблиця 1'!$L:$L,"Уражено"))</f>
        <v/>
      </c>
      <c r="X244">
        <f>IF($A244="","",SUMIFS('Таблиця 1'!$K:$K,'Таблиця 1'!$B:$B,$A244))</f>
        <v/>
      </c>
    </row>
    <row r="245">
      <c r="A245" s="81">
        <f>IF(A244="","",IF(A244+1&gt;MAX('Таблиця 1'!$B:$B),"",A244+1))</f>
        <v/>
      </c>
      <c r="B245">
        <f>IF($A245="","",COUNTIFS('Таблиця 1'!$B:$B,$A245,'Таблиця 1'!$E:$E,"ЖС ВЗ",'Таблиця 1'!$L:$L,"Уражено"))</f>
        <v/>
      </c>
      <c r="C245">
        <f>IF($A245="","",COUNTIFS('Таблиця 1'!$B:$B,$A245,'Таблиця 1'!$E:$E,"Арт. Системи",'Таблиця 1'!$L:$L,"Уражено"))</f>
        <v/>
      </c>
      <c r="D245">
        <f>IF($A245="","",COUNTIFS('Таблиця 1'!$B:$B,$A245,'Таблиця 1'!$E:$E,"ОВТ",'Таблиця 1'!$L:$L,"Уражено"))</f>
        <v/>
      </c>
      <c r="E245">
        <f>IF($A245="","",COUNTIFS('Таблиця 1'!$B:$B,$A245,'Таблиця 1'!$E:$E,"ППО",'Таблиця 1'!$L:$L,"Уражено"))</f>
        <v/>
      </c>
      <c r="F245">
        <f>IF($A245="","",COUNTIFS('Таблиця 1'!$B:$B,$A245,'Таблиця 1'!$E:$E,"Рембаза",'Таблиця 1'!$L:$L,"Уражено"))</f>
        <v/>
      </c>
      <c r="G245">
        <f>IF($A245="","",COUNTIFS('Таблиця 1'!$B:$B,$A245,'Таблиця 1'!$E:$E,"Склад БК",'Таблиця 1'!$L:$L,"Уражено"))</f>
        <v/>
      </c>
      <c r="H245">
        <f>IF($A245="","",COUNTIFS('Таблиця 1'!$B:$B,$A245,'Таблиця 1'!$E:$E,"Склад ВТМ",'Таблиця 1'!$L:$L,"Уражено"))</f>
        <v/>
      </c>
      <c r="I245">
        <f>IF($A245="","",COUNTIFS('Таблиця 1'!$B:$B,$A245,'Таблиця 1'!$E:$E,"ПУ БпЛА",'Таблиця 1'!$L:$L,"Уражено"))</f>
        <v/>
      </c>
      <c r="J245">
        <f>IF($A245="","",COUNTIFS('Таблиця 1'!$B:$B,$A245,'Таблиця 1'!$E:$E,"СП",'Таблиця 1'!$L:$L,"Уражено"))</f>
        <v/>
      </c>
      <c r="K245">
        <f>IF($A245="","",COUNTIFS('Таблиця 1'!$B:$B,$A245,'Таблиця 1'!$E:$E,"КСП роти",'Таблиця 1'!$L:$L,"Уражено"))</f>
        <v/>
      </c>
      <c r="L245">
        <f>IF($A245="","",COUNTIFS('Таблиця 1'!$B:$B,$A245,'Таблиця 1'!$E:$E,"ПУ бат",'Таблиця 1'!$L:$L,"Уражено"))</f>
        <v/>
      </c>
      <c r="M245">
        <f>IF($A245="","",COUNTIFS('Таблиця 1'!$B:$B,$A245,'Таблиця 1'!$E:$E,"ПУ бриг",'Таблиця 1'!$L:$L,"Уражено"))</f>
        <v/>
      </c>
      <c r="N245">
        <f>IF($A245="","",COUNTIFS('Таблиця 1'!$B:$B,$A245,'Таблиця 1'!$E:$E,"ПУ див",'Таблиця 1'!$L:$L,"Уражено"))</f>
        <v/>
      </c>
      <c r="O245">
        <f>IF($A245="","",COUNTIFS('Таблиця 1'!$B:$B,$A245,'Таблиця 1'!$E:$E,"обл. РЕБ",'Таблиця 1'!$L:$L,"Уражено"))</f>
        <v/>
      </c>
      <c r="P245">
        <f>IF($A245="","",COUNTIFS('Таблиця 1'!$B:$B,$A245,'Таблиця 1'!$E:$E,"пос РЕБ",'Таблиця 1'!$L:$L,"Уражено"))</f>
        <v/>
      </c>
      <c r="Q245">
        <f>IF($A245="","",COUNTIFS('Таблиця 1'!$B:$B,$A245,'Таблиця 1'!$E:$E,"група РЕР",'Таблиця 1'!$L:$L,"Уражено"))</f>
        <v/>
      </c>
      <c r="R245">
        <f>IF($A245="","",COUNTIFS('Таблиця 1'!$B:$B,$A245,'Таблиця 1'!$E:$E,"РЛС КББ",'Таблиця 1'!$L:$L,"Уражено"))</f>
        <v/>
      </c>
      <c r="S245">
        <f>IF($A245="","",COUNTIFS('Таблиця 1'!$B:$B,$A245,'Таблиця 1'!$E:$E,"Ретранслятор",'Таблиця 1'!$L:$L,"Уражено"))</f>
        <v/>
      </c>
      <c r="T245">
        <f>IF($A245="","",COUNTIFS('Таблиця 1'!$B:$B,$A245,'Таблиця 1'!$E:$E,"Вз.зв'язку",'Таблиця 1'!$L:$L,"Уражено"))</f>
        <v/>
      </c>
      <c r="U245">
        <f>IF($A245="","",COUNTIFS('Таблиця 1'!$B:$B,$A245,'Таблиця 1'!$E:$E,"ПММ",'Таблиця 1'!$L:$L,"Уражено"))</f>
        <v/>
      </c>
      <c r="V245">
        <f>IF($A245="","",COUNTIFS('Таблиця 1'!$B:$B,$A245,'Таблиця 1'!$E:$E,"ІФС",'Таблиця 1'!$L:$L,"Уражено"))</f>
        <v/>
      </c>
      <c r="W245">
        <f>IF($A245="","",COUNTIFS('Таблиця 1'!$B:$B,$A245,'Таблиця 1'!$E:$E,"Інфраструктура",'Таблиця 1'!$L:$L,"Уражено"))</f>
        <v/>
      </c>
      <c r="X245">
        <f>IF($A245="","",SUMIFS('Таблиця 1'!$K:$K,'Таблиця 1'!$B:$B,$A245))</f>
        <v/>
      </c>
    </row>
    <row r="246">
      <c r="A246" s="81">
        <f>IF(A245="","",IF(A245+1&gt;MAX('Таблиця 1'!$B:$B),"",A245+1))</f>
        <v/>
      </c>
      <c r="B246">
        <f>IF($A246="","",COUNTIFS('Таблиця 1'!$B:$B,$A246,'Таблиця 1'!$E:$E,"ЖС ВЗ",'Таблиця 1'!$L:$L,"Уражено"))</f>
        <v/>
      </c>
      <c r="C246">
        <f>IF($A246="","",COUNTIFS('Таблиця 1'!$B:$B,$A246,'Таблиця 1'!$E:$E,"Арт. Системи",'Таблиця 1'!$L:$L,"Уражено"))</f>
        <v/>
      </c>
      <c r="D246">
        <f>IF($A246="","",COUNTIFS('Таблиця 1'!$B:$B,$A246,'Таблиця 1'!$E:$E,"ОВТ",'Таблиця 1'!$L:$L,"Уражено"))</f>
        <v/>
      </c>
      <c r="E246">
        <f>IF($A246="","",COUNTIFS('Таблиця 1'!$B:$B,$A246,'Таблиця 1'!$E:$E,"ППО",'Таблиця 1'!$L:$L,"Уражено"))</f>
        <v/>
      </c>
      <c r="F246">
        <f>IF($A246="","",COUNTIFS('Таблиця 1'!$B:$B,$A246,'Таблиця 1'!$E:$E,"Рембаза",'Таблиця 1'!$L:$L,"Уражено"))</f>
        <v/>
      </c>
      <c r="G246">
        <f>IF($A246="","",COUNTIFS('Таблиця 1'!$B:$B,$A246,'Таблиця 1'!$E:$E,"Склад БК",'Таблиця 1'!$L:$L,"Уражено"))</f>
        <v/>
      </c>
      <c r="H246">
        <f>IF($A246="","",COUNTIFS('Таблиця 1'!$B:$B,$A246,'Таблиця 1'!$E:$E,"Склад ВТМ",'Таблиця 1'!$L:$L,"Уражено"))</f>
        <v/>
      </c>
      <c r="I246">
        <f>IF($A246="","",COUNTIFS('Таблиця 1'!$B:$B,$A246,'Таблиця 1'!$E:$E,"ПУ БпЛА",'Таблиця 1'!$L:$L,"Уражено"))</f>
        <v/>
      </c>
      <c r="J246">
        <f>IF($A246="","",COUNTIFS('Таблиця 1'!$B:$B,$A246,'Таблиця 1'!$E:$E,"СП",'Таблиця 1'!$L:$L,"Уражено"))</f>
        <v/>
      </c>
      <c r="K246">
        <f>IF($A246="","",COUNTIFS('Таблиця 1'!$B:$B,$A246,'Таблиця 1'!$E:$E,"КСП роти",'Таблиця 1'!$L:$L,"Уражено"))</f>
        <v/>
      </c>
      <c r="L246">
        <f>IF($A246="","",COUNTIFS('Таблиця 1'!$B:$B,$A246,'Таблиця 1'!$E:$E,"ПУ бат",'Таблиця 1'!$L:$L,"Уражено"))</f>
        <v/>
      </c>
      <c r="M246">
        <f>IF($A246="","",COUNTIFS('Таблиця 1'!$B:$B,$A246,'Таблиця 1'!$E:$E,"ПУ бриг",'Таблиця 1'!$L:$L,"Уражено"))</f>
        <v/>
      </c>
      <c r="N246">
        <f>IF($A246="","",COUNTIFS('Таблиця 1'!$B:$B,$A246,'Таблиця 1'!$E:$E,"ПУ див",'Таблиця 1'!$L:$L,"Уражено"))</f>
        <v/>
      </c>
      <c r="O246">
        <f>IF($A246="","",COUNTIFS('Таблиця 1'!$B:$B,$A246,'Таблиця 1'!$E:$E,"обл. РЕБ",'Таблиця 1'!$L:$L,"Уражено"))</f>
        <v/>
      </c>
      <c r="P246">
        <f>IF($A246="","",COUNTIFS('Таблиця 1'!$B:$B,$A246,'Таблиця 1'!$E:$E,"пос РЕБ",'Таблиця 1'!$L:$L,"Уражено"))</f>
        <v/>
      </c>
      <c r="Q246">
        <f>IF($A246="","",COUNTIFS('Таблиця 1'!$B:$B,$A246,'Таблиця 1'!$E:$E,"група РЕР",'Таблиця 1'!$L:$L,"Уражено"))</f>
        <v/>
      </c>
      <c r="R246">
        <f>IF($A246="","",COUNTIFS('Таблиця 1'!$B:$B,$A246,'Таблиця 1'!$E:$E,"РЛС КББ",'Таблиця 1'!$L:$L,"Уражено"))</f>
        <v/>
      </c>
      <c r="S246">
        <f>IF($A246="","",COUNTIFS('Таблиця 1'!$B:$B,$A246,'Таблиця 1'!$E:$E,"Ретранслятор",'Таблиця 1'!$L:$L,"Уражено"))</f>
        <v/>
      </c>
      <c r="T246">
        <f>IF($A246="","",COUNTIFS('Таблиця 1'!$B:$B,$A246,'Таблиця 1'!$E:$E,"Вз.зв'язку",'Таблиця 1'!$L:$L,"Уражено"))</f>
        <v/>
      </c>
      <c r="U246">
        <f>IF($A246="","",COUNTIFS('Таблиця 1'!$B:$B,$A246,'Таблиця 1'!$E:$E,"ПММ",'Таблиця 1'!$L:$L,"Уражено"))</f>
        <v/>
      </c>
      <c r="V246">
        <f>IF($A246="","",COUNTIFS('Таблиця 1'!$B:$B,$A246,'Таблиця 1'!$E:$E,"ІФС",'Таблиця 1'!$L:$L,"Уражено"))</f>
        <v/>
      </c>
      <c r="W246">
        <f>IF($A246="","",COUNTIFS('Таблиця 1'!$B:$B,$A246,'Таблиця 1'!$E:$E,"Інфраструктура",'Таблиця 1'!$L:$L,"Уражено"))</f>
        <v/>
      </c>
      <c r="X246">
        <f>IF($A246="","",SUMIFS('Таблиця 1'!$K:$K,'Таблиця 1'!$B:$B,$A246))</f>
        <v/>
      </c>
    </row>
    <row r="247">
      <c r="A247" s="81">
        <f>IF(A246="","",IF(A246+1&gt;MAX('Таблиця 1'!$B:$B),"",A246+1))</f>
        <v/>
      </c>
      <c r="B247">
        <f>IF($A247="","",COUNTIFS('Таблиця 1'!$B:$B,$A247,'Таблиця 1'!$E:$E,"ЖС ВЗ",'Таблиця 1'!$L:$L,"Уражено"))</f>
        <v/>
      </c>
      <c r="C247">
        <f>IF($A247="","",COUNTIFS('Таблиця 1'!$B:$B,$A247,'Таблиця 1'!$E:$E,"Арт. Системи",'Таблиця 1'!$L:$L,"Уражено"))</f>
        <v/>
      </c>
      <c r="D247">
        <f>IF($A247="","",COUNTIFS('Таблиця 1'!$B:$B,$A247,'Таблиця 1'!$E:$E,"ОВТ",'Таблиця 1'!$L:$L,"Уражено"))</f>
        <v/>
      </c>
      <c r="E247">
        <f>IF($A247="","",COUNTIFS('Таблиця 1'!$B:$B,$A247,'Таблиця 1'!$E:$E,"ППО",'Таблиця 1'!$L:$L,"Уражено"))</f>
        <v/>
      </c>
      <c r="F247">
        <f>IF($A247="","",COUNTIFS('Таблиця 1'!$B:$B,$A247,'Таблиця 1'!$E:$E,"Рембаза",'Таблиця 1'!$L:$L,"Уражено"))</f>
        <v/>
      </c>
      <c r="G247">
        <f>IF($A247="","",COUNTIFS('Таблиця 1'!$B:$B,$A247,'Таблиця 1'!$E:$E,"Склад БК",'Таблиця 1'!$L:$L,"Уражено"))</f>
        <v/>
      </c>
      <c r="H247">
        <f>IF($A247="","",COUNTIFS('Таблиця 1'!$B:$B,$A247,'Таблиця 1'!$E:$E,"Склад ВТМ",'Таблиця 1'!$L:$L,"Уражено"))</f>
        <v/>
      </c>
      <c r="I247">
        <f>IF($A247="","",COUNTIFS('Таблиця 1'!$B:$B,$A247,'Таблиця 1'!$E:$E,"ПУ БпЛА",'Таблиця 1'!$L:$L,"Уражено"))</f>
        <v/>
      </c>
      <c r="J247">
        <f>IF($A247="","",COUNTIFS('Таблиця 1'!$B:$B,$A247,'Таблиця 1'!$E:$E,"СП",'Таблиця 1'!$L:$L,"Уражено"))</f>
        <v/>
      </c>
      <c r="K247">
        <f>IF($A247="","",COUNTIFS('Таблиця 1'!$B:$B,$A247,'Таблиця 1'!$E:$E,"КСП роти",'Таблиця 1'!$L:$L,"Уражено"))</f>
        <v/>
      </c>
      <c r="L247">
        <f>IF($A247="","",COUNTIFS('Таблиця 1'!$B:$B,$A247,'Таблиця 1'!$E:$E,"ПУ бат",'Таблиця 1'!$L:$L,"Уражено"))</f>
        <v/>
      </c>
      <c r="M247">
        <f>IF($A247="","",COUNTIFS('Таблиця 1'!$B:$B,$A247,'Таблиця 1'!$E:$E,"ПУ бриг",'Таблиця 1'!$L:$L,"Уражено"))</f>
        <v/>
      </c>
      <c r="N247">
        <f>IF($A247="","",COUNTIFS('Таблиця 1'!$B:$B,$A247,'Таблиця 1'!$E:$E,"ПУ див",'Таблиця 1'!$L:$L,"Уражено"))</f>
        <v/>
      </c>
      <c r="O247">
        <f>IF($A247="","",COUNTIFS('Таблиця 1'!$B:$B,$A247,'Таблиця 1'!$E:$E,"обл. РЕБ",'Таблиця 1'!$L:$L,"Уражено"))</f>
        <v/>
      </c>
      <c r="P247">
        <f>IF($A247="","",COUNTIFS('Таблиця 1'!$B:$B,$A247,'Таблиця 1'!$E:$E,"пос РЕБ",'Таблиця 1'!$L:$L,"Уражено"))</f>
        <v/>
      </c>
      <c r="Q247">
        <f>IF($A247="","",COUNTIFS('Таблиця 1'!$B:$B,$A247,'Таблиця 1'!$E:$E,"група РЕР",'Таблиця 1'!$L:$L,"Уражено"))</f>
        <v/>
      </c>
      <c r="R247">
        <f>IF($A247="","",COUNTIFS('Таблиця 1'!$B:$B,$A247,'Таблиця 1'!$E:$E,"РЛС КББ",'Таблиця 1'!$L:$L,"Уражено"))</f>
        <v/>
      </c>
      <c r="S247">
        <f>IF($A247="","",COUNTIFS('Таблиця 1'!$B:$B,$A247,'Таблиця 1'!$E:$E,"Ретранслятор",'Таблиця 1'!$L:$L,"Уражено"))</f>
        <v/>
      </c>
      <c r="T247">
        <f>IF($A247="","",COUNTIFS('Таблиця 1'!$B:$B,$A247,'Таблиця 1'!$E:$E,"Вз.зв'язку",'Таблиця 1'!$L:$L,"Уражено"))</f>
        <v/>
      </c>
      <c r="U247">
        <f>IF($A247="","",COUNTIFS('Таблиця 1'!$B:$B,$A247,'Таблиця 1'!$E:$E,"ПММ",'Таблиця 1'!$L:$L,"Уражено"))</f>
        <v/>
      </c>
      <c r="V247">
        <f>IF($A247="","",COUNTIFS('Таблиця 1'!$B:$B,$A247,'Таблиця 1'!$E:$E,"ІФС",'Таблиця 1'!$L:$L,"Уражено"))</f>
        <v/>
      </c>
      <c r="W247">
        <f>IF($A247="","",COUNTIFS('Таблиця 1'!$B:$B,$A247,'Таблиця 1'!$E:$E,"Інфраструктура",'Таблиця 1'!$L:$L,"Уражено"))</f>
        <v/>
      </c>
      <c r="X247">
        <f>IF($A247="","",SUMIFS('Таблиця 1'!$K:$K,'Таблиця 1'!$B:$B,$A247))</f>
        <v/>
      </c>
    </row>
    <row r="248">
      <c r="A248" s="81">
        <f>IF(A247="","",IF(A247+1&gt;MAX('Таблиця 1'!$B:$B),"",A247+1))</f>
        <v/>
      </c>
      <c r="B248">
        <f>IF($A248="","",COUNTIFS('Таблиця 1'!$B:$B,$A248,'Таблиця 1'!$E:$E,"ЖС ВЗ",'Таблиця 1'!$L:$L,"Уражено"))</f>
        <v/>
      </c>
      <c r="C248">
        <f>IF($A248="","",COUNTIFS('Таблиця 1'!$B:$B,$A248,'Таблиця 1'!$E:$E,"Арт. Системи",'Таблиця 1'!$L:$L,"Уражено"))</f>
        <v/>
      </c>
      <c r="D248">
        <f>IF($A248="","",COUNTIFS('Таблиця 1'!$B:$B,$A248,'Таблиця 1'!$E:$E,"ОВТ",'Таблиця 1'!$L:$L,"Уражено"))</f>
        <v/>
      </c>
      <c r="E248">
        <f>IF($A248="","",COUNTIFS('Таблиця 1'!$B:$B,$A248,'Таблиця 1'!$E:$E,"ППО",'Таблиця 1'!$L:$L,"Уражено"))</f>
        <v/>
      </c>
      <c r="F248">
        <f>IF($A248="","",COUNTIFS('Таблиця 1'!$B:$B,$A248,'Таблиця 1'!$E:$E,"Рембаза",'Таблиця 1'!$L:$L,"Уражено"))</f>
        <v/>
      </c>
      <c r="G248">
        <f>IF($A248="","",COUNTIFS('Таблиця 1'!$B:$B,$A248,'Таблиця 1'!$E:$E,"Склад БК",'Таблиця 1'!$L:$L,"Уражено"))</f>
        <v/>
      </c>
      <c r="H248">
        <f>IF($A248="","",COUNTIFS('Таблиця 1'!$B:$B,$A248,'Таблиця 1'!$E:$E,"Склад ВТМ",'Таблиця 1'!$L:$L,"Уражено"))</f>
        <v/>
      </c>
      <c r="I248">
        <f>IF($A248="","",COUNTIFS('Таблиця 1'!$B:$B,$A248,'Таблиця 1'!$E:$E,"ПУ БпЛА",'Таблиця 1'!$L:$L,"Уражено"))</f>
        <v/>
      </c>
      <c r="J248">
        <f>IF($A248="","",COUNTIFS('Таблиця 1'!$B:$B,$A248,'Таблиця 1'!$E:$E,"СП",'Таблиця 1'!$L:$L,"Уражено"))</f>
        <v/>
      </c>
      <c r="K248">
        <f>IF($A248="","",COUNTIFS('Таблиця 1'!$B:$B,$A248,'Таблиця 1'!$E:$E,"КСП роти",'Таблиця 1'!$L:$L,"Уражено"))</f>
        <v/>
      </c>
      <c r="L248">
        <f>IF($A248="","",COUNTIFS('Таблиця 1'!$B:$B,$A248,'Таблиця 1'!$E:$E,"ПУ бат",'Таблиця 1'!$L:$L,"Уражено"))</f>
        <v/>
      </c>
      <c r="M248">
        <f>IF($A248="","",COUNTIFS('Таблиця 1'!$B:$B,$A248,'Таблиця 1'!$E:$E,"ПУ бриг",'Таблиця 1'!$L:$L,"Уражено"))</f>
        <v/>
      </c>
      <c r="N248">
        <f>IF($A248="","",COUNTIFS('Таблиця 1'!$B:$B,$A248,'Таблиця 1'!$E:$E,"ПУ див",'Таблиця 1'!$L:$L,"Уражено"))</f>
        <v/>
      </c>
      <c r="O248">
        <f>IF($A248="","",COUNTIFS('Таблиця 1'!$B:$B,$A248,'Таблиця 1'!$E:$E,"обл. РЕБ",'Таблиця 1'!$L:$L,"Уражено"))</f>
        <v/>
      </c>
      <c r="P248">
        <f>IF($A248="","",COUNTIFS('Таблиця 1'!$B:$B,$A248,'Таблиця 1'!$E:$E,"пос РЕБ",'Таблиця 1'!$L:$L,"Уражено"))</f>
        <v/>
      </c>
      <c r="Q248">
        <f>IF($A248="","",COUNTIFS('Таблиця 1'!$B:$B,$A248,'Таблиця 1'!$E:$E,"група РЕР",'Таблиця 1'!$L:$L,"Уражено"))</f>
        <v/>
      </c>
      <c r="R248">
        <f>IF($A248="","",COUNTIFS('Таблиця 1'!$B:$B,$A248,'Таблиця 1'!$E:$E,"РЛС КББ",'Таблиця 1'!$L:$L,"Уражено"))</f>
        <v/>
      </c>
      <c r="S248">
        <f>IF($A248="","",COUNTIFS('Таблиця 1'!$B:$B,$A248,'Таблиця 1'!$E:$E,"Ретранслятор",'Таблиця 1'!$L:$L,"Уражено"))</f>
        <v/>
      </c>
      <c r="T248">
        <f>IF($A248="","",COUNTIFS('Таблиця 1'!$B:$B,$A248,'Таблиця 1'!$E:$E,"Вз.зв'язку",'Таблиця 1'!$L:$L,"Уражено"))</f>
        <v/>
      </c>
      <c r="U248">
        <f>IF($A248="","",COUNTIFS('Таблиця 1'!$B:$B,$A248,'Таблиця 1'!$E:$E,"ПММ",'Таблиця 1'!$L:$L,"Уражено"))</f>
        <v/>
      </c>
      <c r="V248">
        <f>IF($A248="","",COUNTIFS('Таблиця 1'!$B:$B,$A248,'Таблиця 1'!$E:$E,"ІФС",'Таблиця 1'!$L:$L,"Уражено"))</f>
        <v/>
      </c>
      <c r="W248">
        <f>IF($A248="","",COUNTIFS('Таблиця 1'!$B:$B,$A248,'Таблиця 1'!$E:$E,"Інфраструктура",'Таблиця 1'!$L:$L,"Уражено"))</f>
        <v/>
      </c>
      <c r="X248">
        <f>IF($A248="","",SUMIFS('Таблиця 1'!$K:$K,'Таблиця 1'!$B:$B,$A248))</f>
        <v/>
      </c>
    </row>
    <row r="249">
      <c r="A249" s="81">
        <f>IF(A248="","",IF(A248+1&gt;MAX('Таблиця 1'!$B:$B),"",A248+1))</f>
        <v/>
      </c>
      <c r="B249">
        <f>IF($A249="","",COUNTIFS('Таблиця 1'!$B:$B,$A249,'Таблиця 1'!$E:$E,"ЖС ВЗ",'Таблиця 1'!$L:$L,"Уражено"))</f>
        <v/>
      </c>
      <c r="C249">
        <f>IF($A249="","",COUNTIFS('Таблиця 1'!$B:$B,$A249,'Таблиця 1'!$E:$E,"Арт. Системи",'Таблиця 1'!$L:$L,"Уражено"))</f>
        <v/>
      </c>
      <c r="D249">
        <f>IF($A249="","",COUNTIFS('Таблиця 1'!$B:$B,$A249,'Таблиця 1'!$E:$E,"ОВТ",'Таблиця 1'!$L:$L,"Уражено"))</f>
        <v/>
      </c>
      <c r="E249">
        <f>IF($A249="","",COUNTIFS('Таблиця 1'!$B:$B,$A249,'Таблиця 1'!$E:$E,"ППО",'Таблиця 1'!$L:$L,"Уражено"))</f>
        <v/>
      </c>
      <c r="F249">
        <f>IF($A249="","",COUNTIFS('Таблиця 1'!$B:$B,$A249,'Таблиця 1'!$E:$E,"Рембаза",'Таблиця 1'!$L:$L,"Уражено"))</f>
        <v/>
      </c>
      <c r="G249">
        <f>IF($A249="","",COUNTIFS('Таблиця 1'!$B:$B,$A249,'Таблиця 1'!$E:$E,"Склад БК",'Таблиця 1'!$L:$L,"Уражено"))</f>
        <v/>
      </c>
      <c r="H249">
        <f>IF($A249="","",COUNTIFS('Таблиця 1'!$B:$B,$A249,'Таблиця 1'!$E:$E,"Склад ВТМ",'Таблиця 1'!$L:$L,"Уражено"))</f>
        <v/>
      </c>
      <c r="I249">
        <f>IF($A249="","",COUNTIFS('Таблиця 1'!$B:$B,$A249,'Таблиця 1'!$E:$E,"ПУ БпЛА",'Таблиця 1'!$L:$L,"Уражено"))</f>
        <v/>
      </c>
      <c r="J249">
        <f>IF($A249="","",COUNTIFS('Таблиця 1'!$B:$B,$A249,'Таблиця 1'!$E:$E,"СП",'Таблиця 1'!$L:$L,"Уражено"))</f>
        <v/>
      </c>
      <c r="K249">
        <f>IF($A249="","",COUNTIFS('Таблиця 1'!$B:$B,$A249,'Таблиця 1'!$E:$E,"КСП роти",'Таблиця 1'!$L:$L,"Уражено"))</f>
        <v/>
      </c>
      <c r="L249">
        <f>IF($A249="","",COUNTIFS('Таблиця 1'!$B:$B,$A249,'Таблиця 1'!$E:$E,"ПУ бат",'Таблиця 1'!$L:$L,"Уражено"))</f>
        <v/>
      </c>
      <c r="M249">
        <f>IF($A249="","",COUNTIFS('Таблиця 1'!$B:$B,$A249,'Таблиця 1'!$E:$E,"ПУ бриг",'Таблиця 1'!$L:$L,"Уражено"))</f>
        <v/>
      </c>
      <c r="N249">
        <f>IF($A249="","",COUNTIFS('Таблиця 1'!$B:$B,$A249,'Таблиця 1'!$E:$E,"ПУ див",'Таблиця 1'!$L:$L,"Уражено"))</f>
        <v/>
      </c>
      <c r="O249">
        <f>IF($A249="","",COUNTIFS('Таблиця 1'!$B:$B,$A249,'Таблиця 1'!$E:$E,"обл. РЕБ",'Таблиця 1'!$L:$L,"Уражено"))</f>
        <v/>
      </c>
      <c r="P249">
        <f>IF($A249="","",COUNTIFS('Таблиця 1'!$B:$B,$A249,'Таблиця 1'!$E:$E,"пос РЕБ",'Таблиця 1'!$L:$L,"Уражено"))</f>
        <v/>
      </c>
      <c r="Q249">
        <f>IF($A249="","",COUNTIFS('Таблиця 1'!$B:$B,$A249,'Таблиця 1'!$E:$E,"група РЕР",'Таблиця 1'!$L:$L,"Уражено"))</f>
        <v/>
      </c>
      <c r="R249">
        <f>IF($A249="","",COUNTIFS('Таблиця 1'!$B:$B,$A249,'Таблиця 1'!$E:$E,"РЛС КББ",'Таблиця 1'!$L:$L,"Уражено"))</f>
        <v/>
      </c>
      <c r="S249">
        <f>IF($A249="","",COUNTIFS('Таблиця 1'!$B:$B,$A249,'Таблиця 1'!$E:$E,"Ретранслятор",'Таблиця 1'!$L:$L,"Уражено"))</f>
        <v/>
      </c>
      <c r="T249">
        <f>IF($A249="","",COUNTIFS('Таблиця 1'!$B:$B,$A249,'Таблиця 1'!$E:$E,"Вз.зв'язку",'Таблиця 1'!$L:$L,"Уражено"))</f>
        <v/>
      </c>
      <c r="U249">
        <f>IF($A249="","",COUNTIFS('Таблиця 1'!$B:$B,$A249,'Таблиця 1'!$E:$E,"ПММ",'Таблиця 1'!$L:$L,"Уражено"))</f>
        <v/>
      </c>
      <c r="V249">
        <f>IF($A249="","",COUNTIFS('Таблиця 1'!$B:$B,$A249,'Таблиця 1'!$E:$E,"ІФС",'Таблиця 1'!$L:$L,"Уражено"))</f>
        <v/>
      </c>
      <c r="W249">
        <f>IF($A249="","",COUNTIFS('Таблиця 1'!$B:$B,$A249,'Таблиця 1'!$E:$E,"Інфраструктура",'Таблиця 1'!$L:$L,"Уражено"))</f>
        <v/>
      </c>
      <c r="X249">
        <f>IF($A249="","",SUMIFS('Таблиця 1'!$K:$K,'Таблиця 1'!$B:$B,$A249))</f>
        <v/>
      </c>
    </row>
    <row r="250">
      <c r="A250" s="81">
        <f>IF(A249="","",IF(A249+1&gt;MAX('Таблиця 1'!$B:$B),"",A249+1))</f>
        <v/>
      </c>
      <c r="B250">
        <f>IF($A250="","",COUNTIFS('Таблиця 1'!$B:$B,$A250,'Таблиця 1'!$E:$E,"ЖС ВЗ",'Таблиця 1'!$L:$L,"Уражено"))</f>
        <v/>
      </c>
      <c r="C250">
        <f>IF($A250="","",COUNTIFS('Таблиця 1'!$B:$B,$A250,'Таблиця 1'!$E:$E,"Арт. Системи",'Таблиця 1'!$L:$L,"Уражено"))</f>
        <v/>
      </c>
      <c r="D250">
        <f>IF($A250="","",COUNTIFS('Таблиця 1'!$B:$B,$A250,'Таблиця 1'!$E:$E,"ОВТ",'Таблиця 1'!$L:$L,"Уражено"))</f>
        <v/>
      </c>
      <c r="E250">
        <f>IF($A250="","",COUNTIFS('Таблиця 1'!$B:$B,$A250,'Таблиця 1'!$E:$E,"ППО",'Таблиця 1'!$L:$L,"Уражено"))</f>
        <v/>
      </c>
      <c r="F250">
        <f>IF($A250="","",COUNTIFS('Таблиця 1'!$B:$B,$A250,'Таблиця 1'!$E:$E,"Рембаза",'Таблиця 1'!$L:$L,"Уражено"))</f>
        <v/>
      </c>
      <c r="G250">
        <f>IF($A250="","",COUNTIFS('Таблиця 1'!$B:$B,$A250,'Таблиця 1'!$E:$E,"Склад БК",'Таблиця 1'!$L:$L,"Уражено"))</f>
        <v/>
      </c>
      <c r="H250">
        <f>IF($A250="","",COUNTIFS('Таблиця 1'!$B:$B,$A250,'Таблиця 1'!$E:$E,"Склад ВТМ",'Таблиця 1'!$L:$L,"Уражено"))</f>
        <v/>
      </c>
      <c r="I250">
        <f>IF($A250="","",COUNTIFS('Таблиця 1'!$B:$B,$A250,'Таблиця 1'!$E:$E,"ПУ БпЛА",'Таблиця 1'!$L:$L,"Уражено"))</f>
        <v/>
      </c>
      <c r="J250">
        <f>IF($A250="","",COUNTIFS('Таблиця 1'!$B:$B,$A250,'Таблиця 1'!$E:$E,"СП",'Таблиця 1'!$L:$L,"Уражено"))</f>
        <v/>
      </c>
      <c r="K250">
        <f>IF($A250="","",COUNTIFS('Таблиця 1'!$B:$B,$A250,'Таблиця 1'!$E:$E,"КСП роти",'Таблиця 1'!$L:$L,"Уражено"))</f>
        <v/>
      </c>
      <c r="L250">
        <f>IF($A250="","",COUNTIFS('Таблиця 1'!$B:$B,$A250,'Таблиця 1'!$E:$E,"ПУ бат",'Таблиця 1'!$L:$L,"Уражено"))</f>
        <v/>
      </c>
      <c r="M250">
        <f>IF($A250="","",COUNTIFS('Таблиця 1'!$B:$B,$A250,'Таблиця 1'!$E:$E,"ПУ бриг",'Таблиця 1'!$L:$L,"Уражено"))</f>
        <v/>
      </c>
      <c r="N250">
        <f>IF($A250="","",COUNTIFS('Таблиця 1'!$B:$B,$A250,'Таблиця 1'!$E:$E,"ПУ див",'Таблиця 1'!$L:$L,"Уражено"))</f>
        <v/>
      </c>
      <c r="O250">
        <f>IF($A250="","",COUNTIFS('Таблиця 1'!$B:$B,$A250,'Таблиця 1'!$E:$E,"обл. РЕБ",'Таблиця 1'!$L:$L,"Уражено"))</f>
        <v/>
      </c>
      <c r="P250">
        <f>IF($A250="","",COUNTIFS('Таблиця 1'!$B:$B,$A250,'Таблиця 1'!$E:$E,"пос РЕБ",'Таблиця 1'!$L:$L,"Уражено"))</f>
        <v/>
      </c>
      <c r="Q250">
        <f>IF($A250="","",COUNTIFS('Таблиця 1'!$B:$B,$A250,'Таблиця 1'!$E:$E,"група РЕР",'Таблиця 1'!$L:$L,"Уражено"))</f>
        <v/>
      </c>
      <c r="R250">
        <f>IF($A250="","",COUNTIFS('Таблиця 1'!$B:$B,$A250,'Таблиця 1'!$E:$E,"РЛС КББ",'Таблиця 1'!$L:$L,"Уражено"))</f>
        <v/>
      </c>
      <c r="S250">
        <f>IF($A250="","",COUNTIFS('Таблиця 1'!$B:$B,$A250,'Таблиця 1'!$E:$E,"Ретранслятор",'Таблиця 1'!$L:$L,"Уражено"))</f>
        <v/>
      </c>
      <c r="T250">
        <f>IF($A250="","",COUNTIFS('Таблиця 1'!$B:$B,$A250,'Таблиця 1'!$E:$E,"Вз.зв'язку",'Таблиця 1'!$L:$L,"Уражено"))</f>
        <v/>
      </c>
      <c r="U250">
        <f>IF($A250="","",COUNTIFS('Таблиця 1'!$B:$B,$A250,'Таблиця 1'!$E:$E,"ПММ",'Таблиця 1'!$L:$L,"Уражено"))</f>
        <v/>
      </c>
      <c r="V250">
        <f>IF($A250="","",COUNTIFS('Таблиця 1'!$B:$B,$A250,'Таблиця 1'!$E:$E,"ІФС",'Таблиця 1'!$L:$L,"Уражено"))</f>
        <v/>
      </c>
      <c r="W250">
        <f>IF($A250="","",COUNTIFS('Таблиця 1'!$B:$B,$A250,'Таблиця 1'!$E:$E,"Інфраструктура",'Таблиця 1'!$L:$L,"Уражено"))</f>
        <v/>
      </c>
      <c r="X250">
        <f>IF($A250="","",SUMIFS('Таблиця 1'!$K:$K,'Таблиця 1'!$B:$B,$A250))</f>
        <v/>
      </c>
    </row>
    <row r="251">
      <c r="A251" s="81">
        <f>IF(A250="","",IF(A250+1&gt;MAX('Таблиця 1'!$B:$B),"",A250+1))</f>
        <v/>
      </c>
      <c r="B251">
        <f>IF($A251="","",COUNTIFS('Таблиця 1'!$B:$B,$A251,'Таблиця 1'!$E:$E,"ЖС ВЗ",'Таблиця 1'!$L:$L,"Уражено"))</f>
        <v/>
      </c>
      <c r="C251">
        <f>IF($A251="","",COUNTIFS('Таблиця 1'!$B:$B,$A251,'Таблиця 1'!$E:$E,"Арт. Системи",'Таблиця 1'!$L:$L,"Уражено"))</f>
        <v/>
      </c>
      <c r="D251">
        <f>IF($A251="","",COUNTIFS('Таблиця 1'!$B:$B,$A251,'Таблиця 1'!$E:$E,"ОВТ",'Таблиця 1'!$L:$L,"Уражено"))</f>
        <v/>
      </c>
      <c r="E251">
        <f>IF($A251="","",COUNTIFS('Таблиця 1'!$B:$B,$A251,'Таблиця 1'!$E:$E,"ППО",'Таблиця 1'!$L:$L,"Уражено"))</f>
        <v/>
      </c>
      <c r="F251">
        <f>IF($A251="","",COUNTIFS('Таблиця 1'!$B:$B,$A251,'Таблиця 1'!$E:$E,"Рембаза",'Таблиця 1'!$L:$L,"Уражено"))</f>
        <v/>
      </c>
      <c r="G251">
        <f>IF($A251="","",COUNTIFS('Таблиця 1'!$B:$B,$A251,'Таблиця 1'!$E:$E,"Склад БК",'Таблиця 1'!$L:$L,"Уражено"))</f>
        <v/>
      </c>
      <c r="H251">
        <f>IF($A251="","",COUNTIFS('Таблиця 1'!$B:$B,$A251,'Таблиця 1'!$E:$E,"Склад ВТМ",'Таблиця 1'!$L:$L,"Уражено"))</f>
        <v/>
      </c>
      <c r="I251">
        <f>IF($A251="","",COUNTIFS('Таблиця 1'!$B:$B,$A251,'Таблиця 1'!$E:$E,"ПУ БпЛА",'Таблиця 1'!$L:$L,"Уражено"))</f>
        <v/>
      </c>
      <c r="J251">
        <f>IF($A251="","",COUNTIFS('Таблиця 1'!$B:$B,$A251,'Таблиця 1'!$E:$E,"СП",'Таблиця 1'!$L:$L,"Уражено"))</f>
        <v/>
      </c>
      <c r="K251">
        <f>IF($A251="","",COUNTIFS('Таблиця 1'!$B:$B,$A251,'Таблиця 1'!$E:$E,"КСП роти",'Таблиця 1'!$L:$L,"Уражено"))</f>
        <v/>
      </c>
      <c r="L251">
        <f>IF($A251="","",COUNTIFS('Таблиця 1'!$B:$B,$A251,'Таблиця 1'!$E:$E,"ПУ бат",'Таблиця 1'!$L:$L,"Уражено"))</f>
        <v/>
      </c>
      <c r="M251">
        <f>IF($A251="","",COUNTIFS('Таблиця 1'!$B:$B,$A251,'Таблиця 1'!$E:$E,"ПУ бриг",'Таблиця 1'!$L:$L,"Уражено"))</f>
        <v/>
      </c>
      <c r="N251">
        <f>IF($A251="","",COUNTIFS('Таблиця 1'!$B:$B,$A251,'Таблиця 1'!$E:$E,"ПУ див",'Таблиця 1'!$L:$L,"Уражено"))</f>
        <v/>
      </c>
      <c r="O251">
        <f>IF($A251="","",COUNTIFS('Таблиця 1'!$B:$B,$A251,'Таблиця 1'!$E:$E,"обл. РЕБ",'Таблиця 1'!$L:$L,"Уражено"))</f>
        <v/>
      </c>
      <c r="P251">
        <f>IF($A251="","",COUNTIFS('Таблиця 1'!$B:$B,$A251,'Таблиця 1'!$E:$E,"пос РЕБ",'Таблиця 1'!$L:$L,"Уражено"))</f>
        <v/>
      </c>
      <c r="Q251">
        <f>IF($A251="","",COUNTIFS('Таблиця 1'!$B:$B,$A251,'Таблиця 1'!$E:$E,"група РЕР",'Таблиця 1'!$L:$L,"Уражено"))</f>
        <v/>
      </c>
      <c r="R251">
        <f>IF($A251="","",COUNTIFS('Таблиця 1'!$B:$B,$A251,'Таблиця 1'!$E:$E,"РЛС КББ",'Таблиця 1'!$L:$L,"Уражено"))</f>
        <v/>
      </c>
      <c r="S251">
        <f>IF($A251="","",COUNTIFS('Таблиця 1'!$B:$B,$A251,'Таблиця 1'!$E:$E,"Ретранслятор",'Таблиця 1'!$L:$L,"Уражено"))</f>
        <v/>
      </c>
      <c r="T251">
        <f>IF($A251="","",COUNTIFS('Таблиця 1'!$B:$B,$A251,'Таблиця 1'!$E:$E,"Вз.зв'язку",'Таблиця 1'!$L:$L,"Уражено"))</f>
        <v/>
      </c>
      <c r="U251">
        <f>IF($A251="","",COUNTIFS('Таблиця 1'!$B:$B,$A251,'Таблиця 1'!$E:$E,"ПММ",'Таблиця 1'!$L:$L,"Уражено"))</f>
        <v/>
      </c>
      <c r="V251">
        <f>IF($A251="","",COUNTIFS('Таблиця 1'!$B:$B,$A251,'Таблиця 1'!$E:$E,"ІФС",'Таблиця 1'!$L:$L,"Уражено"))</f>
        <v/>
      </c>
      <c r="W251">
        <f>IF($A251="","",COUNTIFS('Таблиця 1'!$B:$B,$A251,'Таблиця 1'!$E:$E,"Інфраструктура",'Таблиця 1'!$L:$L,"Уражено"))</f>
        <v/>
      </c>
      <c r="X251">
        <f>IF($A251="","",SUMIFS('Таблиця 1'!$K:$K,'Таблиця 1'!$B:$B,$A251))</f>
        <v/>
      </c>
    </row>
    <row r="252">
      <c r="A252" s="81">
        <f>IF(A251="","",IF(A251+1&gt;MAX('Таблиця 1'!$B:$B),"",A251+1))</f>
        <v/>
      </c>
      <c r="B252">
        <f>IF($A252="","",COUNTIFS('Таблиця 1'!$B:$B,$A252,'Таблиця 1'!$E:$E,"ЖС ВЗ",'Таблиця 1'!$L:$L,"Уражено"))</f>
        <v/>
      </c>
      <c r="C252">
        <f>IF($A252="","",COUNTIFS('Таблиця 1'!$B:$B,$A252,'Таблиця 1'!$E:$E,"Арт. Системи",'Таблиця 1'!$L:$L,"Уражено"))</f>
        <v/>
      </c>
      <c r="D252">
        <f>IF($A252="","",COUNTIFS('Таблиця 1'!$B:$B,$A252,'Таблиця 1'!$E:$E,"ОВТ",'Таблиця 1'!$L:$L,"Уражено"))</f>
        <v/>
      </c>
      <c r="E252">
        <f>IF($A252="","",COUNTIFS('Таблиця 1'!$B:$B,$A252,'Таблиця 1'!$E:$E,"ППО",'Таблиця 1'!$L:$L,"Уражено"))</f>
        <v/>
      </c>
      <c r="F252">
        <f>IF($A252="","",COUNTIFS('Таблиця 1'!$B:$B,$A252,'Таблиця 1'!$E:$E,"Рембаза",'Таблиця 1'!$L:$L,"Уражено"))</f>
        <v/>
      </c>
      <c r="G252">
        <f>IF($A252="","",COUNTIFS('Таблиця 1'!$B:$B,$A252,'Таблиця 1'!$E:$E,"Склад БК",'Таблиця 1'!$L:$L,"Уражено"))</f>
        <v/>
      </c>
      <c r="H252">
        <f>IF($A252="","",COUNTIFS('Таблиця 1'!$B:$B,$A252,'Таблиця 1'!$E:$E,"Склад ВТМ",'Таблиця 1'!$L:$L,"Уражено"))</f>
        <v/>
      </c>
      <c r="I252">
        <f>IF($A252="","",COUNTIFS('Таблиця 1'!$B:$B,$A252,'Таблиця 1'!$E:$E,"ПУ БпЛА",'Таблиця 1'!$L:$L,"Уражено"))</f>
        <v/>
      </c>
      <c r="J252">
        <f>IF($A252="","",COUNTIFS('Таблиця 1'!$B:$B,$A252,'Таблиця 1'!$E:$E,"СП",'Таблиця 1'!$L:$L,"Уражено"))</f>
        <v/>
      </c>
      <c r="K252">
        <f>IF($A252="","",COUNTIFS('Таблиця 1'!$B:$B,$A252,'Таблиця 1'!$E:$E,"КСП роти",'Таблиця 1'!$L:$L,"Уражено"))</f>
        <v/>
      </c>
      <c r="L252">
        <f>IF($A252="","",COUNTIFS('Таблиця 1'!$B:$B,$A252,'Таблиця 1'!$E:$E,"ПУ бат",'Таблиця 1'!$L:$L,"Уражено"))</f>
        <v/>
      </c>
      <c r="M252">
        <f>IF($A252="","",COUNTIFS('Таблиця 1'!$B:$B,$A252,'Таблиця 1'!$E:$E,"ПУ бриг",'Таблиця 1'!$L:$L,"Уражено"))</f>
        <v/>
      </c>
      <c r="N252">
        <f>IF($A252="","",COUNTIFS('Таблиця 1'!$B:$B,$A252,'Таблиця 1'!$E:$E,"ПУ див",'Таблиця 1'!$L:$L,"Уражено"))</f>
        <v/>
      </c>
      <c r="O252">
        <f>IF($A252="","",COUNTIFS('Таблиця 1'!$B:$B,$A252,'Таблиця 1'!$E:$E,"обл. РЕБ",'Таблиця 1'!$L:$L,"Уражено"))</f>
        <v/>
      </c>
      <c r="P252">
        <f>IF($A252="","",COUNTIFS('Таблиця 1'!$B:$B,$A252,'Таблиця 1'!$E:$E,"пос РЕБ",'Таблиця 1'!$L:$L,"Уражено"))</f>
        <v/>
      </c>
      <c r="Q252">
        <f>IF($A252="","",COUNTIFS('Таблиця 1'!$B:$B,$A252,'Таблиця 1'!$E:$E,"група РЕР",'Таблиця 1'!$L:$L,"Уражено"))</f>
        <v/>
      </c>
      <c r="R252">
        <f>IF($A252="","",COUNTIFS('Таблиця 1'!$B:$B,$A252,'Таблиця 1'!$E:$E,"РЛС КББ",'Таблиця 1'!$L:$L,"Уражено"))</f>
        <v/>
      </c>
      <c r="S252">
        <f>IF($A252="","",COUNTIFS('Таблиця 1'!$B:$B,$A252,'Таблиця 1'!$E:$E,"Ретранслятор",'Таблиця 1'!$L:$L,"Уражено"))</f>
        <v/>
      </c>
      <c r="T252">
        <f>IF($A252="","",COUNTIFS('Таблиця 1'!$B:$B,$A252,'Таблиця 1'!$E:$E,"Вз.зв'язку",'Таблиця 1'!$L:$L,"Уражено"))</f>
        <v/>
      </c>
      <c r="U252">
        <f>IF($A252="","",COUNTIFS('Таблиця 1'!$B:$B,$A252,'Таблиця 1'!$E:$E,"ПММ",'Таблиця 1'!$L:$L,"Уражено"))</f>
        <v/>
      </c>
      <c r="V252">
        <f>IF($A252="","",COUNTIFS('Таблиця 1'!$B:$B,$A252,'Таблиця 1'!$E:$E,"ІФС",'Таблиця 1'!$L:$L,"Уражено"))</f>
        <v/>
      </c>
      <c r="W252">
        <f>IF($A252="","",COUNTIFS('Таблиця 1'!$B:$B,$A252,'Таблиця 1'!$E:$E,"Інфраструктура",'Таблиця 1'!$L:$L,"Уражено"))</f>
        <v/>
      </c>
      <c r="X252">
        <f>IF($A252="","",SUMIFS('Таблиця 1'!$K:$K,'Таблиця 1'!$B:$B,$A252))</f>
        <v/>
      </c>
    </row>
    <row r="253">
      <c r="A253" s="81">
        <f>IF(A252="","",IF(A252+1&gt;MAX('Таблиця 1'!$B:$B),"",A252+1))</f>
        <v/>
      </c>
      <c r="B253">
        <f>IF($A253="","",COUNTIFS('Таблиця 1'!$B:$B,$A253,'Таблиця 1'!$E:$E,"ЖС ВЗ",'Таблиця 1'!$L:$L,"Уражено"))</f>
        <v/>
      </c>
      <c r="C253">
        <f>IF($A253="","",COUNTIFS('Таблиця 1'!$B:$B,$A253,'Таблиця 1'!$E:$E,"Арт. Системи",'Таблиця 1'!$L:$L,"Уражено"))</f>
        <v/>
      </c>
      <c r="D253">
        <f>IF($A253="","",COUNTIFS('Таблиця 1'!$B:$B,$A253,'Таблиця 1'!$E:$E,"ОВТ",'Таблиця 1'!$L:$L,"Уражено"))</f>
        <v/>
      </c>
      <c r="E253">
        <f>IF($A253="","",COUNTIFS('Таблиця 1'!$B:$B,$A253,'Таблиця 1'!$E:$E,"ППО",'Таблиця 1'!$L:$L,"Уражено"))</f>
        <v/>
      </c>
      <c r="F253">
        <f>IF($A253="","",COUNTIFS('Таблиця 1'!$B:$B,$A253,'Таблиця 1'!$E:$E,"Рембаза",'Таблиця 1'!$L:$L,"Уражено"))</f>
        <v/>
      </c>
      <c r="G253">
        <f>IF($A253="","",COUNTIFS('Таблиця 1'!$B:$B,$A253,'Таблиця 1'!$E:$E,"Склад БК",'Таблиця 1'!$L:$L,"Уражено"))</f>
        <v/>
      </c>
      <c r="H253">
        <f>IF($A253="","",COUNTIFS('Таблиця 1'!$B:$B,$A253,'Таблиця 1'!$E:$E,"Склад ВТМ",'Таблиця 1'!$L:$L,"Уражено"))</f>
        <v/>
      </c>
      <c r="I253">
        <f>IF($A253="","",COUNTIFS('Таблиця 1'!$B:$B,$A253,'Таблиця 1'!$E:$E,"ПУ БпЛА",'Таблиця 1'!$L:$L,"Уражено"))</f>
        <v/>
      </c>
      <c r="J253">
        <f>IF($A253="","",COUNTIFS('Таблиця 1'!$B:$B,$A253,'Таблиця 1'!$E:$E,"СП",'Таблиця 1'!$L:$L,"Уражено"))</f>
        <v/>
      </c>
      <c r="K253">
        <f>IF($A253="","",COUNTIFS('Таблиця 1'!$B:$B,$A253,'Таблиця 1'!$E:$E,"КСП роти",'Таблиця 1'!$L:$L,"Уражено"))</f>
        <v/>
      </c>
      <c r="L253">
        <f>IF($A253="","",COUNTIFS('Таблиця 1'!$B:$B,$A253,'Таблиця 1'!$E:$E,"ПУ бат",'Таблиця 1'!$L:$L,"Уражено"))</f>
        <v/>
      </c>
      <c r="M253">
        <f>IF($A253="","",COUNTIFS('Таблиця 1'!$B:$B,$A253,'Таблиця 1'!$E:$E,"ПУ бриг",'Таблиця 1'!$L:$L,"Уражено"))</f>
        <v/>
      </c>
      <c r="N253">
        <f>IF($A253="","",COUNTIFS('Таблиця 1'!$B:$B,$A253,'Таблиця 1'!$E:$E,"ПУ див",'Таблиця 1'!$L:$L,"Уражено"))</f>
        <v/>
      </c>
      <c r="O253">
        <f>IF($A253="","",COUNTIFS('Таблиця 1'!$B:$B,$A253,'Таблиця 1'!$E:$E,"обл. РЕБ",'Таблиця 1'!$L:$L,"Уражено"))</f>
        <v/>
      </c>
      <c r="P253">
        <f>IF($A253="","",COUNTIFS('Таблиця 1'!$B:$B,$A253,'Таблиця 1'!$E:$E,"пос РЕБ",'Таблиця 1'!$L:$L,"Уражено"))</f>
        <v/>
      </c>
      <c r="Q253">
        <f>IF($A253="","",COUNTIFS('Таблиця 1'!$B:$B,$A253,'Таблиця 1'!$E:$E,"група РЕР",'Таблиця 1'!$L:$L,"Уражено"))</f>
        <v/>
      </c>
      <c r="R253">
        <f>IF($A253="","",COUNTIFS('Таблиця 1'!$B:$B,$A253,'Таблиця 1'!$E:$E,"РЛС КББ",'Таблиця 1'!$L:$L,"Уражено"))</f>
        <v/>
      </c>
      <c r="S253">
        <f>IF($A253="","",COUNTIFS('Таблиця 1'!$B:$B,$A253,'Таблиця 1'!$E:$E,"Ретранслятор",'Таблиця 1'!$L:$L,"Уражено"))</f>
        <v/>
      </c>
      <c r="T253">
        <f>IF($A253="","",COUNTIFS('Таблиця 1'!$B:$B,$A253,'Таблиця 1'!$E:$E,"Вз.зв'язку",'Таблиця 1'!$L:$L,"Уражено"))</f>
        <v/>
      </c>
      <c r="U253">
        <f>IF($A253="","",COUNTIFS('Таблиця 1'!$B:$B,$A253,'Таблиця 1'!$E:$E,"ПММ",'Таблиця 1'!$L:$L,"Уражено"))</f>
        <v/>
      </c>
      <c r="V253">
        <f>IF($A253="","",COUNTIFS('Таблиця 1'!$B:$B,$A253,'Таблиця 1'!$E:$E,"ІФС",'Таблиця 1'!$L:$L,"Уражено"))</f>
        <v/>
      </c>
      <c r="W253">
        <f>IF($A253="","",COUNTIFS('Таблиця 1'!$B:$B,$A253,'Таблиця 1'!$E:$E,"Інфраструктура",'Таблиця 1'!$L:$L,"Уражено"))</f>
        <v/>
      </c>
      <c r="X253">
        <f>IF($A253="","",SUMIFS('Таблиця 1'!$K:$K,'Таблиця 1'!$B:$B,$A253))</f>
        <v/>
      </c>
    </row>
    <row r="254">
      <c r="A254" s="81">
        <f>IF(A253="","",IF(A253+1&gt;MAX('Таблиця 1'!$B:$B),"",A253+1))</f>
        <v/>
      </c>
      <c r="B254">
        <f>IF($A254="","",COUNTIFS('Таблиця 1'!$B:$B,$A254,'Таблиця 1'!$E:$E,"ЖС ВЗ",'Таблиця 1'!$L:$L,"Уражено"))</f>
        <v/>
      </c>
      <c r="C254">
        <f>IF($A254="","",COUNTIFS('Таблиця 1'!$B:$B,$A254,'Таблиця 1'!$E:$E,"Арт. Системи",'Таблиця 1'!$L:$L,"Уражено"))</f>
        <v/>
      </c>
      <c r="D254">
        <f>IF($A254="","",COUNTIFS('Таблиця 1'!$B:$B,$A254,'Таблиця 1'!$E:$E,"ОВТ",'Таблиця 1'!$L:$L,"Уражено"))</f>
        <v/>
      </c>
      <c r="E254">
        <f>IF($A254="","",COUNTIFS('Таблиця 1'!$B:$B,$A254,'Таблиця 1'!$E:$E,"ППО",'Таблиця 1'!$L:$L,"Уражено"))</f>
        <v/>
      </c>
      <c r="F254">
        <f>IF($A254="","",COUNTIFS('Таблиця 1'!$B:$B,$A254,'Таблиця 1'!$E:$E,"Рембаза",'Таблиця 1'!$L:$L,"Уражено"))</f>
        <v/>
      </c>
      <c r="G254">
        <f>IF($A254="","",COUNTIFS('Таблиця 1'!$B:$B,$A254,'Таблиця 1'!$E:$E,"Склад БК",'Таблиця 1'!$L:$L,"Уражено"))</f>
        <v/>
      </c>
      <c r="H254">
        <f>IF($A254="","",COUNTIFS('Таблиця 1'!$B:$B,$A254,'Таблиця 1'!$E:$E,"Склад ВТМ",'Таблиця 1'!$L:$L,"Уражено"))</f>
        <v/>
      </c>
      <c r="I254">
        <f>IF($A254="","",COUNTIFS('Таблиця 1'!$B:$B,$A254,'Таблиця 1'!$E:$E,"ПУ БпЛА",'Таблиця 1'!$L:$L,"Уражено"))</f>
        <v/>
      </c>
      <c r="J254">
        <f>IF($A254="","",COUNTIFS('Таблиця 1'!$B:$B,$A254,'Таблиця 1'!$E:$E,"СП",'Таблиця 1'!$L:$L,"Уражено"))</f>
        <v/>
      </c>
      <c r="K254">
        <f>IF($A254="","",COUNTIFS('Таблиця 1'!$B:$B,$A254,'Таблиця 1'!$E:$E,"КСП роти",'Таблиця 1'!$L:$L,"Уражено"))</f>
        <v/>
      </c>
      <c r="L254">
        <f>IF($A254="","",COUNTIFS('Таблиця 1'!$B:$B,$A254,'Таблиця 1'!$E:$E,"ПУ бат",'Таблиця 1'!$L:$L,"Уражено"))</f>
        <v/>
      </c>
      <c r="M254">
        <f>IF($A254="","",COUNTIFS('Таблиця 1'!$B:$B,$A254,'Таблиця 1'!$E:$E,"ПУ бриг",'Таблиця 1'!$L:$L,"Уражено"))</f>
        <v/>
      </c>
      <c r="N254">
        <f>IF($A254="","",COUNTIFS('Таблиця 1'!$B:$B,$A254,'Таблиця 1'!$E:$E,"ПУ див",'Таблиця 1'!$L:$L,"Уражено"))</f>
        <v/>
      </c>
      <c r="O254">
        <f>IF($A254="","",COUNTIFS('Таблиця 1'!$B:$B,$A254,'Таблиця 1'!$E:$E,"обл. РЕБ",'Таблиця 1'!$L:$L,"Уражено"))</f>
        <v/>
      </c>
      <c r="P254">
        <f>IF($A254="","",COUNTIFS('Таблиця 1'!$B:$B,$A254,'Таблиця 1'!$E:$E,"пос РЕБ",'Таблиця 1'!$L:$L,"Уражено"))</f>
        <v/>
      </c>
      <c r="Q254">
        <f>IF($A254="","",COUNTIFS('Таблиця 1'!$B:$B,$A254,'Таблиця 1'!$E:$E,"група РЕР",'Таблиця 1'!$L:$L,"Уражено"))</f>
        <v/>
      </c>
      <c r="R254">
        <f>IF($A254="","",COUNTIFS('Таблиця 1'!$B:$B,$A254,'Таблиця 1'!$E:$E,"РЛС КББ",'Таблиця 1'!$L:$L,"Уражено"))</f>
        <v/>
      </c>
      <c r="S254">
        <f>IF($A254="","",COUNTIFS('Таблиця 1'!$B:$B,$A254,'Таблиця 1'!$E:$E,"Ретранслятор",'Таблиця 1'!$L:$L,"Уражено"))</f>
        <v/>
      </c>
      <c r="T254">
        <f>IF($A254="","",COUNTIFS('Таблиця 1'!$B:$B,$A254,'Таблиця 1'!$E:$E,"Вз.зв'язку",'Таблиця 1'!$L:$L,"Уражено"))</f>
        <v/>
      </c>
      <c r="U254">
        <f>IF($A254="","",COUNTIFS('Таблиця 1'!$B:$B,$A254,'Таблиця 1'!$E:$E,"ПММ",'Таблиця 1'!$L:$L,"Уражено"))</f>
        <v/>
      </c>
      <c r="V254">
        <f>IF($A254="","",COUNTIFS('Таблиця 1'!$B:$B,$A254,'Таблиця 1'!$E:$E,"ІФС",'Таблиця 1'!$L:$L,"Уражено"))</f>
        <v/>
      </c>
      <c r="W254">
        <f>IF($A254="","",COUNTIFS('Таблиця 1'!$B:$B,$A254,'Таблиця 1'!$E:$E,"Інфраструктура",'Таблиця 1'!$L:$L,"Уражено"))</f>
        <v/>
      </c>
      <c r="X254">
        <f>IF($A254="","",SUMIFS('Таблиця 1'!$K:$K,'Таблиця 1'!$B:$B,$A254))</f>
        <v/>
      </c>
    </row>
    <row r="255">
      <c r="A255" s="81">
        <f>IF(A254="","",IF(A254+1&gt;MAX('Таблиця 1'!$B:$B),"",A254+1))</f>
        <v/>
      </c>
      <c r="B255">
        <f>IF($A255="","",COUNTIFS('Таблиця 1'!$B:$B,$A255,'Таблиця 1'!$E:$E,"ЖС ВЗ",'Таблиця 1'!$L:$L,"Уражено"))</f>
        <v/>
      </c>
      <c r="C255">
        <f>IF($A255="","",COUNTIFS('Таблиця 1'!$B:$B,$A255,'Таблиця 1'!$E:$E,"Арт. Системи",'Таблиця 1'!$L:$L,"Уражено"))</f>
        <v/>
      </c>
      <c r="D255">
        <f>IF($A255="","",COUNTIFS('Таблиця 1'!$B:$B,$A255,'Таблиця 1'!$E:$E,"ОВТ",'Таблиця 1'!$L:$L,"Уражено"))</f>
        <v/>
      </c>
      <c r="E255">
        <f>IF($A255="","",COUNTIFS('Таблиця 1'!$B:$B,$A255,'Таблиця 1'!$E:$E,"ППО",'Таблиця 1'!$L:$L,"Уражено"))</f>
        <v/>
      </c>
      <c r="F255">
        <f>IF($A255="","",COUNTIFS('Таблиця 1'!$B:$B,$A255,'Таблиця 1'!$E:$E,"Рембаза",'Таблиця 1'!$L:$L,"Уражено"))</f>
        <v/>
      </c>
      <c r="G255">
        <f>IF($A255="","",COUNTIFS('Таблиця 1'!$B:$B,$A255,'Таблиця 1'!$E:$E,"Склад БК",'Таблиця 1'!$L:$L,"Уражено"))</f>
        <v/>
      </c>
      <c r="H255">
        <f>IF($A255="","",COUNTIFS('Таблиця 1'!$B:$B,$A255,'Таблиця 1'!$E:$E,"Склад ВТМ",'Таблиця 1'!$L:$L,"Уражено"))</f>
        <v/>
      </c>
      <c r="I255">
        <f>IF($A255="","",COUNTIFS('Таблиця 1'!$B:$B,$A255,'Таблиця 1'!$E:$E,"ПУ БпЛА",'Таблиця 1'!$L:$L,"Уражено"))</f>
        <v/>
      </c>
      <c r="J255">
        <f>IF($A255="","",COUNTIFS('Таблиця 1'!$B:$B,$A255,'Таблиця 1'!$E:$E,"СП",'Таблиця 1'!$L:$L,"Уражено"))</f>
        <v/>
      </c>
      <c r="K255">
        <f>IF($A255="","",COUNTIFS('Таблиця 1'!$B:$B,$A255,'Таблиця 1'!$E:$E,"КСП роти",'Таблиця 1'!$L:$L,"Уражено"))</f>
        <v/>
      </c>
      <c r="L255">
        <f>IF($A255="","",COUNTIFS('Таблиця 1'!$B:$B,$A255,'Таблиця 1'!$E:$E,"ПУ бат",'Таблиця 1'!$L:$L,"Уражено"))</f>
        <v/>
      </c>
      <c r="M255">
        <f>IF($A255="","",COUNTIFS('Таблиця 1'!$B:$B,$A255,'Таблиця 1'!$E:$E,"ПУ бриг",'Таблиця 1'!$L:$L,"Уражено"))</f>
        <v/>
      </c>
      <c r="N255">
        <f>IF($A255="","",COUNTIFS('Таблиця 1'!$B:$B,$A255,'Таблиця 1'!$E:$E,"ПУ див",'Таблиця 1'!$L:$L,"Уражено"))</f>
        <v/>
      </c>
      <c r="O255">
        <f>IF($A255="","",COUNTIFS('Таблиця 1'!$B:$B,$A255,'Таблиця 1'!$E:$E,"обл. РЕБ",'Таблиця 1'!$L:$L,"Уражено"))</f>
        <v/>
      </c>
      <c r="P255">
        <f>IF($A255="","",COUNTIFS('Таблиця 1'!$B:$B,$A255,'Таблиця 1'!$E:$E,"пос РЕБ",'Таблиця 1'!$L:$L,"Уражено"))</f>
        <v/>
      </c>
      <c r="Q255">
        <f>IF($A255="","",COUNTIFS('Таблиця 1'!$B:$B,$A255,'Таблиця 1'!$E:$E,"група РЕР",'Таблиця 1'!$L:$L,"Уражено"))</f>
        <v/>
      </c>
      <c r="R255">
        <f>IF($A255="","",COUNTIFS('Таблиця 1'!$B:$B,$A255,'Таблиця 1'!$E:$E,"РЛС КББ",'Таблиця 1'!$L:$L,"Уражено"))</f>
        <v/>
      </c>
      <c r="S255">
        <f>IF($A255="","",COUNTIFS('Таблиця 1'!$B:$B,$A255,'Таблиця 1'!$E:$E,"Ретранслятор",'Таблиця 1'!$L:$L,"Уражено"))</f>
        <v/>
      </c>
      <c r="T255">
        <f>IF($A255="","",COUNTIFS('Таблиця 1'!$B:$B,$A255,'Таблиця 1'!$E:$E,"Вз.зв'язку",'Таблиця 1'!$L:$L,"Уражено"))</f>
        <v/>
      </c>
      <c r="U255">
        <f>IF($A255="","",COUNTIFS('Таблиця 1'!$B:$B,$A255,'Таблиця 1'!$E:$E,"ПММ",'Таблиця 1'!$L:$L,"Уражено"))</f>
        <v/>
      </c>
      <c r="V255">
        <f>IF($A255="","",COUNTIFS('Таблиця 1'!$B:$B,$A255,'Таблиця 1'!$E:$E,"ІФС",'Таблиця 1'!$L:$L,"Уражено"))</f>
        <v/>
      </c>
      <c r="W255">
        <f>IF($A255="","",COUNTIFS('Таблиця 1'!$B:$B,$A255,'Таблиця 1'!$E:$E,"Інфраструктура",'Таблиця 1'!$L:$L,"Уражено"))</f>
        <v/>
      </c>
      <c r="X255">
        <f>IF($A255="","",SUMIFS('Таблиця 1'!$K:$K,'Таблиця 1'!$B:$B,$A255))</f>
        <v/>
      </c>
    </row>
    <row r="256">
      <c r="A256" s="81">
        <f>IF(A255="","",IF(A255+1&gt;MAX('Таблиця 1'!$B:$B),"",A255+1))</f>
        <v/>
      </c>
      <c r="B256">
        <f>IF($A256="","",COUNTIFS('Таблиця 1'!$B:$B,$A256,'Таблиця 1'!$E:$E,"ЖС ВЗ",'Таблиця 1'!$L:$L,"Уражено"))</f>
        <v/>
      </c>
      <c r="C256">
        <f>IF($A256="","",COUNTIFS('Таблиця 1'!$B:$B,$A256,'Таблиця 1'!$E:$E,"Арт. Системи",'Таблиця 1'!$L:$L,"Уражено"))</f>
        <v/>
      </c>
      <c r="D256">
        <f>IF($A256="","",COUNTIFS('Таблиця 1'!$B:$B,$A256,'Таблиця 1'!$E:$E,"ОВТ",'Таблиця 1'!$L:$L,"Уражено"))</f>
        <v/>
      </c>
      <c r="E256">
        <f>IF($A256="","",COUNTIFS('Таблиця 1'!$B:$B,$A256,'Таблиця 1'!$E:$E,"ППО",'Таблиця 1'!$L:$L,"Уражено"))</f>
        <v/>
      </c>
      <c r="F256">
        <f>IF($A256="","",COUNTIFS('Таблиця 1'!$B:$B,$A256,'Таблиця 1'!$E:$E,"Рембаза",'Таблиця 1'!$L:$L,"Уражено"))</f>
        <v/>
      </c>
      <c r="G256">
        <f>IF($A256="","",COUNTIFS('Таблиця 1'!$B:$B,$A256,'Таблиця 1'!$E:$E,"Склад БК",'Таблиця 1'!$L:$L,"Уражено"))</f>
        <v/>
      </c>
      <c r="H256">
        <f>IF($A256="","",COUNTIFS('Таблиця 1'!$B:$B,$A256,'Таблиця 1'!$E:$E,"Склад ВТМ",'Таблиця 1'!$L:$L,"Уражено"))</f>
        <v/>
      </c>
      <c r="I256">
        <f>IF($A256="","",COUNTIFS('Таблиця 1'!$B:$B,$A256,'Таблиця 1'!$E:$E,"ПУ БпЛА",'Таблиця 1'!$L:$L,"Уражено"))</f>
        <v/>
      </c>
      <c r="J256">
        <f>IF($A256="","",COUNTIFS('Таблиця 1'!$B:$B,$A256,'Таблиця 1'!$E:$E,"СП",'Таблиця 1'!$L:$L,"Уражено"))</f>
        <v/>
      </c>
      <c r="K256">
        <f>IF($A256="","",COUNTIFS('Таблиця 1'!$B:$B,$A256,'Таблиця 1'!$E:$E,"КСП роти",'Таблиця 1'!$L:$L,"Уражено"))</f>
        <v/>
      </c>
      <c r="L256">
        <f>IF($A256="","",COUNTIFS('Таблиця 1'!$B:$B,$A256,'Таблиця 1'!$E:$E,"ПУ бат",'Таблиця 1'!$L:$L,"Уражено"))</f>
        <v/>
      </c>
      <c r="M256">
        <f>IF($A256="","",COUNTIFS('Таблиця 1'!$B:$B,$A256,'Таблиця 1'!$E:$E,"ПУ бриг",'Таблиця 1'!$L:$L,"Уражено"))</f>
        <v/>
      </c>
      <c r="N256">
        <f>IF($A256="","",COUNTIFS('Таблиця 1'!$B:$B,$A256,'Таблиця 1'!$E:$E,"ПУ див",'Таблиця 1'!$L:$L,"Уражено"))</f>
        <v/>
      </c>
      <c r="O256">
        <f>IF($A256="","",COUNTIFS('Таблиця 1'!$B:$B,$A256,'Таблиця 1'!$E:$E,"обл. РЕБ",'Таблиця 1'!$L:$L,"Уражено"))</f>
        <v/>
      </c>
      <c r="P256">
        <f>IF($A256="","",COUNTIFS('Таблиця 1'!$B:$B,$A256,'Таблиця 1'!$E:$E,"пос РЕБ",'Таблиця 1'!$L:$L,"Уражено"))</f>
        <v/>
      </c>
      <c r="Q256">
        <f>IF($A256="","",COUNTIFS('Таблиця 1'!$B:$B,$A256,'Таблиця 1'!$E:$E,"група РЕР",'Таблиця 1'!$L:$L,"Уражено"))</f>
        <v/>
      </c>
      <c r="R256">
        <f>IF($A256="","",COUNTIFS('Таблиця 1'!$B:$B,$A256,'Таблиця 1'!$E:$E,"РЛС КББ",'Таблиця 1'!$L:$L,"Уражено"))</f>
        <v/>
      </c>
      <c r="S256">
        <f>IF($A256="","",COUNTIFS('Таблиця 1'!$B:$B,$A256,'Таблиця 1'!$E:$E,"Ретранслятор",'Таблиця 1'!$L:$L,"Уражено"))</f>
        <v/>
      </c>
      <c r="T256">
        <f>IF($A256="","",COUNTIFS('Таблиця 1'!$B:$B,$A256,'Таблиця 1'!$E:$E,"Вз.зв'язку",'Таблиця 1'!$L:$L,"Уражено"))</f>
        <v/>
      </c>
      <c r="U256">
        <f>IF($A256="","",COUNTIFS('Таблиця 1'!$B:$B,$A256,'Таблиця 1'!$E:$E,"ПММ",'Таблиця 1'!$L:$L,"Уражено"))</f>
        <v/>
      </c>
      <c r="V256">
        <f>IF($A256="","",COUNTIFS('Таблиця 1'!$B:$B,$A256,'Таблиця 1'!$E:$E,"ІФС",'Таблиця 1'!$L:$L,"Уражено"))</f>
        <v/>
      </c>
      <c r="W256">
        <f>IF($A256="","",COUNTIFS('Таблиця 1'!$B:$B,$A256,'Таблиця 1'!$E:$E,"Інфраструктура",'Таблиця 1'!$L:$L,"Уражено"))</f>
        <v/>
      </c>
      <c r="X256">
        <f>IF($A256="","",SUMIFS('Таблиця 1'!$K:$K,'Таблиця 1'!$B:$B,$A256))</f>
        <v/>
      </c>
    </row>
    <row r="257">
      <c r="A257" s="81">
        <f>IF(A256="","",IF(A256+1&gt;MAX('Таблиця 1'!$B:$B),"",A256+1))</f>
        <v/>
      </c>
      <c r="B257">
        <f>IF($A257="","",COUNTIFS('Таблиця 1'!$B:$B,$A257,'Таблиця 1'!$E:$E,"ЖС ВЗ",'Таблиця 1'!$L:$L,"Уражено"))</f>
        <v/>
      </c>
      <c r="C257">
        <f>IF($A257="","",COUNTIFS('Таблиця 1'!$B:$B,$A257,'Таблиця 1'!$E:$E,"Арт. Системи",'Таблиця 1'!$L:$L,"Уражено"))</f>
        <v/>
      </c>
      <c r="D257">
        <f>IF($A257="","",COUNTIFS('Таблиця 1'!$B:$B,$A257,'Таблиця 1'!$E:$E,"ОВТ",'Таблиця 1'!$L:$L,"Уражено"))</f>
        <v/>
      </c>
      <c r="E257">
        <f>IF($A257="","",COUNTIFS('Таблиця 1'!$B:$B,$A257,'Таблиця 1'!$E:$E,"ППО",'Таблиця 1'!$L:$L,"Уражено"))</f>
        <v/>
      </c>
      <c r="F257">
        <f>IF($A257="","",COUNTIFS('Таблиця 1'!$B:$B,$A257,'Таблиця 1'!$E:$E,"Рембаза",'Таблиця 1'!$L:$L,"Уражено"))</f>
        <v/>
      </c>
      <c r="G257">
        <f>IF($A257="","",COUNTIFS('Таблиця 1'!$B:$B,$A257,'Таблиця 1'!$E:$E,"Склад БК",'Таблиця 1'!$L:$L,"Уражено"))</f>
        <v/>
      </c>
      <c r="H257">
        <f>IF($A257="","",COUNTIFS('Таблиця 1'!$B:$B,$A257,'Таблиця 1'!$E:$E,"Склад ВТМ",'Таблиця 1'!$L:$L,"Уражено"))</f>
        <v/>
      </c>
      <c r="I257">
        <f>IF($A257="","",COUNTIFS('Таблиця 1'!$B:$B,$A257,'Таблиця 1'!$E:$E,"ПУ БпЛА",'Таблиця 1'!$L:$L,"Уражено"))</f>
        <v/>
      </c>
      <c r="J257">
        <f>IF($A257="","",COUNTIFS('Таблиця 1'!$B:$B,$A257,'Таблиця 1'!$E:$E,"СП",'Таблиця 1'!$L:$L,"Уражено"))</f>
        <v/>
      </c>
      <c r="K257">
        <f>IF($A257="","",COUNTIFS('Таблиця 1'!$B:$B,$A257,'Таблиця 1'!$E:$E,"КСП роти",'Таблиця 1'!$L:$L,"Уражено"))</f>
        <v/>
      </c>
      <c r="L257">
        <f>IF($A257="","",COUNTIFS('Таблиця 1'!$B:$B,$A257,'Таблиця 1'!$E:$E,"ПУ бат",'Таблиця 1'!$L:$L,"Уражено"))</f>
        <v/>
      </c>
      <c r="M257">
        <f>IF($A257="","",COUNTIFS('Таблиця 1'!$B:$B,$A257,'Таблиця 1'!$E:$E,"ПУ бриг",'Таблиця 1'!$L:$L,"Уражено"))</f>
        <v/>
      </c>
      <c r="N257">
        <f>IF($A257="","",COUNTIFS('Таблиця 1'!$B:$B,$A257,'Таблиця 1'!$E:$E,"ПУ див",'Таблиця 1'!$L:$L,"Уражено"))</f>
        <v/>
      </c>
      <c r="O257">
        <f>IF($A257="","",COUNTIFS('Таблиця 1'!$B:$B,$A257,'Таблиця 1'!$E:$E,"обл. РЕБ",'Таблиця 1'!$L:$L,"Уражено"))</f>
        <v/>
      </c>
      <c r="P257">
        <f>IF($A257="","",COUNTIFS('Таблиця 1'!$B:$B,$A257,'Таблиця 1'!$E:$E,"пос РЕБ",'Таблиця 1'!$L:$L,"Уражено"))</f>
        <v/>
      </c>
      <c r="Q257">
        <f>IF($A257="","",COUNTIFS('Таблиця 1'!$B:$B,$A257,'Таблиця 1'!$E:$E,"група РЕР",'Таблиця 1'!$L:$L,"Уражено"))</f>
        <v/>
      </c>
      <c r="R257">
        <f>IF($A257="","",COUNTIFS('Таблиця 1'!$B:$B,$A257,'Таблиця 1'!$E:$E,"РЛС КББ",'Таблиця 1'!$L:$L,"Уражено"))</f>
        <v/>
      </c>
      <c r="S257">
        <f>IF($A257="","",COUNTIFS('Таблиця 1'!$B:$B,$A257,'Таблиця 1'!$E:$E,"Ретранслятор",'Таблиця 1'!$L:$L,"Уражено"))</f>
        <v/>
      </c>
      <c r="T257">
        <f>IF($A257="","",COUNTIFS('Таблиця 1'!$B:$B,$A257,'Таблиця 1'!$E:$E,"Вз.зв'язку",'Таблиця 1'!$L:$L,"Уражено"))</f>
        <v/>
      </c>
      <c r="U257">
        <f>IF($A257="","",COUNTIFS('Таблиця 1'!$B:$B,$A257,'Таблиця 1'!$E:$E,"ПММ",'Таблиця 1'!$L:$L,"Уражено"))</f>
        <v/>
      </c>
      <c r="V257">
        <f>IF($A257="","",COUNTIFS('Таблиця 1'!$B:$B,$A257,'Таблиця 1'!$E:$E,"ІФС",'Таблиця 1'!$L:$L,"Уражено"))</f>
        <v/>
      </c>
      <c r="W257">
        <f>IF($A257="","",COUNTIFS('Таблиця 1'!$B:$B,$A257,'Таблиця 1'!$E:$E,"Інфраструктура",'Таблиця 1'!$L:$L,"Уражено"))</f>
        <v/>
      </c>
      <c r="X257">
        <f>IF($A257="","",SUMIFS('Таблиця 1'!$K:$K,'Таблиця 1'!$B:$B,$A257))</f>
        <v/>
      </c>
    </row>
    <row r="258">
      <c r="A258" s="81">
        <f>IF(A257="","",IF(A257+1&gt;MAX('Таблиця 1'!$B:$B),"",A257+1))</f>
        <v/>
      </c>
      <c r="B258">
        <f>IF($A258="","",COUNTIFS('Таблиця 1'!$B:$B,$A258,'Таблиця 1'!$E:$E,"ЖС ВЗ",'Таблиця 1'!$L:$L,"Уражено"))</f>
        <v/>
      </c>
      <c r="C258">
        <f>IF($A258="","",COUNTIFS('Таблиця 1'!$B:$B,$A258,'Таблиця 1'!$E:$E,"Арт. Системи",'Таблиця 1'!$L:$L,"Уражено"))</f>
        <v/>
      </c>
      <c r="D258">
        <f>IF($A258="","",COUNTIFS('Таблиця 1'!$B:$B,$A258,'Таблиця 1'!$E:$E,"ОВТ",'Таблиця 1'!$L:$L,"Уражено"))</f>
        <v/>
      </c>
      <c r="E258">
        <f>IF($A258="","",COUNTIFS('Таблиця 1'!$B:$B,$A258,'Таблиця 1'!$E:$E,"ППО",'Таблиця 1'!$L:$L,"Уражено"))</f>
        <v/>
      </c>
      <c r="F258">
        <f>IF($A258="","",COUNTIFS('Таблиця 1'!$B:$B,$A258,'Таблиця 1'!$E:$E,"Рембаза",'Таблиця 1'!$L:$L,"Уражено"))</f>
        <v/>
      </c>
      <c r="G258">
        <f>IF($A258="","",COUNTIFS('Таблиця 1'!$B:$B,$A258,'Таблиця 1'!$E:$E,"Склад БК",'Таблиця 1'!$L:$L,"Уражено"))</f>
        <v/>
      </c>
      <c r="H258">
        <f>IF($A258="","",COUNTIFS('Таблиця 1'!$B:$B,$A258,'Таблиця 1'!$E:$E,"Склад ВТМ",'Таблиця 1'!$L:$L,"Уражено"))</f>
        <v/>
      </c>
      <c r="I258">
        <f>IF($A258="","",COUNTIFS('Таблиця 1'!$B:$B,$A258,'Таблиця 1'!$E:$E,"ПУ БпЛА",'Таблиця 1'!$L:$L,"Уражено"))</f>
        <v/>
      </c>
      <c r="J258">
        <f>IF($A258="","",COUNTIFS('Таблиця 1'!$B:$B,$A258,'Таблиця 1'!$E:$E,"СП",'Таблиця 1'!$L:$L,"Уражено"))</f>
        <v/>
      </c>
      <c r="K258">
        <f>IF($A258="","",COUNTIFS('Таблиця 1'!$B:$B,$A258,'Таблиця 1'!$E:$E,"КСП роти",'Таблиця 1'!$L:$L,"Уражено"))</f>
        <v/>
      </c>
      <c r="L258">
        <f>IF($A258="","",COUNTIFS('Таблиця 1'!$B:$B,$A258,'Таблиця 1'!$E:$E,"ПУ бат",'Таблиця 1'!$L:$L,"Уражено"))</f>
        <v/>
      </c>
      <c r="M258">
        <f>IF($A258="","",COUNTIFS('Таблиця 1'!$B:$B,$A258,'Таблиця 1'!$E:$E,"ПУ бриг",'Таблиця 1'!$L:$L,"Уражено"))</f>
        <v/>
      </c>
      <c r="N258">
        <f>IF($A258="","",COUNTIFS('Таблиця 1'!$B:$B,$A258,'Таблиця 1'!$E:$E,"ПУ див",'Таблиця 1'!$L:$L,"Уражено"))</f>
        <v/>
      </c>
      <c r="O258">
        <f>IF($A258="","",COUNTIFS('Таблиця 1'!$B:$B,$A258,'Таблиця 1'!$E:$E,"обл. РЕБ",'Таблиця 1'!$L:$L,"Уражено"))</f>
        <v/>
      </c>
      <c r="P258">
        <f>IF($A258="","",COUNTIFS('Таблиця 1'!$B:$B,$A258,'Таблиця 1'!$E:$E,"пос РЕБ",'Таблиця 1'!$L:$L,"Уражено"))</f>
        <v/>
      </c>
      <c r="Q258">
        <f>IF($A258="","",COUNTIFS('Таблиця 1'!$B:$B,$A258,'Таблиця 1'!$E:$E,"група РЕР",'Таблиця 1'!$L:$L,"Уражено"))</f>
        <v/>
      </c>
      <c r="R258">
        <f>IF($A258="","",COUNTIFS('Таблиця 1'!$B:$B,$A258,'Таблиця 1'!$E:$E,"РЛС КББ",'Таблиця 1'!$L:$L,"Уражено"))</f>
        <v/>
      </c>
      <c r="S258">
        <f>IF($A258="","",COUNTIFS('Таблиця 1'!$B:$B,$A258,'Таблиця 1'!$E:$E,"Ретранслятор",'Таблиця 1'!$L:$L,"Уражено"))</f>
        <v/>
      </c>
      <c r="T258">
        <f>IF($A258="","",COUNTIFS('Таблиця 1'!$B:$B,$A258,'Таблиця 1'!$E:$E,"Вз.зв'язку",'Таблиця 1'!$L:$L,"Уражено"))</f>
        <v/>
      </c>
      <c r="U258">
        <f>IF($A258="","",COUNTIFS('Таблиця 1'!$B:$B,$A258,'Таблиця 1'!$E:$E,"ПММ",'Таблиця 1'!$L:$L,"Уражено"))</f>
        <v/>
      </c>
      <c r="V258">
        <f>IF($A258="","",COUNTIFS('Таблиця 1'!$B:$B,$A258,'Таблиця 1'!$E:$E,"ІФС",'Таблиця 1'!$L:$L,"Уражено"))</f>
        <v/>
      </c>
      <c r="W258">
        <f>IF($A258="","",COUNTIFS('Таблиця 1'!$B:$B,$A258,'Таблиця 1'!$E:$E,"Інфраструктура",'Таблиця 1'!$L:$L,"Уражено"))</f>
        <v/>
      </c>
      <c r="X258">
        <f>IF($A258="","",SUMIFS('Таблиця 1'!$K:$K,'Таблиця 1'!$B:$B,$A258))</f>
        <v/>
      </c>
    </row>
    <row r="259">
      <c r="A259" s="81">
        <f>IF(A258="","",IF(A258+1&gt;MAX('Таблиця 1'!$B:$B),"",A258+1))</f>
        <v/>
      </c>
      <c r="B259">
        <f>IF($A259="","",COUNTIFS('Таблиця 1'!$B:$B,$A259,'Таблиця 1'!$E:$E,"ЖС ВЗ",'Таблиця 1'!$L:$L,"Уражено"))</f>
        <v/>
      </c>
      <c r="C259">
        <f>IF($A259="","",COUNTIFS('Таблиця 1'!$B:$B,$A259,'Таблиця 1'!$E:$E,"Арт. Системи",'Таблиця 1'!$L:$L,"Уражено"))</f>
        <v/>
      </c>
      <c r="D259">
        <f>IF($A259="","",COUNTIFS('Таблиця 1'!$B:$B,$A259,'Таблиця 1'!$E:$E,"ОВТ",'Таблиця 1'!$L:$L,"Уражено"))</f>
        <v/>
      </c>
      <c r="E259">
        <f>IF($A259="","",COUNTIFS('Таблиця 1'!$B:$B,$A259,'Таблиця 1'!$E:$E,"ППО",'Таблиця 1'!$L:$L,"Уражено"))</f>
        <v/>
      </c>
      <c r="F259">
        <f>IF($A259="","",COUNTIFS('Таблиця 1'!$B:$B,$A259,'Таблиця 1'!$E:$E,"Рембаза",'Таблиця 1'!$L:$L,"Уражено"))</f>
        <v/>
      </c>
      <c r="G259">
        <f>IF($A259="","",COUNTIFS('Таблиця 1'!$B:$B,$A259,'Таблиця 1'!$E:$E,"Склад БК",'Таблиця 1'!$L:$L,"Уражено"))</f>
        <v/>
      </c>
      <c r="H259">
        <f>IF($A259="","",COUNTIFS('Таблиця 1'!$B:$B,$A259,'Таблиця 1'!$E:$E,"Склад ВТМ",'Таблиця 1'!$L:$L,"Уражено"))</f>
        <v/>
      </c>
      <c r="I259">
        <f>IF($A259="","",COUNTIFS('Таблиця 1'!$B:$B,$A259,'Таблиця 1'!$E:$E,"ПУ БпЛА",'Таблиця 1'!$L:$L,"Уражено"))</f>
        <v/>
      </c>
      <c r="J259">
        <f>IF($A259="","",COUNTIFS('Таблиця 1'!$B:$B,$A259,'Таблиця 1'!$E:$E,"СП",'Таблиця 1'!$L:$L,"Уражено"))</f>
        <v/>
      </c>
      <c r="K259">
        <f>IF($A259="","",COUNTIFS('Таблиця 1'!$B:$B,$A259,'Таблиця 1'!$E:$E,"КСП роти",'Таблиця 1'!$L:$L,"Уражено"))</f>
        <v/>
      </c>
      <c r="L259">
        <f>IF($A259="","",COUNTIFS('Таблиця 1'!$B:$B,$A259,'Таблиця 1'!$E:$E,"ПУ бат",'Таблиця 1'!$L:$L,"Уражено"))</f>
        <v/>
      </c>
      <c r="M259">
        <f>IF($A259="","",COUNTIFS('Таблиця 1'!$B:$B,$A259,'Таблиця 1'!$E:$E,"ПУ бриг",'Таблиця 1'!$L:$L,"Уражено"))</f>
        <v/>
      </c>
      <c r="N259">
        <f>IF($A259="","",COUNTIFS('Таблиця 1'!$B:$B,$A259,'Таблиця 1'!$E:$E,"ПУ див",'Таблиця 1'!$L:$L,"Уражено"))</f>
        <v/>
      </c>
      <c r="O259">
        <f>IF($A259="","",COUNTIFS('Таблиця 1'!$B:$B,$A259,'Таблиця 1'!$E:$E,"обл. РЕБ",'Таблиця 1'!$L:$L,"Уражено"))</f>
        <v/>
      </c>
      <c r="P259">
        <f>IF($A259="","",COUNTIFS('Таблиця 1'!$B:$B,$A259,'Таблиця 1'!$E:$E,"пос РЕБ",'Таблиця 1'!$L:$L,"Уражено"))</f>
        <v/>
      </c>
      <c r="Q259">
        <f>IF($A259="","",COUNTIFS('Таблиця 1'!$B:$B,$A259,'Таблиця 1'!$E:$E,"група РЕР",'Таблиця 1'!$L:$L,"Уражено"))</f>
        <v/>
      </c>
      <c r="R259">
        <f>IF($A259="","",COUNTIFS('Таблиця 1'!$B:$B,$A259,'Таблиця 1'!$E:$E,"РЛС КББ",'Таблиця 1'!$L:$L,"Уражено"))</f>
        <v/>
      </c>
      <c r="S259">
        <f>IF($A259="","",COUNTIFS('Таблиця 1'!$B:$B,$A259,'Таблиця 1'!$E:$E,"Ретранслятор",'Таблиця 1'!$L:$L,"Уражено"))</f>
        <v/>
      </c>
      <c r="T259">
        <f>IF($A259="","",COUNTIFS('Таблиця 1'!$B:$B,$A259,'Таблиця 1'!$E:$E,"Вз.зв'язку",'Таблиця 1'!$L:$L,"Уражено"))</f>
        <v/>
      </c>
      <c r="U259">
        <f>IF($A259="","",COUNTIFS('Таблиця 1'!$B:$B,$A259,'Таблиця 1'!$E:$E,"ПММ",'Таблиця 1'!$L:$L,"Уражено"))</f>
        <v/>
      </c>
      <c r="V259">
        <f>IF($A259="","",COUNTIFS('Таблиця 1'!$B:$B,$A259,'Таблиця 1'!$E:$E,"ІФС",'Таблиця 1'!$L:$L,"Уражено"))</f>
        <v/>
      </c>
      <c r="W259">
        <f>IF($A259="","",COUNTIFS('Таблиця 1'!$B:$B,$A259,'Таблиця 1'!$E:$E,"Інфраструктура",'Таблиця 1'!$L:$L,"Уражено"))</f>
        <v/>
      </c>
      <c r="X259">
        <f>IF($A259="","",SUMIFS('Таблиця 1'!$K:$K,'Таблиця 1'!$B:$B,$A259))</f>
        <v/>
      </c>
    </row>
    <row r="260">
      <c r="A260" s="81">
        <f>IF(A259="","",IF(A259+1&gt;MAX('Таблиця 1'!$B:$B),"",A259+1))</f>
        <v/>
      </c>
      <c r="B260">
        <f>IF($A260="","",COUNTIFS('Таблиця 1'!$B:$B,$A260,'Таблиця 1'!$E:$E,"ЖС ВЗ",'Таблиця 1'!$L:$L,"Уражено"))</f>
        <v/>
      </c>
      <c r="C260">
        <f>IF($A260="","",COUNTIFS('Таблиця 1'!$B:$B,$A260,'Таблиця 1'!$E:$E,"Арт. Системи",'Таблиця 1'!$L:$L,"Уражено"))</f>
        <v/>
      </c>
      <c r="D260">
        <f>IF($A260="","",COUNTIFS('Таблиця 1'!$B:$B,$A260,'Таблиця 1'!$E:$E,"ОВТ",'Таблиця 1'!$L:$L,"Уражено"))</f>
        <v/>
      </c>
      <c r="E260">
        <f>IF($A260="","",COUNTIFS('Таблиця 1'!$B:$B,$A260,'Таблиця 1'!$E:$E,"ППО",'Таблиця 1'!$L:$L,"Уражено"))</f>
        <v/>
      </c>
      <c r="F260">
        <f>IF($A260="","",COUNTIFS('Таблиця 1'!$B:$B,$A260,'Таблиця 1'!$E:$E,"Рембаза",'Таблиця 1'!$L:$L,"Уражено"))</f>
        <v/>
      </c>
      <c r="G260">
        <f>IF($A260="","",COUNTIFS('Таблиця 1'!$B:$B,$A260,'Таблиця 1'!$E:$E,"Склад БК",'Таблиця 1'!$L:$L,"Уражено"))</f>
        <v/>
      </c>
      <c r="H260">
        <f>IF($A260="","",COUNTIFS('Таблиця 1'!$B:$B,$A260,'Таблиця 1'!$E:$E,"Склад ВТМ",'Таблиця 1'!$L:$L,"Уражено"))</f>
        <v/>
      </c>
      <c r="I260">
        <f>IF($A260="","",COUNTIFS('Таблиця 1'!$B:$B,$A260,'Таблиця 1'!$E:$E,"ПУ БпЛА",'Таблиця 1'!$L:$L,"Уражено"))</f>
        <v/>
      </c>
      <c r="J260">
        <f>IF($A260="","",COUNTIFS('Таблиця 1'!$B:$B,$A260,'Таблиця 1'!$E:$E,"СП",'Таблиця 1'!$L:$L,"Уражено"))</f>
        <v/>
      </c>
      <c r="K260">
        <f>IF($A260="","",COUNTIFS('Таблиця 1'!$B:$B,$A260,'Таблиця 1'!$E:$E,"КСП роти",'Таблиця 1'!$L:$L,"Уражено"))</f>
        <v/>
      </c>
      <c r="L260">
        <f>IF($A260="","",COUNTIFS('Таблиця 1'!$B:$B,$A260,'Таблиця 1'!$E:$E,"ПУ бат",'Таблиця 1'!$L:$L,"Уражено"))</f>
        <v/>
      </c>
      <c r="M260">
        <f>IF($A260="","",COUNTIFS('Таблиця 1'!$B:$B,$A260,'Таблиця 1'!$E:$E,"ПУ бриг",'Таблиця 1'!$L:$L,"Уражено"))</f>
        <v/>
      </c>
      <c r="N260">
        <f>IF($A260="","",COUNTIFS('Таблиця 1'!$B:$B,$A260,'Таблиця 1'!$E:$E,"ПУ див",'Таблиця 1'!$L:$L,"Уражено"))</f>
        <v/>
      </c>
      <c r="O260">
        <f>IF($A260="","",COUNTIFS('Таблиця 1'!$B:$B,$A260,'Таблиця 1'!$E:$E,"обл. РЕБ",'Таблиця 1'!$L:$L,"Уражено"))</f>
        <v/>
      </c>
      <c r="P260">
        <f>IF($A260="","",COUNTIFS('Таблиця 1'!$B:$B,$A260,'Таблиця 1'!$E:$E,"пос РЕБ",'Таблиця 1'!$L:$L,"Уражено"))</f>
        <v/>
      </c>
      <c r="Q260">
        <f>IF($A260="","",COUNTIFS('Таблиця 1'!$B:$B,$A260,'Таблиця 1'!$E:$E,"група РЕР",'Таблиця 1'!$L:$L,"Уражено"))</f>
        <v/>
      </c>
      <c r="R260">
        <f>IF($A260="","",COUNTIFS('Таблиця 1'!$B:$B,$A260,'Таблиця 1'!$E:$E,"РЛС КББ",'Таблиця 1'!$L:$L,"Уражено"))</f>
        <v/>
      </c>
      <c r="S260">
        <f>IF($A260="","",COUNTIFS('Таблиця 1'!$B:$B,$A260,'Таблиця 1'!$E:$E,"Ретранслятор",'Таблиця 1'!$L:$L,"Уражено"))</f>
        <v/>
      </c>
      <c r="T260">
        <f>IF($A260="","",COUNTIFS('Таблиця 1'!$B:$B,$A260,'Таблиця 1'!$E:$E,"Вз.зв'язку",'Таблиця 1'!$L:$L,"Уражено"))</f>
        <v/>
      </c>
      <c r="U260">
        <f>IF($A260="","",COUNTIFS('Таблиця 1'!$B:$B,$A260,'Таблиця 1'!$E:$E,"ПММ",'Таблиця 1'!$L:$L,"Уражено"))</f>
        <v/>
      </c>
      <c r="V260">
        <f>IF($A260="","",COUNTIFS('Таблиця 1'!$B:$B,$A260,'Таблиця 1'!$E:$E,"ІФС",'Таблиця 1'!$L:$L,"Уражено"))</f>
        <v/>
      </c>
      <c r="W260">
        <f>IF($A260="","",COUNTIFS('Таблиця 1'!$B:$B,$A260,'Таблиця 1'!$E:$E,"Інфраструктура",'Таблиця 1'!$L:$L,"Уражено"))</f>
        <v/>
      </c>
      <c r="X260">
        <f>IF($A260="","",SUMIFS('Таблиця 1'!$K:$K,'Таблиця 1'!$B:$B,$A260))</f>
        <v/>
      </c>
    </row>
    <row r="261">
      <c r="A261" s="81">
        <f>IF(A260="","",IF(A260+1&gt;MAX('Таблиця 1'!$B:$B),"",A260+1))</f>
        <v/>
      </c>
      <c r="B261">
        <f>IF($A261="","",COUNTIFS('Таблиця 1'!$B:$B,$A261,'Таблиця 1'!$E:$E,"ЖС ВЗ",'Таблиця 1'!$L:$L,"Уражено"))</f>
        <v/>
      </c>
      <c r="C261">
        <f>IF($A261="","",COUNTIFS('Таблиця 1'!$B:$B,$A261,'Таблиця 1'!$E:$E,"Арт. Системи",'Таблиця 1'!$L:$L,"Уражено"))</f>
        <v/>
      </c>
      <c r="D261">
        <f>IF($A261="","",COUNTIFS('Таблиця 1'!$B:$B,$A261,'Таблиця 1'!$E:$E,"ОВТ",'Таблиця 1'!$L:$L,"Уражено"))</f>
        <v/>
      </c>
      <c r="E261">
        <f>IF($A261="","",COUNTIFS('Таблиця 1'!$B:$B,$A261,'Таблиця 1'!$E:$E,"ППО",'Таблиця 1'!$L:$L,"Уражено"))</f>
        <v/>
      </c>
      <c r="F261">
        <f>IF($A261="","",COUNTIFS('Таблиця 1'!$B:$B,$A261,'Таблиця 1'!$E:$E,"Рембаза",'Таблиця 1'!$L:$L,"Уражено"))</f>
        <v/>
      </c>
      <c r="G261">
        <f>IF($A261="","",COUNTIFS('Таблиця 1'!$B:$B,$A261,'Таблиця 1'!$E:$E,"Склад БК",'Таблиця 1'!$L:$L,"Уражено"))</f>
        <v/>
      </c>
      <c r="H261">
        <f>IF($A261="","",COUNTIFS('Таблиця 1'!$B:$B,$A261,'Таблиця 1'!$E:$E,"Склад ВТМ",'Таблиця 1'!$L:$L,"Уражено"))</f>
        <v/>
      </c>
      <c r="I261">
        <f>IF($A261="","",COUNTIFS('Таблиця 1'!$B:$B,$A261,'Таблиця 1'!$E:$E,"ПУ БпЛА",'Таблиця 1'!$L:$L,"Уражено"))</f>
        <v/>
      </c>
      <c r="J261">
        <f>IF($A261="","",COUNTIFS('Таблиця 1'!$B:$B,$A261,'Таблиця 1'!$E:$E,"СП",'Таблиця 1'!$L:$L,"Уражено"))</f>
        <v/>
      </c>
      <c r="K261">
        <f>IF($A261="","",COUNTIFS('Таблиця 1'!$B:$B,$A261,'Таблиця 1'!$E:$E,"КСП роти",'Таблиця 1'!$L:$L,"Уражено"))</f>
        <v/>
      </c>
      <c r="L261">
        <f>IF($A261="","",COUNTIFS('Таблиця 1'!$B:$B,$A261,'Таблиця 1'!$E:$E,"ПУ бат",'Таблиця 1'!$L:$L,"Уражено"))</f>
        <v/>
      </c>
      <c r="M261">
        <f>IF($A261="","",COUNTIFS('Таблиця 1'!$B:$B,$A261,'Таблиця 1'!$E:$E,"ПУ бриг",'Таблиця 1'!$L:$L,"Уражено"))</f>
        <v/>
      </c>
      <c r="N261">
        <f>IF($A261="","",COUNTIFS('Таблиця 1'!$B:$B,$A261,'Таблиця 1'!$E:$E,"ПУ див",'Таблиця 1'!$L:$L,"Уражено"))</f>
        <v/>
      </c>
      <c r="O261">
        <f>IF($A261="","",COUNTIFS('Таблиця 1'!$B:$B,$A261,'Таблиця 1'!$E:$E,"обл. РЕБ",'Таблиця 1'!$L:$L,"Уражено"))</f>
        <v/>
      </c>
      <c r="P261">
        <f>IF($A261="","",COUNTIFS('Таблиця 1'!$B:$B,$A261,'Таблиця 1'!$E:$E,"пос РЕБ",'Таблиця 1'!$L:$L,"Уражено"))</f>
        <v/>
      </c>
      <c r="Q261">
        <f>IF($A261="","",COUNTIFS('Таблиця 1'!$B:$B,$A261,'Таблиця 1'!$E:$E,"група РЕР",'Таблиця 1'!$L:$L,"Уражено"))</f>
        <v/>
      </c>
      <c r="R261">
        <f>IF($A261="","",COUNTIFS('Таблиця 1'!$B:$B,$A261,'Таблиця 1'!$E:$E,"РЛС КББ",'Таблиця 1'!$L:$L,"Уражено"))</f>
        <v/>
      </c>
      <c r="S261">
        <f>IF($A261="","",COUNTIFS('Таблиця 1'!$B:$B,$A261,'Таблиця 1'!$E:$E,"Ретранслятор",'Таблиця 1'!$L:$L,"Уражено"))</f>
        <v/>
      </c>
      <c r="T261">
        <f>IF($A261="","",COUNTIFS('Таблиця 1'!$B:$B,$A261,'Таблиця 1'!$E:$E,"Вз.зв'язку",'Таблиця 1'!$L:$L,"Уражено"))</f>
        <v/>
      </c>
      <c r="U261">
        <f>IF($A261="","",COUNTIFS('Таблиця 1'!$B:$B,$A261,'Таблиця 1'!$E:$E,"ПММ",'Таблиця 1'!$L:$L,"Уражено"))</f>
        <v/>
      </c>
      <c r="V261">
        <f>IF($A261="","",COUNTIFS('Таблиця 1'!$B:$B,$A261,'Таблиця 1'!$E:$E,"ІФС",'Таблиця 1'!$L:$L,"Уражено"))</f>
        <v/>
      </c>
      <c r="W261">
        <f>IF($A261="","",COUNTIFS('Таблиця 1'!$B:$B,$A261,'Таблиця 1'!$E:$E,"Інфраструктура",'Таблиця 1'!$L:$L,"Уражено"))</f>
        <v/>
      </c>
      <c r="X261">
        <f>IF($A261="","",SUMIFS('Таблиця 1'!$K:$K,'Таблиця 1'!$B:$B,$A261))</f>
        <v/>
      </c>
    </row>
    <row r="262">
      <c r="A262" s="81">
        <f>IF(A261="","",IF(A261+1&gt;MAX('Таблиця 1'!$B:$B),"",A261+1))</f>
        <v/>
      </c>
      <c r="B262">
        <f>IF($A262="","",COUNTIFS('Таблиця 1'!$B:$B,$A262,'Таблиця 1'!$E:$E,"ЖС ВЗ",'Таблиця 1'!$L:$L,"Уражено"))</f>
        <v/>
      </c>
      <c r="C262">
        <f>IF($A262="","",COUNTIFS('Таблиця 1'!$B:$B,$A262,'Таблиця 1'!$E:$E,"Арт. Системи",'Таблиця 1'!$L:$L,"Уражено"))</f>
        <v/>
      </c>
      <c r="D262">
        <f>IF($A262="","",COUNTIFS('Таблиця 1'!$B:$B,$A262,'Таблиця 1'!$E:$E,"ОВТ",'Таблиця 1'!$L:$L,"Уражено"))</f>
        <v/>
      </c>
      <c r="E262">
        <f>IF($A262="","",COUNTIFS('Таблиця 1'!$B:$B,$A262,'Таблиця 1'!$E:$E,"ППО",'Таблиця 1'!$L:$L,"Уражено"))</f>
        <v/>
      </c>
      <c r="F262">
        <f>IF($A262="","",COUNTIFS('Таблиця 1'!$B:$B,$A262,'Таблиця 1'!$E:$E,"Рембаза",'Таблиця 1'!$L:$L,"Уражено"))</f>
        <v/>
      </c>
      <c r="G262">
        <f>IF($A262="","",COUNTIFS('Таблиця 1'!$B:$B,$A262,'Таблиця 1'!$E:$E,"Склад БК",'Таблиця 1'!$L:$L,"Уражено"))</f>
        <v/>
      </c>
      <c r="H262">
        <f>IF($A262="","",COUNTIFS('Таблиця 1'!$B:$B,$A262,'Таблиця 1'!$E:$E,"Склад ВТМ",'Таблиця 1'!$L:$L,"Уражено"))</f>
        <v/>
      </c>
      <c r="I262">
        <f>IF($A262="","",COUNTIFS('Таблиця 1'!$B:$B,$A262,'Таблиця 1'!$E:$E,"ПУ БпЛА",'Таблиця 1'!$L:$L,"Уражено"))</f>
        <v/>
      </c>
      <c r="J262">
        <f>IF($A262="","",COUNTIFS('Таблиця 1'!$B:$B,$A262,'Таблиця 1'!$E:$E,"СП",'Таблиця 1'!$L:$L,"Уражено"))</f>
        <v/>
      </c>
      <c r="K262">
        <f>IF($A262="","",COUNTIFS('Таблиця 1'!$B:$B,$A262,'Таблиця 1'!$E:$E,"КСП роти",'Таблиця 1'!$L:$L,"Уражено"))</f>
        <v/>
      </c>
      <c r="L262">
        <f>IF($A262="","",COUNTIFS('Таблиця 1'!$B:$B,$A262,'Таблиця 1'!$E:$E,"ПУ бат",'Таблиця 1'!$L:$L,"Уражено"))</f>
        <v/>
      </c>
      <c r="M262">
        <f>IF($A262="","",COUNTIFS('Таблиця 1'!$B:$B,$A262,'Таблиця 1'!$E:$E,"ПУ бриг",'Таблиця 1'!$L:$L,"Уражено"))</f>
        <v/>
      </c>
      <c r="N262">
        <f>IF($A262="","",COUNTIFS('Таблиця 1'!$B:$B,$A262,'Таблиця 1'!$E:$E,"ПУ див",'Таблиця 1'!$L:$L,"Уражено"))</f>
        <v/>
      </c>
      <c r="O262">
        <f>IF($A262="","",COUNTIFS('Таблиця 1'!$B:$B,$A262,'Таблиця 1'!$E:$E,"обл. РЕБ",'Таблиця 1'!$L:$L,"Уражено"))</f>
        <v/>
      </c>
      <c r="P262">
        <f>IF($A262="","",COUNTIFS('Таблиця 1'!$B:$B,$A262,'Таблиця 1'!$E:$E,"пос РЕБ",'Таблиця 1'!$L:$L,"Уражено"))</f>
        <v/>
      </c>
      <c r="Q262">
        <f>IF($A262="","",COUNTIFS('Таблиця 1'!$B:$B,$A262,'Таблиця 1'!$E:$E,"група РЕР",'Таблиця 1'!$L:$L,"Уражено"))</f>
        <v/>
      </c>
      <c r="R262">
        <f>IF($A262="","",COUNTIFS('Таблиця 1'!$B:$B,$A262,'Таблиця 1'!$E:$E,"РЛС КББ",'Таблиця 1'!$L:$L,"Уражено"))</f>
        <v/>
      </c>
      <c r="S262">
        <f>IF($A262="","",COUNTIFS('Таблиця 1'!$B:$B,$A262,'Таблиця 1'!$E:$E,"Ретранслятор",'Таблиця 1'!$L:$L,"Уражено"))</f>
        <v/>
      </c>
      <c r="T262">
        <f>IF($A262="","",COUNTIFS('Таблиця 1'!$B:$B,$A262,'Таблиця 1'!$E:$E,"Вз.зв'язку",'Таблиця 1'!$L:$L,"Уражено"))</f>
        <v/>
      </c>
      <c r="U262">
        <f>IF($A262="","",COUNTIFS('Таблиця 1'!$B:$B,$A262,'Таблиця 1'!$E:$E,"ПММ",'Таблиця 1'!$L:$L,"Уражено"))</f>
        <v/>
      </c>
      <c r="V262">
        <f>IF($A262="","",COUNTIFS('Таблиця 1'!$B:$B,$A262,'Таблиця 1'!$E:$E,"ІФС",'Таблиця 1'!$L:$L,"Уражено"))</f>
        <v/>
      </c>
      <c r="W262">
        <f>IF($A262="","",COUNTIFS('Таблиця 1'!$B:$B,$A262,'Таблиця 1'!$E:$E,"Інфраструктура",'Таблиця 1'!$L:$L,"Уражено"))</f>
        <v/>
      </c>
      <c r="X262">
        <f>IF($A262="","",SUMIFS('Таблиця 1'!$K:$K,'Таблиця 1'!$B:$B,$A262))</f>
        <v/>
      </c>
    </row>
    <row r="263">
      <c r="A263" s="81">
        <f>IF(A262="","",IF(A262+1&gt;MAX('Таблиця 1'!$B:$B),"",A262+1))</f>
        <v/>
      </c>
      <c r="B263">
        <f>IF($A263="","",COUNTIFS('Таблиця 1'!$B:$B,$A263,'Таблиця 1'!$E:$E,"ЖС ВЗ",'Таблиця 1'!$L:$L,"Уражено"))</f>
        <v/>
      </c>
      <c r="C263">
        <f>IF($A263="","",COUNTIFS('Таблиця 1'!$B:$B,$A263,'Таблиця 1'!$E:$E,"Арт. Системи",'Таблиця 1'!$L:$L,"Уражено"))</f>
        <v/>
      </c>
      <c r="D263">
        <f>IF($A263="","",COUNTIFS('Таблиця 1'!$B:$B,$A263,'Таблиця 1'!$E:$E,"ОВТ",'Таблиця 1'!$L:$L,"Уражено"))</f>
        <v/>
      </c>
      <c r="E263">
        <f>IF($A263="","",COUNTIFS('Таблиця 1'!$B:$B,$A263,'Таблиця 1'!$E:$E,"ППО",'Таблиця 1'!$L:$L,"Уражено"))</f>
        <v/>
      </c>
      <c r="F263">
        <f>IF($A263="","",COUNTIFS('Таблиця 1'!$B:$B,$A263,'Таблиця 1'!$E:$E,"Рембаза",'Таблиця 1'!$L:$L,"Уражено"))</f>
        <v/>
      </c>
      <c r="G263">
        <f>IF($A263="","",COUNTIFS('Таблиця 1'!$B:$B,$A263,'Таблиця 1'!$E:$E,"Склад БК",'Таблиця 1'!$L:$L,"Уражено"))</f>
        <v/>
      </c>
      <c r="H263">
        <f>IF($A263="","",COUNTIFS('Таблиця 1'!$B:$B,$A263,'Таблиця 1'!$E:$E,"Склад ВТМ",'Таблиця 1'!$L:$L,"Уражено"))</f>
        <v/>
      </c>
      <c r="I263">
        <f>IF($A263="","",COUNTIFS('Таблиця 1'!$B:$B,$A263,'Таблиця 1'!$E:$E,"ПУ БпЛА",'Таблиця 1'!$L:$L,"Уражено"))</f>
        <v/>
      </c>
      <c r="J263">
        <f>IF($A263="","",COUNTIFS('Таблиця 1'!$B:$B,$A263,'Таблиця 1'!$E:$E,"СП",'Таблиця 1'!$L:$L,"Уражено"))</f>
        <v/>
      </c>
      <c r="K263">
        <f>IF($A263="","",COUNTIFS('Таблиця 1'!$B:$B,$A263,'Таблиця 1'!$E:$E,"КСП роти",'Таблиця 1'!$L:$L,"Уражено"))</f>
        <v/>
      </c>
      <c r="L263">
        <f>IF($A263="","",COUNTIFS('Таблиця 1'!$B:$B,$A263,'Таблиця 1'!$E:$E,"ПУ бат",'Таблиця 1'!$L:$L,"Уражено"))</f>
        <v/>
      </c>
      <c r="M263">
        <f>IF($A263="","",COUNTIFS('Таблиця 1'!$B:$B,$A263,'Таблиця 1'!$E:$E,"ПУ бриг",'Таблиця 1'!$L:$L,"Уражено"))</f>
        <v/>
      </c>
      <c r="N263">
        <f>IF($A263="","",COUNTIFS('Таблиця 1'!$B:$B,$A263,'Таблиця 1'!$E:$E,"ПУ див",'Таблиця 1'!$L:$L,"Уражено"))</f>
        <v/>
      </c>
      <c r="O263">
        <f>IF($A263="","",COUNTIFS('Таблиця 1'!$B:$B,$A263,'Таблиця 1'!$E:$E,"обл. РЕБ",'Таблиця 1'!$L:$L,"Уражено"))</f>
        <v/>
      </c>
      <c r="P263">
        <f>IF($A263="","",COUNTIFS('Таблиця 1'!$B:$B,$A263,'Таблиця 1'!$E:$E,"пос РЕБ",'Таблиця 1'!$L:$L,"Уражено"))</f>
        <v/>
      </c>
      <c r="Q263">
        <f>IF($A263="","",COUNTIFS('Таблиця 1'!$B:$B,$A263,'Таблиця 1'!$E:$E,"група РЕР",'Таблиця 1'!$L:$L,"Уражено"))</f>
        <v/>
      </c>
      <c r="R263">
        <f>IF($A263="","",COUNTIFS('Таблиця 1'!$B:$B,$A263,'Таблиця 1'!$E:$E,"РЛС КББ",'Таблиця 1'!$L:$L,"Уражено"))</f>
        <v/>
      </c>
      <c r="S263">
        <f>IF($A263="","",COUNTIFS('Таблиця 1'!$B:$B,$A263,'Таблиця 1'!$E:$E,"Ретранслятор",'Таблиця 1'!$L:$L,"Уражено"))</f>
        <v/>
      </c>
      <c r="T263">
        <f>IF($A263="","",COUNTIFS('Таблиця 1'!$B:$B,$A263,'Таблиця 1'!$E:$E,"Вз.зв'язку",'Таблиця 1'!$L:$L,"Уражено"))</f>
        <v/>
      </c>
      <c r="U263">
        <f>IF($A263="","",COUNTIFS('Таблиця 1'!$B:$B,$A263,'Таблиця 1'!$E:$E,"ПММ",'Таблиця 1'!$L:$L,"Уражено"))</f>
        <v/>
      </c>
      <c r="V263">
        <f>IF($A263="","",COUNTIFS('Таблиця 1'!$B:$B,$A263,'Таблиця 1'!$E:$E,"ІФС",'Таблиця 1'!$L:$L,"Уражено"))</f>
        <v/>
      </c>
      <c r="W263">
        <f>IF($A263="","",COUNTIFS('Таблиця 1'!$B:$B,$A263,'Таблиця 1'!$E:$E,"Інфраструктура",'Таблиця 1'!$L:$L,"Уражено"))</f>
        <v/>
      </c>
      <c r="X263">
        <f>IF($A263="","",SUMIFS('Таблиця 1'!$K:$K,'Таблиця 1'!$B:$B,$A263))</f>
        <v/>
      </c>
    </row>
    <row r="264">
      <c r="A264" s="81">
        <f>IF(A263="","",IF(A263+1&gt;MAX('Таблиця 1'!$B:$B),"",A263+1))</f>
        <v/>
      </c>
      <c r="B264">
        <f>IF($A264="","",COUNTIFS('Таблиця 1'!$B:$B,$A264,'Таблиця 1'!$E:$E,"ЖС ВЗ",'Таблиця 1'!$L:$L,"Уражено"))</f>
        <v/>
      </c>
      <c r="C264">
        <f>IF($A264="","",COUNTIFS('Таблиця 1'!$B:$B,$A264,'Таблиця 1'!$E:$E,"Арт. Системи",'Таблиця 1'!$L:$L,"Уражено"))</f>
        <v/>
      </c>
      <c r="D264">
        <f>IF($A264="","",COUNTIFS('Таблиця 1'!$B:$B,$A264,'Таблиця 1'!$E:$E,"ОВТ",'Таблиця 1'!$L:$L,"Уражено"))</f>
        <v/>
      </c>
      <c r="E264">
        <f>IF($A264="","",COUNTIFS('Таблиця 1'!$B:$B,$A264,'Таблиця 1'!$E:$E,"ППО",'Таблиця 1'!$L:$L,"Уражено"))</f>
        <v/>
      </c>
      <c r="F264">
        <f>IF($A264="","",COUNTIFS('Таблиця 1'!$B:$B,$A264,'Таблиця 1'!$E:$E,"Рембаза",'Таблиця 1'!$L:$L,"Уражено"))</f>
        <v/>
      </c>
      <c r="G264">
        <f>IF($A264="","",COUNTIFS('Таблиця 1'!$B:$B,$A264,'Таблиця 1'!$E:$E,"Склад БК",'Таблиця 1'!$L:$L,"Уражено"))</f>
        <v/>
      </c>
      <c r="H264">
        <f>IF($A264="","",COUNTIFS('Таблиця 1'!$B:$B,$A264,'Таблиця 1'!$E:$E,"Склад ВТМ",'Таблиця 1'!$L:$L,"Уражено"))</f>
        <v/>
      </c>
      <c r="I264">
        <f>IF($A264="","",COUNTIFS('Таблиця 1'!$B:$B,$A264,'Таблиця 1'!$E:$E,"ПУ БпЛА",'Таблиця 1'!$L:$L,"Уражено"))</f>
        <v/>
      </c>
      <c r="J264">
        <f>IF($A264="","",COUNTIFS('Таблиця 1'!$B:$B,$A264,'Таблиця 1'!$E:$E,"СП",'Таблиця 1'!$L:$L,"Уражено"))</f>
        <v/>
      </c>
      <c r="K264">
        <f>IF($A264="","",COUNTIFS('Таблиця 1'!$B:$B,$A264,'Таблиця 1'!$E:$E,"КСП роти",'Таблиця 1'!$L:$L,"Уражено"))</f>
        <v/>
      </c>
      <c r="L264">
        <f>IF($A264="","",COUNTIFS('Таблиця 1'!$B:$B,$A264,'Таблиця 1'!$E:$E,"ПУ бат",'Таблиця 1'!$L:$L,"Уражено"))</f>
        <v/>
      </c>
      <c r="M264">
        <f>IF($A264="","",COUNTIFS('Таблиця 1'!$B:$B,$A264,'Таблиця 1'!$E:$E,"ПУ бриг",'Таблиця 1'!$L:$L,"Уражено"))</f>
        <v/>
      </c>
      <c r="N264">
        <f>IF($A264="","",COUNTIFS('Таблиця 1'!$B:$B,$A264,'Таблиця 1'!$E:$E,"ПУ див",'Таблиця 1'!$L:$L,"Уражено"))</f>
        <v/>
      </c>
      <c r="O264">
        <f>IF($A264="","",COUNTIFS('Таблиця 1'!$B:$B,$A264,'Таблиця 1'!$E:$E,"обл. РЕБ",'Таблиця 1'!$L:$L,"Уражено"))</f>
        <v/>
      </c>
      <c r="P264">
        <f>IF($A264="","",COUNTIFS('Таблиця 1'!$B:$B,$A264,'Таблиця 1'!$E:$E,"пос РЕБ",'Таблиця 1'!$L:$L,"Уражено"))</f>
        <v/>
      </c>
      <c r="Q264">
        <f>IF($A264="","",COUNTIFS('Таблиця 1'!$B:$B,$A264,'Таблиця 1'!$E:$E,"група РЕР",'Таблиця 1'!$L:$L,"Уражено"))</f>
        <v/>
      </c>
      <c r="R264">
        <f>IF($A264="","",COUNTIFS('Таблиця 1'!$B:$B,$A264,'Таблиця 1'!$E:$E,"РЛС КББ",'Таблиця 1'!$L:$L,"Уражено"))</f>
        <v/>
      </c>
      <c r="S264">
        <f>IF($A264="","",COUNTIFS('Таблиця 1'!$B:$B,$A264,'Таблиця 1'!$E:$E,"Ретранслятор",'Таблиця 1'!$L:$L,"Уражено"))</f>
        <v/>
      </c>
      <c r="T264">
        <f>IF($A264="","",COUNTIFS('Таблиця 1'!$B:$B,$A264,'Таблиця 1'!$E:$E,"Вз.зв'язку",'Таблиця 1'!$L:$L,"Уражено"))</f>
        <v/>
      </c>
      <c r="U264">
        <f>IF($A264="","",COUNTIFS('Таблиця 1'!$B:$B,$A264,'Таблиця 1'!$E:$E,"ПММ",'Таблиця 1'!$L:$L,"Уражено"))</f>
        <v/>
      </c>
      <c r="V264">
        <f>IF($A264="","",COUNTIFS('Таблиця 1'!$B:$B,$A264,'Таблиця 1'!$E:$E,"ІФС",'Таблиця 1'!$L:$L,"Уражено"))</f>
        <v/>
      </c>
      <c r="W264">
        <f>IF($A264="","",COUNTIFS('Таблиця 1'!$B:$B,$A264,'Таблиця 1'!$E:$E,"Інфраструктура",'Таблиця 1'!$L:$L,"Уражено"))</f>
        <v/>
      </c>
      <c r="X264">
        <f>IF($A264="","",SUMIFS('Таблиця 1'!$K:$K,'Таблиця 1'!$B:$B,$A264))</f>
        <v/>
      </c>
    </row>
    <row r="265">
      <c r="A265" s="81">
        <f>IF(A264="","",IF(A264+1&gt;MAX('Таблиця 1'!$B:$B),"",A264+1))</f>
        <v/>
      </c>
      <c r="B265">
        <f>IF($A265="","",COUNTIFS('Таблиця 1'!$B:$B,$A265,'Таблиця 1'!$E:$E,"ЖС ВЗ",'Таблиця 1'!$L:$L,"Уражено"))</f>
        <v/>
      </c>
      <c r="C265">
        <f>IF($A265="","",COUNTIFS('Таблиця 1'!$B:$B,$A265,'Таблиця 1'!$E:$E,"Арт. Системи",'Таблиця 1'!$L:$L,"Уражено"))</f>
        <v/>
      </c>
      <c r="D265">
        <f>IF($A265="","",COUNTIFS('Таблиця 1'!$B:$B,$A265,'Таблиця 1'!$E:$E,"ОВТ",'Таблиця 1'!$L:$L,"Уражено"))</f>
        <v/>
      </c>
      <c r="E265">
        <f>IF($A265="","",COUNTIFS('Таблиця 1'!$B:$B,$A265,'Таблиця 1'!$E:$E,"ППО",'Таблиця 1'!$L:$L,"Уражено"))</f>
        <v/>
      </c>
      <c r="F265">
        <f>IF($A265="","",COUNTIFS('Таблиця 1'!$B:$B,$A265,'Таблиця 1'!$E:$E,"Рембаза",'Таблиця 1'!$L:$L,"Уражено"))</f>
        <v/>
      </c>
      <c r="G265">
        <f>IF($A265="","",COUNTIFS('Таблиця 1'!$B:$B,$A265,'Таблиця 1'!$E:$E,"Склад БК",'Таблиця 1'!$L:$L,"Уражено"))</f>
        <v/>
      </c>
      <c r="H265">
        <f>IF($A265="","",COUNTIFS('Таблиця 1'!$B:$B,$A265,'Таблиця 1'!$E:$E,"Склад ВТМ",'Таблиця 1'!$L:$L,"Уражено"))</f>
        <v/>
      </c>
      <c r="I265">
        <f>IF($A265="","",COUNTIFS('Таблиця 1'!$B:$B,$A265,'Таблиця 1'!$E:$E,"ПУ БпЛА",'Таблиця 1'!$L:$L,"Уражено"))</f>
        <v/>
      </c>
      <c r="J265">
        <f>IF($A265="","",COUNTIFS('Таблиця 1'!$B:$B,$A265,'Таблиця 1'!$E:$E,"СП",'Таблиця 1'!$L:$L,"Уражено"))</f>
        <v/>
      </c>
      <c r="K265">
        <f>IF($A265="","",COUNTIFS('Таблиця 1'!$B:$B,$A265,'Таблиця 1'!$E:$E,"КСП роти",'Таблиця 1'!$L:$L,"Уражено"))</f>
        <v/>
      </c>
      <c r="L265">
        <f>IF($A265="","",COUNTIFS('Таблиця 1'!$B:$B,$A265,'Таблиця 1'!$E:$E,"ПУ бат",'Таблиця 1'!$L:$L,"Уражено"))</f>
        <v/>
      </c>
      <c r="M265">
        <f>IF($A265="","",COUNTIFS('Таблиця 1'!$B:$B,$A265,'Таблиця 1'!$E:$E,"ПУ бриг",'Таблиця 1'!$L:$L,"Уражено"))</f>
        <v/>
      </c>
      <c r="N265">
        <f>IF($A265="","",COUNTIFS('Таблиця 1'!$B:$B,$A265,'Таблиця 1'!$E:$E,"ПУ див",'Таблиця 1'!$L:$L,"Уражено"))</f>
        <v/>
      </c>
      <c r="O265">
        <f>IF($A265="","",COUNTIFS('Таблиця 1'!$B:$B,$A265,'Таблиця 1'!$E:$E,"обл. РЕБ",'Таблиця 1'!$L:$L,"Уражено"))</f>
        <v/>
      </c>
      <c r="P265">
        <f>IF($A265="","",COUNTIFS('Таблиця 1'!$B:$B,$A265,'Таблиця 1'!$E:$E,"пос РЕБ",'Таблиця 1'!$L:$L,"Уражено"))</f>
        <v/>
      </c>
      <c r="Q265">
        <f>IF($A265="","",COUNTIFS('Таблиця 1'!$B:$B,$A265,'Таблиця 1'!$E:$E,"група РЕР",'Таблиця 1'!$L:$L,"Уражено"))</f>
        <v/>
      </c>
      <c r="R265">
        <f>IF($A265="","",COUNTIFS('Таблиця 1'!$B:$B,$A265,'Таблиця 1'!$E:$E,"РЛС КББ",'Таблиця 1'!$L:$L,"Уражено"))</f>
        <v/>
      </c>
      <c r="S265">
        <f>IF($A265="","",COUNTIFS('Таблиця 1'!$B:$B,$A265,'Таблиця 1'!$E:$E,"Ретранслятор",'Таблиця 1'!$L:$L,"Уражено"))</f>
        <v/>
      </c>
      <c r="T265">
        <f>IF($A265="","",COUNTIFS('Таблиця 1'!$B:$B,$A265,'Таблиця 1'!$E:$E,"Вз.зв'язку",'Таблиця 1'!$L:$L,"Уражено"))</f>
        <v/>
      </c>
      <c r="U265">
        <f>IF($A265="","",COUNTIFS('Таблиця 1'!$B:$B,$A265,'Таблиця 1'!$E:$E,"ПММ",'Таблиця 1'!$L:$L,"Уражено"))</f>
        <v/>
      </c>
      <c r="V265">
        <f>IF($A265="","",COUNTIFS('Таблиця 1'!$B:$B,$A265,'Таблиця 1'!$E:$E,"ІФС",'Таблиця 1'!$L:$L,"Уражено"))</f>
        <v/>
      </c>
      <c r="W265">
        <f>IF($A265="","",COUNTIFS('Таблиця 1'!$B:$B,$A265,'Таблиця 1'!$E:$E,"Інфраструктура",'Таблиця 1'!$L:$L,"Уражено"))</f>
        <v/>
      </c>
      <c r="X265">
        <f>IF($A265="","",SUMIFS('Таблиця 1'!$K:$K,'Таблиця 1'!$B:$B,$A265))</f>
        <v/>
      </c>
    </row>
    <row r="266">
      <c r="A266" s="81">
        <f>IF(A265="","",IF(A265+1&gt;MAX('Таблиця 1'!$B:$B),"",A265+1))</f>
        <v/>
      </c>
      <c r="B266">
        <f>IF($A266="","",COUNTIFS('Таблиця 1'!$B:$B,$A266,'Таблиця 1'!$E:$E,"ЖС ВЗ",'Таблиця 1'!$L:$L,"Уражено"))</f>
        <v/>
      </c>
      <c r="C266">
        <f>IF($A266="","",COUNTIFS('Таблиця 1'!$B:$B,$A266,'Таблиця 1'!$E:$E,"Арт. Системи",'Таблиця 1'!$L:$L,"Уражено"))</f>
        <v/>
      </c>
      <c r="D266">
        <f>IF($A266="","",COUNTIFS('Таблиця 1'!$B:$B,$A266,'Таблиця 1'!$E:$E,"ОВТ",'Таблиця 1'!$L:$L,"Уражено"))</f>
        <v/>
      </c>
      <c r="E266">
        <f>IF($A266="","",COUNTIFS('Таблиця 1'!$B:$B,$A266,'Таблиця 1'!$E:$E,"ППО",'Таблиця 1'!$L:$L,"Уражено"))</f>
        <v/>
      </c>
      <c r="F266">
        <f>IF($A266="","",COUNTIFS('Таблиця 1'!$B:$B,$A266,'Таблиця 1'!$E:$E,"Рембаза",'Таблиця 1'!$L:$L,"Уражено"))</f>
        <v/>
      </c>
      <c r="G266">
        <f>IF($A266="","",COUNTIFS('Таблиця 1'!$B:$B,$A266,'Таблиця 1'!$E:$E,"Склад БК",'Таблиця 1'!$L:$L,"Уражено"))</f>
        <v/>
      </c>
      <c r="H266">
        <f>IF($A266="","",COUNTIFS('Таблиця 1'!$B:$B,$A266,'Таблиця 1'!$E:$E,"Склад ВТМ",'Таблиця 1'!$L:$L,"Уражено"))</f>
        <v/>
      </c>
      <c r="I266">
        <f>IF($A266="","",COUNTIFS('Таблиця 1'!$B:$B,$A266,'Таблиця 1'!$E:$E,"ПУ БпЛА",'Таблиця 1'!$L:$L,"Уражено"))</f>
        <v/>
      </c>
      <c r="J266">
        <f>IF($A266="","",COUNTIFS('Таблиця 1'!$B:$B,$A266,'Таблиця 1'!$E:$E,"СП",'Таблиця 1'!$L:$L,"Уражено"))</f>
        <v/>
      </c>
      <c r="K266">
        <f>IF($A266="","",COUNTIFS('Таблиця 1'!$B:$B,$A266,'Таблиця 1'!$E:$E,"КСП роти",'Таблиця 1'!$L:$L,"Уражено"))</f>
        <v/>
      </c>
      <c r="L266">
        <f>IF($A266="","",COUNTIFS('Таблиця 1'!$B:$B,$A266,'Таблиця 1'!$E:$E,"ПУ бат",'Таблиця 1'!$L:$L,"Уражено"))</f>
        <v/>
      </c>
      <c r="M266">
        <f>IF($A266="","",COUNTIFS('Таблиця 1'!$B:$B,$A266,'Таблиця 1'!$E:$E,"ПУ бриг",'Таблиця 1'!$L:$L,"Уражено"))</f>
        <v/>
      </c>
      <c r="N266">
        <f>IF($A266="","",COUNTIFS('Таблиця 1'!$B:$B,$A266,'Таблиця 1'!$E:$E,"ПУ див",'Таблиця 1'!$L:$L,"Уражено"))</f>
        <v/>
      </c>
      <c r="O266">
        <f>IF($A266="","",COUNTIFS('Таблиця 1'!$B:$B,$A266,'Таблиця 1'!$E:$E,"обл. РЕБ",'Таблиця 1'!$L:$L,"Уражено"))</f>
        <v/>
      </c>
      <c r="P266">
        <f>IF($A266="","",COUNTIFS('Таблиця 1'!$B:$B,$A266,'Таблиця 1'!$E:$E,"пос РЕБ",'Таблиця 1'!$L:$L,"Уражено"))</f>
        <v/>
      </c>
      <c r="Q266">
        <f>IF($A266="","",COUNTIFS('Таблиця 1'!$B:$B,$A266,'Таблиця 1'!$E:$E,"група РЕР",'Таблиця 1'!$L:$L,"Уражено"))</f>
        <v/>
      </c>
      <c r="R266">
        <f>IF($A266="","",COUNTIFS('Таблиця 1'!$B:$B,$A266,'Таблиця 1'!$E:$E,"РЛС КББ",'Таблиця 1'!$L:$L,"Уражено"))</f>
        <v/>
      </c>
      <c r="S266">
        <f>IF($A266="","",COUNTIFS('Таблиця 1'!$B:$B,$A266,'Таблиця 1'!$E:$E,"Ретранслятор",'Таблиця 1'!$L:$L,"Уражено"))</f>
        <v/>
      </c>
      <c r="T266">
        <f>IF($A266="","",COUNTIFS('Таблиця 1'!$B:$B,$A266,'Таблиця 1'!$E:$E,"Вз.зв'язку",'Таблиця 1'!$L:$L,"Уражено"))</f>
        <v/>
      </c>
      <c r="U266">
        <f>IF($A266="","",COUNTIFS('Таблиця 1'!$B:$B,$A266,'Таблиця 1'!$E:$E,"ПММ",'Таблиця 1'!$L:$L,"Уражено"))</f>
        <v/>
      </c>
      <c r="V266">
        <f>IF($A266="","",COUNTIFS('Таблиця 1'!$B:$B,$A266,'Таблиця 1'!$E:$E,"ІФС",'Таблиця 1'!$L:$L,"Уражено"))</f>
        <v/>
      </c>
      <c r="W266">
        <f>IF($A266="","",COUNTIFS('Таблиця 1'!$B:$B,$A266,'Таблиця 1'!$E:$E,"Інфраструктура",'Таблиця 1'!$L:$L,"Уражено"))</f>
        <v/>
      </c>
      <c r="X266">
        <f>IF($A266="","",SUMIFS('Таблиця 1'!$K:$K,'Таблиця 1'!$B:$B,$A266))</f>
        <v/>
      </c>
    </row>
    <row r="267">
      <c r="A267" s="81">
        <f>IF(A266="","",IF(A266+1&gt;MAX('Таблиця 1'!$B:$B),"",A266+1))</f>
        <v/>
      </c>
      <c r="B267">
        <f>IF($A267="","",COUNTIFS('Таблиця 1'!$B:$B,$A267,'Таблиця 1'!$E:$E,"ЖС ВЗ",'Таблиця 1'!$L:$L,"Уражено"))</f>
        <v/>
      </c>
      <c r="C267">
        <f>IF($A267="","",COUNTIFS('Таблиця 1'!$B:$B,$A267,'Таблиця 1'!$E:$E,"Арт. Системи",'Таблиця 1'!$L:$L,"Уражено"))</f>
        <v/>
      </c>
      <c r="D267">
        <f>IF($A267="","",COUNTIFS('Таблиця 1'!$B:$B,$A267,'Таблиця 1'!$E:$E,"ОВТ",'Таблиця 1'!$L:$L,"Уражено"))</f>
        <v/>
      </c>
      <c r="E267">
        <f>IF($A267="","",COUNTIFS('Таблиця 1'!$B:$B,$A267,'Таблиця 1'!$E:$E,"ППО",'Таблиця 1'!$L:$L,"Уражено"))</f>
        <v/>
      </c>
      <c r="F267">
        <f>IF($A267="","",COUNTIFS('Таблиця 1'!$B:$B,$A267,'Таблиця 1'!$E:$E,"Рембаза",'Таблиця 1'!$L:$L,"Уражено"))</f>
        <v/>
      </c>
      <c r="G267">
        <f>IF($A267="","",COUNTIFS('Таблиця 1'!$B:$B,$A267,'Таблиця 1'!$E:$E,"Склад БК",'Таблиця 1'!$L:$L,"Уражено"))</f>
        <v/>
      </c>
      <c r="H267">
        <f>IF($A267="","",COUNTIFS('Таблиця 1'!$B:$B,$A267,'Таблиця 1'!$E:$E,"Склад ВТМ",'Таблиця 1'!$L:$L,"Уражено"))</f>
        <v/>
      </c>
      <c r="I267">
        <f>IF($A267="","",COUNTIFS('Таблиця 1'!$B:$B,$A267,'Таблиця 1'!$E:$E,"ПУ БпЛА",'Таблиця 1'!$L:$L,"Уражено"))</f>
        <v/>
      </c>
      <c r="J267">
        <f>IF($A267="","",COUNTIFS('Таблиця 1'!$B:$B,$A267,'Таблиця 1'!$E:$E,"СП",'Таблиця 1'!$L:$L,"Уражено"))</f>
        <v/>
      </c>
      <c r="K267">
        <f>IF($A267="","",COUNTIFS('Таблиця 1'!$B:$B,$A267,'Таблиця 1'!$E:$E,"КСП роти",'Таблиця 1'!$L:$L,"Уражено"))</f>
        <v/>
      </c>
      <c r="L267">
        <f>IF($A267="","",COUNTIFS('Таблиця 1'!$B:$B,$A267,'Таблиця 1'!$E:$E,"ПУ бат",'Таблиця 1'!$L:$L,"Уражено"))</f>
        <v/>
      </c>
      <c r="M267">
        <f>IF($A267="","",COUNTIFS('Таблиця 1'!$B:$B,$A267,'Таблиця 1'!$E:$E,"ПУ бриг",'Таблиця 1'!$L:$L,"Уражено"))</f>
        <v/>
      </c>
      <c r="N267">
        <f>IF($A267="","",COUNTIFS('Таблиця 1'!$B:$B,$A267,'Таблиця 1'!$E:$E,"ПУ див",'Таблиця 1'!$L:$L,"Уражено"))</f>
        <v/>
      </c>
      <c r="O267">
        <f>IF($A267="","",COUNTIFS('Таблиця 1'!$B:$B,$A267,'Таблиця 1'!$E:$E,"обл. РЕБ",'Таблиця 1'!$L:$L,"Уражено"))</f>
        <v/>
      </c>
      <c r="P267">
        <f>IF($A267="","",COUNTIFS('Таблиця 1'!$B:$B,$A267,'Таблиця 1'!$E:$E,"пос РЕБ",'Таблиця 1'!$L:$L,"Уражено"))</f>
        <v/>
      </c>
      <c r="Q267">
        <f>IF($A267="","",COUNTIFS('Таблиця 1'!$B:$B,$A267,'Таблиця 1'!$E:$E,"група РЕР",'Таблиця 1'!$L:$L,"Уражено"))</f>
        <v/>
      </c>
      <c r="R267">
        <f>IF($A267="","",COUNTIFS('Таблиця 1'!$B:$B,$A267,'Таблиця 1'!$E:$E,"РЛС КББ",'Таблиця 1'!$L:$L,"Уражено"))</f>
        <v/>
      </c>
      <c r="S267">
        <f>IF($A267="","",COUNTIFS('Таблиця 1'!$B:$B,$A267,'Таблиця 1'!$E:$E,"Ретранслятор",'Таблиця 1'!$L:$L,"Уражено"))</f>
        <v/>
      </c>
      <c r="T267">
        <f>IF($A267="","",COUNTIFS('Таблиця 1'!$B:$B,$A267,'Таблиця 1'!$E:$E,"Вз.зв'язку",'Таблиця 1'!$L:$L,"Уражено"))</f>
        <v/>
      </c>
      <c r="U267">
        <f>IF($A267="","",COUNTIFS('Таблиця 1'!$B:$B,$A267,'Таблиця 1'!$E:$E,"ПММ",'Таблиця 1'!$L:$L,"Уражено"))</f>
        <v/>
      </c>
      <c r="V267">
        <f>IF($A267="","",COUNTIFS('Таблиця 1'!$B:$B,$A267,'Таблиця 1'!$E:$E,"ІФС",'Таблиця 1'!$L:$L,"Уражено"))</f>
        <v/>
      </c>
      <c r="W267">
        <f>IF($A267="","",COUNTIFS('Таблиця 1'!$B:$B,$A267,'Таблиця 1'!$E:$E,"Інфраструктура",'Таблиця 1'!$L:$L,"Уражено"))</f>
        <v/>
      </c>
      <c r="X267">
        <f>IF($A267="","",SUMIFS('Таблиця 1'!$K:$K,'Таблиця 1'!$B:$B,$A267))</f>
        <v/>
      </c>
    </row>
    <row r="268">
      <c r="A268" s="81">
        <f>IF(A267="","",IF(A267+1&gt;MAX('Таблиця 1'!$B:$B),"",A267+1))</f>
        <v/>
      </c>
      <c r="B268">
        <f>IF($A268="","",COUNTIFS('Таблиця 1'!$B:$B,$A268,'Таблиця 1'!$E:$E,"ЖС ВЗ",'Таблиця 1'!$L:$L,"Уражено"))</f>
        <v/>
      </c>
      <c r="C268">
        <f>IF($A268="","",COUNTIFS('Таблиця 1'!$B:$B,$A268,'Таблиця 1'!$E:$E,"Арт. Системи",'Таблиця 1'!$L:$L,"Уражено"))</f>
        <v/>
      </c>
      <c r="D268">
        <f>IF($A268="","",COUNTIFS('Таблиця 1'!$B:$B,$A268,'Таблиця 1'!$E:$E,"ОВТ",'Таблиця 1'!$L:$L,"Уражено"))</f>
        <v/>
      </c>
      <c r="E268">
        <f>IF($A268="","",COUNTIFS('Таблиця 1'!$B:$B,$A268,'Таблиця 1'!$E:$E,"ППО",'Таблиця 1'!$L:$L,"Уражено"))</f>
        <v/>
      </c>
      <c r="F268">
        <f>IF($A268="","",COUNTIFS('Таблиця 1'!$B:$B,$A268,'Таблиця 1'!$E:$E,"Рембаза",'Таблиця 1'!$L:$L,"Уражено"))</f>
        <v/>
      </c>
      <c r="G268">
        <f>IF($A268="","",COUNTIFS('Таблиця 1'!$B:$B,$A268,'Таблиця 1'!$E:$E,"Склад БК",'Таблиця 1'!$L:$L,"Уражено"))</f>
        <v/>
      </c>
      <c r="H268">
        <f>IF($A268="","",COUNTIFS('Таблиця 1'!$B:$B,$A268,'Таблиця 1'!$E:$E,"Склад ВТМ",'Таблиця 1'!$L:$L,"Уражено"))</f>
        <v/>
      </c>
      <c r="I268">
        <f>IF($A268="","",COUNTIFS('Таблиця 1'!$B:$B,$A268,'Таблиця 1'!$E:$E,"ПУ БпЛА",'Таблиця 1'!$L:$L,"Уражено"))</f>
        <v/>
      </c>
      <c r="J268">
        <f>IF($A268="","",COUNTIFS('Таблиця 1'!$B:$B,$A268,'Таблиця 1'!$E:$E,"СП",'Таблиця 1'!$L:$L,"Уражено"))</f>
        <v/>
      </c>
      <c r="K268">
        <f>IF($A268="","",COUNTIFS('Таблиця 1'!$B:$B,$A268,'Таблиця 1'!$E:$E,"КСП роти",'Таблиця 1'!$L:$L,"Уражено"))</f>
        <v/>
      </c>
      <c r="L268">
        <f>IF($A268="","",COUNTIFS('Таблиця 1'!$B:$B,$A268,'Таблиця 1'!$E:$E,"ПУ бат",'Таблиця 1'!$L:$L,"Уражено"))</f>
        <v/>
      </c>
      <c r="M268">
        <f>IF($A268="","",COUNTIFS('Таблиця 1'!$B:$B,$A268,'Таблиця 1'!$E:$E,"ПУ бриг",'Таблиця 1'!$L:$L,"Уражено"))</f>
        <v/>
      </c>
      <c r="N268">
        <f>IF($A268="","",COUNTIFS('Таблиця 1'!$B:$B,$A268,'Таблиця 1'!$E:$E,"ПУ див",'Таблиця 1'!$L:$L,"Уражено"))</f>
        <v/>
      </c>
      <c r="O268">
        <f>IF($A268="","",COUNTIFS('Таблиця 1'!$B:$B,$A268,'Таблиця 1'!$E:$E,"обл. РЕБ",'Таблиця 1'!$L:$L,"Уражено"))</f>
        <v/>
      </c>
      <c r="P268">
        <f>IF($A268="","",COUNTIFS('Таблиця 1'!$B:$B,$A268,'Таблиця 1'!$E:$E,"пос РЕБ",'Таблиця 1'!$L:$L,"Уражено"))</f>
        <v/>
      </c>
      <c r="Q268">
        <f>IF($A268="","",COUNTIFS('Таблиця 1'!$B:$B,$A268,'Таблиця 1'!$E:$E,"група РЕР",'Таблиця 1'!$L:$L,"Уражено"))</f>
        <v/>
      </c>
      <c r="R268">
        <f>IF($A268="","",COUNTIFS('Таблиця 1'!$B:$B,$A268,'Таблиця 1'!$E:$E,"РЛС КББ",'Таблиця 1'!$L:$L,"Уражено"))</f>
        <v/>
      </c>
      <c r="S268">
        <f>IF($A268="","",COUNTIFS('Таблиця 1'!$B:$B,$A268,'Таблиця 1'!$E:$E,"Ретранслятор",'Таблиця 1'!$L:$L,"Уражено"))</f>
        <v/>
      </c>
      <c r="T268">
        <f>IF($A268="","",COUNTIFS('Таблиця 1'!$B:$B,$A268,'Таблиця 1'!$E:$E,"Вз.зв'язку",'Таблиця 1'!$L:$L,"Уражено"))</f>
        <v/>
      </c>
      <c r="U268">
        <f>IF($A268="","",COUNTIFS('Таблиця 1'!$B:$B,$A268,'Таблиця 1'!$E:$E,"ПММ",'Таблиця 1'!$L:$L,"Уражено"))</f>
        <v/>
      </c>
      <c r="V268">
        <f>IF($A268="","",COUNTIFS('Таблиця 1'!$B:$B,$A268,'Таблиця 1'!$E:$E,"ІФС",'Таблиця 1'!$L:$L,"Уражено"))</f>
        <v/>
      </c>
      <c r="W268">
        <f>IF($A268="","",COUNTIFS('Таблиця 1'!$B:$B,$A268,'Таблиця 1'!$E:$E,"Інфраструктура",'Таблиця 1'!$L:$L,"Уражено"))</f>
        <v/>
      </c>
      <c r="X268">
        <f>IF($A268="","",SUMIFS('Таблиця 1'!$K:$K,'Таблиця 1'!$B:$B,$A268))</f>
        <v/>
      </c>
    </row>
    <row r="269">
      <c r="A269" s="81">
        <f>IF(A268="","",IF(A268+1&gt;MAX('Таблиця 1'!$B:$B),"",A268+1))</f>
        <v/>
      </c>
      <c r="B269">
        <f>IF($A269="","",COUNTIFS('Таблиця 1'!$B:$B,$A269,'Таблиця 1'!$E:$E,"ЖС ВЗ",'Таблиця 1'!$L:$L,"Уражено"))</f>
        <v/>
      </c>
      <c r="C269">
        <f>IF($A269="","",COUNTIFS('Таблиця 1'!$B:$B,$A269,'Таблиця 1'!$E:$E,"Арт. Системи",'Таблиця 1'!$L:$L,"Уражено"))</f>
        <v/>
      </c>
      <c r="D269">
        <f>IF($A269="","",COUNTIFS('Таблиця 1'!$B:$B,$A269,'Таблиця 1'!$E:$E,"ОВТ",'Таблиця 1'!$L:$L,"Уражено"))</f>
        <v/>
      </c>
      <c r="E269">
        <f>IF($A269="","",COUNTIFS('Таблиця 1'!$B:$B,$A269,'Таблиця 1'!$E:$E,"ППО",'Таблиця 1'!$L:$L,"Уражено"))</f>
        <v/>
      </c>
      <c r="F269">
        <f>IF($A269="","",COUNTIFS('Таблиця 1'!$B:$B,$A269,'Таблиця 1'!$E:$E,"Рембаза",'Таблиця 1'!$L:$L,"Уражено"))</f>
        <v/>
      </c>
      <c r="G269">
        <f>IF($A269="","",COUNTIFS('Таблиця 1'!$B:$B,$A269,'Таблиця 1'!$E:$E,"Склад БК",'Таблиця 1'!$L:$L,"Уражено"))</f>
        <v/>
      </c>
      <c r="H269">
        <f>IF($A269="","",COUNTIFS('Таблиця 1'!$B:$B,$A269,'Таблиця 1'!$E:$E,"Склад ВТМ",'Таблиця 1'!$L:$L,"Уражено"))</f>
        <v/>
      </c>
      <c r="I269">
        <f>IF($A269="","",COUNTIFS('Таблиця 1'!$B:$B,$A269,'Таблиця 1'!$E:$E,"ПУ БпЛА",'Таблиця 1'!$L:$L,"Уражено"))</f>
        <v/>
      </c>
      <c r="J269">
        <f>IF($A269="","",COUNTIFS('Таблиця 1'!$B:$B,$A269,'Таблиця 1'!$E:$E,"СП",'Таблиця 1'!$L:$L,"Уражено"))</f>
        <v/>
      </c>
      <c r="K269">
        <f>IF($A269="","",COUNTIFS('Таблиця 1'!$B:$B,$A269,'Таблиця 1'!$E:$E,"КСП роти",'Таблиця 1'!$L:$L,"Уражено"))</f>
        <v/>
      </c>
      <c r="L269">
        <f>IF($A269="","",COUNTIFS('Таблиця 1'!$B:$B,$A269,'Таблиця 1'!$E:$E,"ПУ бат",'Таблиця 1'!$L:$L,"Уражено"))</f>
        <v/>
      </c>
      <c r="M269">
        <f>IF($A269="","",COUNTIFS('Таблиця 1'!$B:$B,$A269,'Таблиця 1'!$E:$E,"ПУ бриг",'Таблиця 1'!$L:$L,"Уражено"))</f>
        <v/>
      </c>
      <c r="N269">
        <f>IF($A269="","",COUNTIFS('Таблиця 1'!$B:$B,$A269,'Таблиця 1'!$E:$E,"ПУ див",'Таблиця 1'!$L:$L,"Уражено"))</f>
        <v/>
      </c>
      <c r="O269">
        <f>IF($A269="","",COUNTIFS('Таблиця 1'!$B:$B,$A269,'Таблиця 1'!$E:$E,"обл. РЕБ",'Таблиця 1'!$L:$L,"Уражено"))</f>
        <v/>
      </c>
      <c r="P269">
        <f>IF($A269="","",COUNTIFS('Таблиця 1'!$B:$B,$A269,'Таблиця 1'!$E:$E,"пос РЕБ",'Таблиця 1'!$L:$L,"Уражено"))</f>
        <v/>
      </c>
      <c r="Q269">
        <f>IF($A269="","",COUNTIFS('Таблиця 1'!$B:$B,$A269,'Таблиця 1'!$E:$E,"група РЕР",'Таблиця 1'!$L:$L,"Уражено"))</f>
        <v/>
      </c>
      <c r="R269">
        <f>IF($A269="","",COUNTIFS('Таблиця 1'!$B:$B,$A269,'Таблиця 1'!$E:$E,"РЛС КББ",'Таблиця 1'!$L:$L,"Уражено"))</f>
        <v/>
      </c>
      <c r="S269">
        <f>IF($A269="","",COUNTIFS('Таблиця 1'!$B:$B,$A269,'Таблиця 1'!$E:$E,"Ретранслятор",'Таблиця 1'!$L:$L,"Уражено"))</f>
        <v/>
      </c>
      <c r="T269">
        <f>IF($A269="","",COUNTIFS('Таблиця 1'!$B:$B,$A269,'Таблиця 1'!$E:$E,"Вз.зв'язку",'Таблиця 1'!$L:$L,"Уражено"))</f>
        <v/>
      </c>
      <c r="U269">
        <f>IF($A269="","",COUNTIFS('Таблиця 1'!$B:$B,$A269,'Таблиця 1'!$E:$E,"ПММ",'Таблиця 1'!$L:$L,"Уражено"))</f>
        <v/>
      </c>
      <c r="V269">
        <f>IF($A269="","",COUNTIFS('Таблиця 1'!$B:$B,$A269,'Таблиця 1'!$E:$E,"ІФС",'Таблиця 1'!$L:$L,"Уражено"))</f>
        <v/>
      </c>
      <c r="W269">
        <f>IF($A269="","",COUNTIFS('Таблиця 1'!$B:$B,$A269,'Таблиця 1'!$E:$E,"Інфраструктура",'Таблиця 1'!$L:$L,"Уражено"))</f>
        <v/>
      </c>
      <c r="X269">
        <f>IF($A269="","",SUMIFS('Таблиця 1'!$K:$K,'Таблиця 1'!$B:$B,$A269))</f>
        <v/>
      </c>
    </row>
    <row r="270">
      <c r="A270" s="81">
        <f>IF(A269="","",IF(A269+1&gt;MAX('Таблиця 1'!$B:$B),"",A269+1))</f>
        <v/>
      </c>
      <c r="B270">
        <f>IF($A270="","",COUNTIFS('Таблиця 1'!$B:$B,$A270,'Таблиця 1'!$E:$E,"ЖС ВЗ",'Таблиця 1'!$L:$L,"Уражено"))</f>
        <v/>
      </c>
      <c r="C270">
        <f>IF($A270="","",COUNTIFS('Таблиця 1'!$B:$B,$A270,'Таблиця 1'!$E:$E,"Арт. Системи",'Таблиця 1'!$L:$L,"Уражено"))</f>
        <v/>
      </c>
      <c r="D270">
        <f>IF($A270="","",COUNTIFS('Таблиця 1'!$B:$B,$A270,'Таблиця 1'!$E:$E,"ОВТ",'Таблиця 1'!$L:$L,"Уражено"))</f>
        <v/>
      </c>
      <c r="E270">
        <f>IF($A270="","",COUNTIFS('Таблиця 1'!$B:$B,$A270,'Таблиця 1'!$E:$E,"ППО",'Таблиця 1'!$L:$L,"Уражено"))</f>
        <v/>
      </c>
      <c r="F270">
        <f>IF($A270="","",COUNTIFS('Таблиця 1'!$B:$B,$A270,'Таблиця 1'!$E:$E,"Рембаза",'Таблиця 1'!$L:$L,"Уражено"))</f>
        <v/>
      </c>
      <c r="G270">
        <f>IF($A270="","",COUNTIFS('Таблиця 1'!$B:$B,$A270,'Таблиця 1'!$E:$E,"Склад БК",'Таблиця 1'!$L:$L,"Уражено"))</f>
        <v/>
      </c>
      <c r="H270">
        <f>IF($A270="","",COUNTIFS('Таблиця 1'!$B:$B,$A270,'Таблиця 1'!$E:$E,"Склад ВТМ",'Таблиця 1'!$L:$L,"Уражено"))</f>
        <v/>
      </c>
      <c r="I270">
        <f>IF($A270="","",COUNTIFS('Таблиця 1'!$B:$B,$A270,'Таблиця 1'!$E:$E,"ПУ БпЛА",'Таблиця 1'!$L:$L,"Уражено"))</f>
        <v/>
      </c>
      <c r="J270">
        <f>IF($A270="","",COUNTIFS('Таблиця 1'!$B:$B,$A270,'Таблиця 1'!$E:$E,"СП",'Таблиця 1'!$L:$L,"Уражено"))</f>
        <v/>
      </c>
      <c r="K270">
        <f>IF($A270="","",COUNTIFS('Таблиця 1'!$B:$B,$A270,'Таблиця 1'!$E:$E,"КСП роти",'Таблиця 1'!$L:$L,"Уражено"))</f>
        <v/>
      </c>
      <c r="L270">
        <f>IF($A270="","",COUNTIFS('Таблиця 1'!$B:$B,$A270,'Таблиця 1'!$E:$E,"ПУ бат",'Таблиця 1'!$L:$L,"Уражено"))</f>
        <v/>
      </c>
      <c r="M270">
        <f>IF($A270="","",COUNTIFS('Таблиця 1'!$B:$B,$A270,'Таблиця 1'!$E:$E,"ПУ бриг",'Таблиця 1'!$L:$L,"Уражено"))</f>
        <v/>
      </c>
      <c r="N270">
        <f>IF($A270="","",COUNTIFS('Таблиця 1'!$B:$B,$A270,'Таблиця 1'!$E:$E,"ПУ див",'Таблиця 1'!$L:$L,"Уражено"))</f>
        <v/>
      </c>
      <c r="O270">
        <f>IF($A270="","",COUNTIFS('Таблиця 1'!$B:$B,$A270,'Таблиця 1'!$E:$E,"обл. РЕБ",'Таблиця 1'!$L:$L,"Уражено"))</f>
        <v/>
      </c>
      <c r="P270">
        <f>IF($A270="","",COUNTIFS('Таблиця 1'!$B:$B,$A270,'Таблиця 1'!$E:$E,"пос РЕБ",'Таблиця 1'!$L:$L,"Уражено"))</f>
        <v/>
      </c>
      <c r="Q270">
        <f>IF($A270="","",COUNTIFS('Таблиця 1'!$B:$B,$A270,'Таблиця 1'!$E:$E,"група РЕР",'Таблиця 1'!$L:$L,"Уражено"))</f>
        <v/>
      </c>
      <c r="R270">
        <f>IF($A270="","",COUNTIFS('Таблиця 1'!$B:$B,$A270,'Таблиця 1'!$E:$E,"РЛС КББ",'Таблиця 1'!$L:$L,"Уражено"))</f>
        <v/>
      </c>
      <c r="S270">
        <f>IF($A270="","",COUNTIFS('Таблиця 1'!$B:$B,$A270,'Таблиця 1'!$E:$E,"Ретранслятор",'Таблиця 1'!$L:$L,"Уражено"))</f>
        <v/>
      </c>
      <c r="T270">
        <f>IF($A270="","",COUNTIFS('Таблиця 1'!$B:$B,$A270,'Таблиця 1'!$E:$E,"Вз.зв'язку",'Таблиця 1'!$L:$L,"Уражено"))</f>
        <v/>
      </c>
      <c r="U270">
        <f>IF($A270="","",COUNTIFS('Таблиця 1'!$B:$B,$A270,'Таблиця 1'!$E:$E,"ПММ",'Таблиця 1'!$L:$L,"Уражено"))</f>
        <v/>
      </c>
      <c r="V270">
        <f>IF($A270="","",COUNTIFS('Таблиця 1'!$B:$B,$A270,'Таблиця 1'!$E:$E,"ІФС",'Таблиця 1'!$L:$L,"Уражено"))</f>
        <v/>
      </c>
      <c r="W270">
        <f>IF($A270="","",COUNTIFS('Таблиця 1'!$B:$B,$A270,'Таблиця 1'!$E:$E,"Інфраструктура",'Таблиця 1'!$L:$L,"Уражено"))</f>
        <v/>
      </c>
      <c r="X270">
        <f>IF($A270="","",SUMIFS('Таблиця 1'!$K:$K,'Таблиця 1'!$B:$B,$A270))</f>
        <v/>
      </c>
    </row>
    <row r="271">
      <c r="A271" s="81">
        <f>IF(A270="","",IF(A270+1&gt;MAX('Таблиця 1'!$B:$B),"",A270+1))</f>
        <v/>
      </c>
      <c r="B271">
        <f>IF($A271="","",COUNTIFS('Таблиця 1'!$B:$B,$A271,'Таблиця 1'!$E:$E,"ЖС ВЗ",'Таблиця 1'!$L:$L,"Уражено"))</f>
        <v/>
      </c>
      <c r="C271">
        <f>IF($A271="","",COUNTIFS('Таблиця 1'!$B:$B,$A271,'Таблиця 1'!$E:$E,"Арт. Системи",'Таблиця 1'!$L:$L,"Уражено"))</f>
        <v/>
      </c>
      <c r="D271">
        <f>IF($A271="","",COUNTIFS('Таблиця 1'!$B:$B,$A271,'Таблиця 1'!$E:$E,"ОВТ",'Таблиця 1'!$L:$L,"Уражено"))</f>
        <v/>
      </c>
      <c r="E271">
        <f>IF($A271="","",COUNTIFS('Таблиця 1'!$B:$B,$A271,'Таблиця 1'!$E:$E,"ППО",'Таблиця 1'!$L:$L,"Уражено"))</f>
        <v/>
      </c>
      <c r="F271">
        <f>IF($A271="","",COUNTIFS('Таблиця 1'!$B:$B,$A271,'Таблиця 1'!$E:$E,"Рембаза",'Таблиця 1'!$L:$L,"Уражено"))</f>
        <v/>
      </c>
      <c r="G271">
        <f>IF($A271="","",COUNTIFS('Таблиця 1'!$B:$B,$A271,'Таблиця 1'!$E:$E,"Склад БК",'Таблиця 1'!$L:$L,"Уражено"))</f>
        <v/>
      </c>
      <c r="H271">
        <f>IF($A271="","",COUNTIFS('Таблиця 1'!$B:$B,$A271,'Таблиця 1'!$E:$E,"Склад ВТМ",'Таблиця 1'!$L:$L,"Уражено"))</f>
        <v/>
      </c>
      <c r="I271">
        <f>IF($A271="","",COUNTIFS('Таблиця 1'!$B:$B,$A271,'Таблиця 1'!$E:$E,"ПУ БпЛА",'Таблиця 1'!$L:$L,"Уражено"))</f>
        <v/>
      </c>
      <c r="J271">
        <f>IF($A271="","",COUNTIFS('Таблиця 1'!$B:$B,$A271,'Таблиця 1'!$E:$E,"СП",'Таблиця 1'!$L:$L,"Уражено"))</f>
        <v/>
      </c>
      <c r="K271">
        <f>IF($A271="","",COUNTIFS('Таблиця 1'!$B:$B,$A271,'Таблиця 1'!$E:$E,"КСП роти",'Таблиця 1'!$L:$L,"Уражено"))</f>
        <v/>
      </c>
      <c r="L271">
        <f>IF($A271="","",COUNTIFS('Таблиця 1'!$B:$B,$A271,'Таблиця 1'!$E:$E,"ПУ бат",'Таблиця 1'!$L:$L,"Уражено"))</f>
        <v/>
      </c>
      <c r="M271">
        <f>IF($A271="","",COUNTIFS('Таблиця 1'!$B:$B,$A271,'Таблиця 1'!$E:$E,"ПУ бриг",'Таблиця 1'!$L:$L,"Уражено"))</f>
        <v/>
      </c>
      <c r="N271">
        <f>IF($A271="","",COUNTIFS('Таблиця 1'!$B:$B,$A271,'Таблиця 1'!$E:$E,"ПУ див",'Таблиця 1'!$L:$L,"Уражено"))</f>
        <v/>
      </c>
      <c r="O271">
        <f>IF($A271="","",COUNTIFS('Таблиця 1'!$B:$B,$A271,'Таблиця 1'!$E:$E,"обл. РЕБ",'Таблиця 1'!$L:$L,"Уражено"))</f>
        <v/>
      </c>
      <c r="P271">
        <f>IF($A271="","",COUNTIFS('Таблиця 1'!$B:$B,$A271,'Таблиця 1'!$E:$E,"пос РЕБ",'Таблиця 1'!$L:$L,"Уражено"))</f>
        <v/>
      </c>
      <c r="Q271">
        <f>IF($A271="","",COUNTIFS('Таблиця 1'!$B:$B,$A271,'Таблиця 1'!$E:$E,"група РЕР",'Таблиця 1'!$L:$L,"Уражено"))</f>
        <v/>
      </c>
      <c r="R271">
        <f>IF($A271="","",COUNTIFS('Таблиця 1'!$B:$B,$A271,'Таблиця 1'!$E:$E,"РЛС КББ",'Таблиця 1'!$L:$L,"Уражено"))</f>
        <v/>
      </c>
      <c r="S271">
        <f>IF($A271="","",COUNTIFS('Таблиця 1'!$B:$B,$A271,'Таблиця 1'!$E:$E,"Ретранслятор",'Таблиця 1'!$L:$L,"Уражено"))</f>
        <v/>
      </c>
      <c r="T271">
        <f>IF($A271="","",COUNTIFS('Таблиця 1'!$B:$B,$A271,'Таблиця 1'!$E:$E,"Вз.зв'язку",'Таблиця 1'!$L:$L,"Уражено"))</f>
        <v/>
      </c>
      <c r="U271">
        <f>IF($A271="","",COUNTIFS('Таблиця 1'!$B:$B,$A271,'Таблиця 1'!$E:$E,"ПММ",'Таблиця 1'!$L:$L,"Уражено"))</f>
        <v/>
      </c>
      <c r="V271">
        <f>IF($A271="","",COUNTIFS('Таблиця 1'!$B:$B,$A271,'Таблиця 1'!$E:$E,"ІФС",'Таблиця 1'!$L:$L,"Уражено"))</f>
        <v/>
      </c>
      <c r="W271">
        <f>IF($A271="","",COUNTIFS('Таблиця 1'!$B:$B,$A271,'Таблиця 1'!$E:$E,"Інфраструктура",'Таблиця 1'!$L:$L,"Уражено"))</f>
        <v/>
      </c>
      <c r="X271">
        <f>IF($A271="","",SUMIFS('Таблиця 1'!$K:$K,'Таблиця 1'!$B:$B,$A271))</f>
        <v/>
      </c>
    </row>
    <row r="272">
      <c r="A272" s="81">
        <f>IF(A271="","",IF(A271+1&gt;MAX('Таблиця 1'!$B:$B),"",A271+1))</f>
        <v/>
      </c>
      <c r="B272">
        <f>IF($A272="","",COUNTIFS('Таблиця 1'!$B:$B,$A272,'Таблиця 1'!$E:$E,"ЖС ВЗ",'Таблиця 1'!$L:$L,"Уражено"))</f>
        <v/>
      </c>
      <c r="C272">
        <f>IF($A272="","",COUNTIFS('Таблиця 1'!$B:$B,$A272,'Таблиця 1'!$E:$E,"Арт. Системи",'Таблиця 1'!$L:$L,"Уражено"))</f>
        <v/>
      </c>
      <c r="D272">
        <f>IF($A272="","",COUNTIFS('Таблиця 1'!$B:$B,$A272,'Таблиця 1'!$E:$E,"ОВТ",'Таблиця 1'!$L:$L,"Уражено"))</f>
        <v/>
      </c>
      <c r="E272">
        <f>IF($A272="","",COUNTIFS('Таблиця 1'!$B:$B,$A272,'Таблиця 1'!$E:$E,"ППО",'Таблиця 1'!$L:$L,"Уражено"))</f>
        <v/>
      </c>
      <c r="F272">
        <f>IF($A272="","",COUNTIFS('Таблиця 1'!$B:$B,$A272,'Таблиця 1'!$E:$E,"Рембаза",'Таблиця 1'!$L:$L,"Уражено"))</f>
        <v/>
      </c>
      <c r="G272">
        <f>IF($A272="","",COUNTIFS('Таблиця 1'!$B:$B,$A272,'Таблиця 1'!$E:$E,"Склад БК",'Таблиця 1'!$L:$L,"Уражено"))</f>
        <v/>
      </c>
      <c r="H272">
        <f>IF($A272="","",COUNTIFS('Таблиця 1'!$B:$B,$A272,'Таблиця 1'!$E:$E,"Склад ВТМ",'Таблиця 1'!$L:$L,"Уражено"))</f>
        <v/>
      </c>
      <c r="I272">
        <f>IF($A272="","",COUNTIFS('Таблиця 1'!$B:$B,$A272,'Таблиця 1'!$E:$E,"ПУ БпЛА",'Таблиця 1'!$L:$L,"Уражено"))</f>
        <v/>
      </c>
      <c r="J272">
        <f>IF($A272="","",COUNTIFS('Таблиця 1'!$B:$B,$A272,'Таблиця 1'!$E:$E,"СП",'Таблиця 1'!$L:$L,"Уражено"))</f>
        <v/>
      </c>
      <c r="K272">
        <f>IF($A272="","",COUNTIFS('Таблиця 1'!$B:$B,$A272,'Таблиця 1'!$E:$E,"КСП роти",'Таблиця 1'!$L:$L,"Уражено"))</f>
        <v/>
      </c>
      <c r="L272">
        <f>IF($A272="","",COUNTIFS('Таблиця 1'!$B:$B,$A272,'Таблиця 1'!$E:$E,"ПУ бат",'Таблиця 1'!$L:$L,"Уражено"))</f>
        <v/>
      </c>
      <c r="M272">
        <f>IF($A272="","",COUNTIFS('Таблиця 1'!$B:$B,$A272,'Таблиця 1'!$E:$E,"ПУ бриг",'Таблиця 1'!$L:$L,"Уражено"))</f>
        <v/>
      </c>
      <c r="N272">
        <f>IF($A272="","",COUNTIFS('Таблиця 1'!$B:$B,$A272,'Таблиця 1'!$E:$E,"ПУ див",'Таблиця 1'!$L:$L,"Уражено"))</f>
        <v/>
      </c>
      <c r="O272">
        <f>IF($A272="","",COUNTIFS('Таблиця 1'!$B:$B,$A272,'Таблиця 1'!$E:$E,"обл. РЕБ",'Таблиця 1'!$L:$L,"Уражено"))</f>
        <v/>
      </c>
      <c r="P272">
        <f>IF($A272="","",COUNTIFS('Таблиця 1'!$B:$B,$A272,'Таблиця 1'!$E:$E,"пос РЕБ",'Таблиця 1'!$L:$L,"Уражено"))</f>
        <v/>
      </c>
      <c r="Q272">
        <f>IF($A272="","",COUNTIFS('Таблиця 1'!$B:$B,$A272,'Таблиця 1'!$E:$E,"група РЕР",'Таблиця 1'!$L:$L,"Уражено"))</f>
        <v/>
      </c>
      <c r="R272">
        <f>IF($A272="","",COUNTIFS('Таблиця 1'!$B:$B,$A272,'Таблиця 1'!$E:$E,"РЛС КББ",'Таблиця 1'!$L:$L,"Уражено"))</f>
        <v/>
      </c>
      <c r="S272">
        <f>IF($A272="","",COUNTIFS('Таблиця 1'!$B:$B,$A272,'Таблиця 1'!$E:$E,"Ретранслятор",'Таблиця 1'!$L:$L,"Уражено"))</f>
        <v/>
      </c>
      <c r="T272">
        <f>IF($A272="","",COUNTIFS('Таблиця 1'!$B:$B,$A272,'Таблиця 1'!$E:$E,"Вз.зв'язку",'Таблиця 1'!$L:$L,"Уражено"))</f>
        <v/>
      </c>
      <c r="U272">
        <f>IF($A272="","",COUNTIFS('Таблиця 1'!$B:$B,$A272,'Таблиця 1'!$E:$E,"ПММ",'Таблиця 1'!$L:$L,"Уражено"))</f>
        <v/>
      </c>
      <c r="V272">
        <f>IF($A272="","",COUNTIFS('Таблиця 1'!$B:$B,$A272,'Таблиця 1'!$E:$E,"ІФС",'Таблиця 1'!$L:$L,"Уражено"))</f>
        <v/>
      </c>
      <c r="W272">
        <f>IF($A272="","",COUNTIFS('Таблиця 1'!$B:$B,$A272,'Таблиця 1'!$E:$E,"Інфраструктура",'Таблиця 1'!$L:$L,"Уражено"))</f>
        <v/>
      </c>
      <c r="X272">
        <f>IF($A272="","",SUMIFS('Таблиця 1'!$K:$K,'Таблиця 1'!$B:$B,$A272))</f>
        <v/>
      </c>
    </row>
    <row r="273">
      <c r="A273" s="81">
        <f>IF(A272="","",IF(A272+1&gt;MAX('Таблиця 1'!$B:$B),"",A272+1))</f>
        <v/>
      </c>
      <c r="B273">
        <f>IF($A273="","",COUNTIFS('Таблиця 1'!$B:$B,$A273,'Таблиця 1'!$E:$E,"ЖС ВЗ",'Таблиця 1'!$L:$L,"Уражено"))</f>
        <v/>
      </c>
      <c r="C273">
        <f>IF($A273="","",COUNTIFS('Таблиця 1'!$B:$B,$A273,'Таблиця 1'!$E:$E,"Арт. Системи",'Таблиця 1'!$L:$L,"Уражено"))</f>
        <v/>
      </c>
      <c r="D273">
        <f>IF($A273="","",COUNTIFS('Таблиця 1'!$B:$B,$A273,'Таблиця 1'!$E:$E,"ОВТ",'Таблиця 1'!$L:$L,"Уражено"))</f>
        <v/>
      </c>
      <c r="E273">
        <f>IF($A273="","",COUNTIFS('Таблиця 1'!$B:$B,$A273,'Таблиця 1'!$E:$E,"ППО",'Таблиця 1'!$L:$L,"Уражено"))</f>
        <v/>
      </c>
      <c r="F273">
        <f>IF($A273="","",COUNTIFS('Таблиця 1'!$B:$B,$A273,'Таблиця 1'!$E:$E,"Рембаза",'Таблиця 1'!$L:$L,"Уражено"))</f>
        <v/>
      </c>
      <c r="G273">
        <f>IF($A273="","",COUNTIFS('Таблиця 1'!$B:$B,$A273,'Таблиця 1'!$E:$E,"Склад БК",'Таблиця 1'!$L:$L,"Уражено"))</f>
        <v/>
      </c>
      <c r="H273">
        <f>IF($A273="","",COUNTIFS('Таблиця 1'!$B:$B,$A273,'Таблиця 1'!$E:$E,"Склад ВТМ",'Таблиця 1'!$L:$L,"Уражено"))</f>
        <v/>
      </c>
      <c r="I273">
        <f>IF($A273="","",COUNTIFS('Таблиця 1'!$B:$B,$A273,'Таблиця 1'!$E:$E,"ПУ БпЛА",'Таблиця 1'!$L:$L,"Уражено"))</f>
        <v/>
      </c>
      <c r="J273">
        <f>IF($A273="","",COUNTIFS('Таблиця 1'!$B:$B,$A273,'Таблиця 1'!$E:$E,"СП",'Таблиця 1'!$L:$L,"Уражено"))</f>
        <v/>
      </c>
      <c r="K273">
        <f>IF($A273="","",COUNTIFS('Таблиця 1'!$B:$B,$A273,'Таблиця 1'!$E:$E,"КСП роти",'Таблиця 1'!$L:$L,"Уражено"))</f>
        <v/>
      </c>
      <c r="L273">
        <f>IF($A273="","",COUNTIFS('Таблиця 1'!$B:$B,$A273,'Таблиця 1'!$E:$E,"ПУ бат",'Таблиця 1'!$L:$L,"Уражено"))</f>
        <v/>
      </c>
      <c r="M273">
        <f>IF($A273="","",COUNTIFS('Таблиця 1'!$B:$B,$A273,'Таблиця 1'!$E:$E,"ПУ бриг",'Таблиця 1'!$L:$L,"Уражено"))</f>
        <v/>
      </c>
      <c r="N273">
        <f>IF($A273="","",COUNTIFS('Таблиця 1'!$B:$B,$A273,'Таблиця 1'!$E:$E,"ПУ див",'Таблиця 1'!$L:$L,"Уражено"))</f>
        <v/>
      </c>
      <c r="O273">
        <f>IF($A273="","",COUNTIFS('Таблиця 1'!$B:$B,$A273,'Таблиця 1'!$E:$E,"обл. РЕБ",'Таблиця 1'!$L:$L,"Уражено"))</f>
        <v/>
      </c>
      <c r="P273">
        <f>IF($A273="","",COUNTIFS('Таблиця 1'!$B:$B,$A273,'Таблиця 1'!$E:$E,"пос РЕБ",'Таблиця 1'!$L:$L,"Уражено"))</f>
        <v/>
      </c>
      <c r="Q273">
        <f>IF($A273="","",COUNTIFS('Таблиця 1'!$B:$B,$A273,'Таблиця 1'!$E:$E,"група РЕР",'Таблиця 1'!$L:$L,"Уражено"))</f>
        <v/>
      </c>
      <c r="R273">
        <f>IF($A273="","",COUNTIFS('Таблиця 1'!$B:$B,$A273,'Таблиця 1'!$E:$E,"РЛС КББ",'Таблиця 1'!$L:$L,"Уражено"))</f>
        <v/>
      </c>
      <c r="S273">
        <f>IF($A273="","",COUNTIFS('Таблиця 1'!$B:$B,$A273,'Таблиця 1'!$E:$E,"Ретранслятор",'Таблиця 1'!$L:$L,"Уражено"))</f>
        <v/>
      </c>
      <c r="T273">
        <f>IF($A273="","",COUNTIFS('Таблиця 1'!$B:$B,$A273,'Таблиця 1'!$E:$E,"Вз.зв'язку",'Таблиця 1'!$L:$L,"Уражено"))</f>
        <v/>
      </c>
      <c r="U273">
        <f>IF($A273="","",COUNTIFS('Таблиця 1'!$B:$B,$A273,'Таблиця 1'!$E:$E,"ПММ",'Таблиця 1'!$L:$L,"Уражено"))</f>
        <v/>
      </c>
      <c r="V273">
        <f>IF($A273="","",COUNTIFS('Таблиця 1'!$B:$B,$A273,'Таблиця 1'!$E:$E,"ІФС",'Таблиця 1'!$L:$L,"Уражено"))</f>
        <v/>
      </c>
      <c r="W273">
        <f>IF($A273="","",COUNTIFS('Таблиця 1'!$B:$B,$A273,'Таблиця 1'!$E:$E,"Інфраструктура",'Таблиця 1'!$L:$L,"Уражено"))</f>
        <v/>
      </c>
      <c r="X273">
        <f>IF($A273="","",SUMIFS('Таблиця 1'!$K:$K,'Таблиця 1'!$B:$B,$A273))</f>
        <v/>
      </c>
    </row>
    <row r="274">
      <c r="A274" s="81">
        <f>IF(A273="","",IF(A273+1&gt;MAX('Таблиця 1'!$B:$B),"",A273+1))</f>
        <v/>
      </c>
      <c r="B274">
        <f>IF($A274="","",COUNTIFS('Таблиця 1'!$B:$B,$A274,'Таблиця 1'!$E:$E,"ЖС ВЗ",'Таблиця 1'!$L:$L,"Уражено"))</f>
        <v/>
      </c>
      <c r="C274">
        <f>IF($A274="","",COUNTIFS('Таблиця 1'!$B:$B,$A274,'Таблиця 1'!$E:$E,"Арт. Системи",'Таблиця 1'!$L:$L,"Уражено"))</f>
        <v/>
      </c>
      <c r="D274">
        <f>IF($A274="","",COUNTIFS('Таблиця 1'!$B:$B,$A274,'Таблиця 1'!$E:$E,"ОВТ",'Таблиця 1'!$L:$L,"Уражено"))</f>
        <v/>
      </c>
      <c r="E274">
        <f>IF($A274="","",COUNTIFS('Таблиця 1'!$B:$B,$A274,'Таблиця 1'!$E:$E,"ППО",'Таблиця 1'!$L:$L,"Уражено"))</f>
        <v/>
      </c>
      <c r="F274">
        <f>IF($A274="","",COUNTIFS('Таблиця 1'!$B:$B,$A274,'Таблиця 1'!$E:$E,"Рембаза",'Таблиця 1'!$L:$L,"Уражено"))</f>
        <v/>
      </c>
      <c r="G274">
        <f>IF($A274="","",COUNTIFS('Таблиця 1'!$B:$B,$A274,'Таблиця 1'!$E:$E,"Склад БК",'Таблиця 1'!$L:$L,"Уражено"))</f>
        <v/>
      </c>
      <c r="H274">
        <f>IF($A274="","",COUNTIFS('Таблиця 1'!$B:$B,$A274,'Таблиця 1'!$E:$E,"Склад ВТМ",'Таблиця 1'!$L:$L,"Уражено"))</f>
        <v/>
      </c>
      <c r="I274">
        <f>IF($A274="","",COUNTIFS('Таблиця 1'!$B:$B,$A274,'Таблиця 1'!$E:$E,"ПУ БпЛА",'Таблиця 1'!$L:$L,"Уражено"))</f>
        <v/>
      </c>
      <c r="J274">
        <f>IF($A274="","",COUNTIFS('Таблиця 1'!$B:$B,$A274,'Таблиця 1'!$E:$E,"СП",'Таблиця 1'!$L:$L,"Уражено"))</f>
        <v/>
      </c>
      <c r="K274">
        <f>IF($A274="","",COUNTIFS('Таблиця 1'!$B:$B,$A274,'Таблиця 1'!$E:$E,"КСП роти",'Таблиця 1'!$L:$L,"Уражено"))</f>
        <v/>
      </c>
      <c r="L274">
        <f>IF($A274="","",COUNTIFS('Таблиця 1'!$B:$B,$A274,'Таблиця 1'!$E:$E,"ПУ бат",'Таблиця 1'!$L:$L,"Уражено"))</f>
        <v/>
      </c>
      <c r="M274">
        <f>IF($A274="","",COUNTIFS('Таблиця 1'!$B:$B,$A274,'Таблиця 1'!$E:$E,"ПУ бриг",'Таблиця 1'!$L:$L,"Уражено"))</f>
        <v/>
      </c>
      <c r="N274">
        <f>IF($A274="","",COUNTIFS('Таблиця 1'!$B:$B,$A274,'Таблиця 1'!$E:$E,"ПУ див",'Таблиця 1'!$L:$L,"Уражено"))</f>
        <v/>
      </c>
      <c r="O274">
        <f>IF($A274="","",COUNTIFS('Таблиця 1'!$B:$B,$A274,'Таблиця 1'!$E:$E,"обл. РЕБ",'Таблиця 1'!$L:$L,"Уражено"))</f>
        <v/>
      </c>
      <c r="P274">
        <f>IF($A274="","",COUNTIFS('Таблиця 1'!$B:$B,$A274,'Таблиця 1'!$E:$E,"пос РЕБ",'Таблиця 1'!$L:$L,"Уражено"))</f>
        <v/>
      </c>
      <c r="Q274">
        <f>IF($A274="","",COUNTIFS('Таблиця 1'!$B:$B,$A274,'Таблиця 1'!$E:$E,"група РЕР",'Таблиця 1'!$L:$L,"Уражено"))</f>
        <v/>
      </c>
      <c r="R274">
        <f>IF($A274="","",COUNTIFS('Таблиця 1'!$B:$B,$A274,'Таблиця 1'!$E:$E,"РЛС КББ",'Таблиця 1'!$L:$L,"Уражено"))</f>
        <v/>
      </c>
      <c r="S274">
        <f>IF($A274="","",COUNTIFS('Таблиця 1'!$B:$B,$A274,'Таблиця 1'!$E:$E,"Ретранслятор",'Таблиця 1'!$L:$L,"Уражено"))</f>
        <v/>
      </c>
      <c r="T274">
        <f>IF($A274="","",COUNTIFS('Таблиця 1'!$B:$B,$A274,'Таблиця 1'!$E:$E,"Вз.зв'язку",'Таблиця 1'!$L:$L,"Уражено"))</f>
        <v/>
      </c>
      <c r="U274">
        <f>IF($A274="","",COUNTIFS('Таблиця 1'!$B:$B,$A274,'Таблиця 1'!$E:$E,"ПММ",'Таблиця 1'!$L:$L,"Уражено"))</f>
        <v/>
      </c>
      <c r="V274">
        <f>IF($A274="","",COUNTIFS('Таблиця 1'!$B:$B,$A274,'Таблиця 1'!$E:$E,"ІФС",'Таблиця 1'!$L:$L,"Уражено"))</f>
        <v/>
      </c>
      <c r="W274">
        <f>IF($A274="","",COUNTIFS('Таблиця 1'!$B:$B,$A274,'Таблиця 1'!$E:$E,"Інфраструктура",'Таблиця 1'!$L:$L,"Уражено"))</f>
        <v/>
      </c>
      <c r="X274">
        <f>IF($A274="","",SUMIFS('Таблиця 1'!$K:$K,'Таблиця 1'!$B:$B,$A274))</f>
        <v/>
      </c>
    </row>
    <row r="275">
      <c r="A275" s="81">
        <f>IF(A274="","",IF(A274+1&gt;MAX('Таблиця 1'!$B:$B),"",A274+1))</f>
        <v/>
      </c>
      <c r="B275">
        <f>IF($A275="","",COUNTIFS('Таблиця 1'!$B:$B,$A275,'Таблиця 1'!$E:$E,"ЖС ВЗ",'Таблиця 1'!$L:$L,"Уражено"))</f>
        <v/>
      </c>
      <c r="C275">
        <f>IF($A275="","",COUNTIFS('Таблиця 1'!$B:$B,$A275,'Таблиця 1'!$E:$E,"Арт. Системи",'Таблиця 1'!$L:$L,"Уражено"))</f>
        <v/>
      </c>
      <c r="D275">
        <f>IF($A275="","",COUNTIFS('Таблиця 1'!$B:$B,$A275,'Таблиця 1'!$E:$E,"ОВТ",'Таблиця 1'!$L:$L,"Уражено"))</f>
        <v/>
      </c>
      <c r="E275">
        <f>IF($A275="","",COUNTIFS('Таблиця 1'!$B:$B,$A275,'Таблиця 1'!$E:$E,"ППО",'Таблиця 1'!$L:$L,"Уражено"))</f>
        <v/>
      </c>
      <c r="F275">
        <f>IF($A275="","",COUNTIFS('Таблиця 1'!$B:$B,$A275,'Таблиця 1'!$E:$E,"Рембаза",'Таблиця 1'!$L:$L,"Уражено"))</f>
        <v/>
      </c>
      <c r="G275">
        <f>IF($A275="","",COUNTIFS('Таблиця 1'!$B:$B,$A275,'Таблиця 1'!$E:$E,"Склад БК",'Таблиця 1'!$L:$L,"Уражено"))</f>
        <v/>
      </c>
      <c r="H275">
        <f>IF($A275="","",COUNTIFS('Таблиця 1'!$B:$B,$A275,'Таблиця 1'!$E:$E,"Склад ВТМ",'Таблиця 1'!$L:$L,"Уражено"))</f>
        <v/>
      </c>
      <c r="I275">
        <f>IF($A275="","",COUNTIFS('Таблиця 1'!$B:$B,$A275,'Таблиця 1'!$E:$E,"ПУ БпЛА",'Таблиця 1'!$L:$L,"Уражено"))</f>
        <v/>
      </c>
      <c r="J275">
        <f>IF($A275="","",COUNTIFS('Таблиця 1'!$B:$B,$A275,'Таблиця 1'!$E:$E,"СП",'Таблиця 1'!$L:$L,"Уражено"))</f>
        <v/>
      </c>
      <c r="K275">
        <f>IF($A275="","",COUNTIFS('Таблиця 1'!$B:$B,$A275,'Таблиця 1'!$E:$E,"КСП роти",'Таблиця 1'!$L:$L,"Уражено"))</f>
        <v/>
      </c>
      <c r="L275">
        <f>IF($A275="","",COUNTIFS('Таблиця 1'!$B:$B,$A275,'Таблиця 1'!$E:$E,"ПУ бат",'Таблиця 1'!$L:$L,"Уражено"))</f>
        <v/>
      </c>
      <c r="M275">
        <f>IF($A275="","",COUNTIFS('Таблиця 1'!$B:$B,$A275,'Таблиця 1'!$E:$E,"ПУ бриг",'Таблиця 1'!$L:$L,"Уражено"))</f>
        <v/>
      </c>
      <c r="N275">
        <f>IF($A275="","",COUNTIFS('Таблиця 1'!$B:$B,$A275,'Таблиця 1'!$E:$E,"ПУ див",'Таблиця 1'!$L:$L,"Уражено"))</f>
        <v/>
      </c>
      <c r="O275">
        <f>IF($A275="","",COUNTIFS('Таблиця 1'!$B:$B,$A275,'Таблиця 1'!$E:$E,"обл. РЕБ",'Таблиця 1'!$L:$L,"Уражено"))</f>
        <v/>
      </c>
      <c r="P275">
        <f>IF($A275="","",COUNTIFS('Таблиця 1'!$B:$B,$A275,'Таблиця 1'!$E:$E,"пос РЕБ",'Таблиця 1'!$L:$L,"Уражено"))</f>
        <v/>
      </c>
      <c r="Q275">
        <f>IF($A275="","",COUNTIFS('Таблиця 1'!$B:$B,$A275,'Таблиця 1'!$E:$E,"група РЕР",'Таблиця 1'!$L:$L,"Уражено"))</f>
        <v/>
      </c>
      <c r="R275">
        <f>IF($A275="","",COUNTIFS('Таблиця 1'!$B:$B,$A275,'Таблиця 1'!$E:$E,"РЛС КББ",'Таблиця 1'!$L:$L,"Уражено"))</f>
        <v/>
      </c>
      <c r="S275">
        <f>IF($A275="","",COUNTIFS('Таблиця 1'!$B:$B,$A275,'Таблиця 1'!$E:$E,"Ретранслятор",'Таблиця 1'!$L:$L,"Уражено"))</f>
        <v/>
      </c>
      <c r="T275">
        <f>IF($A275="","",COUNTIFS('Таблиця 1'!$B:$B,$A275,'Таблиця 1'!$E:$E,"Вз.зв'язку",'Таблиця 1'!$L:$L,"Уражено"))</f>
        <v/>
      </c>
      <c r="U275">
        <f>IF($A275="","",COUNTIFS('Таблиця 1'!$B:$B,$A275,'Таблиця 1'!$E:$E,"ПММ",'Таблиця 1'!$L:$L,"Уражено"))</f>
        <v/>
      </c>
      <c r="V275">
        <f>IF($A275="","",COUNTIFS('Таблиця 1'!$B:$B,$A275,'Таблиця 1'!$E:$E,"ІФС",'Таблиця 1'!$L:$L,"Уражено"))</f>
        <v/>
      </c>
      <c r="W275">
        <f>IF($A275="","",COUNTIFS('Таблиця 1'!$B:$B,$A275,'Таблиця 1'!$E:$E,"Інфраструктура",'Таблиця 1'!$L:$L,"Уражено"))</f>
        <v/>
      </c>
      <c r="X275">
        <f>IF($A275="","",SUMIFS('Таблиця 1'!$K:$K,'Таблиця 1'!$B:$B,$A275))</f>
        <v/>
      </c>
    </row>
    <row r="276">
      <c r="A276" s="81">
        <f>IF(A275="","",IF(A275+1&gt;MAX('Таблиця 1'!$B:$B),"",A275+1))</f>
        <v/>
      </c>
      <c r="B276">
        <f>IF($A276="","",COUNTIFS('Таблиця 1'!$B:$B,$A276,'Таблиця 1'!$E:$E,"ЖС ВЗ",'Таблиця 1'!$L:$L,"Уражено"))</f>
        <v/>
      </c>
      <c r="C276">
        <f>IF($A276="","",COUNTIFS('Таблиця 1'!$B:$B,$A276,'Таблиця 1'!$E:$E,"Арт. Системи",'Таблиця 1'!$L:$L,"Уражено"))</f>
        <v/>
      </c>
      <c r="D276">
        <f>IF($A276="","",COUNTIFS('Таблиця 1'!$B:$B,$A276,'Таблиця 1'!$E:$E,"ОВТ",'Таблиця 1'!$L:$L,"Уражено"))</f>
        <v/>
      </c>
      <c r="E276">
        <f>IF($A276="","",COUNTIFS('Таблиця 1'!$B:$B,$A276,'Таблиця 1'!$E:$E,"ППО",'Таблиця 1'!$L:$L,"Уражено"))</f>
        <v/>
      </c>
      <c r="F276">
        <f>IF($A276="","",COUNTIFS('Таблиця 1'!$B:$B,$A276,'Таблиця 1'!$E:$E,"Рембаза",'Таблиця 1'!$L:$L,"Уражено"))</f>
        <v/>
      </c>
      <c r="G276">
        <f>IF($A276="","",COUNTIFS('Таблиця 1'!$B:$B,$A276,'Таблиця 1'!$E:$E,"Склад БК",'Таблиця 1'!$L:$L,"Уражено"))</f>
        <v/>
      </c>
      <c r="H276">
        <f>IF($A276="","",COUNTIFS('Таблиця 1'!$B:$B,$A276,'Таблиця 1'!$E:$E,"Склад ВТМ",'Таблиця 1'!$L:$L,"Уражено"))</f>
        <v/>
      </c>
      <c r="I276">
        <f>IF($A276="","",COUNTIFS('Таблиця 1'!$B:$B,$A276,'Таблиця 1'!$E:$E,"ПУ БпЛА",'Таблиця 1'!$L:$L,"Уражено"))</f>
        <v/>
      </c>
      <c r="J276">
        <f>IF($A276="","",COUNTIFS('Таблиця 1'!$B:$B,$A276,'Таблиця 1'!$E:$E,"СП",'Таблиця 1'!$L:$L,"Уражено"))</f>
        <v/>
      </c>
      <c r="K276">
        <f>IF($A276="","",COUNTIFS('Таблиця 1'!$B:$B,$A276,'Таблиця 1'!$E:$E,"КСП роти",'Таблиця 1'!$L:$L,"Уражено"))</f>
        <v/>
      </c>
      <c r="L276">
        <f>IF($A276="","",COUNTIFS('Таблиця 1'!$B:$B,$A276,'Таблиця 1'!$E:$E,"ПУ бат",'Таблиця 1'!$L:$L,"Уражено"))</f>
        <v/>
      </c>
      <c r="M276">
        <f>IF($A276="","",COUNTIFS('Таблиця 1'!$B:$B,$A276,'Таблиця 1'!$E:$E,"ПУ бриг",'Таблиця 1'!$L:$L,"Уражено"))</f>
        <v/>
      </c>
      <c r="N276">
        <f>IF($A276="","",COUNTIFS('Таблиця 1'!$B:$B,$A276,'Таблиця 1'!$E:$E,"ПУ див",'Таблиця 1'!$L:$L,"Уражено"))</f>
        <v/>
      </c>
      <c r="O276">
        <f>IF($A276="","",COUNTIFS('Таблиця 1'!$B:$B,$A276,'Таблиця 1'!$E:$E,"обл. РЕБ",'Таблиця 1'!$L:$L,"Уражено"))</f>
        <v/>
      </c>
      <c r="P276">
        <f>IF($A276="","",COUNTIFS('Таблиця 1'!$B:$B,$A276,'Таблиця 1'!$E:$E,"пос РЕБ",'Таблиця 1'!$L:$L,"Уражено"))</f>
        <v/>
      </c>
      <c r="Q276">
        <f>IF($A276="","",COUNTIFS('Таблиця 1'!$B:$B,$A276,'Таблиця 1'!$E:$E,"група РЕР",'Таблиця 1'!$L:$L,"Уражено"))</f>
        <v/>
      </c>
      <c r="R276">
        <f>IF($A276="","",COUNTIFS('Таблиця 1'!$B:$B,$A276,'Таблиця 1'!$E:$E,"РЛС КББ",'Таблиця 1'!$L:$L,"Уражено"))</f>
        <v/>
      </c>
      <c r="S276">
        <f>IF($A276="","",COUNTIFS('Таблиця 1'!$B:$B,$A276,'Таблиця 1'!$E:$E,"Ретранслятор",'Таблиця 1'!$L:$L,"Уражено"))</f>
        <v/>
      </c>
      <c r="T276">
        <f>IF($A276="","",COUNTIFS('Таблиця 1'!$B:$B,$A276,'Таблиця 1'!$E:$E,"Вз.зв'язку",'Таблиця 1'!$L:$L,"Уражено"))</f>
        <v/>
      </c>
      <c r="U276">
        <f>IF($A276="","",COUNTIFS('Таблиця 1'!$B:$B,$A276,'Таблиця 1'!$E:$E,"ПММ",'Таблиця 1'!$L:$L,"Уражено"))</f>
        <v/>
      </c>
      <c r="V276">
        <f>IF($A276="","",COUNTIFS('Таблиця 1'!$B:$B,$A276,'Таблиця 1'!$E:$E,"ІФС",'Таблиця 1'!$L:$L,"Уражено"))</f>
        <v/>
      </c>
      <c r="W276">
        <f>IF($A276="","",COUNTIFS('Таблиця 1'!$B:$B,$A276,'Таблиця 1'!$E:$E,"Інфраструктура",'Таблиця 1'!$L:$L,"Уражено"))</f>
        <v/>
      </c>
      <c r="X276">
        <f>IF($A276="","",SUMIFS('Таблиця 1'!$K:$K,'Таблиця 1'!$B:$B,$A276))</f>
        <v/>
      </c>
    </row>
    <row r="277">
      <c r="A277" s="81">
        <f>IF(A276="","",IF(A276+1&gt;MAX('Таблиця 1'!$B:$B),"",A276+1))</f>
        <v/>
      </c>
      <c r="B277">
        <f>IF($A277="","",COUNTIFS('Таблиця 1'!$B:$B,$A277,'Таблиця 1'!$E:$E,"ЖС ВЗ",'Таблиця 1'!$L:$L,"Уражено"))</f>
        <v/>
      </c>
      <c r="C277">
        <f>IF($A277="","",COUNTIFS('Таблиця 1'!$B:$B,$A277,'Таблиця 1'!$E:$E,"Арт. Системи",'Таблиця 1'!$L:$L,"Уражено"))</f>
        <v/>
      </c>
      <c r="D277">
        <f>IF($A277="","",COUNTIFS('Таблиця 1'!$B:$B,$A277,'Таблиця 1'!$E:$E,"ОВТ",'Таблиця 1'!$L:$L,"Уражено"))</f>
        <v/>
      </c>
      <c r="E277">
        <f>IF($A277="","",COUNTIFS('Таблиця 1'!$B:$B,$A277,'Таблиця 1'!$E:$E,"ППО",'Таблиця 1'!$L:$L,"Уражено"))</f>
        <v/>
      </c>
      <c r="F277">
        <f>IF($A277="","",COUNTIFS('Таблиця 1'!$B:$B,$A277,'Таблиця 1'!$E:$E,"Рембаза",'Таблиця 1'!$L:$L,"Уражено"))</f>
        <v/>
      </c>
      <c r="G277">
        <f>IF($A277="","",COUNTIFS('Таблиця 1'!$B:$B,$A277,'Таблиця 1'!$E:$E,"Склад БК",'Таблиця 1'!$L:$L,"Уражено"))</f>
        <v/>
      </c>
      <c r="H277">
        <f>IF($A277="","",COUNTIFS('Таблиця 1'!$B:$B,$A277,'Таблиця 1'!$E:$E,"Склад ВТМ",'Таблиця 1'!$L:$L,"Уражено"))</f>
        <v/>
      </c>
      <c r="I277">
        <f>IF($A277="","",COUNTIFS('Таблиця 1'!$B:$B,$A277,'Таблиця 1'!$E:$E,"ПУ БпЛА",'Таблиця 1'!$L:$L,"Уражено"))</f>
        <v/>
      </c>
      <c r="J277">
        <f>IF($A277="","",COUNTIFS('Таблиця 1'!$B:$B,$A277,'Таблиця 1'!$E:$E,"СП",'Таблиця 1'!$L:$L,"Уражено"))</f>
        <v/>
      </c>
      <c r="K277">
        <f>IF($A277="","",COUNTIFS('Таблиця 1'!$B:$B,$A277,'Таблиця 1'!$E:$E,"КСП роти",'Таблиця 1'!$L:$L,"Уражено"))</f>
        <v/>
      </c>
      <c r="L277">
        <f>IF($A277="","",COUNTIFS('Таблиця 1'!$B:$B,$A277,'Таблиця 1'!$E:$E,"ПУ бат",'Таблиця 1'!$L:$L,"Уражено"))</f>
        <v/>
      </c>
      <c r="M277">
        <f>IF($A277="","",COUNTIFS('Таблиця 1'!$B:$B,$A277,'Таблиця 1'!$E:$E,"ПУ бриг",'Таблиця 1'!$L:$L,"Уражено"))</f>
        <v/>
      </c>
      <c r="N277">
        <f>IF($A277="","",COUNTIFS('Таблиця 1'!$B:$B,$A277,'Таблиця 1'!$E:$E,"ПУ див",'Таблиця 1'!$L:$L,"Уражено"))</f>
        <v/>
      </c>
      <c r="O277">
        <f>IF($A277="","",COUNTIFS('Таблиця 1'!$B:$B,$A277,'Таблиця 1'!$E:$E,"обл. РЕБ",'Таблиця 1'!$L:$L,"Уражено"))</f>
        <v/>
      </c>
      <c r="P277">
        <f>IF($A277="","",COUNTIFS('Таблиця 1'!$B:$B,$A277,'Таблиця 1'!$E:$E,"пос РЕБ",'Таблиця 1'!$L:$L,"Уражено"))</f>
        <v/>
      </c>
      <c r="Q277">
        <f>IF($A277="","",COUNTIFS('Таблиця 1'!$B:$B,$A277,'Таблиця 1'!$E:$E,"група РЕР",'Таблиця 1'!$L:$L,"Уражено"))</f>
        <v/>
      </c>
      <c r="R277">
        <f>IF($A277="","",COUNTIFS('Таблиця 1'!$B:$B,$A277,'Таблиця 1'!$E:$E,"РЛС КББ",'Таблиця 1'!$L:$L,"Уражено"))</f>
        <v/>
      </c>
      <c r="S277">
        <f>IF($A277="","",COUNTIFS('Таблиця 1'!$B:$B,$A277,'Таблиця 1'!$E:$E,"Ретранслятор",'Таблиця 1'!$L:$L,"Уражено"))</f>
        <v/>
      </c>
      <c r="T277">
        <f>IF($A277="","",COUNTIFS('Таблиця 1'!$B:$B,$A277,'Таблиця 1'!$E:$E,"Вз.зв'язку",'Таблиця 1'!$L:$L,"Уражено"))</f>
        <v/>
      </c>
      <c r="U277">
        <f>IF($A277="","",COUNTIFS('Таблиця 1'!$B:$B,$A277,'Таблиця 1'!$E:$E,"ПММ",'Таблиця 1'!$L:$L,"Уражено"))</f>
        <v/>
      </c>
      <c r="V277">
        <f>IF($A277="","",COUNTIFS('Таблиця 1'!$B:$B,$A277,'Таблиця 1'!$E:$E,"ІФС",'Таблиця 1'!$L:$L,"Уражено"))</f>
        <v/>
      </c>
      <c r="W277">
        <f>IF($A277="","",COUNTIFS('Таблиця 1'!$B:$B,$A277,'Таблиця 1'!$E:$E,"Інфраструктура",'Таблиця 1'!$L:$L,"Уражено"))</f>
        <v/>
      </c>
      <c r="X277">
        <f>IF($A277="","",SUMIFS('Таблиця 1'!$K:$K,'Таблиця 1'!$B:$B,$A277))</f>
        <v/>
      </c>
    </row>
    <row r="278">
      <c r="A278" s="81">
        <f>IF(A277="","",IF(A277+1&gt;MAX('Таблиця 1'!$B:$B),"",A277+1))</f>
        <v/>
      </c>
      <c r="B278">
        <f>IF($A278="","",COUNTIFS('Таблиця 1'!$B:$B,$A278,'Таблиця 1'!$E:$E,"ЖС ВЗ",'Таблиця 1'!$L:$L,"Уражено"))</f>
        <v/>
      </c>
      <c r="C278">
        <f>IF($A278="","",COUNTIFS('Таблиця 1'!$B:$B,$A278,'Таблиця 1'!$E:$E,"Арт. Системи",'Таблиця 1'!$L:$L,"Уражено"))</f>
        <v/>
      </c>
      <c r="D278">
        <f>IF($A278="","",COUNTIFS('Таблиця 1'!$B:$B,$A278,'Таблиця 1'!$E:$E,"ОВТ",'Таблиця 1'!$L:$L,"Уражено"))</f>
        <v/>
      </c>
      <c r="E278">
        <f>IF($A278="","",COUNTIFS('Таблиця 1'!$B:$B,$A278,'Таблиця 1'!$E:$E,"ППО",'Таблиця 1'!$L:$L,"Уражено"))</f>
        <v/>
      </c>
      <c r="F278">
        <f>IF($A278="","",COUNTIFS('Таблиця 1'!$B:$B,$A278,'Таблиця 1'!$E:$E,"Рембаза",'Таблиця 1'!$L:$L,"Уражено"))</f>
        <v/>
      </c>
      <c r="G278">
        <f>IF($A278="","",COUNTIFS('Таблиця 1'!$B:$B,$A278,'Таблиця 1'!$E:$E,"Склад БК",'Таблиця 1'!$L:$L,"Уражено"))</f>
        <v/>
      </c>
      <c r="H278">
        <f>IF($A278="","",COUNTIFS('Таблиця 1'!$B:$B,$A278,'Таблиця 1'!$E:$E,"Склад ВТМ",'Таблиця 1'!$L:$L,"Уражено"))</f>
        <v/>
      </c>
      <c r="I278">
        <f>IF($A278="","",COUNTIFS('Таблиця 1'!$B:$B,$A278,'Таблиця 1'!$E:$E,"ПУ БпЛА",'Таблиця 1'!$L:$L,"Уражено"))</f>
        <v/>
      </c>
      <c r="J278">
        <f>IF($A278="","",COUNTIFS('Таблиця 1'!$B:$B,$A278,'Таблиця 1'!$E:$E,"СП",'Таблиця 1'!$L:$L,"Уражено"))</f>
        <v/>
      </c>
      <c r="K278">
        <f>IF($A278="","",COUNTIFS('Таблиця 1'!$B:$B,$A278,'Таблиця 1'!$E:$E,"КСП роти",'Таблиця 1'!$L:$L,"Уражено"))</f>
        <v/>
      </c>
      <c r="L278">
        <f>IF($A278="","",COUNTIFS('Таблиця 1'!$B:$B,$A278,'Таблиця 1'!$E:$E,"ПУ бат",'Таблиця 1'!$L:$L,"Уражено"))</f>
        <v/>
      </c>
      <c r="M278">
        <f>IF($A278="","",COUNTIFS('Таблиця 1'!$B:$B,$A278,'Таблиця 1'!$E:$E,"ПУ бриг",'Таблиця 1'!$L:$L,"Уражено"))</f>
        <v/>
      </c>
      <c r="N278">
        <f>IF($A278="","",COUNTIFS('Таблиця 1'!$B:$B,$A278,'Таблиця 1'!$E:$E,"ПУ див",'Таблиця 1'!$L:$L,"Уражено"))</f>
        <v/>
      </c>
      <c r="O278">
        <f>IF($A278="","",COUNTIFS('Таблиця 1'!$B:$B,$A278,'Таблиця 1'!$E:$E,"обл. РЕБ",'Таблиця 1'!$L:$L,"Уражено"))</f>
        <v/>
      </c>
      <c r="P278">
        <f>IF($A278="","",COUNTIFS('Таблиця 1'!$B:$B,$A278,'Таблиця 1'!$E:$E,"пос РЕБ",'Таблиця 1'!$L:$L,"Уражено"))</f>
        <v/>
      </c>
      <c r="Q278">
        <f>IF($A278="","",COUNTIFS('Таблиця 1'!$B:$B,$A278,'Таблиця 1'!$E:$E,"група РЕР",'Таблиця 1'!$L:$L,"Уражено"))</f>
        <v/>
      </c>
      <c r="R278">
        <f>IF($A278="","",COUNTIFS('Таблиця 1'!$B:$B,$A278,'Таблиця 1'!$E:$E,"РЛС КББ",'Таблиця 1'!$L:$L,"Уражено"))</f>
        <v/>
      </c>
      <c r="S278">
        <f>IF($A278="","",COUNTIFS('Таблиця 1'!$B:$B,$A278,'Таблиця 1'!$E:$E,"Ретранслятор",'Таблиця 1'!$L:$L,"Уражено"))</f>
        <v/>
      </c>
      <c r="T278">
        <f>IF($A278="","",COUNTIFS('Таблиця 1'!$B:$B,$A278,'Таблиця 1'!$E:$E,"Вз.зв'язку",'Таблиця 1'!$L:$L,"Уражено"))</f>
        <v/>
      </c>
      <c r="U278">
        <f>IF($A278="","",COUNTIFS('Таблиця 1'!$B:$B,$A278,'Таблиця 1'!$E:$E,"ПММ",'Таблиця 1'!$L:$L,"Уражено"))</f>
        <v/>
      </c>
      <c r="V278">
        <f>IF($A278="","",COUNTIFS('Таблиця 1'!$B:$B,$A278,'Таблиця 1'!$E:$E,"ІФС",'Таблиця 1'!$L:$L,"Уражено"))</f>
        <v/>
      </c>
      <c r="W278">
        <f>IF($A278="","",COUNTIFS('Таблиця 1'!$B:$B,$A278,'Таблиця 1'!$E:$E,"Інфраструктура",'Таблиця 1'!$L:$L,"Уражено"))</f>
        <v/>
      </c>
      <c r="X278">
        <f>IF($A278="","",SUMIFS('Таблиця 1'!$K:$K,'Таблиця 1'!$B:$B,$A278))</f>
        <v/>
      </c>
    </row>
    <row r="279">
      <c r="A279" s="81">
        <f>IF(A278="","",IF(A278+1&gt;MAX('Таблиця 1'!$B:$B),"",A278+1))</f>
        <v/>
      </c>
      <c r="B279">
        <f>IF($A279="","",COUNTIFS('Таблиця 1'!$B:$B,$A279,'Таблиця 1'!$E:$E,"ЖС ВЗ",'Таблиця 1'!$L:$L,"Уражено"))</f>
        <v/>
      </c>
      <c r="C279">
        <f>IF($A279="","",COUNTIFS('Таблиця 1'!$B:$B,$A279,'Таблиця 1'!$E:$E,"Арт. Системи",'Таблиця 1'!$L:$L,"Уражено"))</f>
        <v/>
      </c>
      <c r="D279">
        <f>IF($A279="","",COUNTIFS('Таблиця 1'!$B:$B,$A279,'Таблиця 1'!$E:$E,"ОВТ",'Таблиця 1'!$L:$L,"Уражено"))</f>
        <v/>
      </c>
      <c r="E279">
        <f>IF($A279="","",COUNTIFS('Таблиця 1'!$B:$B,$A279,'Таблиця 1'!$E:$E,"ППО",'Таблиця 1'!$L:$L,"Уражено"))</f>
        <v/>
      </c>
      <c r="F279">
        <f>IF($A279="","",COUNTIFS('Таблиця 1'!$B:$B,$A279,'Таблиця 1'!$E:$E,"Рембаза",'Таблиця 1'!$L:$L,"Уражено"))</f>
        <v/>
      </c>
      <c r="G279">
        <f>IF($A279="","",COUNTIFS('Таблиця 1'!$B:$B,$A279,'Таблиця 1'!$E:$E,"Склад БК",'Таблиця 1'!$L:$L,"Уражено"))</f>
        <v/>
      </c>
      <c r="H279">
        <f>IF($A279="","",COUNTIFS('Таблиця 1'!$B:$B,$A279,'Таблиця 1'!$E:$E,"Склад ВТМ",'Таблиця 1'!$L:$L,"Уражено"))</f>
        <v/>
      </c>
      <c r="I279">
        <f>IF($A279="","",COUNTIFS('Таблиця 1'!$B:$B,$A279,'Таблиця 1'!$E:$E,"ПУ БпЛА",'Таблиця 1'!$L:$L,"Уражено"))</f>
        <v/>
      </c>
      <c r="J279">
        <f>IF($A279="","",COUNTIFS('Таблиця 1'!$B:$B,$A279,'Таблиця 1'!$E:$E,"СП",'Таблиця 1'!$L:$L,"Уражено"))</f>
        <v/>
      </c>
      <c r="K279">
        <f>IF($A279="","",COUNTIFS('Таблиця 1'!$B:$B,$A279,'Таблиця 1'!$E:$E,"КСП роти",'Таблиця 1'!$L:$L,"Уражено"))</f>
        <v/>
      </c>
      <c r="L279">
        <f>IF($A279="","",COUNTIFS('Таблиця 1'!$B:$B,$A279,'Таблиця 1'!$E:$E,"ПУ бат",'Таблиця 1'!$L:$L,"Уражено"))</f>
        <v/>
      </c>
      <c r="M279">
        <f>IF($A279="","",COUNTIFS('Таблиця 1'!$B:$B,$A279,'Таблиця 1'!$E:$E,"ПУ бриг",'Таблиця 1'!$L:$L,"Уражено"))</f>
        <v/>
      </c>
      <c r="N279">
        <f>IF($A279="","",COUNTIFS('Таблиця 1'!$B:$B,$A279,'Таблиця 1'!$E:$E,"ПУ див",'Таблиця 1'!$L:$L,"Уражено"))</f>
        <v/>
      </c>
      <c r="O279">
        <f>IF($A279="","",COUNTIFS('Таблиця 1'!$B:$B,$A279,'Таблиця 1'!$E:$E,"обл. РЕБ",'Таблиця 1'!$L:$L,"Уражено"))</f>
        <v/>
      </c>
      <c r="P279">
        <f>IF($A279="","",COUNTIFS('Таблиця 1'!$B:$B,$A279,'Таблиця 1'!$E:$E,"пос РЕБ",'Таблиця 1'!$L:$L,"Уражено"))</f>
        <v/>
      </c>
      <c r="Q279">
        <f>IF($A279="","",COUNTIFS('Таблиця 1'!$B:$B,$A279,'Таблиця 1'!$E:$E,"група РЕР",'Таблиця 1'!$L:$L,"Уражено"))</f>
        <v/>
      </c>
      <c r="R279">
        <f>IF($A279="","",COUNTIFS('Таблиця 1'!$B:$B,$A279,'Таблиця 1'!$E:$E,"РЛС КББ",'Таблиця 1'!$L:$L,"Уражено"))</f>
        <v/>
      </c>
      <c r="S279">
        <f>IF($A279="","",COUNTIFS('Таблиця 1'!$B:$B,$A279,'Таблиця 1'!$E:$E,"Ретранслятор",'Таблиця 1'!$L:$L,"Уражено"))</f>
        <v/>
      </c>
      <c r="T279">
        <f>IF($A279="","",COUNTIFS('Таблиця 1'!$B:$B,$A279,'Таблиця 1'!$E:$E,"Вз.зв'язку",'Таблиця 1'!$L:$L,"Уражено"))</f>
        <v/>
      </c>
      <c r="U279">
        <f>IF($A279="","",COUNTIFS('Таблиця 1'!$B:$B,$A279,'Таблиця 1'!$E:$E,"ПММ",'Таблиця 1'!$L:$L,"Уражено"))</f>
        <v/>
      </c>
      <c r="V279">
        <f>IF($A279="","",COUNTIFS('Таблиця 1'!$B:$B,$A279,'Таблиця 1'!$E:$E,"ІФС",'Таблиця 1'!$L:$L,"Уражено"))</f>
        <v/>
      </c>
      <c r="W279">
        <f>IF($A279="","",COUNTIFS('Таблиця 1'!$B:$B,$A279,'Таблиця 1'!$E:$E,"Інфраструктура",'Таблиця 1'!$L:$L,"Уражено"))</f>
        <v/>
      </c>
      <c r="X279">
        <f>IF($A279="","",SUMIFS('Таблиця 1'!$K:$K,'Таблиця 1'!$B:$B,$A279))</f>
        <v/>
      </c>
    </row>
    <row r="280">
      <c r="A280" s="81">
        <f>IF(A279="","",IF(A279+1&gt;MAX('Таблиця 1'!$B:$B),"",A279+1))</f>
        <v/>
      </c>
      <c r="B280">
        <f>IF($A280="","",COUNTIFS('Таблиця 1'!$B:$B,$A280,'Таблиця 1'!$E:$E,"ЖС ВЗ",'Таблиця 1'!$L:$L,"Уражено"))</f>
        <v/>
      </c>
      <c r="C280">
        <f>IF($A280="","",COUNTIFS('Таблиця 1'!$B:$B,$A280,'Таблиця 1'!$E:$E,"Арт. Системи",'Таблиця 1'!$L:$L,"Уражено"))</f>
        <v/>
      </c>
      <c r="D280">
        <f>IF($A280="","",COUNTIFS('Таблиця 1'!$B:$B,$A280,'Таблиця 1'!$E:$E,"ОВТ",'Таблиця 1'!$L:$L,"Уражено"))</f>
        <v/>
      </c>
      <c r="E280">
        <f>IF($A280="","",COUNTIFS('Таблиця 1'!$B:$B,$A280,'Таблиця 1'!$E:$E,"ППО",'Таблиця 1'!$L:$L,"Уражено"))</f>
        <v/>
      </c>
      <c r="F280">
        <f>IF($A280="","",COUNTIFS('Таблиця 1'!$B:$B,$A280,'Таблиця 1'!$E:$E,"Рембаза",'Таблиця 1'!$L:$L,"Уражено"))</f>
        <v/>
      </c>
      <c r="G280">
        <f>IF($A280="","",COUNTIFS('Таблиця 1'!$B:$B,$A280,'Таблиця 1'!$E:$E,"Склад БК",'Таблиця 1'!$L:$L,"Уражено"))</f>
        <v/>
      </c>
      <c r="H280">
        <f>IF($A280="","",COUNTIFS('Таблиця 1'!$B:$B,$A280,'Таблиця 1'!$E:$E,"Склад ВТМ",'Таблиця 1'!$L:$L,"Уражено"))</f>
        <v/>
      </c>
      <c r="I280">
        <f>IF($A280="","",COUNTIFS('Таблиця 1'!$B:$B,$A280,'Таблиця 1'!$E:$E,"ПУ БпЛА",'Таблиця 1'!$L:$L,"Уражено"))</f>
        <v/>
      </c>
      <c r="J280">
        <f>IF($A280="","",COUNTIFS('Таблиця 1'!$B:$B,$A280,'Таблиця 1'!$E:$E,"СП",'Таблиця 1'!$L:$L,"Уражено"))</f>
        <v/>
      </c>
      <c r="K280">
        <f>IF($A280="","",COUNTIFS('Таблиця 1'!$B:$B,$A280,'Таблиця 1'!$E:$E,"КСП роти",'Таблиця 1'!$L:$L,"Уражено"))</f>
        <v/>
      </c>
      <c r="L280">
        <f>IF($A280="","",COUNTIFS('Таблиця 1'!$B:$B,$A280,'Таблиця 1'!$E:$E,"ПУ бат",'Таблиця 1'!$L:$L,"Уражено"))</f>
        <v/>
      </c>
      <c r="M280">
        <f>IF($A280="","",COUNTIFS('Таблиця 1'!$B:$B,$A280,'Таблиця 1'!$E:$E,"ПУ бриг",'Таблиця 1'!$L:$L,"Уражено"))</f>
        <v/>
      </c>
      <c r="N280">
        <f>IF($A280="","",COUNTIFS('Таблиця 1'!$B:$B,$A280,'Таблиця 1'!$E:$E,"ПУ див",'Таблиця 1'!$L:$L,"Уражено"))</f>
        <v/>
      </c>
      <c r="O280">
        <f>IF($A280="","",COUNTIFS('Таблиця 1'!$B:$B,$A280,'Таблиця 1'!$E:$E,"обл. РЕБ",'Таблиця 1'!$L:$L,"Уражено"))</f>
        <v/>
      </c>
      <c r="P280">
        <f>IF($A280="","",COUNTIFS('Таблиця 1'!$B:$B,$A280,'Таблиця 1'!$E:$E,"пос РЕБ",'Таблиця 1'!$L:$L,"Уражено"))</f>
        <v/>
      </c>
      <c r="Q280">
        <f>IF($A280="","",COUNTIFS('Таблиця 1'!$B:$B,$A280,'Таблиця 1'!$E:$E,"група РЕР",'Таблиця 1'!$L:$L,"Уражено"))</f>
        <v/>
      </c>
      <c r="R280">
        <f>IF($A280="","",COUNTIFS('Таблиця 1'!$B:$B,$A280,'Таблиця 1'!$E:$E,"РЛС КББ",'Таблиця 1'!$L:$L,"Уражено"))</f>
        <v/>
      </c>
      <c r="S280">
        <f>IF($A280="","",COUNTIFS('Таблиця 1'!$B:$B,$A280,'Таблиця 1'!$E:$E,"Ретранслятор",'Таблиця 1'!$L:$L,"Уражено"))</f>
        <v/>
      </c>
      <c r="T280">
        <f>IF($A280="","",COUNTIFS('Таблиця 1'!$B:$B,$A280,'Таблиця 1'!$E:$E,"Вз.зв'язку",'Таблиця 1'!$L:$L,"Уражено"))</f>
        <v/>
      </c>
      <c r="U280">
        <f>IF($A280="","",COUNTIFS('Таблиця 1'!$B:$B,$A280,'Таблиця 1'!$E:$E,"ПММ",'Таблиця 1'!$L:$L,"Уражено"))</f>
        <v/>
      </c>
      <c r="V280">
        <f>IF($A280="","",COUNTIFS('Таблиця 1'!$B:$B,$A280,'Таблиця 1'!$E:$E,"ІФС",'Таблиця 1'!$L:$L,"Уражено"))</f>
        <v/>
      </c>
      <c r="W280">
        <f>IF($A280="","",COUNTIFS('Таблиця 1'!$B:$B,$A280,'Таблиця 1'!$E:$E,"Інфраструктура",'Таблиця 1'!$L:$L,"Уражено"))</f>
        <v/>
      </c>
      <c r="X280">
        <f>IF($A280="","",SUMIFS('Таблиця 1'!$K:$K,'Таблиця 1'!$B:$B,$A280))</f>
        <v/>
      </c>
    </row>
    <row r="281">
      <c r="A281" s="81">
        <f>IF(A280="","",IF(A280+1&gt;MAX('Таблиця 1'!$B:$B),"",A280+1))</f>
        <v/>
      </c>
      <c r="B281">
        <f>IF($A281="","",COUNTIFS('Таблиця 1'!$B:$B,$A281,'Таблиця 1'!$E:$E,"ЖС ВЗ",'Таблиця 1'!$L:$L,"Уражено"))</f>
        <v/>
      </c>
      <c r="C281">
        <f>IF($A281="","",COUNTIFS('Таблиця 1'!$B:$B,$A281,'Таблиця 1'!$E:$E,"Арт. Системи",'Таблиця 1'!$L:$L,"Уражено"))</f>
        <v/>
      </c>
      <c r="D281">
        <f>IF($A281="","",COUNTIFS('Таблиця 1'!$B:$B,$A281,'Таблиця 1'!$E:$E,"ОВТ",'Таблиця 1'!$L:$L,"Уражено"))</f>
        <v/>
      </c>
      <c r="E281">
        <f>IF($A281="","",COUNTIFS('Таблиця 1'!$B:$B,$A281,'Таблиця 1'!$E:$E,"ППО",'Таблиця 1'!$L:$L,"Уражено"))</f>
        <v/>
      </c>
      <c r="F281">
        <f>IF($A281="","",COUNTIFS('Таблиця 1'!$B:$B,$A281,'Таблиця 1'!$E:$E,"Рембаза",'Таблиця 1'!$L:$L,"Уражено"))</f>
        <v/>
      </c>
      <c r="G281">
        <f>IF($A281="","",COUNTIFS('Таблиця 1'!$B:$B,$A281,'Таблиця 1'!$E:$E,"Склад БК",'Таблиця 1'!$L:$L,"Уражено"))</f>
        <v/>
      </c>
      <c r="H281">
        <f>IF($A281="","",COUNTIFS('Таблиця 1'!$B:$B,$A281,'Таблиця 1'!$E:$E,"Склад ВТМ",'Таблиця 1'!$L:$L,"Уражено"))</f>
        <v/>
      </c>
      <c r="I281">
        <f>IF($A281="","",COUNTIFS('Таблиця 1'!$B:$B,$A281,'Таблиця 1'!$E:$E,"ПУ БпЛА",'Таблиця 1'!$L:$L,"Уражено"))</f>
        <v/>
      </c>
      <c r="J281">
        <f>IF($A281="","",COUNTIFS('Таблиця 1'!$B:$B,$A281,'Таблиця 1'!$E:$E,"СП",'Таблиця 1'!$L:$L,"Уражено"))</f>
        <v/>
      </c>
      <c r="K281">
        <f>IF($A281="","",COUNTIFS('Таблиця 1'!$B:$B,$A281,'Таблиця 1'!$E:$E,"КСП роти",'Таблиця 1'!$L:$L,"Уражено"))</f>
        <v/>
      </c>
      <c r="L281">
        <f>IF($A281="","",COUNTIFS('Таблиця 1'!$B:$B,$A281,'Таблиця 1'!$E:$E,"ПУ бат",'Таблиця 1'!$L:$L,"Уражено"))</f>
        <v/>
      </c>
      <c r="M281">
        <f>IF($A281="","",COUNTIFS('Таблиця 1'!$B:$B,$A281,'Таблиця 1'!$E:$E,"ПУ бриг",'Таблиця 1'!$L:$L,"Уражено"))</f>
        <v/>
      </c>
      <c r="N281">
        <f>IF($A281="","",COUNTIFS('Таблиця 1'!$B:$B,$A281,'Таблиця 1'!$E:$E,"ПУ див",'Таблиця 1'!$L:$L,"Уражено"))</f>
        <v/>
      </c>
      <c r="O281">
        <f>IF($A281="","",COUNTIFS('Таблиця 1'!$B:$B,$A281,'Таблиця 1'!$E:$E,"обл. РЕБ",'Таблиця 1'!$L:$L,"Уражено"))</f>
        <v/>
      </c>
      <c r="P281">
        <f>IF($A281="","",COUNTIFS('Таблиця 1'!$B:$B,$A281,'Таблиця 1'!$E:$E,"пос РЕБ",'Таблиця 1'!$L:$L,"Уражено"))</f>
        <v/>
      </c>
      <c r="Q281">
        <f>IF($A281="","",COUNTIFS('Таблиця 1'!$B:$B,$A281,'Таблиця 1'!$E:$E,"група РЕР",'Таблиця 1'!$L:$L,"Уражено"))</f>
        <v/>
      </c>
      <c r="R281">
        <f>IF($A281="","",COUNTIFS('Таблиця 1'!$B:$B,$A281,'Таблиця 1'!$E:$E,"РЛС КББ",'Таблиця 1'!$L:$L,"Уражено"))</f>
        <v/>
      </c>
      <c r="S281">
        <f>IF($A281="","",COUNTIFS('Таблиця 1'!$B:$B,$A281,'Таблиця 1'!$E:$E,"Ретранслятор",'Таблиця 1'!$L:$L,"Уражено"))</f>
        <v/>
      </c>
      <c r="T281">
        <f>IF($A281="","",COUNTIFS('Таблиця 1'!$B:$B,$A281,'Таблиця 1'!$E:$E,"Вз.зв'язку",'Таблиця 1'!$L:$L,"Уражено"))</f>
        <v/>
      </c>
      <c r="U281">
        <f>IF($A281="","",COUNTIFS('Таблиця 1'!$B:$B,$A281,'Таблиця 1'!$E:$E,"ПММ",'Таблиця 1'!$L:$L,"Уражено"))</f>
        <v/>
      </c>
      <c r="V281">
        <f>IF($A281="","",COUNTIFS('Таблиця 1'!$B:$B,$A281,'Таблиця 1'!$E:$E,"ІФС",'Таблиця 1'!$L:$L,"Уражено"))</f>
        <v/>
      </c>
      <c r="W281">
        <f>IF($A281="","",COUNTIFS('Таблиця 1'!$B:$B,$A281,'Таблиця 1'!$E:$E,"Інфраструктура",'Таблиця 1'!$L:$L,"Уражено"))</f>
        <v/>
      </c>
      <c r="X281">
        <f>IF($A281="","",SUMIFS('Таблиця 1'!$K:$K,'Таблиця 1'!$B:$B,$A281))</f>
        <v/>
      </c>
    </row>
    <row r="282">
      <c r="A282" s="81">
        <f>IF(A281="","",IF(A281+1&gt;MAX('Таблиця 1'!$B:$B),"",A281+1))</f>
        <v/>
      </c>
      <c r="B282">
        <f>IF($A282="","",COUNTIFS('Таблиця 1'!$B:$B,$A282,'Таблиця 1'!$E:$E,"ЖС ВЗ",'Таблиця 1'!$L:$L,"Уражено"))</f>
        <v/>
      </c>
      <c r="C282">
        <f>IF($A282="","",COUNTIFS('Таблиця 1'!$B:$B,$A282,'Таблиця 1'!$E:$E,"Арт. Системи",'Таблиця 1'!$L:$L,"Уражено"))</f>
        <v/>
      </c>
      <c r="D282">
        <f>IF($A282="","",COUNTIFS('Таблиця 1'!$B:$B,$A282,'Таблиця 1'!$E:$E,"ОВТ",'Таблиця 1'!$L:$L,"Уражено"))</f>
        <v/>
      </c>
      <c r="E282">
        <f>IF($A282="","",COUNTIFS('Таблиця 1'!$B:$B,$A282,'Таблиця 1'!$E:$E,"ППО",'Таблиця 1'!$L:$L,"Уражено"))</f>
        <v/>
      </c>
      <c r="F282">
        <f>IF($A282="","",COUNTIFS('Таблиця 1'!$B:$B,$A282,'Таблиця 1'!$E:$E,"Рембаза",'Таблиця 1'!$L:$L,"Уражено"))</f>
        <v/>
      </c>
      <c r="G282">
        <f>IF($A282="","",COUNTIFS('Таблиця 1'!$B:$B,$A282,'Таблиця 1'!$E:$E,"Склад БК",'Таблиця 1'!$L:$L,"Уражено"))</f>
        <v/>
      </c>
      <c r="H282">
        <f>IF($A282="","",COUNTIFS('Таблиця 1'!$B:$B,$A282,'Таблиця 1'!$E:$E,"Склад ВТМ",'Таблиця 1'!$L:$L,"Уражено"))</f>
        <v/>
      </c>
      <c r="I282">
        <f>IF($A282="","",COUNTIFS('Таблиця 1'!$B:$B,$A282,'Таблиця 1'!$E:$E,"ПУ БпЛА",'Таблиця 1'!$L:$L,"Уражено"))</f>
        <v/>
      </c>
      <c r="J282">
        <f>IF($A282="","",COUNTIFS('Таблиця 1'!$B:$B,$A282,'Таблиця 1'!$E:$E,"СП",'Таблиця 1'!$L:$L,"Уражено"))</f>
        <v/>
      </c>
      <c r="K282">
        <f>IF($A282="","",COUNTIFS('Таблиця 1'!$B:$B,$A282,'Таблиця 1'!$E:$E,"КСП роти",'Таблиця 1'!$L:$L,"Уражено"))</f>
        <v/>
      </c>
      <c r="L282">
        <f>IF($A282="","",COUNTIFS('Таблиця 1'!$B:$B,$A282,'Таблиця 1'!$E:$E,"ПУ бат",'Таблиця 1'!$L:$L,"Уражено"))</f>
        <v/>
      </c>
      <c r="M282">
        <f>IF($A282="","",COUNTIFS('Таблиця 1'!$B:$B,$A282,'Таблиця 1'!$E:$E,"ПУ бриг",'Таблиця 1'!$L:$L,"Уражено"))</f>
        <v/>
      </c>
      <c r="N282">
        <f>IF($A282="","",COUNTIFS('Таблиця 1'!$B:$B,$A282,'Таблиця 1'!$E:$E,"ПУ див",'Таблиця 1'!$L:$L,"Уражено"))</f>
        <v/>
      </c>
      <c r="O282">
        <f>IF($A282="","",COUNTIFS('Таблиця 1'!$B:$B,$A282,'Таблиця 1'!$E:$E,"обл. РЕБ",'Таблиця 1'!$L:$L,"Уражено"))</f>
        <v/>
      </c>
      <c r="P282">
        <f>IF($A282="","",COUNTIFS('Таблиця 1'!$B:$B,$A282,'Таблиця 1'!$E:$E,"пос РЕБ",'Таблиця 1'!$L:$L,"Уражено"))</f>
        <v/>
      </c>
      <c r="Q282">
        <f>IF($A282="","",COUNTIFS('Таблиця 1'!$B:$B,$A282,'Таблиця 1'!$E:$E,"група РЕР",'Таблиця 1'!$L:$L,"Уражено"))</f>
        <v/>
      </c>
      <c r="R282">
        <f>IF($A282="","",COUNTIFS('Таблиця 1'!$B:$B,$A282,'Таблиця 1'!$E:$E,"РЛС КББ",'Таблиця 1'!$L:$L,"Уражено"))</f>
        <v/>
      </c>
      <c r="S282">
        <f>IF($A282="","",COUNTIFS('Таблиця 1'!$B:$B,$A282,'Таблиця 1'!$E:$E,"Ретранслятор",'Таблиця 1'!$L:$L,"Уражено"))</f>
        <v/>
      </c>
      <c r="T282">
        <f>IF($A282="","",COUNTIFS('Таблиця 1'!$B:$B,$A282,'Таблиця 1'!$E:$E,"Вз.зв'язку",'Таблиця 1'!$L:$L,"Уражено"))</f>
        <v/>
      </c>
      <c r="U282">
        <f>IF($A282="","",COUNTIFS('Таблиця 1'!$B:$B,$A282,'Таблиця 1'!$E:$E,"ПММ",'Таблиця 1'!$L:$L,"Уражено"))</f>
        <v/>
      </c>
      <c r="V282">
        <f>IF($A282="","",COUNTIFS('Таблиця 1'!$B:$B,$A282,'Таблиця 1'!$E:$E,"ІФС",'Таблиця 1'!$L:$L,"Уражено"))</f>
        <v/>
      </c>
      <c r="W282">
        <f>IF($A282="","",COUNTIFS('Таблиця 1'!$B:$B,$A282,'Таблиця 1'!$E:$E,"Інфраструктура",'Таблиця 1'!$L:$L,"Уражено"))</f>
        <v/>
      </c>
      <c r="X282">
        <f>IF($A282="","",SUMIFS('Таблиця 1'!$K:$K,'Таблиця 1'!$B:$B,$A282))</f>
        <v/>
      </c>
    </row>
    <row r="283">
      <c r="A283" s="81">
        <f>IF(A282="","",IF(A282+1&gt;MAX('Таблиця 1'!$B:$B),"",A282+1))</f>
        <v/>
      </c>
      <c r="B283">
        <f>IF($A283="","",COUNTIFS('Таблиця 1'!$B:$B,$A283,'Таблиця 1'!$E:$E,"ЖС ВЗ",'Таблиця 1'!$L:$L,"Уражено"))</f>
        <v/>
      </c>
      <c r="C283">
        <f>IF($A283="","",COUNTIFS('Таблиця 1'!$B:$B,$A283,'Таблиця 1'!$E:$E,"Арт. Системи",'Таблиця 1'!$L:$L,"Уражено"))</f>
        <v/>
      </c>
      <c r="D283">
        <f>IF($A283="","",COUNTIFS('Таблиця 1'!$B:$B,$A283,'Таблиця 1'!$E:$E,"ОВТ",'Таблиця 1'!$L:$L,"Уражено"))</f>
        <v/>
      </c>
      <c r="E283">
        <f>IF($A283="","",COUNTIFS('Таблиця 1'!$B:$B,$A283,'Таблиця 1'!$E:$E,"ППО",'Таблиця 1'!$L:$L,"Уражено"))</f>
        <v/>
      </c>
      <c r="F283">
        <f>IF($A283="","",COUNTIFS('Таблиця 1'!$B:$B,$A283,'Таблиця 1'!$E:$E,"Рембаза",'Таблиця 1'!$L:$L,"Уражено"))</f>
        <v/>
      </c>
      <c r="G283">
        <f>IF($A283="","",COUNTIFS('Таблиця 1'!$B:$B,$A283,'Таблиця 1'!$E:$E,"Склад БК",'Таблиця 1'!$L:$L,"Уражено"))</f>
        <v/>
      </c>
      <c r="H283">
        <f>IF($A283="","",COUNTIFS('Таблиця 1'!$B:$B,$A283,'Таблиця 1'!$E:$E,"Склад ВТМ",'Таблиця 1'!$L:$L,"Уражено"))</f>
        <v/>
      </c>
      <c r="I283">
        <f>IF($A283="","",COUNTIFS('Таблиця 1'!$B:$B,$A283,'Таблиця 1'!$E:$E,"ПУ БпЛА",'Таблиця 1'!$L:$L,"Уражено"))</f>
        <v/>
      </c>
      <c r="J283">
        <f>IF($A283="","",COUNTIFS('Таблиця 1'!$B:$B,$A283,'Таблиця 1'!$E:$E,"СП",'Таблиця 1'!$L:$L,"Уражено"))</f>
        <v/>
      </c>
      <c r="K283">
        <f>IF($A283="","",COUNTIFS('Таблиця 1'!$B:$B,$A283,'Таблиця 1'!$E:$E,"КСП роти",'Таблиця 1'!$L:$L,"Уражено"))</f>
        <v/>
      </c>
      <c r="L283">
        <f>IF($A283="","",COUNTIFS('Таблиця 1'!$B:$B,$A283,'Таблиця 1'!$E:$E,"ПУ бат",'Таблиця 1'!$L:$L,"Уражено"))</f>
        <v/>
      </c>
      <c r="M283">
        <f>IF($A283="","",COUNTIFS('Таблиця 1'!$B:$B,$A283,'Таблиця 1'!$E:$E,"ПУ бриг",'Таблиця 1'!$L:$L,"Уражено"))</f>
        <v/>
      </c>
      <c r="N283">
        <f>IF($A283="","",COUNTIFS('Таблиця 1'!$B:$B,$A283,'Таблиця 1'!$E:$E,"ПУ див",'Таблиця 1'!$L:$L,"Уражено"))</f>
        <v/>
      </c>
      <c r="O283">
        <f>IF($A283="","",COUNTIFS('Таблиця 1'!$B:$B,$A283,'Таблиця 1'!$E:$E,"обл. РЕБ",'Таблиця 1'!$L:$L,"Уражено"))</f>
        <v/>
      </c>
      <c r="P283">
        <f>IF($A283="","",COUNTIFS('Таблиця 1'!$B:$B,$A283,'Таблиця 1'!$E:$E,"пос РЕБ",'Таблиця 1'!$L:$L,"Уражено"))</f>
        <v/>
      </c>
      <c r="Q283">
        <f>IF($A283="","",COUNTIFS('Таблиця 1'!$B:$B,$A283,'Таблиця 1'!$E:$E,"група РЕР",'Таблиця 1'!$L:$L,"Уражено"))</f>
        <v/>
      </c>
      <c r="R283">
        <f>IF($A283="","",COUNTIFS('Таблиця 1'!$B:$B,$A283,'Таблиця 1'!$E:$E,"РЛС КББ",'Таблиця 1'!$L:$L,"Уражено"))</f>
        <v/>
      </c>
      <c r="S283">
        <f>IF($A283="","",COUNTIFS('Таблиця 1'!$B:$B,$A283,'Таблиця 1'!$E:$E,"Ретранслятор",'Таблиця 1'!$L:$L,"Уражено"))</f>
        <v/>
      </c>
      <c r="T283">
        <f>IF($A283="","",COUNTIFS('Таблиця 1'!$B:$B,$A283,'Таблиця 1'!$E:$E,"Вз.зв'язку",'Таблиця 1'!$L:$L,"Уражено"))</f>
        <v/>
      </c>
      <c r="U283">
        <f>IF($A283="","",COUNTIFS('Таблиця 1'!$B:$B,$A283,'Таблиця 1'!$E:$E,"ПММ",'Таблиця 1'!$L:$L,"Уражено"))</f>
        <v/>
      </c>
      <c r="V283">
        <f>IF($A283="","",COUNTIFS('Таблиця 1'!$B:$B,$A283,'Таблиця 1'!$E:$E,"ІФС",'Таблиця 1'!$L:$L,"Уражено"))</f>
        <v/>
      </c>
      <c r="W283">
        <f>IF($A283="","",COUNTIFS('Таблиця 1'!$B:$B,$A283,'Таблиця 1'!$E:$E,"Інфраструктура",'Таблиця 1'!$L:$L,"Уражено"))</f>
        <v/>
      </c>
      <c r="X283">
        <f>IF($A283="","",SUMIFS('Таблиця 1'!$K:$K,'Таблиця 1'!$B:$B,$A283))</f>
        <v/>
      </c>
    </row>
    <row r="284">
      <c r="A284" s="81">
        <f>IF(A283="","",IF(A283+1&gt;MAX('Таблиця 1'!$B:$B),"",A283+1))</f>
        <v/>
      </c>
      <c r="B284">
        <f>IF($A284="","",COUNTIFS('Таблиця 1'!$B:$B,$A284,'Таблиця 1'!$E:$E,"ЖС ВЗ",'Таблиця 1'!$L:$L,"Уражено"))</f>
        <v/>
      </c>
      <c r="C284">
        <f>IF($A284="","",COUNTIFS('Таблиця 1'!$B:$B,$A284,'Таблиця 1'!$E:$E,"Арт. Системи",'Таблиця 1'!$L:$L,"Уражено"))</f>
        <v/>
      </c>
      <c r="D284">
        <f>IF($A284="","",COUNTIFS('Таблиця 1'!$B:$B,$A284,'Таблиця 1'!$E:$E,"ОВТ",'Таблиця 1'!$L:$L,"Уражено"))</f>
        <v/>
      </c>
      <c r="E284">
        <f>IF($A284="","",COUNTIFS('Таблиця 1'!$B:$B,$A284,'Таблиця 1'!$E:$E,"ППО",'Таблиця 1'!$L:$L,"Уражено"))</f>
        <v/>
      </c>
      <c r="F284">
        <f>IF($A284="","",COUNTIFS('Таблиця 1'!$B:$B,$A284,'Таблиця 1'!$E:$E,"Рембаза",'Таблиця 1'!$L:$L,"Уражено"))</f>
        <v/>
      </c>
      <c r="G284">
        <f>IF($A284="","",COUNTIFS('Таблиця 1'!$B:$B,$A284,'Таблиця 1'!$E:$E,"Склад БК",'Таблиця 1'!$L:$L,"Уражено"))</f>
        <v/>
      </c>
      <c r="H284">
        <f>IF($A284="","",COUNTIFS('Таблиця 1'!$B:$B,$A284,'Таблиця 1'!$E:$E,"Склад ВТМ",'Таблиця 1'!$L:$L,"Уражено"))</f>
        <v/>
      </c>
      <c r="I284">
        <f>IF($A284="","",COUNTIFS('Таблиця 1'!$B:$B,$A284,'Таблиця 1'!$E:$E,"ПУ БпЛА",'Таблиця 1'!$L:$L,"Уражено"))</f>
        <v/>
      </c>
      <c r="J284">
        <f>IF($A284="","",COUNTIFS('Таблиця 1'!$B:$B,$A284,'Таблиця 1'!$E:$E,"СП",'Таблиця 1'!$L:$L,"Уражено"))</f>
        <v/>
      </c>
      <c r="K284">
        <f>IF($A284="","",COUNTIFS('Таблиця 1'!$B:$B,$A284,'Таблиця 1'!$E:$E,"КСП роти",'Таблиця 1'!$L:$L,"Уражено"))</f>
        <v/>
      </c>
      <c r="L284">
        <f>IF($A284="","",COUNTIFS('Таблиця 1'!$B:$B,$A284,'Таблиця 1'!$E:$E,"ПУ бат",'Таблиця 1'!$L:$L,"Уражено"))</f>
        <v/>
      </c>
      <c r="M284">
        <f>IF($A284="","",COUNTIFS('Таблиця 1'!$B:$B,$A284,'Таблиця 1'!$E:$E,"ПУ бриг",'Таблиця 1'!$L:$L,"Уражено"))</f>
        <v/>
      </c>
      <c r="N284">
        <f>IF($A284="","",COUNTIFS('Таблиця 1'!$B:$B,$A284,'Таблиця 1'!$E:$E,"ПУ див",'Таблиця 1'!$L:$L,"Уражено"))</f>
        <v/>
      </c>
      <c r="O284">
        <f>IF($A284="","",COUNTIFS('Таблиця 1'!$B:$B,$A284,'Таблиця 1'!$E:$E,"обл. РЕБ",'Таблиця 1'!$L:$L,"Уражено"))</f>
        <v/>
      </c>
      <c r="P284">
        <f>IF($A284="","",COUNTIFS('Таблиця 1'!$B:$B,$A284,'Таблиця 1'!$E:$E,"пос РЕБ",'Таблиця 1'!$L:$L,"Уражено"))</f>
        <v/>
      </c>
      <c r="Q284">
        <f>IF($A284="","",COUNTIFS('Таблиця 1'!$B:$B,$A284,'Таблиця 1'!$E:$E,"група РЕР",'Таблиця 1'!$L:$L,"Уражено"))</f>
        <v/>
      </c>
      <c r="R284">
        <f>IF($A284="","",COUNTIFS('Таблиця 1'!$B:$B,$A284,'Таблиця 1'!$E:$E,"РЛС КББ",'Таблиця 1'!$L:$L,"Уражено"))</f>
        <v/>
      </c>
      <c r="S284">
        <f>IF($A284="","",COUNTIFS('Таблиця 1'!$B:$B,$A284,'Таблиця 1'!$E:$E,"Ретранслятор",'Таблиця 1'!$L:$L,"Уражено"))</f>
        <v/>
      </c>
      <c r="T284">
        <f>IF($A284="","",COUNTIFS('Таблиця 1'!$B:$B,$A284,'Таблиця 1'!$E:$E,"Вз.зв'язку",'Таблиця 1'!$L:$L,"Уражено"))</f>
        <v/>
      </c>
      <c r="U284">
        <f>IF($A284="","",COUNTIFS('Таблиця 1'!$B:$B,$A284,'Таблиця 1'!$E:$E,"ПММ",'Таблиця 1'!$L:$L,"Уражено"))</f>
        <v/>
      </c>
      <c r="V284">
        <f>IF($A284="","",COUNTIFS('Таблиця 1'!$B:$B,$A284,'Таблиця 1'!$E:$E,"ІФС",'Таблиця 1'!$L:$L,"Уражено"))</f>
        <v/>
      </c>
      <c r="W284">
        <f>IF($A284="","",COUNTIFS('Таблиця 1'!$B:$B,$A284,'Таблиця 1'!$E:$E,"Інфраструктура",'Таблиця 1'!$L:$L,"Уражено"))</f>
        <v/>
      </c>
      <c r="X284">
        <f>IF($A284="","",SUMIFS('Таблиця 1'!$K:$K,'Таблиця 1'!$B:$B,$A284))</f>
        <v/>
      </c>
    </row>
    <row r="285">
      <c r="A285" s="81">
        <f>IF(A284="","",IF(A284+1&gt;MAX('Таблиця 1'!$B:$B),"",A284+1))</f>
        <v/>
      </c>
      <c r="B285">
        <f>IF($A285="","",COUNTIFS('Таблиця 1'!$B:$B,$A285,'Таблиця 1'!$E:$E,"ЖС ВЗ",'Таблиця 1'!$L:$L,"Уражено"))</f>
        <v/>
      </c>
      <c r="C285">
        <f>IF($A285="","",COUNTIFS('Таблиця 1'!$B:$B,$A285,'Таблиця 1'!$E:$E,"Арт. Системи",'Таблиця 1'!$L:$L,"Уражено"))</f>
        <v/>
      </c>
      <c r="D285">
        <f>IF($A285="","",COUNTIFS('Таблиця 1'!$B:$B,$A285,'Таблиця 1'!$E:$E,"ОВТ",'Таблиця 1'!$L:$L,"Уражено"))</f>
        <v/>
      </c>
      <c r="E285">
        <f>IF($A285="","",COUNTIFS('Таблиця 1'!$B:$B,$A285,'Таблиця 1'!$E:$E,"ППО",'Таблиця 1'!$L:$L,"Уражено"))</f>
        <v/>
      </c>
      <c r="F285">
        <f>IF($A285="","",COUNTIFS('Таблиця 1'!$B:$B,$A285,'Таблиця 1'!$E:$E,"Рембаза",'Таблиця 1'!$L:$L,"Уражено"))</f>
        <v/>
      </c>
      <c r="G285">
        <f>IF($A285="","",COUNTIFS('Таблиця 1'!$B:$B,$A285,'Таблиця 1'!$E:$E,"Склад БК",'Таблиця 1'!$L:$L,"Уражено"))</f>
        <v/>
      </c>
      <c r="H285">
        <f>IF($A285="","",COUNTIFS('Таблиця 1'!$B:$B,$A285,'Таблиця 1'!$E:$E,"Склад ВТМ",'Таблиця 1'!$L:$L,"Уражено"))</f>
        <v/>
      </c>
      <c r="I285">
        <f>IF($A285="","",COUNTIFS('Таблиця 1'!$B:$B,$A285,'Таблиця 1'!$E:$E,"ПУ БпЛА",'Таблиця 1'!$L:$L,"Уражено"))</f>
        <v/>
      </c>
      <c r="J285">
        <f>IF($A285="","",COUNTIFS('Таблиця 1'!$B:$B,$A285,'Таблиця 1'!$E:$E,"СП",'Таблиця 1'!$L:$L,"Уражено"))</f>
        <v/>
      </c>
      <c r="K285">
        <f>IF($A285="","",COUNTIFS('Таблиця 1'!$B:$B,$A285,'Таблиця 1'!$E:$E,"КСП роти",'Таблиця 1'!$L:$L,"Уражено"))</f>
        <v/>
      </c>
      <c r="L285">
        <f>IF($A285="","",COUNTIFS('Таблиця 1'!$B:$B,$A285,'Таблиця 1'!$E:$E,"ПУ бат",'Таблиця 1'!$L:$L,"Уражено"))</f>
        <v/>
      </c>
      <c r="M285">
        <f>IF($A285="","",COUNTIFS('Таблиця 1'!$B:$B,$A285,'Таблиця 1'!$E:$E,"ПУ бриг",'Таблиця 1'!$L:$L,"Уражено"))</f>
        <v/>
      </c>
      <c r="N285">
        <f>IF($A285="","",COUNTIFS('Таблиця 1'!$B:$B,$A285,'Таблиця 1'!$E:$E,"ПУ див",'Таблиця 1'!$L:$L,"Уражено"))</f>
        <v/>
      </c>
      <c r="O285">
        <f>IF($A285="","",COUNTIFS('Таблиця 1'!$B:$B,$A285,'Таблиця 1'!$E:$E,"обл. РЕБ",'Таблиця 1'!$L:$L,"Уражено"))</f>
        <v/>
      </c>
      <c r="P285">
        <f>IF($A285="","",COUNTIFS('Таблиця 1'!$B:$B,$A285,'Таблиця 1'!$E:$E,"пос РЕБ",'Таблиця 1'!$L:$L,"Уражено"))</f>
        <v/>
      </c>
      <c r="Q285">
        <f>IF($A285="","",COUNTIFS('Таблиця 1'!$B:$B,$A285,'Таблиця 1'!$E:$E,"група РЕР",'Таблиця 1'!$L:$L,"Уражено"))</f>
        <v/>
      </c>
      <c r="R285">
        <f>IF($A285="","",COUNTIFS('Таблиця 1'!$B:$B,$A285,'Таблиця 1'!$E:$E,"РЛС КББ",'Таблиця 1'!$L:$L,"Уражено"))</f>
        <v/>
      </c>
      <c r="S285">
        <f>IF($A285="","",COUNTIFS('Таблиця 1'!$B:$B,$A285,'Таблиця 1'!$E:$E,"Ретранслятор",'Таблиця 1'!$L:$L,"Уражено"))</f>
        <v/>
      </c>
      <c r="T285">
        <f>IF($A285="","",COUNTIFS('Таблиця 1'!$B:$B,$A285,'Таблиця 1'!$E:$E,"Вз.зв'язку",'Таблиця 1'!$L:$L,"Уражено"))</f>
        <v/>
      </c>
      <c r="U285">
        <f>IF($A285="","",COUNTIFS('Таблиця 1'!$B:$B,$A285,'Таблиця 1'!$E:$E,"ПММ",'Таблиця 1'!$L:$L,"Уражено"))</f>
        <v/>
      </c>
      <c r="V285">
        <f>IF($A285="","",COUNTIFS('Таблиця 1'!$B:$B,$A285,'Таблиця 1'!$E:$E,"ІФС",'Таблиця 1'!$L:$L,"Уражено"))</f>
        <v/>
      </c>
      <c r="W285">
        <f>IF($A285="","",COUNTIFS('Таблиця 1'!$B:$B,$A285,'Таблиця 1'!$E:$E,"Інфраструктура",'Таблиця 1'!$L:$L,"Уражено"))</f>
        <v/>
      </c>
      <c r="X285">
        <f>IF($A285="","",SUMIFS('Таблиця 1'!$K:$K,'Таблиця 1'!$B:$B,$A285))</f>
        <v/>
      </c>
    </row>
    <row r="286">
      <c r="A286" s="81">
        <f>IF(A285="","",IF(A285+1&gt;MAX('Таблиця 1'!$B:$B),"",A285+1))</f>
        <v/>
      </c>
      <c r="B286">
        <f>IF($A286="","",COUNTIFS('Таблиця 1'!$B:$B,$A286,'Таблиця 1'!$E:$E,"ЖС ВЗ",'Таблиця 1'!$L:$L,"Уражено"))</f>
        <v/>
      </c>
      <c r="C286">
        <f>IF($A286="","",COUNTIFS('Таблиця 1'!$B:$B,$A286,'Таблиця 1'!$E:$E,"Арт. Системи",'Таблиця 1'!$L:$L,"Уражено"))</f>
        <v/>
      </c>
      <c r="D286">
        <f>IF($A286="","",COUNTIFS('Таблиця 1'!$B:$B,$A286,'Таблиця 1'!$E:$E,"ОВТ",'Таблиця 1'!$L:$L,"Уражено"))</f>
        <v/>
      </c>
      <c r="E286">
        <f>IF($A286="","",COUNTIFS('Таблиця 1'!$B:$B,$A286,'Таблиця 1'!$E:$E,"ППО",'Таблиця 1'!$L:$L,"Уражено"))</f>
        <v/>
      </c>
      <c r="F286">
        <f>IF($A286="","",COUNTIFS('Таблиця 1'!$B:$B,$A286,'Таблиця 1'!$E:$E,"Рембаза",'Таблиця 1'!$L:$L,"Уражено"))</f>
        <v/>
      </c>
      <c r="G286">
        <f>IF($A286="","",COUNTIFS('Таблиця 1'!$B:$B,$A286,'Таблиця 1'!$E:$E,"Склад БК",'Таблиця 1'!$L:$L,"Уражено"))</f>
        <v/>
      </c>
      <c r="H286">
        <f>IF($A286="","",COUNTIFS('Таблиця 1'!$B:$B,$A286,'Таблиця 1'!$E:$E,"Склад ВТМ",'Таблиця 1'!$L:$L,"Уражено"))</f>
        <v/>
      </c>
      <c r="I286">
        <f>IF($A286="","",COUNTIFS('Таблиця 1'!$B:$B,$A286,'Таблиця 1'!$E:$E,"ПУ БпЛА",'Таблиця 1'!$L:$L,"Уражено"))</f>
        <v/>
      </c>
      <c r="J286">
        <f>IF($A286="","",COUNTIFS('Таблиця 1'!$B:$B,$A286,'Таблиця 1'!$E:$E,"СП",'Таблиця 1'!$L:$L,"Уражено"))</f>
        <v/>
      </c>
      <c r="K286">
        <f>IF($A286="","",COUNTIFS('Таблиця 1'!$B:$B,$A286,'Таблиця 1'!$E:$E,"КСП роти",'Таблиця 1'!$L:$L,"Уражено"))</f>
        <v/>
      </c>
      <c r="L286">
        <f>IF($A286="","",COUNTIFS('Таблиця 1'!$B:$B,$A286,'Таблиця 1'!$E:$E,"ПУ бат",'Таблиця 1'!$L:$L,"Уражено"))</f>
        <v/>
      </c>
      <c r="M286">
        <f>IF($A286="","",COUNTIFS('Таблиця 1'!$B:$B,$A286,'Таблиця 1'!$E:$E,"ПУ бриг",'Таблиця 1'!$L:$L,"Уражено"))</f>
        <v/>
      </c>
      <c r="N286">
        <f>IF($A286="","",COUNTIFS('Таблиця 1'!$B:$B,$A286,'Таблиця 1'!$E:$E,"ПУ див",'Таблиця 1'!$L:$L,"Уражено"))</f>
        <v/>
      </c>
      <c r="O286">
        <f>IF($A286="","",COUNTIFS('Таблиця 1'!$B:$B,$A286,'Таблиця 1'!$E:$E,"обл. РЕБ",'Таблиця 1'!$L:$L,"Уражено"))</f>
        <v/>
      </c>
      <c r="P286">
        <f>IF($A286="","",COUNTIFS('Таблиця 1'!$B:$B,$A286,'Таблиця 1'!$E:$E,"пос РЕБ",'Таблиця 1'!$L:$L,"Уражено"))</f>
        <v/>
      </c>
      <c r="Q286">
        <f>IF($A286="","",COUNTIFS('Таблиця 1'!$B:$B,$A286,'Таблиця 1'!$E:$E,"група РЕР",'Таблиця 1'!$L:$L,"Уражено"))</f>
        <v/>
      </c>
      <c r="R286">
        <f>IF($A286="","",COUNTIFS('Таблиця 1'!$B:$B,$A286,'Таблиця 1'!$E:$E,"РЛС КББ",'Таблиця 1'!$L:$L,"Уражено"))</f>
        <v/>
      </c>
      <c r="S286">
        <f>IF($A286="","",COUNTIFS('Таблиця 1'!$B:$B,$A286,'Таблиця 1'!$E:$E,"Ретранслятор",'Таблиця 1'!$L:$L,"Уражено"))</f>
        <v/>
      </c>
      <c r="T286">
        <f>IF($A286="","",COUNTIFS('Таблиця 1'!$B:$B,$A286,'Таблиця 1'!$E:$E,"Вз.зв'язку",'Таблиця 1'!$L:$L,"Уражено"))</f>
        <v/>
      </c>
      <c r="U286">
        <f>IF($A286="","",COUNTIFS('Таблиця 1'!$B:$B,$A286,'Таблиця 1'!$E:$E,"ПММ",'Таблиця 1'!$L:$L,"Уражено"))</f>
        <v/>
      </c>
      <c r="V286">
        <f>IF($A286="","",COUNTIFS('Таблиця 1'!$B:$B,$A286,'Таблиця 1'!$E:$E,"ІФС",'Таблиця 1'!$L:$L,"Уражено"))</f>
        <v/>
      </c>
      <c r="W286">
        <f>IF($A286="","",COUNTIFS('Таблиця 1'!$B:$B,$A286,'Таблиця 1'!$E:$E,"Інфраструктура",'Таблиця 1'!$L:$L,"Уражено"))</f>
        <v/>
      </c>
      <c r="X286">
        <f>IF($A286="","",SUMIFS('Таблиця 1'!$K:$K,'Таблиця 1'!$B:$B,$A286))</f>
        <v/>
      </c>
    </row>
    <row r="287">
      <c r="A287" s="81">
        <f>IF(A286="","",IF(A286+1&gt;MAX('Таблиця 1'!$B:$B),"",A286+1))</f>
        <v/>
      </c>
      <c r="B287">
        <f>IF($A287="","",COUNTIFS('Таблиця 1'!$B:$B,$A287,'Таблиця 1'!$E:$E,"ЖС ВЗ",'Таблиця 1'!$L:$L,"Уражено"))</f>
        <v/>
      </c>
      <c r="C287">
        <f>IF($A287="","",COUNTIFS('Таблиця 1'!$B:$B,$A287,'Таблиця 1'!$E:$E,"Арт. Системи",'Таблиця 1'!$L:$L,"Уражено"))</f>
        <v/>
      </c>
      <c r="D287">
        <f>IF($A287="","",COUNTIFS('Таблиця 1'!$B:$B,$A287,'Таблиця 1'!$E:$E,"ОВТ",'Таблиця 1'!$L:$L,"Уражено"))</f>
        <v/>
      </c>
      <c r="E287">
        <f>IF($A287="","",COUNTIFS('Таблиця 1'!$B:$B,$A287,'Таблиця 1'!$E:$E,"ППО",'Таблиця 1'!$L:$L,"Уражено"))</f>
        <v/>
      </c>
      <c r="F287">
        <f>IF($A287="","",COUNTIFS('Таблиця 1'!$B:$B,$A287,'Таблиця 1'!$E:$E,"Рембаза",'Таблиця 1'!$L:$L,"Уражено"))</f>
        <v/>
      </c>
      <c r="G287">
        <f>IF($A287="","",COUNTIFS('Таблиця 1'!$B:$B,$A287,'Таблиця 1'!$E:$E,"Склад БК",'Таблиця 1'!$L:$L,"Уражено"))</f>
        <v/>
      </c>
      <c r="H287">
        <f>IF($A287="","",COUNTIFS('Таблиця 1'!$B:$B,$A287,'Таблиця 1'!$E:$E,"Склад ВТМ",'Таблиця 1'!$L:$L,"Уражено"))</f>
        <v/>
      </c>
      <c r="I287">
        <f>IF($A287="","",COUNTIFS('Таблиця 1'!$B:$B,$A287,'Таблиця 1'!$E:$E,"ПУ БпЛА",'Таблиця 1'!$L:$L,"Уражено"))</f>
        <v/>
      </c>
      <c r="J287">
        <f>IF($A287="","",COUNTIFS('Таблиця 1'!$B:$B,$A287,'Таблиця 1'!$E:$E,"СП",'Таблиця 1'!$L:$L,"Уражено"))</f>
        <v/>
      </c>
      <c r="K287">
        <f>IF($A287="","",COUNTIFS('Таблиця 1'!$B:$B,$A287,'Таблиця 1'!$E:$E,"КСП роти",'Таблиця 1'!$L:$L,"Уражено"))</f>
        <v/>
      </c>
      <c r="L287">
        <f>IF($A287="","",COUNTIFS('Таблиця 1'!$B:$B,$A287,'Таблиця 1'!$E:$E,"ПУ бат",'Таблиця 1'!$L:$L,"Уражено"))</f>
        <v/>
      </c>
      <c r="M287">
        <f>IF($A287="","",COUNTIFS('Таблиця 1'!$B:$B,$A287,'Таблиця 1'!$E:$E,"ПУ бриг",'Таблиця 1'!$L:$L,"Уражено"))</f>
        <v/>
      </c>
      <c r="N287">
        <f>IF($A287="","",COUNTIFS('Таблиця 1'!$B:$B,$A287,'Таблиця 1'!$E:$E,"ПУ див",'Таблиця 1'!$L:$L,"Уражено"))</f>
        <v/>
      </c>
      <c r="O287">
        <f>IF($A287="","",COUNTIFS('Таблиця 1'!$B:$B,$A287,'Таблиця 1'!$E:$E,"обл. РЕБ",'Таблиця 1'!$L:$L,"Уражено"))</f>
        <v/>
      </c>
      <c r="P287">
        <f>IF($A287="","",COUNTIFS('Таблиця 1'!$B:$B,$A287,'Таблиця 1'!$E:$E,"пос РЕБ",'Таблиця 1'!$L:$L,"Уражено"))</f>
        <v/>
      </c>
      <c r="Q287">
        <f>IF($A287="","",COUNTIFS('Таблиця 1'!$B:$B,$A287,'Таблиця 1'!$E:$E,"група РЕР",'Таблиця 1'!$L:$L,"Уражено"))</f>
        <v/>
      </c>
      <c r="R287">
        <f>IF($A287="","",COUNTIFS('Таблиця 1'!$B:$B,$A287,'Таблиця 1'!$E:$E,"РЛС КББ",'Таблиця 1'!$L:$L,"Уражено"))</f>
        <v/>
      </c>
      <c r="S287">
        <f>IF($A287="","",COUNTIFS('Таблиця 1'!$B:$B,$A287,'Таблиця 1'!$E:$E,"Ретранслятор",'Таблиця 1'!$L:$L,"Уражено"))</f>
        <v/>
      </c>
      <c r="T287">
        <f>IF($A287="","",COUNTIFS('Таблиця 1'!$B:$B,$A287,'Таблиця 1'!$E:$E,"Вз.зв'язку",'Таблиця 1'!$L:$L,"Уражено"))</f>
        <v/>
      </c>
      <c r="U287">
        <f>IF($A287="","",COUNTIFS('Таблиця 1'!$B:$B,$A287,'Таблиця 1'!$E:$E,"ПММ",'Таблиця 1'!$L:$L,"Уражено"))</f>
        <v/>
      </c>
      <c r="V287">
        <f>IF($A287="","",COUNTIFS('Таблиця 1'!$B:$B,$A287,'Таблиця 1'!$E:$E,"ІФС",'Таблиця 1'!$L:$L,"Уражено"))</f>
        <v/>
      </c>
      <c r="W287">
        <f>IF($A287="","",COUNTIFS('Таблиця 1'!$B:$B,$A287,'Таблиця 1'!$E:$E,"Інфраструктура",'Таблиця 1'!$L:$L,"Уражено"))</f>
        <v/>
      </c>
      <c r="X287">
        <f>IF($A287="","",SUMIFS('Таблиця 1'!$K:$K,'Таблиця 1'!$B:$B,$A287))</f>
        <v/>
      </c>
    </row>
    <row r="288">
      <c r="A288" s="81">
        <f>IF(A287="","",IF(A287+1&gt;MAX('Таблиця 1'!$B:$B),"",A287+1))</f>
        <v/>
      </c>
      <c r="B288">
        <f>IF($A288="","",COUNTIFS('Таблиця 1'!$B:$B,$A288,'Таблиця 1'!$E:$E,"ЖС ВЗ",'Таблиця 1'!$L:$L,"Уражено"))</f>
        <v/>
      </c>
      <c r="C288">
        <f>IF($A288="","",COUNTIFS('Таблиця 1'!$B:$B,$A288,'Таблиця 1'!$E:$E,"Арт. Системи",'Таблиця 1'!$L:$L,"Уражено"))</f>
        <v/>
      </c>
      <c r="D288">
        <f>IF($A288="","",COUNTIFS('Таблиця 1'!$B:$B,$A288,'Таблиця 1'!$E:$E,"ОВТ",'Таблиця 1'!$L:$L,"Уражено"))</f>
        <v/>
      </c>
      <c r="E288">
        <f>IF($A288="","",COUNTIFS('Таблиця 1'!$B:$B,$A288,'Таблиця 1'!$E:$E,"ППО",'Таблиця 1'!$L:$L,"Уражено"))</f>
        <v/>
      </c>
      <c r="F288">
        <f>IF($A288="","",COUNTIFS('Таблиця 1'!$B:$B,$A288,'Таблиця 1'!$E:$E,"Рембаза",'Таблиця 1'!$L:$L,"Уражено"))</f>
        <v/>
      </c>
      <c r="G288">
        <f>IF($A288="","",COUNTIFS('Таблиця 1'!$B:$B,$A288,'Таблиця 1'!$E:$E,"Склад БК",'Таблиця 1'!$L:$L,"Уражено"))</f>
        <v/>
      </c>
      <c r="H288">
        <f>IF($A288="","",COUNTIFS('Таблиця 1'!$B:$B,$A288,'Таблиця 1'!$E:$E,"Склад ВТМ",'Таблиця 1'!$L:$L,"Уражено"))</f>
        <v/>
      </c>
      <c r="I288">
        <f>IF($A288="","",COUNTIFS('Таблиця 1'!$B:$B,$A288,'Таблиця 1'!$E:$E,"ПУ БпЛА",'Таблиця 1'!$L:$L,"Уражено"))</f>
        <v/>
      </c>
      <c r="J288">
        <f>IF($A288="","",COUNTIFS('Таблиця 1'!$B:$B,$A288,'Таблиця 1'!$E:$E,"СП",'Таблиця 1'!$L:$L,"Уражено"))</f>
        <v/>
      </c>
      <c r="K288">
        <f>IF($A288="","",COUNTIFS('Таблиця 1'!$B:$B,$A288,'Таблиця 1'!$E:$E,"КСП роти",'Таблиця 1'!$L:$L,"Уражено"))</f>
        <v/>
      </c>
      <c r="L288">
        <f>IF($A288="","",COUNTIFS('Таблиця 1'!$B:$B,$A288,'Таблиця 1'!$E:$E,"ПУ бат",'Таблиця 1'!$L:$L,"Уражено"))</f>
        <v/>
      </c>
      <c r="M288">
        <f>IF($A288="","",COUNTIFS('Таблиця 1'!$B:$B,$A288,'Таблиця 1'!$E:$E,"ПУ бриг",'Таблиця 1'!$L:$L,"Уражено"))</f>
        <v/>
      </c>
      <c r="N288">
        <f>IF($A288="","",COUNTIFS('Таблиця 1'!$B:$B,$A288,'Таблиця 1'!$E:$E,"ПУ див",'Таблиця 1'!$L:$L,"Уражено"))</f>
        <v/>
      </c>
      <c r="O288">
        <f>IF($A288="","",COUNTIFS('Таблиця 1'!$B:$B,$A288,'Таблиця 1'!$E:$E,"обл. РЕБ",'Таблиця 1'!$L:$L,"Уражено"))</f>
        <v/>
      </c>
      <c r="P288">
        <f>IF($A288="","",COUNTIFS('Таблиця 1'!$B:$B,$A288,'Таблиця 1'!$E:$E,"пос РЕБ",'Таблиця 1'!$L:$L,"Уражено"))</f>
        <v/>
      </c>
      <c r="Q288">
        <f>IF($A288="","",COUNTIFS('Таблиця 1'!$B:$B,$A288,'Таблиця 1'!$E:$E,"група РЕР",'Таблиця 1'!$L:$L,"Уражено"))</f>
        <v/>
      </c>
      <c r="R288">
        <f>IF($A288="","",COUNTIFS('Таблиця 1'!$B:$B,$A288,'Таблиця 1'!$E:$E,"РЛС КББ",'Таблиця 1'!$L:$L,"Уражено"))</f>
        <v/>
      </c>
      <c r="S288">
        <f>IF($A288="","",COUNTIFS('Таблиця 1'!$B:$B,$A288,'Таблиця 1'!$E:$E,"Ретранслятор",'Таблиця 1'!$L:$L,"Уражено"))</f>
        <v/>
      </c>
      <c r="T288">
        <f>IF($A288="","",COUNTIFS('Таблиця 1'!$B:$B,$A288,'Таблиця 1'!$E:$E,"Вз.зв'язку",'Таблиця 1'!$L:$L,"Уражено"))</f>
        <v/>
      </c>
      <c r="U288">
        <f>IF($A288="","",COUNTIFS('Таблиця 1'!$B:$B,$A288,'Таблиця 1'!$E:$E,"ПММ",'Таблиця 1'!$L:$L,"Уражено"))</f>
        <v/>
      </c>
      <c r="V288">
        <f>IF($A288="","",COUNTIFS('Таблиця 1'!$B:$B,$A288,'Таблиця 1'!$E:$E,"ІФС",'Таблиця 1'!$L:$L,"Уражено"))</f>
        <v/>
      </c>
      <c r="W288">
        <f>IF($A288="","",COUNTIFS('Таблиця 1'!$B:$B,$A288,'Таблиця 1'!$E:$E,"Інфраструктура",'Таблиця 1'!$L:$L,"Уражено"))</f>
        <v/>
      </c>
      <c r="X288">
        <f>IF($A288="","",SUMIFS('Таблиця 1'!$K:$K,'Таблиця 1'!$B:$B,$A288))</f>
        <v/>
      </c>
    </row>
    <row r="289">
      <c r="A289" s="81">
        <f>IF(A288="","",IF(A288+1&gt;MAX('Таблиця 1'!$B:$B),"",A288+1))</f>
        <v/>
      </c>
      <c r="B289">
        <f>IF($A289="","",COUNTIFS('Таблиця 1'!$B:$B,$A289,'Таблиця 1'!$E:$E,"ЖС ВЗ",'Таблиця 1'!$L:$L,"Уражено"))</f>
        <v/>
      </c>
      <c r="C289">
        <f>IF($A289="","",COUNTIFS('Таблиця 1'!$B:$B,$A289,'Таблиця 1'!$E:$E,"Арт. Системи",'Таблиця 1'!$L:$L,"Уражено"))</f>
        <v/>
      </c>
      <c r="D289">
        <f>IF($A289="","",COUNTIFS('Таблиця 1'!$B:$B,$A289,'Таблиця 1'!$E:$E,"ОВТ",'Таблиця 1'!$L:$L,"Уражено"))</f>
        <v/>
      </c>
      <c r="E289">
        <f>IF($A289="","",COUNTIFS('Таблиця 1'!$B:$B,$A289,'Таблиця 1'!$E:$E,"ППО",'Таблиця 1'!$L:$L,"Уражено"))</f>
        <v/>
      </c>
      <c r="F289">
        <f>IF($A289="","",COUNTIFS('Таблиця 1'!$B:$B,$A289,'Таблиця 1'!$E:$E,"Рембаза",'Таблиця 1'!$L:$L,"Уражено"))</f>
        <v/>
      </c>
      <c r="G289">
        <f>IF($A289="","",COUNTIFS('Таблиця 1'!$B:$B,$A289,'Таблиця 1'!$E:$E,"Склад БК",'Таблиця 1'!$L:$L,"Уражено"))</f>
        <v/>
      </c>
      <c r="H289">
        <f>IF($A289="","",COUNTIFS('Таблиця 1'!$B:$B,$A289,'Таблиця 1'!$E:$E,"Склад ВТМ",'Таблиця 1'!$L:$L,"Уражено"))</f>
        <v/>
      </c>
      <c r="I289">
        <f>IF($A289="","",COUNTIFS('Таблиця 1'!$B:$B,$A289,'Таблиця 1'!$E:$E,"ПУ БпЛА",'Таблиця 1'!$L:$L,"Уражено"))</f>
        <v/>
      </c>
      <c r="J289">
        <f>IF($A289="","",COUNTIFS('Таблиця 1'!$B:$B,$A289,'Таблиця 1'!$E:$E,"СП",'Таблиця 1'!$L:$L,"Уражено"))</f>
        <v/>
      </c>
      <c r="K289">
        <f>IF($A289="","",COUNTIFS('Таблиця 1'!$B:$B,$A289,'Таблиця 1'!$E:$E,"КСП роти",'Таблиця 1'!$L:$L,"Уражено"))</f>
        <v/>
      </c>
      <c r="L289">
        <f>IF($A289="","",COUNTIFS('Таблиця 1'!$B:$B,$A289,'Таблиця 1'!$E:$E,"ПУ бат",'Таблиця 1'!$L:$L,"Уражено"))</f>
        <v/>
      </c>
      <c r="M289">
        <f>IF($A289="","",COUNTIFS('Таблиця 1'!$B:$B,$A289,'Таблиця 1'!$E:$E,"ПУ бриг",'Таблиця 1'!$L:$L,"Уражено"))</f>
        <v/>
      </c>
      <c r="N289">
        <f>IF($A289="","",COUNTIFS('Таблиця 1'!$B:$B,$A289,'Таблиця 1'!$E:$E,"ПУ див",'Таблиця 1'!$L:$L,"Уражено"))</f>
        <v/>
      </c>
      <c r="O289">
        <f>IF($A289="","",COUNTIFS('Таблиця 1'!$B:$B,$A289,'Таблиця 1'!$E:$E,"обл. РЕБ",'Таблиця 1'!$L:$L,"Уражено"))</f>
        <v/>
      </c>
      <c r="P289">
        <f>IF($A289="","",COUNTIFS('Таблиця 1'!$B:$B,$A289,'Таблиця 1'!$E:$E,"пос РЕБ",'Таблиця 1'!$L:$L,"Уражено"))</f>
        <v/>
      </c>
      <c r="Q289">
        <f>IF($A289="","",COUNTIFS('Таблиця 1'!$B:$B,$A289,'Таблиця 1'!$E:$E,"група РЕР",'Таблиця 1'!$L:$L,"Уражено"))</f>
        <v/>
      </c>
      <c r="R289">
        <f>IF($A289="","",COUNTIFS('Таблиця 1'!$B:$B,$A289,'Таблиця 1'!$E:$E,"РЛС КББ",'Таблиця 1'!$L:$L,"Уражено"))</f>
        <v/>
      </c>
      <c r="S289">
        <f>IF($A289="","",COUNTIFS('Таблиця 1'!$B:$B,$A289,'Таблиця 1'!$E:$E,"Ретранслятор",'Таблиця 1'!$L:$L,"Уражено"))</f>
        <v/>
      </c>
      <c r="T289">
        <f>IF($A289="","",COUNTIFS('Таблиця 1'!$B:$B,$A289,'Таблиця 1'!$E:$E,"Вз.зв'язку",'Таблиця 1'!$L:$L,"Уражено"))</f>
        <v/>
      </c>
      <c r="U289">
        <f>IF($A289="","",COUNTIFS('Таблиця 1'!$B:$B,$A289,'Таблиця 1'!$E:$E,"ПММ",'Таблиця 1'!$L:$L,"Уражено"))</f>
        <v/>
      </c>
      <c r="V289">
        <f>IF($A289="","",COUNTIFS('Таблиця 1'!$B:$B,$A289,'Таблиця 1'!$E:$E,"ІФС",'Таблиця 1'!$L:$L,"Уражено"))</f>
        <v/>
      </c>
      <c r="W289">
        <f>IF($A289="","",COUNTIFS('Таблиця 1'!$B:$B,$A289,'Таблиця 1'!$E:$E,"Інфраструктура",'Таблиця 1'!$L:$L,"Уражено"))</f>
        <v/>
      </c>
      <c r="X289">
        <f>IF($A289="","",SUMIFS('Таблиця 1'!$K:$K,'Таблиця 1'!$B:$B,$A289))</f>
        <v/>
      </c>
    </row>
    <row r="290">
      <c r="A290" s="81">
        <f>IF(A289="","",IF(A289+1&gt;MAX('Таблиця 1'!$B:$B),"",A289+1))</f>
        <v/>
      </c>
      <c r="B290">
        <f>IF($A290="","",COUNTIFS('Таблиця 1'!$B:$B,$A290,'Таблиця 1'!$E:$E,"ЖС ВЗ",'Таблиця 1'!$L:$L,"Уражено"))</f>
        <v/>
      </c>
      <c r="C290">
        <f>IF($A290="","",COUNTIFS('Таблиця 1'!$B:$B,$A290,'Таблиця 1'!$E:$E,"Арт. Системи",'Таблиця 1'!$L:$L,"Уражено"))</f>
        <v/>
      </c>
      <c r="D290">
        <f>IF($A290="","",COUNTIFS('Таблиця 1'!$B:$B,$A290,'Таблиця 1'!$E:$E,"ОВТ",'Таблиця 1'!$L:$L,"Уражено"))</f>
        <v/>
      </c>
      <c r="E290">
        <f>IF($A290="","",COUNTIFS('Таблиця 1'!$B:$B,$A290,'Таблиця 1'!$E:$E,"ППО",'Таблиця 1'!$L:$L,"Уражено"))</f>
        <v/>
      </c>
      <c r="F290">
        <f>IF($A290="","",COUNTIFS('Таблиця 1'!$B:$B,$A290,'Таблиця 1'!$E:$E,"Рембаза",'Таблиця 1'!$L:$L,"Уражено"))</f>
        <v/>
      </c>
      <c r="G290">
        <f>IF($A290="","",COUNTIFS('Таблиця 1'!$B:$B,$A290,'Таблиця 1'!$E:$E,"Склад БК",'Таблиця 1'!$L:$L,"Уражено"))</f>
        <v/>
      </c>
      <c r="H290">
        <f>IF($A290="","",COUNTIFS('Таблиця 1'!$B:$B,$A290,'Таблиця 1'!$E:$E,"Склад ВТМ",'Таблиця 1'!$L:$L,"Уражено"))</f>
        <v/>
      </c>
      <c r="I290">
        <f>IF($A290="","",COUNTIFS('Таблиця 1'!$B:$B,$A290,'Таблиця 1'!$E:$E,"ПУ БпЛА",'Таблиця 1'!$L:$L,"Уражено"))</f>
        <v/>
      </c>
      <c r="J290">
        <f>IF($A290="","",COUNTIFS('Таблиця 1'!$B:$B,$A290,'Таблиця 1'!$E:$E,"СП",'Таблиця 1'!$L:$L,"Уражено"))</f>
        <v/>
      </c>
      <c r="K290">
        <f>IF($A290="","",COUNTIFS('Таблиця 1'!$B:$B,$A290,'Таблиця 1'!$E:$E,"КСП роти",'Таблиця 1'!$L:$L,"Уражено"))</f>
        <v/>
      </c>
      <c r="L290">
        <f>IF($A290="","",COUNTIFS('Таблиця 1'!$B:$B,$A290,'Таблиця 1'!$E:$E,"ПУ бат",'Таблиця 1'!$L:$L,"Уражено"))</f>
        <v/>
      </c>
      <c r="M290">
        <f>IF($A290="","",COUNTIFS('Таблиця 1'!$B:$B,$A290,'Таблиця 1'!$E:$E,"ПУ бриг",'Таблиця 1'!$L:$L,"Уражено"))</f>
        <v/>
      </c>
      <c r="N290">
        <f>IF($A290="","",COUNTIFS('Таблиця 1'!$B:$B,$A290,'Таблиця 1'!$E:$E,"ПУ див",'Таблиця 1'!$L:$L,"Уражено"))</f>
        <v/>
      </c>
      <c r="O290">
        <f>IF($A290="","",COUNTIFS('Таблиця 1'!$B:$B,$A290,'Таблиця 1'!$E:$E,"обл. РЕБ",'Таблиця 1'!$L:$L,"Уражено"))</f>
        <v/>
      </c>
      <c r="P290">
        <f>IF($A290="","",COUNTIFS('Таблиця 1'!$B:$B,$A290,'Таблиця 1'!$E:$E,"пос РЕБ",'Таблиця 1'!$L:$L,"Уражено"))</f>
        <v/>
      </c>
      <c r="Q290">
        <f>IF($A290="","",COUNTIFS('Таблиця 1'!$B:$B,$A290,'Таблиця 1'!$E:$E,"група РЕР",'Таблиця 1'!$L:$L,"Уражено"))</f>
        <v/>
      </c>
      <c r="R290">
        <f>IF($A290="","",COUNTIFS('Таблиця 1'!$B:$B,$A290,'Таблиця 1'!$E:$E,"РЛС КББ",'Таблиця 1'!$L:$L,"Уражено"))</f>
        <v/>
      </c>
      <c r="S290">
        <f>IF($A290="","",COUNTIFS('Таблиця 1'!$B:$B,$A290,'Таблиця 1'!$E:$E,"Ретранслятор",'Таблиця 1'!$L:$L,"Уражено"))</f>
        <v/>
      </c>
      <c r="T290">
        <f>IF($A290="","",COUNTIFS('Таблиця 1'!$B:$B,$A290,'Таблиця 1'!$E:$E,"Вз.зв'язку",'Таблиця 1'!$L:$L,"Уражено"))</f>
        <v/>
      </c>
      <c r="U290">
        <f>IF($A290="","",COUNTIFS('Таблиця 1'!$B:$B,$A290,'Таблиця 1'!$E:$E,"ПММ",'Таблиця 1'!$L:$L,"Уражено"))</f>
        <v/>
      </c>
      <c r="V290">
        <f>IF($A290="","",COUNTIFS('Таблиця 1'!$B:$B,$A290,'Таблиця 1'!$E:$E,"ІФС",'Таблиця 1'!$L:$L,"Уражено"))</f>
        <v/>
      </c>
      <c r="W290">
        <f>IF($A290="","",COUNTIFS('Таблиця 1'!$B:$B,$A290,'Таблиця 1'!$E:$E,"Інфраструктура",'Таблиця 1'!$L:$L,"Уражено"))</f>
        <v/>
      </c>
      <c r="X290">
        <f>IF($A290="","",SUMIFS('Таблиця 1'!$K:$K,'Таблиця 1'!$B:$B,$A290))</f>
        <v/>
      </c>
    </row>
    <row r="291">
      <c r="A291" s="81">
        <f>IF(A290="","",IF(A290+1&gt;MAX('Таблиця 1'!$B:$B),"",A290+1))</f>
        <v/>
      </c>
      <c r="B291">
        <f>IF($A291="","",COUNTIFS('Таблиця 1'!$B:$B,$A291,'Таблиця 1'!$E:$E,"ЖС ВЗ",'Таблиця 1'!$L:$L,"Уражено"))</f>
        <v/>
      </c>
      <c r="C291">
        <f>IF($A291="","",COUNTIFS('Таблиця 1'!$B:$B,$A291,'Таблиця 1'!$E:$E,"Арт. Системи",'Таблиця 1'!$L:$L,"Уражено"))</f>
        <v/>
      </c>
      <c r="D291">
        <f>IF($A291="","",COUNTIFS('Таблиця 1'!$B:$B,$A291,'Таблиця 1'!$E:$E,"ОВТ",'Таблиця 1'!$L:$L,"Уражено"))</f>
        <v/>
      </c>
      <c r="E291">
        <f>IF($A291="","",COUNTIFS('Таблиця 1'!$B:$B,$A291,'Таблиця 1'!$E:$E,"ППО",'Таблиця 1'!$L:$L,"Уражено"))</f>
        <v/>
      </c>
      <c r="F291">
        <f>IF($A291="","",COUNTIFS('Таблиця 1'!$B:$B,$A291,'Таблиця 1'!$E:$E,"Рембаза",'Таблиця 1'!$L:$L,"Уражено"))</f>
        <v/>
      </c>
      <c r="G291">
        <f>IF($A291="","",COUNTIFS('Таблиця 1'!$B:$B,$A291,'Таблиця 1'!$E:$E,"Склад БК",'Таблиця 1'!$L:$L,"Уражено"))</f>
        <v/>
      </c>
      <c r="H291">
        <f>IF($A291="","",COUNTIFS('Таблиця 1'!$B:$B,$A291,'Таблиця 1'!$E:$E,"Склад ВТМ",'Таблиця 1'!$L:$L,"Уражено"))</f>
        <v/>
      </c>
      <c r="I291">
        <f>IF($A291="","",COUNTIFS('Таблиця 1'!$B:$B,$A291,'Таблиця 1'!$E:$E,"ПУ БпЛА",'Таблиця 1'!$L:$L,"Уражено"))</f>
        <v/>
      </c>
      <c r="J291">
        <f>IF($A291="","",COUNTIFS('Таблиця 1'!$B:$B,$A291,'Таблиця 1'!$E:$E,"СП",'Таблиця 1'!$L:$L,"Уражено"))</f>
        <v/>
      </c>
      <c r="K291">
        <f>IF($A291="","",COUNTIFS('Таблиця 1'!$B:$B,$A291,'Таблиця 1'!$E:$E,"КСП роти",'Таблиця 1'!$L:$L,"Уражено"))</f>
        <v/>
      </c>
      <c r="L291">
        <f>IF($A291="","",COUNTIFS('Таблиця 1'!$B:$B,$A291,'Таблиця 1'!$E:$E,"ПУ бат",'Таблиця 1'!$L:$L,"Уражено"))</f>
        <v/>
      </c>
      <c r="M291">
        <f>IF($A291="","",COUNTIFS('Таблиця 1'!$B:$B,$A291,'Таблиця 1'!$E:$E,"ПУ бриг",'Таблиця 1'!$L:$L,"Уражено"))</f>
        <v/>
      </c>
      <c r="N291">
        <f>IF($A291="","",COUNTIFS('Таблиця 1'!$B:$B,$A291,'Таблиця 1'!$E:$E,"ПУ див",'Таблиця 1'!$L:$L,"Уражено"))</f>
        <v/>
      </c>
      <c r="O291">
        <f>IF($A291="","",COUNTIFS('Таблиця 1'!$B:$B,$A291,'Таблиця 1'!$E:$E,"обл. РЕБ",'Таблиця 1'!$L:$L,"Уражено"))</f>
        <v/>
      </c>
      <c r="P291">
        <f>IF($A291="","",COUNTIFS('Таблиця 1'!$B:$B,$A291,'Таблиця 1'!$E:$E,"пос РЕБ",'Таблиця 1'!$L:$L,"Уражено"))</f>
        <v/>
      </c>
      <c r="Q291">
        <f>IF($A291="","",COUNTIFS('Таблиця 1'!$B:$B,$A291,'Таблиця 1'!$E:$E,"група РЕР",'Таблиця 1'!$L:$L,"Уражено"))</f>
        <v/>
      </c>
      <c r="R291">
        <f>IF($A291="","",COUNTIFS('Таблиця 1'!$B:$B,$A291,'Таблиця 1'!$E:$E,"РЛС КББ",'Таблиця 1'!$L:$L,"Уражено"))</f>
        <v/>
      </c>
      <c r="S291">
        <f>IF($A291="","",COUNTIFS('Таблиця 1'!$B:$B,$A291,'Таблиця 1'!$E:$E,"Ретранслятор",'Таблиця 1'!$L:$L,"Уражено"))</f>
        <v/>
      </c>
      <c r="T291">
        <f>IF($A291="","",COUNTIFS('Таблиця 1'!$B:$B,$A291,'Таблиця 1'!$E:$E,"Вз.зв'язку",'Таблиця 1'!$L:$L,"Уражено"))</f>
        <v/>
      </c>
      <c r="U291">
        <f>IF($A291="","",COUNTIFS('Таблиця 1'!$B:$B,$A291,'Таблиця 1'!$E:$E,"ПММ",'Таблиця 1'!$L:$L,"Уражено"))</f>
        <v/>
      </c>
      <c r="V291">
        <f>IF($A291="","",COUNTIFS('Таблиця 1'!$B:$B,$A291,'Таблиця 1'!$E:$E,"ІФС",'Таблиця 1'!$L:$L,"Уражено"))</f>
        <v/>
      </c>
      <c r="W291">
        <f>IF($A291="","",COUNTIFS('Таблиця 1'!$B:$B,$A291,'Таблиця 1'!$E:$E,"Інфраструктура",'Таблиця 1'!$L:$L,"Уражено"))</f>
        <v/>
      </c>
      <c r="X291">
        <f>IF($A291="","",SUMIFS('Таблиця 1'!$K:$K,'Таблиця 1'!$B:$B,$A291))</f>
        <v/>
      </c>
    </row>
    <row r="292">
      <c r="A292" s="81">
        <f>IF(A291="","",IF(A291+1&gt;MAX('Таблиця 1'!$B:$B),"",A291+1))</f>
        <v/>
      </c>
      <c r="B292">
        <f>IF($A292="","",COUNTIFS('Таблиця 1'!$B:$B,$A292,'Таблиця 1'!$E:$E,"ЖС ВЗ",'Таблиця 1'!$L:$L,"Уражено"))</f>
        <v/>
      </c>
      <c r="C292">
        <f>IF($A292="","",COUNTIFS('Таблиця 1'!$B:$B,$A292,'Таблиця 1'!$E:$E,"Арт. Системи",'Таблиця 1'!$L:$L,"Уражено"))</f>
        <v/>
      </c>
      <c r="D292">
        <f>IF($A292="","",COUNTIFS('Таблиця 1'!$B:$B,$A292,'Таблиця 1'!$E:$E,"ОВТ",'Таблиця 1'!$L:$L,"Уражено"))</f>
        <v/>
      </c>
      <c r="E292">
        <f>IF($A292="","",COUNTIFS('Таблиця 1'!$B:$B,$A292,'Таблиця 1'!$E:$E,"ППО",'Таблиця 1'!$L:$L,"Уражено"))</f>
        <v/>
      </c>
      <c r="F292">
        <f>IF($A292="","",COUNTIFS('Таблиця 1'!$B:$B,$A292,'Таблиця 1'!$E:$E,"Рембаза",'Таблиця 1'!$L:$L,"Уражено"))</f>
        <v/>
      </c>
      <c r="G292">
        <f>IF($A292="","",COUNTIFS('Таблиця 1'!$B:$B,$A292,'Таблиця 1'!$E:$E,"Склад БК",'Таблиця 1'!$L:$L,"Уражено"))</f>
        <v/>
      </c>
      <c r="H292">
        <f>IF($A292="","",COUNTIFS('Таблиця 1'!$B:$B,$A292,'Таблиця 1'!$E:$E,"Склад ВТМ",'Таблиця 1'!$L:$L,"Уражено"))</f>
        <v/>
      </c>
      <c r="I292">
        <f>IF($A292="","",COUNTIFS('Таблиця 1'!$B:$B,$A292,'Таблиця 1'!$E:$E,"ПУ БпЛА",'Таблиця 1'!$L:$L,"Уражено"))</f>
        <v/>
      </c>
      <c r="J292">
        <f>IF($A292="","",COUNTIFS('Таблиця 1'!$B:$B,$A292,'Таблиця 1'!$E:$E,"СП",'Таблиця 1'!$L:$L,"Уражено"))</f>
        <v/>
      </c>
      <c r="K292">
        <f>IF($A292="","",COUNTIFS('Таблиця 1'!$B:$B,$A292,'Таблиця 1'!$E:$E,"КСП роти",'Таблиця 1'!$L:$L,"Уражено"))</f>
        <v/>
      </c>
      <c r="L292">
        <f>IF($A292="","",COUNTIFS('Таблиця 1'!$B:$B,$A292,'Таблиця 1'!$E:$E,"ПУ бат",'Таблиця 1'!$L:$L,"Уражено"))</f>
        <v/>
      </c>
      <c r="M292">
        <f>IF($A292="","",COUNTIFS('Таблиця 1'!$B:$B,$A292,'Таблиця 1'!$E:$E,"ПУ бриг",'Таблиця 1'!$L:$L,"Уражено"))</f>
        <v/>
      </c>
      <c r="N292">
        <f>IF($A292="","",COUNTIFS('Таблиця 1'!$B:$B,$A292,'Таблиця 1'!$E:$E,"ПУ див",'Таблиця 1'!$L:$L,"Уражено"))</f>
        <v/>
      </c>
      <c r="O292">
        <f>IF($A292="","",COUNTIFS('Таблиця 1'!$B:$B,$A292,'Таблиця 1'!$E:$E,"обл. РЕБ",'Таблиця 1'!$L:$L,"Уражено"))</f>
        <v/>
      </c>
      <c r="P292">
        <f>IF($A292="","",COUNTIFS('Таблиця 1'!$B:$B,$A292,'Таблиця 1'!$E:$E,"пос РЕБ",'Таблиця 1'!$L:$L,"Уражено"))</f>
        <v/>
      </c>
      <c r="Q292">
        <f>IF($A292="","",COUNTIFS('Таблиця 1'!$B:$B,$A292,'Таблиця 1'!$E:$E,"група РЕР",'Таблиця 1'!$L:$L,"Уражено"))</f>
        <v/>
      </c>
      <c r="R292">
        <f>IF($A292="","",COUNTIFS('Таблиця 1'!$B:$B,$A292,'Таблиця 1'!$E:$E,"РЛС КББ",'Таблиця 1'!$L:$L,"Уражено"))</f>
        <v/>
      </c>
      <c r="S292">
        <f>IF($A292="","",COUNTIFS('Таблиця 1'!$B:$B,$A292,'Таблиця 1'!$E:$E,"Ретранслятор",'Таблиця 1'!$L:$L,"Уражено"))</f>
        <v/>
      </c>
      <c r="T292">
        <f>IF($A292="","",COUNTIFS('Таблиця 1'!$B:$B,$A292,'Таблиця 1'!$E:$E,"Вз.зв'язку",'Таблиця 1'!$L:$L,"Уражено"))</f>
        <v/>
      </c>
      <c r="U292">
        <f>IF($A292="","",COUNTIFS('Таблиця 1'!$B:$B,$A292,'Таблиця 1'!$E:$E,"ПММ",'Таблиця 1'!$L:$L,"Уражено"))</f>
        <v/>
      </c>
      <c r="V292">
        <f>IF($A292="","",COUNTIFS('Таблиця 1'!$B:$B,$A292,'Таблиця 1'!$E:$E,"ІФС",'Таблиця 1'!$L:$L,"Уражено"))</f>
        <v/>
      </c>
      <c r="W292">
        <f>IF($A292="","",COUNTIFS('Таблиця 1'!$B:$B,$A292,'Таблиця 1'!$E:$E,"Інфраструктура",'Таблиця 1'!$L:$L,"Уражено"))</f>
        <v/>
      </c>
      <c r="X292">
        <f>IF($A292="","",SUMIFS('Таблиця 1'!$K:$K,'Таблиця 1'!$B:$B,$A292))</f>
        <v/>
      </c>
    </row>
    <row r="293">
      <c r="A293" s="81">
        <f>IF(A292="","",IF(A292+1&gt;MAX('Таблиця 1'!$B:$B),"",A292+1))</f>
        <v/>
      </c>
      <c r="B293">
        <f>IF($A293="","",COUNTIFS('Таблиця 1'!$B:$B,$A293,'Таблиця 1'!$E:$E,"ЖС ВЗ",'Таблиця 1'!$L:$L,"Уражено"))</f>
        <v/>
      </c>
      <c r="C293">
        <f>IF($A293="","",COUNTIFS('Таблиця 1'!$B:$B,$A293,'Таблиця 1'!$E:$E,"Арт. Системи",'Таблиця 1'!$L:$L,"Уражено"))</f>
        <v/>
      </c>
      <c r="D293">
        <f>IF($A293="","",COUNTIFS('Таблиця 1'!$B:$B,$A293,'Таблиця 1'!$E:$E,"ОВТ",'Таблиця 1'!$L:$L,"Уражено"))</f>
        <v/>
      </c>
      <c r="E293">
        <f>IF($A293="","",COUNTIFS('Таблиця 1'!$B:$B,$A293,'Таблиця 1'!$E:$E,"ППО",'Таблиця 1'!$L:$L,"Уражено"))</f>
        <v/>
      </c>
      <c r="F293">
        <f>IF($A293="","",COUNTIFS('Таблиця 1'!$B:$B,$A293,'Таблиця 1'!$E:$E,"Рембаза",'Таблиця 1'!$L:$L,"Уражено"))</f>
        <v/>
      </c>
      <c r="G293">
        <f>IF($A293="","",COUNTIFS('Таблиця 1'!$B:$B,$A293,'Таблиця 1'!$E:$E,"Склад БК",'Таблиця 1'!$L:$L,"Уражено"))</f>
        <v/>
      </c>
      <c r="H293">
        <f>IF($A293="","",COUNTIFS('Таблиця 1'!$B:$B,$A293,'Таблиця 1'!$E:$E,"Склад ВТМ",'Таблиця 1'!$L:$L,"Уражено"))</f>
        <v/>
      </c>
      <c r="I293">
        <f>IF($A293="","",COUNTIFS('Таблиця 1'!$B:$B,$A293,'Таблиця 1'!$E:$E,"ПУ БпЛА",'Таблиця 1'!$L:$L,"Уражено"))</f>
        <v/>
      </c>
      <c r="J293">
        <f>IF($A293="","",COUNTIFS('Таблиця 1'!$B:$B,$A293,'Таблиця 1'!$E:$E,"СП",'Таблиця 1'!$L:$L,"Уражено"))</f>
        <v/>
      </c>
      <c r="K293">
        <f>IF($A293="","",COUNTIFS('Таблиця 1'!$B:$B,$A293,'Таблиця 1'!$E:$E,"КСП роти",'Таблиця 1'!$L:$L,"Уражено"))</f>
        <v/>
      </c>
      <c r="L293">
        <f>IF($A293="","",COUNTIFS('Таблиця 1'!$B:$B,$A293,'Таблиця 1'!$E:$E,"ПУ бат",'Таблиця 1'!$L:$L,"Уражено"))</f>
        <v/>
      </c>
      <c r="M293">
        <f>IF($A293="","",COUNTIFS('Таблиця 1'!$B:$B,$A293,'Таблиця 1'!$E:$E,"ПУ бриг",'Таблиця 1'!$L:$L,"Уражено"))</f>
        <v/>
      </c>
      <c r="N293">
        <f>IF($A293="","",COUNTIFS('Таблиця 1'!$B:$B,$A293,'Таблиця 1'!$E:$E,"ПУ див",'Таблиця 1'!$L:$L,"Уражено"))</f>
        <v/>
      </c>
      <c r="O293">
        <f>IF($A293="","",COUNTIFS('Таблиця 1'!$B:$B,$A293,'Таблиця 1'!$E:$E,"обл. РЕБ",'Таблиця 1'!$L:$L,"Уражено"))</f>
        <v/>
      </c>
      <c r="P293">
        <f>IF($A293="","",COUNTIFS('Таблиця 1'!$B:$B,$A293,'Таблиця 1'!$E:$E,"пос РЕБ",'Таблиця 1'!$L:$L,"Уражено"))</f>
        <v/>
      </c>
      <c r="Q293">
        <f>IF($A293="","",COUNTIFS('Таблиця 1'!$B:$B,$A293,'Таблиця 1'!$E:$E,"група РЕР",'Таблиця 1'!$L:$L,"Уражено"))</f>
        <v/>
      </c>
      <c r="R293">
        <f>IF($A293="","",COUNTIFS('Таблиця 1'!$B:$B,$A293,'Таблиця 1'!$E:$E,"РЛС КББ",'Таблиця 1'!$L:$L,"Уражено"))</f>
        <v/>
      </c>
      <c r="S293">
        <f>IF($A293="","",COUNTIFS('Таблиця 1'!$B:$B,$A293,'Таблиця 1'!$E:$E,"Ретранслятор",'Таблиця 1'!$L:$L,"Уражено"))</f>
        <v/>
      </c>
      <c r="T293">
        <f>IF($A293="","",COUNTIFS('Таблиця 1'!$B:$B,$A293,'Таблиця 1'!$E:$E,"Вз.зв'язку",'Таблиця 1'!$L:$L,"Уражено"))</f>
        <v/>
      </c>
      <c r="U293">
        <f>IF($A293="","",COUNTIFS('Таблиця 1'!$B:$B,$A293,'Таблиця 1'!$E:$E,"ПММ",'Таблиця 1'!$L:$L,"Уражено"))</f>
        <v/>
      </c>
      <c r="V293">
        <f>IF($A293="","",COUNTIFS('Таблиця 1'!$B:$B,$A293,'Таблиця 1'!$E:$E,"ІФС",'Таблиця 1'!$L:$L,"Уражено"))</f>
        <v/>
      </c>
      <c r="W293">
        <f>IF($A293="","",COUNTIFS('Таблиця 1'!$B:$B,$A293,'Таблиця 1'!$E:$E,"Інфраструктура",'Таблиця 1'!$L:$L,"Уражено"))</f>
        <v/>
      </c>
      <c r="X293">
        <f>IF($A293="","",SUMIFS('Таблиця 1'!$K:$K,'Таблиця 1'!$B:$B,$A293))</f>
        <v/>
      </c>
    </row>
    <row r="294">
      <c r="A294" s="81">
        <f>IF(A293="","",IF(A293+1&gt;MAX('Таблиця 1'!$B:$B),"",A293+1))</f>
        <v/>
      </c>
      <c r="B294">
        <f>IF($A294="","",COUNTIFS('Таблиця 1'!$B:$B,$A294,'Таблиця 1'!$E:$E,"ЖС ВЗ",'Таблиця 1'!$L:$L,"Уражено"))</f>
        <v/>
      </c>
      <c r="C294">
        <f>IF($A294="","",COUNTIFS('Таблиця 1'!$B:$B,$A294,'Таблиця 1'!$E:$E,"Арт. Системи",'Таблиця 1'!$L:$L,"Уражено"))</f>
        <v/>
      </c>
      <c r="D294">
        <f>IF($A294="","",COUNTIFS('Таблиця 1'!$B:$B,$A294,'Таблиця 1'!$E:$E,"ОВТ",'Таблиця 1'!$L:$L,"Уражено"))</f>
        <v/>
      </c>
      <c r="E294">
        <f>IF($A294="","",COUNTIFS('Таблиця 1'!$B:$B,$A294,'Таблиця 1'!$E:$E,"ППО",'Таблиця 1'!$L:$L,"Уражено"))</f>
        <v/>
      </c>
      <c r="F294">
        <f>IF($A294="","",COUNTIFS('Таблиця 1'!$B:$B,$A294,'Таблиця 1'!$E:$E,"Рембаза",'Таблиця 1'!$L:$L,"Уражено"))</f>
        <v/>
      </c>
      <c r="G294">
        <f>IF($A294="","",COUNTIFS('Таблиця 1'!$B:$B,$A294,'Таблиця 1'!$E:$E,"Склад БК",'Таблиця 1'!$L:$L,"Уражено"))</f>
        <v/>
      </c>
      <c r="H294">
        <f>IF($A294="","",COUNTIFS('Таблиця 1'!$B:$B,$A294,'Таблиця 1'!$E:$E,"Склад ВТМ",'Таблиця 1'!$L:$L,"Уражено"))</f>
        <v/>
      </c>
      <c r="I294">
        <f>IF($A294="","",COUNTIFS('Таблиця 1'!$B:$B,$A294,'Таблиця 1'!$E:$E,"ПУ БпЛА",'Таблиця 1'!$L:$L,"Уражено"))</f>
        <v/>
      </c>
      <c r="J294">
        <f>IF($A294="","",COUNTIFS('Таблиця 1'!$B:$B,$A294,'Таблиця 1'!$E:$E,"СП",'Таблиця 1'!$L:$L,"Уражено"))</f>
        <v/>
      </c>
      <c r="K294">
        <f>IF($A294="","",COUNTIFS('Таблиця 1'!$B:$B,$A294,'Таблиця 1'!$E:$E,"КСП роти",'Таблиця 1'!$L:$L,"Уражено"))</f>
        <v/>
      </c>
      <c r="L294">
        <f>IF($A294="","",COUNTIFS('Таблиця 1'!$B:$B,$A294,'Таблиця 1'!$E:$E,"ПУ бат",'Таблиця 1'!$L:$L,"Уражено"))</f>
        <v/>
      </c>
      <c r="M294">
        <f>IF($A294="","",COUNTIFS('Таблиця 1'!$B:$B,$A294,'Таблиця 1'!$E:$E,"ПУ бриг",'Таблиця 1'!$L:$L,"Уражено"))</f>
        <v/>
      </c>
      <c r="N294">
        <f>IF($A294="","",COUNTIFS('Таблиця 1'!$B:$B,$A294,'Таблиця 1'!$E:$E,"ПУ див",'Таблиця 1'!$L:$L,"Уражено"))</f>
        <v/>
      </c>
      <c r="O294">
        <f>IF($A294="","",COUNTIFS('Таблиця 1'!$B:$B,$A294,'Таблиця 1'!$E:$E,"обл. РЕБ",'Таблиця 1'!$L:$L,"Уражено"))</f>
        <v/>
      </c>
      <c r="P294">
        <f>IF($A294="","",COUNTIFS('Таблиця 1'!$B:$B,$A294,'Таблиця 1'!$E:$E,"пос РЕБ",'Таблиця 1'!$L:$L,"Уражено"))</f>
        <v/>
      </c>
      <c r="Q294">
        <f>IF($A294="","",COUNTIFS('Таблиця 1'!$B:$B,$A294,'Таблиця 1'!$E:$E,"група РЕР",'Таблиця 1'!$L:$L,"Уражено"))</f>
        <v/>
      </c>
      <c r="R294">
        <f>IF($A294="","",COUNTIFS('Таблиця 1'!$B:$B,$A294,'Таблиця 1'!$E:$E,"РЛС КББ",'Таблиця 1'!$L:$L,"Уражено"))</f>
        <v/>
      </c>
      <c r="S294">
        <f>IF($A294="","",COUNTIFS('Таблиця 1'!$B:$B,$A294,'Таблиця 1'!$E:$E,"Ретранслятор",'Таблиця 1'!$L:$L,"Уражено"))</f>
        <v/>
      </c>
      <c r="T294">
        <f>IF($A294="","",COUNTIFS('Таблиця 1'!$B:$B,$A294,'Таблиця 1'!$E:$E,"Вз.зв'язку",'Таблиця 1'!$L:$L,"Уражено"))</f>
        <v/>
      </c>
      <c r="U294">
        <f>IF($A294="","",COUNTIFS('Таблиця 1'!$B:$B,$A294,'Таблиця 1'!$E:$E,"ПММ",'Таблиця 1'!$L:$L,"Уражено"))</f>
        <v/>
      </c>
      <c r="V294">
        <f>IF($A294="","",COUNTIFS('Таблиця 1'!$B:$B,$A294,'Таблиця 1'!$E:$E,"ІФС",'Таблиця 1'!$L:$L,"Уражено"))</f>
        <v/>
      </c>
      <c r="W294">
        <f>IF($A294="","",COUNTIFS('Таблиця 1'!$B:$B,$A294,'Таблиця 1'!$E:$E,"Інфраструктура",'Таблиця 1'!$L:$L,"Уражено"))</f>
        <v/>
      </c>
      <c r="X294">
        <f>IF($A294="","",SUMIFS('Таблиця 1'!$K:$K,'Таблиця 1'!$B:$B,$A294))</f>
        <v/>
      </c>
    </row>
    <row r="295">
      <c r="A295" s="81">
        <f>IF(A294="","",IF(A294+1&gt;MAX('Таблиця 1'!$B:$B),"",A294+1))</f>
        <v/>
      </c>
      <c r="B295">
        <f>IF($A295="","",COUNTIFS('Таблиця 1'!$B:$B,$A295,'Таблиця 1'!$E:$E,"ЖС ВЗ",'Таблиця 1'!$L:$L,"Уражено"))</f>
        <v/>
      </c>
      <c r="C295">
        <f>IF($A295="","",COUNTIFS('Таблиця 1'!$B:$B,$A295,'Таблиця 1'!$E:$E,"Арт. Системи",'Таблиця 1'!$L:$L,"Уражено"))</f>
        <v/>
      </c>
      <c r="D295">
        <f>IF($A295="","",COUNTIFS('Таблиця 1'!$B:$B,$A295,'Таблиця 1'!$E:$E,"ОВТ",'Таблиця 1'!$L:$L,"Уражено"))</f>
        <v/>
      </c>
      <c r="E295">
        <f>IF($A295="","",COUNTIFS('Таблиця 1'!$B:$B,$A295,'Таблиця 1'!$E:$E,"ППО",'Таблиця 1'!$L:$L,"Уражено"))</f>
        <v/>
      </c>
      <c r="F295">
        <f>IF($A295="","",COUNTIFS('Таблиця 1'!$B:$B,$A295,'Таблиця 1'!$E:$E,"Рембаза",'Таблиця 1'!$L:$L,"Уражено"))</f>
        <v/>
      </c>
      <c r="G295">
        <f>IF($A295="","",COUNTIFS('Таблиця 1'!$B:$B,$A295,'Таблиця 1'!$E:$E,"Склад БК",'Таблиця 1'!$L:$L,"Уражено"))</f>
        <v/>
      </c>
      <c r="H295">
        <f>IF($A295="","",COUNTIFS('Таблиця 1'!$B:$B,$A295,'Таблиця 1'!$E:$E,"Склад ВТМ",'Таблиця 1'!$L:$L,"Уражено"))</f>
        <v/>
      </c>
      <c r="I295">
        <f>IF($A295="","",COUNTIFS('Таблиця 1'!$B:$B,$A295,'Таблиця 1'!$E:$E,"ПУ БпЛА",'Таблиця 1'!$L:$L,"Уражено"))</f>
        <v/>
      </c>
      <c r="J295">
        <f>IF($A295="","",COUNTIFS('Таблиця 1'!$B:$B,$A295,'Таблиця 1'!$E:$E,"СП",'Таблиця 1'!$L:$L,"Уражено"))</f>
        <v/>
      </c>
      <c r="K295">
        <f>IF($A295="","",COUNTIFS('Таблиця 1'!$B:$B,$A295,'Таблиця 1'!$E:$E,"КСП роти",'Таблиця 1'!$L:$L,"Уражено"))</f>
        <v/>
      </c>
      <c r="L295">
        <f>IF($A295="","",COUNTIFS('Таблиця 1'!$B:$B,$A295,'Таблиця 1'!$E:$E,"ПУ бат",'Таблиця 1'!$L:$L,"Уражено"))</f>
        <v/>
      </c>
      <c r="M295">
        <f>IF($A295="","",COUNTIFS('Таблиця 1'!$B:$B,$A295,'Таблиця 1'!$E:$E,"ПУ бриг",'Таблиця 1'!$L:$L,"Уражено"))</f>
        <v/>
      </c>
      <c r="N295">
        <f>IF($A295="","",COUNTIFS('Таблиця 1'!$B:$B,$A295,'Таблиця 1'!$E:$E,"ПУ див",'Таблиця 1'!$L:$L,"Уражено"))</f>
        <v/>
      </c>
      <c r="O295">
        <f>IF($A295="","",COUNTIFS('Таблиця 1'!$B:$B,$A295,'Таблиця 1'!$E:$E,"обл. РЕБ",'Таблиця 1'!$L:$L,"Уражено"))</f>
        <v/>
      </c>
      <c r="P295">
        <f>IF($A295="","",COUNTIFS('Таблиця 1'!$B:$B,$A295,'Таблиця 1'!$E:$E,"пос РЕБ",'Таблиця 1'!$L:$L,"Уражено"))</f>
        <v/>
      </c>
      <c r="Q295">
        <f>IF($A295="","",COUNTIFS('Таблиця 1'!$B:$B,$A295,'Таблиця 1'!$E:$E,"група РЕР",'Таблиця 1'!$L:$L,"Уражено"))</f>
        <v/>
      </c>
      <c r="R295">
        <f>IF($A295="","",COUNTIFS('Таблиця 1'!$B:$B,$A295,'Таблиця 1'!$E:$E,"РЛС КББ",'Таблиця 1'!$L:$L,"Уражено"))</f>
        <v/>
      </c>
      <c r="S295">
        <f>IF($A295="","",COUNTIFS('Таблиця 1'!$B:$B,$A295,'Таблиця 1'!$E:$E,"Ретранслятор",'Таблиця 1'!$L:$L,"Уражено"))</f>
        <v/>
      </c>
      <c r="T295">
        <f>IF($A295="","",COUNTIFS('Таблиця 1'!$B:$B,$A295,'Таблиця 1'!$E:$E,"Вз.зв'язку",'Таблиця 1'!$L:$L,"Уражено"))</f>
        <v/>
      </c>
      <c r="U295">
        <f>IF($A295="","",COUNTIFS('Таблиця 1'!$B:$B,$A295,'Таблиця 1'!$E:$E,"ПММ",'Таблиця 1'!$L:$L,"Уражено"))</f>
        <v/>
      </c>
      <c r="V295">
        <f>IF($A295="","",COUNTIFS('Таблиця 1'!$B:$B,$A295,'Таблиця 1'!$E:$E,"ІФС",'Таблиця 1'!$L:$L,"Уражено"))</f>
        <v/>
      </c>
      <c r="W295">
        <f>IF($A295="","",COUNTIFS('Таблиця 1'!$B:$B,$A295,'Таблиця 1'!$E:$E,"Інфраструктура",'Таблиця 1'!$L:$L,"Уражено"))</f>
        <v/>
      </c>
      <c r="X295">
        <f>IF($A295="","",SUMIFS('Таблиця 1'!$K:$K,'Таблиця 1'!$B:$B,$A295))</f>
        <v/>
      </c>
    </row>
    <row r="296">
      <c r="A296" s="81">
        <f>IF(A295="","",IF(A295+1&gt;MAX('Таблиця 1'!$B:$B),"",A295+1))</f>
        <v/>
      </c>
      <c r="B296">
        <f>IF($A296="","",COUNTIFS('Таблиця 1'!$B:$B,$A296,'Таблиця 1'!$E:$E,"ЖС ВЗ",'Таблиця 1'!$L:$L,"Уражено"))</f>
        <v/>
      </c>
      <c r="C296">
        <f>IF($A296="","",COUNTIFS('Таблиця 1'!$B:$B,$A296,'Таблиця 1'!$E:$E,"Арт. Системи",'Таблиця 1'!$L:$L,"Уражено"))</f>
        <v/>
      </c>
      <c r="D296">
        <f>IF($A296="","",COUNTIFS('Таблиця 1'!$B:$B,$A296,'Таблиця 1'!$E:$E,"ОВТ",'Таблиця 1'!$L:$L,"Уражено"))</f>
        <v/>
      </c>
      <c r="E296">
        <f>IF($A296="","",COUNTIFS('Таблиця 1'!$B:$B,$A296,'Таблиця 1'!$E:$E,"ППО",'Таблиця 1'!$L:$L,"Уражено"))</f>
        <v/>
      </c>
      <c r="F296">
        <f>IF($A296="","",COUNTIFS('Таблиця 1'!$B:$B,$A296,'Таблиця 1'!$E:$E,"Рембаза",'Таблиця 1'!$L:$L,"Уражено"))</f>
        <v/>
      </c>
      <c r="G296">
        <f>IF($A296="","",COUNTIFS('Таблиця 1'!$B:$B,$A296,'Таблиця 1'!$E:$E,"Склад БК",'Таблиця 1'!$L:$L,"Уражено"))</f>
        <v/>
      </c>
      <c r="H296">
        <f>IF($A296="","",COUNTIFS('Таблиця 1'!$B:$B,$A296,'Таблиця 1'!$E:$E,"Склад ВТМ",'Таблиця 1'!$L:$L,"Уражено"))</f>
        <v/>
      </c>
      <c r="I296">
        <f>IF($A296="","",COUNTIFS('Таблиця 1'!$B:$B,$A296,'Таблиця 1'!$E:$E,"ПУ БпЛА",'Таблиця 1'!$L:$L,"Уражено"))</f>
        <v/>
      </c>
      <c r="J296">
        <f>IF($A296="","",COUNTIFS('Таблиця 1'!$B:$B,$A296,'Таблиця 1'!$E:$E,"СП",'Таблиця 1'!$L:$L,"Уражено"))</f>
        <v/>
      </c>
      <c r="K296">
        <f>IF($A296="","",COUNTIFS('Таблиця 1'!$B:$B,$A296,'Таблиця 1'!$E:$E,"КСП роти",'Таблиця 1'!$L:$L,"Уражено"))</f>
        <v/>
      </c>
      <c r="L296">
        <f>IF($A296="","",COUNTIFS('Таблиця 1'!$B:$B,$A296,'Таблиця 1'!$E:$E,"ПУ бат",'Таблиця 1'!$L:$L,"Уражено"))</f>
        <v/>
      </c>
      <c r="M296">
        <f>IF($A296="","",COUNTIFS('Таблиця 1'!$B:$B,$A296,'Таблиця 1'!$E:$E,"ПУ бриг",'Таблиця 1'!$L:$L,"Уражено"))</f>
        <v/>
      </c>
      <c r="N296">
        <f>IF($A296="","",COUNTIFS('Таблиця 1'!$B:$B,$A296,'Таблиця 1'!$E:$E,"ПУ див",'Таблиця 1'!$L:$L,"Уражено"))</f>
        <v/>
      </c>
      <c r="O296">
        <f>IF($A296="","",COUNTIFS('Таблиця 1'!$B:$B,$A296,'Таблиця 1'!$E:$E,"обл. РЕБ",'Таблиця 1'!$L:$L,"Уражено"))</f>
        <v/>
      </c>
      <c r="P296">
        <f>IF($A296="","",COUNTIFS('Таблиця 1'!$B:$B,$A296,'Таблиця 1'!$E:$E,"пос РЕБ",'Таблиця 1'!$L:$L,"Уражено"))</f>
        <v/>
      </c>
      <c r="Q296">
        <f>IF($A296="","",COUNTIFS('Таблиця 1'!$B:$B,$A296,'Таблиця 1'!$E:$E,"група РЕР",'Таблиця 1'!$L:$L,"Уражено"))</f>
        <v/>
      </c>
      <c r="R296">
        <f>IF($A296="","",COUNTIFS('Таблиця 1'!$B:$B,$A296,'Таблиця 1'!$E:$E,"РЛС КББ",'Таблиця 1'!$L:$L,"Уражено"))</f>
        <v/>
      </c>
      <c r="S296">
        <f>IF($A296="","",COUNTIFS('Таблиця 1'!$B:$B,$A296,'Таблиця 1'!$E:$E,"Ретранслятор",'Таблиця 1'!$L:$L,"Уражено"))</f>
        <v/>
      </c>
      <c r="T296">
        <f>IF($A296="","",COUNTIFS('Таблиця 1'!$B:$B,$A296,'Таблиця 1'!$E:$E,"Вз.зв'язку",'Таблиця 1'!$L:$L,"Уражено"))</f>
        <v/>
      </c>
      <c r="U296">
        <f>IF($A296="","",COUNTIFS('Таблиця 1'!$B:$B,$A296,'Таблиця 1'!$E:$E,"ПММ",'Таблиця 1'!$L:$L,"Уражено"))</f>
        <v/>
      </c>
      <c r="V296">
        <f>IF($A296="","",COUNTIFS('Таблиця 1'!$B:$B,$A296,'Таблиця 1'!$E:$E,"ІФС",'Таблиця 1'!$L:$L,"Уражено"))</f>
        <v/>
      </c>
      <c r="W296">
        <f>IF($A296="","",COUNTIFS('Таблиця 1'!$B:$B,$A296,'Таблиця 1'!$E:$E,"Інфраструктура",'Таблиця 1'!$L:$L,"Уражено"))</f>
        <v/>
      </c>
      <c r="X296">
        <f>IF($A296="","",SUMIFS('Таблиця 1'!$K:$K,'Таблиця 1'!$B:$B,$A296))</f>
        <v/>
      </c>
    </row>
    <row r="297">
      <c r="A297" s="81">
        <f>IF(A296="","",IF(A296+1&gt;MAX('Таблиця 1'!$B:$B),"",A296+1))</f>
        <v/>
      </c>
      <c r="B297">
        <f>IF($A297="","",COUNTIFS('Таблиця 1'!$B:$B,$A297,'Таблиця 1'!$E:$E,"ЖС ВЗ",'Таблиця 1'!$L:$L,"Уражено"))</f>
        <v/>
      </c>
      <c r="C297">
        <f>IF($A297="","",COUNTIFS('Таблиця 1'!$B:$B,$A297,'Таблиця 1'!$E:$E,"Арт. Системи",'Таблиця 1'!$L:$L,"Уражено"))</f>
        <v/>
      </c>
      <c r="D297">
        <f>IF($A297="","",COUNTIFS('Таблиця 1'!$B:$B,$A297,'Таблиця 1'!$E:$E,"ОВТ",'Таблиця 1'!$L:$L,"Уражено"))</f>
        <v/>
      </c>
      <c r="E297">
        <f>IF($A297="","",COUNTIFS('Таблиця 1'!$B:$B,$A297,'Таблиця 1'!$E:$E,"ППО",'Таблиця 1'!$L:$L,"Уражено"))</f>
        <v/>
      </c>
      <c r="F297">
        <f>IF($A297="","",COUNTIFS('Таблиця 1'!$B:$B,$A297,'Таблиця 1'!$E:$E,"Рембаза",'Таблиця 1'!$L:$L,"Уражено"))</f>
        <v/>
      </c>
      <c r="G297">
        <f>IF($A297="","",COUNTIFS('Таблиця 1'!$B:$B,$A297,'Таблиця 1'!$E:$E,"Склад БК",'Таблиця 1'!$L:$L,"Уражено"))</f>
        <v/>
      </c>
      <c r="H297">
        <f>IF($A297="","",COUNTIFS('Таблиця 1'!$B:$B,$A297,'Таблиця 1'!$E:$E,"Склад ВТМ",'Таблиця 1'!$L:$L,"Уражено"))</f>
        <v/>
      </c>
      <c r="I297">
        <f>IF($A297="","",COUNTIFS('Таблиця 1'!$B:$B,$A297,'Таблиця 1'!$E:$E,"ПУ БпЛА",'Таблиця 1'!$L:$L,"Уражено"))</f>
        <v/>
      </c>
      <c r="J297">
        <f>IF($A297="","",COUNTIFS('Таблиця 1'!$B:$B,$A297,'Таблиця 1'!$E:$E,"СП",'Таблиця 1'!$L:$L,"Уражено"))</f>
        <v/>
      </c>
      <c r="K297">
        <f>IF($A297="","",COUNTIFS('Таблиця 1'!$B:$B,$A297,'Таблиця 1'!$E:$E,"КСП роти",'Таблиця 1'!$L:$L,"Уражено"))</f>
        <v/>
      </c>
      <c r="L297">
        <f>IF($A297="","",COUNTIFS('Таблиця 1'!$B:$B,$A297,'Таблиця 1'!$E:$E,"ПУ бат",'Таблиця 1'!$L:$L,"Уражено"))</f>
        <v/>
      </c>
      <c r="M297">
        <f>IF($A297="","",COUNTIFS('Таблиця 1'!$B:$B,$A297,'Таблиця 1'!$E:$E,"ПУ бриг",'Таблиця 1'!$L:$L,"Уражено"))</f>
        <v/>
      </c>
      <c r="N297">
        <f>IF($A297="","",COUNTIFS('Таблиця 1'!$B:$B,$A297,'Таблиця 1'!$E:$E,"ПУ див",'Таблиця 1'!$L:$L,"Уражено"))</f>
        <v/>
      </c>
      <c r="O297">
        <f>IF($A297="","",COUNTIFS('Таблиця 1'!$B:$B,$A297,'Таблиця 1'!$E:$E,"обл. РЕБ",'Таблиця 1'!$L:$L,"Уражено"))</f>
        <v/>
      </c>
      <c r="P297">
        <f>IF($A297="","",COUNTIFS('Таблиця 1'!$B:$B,$A297,'Таблиця 1'!$E:$E,"пос РЕБ",'Таблиця 1'!$L:$L,"Уражено"))</f>
        <v/>
      </c>
      <c r="Q297">
        <f>IF($A297="","",COUNTIFS('Таблиця 1'!$B:$B,$A297,'Таблиця 1'!$E:$E,"група РЕР",'Таблиця 1'!$L:$L,"Уражено"))</f>
        <v/>
      </c>
      <c r="R297">
        <f>IF($A297="","",COUNTIFS('Таблиця 1'!$B:$B,$A297,'Таблиця 1'!$E:$E,"РЛС КББ",'Таблиця 1'!$L:$L,"Уражено"))</f>
        <v/>
      </c>
      <c r="S297">
        <f>IF($A297="","",COUNTIFS('Таблиця 1'!$B:$B,$A297,'Таблиця 1'!$E:$E,"Ретранслятор",'Таблиця 1'!$L:$L,"Уражено"))</f>
        <v/>
      </c>
      <c r="T297">
        <f>IF($A297="","",COUNTIFS('Таблиця 1'!$B:$B,$A297,'Таблиця 1'!$E:$E,"Вз.зв'язку",'Таблиця 1'!$L:$L,"Уражено"))</f>
        <v/>
      </c>
      <c r="U297">
        <f>IF($A297="","",COUNTIFS('Таблиця 1'!$B:$B,$A297,'Таблиця 1'!$E:$E,"ПММ",'Таблиця 1'!$L:$L,"Уражено"))</f>
        <v/>
      </c>
      <c r="V297">
        <f>IF($A297="","",COUNTIFS('Таблиця 1'!$B:$B,$A297,'Таблиця 1'!$E:$E,"ІФС",'Таблиця 1'!$L:$L,"Уражено"))</f>
        <v/>
      </c>
      <c r="W297">
        <f>IF($A297="","",COUNTIFS('Таблиця 1'!$B:$B,$A297,'Таблиця 1'!$E:$E,"Інфраструктура",'Таблиця 1'!$L:$L,"Уражено"))</f>
        <v/>
      </c>
      <c r="X297">
        <f>IF($A297="","",SUMIFS('Таблиця 1'!$K:$K,'Таблиця 1'!$B:$B,$A297))</f>
        <v/>
      </c>
    </row>
    <row r="298">
      <c r="A298" s="81">
        <f>IF(A297="","",IF(A297+1&gt;MAX('Таблиця 1'!$B:$B),"",A297+1))</f>
        <v/>
      </c>
      <c r="B298">
        <f>IF($A298="","",COUNTIFS('Таблиця 1'!$B:$B,$A298,'Таблиця 1'!$E:$E,"ЖС ВЗ",'Таблиця 1'!$L:$L,"Уражено"))</f>
        <v/>
      </c>
      <c r="C298">
        <f>IF($A298="","",COUNTIFS('Таблиця 1'!$B:$B,$A298,'Таблиця 1'!$E:$E,"Арт. Системи",'Таблиця 1'!$L:$L,"Уражено"))</f>
        <v/>
      </c>
      <c r="D298">
        <f>IF($A298="","",COUNTIFS('Таблиця 1'!$B:$B,$A298,'Таблиця 1'!$E:$E,"ОВТ",'Таблиця 1'!$L:$L,"Уражено"))</f>
        <v/>
      </c>
      <c r="E298">
        <f>IF($A298="","",COUNTIFS('Таблиця 1'!$B:$B,$A298,'Таблиця 1'!$E:$E,"ППО",'Таблиця 1'!$L:$L,"Уражено"))</f>
        <v/>
      </c>
      <c r="F298">
        <f>IF($A298="","",COUNTIFS('Таблиця 1'!$B:$B,$A298,'Таблиця 1'!$E:$E,"Рембаза",'Таблиця 1'!$L:$L,"Уражено"))</f>
        <v/>
      </c>
      <c r="G298">
        <f>IF($A298="","",COUNTIFS('Таблиця 1'!$B:$B,$A298,'Таблиця 1'!$E:$E,"Склад БК",'Таблиця 1'!$L:$L,"Уражено"))</f>
        <v/>
      </c>
      <c r="H298">
        <f>IF($A298="","",COUNTIFS('Таблиця 1'!$B:$B,$A298,'Таблиця 1'!$E:$E,"Склад ВТМ",'Таблиця 1'!$L:$L,"Уражено"))</f>
        <v/>
      </c>
      <c r="I298">
        <f>IF($A298="","",COUNTIFS('Таблиця 1'!$B:$B,$A298,'Таблиця 1'!$E:$E,"ПУ БпЛА",'Таблиця 1'!$L:$L,"Уражено"))</f>
        <v/>
      </c>
      <c r="J298">
        <f>IF($A298="","",COUNTIFS('Таблиця 1'!$B:$B,$A298,'Таблиця 1'!$E:$E,"СП",'Таблиця 1'!$L:$L,"Уражено"))</f>
        <v/>
      </c>
      <c r="K298">
        <f>IF($A298="","",COUNTIFS('Таблиця 1'!$B:$B,$A298,'Таблиця 1'!$E:$E,"КСП роти",'Таблиця 1'!$L:$L,"Уражено"))</f>
        <v/>
      </c>
      <c r="L298">
        <f>IF($A298="","",COUNTIFS('Таблиця 1'!$B:$B,$A298,'Таблиця 1'!$E:$E,"ПУ бат",'Таблиця 1'!$L:$L,"Уражено"))</f>
        <v/>
      </c>
      <c r="M298">
        <f>IF($A298="","",COUNTIFS('Таблиця 1'!$B:$B,$A298,'Таблиця 1'!$E:$E,"ПУ бриг",'Таблиця 1'!$L:$L,"Уражено"))</f>
        <v/>
      </c>
      <c r="N298">
        <f>IF($A298="","",COUNTIFS('Таблиця 1'!$B:$B,$A298,'Таблиця 1'!$E:$E,"ПУ див",'Таблиця 1'!$L:$L,"Уражено"))</f>
        <v/>
      </c>
      <c r="O298">
        <f>IF($A298="","",COUNTIFS('Таблиця 1'!$B:$B,$A298,'Таблиця 1'!$E:$E,"обл. РЕБ",'Таблиця 1'!$L:$L,"Уражено"))</f>
        <v/>
      </c>
      <c r="P298">
        <f>IF($A298="","",COUNTIFS('Таблиця 1'!$B:$B,$A298,'Таблиця 1'!$E:$E,"пос РЕБ",'Таблиця 1'!$L:$L,"Уражено"))</f>
        <v/>
      </c>
      <c r="Q298">
        <f>IF($A298="","",COUNTIFS('Таблиця 1'!$B:$B,$A298,'Таблиця 1'!$E:$E,"група РЕР",'Таблиця 1'!$L:$L,"Уражено"))</f>
        <v/>
      </c>
      <c r="R298">
        <f>IF($A298="","",COUNTIFS('Таблиця 1'!$B:$B,$A298,'Таблиця 1'!$E:$E,"РЛС КББ",'Таблиця 1'!$L:$L,"Уражено"))</f>
        <v/>
      </c>
      <c r="S298">
        <f>IF($A298="","",COUNTIFS('Таблиця 1'!$B:$B,$A298,'Таблиця 1'!$E:$E,"Ретранслятор",'Таблиця 1'!$L:$L,"Уражено"))</f>
        <v/>
      </c>
      <c r="T298">
        <f>IF($A298="","",COUNTIFS('Таблиця 1'!$B:$B,$A298,'Таблиця 1'!$E:$E,"Вз.зв'язку",'Таблиця 1'!$L:$L,"Уражено"))</f>
        <v/>
      </c>
      <c r="U298">
        <f>IF($A298="","",COUNTIFS('Таблиця 1'!$B:$B,$A298,'Таблиця 1'!$E:$E,"ПММ",'Таблиця 1'!$L:$L,"Уражено"))</f>
        <v/>
      </c>
      <c r="V298">
        <f>IF($A298="","",COUNTIFS('Таблиця 1'!$B:$B,$A298,'Таблиця 1'!$E:$E,"ІФС",'Таблиця 1'!$L:$L,"Уражено"))</f>
        <v/>
      </c>
      <c r="W298">
        <f>IF($A298="","",COUNTIFS('Таблиця 1'!$B:$B,$A298,'Таблиця 1'!$E:$E,"Інфраструктура",'Таблиця 1'!$L:$L,"Уражено"))</f>
        <v/>
      </c>
      <c r="X298">
        <f>IF($A298="","",SUMIFS('Таблиця 1'!$K:$K,'Таблиця 1'!$B:$B,$A298))</f>
        <v/>
      </c>
    </row>
    <row r="299">
      <c r="A299" s="81">
        <f>IF(A298="","",IF(A298+1&gt;MAX('Таблиця 1'!$B:$B),"",A298+1))</f>
        <v/>
      </c>
      <c r="B299">
        <f>IF($A299="","",COUNTIFS('Таблиця 1'!$B:$B,$A299,'Таблиця 1'!$E:$E,"ЖС ВЗ",'Таблиця 1'!$L:$L,"Уражено"))</f>
        <v/>
      </c>
      <c r="C299">
        <f>IF($A299="","",COUNTIFS('Таблиця 1'!$B:$B,$A299,'Таблиця 1'!$E:$E,"Арт. Системи",'Таблиця 1'!$L:$L,"Уражено"))</f>
        <v/>
      </c>
      <c r="D299">
        <f>IF($A299="","",COUNTIFS('Таблиця 1'!$B:$B,$A299,'Таблиця 1'!$E:$E,"ОВТ",'Таблиця 1'!$L:$L,"Уражено"))</f>
        <v/>
      </c>
      <c r="E299">
        <f>IF($A299="","",COUNTIFS('Таблиця 1'!$B:$B,$A299,'Таблиця 1'!$E:$E,"ППО",'Таблиця 1'!$L:$L,"Уражено"))</f>
        <v/>
      </c>
      <c r="F299">
        <f>IF($A299="","",COUNTIFS('Таблиця 1'!$B:$B,$A299,'Таблиця 1'!$E:$E,"Рембаза",'Таблиця 1'!$L:$L,"Уражено"))</f>
        <v/>
      </c>
      <c r="G299">
        <f>IF($A299="","",COUNTIFS('Таблиця 1'!$B:$B,$A299,'Таблиця 1'!$E:$E,"Склад БК",'Таблиця 1'!$L:$L,"Уражено"))</f>
        <v/>
      </c>
      <c r="H299">
        <f>IF($A299="","",COUNTIFS('Таблиця 1'!$B:$B,$A299,'Таблиця 1'!$E:$E,"Склад ВТМ",'Таблиця 1'!$L:$L,"Уражено"))</f>
        <v/>
      </c>
      <c r="I299">
        <f>IF($A299="","",COUNTIFS('Таблиця 1'!$B:$B,$A299,'Таблиця 1'!$E:$E,"ПУ БпЛА",'Таблиця 1'!$L:$L,"Уражено"))</f>
        <v/>
      </c>
      <c r="J299">
        <f>IF($A299="","",COUNTIFS('Таблиця 1'!$B:$B,$A299,'Таблиця 1'!$E:$E,"СП",'Таблиця 1'!$L:$L,"Уражено"))</f>
        <v/>
      </c>
      <c r="K299">
        <f>IF($A299="","",COUNTIFS('Таблиця 1'!$B:$B,$A299,'Таблиця 1'!$E:$E,"КСП роти",'Таблиця 1'!$L:$L,"Уражено"))</f>
        <v/>
      </c>
      <c r="L299">
        <f>IF($A299="","",COUNTIFS('Таблиця 1'!$B:$B,$A299,'Таблиця 1'!$E:$E,"ПУ бат",'Таблиця 1'!$L:$L,"Уражено"))</f>
        <v/>
      </c>
      <c r="M299">
        <f>IF($A299="","",COUNTIFS('Таблиця 1'!$B:$B,$A299,'Таблиця 1'!$E:$E,"ПУ бриг",'Таблиця 1'!$L:$L,"Уражено"))</f>
        <v/>
      </c>
      <c r="N299">
        <f>IF($A299="","",COUNTIFS('Таблиця 1'!$B:$B,$A299,'Таблиця 1'!$E:$E,"ПУ див",'Таблиця 1'!$L:$L,"Уражено"))</f>
        <v/>
      </c>
      <c r="O299">
        <f>IF($A299="","",COUNTIFS('Таблиця 1'!$B:$B,$A299,'Таблиця 1'!$E:$E,"обл. РЕБ",'Таблиця 1'!$L:$L,"Уражено"))</f>
        <v/>
      </c>
      <c r="P299">
        <f>IF($A299="","",COUNTIFS('Таблиця 1'!$B:$B,$A299,'Таблиця 1'!$E:$E,"пос РЕБ",'Таблиця 1'!$L:$L,"Уражено"))</f>
        <v/>
      </c>
      <c r="Q299">
        <f>IF($A299="","",COUNTIFS('Таблиця 1'!$B:$B,$A299,'Таблиця 1'!$E:$E,"група РЕР",'Таблиця 1'!$L:$L,"Уражено"))</f>
        <v/>
      </c>
      <c r="R299">
        <f>IF($A299="","",COUNTIFS('Таблиця 1'!$B:$B,$A299,'Таблиця 1'!$E:$E,"РЛС КББ",'Таблиця 1'!$L:$L,"Уражено"))</f>
        <v/>
      </c>
      <c r="S299">
        <f>IF($A299="","",COUNTIFS('Таблиця 1'!$B:$B,$A299,'Таблиця 1'!$E:$E,"Ретранслятор",'Таблиця 1'!$L:$L,"Уражено"))</f>
        <v/>
      </c>
      <c r="T299">
        <f>IF($A299="","",COUNTIFS('Таблиця 1'!$B:$B,$A299,'Таблиця 1'!$E:$E,"Вз.зв'язку",'Таблиця 1'!$L:$L,"Уражено"))</f>
        <v/>
      </c>
      <c r="U299">
        <f>IF($A299="","",COUNTIFS('Таблиця 1'!$B:$B,$A299,'Таблиця 1'!$E:$E,"ПММ",'Таблиця 1'!$L:$L,"Уражено"))</f>
        <v/>
      </c>
      <c r="V299">
        <f>IF($A299="","",COUNTIFS('Таблиця 1'!$B:$B,$A299,'Таблиця 1'!$E:$E,"ІФС",'Таблиця 1'!$L:$L,"Уражено"))</f>
        <v/>
      </c>
      <c r="W299">
        <f>IF($A299="","",COUNTIFS('Таблиця 1'!$B:$B,$A299,'Таблиця 1'!$E:$E,"Інфраструктура",'Таблиця 1'!$L:$L,"Уражено"))</f>
        <v/>
      </c>
      <c r="X299">
        <f>IF($A299="","",SUMIFS('Таблиця 1'!$K:$K,'Таблиця 1'!$B:$B,$A299))</f>
        <v/>
      </c>
    </row>
    <row r="300">
      <c r="A300" s="81">
        <f>IF(A299="","",IF(A299+1&gt;MAX('Таблиця 1'!$B:$B),"",A299+1))</f>
        <v/>
      </c>
      <c r="B300">
        <f>IF($A300="","",COUNTIFS('Таблиця 1'!$B:$B,$A300,'Таблиця 1'!$E:$E,"ЖС ВЗ",'Таблиця 1'!$L:$L,"Уражено"))</f>
        <v/>
      </c>
      <c r="C300">
        <f>IF($A300="","",COUNTIFS('Таблиця 1'!$B:$B,$A300,'Таблиця 1'!$E:$E,"Арт. Системи",'Таблиця 1'!$L:$L,"Уражено"))</f>
        <v/>
      </c>
      <c r="D300">
        <f>IF($A300="","",COUNTIFS('Таблиця 1'!$B:$B,$A300,'Таблиця 1'!$E:$E,"ОВТ",'Таблиця 1'!$L:$L,"Уражено"))</f>
        <v/>
      </c>
      <c r="E300">
        <f>IF($A300="","",COUNTIFS('Таблиця 1'!$B:$B,$A300,'Таблиця 1'!$E:$E,"ППО",'Таблиця 1'!$L:$L,"Уражено"))</f>
        <v/>
      </c>
      <c r="F300">
        <f>IF($A300="","",COUNTIFS('Таблиця 1'!$B:$B,$A300,'Таблиця 1'!$E:$E,"Рембаза",'Таблиця 1'!$L:$L,"Уражено"))</f>
        <v/>
      </c>
      <c r="G300">
        <f>IF($A300="","",COUNTIFS('Таблиця 1'!$B:$B,$A300,'Таблиця 1'!$E:$E,"Склад БК",'Таблиця 1'!$L:$L,"Уражено"))</f>
        <v/>
      </c>
      <c r="H300">
        <f>IF($A300="","",COUNTIFS('Таблиця 1'!$B:$B,$A300,'Таблиця 1'!$E:$E,"Склад ВТМ",'Таблиця 1'!$L:$L,"Уражено"))</f>
        <v/>
      </c>
      <c r="I300">
        <f>IF($A300="","",COUNTIFS('Таблиця 1'!$B:$B,$A300,'Таблиця 1'!$E:$E,"ПУ БпЛА",'Таблиця 1'!$L:$L,"Уражено"))</f>
        <v/>
      </c>
      <c r="J300">
        <f>IF($A300="","",COUNTIFS('Таблиця 1'!$B:$B,$A300,'Таблиця 1'!$E:$E,"СП",'Таблиця 1'!$L:$L,"Уражено"))</f>
        <v/>
      </c>
      <c r="K300">
        <f>IF($A300="","",COUNTIFS('Таблиця 1'!$B:$B,$A300,'Таблиця 1'!$E:$E,"КСП роти",'Таблиця 1'!$L:$L,"Уражено"))</f>
        <v/>
      </c>
      <c r="L300">
        <f>IF($A300="","",COUNTIFS('Таблиця 1'!$B:$B,$A300,'Таблиця 1'!$E:$E,"ПУ бат",'Таблиця 1'!$L:$L,"Уражено"))</f>
        <v/>
      </c>
      <c r="M300">
        <f>IF($A300="","",COUNTIFS('Таблиця 1'!$B:$B,$A300,'Таблиця 1'!$E:$E,"ПУ бриг",'Таблиця 1'!$L:$L,"Уражено"))</f>
        <v/>
      </c>
      <c r="N300">
        <f>IF($A300="","",COUNTIFS('Таблиця 1'!$B:$B,$A300,'Таблиця 1'!$E:$E,"ПУ див",'Таблиця 1'!$L:$L,"Уражено"))</f>
        <v/>
      </c>
      <c r="O300">
        <f>IF($A300="","",COUNTIFS('Таблиця 1'!$B:$B,$A300,'Таблиця 1'!$E:$E,"обл. РЕБ",'Таблиця 1'!$L:$L,"Уражено"))</f>
        <v/>
      </c>
      <c r="P300">
        <f>IF($A300="","",COUNTIFS('Таблиця 1'!$B:$B,$A300,'Таблиця 1'!$E:$E,"пос РЕБ",'Таблиця 1'!$L:$L,"Уражено"))</f>
        <v/>
      </c>
      <c r="Q300">
        <f>IF($A300="","",COUNTIFS('Таблиця 1'!$B:$B,$A300,'Таблиця 1'!$E:$E,"група РЕР",'Таблиця 1'!$L:$L,"Уражено"))</f>
        <v/>
      </c>
      <c r="R300">
        <f>IF($A300="","",COUNTIFS('Таблиця 1'!$B:$B,$A300,'Таблиця 1'!$E:$E,"РЛС КББ",'Таблиця 1'!$L:$L,"Уражено"))</f>
        <v/>
      </c>
      <c r="S300">
        <f>IF($A300="","",COUNTIFS('Таблиця 1'!$B:$B,$A300,'Таблиця 1'!$E:$E,"Ретранслятор",'Таблиця 1'!$L:$L,"Уражено"))</f>
        <v/>
      </c>
      <c r="T300">
        <f>IF($A300="","",COUNTIFS('Таблиця 1'!$B:$B,$A300,'Таблиця 1'!$E:$E,"Вз.зв'язку",'Таблиця 1'!$L:$L,"Уражено"))</f>
        <v/>
      </c>
      <c r="U300">
        <f>IF($A300="","",COUNTIFS('Таблиця 1'!$B:$B,$A300,'Таблиця 1'!$E:$E,"ПММ",'Таблиця 1'!$L:$L,"Уражено"))</f>
        <v/>
      </c>
      <c r="V300">
        <f>IF($A300="","",COUNTIFS('Таблиця 1'!$B:$B,$A300,'Таблиця 1'!$E:$E,"ІФС",'Таблиця 1'!$L:$L,"Уражено"))</f>
        <v/>
      </c>
      <c r="W300">
        <f>IF($A300="","",COUNTIFS('Таблиця 1'!$B:$B,$A300,'Таблиця 1'!$E:$E,"Інфраструктура",'Таблиця 1'!$L:$L,"Уражено"))</f>
        <v/>
      </c>
      <c r="X300">
        <f>IF($A300="","",SUMIFS('Таблиця 1'!$K:$K,'Таблиця 1'!$B:$B,$A300))</f>
        <v/>
      </c>
    </row>
    <row r="301">
      <c r="A301" s="81">
        <f>IF(A300="","",IF(A300+1&gt;MAX('Таблиця 1'!$B:$B),"",A300+1))</f>
        <v/>
      </c>
      <c r="B301">
        <f>IF($A301="","",COUNTIFS('Таблиця 1'!$B:$B,$A301,'Таблиця 1'!$E:$E,"ЖС ВЗ",'Таблиця 1'!$L:$L,"Уражено"))</f>
        <v/>
      </c>
      <c r="C301">
        <f>IF($A301="","",COUNTIFS('Таблиця 1'!$B:$B,$A301,'Таблиця 1'!$E:$E,"Арт. Системи",'Таблиця 1'!$L:$L,"Уражено"))</f>
        <v/>
      </c>
      <c r="D301">
        <f>IF($A301="","",COUNTIFS('Таблиця 1'!$B:$B,$A301,'Таблиця 1'!$E:$E,"ОВТ",'Таблиця 1'!$L:$L,"Уражено"))</f>
        <v/>
      </c>
      <c r="E301">
        <f>IF($A301="","",COUNTIFS('Таблиця 1'!$B:$B,$A301,'Таблиця 1'!$E:$E,"ППО",'Таблиця 1'!$L:$L,"Уражено"))</f>
        <v/>
      </c>
      <c r="F301">
        <f>IF($A301="","",COUNTIFS('Таблиця 1'!$B:$B,$A301,'Таблиця 1'!$E:$E,"Рембаза",'Таблиця 1'!$L:$L,"Уражено"))</f>
        <v/>
      </c>
      <c r="G301">
        <f>IF($A301="","",COUNTIFS('Таблиця 1'!$B:$B,$A301,'Таблиця 1'!$E:$E,"Склад БК",'Таблиця 1'!$L:$L,"Уражено"))</f>
        <v/>
      </c>
      <c r="H301">
        <f>IF($A301="","",COUNTIFS('Таблиця 1'!$B:$B,$A301,'Таблиця 1'!$E:$E,"Склад ВТМ",'Таблиця 1'!$L:$L,"Уражено"))</f>
        <v/>
      </c>
      <c r="I301">
        <f>IF($A301="","",COUNTIFS('Таблиця 1'!$B:$B,$A301,'Таблиця 1'!$E:$E,"ПУ БпЛА",'Таблиця 1'!$L:$L,"Уражено"))</f>
        <v/>
      </c>
      <c r="J301">
        <f>IF($A301="","",COUNTIFS('Таблиця 1'!$B:$B,$A301,'Таблиця 1'!$E:$E,"СП",'Таблиця 1'!$L:$L,"Уражено"))</f>
        <v/>
      </c>
      <c r="K301">
        <f>IF($A301="","",COUNTIFS('Таблиця 1'!$B:$B,$A301,'Таблиця 1'!$E:$E,"КСП роти",'Таблиця 1'!$L:$L,"Уражено"))</f>
        <v/>
      </c>
      <c r="L301">
        <f>IF($A301="","",COUNTIFS('Таблиця 1'!$B:$B,$A301,'Таблиця 1'!$E:$E,"ПУ бат",'Таблиця 1'!$L:$L,"Уражено"))</f>
        <v/>
      </c>
      <c r="M301">
        <f>IF($A301="","",COUNTIFS('Таблиця 1'!$B:$B,$A301,'Таблиця 1'!$E:$E,"ПУ бриг",'Таблиця 1'!$L:$L,"Уражено"))</f>
        <v/>
      </c>
      <c r="N301">
        <f>IF($A301="","",COUNTIFS('Таблиця 1'!$B:$B,$A301,'Таблиця 1'!$E:$E,"ПУ див",'Таблиця 1'!$L:$L,"Уражено"))</f>
        <v/>
      </c>
      <c r="O301">
        <f>IF($A301="","",COUNTIFS('Таблиця 1'!$B:$B,$A301,'Таблиця 1'!$E:$E,"обл. РЕБ",'Таблиця 1'!$L:$L,"Уражено"))</f>
        <v/>
      </c>
      <c r="P301">
        <f>IF($A301="","",COUNTIFS('Таблиця 1'!$B:$B,$A301,'Таблиця 1'!$E:$E,"пос РЕБ",'Таблиця 1'!$L:$L,"Уражено"))</f>
        <v/>
      </c>
      <c r="Q301">
        <f>IF($A301="","",COUNTIFS('Таблиця 1'!$B:$B,$A301,'Таблиця 1'!$E:$E,"група РЕР",'Таблиця 1'!$L:$L,"Уражено"))</f>
        <v/>
      </c>
      <c r="R301">
        <f>IF($A301="","",COUNTIFS('Таблиця 1'!$B:$B,$A301,'Таблиця 1'!$E:$E,"РЛС КББ",'Таблиця 1'!$L:$L,"Уражено"))</f>
        <v/>
      </c>
      <c r="S301">
        <f>IF($A301="","",COUNTIFS('Таблиця 1'!$B:$B,$A301,'Таблиця 1'!$E:$E,"Ретранслятор",'Таблиця 1'!$L:$L,"Уражено"))</f>
        <v/>
      </c>
      <c r="T301">
        <f>IF($A301="","",COUNTIFS('Таблиця 1'!$B:$B,$A301,'Таблиця 1'!$E:$E,"Вз.зв'язку",'Таблиця 1'!$L:$L,"Уражено"))</f>
        <v/>
      </c>
      <c r="U301">
        <f>IF($A301="","",COUNTIFS('Таблиця 1'!$B:$B,$A301,'Таблиця 1'!$E:$E,"ПММ",'Таблиця 1'!$L:$L,"Уражено"))</f>
        <v/>
      </c>
      <c r="V301">
        <f>IF($A301="","",COUNTIFS('Таблиця 1'!$B:$B,$A301,'Таблиця 1'!$E:$E,"ІФС",'Таблиця 1'!$L:$L,"Уражено"))</f>
        <v/>
      </c>
      <c r="W301">
        <f>IF($A301="","",COUNTIFS('Таблиця 1'!$B:$B,$A301,'Таблиця 1'!$E:$E,"Інфраструктура",'Таблиця 1'!$L:$L,"Уражено"))</f>
        <v/>
      </c>
      <c r="X301">
        <f>IF($A301="","",SUMIFS('Таблиця 1'!$K:$K,'Таблиця 1'!$B:$B,$A301))</f>
        <v/>
      </c>
    </row>
    <row r="302">
      <c r="A302" s="81">
        <f>IF(A301="","",IF(A301+1&gt;MAX('Таблиця 1'!$B:$B),"",A301+1))</f>
        <v/>
      </c>
      <c r="B302">
        <f>IF($A302="","",COUNTIFS('Таблиця 1'!$B:$B,$A302,'Таблиця 1'!$E:$E,"ЖС ВЗ",'Таблиця 1'!$L:$L,"Уражено"))</f>
        <v/>
      </c>
      <c r="C302">
        <f>IF($A302="","",COUNTIFS('Таблиця 1'!$B:$B,$A302,'Таблиця 1'!$E:$E,"Арт. Системи",'Таблиця 1'!$L:$L,"Уражено"))</f>
        <v/>
      </c>
      <c r="D302">
        <f>IF($A302="","",COUNTIFS('Таблиця 1'!$B:$B,$A302,'Таблиця 1'!$E:$E,"ОВТ",'Таблиця 1'!$L:$L,"Уражено"))</f>
        <v/>
      </c>
      <c r="E302">
        <f>IF($A302="","",COUNTIFS('Таблиця 1'!$B:$B,$A302,'Таблиця 1'!$E:$E,"ППО",'Таблиця 1'!$L:$L,"Уражено"))</f>
        <v/>
      </c>
      <c r="F302">
        <f>IF($A302="","",COUNTIFS('Таблиця 1'!$B:$B,$A302,'Таблиця 1'!$E:$E,"Рембаза",'Таблиця 1'!$L:$L,"Уражено"))</f>
        <v/>
      </c>
      <c r="G302">
        <f>IF($A302="","",COUNTIFS('Таблиця 1'!$B:$B,$A302,'Таблиця 1'!$E:$E,"Склад БК",'Таблиця 1'!$L:$L,"Уражено"))</f>
        <v/>
      </c>
      <c r="H302">
        <f>IF($A302="","",COUNTIFS('Таблиця 1'!$B:$B,$A302,'Таблиця 1'!$E:$E,"Склад ВТМ",'Таблиця 1'!$L:$L,"Уражено"))</f>
        <v/>
      </c>
      <c r="I302">
        <f>IF($A302="","",COUNTIFS('Таблиця 1'!$B:$B,$A302,'Таблиця 1'!$E:$E,"ПУ БпЛА",'Таблиця 1'!$L:$L,"Уражено"))</f>
        <v/>
      </c>
      <c r="J302">
        <f>IF($A302="","",COUNTIFS('Таблиця 1'!$B:$B,$A302,'Таблиця 1'!$E:$E,"СП",'Таблиця 1'!$L:$L,"Уражено"))</f>
        <v/>
      </c>
      <c r="K302">
        <f>IF($A302="","",COUNTIFS('Таблиця 1'!$B:$B,$A302,'Таблиця 1'!$E:$E,"КСП роти",'Таблиця 1'!$L:$L,"Уражено"))</f>
        <v/>
      </c>
      <c r="L302">
        <f>IF($A302="","",COUNTIFS('Таблиця 1'!$B:$B,$A302,'Таблиця 1'!$E:$E,"ПУ бат",'Таблиця 1'!$L:$L,"Уражено"))</f>
        <v/>
      </c>
      <c r="M302">
        <f>IF($A302="","",COUNTIFS('Таблиця 1'!$B:$B,$A302,'Таблиця 1'!$E:$E,"ПУ бриг",'Таблиця 1'!$L:$L,"Уражено"))</f>
        <v/>
      </c>
      <c r="N302">
        <f>IF($A302="","",COUNTIFS('Таблиця 1'!$B:$B,$A302,'Таблиця 1'!$E:$E,"ПУ див",'Таблиця 1'!$L:$L,"Уражено"))</f>
        <v/>
      </c>
      <c r="O302">
        <f>IF($A302="","",COUNTIFS('Таблиця 1'!$B:$B,$A302,'Таблиця 1'!$E:$E,"обл. РЕБ",'Таблиця 1'!$L:$L,"Уражено"))</f>
        <v/>
      </c>
      <c r="P302">
        <f>IF($A302="","",COUNTIFS('Таблиця 1'!$B:$B,$A302,'Таблиця 1'!$E:$E,"пос РЕБ",'Таблиця 1'!$L:$L,"Уражено"))</f>
        <v/>
      </c>
      <c r="Q302">
        <f>IF($A302="","",COUNTIFS('Таблиця 1'!$B:$B,$A302,'Таблиця 1'!$E:$E,"група РЕР",'Таблиця 1'!$L:$L,"Уражено"))</f>
        <v/>
      </c>
      <c r="R302">
        <f>IF($A302="","",COUNTIFS('Таблиця 1'!$B:$B,$A302,'Таблиця 1'!$E:$E,"РЛС КББ",'Таблиця 1'!$L:$L,"Уражено"))</f>
        <v/>
      </c>
      <c r="S302">
        <f>IF($A302="","",COUNTIFS('Таблиця 1'!$B:$B,$A302,'Таблиця 1'!$E:$E,"Ретранслятор",'Таблиця 1'!$L:$L,"Уражено"))</f>
        <v/>
      </c>
      <c r="T302">
        <f>IF($A302="","",COUNTIFS('Таблиця 1'!$B:$B,$A302,'Таблиця 1'!$E:$E,"Вз.зв'язку",'Таблиця 1'!$L:$L,"Уражено"))</f>
        <v/>
      </c>
      <c r="U302">
        <f>IF($A302="","",COUNTIFS('Таблиця 1'!$B:$B,$A302,'Таблиця 1'!$E:$E,"ПММ",'Таблиця 1'!$L:$L,"Уражено"))</f>
        <v/>
      </c>
      <c r="V302">
        <f>IF($A302="","",COUNTIFS('Таблиця 1'!$B:$B,$A302,'Таблиця 1'!$E:$E,"ІФС",'Таблиця 1'!$L:$L,"Уражено"))</f>
        <v/>
      </c>
      <c r="W302">
        <f>IF($A302="","",COUNTIFS('Таблиця 1'!$B:$B,$A302,'Таблиця 1'!$E:$E,"Інфраструктура",'Таблиця 1'!$L:$L,"Уражено"))</f>
        <v/>
      </c>
      <c r="X302">
        <f>IF($A302="","",SUMIFS('Таблиця 1'!$K:$K,'Таблиця 1'!$B:$B,$A302))</f>
        <v/>
      </c>
    </row>
    <row r="303">
      <c r="A303" s="81">
        <f>IF(A302="","",IF(A302+1&gt;MAX('Таблиця 1'!$B:$B),"",A302+1))</f>
        <v/>
      </c>
      <c r="B303">
        <f>IF($A303="","",COUNTIFS('Таблиця 1'!$B:$B,$A303,'Таблиця 1'!$E:$E,"ЖС ВЗ",'Таблиця 1'!$L:$L,"Уражено"))</f>
        <v/>
      </c>
      <c r="C303">
        <f>IF($A303="","",COUNTIFS('Таблиця 1'!$B:$B,$A303,'Таблиця 1'!$E:$E,"Арт. Системи",'Таблиця 1'!$L:$L,"Уражено"))</f>
        <v/>
      </c>
      <c r="D303">
        <f>IF($A303="","",COUNTIFS('Таблиця 1'!$B:$B,$A303,'Таблиця 1'!$E:$E,"ОВТ",'Таблиця 1'!$L:$L,"Уражено"))</f>
        <v/>
      </c>
      <c r="E303">
        <f>IF($A303="","",COUNTIFS('Таблиця 1'!$B:$B,$A303,'Таблиця 1'!$E:$E,"ППО",'Таблиця 1'!$L:$L,"Уражено"))</f>
        <v/>
      </c>
      <c r="F303">
        <f>IF($A303="","",COUNTIFS('Таблиця 1'!$B:$B,$A303,'Таблиця 1'!$E:$E,"Рембаза",'Таблиця 1'!$L:$L,"Уражено"))</f>
        <v/>
      </c>
      <c r="G303">
        <f>IF($A303="","",COUNTIFS('Таблиця 1'!$B:$B,$A303,'Таблиця 1'!$E:$E,"Склад БК",'Таблиця 1'!$L:$L,"Уражено"))</f>
        <v/>
      </c>
      <c r="H303">
        <f>IF($A303="","",COUNTIFS('Таблиця 1'!$B:$B,$A303,'Таблиця 1'!$E:$E,"Склад ВТМ",'Таблиця 1'!$L:$L,"Уражено"))</f>
        <v/>
      </c>
      <c r="I303">
        <f>IF($A303="","",COUNTIFS('Таблиця 1'!$B:$B,$A303,'Таблиця 1'!$E:$E,"ПУ БпЛА",'Таблиця 1'!$L:$L,"Уражено"))</f>
        <v/>
      </c>
      <c r="J303">
        <f>IF($A303="","",COUNTIFS('Таблиця 1'!$B:$B,$A303,'Таблиця 1'!$E:$E,"СП",'Таблиця 1'!$L:$L,"Уражено"))</f>
        <v/>
      </c>
      <c r="K303">
        <f>IF($A303="","",COUNTIFS('Таблиця 1'!$B:$B,$A303,'Таблиця 1'!$E:$E,"КСП роти",'Таблиця 1'!$L:$L,"Уражено"))</f>
        <v/>
      </c>
      <c r="L303">
        <f>IF($A303="","",COUNTIFS('Таблиця 1'!$B:$B,$A303,'Таблиця 1'!$E:$E,"ПУ бат",'Таблиця 1'!$L:$L,"Уражено"))</f>
        <v/>
      </c>
      <c r="M303">
        <f>IF($A303="","",COUNTIFS('Таблиця 1'!$B:$B,$A303,'Таблиця 1'!$E:$E,"ПУ бриг",'Таблиця 1'!$L:$L,"Уражено"))</f>
        <v/>
      </c>
      <c r="N303">
        <f>IF($A303="","",COUNTIFS('Таблиця 1'!$B:$B,$A303,'Таблиця 1'!$E:$E,"ПУ див",'Таблиця 1'!$L:$L,"Уражено"))</f>
        <v/>
      </c>
      <c r="O303">
        <f>IF($A303="","",COUNTIFS('Таблиця 1'!$B:$B,$A303,'Таблиця 1'!$E:$E,"обл. РЕБ",'Таблиця 1'!$L:$L,"Уражено"))</f>
        <v/>
      </c>
      <c r="P303">
        <f>IF($A303="","",COUNTIFS('Таблиця 1'!$B:$B,$A303,'Таблиця 1'!$E:$E,"пос РЕБ",'Таблиця 1'!$L:$L,"Уражено"))</f>
        <v/>
      </c>
      <c r="Q303">
        <f>IF($A303="","",COUNTIFS('Таблиця 1'!$B:$B,$A303,'Таблиця 1'!$E:$E,"група РЕР",'Таблиця 1'!$L:$L,"Уражено"))</f>
        <v/>
      </c>
      <c r="R303">
        <f>IF($A303="","",COUNTIFS('Таблиця 1'!$B:$B,$A303,'Таблиця 1'!$E:$E,"РЛС КББ",'Таблиця 1'!$L:$L,"Уражено"))</f>
        <v/>
      </c>
      <c r="S303">
        <f>IF($A303="","",COUNTIFS('Таблиця 1'!$B:$B,$A303,'Таблиця 1'!$E:$E,"Ретранслятор",'Таблиця 1'!$L:$L,"Уражено"))</f>
        <v/>
      </c>
      <c r="T303">
        <f>IF($A303="","",COUNTIFS('Таблиця 1'!$B:$B,$A303,'Таблиця 1'!$E:$E,"Вз.зв'язку",'Таблиця 1'!$L:$L,"Уражено"))</f>
        <v/>
      </c>
      <c r="U303">
        <f>IF($A303="","",COUNTIFS('Таблиця 1'!$B:$B,$A303,'Таблиця 1'!$E:$E,"ПММ",'Таблиця 1'!$L:$L,"Уражено"))</f>
        <v/>
      </c>
      <c r="V303">
        <f>IF($A303="","",COUNTIFS('Таблиця 1'!$B:$B,$A303,'Таблиця 1'!$E:$E,"ІФС",'Таблиця 1'!$L:$L,"Уражено"))</f>
        <v/>
      </c>
      <c r="W303">
        <f>IF($A303="","",COUNTIFS('Таблиця 1'!$B:$B,$A303,'Таблиця 1'!$E:$E,"Інфраструктура",'Таблиця 1'!$L:$L,"Уражено"))</f>
        <v/>
      </c>
      <c r="X303">
        <f>IF($A303="","",SUMIFS('Таблиця 1'!$K:$K,'Таблиця 1'!$B:$B,$A303))</f>
        <v/>
      </c>
    </row>
    <row r="304">
      <c r="A304" s="81">
        <f>IF(A303="","",IF(A303+1&gt;MAX('Таблиця 1'!$B:$B),"",A303+1))</f>
        <v/>
      </c>
      <c r="B304">
        <f>IF($A304="","",COUNTIFS('Таблиця 1'!$B:$B,$A304,'Таблиця 1'!$E:$E,"ЖС ВЗ",'Таблиця 1'!$L:$L,"Уражено"))</f>
        <v/>
      </c>
      <c r="C304">
        <f>IF($A304="","",COUNTIFS('Таблиця 1'!$B:$B,$A304,'Таблиця 1'!$E:$E,"Арт. Системи",'Таблиця 1'!$L:$L,"Уражено"))</f>
        <v/>
      </c>
      <c r="D304">
        <f>IF($A304="","",COUNTIFS('Таблиця 1'!$B:$B,$A304,'Таблиця 1'!$E:$E,"ОВТ",'Таблиця 1'!$L:$L,"Уражено"))</f>
        <v/>
      </c>
      <c r="E304">
        <f>IF($A304="","",COUNTIFS('Таблиця 1'!$B:$B,$A304,'Таблиця 1'!$E:$E,"ППО",'Таблиця 1'!$L:$L,"Уражено"))</f>
        <v/>
      </c>
      <c r="F304">
        <f>IF($A304="","",COUNTIFS('Таблиця 1'!$B:$B,$A304,'Таблиця 1'!$E:$E,"Рембаза",'Таблиця 1'!$L:$L,"Уражено"))</f>
        <v/>
      </c>
      <c r="G304">
        <f>IF($A304="","",COUNTIFS('Таблиця 1'!$B:$B,$A304,'Таблиця 1'!$E:$E,"Склад БК",'Таблиця 1'!$L:$L,"Уражено"))</f>
        <v/>
      </c>
      <c r="H304">
        <f>IF($A304="","",COUNTIFS('Таблиця 1'!$B:$B,$A304,'Таблиця 1'!$E:$E,"Склад ВТМ",'Таблиця 1'!$L:$L,"Уражено"))</f>
        <v/>
      </c>
      <c r="I304">
        <f>IF($A304="","",COUNTIFS('Таблиця 1'!$B:$B,$A304,'Таблиця 1'!$E:$E,"ПУ БпЛА",'Таблиця 1'!$L:$L,"Уражено"))</f>
        <v/>
      </c>
      <c r="J304">
        <f>IF($A304="","",COUNTIFS('Таблиця 1'!$B:$B,$A304,'Таблиця 1'!$E:$E,"СП",'Таблиця 1'!$L:$L,"Уражено"))</f>
        <v/>
      </c>
      <c r="K304">
        <f>IF($A304="","",COUNTIFS('Таблиця 1'!$B:$B,$A304,'Таблиця 1'!$E:$E,"КСП роти",'Таблиця 1'!$L:$L,"Уражено"))</f>
        <v/>
      </c>
      <c r="L304">
        <f>IF($A304="","",COUNTIFS('Таблиця 1'!$B:$B,$A304,'Таблиця 1'!$E:$E,"ПУ бат",'Таблиця 1'!$L:$L,"Уражено"))</f>
        <v/>
      </c>
      <c r="M304">
        <f>IF($A304="","",COUNTIFS('Таблиця 1'!$B:$B,$A304,'Таблиця 1'!$E:$E,"ПУ бриг",'Таблиця 1'!$L:$L,"Уражено"))</f>
        <v/>
      </c>
      <c r="N304">
        <f>IF($A304="","",COUNTIFS('Таблиця 1'!$B:$B,$A304,'Таблиця 1'!$E:$E,"ПУ див",'Таблиця 1'!$L:$L,"Уражено"))</f>
        <v/>
      </c>
      <c r="O304">
        <f>IF($A304="","",COUNTIFS('Таблиця 1'!$B:$B,$A304,'Таблиця 1'!$E:$E,"обл. РЕБ",'Таблиця 1'!$L:$L,"Уражено"))</f>
        <v/>
      </c>
      <c r="P304">
        <f>IF($A304="","",COUNTIFS('Таблиця 1'!$B:$B,$A304,'Таблиця 1'!$E:$E,"пос РЕБ",'Таблиця 1'!$L:$L,"Уражено"))</f>
        <v/>
      </c>
      <c r="Q304">
        <f>IF($A304="","",COUNTIFS('Таблиця 1'!$B:$B,$A304,'Таблиця 1'!$E:$E,"група РЕР",'Таблиця 1'!$L:$L,"Уражено"))</f>
        <v/>
      </c>
      <c r="R304">
        <f>IF($A304="","",COUNTIFS('Таблиця 1'!$B:$B,$A304,'Таблиця 1'!$E:$E,"РЛС КББ",'Таблиця 1'!$L:$L,"Уражено"))</f>
        <v/>
      </c>
      <c r="S304">
        <f>IF($A304="","",COUNTIFS('Таблиця 1'!$B:$B,$A304,'Таблиця 1'!$E:$E,"Ретранслятор",'Таблиця 1'!$L:$L,"Уражено"))</f>
        <v/>
      </c>
      <c r="T304">
        <f>IF($A304="","",COUNTIFS('Таблиця 1'!$B:$B,$A304,'Таблиця 1'!$E:$E,"Вз.зв'язку",'Таблиця 1'!$L:$L,"Уражено"))</f>
        <v/>
      </c>
      <c r="U304">
        <f>IF($A304="","",COUNTIFS('Таблиця 1'!$B:$B,$A304,'Таблиця 1'!$E:$E,"ПММ",'Таблиця 1'!$L:$L,"Уражено"))</f>
        <v/>
      </c>
      <c r="V304">
        <f>IF($A304="","",COUNTIFS('Таблиця 1'!$B:$B,$A304,'Таблиця 1'!$E:$E,"ІФС",'Таблиця 1'!$L:$L,"Уражено"))</f>
        <v/>
      </c>
      <c r="W304">
        <f>IF($A304="","",COUNTIFS('Таблиця 1'!$B:$B,$A304,'Таблиця 1'!$E:$E,"Інфраструктура",'Таблиця 1'!$L:$L,"Уражено"))</f>
        <v/>
      </c>
      <c r="X304">
        <f>IF($A304="","",SUMIFS('Таблиця 1'!$K:$K,'Таблиця 1'!$B:$B,$A304))</f>
        <v/>
      </c>
    </row>
    <row r="305">
      <c r="A305" s="81">
        <f>IF(A304="","",IF(A304+1&gt;MAX('Таблиця 1'!$B:$B),"",A304+1))</f>
        <v/>
      </c>
      <c r="B305">
        <f>IF($A305="","",COUNTIFS('Таблиця 1'!$B:$B,$A305,'Таблиця 1'!$E:$E,"ЖС ВЗ",'Таблиця 1'!$L:$L,"Уражено"))</f>
        <v/>
      </c>
      <c r="C305">
        <f>IF($A305="","",COUNTIFS('Таблиця 1'!$B:$B,$A305,'Таблиця 1'!$E:$E,"Арт. Системи",'Таблиця 1'!$L:$L,"Уражено"))</f>
        <v/>
      </c>
      <c r="D305">
        <f>IF($A305="","",COUNTIFS('Таблиця 1'!$B:$B,$A305,'Таблиця 1'!$E:$E,"ОВТ",'Таблиця 1'!$L:$L,"Уражено"))</f>
        <v/>
      </c>
      <c r="E305">
        <f>IF($A305="","",COUNTIFS('Таблиця 1'!$B:$B,$A305,'Таблиця 1'!$E:$E,"ППО",'Таблиця 1'!$L:$L,"Уражено"))</f>
        <v/>
      </c>
      <c r="F305">
        <f>IF($A305="","",COUNTIFS('Таблиця 1'!$B:$B,$A305,'Таблиця 1'!$E:$E,"Рембаза",'Таблиця 1'!$L:$L,"Уражено"))</f>
        <v/>
      </c>
      <c r="G305">
        <f>IF($A305="","",COUNTIFS('Таблиця 1'!$B:$B,$A305,'Таблиця 1'!$E:$E,"Склад БК",'Таблиця 1'!$L:$L,"Уражено"))</f>
        <v/>
      </c>
      <c r="H305">
        <f>IF($A305="","",COUNTIFS('Таблиця 1'!$B:$B,$A305,'Таблиця 1'!$E:$E,"Склад ВТМ",'Таблиця 1'!$L:$L,"Уражено"))</f>
        <v/>
      </c>
      <c r="I305">
        <f>IF($A305="","",COUNTIFS('Таблиця 1'!$B:$B,$A305,'Таблиця 1'!$E:$E,"ПУ БпЛА",'Таблиця 1'!$L:$L,"Уражено"))</f>
        <v/>
      </c>
      <c r="J305">
        <f>IF($A305="","",COUNTIFS('Таблиця 1'!$B:$B,$A305,'Таблиця 1'!$E:$E,"СП",'Таблиця 1'!$L:$L,"Уражено"))</f>
        <v/>
      </c>
      <c r="K305">
        <f>IF($A305="","",COUNTIFS('Таблиця 1'!$B:$B,$A305,'Таблиця 1'!$E:$E,"КСП роти",'Таблиця 1'!$L:$L,"Уражено"))</f>
        <v/>
      </c>
      <c r="L305">
        <f>IF($A305="","",COUNTIFS('Таблиця 1'!$B:$B,$A305,'Таблиця 1'!$E:$E,"ПУ бат",'Таблиця 1'!$L:$L,"Уражено"))</f>
        <v/>
      </c>
      <c r="M305">
        <f>IF($A305="","",COUNTIFS('Таблиця 1'!$B:$B,$A305,'Таблиця 1'!$E:$E,"ПУ бриг",'Таблиця 1'!$L:$L,"Уражено"))</f>
        <v/>
      </c>
      <c r="N305">
        <f>IF($A305="","",COUNTIFS('Таблиця 1'!$B:$B,$A305,'Таблиця 1'!$E:$E,"ПУ див",'Таблиця 1'!$L:$L,"Уражено"))</f>
        <v/>
      </c>
      <c r="O305">
        <f>IF($A305="","",COUNTIFS('Таблиця 1'!$B:$B,$A305,'Таблиця 1'!$E:$E,"обл. РЕБ",'Таблиця 1'!$L:$L,"Уражено"))</f>
        <v/>
      </c>
      <c r="P305">
        <f>IF($A305="","",COUNTIFS('Таблиця 1'!$B:$B,$A305,'Таблиця 1'!$E:$E,"пос РЕБ",'Таблиця 1'!$L:$L,"Уражено"))</f>
        <v/>
      </c>
      <c r="Q305">
        <f>IF($A305="","",COUNTIFS('Таблиця 1'!$B:$B,$A305,'Таблиця 1'!$E:$E,"група РЕР",'Таблиця 1'!$L:$L,"Уражено"))</f>
        <v/>
      </c>
      <c r="R305">
        <f>IF($A305="","",COUNTIFS('Таблиця 1'!$B:$B,$A305,'Таблиця 1'!$E:$E,"РЛС КББ",'Таблиця 1'!$L:$L,"Уражено"))</f>
        <v/>
      </c>
      <c r="S305">
        <f>IF($A305="","",COUNTIFS('Таблиця 1'!$B:$B,$A305,'Таблиця 1'!$E:$E,"Ретранслятор",'Таблиця 1'!$L:$L,"Уражено"))</f>
        <v/>
      </c>
      <c r="T305">
        <f>IF($A305="","",COUNTIFS('Таблиця 1'!$B:$B,$A305,'Таблиця 1'!$E:$E,"Вз.зв'язку",'Таблиця 1'!$L:$L,"Уражено"))</f>
        <v/>
      </c>
      <c r="U305">
        <f>IF($A305="","",COUNTIFS('Таблиця 1'!$B:$B,$A305,'Таблиця 1'!$E:$E,"ПММ",'Таблиця 1'!$L:$L,"Уражено"))</f>
        <v/>
      </c>
      <c r="V305">
        <f>IF($A305="","",COUNTIFS('Таблиця 1'!$B:$B,$A305,'Таблиця 1'!$E:$E,"ІФС",'Таблиця 1'!$L:$L,"Уражено"))</f>
        <v/>
      </c>
      <c r="W305">
        <f>IF($A305="","",COUNTIFS('Таблиця 1'!$B:$B,$A305,'Таблиця 1'!$E:$E,"Інфраструктура",'Таблиця 1'!$L:$L,"Уражено"))</f>
        <v/>
      </c>
      <c r="X305">
        <f>IF($A305="","",SUMIFS('Таблиця 1'!$K:$K,'Таблиця 1'!$B:$B,$A305))</f>
        <v/>
      </c>
    </row>
    <row r="306">
      <c r="A306" s="81">
        <f>IF(A305="","",IF(A305+1&gt;MAX('Таблиця 1'!$B:$B),"",A305+1))</f>
        <v/>
      </c>
      <c r="B306">
        <f>IF($A306="","",COUNTIFS('Таблиця 1'!$B:$B,$A306,'Таблиця 1'!$E:$E,"ЖС ВЗ",'Таблиця 1'!$L:$L,"Уражено"))</f>
        <v/>
      </c>
      <c r="C306">
        <f>IF($A306="","",COUNTIFS('Таблиця 1'!$B:$B,$A306,'Таблиця 1'!$E:$E,"Арт. Системи",'Таблиця 1'!$L:$L,"Уражено"))</f>
        <v/>
      </c>
      <c r="D306">
        <f>IF($A306="","",COUNTIFS('Таблиця 1'!$B:$B,$A306,'Таблиця 1'!$E:$E,"ОВТ",'Таблиця 1'!$L:$L,"Уражено"))</f>
        <v/>
      </c>
      <c r="E306">
        <f>IF($A306="","",COUNTIFS('Таблиця 1'!$B:$B,$A306,'Таблиця 1'!$E:$E,"ППО",'Таблиця 1'!$L:$L,"Уражено"))</f>
        <v/>
      </c>
      <c r="F306">
        <f>IF($A306="","",COUNTIFS('Таблиця 1'!$B:$B,$A306,'Таблиця 1'!$E:$E,"Рембаза",'Таблиця 1'!$L:$L,"Уражено"))</f>
        <v/>
      </c>
      <c r="G306">
        <f>IF($A306="","",COUNTIFS('Таблиця 1'!$B:$B,$A306,'Таблиця 1'!$E:$E,"Склад БК",'Таблиця 1'!$L:$L,"Уражено"))</f>
        <v/>
      </c>
      <c r="H306">
        <f>IF($A306="","",COUNTIFS('Таблиця 1'!$B:$B,$A306,'Таблиця 1'!$E:$E,"Склад ВТМ",'Таблиця 1'!$L:$L,"Уражено"))</f>
        <v/>
      </c>
      <c r="I306">
        <f>IF($A306="","",COUNTIFS('Таблиця 1'!$B:$B,$A306,'Таблиця 1'!$E:$E,"ПУ БпЛА",'Таблиця 1'!$L:$L,"Уражено"))</f>
        <v/>
      </c>
      <c r="J306">
        <f>IF($A306="","",COUNTIFS('Таблиця 1'!$B:$B,$A306,'Таблиця 1'!$E:$E,"СП",'Таблиця 1'!$L:$L,"Уражено"))</f>
        <v/>
      </c>
      <c r="K306">
        <f>IF($A306="","",COUNTIFS('Таблиця 1'!$B:$B,$A306,'Таблиця 1'!$E:$E,"КСП роти",'Таблиця 1'!$L:$L,"Уражено"))</f>
        <v/>
      </c>
      <c r="L306">
        <f>IF($A306="","",COUNTIFS('Таблиця 1'!$B:$B,$A306,'Таблиця 1'!$E:$E,"ПУ бат",'Таблиця 1'!$L:$L,"Уражено"))</f>
        <v/>
      </c>
      <c r="M306">
        <f>IF($A306="","",COUNTIFS('Таблиця 1'!$B:$B,$A306,'Таблиця 1'!$E:$E,"ПУ бриг",'Таблиця 1'!$L:$L,"Уражено"))</f>
        <v/>
      </c>
      <c r="N306">
        <f>IF($A306="","",COUNTIFS('Таблиця 1'!$B:$B,$A306,'Таблиця 1'!$E:$E,"ПУ див",'Таблиця 1'!$L:$L,"Уражено"))</f>
        <v/>
      </c>
      <c r="O306">
        <f>IF($A306="","",COUNTIFS('Таблиця 1'!$B:$B,$A306,'Таблиця 1'!$E:$E,"обл. РЕБ",'Таблиця 1'!$L:$L,"Уражено"))</f>
        <v/>
      </c>
      <c r="P306">
        <f>IF($A306="","",COUNTIFS('Таблиця 1'!$B:$B,$A306,'Таблиця 1'!$E:$E,"пос РЕБ",'Таблиця 1'!$L:$L,"Уражено"))</f>
        <v/>
      </c>
      <c r="Q306">
        <f>IF($A306="","",COUNTIFS('Таблиця 1'!$B:$B,$A306,'Таблиця 1'!$E:$E,"група РЕР",'Таблиця 1'!$L:$L,"Уражено"))</f>
        <v/>
      </c>
      <c r="R306">
        <f>IF($A306="","",COUNTIFS('Таблиця 1'!$B:$B,$A306,'Таблиця 1'!$E:$E,"РЛС КББ",'Таблиця 1'!$L:$L,"Уражено"))</f>
        <v/>
      </c>
      <c r="S306">
        <f>IF($A306="","",COUNTIFS('Таблиця 1'!$B:$B,$A306,'Таблиця 1'!$E:$E,"Ретранслятор",'Таблиця 1'!$L:$L,"Уражено"))</f>
        <v/>
      </c>
      <c r="T306">
        <f>IF($A306="","",COUNTIFS('Таблиця 1'!$B:$B,$A306,'Таблиця 1'!$E:$E,"Вз.зв'язку",'Таблиця 1'!$L:$L,"Уражено"))</f>
        <v/>
      </c>
      <c r="U306">
        <f>IF($A306="","",COUNTIFS('Таблиця 1'!$B:$B,$A306,'Таблиця 1'!$E:$E,"ПММ",'Таблиця 1'!$L:$L,"Уражено"))</f>
        <v/>
      </c>
      <c r="V306">
        <f>IF($A306="","",COUNTIFS('Таблиця 1'!$B:$B,$A306,'Таблиця 1'!$E:$E,"ІФС",'Таблиця 1'!$L:$L,"Уражено"))</f>
        <v/>
      </c>
      <c r="W306">
        <f>IF($A306="","",COUNTIFS('Таблиця 1'!$B:$B,$A306,'Таблиця 1'!$E:$E,"Інфраструктура",'Таблиця 1'!$L:$L,"Уражено"))</f>
        <v/>
      </c>
      <c r="X306">
        <f>IF($A306="","",SUMIFS('Таблиця 1'!$K:$K,'Таблиця 1'!$B:$B,$A306))</f>
        <v/>
      </c>
    </row>
    <row r="307">
      <c r="A307" s="81">
        <f>IF(A306="","",IF(A306+1&gt;MAX('Таблиця 1'!$B:$B),"",A306+1))</f>
        <v/>
      </c>
      <c r="B307">
        <f>IF($A307="","",COUNTIFS('Таблиця 1'!$B:$B,$A307,'Таблиця 1'!$E:$E,"ЖС ВЗ",'Таблиця 1'!$L:$L,"Уражено"))</f>
        <v/>
      </c>
      <c r="C307">
        <f>IF($A307="","",COUNTIFS('Таблиця 1'!$B:$B,$A307,'Таблиця 1'!$E:$E,"Арт. Системи",'Таблиця 1'!$L:$L,"Уражено"))</f>
        <v/>
      </c>
      <c r="D307">
        <f>IF($A307="","",COUNTIFS('Таблиця 1'!$B:$B,$A307,'Таблиця 1'!$E:$E,"ОВТ",'Таблиця 1'!$L:$L,"Уражено"))</f>
        <v/>
      </c>
      <c r="E307">
        <f>IF($A307="","",COUNTIFS('Таблиця 1'!$B:$B,$A307,'Таблиця 1'!$E:$E,"ППО",'Таблиця 1'!$L:$L,"Уражено"))</f>
        <v/>
      </c>
      <c r="F307">
        <f>IF($A307="","",COUNTIFS('Таблиця 1'!$B:$B,$A307,'Таблиця 1'!$E:$E,"Рембаза",'Таблиця 1'!$L:$L,"Уражено"))</f>
        <v/>
      </c>
      <c r="G307">
        <f>IF($A307="","",COUNTIFS('Таблиця 1'!$B:$B,$A307,'Таблиця 1'!$E:$E,"Склад БК",'Таблиця 1'!$L:$L,"Уражено"))</f>
        <v/>
      </c>
      <c r="H307">
        <f>IF($A307="","",COUNTIFS('Таблиця 1'!$B:$B,$A307,'Таблиця 1'!$E:$E,"Склад ВТМ",'Таблиця 1'!$L:$L,"Уражено"))</f>
        <v/>
      </c>
      <c r="I307">
        <f>IF($A307="","",COUNTIFS('Таблиця 1'!$B:$B,$A307,'Таблиця 1'!$E:$E,"ПУ БпЛА",'Таблиця 1'!$L:$L,"Уражено"))</f>
        <v/>
      </c>
      <c r="J307">
        <f>IF($A307="","",COUNTIFS('Таблиця 1'!$B:$B,$A307,'Таблиця 1'!$E:$E,"СП",'Таблиця 1'!$L:$L,"Уражено"))</f>
        <v/>
      </c>
      <c r="K307">
        <f>IF($A307="","",COUNTIFS('Таблиця 1'!$B:$B,$A307,'Таблиця 1'!$E:$E,"КСП роти",'Таблиця 1'!$L:$L,"Уражено"))</f>
        <v/>
      </c>
      <c r="L307">
        <f>IF($A307="","",COUNTIFS('Таблиця 1'!$B:$B,$A307,'Таблиця 1'!$E:$E,"ПУ бат",'Таблиця 1'!$L:$L,"Уражено"))</f>
        <v/>
      </c>
      <c r="M307">
        <f>IF($A307="","",COUNTIFS('Таблиця 1'!$B:$B,$A307,'Таблиця 1'!$E:$E,"ПУ бриг",'Таблиця 1'!$L:$L,"Уражено"))</f>
        <v/>
      </c>
      <c r="N307">
        <f>IF($A307="","",COUNTIFS('Таблиця 1'!$B:$B,$A307,'Таблиця 1'!$E:$E,"ПУ див",'Таблиця 1'!$L:$L,"Уражено"))</f>
        <v/>
      </c>
      <c r="O307">
        <f>IF($A307="","",COUNTIFS('Таблиця 1'!$B:$B,$A307,'Таблиця 1'!$E:$E,"обл. РЕБ",'Таблиця 1'!$L:$L,"Уражено"))</f>
        <v/>
      </c>
      <c r="P307">
        <f>IF($A307="","",COUNTIFS('Таблиця 1'!$B:$B,$A307,'Таблиця 1'!$E:$E,"пос РЕБ",'Таблиця 1'!$L:$L,"Уражено"))</f>
        <v/>
      </c>
      <c r="Q307">
        <f>IF($A307="","",COUNTIFS('Таблиця 1'!$B:$B,$A307,'Таблиця 1'!$E:$E,"група РЕР",'Таблиця 1'!$L:$L,"Уражено"))</f>
        <v/>
      </c>
      <c r="R307">
        <f>IF($A307="","",COUNTIFS('Таблиця 1'!$B:$B,$A307,'Таблиця 1'!$E:$E,"РЛС КББ",'Таблиця 1'!$L:$L,"Уражено"))</f>
        <v/>
      </c>
      <c r="S307">
        <f>IF($A307="","",COUNTIFS('Таблиця 1'!$B:$B,$A307,'Таблиця 1'!$E:$E,"Ретранслятор",'Таблиця 1'!$L:$L,"Уражено"))</f>
        <v/>
      </c>
      <c r="T307">
        <f>IF($A307="","",COUNTIFS('Таблиця 1'!$B:$B,$A307,'Таблиця 1'!$E:$E,"Вз.зв'язку",'Таблиця 1'!$L:$L,"Уражено"))</f>
        <v/>
      </c>
      <c r="U307">
        <f>IF($A307="","",COUNTIFS('Таблиця 1'!$B:$B,$A307,'Таблиця 1'!$E:$E,"ПММ",'Таблиця 1'!$L:$L,"Уражено"))</f>
        <v/>
      </c>
      <c r="V307">
        <f>IF($A307="","",COUNTIFS('Таблиця 1'!$B:$B,$A307,'Таблиця 1'!$E:$E,"ІФС",'Таблиця 1'!$L:$L,"Уражено"))</f>
        <v/>
      </c>
      <c r="W307">
        <f>IF($A307="","",COUNTIFS('Таблиця 1'!$B:$B,$A307,'Таблиця 1'!$E:$E,"Інфраструктура",'Таблиця 1'!$L:$L,"Уражено"))</f>
        <v/>
      </c>
      <c r="X307">
        <f>IF($A307="","",SUMIFS('Таблиця 1'!$K:$K,'Таблиця 1'!$B:$B,$A307))</f>
        <v/>
      </c>
    </row>
    <row r="308">
      <c r="A308" s="81">
        <f>IF(A307="","",IF(A307+1&gt;MAX('Таблиця 1'!$B:$B),"",A307+1))</f>
        <v/>
      </c>
      <c r="B308">
        <f>IF($A308="","",COUNTIFS('Таблиця 1'!$B:$B,$A308,'Таблиця 1'!$E:$E,"ЖС ВЗ",'Таблиця 1'!$L:$L,"Уражено"))</f>
        <v/>
      </c>
      <c r="C308">
        <f>IF($A308="","",COUNTIFS('Таблиця 1'!$B:$B,$A308,'Таблиця 1'!$E:$E,"Арт. Системи",'Таблиця 1'!$L:$L,"Уражено"))</f>
        <v/>
      </c>
      <c r="D308">
        <f>IF($A308="","",COUNTIFS('Таблиця 1'!$B:$B,$A308,'Таблиця 1'!$E:$E,"ОВТ",'Таблиця 1'!$L:$L,"Уражено"))</f>
        <v/>
      </c>
      <c r="E308">
        <f>IF($A308="","",COUNTIFS('Таблиця 1'!$B:$B,$A308,'Таблиця 1'!$E:$E,"ППО",'Таблиця 1'!$L:$L,"Уражено"))</f>
        <v/>
      </c>
      <c r="F308">
        <f>IF($A308="","",COUNTIFS('Таблиця 1'!$B:$B,$A308,'Таблиця 1'!$E:$E,"Рембаза",'Таблиця 1'!$L:$L,"Уражено"))</f>
        <v/>
      </c>
      <c r="G308">
        <f>IF($A308="","",COUNTIFS('Таблиця 1'!$B:$B,$A308,'Таблиця 1'!$E:$E,"Склад БК",'Таблиця 1'!$L:$L,"Уражено"))</f>
        <v/>
      </c>
      <c r="H308">
        <f>IF($A308="","",COUNTIFS('Таблиця 1'!$B:$B,$A308,'Таблиця 1'!$E:$E,"Склад ВТМ",'Таблиця 1'!$L:$L,"Уражено"))</f>
        <v/>
      </c>
      <c r="I308">
        <f>IF($A308="","",COUNTIFS('Таблиця 1'!$B:$B,$A308,'Таблиця 1'!$E:$E,"ПУ БпЛА",'Таблиця 1'!$L:$L,"Уражено"))</f>
        <v/>
      </c>
      <c r="J308">
        <f>IF($A308="","",COUNTIFS('Таблиця 1'!$B:$B,$A308,'Таблиця 1'!$E:$E,"СП",'Таблиця 1'!$L:$L,"Уражено"))</f>
        <v/>
      </c>
      <c r="K308">
        <f>IF($A308="","",COUNTIFS('Таблиця 1'!$B:$B,$A308,'Таблиця 1'!$E:$E,"КСП роти",'Таблиця 1'!$L:$L,"Уражено"))</f>
        <v/>
      </c>
      <c r="L308">
        <f>IF($A308="","",COUNTIFS('Таблиця 1'!$B:$B,$A308,'Таблиця 1'!$E:$E,"ПУ бат",'Таблиця 1'!$L:$L,"Уражено"))</f>
        <v/>
      </c>
      <c r="M308">
        <f>IF($A308="","",COUNTIFS('Таблиця 1'!$B:$B,$A308,'Таблиця 1'!$E:$E,"ПУ бриг",'Таблиця 1'!$L:$L,"Уражено"))</f>
        <v/>
      </c>
      <c r="N308">
        <f>IF($A308="","",COUNTIFS('Таблиця 1'!$B:$B,$A308,'Таблиця 1'!$E:$E,"ПУ див",'Таблиця 1'!$L:$L,"Уражено"))</f>
        <v/>
      </c>
      <c r="O308">
        <f>IF($A308="","",COUNTIFS('Таблиця 1'!$B:$B,$A308,'Таблиця 1'!$E:$E,"обл. РЕБ",'Таблиця 1'!$L:$L,"Уражено"))</f>
        <v/>
      </c>
      <c r="P308">
        <f>IF($A308="","",COUNTIFS('Таблиця 1'!$B:$B,$A308,'Таблиця 1'!$E:$E,"пос РЕБ",'Таблиця 1'!$L:$L,"Уражено"))</f>
        <v/>
      </c>
      <c r="Q308">
        <f>IF($A308="","",COUNTIFS('Таблиця 1'!$B:$B,$A308,'Таблиця 1'!$E:$E,"група РЕР",'Таблиця 1'!$L:$L,"Уражено"))</f>
        <v/>
      </c>
      <c r="R308">
        <f>IF($A308="","",COUNTIFS('Таблиця 1'!$B:$B,$A308,'Таблиця 1'!$E:$E,"РЛС КББ",'Таблиця 1'!$L:$L,"Уражено"))</f>
        <v/>
      </c>
      <c r="S308">
        <f>IF($A308="","",COUNTIFS('Таблиця 1'!$B:$B,$A308,'Таблиця 1'!$E:$E,"Ретранслятор",'Таблиця 1'!$L:$L,"Уражено"))</f>
        <v/>
      </c>
      <c r="T308">
        <f>IF($A308="","",COUNTIFS('Таблиця 1'!$B:$B,$A308,'Таблиця 1'!$E:$E,"Вз.зв'язку",'Таблиця 1'!$L:$L,"Уражено"))</f>
        <v/>
      </c>
      <c r="U308">
        <f>IF($A308="","",COUNTIFS('Таблиця 1'!$B:$B,$A308,'Таблиця 1'!$E:$E,"ПММ",'Таблиця 1'!$L:$L,"Уражено"))</f>
        <v/>
      </c>
      <c r="V308">
        <f>IF($A308="","",COUNTIFS('Таблиця 1'!$B:$B,$A308,'Таблиця 1'!$E:$E,"ІФС",'Таблиця 1'!$L:$L,"Уражено"))</f>
        <v/>
      </c>
      <c r="W308">
        <f>IF($A308="","",COUNTIFS('Таблиця 1'!$B:$B,$A308,'Таблиця 1'!$E:$E,"Інфраструктура",'Таблиця 1'!$L:$L,"Уражено"))</f>
        <v/>
      </c>
      <c r="X308">
        <f>IF($A308="","",SUMIFS('Таблиця 1'!$K:$K,'Таблиця 1'!$B:$B,$A308))</f>
        <v/>
      </c>
    </row>
    <row r="309">
      <c r="A309" s="81">
        <f>IF(A308="","",IF(A308+1&gt;MAX('Таблиця 1'!$B:$B),"",A308+1))</f>
        <v/>
      </c>
      <c r="B309">
        <f>IF($A309="","",COUNTIFS('Таблиця 1'!$B:$B,$A309,'Таблиця 1'!$E:$E,"ЖС ВЗ",'Таблиця 1'!$L:$L,"Уражено"))</f>
        <v/>
      </c>
      <c r="C309">
        <f>IF($A309="","",COUNTIFS('Таблиця 1'!$B:$B,$A309,'Таблиця 1'!$E:$E,"Арт. Системи",'Таблиця 1'!$L:$L,"Уражено"))</f>
        <v/>
      </c>
      <c r="D309">
        <f>IF($A309="","",COUNTIFS('Таблиця 1'!$B:$B,$A309,'Таблиця 1'!$E:$E,"ОВТ",'Таблиця 1'!$L:$L,"Уражено"))</f>
        <v/>
      </c>
      <c r="E309">
        <f>IF($A309="","",COUNTIFS('Таблиця 1'!$B:$B,$A309,'Таблиця 1'!$E:$E,"ППО",'Таблиця 1'!$L:$L,"Уражено"))</f>
        <v/>
      </c>
      <c r="F309">
        <f>IF($A309="","",COUNTIFS('Таблиця 1'!$B:$B,$A309,'Таблиця 1'!$E:$E,"Рембаза",'Таблиця 1'!$L:$L,"Уражено"))</f>
        <v/>
      </c>
      <c r="G309">
        <f>IF($A309="","",COUNTIFS('Таблиця 1'!$B:$B,$A309,'Таблиця 1'!$E:$E,"Склад БК",'Таблиця 1'!$L:$L,"Уражено"))</f>
        <v/>
      </c>
      <c r="H309">
        <f>IF($A309="","",COUNTIFS('Таблиця 1'!$B:$B,$A309,'Таблиця 1'!$E:$E,"Склад ВТМ",'Таблиця 1'!$L:$L,"Уражено"))</f>
        <v/>
      </c>
      <c r="I309">
        <f>IF($A309="","",COUNTIFS('Таблиця 1'!$B:$B,$A309,'Таблиця 1'!$E:$E,"ПУ БпЛА",'Таблиця 1'!$L:$L,"Уражено"))</f>
        <v/>
      </c>
      <c r="J309">
        <f>IF($A309="","",COUNTIFS('Таблиця 1'!$B:$B,$A309,'Таблиця 1'!$E:$E,"СП",'Таблиця 1'!$L:$L,"Уражено"))</f>
        <v/>
      </c>
      <c r="K309">
        <f>IF($A309="","",COUNTIFS('Таблиця 1'!$B:$B,$A309,'Таблиця 1'!$E:$E,"КСП роти",'Таблиця 1'!$L:$L,"Уражено"))</f>
        <v/>
      </c>
      <c r="L309">
        <f>IF($A309="","",COUNTIFS('Таблиця 1'!$B:$B,$A309,'Таблиця 1'!$E:$E,"ПУ бат",'Таблиця 1'!$L:$L,"Уражено"))</f>
        <v/>
      </c>
      <c r="M309">
        <f>IF($A309="","",COUNTIFS('Таблиця 1'!$B:$B,$A309,'Таблиця 1'!$E:$E,"ПУ бриг",'Таблиця 1'!$L:$L,"Уражено"))</f>
        <v/>
      </c>
      <c r="N309">
        <f>IF($A309="","",COUNTIFS('Таблиця 1'!$B:$B,$A309,'Таблиця 1'!$E:$E,"ПУ див",'Таблиця 1'!$L:$L,"Уражено"))</f>
        <v/>
      </c>
      <c r="O309">
        <f>IF($A309="","",COUNTIFS('Таблиця 1'!$B:$B,$A309,'Таблиця 1'!$E:$E,"обл. РЕБ",'Таблиця 1'!$L:$L,"Уражено"))</f>
        <v/>
      </c>
      <c r="P309">
        <f>IF($A309="","",COUNTIFS('Таблиця 1'!$B:$B,$A309,'Таблиця 1'!$E:$E,"пос РЕБ",'Таблиця 1'!$L:$L,"Уражено"))</f>
        <v/>
      </c>
      <c r="Q309">
        <f>IF($A309="","",COUNTIFS('Таблиця 1'!$B:$B,$A309,'Таблиця 1'!$E:$E,"група РЕР",'Таблиця 1'!$L:$L,"Уражено"))</f>
        <v/>
      </c>
      <c r="R309">
        <f>IF($A309="","",COUNTIFS('Таблиця 1'!$B:$B,$A309,'Таблиця 1'!$E:$E,"РЛС КББ",'Таблиця 1'!$L:$L,"Уражено"))</f>
        <v/>
      </c>
      <c r="S309">
        <f>IF($A309="","",COUNTIFS('Таблиця 1'!$B:$B,$A309,'Таблиця 1'!$E:$E,"Ретранслятор",'Таблиця 1'!$L:$L,"Уражено"))</f>
        <v/>
      </c>
      <c r="T309">
        <f>IF($A309="","",COUNTIFS('Таблиця 1'!$B:$B,$A309,'Таблиця 1'!$E:$E,"Вз.зв'язку",'Таблиця 1'!$L:$L,"Уражено"))</f>
        <v/>
      </c>
      <c r="U309">
        <f>IF($A309="","",COUNTIFS('Таблиця 1'!$B:$B,$A309,'Таблиця 1'!$E:$E,"ПММ",'Таблиця 1'!$L:$L,"Уражено"))</f>
        <v/>
      </c>
      <c r="V309">
        <f>IF($A309="","",COUNTIFS('Таблиця 1'!$B:$B,$A309,'Таблиця 1'!$E:$E,"ІФС",'Таблиця 1'!$L:$L,"Уражено"))</f>
        <v/>
      </c>
      <c r="W309">
        <f>IF($A309="","",COUNTIFS('Таблиця 1'!$B:$B,$A309,'Таблиця 1'!$E:$E,"Інфраструктура",'Таблиця 1'!$L:$L,"Уражено"))</f>
        <v/>
      </c>
      <c r="X309">
        <f>IF($A309="","",SUMIFS('Таблиця 1'!$K:$K,'Таблиця 1'!$B:$B,$A309))</f>
        <v/>
      </c>
    </row>
    <row r="310">
      <c r="A310" s="81">
        <f>IF(A309="","",IF(A309+1&gt;MAX('Таблиця 1'!$B:$B),"",A309+1))</f>
        <v/>
      </c>
      <c r="B310">
        <f>IF($A310="","",COUNTIFS('Таблиця 1'!$B:$B,$A310,'Таблиця 1'!$E:$E,"ЖС ВЗ",'Таблиця 1'!$L:$L,"Уражено"))</f>
        <v/>
      </c>
      <c r="C310">
        <f>IF($A310="","",COUNTIFS('Таблиця 1'!$B:$B,$A310,'Таблиця 1'!$E:$E,"Арт. Системи",'Таблиця 1'!$L:$L,"Уражено"))</f>
        <v/>
      </c>
      <c r="D310">
        <f>IF($A310="","",COUNTIFS('Таблиця 1'!$B:$B,$A310,'Таблиця 1'!$E:$E,"ОВТ",'Таблиця 1'!$L:$L,"Уражено"))</f>
        <v/>
      </c>
      <c r="E310">
        <f>IF($A310="","",COUNTIFS('Таблиця 1'!$B:$B,$A310,'Таблиця 1'!$E:$E,"ППО",'Таблиця 1'!$L:$L,"Уражено"))</f>
        <v/>
      </c>
      <c r="F310">
        <f>IF($A310="","",COUNTIFS('Таблиця 1'!$B:$B,$A310,'Таблиця 1'!$E:$E,"Рембаза",'Таблиця 1'!$L:$L,"Уражено"))</f>
        <v/>
      </c>
      <c r="G310">
        <f>IF($A310="","",COUNTIFS('Таблиця 1'!$B:$B,$A310,'Таблиця 1'!$E:$E,"Склад БК",'Таблиця 1'!$L:$L,"Уражено"))</f>
        <v/>
      </c>
      <c r="H310">
        <f>IF($A310="","",COUNTIFS('Таблиця 1'!$B:$B,$A310,'Таблиця 1'!$E:$E,"Склад ВТМ",'Таблиця 1'!$L:$L,"Уражено"))</f>
        <v/>
      </c>
      <c r="I310">
        <f>IF($A310="","",COUNTIFS('Таблиця 1'!$B:$B,$A310,'Таблиця 1'!$E:$E,"ПУ БпЛА",'Таблиця 1'!$L:$L,"Уражено"))</f>
        <v/>
      </c>
      <c r="J310">
        <f>IF($A310="","",COUNTIFS('Таблиця 1'!$B:$B,$A310,'Таблиця 1'!$E:$E,"СП",'Таблиця 1'!$L:$L,"Уражено"))</f>
        <v/>
      </c>
      <c r="K310">
        <f>IF($A310="","",COUNTIFS('Таблиця 1'!$B:$B,$A310,'Таблиця 1'!$E:$E,"КСП роти",'Таблиця 1'!$L:$L,"Уражено"))</f>
        <v/>
      </c>
      <c r="L310">
        <f>IF($A310="","",COUNTIFS('Таблиця 1'!$B:$B,$A310,'Таблиця 1'!$E:$E,"ПУ бат",'Таблиця 1'!$L:$L,"Уражено"))</f>
        <v/>
      </c>
      <c r="M310">
        <f>IF($A310="","",COUNTIFS('Таблиця 1'!$B:$B,$A310,'Таблиця 1'!$E:$E,"ПУ бриг",'Таблиця 1'!$L:$L,"Уражено"))</f>
        <v/>
      </c>
      <c r="N310">
        <f>IF($A310="","",COUNTIFS('Таблиця 1'!$B:$B,$A310,'Таблиця 1'!$E:$E,"ПУ див",'Таблиця 1'!$L:$L,"Уражено"))</f>
        <v/>
      </c>
      <c r="O310">
        <f>IF($A310="","",COUNTIFS('Таблиця 1'!$B:$B,$A310,'Таблиця 1'!$E:$E,"обл. РЕБ",'Таблиця 1'!$L:$L,"Уражено"))</f>
        <v/>
      </c>
      <c r="P310">
        <f>IF($A310="","",COUNTIFS('Таблиця 1'!$B:$B,$A310,'Таблиця 1'!$E:$E,"пос РЕБ",'Таблиця 1'!$L:$L,"Уражено"))</f>
        <v/>
      </c>
      <c r="Q310">
        <f>IF($A310="","",COUNTIFS('Таблиця 1'!$B:$B,$A310,'Таблиця 1'!$E:$E,"група РЕР",'Таблиця 1'!$L:$L,"Уражено"))</f>
        <v/>
      </c>
      <c r="R310">
        <f>IF($A310="","",COUNTIFS('Таблиця 1'!$B:$B,$A310,'Таблиця 1'!$E:$E,"РЛС КББ",'Таблиця 1'!$L:$L,"Уражено"))</f>
        <v/>
      </c>
      <c r="S310">
        <f>IF($A310="","",COUNTIFS('Таблиця 1'!$B:$B,$A310,'Таблиця 1'!$E:$E,"Ретранслятор",'Таблиця 1'!$L:$L,"Уражено"))</f>
        <v/>
      </c>
      <c r="T310">
        <f>IF($A310="","",COUNTIFS('Таблиця 1'!$B:$B,$A310,'Таблиця 1'!$E:$E,"Вз.зв'язку",'Таблиця 1'!$L:$L,"Уражено"))</f>
        <v/>
      </c>
      <c r="U310">
        <f>IF($A310="","",COUNTIFS('Таблиця 1'!$B:$B,$A310,'Таблиця 1'!$E:$E,"ПММ",'Таблиця 1'!$L:$L,"Уражено"))</f>
        <v/>
      </c>
      <c r="V310">
        <f>IF($A310="","",COUNTIFS('Таблиця 1'!$B:$B,$A310,'Таблиця 1'!$E:$E,"ІФС",'Таблиця 1'!$L:$L,"Уражено"))</f>
        <v/>
      </c>
      <c r="W310">
        <f>IF($A310="","",COUNTIFS('Таблиця 1'!$B:$B,$A310,'Таблиця 1'!$E:$E,"Інфраструктура",'Таблиця 1'!$L:$L,"Уражено"))</f>
        <v/>
      </c>
      <c r="X310">
        <f>IF($A310="","",SUMIFS('Таблиця 1'!$K:$K,'Таблиця 1'!$B:$B,$A310))</f>
        <v/>
      </c>
    </row>
    <row r="311">
      <c r="A311" s="81">
        <f>IF(A310="","",IF(A310+1&gt;MAX('Таблиця 1'!$B:$B),"",A310+1))</f>
        <v/>
      </c>
      <c r="B311">
        <f>IF($A311="","",COUNTIFS('Таблиця 1'!$B:$B,$A311,'Таблиця 1'!$E:$E,"ЖС ВЗ",'Таблиця 1'!$L:$L,"Уражено"))</f>
        <v/>
      </c>
      <c r="C311">
        <f>IF($A311="","",COUNTIFS('Таблиця 1'!$B:$B,$A311,'Таблиця 1'!$E:$E,"Арт. Системи",'Таблиця 1'!$L:$L,"Уражено"))</f>
        <v/>
      </c>
      <c r="D311">
        <f>IF($A311="","",COUNTIFS('Таблиця 1'!$B:$B,$A311,'Таблиця 1'!$E:$E,"ОВТ",'Таблиця 1'!$L:$L,"Уражено"))</f>
        <v/>
      </c>
      <c r="E311">
        <f>IF($A311="","",COUNTIFS('Таблиця 1'!$B:$B,$A311,'Таблиця 1'!$E:$E,"ППО",'Таблиця 1'!$L:$L,"Уражено"))</f>
        <v/>
      </c>
      <c r="F311">
        <f>IF($A311="","",COUNTIFS('Таблиця 1'!$B:$B,$A311,'Таблиця 1'!$E:$E,"Рембаза",'Таблиця 1'!$L:$L,"Уражено"))</f>
        <v/>
      </c>
      <c r="G311">
        <f>IF($A311="","",COUNTIFS('Таблиця 1'!$B:$B,$A311,'Таблиця 1'!$E:$E,"Склад БК",'Таблиця 1'!$L:$L,"Уражено"))</f>
        <v/>
      </c>
      <c r="H311">
        <f>IF($A311="","",COUNTIFS('Таблиця 1'!$B:$B,$A311,'Таблиця 1'!$E:$E,"Склад ВТМ",'Таблиця 1'!$L:$L,"Уражено"))</f>
        <v/>
      </c>
      <c r="I311">
        <f>IF($A311="","",COUNTIFS('Таблиця 1'!$B:$B,$A311,'Таблиця 1'!$E:$E,"ПУ БпЛА",'Таблиця 1'!$L:$L,"Уражено"))</f>
        <v/>
      </c>
      <c r="J311">
        <f>IF($A311="","",COUNTIFS('Таблиця 1'!$B:$B,$A311,'Таблиця 1'!$E:$E,"СП",'Таблиця 1'!$L:$L,"Уражено"))</f>
        <v/>
      </c>
      <c r="K311">
        <f>IF($A311="","",COUNTIFS('Таблиця 1'!$B:$B,$A311,'Таблиця 1'!$E:$E,"КСП роти",'Таблиця 1'!$L:$L,"Уражено"))</f>
        <v/>
      </c>
      <c r="L311">
        <f>IF($A311="","",COUNTIFS('Таблиця 1'!$B:$B,$A311,'Таблиця 1'!$E:$E,"ПУ бат",'Таблиця 1'!$L:$L,"Уражено"))</f>
        <v/>
      </c>
      <c r="M311">
        <f>IF($A311="","",COUNTIFS('Таблиця 1'!$B:$B,$A311,'Таблиця 1'!$E:$E,"ПУ бриг",'Таблиця 1'!$L:$L,"Уражено"))</f>
        <v/>
      </c>
      <c r="N311">
        <f>IF($A311="","",COUNTIFS('Таблиця 1'!$B:$B,$A311,'Таблиця 1'!$E:$E,"ПУ див",'Таблиця 1'!$L:$L,"Уражено"))</f>
        <v/>
      </c>
      <c r="O311">
        <f>IF($A311="","",COUNTIFS('Таблиця 1'!$B:$B,$A311,'Таблиця 1'!$E:$E,"обл. РЕБ",'Таблиця 1'!$L:$L,"Уражено"))</f>
        <v/>
      </c>
      <c r="P311">
        <f>IF($A311="","",COUNTIFS('Таблиця 1'!$B:$B,$A311,'Таблиця 1'!$E:$E,"пос РЕБ",'Таблиця 1'!$L:$L,"Уражено"))</f>
        <v/>
      </c>
      <c r="Q311">
        <f>IF($A311="","",COUNTIFS('Таблиця 1'!$B:$B,$A311,'Таблиця 1'!$E:$E,"група РЕР",'Таблиця 1'!$L:$L,"Уражено"))</f>
        <v/>
      </c>
      <c r="R311">
        <f>IF($A311="","",COUNTIFS('Таблиця 1'!$B:$B,$A311,'Таблиця 1'!$E:$E,"РЛС КББ",'Таблиця 1'!$L:$L,"Уражено"))</f>
        <v/>
      </c>
      <c r="S311">
        <f>IF($A311="","",COUNTIFS('Таблиця 1'!$B:$B,$A311,'Таблиця 1'!$E:$E,"Ретранслятор",'Таблиця 1'!$L:$L,"Уражено"))</f>
        <v/>
      </c>
      <c r="T311">
        <f>IF($A311="","",COUNTIFS('Таблиця 1'!$B:$B,$A311,'Таблиця 1'!$E:$E,"Вз.зв'язку",'Таблиця 1'!$L:$L,"Уражено"))</f>
        <v/>
      </c>
      <c r="U311">
        <f>IF($A311="","",COUNTIFS('Таблиця 1'!$B:$B,$A311,'Таблиця 1'!$E:$E,"ПММ",'Таблиця 1'!$L:$L,"Уражено"))</f>
        <v/>
      </c>
      <c r="V311">
        <f>IF($A311="","",COUNTIFS('Таблиця 1'!$B:$B,$A311,'Таблиця 1'!$E:$E,"ІФС",'Таблиця 1'!$L:$L,"Уражено"))</f>
        <v/>
      </c>
      <c r="W311">
        <f>IF($A311="","",COUNTIFS('Таблиця 1'!$B:$B,$A311,'Таблиця 1'!$E:$E,"Інфраструктура",'Таблиця 1'!$L:$L,"Уражено"))</f>
        <v/>
      </c>
      <c r="X311">
        <f>IF($A311="","",SUMIFS('Таблиця 1'!$K:$K,'Таблиця 1'!$B:$B,$A311))</f>
        <v/>
      </c>
    </row>
    <row r="312">
      <c r="A312" s="81">
        <f>IF(A311="","",IF(A311+1&gt;MAX('Таблиця 1'!$B:$B),"",A311+1))</f>
        <v/>
      </c>
      <c r="B312">
        <f>IF($A312="","",COUNTIFS('Таблиця 1'!$B:$B,$A312,'Таблиця 1'!$E:$E,"ЖС ВЗ",'Таблиця 1'!$L:$L,"Уражено"))</f>
        <v/>
      </c>
      <c r="C312">
        <f>IF($A312="","",COUNTIFS('Таблиця 1'!$B:$B,$A312,'Таблиця 1'!$E:$E,"Арт. Системи",'Таблиця 1'!$L:$L,"Уражено"))</f>
        <v/>
      </c>
      <c r="D312">
        <f>IF($A312="","",COUNTIFS('Таблиця 1'!$B:$B,$A312,'Таблиця 1'!$E:$E,"ОВТ",'Таблиця 1'!$L:$L,"Уражено"))</f>
        <v/>
      </c>
      <c r="E312">
        <f>IF($A312="","",COUNTIFS('Таблиця 1'!$B:$B,$A312,'Таблиця 1'!$E:$E,"ППО",'Таблиця 1'!$L:$L,"Уражено"))</f>
        <v/>
      </c>
      <c r="F312">
        <f>IF($A312="","",COUNTIFS('Таблиця 1'!$B:$B,$A312,'Таблиця 1'!$E:$E,"Рембаза",'Таблиця 1'!$L:$L,"Уражено"))</f>
        <v/>
      </c>
      <c r="G312">
        <f>IF($A312="","",COUNTIFS('Таблиця 1'!$B:$B,$A312,'Таблиця 1'!$E:$E,"Склад БК",'Таблиця 1'!$L:$L,"Уражено"))</f>
        <v/>
      </c>
      <c r="H312">
        <f>IF($A312="","",COUNTIFS('Таблиця 1'!$B:$B,$A312,'Таблиця 1'!$E:$E,"Склад ВТМ",'Таблиця 1'!$L:$L,"Уражено"))</f>
        <v/>
      </c>
      <c r="I312">
        <f>IF($A312="","",COUNTIFS('Таблиця 1'!$B:$B,$A312,'Таблиця 1'!$E:$E,"ПУ БпЛА",'Таблиця 1'!$L:$L,"Уражено"))</f>
        <v/>
      </c>
      <c r="J312">
        <f>IF($A312="","",COUNTIFS('Таблиця 1'!$B:$B,$A312,'Таблиця 1'!$E:$E,"СП",'Таблиця 1'!$L:$L,"Уражено"))</f>
        <v/>
      </c>
      <c r="K312">
        <f>IF($A312="","",COUNTIFS('Таблиця 1'!$B:$B,$A312,'Таблиця 1'!$E:$E,"КСП роти",'Таблиця 1'!$L:$L,"Уражено"))</f>
        <v/>
      </c>
      <c r="L312">
        <f>IF($A312="","",COUNTIFS('Таблиця 1'!$B:$B,$A312,'Таблиця 1'!$E:$E,"ПУ бат",'Таблиця 1'!$L:$L,"Уражено"))</f>
        <v/>
      </c>
      <c r="M312">
        <f>IF($A312="","",COUNTIFS('Таблиця 1'!$B:$B,$A312,'Таблиця 1'!$E:$E,"ПУ бриг",'Таблиця 1'!$L:$L,"Уражено"))</f>
        <v/>
      </c>
      <c r="N312">
        <f>IF($A312="","",COUNTIFS('Таблиця 1'!$B:$B,$A312,'Таблиця 1'!$E:$E,"ПУ див",'Таблиця 1'!$L:$L,"Уражено"))</f>
        <v/>
      </c>
      <c r="O312">
        <f>IF($A312="","",COUNTIFS('Таблиця 1'!$B:$B,$A312,'Таблиця 1'!$E:$E,"обл. РЕБ",'Таблиця 1'!$L:$L,"Уражено"))</f>
        <v/>
      </c>
      <c r="P312">
        <f>IF($A312="","",COUNTIFS('Таблиця 1'!$B:$B,$A312,'Таблиця 1'!$E:$E,"пос РЕБ",'Таблиця 1'!$L:$L,"Уражено"))</f>
        <v/>
      </c>
      <c r="Q312">
        <f>IF($A312="","",COUNTIFS('Таблиця 1'!$B:$B,$A312,'Таблиця 1'!$E:$E,"група РЕР",'Таблиця 1'!$L:$L,"Уражено"))</f>
        <v/>
      </c>
      <c r="R312">
        <f>IF($A312="","",COUNTIFS('Таблиця 1'!$B:$B,$A312,'Таблиця 1'!$E:$E,"РЛС КББ",'Таблиця 1'!$L:$L,"Уражено"))</f>
        <v/>
      </c>
      <c r="S312">
        <f>IF($A312="","",COUNTIFS('Таблиця 1'!$B:$B,$A312,'Таблиця 1'!$E:$E,"Ретранслятор",'Таблиця 1'!$L:$L,"Уражено"))</f>
        <v/>
      </c>
      <c r="T312">
        <f>IF($A312="","",COUNTIFS('Таблиця 1'!$B:$B,$A312,'Таблиця 1'!$E:$E,"Вз.зв'язку",'Таблиця 1'!$L:$L,"Уражено"))</f>
        <v/>
      </c>
      <c r="U312">
        <f>IF($A312="","",COUNTIFS('Таблиця 1'!$B:$B,$A312,'Таблиця 1'!$E:$E,"ПММ",'Таблиця 1'!$L:$L,"Уражено"))</f>
        <v/>
      </c>
      <c r="V312">
        <f>IF($A312="","",COUNTIFS('Таблиця 1'!$B:$B,$A312,'Таблиця 1'!$E:$E,"ІФС",'Таблиця 1'!$L:$L,"Уражено"))</f>
        <v/>
      </c>
      <c r="W312">
        <f>IF($A312="","",COUNTIFS('Таблиця 1'!$B:$B,$A312,'Таблиця 1'!$E:$E,"Інфраструктура",'Таблиця 1'!$L:$L,"Уражено"))</f>
        <v/>
      </c>
      <c r="X312">
        <f>IF($A312="","",SUMIFS('Таблиця 1'!$K:$K,'Таблиця 1'!$B:$B,$A312))</f>
        <v/>
      </c>
    </row>
    <row r="313">
      <c r="A313" s="81">
        <f>IF(A312="","",IF(A312+1&gt;MAX('Таблиця 1'!$B:$B),"",A312+1))</f>
        <v/>
      </c>
      <c r="B313">
        <f>IF($A313="","",COUNTIFS('Таблиця 1'!$B:$B,$A313,'Таблиця 1'!$E:$E,"ЖС ВЗ",'Таблиця 1'!$L:$L,"Уражено"))</f>
        <v/>
      </c>
      <c r="C313">
        <f>IF($A313="","",COUNTIFS('Таблиця 1'!$B:$B,$A313,'Таблиця 1'!$E:$E,"Арт. Системи",'Таблиця 1'!$L:$L,"Уражено"))</f>
        <v/>
      </c>
      <c r="D313">
        <f>IF($A313="","",COUNTIFS('Таблиця 1'!$B:$B,$A313,'Таблиця 1'!$E:$E,"ОВТ",'Таблиця 1'!$L:$L,"Уражено"))</f>
        <v/>
      </c>
      <c r="E313">
        <f>IF($A313="","",COUNTIFS('Таблиця 1'!$B:$B,$A313,'Таблиця 1'!$E:$E,"ППО",'Таблиця 1'!$L:$L,"Уражено"))</f>
        <v/>
      </c>
      <c r="F313">
        <f>IF($A313="","",COUNTIFS('Таблиця 1'!$B:$B,$A313,'Таблиця 1'!$E:$E,"Рембаза",'Таблиця 1'!$L:$L,"Уражено"))</f>
        <v/>
      </c>
      <c r="G313">
        <f>IF($A313="","",COUNTIFS('Таблиця 1'!$B:$B,$A313,'Таблиця 1'!$E:$E,"Склад БК",'Таблиця 1'!$L:$L,"Уражено"))</f>
        <v/>
      </c>
      <c r="H313">
        <f>IF($A313="","",COUNTIFS('Таблиця 1'!$B:$B,$A313,'Таблиця 1'!$E:$E,"Склад ВТМ",'Таблиця 1'!$L:$L,"Уражено"))</f>
        <v/>
      </c>
      <c r="I313">
        <f>IF($A313="","",COUNTIFS('Таблиця 1'!$B:$B,$A313,'Таблиця 1'!$E:$E,"ПУ БпЛА",'Таблиця 1'!$L:$L,"Уражено"))</f>
        <v/>
      </c>
      <c r="J313">
        <f>IF($A313="","",COUNTIFS('Таблиця 1'!$B:$B,$A313,'Таблиця 1'!$E:$E,"СП",'Таблиця 1'!$L:$L,"Уражено"))</f>
        <v/>
      </c>
      <c r="K313">
        <f>IF($A313="","",COUNTIFS('Таблиця 1'!$B:$B,$A313,'Таблиця 1'!$E:$E,"КСП роти",'Таблиця 1'!$L:$L,"Уражено"))</f>
        <v/>
      </c>
      <c r="L313">
        <f>IF($A313="","",COUNTIFS('Таблиця 1'!$B:$B,$A313,'Таблиця 1'!$E:$E,"ПУ бат",'Таблиця 1'!$L:$L,"Уражено"))</f>
        <v/>
      </c>
      <c r="M313">
        <f>IF($A313="","",COUNTIFS('Таблиця 1'!$B:$B,$A313,'Таблиця 1'!$E:$E,"ПУ бриг",'Таблиця 1'!$L:$L,"Уражено"))</f>
        <v/>
      </c>
      <c r="N313">
        <f>IF($A313="","",COUNTIFS('Таблиця 1'!$B:$B,$A313,'Таблиця 1'!$E:$E,"ПУ див",'Таблиця 1'!$L:$L,"Уражено"))</f>
        <v/>
      </c>
      <c r="O313">
        <f>IF($A313="","",COUNTIFS('Таблиця 1'!$B:$B,$A313,'Таблиця 1'!$E:$E,"обл. РЕБ",'Таблиця 1'!$L:$L,"Уражено"))</f>
        <v/>
      </c>
      <c r="P313">
        <f>IF($A313="","",COUNTIFS('Таблиця 1'!$B:$B,$A313,'Таблиця 1'!$E:$E,"пос РЕБ",'Таблиця 1'!$L:$L,"Уражено"))</f>
        <v/>
      </c>
      <c r="Q313">
        <f>IF($A313="","",COUNTIFS('Таблиця 1'!$B:$B,$A313,'Таблиця 1'!$E:$E,"група РЕР",'Таблиця 1'!$L:$L,"Уражено"))</f>
        <v/>
      </c>
      <c r="R313">
        <f>IF($A313="","",COUNTIFS('Таблиця 1'!$B:$B,$A313,'Таблиця 1'!$E:$E,"РЛС КББ",'Таблиця 1'!$L:$L,"Уражено"))</f>
        <v/>
      </c>
      <c r="S313">
        <f>IF($A313="","",COUNTIFS('Таблиця 1'!$B:$B,$A313,'Таблиця 1'!$E:$E,"Ретранслятор",'Таблиця 1'!$L:$L,"Уражено"))</f>
        <v/>
      </c>
      <c r="T313">
        <f>IF($A313="","",COUNTIFS('Таблиця 1'!$B:$B,$A313,'Таблиця 1'!$E:$E,"Вз.зв'язку",'Таблиця 1'!$L:$L,"Уражено"))</f>
        <v/>
      </c>
      <c r="U313">
        <f>IF($A313="","",COUNTIFS('Таблиця 1'!$B:$B,$A313,'Таблиця 1'!$E:$E,"ПММ",'Таблиця 1'!$L:$L,"Уражено"))</f>
        <v/>
      </c>
      <c r="V313">
        <f>IF($A313="","",COUNTIFS('Таблиця 1'!$B:$B,$A313,'Таблиця 1'!$E:$E,"ІФС",'Таблиця 1'!$L:$L,"Уражено"))</f>
        <v/>
      </c>
      <c r="W313">
        <f>IF($A313="","",COUNTIFS('Таблиця 1'!$B:$B,$A313,'Таблиця 1'!$E:$E,"Інфраструктура",'Таблиця 1'!$L:$L,"Уражено"))</f>
        <v/>
      </c>
      <c r="X313">
        <f>IF($A313="","",SUMIFS('Таблиця 1'!$K:$K,'Таблиця 1'!$B:$B,$A313))</f>
        <v/>
      </c>
    </row>
    <row r="314">
      <c r="A314" s="81">
        <f>IF(A313="","",IF(A313+1&gt;MAX('Таблиця 1'!$B:$B),"",A313+1))</f>
        <v/>
      </c>
      <c r="B314">
        <f>IF($A314="","",COUNTIFS('Таблиця 1'!$B:$B,$A314,'Таблиця 1'!$E:$E,"ЖС ВЗ",'Таблиця 1'!$L:$L,"Уражено"))</f>
        <v/>
      </c>
      <c r="C314">
        <f>IF($A314="","",COUNTIFS('Таблиця 1'!$B:$B,$A314,'Таблиця 1'!$E:$E,"Арт. Системи",'Таблиця 1'!$L:$L,"Уражено"))</f>
        <v/>
      </c>
      <c r="D314">
        <f>IF($A314="","",COUNTIFS('Таблиця 1'!$B:$B,$A314,'Таблиця 1'!$E:$E,"ОВТ",'Таблиця 1'!$L:$L,"Уражено"))</f>
        <v/>
      </c>
      <c r="E314">
        <f>IF($A314="","",COUNTIFS('Таблиця 1'!$B:$B,$A314,'Таблиця 1'!$E:$E,"ППО",'Таблиця 1'!$L:$L,"Уражено"))</f>
        <v/>
      </c>
      <c r="F314">
        <f>IF($A314="","",COUNTIFS('Таблиця 1'!$B:$B,$A314,'Таблиця 1'!$E:$E,"Рембаза",'Таблиця 1'!$L:$L,"Уражено"))</f>
        <v/>
      </c>
      <c r="G314">
        <f>IF($A314="","",COUNTIFS('Таблиця 1'!$B:$B,$A314,'Таблиця 1'!$E:$E,"Склад БК",'Таблиця 1'!$L:$L,"Уражено"))</f>
        <v/>
      </c>
      <c r="H314">
        <f>IF($A314="","",COUNTIFS('Таблиця 1'!$B:$B,$A314,'Таблиця 1'!$E:$E,"Склад ВТМ",'Таблиця 1'!$L:$L,"Уражено"))</f>
        <v/>
      </c>
      <c r="I314">
        <f>IF($A314="","",COUNTIFS('Таблиця 1'!$B:$B,$A314,'Таблиця 1'!$E:$E,"ПУ БпЛА",'Таблиця 1'!$L:$L,"Уражено"))</f>
        <v/>
      </c>
      <c r="J314">
        <f>IF($A314="","",COUNTIFS('Таблиця 1'!$B:$B,$A314,'Таблиця 1'!$E:$E,"СП",'Таблиця 1'!$L:$L,"Уражено"))</f>
        <v/>
      </c>
      <c r="K314">
        <f>IF($A314="","",COUNTIFS('Таблиця 1'!$B:$B,$A314,'Таблиця 1'!$E:$E,"КСП роти",'Таблиця 1'!$L:$L,"Уражено"))</f>
        <v/>
      </c>
      <c r="L314">
        <f>IF($A314="","",COUNTIFS('Таблиця 1'!$B:$B,$A314,'Таблиця 1'!$E:$E,"ПУ бат",'Таблиця 1'!$L:$L,"Уражено"))</f>
        <v/>
      </c>
      <c r="M314">
        <f>IF($A314="","",COUNTIFS('Таблиця 1'!$B:$B,$A314,'Таблиця 1'!$E:$E,"ПУ бриг",'Таблиця 1'!$L:$L,"Уражено"))</f>
        <v/>
      </c>
      <c r="N314">
        <f>IF($A314="","",COUNTIFS('Таблиця 1'!$B:$B,$A314,'Таблиця 1'!$E:$E,"ПУ див",'Таблиця 1'!$L:$L,"Уражено"))</f>
        <v/>
      </c>
      <c r="O314">
        <f>IF($A314="","",COUNTIFS('Таблиця 1'!$B:$B,$A314,'Таблиця 1'!$E:$E,"обл. РЕБ",'Таблиця 1'!$L:$L,"Уражено"))</f>
        <v/>
      </c>
      <c r="P314">
        <f>IF($A314="","",COUNTIFS('Таблиця 1'!$B:$B,$A314,'Таблиця 1'!$E:$E,"пос РЕБ",'Таблиця 1'!$L:$L,"Уражено"))</f>
        <v/>
      </c>
      <c r="Q314">
        <f>IF($A314="","",COUNTIFS('Таблиця 1'!$B:$B,$A314,'Таблиця 1'!$E:$E,"група РЕР",'Таблиця 1'!$L:$L,"Уражено"))</f>
        <v/>
      </c>
      <c r="R314">
        <f>IF($A314="","",COUNTIFS('Таблиця 1'!$B:$B,$A314,'Таблиця 1'!$E:$E,"РЛС КББ",'Таблиця 1'!$L:$L,"Уражено"))</f>
        <v/>
      </c>
      <c r="S314">
        <f>IF($A314="","",COUNTIFS('Таблиця 1'!$B:$B,$A314,'Таблиця 1'!$E:$E,"Ретранслятор",'Таблиця 1'!$L:$L,"Уражено"))</f>
        <v/>
      </c>
      <c r="T314">
        <f>IF($A314="","",COUNTIFS('Таблиця 1'!$B:$B,$A314,'Таблиця 1'!$E:$E,"Вз.зв'язку",'Таблиця 1'!$L:$L,"Уражено"))</f>
        <v/>
      </c>
      <c r="U314">
        <f>IF($A314="","",COUNTIFS('Таблиця 1'!$B:$B,$A314,'Таблиця 1'!$E:$E,"ПММ",'Таблиця 1'!$L:$L,"Уражено"))</f>
        <v/>
      </c>
      <c r="V314">
        <f>IF($A314="","",COUNTIFS('Таблиця 1'!$B:$B,$A314,'Таблиця 1'!$E:$E,"ІФС",'Таблиця 1'!$L:$L,"Уражено"))</f>
        <v/>
      </c>
      <c r="W314">
        <f>IF($A314="","",COUNTIFS('Таблиця 1'!$B:$B,$A314,'Таблиця 1'!$E:$E,"Інфраструктура",'Таблиця 1'!$L:$L,"Уражено"))</f>
        <v/>
      </c>
      <c r="X314">
        <f>IF($A314="","",SUMIFS('Таблиця 1'!$K:$K,'Таблиця 1'!$B:$B,$A314))</f>
        <v/>
      </c>
    </row>
    <row r="315">
      <c r="A315" s="81">
        <f>IF(A314="","",IF(A314+1&gt;MAX('Таблиця 1'!$B:$B),"",A314+1))</f>
        <v/>
      </c>
      <c r="B315">
        <f>IF($A315="","",COUNTIFS('Таблиця 1'!$B:$B,$A315,'Таблиця 1'!$E:$E,"ЖС ВЗ",'Таблиця 1'!$L:$L,"Уражено"))</f>
        <v/>
      </c>
      <c r="C315">
        <f>IF($A315="","",COUNTIFS('Таблиця 1'!$B:$B,$A315,'Таблиця 1'!$E:$E,"Арт. Системи",'Таблиця 1'!$L:$L,"Уражено"))</f>
        <v/>
      </c>
      <c r="D315">
        <f>IF($A315="","",COUNTIFS('Таблиця 1'!$B:$B,$A315,'Таблиця 1'!$E:$E,"ОВТ",'Таблиця 1'!$L:$L,"Уражено"))</f>
        <v/>
      </c>
      <c r="E315">
        <f>IF($A315="","",COUNTIFS('Таблиця 1'!$B:$B,$A315,'Таблиця 1'!$E:$E,"ППО",'Таблиця 1'!$L:$L,"Уражено"))</f>
        <v/>
      </c>
      <c r="F315">
        <f>IF($A315="","",COUNTIFS('Таблиця 1'!$B:$B,$A315,'Таблиця 1'!$E:$E,"Рембаза",'Таблиця 1'!$L:$L,"Уражено"))</f>
        <v/>
      </c>
      <c r="G315">
        <f>IF($A315="","",COUNTIFS('Таблиця 1'!$B:$B,$A315,'Таблиця 1'!$E:$E,"Склад БК",'Таблиця 1'!$L:$L,"Уражено"))</f>
        <v/>
      </c>
      <c r="H315">
        <f>IF($A315="","",COUNTIFS('Таблиця 1'!$B:$B,$A315,'Таблиця 1'!$E:$E,"Склад ВТМ",'Таблиця 1'!$L:$L,"Уражено"))</f>
        <v/>
      </c>
      <c r="I315">
        <f>IF($A315="","",COUNTIFS('Таблиця 1'!$B:$B,$A315,'Таблиця 1'!$E:$E,"ПУ БпЛА",'Таблиця 1'!$L:$L,"Уражено"))</f>
        <v/>
      </c>
      <c r="J315">
        <f>IF($A315="","",COUNTIFS('Таблиця 1'!$B:$B,$A315,'Таблиця 1'!$E:$E,"СП",'Таблиця 1'!$L:$L,"Уражено"))</f>
        <v/>
      </c>
      <c r="K315">
        <f>IF($A315="","",COUNTIFS('Таблиця 1'!$B:$B,$A315,'Таблиця 1'!$E:$E,"КСП роти",'Таблиця 1'!$L:$L,"Уражено"))</f>
        <v/>
      </c>
      <c r="L315">
        <f>IF($A315="","",COUNTIFS('Таблиця 1'!$B:$B,$A315,'Таблиця 1'!$E:$E,"ПУ бат",'Таблиця 1'!$L:$L,"Уражено"))</f>
        <v/>
      </c>
      <c r="M315">
        <f>IF($A315="","",COUNTIFS('Таблиця 1'!$B:$B,$A315,'Таблиця 1'!$E:$E,"ПУ бриг",'Таблиця 1'!$L:$L,"Уражено"))</f>
        <v/>
      </c>
      <c r="N315">
        <f>IF($A315="","",COUNTIFS('Таблиця 1'!$B:$B,$A315,'Таблиця 1'!$E:$E,"ПУ див",'Таблиця 1'!$L:$L,"Уражено"))</f>
        <v/>
      </c>
      <c r="O315">
        <f>IF($A315="","",COUNTIFS('Таблиця 1'!$B:$B,$A315,'Таблиця 1'!$E:$E,"обл. РЕБ",'Таблиця 1'!$L:$L,"Уражено"))</f>
        <v/>
      </c>
      <c r="P315">
        <f>IF($A315="","",COUNTIFS('Таблиця 1'!$B:$B,$A315,'Таблиця 1'!$E:$E,"пос РЕБ",'Таблиця 1'!$L:$L,"Уражено"))</f>
        <v/>
      </c>
      <c r="Q315">
        <f>IF($A315="","",COUNTIFS('Таблиця 1'!$B:$B,$A315,'Таблиця 1'!$E:$E,"група РЕР",'Таблиця 1'!$L:$L,"Уражено"))</f>
        <v/>
      </c>
      <c r="R315">
        <f>IF($A315="","",COUNTIFS('Таблиця 1'!$B:$B,$A315,'Таблиця 1'!$E:$E,"РЛС КББ",'Таблиця 1'!$L:$L,"Уражено"))</f>
        <v/>
      </c>
      <c r="S315">
        <f>IF($A315="","",COUNTIFS('Таблиця 1'!$B:$B,$A315,'Таблиця 1'!$E:$E,"Ретранслятор",'Таблиця 1'!$L:$L,"Уражено"))</f>
        <v/>
      </c>
      <c r="T315">
        <f>IF($A315="","",COUNTIFS('Таблиця 1'!$B:$B,$A315,'Таблиця 1'!$E:$E,"Вз.зв'язку",'Таблиця 1'!$L:$L,"Уражено"))</f>
        <v/>
      </c>
      <c r="U315">
        <f>IF($A315="","",COUNTIFS('Таблиця 1'!$B:$B,$A315,'Таблиця 1'!$E:$E,"ПММ",'Таблиця 1'!$L:$L,"Уражено"))</f>
        <v/>
      </c>
      <c r="V315">
        <f>IF($A315="","",COUNTIFS('Таблиця 1'!$B:$B,$A315,'Таблиця 1'!$E:$E,"ІФС",'Таблиця 1'!$L:$L,"Уражено"))</f>
        <v/>
      </c>
      <c r="W315">
        <f>IF($A315="","",COUNTIFS('Таблиця 1'!$B:$B,$A315,'Таблиця 1'!$E:$E,"Інфраструктура",'Таблиця 1'!$L:$L,"Уражено"))</f>
        <v/>
      </c>
      <c r="X315">
        <f>IF($A315="","",SUMIFS('Таблиця 1'!$K:$K,'Таблиця 1'!$B:$B,$A315))</f>
        <v/>
      </c>
    </row>
    <row r="316">
      <c r="A316" s="81">
        <f>IF(A315="","",IF(A315+1&gt;MAX('Таблиця 1'!$B:$B),"",A315+1))</f>
        <v/>
      </c>
      <c r="B316">
        <f>IF($A316="","",COUNTIFS('Таблиця 1'!$B:$B,$A316,'Таблиця 1'!$E:$E,"ЖС ВЗ",'Таблиця 1'!$L:$L,"Уражено"))</f>
        <v/>
      </c>
      <c r="C316">
        <f>IF($A316="","",COUNTIFS('Таблиця 1'!$B:$B,$A316,'Таблиця 1'!$E:$E,"Арт. Системи",'Таблиця 1'!$L:$L,"Уражено"))</f>
        <v/>
      </c>
      <c r="D316">
        <f>IF($A316="","",COUNTIFS('Таблиця 1'!$B:$B,$A316,'Таблиця 1'!$E:$E,"ОВТ",'Таблиця 1'!$L:$L,"Уражено"))</f>
        <v/>
      </c>
      <c r="E316">
        <f>IF($A316="","",COUNTIFS('Таблиця 1'!$B:$B,$A316,'Таблиця 1'!$E:$E,"ППО",'Таблиця 1'!$L:$L,"Уражено"))</f>
        <v/>
      </c>
      <c r="F316">
        <f>IF($A316="","",COUNTIFS('Таблиця 1'!$B:$B,$A316,'Таблиця 1'!$E:$E,"Рембаза",'Таблиця 1'!$L:$L,"Уражено"))</f>
        <v/>
      </c>
      <c r="G316">
        <f>IF($A316="","",COUNTIFS('Таблиця 1'!$B:$B,$A316,'Таблиця 1'!$E:$E,"Склад БК",'Таблиця 1'!$L:$L,"Уражено"))</f>
        <v/>
      </c>
      <c r="H316">
        <f>IF($A316="","",COUNTIFS('Таблиця 1'!$B:$B,$A316,'Таблиця 1'!$E:$E,"Склад ВТМ",'Таблиця 1'!$L:$L,"Уражено"))</f>
        <v/>
      </c>
      <c r="I316">
        <f>IF($A316="","",COUNTIFS('Таблиця 1'!$B:$B,$A316,'Таблиця 1'!$E:$E,"ПУ БпЛА",'Таблиця 1'!$L:$L,"Уражено"))</f>
        <v/>
      </c>
      <c r="J316">
        <f>IF($A316="","",COUNTIFS('Таблиця 1'!$B:$B,$A316,'Таблиця 1'!$E:$E,"СП",'Таблиця 1'!$L:$L,"Уражено"))</f>
        <v/>
      </c>
      <c r="K316">
        <f>IF($A316="","",COUNTIFS('Таблиця 1'!$B:$B,$A316,'Таблиця 1'!$E:$E,"КСП роти",'Таблиця 1'!$L:$L,"Уражено"))</f>
        <v/>
      </c>
      <c r="L316">
        <f>IF($A316="","",COUNTIFS('Таблиця 1'!$B:$B,$A316,'Таблиця 1'!$E:$E,"ПУ бат",'Таблиця 1'!$L:$L,"Уражено"))</f>
        <v/>
      </c>
      <c r="M316">
        <f>IF($A316="","",COUNTIFS('Таблиця 1'!$B:$B,$A316,'Таблиця 1'!$E:$E,"ПУ бриг",'Таблиця 1'!$L:$L,"Уражено"))</f>
        <v/>
      </c>
      <c r="N316">
        <f>IF($A316="","",COUNTIFS('Таблиця 1'!$B:$B,$A316,'Таблиця 1'!$E:$E,"ПУ див",'Таблиця 1'!$L:$L,"Уражено"))</f>
        <v/>
      </c>
      <c r="O316">
        <f>IF($A316="","",COUNTIFS('Таблиця 1'!$B:$B,$A316,'Таблиця 1'!$E:$E,"обл. РЕБ",'Таблиця 1'!$L:$L,"Уражено"))</f>
        <v/>
      </c>
      <c r="P316">
        <f>IF($A316="","",COUNTIFS('Таблиця 1'!$B:$B,$A316,'Таблиця 1'!$E:$E,"пос РЕБ",'Таблиця 1'!$L:$L,"Уражено"))</f>
        <v/>
      </c>
      <c r="Q316">
        <f>IF($A316="","",COUNTIFS('Таблиця 1'!$B:$B,$A316,'Таблиця 1'!$E:$E,"група РЕР",'Таблиця 1'!$L:$L,"Уражено"))</f>
        <v/>
      </c>
      <c r="R316">
        <f>IF($A316="","",COUNTIFS('Таблиця 1'!$B:$B,$A316,'Таблиця 1'!$E:$E,"РЛС КББ",'Таблиця 1'!$L:$L,"Уражено"))</f>
        <v/>
      </c>
      <c r="S316">
        <f>IF($A316="","",COUNTIFS('Таблиця 1'!$B:$B,$A316,'Таблиця 1'!$E:$E,"Ретранслятор",'Таблиця 1'!$L:$L,"Уражено"))</f>
        <v/>
      </c>
      <c r="T316">
        <f>IF($A316="","",COUNTIFS('Таблиця 1'!$B:$B,$A316,'Таблиця 1'!$E:$E,"Вз.зв'язку",'Таблиця 1'!$L:$L,"Уражено"))</f>
        <v/>
      </c>
      <c r="U316">
        <f>IF($A316="","",COUNTIFS('Таблиця 1'!$B:$B,$A316,'Таблиця 1'!$E:$E,"ПММ",'Таблиця 1'!$L:$L,"Уражено"))</f>
        <v/>
      </c>
      <c r="V316">
        <f>IF($A316="","",COUNTIFS('Таблиця 1'!$B:$B,$A316,'Таблиця 1'!$E:$E,"ІФС",'Таблиця 1'!$L:$L,"Уражено"))</f>
        <v/>
      </c>
      <c r="W316">
        <f>IF($A316="","",COUNTIFS('Таблиця 1'!$B:$B,$A316,'Таблиця 1'!$E:$E,"Інфраструктура",'Таблиця 1'!$L:$L,"Уражено"))</f>
        <v/>
      </c>
      <c r="X316">
        <f>IF($A316="","",SUMIFS('Таблиця 1'!$K:$K,'Таблиця 1'!$B:$B,$A316))</f>
        <v/>
      </c>
    </row>
    <row r="317">
      <c r="A317" s="81">
        <f>IF(A316="","",IF(A316+1&gt;MAX('Таблиця 1'!$B:$B),"",A316+1))</f>
        <v/>
      </c>
      <c r="B317">
        <f>IF($A317="","",COUNTIFS('Таблиця 1'!$B:$B,$A317,'Таблиця 1'!$E:$E,"ЖС ВЗ",'Таблиця 1'!$L:$L,"Уражено"))</f>
        <v/>
      </c>
      <c r="C317">
        <f>IF($A317="","",COUNTIFS('Таблиця 1'!$B:$B,$A317,'Таблиця 1'!$E:$E,"Арт. Системи",'Таблиця 1'!$L:$L,"Уражено"))</f>
        <v/>
      </c>
      <c r="D317">
        <f>IF($A317="","",COUNTIFS('Таблиця 1'!$B:$B,$A317,'Таблиця 1'!$E:$E,"ОВТ",'Таблиця 1'!$L:$L,"Уражено"))</f>
        <v/>
      </c>
      <c r="E317">
        <f>IF($A317="","",COUNTIFS('Таблиця 1'!$B:$B,$A317,'Таблиця 1'!$E:$E,"ППО",'Таблиця 1'!$L:$L,"Уражено"))</f>
        <v/>
      </c>
      <c r="F317">
        <f>IF($A317="","",COUNTIFS('Таблиця 1'!$B:$B,$A317,'Таблиця 1'!$E:$E,"Рембаза",'Таблиця 1'!$L:$L,"Уражено"))</f>
        <v/>
      </c>
      <c r="G317">
        <f>IF($A317="","",COUNTIFS('Таблиця 1'!$B:$B,$A317,'Таблиця 1'!$E:$E,"Склад БК",'Таблиця 1'!$L:$L,"Уражено"))</f>
        <v/>
      </c>
      <c r="H317">
        <f>IF($A317="","",COUNTIFS('Таблиця 1'!$B:$B,$A317,'Таблиця 1'!$E:$E,"Склад ВТМ",'Таблиця 1'!$L:$L,"Уражено"))</f>
        <v/>
      </c>
      <c r="I317">
        <f>IF($A317="","",COUNTIFS('Таблиця 1'!$B:$B,$A317,'Таблиця 1'!$E:$E,"ПУ БпЛА",'Таблиця 1'!$L:$L,"Уражено"))</f>
        <v/>
      </c>
      <c r="J317">
        <f>IF($A317="","",COUNTIFS('Таблиця 1'!$B:$B,$A317,'Таблиця 1'!$E:$E,"СП",'Таблиця 1'!$L:$L,"Уражено"))</f>
        <v/>
      </c>
      <c r="K317">
        <f>IF($A317="","",COUNTIFS('Таблиця 1'!$B:$B,$A317,'Таблиця 1'!$E:$E,"КСП роти",'Таблиця 1'!$L:$L,"Уражено"))</f>
        <v/>
      </c>
      <c r="L317">
        <f>IF($A317="","",COUNTIFS('Таблиця 1'!$B:$B,$A317,'Таблиця 1'!$E:$E,"ПУ бат",'Таблиця 1'!$L:$L,"Уражено"))</f>
        <v/>
      </c>
      <c r="M317">
        <f>IF($A317="","",COUNTIFS('Таблиця 1'!$B:$B,$A317,'Таблиця 1'!$E:$E,"ПУ бриг",'Таблиця 1'!$L:$L,"Уражено"))</f>
        <v/>
      </c>
      <c r="N317">
        <f>IF($A317="","",COUNTIFS('Таблиця 1'!$B:$B,$A317,'Таблиця 1'!$E:$E,"ПУ див",'Таблиця 1'!$L:$L,"Уражено"))</f>
        <v/>
      </c>
      <c r="O317">
        <f>IF($A317="","",COUNTIFS('Таблиця 1'!$B:$B,$A317,'Таблиця 1'!$E:$E,"обл. РЕБ",'Таблиця 1'!$L:$L,"Уражено"))</f>
        <v/>
      </c>
      <c r="P317">
        <f>IF($A317="","",COUNTIFS('Таблиця 1'!$B:$B,$A317,'Таблиця 1'!$E:$E,"пос РЕБ",'Таблиця 1'!$L:$L,"Уражено"))</f>
        <v/>
      </c>
      <c r="Q317">
        <f>IF($A317="","",COUNTIFS('Таблиця 1'!$B:$B,$A317,'Таблиця 1'!$E:$E,"група РЕР",'Таблиця 1'!$L:$L,"Уражено"))</f>
        <v/>
      </c>
      <c r="R317">
        <f>IF($A317="","",COUNTIFS('Таблиця 1'!$B:$B,$A317,'Таблиця 1'!$E:$E,"РЛС КББ",'Таблиця 1'!$L:$L,"Уражено"))</f>
        <v/>
      </c>
      <c r="S317">
        <f>IF($A317="","",COUNTIFS('Таблиця 1'!$B:$B,$A317,'Таблиця 1'!$E:$E,"Ретранслятор",'Таблиця 1'!$L:$L,"Уражено"))</f>
        <v/>
      </c>
      <c r="T317">
        <f>IF($A317="","",COUNTIFS('Таблиця 1'!$B:$B,$A317,'Таблиця 1'!$E:$E,"Вз.зв'язку",'Таблиця 1'!$L:$L,"Уражено"))</f>
        <v/>
      </c>
      <c r="U317">
        <f>IF($A317="","",COUNTIFS('Таблиця 1'!$B:$B,$A317,'Таблиця 1'!$E:$E,"ПММ",'Таблиця 1'!$L:$L,"Уражено"))</f>
        <v/>
      </c>
      <c r="V317">
        <f>IF($A317="","",COUNTIFS('Таблиця 1'!$B:$B,$A317,'Таблиця 1'!$E:$E,"ІФС",'Таблиця 1'!$L:$L,"Уражено"))</f>
        <v/>
      </c>
      <c r="W317">
        <f>IF($A317="","",COUNTIFS('Таблиця 1'!$B:$B,$A317,'Таблиця 1'!$E:$E,"Інфраструктура",'Таблиця 1'!$L:$L,"Уражено"))</f>
        <v/>
      </c>
      <c r="X317">
        <f>IF($A317="","",SUMIFS('Таблиця 1'!$K:$K,'Таблиця 1'!$B:$B,$A317))</f>
        <v/>
      </c>
    </row>
    <row r="318">
      <c r="A318" s="81">
        <f>IF(A317="","",IF(A317+1&gt;MAX('Таблиця 1'!$B:$B),"",A317+1))</f>
        <v/>
      </c>
      <c r="B318">
        <f>IF($A318="","",COUNTIFS('Таблиця 1'!$B:$B,$A318,'Таблиця 1'!$E:$E,"ЖС ВЗ",'Таблиця 1'!$L:$L,"Уражено"))</f>
        <v/>
      </c>
      <c r="C318">
        <f>IF($A318="","",COUNTIFS('Таблиця 1'!$B:$B,$A318,'Таблиця 1'!$E:$E,"Арт. Системи",'Таблиця 1'!$L:$L,"Уражено"))</f>
        <v/>
      </c>
      <c r="D318">
        <f>IF($A318="","",COUNTIFS('Таблиця 1'!$B:$B,$A318,'Таблиця 1'!$E:$E,"ОВТ",'Таблиця 1'!$L:$L,"Уражено"))</f>
        <v/>
      </c>
      <c r="E318">
        <f>IF($A318="","",COUNTIFS('Таблиця 1'!$B:$B,$A318,'Таблиця 1'!$E:$E,"ППО",'Таблиця 1'!$L:$L,"Уражено"))</f>
        <v/>
      </c>
      <c r="F318">
        <f>IF($A318="","",COUNTIFS('Таблиця 1'!$B:$B,$A318,'Таблиця 1'!$E:$E,"Рембаза",'Таблиця 1'!$L:$L,"Уражено"))</f>
        <v/>
      </c>
      <c r="G318">
        <f>IF($A318="","",COUNTIFS('Таблиця 1'!$B:$B,$A318,'Таблиця 1'!$E:$E,"Склад БК",'Таблиця 1'!$L:$L,"Уражено"))</f>
        <v/>
      </c>
      <c r="H318">
        <f>IF($A318="","",COUNTIFS('Таблиця 1'!$B:$B,$A318,'Таблиця 1'!$E:$E,"Склад ВТМ",'Таблиця 1'!$L:$L,"Уражено"))</f>
        <v/>
      </c>
      <c r="I318">
        <f>IF($A318="","",COUNTIFS('Таблиця 1'!$B:$B,$A318,'Таблиця 1'!$E:$E,"ПУ БпЛА",'Таблиця 1'!$L:$L,"Уражено"))</f>
        <v/>
      </c>
      <c r="J318">
        <f>IF($A318="","",COUNTIFS('Таблиця 1'!$B:$B,$A318,'Таблиця 1'!$E:$E,"СП",'Таблиця 1'!$L:$L,"Уражено"))</f>
        <v/>
      </c>
      <c r="K318">
        <f>IF($A318="","",COUNTIFS('Таблиця 1'!$B:$B,$A318,'Таблиця 1'!$E:$E,"КСП роти",'Таблиця 1'!$L:$L,"Уражено"))</f>
        <v/>
      </c>
      <c r="L318">
        <f>IF($A318="","",COUNTIFS('Таблиця 1'!$B:$B,$A318,'Таблиця 1'!$E:$E,"ПУ бат",'Таблиця 1'!$L:$L,"Уражено"))</f>
        <v/>
      </c>
      <c r="M318">
        <f>IF($A318="","",COUNTIFS('Таблиця 1'!$B:$B,$A318,'Таблиця 1'!$E:$E,"ПУ бриг",'Таблиця 1'!$L:$L,"Уражено"))</f>
        <v/>
      </c>
      <c r="N318">
        <f>IF($A318="","",COUNTIFS('Таблиця 1'!$B:$B,$A318,'Таблиця 1'!$E:$E,"ПУ див",'Таблиця 1'!$L:$L,"Уражено"))</f>
        <v/>
      </c>
      <c r="O318">
        <f>IF($A318="","",COUNTIFS('Таблиця 1'!$B:$B,$A318,'Таблиця 1'!$E:$E,"обл. РЕБ",'Таблиця 1'!$L:$L,"Уражено"))</f>
        <v/>
      </c>
      <c r="P318">
        <f>IF($A318="","",COUNTIFS('Таблиця 1'!$B:$B,$A318,'Таблиця 1'!$E:$E,"пос РЕБ",'Таблиця 1'!$L:$L,"Уражено"))</f>
        <v/>
      </c>
      <c r="Q318">
        <f>IF($A318="","",COUNTIFS('Таблиця 1'!$B:$B,$A318,'Таблиця 1'!$E:$E,"група РЕР",'Таблиця 1'!$L:$L,"Уражено"))</f>
        <v/>
      </c>
      <c r="R318">
        <f>IF($A318="","",COUNTIFS('Таблиця 1'!$B:$B,$A318,'Таблиця 1'!$E:$E,"РЛС КББ",'Таблиця 1'!$L:$L,"Уражено"))</f>
        <v/>
      </c>
      <c r="S318">
        <f>IF($A318="","",COUNTIFS('Таблиця 1'!$B:$B,$A318,'Таблиця 1'!$E:$E,"Ретранслятор",'Таблиця 1'!$L:$L,"Уражено"))</f>
        <v/>
      </c>
      <c r="T318">
        <f>IF($A318="","",COUNTIFS('Таблиця 1'!$B:$B,$A318,'Таблиця 1'!$E:$E,"Вз.зв'язку",'Таблиця 1'!$L:$L,"Уражено"))</f>
        <v/>
      </c>
      <c r="U318">
        <f>IF($A318="","",COUNTIFS('Таблиця 1'!$B:$B,$A318,'Таблиця 1'!$E:$E,"ПММ",'Таблиця 1'!$L:$L,"Уражено"))</f>
        <v/>
      </c>
      <c r="V318">
        <f>IF($A318="","",COUNTIFS('Таблиця 1'!$B:$B,$A318,'Таблиця 1'!$E:$E,"ІФС",'Таблиця 1'!$L:$L,"Уражено"))</f>
        <v/>
      </c>
      <c r="W318">
        <f>IF($A318="","",COUNTIFS('Таблиця 1'!$B:$B,$A318,'Таблиця 1'!$E:$E,"Інфраструктура",'Таблиця 1'!$L:$L,"Уражено"))</f>
        <v/>
      </c>
      <c r="X318">
        <f>IF($A318="","",SUMIFS('Таблиця 1'!$K:$K,'Таблиця 1'!$B:$B,$A318))</f>
        <v/>
      </c>
    </row>
    <row r="319">
      <c r="A319" s="81">
        <f>IF(A318="","",IF(A318+1&gt;MAX('Таблиця 1'!$B:$B),"",A318+1))</f>
        <v/>
      </c>
      <c r="B319">
        <f>IF($A319="","",COUNTIFS('Таблиця 1'!$B:$B,$A319,'Таблиця 1'!$E:$E,"ЖС ВЗ",'Таблиця 1'!$L:$L,"Уражено"))</f>
        <v/>
      </c>
      <c r="C319">
        <f>IF($A319="","",COUNTIFS('Таблиця 1'!$B:$B,$A319,'Таблиця 1'!$E:$E,"Арт. Системи",'Таблиця 1'!$L:$L,"Уражено"))</f>
        <v/>
      </c>
      <c r="D319">
        <f>IF($A319="","",COUNTIFS('Таблиця 1'!$B:$B,$A319,'Таблиця 1'!$E:$E,"ОВТ",'Таблиця 1'!$L:$L,"Уражено"))</f>
        <v/>
      </c>
      <c r="E319">
        <f>IF($A319="","",COUNTIFS('Таблиця 1'!$B:$B,$A319,'Таблиця 1'!$E:$E,"ППО",'Таблиця 1'!$L:$L,"Уражено"))</f>
        <v/>
      </c>
      <c r="F319">
        <f>IF($A319="","",COUNTIFS('Таблиця 1'!$B:$B,$A319,'Таблиця 1'!$E:$E,"Рембаза",'Таблиця 1'!$L:$L,"Уражено"))</f>
        <v/>
      </c>
      <c r="G319">
        <f>IF($A319="","",COUNTIFS('Таблиця 1'!$B:$B,$A319,'Таблиця 1'!$E:$E,"Склад БК",'Таблиця 1'!$L:$L,"Уражено"))</f>
        <v/>
      </c>
      <c r="H319">
        <f>IF($A319="","",COUNTIFS('Таблиця 1'!$B:$B,$A319,'Таблиця 1'!$E:$E,"Склад ВТМ",'Таблиця 1'!$L:$L,"Уражено"))</f>
        <v/>
      </c>
      <c r="I319">
        <f>IF($A319="","",COUNTIFS('Таблиця 1'!$B:$B,$A319,'Таблиця 1'!$E:$E,"ПУ БпЛА",'Таблиця 1'!$L:$L,"Уражено"))</f>
        <v/>
      </c>
      <c r="J319">
        <f>IF($A319="","",COUNTIFS('Таблиця 1'!$B:$B,$A319,'Таблиця 1'!$E:$E,"СП",'Таблиця 1'!$L:$L,"Уражено"))</f>
        <v/>
      </c>
      <c r="K319">
        <f>IF($A319="","",COUNTIFS('Таблиця 1'!$B:$B,$A319,'Таблиця 1'!$E:$E,"КСП роти",'Таблиця 1'!$L:$L,"Уражено"))</f>
        <v/>
      </c>
      <c r="L319">
        <f>IF($A319="","",COUNTIFS('Таблиця 1'!$B:$B,$A319,'Таблиця 1'!$E:$E,"ПУ бат",'Таблиця 1'!$L:$L,"Уражено"))</f>
        <v/>
      </c>
      <c r="M319">
        <f>IF($A319="","",COUNTIFS('Таблиця 1'!$B:$B,$A319,'Таблиця 1'!$E:$E,"ПУ бриг",'Таблиця 1'!$L:$L,"Уражено"))</f>
        <v/>
      </c>
      <c r="N319">
        <f>IF($A319="","",COUNTIFS('Таблиця 1'!$B:$B,$A319,'Таблиця 1'!$E:$E,"ПУ див",'Таблиця 1'!$L:$L,"Уражено"))</f>
        <v/>
      </c>
      <c r="O319">
        <f>IF($A319="","",COUNTIFS('Таблиця 1'!$B:$B,$A319,'Таблиця 1'!$E:$E,"обл. РЕБ",'Таблиця 1'!$L:$L,"Уражено"))</f>
        <v/>
      </c>
      <c r="P319">
        <f>IF($A319="","",COUNTIFS('Таблиця 1'!$B:$B,$A319,'Таблиця 1'!$E:$E,"пос РЕБ",'Таблиця 1'!$L:$L,"Уражено"))</f>
        <v/>
      </c>
      <c r="Q319">
        <f>IF($A319="","",COUNTIFS('Таблиця 1'!$B:$B,$A319,'Таблиця 1'!$E:$E,"група РЕР",'Таблиця 1'!$L:$L,"Уражено"))</f>
        <v/>
      </c>
      <c r="R319">
        <f>IF($A319="","",COUNTIFS('Таблиця 1'!$B:$B,$A319,'Таблиця 1'!$E:$E,"РЛС КББ",'Таблиця 1'!$L:$L,"Уражено"))</f>
        <v/>
      </c>
      <c r="S319">
        <f>IF($A319="","",COUNTIFS('Таблиця 1'!$B:$B,$A319,'Таблиця 1'!$E:$E,"Ретранслятор",'Таблиця 1'!$L:$L,"Уражено"))</f>
        <v/>
      </c>
      <c r="T319">
        <f>IF($A319="","",COUNTIFS('Таблиця 1'!$B:$B,$A319,'Таблиця 1'!$E:$E,"Вз.зв'язку",'Таблиця 1'!$L:$L,"Уражено"))</f>
        <v/>
      </c>
      <c r="U319">
        <f>IF($A319="","",COUNTIFS('Таблиця 1'!$B:$B,$A319,'Таблиця 1'!$E:$E,"ПММ",'Таблиця 1'!$L:$L,"Уражено"))</f>
        <v/>
      </c>
      <c r="V319">
        <f>IF($A319="","",COUNTIFS('Таблиця 1'!$B:$B,$A319,'Таблиця 1'!$E:$E,"ІФС",'Таблиця 1'!$L:$L,"Уражено"))</f>
        <v/>
      </c>
      <c r="W319">
        <f>IF($A319="","",COUNTIFS('Таблиця 1'!$B:$B,$A319,'Таблиця 1'!$E:$E,"Інфраструктура",'Таблиця 1'!$L:$L,"Уражено"))</f>
        <v/>
      </c>
      <c r="X319">
        <f>IF($A319="","",SUMIFS('Таблиця 1'!$K:$K,'Таблиця 1'!$B:$B,$A319))</f>
        <v/>
      </c>
    </row>
    <row r="320">
      <c r="A320" s="81">
        <f>IF(A319="","",IF(A319+1&gt;MAX('Таблиця 1'!$B:$B),"",A319+1))</f>
        <v/>
      </c>
      <c r="B320">
        <f>IF($A320="","",COUNTIFS('Таблиця 1'!$B:$B,$A320,'Таблиця 1'!$E:$E,"ЖС ВЗ",'Таблиця 1'!$L:$L,"Уражено"))</f>
        <v/>
      </c>
      <c r="C320">
        <f>IF($A320="","",COUNTIFS('Таблиця 1'!$B:$B,$A320,'Таблиця 1'!$E:$E,"Арт. Системи",'Таблиця 1'!$L:$L,"Уражено"))</f>
        <v/>
      </c>
      <c r="D320">
        <f>IF($A320="","",COUNTIFS('Таблиця 1'!$B:$B,$A320,'Таблиця 1'!$E:$E,"ОВТ",'Таблиця 1'!$L:$L,"Уражено"))</f>
        <v/>
      </c>
      <c r="E320">
        <f>IF($A320="","",COUNTIFS('Таблиця 1'!$B:$B,$A320,'Таблиця 1'!$E:$E,"ППО",'Таблиця 1'!$L:$L,"Уражено"))</f>
        <v/>
      </c>
      <c r="F320">
        <f>IF($A320="","",COUNTIFS('Таблиця 1'!$B:$B,$A320,'Таблиця 1'!$E:$E,"Рембаза",'Таблиця 1'!$L:$L,"Уражено"))</f>
        <v/>
      </c>
      <c r="G320">
        <f>IF($A320="","",COUNTIFS('Таблиця 1'!$B:$B,$A320,'Таблиця 1'!$E:$E,"Склад БК",'Таблиця 1'!$L:$L,"Уражено"))</f>
        <v/>
      </c>
      <c r="H320">
        <f>IF($A320="","",COUNTIFS('Таблиця 1'!$B:$B,$A320,'Таблиця 1'!$E:$E,"Склад ВТМ",'Таблиця 1'!$L:$L,"Уражено"))</f>
        <v/>
      </c>
      <c r="I320">
        <f>IF($A320="","",COUNTIFS('Таблиця 1'!$B:$B,$A320,'Таблиця 1'!$E:$E,"ПУ БпЛА",'Таблиця 1'!$L:$L,"Уражено"))</f>
        <v/>
      </c>
      <c r="J320">
        <f>IF($A320="","",COUNTIFS('Таблиця 1'!$B:$B,$A320,'Таблиця 1'!$E:$E,"СП",'Таблиця 1'!$L:$L,"Уражено"))</f>
        <v/>
      </c>
      <c r="K320">
        <f>IF($A320="","",COUNTIFS('Таблиця 1'!$B:$B,$A320,'Таблиця 1'!$E:$E,"КСП роти",'Таблиця 1'!$L:$L,"Уражено"))</f>
        <v/>
      </c>
      <c r="L320">
        <f>IF($A320="","",COUNTIFS('Таблиця 1'!$B:$B,$A320,'Таблиця 1'!$E:$E,"ПУ бат",'Таблиця 1'!$L:$L,"Уражено"))</f>
        <v/>
      </c>
      <c r="M320">
        <f>IF($A320="","",COUNTIFS('Таблиця 1'!$B:$B,$A320,'Таблиця 1'!$E:$E,"ПУ бриг",'Таблиця 1'!$L:$L,"Уражено"))</f>
        <v/>
      </c>
      <c r="N320">
        <f>IF($A320="","",COUNTIFS('Таблиця 1'!$B:$B,$A320,'Таблиця 1'!$E:$E,"ПУ див",'Таблиця 1'!$L:$L,"Уражено"))</f>
        <v/>
      </c>
      <c r="O320">
        <f>IF($A320="","",COUNTIFS('Таблиця 1'!$B:$B,$A320,'Таблиця 1'!$E:$E,"обл. РЕБ",'Таблиця 1'!$L:$L,"Уражено"))</f>
        <v/>
      </c>
      <c r="P320">
        <f>IF($A320="","",COUNTIFS('Таблиця 1'!$B:$B,$A320,'Таблиця 1'!$E:$E,"пос РЕБ",'Таблиця 1'!$L:$L,"Уражено"))</f>
        <v/>
      </c>
      <c r="Q320">
        <f>IF($A320="","",COUNTIFS('Таблиця 1'!$B:$B,$A320,'Таблиця 1'!$E:$E,"група РЕР",'Таблиця 1'!$L:$L,"Уражено"))</f>
        <v/>
      </c>
      <c r="R320">
        <f>IF($A320="","",COUNTIFS('Таблиця 1'!$B:$B,$A320,'Таблиця 1'!$E:$E,"РЛС КББ",'Таблиця 1'!$L:$L,"Уражено"))</f>
        <v/>
      </c>
      <c r="S320">
        <f>IF($A320="","",COUNTIFS('Таблиця 1'!$B:$B,$A320,'Таблиця 1'!$E:$E,"Ретранслятор",'Таблиця 1'!$L:$L,"Уражено"))</f>
        <v/>
      </c>
      <c r="T320">
        <f>IF($A320="","",COUNTIFS('Таблиця 1'!$B:$B,$A320,'Таблиця 1'!$E:$E,"Вз.зв'язку",'Таблиця 1'!$L:$L,"Уражено"))</f>
        <v/>
      </c>
      <c r="U320">
        <f>IF($A320="","",COUNTIFS('Таблиця 1'!$B:$B,$A320,'Таблиця 1'!$E:$E,"ПММ",'Таблиця 1'!$L:$L,"Уражено"))</f>
        <v/>
      </c>
      <c r="V320">
        <f>IF($A320="","",COUNTIFS('Таблиця 1'!$B:$B,$A320,'Таблиця 1'!$E:$E,"ІФС",'Таблиця 1'!$L:$L,"Уражено"))</f>
        <v/>
      </c>
      <c r="W320">
        <f>IF($A320="","",COUNTIFS('Таблиця 1'!$B:$B,$A320,'Таблиця 1'!$E:$E,"Інфраструктура",'Таблиця 1'!$L:$L,"Уражено"))</f>
        <v/>
      </c>
      <c r="X320">
        <f>IF($A320="","",SUMIFS('Таблиця 1'!$K:$K,'Таблиця 1'!$B:$B,$A320))</f>
        <v/>
      </c>
    </row>
    <row r="321">
      <c r="A321" s="81">
        <f>IF(A320="","",IF(A320+1&gt;MAX('Таблиця 1'!$B:$B),"",A320+1))</f>
        <v/>
      </c>
      <c r="B321">
        <f>IF($A321="","",COUNTIFS('Таблиця 1'!$B:$B,$A321,'Таблиця 1'!$E:$E,"ЖС ВЗ",'Таблиця 1'!$L:$L,"Уражено"))</f>
        <v/>
      </c>
      <c r="C321">
        <f>IF($A321="","",COUNTIFS('Таблиця 1'!$B:$B,$A321,'Таблиця 1'!$E:$E,"Арт. Системи",'Таблиця 1'!$L:$L,"Уражено"))</f>
        <v/>
      </c>
      <c r="D321">
        <f>IF($A321="","",COUNTIFS('Таблиця 1'!$B:$B,$A321,'Таблиця 1'!$E:$E,"ОВТ",'Таблиця 1'!$L:$L,"Уражено"))</f>
        <v/>
      </c>
      <c r="E321">
        <f>IF($A321="","",COUNTIFS('Таблиця 1'!$B:$B,$A321,'Таблиця 1'!$E:$E,"ППО",'Таблиця 1'!$L:$L,"Уражено"))</f>
        <v/>
      </c>
      <c r="F321">
        <f>IF($A321="","",COUNTIFS('Таблиця 1'!$B:$B,$A321,'Таблиця 1'!$E:$E,"Рембаза",'Таблиця 1'!$L:$L,"Уражено"))</f>
        <v/>
      </c>
      <c r="G321">
        <f>IF($A321="","",COUNTIFS('Таблиця 1'!$B:$B,$A321,'Таблиця 1'!$E:$E,"Склад БК",'Таблиця 1'!$L:$L,"Уражено"))</f>
        <v/>
      </c>
      <c r="H321">
        <f>IF($A321="","",COUNTIFS('Таблиця 1'!$B:$B,$A321,'Таблиця 1'!$E:$E,"Склад ВТМ",'Таблиця 1'!$L:$L,"Уражено"))</f>
        <v/>
      </c>
      <c r="I321">
        <f>IF($A321="","",COUNTIFS('Таблиця 1'!$B:$B,$A321,'Таблиця 1'!$E:$E,"ПУ БпЛА",'Таблиця 1'!$L:$L,"Уражено"))</f>
        <v/>
      </c>
      <c r="J321">
        <f>IF($A321="","",COUNTIFS('Таблиця 1'!$B:$B,$A321,'Таблиця 1'!$E:$E,"СП",'Таблиця 1'!$L:$L,"Уражено"))</f>
        <v/>
      </c>
      <c r="K321">
        <f>IF($A321="","",COUNTIFS('Таблиця 1'!$B:$B,$A321,'Таблиця 1'!$E:$E,"КСП роти",'Таблиця 1'!$L:$L,"Уражено"))</f>
        <v/>
      </c>
      <c r="L321">
        <f>IF($A321="","",COUNTIFS('Таблиця 1'!$B:$B,$A321,'Таблиця 1'!$E:$E,"ПУ бат",'Таблиця 1'!$L:$L,"Уражено"))</f>
        <v/>
      </c>
      <c r="M321">
        <f>IF($A321="","",COUNTIFS('Таблиця 1'!$B:$B,$A321,'Таблиця 1'!$E:$E,"ПУ бриг",'Таблиця 1'!$L:$L,"Уражено"))</f>
        <v/>
      </c>
      <c r="N321">
        <f>IF($A321="","",COUNTIFS('Таблиця 1'!$B:$B,$A321,'Таблиця 1'!$E:$E,"ПУ див",'Таблиця 1'!$L:$L,"Уражено"))</f>
        <v/>
      </c>
      <c r="O321">
        <f>IF($A321="","",COUNTIFS('Таблиця 1'!$B:$B,$A321,'Таблиця 1'!$E:$E,"обл. РЕБ",'Таблиця 1'!$L:$L,"Уражено"))</f>
        <v/>
      </c>
      <c r="P321">
        <f>IF($A321="","",COUNTIFS('Таблиця 1'!$B:$B,$A321,'Таблиця 1'!$E:$E,"пос РЕБ",'Таблиця 1'!$L:$L,"Уражено"))</f>
        <v/>
      </c>
      <c r="Q321">
        <f>IF($A321="","",COUNTIFS('Таблиця 1'!$B:$B,$A321,'Таблиця 1'!$E:$E,"група РЕР",'Таблиця 1'!$L:$L,"Уражено"))</f>
        <v/>
      </c>
      <c r="R321">
        <f>IF($A321="","",COUNTIFS('Таблиця 1'!$B:$B,$A321,'Таблиця 1'!$E:$E,"РЛС КББ",'Таблиця 1'!$L:$L,"Уражено"))</f>
        <v/>
      </c>
      <c r="S321">
        <f>IF($A321="","",COUNTIFS('Таблиця 1'!$B:$B,$A321,'Таблиця 1'!$E:$E,"Ретранслятор",'Таблиця 1'!$L:$L,"Уражено"))</f>
        <v/>
      </c>
      <c r="T321">
        <f>IF($A321="","",COUNTIFS('Таблиця 1'!$B:$B,$A321,'Таблиця 1'!$E:$E,"Вз.зв'язку",'Таблиця 1'!$L:$L,"Уражено"))</f>
        <v/>
      </c>
      <c r="U321">
        <f>IF($A321="","",COUNTIFS('Таблиця 1'!$B:$B,$A321,'Таблиця 1'!$E:$E,"ПММ",'Таблиця 1'!$L:$L,"Уражено"))</f>
        <v/>
      </c>
      <c r="V321">
        <f>IF($A321="","",COUNTIFS('Таблиця 1'!$B:$B,$A321,'Таблиця 1'!$E:$E,"ІФС",'Таблиця 1'!$L:$L,"Уражено"))</f>
        <v/>
      </c>
      <c r="W321">
        <f>IF($A321="","",COUNTIFS('Таблиця 1'!$B:$B,$A321,'Таблиця 1'!$E:$E,"Інфраструктура",'Таблиця 1'!$L:$L,"Уражено"))</f>
        <v/>
      </c>
      <c r="X321">
        <f>IF($A321="","",SUMIFS('Таблиця 1'!$K:$K,'Таблиця 1'!$B:$B,$A321))</f>
        <v/>
      </c>
    </row>
    <row r="322">
      <c r="A322" s="81">
        <f>IF(A321="","",IF(A321+1&gt;MAX('Таблиця 1'!$B:$B),"",A321+1))</f>
        <v/>
      </c>
      <c r="B322">
        <f>IF($A322="","",COUNTIFS('Таблиця 1'!$B:$B,$A322,'Таблиця 1'!$E:$E,"ЖС ВЗ",'Таблиця 1'!$L:$L,"Уражено"))</f>
        <v/>
      </c>
      <c r="C322">
        <f>IF($A322="","",COUNTIFS('Таблиця 1'!$B:$B,$A322,'Таблиця 1'!$E:$E,"Арт. Системи",'Таблиця 1'!$L:$L,"Уражено"))</f>
        <v/>
      </c>
      <c r="D322">
        <f>IF($A322="","",COUNTIFS('Таблиця 1'!$B:$B,$A322,'Таблиця 1'!$E:$E,"ОВТ",'Таблиця 1'!$L:$L,"Уражено"))</f>
        <v/>
      </c>
      <c r="E322">
        <f>IF($A322="","",COUNTIFS('Таблиця 1'!$B:$B,$A322,'Таблиця 1'!$E:$E,"ППО",'Таблиця 1'!$L:$L,"Уражено"))</f>
        <v/>
      </c>
      <c r="F322">
        <f>IF($A322="","",COUNTIFS('Таблиця 1'!$B:$B,$A322,'Таблиця 1'!$E:$E,"Рембаза",'Таблиця 1'!$L:$L,"Уражено"))</f>
        <v/>
      </c>
      <c r="G322">
        <f>IF($A322="","",COUNTIFS('Таблиця 1'!$B:$B,$A322,'Таблиця 1'!$E:$E,"Склад БК",'Таблиця 1'!$L:$L,"Уражено"))</f>
        <v/>
      </c>
      <c r="H322">
        <f>IF($A322="","",COUNTIFS('Таблиця 1'!$B:$B,$A322,'Таблиця 1'!$E:$E,"Склад ВТМ",'Таблиця 1'!$L:$L,"Уражено"))</f>
        <v/>
      </c>
      <c r="I322">
        <f>IF($A322="","",COUNTIFS('Таблиця 1'!$B:$B,$A322,'Таблиця 1'!$E:$E,"ПУ БпЛА",'Таблиця 1'!$L:$L,"Уражено"))</f>
        <v/>
      </c>
      <c r="J322">
        <f>IF($A322="","",COUNTIFS('Таблиця 1'!$B:$B,$A322,'Таблиця 1'!$E:$E,"СП",'Таблиця 1'!$L:$L,"Уражено"))</f>
        <v/>
      </c>
      <c r="K322">
        <f>IF($A322="","",COUNTIFS('Таблиця 1'!$B:$B,$A322,'Таблиця 1'!$E:$E,"КСП роти",'Таблиця 1'!$L:$L,"Уражено"))</f>
        <v/>
      </c>
      <c r="L322">
        <f>IF($A322="","",COUNTIFS('Таблиця 1'!$B:$B,$A322,'Таблиця 1'!$E:$E,"ПУ бат",'Таблиця 1'!$L:$L,"Уражено"))</f>
        <v/>
      </c>
      <c r="M322">
        <f>IF($A322="","",COUNTIFS('Таблиця 1'!$B:$B,$A322,'Таблиця 1'!$E:$E,"ПУ бриг",'Таблиця 1'!$L:$L,"Уражено"))</f>
        <v/>
      </c>
      <c r="N322">
        <f>IF($A322="","",COUNTIFS('Таблиця 1'!$B:$B,$A322,'Таблиця 1'!$E:$E,"ПУ див",'Таблиця 1'!$L:$L,"Уражено"))</f>
        <v/>
      </c>
      <c r="O322">
        <f>IF($A322="","",COUNTIFS('Таблиця 1'!$B:$B,$A322,'Таблиця 1'!$E:$E,"обл. РЕБ",'Таблиця 1'!$L:$L,"Уражено"))</f>
        <v/>
      </c>
      <c r="P322">
        <f>IF($A322="","",COUNTIFS('Таблиця 1'!$B:$B,$A322,'Таблиця 1'!$E:$E,"пос РЕБ",'Таблиця 1'!$L:$L,"Уражено"))</f>
        <v/>
      </c>
      <c r="Q322">
        <f>IF($A322="","",COUNTIFS('Таблиця 1'!$B:$B,$A322,'Таблиця 1'!$E:$E,"група РЕР",'Таблиця 1'!$L:$L,"Уражено"))</f>
        <v/>
      </c>
      <c r="R322">
        <f>IF($A322="","",COUNTIFS('Таблиця 1'!$B:$B,$A322,'Таблиця 1'!$E:$E,"РЛС КББ",'Таблиця 1'!$L:$L,"Уражено"))</f>
        <v/>
      </c>
      <c r="S322">
        <f>IF($A322="","",COUNTIFS('Таблиця 1'!$B:$B,$A322,'Таблиця 1'!$E:$E,"Ретранслятор",'Таблиця 1'!$L:$L,"Уражено"))</f>
        <v/>
      </c>
      <c r="T322">
        <f>IF($A322="","",COUNTIFS('Таблиця 1'!$B:$B,$A322,'Таблиця 1'!$E:$E,"Вз.зв'язку",'Таблиця 1'!$L:$L,"Уражено"))</f>
        <v/>
      </c>
      <c r="U322">
        <f>IF($A322="","",COUNTIFS('Таблиця 1'!$B:$B,$A322,'Таблиця 1'!$E:$E,"ПММ",'Таблиця 1'!$L:$L,"Уражено"))</f>
        <v/>
      </c>
      <c r="V322">
        <f>IF($A322="","",COUNTIFS('Таблиця 1'!$B:$B,$A322,'Таблиця 1'!$E:$E,"ІФС",'Таблиця 1'!$L:$L,"Уражено"))</f>
        <v/>
      </c>
      <c r="W322">
        <f>IF($A322="","",COUNTIFS('Таблиця 1'!$B:$B,$A322,'Таблиця 1'!$E:$E,"Інфраструктура",'Таблиця 1'!$L:$L,"Уражено"))</f>
        <v/>
      </c>
      <c r="X322">
        <f>IF($A322="","",SUMIFS('Таблиця 1'!$K:$K,'Таблиця 1'!$B:$B,$A322))</f>
        <v/>
      </c>
    </row>
    <row r="323">
      <c r="A323" s="81">
        <f>IF(A322="","",IF(A322+1&gt;MAX('Таблиця 1'!$B:$B),"",A322+1))</f>
        <v/>
      </c>
      <c r="B323">
        <f>IF($A323="","",COUNTIFS('Таблиця 1'!$B:$B,$A323,'Таблиця 1'!$E:$E,"ЖС ВЗ",'Таблиця 1'!$L:$L,"Уражено"))</f>
        <v/>
      </c>
      <c r="C323">
        <f>IF($A323="","",COUNTIFS('Таблиця 1'!$B:$B,$A323,'Таблиця 1'!$E:$E,"Арт. Системи",'Таблиця 1'!$L:$L,"Уражено"))</f>
        <v/>
      </c>
      <c r="D323">
        <f>IF($A323="","",COUNTIFS('Таблиця 1'!$B:$B,$A323,'Таблиця 1'!$E:$E,"ОВТ",'Таблиця 1'!$L:$L,"Уражено"))</f>
        <v/>
      </c>
      <c r="E323">
        <f>IF($A323="","",COUNTIFS('Таблиця 1'!$B:$B,$A323,'Таблиця 1'!$E:$E,"ППО",'Таблиця 1'!$L:$L,"Уражено"))</f>
        <v/>
      </c>
      <c r="F323">
        <f>IF($A323="","",COUNTIFS('Таблиця 1'!$B:$B,$A323,'Таблиця 1'!$E:$E,"Рембаза",'Таблиця 1'!$L:$L,"Уражено"))</f>
        <v/>
      </c>
      <c r="G323">
        <f>IF($A323="","",COUNTIFS('Таблиця 1'!$B:$B,$A323,'Таблиця 1'!$E:$E,"Склад БК",'Таблиця 1'!$L:$L,"Уражено"))</f>
        <v/>
      </c>
      <c r="H323">
        <f>IF($A323="","",COUNTIFS('Таблиця 1'!$B:$B,$A323,'Таблиця 1'!$E:$E,"Склад ВТМ",'Таблиця 1'!$L:$L,"Уражено"))</f>
        <v/>
      </c>
      <c r="I323">
        <f>IF($A323="","",COUNTIFS('Таблиця 1'!$B:$B,$A323,'Таблиця 1'!$E:$E,"ПУ БпЛА",'Таблиця 1'!$L:$L,"Уражено"))</f>
        <v/>
      </c>
      <c r="J323">
        <f>IF($A323="","",COUNTIFS('Таблиця 1'!$B:$B,$A323,'Таблиця 1'!$E:$E,"СП",'Таблиця 1'!$L:$L,"Уражено"))</f>
        <v/>
      </c>
      <c r="K323">
        <f>IF($A323="","",COUNTIFS('Таблиця 1'!$B:$B,$A323,'Таблиця 1'!$E:$E,"КСП роти",'Таблиця 1'!$L:$L,"Уражено"))</f>
        <v/>
      </c>
      <c r="L323">
        <f>IF($A323="","",COUNTIFS('Таблиця 1'!$B:$B,$A323,'Таблиця 1'!$E:$E,"ПУ бат",'Таблиця 1'!$L:$L,"Уражено"))</f>
        <v/>
      </c>
      <c r="M323">
        <f>IF($A323="","",COUNTIFS('Таблиця 1'!$B:$B,$A323,'Таблиця 1'!$E:$E,"ПУ бриг",'Таблиця 1'!$L:$L,"Уражено"))</f>
        <v/>
      </c>
      <c r="N323">
        <f>IF($A323="","",COUNTIFS('Таблиця 1'!$B:$B,$A323,'Таблиця 1'!$E:$E,"ПУ див",'Таблиця 1'!$L:$L,"Уражено"))</f>
        <v/>
      </c>
      <c r="O323">
        <f>IF($A323="","",COUNTIFS('Таблиця 1'!$B:$B,$A323,'Таблиця 1'!$E:$E,"обл. РЕБ",'Таблиця 1'!$L:$L,"Уражено"))</f>
        <v/>
      </c>
      <c r="P323">
        <f>IF($A323="","",COUNTIFS('Таблиця 1'!$B:$B,$A323,'Таблиця 1'!$E:$E,"пос РЕБ",'Таблиця 1'!$L:$L,"Уражено"))</f>
        <v/>
      </c>
      <c r="Q323">
        <f>IF($A323="","",COUNTIFS('Таблиця 1'!$B:$B,$A323,'Таблиця 1'!$E:$E,"група РЕР",'Таблиця 1'!$L:$L,"Уражено"))</f>
        <v/>
      </c>
      <c r="R323">
        <f>IF($A323="","",COUNTIFS('Таблиця 1'!$B:$B,$A323,'Таблиця 1'!$E:$E,"РЛС КББ",'Таблиця 1'!$L:$L,"Уражено"))</f>
        <v/>
      </c>
      <c r="S323">
        <f>IF($A323="","",COUNTIFS('Таблиця 1'!$B:$B,$A323,'Таблиця 1'!$E:$E,"Ретранслятор",'Таблиця 1'!$L:$L,"Уражено"))</f>
        <v/>
      </c>
      <c r="T323">
        <f>IF($A323="","",COUNTIFS('Таблиця 1'!$B:$B,$A323,'Таблиця 1'!$E:$E,"Вз.зв'язку",'Таблиця 1'!$L:$L,"Уражено"))</f>
        <v/>
      </c>
      <c r="U323">
        <f>IF($A323="","",COUNTIFS('Таблиця 1'!$B:$B,$A323,'Таблиця 1'!$E:$E,"ПММ",'Таблиця 1'!$L:$L,"Уражено"))</f>
        <v/>
      </c>
      <c r="V323">
        <f>IF($A323="","",COUNTIFS('Таблиця 1'!$B:$B,$A323,'Таблиця 1'!$E:$E,"ІФС",'Таблиця 1'!$L:$L,"Уражено"))</f>
        <v/>
      </c>
      <c r="W323">
        <f>IF($A323="","",COUNTIFS('Таблиця 1'!$B:$B,$A323,'Таблиця 1'!$E:$E,"Інфраструктура",'Таблиця 1'!$L:$L,"Уражено"))</f>
        <v/>
      </c>
      <c r="X323">
        <f>IF($A323="","",SUMIFS('Таблиця 1'!$K:$K,'Таблиця 1'!$B:$B,$A323))</f>
        <v/>
      </c>
    </row>
    <row r="324">
      <c r="A324" s="81">
        <f>IF(A323="","",IF(A323+1&gt;MAX('Таблиця 1'!$B:$B),"",A323+1))</f>
        <v/>
      </c>
      <c r="B324">
        <f>IF($A324="","",COUNTIFS('Таблиця 1'!$B:$B,$A324,'Таблиця 1'!$E:$E,"ЖС ВЗ",'Таблиця 1'!$L:$L,"Уражено"))</f>
        <v/>
      </c>
      <c r="C324">
        <f>IF($A324="","",COUNTIFS('Таблиця 1'!$B:$B,$A324,'Таблиця 1'!$E:$E,"Арт. Системи",'Таблиця 1'!$L:$L,"Уражено"))</f>
        <v/>
      </c>
      <c r="D324">
        <f>IF($A324="","",COUNTIFS('Таблиця 1'!$B:$B,$A324,'Таблиця 1'!$E:$E,"ОВТ",'Таблиця 1'!$L:$L,"Уражено"))</f>
        <v/>
      </c>
      <c r="E324">
        <f>IF($A324="","",COUNTIFS('Таблиця 1'!$B:$B,$A324,'Таблиця 1'!$E:$E,"ППО",'Таблиця 1'!$L:$L,"Уражено"))</f>
        <v/>
      </c>
      <c r="F324">
        <f>IF($A324="","",COUNTIFS('Таблиця 1'!$B:$B,$A324,'Таблиця 1'!$E:$E,"Рембаза",'Таблиця 1'!$L:$L,"Уражено"))</f>
        <v/>
      </c>
      <c r="G324">
        <f>IF($A324="","",COUNTIFS('Таблиця 1'!$B:$B,$A324,'Таблиця 1'!$E:$E,"Склад БК",'Таблиця 1'!$L:$L,"Уражено"))</f>
        <v/>
      </c>
      <c r="H324">
        <f>IF($A324="","",COUNTIFS('Таблиця 1'!$B:$B,$A324,'Таблиця 1'!$E:$E,"Склад ВТМ",'Таблиця 1'!$L:$L,"Уражено"))</f>
        <v/>
      </c>
      <c r="I324">
        <f>IF($A324="","",COUNTIFS('Таблиця 1'!$B:$B,$A324,'Таблиця 1'!$E:$E,"ПУ БпЛА",'Таблиця 1'!$L:$L,"Уражено"))</f>
        <v/>
      </c>
      <c r="J324">
        <f>IF($A324="","",COUNTIFS('Таблиця 1'!$B:$B,$A324,'Таблиця 1'!$E:$E,"СП",'Таблиця 1'!$L:$L,"Уражено"))</f>
        <v/>
      </c>
      <c r="K324">
        <f>IF($A324="","",COUNTIFS('Таблиця 1'!$B:$B,$A324,'Таблиця 1'!$E:$E,"КСП роти",'Таблиця 1'!$L:$L,"Уражено"))</f>
        <v/>
      </c>
      <c r="L324">
        <f>IF($A324="","",COUNTIFS('Таблиця 1'!$B:$B,$A324,'Таблиця 1'!$E:$E,"ПУ бат",'Таблиця 1'!$L:$L,"Уражено"))</f>
        <v/>
      </c>
      <c r="M324">
        <f>IF($A324="","",COUNTIFS('Таблиця 1'!$B:$B,$A324,'Таблиця 1'!$E:$E,"ПУ бриг",'Таблиця 1'!$L:$L,"Уражено"))</f>
        <v/>
      </c>
      <c r="N324">
        <f>IF($A324="","",COUNTIFS('Таблиця 1'!$B:$B,$A324,'Таблиця 1'!$E:$E,"ПУ див",'Таблиця 1'!$L:$L,"Уражено"))</f>
        <v/>
      </c>
      <c r="O324">
        <f>IF($A324="","",COUNTIFS('Таблиця 1'!$B:$B,$A324,'Таблиця 1'!$E:$E,"обл. РЕБ",'Таблиця 1'!$L:$L,"Уражено"))</f>
        <v/>
      </c>
      <c r="P324">
        <f>IF($A324="","",COUNTIFS('Таблиця 1'!$B:$B,$A324,'Таблиця 1'!$E:$E,"пос РЕБ",'Таблиця 1'!$L:$L,"Уражено"))</f>
        <v/>
      </c>
      <c r="Q324">
        <f>IF($A324="","",COUNTIFS('Таблиця 1'!$B:$B,$A324,'Таблиця 1'!$E:$E,"група РЕР",'Таблиця 1'!$L:$L,"Уражено"))</f>
        <v/>
      </c>
      <c r="R324">
        <f>IF($A324="","",COUNTIFS('Таблиця 1'!$B:$B,$A324,'Таблиця 1'!$E:$E,"РЛС КББ",'Таблиця 1'!$L:$L,"Уражено"))</f>
        <v/>
      </c>
      <c r="S324">
        <f>IF($A324="","",COUNTIFS('Таблиця 1'!$B:$B,$A324,'Таблиця 1'!$E:$E,"Ретранслятор",'Таблиця 1'!$L:$L,"Уражено"))</f>
        <v/>
      </c>
      <c r="T324">
        <f>IF($A324="","",COUNTIFS('Таблиця 1'!$B:$B,$A324,'Таблиця 1'!$E:$E,"Вз.зв'язку",'Таблиця 1'!$L:$L,"Уражено"))</f>
        <v/>
      </c>
      <c r="U324">
        <f>IF($A324="","",COUNTIFS('Таблиця 1'!$B:$B,$A324,'Таблиця 1'!$E:$E,"ПММ",'Таблиця 1'!$L:$L,"Уражено"))</f>
        <v/>
      </c>
      <c r="V324">
        <f>IF($A324="","",COUNTIFS('Таблиця 1'!$B:$B,$A324,'Таблиця 1'!$E:$E,"ІФС",'Таблиця 1'!$L:$L,"Уражено"))</f>
        <v/>
      </c>
      <c r="W324">
        <f>IF($A324="","",COUNTIFS('Таблиця 1'!$B:$B,$A324,'Таблиця 1'!$E:$E,"Інфраструктура",'Таблиця 1'!$L:$L,"Уражено"))</f>
        <v/>
      </c>
      <c r="X324">
        <f>IF($A324="","",SUMIFS('Таблиця 1'!$K:$K,'Таблиця 1'!$B:$B,$A324))</f>
        <v/>
      </c>
    </row>
    <row r="325">
      <c r="A325" s="81">
        <f>IF(A324="","",IF(A324+1&gt;MAX('Таблиця 1'!$B:$B),"",A324+1))</f>
        <v/>
      </c>
      <c r="B325">
        <f>IF($A325="","",COUNTIFS('Таблиця 1'!$B:$B,$A325,'Таблиця 1'!$E:$E,"ЖС ВЗ",'Таблиця 1'!$L:$L,"Уражено"))</f>
        <v/>
      </c>
      <c r="C325">
        <f>IF($A325="","",COUNTIFS('Таблиця 1'!$B:$B,$A325,'Таблиця 1'!$E:$E,"Арт. Системи",'Таблиця 1'!$L:$L,"Уражено"))</f>
        <v/>
      </c>
      <c r="D325">
        <f>IF($A325="","",COUNTIFS('Таблиця 1'!$B:$B,$A325,'Таблиця 1'!$E:$E,"ОВТ",'Таблиця 1'!$L:$L,"Уражено"))</f>
        <v/>
      </c>
      <c r="E325">
        <f>IF($A325="","",COUNTIFS('Таблиця 1'!$B:$B,$A325,'Таблиця 1'!$E:$E,"ППО",'Таблиця 1'!$L:$L,"Уражено"))</f>
        <v/>
      </c>
      <c r="F325">
        <f>IF($A325="","",COUNTIFS('Таблиця 1'!$B:$B,$A325,'Таблиця 1'!$E:$E,"Рембаза",'Таблиця 1'!$L:$L,"Уражено"))</f>
        <v/>
      </c>
      <c r="G325">
        <f>IF($A325="","",COUNTIFS('Таблиця 1'!$B:$B,$A325,'Таблиця 1'!$E:$E,"Склад БК",'Таблиця 1'!$L:$L,"Уражено"))</f>
        <v/>
      </c>
      <c r="H325">
        <f>IF($A325="","",COUNTIFS('Таблиця 1'!$B:$B,$A325,'Таблиця 1'!$E:$E,"Склад ВТМ",'Таблиця 1'!$L:$L,"Уражено"))</f>
        <v/>
      </c>
      <c r="I325">
        <f>IF($A325="","",COUNTIFS('Таблиця 1'!$B:$B,$A325,'Таблиця 1'!$E:$E,"ПУ БпЛА",'Таблиця 1'!$L:$L,"Уражено"))</f>
        <v/>
      </c>
      <c r="J325">
        <f>IF($A325="","",COUNTIFS('Таблиця 1'!$B:$B,$A325,'Таблиця 1'!$E:$E,"СП",'Таблиця 1'!$L:$L,"Уражено"))</f>
        <v/>
      </c>
      <c r="K325">
        <f>IF($A325="","",COUNTIFS('Таблиця 1'!$B:$B,$A325,'Таблиця 1'!$E:$E,"КСП роти",'Таблиця 1'!$L:$L,"Уражено"))</f>
        <v/>
      </c>
      <c r="L325">
        <f>IF($A325="","",COUNTIFS('Таблиця 1'!$B:$B,$A325,'Таблиця 1'!$E:$E,"ПУ бат",'Таблиця 1'!$L:$L,"Уражено"))</f>
        <v/>
      </c>
      <c r="M325">
        <f>IF($A325="","",COUNTIFS('Таблиця 1'!$B:$B,$A325,'Таблиця 1'!$E:$E,"ПУ бриг",'Таблиця 1'!$L:$L,"Уражено"))</f>
        <v/>
      </c>
      <c r="N325">
        <f>IF($A325="","",COUNTIFS('Таблиця 1'!$B:$B,$A325,'Таблиця 1'!$E:$E,"ПУ див",'Таблиця 1'!$L:$L,"Уражено"))</f>
        <v/>
      </c>
      <c r="O325">
        <f>IF($A325="","",COUNTIFS('Таблиця 1'!$B:$B,$A325,'Таблиця 1'!$E:$E,"обл. РЕБ",'Таблиця 1'!$L:$L,"Уражено"))</f>
        <v/>
      </c>
      <c r="P325">
        <f>IF($A325="","",COUNTIFS('Таблиця 1'!$B:$B,$A325,'Таблиця 1'!$E:$E,"пос РЕБ",'Таблиця 1'!$L:$L,"Уражено"))</f>
        <v/>
      </c>
      <c r="Q325">
        <f>IF($A325="","",COUNTIFS('Таблиця 1'!$B:$B,$A325,'Таблиця 1'!$E:$E,"група РЕР",'Таблиця 1'!$L:$L,"Уражено"))</f>
        <v/>
      </c>
      <c r="R325">
        <f>IF($A325="","",COUNTIFS('Таблиця 1'!$B:$B,$A325,'Таблиця 1'!$E:$E,"РЛС КББ",'Таблиця 1'!$L:$L,"Уражено"))</f>
        <v/>
      </c>
      <c r="S325">
        <f>IF($A325="","",COUNTIFS('Таблиця 1'!$B:$B,$A325,'Таблиця 1'!$E:$E,"Ретранслятор",'Таблиця 1'!$L:$L,"Уражено"))</f>
        <v/>
      </c>
      <c r="T325">
        <f>IF($A325="","",COUNTIFS('Таблиця 1'!$B:$B,$A325,'Таблиця 1'!$E:$E,"Вз.зв'язку",'Таблиця 1'!$L:$L,"Уражено"))</f>
        <v/>
      </c>
      <c r="U325">
        <f>IF($A325="","",COUNTIFS('Таблиця 1'!$B:$B,$A325,'Таблиця 1'!$E:$E,"ПММ",'Таблиця 1'!$L:$L,"Уражено"))</f>
        <v/>
      </c>
      <c r="V325">
        <f>IF($A325="","",COUNTIFS('Таблиця 1'!$B:$B,$A325,'Таблиця 1'!$E:$E,"ІФС",'Таблиця 1'!$L:$L,"Уражено"))</f>
        <v/>
      </c>
      <c r="W325">
        <f>IF($A325="","",COUNTIFS('Таблиця 1'!$B:$B,$A325,'Таблиця 1'!$E:$E,"Інфраструктура",'Таблиця 1'!$L:$L,"Уражено"))</f>
        <v/>
      </c>
      <c r="X325">
        <f>IF($A325="","",SUMIFS('Таблиця 1'!$K:$K,'Таблиця 1'!$B:$B,$A325))</f>
        <v/>
      </c>
    </row>
    <row r="326">
      <c r="A326" s="81">
        <f>IF(A325="","",IF(A325+1&gt;MAX('Таблиця 1'!$B:$B),"",A325+1))</f>
        <v/>
      </c>
      <c r="B326">
        <f>IF($A326="","",COUNTIFS('Таблиця 1'!$B:$B,$A326,'Таблиця 1'!$E:$E,"ЖС ВЗ",'Таблиця 1'!$L:$L,"Уражено"))</f>
        <v/>
      </c>
      <c r="C326">
        <f>IF($A326="","",COUNTIFS('Таблиця 1'!$B:$B,$A326,'Таблиця 1'!$E:$E,"Арт. Системи",'Таблиця 1'!$L:$L,"Уражено"))</f>
        <v/>
      </c>
      <c r="D326">
        <f>IF($A326="","",COUNTIFS('Таблиця 1'!$B:$B,$A326,'Таблиця 1'!$E:$E,"ОВТ",'Таблиця 1'!$L:$L,"Уражено"))</f>
        <v/>
      </c>
      <c r="E326">
        <f>IF($A326="","",COUNTIFS('Таблиця 1'!$B:$B,$A326,'Таблиця 1'!$E:$E,"ППО",'Таблиця 1'!$L:$L,"Уражено"))</f>
        <v/>
      </c>
      <c r="F326">
        <f>IF($A326="","",COUNTIFS('Таблиця 1'!$B:$B,$A326,'Таблиця 1'!$E:$E,"Рембаза",'Таблиця 1'!$L:$L,"Уражено"))</f>
        <v/>
      </c>
      <c r="G326">
        <f>IF($A326="","",COUNTIFS('Таблиця 1'!$B:$B,$A326,'Таблиця 1'!$E:$E,"Склад БК",'Таблиця 1'!$L:$L,"Уражено"))</f>
        <v/>
      </c>
      <c r="H326">
        <f>IF($A326="","",COUNTIFS('Таблиця 1'!$B:$B,$A326,'Таблиця 1'!$E:$E,"Склад ВТМ",'Таблиця 1'!$L:$L,"Уражено"))</f>
        <v/>
      </c>
      <c r="I326">
        <f>IF($A326="","",COUNTIFS('Таблиця 1'!$B:$B,$A326,'Таблиця 1'!$E:$E,"ПУ БпЛА",'Таблиця 1'!$L:$L,"Уражено"))</f>
        <v/>
      </c>
      <c r="J326">
        <f>IF($A326="","",COUNTIFS('Таблиця 1'!$B:$B,$A326,'Таблиця 1'!$E:$E,"СП",'Таблиця 1'!$L:$L,"Уражено"))</f>
        <v/>
      </c>
      <c r="K326">
        <f>IF($A326="","",COUNTIFS('Таблиця 1'!$B:$B,$A326,'Таблиця 1'!$E:$E,"КСП роти",'Таблиця 1'!$L:$L,"Уражено"))</f>
        <v/>
      </c>
      <c r="L326">
        <f>IF($A326="","",COUNTIFS('Таблиця 1'!$B:$B,$A326,'Таблиця 1'!$E:$E,"ПУ бат",'Таблиця 1'!$L:$L,"Уражено"))</f>
        <v/>
      </c>
      <c r="M326">
        <f>IF($A326="","",COUNTIFS('Таблиця 1'!$B:$B,$A326,'Таблиця 1'!$E:$E,"ПУ бриг",'Таблиця 1'!$L:$L,"Уражено"))</f>
        <v/>
      </c>
      <c r="N326">
        <f>IF($A326="","",COUNTIFS('Таблиця 1'!$B:$B,$A326,'Таблиця 1'!$E:$E,"ПУ див",'Таблиця 1'!$L:$L,"Уражено"))</f>
        <v/>
      </c>
      <c r="O326">
        <f>IF($A326="","",COUNTIFS('Таблиця 1'!$B:$B,$A326,'Таблиця 1'!$E:$E,"обл. РЕБ",'Таблиця 1'!$L:$L,"Уражено"))</f>
        <v/>
      </c>
      <c r="P326">
        <f>IF($A326="","",COUNTIFS('Таблиця 1'!$B:$B,$A326,'Таблиця 1'!$E:$E,"пос РЕБ",'Таблиця 1'!$L:$L,"Уражено"))</f>
        <v/>
      </c>
      <c r="Q326">
        <f>IF($A326="","",COUNTIFS('Таблиця 1'!$B:$B,$A326,'Таблиця 1'!$E:$E,"група РЕР",'Таблиця 1'!$L:$L,"Уражено"))</f>
        <v/>
      </c>
      <c r="R326">
        <f>IF($A326="","",COUNTIFS('Таблиця 1'!$B:$B,$A326,'Таблиця 1'!$E:$E,"РЛС КББ",'Таблиця 1'!$L:$L,"Уражено"))</f>
        <v/>
      </c>
      <c r="S326">
        <f>IF($A326="","",COUNTIFS('Таблиця 1'!$B:$B,$A326,'Таблиця 1'!$E:$E,"Ретранслятор",'Таблиця 1'!$L:$L,"Уражено"))</f>
        <v/>
      </c>
      <c r="T326">
        <f>IF($A326="","",COUNTIFS('Таблиця 1'!$B:$B,$A326,'Таблиця 1'!$E:$E,"Вз.зв'язку",'Таблиця 1'!$L:$L,"Уражено"))</f>
        <v/>
      </c>
      <c r="U326">
        <f>IF($A326="","",COUNTIFS('Таблиця 1'!$B:$B,$A326,'Таблиця 1'!$E:$E,"ПММ",'Таблиця 1'!$L:$L,"Уражено"))</f>
        <v/>
      </c>
      <c r="V326">
        <f>IF($A326="","",COUNTIFS('Таблиця 1'!$B:$B,$A326,'Таблиця 1'!$E:$E,"ІФС",'Таблиця 1'!$L:$L,"Уражено"))</f>
        <v/>
      </c>
      <c r="W326">
        <f>IF($A326="","",COUNTIFS('Таблиця 1'!$B:$B,$A326,'Таблиця 1'!$E:$E,"Інфраструктура",'Таблиця 1'!$L:$L,"Уражено"))</f>
        <v/>
      </c>
      <c r="X326">
        <f>IF($A326="","",SUMIFS('Таблиця 1'!$K:$K,'Таблиця 1'!$B:$B,$A326))</f>
        <v/>
      </c>
    </row>
    <row r="327">
      <c r="A327" s="81">
        <f>IF(A326="","",IF(A326+1&gt;MAX('Таблиця 1'!$B:$B),"",A326+1))</f>
        <v/>
      </c>
      <c r="B327">
        <f>IF($A327="","",COUNTIFS('Таблиця 1'!$B:$B,$A327,'Таблиця 1'!$E:$E,"ЖС ВЗ",'Таблиця 1'!$L:$L,"Уражено"))</f>
        <v/>
      </c>
      <c r="C327">
        <f>IF($A327="","",COUNTIFS('Таблиця 1'!$B:$B,$A327,'Таблиця 1'!$E:$E,"Арт. Системи",'Таблиця 1'!$L:$L,"Уражено"))</f>
        <v/>
      </c>
      <c r="D327">
        <f>IF($A327="","",COUNTIFS('Таблиця 1'!$B:$B,$A327,'Таблиця 1'!$E:$E,"ОВТ",'Таблиця 1'!$L:$L,"Уражено"))</f>
        <v/>
      </c>
      <c r="E327">
        <f>IF($A327="","",COUNTIFS('Таблиця 1'!$B:$B,$A327,'Таблиця 1'!$E:$E,"ППО",'Таблиця 1'!$L:$L,"Уражено"))</f>
        <v/>
      </c>
      <c r="F327">
        <f>IF($A327="","",COUNTIFS('Таблиця 1'!$B:$B,$A327,'Таблиця 1'!$E:$E,"Рембаза",'Таблиця 1'!$L:$L,"Уражено"))</f>
        <v/>
      </c>
      <c r="G327">
        <f>IF($A327="","",COUNTIFS('Таблиця 1'!$B:$B,$A327,'Таблиця 1'!$E:$E,"Склад БК",'Таблиця 1'!$L:$L,"Уражено"))</f>
        <v/>
      </c>
      <c r="H327">
        <f>IF($A327="","",COUNTIFS('Таблиця 1'!$B:$B,$A327,'Таблиця 1'!$E:$E,"Склад ВТМ",'Таблиця 1'!$L:$L,"Уражено"))</f>
        <v/>
      </c>
      <c r="I327">
        <f>IF($A327="","",COUNTIFS('Таблиця 1'!$B:$B,$A327,'Таблиця 1'!$E:$E,"ПУ БпЛА",'Таблиця 1'!$L:$L,"Уражено"))</f>
        <v/>
      </c>
      <c r="J327">
        <f>IF($A327="","",COUNTIFS('Таблиця 1'!$B:$B,$A327,'Таблиця 1'!$E:$E,"СП",'Таблиця 1'!$L:$L,"Уражено"))</f>
        <v/>
      </c>
      <c r="K327">
        <f>IF($A327="","",COUNTIFS('Таблиця 1'!$B:$B,$A327,'Таблиця 1'!$E:$E,"КСП роти",'Таблиця 1'!$L:$L,"Уражено"))</f>
        <v/>
      </c>
      <c r="L327">
        <f>IF($A327="","",COUNTIFS('Таблиця 1'!$B:$B,$A327,'Таблиця 1'!$E:$E,"ПУ бат",'Таблиця 1'!$L:$L,"Уражено"))</f>
        <v/>
      </c>
      <c r="M327">
        <f>IF($A327="","",COUNTIFS('Таблиця 1'!$B:$B,$A327,'Таблиця 1'!$E:$E,"ПУ бриг",'Таблиця 1'!$L:$L,"Уражено"))</f>
        <v/>
      </c>
      <c r="N327">
        <f>IF($A327="","",COUNTIFS('Таблиця 1'!$B:$B,$A327,'Таблиця 1'!$E:$E,"ПУ див",'Таблиця 1'!$L:$L,"Уражено"))</f>
        <v/>
      </c>
      <c r="O327">
        <f>IF($A327="","",COUNTIFS('Таблиця 1'!$B:$B,$A327,'Таблиця 1'!$E:$E,"обл. РЕБ",'Таблиця 1'!$L:$L,"Уражено"))</f>
        <v/>
      </c>
      <c r="P327">
        <f>IF($A327="","",COUNTIFS('Таблиця 1'!$B:$B,$A327,'Таблиця 1'!$E:$E,"пос РЕБ",'Таблиця 1'!$L:$L,"Уражено"))</f>
        <v/>
      </c>
      <c r="Q327">
        <f>IF($A327="","",COUNTIFS('Таблиця 1'!$B:$B,$A327,'Таблиця 1'!$E:$E,"група РЕР",'Таблиця 1'!$L:$L,"Уражено"))</f>
        <v/>
      </c>
      <c r="R327">
        <f>IF($A327="","",COUNTIFS('Таблиця 1'!$B:$B,$A327,'Таблиця 1'!$E:$E,"РЛС КББ",'Таблиця 1'!$L:$L,"Уражено"))</f>
        <v/>
      </c>
      <c r="S327">
        <f>IF($A327="","",COUNTIFS('Таблиця 1'!$B:$B,$A327,'Таблиця 1'!$E:$E,"Ретранслятор",'Таблиця 1'!$L:$L,"Уражено"))</f>
        <v/>
      </c>
      <c r="T327">
        <f>IF($A327="","",COUNTIFS('Таблиця 1'!$B:$B,$A327,'Таблиця 1'!$E:$E,"Вз.зв'язку",'Таблиця 1'!$L:$L,"Уражено"))</f>
        <v/>
      </c>
      <c r="U327">
        <f>IF($A327="","",COUNTIFS('Таблиця 1'!$B:$B,$A327,'Таблиця 1'!$E:$E,"ПММ",'Таблиця 1'!$L:$L,"Уражено"))</f>
        <v/>
      </c>
      <c r="V327">
        <f>IF($A327="","",COUNTIFS('Таблиця 1'!$B:$B,$A327,'Таблиця 1'!$E:$E,"ІФС",'Таблиця 1'!$L:$L,"Уражено"))</f>
        <v/>
      </c>
      <c r="W327">
        <f>IF($A327="","",COUNTIFS('Таблиця 1'!$B:$B,$A327,'Таблиця 1'!$E:$E,"Інфраструктура",'Таблиця 1'!$L:$L,"Уражено"))</f>
        <v/>
      </c>
      <c r="X327">
        <f>IF($A327="","",SUMIFS('Таблиця 1'!$K:$K,'Таблиця 1'!$B:$B,$A327))</f>
        <v/>
      </c>
    </row>
    <row r="328">
      <c r="A328" s="81">
        <f>IF(A327="","",IF(A327+1&gt;MAX('Таблиця 1'!$B:$B),"",A327+1))</f>
        <v/>
      </c>
      <c r="B328">
        <f>IF($A328="","",COUNTIFS('Таблиця 1'!$B:$B,$A328,'Таблиця 1'!$E:$E,"ЖС ВЗ",'Таблиця 1'!$L:$L,"Уражено"))</f>
        <v/>
      </c>
      <c r="C328">
        <f>IF($A328="","",COUNTIFS('Таблиця 1'!$B:$B,$A328,'Таблиця 1'!$E:$E,"Арт. Системи",'Таблиця 1'!$L:$L,"Уражено"))</f>
        <v/>
      </c>
      <c r="D328">
        <f>IF($A328="","",COUNTIFS('Таблиця 1'!$B:$B,$A328,'Таблиця 1'!$E:$E,"ОВТ",'Таблиця 1'!$L:$L,"Уражено"))</f>
        <v/>
      </c>
      <c r="E328">
        <f>IF($A328="","",COUNTIFS('Таблиця 1'!$B:$B,$A328,'Таблиця 1'!$E:$E,"ППО",'Таблиця 1'!$L:$L,"Уражено"))</f>
        <v/>
      </c>
      <c r="F328">
        <f>IF($A328="","",COUNTIFS('Таблиця 1'!$B:$B,$A328,'Таблиця 1'!$E:$E,"Рембаза",'Таблиця 1'!$L:$L,"Уражено"))</f>
        <v/>
      </c>
      <c r="G328">
        <f>IF($A328="","",COUNTIFS('Таблиця 1'!$B:$B,$A328,'Таблиця 1'!$E:$E,"Склад БК",'Таблиця 1'!$L:$L,"Уражено"))</f>
        <v/>
      </c>
      <c r="H328">
        <f>IF($A328="","",COUNTIFS('Таблиця 1'!$B:$B,$A328,'Таблиця 1'!$E:$E,"Склад ВТМ",'Таблиця 1'!$L:$L,"Уражено"))</f>
        <v/>
      </c>
      <c r="I328">
        <f>IF($A328="","",COUNTIFS('Таблиця 1'!$B:$B,$A328,'Таблиця 1'!$E:$E,"ПУ БпЛА",'Таблиця 1'!$L:$L,"Уражено"))</f>
        <v/>
      </c>
      <c r="J328">
        <f>IF($A328="","",COUNTIFS('Таблиця 1'!$B:$B,$A328,'Таблиця 1'!$E:$E,"СП",'Таблиця 1'!$L:$L,"Уражено"))</f>
        <v/>
      </c>
      <c r="K328">
        <f>IF($A328="","",COUNTIFS('Таблиця 1'!$B:$B,$A328,'Таблиця 1'!$E:$E,"КСП роти",'Таблиця 1'!$L:$L,"Уражено"))</f>
        <v/>
      </c>
      <c r="L328">
        <f>IF($A328="","",COUNTIFS('Таблиця 1'!$B:$B,$A328,'Таблиця 1'!$E:$E,"ПУ бат",'Таблиця 1'!$L:$L,"Уражено"))</f>
        <v/>
      </c>
      <c r="M328">
        <f>IF($A328="","",COUNTIFS('Таблиця 1'!$B:$B,$A328,'Таблиця 1'!$E:$E,"ПУ бриг",'Таблиця 1'!$L:$L,"Уражено"))</f>
        <v/>
      </c>
      <c r="N328">
        <f>IF($A328="","",COUNTIFS('Таблиця 1'!$B:$B,$A328,'Таблиця 1'!$E:$E,"ПУ див",'Таблиця 1'!$L:$L,"Уражено"))</f>
        <v/>
      </c>
      <c r="O328">
        <f>IF($A328="","",COUNTIFS('Таблиця 1'!$B:$B,$A328,'Таблиця 1'!$E:$E,"обл. РЕБ",'Таблиця 1'!$L:$L,"Уражено"))</f>
        <v/>
      </c>
      <c r="P328">
        <f>IF($A328="","",COUNTIFS('Таблиця 1'!$B:$B,$A328,'Таблиця 1'!$E:$E,"пос РЕБ",'Таблиця 1'!$L:$L,"Уражено"))</f>
        <v/>
      </c>
      <c r="Q328">
        <f>IF($A328="","",COUNTIFS('Таблиця 1'!$B:$B,$A328,'Таблиця 1'!$E:$E,"група РЕР",'Таблиця 1'!$L:$L,"Уражено"))</f>
        <v/>
      </c>
      <c r="R328">
        <f>IF($A328="","",COUNTIFS('Таблиця 1'!$B:$B,$A328,'Таблиця 1'!$E:$E,"РЛС КББ",'Таблиця 1'!$L:$L,"Уражено"))</f>
        <v/>
      </c>
      <c r="S328">
        <f>IF($A328="","",COUNTIFS('Таблиця 1'!$B:$B,$A328,'Таблиця 1'!$E:$E,"Ретранслятор",'Таблиця 1'!$L:$L,"Уражено"))</f>
        <v/>
      </c>
      <c r="T328">
        <f>IF($A328="","",COUNTIFS('Таблиця 1'!$B:$B,$A328,'Таблиця 1'!$E:$E,"Вз.зв'язку",'Таблиця 1'!$L:$L,"Уражено"))</f>
        <v/>
      </c>
      <c r="U328">
        <f>IF($A328="","",COUNTIFS('Таблиця 1'!$B:$B,$A328,'Таблиця 1'!$E:$E,"ПММ",'Таблиця 1'!$L:$L,"Уражено"))</f>
        <v/>
      </c>
      <c r="V328">
        <f>IF($A328="","",COUNTIFS('Таблиця 1'!$B:$B,$A328,'Таблиця 1'!$E:$E,"ІФС",'Таблиця 1'!$L:$L,"Уражено"))</f>
        <v/>
      </c>
      <c r="W328">
        <f>IF($A328="","",COUNTIFS('Таблиця 1'!$B:$B,$A328,'Таблиця 1'!$E:$E,"Інфраструктура",'Таблиця 1'!$L:$L,"Уражено"))</f>
        <v/>
      </c>
      <c r="X328">
        <f>IF($A328="","",SUMIFS('Таблиця 1'!$K:$K,'Таблиця 1'!$B:$B,$A328))</f>
        <v/>
      </c>
    </row>
    <row r="329">
      <c r="A329" s="81">
        <f>IF(A328="","",IF(A328+1&gt;MAX('Таблиця 1'!$B:$B),"",A328+1))</f>
        <v/>
      </c>
      <c r="B329">
        <f>IF($A329="","",COUNTIFS('Таблиця 1'!$B:$B,$A329,'Таблиця 1'!$E:$E,"ЖС ВЗ",'Таблиця 1'!$L:$L,"Уражено"))</f>
        <v/>
      </c>
      <c r="C329">
        <f>IF($A329="","",COUNTIFS('Таблиця 1'!$B:$B,$A329,'Таблиця 1'!$E:$E,"Арт. Системи",'Таблиця 1'!$L:$L,"Уражено"))</f>
        <v/>
      </c>
      <c r="D329">
        <f>IF($A329="","",COUNTIFS('Таблиця 1'!$B:$B,$A329,'Таблиця 1'!$E:$E,"ОВТ",'Таблиця 1'!$L:$L,"Уражено"))</f>
        <v/>
      </c>
      <c r="E329">
        <f>IF($A329="","",COUNTIFS('Таблиця 1'!$B:$B,$A329,'Таблиця 1'!$E:$E,"ППО",'Таблиця 1'!$L:$L,"Уражено"))</f>
        <v/>
      </c>
      <c r="F329">
        <f>IF($A329="","",COUNTIFS('Таблиця 1'!$B:$B,$A329,'Таблиця 1'!$E:$E,"Рембаза",'Таблиця 1'!$L:$L,"Уражено"))</f>
        <v/>
      </c>
      <c r="G329">
        <f>IF($A329="","",COUNTIFS('Таблиця 1'!$B:$B,$A329,'Таблиця 1'!$E:$E,"Склад БК",'Таблиця 1'!$L:$L,"Уражено"))</f>
        <v/>
      </c>
      <c r="H329">
        <f>IF($A329="","",COUNTIFS('Таблиця 1'!$B:$B,$A329,'Таблиця 1'!$E:$E,"Склад ВТМ",'Таблиця 1'!$L:$L,"Уражено"))</f>
        <v/>
      </c>
      <c r="I329">
        <f>IF($A329="","",COUNTIFS('Таблиця 1'!$B:$B,$A329,'Таблиця 1'!$E:$E,"ПУ БпЛА",'Таблиця 1'!$L:$L,"Уражено"))</f>
        <v/>
      </c>
      <c r="J329">
        <f>IF($A329="","",COUNTIFS('Таблиця 1'!$B:$B,$A329,'Таблиця 1'!$E:$E,"СП",'Таблиця 1'!$L:$L,"Уражено"))</f>
        <v/>
      </c>
      <c r="K329">
        <f>IF($A329="","",COUNTIFS('Таблиця 1'!$B:$B,$A329,'Таблиця 1'!$E:$E,"КСП роти",'Таблиця 1'!$L:$L,"Уражено"))</f>
        <v/>
      </c>
      <c r="L329">
        <f>IF($A329="","",COUNTIFS('Таблиця 1'!$B:$B,$A329,'Таблиця 1'!$E:$E,"ПУ бат",'Таблиця 1'!$L:$L,"Уражено"))</f>
        <v/>
      </c>
      <c r="M329">
        <f>IF($A329="","",COUNTIFS('Таблиця 1'!$B:$B,$A329,'Таблиця 1'!$E:$E,"ПУ бриг",'Таблиця 1'!$L:$L,"Уражено"))</f>
        <v/>
      </c>
      <c r="N329">
        <f>IF($A329="","",COUNTIFS('Таблиця 1'!$B:$B,$A329,'Таблиця 1'!$E:$E,"ПУ див",'Таблиця 1'!$L:$L,"Уражено"))</f>
        <v/>
      </c>
      <c r="O329">
        <f>IF($A329="","",COUNTIFS('Таблиця 1'!$B:$B,$A329,'Таблиця 1'!$E:$E,"обл. РЕБ",'Таблиця 1'!$L:$L,"Уражено"))</f>
        <v/>
      </c>
      <c r="P329">
        <f>IF($A329="","",COUNTIFS('Таблиця 1'!$B:$B,$A329,'Таблиця 1'!$E:$E,"пос РЕБ",'Таблиця 1'!$L:$L,"Уражено"))</f>
        <v/>
      </c>
      <c r="Q329">
        <f>IF($A329="","",COUNTIFS('Таблиця 1'!$B:$B,$A329,'Таблиця 1'!$E:$E,"група РЕР",'Таблиця 1'!$L:$L,"Уражено"))</f>
        <v/>
      </c>
      <c r="R329">
        <f>IF($A329="","",COUNTIFS('Таблиця 1'!$B:$B,$A329,'Таблиця 1'!$E:$E,"РЛС КББ",'Таблиця 1'!$L:$L,"Уражено"))</f>
        <v/>
      </c>
      <c r="S329">
        <f>IF($A329="","",COUNTIFS('Таблиця 1'!$B:$B,$A329,'Таблиця 1'!$E:$E,"Ретранслятор",'Таблиця 1'!$L:$L,"Уражено"))</f>
        <v/>
      </c>
      <c r="T329">
        <f>IF($A329="","",COUNTIFS('Таблиця 1'!$B:$B,$A329,'Таблиця 1'!$E:$E,"Вз.зв'язку",'Таблиця 1'!$L:$L,"Уражено"))</f>
        <v/>
      </c>
      <c r="U329">
        <f>IF($A329="","",COUNTIFS('Таблиця 1'!$B:$B,$A329,'Таблиця 1'!$E:$E,"ПММ",'Таблиця 1'!$L:$L,"Уражено"))</f>
        <v/>
      </c>
      <c r="V329">
        <f>IF($A329="","",COUNTIFS('Таблиця 1'!$B:$B,$A329,'Таблиця 1'!$E:$E,"ІФС",'Таблиця 1'!$L:$L,"Уражено"))</f>
        <v/>
      </c>
      <c r="W329">
        <f>IF($A329="","",COUNTIFS('Таблиця 1'!$B:$B,$A329,'Таблиця 1'!$E:$E,"Інфраструктура",'Таблиця 1'!$L:$L,"Уражено"))</f>
        <v/>
      </c>
      <c r="X329">
        <f>IF($A329="","",SUMIFS('Таблиця 1'!$K:$K,'Таблиця 1'!$B:$B,$A329))</f>
        <v/>
      </c>
    </row>
    <row r="330">
      <c r="A330" s="81">
        <f>IF(A329="","",IF(A329+1&gt;MAX('Таблиця 1'!$B:$B),"",A329+1))</f>
        <v/>
      </c>
      <c r="B330">
        <f>IF($A330="","",COUNTIFS('Таблиця 1'!$B:$B,$A330,'Таблиця 1'!$E:$E,"ЖС ВЗ",'Таблиця 1'!$L:$L,"Уражено"))</f>
        <v/>
      </c>
      <c r="C330">
        <f>IF($A330="","",COUNTIFS('Таблиця 1'!$B:$B,$A330,'Таблиця 1'!$E:$E,"Арт. Системи",'Таблиця 1'!$L:$L,"Уражено"))</f>
        <v/>
      </c>
      <c r="D330">
        <f>IF($A330="","",COUNTIFS('Таблиця 1'!$B:$B,$A330,'Таблиця 1'!$E:$E,"ОВТ",'Таблиця 1'!$L:$L,"Уражено"))</f>
        <v/>
      </c>
      <c r="E330">
        <f>IF($A330="","",COUNTIFS('Таблиця 1'!$B:$B,$A330,'Таблиця 1'!$E:$E,"ППО",'Таблиця 1'!$L:$L,"Уражено"))</f>
        <v/>
      </c>
      <c r="F330">
        <f>IF($A330="","",COUNTIFS('Таблиця 1'!$B:$B,$A330,'Таблиця 1'!$E:$E,"Рембаза",'Таблиця 1'!$L:$L,"Уражено"))</f>
        <v/>
      </c>
      <c r="G330">
        <f>IF($A330="","",COUNTIFS('Таблиця 1'!$B:$B,$A330,'Таблиця 1'!$E:$E,"Склад БК",'Таблиця 1'!$L:$L,"Уражено"))</f>
        <v/>
      </c>
      <c r="H330">
        <f>IF($A330="","",COUNTIFS('Таблиця 1'!$B:$B,$A330,'Таблиця 1'!$E:$E,"Склад ВТМ",'Таблиця 1'!$L:$L,"Уражено"))</f>
        <v/>
      </c>
      <c r="I330">
        <f>IF($A330="","",COUNTIFS('Таблиця 1'!$B:$B,$A330,'Таблиця 1'!$E:$E,"ПУ БпЛА",'Таблиця 1'!$L:$L,"Уражено"))</f>
        <v/>
      </c>
      <c r="J330">
        <f>IF($A330="","",COUNTIFS('Таблиця 1'!$B:$B,$A330,'Таблиця 1'!$E:$E,"СП",'Таблиця 1'!$L:$L,"Уражено"))</f>
        <v/>
      </c>
      <c r="K330">
        <f>IF($A330="","",COUNTIFS('Таблиця 1'!$B:$B,$A330,'Таблиця 1'!$E:$E,"КСП роти",'Таблиця 1'!$L:$L,"Уражено"))</f>
        <v/>
      </c>
      <c r="L330">
        <f>IF($A330="","",COUNTIFS('Таблиця 1'!$B:$B,$A330,'Таблиця 1'!$E:$E,"ПУ бат",'Таблиця 1'!$L:$L,"Уражено"))</f>
        <v/>
      </c>
      <c r="M330">
        <f>IF($A330="","",COUNTIFS('Таблиця 1'!$B:$B,$A330,'Таблиця 1'!$E:$E,"ПУ бриг",'Таблиця 1'!$L:$L,"Уражено"))</f>
        <v/>
      </c>
      <c r="N330">
        <f>IF($A330="","",COUNTIFS('Таблиця 1'!$B:$B,$A330,'Таблиця 1'!$E:$E,"ПУ див",'Таблиця 1'!$L:$L,"Уражено"))</f>
        <v/>
      </c>
      <c r="O330">
        <f>IF($A330="","",COUNTIFS('Таблиця 1'!$B:$B,$A330,'Таблиця 1'!$E:$E,"обл. РЕБ",'Таблиця 1'!$L:$L,"Уражено"))</f>
        <v/>
      </c>
      <c r="P330">
        <f>IF($A330="","",COUNTIFS('Таблиця 1'!$B:$B,$A330,'Таблиця 1'!$E:$E,"пос РЕБ",'Таблиця 1'!$L:$L,"Уражено"))</f>
        <v/>
      </c>
      <c r="Q330">
        <f>IF($A330="","",COUNTIFS('Таблиця 1'!$B:$B,$A330,'Таблиця 1'!$E:$E,"група РЕР",'Таблиця 1'!$L:$L,"Уражено"))</f>
        <v/>
      </c>
      <c r="R330">
        <f>IF($A330="","",COUNTIFS('Таблиця 1'!$B:$B,$A330,'Таблиця 1'!$E:$E,"РЛС КББ",'Таблиця 1'!$L:$L,"Уражено"))</f>
        <v/>
      </c>
      <c r="S330">
        <f>IF($A330="","",COUNTIFS('Таблиця 1'!$B:$B,$A330,'Таблиця 1'!$E:$E,"Ретранслятор",'Таблиця 1'!$L:$L,"Уражено"))</f>
        <v/>
      </c>
      <c r="T330">
        <f>IF($A330="","",COUNTIFS('Таблиця 1'!$B:$B,$A330,'Таблиця 1'!$E:$E,"Вз.зв'язку",'Таблиця 1'!$L:$L,"Уражено"))</f>
        <v/>
      </c>
      <c r="U330">
        <f>IF($A330="","",COUNTIFS('Таблиця 1'!$B:$B,$A330,'Таблиця 1'!$E:$E,"ПММ",'Таблиця 1'!$L:$L,"Уражено"))</f>
        <v/>
      </c>
      <c r="V330">
        <f>IF($A330="","",COUNTIFS('Таблиця 1'!$B:$B,$A330,'Таблиця 1'!$E:$E,"ІФС",'Таблиця 1'!$L:$L,"Уражено"))</f>
        <v/>
      </c>
      <c r="W330">
        <f>IF($A330="","",COUNTIFS('Таблиця 1'!$B:$B,$A330,'Таблиця 1'!$E:$E,"Інфраструктура",'Таблиця 1'!$L:$L,"Уражено"))</f>
        <v/>
      </c>
      <c r="X330">
        <f>IF($A330="","",SUMIFS('Таблиця 1'!$K:$K,'Таблиця 1'!$B:$B,$A330))</f>
        <v/>
      </c>
    </row>
    <row r="331">
      <c r="A331" s="81">
        <f>IF(A330="","",IF(A330+1&gt;MAX('Таблиця 1'!$B:$B),"",A330+1))</f>
        <v/>
      </c>
      <c r="B331">
        <f>IF($A331="","",COUNTIFS('Таблиця 1'!$B:$B,$A331,'Таблиця 1'!$E:$E,"ЖС ВЗ",'Таблиця 1'!$L:$L,"Уражено"))</f>
        <v/>
      </c>
      <c r="C331">
        <f>IF($A331="","",COUNTIFS('Таблиця 1'!$B:$B,$A331,'Таблиця 1'!$E:$E,"Арт. Системи",'Таблиця 1'!$L:$L,"Уражено"))</f>
        <v/>
      </c>
      <c r="D331">
        <f>IF($A331="","",COUNTIFS('Таблиця 1'!$B:$B,$A331,'Таблиця 1'!$E:$E,"ОВТ",'Таблиця 1'!$L:$L,"Уражено"))</f>
        <v/>
      </c>
      <c r="E331">
        <f>IF($A331="","",COUNTIFS('Таблиця 1'!$B:$B,$A331,'Таблиця 1'!$E:$E,"ППО",'Таблиця 1'!$L:$L,"Уражено"))</f>
        <v/>
      </c>
      <c r="F331">
        <f>IF($A331="","",COUNTIFS('Таблиця 1'!$B:$B,$A331,'Таблиця 1'!$E:$E,"Рембаза",'Таблиця 1'!$L:$L,"Уражено"))</f>
        <v/>
      </c>
      <c r="G331">
        <f>IF($A331="","",COUNTIFS('Таблиця 1'!$B:$B,$A331,'Таблиця 1'!$E:$E,"Склад БК",'Таблиця 1'!$L:$L,"Уражено"))</f>
        <v/>
      </c>
      <c r="H331">
        <f>IF($A331="","",COUNTIFS('Таблиця 1'!$B:$B,$A331,'Таблиця 1'!$E:$E,"Склад ВТМ",'Таблиця 1'!$L:$L,"Уражено"))</f>
        <v/>
      </c>
      <c r="I331">
        <f>IF($A331="","",COUNTIFS('Таблиця 1'!$B:$B,$A331,'Таблиця 1'!$E:$E,"ПУ БпЛА",'Таблиця 1'!$L:$L,"Уражено"))</f>
        <v/>
      </c>
      <c r="J331">
        <f>IF($A331="","",COUNTIFS('Таблиця 1'!$B:$B,$A331,'Таблиця 1'!$E:$E,"СП",'Таблиця 1'!$L:$L,"Уражено"))</f>
        <v/>
      </c>
      <c r="K331">
        <f>IF($A331="","",COUNTIFS('Таблиця 1'!$B:$B,$A331,'Таблиця 1'!$E:$E,"КСП роти",'Таблиця 1'!$L:$L,"Уражено"))</f>
        <v/>
      </c>
      <c r="L331">
        <f>IF($A331="","",COUNTIFS('Таблиця 1'!$B:$B,$A331,'Таблиця 1'!$E:$E,"ПУ бат",'Таблиця 1'!$L:$L,"Уражено"))</f>
        <v/>
      </c>
      <c r="M331">
        <f>IF($A331="","",COUNTIFS('Таблиця 1'!$B:$B,$A331,'Таблиця 1'!$E:$E,"ПУ бриг",'Таблиця 1'!$L:$L,"Уражено"))</f>
        <v/>
      </c>
      <c r="N331">
        <f>IF($A331="","",COUNTIFS('Таблиця 1'!$B:$B,$A331,'Таблиця 1'!$E:$E,"ПУ див",'Таблиця 1'!$L:$L,"Уражено"))</f>
        <v/>
      </c>
      <c r="O331">
        <f>IF($A331="","",COUNTIFS('Таблиця 1'!$B:$B,$A331,'Таблиця 1'!$E:$E,"обл. РЕБ",'Таблиця 1'!$L:$L,"Уражено"))</f>
        <v/>
      </c>
      <c r="P331">
        <f>IF($A331="","",COUNTIFS('Таблиця 1'!$B:$B,$A331,'Таблиця 1'!$E:$E,"пос РЕБ",'Таблиця 1'!$L:$L,"Уражено"))</f>
        <v/>
      </c>
      <c r="Q331">
        <f>IF($A331="","",COUNTIFS('Таблиця 1'!$B:$B,$A331,'Таблиця 1'!$E:$E,"група РЕР",'Таблиця 1'!$L:$L,"Уражено"))</f>
        <v/>
      </c>
      <c r="R331">
        <f>IF($A331="","",COUNTIFS('Таблиця 1'!$B:$B,$A331,'Таблиця 1'!$E:$E,"РЛС КББ",'Таблиця 1'!$L:$L,"Уражено"))</f>
        <v/>
      </c>
      <c r="S331">
        <f>IF($A331="","",COUNTIFS('Таблиця 1'!$B:$B,$A331,'Таблиця 1'!$E:$E,"Ретранслятор",'Таблиця 1'!$L:$L,"Уражено"))</f>
        <v/>
      </c>
      <c r="T331">
        <f>IF($A331="","",COUNTIFS('Таблиця 1'!$B:$B,$A331,'Таблиця 1'!$E:$E,"Вз.зв'язку",'Таблиця 1'!$L:$L,"Уражено"))</f>
        <v/>
      </c>
      <c r="U331">
        <f>IF($A331="","",COUNTIFS('Таблиця 1'!$B:$B,$A331,'Таблиця 1'!$E:$E,"ПММ",'Таблиця 1'!$L:$L,"Уражено"))</f>
        <v/>
      </c>
      <c r="V331">
        <f>IF($A331="","",COUNTIFS('Таблиця 1'!$B:$B,$A331,'Таблиця 1'!$E:$E,"ІФС",'Таблиця 1'!$L:$L,"Уражено"))</f>
        <v/>
      </c>
      <c r="W331">
        <f>IF($A331="","",COUNTIFS('Таблиця 1'!$B:$B,$A331,'Таблиця 1'!$E:$E,"Інфраструктура",'Таблиця 1'!$L:$L,"Уражено"))</f>
        <v/>
      </c>
      <c r="X331">
        <f>IF($A331="","",SUMIFS('Таблиця 1'!$K:$K,'Таблиця 1'!$B:$B,$A331))</f>
        <v/>
      </c>
    </row>
    <row r="332">
      <c r="A332" s="81">
        <f>IF(A331="","",IF(A331+1&gt;MAX('Таблиця 1'!$B:$B),"",A331+1))</f>
        <v/>
      </c>
      <c r="B332">
        <f>IF($A332="","",COUNTIFS('Таблиця 1'!$B:$B,$A332,'Таблиця 1'!$E:$E,"ЖС ВЗ",'Таблиця 1'!$L:$L,"Уражено"))</f>
        <v/>
      </c>
      <c r="C332">
        <f>IF($A332="","",COUNTIFS('Таблиця 1'!$B:$B,$A332,'Таблиця 1'!$E:$E,"Арт. Системи",'Таблиця 1'!$L:$L,"Уражено"))</f>
        <v/>
      </c>
      <c r="D332">
        <f>IF($A332="","",COUNTIFS('Таблиця 1'!$B:$B,$A332,'Таблиця 1'!$E:$E,"ОВТ",'Таблиця 1'!$L:$L,"Уражено"))</f>
        <v/>
      </c>
      <c r="E332">
        <f>IF($A332="","",COUNTIFS('Таблиця 1'!$B:$B,$A332,'Таблиця 1'!$E:$E,"ППО",'Таблиця 1'!$L:$L,"Уражено"))</f>
        <v/>
      </c>
      <c r="F332">
        <f>IF($A332="","",COUNTIFS('Таблиця 1'!$B:$B,$A332,'Таблиця 1'!$E:$E,"Рембаза",'Таблиця 1'!$L:$L,"Уражено"))</f>
        <v/>
      </c>
      <c r="G332">
        <f>IF($A332="","",COUNTIFS('Таблиця 1'!$B:$B,$A332,'Таблиця 1'!$E:$E,"Склад БК",'Таблиця 1'!$L:$L,"Уражено"))</f>
        <v/>
      </c>
      <c r="H332">
        <f>IF($A332="","",COUNTIFS('Таблиця 1'!$B:$B,$A332,'Таблиця 1'!$E:$E,"Склад ВТМ",'Таблиця 1'!$L:$L,"Уражено"))</f>
        <v/>
      </c>
      <c r="I332">
        <f>IF($A332="","",COUNTIFS('Таблиця 1'!$B:$B,$A332,'Таблиця 1'!$E:$E,"ПУ БпЛА",'Таблиця 1'!$L:$L,"Уражено"))</f>
        <v/>
      </c>
      <c r="J332">
        <f>IF($A332="","",COUNTIFS('Таблиця 1'!$B:$B,$A332,'Таблиця 1'!$E:$E,"СП",'Таблиця 1'!$L:$L,"Уражено"))</f>
        <v/>
      </c>
      <c r="K332">
        <f>IF($A332="","",COUNTIFS('Таблиця 1'!$B:$B,$A332,'Таблиця 1'!$E:$E,"КСП роти",'Таблиця 1'!$L:$L,"Уражено"))</f>
        <v/>
      </c>
      <c r="L332">
        <f>IF($A332="","",COUNTIFS('Таблиця 1'!$B:$B,$A332,'Таблиця 1'!$E:$E,"ПУ бат",'Таблиця 1'!$L:$L,"Уражено"))</f>
        <v/>
      </c>
      <c r="M332">
        <f>IF($A332="","",COUNTIFS('Таблиця 1'!$B:$B,$A332,'Таблиця 1'!$E:$E,"ПУ бриг",'Таблиця 1'!$L:$L,"Уражено"))</f>
        <v/>
      </c>
      <c r="N332">
        <f>IF($A332="","",COUNTIFS('Таблиця 1'!$B:$B,$A332,'Таблиця 1'!$E:$E,"ПУ див",'Таблиця 1'!$L:$L,"Уражено"))</f>
        <v/>
      </c>
      <c r="O332">
        <f>IF($A332="","",COUNTIFS('Таблиця 1'!$B:$B,$A332,'Таблиця 1'!$E:$E,"обл. РЕБ",'Таблиця 1'!$L:$L,"Уражено"))</f>
        <v/>
      </c>
      <c r="P332">
        <f>IF($A332="","",COUNTIFS('Таблиця 1'!$B:$B,$A332,'Таблиця 1'!$E:$E,"пос РЕБ",'Таблиця 1'!$L:$L,"Уражено"))</f>
        <v/>
      </c>
      <c r="Q332">
        <f>IF($A332="","",COUNTIFS('Таблиця 1'!$B:$B,$A332,'Таблиця 1'!$E:$E,"група РЕР",'Таблиця 1'!$L:$L,"Уражено"))</f>
        <v/>
      </c>
      <c r="R332">
        <f>IF($A332="","",COUNTIFS('Таблиця 1'!$B:$B,$A332,'Таблиця 1'!$E:$E,"РЛС КББ",'Таблиця 1'!$L:$L,"Уражено"))</f>
        <v/>
      </c>
      <c r="S332">
        <f>IF($A332="","",COUNTIFS('Таблиця 1'!$B:$B,$A332,'Таблиця 1'!$E:$E,"Ретранслятор",'Таблиця 1'!$L:$L,"Уражено"))</f>
        <v/>
      </c>
      <c r="T332">
        <f>IF($A332="","",COUNTIFS('Таблиця 1'!$B:$B,$A332,'Таблиця 1'!$E:$E,"Вз.зв'язку",'Таблиця 1'!$L:$L,"Уражено"))</f>
        <v/>
      </c>
      <c r="U332">
        <f>IF($A332="","",COUNTIFS('Таблиця 1'!$B:$B,$A332,'Таблиця 1'!$E:$E,"ПММ",'Таблиця 1'!$L:$L,"Уражено"))</f>
        <v/>
      </c>
      <c r="V332">
        <f>IF($A332="","",COUNTIFS('Таблиця 1'!$B:$B,$A332,'Таблиця 1'!$E:$E,"ІФС",'Таблиця 1'!$L:$L,"Уражено"))</f>
        <v/>
      </c>
      <c r="W332">
        <f>IF($A332="","",COUNTIFS('Таблиця 1'!$B:$B,$A332,'Таблиця 1'!$E:$E,"Інфраструктура",'Таблиця 1'!$L:$L,"Уражено"))</f>
        <v/>
      </c>
      <c r="X332">
        <f>IF($A332="","",SUMIFS('Таблиця 1'!$K:$K,'Таблиця 1'!$B:$B,$A332))</f>
        <v/>
      </c>
    </row>
    <row r="333">
      <c r="A333" s="81">
        <f>IF(A332="","",IF(A332+1&gt;MAX('Таблиця 1'!$B:$B),"",A332+1))</f>
        <v/>
      </c>
      <c r="B333">
        <f>IF($A333="","",COUNTIFS('Таблиця 1'!$B:$B,$A333,'Таблиця 1'!$E:$E,"ЖС ВЗ",'Таблиця 1'!$L:$L,"Уражено"))</f>
        <v/>
      </c>
      <c r="C333">
        <f>IF($A333="","",COUNTIFS('Таблиця 1'!$B:$B,$A333,'Таблиця 1'!$E:$E,"Арт. Системи",'Таблиця 1'!$L:$L,"Уражено"))</f>
        <v/>
      </c>
      <c r="D333">
        <f>IF($A333="","",COUNTIFS('Таблиця 1'!$B:$B,$A333,'Таблиця 1'!$E:$E,"ОВТ",'Таблиця 1'!$L:$L,"Уражено"))</f>
        <v/>
      </c>
      <c r="E333">
        <f>IF($A333="","",COUNTIFS('Таблиця 1'!$B:$B,$A333,'Таблиця 1'!$E:$E,"ППО",'Таблиця 1'!$L:$L,"Уражено"))</f>
        <v/>
      </c>
      <c r="F333">
        <f>IF($A333="","",COUNTIFS('Таблиця 1'!$B:$B,$A333,'Таблиця 1'!$E:$E,"Рембаза",'Таблиця 1'!$L:$L,"Уражено"))</f>
        <v/>
      </c>
      <c r="G333">
        <f>IF($A333="","",COUNTIFS('Таблиця 1'!$B:$B,$A333,'Таблиця 1'!$E:$E,"Склад БК",'Таблиця 1'!$L:$L,"Уражено"))</f>
        <v/>
      </c>
      <c r="H333">
        <f>IF($A333="","",COUNTIFS('Таблиця 1'!$B:$B,$A333,'Таблиця 1'!$E:$E,"Склад ВТМ",'Таблиця 1'!$L:$L,"Уражено"))</f>
        <v/>
      </c>
      <c r="I333">
        <f>IF($A333="","",COUNTIFS('Таблиця 1'!$B:$B,$A333,'Таблиця 1'!$E:$E,"ПУ БпЛА",'Таблиця 1'!$L:$L,"Уражено"))</f>
        <v/>
      </c>
      <c r="J333">
        <f>IF($A333="","",COUNTIFS('Таблиця 1'!$B:$B,$A333,'Таблиця 1'!$E:$E,"СП",'Таблиця 1'!$L:$L,"Уражено"))</f>
        <v/>
      </c>
      <c r="K333">
        <f>IF($A333="","",COUNTIFS('Таблиця 1'!$B:$B,$A333,'Таблиця 1'!$E:$E,"КСП роти",'Таблиця 1'!$L:$L,"Уражено"))</f>
        <v/>
      </c>
      <c r="L333">
        <f>IF($A333="","",COUNTIFS('Таблиця 1'!$B:$B,$A333,'Таблиця 1'!$E:$E,"ПУ бат",'Таблиця 1'!$L:$L,"Уражено"))</f>
        <v/>
      </c>
      <c r="M333">
        <f>IF($A333="","",COUNTIFS('Таблиця 1'!$B:$B,$A333,'Таблиця 1'!$E:$E,"ПУ бриг",'Таблиця 1'!$L:$L,"Уражено"))</f>
        <v/>
      </c>
      <c r="N333">
        <f>IF($A333="","",COUNTIFS('Таблиця 1'!$B:$B,$A333,'Таблиця 1'!$E:$E,"ПУ див",'Таблиця 1'!$L:$L,"Уражено"))</f>
        <v/>
      </c>
      <c r="O333">
        <f>IF($A333="","",COUNTIFS('Таблиця 1'!$B:$B,$A333,'Таблиця 1'!$E:$E,"обл. РЕБ",'Таблиця 1'!$L:$L,"Уражено"))</f>
        <v/>
      </c>
      <c r="P333">
        <f>IF($A333="","",COUNTIFS('Таблиця 1'!$B:$B,$A333,'Таблиця 1'!$E:$E,"пос РЕБ",'Таблиця 1'!$L:$L,"Уражено"))</f>
        <v/>
      </c>
      <c r="Q333">
        <f>IF($A333="","",COUNTIFS('Таблиця 1'!$B:$B,$A333,'Таблиця 1'!$E:$E,"група РЕР",'Таблиця 1'!$L:$L,"Уражено"))</f>
        <v/>
      </c>
      <c r="R333">
        <f>IF($A333="","",COUNTIFS('Таблиця 1'!$B:$B,$A333,'Таблиця 1'!$E:$E,"РЛС КББ",'Таблиця 1'!$L:$L,"Уражено"))</f>
        <v/>
      </c>
      <c r="S333">
        <f>IF($A333="","",COUNTIFS('Таблиця 1'!$B:$B,$A333,'Таблиця 1'!$E:$E,"Ретранслятор",'Таблиця 1'!$L:$L,"Уражено"))</f>
        <v/>
      </c>
      <c r="T333">
        <f>IF($A333="","",COUNTIFS('Таблиця 1'!$B:$B,$A333,'Таблиця 1'!$E:$E,"Вз.зв'язку",'Таблиця 1'!$L:$L,"Уражено"))</f>
        <v/>
      </c>
      <c r="U333">
        <f>IF($A333="","",COUNTIFS('Таблиця 1'!$B:$B,$A333,'Таблиця 1'!$E:$E,"ПММ",'Таблиця 1'!$L:$L,"Уражено"))</f>
        <v/>
      </c>
      <c r="V333">
        <f>IF($A333="","",COUNTIFS('Таблиця 1'!$B:$B,$A333,'Таблиця 1'!$E:$E,"ІФС",'Таблиця 1'!$L:$L,"Уражено"))</f>
        <v/>
      </c>
      <c r="W333">
        <f>IF($A333="","",COUNTIFS('Таблиця 1'!$B:$B,$A333,'Таблиця 1'!$E:$E,"Інфраструктура",'Таблиця 1'!$L:$L,"Уражено"))</f>
        <v/>
      </c>
      <c r="X333">
        <f>IF($A333="","",SUMIFS('Таблиця 1'!$K:$K,'Таблиця 1'!$B:$B,$A333))</f>
        <v/>
      </c>
    </row>
    <row r="334">
      <c r="A334" s="81">
        <f>IF(A333="","",IF(A333+1&gt;MAX('Таблиця 1'!$B:$B),"",A333+1))</f>
        <v/>
      </c>
      <c r="B334">
        <f>IF($A334="","",COUNTIFS('Таблиця 1'!$B:$B,$A334,'Таблиця 1'!$E:$E,"ЖС ВЗ",'Таблиця 1'!$L:$L,"Уражено"))</f>
        <v/>
      </c>
      <c r="C334">
        <f>IF($A334="","",COUNTIFS('Таблиця 1'!$B:$B,$A334,'Таблиця 1'!$E:$E,"Арт. Системи",'Таблиця 1'!$L:$L,"Уражено"))</f>
        <v/>
      </c>
      <c r="D334">
        <f>IF($A334="","",COUNTIFS('Таблиця 1'!$B:$B,$A334,'Таблиця 1'!$E:$E,"ОВТ",'Таблиця 1'!$L:$L,"Уражено"))</f>
        <v/>
      </c>
      <c r="E334">
        <f>IF($A334="","",COUNTIFS('Таблиця 1'!$B:$B,$A334,'Таблиця 1'!$E:$E,"ППО",'Таблиця 1'!$L:$L,"Уражено"))</f>
        <v/>
      </c>
      <c r="F334">
        <f>IF($A334="","",COUNTIFS('Таблиця 1'!$B:$B,$A334,'Таблиця 1'!$E:$E,"Рембаза",'Таблиця 1'!$L:$L,"Уражено"))</f>
        <v/>
      </c>
      <c r="G334">
        <f>IF($A334="","",COUNTIFS('Таблиця 1'!$B:$B,$A334,'Таблиця 1'!$E:$E,"Склад БК",'Таблиця 1'!$L:$L,"Уражено"))</f>
        <v/>
      </c>
      <c r="H334">
        <f>IF($A334="","",COUNTIFS('Таблиця 1'!$B:$B,$A334,'Таблиця 1'!$E:$E,"Склад ВТМ",'Таблиця 1'!$L:$L,"Уражено"))</f>
        <v/>
      </c>
      <c r="I334">
        <f>IF($A334="","",COUNTIFS('Таблиця 1'!$B:$B,$A334,'Таблиця 1'!$E:$E,"ПУ БпЛА",'Таблиця 1'!$L:$L,"Уражено"))</f>
        <v/>
      </c>
      <c r="J334">
        <f>IF($A334="","",COUNTIFS('Таблиця 1'!$B:$B,$A334,'Таблиця 1'!$E:$E,"СП",'Таблиця 1'!$L:$L,"Уражено"))</f>
        <v/>
      </c>
      <c r="K334">
        <f>IF($A334="","",COUNTIFS('Таблиця 1'!$B:$B,$A334,'Таблиця 1'!$E:$E,"КСП роти",'Таблиця 1'!$L:$L,"Уражено"))</f>
        <v/>
      </c>
      <c r="L334">
        <f>IF($A334="","",COUNTIFS('Таблиця 1'!$B:$B,$A334,'Таблиця 1'!$E:$E,"ПУ бат",'Таблиця 1'!$L:$L,"Уражено"))</f>
        <v/>
      </c>
      <c r="M334">
        <f>IF($A334="","",COUNTIFS('Таблиця 1'!$B:$B,$A334,'Таблиця 1'!$E:$E,"ПУ бриг",'Таблиця 1'!$L:$L,"Уражено"))</f>
        <v/>
      </c>
      <c r="N334">
        <f>IF($A334="","",COUNTIFS('Таблиця 1'!$B:$B,$A334,'Таблиця 1'!$E:$E,"ПУ див",'Таблиця 1'!$L:$L,"Уражено"))</f>
        <v/>
      </c>
      <c r="O334">
        <f>IF($A334="","",COUNTIFS('Таблиця 1'!$B:$B,$A334,'Таблиця 1'!$E:$E,"обл. РЕБ",'Таблиця 1'!$L:$L,"Уражено"))</f>
        <v/>
      </c>
      <c r="P334">
        <f>IF($A334="","",COUNTIFS('Таблиця 1'!$B:$B,$A334,'Таблиця 1'!$E:$E,"пос РЕБ",'Таблиця 1'!$L:$L,"Уражено"))</f>
        <v/>
      </c>
      <c r="Q334">
        <f>IF($A334="","",COUNTIFS('Таблиця 1'!$B:$B,$A334,'Таблиця 1'!$E:$E,"група РЕР",'Таблиця 1'!$L:$L,"Уражено"))</f>
        <v/>
      </c>
      <c r="R334">
        <f>IF($A334="","",COUNTIFS('Таблиця 1'!$B:$B,$A334,'Таблиця 1'!$E:$E,"РЛС КББ",'Таблиця 1'!$L:$L,"Уражено"))</f>
        <v/>
      </c>
      <c r="S334">
        <f>IF($A334="","",COUNTIFS('Таблиця 1'!$B:$B,$A334,'Таблиця 1'!$E:$E,"Ретранслятор",'Таблиця 1'!$L:$L,"Уражено"))</f>
        <v/>
      </c>
      <c r="T334">
        <f>IF($A334="","",COUNTIFS('Таблиця 1'!$B:$B,$A334,'Таблиця 1'!$E:$E,"Вз.зв'язку",'Таблиця 1'!$L:$L,"Уражено"))</f>
        <v/>
      </c>
      <c r="U334">
        <f>IF($A334="","",COUNTIFS('Таблиця 1'!$B:$B,$A334,'Таблиця 1'!$E:$E,"ПММ",'Таблиця 1'!$L:$L,"Уражено"))</f>
        <v/>
      </c>
      <c r="V334">
        <f>IF($A334="","",COUNTIFS('Таблиця 1'!$B:$B,$A334,'Таблиця 1'!$E:$E,"ІФС",'Таблиця 1'!$L:$L,"Уражено"))</f>
        <v/>
      </c>
      <c r="W334">
        <f>IF($A334="","",COUNTIFS('Таблиця 1'!$B:$B,$A334,'Таблиця 1'!$E:$E,"Інфраструктура",'Таблиця 1'!$L:$L,"Уражено"))</f>
        <v/>
      </c>
      <c r="X334">
        <f>IF($A334="","",SUMIFS('Таблиця 1'!$K:$K,'Таблиця 1'!$B:$B,$A334))</f>
        <v/>
      </c>
    </row>
    <row r="335">
      <c r="A335" s="81">
        <f>IF(A334="","",IF(A334+1&gt;MAX('Таблиця 1'!$B:$B),"",A334+1))</f>
        <v/>
      </c>
      <c r="B335">
        <f>IF($A335="","",COUNTIFS('Таблиця 1'!$B:$B,$A335,'Таблиця 1'!$E:$E,"ЖС ВЗ",'Таблиця 1'!$L:$L,"Уражено"))</f>
        <v/>
      </c>
      <c r="C335">
        <f>IF($A335="","",COUNTIFS('Таблиця 1'!$B:$B,$A335,'Таблиця 1'!$E:$E,"Арт. Системи",'Таблиця 1'!$L:$L,"Уражено"))</f>
        <v/>
      </c>
      <c r="D335">
        <f>IF($A335="","",COUNTIFS('Таблиця 1'!$B:$B,$A335,'Таблиця 1'!$E:$E,"ОВТ",'Таблиця 1'!$L:$L,"Уражено"))</f>
        <v/>
      </c>
      <c r="E335">
        <f>IF($A335="","",COUNTIFS('Таблиця 1'!$B:$B,$A335,'Таблиця 1'!$E:$E,"ППО",'Таблиця 1'!$L:$L,"Уражено"))</f>
        <v/>
      </c>
      <c r="F335">
        <f>IF($A335="","",COUNTIFS('Таблиця 1'!$B:$B,$A335,'Таблиця 1'!$E:$E,"Рембаза",'Таблиця 1'!$L:$L,"Уражено"))</f>
        <v/>
      </c>
      <c r="G335">
        <f>IF($A335="","",COUNTIFS('Таблиця 1'!$B:$B,$A335,'Таблиця 1'!$E:$E,"Склад БК",'Таблиця 1'!$L:$L,"Уражено"))</f>
        <v/>
      </c>
      <c r="H335">
        <f>IF($A335="","",COUNTIFS('Таблиця 1'!$B:$B,$A335,'Таблиця 1'!$E:$E,"Склад ВТМ",'Таблиця 1'!$L:$L,"Уражено"))</f>
        <v/>
      </c>
      <c r="I335">
        <f>IF($A335="","",COUNTIFS('Таблиця 1'!$B:$B,$A335,'Таблиця 1'!$E:$E,"ПУ БпЛА",'Таблиця 1'!$L:$L,"Уражено"))</f>
        <v/>
      </c>
      <c r="J335">
        <f>IF($A335="","",COUNTIFS('Таблиця 1'!$B:$B,$A335,'Таблиця 1'!$E:$E,"СП",'Таблиця 1'!$L:$L,"Уражено"))</f>
        <v/>
      </c>
      <c r="K335">
        <f>IF($A335="","",COUNTIFS('Таблиця 1'!$B:$B,$A335,'Таблиця 1'!$E:$E,"КСП роти",'Таблиця 1'!$L:$L,"Уражено"))</f>
        <v/>
      </c>
      <c r="L335">
        <f>IF($A335="","",COUNTIFS('Таблиця 1'!$B:$B,$A335,'Таблиця 1'!$E:$E,"ПУ бат",'Таблиця 1'!$L:$L,"Уражено"))</f>
        <v/>
      </c>
      <c r="M335">
        <f>IF($A335="","",COUNTIFS('Таблиця 1'!$B:$B,$A335,'Таблиця 1'!$E:$E,"ПУ бриг",'Таблиця 1'!$L:$L,"Уражено"))</f>
        <v/>
      </c>
      <c r="N335">
        <f>IF($A335="","",COUNTIFS('Таблиця 1'!$B:$B,$A335,'Таблиця 1'!$E:$E,"ПУ див",'Таблиця 1'!$L:$L,"Уражено"))</f>
        <v/>
      </c>
      <c r="O335">
        <f>IF($A335="","",COUNTIFS('Таблиця 1'!$B:$B,$A335,'Таблиця 1'!$E:$E,"обл. РЕБ",'Таблиця 1'!$L:$L,"Уражено"))</f>
        <v/>
      </c>
      <c r="P335">
        <f>IF($A335="","",COUNTIFS('Таблиця 1'!$B:$B,$A335,'Таблиця 1'!$E:$E,"пос РЕБ",'Таблиця 1'!$L:$L,"Уражено"))</f>
        <v/>
      </c>
      <c r="Q335">
        <f>IF($A335="","",COUNTIFS('Таблиця 1'!$B:$B,$A335,'Таблиця 1'!$E:$E,"група РЕР",'Таблиця 1'!$L:$L,"Уражено"))</f>
        <v/>
      </c>
      <c r="R335">
        <f>IF($A335="","",COUNTIFS('Таблиця 1'!$B:$B,$A335,'Таблиця 1'!$E:$E,"РЛС КББ",'Таблиця 1'!$L:$L,"Уражено"))</f>
        <v/>
      </c>
      <c r="S335">
        <f>IF($A335="","",COUNTIFS('Таблиця 1'!$B:$B,$A335,'Таблиця 1'!$E:$E,"Ретранслятор",'Таблиця 1'!$L:$L,"Уражено"))</f>
        <v/>
      </c>
      <c r="T335">
        <f>IF($A335="","",COUNTIFS('Таблиця 1'!$B:$B,$A335,'Таблиця 1'!$E:$E,"Вз.зв'язку",'Таблиця 1'!$L:$L,"Уражено"))</f>
        <v/>
      </c>
      <c r="U335">
        <f>IF($A335="","",COUNTIFS('Таблиця 1'!$B:$B,$A335,'Таблиця 1'!$E:$E,"ПММ",'Таблиця 1'!$L:$L,"Уражено"))</f>
        <v/>
      </c>
      <c r="V335">
        <f>IF($A335="","",COUNTIFS('Таблиця 1'!$B:$B,$A335,'Таблиця 1'!$E:$E,"ІФС",'Таблиця 1'!$L:$L,"Уражено"))</f>
        <v/>
      </c>
      <c r="W335">
        <f>IF($A335="","",COUNTIFS('Таблиця 1'!$B:$B,$A335,'Таблиця 1'!$E:$E,"Інфраструктура",'Таблиця 1'!$L:$L,"Уражено"))</f>
        <v/>
      </c>
      <c r="X335">
        <f>IF($A335="","",SUMIFS('Таблиця 1'!$K:$K,'Таблиця 1'!$B:$B,$A335))</f>
        <v/>
      </c>
    </row>
    <row r="336">
      <c r="A336" s="81">
        <f>IF(A335="","",IF(A335+1&gt;MAX('Таблиця 1'!$B:$B),"",A335+1))</f>
        <v/>
      </c>
      <c r="B336">
        <f>IF($A336="","",COUNTIFS('Таблиця 1'!$B:$B,$A336,'Таблиця 1'!$E:$E,"ЖС ВЗ",'Таблиця 1'!$L:$L,"Уражено"))</f>
        <v/>
      </c>
      <c r="C336">
        <f>IF($A336="","",COUNTIFS('Таблиця 1'!$B:$B,$A336,'Таблиця 1'!$E:$E,"Арт. Системи",'Таблиця 1'!$L:$L,"Уражено"))</f>
        <v/>
      </c>
      <c r="D336">
        <f>IF($A336="","",COUNTIFS('Таблиця 1'!$B:$B,$A336,'Таблиця 1'!$E:$E,"ОВТ",'Таблиця 1'!$L:$L,"Уражено"))</f>
        <v/>
      </c>
      <c r="E336">
        <f>IF($A336="","",COUNTIFS('Таблиця 1'!$B:$B,$A336,'Таблиця 1'!$E:$E,"ППО",'Таблиця 1'!$L:$L,"Уражено"))</f>
        <v/>
      </c>
      <c r="F336">
        <f>IF($A336="","",COUNTIFS('Таблиця 1'!$B:$B,$A336,'Таблиця 1'!$E:$E,"Рембаза",'Таблиця 1'!$L:$L,"Уражено"))</f>
        <v/>
      </c>
      <c r="G336">
        <f>IF($A336="","",COUNTIFS('Таблиця 1'!$B:$B,$A336,'Таблиця 1'!$E:$E,"Склад БК",'Таблиця 1'!$L:$L,"Уражено"))</f>
        <v/>
      </c>
      <c r="H336">
        <f>IF($A336="","",COUNTIFS('Таблиця 1'!$B:$B,$A336,'Таблиця 1'!$E:$E,"Склад ВТМ",'Таблиця 1'!$L:$L,"Уражено"))</f>
        <v/>
      </c>
      <c r="I336">
        <f>IF($A336="","",COUNTIFS('Таблиця 1'!$B:$B,$A336,'Таблиця 1'!$E:$E,"ПУ БпЛА",'Таблиця 1'!$L:$L,"Уражено"))</f>
        <v/>
      </c>
      <c r="J336">
        <f>IF($A336="","",COUNTIFS('Таблиця 1'!$B:$B,$A336,'Таблиця 1'!$E:$E,"СП",'Таблиця 1'!$L:$L,"Уражено"))</f>
        <v/>
      </c>
      <c r="K336">
        <f>IF($A336="","",COUNTIFS('Таблиця 1'!$B:$B,$A336,'Таблиця 1'!$E:$E,"КСП роти",'Таблиця 1'!$L:$L,"Уражено"))</f>
        <v/>
      </c>
      <c r="L336">
        <f>IF($A336="","",COUNTIFS('Таблиця 1'!$B:$B,$A336,'Таблиця 1'!$E:$E,"ПУ бат",'Таблиця 1'!$L:$L,"Уражено"))</f>
        <v/>
      </c>
      <c r="M336">
        <f>IF($A336="","",COUNTIFS('Таблиця 1'!$B:$B,$A336,'Таблиця 1'!$E:$E,"ПУ бриг",'Таблиця 1'!$L:$L,"Уражено"))</f>
        <v/>
      </c>
      <c r="N336">
        <f>IF($A336="","",COUNTIFS('Таблиця 1'!$B:$B,$A336,'Таблиця 1'!$E:$E,"ПУ див",'Таблиця 1'!$L:$L,"Уражено"))</f>
        <v/>
      </c>
      <c r="O336">
        <f>IF($A336="","",COUNTIFS('Таблиця 1'!$B:$B,$A336,'Таблиця 1'!$E:$E,"обл. РЕБ",'Таблиця 1'!$L:$L,"Уражено"))</f>
        <v/>
      </c>
      <c r="P336">
        <f>IF($A336="","",COUNTIFS('Таблиця 1'!$B:$B,$A336,'Таблиця 1'!$E:$E,"пос РЕБ",'Таблиця 1'!$L:$L,"Уражено"))</f>
        <v/>
      </c>
      <c r="Q336">
        <f>IF($A336="","",COUNTIFS('Таблиця 1'!$B:$B,$A336,'Таблиця 1'!$E:$E,"група РЕР",'Таблиця 1'!$L:$L,"Уражено"))</f>
        <v/>
      </c>
      <c r="R336">
        <f>IF($A336="","",COUNTIFS('Таблиця 1'!$B:$B,$A336,'Таблиця 1'!$E:$E,"РЛС КББ",'Таблиця 1'!$L:$L,"Уражено"))</f>
        <v/>
      </c>
      <c r="S336">
        <f>IF($A336="","",COUNTIFS('Таблиця 1'!$B:$B,$A336,'Таблиця 1'!$E:$E,"Ретранслятор",'Таблиця 1'!$L:$L,"Уражено"))</f>
        <v/>
      </c>
      <c r="T336">
        <f>IF($A336="","",COUNTIFS('Таблиця 1'!$B:$B,$A336,'Таблиця 1'!$E:$E,"Вз.зв'язку",'Таблиця 1'!$L:$L,"Уражено"))</f>
        <v/>
      </c>
      <c r="U336">
        <f>IF($A336="","",COUNTIFS('Таблиця 1'!$B:$B,$A336,'Таблиця 1'!$E:$E,"ПММ",'Таблиця 1'!$L:$L,"Уражено"))</f>
        <v/>
      </c>
      <c r="V336">
        <f>IF($A336="","",COUNTIFS('Таблиця 1'!$B:$B,$A336,'Таблиця 1'!$E:$E,"ІФС",'Таблиця 1'!$L:$L,"Уражено"))</f>
        <v/>
      </c>
      <c r="W336">
        <f>IF($A336="","",COUNTIFS('Таблиця 1'!$B:$B,$A336,'Таблиця 1'!$E:$E,"Інфраструктура",'Таблиця 1'!$L:$L,"Уражено"))</f>
        <v/>
      </c>
      <c r="X336">
        <f>IF($A336="","",SUMIFS('Таблиця 1'!$K:$K,'Таблиця 1'!$B:$B,$A336))</f>
        <v/>
      </c>
    </row>
    <row r="337">
      <c r="A337" s="81">
        <f>IF(A336="","",IF(A336+1&gt;MAX('Таблиця 1'!$B:$B),"",A336+1))</f>
        <v/>
      </c>
      <c r="B337">
        <f>IF($A337="","",COUNTIFS('Таблиця 1'!$B:$B,$A337,'Таблиця 1'!$E:$E,"ЖС ВЗ",'Таблиця 1'!$L:$L,"Уражено"))</f>
        <v/>
      </c>
      <c r="C337">
        <f>IF($A337="","",COUNTIFS('Таблиця 1'!$B:$B,$A337,'Таблиця 1'!$E:$E,"Арт. Системи",'Таблиця 1'!$L:$L,"Уражено"))</f>
        <v/>
      </c>
      <c r="D337">
        <f>IF($A337="","",COUNTIFS('Таблиця 1'!$B:$B,$A337,'Таблиця 1'!$E:$E,"ОВТ",'Таблиця 1'!$L:$L,"Уражено"))</f>
        <v/>
      </c>
      <c r="E337">
        <f>IF($A337="","",COUNTIFS('Таблиця 1'!$B:$B,$A337,'Таблиця 1'!$E:$E,"ППО",'Таблиця 1'!$L:$L,"Уражено"))</f>
        <v/>
      </c>
      <c r="F337">
        <f>IF($A337="","",COUNTIFS('Таблиця 1'!$B:$B,$A337,'Таблиця 1'!$E:$E,"Рембаза",'Таблиця 1'!$L:$L,"Уражено"))</f>
        <v/>
      </c>
      <c r="G337">
        <f>IF($A337="","",COUNTIFS('Таблиця 1'!$B:$B,$A337,'Таблиця 1'!$E:$E,"Склад БК",'Таблиця 1'!$L:$L,"Уражено"))</f>
        <v/>
      </c>
      <c r="H337">
        <f>IF($A337="","",COUNTIFS('Таблиця 1'!$B:$B,$A337,'Таблиця 1'!$E:$E,"Склад ВТМ",'Таблиця 1'!$L:$L,"Уражено"))</f>
        <v/>
      </c>
      <c r="I337">
        <f>IF($A337="","",COUNTIFS('Таблиця 1'!$B:$B,$A337,'Таблиця 1'!$E:$E,"ПУ БпЛА",'Таблиця 1'!$L:$L,"Уражено"))</f>
        <v/>
      </c>
      <c r="J337">
        <f>IF($A337="","",COUNTIFS('Таблиця 1'!$B:$B,$A337,'Таблиця 1'!$E:$E,"СП",'Таблиця 1'!$L:$L,"Уражено"))</f>
        <v/>
      </c>
      <c r="K337">
        <f>IF($A337="","",COUNTIFS('Таблиця 1'!$B:$B,$A337,'Таблиця 1'!$E:$E,"КСП роти",'Таблиця 1'!$L:$L,"Уражено"))</f>
        <v/>
      </c>
      <c r="L337">
        <f>IF($A337="","",COUNTIFS('Таблиця 1'!$B:$B,$A337,'Таблиця 1'!$E:$E,"ПУ бат",'Таблиця 1'!$L:$L,"Уражено"))</f>
        <v/>
      </c>
      <c r="M337">
        <f>IF($A337="","",COUNTIFS('Таблиця 1'!$B:$B,$A337,'Таблиця 1'!$E:$E,"ПУ бриг",'Таблиця 1'!$L:$L,"Уражено"))</f>
        <v/>
      </c>
      <c r="N337">
        <f>IF($A337="","",COUNTIFS('Таблиця 1'!$B:$B,$A337,'Таблиця 1'!$E:$E,"ПУ див",'Таблиця 1'!$L:$L,"Уражено"))</f>
        <v/>
      </c>
      <c r="O337">
        <f>IF($A337="","",COUNTIFS('Таблиця 1'!$B:$B,$A337,'Таблиця 1'!$E:$E,"обл. РЕБ",'Таблиця 1'!$L:$L,"Уражено"))</f>
        <v/>
      </c>
      <c r="P337">
        <f>IF($A337="","",COUNTIFS('Таблиця 1'!$B:$B,$A337,'Таблиця 1'!$E:$E,"пос РЕБ",'Таблиця 1'!$L:$L,"Уражено"))</f>
        <v/>
      </c>
      <c r="Q337">
        <f>IF($A337="","",COUNTIFS('Таблиця 1'!$B:$B,$A337,'Таблиця 1'!$E:$E,"група РЕР",'Таблиця 1'!$L:$L,"Уражено"))</f>
        <v/>
      </c>
      <c r="R337">
        <f>IF($A337="","",COUNTIFS('Таблиця 1'!$B:$B,$A337,'Таблиця 1'!$E:$E,"РЛС КББ",'Таблиця 1'!$L:$L,"Уражено"))</f>
        <v/>
      </c>
      <c r="S337">
        <f>IF($A337="","",COUNTIFS('Таблиця 1'!$B:$B,$A337,'Таблиця 1'!$E:$E,"Ретранслятор",'Таблиця 1'!$L:$L,"Уражено"))</f>
        <v/>
      </c>
      <c r="T337">
        <f>IF($A337="","",COUNTIFS('Таблиця 1'!$B:$B,$A337,'Таблиця 1'!$E:$E,"Вз.зв'язку",'Таблиця 1'!$L:$L,"Уражено"))</f>
        <v/>
      </c>
      <c r="U337">
        <f>IF($A337="","",COUNTIFS('Таблиця 1'!$B:$B,$A337,'Таблиця 1'!$E:$E,"ПММ",'Таблиця 1'!$L:$L,"Уражено"))</f>
        <v/>
      </c>
      <c r="V337">
        <f>IF($A337="","",COUNTIFS('Таблиця 1'!$B:$B,$A337,'Таблиця 1'!$E:$E,"ІФС",'Таблиця 1'!$L:$L,"Уражено"))</f>
        <v/>
      </c>
      <c r="W337">
        <f>IF($A337="","",COUNTIFS('Таблиця 1'!$B:$B,$A337,'Таблиця 1'!$E:$E,"Інфраструктура",'Таблиця 1'!$L:$L,"Уражено"))</f>
        <v/>
      </c>
      <c r="X337">
        <f>IF($A337="","",SUMIFS('Таблиця 1'!$K:$K,'Таблиця 1'!$B:$B,$A337))</f>
        <v/>
      </c>
    </row>
    <row r="338">
      <c r="A338" s="81">
        <f>IF(A337="","",IF(A337+1&gt;MAX('Таблиця 1'!$B:$B),"",A337+1))</f>
        <v/>
      </c>
      <c r="B338">
        <f>IF($A338="","",COUNTIFS('Таблиця 1'!$B:$B,$A338,'Таблиця 1'!$E:$E,"ЖС ВЗ",'Таблиця 1'!$L:$L,"Уражено"))</f>
        <v/>
      </c>
      <c r="C338">
        <f>IF($A338="","",COUNTIFS('Таблиця 1'!$B:$B,$A338,'Таблиця 1'!$E:$E,"Арт. Системи",'Таблиця 1'!$L:$L,"Уражено"))</f>
        <v/>
      </c>
      <c r="D338">
        <f>IF($A338="","",COUNTIFS('Таблиця 1'!$B:$B,$A338,'Таблиця 1'!$E:$E,"ОВТ",'Таблиця 1'!$L:$L,"Уражено"))</f>
        <v/>
      </c>
      <c r="E338">
        <f>IF($A338="","",COUNTIFS('Таблиця 1'!$B:$B,$A338,'Таблиця 1'!$E:$E,"ППО",'Таблиця 1'!$L:$L,"Уражено"))</f>
        <v/>
      </c>
      <c r="F338">
        <f>IF($A338="","",COUNTIFS('Таблиця 1'!$B:$B,$A338,'Таблиця 1'!$E:$E,"Рембаза",'Таблиця 1'!$L:$L,"Уражено"))</f>
        <v/>
      </c>
      <c r="G338">
        <f>IF($A338="","",COUNTIFS('Таблиця 1'!$B:$B,$A338,'Таблиця 1'!$E:$E,"Склад БК",'Таблиця 1'!$L:$L,"Уражено"))</f>
        <v/>
      </c>
      <c r="H338">
        <f>IF($A338="","",COUNTIFS('Таблиця 1'!$B:$B,$A338,'Таблиця 1'!$E:$E,"Склад ВТМ",'Таблиця 1'!$L:$L,"Уражено"))</f>
        <v/>
      </c>
      <c r="I338">
        <f>IF($A338="","",COUNTIFS('Таблиця 1'!$B:$B,$A338,'Таблиця 1'!$E:$E,"ПУ БпЛА",'Таблиця 1'!$L:$L,"Уражено"))</f>
        <v/>
      </c>
      <c r="J338">
        <f>IF($A338="","",COUNTIFS('Таблиця 1'!$B:$B,$A338,'Таблиця 1'!$E:$E,"СП",'Таблиця 1'!$L:$L,"Уражено"))</f>
        <v/>
      </c>
      <c r="K338">
        <f>IF($A338="","",COUNTIFS('Таблиця 1'!$B:$B,$A338,'Таблиця 1'!$E:$E,"КСП роти",'Таблиця 1'!$L:$L,"Уражено"))</f>
        <v/>
      </c>
      <c r="L338">
        <f>IF($A338="","",COUNTIFS('Таблиця 1'!$B:$B,$A338,'Таблиця 1'!$E:$E,"ПУ бат",'Таблиця 1'!$L:$L,"Уражено"))</f>
        <v/>
      </c>
      <c r="M338">
        <f>IF($A338="","",COUNTIFS('Таблиця 1'!$B:$B,$A338,'Таблиця 1'!$E:$E,"ПУ бриг",'Таблиця 1'!$L:$L,"Уражено"))</f>
        <v/>
      </c>
      <c r="N338">
        <f>IF($A338="","",COUNTIFS('Таблиця 1'!$B:$B,$A338,'Таблиця 1'!$E:$E,"ПУ див",'Таблиця 1'!$L:$L,"Уражено"))</f>
        <v/>
      </c>
      <c r="O338">
        <f>IF($A338="","",COUNTIFS('Таблиця 1'!$B:$B,$A338,'Таблиця 1'!$E:$E,"обл. РЕБ",'Таблиця 1'!$L:$L,"Уражено"))</f>
        <v/>
      </c>
      <c r="P338">
        <f>IF($A338="","",COUNTIFS('Таблиця 1'!$B:$B,$A338,'Таблиця 1'!$E:$E,"пос РЕБ",'Таблиця 1'!$L:$L,"Уражено"))</f>
        <v/>
      </c>
      <c r="Q338">
        <f>IF($A338="","",COUNTIFS('Таблиця 1'!$B:$B,$A338,'Таблиця 1'!$E:$E,"група РЕР",'Таблиця 1'!$L:$L,"Уражено"))</f>
        <v/>
      </c>
      <c r="R338">
        <f>IF($A338="","",COUNTIFS('Таблиця 1'!$B:$B,$A338,'Таблиця 1'!$E:$E,"РЛС КББ",'Таблиця 1'!$L:$L,"Уражено"))</f>
        <v/>
      </c>
      <c r="S338">
        <f>IF($A338="","",COUNTIFS('Таблиця 1'!$B:$B,$A338,'Таблиця 1'!$E:$E,"Ретранслятор",'Таблиця 1'!$L:$L,"Уражено"))</f>
        <v/>
      </c>
      <c r="T338">
        <f>IF($A338="","",COUNTIFS('Таблиця 1'!$B:$B,$A338,'Таблиця 1'!$E:$E,"Вз.зв'язку",'Таблиця 1'!$L:$L,"Уражено"))</f>
        <v/>
      </c>
      <c r="U338">
        <f>IF($A338="","",COUNTIFS('Таблиця 1'!$B:$B,$A338,'Таблиця 1'!$E:$E,"ПММ",'Таблиця 1'!$L:$L,"Уражено"))</f>
        <v/>
      </c>
      <c r="V338">
        <f>IF($A338="","",COUNTIFS('Таблиця 1'!$B:$B,$A338,'Таблиця 1'!$E:$E,"ІФС",'Таблиця 1'!$L:$L,"Уражено"))</f>
        <v/>
      </c>
      <c r="W338">
        <f>IF($A338="","",COUNTIFS('Таблиця 1'!$B:$B,$A338,'Таблиця 1'!$E:$E,"Інфраструктура",'Таблиця 1'!$L:$L,"Уражено"))</f>
        <v/>
      </c>
      <c r="X338">
        <f>IF($A338="","",SUMIFS('Таблиця 1'!$K:$K,'Таблиця 1'!$B:$B,$A338))</f>
        <v/>
      </c>
    </row>
    <row r="339">
      <c r="A339" s="81">
        <f>IF(A338="","",IF(A338+1&gt;MAX('Таблиця 1'!$B:$B),"",A338+1))</f>
        <v/>
      </c>
      <c r="B339">
        <f>IF($A339="","",COUNTIFS('Таблиця 1'!$B:$B,$A339,'Таблиця 1'!$E:$E,"ЖС ВЗ",'Таблиця 1'!$L:$L,"Уражено"))</f>
        <v/>
      </c>
      <c r="C339">
        <f>IF($A339="","",COUNTIFS('Таблиця 1'!$B:$B,$A339,'Таблиця 1'!$E:$E,"Арт. Системи",'Таблиця 1'!$L:$L,"Уражено"))</f>
        <v/>
      </c>
      <c r="D339">
        <f>IF($A339="","",COUNTIFS('Таблиця 1'!$B:$B,$A339,'Таблиця 1'!$E:$E,"ОВТ",'Таблиця 1'!$L:$L,"Уражено"))</f>
        <v/>
      </c>
      <c r="E339">
        <f>IF($A339="","",COUNTIFS('Таблиця 1'!$B:$B,$A339,'Таблиця 1'!$E:$E,"ППО",'Таблиця 1'!$L:$L,"Уражено"))</f>
        <v/>
      </c>
      <c r="F339">
        <f>IF($A339="","",COUNTIFS('Таблиця 1'!$B:$B,$A339,'Таблиця 1'!$E:$E,"Рембаза",'Таблиця 1'!$L:$L,"Уражено"))</f>
        <v/>
      </c>
      <c r="G339">
        <f>IF($A339="","",COUNTIFS('Таблиця 1'!$B:$B,$A339,'Таблиця 1'!$E:$E,"Склад БК",'Таблиця 1'!$L:$L,"Уражено"))</f>
        <v/>
      </c>
      <c r="H339">
        <f>IF($A339="","",COUNTIFS('Таблиця 1'!$B:$B,$A339,'Таблиця 1'!$E:$E,"Склад ВТМ",'Таблиця 1'!$L:$L,"Уражено"))</f>
        <v/>
      </c>
      <c r="I339">
        <f>IF($A339="","",COUNTIFS('Таблиця 1'!$B:$B,$A339,'Таблиця 1'!$E:$E,"ПУ БпЛА",'Таблиця 1'!$L:$L,"Уражено"))</f>
        <v/>
      </c>
      <c r="J339">
        <f>IF($A339="","",COUNTIFS('Таблиця 1'!$B:$B,$A339,'Таблиця 1'!$E:$E,"СП",'Таблиця 1'!$L:$L,"Уражено"))</f>
        <v/>
      </c>
      <c r="K339">
        <f>IF($A339="","",COUNTIFS('Таблиця 1'!$B:$B,$A339,'Таблиця 1'!$E:$E,"КСП роти",'Таблиця 1'!$L:$L,"Уражено"))</f>
        <v/>
      </c>
      <c r="L339">
        <f>IF($A339="","",COUNTIFS('Таблиця 1'!$B:$B,$A339,'Таблиця 1'!$E:$E,"ПУ бат",'Таблиця 1'!$L:$L,"Уражено"))</f>
        <v/>
      </c>
      <c r="M339">
        <f>IF($A339="","",COUNTIFS('Таблиця 1'!$B:$B,$A339,'Таблиця 1'!$E:$E,"ПУ бриг",'Таблиця 1'!$L:$L,"Уражено"))</f>
        <v/>
      </c>
      <c r="N339">
        <f>IF($A339="","",COUNTIFS('Таблиця 1'!$B:$B,$A339,'Таблиця 1'!$E:$E,"ПУ див",'Таблиця 1'!$L:$L,"Уражено"))</f>
        <v/>
      </c>
      <c r="O339">
        <f>IF($A339="","",COUNTIFS('Таблиця 1'!$B:$B,$A339,'Таблиця 1'!$E:$E,"обл. РЕБ",'Таблиця 1'!$L:$L,"Уражено"))</f>
        <v/>
      </c>
      <c r="P339">
        <f>IF($A339="","",COUNTIFS('Таблиця 1'!$B:$B,$A339,'Таблиця 1'!$E:$E,"пос РЕБ",'Таблиця 1'!$L:$L,"Уражено"))</f>
        <v/>
      </c>
      <c r="Q339">
        <f>IF($A339="","",COUNTIFS('Таблиця 1'!$B:$B,$A339,'Таблиця 1'!$E:$E,"група РЕР",'Таблиця 1'!$L:$L,"Уражено"))</f>
        <v/>
      </c>
      <c r="R339">
        <f>IF($A339="","",COUNTIFS('Таблиця 1'!$B:$B,$A339,'Таблиця 1'!$E:$E,"РЛС КББ",'Таблиця 1'!$L:$L,"Уражено"))</f>
        <v/>
      </c>
      <c r="S339">
        <f>IF($A339="","",COUNTIFS('Таблиця 1'!$B:$B,$A339,'Таблиця 1'!$E:$E,"Ретранслятор",'Таблиця 1'!$L:$L,"Уражено"))</f>
        <v/>
      </c>
      <c r="T339">
        <f>IF($A339="","",COUNTIFS('Таблиця 1'!$B:$B,$A339,'Таблиця 1'!$E:$E,"Вз.зв'язку",'Таблиця 1'!$L:$L,"Уражено"))</f>
        <v/>
      </c>
      <c r="U339">
        <f>IF($A339="","",COUNTIFS('Таблиця 1'!$B:$B,$A339,'Таблиця 1'!$E:$E,"ПММ",'Таблиця 1'!$L:$L,"Уражено"))</f>
        <v/>
      </c>
      <c r="V339">
        <f>IF($A339="","",COUNTIFS('Таблиця 1'!$B:$B,$A339,'Таблиця 1'!$E:$E,"ІФС",'Таблиця 1'!$L:$L,"Уражено"))</f>
        <v/>
      </c>
      <c r="W339">
        <f>IF($A339="","",COUNTIFS('Таблиця 1'!$B:$B,$A339,'Таблиця 1'!$E:$E,"Інфраструктура",'Таблиця 1'!$L:$L,"Уражено"))</f>
        <v/>
      </c>
      <c r="X339">
        <f>IF($A339="","",SUMIFS('Таблиця 1'!$K:$K,'Таблиця 1'!$B:$B,$A339))</f>
        <v/>
      </c>
    </row>
    <row r="340">
      <c r="A340" s="81">
        <f>IF(A339="","",IF(A339+1&gt;MAX('Таблиця 1'!$B:$B),"",A339+1))</f>
        <v/>
      </c>
      <c r="B340">
        <f>IF($A340="","",COUNTIFS('Таблиця 1'!$B:$B,$A340,'Таблиця 1'!$E:$E,"ЖС ВЗ",'Таблиця 1'!$L:$L,"Уражено"))</f>
        <v/>
      </c>
      <c r="C340">
        <f>IF($A340="","",COUNTIFS('Таблиця 1'!$B:$B,$A340,'Таблиця 1'!$E:$E,"Арт. Системи",'Таблиця 1'!$L:$L,"Уражено"))</f>
        <v/>
      </c>
      <c r="D340">
        <f>IF($A340="","",COUNTIFS('Таблиця 1'!$B:$B,$A340,'Таблиця 1'!$E:$E,"ОВТ",'Таблиця 1'!$L:$L,"Уражено"))</f>
        <v/>
      </c>
      <c r="E340">
        <f>IF($A340="","",COUNTIFS('Таблиця 1'!$B:$B,$A340,'Таблиця 1'!$E:$E,"ППО",'Таблиця 1'!$L:$L,"Уражено"))</f>
        <v/>
      </c>
      <c r="F340">
        <f>IF($A340="","",COUNTIFS('Таблиця 1'!$B:$B,$A340,'Таблиця 1'!$E:$E,"Рембаза",'Таблиця 1'!$L:$L,"Уражено"))</f>
        <v/>
      </c>
      <c r="G340">
        <f>IF($A340="","",COUNTIFS('Таблиця 1'!$B:$B,$A340,'Таблиця 1'!$E:$E,"Склад БК",'Таблиця 1'!$L:$L,"Уражено"))</f>
        <v/>
      </c>
      <c r="H340">
        <f>IF($A340="","",COUNTIFS('Таблиця 1'!$B:$B,$A340,'Таблиця 1'!$E:$E,"Склад ВТМ",'Таблиця 1'!$L:$L,"Уражено"))</f>
        <v/>
      </c>
      <c r="I340">
        <f>IF($A340="","",COUNTIFS('Таблиця 1'!$B:$B,$A340,'Таблиця 1'!$E:$E,"ПУ БпЛА",'Таблиця 1'!$L:$L,"Уражено"))</f>
        <v/>
      </c>
      <c r="J340">
        <f>IF($A340="","",COUNTIFS('Таблиця 1'!$B:$B,$A340,'Таблиця 1'!$E:$E,"СП",'Таблиця 1'!$L:$L,"Уражено"))</f>
        <v/>
      </c>
      <c r="K340">
        <f>IF($A340="","",COUNTIFS('Таблиця 1'!$B:$B,$A340,'Таблиця 1'!$E:$E,"КСП роти",'Таблиця 1'!$L:$L,"Уражено"))</f>
        <v/>
      </c>
      <c r="L340">
        <f>IF($A340="","",COUNTIFS('Таблиця 1'!$B:$B,$A340,'Таблиця 1'!$E:$E,"ПУ бат",'Таблиця 1'!$L:$L,"Уражено"))</f>
        <v/>
      </c>
      <c r="M340">
        <f>IF($A340="","",COUNTIFS('Таблиця 1'!$B:$B,$A340,'Таблиця 1'!$E:$E,"ПУ бриг",'Таблиця 1'!$L:$L,"Уражено"))</f>
        <v/>
      </c>
      <c r="N340">
        <f>IF($A340="","",COUNTIFS('Таблиця 1'!$B:$B,$A340,'Таблиця 1'!$E:$E,"ПУ див",'Таблиця 1'!$L:$L,"Уражено"))</f>
        <v/>
      </c>
      <c r="O340">
        <f>IF($A340="","",COUNTIFS('Таблиця 1'!$B:$B,$A340,'Таблиця 1'!$E:$E,"обл. РЕБ",'Таблиця 1'!$L:$L,"Уражено"))</f>
        <v/>
      </c>
      <c r="P340">
        <f>IF($A340="","",COUNTIFS('Таблиця 1'!$B:$B,$A340,'Таблиця 1'!$E:$E,"пос РЕБ",'Таблиця 1'!$L:$L,"Уражено"))</f>
        <v/>
      </c>
      <c r="Q340">
        <f>IF($A340="","",COUNTIFS('Таблиця 1'!$B:$B,$A340,'Таблиця 1'!$E:$E,"група РЕР",'Таблиця 1'!$L:$L,"Уражено"))</f>
        <v/>
      </c>
      <c r="R340">
        <f>IF($A340="","",COUNTIFS('Таблиця 1'!$B:$B,$A340,'Таблиця 1'!$E:$E,"РЛС КББ",'Таблиця 1'!$L:$L,"Уражено"))</f>
        <v/>
      </c>
      <c r="S340">
        <f>IF($A340="","",COUNTIFS('Таблиця 1'!$B:$B,$A340,'Таблиця 1'!$E:$E,"Ретранслятор",'Таблиця 1'!$L:$L,"Уражено"))</f>
        <v/>
      </c>
      <c r="T340">
        <f>IF($A340="","",COUNTIFS('Таблиця 1'!$B:$B,$A340,'Таблиця 1'!$E:$E,"Вз.зв'язку",'Таблиця 1'!$L:$L,"Уражено"))</f>
        <v/>
      </c>
      <c r="U340">
        <f>IF($A340="","",COUNTIFS('Таблиця 1'!$B:$B,$A340,'Таблиця 1'!$E:$E,"ПММ",'Таблиця 1'!$L:$L,"Уражено"))</f>
        <v/>
      </c>
      <c r="V340">
        <f>IF($A340="","",COUNTIFS('Таблиця 1'!$B:$B,$A340,'Таблиця 1'!$E:$E,"ІФС",'Таблиця 1'!$L:$L,"Уражено"))</f>
        <v/>
      </c>
      <c r="W340">
        <f>IF($A340="","",COUNTIFS('Таблиця 1'!$B:$B,$A340,'Таблиця 1'!$E:$E,"Інфраструктура",'Таблиця 1'!$L:$L,"Уражено"))</f>
        <v/>
      </c>
      <c r="X340">
        <f>IF($A340="","",SUMIFS('Таблиця 1'!$K:$K,'Таблиця 1'!$B:$B,$A340))</f>
        <v/>
      </c>
    </row>
    <row r="341">
      <c r="A341" s="81">
        <f>IF(A340="","",IF(A340+1&gt;MAX('Таблиця 1'!$B:$B),"",A340+1))</f>
        <v/>
      </c>
      <c r="B341">
        <f>IF($A341="","",COUNTIFS('Таблиця 1'!$B:$B,$A341,'Таблиця 1'!$E:$E,"ЖС ВЗ",'Таблиця 1'!$L:$L,"Уражено"))</f>
        <v/>
      </c>
      <c r="C341">
        <f>IF($A341="","",COUNTIFS('Таблиця 1'!$B:$B,$A341,'Таблиця 1'!$E:$E,"Арт. Системи",'Таблиця 1'!$L:$L,"Уражено"))</f>
        <v/>
      </c>
      <c r="D341">
        <f>IF($A341="","",COUNTIFS('Таблиця 1'!$B:$B,$A341,'Таблиця 1'!$E:$E,"ОВТ",'Таблиця 1'!$L:$L,"Уражено"))</f>
        <v/>
      </c>
      <c r="E341">
        <f>IF($A341="","",COUNTIFS('Таблиця 1'!$B:$B,$A341,'Таблиця 1'!$E:$E,"ППО",'Таблиця 1'!$L:$L,"Уражено"))</f>
        <v/>
      </c>
      <c r="F341">
        <f>IF($A341="","",COUNTIFS('Таблиця 1'!$B:$B,$A341,'Таблиця 1'!$E:$E,"Рембаза",'Таблиця 1'!$L:$L,"Уражено"))</f>
        <v/>
      </c>
      <c r="G341">
        <f>IF($A341="","",COUNTIFS('Таблиця 1'!$B:$B,$A341,'Таблиця 1'!$E:$E,"Склад БК",'Таблиця 1'!$L:$L,"Уражено"))</f>
        <v/>
      </c>
      <c r="H341">
        <f>IF($A341="","",COUNTIFS('Таблиця 1'!$B:$B,$A341,'Таблиця 1'!$E:$E,"Склад ВТМ",'Таблиця 1'!$L:$L,"Уражено"))</f>
        <v/>
      </c>
      <c r="I341">
        <f>IF($A341="","",COUNTIFS('Таблиця 1'!$B:$B,$A341,'Таблиця 1'!$E:$E,"ПУ БпЛА",'Таблиця 1'!$L:$L,"Уражено"))</f>
        <v/>
      </c>
      <c r="J341">
        <f>IF($A341="","",COUNTIFS('Таблиця 1'!$B:$B,$A341,'Таблиця 1'!$E:$E,"СП",'Таблиця 1'!$L:$L,"Уражено"))</f>
        <v/>
      </c>
      <c r="K341">
        <f>IF($A341="","",COUNTIFS('Таблиця 1'!$B:$B,$A341,'Таблиця 1'!$E:$E,"КСП роти",'Таблиця 1'!$L:$L,"Уражено"))</f>
        <v/>
      </c>
      <c r="L341">
        <f>IF($A341="","",COUNTIFS('Таблиця 1'!$B:$B,$A341,'Таблиця 1'!$E:$E,"ПУ бат",'Таблиця 1'!$L:$L,"Уражено"))</f>
        <v/>
      </c>
      <c r="M341">
        <f>IF($A341="","",COUNTIFS('Таблиця 1'!$B:$B,$A341,'Таблиця 1'!$E:$E,"ПУ бриг",'Таблиця 1'!$L:$L,"Уражено"))</f>
        <v/>
      </c>
      <c r="N341">
        <f>IF($A341="","",COUNTIFS('Таблиця 1'!$B:$B,$A341,'Таблиця 1'!$E:$E,"ПУ див",'Таблиця 1'!$L:$L,"Уражено"))</f>
        <v/>
      </c>
      <c r="O341">
        <f>IF($A341="","",COUNTIFS('Таблиця 1'!$B:$B,$A341,'Таблиця 1'!$E:$E,"обл. РЕБ",'Таблиця 1'!$L:$L,"Уражено"))</f>
        <v/>
      </c>
      <c r="P341">
        <f>IF($A341="","",COUNTIFS('Таблиця 1'!$B:$B,$A341,'Таблиця 1'!$E:$E,"пос РЕБ",'Таблиця 1'!$L:$L,"Уражено"))</f>
        <v/>
      </c>
      <c r="Q341">
        <f>IF($A341="","",COUNTIFS('Таблиця 1'!$B:$B,$A341,'Таблиця 1'!$E:$E,"група РЕР",'Таблиця 1'!$L:$L,"Уражено"))</f>
        <v/>
      </c>
      <c r="R341">
        <f>IF($A341="","",COUNTIFS('Таблиця 1'!$B:$B,$A341,'Таблиця 1'!$E:$E,"РЛС КББ",'Таблиця 1'!$L:$L,"Уражено"))</f>
        <v/>
      </c>
      <c r="S341">
        <f>IF($A341="","",COUNTIFS('Таблиця 1'!$B:$B,$A341,'Таблиця 1'!$E:$E,"Ретранслятор",'Таблиця 1'!$L:$L,"Уражено"))</f>
        <v/>
      </c>
      <c r="T341">
        <f>IF($A341="","",COUNTIFS('Таблиця 1'!$B:$B,$A341,'Таблиця 1'!$E:$E,"Вз.зв'язку",'Таблиця 1'!$L:$L,"Уражено"))</f>
        <v/>
      </c>
      <c r="U341">
        <f>IF($A341="","",COUNTIFS('Таблиця 1'!$B:$B,$A341,'Таблиця 1'!$E:$E,"ПММ",'Таблиця 1'!$L:$L,"Уражено"))</f>
        <v/>
      </c>
      <c r="V341">
        <f>IF($A341="","",COUNTIFS('Таблиця 1'!$B:$B,$A341,'Таблиця 1'!$E:$E,"ІФС",'Таблиця 1'!$L:$L,"Уражено"))</f>
        <v/>
      </c>
      <c r="W341">
        <f>IF($A341="","",COUNTIFS('Таблиця 1'!$B:$B,$A341,'Таблиця 1'!$E:$E,"Інфраструктура",'Таблиця 1'!$L:$L,"Уражено"))</f>
        <v/>
      </c>
      <c r="X341">
        <f>IF($A341="","",SUMIFS('Таблиця 1'!$K:$K,'Таблиця 1'!$B:$B,$A341))</f>
        <v/>
      </c>
    </row>
    <row r="342">
      <c r="A342" s="81">
        <f>IF(A341="","",IF(A341+1&gt;MAX('Таблиця 1'!$B:$B),"",A341+1))</f>
        <v/>
      </c>
      <c r="B342">
        <f>IF($A342="","",COUNTIFS('Таблиця 1'!$B:$B,$A342,'Таблиця 1'!$E:$E,"ЖС ВЗ",'Таблиця 1'!$L:$L,"Уражено"))</f>
        <v/>
      </c>
      <c r="C342">
        <f>IF($A342="","",COUNTIFS('Таблиця 1'!$B:$B,$A342,'Таблиця 1'!$E:$E,"Арт. Системи",'Таблиця 1'!$L:$L,"Уражено"))</f>
        <v/>
      </c>
      <c r="D342">
        <f>IF($A342="","",COUNTIFS('Таблиця 1'!$B:$B,$A342,'Таблиця 1'!$E:$E,"ОВТ",'Таблиця 1'!$L:$L,"Уражено"))</f>
        <v/>
      </c>
      <c r="E342">
        <f>IF($A342="","",COUNTIFS('Таблиця 1'!$B:$B,$A342,'Таблиця 1'!$E:$E,"ППО",'Таблиця 1'!$L:$L,"Уражено"))</f>
        <v/>
      </c>
      <c r="F342">
        <f>IF($A342="","",COUNTIFS('Таблиця 1'!$B:$B,$A342,'Таблиця 1'!$E:$E,"Рембаза",'Таблиця 1'!$L:$L,"Уражено"))</f>
        <v/>
      </c>
      <c r="G342">
        <f>IF($A342="","",COUNTIFS('Таблиця 1'!$B:$B,$A342,'Таблиця 1'!$E:$E,"Склад БК",'Таблиця 1'!$L:$L,"Уражено"))</f>
        <v/>
      </c>
      <c r="H342">
        <f>IF($A342="","",COUNTIFS('Таблиця 1'!$B:$B,$A342,'Таблиця 1'!$E:$E,"Склад ВТМ",'Таблиця 1'!$L:$L,"Уражено"))</f>
        <v/>
      </c>
      <c r="I342">
        <f>IF($A342="","",COUNTIFS('Таблиця 1'!$B:$B,$A342,'Таблиця 1'!$E:$E,"ПУ БпЛА",'Таблиця 1'!$L:$L,"Уражено"))</f>
        <v/>
      </c>
      <c r="J342">
        <f>IF($A342="","",COUNTIFS('Таблиця 1'!$B:$B,$A342,'Таблиця 1'!$E:$E,"СП",'Таблиця 1'!$L:$L,"Уражено"))</f>
        <v/>
      </c>
      <c r="K342">
        <f>IF($A342="","",COUNTIFS('Таблиця 1'!$B:$B,$A342,'Таблиця 1'!$E:$E,"КСП роти",'Таблиця 1'!$L:$L,"Уражено"))</f>
        <v/>
      </c>
      <c r="L342">
        <f>IF($A342="","",COUNTIFS('Таблиця 1'!$B:$B,$A342,'Таблиця 1'!$E:$E,"ПУ бат",'Таблиця 1'!$L:$L,"Уражено"))</f>
        <v/>
      </c>
      <c r="M342">
        <f>IF($A342="","",COUNTIFS('Таблиця 1'!$B:$B,$A342,'Таблиця 1'!$E:$E,"ПУ бриг",'Таблиця 1'!$L:$L,"Уражено"))</f>
        <v/>
      </c>
      <c r="N342">
        <f>IF($A342="","",COUNTIFS('Таблиця 1'!$B:$B,$A342,'Таблиця 1'!$E:$E,"ПУ див",'Таблиця 1'!$L:$L,"Уражено"))</f>
        <v/>
      </c>
      <c r="O342">
        <f>IF($A342="","",COUNTIFS('Таблиця 1'!$B:$B,$A342,'Таблиця 1'!$E:$E,"обл. РЕБ",'Таблиця 1'!$L:$L,"Уражено"))</f>
        <v/>
      </c>
      <c r="P342">
        <f>IF($A342="","",COUNTIFS('Таблиця 1'!$B:$B,$A342,'Таблиця 1'!$E:$E,"пос РЕБ",'Таблиця 1'!$L:$L,"Уражено"))</f>
        <v/>
      </c>
      <c r="Q342">
        <f>IF($A342="","",COUNTIFS('Таблиця 1'!$B:$B,$A342,'Таблиця 1'!$E:$E,"група РЕР",'Таблиця 1'!$L:$L,"Уражено"))</f>
        <v/>
      </c>
      <c r="R342">
        <f>IF($A342="","",COUNTIFS('Таблиця 1'!$B:$B,$A342,'Таблиця 1'!$E:$E,"РЛС КББ",'Таблиця 1'!$L:$L,"Уражено"))</f>
        <v/>
      </c>
      <c r="S342">
        <f>IF($A342="","",COUNTIFS('Таблиця 1'!$B:$B,$A342,'Таблиця 1'!$E:$E,"Ретранслятор",'Таблиця 1'!$L:$L,"Уражено"))</f>
        <v/>
      </c>
      <c r="T342">
        <f>IF($A342="","",COUNTIFS('Таблиця 1'!$B:$B,$A342,'Таблиця 1'!$E:$E,"Вз.зв'язку",'Таблиця 1'!$L:$L,"Уражено"))</f>
        <v/>
      </c>
      <c r="U342">
        <f>IF($A342="","",COUNTIFS('Таблиця 1'!$B:$B,$A342,'Таблиця 1'!$E:$E,"ПММ",'Таблиця 1'!$L:$L,"Уражено"))</f>
        <v/>
      </c>
      <c r="V342">
        <f>IF($A342="","",COUNTIFS('Таблиця 1'!$B:$B,$A342,'Таблиця 1'!$E:$E,"ІФС",'Таблиця 1'!$L:$L,"Уражено"))</f>
        <v/>
      </c>
      <c r="W342">
        <f>IF($A342="","",COUNTIFS('Таблиця 1'!$B:$B,$A342,'Таблиця 1'!$E:$E,"Інфраструктура",'Таблиця 1'!$L:$L,"Уражено"))</f>
        <v/>
      </c>
      <c r="X342">
        <f>IF($A342="","",SUMIFS('Таблиця 1'!$K:$K,'Таблиця 1'!$B:$B,$A342))</f>
        <v/>
      </c>
    </row>
    <row r="343">
      <c r="A343" s="81">
        <f>IF(A342="","",IF(A342+1&gt;MAX('Таблиця 1'!$B:$B),"",A342+1))</f>
        <v/>
      </c>
      <c r="B343">
        <f>IF($A343="","",COUNTIFS('Таблиця 1'!$B:$B,$A343,'Таблиця 1'!$E:$E,"ЖС ВЗ",'Таблиця 1'!$L:$L,"Уражено"))</f>
        <v/>
      </c>
      <c r="C343">
        <f>IF($A343="","",COUNTIFS('Таблиця 1'!$B:$B,$A343,'Таблиця 1'!$E:$E,"Арт. Системи",'Таблиця 1'!$L:$L,"Уражено"))</f>
        <v/>
      </c>
      <c r="D343">
        <f>IF($A343="","",COUNTIFS('Таблиця 1'!$B:$B,$A343,'Таблиця 1'!$E:$E,"ОВТ",'Таблиця 1'!$L:$L,"Уражено"))</f>
        <v/>
      </c>
      <c r="E343">
        <f>IF($A343="","",COUNTIFS('Таблиця 1'!$B:$B,$A343,'Таблиця 1'!$E:$E,"ППО",'Таблиця 1'!$L:$L,"Уражено"))</f>
        <v/>
      </c>
      <c r="F343">
        <f>IF($A343="","",COUNTIFS('Таблиця 1'!$B:$B,$A343,'Таблиця 1'!$E:$E,"Рембаза",'Таблиця 1'!$L:$L,"Уражено"))</f>
        <v/>
      </c>
      <c r="G343">
        <f>IF($A343="","",COUNTIFS('Таблиця 1'!$B:$B,$A343,'Таблиця 1'!$E:$E,"Склад БК",'Таблиця 1'!$L:$L,"Уражено"))</f>
        <v/>
      </c>
      <c r="H343">
        <f>IF($A343="","",COUNTIFS('Таблиця 1'!$B:$B,$A343,'Таблиця 1'!$E:$E,"Склад ВТМ",'Таблиця 1'!$L:$L,"Уражено"))</f>
        <v/>
      </c>
      <c r="I343">
        <f>IF($A343="","",COUNTIFS('Таблиця 1'!$B:$B,$A343,'Таблиця 1'!$E:$E,"ПУ БпЛА",'Таблиця 1'!$L:$L,"Уражено"))</f>
        <v/>
      </c>
      <c r="J343">
        <f>IF($A343="","",COUNTIFS('Таблиця 1'!$B:$B,$A343,'Таблиця 1'!$E:$E,"СП",'Таблиця 1'!$L:$L,"Уражено"))</f>
        <v/>
      </c>
      <c r="K343">
        <f>IF($A343="","",COUNTIFS('Таблиця 1'!$B:$B,$A343,'Таблиця 1'!$E:$E,"КСП роти",'Таблиця 1'!$L:$L,"Уражено"))</f>
        <v/>
      </c>
      <c r="L343">
        <f>IF($A343="","",COUNTIFS('Таблиця 1'!$B:$B,$A343,'Таблиця 1'!$E:$E,"ПУ бат",'Таблиця 1'!$L:$L,"Уражено"))</f>
        <v/>
      </c>
      <c r="M343">
        <f>IF($A343="","",COUNTIFS('Таблиця 1'!$B:$B,$A343,'Таблиця 1'!$E:$E,"ПУ бриг",'Таблиця 1'!$L:$L,"Уражено"))</f>
        <v/>
      </c>
      <c r="N343">
        <f>IF($A343="","",COUNTIFS('Таблиця 1'!$B:$B,$A343,'Таблиця 1'!$E:$E,"ПУ див",'Таблиця 1'!$L:$L,"Уражено"))</f>
        <v/>
      </c>
      <c r="O343">
        <f>IF($A343="","",COUNTIFS('Таблиця 1'!$B:$B,$A343,'Таблиця 1'!$E:$E,"обл. РЕБ",'Таблиця 1'!$L:$L,"Уражено"))</f>
        <v/>
      </c>
      <c r="P343">
        <f>IF($A343="","",COUNTIFS('Таблиця 1'!$B:$B,$A343,'Таблиця 1'!$E:$E,"пос РЕБ",'Таблиця 1'!$L:$L,"Уражено"))</f>
        <v/>
      </c>
      <c r="Q343">
        <f>IF($A343="","",COUNTIFS('Таблиця 1'!$B:$B,$A343,'Таблиця 1'!$E:$E,"група РЕР",'Таблиця 1'!$L:$L,"Уражено"))</f>
        <v/>
      </c>
      <c r="R343">
        <f>IF($A343="","",COUNTIFS('Таблиця 1'!$B:$B,$A343,'Таблиця 1'!$E:$E,"РЛС КББ",'Таблиця 1'!$L:$L,"Уражено"))</f>
        <v/>
      </c>
      <c r="S343">
        <f>IF($A343="","",COUNTIFS('Таблиця 1'!$B:$B,$A343,'Таблиця 1'!$E:$E,"Ретранслятор",'Таблиця 1'!$L:$L,"Уражено"))</f>
        <v/>
      </c>
      <c r="T343">
        <f>IF($A343="","",COUNTIFS('Таблиця 1'!$B:$B,$A343,'Таблиця 1'!$E:$E,"Вз.зв'язку",'Таблиця 1'!$L:$L,"Уражено"))</f>
        <v/>
      </c>
      <c r="U343">
        <f>IF($A343="","",COUNTIFS('Таблиця 1'!$B:$B,$A343,'Таблиця 1'!$E:$E,"ПММ",'Таблиця 1'!$L:$L,"Уражено"))</f>
        <v/>
      </c>
      <c r="V343">
        <f>IF($A343="","",COUNTIFS('Таблиця 1'!$B:$B,$A343,'Таблиця 1'!$E:$E,"ІФС",'Таблиця 1'!$L:$L,"Уражено"))</f>
        <v/>
      </c>
      <c r="W343">
        <f>IF($A343="","",COUNTIFS('Таблиця 1'!$B:$B,$A343,'Таблиця 1'!$E:$E,"Інфраструктура",'Таблиця 1'!$L:$L,"Уражено"))</f>
        <v/>
      </c>
      <c r="X343">
        <f>IF($A343="","",SUMIFS('Таблиця 1'!$K:$K,'Таблиця 1'!$B:$B,$A343))</f>
        <v/>
      </c>
    </row>
    <row r="344">
      <c r="A344" s="81">
        <f>IF(A343="","",IF(A343+1&gt;MAX('Таблиця 1'!$B:$B),"",A343+1))</f>
        <v/>
      </c>
      <c r="B344">
        <f>IF($A344="","",COUNTIFS('Таблиця 1'!$B:$B,$A344,'Таблиця 1'!$E:$E,"ЖС ВЗ",'Таблиця 1'!$L:$L,"Уражено"))</f>
        <v/>
      </c>
      <c r="C344">
        <f>IF($A344="","",COUNTIFS('Таблиця 1'!$B:$B,$A344,'Таблиця 1'!$E:$E,"Арт. Системи",'Таблиця 1'!$L:$L,"Уражено"))</f>
        <v/>
      </c>
      <c r="D344">
        <f>IF($A344="","",COUNTIFS('Таблиця 1'!$B:$B,$A344,'Таблиця 1'!$E:$E,"ОВТ",'Таблиця 1'!$L:$L,"Уражено"))</f>
        <v/>
      </c>
      <c r="E344">
        <f>IF($A344="","",COUNTIFS('Таблиця 1'!$B:$B,$A344,'Таблиця 1'!$E:$E,"ППО",'Таблиця 1'!$L:$L,"Уражено"))</f>
        <v/>
      </c>
      <c r="F344">
        <f>IF($A344="","",COUNTIFS('Таблиця 1'!$B:$B,$A344,'Таблиця 1'!$E:$E,"Рембаза",'Таблиця 1'!$L:$L,"Уражено"))</f>
        <v/>
      </c>
      <c r="G344">
        <f>IF($A344="","",COUNTIFS('Таблиця 1'!$B:$B,$A344,'Таблиця 1'!$E:$E,"Склад БК",'Таблиця 1'!$L:$L,"Уражено"))</f>
        <v/>
      </c>
      <c r="H344">
        <f>IF($A344="","",COUNTIFS('Таблиця 1'!$B:$B,$A344,'Таблиця 1'!$E:$E,"Склад ВТМ",'Таблиця 1'!$L:$L,"Уражено"))</f>
        <v/>
      </c>
      <c r="I344">
        <f>IF($A344="","",COUNTIFS('Таблиця 1'!$B:$B,$A344,'Таблиця 1'!$E:$E,"ПУ БпЛА",'Таблиця 1'!$L:$L,"Уражено"))</f>
        <v/>
      </c>
      <c r="J344">
        <f>IF($A344="","",COUNTIFS('Таблиця 1'!$B:$B,$A344,'Таблиця 1'!$E:$E,"СП",'Таблиця 1'!$L:$L,"Уражено"))</f>
        <v/>
      </c>
      <c r="K344">
        <f>IF($A344="","",COUNTIFS('Таблиця 1'!$B:$B,$A344,'Таблиця 1'!$E:$E,"КСП роти",'Таблиця 1'!$L:$L,"Уражено"))</f>
        <v/>
      </c>
      <c r="L344">
        <f>IF($A344="","",COUNTIFS('Таблиця 1'!$B:$B,$A344,'Таблиця 1'!$E:$E,"ПУ бат",'Таблиця 1'!$L:$L,"Уражено"))</f>
        <v/>
      </c>
      <c r="M344">
        <f>IF($A344="","",COUNTIFS('Таблиця 1'!$B:$B,$A344,'Таблиця 1'!$E:$E,"ПУ бриг",'Таблиця 1'!$L:$L,"Уражено"))</f>
        <v/>
      </c>
      <c r="N344">
        <f>IF($A344="","",COUNTIFS('Таблиця 1'!$B:$B,$A344,'Таблиця 1'!$E:$E,"ПУ див",'Таблиця 1'!$L:$L,"Уражено"))</f>
        <v/>
      </c>
      <c r="O344">
        <f>IF($A344="","",COUNTIFS('Таблиця 1'!$B:$B,$A344,'Таблиця 1'!$E:$E,"обл. РЕБ",'Таблиця 1'!$L:$L,"Уражено"))</f>
        <v/>
      </c>
      <c r="P344">
        <f>IF($A344="","",COUNTIFS('Таблиця 1'!$B:$B,$A344,'Таблиця 1'!$E:$E,"пос РЕБ",'Таблиця 1'!$L:$L,"Уражено"))</f>
        <v/>
      </c>
      <c r="Q344">
        <f>IF($A344="","",COUNTIFS('Таблиця 1'!$B:$B,$A344,'Таблиця 1'!$E:$E,"група РЕР",'Таблиця 1'!$L:$L,"Уражено"))</f>
        <v/>
      </c>
      <c r="R344">
        <f>IF($A344="","",COUNTIFS('Таблиця 1'!$B:$B,$A344,'Таблиця 1'!$E:$E,"РЛС КББ",'Таблиця 1'!$L:$L,"Уражено"))</f>
        <v/>
      </c>
      <c r="S344">
        <f>IF($A344="","",COUNTIFS('Таблиця 1'!$B:$B,$A344,'Таблиця 1'!$E:$E,"Ретранслятор",'Таблиця 1'!$L:$L,"Уражено"))</f>
        <v/>
      </c>
      <c r="T344">
        <f>IF($A344="","",COUNTIFS('Таблиця 1'!$B:$B,$A344,'Таблиця 1'!$E:$E,"Вз.зв'язку",'Таблиця 1'!$L:$L,"Уражено"))</f>
        <v/>
      </c>
      <c r="U344">
        <f>IF($A344="","",COUNTIFS('Таблиця 1'!$B:$B,$A344,'Таблиця 1'!$E:$E,"ПММ",'Таблиця 1'!$L:$L,"Уражено"))</f>
        <v/>
      </c>
      <c r="V344">
        <f>IF($A344="","",COUNTIFS('Таблиця 1'!$B:$B,$A344,'Таблиця 1'!$E:$E,"ІФС",'Таблиця 1'!$L:$L,"Уражено"))</f>
        <v/>
      </c>
      <c r="W344">
        <f>IF($A344="","",COUNTIFS('Таблиця 1'!$B:$B,$A344,'Таблиця 1'!$E:$E,"Інфраструктура",'Таблиця 1'!$L:$L,"Уражено"))</f>
        <v/>
      </c>
      <c r="X344">
        <f>IF($A344="","",SUMIFS('Таблиця 1'!$K:$K,'Таблиця 1'!$B:$B,$A344))</f>
        <v/>
      </c>
    </row>
    <row r="345">
      <c r="A345" s="81">
        <f>IF(A344="","",IF(A344+1&gt;MAX('Таблиця 1'!$B:$B),"",A344+1))</f>
        <v/>
      </c>
      <c r="B345">
        <f>IF($A345="","",COUNTIFS('Таблиця 1'!$B:$B,$A345,'Таблиця 1'!$E:$E,"ЖС ВЗ",'Таблиця 1'!$L:$L,"Уражено"))</f>
        <v/>
      </c>
      <c r="C345">
        <f>IF($A345="","",COUNTIFS('Таблиця 1'!$B:$B,$A345,'Таблиця 1'!$E:$E,"Арт. Системи",'Таблиця 1'!$L:$L,"Уражено"))</f>
        <v/>
      </c>
      <c r="D345">
        <f>IF($A345="","",COUNTIFS('Таблиця 1'!$B:$B,$A345,'Таблиця 1'!$E:$E,"ОВТ",'Таблиця 1'!$L:$L,"Уражено"))</f>
        <v/>
      </c>
      <c r="E345">
        <f>IF($A345="","",COUNTIFS('Таблиця 1'!$B:$B,$A345,'Таблиця 1'!$E:$E,"ППО",'Таблиця 1'!$L:$L,"Уражено"))</f>
        <v/>
      </c>
      <c r="F345">
        <f>IF($A345="","",COUNTIFS('Таблиця 1'!$B:$B,$A345,'Таблиця 1'!$E:$E,"Рембаза",'Таблиця 1'!$L:$L,"Уражено"))</f>
        <v/>
      </c>
      <c r="G345">
        <f>IF($A345="","",COUNTIFS('Таблиця 1'!$B:$B,$A345,'Таблиця 1'!$E:$E,"Склад БК",'Таблиця 1'!$L:$L,"Уражено"))</f>
        <v/>
      </c>
      <c r="H345">
        <f>IF($A345="","",COUNTIFS('Таблиця 1'!$B:$B,$A345,'Таблиця 1'!$E:$E,"Склад ВТМ",'Таблиця 1'!$L:$L,"Уражено"))</f>
        <v/>
      </c>
      <c r="I345">
        <f>IF($A345="","",COUNTIFS('Таблиця 1'!$B:$B,$A345,'Таблиця 1'!$E:$E,"ПУ БпЛА",'Таблиця 1'!$L:$L,"Уражено"))</f>
        <v/>
      </c>
      <c r="J345">
        <f>IF($A345="","",COUNTIFS('Таблиця 1'!$B:$B,$A345,'Таблиця 1'!$E:$E,"СП",'Таблиця 1'!$L:$L,"Уражено"))</f>
        <v/>
      </c>
      <c r="K345">
        <f>IF($A345="","",COUNTIFS('Таблиця 1'!$B:$B,$A345,'Таблиця 1'!$E:$E,"КСП роти",'Таблиця 1'!$L:$L,"Уражено"))</f>
        <v/>
      </c>
      <c r="L345">
        <f>IF($A345="","",COUNTIFS('Таблиця 1'!$B:$B,$A345,'Таблиця 1'!$E:$E,"ПУ бат",'Таблиця 1'!$L:$L,"Уражено"))</f>
        <v/>
      </c>
      <c r="M345">
        <f>IF($A345="","",COUNTIFS('Таблиця 1'!$B:$B,$A345,'Таблиця 1'!$E:$E,"ПУ бриг",'Таблиця 1'!$L:$L,"Уражено"))</f>
        <v/>
      </c>
      <c r="N345">
        <f>IF($A345="","",COUNTIFS('Таблиця 1'!$B:$B,$A345,'Таблиця 1'!$E:$E,"ПУ див",'Таблиця 1'!$L:$L,"Уражено"))</f>
        <v/>
      </c>
      <c r="O345">
        <f>IF($A345="","",COUNTIFS('Таблиця 1'!$B:$B,$A345,'Таблиця 1'!$E:$E,"обл. РЕБ",'Таблиця 1'!$L:$L,"Уражено"))</f>
        <v/>
      </c>
      <c r="P345">
        <f>IF($A345="","",COUNTIFS('Таблиця 1'!$B:$B,$A345,'Таблиця 1'!$E:$E,"пос РЕБ",'Таблиця 1'!$L:$L,"Уражено"))</f>
        <v/>
      </c>
      <c r="Q345">
        <f>IF($A345="","",COUNTIFS('Таблиця 1'!$B:$B,$A345,'Таблиця 1'!$E:$E,"група РЕР",'Таблиця 1'!$L:$L,"Уражено"))</f>
        <v/>
      </c>
      <c r="R345">
        <f>IF($A345="","",COUNTIFS('Таблиця 1'!$B:$B,$A345,'Таблиця 1'!$E:$E,"РЛС КББ",'Таблиця 1'!$L:$L,"Уражено"))</f>
        <v/>
      </c>
      <c r="S345">
        <f>IF($A345="","",COUNTIFS('Таблиця 1'!$B:$B,$A345,'Таблиця 1'!$E:$E,"Ретранслятор",'Таблиця 1'!$L:$L,"Уражено"))</f>
        <v/>
      </c>
      <c r="T345">
        <f>IF($A345="","",COUNTIFS('Таблиця 1'!$B:$B,$A345,'Таблиця 1'!$E:$E,"Вз.зв'язку",'Таблиця 1'!$L:$L,"Уражено"))</f>
        <v/>
      </c>
      <c r="U345">
        <f>IF($A345="","",COUNTIFS('Таблиця 1'!$B:$B,$A345,'Таблиця 1'!$E:$E,"ПММ",'Таблиця 1'!$L:$L,"Уражено"))</f>
        <v/>
      </c>
      <c r="V345">
        <f>IF($A345="","",COUNTIFS('Таблиця 1'!$B:$B,$A345,'Таблиця 1'!$E:$E,"ІФС",'Таблиця 1'!$L:$L,"Уражено"))</f>
        <v/>
      </c>
      <c r="W345">
        <f>IF($A345="","",COUNTIFS('Таблиця 1'!$B:$B,$A345,'Таблиця 1'!$E:$E,"Інфраструктура",'Таблиця 1'!$L:$L,"Уражено"))</f>
        <v/>
      </c>
      <c r="X345">
        <f>IF($A345="","",SUMIFS('Таблиця 1'!$K:$K,'Таблиця 1'!$B:$B,$A345))</f>
        <v/>
      </c>
    </row>
    <row r="346">
      <c r="A346" s="81">
        <f>IF(A345="","",IF(A345+1&gt;MAX('Таблиця 1'!$B:$B),"",A345+1))</f>
        <v/>
      </c>
      <c r="B346">
        <f>IF($A346="","",COUNTIFS('Таблиця 1'!$B:$B,$A346,'Таблиця 1'!$E:$E,"ЖС ВЗ",'Таблиця 1'!$L:$L,"Уражено"))</f>
        <v/>
      </c>
      <c r="C346">
        <f>IF($A346="","",COUNTIFS('Таблиця 1'!$B:$B,$A346,'Таблиця 1'!$E:$E,"Арт. Системи",'Таблиця 1'!$L:$L,"Уражено"))</f>
        <v/>
      </c>
      <c r="D346">
        <f>IF($A346="","",COUNTIFS('Таблиця 1'!$B:$B,$A346,'Таблиця 1'!$E:$E,"ОВТ",'Таблиця 1'!$L:$L,"Уражено"))</f>
        <v/>
      </c>
      <c r="E346">
        <f>IF($A346="","",COUNTIFS('Таблиця 1'!$B:$B,$A346,'Таблиця 1'!$E:$E,"ППО",'Таблиця 1'!$L:$L,"Уражено"))</f>
        <v/>
      </c>
      <c r="F346">
        <f>IF($A346="","",COUNTIFS('Таблиця 1'!$B:$B,$A346,'Таблиця 1'!$E:$E,"Рембаза",'Таблиця 1'!$L:$L,"Уражено"))</f>
        <v/>
      </c>
      <c r="G346">
        <f>IF($A346="","",COUNTIFS('Таблиця 1'!$B:$B,$A346,'Таблиця 1'!$E:$E,"Склад БК",'Таблиця 1'!$L:$L,"Уражено"))</f>
        <v/>
      </c>
      <c r="H346">
        <f>IF($A346="","",COUNTIFS('Таблиця 1'!$B:$B,$A346,'Таблиця 1'!$E:$E,"Склад ВТМ",'Таблиця 1'!$L:$L,"Уражено"))</f>
        <v/>
      </c>
      <c r="I346">
        <f>IF($A346="","",COUNTIFS('Таблиця 1'!$B:$B,$A346,'Таблиця 1'!$E:$E,"ПУ БпЛА",'Таблиця 1'!$L:$L,"Уражено"))</f>
        <v/>
      </c>
      <c r="J346">
        <f>IF($A346="","",COUNTIFS('Таблиця 1'!$B:$B,$A346,'Таблиця 1'!$E:$E,"СП",'Таблиця 1'!$L:$L,"Уражено"))</f>
        <v/>
      </c>
      <c r="K346">
        <f>IF($A346="","",COUNTIFS('Таблиця 1'!$B:$B,$A346,'Таблиця 1'!$E:$E,"КСП роти",'Таблиця 1'!$L:$L,"Уражено"))</f>
        <v/>
      </c>
      <c r="L346">
        <f>IF($A346="","",COUNTIFS('Таблиця 1'!$B:$B,$A346,'Таблиця 1'!$E:$E,"ПУ бат",'Таблиця 1'!$L:$L,"Уражено"))</f>
        <v/>
      </c>
      <c r="M346">
        <f>IF($A346="","",COUNTIFS('Таблиця 1'!$B:$B,$A346,'Таблиця 1'!$E:$E,"ПУ бриг",'Таблиця 1'!$L:$L,"Уражено"))</f>
        <v/>
      </c>
      <c r="N346">
        <f>IF($A346="","",COUNTIFS('Таблиця 1'!$B:$B,$A346,'Таблиця 1'!$E:$E,"ПУ див",'Таблиця 1'!$L:$L,"Уражено"))</f>
        <v/>
      </c>
      <c r="O346">
        <f>IF($A346="","",COUNTIFS('Таблиця 1'!$B:$B,$A346,'Таблиця 1'!$E:$E,"обл. РЕБ",'Таблиця 1'!$L:$L,"Уражено"))</f>
        <v/>
      </c>
      <c r="P346">
        <f>IF($A346="","",COUNTIFS('Таблиця 1'!$B:$B,$A346,'Таблиця 1'!$E:$E,"пос РЕБ",'Таблиця 1'!$L:$L,"Уражено"))</f>
        <v/>
      </c>
      <c r="Q346">
        <f>IF($A346="","",COUNTIFS('Таблиця 1'!$B:$B,$A346,'Таблиця 1'!$E:$E,"група РЕР",'Таблиця 1'!$L:$L,"Уражено"))</f>
        <v/>
      </c>
      <c r="R346">
        <f>IF($A346="","",COUNTIFS('Таблиця 1'!$B:$B,$A346,'Таблиця 1'!$E:$E,"РЛС КББ",'Таблиця 1'!$L:$L,"Уражено"))</f>
        <v/>
      </c>
      <c r="S346">
        <f>IF($A346="","",COUNTIFS('Таблиця 1'!$B:$B,$A346,'Таблиця 1'!$E:$E,"Ретранслятор",'Таблиця 1'!$L:$L,"Уражено"))</f>
        <v/>
      </c>
      <c r="T346">
        <f>IF($A346="","",COUNTIFS('Таблиця 1'!$B:$B,$A346,'Таблиця 1'!$E:$E,"Вз.зв'язку",'Таблиця 1'!$L:$L,"Уражено"))</f>
        <v/>
      </c>
      <c r="U346">
        <f>IF($A346="","",COUNTIFS('Таблиця 1'!$B:$B,$A346,'Таблиця 1'!$E:$E,"ПММ",'Таблиця 1'!$L:$L,"Уражено"))</f>
        <v/>
      </c>
      <c r="V346">
        <f>IF($A346="","",COUNTIFS('Таблиця 1'!$B:$B,$A346,'Таблиця 1'!$E:$E,"ІФС",'Таблиця 1'!$L:$L,"Уражено"))</f>
        <v/>
      </c>
      <c r="W346">
        <f>IF($A346="","",COUNTIFS('Таблиця 1'!$B:$B,$A346,'Таблиця 1'!$E:$E,"Інфраструктура",'Таблиця 1'!$L:$L,"Уражено"))</f>
        <v/>
      </c>
      <c r="X346">
        <f>IF($A346="","",SUMIFS('Таблиця 1'!$K:$K,'Таблиця 1'!$B:$B,$A346))</f>
        <v/>
      </c>
    </row>
    <row r="347">
      <c r="A347" s="81">
        <f>IF(A346="","",IF(A346+1&gt;MAX('Таблиця 1'!$B:$B),"",A346+1))</f>
        <v/>
      </c>
      <c r="B347">
        <f>IF($A347="","",COUNTIFS('Таблиця 1'!$B:$B,$A347,'Таблиця 1'!$E:$E,"ЖС ВЗ",'Таблиця 1'!$L:$L,"Уражено"))</f>
        <v/>
      </c>
      <c r="C347">
        <f>IF($A347="","",COUNTIFS('Таблиця 1'!$B:$B,$A347,'Таблиця 1'!$E:$E,"Арт. Системи",'Таблиця 1'!$L:$L,"Уражено"))</f>
        <v/>
      </c>
      <c r="D347">
        <f>IF($A347="","",COUNTIFS('Таблиця 1'!$B:$B,$A347,'Таблиця 1'!$E:$E,"ОВТ",'Таблиця 1'!$L:$L,"Уражено"))</f>
        <v/>
      </c>
      <c r="E347">
        <f>IF($A347="","",COUNTIFS('Таблиця 1'!$B:$B,$A347,'Таблиця 1'!$E:$E,"ППО",'Таблиця 1'!$L:$L,"Уражено"))</f>
        <v/>
      </c>
      <c r="F347">
        <f>IF($A347="","",COUNTIFS('Таблиця 1'!$B:$B,$A347,'Таблиця 1'!$E:$E,"Рембаза",'Таблиця 1'!$L:$L,"Уражено"))</f>
        <v/>
      </c>
      <c r="G347">
        <f>IF($A347="","",COUNTIFS('Таблиця 1'!$B:$B,$A347,'Таблиця 1'!$E:$E,"Склад БК",'Таблиця 1'!$L:$L,"Уражено"))</f>
        <v/>
      </c>
      <c r="H347">
        <f>IF($A347="","",COUNTIFS('Таблиця 1'!$B:$B,$A347,'Таблиця 1'!$E:$E,"Склад ВТМ",'Таблиця 1'!$L:$L,"Уражено"))</f>
        <v/>
      </c>
      <c r="I347">
        <f>IF($A347="","",COUNTIFS('Таблиця 1'!$B:$B,$A347,'Таблиця 1'!$E:$E,"ПУ БпЛА",'Таблиця 1'!$L:$L,"Уражено"))</f>
        <v/>
      </c>
      <c r="J347">
        <f>IF($A347="","",COUNTIFS('Таблиця 1'!$B:$B,$A347,'Таблиця 1'!$E:$E,"СП",'Таблиця 1'!$L:$L,"Уражено"))</f>
        <v/>
      </c>
      <c r="K347">
        <f>IF($A347="","",COUNTIFS('Таблиця 1'!$B:$B,$A347,'Таблиця 1'!$E:$E,"КСП роти",'Таблиця 1'!$L:$L,"Уражено"))</f>
        <v/>
      </c>
      <c r="L347">
        <f>IF($A347="","",COUNTIFS('Таблиця 1'!$B:$B,$A347,'Таблиця 1'!$E:$E,"ПУ бат",'Таблиця 1'!$L:$L,"Уражено"))</f>
        <v/>
      </c>
      <c r="M347">
        <f>IF($A347="","",COUNTIFS('Таблиця 1'!$B:$B,$A347,'Таблиця 1'!$E:$E,"ПУ бриг",'Таблиця 1'!$L:$L,"Уражено"))</f>
        <v/>
      </c>
      <c r="N347">
        <f>IF($A347="","",COUNTIFS('Таблиця 1'!$B:$B,$A347,'Таблиця 1'!$E:$E,"ПУ див",'Таблиця 1'!$L:$L,"Уражено"))</f>
        <v/>
      </c>
      <c r="O347">
        <f>IF($A347="","",COUNTIFS('Таблиця 1'!$B:$B,$A347,'Таблиця 1'!$E:$E,"обл. РЕБ",'Таблиця 1'!$L:$L,"Уражено"))</f>
        <v/>
      </c>
      <c r="P347">
        <f>IF($A347="","",COUNTIFS('Таблиця 1'!$B:$B,$A347,'Таблиця 1'!$E:$E,"пос РЕБ",'Таблиця 1'!$L:$L,"Уражено"))</f>
        <v/>
      </c>
      <c r="Q347">
        <f>IF($A347="","",COUNTIFS('Таблиця 1'!$B:$B,$A347,'Таблиця 1'!$E:$E,"група РЕР",'Таблиця 1'!$L:$L,"Уражено"))</f>
        <v/>
      </c>
      <c r="R347">
        <f>IF($A347="","",COUNTIFS('Таблиця 1'!$B:$B,$A347,'Таблиця 1'!$E:$E,"РЛС КББ",'Таблиця 1'!$L:$L,"Уражено"))</f>
        <v/>
      </c>
      <c r="S347">
        <f>IF($A347="","",COUNTIFS('Таблиця 1'!$B:$B,$A347,'Таблиця 1'!$E:$E,"Ретранслятор",'Таблиця 1'!$L:$L,"Уражено"))</f>
        <v/>
      </c>
      <c r="T347">
        <f>IF($A347="","",COUNTIFS('Таблиця 1'!$B:$B,$A347,'Таблиця 1'!$E:$E,"Вз.зв'язку",'Таблиця 1'!$L:$L,"Уражено"))</f>
        <v/>
      </c>
      <c r="U347">
        <f>IF($A347="","",COUNTIFS('Таблиця 1'!$B:$B,$A347,'Таблиця 1'!$E:$E,"ПММ",'Таблиця 1'!$L:$L,"Уражено"))</f>
        <v/>
      </c>
      <c r="V347">
        <f>IF($A347="","",COUNTIFS('Таблиця 1'!$B:$B,$A347,'Таблиця 1'!$E:$E,"ІФС",'Таблиця 1'!$L:$L,"Уражено"))</f>
        <v/>
      </c>
      <c r="W347">
        <f>IF($A347="","",COUNTIFS('Таблиця 1'!$B:$B,$A347,'Таблиця 1'!$E:$E,"Інфраструктура",'Таблиця 1'!$L:$L,"Уражено"))</f>
        <v/>
      </c>
      <c r="X347">
        <f>IF($A347="","",SUMIFS('Таблиця 1'!$K:$K,'Таблиця 1'!$B:$B,$A347))</f>
        <v/>
      </c>
    </row>
    <row r="348">
      <c r="A348" s="81">
        <f>IF(A347="","",IF(A347+1&gt;MAX('Таблиця 1'!$B:$B),"",A347+1))</f>
        <v/>
      </c>
      <c r="B348">
        <f>IF($A348="","",COUNTIFS('Таблиця 1'!$B:$B,$A348,'Таблиця 1'!$E:$E,"ЖС ВЗ",'Таблиця 1'!$L:$L,"Уражено"))</f>
        <v/>
      </c>
      <c r="C348">
        <f>IF($A348="","",COUNTIFS('Таблиця 1'!$B:$B,$A348,'Таблиця 1'!$E:$E,"Арт. Системи",'Таблиця 1'!$L:$L,"Уражено"))</f>
        <v/>
      </c>
      <c r="D348">
        <f>IF($A348="","",COUNTIFS('Таблиця 1'!$B:$B,$A348,'Таблиця 1'!$E:$E,"ОВТ",'Таблиця 1'!$L:$L,"Уражено"))</f>
        <v/>
      </c>
      <c r="E348">
        <f>IF($A348="","",COUNTIFS('Таблиця 1'!$B:$B,$A348,'Таблиця 1'!$E:$E,"ППО",'Таблиця 1'!$L:$L,"Уражено"))</f>
        <v/>
      </c>
      <c r="F348">
        <f>IF($A348="","",COUNTIFS('Таблиця 1'!$B:$B,$A348,'Таблиця 1'!$E:$E,"Рембаза",'Таблиця 1'!$L:$L,"Уражено"))</f>
        <v/>
      </c>
      <c r="G348">
        <f>IF($A348="","",COUNTIFS('Таблиця 1'!$B:$B,$A348,'Таблиця 1'!$E:$E,"Склад БК",'Таблиця 1'!$L:$L,"Уражено"))</f>
        <v/>
      </c>
      <c r="H348">
        <f>IF($A348="","",COUNTIFS('Таблиця 1'!$B:$B,$A348,'Таблиця 1'!$E:$E,"Склад ВТМ",'Таблиця 1'!$L:$L,"Уражено"))</f>
        <v/>
      </c>
      <c r="I348">
        <f>IF($A348="","",COUNTIFS('Таблиця 1'!$B:$B,$A348,'Таблиця 1'!$E:$E,"ПУ БпЛА",'Таблиця 1'!$L:$L,"Уражено"))</f>
        <v/>
      </c>
      <c r="J348">
        <f>IF($A348="","",COUNTIFS('Таблиця 1'!$B:$B,$A348,'Таблиця 1'!$E:$E,"СП",'Таблиця 1'!$L:$L,"Уражено"))</f>
        <v/>
      </c>
      <c r="K348">
        <f>IF($A348="","",COUNTIFS('Таблиця 1'!$B:$B,$A348,'Таблиця 1'!$E:$E,"КСП роти",'Таблиця 1'!$L:$L,"Уражено"))</f>
        <v/>
      </c>
      <c r="L348">
        <f>IF($A348="","",COUNTIFS('Таблиця 1'!$B:$B,$A348,'Таблиця 1'!$E:$E,"ПУ бат",'Таблиця 1'!$L:$L,"Уражено"))</f>
        <v/>
      </c>
      <c r="M348">
        <f>IF($A348="","",COUNTIFS('Таблиця 1'!$B:$B,$A348,'Таблиця 1'!$E:$E,"ПУ бриг",'Таблиця 1'!$L:$L,"Уражено"))</f>
        <v/>
      </c>
      <c r="N348">
        <f>IF($A348="","",COUNTIFS('Таблиця 1'!$B:$B,$A348,'Таблиця 1'!$E:$E,"ПУ див",'Таблиця 1'!$L:$L,"Уражено"))</f>
        <v/>
      </c>
      <c r="O348">
        <f>IF($A348="","",COUNTIFS('Таблиця 1'!$B:$B,$A348,'Таблиця 1'!$E:$E,"обл. РЕБ",'Таблиця 1'!$L:$L,"Уражено"))</f>
        <v/>
      </c>
      <c r="P348">
        <f>IF($A348="","",COUNTIFS('Таблиця 1'!$B:$B,$A348,'Таблиця 1'!$E:$E,"пос РЕБ",'Таблиця 1'!$L:$L,"Уражено"))</f>
        <v/>
      </c>
      <c r="Q348">
        <f>IF($A348="","",COUNTIFS('Таблиця 1'!$B:$B,$A348,'Таблиця 1'!$E:$E,"група РЕР",'Таблиця 1'!$L:$L,"Уражено"))</f>
        <v/>
      </c>
      <c r="R348">
        <f>IF($A348="","",COUNTIFS('Таблиця 1'!$B:$B,$A348,'Таблиця 1'!$E:$E,"РЛС КББ",'Таблиця 1'!$L:$L,"Уражено"))</f>
        <v/>
      </c>
      <c r="S348">
        <f>IF($A348="","",COUNTIFS('Таблиця 1'!$B:$B,$A348,'Таблиця 1'!$E:$E,"Ретранслятор",'Таблиця 1'!$L:$L,"Уражено"))</f>
        <v/>
      </c>
      <c r="T348">
        <f>IF($A348="","",COUNTIFS('Таблиця 1'!$B:$B,$A348,'Таблиця 1'!$E:$E,"Вз.зв'язку",'Таблиця 1'!$L:$L,"Уражено"))</f>
        <v/>
      </c>
      <c r="U348">
        <f>IF($A348="","",COUNTIFS('Таблиця 1'!$B:$B,$A348,'Таблиця 1'!$E:$E,"ПММ",'Таблиця 1'!$L:$L,"Уражено"))</f>
        <v/>
      </c>
      <c r="V348">
        <f>IF($A348="","",COUNTIFS('Таблиця 1'!$B:$B,$A348,'Таблиця 1'!$E:$E,"ІФС",'Таблиця 1'!$L:$L,"Уражено"))</f>
        <v/>
      </c>
      <c r="W348">
        <f>IF($A348="","",COUNTIFS('Таблиця 1'!$B:$B,$A348,'Таблиця 1'!$E:$E,"Інфраструктура",'Таблиця 1'!$L:$L,"Уражено"))</f>
        <v/>
      </c>
      <c r="X348">
        <f>IF($A348="","",SUMIFS('Таблиця 1'!$K:$K,'Таблиця 1'!$B:$B,$A348))</f>
        <v/>
      </c>
    </row>
    <row r="349">
      <c r="A349" s="81">
        <f>IF(A348="","",IF(A348+1&gt;MAX('Таблиця 1'!$B:$B),"",A348+1))</f>
        <v/>
      </c>
      <c r="B349">
        <f>IF($A349="","",COUNTIFS('Таблиця 1'!$B:$B,$A349,'Таблиця 1'!$E:$E,"ЖС ВЗ",'Таблиця 1'!$L:$L,"Уражено"))</f>
        <v/>
      </c>
      <c r="C349">
        <f>IF($A349="","",COUNTIFS('Таблиця 1'!$B:$B,$A349,'Таблиця 1'!$E:$E,"Арт. Системи",'Таблиця 1'!$L:$L,"Уражено"))</f>
        <v/>
      </c>
      <c r="D349">
        <f>IF($A349="","",COUNTIFS('Таблиця 1'!$B:$B,$A349,'Таблиця 1'!$E:$E,"ОВТ",'Таблиця 1'!$L:$L,"Уражено"))</f>
        <v/>
      </c>
      <c r="E349">
        <f>IF($A349="","",COUNTIFS('Таблиця 1'!$B:$B,$A349,'Таблиця 1'!$E:$E,"ППО",'Таблиця 1'!$L:$L,"Уражено"))</f>
        <v/>
      </c>
      <c r="F349">
        <f>IF($A349="","",COUNTIFS('Таблиця 1'!$B:$B,$A349,'Таблиця 1'!$E:$E,"Рембаза",'Таблиця 1'!$L:$L,"Уражено"))</f>
        <v/>
      </c>
      <c r="G349">
        <f>IF($A349="","",COUNTIFS('Таблиця 1'!$B:$B,$A349,'Таблиця 1'!$E:$E,"Склад БК",'Таблиця 1'!$L:$L,"Уражено"))</f>
        <v/>
      </c>
      <c r="H349">
        <f>IF($A349="","",COUNTIFS('Таблиця 1'!$B:$B,$A349,'Таблиця 1'!$E:$E,"Склад ВТМ",'Таблиця 1'!$L:$L,"Уражено"))</f>
        <v/>
      </c>
      <c r="I349">
        <f>IF($A349="","",COUNTIFS('Таблиця 1'!$B:$B,$A349,'Таблиця 1'!$E:$E,"ПУ БпЛА",'Таблиця 1'!$L:$L,"Уражено"))</f>
        <v/>
      </c>
      <c r="J349">
        <f>IF($A349="","",COUNTIFS('Таблиця 1'!$B:$B,$A349,'Таблиця 1'!$E:$E,"СП",'Таблиця 1'!$L:$L,"Уражено"))</f>
        <v/>
      </c>
      <c r="K349">
        <f>IF($A349="","",COUNTIFS('Таблиця 1'!$B:$B,$A349,'Таблиця 1'!$E:$E,"КСП роти",'Таблиця 1'!$L:$L,"Уражено"))</f>
        <v/>
      </c>
      <c r="L349">
        <f>IF($A349="","",COUNTIFS('Таблиця 1'!$B:$B,$A349,'Таблиця 1'!$E:$E,"ПУ бат",'Таблиця 1'!$L:$L,"Уражено"))</f>
        <v/>
      </c>
      <c r="M349">
        <f>IF($A349="","",COUNTIFS('Таблиця 1'!$B:$B,$A349,'Таблиця 1'!$E:$E,"ПУ бриг",'Таблиця 1'!$L:$L,"Уражено"))</f>
        <v/>
      </c>
      <c r="N349">
        <f>IF($A349="","",COUNTIFS('Таблиця 1'!$B:$B,$A349,'Таблиця 1'!$E:$E,"ПУ див",'Таблиця 1'!$L:$L,"Уражено"))</f>
        <v/>
      </c>
      <c r="O349">
        <f>IF($A349="","",COUNTIFS('Таблиця 1'!$B:$B,$A349,'Таблиця 1'!$E:$E,"обл. РЕБ",'Таблиця 1'!$L:$L,"Уражено"))</f>
        <v/>
      </c>
      <c r="P349">
        <f>IF($A349="","",COUNTIFS('Таблиця 1'!$B:$B,$A349,'Таблиця 1'!$E:$E,"пос РЕБ",'Таблиця 1'!$L:$L,"Уражено"))</f>
        <v/>
      </c>
      <c r="Q349">
        <f>IF($A349="","",COUNTIFS('Таблиця 1'!$B:$B,$A349,'Таблиця 1'!$E:$E,"група РЕР",'Таблиця 1'!$L:$L,"Уражено"))</f>
        <v/>
      </c>
      <c r="R349">
        <f>IF($A349="","",COUNTIFS('Таблиця 1'!$B:$B,$A349,'Таблиця 1'!$E:$E,"РЛС КББ",'Таблиця 1'!$L:$L,"Уражено"))</f>
        <v/>
      </c>
      <c r="S349">
        <f>IF($A349="","",COUNTIFS('Таблиця 1'!$B:$B,$A349,'Таблиця 1'!$E:$E,"Ретранслятор",'Таблиця 1'!$L:$L,"Уражено"))</f>
        <v/>
      </c>
      <c r="T349">
        <f>IF($A349="","",COUNTIFS('Таблиця 1'!$B:$B,$A349,'Таблиця 1'!$E:$E,"Вз.зв'язку",'Таблиця 1'!$L:$L,"Уражено"))</f>
        <v/>
      </c>
      <c r="U349">
        <f>IF($A349="","",COUNTIFS('Таблиця 1'!$B:$B,$A349,'Таблиця 1'!$E:$E,"ПММ",'Таблиця 1'!$L:$L,"Уражено"))</f>
        <v/>
      </c>
      <c r="V349">
        <f>IF($A349="","",COUNTIFS('Таблиця 1'!$B:$B,$A349,'Таблиця 1'!$E:$E,"ІФС",'Таблиця 1'!$L:$L,"Уражено"))</f>
        <v/>
      </c>
      <c r="W349">
        <f>IF($A349="","",COUNTIFS('Таблиця 1'!$B:$B,$A349,'Таблиця 1'!$E:$E,"Інфраструктура",'Таблиця 1'!$L:$L,"Уражено"))</f>
        <v/>
      </c>
      <c r="X349">
        <f>IF($A349="","",SUMIFS('Таблиця 1'!$K:$K,'Таблиця 1'!$B:$B,$A349))</f>
        <v/>
      </c>
    </row>
    <row r="350">
      <c r="A350" s="81">
        <f>IF(A349="","",IF(A349+1&gt;MAX('Таблиця 1'!$B:$B),"",A349+1))</f>
        <v/>
      </c>
      <c r="B350">
        <f>IF($A350="","",COUNTIFS('Таблиця 1'!$B:$B,$A350,'Таблиця 1'!$E:$E,"ЖС ВЗ",'Таблиця 1'!$L:$L,"Уражено"))</f>
        <v/>
      </c>
      <c r="C350">
        <f>IF($A350="","",COUNTIFS('Таблиця 1'!$B:$B,$A350,'Таблиця 1'!$E:$E,"Арт. Системи",'Таблиця 1'!$L:$L,"Уражено"))</f>
        <v/>
      </c>
      <c r="D350">
        <f>IF($A350="","",COUNTIFS('Таблиця 1'!$B:$B,$A350,'Таблиця 1'!$E:$E,"ОВТ",'Таблиця 1'!$L:$L,"Уражено"))</f>
        <v/>
      </c>
      <c r="E350">
        <f>IF($A350="","",COUNTIFS('Таблиця 1'!$B:$B,$A350,'Таблиця 1'!$E:$E,"ППО",'Таблиця 1'!$L:$L,"Уражено"))</f>
        <v/>
      </c>
      <c r="F350">
        <f>IF($A350="","",COUNTIFS('Таблиця 1'!$B:$B,$A350,'Таблиця 1'!$E:$E,"Рембаза",'Таблиця 1'!$L:$L,"Уражено"))</f>
        <v/>
      </c>
      <c r="G350">
        <f>IF($A350="","",COUNTIFS('Таблиця 1'!$B:$B,$A350,'Таблиця 1'!$E:$E,"Склад БК",'Таблиця 1'!$L:$L,"Уражено"))</f>
        <v/>
      </c>
      <c r="H350">
        <f>IF($A350="","",COUNTIFS('Таблиця 1'!$B:$B,$A350,'Таблиця 1'!$E:$E,"Склад ВТМ",'Таблиця 1'!$L:$L,"Уражено"))</f>
        <v/>
      </c>
      <c r="I350">
        <f>IF($A350="","",COUNTIFS('Таблиця 1'!$B:$B,$A350,'Таблиця 1'!$E:$E,"ПУ БпЛА",'Таблиця 1'!$L:$L,"Уражено"))</f>
        <v/>
      </c>
      <c r="J350">
        <f>IF($A350="","",COUNTIFS('Таблиця 1'!$B:$B,$A350,'Таблиця 1'!$E:$E,"СП",'Таблиця 1'!$L:$L,"Уражено"))</f>
        <v/>
      </c>
      <c r="K350">
        <f>IF($A350="","",COUNTIFS('Таблиця 1'!$B:$B,$A350,'Таблиця 1'!$E:$E,"КСП роти",'Таблиця 1'!$L:$L,"Уражено"))</f>
        <v/>
      </c>
      <c r="L350">
        <f>IF($A350="","",COUNTIFS('Таблиця 1'!$B:$B,$A350,'Таблиця 1'!$E:$E,"ПУ бат",'Таблиця 1'!$L:$L,"Уражено"))</f>
        <v/>
      </c>
      <c r="M350">
        <f>IF($A350="","",COUNTIFS('Таблиця 1'!$B:$B,$A350,'Таблиця 1'!$E:$E,"ПУ бриг",'Таблиця 1'!$L:$L,"Уражено"))</f>
        <v/>
      </c>
      <c r="N350">
        <f>IF($A350="","",COUNTIFS('Таблиця 1'!$B:$B,$A350,'Таблиця 1'!$E:$E,"ПУ див",'Таблиця 1'!$L:$L,"Уражено"))</f>
        <v/>
      </c>
      <c r="O350">
        <f>IF($A350="","",COUNTIFS('Таблиця 1'!$B:$B,$A350,'Таблиця 1'!$E:$E,"обл. РЕБ",'Таблиця 1'!$L:$L,"Уражено"))</f>
        <v/>
      </c>
      <c r="P350">
        <f>IF($A350="","",COUNTIFS('Таблиця 1'!$B:$B,$A350,'Таблиця 1'!$E:$E,"пос РЕБ",'Таблиця 1'!$L:$L,"Уражено"))</f>
        <v/>
      </c>
      <c r="Q350">
        <f>IF($A350="","",COUNTIFS('Таблиця 1'!$B:$B,$A350,'Таблиця 1'!$E:$E,"група РЕР",'Таблиця 1'!$L:$L,"Уражено"))</f>
        <v/>
      </c>
      <c r="R350">
        <f>IF($A350="","",COUNTIFS('Таблиця 1'!$B:$B,$A350,'Таблиця 1'!$E:$E,"РЛС КББ",'Таблиця 1'!$L:$L,"Уражено"))</f>
        <v/>
      </c>
      <c r="S350">
        <f>IF($A350="","",COUNTIFS('Таблиця 1'!$B:$B,$A350,'Таблиця 1'!$E:$E,"Ретранслятор",'Таблиця 1'!$L:$L,"Уражено"))</f>
        <v/>
      </c>
      <c r="T350">
        <f>IF($A350="","",COUNTIFS('Таблиця 1'!$B:$B,$A350,'Таблиця 1'!$E:$E,"Вз.зв'язку",'Таблиця 1'!$L:$L,"Уражено"))</f>
        <v/>
      </c>
      <c r="U350">
        <f>IF($A350="","",COUNTIFS('Таблиця 1'!$B:$B,$A350,'Таблиця 1'!$E:$E,"ПММ",'Таблиця 1'!$L:$L,"Уражено"))</f>
        <v/>
      </c>
      <c r="V350">
        <f>IF($A350="","",COUNTIFS('Таблиця 1'!$B:$B,$A350,'Таблиця 1'!$E:$E,"ІФС",'Таблиця 1'!$L:$L,"Уражено"))</f>
        <v/>
      </c>
      <c r="W350">
        <f>IF($A350="","",COUNTIFS('Таблиця 1'!$B:$B,$A350,'Таблиця 1'!$E:$E,"Інфраструктура",'Таблиця 1'!$L:$L,"Уражено"))</f>
        <v/>
      </c>
      <c r="X350">
        <f>IF($A350="","",SUMIFS('Таблиця 1'!$K:$K,'Таблиця 1'!$B:$B,$A350))</f>
        <v/>
      </c>
    </row>
    <row r="351">
      <c r="A351" s="81">
        <f>IF(A350="","",IF(A350+1&gt;MAX('Таблиця 1'!$B:$B),"",A350+1))</f>
        <v/>
      </c>
      <c r="B351">
        <f>IF($A351="","",COUNTIFS('Таблиця 1'!$B:$B,$A351,'Таблиця 1'!$E:$E,"ЖС ВЗ",'Таблиця 1'!$L:$L,"Уражено"))</f>
        <v/>
      </c>
      <c r="C351">
        <f>IF($A351="","",COUNTIFS('Таблиця 1'!$B:$B,$A351,'Таблиця 1'!$E:$E,"Арт. Системи",'Таблиця 1'!$L:$L,"Уражено"))</f>
        <v/>
      </c>
      <c r="D351">
        <f>IF($A351="","",COUNTIFS('Таблиця 1'!$B:$B,$A351,'Таблиця 1'!$E:$E,"ОВТ",'Таблиця 1'!$L:$L,"Уражено"))</f>
        <v/>
      </c>
      <c r="E351">
        <f>IF($A351="","",COUNTIFS('Таблиця 1'!$B:$B,$A351,'Таблиця 1'!$E:$E,"ППО",'Таблиця 1'!$L:$L,"Уражено"))</f>
        <v/>
      </c>
      <c r="F351">
        <f>IF($A351="","",COUNTIFS('Таблиця 1'!$B:$B,$A351,'Таблиця 1'!$E:$E,"Рембаза",'Таблиця 1'!$L:$L,"Уражено"))</f>
        <v/>
      </c>
      <c r="G351">
        <f>IF($A351="","",COUNTIFS('Таблиця 1'!$B:$B,$A351,'Таблиця 1'!$E:$E,"Склад БК",'Таблиця 1'!$L:$L,"Уражено"))</f>
        <v/>
      </c>
      <c r="H351">
        <f>IF($A351="","",COUNTIFS('Таблиця 1'!$B:$B,$A351,'Таблиця 1'!$E:$E,"Склад ВТМ",'Таблиця 1'!$L:$L,"Уражено"))</f>
        <v/>
      </c>
      <c r="I351">
        <f>IF($A351="","",COUNTIFS('Таблиця 1'!$B:$B,$A351,'Таблиця 1'!$E:$E,"ПУ БпЛА",'Таблиця 1'!$L:$L,"Уражено"))</f>
        <v/>
      </c>
      <c r="J351">
        <f>IF($A351="","",COUNTIFS('Таблиця 1'!$B:$B,$A351,'Таблиця 1'!$E:$E,"СП",'Таблиця 1'!$L:$L,"Уражено"))</f>
        <v/>
      </c>
      <c r="K351">
        <f>IF($A351="","",COUNTIFS('Таблиця 1'!$B:$B,$A351,'Таблиця 1'!$E:$E,"КСП роти",'Таблиця 1'!$L:$L,"Уражено"))</f>
        <v/>
      </c>
      <c r="L351">
        <f>IF($A351="","",COUNTIFS('Таблиця 1'!$B:$B,$A351,'Таблиця 1'!$E:$E,"ПУ бат",'Таблиця 1'!$L:$L,"Уражено"))</f>
        <v/>
      </c>
      <c r="M351">
        <f>IF($A351="","",COUNTIFS('Таблиця 1'!$B:$B,$A351,'Таблиця 1'!$E:$E,"ПУ бриг",'Таблиця 1'!$L:$L,"Уражено"))</f>
        <v/>
      </c>
      <c r="N351">
        <f>IF($A351="","",COUNTIFS('Таблиця 1'!$B:$B,$A351,'Таблиця 1'!$E:$E,"ПУ див",'Таблиця 1'!$L:$L,"Уражено"))</f>
        <v/>
      </c>
      <c r="O351">
        <f>IF($A351="","",COUNTIFS('Таблиця 1'!$B:$B,$A351,'Таблиця 1'!$E:$E,"обл. РЕБ",'Таблиця 1'!$L:$L,"Уражено"))</f>
        <v/>
      </c>
      <c r="P351">
        <f>IF($A351="","",COUNTIFS('Таблиця 1'!$B:$B,$A351,'Таблиця 1'!$E:$E,"пос РЕБ",'Таблиця 1'!$L:$L,"Уражено"))</f>
        <v/>
      </c>
      <c r="Q351">
        <f>IF($A351="","",COUNTIFS('Таблиця 1'!$B:$B,$A351,'Таблиця 1'!$E:$E,"група РЕР",'Таблиця 1'!$L:$L,"Уражено"))</f>
        <v/>
      </c>
      <c r="R351">
        <f>IF($A351="","",COUNTIFS('Таблиця 1'!$B:$B,$A351,'Таблиця 1'!$E:$E,"РЛС КББ",'Таблиця 1'!$L:$L,"Уражено"))</f>
        <v/>
      </c>
      <c r="S351">
        <f>IF($A351="","",COUNTIFS('Таблиця 1'!$B:$B,$A351,'Таблиця 1'!$E:$E,"Ретранслятор",'Таблиця 1'!$L:$L,"Уражено"))</f>
        <v/>
      </c>
      <c r="T351">
        <f>IF($A351="","",COUNTIFS('Таблиця 1'!$B:$B,$A351,'Таблиця 1'!$E:$E,"Вз.зв'язку",'Таблиця 1'!$L:$L,"Уражено"))</f>
        <v/>
      </c>
      <c r="U351">
        <f>IF($A351="","",COUNTIFS('Таблиця 1'!$B:$B,$A351,'Таблиця 1'!$E:$E,"ПММ",'Таблиця 1'!$L:$L,"Уражено"))</f>
        <v/>
      </c>
      <c r="V351">
        <f>IF($A351="","",COUNTIFS('Таблиця 1'!$B:$B,$A351,'Таблиця 1'!$E:$E,"ІФС",'Таблиця 1'!$L:$L,"Уражено"))</f>
        <v/>
      </c>
      <c r="W351">
        <f>IF($A351="","",COUNTIFS('Таблиця 1'!$B:$B,$A351,'Таблиця 1'!$E:$E,"Інфраструктура",'Таблиця 1'!$L:$L,"Уражено"))</f>
        <v/>
      </c>
      <c r="X351">
        <f>IF($A351="","",SUMIFS('Таблиця 1'!$K:$K,'Таблиця 1'!$B:$B,$A351))</f>
        <v/>
      </c>
    </row>
    <row r="352">
      <c r="A352" s="81">
        <f>IF(A351="","",IF(A351+1&gt;MAX('Таблиця 1'!$B:$B),"",A351+1))</f>
        <v/>
      </c>
      <c r="B352">
        <f>IF($A352="","",COUNTIFS('Таблиця 1'!$B:$B,$A352,'Таблиця 1'!$E:$E,"ЖС ВЗ",'Таблиця 1'!$L:$L,"Уражено"))</f>
        <v/>
      </c>
      <c r="C352">
        <f>IF($A352="","",COUNTIFS('Таблиця 1'!$B:$B,$A352,'Таблиця 1'!$E:$E,"Арт. Системи",'Таблиця 1'!$L:$L,"Уражено"))</f>
        <v/>
      </c>
      <c r="D352">
        <f>IF($A352="","",COUNTIFS('Таблиця 1'!$B:$B,$A352,'Таблиця 1'!$E:$E,"ОВТ",'Таблиця 1'!$L:$L,"Уражено"))</f>
        <v/>
      </c>
      <c r="E352">
        <f>IF($A352="","",COUNTIFS('Таблиця 1'!$B:$B,$A352,'Таблиця 1'!$E:$E,"ППО",'Таблиця 1'!$L:$L,"Уражено"))</f>
        <v/>
      </c>
      <c r="F352">
        <f>IF($A352="","",COUNTIFS('Таблиця 1'!$B:$B,$A352,'Таблиця 1'!$E:$E,"Рембаза",'Таблиця 1'!$L:$L,"Уражено"))</f>
        <v/>
      </c>
      <c r="G352">
        <f>IF($A352="","",COUNTIFS('Таблиця 1'!$B:$B,$A352,'Таблиця 1'!$E:$E,"Склад БК",'Таблиця 1'!$L:$L,"Уражено"))</f>
        <v/>
      </c>
      <c r="H352">
        <f>IF($A352="","",COUNTIFS('Таблиця 1'!$B:$B,$A352,'Таблиця 1'!$E:$E,"Склад ВТМ",'Таблиця 1'!$L:$L,"Уражено"))</f>
        <v/>
      </c>
      <c r="I352">
        <f>IF($A352="","",COUNTIFS('Таблиця 1'!$B:$B,$A352,'Таблиця 1'!$E:$E,"ПУ БпЛА",'Таблиця 1'!$L:$L,"Уражено"))</f>
        <v/>
      </c>
      <c r="J352">
        <f>IF($A352="","",COUNTIFS('Таблиця 1'!$B:$B,$A352,'Таблиця 1'!$E:$E,"СП",'Таблиця 1'!$L:$L,"Уражено"))</f>
        <v/>
      </c>
      <c r="K352">
        <f>IF($A352="","",COUNTIFS('Таблиця 1'!$B:$B,$A352,'Таблиця 1'!$E:$E,"КСП роти",'Таблиця 1'!$L:$L,"Уражено"))</f>
        <v/>
      </c>
      <c r="L352">
        <f>IF($A352="","",COUNTIFS('Таблиця 1'!$B:$B,$A352,'Таблиця 1'!$E:$E,"ПУ бат",'Таблиця 1'!$L:$L,"Уражено"))</f>
        <v/>
      </c>
      <c r="M352">
        <f>IF($A352="","",COUNTIFS('Таблиця 1'!$B:$B,$A352,'Таблиця 1'!$E:$E,"ПУ бриг",'Таблиця 1'!$L:$L,"Уражено"))</f>
        <v/>
      </c>
      <c r="N352">
        <f>IF($A352="","",COUNTIFS('Таблиця 1'!$B:$B,$A352,'Таблиця 1'!$E:$E,"ПУ див",'Таблиця 1'!$L:$L,"Уражено"))</f>
        <v/>
      </c>
      <c r="O352">
        <f>IF($A352="","",COUNTIFS('Таблиця 1'!$B:$B,$A352,'Таблиця 1'!$E:$E,"обл. РЕБ",'Таблиця 1'!$L:$L,"Уражено"))</f>
        <v/>
      </c>
      <c r="P352">
        <f>IF($A352="","",COUNTIFS('Таблиця 1'!$B:$B,$A352,'Таблиця 1'!$E:$E,"пос РЕБ",'Таблиця 1'!$L:$L,"Уражено"))</f>
        <v/>
      </c>
      <c r="Q352">
        <f>IF($A352="","",COUNTIFS('Таблиця 1'!$B:$B,$A352,'Таблиця 1'!$E:$E,"група РЕР",'Таблиця 1'!$L:$L,"Уражено"))</f>
        <v/>
      </c>
      <c r="R352">
        <f>IF($A352="","",COUNTIFS('Таблиця 1'!$B:$B,$A352,'Таблиця 1'!$E:$E,"РЛС КББ",'Таблиця 1'!$L:$L,"Уражено"))</f>
        <v/>
      </c>
      <c r="S352">
        <f>IF($A352="","",COUNTIFS('Таблиця 1'!$B:$B,$A352,'Таблиця 1'!$E:$E,"Ретранслятор",'Таблиця 1'!$L:$L,"Уражено"))</f>
        <v/>
      </c>
      <c r="T352">
        <f>IF($A352="","",COUNTIFS('Таблиця 1'!$B:$B,$A352,'Таблиця 1'!$E:$E,"Вз.зв'язку",'Таблиця 1'!$L:$L,"Уражено"))</f>
        <v/>
      </c>
      <c r="U352">
        <f>IF($A352="","",COUNTIFS('Таблиця 1'!$B:$B,$A352,'Таблиця 1'!$E:$E,"ПММ",'Таблиця 1'!$L:$L,"Уражено"))</f>
        <v/>
      </c>
      <c r="V352">
        <f>IF($A352="","",COUNTIFS('Таблиця 1'!$B:$B,$A352,'Таблиця 1'!$E:$E,"ІФС",'Таблиця 1'!$L:$L,"Уражено"))</f>
        <v/>
      </c>
      <c r="W352">
        <f>IF($A352="","",COUNTIFS('Таблиця 1'!$B:$B,$A352,'Таблиця 1'!$E:$E,"Інфраструктура",'Таблиця 1'!$L:$L,"Уражено"))</f>
        <v/>
      </c>
      <c r="X352">
        <f>IF($A352="","",SUMIFS('Таблиця 1'!$K:$K,'Таблиця 1'!$B:$B,$A352))</f>
        <v/>
      </c>
    </row>
    <row r="353">
      <c r="A353" s="81">
        <f>IF(A352="","",IF(A352+1&gt;MAX('Таблиця 1'!$B:$B),"",A352+1))</f>
        <v/>
      </c>
      <c r="B353">
        <f>IF($A353="","",COUNTIFS('Таблиця 1'!$B:$B,$A353,'Таблиця 1'!$E:$E,"ЖС ВЗ",'Таблиця 1'!$L:$L,"Уражено"))</f>
        <v/>
      </c>
      <c r="C353">
        <f>IF($A353="","",COUNTIFS('Таблиця 1'!$B:$B,$A353,'Таблиця 1'!$E:$E,"Арт. Системи",'Таблиця 1'!$L:$L,"Уражено"))</f>
        <v/>
      </c>
      <c r="D353">
        <f>IF($A353="","",COUNTIFS('Таблиця 1'!$B:$B,$A353,'Таблиця 1'!$E:$E,"ОВТ",'Таблиця 1'!$L:$L,"Уражено"))</f>
        <v/>
      </c>
      <c r="E353">
        <f>IF($A353="","",COUNTIFS('Таблиця 1'!$B:$B,$A353,'Таблиця 1'!$E:$E,"ППО",'Таблиця 1'!$L:$L,"Уражено"))</f>
        <v/>
      </c>
      <c r="F353">
        <f>IF($A353="","",COUNTIFS('Таблиця 1'!$B:$B,$A353,'Таблиця 1'!$E:$E,"Рембаза",'Таблиця 1'!$L:$L,"Уражено"))</f>
        <v/>
      </c>
      <c r="G353">
        <f>IF($A353="","",COUNTIFS('Таблиця 1'!$B:$B,$A353,'Таблиця 1'!$E:$E,"Склад БК",'Таблиця 1'!$L:$L,"Уражено"))</f>
        <v/>
      </c>
      <c r="H353">
        <f>IF($A353="","",COUNTIFS('Таблиця 1'!$B:$B,$A353,'Таблиця 1'!$E:$E,"Склад ВТМ",'Таблиця 1'!$L:$L,"Уражено"))</f>
        <v/>
      </c>
      <c r="I353">
        <f>IF($A353="","",COUNTIFS('Таблиця 1'!$B:$B,$A353,'Таблиця 1'!$E:$E,"ПУ БпЛА",'Таблиця 1'!$L:$L,"Уражено"))</f>
        <v/>
      </c>
      <c r="J353">
        <f>IF($A353="","",COUNTIFS('Таблиця 1'!$B:$B,$A353,'Таблиця 1'!$E:$E,"СП",'Таблиця 1'!$L:$L,"Уражено"))</f>
        <v/>
      </c>
      <c r="K353">
        <f>IF($A353="","",COUNTIFS('Таблиця 1'!$B:$B,$A353,'Таблиця 1'!$E:$E,"КСП роти",'Таблиця 1'!$L:$L,"Уражено"))</f>
        <v/>
      </c>
      <c r="L353">
        <f>IF($A353="","",COUNTIFS('Таблиця 1'!$B:$B,$A353,'Таблиця 1'!$E:$E,"ПУ бат",'Таблиця 1'!$L:$L,"Уражено"))</f>
        <v/>
      </c>
      <c r="M353">
        <f>IF($A353="","",COUNTIFS('Таблиця 1'!$B:$B,$A353,'Таблиця 1'!$E:$E,"ПУ бриг",'Таблиця 1'!$L:$L,"Уражено"))</f>
        <v/>
      </c>
      <c r="N353">
        <f>IF($A353="","",COUNTIFS('Таблиця 1'!$B:$B,$A353,'Таблиця 1'!$E:$E,"ПУ див",'Таблиця 1'!$L:$L,"Уражено"))</f>
        <v/>
      </c>
      <c r="O353">
        <f>IF($A353="","",COUNTIFS('Таблиця 1'!$B:$B,$A353,'Таблиця 1'!$E:$E,"обл. РЕБ",'Таблиця 1'!$L:$L,"Уражено"))</f>
        <v/>
      </c>
      <c r="P353">
        <f>IF($A353="","",COUNTIFS('Таблиця 1'!$B:$B,$A353,'Таблиця 1'!$E:$E,"пос РЕБ",'Таблиця 1'!$L:$L,"Уражено"))</f>
        <v/>
      </c>
      <c r="Q353">
        <f>IF($A353="","",COUNTIFS('Таблиця 1'!$B:$B,$A353,'Таблиця 1'!$E:$E,"група РЕР",'Таблиця 1'!$L:$L,"Уражено"))</f>
        <v/>
      </c>
      <c r="R353">
        <f>IF($A353="","",COUNTIFS('Таблиця 1'!$B:$B,$A353,'Таблиця 1'!$E:$E,"РЛС КББ",'Таблиця 1'!$L:$L,"Уражено"))</f>
        <v/>
      </c>
      <c r="S353">
        <f>IF($A353="","",COUNTIFS('Таблиця 1'!$B:$B,$A353,'Таблиця 1'!$E:$E,"Ретранслятор",'Таблиця 1'!$L:$L,"Уражено"))</f>
        <v/>
      </c>
      <c r="T353">
        <f>IF($A353="","",COUNTIFS('Таблиця 1'!$B:$B,$A353,'Таблиця 1'!$E:$E,"Вз.зв'язку",'Таблиця 1'!$L:$L,"Уражено"))</f>
        <v/>
      </c>
      <c r="U353">
        <f>IF($A353="","",COUNTIFS('Таблиця 1'!$B:$B,$A353,'Таблиця 1'!$E:$E,"ПММ",'Таблиця 1'!$L:$L,"Уражено"))</f>
        <v/>
      </c>
      <c r="V353">
        <f>IF($A353="","",COUNTIFS('Таблиця 1'!$B:$B,$A353,'Таблиця 1'!$E:$E,"ІФС",'Таблиця 1'!$L:$L,"Уражено"))</f>
        <v/>
      </c>
      <c r="W353">
        <f>IF($A353="","",COUNTIFS('Таблиця 1'!$B:$B,$A353,'Таблиця 1'!$E:$E,"Інфраструктура",'Таблиця 1'!$L:$L,"Уражено"))</f>
        <v/>
      </c>
      <c r="X353">
        <f>IF($A353="","",SUMIFS('Таблиця 1'!$K:$K,'Таблиця 1'!$B:$B,$A353))</f>
        <v/>
      </c>
    </row>
    <row r="354">
      <c r="A354" s="81">
        <f>IF(A353="","",IF(A353+1&gt;MAX('Таблиця 1'!$B:$B),"",A353+1))</f>
        <v/>
      </c>
      <c r="B354">
        <f>IF($A354="","",COUNTIFS('Таблиця 1'!$B:$B,$A354,'Таблиця 1'!$E:$E,"ЖС ВЗ",'Таблиця 1'!$L:$L,"Уражено"))</f>
        <v/>
      </c>
      <c r="C354">
        <f>IF($A354="","",COUNTIFS('Таблиця 1'!$B:$B,$A354,'Таблиця 1'!$E:$E,"Арт. Системи",'Таблиця 1'!$L:$L,"Уражено"))</f>
        <v/>
      </c>
      <c r="D354">
        <f>IF($A354="","",COUNTIFS('Таблиця 1'!$B:$B,$A354,'Таблиця 1'!$E:$E,"ОВТ",'Таблиця 1'!$L:$L,"Уражено"))</f>
        <v/>
      </c>
      <c r="E354">
        <f>IF($A354="","",COUNTIFS('Таблиця 1'!$B:$B,$A354,'Таблиця 1'!$E:$E,"ППО",'Таблиця 1'!$L:$L,"Уражено"))</f>
        <v/>
      </c>
      <c r="F354">
        <f>IF($A354="","",COUNTIFS('Таблиця 1'!$B:$B,$A354,'Таблиця 1'!$E:$E,"Рембаза",'Таблиця 1'!$L:$L,"Уражено"))</f>
        <v/>
      </c>
      <c r="G354">
        <f>IF($A354="","",COUNTIFS('Таблиця 1'!$B:$B,$A354,'Таблиця 1'!$E:$E,"Склад БК",'Таблиця 1'!$L:$L,"Уражено"))</f>
        <v/>
      </c>
      <c r="H354">
        <f>IF($A354="","",COUNTIFS('Таблиця 1'!$B:$B,$A354,'Таблиця 1'!$E:$E,"Склад ВТМ",'Таблиця 1'!$L:$L,"Уражено"))</f>
        <v/>
      </c>
      <c r="I354">
        <f>IF($A354="","",COUNTIFS('Таблиця 1'!$B:$B,$A354,'Таблиця 1'!$E:$E,"ПУ БпЛА",'Таблиця 1'!$L:$L,"Уражено"))</f>
        <v/>
      </c>
      <c r="J354">
        <f>IF($A354="","",COUNTIFS('Таблиця 1'!$B:$B,$A354,'Таблиця 1'!$E:$E,"СП",'Таблиця 1'!$L:$L,"Уражено"))</f>
        <v/>
      </c>
      <c r="K354">
        <f>IF($A354="","",COUNTIFS('Таблиця 1'!$B:$B,$A354,'Таблиця 1'!$E:$E,"КСП роти",'Таблиця 1'!$L:$L,"Уражено"))</f>
        <v/>
      </c>
      <c r="L354">
        <f>IF($A354="","",COUNTIFS('Таблиця 1'!$B:$B,$A354,'Таблиця 1'!$E:$E,"ПУ бат",'Таблиця 1'!$L:$L,"Уражено"))</f>
        <v/>
      </c>
      <c r="M354">
        <f>IF($A354="","",COUNTIFS('Таблиця 1'!$B:$B,$A354,'Таблиця 1'!$E:$E,"ПУ бриг",'Таблиця 1'!$L:$L,"Уражено"))</f>
        <v/>
      </c>
      <c r="N354">
        <f>IF($A354="","",COUNTIFS('Таблиця 1'!$B:$B,$A354,'Таблиця 1'!$E:$E,"ПУ див",'Таблиця 1'!$L:$L,"Уражено"))</f>
        <v/>
      </c>
      <c r="O354">
        <f>IF($A354="","",COUNTIFS('Таблиця 1'!$B:$B,$A354,'Таблиця 1'!$E:$E,"обл. РЕБ",'Таблиця 1'!$L:$L,"Уражено"))</f>
        <v/>
      </c>
      <c r="P354">
        <f>IF($A354="","",COUNTIFS('Таблиця 1'!$B:$B,$A354,'Таблиця 1'!$E:$E,"пос РЕБ",'Таблиця 1'!$L:$L,"Уражено"))</f>
        <v/>
      </c>
      <c r="Q354">
        <f>IF($A354="","",COUNTIFS('Таблиця 1'!$B:$B,$A354,'Таблиця 1'!$E:$E,"група РЕР",'Таблиця 1'!$L:$L,"Уражено"))</f>
        <v/>
      </c>
      <c r="R354">
        <f>IF($A354="","",COUNTIFS('Таблиця 1'!$B:$B,$A354,'Таблиця 1'!$E:$E,"РЛС КББ",'Таблиця 1'!$L:$L,"Уражено"))</f>
        <v/>
      </c>
      <c r="S354">
        <f>IF($A354="","",COUNTIFS('Таблиця 1'!$B:$B,$A354,'Таблиця 1'!$E:$E,"Ретранслятор",'Таблиця 1'!$L:$L,"Уражено"))</f>
        <v/>
      </c>
      <c r="T354">
        <f>IF($A354="","",COUNTIFS('Таблиця 1'!$B:$B,$A354,'Таблиця 1'!$E:$E,"Вз.зв'язку",'Таблиця 1'!$L:$L,"Уражено"))</f>
        <v/>
      </c>
      <c r="U354">
        <f>IF($A354="","",COUNTIFS('Таблиця 1'!$B:$B,$A354,'Таблиця 1'!$E:$E,"ПММ",'Таблиця 1'!$L:$L,"Уражено"))</f>
        <v/>
      </c>
      <c r="V354">
        <f>IF($A354="","",COUNTIFS('Таблиця 1'!$B:$B,$A354,'Таблиця 1'!$E:$E,"ІФС",'Таблиця 1'!$L:$L,"Уражено"))</f>
        <v/>
      </c>
      <c r="W354">
        <f>IF($A354="","",COUNTIFS('Таблиця 1'!$B:$B,$A354,'Таблиця 1'!$E:$E,"Інфраструктура",'Таблиця 1'!$L:$L,"Уражено"))</f>
        <v/>
      </c>
      <c r="X354">
        <f>IF($A354="","",SUMIFS('Таблиця 1'!$K:$K,'Таблиця 1'!$B:$B,$A354))</f>
        <v/>
      </c>
    </row>
    <row r="355">
      <c r="A355" s="81">
        <f>IF(A354="","",IF(A354+1&gt;MAX('Таблиця 1'!$B:$B),"",A354+1))</f>
        <v/>
      </c>
      <c r="B355">
        <f>IF($A355="","",COUNTIFS('Таблиця 1'!$B:$B,$A355,'Таблиця 1'!$E:$E,"ЖС ВЗ",'Таблиця 1'!$L:$L,"Уражено"))</f>
        <v/>
      </c>
      <c r="C355">
        <f>IF($A355="","",COUNTIFS('Таблиця 1'!$B:$B,$A355,'Таблиця 1'!$E:$E,"Арт. Системи",'Таблиця 1'!$L:$L,"Уражено"))</f>
        <v/>
      </c>
      <c r="D355">
        <f>IF($A355="","",COUNTIFS('Таблиця 1'!$B:$B,$A355,'Таблиця 1'!$E:$E,"ОВТ",'Таблиця 1'!$L:$L,"Уражено"))</f>
        <v/>
      </c>
      <c r="E355">
        <f>IF($A355="","",COUNTIFS('Таблиця 1'!$B:$B,$A355,'Таблиця 1'!$E:$E,"ППО",'Таблиця 1'!$L:$L,"Уражено"))</f>
        <v/>
      </c>
      <c r="F355">
        <f>IF($A355="","",COUNTIFS('Таблиця 1'!$B:$B,$A355,'Таблиця 1'!$E:$E,"Рембаза",'Таблиця 1'!$L:$L,"Уражено"))</f>
        <v/>
      </c>
      <c r="G355">
        <f>IF($A355="","",COUNTIFS('Таблиця 1'!$B:$B,$A355,'Таблиця 1'!$E:$E,"Склад БК",'Таблиця 1'!$L:$L,"Уражено"))</f>
        <v/>
      </c>
      <c r="H355">
        <f>IF($A355="","",COUNTIFS('Таблиця 1'!$B:$B,$A355,'Таблиця 1'!$E:$E,"Склад ВТМ",'Таблиця 1'!$L:$L,"Уражено"))</f>
        <v/>
      </c>
      <c r="I355">
        <f>IF($A355="","",COUNTIFS('Таблиця 1'!$B:$B,$A355,'Таблиця 1'!$E:$E,"ПУ БпЛА",'Таблиця 1'!$L:$L,"Уражено"))</f>
        <v/>
      </c>
      <c r="J355">
        <f>IF($A355="","",COUNTIFS('Таблиця 1'!$B:$B,$A355,'Таблиця 1'!$E:$E,"СП",'Таблиця 1'!$L:$L,"Уражено"))</f>
        <v/>
      </c>
      <c r="K355">
        <f>IF($A355="","",COUNTIFS('Таблиця 1'!$B:$B,$A355,'Таблиця 1'!$E:$E,"КСП роти",'Таблиця 1'!$L:$L,"Уражено"))</f>
        <v/>
      </c>
      <c r="L355">
        <f>IF($A355="","",COUNTIFS('Таблиця 1'!$B:$B,$A355,'Таблиця 1'!$E:$E,"ПУ бат",'Таблиця 1'!$L:$L,"Уражено"))</f>
        <v/>
      </c>
      <c r="M355">
        <f>IF($A355="","",COUNTIFS('Таблиця 1'!$B:$B,$A355,'Таблиця 1'!$E:$E,"ПУ бриг",'Таблиця 1'!$L:$L,"Уражено"))</f>
        <v/>
      </c>
      <c r="N355">
        <f>IF($A355="","",COUNTIFS('Таблиця 1'!$B:$B,$A355,'Таблиця 1'!$E:$E,"ПУ див",'Таблиця 1'!$L:$L,"Уражено"))</f>
        <v/>
      </c>
      <c r="O355">
        <f>IF($A355="","",COUNTIFS('Таблиця 1'!$B:$B,$A355,'Таблиця 1'!$E:$E,"обл. РЕБ",'Таблиця 1'!$L:$L,"Уражено"))</f>
        <v/>
      </c>
      <c r="P355">
        <f>IF($A355="","",COUNTIFS('Таблиця 1'!$B:$B,$A355,'Таблиця 1'!$E:$E,"пос РЕБ",'Таблиця 1'!$L:$L,"Уражено"))</f>
        <v/>
      </c>
      <c r="Q355">
        <f>IF($A355="","",COUNTIFS('Таблиця 1'!$B:$B,$A355,'Таблиця 1'!$E:$E,"група РЕР",'Таблиця 1'!$L:$L,"Уражено"))</f>
        <v/>
      </c>
      <c r="R355">
        <f>IF($A355="","",COUNTIFS('Таблиця 1'!$B:$B,$A355,'Таблиця 1'!$E:$E,"РЛС КББ",'Таблиця 1'!$L:$L,"Уражено"))</f>
        <v/>
      </c>
      <c r="S355">
        <f>IF($A355="","",COUNTIFS('Таблиця 1'!$B:$B,$A355,'Таблиця 1'!$E:$E,"Ретранслятор",'Таблиця 1'!$L:$L,"Уражено"))</f>
        <v/>
      </c>
      <c r="T355">
        <f>IF($A355="","",COUNTIFS('Таблиця 1'!$B:$B,$A355,'Таблиця 1'!$E:$E,"Вз.зв'язку",'Таблиця 1'!$L:$L,"Уражено"))</f>
        <v/>
      </c>
      <c r="U355">
        <f>IF($A355="","",COUNTIFS('Таблиця 1'!$B:$B,$A355,'Таблиця 1'!$E:$E,"ПММ",'Таблиця 1'!$L:$L,"Уражено"))</f>
        <v/>
      </c>
      <c r="V355">
        <f>IF($A355="","",COUNTIFS('Таблиця 1'!$B:$B,$A355,'Таблиця 1'!$E:$E,"ІФС",'Таблиця 1'!$L:$L,"Уражено"))</f>
        <v/>
      </c>
      <c r="W355">
        <f>IF($A355="","",COUNTIFS('Таблиця 1'!$B:$B,$A355,'Таблиця 1'!$E:$E,"Інфраструктура",'Таблиця 1'!$L:$L,"Уражено"))</f>
        <v/>
      </c>
      <c r="X355">
        <f>IF($A355="","",SUMIFS('Таблиця 1'!$K:$K,'Таблиця 1'!$B:$B,$A355))</f>
        <v/>
      </c>
    </row>
    <row r="356">
      <c r="A356" s="81">
        <f>IF(A355="","",IF(A355+1&gt;MAX('Таблиця 1'!$B:$B),"",A355+1))</f>
        <v/>
      </c>
      <c r="B356">
        <f>IF($A356="","",COUNTIFS('Таблиця 1'!$B:$B,$A356,'Таблиця 1'!$E:$E,"ЖС ВЗ",'Таблиця 1'!$L:$L,"Уражено"))</f>
        <v/>
      </c>
      <c r="C356">
        <f>IF($A356="","",COUNTIFS('Таблиця 1'!$B:$B,$A356,'Таблиця 1'!$E:$E,"Арт. Системи",'Таблиця 1'!$L:$L,"Уражено"))</f>
        <v/>
      </c>
      <c r="D356">
        <f>IF($A356="","",COUNTIFS('Таблиця 1'!$B:$B,$A356,'Таблиця 1'!$E:$E,"ОВТ",'Таблиця 1'!$L:$L,"Уражено"))</f>
        <v/>
      </c>
      <c r="E356">
        <f>IF($A356="","",COUNTIFS('Таблиця 1'!$B:$B,$A356,'Таблиця 1'!$E:$E,"ППО",'Таблиця 1'!$L:$L,"Уражено"))</f>
        <v/>
      </c>
      <c r="F356">
        <f>IF($A356="","",COUNTIFS('Таблиця 1'!$B:$B,$A356,'Таблиця 1'!$E:$E,"Рембаза",'Таблиця 1'!$L:$L,"Уражено"))</f>
        <v/>
      </c>
      <c r="G356">
        <f>IF($A356="","",COUNTIFS('Таблиця 1'!$B:$B,$A356,'Таблиця 1'!$E:$E,"Склад БК",'Таблиця 1'!$L:$L,"Уражено"))</f>
        <v/>
      </c>
      <c r="H356">
        <f>IF($A356="","",COUNTIFS('Таблиця 1'!$B:$B,$A356,'Таблиця 1'!$E:$E,"Склад ВТМ",'Таблиця 1'!$L:$L,"Уражено"))</f>
        <v/>
      </c>
      <c r="I356">
        <f>IF($A356="","",COUNTIFS('Таблиця 1'!$B:$B,$A356,'Таблиця 1'!$E:$E,"ПУ БпЛА",'Таблиця 1'!$L:$L,"Уражено"))</f>
        <v/>
      </c>
      <c r="J356">
        <f>IF($A356="","",COUNTIFS('Таблиця 1'!$B:$B,$A356,'Таблиця 1'!$E:$E,"СП",'Таблиця 1'!$L:$L,"Уражено"))</f>
        <v/>
      </c>
      <c r="K356">
        <f>IF($A356="","",COUNTIFS('Таблиця 1'!$B:$B,$A356,'Таблиця 1'!$E:$E,"КСП роти",'Таблиця 1'!$L:$L,"Уражено"))</f>
        <v/>
      </c>
      <c r="L356">
        <f>IF($A356="","",COUNTIFS('Таблиця 1'!$B:$B,$A356,'Таблиця 1'!$E:$E,"ПУ бат",'Таблиця 1'!$L:$L,"Уражено"))</f>
        <v/>
      </c>
      <c r="M356">
        <f>IF($A356="","",COUNTIFS('Таблиця 1'!$B:$B,$A356,'Таблиця 1'!$E:$E,"ПУ бриг",'Таблиця 1'!$L:$L,"Уражено"))</f>
        <v/>
      </c>
      <c r="N356">
        <f>IF($A356="","",COUNTIFS('Таблиця 1'!$B:$B,$A356,'Таблиця 1'!$E:$E,"ПУ див",'Таблиця 1'!$L:$L,"Уражено"))</f>
        <v/>
      </c>
      <c r="O356">
        <f>IF($A356="","",COUNTIFS('Таблиця 1'!$B:$B,$A356,'Таблиця 1'!$E:$E,"обл. РЕБ",'Таблиця 1'!$L:$L,"Уражено"))</f>
        <v/>
      </c>
      <c r="P356">
        <f>IF($A356="","",COUNTIFS('Таблиця 1'!$B:$B,$A356,'Таблиця 1'!$E:$E,"пос РЕБ",'Таблиця 1'!$L:$L,"Уражено"))</f>
        <v/>
      </c>
      <c r="Q356">
        <f>IF($A356="","",COUNTIFS('Таблиця 1'!$B:$B,$A356,'Таблиця 1'!$E:$E,"група РЕР",'Таблиця 1'!$L:$L,"Уражено"))</f>
        <v/>
      </c>
      <c r="R356">
        <f>IF($A356="","",COUNTIFS('Таблиця 1'!$B:$B,$A356,'Таблиця 1'!$E:$E,"РЛС КББ",'Таблиця 1'!$L:$L,"Уражено"))</f>
        <v/>
      </c>
      <c r="S356">
        <f>IF($A356="","",COUNTIFS('Таблиця 1'!$B:$B,$A356,'Таблиця 1'!$E:$E,"Ретранслятор",'Таблиця 1'!$L:$L,"Уражено"))</f>
        <v/>
      </c>
      <c r="T356">
        <f>IF($A356="","",COUNTIFS('Таблиця 1'!$B:$B,$A356,'Таблиця 1'!$E:$E,"Вз.зв'язку",'Таблиця 1'!$L:$L,"Уражено"))</f>
        <v/>
      </c>
      <c r="U356">
        <f>IF($A356="","",COUNTIFS('Таблиця 1'!$B:$B,$A356,'Таблиця 1'!$E:$E,"ПММ",'Таблиця 1'!$L:$L,"Уражено"))</f>
        <v/>
      </c>
      <c r="V356">
        <f>IF($A356="","",COUNTIFS('Таблиця 1'!$B:$B,$A356,'Таблиця 1'!$E:$E,"ІФС",'Таблиця 1'!$L:$L,"Уражено"))</f>
        <v/>
      </c>
      <c r="W356">
        <f>IF($A356="","",COUNTIFS('Таблиця 1'!$B:$B,$A356,'Таблиця 1'!$E:$E,"Інфраструктура",'Таблиця 1'!$L:$L,"Уражено"))</f>
        <v/>
      </c>
      <c r="X356">
        <f>IF($A356="","",SUMIFS('Таблиця 1'!$K:$K,'Таблиця 1'!$B:$B,$A356))</f>
        <v/>
      </c>
    </row>
    <row r="357">
      <c r="A357" s="81">
        <f>IF(A356="","",IF(A356+1&gt;MAX('Таблиця 1'!$B:$B),"",A356+1))</f>
        <v/>
      </c>
      <c r="B357">
        <f>IF($A357="","",COUNTIFS('Таблиця 1'!$B:$B,$A357,'Таблиця 1'!$E:$E,"ЖС ВЗ",'Таблиця 1'!$L:$L,"Уражено"))</f>
        <v/>
      </c>
      <c r="C357">
        <f>IF($A357="","",COUNTIFS('Таблиця 1'!$B:$B,$A357,'Таблиця 1'!$E:$E,"Арт. Системи",'Таблиця 1'!$L:$L,"Уражено"))</f>
        <v/>
      </c>
      <c r="D357">
        <f>IF($A357="","",COUNTIFS('Таблиця 1'!$B:$B,$A357,'Таблиця 1'!$E:$E,"ОВТ",'Таблиця 1'!$L:$L,"Уражено"))</f>
        <v/>
      </c>
      <c r="E357">
        <f>IF($A357="","",COUNTIFS('Таблиця 1'!$B:$B,$A357,'Таблиця 1'!$E:$E,"ППО",'Таблиця 1'!$L:$L,"Уражено"))</f>
        <v/>
      </c>
      <c r="F357">
        <f>IF($A357="","",COUNTIFS('Таблиця 1'!$B:$B,$A357,'Таблиця 1'!$E:$E,"Рембаза",'Таблиця 1'!$L:$L,"Уражено"))</f>
        <v/>
      </c>
      <c r="G357">
        <f>IF($A357="","",COUNTIFS('Таблиця 1'!$B:$B,$A357,'Таблиця 1'!$E:$E,"Склад БК",'Таблиця 1'!$L:$L,"Уражено"))</f>
        <v/>
      </c>
      <c r="H357">
        <f>IF($A357="","",COUNTIFS('Таблиця 1'!$B:$B,$A357,'Таблиця 1'!$E:$E,"Склад ВТМ",'Таблиця 1'!$L:$L,"Уражено"))</f>
        <v/>
      </c>
      <c r="I357">
        <f>IF($A357="","",COUNTIFS('Таблиця 1'!$B:$B,$A357,'Таблиця 1'!$E:$E,"ПУ БпЛА",'Таблиця 1'!$L:$L,"Уражено"))</f>
        <v/>
      </c>
      <c r="J357">
        <f>IF($A357="","",COUNTIFS('Таблиця 1'!$B:$B,$A357,'Таблиця 1'!$E:$E,"СП",'Таблиця 1'!$L:$L,"Уражено"))</f>
        <v/>
      </c>
      <c r="K357">
        <f>IF($A357="","",COUNTIFS('Таблиця 1'!$B:$B,$A357,'Таблиця 1'!$E:$E,"КСП роти",'Таблиця 1'!$L:$L,"Уражено"))</f>
        <v/>
      </c>
      <c r="L357">
        <f>IF($A357="","",COUNTIFS('Таблиця 1'!$B:$B,$A357,'Таблиця 1'!$E:$E,"ПУ бат",'Таблиця 1'!$L:$L,"Уражено"))</f>
        <v/>
      </c>
      <c r="M357">
        <f>IF($A357="","",COUNTIFS('Таблиця 1'!$B:$B,$A357,'Таблиця 1'!$E:$E,"ПУ бриг",'Таблиця 1'!$L:$L,"Уражено"))</f>
        <v/>
      </c>
      <c r="N357">
        <f>IF($A357="","",COUNTIFS('Таблиця 1'!$B:$B,$A357,'Таблиця 1'!$E:$E,"ПУ див",'Таблиця 1'!$L:$L,"Уражено"))</f>
        <v/>
      </c>
      <c r="O357">
        <f>IF($A357="","",COUNTIFS('Таблиця 1'!$B:$B,$A357,'Таблиця 1'!$E:$E,"обл. РЕБ",'Таблиця 1'!$L:$L,"Уражено"))</f>
        <v/>
      </c>
      <c r="P357">
        <f>IF($A357="","",COUNTIFS('Таблиця 1'!$B:$B,$A357,'Таблиця 1'!$E:$E,"пос РЕБ",'Таблиця 1'!$L:$L,"Уражено"))</f>
        <v/>
      </c>
      <c r="Q357">
        <f>IF($A357="","",COUNTIFS('Таблиця 1'!$B:$B,$A357,'Таблиця 1'!$E:$E,"група РЕР",'Таблиця 1'!$L:$L,"Уражено"))</f>
        <v/>
      </c>
      <c r="R357">
        <f>IF($A357="","",COUNTIFS('Таблиця 1'!$B:$B,$A357,'Таблиця 1'!$E:$E,"РЛС КББ",'Таблиця 1'!$L:$L,"Уражено"))</f>
        <v/>
      </c>
      <c r="S357">
        <f>IF($A357="","",COUNTIFS('Таблиця 1'!$B:$B,$A357,'Таблиця 1'!$E:$E,"Ретранслятор",'Таблиця 1'!$L:$L,"Уражено"))</f>
        <v/>
      </c>
      <c r="T357">
        <f>IF($A357="","",COUNTIFS('Таблиця 1'!$B:$B,$A357,'Таблиця 1'!$E:$E,"Вз.зв'язку",'Таблиця 1'!$L:$L,"Уражено"))</f>
        <v/>
      </c>
      <c r="U357">
        <f>IF($A357="","",COUNTIFS('Таблиця 1'!$B:$B,$A357,'Таблиця 1'!$E:$E,"ПММ",'Таблиця 1'!$L:$L,"Уражено"))</f>
        <v/>
      </c>
      <c r="V357">
        <f>IF($A357="","",COUNTIFS('Таблиця 1'!$B:$B,$A357,'Таблиця 1'!$E:$E,"ІФС",'Таблиця 1'!$L:$L,"Уражено"))</f>
        <v/>
      </c>
      <c r="W357">
        <f>IF($A357="","",COUNTIFS('Таблиця 1'!$B:$B,$A357,'Таблиця 1'!$E:$E,"Інфраструктура",'Таблиця 1'!$L:$L,"Уражено"))</f>
        <v/>
      </c>
      <c r="X357">
        <f>IF($A357="","",SUMIFS('Таблиця 1'!$K:$K,'Таблиця 1'!$B:$B,$A357))</f>
        <v/>
      </c>
    </row>
    <row r="358">
      <c r="A358" s="81">
        <f>IF(A357="","",IF(A357+1&gt;MAX('Таблиця 1'!$B:$B),"",A357+1))</f>
        <v/>
      </c>
      <c r="B358">
        <f>IF($A358="","",COUNTIFS('Таблиця 1'!$B:$B,$A358,'Таблиця 1'!$E:$E,"ЖС ВЗ",'Таблиця 1'!$L:$L,"Уражено"))</f>
        <v/>
      </c>
      <c r="C358">
        <f>IF($A358="","",COUNTIFS('Таблиця 1'!$B:$B,$A358,'Таблиця 1'!$E:$E,"Арт. Системи",'Таблиця 1'!$L:$L,"Уражено"))</f>
        <v/>
      </c>
      <c r="D358">
        <f>IF($A358="","",COUNTIFS('Таблиця 1'!$B:$B,$A358,'Таблиця 1'!$E:$E,"ОВТ",'Таблиця 1'!$L:$L,"Уражено"))</f>
        <v/>
      </c>
      <c r="E358">
        <f>IF($A358="","",COUNTIFS('Таблиця 1'!$B:$B,$A358,'Таблиця 1'!$E:$E,"ППО",'Таблиця 1'!$L:$L,"Уражено"))</f>
        <v/>
      </c>
      <c r="F358">
        <f>IF($A358="","",COUNTIFS('Таблиця 1'!$B:$B,$A358,'Таблиця 1'!$E:$E,"Рембаза",'Таблиця 1'!$L:$L,"Уражено"))</f>
        <v/>
      </c>
      <c r="G358">
        <f>IF($A358="","",COUNTIFS('Таблиця 1'!$B:$B,$A358,'Таблиця 1'!$E:$E,"Склад БК",'Таблиця 1'!$L:$L,"Уражено"))</f>
        <v/>
      </c>
      <c r="H358">
        <f>IF($A358="","",COUNTIFS('Таблиця 1'!$B:$B,$A358,'Таблиця 1'!$E:$E,"Склад ВТМ",'Таблиця 1'!$L:$L,"Уражено"))</f>
        <v/>
      </c>
      <c r="I358">
        <f>IF($A358="","",COUNTIFS('Таблиця 1'!$B:$B,$A358,'Таблиця 1'!$E:$E,"ПУ БпЛА",'Таблиця 1'!$L:$L,"Уражено"))</f>
        <v/>
      </c>
      <c r="J358">
        <f>IF($A358="","",COUNTIFS('Таблиця 1'!$B:$B,$A358,'Таблиця 1'!$E:$E,"СП",'Таблиця 1'!$L:$L,"Уражено"))</f>
        <v/>
      </c>
      <c r="K358">
        <f>IF($A358="","",COUNTIFS('Таблиця 1'!$B:$B,$A358,'Таблиця 1'!$E:$E,"КСП роти",'Таблиця 1'!$L:$L,"Уражено"))</f>
        <v/>
      </c>
      <c r="L358">
        <f>IF($A358="","",COUNTIFS('Таблиця 1'!$B:$B,$A358,'Таблиця 1'!$E:$E,"ПУ бат",'Таблиця 1'!$L:$L,"Уражено"))</f>
        <v/>
      </c>
      <c r="M358">
        <f>IF($A358="","",COUNTIFS('Таблиця 1'!$B:$B,$A358,'Таблиця 1'!$E:$E,"ПУ бриг",'Таблиця 1'!$L:$L,"Уражено"))</f>
        <v/>
      </c>
      <c r="N358">
        <f>IF($A358="","",COUNTIFS('Таблиця 1'!$B:$B,$A358,'Таблиця 1'!$E:$E,"ПУ див",'Таблиця 1'!$L:$L,"Уражено"))</f>
        <v/>
      </c>
      <c r="O358">
        <f>IF($A358="","",COUNTIFS('Таблиця 1'!$B:$B,$A358,'Таблиця 1'!$E:$E,"обл. РЕБ",'Таблиця 1'!$L:$L,"Уражено"))</f>
        <v/>
      </c>
      <c r="P358">
        <f>IF($A358="","",COUNTIFS('Таблиця 1'!$B:$B,$A358,'Таблиця 1'!$E:$E,"пос РЕБ",'Таблиця 1'!$L:$L,"Уражено"))</f>
        <v/>
      </c>
      <c r="Q358">
        <f>IF($A358="","",COUNTIFS('Таблиця 1'!$B:$B,$A358,'Таблиця 1'!$E:$E,"група РЕР",'Таблиця 1'!$L:$L,"Уражено"))</f>
        <v/>
      </c>
      <c r="R358">
        <f>IF($A358="","",COUNTIFS('Таблиця 1'!$B:$B,$A358,'Таблиця 1'!$E:$E,"РЛС КББ",'Таблиця 1'!$L:$L,"Уражено"))</f>
        <v/>
      </c>
      <c r="S358">
        <f>IF($A358="","",COUNTIFS('Таблиця 1'!$B:$B,$A358,'Таблиця 1'!$E:$E,"Ретранслятор",'Таблиця 1'!$L:$L,"Уражено"))</f>
        <v/>
      </c>
      <c r="T358">
        <f>IF($A358="","",COUNTIFS('Таблиця 1'!$B:$B,$A358,'Таблиця 1'!$E:$E,"Вз.зв'язку",'Таблиця 1'!$L:$L,"Уражено"))</f>
        <v/>
      </c>
      <c r="U358">
        <f>IF($A358="","",COUNTIFS('Таблиця 1'!$B:$B,$A358,'Таблиця 1'!$E:$E,"ПММ",'Таблиця 1'!$L:$L,"Уражено"))</f>
        <v/>
      </c>
      <c r="V358">
        <f>IF($A358="","",COUNTIFS('Таблиця 1'!$B:$B,$A358,'Таблиця 1'!$E:$E,"ІФС",'Таблиця 1'!$L:$L,"Уражено"))</f>
        <v/>
      </c>
      <c r="W358">
        <f>IF($A358="","",COUNTIFS('Таблиця 1'!$B:$B,$A358,'Таблиця 1'!$E:$E,"Інфраструктура",'Таблиця 1'!$L:$L,"Уражено"))</f>
        <v/>
      </c>
      <c r="X358">
        <f>IF($A358="","",SUMIFS('Таблиця 1'!$K:$K,'Таблиця 1'!$B:$B,$A358))</f>
        <v/>
      </c>
    </row>
    <row r="359">
      <c r="A359" s="81">
        <f>IF(A358="","",IF(A358+1&gt;MAX('Таблиця 1'!$B:$B),"",A358+1))</f>
        <v/>
      </c>
      <c r="B359">
        <f>IF($A359="","",COUNTIFS('Таблиця 1'!$B:$B,$A359,'Таблиця 1'!$E:$E,"ЖС ВЗ",'Таблиця 1'!$L:$L,"Уражено"))</f>
        <v/>
      </c>
      <c r="C359">
        <f>IF($A359="","",COUNTIFS('Таблиця 1'!$B:$B,$A359,'Таблиця 1'!$E:$E,"Арт. Системи",'Таблиця 1'!$L:$L,"Уражено"))</f>
        <v/>
      </c>
      <c r="D359">
        <f>IF($A359="","",COUNTIFS('Таблиця 1'!$B:$B,$A359,'Таблиця 1'!$E:$E,"ОВТ",'Таблиця 1'!$L:$L,"Уражено"))</f>
        <v/>
      </c>
      <c r="E359">
        <f>IF($A359="","",COUNTIFS('Таблиця 1'!$B:$B,$A359,'Таблиця 1'!$E:$E,"ППО",'Таблиця 1'!$L:$L,"Уражено"))</f>
        <v/>
      </c>
      <c r="F359">
        <f>IF($A359="","",COUNTIFS('Таблиця 1'!$B:$B,$A359,'Таблиця 1'!$E:$E,"Рембаза",'Таблиця 1'!$L:$L,"Уражено"))</f>
        <v/>
      </c>
      <c r="G359">
        <f>IF($A359="","",COUNTIFS('Таблиця 1'!$B:$B,$A359,'Таблиця 1'!$E:$E,"Склад БК",'Таблиця 1'!$L:$L,"Уражено"))</f>
        <v/>
      </c>
      <c r="H359">
        <f>IF($A359="","",COUNTIFS('Таблиця 1'!$B:$B,$A359,'Таблиця 1'!$E:$E,"Склад ВТМ",'Таблиця 1'!$L:$L,"Уражено"))</f>
        <v/>
      </c>
      <c r="I359">
        <f>IF($A359="","",COUNTIFS('Таблиця 1'!$B:$B,$A359,'Таблиця 1'!$E:$E,"ПУ БпЛА",'Таблиця 1'!$L:$L,"Уражено"))</f>
        <v/>
      </c>
      <c r="J359">
        <f>IF($A359="","",COUNTIFS('Таблиця 1'!$B:$B,$A359,'Таблиця 1'!$E:$E,"СП",'Таблиця 1'!$L:$L,"Уражено"))</f>
        <v/>
      </c>
      <c r="K359">
        <f>IF($A359="","",COUNTIFS('Таблиця 1'!$B:$B,$A359,'Таблиця 1'!$E:$E,"КСП роти",'Таблиця 1'!$L:$L,"Уражено"))</f>
        <v/>
      </c>
      <c r="L359">
        <f>IF($A359="","",COUNTIFS('Таблиця 1'!$B:$B,$A359,'Таблиця 1'!$E:$E,"ПУ бат",'Таблиця 1'!$L:$L,"Уражено"))</f>
        <v/>
      </c>
      <c r="M359">
        <f>IF($A359="","",COUNTIFS('Таблиця 1'!$B:$B,$A359,'Таблиця 1'!$E:$E,"ПУ бриг",'Таблиця 1'!$L:$L,"Уражено"))</f>
        <v/>
      </c>
      <c r="N359">
        <f>IF($A359="","",COUNTIFS('Таблиця 1'!$B:$B,$A359,'Таблиця 1'!$E:$E,"ПУ див",'Таблиця 1'!$L:$L,"Уражено"))</f>
        <v/>
      </c>
      <c r="O359">
        <f>IF($A359="","",COUNTIFS('Таблиця 1'!$B:$B,$A359,'Таблиця 1'!$E:$E,"обл. РЕБ",'Таблиця 1'!$L:$L,"Уражено"))</f>
        <v/>
      </c>
      <c r="P359">
        <f>IF($A359="","",COUNTIFS('Таблиця 1'!$B:$B,$A359,'Таблиця 1'!$E:$E,"пос РЕБ",'Таблиця 1'!$L:$L,"Уражено"))</f>
        <v/>
      </c>
      <c r="Q359">
        <f>IF($A359="","",COUNTIFS('Таблиця 1'!$B:$B,$A359,'Таблиця 1'!$E:$E,"група РЕР",'Таблиця 1'!$L:$L,"Уражено"))</f>
        <v/>
      </c>
      <c r="R359">
        <f>IF($A359="","",COUNTIFS('Таблиця 1'!$B:$B,$A359,'Таблиця 1'!$E:$E,"РЛС КББ",'Таблиця 1'!$L:$L,"Уражено"))</f>
        <v/>
      </c>
      <c r="S359">
        <f>IF($A359="","",COUNTIFS('Таблиця 1'!$B:$B,$A359,'Таблиця 1'!$E:$E,"Ретранслятор",'Таблиця 1'!$L:$L,"Уражено"))</f>
        <v/>
      </c>
      <c r="T359">
        <f>IF($A359="","",COUNTIFS('Таблиця 1'!$B:$B,$A359,'Таблиця 1'!$E:$E,"Вз.зв'язку",'Таблиця 1'!$L:$L,"Уражено"))</f>
        <v/>
      </c>
      <c r="U359">
        <f>IF($A359="","",COUNTIFS('Таблиця 1'!$B:$B,$A359,'Таблиця 1'!$E:$E,"ПММ",'Таблиця 1'!$L:$L,"Уражено"))</f>
        <v/>
      </c>
      <c r="V359">
        <f>IF($A359="","",COUNTIFS('Таблиця 1'!$B:$B,$A359,'Таблиця 1'!$E:$E,"ІФС",'Таблиця 1'!$L:$L,"Уражено"))</f>
        <v/>
      </c>
      <c r="W359">
        <f>IF($A359="","",COUNTIFS('Таблиця 1'!$B:$B,$A359,'Таблиця 1'!$E:$E,"Інфраструктура",'Таблиця 1'!$L:$L,"Уражено"))</f>
        <v/>
      </c>
      <c r="X359">
        <f>IF($A359="","",SUMIFS('Таблиця 1'!$K:$K,'Таблиця 1'!$B:$B,$A359))</f>
        <v/>
      </c>
    </row>
    <row r="360">
      <c r="A360" s="81">
        <f>IF(A359="","",IF(A359+1&gt;MAX('Таблиця 1'!$B:$B),"",A359+1))</f>
        <v/>
      </c>
      <c r="B360">
        <f>IF($A360="","",COUNTIFS('Таблиця 1'!$B:$B,$A360,'Таблиця 1'!$E:$E,"ЖС ВЗ",'Таблиця 1'!$L:$L,"Уражено"))</f>
        <v/>
      </c>
      <c r="C360">
        <f>IF($A360="","",COUNTIFS('Таблиця 1'!$B:$B,$A360,'Таблиця 1'!$E:$E,"Арт. Системи",'Таблиця 1'!$L:$L,"Уражено"))</f>
        <v/>
      </c>
      <c r="D360">
        <f>IF($A360="","",COUNTIFS('Таблиця 1'!$B:$B,$A360,'Таблиця 1'!$E:$E,"ОВТ",'Таблиця 1'!$L:$L,"Уражено"))</f>
        <v/>
      </c>
      <c r="E360">
        <f>IF($A360="","",COUNTIFS('Таблиця 1'!$B:$B,$A360,'Таблиця 1'!$E:$E,"ППО",'Таблиця 1'!$L:$L,"Уражено"))</f>
        <v/>
      </c>
      <c r="F360">
        <f>IF($A360="","",COUNTIFS('Таблиця 1'!$B:$B,$A360,'Таблиця 1'!$E:$E,"Рембаза",'Таблиця 1'!$L:$L,"Уражено"))</f>
        <v/>
      </c>
      <c r="G360">
        <f>IF($A360="","",COUNTIFS('Таблиця 1'!$B:$B,$A360,'Таблиця 1'!$E:$E,"Склад БК",'Таблиця 1'!$L:$L,"Уражено"))</f>
        <v/>
      </c>
      <c r="H360">
        <f>IF($A360="","",COUNTIFS('Таблиця 1'!$B:$B,$A360,'Таблиця 1'!$E:$E,"Склад ВТМ",'Таблиця 1'!$L:$L,"Уражено"))</f>
        <v/>
      </c>
      <c r="I360">
        <f>IF($A360="","",COUNTIFS('Таблиця 1'!$B:$B,$A360,'Таблиця 1'!$E:$E,"ПУ БпЛА",'Таблиця 1'!$L:$L,"Уражено"))</f>
        <v/>
      </c>
      <c r="J360">
        <f>IF($A360="","",COUNTIFS('Таблиця 1'!$B:$B,$A360,'Таблиця 1'!$E:$E,"СП",'Таблиця 1'!$L:$L,"Уражено"))</f>
        <v/>
      </c>
      <c r="K360">
        <f>IF($A360="","",COUNTIFS('Таблиця 1'!$B:$B,$A360,'Таблиця 1'!$E:$E,"КСП роти",'Таблиця 1'!$L:$L,"Уражено"))</f>
        <v/>
      </c>
      <c r="L360">
        <f>IF($A360="","",COUNTIFS('Таблиця 1'!$B:$B,$A360,'Таблиця 1'!$E:$E,"ПУ бат",'Таблиця 1'!$L:$L,"Уражено"))</f>
        <v/>
      </c>
      <c r="M360">
        <f>IF($A360="","",COUNTIFS('Таблиця 1'!$B:$B,$A360,'Таблиця 1'!$E:$E,"ПУ бриг",'Таблиця 1'!$L:$L,"Уражено"))</f>
        <v/>
      </c>
      <c r="N360">
        <f>IF($A360="","",COUNTIFS('Таблиця 1'!$B:$B,$A360,'Таблиця 1'!$E:$E,"ПУ див",'Таблиця 1'!$L:$L,"Уражено"))</f>
        <v/>
      </c>
      <c r="O360">
        <f>IF($A360="","",COUNTIFS('Таблиця 1'!$B:$B,$A360,'Таблиця 1'!$E:$E,"обл. РЕБ",'Таблиця 1'!$L:$L,"Уражено"))</f>
        <v/>
      </c>
      <c r="P360">
        <f>IF($A360="","",COUNTIFS('Таблиця 1'!$B:$B,$A360,'Таблиця 1'!$E:$E,"пос РЕБ",'Таблиця 1'!$L:$L,"Уражено"))</f>
        <v/>
      </c>
      <c r="Q360">
        <f>IF($A360="","",COUNTIFS('Таблиця 1'!$B:$B,$A360,'Таблиця 1'!$E:$E,"група РЕР",'Таблиця 1'!$L:$L,"Уражено"))</f>
        <v/>
      </c>
      <c r="R360">
        <f>IF($A360="","",COUNTIFS('Таблиця 1'!$B:$B,$A360,'Таблиця 1'!$E:$E,"РЛС КББ",'Таблиця 1'!$L:$L,"Уражено"))</f>
        <v/>
      </c>
      <c r="S360">
        <f>IF($A360="","",COUNTIFS('Таблиця 1'!$B:$B,$A360,'Таблиця 1'!$E:$E,"Ретранслятор",'Таблиця 1'!$L:$L,"Уражено"))</f>
        <v/>
      </c>
      <c r="T360">
        <f>IF($A360="","",COUNTIFS('Таблиця 1'!$B:$B,$A360,'Таблиця 1'!$E:$E,"Вз.зв'язку",'Таблиця 1'!$L:$L,"Уражено"))</f>
        <v/>
      </c>
      <c r="U360">
        <f>IF($A360="","",COUNTIFS('Таблиця 1'!$B:$B,$A360,'Таблиця 1'!$E:$E,"ПММ",'Таблиця 1'!$L:$L,"Уражено"))</f>
        <v/>
      </c>
      <c r="V360">
        <f>IF($A360="","",COUNTIFS('Таблиця 1'!$B:$B,$A360,'Таблиця 1'!$E:$E,"ІФС",'Таблиця 1'!$L:$L,"Уражено"))</f>
        <v/>
      </c>
      <c r="W360">
        <f>IF($A360="","",COUNTIFS('Таблиця 1'!$B:$B,$A360,'Таблиця 1'!$E:$E,"Інфраструктура",'Таблиця 1'!$L:$L,"Уражено"))</f>
        <v/>
      </c>
      <c r="X360">
        <f>IF($A360="","",SUMIFS('Таблиця 1'!$K:$K,'Таблиця 1'!$B:$B,$A360))</f>
        <v/>
      </c>
    </row>
    <row r="361">
      <c r="A361" s="81">
        <f>IF(A360="","",IF(A360+1&gt;MAX('Таблиця 1'!$B:$B),"",A360+1))</f>
        <v/>
      </c>
      <c r="B361">
        <f>IF($A361="","",COUNTIFS('Таблиця 1'!$B:$B,$A361,'Таблиця 1'!$E:$E,"ЖС ВЗ",'Таблиця 1'!$L:$L,"Уражено"))</f>
        <v/>
      </c>
      <c r="C361">
        <f>IF($A361="","",COUNTIFS('Таблиця 1'!$B:$B,$A361,'Таблиця 1'!$E:$E,"Арт. Системи",'Таблиця 1'!$L:$L,"Уражено"))</f>
        <v/>
      </c>
      <c r="D361">
        <f>IF($A361="","",COUNTIFS('Таблиця 1'!$B:$B,$A361,'Таблиця 1'!$E:$E,"ОВТ",'Таблиця 1'!$L:$L,"Уражено"))</f>
        <v/>
      </c>
      <c r="E361">
        <f>IF($A361="","",COUNTIFS('Таблиця 1'!$B:$B,$A361,'Таблиця 1'!$E:$E,"ППО",'Таблиця 1'!$L:$L,"Уражено"))</f>
        <v/>
      </c>
      <c r="F361">
        <f>IF($A361="","",COUNTIFS('Таблиця 1'!$B:$B,$A361,'Таблиця 1'!$E:$E,"Рембаза",'Таблиця 1'!$L:$L,"Уражено"))</f>
        <v/>
      </c>
      <c r="G361">
        <f>IF($A361="","",COUNTIFS('Таблиця 1'!$B:$B,$A361,'Таблиця 1'!$E:$E,"Склад БК",'Таблиця 1'!$L:$L,"Уражено"))</f>
        <v/>
      </c>
      <c r="H361">
        <f>IF($A361="","",COUNTIFS('Таблиця 1'!$B:$B,$A361,'Таблиця 1'!$E:$E,"Склад ВТМ",'Таблиця 1'!$L:$L,"Уражено"))</f>
        <v/>
      </c>
      <c r="I361">
        <f>IF($A361="","",COUNTIFS('Таблиця 1'!$B:$B,$A361,'Таблиця 1'!$E:$E,"ПУ БпЛА",'Таблиця 1'!$L:$L,"Уражено"))</f>
        <v/>
      </c>
      <c r="J361">
        <f>IF($A361="","",COUNTIFS('Таблиця 1'!$B:$B,$A361,'Таблиця 1'!$E:$E,"СП",'Таблиця 1'!$L:$L,"Уражено"))</f>
        <v/>
      </c>
      <c r="K361">
        <f>IF($A361="","",COUNTIFS('Таблиця 1'!$B:$B,$A361,'Таблиця 1'!$E:$E,"КСП роти",'Таблиця 1'!$L:$L,"Уражено"))</f>
        <v/>
      </c>
      <c r="L361">
        <f>IF($A361="","",COUNTIFS('Таблиця 1'!$B:$B,$A361,'Таблиця 1'!$E:$E,"ПУ бат",'Таблиця 1'!$L:$L,"Уражено"))</f>
        <v/>
      </c>
      <c r="M361">
        <f>IF($A361="","",COUNTIFS('Таблиця 1'!$B:$B,$A361,'Таблиця 1'!$E:$E,"ПУ бриг",'Таблиця 1'!$L:$L,"Уражено"))</f>
        <v/>
      </c>
      <c r="N361">
        <f>IF($A361="","",COUNTIFS('Таблиця 1'!$B:$B,$A361,'Таблиця 1'!$E:$E,"ПУ див",'Таблиця 1'!$L:$L,"Уражено"))</f>
        <v/>
      </c>
      <c r="O361">
        <f>IF($A361="","",COUNTIFS('Таблиця 1'!$B:$B,$A361,'Таблиця 1'!$E:$E,"обл. РЕБ",'Таблиця 1'!$L:$L,"Уражено"))</f>
        <v/>
      </c>
      <c r="P361">
        <f>IF($A361="","",COUNTIFS('Таблиця 1'!$B:$B,$A361,'Таблиця 1'!$E:$E,"пос РЕБ",'Таблиця 1'!$L:$L,"Уражено"))</f>
        <v/>
      </c>
      <c r="Q361">
        <f>IF($A361="","",COUNTIFS('Таблиця 1'!$B:$B,$A361,'Таблиця 1'!$E:$E,"група РЕР",'Таблиця 1'!$L:$L,"Уражено"))</f>
        <v/>
      </c>
      <c r="R361">
        <f>IF($A361="","",COUNTIFS('Таблиця 1'!$B:$B,$A361,'Таблиця 1'!$E:$E,"РЛС КББ",'Таблиця 1'!$L:$L,"Уражено"))</f>
        <v/>
      </c>
      <c r="S361">
        <f>IF($A361="","",COUNTIFS('Таблиця 1'!$B:$B,$A361,'Таблиця 1'!$E:$E,"Ретранслятор",'Таблиця 1'!$L:$L,"Уражено"))</f>
        <v/>
      </c>
      <c r="T361">
        <f>IF($A361="","",COUNTIFS('Таблиця 1'!$B:$B,$A361,'Таблиця 1'!$E:$E,"Вз.зв'язку",'Таблиця 1'!$L:$L,"Уражено"))</f>
        <v/>
      </c>
      <c r="U361">
        <f>IF($A361="","",COUNTIFS('Таблиця 1'!$B:$B,$A361,'Таблиця 1'!$E:$E,"ПММ",'Таблиця 1'!$L:$L,"Уражено"))</f>
        <v/>
      </c>
      <c r="V361">
        <f>IF($A361="","",COUNTIFS('Таблиця 1'!$B:$B,$A361,'Таблиця 1'!$E:$E,"ІФС",'Таблиця 1'!$L:$L,"Уражено"))</f>
        <v/>
      </c>
      <c r="W361">
        <f>IF($A361="","",COUNTIFS('Таблиця 1'!$B:$B,$A361,'Таблиця 1'!$E:$E,"Інфраструктура",'Таблиця 1'!$L:$L,"Уражено"))</f>
        <v/>
      </c>
      <c r="X361">
        <f>IF($A361="","",SUMIFS('Таблиця 1'!$K:$K,'Таблиця 1'!$B:$B,$A361))</f>
        <v/>
      </c>
    </row>
    <row r="362">
      <c r="A362" s="81">
        <f>IF(A361="","",IF(A361+1&gt;MAX('Таблиця 1'!$B:$B),"",A361+1))</f>
        <v/>
      </c>
      <c r="B362">
        <f>IF($A362="","",COUNTIFS('Таблиця 1'!$B:$B,$A362,'Таблиця 1'!$E:$E,"ЖС ВЗ",'Таблиця 1'!$L:$L,"Уражено"))</f>
        <v/>
      </c>
      <c r="C362">
        <f>IF($A362="","",COUNTIFS('Таблиця 1'!$B:$B,$A362,'Таблиця 1'!$E:$E,"Арт. Системи",'Таблиця 1'!$L:$L,"Уражено"))</f>
        <v/>
      </c>
      <c r="D362">
        <f>IF($A362="","",COUNTIFS('Таблиця 1'!$B:$B,$A362,'Таблиця 1'!$E:$E,"ОВТ",'Таблиця 1'!$L:$L,"Уражено"))</f>
        <v/>
      </c>
      <c r="E362">
        <f>IF($A362="","",COUNTIFS('Таблиця 1'!$B:$B,$A362,'Таблиця 1'!$E:$E,"ППО",'Таблиця 1'!$L:$L,"Уражено"))</f>
        <v/>
      </c>
      <c r="F362">
        <f>IF($A362="","",COUNTIFS('Таблиця 1'!$B:$B,$A362,'Таблиця 1'!$E:$E,"Рембаза",'Таблиця 1'!$L:$L,"Уражено"))</f>
        <v/>
      </c>
      <c r="G362">
        <f>IF($A362="","",COUNTIFS('Таблиця 1'!$B:$B,$A362,'Таблиця 1'!$E:$E,"Склад БК",'Таблиця 1'!$L:$L,"Уражено"))</f>
        <v/>
      </c>
      <c r="H362">
        <f>IF($A362="","",COUNTIFS('Таблиця 1'!$B:$B,$A362,'Таблиця 1'!$E:$E,"Склад ВТМ",'Таблиця 1'!$L:$L,"Уражено"))</f>
        <v/>
      </c>
      <c r="I362">
        <f>IF($A362="","",COUNTIFS('Таблиця 1'!$B:$B,$A362,'Таблиця 1'!$E:$E,"ПУ БпЛА",'Таблиця 1'!$L:$L,"Уражено"))</f>
        <v/>
      </c>
      <c r="J362">
        <f>IF($A362="","",COUNTIFS('Таблиця 1'!$B:$B,$A362,'Таблиця 1'!$E:$E,"СП",'Таблиця 1'!$L:$L,"Уражено"))</f>
        <v/>
      </c>
      <c r="K362">
        <f>IF($A362="","",COUNTIFS('Таблиця 1'!$B:$B,$A362,'Таблиця 1'!$E:$E,"КСП роти",'Таблиця 1'!$L:$L,"Уражено"))</f>
        <v/>
      </c>
      <c r="L362">
        <f>IF($A362="","",COUNTIFS('Таблиця 1'!$B:$B,$A362,'Таблиця 1'!$E:$E,"ПУ бат",'Таблиця 1'!$L:$L,"Уражено"))</f>
        <v/>
      </c>
      <c r="M362">
        <f>IF($A362="","",COUNTIFS('Таблиця 1'!$B:$B,$A362,'Таблиця 1'!$E:$E,"ПУ бриг",'Таблиця 1'!$L:$L,"Уражено"))</f>
        <v/>
      </c>
      <c r="N362">
        <f>IF($A362="","",COUNTIFS('Таблиця 1'!$B:$B,$A362,'Таблиця 1'!$E:$E,"ПУ див",'Таблиця 1'!$L:$L,"Уражено"))</f>
        <v/>
      </c>
      <c r="O362">
        <f>IF($A362="","",COUNTIFS('Таблиця 1'!$B:$B,$A362,'Таблиця 1'!$E:$E,"обл. РЕБ",'Таблиця 1'!$L:$L,"Уражено"))</f>
        <v/>
      </c>
      <c r="P362">
        <f>IF($A362="","",COUNTIFS('Таблиця 1'!$B:$B,$A362,'Таблиця 1'!$E:$E,"пос РЕБ",'Таблиця 1'!$L:$L,"Уражено"))</f>
        <v/>
      </c>
      <c r="Q362">
        <f>IF($A362="","",COUNTIFS('Таблиця 1'!$B:$B,$A362,'Таблиця 1'!$E:$E,"група РЕР",'Таблиця 1'!$L:$L,"Уражено"))</f>
        <v/>
      </c>
      <c r="R362">
        <f>IF($A362="","",COUNTIFS('Таблиця 1'!$B:$B,$A362,'Таблиця 1'!$E:$E,"РЛС КББ",'Таблиця 1'!$L:$L,"Уражено"))</f>
        <v/>
      </c>
      <c r="S362">
        <f>IF($A362="","",COUNTIFS('Таблиця 1'!$B:$B,$A362,'Таблиця 1'!$E:$E,"Ретранслятор",'Таблиця 1'!$L:$L,"Уражено"))</f>
        <v/>
      </c>
      <c r="T362">
        <f>IF($A362="","",COUNTIFS('Таблиця 1'!$B:$B,$A362,'Таблиця 1'!$E:$E,"Вз.зв'язку",'Таблиця 1'!$L:$L,"Уражено"))</f>
        <v/>
      </c>
      <c r="U362">
        <f>IF($A362="","",COUNTIFS('Таблиця 1'!$B:$B,$A362,'Таблиця 1'!$E:$E,"ПММ",'Таблиця 1'!$L:$L,"Уражено"))</f>
        <v/>
      </c>
      <c r="V362">
        <f>IF($A362="","",COUNTIFS('Таблиця 1'!$B:$B,$A362,'Таблиця 1'!$E:$E,"ІФС",'Таблиця 1'!$L:$L,"Уражено"))</f>
        <v/>
      </c>
      <c r="W362">
        <f>IF($A362="","",COUNTIFS('Таблиця 1'!$B:$B,$A362,'Таблиця 1'!$E:$E,"Інфраструктура",'Таблиця 1'!$L:$L,"Уражено"))</f>
        <v/>
      </c>
      <c r="X362">
        <f>IF($A362="","",SUMIFS('Таблиця 1'!$K:$K,'Таблиця 1'!$B:$B,$A362))</f>
        <v/>
      </c>
    </row>
    <row r="363">
      <c r="A363" s="81">
        <f>IF(A362="","",IF(A362+1&gt;MAX('Таблиця 1'!$B:$B),"",A362+1))</f>
        <v/>
      </c>
      <c r="B363">
        <f>IF($A363="","",COUNTIFS('Таблиця 1'!$B:$B,$A363,'Таблиця 1'!$E:$E,"ЖС ВЗ",'Таблиця 1'!$L:$L,"Уражено"))</f>
        <v/>
      </c>
      <c r="C363">
        <f>IF($A363="","",COUNTIFS('Таблиця 1'!$B:$B,$A363,'Таблиця 1'!$E:$E,"Арт. Системи",'Таблиця 1'!$L:$L,"Уражено"))</f>
        <v/>
      </c>
      <c r="D363">
        <f>IF($A363="","",COUNTIFS('Таблиця 1'!$B:$B,$A363,'Таблиця 1'!$E:$E,"ОВТ",'Таблиця 1'!$L:$L,"Уражено"))</f>
        <v/>
      </c>
      <c r="E363">
        <f>IF($A363="","",COUNTIFS('Таблиця 1'!$B:$B,$A363,'Таблиця 1'!$E:$E,"ППО",'Таблиця 1'!$L:$L,"Уражено"))</f>
        <v/>
      </c>
      <c r="F363">
        <f>IF($A363="","",COUNTIFS('Таблиця 1'!$B:$B,$A363,'Таблиця 1'!$E:$E,"Рембаза",'Таблиця 1'!$L:$L,"Уражено"))</f>
        <v/>
      </c>
      <c r="G363">
        <f>IF($A363="","",COUNTIFS('Таблиця 1'!$B:$B,$A363,'Таблиця 1'!$E:$E,"Склад БК",'Таблиця 1'!$L:$L,"Уражено"))</f>
        <v/>
      </c>
      <c r="H363">
        <f>IF($A363="","",COUNTIFS('Таблиця 1'!$B:$B,$A363,'Таблиця 1'!$E:$E,"Склад ВТМ",'Таблиця 1'!$L:$L,"Уражено"))</f>
        <v/>
      </c>
      <c r="I363">
        <f>IF($A363="","",COUNTIFS('Таблиця 1'!$B:$B,$A363,'Таблиця 1'!$E:$E,"ПУ БпЛА",'Таблиця 1'!$L:$L,"Уражено"))</f>
        <v/>
      </c>
      <c r="J363">
        <f>IF($A363="","",COUNTIFS('Таблиця 1'!$B:$B,$A363,'Таблиця 1'!$E:$E,"СП",'Таблиця 1'!$L:$L,"Уражено"))</f>
        <v/>
      </c>
      <c r="K363">
        <f>IF($A363="","",COUNTIFS('Таблиця 1'!$B:$B,$A363,'Таблиця 1'!$E:$E,"КСП роти",'Таблиця 1'!$L:$L,"Уражено"))</f>
        <v/>
      </c>
      <c r="L363">
        <f>IF($A363="","",COUNTIFS('Таблиця 1'!$B:$B,$A363,'Таблиця 1'!$E:$E,"ПУ бат",'Таблиця 1'!$L:$L,"Уражено"))</f>
        <v/>
      </c>
      <c r="M363">
        <f>IF($A363="","",COUNTIFS('Таблиця 1'!$B:$B,$A363,'Таблиця 1'!$E:$E,"ПУ бриг",'Таблиця 1'!$L:$L,"Уражено"))</f>
        <v/>
      </c>
      <c r="N363">
        <f>IF($A363="","",COUNTIFS('Таблиця 1'!$B:$B,$A363,'Таблиця 1'!$E:$E,"ПУ див",'Таблиця 1'!$L:$L,"Уражено"))</f>
        <v/>
      </c>
      <c r="O363">
        <f>IF($A363="","",COUNTIFS('Таблиця 1'!$B:$B,$A363,'Таблиця 1'!$E:$E,"обл. РЕБ",'Таблиця 1'!$L:$L,"Уражено"))</f>
        <v/>
      </c>
      <c r="P363">
        <f>IF($A363="","",COUNTIFS('Таблиця 1'!$B:$B,$A363,'Таблиця 1'!$E:$E,"пос РЕБ",'Таблиця 1'!$L:$L,"Уражено"))</f>
        <v/>
      </c>
      <c r="Q363">
        <f>IF($A363="","",COUNTIFS('Таблиця 1'!$B:$B,$A363,'Таблиця 1'!$E:$E,"група РЕР",'Таблиця 1'!$L:$L,"Уражено"))</f>
        <v/>
      </c>
      <c r="R363">
        <f>IF($A363="","",COUNTIFS('Таблиця 1'!$B:$B,$A363,'Таблиця 1'!$E:$E,"РЛС КББ",'Таблиця 1'!$L:$L,"Уражено"))</f>
        <v/>
      </c>
      <c r="S363">
        <f>IF($A363="","",COUNTIFS('Таблиця 1'!$B:$B,$A363,'Таблиця 1'!$E:$E,"Ретранслятор",'Таблиця 1'!$L:$L,"Уражено"))</f>
        <v/>
      </c>
      <c r="T363">
        <f>IF($A363="","",COUNTIFS('Таблиця 1'!$B:$B,$A363,'Таблиця 1'!$E:$E,"Вз.зв'язку",'Таблиця 1'!$L:$L,"Уражено"))</f>
        <v/>
      </c>
      <c r="U363">
        <f>IF($A363="","",COUNTIFS('Таблиця 1'!$B:$B,$A363,'Таблиця 1'!$E:$E,"ПММ",'Таблиця 1'!$L:$L,"Уражено"))</f>
        <v/>
      </c>
      <c r="V363">
        <f>IF($A363="","",COUNTIFS('Таблиця 1'!$B:$B,$A363,'Таблиця 1'!$E:$E,"ІФС",'Таблиця 1'!$L:$L,"Уражено"))</f>
        <v/>
      </c>
      <c r="W363">
        <f>IF($A363="","",COUNTIFS('Таблиця 1'!$B:$B,$A363,'Таблиця 1'!$E:$E,"Інфраструктура",'Таблиця 1'!$L:$L,"Уражено"))</f>
        <v/>
      </c>
      <c r="X363">
        <f>IF($A363="","",SUMIFS('Таблиця 1'!$K:$K,'Таблиця 1'!$B:$B,$A363))</f>
        <v/>
      </c>
    </row>
    <row r="364">
      <c r="A364" s="81">
        <f>IF(A363="","",IF(A363+1&gt;MAX('Таблиця 1'!$B:$B),"",A363+1))</f>
        <v/>
      </c>
      <c r="B364">
        <f>IF($A364="","",COUNTIFS('Таблиця 1'!$B:$B,$A364,'Таблиця 1'!$E:$E,"ЖС ВЗ",'Таблиця 1'!$L:$L,"Уражено"))</f>
        <v/>
      </c>
      <c r="C364">
        <f>IF($A364="","",COUNTIFS('Таблиця 1'!$B:$B,$A364,'Таблиця 1'!$E:$E,"Арт. Системи",'Таблиця 1'!$L:$L,"Уражено"))</f>
        <v/>
      </c>
      <c r="D364">
        <f>IF($A364="","",COUNTIFS('Таблиця 1'!$B:$B,$A364,'Таблиця 1'!$E:$E,"ОВТ",'Таблиця 1'!$L:$L,"Уражено"))</f>
        <v/>
      </c>
      <c r="E364">
        <f>IF($A364="","",COUNTIFS('Таблиця 1'!$B:$B,$A364,'Таблиця 1'!$E:$E,"ППО",'Таблиця 1'!$L:$L,"Уражено"))</f>
        <v/>
      </c>
      <c r="F364">
        <f>IF($A364="","",COUNTIFS('Таблиця 1'!$B:$B,$A364,'Таблиця 1'!$E:$E,"Рембаза",'Таблиця 1'!$L:$L,"Уражено"))</f>
        <v/>
      </c>
      <c r="G364">
        <f>IF($A364="","",COUNTIFS('Таблиця 1'!$B:$B,$A364,'Таблиця 1'!$E:$E,"Склад БК",'Таблиця 1'!$L:$L,"Уражено"))</f>
        <v/>
      </c>
      <c r="H364">
        <f>IF($A364="","",COUNTIFS('Таблиця 1'!$B:$B,$A364,'Таблиця 1'!$E:$E,"Склад ВТМ",'Таблиця 1'!$L:$L,"Уражено"))</f>
        <v/>
      </c>
      <c r="I364">
        <f>IF($A364="","",COUNTIFS('Таблиця 1'!$B:$B,$A364,'Таблиця 1'!$E:$E,"ПУ БпЛА",'Таблиця 1'!$L:$L,"Уражено"))</f>
        <v/>
      </c>
      <c r="J364">
        <f>IF($A364="","",COUNTIFS('Таблиця 1'!$B:$B,$A364,'Таблиця 1'!$E:$E,"СП",'Таблиця 1'!$L:$L,"Уражено"))</f>
        <v/>
      </c>
      <c r="K364">
        <f>IF($A364="","",COUNTIFS('Таблиця 1'!$B:$B,$A364,'Таблиця 1'!$E:$E,"КСП роти",'Таблиця 1'!$L:$L,"Уражено"))</f>
        <v/>
      </c>
      <c r="L364">
        <f>IF($A364="","",COUNTIFS('Таблиця 1'!$B:$B,$A364,'Таблиця 1'!$E:$E,"ПУ бат",'Таблиця 1'!$L:$L,"Уражено"))</f>
        <v/>
      </c>
      <c r="M364">
        <f>IF($A364="","",COUNTIFS('Таблиця 1'!$B:$B,$A364,'Таблиця 1'!$E:$E,"ПУ бриг",'Таблиця 1'!$L:$L,"Уражено"))</f>
        <v/>
      </c>
      <c r="N364">
        <f>IF($A364="","",COUNTIFS('Таблиця 1'!$B:$B,$A364,'Таблиця 1'!$E:$E,"ПУ див",'Таблиця 1'!$L:$L,"Уражено"))</f>
        <v/>
      </c>
      <c r="O364">
        <f>IF($A364="","",COUNTIFS('Таблиця 1'!$B:$B,$A364,'Таблиця 1'!$E:$E,"обл. РЕБ",'Таблиця 1'!$L:$L,"Уражено"))</f>
        <v/>
      </c>
      <c r="P364">
        <f>IF($A364="","",COUNTIFS('Таблиця 1'!$B:$B,$A364,'Таблиця 1'!$E:$E,"пос РЕБ",'Таблиця 1'!$L:$L,"Уражено"))</f>
        <v/>
      </c>
      <c r="Q364">
        <f>IF($A364="","",COUNTIFS('Таблиця 1'!$B:$B,$A364,'Таблиця 1'!$E:$E,"група РЕР",'Таблиця 1'!$L:$L,"Уражено"))</f>
        <v/>
      </c>
      <c r="R364">
        <f>IF($A364="","",COUNTIFS('Таблиця 1'!$B:$B,$A364,'Таблиця 1'!$E:$E,"РЛС КББ",'Таблиця 1'!$L:$L,"Уражено"))</f>
        <v/>
      </c>
      <c r="S364">
        <f>IF($A364="","",COUNTIFS('Таблиця 1'!$B:$B,$A364,'Таблиця 1'!$E:$E,"Ретранслятор",'Таблиця 1'!$L:$L,"Уражено"))</f>
        <v/>
      </c>
      <c r="T364">
        <f>IF($A364="","",COUNTIFS('Таблиця 1'!$B:$B,$A364,'Таблиця 1'!$E:$E,"Вз.зв'язку",'Таблиця 1'!$L:$L,"Уражено"))</f>
        <v/>
      </c>
      <c r="U364">
        <f>IF($A364="","",COUNTIFS('Таблиця 1'!$B:$B,$A364,'Таблиця 1'!$E:$E,"ПММ",'Таблиця 1'!$L:$L,"Уражено"))</f>
        <v/>
      </c>
      <c r="V364">
        <f>IF($A364="","",COUNTIFS('Таблиця 1'!$B:$B,$A364,'Таблиця 1'!$E:$E,"ІФС",'Таблиця 1'!$L:$L,"Уражено"))</f>
        <v/>
      </c>
      <c r="W364">
        <f>IF($A364="","",COUNTIFS('Таблиця 1'!$B:$B,$A364,'Таблиця 1'!$E:$E,"Інфраструктура",'Таблиця 1'!$L:$L,"Уражено"))</f>
        <v/>
      </c>
      <c r="X364">
        <f>IF($A364="","",SUMIFS('Таблиця 1'!$K:$K,'Таблиця 1'!$B:$B,$A364))</f>
        <v/>
      </c>
    </row>
    <row r="365">
      <c r="A365" s="81">
        <f>IF(A364="","",IF(A364+1&gt;MAX('Таблиця 1'!$B:$B),"",A364+1))</f>
        <v/>
      </c>
      <c r="B365">
        <f>IF($A365="","",COUNTIFS('Таблиця 1'!$B:$B,$A365,'Таблиця 1'!$E:$E,"ЖС ВЗ",'Таблиця 1'!$L:$L,"Уражено"))</f>
        <v/>
      </c>
      <c r="C365">
        <f>IF($A365="","",COUNTIFS('Таблиця 1'!$B:$B,$A365,'Таблиця 1'!$E:$E,"Арт. Системи",'Таблиця 1'!$L:$L,"Уражено"))</f>
        <v/>
      </c>
      <c r="D365">
        <f>IF($A365="","",COUNTIFS('Таблиця 1'!$B:$B,$A365,'Таблиця 1'!$E:$E,"ОВТ",'Таблиця 1'!$L:$L,"Уражено"))</f>
        <v/>
      </c>
      <c r="E365">
        <f>IF($A365="","",COUNTIFS('Таблиця 1'!$B:$B,$A365,'Таблиця 1'!$E:$E,"ППО",'Таблиця 1'!$L:$L,"Уражено"))</f>
        <v/>
      </c>
      <c r="F365">
        <f>IF($A365="","",COUNTIFS('Таблиця 1'!$B:$B,$A365,'Таблиця 1'!$E:$E,"Рембаза",'Таблиця 1'!$L:$L,"Уражено"))</f>
        <v/>
      </c>
      <c r="G365">
        <f>IF($A365="","",COUNTIFS('Таблиця 1'!$B:$B,$A365,'Таблиця 1'!$E:$E,"Склад БК",'Таблиця 1'!$L:$L,"Уражено"))</f>
        <v/>
      </c>
      <c r="H365">
        <f>IF($A365="","",COUNTIFS('Таблиця 1'!$B:$B,$A365,'Таблиця 1'!$E:$E,"Склад ВТМ",'Таблиця 1'!$L:$L,"Уражено"))</f>
        <v/>
      </c>
      <c r="I365">
        <f>IF($A365="","",COUNTIFS('Таблиця 1'!$B:$B,$A365,'Таблиця 1'!$E:$E,"ПУ БпЛА",'Таблиця 1'!$L:$L,"Уражено"))</f>
        <v/>
      </c>
      <c r="J365">
        <f>IF($A365="","",COUNTIFS('Таблиця 1'!$B:$B,$A365,'Таблиця 1'!$E:$E,"СП",'Таблиця 1'!$L:$L,"Уражено"))</f>
        <v/>
      </c>
      <c r="K365">
        <f>IF($A365="","",COUNTIFS('Таблиця 1'!$B:$B,$A365,'Таблиця 1'!$E:$E,"КСП роти",'Таблиця 1'!$L:$L,"Уражено"))</f>
        <v/>
      </c>
      <c r="L365">
        <f>IF($A365="","",COUNTIFS('Таблиця 1'!$B:$B,$A365,'Таблиця 1'!$E:$E,"ПУ бат",'Таблиця 1'!$L:$L,"Уражено"))</f>
        <v/>
      </c>
      <c r="M365">
        <f>IF($A365="","",COUNTIFS('Таблиця 1'!$B:$B,$A365,'Таблиця 1'!$E:$E,"ПУ бриг",'Таблиця 1'!$L:$L,"Уражено"))</f>
        <v/>
      </c>
      <c r="N365">
        <f>IF($A365="","",COUNTIFS('Таблиця 1'!$B:$B,$A365,'Таблиця 1'!$E:$E,"ПУ див",'Таблиця 1'!$L:$L,"Уражено"))</f>
        <v/>
      </c>
      <c r="O365">
        <f>IF($A365="","",COUNTIFS('Таблиця 1'!$B:$B,$A365,'Таблиця 1'!$E:$E,"обл. РЕБ",'Таблиця 1'!$L:$L,"Уражено"))</f>
        <v/>
      </c>
      <c r="P365">
        <f>IF($A365="","",COUNTIFS('Таблиця 1'!$B:$B,$A365,'Таблиця 1'!$E:$E,"пос РЕБ",'Таблиця 1'!$L:$L,"Уражено"))</f>
        <v/>
      </c>
      <c r="Q365">
        <f>IF($A365="","",COUNTIFS('Таблиця 1'!$B:$B,$A365,'Таблиця 1'!$E:$E,"група РЕР",'Таблиця 1'!$L:$L,"Уражено"))</f>
        <v/>
      </c>
      <c r="R365">
        <f>IF($A365="","",COUNTIFS('Таблиця 1'!$B:$B,$A365,'Таблиця 1'!$E:$E,"РЛС КББ",'Таблиця 1'!$L:$L,"Уражено"))</f>
        <v/>
      </c>
      <c r="S365">
        <f>IF($A365="","",COUNTIFS('Таблиця 1'!$B:$B,$A365,'Таблиця 1'!$E:$E,"Ретранслятор",'Таблиця 1'!$L:$L,"Уражено"))</f>
        <v/>
      </c>
      <c r="T365">
        <f>IF($A365="","",COUNTIFS('Таблиця 1'!$B:$B,$A365,'Таблиця 1'!$E:$E,"Вз.зв'язку",'Таблиця 1'!$L:$L,"Уражено"))</f>
        <v/>
      </c>
      <c r="U365">
        <f>IF($A365="","",COUNTIFS('Таблиця 1'!$B:$B,$A365,'Таблиця 1'!$E:$E,"ПММ",'Таблиця 1'!$L:$L,"Уражено"))</f>
        <v/>
      </c>
      <c r="V365">
        <f>IF($A365="","",COUNTIFS('Таблиця 1'!$B:$B,$A365,'Таблиця 1'!$E:$E,"ІФС",'Таблиця 1'!$L:$L,"Уражено"))</f>
        <v/>
      </c>
      <c r="W365">
        <f>IF($A365="","",COUNTIFS('Таблиця 1'!$B:$B,$A365,'Таблиця 1'!$E:$E,"Інфраструктура",'Таблиця 1'!$L:$L,"Уражено"))</f>
        <v/>
      </c>
      <c r="X365">
        <f>IF($A365="","",SUMIFS('Таблиця 1'!$K:$K,'Таблиця 1'!$B:$B,$A365))</f>
        <v/>
      </c>
    </row>
    <row r="366">
      <c r="A366" s="81">
        <f>IF(A365="","",IF(A365+1&gt;MAX('Таблиця 1'!$B:$B),"",A365+1))</f>
        <v/>
      </c>
      <c r="B366">
        <f>IF($A366="","",COUNTIFS('Таблиця 1'!$B:$B,$A366,'Таблиця 1'!$E:$E,"ЖС ВЗ",'Таблиця 1'!$L:$L,"Уражено"))</f>
        <v/>
      </c>
      <c r="C366">
        <f>IF($A366="","",COUNTIFS('Таблиця 1'!$B:$B,$A366,'Таблиця 1'!$E:$E,"Арт. Системи",'Таблиця 1'!$L:$L,"Уражено"))</f>
        <v/>
      </c>
      <c r="D366">
        <f>IF($A366="","",COUNTIFS('Таблиця 1'!$B:$B,$A366,'Таблиця 1'!$E:$E,"ОВТ",'Таблиця 1'!$L:$L,"Уражено"))</f>
        <v/>
      </c>
      <c r="E366">
        <f>IF($A366="","",COUNTIFS('Таблиця 1'!$B:$B,$A366,'Таблиця 1'!$E:$E,"ППО",'Таблиця 1'!$L:$L,"Уражено"))</f>
        <v/>
      </c>
      <c r="F366">
        <f>IF($A366="","",COUNTIFS('Таблиця 1'!$B:$B,$A366,'Таблиця 1'!$E:$E,"Рембаза",'Таблиця 1'!$L:$L,"Уражено"))</f>
        <v/>
      </c>
      <c r="G366">
        <f>IF($A366="","",COUNTIFS('Таблиця 1'!$B:$B,$A366,'Таблиця 1'!$E:$E,"Склад БК",'Таблиця 1'!$L:$L,"Уражено"))</f>
        <v/>
      </c>
      <c r="H366">
        <f>IF($A366="","",COUNTIFS('Таблиця 1'!$B:$B,$A366,'Таблиця 1'!$E:$E,"Склад ВТМ",'Таблиця 1'!$L:$L,"Уражено"))</f>
        <v/>
      </c>
      <c r="I366">
        <f>IF($A366="","",COUNTIFS('Таблиця 1'!$B:$B,$A366,'Таблиця 1'!$E:$E,"ПУ БпЛА",'Таблиця 1'!$L:$L,"Уражено"))</f>
        <v/>
      </c>
      <c r="J366">
        <f>IF($A366="","",COUNTIFS('Таблиця 1'!$B:$B,$A366,'Таблиця 1'!$E:$E,"СП",'Таблиця 1'!$L:$L,"Уражено"))</f>
        <v/>
      </c>
      <c r="K366">
        <f>IF($A366="","",COUNTIFS('Таблиця 1'!$B:$B,$A366,'Таблиця 1'!$E:$E,"КСП роти",'Таблиця 1'!$L:$L,"Уражено"))</f>
        <v/>
      </c>
      <c r="L366">
        <f>IF($A366="","",COUNTIFS('Таблиця 1'!$B:$B,$A366,'Таблиця 1'!$E:$E,"ПУ бат",'Таблиця 1'!$L:$L,"Уражено"))</f>
        <v/>
      </c>
      <c r="M366">
        <f>IF($A366="","",COUNTIFS('Таблиця 1'!$B:$B,$A366,'Таблиця 1'!$E:$E,"ПУ бриг",'Таблиця 1'!$L:$L,"Уражено"))</f>
        <v/>
      </c>
      <c r="N366">
        <f>IF($A366="","",COUNTIFS('Таблиця 1'!$B:$B,$A366,'Таблиця 1'!$E:$E,"ПУ див",'Таблиця 1'!$L:$L,"Уражено"))</f>
        <v/>
      </c>
      <c r="O366">
        <f>IF($A366="","",COUNTIFS('Таблиця 1'!$B:$B,$A366,'Таблиця 1'!$E:$E,"обл. РЕБ",'Таблиця 1'!$L:$L,"Уражено"))</f>
        <v/>
      </c>
      <c r="P366">
        <f>IF($A366="","",COUNTIFS('Таблиця 1'!$B:$B,$A366,'Таблиця 1'!$E:$E,"пос РЕБ",'Таблиця 1'!$L:$L,"Уражено"))</f>
        <v/>
      </c>
      <c r="Q366">
        <f>IF($A366="","",COUNTIFS('Таблиця 1'!$B:$B,$A366,'Таблиця 1'!$E:$E,"група РЕР",'Таблиця 1'!$L:$L,"Уражено"))</f>
        <v/>
      </c>
      <c r="R366">
        <f>IF($A366="","",COUNTIFS('Таблиця 1'!$B:$B,$A366,'Таблиця 1'!$E:$E,"РЛС КББ",'Таблиця 1'!$L:$L,"Уражено"))</f>
        <v/>
      </c>
      <c r="S366">
        <f>IF($A366="","",COUNTIFS('Таблиця 1'!$B:$B,$A366,'Таблиця 1'!$E:$E,"Ретранслятор",'Таблиця 1'!$L:$L,"Уражено"))</f>
        <v/>
      </c>
      <c r="T366">
        <f>IF($A366="","",COUNTIFS('Таблиця 1'!$B:$B,$A366,'Таблиця 1'!$E:$E,"Вз.зв'язку",'Таблиця 1'!$L:$L,"Уражено"))</f>
        <v/>
      </c>
      <c r="U366">
        <f>IF($A366="","",COUNTIFS('Таблиця 1'!$B:$B,$A366,'Таблиця 1'!$E:$E,"ПММ",'Таблиця 1'!$L:$L,"Уражено"))</f>
        <v/>
      </c>
      <c r="V366">
        <f>IF($A366="","",COUNTIFS('Таблиця 1'!$B:$B,$A366,'Таблиця 1'!$E:$E,"ІФС",'Таблиця 1'!$L:$L,"Уражено"))</f>
        <v/>
      </c>
      <c r="W366">
        <f>IF($A366="","",COUNTIFS('Таблиця 1'!$B:$B,$A366,'Таблиця 1'!$E:$E,"Інфраструктура",'Таблиця 1'!$L:$L,"Уражено"))</f>
        <v/>
      </c>
      <c r="X366">
        <f>IF($A366="","",SUMIFS('Таблиця 1'!$K:$K,'Таблиця 1'!$B:$B,$A366))</f>
        <v/>
      </c>
    </row>
    <row r="367">
      <c r="A367" s="81">
        <f>IF(A366="","",IF(A366+1&gt;MAX('Таблиця 1'!$B:$B),"",A366+1))</f>
        <v/>
      </c>
      <c r="B367">
        <f>IF($A367="","",COUNTIFS('Таблиця 1'!$B:$B,$A367,'Таблиця 1'!$E:$E,"ЖС ВЗ",'Таблиця 1'!$L:$L,"Уражено"))</f>
        <v/>
      </c>
      <c r="C367">
        <f>IF($A367="","",COUNTIFS('Таблиця 1'!$B:$B,$A367,'Таблиця 1'!$E:$E,"Арт. Системи",'Таблиця 1'!$L:$L,"Уражено"))</f>
        <v/>
      </c>
      <c r="D367">
        <f>IF($A367="","",COUNTIFS('Таблиця 1'!$B:$B,$A367,'Таблиця 1'!$E:$E,"ОВТ",'Таблиця 1'!$L:$L,"Уражено"))</f>
        <v/>
      </c>
      <c r="E367">
        <f>IF($A367="","",COUNTIFS('Таблиця 1'!$B:$B,$A367,'Таблиця 1'!$E:$E,"ППО",'Таблиця 1'!$L:$L,"Уражено"))</f>
        <v/>
      </c>
      <c r="F367">
        <f>IF($A367="","",COUNTIFS('Таблиця 1'!$B:$B,$A367,'Таблиця 1'!$E:$E,"Рембаза",'Таблиця 1'!$L:$L,"Уражено"))</f>
        <v/>
      </c>
      <c r="G367">
        <f>IF($A367="","",COUNTIFS('Таблиця 1'!$B:$B,$A367,'Таблиця 1'!$E:$E,"Склад БК",'Таблиця 1'!$L:$L,"Уражено"))</f>
        <v/>
      </c>
      <c r="H367">
        <f>IF($A367="","",COUNTIFS('Таблиця 1'!$B:$B,$A367,'Таблиця 1'!$E:$E,"Склад ВТМ",'Таблиця 1'!$L:$L,"Уражено"))</f>
        <v/>
      </c>
      <c r="I367">
        <f>IF($A367="","",COUNTIFS('Таблиця 1'!$B:$B,$A367,'Таблиця 1'!$E:$E,"ПУ БпЛА",'Таблиця 1'!$L:$L,"Уражено"))</f>
        <v/>
      </c>
      <c r="J367">
        <f>IF($A367="","",COUNTIFS('Таблиця 1'!$B:$B,$A367,'Таблиця 1'!$E:$E,"СП",'Таблиця 1'!$L:$L,"Уражено"))</f>
        <v/>
      </c>
      <c r="K367">
        <f>IF($A367="","",COUNTIFS('Таблиця 1'!$B:$B,$A367,'Таблиця 1'!$E:$E,"КСП роти",'Таблиця 1'!$L:$L,"Уражено"))</f>
        <v/>
      </c>
      <c r="L367">
        <f>IF($A367="","",COUNTIFS('Таблиця 1'!$B:$B,$A367,'Таблиця 1'!$E:$E,"ПУ бат",'Таблиця 1'!$L:$L,"Уражено"))</f>
        <v/>
      </c>
      <c r="M367">
        <f>IF($A367="","",COUNTIFS('Таблиця 1'!$B:$B,$A367,'Таблиця 1'!$E:$E,"ПУ бриг",'Таблиця 1'!$L:$L,"Уражено"))</f>
        <v/>
      </c>
      <c r="N367">
        <f>IF($A367="","",COUNTIFS('Таблиця 1'!$B:$B,$A367,'Таблиця 1'!$E:$E,"ПУ див",'Таблиця 1'!$L:$L,"Уражено"))</f>
        <v/>
      </c>
      <c r="O367">
        <f>IF($A367="","",COUNTIFS('Таблиця 1'!$B:$B,$A367,'Таблиця 1'!$E:$E,"обл. РЕБ",'Таблиця 1'!$L:$L,"Уражено"))</f>
        <v/>
      </c>
      <c r="P367">
        <f>IF($A367="","",COUNTIFS('Таблиця 1'!$B:$B,$A367,'Таблиця 1'!$E:$E,"пос РЕБ",'Таблиця 1'!$L:$L,"Уражено"))</f>
        <v/>
      </c>
      <c r="Q367">
        <f>IF($A367="","",COUNTIFS('Таблиця 1'!$B:$B,$A367,'Таблиця 1'!$E:$E,"група РЕР",'Таблиця 1'!$L:$L,"Уражено"))</f>
        <v/>
      </c>
      <c r="R367">
        <f>IF($A367="","",COUNTIFS('Таблиця 1'!$B:$B,$A367,'Таблиця 1'!$E:$E,"РЛС КББ",'Таблиця 1'!$L:$L,"Уражено"))</f>
        <v/>
      </c>
      <c r="S367">
        <f>IF($A367="","",COUNTIFS('Таблиця 1'!$B:$B,$A367,'Таблиця 1'!$E:$E,"Ретранслятор",'Таблиця 1'!$L:$L,"Уражено"))</f>
        <v/>
      </c>
      <c r="T367">
        <f>IF($A367="","",COUNTIFS('Таблиця 1'!$B:$B,$A367,'Таблиця 1'!$E:$E,"Вз.зв'язку",'Таблиця 1'!$L:$L,"Уражено"))</f>
        <v/>
      </c>
      <c r="U367">
        <f>IF($A367="","",COUNTIFS('Таблиця 1'!$B:$B,$A367,'Таблиця 1'!$E:$E,"ПММ",'Таблиця 1'!$L:$L,"Уражено"))</f>
        <v/>
      </c>
      <c r="V367">
        <f>IF($A367="","",COUNTIFS('Таблиця 1'!$B:$B,$A367,'Таблиця 1'!$E:$E,"ІФС",'Таблиця 1'!$L:$L,"Уражено"))</f>
        <v/>
      </c>
      <c r="W367">
        <f>IF($A367="","",COUNTIFS('Таблиця 1'!$B:$B,$A367,'Таблиця 1'!$E:$E,"Інфраструктура",'Таблиця 1'!$L:$L,"Уражено"))</f>
        <v/>
      </c>
      <c r="X367">
        <f>IF($A367="","",SUMIFS('Таблиця 1'!$K:$K,'Таблиця 1'!$B:$B,$A367))</f>
        <v/>
      </c>
    </row>
    <row r="368">
      <c r="A368" s="81">
        <f>IF(A367="","",IF(A367+1&gt;MAX('Таблиця 1'!$B:$B),"",A367+1))</f>
        <v/>
      </c>
      <c r="B368">
        <f>IF($A368="","",COUNTIFS('Таблиця 1'!$B:$B,$A368,'Таблиця 1'!$E:$E,"ЖС ВЗ",'Таблиця 1'!$L:$L,"Уражено"))</f>
        <v/>
      </c>
      <c r="C368">
        <f>IF($A368="","",COUNTIFS('Таблиця 1'!$B:$B,$A368,'Таблиця 1'!$E:$E,"Арт. Системи",'Таблиця 1'!$L:$L,"Уражено"))</f>
        <v/>
      </c>
      <c r="D368">
        <f>IF($A368="","",COUNTIFS('Таблиця 1'!$B:$B,$A368,'Таблиця 1'!$E:$E,"ОВТ",'Таблиця 1'!$L:$L,"Уражено"))</f>
        <v/>
      </c>
      <c r="E368">
        <f>IF($A368="","",COUNTIFS('Таблиця 1'!$B:$B,$A368,'Таблиця 1'!$E:$E,"ППО",'Таблиця 1'!$L:$L,"Уражено"))</f>
        <v/>
      </c>
      <c r="F368">
        <f>IF($A368="","",COUNTIFS('Таблиця 1'!$B:$B,$A368,'Таблиця 1'!$E:$E,"Рембаза",'Таблиця 1'!$L:$L,"Уражено"))</f>
        <v/>
      </c>
      <c r="G368">
        <f>IF($A368="","",COUNTIFS('Таблиця 1'!$B:$B,$A368,'Таблиця 1'!$E:$E,"Склад БК",'Таблиця 1'!$L:$L,"Уражено"))</f>
        <v/>
      </c>
      <c r="H368">
        <f>IF($A368="","",COUNTIFS('Таблиця 1'!$B:$B,$A368,'Таблиця 1'!$E:$E,"Склад ВТМ",'Таблиця 1'!$L:$L,"Уражено"))</f>
        <v/>
      </c>
      <c r="I368">
        <f>IF($A368="","",COUNTIFS('Таблиця 1'!$B:$B,$A368,'Таблиця 1'!$E:$E,"ПУ БпЛА",'Таблиця 1'!$L:$L,"Уражено"))</f>
        <v/>
      </c>
      <c r="J368">
        <f>IF($A368="","",COUNTIFS('Таблиця 1'!$B:$B,$A368,'Таблиця 1'!$E:$E,"СП",'Таблиця 1'!$L:$L,"Уражено"))</f>
        <v/>
      </c>
      <c r="K368">
        <f>IF($A368="","",COUNTIFS('Таблиця 1'!$B:$B,$A368,'Таблиця 1'!$E:$E,"КСП роти",'Таблиця 1'!$L:$L,"Уражено"))</f>
        <v/>
      </c>
      <c r="L368">
        <f>IF($A368="","",COUNTIFS('Таблиця 1'!$B:$B,$A368,'Таблиця 1'!$E:$E,"ПУ бат",'Таблиця 1'!$L:$L,"Уражено"))</f>
        <v/>
      </c>
      <c r="M368">
        <f>IF($A368="","",COUNTIFS('Таблиця 1'!$B:$B,$A368,'Таблиця 1'!$E:$E,"ПУ бриг",'Таблиця 1'!$L:$L,"Уражено"))</f>
        <v/>
      </c>
      <c r="N368">
        <f>IF($A368="","",COUNTIFS('Таблиця 1'!$B:$B,$A368,'Таблиця 1'!$E:$E,"ПУ див",'Таблиця 1'!$L:$L,"Уражено"))</f>
        <v/>
      </c>
      <c r="O368">
        <f>IF($A368="","",COUNTIFS('Таблиця 1'!$B:$B,$A368,'Таблиця 1'!$E:$E,"обл. РЕБ",'Таблиця 1'!$L:$L,"Уражено"))</f>
        <v/>
      </c>
      <c r="P368">
        <f>IF($A368="","",COUNTIFS('Таблиця 1'!$B:$B,$A368,'Таблиця 1'!$E:$E,"пос РЕБ",'Таблиця 1'!$L:$L,"Уражено"))</f>
        <v/>
      </c>
      <c r="Q368">
        <f>IF($A368="","",COUNTIFS('Таблиця 1'!$B:$B,$A368,'Таблиця 1'!$E:$E,"група РЕР",'Таблиця 1'!$L:$L,"Уражено"))</f>
        <v/>
      </c>
      <c r="R368">
        <f>IF($A368="","",COUNTIFS('Таблиця 1'!$B:$B,$A368,'Таблиця 1'!$E:$E,"РЛС КББ",'Таблиця 1'!$L:$L,"Уражено"))</f>
        <v/>
      </c>
      <c r="S368">
        <f>IF($A368="","",COUNTIFS('Таблиця 1'!$B:$B,$A368,'Таблиця 1'!$E:$E,"Ретранслятор",'Таблиця 1'!$L:$L,"Уражено"))</f>
        <v/>
      </c>
      <c r="T368">
        <f>IF($A368="","",COUNTIFS('Таблиця 1'!$B:$B,$A368,'Таблиця 1'!$E:$E,"Вз.зв'язку",'Таблиця 1'!$L:$L,"Уражено"))</f>
        <v/>
      </c>
      <c r="U368">
        <f>IF($A368="","",COUNTIFS('Таблиця 1'!$B:$B,$A368,'Таблиця 1'!$E:$E,"ПММ",'Таблиця 1'!$L:$L,"Уражено"))</f>
        <v/>
      </c>
      <c r="V368">
        <f>IF($A368="","",COUNTIFS('Таблиця 1'!$B:$B,$A368,'Таблиця 1'!$E:$E,"ІФС",'Таблиця 1'!$L:$L,"Уражено"))</f>
        <v/>
      </c>
      <c r="W368">
        <f>IF($A368="","",COUNTIFS('Таблиця 1'!$B:$B,$A368,'Таблиця 1'!$E:$E,"Інфраструктура",'Таблиця 1'!$L:$L,"Уражено"))</f>
        <v/>
      </c>
      <c r="X368">
        <f>IF($A368="","",SUMIFS('Таблиця 1'!$K:$K,'Таблиця 1'!$B:$B,$A368))</f>
        <v/>
      </c>
    </row>
    <row r="369">
      <c r="A369" s="81">
        <f>IF(A368="","",IF(A368+1&gt;MAX('Таблиця 1'!$B:$B),"",A368+1))</f>
        <v/>
      </c>
      <c r="B369">
        <f>IF($A369="","",COUNTIFS('Таблиця 1'!$B:$B,$A369,'Таблиця 1'!$E:$E,"ЖС ВЗ",'Таблиця 1'!$L:$L,"Уражено"))</f>
        <v/>
      </c>
      <c r="C369">
        <f>IF($A369="","",COUNTIFS('Таблиця 1'!$B:$B,$A369,'Таблиця 1'!$E:$E,"Арт. Системи",'Таблиця 1'!$L:$L,"Уражено"))</f>
        <v/>
      </c>
      <c r="D369">
        <f>IF($A369="","",COUNTIFS('Таблиця 1'!$B:$B,$A369,'Таблиця 1'!$E:$E,"ОВТ",'Таблиця 1'!$L:$L,"Уражено"))</f>
        <v/>
      </c>
      <c r="E369">
        <f>IF($A369="","",COUNTIFS('Таблиця 1'!$B:$B,$A369,'Таблиця 1'!$E:$E,"ППО",'Таблиця 1'!$L:$L,"Уражено"))</f>
        <v/>
      </c>
      <c r="F369">
        <f>IF($A369="","",COUNTIFS('Таблиця 1'!$B:$B,$A369,'Таблиця 1'!$E:$E,"Рембаза",'Таблиця 1'!$L:$L,"Уражено"))</f>
        <v/>
      </c>
      <c r="G369">
        <f>IF($A369="","",COUNTIFS('Таблиця 1'!$B:$B,$A369,'Таблиця 1'!$E:$E,"Склад БК",'Таблиця 1'!$L:$L,"Уражено"))</f>
        <v/>
      </c>
      <c r="H369">
        <f>IF($A369="","",COUNTIFS('Таблиця 1'!$B:$B,$A369,'Таблиця 1'!$E:$E,"Склад ВТМ",'Таблиця 1'!$L:$L,"Уражено"))</f>
        <v/>
      </c>
      <c r="I369">
        <f>IF($A369="","",COUNTIFS('Таблиця 1'!$B:$B,$A369,'Таблиця 1'!$E:$E,"ПУ БпЛА",'Таблиця 1'!$L:$L,"Уражено"))</f>
        <v/>
      </c>
      <c r="J369">
        <f>IF($A369="","",COUNTIFS('Таблиця 1'!$B:$B,$A369,'Таблиця 1'!$E:$E,"СП",'Таблиця 1'!$L:$L,"Уражено"))</f>
        <v/>
      </c>
      <c r="K369">
        <f>IF($A369="","",COUNTIFS('Таблиця 1'!$B:$B,$A369,'Таблиця 1'!$E:$E,"КСП роти",'Таблиця 1'!$L:$L,"Уражено"))</f>
        <v/>
      </c>
      <c r="L369">
        <f>IF($A369="","",COUNTIFS('Таблиця 1'!$B:$B,$A369,'Таблиця 1'!$E:$E,"ПУ бат",'Таблиця 1'!$L:$L,"Уражено"))</f>
        <v/>
      </c>
      <c r="M369">
        <f>IF($A369="","",COUNTIFS('Таблиця 1'!$B:$B,$A369,'Таблиця 1'!$E:$E,"ПУ бриг",'Таблиця 1'!$L:$L,"Уражено"))</f>
        <v/>
      </c>
      <c r="N369">
        <f>IF($A369="","",COUNTIFS('Таблиця 1'!$B:$B,$A369,'Таблиця 1'!$E:$E,"ПУ див",'Таблиця 1'!$L:$L,"Уражено"))</f>
        <v/>
      </c>
      <c r="O369">
        <f>IF($A369="","",COUNTIFS('Таблиця 1'!$B:$B,$A369,'Таблиця 1'!$E:$E,"обл. РЕБ",'Таблиця 1'!$L:$L,"Уражено"))</f>
        <v/>
      </c>
      <c r="P369">
        <f>IF($A369="","",COUNTIFS('Таблиця 1'!$B:$B,$A369,'Таблиця 1'!$E:$E,"пос РЕБ",'Таблиця 1'!$L:$L,"Уражено"))</f>
        <v/>
      </c>
      <c r="Q369">
        <f>IF($A369="","",COUNTIFS('Таблиця 1'!$B:$B,$A369,'Таблиця 1'!$E:$E,"група РЕР",'Таблиця 1'!$L:$L,"Уражено"))</f>
        <v/>
      </c>
      <c r="R369">
        <f>IF($A369="","",COUNTIFS('Таблиця 1'!$B:$B,$A369,'Таблиця 1'!$E:$E,"РЛС КББ",'Таблиця 1'!$L:$L,"Уражено"))</f>
        <v/>
      </c>
      <c r="S369">
        <f>IF($A369="","",COUNTIFS('Таблиця 1'!$B:$B,$A369,'Таблиця 1'!$E:$E,"Ретранслятор",'Таблиця 1'!$L:$L,"Уражено"))</f>
        <v/>
      </c>
      <c r="T369">
        <f>IF($A369="","",COUNTIFS('Таблиця 1'!$B:$B,$A369,'Таблиця 1'!$E:$E,"Вз.зв'язку",'Таблиця 1'!$L:$L,"Уражено"))</f>
        <v/>
      </c>
      <c r="U369">
        <f>IF($A369="","",COUNTIFS('Таблиця 1'!$B:$B,$A369,'Таблиця 1'!$E:$E,"ПММ",'Таблиця 1'!$L:$L,"Уражено"))</f>
        <v/>
      </c>
      <c r="V369">
        <f>IF($A369="","",COUNTIFS('Таблиця 1'!$B:$B,$A369,'Таблиця 1'!$E:$E,"ІФС",'Таблиця 1'!$L:$L,"Уражено"))</f>
        <v/>
      </c>
      <c r="W369">
        <f>IF($A369="","",COUNTIFS('Таблиця 1'!$B:$B,$A369,'Таблиця 1'!$E:$E,"Інфраструктура",'Таблиця 1'!$L:$L,"Уражено"))</f>
        <v/>
      </c>
      <c r="X369">
        <f>IF($A369="","",SUMIFS('Таблиця 1'!$K:$K,'Таблиця 1'!$B:$B,$A369))</f>
        <v/>
      </c>
    </row>
    <row r="370">
      <c r="A370" s="81">
        <f>IF(A369="","",IF(A369+1&gt;MAX('Таблиця 1'!$B:$B),"",A369+1))</f>
        <v/>
      </c>
      <c r="B370">
        <f>IF($A370="","",COUNTIFS('Таблиця 1'!$B:$B,$A370,'Таблиця 1'!$E:$E,"ЖС ВЗ",'Таблиця 1'!$L:$L,"Уражено"))</f>
        <v/>
      </c>
      <c r="C370">
        <f>IF($A370="","",COUNTIFS('Таблиця 1'!$B:$B,$A370,'Таблиця 1'!$E:$E,"Арт. Системи",'Таблиця 1'!$L:$L,"Уражено"))</f>
        <v/>
      </c>
      <c r="D370">
        <f>IF($A370="","",COUNTIFS('Таблиця 1'!$B:$B,$A370,'Таблиця 1'!$E:$E,"ОВТ",'Таблиця 1'!$L:$L,"Уражено"))</f>
        <v/>
      </c>
      <c r="E370">
        <f>IF($A370="","",COUNTIFS('Таблиця 1'!$B:$B,$A370,'Таблиця 1'!$E:$E,"ППО",'Таблиця 1'!$L:$L,"Уражено"))</f>
        <v/>
      </c>
      <c r="F370">
        <f>IF($A370="","",COUNTIFS('Таблиця 1'!$B:$B,$A370,'Таблиця 1'!$E:$E,"Рембаза",'Таблиця 1'!$L:$L,"Уражено"))</f>
        <v/>
      </c>
      <c r="G370">
        <f>IF($A370="","",COUNTIFS('Таблиця 1'!$B:$B,$A370,'Таблиця 1'!$E:$E,"Склад БК",'Таблиця 1'!$L:$L,"Уражено"))</f>
        <v/>
      </c>
      <c r="H370">
        <f>IF($A370="","",COUNTIFS('Таблиця 1'!$B:$B,$A370,'Таблиця 1'!$E:$E,"Склад ВТМ",'Таблиця 1'!$L:$L,"Уражено"))</f>
        <v/>
      </c>
      <c r="I370">
        <f>IF($A370="","",COUNTIFS('Таблиця 1'!$B:$B,$A370,'Таблиця 1'!$E:$E,"ПУ БпЛА",'Таблиця 1'!$L:$L,"Уражено"))</f>
        <v/>
      </c>
      <c r="J370">
        <f>IF($A370="","",COUNTIFS('Таблиця 1'!$B:$B,$A370,'Таблиця 1'!$E:$E,"СП",'Таблиця 1'!$L:$L,"Уражено"))</f>
        <v/>
      </c>
      <c r="K370">
        <f>IF($A370="","",COUNTIFS('Таблиця 1'!$B:$B,$A370,'Таблиця 1'!$E:$E,"КСП роти",'Таблиця 1'!$L:$L,"Уражено"))</f>
        <v/>
      </c>
      <c r="L370">
        <f>IF($A370="","",COUNTIFS('Таблиця 1'!$B:$B,$A370,'Таблиця 1'!$E:$E,"ПУ бат",'Таблиця 1'!$L:$L,"Уражено"))</f>
        <v/>
      </c>
      <c r="M370">
        <f>IF($A370="","",COUNTIFS('Таблиця 1'!$B:$B,$A370,'Таблиця 1'!$E:$E,"ПУ бриг",'Таблиця 1'!$L:$L,"Уражено"))</f>
        <v/>
      </c>
      <c r="N370">
        <f>IF($A370="","",COUNTIFS('Таблиця 1'!$B:$B,$A370,'Таблиця 1'!$E:$E,"ПУ див",'Таблиця 1'!$L:$L,"Уражено"))</f>
        <v/>
      </c>
      <c r="O370">
        <f>IF($A370="","",COUNTIFS('Таблиця 1'!$B:$B,$A370,'Таблиця 1'!$E:$E,"обл. РЕБ",'Таблиця 1'!$L:$L,"Уражено"))</f>
        <v/>
      </c>
      <c r="P370">
        <f>IF($A370="","",COUNTIFS('Таблиця 1'!$B:$B,$A370,'Таблиця 1'!$E:$E,"пос РЕБ",'Таблиця 1'!$L:$L,"Уражено"))</f>
        <v/>
      </c>
      <c r="Q370">
        <f>IF($A370="","",COUNTIFS('Таблиця 1'!$B:$B,$A370,'Таблиця 1'!$E:$E,"група РЕР",'Таблиця 1'!$L:$L,"Уражено"))</f>
        <v/>
      </c>
      <c r="R370">
        <f>IF($A370="","",COUNTIFS('Таблиця 1'!$B:$B,$A370,'Таблиця 1'!$E:$E,"РЛС КББ",'Таблиця 1'!$L:$L,"Уражено"))</f>
        <v/>
      </c>
      <c r="S370">
        <f>IF($A370="","",COUNTIFS('Таблиця 1'!$B:$B,$A370,'Таблиця 1'!$E:$E,"Ретранслятор",'Таблиця 1'!$L:$L,"Уражено"))</f>
        <v/>
      </c>
      <c r="T370">
        <f>IF($A370="","",COUNTIFS('Таблиця 1'!$B:$B,$A370,'Таблиця 1'!$E:$E,"Вз.зв'язку",'Таблиця 1'!$L:$L,"Уражено"))</f>
        <v/>
      </c>
      <c r="U370">
        <f>IF($A370="","",COUNTIFS('Таблиця 1'!$B:$B,$A370,'Таблиця 1'!$E:$E,"ПММ",'Таблиця 1'!$L:$L,"Уражено"))</f>
        <v/>
      </c>
      <c r="V370">
        <f>IF($A370="","",COUNTIFS('Таблиця 1'!$B:$B,$A370,'Таблиця 1'!$E:$E,"ІФС",'Таблиця 1'!$L:$L,"Уражено"))</f>
        <v/>
      </c>
      <c r="W370">
        <f>IF($A370="","",COUNTIFS('Таблиця 1'!$B:$B,$A370,'Таблиця 1'!$E:$E,"Інфраструктура",'Таблиця 1'!$L:$L,"Уражено"))</f>
        <v/>
      </c>
      <c r="X370">
        <f>IF($A370="","",SUMIFS('Таблиця 1'!$K:$K,'Таблиця 1'!$B:$B,$A370))</f>
        <v/>
      </c>
    </row>
    <row r="371">
      <c r="A371" s="81">
        <f>IF(A370="","",IF(A370+1&gt;MAX('Таблиця 1'!$B:$B),"",A370+1))</f>
        <v/>
      </c>
      <c r="B371">
        <f>IF($A371="","",COUNTIFS('Таблиця 1'!$B:$B,$A371,'Таблиця 1'!$E:$E,"ЖС ВЗ",'Таблиця 1'!$L:$L,"Уражено"))</f>
        <v/>
      </c>
      <c r="C371">
        <f>IF($A371="","",COUNTIFS('Таблиця 1'!$B:$B,$A371,'Таблиця 1'!$E:$E,"Арт. Системи",'Таблиця 1'!$L:$L,"Уражено"))</f>
        <v/>
      </c>
      <c r="D371">
        <f>IF($A371="","",COUNTIFS('Таблиця 1'!$B:$B,$A371,'Таблиця 1'!$E:$E,"ОВТ",'Таблиця 1'!$L:$L,"Уражено"))</f>
        <v/>
      </c>
      <c r="E371">
        <f>IF($A371="","",COUNTIFS('Таблиця 1'!$B:$B,$A371,'Таблиця 1'!$E:$E,"ППО",'Таблиця 1'!$L:$L,"Уражено"))</f>
        <v/>
      </c>
      <c r="F371">
        <f>IF($A371="","",COUNTIFS('Таблиця 1'!$B:$B,$A371,'Таблиця 1'!$E:$E,"Рембаза",'Таблиця 1'!$L:$L,"Уражено"))</f>
        <v/>
      </c>
      <c r="G371">
        <f>IF($A371="","",COUNTIFS('Таблиця 1'!$B:$B,$A371,'Таблиця 1'!$E:$E,"Склад БК",'Таблиця 1'!$L:$L,"Уражено"))</f>
        <v/>
      </c>
      <c r="H371">
        <f>IF($A371="","",COUNTIFS('Таблиця 1'!$B:$B,$A371,'Таблиця 1'!$E:$E,"Склад ВТМ",'Таблиця 1'!$L:$L,"Уражено"))</f>
        <v/>
      </c>
      <c r="I371">
        <f>IF($A371="","",COUNTIFS('Таблиця 1'!$B:$B,$A371,'Таблиця 1'!$E:$E,"ПУ БпЛА",'Таблиця 1'!$L:$L,"Уражено"))</f>
        <v/>
      </c>
      <c r="J371">
        <f>IF($A371="","",COUNTIFS('Таблиця 1'!$B:$B,$A371,'Таблиця 1'!$E:$E,"СП",'Таблиця 1'!$L:$L,"Уражено"))</f>
        <v/>
      </c>
      <c r="K371">
        <f>IF($A371="","",COUNTIFS('Таблиця 1'!$B:$B,$A371,'Таблиця 1'!$E:$E,"КСП роти",'Таблиця 1'!$L:$L,"Уражено"))</f>
        <v/>
      </c>
      <c r="L371">
        <f>IF($A371="","",COUNTIFS('Таблиця 1'!$B:$B,$A371,'Таблиця 1'!$E:$E,"ПУ бат",'Таблиця 1'!$L:$L,"Уражено"))</f>
        <v/>
      </c>
      <c r="M371">
        <f>IF($A371="","",COUNTIFS('Таблиця 1'!$B:$B,$A371,'Таблиця 1'!$E:$E,"ПУ бриг",'Таблиця 1'!$L:$L,"Уражено"))</f>
        <v/>
      </c>
      <c r="N371">
        <f>IF($A371="","",COUNTIFS('Таблиця 1'!$B:$B,$A371,'Таблиця 1'!$E:$E,"ПУ див",'Таблиця 1'!$L:$L,"Уражено"))</f>
        <v/>
      </c>
      <c r="O371">
        <f>IF($A371="","",COUNTIFS('Таблиця 1'!$B:$B,$A371,'Таблиця 1'!$E:$E,"обл. РЕБ",'Таблиця 1'!$L:$L,"Уражено"))</f>
        <v/>
      </c>
      <c r="P371">
        <f>IF($A371="","",COUNTIFS('Таблиця 1'!$B:$B,$A371,'Таблиця 1'!$E:$E,"пос РЕБ",'Таблиця 1'!$L:$L,"Уражено"))</f>
        <v/>
      </c>
      <c r="Q371">
        <f>IF($A371="","",COUNTIFS('Таблиця 1'!$B:$B,$A371,'Таблиця 1'!$E:$E,"група РЕР",'Таблиця 1'!$L:$L,"Уражено"))</f>
        <v/>
      </c>
      <c r="R371">
        <f>IF($A371="","",COUNTIFS('Таблиця 1'!$B:$B,$A371,'Таблиця 1'!$E:$E,"РЛС КББ",'Таблиця 1'!$L:$L,"Уражено"))</f>
        <v/>
      </c>
      <c r="S371">
        <f>IF($A371="","",COUNTIFS('Таблиця 1'!$B:$B,$A371,'Таблиця 1'!$E:$E,"Ретранслятор",'Таблиця 1'!$L:$L,"Уражено"))</f>
        <v/>
      </c>
      <c r="T371">
        <f>IF($A371="","",COUNTIFS('Таблиця 1'!$B:$B,$A371,'Таблиця 1'!$E:$E,"Вз.зв'язку",'Таблиця 1'!$L:$L,"Уражено"))</f>
        <v/>
      </c>
      <c r="U371">
        <f>IF($A371="","",COUNTIFS('Таблиця 1'!$B:$B,$A371,'Таблиця 1'!$E:$E,"ПММ",'Таблиця 1'!$L:$L,"Уражено"))</f>
        <v/>
      </c>
      <c r="V371">
        <f>IF($A371="","",COUNTIFS('Таблиця 1'!$B:$B,$A371,'Таблиця 1'!$E:$E,"ІФС",'Таблиця 1'!$L:$L,"Уражено"))</f>
        <v/>
      </c>
      <c r="W371">
        <f>IF($A371="","",COUNTIFS('Таблиця 1'!$B:$B,$A371,'Таблиця 1'!$E:$E,"Інфраструктура",'Таблиця 1'!$L:$L,"Уражено"))</f>
        <v/>
      </c>
      <c r="X371">
        <f>IF($A371="","",SUMIFS('Таблиця 1'!$K:$K,'Таблиця 1'!$B:$B,$A371))</f>
        <v/>
      </c>
    </row>
    <row r="372">
      <c r="A372" s="81">
        <f>IF(A371="","",IF(A371+1&gt;MAX('Таблиця 1'!$B:$B),"",A371+1))</f>
        <v/>
      </c>
      <c r="B372">
        <f>IF($A372="","",COUNTIFS('Таблиця 1'!$B:$B,$A372,'Таблиця 1'!$E:$E,"ЖС ВЗ",'Таблиця 1'!$L:$L,"Уражено"))</f>
        <v/>
      </c>
      <c r="C372">
        <f>IF($A372="","",COUNTIFS('Таблиця 1'!$B:$B,$A372,'Таблиця 1'!$E:$E,"Арт. Системи",'Таблиця 1'!$L:$L,"Уражено"))</f>
        <v/>
      </c>
      <c r="D372">
        <f>IF($A372="","",COUNTIFS('Таблиця 1'!$B:$B,$A372,'Таблиця 1'!$E:$E,"ОВТ",'Таблиця 1'!$L:$L,"Уражено"))</f>
        <v/>
      </c>
      <c r="E372">
        <f>IF($A372="","",COUNTIFS('Таблиця 1'!$B:$B,$A372,'Таблиця 1'!$E:$E,"ППО",'Таблиця 1'!$L:$L,"Уражено"))</f>
        <v/>
      </c>
      <c r="F372">
        <f>IF($A372="","",COUNTIFS('Таблиця 1'!$B:$B,$A372,'Таблиця 1'!$E:$E,"Рембаза",'Таблиця 1'!$L:$L,"Уражено"))</f>
        <v/>
      </c>
      <c r="G372">
        <f>IF($A372="","",COUNTIFS('Таблиця 1'!$B:$B,$A372,'Таблиця 1'!$E:$E,"Склад БК",'Таблиця 1'!$L:$L,"Уражено"))</f>
        <v/>
      </c>
      <c r="H372">
        <f>IF($A372="","",COUNTIFS('Таблиця 1'!$B:$B,$A372,'Таблиця 1'!$E:$E,"Склад ВТМ",'Таблиця 1'!$L:$L,"Уражено"))</f>
        <v/>
      </c>
      <c r="I372">
        <f>IF($A372="","",COUNTIFS('Таблиця 1'!$B:$B,$A372,'Таблиця 1'!$E:$E,"ПУ БпЛА",'Таблиця 1'!$L:$L,"Уражено"))</f>
        <v/>
      </c>
      <c r="J372">
        <f>IF($A372="","",COUNTIFS('Таблиця 1'!$B:$B,$A372,'Таблиця 1'!$E:$E,"СП",'Таблиця 1'!$L:$L,"Уражено"))</f>
        <v/>
      </c>
      <c r="K372">
        <f>IF($A372="","",COUNTIFS('Таблиця 1'!$B:$B,$A372,'Таблиця 1'!$E:$E,"КСП роти",'Таблиця 1'!$L:$L,"Уражено"))</f>
        <v/>
      </c>
      <c r="L372">
        <f>IF($A372="","",COUNTIFS('Таблиця 1'!$B:$B,$A372,'Таблиця 1'!$E:$E,"ПУ бат",'Таблиця 1'!$L:$L,"Уражено"))</f>
        <v/>
      </c>
      <c r="M372">
        <f>IF($A372="","",COUNTIFS('Таблиця 1'!$B:$B,$A372,'Таблиця 1'!$E:$E,"ПУ бриг",'Таблиця 1'!$L:$L,"Уражено"))</f>
        <v/>
      </c>
      <c r="N372">
        <f>IF($A372="","",COUNTIFS('Таблиця 1'!$B:$B,$A372,'Таблиця 1'!$E:$E,"ПУ див",'Таблиця 1'!$L:$L,"Уражено"))</f>
        <v/>
      </c>
      <c r="O372">
        <f>IF($A372="","",COUNTIFS('Таблиця 1'!$B:$B,$A372,'Таблиця 1'!$E:$E,"обл. РЕБ",'Таблиця 1'!$L:$L,"Уражено"))</f>
        <v/>
      </c>
      <c r="P372">
        <f>IF($A372="","",COUNTIFS('Таблиця 1'!$B:$B,$A372,'Таблиця 1'!$E:$E,"пос РЕБ",'Таблиця 1'!$L:$L,"Уражено"))</f>
        <v/>
      </c>
      <c r="Q372">
        <f>IF($A372="","",COUNTIFS('Таблиця 1'!$B:$B,$A372,'Таблиця 1'!$E:$E,"група РЕР",'Таблиця 1'!$L:$L,"Уражено"))</f>
        <v/>
      </c>
      <c r="R372">
        <f>IF($A372="","",COUNTIFS('Таблиця 1'!$B:$B,$A372,'Таблиця 1'!$E:$E,"РЛС КББ",'Таблиця 1'!$L:$L,"Уражено"))</f>
        <v/>
      </c>
      <c r="S372">
        <f>IF($A372="","",COUNTIFS('Таблиця 1'!$B:$B,$A372,'Таблиця 1'!$E:$E,"Ретранслятор",'Таблиця 1'!$L:$L,"Уражено"))</f>
        <v/>
      </c>
      <c r="T372">
        <f>IF($A372="","",COUNTIFS('Таблиця 1'!$B:$B,$A372,'Таблиця 1'!$E:$E,"Вз.зв'язку",'Таблиця 1'!$L:$L,"Уражено"))</f>
        <v/>
      </c>
      <c r="U372">
        <f>IF($A372="","",COUNTIFS('Таблиця 1'!$B:$B,$A372,'Таблиця 1'!$E:$E,"ПММ",'Таблиця 1'!$L:$L,"Уражено"))</f>
        <v/>
      </c>
      <c r="V372">
        <f>IF($A372="","",COUNTIFS('Таблиця 1'!$B:$B,$A372,'Таблиця 1'!$E:$E,"ІФС",'Таблиця 1'!$L:$L,"Уражено"))</f>
        <v/>
      </c>
      <c r="W372">
        <f>IF($A372="","",COUNTIFS('Таблиця 1'!$B:$B,$A372,'Таблиця 1'!$E:$E,"Інфраструктура",'Таблиця 1'!$L:$L,"Уражено"))</f>
        <v/>
      </c>
      <c r="X372">
        <f>IF($A372="","",SUMIFS('Таблиця 1'!$K:$K,'Таблиця 1'!$B:$B,$A372))</f>
        <v/>
      </c>
    </row>
    <row r="373">
      <c r="A373" s="81">
        <f>IF(A372="","",IF(A372+1&gt;MAX('Таблиця 1'!$B:$B),"",A372+1))</f>
        <v/>
      </c>
      <c r="B373">
        <f>IF($A373="","",COUNTIFS('Таблиця 1'!$B:$B,$A373,'Таблиця 1'!$E:$E,"ЖС ВЗ",'Таблиця 1'!$L:$L,"Уражено"))</f>
        <v/>
      </c>
      <c r="C373">
        <f>IF($A373="","",COUNTIFS('Таблиця 1'!$B:$B,$A373,'Таблиця 1'!$E:$E,"Арт. Системи",'Таблиця 1'!$L:$L,"Уражено"))</f>
        <v/>
      </c>
      <c r="D373">
        <f>IF($A373="","",COUNTIFS('Таблиця 1'!$B:$B,$A373,'Таблиця 1'!$E:$E,"ОВТ",'Таблиця 1'!$L:$L,"Уражено"))</f>
        <v/>
      </c>
      <c r="E373">
        <f>IF($A373="","",COUNTIFS('Таблиця 1'!$B:$B,$A373,'Таблиця 1'!$E:$E,"ППО",'Таблиця 1'!$L:$L,"Уражено"))</f>
        <v/>
      </c>
      <c r="F373">
        <f>IF($A373="","",COUNTIFS('Таблиця 1'!$B:$B,$A373,'Таблиця 1'!$E:$E,"Рембаза",'Таблиця 1'!$L:$L,"Уражено"))</f>
        <v/>
      </c>
      <c r="G373">
        <f>IF($A373="","",COUNTIFS('Таблиця 1'!$B:$B,$A373,'Таблиця 1'!$E:$E,"Склад БК",'Таблиця 1'!$L:$L,"Уражено"))</f>
        <v/>
      </c>
      <c r="H373">
        <f>IF($A373="","",COUNTIFS('Таблиця 1'!$B:$B,$A373,'Таблиця 1'!$E:$E,"Склад ВТМ",'Таблиця 1'!$L:$L,"Уражено"))</f>
        <v/>
      </c>
      <c r="I373">
        <f>IF($A373="","",COUNTIFS('Таблиця 1'!$B:$B,$A373,'Таблиця 1'!$E:$E,"ПУ БпЛА",'Таблиця 1'!$L:$L,"Уражено"))</f>
        <v/>
      </c>
      <c r="J373">
        <f>IF($A373="","",COUNTIFS('Таблиця 1'!$B:$B,$A373,'Таблиця 1'!$E:$E,"СП",'Таблиця 1'!$L:$L,"Уражено"))</f>
        <v/>
      </c>
      <c r="K373">
        <f>IF($A373="","",COUNTIFS('Таблиця 1'!$B:$B,$A373,'Таблиця 1'!$E:$E,"КСП роти",'Таблиця 1'!$L:$L,"Уражено"))</f>
        <v/>
      </c>
      <c r="L373">
        <f>IF($A373="","",COUNTIFS('Таблиця 1'!$B:$B,$A373,'Таблиця 1'!$E:$E,"ПУ бат",'Таблиця 1'!$L:$L,"Уражено"))</f>
        <v/>
      </c>
      <c r="M373">
        <f>IF($A373="","",COUNTIFS('Таблиця 1'!$B:$B,$A373,'Таблиця 1'!$E:$E,"ПУ бриг",'Таблиця 1'!$L:$L,"Уражено"))</f>
        <v/>
      </c>
      <c r="N373">
        <f>IF($A373="","",COUNTIFS('Таблиця 1'!$B:$B,$A373,'Таблиця 1'!$E:$E,"ПУ див",'Таблиця 1'!$L:$L,"Уражено"))</f>
        <v/>
      </c>
      <c r="O373">
        <f>IF($A373="","",COUNTIFS('Таблиця 1'!$B:$B,$A373,'Таблиця 1'!$E:$E,"обл. РЕБ",'Таблиця 1'!$L:$L,"Уражено"))</f>
        <v/>
      </c>
      <c r="P373">
        <f>IF($A373="","",COUNTIFS('Таблиця 1'!$B:$B,$A373,'Таблиця 1'!$E:$E,"пос РЕБ",'Таблиця 1'!$L:$L,"Уражено"))</f>
        <v/>
      </c>
      <c r="Q373">
        <f>IF($A373="","",COUNTIFS('Таблиця 1'!$B:$B,$A373,'Таблиця 1'!$E:$E,"група РЕР",'Таблиця 1'!$L:$L,"Уражено"))</f>
        <v/>
      </c>
      <c r="R373">
        <f>IF($A373="","",COUNTIFS('Таблиця 1'!$B:$B,$A373,'Таблиця 1'!$E:$E,"РЛС КББ",'Таблиця 1'!$L:$L,"Уражено"))</f>
        <v/>
      </c>
      <c r="S373">
        <f>IF($A373="","",COUNTIFS('Таблиця 1'!$B:$B,$A373,'Таблиця 1'!$E:$E,"Ретранслятор",'Таблиця 1'!$L:$L,"Уражено"))</f>
        <v/>
      </c>
      <c r="T373">
        <f>IF($A373="","",COUNTIFS('Таблиця 1'!$B:$B,$A373,'Таблиця 1'!$E:$E,"Вз.зв'язку",'Таблиця 1'!$L:$L,"Уражено"))</f>
        <v/>
      </c>
      <c r="U373">
        <f>IF($A373="","",COUNTIFS('Таблиця 1'!$B:$B,$A373,'Таблиця 1'!$E:$E,"ПММ",'Таблиця 1'!$L:$L,"Уражено"))</f>
        <v/>
      </c>
      <c r="V373">
        <f>IF($A373="","",COUNTIFS('Таблиця 1'!$B:$B,$A373,'Таблиця 1'!$E:$E,"ІФС",'Таблиця 1'!$L:$L,"Уражено"))</f>
        <v/>
      </c>
      <c r="W373">
        <f>IF($A373="","",COUNTIFS('Таблиця 1'!$B:$B,$A373,'Таблиця 1'!$E:$E,"Інфраструктура",'Таблиця 1'!$L:$L,"Уражено"))</f>
        <v/>
      </c>
      <c r="X373">
        <f>IF($A373="","",SUMIFS('Таблиця 1'!$K:$K,'Таблиця 1'!$B:$B,$A373))</f>
        <v/>
      </c>
    </row>
    <row r="374">
      <c r="A374" s="81">
        <f>IF(A373="","",IF(A373+1&gt;MAX('Таблиця 1'!$B:$B),"",A373+1))</f>
        <v/>
      </c>
      <c r="B374">
        <f>IF($A374="","",COUNTIFS('Таблиця 1'!$B:$B,$A374,'Таблиця 1'!$E:$E,"ЖС ВЗ",'Таблиця 1'!$L:$L,"Уражено"))</f>
        <v/>
      </c>
      <c r="C374">
        <f>IF($A374="","",COUNTIFS('Таблиця 1'!$B:$B,$A374,'Таблиця 1'!$E:$E,"Арт. Системи",'Таблиця 1'!$L:$L,"Уражено"))</f>
        <v/>
      </c>
      <c r="D374">
        <f>IF($A374="","",COUNTIFS('Таблиця 1'!$B:$B,$A374,'Таблиця 1'!$E:$E,"ОВТ",'Таблиця 1'!$L:$L,"Уражено"))</f>
        <v/>
      </c>
      <c r="E374">
        <f>IF($A374="","",COUNTIFS('Таблиця 1'!$B:$B,$A374,'Таблиця 1'!$E:$E,"ППО",'Таблиця 1'!$L:$L,"Уражено"))</f>
        <v/>
      </c>
      <c r="F374">
        <f>IF($A374="","",COUNTIFS('Таблиця 1'!$B:$B,$A374,'Таблиця 1'!$E:$E,"Рембаза",'Таблиця 1'!$L:$L,"Уражено"))</f>
        <v/>
      </c>
      <c r="G374">
        <f>IF($A374="","",COUNTIFS('Таблиця 1'!$B:$B,$A374,'Таблиця 1'!$E:$E,"Склад БК",'Таблиця 1'!$L:$L,"Уражено"))</f>
        <v/>
      </c>
      <c r="H374">
        <f>IF($A374="","",COUNTIFS('Таблиця 1'!$B:$B,$A374,'Таблиця 1'!$E:$E,"Склад ВТМ",'Таблиця 1'!$L:$L,"Уражено"))</f>
        <v/>
      </c>
      <c r="I374">
        <f>IF($A374="","",COUNTIFS('Таблиця 1'!$B:$B,$A374,'Таблиця 1'!$E:$E,"ПУ БпЛА",'Таблиця 1'!$L:$L,"Уражено"))</f>
        <v/>
      </c>
      <c r="J374">
        <f>IF($A374="","",COUNTIFS('Таблиця 1'!$B:$B,$A374,'Таблиця 1'!$E:$E,"СП",'Таблиця 1'!$L:$L,"Уражено"))</f>
        <v/>
      </c>
      <c r="K374">
        <f>IF($A374="","",COUNTIFS('Таблиця 1'!$B:$B,$A374,'Таблиця 1'!$E:$E,"КСП роти",'Таблиця 1'!$L:$L,"Уражено"))</f>
        <v/>
      </c>
      <c r="L374">
        <f>IF($A374="","",COUNTIFS('Таблиця 1'!$B:$B,$A374,'Таблиця 1'!$E:$E,"ПУ бат",'Таблиця 1'!$L:$L,"Уражено"))</f>
        <v/>
      </c>
      <c r="M374">
        <f>IF($A374="","",COUNTIFS('Таблиця 1'!$B:$B,$A374,'Таблиця 1'!$E:$E,"ПУ бриг",'Таблиця 1'!$L:$L,"Уражено"))</f>
        <v/>
      </c>
      <c r="N374">
        <f>IF($A374="","",COUNTIFS('Таблиця 1'!$B:$B,$A374,'Таблиця 1'!$E:$E,"ПУ див",'Таблиця 1'!$L:$L,"Уражено"))</f>
        <v/>
      </c>
      <c r="O374">
        <f>IF($A374="","",COUNTIFS('Таблиця 1'!$B:$B,$A374,'Таблиця 1'!$E:$E,"обл. РЕБ",'Таблиця 1'!$L:$L,"Уражено"))</f>
        <v/>
      </c>
      <c r="P374">
        <f>IF($A374="","",COUNTIFS('Таблиця 1'!$B:$B,$A374,'Таблиця 1'!$E:$E,"пос РЕБ",'Таблиця 1'!$L:$L,"Уражено"))</f>
        <v/>
      </c>
      <c r="Q374">
        <f>IF($A374="","",COUNTIFS('Таблиця 1'!$B:$B,$A374,'Таблиця 1'!$E:$E,"група РЕР",'Таблиця 1'!$L:$L,"Уражено"))</f>
        <v/>
      </c>
      <c r="R374">
        <f>IF($A374="","",COUNTIFS('Таблиця 1'!$B:$B,$A374,'Таблиця 1'!$E:$E,"РЛС КББ",'Таблиця 1'!$L:$L,"Уражено"))</f>
        <v/>
      </c>
      <c r="S374">
        <f>IF($A374="","",COUNTIFS('Таблиця 1'!$B:$B,$A374,'Таблиця 1'!$E:$E,"Ретранслятор",'Таблиця 1'!$L:$L,"Уражено"))</f>
        <v/>
      </c>
      <c r="T374">
        <f>IF($A374="","",COUNTIFS('Таблиця 1'!$B:$B,$A374,'Таблиця 1'!$E:$E,"Вз.зв'язку",'Таблиця 1'!$L:$L,"Уражено"))</f>
        <v/>
      </c>
      <c r="U374">
        <f>IF($A374="","",COUNTIFS('Таблиця 1'!$B:$B,$A374,'Таблиця 1'!$E:$E,"ПММ",'Таблиця 1'!$L:$L,"Уражено"))</f>
        <v/>
      </c>
      <c r="V374">
        <f>IF($A374="","",COUNTIFS('Таблиця 1'!$B:$B,$A374,'Таблиця 1'!$E:$E,"ІФС",'Таблиця 1'!$L:$L,"Уражено"))</f>
        <v/>
      </c>
      <c r="W374">
        <f>IF($A374="","",COUNTIFS('Таблиця 1'!$B:$B,$A374,'Таблиця 1'!$E:$E,"Інфраструктура",'Таблиця 1'!$L:$L,"Уражено"))</f>
        <v/>
      </c>
      <c r="X374">
        <f>IF($A374="","",SUMIFS('Таблиця 1'!$K:$K,'Таблиця 1'!$B:$B,$A374))</f>
        <v/>
      </c>
    </row>
    <row r="375">
      <c r="A375" s="81">
        <f>IF(A374="","",IF(A374+1&gt;MAX('Таблиця 1'!$B:$B),"",A374+1))</f>
        <v/>
      </c>
      <c r="B375">
        <f>IF($A375="","",COUNTIFS('Таблиця 1'!$B:$B,$A375,'Таблиця 1'!$E:$E,"ЖС ВЗ",'Таблиця 1'!$L:$L,"Уражено"))</f>
        <v/>
      </c>
      <c r="C375">
        <f>IF($A375="","",COUNTIFS('Таблиця 1'!$B:$B,$A375,'Таблиця 1'!$E:$E,"Арт. Системи",'Таблиця 1'!$L:$L,"Уражено"))</f>
        <v/>
      </c>
      <c r="D375">
        <f>IF($A375="","",COUNTIFS('Таблиця 1'!$B:$B,$A375,'Таблиця 1'!$E:$E,"ОВТ",'Таблиця 1'!$L:$L,"Уражено"))</f>
        <v/>
      </c>
      <c r="E375">
        <f>IF($A375="","",COUNTIFS('Таблиця 1'!$B:$B,$A375,'Таблиця 1'!$E:$E,"ППО",'Таблиця 1'!$L:$L,"Уражено"))</f>
        <v/>
      </c>
      <c r="F375">
        <f>IF($A375="","",COUNTIFS('Таблиця 1'!$B:$B,$A375,'Таблиця 1'!$E:$E,"Рембаза",'Таблиця 1'!$L:$L,"Уражено"))</f>
        <v/>
      </c>
      <c r="G375">
        <f>IF($A375="","",COUNTIFS('Таблиця 1'!$B:$B,$A375,'Таблиця 1'!$E:$E,"Склад БК",'Таблиця 1'!$L:$L,"Уражено"))</f>
        <v/>
      </c>
      <c r="H375">
        <f>IF($A375="","",COUNTIFS('Таблиця 1'!$B:$B,$A375,'Таблиця 1'!$E:$E,"Склад ВТМ",'Таблиця 1'!$L:$L,"Уражено"))</f>
        <v/>
      </c>
      <c r="I375">
        <f>IF($A375="","",COUNTIFS('Таблиця 1'!$B:$B,$A375,'Таблиця 1'!$E:$E,"ПУ БпЛА",'Таблиця 1'!$L:$L,"Уражено"))</f>
        <v/>
      </c>
      <c r="J375">
        <f>IF($A375="","",COUNTIFS('Таблиця 1'!$B:$B,$A375,'Таблиця 1'!$E:$E,"СП",'Таблиця 1'!$L:$L,"Уражено"))</f>
        <v/>
      </c>
      <c r="K375">
        <f>IF($A375="","",COUNTIFS('Таблиця 1'!$B:$B,$A375,'Таблиця 1'!$E:$E,"КСП роти",'Таблиця 1'!$L:$L,"Уражено"))</f>
        <v/>
      </c>
      <c r="L375">
        <f>IF($A375="","",COUNTIFS('Таблиця 1'!$B:$B,$A375,'Таблиця 1'!$E:$E,"ПУ бат",'Таблиця 1'!$L:$L,"Уражено"))</f>
        <v/>
      </c>
      <c r="M375">
        <f>IF($A375="","",COUNTIFS('Таблиця 1'!$B:$B,$A375,'Таблиця 1'!$E:$E,"ПУ бриг",'Таблиця 1'!$L:$L,"Уражено"))</f>
        <v/>
      </c>
      <c r="N375">
        <f>IF($A375="","",COUNTIFS('Таблиця 1'!$B:$B,$A375,'Таблиця 1'!$E:$E,"ПУ див",'Таблиця 1'!$L:$L,"Уражено"))</f>
        <v/>
      </c>
      <c r="O375">
        <f>IF($A375="","",COUNTIFS('Таблиця 1'!$B:$B,$A375,'Таблиця 1'!$E:$E,"обл. РЕБ",'Таблиця 1'!$L:$L,"Уражено"))</f>
        <v/>
      </c>
      <c r="P375">
        <f>IF($A375="","",COUNTIFS('Таблиця 1'!$B:$B,$A375,'Таблиця 1'!$E:$E,"пос РЕБ",'Таблиця 1'!$L:$L,"Уражено"))</f>
        <v/>
      </c>
      <c r="Q375">
        <f>IF($A375="","",COUNTIFS('Таблиця 1'!$B:$B,$A375,'Таблиця 1'!$E:$E,"група РЕР",'Таблиця 1'!$L:$L,"Уражено"))</f>
        <v/>
      </c>
      <c r="R375">
        <f>IF($A375="","",COUNTIFS('Таблиця 1'!$B:$B,$A375,'Таблиця 1'!$E:$E,"РЛС КББ",'Таблиця 1'!$L:$L,"Уражено"))</f>
        <v/>
      </c>
      <c r="S375">
        <f>IF($A375="","",COUNTIFS('Таблиця 1'!$B:$B,$A375,'Таблиця 1'!$E:$E,"Ретранслятор",'Таблиця 1'!$L:$L,"Уражено"))</f>
        <v/>
      </c>
      <c r="T375">
        <f>IF($A375="","",COUNTIFS('Таблиця 1'!$B:$B,$A375,'Таблиця 1'!$E:$E,"Вз.зв'язку",'Таблиця 1'!$L:$L,"Уражено"))</f>
        <v/>
      </c>
      <c r="U375">
        <f>IF($A375="","",COUNTIFS('Таблиця 1'!$B:$B,$A375,'Таблиця 1'!$E:$E,"ПММ",'Таблиця 1'!$L:$L,"Уражено"))</f>
        <v/>
      </c>
      <c r="V375">
        <f>IF($A375="","",COUNTIFS('Таблиця 1'!$B:$B,$A375,'Таблиця 1'!$E:$E,"ІФС",'Таблиця 1'!$L:$L,"Уражено"))</f>
        <v/>
      </c>
      <c r="W375">
        <f>IF($A375="","",COUNTIFS('Таблиця 1'!$B:$B,$A375,'Таблиця 1'!$E:$E,"Інфраструктура",'Таблиця 1'!$L:$L,"Уражено"))</f>
        <v/>
      </c>
      <c r="X375">
        <f>IF($A375="","",SUMIFS('Таблиця 1'!$K:$K,'Таблиця 1'!$B:$B,$A375))</f>
        <v/>
      </c>
    </row>
    <row r="376">
      <c r="A376" s="81">
        <f>IF(A375="","",IF(A375+1&gt;MAX('Таблиця 1'!$B:$B),"",A375+1))</f>
        <v/>
      </c>
      <c r="B376">
        <f>IF($A376="","",COUNTIFS('Таблиця 1'!$B:$B,$A376,'Таблиця 1'!$E:$E,"ЖС ВЗ",'Таблиця 1'!$L:$L,"Уражено"))</f>
        <v/>
      </c>
      <c r="C376">
        <f>IF($A376="","",COUNTIFS('Таблиця 1'!$B:$B,$A376,'Таблиця 1'!$E:$E,"Арт. Системи",'Таблиця 1'!$L:$L,"Уражено"))</f>
        <v/>
      </c>
      <c r="D376">
        <f>IF($A376="","",COUNTIFS('Таблиця 1'!$B:$B,$A376,'Таблиця 1'!$E:$E,"ОВТ",'Таблиця 1'!$L:$L,"Уражено"))</f>
        <v/>
      </c>
      <c r="E376">
        <f>IF($A376="","",COUNTIFS('Таблиця 1'!$B:$B,$A376,'Таблиця 1'!$E:$E,"ППО",'Таблиця 1'!$L:$L,"Уражено"))</f>
        <v/>
      </c>
      <c r="F376">
        <f>IF($A376="","",COUNTIFS('Таблиця 1'!$B:$B,$A376,'Таблиця 1'!$E:$E,"Рембаза",'Таблиця 1'!$L:$L,"Уражено"))</f>
        <v/>
      </c>
      <c r="G376">
        <f>IF($A376="","",COUNTIFS('Таблиця 1'!$B:$B,$A376,'Таблиця 1'!$E:$E,"Склад БК",'Таблиця 1'!$L:$L,"Уражено"))</f>
        <v/>
      </c>
      <c r="H376">
        <f>IF($A376="","",COUNTIFS('Таблиця 1'!$B:$B,$A376,'Таблиця 1'!$E:$E,"Склад ВТМ",'Таблиця 1'!$L:$L,"Уражено"))</f>
        <v/>
      </c>
      <c r="I376">
        <f>IF($A376="","",COUNTIFS('Таблиця 1'!$B:$B,$A376,'Таблиця 1'!$E:$E,"ПУ БпЛА",'Таблиця 1'!$L:$L,"Уражено"))</f>
        <v/>
      </c>
      <c r="J376">
        <f>IF($A376="","",COUNTIFS('Таблиця 1'!$B:$B,$A376,'Таблиця 1'!$E:$E,"СП",'Таблиця 1'!$L:$L,"Уражено"))</f>
        <v/>
      </c>
      <c r="K376">
        <f>IF($A376="","",COUNTIFS('Таблиця 1'!$B:$B,$A376,'Таблиця 1'!$E:$E,"КСП роти",'Таблиця 1'!$L:$L,"Уражено"))</f>
        <v/>
      </c>
      <c r="L376">
        <f>IF($A376="","",COUNTIFS('Таблиця 1'!$B:$B,$A376,'Таблиця 1'!$E:$E,"ПУ бат",'Таблиця 1'!$L:$L,"Уражено"))</f>
        <v/>
      </c>
      <c r="M376">
        <f>IF($A376="","",COUNTIFS('Таблиця 1'!$B:$B,$A376,'Таблиця 1'!$E:$E,"ПУ бриг",'Таблиця 1'!$L:$L,"Уражено"))</f>
        <v/>
      </c>
      <c r="N376">
        <f>IF($A376="","",COUNTIFS('Таблиця 1'!$B:$B,$A376,'Таблиця 1'!$E:$E,"ПУ див",'Таблиця 1'!$L:$L,"Уражено"))</f>
        <v/>
      </c>
      <c r="O376">
        <f>IF($A376="","",COUNTIFS('Таблиця 1'!$B:$B,$A376,'Таблиця 1'!$E:$E,"обл. РЕБ",'Таблиця 1'!$L:$L,"Уражено"))</f>
        <v/>
      </c>
      <c r="P376">
        <f>IF($A376="","",COUNTIFS('Таблиця 1'!$B:$B,$A376,'Таблиця 1'!$E:$E,"пос РЕБ",'Таблиця 1'!$L:$L,"Уражено"))</f>
        <v/>
      </c>
      <c r="Q376">
        <f>IF($A376="","",COUNTIFS('Таблиця 1'!$B:$B,$A376,'Таблиця 1'!$E:$E,"група РЕР",'Таблиця 1'!$L:$L,"Уражено"))</f>
        <v/>
      </c>
      <c r="R376">
        <f>IF($A376="","",COUNTIFS('Таблиця 1'!$B:$B,$A376,'Таблиця 1'!$E:$E,"РЛС КББ",'Таблиця 1'!$L:$L,"Уражено"))</f>
        <v/>
      </c>
      <c r="S376">
        <f>IF($A376="","",COUNTIFS('Таблиця 1'!$B:$B,$A376,'Таблиця 1'!$E:$E,"Ретранслятор",'Таблиця 1'!$L:$L,"Уражено"))</f>
        <v/>
      </c>
      <c r="T376">
        <f>IF($A376="","",COUNTIFS('Таблиця 1'!$B:$B,$A376,'Таблиця 1'!$E:$E,"Вз.зв'язку",'Таблиця 1'!$L:$L,"Уражено"))</f>
        <v/>
      </c>
      <c r="U376">
        <f>IF($A376="","",COUNTIFS('Таблиця 1'!$B:$B,$A376,'Таблиця 1'!$E:$E,"ПММ",'Таблиця 1'!$L:$L,"Уражено"))</f>
        <v/>
      </c>
      <c r="V376">
        <f>IF($A376="","",COUNTIFS('Таблиця 1'!$B:$B,$A376,'Таблиця 1'!$E:$E,"ІФС",'Таблиця 1'!$L:$L,"Уражено"))</f>
        <v/>
      </c>
      <c r="W376">
        <f>IF($A376="","",COUNTIFS('Таблиця 1'!$B:$B,$A376,'Таблиця 1'!$E:$E,"Інфраструктура",'Таблиця 1'!$L:$L,"Уражено"))</f>
        <v/>
      </c>
      <c r="X376">
        <f>IF($A376="","",SUMIFS('Таблиця 1'!$K:$K,'Таблиця 1'!$B:$B,$A376))</f>
        <v/>
      </c>
    </row>
    <row r="377">
      <c r="A377" s="81">
        <f>IF(A376="","",IF(A376+1&gt;MAX('Таблиця 1'!$B:$B),"",A376+1))</f>
        <v/>
      </c>
      <c r="B377">
        <f>IF($A377="","",COUNTIFS('Таблиця 1'!$B:$B,$A377,'Таблиця 1'!$E:$E,"ЖС ВЗ",'Таблиця 1'!$L:$L,"Уражено"))</f>
        <v/>
      </c>
      <c r="C377">
        <f>IF($A377="","",COUNTIFS('Таблиця 1'!$B:$B,$A377,'Таблиця 1'!$E:$E,"Арт. Системи",'Таблиця 1'!$L:$L,"Уражено"))</f>
        <v/>
      </c>
      <c r="D377">
        <f>IF($A377="","",COUNTIFS('Таблиця 1'!$B:$B,$A377,'Таблиця 1'!$E:$E,"ОВТ",'Таблиця 1'!$L:$L,"Уражено"))</f>
        <v/>
      </c>
      <c r="E377">
        <f>IF($A377="","",COUNTIFS('Таблиця 1'!$B:$B,$A377,'Таблиця 1'!$E:$E,"ППО",'Таблиця 1'!$L:$L,"Уражено"))</f>
        <v/>
      </c>
      <c r="F377">
        <f>IF($A377="","",COUNTIFS('Таблиця 1'!$B:$B,$A377,'Таблиця 1'!$E:$E,"Рембаза",'Таблиця 1'!$L:$L,"Уражено"))</f>
        <v/>
      </c>
      <c r="G377">
        <f>IF($A377="","",COUNTIFS('Таблиця 1'!$B:$B,$A377,'Таблиця 1'!$E:$E,"Склад БК",'Таблиця 1'!$L:$L,"Уражено"))</f>
        <v/>
      </c>
      <c r="H377">
        <f>IF($A377="","",COUNTIFS('Таблиця 1'!$B:$B,$A377,'Таблиця 1'!$E:$E,"Склад ВТМ",'Таблиця 1'!$L:$L,"Уражено"))</f>
        <v/>
      </c>
      <c r="I377">
        <f>IF($A377="","",COUNTIFS('Таблиця 1'!$B:$B,$A377,'Таблиця 1'!$E:$E,"ПУ БпЛА",'Таблиця 1'!$L:$L,"Уражено"))</f>
        <v/>
      </c>
      <c r="J377">
        <f>IF($A377="","",COUNTIFS('Таблиця 1'!$B:$B,$A377,'Таблиця 1'!$E:$E,"СП",'Таблиця 1'!$L:$L,"Уражено"))</f>
        <v/>
      </c>
      <c r="K377">
        <f>IF($A377="","",COUNTIFS('Таблиця 1'!$B:$B,$A377,'Таблиця 1'!$E:$E,"КСП роти",'Таблиця 1'!$L:$L,"Уражено"))</f>
        <v/>
      </c>
      <c r="L377">
        <f>IF($A377="","",COUNTIFS('Таблиця 1'!$B:$B,$A377,'Таблиця 1'!$E:$E,"ПУ бат",'Таблиця 1'!$L:$L,"Уражено"))</f>
        <v/>
      </c>
      <c r="M377">
        <f>IF($A377="","",COUNTIFS('Таблиця 1'!$B:$B,$A377,'Таблиця 1'!$E:$E,"ПУ бриг",'Таблиця 1'!$L:$L,"Уражено"))</f>
        <v/>
      </c>
      <c r="N377">
        <f>IF($A377="","",COUNTIFS('Таблиця 1'!$B:$B,$A377,'Таблиця 1'!$E:$E,"ПУ див",'Таблиця 1'!$L:$L,"Уражено"))</f>
        <v/>
      </c>
      <c r="O377">
        <f>IF($A377="","",COUNTIFS('Таблиця 1'!$B:$B,$A377,'Таблиця 1'!$E:$E,"обл. РЕБ",'Таблиця 1'!$L:$L,"Уражено"))</f>
        <v/>
      </c>
      <c r="P377">
        <f>IF($A377="","",COUNTIFS('Таблиця 1'!$B:$B,$A377,'Таблиця 1'!$E:$E,"пос РЕБ",'Таблиця 1'!$L:$L,"Уражено"))</f>
        <v/>
      </c>
      <c r="Q377">
        <f>IF($A377="","",COUNTIFS('Таблиця 1'!$B:$B,$A377,'Таблиця 1'!$E:$E,"група РЕР",'Таблиця 1'!$L:$L,"Уражено"))</f>
        <v/>
      </c>
      <c r="R377">
        <f>IF($A377="","",COUNTIFS('Таблиця 1'!$B:$B,$A377,'Таблиця 1'!$E:$E,"РЛС КББ",'Таблиця 1'!$L:$L,"Уражено"))</f>
        <v/>
      </c>
      <c r="S377">
        <f>IF($A377="","",COUNTIFS('Таблиця 1'!$B:$B,$A377,'Таблиця 1'!$E:$E,"Ретранслятор",'Таблиця 1'!$L:$L,"Уражено"))</f>
        <v/>
      </c>
      <c r="T377">
        <f>IF($A377="","",COUNTIFS('Таблиця 1'!$B:$B,$A377,'Таблиця 1'!$E:$E,"Вз.зв'язку",'Таблиця 1'!$L:$L,"Уражено"))</f>
        <v/>
      </c>
      <c r="U377">
        <f>IF($A377="","",COUNTIFS('Таблиця 1'!$B:$B,$A377,'Таблиця 1'!$E:$E,"ПММ",'Таблиця 1'!$L:$L,"Уражено"))</f>
        <v/>
      </c>
      <c r="V377">
        <f>IF($A377="","",COUNTIFS('Таблиця 1'!$B:$B,$A377,'Таблиця 1'!$E:$E,"ІФС",'Таблиця 1'!$L:$L,"Уражено"))</f>
        <v/>
      </c>
      <c r="W377">
        <f>IF($A377="","",COUNTIFS('Таблиця 1'!$B:$B,$A377,'Таблиця 1'!$E:$E,"Інфраструктура",'Таблиця 1'!$L:$L,"Уражено"))</f>
        <v/>
      </c>
      <c r="X377">
        <f>IF($A377="","",SUMIFS('Таблиця 1'!$K:$K,'Таблиця 1'!$B:$B,$A377))</f>
        <v/>
      </c>
    </row>
    <row r="378">
      <c r="A378" s="81">
        <f>IF(A377="","",IF(A377+1&gt;MAX('Таблиця 1'!$B:$B),"",A377+1))</f>
        <v/>
      </c>
      <c r="B378">
        <f>IF($A378="","",COUNTIFS('Таблиця 1'!$B:$B,$A378,'Таблиця 1'!$E:$E,"ЖС ВЗ",'Таблиця 1'!$L:$L,"Уражено"))</f>
        <v/>
      </c>
      <c r="C378">
        <f>IF($A378="","",COUNTIFS('Таблиця 1'!$B:$B,$A378,'Таблиця 1'!$E:$E,"Арт. Системи",'Таблиця 1'!$L:$L,"Уражено"))</f>
        <v/>
      </c>
      <c r="D378">
        <f>IF($A378="","",COUNTIFS('Таблиця 1'!$B:$B,$A378,'Таблиця 1'!$E:$E,"ОВТ",'Таблиця 1'!$L:$L,"Уражено"))</f>
        <v/>
      </c>
      <c r="E378">
        <f>IF($A378="","",COUNTIFS('Таблиця 1'!$B:$B,$A378,'Таблиця 1'!$E:$E,"ППО",'Таблиця 1'!$L:$L,"Уражено"))</f>
        <v/>
      </c>
      <c r="F378">
        <f>IF($A378="","",COUNTIFS('Таблиця 1'!$B:$B,$A378,'Таблиця 1'!$E:$E,"Рембаза",'Таблиця 1'!$L:$L,"Уражено"))</f>
        <v/>
      </c>
      <c r="G378">
        <f>IF($A378="","",COUNTIFS('Таблиця 1'!$B:$B,$A378,'Таблиця 1'!$E:$E,"Склад БК",'Таблиця 1'!$L:$L,"Уражено"))</f>
        <v/>
      </c>
      <c r="H378">
        <f>IF($A378="","",COUNTIFS('Таблиця 1'!$B:$B,$A378,'Таблиця 1'!$E:$E,"Склад ВТМ",'Таблиця 1'!$L:$L,"Уражено"))</f>
        <v/>
      </c>
      <c r="I378">
        <f>IF($A378="","",COUNTIFS('Таблиця 1'!$B:$B,$A378,'Таблиця 1'!$E:$E,"ПУ БпЛА",'Таблиця 1'!$L:$L,"Уражено"))</f>
        <v/>
      </c>
      <c r="J378">
        <f>IF($A378="","",COUNTIFS('Таблиця 1'!$B:$B,$A378,'Таблиця 1'!$E:$E,"СП",'Таблиця 1'!$L:$L,"Уражено"))</f>
        <v/>
      </c>
      <c r="K378">
        <f>IF($A378="","",COUNTIFS('Таблиця 1'!$B:$B,$A378,'Таблиця 1'!$E:$E,"КСП роти",'Таблиця 1'!$L:$L,"Уражено"))</f>
        <v/>
      </c>
      <c r="L378">
        <f>IF($A378="","",COUNTIFS('Таблиця 1'!$B:$B,$A378,'Таблиця 1'!$E:$E,"ПУ бат",'Таблиця 1'!$L:$L,"Уражено"))</f>
        <v/>
      </c>
      <c r="M378">
        <f>IF($A378="","",COUNTIFS('Таблиця 1'!$B:$B,$A378,'Таблиця 1'!$E:$E,"ПУ бриг",'Таблиця 1'!$L:$L,"Уражено"))</f>
        <v/>
      </c>
      <c r="N378">
        <f>IF($A378="","",COUNTIFS('Таблиця 1'!$B:$B,$A378,'Таблиця 1'!$E:$E,"ПУ див",'Таблиця 1'!$L:$L,"Уражено"))</f>
        <v/>
      </c>
      <c r="O378">
        <f>IF($A378="","",COUNTIFS('Таблиця 1'!$B:$B,$A378,'Таблиця 1'!$E:$E,"обл. РЕБ",'Таблиця 1'!$L:$L,"Уражено"))</f>
        <v/>
      </c>
      <c r="P378">
        <f>IF($A378="","",COUNTIFS('Таблиця 1'!$B:$B,$A378,'Таблиця 1'!$E:$E,"пос РЕБ",'Таблиця 1'!$L:$L,"Уражено"))</f>
        <v/>
      </c>
      <c r="Q378">
        <f>IF($A378="","",COUNTIFS('Таблиця 1'!$B:$B,$A378,'Таблиця 1'!$E:$E,"група РЕР",'Таблиця 1'!$L:$L,"Уражено"))</f>
        <v/>
      </c>
      <c r="R378">
        <f>IF($A378="","",COUNTIFS('Таблиця 1'!$B:$B,$A378,'Таблиця 1'!$E:$E,"РЛС КББ",'Таблиця 1'!$L:$L,"Уражено"))</f>
        <v/>
      </c>
      <c r="S378">
        <f>IF($A378="","",COUNTIFS('Таблиця 1'!$B:$B,$A378,'Таблиця 1'!$E:$E,"Ретранслятор",'Таблиця 1'!$L:$L,"Уражено"))</f>
        <v/>
      </c>
      <c r="T378">
        <f>IF($A378="","",COUNTIFS('Таблиця 1'!$B:$B,$A378,'Таблиця 1'!$E:$E,"Вз.зв'язку",'Таблиця 1'!$L:$L,"Уражено"))</f>
        <v/>
      </c>
      <c r="U378">
        <f>IF($A378="","",COUNTIFS('Таблиця 1'!$B:$B,$A378,'Таблиця 1'!$E:$E,"ПММ",'Таблиця 1'!$L:$L,"Уражено"))</f>
        <v/>
      </c>
      <c r="V378">
        <f>IF($A378="","",COUNTIFS('Таблиця 1'!$B:$B,$A378,'Таблиця 1'!$E:$E,"ІФС",'Таблиця 1'!$L:$L,"Уражено"))</f>
        <v/>
      </c>
      <c r="W378">
        <f>IF($A378="","",COUNTIFS('Таблиця 1'!$B:$B,$A378,'Таблиця 1'!$E:$E,"Інфраструктура",'Таблиця 1'!$L:$L,"Уражено"))</f>
        <v/>
      </c>
      <c r="X378">
        <f>IF($A378="","",SUMIFS('Таблиця 1'!$K:$K,'Таблиця 1'!$B:$B,$A378))</f>
        <v/>
      </c>
    </row>
    <row r="379">
      <c r="A379" s="81">
        <f>IF(A378="","",IF(A378+1&gt;MAX('Таблиця 1'!$B:$B),"",A378+1))</f>
        <v/>
      </c>
      <c r="B379">
        <f>IF($A379="","",COUNTIFS('Таблиця 1'!$B:$B,$A379,'Таблиця 1'!$E:$E,"ЖС ВЗ",'Таблиця 1'!$L:$L,"Уражено"))</f>
        <v/>
      </c>
      <c r="C379">
        <f>IF($A379="","",COUNTIFS('Таблиця 1'!$B:$B,$A379,'Таблиця 1'!$E:$E,"Арт. Системи",'Таблиця 1'!$L:$L,"Уражено"))</f>
        <v/>
      </c>
      <c r="D379">
        <f>IF($A379="","",COUNTIFS('Таблиця 1'!$B:$B,$A379,'Таблиця 1'!$E:$E,"ОВТ",'Таблиця 1'!$L:$L,"Уражено"))</f>
        <v/>
      </c>
      <c r="E379">
        <f>IF($A379="","",COUNTIFS('Таблиця 1'!$B:$B,$A379,'Таблиця 1'!$E:$E,"ППО",'Таблиця 1'!$L:$L,"Уражено"))</f>
        <v/>
      </c>
      <c r="F379">
        <f>IF($A379="","",COUNTIFS('Таблиця 1'!$B:$B,$A379,'Таблиця 1'!$E:$E,"Рембаза",'Таблиця 1'!$L:$L,"Уражено"))</f>
        <v/>
      </c>
      <c r="G379">
        <f>IF($A379="","",COUNTIFS('Таблиця 1'!$B:$B,$A379,'Таблиця 1'!$E:$E,"Склад БК",'Таблиця 1'!$L:$L,"Уражено"))</f>
        <v/>
      </c>
      <c r="H379">
        <f>IF($A379="","",COUNTIFS('Таблиця 1'!$B:$B,$A379,'Таблиця 1'!$E:$E,"Склад ВТМ",'Таблиця 1'!$L:$L,"Уражено"))</f>
        <v/>
      </c>
      <c r="I379">
        <f>IF($A379="","",COUNTIFS('Таблиця 1'!$B:$B,$A379,'Таблиця 1'!$E:$E,"ПУ БпЛА",'Таблиця 1'!$L:$L,"Уражено"))</f>
        <v/>
      </c>
      <c r="J379">
        <f>IF($A379="","",COUNTIFS('Таблиця 1'!$B:$B,$A379,'Таблиця 1'!$E:$E,"СП",'Таблиця 1'!$L:$L,"Уражено"))</f>
        <v/>
      </c>
      <c r="K379">
        <f>IF($A379="","",COUNTIFS('Таблиця 1'!$B:$B,$A379,'Таблиця 1'!$E:$E,"КСП роти",'Таблиця 1'!$L:$L,"Уражено"))</f>
        <v/>
      </c>
      <c r="L379">
        <f>IF($A379="","",COUNTIFS('Таблиця 1'!$B:$B,$A379,'Таблиця 1'!$E:$E,"ПУ бат",'Таблиця 1'!$L:$L,"Уражено"))</f>
        <v/>
      </c>
      <c r="M379">
        <f>IF($A379="","",COUNTIFS('Таблиця 1'!$B:$B,$A379,'Таблиця 1'!$E:$E,"ПУ бриг",'Таблиця 1'!$L:$L,"Уражено"))</f>
        <v/>
      </c>
      <c r="N379">
        <f>IF($A379="","",COUNTIFS('Таблиця 1'!$B:$B,$A379,'Таблиця 1'!$E:$E,"ПУ див",'Таблиця 1'!$L:$L,"Уражено"))</f>
        <v/>
      </c>
      <c r="O379">
        <f>IF($A379="","",COUNTIFS('Таблиця 1'!$B:$B,$A379,'Таблиця 1'!$E:$E,"обл. РЕБ",'Таблиця 1'!$L:$L,"Уражено"))</f>
        <v/>
      </c>
      <c r="P379">
        <f>IF($A379="","",COUNTIFS('Таблиця 1'!$B:$B,$A379,'Таблиця 1'!$E:$E,"пос РЕБ",'Таблиця 1'!$L:$L,"Уражено"))</f>
        <v/>
      </c>
      <c r="Q379">
        <f>IF($A379="","",COUNTIFS('Таблиця 1'!$B:$B,$A379,'Таблиця 1'!$E:$E,"група РЕР",'Таблиця 1'!$L:$L,"Уражено"))</f>
        <v/>
      </c>
      <c r="R379">
        <f>IF($A379="","",COUNTIFS('Таблиця 1'!$B:$B,$A379,'Таблиця 1'!$E:$E,"РЛС КББ",'Таблиця 1'!$L:$L,"Уражено"))</f>
        <v/>
      </c>
      <c r="S379">
        <f>IF($A379="","",COUNTIFS('Таблиця 1'!$B:$B,$A379,'Таблиця 1'!$E:$E,"Ретранслятор",'Таблиця 1'!$L:$L,"Уражено"))</f>
        <v/>
      </c>
      <c r="T379">
        <f>IF($A379="","",COUNTIFS('Таблиця 1'!$B:$B,$A379,'Таблиця 1'!$E:$E,"Вз.зв'язку",'Таблиця 1'!$L:$L,"Уражено"))</f>
        <v/>
      </c>
      <c r="U379">
        <f>IF($A379="","",COUNTIFS('Таблиця 1'!$B:$B,$A379,'Таблиця 1'!$E:$E,"ПММ",'Таблиця 1'!$L:$L,"Уражено"))</f>
        <v/>
      </c>
      <c r="V379">
        <f>IF($A379="","",COUNTIFS('Таблиця 1'!$B:$B,$A379,'Таблиця 1'!$E:$E,"ІФС",'Таблиця 1'!$L:$L,"Уражено"))</f>
        <v/>
      </c>
      <c r="W379">
        <f>IF($A379="","",COUNTIFS('Таблиця 1'!$B:$B,$A379,'Таблиця 1'!$E:$E,"Інфраструктура",'Таблиця 1'!$L:$L,"Уражено"))</f>
        <v/>
      </c>
      <c r="X379">
        <f>IF($A379="","",SUMIFS('Таблиця 1'!$K:$K,'Таблиця 1'!$B:$B,$A379))</f>
        <v/>
      </c>
    </row>
    <row r="380">
      <c r="A380" s="81">
        <f>IF(A379="","",IF(A379+1&gt;MAX('Таблиця 1'!$B:$B),"",A379+1))</f>
        <v/>
      </c>
      <c r="B380">
        <f>IF($A380="","",COUNTIFS('Таблиця 1'!$B:$B,$A380,'Таблиця 1'!$E:$E,"ЖС ВЗ",'Таблиця 1'!$L:$L,"Уражено"))</f>
        <v/>
      </c>
      <c r="C380">
        <f>IF($A380="","",COUNTIFS('Таблиця 1'!$B:$B,$A380,'Таблиця 1'!$E:$E,"Арт. Системи",'Таблиця 1'!$L:$L,"Уражено"))</f>
        <v/>
      </c>
      <c r="D380">
        <f>IF($A380="","",COUNTIFS('Таблиця 1'!$B:$B,$A380,'Таблиця 1'!$E:$E,"ОВТ",'Таблиця 1'!$L:$L,"Уражено"))</f>
        <v/>
      </c>
      <c r="E380">
        <f>IF($A380="","",COUNTIFS('Таблиця 1'!$B:$B,$A380,'Таблиця 1'!$E:$E,"ППО",'Таблиця 1'!$L:$L,"Уражено"))</f>
        <v/>
      </c>
      <c r="F380">
        <f>IF($A380="","",COUNTIFS('Таблиця 1'!$B:$B,$A380,'Таблиця 1'!$E:$E,"Рембаза",'Таблиця 1'!$L:$L,"Уражено"))</f>
        <v/>
      </c>
      <c r="G380">
        <f>IF($A380="","",COUNTIFS('Таблиця 1'!$B:$B,$A380,'Таблиця 1'!$E:$E,"Склад БК",'Таблиця 1'!$L:$L,"Уражено"))</f>
        <v/>
      </c>
      <c r="H380">
        <f>IF($A380="","",COUNTIFS('Таблиця 1'!$B:$B,$A380,'Таблиця 1'!$E:$E,"Склад ВТМ",'Таблиця 1'!$L:$L,"Уражено"))</f>
        <v/>
      </c>
      <c r="I380">
        <f>IF($A380="","",COUNTIFS('Таблиця 1'!$B:$B,$A380,'Таблиця 1'!$E:$E,"ПУ БпЛА",'Таблиця 1'!$L:$L,"Уражено"))</f>
        <v/>
      </c>
      <c r="J380">
        <f>IF($A380="","",COUNTIFS('Таблиця 1'!$B:$B,$A380,'Таблиця 1'!$E:$E,"СП",'Таблиця 1'!$L:$L,"Уражено"))</f>
        <v/>
      </c>
      <c r="K380">
        <f>IF($A380="","",COUNTIFS('Таблиця 1'!$B:$B,$A380,'Таблиця 1'!$E:$E,"КСП роти",'Таблиця 1'!$L:$L,"Уражено"))</f>
        <v/>
      </c>
      <c r="L380">
        <f>IF($A380="","",COUNTIFS('Таблиця 1'!$B:$B,$A380,'Таблиця 1'!$E:$E,"ПУ бат",'Таблиця 1'!$L:$L,"Уражено"))</f>
        <v/>
      </c>
      <c r="M380">
        <f>IF($A380="","",COUNTIFS('Таблиця 1'!$B:$B,$A380,'Таблиця 1'!$E:$E,"ПУ бриг",'Таблиця 1'!$L:$L,"Уражено"))</f>
        <v/>
      </c>
      <c r="N380">
        <f>IF($A380="","",COUNTIFS('Таблиця 1'!$B:$B,$A380,'Таблиця 1'!$E:$E,"ПУ див",'Таблиця 1'!$L:$L,"Уражено"))</f>
        <v/>
      </c>
      <c r="O380">
        <f>IF($A380="","",COUNTIFS('Таблиця 1'!$B:$B,$A380,'Таблиця 1'!$E:$E,"обл. РЕБ",'Таблиця 1'!$L:$L,"Уражено"))</f>
        <v/>
      </c>
      <c r="P380">
        <f>IF($A380="","",COUNTIFS('Таблиця 1'!$B:$B,$A380,'Таблиця 1'!$E:$E,"пос РЕБ",'Таблиця 1'!$L:$L,"Уражено"))</f>
        <v/>
      </c>
      <c r="Q380">
        <f>IF($A380="","",COUNTIFS('Таблиця 1'!$B:$B,$A380,'Таблиця 1'!$E:$E,"група РЕР",'Таблиця 1'!$L:$L,"Уражено"))</f>
        <v/>
      </c>
      <c r="R380">
        <f>IF($A380="","",COUNTIFS('Таблиця 1'!$B:$B,$A380,'Таблиця 1'!$E:$E,"РЛС КББ",'Таблиця 1'!$L:$L,"Уражено"))</f>
        <v/>
      </c>
      <c r="S380">
        <f>IF($A380="","",COUNTIFS('Таблиця 1'!$B:$B,$A380,'Таблиця 1'!$E:$E,"Ретранслятор",'Таблиця 1'!$L:$L,"Уражено"))</f>
        <v/>
      </c>
      <c r="T380">
        <f>IF($A380="","",COUNTIFS('Таблиця 1'!$B:$B,$A380,'Таблиця 1'!$E:$E,"Вз.зв'язку",'Таблиця 1'!$L:$L,"Уражено"))</f>
        <v/>
      </c>
      <c r="U380">
        <f>IF($A380="","",COUNTIFS('Таблиця 1'!$B:$B,$A380,'Таблиця 1'!$E:$E,"ПММ",'Таблиця 1'!$L:$L,"Уражено"))</f>
        <v/>
      </c>
      <c r="V380">
        <f>IF($A380="","",COUNTIFS('Таблиця 1'!$B:$B,$A380,'Таблиця 1'!$E:$E,"ІФС",'Таблиця 1'!$L:$L,"Уражено"))</f>
        <v/>
      </c>
      <c r="W380">
        <f>IF($A380="","",COUNTIFS('Таблиця 1'!$B:$B,$A380,'Таблиця 1'!$E:$E,"Інфраструктура",'Таблиця 1'!$L:$L,"Уражено"))</f>
        <v/>
      </c>
      <c r="X380">
        <f>IF($A380="","",SUMIFS('Таблиця 1'!$K:$K,'Таблиця 1'!$B:$B,$A380))</f>
        <v/>
      </c>
    </row>
    <row r="381">
      <c r="A381" s="81">
        <f>IF(A380="","",IF(A380+1&gt;MAX('Таблиця 1'!$B:$B),"",A380+1))</f>
        <v/>
      </c>
      <c r="B381">
        <f>IF($A381="","",COUNTIFS('Таблиця 1'!$B:$B,$A381,'Таблиця 1'!$E:$E,"ЖС ВЗ",'Таблиця 1'!$L:$L,"Уражено"))</f>
        <v/>
      </c>
      <c r="C381">
        <f>IF($A381="","",COUNTIFS('Таблиця 1'!$B:$B,$A381,'Таблиця 1'!$E:$E,"Арт. Системи",'Таблиця 1'!$L:$L,"Уражено"))</f>
        <v/>
      </c>
      <c r="D381">
        <f>IF($A381="","",COUNTIFS('Таблиця 1'!$B:$B,$A381,'Таблиця 1'!$E:$E,"ОВТ",'Таблиця 1'!$L:$L,"Уражено"))</f>
        <v/>
      </c>
      <c r="E381">
        <f>IF($A381="","",COUNTIFS('Таблиця 1'!$B:$B,$A381,'Таблиця 1'!$E:$E,"ППО",'Таблиця 1'!$L:$L,"Уражено"))</f>
        <v/>
      </c>
      <c r="F381">
        <f>IF($A381="","",COUNTIFS('Таблиця 1'!$B:$B,$A381,'Таблиця 1'!$E:$E,"Рембаза",'Таблиця 1'!$L:$L,"Уражено"))</f>
        <v/>
      </c>
      <c r="G381">
        <f>IF($A381="","",COUNTIFS('Таблиця 1'!$B:$B,$A381,'Таблиця 1'!$E:$E,"Склад БК",'Таблиця 1'!$L:$L,"Уражено"))</f>
        <v/>
      </c>
      <c r="H381">
        <f>IF($A381="","",COUNTIFS('Таблиця 1'!$B:$B,$A381,'Таблиця 1'!$E:$E,"Склад ВТМ",'Таблиця 1'!$L:$L,"Уражено"))</f>
        <v/>
      </c>
      <c r="I381">
        <f>IF($A381="","",COUNTIFS('Таблиця 1'!$B:$B,$A381,'Таблиця 1'!$E:$E,"ПУ БпЛА",'Таблиця 1'!$L:$L,"Уражено"))</f>
        <v/>
      </c>
      <c r="J381">
        <f>IF($A381="","",COUNTIFS('Таблиця 1'!$B:$B,$A381,'Таблиця 1'!$E:$E,"СП",'Таблиця 1'!$L:$L,"Уражено"))</f>
        <v/>
      </c>
      <c r="K381">
        <f>IF($A381="","",COUNTIFS('Таблиця 1'!$B:$B,$A381,'Таблиця 1'!$E:$E,"КСП роти",'Таблиця 1'!$L:$L,"Уражено"))</f>
        <v/>
      </c>
      <c r="L381">
        <f>IF($A381="","",COUNTIFS('Таблиця 1'!$B:$B,$A381,'Таблиця 1'!$E:$E,"ПУ бат",'Таблиця 1'!$L:$L,"Уражено"))</f>
        <v/>
      </c>
      <c r="M381">
        <f>IF($A381="","",COUNTIFS('Таблиця 1'!$B:$B,$A381,'Таблиця 1'!$E:$E,"ПУ бриг",'Таблиця 1'!$L:$L,"Уражено"))</f>
        <v/>
      </c>
      <c r="N381">
        <f>IF($A381="","",COUNTIFS('Таблиця 1'!$B:$B,$A381,'Таблиця 1'!$E:$E,"ПУ див",'Таблиця 1'!$L:$L,"Уражено"))</f>
        <v/>
      </c>
      <c r="O381">
        <f>IF($A381="","",COUNTIFS('Таблиця 1'!$B:$B,$A381,'Таблиця 1'!$E:$E,"обл. РЕБ",'Таблиця 1'!$L:$L,"Уражено"))</f>
        <v/>
      </c>
      <c r="P381">
        <f>IF($A381="","",COUNTIFS('Таблиця 1'!$B:$B,$A381,'Таблиця 1'!$E:$E,"пос РЕБ",'Таблиця 1'!$L:$L,"Уражено"))</f>
        <v/>
      </c>
      <c r="Q381">
        <f>IF($A381="","",COUNTIFS('Таблиця 1'!$B:$B,$A381,'Таблиця 1'!$E:$E,"група РЕР",'Таблиця 1'!$L:$L,"Уражено"))</f>
        <v/>
      </c>
      <c r="R381">
        <f>IF($A381="","",COUNTIFS('Таблиця 1'!$B:$B,$A381,'Таблиця 1'!$E:$E,"РЛС КББ",'Таблиця 1'!$L:$L,"Уражено"))</f>
        <v/>
      </c>
      <c r="S381">
        <f>IF($A381="","",COUNTIFS('Таблиця 1'!$B:$B,$A381,'Таблиця 1'!$E:$E,"Ретранслятор",'Таблиця 1'!$L:$L,"Уражено"))</f>
        <v/>
      </c>
      <c r="T381">
        <f>IF($A381="","",COUNTIFS('Таблиця 1'!$B:$B,$A381,'Таблиця 1'!$E:$E,"Вз.зв'язку",'Таблиця 1'!$L:$L,"Уражено"))</f>
        <v/>
      </c>
      <c r="U381">
        <f>IF($A381="","",COUNTIFS('Таблиця 1'!$B:$B,$A381,'Таблиця 1'!$E:$E,"ПММ",'Таблиця 1'!$L:$L,"Уражено"))</f>
        <v/>
      </c>
      <c r="V381">
        <f>IF($A381="","",COUNTIFS('Таблиця 1'!$B:$B,$A381,'Таблиця 1'!$E:$E,"ІФС",'Таблиця 1'!$L:$L,"Уражено"))</f>
        <v/>
      </c>
      <c r="W381">
        <f>IF($A381="","",COUNTIFS('Таблиця 1'!$B:$B,$A381,'Таблиця 1'!$E:$E,"Інфраструктура",'Таблиця 1'!$L:$L,"Уражено"))</f>
        <v/>
      </c>
      <c r="X381">
        <f>IF($A381="","",SUMIFS('Таблиця 1'!$K:$K,'Таблиця 1'!$B:$B,$A381))</f>
        <v/>
      </c>
    </row>
    <row r="382">
      <c r="A382" s="81">
        <f>IF(A381="","",IF(A381+1&gt;MAX('Таблиця 1'!$B:$B),"",A381+1))</f>
        <v/>
      </c>
      <c r="B382">
        <f>IF($A382="","",COUNTIFS('Таблиця 1'!$B:$B,$A382,'Таблиця 1'!$E:$E,"ЖС ВЗ",'Таблиця 1'!$L:$L,"Уражено"))</f>
        <v/>
      </c>
      <c r="C382">
        <f>IF($A382="","",COUNTIFS('Таблиця 1'!$B:$B,$A382,'Таблиця 1'!$E:$E,"Арт. Системи",'Таблиця 1'!$L:$L,"Уражено"))</f>
        <v/>
      </c>
      <c r="D382">
        <f>IF($A382="","",COUNTIFS('Таблиця 1'!$B:$B,$A382,'Таблиця 1'!$E:$E,"ОВТ",'Таблиця 1'!$L:$L,"Уражено"))</f>
        <v/>
      </c>
      <c r="E382">
        <f>IF($A382="","",COUNTIFS('Таблиця 1'!$B:$B,$A382,'Таблиця 1'!$E:$E,"ППО",'Таблиця 1'!$L:$L,"Уражено"))</f>
        <v/>
      </c>
      <c r="F382">
        <f>IF($A382="","",COUNTIFS('Таблиця 1'!$B:$B,$A382,'Таблиця 1'!$E:$E,"Рембаза",'Таблиця 1'!$L:$L,"Уражено"))</f>
        <v/>
      </c>
      <c r="G382">
        <f>IF($A382="","",COUNTIFS('Таблиця 1'!$B:$B,$A382,'Таблиця 1'!$E:$E,"Склад БК",'Таблиця 1'!$L:$L,"Уражено"))</f>
        <v/>
      </c>
      <c r="H382">
        <f>IF($A382="","",COUNTIFS('Таблиця 1'!$B:$B,$A382,'Таблиця 1'!$E:$E,"Склад ВТМ",'Таблиця 1'!$L:$L,"Уражено"))</f>
        <v/>
      </c>
      <c r="I382">
        <f>IF($A382="","",COUNTIFS('Таблиця 1'!$B:$B,$A382,'Таблиця 1'!$E:$E,"ПУ БпЛА",'Таблиця 1'!$L:$L,"Уражено"))</f>
        <v/>
      </c>
      <c r="J382">
        <f>IF($A382="","",COUNTIFS('Таблиця 1'!$B:$B,$A382,'Таблиця 1'!$E:$E,"СП",'Таблиця 1'!$L:$L,"Уражено"))</f>
        <v/>
      </c>
      <c r="K382">
        <f>IF($A382="","",COUNTIFS('Таблиця 1'!$B:$B,$A382,'Таблиця 1'!$E:$E,"КСП роти",'Таблиця 1'!$L:$L,"Уражено"))</f>
        <v/>
      </c>
      <c r="L382">
        <f>IF($A382="","",COUNTIFS('Таблиця 1'!$B:$B,$A382,'Таблиця 1'!$E:$E,"ПУ бат",'Таблиця 1'!$L:$L,"Уражено"))</f>
        <v/>
      </c>
      <c r="M382">
        <f>IF($A382="","",COUNTIFS('Таблиця 1'!$B:$B,$A382,'Таблиця 1'!$E:$E,"ПУ бриг",'Таблиця 1'!$L:$L,"Уражено"))</f>
        <v/>
      </c>
      <c r="N382">
        <f>IF($A382="","",COUNTIFS('Таблиця 1'!$B:$B,$A382,'Таблиця 1'!$E:$E,"ПУ див",'Таблиця 1'!$L:$L,"Уражено"))</f>
        <v/>
      </c>
      <c r="O382">
        <f>IF($A382="","",COUNTIFS('Таблиця 1'!$B:$B,$A382,'Таблиця 1'!$E:$E,"обл. РЕБ",'Таблиця 1'!$L:$L,"Уражено"))</f>
        <v/>
      </c>
      <c r="P382">
        <f>IF($A382="","",COUNTIFS('Таблиця 1'!$B:$B,$A382,'Таблиця 1'!$E:$E,"пос РЕБ",'Таблиця 1'!$L:$L,"Уражено"))</f>
        <v/>
      </c>
      <c r="Q382">
        <f>IF($A382="","",COUNTIFS('Таблиця 1'!$B:$B,$A382,'Таблиця 1'!$E:$E,"група РЕР",'Таблиця 1'!$L:$L,"Уражено"))</f>
        <v/>
      </c>
      <c r="R382">
        <f>IF($A382="","",COUNTIFS('Таблиця 1'!$B:$B,$A382,'Таблиця 1'!$E:$E,"РЛС КББ",'Таблиця 1'!$L:$L,"Уражено"))</f>
        <v/>
      </c>
      <c r="S382">
        <f>IF($A382="","",COUNTIFS('Таблиця 1'!$B:$B,$A382,'Таблиця 1'!$E:$E,"Ретранслятор",'Таблиця 1'!$L:$L,"Уражено"))</f>
        <v/>
      </c>
      <c r="T382">
        <f>IF($A382="","",COUNTIFS('Таблиця 1'!$B:$B,$A382,'Таблиця 1'!$E:$E,"Вз.зв'язку",'Таблиця 1'!$L:$L,"Уражено"))</f>
        <v/>
      </c>
      <c r="U382">
        <f>IF($A382="","",COUNTIFS('Таблиця 1'!$B:$B,$A382,'Таблиця 1'!$E:$E,"ПММ",'Таблиця 1'!$L:$L,"Уражено"))</f>
        <v/>
      </c>
      <c r="V382">
        <f>IF($A382="","",COUNTIFS('Таблиця 1'!$B:$B,$A382,'Таблиця 1'!$E:$E,"ІФС",'Таблиця 1'!$L:$L,"Уражено"))</f>
        <v/>
      </c>
      <c r="W382">
        <f>IF($A382="","",COUNTIFS('Таблиця 1'!$B:$B,$A382,'Таблиця 1'!$E:$E,"Інфраструктура",'Таблиця 1'!$L:$L,"Уражено"))</f>
        <v/>
      </c>
      <c r="X382">
        <f>IF($A382="","",SUMIFS('Таблиця 1'!$K:$K,'Таблиця 1'!$B:$B,$A382))</f>
        <v/>
      </c>
    </row>
    <row r="383">
      <c r="A383" s="81">
        <f>IF(A382="","",IF(A382+1&gt;MAX('Таблиця 1'!$B:$B),"",A382+1))</f>
        <v/>
      </c>
      <c r="B383">
        <f>IF($A383="","",COUNTIFS('Таблиця 1'!$B:$B,$A383,'Таблиця 1'!$E:$E,"ЖС ВЗ",'Таблиця 1'!$L:$L,"Уражено"))</f>
        <v/>
      </c>
      <c r="C383">
        <f>IF($A383="","",COUNTIFS('Таблиця 1'!$B:$B,$A383,'Таблиця 1'!$E:$E,"Арт. Системи",'Таблиця 1'!$L:$L,"Уражено"))</f>
        <v/>
      </c>
      <c r="D383">
        <f>IF($A383="","",COUNTIFS('Таблиця 1'!$B:$B,$A383,'Таблиця 1'!$E:$E,"ОВТ",'Таблиця 1'!$L:$L,"Уражено"))</f>
        <v/>
      </c>
      <c r="E383">
        <f>IF($A383="","",COUNTIFS('Таблиця 1'!$B:$B,$A383,'Таблиця 1'!$E:$E,"ППО",'Таблиця 1'!$L:$L,"Уражено"))</f>
        <v/>
      </c>
      <c r="F383">
        <f>IF($A383="","",COUNTIFS('Таблиця 1'!$B:$B,$A383,'Таблиця 1'!$E:$E,"Рембаза",'Таблиця 1'!$L:$L,"Уражено"))</f>
        <v/>
      </c>
      <c r="G383">
        <f>IF($A383="","",COUNTIFS('Таблиця 1'!$B:$B,$A383,'Таблиця 1'!$E:$E,"Склад БК",'Таблиця 1'!$L:$L,"Уражено"))</f>
        <v/>
      </c>
      <c r="H383">
        <f>IF($A383="","",COUNTIFS('Таблиця 1'!$B:$B,$A383,'Таблиця 1'!$E:$E,"Склад ВТМ",'Таблиця 1'!$L:$L,"Уражено"))</f>
        <v/>
      </c>
      <c r="I383">
        <f>IF($A383="","",COUNTIFS('Таблиця 1'!$B:$B,$A383,'Таблиця 1'!$E:$E,"ПУ БпЛА",'Таблиця 1'!$L:$L,"Уражено"))</f>
        <v/>
      </c>
      <c r="J383">
        <f>IF($A383="","",COUNTIFS('Таблиця 1'!$B:$B,$A383,'Таблиця 1'!$E:$E,"СП",'Таблиця 1'!$L:$L,"Уражено"))</f>
        <v/>
      </c>
      <c r="K383">
        <f>IF($A383="","",COUNTIFS('Таблиця 1'!$B:$B,$A383,'Таблиця 1'!$E:$E,"КСП роти",'Таблиця 1'!$L:$L,"Уражено"))</f>
        <v/>
      </c>
      <c r="L383">
        <f>IF($A383="","",COUNTIFS('Таблиця 1'!$B:$B,$A383,'Таблиця 1'!$E:$E,"ПУ бат",'Таблиця 1'!$L:$L,"Уражено"))</f>
        <v/>
      </c>
      <c r="M383">
        <f>IF($A383="","",COUNTIFS('Таблиця 1'!$B:$B,$A383,'Таблиця 1'!$E:$E,"ПУ бриг",'Таблиця 1'!$L:$L,"Уражено"))</f>
        <v/>
      </c>
      <c r="N383">
        <f>IF($A383="","",COUNTIFS('Таблиця 1'!$B:$B,$A383,'Таблиця 1'!$E:$E,"ПУ див",'Таблиця 1'!$L:$L,"Уражено"))</f>
        <v/>
      </c>
      <c r="O383">
        <f>IF($A383="","",COUNTIFS('Таблиця 1'!$B:$B,$A383,'Таблиця 1'!$E:$E,"обл. РЕБ",'Таблиця 1'!$L:$L,"Уражено"))</f>
        <v/>
      </c>
      <c r="P383">
        <f>IF($A383="","",COUNTIFS('Таблиця 1'!$B:$B,$A383,'Таблиця 1'!$E:$E,"пос РЕБ",'Таблиця 1'!$L:$L,"Уражено"))</f>
        <v/>
      </c>
      <c r="Q383">
        <f>IF($A383="","",COUNTIFS('Таблиця 1'!$B:$B,$A383,'Таблиця 1'!$E:$E,"група РЕР",'Таблиця 1'!$L:$L,"Уражено"))</f>
        <v/>
      </c>
      <c r="R383">
        <f>IF($A383="","",COUNTIFS('Таблиця 1'!$B:$B,$A383,'Таблиця 1'!$E:$E,"РЛС КББ",'Таблиця 1'!$L:$L,"Уражено"))</f>
        <v/>
      </c>
      <c r="S383">
        <f>IF($A383="","",COUNTIFS('Таблиця 1'!$B:$B,$A383,'Таблиця 1'!$E:$E,"Ретранслятор",'Таблиця 1'!$L:$L,"Уражено"))</f>
        <v/>
      </c>
      <c r="T383">
        <f>IF($A383="","",COUNTIFS('Таблиця 1'!$B:$B,$A383,'Таблиця 1'!$E:$E,"Вз.зв'язку",'Таблиця 1'!$L:$L,"Уражено"))</f>
        <v/>
      </c>
      <c r="U383">
        <f>IF($A383="","",COUNTIFS('Таблиця 1'!$B:$B,$A383,'Таблиця 1'!$E:$E,"ПММ",'Таблиця 1'!$L:$L,"Уражено"))</f>
        <v/>
      </c>
      <c r="V383">
        <f>IF($A383="","",COUNTIFS('Таблиця 1'!$B:$B,$A383,'Таблиця 1'!$E:$E,"ІФС",'Таблиця 1'!$L:$L,"Уражено"))</f>
        <v/>
      </c>
      <c r="W383">
        <f>IF($A383="","",COUNTIFS('Таблиця 1'!$B:$B,$A383,'Таблиця 1'!$E:$E,"Інфраструктура",'Таблиця 1'!$L:$L,"Уражено"))</f>
        <v/>
      </c>
      <c r="X383">
        <f>IF($A383="","",SUMIFS('Таблиця 1'!$K:$K,'Таблиця 1'!$B:$B,$A383))</f>
        <v/>
      </c>
    </row>
    <row r="384">
      <c r="A384" s="81">
        <f>IF(A383="","",IF(A383+1&gt;MAX('Таблиця 1'!$B:$B),"",A383+1))</f>
        <v/>
      </c>
      <c r="B384">
        <f>IF($A384="","",COUNTIFS('Таблиця 1'!$B:$B,$A384,'Таблиця 1'!$E:$E,"ЖС ВЗ",'Таблиця 1'!$L:$L,"Уражено"))</f>
        <v/>
      </c>
      <c r="C384">
        <f>IF($A384="","",COUNTIFS('Таблиця 1'!$B:$B,$A384,'Таблиця 1'!$E:$E,"Арт. Системи",'Таблиця 1'!$L:$L,"Уражено"))</f>
        <v/>
      </c>
      <c r="D384">
        <f>IF($A384="","",COUNTIFS('Таблиця 1'!$B:$B,$A384,'Таблиця 1'!$E:$E,"ОВТ",'Таблиця 1'!$L:$L,"Уражено"))</f>
        <v/>
      </c>
      <c r="E384">
        <f>IF($A384="","",COUNTIFS('Таблиця 1'!$B:$B,$A384,'Таблиця 1'!$E:$E,"ППО",'Таблиця 1'!$L:$L,"Уражено"))</f>
        <v/>
      </c>
      <c r="F384">
        <f>IF($A384="","",COUNTIFS('Таблиця 1'!$B:$B,$A384,'Таблиця 1'!$E:$E,"Рембаза",'Таблиця 1'!$L:$L,"Уражено"))</f>
        <v/>
      </c>
      <c r="G384">
        <f>IF($A384="","",COUNTIFS('Таблиця 1'!$B:$B,$A384,'Таблиця 1'!$E:$E,"Склад БК",'Таблиця 1'!$L:$L,"Уражено"))</f>
        <v/>
      </c>
      <c r="H384">
        <f>IF($A384="","",COUNTIFS('Таблиця 1'!$B:$B,$A384,'Таблиця 1'!$E:$E,"Склад ВТМ",'Таблиця 1'!$L:$L,"Уражено"))</f>
        <v/>
      </c>
      <c r="I384">
        <f>IF($A384="","",COUNTIFS('Таблиця 1'!$B:$B,$A384,'Таблиця 1'!$E:$E,"ПУ БпЛА",'Таблиця 1'!$L:$L,"Уражено"))</f>
        <v/>
      </c>
      <c r="J384">
        <f>IF($A384="","",COUNTIFS('Таблиця 1'!$B:$B,$A384,'Таблиця 1'!$E:$E,"СП",'Таблиця 1'!$L:$L,"Уражено"))</f>
        <v/>
      </c>
      <c r="K384">
        <f>IF($A384="","",COUNTIFS('Таблиця 1'!$B:$B,$A384,'Таблиця 1'!$E:$E,"КСП роти",'Таблиця 1'!$L:$L,"Уражено"))</f>
        <v/>
      </c>
      <c r="L384">
        <f>IF($A384="","",COUNTIFS('Таблиця 1'!$B:$B,$A384,'Таблиця 1'!$E:$E,"ПУ бат",'Таблиця 1'!$L:$L,"Уражено"))</f>
        <v/>
      </c>
      <c r="M384">
        <f>IF($A384="","",COUNTIFS('Таблиця 1'!$B:$B,$A384,'Таблиця 1'!$E:$E,"ПУ бриг",'Таблиця 1'!$L:$L,"Уражено"))</f>
        <v/>
      </c>
      <c r="N384">
        <f>IF($A384="","",COUNTIFS('Таблиця 1'!$B:$B,$A384,'Таблиця 1'!$E:$E,"ПУ див",'Таблиця 1'!$L:$L,"Уражено"))</f>
        <v/>
      </c>
      <c r="O384">
        <f>IF($A384="","",COUNTIFS('Таблиця 1'!$B:$B,$A384,'Таблиця 1'!$E:$E,"обл. РЕБ",'Таблиця 1'!$L:$L,"Уражено"))</f>
        <v/>
      </c>
      <c r="P384">
        <f>IF($A384="","",COUNTIFS('Таблиця 1'!$B:$B,$A384,'Таблиця 1'!$E:$E,"пос РЕБ",'Таблиця 1'!$L:$L,"Уражено"))</f>
        <v/>
      </c>
      <c r="Q384">
        <f>IF($A384="","",COUNTIFS('Таблиця 1'!$B:$B,$A384,'Таблиця 1'!$E:$E,"група РЕР",'Таблиця 1'!$L:$L,"Уражено"))</f>
        <v/>
      </c>
      <c r="R384">
        <f>IF($A384="","",COUNTIFS('Таблиця 1'!$B:$B,$A384,'Таблиця 1'!$E:$E,"РЛС КББ",'Таблиця 1'!$L:$L,"Уражено"))</f>
        <v/>
      </c>
      <c r="S384">
        <f>IF($A384="","",COUNTIFS('Таблиця 1'!$B:$B,$A384,'Таблиця 1'!$E:$E,"Ретранслятор",'Таблиця 1'!$L:$L,"Уражено"))</f>
        <v/>
      </c>
      <c r="T384">
        <f>IF($A384="","",COUNTIFS('Таблиця 1'!$B:$B,$A384,'Таблиця 1'!$E:$E,"Вз.зв'язку",'Таблиця 1'!$L:$L,"Уражено"))</f>
        <v/>
      </c>
      <c r="U384">
        <f>IF($A384="","",COUNTIFS('Таблиця 1'!$B:$B,$A384,'Таблиця 1'!$E:$E,"ПММ",'Таблиця 1'!$L:$L,"Уражено"))</f>
        <v/>
      </c>
      <c r="V384">
        <f>IF($A384="","",COUNTIFS('Таблиця 1'!$B:$B,$A384,'Таблиця 1'!$E:$E,"ІФС",'Таблиця 1'!$L:$L,"Уражено"))</f>
        <v/>
      </c>
      <c r="W384">
        <f>IF($A384="","",COUNTIFS('Таблиця 1'!$B:$B,$A384,'Таблиця 1'!$E:$E,"Інфраструктура",'Таблиця 1'!$L:$L,"Уражено"))</f>
        <v/>
      </c>
      <c r="X384">
        <f>IF($A384="","",SUMIFS('Таблиця 1'!$K:$K,'Таблиця 1'!$B:$B,$A384))</f>
        <v/>
      </c>
    </row>
    <row r="385">
      <c r="A385" s="81">
        <f>IF(A384="","",IF(A384+1&gt;MAX('Таблиця 1'!$B:$B),"",A384+1))</f>
        <v/>
      </c>
      <c r="B385">
        <f>IF($A385="","",COUNTIFS('Таблиця 1'!$B:$B,$A385,'Таблиця 1'!$E:$E,"ЖС ВЗ",'Таблиця 1'!$L:$L,"Уражено"))</f>
        <v/>
      </c>
      <c r="C385">
        <f>IF($A385="","",COUNTIFS('Таблиця 1'!$B:$B,$A385,'Таблиця 1'!$E:$E,"Арт. Системи",'Таблиця 1'!$L:$L,"Уражено"))</f>
        <v/>
      </c>
      <c r="D385">
        <f>IF($A385="","",COUNTIFS('Таблиця 1'!$B:$B,$A385,'Таблиця 1'!$E:$E,"ОВТ",'Таблиця 1'!$L:$L,"Уражено"))</f>
        <v/>
      </c>
      <c r="E385">
        <f>IF($A385="","",COUNTIFS('Таблиця 1'!$B:$B,$A385,'Таблиця 1'!$E:$E,"ППО",'Таблиця 1'!$L:$L,"Уражено"))</f>
        <v/>
      </c>
      <c r="F385">
        <f>IF($A385="","",COUNTIFS('Таблиця 1'!$B:$B,$A385,'Таблиця 1'!$E:$E,"Рембаза",'Таблиця 1'!$L:$L,"Уражено"))</f>
        <v/>
      </c>
      <c r="G385">
        <f>IF($A385="","",COUNTIFS('Таблиця 1'!$B:$B,$A385,'Таблиця 1'!$E:$E,"Склад БК",'Таблиця 1'!$L:$L,"Уражено"))</f>
        <v/>
      </c>
      <c r="H385">
        <f>IF($A385="","",COUNTIFS('Таблиця 1'!$B:$B,$A385,'Таблиця 1'!$E:$E,"Склад ВТМ",'Таблиця 1'!$L:$L,"Уражено"))</f>
        <v/>
      </c>
      <c r="I385">
        <f>IF($A385="","",COUNTIFS('Таблиця 1'!$B:$B,$A385,'Таблиця 1'!$E:$E,"ПУ БпЛА",'Таблиця 1'!$L:$L,"Уражено"))</f>
        <v/>
      </c>
      <c r="J385">
        <f>IF($A385="","",COUNTIFS('Таблиця 1'!$B:$B,$A385,'Таблиця 1'!$E:$E,"СП",'Таблиця 1'!$L:$L,"Уражено"))</f>
        <v/>
      </c>
      <c r="K385">
        <f>IF($A385="","",COUNTIFS('Таблиця 1'!$B:$B,$A385,'Таблиця 1'!$E:$E,"КСП роти",'Таблиця 1'!$L:$L,"Уражено"))</f>
        <v/>
      </c>
      <c r="L385">
        <f>IF($A385="","",COUNTIFS('Таблиця 1'!$B:$B,$A385,'Таблиця 1'!$E:$E,"ПУ бат",'Таблиця 1'!$L:$L,"Уражено"))</f>
        <v/>
      </c>
      <c r="M385">
        <f>IF($A385="","",COUNTIFS('Таблиця 1'!$B:$B,$A385,'Таблиця 1'!$E:$E,"ПУ бриг",'Таблиця 1'!$L:$L,"Уражено"))</f>
        <v/>
      </c>
      <c r="N385">
        <f>IF($A385="","",COUNTIFS('Таблиця 1'!$B:$B,$A385,'Таблиця 1'!$E:$E,"ПУ див",'Таблиця 1'!$L:$L,"Уражено"))</f>
        <v/>
      </c>
      <c r="O385">
        <f>IF($A385="","",COUNTIFS('Таблиця 1'!$B:$B,$A385,'Таблиця 1'!$E:$E,"обл. РЕБ",'Таблиця 1'!$L:$L,"Уражено"))</f>
        <v/>
      </c>
      <c r="P385">
        <f>IF($A385="","",COUNTIFS('Таблиця 1'!$B:$B,$A385,'Таблиця 1'!$E:$E,"пос РЕБ",'Таблиця 1'!$L:$L,"Уражено"))</f>
        <v/>
      </c>
      <c r="Q385">
        <f>IF($A385="","",COUNTIFS('Таблиця 1'!$B:$B,$A385,'Таблиця 1'!$E:$E,"група РЕР",'Таблиця 1'!$L:$L,"Уражено"))</f>
        <v/>
      </c>
      <c r="R385">
        <f>IF($A385="","",COUNTIFS('Таблиця 1'!$B:$B,$A385,'Таблиця 1'!$E:$E,"РЛС КББ",'Таблиця 1'!$L:$L,"Уражено"))</f>
        <v/>
      </c>
      <c r="S385">
        <f>IF($A385="","",COUNTIFS('Таблиця 1'!$B:$B,$A385,'Таблиця 1'!$E:$E,"Ретранслятор",'Таблиця 1'!$L:$L,"Уражено"))</f>
        <v/>
      </c>
      <c r="T385">
        <f>IF($A385="","",COUNTIFS('Таблиця 1'!$B:$B,$A385,'Таблиця 1'!$E:$E,"Вз.зв'язку",'Таблиця 1'!$L:$L,"Уражено"))</f>
        <v/>
      </c>
      <c r="U385">
        <f>IF($A385="","",COUNTIFS('Таблиця 1'!$B:$B,$A385,'Таблиця 1'!$E:$E,"ПММ",'Таблиця 1'!$L:$L,"Уражено"))</f>
        <v/>
      </c>
      <c r="V385">
        <f>IF($A385="","",COUNTIFS('Таблиця 1'!$B:$B,$A385,'Таблиця 1'!$E:$E,"ІФС",'Таблиця 1'!$L:$L,"Уражено"))</f>
        <v/>
      </c>
      <c r="W385">
        <f>IF($A385="","",COUNTIFS('Таблиця 1'!$B:$B,$A385,'Таблиця 1'!$E:$E,"Інфраструктура",'Таблиця 1'!$L:$L,"Уражено"))</f>
        <v/>
      </c>
      <c r="X385">
        <f>IF($A385="","",SUMIFS('Таблиця 1'!$K:$K,'Таблиця 1'!$B:$B,$A385))</f>
        <v/>
      </c>
    </row>
    <row r="386">
      <c r="A386" s="81">
        <f>IF(A385="","",IF(A385+1&gt;MAX('Таблиця 1'!$B:$B),"",A385+1))</f>
        <v/>
      </c>
      <c r="B386">
        <f>IF($A386="","",COUNTIFS('Таблиця 1'!$B:$B,$A386,'Таблиця 1'!$E:$E,"ЖС ВЗ",'Таблиця 1'!$L:$L,"Уражено"))</f>
        <v/>
      </c>
      <c r="C386">
        <f>IF($A386="","",COUNTIFS('Таблиця 1'!$B:$B,$A386,'Таблиця 1'!$E:$E,"Арт. Системи",'Таблиця 1'!$L:$L,"Уражено"))</f>
        <v/>
      </c>
      <c r="D386">
        <f>IF($A386="","",COUNTIFS('Таблиця 1'!$B:$B,$A386,'Таблиця 1'!$E:$E,"ОВТ",'Таблиця 1'!$L:$L,"Уражено"))</f>
        <v/>
      </c>
      <c r="E386">
        <f>IF($A386="","",COUNTIFS('Таблиця 1'!$B:$B,$A386,'Таблиця 1'!$E:$E,"ППО",'Таблиця 1'!$L:$L,"Уражено"))</f>
        <v/>
      </c>
      <c r="F386">
        <f>IF($A386="","",COUNTIFS('Таблиця 1'!$B:$B,$A386,'Таблиця 1'!$E:$E,"Рембаза",'Таблиця 1'!$L:$L,"Уражено"))</f>
        <v/>
      </c>
      <c r="G386">
        <f>IF($A386="","",COUNTIFS('Таблиця 1'!$B:$B,$A386,'Таблиця 1'!$E:$E,"Склад БК",'Таблиця 1'!$L:$L,"Уражено"))</f>
        <v/>
      </c>
      <c r="H386">
        <f>IF($A386="","",COUNTIFS('Таблиця 1'!$B:$B,$A386,'Таблиця 1'!$E:$E,"Склад ВТМ",'Таблиця 1'!$L:$L,"Уражено"))</f>
        <v/>
      </c>
      <c r="I386">
        <f>IF($A386="","",COUNTIFS('Таблиця 1'!$B:$B,$A386,'Таблиця 1'!$E:$E,"ПУ БпЛА",'Таблиця 1'!$L:$L,"Уражено"))</f>
        <v/>
      </c>
      <c r="J386">
        <f>IF($A386="","",COUNTIFS('Таблиця 1'!$B:$B,$A386,'Таблиця 1'!$E:$E,"СП",'Таблиця 1'!$L:$L,"Уражено"))</f>
        <v/>
      </c>
      <c r="K386">
        <f>IF($A386="","",COUNTIFS('Таблиця 1'!$B:$B,$A386,'Таблиця 1'!$E:$E,"КСП роти",'Таблиця 1'!$L:$L,"Уражено"))</f>
        <v/>
      </c>
      <c r="L386">
        <f>IF($A386="","",COUNTIFS('Таблиця 1'!$B:$B,$A386,'Таблиця 1'!$E:$E,"ПУ бат",'Таблиця 1'!$L:$L,"Уражено"))</f>
        <v/>
      </c>
      <c r="M386">
        <f>IF($A386="","",COUNTIFS('Таблиця 1'!$B:$B,$A386,'Таблиця 1'!$E:$E,"ПУ бриг",'Таблиця 1'!$L:$L,"Уражено"))</f>
        <v/>
      </c>
      <c r="N386">
        <f>IF($A386="","",COUNTIFS('Таблиця 1'!$B:$B,$A386,'Таблиця 1'!$E:$E,"ПУ див",'Таблиця 1'!$L:$L,"Уражено"))</f>
        <v/>
      </c>
      <c r="O386">
        <f>IF($A386="","",COUNTIFS('Таблиця 1'!$B:$B,$A386,'Таблиця 1'!$E:$E,"обл. РЕБ",'Таблиця 1'!$L:$L,"Уражено"))</f>
        <v/>
      </c>
      <c r="P386">
        <f>IF($A386="","",COUNTIFS('Таблиця 1'!$B:$B,$A386,'Таблиця 1'!$E:$E,"пос РЕБ",'Таблиця 1'!$L:$L,"Уражено"))</f>
        <v/>
      </c>
      <c r="Q386">
        <f>IF($A386="","",COUNTIFS('Таблиця 1'!$B:$B,$A386,'Таблиця 1'!$E:$E,"група РЕР",'Таблиця 1'!$L:$L,"Уражено"))</f>
        <v/>
      </c>
      <c r="R386">
        <f>IF($A386="","",COUNTIFS('Таблиця 1'!$B:$B,$A386,'Таблиця 1'!$E:$E,"РЛС КББ",'Таблиця 1'!$L:$L,"Уражено"))</f>
        <v/>
      </c>
      <c r="S386">
        <f>IF($A386="","",COUNTIFS('Таблиця 1'!$B:$B,$A386,'Таблиця 1'!$E:$E,"Ретранслятор",'Таблиця 1'!$L:$L,"Уражено"))</f>
        <v/>
      </c>
      <c r="T386">
        <f>IF($A386="","",COUNTIFS('Таблиця 1'!$B:$B,$A386,'Таблиця 1'!$E:$E,"Вз.зв'язку",'Таблиця 1'!$L:$L,"Уражено"))</f>
        <v/>
      </c>
      <c r="U386">
        <f>IF($A386="","",COUNTIFS('Таблиця 1'!$B:$B,$A386,'Таблиця 1'!$E:$E,"ПММ",'Таблиця 1'!$L:$L,"Уражено"))</f>
        <v/>
      </c>
      <c r="V386">
        <f>IF($A386="","",COUNTIFS('Таблиця 1'!$B:$B,$A386,'Таблиця 1'!$E:$E,"ІФС",'Таблиця 1'!$L:$L,"Уражено"))</f>
        <v/>
      </c>
      <c r="W386">
        <f>IF($A386="","",COUNTIFS('Таблиця 1'!$B:$B,$A386,'Таблиця 1'!$E:$E,"Інфраструктура",'Таблиця 1'!$L:$L,"Уражено"))</f>
        <v/>
      </c>
      <c r="X386">
        <f>IF($A386="","",SUMIFS('Таблиця 1'!$K:$K,'Таблиця 1'!$B:$B,$A386))</f>
        <v/>
      </c>
    </row>
    <row r="387">
      <c r="A387" s="81">
        <f>IF(A386="","",IF(A386+1&gt;MAX('Таблиця 1'!$B:$B),"",A386+1))</f>
        <v/>
      </c>
      <c r="B387">
        <f>IF($A387="","",COUNTIFS('Таблиця 1'!$B:$B,$A387,'Таблиця 1'!$E:$E,"ЖС ВЗ",'Таблиця 1'!$L:$L,"Уражено"))</f>
        <v/>
      </c>
      <c r="C387">
        <f>IF($A387="","",COUNTIFS('Таблиця 1'!$B:$B,$A387,'Таблиця 1'!$E:$E,"Арт. Системи",'Таблиця 1'!$L:$L,"Уражено"))</f>
        <v/>
      </c>
      <c r="D387">
        <f>IF($A387="","",COUNTIFS('Таблиця 1'!$B:$B,$A387,'Таблиця 1'!$E:$E,"ОВТ",'Таблиця 1'!$L:$L,"Уражено"))</f>
        <v/>
      </c>
      <c r="E387">
        <f>IF($A387="","",COUNTIFS('Таблиця 1'!$B:$B,$A387,'Таблиця 1'!$E:$E,"ППО",'Таблиця 1'!$L:$L,"Уражено"))</f>
        <v/>
      </c>
      <c r="F387">
        <f>IF($A387="","",COUNTIFS('Таблиця 1'!$B:$B,$A387,'Таблиця 1'!$E:$E,"Рембаза",'Таблиця 1'!$L:$L,"Уражено"))</f>
        <v/>
      </c>
      <c r="G387">
        <f>IF($A387="","",COUNTIFS('Таблиця 1'!$B:$B,$A387,'Таблиця 1'!$E:$E,"Склад БК",'Таблиця 1'!$L:$L,"Уражено"))</f>
        <v/>
      </c>
      <c r="H387">
        <f>IF($A387="","",COUNTIFS('Таблиця 1'!$B:$B,$A387,'Таблиця 1'!$E:$E,"Склад ВТМ",'Таблиця 1'!$L:$L,"Уражено"))</f>
        <v/>
      </c>
      <c r="I387">
        <f>IF($A387="","",COUNTIFS('Таблиця 1'!$B:$B,$A387,'Таблиця 1'!$E:$E,"ПУ БпЛА",'Таблиця 1'!$L:$L,"Уражено"))</f>
        <v/>
      </c>
      <c r="J387">
        <f>IF($A387="","",COUNTIFS('Таблиця 1'!$B:$B,$A387,'Таблиця 1'!$E:$E,"СП",'Таблиця 1'!$L:$L,"Уражено"))</f>
        <v/>
      </c>
      <c r="K387">
        <f>IF($A387="","",COUNTIFS('Таблиця 1'!$B:$B,$A387,'Таблиця 1'!$E:$E,"КСП роти",'Таблиця 1'!$L:$L,"Уражено"))</f>
        <v/>
      </c>
      <c r="L387">
        <f>IF($A387="","",COUNTIFS('Таблиця 1'!$B:$B,$A387,'Таблиця 1'!$E:$E,"ПУ бат",'Таблиця 1'!$L:$L,"Уражено"))</f>
        <v/>
      </c>
      <c r="M387">
        <f>IF($A387="","",COUNTIFS('Таблиця 1'!$B:$B,$A387,'Таблиця 1'!$E:$E,"ПУ бриг",'Таблиця 1'!$L:$L,"Уражено"))</f>
        <v/>
      </c>
      <c r="N387">
        <f>IF($A387="","",COUNTIFS('Таблиця 1'!$B:$B,$A387,'Таблиця 1'!$E:$E,"ПУ див",'Таблиця 1'!$L:$L,"Уражено"))</f>
        <v/>
      </c>
      <c r="O387">
        <f>IF($A387="","",COUNTIFS('Таблиця 1'!$B:$B,$A387,'Таблиця 1'!$E:$E,"обл. РЕБ",'Таблиця 1'!$L:$L,"Уражено"))</f>
        <v/>
      </c>
      <c r="P387">
        <f>IF($A387="","",COUNTIFS('Таблиця 1'!$B:$B,$A387,'Таблиця 1'!$E:$E,"пос РЕБ",'Таблиця 1'!$L:$L,"Уражено"))</f>
        <v/>
      </c>
      <c r="Q387">
        <f>IF($A387="","",COUNTIFS('Таблиця 1'!$B:$B,$A387,'Таблиця 1'!$E:$E,"група РЕР",'Таблиця 1'!$L:$L,"Уражено"))</f>
        <v/>
      </c>
      <c r="R387">
        <f>IF($A387="","",COUNTIFS('Таблиця 1'!$B:$B,$A387,'Таблиця 1'!$E:$E,"РЛС КББ",'Таблиця 1'!$L:$L,"Уражено"))</f>
        <v/>
      </c>
      <c r="S387">
        <f>IF($A387="","",COUNTIFS('Таблиця 1'!$B:$B,$A387,'Таблиця 1'!$E:$E,"Ретранслятор",'Таблиця 1'!$L:$L,"Уражено"))</f>
        <v/>
      </c>
      <c r="T387">
        <f>IF($A387="","",COUNTIFS('Таблиця 1'!$B:$B,$A387,'Таблиця 1'!$E:$E,"Вз.зв'язку",'Таблиця 1'!$L:$L,"Уражено"))</f>
        <v/>
      </c>
      <c r="U387">
        <f>IF($A387="","",COUNTIFS('Таблиця 1'!$B:$B,$A387,'Таблиця 1'!$E:$E,"ПММ",'Таблиця 1'!$L:$L,"Уражено"))</f>
        <v/>
      </c>
      <c r="V387">
        <f>IF($A387="","",COUNTIFS('Таблиця 1'!$B:$B,$A387,'Таблиця 1'!$E:$E,"ІФС",'Таблиця 1'!$L:$L,"Уражено"))</f>
        <v/>
      </c>
      <c r="W387">
        <f>IF($A387="","",COUNTIFS('Таблиця 1'!$B:$B,$A387,'Таблиця 1'!$E:$E,"Інфраструктура",'Таблиця 1'!$L:$L,"Уражено"))</f>
        <v/>
      </c>
      <c r="X387">
        <f>IF($A387="","",SUMIFS('Таблиця 1'!$K:$K,'Таблиця 1'!$B:$B,$A387))</f>
        <v/>
      </c>
    </row>
    <row r="388">
      <c r="A388" s="81">
        <f>IF(A387="","",IF(A387+1&gt;MAX('Таблиця 1'!$B:$B),"",A387+1))</f>
        <v/>
      </c>
      <c r="B388">
        <f>IF($A388="","",COUNTIFS('Таблиця 1'!$B:$B,$A388,'Таблиця 1'!$E:$E,"ЖС ВЗ",'Таблиця 1'!$L:$L,"Уражено"))</f>
        <v/>
      </c>
      <c r="C388">
        <f>IF($A388="","",COUNTIFS('Таблиця 1'!$B:$B,$A388,'Таблиця 1'!$E:$E,"Арт. Системи",'Таблиця 1'!$L:$L,"Уражено"))</f>
        <v/>
      </c>
      <c r="D388">
        <f>IF($A388="","",COUNTIFS('Таблиця 1'!$B:$B,$A388,'Таблиця 1'!$E:$E,"ОВТ",'Таблиця 1'!$L:$L,"Уражено"))</f>
        <v/>
      </c>
      <c r="E388">
        <f>IF($A388="","",COUNTIFS('Таблиця 1'!$B:$B,$A388,'Таблиця 1'!$E:$E,"ППО",'Таблиця 1'!$L:$L,"Уражено"))</f>
        <v/>
      </c>
      <c r="F388">
        <f>IF($A388="","",COUNTIFS('Таблиця 1'!$B:$B,$A388,'Таблиця 1'!$E:$E,"Рембаза",'Таблиця 1'!$L:$L,"Уражено"))</f>
        <v/>
      </c>
      <c r="G388">
        <f>IF($A388="","",COUNTIFS('Таблиця 1'!$B:$B,$A388,'Таблиця 1'!$E:$E,"Склад БК",'Таблиця 1'!$L:$L,"Уражено"))</f>
        <v/>
      </c>
      <c r="H388">
        <f>IF($A388="","",COUNTIFS('Таблиця 1'!$B:$B,$A388,'Таблиця 1'!$E:$E,"Склад ВТМ",'Таблиця 1'!$L:$L,"Уражено"))</f>
        <v/>
      </c>
      <c r="I388">
        <f>IF($A388="","",COUNTIFS('Таблиця 1'!$B:$B,$A388,'Таблиця 1'!$E:$E,"ПУ БпЛА",'Таблиця 1'!$L:$L,"Уражено"))</f>
        <v/>
      </c>
      <c r="J388">
        <f>IF($A388="","",COUNTIFS('Таблиця 1'!$B:$B,$A388,'Таблиця 1'!$E:$E,"СП",'Таблиця 1'!$L:$L,"Уражено"))</f>
        <v/>
      </c>
      <c r="K388">
        <f>IF($A388="","",COUNTIFS('Таблиця 1'!$B:$B,$A388,'Таблиця 1'!$E:$E,"КСП роти",'Таблиця 1'!$L:$L,"Уражено"))</f>
        <v/>
      </c>
      <c r="L388">
        <f>IF($A388="","",COUNTIFS('Таблиця 1'!$B:$B,$A388,'Таблиця 1'!$E:$E,"ПУ бат",'Таблиця 1'!$L:$L,"Уражено"))</f>
        <v/>
      </c>
      <c r="M388">
        <f>IF($A388="","",COUNTIFS('Таблиця 1'!$B:$B,$A388,'Таблиця 1'!$E:$E,"ПУ бриг",'Таблиця 1'!$L:$L,"Уражено"))</f>
        <v/>
      </c>
      <c r="N388">
        <f>IF($A388="","",COUNTIFS('Таблиця 1'!$B:$B,$A388,'Таблиця 1'!$E:$E,"ПУ див",'Таблиця 1'!$L:$L,"Уражено"))</f>
        <v/>
      </c>
      <c r="O388">
        <f>IF($A388="","",COUNTIFS('Таблиця 1'!$B:$B,$A388,'Таблиця 1'!$E:$E,"обл. РЕБ",'Таблиця 1'!$L:$L,"Уражено"))</f>
        <v/>
      </c>
      <c r="P388">
        <f>IF($A388="","",COUNTIFS('Таблиця 1'!$B:$B,$A388,'Таблиця 1'!$E:$E,"пос РЕБ",'Таблиця 1'!$L:$L,"Уражено"))</f>
        <v/>
      </c>
      <c r="Q388">
        <f>IF($A388="","",COUNTIFS('Таблиця 1'!$B:$B,$A388,'Таблиця 1'!$E:$E,"група РЕР",'Таблиця 1'!$L:$L,"Уражено"))</f>
        <v/>
      </c>
      <c r="R388">
        <f>IF($A388="","",COUNTIFS('Таблиця 1'!$B:$B,$A388,'Таблиця 1'!$E:$E,"РЛС КББ",'Таблиця 1'!$L:$L,"Уражено"))</f>
        <v/>
      </c>
      <c r="S388">
        <f>IF($A388="","",COUNTIFS('Таблиця 1'!$B:$B,$A388,'Таблиця 1'!$E:$E,"Ретранслятор",'Таблиця 1'!$L:$L,"Уражено"))</f>
        <v/>
      </c>
      <c r="T388">
        <f>IF($A388="","",COUNTIFS('Таблиця 1'!$B:$B,$A388,'Таблиця 1'!$E:$E,"Вз.зв'язку",'Таблиця 1'!$L:$L,"Уражено"))</f>
        <v/>
      </c>
      <c r="U388">
        <f>IF($A388="","",COUNTIFS('Таблиця 1'!$B:$B,$A388,'Таблиця 1'!$E:$E,"ПММ",'Таблиця 1'!$L:$L,"Уражено"))</f>
        <v/>
      </c>
      <c r="V388">
        <f>IF($A388="","",COUNTIFS('Таблиця 1'!$B:$B,$A388,'Таблиця 1'!$E:$E,"ІФС",'Таблиця 1'!$L:$L,"Уражено"))</f>
        <v/>
      </c>
      <c r="W388">
        <f>IF($A388="","",COUNTIFS('Таблиця 1'!$B:$B,$A388,'Таблиця 1'!$E:$E,"Інфраструктура",'Таблиця 1'!$L:$L,"Уражено"))</f>
        <v/>
      </c>
      <c r="X388">
        <f>IF($A388="","",SUMIFS('Таблиця 1'!$K:$K,'Таблиця 1'!$B:$B,$A388))</f>
        <v/>
      </c>
    </row>
    <row r="389">
      <c r="A389" s="81">
        <f>IF(A388="","",IF(A388+1&gt;MAX('Таблиця 1'!$B:$B),"",A388+1))</f>
        <v/>
      </c>
      <c r="B389">
        <f>IF($A389="","",COUNTIFS('Таблиця 1'!$B:$B,$A389,'Таблиця 1'!$E:$E,"ЖС ВЗ",'Таблиця 1'!$L:$L,"Уражено"))</f>
        <v/>
      </c>
      <c r="C389">
        <f>IF($A389="","",COUNTIFS('Таблиця 1'!$B:$B,$A389,'Таблиця 1'!$E:$E,"Арт. Системи",'Таблиця 1'!$L:$L,"Уражено"))</f>
        <v/>
      </c>
      <c r="D389">
        <f>IF($A389="","",COUNTIFS('Таблиця 1'!$B:$B,$A389,'Таблиця 1'!$E:$E,"ОВТ",'Таблиця 1'!$L:$L,"Уражено"))</f>
        <v/>
      </c>
      <c r="E389">
        <f>IF($A389="","",COUNTIFS('Таблиця 1'!$B:$B,$A389,'Таблиця 1'!$E:$E,"ППО",'Таблиця 1'!$L:$L,"Уражено"))</f>
        <v/>
      </c>
      <c r="F389">
        <f>IF($A389="","",COUNTIFS('Таблиця 1'!$B:$B,$A389,'Таблиця 1'!$E:$E,"Рембаза",'Таблиця 1'!$L:$L,"Уражено"))</f>
        <v/>
      </c>
      <c r="G389">
        <f>IF($A389="","",COUNTIFS('Таблиця 1'!$B:$B,$A389,'Таблиця 1'!$E:$E,"Склад БК",'Таблиця 1'!$L:$L,"Уражено"))</f>
        <v/>
      </c>
      <c r="H389">
        <f>IF($A389="","",COUNTIFS('Таблиця 1'!$B:$B,$A389,'Таблиця 1'!$E:$E,"Склад ВТМ",'Таблиця 1'!$L:$L,"Уражено"))</f>
        <v/>
      </c>
      <c r="I389">
        <f>IF($A389="","",COUNTIFS('Таблиця 1'!$B:$B,$A389,'Таблиця 1'!$E:$E,"ПУ БпЛА",'Таблиця 1'!$L:$L,"Уражено"))</f>
        <v/>
      </c>
      <c r="J389">
        <f>IF($A389="","",COUNTIFS('Таблиця 1'!$B:$B,$A389,'Таблиця 1'!$E:$E,"СП",'Таблиця 1'!$L:$L,"Уражено"))</f>
        <v/>
      </c>
      <c r="K389">
        <f>IF($A389="","",COUNTIFS('Таблиця 1'!$B:$B,$A389,'Таблиця 1'!$E:$E,"КСП роти",'Таблиця 1'!$L:$L,"Уражено"))</f>
        <v/>
      </c>
      <c r="L389">
        <f>IF($A389="","",COUNTIFS('Таблиця 1'!$B:$B,$A389,'Таблиця 1'!$E:$E,"ПУ бат",'Таблиця 1'!$L:$L,"Уражено"))</f>
        <v/>
      </c>
      <c r="M389">
        <f>IF($A389="","",COUNTIFS('Таблиця 1'!$B:$B,$A389,'Таблиця 1'!$E:$E,"ПУ бриг",'Таблиця 1'!$L:$L,"Уражено"))</f>
        <v/>
      </c>
      <c r="N389">
        <f>IF($A389="","",COUNTIFS('Таблиця 1'!$B:$B,$A389,'Таблиця 1'!$E:$E,"ПУ див",'Таблиця 1'!$L:$L,"Уражено"))</f>
        <v/>
      </c>
      <c r="O389">
        <f>IF($A389="","",COUNTIFS('Таблиця 1'!$B:$B,$A389,'Таблиця 1'!$E:$E,"обл. РЕБ",'Таблиця 1'!$L:$L,"Уражено"))</f>
        <v/>
      </c>
      <c r="P389">
        <f>IF($A389="","",COUNTIFS('Таблиця 1'!$B:$B,$A389,'Таблиця 1'!$E:$E,"пос РЕБ",'Таблиця 1'!$L:$L,"Уражено"))</f>
        <v/>
      </c>
      <c r="Q389">
        <f>IF($A389="","",COUNTIFS('Таблиця 1'!$B:$B,$A389,'Таблиця 1'!$E:$E,"група РЕР",'Таблиця 1'!$L:$L,"Уражено"))</f>
        <v/>
      </c>
      <c r="R389">
        <f>IF($A389="","",COUNTIFS('Таблиця 1'!$B:$B,$A389,'Таблиця 1'!$E:$E,"РЛС КББ",'Таблиця 1'!$L:$L,"Уражено"))</f>
        <v/>
      </c>
      <c r="S389">
        <f>IF($A389="","",COUNTIFS('Таблиця 1'!$B:$B,$A389,'Таблиця 1'!$E:$E,"Ретранслятор",'Таблиця 1'!$L:$L,"Уражено"))</f>
        <v/>
      </c>
      <c r="T389">
        <f>IF($A389="","",COUNTIFS('Таблиця 1'!$B:$B,$A389,'Таблиця 1'!$E:$E,"Вз.зв'язку",'Таблиця 1'!$L:$L,"Уражено"))</f>
        <v/>
      </c>
      <c r="U389">
        <f>IF($A389="","",COUNTIFS('Таблиця 1'!$B:$B,$A389,'Таблиця 1'!$E:$E,"ПММ",'Таблиця 1'!$L:$L,"Уражено"))</f>
        <v/>
      </c>
      <c r="V389">
        <f>IF($A389="","",COUNTIFS('Таблиця 1'!$B:$B,$A389,'Таблиця 1'!$E:$E,"ІФС",'Таблиця 1'!$L:$L,"Уражено"))</f>
        <v/>
      </c>
      <c r="W389">
        <f>IF($A389="","",COUNTIFS('Таблиця 1'!$B:$B,$A389,'Таблиця 1'!$E:$E,"Інфраструктура",'Таблиця 1'!$L:$L,"Уражено"))</f>
        <v/>
      </c>
      <c r="X389">
        <f>IF($A389="","",SUMIFS('Таблиця 1'!$K:$K,'Таблиця 1'!$B:$B,$A389))</f>
        <v/>
      </c>
    </row>
    <row r="390">
      <c r="A390" s="81">
        <f>IF(A389="","",IF(A389+1&gt;MAX('Таблиця 1'!$B:$B),"",A389+1))</f>
        <v/>
      </c>
      <c r="B390">
        <f>IF($A390="","",COUNTIFS('Таблиця 1'!$B:$B,$A390,'Таблиця 1'!$E:$E,"ЖС ВЗ",'Таблиця 1'!$L:$L,"Уражено"))</f>
        <v/>
      </c>
      <c r="C390">
        <f>IF($A390="","",COUNTIFS('Таблиця 1'!$B:$B,$A390,'Таблиця 1'!$E:$E,"Арт. Системи",'Таблиця 1'!$L:$L,"Уражено"))</f>
        <v/>
      </c>
      <c r="D390">
        <f>IF($A390="","",COUNTIFS('Таблиця 1'!$B:$B,$A390,'Таблиця 1'!$E:$E,"ОВТ",'Таблиця 1'!$L:$L,"Уражено"))</f>
        <v/>
      </c>
      <c r="E390">
        <f>IF($A390="","",COUNTIFS('Таблиця 1'!$B:$B,$A390,'Таблиця 1'!$E:$E,"ППО",'Таблиця 1'!$L:$L,"Уражено"))</f>
        <v/>
      </c>
      <c r="F390">
        <f>IF($A390="","",COUNTIFS('Таблиця 1'!$B:$B,$A390,'Таблиця 1'!$E:$E,"Рембаза",'Таблиця 1'!$L:$L,"Уражено"))</f>
        <v/>
      </c>
      <c r="G390">
        <f>IF($A390="","",COUNTIFS('Таблиця 1'!$B:$B,$A390,'Таблиця 1'!$E:$E,"Склад БК",'Таблиця 1'!$L:$L,"Уражено"))</f>
        <v/>
      </c>
      <c r="H390">
        <f>IF($A390="","",COUNTIFS('Таблиця 1'!$B:$B,$A390,'Таблиця 1'!$E:$E,"Склад ВТМ",'Таблиця 1'!$L:$L,"Уражено"))</f>
        <v/>
      </c>
      <c r="I390">
        <f>IF($A390="","",COUNTIFS('Таблиця 1'!$B:$B,$A390,'Таблиця 1'!$E:$E,"ПУ БпЛА",'Таблиця 1'!$L:$L,"Уражено"))</f>
        <v/>
      </c>
      <c r="J390">
        <f>IF($A390="","",COUNTIFS('Таблиця 1'!$B:$B,$A390,'Таблиця 1'!$E:$E,"СП",'Таблиця 1'!$L:$L,"Уражено"))</f>
        <v/>
      </c>
      <c r="K390">
        <f>IF($A390="","",COUNTIFS('Таблиця 1'!$B:$B,$A390,'Таблиця 1'!$E:$E,"КСП роти",'Таблиця 1'!$L:$L,"Уражено"))</f>
        <v/>
      </c>
      <c r="L390">
        <f>IF($A390="","",COUNTIFS('Таблиця 1'!$B:$B,$A390,'Таблиця 1'!$E:$E,"ПУ бат",'Таблиця 1'!$L:$L,"Уражено"))</f>
        <v/>
      </c>
      <c r="M390">
        <f>IF($A390="","",COUNTIFS('Таблиця 1'!$B:$B,$A390,'Таблиця 1'!$E:$E,"ПУ бриг",'Таблиця 1'!$L:$L,"Уражено"))</f>
        <v/>
      </c>
      <c r="N390">
        <f>IF($A390="","",COUNTIFS('Таблиця 1'!$B:$B,$A390,'Таблиця 1'!$E:$E,"ПУ див",'Таблиця 1'!$L:$L,"Уражено"))</f>
        <v/>
      </c>
      <c r="O390">
        <f>IF($A390="","",COUNTIFS('Таблиця 1'!$B:$B,$A390,'Таблиця 1'!$E:$E,"обл. РЕБ",'Таблиця 1'!$L:$L,"Уражено"))</f>
        <v/>
      </c>
      <c r="P390">
        <f>IF($A390="","",COUNTIFS('Таблиця 1'!$B:$B,$A390,'Таблиця 1'!$E:$E,"пос РЕБ",'Таблиця 1'!$L:$L,"Уражено"))</f>
        <v/>
      </c>
      <c r="Q390">
        <f>IF($A390="","",COUNTIFS('Таблиця 1'!$B:$B,$A390,'Таблиця 1'!$E:$E,"група РЕР",'Таблиця 1'!$L:$L,"Уражено"))</f>
        <v/>
      </c>
      <c r="R390">
        <f>IF($A390="","",COUNTIFS('Таблиця 1'!$B:$B,$A390,'Таблиця 1'!$E:$E,"РЛС КББ",'Таблиця 1'!$L:$L,"Уражено"))</f>
        <v/>
      </c>
      <c r="S390">
        <f>IF($A390="","",COUNTIFS('Таблиця 1'!$B:$B,$A390,'Таблиця 1'!$E:$E,"Ретранслятор",'Таблиця 1'!$L:$L,"Уражено"))</f>
        <v/>
      </c>
      <c r="T390">
        <f>IF($A390="","",COUNTIFS('Таблиця 1'!$B:$B,$A390,'Таблиця 1'!$E:$E,"Вз.зв'язку",'Таблиця 1'!$L:$L,"Уражено"))</f>
        <v/>
      </c>
      <c r="U390">
        <f>IF($A390="","",COUNTIFS('Таблиця 1'!$B:$B,$A390,'Таблиця 1'!$E:$E,"ПММ",'Таблиця 1'!$L:$L,"Уражено"))</f>
        <v/>
      </c>
      <c r="V390">
        <f>IF($A390="","",COUNTIFS('Таблиця 1'!$B:$B,$A390,'Таблиця 1'!$E:$E,"ІФС",'Таблиця 1'!$L:$L,"Уражено"))</f>
        <v/>
      </c>
      <c r="W390">
        <f>IF($A390="","",COUNTIFS('Таблиця 1'!$B:$B,$A390,'Таблиця 1'!$E:$E,"Інфраструктура",'Таблиця 1'!$L:$L,"Уражено"))</f>
        <v/>
      </c>
      <c r="X390">
        <f>IF($A390="","",SUMIFS('Таблиця 1'!$K:$K,'Таблиця 1'!$B:$B,$A390))</f>
        <v/>
      </c>
    </row>
    <row r="391">
      <c r="A391" s="81">
        <f>IF(A390="","",IF(A390+1&gt;MAX('Таблиця 1'!$B:$B),"",A390+1))</f>
        <v/>
      </c>
      <c r="B391">
        <f>IF($A391="","",COUNTIFS('Таблиця 1'!$B:$B,$A391,'Таблиця 1'!$E:$E,"ЖС ВЗ",'Таблиця 1'!$L:$L,"Уражено"))</f>
        <v/>
      </c>
      <c r="C391">
        <f>IF($A391="","",COUNTIFS('Таблиця 1'!$B:$B,$A391,'Таблиця 1'!$E:$E,"Арт. Системи",'Таблиця 1'!$L:$L,"Уражено"))</f>
        <v/>
      </c>
      <c r="D391">
        <f>IF($A391="","",COUNTIFS('Таблиця 1'!$B:$B,$A391,'Таблиця 1'!$E:$E,"ОВТ",'Таблиця 1'!$L:$L,"Уражено"))</f>
        <v/>
      </c>
      <c r="E391">
        <f>IF($A391="","",COUNTIFS('Таблиця 1'!$B:$B,$A391,'Таблиця 1'!$E:$E,"ППО",'Таблиця 1'!$L:$L,"Уражено"))</f>
        <v/>
      </c>
      <c r="F391">
        <f>IF($A391="","",COUNTIFS('Таблиця 1'!$B:$B,$A391,'Таблиця 1'!$E:$E,"Рембаза",'Таблиця 1'!$L:$L,"Уражено"))</f>
        <v/>
      </c>
      <c r="G391">
        <f>IF($A391="","",COUNTIFS('Таблиця 1'!$B:$B,$A391,'Таблиця 1'!$E:$E,"Склад БК",'Таблиця 1'!$L:$L,"Уражено"))</f>
        <v/>
      </c>
      <c r="H391">
        <f>IF($A391="","",COUNTIFS('Таблиця 1'!$B:$B,$A391,'Таблиця 1'!$E:$E,"Склад ВТМ",'Таблиця 1'!$L:$L,"Уражено"))</f>
        <v/>
      </c>
      <c r="I391">
        <f>IF($A391="","",COUNTIFS('Таблиця 1'!$B:$B,$A391,'Таблиця 1'!$E:$E,"ПУ БпЛА",'Таблиця 1'!$L:$L,"Уражено"))</f>
        <v/>
      </c>
      <c r="J391">
        <f>IF($A391="","",COUNTIFS('Таблиця 1'!$B:$B,$A391,'Таблиця 1'!$E:$E,"СП",'Таблиця 1'!$L:$L,"Уражено"))</f>
        <v/>
      </c>
      <c r="K391">
        <f>IF($A391="","",COUNTIFS('Таблиця 1'!$B:$B,$A391,'Таблиця 1'!$E:$E,"КСП роти",'Таблиця 1'!$L:$L,"Уражено"))</f>
        <v/>
      </c>
      <c r="L391">
        <f>IF($A391="","",COUNTIFS('Таблиця 1'!$B:$B,$A391,'Таблиця 1'!$E:$E,"ПУ бат",'Таблиця 1'!$L:$L,"Уражено"))</f>
        <v/>
      </c>
      <c r="M391">
        <f>IF($A391="","",COUNTIFS('Таблиця 1'!$B:$B,$A391,'Таблиця 1'!$E:$E,"ПУ бриг",'Таблиця 1'!$L:$L,"Уражено"))</f>
        <v/>
      </c>
      <c r="N391">
        <f>IF($A391="","",COUNTIFS('Таблиця 1'!$B:$B,$A391,'Таблиця 1'!$E:$E,"ПУ див",'Таблиця 1'!$L:$L,"Уражено"))</f>
        <v/>
      </c>
      <c r="O391">
        <f>IF($A391="","",COUNTIFS('Таблиця 1'!$B:$B,$A391,'Таблиця 1'!$E:$E,"обл. РЕБ",'Таблиця 1'!$L:$L,"Уражено"))</f>
        <v/>
      </c>
      <c r="P391">
        <f>IF($A391="","",COUNTIFS('Таблиця 1'!$B:$B,$A391,'Таблиця 1'!$E:$E,"пос РЕБ",'Таблиця 1'!$L:$L,"Уражено"))</f>
        <v/>
      </c>
      <c r="Q391">
        <f>IF($A391="","",COUNTIFS('Таблиця 1'!$B:$B,$A391,'Таблиця 1'!$E:$E,"група РЕР",'Таблиця 1'!$L:$L,"Уражено"))</f>
        <v/>
      </c>
      <c r="R391">
        <f>IF($A391="","",COUNTIFS('Таблиця 1'!$B:$B,$A391,'Таблиця 1'!$E:$E,"РЛС КББ",'Таблиця 1'!$L:$L,"Уражено"))</f>
        <v/>
      </c>
      <c r="S391">
        <f>IF($A391="","",COUNTIFS('Таблиця 1'!$B:$B,$A391,'Таблиця 1'!$E:$E,"Ретранслятор",'Таблиця 1'!$L:$L,"Уражено"))</f>
        <v/>
      </c>
      <c r="T391">
        <f>IF($A391="","",COUNTIFS('Таблиця 1'!$B:$B,$A391,'Таблиця 1'!$E:$E,"Вз.зв'язку",'Таблиця 1'!$L:$L,"Уражено"))</f>
        <v/>
      </c>
      <c r="U391">
        <f>IF($A391="","",COUNTIFS('Таблиця 1'!$B:$B,$A391,'Таблиця 1'!$E:$E,"ПММ",'Таблиця 1'!$L:$L,"Уражено"))</f>
        <v/>
      </c>
      <c r="V391">
        <f>IF($A391="","",COUNTIFS('Таблиця 1'!$B:$B,$A391,'Таблиця 1'!$E:$E,"ІФС",'Таблиця 1'!$L:$L,"Уражено"))</f>
        <v/>
      </c>
      <c r="W391">
        <f>IF($A391="","",COUNTIFS('Таблиця 1'!$B:$B,$A391,'Таблиця 1'!$E:$E,"Інфраструктура",'Таблиця 1'!$L:$L,"Уражено"))</f>
        <v/>
      </c>
      <c r="X391">
        <f>IF($A391="","",SUMIFS('Таблиця 1'!$K:$K,'Таблиця 1'!$B:$B,$A391))</f>
        <v/>
      </c>
    </row>
    <row r="392">
      <c r="A392" s="81">
        <f>IF(A391="","",IF(A391+1&gt;MAX('Таблиця 1'!$B:$B),"",A391+1))</f>
        <v/>
      </c>
      <c r="B392">
        <f>IF($A392="","",COUNTIFS('Таблиця 1'!$B:$B,$A392,'Таблиця 1'!$E:$E,"ЖС ВЗ",'Таблиця 1'!$L:$L,"Уражено"))</f>
        <v/>
      </c>
      <c r="C392">
        <f>IF($A392="","",COUNTIFS('Таблиця 1'!$B:$B,$A392,'Таблиця 1'!$E:$E,"Арт. Системи",'Таблиця 1'!$L:$L,"Уражено"))</f>
        <v/>
      </c>
      <c r="D392">
        <f>IF($A392="","",COUNTIFS('Таблиця 1'!$B:$B,$A392,'Таблиця 1'!$E:$E,"ОВТ",'Таблиця 1'!$L:$L,"Уражено"))</f>
        <v/>
      </c>
      <c r="E392">
        <f>IF($A392="","",COUNTIFS('Таблиця 1'!$B:$B,$A392,'Таблиця 1'!$E:$E,"ППО",'Таблиця 1'!$L:$L,"Уражено"))</f>
        <v/>
      </c>
      <c r="F392">
        <f>IF($A392="","",COUNTIFS('Таблиця 1'!$B:$B,$A392,'Таблиця 1'!$E:$E,"Рембаза",'Таблиця 1'!$L:$L,"Уражено"))</f>
        <v/>
      </c>
      <c r="G392">
        <f>IF($A392="","",COUNTIFS('Таблиця 1'!$B:$B,$A392,'Таблиця 1'!$E:$E,"Склад БК",'Таблиця 1'!$L:$L,"Уражено"))</f>
        <v/>
      </c>
      <c r="H392">
        <f>IF($A392="","",COUNTIFS('Таблиця 1'!$B:$B,$A392,'Таблиця 1'!$E:$E,"Склад ВТМ",'Таблиця 1'!$L:$L,"Уражено"))</f>
        <v/>
      </c>
      <c r="I392">
        <f>IF($A392="","",COUNTIFS('Таблиця 1'!$B:$B,$A392,'Таблиця 1'!$E:$E,"ПУ БпЛА",'Таблиця 1'!$L:$L,"Уражено"))</f>
        <v/>
      </c>
      <c r="J392">
        <f>IF($A392="","",COUNTIFS('Таблиця 1'!$B:$B,$A392,'Таблиця 1'!$E:$E,"СП",'Таблиця 1'!$L:$L,"Уражено"))</f>
        <v/>
      </c>
      <c r="K392">
        <f>IF($A392="","",COUNTIFS('Таблиця 1'!$B:$B,$A392,'Таблиця 1'!$E:$E,"КСП роти",'Таблиця 1'!$L:$L,"Уражено"))</f>
        <v/>
      </c>
      <c r="L392">
        <f>IF($A392="","",COUNTIFS('Таблиця 1'!$B:$B,$A392,'Таблиця 1'!$E:$E,"ПУ бат",'Таблиця 1'!$L:$L,"Уражено"))</f>
        <v/>
      </c>
      <c r="M392">
        <f>IF($A392="","",COUNTIFS('Таблиця 1'!$B:$B,$A392,'Таблиця 1'!$E:$E,"ПУ бриг",'Таблиця 1'!$L:$L,"Уражено"))</f>
        <v/>
      </c>
      <c r="N392">
        <f>IF($A392="","",COUNTIFS('Таблиця 1'!$B:$B,$A392,'Таблиця 1'!$E:$E,"ПУ див",'Таблиця 1'!$L:$L,"Уражено"))</f>
        <v/>
      </c>
      <c r="O392">
        <f>IF($A392="","",COUNTIFS('Таблиця 1'!$B:$B,$A392,'Таблиця 1'!$E:$E,"обл. РЕБ",'Таблиця 1'!$L:$L,"Уражено"))</f>
        <v/>
      </c>
      <c r="P392">
        <f>IF($A392="","",COUNTIFS('Таблиця 1'!$B:$B,$A392,'Таблиця 1'!$E:$E,"пос РЕБ",'Таблиця 1'!$L:$L,"Уражено"))</f>
        <v/>
      </c>
      <c r="Q392">
        <f>IF($A392="","",COUNTIFS('Таблиця 1'!$B:$B,$A392,'Таблиця 1'!$E:$E,"група РЕР",'Таблиця 1'!$L:$L,"Уражено"))</f>
        <v/>
      </c>
      <c r="R392">
        <f>IF($A392="","",COUNTIFS('Таблиця 1'!$B:$B,$A392,'Таблиця 1'!$E:$E,"РЛС КББ",'Таблиця 1'!$L:$L,"Уражено"))</f>
        <v/>
      </c>
      <c r="S392">
        <f>IF($A392="","",COUNTIFS('Таблиця 1'!$B:$B,$A392,'Таблиця 1'!$E:$E,"Ретранслятор",'Таблиця 1'!$L:$L,"Уражено"))</f>
        <v/>
      </c>
      <c r="T392">
        <f>IF($A392="","",COUNTIFS('Таблиця 1'!$B:$B,$A392,'Таблиця 1'!$E:$E,"Вз.зв'язку",'Таблиця 1'!$L:$L,"Уражено"))</f>
        <v/>
      </c>
      <c r="U392">
        <f>IF($A392="","",COUNTIFS('Таблиця 1'!$B:$B,$A392,'Таблиця 1'!$E:$E,"ПММ",'Таблиця 1'!$L:$L,"Уражено"))</f>
        <v/>
      </c>
      <c r="V392">
        <f>IF($A392="","",COUNTIFS('Таблиця 1'!$B:$B,$A392,'Таблиця 1'!$E:$E,"ІФС",'Таблиця 1'!$L:$L,"Уражено"))</f>
        <v/>
      </c>
      <c r="W392">
        <f>IF($A392="","",COUNTIFS('Таблиця 1'!$B:$B,$A392,'Таблиця 1'!$E:$E,"Інфраструктура",'Таблиця 1'!$L:$L,"Уражено"))</f>
        <v/>
      </c>
      <c r="X392">
        <f>IF($A392="","",SUMIFS('Таблиця 1'!$K:$K,'Таблиця 1'!$B:$B,$A392))</f>
        <v/>
      </c>
    </row>
    <row r="393">
      <c r="A393" s="81">
        <f>IF(A392="","",IF(A392+1&gt;MAX('Таблиця 1'!$B:$B),"",A392+1))</f>
        <v/>
      </c>
      <c r="B393">
        <f>IF($A393="","",COUNTIFS('Таблиця 1'!$B:$B,$A393,'Таблиця 1'!$E:$E,"ЖС ВЗ",'Таблиця 1'!$L:$L,"Уражено"))</f>
        <v/>
      </c>
      <c r="C393">
        <f>IF($A393="","",COUNTIFS('Таблиця 1'!$B:$B,$A393,'Таблиця 1'!$E:$E,"Арт. Системи",'Таблиця 1'!$L:$L,"Уражено"))</f>
        <v/>
      </c>
      <c r="D393">
        <f>IF($A393="","",COUNTIFS('Таблиця 1'!$B:$B,$A393,'Таблиця 1'!$E:$E,"ОВТ",'Таблиця 1'!$L:$L,"Уражено"))</f>
        <v/>
      </c>
      <c r="E393">
        <f>IF($A393="","",COUNTIFS('Таблиця 1'!$B:$B,$A393,'Таблиця 1'!$E:$E,"ППО",'Таблиця 1'!$L:$L,"Уражено"))</f>
        <v/>
      </c>
      <c r="F393">
        <f>IF($A393="","",COUNTIFS('Таблиця 1'!$B:$B,$A393,'Таблиця 1'!$E:$E,"Рембаза",'Таблиця 1'!$L:$L,"Уражено"))</f>
        <v/>
      </c>
      <c r="G393">
        <f>IF($A393="","",COUNTIFS('Таблиця 1'!$B:$B,$A393,'Таблиця 1'!$E:$E,"Склад БК",'Таблиця 1'!$L:$L,"Уражено"))</f>
        <v/>
      </c>
      <c r="H393">
        <f>IF($A393="","",COUNTIFS('Таблиця 1'!$B:$B,$A393,'Таблиця 1'!$E:$E,"Склад ВТМ",'Таблиця 1'!$L:$L,"Уражено"))</f>
        <v/>
      </c>
      <c r="I393">
        <f>IF($A393="","",COUNTIFS('Таблиця 1'!$B:$B,$A393,'Таблиця 1'!$E:$E,"ПУ БпЛА",'Таблиця 1'!$L:$L,"Уражено"))</f>
        <v/>
      </c>
      <c r="J393">
        <f>IF($A393="","",COUNTIFS('Таблиця 1'!$B:$B,$A393,'Таблиця 1'!$E:$E,"СП",'Таблиця 1'!$L:$L,"Уражено"))</f>
        <v/>
      </c>
      <c r="K393">
        <f>IF($A393="","",COUNTIFS('Таблиця 1'!$B:$B,$A393,'Таблиця 1'!$E:$E,"КСП роти",'Таблиця 1'!$L:$L,"Уражено"))</f>
        <v/>
      </c>
      <c r="L393">
        <f>IF($A393="","",COUNTIFS('Таблиця 1'!$B:$B,$A393,'Таблиця 1'!$E:$E,"ПУ бат",'Таблиця 1'!$L:$L,"Уражено"))</f>
        <v/>
      </c>
      <c r="M393">
        <f>IF($A393="","",COUNTIFS('Таблиця 1'!$B:$B,$A393,'Таблиця 1'!$E:$E,"ПУ бриг",'Таблиця 1'!$L:$L,"Уражено"))</f>
        <v/>
      </c>
      <c r="N393">
        <f>IF($A393="","",COUNTIFS('Таблиця 1'!$B:$B,$A393,'Таблиця 1'!$E:$E,"ПУ див",'Таблиця 1'!$L:$L,"Уражено"))</f>
        <v/>
      </c>
      <c r="O393">
        <f>IF($A393="","",COUNTIFS('Таблиця 1'!$B:$B,$A393,'Таблиця 1'!$E:$E,"обл. РЕБ",'Таблиця 1'!$L:$L,"Уражено"))</f>
        <v/>
      </c>
      <c r="P393">
        <f>IF($A393="","",COUNTIFS('Таблиця 1'!$B:$B,$A393,'Таблиця 1'!$E:$E,"пос РЕБ",'Таблиця 1'!$L:$L,"Уражено"))</f>
        <v/>
      </c>
      <c r="Q393">
        <f>IF($A393="","",COUNTIFS('Таблиця 1'!$B:$B,$A393,'Таблиця 1'!$E:$E,"група РЕР",'Таблиця 1'!$L:$L,"Уражено"))</f>
        <v/>
      </c>
      <c r="R393">
        <f>IF($A393="","",COUNTIFS('Таблиця 1'!$B:$B,$A393,'Таблиця 1'!$E:$E,"РЛС КББ",'Таблиця 1'!$L:$L,"Уражено"))</f>
        <v/>
      </c>
      <c r="S393">
        <f>IF($A393="","",COUNTIFS('Таблиця 1'!$B:$B,$A393,'Таблиця 1'!$E:$E,"Ретранслятор",'Таблиця 1'!$L:$L,"Уражено"))</f>
        <v/>
      </c>
      <c r="T393">
        <f>IF($A393="","",COUNTIFS('Таблиця 1'!$B:$B,$A393,'Таблиця 1'!$E:$E,"Вз.зв'язку",'Таблиця 1'!$L:$L,"Уражено"))</f>
        <v/>
      </c>
      <c r="U393">
        <f>IF($A393="","",COUNTIFS('Таблиця 1'!$B:$B,$A393,'Таблиця 1'!$E:$E,"ПММ",'Таблиця 1'!$L:$L,"Уражено"))</f>
        <v/>
      </c>
      <c r="V393">
        <f>IF($A393="","",COUNTIFS('Таблиця 1'!$B:$B,$A393,'Таблиця 1'!$E:$E,"ІФС",'Таблиця 1'!$L:$L,"Уражено"))</f>
        <v/>
      </c>
      <c r="W393">
        <f>IF($A393="","",COUNTIFS('Таблиця 1'!$B:$B,$A393,'Таблиця 1'!$E:$E,"Інфраструктура",'Таблиця 1'!$L:$L,"Уражено"))</f>
        <v/>
      </c>
      <c r="X393">
        <f>IF($A393="","",SUMIFS('Таблиця 1'!$K:$K,'Таблиця 1'!$B:$B,$A393))</f>
        <v/>
      </c>
    </row>
    <row r="394">
      <c r="A394" s="81">
        <f>IF(A393="","",IF(A393+1&gt;MAX('Таблиця 1'!$B:$B),"",A393+1))</f>
        <v/>
      </c>
      <c r="B394">
        <f>IF($A394="","",COUNTIFS('Таблиця 1'!$B:$B,$A394,'Таблиця 1'!$E:$E,"ЖС ВЗ",'Таблиця 1'!$L:$L,"Уражено"))</f>
        <v/>
      </c>
      <c r="C394">
        <f>IF($A394="","",COUNTIFS('Таблиця 1'!$B:$B,$A394,'Таблиця 1'!$E:$E,"Арт. Системи",'Таблиця 1'!$L:$L,"Уражено"))</f>
        <v/>
      </c>
      <c r="D394">
        <f>IF($A394="","",COUNTIFS('Таблиця 1'!$B:$B,$A394,'Таблиця 1'!$E:$E,"ОВТ",'Таблиця 1'!$L:$L,"Уражено"))</f>
        <v/>
      </c>
      <c r="E394">
        <f>IF($A394="","",COUNTIFS('Таблиця 1'!$B:$B,$A394,'Таблиця 1'!$E:$E,"ППО",'Таблиця 1'!$L:$L,"Уражено"))</f>
        <v/>
      </c>
      <c r="F394">
        <f>IF($A394="","",COUNTIFS('Таблиця 1'!$B:$B,$A394,'Таблиця 1'!$E:$E,"Рембаза",'Таблиця 1'!$L:$L,"Уражено"))</f>
        <v/>
      </c>
      <c r="G394">
        <f>IF($A394="","",COUNTIFS('Таблиця 1'!$B:$B,$A394,'Таблиця 1'!$E:$E,"Склад БК",'Таблиця 1'!$L:$L,"Уражено"))</f>
        <v/>
      </c>
      <c r="H394">
        <f>IF($A394="","",COUNTIFS('Таблиця 1'!$B:$B,$A394,'Таблиця 1'!$E:$E,"Склад ВТМ",'Таблиця 1'!$L:$L,"Уражено"))</f>
        <v/>
      </c>
      <c r="I394">
        <f>IF($A394="","",COUNTIFS('Таблиця 1'!$B:$B,$A394,'Таблиця 1'!$E:$E,"ПУ БпЛА",'Таблиця 1'!$L:$L,"Уражено"))</f>
        <v/>
      </c>
      <c r="J394">
        <f>IF($A394="","",COUNTIFS('Таблиця 1'!$B:$B,$A394,'Таблиця 1'!$E:$E,"СП",'Таблиця 1'!$L:$L,"Уражено"))</f>
        <v/>
      </c>
      <c r="K394">
        <f>IF($A394="","",COUNTIFS('Таблиця 1'!$B:$B,$A394,'Таблиця 1'!$E:$E,"КСП роти",'Таблиця 1'!$L:$L,"Уражено"))</f>
        <v/>
      </c>
      <c r="L394">
        <f>IF($A394="","",COUNTIFS('Таблиця 1'!$B:$B,$A394,'Таблиця 1'!$E:$E,"ПУ бат",'Таблиця 1'!$L:$L,"Уражено"))</f>
        <v/>
      </c>
      <c r="M394">
        <f>IF($A394="","",COUNTIFS('Таблиця 1'!$B:$B,$A394,'Таблиця 1'!$E:$E,"ПУ бриг",'Таблиця 1'!$L:$L,"Уражено"))</f>
        <v/>
      </c>
      <c r="N394">
        <f>IF($A394="","",COUNTIFS('Таблиця 1'!$B:$B,$A394,'Таблиця 1'!$E:$E,"ПУ див",'Таблиця 1'!$L:$L,"Уражено"))</f>
        <v/>
      </c>
      <c r="O394">
        <f>IF($A394="","",COUNTIFS('Таблиця 1'!$B:$B,$A394,'Таблиця 1'!$E:$E,"обл. РЕБ",'Таблиця 1'!$L:$L,"Уражено"))</f>
        <v/>
      </c>
      <c r="P394">
        <f>IF($A394="","",COUNTIFS('Таблиця 1'!$B:$B,$A394,'Таблиця 1'!$E:$E,"пос РЕБ",'Таблиця 1'!$L:$L,"Уражено"))</f>
        <v/>
      </c>
      <c r="Q394">
        <f>IF($A394="","",COUNTIFS('Таблиця 1'!$B:$B,$A394,'Таблиця 1'!$E:$E,"група РЕР",'Таблиця 1'!$L:$L,"Уражено"))</f>
        <v/>
      </c>
      <c r="R394">
        <f>IF($A394="","",COUNTIFS('Таблиця 1'!$B:$B,$A394,'Таблиця 1'!$E:$E,"РЛС КББ",'Таблиця 1'!$L:$L,"Уражено"))</f>
        <v/>
      </c>
      <c r="S394">
        <f>IF($A394="","",COUNTIFS('Таблиця 1'!$B:$B,$A394,'Таблиця 1'!$E:$E,"Ретранслятор",'Таблиця 1'!$L:$L,"Уражено"))</f>
        <v/>
      </c>
      <c r="T394">
        <f>IF($A394="","",COUNTIFS('Таблиця 1'!$B:$B,$A394,'Таблиця 1'!$E:$E,"Вз.зв'язку",'Таблиця 1'!$L:$L,"Уражено"))</f>
        <v/>
      </c>
      <c r="U394">
        <f>IF($A394="","",COUNTIFS('Таблиця 1'!$B:$B,$A394,'Таблиця 1'!$E:$E,"ПММ",'Таблиця 1'!$L:$L,"Уражено"))</f>
        <v/>
      </c>
      <c r="V394">
        <f>IF($A394="","",COUNTIFS('Таблиця 1'!$B:$B,$A394,'Таблиця 1'!$E:$E,"ІФС",'Таблиця 1'!$L:$L,"Уражено"))</f>
        <v/>
      </c>
      <c r="W394">
        <f>IF($A394="","",COUNTIFS('Таблиця 1'!$B:$B,$A394,'Таблиця 1'!$E:$E,"Інфраструктура",'Таблиця 1'!$L:$L,"Уражено"))</f>
        <v/>
      </c>
      <c r="X394">
        <f>IF($A394="","",SUMIFS('Таблиця 1'!$K:$K,'Таблиця 1'!$B:$B,$A394))</f>
        <v/>
      </c>
    </row>
    <row r="395">
      <c r="A395" s="81">
        <f>IF(A394="","",IF(A394+1&gt;MAX('Таблиця 1'!$B:$B),"",A394+1))</f>
        <v/>
      </c>
      <c r="B395">
        <f>IF($A395="","",COUNTIFS('Таблиця 1'!$B:$B,$A395,'Таблиця 1'!$E:$E,"ЖС ВЗ",'Таблиця 1'!$L:$L,"Уражено"))</f>
        <v/>
      </c>
      <c r="C395">
        <f>IF($A395="","",COUNTIFS('Таблиця 1'!$B:$B,$A395,'Таблиця 1'!$E:$E,"Арт. Системи",'Таблиця 1'!$L:$L,"Уражено"))</f>
        <v/>
      </c>
      <c r="D395">
        <f>IF($A395="","",COUNTIFS('Таблиця 1'!$B:$B,$A395,'Таблиця 1'!$E:$E,"ОВТ",'Таблиця 1'!$L:$L,"Уражено"))</f>
        <v/>
      </c>
      <c r="E395">
        <f>IF($A395="","",COUNTIFS('Таблиця 1'!$B:$B,$A395,'Таблиця 1'!$E:$E,"ППО",'Таблиця 1'!$L:$L,"Уражено"))</f>
        <v/>
      </c>
      <c r="F395">
        <f>IF($A395="","",COUNTIFS('Таблиця 1'!$B:$B,$A395,'Таблиця 1'!$E:$E,"Рембаза",'Таблиця 1'!$L:$L,"Уражено"))</f>
        <v/>
      </c>
      <c r="G395">
        <f>IF($A395="","",COUNTIFS('Таблиця 1'!$B:$B,$A395,'Таблиця 1'!$E:$E,"Склад БК",'Таблиця 1'!$L:$L,"Уражено"))</f>
        <v/>
      </c>
      <c r="H395">
        <f>IF($A395="","",COUNTIFS('Таблиця 1'!$B:$B,$A395,'Таблиця 1'!$E:$E,"Склад ВТМ",'Таблиця 1'!$L:$L,"Уражено"))</f>
        <v/>
      </c>
      <c r="I395">
        <f>IF($A395="","",COUNTIFS('Таблиця 1'!$B:$B,$A395,'Таблиця 1'!$E:$E,"ПУ БпЛА",'Таблиця 1'!$L:$L,"Уражено"))</f>
        <v/>
      </c>
      <c r="J395">
        <f>IF($A395="","",COUNTIFS('Таблиця 1'!$B:$B,$A395,'Таблиця 1'!$E:$E,"СП",'Таблиця 1'!$L:$L,"Уражено"))</f>
        <v/>
      </c>
      <c r="K395">
        <f>IF($A395="","",COUNTIFS('Таблиця 1'!$B:$B,$A395,'Таблиця 1'!$E:$E,"КСП роти",'Таблиця 1'!$L:$L,"Уражено"))</f>
        <v/>
      </c>
      <c r="L395">
        <f>IF($A395="","",COUNTIFS('Таблиця 1'!$B:$B,$A395,'Таблиця 1'!$E:$E,"ПУ бат",'Таблиця 1'!$L:$L,"Уражено"))</f>
        <v/>
      </c>
      <c r="M395">
        <f>IF($A395="","",COUNTIFS('Таблиця 1'!$B:$B,$A395,'Таблиця 1'!$E:$E,"ПУ бриг",'Таблиця 1'!$L:$L,"Уражено"))</f>
        <v/>
      </c>
      <c r="N395">
        <f>IF($A395="","",COUNTIFS('Таблиця 1'!$B:$B,$A395,'Таблиця 1'!$E:$E,"ПУ див",'Таблиця 1'!$L:$L,"Уражено"))</f>
        <v/>
      </c>
      <c r="O395">
        <f>IF($A395="","",COUNTIFS('Таблиця 1'!$B:$B,$A395,'Таблиця 1'!$E:$E,"обл. РЕБ",'Таблиця 1'!$L:$L,"Уражено"))</f>
        <v/>
      </c>
      <c r="P395">
        <f>IF($A395="","",COUNTIFS('Таблиця 1'!$B:$B,$A395,'Таблиця 1'!$E:$E,"пос РЕБ",'Таблиця 1'!$L:$L,"Уражено"))</f>
        <v/>
      </c>
      <c r="Q395">
        <f>IF($A395="","",COUNTIFS('Таблиця 1'!$B:$B,$A395,'Таблиця 1'!$E:$E,"група РЕР",'Таблиця 1'!$L:$L,"Уражено"))</f>
        <v/>
      </c>
      <c r="R395">
        <f>IF($A395="","",COUNTIFS('Таблиця 1'!$B:$B,$A395,'Таблиця 1'!$E:$E,"РЛС КББ",'Таблиця 1'!$L:$L,"Уражено"))</f>
        <v/>
      </c>
      <c r="S395">
        <f>IF($A395="","",COUNTIFS('Таблиця 1'!$B:$B,$A395,'Таблиця 1'!$E:$E,"Ретранслятор",'Таблиця 1'!$L:$L,"Уражено"))</f>
        <v/>
      </c>
      <c r="T395">
        <f>IF($A395="","",COUNTIFS('Таблиця 1'!$B:$B,$A395,'Таблиця 1'!$E:$E,"Вз.зв'язку",'Таблиця 1'!$L:$L,"Уражено"))</f>
        <v/>
      </c>
      <c r="U395">
        <f>IF($A395="","",COUNTIFS('Таблиця 1'!$B:$B,$A395,'Таблиця 1'!$E:$E,"ПММ",'Таблиця 1'!$L:$L,"Уражено"))</f>
        <v/>
      </c>
      <c r="V395">
        <f>IF($A395="","",COUNTIFS('Таблиця 1'!$B:$B,$A395,'Таблиця 1'!$E:$E,"ІФС",'Таблиця 1'!$L:$L,"Уражено"))</f>
        <v/>
      </c>
      <c r="W395">
        <f>IF($A395="","",COUNTIFS('Таблиця 1'!$B:$B,$A395,'Таблиця 1'!$E:$E,"Інфраструктура",'Таблиця 1'!$L:$L,"Уражено"))</f>
        <v/>
      </c>
      <c r="X395">
        <f>IF($A395="","",SUMIFS('Таблиця 1'!$K:$K,'Таблиця 1'!$B:$B,$A395))</f>
        <v/>
      </c>
    </row>
    <row r="396">
      <c r="A396" s="81">
        <f>IF(A395="","",IF(A395+1&gt;MAX('Таблиця 1'!$B:$B),"",A395+1))</f>
        <v/>
      </c>
      <c r="B396">
        <f>IF($A396="","",COUNTIFS('Таблиця 1'!$B:$B,$A396,'Таблиця 1'!$E:$E,"ЖС ВЗ",'Таблиця 1'!$L:$L,"Уражено"))</f>
        <v/>
      </c>
      <c r="C396">
        <f>IF($A396="","",COUNTIFS('Таблиця 1'!$B:$B,$A396,'Таблиця 1'!$E:$E,"Арт. Системи",'Таблиця 1'!$L:$L,"Уражено"))</f>
        <v/>
      </c>
      <c r="D396">
        <f>IF($A396="","",COUNTIFS('Таблиця 1'!$B:$B,$A396,'Таблиця 1'!$E:$E,"ОВТ",'Таблиця 1'!$L:$L,"Уражено"))</f>
        <v/>
      </c>
      <c r="E396">
        <f>IF($A396="","",COUNTIFS('Таблиця 1'!$B:$B,$A396,'Таблиця 1'!$E:$E,"ППО",'Таблиця 1'!$L:$L,"Уражено"))</f>
        <v/>
      </c>
      <c r="F396">
        <f>IF($A396="","",COUNTIFS('Таблиця 1'!$B:$B,$A396,'Таблиця 1'!$E:$E,"Рембаза",'Таблиця 1'!$L:$L,"Уражено"))</f>
        <v/>
      </c>
      <c r="G396">
        <f>IF($A396="","",COUNTIFS('Таблиця 1'!$B:$B,$A396,'Таблиця 1'!$E:$E,"Склад БК",'Таблиця 1'!$L:$L,"Уражено"))</f>
        <v/>
      </c>
      <c r="H396">
        <f>IF($A396="","",COUNTIFS('Таблиця 1'!$B:$B,$A396,'Таблиця 1'!$E:$E,"Склад ВТМ",'Таблиця 1'!$L:$L,"Уражено"))</f>
        <v/>
      </c>
      <c r="I396">
        <f>IF($A396="","",COUNTIFS('Таблиця 1'!$B:$B,$A396,'Таблиця 1'!$E:$E,"ПУ БпЛА",'Таблиця 1'!$L:$L,"Уражено"))</f>
        <v/>
      </c>
      <c r="J396">
        <f>IF($A396="","",COUNTIFS('Таблиця 1'!$B:$B,$A396,'Таблиця 1'!$E:$E,"СП",'Таблиця 1'!$L:$L,"Уражено"))</f>
        <v/>
      </c>
      <c r="K396">
        <f>IF($A396="","",COUNTIFS('Таблиця 1'!$B:$B,$A396,'Таблиця 1'!$E:$E,"КСП роти",'Таблиця 1'!$L:$L,"Уражено"))</f>
        <v/>
      </c>
      <c r="L396">
        <f>IF($A396="","",COUNTIFS('Таблиця 1'!$B:$B,$A396,'Таблиця 1'!$E:$E,"ПУ бат",'Таблиця 1'!$L:$L,"Уражено"))</f>
        <v/>
      </c>
      <c r="M396">
        <f>IF($A396="","",COUNTIFS('Таблиця 1'!$B:$B,$A396,'Таблиця 1'!$E:$E,"ПУ бриг",'Таблиця 1'!$L:$L,"Уражено"))</f>
        <v/>
      </c>
      <c r="N396">
        <f>IF($A396="","",COUNTIFS('Таблиця 1'!$B:$B,$A396,'Таблиця 1'!$E:$E,"ПУ див",'Таблиця 1'!$L:$L,"Уражено"))</f>
        <v/>
      </c>
      <c r="O396">
        <f>IF($A396="","",COUNTIFS('Таблиця 1'!$B:$B,$A396,'Таблиця 1'!$E:$E,"обл. РЕБ",'Таблиця 1'!$L:$L,"Уражено"))</f>
        <v/>
      </c>
      <c r="P396">
        <f>IF($A396="","",COUNTIFS('Таблиця 1'!$B:$B,$A396,'Таблиця 1'!$E:$E,"пос РЕБ",'Таблиця 1'!$L:$L,"Уражено"))</f>
        <v/>
      </c>
      <c r="Q396">
        <f>IF($A396="","",COUNTIFS('Таблиця 1'!$B:$B,$A396,'Таблиця 1'!$E:$E,"група РЕР",'Таблиця 1'!$L:$L,"Уражено"))</f>
        <v/>
      </c>
      <c r="R396">
        <f>IF($A396="","",COUNTIFS('Таблиця 1'!$B:$B,$A396,'Таблиця 1'!$E:$E,"РЛС КББ",'Таблиця 1'!$L:$L,"Уражено"))</f>
        <v/>
      </c>
      <c r="S396">
        <f>IF($A396="","",COUNTIFS('Таблиця 1'!$B:$B,$A396,'Таблиця 1'!$E:$E,"Ретранслятор",'Таблиця 1'!$L:$L,"Уражено"))</f>
        <v/>
      </c>
      <c r="T396">
        <f>IF($A396="","",COUNTIFS('Таблиця 1'!$B:$B,$A396,'Таблиця 1'!$E:$E,"Вз.зв'язку",'Таблиця 1'!$L:$L,"Уражено"))</f>
        <v/>
      </c>
      <c r="U396">
        <f>IF($A396="","",COUNTIFS('Таблиця 1'!$B:$B,$A396,'Таблиця 1'!$E:$E,"ПММ",'Таблиця 1'!$L:$L,"Уражено"))</f>
        <v/>
      </c>
      <c r="V396">
        <f>IF($A396="","",COUNTIFS('Таблиця 1'!$B:$B,$A396,'Таблиця 1'!$E:$E,"ІФС",'Таблиця 1'!$L:$L,"Уражено"))</f>
        <v/>
      </c>
      <c r="W396">
        <f>IF($A396="","",COUNTIFS('Таблиця 1'!$B:$B,$A396,'Таблиця 1'!$E:$E,"Інфраструктура",'Таблиця 1'!$L:$L,"Уражено"))</f>
        <v/>
      </c>
      <c r="X396">
        <f>IF($A396="","",SUMIFS('Таблиця 1'!$K:$K,'Таблиця 1'!$B:$B,$A396))</f>
        <v/>
      </c>
    </row>
    <row r="397">
      <c r="A397" s="81">
        <f>IF(A396="","",IF(A396+1&gt;MAX('Таблиця 1'!$B:$B),"",A396+1))</f>
        <v/>
      </c>
      <c r="B397">
        <f>IF($A397="","",COUNTIFS('Таблиця 1'!$B:$B,$A397,'Таблиця 1'!$E:$E,"ЖС ВЗ",'Таблиця 1'!$L:$L,"Уражено"))</f>
        <v/>
      </c>
      <c r="C397">
        <f>IF($A397="","",COUNTIFS('Таблиця 1'!$B:$B,$A397,'Таблиця 1'!$E:$E,"Арт. Системи",'Таблиця 1'!$L:$L,"Уражено"))</f>
        <v/>
      </c>
      <c r="D397">
        <f>IF($A397="","",COUNTIFS('Таблиця 1'!$B:$B,$A397,'Таблиця 1'!$E:$E,"ОВТ",'Таблиця 1'!$L:$L,"Уражено"))</f>
        <v/>
      </c>
      <c r="E397">
        <f>IF($A397="","",COUNTIFS('Таблиця 1'!$B:$B,$A397,'Таблиця 1'!$E:$E,"ППО",'Таблиця 1'!$L:$L,"Уражено"))</f>
        <v/>
      </c>
      <c r="F397">
        <f>IF($A397="","",COUNTIFS('Таблиця 1'!$B:$B,$A397,'Таблиця 1'!$E:$E,"Рембаза",'Таблиця 1'!$L:$L,"Уражено"))</f>
        <v/>
      </c>
      <c r="G397">
        <f>IF($A397="","",COUNTIFS('Таблиця 1'!$B:$B,$A397,'Таблиця 1'!$E:$E,"Склад БК",'Таблиця 1'!$L:$L,"Уражено"))</f>
        <v/>
      </c>
      <c r="H397">
        <f>IF($A397="","",COUNTIFS('Таблиця 1'!$B:$B,$A397,'Таблиця 1'!$E:$E,"Склад ВТМ",'Таблиця 1'!$L:$L,"Уражено"))</f>
        <v/>
      </c>
      <c r="I397">
        <f>IF($A397="","",COUNTIFS('Таблиця 1'!$B:$B,$A397,'Таблиця 1'!$E:$E,"ПУ БпЛА",'Таблиця 1'!$L:$L,"Уражено"))</f>
        <v/>
      </c>
      <c r="J397">
        <f>IF($A397="","",COUNTIFS('Таблиця 1'!$B:$B,$A397,'Таблиця 1'!$E:$E,"СП",'Таблиця 1'!$L:$L,"Уражено"))</f>
        <v/>
      </c>
      <c r="K397">
        <f>IF($A397="","",COUNTIFS('Таблиця 1'!$B:$B,$A397,'Таблиця 1'!$E:$E,"КСП роти",'Таблиця 1'!$L:$L,"Уражено"))</f>
        <v/>
      </c>
      <c r="L397">
        <f>IF($A397="","",COUNTIFS('Таблиця 1'!$B:$B,$A397,'Таблиця 1'!$E:$E,"ПУ бат",'Таблиця 1'!$L:$L,"Уражено"))</f>
        <v/>
      </c>
      <c r="M397">
        <f>IF($A397="","",COUNTIFS('Таблиця 1'!$B:$B,$A397,'Таблиця 1'!$E:$E,"ПУ бриг",'Таблиця 1'!$L:$L,"Уражено"))</f>
        <v/>
      </c>
      <c r="N397">
        <f>IF($A397="","",COUNTIFS('Таблиця 1'!$B:$B,$A397,'Таблиця 1'!$E:$E,"ПУ див",'Таблиця 1'!$L:$L,"Уражено"))</f>
        <v/>
      </c>
      <c r="O397">
        <f>IF($A397="","",COUNTIFS('Таблиця 1'!$B:$B,$A397,'Таблиця 1'!$E:$E,"обл. РЕБ",'Таблиця 1'!$L:$L,"Уражено"))</f>
        <v/>
      </c>
      <c r="P397">
        <f>IF($A397="","",COUNTIFS('Таблиця 1'!$B:$B,$A397,'Таблиця 1'!$E:$E,"пос РЕБ",'Таблиця 1'!$L:$L,"Уражено"))</f>
        <v/>
      </c>
      <c r="Q397">
        <f>IF($A397="","",COUNTIFS('Таблиця 1'!$B:$B,$A397,'Таблиця 1'!$E:$E,"група РЕР",'Таблиця 1'!$L:$L,"Уражено"))</f>
        <v/>
      </c>
      <c r="R397">
        <f>IF($A397="","",COUNTIFS('Таблиця 1'!$B:$B,$A397,'Таблиця 1'!$E:$E,"РЛС КББ",'Таблиця 1'!$L:$L,"Уражено"))</f>
        <v/>
      </c>
      <c r="S397">
        <f>IF($A397="","",COUNTIFS('Таблиця 1'!$B:$B,$A397,'Таблиця 1'!$E:$E,"Ретранслятор",'Таблиця 1'!$L:$L,"Уражено"))</f>
        <v/>
      </c>
      <c r="T397">
        <f>IF($A397="","",COUNTIFS('Таблиця 1'!$B:$B,$A397,'Таблиця 1'!$E:$E,"Вз.зв'язку",'Таблиця 1'!$L:$L,"Уражено"))</f>
        <v/>
      </c>
      <c r="U397">
        <f>IF($A397="","",COUNTIFS('Таблиця 1'!$B:$B,$A397,'Таблиця 1'!$E:$E,"ПММ",'Таблиця 1'!$L:$L,"Уражено"))</f>
        <v/>
      </c>
      <c r="V397">
        <f>IF($A397="","",COUNTIFS('Таблиця 1'!$B:$B,$A397,'Таблиця 1'!$E:$E,"ІФС",'Таблиця 1'!$L:$L,"Уражено"))</f>
        <v/>
      </c>
      <c r="W397">
        <f>IF($A397="","",COUNTIFS('Таблиця 1'!$B:$B,$A397,'Таблиця 1'!$E:$E,"Інфраструктура",'Таблиця 1'!$L:$L,"Уражено"))</f>
        <v/>
      </c>
      <c r="X397">
        <f>IF($A397="","",SUMIFS('Таблиця 1'!$K:$K,'Таблиця 1'!$B:$B,$A397))</f>
        <v/>
      </c>
    </row>
    <row r="398">
      <c r="A398" s="81">
        <f>IF(A397="","",IF(A397+1&gt;MAX('Таблиця 1'!$B:$B),"",A397+1))</f>
        <v/>
      </c>
      <c r="B398">
        <f>IF($A398="","",COUNTIFS('Таблиця 1'!$B:$B,$A398,'Таблиця 1'!$E:$E,"ЖС ВЗ",'Таблиця 1'!$L:$L,"Уражено"))</f>
        <v/>
      </c>
      <c r="C398">
        <f>IF($A398="","",COUNTIFS('Таблиця 1'!$B:$B,$A398,'Таблиця 1'!$E:$E,"Арт. Системи",'Таблиця 1'!$L:$L,"Уражено"))</f>
        <v/>
      </c>
      <c r="D398">
        <f>IF($A398="","",COUNTIFS('Таблиця 1'!$B:$B,$A398,'Таблиця 1'!$E:$E,"ОВТ",'Таблиця 1'!$L:$L,"Уражено"))</f>
        <v/>
      </c>
      <c r="E398">
        <f>IF($A398="","",COUNTIFS('Таблиця 1'!$B:$B,$A398,'Таблиця 1'!$E:$E,"ППО",'Таблиця 1'!$L:$L,"Уражено"))</f>
        <v/>
      </c>
      <c r="F398">
        <f>IF($A398="","",COUNTIFS('Таблиця 1'!$B:$B,$A398,'Таблиця 1'!$E:$E,"Рембаза",'Таблиця 1'!$L:$L,"Уражено"))</f>
        <v/>
      </c>
      <c r="G398">
        <f>IF($A398="","",COUNTIFS('Таблиця 1'!$B:$B,$A398,'Таблиця 1'!$E:$E,"Склад БК",'Таблиця 1'!$L:$L,"Уражено"))</f>
        <v/>
      </c>
      <c r="H398">
        <f>IF($A398="","",COUNTIFS('Таблиця 1'!$B:$B,$A398,'Таблиця 1'!$E:$E,"Склад ВТМ",'Таблиця 1'!$L:$L,"Уражено"))</f>
        <v/>
      </c>
      <c r="I398">
        <f>IF($A398="","",COUNTIFS('Таблиця 1'!$B:$B,$A398,'Таблиця 1'!$E:$E,"ПУ БпЛА",'Таблиця 1'!$L:$L,"Уражено"))</f>
        <v/>
      </c>
      <c r="J398">
        <f>IF($A398="","",COUNTIFS('Таблиця 1'!$B:$B,$A398,'Таблиця 1'!$E:$E,"СП",'Таблиця 1'!$L:$L,"Уражено"))</f>
        <v/>
      </c>
      <c r="K398">
        <f>IF($A398="","",COUNTIFS('Таблиця 1'!$B:$B,$A398,'Таблиця 1'!$E:$E,"КСП роти",'Таблиця 1'!$L:$L,"Уражено"))</f>
        <v/>
      </c>
      <c r="L398">
        <f>IF($A398="","",COUNTIFS('Таблиця 1'!$B:$B,$A398,'Таблиця 1'!$E:$E,"ПУ бат",'Таблиця 1'!$L:$L,"Уражено"))</f>
        <v/>
      </c>
      <c r="M398">
        <f>IF($A398="","",COUNTIFS('Таблиця 1'!$B:$B,$A398,'Таблиця 1'!$E:$E,"ПУ бриг",'Таблиця 1'!$L:$L,"Уражено"))</f>
        <v/>
      </c>
      <c r="N398">
        <f>IF($A398="","",COUNTIFS('Таблиця 1'!$B:$B,$A398,'Таблиця 1'!$E:$E,"ПУ див",'Таблиця 1'!$L:$L,"Уражено"))</f>
        <v/>
      </c>
      <c r="O398">
        <f>IF($A398="","",COUNTIFS('Таблиця 1'!$B:$B,$A398,'Таблиця 1'!$E:$E,"обл. РЕБ",'Таблиця 1'!$L:$L,"Уражено"))</f>
        <v/>
      </c>
      <c r="P398">
        <f>IF($A398="","",COUNTIFS('Таблиця 1'!$B:$B,$A398,'Таблиця 1'!$E:$E,"пос РЕБ",'Таблиця 1'!$L:$L,"Уражено"))</f>
        <v/>
      </c>
      <c r="Q398">
        <f>IF($A398="","",COUNTIFS('Таблиця 1'!$B:$B,$A398,'Таблиця 1'!$E:$E,"група РЕР",'Таблиця 1'!$L:$L,"Уражено"))</f>
        <v/>
      </c>
      <c r="R398">
        <f>IF($A398="","",COUNTIFS('Таблиця 1'!$B:$B,$A398,'Таблиця 1'!$E:$E,"РЛС КББ",'Таблиця 1'!$L:$L,"Уражено"))</f>
        <v/>
      </c>
      <c r="S398">
        <f>IF($A398="","",COUNTIFS('Таблиця 1'!$B:$B,$A398,'Таблиця 1'!$E:$E,"Ретранслятор",'Таблиця 1'!$L:$L,"Уражено"))</f>
        <v/>
      </c>
      <c r="T398">
        <f>IF($A398="","",COUNTIFS('Таблиця 1'!$B:$B,$A398,'Таблиця 1'!$E:$E,"Вз.зв'язку",'Таблиця 1'!$L:$L,"Уражено"))</f>
        <v/>
      </c>
      <c r="U398">
        <f>IF($A398="","",COUNTIFS('Таблиця 1'!$B:$B,$A398,'Таблиця 1'!$E:$E,"ПММ",'Таблиця 1'!$L:$L,"Уражено"))</f>
        <v/>
      </c>
      <c r="V398">
        <f>IF($A398="","",COUNTIFS('Таблиця 1'!$B:$B,$A398,'Таблиця 1'!$E:$E,"ІФС",'Таблиця 1'!$L:$L,"Уражено"))</f>
        <v/>
      </c>
      <c r="W398">
        <f>IF($A398="","",COUNTIFS('Таблиця 1'!$B:$B,$A398,'Таблиця 1'!$E:$E,"Інфраструктура",'Таблиця 1'!$L:$L,"Уражено"))</f>
        <v/>
      </c>
      <c r="X398">
        <f>IF($A398="","",SUMIFS('Таблиця 1'!$K:$K,'Таблиця 1'!$B:$B,$A398))</f>
        <v/>
      </c>
    </row>
    <row r="399">
      <c r="A399" s="81">
        <f>IF(A398="","",IF(A398+1&gt;MAX('Таблиця 1'!$B:$B),"",A398+1))</f>
        <v/>
      </c>
      <c r="B399">
        <f>IF($A399="","",COUNTIFS('Таблиця 1'!$B:$B,$A399,'Таблиця 1'!$E:$E,"ЖС ВЗ",'Таблиця 1'!$L:$L,"Уражено"))</f>
        <v/>
      </c>
      <c r="C399">
        <f>IF($A399="","",COUNTIFS('Таблиця 1'!$B:$B,$A399,'Таблиця 1'!$E:$E,"Арт. Системи",'Таблиця 1'!$L:$L,"Уражено"))</f>
        <v/>
      </c>
      <c r="D399">
        <f>IF($A399="","",COUNTIFS('Таблиця 1'!$B:$B,$A399,'Таблиця 1'!$E:$E,"ОВТ",'Таблиця 1'!$L:$L,"Уражено"))</f>
        <v/>
      </c>
      <c r="E399">
        <f>IF($A399="","",COUNTIFS('Таблиця 1'!$B:$B,$A399,'Таблиця 1'!$E:$E,"ППО",'Таблиця 1'!$L:$L,"Уражено"))</f>
        <v/>
      </c>
      <c r="F399">
        <f>IF($A399="","",COUNTIFS('Таблиця 1'!$B:$B,$A399,'Таблиця 1'!$E:$E,"Рембаза",'Таблиця 1'!$L:$L,"Уражено"))</f>
        <v/>
      </c>
      <c r="G399">
        <f>IF($A399="","",COUNTIFS('Таблиця 1'!$B:$B,$A399,'Таблиця 1'!$E:$E,"Склад БК",'Таблиця 1'!$L:$L,"Уражено"))</f>
        <v/>
      </c>
      <c r="H399">
        <f>IF($A399="","",COUNTIFS('Таблиця 1'!$B:$B,$A399,'Таблиця 1'!$E:$E,"Склад ВТМ",'Таблиця 1'!$L:$L,"Уражено"))</f>
        <v/>
      </c>
      <c r="I399">
        <f>IF($A399="","",COUNTIFS('Таблиця 1'!$B:$B,$A399,'Таблиця 1'!$E:$E,"ПУ БпЛА",'Таблиця 1'!$L:$L,"Уражено"))</f>
        <v/>
      </c>
      <c r="J399">
        <f>IF($A399="","",COUNTIFS('Таблиця 1'!$B:$B,$A399,'Таблиця 1'!$E:$E,"СП",'Таблиця 1'!$L:$L,"Уражено"))</f>
        <v/>
      </c>
      <c r="K399">
        <f>IF($A399="","",COUNTIFS('Таблиця 1'!$B:$B,$A399,'Таблиця 1'!$E:$E,"КСП роти",'Таблиця 1'!$L:$L,"Уражено"))</f>
        <v/>
      </c>
      <c r="L399">
        <f>IF($A399="","",COUNTIFS('Таблиця 1'!$B:$B,$A399,'Таблиця 1'!$E:$E,"ПУ бат",'Таблиця 1'!$L:$L,"Уражено"))</f>
        <v/>
      </c>
      <c r="M399">
        <f>IF($A399="","",COUNTIFS('Таблиця 1'!$B:$B,$A399,'Таблиця 1'!$E:$E,"ПУ бриг",'Таблиця 1'!$L:$L,"Уражено"))</f>
        <v/>
      </c>
      <c r="N399">
        <f>IF($A399="","",COUNTIFS('Таблиця 1'!$B:$B,$A399,'Таблиця 1'!$E:$E,"ПУ див",'Таблиця 1'!$L:$L,"Уражено"))</f>
        <v/>
      </c>
      <c r="O399">
        <f>IF($A399="","",COUNTIFS('Таблиця 1'!$B:$B,$A399,'Таблиця 1'!$E:$E,"обл. РЕБ",'Таблиця 1'!$L:$L,"Уражено"))</f>
        <v/>
      </c>
      <c r="P399">
        <f>IF($A399="","",COUNTIFS('Таблиця 1'!$B:$B,$A399,'Таблиця 1'!$E:$E,"пос РЕБ",'Таблиця 1'!$L:$L,"Уражено"))</f>
        <v/>
      </c>
      <c r="Q399">
        <f>IF($A399="","",COUNTIFS('Таблиця 1'!$B:$B,$A399,'Таблиця 1'!$E:$E,"група РЕР",'Таблиця 1'!$L:$L,"Уражено"))</f>
        <v/>
      </c>
      <c r="R399">
        <f>IF($A399="","",COUNTIFS('Таблиця 1'!$B:$B,$A399,'Таблиця 1'!$E:$E,"РЛС КББ",'Таблиця 1'!$L:$L,"Уражено"))</f>
        <v/>
      </c>
      <c r="S399">
        <f>IF($A399="","",COUNTIFS('Таблиця 1'!$B:$B,$A399,'Таблиця 1'!$E:$E,"Ретранслятор",'Таблиця 1'!$L:$L,"Уражено"))</f>
        <v/>
      </c>
      <c r="T399">
        <f>IF($A399="","",COUNTIFS('Таблиця 1'!$B:$B,$A399,'Таблиця 1'!$E:$E,"Вз.зв'язку",'Таблиця 1'!$L:$L,"Уражено"))</f>
        <v/>
      </c>
      <c r="U399">
        <f>IF($A399="","",COUNTIFS('Таблиця 1'!$B:$B,$A399,'Таблиця 1'!$E:$E,"ПММ",'Таблиця 1'!$L:$L,"Уражено"))</f>
        <v/>
      </c>
      <c r="V399">
        <f>IF($A399="","",COUNTIFS('Таблиця 1'!$B:$B,$A399,'Таблиця 1'!$E:$E,"ІФС",'Таблиця 1'!$L:$L,"Уражено"))</f>
        <v/>
      </c>
      <c r="W399">
        <f>IF($A399="","",COUNTIFS('Таблиця 1'!$B:$B,$A399,'Таблиця 1'!$E:$E,"Інфраструктура",'Таблиця 1'!$L:$L,"Уражено"))</f>
        <v/>
      </c>
      <c r="X399">
        <f>IF($A399="","",SUMIFS('Таблиця 1'!$K:$K,'Таблиця 1'!$B:$B,$A399))</f>
        <v/>
      </c>
    </row>
    <row r="400">
      <c r="A400" s="81">
        <f>IF(A399="","",IF(A399+1&gt;MAX('Таблиця 1'!$B:$B),"",A399+1))</f>
        <v/>
      </c>
      <c r="B400">
        <f>IF($A400="","",COUNTIFS('Таблиця 1'!$B:$B,$A400,'Таблиця 1'!$E:$E,"ЖС ВЗ",'Таблиця 1'!$L:$L,"Уражено"))</f>
        <v/>
      </c>
      <c r="C400">
        <f>IF($A400="","",COUNTIFS('Таблиця 1'!$B:$B,$A400,'Таблиця 1'!$E:$E,"Арт. Системи",'Таблиця 1'!$L:$L,"Уражено"))</f>
        <v/>
      </c>
      <c r="D400">
        <f>IF($A400="","",COUNTIFS('Таблиця 1'!$B:$B,$A400,'Таблиця 1'!$E:$E,"ОВТ",'Таблиця 1'!$L:$L,"Уражено"))</f>
        <v/>
      </c>
      <c r="E400">
        <f>IF($A400="","",COUNTIFS('Таблиця 1'!$B:$B,$A400,'Таблиця 1'!$E:$E,"ППО",'Таблиця 1'!$L:$L,"Уражено"))</f>
        <v/>
      </c>
      <c r="F400">
        <f>IF($A400="","",COUNTIFS('Таблиця 1'!$B:$B,$A400,'Таблиця 1'!$E:$E,"Рембаза",'Таблиця 1'!$L:$L,"Уражено"))</f>
        <v/>
      </c>
      <c r="G400">
        <f>IF($A400="","",COUNTIFS('Таблиця 1'!$B:$B,$A400,'Таблиця 1'!$E:$E,"Склад БК",'Таблиця 1'!$L:$L,"Уражено"))</f>
        <v/>
      </c>
      <c r="H400">
        <f>IF($A400="","",COUNTIFS('Таблиця 1'!$B:$B,$A400,'Таблиця 1'!$E:$E,"Склад ВТМ",'Таблиця 1'!$L:$L,"Уражено"))</f>
        <v/>
      </c>
      <c r="I400">
        <f>IF($A400="","",COUNTIFS('Таблиця 1'!$B:$B,$A400,'Таблиця 1'!$E:$E,"ПУ БпЛА",'Таблиця 1'!$L:$L,"Уражено"))</f>
        <v/>
      </c>
      <c r="J400">
        <f>IF($A400="","",COUNTIFS('Таблиця 1'!$B:$B,$A400,'Таблиця 1'!$E:$E,"СП",'Таблиця 1'!$L:$L,"Уражено"))</f>
        <v/>
      </c>
      <c r="K400">
        <f>IF($A400="","",COUNTIFS('Таблиця 1'!$B:$B,$A400,'Таблиця 1'!$E:$E,"КСП роти",'Таблиця 1'!$L:$L,"Уражено"))</f>
        <v/>
      </c>
      <c r="L400">
        <f>IF($A400="","",COUNTIFS('Таблиця 1'!$B:$B,$A400,'Таблиця 1'!$E:$E,"ПУ бат",'Таблиця 1'!$L:$L,"Уражено"))</f>
        <v/>
      </c>
      <c r="M400">
        <f>IF($A400="","",COUNTIFS('Таблиця 1'!$B:$B,$A400,'Таблиця 1'!$E:$E,"ПУ бриг",'Таблиця 1'!$L:$L,"Уражено"))</f>
        <v/>
      </c>
      <c r="N400">
        <f>IF($A400="","",COUNTIFS('Таблиця 1'!$B:$B,$A400,'Таблиця 1'!$E:$E,"ПУ див",'Таблиця 1'!$L:$L,"Уражено"))</f>
        <v/>
      </c>
      <c r="O400">
        <f>IF($A400="","",COUNTIFS('Таблиця 1'!$B:$B,$A400,'Таблиця 1'!$E:$E,"обл. РЕБ",'Таблиця 1'!$L:$L,"Уражено"))</f>
        <v/>
      </c>
      <c r="P400">
        <f>IF($A400="","",COUNTIFS('Таблиця 1'!$B:$B,$A400,'Таблиця 1'!$E:$E,"пос РЕБ",'Таблиця 1'!$L:$L,"Уражено"))</f>
        <v/>
      </c>
      <c r="Q400">
        <f>IF($A400="","",COUNTIFS('Таблиця 1'!$B:$B,$A400,'Таблиця 1'!$E:$E,"група РЕР",'Таблиця 1'!$L:$L,"Уражено"))</f>
        <v/>
      </c>
      <c r="R400">
        <f>IF($A400="","",COUNTIFS('Таблиця 1'!$B:$B,$A400,'Таблиця 1'!$E:$E,"РЛС КББ",'Таблиця 1'!$L:$L,"Уражено"))</f>
        <v/>
      </c>
      <c r="S400">
        <f>IF($A400="","",COUNTIFS('Таблиця 1'!$B:$B,$A400,'Таблиця 1'!$E:$E,"Ретранслятор",'Таблиця 1'!$L:$L,"Уражено"))</f>
        <v/>
      </c>
      <c r="T400">
        <f>IF($A400="","",COUNTIFS('Таблиця 1'!$B:$B,$A400,'Таблиця 1'!$E:$E,"Вз.зв'язку",'Таблиця 1'!$L:$L,"Уражено"))</f>
        <v/>
      </c>
      <c r="U400">
        <f>IF($A400="","",COUNTIFS('Таблиця 1'!$B:$B,$A400,'Таблиця 1'!$E:$E,"ПММ",'Таблиця 1'!$L:$L,"Уражено"))</f>
        <v/>
      </c>
      <c r="V400">
        <f>IF($A400="","",COUNTIFS('Таблиця 1'!$B:$B,$A400,'Таблиця 1'!$E:$E,"ІФС",'Таблиця 1'!$L:$L,"Уражено"))</f>
        <v/>
      </c>
      <c r="W400">
        <f>IF($A400="","",COUNTIFS('Таблиця 1'!$B:$B,$A400,'Таблиця 1'!$E:$E,"Інфраструктура",'Таблиця 1'!$L:$L,"Уражено"))</f>
        <v/>
      </c>
      <c r="X400">
        <f>IF($A400="","",SUMIFS('Таблиця 1'!$K:$K,'Таблиця 1'!$B:$B,$A400))</f>
        <v/>
      </c>
    </row>
    <row r="401">
      <c r="A401" s="81">
        <f>IF(A400="","",IF(A400+1&gt;MAX('Таблиця 1'!$B:$B),"",A400+1))</f>
        <v/>
      </c>
      <c r="B401">
        <f>IF($A401="","",COUNTIFS('Таблиця 1'!$B:$B,$A401,'Таблиця 1'!$E:$E,"ЖС ВЗ",'Таблиця 1'!$L:$L,"Уражено"))</f>
        <v/>
      </c>
      <c r="C401">
        <f>IF($A401="","",COUNTIFS('Таблиця 1'!$B:$B,$A401,'Таблиця 1'!$E:$E,"Арт. Системи",'Таблиця 1'!$L:$L,"Уражено"))</f>
        <v/>
      </c>
      <c r="D401">
        <f>IF($A401="","",COUNTIFS('Таблиця 1'!$B:$B,$A401,'Таблиця 1'!$E:$E,"ОВТ",'Таблиця 1'!$L:$L,"Уражено"))</f>
        <v/>
      </c>
      <c r="E401">
        <f>IF($A401="","",COUNTIFS('Таблиця 1'!$B:$B,$A401,'Таблиця 1'!$E:$E,"ППО",'Таблиця 1'!$L:$L,"Уражено"))</f>
        <v/>
      </c>
      <c r="F401">
        <f>IF($A401="","",COUNTIFS('Таблиця 1'!$B:$B,$A401,'Таблиця 1'!$E:$E,"Рембаза",'Таблиця 1'!$L:$L,"Уражено"))</f>
        <v/>
      </c>
      <c r="G401">
        <f>IF($A401="","",COUNTIFS('Таблиця 1'!$B:$B,$A401,'Таблиця 1'!$E:$E,"Склад БК",'Таблиця 1'!$L:$L,"Уражено"))</f>
        <v/>
      </c>
      <c r="H401">
        <f>IF($A401="","",COUNTIFS('Таблиця 1'!$B:$B,$A401,'Таблиця 1'!$E:$E,"Склад ВТМ",'Таблиця 1'!$L:$L,"Уражено"))</f>
        <v/>
      </c>
      <c r="I401">
        <f>IF($A401="","",COUNTIFS('Таблиця 1'!$B:$B,$A401,'Таблиця 1'!$E:$E,"ПУ БпЛА",'Таблиця 1'!$L:$L,"Уражено"))</f>
        <v/>
      </c>
      <c r="J401">
        <f>IF($A401="","",COUNTIFS('Таблиця 1'!$B:$B,$A401,'Таблиця 1'!$E:$E,"СП",'Таблиця 1'!$L:$L,"Уражено"))</f>
        <v/>
      </c>
      <c r="K401">
        <f>IF($A401="","",COUNTIFS('Таблиця 1'!$B:$B,$A401,'Таблиця 1'!$E:$E,"КСП роти",'Таблиця 1'!$L:$L,"Уражено"))</f>
        <v/>
      </c>
      <c r="L401">
        <f>IF($A401="","",COUNTIFS('Таблиця 1'!$B:$B,$A401,'Таблиця 1'!$E:$E,"ПУ бат",'Таблиця 1'!$L:$L,"Уражено"))</f>
        <v/>
      </c>
      <c r="M401">
        <f>IF($A401="","",COUNTIFS('Таблиця 1'!$B:$B,$A401,'Таблиця 1'!$E:$E,"ПУ бриг",'Таблиця 1'!$L:$L,"Уражено"))</f>
        <v/>
      </c>
      <c r="N401">
        <f>IF($A401="","",COUNTIFS('Таблиця 1'!$B:$B,$A401,'Таблиця 1'!$E:$E,"ПУ див",'Таблиця 1'!$L:$L,"Уражено"))</f>
        <v/>
      </c>
      <c r="O401">
        <f>IF($A401="","",COUNTIFS('Таблиця 1'!$B:$B,$A401,'Таблиця 1'!$E:$E,"обл. РЕБ",'Таблиця 1'!$L:$L,"Уражено"))</f>
        <v/>
      </c>
      <c r="P401">
        <f>IF($A401="","",COUNTIFS('Таблиця 1'!$B:$B,$A401,'Таблиця 1'!$E:$E,"пос РЕБ",'Таблиця 1'!$L:$L,"Уражено"))</f>
        <v/>
      </c>
      <c r="Q401">
        <f>IF($A401="","",COUNTIFS('Таблиця 1'!$B:$B,$A401,'Таблиця 1'!$E:$E,"група РЕР",'Таблиця 1'!$L:$L,"Уражено"))</f>
        <v/>
      </c>
      <c r="R401">
        <f>IF($A401="","",COUNTIFS('Таблиця 1'!$B:$B,$A401,'Таблиця 1'!$E:$E,"РЛС КББ",'Таблиця 1'!$L:$L,"Уражено"))</f>
        <v/>
      </c>
      <c r="S401">
        <f>IF($A401="","",COUNTIFS('Таблиця 1'!$B:$B,$A401,'Таблиця 1'!$E:$E,"Ретранслятор",'Таблиця 1'!$L:$L,"Уражено"))</f>
        <v/>
      </c>
      <c r="T401">
        <f>IF($A401="","",COUNTIFS('Таблиця 1'!$B:$B,$A401,'Таблиця 1'!$E:$E,"Вз.зв'язку",'Таблиця 1'!$L:$L,"Уражено"))</f>
        <v/>
      </c>
      <c r="U401">
        <f>IF($A401="","",COUNTIFS('Таблиця 1'!$B:$B,$A401,'Таблиця 1'!$E:$E,"ПММ",'Таблиця 1'!$L:$L,"Уражено"))</f>
        <v/>
      </c>
      <c r="V401">
        <f>IF($A401="","",COUNTIFS('Таблиця 1'!$B:$B,$A401,'Таблиця 1'!$E:$E,"ІФС",'Таблиця 1'!$L:$L,"Уражено"))</f>
        <v/>
      </c>
      <c r="W401">
        <f>IF($A401="","",COUNTIFS('Таблиця 1'!$B:$B,$A401,'Таблиця 1'!$E:$E,"Інфраструктура",'Таблиця 1'!$L:$L,"Уражено"))</f>
        <v/>
      </c>
      <c r="X401">
        <f>IF($A401="","",SUMIFS('Таблиця 1'!$K:$K,'Таблиця 1'!$B:$B,$A401))</f>
        <v/>
      </c>
    </row>
    <row r="402">
      <c r="A402" s="81">
        <f>IF(A401="","",IF(A401+1&gt;MAX('Таблиця 1'!$B:$B),"",A401+1))</f>
        <v/>
      </c>
      <c r="B402">
        <f>IF($A402="","",COUNTIFS('Таблиця 1'!$B:$B,$A402,'Таблиця 1'!$E:$E,"ЖС ВЗ",'Таблиця 1'!$L:$L,"Уражено"))</f>
        <v/>
      </c>
      <c r="C402">
        <f>IF($A402="","",COUNTIFS('Таблиця 1'!$B:$B,$A402,'Таблиця 1'!$E:$E,"Арт. Системи",'Таблиця 1'!$L:$L,"Уражено"))</f>
        <v/>
      </c>
      <c r="D402">
        <f>IF($A402="","",COUNTIFS('Таблиця 1'!$B:$B,$A402,'Таблиця 1'!$E:$E,"ОВТ",'Таблиця 1'!$L:$L,"Уражено"))</f>
        <v/>
      </c>
      <c r="E402">
        <f>IF($A402="","",COUNTIFS('Таблиця 1'!$B:$B,$A402,'Таблиця 1'!$E:$E,"ППО",'Таблиця 1'!$L:$L,"Уражено"))</f>
        <v/>
      </c>
      <c r="F402">
        <f>IF($A402="","",COUNTIFS('Таблиця 1'!$B:$B,$A402,'Таблиця 1'!$E:$E,"Рембаза",'Таблиця 1'!$L:$L,"Уражено"))</f>
        <v/>
      </c>
      <c r="G402">
        <f>IF($A402="","",COUNTIFS('Таблиця 1'!$B:$B,$A402,'Таблиця 1'!$E:$E,"Склад БК",'Таблиця 1'!$L:$L,"Уражено"))</f>
        <v/>
      </c>
      <c r="H402">
        <f>IF($A402="","",COUNTIFS('Таблиця 1'!$B:$B,$A402,'Таблиця 1'!$E:$E,"Склад ВТМ",'Таблиця 1'!$L:$L,"Уражено"))</f>
        <v/>
      </c>
      <c r="I402">
        <f>IF($A402="","",COUNTIFS('Таблиця 1'!$B:$B,$A402,'Таблиця 1'!$E:$E,"ПУ БпЛА",'Таблиця 1'!$L:$L,"Уражено"))</f>
        <v/>
      </c>
      <c r="J402">
        <f>IF($A402="","",COUNTIFS('Таблиця 1'!$B:$B,$A402,'Таблиця 1'!$E:$E,"СП",'Таблиця 1'!$L:$L,"Уражено"))</f>
        <v/>
      </c>
      <c r="K402">
        <f>IF($A402="","",COUNTIFS('Таблиця 1'!$B:$B,$A402,'Таблиця 1'!$E:$E,"КСП роти",'Таблиця 1'!$L:$L,"Уражено"))</f>
        <v/>
      </c>
      <c r="L402">
        <f>IF($A402="","",COUNTIFS('Таблиця 1'!$B:$B,$A402,'Таблиця 1'!$E:$E,"ПУ бат",'Таблиця 1'!$L:$L,"Уражено"))</f>
        <v/>
      </c>
      <c r="M402">
        <f>IF($A402="","",COUNTIFS('Таблиця 1'!$B:$B,$A402,'Таблиця 1'!$E:$E,"ПУ бриг",'Таблиця 1'!$L:$L,"Уражено"))</f>
        <v/>
      </c>
      <c r="N402">
        <f>IF($A402="","",COUNTIFS('Таблиця 1'!$B:$B,$A402,'Таблиця 1'!$E:$E,"ПУ див",'Таблиця 1'!$L:$L,"Уражено"))</f>
        <v/>
      </c>
      <c r="O402">
        <f>IF($A402="","",COUNTIFS('Таблиця 1'!$B:$B,$A402,'Таблиця 1'!$E:$E,"обл. РЕБ",'Таблиця 1'!$L:$L,"Уражено"))</f>
        <v/>
      </c>
      <c r="P402">
        <f>IF($A402="","",COUNTIFS('Таблиця 1'!$B:$B,$A402,'Таблиця 1'!$E:$E,"пос РЕБ",'Таблиця 1'!$L:$L,"Уражено"))</f>
        <v/>
      </c>
      <c r="Q402">
        <f>IF($A402="","",COUNTIFS('Таблиця 1'!$B:$B,$A402,'Таблиця 1'!$E:$E,"група РЕР",'Таблиця 1'!$L:$L,"Уражено"))</f>
        <v/>
      </c>
      <c r="R402">
        <f>IF($A402="","",COUNTIFS('Таблиця 1'!$B:$B,$A402,'Таблиця 1'!$E:$E,"РЛС КББ",'Таблиця 1'!$L:$L,"Уражено"))</f>
        <v/>
      </c>
      <c r="S402">
        <f>IF($A402="","",COUNTIFS('Таблиця 1'!$B:$B,$A402,'Таблиця 1'!$E:$E,"Ретранслятор",'Таблиця 1'!$L:$L,"Уражено"))</f>
        <v/>
      </c>
      <c r="T402">
        <f>IF($A402="","",COUNTIFS('Таблиця 1'!$B:$B,$A402,'Таблиця 1'!$E:$E,"Вз.зв'язку",'Таблиця 1'!$L:$L,"Уражено"))</f>
        <v/>
      </c>
      <c r="U402">
        <f>IF($A402="","",COUNTIFS('Таблиця 1'!$B:$B,$A402,'Таблиця 1'!$E:$E,"ПММ",'Таблиця 1'!$L:$L,"Уражено"))</f>
        <v/>
      </c>
      <c r="V402">
        <f>IF($A402="","",COUNTIFS('Таблиця 1'!$B:$B,$A402,'Таблиця 1'!$E:$E,"ІФС",'Таблиця 1'!$L:$L,"Уражено"))</f>
        <v/>
      </c>
      <c r="W402">
        <f>IF($A402="","",COUNTIFS('Таблиця 1'!$B:$B,$A402,'Таблиця 1'!$E:$E,"Інфраструктура",'Таблиця 1'!$L:$L,"Уражено"))</f>
        <v/>
      </c>
      <c r="X402">
        <f>IF($A402="","",SUMIFS('Таблиця 1'!$K:$K,'Таблиця 1'!$B:$B,$A402))</f>
        <v/>
      </c>
    </row>
    <row r="403">
      <c r="A403" s="81">
        <f>IF(A402="","",IF(A402+1&gt;MAX('Таблиця 1'!$B:$B),"",A402+1))</f>
        <v/>
      </c>
      <c r="B403">
        <f>IF($A403="","",COUNTIFS('Таблиця 1'!$B:$B,$A403,'Таблиця 1'!$E:$E,"ЖС ВЗ",'Таблиця 1'!$L:$L,"Уражено"))</f>
        <v/>
      </c>
      <c r="C403">
        <f>IF($A403="","",COUNTIFS('Таблиця 1'!$B:$B,$A403,'Таблиця 1'!$E:$E,"Арт. Системи",'Таблиця 1'!$L:$L,"Уражено"))</f>
        <v/>
      </c>
      <c r="D403">
        <f>IF($A403="","",COUNTIFS('Таблиця 1'!$B:$B,$A403,'Таблиця 1'!$E:$E,"ОВТ",'Таблиця 1'!$L:$L,"Уражено"))</f>
        <v/>
      </c>
      <c r="E403">
        <f>IF($A403="","",COUNTIFS('Таблиця 1'!$B:$B,$A403,'Таблиця 1'!$E:$E,"ППО",'Таблиця 1'!$L:$L,"Уражено"))</f>
        <v/>
      </c>
      <c r="F403">
        <f>IF($A403="","",COUNTIFS('Таблиця 1'!$B:$B,$A403,'Таблиця 1'!$E:$E,"Рембаза",'Таблиця 1'!$L:$L,"Уражено"))</f>
        <v/>
      </c>
      <c r="G403">
        <f>IF($A403="","",COUNTIFS('Таблиця 1'!$B:$B,$A403,'Таблиця 1'!$E:$E,"Склад БК",'Таблиця 1'!$L:$L,"Уражено"))</f>
        <v/>
      </c>
      <c r="H403">
        <f>IF($A403="","",COUNTIFS('Таблиця 1'!$B:$B,$A403,'Таблиця 1'!$E:$E,"Склад ВТМ",'Таблиця 1'!$L:$L,"Уражено"))</f>
        <v/>
      </c>
      <c r="I403">
        <f>IF($A403="","",COUNTIFS('Таблиця 1'!$B:$B,$A403,'Таблиця 1'!$E:$E,"ПУ БпЛА",'Таблиця 1'!$L:$L,"Уражено"))</f>
        <v/>
      </c>
      <c r="J403">
        <f>IF($A403="","",COUNTIFS('Таблиця 1'!$B:$B,$A403,'Таблиця 1'!$E:$E,"СП",'Таблиця 1'!$L:$L,"Уражено"))</f>
        <v/>
      </c>
      <c r="K403">
        <f>IF($A403="","",COUNTIFS('Таблиця 1'!$B:$B,$A403,'Таблиця 1'!$E:$E,"КСП роти",'Таблиця 1'!$L:$L,"Уражено"))</f>
        <v/>
      </c>
      <c r="L403">
        <f>IF($A403="","",COUNTIFS('Таблиця 1'!$B:$B,$A403,'Таблиця 1'!$E:$E,"ПУ бат",'Таблиця 1'!$L:$L,"Уражено"))</f>
        <v/>
      </c>
      <c r="M403">
        <f>IF($A403="","",COUNTIFS('Таблиця 1'!$B:$B,$A403,'Таблиця 1'!$E:$E,"ПУ бриг",'Таблиця 1'!$L:$L,"Уражено"))</f>
        <v/>
      </c>
      <c r="N403">
        <f>IF($A403="","",COUNTIFS('Таблиця 1'!$B:$B,$A403,'Таблиця 1'!$E:$E,"ПУ див",'Таблиця 1'!$L:$L,"Уражено"))</f>
        <v/>
      </c>
      <c r="O403">
        <f>IF($A403="","",COUNTIFS('Таблиця 1'!$B:$B,$A403,'Таблиця 1'!$E:$E,"обл. РЕБ",'Таблиця 1'!$L:$L,"Уражено"))</f>
        <v/>
      </c>
      <c r="P403">
        <f>IF($A403="","",COUNTIFS('Таблиця 1'!$B:$B,$A403,'Таблиця 1'!$E:$E,"пос РЕБ",'Таблиця 1'!$L:$L,"Уражено"))</f>
        <v/>
      </c>
      <c r="Q403">
        <f>IF($A403="","",COUNTIFS('Таблиця 1'!$B:$B,$A403,'Таблиця 1'!$E:$E,"група РЕР",'Таблиця 1'!$L:$L,"Уражено"))</f>
        <v/>
      </c>
      <c r="R403">
        <f>IF($A403="","",COUNTIFS('Таблиця 1'!$B:$B,$A403,'Таблиця 1'!$E:$E,"РЛС КББ",'Таблиця 1'!$L:$L,"Уражено"))</f>
        <v/>
      </c>
      <c r="S403">
        <f>IF($A403="","",COUNTIFS('Таблиця 1'!$B:$B,$A403,'Таблиця 1'!$E:$E,"Ретранслятор",'Таблиця 1'!$L:$L,"Уражено"))</f>
        <v/>
      </c>
      <c r="T403">
        <f>IF($A403="","",COUNTIFS('Таблиця 1'!$B:$B,$A403,'Таблиця 1'!$E:$E,"Вз.зв'язку",'Таблиця 1'!$L:$L,"Уражено"))</f>
        <v/>
      </c>
      <c r="U403">
        <f>IF($A403="","",COUNTIFS('Таблиця 1'!$B:$B,$A403,'Таблиця 1'!$E:$E,"ПММ",'Таблиця 1'!$L:$L,"Уражено"))</f>
        <v/>
      </c>
      <c r="V403">
        <f>IF($A403="","",COUNTIFS('Таблиця 1'!$B:$B,$A403,'Таблиця 1'!$E:$E,"ІФС",'Таблиця 1'!$L:$L,"Уражено"))</f>
        <v/>
      </c>
      <c r="W403">
        <f>IF($A403="","",COUNTIFS('Таблиця 1'!$B:$B,$A403,'Таблиця 1'!$E:$E,"Інфраструктура",'Таблиця 1'!$L:$L,"Уражено"))</f>
        <v/>
      </c>
      <c r="X403">
        <f>IF($A403="","",SUMIFS('Таблиця 1'!$K:$K,'Таблиця 1'!$B:$B,$A403))</f>
        <v/>
      </c>
    </row>
    <row r="404">
      <c r="A404" s="81">
        <f>IF(A403="","",IF(A403+1&gt;MAX('Таблиця 1'!$B:$B),"",A403+1))</f>
        <v/>
      </c>
      <c r="B404">
        <f>IF($A404="","",COUNTIFS('Таблиця 1'!$B:$B,$A404,'Таблиця 1'!$E:$E,"ЖС ВЗ",'Таблиця 1'!$L:$L,"Уражено"))</f>
        <v/>
      </c>
      <c r="C404">
        <f>IF($A404="","",COUNTIFS('Таблиця 1'!$B:$B,$A404,'Таблиця 1'!$E:$E,"Арт. Системи",'Таблиця 1'!$L:$L,"Уражено"))</f>
        <v/>
      </c>
      <c r="D404">
        <f>IF($A404="","",COUNTIFS('Таблиця 1'!$B:$B,$A404,'Таблиця 1'!$E:$E,"ОВТ",'Таблиця 1'!$L:$L,"Уражено"))</f>
        <v/>
      </c>
      <c r="E404">
        <f>IF($A404="","",COUNTIFS('Таблиця 1'!$B:$B,$A404,'Таблиця 1'!$E:$E,"ППО",'Таблиця 1'!$L:$L,"Уражено"))</f>
        <v/>
      </c>
      <c r="F404">
        <f>IF($A404="","",COUNTIFS('Таблиця 1'!$B:$B,$A404,'Таблиця 1'!$E:$E,"Рембаза",'Таблиця 1'!$L:$L,"Уражено"))</f>
        <v/>
      </c>
      <c r="G404">
        <f>IF($A404="","",COUNTIFS('Таблиця 1'!$B:$B,$A404,'Таблиця 1'!$E:$E,"Склад БК",'Таблиця 1'!$L:$L,"Уражено"))</f>
        <v/>
      </c>
      <c r="H404">
        <f>IF($A404="","",COUNTIFS('Таблиця 1'!$B:$B,$A404,'Таблиця 1'!$E:$E,"Склад ВТМ",'Таблиця 1'!$L:$L,"Уражено"))</f>
        <v/>
      </c>
      <c r="I404">
        <f>IF($A404="","",COUNTIFS('Таблиця 1'!$B:$B,$A404,'Таблиця 1'!$E:$E,"ПУ БпЛА",'Таблиця 1'!$L:$L,"Уражено"))</f>
        <v/>
      </c>
      <c r="J404">
        <f>IF($A404="","",COUNTIFS('Таблиця 1'!$B:$B,$A404,'Таблиця 1'!$E:$E,"СП",'Таблиця 1'!$L:$L,"Уражено"))</f>
        <v/>
      </c>
      <c r="K404">
        <f>IF($A404="","",COUNTIFS('Таблиця 1'!$B:$B,$A404,'Таблиця 1'!$E:$E,"КСП роти",'Таблиця 1'!$L:$L,"Уражено"))</f>
        <v/>
      </c>
      <c r="L404">
        <f>IF($A404="","",COUNTIFS('Таблиця 1'!$B:$B,$A404,'Таблиця 1'!$E:$E,"ПУ бат",'Таблиця 1'!$L:$L,"Уражено"))</f>
        <v/>
      </c>
      <c r="M404">
        <f>IF($A404="","",COUNTIFS('Таблиця 1'!$B:$B,$A404,'Таблиця 1'!$E:$E,"ПУ бриг",'Таблиця 1'!$L:$L,"Уражено"))</f>
        <v/>
      </c>
      <c r="N404">
        <f>IF($A404="","",COUNTIFS('Таблиця 1'!$B:$B,$A404,'Таблиця 1'!$E:$E,"ПУ див",'Таблиця 1'!$L:$L,"Уражено"))</f>
        <v/>
      </c>
      <c r="O404">
        <f>IF($A404="","",COUNTIFS('Таблиця 1'!$B:$B,$A404,'Таблиця 1'!$E:$E,"обл. РЕБ",'Таблиця 1'!$L:$L,"Уражено"))</f>
        <v/>
      </c>
      <c r="P404">
        <f>IF($A404="","",COUNTIFS('Таблиця 1'!$B:$B,$A404,'Таблиця 1'!$E:$E,"пос РЕБ",'Таблиця 1'!$L:$L,"Уражено"))</f>
        <v/>
      </c>
      <c r="Q404">
        <f>IF($A404="","",COUNTIFS('Таблиця 1'!$B:$B,$A404,'Таблиця 1'!$E:$E,"група РЕР",'Таблиця 1'!$L:$L,"Уражено"))</f>
        <v/>
      </c>
      <c r="R404">
        <f>IF($A404="","",COUNTIFS('Таблиця 1'!$B:$B,$A404,'Таблиця 1'!$E:$E,"РЛС КББ",'Таблиця 1'!$L:$L,"Уражено"))</f>
        <v/>
      </c>
      <c r="S404">
        <f>IF($A404="","",COUNTIFS('Таблиця 1'!$B:$B,$A404,'Таблиця 1'!$E:$E,"Ретранслятор",'Таблиця 1'!$L:$L,"Уражено"))</f>
        <v/>
      </c>
      <c r="T404">
        <f>IF($A404="","",COUNTIFS('Таблиця 1'!$B:$B,$A404,'Таблиця 1'!$E:$E,"Вз.зв'язку",'Таблиця 1'!$L:$L,"Уражено"))</f>
        <v/>
      </c>
      <c r="U404">
        <f>IF($A404="","",COUNTIFS('Таблиця 1'!$B:$B,$A404,'Таблиця 1'!$E:$E,"ПММ",'Таблиця 1'!$L:$L,"Уражено"))</f>
        <v/>
      </c>
      <c r="V404">
        <f>IF($A404="","",COUNTIFS('Таблиця 1'!$B:$B,$A404,'Таблиця 1'!$E:$E,"ІФС",'Таблиця 1'!$L:$L,"Уражено"))</f>
        <v/>
      </c>
      <c r="W404">
        <f>IF($A404="","",COUNTIFS('Таблиця 1'!$B:$B,$A404,'Таблиця 1'!$E:$E,"Інфраструктура",'Таблиця 1'!$L:$L,"Уражено"))</f>
        <v/>
      </c>
      <c r="X404">
        <f>IF($A404="","",SUMIFS('Таблиця 1'!$K:$K,'Таблиця 1'!$B:$B,$A404))</f>
        <v/>
      </c>
    </row>
    <row r="405">
      <c r="A405" s="81">
        <f>IF(A404="","",IF(A404+1&gt;MAX('Таблиця 1'!$B:$B),"",A404+1))</f>
        <v/>
      </c>
      <c r="B405">
        <f>IF($A405="","",COUNTIFS('Таблиця 1'!$B:$B,$A405,'Таблиця 1'!$E:$E,"ЖС ВЗ",'Таблиця 1'!$L:$L,"Уражено"))</f>
        <v/>
      </c>
      <c r="C405">
        <f>IF($A405="","",COUNTIFS('Таблиця 1'!$B:$B,$A405,'Таблиця 1'!$E:$E,"Арт. Системи",'Таблиця 1'!$L:$L,"Уражено"))</f>
        <v/>
      </c>
      <c r="D405">
        <f>IF($A405="","",COUNTIFS('Таблиця 1'!$B:$B,$A405,'Таблиця 1'!$E:$E,"ОВТ",'Таблиця 1'!$L:$L,"Уражено"))</f>
        <v/>
      </c>
      <c r="E405">
        <f>IF($A405="","",COUNTIFS('Таблиця 1'!$B:$B,$A405,'Таблиця 1'!$E:$E,"ППО",'Таблиця 1'!$L:$L,"Уражено"))</f>
        <v/>
      </c>
      <c r="F405">
        <f>IF($A405="","",COUNTIFS('Таблиця 1'!$B:$B,$A405,'Таблиця 1'!$E:$E,"Рембаза",'Таблиця 1'!$L:$L,"Уражено"))</f>
        <v/>
      </c>
      <c r="G405">
        <f>IF($A405="","",COUNTIFS('Таблиця 1'!$B:$B,$A405,'Таблиця 1'!$E:$E,"Склад БК",'Таблиця 1'!$L:$L,"Уражено"))</f>
        <v/>
      </c>
      <c r="H405">
        <f>IF($A405="","",COUNTIFS('Таблиця 1'!$B:$B,$A405,'Таблиця 1'!$E:$E,"Склад ВТМ",'Таблиця 1'!$L:$L,"Уражено"))</f>
        <v/>
      </c>
      <c r="I405">
        <f>IF($A405="","",COUNTIFS('Таблиця 1'!$B:$B,$A405,'Таблиця 1'!$E:$E,"ПУ БпЛА",'Таблиця 1'!$L:$L,"Уражено"))</f>
        <v/>
      </c>
      <c r="J405">
        <f>IF($A405="","",COUNTIFS('Таблиця 1'!$B:$B,$A405,'Таблиця 1'!$E:$E,"СП",'Таблиця 1'!$L:$L,"Уражено"))</f>
        <v/>
      </c>
      <c r="K405">
        <f>IF($A405="","",COUNTIFS('Таблиця 1'!$B:$B,$A405,'Таблиця 1'!$E:$E,"КСП роти",'Таблиця 1'!$L:$L,"Уражено"))</f>
        <v/>
      </c>
      <c r="L405">
        <f>IF($A405="","",COUNTIFS('Таблиця 1'!$B:$B,$A405,'Таблиця 1'!$E:$E,"ПУ бат",'Таблиця 1'!$L:$L,"Уражено"))</f>
        <v/>
      </c>
      <c r="M405">
        <f>IF($A405="","",COUNTIFS('Таблиця 1'!$B:$B,$A405,'Таблиця 1'!$E:$E,"ПУ бриг",'Таблиця 1'!$L:$L,"Уражено"))</f>
        <v/>
      </c>
      <c r="N405">
        <f>IF($A405="","",COUNTIFS('Таблиця 1'!$B:$B,$A405,'Таблиця 1'!$E:$E,"ПУ див",'Таблиця 1'!$L:$L,"Уражено"))</f>
        <v/>
      </c>
      <c r="O405">
        <f>IF($A405="","",COUNTIFS('Таблиця 1'!$B:$B,$A405,'Таблиця 1'!$E:$E,"обл. РЕБ",'Таблиця 1'!$L:$L,"Уражено"))</f>
        <v/>
      </c>
      <c r="P405">
        <f>IF($A405="","",COUNTIFS('Таблиця 1'!$B:$B,$A405,'Таблиця 1'!$E:$E,"пос РЕБ",'Таблиця 1'!$L:$L,"Уражено"))</f>
        <v/>
      </c>
      <c r="Q405">
        <f>IF($A405="","",COUNTIFS('Таблиця 1'!$B:$B,$A405,'Таблиця 1'!$E:$E,"група РЕР",'Таблиця 1'!$L:$L,"Уражено"))</f>
        <v/>
      </c>
      <c r="R405">
        <f>IF($A405="","",COUNTIFS('Таблиця 1'!$B:$B,$A405,'Таблиця 1'!$E:$E,"РЛС КББ",'Таблиця 1'!$L:$L,"Уражено"))</f>
        <v/>
      </c>
      <c r="S405">
        <f>IF($A405="","",COUNTIFS('Таблиця 1'!$B:$B,$A405,'Таблиця 1'!$E:$E,"Ретранслятор",'Таблиця 1'!$L:$L,"Уражено"))</f>
        <v/>
      </c>
      <c r="T405">
        <f>IF($A405="","",COUNTIFS('Таблиця 1'!$B:$B,$A405,'Таблиця 1'!$E:$E,"Вз.зв'язку",'Таблиця 1'!$L:$L,"Уражено"))</f>
        <v/>
      </c>
      <c r="U405">
        <f>IF($A405="","",COUNTIFS('Таблиця 1'!$B:$B,$A405,'Таблиця 1'!$E:$E,"ПММ",'Таблиця 1'!$L:$L,"Уражено"))</f>
        <v/>
      </c>
      <c r="V405">
        <f>IF($A405="","",COUNTIFS('Таблиця 1'!$B:$B,$A405,'Таблиця 1'!$E:$E,"ІФС",'Таблиця 1'!$L:$L,"Уражено"))</f>
        <v/>
      </c>
      <c r="W405">
        <f>IF($A405="","",COUNTIFS('Таблиця 1'!$B:$B,$A405,'Таблиця 1'!$E:$E,"Інфраструктура",'Таблиця 1'!$L:$L,"Уражено"))</f>
        <v/>
      </c>
      <c r="X405">
        <f>IF($A405="","",SUMIFS('Таблиця 1'!$K:$K,'Таблиця 1'!$B:$B,$A405))</f>
        <v/>
      </c>
    </row>
    <row r="406">
      <c r="A406" s="81">
        <f>IF(A405="","",IF(A405+1&gt;MAX('Таблиця 1'!$B:$B),"",A405+1))</f>
        <v/>
      </c>
      <c r="B406">
        <f>IF($A406="","",COUNTIFS('Таблиця 1'!$B:$B,$A406,'Таблиця 1'!$E:$E,"ЖС ВЗ",'Таблиця 1'!$L:$L,"Уражено"))</f>
        <v/>
      </c>
      <c r="C406">
        <f>IF($A406="","",COUNTIFS('Таблиця 1'!$B:$B,$A406,'Таблиця 1'!$E:$E,"Арт. Системи",'Таблиця 1'!$L:$L,"Уражено"))</f>
        <v/>
      </c>
      <c r="D406">
        <f>IF($A406="","",COUNTIFS('Таблиця 1'!$B:$B,$A406,'Таблиця 1'!$E:$E,"ОВТ",'Таблиця 1'!$L:$L,"Уражено"))</f>
        <v/>
      </c>
      <c r="E406">
        <f>IF($A406="","",COUNTIFS('Таблиця 1'!$B:$B,$A406,'Таблиця 1'!$E:$E,"ППО",'Таблиця 1'!$L:$L,"Уражено"))</f>
        <v/>
      </c>
      <c r="F406">
        <f>IF($A406="","",COUNTIFS('Таблиця 1'!$B:$B,$A406,'Таблиця 1'!$E:$E,"Рембаза",'Таблиця 1'!$L:$L,"Уражено"))</f>
        <v/>
      </c>
      <c r="G406">
        <f>IF($A406="","",COUNTIFS('Таблиця 1'!$B:$B,$A406,'Таблиця 1'!$E:$E,"Склад БК",'Таблиця 1'!$L:$L,"Уражено"))</f>
        <v/>
      </c>
      <c r="H406">
        <f>IF($A406="","",COUNTIFS('Таблиця 1'!$B:$B,$A406,'Таблиця 1'!$E:$E,"Склад ВТМ",'Таблиця 1'!$L:$L,"Уражено"))</f>
        <v/>
      </c>
      <c r="I406">
        <f>IF($A406="","",COUNTIFS('Таблиця 1'!$B:$B,$A406,'Таблиця 1'!$E:$E,"ПУ БпЛА",'Таблиця 1'!$L:$L,"Уражено"))</f>
        <v/>
      </c>
      <c r="J406">
        <f>IF($A406="","",COUNTIFS('Таблиця 1'!$B:$B,$A406,'Таблиця 1'!$E:$E,"СП",'Таблиця 1'!$L:$L,"Уражено"))</f>
        <v/>
      </c>
      <c r="K406">
        <f>IF($A406="","",COUNTIFS('Таблиця 1'!$B:$B,$A406,'Таблиця 1'!$E:$E,"КСП роти",'Таблиця 1'!$L:$L,"Уражено"))</f>
        <v/>
      </c>
      <c r="L406">
        <f>IF($A406="","",COUNTIFS('Таблиця 1'!$B:$B,$A406,'Таблиця 1'!$E:$E,"ПУ бат",'Таблиця 1'!$L:$L,"Уражено"))</f>
        <v/>
      </c>
      <c r="M406">
        <f>IF($A406="","",COUNTIFS('Таблиця 1'!$B:$B,$A406,'Таблиця 1'!$E:$E,"ПУ бриг",'Таблиця 1'!$L:$L,"Уражено"))</f>
        <v/>
      </c>
      <c r="N406">
        <f>IF($A406="","",COUNTIFS('Таблиця 1'!$B:$B,$A406,'Таблиця 1'!$E:$E,"ПУ див",'Таблиця 1'!$L:$L,"Уражено"))</f>
        <v/>
      </c>
      <c r="O406">
        <f>IF($A406="","",COUNTIFS('Таблиця 1'!$B:$B,$A406,'Таблиця 1'!$E:$E,"обл. РЕБ",'Таблиця 1'!$L:$L,"Уражено"))</f>
        <v/>
      </c>
      <c r="P406">
        <f>IF($A406="","",COUNTIFS('Таблиця 1'!$B:$B,$A406,'Таблиця 1'!$E:$E,"пос РЕБ",'Таблиця 1'!$L:$L,"Уражено"))</f>
        <v/>
      </c>
      <c r="Q406">
        <f>IF($A406="","",COUNTIFS('Таблиця 1'!$B:$B,$A406,'Таблиця 1'!$E:$E,"група РЕР",'Таблиця 1'!$L:$L,"Уражено"))</f>
        <v/>
      </c>
      <c r="R406">
        <f>IF($A406="","",COUNTIFS('Таблиця 1'!$B:$B,$A406,'Таблиця 1'!$E:$E,"РЛС КББ",'Таблиця 1'!$L:$L,"Уражено"))</f>
        <v/>
      </c>
      <c r="S406">
        <f>IF($A406="","",COUNTIFS('Таблиця 1'!$B:$B,$A406,'Таблиця 1'!$E:$E,"Ретранслятор",'Таблиця 1'!$L:$L,"Уражено"))</f>
        <v/>
      </c>
      <c r="T406">
        <f>IF($A406="","",COUNTIFS('Таблиця 1'!$B:$B,$A406,'Таблиця 1'!$E:$E,"Вз.зв'язку",'Таблиця 1'!$L:$L,"Уражено"))</f>
        <v/>
      </c>
      <c r="U406">
        <f>IF($A406="","",COUNTIFS('Таблиця 1'!$B:$B,$A406,'Таблиця 1'!$E:$E,"ПММ",'Таблиця 1'!$L:$L,"Уражено"))</f>
        <v/>
      </c>
      <c r="V406">
        <f>IF($A406="","",COUNTIFS('Таблиця 1'!$B:$B,$A406,'Таблиця 1'!$E:$E,"ІФС",'Таблиця 1'!$L:$L,"Уражено"))</f>
        <v/>
      </c>
      <c r="W406">
        <f>IF($A406="","",COUNTIFS('Таблиця 1'!$B:$B,$A406,'Таблиця 1'!$E:$E,"Інфраструктура",'Таблиця 1'!$L:$L,"Уражено"))</f>
        <v/>
      </c>
      <c r="X406">
        <f>IF($A406="","",SUMIFS('Таблиця 1'!$K:$K,'Таблиця 1'!$B:$B,$A406))</f>
        <v/>
      </c>
    </row>
    <row r="407">
      <c r="A407" s="81">
        <f>IF(A406="","",IF(A406+1&gt;MAX('Таблиця 1'!$B:$B),"",A406+1))</f>
        <v/>
      </c>
      <c r="B407">
        <f>IF($A407="","",COUNTIFS('Таблиця 1'!$B:$B,$A407,'Таблиця 1'!$E:$E,"ЖС ВЗ",'Таблиця 1'!$L:$L,"Уражено"))</f>
        <v/>
      </c>
      <c r="C407">
        <f>IF($A407="","",COUNTIFS('Таблиця 1'!$B:$B,$A407,'Таблиця 1'!$E:$E,"Арт. Системи",'Таблиця 1'!$L:$L,"Уражено"))</f>
        <v/>
      </c>
      <c r="D407">
        <f>IF($A407="","",COUNTIFS('Таблиця 1'!$B:$B,$A407,'Таблиця 1'!$E:$E,"ОВТ",'Таблиця 1'!$L:$L,"Уражено"))</f>
        <v/>
      </c>
      <c r="E407">
        <f>IF($A407="","",COUNTIFS('Таблиця 1'!$B:$B,$A407,'Таблиця 1'!$E:$E,"ППО",'Таблиця 1'!$L:$L,"Уражено"))</f>
        <v/>
      </c>
      <c r="F407">
        <f>IF($A407="","",COUNTIFS('Таблиця 1'!$B:$B,$A407,'Таблиця 1'!$E:$E,"Рембаза",'Таблиця 1'!$L:$L,"Уражено"))</f>
        <v/>
      </c>
      <c r="G407">
        <f>IF($A407="","",COUNTIFS('Таблиця 1'!$B:$B,$A407,'Таблиця 1'!$E:$E,"Склад БК",'Таблиця 1'!$L:$L,"Уражено"))</f>
        <v/>
      </c>
      <c r="H407">
        <f>IF($A407="","",COUNTIFS('Таблиця 1'!$B:$B,$A407,'Таблиця 1'!$E:$E,"Склад ВТМ",'Таблиця 1'!$L:$L,"Уражено"))</f>
        <v/>
      </c>
      <c r="I407">
        <f>IF($A407="","",COUNTIFS('Таблиця 1'!$B:$B,$A407,'Таблиця 1'!$E:$E,"ПУ БпЛА",'Таблиця 1'!$L:$L,"Уражено"))</f>
        <v/>
      </c>
      <c r="J407">
        <f>IF($A407="","",COUNTIFS('Таблиця 1'!$B:$B,$A407,'Таблиця 1'!$E:$E,"СП",'Таблиця 1'!$L:$L,"Уражено"))</f>
        <v/>
      </c>
      <c r="K407">
        <f>IF($A407="","",COUNTIFS('Таблиця 1'!$B:$B,$A407,'Таблиця 1'!$E:$E,"КСП роти",'Таблиця 1'!$L:$L,"Уражено"))</f>
        <v/>
      </c>
      <c r="L407">
        <f>IF($A407="","",COUNTIFS('Таблиця 1'!$B:$B,$A407,'Таблиця 1'!$E:$E,"ПУ бат",'Таблиця 1'!$L:$L,"Уражено"))</f>
        <v/>
      </c>
      <c r="M407">
        <f>IF($A407="","",COUNTIFS('Таблиця 1'!$B:$B,$A407,'Таблиця 1'!$E:$E,"ПУ бриг",'Таблиця 1'!$L:$L,"Уражено"))</f>
        <v/>
      </c>
      <c r="N407">
        <f>IF($A407="","",COUNTIFS('Таблиця 1'!$B:$B,$A407,'Таблиця 1'!$E:$E,"ПУ див",'Таблиця 1'!$L:$L,"Уражено"))</f>
        <v/>
      </c>
      <c r="O407">
        <f>IF($A407="","",COUNTIFS('Таблиця 1'!$B:$B,$A407,'Таблиця 1'!$E:$E,"обл. РЕБ",'Таблиця 1'!$L:$L,"Уражено"))</f>
        <v/>
      </c>
      <c r="P407">
        <f>IF($A407="","",COUNTIFS('Таблиця 1'!$B:$B,$A407,'Таблиця 1'!$E:$E,"пос РЕБ",'Таблиця 1'!$L:$L,"Уражено"))</f>
        <v/>
      </c>
      <c r="Q407">
        <f>IF($A407="","",COUNTIFS('Таблиця 1'!$B:$B,$A407,'Таблиця 1'!$E:$E,"група РЕР",'Таблиця 1'!$L:$L,"Уражено"))</f>
        <v/>
      </c>
      <c r="R407">
        <f>IF($A407="","",COUNTIFS('Таблиця 1'!$B:$B,$A407,'Таблиця 1'!$E:$E,"РЛС КББ",'Таблиця 1'!$L:$L,"Уражено"))</f>
        <v/>
      </c>
      <c r="S407">
        <f>IF($A407="","",COUNTIFS('Таблиця 1'!$B:$B,$A407,'Таблиця 1'!$E:$E,"Ретранслятор",'Таблиця 1'!$L:$L,"Уражено"))</f>
        <v/>
      </c>
      <c r="T407">
        <f>IF($A407="","",COUNTIFS('Таблиця 1'!$B:$B,$A407,'Таблиця 1'!$E:$E,"Вз.зв'язку",'Таблиця 1'!$L:$L,"Уражено"))</f>
        <v/>
      </c>
      <c r="U407">
        <f>IF($A407="","",COUNTIFS('Таблиця 1'!$B:$B,$A407,'Таблиця 1'!$E:$E,"ПММ",'Таблиця 1'!$L:$L,"Уражено"))</f>
        <v/>
      </c>
      <c r="V407">
        <f>IF($A407="","",COUNTIFS('Таблиця 1'!$B:$B,$A407,'Таблиця 1'!$E:$E,"ІФС",'Таблиця 1'!$L:$L,"Уражено"))</f>
        <v/>
      </c>
      <c r="W407">
        <f>IF($A407="","",COUNTIFS('Таблиця 1'!$B:$B,$A407,'Таблиця 1'!$E:$E,"Інфраструктура",'Таблиця 1'!$L:$L,"Уражено"))</f>
        <v/>
      </c>
      <c r="X407">
        <f>IF($A407="","",SUMIFS('Таблиця 1'!$K:$K,'Таблиця 1'!$B:$B,$A407))</f>
        <v/>
      </c>
    </row>
    <row r="408">
      <c r="A408" s="81">
        <f>IF(A407="","",IF(A407+1&gt;MAX('Таблиця 1'!$B:$B),"",A407+1))</f>
        <v/>
      </c>
      <c r="B408">
        <f>IF($A408="","",COUNTIFS('Таблиця 1'!$B:$B,$A408,'Таблиця 1'!$E:$E,"ЖС ВЗ",'Таблиця 1'!$L:$L,"Уражено"))</f>
        <v/>
      </c>
      <c r="C408">
        <f>IF($A408="","",COUNTIFS('Таблиця 1'!$B:$B,$A408,'Таблиця 1'!$E:$E,"Арт. Системи",'Таблиця 1'!$L:$L,"Уражено"))</f>
        <v/>
      </c>
      <c r="D408">
        <f>IF($A408="","",COUNTIFS('Таблиця 1'!$B:$B,$A408,'Таблиця 1'!$E:$E,"ОВТ",'Таблиця 1'!$L:$L,"Уражено"))</f>
        <v/>
      </c>
      <c r="E408">
        <f>IF($A408="","",COUNTIFS('Таблиця 1'!$B:$B,$A408,'Таблиця 1'!$E:$E,"ППО",'Таблиця 1'!$L:$L,"Уражено"))</f>
        <v/>
      </c>
      <c r="F408">
        <f>IF($A408="","",COUNTIFS('Таблиця 1'!$B:$B,$A408,'Таблиця 1'!$E:$E,"Рембаза",'Таблиця 1'!$L:$L,"Уражено"))</f>
        <v/>
      </c>
      <c r="G408">
        <f>IF($A408="","",COUNTIFS('Таблиця 1'!$B:$B,$A408,'Таблиця 1'!$E:$E,"Склад БК",'Таблиця 1'!$L:$L,"Уражено"))</f>
        <v/>
      </c>
      <c r="H408">
        <f>IF($A408="","",COUNTIFS('Таблиця 1'!$B:$B,$A408,'Таблиця 1'!$E:$E,"Склад ВТМ",'Таблиця 1'!$L:$L,"Уражено"))</f>
        <v/>
      </c>
      <c r="I408">
        <f>IF($A408="","",COUNTIFS('Таблиця 1'!$B:$B,$A408,'Таблиця 1'!$E:$E,"ПУ БпЛА",'Таблиця 1'!$L:$L,"Уражено"))</f>
        <v/>
      </c>
      <c r="J408">
        <f>IF($A408="","",COUNTIFS('Таблиця 1'!$B:$B,$A408,'Таблиця 1'!$E:$E,"СП",'Таблиця 1'!$L:$L,"Уражено"))</f>
        <v/>
      </c>
      <c r="K408">
        <f>IF($A408="","",COUNTIFS('Таблиця 1'!$B:$B,$A408,'Таблиця 1'!$E:$E,"КСП роти",'Таблиця 1'!$L:$L,"Уражено"))</f>
        <v/>
      </c>
      <c r="L408">
        <f>IF($A408="","",COUNTIFS('Таблиця 1'!$B:$B,$A408,'Таблиця 1'!$E:$E,"ПУ бат",'Таблиця 1'!$L:$L,"Уражено"))</f>
        <v/>
      </c>
      <c r="M408">
        <f>IF($A408="","",COUNTIFS('Таблиця 1'!$B:$B,$A408,'Таблиця 1'!$E:$E,"ПУ бриг",'Таблиця 1'!$L:$L,"Уражено"))</f>
        <v/>
      </c>
      <c r="N408">
        <f>IF($A408="","",COUNTIFS('Таблиця 1'!$B:$B,$A408,'Таблиця 1'!$E:$E,"ПУ див",'Таблиця 1'!$L:$L,"Уражено"))</f>
        <v/>
      </c>
      <c r="O408">
        <f>IF($A408="","",COUNTIFS('Таблиця 1'!$B:$B,$A408,'Таблиця 1'!$E:$E,"обл. РЕБ",'Таблиця 1'!$L:$L,"Уражено"))</f>
        <v/>
      </c>
      <c r="P408">
        <f>IF($A408="","",COUNTIFS('Таблиця 1'!$B:$B,$A408,'Таблиця 1'!$E:$E,"пос РЕБ",'Таблиця 1'!$L:$L,"Уражено"))</f>
        <v/>
      </c>
      <c r="Q408">
        <f>IF($A408="","",COUNTIFS('Таблиця 1'!$B:$B,$A408,'Таблиця 1'!$E:$E,"група РЕР",'Таблиця 1'!$L:$L,"Уражено"))</f>
        <v/>
      </c>
      <c r="R408">
        <f>IF($A408="","",COUNTIFS('Таблиця 1'!$B:$B,$A408,'Таблиця 1'!$E:$E,"РЛС КББ",'Таблиця 1'!$L:$L,"Уражено"))</f>
        <v/>
      </c>
      <c r="S408">
        <f>IF($A408="","",COUNTIFS('Таблиця 1'!$B:$B,$A408,'Таблиця 1'!$E:$E,"Ретранслятор",'Таблиця 1'!$L:$L,"Уражено"))</f>
        <v/>
      </c>
      <c r="T408">
        <f>IF($A408="","",COUNTIFS('Таблиця 1'!$B:$B,$A408,'Таблиця 1'!$E:$E,"Вз.зв'язку",'Таблиця 1'!$L:$L,"Уражено"))</f>
        <v/>
      </c>
      <c r="U408">
        <f>IF($A408="","",COUNTIFS('Таблиця 1'!$B:$B,$A408,'Таблиця 1'!$E:$E,"ПММ",'Таблиця 1'!$L:$L,"Уражено"))</f>
        <v/>
      </c>
      <c r="V408">
        <f>IF($A408="","",COUNTIFS('Таблиця 1'!$B:$B,$A408,'Таблиця 1'!$E:$E,"ІФС",'Таблиця 1'!$L:$L,"Уражено"))</f>
        <v/>
      </c>
      <c r="W408">
        <f>IF($A408="","",COUNTIFS('Таблиця 1'!$B:$B,$A408,'Таблиця 1'!$E:$E,"Інфраструктура",'Таблиця 1'!$L:$L,"Уражено"))</f>
        <v/>
      </c>
      <c r="X408">
        <f>IF($A408="","",SUMIFS('Таблиця 1'!$K:$K,'Таблиця 1'!$B:$B,$A408))</f>
        <v/>
      </c>
    </row>
    <row r="409">
      <c r="A409" s="81">
        <f>IF(A408="","",IF(A408+1&gt;MAX('Таблиця 1'!$B:$B),"",A408+1))</f>
        <v/>
      </c>
      <c r="B409">
        <f>IF($A409="","",COUNTIFS('Таблиця 1'!$B:$B,$A409,'Таблиця 1'!$E:$E,"ЖС ВЗ",'Таблиця 1'!$L:$L,"Уражено"))</f>
        <v/>
      </c>
      <c r="C409">
        <f>IF($A409="","",COUNTIFS('Таблиця 1'!$B:$B,$A409,'Таблиця 1'!$E:$E,"Арт. Системи",'Таблиця 1'!$L:$L,"Уражено"))</f>
        <v/>
      </c>
      <c r="D409">
        <f>IF($A409="","",COUNTIFS('Таблиця 1'!$B:$B,$A409,'Таблиця 1'!$E:$E,"ОВТ",'Таблиця 1'!$L:$L,"Уражено"))</f>
        <v/>
      </c>
      <c r="E409">
        <f>IF($A409="","",COUNTIFS('Таблиця 1'!$B:$B,$A409,'Таблиця 1'!$E:$E,"ППО",'Таблиця 1'!$L:$L,"Уражено"))</f>
        <v/>
      </c>
      <c r="F409">
        <f>IF($A409="","",COUNTIFS('Таблиця 1'!$B:$B,$A409,'Таблиця 1'!$E:$E,"Рембаза",'Таблиця 1'!$L:$L,"Уражено"))</f>
        <v/>
      </c>
      <c r="G409">
        <f>IF($A409="","",COUNTIFS('Таблиця 1'!$B:$B,$A409,'Таблиця 1'!$E:$E,"Склад БК",'Таблиця 1'!$L:$L,"Уражено"))</f>
        <v/>
      </c>
      <c r="H409">
        <f>IF($A409="","",COUNTIFS('Таблиця 1'!$B:$B,$A409,'Таблиця 1'!$E:$E,"Склад ВТМ",'Таблиця 1'!$L:$L,"Уражено"))</f>
        <v/>
      </c>
      <c r="I409">
        <f>IF($A409="","",COUNTIFS('Таблиця 1'!$B:$B,$A409,'Таблиця 1'!$E:$E,"ПУ БпЛА",'Таблиця 1'!$L:$L,"Уражено"))</f>
        <v/>
      </c>
      <c r="J409">
        <f>IF($A409="","",COUNTIFS('Таблиця 1'!$B:$B,$A409,'Таблиця 1'!$E:$E,"СП",'Таблиця 1'!$L:$L,"Уражено"))</f>
        <v/>
      </c>
      <c r="K409">
        <f>IF($A409="","",COUNTIFS('Таблиця 1'!$B:$B,$A409,'Таблиця 1'!$E:$E,"КСП роти",'Таблиця 1'!$L:$L,"Уражено"))</f>
        <v/>
      </c>
      <c r="L409">
        <f>IF($A409="","",COUNTIFS('Таблиця 1'!$B:$B,$A409,'Таблиця 1'!$E:$E,"ПУ бат",'Таблиця 1'!$L:$L,"Уражено"))</f>
        <v/>
      </c>
      <c r="M409">
        <f>IF($A409="","",COUNTIFS('Таблиця 1'!$B:$B,$A409,'Таблиця 1'!$E:$E,"ПУ бриг",'Таблиця 1'!$L:$L,"Уражено"))</f>
        <v/>
      </c>
      <c r="N409">
        <f>IF($A409="","",COUNTIFS('Таблиця 1'!$B:$B,$A409,'Таблиця 1'!$E:$E,"ПУ див",'Таблиця 1'!$L:$L,"Уражено"))</f>
        <v/>
      </c>
      <c r="O409">
        <f>IF($A409="","",COUNTIFS('Таблиця 1'!$B:$B,$A409,'Таблиця 1'!$E:$E,"обл. РЕБ",'Таблиця 1'!$L:$L,"Уражено"))</f>
        <v/>
      </c>
      <c r="P409">
        <f>IF($A409="","",COUNTIFS('Таблиця 1'!$B:$B,$A409,'Таблиця 1'!$E:$E,"пос РЕБ",'Таблиця 1'!$L:$L,"Уражено"))</f>
        <v/>
      </c>
      <c r="Q409">
        <f>IF($A409="","",COUNTIFS('Таблиця 1'!$B:$B,$A409,'Таблиця 1'!$E:$E,"група РЕР",'Таблиця 1'!$L:$L,"Уражено"))</f>
        <v/>
      </c>
      <c r="R409">
        <f>IF($A409="","",COUNTIFS('Таблиця 1'!$B:$B,$A409,'Таблиця 1'!$E:$E,"РЛС КББ",'Таблиця 1'!$L:$L,"Уражено"))</f>
        <v/>
      </c>
      <c r="S409">
        <f>IF($A409="","",COUNTIFS('Таблиця 1'!$B:$B,$A409,'Таблиця 1'!$E:$E,"Ретранслятор",'Таблиця 1'!$L:$L,"Уражено"))</f>
        <v/>
      </c>
      <c r="T409">
        <f>IF($A409="","",COUNTIFS('Таблиця 1'!$B:$B,$A409,'Таблиця 1'!$E:$E,"Вз.зв'язку",'Таблиця 1'!$L:$L,"Уражено"))</f>
        <v/>
      </c>
      <c r="U409">
        <f>IF($A409="","",COUNTIFS('Таблиця 1'!$B:$B,$A409,'Таблиця 1'!$E:$E,"ПММ",'Таблиця 1'!$L:$L,"Уражено"))</f>
        <v/>
      </c>
      <c r="V409">
        <f>IF($A409="","",COUNTIFS('Таблиця 1'!$B:$B,$A409,'Таблиця 1'!$E:$E,"ІФС",'Таблиця 1'!$L:$L,"Уражено"))</f>
        <v/>
      </c>
      <c r="W409">
        <f>IF($A409="","",COUNTIFS('Таблиця 1'!$B:$B,$A409,'Таблиця 1'!$E:$E,"Інфраструктура",'Таблиця 1'!$L:$L,"Уражено"))</f>
        <v/>
      </c>
      <c r="X409">
        <f>IF($A409="","",SUMIFS('Таблиця 1'!$K:$K,'Таблиця 1'!$B:$B,$A409))</f>
        <v/>
      </c>
    </row>
    <row r="410">
      <c r="A410" s="81">
        <f>IF(A409="","",IF(A409+1&gt;MAX('Таблиця 1'!$B:$B),"",A409+1))</f>
        <v/>
      </c>
      <c r="B410">
        <f>IF($A410="","",COUNTIFS('Таблиця 1'!$B:$B,$A410,'Таблиця 1'!$E:$E,"ЖС ВЗ",'Таблиця 1'!$L:$L,"Уражено"))</f>
        <v/>
      </c>
      <c r="C410">
        <f>IF($A410="","",COUNTIFS('Таблиця 1'!$B:$B,$A410,'Таблиця 1'!$E:$E,"Арт. Системи",'Таблиця 1'!$L:$L,"Уражено"))</f>
        <v/>
      </c>
      <c r="D410">
        <f>IF($A410="","",COUNTIFS('Таблиця 1'!$B:$B,$A410,'Таблиця 1'!$E:$E,"ОВТ",'Таблиця 1'!$L:$L,"Уражено"))</f>
        <v/>
      </c>
      <c r="E410">
        <f>IF($A410="","",COUNTIFS('Таблиця 1'!$B:$B,$A410,'Таблиця 1'!$E:$E,"ППО",'Таблиця 1'!$L:$L,"Уражено"))</f>
        <v/>
      </c>
      <c r="F410">
        <f>IF($A410="","",COUNTIFS('Таблиця 1'!$B:$B,$A410,'Таблиця 1'!$E:$E,"Рембаза",'Таблиця 1'!$L:$L,"Уражено"))</f>
        <v/>
      </c>
      <c r="G410">
        <f>IF($A410="","",COUNTIFS('Таблиця 1'!$B:$B,$A410,'Таблиця 1'!$E:$E,"Склад БК",'Таблиця 1'!$L:$L,"Уражено"))</f>
        <v/>
      </c>
      <c r="H410">
        <f>IF($A410="","",COUNTIFS('Таблиця 1'!$B:$B,$A410,'Таблиця 1'!$E:$E,"Склад ВТМ",'Таблиця 1'!$L:$L,"Уражено"))</f>
        <v/>
      </c>
      <c r="I410">
        <f>IF($A410="","",COUNTIFS('Таблиця 1'!$B:$B,$A410,'Таблиця 1'!$E:$E,"ПУ БпЛА",'Таблиця 1'!$L:$L,"Уражено"))</f>
        <v/>
      </c>
      <c r="J410">
        <f>IF($A410="","",COUNTIFS('Таблиця 1'!$B:$B,$A410,'Таблиця 1'!$E:$E,"СП",'Таблиця 1'!$L:$L,"Уражено"))</f>
        <v/>
      </c>
      <c r="K410">
        <f>IF($A410="","",COUNTIFS('Таблиця 1'!$B:$B,$A410,'Таблиця 1'!$E:$E,"КСП роти",'Таблиця 1'!$L:$L,"Уражено"))</f>
        <v/>
      </c>
      <c r="L410">
        <f>IF($A410="","",COUNTIFS('Таблиця 1'!$B:$B,$A410,'Таблиця 1'!$E:$E,"ПУ бат",'Таблиця 1'!$L:$L,"Уражено"))</f>
        <v/>
      </c>
      <c r="M410">
        <f>IF($A410="","",COUNTIFS('Таблиця 1'!$B:$B,$A410,'Таблиця 1'!$E:$E,"ПУ бриг",'Таблиця 1'!$L:$L,"Уражено"))</f>
        <v/>
      </c>
      <c r="N410">
        <f>IF($A410="","",COUNTIFS('Таблиця 1'!$B:$B,$A410,'Таблиця 1'!$E:$E,"ПУ див",'Таблиця 1'!$L:$L,"Уражено"))</f>
        <v/>
      </c>
      <c r="O410">
        <f>IF($A410="","",COUNTIFS('Таблиця 1'!$B:$B,$A410,'Таблиця 1'!$E:$E,"обл. РЕБ",'Таблиця 1'!$L:$L,"Уражено"))</f>
        <v/>
      </c>
      <c r="P410">
        <f>IF($A410="","",COUNTIFS('Таблиця 1'!$B:$B,$A410,'Таблиця 1'!$E:$E,"пос РЕБ",'Таблиця 1'!$L:$L,"Уражено"))</f>
        <v/>
      </c>
      <c r="Q410">
        <f>IF($A410="","",COUNTIFS('Таблиця 1'!$B:$B,$A410,'Таблиця 1'!$E:$E,"група РЕР",'Таблиця 1'!$L:$L,"Уражено"))</f>
        <v/>
      </c>
      <c r="R410">
        <f>IF($A410="","",COUNTIFS('Таблиця 1'!$B:$B,$A410,'Таблиця 1'!$E:$E,"РЛС КББ",'Таблиця 1'!$L:$L,"Уражено"))</f>
        <v/>
      </c>
      <c r="S410">
        <f>IF($A410="","",COUNTIFS('Таблиця 1'!$B:$B,$A410,'Таблиця 1'!$E:$E,"Ретранслятор",'Таблиця 1'!$L:$L,"Уражено"))</f>
        <v/>
      </c>
      <c r="T410">
        <f>IF($A410="","",COUNTIFS('Таблиця 1'!$B:$B,$A410,'Таблиця 1'!$E:$E,"Вз.зв'язку",'Таблиця 1'!$L:$L,"Уражено"))</f>
        <v/>
      </c>
      <c r="U410">
        <f>IF($A410="","",COUNTIFS('Таблиця 1'!$B:$B,$A410,'Таблиця 1'!$E:$E,"ПММ",'Таблиця 1'!$L:$L,"Уражено"))</f>
        <v/>
      </c>
      <c r="V410">
        <f>IF($A410="","",COUNTIFS('Таблиця 1'!$B:$B,$A410,'Таблиця 1'!$E:$E,"ІФС",'Таблиця 1'!$L:$L,"Уражено"))</f>
        <v/>
      </c>
      <c r="W410">
        <f>IF($A410="","",COUNTIFS('Таблиця 1'!$B:$B,$A410,'Таблиця 1'!$E:$E,"Інфраструктура",'Таблиця 1'!$L:$L,"Уражено"))</f>
        <v/>
      </c>
      <c r="X410">
        <f>IF($A410="","",SUMIFS('Таблиця 1'!$K:$K,'Таблиця 1'!$B:$B,$A410))</f>
        <v/>
      </c>
    </row>
    <row r="411">
      <c r="A411" s="81">
        <f>IF(A410="","",IF(A410+1&gt;MAX('Таблиця 1'!$B:$B),"",A410+1))</f>
        <v/>
      </c>
      <c r="B411">
        <f>IF($A411="","",COUNTIFS('Таблиця 1'!$B:$B,$A411,'Таблиця 1'!$E:$E,"ЖС ВЗ",'Таблиця 1'!$L:$L,"Уражено"))</f>
        <v/>
      </c>
      <c r="C411">
        <f>IF($A411="","",COUNTIFS('Таблиця 1'!$B:$B,$A411,'Таблиця 1'!$E:$E,"Арт. Системи",'Таблиця 1'!$L:$L,"Уражено"))</f>
        <v/>
      </c>
      <c r="D411">
        <f>IF($A411="","",COUNTIFS('Таблиця 1'!$B:$B,$A411,'Таблиця 1'!$E:$E,"ОВТ",'Таблиця 1'!$L:$L,"Уражено"))</f>
        <v/>
      </c>
      <c r="E411">
        <f>IF($A411="","",COUNTIFS('Таблиця 1'!$B:$B,$A411,'Таблиця 1'!$E:$E,"ППО",'Таблиця 1'!$L:$L,"Уражено"))</f>
        <v/>
      </c>
      <c r="F411">
        <f>IF($A411="","",COUNTIFS('Таблиця 1'!$B:$B,$A411,'Таблиця 1'!$E:$E,"Рембаза",'Таблиця 1'!$L:$L,"Уражено"))</f>
        <v/>
      </c>
      <c r="G411">
        <f>IF($A411="","",COUNTIFS('Таблиця 1'!$B:$B,$A411,'Таблиця 1'!$E:$E,"Склад БК",'Таблиця 1'!$L:$L,"Уражено"))</f>
        <v/>
      </c>
      <c r="H411">
        <f>IF($A411="","",COUNTIFS('Таблиця 1'!$B:$B,$A411,'Таблиця 1'!$E:$E,"Склад ВТМ",'Таблиця 1'!$L:$L,"Уражено"))</f>
        <v/>
      </c>
      <c r="I411">
        <f>IF($A411="","",COUNTIFS('Таблиця 1'!$B:$B,$A411,'Таблиця 1'!$E:$E,"ПУ БпЛА",'Таблиця 1'!$L:$L,"Уражено"))</f>
        <v/>
      </c>
      <c r="J411">
        <f>IF($A411="","",COUNTIFS('Таблиця 1'!$B:$B,$A411,'Таблиця 1'!$E:$E,"СП",'Таблиця 1'!$L:$L,"Уражено"))</f>
        <v/>
      </c>
      <c r="K411">
        <f>IF($A411="","",COUNTIFS('Таблиця 1'!$B:$B,$A411,'Таблиця 1'!$E:$E,"КСП роти",'Таблиця 1'!$L:$L,"Уражено"))</f>
        <v/>
      </c>
      <c r="L411">
        <f>IF($A411="","",COUNTIFS('Таблиця 1'!$B:$B,$A411,'Таблиця 1'!$E:$E,"ПУ бат",'Таблиця 1'!$L:$L,"Уражено"))</f>
        <v/>
      </c>
      <c r="M411">
        <f>IF($A411="","",COUNTIFS('Таблиця 1'!$B:$B,$A411,'Таблиця 1'!$E:$E,"ПУ бриг",'Таблиця 1'!$L:$L,"Уражено"))</f>
        <v/>
      </c>
      <c r="N411">
        <f>IF($A411="","",COUNTIFS('Таблиця 1'!$B:$B,$A411,'Таблиця 1'!$E:$E,"ПУ див",'Таблиця 1'!$L:$L,"Уражено"))</f>
        <v/>
      </c>
      <c r="O411">
        <f>IF($A411="","",COUNTIFS('Таблиця 1'!$B:$B,$A411,'Таблиця 1'!$E:$E,"обл. РЕБ",'Таблиця 1'!$L:$L,"Уражено"))</f>
        <v/>
      </c>
      <c r="P411">
        <f>IF($A411="","",COUNTIFS('Таблиця 1'!$B:$B,$A411,'Таблиця 1'!$E:$E,"пос РЕБ",'Таблиця 1'!$L:$L,"Уражено"))</f>
        <v/>
      </c>
      <c r="Q411">
        <f>IF($A411="","",COUNTIFS('Таблиця 1'!$B:$B,$A411,'Таблиця 1'!$E:$E,"група РЕР",'Таблиця 1'!$L:$L,"Уражено"))</f>
        <v/>
      </c>
      <c r="R411">
        <f>IF($A411="","",COUNTIFS('Таблиця 1'!$B:$B,$A411,'Таблиця 1'!$E:$E,"РЛС КББ",'Таблиця 1'!$L:$L,"Уражено"))</f>
        <v/>
      </c>
      <c r="S411">
        <f>IF($A411="","",COUNTIFS('Таблиця 1'!$B:$B,$A411,'Таблиця 1'!$E:$E,"Ретранслятор",'Таблиця 1'!$L:$L,"Уражено"))</f>
        <v/>
      </c>
      <c r="T411">
        <f>IF($A411="","",COUNTIFS('Таблиця 1'!$B:$B,$A411,'Таблиця 1'!$E:$E,"Вз.зв'язку",'Таблиця 1'!$L:$L,"Уражено"))</f>
        <v/>
      </c>
      <c r="U411">
        <f>IF($A411="","",COUNTIFS('Таблиця 1'!$B:$B,$A411,'Таблиця 1'!$E:$E,"ПММ",'Таблиця 1'!$L:$L,"Уражено"))</f>
        <v/>
      </c>
      <c r="V411">
        <f>IF($A411="","",COUNTIFS('Таблиця 1'!$B:$B,$A411,'Таблиця 1'!$E:$E,"ІФС",'Таблиця 1'!$L:$L,"Уражено"))</f>
        <v/>
      </c>
      <c r="W411">
        <f>IF($A411="","",COUNTIFS('Таблиця 1'!$B:$B,$A411,'Таблиця 1'!$E:$E,"Інфраструктура",'Таблиця 1'!$L:$L,"Уражено"))</f>
        <v/>
      </c>
      <c r="X411">
        <f>IF($A411="","",SUMIFS('Таблиця 1'!$K:$K,'Таблиця 1'!$B:$B,$A411))</f>
        <v/>
      </c>
    </row>
    <row r="412">
      <c r="A412" s="81">
        <f>IF(A411="","",IF(A411+1&gt;MAX('Таблиця 1'!$B:$B),"",A411+1))</f>
        <v/>
      </c>
      <c r="B412">
        <f>IF($A412="","",COUNTIFS('Таблиця 1'!$B:$B,$A412,'Таблиця 1'!$E:$E,"ЖС ВЗ",'Таблиця 1'!$L:$L,"Уражено"))</f>
        <v/>
      </c>
      <c r="C412">
        <f>IF($A412="","",COUNTIFS('Таблиця 1'!$B:$B,$A412,'Таблиця 1'!$E:$E,"Арт. Системи",'Таблиця 1'!$L:$L,"Уражено"))</f>
        <v/>
      </c>
      <c r="D412">
        <f>IF($A412="","",COUNTIFS('Таблиця 1'!$B:$B,$A412,'Таблиця 1'!$E:$E,"ОВТ",'Таблиця 1'!$L:$L,"Уражено"))</f>
        <v/>
      </c>
      <c r="E412">
        <f>IF($A412="","",COUNTIFS('Таблиця 1'!$B:$B,$A412,'Таблиця 1'!$E:$E,"ППО",'Таблиця 1'!$L:$L,"Уражено"))</f>
        <v/>
      </c>
      <c r="F412">
        <f>IF($A412="","",COUNTIFS('Таблиця 1'!$B:$B,$A412,'Таблиця 1'!$E:$E,"Рембаза",'Таблиця 1'!$L:$L,"Уражено"))</f>
        <v/>
      </c>
      <c r="G412">
        <f>IF($A412="","",COUNTIFS('Таблиця 1'!$B:$B,$A412,'Таблиця 1'!$E:$E,"Склад БК",'Таблиця 1'!$L:$L,"Уражено"))</f>
        <v/>
      </c>
      <c r="H412">
        <f>IF($A412="","",COUNTIFS('Таблиця 1'!$B:$B,$A412,'Таблиця 1'!$E:$E,"Склад ВТМ",'Таблиця 1'!$L:$L,"Уражено"))</f>
        <v/>
      </c>
      <c r="I412">
        <f>IF($A412="","",COUNTIFS('Таблиця 1'!$B:$B,$A412,'Таблиця 1'!$E:$E,"ПУ БпЛА",'Таблиця 1'!$L:$L,"Уражено"))</f>
        <v/>
      </c>
      <c r="J412">
        <f>IF($A412="","",COUNTIFS('Таблиця 1'!$B:$B,$A412,'Таблиця 1'!$E:$E,"СП",'Таблиця 1'!$L:$L,"Уражено"))</f>
        <v/>
      </c>
      <c r="K412">
        <f>IF($A412="","",COUNTIFS('Таблиця 1'!$B:$B,$A412,'Таблиця 1'!$E:$E,"КСП роти",'Таблиця 1'!$L:$L,"Уражено"))</f>
        <v/>
      </c>
      <c r="L412">
        <f>IF($A412="","",COUNTIFS('Таблиця 1'!$B:$B,$A412,'Таблиця 1'!$E:$E,"ПУ бат",'Таблиця 1'!$L:$L,"Уражено"))</f>
        <v/>
      </c>
      <c r="M412">
        <f>IF($A412="","",COUNTIFS('Таблиця 1'!$B:$B,$A412,'Таблиця 1'!$E:$E,"ПУ бриг",'Таблиця 1'!$L:$L,"Уражено"))</f>
        <v/>
      </c>
      <c r="N412">
        <f>IF($A412="","",COUNTIFS('Таблиця 1'!$B:$B,$A412,'Таблиця 1'!$E:$E,"ПУ див",'Таблиця 1'!$L:$L,"Уражено"))</f>
        <v/>
      </c>
      <c r="O412">
        <f>IF($A412="","",COUNTIFS('Таблиця 1'!$B:$B,$A412,'Таблиця 1'!$E:$E,"обл. РЕБ",'Таблиця 1'!$L:$L,"Уражено"))</f>
        <v/>
      </c>
      <c r="P412">
        <f>IF($A412="","",COUNTIFS('Таблиця 1'!$B:$B,$A412,'Таблиця 1'!$E:$E,"пос РЕБ",'Таблиця 1'!$L:$L,"Уражено"))</f>
        <v/>
      </c>
      <c r="Q412">
        <f>IF($A412="","",COUNTIFS('Таблиця 1'!$B:$B,$A412,'Таблиця 1'!$E:$E,"група РЕР",'Таблиця 1'!$L:$L,"Уражено"))</f>
        <v/>
      </c>
      <c r="R412">
        <f>IF($A412="","",COUNTIFS('Таблиця 1'!$B:$B,$A412,'Таблиця 1'!$E:$E,"РЛС КББ",'Таблиця 1'!$L:$L,"Уражено"))</f>
        <v/>
      </c>
      <c r="S412">
        <f>IF($A412="","",COUNTIFS('Таблиця 1'!$B:$B,$A412,'Таблиця 1'!$E:$E,"Ретранслятор",'Таблиця 1'!$L:$L,"Уражено"))</f>
        <v/>
      </c>
      <c r="T412">
        <f>IF($A412="","",COUNTIFS('Таблиця 1'!$B:$B,$A412,'Таблиця 1'!$E:$E,"Вз.зв'язку",'Таблиця 1'!$L:$L,"Уражено"))</f>
        <v/>
      </c>
      <c r="U412">
        <f>IF($A412="","",COUNTIFS('Таблиця 1'!$B:$B,$A412,'Таблиця 1'!$E:$E,"ПММ",'Таблиця 1'!$L:$L,"Уражено"))</f>
        <v/>
      </c>
      <c r="V412">
        <f>IF($A412="","",COUNTIFS('Таблиця 1'!$B:$B,$A412,'Таблиця 1'!$E:$E,"ІФС",'Таблиця 1'!$L:$L,"Уражено"))</f>
        <v/>
      </c>
      <c r="W412">
        <f>IF($A412="","",COUNTIFS('Таблиця 1'!$B:$B,$A412,'Таблиця 1'!$E:$E,"Інфраструктура",'Таблиця 1'!$L:$L,"Уражено"))</f>
        <v/>
      </c>
      <c r="X412">
        <f>IF($A412="","",SUMIFS('Таблиця 1'!$K:$K,'Таблиця 1'!$B:$B,$A412))</f>
        <v/>
      </c>
    </row>
    <row r="413">
      <c r="A413" s="81">
        <f>IF(A412="","",IF(A412+1&gt;MAX('Таблиця 1'!$B:$B),"",A412+1))</f>
        <v/>
      </c>
      <c r="B413">
        <f>IF($A413="","",COUNTIFS('Таблиця 1'!$B:$B,$A413,'Таблиця 1'!$E:$E,"ЖС ВЗ",'Таблиця 1'!$L:$L,"Уражено"))</f>
        <v/>
      </c>
      <c r="C413">
        <f>IF($A413="","",COUNTIFS('Таблиця 1'!$B:$B,$A413,'Таблиця 1'!$E:$E,"Арт. Системи",'Таблиця 1'!$L:$L,"Уражено"))</f>
        <v/>
      </c>
      <c r="D413">
        <f>IF($A413="","",COUNTIFS('Таблиця 1'!$B:$B,$A413,'Таблиця 1'!$E:$E,"ОВТ",'Таблиця 1'!$L:$L,"Уражено"))</f>
        <v/>
      </c>
      <c r="E413">
        <f>IF($A413="","",COUNTIFS('Таблиця 1'!$B:$B,$A413,'Таблиця 1'!$E:$E,"ППО",'Таблиця 1'!$L:$L,"Уражено"))</f>
        <v/>
      </c>
      <c r="F413">
        <f>IF($A413="","",COUNTIFS('Таблиця 1'!$B:$B,$A413,'Таблиця 1'!$E:$E,"Рембаза",'Таблиця 1'!$L:$L,"Уражено"))</f>
        <v/>
      </c>
      <c r="G413">
        <f>IF($A413="","",COUNTIFS('Таблиця 1'!$B:$B,$A413,'Таблиця 1'!$E:$E,"Склад БК",'Таблиця 1'!$L:$L,"Уражено"))</f>
        <v/>
      </c>
      <c r="H413">
        <f>IF($A413="","",COUNTIFS('Таблиця 1'!$B:$B,$A413,'Таблиця 1'!$E:$E,"Склад ВТМ",'Таблиця 1'!$L:$L,"Уражено"))</f>
        <v/>
      </c>
      <c r="I413">
        <f>IF($A413="","",COUNTIFS('Таблиця 1'!$B:$B,$A413,'Таблиця 1'!$E:$E,"ПУ БпЛА",'Таблиця 1'!$L:$L,"Уражено"))</f>
        <v/>
      </c>
      <c r="J413">
        <f>IF($A413="","",COUNTIFS('Таблиця 1'!$B:$B,$A413,'Таблиця 1'!$E:$E,"СП",'Таблиця 1'!$L:$L,"Уражено"))</f>
        <v/>
      </c>
      <c r="K413">
        <f>IF($A413="","",COUNTIFS('Таблиця 1'!$B:$B,$A413,'Таблиця 1'!$E:$E,"КСП роти",'Таблиця 1'!$L:$L,"Уражено"))</f>
        <v/>
      </c>
      <c r="L413">
        <f>IF($A413="","",COUNTIFS('Таблиця 1'!$B:$B,$A413,'Таблиця 1'!$E:$E,"ПУ бат",'Таблиця 1'!$L:$L,"Уражено"))</f>
        <v/>
      </c>
      <c r="M413">
        <f>IF($A413="","",COUNTIFS('Таблиця 1'!$B:$B,$A413,'Таблиця 1'!$E:$E,"ПУ бриг",'Таблиця 1'!$L:$L,"Уражено"))</f>
        <v/>
      </c>
      <c r="N413">
        <f>IF($A413="","",COUNTIFS('Таблиця 1'!$B:$B,$A413,'Таблиця 1'!$E:$E,"ПУ див",'Таблиця 1'!$L:$L,"Уражено"))</f>
        <v/>
      </c>
      <c r="O413">
        <f>IF($A413="","",COUNTIFS('Таблиця 1'!$B:$B,$A413,'Таблиця 1'!$E:$E,"обл. РЕБ",'Таблиця 1'!$L:$L,"Уражено"))</f>
        <v/>
      </c>
      <c r="P413">
        <f>IF($A413="","",COUNTIFS('Таблиця 1'!$B:$B,$A413,'Таблиця 1'!$E:$E,"пос РЕБ",'Таблиця 1'!$L:$L,"Уражено"))</f>
        <v/>
      </c>
      <c r="Q413">
        <f>IF($A413="","",COUNTIFS('Таблиця 1'!$B:$B,$A413,'Таблиця 1'!$E:$E,"група РЕР",'Таблиця 1'!$L:$L,"Уражено"))</f>
        <v/>
      </c>
      <c r="R413">
        <f>IF($A413="","",COUNTIFS('Таблиця 1'!$B:$B,$A413,'Таблиця 1'!$E:$E,"РЛС КББ",'Таблиця 1'!$L:$L,"Уражено"))</f>
        <v/>
      </c>
      <c r="S413">
        <f>IF($A413="","",COUNTIFS('Таблиця 1'!$B:$B,$A413,'Таблиця 1'!$E:$E,"Ретранслятор",'Таблиця 1'!$L:$L,"Уражено"))</f>
        <v/>
      </c>
      <c r="T413">
        <f>IF($A413="","",COUNTIFS('Таблиця 1'!$B:$B,$A413,'Таблиця 1'!$E:$E,"Вз.зв'язку",'Таблиця 1'!$L:$L,"Уражено"))</f>
        <v/>
      </c>
      <c r="U413">
        <f>IF($A413="","",COUNTIFS('Таблиця 1'!$B:$B,$A413,'Таблиця 1'!$E:$E,"ПММ",'Таблиця 1'!$L:$L,"Уражено"))</f>
        <v/>
      </c>
      <c r="V413">
        <f>IF($A413="","",COUNTIFS('Таблиця 1'!$B:$B,$A413,'Таблиця 1'!$E:$E,"ІФС",'Таблиця 1'!$L:$L,"Уражено"))</f>
        <v/>
      </c>
      <c r="W413">
        <f>IF($A413="","",COUNTIFS('Таблиця 1'!$B:$B,$A413,'Таблиця 1'!$E:$E,"Інфраструктура",'Таблиця 1'!$L:$L,"Уражено"))</f>
        <v/>
      </c>
      <c r="X413">
        <f>IF($A413="","",SUMIFS('Таблиця 1'!$K:$K,'Таблиця 1'!$B:$B,$A413))</f>
        <v/>
      </c>
    </row>
    <row r="414">
      <c r="A414" s="81">
        <f>IF(A413="","",IF(A413+1&gt;MAX('Таблиця 1'!$B:$B),"",A413+1))</f>
        <v/>
      </c>
      <c r="B414">
        <f>IF($A414="","",COUNTIFS('Таблиця 1'!$B:$B,$A414,'Таблиця 1'!$E:$E,"ЖС ВЗ",'Таблиця 1'!$L:$L,"Уражено"))</f>
        <v/>
      </c>
      <c r="C414">
        <f>IF($A414="","",COUNTIFS('Таблиця 1'!$B:$B,$A414,'Таблиця 1'!$E:$E,"Арт. Системи",'Таблиця 1'!$L:$L,"Уражено"))</f>
        <v/>
      </c>
      <c r="D414">
        <f>IF($A414="","",COUNTIFS('Таблиця 1'!$B:$B,$A414,'Таблиця 1'!$E:$E,"ОВТ",'Таблиця 1'!$L:$L,"Уражено"))</f>
        <v/>
      </c>
      <c r="E414">
        <f>IF($A414="","",COUNTIFS('Таблиця 1'!$B:$B,$A414,'Таблиця 1'!$E:$E,"ППО",'Таблиця 1'!$L:$L,"Уражено"))</f>
        <v/>
      </c>
      <c r="F414">
        <f>IF($A414="","",COUNTIFS('Таблиця 1'!$B:$B,$A414,'Таблиця 1'!$E:$E,"Рембаза",'Таблиця 1'!$L:$L,"Уражено"))</f>
        <v/>
      </c>
      <c r="G414">
        <f>IF($A414="","",COUNTIFS('Таблиця 1'!$B:$B,$A414,'Таблиця 1'!$E:$E,"Склад БК",'Таблиця 1'!$L:$L,"Уражено"))</f>
        <v/>
      </c>
      <c r="H414">
        <f>IF($A414="","",COUNTIFS('Таблиця 1'!$B:$B,$A414,'Таблиця 1'!$E:$E,"Склад ВТМ",'Таблиця 1'!$L:$L,"Уражено"))</f>
        <v/>
      </c>
      <c r="I414">
        <f>IF($A414="","",COUNTIFS('Таблиця 1'!$B:$B,$A414,'Таблиця 1'!$E:$E,"ПУ БпЛА",'Таблиця 1'!$L:$L,"Уражено"))</f>
        <v/>
      </c>
      <c r="J414">
        <f>IF($A414="","",COUNTIFS('Таблиця 1'!$B:$B,$A414,'Таблиця 1'!$E:$E,"СП",'Таблиця 1'!$L:$L,"Уражено"))</f>
        <v/>
      </c>
      <c r="K414">
        <f>IF($A414="","",COUNTIFS('Таблиця 1'!$B:$B,$A414,'Таблиця 1'!$E:$E,"КСП роти",'Таблиця 1'!$L:$L,"Уражено"))</f>
        <v/>
      </c>
      <c r="L414">
        <f>IF($A414="","",COUNTIFS('Таблиця 1'!$B:$B,$A414,'Таблиця 1'!$E:$E,"ПУ бат",'Таблиця 1'!$L:$L,"Уражено"))</f>
        <v/>
      </c>
      <c r="M414">
        <f>IF($A414="","",COUNTIFS('Таблиця 1'!$B:$B,$A414,'Таблиця 1'!$E:$E,"ПУ бриг",'Таблиця 1'!$L:$L,"Уражено"))</f>
        <v/>
      </c>
      <c r="N414">
        <f>IF($A414="","",COUNTIFS('Таблиця 1'!$B:$B,$A414,'Таблиця 1'!$E:$E,"ПУ див",'Таблиця 1'!$L:$L,"Уражено"))</f>
        <v/>
      </c>
      <c r="O414">
        <f>IF($A414="","",COUNTIFS('Таблиця 1'!$B:$B,$A414,'Таблиця 1'!$E:$E,"обл. РЕБ",'Таблиця 1'!$L:$L,"Уражено"))</f>
        <v/>
      </c>
      <c r="P414">
        <f>IF($A414="","",COUNTIFS('Таблиця 1'!$B:$B,$A414,'Таблиця 1'!$E:$E,"пос РЕБ",'Таблиця 1'!$L:$L,"Уражено"))</f>
        <v/>
      </c>
      <c r="Q414">
        <f>IF($A414="","",COUNTIFS('Таблиця 1'!$B:$B,$A414,'Таблиця 1'!$E:$E,"група РЕР",'Таблиця 1'!$L:$L,"Уражено"))</f>
        <v/>
      </c>
      <c r="R414">
        <f>IF($A414="","",COUNTIFS('Таблиця 1'!$B:$B,$A414,'Таблиця 1'!$E:$E,"РЛС КББ",'Таблиця 1'!$L:$L,"Уражено"))</f>
        <v/>
      </c>
      <c r="S414">
        <f>IF($A414="","",COUNTIFS('Таблиця 1'!$B:$B,$A414,'Таблиця 1'!$E:$E,"Ретранслятор",'Таблиця 1'!$L:$L,"Уражено"))</f>
        <v/>
      </c>
      <c r="T414">
        <f>IF($A414="","",COUNTIFS('Таблиця 1'!$B:$B,$A414,'Таблиця 1'!$E:$E,"Вз.зв'язку",'Таблиця 1'!$L:$L,"Уражено"))</f>
        <v/>
      </c>
      <c r="U414">
        <f>IF($A414="","",COUNTIFS('Таблиця 1'!$B:$B,$A414,'Таблиця 1'!$E:$E,"ПММ",'Таблиця 1'!$L:$L,"Уражено"))</f>
        <v/>
      </c>
      <c r="V414">
        <f>IF($A414="","",COUNTIFS('Таблиця 1'!$B:$B,$A414,'Таблиця 1'!$E:$E,"ІФС",'Таблиця 1'!$L:$L,"Уражено"))</f>
        <v/>
      </c>
      <c r="W414">
        <f>IF($A414="","",COUNTIFS('Таблиця 1'!$B:$B,$A414,'Таблиця 1'!$E:$E,"Інфраструктура",'Таблиця 1'!$L:$L,"Уражено"))</f>
        <v/>
      </c>
      <c r="X414">
        <f>IF($A414="","",SUMIFS('Таблиця 1'!$K:$K,'Таблиця 1'!$B:$B,$A414))</f>
        <v/>
      </c>
    </row>
    <row r="415">
      <c r="A415" s="81">
        <f>IF(A414="","",IF(A414+1&gt;MAX('Таблиця 1'!$B:$B),"",A414+1))</f>
        <v/>
      </c>
      <c r="B415">
        <f>IF($A415="","",COUNTIFS('Таблиця 1'!$B:$B,$A415,'Таблиця 1'!$E:$E,"ЖС ВЗ",'Таблиця 1'!$L:$L,"Уражено"))</f>
        <v/>
      </c>
      <c r="C415">
        <f>IF($A415="","",COUNTIFS('Таблиця 1'!$B:$B,$A415,'Таблиця 1'!$E:$E,"Арт. Системи",'Таблиця 1'!$L:$L,"Уражено"))</f>
        <v/>
      </c>
      <c r="D415">
        <f>IF($A415="","",COUNTIFS('Таблиця 1'!$B:$B,$A415,'Таблиця 1'!$E:$E,"ОВТ",'Таблиця 1'!$L:$L,"Уражено"))</f>
        <v/>
      </c>
      <c r="E415">
        <f>IF($A415="","",COUNTIFS('Таблиця 1'!$B:$B,$A415,'Таблиця 1'!$E:$E,"ППО",'Таблиця 1'!$L:$L,"Уражено"))</f>
        <v/>
      </c>
      <c r="F415">
        <f>IF($A415="","",COUNTIFS('Таблиця 1'!$B:$B,$A415,'Таблиця 1'!$E:$E,"Рембаза",'Таблиця 1'!$L:$L,"Уражено"))</f>
        <v/>
      </c>
      <c r="G415">
        <f>IF($A415="","",COUNTIFS('Таблиця 1'!$B:$B,$A415,'Таблиця 1'!$E:$E,"Склад БК",'Таблиця 1'!$L:$L,"Уражено"))</f>
        <v/>
      </c>
      <c r="H415">
        <f>IF($A415="","",COUNTIFS('Таблиця 1'!$B:$B,$A415,'Таблиця 1'!$E:$E,"Склад ВТМ",'Таблиця 1'!$L:$L,"Уражено"))</f>
        <v/>
      </c>
      <c r="I415">
        <f>IF($A415="","",COUNTIFS('Таблиця 1'!$B:$B,$A415,'Таблиця 1'!$E:$E,"ПУ БпЛА",'Таблиця 1'!$L:$L,"Уражено"))</f>
        <v/>
      </c>
      <c r="J415">
        <f>IF($A415="","",COUNTIFS('Таблиця 1'!$B:$B,$A415,'Таблиця 1'!$E:$E,"СП",'Таблиця 1'!$L:$L,"Уражено"))</f>
        <v/>
      </c>
      <c r="K415">
        <f>IF($A415="","",COUNTIFS('Таблиця 1'!$B:$B,$A415,'Таблиця 1'!$E:$E,"КСП роти",'Таблиця 1'!$L:$L,"Уражено"))</f>
        <v/>
      </c>
      <c r="L415">
        <f>IF($A415="","",COUNTIFS('Таблиця 1'!$B:$B,$A415,'Таблиця 1'!$E:$E,"ПУ бат",'Таблиця 1'!$L:$L,"Уражено"))</f>
        <v/>
      </c>
      <c r="M415">
        <f>IF($A415="","",COUNTIFS('Таблиця 1'!$B:$B,$A415,'Таблиця 1'!$E:$E,"ПУ бриг",'Таблиця 1'!$L:$L,"Уражено"))</f>
        <v/>
      </c>
      <c r="N415">
        <f>IF($A415="","",COUNTIFS('Таблиця 1'!$B:$B,$A415,'Таблиця 1'!$E:$E,"ПУ див",'Таблиця 1'!$L:$L,"Уражено"))</f>
        <v/>
      </c>
      <c r="O415">
        <f>IF($A415="","",COUNTIFS('Таблиця 1'!$B:$B,$A415,'Таблиця 1'!$E:$E,"обл. РЕБ",'Таблиця 1'!$L:$L,"Уражено"))</f>
        <v/>
      </c>
      <c r="P415">
        <f>IF($A415="","",COUNTIFS('Таблиця 1'!$B:$B,$A415,'Таблиця 1'!$E:$E,"пос РЕБ",'Таблиця 1'!$L:$L,"Уражено"))</f>
        <v/>
      </c>
      <c r="Q415">
        <f>IF($A415="","",COUNTIFS('Таблиця 1'!$B:$B,$A415,'Таблиця 1'!$E:$E,"група РЕР",'Таблиця 1'!$L:$L,"Уражено"))</f>
        <v/>
      </c>
      <c r="R415">
        <f>IF($A415="","",COUNTIFS('Таблиця 1'!$B:$B,$A415,'Таблиця 1'!$E:$E,"РЛС КББ",'Таблиця 1'!$L:$L,"Уражено"))</f>
        <v/>
      </c>
      <c r="S415">
        <f>IF($A415="","",COUNTIFS('Таблиця 1'!$B:$B,$A415,'Таблиця 1'!$E:$E,"Ретранслятор",'Таблиця 1'!$L:$L,"Уражено"))</f>
        <v/>
      </c>
      <c r="T415">
        <f>IF($A415="","",COUNTIFS('Таблиця 1'!$B:$B,$A415,'Таблиця 1'!$E:$E,"Вз.зв'язку",'Таблиця 1'!$L:$L,"Уражено"))</f>
        <v/>
      </c>
      <c r="U415">
        <f>IF($A415="","",COUNTIFS('Таблиця 1'!$B:$B,$A415,'Таблиця 1'!$E:$E,"ПММ",'Таблиця 1'!$L:$L,"Уражено"))</f>
        <v/>
      </c>
      <c r="V415">
        <f>IF($A415="","",COUNTIFS('Таблиця 1'!$B:$B,$A415,'Таблиця 1'!$E:$E,"ІФС",'Таблиця 1'!$L:$L,"Уражено"))</f>
        <v/>
      </c>
      <c r="W415">
        <f>IF($A415="","",COUNTIFS('Таблиця 1'!$B:$B,$A415,'Таблиця 1'!$E:$E,"Інфраструктура",'Таблиця 1'!$L:$L,"Уражено"))</f>
        <v/>
      </c>
      <c r="X415">
        <f>IF($A415="","",SUMIFS('Таблиця 1'!$K:$K,'Таблиця 1'!$B:$B,$A415))</f>
        <v/>
      </c>
    </row>
    <row r="416">
      <c r="A416" s="81">
        <f>IF(A415="","",IF(A415+1&gt;MAX('Таблиця 1'!$B:$B),"",A415+1))</f>
        <v/>
      </c>
      <c r="B416">
        <f>IF($A416="","",COUNTIFS('Таблиця 1'!$B:$B,$A416,'Таблиця 1'!$E:$E,"ЖС ВЗ",'Таблиця 1'!$L:$L,"Уражено"))</f>
        <v/>
      </c>
      <c r="C416">
        <f>IF($A416="","",COUNTIFS('Таблиця 1'!$B:$B,$A416,'Таблиця 1'!$E:$E,"Арт. Системи",'Таблиця 1'!$L:$L,"Уражено"))</f>
        <v/>
      </c>
      <c r="D416">
        <f>IF($A416="","",COUNTIFS('Таблиця 1'!$B:$B,$A416,'Таблиця 1'!$E:$E,"ОВТ",'Таблиця 1'!$L:$L,"Уражено"))</f>
        <v/>
      </c>
      <c r="E416">
        <f>IF($A416="","",COUNTIFS('Таблиця 1'!$B:$B,$A416,'Таблиця 1'!$E:$E,"ППО",'Таблиця 1'!$L:$L,"Уражено"))</f>
        <v/>
      </c>
      <c r="F416">
        <f>IF($A416="","",COUNTIFS('Таблиця 1'!$B:$B,$A416,'Таблиця 1'!$E:$E,"Рембаза",'Таблиця 1'!$L:$L,"Уражено"))</f>
        <v/>
      </c>
      <c r="G416">
        <f>IF($A416="","",COUNTIFS('Таблиця 1'!$B:$B,$A416,'Таблиця 1'!$E:$E,"Склад БК",'Таблиця 1'!$L:$L,"Уражено"))</f>
        <v/>
      </c>
      <c r="H416">
        <f>IF($A416="","",COUNTIFS('Таблиця 1'!$B:$B,$A416,'Таблиця 1'!$E:$E,"Склад ВТМ",'Таблиця 1'!$L:$L,"Уражено"))</f>
        <v/>
      </c>
      <c r="I416">
        <f>IF($A416="","",COUNTIFS('Таблиця 1'!$B:$B,$A416,'Таблиця 1'!$E:$E,"ПУ БпЛА",'Таблиця 1'!$L:$L,"Уражено"))</f>
        <v/>
      </c>
      <c r="J416">
        <f>IF($A416="","",COUNTIFS('Таблиця 1'!$B:$B,$A416,'Таблиця 1'!$E:$E,"СП",'Таблиця 1'!$L:$L,"Уражено"))</f>
        <v/>
      </c>
      <c r="K416">
        <f>IF($A416="","",COUNTIFS('Таблиця 1'!$B:$B,$A416,'Таблиця 1'!$E:$E,"КСП роти",'Таблиця 1'!$L:$L,"Уражено"))</f>
        <v/>
      </c>
      <c r="L416">
        <f>IF($A416="","",COUNTIFS('Таблиця 1'!$B:$B,$A416,'Таблиця 1'!$E:$E,"ПУ бат",'Таблиця 1'!$L:$L,"Уражено"))</f>
        <v/>
      </c>
      <c r="M416">
        <f>IF($A416="","",COUNTIFS('Таблиця 1'!$B:$B,$A416,'Таблиця 1'!$E:$E,"ПУ бриг",'Таблиця 1'!$L:$L,"Уражено"))</f>
        <v/>
      </c>
      <c r="N416">
        <f>IF($A416="","",COUNTIFS('Таблиця 1'!$B:$B,$A416,'Таблиця 1'!$E:$E,"ПУ див",'Таблиця 1'!$L:$L,"Уражено"))</f>
        <v/>
      </c>
      <c r="O416">
        <f>IF($A416="","",COUNTIFS('Таблиця 1'!$B:$B,$A416,'Таблиця 1'!$E:$E,"обл. РЕБ",'Таблиця 1'!$L:$L,"Уражено"))</f>
        <v/>
      </c>
      <c r="P416">
        <f>IF($A416="","",COUNTIFS('Таблиця 1'!$B:$B,$A416,'Таблиця 1'!$E:$E,"пос РЕБ",'Таблиця 1'!$L:$L,"Уражено"))</f>
        <v/>
      </c>
      <c r="Q416">
        <f>IF($A416="","",COUNTIFS('Таблиця 1'!$B:$B,$A416,'Таблиця 1'!$E:$E,"група РЕР",'Таблиця 1'!$L:$L,"Уражено"))</f>
        <v/>
      </c>
      <c r="R416">
        <f>IF($A416="","",COUNTIFS('Таблиця 1'!$B:$B,$A416,'Таблиця 1'!$E:$E,"РЛС КББ",'Таблиця 1'!$L:$L,"Уражено"))</f>
        <v/>
      </c>
      <c r="S416">
        <f>IF($A416="","",COUNTIFS('Таблиця 1'!$B:$B,$A416,'Таблиця 1'!$E:$E,"Ретранслятор",'Таблиця 1'!$L:$L,"Уражено"))</f>
        <v/>
      </c>
      <c r="T416">
        <f>IF($A416="","",COUNTIFS('Таблиця 1'!$B:$B,$A416,'Таблиця 1'!$E:$E,"Вз.зв'язку",'Таблиця 1'!$L:$L,"Уражено"))</f>
        <v/>
      </c>
      <c r="U416">
        <f>IF($A416="","",COUNTIFS('Таблиця 1'!$B:$B,$A416,'Таблиця 1'!$E:$E,"ПММ",'Таблиця 1'!$L:$L,"Уражено"))</f>
        <v/>
      </c>
      <c r="V416">
        <f>IF($A416="","",COUNTIFS('Таблиця 1'!$B:$B,$A416,'Таблиця 1'!$E:$E,"ІФС",'Таблиця 1'!$L:$L,"Уражено"))</f>
        <v/>
      </c>
      <c r="W416">
        <f>IF($A416="","",COUNTIFS('Таблиця 1'!$B:$B,$A416,'Таблиця 1'!$E:$E,"Інфраструктура",'Таблиця 1'!$L:$L,"Уражено"))</f>
        <v/>
      </c>
      <c r="X416">
        <f>IF($A416="","",SUMIFS('Таблиця 1'!$K:$K,'Таблиця 1'!$B:$B,$A416))</f>
        <v/>
      </c>
    </row>
    <row r="417">
      <c r="A417" s="81">
        <f>IF(A416="","",IF(A416+1&gt;MAX('Таблиця 1'!$B:$B),"",A416+1))</f>
        <v/>
      </c>
      <c r="B417">
        <f>IF($A417="","",COUNTIFS('Таблиця 1'!$B:$B,$A417,'Таблиця 1'!$E:$E,"ЖС ВЗ",'Таблиця 1'!$L:$L,"Уражено"))</f>
        <v/>
      </c>
      <c r="C417">
        <f>IF($A417="","",COUNTIFS('Таблиця 1'!$B:$B,$A417,'Таблиця 1'!$E:$E,"Арт. Системи",'Таблиця 1'!$L:$L,"Уражено"))</f>
        <v/>
      </c>
      <c r="D417">
        <f>IF($A417="","",COUNTIFS('Таблиця 1'!$B:$B,$A417,'Таблиця 1'!$E:$E,"ОВТ",'Таблиця 1'!$L:$L,"Уражено"))</f>
        <v/>
      </c>
      <c r="E417">
        <f>IF($A417="","",COUNTIFS('Таблиця 1'!$B:$B,$A417,'Таблиця 1'!$E:$E,"ППО",'Таблиця 1'!$L:$L,"Уражено"))</f>
        <v/>
      </c>
      <c r="F417">
        <f>IF($A417="","",COUNTIFS('Таблиця 1'!$B:$B,$A417,'Таблиця 1'!$E:$E,"Рембаза",'Таблиця 1'!$L:$L,"Уражено"))</f>
        <v/>
      </c>
      <c r="G417">
        <f>IF($A417="","",COUNTIFS('Таблиця 1'!$B:$B,$A417,'Таблиця 1'!$E:$E,"Склад БК",'Таблиця 1'!$L:$L,"Уражено"))</f>
        <v/>
      </c>
      <c r="H417">
        <f>IF($A417="","",COUNTIFS('Таблиця 1'!$B:$B,$A417,'Таблиця 1'!$E:$E,"Склад ВТМ",'Таблиця 1'!$L:$L,"Уражено"))</f>
        <v/>
      </c>
      <c r="I417">
        <f>IF($A417="","",COUNTIFS('Таблиця 1'!$B:$B,$A417,'Таблиця 1'!$E:$E,"ПУ БпЛА",'Таблиця 1'!$L:$L,"Уражено"))</f>
        <v/>
      </c>
      <c r="J417">
        <f>IF($A417="","",COUNTIFS('Таблиця 1'!$B:$B,$A417,'Таблиця 1'!$E:$E,"СП",'Таблиця 1'!$L:$L,"Уражено"))</f>
        <v/>
      </c>
      <c r="K417">
        <f>IF($A417="","",COUNTIFS('Таблиця 1'!$B:$B,$A417,'Таблиця 1'!$E:$E,"КСП роти",'Таблиця 1'!$L:$L,"Уражено"))</f>
        <v/>
      </c>
      <c r="L417">
        <f>IF($A417="","",COUNTIFS('Таблиця 1'!$B:$B,$A417,'Таблиця 1'!$E:$E,"ПУ бат",'Таблиця 1'!$L:$L,"Уражено"))</f>
        <v/>
      </c>
      <c r="M417">
        <f>IF($A417="","",COUNTIFS('Таблиця 1'!$B:$B,$A417,'Таблиця 1'!$E:$E,"ПУ бриг",'Таблиця 1'!$L:$L,"Уражено"))</f>
        <v/>
      </c>
      <c r="N417">
        <f>IF($A417="","",COUNTIFS('Таблиця 1'!$B:$B,$A417,'Таблиця 1'!$E:$E,"ПУ див",'Таблиця 1'!$L:$L,"Уражено"))</f>
        <v/>
      </c>
      <c r="O417">
        <f>IF($A417="","",COUNTIFS('Таблиця 1'!$B:$B,$A417,'Таблиця 1'!$E:$E,"обл. РЕБ",'Таблиця 1'!$L:$L,"Уражено"))</f>
        <v/>
      </c>
      <c r="P417">
        <f>IF($A417="","",COUNTIFS('Таблиця 1'!$B:$B,$A417,'Таблиця 1'!$E:$E,"пос РЕБ",'Таблиця 1'!$L:$L,"Уражено"))</f>
        <v/>
      </c>
      <c r="Q417">
        <f>IF($A417="","",COUNTIFS('Таблиця 1'!$B:$B,$A417,'Таблиця 1'!$E:$E,"група РЕР",'Таблиця 1'!$L:$L,"Уражено"))</f>
        <v/>
      </c>
      <c r="R417">
        <f>IF($A417="","",COUNTIFS('Таблиця 1'!$B:$B,$A417,'Таблиця 1'!$E:$E,"РЛС КББ",'Таблиця 1'!$L:$L,"Уражено"))</f>
        <v/>
      </c>
      <c r="S417">
        <f>IF($A417="","",COUNTIFS('Таблиця 1'!$B:$B,$A417,'Таблиця 1'!$E:$E,"Ретранслятор",'Таблиця 1'!$L:$L,"Уражено"))</f>
        <v/>
      </c>
      <c r="T417">
        <f>IF($A417="","",COUNTIFS('Таблиця 1'!$B:$B,$A417,'Таблиця 1'!$E:$E,"Вз.зв'язку",'Таблиця 1'!$L:$L,"Уражено"))</f>
        <v/>
      </c>
      <c r="U417">
        <f>IF($A417="","",COUNTIFS('Таблиця 1'!$B:$B,$A417,'Таблиця 1'!$E:$E,"ПММ",'Таблиця 1'!$L:$L,"Уражено"))</f>
        <v/>
      </c>
      <c r="V417">
        <f>IF($A417="","",COUNTIFS('Таблиця 1'!$B:$B,$A417,'Таблиця 1'!$E:$E,"ІФС",'Таблиця 1'!$L:$L,"Уражено"))</f>
        <v/>
      </c>
      <c r="W417">
        <f>IF($A417="","",COUNTIFS('Таблиця 1'!$B:$B,$A417,'Таблиця 1'!$E:$E,"Інфраструктура",'Таблиця 1'!$L:$L,"Уражено"))</f>
        <v/>
      </c>
      <c r="X417">
        <f>IF($A417="","",SUMIFS('Таблиця 1'!$K:$K,'Таблиця 1'!$B:$B,$A417))</f>
        <v/>
      </c>
    </row>
    <row r="418">
      <c r="A418" s="81">
        <f>IF(A417="","",IF(A417+1&gt;MAX('Таблиця 1'!$B:$B),"",A417+1))</f>
        <v/>
      </c>
      <c r="B418">
        <f>IF($A418="","",COUNTIFS('Таблиця 1'!$B:$B,$A418,'Таблиця 1'!$E:$E,"ЖС ВЗ",'Таблиця 1'!$L:$L,"Уражено"))</f>
        <v/>
      </c>
      <c r="C418">
        <f>IF($A418="","",COUNTIFS('Таблиця 1'!$B:$B,$A418,'Таблиця 1'!$E:$E,"Арт. Системи",'Таблиця 1'!$L:$L,"Уражено"))</f>
        <v/>
      </c>
      <c r="D418">
        <f>IF($A418="","",COUNTIFS('Таблиця 1'!$B:$B,$A418,'Таблиця 1'!$E:$E,"ОВТ",'Таблиця 1'!$L:$L,"Уражено"))</f>
        <v/>
      </c>
      <c r="E418">
        <f>IF($A418="","",COUNTIFS('Таблиця 1'!$B:$B,$A418,'Таблиця 1'!$E:$E,"ППО",'Таблиця 1'!$L:$L,"Уражено"))</f>
        <v/>
      </c>
      <c r="F418">
        <f>IF($A418="","",COUNTIFS('Таблиця 1'!$B:$B,$A418,'Таблиця 1'!$E:$E,"Рембаза",'Таблиця 1'!$L:$L,"Уражено"))</f>
        <v/>
      </c>
      <c r="G418">
        <f>IF($A418="","",COUNTIFS('Таблиця 1'!$B:$B,$A418,'Таблиця 1'!$E:$E,"Склад БК",'Таблиця 1'!$L:$L,"Уражено"))</f>
        <v/>
      </c>
      <c r="H418">
        <f>IF($A418="","",COUNTIFS('Таблиця 1'!$B:$B,$A418,'Таблиця 1'!$E:$E,"Склад ВТМ",'Таблиця 1'!$L:$L,"Уражено"))</f>
        <v/>
      </c>
      <c r="I418">
        <f>IF($A418="","",COUNTIFS('Таблиця 1'!$B:$B,$A418,'Таблиця 1'!$E:$E,"ПУ БпЛА",'Таблиця 1'!$L:$L,"Уражено"))</f>
        <v/>
      </c>
      <c r="J418">
        <f>IF($A418="","",COUNTIFS('Таблиця 1'!$B:$B,$A418,'Таблиця 1'!$E:$E,"СП",'Таблиця 1'!$L:$L,"Уражено"))</f>
        <v/>
      </c>
      <c r="K418">
        <f>IF($A418="","",COUNTIFS('Таблиця 1'!$B:$B,$A418,'Таблиця 1'!$E:$E,"КСП роти",'Таблиця 1'!$L:$L,"Уражено"))</f>
        <v/>
      </c>
      <c r="L418">
        <f>IF($A418="","",COUNTIFS('Таблиця 1'!$B:$B,$A418,'Таблиця 1'!$E:$E,"ПУ бат",'Таблиця 1'!$L:$L,"Уражено"))</f>
        <v/>
      </c>
      <c r="M418">
        <f>IF($A418="","",COUNTIFS('Таблиця 1'!$B:$B,$A418,'Таблиця 1'!$E:$E,"ПУ бриг",'Таблиця 1'!$L:$L,"Уражено"))</f>
        <v/>
      </c>
      <c r="N418">
        <f>IF($A418="","",COUNTIFS('Таблиця 1'!$B:$B,$A418,'Таблиця 1'!$E:$E,"ПУ див",'Таблиця 1'!$L:$L,"Уражено"))</f>
        <v/>
      </c>
      <c r="O418">
        <f>IF($A418="","",COUNTIFS('Таблиця 1'!$B:$B,$A418,'Таблиця 1'!$E:$E,"обл. РЕБ",'Таблиця 1'!$L:$L,"Уражено"))</f>
        <v/>
      </c>
      <c r="P418">
        <f>IF($A418="","",COUNTIFS('Таблиця 1'!$B:$B,$A418,'Таблиця 1'!$E:$E,"пос РЕБ",'Таблиця 1'!$L:$L,"Уражено"))</f>
        <v/>
      </c>
      <c r="Q418">
        <f>IF($A418="","",COUNTIFS('Таблиця 1'!$B:$B,$A418,'Таблиця 1'!$E:$E,"група РЕР",'Таблиця 1'!$L:$L,"Уражено"))</f>
        <v/>
      </c>
      <c r="R418">
        <f>IF($A418="","",COUNTIFS('Таблиця 1'!$B:$B,$A418,'Таблиця 1'!$E:$E,"РЛС КББ",'Таблиця 1'!$L:$L,"Уражено"))</f>
        <v/>
      </c>
      <c r="S418">
        <f>IF($A418="","",COUNTIFS('Таблиця 1'!$B:$B,$A418,'Таблиця 1'!$E:$E,"Ретранслятор",'Таблиця 1'!$L:$L,"Уражено"))</f>
        <v/>
      </c>
      <c r="T418">
        <f>IF($A418="","",COUNTIFS('Таблиця 1'!$B:$B,$A418,'Таблиця 1'!$E:$E,"Вз.зв'язку",'Таблиця 1'!$L:$L,"Уражено"))</f>
        <v/>
      </c>
      <c r="U418">
        <f>IF($A418="","",COUNTIFS('Таблиця 1'!$B:$B,$A418,'Таблиця 1'!$E:$E,"ПММ",'Таблиця 1'!$L:$L,"Уражено"))</f>
        <v/>
      </c>
      <c r="V418">
        <f>IF($A418="","",COUNTIFS('Таблиця 1'!$B:$B,$A418,'Таблиця 1'!$E:$E,"ІФС",'Таблиця 1'!$L:$L,"Уражено"))</f>
        <v/>
      </c>
      <c r="W418">
        <f>IF($A418="","",COUNTIFS('Таблиця 1'!$B:$B,$A418,'Таблиця 1'!$E:$E,"Інфраструктура",'Таблиця 1'!$L:$L,"Уражено"))</f>
        <v/>
      </c>
      <c r="X418">
        <f>IF($A418="","",SUMIFS('Таблиця 1'!$K:$K,'Таблиця 1'!$B:$B,$A418))</f>
        <v/>
      </c>
    </row>
    <row r="419">
      <c r="A419" s="81">
        <f>IF(A418="","",IF(A418+1&gt;MAX('Таблиця 1'!$B:$B),"",A418+1))</f>
        <v/>
      </c>
      <c r="B419">
        <f>IF($A419="","",COUNTIFS('Таблиця 1'!$B:$B,$A419,'Таблиця 1'!$E:$E,"ЖС ВЗ",'Таблиця 1'!$L:$L,"Уражено"))</f>
        <v/>
      </c>
      <c r="C419">
        <f>IF($A419="","",COUNTIFS('Таблиця 1'!$B:$B,$A419,'Таблиця 1'!$E:$E,"Арт. Системи",'Таблиця 1'!$L:$L,"Уражено"))</f>
        <v/>
      </c>
      <c r="D419">
        <f>IF($A419="","",COUNTIFS('Таблиця 1'!$B:$B,$A419,'Таблиця 1'!$E:$E,"ОВТ",'Таблиця 1'!$L:$L,"Уражено"))</f>
        <v/>
      </c>
      <c r="E419">
        <f>IF($A419="","",COUNTIFS('Таблиця 1'!$B:$B,$A419,'Таблиця 1'!$E:$E,"ППО",'Таблиця 1'!$L:$L,"Уражено"))</f>
        <v/>
      </c>
      <c r="F419">
        <f>IF($A419="","",COUNTIFS('Таблиця 1'!$B:$B,$A419,'Таблиця 1'!$E:$E,"Рембаза",'Таблиця 1'!$L:$L,"Уражено"))</f>
        <v/>
      </c>
      <c r="G419">
        <f>IF($A419="","",COUNTIFS('Таблиця 1'!$B:$B,$A419,'Таблиця 1'!$E:$E,"Склад БК",'Таблиця 1'!$L:$L,"Уражено"))</f>
        <v/>
      </c>
      <c r="H419">
        <f>IF($A419="","",COUNTIFS('Таблиця 1'!$B:$B,$A419,'Таблиця 1'!$E:$E,"Склад ВТМ",'Таблиця 1'!$L:$L,"Уражено"))</f>
        <v/>
      </c>
      <c r="I419">
        <f>IF($A419="","",COUNTIFS('Таблиця 1'!$B:$B,$A419,'Таблиця 1'!$E:$E,"ПУ БпЛА",'Таблиця 1'!$L:$L,"Уражено"))</f>
        <v/>
      </c>
      <c r="J419">
        <f>IF($A419="","",COUNTIFS('Таблиця 1'!$B:$B,$A419,'Таблиця 1'!$E:$E,"СП",'Таблиця 1'!$L:$L,"Уражено"))</f>
        <v/>
      </c>
      <c r="K419">
        <f>IF($A419="","",COUNTIFS('Таблиця 1'!$B:$B,$A419,'Таблиця 1'!$E:$E,"КСП роти",'Таблиця 1'!$L:$L,"Уражено"))</f>
        <v/>
      </c>
      <c r="L419">
        <f>IF($A419="","",COUNTIFS('Таблиця 1'!$B:$B,$A419,'Таблиця 1'!$E:$E,"ПУ бат",'Таблиця 1'!$L:$L,"Уражено"))</f>
        <v/>
      </c>
      <c r="M419">
        <f>IF($A419="","",COUNTIFS('Таблиця 1'!$B:$B,$A419,'Таблиця 1'!$E:$E,"ПУ бриг",'Таблиця 1'!$L:$L,"Уражено"))</f>
        <v/>
      </c>
      <c r="N419">
        <f>IF($A419="","",COUNTIFS('Таблиця 1'!$B:$B,$A419,'Таблиця 1'!$E:$E,"ПУ див",'Таблиця 1'!$L:$L,"Уражено"))</f>
        <v/>
      </c>
      <c r="O419">
        <f>IF($A419="","",COUNTIFS('Таблиця 1'!$B:$B,$A419,'Таблиця 1'!$E:$E,"обл. РЕБ",'Таблиця 1'!$L:$L,"Уражено"))</f>
        <v/>
      </c>
      <c r="P419">
        <f>IF($A419="","",COUNTIFS('Таблиця 1'!$B:$B,$A419,'Таблиця 1'!$E:$E,"пос РЕБ",'Таблиця 1'!$L:$L,"Уражено"))</f>
        <v/>
      </c>
      <c r="Q419">
        <f>IF($A419="","",COUNTIFS('Таблиця 1'!$B:$B,$A419,'Таблиця 1'!$E:$E,"група РЕР",'Таблиця 1'!$L:$L,"Уражено"))</f>
        <v/>
      </c>
      <c r="R419">
        <f>IF($A419="","",COUNTIFS('Таблиця 1'!$B:$B,$A419,'Таблиця 1'!$E:$E,"РЛС КББ",'Таблиця 1'!$L:$L,"Уражено"))</f>
        <v/>
      </c>
      <c r="S419">
        <f>IF($A419="","",COUNTIFS('Таблиця 1'!$B:$B,$A419,'Таблиця 1'!$E:$E,"Ретранслятор",'Таблиця 1'!$L:$L,"Уражено"))</f>
        <v/>
      </c>
      <c r="T419">
        <f>IF($A419="","",COUNTIFS('Таблиця 1'!$B:$B,$A419,'Таблиця 1'!$E:$E,"Вз.зв'язку",'Таблиця 1'!$L:$L,"Уражено"))</f>
        <v/>
      </c>
      <c r="U419">
        <f>IF($A419="","",COUNTIFS('Таблиця 1'!$B:$B,$A419,'Таблиця 1'!$E:$E,"ПММ",'Таблиця 1'!$L:$L,"Уражено"))</f>
        <v/>
      </c>
      <c r="V419">
        <f>IF($A419="","",COUNTIFS('Таблиця 1'!$B:$B,$A419,'Таблиця 1'!$E:$E,"ІФС",'Таблиця 1'!$L:$L,"Уражено"))</f>
        <v/>
      </c>
      <c r="W419">
        <f>IF($A419="","",COUNTIFS('Таблиця 1'!$B:$B,$A419,'Таблиця 1'!$E:$E,"Інфраструктура",'Таблиця 1'!$L:$L,"Уражено"))</f>
        <v/>
      </c>
      <c r="X419">
        <f>IF($A419="","",SUMIFS('Таблиця 1'!$K:$K,'Таблиця 1'!$B:$B,$A419))</f>
        <v/>
      </c>
    </row>
    <row r="420">
      <c r="A420" s="81">
        <f>IF(A419="","",IF(A419+1&gt;MAX('Таблиця 1'!$B:$B),"",A419+1))</f>
        <v/>
      </c>
      <c r="B420">
        <f>IF($A420="","",COUNTIFS('Таблиця 1'!$B:$B,$A420,'Таблиця 1'!$E:$E,"ЖС ВЗ",'Таблиця 1'!$L:$L,"Уражено"))</f>
        <v/>
      </c>
      <c r="C420">
        <f>IF($A420="","",COUNTIFS('Таблиця 1'!$B:$B,$A420,'Таблиця 1'!$E:$E,"Арт. Системи",'Таблиця 1'!$L:$L,"Уражено"))</f>
        <v/>
      </c>
      <c r="D420">
        <f>IF($A420="","",COUNTIFS('Таблиця 1'!$B:$B,$A420,'Таблиця 1'!$E:$E,"ОВТ",'Таблиця 1'!$L:$L,"Уражено"))</f>
        <v/>
      </c>
      <c r="E420">
        <f>IF($A420="","",COUNTIFS('Таблиця 1'!$B:$B,$A420,'Таблиця 1'!$E:$E,"ППО",'Таблиця 1'!$L:$L,"Уражено"))</f>
        <v/>
      </c>
      <c r="F420">
        <f>IF($A420="","",COUNTIFS('Таблиця 1'!$B:$B,$A420,'Таблиця 1'!$E:$E,"Рембаза",'Таблиця 1'!$L:$L,"Уражено"))</f>
        <v/>
      </c>
      <c r="G420">
        <f>IF($A420="","",COUNTIFS('Таблиця 1'!$B:$B,$A420,'Таблиця 1'!$E:$E,"Склад БК",'Таблиця 1'!$L:$L,"Уражено"))</f>
        <v/>
      </c>
      <c r="H420">
        <f>IF($A420="","",COUNTIFS('Таблиця 1'!$B:$B,$A420,'Таблиця 1'!$E:$E,"Склад ВТМ",'Таблиця 1'!$L:$L,"Уражено"))</f>
        <v/>
      </c>
      <c r="I420">
        <f>IF($A420="","",COUNTIFS('Таблиця 1'!$B:$B,$A420,'Таблиця 1'!$E:$E,"ПУ БпЛА",'Таблиця 1'!$L:$L,"Уражено"))</f>
        <v/>
      </c>
      <c r="J420">
        <f>IF($A420="","",COUNTIFS('Таблиця 1'!$B:$B,$A420,'Таблиця 1'!$E:$E,"СП",'Таблиця 1'!$L:$L,"Уражено"))</f>
        <v/>
      </c>
      <c r="K420">
        <f>IF($A420="","",COUNTIFS('Таблиця 1'!$B:$B,$A420,'Таблиця 1'!$E:$E,"КСП роти",'Таблиця 1'!$L:$L,"Уражено"))</f>
        <v/>
      </c>
      <c r="L420">
        <f>IF($A420="","",COUNTIFS('Таблиця 1'!$B:$B,$A420,'Таблиця 1'!$E:$E,"ПУ бат",'Таблиця 1'!$L:$L,"Уражено"))</f>
        <v/>
      </c>
      <c r="M420">
        <f>IF($A420="","",COUNTIFS('Таблиця 1'!$B:$B,$A420,'Таблиця 1'!$E:$E,"ПУ бриг",'Таблиця 1'!$L:$L,"Уражено"))</f>
        <v/>
      </c>
      <c r="N420">
        <f>IF($A420="","",COUNTIFS('Таблиця 1'!$B:$B,$A420,'Таблиця 1'!$E:$E,"ПУ див",'Таблиця 1'!$L:$L,"Уражено"))</f>
        <v/>
      </c>
      <c r="O420">
        <f>IF($A420="","",COUNTIFS('Таблиця 1'!$B:$B,$A420,'Таблиця 1'!$E:$E,"обл. РЕБ",'Таблиця 1'!$L:$L,"Уражено"))</f>
        <v/>
      </c>
      <c r="P420">
        <f>IF($A420="","",COUNTIFS('Таблиця 1'!$B:$B,$A420,'Таблиця 1'!$E:$E,"пос РЕБ",'Таблиця 1'!$L:$L,"Уражено"))</f>
        <v/>
      </c>
      <c r="Q420">
        <f>IF($A420="","",COUNTIFS('Таблиця 1'!$B:$B,$A420,'Таблиця 1'!$E:$E,"група РЕР",'Таблиця 1'!$L:$L,"Уражено"))</f>
        <v/>
      </c>
      <c r="R420">
        <f>IF($A420="","",COUNTIFS('Таблиця 1'!$B:$B,$A420,'Таблиця 1'!$E:$E,"РЛС КББ",'Таблиця 1'!$L:$L,"Уражено"))</f>
        <v/>
      </c>
      <c r="S420">
        <f>IF($A420="","",COUNTIFS('Таблиця 1'!$B:$B,$A420,'Таблиця 1'!$E:$E,"Ретранслятор",'Таблиця 1'!$L:$L,"Уражено"))</f>
        <v/>
      </c>
      <c r="T420">
        <f>IF($A420="","",COUNTIFS('Таблиця 1'!$B:$B,$A420,'Таблиця 1'!$E:$E,"Вз.зв'язку",'Таблиця 1'!$L:$L,"Уражено"))</f>
        <v/>
      </c>
      <c r="U420">
        <f>IF($A420="","",COUNTIFS('Таблиця 1'!$B:$B,$A420,'Таблиця 1'!$E:$E,"ПММ",'Таблиця 1'!$L:$L,"Уражено"))</f>
        <v/>
      </c>
      <c r="V420">
        <f>IF($A420="","",COUNTIFS('Таблиця 1'!$B:$B,$A420,'Таблиця 1'!$E:$E,"ІФС",'Таблиця 1'!$L:$L,"Уражено"))</f>
        <v/>
      </c>
      <c r="W420">
        <f>IF($A420="","",COUNTIFS('Таблиця 1'!$B:$B,$A420,'Таблиця 1'!$E:$E,"Інфраструктура",'Таблиця 1'!$L:$L,"Уражено"))</f>
        <v/>
      </c>
      <c r="X420">
        <f>IF($A420="","",SUMIFS('Таблиця 1'!$K:$K,'Таблиця 1'!$B:$B,$A420))</f>
        <v/>
      </c>
    </row>
    <row r="421">
      <c r="A421" s="81">
        <f>IF(A420="","",IF(A420+1&gt;MAX('Таблиця 1'!$B:$B),"",A420+1))</f>
        <v/>
      </c>
      <c r="B421">
        <f>IF($A421="","",COUNTIFS('Таблиця 1'!$B:$B,$A421,'Таблиця 1'!$E:$E,"ЖС ВЗ",'Таблиця 1'!$L:$L,"Уражено"))</f>
        <v/>
      </c>
      <c r="C421">
        <f>IF($A421="","",COUNTIFS('Таблиця 1'!$B:$B,$A421,'Таблиця 1'!$E:$E,"Арт. Системи",'Таблиця 1'!$L:$L,"Уражено"))</f>
        <v/>
      </c>
      <c r="D421">
        <f>IF($A421="","",COUNTIFS('Таблиця 1'!$B:$B,$A421,'Таблиця 1'!$E:$E,"ОВТ",'Таблиця 1'!$L:$L,"Уражено"))</f>
        <v/>
      </c>
      <c r="E421">
        <f>IF($A421="","",COUNTIFS('Таблиця 1'!$B:$B,$A421,'Таблиця 1'!$E:$E,"ППО",'Таблиця 1'!$L:$L,"Уражено"))</f>
        <v/>
      </c>
      <c r="F421">
        <f>IF($A421="","",COUNTIFS('Таблиця 1'!$B:$B,$A421,'Таблиця 1'!$E:$E,"Рембаза",'Таблиця 1'!$L:$L,"Уражено"))</f>
        <v/>
      </c>
      <c r="G421">
        <f>IF($A421="","",COUNTIFS('Таблиця 1'!$B:$B,$A421,'Таблиця 1'!$E:$E,"Склад БК",'Таблиця 1'!$L:$L,"Уражено"))</f>
        <v/>
      </c>
      <c r="H421">
        <f>IF($A421="","",COUNTIFS('Таблиця 1'!$B:$B,$A421,'Таблиця 1'!$E:$E,"Склад ВТМ",'Таблиця 1'!$L:$L,"Уражено"))</f>
        <v/>
      </c>
      <c r="I421">
        <f>IF($A421="","",COUNTIFS('Таблиця 1'!$B:$B,$A421,'Таблиця 1'!$E:$E,"ПУ БпЛА",'Таблиця 1'!$L:$L,"Уражено"))</f>
        <v/>
      </c>
      <c r="J421">
        <f>IF($A421="","",COUNTIFS('Таблиця 1'!$B:$B,$A421,'Таблиця 1'!$E:$E,"СП",'Таблиця 1'!$L:$L,"Уражено"))</f>
        <v/>
      </c>
      <c r="K421">
        <f>IF($A421="","",COUNTIFS('Таблиця 1'!$B:$B,$A421,'Таблиця 1'!$E:$E,"КСП роти",'Таблиця 1'!$L:$L,"Уражено"))</f>
        <v/>
      </c>
      <c r="L421">
        <f>IF($A421="","",COUNTIFS('Таблиця 1'!$B:$B,$A421,'Таблиця 1'!$E:$E,"ПУ бат",'Таблиця 1'!$L:$L,"Уражено"))</f>
        <v/>
      </c>
      <c r="M421">
        <f>IF($A421="","",COUNTIFS('Таблиця 1'!$B:$B,$A421,'Таблиця 1'!$E:$E,"ПУ бриг",'Таблиця 1'!$L:$L,"Уражено"))</f>
        <v/>
      </c>
      <c r="N421">
        <f>IF($A421="","",COUNTIFS('Таблиця 1'!$B:$B,$A421,'Таблиця 1'!$E:$E,"ПУ див",'Таблиця 1'!$L:$L,"Уражено"))</f>
        <v/>
      </c>
      <c r="O421">
        <f>IF($A421="","",COUNTIFS('Таблиця 1'!$B:$B,$A421,'Таблиця 1'!$E:$E,"обл. РЕБ",'Таблиця 1'!$L:$L,"Уражено"))</f>
        <v/>
      </c>
      <c r="P421">
        <f>IF($A421="","",COUNTIFS('Таблиця 1'!$B:$B,$A421,'Таблиця 1'!$E:$E,"пос РЕБ",'Таблиця 1'!$L:$L,"Уражено"))</f>
        <v/>
      </c>
      <c r="Q421">
        <f>IF($A421="","",COUNTIFS('Таблиця 1'!$B:$B,$A421,'Таблиця 1'!$E:$E,"група РЕР",'Таблиця 1'!$L:$L,"Уражено"))</f>
        <v/>
      </c>
      <c r="R421">
        <f>IF($A421="","",COUNTIFS('Таблиця 1'!$B:$B,$A421,'Таблиця 1'!$E:$E,"РЛС КББ",'Таблиця 1'!$L:$L,"Уражено"))</f>
        <v/>
      </c>
      <c r="S421">
        <f>IF($A421="","",COUNTIFS('Таблиця 1'!$B:$B,$A421,'Таблиця 1'!$E:$E,"Ретранслятор",'Таблиця 1'!$L:$L,"Уражено"))</f>
        <v/>
      </c>
      <c r="T421">
        <f>IF($A421="","",COUNTIFS('Таблиця 1'!$B:$B,$A421,'Таблиця 1'!$E:$E,"Вз.зв'язку",'Таблиця 1'!$L:$L,"Уражено"))</f>
        <v/>
      </c>
      <c r="U421">
        <f>IF($A421="","",COUNTIFS('Таблиця 1'!$B:$B,$A421,'Таблиця 1'!$E:$E,"ПММ",'Таблиця 1'!$L:$L,"Уражено"))</f>
        <v/>
      </c>
      <c r="V421">
        <f>IF($A421="","",COUNTIFS('Таблиця 1'!$B:$B,$A421,'Таблиця 1'!$E:$E,"ІФС",'Таблиця 1'!$L:$L,"Уражено"))</f>
        <v/>
      </c>
      <c r="W421">
        <f>IF($A421="","",COUNTIFS('Таблиця 1'!$B:$B,$A421,'Таблиця 1'!$E:$E,"Інфраструктура",'Таблиця 1'!$L:$L,"Уражено"))</f>
        <v/>
      </c>
      <c r="X421">
        <f>IF($A421="","",SUMIFS('Таблиця 1'!$K:$K,'Таблиця 1'!$B:$B,$A421))</f>
        <v/>
      </c>
    </row>
    <row r="422">
      <c r="A422" s="81">
        <f>IF(A421="","",IF(A421+1&gt;MAX('Таблиця 1'!$B:$B),"",A421+1))</f>
        <v/>
      </c>
      <c r="B422">
        <f>IF($A422="","",COUNTIFS('Таблиця 1'!$B:$B,$A422,'Таблиця 1'!$E:$E,"ЖС ВЗ",'Таблиця 1'!$L:$L,"Уражено"))</f>
        <v/>
      </c>
      <c r="C422">
        <f>IF($A422="","",COUNTIFS('Таблиця 1'!$B:$B,$A422,'Таблиця 1'!$E:$E,"Арт. Системи",'Таблиця 1'!$L:$L,"Уражено"))</f>
        <v/>
      </c>
      <c r="D422">
        <f>IF($A422="","",COUNTIFS('Таблиця 1'!$B:$B,$A422,'Таблиця 1'!$E:$E,"ОВТ",'Таблиця 1'!$L:$L,"Уражено"))</f>
        <v/>
      </c>
      <c r="E422">
        <f>IF($A422="","",COUNTIFS('Таблиця 1'!$B:$B,$A422,'Таблиця 1'!$E:$E,"ППО",'Таблиця 1'!$L:$L,"Уражено"))</f>
        <v/>
      </c>
      <c r="F422">
        <f>IF($A422="","",COUNTIFS('Таблиця 1'!$B:$B,$A422,'Таблиця 1'!$E:$E,"Рембаза",'Таблиця 1'!$L:$L,"Уражено"))</f>
        <v/>
      </c>
      <c r="G422">
        <f>IF($A422="","",COUNTIFS('Таблиця 1'!$B:$B,$A422,'Таблиця 1'!$E:$E,"Склад БК",'Таблиця 1'!$L:$L,"Уражено"))</f>
        <v/>
      </c>
      <c r="H422">
        <f>IF($A422="","",COUNTIFS('Таблиця 1'!$B:$B,$A422,'Таблиця 1'!$E:$E,"Склад ВТМ",'Таблиця 1'!$L:$L,"Уражено"))</f>
        <v/>
      </c>
      <c r="I422">
        <f>IF($A422="","",COUNTIFS('Таблиця 1'!$B:$B,$A422,'Таблиця 1'!$E:$E,"ПУ БпЛА",'Таблиця 1'!$L:$L,"Уражено"))</f>
        <v/>
      </c>
      <c r="J422">
        <f>IF($A422="","",COUNTIFS('Таблиця 1'!$B:$B,$A422,'Таблиця 1'!$E:$E,"СП",'Таблиця 1'!$L:$L,"Уражено"))</f>
        <v/>
      </c>
      <c r="K422">
        <f>IF($A422="","",COUNTIFS('Таблиця 1'!$B:$B,$A422,'Таблиця 1'!$E:$E,"КСП роти",'Таблиця 1'!$L:$L,"Уражено"))</f>
        <v/>
      </c>
      <c r="L422">
        <f>IF($A422="","",COUNTIFS('Таблиця 1'!$B:$B,$A422,'Таблиця 1'!$E:$E,"ПУ бат",'Таблиця 1'!$L:$L,"Уражено"))</f>
        <v/>
      </c>
      <c r="M422">
        <f>IF($A422="","",COUNTIFS('Таблиця 1'!$B:$B,$A422,'Таблиця 1'!$E:$E,"ПУ бриг",'Таблиця 1'!$L:$L,"Уражено"))</f>
        <v/>
      </c>
      <c r="N422">
        <f>IF($A422="","",COUNTIFS('Таблиця 1'!$B:$B,$A422,'Таблиця 1'!$E:$E,"ПУ див",'Таблиця 1'!$L:$L,"Уражено"))</f>
        <v/>
      </c>
      <c r="O422">
        <f>IF($A422="","",COUNTIFS('Таблиця 1'!$B:$B,$A422,'Таблиця 1'!$E:$E,"обл. РЕБ",'Таблиця 1'!$L:$L,"Уражено"))</f>
        <v/>
      </c>
      <c r="P422">
        <f>IF($A422="","",COUNTIFS('Таблиця 1'!$B:$B,$A422,'Таблиця 1'!$E:$E,"пос РЕБ",'Таблиця 1'!$L:$L,"Уражено"))</f>
        <v/>
      </c>
      <c r="Q422">
        <f>IF($A422="","",COUNTIFS('Таблиця 1'!$B:$B,$A422,'Таблиця 1'!$E:$E,"група РЕР",'Таблиця 1'!$L:$L,"Уражено"))</f>
        <v/>
      </c>
      <c r="R422">
        <f>IF($A422="","",COUNTIFS('Таблиця 1'!$B:$B,$A422,'Таблиця 1'!$E:$E,"РЛС КББ",'Таблиця 1'!$L:$L,"Уражено"))</f>
        <v/>
      </c>
      <c r="S422">
        <f>IF($A422="","",COUNTIFS('Таблиця 1'!$B:$B,$A422,'Таблиця 1'!$E:$E,"Ретранслятор",'Таблиця 1'!$L:$L,"Уражено"))</f>
        <v/>
      </c>
      <c r="T422">
        <f>IF($A422="","",COUNTIFS('Таблиця 1'!$B:$B,$A422,'Таблиця 1'!$E:$E,"Вз.зв'язку",'Таблиця 1'!$L:$L,"Уражено"))</f>
        <v/>
      </c>
      <c r="U422">
        <f>IF($A422="","",COUNTIFS('Таблиця 1'!$B:$B,$A422,'Таблиця 1'!$E:$E,"ПММ",'Таблиця 1'!$L:$L,"Уражено"))</f>
        <v/>
      </c>
      <c r="V422">
        <f>IF($A422="","",COUNTIFS('Таблиця 1'!$B:$B,$A422,'Таблиця 1'!$E:$E,"ІФС",'Таблиця 1'!$L:$L,"Уражено"))</f>
        <v/>
      </c>
      <c r="W422">
        <f>IF($A422="","",COUNTIFS('Таблиця 1'!$B:$B,$A422,'Таблиця 1'!$E:$E,"Інфраструктура",'Таблиця 1'!$L:$L,"Уражено"))</f>
        <v/>
      </c>
      <c r="X422">
        <f>IF($A422="","",SUMIFS('Таблиця 1'!$K:$K,'Таблиця 1'!$B:$B,$A422))</f>
        <v/>
      </c>
    </row>
    <row r="423">
      <c r="A423" s="81">
        <f>IF(A422="","",IF(A422+1&gt;MAX('Таблиця 1'!$B:$B),"",A422+1))</f>
        <v/>
      </c>
      <c r="B423">
        <f>IF($A423="","",COUNTIFS('Таблиця 1'!$B:$B,$A423,'Таблиця 1'!$E:$E,"ЖС ВЗ",'Таблиця 1'!$L:$L,"Уражено"))</f>
        <v/>
      </c>
      <c r="C423">
        <f>IF($A423="","",COUNTIFS('Таблиця 1'!$B:$B,$A423,'Таблиця 1'!$E:$E,"Арт. Системи",'Таблиця 1'!$L:$L,"Уражено"))</f>
        <v/>
      </c>
      <c r="D423">
        <f>IF($A423="","",COUNTIFS('Таблиця 1'!$B:$B,$A423,'Таблиця 1'!$E:$E,"ОВТ",'Таблиця 1'!$L:$L,"Уражено"))</f>
        <v/>
      </c>
      <c r="E423">
        <f>IF($A423="","",COUNTIFS('Таблиця 1'!$B:$B,$A423,'Таблиця 1'!$E:$E,"ППО",'Таблиця 1'!$L:$L,"Уражено"))</f>
        <v/>
      </c>
      <c r="F423">
        <f>IF($A423="","",COUNTIFS('Таблиця 1'!$B:$B,$A423,'Таблиця 1'!$E:$E,"Рембаза",'Таблиця 1'!$L:$L,"Уражено"))</f>
        <v/>
      </c>
      <c r="G423">
        <f>IF($A423="","",COUNTIFS('Таблиця 1'!$B:$B,$A423,'Таблиця 1'!$E:$E,"Склад БК",'Таблиця 1'!$L:$L,"Уражено"))</f>
        <v/>
      </c>
      <c r="H423">
        <f>IF($A423="","",COUNTIFS('Таблиця 1'!$B:$B,$A423,'Таблиця 1'!$E:$E,"Склад ВТМ",'Таблиця 1'!$L:$L,"Уражено"))</f>
        <v/>
      </c>
      <c r="I423">
        <f>IF($A423="","",COUNTIFS('Таблиця 1'!$B:$B,$A423,'Таблиця 1'!$E:$E,"ПУ БпЛА",'Таблиця 1'!$L:$L,"Уражено"))</f>
        <v/>
      </c>
      <c r="J423">
        <f>IF($A423="","",COUNTIFS('Таблиця 1'!$B:$B,$A423,'Таблиця 1'!$E:$E,"СП",'Таблиця 1'!$L:$L,"Уражено"))</f>
        <v/>
      </c>
      <c r="K423">
        <f>IF($A423="","",COUNTIFS('Таблиця 1'!$B:$B,$A423,'Таблиця 1'!$E:$E,"КСП роти",'Таблиця 1'!$L:$L,"Уражено"))</f>
        <v/>
      </c>
      <c r="L423">
        <f>IF($A423="","",COUNTIFS('Таблиця 1'!$B:$B,$A423,'Таблиця 1'!$E:$E,"ПУ бат",'Таблиця 1'!$L:$L,"Уражено"))</f>
        <v/>
      </c>
      <c r="M423">
        <f>IF($A423="","",COUNTIFS('Таблиця 1'!$B:$B,$A423,'Таблиця 1'!$E:$E,"ПУ бриг",'Таблиця 1'!$L:$L,"Уражено"))</f>
        <v/>
      </c>
      <c r="N423">
        <f>IF($A423="","",COUNTIFS('Таблиця 1'!$B:$B,$A423,'Таблиця 1'!$E:$E,"ПУ див",'Таблиця 1'!$L:$L,"Уражено"))</f>
        <v/>
      </c>
      <c r="O423">
        <f>IF($A423="","",COUNTIFS('Таблиця 1'!$B:$B,$A423,'Таблиця 1'!$E:$E,"обл. РЕБ",'Таблиця 1'!$L:$L,"Уражено"))</f>
        <v/>
      </c>
      <c r="P423">
        <f>IF($A423="","",COUNTIFS('Таблиця 1'!$B:$B,$A423,'Таблиця 1'!$E:$E,"пос РЕБ",'Таблиця 1'!$L:$L,"Уражено"))</f>
        <v/>
      </c>
      <c r="Q423">
        <f>IF($A423="","",COUNTIFS('Таблиця 1'!$B:$B,$A423,'Таблиця 1'!$E:$E,"група РЕР",'Таблиця 1'!$L:$L,"Уражено"))</f>
        <v/>
      </c>
      <c r="R423">
        <f>IF($A423="","",COUNTIFS('Таблиця 1'!$B:$B,$A423,'Таблиця 1'!$E:$E,"РЛС КББ",'Таблиця 1'!$L:$L,"Уражено"))</f>
        <v/>
      </c>
      <c r="S423">
        <f>IF($A423="","",COUNTIFS('Таблиця 1'!$B:$B,$A423,'Таблиця 1'!$E:$E,"Ретранслятор",'Таблиця 1'!$L:$L,"Уражено"))</f>
        <v/>
      </c>
      <c r="T423">
        <f>IF($A423="","",COUNTIFS('Таблиця 1'!$B:$B,$A423,'Таблиця 1'!$E:$E,"Вз.зв'язку",'Таблиця 1'!$L:$L,"Уражено"))</f>
        <v/>
      </c>
      <c r="U423">
        <f>IF($A423="","",COUNTIFS('Таблиця 1'!$B:$B,$A423,'Таблиця 1'!$E:$E,"ПММ",'Таблиця 1'!$L:$L,"Уражено"))</f>
        <v/>
      </c>
      <c r="V423">
        <f>IF($A423="","",COUNTIFS('Таблиця 1'!$B:$B,$A423,'Таблиця 1'!$E:$E,"ІФС",'Таблиця 1'!$L:$L,"Уражено"))</f>
        <v/>
      </c>
      <c r="W423">
        <f>IF($A423="","",COUNTIFS('Таблиця 1'!$B:$B,$A423,'Таблиця 1'!$E:$E,"Інфраструктура",'Таблиця 1'!$L:$L,"Уражено"))</f>
        <v/>
      </c>
      <c r="X423">
        <f>IF($A423="","",SUMIFS('Таблиця 1'!$K:$K,'Таблиця 1'!$B:$B,$A423))</f>
        <v/>
      </c>
    </row>
    <row r="424">
      <c r="A424" s="81">
        <f>IF(A423="","",IF(A423+1&gt;MAX('Таблиця 1'!$B:$B),"",A423+1))</f>
        <v/>
      </c>
      <c r="B424">
        <f>IF($A424="","",COUNTIFS('Таблиця 1'!$B:$B,$A424,'Таблиця 1'!$E:$E,"ЖС ВЗ",'Таблиця 1'!$L:$L,"Уражено"))</f>
        <v/>
      </c>
      <c r="C424">
        <f>IF($A424="","",COUNTIFS('Таблиця 1'!$B:$B,$A424,'Таблиця 1'!$E:$E,"Арт. Системи",'Таблиця 1'!$L:$L,"Уражено"))</f>
        <v/>
      </c>
      <c r="D424">
        <f>IF($A424="","",COUNTIFS('Таблиця 1'!$B:$B,$A424,'Таблиця 1'!$E:$E,"ОВТ",'Таблиця 1'!$L:$L,"Уражено"))</f>
        <v/>
      </c>
      <c r="E424">
        <f>IF($A424="","",COUNTIFS('Таблиця 1'!$B:$B,$A424,'Таблиця 1'!$E:$E,"ППО",'Таблиця 1'!$L:$L,"Уражено"))</f>
        <v/>
      </c>
      <c r="F424">
        <f>IF($A424="","",COUNTIFS('Таблиця 1'!$B:$B,$A424,'Таблиця 1'!$E:$E,"Рембаза",'Таблиця 1'!$L:$L,"Уражено"))</f>
        <v/>
      </c>
      <c r="G424">
        <f>IF($A424="","",COUNTIFS('Таблиця 1'!$B:$B,$A424,'Таблиця 1'!$E:$E,"Склад БК",'Таблиця 1'!$L:$L,"Уражено"))</f>
        <v/>
      </c>
      <c r="H424">
        <f>IF($A424="","",COUNTIFS('Таблиця 1'!$B:$B,$A424,'Таблиця 1'!$E:$E,"Склад ВТМ",'Таблиця 1'!$L:$L,"Уражено"))</f>
        <v/>
      </c>
      <c r="I424">
        <f>IF($A424="","",COUNTIFS('Таблиця 1'!$B:$B,$A424,'Таблиця 1'!$E:$E,"ПУ БпЛА",'Таблиця 1'!$L:$L,"Уражено"))</f>
        <v/>
      </c>
      <c r="J424">
        <f>IF($A424="","",COUNTIFS('Таблиця 1'!$B:$B,$A424,'Таблиця 1'!$E:$E,"СП",'Таблиця 1'!$L:$L,"Уражено"))</f>
        <v/>
      </c>
      <c r="K424">
        <f>IF($A424="","",COUNTIFS('Таблиця 1'!$B:$B,$A424,'Таблиця 1'!$E:$E,"КСП роти",'Таблиця 1'!$L:$L,"Уражено"))</f>
        <v/>
      </c>
      <c r="L424">
        <f>IF($A424="","",COUNTIFS('Таблиця 1'!$B:$B,$A424,'Таблиця 1'!$E:$E,"ПУ бат",'Таблиця 1'!$L:$L,"Уражено"))</f>
        <v/>
      </c>
      <c r="M424">
        <f>IF($A424="","",COUNTIFS('Таблиця 1'!$B:$B,$A424,'Таблиця 1'!$E:$E,"ПУ бриг",'Таблиця 1'!$L:$L,"Уражено"))</f>
        <v/>
      </c>
      <c r="N424">
        <f>IF($A424="","",COUNTIFS('Таблиця 1'!$B:$B,$A424,'Таблиця 1'!$E:$E,"ПУ див",'Таблиця 1'!$L:$L,"Уражено"))</f>
        <v/>
      </c>
      <c r="O424">
        <f>IF($A424="","",COUNTIFS('Таблиця 1'!$B:$B,$A424,'Таблиця 1'!$E:$E,"обл. РЕБ",'Таблиця 1'!$L:$L,"Уражено"))</f>
        <v/>
      </c>
      <c r="P424">
        <f>IF($A424="","",COUNTIFS('Таблиця 1'!$B:$B,$A424,'Таблиця 1'!$E:$E,"пос РЕБ",'Таблиця 1'!$L:$L,"Уражено"))</f>
        <v/>
      </c>
      <c r="Q424">
        <f>IF($A424="","",COUNTIFS('Таблиця 1'!$B:$B,$A424,'Таблиця 1'!$E:$E,"група РЕР",'Таблиця 1'!$L:$L,"Уражено"))</f>
        <v/>
      </c>
      <c r="R424">
        <f>IF($A424="","",COUNTIFS('Таблиця 1'!$B:$B,$A424,'Таблиця 1'!$E:$E,"РЛС КББ",'Таблиця 1'!$L:$L,"Уражено"))</f>
        <v/>
      </c>
      <c r="S424">
        <f>IF($A424="","",COUNTIFS('Таблиця 1'!$B:$B,$A424,'Таблиця 1'!$E:$E,"Ретранслятор",'Таблиця 1'!$L:$L,"Уражено"))</f>
        <v/>
      </c>
      <c r="T424">
        <f>IF($A424="","",COUNTIFS('Таблиця 1'!$B:$B,$A424,'Таблиця 1'!$E:$E,"Вз.зв'язку",'Таблиця 1'!$L:$L,"Уражено"))</f>
        <v/>
      </c>
      <c r="U424">
        <f>IF($A424="","",COUNTIFS('Таблиця 1'!$B:$B,$A424,'Таблиця 1'!$E:$E,"ПММ",'Таблиця 1'!$L:$L,"Уражено"))</f>
        <v/>
      </c>
      <c r="V424">
        <f>IF($A424="","",COUNTIFS('Таблиця 1'!$B:$B,$A424,'Таблиця 1'!$E:$E,"ІФС",'Таблиця 1'!$L:$L,"Уражено"))</f>
        <v/>
      </c>
      <c r="W424">
        <f>IF($A424="","",COUNTIFS('Таблиця 1'!$B:$B,$A424,'Таблиця 1'!$E:$E,"Інфраструктура",'Таблиця 1'!$L:$L,"Уражено"))</f>
        <v/>
      </c>
      <c r="X424">
        <f>IF($A424="","",SUMIFS('Таблиця 1'!$K:$K,'Таблиця 1'!$B:$B,$A424))</f>
        <v/>
      </c>
    </row>
    <row r="425">
      <c r="A425" s="81">
        <f>IF(A424="","",IF(A424+1&gt;MAX('Таблиця 1'!$B:$B),"",A424+1))</f>
        <v/>
      </c>
      <c r="B425">
        <f>IF($A425="","",COUNTIFS('Таблиця 1'!$B:$B,$A425,'Таблиця 1'!$E:$E,"ЖС ВЗ",'Таблиця 1'!$L:$L,"Уражено"))</f>
        <v/>
      </c>
      <c r="C425">
        <f>IF($A425="","",COUNTIFS('Таблиця 1'!$B:$B,$A425,'Таблиця 1'!$E:$E,"Арт. Системи",'Таблиця 1'!$L:$L,"Уражено"))</f>
        <v/>
      </c>
      <c r="D425">
        <f>IF($A425="","",COUNTIFS('Таблиця 1'!$B:$B,$A425,'Таблиця 1'!$E:$E,"ОВТ",'Таблиця 1'!$L:$L,"Уражено"))</f>
        <v/>
      </c>
      <c r="E425">
        <f>IF($A425="","",COUNTIFS('Таблиця 1'!$B:$B,$A425,'Таблиця 1'!$E:$E,"ППО",'Таблиця 1'!$L:$L,"Уражено"))</f>
        <v/>
      </c>
      <c r="F425">
        <f>IF($A425="","",COUNTIFS('Таблиця 1'!$B:$B,$A425,'Таблиця 1'!$E:$E,"Рембаза",'Таблиця 1'!$L:$L,"Уражено"))</f>
        <v/>
      </c>
      <c r="G425">
        <f>IF($A425="","",COUNTIFS('Таблиця 1'!$B:$B,$A425,'Таблиця 1'!$E:$E,"Склад БК",'Таблиця 1'!$L:$L,"Уражено"))</f>
        <v/>
      </c>
      <c r="H425">
        <f>IF($A425="","",COUNTIFS('Таблиця 1'!$B:$B,$A425,'Таблиця 1'!$E:$E,"Склад ВТМ",'Таблиця 1'!$L:$L,"Уражено"))</f>
        <v/>
      </c>
      <c r="I425">
        <f>IF($A425="","",COUNTIFS('Таблиця 1'!$B:$B,$A425,'Таблиця 1'!$E:$E,"ПУ БпЛА",'Таблиця 1'!$L:$L,"Уражено"))</f>
        <v/>
      </c>
      <c r="J425">
        <f>IF($A425="","",COUNTIFS('Таблиця 1'!$B:$B,$A425,'Таблиця 1'!$E:$E,"СП",'Таблиця 1'!$L:$L,"Уражено"))</f>
        <v/>
      </c>
      <c r="K425">
        <f>IF($A425="","",COUNTIFS('Таблиця 1'!$B:$B,$A425,'Таблиця 1'!$E:$E,"КСП роти",'Таблиця 1'!$L:$L,"Уражено"))</f>
        <v/>
      </c>
      <c r="L425">
        <f>IF($A425="","",COUNTIFS('Таблиця 1'!$B:$B,$A425,'Таблиця 1'!$E:$E,"ПУ бат",'Таблиця 1'!$L:$L,"Уражено"))</f>
        <v/>
      </c>
      <c r="M425">
        <f>IF($A425="","",COUNTIFS('Таблиця 1'!$B:$B,$A425,'Таблиця 1'!$E:$E,"ПУ бриг",'Таблиця 1'!$L:$L,"Уражено"))</f>
        <v/>
      </c>
      <c r="N425">
        <f>IF($A425="","",COUNTIFS('Таблиця 1'!$B:$B,$A425,'Таблиця 1'!$E:$E,"ПУ див",'Таблиця 1'!$L:$L,"Уражено"))</f>
        <v/>
      </c>
      <c r="O425">
        <f>IF($A425="","",COUNTIFS('Таблиця 1'!$B:$B,$A425,'Таблиця 1'!$E:$E,"обл. РЕБ",'Таблиця 1'!$L:$L,"Уражено"))</f>
        <v/>
      </c>
      <c r="P425">
        <f>IF($A425="","",COUNTIFS('Таблиця 1'!$B:$B,$A425,'Таблиця 1'!$E:$E,"пос РЕБ",'Таблиця 1'!$L:$L,"Уражено"))</f>
        <v/>
      </c>
      <c r="Q425">
        <f>IF($A425="","",COUNTIFS('Таблиця 1'!$B:$B,$A425,'Таблиця 1'!$E:$E,"група РЕР",'Таблиця 1'!$L:$L,"Уражено"))</f>
        <v/>
      </c>
      <c r="R425">
        <f>IF($A425="","",COUNTIFS('Таблиця 1'!$B:$B,$A425,'Таблиця 1'!$E:$E,"РЛС КББ",'Таблиця 1'!$L:$L,"Уражено"))</f>
        <v/>
      </c>
      <c r="S425">
        <f>IF($A425="","",COUNTIFS('Таблиця 1'!$B:$B,$A425,'Таблиця 1'!$E:$E,"Ретранслятор",'Таблиця 1'!$L:$L,"Уражено"))</f>
        <v/>
      </c>
      <c r="T425">
        <f>IF($A425="","",COUNTIFS('Таблиця 1'!$B:$B,$A425,'Таблиця 1'!$E:$E,"Вз.зв'язку",'Таблиця 1'!$L:$L,"Уражено"))</f>
        <v/>
      </c>
      <c r="U425">
        <f>IF($A425="","",COUNTIFS('Таблиця 1'!$B:$B,$A425,'Таблиця 1'!$E:$E,"ПММ",'Таблиця 1'!$L:$L,"Уражено"))</f>
        <v/>
      </c>
      <c r="V425">
        <f>IF($A425="","",COUNTIFS('Таблиця 1'!$B:$B,$A425,'Таблиця 1'!$E:$E,"ІФС",'Таблиця 1'!$L:$L,"Уражено"))</f>
        <v/>
      </c>
      <c r="W425">
        <f>IF($A425="","",COUNTIFS('Таблиця 1'!$B:$B,$A425,'Таблиця 1'!$E:$E,"Інфраструктура",'Таблиця 1'!$L:$L,"Уражено"))</f>
        <v/>
      </c>
      <c r="X425">
        <f>IF($A425="","",SUMIFS('Таблиця 1'!$K:$K,'Таблиця 1'!$B:$B,$A425))</f>
        <v/>
      </c>
    </row>
    <row r="426">
      <c r="A426" s="81">
        <f>IF(A425="","",IF(A425+1&gt;MAX('Таблиця 1'!$B:$B),"",A425+1))</f>
        <v/>
      </c>
      <c r="B426">
        <f>IF($A426="","",COUNTIFS('Таблиця 1'!$B:$B,$A426,'Таблиця 1'!$E:$E,"ЖС ВЗ",'Таблиця 1'!$L:$L,"Уражено"))</f>
        <v/>
      </c>
      <c r="C426">
        <f>IF($A426="","",COUNTIFS('Таблиця 1'!$B:$B,$A426,'Таблиця 1'!$E:$E,"Арт. Системи",'Таблиця 1'!$L:$L,"Уражено"))</f>
        <v/>
      </c>
      <c r="D426">
        <f>IF($A426="","",COUNTIFS('Таблиця 1'!$B:$B,$A426,'Таблиця 1'!$E:$E,"ОВТ",'Таблиця 1'!$L:$L,"Уражено"))</f>
        <v/>
      </c>
      <c r="E426">
        <f>IF($A426="","",COUNTIFS('Таблиця 1'!$B:$B,$A426,'Таблиця 1'!$E:$E,"ППО",'Таблиця 1'!$L:$L,"Уражено"))</f>
        <v/>
      </c>
      <c r="F426">
        <f>IF($A426="","",COUNTIFS('Таблиця 1'!$B:$B,$A426,'Таблиця 1'!$E:$E,"Рембаза",'Таблиця 1'!$L:$L,"Уражено"))</f>
        <v/>
      </c>
      <c r="G426">
        <f>IF($A426="","",COUNTIFS('Таблиця 1'!$B:$B,$A426,'Таблиця 1'!$E:$E,"Склад БК",'Таблиця 1'!$L:$L,"Уражено"))</f>
        <v/>
      </c>
      <c r="H426">
        <f>IF($A426="","",COUNTIFS('Таблиця 1'!$B:$B,$A426,'Таблиця 1'!$E:$E,"Склад ВТМ",'Таблиця 1'!$L:$L,"Уражено"))</f>
        <v/>
      </c>
      <c r="I426">
        <f>IF($A426="","",COUNTIFS('Таблиця 1'!$B:$B,$A426,'Таблиця 1'!$E:$E,"ПУ БпЛА",'Таблиця 1'!$L:$L,"Уражено"))</f>
        <v/>
      </c>
      <c r="J426">
        <f>IF($A426="","",COUNTIFS('Таблиця 1'!$B:$B,$A426,'Таблиця 1'!$E:$E,"СП",'Таблиця 1'!$L:$L,"Уражено"))</f>
        <v/>
      </c>
      <c r="K426">
        <f>IF($A426="","",COUNTIFS('Таблиця 1'!$B:$B,$A426,'Таблиця 1'!$E:$E,"КСП роти",'Таблиця 1'!$L:$L,"Уражено"))</f>
        <v/>
      </c>
      <c r="L426">
        <f>IF($A426="","",COUNTIFS('Таблиця 1'!$B:$B,$A426,'Таблиця 1'!$E:$E,"ПУ бат",'Таблиця 1'!$L:$L,"Уражено"))</f>
        <v/>
      </c>
      <c r="M426">
        <f>IF($A426="","",COUNTIFS('Таблиця 1'!$B:$B,$A426,'Таблиця 1'!$E:$E,"ПУ бриг",'Таблиця 1'!$L:$L,"Уражено"))</f>
        <v/>
      </c>
      <c r="N426">
        <f>IF($A426="","",COUNTIFS('Таблиця 1'!$B:$B,$A426,'Таблиця 1'!$E:$E,"ПУ див",'Таблиця 1'!$L:$L,"Уражено"))</f>
        <v/>
      </c>
      <c r="O426">
        <f>IF($A426="","",COUNTIFS('Таблиця 1'!$B:$B,$A426,'Таблиця 1'!$E:$E,"обл. РЕБ",'Таблиця 1'!$L:$L,"Уражено"))</f>
        <v/>
      </c>
      <c r="P426">
        <f>IF($A426="","",COUNTIFS('Таблиця 1'!$B:$B,$A426,'Таблиця 1'!$E:$E,"пос РЕБ",'Таблиця 1'!$L:$L,"Уражено"))</f>
        <v/>
      </c>
      <c r="Q426">
        <f>IF($A426="","",COUNTIFS('Таблиця 1'!$B:$B,$A426,'Таблиця 1'!$E:$E,"група РЕР",'Таблиця 1'!$L:$L,"Уражено"))</f>
        <v/>
      </c>
      <c r="R426">
        <f>IF($A426="","",COUNTIFS('Таблиця 1'!$B:$B,$A426,'Таблиця 1'!$E:$E,"РЛС КББ",'Таблиця 1'!$L:$L,"Уражено"))</f>
        <v/>
      </c>
      <c r="S426">
        <f>IF($A426="","",COUNTIFS('Таблиця 1'!$B:$B,$A426,'Таблиця 1'!$E:$E,"Ретранслятор",'Таблиця 1'!$L:$L,"Уражено"))</f>
        <v/>
      </c>
      <c r="T426">
        <f>IF($A426="","",COUNTIFS('Таблиця 1'!$B:$B,$A426,'Таблиця 1'!$E:$E,"Вз.зв'язку",'Таблиця 1'!$L:$L,"Уражено"))</f>
        <v/>
      </c>
      <c r="U426">
        <f>IF($A426="","",COUNTIFS('Таблиця 1'!$B:$B,$A426,'Таблиця 1'!$E:$E,"ПММ",'Таблиця 1'!$L:$L,"Уражено"))</f>
        <v/>
      </c>
      <c r="V426">
        <f>IF($A426="","",COUNTIFS('Таблиця 1'!$B:$B,$A426,'Таблиця 1'!$E:$E,"ІФС",'Таблиця 1'!$L:$L,"Уражено"))</f>
        <v/>
      </c>
      <c r="W426">
        <f>IF($A426="","",COUNTIFS('Таблиця 1'!$B:$B,$A426,'Таблиця 1'!$E:$E,"Інфраструктура",'Таблиця 1'!$L:$L,"Уражено"))</f>
        <v/>
      </c>
      <c r="X426">
        <f>IF($A426="","",SUMIFS('Таблиця 1'!$K:$K,'Таблиця 1'!$B:$B,$A426))</f>
        <v/>
      </c>
    </row>
    <row r="427">
      <c r="A427" s="81">
        <f>IF(A426="","",IF(A426+1&gt;MAX('Таблиця 1'!$B:$B),"",A426+1))</f>
        <v/>
      </c>
      <c r="B427">
        <f>IF($A427="","",COUNTIFS('Таблиця 1'!$B:$B,$A427,'Таблиця 1'!$E:$E,"ЖС ВЗ",'Таблиця 1'!$L:$L,"Уражено"))</f>
        <v/>
      </c>
      <c r="C427">
        <f>IF($A427="","",COUNTIFS('Таблиця 1'!$B:$B,$A427,'Таблиця 1'!$E:$E,"Арт. Системи",'Таблиця 1'!$L:$L,"Уражено"))</f>
        <v/>
      </c>
      <c r="D427">
        <f>IF($A427="","",COUNTIFS('Таблиця 1'!$B:$B,$A427,'Таблиця 1'!$E:$E,"ОВТ",'Таблиця 1'!$L:$L,"Уражено"))</f>
        <v/>
      </c>
      <c r="E427">
        <f>IF($A427="","",COUNTIFS('Таблиця 1'!$B:$B,$A427,'Таблиця 1'!$E:$E,"ППО",'Таблиця 1'!$L:$L,"Уражено"))</f>
        <v/>
      </c>
      <c r="F427">
        <f>IF($A427="","",COUNTIFS('Таблиця 1'!$B:$B,$A427,'Таблиця 1'!$E:$E,"Рембаза",'Таблиця 1'!$L:$L,"Уражено"))</f>
        <v/>
      </c>
      <c r="G427">
        <f>IF($A427="","",COUNTIFS('Таблиця 1'!$B:$B,$A427,'Таблиця 1'!$E:$E,"Склад БК",'Таблиця 1'!$L:$L,"Уражено"))</f>
        <v/>
      </c>
      <c r="H427">
        <f>IF($A427="","",COUNTIFS('Таблиця 1'!$B:$B,$A427,'Таблиця 1'!$E:$E,"Склад ВТМ",'Таблиця 1'!$L:$L,"Уражено"))</f>
        <v/>
      </c>
      <c r="I427">
        <f>IF($A427="","",COUNTIFS('Таблиця 1'!$B:$B,$A427,'Таблиця 1'!$E:$E,"ПУ БпЛА",'Таблиця 1'!$L:$L,"Уражено"))</f>
        <v/>
      </c>
      <c r="J427">
        <f>IF($A427="","",COUNTIFS('Таблиця 1'!$B:$B,$A427,'Таблиця 1'!$E:$E,"СП",'Таблиця 1'!$L:$L,"Уражено"))</f>
        <v/>
      </c>
      <c r="K427">
        <f>IF($A427="","",COUNTIFS('Таблиця 1'!$B:$B,$A427,'Таблиця 1'!$E:$E,"КСП роти",'Таблиця 1'!$L:$L,"Уражено"))</f>
        <v/>
      </c>
      <c r="L427">
        <f>IF($A427="","",COUNTIFS('Таблиця 1'!$B:$B,$A427,'Таблиця 1'!$E:$E,"ПУ бат",'Таблиця 1'!$L:$L,"Уражено"))</f>
        <v/>
      </c>
      <c r="M427">
        <f>IF($A427="","",COUNTIFS('Таблиця 1'!$B:$B,$A427,'Таблиця 1'!$E:$E,"ПУ бриг",'Таблиця 1'!$L:$L,"Уражено"))</f>
        <v/>
      </c>
      <c r="N427">
        <f>IF($A427="","",COUNTIFS('Таблиця 1'!$B:$B,$A427,'Таблиця 1'!$E:$E,"ПУ див",'Таблиця 1'!$L:$L,"Уражено"))</f>
        <v/>
      </c>
      <c r="O427">
        <f>IF($A427="","",COUNTIFS('Таблиця 1'!$B:$B,$A427,'Таблиця 1'!$E:$E,"обл. РЕБ",'Таблиця 1'!$L:$L,"Уражено"))</f>
        <v/>
      </c>
      <c r="P427">
        <f>IF($A427="","",COUNTIFS('Таблиця 1'!$B:$B,$A427,'Таблиця 1'!$E:$E,"пос РЕБ",'Таблиця 1'!$L:$L,"Уражено"))</f>
        <v/>
      </c>
      <c r="Q427">
        <f>IF($A427="","",COUNTIFS('Таблиця 1'!$B:$B,$A427,'Таблиця 1'!$E:$E,"група РЕР",'Таблиця 1'!$L:$L,"Уражено"))</f>
        <v/>
      </c>
      <c r="R427">
        <f>IF($A427="","",COUNTIFS('Таблиця 1'!$B:$B,$A427,'Таблиця 1'!$E:$E,"РЛС КББ",'Таблиця 1'!$L:$L,"Уражено"))</f>
        <v/>
      </c>
      <c r="S427">
        <f>IF($A427="","",COUNTIFS('Таблиця 1'!$B:$B,$A427,'Таблиця 1'!$E:$E,"Ретранслятор",'Таблиця 1'!$L:$L,"Уражено"))</f>
        <v/>
      </c>
      <c r="T427">
        <f>IF($A427="","",COUNTIFS('Таблиця 1'!$B:$B,$A427,'Таблиця 1'!$E:$E,"Вз.зв'язку",'Таблиця 1'!$L:$L,"Уражено"))</f>
        <v/>
      </c>
      <c r="U427">
        <f>IF($A427="","",COUNTIFS('Таблиця 1'!$B:$B,$A427,'Таблиця 1'!$E:$E,"ПММ",'Таблиця 1'!$L:$L,"Уражено"))</f>
        <v/>
      </c>
      <c r="V427">
        <f>IF($A427="","",COUNTIFS('Таблиця 1'!$B:$B,$A427,'Таблиця 1'!$E:$E,"ІФС",'Таблиця 1'!$L:$L,"Уражено"))</f>
        <v/>
      </c>
      <c r="W427">
        <f>IF($A427="","",COUNTIFS('Таблиця 1'!$B:$B,$A427,'Таблиця 1'!$E:$E,"Інфраструктура",'Таблиця 1'!$L:$L,"Уражено"))</f>
        <v/>
      </c>
      <c r="X427">
        <f>IF($A427="","",SUMIFS('Таблиця 1'!$K:$K,'Таблиця 1'!$B:$B,$A427))</f>
        <v/>
      </c>
    </row>
    <row r="428">
      <c r="A428" s="81">
        <f>IF(A427="","",IF(A427+1&gt;MAX('Таблиця 1'!$B:$B),"",A427+1))</f>
        <v/>
      </c>
      <c r="B428">
        <f>IF($A428="","",COUNTIFS('Таблиця 1'!$B:$B,$A428,'Таблиця 1'!$E:$E,"ЖС ВЗ",'Таблиця 1'!$L:$L,"Уражено"))</f>
        <v/>
      </c>
      <c r="C428">
        <f>IF($A428="","",COUNTIFS('Таблиця 1'!$B:$B,$A428,'Таблиця 1'!$E:$E,"Арт. Системи",'Таблиця 1'!$L:$L,"Уражено"))</f>
        <v/>
      </c>
      <c r="D428">
        <f>IF($A428="","",COUNTIFS('Таблиця 1'!$B:$B,$A428,'Таблиця 1'!$E:$E,"ОВТ",'Таблиця 1'!$L:$L,"Уражено"))</f>
        <v/>
      </c>
      <c r="E428">
        <f>IF($A428="","",COUNTIFS('Таблиця 1'!$B:$B,$A428,'Таблиця 1'!$E:$E,"ППО",'Таблиця 1'!$L:$L,"Уражено"))</f>
        <v/>
      </c>
      <c r="F428">
        <f>IF($A428="","",COUNTIFS('Таблиця 1'!$B:$B,$A428,'Таблиця 1'!$E:$E,"Рембаза",'Таблиця 1'!$L:$L,"Уражено"))</f>
        <v/>
      </c>
      <c r="G428">
        <f>IF($A428="","",COUNTIFS('Таблиця 1'!$B:$B,$A428,'Таблиця 1'!$E:$E,"Склад БК",'Таблиця 1'!$L:$L,"Уражено"))</f>
        <v/>
      </c>
      <c r="H428">
        <f>IF($A428="","",COUNTIFS('Таблиця 1'!$B:$B,$A428,'Таблиця 1'!$E:$E,"Склад ВТМ",'Таблиця 1'!$L:$L,"Уражено"))</f>
        <v/>
      </c>
      <c r="I428">
        <f>IF($A428="","",COUNTIFS('Таблиця 1'!$B:$B,$A428,'Таблиця 1'!$E:$E,"ПУ БпЛА",'Таблиця 1'!$L:$L,"Уражено"))</f>
        <v/>
      </c>
      <c r="J428">
        <f>IF($A428="","",COUNTIFS('Таблиця 1'!$B:$B,$A428,'Таблиця 1'!$E:$E,"СП",'Таблиця 1'!$L:$L,"Уражено"))</f>
        <v/>
      </c>
      <c r="K428">
        <f>IF($A428="","",COUNTIFS('Таблиця 1'!$B:$B,$A428,'Таблиця 1'!$E:$E,"КСП роти",'Таблиця 1'!$L:$L,"Уражено"))</f>
        <v/>
      </c>
      <c r="L428">
        <f>IF($A428="","",COUNTIFS('Таблиця 1'!$B:$B,$A428,'Таблиця 1'!$E:$E,"ПУ бат",'Таблиця 1'!$L:$L,"Уражено"))</f>
        <v/>
      </c>
      <c r="M428">
        <f>IF($A428="","",COUNTIFS('Таблиця 1'!$B:$B,$A428,'Таблиця 1'!$E:$E,"ПУ бриг",'Таблиця 1'!$L:$L,"Уражено"))</f>
        <v/>
      </c>
      <c r="N428">
        <f>IF($A428="","",COUNTIFS('Таблиця 1'!$B:$B,$A428,'Таблиця 1'!$E:$E,"ПУ див",'Таблиця 1'!$L:$L,"Уражено"))</f>
        <v/>
      </c>
      <c r="O428">
        <f>IF($A428="","",COUNTIFS('Таблиця 1'!$B:$B,$A428,'Таблиця 1'!$E:$E,"обл. РЕБ",'Таблиця 1'!$L:$L,"Уражено"))</f>
        <v/>
      </c>
      <c r="P428">
        <f>IF($A428="","",COUNTIFS('Таблиця 1'!$B:$B,$A428,'Таблиця 1'!$E:$E,"пос РЕБ",'Таблиця 1'!$L:$L,"Уражено"))</f>
        <v/>
      </c>
      <c r="Q428">
        <f>IF($A428="","",COUNTIFS('Таблиця 1'!$B:$B,$A428,'Таблиця 1'!$E:$E,"група РЕР",'Таблиця 1'!$L:$L,"Уражено"))</f>
        <v/>
      </c>
      <c r="R428">
        <f>IF($A428="","",COUNTIFS('Таблиця 1'!$B:$B,$A428,'Таблиця 1'!$E:$E,"РЛС КББ",'Таблиця 1'!$L:$L,"Уражено"))</f>
        <v/>
      </c>
      <c r="S428">
        <f>IF($A428="","",COUNTIFS('Таблиця 1'!$B:$B,$A428,'Таблиця 1'!$E:$E,"Ретранслятор",'Таблиця 1'!$L:$L,"Уражено"))</f>
        <v/>
      </c>
      <c r="T428">
        <f>IF($A428="","",COUNTIFS('Таблиця 1'!$B:$B,$A428,'Таблиця 1'!$E:$E,"Вз.зв'язку",'Таблиця 1'!$L:$L,"Уражено"))</f>
        <v/>
      </c>
      <c r="U428">
        <f>IF($A428="","",COUNTIFS('Таблиця 1'!$B:$B,$A428,'Таблиця 1'!$E:$E,"ПММ",'Таблиця 1'!$L:$L,"Уражено"))</f>
        <v/>
      </c>
      <c r="V428">
        <f>IF($A428="","",COUNTIFS('Таблиця 1'!$B:$B,$A428,'Таблиця 1'!$E:$E,"ІФС",'Таблиця 1'!$L:$L,"Уражено"))</f>
        <v/>
      </c>
      <c r="W428">
        <f>IF($A428="","",COUNTIFS('Таблиця 1'!$B:$B,$A428,'Таблиця 1'!$E:$E,"Інфраструктура",'Таблиця 1'!$L:$L,"Уражено"))</f>
        <v/>
      </c>
      <c r="X428">
        <f>IF($A428="","",SUMIFS('Таблиця 1'!$K:$K,'Таблиця 1'!$B:$B,$A428))</f>
        <v/>
      </c>
    </row>
    <row r="429">
      <c r="A429" s="81">
        <f>IF(A428="","",IF(A428+1&gt;MAX('Таблиця 1'!$B:$B),"",A428+1))</f>
        <v/>
      </c>
      <c r="B429">
        <f>IF($A429="","",COUNTIFS('Таблиця 1'!$B:$B,$A429,'Таблиця 1'!$E:$E,"ЖС ВЗ",'Таблиця 1'!$L:$L,"Уражено"))</f>
        <v/>
      </c>
      <c r="C429">
        <f>IF($A429="","",COUNTIFS('Таблиця 1'!$B:$B,$A429,'Таблиця 1'!$E:$E,"Арт. Системи",'Таблиця 1'!$L:$L,"Уражено"))</f>
        <v/>
      </c>
      <c r="D429">
        <f>IF($A429="","",COUNTIFS('Таблиця 1'!$B:$B,$A429,'Таблиця 1'!$E:$E,"ОВТ",'Таблиця 1'!$L:$L,"Уражено"))</f>
        <v/>
      </c>
      <c r="E429">
        <f>IF($A429="","",COUNTIFS('Таблиця 1'!$B:$B,$A429,'Таблиця 1'!$E:$E,"ППО",'Таблиця 1'!$L:$L,"Уражено"))</f>
        <v/>
      </c>
      <c r="F429">
        <f>IF($A429="","",COUNTIFS('Таблиця 1'!$B:$B,$A429,'Таблиця 1'!$E:$E,"Рембаза",'Таблиця 1'!$L:$L,"Уражено"))</f>
        <v/>
      </c>
      <c r="G429">
        <f>IF($A429="","",COUNTIFS('Таблиця 1'!$B:$B,$A429,'Таблиця 1'!$E:$E,"Склад БК",'Таблиця 1'!$L:$L,"Уражено"))</f>
        <v/>
      </c>
      <c r="H429">
        <f>IF($A429="","",COUNTIFS('Таблиця 1'!$B:$B,$A429,'Таблиця 1'!$E:$E,"Склад ВТМ",'Таблиця 1'!$L:$L,"Уражено"))</f>
        <v/>
      </c>
      <c r="I429">
        <f>IF($A429="","",COUNTIFS('Таблиця 1'!$B:$B,$A429,'Таблиця 1'!$E:$E,"ПУ БпЛА",'Таблиця 1'!$L:$L,"Уражено"))</f>
        <v/>
      </c>
      <c r="J429">
        <f>IF($A429="","",COUNTIFS('Таблиця 1'!$B:$B,$A429,'Таблиця 1'!$E:$E,"СП",'Таблиця 1'!$L:$L,"Уражено"))</f>
        <v/>
      </c>
      <c r="K429">
        <f>IF($A429="","",COUNTIFS('Таблиця 1'!$B:$B,$A429,'Таблиця 1'!$E:$E,"КСП роти",'Таблиця 1'!$L:$L,"Уражено"))</f>
        <v/>
      </c>
      <c r="L429">
        <f>IF($A429="","",COUNTIFS('Таблиця 1'!$B:$B,$A429,'Таблиця 1'!$E:$E,"ПУ бат",'Таблиця 1'!$L:$L,"Уражено"))</f>
        <v/>
      </c>
      <c r="M429">
        <f>IF($A429="","",COUNTIFS('Таблиця 1'!$B:$B,$A429,'Таблиця 1'!$E:$E,"ПУ бриг",'Таблиця 1'!$L:$L,"Уражено"))</f>
        <v/>
      </c>
      <c r="N429">
        <f>IF($A429="","",COUNTIFS('Таблиця 1'!$B:$B,$A429,'Таблиця 1'!$E:$E,"ПУ див",'Таблиця 1'!$L:$L,"Уражено"))</f>
        <v/>
      </c>
      <c r="O429">
        <f>IF($A429="","",COUNTIFS('Таблиця 1'!$B:$B,$A429,'Таблиця 1'!$E:$E,"обл. РЕБ",'Таблиця 1'!$L:$L,"Уражено"))</f>
        <v/>
      </c>
      <c r="P429">
        <f>IF($A429="","",COUNTIFS('Таблиця 1'!$B:$B,$A429,'Таблиця 1'!$E:$E,"пос РЕБ",'Таблиця 1'!$L:$L,"Уражено"))</f>
        <v/>
      </c>
      <c r="Q429">
        <f>IF($A429="","",COUNTIFS('Таблиця 1'!$B:$B,$A429,'Таблиця 1'!$E:$E,"група РЕР",'Таблиця 1'!$L:$L,"Уражено"))</f>
        <v/>
      </c>
      <c r="R429">
        <f>IF($A429="","",COUNTIFS('Таблиця 1'!$B:$B,$A429,'Таблиця 1'!$E:$E,"РЛС КББ",'Таблиця 1'!$L:$L,"Уражено"))</f>
        <v/>
      </c>
      <c r="S429">
        <f>IF($A429="","",COUNTIFS('Таблиця 1'!$B:$B,$A429,'Таблиця 1'!$E:$E,"Ретранслятор",'Таблиця 1'!$L:$L,"Уражено"))</f>
        <v/>
      </c>
      <c r="T429">
        <f>IF($A429="","",COUNTIFS('Таблиця 1'!$B:$B,$A429,'Таблиця 1'!$E:$E,"Вз.зв'язку",'Таблиця 1'!$L:$L,"Уражено"))</f>
        <v/>
      </c>
      <c r="U429">
        <f>IF($A429="","",COUNTIFS('Таблиця 1'!$B:$B,$A429,'Таблиця 1'!$E:$E,"ПММ",'Таблиця 1'!$L:$L,"Уражено"))</f>
        <v/>
      </c>
      <c r="V429">
        <f>IF($A429="","",COUNTIFS('Таблиця 1'!$B:$B,$A429,'Таблиця 1'!$E:$E,"ІФС",'Таблиця 1'!$L:$L,"Уражено"))</f>
        <v/>
      </c>
      <c r="W429">
        <f>IF($A429="","",COUNTIFS('Таблиця 1'!$B:$B,$A429,'Таблиця 1'!$E:$E,"Інфраструктура",'Таблиця 1'!$L:$L,"Уражено"))</f>
        <v/>
      </c>
      <c r="X429">
        <f>IF($A429="","",SUMIFS('Таблиця 1'!$K:$K,'Таблиця 1'!$B:$B,$A429))</f>
        <v/>
      </c>
    </row>
    <row r="430">
      <c r="A430" s="81">
        <f>IF(A429="","",IF(A429+1&gt;MAX('Таблиця 1'!$B:$B),"",A429+1))</f>
        <v/>
      </c>
      <c r="B430">
        <f>IF($A430="","",COUNTIFS('Таблиця 1'!$B:$B,$A430,'Таблиця 1'!$E:$E,"ЖС ВЗ",'Таблиця 1'!$L:$L,"Уражено"))</f>
        <v/>
      </c>
      <c r="C430">
        <f>IF($A430="","",COUNTIFS('Таблиця 1'!$B:$B,$A430,'Таблиця 1'!$E:$E,"Арт. Системи",'Таблиця 1'!$L:$L,"Уражено"))</f>
        <v/>
      </c>
      <c r="D430">
        <f>IF($A430="","",COUNTIFS('Таблиця 1'!$B:$B,$A430,'Таблиця 1'!$E:$E,"ОВТ",'Таблиця 1'!$L:$L,"Уражено"))</f>
        <v/>
      </c>
      <c r="E430">
        <f>IF($A430="","",COUNTIFS('Таблиця 1'!$B:$B,$A430,'Таблиця 1'!$E:$E,"ППО",'Таблиця 1'!$L:$L,"Уражено"))</f>
        <v/>
      </c>
      <c r="F430">
        <f>IF($A430="","",COUNTIFS('Таблиця 1'!$B:$B,$A430,'Таблиця 1'!$E:$E,"Рембаза",'Таблиця 1'!$L:$L,"Уражено"))</f>
        <v/>
      </c>
      <c r="G430">
        <f>IF($A430="","",COUNTIFS('Таблиця 1'!$B:$B,$A430,'Таблиця 1'!$E:$E,"Склад БК",'Таблиця 1'!$L:$L,"Уражено"))</f>
        <v/>
      </c>
      <c r="H430">
        <f>IF($A430="","",COUNTIFS('Таблиця 1'!$B:$B,$A430,'Таблиця 1'!$E:$E,"Склад ВТМ",'Таблиця 1'!$L:$L,"Уражено"))</f>
        <v/>
      </c>
      <c r="I430">
        <f>IF($A430="","",COUNTIFS('Таблиця 1'!$B:$B,$A430,'Таблиця 1'!$E:$E,"ПУ БпЛА",'Таблиця 1'!$L:$L,"Уражено"))</f>
        <v/>
      </c>
      <c r="J430">
        <f>IF($A430="","",COUNTIFS('Таблиця 1'!$B:$B,$A430,'Таблиця 1'!$E:$E,"СП",'Таблиця 1'!$L:$L,"Уражено"))</f>
        <v/>
      </c>
      <c r="K430">
        <f>IF($A430="","",COUNTIFS('Таблиця 1'!$B:$B,$A430,'Таблиця 1'!$E:$E,"КСП роти",'Таблиця 1'!$L:$L,"Уражено"))</f>
        <v/>
      </c>
      <c r="L430">
        <f>IF($A430="","",COUNTIFS('Таблиця 1'!$B:$B,$A430,'Таблиця 1'!$E:$E,"ПУ бат",'Таблиця 1'!$L:$L,"Уражено"))</f>
        <v/>
      </c>
      <c r="M430">
        <f>IF($A430="","",COUNTIFS('Таблиця 1'!$B:$B,$A430,'Таблиця 1'!$E:$E,"ПУ бриг",'Таблиця 1'!$L:$L,"Уражено"))</f>
        <v/>
      </c>
      <c r="N430">
        <f>IF($A430="","",COUNTIFS('Таблиця 1'!$B:$B,$A430,'Таблиця 1'!$E:$E,"ПУ див",'Таблиця 1'!$L:$L,"Уражено"))</f>
        <v/>
      </c>
      <c r="O430">
        <f>IF($A430="","",COUNTIFS('Таблиця 1'!$B:$B,$A430,'Таблиця 1'!$E:$E,"обл. РЕБ",'Таблиця 1'!$L:$L,"Уражено"))</f>
        <v/>
      </c>
      <c r="P430">
        <f>IF($A430="","",COUNTIFS('Таблиця 1'!$B:$B,$A430,'Таблиця 1'!$E:$E,"пос РЕБ",'Таблиця 1'!$L:$L,"Уражено"))</f>
        <v/>
      </c>
      <c r="Q430">
        <f>IF($A430="","",COUNTIFS('Таблиця 1'!$B:$B,$A430,'Таблиця 1'!$E:$E,"група РЕР",'Таблиця 1'!$L:$L,"Уражено"))</f>
        <v/>
      </c>
      <c r="R430">
        <f>IF($A430="","",COUNTIFS('Таблиця 1'!$B:$B,$A430,'Таблиця 1'!$E:$E,"РЛС КББ",'Таблиця 1'!$L:$L,"Уражено"))</f>
        <v/>
      </c>
      <c r="S430">
        <f>IF($A430="","",COUNTIFS('Таблиця 1'!$B:$B,$A430,'Таблиця 1'!$E:$E,"Ретранслятор",'Таблиця 1'!$L:$L,"Уражено"))</f>
        <v/>
      </c>
      <c r="T430">
        <f>IF($A430="","",COUNTIFS('Таблиця 1'!$B:$B,$A430,'Таблиця 1'!$E:$E,"Вз.зв'язку",'Таблиця 1'!$L:$L,"Уражено"))</f>
        <v/>
      </c>
      <c r="U430">
        <f>IF($A430="","",COUNTIFS('Таблиця 1'!$B:$B,$A430,'Таблиця 1'!$E:$E,"ПММ",'Таблиця 1'!$L:$L,"Уражено"))</f>
        <v/>
      </c>
      <c r="V430">
        <f>IF($A430="","",COUNTIFS('Таблиця 1'!$B:$B,$A430,'Таблиця 1'!$E:$E,"ІФС",'Таблиця 1'!$L:$L,"Уражено"))</f>
        <v/>
      </c>
      <c r="W430">
        <f>IF($A430="","",COUNTIFS('Таблиця 1'!$B:$B,$A430,'Таблиця 1'!$E:$E,"Інфраструктура",'Таблиця 1'!$L:$L,"Уражено"))</f>
        <v/>
      </c>
      <c r="X430">
        <f>IF($A430="","",SUMIFS('Таблиця 1'!$K:$K,'Таблиця 1'!$B:$B,$A430))</f>
        <v/>
      </c>
    </row>
    <row r="431">
      <c r="A431" s="81">
        <f>IF(A430="","",IF(A430+1&gt;MAX('Таблиця 1'!$B:$B),"",A430+1))</f>
        <v/>
      </c>
      <c r="B431">
        <f>IF($A431="","",COUNTIFS('Таблиця 1'!$B:$B,$A431,'Таблиця 1'!$E:$E,"ЖС ВЗ",'Таблиця 1'!$L:$L,"Уражено"))</f>
        <v/>
      </c>
      <c r="C431">
        <f>IF($A431="","",COUNTIFS('Таблиця 1'!$B:$B,$A431,'Таблиця 1'!$E:$E,"Арт. Системи",'Таблиця 1'!$L:$L,"Уражено"))</f>
        <v/>
      </c>
      <c r="D431">
        <f>IF($A431="","",COUNTIFS('Таблиця 1'!$B:$B,$A431,'Таблиця 1'!$E:$E,"ОВТ",'Таблиця 1'!$L:$L,"Уражено"))</f>
        <v/>
      </c>
      <c r="E431">
        <f>IF($A431="","",COUNTIFS('Таблиця 1'!$B:$B,$A431,'Таблиця 1'!$E:$E,"ППО",'Таблиця 1'!$L:$L,"Уражено"))</f>
        <v/>
      </c>
      <c r="F431">
        <f>IF($A431="","",COUNTIFS('Таблиця 1'!$B:$B,$A431,'Таблиця 1'!$E:$E,"Рембаза",'Таблиця 1'!$L:$L,"Уражено"))</f>
        <v/>
      </c>
      <c r="G431">
        <f>IF($A431="","",COUNTIFS('Таблиця 1'!$B:$B,$A431,'Таблиця 1'!$E:$E,"Склад БК",'Таблиця 1'!$L:$L,"Уражено"))</f>
        <v/>
      </c>
      <c r="H431">
        <f>IF($A431="","",COUNTIFS('Таблиця 1'!$B:$B,$A431,'Таблиця 1'!$E:$E,"Склад ВТМ",'Таблиця 1'!$L:$L,"Уражено"))</f>
        <v/>
      </c>
      <c r="I431">
        <f>IF($A431="","",COUNTIFS('Таблиця 1'!$B:$B,$A431,'Таблиця 1'!$E:$E,"ПУ БпЛА",'Таблиця 1'!$L:$L,"Уражено"))</f>
        <v/>
      </c>
      <c r="J431">
        <f>IF($A431="","",COUNTIFS('Таблиця 1'!$B:$B,$A431,'Таблиця 1'!$E:$E,"СП",'Таблиця 1'!$L:$L,"Уражено"))</f>
        <v/>
      </c>
      <c r="K431">
        <f>IF($A431="","",COUNTIFS('Таблиця 1'!$B:$B,$A431,'Таблиця 1'!$E:$E,"КСП роти",'Таблиця 1'!$L:$L,"Уражено"))</f>
        <v/>
      </c>
      <c r="L431">
        <f>IF($A431="","",COUNTIFS('Таблиця 1'!$B:$B,$A431,'Таблиця 1'!$E:$E,"ПУ бат",'Таблиця 1'!$L:$L,"Уражено"))</f>
        <v/>
      </c>
      <c r="M431">
        <f>IF($A431="","",COUNTIFS('Таблиця 1'!$B:$B,$A431,'Таблиця 1'!$E:$E,"ПУ бриг",'Таблиця 1'!$L:$L,"Уражено"))</f>
        <v/>
      </c>
      <c r="N431">
        <f>IF($A431="","",COUNTIFS('Таблиця 1'!$B:$B,$A431,'Таблиця 1'!$E:$E,"ПУ див",'Таблиця 1'!$L:$L,"Уражено"))</f>
        <v/>
      </c>
      <c r="O431">
        <f>IF($A431="","",COUNTIFS('Таблиця 1'!$B:$B,$A431,'Таблиця 1'!$E:$E,"обл. РЕБ",'Таблиця 1'!$L:$L,"Уражено"))</f>
        <v/>
      </c>
      <c r="P431">
        <f>IF($A431="","",COUNTIFS('Таблиця 1'!$B:$B,$A431,'Таблиця 1'!$E:$E,"пос РЕБ",'Таблиця 1'!$L:$L,"Уражено"))</f>
        <v/>
      </c>
      <c r="Q431">
        <f>IF($A431="","",COUNTIFS('Таблиця 1'!$B:$B,$A431,'Таблиця 1'!$E:$E,"група РЕР",'Таблиця 1'!$L:$L,"Уражено"))</f>
        <v/>
      </c>
      <c r="R431">
        <f>IF($A431="","",COUNTIFS('Таблиця 1'!$B:$B,$A431,'Таблиця 1'!$E:$E,"РЛС КББ",'Таблиця 1'!$L:$L,"Уражено"))</f>
        <v/>
      </c>
      <c r="S431">
        <f>IF($A431="","",COUNTIFS('Таблиця 1'!$B:$B,$A431,'Таблиця 1'!$E:$E,"Ретранслятор",'Таблиця 1'!$L:$L,"Уражено"))</f>
        <v/>
      </c>
      <c r="T431">
        <f>IF($A431="","",COUNTIFS('Таблиця 1'!$B:$B,$A431,'Таблиця 1'!$E:$E,"Вз.зв'язку",'Таблиця 1'!$L:$L,"Уражено"))</f>
        <v/>
      </c>
      <c r="U431">
        <f>IF($A431="","",COUNTIFS('Таблиця 1'!$B:$B,$A431,'Таблиця 1'!$E:$E,"ПММ",'Таблиця 1'!$L:$L,"Уражено"))</f>
        <v/>
      </c>
      <c r="V431">
        <f>IF($A431="","",COUNTIFS('Таблиця 1'!$B:$B,$A431,'Таблиця 1'!$E:$E,"ІФС",'Таблиця 1'!$L:$L,"Уражено"))</f>
        <v/>
      </c>
      <c r="W431">
        <f>IF($A431="","",COUNTIFS('Таблиця 1'!$B:$B,$A431,'Таблиця 1'!$E:$E,"Інфраструктура",'Таблиця 1'!$L:$L,"Уражено"))</f>
        <v/>
      </c>
      <c r="X431">
        <f>IF($A431="","",SUMIFS('Таблиця 1'!$K:$K,'Таблиця 1'!$B:$B,$A431))</f>
        <v/>
      </c>
    </row>
    <row r="432">
      <c r="A432" s="81">
        <f>IF(A431="","",IF(A431+1&gt;MAX('Таблиця 1'!$B:$B),"",A431+1))</f>
        <v/>
      </c>
      <c r="B432">
        <f>IF($A432="","",COUNTIFS('Таблиця 1'!$B:$B,$A432,'Таблиця 1'!$E:$E,"ЖС ВЗ",'Таблиця 1'!$L:$L,"Уражено"))</f>
        <v/>
      </c>
      <c r="C432">
        <f>IF($A432="","",COUNTIFS('Таблиця 1'!$B:$B,$A432,'Таблиця 1'!$E:$E,"Арт. Системи",'Таблиця 1'!$L:$L,"Уражено"))</f>
        <v/>
      </c>
      <c r="D432">
        <f>IF($A432="","",COUNTIFS('Таблиця 1'!$B:$B,$A432,'Таблиця 1'!$E:$E,"ОВТ",'Таблиця 1'!$L:$L,"Уражено"))</f>
        <v/>
      </c>
      <c r="E432">
        <f>IF($A432="","",COUNTIFS('Таблиця 1'!$B:$B,$A432,'Таблиця 1'!$E:$E,"ППО",'Таблиця 1'!$L:$L,"Уражено"))</f>
        <v/>
      </c>
      <c r="F432">
        <f>IF($A432="","",COUNTIFS('Таблиця 1'!$B:$B,$A432,'Таблиця 1'!$E:$E,"Рембаза",'Таблиця 1'!$L:$L,"Уражено"))</f>
        <v/>
      </c>
      <c r="G432">
        <f>IF($A432="","",COUNTIFS('Таблиця 1'!$B:$B,$A432,'Таблиця 1'!$E:$E,"Склад БК",'Таблиця 1'!$L:$L,"Уражено"))</f>
        <v/>
      </c>
      <c r="H432">
        <f>IF($A432="","",COUNTIFS('Таблиця 1'!$B:$B,$A432,'Таблиця 1'!$E:$E,"Склад ВТМ",'Таблиця 1'!$L:$L,"Уражено"))</f>
        <v/>
      </c>
      <c r="I432">
        <f>IF($A432="","",COUNTIFS('Таблиця 1'!$B:$B,$A432,'Таблиця 1'!$E:$E,"ПУ БпЛА",'Таблиця 1'!$L:$L,"Уражено"))</f>
        <v/>
      </c>
      <c r="J432">
        <f>IF($A432="","",COUNTIFS('Таблиця 1'!$B:$B,$A432,'Таблиця 1'!$E:$E,"СП",'Таблиця 1'!$L:$L,"Уражено"))</f>
        <v/>
      </c>
      <c r="K432">
        <f>IF($A432="","",COUNTIFS('Таблиця 1'!$B:$B,$A432,'Таблиця 1'!$E:$E,"КСП роти",'Таблиця 1'!$L:$L,"Уражено"))</f>
        <v/>
      </c>
      <c r="L432">
        <f>IF($A432="","",COUNTIFS('Таблиця 1'!$B:$B,$A432,'Таблиця 1'!$E:$E,"ПУ бат",'Таблиця 1'!$L:$L,"Уражено"))</f>
        <v/>
      </c>
      <c r="M432">
        <f>IF($A432="","",COUNTIFS('Таблиця 1'!$B:$B,$A432,'Таблиця 1'!$E:$E,"ПУ бриг",'Таблиця 1'!$L:$L,"Уражено"))</f>
        <v/>
      </c>
      <c r="N432">
        <f>IF($A432="","",COUNTIFS('Таблиця 1'!$B:$B,$A432,'Таблиця 1'!$E:$E,"ПУ див",'Таблиця 1'!$L:$L,"Уражено"))</f>
        <v/>
      </c>
      <c r="O432">
        <f>IF($A432="","",COUNTIFS('Таблиця 1'!$B:$B,$A432,'Таблиця 1'!$E:$E,"обл. РЕБ",'Таблиця 1'!$L:$L,"Уражено"))</f>
        <v/>
      </c>
      <c r="P432">
        <f>IF($A432="","",COUNTIFS('Таблиця 1'!$B:$B,$A432,'Таблиця 1'!$E:$E,"пос РЕБ",'Таблиця 1'!$L:$L,"Уражено"))</f>
        <v/>
      </c>
      <c r="Q432">
        <f>IF($A432="","",COUNTIFS('Таблиця 1'!$B:$B,$A432,'Таблиця 1'!$E:$E,"група РЕР",'Таблиця 1'!$L:$L,"Уражено"))</f>
        <v/>
      </c>
      <c r="R432">
        <f>IF($A432="","",COUNTIFS('Таблиця 1'!$B:$B,$A432,'Таблиця 1'!$E:$E,"РЛС КББ",'Таблиця 1'!$L:$L,"Уражено"))</f>
        <v/>
      </c>
      <c r="S432">
        <f>IF($A432="","",COUNTIFS('Таблиця 1'!$B:$B,$A432,'Таблиця 1'!$E:$E,"Ретранслятор",'Таблиця 1'!$L:$L,"Уражено"))</f>
        <v/>
      </c>
      <c r="T432">
        <f>IF($A432="","",COUNTIFS('Таблиця 1'!$B:$B,$A432,'Таблиця 1'!$E:$E,"Вз.зв'язку",'Таблиця 1'!$L:$L,"Уражено"))</f>
        <v/>
      </c>
      <c r="U432">
        <f>IF($A432="","",COUNTIFS('Таблиця 1'!$B:$B,$A432,'Таблиця 1'!$E:$E,"ПММ",'Таблиця 1'!$L:$L,"Уражено"))</f>
        <v/>
      </c>
      <c r="V432">
        <f>IF($A432="","",COUNTIFS('Таблиця 1'!$B:$B,$A432,'Таблиця 1'!$E:$E,"ІФС",'Таблиця 1'!$L:$L,"Уражено"))</f>
        <v/>
      </c>
      <c r="W432">
        <f>IF($A432="","",COUNTIFS('Таблиця 1'!$B:$B,$A432,'Таблиця 1'!$E:$E,"Інфраструктура",'Таблиця 1'!$L:$L,"Уражено"))</f>
        <v/>
      </c>
      <c r="X432">
        <f>IF($A432="","",SUMIFS('Таблиця 1'!$K:$K,'Таблиця 1'!$B:$B,$A432))</f>
        <v/>
      </c>
    </row>
    <row r="433">
      <c r="A433" s="81">
        <f>IF(A432="","",IF(A432+1&gt;MAX('Таблиця 1'!$B:$B),"",A432+1))</f>
        <v/>
      </c>
      <c r="B433">
        <f>IF($A433="","",COUNTIFS('Таблиця 1'!$B:$B,$A433,'Таблиця 1'!$E:$E,"ЖС ВЗ",'Таблиця 1'!$L:$L,"Уражено"))</f>
        <v/>
      </c>
      <c r="C433">
        <f>IF($A433="","",COUNTIFS('Таблиця 1'!$B:$B,$A433,'Таблиця 1'!$E:$E,"Арт. Системи",'Таблиця 1'!$L:$L,"Уражено"))</f>
        <v/>
      </c>
      <c r="D433">
        <f>IF($A433="","",COUNTIFS('Таблиця 1'!$B:$B,$A433,'Таблиця 1'!$E:$E,"ОВТ",'Таблиця 1'!$L:$L,"Уражено"))</f>
        <v/>
      </c>
      <c r="E433">
        <f>IF($A433="","",COUNTIFS('Таблиця 1'!$B:$B,$A433,'Таблиця 1'!$E:$E,"ППО",'Таблиця 1'!$L:$L,"Уражено"))</f>
        <v/>
      </c>
      <c r="F433">
        <f>IF($A433="","",COUNTIFS('Таблиця 1'!$B:$B,$A433,'Таблиця 1'!$E:$E,"Рембаза",'Таблиця 1'!$L:$L,"Уражено"))</f>
        <v/>
      </c>
      <c r="G433">
        <f>IF($A433="","",COUNTIFS('Таблиця 1'!$B:$B,$A433,'Таблиця 1'!$E:$E,"Склад БК",'Таблиця 1'!$L:$L,"Уражено"))</f>
        <v/>
      </c>
      <c r="H433">
        <f>IF($A433="","",COUNTIFS('Таблиця 1'!$B:$B,$A433,'Таблиця 1'!$E:$E,"Склад ВТМ",'Таблиця 1'!$L:$L,"Уражено"))</f>
        <v/>
      </c>
      <c r="I433">
        <f>IF($A433="","",COUNTIFS('Таблиця 1'!$B:$B,$A433,'Таблиця 1'!$E:$E,"ПУ БпЛА",'Таблиця 1'!$L:$L,"Уражено"))</f>
        <v/>
      </c>
      <c r="J433">
        <f>IF($A433="","",COUNTIFS('Таблиця 1'!$B:$B,$A433,'Таблиця 1'!$E:$E,"СП",'Таблиця 1'!$L:$L,"Уражено"))</f>
        <v/>
      </c>
      <c r="K433">
        <f>IF($A433="","",COUNTIFS('Таблиця 1'!$B:$B,$A433,'Таблиця 1'!$E:$E,"КСП роти",'Таблиця 1'!$L:$L,"Уражено"))</f>
        <v/>
      </c>
      <c r="L433">
        <f>IF($A433="","",COUNTIFS('Таблиця 1'!$B:$B,$A433,'Таблиця 1'!$E:$E,"ПУ бат",'Таблиця 1'!$L:$L,"Уражено"))</f>
        <v/>
      </c>
      <c r="M433">
        <f>IF($A433="","",COUNTIFS('Таблиця 1'!$B:$B,$A433,'Таблиця 1'!$E:$E,"ПУ бриг",'Таблиця 1'!$L:$L,"Уражено"))</f>
        <v/>
      </c>
      <c r="N433">
        <f>IF($A433="","",COUNTIFS('Таблиця 1'!$B:$B,$A433,'Таблиця 1'!$E:$E,"ПУ див",'Таблиця 1'!$L:$L,"Уражено"))</f>
        <v/>
      </c>
      <c r="O433">
        <f>IF($A433="","",COUNTIFS('Таблиця 1'!$B:$B,$A433,'Таблиця 1'!$E:$E,"обл. РЕБ",'Таблиця 1'!$L:$L,"Уражено"))</f>
        <v/>
      </c>
      <c r="P433">
        <f>IF($A433="","",COUNTIFS('Таблиця 1'!$B:$B,$A433,'Таблиця 1'!$E:$E,"пос РЕБ",'Таблиця 1'!$L:$L,"Уражено"))</f>
        <v/>
      </c>
      <c r="Q433">
        <f>IF($A433="","",COUNTIFS('Таблиця 1'!$B:$B,$A433,'Таблиця 1'!$E:$E,"група РЕР",'Таблиця 1'!$L:$L,"Уражено"))</f>
        <v/>
      </c>
      <c r="R433">
        <f>IF($A433="","",COUNTIFS('Таблиця 1'!$B:$B,$A433,'Таблиця 1'!$E:$E,"РЛС КББ",'Таблиця 1'!$L:$L,"Уражено"))</f>
        <v/>
      </c>
      <c r="S433">
        <f>IF($A433="","",COUNTIFS('Таблиця 1'!$B:$B,$A433,'Таблиця 1'!$E:$E,"Ретранслятор",'Таблиця 1'!$L:$L,"Уражено"))</f>
        <v/>
      </c>
      <c r="T433">
        <f>IF($A433="","",COUNTIFS('Таблиця 1'!$B:$B,$A433,'Таблиця 1'!$E:$E,"Вз.зв'язку",'Таблиця 1'!$L:$L,"Уражено"))</f>
        <v/>
      </c>
      <c r="U433">
        <f>IF($A433="","",COUNTIFS('Таблиця 1'!$B:$B,$A433,'Таблиця 1'!$E:$E,"ПММ",'Таблиця 1'!$L:$L,"Уражено"))</f>
        <v/>
      </c>
      <c r="V433">
        <f>IF($A433="","",COUNTIFS('Таблиця 1'!$B:$B,$A433,'Таблиця 1'!$E:$E,"ІФС",'Таблиця 1'!$L:$L,"Уражено"))</f>
        <v/>
      </c>
      <c r="W433">
        <f>IF($A433="","",COUNTIFS('Таблиця 1'!$B:$B,$A433,'Таблиця 1'!$E:$E,"Інфраструктура",'Таблиця 1'!$L:$L,"Уражено"))</f>
        <v/>
      </c>
      <c r="X433">
        <f>IF($A433="","",SUMIFS('Таблиця 1'!$K:$K,'Таблиця 1'!$B:$B,$A433))</f>
        <v/>
      </c>
    </row>
    <row r="434">
      <c r="A434" s="81">
        <f>IF(A433="","",IF(A433+1&gt;MAX('Таблиця 1'!$B:$B),"",A433+1))</f>
        <v/>
      </c>
      <c r="B434">
        <f>IF($A434="","",COUNTIFS('Таблиця 1'!$B:$B,$A434,'Таблиця 1'!$E:$E,"ЖС ВЗ",'Таблиця 1'!$L:$L,"Уражено"))</f>
        <v/>
      </c>
      <c r="C434">
        <f>IF($A434="","",COUNTIFS('Таблиця 1'!$B:$B,$A434,'Таблиця 1'!$E:$E,"Арт. Системи",'Таблиця 1'!$L:$L,"Уражено"))</f>
        <v/>
      </c>
      <c r="D434">
        <f>IF($A434="","",COUNTIFS('Таблиця 1'!$B:$B,$A434,'Таблиця 1'!$E:$E,"ОВТ",'Таблиця 1'!$L:$L,"Уражено"))</f>
        <v/>
      </c>
      <c r="E434">
        <f>IF($A434="","",COUNTIFS('Таблиця 1'!$B:$B,$A434,'Таблиця 1'!$E:$E,"ППО",'Таблиця 1'!$L:$L,"Уражено"))</f>
        <v/>
      </c>
      <c r="F434">
        <f>IF($A434="","",COUNTIFS('Таблиця 1'!$B:$B,$A434,'Таблиця 1'!$E:$E,"Рембаза",'Таблиця 1'!$L:$L,"Уражено"))</f>
        <v/>
      </c>
      <c r="G434">
        <f>IF($A434="","",COUNTIFS('Таблиця 1'!$B:$B,$A434,'Таблиця 1'!$E:$E,"Склад БК",'Таблиця 1'!$L:$L,"Уражено"))</f>
        <v/>
      </c>
      <c r="H434">
        <f>IF($A434="","",COUNTIFS('Таблиця 1'!$B:$B,$A434,'Таблиця 1'!$E:$E,"Склад ВТМ",'Таблиця 1'!$L:$L,"Уражено"))</f>
        <v/>
      </c>
      <c r="I434">
        <f>IF($A434="","",COUNTIFS('Таблиця 1'!$B:$B,$A434,'Таблиця 1'!$E:$E,"ПУ БпЛА",'Таблиця 1'!$L:$L,"Уражено"))</f>
        <v/>
      </c>
      <c r="J434">
        <f>IF($A434="","",COUNTIFS('Таблиця 1'!$B:$B,$A434,'Таблиця 1'!$E:$E,"СП",'Таблиця 1'!$L:$L,"Уражено"))</f>
        <v/>
      </c>
      <c r="K434">
        <f>IF($A434="","",COUNTIFS('Таблиця 1'!$B:$B,$A434,'Таблиця 1'!$E:$E,"КСП роти",'Таблиця 1'!$L:$L,"Уражено"))</f>
        <v/>
      </c>
      <c r="L434">
        <f>IF($A434="","",COUNTIFS('Таблиця 1'!$B:$B,$A434,'Таблиця 1'!$E:$E,"ПУ бат",'Таблиця 1'!$L:$L,"Уражено"))</f>
        <v/>
      </c>
      <c r="M434">
        <f>IF($A434="","",COUNTIFS('Таблиця 1'!$B:$B,$A434,'Таблиця 1'!$E:$E,"ПУ бриг",'Таблиця 1'!$L:$L,"Уражено"))</f>
        <v/>
      </c>
      <c r="N434">
        <f>IF($A434="","",COUNTIFS('Таблиця 1'!$B:$B,$A434,'Таблиця 1'!$E:$E,"ПУ див",'Таблиця 1'!$L:$L,"Уражено"))</f>
        <v/>
      </c>
      <c r="O434">
        <f>IF($A434="","",COUNTIFS('Таблиця 1'!$B:$B,$A434,'Таблиця 1'!$E:$E,"обл. РЕБ",'Таблиця 1'!$L:$L,"Уражено"))</f>
        <v/>
      </c>
      <c r="P434">
        <f>IF($A434="","",COUNTIFS('Таблиця 1'!$B:$B,$A434,'Таблиця 1'!$E:$E,"пос РЕБ",'Таблиця 1'!$L:$L,"Уражено"))</f>
        <v/>
      </c>
      <c r="Q434">
        <f>IF($A434="","",COUNTIFS('Таблиця 1'!$B:$B,$A434,'Таблиця 1'!$E:$E,"група РЕР",'Таблиця 1'!$L:$L,"Уражено"))</f>
        <v/>
      </c>
      <c r="R434">
        <f>IF($A434="","",COUNTIFS('Таблиця 1'!$B:$B,$A434,'Таблиця 1'!$E:$E,"РЛС КББ",'Таблиця 1'!$L:$L,"Уражено"))</f>
        <v/>
      </c>
      <c r="S434">
        <f>IF($A434="","",COUNTIFS('Таблиця 1'!$B:$B,$A434,'Таблиця 1'!$E:$E,"Ретранслятор",'Таблиця 1'!$L:$L,"Уражено"))</f>
        <v/>
      </c>
      <c r="T434">
        <f>IF($A434="","",COUNTIFS('Таблиця 1'!$B:$B,$A434,'Таблиця 1'!$E:$E,"Вз.зв'язку",'Таблиця 1'!$L:$L,"Уражено"))</f>
        <v/>
      </c>
      <c r="U434">
        <f>IF($A434="","",COUNTIFS('Таблиця 1'!$B:$B,$A434,'Таблиця 1'!$E:$E,"ПММ",'Таблиця 1'!$L:$L,"Уражено"))</f>
        <v/>
      </c>
      <c r="V434">
        <f>IF($A434="","",COUNTIFS('Таблиця 1'!$B:$B,$A434,'Таблиця 1'!$E:$E,"ІФС",'Таблиця 1'!$L:$L,"Уражено"))</f>
        <v/>
      </c>
      <c r="W434">
        <f>IF($A434="","",COUNTIFS('Таблиця 1'!$B:$B,$A434,'Таблиця 1'!$E:$E,"Інфраструктура",'Таблиця 1'!$L:$L,"Уражено"))</f>
        <v/>
      </c>
      <c r="X434">
        <f>IF($A434="","",SUMIFS('Таблиця 1'!$K:$K,'Таблиця 1'!$B:$B,$A434))</f>
        <v/>
      </c>
    </row>
    <row r="435">
      <c r="A435" s="81">
        <f>IF(A434="","",IF(A434+1&gt;MAX('Таблиця 1'!$B:$B),"",A434+1))</f>
        <v/>
      </c>
      <c r="B435">
        <f>IF($A435="","",COUNTIFS('Таблиця 1'!$B:$B,$A435,'Таблиця 1'!$E:$E,"ЖС ВЗ",'Таблиця 1'!$L:$L,"Уражено"))</f>
        <v/>
      </c>
      <c r="C435">
        <f>IF($A435="","",COUNTIFS('Таблиця 1'!$B:$B,$A435,'Таблиця 1'!$E:$E,"Арт. Системи",'Таблиця 1'!$L:$L,"Уражено"))</f>
        <v/>
      </c>
      <c r="D435">
        <f>IF($A435="","",COUNTIFS('Таблиця 1'!$B:$B,$A435,'Таблиця 1'!$E:$E,"ОВТ",'Таблиця 1'!$L:$L,"Уражено"))</f>
        <v/>
      </c>
      <c r="E435">
        <f>IF($A435="","",COUNTIFS('Таблиця 1'!$B:$B,$A435,'Таблиця 1'!$E:$E,"ППО",'Таблиця 1'!$L:$L,"Уражено"))</f>
        <v/>
      </c>
      <c r="F435">
        <f>IF($A435="","",COUNTIFS('Таблиця 1'!$B:$B,$A435,'Таблиця 1'!$E:$E,"Рембаза",'Таблиця 1'!$L:$L,"Уражено"))</f>
        <v/>
      </c>
      <c r="G435">
        <f>IF($A435="","",COUNTIFS('Таблиця 1'!$B:$B,$A435,'Таблиця 1'!$E:$E,"Склад БК",'Таблиця 1'!$L:$L,"Уражено"))</f>
        <v/>
      </c>
      <c r="H435">
        <f>IF($A435="","",COUNTIFS('Таблиця 1'!$B:$B,$A435,'Таблиця 1'!$E:$E,"Склад ВТМ",'Таблиця 1'!$L:$L,"Уражено"))</f>
        <v/>
      </c>
      <c r="I435">
        <f>IF($A435="","",COUNTIFS('Таблиця 1'!$B:$B,$A435,'Таблиця 1'!$E:$E,"ПУ БпЛА",'Таблиця 1'!$L:$L,"Уражено"))</f>
        <v/>
      </c>
      <c r="J435">
        <f>IF($A435="","",COUNTIFS('Таблиця 1'!$B:$B,$A435,'Таблиця 1'!$E:$E,"СП",'Таблиця 1'!$L:$L,"Уражено"))</f>
        <v/>
      </c>
      <c r="K435">
        <f>IF($A435="","",COUNTIFS('Таблиця 1'!$B:$B,$A435,'Таблиця 1'!$E:$E,"КСП роти",'Таблиця 1'!$L:$L,"Уражено"))</f>
        <v/>
      </c>
      <c r="L435">
        <f>IF($A435="","",COUNTIFS('Таблиця 1'!$B:$B,$A435,'Таблиця 1'!$E:$E,"ПУ бат",'Таблиця 1'!$L:$L,"Уражено"))</f>
        <v/>
      </c>
      <c r="M435">
        <f>IF($A435="","",COUNTIFS('Таблиця 1'!$B:$B,$A435,'Таблиця 1'!$E:$E,"ПУ бриг",'Таблиця 1'!$L:$L,"Уражено"))</f>
        <v/>
      </c>
      <c r="N435">
        <f>IF($A435="","",COUNTIFS('Таблиця 1'!$B:$B,$A435,'Таблиця 1'!$E:$E,"ПУ див",'Таблиця 1'!$L:$L,"Уражено"))</f>
        <v/>
      </c>
      <c r="O435">
        <f>IF($A435="","",COUNTIFS('Таблиця 1'!$B:$B,$A435,'Таблиця 1'!$E:$E,"обл. РЕБ",'Таблиця 1'!$L:$L,"Уражено"))</f>
        <v/>
      </c>
      <c r="P435">
        <f>IF($A435="","",COUNTIFS('Таблиця 1'!$B:$B,$A435,'Таблиця 1'!$E:$E,"пос РЕБ",'Таблиця 1'!$L:$L,"Уражено"))</f>
        <v/>
      </c>
      <c r="Q435">
        <f>IF($A435="","",COUNTIFS('Таблиця 1'!$B:$B,$A435,'Таблиця 1'!$E:$E,"група РЕР",'Таблиця 1'!$L:$L,"Уражено"))</f>
        <v/>
      </c>
      <c r="R435">
        <f>IF($A435="","",COUNTIFS('Таблиця 1'!$B:$B,$A435,'Таблиця 1'!$E:$E,"РЛС КББ",'Таблиця 1'!$L:$L,"Уражено"))</f>
        <v/>
      </c>
      <c r="S435">
        <f>IF($A435="","",COUNTIFS('Таблиця 1'!$B:$B,$A435,'Таблиця 1'!$E:$E,"Ретранслятор",'Таблиця 1'!$L:$L,"Уражено"))</f>
        <v/>
      </c>
      <c r="T435">
        <f>IF($A435="","",COUNTIFS('Таблиця 1'!$B:$B,$A435,'Таблиця 1'!$E:$E,"Вз.зв'язку",'Таблиця 1'!$L:$L,"Уражено"))</f>
        <v/>
      </c>
      <c r="U435">
        <f>IF($A435="","",COUNTIFS('Таблиця 1'!$B:$B,$A435,'Таблиця 1'!$E:$E,"ПММ",'Таблиця 1'!$L:$L,"Уражено"))</f>
        <v/>
      </c>
      <c r="V435">
        <f>IF($A435="","",COUNTIFS('Таблиця 1'!$B:$B,$A435,'Таблиця 1'!$E:$E,"ІФС",'Таблиця 1'!$L:$L,"Уражено"))</f>
        <v/>
      </c>
      <c r="W435">
        <f>IF($A435="","",COUNTIFS('Таблиця 1'!$B:$B,$A435,'Таблиця 1'!$E:$E,"Інфраструктура",'Таблиця 1'!$L:$L,"Уражено"))</f>
        <v/>
      </c>
      <c r="X435">
        <f>IF($A435="","",SUMIFS('Таблиця 1'!$K:$K,'Таблиця 1'!$B:$B,$A435))</f>
        <v/>
      </c>
    </row>
    <row r="436">
      <c r="A436" s="81">
        <f>IF(A435="","",IF(A435+1&gt;MAX('Таблиця 1'!$B:$B),"",A435+1))</f>
        <v/>
      </c>
      <c r="B436">
        <f>IF($A436="","",COUNTIFS('Таблиця 1'!$B:$B,$A436,'Таблиця 1'!$E:$E,"ЖС ВЗ",'Таблиця 1'!$L:$L,"Уражено"))</f>
        <v/>
      </c>
      <c r="C436">
        <f>IF($A436="","",COUNTIFS('Таблиця 1'!$B:$B,$A436,'Таблиця 1'!$E:$E,"Арт. Системи",'Таблиця 1'!$L:$L,"Уражено"))</f>
        <v/>
      </c>
      <c r="D436">
        <f>IF($A436="","",COUNTIFS('Таблиця 1'!$B:$B,$A436,'Таблиця 1'!$E:$E,"ОВТ",'Таблиця 1'!$L:$L,"Уражено"))</f>
        <v/>
      </c>
      <c r="E436">
        <f>IF($A436="","",COUNTIFS('Таблиця 1'!$B:$B,$A436,'Таблиця 1'!$E:$E,"ППО",'Таблиця 1'!$L:$L,"Уражено"))</f>
        <v/>
      </c>
      <c r="F436">
        <f>IF($A436="","",COUNTIFS('Таблиця 1'!$B:$B,$A436,'Таблиця 1'!$E:$E,"Рембаза",'Таблиця 1'!$L:$L,"Уражено"))</f>
        <v/>
      </c>
      <c r="G436">
        <f>IF($A436="","",COUNTIFS('Таблиця 1'!$B:$B,$A436,'Таблиця 1'!$E:$E,"Склад БК",'Таблиця 1'!$L:$L,"Уражено"))</f>
        <v/>
      </c>
      <c r="H436">
        <f>IF($A436="","",COUNTIFS('Таблиця 1'!$B:$B,$A436,'Таблиця 1'!$E:$E,"Склад ВТМ",'Таблиця 1'!$L:$L,"Уражено"))</f>
        <v/>
      </c>
      <c r="I436">
        <f>IF($A436="","",COUNTIFS('Таблиця 1'!$B:$B,$A436,'Таблиця 1'!$E:$E,"ПУ БпЛА",'Таблиця 1'!$L:$L,"Уражено"))</f>
        <v/>
      </c>
      <c r="J436">
        <f>IF($A436="","",COUNTIFS('Таблиця 1'!$B:$B,$A436,'Таблиця 1'!$E:$E,"СП",'Таблиця 1'!$L:$L,"Уражено"))</f>
        <v/>
      </c>
      <c r="K436">
        <f>IF($A436="","",COUNTIFS('Таблиця 1'!$B:$B,$A436,'Таблиця 1'!$E:$E,"КСП роти",'Таблиця 1'!$L:$L,"Уражено"))</f>
        <v/>
      </c>
      <c r="L436">
        <f>IF($A436="","",COUNTIFS('Таблиця 1'!$B:$B,$A436,'Таблиця 1'!$E:$E,"ПУ бат",'Таблиця 1'!$L:$L,"Уражено"))</f>
        <v/>
      </c>
      <c r="M436">
        <f>IF($A436="","",COUNTIFS('Таблиця 1'!$B:$B,$A436,'Таблиця 1'!$E:$E,"ПУ бриг",'Таблиця 1'!$L:$L,"Уражено"))</f>
        <v/>
      </c>
      <c r="N436">
        <f>IF($A436="","",COUNTIFS('Таблиця 1'!$B:$B,$A436,'Таблиця 1'!$E:$E,"ПУ див",'Таблиця 1'!$L:$L,"Уражено"))</f>
        <v/>
      </c>
      <c r="O436">
        <f>IF($A436="","",COUNTIFS('Таблиця 1'!$B:$B,$A436,'Таблиця 1'!$E:$E,"обл. РЕБ",'Таблиця 1'!$L:$L,"Уражено"))</f>
        <v/>
      </c>
      <c r="P436">
        <f>IF($A436="","",COUNTIFS('Таблиця 1'!$B:$B,$A436,'Таблиця 1'!$E:$E,"пос РЕБ",'Таблиця 1'!$L:$L,"Уражено"))</f>
        <v/>
      </c>
      <c r="Q436">
        <f>IF($A436="","",COUNTIFS('Таблиця 1'!$B:$B,$A436,'Таблиця 1'!$E:$E,"група РЕР",'Таблиця 1'!$L:$L,"Уражено"))</f>
        <v/>
      </c>
      <c r="R436">
        <f>IF($A436="","",COUNTIFS('Таблиця 1'!$B:$B,$A436,'Таблиця 1'!$E:$E,"РЛС КББ",'Таблиця 1'!$L:$L,"Уражено"))</f>
        <v/>
      </c>
      <c r="S436">
        <f>IF($A436="","",COUNTIFS('Таблиця 1'!$B:$B,$A436,'Таблиця 1'!$E:$E,"Ретранслятор",'Таблиця 1'!$L:$L,"Уражено"))</f>
        <v/>
      </c>
      <c r="T436">
        <f>IF($A436="","",COUNTIFS('Таблиця 1'!$B:$B,$A436,'Таблиця 1'!$E:$E,"Вз.зв'язку",'Таблиця 1'!$L:$L,"Уражено"))</f>
        <v/>
      </c>
      <c r="U436">
        <f>IF($A436="","",COUNTIFS('Таблиця 1'!$B:$B,$A436,'Таблиця 1'!$E:$E,"ПММ",'Таблиця 1'!$L:$L,"Уражено"))</f>
        <v/>
      </c>
      <c r="V436">
        <f>IF($A436="","",COUNTIFS('Таблиця 1'!$B:$B,$A436,'Таблиця 1'!$E:$E,"ІФС",'Таблиця 1'!$L:$L,"Уражено"))</f>
        <v/>
      </c>
      <c r="W436">
        <f>IF($A436="","",COUNTIFS('Таблиця 1'!$B:$B,$A436,'Таблиця 1'!$E:$E,"Інфраструктура",'Таблиця 1'!$L:$L,"Уражено"))</f>
        <v/>
      </c>
      <c r="X436">
        <f>IF($A436="","",SUMIFS('Таблиця 1'!$K:$K,'Таблиця 1'!$B:$B,$A436))</f>
        <v/>
      </c>
    </row>
    <row r="437">
      <c r="A437" s="81">
        <f>IF(A436="","",IF(A436+1&gt;MAX('Таблиця 1'!$B:$B),"",A436+1))</f>
        <v/>
      </c>
      <c r="B437">
        <f>IF($A437="","",COUNTIFS('Таблиця 1'!$B:$B,$A437,'Таблиця 1'!$E:$E,"ЖС ВЗ",'Таблиця 1'!$L:$L,"Уражено"))</f>
        <v/>
      </c>
      <c r="C437">
        <f>IF($A437="","",COUNTIFS('Таблиця 1'!$B:$B,$A437,'Таблиця 1'!$E:$E,"Арт. Системи",'Таблиця 1'!$L:$L,"Уражено"))</f>
        <v/>
      </c>
      <c r="D437">
        <f>IF($A437="","",COUNTIFS('Таблиця 1'!$B:$B,$A437,'Таблиця 1'!$E:$E,"ОВТ",'Таблиця 1'!$L:$L,"Уражено"))</f>
        <v/>
      </c>
      <c r="E437">
        <f>IF($A437="","",COUNTIFS('Таблиця 1'!$B:$B,$A437,'Таблиця 1'!$E:$E,"ППО",'Таблиця 1'!$L:$L,"Уражено"))</f>
        <v/>
      </c>
      <c r="F437">
        <f>IF($A437="","",COUNTIFS('Таблиця 1'!$B:$B,$A437,'Таблиця 1'!$E:$E,"Рембаза",'Таблиця 1'!$L:$L,"Уражено"))</f>
        <v/>
      </c>
      <c r="G437">
        <f>IF($A437="","",COUNTIFS('Таблиця 1'!$B:$B,$A437,'Таблиця 1'!$E:$E,"Склад БК",'Таблиця 1'!$L:$L,"Уражено"))</f>
        <v/>
      </c>
      <c r="H437">
        <f>IF($A437="","",COUNTIFS('Таблиця 1'!$B:$B,$A437,'Таблиця 1'!$E:$E,"Склад ВТМ",'Таблиця 1'!$L:$L,"Уражено"))</f>
        <v/>
      </c>
      <c r="I437">
        <f>IF($A437="","",COUNTIFS('Таблиця 1'!$B:$B,$A437,'Таблиця 1'!$E:$E,"ПУ БпЛА",'Таблиця 1'!$L:$L,"Уражено"))</f>
        <v/>
      </c>
      <c r="J437">
        <f>IF($A437="","",COUNTIFS('Таблиця 1'!$B:$B,$A437,'Таблиця 1'!$E:$E,"СП",'Таблиця 1'!$L:$L,"Уражено"))</f>
        <v/>
      </c>
      <c r="K437">
        <f>IF($A437="","",COUNTIFS('Таблиця 1'!$B:$B,$A437,'Таблиця 1'!$E:$E,"КСП роти",'Таблиця 1'!$L:$L,"Уражено"))</f>
        <v/>
      </c>
      <c r="L437">
        <f>IF($A437="","",COUNTIFS('Таблиця 1'!$B:$B,$A437,'Таблиця 1'!$E:$E,"ПУ бат",'Таблиця 1'!$L:$L,"Уражено"))</f>
        <v/>
      </c>
      <c r="M437">
        <f>IF($A437="","",COUNTIFS('Таблиця 1'!$B:$B,$A437,'Таблиця 1'!$E:$E,"ПУ бриг",'Таблиця 1'!$L:$L,"Уражено"))</f>
        <v/>
      </c>
      <c r="N437">
        <f>IF($A437="","",COUNTIFS('Таблиця 1'!$B:$B,$A437,'Таблиця 1'!$E:$E,"ПУ див",'Таблиця 1'!$L:$L,"Уражено"))</f>
        <v/>
      </c>
      <c r="O437">
        <f>IF($A437="","",COUNTIFS('Таблиця 1'!$B:$B,$A437,'Таблиця 1'!$E:$E,"обл. РЕБ",'Таблиця 1'!$L:$L,"Уражено"))</f>
        <v/>
      </c>
      <c r="P437">
        <f>IF($A437="","",COUNTIFS('Таблиця 1'!$B:$B,$A437,'Таблиця 1'!$E:$E,"пос РЕБ",'Таблиця 1'!$L:$L,"Уражено"))</f>
        <v/>
      </c>
      <c r="Q437">
        <f>IF($A437="","",COUNTIFS('Таблиця 1'!$B:$B,$A437,'Таблиця 1'!$E:$E,"група РЕР",'Таблиця 1'!$L:$L,"Уражено"))</f>
        <v/>
      </c>
      <c r="R437">
        <f>IF($A437="","",COUNTIFS('Таблиця 1'!$B:$B,$A437,'Таблиця 1'!$E:$E,"РЛС КББ",'Таблиця 1'!$L:$L,"Уражено"))</f>
        <v/>
      </c>
      <c r="S437">
        <f>IF($A437="","",COUNTIFS('Таблиця 1'!$B:$B,$A437,'Таблиця 1'!$E:$E,"Ретранслятор",'Таблиця 1'!$L:$L,"Уражено"))</f>
        <v/>
      </c>
      <c r="T437">
        <f>IF($A437="","",COUNTIFS('Таблиця 1'!$B:$B,$A437,'Таблиця 1'!$E:$E,"Вз.зв'язку",'Таблиця 1'!$L:$L,"Уражено"))</f>
        <v/>
      </c>
      <c r="U437">
        <f>IF($A437="","",COUNTIFS('Таблиця 1'!$B:$B,$A437,'Таблиця 1'!$E:$E,"ПММ",'Таблиця 1'!$L:$L,"Уражено"))</f>
        <v/>
      </c>
      <c r="V437">
        <f>IF($A437="","",COUNTIFS('Таблиця 1'!$B:$B,$A437,'Таблиця 1'!$E:$E,"ІФС",'Таблиця 1'!$L:$L,"Уражено"))</f>
        <v/>
      </c>
      <c r="W437">
        <f>IF($A437="","",COUNTIFS('Таблиця 1'!$B:$B,$A437,'Таблиця 1'!$E:$E,"Інфраструктура",'Таблиця 1'!$L:$L,"Уражено"))</f>
        <v/>
      </c>
      <c r="X437">
        <f>IF($A437="","",SUMIFS('Таблиця 1'!$K:$K,'Таблиця 1'!$B:$B,$A437))</f>
        <v/>
      </c>
    </row>
    <row r="438">
      <c r="A438" s="81">
        <f>IF(A437="","",IF(A437+1&gt;MAX('Таблиця 1'!$B:$B),"",A437+1))</f>
        <v/>
      </c>
      <c r="B438">
        <f>IF($A438="","",COUNTIFS('Таблиця 1'!$B:$B,$A438,'Таблиця 1'!$E:$E,"ЖС ВЗ",'Таблиця 1'!$L:$L,"Уражено"))</f>
        <v/>
      </c>
      <c r="C438">
        <f>IF($A438="","",COUNTIFS('Таблиця 1'!$B:$B,$A438,'Таблиця 1'!$E:$E,"Арт. Системи",'Таблиця 1'!$L:$L,"Уражено"))</f>
        <v/>
      </c>
      <c r="D438">
        <f>IF($A438="","",COUNTIFS('Таблиця 1'!$B:$B,$A438,'Таблиця 1'!$E:$E,"ОВТ",'Таблиця 1'!$L:$L,"Уражено"))</f>
        <v/>
      </c>
      <c r="E438">
        <f>IF($A438="","",COUNTIFS('Таблиця 1'!$B:$B,$A438,'Таблиця 1'!$E:$E,"ППО",'Таблиця 1'!$L:$L,"Уражено"))</f>
        <v/>
      </c>
      <c r="F438">
        <f>IF($A438="","",COUNTIFS('Таблиця 1'!$B:$B,$A438,'Таблиця 1'!$E:$E,"Рембаза",'Таблиця 1'!$L:$L,"Уражено"))</f>
        <v/>
      </c>
      <c r="G438">
        <f>IF($A438="","",COUNTIFS('Таблиця 1'!$B:$B,$A438,'Таблиця 1'!$E:$E,"Склад БК",'Таблиця 1'!$L:$L,"Уражено"))</f>
        <v/>
      </c>
      <c r="H438">
        <f>IF($A438="","",COUNTIFS('Таблиця 1'!$B:$B,$A438,'Таблиця 1'!$E:$E,"Склад ВТМ",'Таблиця 1'!$L:$L,"Уражено"))</f>
        <v/>
      </c>
      <c r="I438">
        <f>IF($A438="","",COUNTIFS('Таблиця 1'!$B:$B,$A438,'Таблиця 1'!$E:$E,"ПУ БпЛА",'Таблиця 1'!$L:$L,"Уражено"))</f>
        <v/>
      </c>
      <c r="J438">
        <f>IF($A438="","",COUNTIFS('Таблиця 1'!$B:$B,$A438,'Таблиця 1'!$E:$E,"СП",'Таблиця 1'!$L:$L,"Уражено"))</f>
        <v/>
      </c>
      <c r="K438">
        <f>IF($A438="","",COUNTIFS('Таблиця 1'!$B:$B,$A438,'Таблиця 1'!$E:$E,"КСП роти",'Таблиця 1'!$L:$L,"Уражено"))</f>
        <v/>
      </c>
      <c r="L438">
        <f>IF($A438="","",COUNTIFS('Таблиця 1'!$B:$B,$A438,'Таблиця 1'!$E:$E,"ПУ бат",'Таблиця 1'!$L:$L,"Уражено"))</f>
        <v/>
      </c>
      <c r="M438">
        <f>IF($A438="","",COUNTIFS('Таблиця 1'!$B:$B,$A438,'Таблиця 1'!$E:$E,"ПУ бриг",'Таблиця 1'!$L:$L,"Уражено"))</f>
        <v/>
      </c>
      <c r="N438">
        <f>IF($A438="","",COUNTIFS('Таблиця 1'!$B:$B,$A438,'Таблиця 1'!$E:$E,"ПУ див",'Таблиця 1'!$L:$L,"Уражено"))</f>
        <v/>
      </c>
      <c r="O438">
        <f>IF($A438="","",COUNTIFS('Таблиця 1'!$B:$B,$A438,'Таблиця 1'!$E:$E,"обл. РЕБ",'Таблиця 1'!$L:$L,"Уражено"))</f>
        <v/>
      </c>
      <c r="P438">
        <f>IF($A438="","",COUNTIFS('Таблиця 1'!$B:$B,$A438,'Таблиця 1'!$E:$E,"пос РЕБ",'Таблиця 1'!$L:$L,"Уражено"))</f>
        <v/>
      </c>
      <c r="Q438">
        <f>IF($A438="","",COUNTIFS('Таблиця 1'!$B:$B,$A438,'Таблиця 1'!$E:$E,"група РЕР",'Таблиця 1'!$L:$L,"Уражено"))</f>
        <v/>
      </c>
      <c r="R438">
        <f>IF($A438="","",COUNTIFS('Таблиця 1'!$B:$B,$A438,'Таблиця 1'!$E:$E,"РЛС КББ",'Таблиця 1'!$L:$L,"Уражено"))</f>
        <v/>
      </c>
      <c r="S438">
        <f>IF($A438="","",COUNTIFS('Таблиця 1'!$B:$B,$A438,'Таблиця 1'!$E:$E,"Ретранслятор",'Таблиця 1'!$L:$L,"Уражено"))</f>
        <v/>
      </c>
      <c r="T438">
        <f>IF($A438="","",COUNTIFS('Таблиця 1'!$B:$B,$A438,'Таблиця 1'!$E:$E,"Вз.зв'язку",'Таблиця 1'!$L:$L,"Уражено"))</f>
        <v/>
      </c>
      <c r="U438">
        <f>IF($A438="","",COUNTIFS('Таблиця 1'!$B:$B,$A438,'Таблиця 1'!$E:$E,"ПММ",'Таблиця 1'!$L:$L,"Уражено"))</f>
        <v/>
      </c>
      <c r="V438">
        <f>IF($A438="","",COUNTIFS('Таблиця 1'!$B:$B,$A438,'Таблиця 1'!$E:$E,"ІФС",'Таблиця 1'!$L:$L,"Уражено"))</f>
        <v/>
      </c>
      <c r="W438">
        <f>IF($A438="","",COUNTIFS('Таблиця 1'!$B:$B,$A438,'Таблиця 1'!$E:$E,"Інфраструктура",'Таблиця 1'!$L:$L,"Уражено"))</f>
        <v/>
      </c>
      <c r="X438">
        <f>IF($A438="","",SUMIFS('Таблиця 1'!$K:$K,'Таблиця 1'!$B:$B,$A438))</f>
        <v/>
      </c>
    </row>
    <row r="439">
      <c r="A439" s="81">
        <f>IF(A438="","",IF(A438+1&gt;MAX('Таблиця 1'!$B:$B),"",A438+1))</f>
        <v/>
      </c>
      <c r="B439">
        <f>IF($A439="","",COUNTIFS('Таблиця 1'!$B:$B,$A439,'Таблиця 1'!$E:$E,"ЖС ВЗ",'Таблиця 1'!$L:$L,"Уражено"))</f>
        <v/>
      </c>
      <c r="C439">
        <f>IF($A439="","",COUNTIFS('Таблиця 1'!$B:$B,$A439,'Таблиця 1'!$E:$E,"Арт. Системи",'Таблиця 1'!$L:$L,"Уражено"))</f>
        <v/>
      </c>
      <c r="D439">
        <f>IF($A439="","",COUNTIFS('Таблиця 1'!$B:$B,$A439,'Таблиця 1'!$E:$E,"ОВТ",'Таблиця 1'!$L:$L,"Уражено"))</f>
        <v/>
      </c>
      <c r="E439">
        <f>IF($A439="","",COUNTIFS('Таблиця 1'!$B:$B,$A439,'Таблиця 1'!$E:$E,"ППО",'Таблиця 1'!$L:$L,"Уражено"))</f>
        <v/>
      </c>
      <c r="F439">
        <f>IF($A439="","",COUNTIFS('Таблиця 1'!$B:$B,$A439,'Таблиця 1'!$E:$E,"Рембаза",'Таблиця 1'!$L:$L,"Уражено"))</f>
        <v/>
      </c>
      <c r="G439">
        <f>IF($A439="","",COUNTIFS('Таблиця 1'!$B:$B,$A439,'Таблиця 1'!$E:$E,"Склад БК",'Таблиця 1'!$L:$L,"Уражено"))</f>
        <v/>
      </c>
      <c r="H439">
        <f>IF($A439="","",COUNTIFS('Таблиця 1'!$B:$B,$A439,'Таблиця 1'!$E:$E,"Склад ВТМ",'Таблиця 1'!$L:$L,"Уражено"))</f>
        <v/>
      </c>
      <c r="I439">
        <f>IF($A439="","",COUNTIFS('Таблиця 1'!$B:$B,$A439,'Таблиця 1'!$E:$E,"ПУ БпЛА",'Таблиця 1'!$L:$L,"Уражено"))</f>
        <v/>
      </c>
      <c r="J439">
        <f>IF($A439="","",COUNTIFS('Таблиця 1'!$B:$B,$A439,'Таблиця 1'!$E:$E,"СП",'Таблиця 1'!$L:$L,"Уражено"))</f>
        <v/>
      </c>
      <c r="K439">
        <f>IF($A439="","",COUNTIFS('Таблиця 1'!$B:$B,$A439,'Таблиця 1'!$E:$E,"КСП роти",'Таблиця 1'!$L:$L,"Уражено"))</f>
        <v/>
      </c>
      <c r="L439">
        <f>IF($A439="","",COUNTIFS('Таблиця 1'!$B:$B,$A439,'Таблиця 1'!$E:$E,"ПУ бат",'Таблиця 1'!$L:$L,"Уражено"))</f>
        <v/>
      </c>
      <c r="M439">
        <f>IF($A439="","",COUNTIFS('Таблиця 1'!$B:$B,$A439,'Таблиця 1'!$E:$E,"ПУ бриг",'Таблиця 1'!$L:$L,"Уражено"))</f>
        <v/>
      </c>
      <c r="N439">
        <f>IF($A439="","",COUNTIFS('Таблиця 1'!$B:$B,$A439,'Таблиця 1'!$E:$E,"ПУ див",'Таблиця 1'!$L:$L,"Уражено"))</f>
        <v/>
      </c>
      <c r="O439">
        <f>IF($A439="","",COUNTIFS('Таблиця 1'!$B:$B,$A439,'Таблиця 1'!$E:$E,"обл. РЕБ",'Таблиця 1'!$L:$L,"Уражено"))</f>
        <v/>
      </c>
      <c r="P439">
        <f>IF($A439="","",COUNTIFS('Таблиця 1'!$B:$B,$A439,'Таблиця 1'!$E:$E,"пос РЕБ",'Таблиця 1'!$L:$L,"Уражено"))</f>
        <v/>
      </c>
      <c r="Q439">
        <f>IF($A439="","",COUNTIFS('Таблиця 1'!$B:$B,$A439,'Таблиця 1'!$E:$E,"група РЕР",'Таблиця 1'!$L:$L,"Уражено"))</f>
        <v/>
      </c>
      <c r="R439">
        <f>IF($A439="","",COUNTIFS('Таблиця 1'!$B:$B,$A439,'Таблиця 1'!$E:$E,"РЛС КББ",'Таблиця 1'!$L:$L,"Уражено"))</f>
        <v/>
      </c>
      <c r="S439">
        <f>IF($A439="","",COUNTIFS('Таблиця 1'!$B:$B,$A439,'Таблиця 1'!$E:$E,"Ретранслятор",'Таблиця 1'!$L:$L,"Уражено"))</f>
        <v/>
      </c>
      <c r="T439">
        <f>IF($A439="","",COUNTIFS('Таблиця 1'!$B:$B,$A439,'Таблиця 1'!$E:$E,"Вз.зв'язку",'Таблиця 1'!$L:$L,"Уражено"))</f>
        <v/>
      </c>
      <c r="U439">
        <f>IF($A439="","",COUNTIFS('Таблиця 1'!$B:$B,$A439,'Таблиця 1'!$E:$E,"ПММ",'Таблиця 1'!$L:$L,"Уражено"))</f>
        <v/>
      </c>
      <c r="V439">
        <f>IF($A439="","",COUNTIFS('Таблиця 1'!$B:$B,$A439,'Таблиця 1'!$E:$E,"ІФС",'Таблиця 1'!$L:$L,"Уражено"))</f>
        <v/>
      </c>
      <c r="W439">
        <f>IF($A439="","",COUNTIFS('Таблиця 1'!$B:$B,$A439,'Таблиця 1'!$E:$E,"Інфраструктура",'Таблиця 1'!$L:$L,"Уражено"))</f>
        <v/>
      </c>
      <c r="X439">
        <f>IF($A439="","",SUMIFS('Таблиця 1'!$K:$K,'Таблиця 1'!$B:$B,$A439))</f>
        <v/>
      </c>
    </row>
    <row r="440">
      <c r="A440" s="81">
        <f>IF(A439="","",IF(A439+1&gt;MAX('Таблиця 1'!$B:$B),"",A439+1))</f>
        <v/>
      </c>
      <c r="B440">
        <f>IF($A440="","",COUNTIFS('Таблиця 1'!$B:$B,$A440,'Таблиця 1'!$E:$E,"ЖС ВЗ",'Таблиця 1'!$L:$L,"Уражено"))</f>
        <v/>
      </c>
      <c r="C440">
        <f>IF($A440="","",COUNTIFS('Таблиця 1'!$B:$B,$A440,'Таблиця 1'!$E:$E,"Арт. Системи",'Таблиця 1'!$L:$L,"Уражено"))</f>
        <v/>
      </c>
      <c r="D440">
        <f>IF($A440="","",COUNTIFS('Таблиця 1'!$B:$B,$A440,'Таблиця 1'!$E:$E,"ОВТ",'Таблиця 1'!$L:$L,"Уражено"))</f>
        <v/>
      </c>
      <c r="E440">
        <f>IF($A440="","",COUNTIFS('Таблиця 1'!$B:$B,$A440,'Таблиця 1'!$E:$E,"ППО",'Таблиця 1'!$L:$L,"Уражено"))</f>
        <v/>
      </c>
      <c r="F440">
        <f>IF($A440="","",COUNTIFS('Таблиця 1'!$B:$B,$A440,'Таблиця 1'!$E:$E,"Рембаза",'Таблиця 1'!$L:$L,"Уражено"))</f>
        <v/>
      </c>
      <c r="G440">
        <f>IF($A440="","",COUNTIFS('Таблиця 1'!$B:$B,$A440,'Таблиця 1'!$E:$E,"Склад БК",'Таблиця 1'!$L:$L,"Уражено"))</f>
        <v/>
      </c>
      <c r="H440">
        <f>IF($A440="","",COUNTIFS('Таблиця 1'!$B:$B,$A440,'Таблиця 1'!$E:$E,"Склад ВТМ",'Таблиця 1'!$L:$L,"Уражено"))</f>
        <v/>
      </c>
      <c r="I440">
        <f>IF($A440="","",COUNTIFS('Таблиця 1'!$B:$B,$A440,'Таблиця 1'!$E:$E,"ПУ БпЛА",'Таблиця 1'!$L:$L,"Уражено"))</f>
        <v/>
      </c>
      <c r="J440">
        <f>IF($A440="","",COUNTIFS('Таблиця 1'!$B:$B,$A440,'Таблиця 1'!$E:$E,"СП",'Таблиця 1'!$L:$L,"Уражено"))</f>
        <v/>
      </c>
      <c r="K440">
        <f>IF($A440="","",COUNTIFS('Таблиця 1'!$B:$B,$A440,'Таблиця 1'!$E:$E,"КСП роти",'Таблиця 1'!$L:$L,"Уражено"))</f>
        <v/>
      </c>
      <c r="L440">
        <f>IF($A440="","",COUNTIFS('Таблиця 1'!$B:$B,$A440,'Таблиця 1'!$E:$E,"ПУ бат",'Таблиця 1'!$L:$L,"Уражено"))</f>
        <v/>
      </c>
      <c r="M440">
        <f>IF($A440="","",COUNTIFS('Таблиця 1'!$B:$B,$A440,'Таблиця 1'!$E:$E,"ПУ бриг",'Таблиця 1'!$L:$L,"Уражено"))</f>
        <v/>
      </c>
      <c r="N440">
        <f>IF($A440="","",COUNTIFS('Таблиця 1'!$B:$B,$A440,'Таблиця 1'!$E:$E,"ПУ див",'Таблиця 1'!$L:$L,"Уражено"))</f>
        <v/>
      </c>
      <c r="O440">
        <f>IF($A440="","",COUNTIFS('Таблиця 1'!$B:$B,$A440,'Таблиця 1'!$E:$E,"обл. РЕБ",'Таблиця 1'!$L:$L,"Уражено"))</f>
        <v/>
      </c>
      <c r="P440">
        <f>IF($A440="","",COUNTIFS('Таблиця 1'!$B:$B,$A440,'Таблиця 1'!$E:$E,"пос РЕБ",'Таблиця 1'!$L:$L,"Уражено"))</f>
        <v/>
      </c>
      <c r="Q440">
        <f>IF($A440="","",COUNTIFS('Таблиця 1'!$B:$B,$A440,'Таблиця 1'!$E:$E,"група РЕР",'Таблиця 1'!$L:$L,"Уражено"))</f>
        <v/>
      </c>
      <c r="R440">
        <f>IF($A440="","",COUNTIFS('Таблиця 1'!$B:$B,$A440,'Таблиця 1'!$E:$E,"РЛС КББ",'Таблиця 1'!$L:$L,"Уражено"))</f>
        <v/>
      </c>
      <c r="S440">
        <f>IF($A440="","",COUNTIFS('Таблиця 1'!$B:$B,$A440,'Таблиця 1'!$E:$E,"Ретранслятор",'Таблиця 1'!$L:$L,"Уражено"))</f>
        <v/>
      </c>
      <c r="T440">
        <f>IF($A440="","",COUNTIFS('Таблиця 1'!$B:$B,$A440,'Таблиця 1'!$E:$E,"Вз.зв'язку",'Таблиця 1'!$L:$L,"Уражено"))</f>
        <v/>
      </c>
      <c r="U440">
        <f>IF($A440="","",COUNTIFS('Таблиця 1'!$B:$B,$A440,'Таблиця 1'!$E:$E,"ПММ",'Таблиця 1'!$L:$L,"Уражено"))</f>
        <v/>
      </c>
      <c r="V440">
        <f>IF($A440="","",COUNTIFS('Таблиця 1'!$B:$B,$A440,'Таблиця 1'!$E:$E,"ІФС",'Таблиця 1'!$L:$L,"Уражено"))</f>
        <v/>
      </c>
      <c r="W440">
        <f>IF($A440="","",COUNTIFS('Таблиця 1'!$B:$B,$A440,'Таблиця 1'!$E:$E,"Інфраструктура",'Таблиця 1'!$L:$L,"Уражено"))</f>
        <v/>
      </c>
      <c r="X440">
        <f>IF($A440="","",SUMIFS('Таблиця 1'!$K:$K,'Таблиця 1'!$B:$B,$A440))</f>
        <v/>
      </c>
    </row>
    <row r="441">
      <c r="A441" s="81">
        <f>IF(A440="","",IF(A440+1&gt;MAX('Таблиця 1'!$B:$B),"",A440+1))</f>
        <v/>
      </c>
      <c r="B441">
        <f>IF($A441="","",COUNTIFS('Таблиця 1'!$B:$B,$A441,'Таблиця 1'!$E:$E,"ЖС ВЗ",'Таблиця 1'!$L:$L,"Уражено"))</f>
        <v/>
      </c>
      <c r="C441">
        <f>IF($A441="","",COUNTIFS('Таблиця 1'!$B:$B,$A441,'Таблиця 1'!$E:$E,"Арт. Системи",'Таблиця 1'!$L:$L,"Уражено"))</f>
        <v/>
      </c>
      <c r="D441">
        <f>IF($A441="","",COUNTIFS('Таблиця 1'!$B:$B,$A441,'Таблиця 1'!$E:$E,"ОВТ",'Таблиця 1'!$L:$L,"Уражено"))</f>
        <v/>
      </c>
      <c r="E441">
        <f>IF($A441="","",COUNTIFS('Таблиця 1'!$B:$B,$A441,'Таблиця 1'!$E:$E,"ППО",'Таблиця 1'!$L:$L,"Уражено"))</f>
        <v/>
      </c>
      <c r="F441">
        <f>IF($A441="","",COUNTIFS('Таблиця 1'!$B:$B,$A441,'Таблиця 1'!$E:$E,"Рембаза",'Таблиця 1'!$L:$L,"Уражено"))</f>
        <v/>
      </c>
      <c r="G441">
        <f>IF($A441="","",COUNTIFS('Таблиця 1'!$B:$B,$A441,'Таблиця 1'!$E:$E,"Склад БК",'Таблиця 1'!$L:$L,"Уражено"))</f>
        <v/>
      </c>
      <c r="H441">
        <f>IF($A441="","",COUNTIFS('Таблиця 1'!$B:$B,$A441,'Таблиця 1'!$E:$E,"Склад ВТМ",'Таблиця 1'!$L:$L,"Уражено"))</f>
        <v/>
      </c>
      <c r="I441">
        <f>IF($A441="","",COUNTIFS('Таблиця 1'!$B:$B,$A441,'Таблиця 1'!$E:$E,"ПУ БпЛА",'Таблиця 1'!$L:$L,"Уражено"))</f>
        <v/>
      </c>
      <c r="J441">
        <f>IF($A441="","",COUNTIFS('Таблиця 1'!$B:$B,$A441,'Таблиця 1'!$E:$E,"СП",'Таблиця 1'!$L:$L,"Уражено"))</f>
        <v/>
      </c>
      <c r="K441">
        <f>IF($A441="","",COUNTIFS('Таблиця 1'!$B:$B,$A441,'Таблиця 1'!$E:$E,"КСП роти",'Таблиця 1'!$L:$L,"Уражено"))</f>
        <v/>
      </c>
      <c r="L441">
        <f>IF($A441="","",COUNTIFS('Таблиця 1'!$B:$B,$A441,'Таблиця 1'!$E:$E,"ПУ бат",'Таблиця 1'!$L:$L,"Уражено"))</f>
        <v/>
      </c>
      <c r="M441">
        <f>IF($A441="","",COUNTIFS('Таблиця 1'!$B:$B,$A441,'Таблиця 1'!$E:$E,"ПУ бриг",'Таблиця 1'!$L:$L,"Уражено"))</f>
        <v/>
      </c>
      <c r="N441">
        <f>IF($A441="","",COUNTIFS('Таблиця 1'!$B:$B,$A441,'Таблиця 1'!$E:$E,"ПУ див",'Таблиця 1'!$L:$L,"Уражено"))</f>
        <v/>
      </c>
      <c r="O441">
        <f>IF($A441="","",COUNTIFS('Таблиця 1'!$B:$B,$A441,'Таблиця 1'!$E:$E,"обл. РЕБ",'Таблиця 1'!$L:$L,"Уражено"))</f>
        <v/>
      </c>
      <c r="P441">
        <f>IF($A441="","",COUNTIFS('Таблиця 1'!$B:$B,$A441,'Таблиця 1'!$E:$E,"пос РЕБ",'Таблиця 1'!$L:$L,"Уражено"))</f>
        <v/>
      </c>
      <c r="Q441">
        <f>IF($A441="","",COUNTIFS('Таблиця 1'!$B:$B,$A441,'Таблиця 1'!$E:$E,"група РЕР",'Таблиця 1'!$L:$L,"Уражено"))</f>
        <v/>
      </c>
      <c r="R441">
        <f>IF($A441="","",COUNTIFS('Таблиця 1'!$B:$B,$A441,'Таблиця 1'!$E:$E,"РЛС КББ",'Таблиця 1'!$L:$L,"Уражено"))</f>
        <v/>
      </c>
      <c r="S441">
        <f>IF($A441="","",COUNTIFS('Таблиця 1'!$B:$B,$A441,'Таблиця 1'!$E:$E,"Ретранслятор",'Таблиця 1'!$L:$L,"Уражено"))</f>
        <v/>
      </c>
      <c r="T441">
        <f>IF($A441="","",COUNTIFS('Таблиця 1'!$B:$B,$A441,'Таблиця 1'!$E:$E,"Вз.зв'язку",'Таблиця 1'!$L:$L,"Уражено"))</f>
        <v/>
      </c>
      <c r="U441">
        <f>IF($A441="","",COUNTIFS('Таблиця 1'!$B:$B,$A441,'Таблиця 1'!$E:$E,"ПММ",'Таблиця 1'!$L:$L,"Уражено"))</f>
        <v/>
      </c>
      <c r="V441">
        <f>IF($A441="","",COUNTIFS('Таблиця 1'!$B:$B,$A441,'Таблиця 1'!$E:$E,"ІФС",'Таблиця 1'!$L:$L,"Уражено"))</f>
        <v/>
      </c>
      <c r="W441">
        <f>IF($A441="","",COUNTIFS('Таблиця 1'!$B:$B,$A441,'Таблиця 1'!$E:$E,"Інфраструктура",'Таблиця 1'!$L:$L,"Уражено"))</f>
        <v/>
      </c>
      <c r="X441">
        <f>IF($A441="","",SUMIFS('Таблиця 1'!$K:$K,'Таблиця 1'!$B:$B,$A441))</f>
        <v/>
      </c>
    </row>
    <row r="442">
      <c r="A442" s="81">
        <f>IF(A441="","",IF(A441+1&gt;MAX('Таблиця 1'!$B:$B),"",A441+1))</f>
        <v/>
      </c>
      <c r="B442">
        <f>IF($A442="","",COUNTIFS('Таблиця 1'!$B:$B,$A442,'Таблиця 1'!$E:$E,"ЖС ВЗ",'Таблиця 1'!$L:$L,"Уражено"))</f>
        <v/>
      </c>
      <c r="C442">
        <f>IF($A442="","",COUNTIFS('Таблиця 1'!$B:$B,$A442,'Таблиця 1'!$E:$E,"Арт. Системи",'Таблиця 1'!$L:$L,"Уражено"))</f>
        <v/>
      </c>
      <c r="D442">
        <f>IF($A442="","",COUNTIFS('Таблиця 1'!$B:$B,$A442,'Таблиця 1'!$E:$E,"ОВТ",'Таблиця 1'!$L:$L,"Уражено"))</f>
        <v/>
      </c>
      <c r="E442">
        <f>IF($A442="","",COUNTIFS('Таблиця 1'!$B:$B,$A442,'Таблиця 1'!$E:$E,"ППО",'Таблиця 1'!$L:$L,"Уражено"))</f>
        <v/>
      </c>
      <c r="F442">
        <f>IF($A442="","",COUNTIFS('Таблиця 1'!$B:$B,$A442,'Таблиця 1'!$E:$E,"Рембаза",'Таблиця 1'!$L:$L,"Уражено"))</f>
        <v/>
      </c>
      <c r="G442">
        <f>IF($A442="","",COUNTIFS('Таблиця 1'!$B:$B,$A442,'Таблиця 1'!$E:$E,"Склад БК",'Таблиця 1'!$L:$L,"Уражено"))</f>
        <v/>
      </c>
      <c r="H442">
        <f>IF($A442="","",COUNTIFS('Таблиця 1'!$B:$B,$A442,'Таблиця 1'!$E:$E,"Склад ВТМ",'Таблиця 1'!$L:$L,"Уражено"))</f>
        <v/>
      </c>
      <c r="I442">
        <f>IF($A442="","",COUNTIFS('Таблиця 1'!$B:$B,$A442,'Таблиця 1'!$E:$E,"ПУ БпЛА",'Таблиця 1'!$L:$L,"Уражено"))</f>
        <v/>
      </c>
      <c r="J442">
        <f>IF($A442="","",COUNTIFS('Таблиця 1'!$B:$B,$A442,'Таблиця 1'!$E:$E,"СП",'Таблиця 1'!$L:$L,"Уражено"))</f>
        <v/>
      </c>
      <c r="K442">
        <f>IF($A442="","",COUNTIFS('Таблиця 1'!$B:$B,$A442,'Таблиця 1'!$E:$E,"КСП роти",'Таблиця 1'!$L:$L,"Уражено"))</f>
        <v/>
      </c>
      <c r="L442">
        <f>IF($A442="","",COUNTIFS('Таблиця 1'!$B:$B,$A442,'Таблиця 1'!$E:$E,"ПУ бат",'Таблиця 1'!$L:$L,"Уражено"))</f>
        <v/>
      </c>
      <c r="M442">
        <f>IF($A442="","",COUNTIFS('Таблиця 1'!$B:$B,$A442,'Таблиця 1'!$E:$E,"ПУ бриг",'Таблиця 1'!$L:$L,"Уражено"))</f>
        <v/>
      </c>
      <c r="N442">
        <f>IF($A442="","",COUNTIFS('Таблиця 1'!$B:$B,$A442,'Таблиця 1'!$E:$E,"ПУ див",'Таблиця 1'!$L:$L,"Уражено"))</f>
        <v/>
      </c>
      <c r="O442">
        <f>IF($A442="","",COUNTIFS('Таблиця 1'!$B:$B,$A442,'Таблиця 1'!$E:$E,"обл. РЕБ",'Таблиця 1'!$L:$L,"Уражено"))</f>
        <v/>
      </c>
      <c r="P442">
        <f>IF($A442="","",COUNTIFS('Таблиця 1'!$B:$B,$A442,'Таблиця 1'!$E:$E,"пос РЕБ",'Таблиця 1'!$L:$L,"Уражено"))</f>
        <v/>
      </c>
      <c r="Q442">
        <f>IF($A442="","",COUNTIFS('Таблиця 1'!$B:$B,$A442,'Таблиця 1'!$E:$E,"група РЕР",'Таблиця 1'!$L:$L,"Уражено"))</f>
        <v/>
      </c>
      <c r="R442">
        <f>IF($A442="","",COUNTIFS('Таблиця 1'!$B:$B,$A442,'Таблиця 1'!$E:$E,"РЛС КББ",'Таблиця 1'!$L:$L,"Уражено"))</f>
        <v/>
      </c>
      <c r="S442">
        <f>IF($A442="","",COUNTIFS('Таблиця 1'!$B:$B,$A442,'Таблиця 1'!$E:$E,"Ретранслятор",'Таблиця 1'!$L:$L,"Уражено"))</f>
        <v/>
      </c>
      <c r="T442">
        <f>IF($A442="","",COUNTIFS('Таблиця 1'!$B:$B,$A442,'Таблиця 1'!$E:$E,"Вз.зв'язку",'Таблиця 1'!$L:$L,"Уражено"))</f>
        <v/>
      </c>
      <c r="U442">
        <f>IF($A442="","",COUNTIFS('Таблиця 1'!$B:$B,$A442,'Таблиця 1'!$E:$E,"ПММ",'Таблиця 1'!$L:$L,"Уражено"))</f>
        <v/>
      </c>
      <c r="V442">
        <f>IF($A442="","",COUNTIFS('Таблиця 1'!$B:$B,$A442,'Таблиця 1'!$E:$E,"ІФС",'Таблиця 1'!$L:$L,"Уражено"))</f>
        <v/>
      </c>
      <c r="W442">
        <f>IF($A442="","",COUNTIFS('Таблиця 1'!$B:$B,$A442,'Таблиця 1'!$E:$E,"Інфраструктура",'Таблиця 1'!$L:$L,"Уражено"))</f>
        <v/>
      </c>
      <c r="X442">
        <f>IF($A442="","",SUMIFS('Таблиця 1'!$K:$K,'Таблиця 1'!$B:$B,$A442))</f>
        <v/>
      </c>
    </row>
    <row r="443">
      <c r="A443" s="81">
        <f>IF(A442="","",IF(A442+1&gt;MAX('Таблиця 1'!$B:$B),"",A442+1))</f>
        <v/>
      </c>
      <c r="B443">
        <f>IF($A443="","",COUNTIFS('Таблиця 1'!$B:$B,$A443,'Таблиця 1'!$E:$E,"ЖС ВЗ",'Таблиця 1'!$L:$L,"Уражено"))</f>
        <v/>
      </c>
      <c r="C443">
        <f>IF($A443="","",COUNTIFS('Таблиця 1'!$B:$B,$A443,'Таблиця 1'!$E:$E,"Арт. Системи",'Таблиця 1'!$L:$L,"Уражено"))</f>
        <v/>
      </c>
      <c r="D443">
        <f>IF($A443="","",COUNTIFS('Таблиця 1'!$B:$B,$A443,'Таблиця 1'!$E:$E,"ОВТ",'Таблиця 1'!$L:$L,"Уражено"))</f>
        <v/>
      </c>
      <c r="E443">
        <f>IF($A443="","",COUNTIFS('Таблиця 1'!$B:$B,$A443,'Таблиця 1'!$E:$E,"ППО",'Таблиця 1'!$L:$L,"Уражено"))</f>
        <v/>
      </c>
      <c r="F443">
        <f>IF($A443="","",COUNTIFS('Таблиця 1'!$B:$B,$A443,'Таблиця 1'!$E:$E,"Рембаза",'Таблиця 1'!$L:$L,"Уражено"))</f>
        <v/>
      </c>
      <c r="G443">
        <f>IF($A443="","",COUNTIFS('Таблиця 1'!$B:$B,$A443,'Таблиця 1'!$E:$E,"Склад БК",'Таблиця 1'!$L:$L,"Уражено"))</f>
        <v/>
      </c>
      <c r="H443">
        <f>IF($A443="","",COUNTIFS('Таблиця 1'!$B:$B,$A443,'Таблиця 1'!$E:$E,"Склад ВТМ",'Таблиця 1'!$L:$L,"Уражено"))</f>
        <v/>
      </c>
      <c r="I443">
        <f>IF($A443="","",COUNTIFS('Таблиця 1'!$B:$B,$A443,'Таблиця 1'!$E:$E,"ПУ БпЛА",'Таблиця 1'!$L:$L,"Уражено"))</f>
        <v/>
      </c>
      <c r="J443">
        <f>IF($A443="","",COUNTIFS('Таблиця 1'!$B:$B,$A443,'Таблиця 1'!$E:$E,"СП",'Таблиця 1'!$L:$L,"Уражено"))</f>
        <v/>
      </c>
      <c r="K443">
        <f>IF($A443="","",COUNTIFS('Таблиця 1'!$B:$B,$A443,'Таблиця 1'!$E:$E,"КСП роти",'Таблиця 1'!$L:$L,"Уражено"))</f>
        <v/>
      </c>
      <c r="L443">
        <f>IF($A443="","",COUNTIFS('Таблиця 1'!$B:$B,$A443,'Таблиця 1'!$E:$E,"ПУ бат",'Таблиця 1'!$L:$L,"Уражено"))</f>
        <v/>
      </c>
      <c r="M443">
        <f>IF($A443="","",COUNTIFS('Таблиця 1'!$B:$B,$A443,'Таблиця 1'!$E:$E,"ПУ бриг",'Таблиця 1'!$L:$L,"Уражено"))</f>
        <v/>
      </c>
      <c r="N443">
        <f>IF($A443="","",COUNTIFS('Таблиця 1'!$B:$B,$A443,'Таблиця 1'!$E:$E,"ПУ див",'Таблиця 1'!$L:$L,"Уражено"))</f>
        <v/>
      </c>
      <c r="O443">
        <f>IF($A443="","",COUNTIFS('Таблиця 1'!$B:$B,$A443,'Таблиця 1'!$E:$E,"обл. РЕБ",'Таблиця 1'!$L:$L,"Уражено"))</f>
        <v/>
      </c>
      <c r="P443">
        <f>IF($A443="","",COUNTIFS('Таблиця 1'!$B:$B,$A443,'Таблиця 1'!$E:$E,"пос РЕБ",'Таблиця 1'!$L:$L,"Уражено"))</f>
        <v/>
      </c>
      <c r="Q443">
        <f>IF($A443="","",COUNTIFS('Таблиця 1'!$B:$B,$A443,'Таблиця 1'!$E:$E,"група РЕР",'Таблиця 1'!$L:$L,"Уражено"))</f>
        <v/>
      </c>
      <c r="R443">
        <f>IF($A443="","",COUNTIFS('Таблиця 1'!$B:$B,$A443,'Таблиця 1'!$E:$E,"РЛС КББ",'Таблиця 1'!$L:$L,"Уражено"))</f>
        <v/>
      </c>
      <c r="S443">
        <f>IF($A443="","",COUNTIFS('Таблиця 1'!$B:$B,$A443,'Таблиця 1'!$E:$E,"Ретранслятор",'Таблиця 1'!$L:$L,"Уражено"))</f>
        <v/>
      </c>
      <c r="T443">
        <f>IF($A443="","",COUNTIFS('Таблиця 1'!$B:$B,$A443,'Таблиця 1'!$E:$E,"Вз.зв'язку",'Таблиця 1'!$L:$L,"Уражено"))</f>
        <v/>
      </c>
      <c r="U443">
        <f>IF($A443="","",COUNTIFS('Таблиця 1'!$B:$B,$A443,'Таблиця 1'!$E:$E,"ПММ",'Таблиця 1'!$L:$L,"Уражено"))</f>
        <v/>
      </c>
      <c r="V443">
        <f>IF($A443="","",COUNTIFS('Таблиця 1'!$B:$B,$A443,'Таблиця 1'!$E:$E,"ІФС",'Таблиця 1'!$L:$L,"Уражено"))</f>
        <v/>
      </c>
      <c r="W443">
        <f>IF($A443="","",COUNTIFS('Таблиця 1'!$B:$B,$A443,'Таблиця 1'!$E:$E,"Інфраструктура",'Таблиця 1'!$L:$L,"Уражено"))</f>
        <v/>
      </c>
      <c r="X443">
        <f>IF($A443="","",SUMIFS('Таблиця 1'!$K:$K,'Таблиця 1'!$B:$B,$A443))</f>
        <v/>
      </c>
    </row>
    <row r="444">
      <c r="A444" s="81">
        <f>IF(A443="","",IF(A443+1&gt;MAX('Таблиця 1'!$B:$B),"",A443+1))</f>
        <v/>
      </c>
      <c r="B444">
        <f>IF($A444="","",COUNTIFS('Таблиця 1'!$B:$B,$A444,'Таблиця 1'!$E:$E,"ЖС ВЗ",'Таблиця 1'!$L:$L,"Уражено"))</f>
        <v/>
      </c>
      <c r="C444">
        <f>IF($A444="","",COUNTIFS('Таблиця 1'!$B:$B,$A444,'Таблиця 1'!$E:$E,"Арт. Системи",'Таблиця 1'!$L:$L,"Уражено"))</f>
        <v/>
      </c>
      <c r="D444">
        <f>IF($A444="","",COUNTIFS('Таблиця 1'!$B:$B,$A444,'Таблиця 1'!$E:$E,"ОВТ",'Таблиця 1'!$L:$L,"Уражено"))</f>
        <v/>
      </c>
      <c r="E444">
        <f>IF($A444="","",COUNTIFS('Таблиця 1'!$B:$B,$A444,'Таблиця 1'!$E:$E,"ППО",'Таблиця 1'!$L:$L,"Уражено"))</f>
        <v/>
      </c>
      <c r="F444">
        <f>IF($A444="","",COUNTIFS('Таблиця 1'!$B:$B,$A444,'Таблиця 1'!$E:$E,"Рембаза",'Таблиця 1'!$L:$L,"Уражено"))</f>
        <v/>
      </c>
      <c r="G444">
        <f>IF($A444="","",COUNTIFS('Таблиця 1'!$B:$B,$A444,'Таблиця 1'!$E:$E,"Склад БК",'Таблиця 1'!$L:$L,"Уражено"))</f>
        <v/>
      </c>
      <c r="H444">
        <f>IF($A444="","",COUNTIFS('Таблиця 1'!$B:$B,$A444,'Таблиця 1'!$E:$E,"Склад ВТМ",'Таблиця 1'!$L:$L,"Уражено"))</f>
        <v/>
      </c>
      <c r="I444">
        <f>IF($A444="","",COUNTIFS('Таблиця 1'!$B:$B,$A444,'Таблиця 1'!$E:$E,"ПУ БпЛА",'Таблиця 1'!$L:$L,"Уражено"))</f>
        <v/>
      </c>
      <c r="J444">
        <f>IF($A444="","",COUNTIFS('Таблиця 1'!$B:$B,$A444,'Таблиця 1'!$E:$E,"СП",'Таблиця 1'!$L:$L,"Уражено"))</f>
        <v/>
      </c>
      <c r="K444">
        <f>IF($A444="","",COUNTIFS('Таблиця 1'!$B:$B,$A444,'Таблиця 1'!$E:$E,"КСП роти",'Таблиця 1'!$L:$L,"Уражено"))</f>
        <v/>
      </c>
      <c r="L444">
        <f>IF($A444="","",COUNTIFS('Таблиця 1'!$B:$B,$A444,'Таблиця 1'!$E:$E,"ПУ бат",'Таблиця 1'!$L:$L,"Уражено"))</f>
        <v/>
      </c>
      <c r="M444">
        <f>IF($A444="","",COUNTIFS('Таблиця 1'!$B:$B,$A444,'Таблиця 1'!$E:$E,"ПУ бриг",'Таблиця 1'!$L:$L,"Уражено"))</f>
        <v/>
      </c>
      <c r="N444">
        <f>IF($A444="","",COUNTIFS('Таблиця 1'!$B:$B,$A444,'Таблиця 1'!$E:$E,"ПУ див",'Таблиця 1'!$L:$L,"Уражено"))</f>
        <v/>
      </c>
      <c r="O444">
        <f>IF($A444="","",COUNTIFS('Таблиця 1'!$B:$B,$A444,'Таблиця 1'!$E:$E,"обл. РЕБ",'Таблиця 1'!$L:$L,"Уражено"))</f>
        <v/>
      </c>
      <c r="P444">
        <f>IF($A444="","",COUNTIFS('Таблиця 1'!$B:$B,$A444,'Таблиця 1'!$E:$E,"пос РЕБ",'Таблиця 1'!$L:$L,"Уражено"))</f>
        <v/>
      </c>
      <c r="Q444">
        <f>IF($A444="","",COUNTIFS('Таблиця 1'!$B:$B,$A444,'Таблиця 1'!$E:$E,"група РЕР",'Таблиця 1'!$L:$L,"Уражено"))</f>
        <v/>
      </c>
      <c r="R444">
        <f>IF($A444="","",COUNTIFS('Таблиця 1'!$B:$B,$A444,'Таблиця 1'!$E:$E,"РЛС КББ",'Таблиця 1'!$L:$L,"Уражено"))</f>
        <v/>
      </c>
      <c r="S444">
        <f>IF($A444="","",COUNTIFS('Таблиця 1'!$B:$B,$A444,'Таблиця 1'!$E:$E,"Ретранслятор",'Таблиця 1'!$L:$L,"Уражено"))</f>
        <v/>
      </c>
      <c r="T444">
        <f>IF($A444="","",COUNTIFS('Таблиця 1'!$B:$B,$A444,'Таблиця 1'!$E:$E,"Вз.зв'язку",'Таблиця 1'!$L:$L,"Уражено"))</f>
        <v/>
      </c>
      <c r="U444">
        <f>IF($A444="","",COUNTIFS('Таблиця 1'!$B:$B,$A444,'Таблиця 1'!$E:$E,"ПММ",'Таблиця 1'!$L:$L,"Уражено"))</f>
        <v/>
      </c>
      <c r="V444">
        <f>IF($A444="","",COUNTIFS('Таблиця 1'!$B:$B,$A444,'Таблиця 1'!$E:$E,"ІФС",'Таблиця 1'!$L:$L,"Уражено"))</f>
        <v/>
      </c>
      <c r="W444">
        <f>IF($A444="","",COUNTIFS('Таблиця 1'!$B:$B,$A444,'Таблиця 1'!$E:$E,"Інфраструктура",'Таблиця 1'!$L:$L,"Уражено"))</f>
        <v/>
      </c>
      <c r="X444">
        <f>IF($A444="","",SUMIFS('Таблиця 1'!$K:$K,'Таблиця 1'!$B:$B,$A444))</f>
        <v/>
      </c>
    </row>
    <row r="445">
      <c r="A445" s="81">
        <f>IF(A444="","",IF(A444+1&gt;MAX('Таблиця 1'!$B:$B),"",A444+1))</f>
        <v/>
      </c>
      <c r="B445">
        <f>IF($A445="","",COUNTIFS('Таблиця 1'!$B:$B,$A445,'Таблиця 1'!$E:$E,"ЖС ВЗ",'Таблиця 1'!$L:$L,"Уражено"))</f>
        <v/>
      </c>
      <c r="C445">
        <f>IF($A445="","",COUNTIFS('Таблиця 1'!$B:$B,$A445,'Таблиця 1'!$E:$E,"Арт. Системи",'Таблиця 1'!$L:$L,"Уражено"))</f>
        <v/>
      </c>
      <c r="D445">
        <f>IF($A445="","",COUNTIFS('Таблиця 1'!$B:$B,$A445,'Таблиця 1'!$E:$E,"ОВТ",'Таблиця 1'!$L:$L,"Уражено"))</f>
        <v/>
      </c>
      <c r="E445">
        <f>IF($A445="","",COUNTIFS('Таблиця 1'!$B:$B,$A445,'Таблиця 1'!$E:$E,"ППО",'Таблиця 1'!$L:$L,"Уражено"))</f>
        <v/>
      </c>
      <c r="F445">
        <f>IF($A445="","",COUNTIFS('Таблиця 1'!$B:$B,$A445,'Таблиця 1'!$E:$E,"Рембаза",'Таблиця 1'!$L:$L,"Уражено"))</f>
        <v/>
      </c>
      <c r="G445">
        <f>IF($A445="","",COUNTIFS('Таблиця 1'!$B:$B,$A445,'Таблиця 1'!$E:$E,"Склад БК",'Таблиця 1'!$L:$L,"Уражено"))</f>
        <v/>
      </c>
      <c r="H445">
        <f>IF($A445="","",COUNTIFS('Таблиця 1'!$B:$B,$A445,'Таблиця 1'!$E:$E,"Склад ВТМ",'Таблиця 1'!$L:$L,"Уражено"))</f>
        <v/>
      </c>
      <c r="I445">
        <f>IF($A445="","",COUNTIFS('Таблиця 1'!$B:$B,$A445,'Таблиця 1'!$E:$E,"ПУ БпЛА",'Таблиця 1'!$L:$L,"Уражено"))</f>
        <v/>
      </c>
      <c r="J445">
        <f>IF($A445="","",COUNTIFS('Таблиця 1'!$B:$B,$A445,'Таблиця 1'!$E:$E,"СП",'Таблиця 1'!$L:$L,"Уражено"))</f>
        <v/>
      </c>
      <c r="K445">
        <f>IF($A445="","",COUNTIFS('Таблиця 1'!$B:$B,$A445,'Таблиця 1'!$E:$E,"КСП роти",'Таблиця 1'!$L:$L,"Уражено"))</f>
        <v/>
      </c>
      <c r="L445">
        <f>IF($A445="","",COUNTIFS('Таблиця 1'!$B:$B,$A445,'Таблиця 1'!$E:$E,"ПУ бат",'Таблиця 1'!$L:$L,"Уражено"))</f>
        <v/>
      </c>
      <c r="M445">
        <f>IF($A445="","",COUNTIFS('Таблиця 1'!$B:$B,$A445,'Таблиця 1'!$E:$E,"ПУ бриг",'Таблиця 1'!$L:$L,"Уражено"))</f>
        <v/>
      </c>
      <c r="N445">
        <f>IF($A445="","",COUNTIFS('Таблиця 1'!$B:$B,$A445,'Таблиця 1'!$E:$E,"ПУ див",'Таблиця 1'!$L:$L,"Уражено"))</f>
        <v/>
      </c>
      <c r="O445">
        <f>IF($A445="","",COUNTIFS('Таблиця 1'!$B:$B,$A445,'Таблиця 1'!$E:$E,"обл. РЕБ",'Таблиця 1'!$L:$L,"Уражено"))</f>
        <v/>
      </c>
      <c r="P445">
        <f>IF($A445="","",COUNTIFS('Таблиця 1'!$B:$B,$A445,'Таблиця 1'!$E:$E,"пос РЕБ",'Таблиця 1'!$L:$L,"Уражено"))</f>
        <v/>
      </c>
      <c r="Q445">
        <f>IF($A445="","",COUNTIFS('Таблиця 1'!$B:$B,$A445,'Таблиця 1'!$E:$E,"група РЕР",'Таблиця 1'!$L:$L,"Уражено"))</f>
        <v/>
      </c>
      <c r="R445">
        <f>IF($A445="","",COUNTIFS('Таблиця 1'!$B:$B,$A445,'Таблиця 1'!$E:$E,"РЛС КББ",'Таблиця 1'!$L:$L,"Уражено"))</f>
        <v/>
      </c>
      <c r="S445">
        <f>IF($A445="","",COUNTIFS('Таблиця 1'!$B:$B,$A445,'Таблиця 1'!$E:$E,"Ретранслятор",'Таблиця 1'!$L:$L,"Уражено"))</f>
        <v/>
      </c>
      <c r="T445">
        <f>IF($A445="","",COUNTIFS('Таблиця 1'!$B:$B,$A445,'Таблиця 1'!$E:$E,"Вз.зв'язку",'Таблиця 1'!$L:$L,"Уражено"))</f>
        <v/>
      </c>
      <c r="U445">
        <f>IF($A445="","",COUNTIFS('Таблиця 1'!$B:$B,$A445,'Таблиця 1'!$E:$E,"ПММ",'Таблиця 1'!$L:$L,"Уражено"))</f>
        <v/>
      </c>
      <c r="V445">
        <f>IF($A445="","",COUNTIFS('Таблиця 1'!$B:$B,$A445,'Таблиця 1'!$E:$E,"ІФС",'Таблиця 1'!$L:$L,"Уражено"))</f>
        <v/>
      </c>
      <c r="W445">
        <f>IF($A445="","",COUNTIFS('Таблиця 1'!$B:$B,$A445,'Таблиця 1'!$E:$E,"Інфраструктура",'Таблиця 1'!$L:$L,"Уражено"))</f>
        <v/>
      </c>
      <c r="X445">
        <f>IF($A445="","",SUMIFS('Таблиця 1'!$K:$K,'Таблиця 1'!$B:$B,$A445))</f>
        <v/>
      </c>
    </row>
    <row r="446">
      <c r="A446" s="81">
        <f>IF(A445="","",IF(A445+1&gt;MAX('Таблиця 1'!$B:$B),"",A445+1))</f>
        <v/>
      </c>
      <c r="B446">
        <f>IF($A446="","",COUNTIFS('Таблиця 1'!$B:$B,$A446,'Таблиця 1'!$E:$E,"ЖС ВЗ",'Таблиця 1'!$L:$L,"Уражено"))</f>
        <v/>
      </c>
      <c r="C446">
        <f>IF($A446="","",COUNTIFS('Таблиця 1'!$B:$B,$A446,'Таблиця 1'!$E:$E,"Арт. Системи",'Таблиця 1'!$L:$L,"Уражено"))</f>
        <v/>
      </c>
      <c r="D446">
        <f>IF($A446="","",COUNTIFS('Таблиця 1'!$B:$B,$A446,'Таблиця 1'!$E:$E,"ОВТ",'Таблиця 1'!$L:$L,"Уражено"))</f>
        <v/>
      </c>
      <c r="E446">
        <f>IF($A446="","",COUNTIFS('Таблиця 1'!$B:$B,$A446,'Таблиця 1'!$E:$E,"ППО",'Таблиця 1'!$L:$L,"Уражено"))</f>
        <v/>
      </c>
      <c r="F446">
        <f>IF($A446="","",COUNTIFS('Таблиця 1'!$B:$B,$A446,'Таблиця 1'!$E:$E,"Рембаза",'Таблиця 1'!$L:$L,"Уражено"))</f>
        <v/>
      </c>
      <c r="G446">
        <f>IF($A446="","",COUNTIFS('Таблиця 1'!$B:$B,$A446,'Таблиця 1'!$E:$E,"Склад БК",'Таблиця 1'!$L:$L,"Уражено"))</f>
        <v/>
      </c>
      <c r="H446">
        <f>IF($A446="","",COUNTIFS('Таблиця 1'!$B:$B,$A446,'Таблиця 1'!$E:$E,"Склад ВТМ",'Таблиця 1'!$L:$L,"Уражено"))</f>
        <v/>
      </c>
      <c r="I446">
        <f>IF($A446="","",COUNTIFS('Таблиця 1'!$B:$B,$A446,'Таблиця 1'!$E:$E,"ПУ БпЛА",'Таблиця 1'!$L:$L,"Уражено"))</f>
        <v/>
      </c>
      <c r="J446">
        <f>IF($A446="","",COUNTIFS('Таблиця 1'!$B:$B,$A446,'Таблиця 1'!$E:$E,"СП",'Таблиця 1'!$L:$L,"Уражено"))</f>
        <v/>
      </c>
      <c r="K446">
        <f>IF($A446="","",COUNTIFS('Таблиця 1'!$B:$B,$A446,'Таблиця 1'!$E:$E,"КСП роти",'Таблиця 1'!$L:$L,"Уражено"))</f>
        <v/>
      </c>
      <c r="L446">
        <f>IF($A446="","",COUNTIFS('Таблиця 1'!$B:$B,$A446,'Таблиця 1'!$E:$E,"ПУ бат",'Таблиця 1'!$L:$L,"Уражено"))</f>
        <v/>
      </c>
      <c r="M446">
        <f>IF($A446="","",COUNTIFS('Таблиця 1'!$B:$B,$A446,'Таблиця 1'!$E:$E,"ПУ бриг",'Таблиця 1'!$L:$L,"Уражено"))</f>
        <v/>
      </c>
      <c r="N446">
        <f>IF($A446="","",COUNTIFS('Таблиця 1'!$B:$B,$A446,'Таблиця 1'!$E:$E,"ПУ див",'Таблиця 1'!$L:$L,"Уражено"))</f>
        <v/>
      </c>
      <c r="O446">
        <f>IF($A446="","",COUNTIFS('Таблиця 1'!$B:$B,$A446,'Таблиця 1'!$E:$E,"обл. РЕБ",'Таблиця 1'!$L:$L,"Уражено"))</f>
        <v/>
      </c>
      <c r="P446">
        <f>IF($A446="","",COUNTIFS('Таблиця 1'!$B:$B,$A446,'Таблиця 1'!$E:$E,"пос РЕБ",'Таблиця 1'!$L:$L,"Уражено"))</f>
        <v/>
      </c>
      <c r="Q446">
        <f>IF($A446="","",COUNTIFS('Таблиця 1'!$B:$B,$A446,'Таблиця 1'!$E:$E,"група РЕР",'Таблиця 1'!$L:$L,"Уражено"))</f>
        <v/>
      </c>
      <c r="R446">
        <f>IF($A446="","",COUNTIFS('Таблиця 1'!$B:$B,$A446,'Таблиця 1'!$E:$E,"РЛС КББ",'Таблиця 1'!$L:$L,"Уражено"))</f>
        <v/>
      </c>
      <c r="S446">
        <f>IF($A446="","",COUNTIFS('Таблиця 1'!$B:$B,$A446,'Таблиця 1'!$E:$E,"Ретранслятор",'Таблиця 1'!$L:$L,"Уражено"))</f>
        <v/>
      </c>
      <c r="T446">
        <f>IF($A446="","",COUNTIFS('Таблиця 1'!$B:$B,$A446,'Таблиця 1'!$E:$E,"Вз.зв'язку",'Таблиця 1'!$L:$L,"Уражено"))</f>
        <v/>
      </c>
      <c r="U446">
        <f>IF($A446="","",COUNTIFS('Таблиця 1'!$B:$B,$A446,'Таблиця 1'!$E:$E,"ПММ",'Таблиця 1'!$L:$L,"Уражено"))</f>
        <v/>
      </c>
      <c r="V446">
        <f>IF($A446="","",COUNTIFS('Таблиця 1'!$B:$B,$A446,'Таблиця 1'!$E:$E,"ІФС",'Таблиця 1'!$L:$L,"Уражено"))</f>
        <v/>
      </c>
      <c r="W446">
        <f>IF($A446="","",COUNTIFS('Таблиця 1'!$B:$B,$A446,'Таблиця 1'!$E:$E,"Інфраструктура",'Таблиця 1'!$L:$L,"Уражено"))</f>
        <v/>
      </c>
      <c r="X446">
        <f>IF($A446="","",SUMIFS('Таблиця 1'!$K:$K,'Таблиця 1'!$B:$B,$A446))</f>
        <v/>
      </c>
    </row>
    <row r="447">
      <c r="A447" s="81">
        <f>IF(A446="","",IF(A446+1&gt;MAX('Таблиця 1'!$B:$B),"",A446+1))</f>
        <v/>
      </c>
      <c r="B447">
        <f>IF($A447="","",COUNTIFS('Таблиця 1'!$B:$B,$A447,'Таблиця 1'!$E:$E,"ЖС ВЗ",'Таблиця 1'!$L:$L,"Уражено"))</f>
        <v/>
      </c>
      <c r="C447">
        <f>IF($A447="","",COUNTIFS('Таблиця 1'!$B:$B,$A447,'Таблиця 1'!$E:$E,"Арт. Системи",'Таблиця 1'!$L:$L,"Уражено"))</f>
        <v/>
      </c>
      <c r="D447">
        <f>IF($A447="","",COUNTIFS('Таблиця 1'!$B:$B,$A447,'Таблиця 1'!$E:$E,"ОВТ",'Таблиця 1'!$L:$L,"Уражено"))</f>
        <v/>
      </c>
      <c r="E447">
        <f>IF($A447="","",COUNTIFS('Таблиця 1'!$B:$B,$A447,'Таблиця 1'!$E:$E,"ППО",'Таблиця 1'!$L:$L,"Уражено"))</f>
        <v/>
      </c>
      <c r="F447">
        <f>IF($A447="","",COUNTIFS('Таблиця 1'!$B:$B,$A447,'Таблиця 1'!$E:$E,"Рембаза",'Таблиця 1'!$L:$L,"Уражено"))</f>
        <v/>
      </c>
      <c r="G447">
        <f>IF($A447="","",COUNTIFS('Таблиця 1'!$B:$B,$A447,'Таблиця 1'!$E:$E,"Склад БК",'Таблиця 1'!$L:$L,"Уражено"))</f>
        <v/>
      </c>
      <c r="H447">
        <f>IF($A447="","",COUNTIFS('Таблиця 1'!$B:$B,$A447,'Таблиця 1'!$E:$E,"Склад ВТМ",'Таблиця 1'!$L:$L,"Уражено"))</f>
        <v/>
      </c>
      <c r="I447">
        <f>IF($A447="","",COUNTIFS('Таблиця 1'!$B:$B,$A447,'Таблиця 1'!$E:$E,"ПУ БпЛА",'Таблиця 1'!$L:$L,"Уражено"))</f>
        <v/>
      </c>
      <c r="J447">
        <f>IF($A447="","",COUNTIFS('Таблиця 1'!$B:$B,$A447,'Таблиця 1'!$E:$E,"СП",'Таблиця 1'!$L:$L,"Уражено"))</f>
        <v/>
      </c>
      <c r="K447">
        <f>IF($A447="","",COUNTIFS('Таблиця 1'!$B:$B,$A447,'Таблиця 1'!$E:$E,"КСП роти",'Таблиця 1'!$L:$L,"Уражено"))</f>
        <v/>
      </c>
      <c r="L447">
        <f>IF($A447="","",COUNTIFS('Таблиця 1'!$B:$B,$A447,'Таблиця 1'!$E:$E,"ПУ бат",'Таблиця 1'!$L:$L,"Уражено"))</f>
        <v/>
      </c>
      <c r="M447">
        <f>IF($A447="","",COUNTIFS('Таблиця 1'!$B:$B,$A447,'Таблиця 1'!$E:$E,"ПУ бриг",'Таблиця 1'!$L:$L,"Уражено"))</f>
        <v/>
      </c>
      <c r="N447">
        <f>IF($A447="","",COUNTIFS('Таблиця 1'!$B:$B,$A447,'Таблиця 1'!$E:$E,"ПУ див",'Таблиця 1'!$L:$L,"Уражено"))</f>
        <v/>
      </c>
      <c r="O447">
        <f>IF($A447="","",COUNTIFS('Таблиця 1'!$B:$B,$A447,'Таблиця 1'!$E:$E,"обл. РЕБ",'Таблиця 1'!$L:$L,"Уражено"))</f>
        <v/>
      </c>
      <c r="P447">
        <f>IF($A447="","",COUNTIFS('Таблиця 1'!$B:$B,$A447,'Таблиця 1'!$E:$E,"пос РЕБ",'Таблиця 1'!$L:$L,"Уражено"))</f>
        <v/>
      </c>
      <c r="Q447">
        <f>IF($A447="","",COUNTIFS('Таблиця 1'!$B:$B,$A447,'Таблиця 1'!$E:$E,"група РЕР",'Таблиця 1'!$L:$L,"Уражено"))</f>
        <v/>
      </c>
      <c r="R447">
        <f>IF($A447="","",COUNTIFS('Таблиця 1'!$B:$B,$A447,'Таблиця 1'!$E:$E,"РЛС КББ",'Таблиця 1'!$L:$L,"Уражено"))</f>
        <v/>
      </c>
      <c r="S447">
        <f>IF($A447="","",COUNTIFS('Таблиця 1'!$B:$B,$A447,'Таблиця 1'!$E:$E,"Ретранслятор",'Таблиця 1'!$L:$L,"Уражено"))</f>
        <v/>
      </c>
      <c r="T447">
        <f>IF($A447="","",COUNTIFS('Таблиця 1'!$B:$B,$A447,'Таблиця 1'!$E:$E,"Вз.зв'язку",'Таблиця 1'!$L:$L,"Уражено"))</f>
        <v/>
      </c>
      <c r="U447">
        <f>IF($A447="","",COUNTIFS('Таблиця 1'!$B:$B,$A447,'Таблиця 1'!$E:$E,"ПММ",'Таблиця 1'!$L:$L,"Уражено"))</f>
        <v/>
      </c>
      <c r="V447">
        <f>IF($A447="","",COUNTIFS('Таблиця 1'!$B:$B,$A447,'Таблиця 1'!$E:$E,"ІФС",'Таблиця 1'!$L:$L,"Уражено"))</f>
        <v/>
      </c>
      <c r="W447">
        <f>IF($A447="","",COUNTIFS('Таблиця 1'!$B:$B,$A447,'Таблиця 1'!$E:$E,"Інфраструктура",'Таблиця 1'!$L:$L,"Уражено"))</f>
        <v/>
      </c>
      <c r="X447">
        <f>IF($A447="","",SUMIFS('Таблиця 1'!$K:$K,'Таблиця 1'!$B:$B,$A447))</f>
        <v/>
      </c>
    </row>
    <row r="448">
      <c r="A448" s="81">
        <f>IF(A447="","",IF(A447+1&gt;MAX('Таблиця 1'!$B:$B),"",A447+1))</f>
        <v/>
      </c>
      <c r="B448">
        <f>IF($A448="","",COUNTIFS('Таблиця 1'!$B:$B,$A448,'Таблиця 1'!$E:$E,"ЖС ВЗ",'Таблиця 1'!$L:$L,"Уражено"))</f>
        <v/>
      </c>
      <c r="C448">
        <f>IF($A448="","",COUNTIFS('Таблиця 1'!$B:$B,$A448,'Таблиця 1'!$E:$E,"Арт. Системи",'Таблиця 1'!$L:$L,"Уражено"))</f>
        <v/>
      </c>
      <c r="D448">
        <f>IF($A448="","",COUNTIFS('Таблиця 1'!$B:$B,$A448,'Таблиця 1'!$E:$E,"ОВТ",'Таблиця 1'!$L:$L,"Уражено"))</f>
        <v/>
      </c>
      <c r="E448">
        <f>IF($A448="","",COUNTIFS('Таблиця 1'!$B:$B,$A448,'Таблиця 1'!$E:$E,"ППО",'Таблиця 1'!$L:$L,"Уражено"))</f>
        <v/>
      </c>
      <c r="F448">
        <f>IF($A448="","",COUNTIFS('Таблиця 1'!$B:$B,$A448,'Таблиця 1'!$E:$E,"Рембаза",'Таблиця 1'!$L:$L,"Уражено"))</f>
        <v/>
      </c>
      <c r="G448">
        <f>IF($A448="","",COUNTIFS('Таблиця 1'!$B:$B,$A448,'Таблиця 1'!$E:$E,"Склад БК",'Таблиця 1'!$L:$L,"Уражено"))</f>
        <v/>
      </c>
      <c r="H448">
        <f>IF($A448="","",COUNTIFS('Таблиця 1'!$B:$B,$A448,'Таблиця 1'!$E:$E,"Склад ВТМ",'Таблиця 1'!$L:$L,"Уражено"))</f>
        <v/>
      </c>
      <c r="I448">
        <f>IF($A448="","",COUNTIFS('Таблиця 1'!$B:$B,$A448,'Таблиця 1'!$E:$E,"ПУ БпЛА",'Таблиця 1'!$L:$L,"Уражено"))</f>
        <v/>
      </c>
      <c r="J448">
        <f>IF($A448="","",COUNTIFS('Таблиця 1'!$B:$B,$A448,'Таблиця 1'!$E:$E,"СП",'Таблиця 1'!$L:$L,"Уражено"))</f>
        <v/>
      </c>
      <c r="K448">
        <f>IF($A448="","",COUNTIFS('Таблиця 1'!$B:$B,$A448,'Таблиця 1'!$E:$E,"КСП роти",'Таблиця 1'!$L:$L,"Уражено"))</f>
        <v/>
      </c>
      <c r="L448">
        <f>IF($A448="","",COUNTIFS('Таблиця 1'!$B:$B,$A448,'Таблиця 1'!$E:$E,"ПУ бат",'Таблиця 1'!$L:$L,"Уражено"))</f>
        <v/>
      </c>
      <c r="M448">
        <f>IF($A448="","",COUNTIFS('Таблиця 1'!$B:$B,$A448,'Таблиця 1'!$E:$E,"ПУ бриг",'Таблиця 1'!$L:$L,"Уражено"))</f>
        <v/>
      </c>
      <c r="N448">
        <f>IF($A448="","",COUNTIFS('Таблиця 1'!$B:$B,$A448,'Таблиця 1'!$E:$E,"ПУ див",'Таблиця 1'!$L:$L,"Уражено"))</f>
        <v/>
      </c>
      <c r="O448">
        <f>IF($A448="","",COUNTIFS('Таблиця 1'!$B:$B,$A448,'Таблиця 1'!$E:$E,"обл. РЕБ",'Таблиця 1'!$L:$L,"Уражено"))</f>
        <v/>
      </c>
      <c r="P448">
        <f>IF($A448="","",COUNTIFS('Таблиця 1'!$B:$B,$A448,'Таблиця 1'!$E:$E,"пос РЕБ",'Таблиця 1'!$L:$L,"Уражено"))</f>
        <v/>
      </c>
      <c r="Q448">
        <f>IF($A448="","",COUNTIFS('Таблиця 1'!$B:$B,$A448,'Таблиця 1'!$E:$E,"група РЕР",'Таблиця 1'!$L:$L,"Уражено"))</f>
        <v/>
      </c>
      <c r="R448">
        <f>IF($A448="","",COUNTIFS('Таблиця 1'!$B:$B,$A448,'Таблиця 1'!$E:$E,"РЛС КББ",'Таблиця 1'!$L:$L,"Уражено"))</f>
        <v/>
      </c>
      <c r="S448">
        <f>IF($A448="","",COUNTIFS('Таблиця 1'!$B:$B,$A448,'Таблиця 1'!$E:$E,"Ретранслятор",'Таблиця 1'!$L:$L,"Уражено"))</f>
        <v/>
      </c>
      <c r="T448">
        <f>IF($A448="","",COUNTIFS('Таблиця 1'!$B:$B,$A448,'Таблиця 1'!$E:$E,"Вз.зв'язку",'Таблиця 1'!$L:$L,"Уражено"))</f>
        <v/>
      </c>
      <c r="U448">
        <f>IF($A448="","",COUNTIFS('Таблиця 1'!$B:$B,$A448,'Таблиця 1'!$E:$E,"ПММ",'Таблиця 1'!$L:$L,"Уражено"))</f>
        <v/>
      </c>
      <c r="V448">
        <f>IF($A448="","",COUNTIFS('Таблиця 1'!$B:$B,$A448,'Таблиця 1'!$E:$E,"ІФС",'Таблиця 1'!$L:$L,"Уражено"))</f>
        <v/>
      </c>
      <c r="W448">
        <f>IF($A448="","",COUNTIFS('Таблиця 1'!$B:$B,$A448,'Таблиця 1'!$E:$E,"Інфраструктура",'Таблиця 1'!$L:$L,"Уражено"))</f>
        <v/>
      </c>
      <c r="X448">
        <f>IF($A448="","",SUMIFS('Таблиця 1'!$K:$K,'Таблиця 1'!$B:$B,$A448))</f>
        <v/>
      </c>
    </row>
    <row r="449">
      <c r="A449" s="81">
        <f>IF(A448="","",IF(A448+1&gt;MAX('Таблиця 1'!$B:$B),"",A448+1))</f>
        <v/>
      </c>
      <c r="B449">
        <f>IF($A449="","",COUNTIFS('Таблиця 1'!$B:$B,$A449,'Таблиця 1'!$E:$E,"ЖС ВЗ",'Таблиця 1'!$L:$L,"Уражено"))</f>
        <v/>
      </c>
      <c r="C449">
        <f>IF($A449="","",COUNTIFS('Таблиця 1'!$B:$B,$A449,'Таблиця 1'!$E:$E,"Арт. Системи",'Таблиця 1'!$L:$L,"Уражено"))</f>
        <v/>
      </c>
      <c r="D449">
        <f>IF($A449="","",COUNTIFS('Таблиця 1'!$B:$B,$A449,'Таблиця 1'!$E:$E,"ОВТ",'Таблиця 1'!$L:$L,"Уражено"))</f>
        <v/>
      </c>
      <c r="E449">
        <f>IF($A449="","",COUNTIFS('Таблиця 1'!$B:$B,$A449,'Таблиця 1'!$E:$E,"ППО",'Таблиця 1'!$L:$L,"Уражено"))</f>
        <v/>
      </c>
      <c r="F449">
        <f>IF($A449="","",COUNTIFS('Таблиця 1'!$B:$B,$A449,'Таблиця 1'!$E:$E,"Рембаза",'Таблиця 1'!$L:$L,"Уражено"))</f>
        <v/>
      </c>
      <c r="G449">
        <f>IF($A449="","",COUNTIFS('Таблиця 1'!$B:$B,$A449,'Таблиця 1'!$E:$E,"Склад БК",'Таблиця 1'!$L:$L,"Уражено"))</f>
        <v/>
      </c>
      <c r="H449">
        <f>IF($A449="","",COUNTIFS('Таблиця 1'!$B:$B,$A449,'Таблиця 1'!$E:$E,"Склад ВТМ",'Таблиця 1'!$L:$L,"Уражено"))</f>
        <v/>
      </c>
      <c r="I449">
        <f>IF($A449="","",COUNTIFS('Таблиця 1'!$B:$B,$A449,'Таблиця 1'!$E:$E,"ПУ БпЛА",'Таблиця 1'!$L:$L,"Уражено"))</f>
        <v/>
      </c>
      <c r="J449">
        <f>IF($A449="","",COUNTIFS('Таблиця 1'!$B:$B,$A449,'Таблиця 1'!$E:$E,"СП",'Таблиця 1'!$L:$L,"Уражено"))</f>
        <v/>
      </c>
      <c r="K449">
        <f>IF($A449="","",COUNTIFS('Таблиця 1'!$B:$B,$A449,'Таблиця 1'!$E:$E,"КСП роти",'Таблиця 1'!$L:$L,"Уражено"))</f>
        <v/>
      </c>
      <c r="L449">
        <f>IF($A449="","",COUNTIFS('Таблиця 1'!$B:$B,$A449,'Таблиця 1'!$E:$E,"ПУ бат",'Таблиця 1'!$L:$L,"Уражено"))</f>
        <v/>
      </c>
      <c r="M449">
        <f>IF($A449="","",COUNTIFS('Таблиця 1'!$B:$B,$A449,'Таблиця 1'!$E:$E,"ПУ бриг",'Таблиця 1'!$L:$L,"Уражено"))</f>
        <v/>
      </c>
      <c r="N449">
        <f>IF($A449="","",COUNTIFS('Таблиця 1'!$B:$B,$A449,'Таблиця 1'!$E:$E,"ПУ див",'Таблиця 1'!$L:$L,"Уражено"))</f>
        <v/>
      </c>
      <c r="O449">
        <f>IF($A449="","",COUNTIFS('Таблиця 1'!$B:$B,$A449,'Таблиця 1'!$E:$E,"обл. РЕБ",'Таблиця 1'!$L:$L,"Уражено"))</f>
        <v/>
      </c>
      <c r="P449">
        <f>IF($A449="","",COUNTIFS('Таблиця 1'!$B:$B,$A449,'Таблиця 1'!$E:$E,"пос РЕБ",'Таблиця 1'!$L:$L,"Уражено"))</f>
        <v/>
      </c>
      <c r="Q449">
        <f>IF($A449="","",COUNTIFS('Таблиця 1'!$B:$B,$A449,'Таблиця 1'!$E:$E,"група РЕР",'Таблиця 1'!$L:$L,"Уражено"))</f>
        <v/>
      </c>
      <c r="R449">
        <f>IF($A449="","",COUNTIFS('Таблиця 1'!$B:$B,$A449,'Таблиця 1'!$E:$E,"РЛС КББ",'Таблиця 1'!$L:$L,"Уражено"))</f>
        <v/>
      </c>
      <c r="S449">
        <f>IF($A449="","",COUNTIFS('Таблиця 1'!$B:$B,$A449,'Таблиця 1'!$E:$E,"Ретранслятор",'Таблиця 1'!$L:$L,"Уражено"))</f>
        <v/>
      </c>
      <c r="T449">
        <f>IF($A449="","",COUNTIFS('Таблиця 1'!$B:$B,$A449,'Таблиця 1'!$E:$E,"Вз.зв'язку",'Таблиця 1'!$L:$L,"Уражено"))</f>
        <v/>
      </c>
      <c r="U449">
        <f>IF($A449="","",COUNTIFS('Таблиця 1'!$B:$B,$A449,'Таблиця 1'!$E:$E,"ПММ",'Таблиця 1'!$L:$L,"Уражено"))</f>
        <v/>
      </c>
      <c r="V449">
        <f>IF($A449="","",COUNTIFS('Таблиця 1'!$B:$B,$A449,'Таблиця 1'!$E:$E,"ІФС",'Таблиця 1'!$L:$L,"Уражено"))</f>
        <v/>
      </c>
      <c r="W449">
        <f>IF($A449="","",COUNTIFS('Таблиця 1'!$B:$B,$A449,'Таблиця 1'!$E:$E,"Інфраструктура",'Таблиця 1'!$L:$L,"Уражено"))</f>
        <v/>
      </c>
      <c r="X449">
        <f>IF($A449="","",SUMIFS('Таблиця 1'!$K:$K,'Таблиця 1'!$B:$B,$A449))</f>
        <v/>
      </c>
    </row>
    <row r="450">
      <c r="A450" s="81">
        <f>IF(A449="","",IF(A449+1&gt;MAX('Таблиця 1'!$B:$B),"",A449+1))</f>
        <v/>
      </c>
      <c r="B450">
        <f>IF($A450="","",COUNTIFS('Таблиця 1'!$B:$B,$A450,'Таблиця 1'!$E:$E,"ЖС ВЗ",'Таблиця 1'!$L:$L,"Уражено"))</f>
        <v/>
      </c>
      <c r="C450">
        <f>IF($A450="","",COUNTIFS('Таблиця 1'!$B:$B,$A450,'Таблиця 1'!$E:$E,"Арт. Системи",'Таблиця 1'!$L:$L,"Уражено"))</f>
        <v/>
      </c>
      <c r="D450">
        <f>IF($A450="","",COUNTIFS('Таблиця 1'!$B:$B,$A450,'Таблиця 1'!$E:$E,"ОВТ",'Таблиця 1'!$L:$L,"Уражено"))</f>
        <v/>
      </c>
      <c r="E450">
        <f>IF($A450="","",COUNTIFS('Таблиця 1'!$B:$B,$A450,'Таблиця 1'!$E:$E,"ППО",'Таблиця 1'!$L:$L,"Уражено"))</f>
        <v/>
      </c>
      <c r="F450">
        <f>IF($A450="","",COUNTIFS('Таблиця 1'!$B:$B,$A450,'Таблиця 1'!$E:$E,"Рембаза",'Таблиця 1'!$L:$L,"Уражено"))</f>
        <v/>
      </c>
      <c r="G450">
        <f>IF($A450="","",COUNTIFS('Таблиця 1'!$B:$B,$A450,'Таблиця 1'!$E:$E,"Склад БК",'Таблиця 1'!$L:$L,"Уражено"))</f>
        <v/>
      </c>
      <c r="H450">
        <f>IF($A450="","",COUNTIFS('Таблиця 1'!$B:$B,$A450,'Таблиця 1'!$E:$E,"Склад ВТМ",'Таблиця 1'!$L:$L,"Уражено"))</f>
        <v/>
      </c>
      <c r="I450">
        <f>IF($A450="","",COUNTIFS('Таблиця 1'!$B:$B,$A450,'Таблиця 1'!$E:$E,"ПУ БпЛА",'Таблиця 1'!$L:$L,"Уражено"))</f>
        <v/>
      </c>
      <c r="J450">
        <f>IF($A450="","",COUNTIFS('Таблиця 1'!$B:$B,$A450,'Таблиця 1'!$E:$E,"СП",'Таблиця 1'!$L:$L,"Уражено"))</f>
        <v/>
      </c>
      <c r="K450">
        <f>IF($A450="","",COUNTIFS('Таблиця 1'!$B:$B,$A450,'Таблиця 1'!$E:$E,"КСП роти",'Таблиця 1'!$L:$L,"Уражено"))</f>
        <v/>
      </c>
      <c r="L450">
        <f>IF($A450="","",COUNTIFS('Таблиця 1'!$B:$B,$A450,'Таблиця 1'!$E:$E,"ПУ бат",'Таблиця 1'!$L:$L,"Уражено"))</f>
        <v/>
      </c>
      <c r="M450">
        <f>IF($A450="","",COUNTIFS('Таблиця 1'!$B:$B,$A450,'Таблиця 1'!$E:$E,"ПУ бриг",'Таблиця 1'!$L:$L,"Уражено"))</f>
        <v/>
      </c>
      <c r="N450">
        <f>IF($A450="","",COUNTIFS('Таблиця 1'!$B:$B,$A450,'Таблиця 1'!$E:$E,"ПУ див",'Таблиця 1'!$L:$L,"Уражено"))</f>
        <v/>
      </c>
      <c r="O450">
        <f>IF($A450="","",COUNTIFS('Таблиця 1'!$B:$B,$A450,'Таблиця 1'!$E:$E,"обл. РЕБ",'Таблиця 1'!$L:$L,"Уражено"))</f>
        <v/>
      </c>
      <c r="P450">
        <f>IF($A450="","",COUNTIFS('Таблиця 1'!$B:$B,$A450,'Таблиця 1'!$E:$E,"пос РЕБ",'Таблиця 1'!$L:$L,"Уражено"))</f>
        <v/>
      </c>
      <c r="Q450">
        <f>IF($A450="","",COUNTIFS('Таблиця 1'!$B:$B,$A450,'Таблиця 1'!$E:$E,"група РЕР",'Таблиця 1'!$L:$L,"Уражено"))</f>
        <v/>
      </c>
      <c r="R450">
        <f>IF($A450="","",COUNTIFS('Таблиця 1'!$B:$B,$A450,'Таблиця 1'!$E:$E,"РЛС КББ",'Таблиця 1'!$L:$L,"Уражено"))</f>
        <v/>
      </c>
      <c r="S450">
        <f>IF($A450="","",COUNTIFS('Таблиця 1'!$B:$B,$A450,'Таблиця 1'!$E:$E,"Ретранслятор",'Таблиця 1'!$L:$L,"Уражено"))</f>
        <v/>
      </c>
      <c r="T450">
        <f>IF($A450="","",COUNTIFS('Таблиця 1'!$B:$B,$A450,'Таблиця 1'!$E:$E,"Вз.зв'язку",'Таблиця 1'!$L:$L,"Уражено"))</f>
        <v/>
      </c>
      <c r="U450">
        <f>IF($A450="","",COUNTIFS('Таблиця 1'!$B:$B,$A450,'Таблиця 1'!$E:$E,"ПММ",'Таблиця 1'!$L:$L,"Уражено"))</f>
        <v/>
      </c>
      <c r="V450">
        <f>IF($A450="","",COUNTIFS('Таблиця 1'!$B:$B,$A450,'Таблиця 1'!$E:$E,"ІФС",'Таблиця 1'!$L:$L,"Уражено"))</f>
        <v/>
      </c>
      <c r="W450">
        <f>IF($A450="","",COUNTIFS('Таблиця 1'!$B:$B,$A450,'Таблиця 1'!$E:$E,"Інфраструктура",'Таблиця 1'!$L:$L,"Уражено"))</f>
        <v/>
      </c>
      <c r="X450">
        <f>IF($A450="","",SUMIFS('Таблиця 1'!$K:$K,'Таблиця 1'!$B:$B,$A450))</f>
        <v/>
      </c>
    </row>
    <row r="451">
      <c r="A451" s="81">
        <f>IF(A450="","",IF(A450+1&gt;MAX('Таблиця 1'!$B:$B),"",A450+1))</f>
        <v/>
      </c>
      <c r="B451">
        <f>IF($A451="","",COUNTIFS('Таблиця 1'!$B:$B,$A451,'Таблиця 1'!$E:$E,"ЖС ВЗ",'Таблиця 1'!$L:$L,"Уражено"))</f>
        <v/>
      </c>
      <c r="C451">
        <f>IF($A451="","",COUNTIFS('Таблиця 1'!$B:$B,$A451,'Таблиця 1'!$E:$E,"Арт. Системи",'Таблиця 1'!$L:$L,"Уражено"))</f>
        <v/>
      </c>
      <c r="D451">
        <f>IF($A451="","",COUNTIFS('Таблиця 1'!$B:$B,$A451,'Таблиця 1'!$E:$E,"ОВТ",'Таблиця 1'!$L:$L,"Уражено"))</f>
        <v/>
      </c>
      <c r="E451">
        <f>IF($A451="","",COUNTIFS('Таблиця 1'!$B:$B,$A451,'Таблиця 1'!$E:$E,"ППО",'Таблиця 1'!$L:$L,"Уражено"))</f>
        <v/>
      </c>
      <c r="F451">
        <f>IF($A451="","",COUNTIFS('Таблиця 1'!$B:$B,$A451,'Таблиця 1'!$E:$E,"Рембаза",'Таблиця 1'!$L:$L,"Уражено"))</f>
        <v/>
      </c>
      <c r="G451">
        <f>IF($A451="","",COUNTIFS('Таблиця 1'!$B:$B,$A451,'Таблиця 1'!$E:$E,"Склад БК",'Таблиця 1'!$L:$L,"Уражено"))</f>
        <v/>
      </c>
      <c r="H451">
        <f>IF($A451="","",COUNTIFS('Таблиця 1'!$B:$B,$A451,'Таблиця 1'!$E:$E,"Склад ВТМ",'Таблиця 1'!$L:$L,"Уражено"))</f>
        <v/>
      </c>
      <c r="I451">
        <f>IF($A451="","",COUNTIFS('Таблиця 1'!$B:$B,$A451,'Таблиця 1'!$E:$E,"ПУ БпЛА",'Таблиця 1'!$L:$L,"Уражено"))</f>
        <v/>
      </c>
      <c r="J451">
        <f>IF($A451="","",COUNTIFS('Таблиця 1'!$B:$B,$A451,'Таблиця 1'!$E:$E,"СП",'Таблиця 1'!$L:$L,"Уражено"))</f>
        <v/>
      </c>
      <c r="K451">
        <f>IF($A451="","",COUNTIFS('Таблиця 1'!$B:$B,$A451,'Таблиця 1'!$E:$E,"КСП роти",'Таблиця 1'!$L:$L,"Уражено"))</f>
        <v/>
      </c>
      <c r="L451">
        <f>IF($A451="","",COUNTIFS('Таблиця 1'!$B:$B,$A451,'Таблиця 1'!$E:$E,"ПУ бат",'Таблиця 1'!$L:$L,"Уражено"))</f>
        <v/>
      </c>
      <c r="M451">
        <f>IF($A451="","",COUNTIFS('Таблиця 1'!$B:$B,$A451,'Таблиця 1'!$E:$E,"ПУ бриг",'Таблиця 1'!$L:$L,"Уражено"))</f>
        <v/>
      </c>
      <c r="N451">
        <f>IF($A451="","",COUNTIFS('Таблиця 1'!$B:$B,$A451,'Таблиця 1'!$E:$E,"ПУ див",'Таблиця 1'!$L:$L,"Уражено"))</f>
        <v/>
      </c>
      <c r="O451">
        <f>IF($A451="","",COUNTIFS('Таблиця 1'!$B:$B,$A451,'Таблиця 1'!$E:$E,"обл. РЕБ",'Таблиця 1'!$L:$L,"Уражено"))</f>
        <v/>
      </c>
      <c r="P451">
        <f>IF($A451="","",COUNTIFS('Таблиця 1'!$B:$B,$A451,'Таблиця 1'!$E:$E,"пос РЕБ",'Таблиця 1'!$L:$L,"Уражено"))</f>
        <v/>
      </c>
      <c r="Q451">
        <f>IF($A451="","",COUNTIFS('Таблиця 1'!$B:$B,$A451,'Таблиця 1'!$E:$E,"група РЕР",'Таблиця 1'!$L:$L,"Уражено"))</f>
        <v/>
      </c>
      <c r="R451">
        <f>IF($A451="","",COUNTIFS('Таблиця 1'!$B:$B,$A451,'Таблиця 1'!$E:$E,"РЛС КББ",'Таблиця 1'!$L:$L,"Уражено"))</f>
        <v/>
      </c>
      <c r="S451">
        <f>IF($A451="","",COUNTIFS('Таблиця 1'!$B:$B,$A451,'Таблиця 1'!$E:$E,"Ретранслятор",'Таблиця 1'!$L:$L,"Уражено"))</f>
        <v/>
      </c>
      <c r="T451">
        <f>IF($A451="","",COUNTIFS('Таблиця 1'!$B:$B,$A451,'Таблиця 1'!$E:$E,"Вз.зв'язку",'Таблиця 1'!$L:$L,"Уражено"))</f>
        <v/>
      </c>
      <c r="U451">
        <f>IF($A451="","",COUNTIFS('Таблиця 1'!$B:$B,$A451,'Таблиця 1'!$E:$E,"ПММ",'Таблиця 1'!$L:$L,"Уражено"))</f>
        <v/>
      </c>
      <c r="V451">
        <f>IF($A451="","",COUNTIFS('Таблиця 1'!$B:$B,$A451,'Таблиця 1'!$E:$E,"ІФС",'Таблиця 1'!$L:$L,"Уражено"))</f>
        <v/>
      </c>
      <c r="W451">
        <f>IF($A451="","",COUNTIFS('Таблиця 1'!$B:$B,$A451,'Таблиця 1'!$E:$E,"Інфраструктура",'Таблиця 1'!$L:$L,"Уражено"))</f>
        <v/>
      </c>
      <c r="X451">
        <f>IF($A451="","",SUMIFS('Таблиця 1'!$K:$K,'Таблиця 1'!$B:$B,$A451))</f>
        <v/>
      </c>
    </row>
    <row r="452">
      <c r="A452" s="81">
        <f>IF(A451="","",IF(A451+1&gt;MAX('Таблиця 1'!$B:$B),"",A451+1))</f>
        <v/>
      </c>
      <c r="B452">
        <f>IF($A452="","",COUNTIFS('Таблиця 1'!$B:$B,$A452,'Таблиця 1'!$E:$E,"ЖС ВЗ",'Таблиця 1'!$L:$L,"Уражено"))</f>
        <v/>
      </c>
      <c r="C452">
        <f>IF($A452="","",COUNTIFS('Таблиця 1'!$B:$B,$A452,'Таблиця 1'!$E:$E,"Арт. Системи",'Таблиця 1'!$L:$L,"Уражено"))</f>
        <v/>
      </c>
      <c r="D452">
        <f>IF($A452="","",COUNTIFS('Таблиця 1'!$B:$B,$A452,'Таблиця 1'!$E:$E,"ОВТ",'Таблиця 1'!$L:$L,"Уражено"))</f>
        <v/>
      </c>
      <c r="E452">
        <f>IF($A452="","",COUNTIFS('Таблиця 1'!$B:$B,$A452,'Таблиця 1'!$E:$E,"ППО",'Таблиця 1'!$L:$L,"Уражено"))</f>
        <v/>
      </c>
      <c r="F452">
        <f>IF($A452="","",COUNTIFS('Таблиця 1'!$B:$B,$A452,'Таблиця 1'!$E:$E,"Рембаза",'Таблиця 1'!$L:$L,"Уражено"))</f>
        <v/>
      </c>
      <c r="G452">
        <f>IF($A452="","",COUNTIFS('Таблиця 1'!$B:$B,$A452,'Таблиця 1'!$E:$E,"Склад БК",'Таблиця 1'!$L:$L,"Уражено"))</f>
        <v/>
      </c>
      <c r="H452">
        <f>IF($A452="","",COUNTIFS('Таблиця 1'!$B:$B,$A452,'Таблиця 1'!$E:$E,"Склад ВТМ",'Таблиця 1'!$L:$L,"Уражено"))</f>
        <v/>
      </c>
      <c r="I452">
        <f>IF($A452="","",COUNTIFS('Таблиця 1'!$B:$B,$A452,'Таблиця 1'!$E:$E,"ПУ БпЛА",'Таблиця 1'!$L:$L,"Уражено"))</f>
        <v/>
      </c>
      <c r="J452">
        <f>IF($A452="","",COUNTIFS('Таблиця 1'!$B:$B,$A452,'Таблиця 1'!$E:$E,"СП",'Таблиця 1'!$L:$L,"Уражено"))</f>
        <v/>
      </c>
      <c r="K452">
        <f>IF($A452="","",COUNTIFS('Таблиця 1'!$B:$B,$A452,'Таблиця 1'!$E:$E,"КСП роти",'Таблиця 1'!$L:$L,"Уражено"))</f>
        <v/>
      </c>
      <c r="L452">
        <f>IF($A452="","",COUNTIFS('Таблиця 1'!$B:$B,$A452,'Таблиця 1'!$E:$E,"ПУ бат",'Таблиця 1'!$L:$L,"Уражено"))</f>
        <v/>
      </c>
      <c r="M452">
        <f>IF($A452="","",COUNTIFS('Таблиця 1'!$B:$B,$A452,'Таблиця 1'!$E:$E,"ПУ бриг",'Таблиця 1'!$L:$L,"Уражено"))</f>
        <v/>
      </c>
      <c r="N452">
        <f>IF($A452="","",COUNTIFS('Таблиця 1'!$B:$B,$A452,'Таблиця 1'!$E:$E,"ПУ див",'Таблиця 1'!$L:$L,"Уражено"))</f>
        <v/>
      </c>
      <c r="O452">
        <f>IF($A452="","",COUNTIFS('Таблиця 1'!$B:$B,$A452,'Таблиця 1'!$E:$E,"обл. РЕБ",'Таблиця 1'!$L:$L,"Уражено"))</f>
        <v/>
      </c>
      <c r="P452">
        <f>IF($A452="","",COUNTIFS('Таблиця 1'!$B:$B,$A452,'Таблиця 1'!$E:$E,"пос РЕБ",'Таблиця 1'!$L:$L,"Уражено"))</f>
        <v/>
      </c>
      <c r="Q452">
        <f>IF($A452="","",COUNTIFS('Таблиця 1'!$B:$B,$A452,'Таблиця 1'!$E:$E,"група РЕР",'Таблиця 1'!$L:$L,"Уражено"))</f>
        <v/>
      </c>
      <c r="R452">
        <f>IF($A452="","",COUNTIFS('Таблиця 1'!$B:$B,$A452,'Таблиця 1'!$E:$E,"РЛС КББ",'Таблиця 1'!$L:$L,"Уражено"))</f>
        <v/>
      </c>
      <c r="S452">
        <f>IF($A452="","",COUNTIFS('Таблиця 1'!$B:$B,$A452,'Таблиця 1'!$E:$E,"Ретранслятор",'Таблиця 1'!$L:$L,"Уражено"))</f>
        <v/>
      </c>
      <c r="T452">
        <f>IF($A452="","",COUNTIFS('Таблиця 1'!$B:$B,$A452,'Таблиця 1'!$E:$E,"Вз.зв'язку",'Таблиця 1'!$L:$L,"Уражено"))</f>
        <v/>
      </c>
      <c r="U452">
        <f>IF($A452="","",COUNTIFS('Таблиця 1'!$B:$B,$A452,'Таблиця 1'!$E:$E,"ПММ",'Таблиця 1'!$L:$L,"Уражено"))</f>
        <v/>
      </c>
      <c r="V452">
        <f>IF($A452="","",COUNTIFS('Таблиця 1'!$B:$B,$A452,'Таблиця 1'!$E:$E,"ІФС",'Таблиця 1'!$L:$L,"Уражено"))</f>
        <v/>
      </c>
      <c r="W452">
        <f>IF($A452="","",COUNTIFS('Таблиця 1'!$B:$B,$A452,'Таблиця 1'!$E:$E,"Інфраструктура",'Таблиця 1'!$L:$L,"Уражено"))</f>
        <v/>
      </c>
      <c r="X452">
        <f>IF($A452="","",SUMIFS('Таблиця 1'!$K:$K,'Таблиця 1'!$B:$B,$A452))</f>
        <v/>
      </c>
    </row>
    <row r="453">
      <c r="A453" s="81">
        <f>IF(A452="","",IF(A452+1&gt;MAX('Таблиця 1'!$B:$B),"",A452+1))</f>
        <v/>
      </c>
      <c r="B453">
        <f>IF($A453="","",COUNTIFS('Таблиця 1'!$B:$B,$A453,'Таблиця 1'!$E:$E,"ЖС ВЗ",'Таблиця 1'!$L:$L,"Уражено"))</f>
        <v/>
      </c>
      <c r="C453">
        <f>IF($A453="","",COUNTIFS('Таблиця 1'!$B:$B,$A453,'Таблиця 1'!$E:$E,"Арт. Системи",'Таблиця 1'!$L:$L,"Уражено"))</f>
        <v/>
      </c>
      <c r="D453">
        <f>IF($A453="","",COUNTIFS('Таблиця 1'!$B:$B,$A453,'Таблиця 1'!$E:$E,"ОВТ",'Таблиця 1'!$L:$L,"Уражено"))</f>
        <v/>
      </c>
      <c r="E453">
        <f>IF($A453="","",COUNTIFS('Таблиця 1'!$B:$B,$A453,'Таблиця 1'!$E:$E,"ППО",'Таблиця 1'!$L:$L,"Уражено"))</f>
        <v/>
      </c>
      <c r="F453">
        <f>IF($A453="","",COUNTIFS('Таблиця 1'!$B:$B,$A453,'Таблиця 1'!$E:$E,"Рембаза",'Таблиця 1'!$L:$L,"Уражено"))</f>
        <v/>
      </c>
      <c r="G453">
        <f>IF($A453="","",COUNTIFS('Таблиця 1'!$B:$B,$A453,'Таблиця 1'!$E:$E,"Склад БК",'Таблиця 1'!$L:$L,"Уражено"))</f>
        <v/>
      </c>
      <c r="H453">
        <f>IF($A453="","",COUNTIFS('Таблиця 1'!$B:$B,$A453,'Таблиця 1'!$E:$E,"Склад ВТМ",'Таблиця 1'!$L:$L,"Уражено"))</f>
        <v/>
      </c>
      <c r="I453">
        <f>IF($A453="","",COUNTIFS('Таблиця 1'!$B:$B,$A453,'Таблиця 1'!$E:$E,"ПУ БпЛА",'Таблиця 1'!$L:$L,"Уражено"))</f>
        <v/>
      </c>
      <c r="J453">
        <f>IF($A453="","",COUNTIFS('Таблиця 1'!$B:$B,$A453,'Таблиця 1'!$E:$E,"СП",'Таблиця 1'!$L:$L,"Уражено"))</f>
        <v/>
      </c>
      <c r="K453">
        <f>IF($A453="","",COUNTIFS('Таблиця 1'!$B:$B,$A453,'Таблиця 1'!$E:$E,"КСП роти",'Таблиця 1'!$L:$L,"Уражено"))</f>
        <v/>
      </c>
      <c r="L453">
        <f>IF($A453="","",COUNTIFS('Таблиця 1'!$B:$B,$A453,'Таблиця 1'!$E:$E,"ПУ бат",'Таблиця 1'!$L:$L,"Уражено"))</f>
        <v/>
      </c>
      <c r="M453">
        <f>IF($A453="","",COUNTIFS('Таблиця 1'!$B:$B,$A453,'Таблиця 1'!$E:$E,"ПУ бриг",'Таблиця 1'!$L:$L,"Уражено"))</f>
        <v/>
      </c>
      <c r="N453">
        <f>IF($A453="","",COUNTIFS('Таблиця 1'!$B:$B,$A453,'Таблиця 1'!$E:$E,"ПУ див",'Таблиця 1'!$L:$L,"Уражено"))</f>
        <v/>
      </c>
      <c r="O453">
        <f>IF($A453="","",COUNTIFS('Таблиця 1'!$B:$B,$A453,'Таблиця 1'!$E:$E,"обл. РЕБ",'Таблиця 1'!$L:$L,"Уражено"))</f>
        <v/>
      </c>
      <c r="P453">
        <f>IF($A453="","",COUNTIFS('Таблиця 1'!$B:$B,$A453,'Таблиця 1'!$E:$E,"пос РЕБ",'Таблиця 1'!$L:$L,"Уражено"))</f>
        <v/>
      </c>
      <c r="Q453">
        <f>IF($A453="","",COUNTIFS('Таблиця 1'!$B:$B,$A453,'Таблиця 1'!$E:$E,"група РЕР",'Таблиця 1'!$L:$L,"Уражено"))</f>
        <v/>
      </c>
      <c r="R453">
        <f>IF($A453="","",COUNTIFS('Таблиця 1'!$B:$B,$A453,'Таблиця 1'!$E:$E,"РЛС КББ",'Таблиця 1'!$L:$L,"Уражено"))</f>
        <v/>
      </c>
      <c r="S453">
        <f>IF($A453="","",COUNTIFS('Таблиця 1'!$B:$B,$A453,'Таблиця 1'!$E:$E,"Ретранслятор",'Таблиця 1'!$L:$L,"Уражено"))</f>
        <v/>
      </c>
      <c r="T453">
        <f>IF($A453="","",COUNTIFS('Таблиця 1'!$B:$B,$A453,'Таблиця 1'!$E:$E,"Вз.зв'язку",'Таблиця 1'!$L:$L,"Уражено"))</f>
        <v/>
      </c>
      <c r="U453">
        <f>IF($A453="","",COUNTIFS('Таблиця 1'!$B:$B,$A453,'Таблиця 1'!$E:$E,"ПММ",'Таблиця 1'!$L:$L,"Уражено"))</f>
        <v/>
      </c>
      <c r="V453">
        <f>IF($A453="","",COUNTIFS('Таблиця 1'!$B:$B,$A453,'Таблиця 1'!$E:$E,"ІФС",'Таблиця 1'!$L:$L,"Уражено"))</f>
        <v/>
      </c>
      <c r="W453">
        <f>IF($A453="","",COUNTIFS('Таблиця 1'!$B:$B,$A453,'Таблиця 1'!$E:$E,"Інфраструктура",'Таблиця 1'!$L:$L,"Уражено"))</f>
        <v/>
      </c>
      <c r="X453">
        <f>IF($A453="","",SUMIFS('Таблиця 1'!$K:$K,'Таблиця 1'!$B:$B,$A453))</f>
        <v/>
      </c>
    </row>
    <row r="454">
      <c r="A454" s="81">
        <f>IF(A453="","",IF(A453+1&gt;MAX('Таблиця 1'!$B:$B),"",A453+1))</f>
        <v/>
      </c>
      <c r="B454">
        <f>IF($A454="","",COUNTIFS('Таблиця 1'!$B:$B,$A454,'Таблиця 1'!$E:$E,"ЖС ВЗ",'Таблиця 1'!$L:$L,"Уражено"))</f>
        <v/>
      </c>
      <c r="C454">
        <f>IF($A454="","",COUNTIFS('Таблиця 1'!$B:$B,$A454,'Таблиця 1'!$E:$E,"Арт. Системи",'Таблиця 1'!$L:$L,"Уражено"))</f>
        <v/>
      </c>
      <c r="D454">
        <f>IF($A454="","",COUNTIFS('Таблиця 1'!$B:$B,$A454,'Таблиця 1'!$E:$E,"ОВТ",'Таблиця 1'!$L:$L,"Уражено"))</f>
        <v/>
      </c>
      <c r="E454">
        <f>IF($A454="","",COUNTIFS('Таблиця 1'!$B:$B,$A454,'Таблиця 1'!$E:$E,"ППО",'Таблиця 1'!$L:$L,"Уражено"))</f>
        <v/>
      </c>
      <c r="F454">
        <f>IF($A454="","",COUNTIFS('Таблиця 1'!$B:$B,$A454,'Таблиця 1'!$E:$E,"Рембаза",'Таблиця 1'!$L:$L,"Уражено"))</f>
        <v/>
      </c>
      <c r="G454">
        <f>IF($A454="","",COUNTIFS('Таблиця 1'!$B:$B,$A454,'Таблиця 1'!$E:$E,"Склад БК",'Таблиця 1'!$L:$L,"Уражено"))</f>
        <v/>
      </c>
      <c r="H454">
        <f>IF($A454="","",COUNTIFS('Таблиця 1'!$B:$B,$A454,'Таблиця 1'!$E:$E,"Склад ВТМ",'Таблиця 1'!$L:$L,"Уражено"))</f>
        <v/>
      </c>
      <c r="I454">
        <f>IF($A454="","",COUNTIFS('Таблиця 1'!$B:$B,$A454,'Таблиця 1'!$E:$E,"ПУ БпЛА",'Таблиця 1'!$L:$L,"Уражено"))</f>
        <v/>
      </c>
      <c r="J454">
        <f>IF($A454="","",COUNTIFS('Таблиця 1'!$B:$B,$A454,'Таблиця 1'!$E:$E,"СП",'Таблиця 1'!$L:$L,"Уражено"))</f>
        <v/>
      </c>
      <c r="K454">
        <f>IF($A454="","",COUNTIFS('Таблиця 1'!$B:$B,$A454,'Таблиця 1'!$E:$E,"КСП роти",'Таблиця 1'!$L:$L,"Уражено"))</f>
        <v/>
      </c>
      <c r="L454">
        <f>IF($A454="","",COUNTIFS('Таблиця 1'!$B:$B,$A454,'Таблиця 1'!$E:$E,"ПУ бат",'Таблиця 1'!$L:$L,"Уражено"))</f>
        <v/>
      </c>
      <c r="M454">
        <f>IF($A454="","",COUNTIFS('Таблиця 1'!$B:$B,$A454,'Таблиця 1'!$E:$E,"ПУ бриг",'Таблиця 1'!$L:$L,"Уражено"))</f>
        <v/>
      </c>
      <c r="N454">
        <f>IF($A454="","",COUNTIFS('Таблиця 1'!$B:$B,$A454,'Таблиця 1'!$E:$E,"ПУ див",'Таблиця 1'!$L:$L,"Уражено"))</f>
        <v/>
      </c>
      <c r="O454">
        <f>IF($A454="","",COUNTIFS('Таблиця 1'!$B:$B,$A454,'Таблиця 1'!$E:$E,"обл. РЕБ",'Таблиця 1'!$L:$L,"Уражено"))</f>
        <v/>
      </c>
      <c r="P454">
        <f>IF($A454="","",COUNTIFS('Таблиця 1'!$B:$B,$A454,'Таблиця 1'!$E:$E,"пос РЕБ",'Таблиця 1'!$L:$L,"Уражено"))</f>
        <v/>
      </c>
      <c r="Q454">
        <f>IF($A454="","",COUNTIFS('Таблиця 1'!$B:$B,$A454,'Таблиця 1'!$E:$E,"група РЕР",'Таблиця 1'!$L:$L,"Уражено"))</f>
        <v/>
      </c>
      <c r="R454">
        <f>IF($A454="","",COUNTIFS('Таблиця 1'!$B:$B,$A454,'Таблиця 1'!$E:$E,"РЛС КББ",'Таблиця 1'!$L:$L,"Уражено"))</f>
        <v/>
      </c>
      <c r="S454">
        <f>IF($A454="","",COUNTIFS('Таблиця 1'!$B:$B,$A454,'Таблиця 1'!$E:$E,"Ретранслятор",'Таблиця 1'!$L:$L,"Уражено"))</f>
        <v/>
      </c>
      <c r="T454">
        <f>IF($A454="","",COUNTIFS('Таблиця 1'!$B:$B,$A454,'Таблиця 1'!$E:$E,"Вз.зв'язку",'Таблиця 1'!$L:$L,"Уражено"))</f>
        <v/>
      </c>
      <c r="U454">
        <f>IF($A454="","",COUNTIFS('Таблиця 1'!$B:$B,$A454,'Таблиця 1'!$E:$E,"ПММ",'Таблиця 1'!$L:$L,"Уражено"))</f>
        <v/>
      </c>
      <c r="V454">
        <f>IF($A454="","",COUNTIFS('Таблиця 1'!$B:$B,$A454,'Таблиця 1'!$E:$E,"ІФС",'Таблиця 1'!$L:$L,"Уражено"))</f>
        <v/>
      </c>
      <c r="W454">
        <f>IF($A454="","",COUNTIFS('Таблиця 1'!$B:$B,$A454,'Таблиця 1'!$E:$E,"Інфраструктура",'Таблиця 1'!$L:$L,"Уражено"))</f>
        <v/>
      </c>
      <c r="X454">
        <f>IF($A454="","",SUMIFS('Таблиця 1'!$K:$K,'Таблиця 1'!$B:$B,$A454))</f>
        <v/>
      </c>
    </row>
    <row r="455">
      <c r="A455" s="81">
        <f>IF(A454="","",IF(A454+1&gt;MAX('Таблиця 1'!$B:$B),"",A454+1))</f>
        <v/>
      </c>
      <c r="B455">
        <f>IF($A455="","",COUNTIFS('Таблиця 1'!$B:$B,$A455,'Таблиця 1'!$E:$E,"ЖС ВЗ",'Таблиця 1'!$L:$L,"Уражено"))</f>
        <v/>
      </c>
      <c r="C455">
        <f>IF($A455="","",COUNTIFS('Таблиця 1'!$B:$B,$A455,'Таблиця 1'!$E:$E,"Арт. Системи",'Таблиця 1'!$L:$L,"Уражено"))</f>
        <v/>
      </c>
      <c r="D455">
        <f>IF($A455="","",COUNTIFS('Таблиця 1'!$B:$B,$A455,'Таблиця 1'!$E:$E,"ОВТ",'Таблиця 1'!$L:$L,"Уражено"))</f>
        <v/>
      </c>
      <c r="E455">
        <f>IF($A455="","",COUNTIFS('Таблиця 1'!$B:$B,$A455,'Таблиця 1'!$E:$E,"ППО",'Таблиця 1'!$L:$L,"Уражено"))</f>
        <v/>
      </c>
      <c r="F455">
        <f>IF($A455="","",COUNTIFS('Таблиця 1'!$B:$B,$A455,'Таблиця 1'!$E:$E,"Рембаза",'Таблиця 1'!$L:$L,"Уражено"))</f>
        <v/>
      </c>
      <c r="G455">
        <f>IF($A455="","",COUNTIFS('Таблиця 1'!$B:$B,$A455,'Таблиця 1'!$E:$E,"Склад БК",'Таблиця 1'!$L:$L,"Уражено"))</f>
        <v/>
      </c>
      <c r="H455">
        <f>IF($A455="","",COUNTIFS('Таблиця 1'!$B:$B,$A455,'Таблиця 1'!$E:$E,"Склад ВТМ",'Таблиця 1'!$L:$L,"Уражено"))</f>
        <v/>
      </c>
      <c r="I455">
        <f>IF($A455="","",COUNTIFS('Таблиця 1'!$B:$B,$A455,'Таблиця 1'!$E:$E,"ПУ БпЛА",'Таблиця 1'!$L:$L,"Уражено"))</f>
        <v/>
      </c>
      <c r="J455">
        <f>IF($A455="","",COUNTIFS('Таблиця 1'!$B:$B,$A455,'Таблиця 1'!$E:$E,"СП",'Таблиця 1'!$L:$L,"Уражено"))</f>
        <v/>
      </c>
      <c r="K455">
        <f>IF($A455="","",COUNTIFS('Таблиця 1'!$B:$B,$A455,'Таблиця 1'!$E:$E,"КСП роти",'Таблиця 1'!$L:$L,"Уражено"))</f>
        <v/>
      </c>
      <c r="L455">
        <f>IF($A455="","",COUNTIFS('Таблиця 1'!$B:$B,$A455,'Таблиця 1'!$E:$E,"ПУ бат",'Таблиця 1'!$L:$L,"Уражено"))</f>
        <v/>
      </c>
      <c r="M455">
        <f>IF($A455="","",COUNTIFS('Таблиця 1'!$B:$B,$A455,'Таблиця 1'!$E:$E,"ПУ бриг",'Таблиця 1'!$L:$L,"Уражено"))</f>
        <v/>
      </c>
      <c r="N455">
        <f>IF($A455="","",COUNTIFS('Таблиця 1'!$B:$B,$A455,'Таблиця 1'!$E:$E,"ПУ див",'Таблиця 1'!$L:$L,"Уражено"))</f>
        <v/>
      </c>
      <c r="O455">
        <f>IF($A455="","",COUNTIFS('Таблиця 1'!$B:$B,$A455,'Таблиця 1'!$E:$E,"обл. РЕБ",'Таблиця 1'!$L:$L,"Уражено"))</f>
        <v/>
      </c>
      <c r="P455">
        <f>IF($A455="","",COUNTIFS('Таблиця 1'!$B:$B,$A455,'Таблиця 1'!$E:$E,"пос РЕБ",'Таблиця 1'!$L:$L,"Уражено"))</f>
        <v/>
      </c>
      <c r="Q455">
        <f>IF($A455="","",COUNTIFS('Таблиця 1'!$B:$B,$A455,'Таблиця 1'!$E:$E,"група РЕР",'Таблиця 1'!$L:$L,"Уражено"))</f>
        <v/>
      </c>
      <c r="R455">
        <f>IF($A455="","",COUNTIFS('Таблиця 1'!$B:$B,$A455,'Таблиця 1'!$E:$E,"РЛС КББ",'Таблиця 1'!$L:$L,"Уражено"))</f>
        <v/>
      </c>
      <c r="S455">
        <f>IF($A455="","",COUNTIFS('Таблиця 1'!$B:$B,$A455,'Таблиця 1'!$E:$E,"Ретранслятор",'Таблиця 1'!$L:$L,"Уражено"))</f>
        <v/>
      </c>
      <c r="T455">
        <f>IF($A455="","",COUNTIFS('Таблиця 1'!$B:$B,$A455,'Таблиця 1'!$E:$E,"Вз.зв'язку",'Таблиця 1'!$L:$L,"Уражено"))</f>
        <v/>
      </c>
      <c r="U455">
        <f>IF($A455="","",COUNTIFS('Таблиця 1'!$B:$B,$A455,'Таблиця 1'!$E:$E,"ПММ",'Таблиця 1'!$L:$L,"Уражено"))</f>
        <v/>
      </c>
      <c r="V455">
        <f>IF($A455="","",COUNTIFS('Таблиця 1'!$B:$B,$A455,'Таблиця 1'!$E:$E,"ІФС",'Таблиця 1'!$L:$L,"Уражено"))</f>
        <v/>
      </c>
      <c r="W455">
        <f>IF($A455="","",COUNTIFS('Таблиця 1'!$B:$B,$A455,'Таблиця 1'!$E:$E,"Інфраструктура",'Таблиця 1'!$L:$L,"Уражено"))</f>
        <v/>
      </c>
      <c r="X455">
        <f>IF($A455="","",SUMIFS('Таблиця 1'!$K:$K,'Таблиця 1'!$B:$B,$A455))</f>
        <v/>
      </c>
    </row>
    <row r="456">
      <c r="A456" s="81">
        <f>IF(A455="","",IF(A455+1&gt;MAX('Таблиця 1'!$B:$B),"",A455+1))</f>
        <v/>
      </c>
      <c r="B456">
        <f>IF($A456="","",COUNTIFS('Таблиця 1'!$B:$B,$A456,'Таблиця 1'!$E:$E,"ЖС ВЗ",'Таблиця 1'!$L:$L,"Уражено"))</f>
        <v/>
      </c>
      <c r="C456">
        <f>IF($A456="","",COUNTIFS('Таблиця 1'!$B:$B,$A456,'Таблиця 1'!$E:$E,"Арт. Системи",'Таблиця 1'!$L:$L,"Уражено"))</f>
        <v/>
      </c>
      <c r="D456">
        <f>IF($A456="","",COUNTIFS('Таблиця 1'!$B:$B,$A456,'Таблиця 1'!$E:$E,"ОВТ",'Таблиця 1'!$L:$L,"Уражено"))</f>
        <v/>
      </c>
      <c r="E456">
        <f>IF($A456="","",COUNTIFS('Таблиця 1'!$B:$B,$A456,'Таблиця 1'!$E:$E,"ППО",'Таблиця 1'!$L:$L,"Уражено"))</f>
        <v/>
      </c>
      <c r="F456">
        <f>IF($A456="","",COUNTIFS('Таблиця 1'!$B:$B,$A456,'Таблиця 1'!$E:$E,"Рембаза",'Таблиця 1'!$L:$L,"Уражено"))</f>
        <v/>
      </c>
      <c r="G456">
        <f>IF($A456="","",COUNTIFS('Таблиця 1'!$B:$B,$A456,'Таблиця 1'!$E:$E,"Склад БК",'Таблиця 1'!$L:$L,"Уражено"))</f>
        <v/>
      </c>
      <c r="H456">
        <f>IF($A456="","",COUNTIFS('Таблиця 1'!$B:$B,$A456,'Таблиця 1'!$E:$E,"Склад ВТМ",'Таблиця 1'!$L:$L,"Уражено"))</f>
        <v/>
      </c>
      <c r="I456">
        <f>IF($A456="","",COUNTIFS('Таблиця 1'!$B:$B,$A456,'Таблиця 1'!$E:$E,"ПУ БпЛА",'Таблиця 1'!$L:$L,"Уражено"))</f>
        <v/>
      </c>
      <c r="J456">
        <f>IF($A456="","",COUNTIFS('Таблиця 1'!$B:$B,$A456,'Таблиця 1'!$E:$E,"СП",'Таблиця 1'!$L:$L,"Уражено"))</f>
        <v/>
      </c>
      <c r="K456">
        <f>IF($A456="","",COUNTIFS('Таблиця 1'!$B:$B,$A456,'Таблиця 1'!$E:$E,"КСП роти",'Таблиця 1'!$L:$L,"Уражено"))</f>
        <v/>
      </c>
      <c r="L456">
        <f>IF($A456="","",COUNTIFS('Таблиця 1'!$B:$B,$A456,'Таблиця 1'!$E:$E,"ПУ бат",'Таблиця 1'!$L:$L,"Уражено"))</f>
        <v/>
      </c>
      <c r="M456">
        <f>IF($A456="","",COUNTIFS('Таблиця 1'!$B:$B,$A456,'Таблиця 1'!$E:$E,"ПУ бриг",'Таблиця 1'!$L:$L,"Уражено"))</f>
        <v/>
      </c>
      <c r="N456">
        <f>IF($A456="","",COUNTIFS('Таблиця 1'!$B:$B,$A456,'Таблиця 1'!$E:$E,"ПУ див",'Таблиця 1'!$L:$L,"Уражено"))</f>
        <v/>
      </c>
      <c r="O456">
        <f>IF($A456="","",COUNTIFS('Таблиця 1'!$B:$B,$A456,'Таблиця 1'!$E:$E,"обл. РЕБ",'Таблиця 1'!$L:$L,"Уражено"))</f>
        <v/>
      </c>
      <c r="P456">
        <f>IF($A456="","",COUNTIFS('Таблиця 1'!$B:$B,$A456,'Таблиця 1'!$E:$E,"пос РЕБ",'Таблиця 1'!$L:$L,"Уражено"))</f>
        <v/>
      </c>
      <c r="Q456">
        <f>IF($A456="","",COUNTIFS('Таблиця 1'!$B:$B,$A456,'Таблиця 1'!$E:$E,"група РЕР",'Таблиця 1'!$L:$L,"Уражено"))</f>
        <v/>
      </c>
      <c r="R456">
        <f>IF($A456="","",COUNTIFS('Таблиця 1'!$B:$B,$A456,'Таблиця 1'!$E:$E,"РЛС КББ",'Таблиця 1'!$L:$L,"Уражено"))</f>
        <v/>
      </c>
      <c r="S456">
        <f>IF($A456="","",COUNTIFS('Таблиця 1'!$B:$B,$A456,'Таблиця 1'!$E:$E,"Ретранслятор",'Таблиця 1'!$L:$L,"Уражено"))</f>
        <v/>
      </c>
      <c r="T456">
        <f>IF($A456="","",COUNTIFS('Таблиця 1'!$B:$B,$A456,'Таблиця 1'!$E:$E,"Вз.зв'язку",'Таблиця 1'!$L:$L,"Уражено"))</f>
        <v/>
      </c>
      <c r="U456">
        <f>IF($A456="","",COUNTIFS('Таблиця 1'!$B:$B,$A456,'Таблиця 1'!$E:$E,"ПММ",'Таблиця 1'!$L:$L,"Уражено"))</f>
        <v/>
      </c>
      <c r="V456">
        <f>IF($A456="","",COUNTIFS('Таблиця 1'!$B:$B,$A456,'Таблиця 1'!$E:$E,"ІФС",'Таблиця 1'!$L:$L,"Уражено"))</f>
        <v/>
      </c>
      <c r="W456">
        <f>IF($A456="","",COUNTIFS('Таблиця 1'!$B:$B,$A456,'Таблиця 1'!$E:$E,"Інфраструктура",'Таблиця 1'!$L:$L,"Уражено"))</f>
        <v/>
      </c>
      <c r="X456">
        <f>IF($A456="","",SUMIFS('Таблиця 1'!$K:$K,'Таблиця 1'!$B:$B,$A456))</f>
        <v/>
      </c>
    </row>
    <row r="457">
      <c r="A457" s="81">
        <f>IF(A456="","",IF(A456+1&gt;MAX('Таблиця 1'!$B:$B),"",A456+1))</f>
        <v/>
      </c>
      <c r="B457">
        <f>IF($A457="","",COUNTIFS('Таблиця 1'!$B:$B,$A457,'Таблиця 1'!$E:$E,"ЖС ВЗ",'Таблиця 1'!$L:$L,"Уражено"))</f>
        <v/>
      </c>
      <c r="C457">
        <f>IF($A457="","",COUNTIFS('Таблиця 1'!$B:$B,$A457,'Таблиця 1'!$E:$E,"Арт. Системи",'Таблиця 1'!$L:$L,"Уражено"))</f>
        <v/>
      </c>
      <c r="D457">
        <f>IF($A457="","",COUNTIFS('Таблиця 1'!$B:$B,$A457,'Таблиця 1'!$E:$E,"ОВТ",'Таблиця 1'!$L:$L,"Уражено"))</f>
        <v/>
      </c>
      <c r="E457">
        <f>IF($A457="","",COUNTIFS('Таблиця 1'!$B:$B,$A457,'Таблиця 1'!$E:$E,"ППО",'Таблиця 1'!$L:$L,"Уражено"))</f>
        <v/>
      </c>
      <c r="F457">
        <f>IF($A457="","",COUNTIFS('Таблиця 1'!$B:$B,$A457,'Таблиця 1'!$E:$E,"Рембаза",'Таблиця 1'!$L:$L,"Уражено"))</f>
        <v/>
      </c>
      <c r="G457">
        <f>IF($A457="","",COUNTIFS('Таблиця 1'!$B:$B,$A457,'Таблиця 1'!$E:$E,"Склад БК",'Таблиця 1'!$L:$L,"Уражено"))</f>
        <v/>
      </c>
      <c r="H457">
        <f>IF($A457="","",COUNTIFS('Таблиця 1'!$B:$B,$A457,'Таблиця 1'!$E:$E,"Склад ВТМ",'Таблиця 1'!$L:$L,"Уражено"))</f>
        <v/>
      </c>
      <c r="I457">
        <f>IF($A457="","",COUNTIFS('Таблиця 1'!$B:$B,$A457,'Таблиця 1'!$E:$E,"ПУ БпЛА",'Таблиця 1'!$L:$L,"Уражено"))</f>
        <v/>
      </c>
      <c r="J457">
        <f>IF($A457="","",COUNTIFS('Таблиця 1'!$B:$B,$A457,'Таблиця 1'!$E:$E,"СП",'Таблиця 1'!$L:$L,"Уражено"))</f>
        <v/>
      </c>
      <c r="K457">
        <f>IF($A457="","",COUNTIFS('Таблиця 1'!$B:$B,$A457,'Таблиця 1'!$E:$E,"КСП роти",'Таблиця 1'!$L:$L,"Уражено"))</f>
        <v/>
      </c>
      <c r="L457">
        <f>IF($A457="","",COUNTIFS('Таблиця 1'!$B:$B,$A457,'Таблиця 1'!$E:$E,"ПУ бат",'Таблиця 1'!$L:$L,"Уражено"))</f>
        <v/>
      </c>
      <c r="M457">
        <f>IF($A457="","",COUNTIFS('Таблиця 1'!$B:$B,$A457,'Таблиця 1'!$E:$E,"ПУ бриг",'Таблиця 1'!$L:$L,"Уражено"))</f>
        <v/>
      </c>
      <c r="N457">
        <f>IF($A457="","",COUNTIFS('Таблиця 1'!$B:$B,$A457,'Таблиця 1'!$E:$E,"ПУ див",'Таблиця 1'!$L:$L,"Уражено"))</f>
        <v/>
      </c>
      <c r="O457">
        <f>IF($A457="","",COUNTIFS('Таблиця 1'!$B:$B,$A457,'Таблиця 1'!$E:$E,"обл. РЕБ",'Таблиця 1'!$L:$L,"Уражено"))</f>
        <v/>
      </c>
      <c r="P457">
        <f>IF($A457="","",COUNTIFS('Таблиця 1'!$B:$B,$A457,'Таблиця 1'!$E:$E,"пос РЕБ",'Таблиця 1'!$L:$L,"Уражено"))</f>
        <v/>
      </c>
      <c r="Q457">
        <f>IF($A457="","",COUNTIFS('Таблиця 1'!$B:$B,$A457,'Таблиця 1'!$E:$E,"група РЕР",'Таблиця 1'!$L:$L,"Уражено"))</f>
        <v/>
      </c>
      <c r="R457">
        <f>IF($A457="","",COUNTIFS('Таблиця 1'!$B:$B,$A457,'Таблиця 1'!$E:$E,"РЛС КББ",'Таблиця 1'!$L:$L,"Уражено"))</f>
        <v/>
      </c>
      <c r="S457">
        <f>IF($A457="","",COUNTIFS('Таблиця 1'!$B:$B,$A457,'Таблиця 1'!$E:$E,"Ретранслятор",'Таблиця 1'!$L:$L,"Уражено"))</f>
        <v/>
      </c>
      <c r="T457">
        <f>IF($A457="","",COUNTIFS('Таблиця 1'!$B:$B,$A457,'Таблиця 1'!$E:$E,"Вз.зв'язку",'Таблиця 1'!$L:$L,"Уражено"))</f>
        <v/>
      </c>
      <c r="U457">
        <f>IF($A457="","",COUNTIFS('Таблиця 1'!$B:$B,$A457,'Таблиця 1'!$E:$E,"ПММ",'Таблиця 1'!$L:$L,"Уражено"))</f>
        <v/>
      </c>
      <c r="V457">
        <f>IF($A457="","",COUNTIFS('Таблиця 1'!$B:$B,$A457,'Таблиця 1'!$E:$E,"ІФС",'Таблиця 1'!$L:$L,"Уражено"))</f>
        <v/>
      </c>
      <c r="W457">
        <f>IF($A457="","",COUNTIFS('Таблиця 1'!$B:$B,$A457,'Таблиця 1'!$E:$E,"Інфраструктура",'Таблиця 1'!$L:$L,"Уражено"))</f>
        <v/>
      </c>
      <c r="X457">
        <f>IF($A457="","",SUMIFS('Таблиця 1'!$K:$K,'Таблиця 1'!$B:$B,$A457))</f>
        <v/>
      </c>
    </row>
    <row r="458">
      <c r="A458" s="81">
        <f>IF(A457="","",IF(A457+1&gt;MAX('Таблиця 1'!$B:$B),"",A457+1))</f>
        <v/>
      </c>
      <c r="B458">
        <f>IF($A458="","",COUNTIFS('Таблиця 1'!$B:$B,$A458,'Таблиця 1'!$E:$E,"ЖС ВЗ",'Таблиця 1'!$L:$L,"Уражено"))</f>
        <v/>
      </c>
      <c r="C458">
        <f>IF($A458="","",COUNTIFS('Таблиця 1'!$B:$B,$A458,'Таблиця 1'!$E:$E,"Арт. Системи",'Таблиця 1'!$L:$L,"Уражено"))</f>
        <v/>
      </c>
      <c r="D458">
        <f>IF($A458="","",COUNTIFS('Таблиця 1'!$B:$B,$A458,'Таблиця 1'!$E:$E,"ОВТ",'Таблиця 1'!$L:$L,"Уражено"))</f>
        <v/>
      </c>
      <c r="E458">
        <f>IF($A458="","",COUNTIFS('Таблиця 1'!$B:$B,$A458,'Таблиця 1'!$E:$E,"ППО",'Таблиця 1'!$L:$L,"Уражено"))</f>
        <v/>
      </c>
      <c r="F458">
        <f>IF($A458="","",COUNTIFS('Таблиця 1'!$B:$B,$A458,'Таблиця 1'!$E:$E,"Рембаза",'Таблиця 1'!$L:$L,"Уражено"))</f>
        <v/>
      </c>
      <c r="G458">
        <f>IF($A458="","",COUNTIFS('Таблиця 1'!$B:$B,$A458,'Таблиця 1'!$E:$E,"Склад БК",'Таблиця 1'!$L:$L,"Уражено"))</f>
        <v/>
      </c>
      <c r="H458">
        <f>IF($A458="","",COUNTIFS('Таблиця 1'!$B:$B,$A458,'Таблиця 1'!$E:$E,"Склад ВТМ",'Таблиця 1'!$L:$L,"Уражено"))</f>
        <v/>
      </c>
      <c r="I458">
        <f>IF($A458="","",COUNTIFS('Таблиця 1'!$B:$B,$A458,'Таблиця 1'!$E:$E,"ПУ БпЛА",'Таблиця 1'!$L:$L,"Уражено"))</f>
        <v/>
      </c>
      <c r="J458">
        <f>IF($A458="","",COUNTIFS('Таблиця 1'!$B:$B,$A458,'Таблиця 1'!$E:$E,"СП",'Таблиця 1'!$L:$L,"Уражено"))</f>
        <v/>
      </c>
      <c r="K458">
        <f>IF($A458="","",COUNTIFS('Таблиця 1'!$B:$B,$A458,'Таблиця 1'!$E:$E,"КСП роти",'Таблиця 1'!$L:$L,"Уражено"))</f>
        <v/>
      </c>
      <c r="L458">
        <f>IF($A458="","",COUNTIFS('Таблиця 1'!$B:$B,$A458,'Таблиця 1'!$E:$E,"ПУ бат",'Таблиця 1'!$L:$L,"Уражено"))</f>
        <v/>
      </c>
      <c r="M458">
        <f>IF($A458="","",COUNTIFS('Таблиця 1'!$B:$B,$A458,'Таблиця 1'!$E:$E,"ПУ бриг",'Таблиця 1'!$L:$L,"Уражено"))</f>
        <v/>
      </c>
      <c r="N458">
        <f>IF($A458="","",COUNTIFS('Таблиця 1'!$B:$B,$A458,'Таблиця 1'!$E:$E,"ПУ див",'Таблиця 1'!$L:$L,"Уражено"))</f>
        <v/>
      </c>
      <c r="O458">
        <f>IF($A458="","",COUNTIFS('Таблиця 1'!$B:$B,$A458,'Таблиця 1'!$E:$E,"обл. РЕБ",'Таблиця 1'!$L:$L,"Уражено"))</f>
        <v/>
      </c>
      <c r="P458">
        <f>IF($A458="","",COUNTIFS('Таблиця 1'!$B:$B,$A458,'Таблиця 1'!$E:$E,"пос РЕБ",'Таблиця 1'!$L:$L,"Уражено"))</f>
        <v/>
      </c>
      <c r="Q458">
        <f>IF($A458="","",COUNTIFS('Таблиця 1'!$B:$B,$A458,'Таблиця 1'!$E:$E,"група РЕР",'Таблиця 1'!$L:$L,"Уражено"))</f>
        <v/>
      </c>
      <c r="R458">
        <f>IF($A458="","",COUNTIFS('Таблиця 1'!$B:$B,$A458,'Таблиця 1'!$E:$E,"РЛС КББ",'Таблиця 1'!$L:$L,"Уражено"))</f>
        <v/>
      </c>
      <c r="S458">
        <f>IF($A458="","",COUNTIFS('Таблиця 1'!$B:$B,$A458,'Таблиця 1'!$E:$E,"Ретранслятор",'Таблиця 1'!$L:$L,"Уражено"))</f>
        <v/>
      </c>
      <c r="T458">
        <f>IF($A458="","",COUNTIFS('Таблиця 1'!$B:$B,$A458,'Таблиця 1'!$E:$E,"Вз.зв'язку",'Таблиця 1'!$L:$L,"Уражено"))</f>
        <v/>
      </c>
      <c r="U458">
        <f>IF($A458="","",COUNTIFS('Таблиця 1'!$B:$B,$A458,'Таблиця 1'!$E:$E,"ПММ",'Таблиця 1'!$L:$L,"Уражено"))</f>
        <v/>
      </c>
      <c r="V458">
        <f>IF($A458="","",COUNTIFS('Таблиця 1'!$B:$B,$A458,'Таблиця 1'!$E:$E,"ІФС",'Таблиця 1'!$L:$L,"Уражено"))</f>
        <v/>
      </c>
      <c r="W458">
        <f>IF($A458="","",COUNTIFS('Таблиця 1'!$B:$B,$A458,'Таблиця 1'!$E:$E,"Інфраструктура",'Таблиця 1'!$L:$L,"Уражено"))</f>
        <v/>
      </c>
      <c r="X458">
        <f>IF($A458="","",SUMIFS('Таблиця 1'!$K:$K,'Таблиця 1'!$B:$B,$A458))</f>
        <v/>
      </c>
    </row>
    <row r="459">
      <c r="A459" s="81">
        <f>IF(A458="","",IF(A458+1&gt;MAX('Таблиця 1'!$B:$B),"",A458+1))</f>
        <v/>
      </c>
      <c r="B459">
        <f>IF($A459="","",COUNTIFS('Таблиця 1'!$B:$B,$A459,'Таблиця 1'!$E:$E,"ЖС ВЗ",'Таблиця 1'!$L:$L,"Уражено"))</f>
        <v/>
      </c>
      <c r="C459">
        <f>IF($A459="","",COUNTIFS('Таблиця 1'!$B:$B,$A459,'Таблиця 1'!$E:$E,"Арт. Системи",'Таблиця 1'!$L:$L,"Уражено"))</f>
        <v/>
      </c>
      <c r="D459">
        <f>IF($A459="","",COUNTIFS('Таблиця 1'!$B:$B,$A459,'Таблиця 1'!$E:$E,"ОВТ",'Таблиця 1'!$L:$L,"Уражено"))</f>
        <v/>
      </c>
      <c r="E459">
        <f>IF($A459="","",COUNTIFS('Таблиця 1'!$B:$B,$A459,'Таблиця 1'!$E:$E,"ППО",'Таблиця 1'!$L:$L,"Уражено"))</f>
        <v/>
      </c>
      <c r="F459">
        <f>IF($A459="","",COUNTIFS('Таблиця 1'!$B:$B,$A459,'Таблиця 1'!$E:$E,"Рембаза",'Таблиця 1'!$L:$L,"Уражено"))</f>
        <v/>
      </c>
      <c r="G459">
        <f>IF($A459="","",COUNTIFS('Таблиця 1'!$B:$B,$A459,'Таблиця 1'!$E:$E,"Склад БК",'Таблиця 1'!$L:$L,"Уражено"))</f>
        <v/>
      </c>
      <c r="H459">
        <f>IF($A459="","",COUNTIFS('Таблиця 1'!$B:$B,$A459,'Таблиця 1'!$E:$E,"Склад ВТМ",'Таблиця 1'!$L:$L,"Уражено"))</f>
        <v/>
      </c>
      <c r="I459">
        <f>IF($A459="","",COUNTIFS('Таблиця 1'!$B:$B,$A459,'Таблиця 1'!$E:$E,"ПУ БпЛА",'Таблиця 1'!$L:$L,"Уражено"))</f>
        <v/>
      </c>
      <c r="J459">
        <f>IF($A459="","",COUNTIFS('Таблиця 1'!$B:$B,$A459,'Таблиця 1'!$E:$E,"СП",'Таблиця 1'!$L:$L,"Уражено"))</f>
        <v/>
      </c>
      <c r="K459">
        <f>IF($A459="","",COUNTIFS('Таблиця 1'!$B:$B,$A459,'Таблиця 1'!$E:$E,"КСП роти",'Таблиця 1'!$L:$L,"Уражено"))</f>
        <v/>
      </c>
      <c r="L459">
        <f>IF($A459="","",COUNTIFS('Таблиця 1'!$B:$B,$A459,'Таблиця 1'!$E:$E,"ПУ бат",'Таблиця 1'!$L:$L,"Уражено"))</f>
        <v/>
      </c>
      <c r="M459">
        <f>IF($A459="","",COUNTIFS('Таблиця 1'!$B:$B,$A459,'Таблиця 1'!$E:$E,"ПУ бриг",'Таблиця 1'!$L:$L,"Уражено"))</f>
        <v/>
      </c>
      <c r="N459">
        <f>IF($A459="","",COUNTIFS('Таблиця 1'!$B:$B,$A459,'Таблиця 1'!$E:$E,"ПУ див",'Таблиця 1'!$L:$L,"Уражено"))</f>
        <v/>
      </c>
      <c r="O459">
        <f>IF($A459="","",COUNTIFS('Таблиця 1'!$B:$B,$A459,'Таблиця 1'!$E:$E,"обл. РЕБ",'Таблиця 1'!$L:$L,"Уражено"))</f>
        <v/>
      </c>
      <c r="P459">
        <f>IF($A459="","",COUNTIFS('Таблиця 1'!$B:$B,$A459,'Таблиця 1'!$E:$E,"пос РЕБ",'Таблиця 1'!$L:$L,"Уражено"))</f>
        <v/>
      </c>
      <c r="Q459">
        <f>IF($A459="","",COUNTIFS('Таблиця 1'!$B:$B,$A459,'Таблиця 1'!$E:$E,"група РЕР",'Таблиця 1'!$L:$L,"Уражено"))</f>
        <v/>
      </c>
      <c r="R459">
        <f>IF($A459="","",COUNTIFS('Таблиця 1'!$B:$B,$A459,'Таблиця 1'!$E:$E,"РЛС КББ",'Таблиця 1'!$L:$L,"Уражено"))</f>
        <v/>
      </c>
      <c r="S459">
        <f>IF($A459="","",COUNTIFS('Таблиця 1'!$B:$B,$A459,'Таблиця 1'!$E:$E,"Ретранслятор",'Таблиця 1'!$L:$L,"Уражено"))</f>
        <v/>
      </c>
      <c r="T459">
        <f>IF($A459="","",COUNTIFS('Таблиця 1'!$B:$B,$A459,'Таблиця 1'!$E:$E,"Вз.зв'язку",'Таблиця 1'!$L:$L,"Уражено"))</f>
        <v/>
      </c>
      <c r="U459">
        <f>IF($A459="","",COUNTIFS('Таблиця 1'!$B:$B,$A459,'Таблиця 1'!$E:$E,"ПММ",'Таблиця 1'!$L:$L,"Уражено"))</f>
        <v/>
      </c>
      <c r="V459">
        <f>IF($A459="","",COUNTIFS('Таблиця 1'!$B:$B,$A459,'Таблиця 1'!$E:$E,"ІФС",'Таблиця 1'!$L:$L,"Уражено"))</f>
        <v/>
      </c>
      <c r="W459">
        <f>IF($A459="","",COUNTIFS('Таблиця 1'!$B:$B,$A459,'Таблиця 1'!$E:$E,"Інфраструктура",'Таблиця 1'!$L:$L,"Уражено"))</f>
        <v/>
      </c>
      <c r="X459">
        <f>IF($A459="","",SUMIFS('Таблиця 1'!$K:$K,'Таблиця 1'!$B:$B,$A459))</f>
        <v/>
      </c>
    </row>
    <row r="460">
      <c r="A460" s="81">
        <f>IF(A459="","",IF(A459+1&gt;MAX('Таблиця 1'!$B:$B),"",A459+1))</f>
        <v/>
      </c>
      <c r="B460">
        <f>IF($A460="","",COUNTIFS('Таблиця 1'!$B:$B,$A460,'Таблиця 1'!$E:$E,"ЖС ВЗ",'Таблиця 1'!$L:$L,"Уражено"))</f>
        <v/>
      </c>
      <c r="C460">
        <f>IF($A460="","",COUNTIFS('Таблиця 1'!$B:$B,$A460,'Таблиця 1'!$E:$E,"Арт. Системи",'Таблиця 1'!$L:$L,"Уражено"))</f>
        <v/>
      </c>
      <c r="D460">
        <f>IF($A460="","",COUNTIFS('Таблиця 1'!$B:$B,$A460,'Таблиця 1'!$E:$E,"ОВТ",'Таблиця 1'!$L:$L,"Уражено"))</f>
        <v/>
      </c>
      <c r="E460">
        <f>IF($A460="","",COUNTIFS('Таблиця 1'!$B:$B,$A460,'Таблиця 1'!$E:$E,"ППО",'Таблиця 1'!$L:$L,"Уражено"))</f>
        <v/>
      </c>
      <c r="F460">
        <f>IF($A460="","",COUNTIFS('Таблиця 1'!$B:$B,$A460,'Таблиця 1'!$E:$E,"Рембаза",'Таблиця 1'!$L:$L,"Уражено"))</f>
        <v/>
      </c>
      <c r="G460">
        <f>IF($A460="","",COUNTIFS('Таблиця 1'!$B:$B,$A460,'Таблиця 1'!$E:$E,"Склад БК",'Таблиця 1'!$L:$L,"Уражено"))</f>
        <v/>
      </c>
      <c r="H460">
        <f>IF($A460="","",COUNTIFS('Таблиця 1'!$B:$B,$A460,'Таблиця 1'!$E:$E,"Склад ВТМ",'Таблиця 1'!$L:$L,"Уражено"))</f>
        <v/>
      </c>
      <c r="I460">
        <f>IF($A460="","",COUNTIFS('Таблиця 1'!$B:$B,$A460,'Таблиця 1'!$E:$E,"ПУ БпЛА",'Таблиця 1'!$L:$L,"Уражено"))</f>
        <v/>
      </c>
      <c r="J460">
        <f>IF($A460="","",COUNTIFS('Таблиця 1'!$B:$B,$A460,'Таблиця 1'!$E:$E,"СП",'Таблиця 1'!$L:$L,"Уражено"))</f>
        <v/>
      </c>
      <c r="K460">
        <f>IF($A460="","",COUNTIFS('Таблиця 1'!$B:$B,$A460,'Таблиця 1'!$E:$E,"КСП роти",'Таблиця 1'!$L:$L,"Уражено"))</f>
        <v/>
      </c>
      <c r="L460">
        <f>IF($A460="","",COUNTIFS('Таблиця 1'!$B:$B,$A460,'Таблиця 1'!$E:$E,"ПУ бат",'Таблиця 1'!$L:$L,"Уражено"))</f>
        <v/>
      </c>
      <c r="M460">
        <f>IF($A460="","",COUNTIFS('Таблиця 1'!$B:$B,$A460,'Таблиця 1'!$E:$E,"ПУ бриг",'Таблиця 1'!$L:$L,"Уражено"))</f>
        <v/>
      </c>
      <c r="N460">
        <f>IF($A460="","",COUNTIFS('Таблиця 1'!$B:$B,$A460,'Таблиця 1'!$E:$E,"ПУ див",'Таблиця 1'!$L:$L,"Уражено"))</f>
        <v/>
      </c>
      <c r="O460">
        <f>IF($A460="","",COUNTIFS('Таблиця 1'!$B:$B,$A460,'Таблиця 1'!$E:$E,"обл. РЕБ",'Таблиця 1'!$L:$L,"Уражено"))</f>
        <v/>
      </c>
      <c r="P460">
        <f>IF($A460="","",COUNTIFS('Таблиця 1'!$B:$B,$A460,'Таблиця 1'!$E:$E,"пос РЕБ",'Таблиця 1'!$L:$L,"Уражено"))</f>
        <v/>
      </c>
      <c r="Q460">
        <f>IF($A460="","",COUNTIFS('Таблиця 1'!$B:$B,$A460,'Таблиця 1'!$E:$E,"група РЕР",'Таблиця 1'!$L:$L,"Уражено"))</f>
        <v/>
      </c>
      <c r="R460">
        <f>IF($A460="","",COUNTIFS('Таблиця 1'!$B:$B,$A460,'Таблиця 1'!$E:$E,"РЛС КББ",'Таблиця 1'!$L:$L,"Уражено"))</f>
        <v/>
      </c>
      <c r="S460">
        <f>IF($A460="","",COUNTIFS('Таблиця 1'!$B:$B,$A460,'Таблиця 1'!$E:$E,"Ретранслятор",'Таблиця 1'!$L:$L,"Уражено"))</f>
        <v/>
      </c>
      <c r="T460">
        <f>IF($A460="","",COUNTIFS('Таблиця 1'!$B:$B,$A460,'Таблиця 1'!$E:$E,"Вз.зв'язку",'Таблиця 1'!$L:$L,"Уражено"))</f>
        <v/>
      </c>
      <c r="U460">
        <f>IF($A460="","",COUNTIFS('Таблиця 1'!$B:$B,$A460,'Таблиця 1'!$E:$E,"ПММ",'Таблиця 1'!$L:$L,"Уражено"))</f>
        <v/>
      </c>
      <c r="V460">
        <f>IF($A460="","",COUNTIFS('Таблиця 1'!$B:$B,$A460,'Таблиця 1'!$E:$E,"ІФС",'Таблиця 1'!$L:$L,"Уражено"))</f>
        <v/>
      </c>
      <c r="W460">
        <f>IF($A460="","",COUNTIFS('Таблиця 1'!$B:$B,$A460,'Таблиця 1'!$E:$E,"Інфраструктура",'Таблиця 1'!$L:$L,"Уражено"))</f>
        <v/>
      </c>
      <c r="X460">
        <f>IF($A460="","",SUMIFS('Таблиця 1'!$K:$K,'Таблиця 1'!$B:$B,$A460))</f>
        <v/>
      </c>
    </row>
    <row r="461">
      <c r="A461" s="81">
        <f>IF(A460="","",IF(A460+1&gt;MAX('Таблиця 1'!$B:$B),"",A460+1))</f>
        <v/>
      </c>
      <c r="B461">
        <f>IF($A461="","",COUNTIFS('Таблиця 1'!$B:$B,$A461,'Таблиця 1'!$E:$E,"ЖС ВЗ",'Таблиця 1'!$L:$L,"Уражено"))</f>
        <v/>
      </c>
      <c r="C461">
        <f>IF($A461="","",COUNTIFS('Таблиця 1'!$B:$B,$A461,'Таблиця 1'!$E:$E,"Арт. Системи",'Таблиця 1'!$L:$L,"Уражено"))</f>
        <v/>
      </c>
      <c r="D461">
        <f>IF($A461="","",COUNTIFS('Таблиця 1'!$B:$B,$A461,'Таблиця 1'!$E:$E,"ОВТ",'Таблиця 1'!$L:$L,"Уражено"))</f>
        <v/>
      </c>
      <c r="E461">
        <f>IF($A461="","",COUNTIFS('Таблиця 1'!$B:$B,$A461,'Таблиця 1'!$E:$E,"ППО",'Таблиця 1'!$L:$L,"Уражено"))</f>
        <v/>
      </c>
      <c r="F461">
        <f>IF($A461="","",COUNTIFS('Таблиця 1'!$B:$B,$A461,'Таблиця 1'!$E:$E,"Рембаза",'Таблиця 1'!$L:$L,"Уражено"))</f>
        <v/>
      </c>
      <c r="G461">
        <f>IF($A461="","",COUNTIFS('Таблиця 1'!$B:$B,$A461,'Таблиця 1'!$E:$E,"Склад БК",'Таблиця 1'!$L:$L,"Уражено"))</f>
        <v/>
      </c>
      <c r="H461">
        <f>IF($A461="","",COUNTIFS('Таблиця 1'!$B:$B,$A461,'Таблиця 1'!$E:$E,"Склад ВТМ",'Таблиця 1'!$L:$L,"Уражено"))</f>
        <v/>
      </c>
      <c r="I461">
        <f>IF($A461="","",COUNTIFS('Таблиця 1'!$B:$B,$A461,'Таблиця 1'!$E:$E,"ПУ БпЛА",'Таблиця 1'!$L:$L,"Уражено"))</f>
        <v/>
      </c>
      <c r="J461">
        <f>IF($A461="","",COUNTIFS('Таблиця 1'!$B:$B,$A461,'Таблиця 1'!$E:$E,"СП",'Таблиця 1'!$L:$L,"Уражено"))</f>
        <v/>
      </c>
      <c r="K461">
        <f>IF($A461="","",COUNTIFS('Таблиця 1'!$B:$B,$A461,'Таблиця 1'!$E:$E,"КСП роти",'Таблиця 1'!$L:$L,"Уражено"))</f>
        <v/>
      </c>
      <c r="L461">
        <f>IF($A461="","",COUNTIFS('Таблиця 1'!$B:$B,$A461,'Таблиця 1'!$E:$E,"ПУ бат",'Таблиця 1'!$L:$L,"Уражено"))</f>
        <v/>
      </c>
      <c r="M461">
        <f>IF($A461="","",COUNTIFS('Таблиця 1'!$B:$B,$A461,'Таблиця 1'!$E:$E,"ПУ бриг",'Таблиця 1'!$L:$L,"Уражено"))</f>
        <v/>
      </c>
      <c r="N461">
        <f>IF($A461="","",COUNTIFS('Таблиця 1'!$B:$B,$A461,'Таблиця 1'!$E:$E,"ПУ див",'Таблиця 1'!$L:$L,"Уражено"))</f>
        <v/>
      </c>
      <c r="O461">
        <f>IF($A461="","",COUNTIFS('Таблиця 1'!$B:$B,$A461,'Таблиця 1'!$E:$E,"обл. РЕБ",'Таблиця 1'!$L:$L,"Уражено"))</f>
        <v/>
      </c>
      <c r="P461">
        <f>IF($A461="","",COUNTIFS('Таблиця 1'!$B:$B,$A461,'Таблиця 1'!$E:$E,"пос РЕБ",'Таблиця 1'!$L:$L,"Уражено"))</f>
        <v/>
      </c>
      <c r="Q461">
        <f>IF($A461="","",COUNTIFS('Таблиця 1'!$B:$B,$A461,'Таблиця 1'!$E:$E,"група РЕР",'Таблиця 1'!$L:$L,"Уражено"))</f>
        <v/>
      </c>
      <c r="R461">
        <f>IF($A461="","",COUNTIFS('Таблиця 1'!$B:$B,$A461,'Таблиця 1'!$E:$E,"РЛС КББ",'Таблиця 1'!$L:$L,"Уражено"))</f>
        <v/>
      </c>
      <c r="S461">
        <f>IF($A461="","",COUNTIFS('Таблиця 1'!$B:$B,$A461,'Таблиця 1'!$E:$E,"Ретранслятор",'Таблиця 1'!$L:$L,"Уражено"))</f>
        <v/>
      </c>
      <c r="T461">
        <f>IF($A461="","",COUNTIFS('Таблиця 1'!$B:$B,$A461,'Таблиця 1'!$E:$E,"Вз.зв'язку",'Таблиця 1'!$L:$L,"Уражено"))</f>
        <v/>
      </c>
      <c r="U461">
        <f>IF($A461="","",COUNTIFS('Таблиця 1'!$B:$B,$A461,'Таблиця 1'!$E:$E,"ПММ",'Таблиця 1'!$L:$L,"Уражено"))</f>
        <v/>
      </c>
      <c r="V461">
        <f>IF($A461="","",COUNTIFS('Таблиця 1'!$B:$B,$A461,'Таблиця 1'!$E:$E,"ІФС",'Таблиця 1'!$L:$L,"Уражено"))</f>
        <v/>
      </c>
      <c r="W461">
        <f>IF($A461="","",COUNTIFS('Таблиця 1'!$B:$B,$A461,'Таблиця 1'!$E:$E,"Інфраструктура",'Таблиця 1'!$L:$L,"Уражено"))</f>
        <v/>
      </c>
      <c r="X461">
        <f>IF($A461="","",SUMIFS('Таблиця 1'!$K:$K,'Таблиця 1'!$B:$B,$A461))</f>
        <v/>
      </c>
    </row>
    <row r="462">
      <c r="A462" s="81">
        <f>IF(A461="","",IF(A461+1&gt;MAX('Таблиця 1'!$B:$B),"",A461+1))</f>
        <v/>
      </c>
      <c r="B462">
        <f>IF($A462="","",COUNTIFS('Таблиця 1'!$B:$B,$A462,'Таблиця 1'!$E:$E,"ЖС ВЗ",'Таблиця 1'!$L:$L,"Уражено"))</f>
        <v/>
      </c>
      <c r="C462">
        <f>IF($A462="","",COUNTIFS('Таблиця 1'!$B:$B,$A462,'Таблиця 1'!$E:$E,"Арт. Системи",'Таблиця 1'!$L:$L,"Уражено"))</f>
        <v/>
      </c>
      <c r="D462">
        <f>IF($A462="","",COUNTIFS('Таблиця 1'!$B:$B,$A462,'Таблиця 1'!$E:$E,"ОВТ",'Таблиця 1'!$L:$L,"Уражено"))</f>
        <v/>
      </c>
      <c r="E462">
        <f>IF($A462="","",COUNTIFS('Таблиця 1'!$B:$B,$A462,'Таблиця 1'!$E:$E,"ППО",'Таблиця 1'!$L:$L,"Уражено"))</f>
        <v/>
      </c>
      <c r="F462">
        <f>IF($A462="","",COUNTIFS('Таблиця 1'!$B:$B,$A462,'Таблиця 1'!$E:$E,"Рембаза",'Таблиця 1'!$L:$L,"Уражено"))</f>
        <v/>
      </c>
      <c r="G462">
        <f>IF($A462="","",COUNTIFS('Таблиця 1'!$B:$B,$A462,'Таблиця 1'!$E:$E,"Склад БК",'Таблиця 1'!$L:$L,"Уражено"))</f>
        <v/>
      </c>
      <c r="H462">
        <f>IF($A462="","",COUNTIFS('Таблиця 1'!$B:$B,$A462,'Таблиця 1'!$E:$E,"Склад ВТМ",'Таблиця 1'!$L:$L,"Уражено"))</f>
        <v/>
      </c>
      <c r="I462">
        <f>IF($A462="","",COUNTIFS('Таблиця 1'!$B:$B,$A462,'Таблиця 1'!$E:$E,"ПУ БпЛА",'Таблиця 1'!$L:$L,"Уражено"))</f>
        <v/>
      </c>
      <c r="J462">
        <f>IF($A462="","",COUNTIFS('Таблиця 1'!$B:$B,$A462,'Таблиця 1'!$E:$E,"СП",'Таблиця 1'!$L:$L,"Уражено"))</f>
        <v/>
      </c>
      <c r="K462">
        <f>IF($A462="","",COUNTIFS('Таблиця 1'!$B:$B,$A462,'Таблиця 1'!$E:$E,"КСП роти",'Таблиця 1'!$L:$L,"Уражено"))</f>
        <v/>
      </c>
      <c r="L462">
        <f>IF($A462="","",COUNTIFS('Таблиця 1'!$B:$B,$A462,'Таблиця 1'!$E:$E,"ПУ бат",'Таблиця 1'!$L:$L,"Уражено"))</f>
        <v/>
      </c>
      <c r="M462">
        <f>IF($A462="","",COUNTIFS('Таблиця 1'!$B:$B,$A462,'Таблиця 1'!$E:$E,"ПУ бриг",'Таблиця 1'!$L:$L,"Уражено"))</f>
        <v/>
      </c>
      <c r="N462">
        <f>IF($A462="","",COUNTIFS('Таблиця 1'!$B:$B,$A462,'Таблиця 1'!$E:$E,"ПУ див",'Таблиця 1'!$L:$L,"Уражено"))</f>
        <v/>
      </c>
      <c r="O462">
        <f>IF($A462="","",COUNTIFS('Таблиця 1'!$B:$B,$A462,'Таблиця 1'!$E:$E,"обл. РЕБ",'Таблиця 1'!$L:$L,"Уражено"))</f>
        <v/>
      </c>
      <c r="P462">
        <f>IF($A462="","",COUNTIFS('Таблиця 1'!$B:$B,$A462,'Таблиця 1'!$E:$E,"пос РЕБ",'Таблиця 1'!$L:$L,"Уражено"))</f>
        <v/>
      </c>
      <c r="Q462">
        <f>IF($A462="","",COUNTIFS('Таблиця 1'!$B:$B,$A462,'Таблиця 1'!$E:$E,"група РЕР",'Таблиця 1'!$L:$L,"Уражено"))</f>
        <v/>
      </c>
      <c r="R462">
        <f>IF($A462="","",COUNTIFS('Таблиця 1'!$B:$B,$A462,'Таблиця 1'!$E:$E,"РЛС КББ",'Таблиця 1'!$L:$L,"Уражено"))</f>
        <v/>
      </c>
      <c r="S462">
        <f>IF($A462="","",COUNTIFS('Таблиця 1'!$B:$B,$A462,'Таблиця 1'!$E:$E,"Ретранслятор",'Таблиця 1'!$L:$L,"Уражено"))</f>
        <v/>
      </c>
      <c r="T462">
        <f>IF($A462="","",COUNTIFS('Таблиця 1'!$B:$B,$A462,'Таблиця 1'!$E:$E,"Вз.зв'язку",'Таблиця 1'!$L:$L,"Уражено"))</f>
        <v/>
      </c>
      <c r="U462">
        <f>IF($A462="","",COUNTIFS('Таблиця 1'!$B:$B,$A462,'Таблиця 1'!$E:$E,"ПММ",'Таблиця 1'!$L:$L,"Уражено"))</f>
        <v/>
      </c>
      <c r="V462">
        <f>IF($A462="","",COUNTIFS('Таблиця 1'!$B:$B,$A462,'Таблиця 1'!$E:$E,"ІФС",'Таблиця 1'!$L:$L,"Уражено"))</f>
        <v/>
      </c>
      <c r="W462">
        <f>IF($A462="","",COUNTIFS('Таблиця 1'!$B:$B,$A462,'Таблиця 1'!$E:$E,"Інфраструктура",'Таблиця 1'!$L:$L,"Уражено"))</f>
        <v/>
      </c>
      <c r="X462">
        <f>IF($A462="","",SUMIFS('Таблиця 1'!$K:$K,'Таблиця 1'!$B:$B,$A462))</f>
        <v/>
      </c>
    </row>
    <row r="463">
      <c r="A463" s="81">
        <f>IF(A462="","",IF(A462+1&gt;MAX('Таблиця 1'!$B:$B),"",A462+1))</f>
        <v/>
      </c>
      <c r="B463">
        <f>IF($A463="","",COUNTIFS('Таблиця 1'!$B:$B,$A463,'Таблиця 1'!$E:$E,"ЖС ВЗ",'Таблиця 1'!$L:$L,"Уражено"))</f>
        <v/>
      </c>
      <c r="C463">
        <f>IF($A463="","",COUNTIFS('Таблиця 1'!$B:$B,$A463,'Таблиця 1'!$E:$E,"Арт. Системи",'Таблиця 1'!$L:$L,"Уражено"))</f>
        <v/>
      </c>
      <c r="D463">
        <f>IF($A463="","",COUNTIFS('Таблиця 1'!$B:$B,$A463,'Таблиця 1'!$E:$E,"ОВТ",'Таблиця 1'!$L:$L,"Уражено"))</f>
        <v/>
      </c>
      <c r="E463">
        <f>IF($A463="","",COUNTIFS('Таблиця 1'!$B:$B,$A463,'Таблиця 1'!$E:$E,"ППО",'Таблиця 1'!$L:$L,"Уражено"))</f>
        <v/>
      </c>
      <c r="F463">
        <f>IF($A463="","",COUNTIFS('Таблиця 1'!$B:$B,$A463,'Таблиця 1'!$E:$E,"Рембаза",'Таблиця 1'!$L:$L,"Уражено"))</f>
        <v/>
      </c>
      <c r="G463">
        <f>IF($A463="","",COUNTIFS('Таблиця 1'!$B:$B,$A463,'Таблиця 1'!$E:$E,"Склад БК",'Таблиця 1'!$L:$L,"Уражено"))</f>
        <v/>
      </c>
      <c r="H463">
        <f>IF($A463="","",COUNTIFS('Таблиця 1'!$B:$B,$A463,'Таблиця 1'!$E:$E,"Склад ВТМ",'Таблиця 1'!$L:$L,"Уражено"))</f>
        <v/>
      </c>
      <c r="I463">
        <f>IF($A463="","",COUNTIFS('Таблиця 1'!$B:$B,$A463,'Таблиця 1'!$E:$E,"ПУ БпЛА",'Таблиця 1'!$L:$L,"Уражено"))</f>
        <v/>
      </c>
      <c r="J463">
        <f>IF($A463="","",COUNTIFS('Таблиця 1'!$B:$B,$A463,'Таблиця 1'!$E:$E,"СП",'Таблиця 1'!$L:$L,"Уражено"))</f>
        <v/>
      </c>
      <c r="K463">
        <f>IF($A463="","",COUNTIFS('Таблиця 1'!$B:$B,$A463,'Таблиця 1'!$E:$E,"КСП роти",'Таблиця 1'!$L:$L,"Уражено"))</f>
        <v/>
      </c>
      <c r="L463">
        <f>IF($A463="","",COUNTIFS('Таблиця 1'!$B:$B,$A463,'Таблиця 1'!$E:$E,"ПУ бат",'Таблиця 1'!$L:$L,"Уражено"))</f>
        <v/>
      </c>
      <c r="M463">
        <f>IF($A463="","",COUNTIFS('Таблиця 1'!$B:$B,$A463,'Таблиця 1'!$E:$E,"ПУ бриг",'Таблиця 1'!$L:$L,"Уражено"))</f>
        <v/>
      </c>
      <c r="N463">
        <f>IF($A463="","",COUNTIFS('Таблиця 1'!$B:$B,$A463,'Таблиця 1'!$E:$E,"ПУ див",'Таблиця 1'!$L:$L,"Уражено"))</f>
        <v/>
      </c>
      <c r="O463">
        <f>IF($A463="","",COUNTIFS('Таблиця 1'!$B:$B,$A463,'Таблиця 1'!$E:$E,"обл. РЕБ",'Таблиця 1'!$L:$L,"Уражено"))</f>
        <v/>
      </c>
      <c r="P463">
        <f>IF($A463="","",COUNTIFS('Таблиця 1'!$B:$B,$A463,'Таблиця 1'!$E:$E,"пос РЕБ",'Таблиця 1'!$L:$L,"Уражено"))</f>
        <v/>
      </c>
      <c r="Q463">
        <f>IF($A463="","",COUNTIFS('Таблиця 1'!$B:$B,$A463,'Таблиця 1'!$E:$E,"група РЕР",'Таблиця 1'!$L:$L,"Уражено"))</f>
        <v/>
      </c>
      <c r="R463">
        <f>IF($A463="","",COUNTIFS('Таблиця 1'!$B:$B,$A463,'Таблиця 1'!$E:$E,"РЛС КББ",'Таблиця 1'!$L:$L,"Уражено"))</f>
        <v/>
      </c>
      <c r="S463">
        <f>IF($A463="","",COUNTIFS('Таблиця 1'!$B:$B,$A463,'Таблиця 1'!$E:$E,"Ретранслятор",'Таблиця 1'!$L:$L,"Уражено"))</f>
        <v/>
      </c>
      <c r="T463">
        <f>IF($A463="","",COUNTIFS('Таблиця 1'!$B:$B,$A463,'Таблиця 1'!$E:$E,"Вз.зв'язку",'Таблиця 1'!$L:$L,"Уражено"))</f>
        <v/>
      </c>
      <c r="U463">
        <f>IF($A463="","",COUNTIFS('Таблиця 1'!$B:$B,$A463,'Таблиця 1'!$E:$E,"ПММ",'Таблиця 1'!$L:$L,"Уражено"))</f>
        <v/>
      </c>
      <c r="V463">
        <f>IF($A463="","",COUNTIFS('Таблиця 1'!$B:$B,$A463,'Таблиця 1'!$E:$E,"ІФС",'Таблиця 1'!$L:$L,"Уражено"))</f>
        <v/>
      </c>
      <c r="W463">
        <f>IF($A463="","",COUNTIFS('Таблиця 1'!$B:$B,$A463,'Таблиця 1'!$E:$E,"Інфраструктура",'Таблиця 1'!$L:$L,"Уражено"))</f>
        <v/>
      </c>
      <c r="X463">
        <f>IF($A463="","",SUMIFS('Таблиця 1'!$K:$K,'Таблиця 1'!$B:$B,$A463))</f>
        <v/>
      </c>
    </row>
    <row r="464">
      <c r="A464" s="81">
        <f>IF(A463="","",IF(A463+1&gt;MAX('Таблиця 1'!$B:$B),"",A463+1))</f>
        <v/>
      </c>
      <c r="B464">
        <f>IF($A464="","",COUNTIFS('Таблиця 1'!$B:$B,$A464,'Таблиця 1'!$E:$E,"ЖС ВЗ",'Таблиця 1'!$L:$L,"Уражено"))</f>
        <v/>
      </c>
      <c r="C464">
        <f>IF($A464="","",COUNTIFS('Таблиця 1'!$B:$B,$A464,'Таблиця 1'!$E:$E,"Арт. Системи",'Таблиця 1'!$L:$L,"Уражено"))</f>
        <v/>
      </c>
      <c r="D464">
        <f>IF($A464="","",COUNTIFS('Таблиця 1'!$B:$B,$A464,'Таблиця 1'!$E:$E,"ОВТ",'Таблиця 1'!$L:$L,"Уражено"))</f>
        <v/>
      </c>
      <c r="E464">
        <f>IF($A464="","",COUNTIFS('Таблиця 1'!$B:$B,$A464,'Таблиця 1'!$E:$E,"ППО",'Таблиця 1'!$L:$L,"Уражено"))</f>
        <v/>
      </c>
      <c r="F464">
        <f>IF($A464="","",COUNTIFS('Таблиця 1'!$B:$B,$A464,'Таблиця 1'!$E:$E,"Рембаза",'Таблиця 1'!$L:$L,"Уражено"))</f>
        <v/>
      </c>
      <c r="G464">
        <f>IF($A464="","",COUNTIFS('Таблиця 1'!$B:$B,$A464,'Таблиця 1'!$E:$E,"Склад БК",'Таблиця 1'!$L:$L,"Уражено"))</f>
        <v/>
      </c>
      <c r="H464">
        <f>IF($A464="","",COUNTIFS('Таблиця 1'!$B:$B,$A464,'Таблиця 1'!$E:$E,"Склад ВТМ",'Таблиця 1'!$L:$L,"Уражено"))</f>
        <v/>
      </c>
      <c r="I464">
        <f>IF($A464="","",COUNTIFS('Таблиця 1'!$B:$B,$A464,'Таблиця 1'!$E:$E,"ПУ БпЛА",'Таблиця 1'!$L:$L,"Уражено"))</f>
        <v/>
      </c>
      <c r="J464">
        <f>IF($A464="","",COUNTIFS('Таблиця 1'!$B:$B,$A464,'Таблиця 1'!$E:$E,"СП",'Таблиця 1'!$L:$L,"Уражено"))</f>
        <v/>
      </c>
      <c r="K464">
        <f>IF($A464="","",COUNTIFS('Таблиця 1'!$B:$B,$A464,'Таблиця 1'!$E:$E,"КСП роти",'Таблиця 1'!$L:$L,"Уражено"))</f>
        <v/>
      </c>
      <c r="L464">
        <f>IF($A464="","",COUNTIFS('Таблиця 1'!$B:$B,$A464,'Таблиця 1'!$E:$E,"ПУ бат",'Таблиця 1'!$L:$L,"Уражено"))</f>
        <v/>
      </c>
      <c r="M464">
        <f>IF($A464="","",COUNTIFS('Таблиця 1'!$B:$B,$A464,'Таблиця 1'!$E:$E,"ПУ бриг",'Таблиця 1'!$L:$L,"Уражено"))</f>
        <v/>
      </c>
      <c r="N464">
        <f>IF($A464="","",COUNTIFS('Таблиця 1'!$B:$B,$A464,'Таблиця 1'!$E:$E,"ПУ див",'Таблиця 1'!$L:$L,"Уражено"))</f>
        <v/>
      </c>
      <c r="O464">
        <f>IF($A464="","",COUNTIFS('Таблиця 1'!$B:$B,$A464,'Таблиця 1'!$E:$E,"обл. РЕБ",'Таблиця 1'!$L:$L,"Уражено"))</f>
        <v/>
      </c>
      <c r="P464">
        <f>IF($A464="","",COUNTIFS('Таблиця 1'!$B:$B,$A464,'Таблиця 1'!$E:$E,"пос РЕБ",'Таблиця 1'!$L:$L,"Уражено"))</f>
        <v/>
      </c>
      <c r="Q464">
        <f>IF($A464="","",COUNTIFS('Таблиця 1'!$B:$B,$A464,'Таблиця 1'!$E:$E,"група РЕР",'Таблиця 1'!$L:$L,"Уражено"))</f>
        <v/>
      </c>
      <c r="R464">
        <f>IF($A464="","",COUNTIFS('Таблиця 1'!$B:$B,$A464,'Таблиця 1'!$E:$E,"РЛС КББ",'Таблиця 1'!$L:$L,"Уражено"))</f>
        <v/>
      </c>
      <c r="S464">
        <f>IF($A464="","",COUNTIFS('Таблиця 1'!$B:$B,$A464,'Таблиця 1'!$E:$E,"Ретранслятор",'Таблиця 1'!$L:$L,"Уражено"))</f>
        <v/>
      </c>
      <c r="T464">
        <f>IF($A464="","",COUNTIFS('Таблиця 1'!$B:$B,$A464,'Таблиця 1'!$E:$E,"Вз.зв'язку",'Таблиця 1'!$L:$L,"Уражено"))</f>
        <v/>
      </c>
      <c r="U464">
        <f>IF($A464="","",COUNTIFS('Таблиця 1'!$B:$B,$A464,'Таблиця 1'!$E:$E,"ПММ",'Таблиця 1'!$L:$L,"Уражено"))</f>
        <v/>
      </c>
      <c r="V464">
        <f>IF($A464="","",COUNTIFS('Таблиця 1'!$B:$B,$A464,'Таблиця 1'!$E:$E,"ІФС",'Таблиця 1'!$L:$L,"Уражено"))</f>
        <v/>
      </c>
      <c r="W464">
        <f>IF($A464="","",COUNTIFS('Таблиця 1'!$B:$B,$A464,'Таблиця 1'!$E:$E,"Інфраструктура",'Таблиця 1'!$L:$L,"Уражено"))</f>
        <v/>
      </c>
      <c r="X464">
        <f>IF($A464="","",SUMIFS('Таблиця 1'!$K:$K,'Таблиця 1'!$B:$B,$A464))</f>
        <v/>
      </c>
    </row>
    <row r="465">
      <c r="A465" s="81">
        <f>IF(A464="","",IF(A464+1&gt;MAX('Таблиця 1'!$B:$B),"",A464+1))</f>
        <v/>
      </c>
      <c r="B465">
        <f>IF($A465="","",COUNTIFS('Таблиця 1'!$B:$B,$A465,'Таблиця 1'!$E:$E,"ЖС ВЗ",'Таблиця 1'!$L:$L,"Уражено"))</f>
        <v/>
      </c>
      <c r="C465">
        <f>IF($A465="","",COUNTIFS('Таблиця 1'!$B:$B,$A465,'Таблиця 1'!$E:$E,"Арт. Системи",'Таблиця 1'!$L:$L,"Уражено"))</f>
        <v/>
      </c>
      <c r="D465">
        <f>IF($A465="","",COUNTIFS('Таблиця 1'!$B:$B,$A465,'Таблиця 1'!$E:$E,"ОВТ",'Таблиця 1'!$L:$L,"Уражено"))</f>
        <v/>
      </c>
      <c r="E465">
        <f>IF($A465="","",COUNTIFS('Таблиця 1'!$B:$B,$A465,'Таблиця 1'!$E:$E,"ППО",'Таблиця 1'!$L:$L,"Уражено"))</f>
        <v/>
      </c>
      <c r="F465">
        <f>IF($A465="","",COUNTIFS('Таблиця 1'!$B:$B,$A465,'Таблиця 1'!$E:$E,"Рембаза",'Таблиця 1'!$L:$L,"Уражено"))</f>
        <v/>
      </c>
      <c r="G465">
        <f>IF($A465="","",COUNTIFS('Таблиця 1'!$B:$B,$A465,'Таблиця 1'!$E:$E,"Склад БК",'Таблиця 1'!$L:$L,"Уражено"))</f>
        <v/>
      </c>
      <c r="H465">
        <f>IF($A465="","",COUNTIFS('Таблиця 1'!$B:$B,$A465,'Таблиця 1'!$E:$E,"Склад ВТМ",'Таблиця 1'!$L:$L,"Уражено"))</f>
        <v/>
      </c>
      <c r="I465">
        <f>IF($A465="","",COUNTIFS('Таблиця 1'!$B:$B,$A465,'Таблиця 1'!$E:$E,"ПУ БпЛА",'Таблиця 1'!$L:$L,"Уражено"))</f>
        <v/>
      </c>
      <c r="J465">
        <f>IF($A465="","",COUNTIFS('Таблиця 1'!$B:$B,$A465,'Таблиця 1'!$E:$E,"СП",'Таблиця 1'!$L:$L,"Уражено"))</f>
        <v/>
      </c>
      <c r="K465">
        <f>IF($A465="","",COUNTIFS('Таблиця 1'!$B:$B,$A465,'Таблиця 1'!$E:$E,"КСП роти",'Таблиця 1'!$L:$L,"Уражено"))</f>
        <v/>
      </c>
      <c r="L465">
        <f>IF($A465="","",COUNTIFS('Таблиця 1'!$B:$B,$A465,'Таблиця 1'!$E:$E,"ПУ бат",'Таблиця 1'!$L:$L,"Уражено"))</f>
        <v/>
      </c>
      <c r="M465">
        <f>IF($A465="","",COUNTIFS('Таблиця 1'!$B:$B,$A465,'Таблиця 1'!$E:$E,"ПУ бриг",'Таблиця 1'!$L:$L,"Уражено"))</f>
        <v/>
      </c>
      <c r="N465">
        <f>IF($A465="","",COUNTIFS('Таблиця 1'!$B:$B,$A465,'Таблиця 1'!$E:$E,"ПУ див",'Таблиця 1'!$L:$L,"Уражено"))</f>
        <v/>
      </c>
      <c r="O465">
        <f>IF($A465="","",COUNTIFS('Таблиця 1'!$B:$B,$A465,'Таблиця 1'!$E:$E,"обл. РЕБ",'Таблиця 1'!$L:$L,"Уражено"))</f>
        <v/>
      </c>
      <c r="P465">
        <f>IF($A465="","",COUNTIFS('Таблиця 1'!$B:$B,$A465,'Таблиця 1'!$E:$E,"пос РЕБ",'Таблиця 1'!$L:$L,"Уражено"))</f>
        <v/>
      </c>
      <c r="Q465">
        <f>IF($A465="","",COUNTIFS('Таблиця 1'!$B:$B,$A465,'Таблиця 1'!$E:$E,"група РЕР",'Таблиця 1'!$L:$L,"Уражено"))</f>
        <v/>
      </c>
      <c r="R465">
        <f>IF($A465="","",COUNTIFS('Таблиця 1'!$B:$B,$A465,'Таблиця 1'!$E:$E,"РЛС КББ",'Таблиця 1'!$L:$L,"Уражено"))</f>
        <v/>
      </c>
      <c r="S465">
        <f>IF($A465="","",COUNTIFS('Таблиця 1'!$B:$B,$A465,'Таблиця 1'!$E:$E,"Ретранслятор",'Таблиця 1'!$L:$L,"Уражено"))</f>
        <v/>
      </c>
      <c r="T465">
        <f>IF($A465="","",COUNTIFS('Таблиця 1'!$B:$B,$A465,'Таблиця 1'!$E:$E,"Вз.зв'язку",'Таблиця 1'!$L:$L,"Уражено"))</f>
        <v/>
      </c>
      <c r="U465">
        <f>IF($A465="","",COUNTIFS('Таблиця 1'!$B:$B,$A465,'Таблиця 1'!$E:$E,"ПММ",'Таблиця 1'!$L:$L,"Уражено"))</f>
        <v/>
      </c>
      <c r="V465">
        <f>IF($A465="","",COUNTIFS('Таблиця 1'!$B:$B,$A465,'Таблиця 1'!$E:$E,"ІФС",'Таблиця 1'!$L:$L,"Уражено"))</f>
        <v/>
      </c>
      <c r="W465">
        <f>IF($A465="","",COUNTIFS('Таблиця 1'!$B:$B,$A465,'Таблиця 1'!$E:$E,"Інфраструктура",'Таблиця 1'!$L:$L,"Уражено"))</f>
        <v/>
      </c>
      <c r="X465">
        <f>IF($A465="","",SUMIFS('Таблиця 1'!$K:$K,'Таблиця 1'!$B:$B,$A465))</f>
        <v/>
      </c>
    </row>
    <row r="466">
      <c r="A466" s="81">
        <f>IF(A465="","",IF(A465+1&gt;MAX('Таблиця 1'!$B:$B),"",A465+1))</f>
        <v/>
      </c>
      <c r="B466">
        <f>IF($A466="","",COUNTIFS('Таблиця 1'!$B:$B,$A466,'Таблиця 1'!$E:$E,"ЖС ВЗ",'Таблиця 1'!$L:$L,"Уражено"))</f>
        <v/>
      </c>
      <c r="C466">
        <f>IF($A466="","",COUNTIFS('Таблиця 1'!$B:$B,$A466,'Таблиця 1'!$E:$E,"Арт. Системи",'Таблиця 1'!$L:$L,"Уражено"))</f>
        <v/>
      </c>
      <c r="D466">
        <f>IF($A466="","",COUNTIFS('Таблиця 1'!$B:$B,$A466,'Таблиця 1'!$E:$E,"ОВТ",'Таблиця 1'!$L:$L,"Уражено"))</f>
        <v/>
      </c>
      <c r="E466">
        <f>IF($A466="","",COUNTIFS('Таблиця 1'!$B:$B,$A466,'Таблиця 1'!$E:$E,"ППО",'Таблиця 1'!$L:$L,"Уражено"))</f>
        <v/>
      </c>
      <c r="F466">
        <f>IF($A466="","",COUNTIFS('Таблиця 1'!$B:$B,$A466,'Таблиця 1'!$E:$E,"Рембаза",'Таблиця 1'!$L:$L,"Уражено"))</f>
        <v/>
      </c>
      <c r="G466">
        <f>IF($A466="","",COUNTIFS('Таблиця 1'!$B:$B,$A466,'Таблиця 1'!$E:$E,"Склад БК",'Таблиця 1'!$L:$L,"Уражено"))</f>
        <v/>
      </c>
      <c r="H466">
        <f>IF($A466="","",COUNTIFS('Таблиця 1'!$B:$B,$A466,'Таблиця 1'!$E:$E,"Склад ВТМ",'Таблиця 1'!$L:$L,"Уражено"))</f>
        <v/>
      </c>
      <c r="I466">
        <f>IF($A466="","",COUNTIFS('Таблиця 1'!$B:$B,$A466,'Таблиця 1'!$E:$E,"ПУ БпЛА",'Таблиця 1'!$L:$L,"Уражено"))</f>
        <v/>
      </c>
      <c r="J466">
        <f>IF($A466="","",COUNTIFS('Таблиця 1'!$B:$B,$A466,'Таблиця 1'!$E:$E,"СП",'Таблиця 1'!$L:$L,"Уражено"))</f>
        <v/>
      </c>
      <c r="K466">
        <f>IF($A466="","",COUNTIFS('Таблиця 1'!$B:$B,$A466,'Таблиця 1'!$E:$E,"КСП роти",'Таблиця 1'!$L:$L,"Уражено"))</f>
        <v/>
      </c>
      <c r="L466">
        <f>IF($A466="","",COUNTIFS('Таблиця 1'!$B:$B,$A466,'Таблиця 1'!$E:$E,"ПУ бат",'Таблиця 1'!$L:$L,"Уражено"))</f>
        <v/>
      </c>
      <c r="M466">
        <f>IF($A466="","",COUNTIFS('Таблиця 1'!$B:$B,$A466,'Таблиця 1'!$E:$E,"ПУ бриг",'Таблиця 1'!$L:$L,"Уражено"))</f>
        <v/>
      </c>
      <c r="N466">
        <f>IF($A466="","",COUNTIFS('Таблиця 1'!$B:$B,$A466,'Таблиця 1'!$E:$E,"ПУ див",'Таблиця 1'!$L:$L,"Уражено"))</f>
        <v/>
      </c>
      <c r="O466">
        <f>IF($A466="","",COUNTIFS('Таблиця 1'!$B:$B,$A466,'Таблиця 1'!$E:$E,"обл. РЕБ",'Таблиця 1'!$L:$L,"Уражено"))</f>
        <v/>
      </c>
      <c r="P466">
        <f>IF($A466="","",COUNTIFS('Таблиця 1'!$B:$B,$A466,'Таблиця 1'!$E:$E,"пос РЕБ",'Таблиця 1'!$L:$L,"Уражено"))</f>
        <v/>
      </c>
      <c r="Q466">
        <f>IF($A466="","",COUNTIFS('Таблиця 1'!$B:$B,$A466,'Таблиця 1'!$E:$E,"група РЕР",'Таблиця 1'!$L:$L,"Уражено"))</f>
        <v/>
      </c>
      <c r="R466">
        <f>IF($A466="","",COUNTIFS('Таблиця 1'!$B:$B,$A466,'Таблиця 1'!$E:$E,"РЛС КББ",'Таблиця 1'!$L:$L,"Уражено"))</f>
        <v/>
      </c>
      <c r="S466">
        <f>IF($A466="","",COUNTIFS('Таблиця 1'!$B:$B,$A466,'Таблиця 1'!$E:$E,"Ретранслятор",'Таблиця 1'!$L:$L,"Уражено"))</f>
        <v/>
      </c>
      <c r="T466">
        <f>IF($A466="","",COUNTIFS('Таблиця 1'!$B:$B,$A466,'Таблиця 1'!$E:$E,"Вз.зв'язку",'Таблиця 1'!$L:$L,"Уражено"))</f>
        <v/>
      </c>
      <c r="U466">
        <f>IF($A466="","",COUNTIFS('Таблиця 1'!$B:$B,$A466,'Таблиця 1'!$E:$E,"ПММ",'Таблиця 1'!$L:$L,"Уражено"))</f>
        <v/>
      </c>
      <c r="V466">
        <f>IF($A466="","",COUNTIFS('Таблиця 1'!$B:$B,$A466,'Таблиця 1'!$E:$E,"ІФС",'Таблиця 1'!$L:$L,"Уражено"))</f>
        <v/>
      </c>
      <c r="W466">
        <f>IF($A466="","",COUNTIFS('Таблиця 1'!$B:$B,$A466,'Таблиця 1'!$E:$E,"Інфраструктура",'Таблиця 1'!$L:$L,"Уражено"))</f>
        <v/>
      </c>
      <c r="X466">
        <f>IF($A466="","",SUMIFS('Таблиця 1'!$K:$K,'Таблиця 1'!$B:$B,$A466))</f>
        <v/>
      </c>
    </row>
    <row r="467">
      <c r="A467" s="81">
        <f>IF(A466="","",IF(A466+1&gt;MAX('Таблиця 1'!$B:$B),"",A466+1))</f>
        <v/>
      </c>
      <c r="B467">
        <f>IF($A467="","",COUNTIFS('Таблиця 1'!$B:$B,$A467,'Таблиця 1'!$E:$E,"ЖС ВЗ",'Таблиця 1'!$L:$L,"Уражено"))</f>
        <v/>
      </c>
      <c r="C467">
        <f>IF($A467="","",COUNTIFS('Таблиця 1'!$B:$B,$A467,'Таблиця 1'!$E:$E,"Арт. Системи",'Таблиця 1'!$L:$L,"Уражено"))</f>
        <v/>
      </c>
      <c r="D467">
        <f>IF($A467="","",COUNTIFS('Таблиця 1'!$B:$B,$A467,'Таблиця 1'!$E:$E,"ОВТ",'Таблиця 1'!$L:$L,"Уражено"))</f>
        <v/>
      </c>
      <c r="E467">
        <f>IF($A467="","",COUNTIFS('Таблиця 1'!$B:$B,$A467,'Таблиця 1'!$E:$E,"ППО",'Таблиця 1'!$L:$L,"Уражено"))</f>
        <v/>
      </c>
      <c r="F467">
        <f>IF($A467="","",COUNTIFS('Таблиця 1'!$B:$B,$A467,'Таблиця 1'!$E:$E,"Рембаза",'Таблиця 1'!$L:$L,"Уражено"))</f>
        <v/>
      </c>
      <c r="G467">
        <f>IF($A467="","",COUNTIFS('Таблиця 1'!$B:$B,$A467,'Таблиця 1'!$E:$E,"Склад БК",'Таблиця 1'!$L:$L,"Уражено"))</f>
        <v/>
      </c>
      <c r="H467">
        <f>IF($A467="","",COUNTIFS('Таблиця 1'!$B:$B,$A467,'Таблиця 1'!$E:$E,"Склад ВТМ",'Таблиця 1'!$L:$L,"Уражено"))</f>
        <v/>
      </c>
      <c r="I467">
        <f>IF($A467="","",COUNTIFS('Таблиця 1'!$B:$B,$A467,'Таблиця 1'!$E:$E,"ПУ БпЛА",'Таблиця 1'!$L:$L,"Уражено"))</f>
        <v/>
      </c>
      <c r="J467">
        <f>IF($A467="","",COUNTIFS('Таблиця 1'!$B:$B,$A467,'Таблиця 1'!$E:$E,"СП",'Таблиця 1'!$L:$L,"Уражено"))</f>
        <v/>
      </c>
      <c r="K467">
        <f>IF($A467="","",COUNTIFS('Таблиця 1'!$B:$B,$A467,'Таблиця 1'!$E:$E,"КСП роти",'Таблиця 1'!$L:$L,"Уражено"))</f>
        <v/>
      </c>
      <c r="L467">
        <f>IF($A467="","",COUNTIFS('Таблиця 1'!$B:$B,$A467,'Таблиця 1'!$E:$E,"ПУ бат",'Таблиця 1'!$L:$L,"Уражено"))</f>
        <v/>
      </c>
      <c r="M467">
        <f>IF($A467="","",COUNTIFS('Таблиця 1'!$B:$B,$A467,'Таблиця 1'!$E:$E,"ПУ бриг",'Таблиця 1'!$L:$L,"Уражено"))</f>
        <v/>
      </c>
      <c r="N467">
        <f>IF($A467="","",COUNTIFS('Таблиця 1'!$B:$B,$A467,'Таблиця 1'!$E:$E,"ПУ див",'Таблиця 1'!$L:$L,"Уражено"))</f>
        <v/>
      </c>
      <c r="O467">
        <f>IF($A467="","",COUNTIFS('Таблиця 1'!$B:$B,$A467,'Таблиця 1'!$E:$E,"обл. РЕБ",'Таблиця 1'!$L:$L,"Уражено"))</f>
        <v/>
      </c>
      <c r="P467">
        <f>IF($A467="","",COUNTIFS('Таблиця 1'!$B:$B,$A467,'Таблиця 1'!$E:$E,"пос РЕБ",'Таблиця 1'!$L:$L,"Уражено"))</f>
        <v/>
      </c>
      <c r="Q467">
        <f>IF($A467="","",COUNTIFS('Таблиця 1'!$B:$B,$A467,'Таблиця 1'!$E:$E,"група РЕР",'Таблиця 1'!$L:$L,"Уражено"))</f>
        <v/>
      </c>
      <c r="R467">
        <f>IF($A467="","",COUNTIFS('Таблиця 1'!$B:$B,$A467,'Таблиця 1'!$E:$E,"РЛС КББ",'Таблиця 1'!$L:$L,"Уражено"))</f>
        <v/>
      </c>
      <c r="S467">
        <f>IF($A467="","",COUNTIFS('Таблиця 1'!$B:$B,$A467,'Таблиця 1'!$E:$E,"Ретранслятор",'Таблиця 1'!$L:$L,"Уражено"))</f>
        <v/>
      </c>
      <c r="T467">
        <f>IF($A467="","",COUNTIFS('Таблиця 1'!$B:$B,$A467,'Таблиця 1'!$E:$E,"Вз.зв'язку",'Таблиця 1'!$L:$L,"Уражено"))</f>
        <v/>
      </c>
      <c r="U467">
        <f>IF($A467="","",COUNTIFS('Таблиця 1'!$B:$B,$A467,'Таблиця 1'!$E:$E,"ПММ",'Таблиця 1'!$L:$L,"Уражено"))</f>
        <v/>
      </c>
      <c r="V467">
        <f>IF($A467="","",COUNTIFS('Таблиця 1'!$B:$B,$A467,'Таблиця 1'!$E:$E,"ІФС",'Таблиця 1'!$L:$L,"Уражено"))</f>
        <v/>
      </c>
      <c r="W467">
        <f>IF($A467="","",COUNTIFS('Таблиця 1'!$B:$B,$A467,'Таблиця 1'!$E:$E,"Інфраструктура",'Таблиця 1'!$L:$L,"Уражено"))</f>
        <v/>
      </c>
      <c r="X467">
        <f>IF($A467="","",SUMIFS('Таблиця 1'!$K:$K,'Таблиця 1'!$B:$B,$A467))</f>
        <v/>
      </c>
    </row>
    <row r="468">
      <c r="A468" s="81">
        <f>IF(A467="","",IF(A467+1&gt;MAX('Таблиця 1'!$B:$B),"",A467+1))</f>
        <v/>
      </c>
      <c r="B468">
        <f>IF($A468="","",COUNTIFS('Таблиця 1'!$B:$B,$A468,'Таблиця 1'!$E:$E,"ЖС ВЗ",'Таблиця 1'!$L:$L,"Уражено"))</f>
        <v/>
      </c>
      <c r="C468">
        <f>IF($A468="","",COUNTIFS('Таблиця 1'!$B:$B,$A468,'Таблиця 1'!$E:$E,"Арт. Системи",'Таблиця 1'!$L:$L,"Уражено"))</f>
        <v/>
      </c>
      <c r="D468">
        <f>IF($A468="","",COUNTIFS('Таблиця 1'!$B:$B,$A468,'Таблиця 1'!$E:$E,"ОВТ",'Таблиця 1'!$L:$L,"Уражено"))</f>
        <v/>
      </c>
      <c r="E468">
        <f>IF($A468="","",COUNTIFS('Таблиця 1'!$B:$B,$A468,'Таблиця 1'!$E:$E,"ППО",'Таблиця 1'!$L:$L,"Уражено"))</f>
        <v/>
      </c>
      <c r="F468">
        <f>IF($A468="","",COUNTIFS('Таблиця 1'!$B:$B,$A468,'Таблиця 1'!$E:$E,"Рембаза",'Таблиця 1'!$L:$L,"Уражено"))</f>
        <v/>
      </c>
      <c r="G468">
        <f>IF($A468="","",COUNTIFS('Таблиця 1'!$B:$B,$A468,'Таблиця 1'!$E:$E,"Склад БК",'Таблиця 1'!$L:$L,"Уражено"))</f>
        <v/>
      </c>
      <c r="H468">
        <f>IF($A468="","",COUNTIFS('Таблиця 1'!$B:$B,$A468,'Таблиця 1'!$E:$E,"Склад ВТМ",'Таблиця 1'!$L:$L,"Уражено"))</f>
        <v/>
      </c>
      <c r="I468">
        <f>IF($A468="","",COUNTIFS('Таблиця 1'!$B:$B,$A468,'Таблиця 1'!$E:$E,"ПУ БпЛА",'Таблиця 1'!$L:$L,"Уражено"))</f>
        <v/>
      </c>
      <c r="J468">
        <f>IF($A468="","",COUNTIFS('Таблиця 1'!$B:$B,$A468,'Таблиця 1'!$E:$E,"СП",'Таблиця 1'!$L:$L,"Уражено"))</f>
        <v/>
      </c>
      <c r="K468">
        <f>IF($A468="","",COUNTIFS('Таблиця 1'!$B:$B,$A468,'Таблиця 1'!$E:$E,"КСП роти",'Таблиця 1'!$L:$L,"Уражено"))</f>
        <v/>
      </c>
      <c r="L468">
        <f>IF($A468="","",COUNTIFS('Таблиця 1'!$B:$B,$A468,'Таблиця 1'!$E:$E,"ПУ бат",'Таблиця 1'!$L:$L,"Уражено"))</f>
        <v/>
      </c>
      <c r="M468">
        <f>IF($A468="","",COUNTIFS('Таблиця 1'!$B:$B,$A468,'Таблиця 1'!$E:$E,"ПУ бриг",'Таблиця 1'!$L:$L,"Уражено"))</f>
        <v/>
      </c>
      <c r="N468">
        <f>IF($A468="","",COUNTIFS('Таблиця 1'!$B:$B,$A468,'Таблиця 1'!$E:$E,"ПУ див",'Таблиця 1'!$L:$L,"Уражено"))</f>
        <v/>
      </c>
      <c r="O468">
        <f>IF($A468="","",COUNTIFS('Таблиця 1'!$B:$B,$A468,'Таблиця 1'!$E:$E,"обл. РЕБ",'Таблиця 1'!$L:$L,"Уражено"))</f>
        <v/>
      </c>
      <c r="P468">
        <f>IF($A468="","",COUNTIFS('Таблиця 1'!$B:$B,$A468,'Таблиця 1'!$E:$E,"пос РЕБ",'Таблиця 1'!$L:$L,"Уражено"))</f>
        <v/>
      </c>
      <c r="Q468">
        <f>IF($A468="","",COUNTIFS('Таблиця 1'!$B:$B,$A468,'Таблиця 1'!$E:$E,"група РЕР",'Таблиця 1'!$L:$L,"Уражено"))</f>
        <v/>
      </c>
      <c r="R468">
        <f>IF($A468="","",COUNTIFS('Таблиця 1'!$B:$B,$A468,'Таблиця 1'!$E:$E,"РЛС КББ",'Таблиця 1'!$L:$L,"Уражено"))</f>
        <v/>
      </c>
      <c r="S468">
        <f>IF($A468="","",COUNTIFS('Таблиця 1'!$B:$B,$A468,'Таблиця 1'!$E:$E,"Ретранслятор",'Таблиця 1'!$L:$L,"Уражено"))</f>
        <v/>
      </c>
      <c r="T468">
        <f>IF($A468="","",COUNTIFS('Таблиця 1'!$B:$B,$A468,'Таблиця 1'!$E:$E,"Вз.зв'язку",'Таблиця 1'!$L:$L,"Уражено"))</f>
        <v/>
      </c>
      <c r="U468">
        <f>IF($A468="","",COUNTIFS('Таблиця 1'!$B:$B,$A468,'Таблиця 1'!$E:$E,"ПММ",'Таблиця 1'!$L:$L,"Уражено"))</f>
        <v/>
      </c>
      <c r="V468">
        <f>IF($A468="","",COUNTIFS('Таблиця 1'!$B:$B,$A468,'Таблиця 1'!$E:$E,"ІФС",'Таблиця 1'!$L:$L,"Уражено"))</f>
        <v/>
      </c>
      <c r="W468">
        <f>IF($A468="","",COUNTIFS('Таблиця 1'!$B:$B,$A468,'Таблиця 1'!$E:$E,"Інфраструктура",'Таблиця 1'!$L:$L,"Уражено"))</f>
        <v/>
      </c>
      <c r="X468">
        <f>IF($A468="","",SUMIFS('Таблиця 1'!$K:$K,'Таблиця 1'!$B:$B,$A468))</f>
        <v/>
      </c>
    </row>
    <row r="469">
      <c r="A469" s="81">
        <f>IF(A468="","",IF(A468+1&gt;MAX('Таблиця 1'!$B:$B),"",A468+1))</f>
        <v/>
      </c>
      <c r="B469">
        <f>IF($A469="","",COUNTIFS('Таблиця 1'!$B:$B,$A469,'Таблиця 1'!$E:$E,"ЖС ВЗ",'Таблиця 1'!$L:$L,"Уражено"))</f>
        <v/>
      </c>
      <c r="C469">
        <f>IF($A469="","",COUNTIFS('Таблиця 1'!$B:$B,$A469,'Таблиця 1'!$E:$E,"Арт. Системи",'Таблиця 1'!$L:$L,"Уражено"))</f>
        <v/>
      </c>
      <c r="D469">
        <f>IF($A469="","",COUNTIFS('Таблиця 1'!$B:$B,$A469,'Таблиця 1'!$E:$E,"ОВТ",'Таблиця 1'!$L:$L,"Уражено"))</f>
        <v/>
      </c>
      <c r="E469">
        <f>IF($A469="","",COUNTIFS('Таблиця 1'!$B:$B,$A469,'Таблиця 1'!$E:$E,"ППО",'Таблиця 1'!$L:$L,"Уражено"))</f>
        <v/>
      </c>
      <c r="F469">
        <f>IF($A469="","",COUNTIFS('Таблиця 1'!$B:$B,$A469,'Таблиця 1'!$E:$E,"Рембаза",'Таблиця 1'!$L:$L,"Уражено"))</f>
        <v/>
      </c>
      <c r="G469">
        <f>IF($A469="","",COUNTIFS('Таблиця 1'!$B:$B,$A469,'Таблиця 1'!$E:$E,"Склад БК",'Таблиця 1'!$L:$L,"Уражено"))</f>
        <v/>
      </c>
      <c r="H469">
        <f>IF($A469="","",COUNTIFS('Таблиця 1'!$B:$B,$A469,'Таблиця 1'!$E:$E,"Склад ВТМ",'Таблиця 1'!$L:$L,"Уражено"))</f>
        <v/>
      </c>
      <c r="I469">
        <f>IF($A469="","",COUNTIFS('Таблиця 1'!$B:$B,$A469,'Таблиця 1'!$E:$E,"ПУ БпЛА",'Таблиця 1'!$L:$L,"Уражено"))</f>
        <v/>
      </c>
      <c r="J469">
        <f>IF($A469="","",COUNTIFS('Таблиця 1'!$B:$B,$A469,'Таблиця 1'!$E:$E,"СП",'Таблиця 1'!$L:$L,"Уражено"))</f>
        <v/>
      </c>
      <c r="K469">
        <f>IF($A469="","",COUNTIFS('Таблиця 1'!$B:$B,$A469,'Таблиця 1'!$E:$E,"КСП роти",'Таблиця 1'!$L:$L,"Уражено"))</f>
        <v/>
      </c>
      <c r="L469">
        <f>IF($A469="","",COUNTIFS('Таблиця 1'!$B:$B,$A469,'Таблиця 1'!$E:$E,"ПУ бат",'Таблиця 1'!$L:$L,"Уражено"))</f>
        <v/>
      </c>
      <c r="M469">
        <f>IF($A469="","",COUNTIFS('Таблиця 1'!$B:$B,$A469,'Таблиця 1'!$E:$E,"ПУ бриг",'Таблиця 1'!$L:$L,"Уражено"))</f>
        <v/>
      </c>
      <c r="N469">
        <f>IF($A469="","",COUNTIFS('Таблиця 1'!$B:$B,$A469,'Таблиця 1'!$E:$E,"ПУ див",'Таблиця 1'!$L:$L,"Уражено"))</f>
        <v/>
      </c>
      <c r="O469">
        <f>IF($A469="","",COUNTIFS('Таблиця 1'!$B:$B,$A469,'Таблиця 1'!$E:$E,"обл. РЕБ",'Таблиця 1'!$L:$L,"Уражено"))</f>
        <v/>
      </c>
      <c r="P469">
        <f>IF($A469="","",COUNTIFS('Таблиця 1'!$B:$B,$A469,'Таблиця 1'!$E:$E,"пос РЕБ",'Таблиця 1'!$L:$L,"Уражено"))</f>
        <v/>
      </c>
      <c r="Q469">
        <f>IF($A469="","",COUNTIFS('Таблиця 1'!$B:$B,$A469,'Таблиця 1'!$E:$E,"група РЕР",'Таблиця 1'!$L:$L,"Уражено"))</f>
        <v/>
      </c>
      <c r="R469">
        <f>IF($A469="","",COUNTIFS('Таблиця 1'!$B:$B,$A469,'Таблиця 1'!$E:$E,"РЛС КББ",'Таблиця 1'!$L:$L,"Уражено"))</f>
        <v/>
      </c>
      <c r="S469">
        <f>IF($A469="","",COUNTIFS('Таблиця 1'!$B:$B,$A469,'Таблиця 1'!$E:$E,"Ретранслятор",'Таблиця 1'!$L:$L,"Уражено"))</f>
        <v/>
      </c>
      <c r="T469">
        <f>IF($A469="","",COUNTIFS('Таблиця 1'!$B:$B,$A469,'Таблиця 1'!$E:$E,"Вз.зв'язку",'Таблиця 1'!$L:$L,"Уражено"))</f>
        <v/>
      </c>
      <c r="U469">
        <f>IF($A469="","",COUNTIFS('Таблиця 1'!$B:$B,$A469,'Таблиця 1'!$E:$E,"ПММ",'Таблиця 1'!$L:$L,"Уражено"))</f>
        <v/>
      </c>
      <c r="V469">
        <f>IF($A469="","",COUNTIFS('Таблиця 1'!$B:$B,$A469,'Таблиця 1'!$E:$E,"ІФС",'Таблиця 1'!$L:$L,"Уражено"))</f>
        <v/>
      </c>
      <c r="W469">
        <f>IF($A469="","",COUNTIFS('Таблиця 1'!$B:$B,$A469,'Таблиця 1'!$E:$E,"Інфраструктура",'Таблиця 1'!$L:$L,"Уражено"))</f>
        <v/>
      </c>
      <c r="X469">
        <f>IF($A469="","",SUMIFS('Таблиця 1'!$K:$K,'Таблиця 1'!$B:$B,$A469))</f>
        <v/>
      </c>
    </row>
    <row r="470">
      <c r="A470" s="81">
        <f>IF(A469="","",IF(A469+1&gt;MAX('Таблиця 1'!$B:$B),"",A469+1))</f>
        <v/>
      </c>
      <c r="B470">
        <f>IF($A470="","",COUNTIFS('Таблиця 1'!$B:$B,$A470,'Таблиця 1'!$E:$E,"ЖС ВЗ",'Таблиця 1'!$L:$L,"Уражено"))</f>
        <v/>
      </c>
      <c r="C470">
        <f>IF($A470="","",COUNTIFS('Таблиця 1'!$B:$B,$A470,'Таблиця 1'!$E:$E,"Арт. Системи",'Таблиця 1'!$L:$L,"Уражено"))</f>
        <v/>
      </c>
      <c r="D470">
        <f>IF($A470="","",COUNTIFS('Таблиця 1'!$B:$B,$A470,'Таблиця 1'!$E:$E,"ОВТ",'Таблиця 1'!$L:$L,"Уражено"))</f>
        <v/>
      </c>
      <c r="E470">
        <f>IF($A470="","",COUNTIFS('Таблиця 1'!$B:$B,$A470,'Таблиця 1'!$E:$E,"ППО",'Таблиця 1'!$L:$L,"Уражено"))</f>
        <v/>
      </c>
      <c r="F470">
        <f>IF($A470="","",COUNTIFS('Таблиця 1'!$B:$B,$A470,'Таблиця 1'!$E:$E,"Рембаза",'Таблиця 1'!$L:$L,"Уражено"))</f>
        <v/>
      </c>
      <c r="G470">
        <f>IF($A470="","",COUNTIFS('Таблиця 1'!$B:$B,$A470,'Таблиця 1'!$E:$E,"Склад БК",'Таблиця 1'!$L:$L,"Уражено"))</f>
        <v/>
      </c>
      <c r="H470">
        <f>IF($A470="","",COUNTIFS('Таблиця 1'!$B:$B,$A470,'Таблиця 1'!$E:$E,"Склад ВТМ",'Таблиця 1'!$L:$L,"Уражено"))</f>
        <v/>
      </c>
      <c r="I470">
        <f>IF($A470="","",COUNTIFS('Таблиця 1'!$B:$B,$A470,'Таблиця 1'!$E:$E,"ПУ БпЛА",'Таблиця 1'!$L:$L,"Уражено"))</f>
        <v/>
      </c>
      <c r="J470">
        <f>IF($A470="","",COUNTIFS('Таблиця 1'!$B:$B,$A470,'Таблиця 1'!$E:$E,"СП",'Таблиця 1'!$L:$L,"Уражено"))</f>
        <v/>
      </c>
      <c r="K470">
        <f>IF($A470="","",COUNTIFS('Таблиця 1'!$B:$B,$A470,'Таблиця 1'!$E:$E,"КСП роти",'Таблиця 1'!$L:$L,"Уражено"))</f>
        <v/>
      </c>
      <c r="L470">
        <f>IF($A470="","",COUNTIFS('Таблиця 1'!$B:$B,$A470,'Таблиця 1'!$E:$E,"ПУ бат",'Таблиця 1'!$L:$L,"Уражено"))</f>
        <v/>
      </c>
      <c r="M470">
        <f>IF($A470="","",COUNTIFS('Таблиця 1'!$B:$B,$A470,'Таблиця 1'!$E:$E,"ПУ бриг",'Таблиця 1'!$L:$L,"Уражено"))</f>
        <v/>
      </c>
      <c r="N470">
        <f>IF($A470="","",COUNTIFS('Таблиця 1'!$B:$B,$A470,'Таблиця 1'!$E:$E,"ПУ див",'Таблиця 1'!$L:$L,"Уражено"))</f>
        <v/>
      </c>
      <c r="O470">
        <f>IF($A470="","",COUNTIFS('Таблиця 1'!$B:$B,$A470,'Таблиця 1'!$E:$E,"обл. РЕБ",'Таблиця 1'!$L:$L,"Уражено"))</f>
        <v/>
      </c>
      <c r="P470">
        <f>IF($A470="","",COUNTIFS('Таблиця 1'!$B:$B,$A470,'Таблиця 1'!$E:$E,"пос РЕБ",'Таблиця 1'!$L:$L,"Уражено"))</f>
        <v/>
      </c>
      <c r="Q470">
        <f>IF($A470="","",COUNTIFS('Таблиця 1'!$B:$B,$A470,'Таблиця 1'!$E:$E,"група РЕР",'Таблиця 1'!$L:$L,"Уражено"))</f>
        <v/>
      </c>
      <c r="R470">
        <f>IF($A470="","",COUNTIFS('Таблиця 1'!$B:$B,$A470,'Таблиця 1'!$E:$E,"РЛС КББ",'Таблиця 1'!$L:$L,"Уражено"))</f>
        <v/>
      </c>
      <c r="S470">
        <f>IF($A470="","",COUNTIFS('Таблиця 1'!$B:$B,$A470,'Таблиця 1'!$E:$E,"Ретранслятор",'Таблиця 1'!$L:$L,"Уражено"))</f>
        <v/>
      </c>
      <c r="T470">
        <f>IF($A470="","",COUNTIFS('Таблиця 1'!$B:$B,$A470,'Таблиця 1'!$E:$E,"Вз.зв'язку",'Таблиця 1'!$L:$L,"Уражено"))</f>
        <v/>
      </c>
      <c r="U470">
        <f>IF($A470="","",COUNTIFS('Таблиця 1'!$B:$B,$A470,'Таблиця 1'!$E:$E,"ПММ",'Таблиця 1'!$L:$L,"Уражено"))</f>
        <v/>
      </c>
      <c r="V470">
        <f>IF($A470="","",COUNTIFS('Таблиця 1'!$B:$B,$A470,'Таблиця 1'!$E:$E,"ІФС",'Таблиця 1'!$L:$L,"Уражено"))</f>
        <v/>
      </c>
      <c r="W470">
        <f>IF($A470="","",COUNTIFS('Таблиця 1'!$B:$B,$A470,'Таблиця 1'!$E:$E,"Інфраструктура",'Таблиця 1'!$L:$L,"Уражено"))</f>
        <v/>
      </c>
      <c r="X470">
        <f>IF($A470="","",SUMIFS('Таблиця 1'!$K:$K,'Таблиця 1'!$B:$B,$A470))</f>
        <v/>
      </c>
    </row>
    <row r="471">
      <c r="A471" s="81">
        <f>IF(A470="","",IF(A470+1&gt;MAX('Таблиця 1'!$B:$B),"",A470+1))</f>
        <v/>
      </c>
      <c r="B471">
        <f>IF($A471="","",COUNTIFS('Таблиця 1'!$B:$B,$A471,'Таблиця 1'!$E:$E,"ЖС ВЗ",'Таблиця 1'!$L:$L,"Уражено"))</f>
        <v/>
      </c>
      <c r="C471">
        <f>IF($A471="","",COUNTIFS('Таблиця 1'!$B:$B,$A471,'Таблиця 1'!$E:$E,"Арт. Системи",'Таблиця 1'!$L:$L,"Уражено"))</f>
        <v/>
      </c>
      <c r="D471">
        <f>IF($A471="","",COUNTIFS('Таблиця 1'!$B:$B,$A471,'Таблиця 1'!$E:$E,"ОВТ",'Таблиця 1'!$L:$L,"Уражено"))</f>
        <v/>
      </c>
      <c r="E471">
        <f>IF($A471="","",COUNTIFS('Таблиця 1'!$B:$B,$A471,'Таблиця 1'!$E:$E,"ППО",'Таблиця 1'!$L:$L,"Уражено"))</f>
        <v/>
      </c>
      <c r="F471">
        <f>IF($A471="","",COUNTIFS('Таблиця 1'!$B:$B,$A471,'Таблиця 1'!$E:$E,"Рембаза",'Таблиця 1'!$L:$L,"Уражено"))</f>
        <v/>
      </c>
      <c r="G471">
        <f>IF($A471="","",COUNTIFS('Таблиця 1'!$B:$B,$A471,'Таблиця 1'!$E:$E,"Склад БК",'Таблиця 1'!$L:$L,"Уражено"))</f>
        <v/>
      </c>
      <c r="H471">
        <f>IF($A471="","",COUNTIFS('Таблиця 1'!$B:$B,$A471,'Таблиця 1'!$E:$E,"Склад ВТМ",'Таблиця 1'!$L:$L,"Уражено"))</f>
        <v/>
      </c>
      <c r="I471">
        <f>IF($A471="","",COUNTIFS('Таблиця 1'!$B:$B,$A471,'Таблиця 1'!$E:$E,"ПУ БпЛА",'Таблиця 1'!$L:$L,"Уражено"))</f>
        <v/>
      </c>
      <c r="J471">
        <f>IF($A471="","",COUNTIFS('Таблиця 1'!$B:$B,$A471,'Таблиця 1'!$E:$E,"СП",'Таблиця 1'!$L:$L,"Уражено"))</f>
        <v/>
      </c>
      <c r="K471">
        <f>IF($A471="","",COUNTIFS('Таблиця 1'!$B:$B,$A471,'Таблиця 1'!$E:$E,"КСП роти",'Таблиця 1'!$L:$L,"Уражено"))</f>
        <v/>
      </c>
      <c r="L471">
        <f>IF($A471="","",COUNTIFS('Таблиця 1'!$B:$B,$A471,'Таблиця 1'!$E:$E,"ПУ бат",'Таблиця 1'!$L:$L,"Уражено"))</f>
        <v/>
      </c>
      <c r="M471">
        <f>IF($A471="","",COUNTIFS('Таблиця 1'!$B:$B,$A471,'Таблиця 1'!$E:$E,"ПУ бриг",'Таблиця 1'!$L:$L,"Уражено"))</f>
        <v/>
      </c>
      <c r="N471">
        <f>IF($A471="","",COUNTIFS('Таблиця 1'!$B:$B,$A471,'Таблиця 1'!$E:$E,"ПУ див",'Таблиця 1'!$L:$L,"Уражено"))</f>
        <v/>
      </c>
      <c r="O471">
        <f>IF($A471="","",COUNTIFS('Таблиця 1'!$B:$B,$A471,'Таблиця 1'!$E:$E,"обл. РЕБ",'Таблиця 1'!$L:$L,"Уражено"))</f>
        <v/>
      </c>
      <c r="P471">
        <f>IF($A471="","",COUNTIFS('Таблиця 1'!$B:$B,$A471,'Таблиця 1'!$E:$E,"пос РЕБ",'Таблиця 1'!$L:$L,"Уражено"))</f>
        <v/>
      </c>
      <c r="Q471">
        <f>IF($A471="","",COUNTIFS('Таблиця 1'!$B:$B,$A471,'Таблиця 1'!$E:$E,"група РЕР",'Таблиця 1'!$L:$L,"Уражено"))</f>
        <v/>
      </c>
      <c r="R471">
        <f>IF($A471="","",COUNTIFS('Таблиця 1'!$B:$B,$A471,'Таблиця 1'!$E:$E,"РЛС КББ",'Таблиця 1'!$L:$L,"Уражено"))</f>
        <v/>
      </c>
      <c r="S471">
        <f>IF($A471="","",COUNTIFS('Таблиця 1'!$B:$B,$A471,'Таблиця 1'!$E:$E,"Ретранслятор",'Таблиця 1'!$L:$L,"Уражено"))</f>
        <v/>
      </c>
      <c r="T471">
        <f>IF($A471="","",COUNTIFS('Таблиця 1'!$B:$B,$A471,'Таблиця 1'!$E:$E,"Вз.зв'язку",'Таблиця 1'!$L:$L,"Уражено"))</f>
        <v/>
      </c>
      <c r="U471">
        <f>IF($A471="","",COUNTIFS('Таблиця 1'!$B:$B,$A471,'Таблиця 1'!$E:$E,"ПММ",'Таблиця 1'!$L:$L,"Уражено"))</f>
        <v/>
      </c>
      <c r="V471">
        <f>IF($A471="","",COUNTIFS('Таблиця 1'!$B:$B,$A471,'Таблиця 1'!$E:$E,"ІФС",'Таблиця 1'!$L:$L,"Уражено"))</f>
        <v/>
      </c>
      <c r="W471">
        <f>IF($A471="","",COUNTIFS('Таблиця 1'!$B:$B,$A471,'Таблиця 1'!$E:$E,"Інфраструктура",'Таблиця 1'!$L:$L,"Уражено"))</f>
        <v/>
      </c>
      <c r="X471">
        <f>IF($A471="","",SUMIFS('Таблиця 1'!$K:$K,'Таблиця 1'!$B:$B,$A471))</f>
        <v/>
      </c>
    </row>
    <row r="472">
      <c r="A472" s="81">
        <f>IF(A471="","",IF(A471+1&gt;MAX('Таблиця 1'!$B:$B),"",A471+1))</f>
        <v/>
      </c>
      <c r="B472">
        <f>IF($A472="","",COUNTIFS('Таблиця 1'!$B:$B,$A472,'Таблиця 1'!$E:$E,"ЖС ВЗ",'Таблиця 1'!$L:$L,"Уражено"))</f>
        <v/>
      </c>
      <c r="C472">
        <f>IF($A472="","",COUNTIFS('Таблиця 1'!$B:$B,$A472,'Таблиця 1'!$E:$E,"Арт. Системи",'Таблиця 1'!$L:$L,"Уражено"))</f>
        <v/>
      </c>
      <c r="D472">
        <f>IF($A472="","",COUNTIFS('Таблиця 1'!$B:$B,$A472,'Таблиця 1'!$E:$E,"ОВТ",'Таблиця 1'!$L:$L,"Уражено"))</f>
        <v/>
      </c>
      <c r="E472">
        <f>IF($A472="","",COUNTIFS('Таблиця 1'!$B:$B,$A472,'Таблиця 1'!$E:$E,"ППО",'Таблиця 1'!$L:$L,"Уражено"))</f>
        <v/>
      </c>
      <c r="F472">
        <f>IF($A472="","",COUNTIFS('Таблиця 1'!$B:$B,$A472,'Таблиця 1'!$E:$E,"Рембаза",'Таблиця 1'!$L:$L,"Уражено"))</f>
        <v/>
      </c>
      <c r="G472">
        <f>IF($A472="","",COUNTIFS('Таблиця 1'!$B:$B,$A472,'Таблиця 1'!$E:$E,"Склад БК",'Таблиця 1'!$L:$L,"Уражено"))</f>
        <v/>
      </c>
      <c r="H472">
        <f>IF($A472="","",COUNTIFS('Таблиця 1'!$B:$B,$A472,'Таблиця 1'!$E:$E,"Склад ВТМ",'Таблиця 1'!$L:$L,"Уражено"))</f>
        <v/>
      </c>
      <c r="I472">
        <f>IF($A472="","",COUNTIFS('Таблиця 1'!$B:$B,$A472,'Таблиця 1'!$E:$E,"ПУ БпЛА",'Таблиця 1'!$L:$L,"Уражено"))</f>
        <v/>
      </c>
      <c r="J472">
        <f>IF($A472="","",COUNTIFS('Таблиця 1'!$B:$B,$A472,'Таблиця 1'!$E:$E,"СП",'Таблиця 1'!$L:$L,"Уражено"))</f>
        <v/>
      </c>
      <c r="K472">
        <f>IF($A472="","",COUNTIFS('Таблиця 1'!$B:$B,$A472,'Таблиця 1'!$E:$E,"КСП роти",'Таблиця 1'!$L:$L,"Уражено"))</f>
        <v/>
      </c>
      <c r="L472">
        <f>IF($A472="","",COUNTIFS('Таблиця 1'!$B:$B,$A472,'Таблиця 1'!$E:$E,"ПУ бат",'Таблиця 1'!$L:$L,"Уражено"))</f>
        <v/>
      </c>
      <c r="M472">
        <f>IF($A472="","",COUNTIFS('Таблиця 1'!$B:$B,$A472,'Таблиця 1'!$E:$E,"ПУ бриг",'Таблиця 1'!$L:$L,"Уражено"))</f>
        <v/>
      </c>
      <c r="N472">
        <f>IF($A472="","",COUNTIFS('Таблиця 1'!$B:$B,$A472,'Таблиця 1'!$E:$E,"ПУ див",'Таблиця 1'!$L:$L,"Уражено"))</f>
        <v/>
      </c>
      <c r="O472">
        <f>IF($A472="","",COUNTIFS('Таблиця 1'!$B:$B,$A472,'Таблиця 1'!$E:$E,"обл. РЕБ",'Таблиця 1'!$L:$L,"Уражено"))</f>
        <v/>
      </c>
      <c r="P472">
        <f>IF($A472="","",COUNTIFS('Таблиця 1'!$B:$B,$A472,'Таблиця 1'!$E:$E,"пос РЕБ",'Таблиця 1'!$L:$L,"Уражено"))</f>
        <v/>
      </c>
      <c r="Q472">
        <f>IF($A472="","",COUNTIFS('Таблиця 1'!$B:$B,$A472,'Таблиця 1'!$E:$E,"група РЕР",'Таблиця 1'!$L:$L,"Уражено"))</f>
        <v/>
      </c>
      <c r="R472">
        <f>IF($A472="","",COUNTIFS('Таблиця 1'!$B:$B,$A472,'Таблиця 1'!$E:$E,"РЛС КББ",'Таблиця 1'!$L:$L,"Уражено"))</f>
        <v/>
      </c>
      <c r="S472">
        <f>IF($A472="","",COUNTIFS('Таблиця 1'!$B:$B,$A472,'Таблиця 1'!$E:$E,"Ретранслятор",'Таблиця 1'!$L:$L,"Уражено"))</f>
        <v/>
      </c>
      <c r="T472">
        <f>IF($A472="","",COUNTIFS('Таблиця 1'!$B:$B,$A472,'Таблиця 1'!$E:$E,"Вз.зв'язку",'Таблиця 1'!$L:$L,"Уражено"))</f>
        <v/>
      </c>
      <c r="U472">
        <f>IF($A472="","",COUNTIFS('Таблиця 1'!$B:$B,$A472,'Таблиця 1'!$E:$E,"ПММ",'Таблиця 1'!$L:$L,"Уражено"))</f>
        <v/>
      </c>
      <c r="V472">
        <f>IF($A472="","",COUNTIFS('Таблиця 1'!$B:$B,$A472,'Таблиця 1'!$E:$E,"ІФС",'Таблиця 1'!$L:$L,"Уражено"))</f>
        <v/>
      </c>
      <c r="W472">
        <f>IF($A472="","",COUNTIFS('Таблиця 1'!$B:$B,$A472,'Таблиця 1'!$E:$E,"Інфраструктура",'Таблиця 1'!$L:$L,"Уражено"))</f>
        <v/>
      </c>
      <c r="X472">
        <f>IF($A472="","",SUMIFS('Таблиця 1'!$K:$K,'Таблиця 1'!$B:$B,$A472))</f>
        <v/>
      </c>
    </row>
    <row r="473">
      <c r="A473" s="81">
        <f>IF(A472="","",IF(A472+1&gt;MAX('Таблиця 1'!$B:$B),"",A472+1))</f>
        <v/>
      </c>
      <c r="B473">
        <f>IF($A473="","",COUNTIFS('Таблиця 1'!$B:$B,$A473,'Таблиця 1'!$E:$E,"ЖС ВЗ",'Таблиця 1'!$L:$L,"Уражено"))</f>
        <v/>
      </c>
      <c r="C473">
        <f>IF($A473="","",COUNTIFS('Таблиця 1'!$B:$B,$A473,'Таблиця 1'!$E:$E,"Арт. Системи",'Таблиця 1'!$L:$L,"Уражено"))</f>
        <v/>
      </c>
      <c r="D473">
        <f>IF($A473="","",COUNTIFS('Таблиця 1'!$B:$B,$A473,'Таблиця 1'!$E:$E,"ОВТ",'Таблиця 1'!$L:$L,"Уражено"))</f>
        <v/>
      </c>
      <c r="E473">
        <f>IF($A473="","",COUNTIFS('Таблиця 1'!$B:$B,$A473,'Таблиця 1'!$E:$E,"ППО",'Таблиця 1'!$L:$L,"Уражено"))</f>
        <v/>
      </c>
      <c r="F473">
        <f>IF($A473="","",COUNTIFS('Таблиця 1'!$B:$B,$A473,'Таблиця 1'!$E:$E,"Рембаза",'Таблиця 1'!$L:$L,"Уражено"))</f>
        <v/>
      </c>
      <c r="G473">
        <f>IF($A473="","",COUNTIFS('Таблиця 1'!$B:$B,$A473,'Таблиця 1'!$E:$E,"Склад БК",'Таблиця 1'!$L:$L,"Уражено"))</f>
        <v/>
      </c>
      <c r="H473">
        <f>IF($A473="","",COUNTIFS('Таблиця 1'!$B:$B,$A473,'Таблиця 1'!$E:$E,"Склад ВТМ",'Таблиця 1'!$L:$L,"Уражено"))</f>
        <v/>
      </c>
      <c r="I473">
        <f>IF($A473="","",COUNTIFS('Таблиця 1'!$B:$B,$A473,'Таблиця 1'!$E:$E,"ПУ БпЛА",'Таблиця 1'!$L:$L,"Уражено"))</f>
        <v/>
      </c>
      <c r="J473">
        <f>IF($A473="","",COUNTIFS('Таблиця 1'!$B:$B,$A473,'Таблиця 1'!$E:$E,"СП",'Таблиця 1'!$L:$L,"Уражено"))</f>
        <v/>
      </c>
      <c r="K473">
        <f>IF($A473="","",COUNTIFS('Таблиця 1'!$B:$B,$A473,'Таблиця 1'!$E:$E,"КСП роти",'Таблиця 1'!$L:$L,"Уражено"))</f>
        <v/>
      </c>
      <c r="L473">
        <f>IF($A473="","",COUNTIFS('Таблиця 1'!$B:$B,$A473,'Таблиця 1'!$E:$E,"ПУ бат",'Таблиця 1'!$L:$L,"Уражено"))</f>
        <v/>
      </c>
      <c r="M473">
        <f>IF($A473="","",COUNTIFS('Таблиця 1'!$B:$B,$A473,'Таблиця 1'!$E:$E,"ПУ бриг",'Таблиця 1'!$L:$L,"Уражено"))</f>
        <v/>
      </c>
      <c r="N473">
        <f>IF($A473="","",COUNTIFS('Таблиця 1'!$B:$B,$A473,'Таблиця 1'!$E:$E,"ПУ див",'Таблиця 1'!$L:$L,"Уражено"))</f>
        <v/>
      </c>
      <c r="O473">
        <f>IF($A473="","",COUNTIFS('Таблиця 1'!$B:$B,$A473,'Таблиця 1'!$E:$E,"обл. РЕБ",'Таблиця 1'!$L:$L,"Уражено"))</f>
        <v/>
      </c>
      <c r="P473">
        <f>IF($A473="","",COUNTIFS('Таблиця 1'!$B:$B,$A473,'Таблиця 1'!$E:$E,"пос РЕБ",'Таблиця 1'!$L:$L,"Уражено"))</f>
        <v/>
      </c>
      <c r="Q473">
        <f>IF($A473="","",COUNTIFS('Таблиця 1'!$B:$B,$A473,'Таблиця 1'!$E:$E,"група РЕР",'Таблиця 1'!$L:$L,"Уражено"))</f>
        <v/>
      </c>
      <c r="R473">
        <f>IF($A473="","",COUNTIFS('Таблиця 1'!$B:$B,$A473,'Таблиця 1'!$E:$E,"РЛС КББ",'Таблиця 1'!$L:$L,"Уражено"))</f>
        <v/>
      </c>
      <c r="S473">
        <f>IF($A473="","",COUNTIFS('Таблиця 1'!$B:$B,$A473,'Таблиця 1'!$E:$E,"Ретранслятор",'Таблиця 1'!$L:$L,"Уражено"))</f>
        <v/>
      </c>
      <c r="T473">
        <f>IF($A473="","",COUNTIFS('Таблиця 1'!$B:$B,$A473,'Таблиця 1'!$E:$E,"Вз.зв'язку",'Таблиця 1'!$L:$L,"Уражено"))</f>
        <v/>
      </c>
      <c r="U473">
        <f>IF($A473="","",COUNTIFS('Таблиця 1'!$B:$B,$A473,'Таблиця 1'!$E:$E,"ПММ",'Таблиця 1'!$L:$L,"Уражено"))</f>
        <v/>
      </c>
      <c r="V473">
        <f>IF($A473="","",COUNTIFS('Таблиця 1'!$B:$B,$A473,'Таблиця 1'!$E:$E,"ІФС",'Таблиця 1'!$L:$L,"Уражено"))</f>
        <v/>
      </c>
      <c r="W473">
        <f>IF($A473="","",COUNTIFS('Таблиця 1'!$B:$B,$A473,'Таблиця 1'!$E:$E,"Інфраструктура",'Таблиця 1'!$L:$L,"Уражено"))</f>
        <v/>
      </c>
      <c r="X473">
        <f>IF($A473="","",SUMIFS('Таблиця 1'!$K:$K,'Таблиця 1'!$B:$B,$A473))</f>
        <v/>
      </c>
    </row>
    <row r="474">
      <c r="A474" s="81">
        <f>IF(A473="","",IF(A473+1&gt;MAX('Таблиця 1'!$B:$B),"",A473+1))</f>
        <v/>
      </c>
      <c r="B474">
        <f>IF($A474="","",COUNTIFS('Таблиця 1'!$B:$B,$A474,'Таблиця 1'!$E:$E,"ЖС ВЗ",'Таблиця 1'!$L:$L,"Уражено"))</f>
        <v/>
      </c>
      <c r="C474">
        <f>IF($A474="","",COUNTIFS('Таблиця 1'!$B:$B,$A474,'Таблиця 1'!$E:$E,"Арт. Системи",'Таблиця 1'!$L:$L,"Уражено"))</f>
        <v/>
      </c>
      <c r="D474">
        <f>IF($A474="","",COUNTIFS('Таблиця 1'!$B:$B,$A474,'Таблиця 1'!$E:$E,"ОВТ",'Таблиця 1'!$L:$L,"Уражено"))</f>
        <v/>
      </c>
      <c r="E474">
        <f>IF($A474="","",COUNTIFS('Таблиця 1'!$B:$B,$A474,'Таблиця 1'!$E:$E,"ППО",'Таблиця 1'!$L:$L,"Уражено"))</f>
        <v/>
      </c>
      <c r="F474">
        <f>IF($A474="","",COUNTIFS('Таблиця 1'!$B:$B,$A474,'Таблиця 1'!$E:$E,"Рембаза",'Таблиця 1'!$L:$L,"Уражено"))</f>
        <v/>
      </c>
      <c r="G474">
        <f>IF($A474="","",COUNTIFS('Таблиця 1'!$B:$B,$A474,'Таблиця 1'!$E:$E,"Склад БК",'Таблиця 1'!$L:$L,"Уражено"))</f>
        <v/>
      </c>
      <c r="H474">
        <f>IF($A474="","",COUNTIFS('Таблиця 1'!$B:$B,$A474,'Таблиця 1'!$E:$E,"Склад ВТМ",'Таблиця 1'!$L:$L,"Уражено"))</f>
        <v/>
      </c>
      <c r="I474">
        <f>IF($A474="","",COUNTIFS('Таблиця 1'!$B:$B,$A474,'Таблиця 1'!$E:$E,"ПУ БпЛА",'Таблиця 1'!$L:$L,"Уражено"))</f>
        <v/>
      </c>
      <c r="J474">
        <f>IF($A474="","",COUNTIFS('Таблиця 1'!$B:$B,$A474,'Таблиця 1'!$E:$E,"СП",'Таблиця 1'!$L:$L,"Уражено"))</f>
        <v/>
      </c>
      <c r="K474">
        <f>IF($A474="","",COUNTIFS('Таблиця 1'!$B:$B,$A474,'Таблиця 1'!$E:$E,"КСП роти",'Таблиця 1'!$L:$L,"Уражено"))</f>
        <v/>
      </c>
      <c r="L474">
        <f>IF($A474="","",COUNTIFS('Таблиця 1'!$B:$B,$A474,'Таблиця 1'!$E:$E,"ПУ бат",'Таблиця 1'!$L:$L,"Уражено"))</f>
        <v/>
      </c>
      <c r="M474">
        <f>IF($A474="","",COUNTIFS('Таблиця 1'!$B:$B,$A474,'Таблиця 1'!$E:$E,"ПУ бриг",'Таблиця 1'!$L:$L,"Уражено"))</f>
        <v/>
      </c>
      <c r="N474">
        <f>IF($A474="","",COUNTIFS('Таблиця 1'!$B:$B,$A474,'Таблиця 1'!$E:$E,"ПУ див",'Таблиця 1'!$L:$L,"Уражено"))</f>
        <v/>
      </c>
      <c r="O474">
        <f>IF($A474="","",COUNTIFS('Таблиця 1'!$B:$B,$A474,'Таблиця 1'!$E:$E,"обл. РЕБ",'Таблиця 1'!$L:$L,"Уражено"))</f>
        <v/>
      </c>
      <c r="P474">
        <f>IF($A474="","",COUNTIFS('Таблиця 1'!$B:$B,$A474,'Таблиця 1'!$E:$E,"пос РЕБ",'Таблиця 1'!$L:$L,"Уражено"))</f>
        <v/>
      </c>
      <c r="Q474">
        <f>IF($A474="","",COUNTIFS('Таблиця 1'!$B:$B,$A474,'Таблиця 1'!$E:$E,"група РЕР",'Таблиця 1'!$L:$L,"Уражено"))</f>
        <v/>
      </c>
      <c r="R474">
        <f>IF($A474="","",COUNTIFS('Таблиця 1'!$B:$B,$A474,'Таблиця 1'!$E:$E,"РЛС КББ",'Таблиця 1'!$L:$L,"Уражено"))</f>
        <v/>
      </c>
      <c r="S474">
        <f>IF($A474="","",COUNTIFS('Таблиця 1'!$B:$B,$A474,'Таблиця 1'!$E:$E,"Ретранслятор",'Таблиця 1'!$L:$L,"Уражено"))</f>
        <v/>
      </c>
      <c r="T474">
        <f>IF($A474="","",COUNTIFS('Таблиця 1'!$B:$B,$A474,'Таблиця 1'!$E:$E,"Вз.зв'язку",'Таблиця 1'!$L:$L,"Уражено"))</f>
        <v/>
      </c>
      <c r="U474">
        <f>IF($A474="","",COUNTIFS('Таблиця 1'!$B:$B,$A474,'Таблиця 1'!$E:$E,"ПММ",'Таблиця 1'!$L:$L,"Уражено"))</f>
        <v/>
      </c>
      <c r="V474">
        <f>IF($A474="","",COUNTIFS('Таблиця 1'!$B:$B,$A474,'Таблиця 1'!$E:$E,"ІФС",'Таблиця 1'!$L:$L,"Уражено"))</f>
        <v/>
      </c>
      <c r="W474">
        <f>IF($A474="","",COUNTIFS('Таблиця 1'!$B:$B,$A474,'Таблиця 1'!$E:$E,"Інфраструктура",'Таблиця 1'!$L:$L,"Уражено"))</f>
        <v/>
      </c>
      <c r="X474">
        <f>IF($A474="","",SUMIFS('Таблиця 1'!$K:$K,'Таблиця 1'!$B:$B,$A474))</f>
        <v/>
      </c>
    </row>
    <row r="475">
      <c r="A475" s="81">
        <f>IF(A474="","",IF(A474+1&gt;MAX('Таблиця 1'!$B:$B),"",A474+1))</f>
        <v/>
      </c>
      <c r="B475">
        <f>IF($A475="","",COUNTIFS('Таблиця 1'!$B:$B,$A475,'Таблиця 1'!$E:$E,"ЖС ВЗ",'Таблиця 1'!$L:$L,"Уражено"))</f>
        <v/>
      </c>
      <c r="C475">
        <f>IF($A475="","",COUNTIFS('Таблиця 1'!$B:$B,$A475,'Таблиця 1'!$E:$E,"Арт. Системи",'Таблиця 1'!$L:$L,"Уражено"))</f>
        <v/>
      </c>
      <c r="D475">
        <f>IF($A475="","",COUNTIFS('Таблиця 1'!$B:$B,$A475,'Таблиця 1'!$E:$E,"ОВТ",'Таблиця 1'!$L:$L,"Уражено"))</f>
        <v/>
      </c>
      <c r="E475">
        <f>IF($A475="","",COUNTIFS('Таблиця 1'!$B:$B,$A475,'Таблиця 1'!$E:$E,"ППО",'Таблиця 1'!$L:$L,"Уражено"))</f>
        <v/>
      </c>
      <c r="F475">
        <f>IF($A475="","",COUNTIFS('Таблиця 1'!$B:$B,$A475,'Таблиця 1'!$E:$E,"Рембаза",'Таблиця 1'!$L:$L,"Уражено"))</f>
        <v/>
      </c>
      <c r="G475">
        <f>IF($A475="","",COUNTIFS('Таблиця 1'!$B:$B,$A475,'Таблиця 1'!$E:$E,"Склад БК",'Таблиця 1'!$L:$L,"Уражено"))</f>
        <v/>
      </c>
      <c r="H475">
        <f>IF($A475="","",COUNTIFS('Таблиця 1'!$B:$B,$A475,'Таблиця 1'!$E:$E,"Склад ВТМ",'Таблиця 1'!$L:$L,"Уражено"))</f>
        <v/>
      </c>
      <c r="I475">
        <f>IF($A475="","",COUNTIFS('Таблиця 1'!$B:$B,$A475,'Таблиця 1'!$E:$E,"ПУ БпЛА",'Таблиця 1'!$L:$L,"Уражено"))</f>
        <v/>
      </c>
      <c r="J475">
        <f>IF($A475="","",COUNTIFS('Таблиця 1'!$B:$B,$A475,'Таблиця 1'!$E:$E,"СП",'Таблиця 1'!$L:$L,"Уражено"))</f>
        <v/>
      </c>
      <c r="K475">
        <f>IF($A475="","",COUNTIFS('Таблиця 1'!$B:$B,$A475,'Таблиця 1'!$E:$E,"КСП роти",'Таблиця 1'!$L:$L,"Уражено"))</f>
        <v/>
      </c>
      <c r="L475">
        <f>IF($A475="","",COUNTIFS('Таблиця 1'!$B:$B,$A475,'Таблиця 1'!$E:$E,"ПУ бат",'Таблиця 1'!$L:$L,"Уражено"))</f>
        <v/>
      </c>
      <c r="M475">
        <f>IF($A475="","",COUNTIFS('Таблиця 1'!$B:$B,$A475,'Таблиця 1'!$E:$E,"ПУ бриг",'Таблиця 1'!$L:$L,"Уражено"))</f>
        <v/>
      </c>
      <c r="N475">
        <f>IF($A475="","",COUNTIFS('Таблиця 1'!$B:$B,$A475,'Таблиця 1'!$E:$E,"ПУ див",'Таблиця 1'!$L:$L,"Уражено"))</f>
        <v/>
      </c>
      <c r="O475">
        <f>IF($A475="","",COUNTIFS('Таблиця 1'!$B:$B,$A475,'Таблиця 1'!$E:$E,"обл. РЕБ",'Таблиця 1'!$L:$L,"Уражено"))</f>
        <v/>
      </c>
      <c r="P475">
        <f>IF($A475="","",COUNTIFS('Таблиця 1'!$B:$B,$A475,'Таблиця 1'!$E:$E,"пос РЕБ",'Таблиця 1'!$L:$L,"Уражено"))</f>
        <v/>
      </c>
      <c r="Q475">
        <f>IF($A475="","",COUNTIFS('Таблиця 1'!$B:$B,$A475,'Таблиця 1'!$E:$E,"група РЕР",'Таблиця 1'!$L:$L,"Уражено"))</f>
        <v/>
      </c>
      <c r="R475">
        <f>IF($A475="","",COUNTIFS('Таблиця 1'!$B:$B,$A475,'Таблиця 1'!$E:$E,"РЛС КББ",'Таблиця 1'!$L:$L,"Уражено"))</f>
        <v/>
      </c>
      <c r="S475">
        <f>IF($A475="","",COUNTIFS('Таблиця 1'!$B:$B,$A475,'Таблиця 1'!$E:$E,"Ретранслятор",'Таблиця 1'!$L:$L,"Уражено"))</f>
        <v/>
      </c>
      <c r="T475">
        <f>IF($A475="","",COUNTIFS('Таблиця 1'!$B:$B,$A475,'Таблиця 1'!$E:$E,"Вз.зв'язку",'Таблиця 1'!$L:$L,"Уражено"))</f>
        <v/>
      </c>
      <c r="U475">
        <f>IF($A475="","",COUNTIFS('Таблиця 1'!$B:$B,$A475,'Таблиця 1'!$E:$E,"ПММ",'Таблиця 1'!$L:$L,"Уражено"))</f>
        <v/>
      </c>
      <c r="V475">
        <f>IF($A475="","",COUNTIFS('Таблиця 1'!$B:$B,$A475,'Таблиця 1'!$E:$E,"ІФС",'Таблиця 1'!$L:$L,"Уражено"))</f>
        <v/>
      </c>
      <c r="W475">
        <f>IF($A475="","",COUNTIFS('Таблиця 1'!$B:$B,$A475,'Таблиця 1'!$E:$E,"Інфраструктура",'Таблиця 1'!$L:$L,"Уражено"))</f>
        <v/>
      </c>
      <c r="X475">
        <f>IF($A475="","",SUMIFS('Таблиця 1'!$K:$K,'Таблиця 1'!$B:$B,$A475))</f>
        <v/>
      </c>
    </row>
    <row r="476">
      <c r="A476" s="81">
        <f>IF(A475="","",IF(A475+1&gt;MAX('Таблиця 1'!$B:$B),"",A475+1))</f>
        <v/>
      </c>
      <c r="B476">
        <f>IF($A476="","",COUNTIFS('Таблиця 1'!$B:$B,$A476,'Таблиця 1'!$E:$E,"ЖС ВЗ",'Таблиця 1'!$L:$L,"Уражено"))</f>
        <v/>
      </c>
      <c r="C476">
        <f>IF($A476="","",COUNTIFS('Таблиця 1'!$B:$B,$A476,'Таблиця 1'!$E:$E,"Арт. Системи",'Таблиця 1'!$L:$L,"Уражено"))</f>
        <v/>
      </c>
      <c r="D476">
        <f>IF($A476="","",COUNTIFS('Таблиця 1'!$B:$B,$A476,'Таблиця 1'!$E:$E,"ОВТ",'Таблиця 1'!$L:$L,"Уражено"))</f>
        <v/>
      </c>
      <c r="E476">
        <f>IF($A476="","",COUNTIFS('Таблиця 1'!$B:$B,$A476,'Таблиця 1'!$E:$E,"ППО",'Таблиця 1'!$L:$L,"Уражено"))</f>
        <v/>
      </c>
      <c r="F476">
        <f>IF($A476="","",COUNTIFS('Таблиця 1'!$B:$B,$A476,'Таблиця 1'!$E:$E,"Рембаза",'Таблиця 1'!$L:$L,"Уражено"))</f>
        <v/>
      </c>
      <c r="G476">
        <f>IF($A476="","",COUNTIFS('Таблиця 1'!$B:$B,$A476,'Таблиця 1'!$E:$E,"Склад БК",'Таблиця 1'!$L:$L,"Уражено"))</f>
        <v/>
      </c>
      <c r="H476">
        <f>IF($A476="","",COUNTIFS('Таблиця 1'!$B:$B,$A476,'Таблиця 1'!$E:$E,"Склад ВТМ",'Таблиця 1'!$L:$L,"Уражено"))</f>
        <v/>
      </c>
      <c r="I476">
        <f>IF($A476="","",COUNTIFS('Таблиця 1'!$B:$B,$A476,'Таблиця 1'!$E:$E,"ПУ БпЛА",'Таблиця 1'!$L:$L,"Уражено"))</f>
        <v/>
      </c>
      <c r="J476">
        <f>IF($A476="","",COUNTIFS('Таблиця 1'!$B:$B,$A476,'Таблиця 1'!$E:$E,"СП",'Таблиця 1'!$L:$L,"Уражено"))</f>
        <v/>
      </c>
      <c r="K476">
        <f>IF($A476="","",COUNTIFS('Таблиця 1'!$B:$B,$A476,'Таблиця 1'!$E:$E,"КСП роти",'Таблиця 1'!$L:$L,"Уражено"))</f>
        <v/>
      </c>
      <c r="L476">
        <f>IF($A476="","",COUNTIFS('Таблиця 1'!$B:$B,$A476,'Таблиця 1'!$E:$E,"ПУ бат",'Таблиця 1'!$L:$L,"Уражено"))</f>
        <v/>
      </c>
      <c r="M476">
        <f>IF($A476="","",COUNTIFS('Таблиця 1'!$B:$B,$A476,'Таблиця 1'!$E:$E,"ПУ бриг",'Таблиця 1'!$L:$L,"Уражено"))</f>
        <v/>
      </c>
      <c r="N476">
        <f>IF($A476="","",COUNTIFS('Таблиця 1'!$B:$B,$A476,'Таблиця 1'!$E:$E,"ПУ див",'Таблиця 1'!$L:$L,"Уражено"))</f>
        <v/>
      </c>
      <c r="O476">
        <f>IF($A476="","",COUNTIFS('Таблиця 1'!$B:$B,$A476,'Таблиця 1'!$E:$E,"обл. РЕБ",'Таблиця 1'!$L:$L,"Уражено"))</f>
        <v/>
      </c>
      <c r="P476">
        <f>IF($A476="","",COUNTIFS('Таблиця 1'!$B:$B,$A476,'Таблиця 1'!$E:$E,"пос РЕБ",'Таблиця 1'!$L:$L,"Уражено"))</f>
        <v/>
      </c>
      <c r="Q476">
        <f>IF($A476="","",COUNTIFS('Таблиця 1'!$B:$B,$A476,'Таблиця 1'!$E:$E,"група РЕР",'Таблиця 1'!$L:$L,"Уражено"))</f>
        <v/>
      </c>
      <c r="R476">
        <f>IF($A476="","",COUNTIFS('Таблиця 1'!$B:$B,$A476,'Таблиця 1'!$E:$E,"РЛС КББ",'Таблиця 1'!$L:$L,"Уражено"))</f>
        <v/>
      </c>
      <c r="S476">
        <f>IF($A476="","",COUNTIFS('Таблиця 1'!$B:$B,$A476,'Таблиця 1'!$E:$E,"Ретранслятор",'Таблиця 1'!$L:$L,"Уражено"))</f>
        <v/>
      </c>
      <c r="T476">
        <f>IF($A476="","",COUNTIFS('Таблиця 1'!$B:$B,$A476,'Таблиця 1'!$E:$E,"Вз.зв'язку",'Таблиця 1'!$L:$L,"Уражено"))</f>
        <v/>
      </c>
      <c r="U476">
        <f>IF($A476="","",COUNTIFS('Таблиця 1'!$B:$B,$A476,'Таблиця 1'!$E:$E,"ПММ",'Таблиця 1'!$L:$L,"Уражено"))</f>
        <v/>
      </c>
      <c r="V476">
        <f>IF($A476="","",COUNTIFS('Таблиця 1'!$B:$B,$A476,'Таблиця 1'!$E:$E,"ІФС",'Таблиця 1'!$L:$L,"Уражено"))</f>
        <v/>
      </c>
      <c r="W476">
        <f>IF($A476="","",COUNTIFS('Таблиця 1'!$B:$B,$A476,'Таблиця 1'!$E:$E,"Інфраструктура",'Таблиця 1'!$L:$L,"Уражено"))</f>
        <v/>
      </c>
      <c r="X476">
        <f>IF($A476="","",SUMIFS('Таблиця 1'!$K:$K,'Таблиця 1'!$B:$B,$A476))</f>
        <v/>
      </c>
    </row>
    <row r="477">
      <c r="A477" s="81">
        <f>IF(A476="","",IF(A476+1&gt;MAX('Таблиця 1'!$B:$B),"",A476+1))</f>
        <v/>
      </c>
      <c r="B477">
        <f>IF($A477="","",COUNTIFS('Таблиця 1'!$B:$B,$A477,'Таблиця 1'!$E:$E,"ЖС ВЗ",'Таблиця 1'!$L:$L,"Уражено"))</f>
        <v/>
      </c>
      <c r="C477">
        <f>IF($A477="","",COUNTIFS('Таблиця 1'!$B:$B,$A477,'Таблиця 1'!$E:$E,"Арт. Системи",'Таблиця 1'!$L:$L,"Уражено"))</f>
        <v/>
      </c>
      <c r="D477">
        <f>IF($A477="","",COUNTIFS('Таблиця 1'!$B:$B,$A477,'Таблиця 1'!$E:$E,"ОВТ",'Таблиця 1'!$L:$L,"Уражено"))</f>
        <v/>
      </c>
      <c r="E477">
        <f>IF($A477="","",COUNTIFS('Таблиця 1'!$B:$B,$A477,'Таблиця 1'!$E:$E,"ППО",'Таблиця 1'!$L:$L,"Уражено"))</f>
        <v/>
      </c>
      <c r="F477">
        <f>IF($A477="","",COUNTIFS('Таблиця 1'!$B:$B,$A477,'Таблиця 1'!$E:$E,"Рембаза",'Таблиця 1'!$L:$L,"Уражено"))</f>
        <v/>
      </c>
      <c r="G477">
        <f>IF($A477="","",COUNTIFS('Таблиця 1'!$B:$B,$A477,'Таблиця 1'!$E:$E,"Склад БК",'Таблиця 1'!$L:$L,"Уражено"))</f>
        <v/>
      </c>
      <c r="H477">
        <f>IF($A477="","",COUNTIFS('Таблиця 1'!$B:$B,$A477,'Таблиця 1'!$E:$E,"Склад ВТМ",'Таблиця 1'!$L:$L,"Уражено"))</f>
        <v/>
      </c>
      <c r="I477">
        <f>IF($A477="","",COUNTIFS('Таблиця 1'!$B:$B,$A477,'Таблиця 1'!$E:$E,"ПУ БпЛА",'Таблиця 1'!$L:$L,"Уражено"))</f>
        <v/>
      </c>
      <c r="J477">
        <f>IF($A477="","",COUNTIFS('Таблиця 1'!$B:$B,$A477,'Таблиця 1'!$E:$E,"СП",'Таблиця 1'!$L:$L,"Уражено"))</f>
        <v/>
      </c>
      <c r="K477">
        <f>IF($A477="","",COUNTIFS('Таблиця 1'!$B:$B,$A477,'Таблиця 1'!$E:$E,"КСП роти",'Таблиця 1'!$L:$L,"Уражено"))</f>
        <v/>
      </c>
      <c r="L477">
        <f>IF($A477="","",COUNTIFS('Таблиця 1'!$B:$B,$A477,'Таблиця 1'!$E:$E,"ПУ бат",'Таблиця 1'!$L:$L,"Уражено"))</f>
        <v/>
      </c>
      <c r="M477">
        <f>IF($A477="","",COUNTIFS('Таблиця 1'!$B:$B,$A477,'Таблиця 1'!$E:$E,"ПУ бриг",'Таблиця 1'!$L:$L,"Уражено"))</f>
        <v/>
      </c>
      <c r="N477">
        <f>IF($A477="","",COUNTIFS('Таблиця 1'!$B:$B,$A477,'Таблиця 1'!$E:$E,"ПУ див",'Таблиця 1'!$L:$L,"Уражено"))</f>
        <v/>
      </c>
      <c r="O477">
        <f>IF($A477="","",COUNTIFS('Таблиця 1'!$B:$B,$A477,'Таблиця 1'!$E:$E,"обл. РЕБ",'Таблиця 1'!$L:$L,"Уражено"))</f>
        <v/>
      </c>
      <c r="P477">
        <f>IF($A477="","",COUNTIFS('Таблиця 1'!$B:$B,$A477,'Таблиця 1'!$E:$E,"пос РЕБ",'Таблиця 1'!$L:$L,"Уражено"))</f>
        <v/>
      </c>
      <c r="Q477">
        <f>IF($A477="","",COUNTIFS('Таблиця 1'!$B:$B,$A477,'Таблиця 1'!$E:$E,"група РЕР",'Таблиця 1'!$L:$L,"Уражено"))</f>
        <v/>
      </c>
      <c r="R477">
        <f>IF($A477="","",COUNTIFS('Таблиця 1'!$B:$B,$A477,'Таблиця 1'!$E:$E,"РЛС КББ",'Таблиця 1'!$L:$L,"Уражено"))</f>
        <v/>
      </c>
      <c r="S477">
        <f>IF($A477="","",COUNTIFS('Таблиця 1'!$B:$B,$A477,'Таблиця 1'!$E:$E,"Ретранслятор",'Таблиця 1'!$L:$L,"Уражено"))</f>
        <v/>
      </c>
      <c r="T477">
        <f>IF($A477="","",COUNTIFS('Таблиця 1'!$B:$B,$A477,'Таблиця 1'!$E:$E,"Вз.зв'язку",'Таблиця 1'!$L:$L,"Уражено"))</f>
        <v/>
      </c>
      <c r="U477">
        <f>IF($A477="","",COUNTIFS('Таблиця 1'!$B:$B,$A477,'Таблиця 1'!$E:$E,"ПММ",'Таблиця 1'!$L:$L,"Уражено"))</f>
        <v/>
      </c>
      <c r="V477">
        <f>IF($A477="","",COUNTIFS('Таблиця 1'!$B:$B,$A477,'Таблиця 1'!$E:$E,"ІФС",'Таблиця 1'!$L:$L,"Уражено"))</f>
        <v/>
      </c>
      <c r="W477">
        <f>IF($A477="","",COUNTIFS('Таблиця 1'!$B:$B,$A477,'Таблиця 1'!$E:$E,"Інфраструктура",'Таблиця 1'!$L:$L,"Уражено"))</f>
        <v/>
      </c>
      <c r="X477">
        <f>IF($A477="","",SUMIFS('Таблиця 1'!$K:$K,'Таблиця 1'!$B:$B,$A477))</f>
        <v/>
      </c>
    </row>
    <row r="478">
      <c r="A478" s="81">
        <f>IF(A477="","",IF(A477+1&gt;MAX('Таблиця 1'!$B:$B),"",A477+1))</f>
        <v/>
      </c>
      <c r="B478">
        <f>IF($A478="","",COUNTIFS('Таблиця 1'!$B:$B,$A478,'Таблиця 1'!$E:$E,"ЖС ВЗ",'Таблиця 1'!$L:$L,"Уражено"))</f>
        <v/>
      </c>
      <c r="C478">
        <f>IF($A478="","",COUNTIFS('Таблиця 1'!$B:$B,$A478,'Таблиця 1'!$E:$E,"Арт. Системи",'Таблиця 1'!$L:$L,"Уражено"))</f>
        <v/>
      </c>
      <c r="D478">
        <f>IF($A478="","",COUNTIFS('Таблиця 1'!$B:$B,$A478,'Таблиця 1'!$E:$E,"ОВТ",'Таблиця 1'!$L:$L,"Уражено"))</f>
        <v/>
      </c>
      <c r="E478">
        <f>IF($A478="","",COUNTIFS('Таблиця 1'!$B:$B,$A478,'Таблиця 1'!$E:$E,"ППО",'Таблиця 1'!$L:$L,"Уражено"))</f>
        <v/>
      </c>
      <c r="F478">
        <f>IF($A478="","",COUNTIFS('Таблиця 1'!$B:$B,$A478,'Таблиця 1'!$E:$E,"Рембаза",'Таблиця 1'!$L:$L,"Уражено"))</f>
        <v/>
      </c>
      <c r="G478">
        <f>IF($A478="","",COUNTIFS('Таблиця 1'!$B:$B,$A478,'Таблиця 1'!$E:$E,"Склад БК",'Таблиця 1'!$L:$L,"Уражено"))</f>
        <v/>
      </c>
      <c r="H478">
        <f>IF($A478="","",COUNTIFS('Таблиця 1'!$B:$B,$A478,'Таблиця 1'!$E:$E,"Склад ВТМ",'Таблиця 1'!$L:$L,"Уражено"))</f>
        <v/>
      </c>
      <c r="I478">
        <f>IF($A478="","",COUNTIFS('Таблиця 1'!$B:$B,$A478,'Таблиця 1'!$E:$E,"ПУ БпЛА",'Таблиця 1'!$L:$L,"Уражено"))</f>
        <v/>
      </c>
      <c r="J478">
        <f>IF($A478="","",COUNTIFS('Таблиця 1'!$B:$B,$A478,'Таблиця 1'!$E:$E,"СП",'Таблиця 1'!$L:$L,"Уражено"))</f>
        <v/>
      </c>
      <c r="K478">
        <f>IF($A478="","",COUNTIFS('Таблиця 1'!$B:$B,$A478,'Таблиця 1'!$E:$E,"КСП роти",'Таблиця 1'!$L:$L,"Уражено"))</f>
        <v/>
      </c>
      <c r="L478">
        <f>IF($A478="","",COUNTIFS('Таблиця 1'!$B:$B,$A478,'Таблиця 1'!$E:$E,"ПУ бат",'Таблиця 1'!$L:$L,"Уражено"))</f>
        <v/>
      </c>
      <c r="M478">
        <f>IF($A478="","",COUNTIFS('Таблиця 1'!$B:$B,$A478,'Таблиця 1'!$E:$E,"ПУ бриг",'Таблиця 1'!$L:$L,"Уражено"))</f>
        <v/>
      </c>
      <c r="N478">
        <f>IF($A478="","",COUNTIFS('Таблиця 1'!$B:$B,$A478,'Таблиця 1'!$E:$E,"ПУ див",'Таблиця 1'!$L:$L,"Уражено"))</f>
        <v/>
      </c>
      <c r="O478">
        <f>IF($A478="","",COUNTIFS('Таблиця 1'!$B:$B,$A478,'Таблиця 1'!$E:$E,"обл. РЕБ",'Таблиця 1'!$L:$L,"Уражено"))</f>
        <v/>
      </c>
      <c r="P478">
        <f>IF($A478="","",COUNTIFS('Таблиця 1'!$B:$B,$A478,'Таблиця 1'!$E:$E,"пос РЕБ",'Таблиця 1'!$L:$L,"Уражено"))</f>
        <v/>
      </c>
      <c r="Q478">
        <f>IF($A478="","",COUNTIFS('Таблиця 1'!$B:$B,$A478,'Таблиця 1'!$E:$E,"група РЕР",'Таблиця 1'!$L:$L,"Уражено"))</f>
        <v/>
      </c>
      <c r="R478">
        <f>IF($A478="","",COUNTIFS('Таблиця 1'!$B:$B,$A478,'Таблиця 1'!$E:$E,"РЛС КББ",'Таблиця 1'!$L:$L,"Уражено"))</f>
        <v/>
      </c>
      <c r="S478">
        <f>IF($A478="","",COUNTIFS('Таблиця 1'!$B:$B,$A478,'Таблиця 1'!$E:$E,"Ретранслятор",'Таблиця 1'!$L:$L,"Уражено"))</f>
        <v/>
      </c>
      <c r="T478">
        <f>IF($A478="","",COUNTIFS('Таблиця 1'!$B:$B,$A478,'Таблиця 1'!$E:$E,"Вз.зв'язку",'Таблиця 1'!$L:$L,"Уражено"))</f>
        <v/>
      </c>
      <c r="U478">
        <f>IF($A478="","",COUNTIFS('Таблиця 1'!$B:$B,$A478,'Таблиця 1'!$E:$E,"ПММ",'Таблиця 1'!$L:$L,"Уражено"))</f>
        <v/>
      </c>
      <c r="V478">
        <f>IF($A478="","",COUNTIFS('Таблиця 1'!$B:$B,$A478,'Таблиця 1'!$E:$E,"ІФС",'Таблиця 1'!$L:$L,"Уражено"))</f>
        <v/>
      </c>
      <c r="W478">
        <f>IF($A478="","",COUNTIFS('Таблиця 1'!$B:$B,$A478,'Таблиця 1'!$E:$E,"Інфраструктура",'Таблиця 1'!$L:$L,"Уражено"))</f>
        <v/>
      </c>
      <c r="X478">
        <f>IF($A478="","",SUMIFS('Таблиця 1'!$K:$K,'Таблиця 1'!$B:$B,$A478))</f>
        <v/>
      </c>
    </row>
    <row r="479">
      <c r="A479" s="81">
        <f>IF(A478="","",IF(A478+1&gt;MAX('Таблиця 1'!$B:$B),"",A478+1))</f>
        <v/>
      </c>
      <c r="B479">
        <f>IF($A479="","",COUNTIFS('Таблиця 1'!$B:$B,$A479,'Таблиця 1'!$E:$E,"ЖС ВЗ",'Таблиця 1'!$L:$L,"Уражено"))</f>
        <v/>
      </c>
      <c r="C479">
        <f>IF($A479="","",COUNTIFS('Таблиця 1'!$B:$B,$A479,'Таблиця 1'!$E:$E,"Арт. Системи",'Таблиця 1'!$L:$L,"Уражено"))</f>
        <v/>
      </c>
      <c r="D479">
        <f>IF($A479="","",COUNTIFS('Таблиця 1'!$B:$B,$A479,'Таблиця 1'!$E:$E,"ОВТ",'Таблиця 1'!$L:$L,"Уражено"))</f>
        <v/>
      </c>
      <c r="E479">
        <f>IF($A479="","",COUNTIFS('Таблиця 1'!$B:$B,$A479,'Таблиця 1'!$E:$E,"ППО",'Таблиця 1'!$L:$L,"Уражено"))</f>
        <v/>
      </c>
      <c r="F479">
        <f>IF($A479="","",COUNTIFS('Таблиця 1'!$B:$B,$A479,'Таблиця 1'!$E:$E,"Рембаза",'Таблиця 1'!$L:$L,"Уражено"))</f>
        <v/>
      </c>
      <c r="G479">
        <f>IF($A479="","",COUNTIFS('Таблиця 1'!$B:$B,$A479,'Таблиця 1'!$E:$E,"Склад БК",'Таблиця 1'!$L:$L,"Уражено"))</f>
        <v/>
      </c>
      <c r="H479">
        <f>IF($A479="","",COUNTIFS('Таблиця 1'!$B:$B,$A479,'Таблиця 1'!$E:$E,"Склад ВТМ",'Таблиця 1'!$L:$L,"Уражено"))</f>
        <v/>
      </c>
      <c r="I479">
        <f>IF($A479="","",COUNTIFS('Таблиця 1'!$B:$B,$A479,'Таблиця 1'!$E:$E,"ПУ БпЛА",'Таблиця 1'!$L:$L,"Уражено"))</f>
        <v/>
      </c>
      <c r="J479">
        <f>IF($A479="","",COUNTIFS('Таблиця 1'!$B:$B,$A479,'Таблиця 1'!$E:$E,"СП",'Таблиця 1'!$L:$L,"Уражено"))</f>
        <v/>
      </c>
      <c r="K479">
        <f>IF($A479="","",COUNTIFS('Таблиця 1'!$B:$B,$A479,'Таблиця 1'!$E:$E,"КСП роти",'Таблиця 1'!$L:$L,"Уражено"))</f>
        <v/>
      </c>
      <c r="L479">
        <f>IF($A479="","",COUNTIFS('Таблиця 1'!$B:$B,$A479,'Таблиця 1'!$E:$E,"ПУ бат",'Таблиця 1'!$L:$L,"Уражено"))</f>
        <v/>
      </c>
      <c r="M479">
        <f>IF($A479="","",COUNTIFS('Таблиця 1'!$B:$B,$A479,'Таблиця 1'!$E:$E,"ПУ бриг",'Таблиця 1'!$L:$L,"Уражено"))</f>
        <v/>
      </c>
      <c r="N479">
        <f>IF($A479="","",COUNTIFS('Таблиця 1'!$B:$B,$A479,'Таблиця 1'!$E:$E,"ПУ див",'Таблиця 1'!$L:$L,"Уражено"))</f>
        <v/>
      </c>
      <c r="O479">
        <f>IF($A479="","",COUNTIFS('Таблиця 1'!$B:$B,$A479,'Таблиця 1'!$E:$E,"обл. РЕБ",'Таблиця 1'!$L:$L,"Уражено"))</f>
        <v/>
      </c>
      <c r="P479">
        <f>IF($A479="","",COUNTIFS('Таблиця 1'!$B:$B,$A479,'Таблиця 1'!$E:$E,"пос РЕБ",'Таблиця 1'!$L:$L,"Уражено"))</f>
        <v/>
      </c>
      <c r="Q479">
        <f>IF($A479="","",COUNTIFS('Таблиця 1'!$B:$B,$A479,'Таблиця 1'!$E:$E,"група РЕР",'Таблиця 1'!$L:$L,"Уражено"))</f>
        <v/>
      </c>
      <c r="R479">
        <f>IF($A479="","",COUNTIFS('Таблиця 1'!$B:$B,$A479,'Таблиця 1'!$E:$E,"РЛС КББ",'Таблиця 1'!$L:$L,"Уражено"))</f>
        <v/>
      </c>
      <c r="S479">
        <f>IF($A479="","",COUNTIFS('Таблиця 1'!$B:$B,$A479,'Таблиця 1'!$E:$E,"Ретранслятор",'Таблиця 1'!$L:$L,"Уражено"))</f>
        <v/>
      </c>
      <c r="T479">
        <f>IF($A479="","",COUNTIFS('Таблиця 1'!$B:$B,$A479,'Таблиця 1'!$E:$E,"Вз.зв'язку",'Таблиця 1'!$L:$L,"Уражено"))</f>
        <v/>
      </c>
      <c r="U479">
        <f>IF($A479="","",COUNTIFS('Таблиця 1'!$B:$B,$A479,'Таблиця 1'!$E:$E,"ПММ",'Таблиця 1'!$L:$L,"Уражено"))</f>
        <v/>
      </c>
      <c r="V479">
        <f>IF($A479="","",COUNTIFS('Таблиця 1'!$B:$B,$A479,'Таблиця 1'!$E:$E,"ІФС",'Таблиця 1'!$L:$L,"Уражено"))</f>
        <v/>
      </c>
      <c r="W479">
        <f>IF($A479="","",COUNTIFS('Таблиця 1'!$B:$B,$A479,'Таблиця 1'!$E:$E,"Інфраструктура",'Таблиця 1'!$L:$L,"Уражено"))</f>
        <v/>
      </c>
      <c r="X479">
        <f>IF($A479="","",SUMIFS('Таблиця 1'!$K:$K,'Таблиця 1'!$B:$B,$A479))</f>
        <v/>
      </c>
    </row>
    <row r="480">
      <c r="A480" s="81">
        <f>IF(A479="","",IF(A479+1&gt;MAX('Таблиця 1'!$B:$B),"",A479+1))</f>
        <v/>
      </c>
      <c r="B480">
        <f>IF($A480="","",COUNTIFS('Таблиця 1'!$B:$B,$A480,'Таблиця 1'!$E:$E,"ЖС ВЗ",'Таблиця 1'!$L:$L,"Уражено"))</f>
        <v/>
      </c>
      <c r="C480">
        <f>IF($A480="","",COUNTIFS('Таблиця 1'!$B:$B,$A480,'Таблиця 1'!$E:$E,"Арт. Системи",'Таблиця 1'!$L:$L,"Уражено"))</f>
        <v/>
      </c>
      <c r="D480">
        <f>IF($A480="","",COUNTIFS('Таблиця 1'!$B:$B,$A480,'Таблиця 1'!$E:$E,"ОВТ",'Таблиця 1'!$L:$L,"Уражено"))</f>
        <v/>
      </c>
      <c r="E480">
        <f>IF($A480="","",COUNTIFS('Таблиця 1'!$B:$B,$A480,'Таблиця 1'!$E:$E,"ППО",'Таблиця 1'!$L:$L,"Уражено"))</f>
        <v/>
      </c>
      <c r="F480">
        <f>IF($A480="","",COUNTIFS('Таблиця 1'!$B:$B,$A480,'Таблиця 1'!$E:$E,"Рембаза",'Таблиця 1'!$L:$L,"Уражено"))</f>
        <v/>
      </c>
      <c r="G480">
        <f>IF($A480="","",COUNTIFS('Таблиця 1'!$B:$B,$A480,'Таблиця 1'!$E:$E,"Склад БК",'Таблиця 1'!$L:$L,"Уражено"))</f>
        <v/>
      </c>
      <c r="H480">
        <f>IF($A480="","",COUNTIFS('Таблиця 1'!$B:$B,$A480,'Таблиця 1'!$E:$E,"Склад ВТМ",'Таблиця 1'!$L:$L,"Уражено"))</f>
        <v/>
      </c>
      <c r="I480">
        <f>IF($A480="","",COUNTIFS('Таблиця 1'!$B:$B,$A480,'Таблиця 1'!$E:$E,"ПУ БпЛА",'Таблиця 1'!$L:$L,"Уражено"))</f>
        <v/>
      </c>
      <c r="J480">
        <f>IF($A480="","",COUNTIFS('Таблиця 1'!$B:$B,$A480,'Таблиця 1'!$E:$E,"СП",'Таблиця 1'!$L:$L,"Уражено"))</f>
        <v/>
      </c>
      <c r="K480">
        <f>IF($A480="","",COUNTIFS('Таблиця 1'!$B:$B,$A480,'Таблиця 1'!$E:$E,"КСП роти",'Таблиця 1'!$L:$L,"Уражено"))</f>
        <v/>
      </c>
      <c r="L480">
        <f>IF($A480="","",COUNTIFS('Таблиця 1'!$B:$B,$A480,'Таблиця 1'!$E:$E,"ПУ бат",'Таблиця 1'!$L:$L,"Уражено"))</f>
        <v/>
      </c>
      <c r="M480">
        <f>IF($A480="","",COUNTIFS('Таблиця 1'!$B:$B,$A480,'Таблиця 1'!$E:$E,"ПУ бриг",'Таблиця 1'!$L:$L,"Уражено"))</f>
        <v/>
      </c>
      <c r="N480">
        <f>IF($A480="","",COUNTIFS('Таблиця 1'!$B:$B,$A480,'Таблиця 1'!$E:$E,"ПУ див",'Таблиця 1'!$L:$L,"Уражено"))</f>
        <v/>
      </c>
      <c r="O480">
        <f>IF($A480="","",COUNTIFS('Таблиця 1'!$B:$B,$A480,'Таблиця 1'!$E:$E,"обл. РЕБ",'Таблиця 1'!$L:$L,"Уражено"))</f>
        <v/>
      </c>
      <c r="P480">
        <f>IF($A480="","",COUNTIFS('Таблиця 1'!$B:$B,$A480,'Таблиця 1'!$E:$E,"пос РЕБ",'Таблиця 1'!$L:$L,"Уражено"))</f>
        <v/>
      </c>
      <c r="Q480">
        <f>IF($A480="","",COUNTIFS('Таблиця 1'!$B:$B,$A480,'Таблиця 1'!$E:$E,"група РЕР",'Таблиця 1'!$L:$L,"Уражено"))</f>
        <v/>
      </c>
      <c r="R480">
        <f>IF($A480="","",COUNTIFS('Таблиця 1'!$B:$B,$A480,'Таблиця 1'!$E:$E,"РЛС КББ",'Таблиця 1'!$L:$L,"Уражено"))</f>
        <v/>
      </c>
      <c r="S480">
        <f>IF($A480="","",COUNTIFS('Таблиця 1'!$B:$B,$A480,'Таблиця 1'!$E:$E,"Ретранслятор",'Таблиця 1'!$L:$L,"Уражено"))</f>
        <v/>
      </c>
      <c r="T480">
        <f>IF($A480="","",COUNTIFS('Таблиця 1'!$B:$B,$A480,'Таблиця 1'!$E:$E,"Вз.зв'язку",'Таблиця 1'!$L:$L,"Уражено"))</f>
        <v/>
      </c>
      <c r="U480">
        <f>IF($A480="","",COUNTIFS('Таблиця 1'!$B:$B,$A480,'Таблиця 1'!$E:$E,"ПММ",'Таблиця 1'!$L:$L,"Уражено"))</f>
        <v/>
      </c>
      <c r="V480">
        <f>IF($A480="","",COUNTIFS('Таблиця 1'!$B:$B,$A480,'Таблиця 1'!$E:$E,"ІФС",'Таблиця 1'!$L:$L,"Уражено"))</f>
        <v/>
      </c>
      <c r="W480">
        <f>IF($A480="","",COUNTIFS('Таблиця 1'!$B:$B,$A480,'Таблиця 1'!$E:$E,"Інфраструктура",'Таблиця 1'!$L:$L,"Уражено"))</f>
        <v/>
      </c>
      <c r="X480">
        <f>IF($A480="","",SUMIFS('Таблиця 1'!$K:$K,'Таблиця 1'!$B:$B,$A480))</f>
        <v/>
      </c>
    </row>
    <row r="481">
      <c r="A481" s="81">
        <f>IF(A480="","",IF(A480+1&gt;MAX('Таблиця 1'!$B:$B),"",A480+1))</f>
        <v/>
      </c>
      <c r="B481">
        <f>IF($A481="","",COUNTIFS('Таблиця 1'!$B:$B,$A481,'Таблиця 1'!$E:$E,"ЖС ВЗ",'Таблиця 1'!$L:$L,"Уражено"))</f>
        <v/>
      </c>
      <c r="C481">
        <f>IF($A481="","",COUNTIFS('Таблиця 1'!$B:$B,$A481,'Таблиця 1'!$E:$E,"Арт. Системи",'Таблиця 1'!$L:$L,"Уражено"))</f>
        <v/>
      </c>
      <c r="D481">
        <f>IF($A481="","",COUNTIFS('Таблиця 1'!$B:$B,$A481,'Таблиця 1'!$E:$E,"ОВТ",'Таблиця 1'!$L:$L,"Уражено"))</f>
        <v/>
      </c>
      <c r="E481">
        <f>IF($A481="","",COUNTIFS('Таблиця 1'!$B:$B,$A481,'Таблиця 1'!$E:$E,"ППО",'Таблиця 1'!$L:$L,"Уражено"))</f>
        <v/>
      </c>
      <c r="F481">
        <f>IF($A481="","",COUNTIFS('Таблиця 1'!$B:$B,$A481,'Таблиця 1'!$E:$E,"Рембаза",'Таблиця 1'!$L:$L,"Уражено"))</f>
        <v/>
      </c>
      <c r="G481">
        <f>IF($A481="","",COUNTIFS('Таблиця 1'!$B:$B,$A481,'Таблиця 1'!$E:$E,"Склад БК",'Таблиця 1'!$L:$L,"Уражено"))</f>
        <v/>
      </c>
      <c r="H481">
        <f>IF($A481="","",COUNTIFS('Таблиця 1'!$B:$B,$A481,'Таблиця 1'!$E:$E,"Склад ВТМ",'Таблиця 1'!$L:$L,"Уражено"))</f>
        <v/>
      </c>
      <c r="I481">
        <f>IF($A481="","",COUNTIFS('Таблиця 1'!$B:$B,$A481,'Таблиця 1'!$E:$E,"ПУ БпЛА",'Таблиця 1'!$L:$L,"Уражено"))</f>
        <v/>
      </c>
      <c r="J481">
        <f>IF($A481="","",COUNTIFS('Таблиця 1'!$B:$B,$A481,'Таблиця 1'!$E:$E,"СП",'Таблиця 1'!$L:$L,"Уражено"))</f>
        <v/>
      </c>
      <c r="K481">
        <f>IF($A481="","",COUNTIFS('Таблиця 1'!$B:$B,$A481,'Таблиця 1'!$E:$E,"КСП роти",'Таблиця 1'!$L:$L,"Уражено"))</f>
        <v/>
      </c>
      <c r="L481">
        <f>IF($A481="","",COUNTIFS('Таблиця 1'!$B:$B,$A481,'Таблиця 1'!$E:$E,"ПУ бат",'Таблиця 1'!$L:$L,"Уражено"))</f>
        <v/>
      </c>
      <c r="M481">
        <f>IF($A481="","",COUNTIFS('Таблиця 1'!$B:$B,$A481,'Таблиця 1'!$E:$E,"ПУ бриг",'Таблиця 1'!$L:$L,"Уражено"))</f>
        <v/>
      </c>
      <c r="N481">
        <f>IF($A481="","",COUNTIFS('Таблиця 1'!$B:$B,$A481,'Таблиця 1'!$E:$E,"ПУ див",'Таблиця 1'!$L:$L,"Уражено"))</f>
        <v/>
      </c>
      <c r="O481">
        <f>IF($A481="","",COUNTIFS('Таблиця 1'!$B:$B,$A481,'Таблиця 1'!$E:$E,"обл. РЕБ",'Таблиця 1'!$L:$L,"Уражено"))</f>
        <v/>
      </c>
      <c r="P481">
        <f>IF($A481="","",COUNTIFS('Таблиця 1'!$B:$B,$A481,'Таблиця 1'!$E:$E,"пос РЕБ",'Таблиця 1'!$L:$L,"Уражено"))</f>
        <v/>
      </c>
      <c r="Q481">
        <f>IF($A481="","",COUNTIFS('Таблиця 1'!$B:$B,$A481,'Таблиця 1'!$E:$E,"група РЕР",'Таблиця 1'!$L:$L,"Уражено"))</f>
        <v/>
      </c>
      <c r="R481">
        <f>IF($A481="","",COUNTIFS('Таблиця 1'!$B:$B,$A481,'Таблиця 1'!$E:$E,"РЛС КББ",'Таблиця 1'!$L:$L,"Уражено"))</f>
        <v/>
      </c>
      <c r="S481">
        <f>IF($A481="","",COUNTIFS('Таблиця 1'!$B:$B,$A481,'Таблиця 1'!$E:$E,"Ретранслятор",'Таблиця 1'!$L:$L,"Уражено"))</f>
        <v/>
      </c>
      <c r="T481">
        <f>IF($A481="","",COUNTIFS('Таблиця 1'!$B:$B,$A481,'Таблиця 1'!$E:$E,"Вз.зв'язку",'Таблиця 1'!$L:$L,"Уражено"))</f>
        <v/>
      </c>
      <c r="U481">
        <f>IF($A481="","",COUNTIFS('Таблиця 1'!$B:$B,$A481,'Таблиця 1'!$E:$E,"ПММ",'Таблиця 1'!$L:$L,"Уражено"))</f>
        <v/>
      </c>
      <c r="V481">
        <f>IF($A481="","",COUNTIFS('Таблиця 1'!$B:$B,$A481,'Таблиця 1'!$E:$E,"ІФС",'Таблиця 1'!$L:$L,"Уражено"))</f>
        <v/>
      </c>
      <c r="W481">
        <f>IF($A481="","",COUNTIFS('Таблиця 1'!$B:$B,$A481,'Таблиця 1'!$E:$E,"Інфраструктура",'Таблиця 1'!$L:$L,"Уражено"))</f>
        <v/>
      </c>
      <c r="X481">
        <f>IF($A481="","",SUMIFS('Таблиця 1'!$K:$K,'Таблиця 1'!$B:$B,$A481))</f>
        <v/>
      </c>
    </row>
    <row r="482">
      <c r="A482" s="81">
        <f>IF(A481="","",IF(A481+1&gt;MAX('Таблиця 1'!$B:$B),"",A481+1))</f>
        <v/>
      </c>
      <c r="B482">
        <f>IF($A482="","",COUNTIFS('Таблиця 1'!$B:$B,$A482,'Таблиця 1'!$E:$E,"ЖС ВЗ",'Таблиця 1'!$L:$L,"Уражено"))</f>
        <v/>
      </c>
      <c r="C482">
        <f>IF($A482="","",COUNTIFS('Таблиця 1'!$B:$B,$A482,'Таблиця 1'!$E:$E,"Арт. Системи",'Таблиця 1'!$L:$L,"Уражено"))</f>
        <v/>
      </c>
      <c r="D482">
        <f>IF($A482="","",COUNTIFS('Таблиця 1'!$B:$B,$A482,'Таблиця 1'!$E:$E,"ОВТ",'Таблиця 1'!$L:$L,"Уражено"))</f>
        <v/>
      </c>
      <c r="E482">
        <f>IF($A482="","",COUNTIFS('Таблиця 1'!$B:$B,$A482,'Таблиця 1'!$E:$E,"ППО",'Таблиця 1'!$L:$L,"Уражено"))</f>
        <v/>
      </c>
      <c r="F482">
        <f>IF($A482="","",COUNTIFS('Таблиця 1'!$B:$B,$A482,'Таблиця 1'!$E:$E,"Рембаза",'Таблиця 1'!$L:$L,"Уражено"))</f>
        <v/>
      </c>
      <c r="G482">
        <f>IF($A482="","",COUNTIFS('Таблиця 1'!$B:$B,$A482,'Таблиця 1'!$E:$E,"Склад БК",'Таблиця 1'!$L:$L,"Уражено"))</f>
        <v/>
      </c>
      <c r="H482">
        <f>IF($A482="","",COUNTIFS('Таблиця 1'!$B:$B,$A482,'Таблиця 1'!$E:$E,"Склад ВТМ",'Таблиця 1'!$L:$L,"Уражено"))</f>
        <v/>
      </c>
      <c r="I482">
        <f>IF($A482="","",COUNTIFS('Таблиця 1'!$B:$B,$A482,'Таблиця 1'!$E:$E,"ПУ БпЛА",'Таблиця 1'!$L:$L,"Уражено"))</f>
        <v/>
      </c>
      <c r="J482">
        <f>IF($A482="","",COUNTIFS('Таблиця 1'!$B:$B,$A482,'Таблиця 1'!$E:$E,"СП",'Таблиця 1'!$L:$L,"Уражено"))</f>
        <v/>
      </c>
      <c r="K482">
        <f>IF($A482="","",COUNTIFS('Таблиця 1'!$B:$B,$A482,'Таблиця 1'!$E:$E,"КСП роти",'Таблиця 1'!$L:$L,"Уражено"))</f>
        <v/>
      </c>
      <c r="L482">
        <f>IF($A482="","",COUNTIFS('Таблиця 1'!$B:$B,$A482,'Таблиця 1'!$E:$E,"ПУ бат",'Таблиця 1'!$L:$L,"Уражено"))</f>
        <v/>
      </c>
      <c r="M482">
        <f>IF($A482="","",COUNTIFS('Таблиця 1'!$B:$B,$A482,'Таблиця 1'!$E:$E,"ПУ бриг",'Таблиця 1'!$L:$L,"Уражено"))</f>
        <v/>
      </c>
      <c r="N482">
        <f>IF($A482="","",COUNTIFS('Таблиця 1'!$B:$B,$A482,'Таблиця 1'!$E:$E,"ПУ див",'Таблиця 1'!$L:$L,"Уражено"))</f>
        <v/>
      </c>
      <c r="O482">
        <f>IF($A482="","",COUNTIFS('Таблиця 1'!$B:$B,$A482,'Таблиця 1'!$E:$E,"обл. РЕБ",'Таблиця 1'!$L:$L,"Уражено"))</f>
        <v/>
      </c>
      <c r="P482">
        <f>IF($A482="","",COUNTIFS('Таблиця 1'!$B:$B,$A482,'Таблиця 1'!$E:$E,"пос РЕБ",'Таблиця 1'!$L:$L,"Уражено"))</f>
        <v/>
      </c>
      <c r="Q482">
        <f>IF($A482="","",COUNTIFS('Таблиця 1'!$B:$B,$A482,'Таблиця 1'!$E:$E,"група РЕР",'Таблиця 1'!$L:$L,"Уражено"))</f>
        <v/>
      </c>
      <c r="R482">
        <f>IF($A482="","",COUNTIFS('Таблиця 1'!$B:$B,$A482,'Таблиця 1'!$E:$E,"РЛС КББ",'Таблиця 1'!$L:$L,"Уражено"))</f>
        <v/>
      </c>
      <c r="S482">
        <f>IF($A482="","",COUNTIFS('Таблиця 1'!$B:$B,$A482,'Таблиця 1'!$E:$E,"Ретранслятор",'Таблиця 1'!$L:$L,"Уражено"))</f>
        <v/>
      </c>
      <c r="T482">
        <f>IF($A482="","",COUNTIFS('Таблиця 1'!$B:$B,$A482,'Таблиця 1'!$E:$E,"Вз.зв'язку",'Таблиця 1'!$L:$L,"Уражено"))</f>
        <v/>
      </c>
      <c r="U482">
        <f>IF($A482="","",COUNTIFS('Таблиця 1'!$B:$B,$A482,'Таблиця 1'!$E:$E,"ПММ",'Таблиця 1'!$L:$L,"Уражено"))</f>
        <v/>
      </c>
      <c r="V482">
        <f>IF($A482="","",COUNTIFS('Таблиця 1'!$B:$B,$A482,'Таблиця 1'!$E:$E,"ІФС",'Таблиця 1'!$L:$L,"Уражено"))</f>
        <v/>
      </c>
      <c r="W482">
        <f>IF($A482="","",COUNTIFS('Таблиця 1'!$B:$B,$A482,'Таблиця 1'!$E:$E,"Інфраструктура",'Таблиця 1'!$L:$L,"Уражено"))</f>
        <v/>
      </c>
      <c r="X482">
        <f>IF($A482="","",SUMIFS('Таблиця 1'!$K:$K,'Таблиця 1'!$B:$B,$A482))</f>
        <v/>
      </c>
    </row>
    <row r="483">
      <c r="A483" s="81">
        <f>IF(A482="","",IF(A482+1&gt;MAX('Таблиця 1'!$B:$B),"",A482+1))</f>
        <v/>
      </c>
      <c r="B483">
        <f>IF($A483="","",COUNTIFS('Таблиця 1'!$B:$B,$A483,'Таблиця 1'!$E:$E,"ЖС ВЗ",'Таблиця 1'!$L:$L,"Уражено"))</f>
        <v/>
      </c>
      <c r="C483">
        <f>IF($A483="","",COUNTIFS('Таблиця 1'!$B:$B,$A483,'Таблиця 1'!$E:$E,"Арт. Системи",'Таблиця 1'!$L:$L,"Уражено"))</f>
        <v/>
      </c>
      <c r="D483">
        <f>IF($A483="","",COUNTIFS('Таблиця 1'!$B:$B,$A483,'Таблиця 1'!$E:$E,"ОВТ",'Таблиця 1'!$L:$L,"Уражено"))</f>
        <v/>
      </c>
      <c r="E483">
        <f>IF($A483="","",COUNTIFS('Таблиця 1'!$B:$B,$A483,'Таблиця 1'!$E:$E,"ППО",'Таблиця 1'!$L:$L,"Уражено"))</f>
        <v/>
      </c>
      <c r="F483">
        <f>IF($A483="","",COUNTIFS('Таблиця 1'!$B:$B,$A483,'Таблиця 1'!$E:$E,"Рембаза",'Таблиця 1'!$L:$L,"Уражено"))</f>
        <v/>
      </c>
      <c r="G483">
        <f>IF($A483="","",COUNTIFS('Таблиця 1'!$B:$B,$A483,'Таблиця 1'!$E:$E,"Склад БК",'Таблиця 1'!$L:$L,"Уражено"))</f>
        <v/>
      </c>
      <c r="H483">
        <f>IF($A483="","",COUNTIFS('Таблиця 1'!$B:$B,$A483,'Таблиця 1'!$E:$E,"Склад ВТМ",'Таблиця 1'!$L:$L,"Уражено"))</f>
        <v/>
      </c>
      <c r="I483">
        <f>IF($A483="","",COUNTIFS('Таблиця 1'!$B:$B,$A483,'Таблиця 1'!$E:$E,"ПУ БпЛА",'Таблиця 1'!$L:$L,"Уражено"))</f>
        <v/>
      </c>
      <c r="J483">
        <f>IF($A483="","",COUNTIFS('Таблиця 1'!$B:$B,$A483,'Таблиця 1'!$E:$E,"СП",'Таблиця 1'!$L:$L,"Уражено"))</f>
        <v/>
      </c>
      <c r="K483">
        <f>IF($A483="","",COUNTIFS('Таблиця 1'!$B:$B,$A483,'Таблиця 1'!$E:$E,"КСП роти",'Таблиця 1'!$L:$L,"Уражено"))</f>
        <v/>
      </c>
      <c r="L483">
        <f>IF($A483="","",COUNTIFS('Таблиця 1'!$B:$B,$A483,'Таблиця 1'!$E:$E,"ПУ бат",'Таблиця 1'!$L:$L,"Уражено"))</f>
        <v/>
      </c>
      <c r="M483">
        <f>IF($A483="","",COUNTIFS('Таблиця 1'!$B:$B,$A483,'Таблиця 1'!$E:$E,"ПУ бриг",'Таблиця 1'!$L:$L,"Уражено"))</f>
        <v/>
      </c>
      <c r="N483">
        <f>IF($A483="","",COUNTIFS('Таблиця 1'!$B:$B,$A483,'Таблиця 1'!$E:$E,"ПУ див",'Таблиця 1'!$L:$L,"Уражено"))</f>
        <v/>
      </c>
      <c r="O483">
        <f>IF($A483="","",COUNTIFS('Таблиця 1'!$B:$B,$A483,'Таблиця 1'!$E:$E,"обл. РЕБ",'Таблиця 1'!$L:$L,"Уражено"))</f>
        <v/>
      </c>
      <c r="P483">
        <f>IF($A483="","",COUNTIFS('Таблиця 1'!$B:$B,$A483,'Таблиця 1'!$E:$E,"пос РЕБ",'Таблиця 1'!$L:$L,"Уражено"))</f>
        <v/>
      </c>
      <c r="Q483">
        <f>IF($A483="","",COUNTIFS('Таблиця 1'!$B:$B,$A483,'Таблиця 1'!$E:$E,"група РЕР",'Таблиця 1'!$L:$L,"Уражено"))</f>
        <v/>
      </c>
      <c r="R483">
        <f>IF($A483="","",COUNTIFS('Таблиця 1'!$B:$B,$A483,'Таблиця 1'!$E:$E,"РЛС КББ",'Таблиця 1'!$L:$L,"Уражено"))</f>
        <v/>
      </c>
      <c r="S483">
        <f>IF($A483="","",COUNTIFS('Таблиця 1'!$B:$B,$A483,'Таблиця 1'!$E:$E,"Ретранслятор",'Таблиця 1'!$L:$L,"Уражено"))</f>
        <v/>
      </c>
      <c r="T483">
        <f>IF($A483="","",COUNTIFS('Таблиця 1'!$B:$B,$A483,'Таблиця 1'!$E:$E,"Вз.зв'язку",'Таблиця 1'!$L:$L,"Уражено"))</f>
        <v/>
      </c>
      <c r="U483">
        <f>IF($A483="","",COUNTIFS('Таблиця 1'!$B:$B,$A483,'Таблиця 1'!$E:$E,"ПММ",'Таблиця 1'!$L:$L,"Уражено"))</f>
        <v/>
      </c>
      <c r="V483">
        <f>IF($A483="","",COUNTIFS('Таблиця 1'!$B:$B,$A483,'Таблиця 1'!$E:$E,"ІФС",'Таблиця 1'!$L:$L,"Уражено"))</f>
        <v/>
      </c>
      <c r="W483">
        <f>IF($A483="","",COUNTIFS('Таблиця 1'!$B:$B,$A483,'Таблиця 1'!$E:$E,"Інфраструктура",'Таблиця 1'!$L:$L,"Уражено"))</f>
        <v/>
      </c>
      <c r="X483">
        <f>IF($A483="","",SUMIFS('Таблиця 1'!$K:$K,'Таблиця 1'!$B:$B,$A483))</f>
        <v/>
      </c>
    </row>
    <row r="484">
      <c r="A484" s="81">
        <f>IF(A483="","",IF(A483+1&gt;MAX('Таблиця 1'!$B:$B),"",A483+1))</f>
        <v/>
      </c>
      <c r="B484">
        <f>IF($A484="","",COUNTIFS('Таблиця 1'!$B:$B,$A484,'Таблиця 1'!$E:$E,"ЖС ВЗ",'Таблиця 1'!$L:$L,"Уражено"))</f>
        <v/>
      </c>
      <c r="C484">
        <f>IF($A484="","",COUNTIFS('Таблиця 1'!$B:$B,$A484,'Таблиця 1'!$E:$E,"Арт. Системи",'Таблиця 1'!$L:$L,"Уражено"))</f>
        <v/>
      </c>
      <c r="D484">
        <f>IF($A484="","",COUNTIFS('Таблиця 1'!$B:$B,$A484,'Таблиця 1'!$E:$E,"ОВТ",'Таблиця 1'!$L:$L,"Уражено"))</f>
        <v/>
      </c>
      <c r="E484">
        <f>IF($A484="","",COUNTIFS('Таблиця 1'!$B:$B,$A484,'Таблиця 1'!$E:$E,"ППО",'Таблиця 1'!$L:$L,"Уражено"))</f>
        <v/>
      </c>
      <c r="F484">
        <f>IF($A484="","",COUNTIFS('Таблиця 1'!$B:$B,$A484,'Таблиця 1'!$E:$E,"Рембаза",'Таблиця 1'!$L:$L,"Уражено"))</f>
        <v/>
      </c>
      <c r="G484">
        <f>IF($A484="","",COUNTIFS('Таблиця 1'!$B:$B,$A484,'Таблиця 1'!$E:$E,"Склад БК",'Таблиця 1'!$L:$L,"Уражено"))</f>
        <v/>
      </c>
      <c r="H484">
        <f>IF($A484="","",COUNTIFS('Таблиця 1'!$B:$B,$A484,'Таблиця 1'!$E:$E,"Склад ВТМ",'Таблиця 1'!$L:$L,"Уражено"))</f>
        <v/>
      </c>
      <c r="I484">
        <f>IF($A484="","",COUNTIFS('Таблиця 1'!$B:$B,$A484,'Таблиця 1'!$E:$E,"ПУ БпЛА",'Таблиця 1'!$L:$L,"Уражено"))</f>
        <v/>
      </c>
      <c r="J484">
        <f>IF($A484="","",COUNTIFS('Таблиця 1'!$B:$B,$A484,'Таблиця 1'!$E:$E,"СП",'Таблиця 1'!$L:$L,"Уражено"))</f>
        <v/>
      </c>
      <c r="K484">
        <f>IF($A484="","",COUNTIFS('Таблиця 1'!$B:$B,$A484,'Таблиця 1'!$E:$E,"КСП роти",'Таблиця 1'!$L:$L,"Уражено"))</f>
        <v/>
      </c>
      <c r="L484">
        <f>IF($A484="","",COUNTIFS('Таблиця 1'!$B:$B,$A484,'Таблиця 1'!$E:$E,"ПУ бат",'Таблиця 1'!$L:$L,"Уражено"))</f>
        <v/>
      </c>
      <c r="M484">
        <f>IF($A484="","",COUNTIFS('Таблиця 1'!$B:$B,$A484,'Таблиця 1'!$E:$E,"ПУ бриг",'Таблиця 1'!$L:$L,"Уражено"))</f>
        <v/>
      </c>
      <c r="N484">
        <f>IF($A484="","",COUNTIFS('Таблиця 1'!$B:$B,$A484,'Таблиця 1'!$E:$E,"ПУ див",'Таблиця 1'!$L:$L,"Уражено"))</f>
        <v/>
      </c>
      <c r="O484">
        <f>IF($A484="","",COUNTIFS('Таблиця 1'!$B:$B,$A484,'Таблиця 1'!$E:$E,"обл. РЕБ",'Таблиця 1'!$L:$L,"Уражено"))</f>
        <v/>
      </c>
      <c r="P484">
        <f>IF($A484="","",COUNTIFS('Таблиця 1'!$B:$B,$A484,'Таблиця 1'!$E:$E,"пос РЕБ",'Таблиця 1'!$L:$L,"Уражено"))</f>
        <v/>
      </c>
      <c r="Q484">
        <f>IF($A484="","",COUNTIFS('Таблиця 1'!$B:$B,$A484,'Таблиця 1'!$E:$E,"група РЕР",'Таблиця 1'!$L:$L,"Уражено"))</f>
        <v/>
      </c>
      <c r="R484">
        <f>IF($A484="","",COUNTIFS('Таблиця 1'!$B:$B,$A484,'Таблиця 1'!$E:$E,"РЛС КББ",'Таблиця 1'!$L:$L,"Уражено"))</f>
        <v/>
      </c>
      <c r="S484">
        <f>IF($A484="","",COUNTIFS('Таблиця 1'!$B:$B,$A484,'Таблиця 1'!$E:$E,"Ретранслятор",'Таблиця 1'!$L:$L,"Уражено"))</f>
        <v/>
      </c>
      <c r="T484">
        <f>IF($A484="","",COUNTIFS('Таблиця 1'!$B:$B,$A484,'Таблиця 1'!$E:$E,"Вз.зв'язку",'Таблиця 1'!$L:$L,"Уражено"))</f>
        <v/>
      </c>
      <c r="U484">
        <f>IF($A484="","",COUNTIFS('Таблиця 1'!$B:$B,$A484,'Таблиця 1'!$E:$E,"ПММ",'Таблиця 1'!$L:$L,"Уражено"))</f>
        <v/>
      </c>
      <c r="V484">
        <f>IF($A484="","",COUNTIFS('Таблиця 1'!$B:$B,$A484,'Таблиця 1'!$E:$E,"ІФС",'Таблиця 1'!$L:$L,"Уражено"))</f>
        <v/>
      </c>
      <c r="W484">
        <f>IF($A484="","",COUNTIFS('Таблиця 1'!$B:$B,$A484,'Таблиця 1'!$E:$E,"Інфраструктура",'Таблиця 1'!$L:$L,"Уражено"))</f>
        <v/>
      </c>
      <c r="X484">
        <f>IF($A484="","",SUMIFS('Таблиця 1'!$K:$K,'Таблиця 1'!$B:$B,$A484))</f>
        <v/>
      </c>
    </row>
    <row r="485">
      <c r="A485" s="81">
        <f>IF(A484="","",IF(A484+1&gt;MAX('Таблиця 1'!$B:$B),"",A484+1))</f>
        <v/>
      </c>
      <c r="B485">
        <f>IF($A485="","",COUNTIFS('Таблиця 1'!$B:$B,$A485,'Таблиця 1'!$E:$E,"ЖС ВЗ",'Таблиця 1'!$L:$L,"Уражено"))</f>
        <v/>
      </c>
      <c r="C485">
        <f>IF($A485="","",COUNTIFS('Таблиця 1'!$B:$B,$A485,'Таблиця 1'!$E:$E,"Арт. Системи",'Таблиця 1'!$L:$L,"Уражено"))</f>
        <v/>
      </c>
      <c r="D485">
        <f>IF($A485="","",COUNTIFS('Таблиця 1'!$B:$B,$A485,'Таблиця 1'!$E:$E,"ОВТ",'Таблиця 1'!$L:$L,"Уражено"))</f>
        <v/>
      </c>
      <c r="E485">
        <f>IF($A485="","",COUNTIFS('Таблиця 1'!$B:$B,$A485,'Таблиця 1'!$E:$E,"ППО",'Таблиця 1'!$L:$L,"Уражено"))</f>
        <v/>
      </c>
      <c r="F485">
        <f>IF($A485="","",COUNTIFS('Таблиця 1'!$B:$B,$A485,'Таблиця 1'!$E:$E,"Рембаза",'Таблиця 1'!$L:$L,"Уражено"))</f>
        <v/>
      </c>
      <c r="G485">
        <f>IF($A485="","",COUNTIFS('Таблиця 1'!$B:$B,$A485,'Таблиця 1'!$E:$E,"Склад БК",'Таблиця 1'!$L:$L,"Уражено"))</f>
        <v/>
      </c>
      <c r="H485">
        <f>IF($A485="","",COUNTIFS('Таблиця 1'!$B:$B,$A485,'Таблиця 1'!$E:$E,"Склад ВТМ",'Таблиця 1'!$L:$L,"Уражено"))</f>
        <v/>
      </c>
      <c r="I485">
        <f>IF($A485="","",COUNTIFS('Таблиця 1'!$B:$B,$A485,'Таблиця 1'!$E:$E,"ПУ БпЛА",'Таблиця 1'!$L:$L,"Уражено"))</f>
        <v/>
      </c>
      <c r="J485">
        <f>IF($A485="","",COUNTIFS('Таблиця 1'!$B:$B,$A485,'Таблиця 1'!$E:$E,"СП",'Таблиця 1'!$L:$L,"Уражено"))</f>
        <v/>
      </c>
      <c r="K485">
        <f>IF($A485="","",COUNTIFS('Таблиця 1'!$B:$B,$A485,'Таблиця 1'!$E:$E,"КСП роти",'Таблиця 1'!$L:$L,"Уражено"))</f>
        <v/>
      </c>
      <c r="L485">
        <f>IF($A485="","",COUNTIFS('Таблиця 1'!$B:$B,$A485,'Таблиця 1'!$E:$E,"ПУ бат",'Таблиця 1'!$L:$L,"Уражено"))</f>
        <v/>
      </c>
      <c r="M485">
        <f>IF($A485="","",COUNTIFS('Таблиця 1'!$B:$B,$A485,'Таблиця 1'!$E:$E,"ПУ бриг",'Таблиця 1'!$L:$L,"Уражено"))</f>
        <v/>
      </c>
      <c r="N485">
        <f>IF($A485="","",COUNTIFS('Таблиця 1'!$B:$B,$A485,'Таблиця 1'!$E:$E,"ПУ див",'Таблиця 1'!$L:$L,"Уражено"))</f>
        <v/>
      </c>
      <c r="O485">
        <f>IF($A485="","",COUNTIFS('Таблиця 1'!$B:$B,$A485,'Таблиця 1'!$E:$E,"обл. РЕБ",'Таблиця 1'!$L:$L,"Уражено"))</f>
        <v/>
      </c>
      <c r="P485">
        <f>IF($A485="","",COUNTIFS('Таблиця 1'!$B:$B,$A485,'Таблиця 1'!$E:$E,"пос РЕБ",'Таблиця 1'!$L:$L,"Уражено"))</f>
        <v/>
      </c>
      <c r="Q485">
        <f>IF($A485="","",COUNTIFS('Таблиця 1'!$B:$B,$A485,'Таблиця 1'!$E:$E,"група РЕР",'Таблиця 1'!$L:$L,"Уражено"))</f>
        <v/>
      </c>
      <c r="R485">
        <f>IF($A485="","",COUNTIFS('Таблиця 1'!$B:$B,$A485,'Таблиця 1'!$E:$E,"РЛС КББ",'Таблиця 1'!$L:$L,"Уражено"))</f>
        <v/>
      </c>
      <c r="S485">
        <f>IF($A485="","",COUNTIFS('Таблиця 1'!$B:$B,$A485,'Таблиця 1'!$E:$E,"Ретранслятор",'Таблиця 1'!$L:$L,"Уражено"))</f>
        <v/>
      </c>
      <c r="T485">
        <f>IF($A485="","",COUNTIFS('Таблиця 1'!$B:$B,$A485,'Таблиця 1'!$E:$E,"Вз.зв'язку",'Таблиця 1'!$L:$L,"Уражено"))</f>
        <v/>
      </c>
      <c r="U485">
        <f>IF($A485="","",COUNTIFS('Таблиця 1'!$B:$B,$A485,'Таблиця 1'!$E:$E,"ПММ",'Таблиця 1'!$L:$L,"Уражено"))</f>
        <v/>
      </c>
      <c r="V485">
        <f>IF($A485="","",COUNTIFS('Таблиця 1'!$B:$B,$A485,'Таблиця 1'!$E:$E,"ІФС",'Таблиця 1'!$L:$L,"Уражено"))</f>
        <v/>
      </c>
      <c r="W485">
        <f>IF($A485="","",COUNTIFS('Таблиця 1'!$B:$B,$A485,'Таблиця 1'!$E:$E,"Інфраструктура",'Таблиця 1'!$L:$L,"Уражено"))</f>
        <v/>
      </c>
      <c r="X485">
        <f>IF($A485="","",SUMIFS('Таблиця 1'!$K:$K,'Таблиця 1'!$B:$B,$A485))</f>
        <v/>
      </c>
    </row>
    <row r="486">
      <c r="A486" s="81">
        <f>IF(A485="","",IF(A485+1&gt;MAX('Таблиця 1'!$B:$B),"",A485+1))</f>
        <v/>
      </c>
      <c r="B486">
        <f>IF($A486="","",COUNTIFS('Таблиця 1'!$B:$B,$A486,'Таблиця 1'!$E:$E,"ЖС ВЗ",'Таблиця 1'!$L:$L,"Уражено"))</f>
        <v/>
      </c>
      <c r="C486">
        <f>IF($A486="","",COUNTIFS('Таблиця 1'!$B:$B,$A486,'Таблиця 1'!$E:$E,"Арт. Системи",'Таблиця 1'!$L:$L,"Уражено"))</f>
        <v/>
      </c>
      <c r="D486">
        <f>IF($A486="","",COUNTIFS('Таблиця 1'!$B:$B,$A486,'Таблиця 1'!$E:$E,"ОВТ",'Таблиця 1'!$L:$L,"Уражено"))</f>
        <v/>
      </c>
      <c r="E486">
        <f>IF($A486="","",COUNTIFS('Таблиця 1'!$B:$B,$A486,'Таблиця 1'!$E:$E,"ППО",'Таблиця 1'!$L:$L,"Уражено"))</f>
        <v/>
      </c>
      <c r="F486">
        <f>IF($A486="","",COUNTIFS('Таблиця 1'!$B:$B,$A486,'Таблиця 1'!$E:$E,"Рембаза",'Таблиця 1'!$L:$L,"Уражено"))</f>
        <v/>
      </c>
      <c r="G486">
        <f>IF($A486="","",COUNTIFS('Таблиця 1'!$B:$B,$A486,'Таблиця 1'!$E:$E,"Склад БК",'Таблиця 1'!$L:$L,"Уражено"))</f>
        <v/>
      </c>
      <c r="H486">
        <f>IF($A486="","",COUNTIFS('Таблиця 1'!$B:$B,$A486,'Таблиця 1'!$E:$E,"Склад ВТМ",'Таблиця 1'!$L:$L,"Уражено"))</f>
        <v/>
      </c>
      <c r="I486">
        <f>IF($A486="","",COUNTIFS('Таблиця 1'!$B:$B,$A486,'Таблиця 1'!$E:$E,"ПУ БпЛА",'Таблиця 1'!$L:$L,"Уражено"))</f>
        <v/>
      </c>
      <c r="J486">
        <f>IF($A486="","",COUNTIFS('Таблиця 1'!$B:$B,$A486,'Таблиця 1'!$E:$E,"СП",'Таблиця 1'!$L:$L,"Уражено"))</f>
        <v/>
      </c>
      <c r="K486">
        <f>IF($A486="","",COUNTIFS('Таблиця 1'!$B:$B,$A486,'Таблиця 1'!$E:$E,"КСП роти",'Таблиця 1'!$L:$L,"Уражено"))</f>
        <v/>
      </c>
      <c r="L486">
        <f>IF($A486="","",COUNTIFS('Таблиця 1'!$B:$B,$A486,'Таблиця 1'!$E:$E,"ПУ бат",'Таблиця 1'!$L:$L,"Уражено"))</f>
        <v/>
      </c>
      <c r="M486">
        <f>IF($A486="","",COUNTIFS('Таблиця 1'!$B:$B,$A486,'Таблиця 1'!$E:$E,"ПУ бриг",'Таблиця 1'!$L:$L,"Уражено"))</f>
        <v/>
      </c>
      <c r="N486">
        <f>IF($A486="","",COUNTIFS('Таблиця 1'!$B:$B,$A486,'Таблиця 1'!$E:$E,"ПУ див",'Таблиця 1'!$L:$L,"Уражено"))</f>
        <v/>
      </c>
      <c r="O486">
        <f>IF($A486="","",COUNTIFS('Таблиця 1'!$B:$B,$A486,'Таблиця 1'!$E:$E,"обл. РЕБ",'Таблиця 1'!$L:$L,"Уражено"))</f>
        <v/>
      </c>
      <c r="P486">
        <f>IF($A486="","",COUNTIFS('Таблиця 1'!$B:$B,$A486,'Таблиця 1'!$E:$E,"пос РЕБ",'Таблиця 1'!$L:$L,"Уражено"))</f>
        <v/>
      </c>
      <c r="Q486">
        <f>IF($A486="","",COUNTIFS('Таблиця 1'!$B:$B,$A486,'Таблиця 1'!$E:$E,"група РЕР",'Таблиця 1'!$L:$L,"Уражено"))</f>
        <v/>
      </c>
      <c r="R486">
        <f>IF($A486="","",COUNTIFS('Таблиця 1'!$B:$B,$A486,'Таблиця 1'!$E:$E,"РЛС КББ",'Таблиця 1'!$L:$L,"Уражено"))</f>
        <v/>
      </c>
      <c r="S486">
        <f>IF($A486="","",COUNTIFS('Таблиця 1'!$B:$B,$A486,'Таблиця 1'!$E:$E,"Ретранслятор",'Таблиця 1'!$L:$L,"Уражено"))</f>
        <v/>
      </c>
      <c r="T486">
        <f>IF($A486="","",COUNTIFS('Таблиця 1'!$B:$B,$A486,'Таблиця 1'!$E:$E,"Вз.зв'язку",'Таблиця 1'!$L:$L,"Уражено"))</f>
        <v/>
      </c>
      <c r="U486">
        <f>IF($A486="","",COUNTIFS('Таблиця 1'!$B:$B,$A486,'Таблиця 1'!$E:$E,"ПММ",'Таблиця 1'!$L:$L,"Уражено"))</f>
        <v/>
      </c>
      <c r="V486">
        <f>IF($A486="","",COUNTIFS('Таблиця 1'!$B:$B,$A486,'Таблиця 1'!$E:$E,"ІФС",'Таблиця 1'!$L:$L,"Уражено"))</f>
        <v/>
      </c>
      <c r="W486">
        <f>IF($A486="","",COUNTIFS('Таблиця 1'!$B:$B,$A486,'Таблиця 1'!$E:$E,"Інфраструктура",'Таблиця 1'!$L:$L,"Уражено"))</f>
        <v/>
      </c>
      <c r="X486">
        <f>IF($A486="","",SUMIFS('Таблиця 1'!$K:$K,'Таблиця 1'!$B:$B,$A486))</f>
        <v/>
      </c>
    </row>
    <row r="487">
      <c r="A487" s="81">
        <f>IF(A486="","",IF(A486+1&gt;MAX('Таблиця 1'!$B:$B),"",A486+1))</f>
        <v/>
      </c>
      <c r="B487">
        <f>IF($A487="","",COUNTIFS('Таблиця 1'!$B:$B,$A487,'Таблиця 1'!$E:$E,"ЖС ВЗ",'Таблиця 1'!$L:$L,"Уражено"))</f>
        <v/>
      </c>
      <c r="C487">
        <f>IF($A487="","",COUNTIFS('Таблиця 1'!$B:$B,$A487,'Таблиця 1'!$E:$E,"Арт. Системи",'Таблиця 1'!$L:$L,"Уражено"))</f>
        <v/>
      </c>
      <c r="D487">
        <f>IF($A487="","",COUNTIFS('Таблиця 1'!$B:$B,$A487,'Таблиця 1'!$E:$E,"ОВТ",'Таблиця 1'!$L:$L,"Уражено"))</f>
        <v/>
      </c>
      <c r="E487">
        <f>IF($A487="","",COUNTIFS('Таблиця 1'!$B:$B,$A487,'Таблиця 1'!$E:$E,"ППО",'Таблиця 1'!$L:$L,"Уражено"))</f>
        <v/>
      </c>
      <c r="F487">
        <f>IF($A487="","",COUNTIFS('Таблиця 1'!$B:$B,$A487,'Таблиця 1'!$E:$E,"Рембаза",'Таблиця 1'!$L:$L,"Уражено"))</f>
        <v/>
      </c>
      <c r="G487">
        <f>IF($A487="","",COUNTIFS('Таблиця 1'!$B:$B,$A487,'Таблиця 1'!$E:$E,"Склад БК",'Таблиця 1'!$L:$L,"Уражено"))</f>
        <v/>
      </c>
      <c r="H487">
        <f>IF($A487="","",COUNTIFS('Таблиця 1'!$B:$B,$A487,'Таблиця 1'!$E:$E,"Склад ВТМ",'Таблиця 1'!$L:$L,"Уражено"))</f>
        <v/>
      </c>
      <c r="I487">
        <f>IF($A487="","",COUNTIFS('Таблиця 1'!$B:$B,$A487,'Таблиця 1'!$E:$E,"ПУ БпЛА",'Таблиця 1'!$L:$L,"Уражено"))</f>
        <v/>
      </c>
      <c r="J487">
        <f>IF($A487="","",COUNTIFS('Таблиця 1'!$B:$B,$A487,'Таблиця 1'!$E:$E,"СП",'Таблиця 1'!$L:$L,"Уражено"))</f>
        <v/>
      </c>
      <c r="K487">
        <f>IF($A487="","",COUNTIFS('Таблиця 1'!$B:$B,$A487,'Таблиця 1'!$E:$E,"КСП роти",'Таблиця 1'!$L:$L,"Уражено"))</f>
        <v/>
      </c>
      <c r="L487">
        <f>IF($A487="","",COUNTIFS('Таблиця 1'!$B:$B,$A487,'Таблиця 1'!$E:$E,"ПУ бат",'Таблиця 1'!$L:$L,"Уражено"))</f>
        <v/>
      </c>
      <c r="M487">
        <f>IF($A487="","",COUNTIFS('Таблиця 1'!$B:$B,$A487,'Таблиця 1'!$E:$E,"ПУ бриг",'Таблиця 1'!$L:$L,"Уражено"))</f>
        <v/>
      </c>
      <c r="N487">
        <f>IF($A487="","",COUNTIFS('Таблиця 1'!$B:$B,$A487,'Таблиця 1'!$E:$E,"ПУ див",'Таблиця 1'!$L:$L,"Уражено"))</f>
        <v/>
      </c>
      <c r="O487">
        <f>IF($A487="","",COUNTIFS('Таблиця 1'!$B:$B,$A487,'Таблиця 1'!$E:$E,"обл. РЕБ",'Таблиця 1'!$L:$L,"Уражено"))</f>
        <v/>
      </c>
      <c r="P487">
        <f>IF($A487="","",COUNTIFS('Таблиця 1'!$B:$B,$A487,'Таблиця 1'!$E:$E,"пос РЕБ",'Таблиця 1'!$L:$L,"Уражено"))</f>
        <v/>
      </c>
      <c r="Q487">
        <f>IF($A487="","",COUNTIFS('Таблиця 1'!$B:$B,$A487,'Таблиця 1'!$E:$E,"група РЕР",'Таблиця 1'!$L:$L,"Уражено"))</f>
        <v/>
      </c>
      <c r="R487">
        <f>IF($A487="","",COUNTIFS('Таблиця 1'!$B:$B,$A487,'Таблиця 1'!$E:$E,"РЛС КББ",'Таблиця 1'!$L:$L,"Уражено"))</f>
        <v/>
      </c>
      <c r="S487">
        <f>IF($A487="","",COUNTIFS('Таблиця 1'!$B:$B,$A487,'Таблиця 1'!$E:$E,"Ретранслятор",'Таблиця 1'!$L:$L,"Уражено"))</f>
        <v/>
      </c>
      <c r="T487">
        <f>IF($A487="","",COUNTIFS('Таблиця 1'!$B:$B,$A487,'Таблиця 1'!$E:$E,"Вз.зв'язку",'Таблиця 1'!$L:$L,"Уражено"))</f>
        <v/>
      </c>
      <c r="U487">
        <f>IF($A487="","",COUNTIFS('Таблиця 1'!$B:$B,$A487,'Таблиця 1'!$E:$E,"ПММ",'Таблиця 1'!$L:$L,"Уражено"))</f>
        <v/>
      </c>
      <c r="V487">
        <f>IF($A487="","",COUNTIFS('Таблиця 1'!$B:$B,$A487,'Таблиця 1'!$E:$E,"ІФС",'Таблиця 1'!$L:$L,"Уражено"))</f>
        <v/>
      </c>
      <c r="W487">
        <f>IF($A487="","",COUNTIFS('Таблиця 1'!$B:$B,$A487,'Таблиця 1'!$E:$E,"Інфраструктура",'Таблиця 1'!$L:$L,"Уражено"))</f>
        <v/>
      </c>
      <c r="X487">
        <f>IF($A487="","",SUMIFS('Таблиця 1'!$K:$K,'Таблиця 1'!$B:$B,$A487))</f>
        <v/>
      </c>
    </row>
    <row r="488">
      <c r="A488" s="81">
        <f>IF(A487="","",IF(A487+1&gt;MAX('Таблиця 1'!$B:$B),"",A487+1))</f>
        <v/>
      </c>
      <c r="B488">
        <f>IF($A488="","",COUNTIFS('Таблиця 1'!$B:$B,$A488,'Таблиця 1'!$E:$E,"ЖС ВЗ",'Таблиця 1'!$L:$L,"Уражено"))</f>
        <v/>
      </c>
      <c r="C488">
        <f>IF($A488="","",COUNTIFS('Таблиця 1'!$B:$B,$A488,'Таблиця 1'!$E:$E,"Арт. Системи",'Таблиця 1'!$L:$L,"Уражено"))</f>
        <v/>
      </c>
      <c r="D488">
        <f>IF($A488="","",COUNTIFS('Таблиця 1'!$B:$B,$A488,'Таблиця 1'!$E:$E,"ОВТ",'Таблиця 1'!$L:$L,"Уражено"))</f>
        <v/>
      </c>
      <c r="E488">
        <f>IF($A488="","",COUNTIFS('Таблиця 1'!$B:$B,$A488,'Таблиця 1'!$E:$E,"ППО",'Таблиця 1'!$L:$L,"Уражено"))</f>
        <v/>
      </c>
      <c r="F488">
        <f>IF($A488="","",COUNTIFS('Таблиця 1'!$B:$B,$A488,'Таблиця 1'!$E:$E,"Рембаза",'Таблиця 1'!$L:$L,"Уражено"))</f>
        <v/>
      </c>
      <c r="G488">
        <f>IF($A488="","",COUNTIFS('Таблиця 1'!$B:$B,$A488,'Таблиця 1'!$E:$E,"Склад БК",'Таблиця 1'!$L:$L,"Уражено"))</f>
        <v/>
      </c>
      <c r="H488">
        <f>IF($A488="","",COUNTIFS('Таблиця 1'!$B:$B,$A488,'Таблиця 1'!$E:$E,"Склад ВТМ",'Таблиця 1'!$L:$L,"Уражено"))</f>
        <v/>
      </c>
      <c r="I488">
        <f>IF($A488="","",COUNTIFS('Таблиця 1'!$B:$B,$A488,'Таблиця 1'!$E:$E,"ПУ БпЛА",'Таблиця 1'!$L:$L,"Уражено"))</f>
        <v/>
      </c>
      <c r="J488">
        <f>IF($A488="","",COUNTIFS('Таблиця 1'!$B:$B,$A488,'Таблиця 1'!$E:$E,"СП",'Таблиця 1'!$L:$L,"Уражено"))</f>
        <v/>
      </c>
      <c r="K488">
        <f>IF($A488="","",COUNTIFS('Таблиця 1'!$B:$B,$A488,'Таблиця 1'!$E:$E,"КСП роти",'Таблиця 1'!$L:$L,"Уражено"))</f>
        <v/>
      </c>
      <c r="L488">
        <f>IF($A488="","",COUNTIFS('Таблиця 1'!$B:$B,$A488,'Таблиця 1'!$E:$E,"ПУ бат",'Таблиця 1'!$L:$L,"Уражено"))</f>
        <v/>
      </c>
      <c r="M488">
        <f>IF($A488="","",COUNTIFS('Таблиця 1'!$B:$B,$A488,'Таблиця 1'!$E:$E,"ПУ бриг",'Таблиця 1'!$L:$L,"Уражено"))</f>
        <v/>
      </c>
      <c r="N488">
        <f>IF($A488="","",COUNTIFS('Таблиця 1'!$B:$B,$A488,'Таблиця 1'!$E:$E,"ПУ див",'Таблиця 1'!$L:$L,"Уражено"))</f>
        <v/>
      </c>
      <c r="O488">
        <f>IF($A488="","",COUNTIFS('Таблиця 1'!$B:$B,$A488,'Таблиця 1'!$E:$E,"обл. РЕБ",'Таблиця 1'!$L:$L,"Уражено"))</f>
        <v/>
      </c>
      <c r="P488">
        <f>IF($A488="","",COUNTIFS('Таблиця 1'!$B:$B,$A488,'Таблиця 1'!$E:$E,"пос РЕБ",'Таблиця 1'!$L:$L,"Уражено"))</f>
        <v/>
      </c>
      <c r="Q488">
        <f>IF($A488="","",COUNTIFS('Таблиця 1'!$B:$B,$A488,'Таблиця 1'!$E:$E,"група РЕР",'Таблиця 1'!$L:$L,"Уражено"))</f>
        <v/>
      </c>
      <c r="R488">
        <f>IF($A488="","",COUNTIFS('Таблиця 1'!$B:$B,$A488,'Таблиця 1'!$E:$E,"РЛС КББ",'Таблиця 1'!$L:$L,"Уражено"))</f>
        <v/>
      </c>
      <c r="S488">
        <f>IF($A488="","",COUNTIFS('Таблиця 1'!$B:$B,$A488,'Таблиця 1'!$E:$E,"Ретранслятор",'Таблиця 1'!$L:$L,"Уражено"))</f>
        <v/>
      </c>
      <c r="T488">
        <f>IF($A488="","",COUNTIFS('Таблиця 1'!$B:$B,$A488,'Таблиця 1'!$E:$E,"Вз.зв'язку",'Таблиця 1'!$L:$L,"Уражено"))</f>
        <v/>
      </c>
      <c r="U488">
        <f>IF($A488="","",COUNTIFS('Таблиця 1'!$B:$B,$A488,'Таблиця 1'!$E:$E,"ПММ",'Таблиця 1'!$L:$L,"Уражено"))</f>
        <v/>
      </c>
      <c r="V488">
        <f>IF($A488="","",COUNTIFS('Таблиця 1'!$B:$B,$A488,'Таблиця 1'!$E:$E,"ІФС",'Таблиця 1'!$L:$L,"Уражено"))</f>
        <v/>
      </c>
      <c r="W488">
        <f>IF($A488="","",COUNTIFS('Таблиця 1'!$B:$B,$A488,'Таблиця 1'!$E:$E,"Інфраструктура",'Таблиця 1'!$L:$L,"Уражено"))</f>
        <v/>
      </c>
      <c r="X488">
        <f>IF($A488="","",SUMIFS('Таблиця 1'!$K:$K,'Таблиця 1'!$B:$B,$A488))</f>
        <v/>
      </c>
    </row>
    <row r="489">
      <c r="A489" s="81">
        <f>IF(A488="","",IF(A488+1&gt;MAX('Таблиця 1'!$B:$B),"",A488+1))</f>
        <v/>
      </c>
      <c r="B489">
        <f>IF($A489="","",COUNTIFS('Таблиця 1'!$B:$B,$A489,'Таблиця 1'!$E:$E,"ЖС ВЗ",'Таблиця 1'!$L:$L,"Уражено"))</f>
        <v/>
      </c>
      <c r="C489">
        <f>IF($A489="","",COUNTIFS('Таблиця 1'!$B:$B,$A489,'Таблиця 1'!$E:$E,"Арт. Системи",'Таблиця 1'!$L:$L,"Уражено"))</f>
        <v/>
      </c>
      <c r="D489">
        <f>IF($A489="","",COUNTIFS('Таблиця 1'!$B:$B,$A489,'Таблиця 1'!$E:$E,"ОВТ",'Таблиця 1'!$L:$L,"Уражено"))</f>
        <v/>
      </c>
      <c r="E489">
        <f>IF($A489="","",COUNTIFS('Таблиця 1'!$B:$B,$A489,'Таблиця 1'!$E:$E,"ППО",'Таблиця 1'!$L:$L,"Уражено"))</f>
        <v/>
      </c>
      <c r="F489">
        <f>IF($A489="","",COUNTIFS('Таблиця 1'!$B:$B,$A489,'Таблиця 1'!$E:$E,"Рембаза",'Таблиця 1'!$L:$L,"Уражено"))</f>
        <v/>
      </c>
      <c r="G489">
        <f>IF($A489="","",COUNTIFS('Таблиця 1'!$B:$B,$A489,'Таблиця 1'!$E:$E,"Склад БК",'Таблиця 1'!$L:$L,"Уражено"))</f>
        <v/>
      </c>
      <c r="H489">
        <f>IF($A489="","",COUNTIFS('Таблиця 1'!$B:$B,$A489,'Таблиця 1'!$E:$E,"Склад ВТМ",'Таблиця 1'!$L:$L,"Уражено"))</f>
        <v/>
      </c>
      <c r="I489">
        <f>IF($A489="","",COUNTIFS('Таблиця 1'!$B:$B,$A489,'Таблиця 1'!$E:$E,"ПУ БпЛА",'Таблиця 1'!$L:$L,"Уражено"))</f>
        <v/>
      </c>
      <c r="J489">
        <f>IF($A489="","",COUNTIFS('Таблиця 1'!$B:$B,$A489,'Таблиця 1'!$E:$E,"СП",'Таблиця 1'!$L:$L,"Уражено"))</f>
        <v/>
      </c>
      <c r="K489">
        <f>IF($A489="","",COUNTIFS('Таблиця 1'!$B:$B,$A489,'Таблиця 1'!$E:$E,"КСП роти",'Таблиця 1'!$L:$L,"Уражено"))</f>
        <v/>
      </c>
      <c r="L489">
        <f>IF($A489="","",COUNTIFS('Таблиця 1'!$B:$B,$A489,'Таблиця 1'!$E:$E,"ПУ бат",'Таблиця 1'!$L:$L,"Уражено"))</f>
        <v/>
      </c>
      <c r="M489">
        <f>IF($A489="","",COUNTIFS('Таблиця 1'!$B:$B,$A489,'Таблиця 1'!$E:$E,"ПУ бриг",'Таблиця 1'!$L:$L,"Уражено"))</f>
        <v/>
      </c>
      <c r="N489">
        <f>IF($A489="","",COUNTIFS('Таблиця 1'!$B:$B,$A489,'Таблиця 1'!$E:$E,"ПУ див",'Таблиця 1'!$L:$L,"Уражено"))</f>
        <v/>
      </c>
      <c r="O489">
        <f>IF($A489="","",COUNTIFS('Таблиця 1'!$B:$B,$A489,'Таблиця 1'!$E:$E,"обл. РЕБ",'Таблиця 1'!$L:$L,"Уражено"))</f>
        <v/>
      </c>
      <c r="P489">
        <f>IF($A489="","",COUNTIFS('Таблиця 1'!$B:$B,$A489,'Таблиця 1'!$E:$E,"пос РЕБ",'Таблиця 1'!$L:$L,"Уражено"))</f>
        <v/>
      </c>
      <c r="Q489">
        <f>IF($A489="","",COUNTIFS('Таблиця 1'!$B:$B,$A489,'Таблиця 1'!$E:$E,"група РЕР",'Таблиця 1'!$L:$L,"Уражено"))</f>
        <v/>
      </c>
      <c r="R489">
        <f>IF($A489="","",COUNTIFS('Таблиця 1'!$B:$B,$A489,'Таблиця 1'!$E:$E,"РЛС КББ",'Таблиця 1'!$L:$L,"Уражено"))</f>
        <v/>
      </c>
      <c r="S489">
        <f>IF($A489="","",COUNTIFS('Таблиця 1'!$B:$B,$A489,'Таблиця 1'!$E:$E,"Ретранслятор",'Таблиця 1'!$L:$L,"Уражено"))</f>
        <v/>
      </c>
      <c r="T489">
        <f>IF($A489="","",COUNTIFS('Таблиця 1'!$B:$B,$A489,'Таблиця 1'!$E:$E,"Вз.зв'язку",'Таблиця 1'!$L:$L,"Уражено"))</f>
        <v/>
      </c>
      <c r="U489">
        <f>IF($A489="","",COUNTIFS('Таблиця 1'!$B:$B,$A489,'Таблиця 1'!$E:$E,"ПММ",'Таблиця 1'!$L:$L,"Уражено"))</f>
        <v/>
      </c>
      <c r="V489">
        <f>IF($A489="","",COUNTIFS('Таблиця 1'!$B:$B,$A489,'Таблиця 1'!$E:$E,"ІФС",'Таблиця 1'!$L:$L,"Уражено"))</f>
        <v/>
      </c>
      <c r="W489">
        <f>IF($A489="","",COUNTIFS('Таблиця 1'!$B:$B,$A489,'Таблиця 1'!$E:$E,"Інфраструктура",'Таблиця 1'!$L:$L,"Уражено"))</f>
        <v/>
      </c>
      <c r="X489">
        <f>IF($A489="","",SUMIFS('Таблиця 1'!$K:$K,'Таблиця 1'!$B:$B,$A489))</f>
        <v/>
      </c>
    </row>
    <row r="490">
      <c r="A490" s="81">
        <f>IF(A489="","",IF(A489+1&gt;MAX('Таблиця 1'!$B:$B),"",A489+1))</f>
        <v/>
      </c>
      <c r="B490">
        <f>IF($A490="","",COUNTIFS('Таблиця 1'!$B:$B,$A490,'Таблиця 1'!$E:$E,"ЖС ВЗ",'Таблиця 1'!$L:$L,"Уражено"))</f>
        <v/>
      </c>
      <c r="C490">
        <f>IF($A490="","",COUNTIFS('Таблиця 1'!$B:$B,$A490,'Таблиця 1'!$E:$E,"Арт. Системи",'Таблиця 1'!$L:$L,"Уражено"))</f>
        <v/>
      </c>
      <c r="D490">
        <f>IF($A490="","",COUNTIFS('Таблиця 1'!$B:$B,$A490,'Таблиця 1'!$E:$E,"ОВТ",'Таблиця 1'!$L:$L,"Уражено"))</f>
        <v/>
      </c>
      <c r="E490">
        <f>IF($A490="","",COUNTIFS('Таблиця 1'!$B:$B,$A490,'Таблиця 1'!$E:$E,"ППО",'Таблиця 1'!$L:$L,"Уражено"))</f>
        <v/>
      </c>
      <c r="F490">
        <f>IF($A490="","",COUNTIFS('Таблиця 1'!$B:$B,$A490,'Таблиця 1'!$E:$E,"Рембаза",'Таблиця 1'!$L:$L,"Уражено"))</f>
        <v/>
      </c>
      <c r="G490">
        <f>IF($A490="","",COUNTIFS('Таблиця 1'!$B:$B,$A490,'Таблиця 1'!$E:$E,"Склад БК",'Таблиця 1'!$L:$L,"Уражено"))</f>
        <v/>
      </c>
      <c r="H490">
        <f>IF($A490="","",COUNTIFS('Таблиця 1'!$B:$B,$A490,'Таблиця 1'!$E:$E,"Склад ВТМ",'Таблиця 1'!$L:$L,"Уражено"))</f>
        <v/>
      </c>
      <c r="I490">
        <f>IF($A490="","",COUNTIFS('Таблиця 1'!$B:$B,$A490,'Таблиця 1'!$E:$E,"ПУ БпЛА",'Таблиця 1'!$L:$L,"Уражено"))</f>
        <v/>
      </c>
      <c r="J490">
        <f>IF($A490="","",COUNTIFS('Таблиця 1'!$B:$B,$A490,'Таблиця 1'!$E:$E,"СП",'Таблиця 1'!$L:$L,"Уражено"))</f>
        <v/>
      </c>
      <c r="K490">
        <f>IF($A490="","",COUNTIFS('Таблиця 1'!$B:$B,$A490,'Таблиця 1'!$E:$E,"КСП роти",'Таблиця 1'!$L:$L,"Уражено"))</f>
        <v/>
      </c>
      <c r="L490">
        <f>IF($A490="","",COUNTIFS('Таблиця 1'!$B:$B,$A490,'Таблиця 1'!$E:$E,"ПУ бат",'Таблиця 1'!$L:$L,"Уражено"))</f>
        <v/>
      </c>
      <c r="M490">
        <f>IF($A490="","",COUNTIFS('Таблиця 1'!$B:$B,$A490,'Таблиця 1'!$E:$E,"ПУ бриг",'Таблиця 1'!$L:$L,"Уражено"))</f>
        <v/>
      </c>
      <c r="N490">
        <f>IF($A490="","",COUNTIFS('Таблиця 1'!$B:$B,$A490,'Таблиця 1'!$E:$E,"ПУ див",'Таблиця 1'!$L:$L,"Уражено"))</f>
        <v/>
      </c>
      <c r="O490">
        <f>IF($A490="","",COUNTIFS('Таблиця 1'!$B:$B,$A490,'Таблиця 1'!$E:$E,"обл. РЕБ",'Таблиця 1'!$L:$L,"Уражено"))</f>
        <v/>
      </c>
      <c r="P490">
        <f>IF($A490="","",COUNTIFS('Таблиця 1'!$B:$B,$A490,'Таблиця 1'!$E:$E,"пос РЕБ",'Таблиця 1'!$L:$L,"Уражено"))</f>
        <v/>
      </c>
      <c r="Q490">
        <f>IF($A490="","",COUNTIFS('Таблиця 1'!$B:$B,$A490,'Таблиця 1'!$E:$E,"група РЕР",'Таблиця 1'!$L:$L,"Уражено"))</f>
        <v/>
      </c>
      <c r="R490">
        <f>IF($A490="","",COUNTIFS('Таблиця 1'!$B:$B,$A490,'Таблиця 1'!$E:$E,"РЛС КББ",'Таблиця 1'!$L:$L,"Уражено"))</f>
        <v/>
      </c>
      <c r="S490">
        <f>IF($A490="","",COUNTIFS('Таблиця 1'!$B:$B,$A490,'Таблиця 1'!$E:$E,"Ретранслятор",'Таблиця 1'!$L:$L,"Уражено"))</f>
        <v/>
      </c>
      <c r="T490">
        <f>IF($A490="","",COUNTIFS('Таблиця 1'!$B:$B,$A490,'Таблиця 1'!$E:$E,"Вз.зв'язку",'Таблиця 1'!$L:$L,"Уражено"))</f>
        <v/>
      </c>
      <c r="U490">
        <f>IF($A490="","",COUNTIFS('Таблиця 1'!$B:$B,$A490,'Таблиця 1'!$E:$E,"ПММ",'Таблиця 1'!$L:$L,"Уражено"))</f>
        <v/>
      </c>
      <c r="V490">
        <f>IF($A490="","",COUNTIFS('Таблиця 1'!$B:$B,$A490,'Таблиця 1'!$E:$E,"ІФС",'Таблиця 1'!$L:$L,"Уражено"))</f>
        <v/>
      </c>
      <c r="W490">
        <f>IF($A490="","",COUNTIFS('Таблиця 1'!$B:$B,$A490,'Таблиця 1'!$E:$E,"Інфраструктура",'Таблиця 1'!$L:$L,"Уражено"))</f>
        <v/>
      </c>
      <c r="X490">
        <f>IF($A490="","",SUMIFS('Таблиця 1'!$K:$K,'Таблиця 1'!$B:$B,$A490))</f>
        <v/>
      </c>
    </row>
    <row r="491">
      <c r="A491" s="81">
        <f>IF(A490="","",IF(A490+1&gt;MAX('Таблиця 1'!$B:$B),"",A490+1))</f>
        <v/>
      </c>
      <c r="B491">
        <f>IF($A491="","",COUNTIFS('Таблиця 1'!$B:$B,$A491,'Таблиця 1'!$E:$E,"ЖС ВЗ",'Таблиця 1'!$L:$L,"Уражено"))</f>
        <v/>
      </c>
      <c r="C491">
        <f>IF($A491="","",COUNTIFS('Таблиця 1'!$B:$B,$A491,'Таблиця 1'!$E:$E,"Арт. Системи",'Таблиця 1'!$L:$L,"Уражено"))</f>
        <v/>
      </c>
      <c r="D491">
        <f>IF($A491="","",COUNTIFS('Таблиця 1'!$B:$B,$A491,'Таблиця 1'!$E:$E,"ОВТ",'Таблиця 1'!$L:$L,"Уражено"))</f>
        <v/>
      </c>
      <c r="E491">
        <f>IF($A491="","",COUNTIFS('Таблиця 1'!$B:$B,$A491,'Таблиця 1'!$E:$E,"ППО",'Таблиця 1'!$L:$L,"Уражено"))</f>
        <v/>
      </c>
      <c r="F491">
        <f>IF($A491="","",COUNTIFS('Таблиця 1'!$B:$B,$A491,'Таблиця 1'!$E:$E,"Рембаза",'Таблиця 1'!$L:$L,"Уражено"))</f>
        <v/>
      </c>
      <c r="G491">
        <f>IF($A491="","",COUNTIFS('Таблиця 1'!$B:$B,$A491,'Таблиця 1'!$E:$E,"Склад БК",'Таблиця 1'!$L:$L,"Уражено"))</f>
        <v/>
      </c>
      <c r="H491">
        <f>IF($A491="","",COUNTIFS('Таблиця 1'!$B:$B,$A491,'Таблиця 1'!$E:$E,"Склад ВТМ",'Таблиця 1'!$L:$L,"Уражено"))</f>
        <v/>
      </c>
      <c r="I491">
        <f>IF($A491="","",COUNTIFS('Таблиця 1'!$B:$B,$A491,'Таблиця 1'!$E:$E,"ПУ БпЛА",'Таблиця 1'!$L:$L,"Уражено"))</f>
        <v/>
      </c>
      <c r="J491">
        <f>IF($A491="","",COUNTIFS('Таблиця 1'!$B:$B,$A491,'Таблиця 1'!$E:$E,"СП",'Таблиця 1'!$L:$L,"Уражено"))</f>
        <v/>
      </c>
      <c r="K491">
        <f>IF($A491="","",COUNTIFS('Таблиця 1'!$B:$B,$A491,'Таблиця 1'!$E:$E,"КСП роти",'Таблиця 1'!$L:$L,"Уражено"))</f>
        <v/>
      </c>
      <c r="L491">
        <f>IF($A491="","",COUNTIFS('Таблиця 1'!$B:$B,$A491,'Таблиця 1'!$E:$E,"ПУ бат",'Таблиця 1'!$L:$L,"Уражено"))</f>
        <v/>
      </c>
      <c r="M491">
        <f>IF($A491="","",COUNTIFS('Таблиця 1'!$B:$B,$A491,'Таблиця 1'!$E:$E,"ПУ бриг",'Таблиця 1'!$L:$L,"Уражено"))</f>
        <v/>
      </c>
      <c r="N491">
        <f>IF($A491="","",COUNTIFS('Таблиця 1'!$B:$B,$A491,'Таблиця 1'!$E:$E,"ПУ див",'Таблиця 1'!$L:$L,"Уражено"))</f>
        <v/>
      </c>
      <c r="O491">
        <f>IF($A491="","",COUNTIFS('Таблиця 1'!$B:$B,$A491,'Таблиця 1'!$E:$E,"обл. РЕБ",'Таблиця 1'!$L:$L,"Уражено"))</f>
        <v/>
      </c>
      <c r="P491">
        <f>IF($A491="","",COUNTIFS('Таблиця 1'!$B:$B,$A491,'Таблиця 1'!$E:$E,"пос РЕБ",'Таблиця 1'!$L:$L,"Уражено"))</f>
        <v/>
      </c>
      <c r="Q491">
        <f>IF($A491="","",COUNTIFS('Таблиця 1'!$B:$B,$A491,'Таблиця 1'!$E:$E,"група РЕР",'Таблиця 1'!$L:$L,"Уражено"))</f>
        <v/>
      </c>
      <c r="R491">
        <f>IF($A491="","",COUNTIFS('Таблиця 1'!$B:$B,$A491,'Таблиця 1'!$E:$E,"РЛС КББ",'Таблиця 1'!$L:$L,"Уражено"))</f>
        <v/>
      </c>
      <c r="S491">
        <f>IF($A491="","",COUNTIFS('Таблиця 1'!$B:$B,$A491,'Таблиця 1'!$E:$E,"Ретранслятор",'Таблиця 1'!$L:$L,"Уражено"))</f>
        <v/>
      </c>
      <c r="T491">
        <f>IF($A491="","",COUNTIFS('Таблиця 1'!$B:$B,$A491,'Таблиця 1'!$E:$E,"Вз.зв'язку",'Таблиця 1'!$L:$L,"Уражено"))</f>
        <v/>
      </c>
      <c r="U491">
        <f>IF($A491="","",COUNTIFS('Таблиця 1'!$B:$B,$A491,'Таблиця 1'!$E:$E,"ПММ",'Таблиця 1'!$L:$L,"Уражено"))</f>
        <v/>
      </c>
      <c r="V491">
        <f>IF($A491="","",COUNTIFS('Таблиця 1'!$B:$B,$A491,'Таблиця 1'!$E:$E,"ІФС",'Таблиця 1'!$L:$L,"Уражено"))</f>
        <v/>
      </c>
      <c r="W491">
        <f>IF($A491="","",COUNTIFS('Таблиця 1'!$B:$B,$A491,'Таблиця 1'!$E:$E,"Інфраструктура",'Таблиця 1'!$L:$L,"Уражено"))</f>
        <v/>
      </c>
      <c r="X491">
        <f>IF($A491="","",SUMIFS('Таблиця 1'!$K:$K,'Таблиця 1'!$B:$B,$A491))</f>
        <v/>
      </c>
    </row>
    <row r="492">
      <c r="A492" s="81">
        <f>IF(A491="","",IF(A491+1&gt;MAX('Таблиця 1'!$B:$B),"",A491+1))</f>
        <v/>
      </c>
      <c r="B492">
        <f>IF($A492="","",COUNTIFS('Таблиця 1'!$B:$B,$A492,'Таблиця 1'!$E:$E,"ЖС ВЗ",'Таблиця 1'!$L:$L,"Уражено"))</f>
        <v/>
      </c>
      <c r="C492">
        <f>IF($A492="","",COUNTIFS('Таблиця 1'!$B:$B,$A492,'Таблиця 1'!$E:$E,"Арт. Системи",'Таблиця 1'!$L:$L,"Уражено"))</f>
        <v/>
      </c>
      <c r="D492">
        <f>IF($A492="","",COUNTIFS('Таблиця 1'!$B:$B,$A492,'Таблиця 1'!$E:$E,"ОВТ",'Таблиця 1'!$L:$L,"Уражено"))</f>
        <v/>
      </c>
      <c r="E492">
        <f>IF($A492="","",COUNTIFS('Таблиця 1'!$B:$B,$A492,'Таблиця 1'!$E:$E,"ППО",'Таблиця 1'!$L:$L,"Уражено"))</f>
        <v/>
      </c>
      <c r="F492">
        <f>IF($A492="","",COUNTIFS('Таблиця 1'!$B:$B,$A492,'Таблиця 1'!$E:$E,"Рембаза",'Таблиця 1'!$L:$L,"Уражено"))</f>
        <v/>
      </c>
      <c r="G492">
        <f>IF($A492="","",COUNTIFS('Таблиця 1'!$B:$B,$A492,'Таблиця 1'!$E:$E,"Склад БК",'Таблиця 1'!$L:$L,"Уражено"))</f>
        <v/>
      </c>
      <c r="H492">
        <f>IF($A492="","",COUNTIFS('Таблиця 1'!$B:$B,$A492,'Таблиця 1'!$E:$E,"Склад ВТМ",'Таблиця 1'!$L:$L,"Уражено"))</f>
        <v/>
      </c>
      <c r="I492">
        <f>IF($A492="","",COUNTIFS('Таблиця 1'!$B:$B,$A492,'Таблиця 1'!$E:$E,"ПУ БпЛА",'Таблиця 1'!$L:$L,"Уражено"))</f>
        <v/>
      </c>
      <c r="J492">
        <f>IF($A492="","",COUNTIFS('Таблиця 1'!$B:$B,$A492,'Таблиця 1'!$E:$E,"СП",'Таблиця 1'!$L:$L,"Уражено"))</f>
        <v/>
      </c>
      <c r="K492">
        <f>IF($A492="","",COUNTIFS('Таблиця 1'!$B:$B,$A492,'Таблиця 1'!$E:$E,"КСП роти",'Таблиця 1'!$L:$L,"Уражено"))</f>
        <v/>
      </c>
      <c r="L492">
        <f>IF($A492="","",COUNTIFS('Таблиця 1'!$B:$B,$A492,'Таблиця 1'!$E:$E,"ПУ бат",'Таблиця 1'!$L:$L,"Уражено"))</f>
        <v/>
      </c>
      <c r="M492">
        <f>IF($A492="","",COUNTIFS('Таблиця 1'!$B:$B,$A492,'Таблиця 1'!$E:$E,"ПУ бриг",'Таблиця 1'!$L:$L,"Уражено"))</f>
        <v/>
      </c>
      <c r="N492">
        <f>IF($A492="","",COUNTIFS('Таблиця 1'!$B:$B,$A492,'Таблиця 1'!$E:$E,"ПУ див",'Таблиця 1'!$L:$L,"Уражено"))</f>
        <v/>
      </c>
      <c r="O492">
        <f>IF($A492="","",COUNTIFS('Таблиця 1'!$B:$B,$A492,'Таблиця 1'!$E:$E,"обл. РЕБ",'Таблиця 1'!$L:$L,"Уражено"))</f>
        <v/>
      </c>
      <c r="P492">
        <f>IF($A492="","",COUNTIFS('Таблиця 1'!$B:$B,$A492,'Таблиця 1'!$E:$E,"пос РЕБ",'Таблиця 1'!$L:$L,"Уражено"))</f>
        <v/>
      </c>
      <c r="Q492">
        <f>IF($A492="","",COUNTIFS('Таблиця 1'!$B:$B,$A492,'Таблиця 1'!$E:$E,"група РЕР",'Таблиця 1'!$L:$L,"Уражено"))</f>
        <v/>
      </c>
      <c r="R492">
        <f>IF($A492="","",COUNTIFS('Таблиця 1'!$B:$B,$A492,'Таблиця 1'!$E:$E,"РЛС КББ",'Таблиця 1'!$L:$L,"Уражено"))</f>
        <v/>
      </c>
      <c r="S492">
        <f>IF($A492="","",COUNTIFS('Таблиця 1'!$B:$B,$A492,'Таблиця 1'!$E:$E,"Ретранслятор",'Таблиця 1'!$L:$L,"Уражено"))</f>
        <v/>
      </c>
      <c r="T492">
        <f>IF($A492="","",COUNTIFS('Таблиця 1'!$B:$B,$A492,'Таблиця 1'!$E:$E,"Вз.зв'язку",'Таблиця 1'!$L:$L,"Уражено"))</f>
        <v/>
      </c>
      <c r="U492">
        <f>IF($A492="","",COUNTIFS('Таблиця 1'!$B:$B,$A492,'Таблиця 1'!$E:$E,"ПММ",'Таблиця 1'!$L:$L,"Уражено"))</f>
        <v/>
      </c>
      <c r="V492">
        <f>IF($A492="","",COUNTIFS('Таблиця 1'!$B:$B,$A492,'Таблиця 1'!$E:$E,"ІФС",'Таблиця 1'!$L:$L,"Уражено"))</f>
        <v/>
      </c>
      <c r="W492">
        <f>IF($A492="","",COUNTIFS('Таблиця 1'!$B:$B,$A492,'Таблиця 1'!$E:$E,"Інфраструктура",'Таблиця 1'!$L:$L,"Уражено"))</f>
        <v/>
      </c>
      <c r="X492">
        <f>IF($A492="","",SUMIFS('Таблиця 1'!$K:$K,'Таблиця 1'!$B:$B,$A492))</f>
        <v/>
      </c>
    </row>
    <row r="493">
      <c r="A493" s="81">
        <f>IF(A492="","",IF(A492+1&gt;MAX('Таблиця 1'!$B:$B),"",A492+1))</f>
        <v/>
      </c>
      <c r="B493">
        <f>IF($A493="","",COUNTIFS('Таблиця 1'!$B:$B,$A493,'Таблиця 1'!$E:$E,"ЖС ВЗ",'Таблиця 1'!$L:$L,"Уражено"))</f>
        <v/>
      </c>
      <c r="C493">
        <f>IF($A493="","",COUNTIFS('Таблиця 1'!$B:$B,$A493,'Таблиця 1'!$E:$E,"Арт. Системи",'Таблиця 1'!$L:$L,"Уражено"))</f>
        <v/>
      </c>
      <c r="D493">
        <f>IF($A493="","",COUNTIFS('Таблиця 1'!$B:$B,$A493,'Таблиця 1'!$E:$E,"ОВТ",'Таблиця 1'!$L:$L,"Уражено"))</f>
        <v/>
      </c>
      <c r="E493">
        <f>IF($A493="","",COUNTIFS('Таблиця 1'!$B:$B,$A493,'Таблиця 1'!$E:$E,"ППО",'Таблиця 1'!$L:$L,"Уражено"))</f>
        <v/>
      </c>
      <c r="F493">
        <f>IF($A493="","",COUNTIFS('Таблиця 1'!$B:$B,$A493,'Таблиця 1'!$E:$E,"Рембаза",'Таблиця 1'!$L:$L,"Уражено"))</f>
        <v/>
      </c>
      <c r="G493">
        <f>IF($A493="","",COUNTIFS('Таблиця 1'!$B:$B,$A493,'Таблиця 1'!$E:$E,"Склад БК",'Таблиця 1'!$L:$L,"Уражено"))</f>
        <v/>
      </c>
      <c r="H493">
        <f>IF($A493="","",COUNTIFS('Таблиця 1'!$B:$B,$A493,'Таблиця 1'!$E:$E,"Склад ВТМ",'Таблиця 1'!$L:$L,"Уражено"))</f>
        <v/>
      </c>
      <c r="I493">
        <f>IF($A493="","",COUNTIFS('Таблиця 1'!$B:$B,$A493,'Таблиця 1'!$E:$E,"ПУ БпЛА",'Таблиця 1'!$L:$L,"Уражено"))</f>
        <v/>
      </c>
      <c r="J493">
        <f>IF($A493="","",COUNTIFS('Таблиця 1'!$B:$B,$A493,'Таблиця 1'!$E:$E,"СП",'Таблиця 1'!$L:$L,"Уражено"))</f>
        <v/>
      </c>
      <c r="K493">
        <f>IF($A493="","",COUNTIFS('Таблиця 1'!$B:$B,$A493,'Таблиця 1'!$E:$E,"КСП роти",'Таблиця 1'!$L:$L,"Уражено"))</f>
        <v/>
      </c>
      <c r="L493">
        <f>IF($A493="","",COUNTIFS('Таблиця 1'!$B:$B,$A493,'Таблиця 1'!$E:$E,"ПУ бат",'Таблиця 1'!$L:$L,"Уражено"))</f>
        <v/>
      </c>
      <c r="M493">
        <f>IF($A493="","",COUNTIFS('Таблиця 1'!$B:$B,$A493,'Таблиця 1'!$E:$E,"ПУ бриг",'Таблиця 1'!$L:$L,"Уражено"))</f>
        <v/>
      </c>
      <c r="N493">
        <f>IF($A493="","",COUNTIFS('Таблиця 1'!$B:$B,$A493,'Таблиця 1'!$E:$E,"ПУ див",'Таблиця 1'!$L:$L,"Уражено"))</f>
        <v/>
      </c>
      <c r="O493">
        <f>IF($A493="","",COUNTIFS('Таблиця 1'!$B:$B,$A493,'Таблиця 1'!$E:$E,"обл. РЕБ",'Таблиця 1'!$L:$L,"Уражено"))</f>
        <v/>
      </c>
      <c r="P493">
        <f>IF($A493="","",COUNTIFS('Таблиця 1'!$B:$B,$A493,'Таблиця 1'!$E:$E,"пос РЕБ",'Таблиця 1'!$L:$L,"Уражено"))</f>
        <v/>
      </c>
      <c r="Q493">
        <f>IF($A493="","",COUNTIFS('Таблиця 1'!$B:$B,$A493,'Таблиця 1'!$E:$E,"група РЕР",'Таблиця 1'!$L:$L,"Уражено"))</f>
        <v/>
      </c>
      <c r="R493">
        <f>IF($A493="","",COUNTIFS('Таблиця 1'!$B:$B,$A493,'Таблиця 1'!$E:$E,"РЛС КББ",'Таблиця 1'!$L:$L,"Уражено"))</f>
        <v/>
      </c>
      <c r="S493">
        <f>IF($A493="","",COUNTIFS('Таблиця 1'!$B:$B,$A493,'Таблиця 1'!$E:$E,"Ретранслятор",'Таблиця 1'!$L:$L,"Уражено"))</f>
        <v/>
      </c>
      <c r="T493">
        <f>IF($A493="","",COUNTIFS('Таблиця 1'!$B:$B,$A493,'Таблиця 1'!$E:$E,"Вз.зв'язку",'Таблиця 1'!$L:$L,"Уражено"))</f>
        <v/>
      </c>
      <c r="U493">
        <f>IF($A493="","",COUNTIFS('Таблиця 1'!$B:$B,$A493,'Таблиця 1'!$E:$E,"ПММ",'Таблиця 1'!$L:$L,"Уражено"))</f>
        <v/>
      </c>
      <c r="V493">
        <f>IF($A493="","",COUNTIFS('Таблиця 1'!$B:$B,$A493,'Таблиця 1'!$E:$E,"ІФС",'Таблиця 1'!$L:$L,"Уражено"))</f>
        <v/>
      </c>
      <c r="W493">
        <f>IF($A493="","",COUNTIFS('Таблиця 1'!$B:$B,$A493,'Таблиця 1'!$E:$E,"Інфраструктура",'Таблиця 1'!$L:$L,"Уражено"))</f>
        <v/>
      </c>
      <c r="X493">
        <f>IF($A493="","",SUMIFS('Таблиця 1'!$K:$K,'Таблиця 1'!$B:$B,$A493))</f>
        <v/>
      </c>
    </row>
    <row r="494">
      <c r="A494" s="81">
        <f>IF(A493="","",IF(A493+1&gt;MAX('Таблиця 1'!$B:$B),"",A493+1))</f>
        <v/>
      </c>
      <c r="B494">
        <f>IF($A494="","",COUNTIFS('Таблиця 1'!$B:$B,$A494,'Таблиця 1'!$E:$E,"ЖС ВЗ",'Таблиця 1'!$L:$L,"Уражено"))</f>
        <v/>
      </c>
      <c r="C494">
        <f>IF($A494="","",COUNTIFS('Таблиця 1'!$B:$B,$A494,'Таблиця 1'!$E:$E,"Арт. Системи",'Таблиця 1'!$L:$L,"Уражено"))</f>
        <v/>
      </c>
      <c r="D494">
        <f>IF($A494="","",COUNTIFS('Таблиця 1'!$B:$B,$A494,'Таблиця 1'!$E:$E,"ОВТ",'Таблиця 1'!$L:$L,"Уражено"))</f>
        <v/>
      </c>
      <c r="E494">
        <f>IF($A494="","",COUNTIFS('Таблиця 1'!$B:$B,$A494,'Таблиця 1'!$E:$E,"ППО",'Таблиця 1'!$L:$L,"Уражено"))</f>
        <v/>
      </c>
      <c r="F494">
        <f>IF($A494="","",COUNTIFS('Таблиця 1'!$B:$B,$A494,'Таблиця 1'!$E:$E,"Рембаза",'Таблиця 1'!$L:$L,"Уражено"))</f>
        <v/>
      </c>
      <c r="G494">
        <f>IF($A494="","",COUNTIFS('Таблиця 1'!$B:$B,$A494,'Таблиця 1'!$E:$E,"Склад БК",'Таблиця 1'!$L:$L,"Уражено"))</f>
        <v/>
      </c>
      <c r="H494">
        <f>IF($A494="","",COUNTIFS('Таблиця 1'!$B:$B,$A494,'Таблиця 1'!$E:$E,"Склад ВТМ",'Таблиця 1'!$L:$L,"Уражено"))</f>
        <v/>
      </c>
      <c r="I494">
        <f>IF($A494="","",COUNTIFS('Таблиця 1'!$B:$B,$A494,'Таблиця 1'!$E:$E,"ПУ БпЛА",'Таблиця 1'!$L:$L,"Уражено"))</f>
        <v/>
      </c>
      <c r="J494">
        <f>IF($A494="","",COUNTIFS('Таблиця 1'!$B:$B,$A494,'Таблиця 1'!$E:$E,"СП",'Таблиця 1'!$L:$L,"Уражено"))</f>
        <v/>
      </c>
      <c r="K494">
        <f>IF($A494="","",COUNTIFS('Таблиця 1'!$B:$B,$A494,'Таблиця 1'!$E:$E,"КСП роти",'Таблиця 1'!$L:$L,"Уражено"))</f>
        <v/>
      </c>
      <c r="L494">
        <f>IF($A494="","",COUNTIFS('Таблиця 1'!$B:$B,$A494,'Таблиця 1'!$E:$E,"ПУ бат",'Таблиця 1'!$L:$L,"Уражено"))</f>
        <v/>
      </c>
      <c r="M494">
        <f>IF($A494="","",COUNTIFS('Таблиця 1'!$B:$B,$A494,'Таблиця 1'!$E:$E,"ПУ бриг",'Таблиця 1'!$L:$L,"Уражено"))</f>
        <v/>
      </c>
      <c r="N494">
        <f>IF($A494="","",COUNTIFS('Таблиця 1'!$B:$B,$A494,'Таблиця 1'!$E:$E,"ПУ див",'Таблиця 1'!$L:$L,"Уражено"))</f>
        <v/>
      </c>
      <c r="O494">
        <f>IF($A494="","",COUNTIFS('Таблиця 1'!$B:$B,$A494,'Таблиця 1'!$E:$E,"обл. РЕБ",'Таблиця 1'!$L:$L,"Уражено"))</f>
        <v/>
      </c>
      <c r="P494">
        <f>IF($A494="","",COUNTIFS('Таблиця 1'!$B:$B,$A494,'Таблиця 1'!$E:$E,"пос РЕБ",'Таблиця 1'!$L:$L,"Уражено"))</f>
        <v/>
      </c>
      <c r="Q494">
        <f>IF($A494="","",COUNTIFS('Таблиця 1'!$B:$B,$A494,'Таблиця 1'!$E:$E,"група РЕР",'Таблиця 1'!$L:$L,"Уражено"))</f>
        <v/>
      </c>
      <c r="R494">
        <f>IF($A494="","",COUNTIFS('Таблиця 1'!$B:$B,$A494,'Таблиця 1'!$E:$E,"РЛС КББ",'Таблиця 1'!$L:$L,"Уражено"))</f>
        <v/>
      </c>
      <c r="S494">
        <f>IF($A494="","",COUNTIFS('Таблиця 1'!$B:$B,$A494,'Таблиця 1'!$E:$E,"Ретранслятор",'Таблиця 1'!$L:$L,"Уражено"))</f>
        <v/>
      </c>
      <c r="T494">
        <f>IF($A494="","",COUNTIFS('Таблиця 1'!$B:$B,$A494,'Таблиця 1'!$E:$E,"Вз.зв'язку",'Таблиця 1'!$L:$L,"Уражено"))</f>
        <v/>
      </c>
      <c r="U494">
        <f>IF($A494="","",COUNTIFS('Таблиця 1'!$B:$B,$A494,'Таблиця 1'!$E:$E,"ПММ",'Таблиця 1'!$L:$L,"Уражено"))</f>
        <v/>
      </c>
      <c r="V494">
        <f>IF($A494="","",COUNTIFS('Таблиця 1'!$B:$B,$A494,'Таблиця 1'!$E:$E,"ІФС",'Таблиця 1'!$L:$L,"Уражено"))</f>
        <v/>
      </c>
      <c r="W494">
        <f>IF($A494="","",COUNTIFS('Таблиця 1'!$B:$B,$A494,'Таблиця 1'!$E:$E,"Інфраструктура",'Таблиця 1'!$L:$L,"Уражено"))</f>
        <v/>
      </c>
      <c r="X494">
        <f>IF($A494="","",SUMIFS('Таблиця 1'!$K:$K,'Таблиця 1'!$B:$B,$A494))</f>
        <v/>
      </c>
    </row>
    <row r="495">
      <c r="A495" s="81">
        <f>IF(A494="","",IF(A494+1&gt;MAX('Таблиця 1'!$B:$B),"",A494+1))</f>
        <v/>
      </c>
      <c r="B495">
        <f>IF($A495="","",COUNTIFS('Таблиця 1'!$B:$B,$A495,'Таблиця 1'!$E:$E,"ЖС ВЗ",'Таблиця 1'!$L:$L,"Уражено"))</f>
        <v/>
      </c>
      <c r="C495">
        <f>IF($A495="","",COUNTIFS('Таблиця 1'!$B:$B,$A495,'Таблиця 1'!$E:$E,"Арт. Системи",'Таблиця 1'!$L:$L,"Уражено"))</f>
        <v/>
      </c>
      <c r="D495">
        <f>IF($A495="","",COUNTIFS('Таблиця 1'!$B:$B,$A495,'Таблиця 1'!$E:$E,"ОВТ",'Таблиця 1'!$L:$L,"Уражено"))</f>
        <v/>
      </c>
      <c r="E495">
        <f>IF($A495="","",COUNTIFS('Таблиця 1'!$B:$B,$A495,'Таблиця 1'!$E:$E,"ППО",'Таблиця 1'!$L:$L,"Уражено"))</f>
        <v/>
      </c>
      <c r="F495">
        <f>IF($A495="","",COUNTIFS('Таблиця 1'!$B:$B,$A495,'Таблиця 1'!$E:$E,"Рембаза",'Таблиця 1'!$L:$L,"Уражено"))</f>
        <v/>
      </c>
      <c r="G495">
        <f>IF($A495="","",COUNTIFS('Таблиця 1'!$B:$B,$A495,'Таблиця 1'!$E:$E,"Склад БК",'Таблиця 1'!$L:$L,"Уражено"))</f>
        <v/>
      </c>
      <c r="H495">
        <f>IF($A495="","",COUNTIFS('Таблиця 1'!$B:$B,$A495,'Таблиця 1'!$E:$E,"Склад ВТМ",'Таблиця 1'!$L:$L,"Уражено"))</f>
        <v/>
      </c>
      <c r="I495">
        <f>IF($A495="","",COUNTIFS('Таблиця 1'!$B:$B,$A495,'Таблиця 1'!$E:$E,"ПУ БпЛА",'Таблиця 1'!$L:$L,"Уражено"))</f>
        <v/>
      </c>
      <c r="J495">
        <f>IF($A495="","",COUNTIFS('Таблиця 1'!$B:$B,$A495,'Таблиця 1'!$E:$E,"СП",'Таблиця 1'!$L:$L,"Уражено"))</f>
        <v/>
      </c>
      <c r="K495">
        <f>IF($A495="","",COUNTIFS('Таблиця 1'!$B:$B,$A495,'Таблиця 1'!$E:$E,"КСП роти",'Таблиця 1'!$L:$L,"Уражено"))</f>
        <v/>
      </c>
      <c r="L495">
        <f>IF($A495="","",COUNTIFS('Таблиця 1'!$B:$B,$A495,'Таблиця 1'!$E:$E,"ПУ бат",'Таблиця 1'!$L:$L,"Уражено"))</f>
        <v/>
      </c>
      <c r="M495">
        <f>IF($A495="","",COUNTIFS('Таблиця 1'!$B:$B,$A495,'Таблиця 1'!$E:$E,"ПУ бриг",'Таблиця 1'!$L:$L,"Уражено"))</f>
        <v/>
      </c>
      <c r="N495">
        <f>IF($A495="","",COUNTIFS('Таблиця 1'!$B:$B,$A495,'Таблиця 1'!$E:$E,"ПУ див",'Таблиця 1'!$L:$L,"Уражено"))</f>
        <v/>
      </c>
      <c r="O495">
        <f>IF($A495="","",COUNTIFS('Таблиця 1'!$B:$B,$A495,'Таблиця 1'!$E:$E,"обл. РЕБ",'Таблиця 1'!$L:$L,"Уражено"))</f>
        <v/>
      </c>
      <c r="P495">
        <f>IF($A495="","",COUNTIFS('Таблиця 1'!$B:$B,$A495,'Таблиця 1'!$E:$E,"пос РЕБ",'Таблиця 1'!$L:$L,"Уражено"))</f>
        <v/>
      </c>
      <c r="Q495">
        <f>IF($A495="","",COUNTIFS('Таблиця 1'!$B:$B,$A495,'Таблиця 1'!$E:$E,"група РЕР",'Таблиця 1'!$L:$L,"Уражено"))</f>
        <v/>
      </c>
      <c r="R495">
        <f>IF($A495="","",COUNTIFS('Таблиця 1'!$B:$B,$A495,'Таблиця 1'!$E:$E,"РЛС КББ",'Таблиця 1'!$L:$L,"Уражено"))</f>
        <v/>
      </c>
      <c r="S495">
        <f>IF($A495="","",COUNTIFS('Таблиця 1'!$B:$B,$A495,'Таблиця 1'!$E:$E,"Ретранслятор",'Таблиця 1'!$L:$L,"Уражено"))</f>
        <v/>
      </c>
      <c r="T495">
        <f>IF($A495="","",COUNTIFS('Таблиця 1'!$B:$B,$A495,'Таблиця 1'!$E:$E,"Вз.зв'язку",'Таблиця 1'!$L:$L,"Уражено"))</f>
        <v/>
      </c>
      <c r="U495">
        <f>IF($A495="","",COUNTIFS('Таблиця 1'!$B:$B,$A495,'Таблиця 1'!$E:$E,"ПММ",'Таблиця 1'!$L:$L,"Уражено"))</f>
        <v/>
      </c>
      <c r="V495">
        <f>IF($A495="","",COUNTIFS('Таблиця 1'!$B:$B,$A495,'Таблиця 1'!$E:$E,"ІФС",'Таблиця 1'!$L:$L,"Уражено"))</f>
        <v/>
      </c>
      <c r="W495">
        <f>IF($A495="","",COUNTIFS('Таблиця 1'!$B:$B,$A495,'Таблиця 1'!$E:$E,"Інфраструктура",'Таблиця 1'!$L:$L,"Уражено"))</f>
        <v/>
      </c>
      <c r="X495">
        <f>IF($A495="","",SUMIFS('Таблиця 1'!$K:$K,'Таблиця 1'!$B:$B,$A495))</f>
        <v/>
      </c>
    </row>
    <row r="496">
      <c r="A496" s="81">
        <f>IF(A495="","",IF(A495+1&gt;MAX('Таблиця 1'!$B:$B),"",A495+1))</f>
        <v/>
      </c>
      <c r="B496">
        <f>IF($A496="","",COUNTIFS('Таблиця 1'!$B:$B,$A496,'Таблиця 1'!$E:$E,"ЖС ВЗ",'Таблиця 1'!$L:$L,"Уражено"))</f>
        <v/>
      </c>
      <c r="C496">
        <f>IF($A496="","",COUNTIFS('Таблиця 1'!$B:$B,$A496,'Таблиця 1'!$E:$E,"Арт. Системи",'Таблиця 1'!$L:$L,"Уражено"))</f>
        <v/>
      </c>
      <c r="D496">
        <f>IF($A496="","",COUNTIFS('Таблиця 1'!$B:$B,$A496,'Таблиця 1'!$E:$E,"ОВТ",'Таблиця 1'!$L:$L,"Уражено"))</f>
        <v/>
      </c>
      <c r="E496">
        <f>IF($A496="","",COUNTIFS('Таблиця 1'!$B:$B,$A496,'Таблиця 1'!$E:$E,"ППО",'Таблиця 1'!$L:$L,"Уражено"))</f>
        <v/>
      </c>
      <c r="F496">
        <f>IF($A496="","",COUNTIFS('Таблиця 1'!$B:$B,$A496,'Таблиця 1'!$E:$E,"Рембаза",'Таблиця 1'!$L:$L,"Уражено"))</f>
        <v/>
      </c>
      <c r="G496">
        <f>IF($A496="","",COUNTIFS('Таблиця 1'!$B:$B,$A496,'Таблиця 1'!$E:$E,"Склад БК",'Таблиця 1'!$L:$L,"Уражено"))</f>
        <v/>
      </c>
      <c r="H496">
        <f>IF($A496="","",COUNTIFS('Таблиця 1'!$B:$B,$A496,'Таблиця 1'!$E:$E,"Склад ВТМ",'Таблиця 1'!$L:$L,"Уражено"))</f>
        <v/>
      </c>
      <c r="I496">
        <f>IF($A496="","",COUNTIFS('Таблиця 1'!$B:$B,$A496,'Таблиця 1'!$E:$E,"ПУ БпЛА",'Таблиця 1'!$L:$L,"Уражено"))</f>
        <v/>
      </c>
      <c r="J496">
        <f>IF($A496="","",COUNTIFS('Таблиця 1'!$B:$B,$A496,'Таблиця 1'!$E:$E,"СП",'Таблиця 1'!$L:$L,"Уражено"))</f>
        <v/>
      </c>
      <c r="K496">
        <f>IF($A496="","",COUNTIFS('Таблиця 1'!$B:$B,$A496,'Таблиця 1'!$E:$E,"КСП роти",'Таблиця 1'!$L:$L,"Уражено"))</f>
        <v/>
      </c>
      <c r="L496">
        <f>IF($A496="","",COUNTIFS('Таблиця 1'!$B:$B,$A496,'Таблиця 1'!$E:$E,"ПУ бат",'Таблиця 1'!$L:$L,"Уражено"))</f>
        <v/>
      </c>
      <c r="M496">
        <f>IF($A496="","",COUNTIFS('Таблиця 1'!$B:$B,$A496,'Таблиця 1'!$E:$E,"ПУ бриг",'Таблиця 1'!$L:$L,"Уражено"))</f>
        <v/>
      </c>
      <c r="N496">
        <f>IF($A496="","",COUNTIFS('Таблиця 1'!$B:$B,$A496,'Таблиця 1'!$E:$E,"ПУ див",'Таблиця 1'!$L:$L,"Уражено"))</f>
        <v/>
      </c>
      <c r="O496">
        <f>IF($A496="","",COUNTIFS('Таблиця 1'!$B:$B,$A496,'Таблиця 1'!$E:$E,"обл. РЕБ",'Таблиця 1'!$L:$L,"Уражено"))</f>
        <v/>
      </c>
      <c r="P496">
        <f>IF($A496="","",COUNTIFS('Таблиця 1'!$B:$B,$A496,'Таблиця 1'!$E:$E,"пос РЕБ",'Таблиця 1'!$L:$L,"Уражено"))</f>
        <v/>
      </c>
      <c r="Q496">
        <f>IF($A496="","",COUNTIFS('Таблиця 1'!$B:$B,$A496,'Таблиця 1'!$E:$E,"група РЕР",'Таблиця 1'!$L:$L,"Уражено"))</f>
        <v/>
      </c>
      <c r="R496">
        <f>IF($A496="","",COUNTIFS('Таблиця 1'!$B:$B,$A496,'Таблиця 1'!$E:$E,"РЛС КББ",'Таблиця 1'!$L:$L,"Уражено"))</f>
        <v/>
      </c>
      <c r="S496">
        <f>IF($A496="","",COUNTIFS('Таблиця 1'!$B:$B,$A496,'Таблиця 1'!$E:$E,"Ретранслятор",'Таблиця 1'!$L:$L,"Уражено"))</f>
        <v/>
      </c>
      <c r="T496">
        <f>IF($A496="","",COUNTIFS('Таблиця 1'!$B:$B,$A496,'Таблиця 1'!$E:$E,"Вз.зв'язку",'Таблиця 1'!$L:$L,"Уражено"))</f>
        <v/>
      </c>
      <c r="U496">
        <f>IF($A496="","",COUNTIFS('Таблиця 1'!$B:$B,$A496,'Таблиця 1'!$E:$E,"ПММ",'Таблиця 1'!$L:$L,"Уражено"))</f>
        <v/>
      </c>
      <c r="V496">
        <f>IF($A496="","",COUNTIFS('Таблиця 1'!$B:$B,$A496,'Таблиця 1'!$E:$E,"ІФС",'Таблиця 1'!$L:$L,"Уражено"))</f>
        <v/>
      </c>
      <c r="W496">
        <f>IF($A496="","",COUNTIFS('Таблиця 1'!$B:$B,$A496,'Таблиця 1'!$E:$E,"Інфраструктура",'Таблиця 1'!$L:$L,"Уражено"))</f>
        <v/>
      </c>
      <c r="X496">
        <f>IF($A496="","",SUMIFS('Таблиця 1'!$K:$K,'Таблиця 1'!$B:$B,$A496))</f>
        <v/>
      </c>
    </row>
    <row r="497">
      <c r="A497" s="81">
        <f>IF(A496="","",IF(A496+1&gt;MAX('Таблиця 1'!$B:$B),"",A496+1))</f>
        <v/>
      </c>
      <c r="B497">
        <f>IF($A497="","",COUNTIFS('Таблиця 1'!$B:$B,$A497,'Таблиця 1'!$E:$E,"ЖС ВЗ",'Таблиця 1'!$L:$L,"Уражено"))</f>
        <v/>
      </c>
      <c r="C497">
        <f>IF($A497="","",COUNTIFS('Таблиця 1'!$B:$B,$A497,'Таблиця 1'!$E:$E,"Арт. Системи",'Таблиця 1'!$L:$L,"Уражено"))</f>
        <v/>
      </c>
      <c r="D497">
        <f>IF($A497="","",COUNTIFS('Таблиця 1'!$B:$B,$A497,'Таблиця 1'!$E:$E,"ОВТ",'Таблиця 1'!$L:$L,"Уражено"))</f>
        <v/>
      </c>
      <c r="E497">
        <f>IF($A497="","",COUNTIFS('Таблиця 1'!$B:$B,$A497,'Таблиця 1'!$E:$E,"ППО",'Таблиця 1'!$L:$L,"Уражено"))</f>
        <v/>
      </c>
      <c r="F497">
        <f>IF($A497="","",COUNTIFS('Таблиця 1'!$B:$B,$A497,'Таблиця 1'!$E:$E,"Рембаза",'Таблиця 1'!$L:$L,"Уражено"))</f>
        <v/>
      </c>
      <c r="G497">
        <f>IF($A497="","",COUNTIFS('Таблиця 1'!$B:$B,$A497,'Таблиця 1'!$E:$E,"Склад БК",'Таблиця 1'!$L:$L,"Уражено"))</f>
        <v/>
      </c>
      <c r="H497">
        <f>IF($A497="","",COUNTIFS('Таблиця 1'!$B:$B,$A497,'Таблиця 1'!$E:$E,"Склад ВТМ",'Таблиця 1'!$L:$L,"Уражено"))</f>
        <v/>
      </c>
      <c r="I497">
        <f>IF($A497="","",COUNTIFS('Таблиця 1'!$B:$B,$A497,'Таблиця 1'!$E:$E,"ПУ БпЛА",'Таблиця 1'!$L:$L,"Уражено"))</f>
        <v/>
      </c>
      <c r="J497">
        <f>IF($A497="","",COUNTIFS('Таблиця 1'!$B:$B,$A497,'Таблиця 1'!$E:$E,"СП",'Таблиця 1'!$L:$L,"Уражено"))</f>
        <v/>
      </c>
      <c r="K497">
        <f>IF($A497="","",COUNTIFS('Таблиця 1'!$B:$B,$A497,'Таблиця 1'!$E:$E,"КСП роти",'Таблиця 1'!$L:$L,"Уражено"))</f>
        <v/>
      </c>
      <c r="L497">
        <f>IF($A497="","",COUNTIFS('Таблиця 1'!$B:$B,$A497,'Таблиця 1'!$E:$E,"ПУ бат",'Таблиця 1'!$L:$L,"Уражено"))</f>
        <v/>
      </c>
      <c r="M497">
        <f>IF($A497="","",COUNTIFS('Таблиця 1'!$B:$B,$A497,'Таблиця 1'!$E:$E,"ПУ бриг",'Таблиця 1'!$L:$L,"Уражено"))</f>
        <v/>
      </c>
      <c r="N497">
        <f>IF($A497="","",COUNTIFS('Таблиця 1'!$B:$B,$A497,'Таблиця 1'!$E:$E,"ПУ див",'Таблиця 1'!$L:$L,"Уражено"))</f>
        <v/>
      </c>
      <c r="O497">
        <f>IF($A497="","",COUNTIFS('Таблиця 1'!$B:$B,$A497,'Таблиця 1'!$E:$E,"обл. РЕБ",'Таблиця 1'!$L:$L,"Уражено"))</f>
        <v/>
      </c>
      <c r="P497">
        <f>IF($A497="","",COUNTIFS('Таблиця 1'!$B:$B,$A497,'Таблиця 1'!$E:$E,"пос РЕБ",'Таблиця 1'!$L:$L,"Уражено"))</f>
        <v/>
      </c>
      <c r="Q497">
        <f>IF($A497="","",COUNTIFS('Таблиця 1'!$B:$B,$A497,'Таблиця 1'!$E:$E,"група РЕР",'Таблиця 1'!$L:$L,"Уражено"))</f>
        <v/>
      </c>
      <c r="R497">
        <f>IF($A497="","",COUNTIFS('Таблиця 1'!$B:$B,$A497,'Таблиця 1'!$E:$E,"РЛС КББ",'Таблиця 1'!$L:$L,"Уражено"))</f>
        <v/>
      </c>
      <c r="S497">
        <f>IF($A497="","",COUNTIFS('Таблиця 1'!$B:$B,$A497,'Таблиця 1'!$E:$E,"Ретранслятор",'Таблиця 1'!$L:$L,"Уражено"))</f>
        <v/>
      </c>
      <c r="T497">
        <f>IF($A497="","",COUNTIFS('Таблиця 1'!$B:$B,$A497,'Таблиця 1'!$E:$E,"Вз.зв'язку",'Таблиця 1'!$L:$L,"Уражено"))</f>
        <v/>
      </c>
      <c r="U497">
        <f>IF($A497="","",COUNTIFS('Таблиця 1'!$B:$B,$A497,'Таблиця 1'!$E:$E,"ПММ",'Таблиця 1'!$L:$L,"Уражено"))</f>
        <v/>
      </c>
      <c r="V497">
        <f>IF($A497="","",COUNTIFS('Таблиця 1'!$B:$B,$A497,'Таблиця 1'!$E:$E,"ІФС",'Таблиця 1'!$L:$L,"Уражено"))</f>
        <v/>
      </c>
      <c r="W497">
        <f>IF($A497="","",COUNTIFS('Таблиця 1'!$B:$B,$A497,'Таблиця 1'!$E:$E,"Інфраструктура",'Таблиця 1'!$L:$L,"Уражено"))</f>
        <v/>
      </c>
      <c r="X497">
        <f>IF($A497="","",SUMIFS('Таблиця 1'!$K:$K,'Таблиця 1'!$B:$B,$A497))</f>
        <v/>
      </c>
    </row>
    <row r="498">
      <c r="A498" s="81">
        <f>IF(A497="","",IF(A497+1&gt;MAX('Таблиця 1'!$B:$B),"",A497+1))</f>
        <v/>
      </c>
      <c r="B498">
        <f>IF($A498="","",COUNTIFS('Таблиця 1'!$B:$B,$A498,'Таблиця 1'!$E:$E,"ЖС ВЗ",'Таблиця 1'!$L:$L,"Уражено"))</f>
        <v/>
      </c>
      <c r="C498">
        <f>IF($A498="","",COUNTIFS('Таблиця 1'!$B:$B,$A498,'Таблиця 1'!$E:$E,"Арт. Системи",'Таблиця 1'!$L:$L,"Уражено"))</f>
        <v/>
      </c>
      <c r="D498">
        <f>IF($A498="","",COUNTIFS('Таблиця 1'!$B:$B,$A498,'Таблиця 1'!$E:$E,"ОВТ",'Таблиця 1'!$L:$L,"Уражено"))</f>
        <v/>
      </c>
      <c r="E498">
        <f>IF($A498="","",COUNTIFS('Таблиця 1'!$B:$B,$A498,'Таблиця 1'!$E:$E,"ППО",'Таблиця 1'!$L:$L,"Уражено"))</f>
        <v/>
      </c>
      <c r="F498">
        <f>IF($A498="","",COUNTIFS('Таблиця 1'!$B:$B,$A498,'Таблиця 1'!$E:$E,"Рембаза",'Таблиця 1'!$L:$L,"Уражено"))</f>
        <v/>
      </c>
      <c r="G498">
        <f>IF($A498="","",COUNTIFS('Таблиця 1'!$B:$B,$A498,'Таблиця 1'!$E:$E,"Склад БК",'Таблиця 1'!$L:$L,"Уражено"))</f>
        <v/>
      </c>
      <c r="H498">
        <f>IF($A498="","",COUNTIFS('Таблиця 1'!$B:$B,$A498,'Таблиця 1'!$E:$E,"Склад ВТМ",'Таблиця 1'!$L:$L,"Уражено"))</f>
        <v/>
      </c>
      <c r="I498">
        <f>IF($A498="","",COUNTIFS('Таблиця 1'!$B:$B,$A498,'Таблиця 1'!$E:$E,"ПУ БпЛА",'Таблиця 1'!$L:$L,"Уражено"))</f>
        <v/>
      </c>
      <c r="J498">
        <f>IF($A498="","",COUNTIFS('Таблиця 1'!$B:$B,$A498,'Таблиця 1'!$E:$E,"СП",'Таблиця 1'!$L:$L,"Уражено"))</f>
        <v/>
      </c>
      <c r="K498">
        <f>IF($A498="","",COUNTIFS('Таблиця 1'!$B:$B,$A498,'Таблиця 1'!$E:$E,"КСП роти",'Таблиця 1'!$L:$L,"Уражено"))</f>
        <v/>
      </c>
      <c r="L498">
        <f>IF($A498="","",COUNTIFS('Таблиця 1'!$B:$B,$A498,'Таблиця 1'!$E:$E,"ПУ бат",'Таблиця 1'!$L:$L,"Уражено"))</f>
        <v/>
      </c>
      <c r="M498">
        <f>IF($A498="","",COUNTIFS('Таблиця 1'!$B:$B,$A498,'Таблиця 1'!$E:$E,"ПУ бриг",'Таблиця 1'!$L:$L,"Уражено"))</f>
        <v/>
      </c>
      <c r="N498">
        <f>IF($A498="","",COUNTIFS('Таблиця 1'!$B:$B,$A498,'Таблиця 1'!$E:$E,"ПУ див",'Таблиця 1'!$L:$L,"Уражено"))</f>
        <v/>
      </c>
      <c r="O498">
        <f>IF($A498="","",COUNTIFS('Таблиця 1'!$B:$B,$A498,'Таблиця 1'!$E:$E,"обл. РЕБ",'Таблиця 1'!$L:$L,"Уражено"))</f>
        <v/>
      </c>
      <c r="P498">
        <f>IF($A498="","",COUNTIFS('Таблиця 1'!$B:$B,$A498,'Таблиця 1'!$E:$E,"пос РЕБ",'Таблиця 1'!$L:$L,"Уражено"))</f>
        <v/>
      </c>
      <c r="Q498">
        <f>IF($A498="","",COUNTIFS('Таблиця 1'!$B:$B,$A498,'Таблиця 1'!$E:$E,"група РЕР",'Таблиця 1'!$L:$L,"Уражено"))</f>
        <v/>
      </c>
      <c r="R498">
        <f>IF($A498="","",COUNTIFS('Таблиця 1'!$B:$B,$A498,'Таблиця 1'!$E:$E,"РЛС КББ",'Таблиця 1'!$L:$L,"Уражено"))</f>
        <v/>
      </c>
      <c r="S498">
        <f>IF($A498="","",COUNTIFS('Таблиця 1'!$B:$B,$A498,'Таблиця 1'!$E:$E,"Ретранслятор",'Таблиця 1'!$L:$L,"Уражено"))</f>
        <v/>
      </c>
      <c r="T498">
        <f>IF($A498="","",COUNTIFS('Таблиця 1'!$B:$B,$A498,'Таблиця 1'!$E:$E,"Вз.зв'язку",'Таблиця 1'!$L:$L,"Уражено"))</f>
        <v/>
      </c>
      <c r="U498">
        <f>IF($A498="","",COUNTIFS('Таблиця 1'!$B:$B,$A498,'Таблиця 1'!$E:$E,"ПММ",'Таблиця 1'!$L:$L,"Уражено"))</f>
        <v/>
      </c>
      <c r="V498">
        <f>IF($A498="","",COUNTIFS('Таблиця 1'!$B:$B,$A498,'Таблиця 1'!$E:$E,"ІФС",'Таблиця 1'!$L:$L,"Уражено"))</f>
        <v/>
      </c>
      <c r="W498">
        <f>IF($A498="","",COUNTIFS('Таблиця 1'!$B:$B,$A498,'Таблиця 1'!$E:$E,"Інфраструктура",'Таблиця 1'!$L:$L,"Уражено"))</f>
        <v/>
      </c>
      <c r="X498">
        <f>IF($A498="","",SUMIFS('Таблиця 1'!$K:$K,'Таблиця 1'!$B:$B,$A498))</f>
        <v/>
      </c>
    </row>
    <row r="499">
      <c r="A499" s="81">
        <f>IF(A498="","",IF(A498+1&gt;MAX('Таблиця 1'!$B:$B),"",A498+1))</f>
        <v/>
      </c>
      <c r="B499">
        <f>IF($A499="","",COUNTIFS('Таблиця 1'!$B:$B,$A499,'Таблиця 1'!$E:$E,"ЖС ВЗ",'Таблиця 1'!$L:$L,"Уражено"))</f>
        <v/>
      </c>
      <c r="C499">
        <f>IF($A499="","",COUNTIFS('Таблиця 1'!$B:$B,$A499,'Таблиця 1'!$E:$E,"Арт. Системи",'Таблиця 1'!$L:$L,"Уражено"))</f>
        <v/>
      </c>
      <c r="D499">
        <f>IF($A499="","",COUNTIFS('Таблиця 1'!$B:$B,$A499,'Таблиця 1'!$E:$E,"ОВТ",'Таблиця 1'!$L:$L,"Уражено"))</f>
        <v/>
      </c>
      <c r="E499">
        <f>IF($A499="","",COUNTIFS('Таблиця 1'!$B:$B,$A499,'Таблиця 1'!$E:$E,"ППО",'Таблиця 1'!$L:$L,"Уражено"))</f>
        <v/>
      </c>
      <c r="F499">
        <f>IF($A499="","",COUNTIFS('Таблиця 1'!$B:$B,$A499,'Таблиця 1'!$E:$E,"Рембаза",'Таблиця 1'!$L:$L,"Уражено"))</f>
        <v/>
      </c>
      <c r="G499">
        <f>IF($A499="","",COUNTIFS('Таблиця 1'!$B:$B,$A499,'Таблиця 1'!$E:$E,"Склад БК",'Таблиця 1'!$L:$L,"Уражено"))</f>
        <v/>
      </c>
      <c r="H499">
        <f>IF($A499="","",COUNTIFS('Таблиця 1'!$B:$B,$A499,'Таблиця 1'!$E:$E,"Склад ВТМ",'Таблиця 1'!$L:$L,"Уражено"))</f>
        <v/>
      </c>
      <c r="I499">
        <f>IF($A499="","",COUNTIFS('Таблиця 1'!$B:$B,$A499,'Таблиця 1'!$E:$E,"ПУ БпЛА",'Таблиця 1'!$L:$L,"Уражено"))</f>
        <v/>
      </c>
      <c r="J499">
        <f>IF($A499="","",COUNTIFS('Таблиця 1'!$B:$B,$A499,'Таблиця 1'!$E:$E,"СП",'Таблиця 1'!$L:$L,"Уражено"))</f>
        <v/>
      </c>
      <c r="K499">
        <f>IF($A499="","",COUNTIFS('Таблиця 1'!$B:$B,$A499,'Таблиця 1'!$E:$E,"КСП роти",'Таблиця 1'!$L:$L,"Уражено"))</f>
        <v/>
      </c>
      <c r="L499">
        <f>IF($A499="","",COUNTIFS('Таблиця 1'!$B:$B,$A499,'Таблиця 1'!$E:$E,"ПУ бат",'Таблиця 1'!$L:$L,"Уражено"))</f>
        <v/>
      </c>
      <c r="M499">
        <f>IF($A499="","",COUNTIFS('Таблиця 1'!$B:$B,$A499,'Таблиця 1'!$E:$E,"ПУ бриг",'Таблиця 1'!$L:$L,"Уражено"))</f>
        <v/>
      </c>
      <c r="N499">
        <f>IF($A499="","",COUNTIFS('Таблиця 1'!$B:$B,$A499,'Таблиця 1'!$E:$E,"ПУ див",'Таблиця 1'!$L:$L,"Уражено"))</f>
        <v/>
      </c>
      <c r="O499">
        <f>IF($A499="","",COUNTIFS('Таблиця 1'!$B:$B,$A499,'Таблиця 1'!$E:$E,"обл. РЕБ",'Таблиця 1'!$L:$L,"Уражено"))</f>
        <v/>
      </c>
      <c r="P499">
        <f>IF($A499="","",COUNTIFS('Таблиця 1'!$B:$B,$A499,'Таблиця 1'!$E:$E,"пос РЕБ",'Таблиця 1'!$L:$L,"Уражено"))</f>
        <v/>
      </c>
      <c r="Q499">
        <f>IF($A499="","",COUNTIFS('Таблиця 1'!$B:$B,$A499,'Таблиця 1'!$E:$E,"група РЕР",'Таблиця 1'!$L:$L,"Уражено"))</f>
        <v/>
      </c>
      <c r="R499">
        <f>IF($A499="","",COUNTIFS('Таблиця 1'!$B:$B,$A499,'Таблиця 1'!$E:$E,"РЛС КББ",'Таблиця 1'!$L:$L,"Уражено"))</f>
        <v/>
      </c>
      <c r="S499">
        <f>IF($A499="","",COUNTIFS('Таблиця 1'!$B:$B,$A499,'Таблиця 1'!$E:$E,"Ретранслятор",'Таблиця 1'!$L:$L,"Уражено"))</f>
        <v/>
      </c>
      <c r="T499">
        <f>IF($A499="","",COUNTIFS('Таблиця 1'!$B:$B,$A499,'Таблиця 1'!$E:$E,"Вз.зв'язку",'Таблиця 1'!$L:$L,"Уражено"))</f>
        <v/>
      </c>
      <c r="U499">
        <f>IF($A499="","",COUNTIFS('Таблиця 1'!$B:$B,$A499,'Таблиця 1'!$E:$E,"ПММ",'Таблиця 1'!$L:$L,"Уражено"))</f>
        <v/>
      </c>
      <c r="V499">
        <f>IF($A499="","",COUNTIFS('Таблиця 1'!$B:$B,$A499,'Таблиця 1'!$E:$E,"ІФС",'Таблиця 1'!$L:$L,"Уражено"))</f>
        <v/>
      </c>
      <c r="W499">
        <f>IF($A499="","",COUNTIFS('Таблиця 1'!$B:$B,$A499,'Таблиця 1'!$E:$E,"Інфраструктура",'Таблиця 1'!$L:$L,"Уражено"))</f>
        <v/>
      </c>
      <c r="X499">
        <f>IF($A499="","",SUMIFS('Таблиця 1'!$K:$K,'Таблиця 1'!$B:$B,$A499))</f>
        <v/>
      </c>
    </row>
    <row r="500">
      <c r="A500" s="81">
        <f>IF(A499="","",IF(A499+1&gt;MAX('Таблиця 1'!$B:$B),"",A499+1))</f>
        <v/>
      </c>
      <c r="B500">
        <f>IF($A500="","",COUNTIFS('Таблиця 1'!$B:$B,$A500,'Таблиця 1'!$E:$E,"ЖС ВЗ",'Таблиця 1'!$L:$L,"Уражено"))</f>
        <v/>
      </c>
      <c r="C500">
        <f>IF($A500="","",COUNTIFS('Таблиця 1'!$B:$B,$A500,'Таблиця 1'!$E:$E,"Арт. Системи",'Таблиця 1'!$L:$L,"Уражено"))</f>
        <v/>
      </c>
      <c r="D500">
        <f>IF($A500="","",COUNTIFS('Таблиця 1'!$B:$B,$A500,'Таблиця 1'!$E:$E,"ОВТ",'Таблиця 1'!$L:$L,"Уражено"))</f>
        <v/>
      </c>
      <c r="E500">
        <f>IF($A500="","",COUNTIFS('Таблиця 1'!$B:$B,$A500,'Таблиця 1'!$E:$E,"ППО",'Таблиця 1'!$L:$L,"Уражено"))</f>
        <v/>
      </c>
      <c r="F500">
        <f>IF($A500="","",COUNTIFS('Таблиця 1'!$B:$B,$A500,'Таблиця 1'!$E:$E,"Рембаза",'Таблиця 1'!$L:$L,"Уражено"))</f>
        <v/>
      </c>
      <c r="G500">
        <f>IF($A500="","",COUNTIFS('Таблиця 1'!$B:$B,$A500,'Таблиця 1'!$E:$E,"Склад БК",'Таблиця 1'!$L:$L,"Уражено"))</f>
        <v/>
      </c>
      <c r="H500">
        <f>IF($A500="","",COUNTIFS('Таблиця 1'!$B:$B,$A500,'Таблиця 1'!$E:$E,"Склад ВТМ",'Таблиця 1'!$L:$L,"Уражено"))</f>
        <v/>
      </c>
      <c r="I500">
        <f>IF($A500="","",COUNTIFS('Таблиця 1'!$B:$B,$A500,'Таблиця 1'!$E:$E,"ПУ БпЛА",'Таблиця 1'!$L:$L,"Уражено"))</f>
        <v/>
      </c>
      <c r="J500">
        <f>IF($A500="","",COUNTIFS('Таблиця 1'!$B:$B,$A500,'Таблиця 1'!$E:$E,"СП",'Таблиця 1'!$L:$L,"Уражено"))</f>
        <v/>
      </c>
      <c r="K500">
        <f>IF($A500="","",COUNTIFS('Таблиця 1'!$B:$B,$A500,'Таблиця 1'!$E:$E,"КСП роти",'Таблиця 1'!$L:$L,"Уражено"))</f>
        <v/>
      </c>
      <c r="L500">
        <f>IF($A500="","",COUNTIFS('Таблиця 1'!$B:$B,$A500,'Таблиця 1'!$E:$E,"ПУ бат",'Таблиця 1'!$L:$L,"Уражено"))</f>
        <v/>
      </c>
      <c r="M500">
        <f>IF($A500="","",COUNTIFS('Таблиця 1'!$B:$B,$A500,'Таблиця 1'!$E:$E,"ПУ бриг",'Таблиця 1'!$L:$L,"Уражено"))</f>
        <v/>
      </c>
      <c r="N500">
        <f>IF($A500="","",COUNTIFS('Таблиця 1'!$B:$B,$A500,'Таблиця 1'!$E:$E,"ПУ див",'Таблиця 1'!$L:$L,"Уражено"))</f>
        <v/>
      </c>
      <c r="O500">
        <f>IF($A500="","",COUNTIFS('Таблиця 1'!$B:$B,$A500,'Таблиця 1'!$E:$E,"обл. РЕБ",'Таблиця 1'!$L:$L,"Уражено"))</f>
        <v/>
      </c>
      <c r="P500">
        <f>IF($A500="","",COUNTIFS('Таблиця 1'!$B:$B,$A500,'Таблиця 1'!$E:$E,"пос РЕБ",'Таблиця 1'!$L:$L,"Уражено"))</f>
        <v/>
      </c>
      <c r="Q500">
        <f>IF($A500="","",COUNTIFS('Таблиця 1'!$B:$B,$A500,'Таблиця 1'!$E:$E,"група РЕР",'Таблиця 1'!$L:$L,"Уражено"))</f>
        <v/>
      </c>
      <c r="R500">
        <f>IF($A500="","",COUNTIFS('Таблиця 1'!$B:$B,$A500,'Таблиця 1'!$E:$E,"РЛС КББ",'Таблиця 1'!$L:$L,"Уражено"))</f>
        <v/>
      </c>
      <c r="S500">
        <f>IF($A500="","",COUNTIFS('Таблиця 1'!$B:$B,$A500,'Таблиця 1'!$E:$E,"Ретранслятор",'Таблиця 1'!$L:$L,"Уражено"))</f>
        <v/>
      </c>
      <c r="T500">
        <f>IF($A500="","",COUNTIFS('Таблиця 1'!$B:$B,$A500,'Таблиця 1'!$E:$E,"Вз.зв'язку",'Таблиця 1'!$L:$L,"Уражено"))</f>
        <v/>
      </c>
      <c r="U500">
        <f>IF($A500="","",COUNTIFS('Таблиця 1'!$B:$B,$A500,'Таблиця 1'!$E:$E,"ПММ",'Таблиця 1'!$L:$L,"Уражено"))</f>
        <v/>
      </c>
      <c r="V500">
        <f>IF($A500="","",COUNTIFS('Таблиця 1'!$B:$B,$A500,'Таблиця 1'!$E:$E,"ІФС",'Таблиця 1'!$L:$L,"Уражено"))</f>
        <v/>
      </c>
      <c r="W500">
        <f>IF($A500="","",COUNTIFS('Таблиця 1'!$B:$B,$A500,'Таблиця 1'!$E:$E,"Інфраструктура",'Таблиця 1'!$L:$L,"Уражено"))</f>
        <v/>
      </c>
      <c r="X500">
        <f>IF($A500="","",SUMIFS('Таблиця 1'!$K:$K,'Таблиця 1'!$B:$B,$A500))</f>
        <v/>
      </c>
    </row>
    <row r="501">
      <c r="A501" s="81">
        <f>IF(A500="","",IF(A500+1&gt;MAX('Таблиця 1'!$B:$B),"",A500+1))</f>
        <v/>
      </c>
      <c r="B501">
        <f>IF($A501="","",COUNTIFS('Таблиця 1'!$B:$B,$A501,'Таблиця 1'!$E:$E,"ЖС ВЗ",'Таблиця 1'!$L:$L,"Уражено"))</f>
        <v/>
      </c>
      <c r="C501">
        <f>IF($A501="","",COUNTIFS('Таблиця 1'!$B:$B,$A501,'Таблиця 1'!$E:$E,"Арт. Системи",'Таблиця 1'!$L:$L,"Уражено"))</f>
        <v/>
      </c>
      <c r="D501">
        <f>IF($A501="","",COUNTIFS('Таблиця 1'!$B:$B,$A501,'Таблиця 1'!$E:$E,"ОВТ",'Таблиця 1'!$L:$L,"Уражено"))</f>
        <v/>
      </c>
      <c r="E501">
        <f>IF($A501="","",COUNTIFS('Таблиця 1'!$B:$B,$A501,'Таблиця 1'!$E:$E,"ППО",'Таблиця 1'!$L:$L,"Уражено"))</f>
        <v/>
      </c>
      <c r="F501">
        <f>IF($A501="","",COUNTIFS('Таблиця 1'!$B:$B,$A501,'Таблиця 1'!$E:$E,"Рембаза",'Таблиця 1'!$L:$L,"Уражено"))</f>
        <v/>
      </c>
      <c r="G501">
        <f>IF($A501="","",COUNTIFS('Таблиця 1'!$B:$B,$A501,'Таблиця 1'!$E:$E,"Склад БК",'Таблиця 1'!$L:$L,"Уражено"))</f>
        <v/>
      </c>
      <c r="H501">
        <f>IF($A501="","",COUNTIFS('Таблиця 1'!$B:$B,$A501,'Таблиця 1'!$E:$E,"Склад ВТМ",'Таблиця 1'!$L:$L,"Уражено"))</f>
        <v/>
      </c>
      <c r="I501">
        <f>IF($A501="","",COUNTIFS('Таблиця 1'!$B:$B,$A501,'Таблиця 1'!$E:$E,"ПУ БпЛА",'Таблиця 1'!$L:$L,"Уражено"))</f>
        <v/>
      </c>
      <c r="J501">
        <f>IF($A501="","",COUNTIFS('Таблиця 1'!$B:$B,$A501,'Таблиця 1'!$E:$E,"СП",'Таблиця 1'!$L:$L,"Уражено"))</f>
        <v/>
      </c>
      <c r="K501">
        <f>IF($A501="","",COUNTIFS('Таблиця 1'!$B:$B,$A501,'Таблиця 1'!$E:$E,"КСП роти",'Таблиця 1'!$L:$L,"Уражено"))</f>
        <v/>
      </c>
      <c r="L501">
        <f>IF($A501="","",COUNTIFS('Таблиця 1'!$B:$B,$A501,'Таблиця 1'!$E:$E,"ПУ бат",'Таблиця 1'!$L:$L,"Уражено"))</f>
        <v/>
      </c>
      <c r="M501">
        <f>IF($A501="","",COUNTIFS('Таблиця 1'!$B:$B,$A501,'Таблиця 1'!$E:$E,"ПУ бриг",'Таблиця 1'!$L:$L,"Уражено"))</f>
        <v/>
      </c>
      <c r="N501">
        <f>IF($A501="","",COUNTIFS('Таблиця 1'!$B:$B,$A501,'Таблиця 1'!$E:$E,"ПУ див",'Таблиця 1'!$L:$L,"Уражено"))</f>
        <v/>
      </c>
      <c r="O501">
        <f>IF($A501="","",COUNTIFS('Таблиця 1'!$B:$B,$A501,'Таблиця 1'!$E:$E,"обл. РЕБ",'Таблиця 1'!$L:$L,"Уражено"))</f>
        <v/>
      </c>
      <c r="P501">
        <f>IF($A501="","",COUNTIFS('Таблиця 1'!$B:$B,$A501,'Таблиця 1'!$E:$E,"пос РЕБ",'Таблиця 1'!$L:$L,"Уражено"))</f>
        <v/>
      </c>
      <c r="Q501">
        <f>IF($A501="","",COUNTIFS('Таблиця 1'!$B:$B,$A501,'Таблиця 1'!$E:$E,"група РЕР",'Таблиця 1'!$L:$L,"Уражено"))</f>
        <v/>
      </c>
      <c r="R501">
        <f>IF($A501="","",COUNTIFS('Таблиця 1'!$B:$B,$A501,'Таблиця 1'!$E:$E,"РЛС КББ",'Таблиця 1'!$L:$L,"Уражено"))</f>
        <v/>
      </c>
      <c r="S501">
        <f>IF($A501="","",COUNTIFS('Таблиця 1'!$B:$B,$A501,'Таблиця 1'!$E:$E,"Ретранслятор",'Таблиця 1'!$L:$L,"Уражено"))</f>
        <v/>
      </c>
      <c r="T501">
        <f>IF($A501="","",COUNTIFS('Таблиця 1'!$B:$B,$A501,'Таблиця 1'!$E:$E,"Вз.зв'язку",'Таблиця 1'!$L:$L,"Уражено"))</f>
        <v/>
      </c>
      <c r="U501">
        <f>IF($A501="","",COUNTIFS('Таблиця 1'!$B:$B,$A501,'Таблиця 1'!$E:$E,"ПММ",'Таблиця 1'!$L:$L,"Уражено"))</f>
        <v/>
      </c>
      <c r="V501">
        <f>IF($A501="","",COUNTIFS('Таблиця 1'!$B:$B,$A501,'Таблиця 1'!$E:$E,"ІФС",'Таблиця 1'!$L:$L,"Уражено"))</f>
        <v/>
      </c>
      <c r="W501">
        <f>IF($A501="","",COUNTIFS('Таблиця 1'!$B:$B,$A501,'Таблиця 1'!$E:$E,"Інфраструктура",'Таблиця 1'!$L:$L,"Уражено"))</f>
        <v/>
      </c>
      <c r="X501">
        <f>IF($A501="","",SUMIFS('Таблиця 1'!$K:$K,'Таблиця 1'!$B:$B,$A501))</f>
        <v/>
      </c>
    </row>
    <row r="502">
      <c r="A502" s="81">
        <f>IF(A501="","",IF(A501+1&gt;MAX('Таблиця 1'!$B:$B),"",A501+1))</f>
        <v/>
      </c>
      <c r="B502">
        <f>IF($A502="","",COUNTIFS('Таблиця 1'!$B:$B,$A502,'Таблиця 1'!$E:$E,"ЖС ВЗ",'Таблиця 1'!$L:$L,"Уражено"))</f>
        <v/>
      </c>
      <c r="C502">
        <f>IF($A502="","",COUNTIFS('Таблиця 1'!$B:$B,$A502,'Таблиця 1'!$E:$E,"Арт. Системи",'Таблиця 1'!$L:$L,"Уражено"))</f>
        <v/>
      </c>
      <c r="D502">
        <f>IF($A502="","",COUNTIFS('Таблиця 1'!$B:$B,$A502,'Таблиця 1'!$E:$E,"ОВТ",'Таблиця 1'!$L:$L,"Уражено"))</f>
        <v/>
      </c>
      <c r="E502">
        <f>IF($A502="","",COUNTIFS('Таблиця 1'!$B:$B,$A502,'Таблиця 1'!$E:$E,"ППО",'Таблиця 1'!$L:$L,"Уражено"))</f>
        <v/>
      </c>
      <c r="F502">
        <f>IF($A502="","",COUNTIFS('Таблиця 1'!$B:$B,$A502,'Таблиця 1'!$E:$E,"Рембаза",'Таблиця 1'!$L:$L,"Уражено"))</f>
        <v/>
      </c>
      <c r="G502">
        <f>IF($A502="","",COUNTIFS('Таблиця 1'!$B:$B,$A502,'Таблиця 1'!$E:$E,"Склад БК",'Таблиця 1'!$L:$L,"Уражено"))</f>
        <v/>
      </c>
      <c r="H502">
        <f>IF($A502="","",COUNTIFS('Таблиця 1'!$B:$B,$A502,'Таблиця 1'!$E:$E,"Склад ВТМ",'Таблиця 1'!$L:$L,"Уражено"))</f>
        <v/>
      </c>
      <c r="I502">
        <f>IF($A502="","",COUNTIFS('Таблиця 1'!$B:$B,$A502,'Таблиця 1'!$E:$E,"ПУ БпЛА",'Таблиця 1'!$L:$L,"Уражено"))</f>
        <v/>
      </c>
      <c r="J502">
        <f>IF($A502="","",COUNTIFS('Таблиця 1'!$B:$B,$A502,'Таблиця 1'!$E:$E,"СП",'Таблиця 1'!$L:$L,"Уражено"))</f>
        <v/>
      </c>
      <c r="K502">
        <f>IF($A502="","",COUNTIFS('Таблиця 1'!$B:$B,$A502,'Таблиця 1'!$E:$E,"КСП роти",'Таблиця 1'!$L:$L,"Уражено"))</f>
        <v/>
      </c>
      <c r="L502">
        <f>IF($A502="","",COUNTIFS('Таблиця 1'!$B:$B,$A502,'Таблиця 1'!$E:$E,"ПУ бат",'Таблиця 1'!$L:$L,"Уражено"))</f>
        <v/>
      </c>
      <c r="M502">
        <f>IF($A502="","",COUNTIFS('Таблиця 1'!$B:$B,$A502,'Таблиця 1'!$E:$E,"ПУ бриг",'Таблиця 1'!$L:$L,"Уражено"))</f>
        <v/>
      </c>
      <c r="N502">
        <f>IF($A502="","",COUNTIFS('Таблиця 1'!$B:$B,$A502,'Таблиця 1'!$E:$E,"ПУ див",'Таблиця 1'!$L:$L,"Уражено"))</f>
        <v/>
      </c>
      <c r="O502">
        <f>IF($A502="","",COUNTIFS('Таблиця 1'!$B:$B,$A502,'Таблиця 1'!$E:$E,"обл. РЕБ",'Таблиця 1'!$L:$L,"Уражено"))</f>
        <v/>
      </c>
      <c r="P502">
        <f>IF($A502="","",COUNTIFS('Таблиця 1'!$B:$B,$A502,'Таблиця 1'!$E:$E,"пос РЕБ",'Таблиця 1'!$L:$L,"Уражено"))</f>
        <v/>
      </c>
      <c r="Q502">
        <f>IF($A502="","",COUNTIFS('Таблиця 1'!$B:$B,$A502,'Таблиця 1'!$E:$E,"група РЕР",'Таблиця 1'!$L:$L,"Уражено"))</f>
        <v/>
      </c>
      <c r="R502">
        <f>IF($A502="","",COUNTIFS('Таблиця 1'!$B:$B,$A502,'Таблиця 1'!$E:$E,"РЛС КББ",'Таблиця 1'!$L:$L,"Уражено"))</f>
        <v/>
      </c>
      <c r="S502">
        <f>IF($A502="","",COUNTIFS('Таблиця 1'!$B:$B,$A502,'Таблиця 1'!$E:$E,"Ретранслятор",'Таблиця 1'!$L:$L,"Уражено"))</f>
        <v/>
      </c>
      <c r="T502">
        <f>IF($A502="","",COUNTIFS('Таблиця 1'!$B:$B,$A502,'Таблиця 1'!$E:$E,"Вз.зв'язку",'Таблиця 1'!$L:$L,"Уражено"))</f>
        <v/>
      </c>
      <c r="U502">
        <f>IF($A502="","",COUNTIFS('Таблиця 1'!$B:$B,$A502,'Таблиця 1'!$E:$E,"ПММ",'Таблиця 1'!$L:$L,"Уражено"))</f>
        <v/>
      </c>
      <c r="V502">
        <f>IF($A502="","",COUNTIFS('Таблиця 1'!$B:$B,$A502,'Таблиця 1'!$E:$E,"ІФС",'Таблиця 1'!$L:$L,"Уражено"))</f>
        <v/>
      </c>
      <c r="W502">
        <f>IF($A502="","",COUNTIFS('Таблиця 1'!$B:$B,$A502,'Таблиця 1'!$E:$E,"Інфраструктура",'Таблиця 1'!$L:$L,"Уражено"))</f>
        <v/>
      </c>
      <c r="X502">
        <f>IF($A502="","",SUMIFS('Таблиця 1'!$K:$K,'Таблиця 1'!$B:$B,$A502))</f>
        <v/>
      </c>
    </row>
    <row r="503">
      <c r="A503" s="81">
        <f>IF(A502="","",IF(A502+1&gt;MAX('Таблиця 1'!$B:$B),"",A502+1))</f>
        <v/>
      </c>
      <c r="B503">
        <f>IF($A503="","",COUNTIFS('Таблиця 1'!$B:$B,$A503,'Таблиця 1'!$E:$E,"ЖС ВЗ",'Таблиця 1'!$L:$L,"Уражено"))</f>
        <v/>
      </c>
      <c r="C503">
        <f>IF($A503="","",COUNTIFS('Таблиця 1'!$B:$B,$A503,'Таблиця 1'!$E:$E,"Арт. Системи",'Таблиця 1'!$L:$L,"Уражено"))</f>
        <v/>
      </c>
      <c r="D503">
        <f>IF($A503="","",COUNTIFS('Таблиця 1'!$B:$B,$A503,'Таблиця 1'!$E:$E,"ОВТ",'Таблиця 1'!$L:$L,"Уражено"))</f>
        <v/>
      </c>
      <c r="E503">
        <f>IF($A503="","",COUNTIFS('Таблиця 1'!$B:$B,$A503,'Таблиця 1'!$E:$E,"ППО",'Таблиця 1'!$L:$L,"Уражено"))</f>
        <v/>
      </c>
      <c r="F503">
        <f>IF($A503="","",COUNTIFS('Таблиця 1'!$B:$B,$A503,'Таблиця 1'!$E:$E,"Рембаза",'Таблиця 1'!$L:$L,"Уражено"))</f>
        <v/>
      </c>
      <c r="G503">
        <f>IF($A503="","",COUNTIFS('Таблиця 1'!$B:$B,$A503,'Таблиця 1'!$E:$E,"Склад БК",'Таблиця 1'!$L:$L,"Уражено"))</f>
        <v/>
      </c>
      <c r="H503">
        <f>IF($A503="","",COUNTIFS('Таблиця 1'!$B:$B,$A503,'Таблиця 1'!$E:$E,"Склад ВТМ",'Таблиця 1'!$L:$L,"Уражено"))</f>
        <v/>
      </c>
      <c r="I503">
        <f>IF($A503="","",COUNTIFS('Таблиця 1'!$B:$B,$A503,'Таблиця 1'!$E:$E,"ПУ БпЛА",'Таблиця 1'!$L:$L,"Уражено"))</f>
        <v/>
      </c>
      <c r="J503">
        <f>IF($A503="","",COUNTIFS('Таблиця 1'!$B:$B,$A503,'Таблиця 1'!$E:$E,"СП",'Таблиця 1'!$L:$L,"Уражено"))</f>
        <v/>
      </c>
      <c r="K503">
        <f>IF($A503="","",COUNTIFS('Таблиця 1'!$B:$B,$A503,'Таблиця 1'!$E:$E,"КСП роти",'Таблиця 1'!$L:$L,"Уражено"))</f>
        <v/>
      </c>
      <c r="L503">
        <f>IF($A503="","",COUNTIFS('Таблиця 1'!$B:$B,$A503,'Таблиця 1'!$E:$E,"ПУ бат",'Таблиця 1'!$L:$L,"Уражено"))</f>
        <v/>
      </c>
      <c r="M503">
        <f>IF($A503="","",COUNTIFS('Таблиця 1'!$B:$B,$A503,'Таблиця 1'!$E:$E,"ПУ бриг",'Таблиця 1'!$L:$L,"Уражено"))</f>
        <v/>
      </c>
      <c r="N503">
        <f>IF($A503="","",COUNTIFS('Таблиця 1'!$B:$B,$A503,'Таблиця 1'!$E:$E,"ПУ див",'Таблиця 1'!$L:$L,"Уражено"))</f>
        <v/>
      </c>
      <c r="O503">
        <f>IF($A503="","",COUNTIFS('Таблиця 1'!$B:$B,$A503,'Таблиця 1'!$E:$E,"обл. РЕБ",'Таблиця 1'!$L:$L,"Уражено"))</f>
        <v/>
      </c>
      <c r="P503">
        <f>IF($A503="","",COUNTIFS('Таблиця 1'!$B:$B,$A503,'Таблиця 1'!$E:$E,"пос РЕБ",'Таблиця 1'!$L:$L,"Уражено"))</f>
        <v/>
      </c>
      <c r="Q503">
        <f>IF($A503="","",COUNTIFS('Таблиця 1'!$B:$B,$A503,'Таблиця 1'!$E:$E,"група РЕР",'Таблиця 1'!$L:$L,"Уражено"))</f>
        <v/>
      </c>
      <c r="R503">
        <f>IF($A503="","",COUNTIFS('Таблиця 1'!$B:$B,$A503,'Таблиця 1'!$E:$E,"РЛС КББ",'Таблиця 1'!$L:$L,"Уражено"))</f>
        <v/>
      </c>
      <c r="S503">
        <f>IF($A503="","",COUNTIFS('Таблиця 1'!$B:$B,$A503,'Таблиця 1'!$E:$E,"Ретранслятор",'Таблиця 1'!$L:$L,"Уражено"))</f>
        <v/>
      </c>
      <c r="T503">
        <f>IF($A503="","",COUNTIFS('Таблиця 1'!$B:$B,$A503,'Таблиця 1'!$E:$E,"Вз.зв'язку",'Таблиця 1'!$L:$L,"Уражено"))</f>
        <v/>
      </c>
      <c r="U503">
        <f>IF($A503="","",COUNTIFS('Таблиця 1'!$B:$B,$A503,'Таблиця 1'!$E:$E,"ПММ",'Таблиця 1'!$L:$L,"Уражено"))</f>
        <v/>
      </c>
      <c r="V503">
        <f>IF($A503="","",COUNTIFS('Таблиця 1'!$B:$B,$A503,'Таблиця 1'!$E:$E,"ІФС",'Таблиця 1'!$L:$L,"Уражено"))</f>
        <v/>
      </c>
      <c r="W503">
        <f>IF($A503="","",COUNTIFS('Таблиця 1'!$B:$B,$A503,'Таблиця 1'!$E:$E,"Інфраструктура",'Таблиця 1'!$L:$L,"Уражено"))</f>
        <v/>
      </c>
      <c r="X503">
        <f>IF($A503="","",SUMIFS('Таблиця 1'!$K:$K,'Таблиця 1'!$B:$B,$A503))</f>
        <v/>
      </c>
    </row>
    <row r="504">
      <c r="A504" s="81">
        <f>IF(A503="","",IF(A503+1&gt;MAX('Таблиця 1'!$B:$B),"",A503+1))</f>
        <v/>
      </c>
      <c r="B504">
        <f>IF($A504="","",COUNTIFS('Таблиця 1'!$B:$B,$A504,'Таблиця 1'!$E:$E,"ЖС ВЗ",'Таблиця 1'!$L:$L,"Уражено"))</f>
        <v/>
      </c>
      <c r="C504">
        <f>IF($A504="","",COUNTIFS('Таблиця 1'!$B:$B,$A504,'Таблиця 1'!$E:$E,"Арт. Системи",'Таблиця 1'!$L:$L,"Уражено"))</f>
        <v/>
      </c>
      <c r="D504">
        <f>IF($A504="","",COUNTIFS('Таблиця 1'!$B:$B,$A504,'Таблиця 1'!$E:$E,"ОВТ",'Таблиця 1'!$L:$L,"Уражено"))</f>
        <v/>
      </c>
      <c r="E504">
        <f>IF($A504="","",COUNTIFS('Таблиця 1'!$B:$B,$A504,'Таблиця 1'!$E:$E,"ППО",'Таблиця 1'!$L:$L,"Уражено"))</f>
        <v/>
      </c>
      <c r="F504">
        <f>IF($A504="","",COUNTIFS('Таблиця 1'!$B:$B,$A504,'Таблиця 1'!$E:$E,"Рембаза",'Таблиця 1'!$L:$L,"Уражено"))</f>
        <v/>
      </c>
      <c r="G504">
        <f>IF($A504="","",COUNTIFS('Таблиця 1'!$B:$B,$A504,'Таблиця 1'!$E:$E,"Склад БК",'Таблиця 1'!$L:$L,"Уражено"))</f>
        <v/>
      </c>
      <c r="H504">
        <f>IF($A504="","",COUNTIFS('Таблиця 1'!$B:$B,$A504,'Таблиця 1'!$E:$E,"Склад ВТМ",'Таблиця 1'!$L:$L,"Уражено"))</f>
        <v/>
      </c>
      <c r="I504">
        <f>IF($A504="","",COUNTIFS('Таблиця 1'!$B:$B,$A504,'Таблиця 1'!$E:$E,"ПУ БпЛА",'Таблиця 1'!$L:$L,"Уражено"))</f>
        <v/>
      </c>
      <c r="J504">
        <f>IF($A504="","",COUNTIFS('Таблиця 1'!$B:$B,$A504,'Таблиця 1'!$E:$E,"СП",'Таблиця 1'!$L:$L,"Уражено"))</f>
        <v/>
      </c>
      <c r="K504">
        <f>IF($A504="","",COUNTIFS('Таблиця 1'!$B:$B,$A504,'Таблиця 1'!$E:$E,"КСП роти",'Таблиця 1'!$L:$L,"Уражено"))</f>
        <v/>
      </c>
      <c r="L504">
        <f>IF($A504="","",COUNTIFS('Таблиця 1'!$B:$B,$A504,'Таблиця 1'!$E:$E,"ПУ бат",'Таблиця 1'!$L:$L,"Уражено"))</f>
        <v/>
      </c>
      <c r="M504">
        <f>IF($A504="","",COUNTIFS('Таблиця 1'!$B:$B,$A504,'Таблиця 1'!$E:$E,"ПУ бриг",'Таблиця 1'!$L:$L,"Уражено"))</f>
        <v/>
      </c>
      <c r="N504">
        <f>IF($A504="","",COUNTIFS('Таблиця 1'!$B:$B,$A504,'Таблиця 1'!$E:$E,"ПУ див",'Таблиця 1'!$L:$L,"Уражено"))</f>
        <v/>
      </c>
      <c r="O504">
        <f>IF($A504="","",COUNTIFS('Таблиця 1'!$B:$B,$A504,'Таблиця 1'!$E:$E,"обл. РЕБ",'Таблиця 1'!$L:$L,"Уражено"))</f>
        <v/>
      </c>
      <c r="P504">
        <f>IF($A504="","",COUNTIFS('Таблиця 1'!$B:$B,$A504,'Таблиця 1'!$E:$E,"пос РЕБ",'Таблиця 1'!$L:$L,"Уражено"))</f>
        <v/>
      </c>
      <c r="Q504">
        <f>IF($A504="","",COUNTIFS('Таблиця 1'!$B:$B,$A504,'Таблиця 1'!$E:$E,"група РЕР",'Таблиця 1'!$L:$L,"Уражено"))</f>
        <v/>
      </c>
      <c r="R504">
        <f>IF($A504="","",COUNTIFS('Таблиця 1'!$B:$B,$A504,'Таблиця 1'!$E:$E,"РЛС КББ",'Таблиця 1'!$L:$L,"Уражено"))</f>
        <v/>
      </c>
      <c r="S504">
        <f>IF($A504="","",COUNTIFS('Таблиця 1'!$B:$B,$A504,'Таблиця 1'!$E:$E,"Ретранслятор",'Таблиця 1'!$L:$L,"Уражено"))</f>
        <v/>
      </c>
      <c r="T504">
        <f>IF($A504="","",COUNTIFS('Таблиця 1'!$B:$B,$A504,'Таблиця 1'!$E:$E,"Вз.зв'язку",'Таблиця 1'!$L:$L,"Уражено"))</f>
        <v/>
      </c>
      <c r="U504">
        <f>IF($A504="","",COUNTIFS('Таблиця 1'!$B:$B,$A504,'Таблиця 1'!$E:$E,"ПММ",'Таблиця 1'!$L:$L,"Уражено"))</f>
        <v/>
      </c>
      <c r="V504">
        <f>IF($A504="","",COUNTIFS('Таблиця 1'!$B:$B,$A504,'Таблиця 1'!$E:$E,"ІФС",'Таблиця 1'!$L:$L,"Уражено"))</f>
        <v/>
      </c>
      <c r="W504">
        <f>IF($A504="","",COUNTIFS('Таблиця 1'!$B:$B,$A504,'Таблиця 1'!$E:$E,"Інфраструктура",'Таблиця 1'!$L:$L,"Уражено"))</f>
        <v/>
      </c>
      <c r="X504">
        <f>IF($A504="","",SUMIFS('Таблиця 1'!$K:$K,'Таблиця 1'!$B:$B,$A504))</f>
        <v/>
      </c>
    </row>
    <row r="505">
      <c r="A505" s="81">
        <f>IF(A504="","",IF(A504+1&gt;MAX('Таблиця 1'!$B:$B),"",A504+1))</f>
        <v/>
      </c>
      <c r="B505">
        <f>IF($A505="","",COUNTIFS('Таблиця 1'!$B:$B,$A505,'Таблиця 1'!$E:$E,"ЖС ВЗ",'Таблиця 1'!$L:$L,"Уражено"))</f>
        <v/>
      </c>
      <c r="C505">
        <f>IF($A505="","",COUNTIFS('Таблиця 1'!$B:$B,$A505,'Таблиця 1'!$E:$E,"Арт. Системи",'Таблиця 1'!$L:$L,"Уражено"))</f>
        <v/>
      </c>
      <c r="D505">
        <f>IF($A505="","",COUNTIFS('Таблиця 1'!$B:$B,$A505,'Таблиця 1'!$E:$E,"ОВТ",'Таблиця 1'!$L:$L,"Уражено"))</f>
        <v/>
      </c>
      <c r="E505">
        <f>IF($A505="","",COUNTIFS('Таблиця 1'!$B:$B,$A505,'Таблиця 1'!$E:$E,"ППО",'Таблиця 1'!$L:$L,"Уражено"))</f>
        <v/>
      </c>
      <c r="F505">
        <f>IF($A505="","",COUNTIFS('Таблиця 1'!$B:$B,$A505,'Таблиця 1'!$E:$E,"Рембаза",'Таблиця 1'!$L:$L,"Уражено"))</f>
        <v/>
      </c>
      <c r="G505">
        <f>IF($A505="","",COUNTIFS('Таблиця 1'!$B:$B,$A505,'Таблиця 1'!$E:$E,"Склад БК",'Таблиця 1'!$L:$L,"Уражено"))</f>
        <v/>
      </c>
      <c r="H505">
        <f>IF($A505="","",COUNTIFS('Таблиця 1'!$B:$B,$A505,'Таблиця 1'!$E:$E,"Склад ВТМ",'Таблиця 1'!$L:$L,"Уражено"))</f>
        <v/>
      </c>
      <c r="I505">
        <f>IF($A505="","",COUNTIFS('Таблиця 1'!$B:$B,$A505,'Таблиця 1'!$E:$E,"ПУ БпЛА",'Таблиця 1'!$L:$L,"Уражено"))</f>
        <v/>
      </c>
      <c r="J505">
        <f>IF($A505="","",COUNTIFS('Таблиця 1'!$B:$B,$A505,'Таблиця 1'!$E:$E,"СП",'Таблиця 1'!$L:$L,"Уражено"))</f>
        <v/>
      </c>
      <c r="K505">
        <f>IF($A505="","",COUNTIFS('Таблиця 1'!$B:$B,$A505,'Таблиця 1'!$E:$E,"КСП роти",'Таблиця 1'!$L:$L,"Уражено"))</f>
        <v/>
      </c>
      <c r="L505">
        <f>IF($A505="","",COUNTIFS('Таблиця 1'!$B:$B,$A505,'Таблиця 1'!$E:$E,"ПУ бат",'Таблиця 1'!$L:$L,"Уражено"))</f>
        <v/>
      </c>
      <c r="M505">
        <f>IF($A505="","",COUNTIFS('Таблиця 1'!$B:$B,$A505,'Таблиця 1'!$E:$E,"ПУ бриг",'Таблиця 1'!$L:$L,"Уражено"))</f>
        <v/>
      </c>
      <c r="N505">
        <f>IF($A505="","",COUNTIFS('Таблиця 1'!$B:$B,$A505,'Таблиця 1'!$E:$E,"ПУ див",'Таблиця 1'!$L:$L,"Уражено"))</f>
        <v/>
      </c>
      <c r="O505">
        <f>IF($A505="","",COUNTIFS('Таблиця 1'!$B:$B,$A505,'Таблиця 1'!$E:$E,"обл. РЕБ",'Таблиця 1'!$L:$L,"Уражено"))</f>
        <v/>
      </c>
      <c r="P505">
        <f>IF($A505="","",COUNTIFS('Таблиця 1'!$B:$B,$A505,'Таблиця 1'!$E:$E,"пос РЕБ",'Таблиця 1'!$L:$L,"Уражено"))</f>
        <v/>
      </c>
      <c r="Q505">
        <f>IF($A505="","",COUNTIFS('Таблиця 1'!$B:$B,$A505,'Таблиця 1'!$E:$E,"група РЕР",'Таблиця 1'!$L:$L,"Уражено"))</f>
        <v/>
      </c>
      <c r="R505">
        <f>IF($A505="","",COUNTIFS('Таблиця 1'!$B:$B,$A505,'Таблиця 1'!$E:$E,"РЛС КББ",'Таблиця 1'!$L:$L,"Уражено"))</f>
        <v/>
      </c>
      <c r="S505">
        <f>IF($A505="","",COUNTIFS('Таблиця 1'!$B:$B,$A505,'Таблиця 1'!$E:$E,"Ретранслятор",'Таблиця 1'!$L:$L,"Уражено"))</f>
        <v/>
      </c>
      <c r="T505">
        <f>IF($A505="","",COUNTIFS('Таблиця 1'!$B:$B,$A505,'Таблиця 1'!$E:$E,"Вз.зв'язку",'Таблиця 1'!$L:$L,"Уражено"))</f>
        <v/>
      </c>
      <c r="U505">
        <f>IF($A505="","",COUNTIFS('Таблиця 1'!$B:$B,$A505,'Таблиця 1'!$E:$E,"ПММ",'Таблиця 1'!$L:$L,"Уражено"))</f>
        <v/>
      </c>
      <c r="V505">
        <f>IF($A505="","",COUNTIFS('Таблиця 1'!$B:$B,$A505,'Таблиця 1'!$E:$E,"ІФС",'Таблиця 1'!$L:$L,"Уражено"))</f>
        <v/>
      </c>
      <c r="W505">
        <f>IF($A505="","",COUNTIFS('Таблиця 1'!$B:$B,$A505,'Таблиця 1'!$E:$E,"Інфраструктура",'Таблиця 1'!$L:$L,"Уражено"))</f>
        <v/>
      </c>
      <c r="X505">
        <f>IF($A505="","",SUMIFS('Таблиця 1'!$K:$K,'Таблиця 1'!$B:$B,$A505))</f>
        <v/>
      </c>
    </row>
    <row r="506">
      <c r="A506" s="81">
        <f>IF(A505="","",IF(A505+1&gt;MAX('Таблиця 1'!$B:$B),"",A505+1))</f>
        <v/>
      </c>
      <c r="B506">
        <f>IF($A506="","",COUNTIFS('Таблиця 1'!$B:$B,$A506,'Таблиця 1'!$E:$E,"ЖС ВЗ",'Таблиця 1'!$L:$L,"Уражено"))</f>
        <v/>
      </c>
      <c r="C506">
        <f>IF($A506="","",COUNTIFS('Таблиця 1'!$B:$B,$A506,'Таблиця 1'!$E:$E,"Арт. Системи",'Таблиця 1'!$L:$L,"Уражено"))</f>
        <v/>
      </c>
      <c r="D506">
        <f>IF($A506="","",COUNTIFS('Таблиця 1'!$B:$B,$A506,'Таблиця 1'!$E:$E,"ОВТ",'Таблиця 1'!$L:$L,"Уражено"))</f>
        <v/>
      </c>
      <c r="E506">
        <f>IF($A506="","",COUNTIFS('Таблиця 1'!$B:$B,$A506,'Таблиця 1'!$E:$E,"ППО",'Таблиця 1'!$L:$L,"Уражено"))</f>
        <v/>
      </c>
      <c r="F506">
        <f>IF($A506="","",COUNTIFS('Таблиця 1'!$B:$B,$A506,'Таблиця 1'!$E:$E,"Рембаза",'Таблиця 1'!$L:$L,"Уражено"))</f>
        <v/>
      </c>
      <c r="G506">
        <f>IF($A506="","",COUNTIFS('Таблиця 1'!$B:$B,$A506,'Таблиця 1'!$E:$E,"Склад БК",'Таблиця 1'!$L:$L,"Уражено"))</f>
        <v/>
      </c>
      <c r="H506">
        <f>IF($A506="","",COUNTIFS('Таблиця 1'!$B:$B,$A506,'Таблиця 1'!$E:$E,"Склад ВТМ",'Таблиця 1'!$L:$L,"Уражено"))</f>
        <v/>
      </c>
      <c r="I506">
        <f>IF($A506="","",COUNTIFS('Таблиця 1'!$B:$B,$A506,'Таблиця 1'!$E:$E,"ПУ БпЛА",'Таблиця 1'!$L:$L,"Уражено"))</f>
        <v/>
      </c>
      <c r="J506">
        <f>IF($A506="","",COUNTIFS('Таблиця 1'!$B:$B,$A506,'Таблиця 1'!$E:$E,"СП",'Таблиця 1'!$L:$L,"Уражено"))</f>
        <v/>
      </c>
      <c r="K506">
        <f>IF($A506="","",COUNTIFS('Таблиця 1'!$B:$B,$A506,'Таблиця 1'!$E:$E,"КСП роти",'Таблиця 1'!$L:$L,"Уражено"))</f>
        <v/>
      </c>
      <c r="L506">
        <f>IF($A506="","",COUNTIFS('Таблиця 1'!$B:$B,$A506,'Таблиця 1'!$E:$E,"ПУ бат",'Таблиця 1'!$L:$L,"Уражено"))</f>
        <v/>
      </c>
      <c r="M506">
        <f>IF($A506="","",COUNTIFS('Таблиця 1'!$B:$B,$A506,'Таблиця 1'!$E:$E,"ПУ бриг",'Таблиця 1'!$L:$L,"Уражено"))</f>
        <v/>
      </c>
      <c r="N506">
        <f>IF($A506="","",COUNTIFS('Таблиця 1'!$B:$B,$A506,'Таблиця 1'!$E:$E,"ПУ див",'Таблиця 1'!$L:$L,"Уражено"))</f>
        <v/>
      </c>
      <c r="O506">
        <f>IF($A506="","",COUNTIFS('Таблиця 1'!$B:$B,$A506,'Таблиця 1'!$E:$E,"обл. РЕБ",'Таблиця 1'!$L:$L,"Уражено"))</f>
        <v/>
      </c>
      <c r="P506">
        <f>IF($A506="","",COUNTIFS('Таблиця 1'!$B:$B,$A506,'Таблиця 1'!$E:$E,"пос РЕБ",'Таблиця 1'!$L:$L,"Уражено"))</f>
        <v/>
      </c>
      <c r="Q506">
        <f>IF($A506="","",COUNTIFS('Таблиця 1'!$B:$B,$A506,'Таблиця 1'!$E:$E,"група РЕР",'Таблиця 1'!$L:$L,"Уражено"))</f>
        <v/>
      </c>
      <c r="R506">
        <f>IF($A506="","",COUNTIFS('Таблиця 1'!$B:$B,$A506,'Таблиця 1'!$E:$E,"РЛС КББ",'Таблиця 1'!$L:$L,"Уражено"))</f>
        <v/>
      </c>
      <c r="S506">
        <f>IF($A506="","",COUNTIFS('Таблиця 1'!$B:$B,$A506,'Таблиця 1'!$E:$E,"Ретранслятор",'Таблиця 1'!$L:$L,"Уражено"))</f>
        <v/>
      </c>
      <c r="T506">
        <f>IF($A506="","",COUNTIFS('Таблиця 1'!$B:$B,$A506,'Таблиця 1'!$E:$E,"Вз.зв'язку",'Таблиця 1'!$L:$L,"Уражено"))</f>
        <v/>
      </c>
      <c r="U506">
        <f>IF($A506="","",COUNTIFS('Таблиця 1'!$B:$B,$A506,'Таблиця 1'!$E:$E,"ПММ",'Таблиця 1'!$L:$L,"Уражено"))</f>
        <v/>
      </c>
      <c r="V506">
        <f>IF($A506="","",COUNTIFS('Таблиця 1'!$B:$B,$A506,'Таблиця 1'!$E:$E,"ІФС",'Таблиця 1'!$L:$L,"Уражено"))</f>
        <v/>
      </c>
      <c r="W506">
        <f>IF($A506="","",COUNTIFS('Таблиця 1'!$B:$B,$A506,'Таблиця 1'!$E:$E,"Інфраструктура",'Таблиця 1'!$L:$L,"Уражено"))</f>
        <v/>
      </c>
      <c r="X506">
        <f>IF($A506="","",SUMIFS('Таблиця 1'!$K:$K,'Таблиця 1'!$B:$B,$A506))</f>
        <v/>
      </c>
    </row>
    <row r="507">
      <c r="A507" s="81">
        <f>IF(A506="","",IF(A506+1&gt;MAX('Таблиця 1'!$B:$B),"",A506+1))</f>
        <v/>
      </c>
      <c r="B507">
        <f>IF($A507="","",COUNTIFS('Таблиця 1'!$B:$B,$A507,'Таблиця 1'!$E:$E,"ЖС ВЗ",'Таблиця 1'!$L:$L,"Уражено"))</f>
        <v/>
      </c>
      <c r="C507">
        <f>IF($A507="","",COUNTIFS('Таблиця 1'!$B:$B,$A507,'Таблиця 1'!$E:$E,"Арт. Системи",'Таблиця 1'!$L:$L,"Уражено"))</f>
        <v/>
      </c>
      <c r="D507">
        <f>IF($A507="","",COUNTIFS('Таблиця 1'!$B:$B,$A507,'Таблиця 1'!$E:$E,"ОВТ",'Таблиця 1'!$L:$L,"Уражено"))</f>
        <v/>
      </c>
      <c r="E507">
        <f>IF($A507="","",COUNTIFS('Таблиця 1'!$B:$B,$A507,'Таблиця 1'!$E:$E,"ППО",'Таблиця 1'!$L:$L,"Уражено"))</f>
        <v/>
      </c>
      <c r="F507">
        <f>IF($A507="","",COUNTIFS('Таблиця 1'!$B:$B,$A507,'Таблиця 1'!$E:$E,"Рембаза",'Таблиця 1'!$L:$L,"Уражено"))</f>
        <v/>
      </c>
      <c r="G507">
        <f>IF($A507="","",COUNTIFS('Таблиця 1'!$B:$B,$A507,'Таблиця 1'!$E:$E,"Склад БК",'Таблиця 1'!$L:$L,"Уражено"))</f>
        <v/>
      </c>
      <c r="H507">
        <f>IF($A507="","",COUNTIFS('Таблиця 1'!$B:$B,$A507,'Таблиця 1'!$E:$E,"Склад ВТМ",'Таблиця 1'!$L:$L,"Уражено"))</f>
        <v/>
      </c>
      <c r="I507">
        <f>IF($A507="","",COUNTIFS('Таблиця 1'!$B:$B,$A507,'Таблиця 1'!$E:$E,"ПУ БпЛА",'Таблиця 1'!$L:$L,"Уражено"))</f>
        <v/>
      </c>
      <c r="J507">
        <f>IF($A507="","",COUNTIFS('Таблиця 1'!$B:$B,$A507,'Таблиця 1'!$E:$E,"СП",'Таблиця 1'!$L:$L,"Уражено"))</f>
        <v/>
      </c>
      <c r="K507">
        <f>IF($A507="","",COUNTIFS('Таблиця 1'!$B:$B,$A507,'Таблиця 1'!$E:$E,"КСП роти",'Таблиця 1'!$L:$L,"Уражено"))</f>
        <v/>
      </c>
      <c r="L507">
        <f>IF($A507="","",COUNTIFS('Таблиця 1'!$B:$B,$A507,'Таблиця 1'!$E:$E,"ПУ бат",'Таблиця 1'!$L:$L,"Уражено"))</f>
        <v/>
      </c>
      <c r="M507">
        <f>IF($A507="","",COUNTIFS('Таблиця 1'!$B:$B,$A507,'Таблиця 1'!$E:$E,"ПУ бриг",'Таблиця 1'!$L:$L,"Уражено"))</f>
        <v/>
      </c>
      <c r="N507">
        <f>IF($A507="","",COUNTIFS('Таблиця 1'!$B:$B,$A507,'Таблиця 1'!$E:$E,"ПУ див",'Таблиця 1'!$L:$L,"Уражено"))</f>
        <v/>
      </c>
      <c r="O507">
        <f>IF($A507="","",COUNTIFS('Таблиця 1'!$B:$B,$A507,'Таблиця 1'!$E:$E,"обл. РЕБ",'Таблиця 1'!$L:$L,"Уражено"))</f>
        <v/>
      </c>
      <c r="P507">
        <f>IF($A507="","",COUNTIFS('Таблиця 1'!$B:$B,$A507,'Таблиця 1'!$E:$E,"пос РЕБ",'Таблиця 1'!$L:$L,"Уражено"))</f>
        <v/>
      </c>
      <c r="Q507">
        <f>IF($A507="","",COUNTIFS('Таблиця 1'!$B:$B,$A507,'Таблиця 1'!$E:$E,"група РЕР",'Таблиця 1'!$L:$L,"Уражено"))</f>
        <v/>
      </c>
      <c r="R507">
        <f>IF($A507="","",COUNTIFS('Таблиця 1'!$B:$B,$A507,'Таблиця 1'!$E:$E,"РЛС КББ",'Таблиця 1'!$L:$L,"Уражено"))</f>
        <v/>
      </c>
      <c r="S507">
        <f>IF($A507="","",COUNTIFS('Таблиця 1'!$B:$B,$A507,'Таблиця 1'!$E:$E,"Ретранслятор",'Таблиця 1'!$L:$L,"Уражено"))</f>
        <v/>
      </c>
      <c r="T507">
        <f>IF($A507="","",COUNTIFS('Таблиця 1'!$B:$B,$A507,'Таблиця 1'!$E:$E,"Вз.зв'язку",'Таблиця 1'!$L:$L,"Уражено"))</f>
        <v/>
      </c>
      <c r="U507">
        <f>IF($A507="","",COUNTIFS('Таблиця 1'!$B:$B,$A507,'Таблиця 1'!$E:$E,"ПММ",'Таблиця 1'!$L:$L,"Уражено"))</f>
        <v/>
      </c>
      <c r="V507">
        <f>IF($A507="","",COUNTIFS('Таблиця 1'!$B:$B,$A507,'Таблиця 1'!$E:$E,"ІФС",'Таблиця 1'!$L:$L,"Уражено"))</f>
        <v/>
      </c>
      <c r="W507">
        <f>IF($A507="","",COUNTIFS('Таблиця 1'!$B:$B,$A507,'Таблиця 1'!$E:$E,"Інфраструктура",'Таблиця 1'!$L:$L,"Уражено"))</f>
        <v/>
      </c>
      <c r="X507">
        <f>IF($A507="","",SUMIFS('Таблиця 1'!$K:$K,'Таблиця 1'!$B:$B,$A507))</f>
        <v/>
      </c>
    </row>
    <row r="508">
      <c r="A508" s="81">
        <f>IF(A507="","",IF(A507+1&gt;MAX('Таблиця 1'!$B:$B),"",A507+1))</f>
        <v/>
      </c>
      <c r="B508">
        <f>IF($A508="","",COUNTIFS('Таблиця 1'!$B:$B,$A508,'Таблиця 1'!$E:$E,"ЖС ВЗ",'Таблиця 1'!$L:$L,"Уражено"))</f>
        <v/>
      </c>
      <c r="C508">
        <f>IF($A508="","",COUNTIFS('Таблиця 1'!$B:$B,$A508,'Таблиця 1'!$E:$E,"Арт. Системи",'Таблиця 1'!$L:$L,"Уражено"))</f>
        <v/>
      </c>
      <c r="D508">
        <f>IF($A508="","",COUNTIFS('Таблиця 1'!$B:$B,$A508,'Таблиця 1'!$E:$E,"ОВТ",'Таблиця 1'!$L:$L,"Уражено"))</f>
        <v/>
      </c>
      <c r="E508">
        <f>IF($A508="","",COUNTIFS('Таблиця 1'!$B:$B,$A508,'Таблиця 1'!$E:$E,"ППО",'Таблиця 1'!$L:$L,"Уражено"))</f>
        <v/>
      </c>
      <c r="F508">
        <f>IF($A508="","",COUNTIFS('Таблиця 1'!$B:$B,$A508,'Таблиця 1'!$E:$E,"Рембаза",'Таблиця 1'!$L:$L,"Уражено"))</f>
        <v/>
      </c>
      <c r="G508">
        <f>IF($A508="","",COUNTIFS('Таблиця 1'!$B:$B,$A508,'Таблиця 1'!$E:$E,"Склад БК",'Таблиця 1'!$L:$L,"Уражено"))</f>
        <v/>
      </c>
      <c r="H508">
        <f>IF($A508="","",COUNTIFS('Таблиця 1'!$B:$B,$A508,'Таблиця 1'!$E:$E,"Склад ВТМ",'Таблиця 1'!$L:$L,"Уражено"))</f>
        <v/>
      </c>
      <c r="I508">
        <f>IF($A508="","",COUNTIFS('Таблиця 1'!$B:$B,$A508,'Таблиця 1'!$E:$E,"ПУ БпЛА",'Таблиця 1'!$L:$L,"Уражено"))</f>
        <v/>
      </c>
      <c r="J508">
        <f>IF($A508="","",COUNTIFS('Таблиця 1'!$B:$B,$A508,'Таблиця 1'!$E:$E,"СП",'Таблиця 1'!$L:$L,"Уражено"))</f>
        <v/>
      </c>
      <c r="K508">
        <f>IF($A508="","",COUNTIFS('Таблиця 1'!$B:$B,$A508,'Таблиця 1'!$E:$E,"КСП роти",'Таблиця 1'!$L:$L,"Уражено"))</f>
        <v/>
      </c>
      <c r="L508">
        <f>IF($A508="","",COUNTIFS('Таблиця 1'!$B:$B,$A508,'Таблиця 1'!$E:$E,"ПУ бат",'Таблиця 1'!$L:$L,"Уражено"))</f>
        <v/>
      </c>
      <c r="M508">
        <f>IF($A508="","",COUNTIFS('Таблиця 1'!$B:$B,$A508,'Таблиця 1'!$E:$E,"ПУ бриг",'Таблиця 1'!$L:$L,"Уражено"))</f>
        <v/>
      </c>
      <c r="N508">
        <f>IF($A508="","",COUNTIFS('Таблиця 1'!$B:$B,$A508,'Таблиця 1'!$E:$E,"ПУ див",'Таблиця 1'!$L:$L,"Уражено"))</f>
        <v/>
      </c>
      <c r="O508">
        <f>IF($A508="","",COUNTIFS('Таблиця 1'!$B:$B,$A508,'Таблиця 1'!$E:$E,"обл. РЕБ",'Таблиця 1'!$L:$L,"Уражено"))</f>
        <v/>
      </c>
      <c r="P508">
        <f>IF($A508="","",COUNTIFS('Таблиця 1'!$B:$B,$A508,'Таблиця 1'!$E:$E,"пос РЕБ",'Таблиця 1'!$L:$L,"Уражено"))</f>
        <v/>
      </c>
      <c r="Q508">
        <f>IF($A508="","",COUNTIFS('Таблиця 1'!$B:$B,$A508,'Таблиця 1'!$E:$E,"група РЕР",'Таблиця 1'!$L:$L,"Уражено"))</f>
        <v/>
      </c>
      <c r="R508">
        <f>IF($A508="","",COUNTIFS('Таблиця 1'!$B:$B,$A508,'Таблиця 1'!$E:$E,"РЛС КББ",'Таблиця 1'!$L:$L,"Уражено"))</f>
        <v/>
      </c>
      <c r="S508">
        <f>IF($A508="","",COUNTIFS('Таблиця 1'!$B:$B,$A508,'Таблиця 1'!$E:$E,"Ретранслятор",'Таблиця 1'!$L:$L,"Уражено"))</f>
        <v/>
      </c>
      <c r="T508">
        <f>IF($A508="","",COUNTIFS('Таблиця 1'!$B:$B,$A508,'Таблиця 1'!$E:$E,"Вз.зв'язку",'Таблиця 1'!$L:$L,"Уражено"))</f>
        <v/>
      </c>
      <c r="U508">
        <f>IF($A508="","",COUNTIFS('Таблиця 1'!$B:$B,$A508,'Таблиця 1'!$E:$E,"ПММ",'Таблиця 1'!$L:$L,"Уражено"))</f>
        <v/>
      </c>
      <c r="V508">
        <f>IF($A508="","",COUNTIFS('Таблиця 1'!$B:$B,$A508,'Таблиця 1'!$E:$E,"ІФС",'Таблиця 1'!$L:$L,"Уражено"))</f>
        <v/>
      </c>
      <c r="W508">
        <f>IF($A508="","",COUNTIFS('Таблиця 1'!$B:$B,$A508,'Таблиця 1'!$E:$E,"Інфраструктура",'Таблиця 1'!$L:$L,"Уражено"))</f>
        <v/>
      </c>
      <c r="X508">
        <f>IF($A508="","",SUMIFS('Таблиця 1'!$K:$K,'Таблиця 1'!$B:$B,$A508))</f>
        <v/>
      </c>
    </row>
    <row r="509">
      <c r="A509" s="81">
        <f>IF(A508="","",IF(A508+1&gt;MAX('Таблиця 1'!$B:$B),"",A508+1))</f>
        <v/>
      </c>
      <c r="B509">
        <f>IF($A509="","",COUNTIFS('Таблиця 1'!$B:$B,$A509,'Таблиця 1'!$E:$E,"ЖС ВЗ",'Таблиця 1'!$L:$L,"Уражено"))</f>
        <v/>
      </c>
      <c r="C509">
        <f>IF($A509="","",COUNTIFS('Таблиця 1'!$B:$B,$A509,'Таблиця 1'!$E:$E,"Арт. Системи",'Таблиця 1'!$L:$L,"Уражено"))</f>
        <v/>
      </c>
      <c r="D509">
        <f>IF($A509="","",COUNTIFS('Таблиця 1'!$B:$B,$A509,'Таблиця 1'!$E:$E,"ОВТ",'Таблиця 1'!$L:$L,"Уражено"))</f>
        <v/>
      </c>
      <c r="E509">
        <f>IF($A509="","",COUNTIFS('Таблиця 1'!$B:$B,$A509,'Таблиця 1'!$E:$E,"ППО",'Таблиця 1'!$L:$L,"Уражено"))</f>
        <v/>
      </c>
      <c r="F509">
        <f>IF($A509="","",COUNTIFS('Таблиця 1'!$B:$B,$A509,'Таблиця 1'!$E:$E,"Рембаза",'Таблиця 1'!$L:$L,"Уражено"))</f>
        <v/>
      </c>
      <c r="G509">
        <f>IF($A509="","",COUNTIFS('Таблиця 1'!$B:$B,$A509,'Таблиця 1'!$E:$E,"Склад БК",'Таблиця 1'!$L:$L,"Уражено"))</f>
        <v/>
      </c>
      <c r="H509">
        <f>IF($A509="","",COUNTIFS('Таблиця 1'!$B:$B,$A509,'Таблиця 1'!$E:$E,"Склад ВТМ",'Таблиця 1'!$L:$L,"Уражено"))</f>
        <v/>
      </c>
      <c r="I509">
        <f>IF($A509="","",COUNTIFS('Таблиця 1'!$B:$B,$A509,'Таблиця 1'!$E:$E,"ПУ БпЛА",'Таблиця 1'!$L:$L,"Уражено"))</f>
        <v/>
      </c>
      <c r="J509">
        <f>IF($A509="","",COUNTIFS('Таблиця 1'!$B:$B,$A509,'Таблиця 1'!$E:$E,"СП",'Таблиця 1'!$L:$L,"Уражено"))</f>
        <v/>
      </c>
      <c r="K509">
        <f>IF($A509="","",COUNTIFS('Таблиця 1'!$B:$B,$A509,'Таблиця 1'!$E:$E,"КСП роти",'Таблиця 1'!$L:$L,"Уражено"))</f>
        <v/>
      </c>
      <c r="L509">
        <f>IF($A509="","",COUNTIFS('Таблиця 1'!$B:$B,$A509,'Таблиця 1'!$E:$E,"ПУ бат",'Таблиця 1'!$L:$L,"Уражено"))</f>
        <v/>
      </c>
      <c r="M509">
        <f>IF($A509="","",COUNTIFS('Таблиця 1'!$B:$B,$A509,'Таблиця 1'!$E:$E,"ПУ бриг",'Таблиця 1'!$L:$L,"Уражено"))</f>
        <v/>
      </c>
      <c r="N509">
        <f>IF($A509="","",COUNTIFS('Таблиця 1'!$B:$B,$A509,'Таблиця 1'!$E:$E,"ПУ див",'Таблиця 1'!$L:$L,"Уражено"))</f>
        <v/>
      </c>
      <c r="O509">
        <f>IF($A509="","",COUNTIFS('Таблиця 1'!$B:$B,$A509,'Таблиця 1'!$E:$E,"обл. РЕБ",'Таблиця 1'!$L:$L,"Уражено"))</f>
        <v/>
      </c>
      <c r="P509">
        <f>IF($A509="","",COUNTIFS('Таблиця 1'!$B:$B,$A509,'Таблиця 1'!$E:$E,"пос РЕБ",'Таблиця 1'!$L:$L,"Уражено"))</f>
        <v/>
      </c>
      <c r="Q509">
        <f>IF($A509="","",COUNTIFS('Таблиця 1'!$B:$B,$A509,'Таблиця 1'!$E:$E,"група РЕР",'Таблиця 1'!$L:$L,"Уражено"))</f>
        <v/>
      </c>
      <c r="R509">
        <f>IF($A509="","",COUNTIFS('Таблиця 1'!$B:$B,$A509,'Таблиця 1'!$E:$E,"РЛС КББ",'Таблиця 1'!$L:$L,"Уражено"))</f>
        <v/>
      </c>
      <c r="S509">
        <f>IF($A509="","",COUNTIFS('Таблиця 1'!$B:$B,$A509,'Таблиця 1'!$E:$E,"Ретранслятор",'Таблиця 1'!$L:$L,"Уражено"))</f>
        <v/>
      </c>
      <c r="T509">
        <f>IF($A509="","",COUNTIFS('Таблиця 1'!$B:$B,$A509,'Таблиця 1'!$E:$E,"Вз.зв'язку",'Таблиця 1'!$L:$L,"Уражено"))</f>
        <v/>
      </c>
      <c r="U509">
        <f>IF($A509="","",COUNTIFS('Таблиця 1'!$B:$B,$A509,'Таблиця 1'!$E:$E,"ПММ",'Таблиця 1'!$L:$L,"Уражено"))</f>
        <v/>
      </c>
      <c r="V509">
        <f>IF($A509="","",COUNTIFS('Таблиця 1'!$B:$B,$A509,'Таблиця 1'!$E:$E,"ІФС",'Таблиця 1'!$L:$L,"Уражено"))</f>
        <v/>
      </c>
      <c r="W509">
        <f>IF($A509="","",COUNTIFS('Таблиця 1'!$B:$B,$A509,'Таблиця 1'!$E:$E,"Інфраструктура",'Таблиця 1'!$L:$L,"Уражено"))</f>
        <v/>
      </c>
      <c r="X509">
        <f>IF($A509="","",SUMIFS('Таблиця 1'!$K:$K,'Таблиця 1'!$B:$B,$A509))</f>
        <v/>
      </c>
    </row>
    <row r="510">
      <c r="A510" s="81">
        <f>IF(A509="","",IF(A509+1&gt;MAX('Таблиця 1'!$B:$B),"",A509+1))</f>
        <v/>
      </c>
      <c r="B510">
        <f>IF($A510="","",COUNTIFS('Таблиця 1'!$B:$B,$A510,'Таблиця 1'!$E:$E,"ЖС ВЗ",'Таблиця 1'!$L:$L,"Уражено"))</f>
        <v/>
      </c>
      <c r="C510">
        <f>IF($A510="","",COUNTIFS('Таблиця 1'!$B:$B,$A510,'Таблиця 1'!$E:$E,"Арт. Системи",'Таблиця 1'!$L:$L,"Уражено"))</f>
        <v/>
      </c>
      <c r="D510">
        <f>IF($A510="","",COUNTIFS('Таблиця 1'!$B:$B,$A510,'Таблиця 1'!$E:$E,"ОВТ",'Таблиця 1'!$L:$L,"Уражено"))</f>
        <v/>
      </c>
      <c r="E510">
        <f>IF($A510="","",COUNTIFS('Таблиця 1'!$B:$B,$A510,'Таблиця 1'!$E:$E,"ППО",'Таблиця 1'!$L:$L,"Уражено"))</f>
        <v/>
      </c>
      <c r="F510">
        <f>IF($A510="","",COUNTIFS('Таблиця 1'!$B:$B,$A510,'Таблиця 1'!$E:$E,"Рембаза",'Таблиця 1'!$L:$L,"Уражено"))</f>
        <v/>
      </c>
      <c r="G510">
        <f>IF($A510="","",COUNTIFS('Таблиця 1'!$B:$B,$A510,'Таблиця 1'!$E:$E,"Склад БК",'Таблиця 1'!$L:$L,"Уражено"))</f>
        <v/>
      </c>
      <c r="H510">
        <f>IF($A510="","",COUNTIFS('Таблиця 1'!$B:$B,$A510,'Таблиця 1'!$E:$E,"Склад ВТМ",'Таблиця 1'!$L:$L,"Уражено"))</f>
        <v/>
      </c>
      <c r="I510">
        <f>IF($A510="","",COUNTIFS('Таблиця 1'!$B:$B,$A510,'Таблиця 1'!$E:$E,"ПУ БпЛА",'Таблиця 1'!$L:$L,"Уражено"))</f>
        <v/>
      </c>
      <c r="J510">
        <f>IF($A510="","",COUNTIFS('Таблиця 1'!$B:$B,$A510,'Таблиця 1'!$E:$E,"СП",'Таблиця 1'!$L:$L,"Уражено"))</f>
        <v/>
      </c>
      <c r="K510">
        <f>IF($A510="","",COUNTIFS('Таблиця 1'!$B:$B,$A510,'Таблиця 1'!$E:$E,"КСП роти",'Таблиця 1'!$L:$L,"Уражено"))</f>
        <v/>
      </c>
      <c r="L510">
        <f>IF($A510="","",COUNTIFS('Таблиця 1'!$B:$B,$A510,'Таблиця 1'!$E:$E,"ПУ бат",'Таблиця 1'!$L:$L,"Уражено"))</f>
        <v/>
      </c>
      <c r="M510">
        <f>IF($A510="","",COUNTIFS('Таблиця 1'!$B:$B,$A510,'Таблиця 1'!$E:$E,"ПУ бриг",'Таблиця 1'!$L:$L,"Уражено"))</f>
        <v/>
      </c>
      <c r="N510">
        <f>IF($A510="","",COUNTIFS('Таблиця 1'!$B:$B,$A510,'Таблиця 1'!$E:$E,"ПУ див",'Таблиця 1'!$L:$L,"Уражено"))</f>
        <v/>
      </c>
      <c r="O510">
        <f>IF($A510="","",COUNTIFS('Таблиця 1'!$B:$B,$A510,'Таблиця 1'!$E:$E,"обл. РЕБ",'Таблиця 1'!$L:$L,"Уражено"))</f>
        <v/>
      </c>
      <c r="P510">
        <f>IF($A510="","",COUNTIFS('Таблиця 1'!$B:$B,$A510,'Таблиця 1'!$E:$E,"пос РЕБ",'Таблиця 1'!$L:$L,"Уражено"))</f>
        <v/>
      </c>
      <c r="Q510">
        <f>IF($A510="","",COUNTIFS('Таблиця 1'!$B:$B,$A510,'Таблиця 1'!$E:$E,"група РЕР",'Таблиця 1'!$L:$L,"Уражено"))</f>
        <v/>
      </c>
      <c r="R510">
        <f>IF($A510="","",COUNTIFS('Таблиця 1'!$B:$B,$A510,'Таблиця 1'!$E:$E,"РЛС КББ",'Таблиця 1'!$L:$L,"Уражено"))</f>
        <v/>
      </c>
      <c r="S510">
        <f>IF($A510="","",COUNTIFS('Таблиця 1'!$B:$B,$A510,'Таблиця 1'!$E:$E,"Ретранслятор",'Таблиця 1'!$L:$L,"Уражено"))</f>
        <v/>
      </c>
      <c r="T510">
        <f>IF($A510="","",COUNTIFS('Таблиця 1'!$B:$B,$A510,'Таблиця 1'!$E:$E,"Вз.зв'язку",'Таблиця 1'!$L:$L,"Уражено"))</f>
        <v/>
      </c>
      <c r="U510">
        <f>IF($A510="","",COUNTIFS('Таблиця 1'!$B:$B,$A510,'Таблиця 1'!$E:$E,"ПММ",'Таблиця 1'!$L:$L,"Уражено"))</f>
        <v/>
      </c>
      <c r="V510">
        <f>IF($A510="","",COUNTIFS('Таблиця 1'!$B:$B,$A510,'Таблиця 1'!$E:$E,"ІФС",'Таблиця 1'!$L:$L,"Уражено"))</f>
        <v/>
      </c>
      <c r="W510">
        <f>IF($A510="","",COUNTIFS('Таблиця 1'!$B:$B,$A510,'Таблиця 1'!$E:$E,"Інфраструктура",'Таблиця 1'!$L:$L,"Уражено"))</f>
        <v/>
      </c>
      <c r="X510">
        <f>IF($A510="","",SUMIFS('Таблиця 1'!$K:$K,'Таблиця 1'!$B:$B,$A510))</f>
        <v/>
      </c>
    </row>
    <row r="511">
      <c r="A511" s="81">
        <f>IF(A510="","",IF(A510+1&gt;MAX('Таблиця 1'!$B:$B),"",A510+1))</f>
        <v/>
      </c>
      <c r="B511">
        <f>IF($A511="","",COUNTIFS('Таблиця 1'!$B:$B,$A511,'Таблиця 1'!$E:$E,"ЖС ВЗ",'Таблиця 1'!$L:$L,"Уражено"))</f>
        <v/>
      </c>
      <c r="C511">
        <f>IF($A511="","",COUNTIFS('Таблиця 1'!$B:$B,$A511,'Таблиця 1'!$E:$E,"Арт. Системи",'Таблиця 1'!$L:$L,"Уражено"))</f>
        <v/>
      </c>
      <c r="D511">
        <f>IF($A511="","",COUNTIFS('Таблиця 1'!$B:$B,$A511,'Таблиця 1'!$E:$E,"ОВТ",'Таблиця 1'!$L:$L,"Уражено"))</f>
        <v/>
      </c>
      <c r="E511">
        <f>IF($A511="","",COUNTIFS('Таблиця 1'!$B:$B,$A511,'Таблиця 1'!$E:$E,"ППО",'Таблиця 1'!$L:$L,"Уражено"))</f>
        <v/>
      </c>
      <c r="F511">
        <f>IF($A511="","",COUNTIFS('Таблиця 1'!$B:$B,$A511,'Таблиця 1'!$E:$E,"Рембаза",'Таблиця 1'!$L:$L,"Уражено"))</f>
        <v/>
      </c>
      <c r="G511">
        <f>IF($A511="","",COUNTIFS('Таблиця 1'!$B:$B,$A511,'Таблиця 1'!$E:$E,"Склад БК",'Таблиця 1'!$L:$L,"Уражено"))</f>
        <v/>
      </c>
      <c r="H511">
        <f>IF($A511="","",COUNTIFS('Таблиця 1'!$B:$B,$A511,'Таблиця 1'!$E:$E,"Склад ВТМ",'Таблиця 1'!$L:$L,"Уражено"))</f>
        <v/>
      </c>
      <c r="I511">
        <f>IF($A511="","",COUNTIFS('Таблиця 1'!$B:$B,$A511,'Таблиця 1'!$E:$E,"ПУ БпЛА",'Таблиця 1'!$L:$L,"Уражено"))</f>
        <v/>
      </c>
      <c r="J511">
        <f>IF($A511="","",COUNTIFS('Таблиця 1'!$B:$B,$A511,'Таблиця 1'!$E:$E,"СП",'Таблиця 1'!$L:$L,"Уражено"))</f>
        <v/>
      </c>
      <c r="K511">
        <f>IF($A511="","",COUNTIFS('Таблиця 1'!$B:$B,$A511,'Таблиця 1'!$E:$E,"КСП роти",'Таблиця 1'!$L:$L,"Уражено"))</f>
        <v/>
      </c>
      <c r="L511">
        <f>IF($A511="","",COUNTIFS('Таблиця 1'!$B:$B,$A511,'Таблиця 1'!$E:$E,"ПУ бат",'Таблиця 1'!$L:$L,"Уражено"))</f>
        <v/>
      </c>
      <c r="M511">
        <f>IF($A511="","",COUNTIFS('Таблиця 1'!$B:$B,$A511,'Таблиця 1'!$E:$E,"ПУ бриг",'Таблиця 1'!$L:$L,"Уражено"))</f>
        <v/>
      </c>
      <c r="N511">
        <f>IF($A511="","",COUNTIFS('Таблиця 1'!$B:$B,$A511,'Таблиця 1'!$E:$E,"ПУ див",'Таблиця 1'!$L:$L,"Уражено"))</f>
        <v/>
      </c>
      <c r="O511">
        <f>IF($A511="","",COUNTIFS('Таблиця 1'!$B:$B,$A511,'Таблиця 1'!$E:$E,"обл. РЕБ",'Таблиця 1'!$L:$L,"Уражено"))</f>
        <v/>
      </c>
      <c r="P511">
        <f>IF($A511="","",COUNTIFS('Таблиця 1'!$B:$B,$A511,'Таблиця 1'!$E:$E,"пос РЕБ",'Таблиця 1'!$L:$L,"Уражено"))</f>
        <v/>
      </c>
      <c r="Q511">
        <f>IF($A511="","",COUNTIFS('Таблиця 1'!$B:$B,$A511,'Таблиця 1'!$E:$E,"група РЕР",'Таблиця 1'!$L:$L,"Уражено"))</f>
        <v/>
      </c>
      <c r="R511">
        <f>IF($A511="","",COUNTIFS('Таблиця 1'!$B:$B,$A511,'Таблиця 1'!$E:$E,"РЛС КББ",'Таблиця 1'!$L:$L,"Уражено"))</f>
        <v/>
      </c>
      <c r="S511">
        <f>IF($A511="","",COUNTIFS('Таблиця 1'!$B:$B,$A511,'Таблиця 1'!$E:$E,"Ретранслятор",'Таблиця 1'!$L:$L,"Уражено"))</f>
        <v/>
      </c>
      <c r="T511">
        <f>IF($A511="","",COUNTIFS('Таблиця 1'!$B:$B,$A511,'Таблиця 1'!$E:$E,"Вз.зв'язку",'Таблиця 1'!$L:$L,"Уражено"))</f>
        <v/>
      </c>
      <c r="U511">
        <f>IF($A511="","",COUNTIFS('Таблиця 1'!$B:$B,$A511,'Таблиця 1'!$E:$E,"ПММ",'Таблиця 1'!$L:$L,"Уражено"))</f>
        <v/>
      </c>
      <c r="V511">
        <f>IF($A511="","",COUNTIFS('Таблиця 1'!$B:$B,$A511,'Таблиця 1'!$E:$E,"ІФС",'Таблиця 1'!$L:$L,"Уражено"))</f>
        <v/>
      </c>
      <c r="W511">
        <f>IF($A511="","",COUNTIFS('Таблиця 1'!$B:$B,$A511,'Таблиця 1'!$E:$E,"Інфраструктура",'Таблиця 1'!$L:$L,"Уражено"))</f>
        <v/>
      </c>
      <c r="X511">
        <f>IF($A511="","",SUMIFS('Таблиця 1'!$K:$K,'Таблиця 1'!$B:$B,$A511))</f>
        <v/>
      </c>
    </row>
    <row r="512">
      <c r="A512" s="81">
        <f>IF(A511="","",IF(A511+1&gt;MAX('Таблиця 1'!$B:$B),"",A511+1))</f>
        <v/>
      </c>
      <c r="B512">
        <f>IF($A512="","",COUNTIFS('Таблиця 1'!$B:$B,$A512,'Таблиця 1'!$E:$E,"ЖС ВЗ",'Таблиця 1'!$L:$L,"Уражено"))</f>
        <v/>
      </c>
      <c r="C512">
        <f>IF($A512="","",COUNTIFS('Таблиця 1'!$B:$B,$A512,'Таблиця 1'!$E:$E,"Арт. Системи",'Таблиця 1'!$L:$L,"Уражено"))</f>
        <v/>
      </c>
      <c r="D512">
        <f>IF($A512="","",COUNTIFS('Таблиця 1'!$B:$B,$A512,'Таблиця 1'!$E:$E,"ОВТ",'Таблиця 1'!$L:$L,"Уражено"))</f>
        <v/>
      </c>
      <c r="E512">
        <f>IF($A512="","",COUNTIFS('Таблиця 1'!$B:$B,$A512,'Таблиця 1'!$E:$E,"ППО",'Таблиця 1'!$L:$L,"Уражено"))</f>
        <v/>
      </c>
      <c r="F512">
        <f>IF($A512="","",COUNTIFS('Таблиця 1'!$B:$B,$A512,'Таблиця 1'!$E:$E,"Рембаза",'Таблиця 1'!$L:$L,"Уражено"))</f>
        <v/>
      </c>
      <c r="G512">
        <f>IF($A512="","",COUNTIFS('Таблиця 1'!$B:$B,$A512,'Таблиця 1'!$E:$E,"Склад БК",'Таблиця 1'!$L:$L,"Уражено"))</f>
        <v/>
      </c>
      <c r="H512">
        <f>IF($A512="","",COUNTIFS('Таблиця 1'!$B:$B,$A512,'Таблиця 1'!$E:$E,"Склад ВТМ",'Таблиця 1'!$L:$L,"Уражено"))</f>
        <v/>
      </c>
      <c r="I512">
        <f>IF($A512="","",COUNTIFS('Таблиця 1'!$B:$B,$A512,'Таблиця 1'!$E:$E,"ПУ БпЛА",'Таблиця 1'!$L:$L,"Уражено"))</f>
        <v/>
      </c>
      <c r="J512">
        <f>IF($A512="","",COUNTIFS('Таблиця 1'!$B:$B,$A512,'Таблиця 1'!$E:$E,"СП",'Таблиця 1'!$L:$L,"Уражено"))</f>
        <v/>
      </c>
      <c r="K512">
        <f>IF($A512="","",COUNTIFS('Таблиця 1'!$B:$B,$A512,'Таблиця 1'!$E:$E,"КСП роти",'Таблиця 1'!$L:$L,"Уражено"))</f>
        <v/>
      </c>
      <c r="L512">
        <f>IF($A512="","",COUNTIFS('Таблиця 1'!$B:$B,$A512,'Таблиця 1'!$E:$E,"ПУ бат",'Таблиця 1'!$L:$L,"Уражено"))</f>
        <v/>
      </c>
      <c r="M512">
        <f>IF($A512="","",COUNTIFS('Таблиця 1'!$B:$B,$A512,'Таблиця 1'!$E:$E,"ПУ бриг",'Таблиця 1'!$L:$L,"Уражено"))</f>
        <v/>
      </c>
      <c r="N512">
        <f>IF($A512="","",COUNTIFS('Таблиця 1'!$B:$B,$A512,'Таблиця 1'!$E:$E,"ПУ див",'Таблиця 1'!$L:$L,"Уражено"))</f>
        <v/>
      </c>
      <c r="O512">
        <f>IF($A512="","",COUNTIFS('Таблиця 1'!$B:$B,$A512,'Таблиця 1'!$E:$E,"обл. РЕБ",'Таблиця 1'!$L:$L,"Уражено"))</f>
        <v/>
      </c>
      <c r="P512">
        <f>IF($A512="","",COUNTIFS('Таблиця 1'!$B:$B,$A512,'Таблиця 1'!$E:$E,"пос РЕБ",'Таблиця 1'!$L:$L,"Уражено"))</f>
        <v/>
      </c>
      <c r="Q512">
        <f>IF($A512="","",COUNTIFS('Таблиця 1'!$B:$B,$A512,'Таблиця 1'!$E:$E,"група РЕР",'Таблиця 1'!$L:$L,"Уражено"))</f>
        <v/>
      </c>
      <c r="R512">
        <f>IF($A512="","",COUNTIFS('Таблиця 1'!$B:$B,$A512,'Таблиця 1'!$E:$E,"РЛС КББ",'Таблиця 1'!$L:$L,"Уражено"))</f>
        <v/>
      </c>
      <c r="S512">
        <f>IF($A512="","",COUNTIFS('Таблиця 1'!$B:$B,$A512,'Таблиця 1'!$E:$E,"Ретранслятор",'Таблиця 1'!$L:$L,"Уражено"))</f>
        <v/>
      </c>
      <c r="T512">
        <f>IF($A512="","",COUNTIFS('Таблиця 1'!$B:$B,$A512,'Таблиця 1'!$E:$E,"Вз.зв'язку",'Таблиця 1'!$L:$L,"Уражено"))</f>
        <v/>
      </c>
      <c r="U512">
        <f>IF($A512="","",COUNTIFS('Таблиця 1'!$B:$B,$A512,'Таблиця 1'!$E:$E,"ПММ",'Таблиця 1'!$L:$L,"Уражено"))</f>
        <v/>
      </c>
      <c r="V512">
        <f>IF($A512="","",COUNTIFS('Таблиця 1'!$B:$B,$A512,'Таблиця 1'!$E:$E,"ІФС",'Таблиця 1'!$L:$L,"Уражено"))</f>
        <v/>
      </c>
      <c r="W512">
        <f>IF($A512="","",COUNTIFS('Таблиця 1'!$B:$B,$A512,'Таблиця 1'!$E:$E,"Інфраструктура",'Таблиця 1'!$L:$L,"Уражено"))</f>
        <v/>
      </c>
      <c r="X512">
        <f>IF($A512="","",SUMIFS('Таблиця 1'!$K:$K,'Таблиця 1'!$B:$B,$A512))</f>
        <v/>
      </c>
    </row>
    <row r="513">
      <c r="A513" s="81">
        <f>IF(A512="","",IF(A512+1&gt;MAX('Таблиця 1'!$B:$B),"",A512+1))</f>
        <v/>
      </c>
      <c r="B513">
        <f>IF($A513="","",COUNTIFS('Таблиця 1'!$B:$B,$A513,'Таблиця 1'!$E:$E,"ЖС ВЗ",'Таблиця 1'!$L:$L,"Уражено"))</f>
        <v/>
      </c>
      <c r="C513">
        <f>IF($A513="","",COUNTIFS('Таблиця 1'!$B:$B,$A513,'Таблиця 1'!$E:$E,"Арт. Системи",'Таблиця 1'!$L:$L,"Уражено"))</f>
        <v/>
      </c>
      <c r="D513">
        <f>IF($A513="","",COUNTIFS('Таблиця 1'!$B:$B,$A513,'Таблиця 1'!$E:$E,"ОВТ",'Таблиця 1'!$L:$L,"Уражено"))</f>
        <v/>
      </c>
      <c r="E513">
        <f>IF($A513="","",COUNTIFS('Таблиця 1'!$B:$B,$A513,'Таблиця 1'!$E:$E,"ППО",'Таблиця 1'!$L:$L,"Уражено"))</f>
        <v/>
      </c>
      <c r="F513">
        <f>IF($A513="","",COUNTIFS('Таблиця 1'!$B:$B,$A513,'Таблиця 1'!$E:$E,"Рембаза",'Таблиця 1'!$L:$L,"Уражено"))</f>
        <v/>
      </c>
      <c r="G513">
        <f>IF($A513="","",COUNTIFS('Таблиця 1'!$B:$B,$A513,'Таблиця 1'!$E:$E,"Склад БК",'Таблиця 1'!$L:$L,"Уражено"))</f>
        <v/>
      </c>
      <c r="H513">
        <f>IF($A513="","",COUNTIFS('Таблиця 1'!$B:$B,$A513,'Таблиця 1'!$E:$E,"Склад ВТМ",'Таблиця 1'!$L:$L,"Уражено"))</f>
        <v/>
      </c>
      <c r="I513">
        <f>IF($A513="","",COUNTIFS('Таблиця 1'!$B:$B,$A513,'Таблиця 1'!$E:$E,"ПУ БпЛА",'Таблиця 1'!$L:$L,"Уражено"))</f>
        <v/>
      </c>
      <c r="J513">
        <f>IF($A513="","",COUNTIFS('Таблиця 1'!$B:$B,$A513,'Таблиця 1'!$E:$E,"СП",'Таблиця 1'!$L:$L,"Уражено"))</f>
        <v/>
      </c>
      <c r="K513">
        <f>IF($A513="","",COUNTIFS('Таблиця 1'!$B:$B,$A513,'Таблиця 1'!$E:$E,"КСП роти",'Таблиця 1'!$L:$L,"Уражено"))</f>
        <v/>
      </c>
      <c r="L513">
        <f>IF($A513="","",COUNTIFS('Таблиця 1'!$B:$B,$A513,'Таблиця 1'!$E:$E,"ПУ бат",'Таблиця 1'!$L:$L,"Уражено"))</f>
        <v/>
      </c>
      <c r="M513">
        <f>IF($A513="","",COUNTIFS('Таблиця 1'!$B:$B,$A513,'Таблиця 1'!$E:$E,"ПУ бриг",'Таблиця 1'!$L:$L,"Уражено"))</f>
        <v/>
      </c>
      <c r="N513">
        <f>IF($A513="","",COUNTIFS('Таблиця 1'!$B:$B,$A513,'Таблиця 1'!$E:$E,"ПУ див",'Таблиця 1'!$L:$L,"Уражено"))</f>
        <v/>
      </c>
      <c r="O513">
        <f>IF($A513="","",COUNTIFS('Таблиця 1'!$B:$B,$A513,'Таблиця 1'!$E:$E,"обл. РЕБ",'Таблиця 1'!$L:$L,"Уражено"))</f>
        <v/>
      </c>
      <c r="P513">
        <f>IF($A513="","",COUNTIFS('Таблиця 1'!$B:$B,$A513,'Таблиця 1'!$E:$E,"пос РЕБ",'Таблиця 1'!$L:$L,"Уражено"))</f>
        <v/>
      </c>
      <c r="Q513">
        <f>IF($A513="","",COUNTIFS('Таблиця 1'!$B:$B,$A513,'Таблиця 1'!$E:$E,"група РЕР",'Таблиця 1'!$L:$L,"Уражено"))</f>
        <v/>
      </c>
      <c r="R513">
        <f>IF($A513="","",COUNTIFS('Таблиця 1'!$B:$B,$A513,'Таблиця 1'!$E:$E,"РЛС КББ",'Таблиця 1'!$L:$L,"Уражено"))</f>
        <v/>
      </c>
      <c r="S513">
        <f>IF($A513="","",COUNTIFS('Таблиця 1'!$B:$B,$A513,'Таблиця 1'!$E:$E,"Ретранслятор",'Таблиця 1'!$L:$L,"Уражено"))</f>
        <v/>
      </c>
      <c r="T513">
        <f>IF($A513="","",COUNTIFS('Таблиця 1'!$B:$B,$A513,'Таблиця 1'!$E:$E,"Вз.зв'язку",'Таблиця 1'!$L:$L,"Уражено"))</f>
        <v/>
      </c>
      <c r="U513">
        <f>IF($A513="","",COUNTIFS('Таблиця 1'!$B:$B,$A513,'Таблиця 1'!$E:$E,"ПММ",'Таблиця 1'!$L:$L,"Уражено"))</f>
        <v/>
      </c>
      <c r="V513">
        <f>IF($A513="","",COUNTIFS('Таблиця 1'!$B:$B,$A513,'Таблиця 1'!$E:$E,"ІФС",'Таблиця 1'!$L:$L,"Уражено"))</f>
        <v/>
      </c>
      <c r="W513">
        <f>IF($A513="","",COUNTIFS('Таблиця 1'!$B:$B,$A513,'Таблиця 1'!$E:$E,"Інфраструктура",'Таблиця 1'!$L:$L,"Уражено"))</f>
        <v/>
      </c>
      <c r="X513">
        <f>IF($A513="","",SUMIFS('Таблиця 1'!$K:$K,'Таблиця 1'!$B:$B,$A513))</f>
        <v/>
      </c>
    </row>
    <row r="514">
      <c r="A514" s="81">
        <f>IF(A513="","",IF(A513+1&gt;MAX('Таблиця 1'!$B:$B),"",A513+1))</f>
        <v/>
      </c>
      <c r="B514">
        <f>IF($A514="","",COUNTIFS('Таблиця 1'!$B:$B,$A514,'Таблиця 1'!$E:$E,"ЖС ВЗ",'Таблиця 1'!$L:$L,"Уражено"))</f>
        <v/>
      </c>
      <c r="C514">
        <f>IF($A514="","",COUNTIFS('Таблиця 1'!$B:$B,$A514,'Таблиця 1'!$E:$E,"Арт. Системи",'Таблиця 1'!$L:$L,"Уражено"))</f>
        <v/>
      </c>
      <c r="D514">
        <f>IF($A514="","",COUNTIFS('Таблиця 1'!$B:$B,$A514,'Таблиця 1'!$E:$E,"ОВТ",'Таблиця 1'!$L:$L,"Уражено"))</f>
        <v/>
      </c>
      <c r="E514">
        <f>IF($A514="","",COUNTIFS('Таблиця 1'!$B:$B,$A514,'Таблиця 1'!$E:$E,"ППО",'Таблиця 1'!$L:$L,"Уражено"))</f>
        <v/>
      </c>
      <c r="F514">
        <f>IF($A514="","",COUNTIFS('Таблиця 1'!$B:$B,$A514,'Таблиця 1'!$E:$E,"Рембаза",'Таблиця 1'!$L:$L,"Уражено"))</f>
        <v/>
      </c>
      <c r="G514">
        <f>IF($A514="","",COUNTIFS('Таблиця 1'!$B:$B,$A514,'Таблиця 1'!$E:$E,"Склад БК",'Таблиця 1'!$L:$L,"Уражено"))</f>
        <v/>
      </c>
      <c r="H514">
        <f>IF($A514="","",COUNTIFS('Таблиця 1'!$B:$B,$A514,'Таблиця 1'!$E:$E,"Склад ВТМ",'Таблиця 1'!$L:$L,"Уражено"))</f>
        <v/>
      </c>
      <c r="I514">
        <f>IF($A514="","",COUNTIFS('Таблиця 1'!$B:$B,$A514,'Таблиця 1'!$E:$E,"ПУ БпЛА",'Таблиця 1'!$L:$L,"Уражено"))</f>
        <v/>
      </c>
      <c r="J514">
        <f>IF($A514="","",COUNTIFS('Таблиця 1'!$B:$B,$A514,'Таблиця 1'!$E:$E,"СП",'Таблиця 1'!$L:$L,"Уражено"))</f>
        <v/>
      </c>
      <c r="K514">
        <f>IF($A514="","",COUNTIFS('Таблиця 1'!$B:$B,$A514,'Таблиця 1'!$E:$E,"КСП роти",'Таблиця 1'!$L:$L,"Уражено"))</f>
        <v/>
      </c>
      <c r="L514">
        <f>IF($A514="","",COUNTIFS('Таблиця 1'!$B:$B,$A514,'Таблиця 1'!$E:$E,"ПУ бат",'Таблиця 1'!$L:$L,"Уражено"))</f>
        <v/>
      </c>
      <c r="M514">
        <f>IF($A514="","",COUNTIFS('Таблиця 1'!$B:$B,$A514,'Таблиця 1'!$E:$E,"ПУ бриг",'Таблиця 1'!$L:$L,"Уражено"))</f>
        <v/>
      </c>
      <c r="N514">
        <f>IF($A514="","",COUNTIFS('Таблиця 1'!$B:$B,$A514,'Таблиця 1'!$E:$E,"ПУ див",'Таблиця 1'!$L:$L,"Уражено"))</f>
        <v/>
      </c>
      <c r="O514">
        <f>IF($A514="","",COUNTIFS('Таблиця 1'!$B:$B,$A514,'Таблиця 1'!$E:$E,"обл. РЕБ",'Таблиця 1'!$L:$L,"Уражено"))</f>
        <v/>
      </c>
      <c r="P514">
        <f>IF($A514="","",COUNTIFS('Таблиця 1'!$B:$B,$A514,'Таблиця 1'!$E:$E,"пос РЕБ",'Таблиця 1'!$L:$L,"Уражено"))</f>
        <v/>
      </c>
      <c r="Q514">
        <f>IF($A514="","",COUNTIFS('Таблиця 1'!$B:$B,$A514,'Таблиця 1'!$E:$E,"група РЕР",'Таблиця 1'!$L:$L,"Уражено"))</f>
        <v/>
      </c>
      <c r="R514">
        <f>IF($A514="","",COUNTIFS('Таблиця 1'!$B:$B,$A514,'Таблиця 1'!$E:$E,"РЛС КББ",'Таблиця 1'!$L:$L,"Уражено"))</f>
        <v/>
      </c>
      <c r="S514">
        <f>IF($A514="","",COUNTIFS('Таблиця 1'!$B:$B,$A514,'Таблиця 1'!$E:$E,"Ретранслятор",'Таблиця 1'!$L:$L,"Уражено"))</f>
        <v/>
      </c>
      <c r="T514">
        <f>IF($A514="","",COUNTIFS('Таблиця 1'!$B:$B,$A514,'Таблиця 1'!$E:$E,"Вз.зв'язку",'Таблиця 1'!$L:$L,"Уражено"))</f>
        <v/>
      </c>
      <c r="U514">
        <f>IF($A514="","",COUNTIFS('Таблиця 1'!$B:$B,$A514,'Таблиця 1'!$E:$E,"ПММ",'Таблиця 1'!$L:$L,"Уражено"))</f>
        <v/>
      </c>
      <c r="V514">
        <f>IF($A514="","",COUNTIFS('Таблиця 1'!$B:$B,$A514,'Таблиця 1'!$E:$E,"ІФС",'Таблиця 1'!$L:$L,"Уражено"))</f>
        <v/>
      </c>
      <c r="W514">
        <f>IF($A514="","",COUNTIFS('Таблиця 1'!$B:$B,$A514,'Таблиця 1'!$E:$E,"Інфраструктура",'Таблиця 1'!$L:$L,"Уражено"))</f>
        <v/>
      </c>
      <c r="X514">
        <f>IF($A514="","",SUMIFS('Таблиця 1'!$K:$K,'Таблиця 1'!$B:$B,$A514))</f>
        <v/>
      </c>
    </row>
    <row r="515">
      <c r="A515" s="81">
        <f>IF(A514="","",IF(A514+1&gt;MAX('Таблиця 1'!$B:$B),"",A514+1))</f>
        <v/>
      </c>
      <c r="B515">
        <f>IF($A515="","",COUNTIFS('Таблиця 1'!$B:$B,$A515,'Таблиця 1'!$E:$E,"ЖС ВЗ",'Таблиця 1'!$L:$L,"Уражено"))</f>
        <v/>
      </c>
      <c r="C515">
        <f>IF($A515="","",COUNTIFS('Таблиця 1'!$B:$B,$A515,'Таблиця 1'!$E:$E,"Арт. Системи",'Таблиця 1'!$L:$L,"Уражено"))</f>
        <v/>
      </c>
      <c r="D515">
        <f>IF($A515="","",COUNTIFS('Таблиця 1'!$B:$B,$A515,'Таблиця 1'!$E:$E,"ОВТ",'Таблиця 1'!$L:$L,"Уражено"))</f>
        <v/>
      </c>
      <c r="E515">
        <f>IF($A515="","",COUNTIFS('Таблиця 1'!$B:$B,$A515,'Таблиця 1'!$E:$E,"ППО",'Таблиця 1'!$L:$L,"Уражено"))</f>
        <v/>
      </c>
      <c r="F515">
        <f>IF($A515="","",COUNTIFS('Таблиця 1'!$B:$B,$A515,'Таблиця 1'!$E:$E,"Рембаза",'Таблиця 1'!$L:$L,"Уражено"))</f>
        <v/>
      </c>
      <c r="G515">
        <f>IF($A515="","",COUNTIFS('Таблиця 1'!$B:$B,$A515,'Таблиця 1'!$E:$E,"Склад БК",'Таблиця 1'!$L:$L,"Уражено"))</f>
        <v/>
      </c>
      <c r="H515">
        <f>IF($A515="","",COUNTIFS('Таблиця 1'!$B:$B,$A515,'Таблиця 1'!$E:$E,"Склад ВТМ",'Таблиця 1'!$L:$L,"Уражено"))</f>
        <v/>
      </c>
      <c r="I515">
        <f>IF($A515="","",COUNTIFS('Таблиця 1'!$B:$B,$A515,'Таблиця 1'!$E:$E,"ПУ БпЛА",'Таблиця 1'!$L:$L,"Уражено"))</f>
        <v/>
      </c>
      <c r="J515">
        <f>IF($A515="","",COUNTIFS('Таблиця 1'!$B:$B,$A515,'Таблиця 1'!$E:$E,"СП",'Таблиця 1'!$L:$L,"Уражено"))</f>
        <v/>
      </c>
      <c r="K515">
        <f>IF($A515="","",COUNTIFS('Таблиця 1'!$B:$B,$A515,'Таблиця 1'!$E:$E,"КСП роти",'Таблиця 1'!$L:$L,"Уражено"))</f>
        <v/>
      </c>
      <c r="L515">
        <f>IF($A515="","",COUNTIFS('Таблиця 1'!$B:$B,$A515,'Таблиця 1'!$E:$E,"ПУ бат",'Таблиця 1'!$L:$L,"Уражено"))</f>
        <v/>
      </c>
      <c r="M515">
        <f>IF($A515="","",COUNTIFS('Таблиця 1'!$B:$B,$A515,'Таблиця 1'!$E:$E,"ПУ бриг",'Таблиця 1'!$L:$L,"Уражено"))</f>
        <v/>
      </c>
      <c r="N515">
        <f>IF($A515="","",COUNTIFS('Таблиця 1'!$B:$B,$A515,'Таблиця 1'!$E:$E,"ПУ див",'Таблиця 1'!$L:$L,"Уражено"))</f>
        <v/>
      </c>
      <c r="O515">
        <f>IF($A515="","",COUNTIFS('Таблиця 1'!$B:$B,$A515,'Таблиця 1'!$E:$E,"обл. РЕБ",'Таблиця 1'!$L:$L,"Уражено"))</f>
        <v/>
      </c>
      <c r="P515">
        <f>IF($A515="","",COUNTIFS('Таблиця 1'!$B:$B,$A515,'Таблиця 1'!$E:$E,"пос РЕБ",'Таблиця 1'!$L:$L,"Уражено"))</f>
        <v/>
      </c>
      <c r="Q515">
        <f>IF($A515="","",COUNTIFS('Таблиця 1'!$B:$B,$A515,'Таблиця 1'!$E:$E,"група РЕР",'Таблиця 1'!$L:$L,"Уражено"))</f>
        <v/>
      </c>
      <c r="R515">
        <f>IF($A515="","",COUNTIFS('Таблиця 1'!$B:$B,$A515,'Таблиця 1'!$E:$E,"РЛС КББ",'Таблиця 1'!$L:$L,"Уражено"))</f>
        <v/>
      </c>
      <c r="S515">
        <f>IF($A515="","",COUNTIFS('Таблиця 1'!$B:$B,$A515,'Таблиця 1'!$E:$E,"Ретранслятор",'Таблиця 1'!$L:$L,"Уражено"))</f>
        <v/>
      </c>
      <c r="T515">
        <f>IF($A515="","",COUNTIFS('Таблиця 1'!$B:$B,$A515,'Таблиця 1'!$E:$E,"Вз.зв'язку",'Таблиця 1'!$L:$L,"Уражено"))</f>
        <v/>
      </c>
      <c r="U515">
        <f>IF($A515="","",COUNTIFS('Таблиця 1'!$B:$B,$A515,'Таблиця 1'!$E:$E,"ПММ",'Таблиця 1'!$L:$L,"Уражено"))</f>
        <v/>
      </c>
      <c r="V515">
        <f>IF($A515="","",COUNTIFS('Таблиця 1'!$B:$B,$A515,'Таблиця 1'!$E:$E,"ІФС",'Таблиця 1'!$L:$L,"Уражено"))</f>
        <v/>
      </c>
      <c r="W515">
        <f>IF($A515="","",COUNTIFS('Таблиця 1'!$B:$B,$A515,'Таблиця 1'!$E:$E,"Інфраструктура",'Таблиця 1'!$L:$L,"Уражено"))</f>
        <v/>
      </c>
      <c r="X515">
        <f>IF($A515="","",SUMIFS('Таблиця 1'!$K:$K,'Таблиця 1'!$B:$B,$A515))</f>
        <v/>
      </c>
    </row>
    <row r="516">
      <c r="A516" s="81">
        <f>IF(A515="","",IF(A515+1&gt;MAX('Таблиця 1'!$B:$B),"",A515+1))</f>
        <v/>
      </c>
      <c r="B516">
        <f>IF($A516="","",COUNTIFS('Таблиця 1'!$B:$B,$A516,'Таблиця 1'!$E:$E,"ЖС ВЗ",'Таблиця 1'!$L:$L,"Уражено"))</f>
        <v/>
      </c>
      <c r="C516">
        <f>IF($A516="","",COUNTIFS('Таблиця 1'!$B:$B,$A516,'Таблиця 1'!$E:$E,"Арт. Системи",'Таблиця 1'!$L:$L,"Уражено"))</f>
        <v/>
      </c>
      <c r="D516">
        <f>IF($A516="","",COUNTIFS('Таблиця 1'!$B:$B,$A516,'Таблиця 1'!$E:$E,"ОВТ",'Таблиця 1'!$L:$L,"Уражено"))</f>
        <v/>
      </c>
      <c r="E516">
        <f>IF($A516="","",COUNTIFS('Таблиця 1'!$B:$B,$A516,'Таблиця 1'!$E:$E,"ППО",'Таблиця 1'!$L:$L,"Уражено"))</f>
        <v/>
      </c>
      <c r="F516">
        <f>IF($A516="","",COUNTIFS('Таблиця 1'!$B:$B,$A516,'Таблиця 1'!$E:$E,"Рембаза",'Таблиця 1'!$L:$L,"Уражено"))</f>
        <v/>
      </c>
      <c r="G516">
        <f>IF($A516="","",COUNTIFS('Таблиця 1'!$B:$B,$A516,'Таблиця 1'!$E:$E,"Склад БК",'Таблиця 1'!$L:$L,"Уражено"))</f>
        <v/>
      </c>
      <c r="H516">
        <f>IF($A516="","",COUNTIFS('Таблиця 1'!$B:$B,$A516,'Таблиця 1'!$E:$E,"Склад ВТМ",'Таблиця 1'!$L:$L,"Уражено"))</f>
        <v/>
      </c>
      <c r="I516">
        <f>IF($A516="","",COUNTIFS('Таблиця 1'!$B:$B,$A516,'Таблиця 1'!$E:$E,"ПУ БпЛА",'Таблиця 1'!$L:$L,"Уражено"))</f>
        <v/>
      </c>
      <c r="J516">
        <f>IF($A516="","",COUNTIFS('Таблиця 1'!$B:$B,$A516,'Таблиця 1'!$E:$E,"СП",'Таблиця 1'!$L:$L,"Уражено"))</f>
        <v/>
      </c>
      <c r="K516">
        <f>IF($A516="","",COUNTIFS('Таблиця 1'!$B:$B,$A516,'Таблиця 1'!$E:$E,"КСП роти",'Таблиця 1'!$L:$L,"Уражено"))</f>
        <v/>
      </c>
      <c r="L516">
        <f>IF($A516="","",COUNTIFS('Таблиця 1'!$B:$B,$A516,'Таблиця 1'!$E:$E,"ПУ бат",'Таблиця 1'!$L:$L,"Уражено"))</f>
        <v/>
      </c>
      <c r="M516">
        <f>IF($A516="","",COUNTIFS('Таблиця 1'!$B:$B,$A516,'Таблиця 1'!$E:$E,"ПУ бриг",'Таблиця 1'!$L:$L,"Уражено"))</f>
        <v/>
      </c>
      <c r="N516">
        <f>IF($A516="","",COUNTIFS('Таблиця 1'!$B:$B,$A516,'Таблиця 1'!$E:$E,"ПУ див",'Таблиця 1'!$L:$L,"Уражено"))</f>
        <v/>
      </c>
      <c r="O516">
        <f>IF($A516="","",COUNTIFS('Таблиця 1'!$B:$B,$A516,'Таблиця 1'!$E:$E,"обл. РЕБ",'Таблиця 1'!$L:$L,"Уражено"))</f>
        <v/>
      </c>
      <c r="P516">
        <f>IF($A516="","",COUNTIFS('Таблиця 1'!$B:$B,$A516,'Таблиця 1'!$E:$E,"пос РЕБ",'Таблиця 1'!$L:$L,"Уражено"))</f>
        <v/>
      </c>
      <c r="Q516">
        <f>IF($A516="","",COUNTIFS('Таблиця 1'!$B:$B,$A516,'Таблиця 1'!$E:$E,"група РЕР",'Таблиця 1'!$L:$L,"Уражено"))</f>
        <v/>
      </c>
      <c r="R516">
        <f>IF($A516="","",COUNTIFS('Таблиця 1'!$B:$B,$A516,'Таблиця 1'!$E:$E,"РЛС КББ",'Таблиця 1'!$L:$L,"Уражено"))</f>
        <v/>
      </c>
      <c r="S516">
        <f>IF($A516="","",COUNTIFS('Таблиця 1'!$B:$B,$A516,'Таблиця 1'!$E:$E,"Ретранслятор",'Таблиця 1'!$L:$L,"Уражено"))</f>
        <v/>
      </c>
      <c r="T516">
        <f>IF($A516="","",COUNTIFS('Таблиця 1'!$B:$B,$A516,'Таблиця 1'!$E:$E,"Вз.зв'язку",'Таблиця 1'!$L:$L,"Уражено"))</f>
        <v/>
      </c>
      <c r="U516">
        <f>IF($A516="","",COUNTIFS('Таблиця 1'!$B:$B,$A516,'Таблиця 1'!$E:$E,"ПММ",'Таблиця 1'!$L:$L,"Уражено"))</f>
        <v/>
      </c>
      <c r="V516">
        <f>IF($A516="","",COUNTIFS('Таблиця 1'!$B:$B,$A516,'Таблиця 1'!$E:$E,"ІФС",'Таблиця 1'!$L:$L,"Уражено"))</f>
        <v/>
      </c>
      <c r="W516">
        <f>IF($A516="","",COUNTIFS('Таблиця 1'!$B:$B,$A516,'Таблиця 1'!$E:$E,"Інфраструктура",'Таблиця 1'!$L:$L,"Уражено"))</f>
        <v/>
      </c>
      <c r="X516">
        <f>IF($A516="","",SUMIFS('Таблиця 1'!$K:$K,'Таблиця 1'!$B:$B,$A516))</f>
        <v/>
      </c>
    </row>
    <row r="517">
      <c r="A517" s="81">
        <f>IF(A516="","",IF(A516+1&gt;MAX('Таблиця 1'!$B:$B),"",A516+1))</f>
        <v/>
      </c>
      <c r="B517">
        <f>IF($A517="","",COUNTIFS('Таблиця 1'!$B:$B,$A517,'Таблиця 1'!$E:$E,"ЖС ВЗ",'Таблиця 1'!$L:$L,"Уражено"))</f>
        <v/>
      </c>
      <c r="C517">
        <f>IF($A517="","",COUNTIFS('Таблиця 1'!$B:$B,$A517,'Таблиця 1'!$E:$E,"Арт. Системи",'Таблиця 1'!$L:$L,"Уражено"))</f>
        <v/>
      </c>
      <c r="D517">
        <f>IF($A517="","",COUNTIFS('Таблиця 1'!$B:$B,$A517,'Таблиця 1'!$E:$E,"ОВТ",'Таблиця 1'!$L:$L,"Уражено"))</f>
        <v/>
      </c>
      <c r="E517">
        <f>IF($A517="","",COUNTIFS('Таблиця 1'!$B:$B,$A517,'Таблиця 1'!$E:$E,"ППО",'Таблиця 1'!$L:$L,"Уражено"))</f>
        <v/>
      </c>
      <c r="F517">
        <f>IF($A517="","",COUNTIFS('Таблиця 1'!$B:$B,$A517,'Таблиця 1'!$E:$E,"Рембаза",'Таблиця 1'!$L:$L,"Уражено"))</f>
        <v/>
      </c>
      <c r="G517">
        <f>IF($A517="","",COUNTIFS('Таблиця 1'!$B:$B,$A517,'Таблиця 1'!$E:$E,"Склад БК",'Таблиця 1'!$L:$L,"Уражено"))</f>
        <v/>
      </c>
      <c r="H517">
        <f>IF($A517="","",COUNTIFS('Таблиця 1'!$B:$B,$A517,'Таблиця 1'!$E:$E,"Склад ВТМ",'Таблиця 1'!$L:$L,"Уражено"))</f>
        <v/>
      </c>
      <c r="I517">
        <f>IF($A517="","",COUNTIFS('Таблиця 1'!$B:$B,$A517,'Таблиця 1'!$E:$E,"ПУ БпЛА",'Таблиця 1'!$L:$L,"Уражено"))</f>
        <v/>
      </c>
      <c r="J517">
        <f>IF($A517="","",COUNTIFS('Таблиця 1'!$B:$B,$A517,'Таблиця 1'!$E:$E,"СП",'Таблиця 1'!$L:$L,"Уражено"))</f>
        <v/>
      </c>
      <c r="K517">
        <f>IF($A517="","",COUNTIFS('Таблиця 1'!$B:$B,$A517,'Таблиця 1'!$E:$E,"КСП роти",'Таблиця 1'!$L:$L,"Уражено"))</f>
        <v/>
      </c>
      <c r="L517">
        <f>IF($A517="","",COUNTIFS('Таблиця 1'!$B:$B,$A517,'Таблиця 1'!$E:$E,"ПУ бат",'Таблиця 1'!$L:$L,"Уражено"))</f>
        <v/>
      </c>
      <c r="M517">
        <f>IF($A517="","",COUNTIFS('Таблиця 1'!$B:$B,$A517,'Таблиця 1'!$E:$E,"ПУ бриг",'Таблиця 1'!$L:$L,"Уражено"))</f>
        <v/>
      </c>
      <c r="N517">
        <f>IF($A517="","",COUNTIFS('Таблиця 1'!$B:$B,$A517,'Таблиця 1'!$E:$E,"ПУ див",'Таблиця 1'!$L:$L,"Уражено"))</f>
        <v/>
      </c>
      <c r="O517">
        <f>IF($A517="","",COUNTIFS('Таблиця 1'!$B:$B,$A517,'Таблиця 1'!$E:$E,"обл. РЕБ",'Таблиця 1'!$L:$L,"Уражено"))</f>
        <v/>
      </c>
      <c r="P517">
        <f>IF($A517="","",COUNTIFS('Таблиця 1'!$B:$B,$A517,'Таблиця 1'!$E:$E,"пос РЕБ",'Таблиця 1'!$L:$L,"Уражено"))</f>
        <v/>
      </c>
      <c r="Q517">
        <f>IF($A517="","",COUNTIFS('Таблиця 1'!$B:$B,$A517,'Таблиця 1'!$E:$E,"група РЕР",'Таблиця 1'!$L:$L,"Уражено"))</f>
        <v/>
      </c>
      <c r="R517">
        <f>IF($A517="","",COUNTIFS('Таблиця 1'!$B:$B,$A517,'Таблиця 1'!$E:$E,"РЛС КББ",'Таблиця 1'!$L:$L,"Уражено"))</f>
        <v/>
      </c>
      <c r="S517">
        <f>IF($A517="","",COUNTIFS('Таблиця 1'!$B:$B,$A517,'Таблиця 1'!$E:$E,"Ретранслятор",'Таблиця 1'!$L:$L,"Уражено"))</f>
        <v/>
      </c>
      <c r="T517">
        <f>IF($A517="","",COUNTIFS('Таблиця 1'!$B:$B,$A517,'Таблиця 1'!$E:$E,"Вз.зв'язку",'Таблиця 1'!$L:$L,"Уражено"))</f>
        <v/>
      </c>
      <c r="U517">
        <f>IF($A517="","",COUNTIFS('Таблиця 1'!$B:$B,$A517,'Таблиця 1'!$E:$E,"ПММ",'Таблиця 1'!$L:$L,"Уражено"))</f>
        <v/>
      </c>
      <c r="V517">
        <f>IF($A517="","",COUNTIFS('Таблиця 1'!$B:$B,$A517,'Таблиця 1'!$E:$E,"ІФС",'Таблиця 1'!$L:$L,"Уражено"))</f>
        <v/>
      </c>
      <c r="W517">
        <f>IF($A517="","",COUNTIFS('Таблиця 1'!$B:$B,$A517,'Таблиця 1'!$E:$E,"Інфраструктура",'Таблиця 1'!$L:$L,"Уражено"))</f>
        <v/>
      </c>
      <c r="X517">
        <f>IF($A517="","",SUMIFS('Таблиця 1'!$K:$K,'Таблиця 1'!$B:$B,$A517))</f>
        <v/>
      </c>
    </row>
    <row r="518">
      <c r="A518" s="81">
        <f>IF(A517="","",IF(A517+1&gt;MAX('Таблиця 1'!$B:$B),"",A517+1))</f>
        <v/>
      </c>
      <c r="B518">
        <f>IF($A518="","",COUNTIFS('Таблиця 1'!$B:$B,$A518,'Таблиця 1'!$E:$E,"ЖС ВЗ",'Таблиця 1'!$L:$L,"Уражено"))</f>
        <v/>
      </c>
      <c r="C518">
        <f>IF($A518="","",COUNTIFS('Таблиця 1'!$B:$B,$A518,'Таблиця 1'!$E:$E,"Арт. Системи",'Таблиця 1'!$L:$L,"Уражено"))</f>
        <v/>
      </c>
      <c r="D518">
        <f>IF($A518="","",COUNTIFS('Таблиця 1'!$B:$B,$A518,'Таблиця 1'!$E:$E,"ОВТ",'Таблиця 1'!$L:$L,"Уражено"))</f>
        <v/>
      </c>
      <c r="E518">
        <f>IF($A518="","",COUNTIFS('Таблиця 1'!$B:$B,$A518,'Таблиця 1'!$E:$E,"ППО",'Таблиця 1'!$L:$L,"Уражено"))</f>
        <v/>
      </c>
      <c r="F518">
        <f>IF($A518="","",COUNTIFS('Таблиця 1'!$B:$B,$A518,'Таблиця 1'!$E:$E,"Рембаза",'Таблиця 1'!$L:$L,"Уражено"))</f>
        <v/>
      </c>
      <c r="G518">
        <f>IF($A518="","",COUNTIFS('Таблиця 1'!$B:$B,$A518,'Таблиця 1'!$E:$E,"Склад БК",'Таблиця 1'!$L:$L,"Уражено"))</f>
        <v/>
      </c>
      <c r="H518">
        <f>IF($A518="","",COUNTIFS('Таблиця 1'!$B:$B,$A518,'Таблиця 1'!$E:$E,"Склад ВТМ",'Таблиця 1'!$L:$L,"Уражено"))</f>
        <v/>
      </c>
      <c r="I518">
        <f>IF($A518="","",COUNTIFS('Таблиця 1'!$B:$B,$A518,'Таблиця 1'!$E:$E,"ПУ БпЛА",'Таблиця 1'!$L:$L,"Уражено"))</f>
        <v/>
      </c>
      <c r="J518">
        <f>IF($A518="","",COUNTIFS('Таблиця 1'!$B:$B,$A518,'Таблиця 1'!$E:$E,"СП",'Таблиця 1'!$L:$L,"Уражено"))</f>
        <v/>
      </c>
      <c r="K518">
        <f>IF($A518="","",COUNTIFS('Таблиця 1'!$B:$B,$A518,'Таблиця 1'!$E:$E,"КСП роти",'Таблиця 1'!$L:$L,"Уражено"))</f>
        <v/>
      </c>
      <c r="L518">
        <f>IF($A518="","",COUNTIFS('Таблиця 1'!$B:$B,$A518,'Таблиця 1'!$E:$E,"ПУ бат",'Таблиця 1'!$L:$L,"Уражено"))</f>
        <v/>
      </c>
      <c r="M518">
        <f>IF($A518="","",COUNTIFS('Таблиця 1'!$B:$B,$A518,'Таблиця 1'!$E:$E,"ПУ бриг",'Таблиця 1'!$L:$L,"Уражено"))</f>
        <v/>
      </c>
      <c r="N518">
        <f>IF($A518="","",COUNTIFS('Таблиця 1'!$B:$B,$A518,'Таблиця 1'!$E:$E,"ПУ див",'Таблиця 1'!$L:$L,"Уражено"))</f>
        <v/>
      </c>
      <c r="O518">
        <f>IF($A518="","",COUNTIFS('Таблиця 1'!$B:$B,$A518,'Таблиця 1'!$E:$E,"обл. РЕБ",'Таблиця 1'!$L:$L,"Уражено"))</f>
        <v/>
      </c>
      <c r="P518">
        <f>IF($A518="","",COUNTIFS('Таблиця 1'!$B:$B,$A518,'Таблиця 1'!$E:$E,"пос РЕБ",'Таблиця 1'!$L:$L,"Уражено"))</f>
        <v/>
      </c>
      <c r="Q518">
        <f>IF($A518="","",COUNTIFS('Таблиця 1'!$B:$B,$A518,'Таблиця 1'!$E:$E,"група РЕР",'Таблиця 1'!$L:$L,"Уражено"))</f>
        <v/>
      </c>
      <c r="R518">
        <f>IF($A518="","",COUNTIFS('Таблиця 1'!$B:$B,$A518,'Таблиця 1'!$E:$E,"РЛС КББ",'Таблиця 1'!$L:$L,"Уражено"))</f>
        <v/>
      </c>
      <c r="S518">
        <f>IF($A518="","",COUNTIFS('Таблиця 1'!$B:$B,$A518,'Таблиця 1'!$E:$E,"Ретранслятор",'Таблиця 1'!$L:$L,"Уражено"))</f>
        <v/>
      </c>
      <c r="T518">
        <f>IF($A518="","",COUNTIFS('Таблиця 1'!$B:$B,$A518,'Таблиця 1'!$E:$E,"Вз.зв'язку",'Таблиця 1'!$L:$L,"Уражено"))</f>
        <v/>
      </c>
      <c r="U518">
        <f>IF($A518="","",COUNTIFS('Таблиця 1'!$B:$B,$A518,'Таблиця 1'!$E:$E,"ПММ",'Таблиця 1'!$L:$L,"Уражено"))</f>
        <v/>
      </c>
      <c r="V518">
        <f>IF($A518="","",COUNTIFS('Таблиця 1'!$B:$B,$A518,'Таблиця 1'!$E:$E,"ІФС",'Таблиця 1'!$L:$L,"Уражено"))</f>
        <v/>
      </c>
      <c r="W518">
        <f>IF($A518="","",COUNTIFS('Таблиця 1'!$B:$B,$A518,'Таблиця 1'!$E:$E,"Інфраструктура",'Таблиця 1'!$L:$L,"Уражено"))</f>
        <v/>
      </c>
      <c r="X518">
        <f>IF($A518="","",SUMIFS('Таблиця 1'!$K:$K,'Таблиця 1'!$B:$B,$A518))</f>
        <v/>
      </c>
    </row>
    <row r="519">
      <c r="A519" s="81">
        <f>IF(A518="","",IF(A518+1&gt;MAX('Таблиця 1'!$B:$B),"",A518+1))</f>
        <v/>
      </c>
      <c r="B519">
        <f>IF($A519="","",COUNTIFS('Таблиця 1'!$B:$B,$A519,'Таблиця 1'!$E:$E,"ЖС ВЗ",'Таблиця 1'!$L:$L,"Уражено"))</f>
        <v/>
      </c>
      <c r="C519">
        <f>IF($A519="","",COUNTIFS('Таблиця 1'!$B:$B,$A519,'Таблиця 1'!$E:$E,"Арт. Системи",'Таблиця 1'!$L:$L,"Уражено"))</f>
        <v/>
      </c>
      <c r="D519">
        <f>IF($A519="","",COUNTIFS('Таблиця 1'!$B:$B,$A519,'Таблиця 1'!$E:$E,"ОВТ",'Таблиця 1'!$L:$L,"Уражено"))</f>
        <v/>
      </c>
      <c r="E519">
        <f>IF($A519="","",COUNTIFS('Таблиця 1'!$B:$B,$A519,'Таблиця 1'!$E:$E,"ППО",'Таблиця 1'!$L:$L,"Уражено"))</f>
        <v/>
      </c>
      <c r="F519">
        <f>IF($A519="","",COUNTIFS('Таблиця 1'!$B:$B,$A519,'Таблиця 1'!$E:$E,"Рембаза",'Таблиця 1'!$L:$L,"Уражено"))</f>
        <v/>
      </c>
      <c r="G519">
        <f>IF($A519="","",COUNTIFS('Таблиця 1'!$B:$B,$A519,'Таблиця 1'!$E:$E,"Склад БК",'Таблиця 1'!$L:$L,"Уражено"))</f>
        <v/>
      </c>
      <c r="H519">
        <f>IF($A519="","",COUNTIFS('Таблиця 1'!$B:$B,$A519,'Таблиця 1'!$E:$E,"Склад ВТМ",'Таблиця 1'!$L:$L,"Уражено"))</f>
        <v/>
      </c>
      <c r="I519">
        <f>IF($A519="","",COUNTIFS('Таблиця 1'!$B:$B,$A519,'Таблиця 1'!$E:$E,"ПУ БпЛА",'Таблиця 1'!$L:$L,"Уражено"))</f>
        <v/>
      </c>
      <c r="J519">
        <f>IF($A519="","",COUNTIFS('Таблиця 1'!$B:$B,$A519,'Таблиця 1'!$E:$E,"СП",'Таблиця 1'!$L:$L,"Уражено"))</f>
        <v/>
      </c>
      <c r="K519">
        <f>IF($A519="","",COUNTIFS('Таблиця 1'!$B:$B,$A519,'Таблиця 1'!$E:$E,"КСП роти",'Таблиця 1'!$L:$L,"Уражено"))</f>
        <v/>
      </c>
      <c r="L519">
        <f>IF($A519="","",COUNTIFS('Таблиця 1'!$B:$B,$A519,'Таблиця 1'!$E:$E,"ПУ бат",'Таблиця 1'!$L:$L,"Уражено"))</f>
        <v/>
      </c>
      <c r="M519">
        <f>IF($A519="","",COUNTIFS('Таблиця 1'!$B:$B,$A519,'Таблиця 1'!$E:$E,"ПУ бриг",'Таблиця 1'!$L:$L,"Уражено"))</f>
        <v/>
      </c>
      <c r="N519">
        <f>IF($A519="","",COUNTIFS('Таблиця 1'!$B:$B,$A519,'Таблиця 1'!$E:$E,"ПУ див",'Таблиця 1'!$L:$L,"Уражено"))</f>
        <v/>
      </c>
      <c r="O519">
        <f>IF($A519="","",COUNTIFS('Таблиця 1'!$B:$B,$A519,'Таблиця 1'!$E:$E,"обл. РЕБ",'Таблиця 1'!$L:$L,"Уражено"))</f>
        <v/>
      </c>
      <c r="P519">
        <f>IF($A519="","",COUNTIFS('Таблиця 1'!$B:$B,$A519,'Таблиця 1'!$E:$E,"пос РЕБ",'Таблиця 1'!$L:$L,"Уражено"))</f>
        <v/>
      </c>
      <c r="Q519">
        <f>IF($A519="","",COUNTIFS('Таблиця 1'!$B:$B,$A519,'Таблиця 1'!$E:$E,"група РЕР",'Таблиця 1'!$L:$L,"Уражено"))</f>
        <v/>
      </c>
      <c r="R519">
        <f>IF($A519="","",COUNTIFS('Таблиця 1'!$B:$B,$A519,'Таблиця 1'!$E:$E,"РЛС КББ",'Таблиця 1'!$L:$L,"Уражено"))</f>
        <v/>
      </c>
      <c r="S519">
        <f>IF($A519="","",COUNTIFS('Таблиця 1'!$B:$B,$A519,'Таблиця 1'!$E:$E,"Ретранслятор",'Таблиця 1'!$L:$L,"Уражено"))</f>
        <v/>
      </c>
      <c r="T519">
        <f>IF($A519="","",COUNTIFS('Таблиця 1'!$B:$B,$A519,'Таблиця 1'!$E:$E,"Вз.зв'язку",'Таблиця 1'!$L:$L,"Уражено"))</f>
        <v/>
      </c>
      <c r="U519">
        <f>IF($A519="","",COUNTIFS('Таблиця 1'!$B:$B,$A519,'Таблиця 1'!$E:$E,"ПММ",'Таблиця 1'!$L:$L,"Уражено"))</f>
        <v/>
      </c>
      <c r="V519">
        <f>IF($A519="","",COUNTIFS('Таблиця 1'!$B:$B,$A519,'Таблиця 1'!$E:$E,"ІФС",'Таблиця 1'!$L:$L,"Уражено"))</f>
        <v/>
      </c>
      <c r="W519">
        <f>IF($A519="","",COUNTIFS('Таблиця 1'!$B:$B,$A519,'Таблиця 1'!$E:$E,"Інфраструктура",'Таблиця 1'!$L:$L,"Уражено"))</f>
        <v/>
      </c>
      <c r="X519">
        <f>IF($A519="","",SUMIFS('Таблиця 1'!$K:$K,'Таблиця 1'!$B:$B,$A519))</f>
        <v/>
      </c>
    </row>
    <row r="520">
      <c r="A520" s="81">
        <f>IF(A519="","",IF(A519+1&gt;MAX('Таблиця 1'!$B:$B),"",A519+1))</f>
        <v/>
      </c>
      <c r="B520">
        <f>IF($A520="","",COUNTIFS('Таблиця 1'!$B:$B,$A520,'Таблиця 1'!$E:$E,"ЖС ВЗ",'Таблиця 1'!$L:$L,"Уражено"))</f>
        <v/>
      </c>
      <c r="C520">
        <f>IF($A520="","",COUNTIFS('Таблиця 1'!$B:$B,$A520,'Таблиця 1'!$E:$E,"Арт. Системи",'Таблиця 1'!$L:$L,"Уражено"))</f>
        <v/>
      </c>
      <c r="D520">
        <f>IF($A520="","",COUNTIFS('Таблиця 1'!$B:$B,$A520,'Таблиця 1'!$E:$E,"ОВТ",'Таблиця 1'!$L:$L,"Уражено"))</f>
        <v/>
      </c>
      <c r="E520">
        <f>IF($A520="","",COUNTIFS('Таблиця 1'!$B:$B,$A520,'Таблиця 1'!$E:$E,"ППО",'Таблиця 1'!$L:$L,"Уражено"))</f>
        <v/>
      </c>
      <c r="F520">
        <f>IF($A520="","",COUNTIFS('Таблиця 1'!$B:$B,$A520,'Таблиця 1'!$E:$E,"Рембаза",'Таблиця 1'!$L:$L,"Уражено"))</f>
        <v/>
      </c>
      <c r="G520">
        <f>IF($A520="","",COUNTIFS('Таблиця 1'!$B:$B,$A520,'Таблиця 1'!$E:$E,"Склад БК",'Таблиця 1'!$L:$L,"Уражено"))</f>
        <v/>
      </c>
      <c r="H520">
        <f>IF($A520="","",COUNTIFS('Таблиця 1'!$B:$B,$A520,'Таблиця 1'!$E:$E,"Склад ВТМ",'Таблиця 1'!$L:$L,"Уражено"))</f>
        <v/>
      </c>
      <c r="I520">
        <f>IF($A520="","",COUNTIFS('Таблиця 1'!$B:$B,$A520,'Таблиця 1'!$E:$E,"ПУ БпЛА",'Таблиця 1'!$L:$L,"Уражено"))</f>
        <v/>
      </c>
      <c r="J520">
        <f>IF($A520="","",COUNTIFS('Таблиця 1'!$B:$B,$A520,'Таблиця 1'!$E:$E,"СП",'Таблиця 1'!$L:$L,"Уражено"))</f>
        <v/>
      </c>
      <c r="K520">
        <f>IF($A520="","",COUNTIFS('Таблиця 1'!$B:$B,$A520,'Таблиця 1'!$E:$E,"КСП роти",'Таблиця 1'!$L:$L,"Уражено"))</f>
        <v/>
      </c>
      <c r="L520">
        <f>IF($A520="","",COUNTIFS('Таблиця 1'!$B:$B,$A520,'Таблиця 1'!$E:$E,"ПУ бат",'Таблиця 1'!$L:$L,"Уражено"))</f>
        <v/>
      </c>
      <c r="M520">
        <f>IF($A520="","",COUNTIFS('Таблиця 1'!$B:$B,$A520,'Таблиця 1'!$E:$E,"ПУ бриг",'Таблиця 1'!$L:$L,"Уражено"))</f>
        <v/>
      </c>
      <c r="N520">
        <f>IF($A520="","",COUNTIFS('Таблиця 1'!$B:$B,$A520,'Таблиця 1'!$E:$E,"ПУ див",'Таблиця 1'!$L:$L,"Уражено"))</f>
        <v/>
      </c>
      <c r="O520">
        <f>IF($A520="","",COUNTIFS('Таблиця 1'!$B:$B,$A520,'Таблиця 1'!$E:$E,"обл. РЕБ",'Таблиця 1'!$L:$L,"Уражено"))</f>
        <v/>
      </c>
      <c r="P520">
        <f>IF($A520="","",COUNTIFS('Таблиця 1'!$B:$B,$A520,'Таблиця 1'!$E:$E,"пос РЕБ",'Таблиця 1'!$L:$L,"Уражено"))</f>
        <v/>
      </c>
      <c r="Q520">
        <f>IF($A520="","",COUNTIFS('Таблиця 1'!$B:$B,$A520,'Таблиця 1'!$E:$E,"група РЕР",'Таблиця 1'!$L:$L,"Уражено"))</f>
        <v/>
      </c>
      <c r="R520">
        <f>IF($A520="","",COUNTIFS('Таблиця 1'!$B:$B,$A520,'Таблиця 1'!$E:$E,"РЛС КББ",'Таблиця 1'!$L:$L,"Уражено"))</f>
        <v/>
      </c>
      <c r="S520">
        <f>IF($A520="","",COUNTIFS('Таблиця 1'!$B:$B,$A520,'Таблиця 1'!$E:$E,"Ретранслятор",'Таблиця 1'!$L:$L,"Уражено"))</f>
        <v/>
      </c>
      <c r="T520">
        <f>IF($A520="","",COUNTIFS('Таблиця 1'!$B:$B,$A520,'Таблиця 1'!$E:$E,"Вз.зв'язку",'Таблиця 1'!$L:$L,"Уражено"))</f>
        <v/>
      </c>
      <c r="U520">
        <f>IF($A520="","",COUNTIFS('Таблиця 1'!$B:$B,$A520,'Таблиця 1'!$E:$E,"ПММ",'Таблиця 1'!$L:$L,"Уражено"))</f>
        <v/>
      </c>
      <c r="V520">
        <f>IF($A520="","",COUNTIFS('Таблиця 1'!$B:$B,$A520,'Таблиця 1'!$E:$E,"ІФС",'Таблиця 1'!$L:$L,"Уражено"))</f>
        <v/>
      </c>
      <c r="W520">
        <f>IF($A520="","",COUNTIFS('Таблиця 1'!$B:$B,$A520,'Таблиця 1'!$E:$E,"Інфраструктура",'Таблиця 1'!$L:$L,"Уражено"))</f>
        <v/>
      </c>
      <c r="X520">
        <f>IF($A520="","",SUMIFS('Таблиця 1'!$K:$K,'Таблиця 1'!$B:$B,$A520))</f>
        <v/>
      </c>
    </row>
    <row r="521">
      <c r="A521" s="81">
        <f>IF(A520="","",IF(A520+1&gt;MAX('Таблиця 1'!$B:$B),"",A520+1))</f>
        <v/>
      </c>
      <c r="B521">
        <f>IF($A521="","",COUNTIFS('Таблиця 1'!$B:$B,$A521,'Таблиця 1'!$E:$E,"ЖС ВЗ",'Таблиця 1'!$L:$L,"Уражено"))</f>
        <v/>
      </c>
      <c r="C521">
        <f>IF($A521="","",COUNTIFS('Таблиця 1'!$B:$B,$A521,'Таблиця 1'!$E:$E,"Арт. Системи",'Таблиця 1'!$L:$L,"Уражено"))</f>
        <v/>
      </c>
      <c r="D521">
        <f>IF($A521="","",COUNTIFS('Таблиця 1'!$B:$B,$A521,'Таблиця 1'!$E:$E,"ОВТ",'Таблиця 1'!$L:$L,"Уражено"))</f>
        <v/>
      </c>
      <c r="E521">
        <f>IF($A521="","",COUNTIFS('Таблиця 1'!$B:$B,$A521,'Таблиця 1'!$E:$E,"ППО",'Таблиця 1'!$L:$L,"Уражено"))</f>
        <v/>
      </c>
      <c r="F521">
        <f>IF($A521="","",COUNTIFS('Таблиця 1'!$B:$B,$A521,'Таблиця 1'!$E:$E,"Рембаза",'Таблиця 1'!$L:$L,"Уражено"))</f>
        <v/>
      </c>
      <c r="G521">
        <f>IF($A521="","",COUNTIFS('Таблиця 1'!$B:$B,$A521,'Таблиця 1'!$E:$E,"Склад БК",'Таблиця 1'!$L:$L,"Уражено"))</f>
        <v/>
      </c>
      <c r="H521">
        <f>IF($A521="","",COUNTIFS('Таблиця 1'!$B:$B,$A521,'Таблиця 1'!$E:$E,"Склад ВТМ",'Таблиця 1'!$L:$L,"Уражено"))</f>
        <v/>
      </c>
      <c r="I521">
        <f>IF($A521="","",COUNTIFS('Таблиця 1'!$B:$B,$A521,'Таблиця 1'!$E:$E,"ПУ БпЛА",'Таблиця 1'!$L:$L,"Уражено"))</f>
        <v/>
      </c>
      <c r="J521">
        <f>IF($A521="","",COUNTIFS('Таблиця 1'!$B:$B,$A521,'Таблиця 1'!$E:$E,"СП",'Таблиця 1'!$L:$L,"Уражено"))</f>
        <v/>
      </c>
      <c r="K521">
        <f>IF($A521="","",COUNTIFS('Таблиця 1'!$B:$B,$A521,'Таблиця 1'!$E:$E,"КСП роти",'Таблиця 1'!$L:$L,"Уражено"))</f>
        <v/>
      </c>
      <c r="L521">
        <f>IF($A521="","",COUNTIFS('Таблиця 1'!$B:$B,$A521,'Таблиця 1'!$E:$E,"ПУ бат",'Таблиця 1'!$L:$L,"Уражено"))</f>
        <v/>
      </c>
      <c r="M521">
        <f>IF($A521="","",COUNTIFS('Таблиця 1'!$B:$B,$A521,'Таблиця 1'!$E:$E,"ПУ бриг",'Таблиця 1'!$L:$L,"Уражено"))</f>
        <v/>
      </c>
      <c r="N521">
        <f>IF($A521="","",COUNTIFS('Таблиця 1'!$B:$B,$A521,'Таблиця 1'!$E:$E,"ПУ див",'Таблиця 1'!$L:$L,"Уражено"))</f>
        <v/>
      </c>
      <c r="O521">
        <f>IF($A521="","",COUNTIFS('Таблиця 1'!$B:$B,$A521,'Таблиця 1'!$E:$E,"обл. РЕБ",'Таблиця 1'!$L:$L,"Уражено"))</f>
        <v/>
      </c>
      <c r="P521">
        <f>IF($A521="","",COUNTIFS('Таблиця 1'!$B:$B,$A521,'Таблиця 1'!$E:$E,"пос РЕБ",'Таблиця 1'!$L:$L,"Уражено"))</f>
        <v/>
      </c>
      <c r="Q521">
        <f>IF($A521="","",COUNTIFS('Таблиця 1'!$B:$B,$A521,'Таблиця 1'!$E:$E,"група РЕР",'Таблиця 1'!$L:$L,"Уражено"))</f>
        <v/>
      </c>
      <c r="R521">
        <f>IF($A521="","",COUNTIFS('Таблиця 1'!$B:$B,$A521,'Таблиця 1'!$E:$E,"РЛС КББ",'Таблиця 1'!$L:$L,"Уражено"))</f>
        <v/>
      </c>
      <c r="S521">
        <f>IF($A521="","",COUNTIFS('Таблиця 1'!$B:$B,$A521,'Таблиця 1'!$E:$E,"Ретранслятор",'Таблиця 1'!$L:$L,"Уражено"))</f>
        <v/>
      </c>
      <c r="T521">
        <f>IF($A521="","",COUNTIFS('Таблиця 1'!$B:$B,$A521,'Таблиця 1'!$E:$E,"Вз.зв'язку",'Таблиця 1'!$L:$L,"Уражено"))</f>
        <v/>
      </c>
      <c r="U521">
        <f>IF($A521="","",COUNTIFS('Таблиця 1'!$B:$B,$A521,'Таблиця 1'!$E:$E,"ПММ",'Таблиця 1'!$L:$L,"Уражено"))</f>
        <v/>
      </c>
      <c r="V521">
        <f>IF($A521="","",COUNTIFS('Таблиця 1'!$B:$B,$A521,'Таблиця 1'!$E:$E,"ІФС",'Таблиця 1'!$L:$L,"Уражено"))</f>
        <v/>
      </c>
      <c r="W521">
        <f>IF($A521="","",COUNTIFS('Таблиця 1'!$B:$B,$A521,'Таблиця 1'!$E:$E,"Інфраструктура",'Таблиця 1'!$L:$L,"Уражено"))</f>
        <v/>
      </c>
      <c r="X521">
        <f>IF($A521="","",SUMIFS('Таблиця 1'!$K:$K,'Таблиця 1'!$B:$B,$A521))</f>
        <v/>
      </c>
    </row>
    <row r="522">
      <c r="A522" s="81">
        <f>IF(A521="","",IF(A521+1&gt;MAX('Таблиця 1'!$B:$B),"",A521+1))</f>
        <v/>
      </c>
      <c r="B522">
        <f>IF($A522="","",COUNTIFS('Таблиця 1'!$B:$B,$A522,'Таблиця 1'!$E:$E,"ЖС ВЗ",'Таблиця 1'!$L:$L,"Уражено"))</f>
        <v/>
      </c>
      <c r="C522">
        <f>IF($A522="","",COUNTIFS('Таблиця 1'!$B:$B,$A522,'Таблиця 1'!$E:$E,"Арт. Системи",'Таблиця 1'!$L:$L,"Уражено"))</f>
        <v/>
      </c>
      <c r="D522">
        <f>IF($A522="","",COUNTIFS('Таблиця 1'!$B:$B,$A522,'Таблиця 1'!$E:$E,"ОВТ",'Таблиця 1'!$L:$L,"Уражено"))</f>
        <v/>
      </c>
      <c r="E522">
        <f>IF($A522="","",COUNTIFS('Таблиця 1'!$B:$B,$A522,'Таблиця 1'!$E:$E,"ППО",'Таблиця 1'!$L:$L,"Уражено"))</f>
        <v/>
      </c>
      <c r="F522">
        <f>IF($A522="","",COUNTIFS('Таблиця 1'!$B:$B,$A522,'Таблиця 1'!$E:$E,"Рембаза",'Таблиця 1'!$L:$L,"Уражено"))</f>
        <v/>
      </c>
      <c r="G522">
        <f>IF($A522="","",COUNTIFS('Таблиця 1'!$B:$B,$A522,'Таблиця 1'!$E:$E,"Склад БК",'Таблиця 1'!$L:$L,"Уражено"))</f>
        <v/>
      </c>
      <c r="H522">
        <f>IF($A522="","",COUNTIFS('Таблиця 1'!$B:$B,$A522,'Таблиця 1'!$E:$E,"Склад ВТМ",'Таблиця 1'!$L:$L,"Уражено"))</f>
        <v/>
      </c>
      <c r="I522">
        <f>IF($A522="","",COUNTIFS('Таблиця 1'!$B:$B,$A522,'Таблиця 1'!$E:$E,"ПУ БпЛА",'Таблиця 1'!$L:$L,"Уражено"))</f>
        <v/>
      </c>
      <c r="J522">
        <f>IF($A522="","",COUNTIFS('Таблиця 1'!$B:$B,$A522,'Таблиця 1'!$E:$E,"СП",'Таблиця 1'!$L:$L,"Уражено"))</f>
        <v/>
      </c>
      <c r="K522">
        <f>IF($A522="","",COUNTIFS('Таблиця 1'!$B:$B,$A522,'Таблиця 1'!$E:$E,"КСП роти",'Таблиця 1'!$L:$L,"Уражено"))</f>
        <v/>
      </c>
      <c r="L522">
        <f>IF($A522="","",COUNTIFS('Таблиця 1'!$B:$B,$A522,'Таблиця 1'!$E:$E,"ПУ бат",'Таблиця 1'!$L:$L,"Уражено"))</f>
        <v/>
      </c>
      <c r="M522">
        <f>IF($A522="","",COUNTIFS('Таблиця 1'!$B:$B,$A522,'Таблиця 1'!$E:$E,"ПУ бриг",'Таблиця 1'!$L:$L,"Уражено"))</f>
        <v/>
      </c>
      <c r="N522">
        <f>IF($A522="","",COUNTIFS('Таблиця 1'!$B:$B,$A522,'Таблиця 1'!$E:$E,"ПУ див",'Таблиця 1'!$L:$L,"Уражено"))</f>
        <v/>
      </c>
      <c r="O522">
        <f>IF($A522="","",COUNTIFS('Таблиця 1'!$B:$B,$A522,'Таблиця 1'!$E:$E,"обл. РЕБ",'Таблиця 1'!$L:$L,"Уражено"))</f>
        <v/>
      </c>
      <c r="P522">
        <f>IF($A522="","",COUNTIFS('Таблиця 1'!$B:$B,$A522,'Таблиця 1'!$E:$E,"пос РЕБ",'Таблиця 1'!$L:$L,"Уражено"))</f>
        <v/>
      </c>
      <c r="Q522">
        <f>IF($A522="","",COUNTIFS('Таблиця 1'!$B:$B,$A522,'Таблиця 1'!$E:$E,"група РЕР",'Таблиця 1'!$L:$L,"Уражено"))</f>
        <v/>
      </c>
      <c r="R522">
        <f>IF($A522="","",COUNTIFS('Таблиця 1'!$B:$B,$A522,'Таблиця 1'!$E:$E,"РЛС КББ",'Таблиця 1'!$L:$L,"Уражено"))</f>
        <v/>
      </c>
      <c r="S522">
        <f>IF($A522="","",COUNTIFS('Таблиця 1'!$B:$B,$A522,'Таблиця 1'!$E:$E,"Ретранслятор",'Таблиця 1'!$L:$L,"Уражено"))</f>
        <v/>
      </c>
      <c r="T522">
        <f>IF($A522="","",COUNTIFS('Таблиця 1'!$B:$B,$A522,'Таблиця 1'!$E:$E,"Вз.зв'язку",'Таблиця 1'!$L:$L,"Уражено"))</f>
        <v/>
      </c>
      <c r="U522">
        <f>IF($A522="","",COUNTIFS('Таблиця 1'!$B:$B,$A522,'Таблиця 1'!$E:$E,"ПММ",'Таблиця 1'!$L:$L,"Уражено"))</f>
        <v/>
      </c>
      <c r="V522">
        <f>IF($A522="","",COUNTIFS('Таблиця 1'!$B:$B,$A522,'Таблиця 1'!$E:$E,"ІФС",'Таблиця 1'!$L:$L,"Уражено"))</f>
        <v/>
      </c>
      <c r="W522">
        <f>IF($A522="","",COUNTIFS('Таблиця 1'!$B:$B,$A522,'Таблиця 1'!$E:$E,"Інфраструктура",'Таблиця 1'!$L:$L,"Уражено"))</f>
        <v/>
      </c>
      <c r="X522">
        <f>IF($A522="","",SUMIFS('Таблиця 1'!$K:$K,'Таблиця 1'!$B:$B,$A522))</f>
        <v/>
      </c>
    </row>
    <row r="523">
      <c r="A523" s="81">
        <f>IF(A522="","",IF(A522+1&gt;MAX('Таблиця 1'!$B:$B),"",A522+1))</f>
        <v/>
      </c>
      <c r="B523">
        <f>IF($A523="","",COUNTIFS('Таблиця 1'!$B:$B,$A523,'Таблиця 1'!$E:$E,"ЖС ВЗ",'Таблиця 1'!$L:$L,"Уражено"))</f>
        <v/>
      </c>
      <c r="C523">
        <f>IF($A523="","",COUNTIFS('Таблиця 1'!$B:$B,$A523,'Таблиця 1'!$E:$E,"Арт. Системи",'Таблиця 1'!$L:$L,"Уражено"))</f>
        <v/>
      </c>
      <c r="D523">
        <f>IF($A523="","",COUNTIFS('Таблиця 1'!$B:$B,$A523,'Таблиця 1'!$E:$E,"ОВТ",'Таблиця 1'!$L:$L,"Уражено"))</f>
        <v/>
      </c>
      <c r="E523">
        <f>IF($A523="","",COUNTIFS('Таблиця 1'!$B:$B,$A523,'Таблиця 1'!$E:$E,"ППО",'Таблиця 1'!$L:$L,"Уражено"))</f>
        <v/>
      </c>
      <c r="F523">
        <f>IF($A523="","",COUNTIFS('Таблиця 1'!$B:$B,$A523,'Таблиця 1'!$E:$E,"Рембаза",'Таблиця 1'!$L:$L,"Уражено"))</f>
        <v/>
      </c>
      <c r="G523">
        <f>IF($A523="","",COUNTIFS('Таблиця 1'!$B:$B,$A523,'Таблиця 1'!$E:$E,"Склад БК",'Таблиця 1'!$L:$L,"Уражено"))</f>
        <v/>
      </c>
      <c r="H523">
        <f>IF($A523="","",COUNTIFS('Таблиця 1'!$B:$B,$A523,'Таблиця 1'!$E:$E,"Склад ВТМ",'Таблиця 1'!$L:$L,"Уражено"))</f>
        <v/>
      </c>
      <c r="I523">
        <f>IF($A523="","",COUNTIFS('Таблиця 1'!$B:$B,$A523,'Таблиця 1'!$E:$E,"ПУ БпЛА",'Таблиця 1'!$L:$L,"Уражено"))</f>
        <v/>
      </c>
      <c r="J523">
        <f>IF($A523="","",COUNTIFS('Таблиця 1'!$B:$B,$A523,'Таблиця 1'!$E:$E,"СП",'Таблиця 1'!$L:$L,"Уражено"))</f>
        <v/>
      </c>
      <c r="K523">
        <f>IF($A523="","",COUNTIFS('Таблиця 1'!$B:$B,$A523,'Таблиця 1'!$E:$E,"КСП роти",'Таблиця 1'!$L:$L,"Уражено"))</f>
        <v/>
      </c>
      <c r="L523">
        <f>IF($A523="","",COUNTIFS('Таблиця 1'!$B:$B,$A523,'Таблиця 1'!$E:$E,"ПУ бат",'Таблиця 1'!$L:$L,"Уражено"))</f>
        <v/>
      </c>
      <c r="M523">
        <f>IF($A523="","",COUNTIFS('Таблиця 1'!$B:$B,$A523,'Таблиця 1'!$E:$E,"ПУ бриг",'Таблиця 1'!$L:$L,"Уражено"))</f>
        <v/>
      </c>
      <c r="N523">
        <f>IF($A523="","",COUNTIFS('Таблиця 1'!$B:$B,$A523,'Таблиця 1'!$E:$E,"ПУ див",'Таблиця 1'!$L:$L,"Уражено"))</f>
        <v/>
      </c>
      <c r="O523">
        <f>IF($A523="","",COUNTIFS('Таблиця 1'!$B:$B,$A523,'Таблиця 1'!$E:$E,"обл. РЕБ",'Таблиця 1'!$L:$L,"Уражено"))</f>
        <v/>
      </c>
      <c r="P523">
        <f>IF($A523="","",COUNTIFS('Таблиця 1'!$B:$B,$A523,'Таблиця 1'!$E:$E,"пос РЕБ",'Таблиця 1'!$L:$L,"Уражено"))</f>
        <v/>
      </c>
      <c r="Q523">
        <f>IF($A523="","",COUNTIFS('Таблиця 1'!$B:$B,$A523,'Таблиця 1'!$E:$E,"група РЕР",'Таблиця 1'!$L:$L,"Уражено"))</f>
        <v/>
      </c>
      <c r="R523">
        <f>IF($A523="","",COUNTIFS('Таблиця 1'!$B:$B,$A523,'Таблиця 1'!$E:$E,"РЛС КББ",'Таблиця 1'!$L:$L,"Уражено"))</f>
        <v/>
      </c>
      <c r="S523">
        <f>IF($A523="","",COUNTIFS('Таблиця 1'!$B:$B,$A523,'Таблиця 1'!$E:$E,"Ретранслятор",'Таблиця 1'!$L:$L,"Уражено"))</f>
        <v/>
      </c>
      <c r="T523">
        <f>IF($A523="","",COUNTIFS('Таблиця 1'!$B:$B,$A523,'Таблиця 1'!$E:$E,"Вз.зв'язку",'Таблиця 1'!$L:$L,"Уражено"))</f>
        <v/>
      </c>
      <c r="U523">
        <f>IF($A523="","",COUNTIFS('Таблиця 1'!$B:$B,$A523,'Таблиця 1'!$E:$E,"ПММ",'Таблиця 1'!$L:$L,"Уражено"))</f>
        <v/>
      </c>
      <c r="V523">
        <f>IF($A523="","",COUNTIFS('Таблиця 1'!$B:$B,$A523,'Таблиця 1'!$E:$E,"ІФС",'Таблиця 1'!$L:$L,"Уражено"))</f>
        <v/>
      </c>
      <c r="W523">
        <f>IF($A523="","",COUNTIFS('Таблиця 1'!$B:$B,$A523,'Таблиця 1'!$E:$E,"Інфраструктура",'Таблиця 1'!$L:$L,"Уражено"))</f>
        <v/>
      </c>
      <c r="X523">
        <f>IF($A523="","",SUMIFS('Таблиця 1'!$K:$K,'Таблиця 1'!$B:$B,$A523))</f>
        <v/>
      </c>
    </row>
    <row r="524">
      <c r="A524" s="81">
        <f>IF(A523="","",IF(A523+1&gt;MAX('Таблиця 1'!$B:$B),"",A523+1))</f>
        <v/>
      </c>
      <c r="B524">
        <f>IF($A524="","",COUNTIFS('Таблиця 1'!$B:$B,$A524,'Таблиця 1'!$E:$E,"ЖС ВЗ",'Таблиця 1'!$L:$L,"Уражено"))</f>
        <v/>
      </c>
      <c r="C524">
        <f>IF($A524="","",COUNTIFS('Таблиця 1'!$B:$B,$A524,'Таблиця 1'!$E:$E,"Арт. Системи",'Таблиця 1'!$L:$L,"Уражено"))</f>
        <v/>
      </c>
      <c r="D524">
        <f>IF($A524="","",COUNTIFS('Таблиця 1'!$B:$B,$A524,'Таблиця 1'!$E:$E,"ОВТ",'Таблиця 1'!$L:$L,"Уражено"))</f>
        <v/>
      </c>
      <c r="E524">
        <f>IF($A524="","",COUNTIFS('Таблиця 1'!$B:$B,$A524,'Таблиця 1'!$E:$E,"ППО",'Таблиця 1'!$L:$L,"Уражено"))</f>
        <v/>
      </c>
      <c r="F524">
        <f>IF($A524="","",COUNTIFS('Таблиця 1'!$B:$B,$A524,'Таблиця 1'!$E:$E,"Рембаза",'Таблиця 1'!$L:$L,"Уражено"))</f>
        <v/>
      </c>
      <c r="G524">
        <f>IF($A524="","",COUNTIFS('Таблиця 1'!$B:$B,$A524,'Таблиця 1'!$E:$E,"Склад БК",'Таблиця 1'!$L:$L,"Уражено"))</f>
        <v/>
      </c>
      <c r="H524">
        <f>IF($A524="","",COUNTIFS('Таблиця 1'!$B:$B,$A524,'Таблиця 1'!$E:$E,"Склад ВТМ",'Таблиця 1'!$L:$L,"Уражено"))</f>
        <v/>
      </c>
      <c r="I524">
        <f>IF($A524="","",COUNTIFS('Таблиця 1'!$B:$B,$A524,'Таблиця 1'!$E:$E,"ПУ БпЛА",'Таблиця 1'!$L:$L,"Уражено"))</f>
        <v/>
      </c>
      <c r="J524">
        <f>IF($A524="","",COUNTIFS('Таблиця 1'!$B:$B,$A524,'Таблиця 1'!$E:$E,"СП",'Таблиця 1'!$L:$L,"Уражено"))</f>
        <v/>
      </c>
      <c r="K524">
        <f>IF($A524="","",COUNTIFS('Таблиця 1'!$B:$B,$A524,'Таблиця 1'!$E:$E,"КСП роти",'Таблиця 1'!$L:$L,"Уражено"))</f>
        <v/>
      </c>
      <c r="L524">
        <f>IF($A524="","",COUNTIFS('Таблиця 1'!$B:$B,$A524,'Таблиця 1'!$E:$E,"ПУ бат",'Таблиця 1'!$L:$L,"Уражено"))</f>
        <v/>
      </c>
      <c r="M524">
        <f>IF($A524="","",COUNTIFS('Таблиця 1'!$B:$B,$A524,'Таблиця 1'!$E:$E,"ПУ бриг",'Таблиця 1'!$L:$L,"Уражено"))</f>
        <v/>
      </c>
      <c r="N524">
        <f>IF($A524="","",COUNTIFS('Таблиця 1'!$B:$B,$A524,'Таблиця 1'!$E:$E,"ПУ див",'Таблиця 1'!$L:$L,"Уражено"))</f>
        <v/>
      </c>
      <c r="O524">
        <f>IF($A524="","",COUNTIFS('Таблиця 1'!$B:$B,$A524,'Таблиця 1'!$E:$E,"обл. РЕБ",'Таблиця 1'!$L:$L,"Уражено"))</f>
        <v/>
      </c>
      <c r="P524">
        <f>IF($A524="","",COUNTIFS('Таблиця 1'!$B:$B,$A524,'Таблиця 1'!$E:$E,"пос РЕБ",'Таблиця 1'!$L:$L,"Уражено"))</f>
        <v/>
      </c>
      <c r="Q524">
        <f>IF($A524="","",COUNTIFS('Таблиця 1'!$B:$B,$A524,'Таблиця 1'!$E:$E,"група РЕР",'Таблиця 1'!$L:$L,"Уражено"))</f>
        <v/>
      </c>
      <c r="R524">
        <f>IF($A524="","",COUNTIFS('Таблиця 1'!$B:$B,$A524,'Таблиця 1'!$E:$E,"РЛС КББ",'Таблиця 1'!$L:$L,"Уражено"))</f>
        <v/>
      </c>
      <c r="S524">
        <f>IF($A524="","",COUNTIFS('Таблиця 1'!$B:$B,$A524,'Таблиця 1'!$E:$E,"Ретранслятор",'Таблиця 1'!$L:$L,"Уражено"))</f>
        <v/>
      </c>
      <c r="T524">
        <f>IF($A524="","",COUNTIFS('Таблиця 1'!$B:$B,$A524,'Таблиця 1'!$E:$E,"Вз.зв'язку",'Таблиця 1'!$L:$L,"Уражено"))</f>
        <v/>
      </c>
      <c r="U524">
        <f>IF($A524="","",COUNTIFS('Таблиця 1'!$B:$B,$A524,'Таблиця 1'!$E:$E,"ПММ",'Таблиця 1'!$L:$L,"Уражено"))</f>
        <v/>
      </c>
      <c r="V524">
        <f>IF($A524="","",COUNTIFS('Таблиця 1'!$B:$B,$A524,'Таблиця 1'!$E:$E,"ІФС",'Таблиця 1'!$L:$L,"Уражено"))</f>
        <v/>
      </c>
      <c r="W524">
        <f>IF($A524="","",COUNTIFS('Таблиця 1'!$B:$B,$A524,'Таблиця 1'!$E:$E,"Інфраструктура",'Таблиця 1'!$L:$L,"Уражено"))</f>
        <v/>
      </c>
      <c r="X524">
        <f>IF($A524="","",SUMIFS('Таблиця 1'!$K:$K,'Таблиця 1'!$B:$B,$A524))</f>
        <v/>
      </c>
    </row>
    <row r="525">
      <c r="A525" s="81">
        <f>IF(A524="","",IF(A524+1&gt;MAX('Таблиця 1'!$B:$B),"",A524+1))</f>
        <v/>
      </c>
      <c r="B525">
        <f>IF($A525="","",COUNTIFS('Таблиця 1'!$B:$B,$A525,'Таблиця 1'!$E:$E,"ЖС ВЗ",'Таблиця 1'!$L:$L,"Уражено"))</f>
        <v/>
      </c>
      <c r="C525">
        <f>IF($A525="","",COUNTIFS('Таблиця 1'!$B:$B,$A525,'Таблиця 1'!$E:$E,"Арт. Системи",'Таблиця 1'!$L:$L,"Уражено"))</f>
        <v/>
      </c>
      <c r="D525">
        <f>IF($A525="","",COUNTIFS('Таблиця 1'!$B:$B,$A525,'Таблиця 1'!$E:$E,"ОВТ",'Таблиця 1'!$L:$L,"Уражено"))</f>
        <v/>
      </c>
      <c r="E525">
        <f>IF($A525="","",COUNTIFS('Таблиця 1'!$B:$B,$A525,'Таблиця 1'!$E:$E,"ППО",'Таблиця 1'!$L:$L,"Уражено"))</f>
        <v/>
      </c>
      <c r="F525">
        <f>IF($A525="","",COUNTIFS('Таблиця 1'!$B:$B,$A525,'Таблиця 1'!$E:$E,"Рембаза",'Таблиця 1'!$L:$L,"Уражено"))</f>
        <v/>
      </c>
      <c r="G525">
        <f>IF($A525="","",COUNTIFS('Таблиця 1'!$B:$B,$A525,'Таблиця 1'!$E:$E,"Склад БК",'Таблиця 1'!$L:$L,"Уражено"))</f>
        <v/>
      </c>
      <c r="H525">
        <f>IF($A525="","",COUNTIFS('Таблиця 1'!$B:$B,$A525,'Таблиця 1'!$E:$E,"Склад ВТМ",'Таблиця 1'!$L:$L,"Уражено"))</f>
        <v/>
      </c>
      <c r="I525">
        <f>IF($A525="","",COUNTIFS('Таблиця 1'!$B:$B,$A525,'Таблиця 1'!$E:$E,"ПУ БпЛА",'Таблиця 1'!$L:$L,"Уражено"))</f>
        <v/>
      </c>
      <c r="J525">
        <f>IF($A525="","",COUNTIFS('Таблиця 1'!$B:$B,$A525,'Таблиця 1'!$E:$E,"СП",'Таблиця 1'!$L:$L,"Уражено"))</f>
        <v/>
      </c>
      <c r="K525">
        <f>IF($A525="","",COUNTIFS('Таблиця 1'!$B:$B,$A525,'Таблиця 1'!$E:$E,"КСП роти",'Таблиця 1'!$L:$L,"Уражено"))</f>
        <v/>
      </c>
      <c r="L525">
        <f>IF($A525="","",COUNTIFS('Таблиця 1'!$B:$B,$A525,'Таблиця 1'!$E:$E,"ПУ бат",'Таблиця 1'!$L:$L,"Уражено"))</f>
        <v/>
      </c>
      <c r="M525">
        <f>IF($A525="","",COUNTIFS('Таблиця 1'!$B:$B,$A525,'Таблиця 1'!$E:$E,"ПУ бриг",'Таблиця 1'!$L:$L,"Уражено"))</f>
        <v/>
      </c>
      <c r="N525">
        <f>IF($A525="","",COUNTIFS('Таблиця 1'!$B:$B,$A525,'Таблиця 1'!$E:$E,"ПУ див",'Таблиця 1'!$L:$L,"Уражено"))</f>
        <v/>
      </c>
      <c r="O525">
        <f>IF($A525="","",COUNTIFS('Таблиця 1'!$B:$B,$A525,'Таблиця 1'!$E:$E,"обл. РЕБ",'Таблиця 1'!$L:$L,"Уражено"))</f>
        <v/>
      </c>
      <c r="P525">
        <f>IF($A525="","",COUNTIFS('Таблиця 1'!$B:$B,$A525,'Таблиця 1'!$E:$E,"пос РЕБ",'Таблиця 1'!$L:$L,"Уражено"))</f>
        <v/>
      </c>
      <c r="Q525">
        <f>IF($A525="","",COUNTIFS('Таблиця 1'!$B:$B,$A525,'Таблиця 1'!$E:$E,"група РЕР",'Таблиця 1'!$L:$L,"Уражено"))</f>
        <v/>
      </c>
      <c r="R525">
        <f>IF($A525="","",COUNTIFS('Таблиця 1'!$B:$B,$A525,'Таблиця 1'!$E:$E,"РЛС КББ",'Таблиця 1'!$L:$L,"Уражено"))</f>
        <v/>
      </c>
      <c r="S525">
        <f>IF($A525="","",COUNTIFS('Таблиця 1'!$B:$B,$A525,'Таблиця 1'!$E:$E,"Ретранслятор",'Таблиця 1'!$L:$L,"Уражено"))</f>
        <v/>
      </c>
      <c r="T525">
        <f>IF($A525="","",COUNTIFS('Таблиця 1'!$B:$B,$A525,'Таблиця 1'!$E:$E,"Вз.зв'язку",'Таблиця 1'!$L:$L,"Уражено"))</f>
        <v/>
      </c>
      <c r="U525">
        <f>IF($A525="","",COUNTIFS('Таблиця 1'!$B:$B,$A525,'Таблиця 1'!$E:$E,"ПММ",'Таблиця 1'!$L:$L,"Уражено"))</f>
        <v/>
      </c>
      <c r="V525">
        <f>IF($A525="","",COUNTIFS('Таблиця 1'!$B:$B,$A525,'Таблиця 1'!$E:$E,"ІФС",'Таблиця 1'!$L:$L,"Уражено"))</f>
        <v/>
      </c>
      <c r="W525">
        <f>IF($A525="","",COUNTIFS('Таблиця 1'!$B:$B,$A525,'Таблиця 1'!$E:$E,"Інфраструктура",'Таблиця 1'!$L:$L,"Уражено"))</f>
        <v/>
      </c>
      <c r="X525">
        <f>IF($A525="","",SUMIFS('Таблиця 1'!$K:$K,'Таблиця 1'!$B:$B,$A525))</f>
        <v/>
      </c>
    </row>
    <row r="526">
      <c r="A526" s="81">
        <f>IF(A525="","",IF(A525+1&gt;MAX('Таблиця 1'!$B:$B),"",A525+1))</f>
        <v/>
      </c>
      <c r="B526">
        <f>IF($A526="","",COUNTIFS('Таблиця 1'!$B:$B,$A526,'Таблиця 1'!$E:$E,"ЖС ВЗ",'Таблиця 1'!$L:$L,"Уражено"))</f>
        <v/>
      </c>
      <c r="C526">
        <f>IF($A526="","",COUNTIFS('Таблиця 1'!$B:$B,$A526,'Таблиця 1'!$E:$E,"Арт. Системи",'Таблиця 1'!$L:$L,"Уражено"))</f>
        <v/>
      </c>
      <c r="D526">
        <f>IF($A526="","",COUNTIFS('Таблиця 1'!$B:$B,$A526,'Таблиця 1'!$E:$E,"ОВТ",'Таблиця 1'!$L:$L,"Уражено"))</f>
        <v/>
      </c>
      <c r="E526">
        <f>IF($A526="","",COUNTIFS('Таблиця 1'!$B:$B,$A526,'Таблиця 1'!$E:$E,"ППО",'Таблиця 1'!$L:$L,"Уражено"))</f>
        <v/>
      </c>
      <c r="F526">
        <f>IF($A526="","",COUNTIFS('Таблиця 1'!$B:$B,$A526,'Таблиця 1'!$E:$E,"Рембаза",'Таблиця 1'!$L:$L,"Уражено"))</f>
        <v/>
      </c>
      <c r="G526">
        <f>IF($A526="","",COUNTIFS('Таблиця 1'!$B:$B,$A526,'Таблиця 1'!$E:$E,"Склад БК",'Таблиця 1'!$L:$L,"Уражено"))</f>
        <v/>
      </c>
      <c r="H526">
        <f>IF($A526="","",COUNTIFS('Таблиця 1'!$B:$B,$A526,'Таблиця 1'!$E:$E,"Склад ВТМ",'Таблиця 1'!$L:$L,"Уражено"))</f>
        <v/>
      </c>
      <c r="I526">
        <f>IF($A526="","",COUNTIFS('Таблиця 1'!$B:$B,$A526,'Таблиця 1'!$E:$E,"ПУ БпЛА",'Таблиця 1'!$L:$L,"Уражено"))</f>
        <v/>
      </c>
      <c r="J526">
        <f>IF($A526="","",COUNTIFS('Таблиця 1'!$B:$B,$A526,'Таблиця 1'!$E:$E,"СП",'Таблиця 1'!$L:$L,"Уражено"))</f>
        <v/>
      </c>
      <c r="K526">
        <f>IF($A526="","",COUNTIFS('Таблиця 1'!$B:$B,$A526,'Таблиця 1'!$E:$E,"КСП роти",'Таблиця 1'!$L:$L,"Уражено"))</f>
        <v/>
      </c>
      <c r="L526">
        <f>IF($A526="","",COUNTIFS('Таблиця 1'!$B:$B,$A526,'Таблиця 1'!$E:$E,"ПУ бат",'Таблиця 1'!$L:$L,"Уражено"))</f>
        <v/>
      </c>
      <c r="M526">
        <f>IF($A526="","",COUNTIFS('Таблиця 1'!$B:$B,$A526,'Таблиця 1'!$E:$E,"ПУ бриг",'Таблиця 1'!$L:$L,"Уражено"))</f>
        <v/>
      </c>
      <c r="N526">
        <f>IF($A526="","",COUNTIFS('Таблиця 1'!$B:$B,$A526,'Таблиця 1'!$E:$E,"ПУ див",'Таблиця 1'!$L:$L,"Уражено"))</f>
        <v/>
      </c>
      <c r="O526">
        <f>IF($A526="","",COUNTIFS('Таблиця 1'!$B:$B,$A526,'Таблиця 1'!$E:$E,"обл. РЕБ",'Таблиця 1'!$L:$L,"Уражено"))</f>
        <v/>
      </c>
      <c r="P526">
        <f>IF($A526="","",COUNTIFS('Таблиця 1'!$B:$B,$A526,'Таблиця 1'!$E:$E,"пос РЕБ",'Таблиця 1'!$L:$L,"Уражено"))</f>
        <v/>
      </c>
      <c r="Q526">
        <f>IF($A526="","",COUNTIFS('Таблиця 1'!$B:$B,$A526,'Таблиця 1'!$E:$E,"група РЕР",'Таблиця 1'!$L:$L,"Уражено"))</f>
        <v/>
      </c>
      <c r="R526">
        <f>IF($A526="","",COUNTIFS('Таблиця 1'!$B:$B,$A526,'Таблиця 1'!$E:$E,"РЛС КББ",'Таблиця 1'!$L:$L,"Уражено"))</f>
        <v/>
      </c>
      <c r="S526">
        <f>IF($A526="","",COUNTIFS('Таблиця 1'!$B:$B,$A526,'Таблиця 1'!$E:$E,"Ретранслятор",'Таблиця 1'!$L:$L,"Уражено"))</f>
        <v/>
      </c>
      <c r="T526">
        <f>IF($A526="","",COUNTIFS('Таблиця 1'!$B:$B,$A526,'Таблиця 1'!$E:$E,"Вз.зв'язку",'Таблиця 1'!$L:$L,"Уражено"))</f>
        <v/>
      </c>
      <c r="U526">
        <f>IF($A526="","",COUNTIFS('Таблиця 1'!$B:$B,$A526,'Таблиця 1'!$E:$E,"ПММ",'Таблиця 1'!$L:$L,"Уражено"))</f>
        <v/>
      </c>
      <c r="V526">
        <f>IF($A526="","",COUNTIFS('Таблиця 1'!$B:$B,$A526,'Таблиця 1'!$E:$E,"ІФС",'Таблиця 1'!$L:$L,"Уражено"))</f>
        <v/>
      </c>
      <c r="W526">
        <f>IF($A526="","",COUNTIFS('Таблиця 1'!$B:$B,$A526,'Таблиця 1'!$E:$E,"Інфраструктура",'Таблиця 1'!$L:$L,"Уражено"))</f>
        <v/>
      </c>
      <c r="X526">
        <f>IF($A526="","",SUMIFS('Таблиця 1'!$K:$K,'Таблиця 1'!$B:$B,$A526))</f>
        <v/>
      </c>
    </row>
    <row r="527">
      <c r="A527" s="81">
        <f>IF(A526="","",IF(A526+1&gt;MAX('Таблиця 1'!$B:$B),"",A526+1))</f>
        <v/>
      </c>
      <c r="B527">
        <f>IF($A527="","",COUNTIFS('Таблиця 1'!$B:$B,$A527,'Таблиця 1'!$E:$E,"ЖС ВЗ",'Таблиця 1'!$L:$L,"Уражено"))</f>
        <v/>
      </c>
      <c r="C527">
        <f>IF($A527="","",COUNTIFS('Таблиця 1'!$B:$B,$A527,'Таблиця 1'!$E:$E,"Арт. Системи",'Таблиця 1'!$L:$L,"Уражено"))</f>
        <v/>
      </c>
      <c r="D527">
        <f>IF($A527="","",COUNTIFS('Таблиця 1'!$B:$B,$A527,'Таблиця 1'!$E:$E,"ОВТ",'Таблиця 1'!$L:$L,"Уражено"))</f>
        <v/>
      </c>
      <c r="E527">
        <f>IF($A527="","",COUNTIFS('Таблиця 1'!$B:$B,$A527,'Таблиця 1'!$E:$E,"ППО",'Таблиця 1'!$L:$L,"Уражено"))</f>
        <v/>
      </c>
      <c r="F527">
        <f>IF($A527="","",COUNTIFS('Таблиця 1'!$B:$B,$A527,'Таблиця 1'!$E:$E,"Рембаза",'Таблиця 1'!$L:$L,"Уражено"))</f>
        <v/>
      </c>
      <c r="G527">
        <f>IF($A527="","",COUNTIFS('Таблиця 1'!$B:$B,$A527,'Таблиця 1'!$E:$E,"Склад БК",'Таблиця 1'!$L:$L,"Уражено"))</f>
        <v/>
      </c>
      <c r="H527">
        <f>IF($A527="","",COUNTIFS('Таблиця 1'!$B:$B,$A527,'Таблиця 1'!$E:$E,"Склад ВТМ",'Таблиця 1'!$L:$L,"Уражено"))</f>
        <v/>
      </c>
      <c r="I527">
        <f>IF($A527="","",COUNTIFS('Таблиця 1'!$B:$B,$A527,'Таблиця 1'!$E:$E,"ПУ БпЛА",'Таблиця 1'!$L:$L,"Уражено"))</f>
        <v/>
      </c>
      <c r="J527">
        <f>IF($A527="","",COUNTIFS('Таблиця 1'!$B:$B,$A527,'Таблиця 1'!$E:$E,"СП",'Таблиця 1'!$L:$L,"Уражено"))</f>
        <v/>
      </c>
      <c r="K527">
        <f>IF($A527="","",COUNTIFS('Таблиця 1'!$B:$B,$A527,'Таблиця 1'!$E:$E,"КСП роти",'Таблиця 1'!$L:$L,"Уражено"))</f>
        <v/>
      </c>
      <c r="L527">
        <f>IF($A527="","",COUNTIFS('Таблиця 1'!$B:$B,$A527,'Таблиця 1'!$E:$E,"ПУ бат",'Таблиця 1'!$L:$L,"Уражено"))</f>
        <v/>
      </c>
      <c r="M527">
        <f>IF($A527="","",COUNTIFS('Таблиця 1'!$B:$B,$A527,'Таблиця 1'!$E:$E,"ПУ бриг",'Таблиця 1'!$L:$L,"Уражено"))</f>
        <v/>
      </c>
      <c r="N527">
        <f>IF($A527="","",COUNTIFS('Таблиця 1'!$B:$B,$A527,'Таблиця 1'!$E:$E,"ПУ див",'Таблиця 1'!$L:$L,"Уражено"))</f>
        <v/>
      </c>
      <c r="O527">
        <f>IF($A527="","",COUNTIFS('Таблиця 1'!$B:$B,$A527,'Таблиця 1'!$E:$E,"обл. РЕБ",'Таблиця 1'!$L:$L,"Уражено"))</f>
        <v/>
      </c>
      <c r="P527">
        <f>IF($A527="","",COUNTIFS('Таблиця 1'!$B:$B,$A527,'Таблиця 1'!$E:$E,"пос РЕБ",'Таблиця 1'!$L:$L,"Уражено"))</f>
        <v/>
      </c>
      <c r="Q527">
        <f>IF($A527="","",COUNTIFS('Таблиця 1'!$B:$B,$A527,'Таблиця 1'!$E:$E,"група РЕР",'Таблиця 1'!$L:$L,"Уражено"))</f>
        <v/>
      </c>
      <c r="R527">
        <f>IF($A527="","",COUNTIFS('Таблиця 1'!$B:$B,$A527,'Таблиця 1'!$E:$E,"РЛС КББ",'Таблиця 1'!$L:$L,"Уражено"))</f>
        <v/>
      </c>
      <c r="S527">
        <f>IF($A527="","",COUNTIFS('Таблиця 1'!$B:$B,$A527,'Таблиця 1'!$E:$E,"Ретранслятор",'Таблиця 1'!$L:$L,"Уражено"))</f>
        <v/>
      </c>
      <c r="T527">
        <f>IF($A527="","",COUNTIFS('Таблиця 1'!$B:$B,$A527,'Таблиця 1'!$E:$E,"Вз.зв'язку",'Таблиця 1'!$L:$L,"Уражено"))</f>
        <v/>
      </c>
      <c r="U527">
        <f>IF($A527="","",COUNTIFS('Таблиця 1'!$B:$B,$A527,'Таблиця 1'!$E:$E,"ПММ",'Таблиця 1'!$L:$L,"Уражено"))</f>
        <v/>
      </c>
      <c r="V527">
        <f>IF($A527="","",COUNTIFS('Таблиця 1'!$B:$B,$A527,'Таблиця 1'!$E:$E,"ІФС",'Таблиця 1'!$L:$L,"Уражено"))</f>
        <v/>
      </c>
      <c r="W527">
        <f>IF($A527="","",COUNTIFS('Таблиця 1'!$B:$B,$A527,'Таблиця 1'!$E:$E,"Інфраструктура",'Таблиця 1'!$L:$L,"Уражено"))</f>
        <v/>
      </c>
      <c r="X527">
        <f>IF($A527="","",SUMIFS('Таблиця 1'!$K:$K,'Таблиця 1'!$B:$B,$A527))</f>
        <v/>
      </c>
    </row>
    <row r="528">
      <c r="A528" s="81">
        <f>IF(A527="","",IF(A527+1&gt;MAX('Таблиця 1'!$B:$B),"",A527+1))</f>
        <v/>
      </c>
      <c r="B528">
        <f>IF($A528="","",COUNTIFS('Таблиця 1'!$B:$B,$A528,'Таблиця 1'!$E:$E,"ЖС ВЗ",'Таблиця 1'!$L:$L,"Уражено"))</f>
        <v/>
      </c>
      <c r="C528">
        <f>IF($A528="","",COUNTIFS('Таблиця 1'!$B:$B,$A528,'Таблиця 1'!$E:$E,"Арт. Системи",'Таблиця 1'!$L:$L,"Уражено"))</f>
        <v/>
      </c>
      <c r="D528">
        <f>IF($A528="","",COUNTIFS('Таблиця 1'!$B:$B,$A528,'Таблиця 1'!$E:$E,"ОВТ",'Таблиця 1'!$L:$L,"Уражено"))</f>
        <v/>
      </c>
      <c r="E528">
        <f>IF($A528="","",COUNTIFS('Таблиця 1'!$B:$B,$A528,'Таблиця 1'!$E:$E,"ППО",'Таблиця 1'!$L:$L,"Уражено"))</f>
        <v/>
      </c>
      <c r="F528">
        <f>IF($A528="","",COUNTIFS('Таблиця 1'!$B:$B,$A528,'Таблиця 1'!$E:$E,"Рембаза",'Таблиця 1'!$L:$L,"Уражено"))</f>
        <v/>
      </c>
      <c r="G528">
        <f>IF($A528="","",COUNTIFS('Таблиця 1'!$B:$B,$A528,'Таблиця 1'!$E:$E,"Склад БК",'Таблиця 1'!$L:$L,"Уражено"))</f>
        <v/>
      </c>
      <c r="H528">
        <f>IF($A528="","",COUNTIFS('Таблиця 1'!$B:$B,$A528,'Таблиця 1'!$E:$E,"Склад ВТМ",'Таблиця 1'!$L:$L,"Уражено"))</f>
        <v/>
      </c>
      <c r="I528">
        <f>IF($A528="","",COUNTIFS('Таблиця 1'!$B:$B,$A528,'Таблиця 1'!$E:$E,"ПУ БпЛА",'Таблиця 1'!$L:$L,"Уражено"))</f>
        <v/>
      </c>
      <c r="J528">
        <f>IF($A528="","",COUNTIFS('Таблиця 1'!$B:$B,$A528,'Таблиця 1'!$E:$E,"СП",'Таблиця 1'!$L:$L,"Уражено"))</f>
        <v/>
      </c>
      <c r="K528">
        <f>IF($A528="","",COUNTIFS('Таблиця 1'!$B:$B,$A528,'Таблиця 1'!$E:$E,"КСП роти",'Таблиця 1'!$L:$L,"Уражено"))</f>
        <v/>
      </c>
      <c r="L528">
        <f>IF($A528="","",COUNTIFS('Таблиця 1'!$B:$B,$A528,'Таблиця 1'!$E:$E,"ПУ бат",'Таблиця 1'!$L:$L,"Уражено"))</f>
        <v/>
      </c>
      <c r="M528">
        <f>IF($A528="","",COUNTIFS('Таблиця 1'!$B:$B,$A528,'Таблиця 1'!$E:$E,"ПУ бриг",'Таблиця 1'!$L:$L,"Уражено"))</f>
        <v/>
      </c>
      <c r="N528">
        <f>IF($A528="","",COUNTIFS('Таблиця 1'!$B:$B,$A528,'Таблиця 1'!$E:$E,"ПУ див",'Таблиця 1'!$L:$L,"Уражено"))</f>
        <v/>
      </c>
      <c r="O528">
        <f>IF($A528="","",COUNTIFS('Таблиця 1'!$B:$B,$A528,'Таблиця 1'!$E:$E,"обл. РЕБ",'Таблиця 1'!$L:$L,"Уражено"))</f>
        <v/>
      </c>
      <c r="P528">
        <f>IF($A528="","",COUNTIFS('Таблиця 1'!$B:$B,$A528,'Таблиця 1'!$E:$E,"пос РЕБ",'Таблиця 1'!$L:$L,"Уражено"))</f>
        <v/>
      </c>
      <c r="Q528">
        <f>IF($A528="","",COUNTIFS('Таблиця 1'!$B:$B,$A528,'Таблиця 1'!$E:$E,"група РЕР",'Таблиця 1'!$L:$L,"Уражено"))</f>
        <v/>
      </c>
      <c r="R528">
        <f>IF($A528="","",COUNTIFS('Таблиця 1'!$B:$B,$A528,'Таблиця 1'!$E:$E,"РЛС КББ",'Таблиця 1'!$L:$L,"Уражено"))</f>
        <v/>
      </c>
      <c r="S528">
        <f>IF($A528="","",COUNTIFS('Таблиця 1'!$B:$B,$A528,'Таблиця 1'!$E:$E,"Ретранслятор",'Таблиця 1'!$L:$L,"Уражено"))</f>
        <v/>
      </c>
      <c r="T528">
        <f>IF($A528="","",COUNTIFS('Таблиця 1'!$B:$B,$A528,'Таблиця 1'!$E:$E,"Вз.зв'язку",'Таблиця 1'!$L:$L,"Уражено"))</f>
        <v/>
      </c>
      <c r="U528">
        <f>IF($A528="","",COUNTIFS('Таблиця 1'!$B:$B,$A528,'Таблиця 1'!$E:$E,"ПММ",'Таблиця 1'!$L:$L,"Уражено"))</f>
        <v/>
      </c>
      <c r="V528">
        <f>IF($A528="","",COUNTIFS('Таблиця 1'!$B:$B,$A528,'Таблиця 1'!$E:$E,"ІФС",'Таблиця 1'!$L:$L,"Уражено"))</f>
        <v/>
      </c>
      <c r="W528">
        <f>IF($A528="","",COUNTIFS('Таблиця 1'!$B:$B,$A528,'Таблиця 1'!$E:$E,"Інфраструктура",'Таблиця 1'!$L:$L,"Уражено"))</f>
        <v/>
      </c>
      <c r="X528">
        <f>IF($A528="","",SUMIFS('Таблиця 1'!$K:$K,'Таблиця 1'!$B:$B,$A528))</f>
        <v/>
      </c>
    </row>
    <row r="529">
      <c r="A529" s="81">
        <f>IF(A528="","",IF(A528+1&gt;MAX('Таблиця 1'!$B:$B),"",A528+1))</f>
        <v/>
      </c>
      <c r="B529">
        <f>IF($A529="","",COUNTIFS('Таблиця 1'!$B:$B,$A529,'Таблиця 1'!$E:$E,"ЖС ВЗ",'Таблиця 1'!$L:$L,"Уражено"))</f>
        <v/>
      </c>
      <c r="C529">
        <f>IF($A529="","",COUNTIFS('Таблиця 1'!$B:$B,$A529,'Таблиця 1'!$E:$E,"Арт. Системи",'Таблиця 1'!$L:$L,"Уражено"))</f>
        <v/>
      </c>
      <c r="D529">
        <f>IF($A529="","",COUNTIFS('Таблиця 1'!$B:$B,$A529,'Таблиця 1'!$E:$E,"ОВТ",'Таблиця 1'!$L:$L,"Уражено"))</f>
        <v/>
      </c>
      <c r="E529">
        <f>IF($A529="","",COUNTIFS('Таблиця 1'!$B:$B,$A529,'Таблиця 1'!$E:$E,"ППО",'Таблиця 1'!$L:$L,"Уражено"))</f>
        <v/>
      </c>
      <c r="F529">
        <f>IF($A529="","",COUNTIFS('Таблиця 1'!$B:$B,$A529,'Таблиця 1'!$E:$E,"Рембаза",'Таблиця 1'!$L:$L,"Уражено"))</f>
        <v/>
      </c>
      <c r="G529">
        <f>IF($A529="","",COUNTIFS('Таблиця 1'!$B:$B,$A529,'Таблиця 1'!$E:$E,"Склад БК",'Таблиця 1'!$L:$L,"Уражено"))</f>
        <v/>
      </c>
      <c r="H529">
        <f>IF($A529="","",COUNTIFS('Таблиця 1'!$B:$B,$A529,'Таблиця 1'!$E:$E,"Склад ВТМ",'Таблиця 1'!$L:$L,"Уражено"))</f>
        <v/>
      </c>
      <c r="I529">
        <f>IF($A529="","",COUNTIFS('Таблиця 1'!$B:$B,$A529,'Таблиця 1'!$E:$E,"ПУ БпЛА",'Таблиця 1'!$L:$L,"Уражено"))</f>
        <v/>
      </c>
      <c r="J529">
        <f>IF($A529="","",COUNTIFS('Таблиця 1'!$B:$B,$A529,'Таблиця 1'!$E:$E,"СП",'Таблиця 1'!$L:$L,"Уражено"))</f>
        <v/>
      </c>
      <c r="K529">
        <f>IF($A529="","",COUNTIFS('Таблиця 1'!$B:$B,$A529,'Таблиця 1'!$E:$E,"КСП роти",'Таблиця 1'!$L:$L,"Уражено"))</f>
        <v/>
      </c>
      <c r="L529">
        <f>IF($A529="","",COUNTIFS('Таблиця 1'!$B:$B,$A529,'Таблиця 1'!$E:$E,"ПУ бат",'Таблиця 1'!$L:$L,"Уражено"))</f>
        <v/>
      </c>
      <c r="M529">
        <f>IF($A529="","",COUNTIFS('Таблиця 1'!$B:$B,$A529,'Таблиця 1'!$E:$E,"ПУ бриг",'Таблиця 1'!$L:$L,"Уражено"))</f>
        <v/>
      </c>
      <c r="N529">
        <f>IF($A529="","",COUNTIFS('Таблиця 1'!$B:$B,$A529,'Таблиця 1'!$E:$E,"ПУ див",'Таблиця 1'!$L:$L,"Уражено"))</f>
        <v/>
      </c>
      <c r="O529">
        <f>IF($A529="","",COUNTIFS('Таблиця 1'!$B:$B,$A529,'Таблиця 1'!$E:$E,"обл. РЕБ",'Таблиця 1'!$L:$L,"Уражено"))</f>
        <v/>
      </c>
      <c r="P529">
        <f>IF($A529="","",COUNTIFS('Таблиця 1'!$B:$B,$A529,'Таблиця 1'!$E:$E,"пос РЕБ",'Таблиця 1'!$L:$L,"Уражено"))</f>
        <v/>
      </c>
      <c r="Q529">
        <f>IF($A529="","",COUNTIFS('Таблиця 1'!$B:$B,$A529,'Таблиця 1'!$E:$E,"група РЕР",'Таблиця 1'!$L:$L,"Уражено"))</f>
        <v/>
      </c>
      <c r="R529">
        <f>IF($A529="","",COUNTIFS('Таблиця 1'!$B:$B,$A529,'Таблиця 1'!$E:$E,"РЛС КББ",'Таблиця 1'!$L:$L,"Уражено"))</f>
        <v/>
      </c>
      <c r="S529">
        <f>IF($A529="","",COUNTIFS('Таблиця 1'!$B:$B,$A529,'Таблиця 1'!$E:$E,"Ретранслятор",'Таблиця 1'!$L:$L,"Уражено"))</f>
        <v/>
      </c>
      <c r="T529">
        <f>IF($A529="","",COUNTIFS('Таблиця 1'!$B:$B,$A529,'Таблиця 1'!$E:$E,"Вз.зв'язку",'Таблиця 1'!$L:$L,"Уражено"))</f>
        <v/>
      </c>
      <c r="U529">
        <f>IF($A529="","",COUNTIFS('Таблиця 1'!$B:$B,$A529,'Таблиця 1'!$E:$E,"ПММ",'Таблиця 1'!$L:$L,"Уражено"))</f>
        <v/>
      </c>
      <c r="V529">
        <f>IF($A529="","",COUNTIFS('Таблиця 1'!$B:$B,$A529,'Таблиця 1'!$E:$E,"ІФС",'Таблиця 1'!$L:$L,"Уражено"))</f>
        <v/>
      </c>
      <c r="W529">
        <f>IF($A529="","",COUNTIFS('Таблиця 1'!$B:$B,$A529,'Таблиця 1'!$E:$E,"Інфраструктура",'Таблиця 1'!$L:$L,"Уражено"))</f>
        <v/>
      </c>
      <c r="X529">
        <f>IF($A529="","",SUMIFS('Таблиця 1'!$K:$K,'Таблиця 1'!$B:$B,$A529))</f>
        <v/>
      </c>
    </row>
    <row r="530">
      <c r="A530" s="81">
        <f>IF(A529="","",IF(A529+1&gt;MAX('Таблиця 1'!$B:$B),"",A529+1))</f>
        <v/>
      </c>
      <c r="B530">
        <f>IF($A530="","",COUNTIFS('Таблиця 1'!$B:$B,$A530,'Таблиця 1'!$E:$E,"ЖС ВЗ",'Таблиця 1'!$L:$L,"Уражено"))</f>
        <v/>
      </c>
      <c r="C530">
        <f>IF($A530="","",COUNTIFS('Таблиця 1'!$B:$B,$A530,'Таблиця 1'!$E:$E,"Арт. Системи",'Таблиця 1'!$L:$L,"Уражено"))</f>
        <v/>
      </c>
      <c r="D530">
        <f>IF($A530="","",COUNTIFS('Таблиця 1'!$B:$B,$A530,'Таблиця 1'!$E:$E,"ОВТ",'Таблиця 1'!$L:$L,"Уражено"))</f>
        <v/>
      </c>
      <c r="E530">
        <f>IF($A530="","",COUNTIFS('Таблиця 1'!$B:$B,$A530,'Таблиця 1'!$E:$E,"ППО",'Таблиця 1'!$L:$L,"Уражено"))</f>
        <v/>
      </c>
      <c r="F530">
        <f>IF($A530="","",COUNTIFS('Таблиця 1'!$B:$B,$A530,'Таблиця 1'!$E:$E,"Рембаза",'Таблиця 1'!$L:$L,"Уражено"))</f>
        <v/>
      </c>
      <c r="G530">
        <f>IF($A530="","",COUNTIFS('Таблиця 1'!$B:$B,$A530,'Таблиця 1'!$E:$E,"Склад БК",'Таблиця 1'!$L:$L,"Уражено"))</f>
        <v/>
      </c>
      <c r="H530">
        <f>IF($A530="","",COUNTIFS('Таблиця 1'!$B:$B,$A530,'Таблиця 1'!$E:$E,"Склад ВТМ",'Таблиця 1'!$L:$L,"Уражено"))</f>
        <v/>
      </c>
      <c r="I530">
        <f>IF($A530="","",COUNTIFS('Таблиця 1'!$B:$B,$A530,'Таблиця 1'!$E:$E,"ПУ БпЛА",'Таблиця 1'!$L:$L,"Уражено"))</f>
        <v/>
      </c>
      <c r="J530">
        <f>IF($A530="","",COUNTIFS('Таблиця 1'!$B:$B,$A530,'Таблиця 1'!$E:$E,"СП",'Таблиця 1'!$L:$L,"Уражено"))</f>
        <v/>
      </c>
      <c r="K530">
        <f>IF($A530="","",COUNTIFS('Таблиця 1'!$B:$B,$A530,'Таблиця 1'!$E:$E,"КСП роти",'Таблиця 1'!$L:$L,"Уражено"))</f>
        <v/>
      </c>
      <c r="L530">
        <f>IF($A530="","",COUNTIFS('Таблиця 1'!$B:$B,$A530,'Таблиця 1'!$E:$E,"ПУ бат",'Таблиця 1'!$L:$L,"Уражено"))</f>
        <v/>
      </c>
      <c r="M530">
        <f>IF($A530="","",COUNTIFS('Таблиця 1'!$B:$B,$A530,'Таблиця 1'!$E:$E,"ПУ бриг",'Таблиця 1'!$L:$L,"Уражено"))</f>
        <v/>
      </c>
      <c r="N530">
        <f>IF($A530="","",COUNTIFS('Таблиця 1'!$B:$B,$A530,'Таблиця 1'!$E:$E,"ПУ див",'Таблиця 1'!$L:$L,"Уражено"))</f>
        <v/>
      </c>
      <c r="O530">
        <f>IF($A530="","",COUNTIFS('Таблиця 1'!$B:$B,$A530,'Таблиця 1'!$E:$E,"обл. РЕБ",'Таблиця 1'!$L:$L,"Уражено"))</f>
        <v/>
      </c>
      <c r="P530">
        <f>IF($A530="","",COUNTIFS('Таблиця 1'!$B:$B,$A530,'Таблиця 1'!$E:$E,"пос РЕБ",'Таблиця 1'!$L:$L,"Уражено"))</f>
        <v/>
      </c>
      <c r="Q530">
        <f>IF($A530="","",COUNTIFS('Таблиця 1'!$B:$B,$A530,'Таблиця 1'!$E:$E,"група РЕР",'Таблиця 1'!$L:$L,"Уражено"))</f>
        <v/>
      </c>
      <c r="R530">
        <f>IF($A530="","",COUNTIFS('Таблиця 1'!$B:$B,$A530,'Таблиця 1'!$E:$E,"РЛС КББ",'Таблиця 1'!$L:$L,"Уражено"))</f>
        <v/>
      </c>
      <c r="S530">
        <f>IF($A530="","",COUNTIFS('Таблиця 1'!$B:$B,$A530,'Таблиця 1'!$E:$E,"Ретранслятор",'Таблиця 1'!$L:$L,"Уражено"))</f>
        <v/>
      </c>
      <c r="T530">
        <f>IF($A530="","",COUNTIFS('Таблиця 1'!$B:$B,$A530,'Таблиця 1'!$E:$E,"Вз.зв'язку",'Таблиця 1'!$L:$L,"Уражено"))</f>
        <v/>
      </c>
      <c r="U530">
        <f>IF($A530="","",COUNTIFS('Таблиця 1'!$B:$B,$A530,'Таблиця 1'!$E:$E,"ПММ",'Таблиця 1'!$L:$L,"Уражено"))</f>
        <v/>
      </c>
      <c r="V530">
        <f>IF($A530="","",COUNTIFS('Таблиця 1'!$B:$B,$A530,'Таблиця 1'!$E:$E,"ІФС",'Таблиця 1'!$L:$L,"Уражено"))</f>
        <v/>
      </c>
      <c r="W530">
        <f>IF($A530="","",COUNTIFS('Таблиця 1'!$B:$B,$A530,'Таблиця 1'!$E:$E,"Інфраструктура",'Таблиця 1'!$L:$L,"Уражено"))</f>
        <v/>
      </c>
      <c r="X530">
        <f>IF($A530="","",SUMIFS('Таблиця 1'!$K:$K,'Таблиця 1'!$B:$B,$A530))</f>
        <v/>
      </c>
    </row>
    <row r="531">
      <c r="A531" s="81">
        <f>IF(A530="","",IF(A530+1&gt;MAX('Таблиця 1'!$B:$B),"",A530+1))</f>
        <v/>
      </c>
      <c r="B531">
        <f>IF($A531="","",COUNTIFS('Таблиця 1'!$B:$B,$A531,'Таблиця 1'!$E:$E,"ЖС ВЗ",'Таблиця 1'!$L:$L,"Уражено"))</f>
        <v/>
      </c>
      <c r="C531">
        <f>IF($A531="","",COUNTIFS('Таблиця 1'!$B:$B,$A531,'Таблиця 1'!$E:$E,"Арт. Системи",'Таблиця 1'!$L:$L,"Уражено"))</f>
        <v/>
      </c>
      <c r="D531">
        <f>IF($A531="","",COUNTIFS('Таблиця 1'!$B:$B,$A531,'Таблиця 1'!$E:$E,"ОВТ",'Таблиця 1'!$L:$L,"Уражено"))</f>
        <v/>
      </c>
      <c r="E531">
        <f>IF($A531="","",COUNTIFS('Таблиця 1'!$B:$B,$A531,'Таблиця 1'!$E:$E,"ППО",'Таблиця 1'!$L:$L,"Уражено"))</f>
        <v/>
      </c>
      <c r="F531">
        <f>IF($A531="","",COUNTIFS('Таблиця 1'!$B:$B,$A531,'Таблиця 1'!$E:$E,"Рембаза",'Таблиця 1'!$L:$L,"Уражено"))</f>
        <v/>
      </c>
      <c r="G531">
        <f>IF($A531="","",COUNTIFS('Таблиця 1'!$B:$B,$A531,'Таблиця 1'!$E:$E,"Склад БК",'Таблиця 1'!$L:$L,"Уражено"))</f>
        <v/>
      </c>
      <c r="H531">
        <f>IF($A531="","",COUNTIFS('Таблиця 1'!$B:$B,$A531,'Таблиця 1'!$E:$E,"Склад ВТМ",'Таблиця 1'!$L:$L,"Уражено"))</f>
        <v/>
      </c>
      <c r="I531">
        <f>IF($A531="","",COUNTIFS('Таблиця 1'!$B:$B,$A531,'Таблиця 1'!$E:$E,"ПУ БпЛА",'Таблиця 1'!$L:$L,"Уражено"))</f>
        <v/>
      </c>
      <c r="J531">
        <f>IF($A531="","",COUNTIFS('Таблиця 1'!$B:$B,$A531,'Таблиця 1'!$E:$E,"СП",'Таблиця 1'!$L:$L,"Уражено"))</f>
        <v/>
      </c>
      <c r="K531">
        <f>IF($A531="","",COUNTIFS('Таблиця 1'!$B:$B,$A531,'Таблиця 1'!$E:$E,"КСП роти",'Таблиця 1'!$L:$L,"Уражено"))</f>
        <v/>
      </c>
      <c r="L531">
        <f>IF($A531="","",COUNTIFS('Таблиця 1'!$B:$B,$A531,'Таблиця 1'!$E:$E,"ПУ бат",'Таблиця 1'!$L:$L,"Уражено"))</f>
        <v/>
      </c>
      <c r="M531">
        <f>IF($A531="","",COUNTIFS('Таблиця 1'!$B:$B,$A531,'Таблиця 1'!$E:$E,"ПУ бриг",'Таблиця 1'!$L:$L,"Уражено"))</f>
        <v/>
      </c>
      <c r="N531">
        <f>IF($A531="","",COUNTIFS('Таблиця 1'!$B:$B,$A531,'Таблиця 1'!$E:$E,"ПУ див",'Таблиця 1'!$L:$L,"Уражено"))</f>
        <v/>
      </c>
      <c r="O531">
        <f>IF($A531="","",COUNTIFS('Таблиця 1'!$B:$B,$A531,'Таблиця 1'!$E:$E,"обл. РЕБ",'Таблиця 1'!$L:$L,"Уражено"))</f>
        <v/>
      </c>
      <c r="P531">
        <f>IF($A531="","",COUNTIFS('Таблиця 1'!$B:$B,$A531,'Таблиця 1'!$E:$E,"пос РЕБ",'Таблиця 1'!$L:$L,"Уражено"))</f>
        <v/>
      </c>
      <c r="Q531">
        <f>IF($A531="","",COUNTIFS('Таблиця 1'!$B:$B,$A531,'Таблиця 1'!$E:$E,"група РЕР",'Таблиця 1'!$L:$L,"Уражено"))</f>
        <v/>
      </c>
      <c r="R531">
        <f>IF($A531="","",COUNTIFS('Таблиця 1'!$B:$B,$A531,'Таблиця 1'!$E:$E,"РЛС КББ",'Таблиця 1'!$L:$L,"Уражено"))</f>
        <v/>
      </c>
      <c r="S531">
        <f>IF($A531="","",COUNTIFS('Таблиця 1'!$B:$B,$A531,'Таблиця 1'!$E:$E,"Ретранслятор",'Таблиця 1'!$L:$L,"Уражено"))</f>
        <v/>
      </c>
      <c r="T531">
        <f>IF($A531="","",COUNTIFS('Таблиця 1'!$B:$B,$A531,'Таблиця 1'!$E:$E,"Вз.зв'язку",'Таблиця 1'!$L:$L,"Уражено"))</f>
        <v/>
      </c>
      <c r="U531">
        <f>IF($A531="","",COUNTIFS('Таблиця 1'!$B:$B,$A531,'Таблиця 1'!$E:$E,"ПММ",'Таблиця 1'!$L:$L,"Уражено"))</f>
        <v/>
      </c>
      <c r="V531">
        <f>IF($A531="","",COUNTIFS('Таблиця 1'!$B:$B,$A531,'Таблиця 1'!$E:$E,"ІФС",'Таблиця 1'!$L:$L,"Уражено"))</f>
        <v/>
      </c>
      <c r="W531">
        <f>IF($A531="","",COUNTIFS('Таблиця 1'!$B:$B,$A531,'Таблиця 1'!$E:$E,"Інфраструктура",'Таблиця 1'!$L:$L,"Уражено"))</f>
        <v/>
      </c>
      <c r="X531">
        <f>IF($A531="","",SUMIFS('Таблиця 1'!$K:$K,'Таблиця 1'!$B:$B,$A531))</f>
        <v/>
      </c>
    </row>
    <row r="532">
      <c r="A532" s="81">
        <f>IF(A531="","",IF(A531+1&gt;MAX('Таблиця 1'!$B:$B),"",A531+1))</f>
        <v/>
      </c>
      <c r="B532">
        <f>IF($A532="","",COUNTIFS('Таблиця 1'!$B:$B,$A532,'Таблиця 1'!$E:$E,"ЖС ВЗ",'Таблиця 1'!$L:$L,"Уражено"))</f>
        <v/>
      </c>
      <c r="C532">
        <f>IF($A532="","",COUNTIFS('Таблиця 1'!$B:$B,$A532,'Таблиця 1'!$E:$E,"Арт. Системи",'Таблиця 1'!$L:$L,"Уражено"))</f>
        <v/>
      </c>
      <c r="D532">
        <f>IF($A532="","",COUNTIFS('Таблиця 1'!$B:$B,$A532,'Таблиця 1'!$E:$E,"ОВТ",'Таблиця 1'!$L:$L,"Уражено"))</f>
        <v/>
      </c>
      <c r="E532">
        <f>IF($A532="","",COUNTIFS('Таблиця 1'!$B:$B,$A532,'Таблиця 1'!$E:$E,"ППО",'Таблиця 1'!$L:$L,"Уражено"))</f>
        <v/>
      </c>
      <c r="F532">
        <f>IF($A532="","",COUNTIFS('Таблиця 1'!$B:$B,$A532,'Таблиця 1'!$E:$E,"Рембаза",'Таблиця 1'!$L:$L,"Уражено"))</f>
        <v/>
      </c>
      <c r="G532">
        <f>IF($A532="","",COUNTIFS('Таблиця 1'!$B:$B,$A532,'Таблиця 1'!$E:$E,"Склад БК",'Таблиця 1'!$L:$L,"Уражено"))</f>
        <v/>
      </c>
      <c r="H532">
        <f>IF($A532="","",COUNTIFS('Таблиця 1'!$B:$B,$A532,'Таблиця 1'!$E:$E,"Склад ВТМ",'Таблиця 1'!$L:$L,"Уражено"))</f>
        <v/>
      </c>
      <c r="I532">
        <f>IF($A532="","",COUNTIFS('Таблиця 1'!$B:$B,$A532,'Таблиця 1'!$E:$E,"ПУ БпЛА",'Таблиця 1'!$L:$L,"Уражено"))</f>
        <v/>
      </c>
      <c r="J532">
        <f>IF($A532="","",COUNTIFS('Таблиця 1'!$B:$B,$A532,'Таблиця 1'!$E:$E,"СП",'Таблиця 1'!$L:$L,"Уражено"))</f>
        <v/>
      </c>
      <c r="K532">
        <f>IF($A532="","",COUNTIFS('Таблиця 1'!$B:$B,$A532,'Таблиця 1'!$E:$E,"КСП роти",'Таблиця 1'!$L:$L,"Уражено"))</f>
        <v/>
      </c>
      <c r="L532">
        <f>IF($A532="","",COUNTIFS('Таблиця 1'!$B:$B,$A532,'Таблиця 1'!$E:$E,"ПУ бат",'Таблиця 1'!$L:$L,"Уражено"))</f>
        <v/>
      </c>
      <c r="M532">
        <f>IF($A532="","",COUNTIFS('Таблиця 1'!$B:$B,$A532,'Таблиця 1'!$E:$E,"ПУ бриг",'Таблиця 1'!$L:$L,"Уражено"))</f>
        <v/>
      </c>
      <c r="N532">
        <f>IF($A532="","",COUNTIFS('Таблиця 1'!$B:$B,$A532,'Таблиця 1'!$E:$E,"ПУ див",'Таблиця 1'!$L:$L,"Уражено"))</f>
        <v/>
      </c>
      <c r="O532">
        <f>IF($A532="","",COUNTIFS('Таблиця 1'!$B:$B,$A532,'Таблиця 1'!$E:$E,"обл. РЕБ",'Таблиця 1'!$L:$L,"Уражено"))</f>
        <v/>
      </c>
      <c r="P532">
        <f>IF($A532="","",COUNTIFS('Таблиця 1'!$B:$B,$A532,'Таблиця 1'!$E:$E,"пос РЕБ",'Таблиця 1'!$L:$L,"Уражено"))</f>
        <v/>
      </c>
      <c r="Q532">
        <f>IF($A532="","",COUNTIFS('Таблиця 1'!$B:$B,$A532,'Таблиця 1'!$E:$E,"група РЕР",'Таблиця 1'!$L:$L,"Уражено"))</f>
        <v/>
      </c>
      <c r="R532">
        <f>IF($A532="","",COUNTIFS('Таблиця 1'!$B:$B,$A532,'Таблиця 1'!$E:$E,"РЛС КББ",'Таблиця 1'!$L:$L,"Уражено"))</f>
        <v/>
      </c>
      <c r="S532">
        <f>IF($A532="","",COUNTIFS('Таблиця 1'!$B:$B,$A532,'Таблиця 1'!$E:$E,"Ретранслятор",'Таблиця 1'!$L:$L,"Уражено"))</f>
        <v/>
      </c>
      <c r="T532">
        <f>IF($A532="","",COUNTIFS('Таблиця 1'!$B:$B,$A532,'Таблиця 1'!$E:$E,"Вз.зв'язку",'Таблиця 1'!$L:$L,"Уражено"))</f>
        <v/>
      </c>
      <c r="U532">
        <f>IF($A532="","",COUNTIFS('Таблиця 1'!$B:$B,$A532,'Таблиця 1'!$E:$E,"ПММ",'Таблиця 1'!$L:$L,"Уражено"))</f>
        <v/>
      </c>
      <c r="V532">
        <f>IF($A532="","",COUNTIFS('Таблиця 1'!$B:$B,$A532,'Таблиця 1'!$E:$E,"ІФС",'Таблиця 1'!$L:$L,"Уражено"))</f>
        <v/>
      </c>
      <c r="W532">
        <f>IF($A532="","",COUNTIFS('Таблиця 1'!$B:$B,$A532,'Таблиця 1'!$E:$E,"Інфраструктура",'Таблиця 1'!$L:$L,"Уражено"))</f>
        <v/>
      </c>
      <c r="X532">
        <f>IF($A532="","",SUMIFS('Таблиця 1'!$K:$K,'Таблиця 1'!$B:$B,$A532))</f>
        <v/>
      </c>
    </row>
    <row r="533">
      <c r="A533" s="81">
        <f>IF(A532="","",IF(A532+1&gt;MAX('Таблиця 1'!$B:$B),"",A532+1))</f>
        <v/>
      </c>
      <c r="B533">
        <f>IF($A533="","",COUNTIFS('Таблиця 1'!$B:$B,$A533,'Таблиця 1'!$E:$E,"ЖС ВЗ",'Таблиця 1'!$L:$L,"Уражено"))</f>
        <v/>
      </c>
      <c r="C533">
        <f>IF($A533="","",COUNTIFS('Таблиця 1'!$B:$B,$A533,'Таблиця 1'!$E:$E,"Арт. Системи",'Таблиця 1'!$L:$L,"Уражено"))</f>
        <v/>
      </c>
      <c r="D533">
        <f>IF($A533="","",COUNTIFS('Таблиця 1'!$B:$B,$A533,'Таблиця 1'!$E:$E,"ОВТ",'Таблиця 1'!$L:$L,"Уражено"))</f>
        <v/>
      </c>
      <c r="E533">
        <f>IF($A533="","",COUNTIFS('Таблиця 1'!$B:$B,$A533,'Таблиця 1'!$E:$E,"ППО",'Таблиця 1'!$L:$L,"Уражено"))</f>
        <v/>
      </c>
      <c r="F533">
        <f>IF($A533="","",COUNTIFS('Таблиця 1'!$B:$B,$A533,'Таблиця 1'!$E:$E,"Рембаза",'Таблиця 1'!$L:$L,"Уражено"))</f>
        <v/>
      </c>
      <c r="G533">
        <f>IF($A533="","",COUNTIFS('Таблиця 1'!$B:$B,$A533,'Таблиця 1'!$E:$E,"Склад БК",'Таблиця 1'!$L:$L,"Уражено"))</f>
        <v/>
      </c>
      <c r="H533">
        <f>IF($A533="","",COUNTIFS('Таблиця 1'!$B:$B,$A533,'Таблиця 1'!$E:$E,"Склад ВТМ",'Таблиця 1'!$L:$L,"Уражено"))</f>
        <v/>
      </c>
      <c r="I533">
        <f>IF($A533="","",COUNTIFS('Таблиця 1'!$B:$B,$A533,'Таблиця 1'!$E:$E,"ПУ БпЛА",'Таблиця 1'!$L:$L,"Уражено"))</f>
        <v/>
      </c>
      <c r="J533">
        <f>IF($A533="","",COUNTIFS('Таблиця 1'!$B:$B,$A533,'Таблиця 1'!$E:$E,"СП",'Таблиця 1'!$L:$L,"Уражено"))</f>
        <v/>
      </c>
      <c r="K533">
        <f>IF($A533="","",COUNTIFS('Таблиця 1'!$B:$B,$A533,'Таблиця 1'!$E:$E,"КСП роти",'Таблиця 1'!$L:$L,"Уражено"))</f>
        <v/>
      </c>
      <c r="L533">
        <f>IF($A533="","",COUNTIFS('Таблиця 1'!$B:$B,$A533,'Таблиця 1'!$E:$E,"ПУ бат",'Таблиця 1'!$L:$L,"Уражено"))</f>
        <v/>
      </c>
      <c r="M533">
        <f>IF($A533="","",COUNTIFS('Таблиця 1'!$B:$B,$A533,'Таблиця 1'!$E:$E,"ПУ бриг",'Таблиця 1'!$L:$L,"Уражено"))</f>
        <v/>
      </c>
      <c r="N533">
        <f>IF($A533="","",COUNTIFS('Таблиця 1'!$B:$B,$A533,'Таблиця 1'!$E:$E,"ПУ див",'Таблиця 1'!$L:$L,"Уражено"))</f>
        <v/>
      </c>
      <c r="O533">
        <f>IF($A533="","",COUNTIFS('Таблиця 1'!$B:$B,$A533,'Таблиця 1'!$E:$E,"обл. РЕБ",'Таблиця 1'!$L:$L,"Уражено"))</f>
        <v/>
      </c>
      <c r="P533">
        <f>IF($A533="","",COUNTIFS('Таблиця 1'!$B:$B,$A533,'Таблиця 1'!$E:$E,"пос РЕБ",'Таблиця 1'!$L:$L,"Уражено"))</f>
        <v/>
      </c>
      <c r="Q533">
        <f>IF($A533="","",COUNTIFS('Таблиця 1'!$B:$B,$A533,'Таблиця 1'!$E:$E,"група РЕР",'Таблиця 1'!$L:$L,"Уражено"))</f>
        <v/>
      </c>
      <c r="R533">
        <f>IF($A533="","",COUNTIFS('Таблиця 1'!$B:$B,$A533,'Таблиця 1'!$E:$E,"РЛС КББ",'Таблиця 1'!$L:$L,"Уражено"))</f>
        <v/>
      </c>
      <c r="S533">
        <f>IF($A533="","",COUNTIFS('Таблиця 1'!$B:$B,$A533,'Таблиця 1'!$E:$E,"Ретранслятор",'Таблиця 1'!$L:$L,"Уражено"))</f>
        <v/>
      </c>
      <c r="T533">
        <f>IF($A533="","",COUNTIFS('Таблиця 1'!$B:$B,$A533,'Таблиця 1'!$E:$E,"Вз.зв'язку",'Таблиця 1'!$L:$L,"Уражено"))</f>
        <v/>
      </c>
      <c r="U533">
        <f>IF($A533="","",COUNTIFS('Таблиця 1'!$B:$B,$A533,'Таблиця 1'!$E:$E,"ПММ",'Таблиця 1'!$L:$L,"Уражено"))</f>
        <v/>
      </c>
      <c r="V533">
        <f>IF($A533="","",COUNTIFS('Таблиця 1'!$B:$B,$A533,'Таблиця 1'!$E:$E,"ІФС",'Таблиця 1'!$L:$L,"Уражено"))</f>
        <v/>
      </c>
      <c r="W533">
        <f>IF($A533="","",COUNTIFS('Таблиця 1'!$B:$B,$A533,'Таблиця 1'!$E:$E,"Інфраструктура",'Таблиця 1'!$L:$L,"Уражено"))</f>
        <v/>
      </c>
      <c r="X533">
        <f>IF($A533="","",SUMIFS('Таблиця 1'!$K:$K,'Таблиця 1'!$B:$B,$A533))</f>
        <v/>
      </c>
    </row>
    <row r="534">
      <c r="A534" s="81">
        <f>IF(A533="","",IF(A533+1&gt;MAX('Таблиця 1'!$B:$B),"",A533+1))</f>
        <v/>
      </c>
      <c r="B534">
        <f>IF($A534="","",COUNTIFS('Таблиця 1'!$B:$B,$A534,'Таблиця 1'!$E:$E,"ЖС ВЗ",'Таблиця 1'!$L:$L,"Уражено"))</f>
        <v/>
      </c>
      <c r="C534">
        <f>IF($A534="","",COUNTIFS('Таблиця 1'!$B:$B,$A534,'Таблиця 1'!$E:$E,"Арт. Системи",'Таблиця 1'!$L:$L,"Уражено"))</f>
        <v/>
      </c>
      <c r="D534">
        <f>IF($A534="","",COUNTIFS('Таблиця 1'!$B:$B,$A534,'Таблиця 1'!$E:$E,"ОВТ",'Таблиця 1'!$L:$L,"Уражено"))</f>
        <v/>
      </c>
      <c r="E534">
        <f>IF($A534="","",COUNTIFS('Таблиця 1'!$B:$B,$A534,'Таблиця 1'!$E:$E,"ППО",'Таблиця 1'!$L:$L,"Уражено"))</f>
        <v/>
      </c>
      <c r="F534">
        <f>IF($A534="","",COUNTIFS('Таблиця 1'!$B:$B,$A534,'Таблиця 1'!$E:$E,"Рембаза",'Таблиця 1'!$L:$L,"Уражено"))</f>
        <v/>
      </c>
      <c r="G534">
        <f>IF($A534="","",COUNTIFS('Таблиця 1'!$B:$B,$A534,'Таблиця 1'!$E:$E,"Склад БК",'Таблиця 1'!$L:$L,"Уражено"))</f>
        <v/>
      </c>
      <c r="H534">
        <f>IF($A534="","",COUNTIFS('Таблиця 1'!$B:$B,$A534,'Таблиця 1'!$E:$E,"Склад ВТМ",'Таблиця 1'!$L:$L,"Уражено"))</f>
        <v/>
      </c>
      <c r="I534">
        <f>IF($A534="","",COUNTIFS('Таблиця 1'!$B:$B,$A534,'Таблиця 1'!$E:$E,"ПУ БпЛА",'Таблиця 1'!$L:$L,"Уражено"))</f>
        <v/>
      </c>
      <c r="J534">
        <f>IF($A534="","",COUNTIFS('Таблиця 1'!$B:$B,$A534,'Таблиця 1'!$E:$E,"СП",'Таблиця 1'!$L:$L,"Уражено"))</f>
        <v/>
      </c>
      <c r="K534">
        <f>IF($A534="","",COUNTIFS('Таблиця 1'!$B:$B,$A534,'Таблиця 1'!$E:$E,"КСП роти",'Таблиця 1'!$L:$L,"Уражено"))</f>
        <v/>
      </c>
      <c r="L534">
        <f>IF($A534="","",COUNTIFS('Таблиця 1'!$B:$B,$A534,'Таблиця 1'!$E:$E,"ПУ бат",'Таблиця 1'!$L:$L,"Уражено"))</f>
        <v/>
      </c>
      <c r="M534">
        <f>IF($A534="","",COUNTIFS('Таблиця 1'!$B:$B,$A534,'Таблиця 1'!$E:$E,"ПУ бриг",'Таблиця 1'!$L:$L,"Уражено"))</f>
        <v/>
      </c>
      <c r="N534">
        <f>IF($A534="","",COUNTIFS('Таблиця 1'!$B:$B,$A534,'Таблиця 1'!$E:$E,"ПУ див",'Таблиця 1'!$L:$L,"Уражено"))</f>
        <v/>
      </c>
      <c r="O534">
        <f>IF($A534="","",COUNTIFS('Таблиця 1'!$B:$B,$A534,'Таблиця 1'!$E:$E,"обл. РЕБ",'Таблиця 1'!$L:$L,"Уражено"))</f>
        <v/>
      </c>
      <c r="P534">
        <f>IF($A534="","",COUNTIFS('Таблиця 1'!$B:$B,$A534,'Таблиця 1'!$E:$E,"пос РЕБ",'Таблиця 1'!$L:$L,"Уражено"))</f>
        <v/>
      </c>
      <c r="Q534">
        <f>IF($A534="","",COUNTIFS('Таблиця 1'!$B:$B,$A534,'Таблиця 1'!$E:$E,"група РЕР",'Таблиця 1'!$L:$L,"Уражено"))</f>
        <v/>
      </c>
      <c r="R534">
        <f>IF($A534="","",COUNTIFS('Таблиця 1'!$B:$B,$A534,'Таблиця 1'!$E:$E,"РЛС КББ",'Таблиця 1'!$L:$L,"Уражено"))</f>
        <v/>
      </c>
      <c r="S534">
        <f>IF($A534="","",COUNTIFS('Таблиця 1'!$B:$B,$A534,'Таблиця 1'!$E:$E,"Ретранслятор",'Таблиця 1'!$L:$L,"Уражено"))</f>
        <v/>
      </c>
      <c r="T534">
        <f>IF($A534="","",COUNTIFS('Таблиця 1'!$B:$B,$A534,'Таблиця 1'!$E:$E,"Вз.зв'язку",'Таблиця 1'!$L:$L,"Уражено"))</f>
        <v/>
      </c>
      <c r="U534">
        <f>IF($A534="","",COUNTIFS('Таблиця 1'!$B:$B,$A534,'Таблиця 1'!$E:$E,"ПММ",'Таблиця 1'!$L:$L,"Уражено"))</f>
        <v/>
      </c>
      <c r="V534">
        <f>IF($A534="","",COUNTIFS('Таблиця 1'!$B:$B,$A534,'Таблиця 1'!$E:$E,"ІФС",'Таблиця 1'!$L:$L,"Уражено"))</f>
        <v/>
      </c>
      <c r="W534">
        <f>IF($A534="","",COUNTIFS('Таблиця 1'!$B:$B,$A534,'Таблиця 1'!$E:$E,"Інфраструктура",'Таблиця 1'!$L:$L,"Уражено"))</f>
        <v/>
      </c>
      <c r="X534">
        <f>IF($A534="","",SUMIFS('Таблиця 1'!$K:$K,'Таблиця 1'!$B:$B,$A534))</f>
        <v/>
      </c>
    </row>
    <row r="535">
      <c r="A535" s="81">
        <f>IF(A534="","",IF(A534+1&gt;MAX('Таблиця 1'!$B:$B),"",A534+1))</f>
        <v/>
      </c>
      <c r="B535">
        <f>IF($A535="","",COUNTIFS('Таблиця 1'!$B:$B,$A535,'Таблиця 1'!$E:$E,"ЖС ВЗ",'Таблиця 1'!$L:$L,"Уражено"))</f>
        <v/>
      </c>
      <c r="C535">
        <f>IF($A535="","",COUNTIFS('Таблиця 1'!$B:$B,$A535,'Таблиця 1'!$E:$E,"Арт. Системи",'Таблиця 1'!$L:$L,"Уражено"))</f>
        <v/>
      </c>
      <c r="D535">
        <f>IF($A535="","",COUNTIFS('Таблиця 1'!$B:$B,$A535,'Таблиця 1'!$E:$E,"ОВТ",'Таблиця 1'!$L:$L,"Уражено"))</f>
        <v/>
      </c>
      <c r="E535">
        <f>IF($A535="","",COUNTIFS('Таблиця 1'!$B:$B,$A535,'Таблиця 1'!$E:$E,"ППО",'Таблиця 1'!$L:$L,"Уражено"))</f>
        <v/>
      </c>
      <c r="F535">
        <f>IF($A535="","",COUNTIFS('Таблиця 1'!$B:$B,$A535,'Таблиця 1'!$E:$E,"Рембаза",'Таблиця 1'!$L:$L,"Уражено"))</f>
        <v/>
      </c>
      <c r="G535">
        <f>IF($A535="","",COUNTIFS('Таблиця 1'!$B:$B,$A535,'Таблиця 1'!$E:$E,"Склад БК",'Таблиця 1'!$L:$L,"Уражено"))</f>
        <v/>
      </c>
      <c r="H535">
        <f>IF($A535="","",COUNTIFS('Таблиця 1'!$B:$B,$A535,'Таблиця 1'!$E:$E,"Склад ВТМ",'Таблиця 1'!$L:$L,"Уражено"))</f>
        <v/>
      </c>
      <c r="I535">
        <f>IF($A535="","",COUNTIFS('Таблиця 1'!$B:$B,$A535,'Таблиця 1'!$E:$E,"ПУ БпЛА",'Таблиця 1'!$L:$L,"Уражено"))</f>
        <v/>
      </c>
      <c r="J535">
        <f>IF($A535="","",COUNTIFS('Таблиця 1'!$B:$B,$A535,'Таблиця 1'!$E:$E,"СП",'Таблиця 1'!$L:$L,"Уражено"))</f>
        <v/>
      </c>
      <c r="K535">
        <f>IF($A535="","",COUNTIFS('Таблиця 1'!$B:$B,$A535,'Таблиця 1'!$E:$E,"КСП роти",'Таблиця 1'!$L:$L,"Уражено"))</f>
        <v/>
      </c>
      <c r="L535">
        <f>IF($A535="","",COUNTIFS('Таблиця 1'!$B:$B,$A535,'Таблиця 1'!$E:$E,"ПУ бат",'Таблиця 1'!$L:$L,"Уражено"))</f>
        <v/>
      </c>
      <c r="M535">
        <f>IF($A535="","",COUNTIFS('Таблиця 1'!$B:$B,$A535,'Таблиця 1'!$E:$E,"ПУ бриг",'Таблиця 1'!$L:$L,"Уражено"))</f>
        <v/>
      </c>
      <c r="N535">
        <f>IF($A535="","",COUNTIFS('Таблиця 1'!$B:$B,$A535,'Таблиця 1'!$E:$E,"ПУ див",'Таблиця 1'!$L:$L,"Уражено"))</f>
        <v/>
      </c>
      <c r="O535">
        <f>IF($A535="","",COUNTIFS('Таблиця 1'!$B:$B,$A535,'Таблиця 1'!$E:$E,"обл. РЕБ",'Таблиця 1'!$L:$L,"Уражено"))</f>
        <v/>
      </c>
      <c r="P535">
        <f>IF($A535="","",COUNTIFS('Таблиця 1'!$B:$B,$A535,'Таблиця 1'!$E:$E,"пос РЕБ",'Таблиця 1'!$L:$L,"Уражено"))</f>
        <v/>
      </c>
      <c r="Q535">
        <f>IF($A535="","",COUNTIFS('Таблиця 1'!$B:$B,$A535,'Таблиця 1'!$E:$E,"група РЕР",'Таблиця 1'!$L:$L,"Уражено"))</f>
        <v/>
      </c>
      <c r="R535">
        <f>IF($A535="","",COUNTIFS('Таблиця 1'!$B:$B,$A535,'Таблиця 1'!$E:$E,"РЛС КББ",'Таблиця 1'!$L:$L,"Уражено"))</f>
        <v/>
      </c>
      <c r="S535">
        <f>IF($A535="","",COUNTIFS('Таблиця 1'!$B:$B,$A535,'Таблиця 1'!$E:$E,"Ретранслятор",'Таблиця 1'!$L:$L,"Уражено"))</f>
        <v/>
      </c>
      <c r="T535">
        <f>IF($A535="","",COUNTIFS('Таблиця 1'!$B:$B,$A535,'Таблиця 1'!$E:$E,"Вз.зв'язку",'Таблиця 1'!$L:$L,"Уражено"))</f>
        <v/>
      </c>
      <c r="U535">
        <f>IF($A535="","",COUNTIFS('Таблиця 1'!$B:$B,$A535,'Таблиця 1'!$E:$E,"ПММ",'Таблиця 1'!$L:$L,"Уражено"))</f>
        <v/>
      </c>
      <c r="V535">
        <f>IF($A535="","",COUNTIFS('Таблиця 1'!$B:$B,$A535,'Таблиця 1'!$E:$E,"ІФС",'Таблиця 1'!$L:$L,"Уражено"))</f>
        <v/>
      </c>
      <c r="W535">
        <f>IF($A535="","",COUNTIFS('Таблиця 1'!$B:$B,$A535,'Таблиця 1'!$E:$E,"Інфраструктура",'Таблиця 1'!$L:$L,"Уражено"))</f>
        <v/>
      </c>
      <c r="X535">
        <f>IF($A535="","",SUMIFS('Таблиця 1'!$K:$K,'Таблиця 1'!$B:$B,$A535))</f>
        <v/>
      </c>
    </row>
    <row r="536">
      <c r="A536" s="81">
        <f>IF(A535="","",IF(A535+1&gt;MAX('Таблиця 1'!$B:$B),"",A535+1))</f>
        <v/>
      </c>
      <c r="B536">
        <f>IF($A536="","",COUNTIFS('Таблиця 1'!$B:$B,$A536,'Таблиця 1'!$E:$E,"ЖС ВЗ",'Таблиця 1'!$L:$L,"Уражено"))</f>
        <v/>
      </c>
      <c r="C536">
        <f>IF($A536="","",COUNTIFS('Таблиця 1'!$B:$B,$A536,'Таблиця 1'!$E:$E,"Арт. Системи",'Таблиця 1'!$L:$L,"Уражено"))</f>
        <v/>
      </c>
      <c r="D536">
        <f>IF($A536="","",COUNTIFS('Таблиця 1'!$B:$B,$A536,'Таблиця 1'!$E:$E,"ОВТ",'Таблиця 1'!$L:$L,"Уражено"))</f>
        <v/>
      </c>
      <c r="E536">
        <f>IF($A536="","",COUNTIFS('Таблиця 1'!$B:$B,$A536,'Таблиця 1'!$E:$E,"ППО",'Таблиця 1'!$L:$L,"Уражено"))</f>
        <v/>
      </c>
      <c r="F536">
        <f>IF($A536="","",COUNTIFS('Таблиця 1'!$B:$B,$A536,'Таблиця 1'!$E:$E,"Рембаза",'Таблиця 1'!$L:$L,"Уражено"))</f>
        <v/>
      </c>
      <c r="G536">
        <f>IF($A536="","",COUNTIFS('Таблиця 1'!$B:$B,$A536,'Таблиця 1'!$E:$E,"Склад БК",'Таблиця 1'!$L:$L,"Уражено"))</f>
        <v/>
      </c>
      <c r="H536">
        <f>IF($A536="","",COUNTIFS('Таблиця 1'!$B:$B,$A536,'Таблиця 1'!$E:$E,"Склад ВТМ",'Таблиця 1'!$L:$L,"Уражено"))</f>
        <v/>
      </c>
      <c r="I536">
        <f>IF($A536="","",COUNTIFS('Таблиця 1'!$B:$B,$A536,'Таблиця 1'!$E:$E,"ПУ БпЛА",'Таблиця 1'!$L:$L,"Уражено"))</f>
        <v/>
      </c>
      <c r="J536">
        <f>IF($A536="","",COUNTIFS('Таблиця 1'!$B:$B,$A536,'Таблиця 1'!$E:$E,"СП",'Таблиця 1'!$L:$L,"Уражено"))</f>
        <v/>
      </c>
      <c r="K536">
        <f>IF($A536="","",COUNTIFS('Таблиця 1'!$B:$B,$A536,'Таблиця 1'!$E:$E,"КСП роти",'Таблиця 1'!$L:$L,"Уражено"))</f>
        <v/>
      </c>
      <c r="L536">
        <f>IF($A536="","",COUNTIFS('Таблиця 1'!$B:$B,$A536,'Таблиця 1'!$E:$E,"ПУ бат",'Таблиця 1'!$L:$L,"Уражено"))</f>
        <v/>
      </c>
      <c r="M536">
        <f>IF($A536="","",COUNTIFS('Таблиця 1'!$B:$B,$A536,'Таблиця 1'!$E:$E,"ПУ бриг",'Таблиця 1'!$L:$L,"Уражено"))</f>
        <v/>
      </c>
      <c r="N536">
        <f>IF($A536="","",COUNTIFS('Таблиця 1'!$B:$B,$A536,'Таблиця 1'!$E:$E,"ПУ див",'Таблиця 1'!$L:$L,"Уражено"))</f>
        <v/>
      </c>
      <c r="O536">
        <f>IF($A536="","",COUNTIFS('Таблиця 1'!$B:$B,$A536,'Таблиця 1'!$E:$E,"обл. РЕБ",'Таблиця 1'!$L:$L,"Уражено"))</f>
        <v/>
      </c>
      <c r="P536">
        <f>IF($A536="","",COUNTIFS('Таблиця 1'!$B:$B,$A536,'Таблиця 1'!$E:$E,"пос РЕБ",'Таблиця 1'!$L:$L,"Уражено"))</f>
        <v/>
      </c>
      <c r="Q536">
        <f>IF($A536="","",COUNTIFS('Таблиця 1'!$B:$B,$A536,'Таблиця 1'!$E:$E,"група РЕР",'Таблиця 1'!$L:$L,"Уражено"))</f>
        <v/>
      </c>
      <c r="R536">
        <f>IF($A536="","",COUNTIFS('Таблиця 1'!$B:$B,$A536,'Таблиця 1'!$E:$E,"РЛС КББ",'Таблиця 1'!$L:$L,"Уражено"))</f>
        <v/>
      </c>
      <c r="S536">
        <f>IF($A536="","",COUNTIFS('Таблиця 1'!$B:$B,$A536,'Таблиця 1'!$E:$E,"Ретранслятор",'Таблиця 1'!$L:$L,"Уражено"))</f>
        <v/>
      </c>
      <c r="T536">
        <f>IF($A536="","",COUNTIFS('Таблиця 1'!$B:$B,$A536,'Таблиця 1'!$E:$E,"Вз.зв'язку",'Таблиця 1'!$L:$L,"Уражено"))</f>
        <v/>
      </c>
      <c r="U536">
        <f>IF($A536="","",COUNTIFS('Таблиця 1'!$B:$B,$A536,'Таблиця 1'!$E:$E,"ПММ",'Таблиця 1'!$L:$L,"Уражено"))</f>
        <v/>
      </c>
      <c r="V536">
        <f>IF($A536="","",COUNTIFS('Таблиця 1'!$B:$B,$A536,'Таблиця 1'!$E:$E,"ІФС",'Таблиця 1'!$L:$L,"Уражено"))</f>
        <v/>
      </c>
      <c r="W536">
        <f>IF($A536="","",COUNTIFS('Таблиця 1'!$B:$B,$A536,'Таблиця 1'!$E:$E,"Інфраструктура",'Таблиця 1'!$L:$L,"Уражено"))</f>
        <v/>
      </c>
      <c r="X536">
        <f>IF($A536="","",SUMIFS('Таблиця 1'!$K:$K,'Таблиця 1'!$B:$B,$A536))</f>
        <v/>
      </c>
    </row>
    <row r="537">
      <c r="A537" s="81">
        <f>IF(A536="","",IF(A536+1&gt;MAX('Таблиця 1'!$B:$B),"",A536+1))</f>
        <v/>
      </c>
      <c r="B537">
        <f>IF($A537="","",COUNTIFS('Таблиця 1'!$B:$B,$A537,'Таблиця 1'!$E:$E,"ЖС ВЗ",'Таблиця 1'!$L:$L,"Уражено"))</f>
        <v/>
      </c>
      <c r="C537">
        <f>IF($A537="","",COUNTIFS('Таблиця 1'!$B:$B,$A537,'Таблиця 1'!$E:$E,"Арт. Системи",'Таблиця 1'!$L:$L,"Уражено"))</f>
        <v/>
      </c>
      <c r="D537">
        <f>IF($A537="","",COUNTIFS('Таблиця 1'!$B:$B,$A537,'Таблиця 1'!$E:$E,"ОВТ",'Таблиця 1'!$L:$L,"Уражено"))</f>
        <v/>
      </c>
      <c r="E537">
        <f>IF($A537="","",COUNTIFS('Таблиця 1'!$B:$B,$A537,'Таблиця 1'!$E:$E,"ППО",'Таблиця 1'!$L:$L,"Уражено"))</f>
        <v/>
      </c>
      <c r="F537">
        <f>IF($A537="","",COUNTIFS('Таблиця 1'!$B:$B,$A537,'Таблиця 1'!$E:$E,"Рембаза",'Таблиця 1'!$L:$L,"Уражено"))</f>
        <v/>
      </c>
      <c r="G537">
        <f>IF($A537="","",COUNTIFS('Таблиця 1'!$B:$B,$A537,'Таблиця 1'!$E:$E,"Склад БК",'Таблиця 1'!$L:$L,"Уражено"))</f>
        <v/>
      </c>
      <c r="H537">
        <f>IF($A537="","",COUNTIFS('Таблиця 1'!$B:$B,$A537,'Таблиця 1'!$E:$E,"Склад ВТМ",'Таблиця 1'!$L:$L,"Уражено"))</f>
        <v/>
      </c>
      <c r="I537">
        <f>IF($A537="","",COUNTIFS('Таблиця 1'!$B:$B,$A537,'Таблиця 1'!$E:$E,"ПУ БпЛА",'Таблиця 1'!$L:$L,"Уражено"))</f>
        <v/>
      </c>
      <c r="J537">
        <f>IF($A537="","",COUNTIFS('Таблиця 1'!$B:$B,$A537,'Таблиця 1'!$E:$E,"СП",'Таблиця 1'!$L:$L,"Уражено"))</f>
        <v/>
      </c>
      <c r="K537">
        <f>IF($A537="","",COUNTIFS('Таблиця 1'!$B:$B,$A537,'Таблиця 1'!$E:$E,"КСП роти",'Таблиця 1'!$L:$L,"Уражено"))</f>
        <v/>
      </c>
      <c r="L537">
        <f>IF($A537="","",COUNTIFS('Таблиця 1'!$B:$B,$A537,'Таблиця 1'!$E:$E,"ПУ бат",'Таблиця 1'!$L:$L,"Уражено"))</f>
        <v/>
      </c>
      <c r="M537">
        <f>IF($A537="","",COUNTIFS('Таблиця 1'!$B:$B,$A537,'Таблиця 1'!$E:$E,"ПУ бриг",'Таблиця 1'!$L:$L,"Уражено"))</f>
        <v/>
      </c>
      <c r="N537">
        <f>IF($A537="","",COUNTIFS('Таблиця 1'!$B:$B,$A537,'Таблиця 1'!$E:$E,"ПУ див",'Таблиця 1'!$L:$L,"Уражено"))</f>
        <v/>
      </c>
      <c r="O537">
        <f>IF($A537="","",COUNTIFS('Таблиця 1'!$B:$B,$A537,'Таблиця 1'!$E:$E,"обл. РЕБ",'Таблиця 1'!$L:$L,"Уражено"))</f>
        <v/>
      </c>
      <c r="P537">
        <f>IF($A537="","",COUNTIFS('Таблиця 1'!$B:$B,$A537,'Таблиця 1'!$E:$E,"пос РЕБ",'Таблиця 1'!$L:$L,"Уражено"))</f>
        <v/>
      </c>
      <c r="Q537">
        <f>IF($A537="","",COUNTIFS('Таблиця 1'!$B:$B,$A537,'Таблиця 1'!$E:$E,"група РЕР",'Таблиця 1'!$L:$L,"Уражено"))</f>
        <v/>
      </c>
      <c r="R537">
        <f>IF($A537="","",COUNTIFS('Таблиця 1'!$B:$B,$A537,'Таблиця 1'!$E:$E,"РЛС КББ",'Таблиця 1'!$L:$L,"Уражено"))</f>
        <v/>
      </c>
      <c r="S537">
        <f>IF($A537="","",COUNTIFS('Таблиця 1'!$B:$B,$A537,'Таблиця 1'!$E:$E,"Ретранслятор",'Таблиця 1'!$L:$L,"Уражено"))</f>
        <v/>
      </c>
      <c r="T537">
        <f>IF($A537="","",COUNTIFS('Таблиця 1'!$B:$B,$A537,'Таблиця 1'!$E:$E,"Вз.зв'язку",'Таблиця 1'!$L:$L,"Уражено"))</f>
        <v/>
      </c>
      <c r="U537">
        <f>IF($A537="","",COUNTIFS('Таблиця 1'!$B:$B,$A537,'Таблиця 1'!$E:$E,"ПММ",'Таблиця 1'!$L:$L,"Уражено"))</f>
        <v/>
      </c>
      <c r="V537">
        <f>IF($A537="","",COUNTIFS('Таблиця 1'!$B:$B,$A537,'Таблиця 1'!$E:$E,"ІФС",'Таблиця 1'!$L:$L,"Уражено"))</f>
        <v/>
      </c>
      <c r="W537">
        <f>IF($A537="","",COUNTIFS('Таблиця 1'!$B:$B,$A537,'Таблиця 1'!$E:$E,"Інфраструктура",'Таблиця 1'!$L:$L,"Уражено"))</f>
        <v/>
      </c>
      <c r="X537">
        <f>IF($A537="","",SUMIFS('Таблиця 1'!$K:$K,'Таблиця 1'!$B:$B,$A537))</f>
        <v/>
      </c>
    </row>
    <row r="538">
      <c r="A538" s="81">
        <f>IF(A537="","",IF(A537+1&gt;MAX('Таблиця 1'!$B:$B),"",A537+1))</f>
        <v/>
      </c>
      <c r="B538">
        <f>IF($A538="","",COUNTIFS('Таблиця 1'!$B:$B,$A538,'Таблиця 1'!$E:$E,"ЖС ВЗ",'Таблиця 1'!$L:$L,"Уражено"))</f>
        <v/>
      </c>
      <c r="C538">
        <f>IF($A538="","",COUNTIFS('Таблиця 1'!$B:$B,$A538,'Таблиця 1'!$E:$E,"Арт. Системи",'Таблиця 1'!$L:$L,"Уражено"))</f>
        <v/>
      </c>
      <c r="D538">
        <f>IF($A538="","",COUNTIFS('Таблиця 1'!$B:$B,$A538,'Таблиця 1'!$E:$E,"ОВТ",'Таблиця 1'!$L:$L,"Уражено"))</f>
        <v/>
      </c>
      <c r="E538">
        <f>IF($A538="","",COUNTIFS('Таблиця 1'!$B:$B,$A538,'Таблиця 1'!$E:$E,"ППО",'Таблиця 1'!$L:$L,"Уражено"))</f>
        <v/>
      </c>
      <c r="F538">
        <f>IF($A538="","",COUNTIFS('Таблиця 1'!$B:$B,$A538,'Таблиця 1'!$E:$E,"Рембаза",'Таблиця 1'!$L:$L,"Уражено"))</f>
        <v/>
      </c>
      <c r="G538">
        <f>IF($A538="","",COUNTIFS('Таблиця 1'!$B:$B,$A538,'Таблиця 1'!$E:$E,"Склад БК",'Таблиця 1'!$L:$L,"Уражено"))</f>
        <v/>
      </c>
      <c r="H538">
        <f>IF($A538="","",COUNTIFS('Таблиця 1'!$B:$B,$A538,'Таблиця 1'!$E:$E,"Склад ВТМ",'Таблиця 1'!$L:$L,"Уражено"))</f>
        <v/>
      </c>
      <c r="I538">
        <f>IF($A538="","",COUNTIFS('Таблиця 1'!$B:$B,$A538,'Таблиця 1'!$E:$E,"ПУ БпЛА",'Таблиця 1'!$L:$L,"Уражено"))</f>
        <v/>
      </c>
      <c r="J538">
        <f>IF($A538="","",COUNTIFS('Таблиця 1'!$B:$B,$A538,'Таблиця 1'!$E:$E,"СП",'Таблиця 1'!$L:$L,"Уражено"))</f>
        <v/>
      </c>
      <c r="K538">
        <f>IF($A538="","",COUNTIFS('Таблиця 1'!$B:$B,$A538,'Таблиця 1'!$E:$E,"КСП роти",'Таблиця 1'!$L:$L,"Уражено"))</f>
        <v/>
      </c>
      <c r="L538">
        <f>IF($A538="","",COUNTIFS('Таблиця 1'!$B:$B,$A538,'Таблиця 1'!$E:$E,"ПУ бат",'Таблиця 1'!$L:$L,"Уражено"))</f>
        <v/>
      </c>
      <c r="M538">
        <f>IF($A538="","",COUNTIFS('Таблиця 1'!$B:$B,$A538,'Таблиця 1'!$E:$E,"ПУ бриг",'Таблиця 1'!$L:$L,"Уражено"))</f>
        <v/>
      </c>
      <c r="N538">
        <f>IF($A538="","",COUNTIFS('Таблиця 1'!$B:$B,$A538,'Таблиця 1'!$E:$E,"ПУ див",'Таблиця 1'!$L:$L,"Уражено"))</f>
        <v/>
      </c>
      <c r="O538">
        <f>IF($A538="","",COUNTIFS('Таблиця 1'!$B:$B,$A538,'Таблиця 1'!$E:$E,"обл. РЕБ",'Таблиця 1'!$L:$L,"Уражено"))</f>
        <v/>
      </c>
      <c r="P538">
        <f>IF($A538="","",COUNTIFS('Таблиця 1'!$B:$B,$A538,'Таблиця 1'!$E:$E,"пос РЕБ",'Таблиця 1'!$L:$L,"Уражено"))</f>
        <v/>
      </c>
      <c r="Q538">
        <f>IF($A538="","",COUNTIFS('Таблиця 1'!$B:$B,$A538,'Таблиця 1'!$E:$E,"група РЕР",'Таблиця 1'!$L:$L,"Уражено"))</f>
        <v/>
      </c>
      <c r="R538">
        <f>IF($A538="","",COUNTIFS('Таблиця 1'!$B:$B,$A538,'Таблиця 1'!$E:$E,"РЛС КББ",'Таблиця 1'!$L:$L,"Уражено"))</f>
        <v/>
      </c>
      <c r="S538">
        <f>IF($A538="","",COUNTIFS('Таблиця 1'!$B:$B,$A538,'Таблиця 1'!$E:$E,"Ретранслятор",'Таблиця 1'!$L:$L,"Уражено"))</f>
        <v/>
      </c>
      <c r="T538">
        <f>IF($A538="","",COUNTIFS('Таблиця 1'!$B:$B,$A538,'Таблиця 1'!$E:$E,"Вз.зв'язку",'Таблиця 1'!$L:$L,"Уражено"))</f>
        <v/>
      </c>
      <c r="U538">
        <f>IF($A538="","",COUNTIFS('Таблиця 1'!$B:$B,$A538,'Таблиця 1'!$E:$E,"ПММ",'Таблиця 1'!$L:$L,"Уражено"))</f>
        <v/>
      </c>
      <c r="V538">
        <f>IF($A538="","",COUNTIFS('Таблиця 1'!$B:$B,$A538,'Таблиця 1'!$E:$E,"ІФС",'Таблиця 1'!$L:$L,"Уражено"))</f>
        <v/>
      </c>
      <c r="W538">
        <f>IF($A538="","",COUNTIFS('Таблиця 1'!$B:$B,$A538,'Таблиця 1'!$E:$E,"Інфраструктура",'Таблиця 1'!$L:$L,"Уражено"))</f>
        <v/>
      </c>
      <c r="X538">
        <f>IF($A538="","",SUMIFS('Таблиця 1'!$K:$K,'Таблиця 1'!$B:$B,$A538))</f>
        <v/>
      </c>
    </row>
    <row r="539">
      <c r="A539" s="81">
        <f>IF(A538="","",IF(A538+1&gt;MAX('Таблиця 1'!$B:$B),"",A538+1))</f>
        <v/>
      </c>
      <c r="B539">
        <f>IF($A539="","",COUNTIFS('Таблиця 1'!$B:$B,$A539,'Таблиця 1'!$E:$E,"ЖС ВЗ",'Таблиця 1'!$L:$L,"Уражено"))</f>
        <v/>
      </c>
      <c r="C539">
        <f>IF($A539="","",COUNTIFS('Таблиця 1'!$B:$B,$A539,'Таблиця 1'!$E:$E,"Арт. Системи",'Таблиця 1'!$L:$L,"Уражено"))</f>
        <v/>
      </c>
      <c r="D539">
        <f>IF($A539="","",COUNTIFS('Таблиця 1'!$B:$B,$A539,'Таблиця 1'!$E:$E,"ОВТ",'Таблиця 1'!$L:$L,"Уражено"))</f>
        <v/>
      </c>
      <c r="E539">
        <f>IF($A539="","",COUNTIFS('Таблиця 1'!$B:$B,$A539,'Таблиця 1'!$E:$E,"ППО",'Таблиця 1'!$L:$L,"Уражено"))</f>
        <v/>
      </c>
      <c r="F539">
        <f>IF($A539="","",COUNTIFS('Таблиця 1'!$B:$B,$A539,'Таблиця 1'!$E:$E,"Рембаза",'Таблиця 1'!$L:$L,"Уражено"))</f>
        <v/>
      </c>
      <c r="G539">
        <f>IF($A539="","",COUNTIFS('Таблиця 1'!$B:$B,$A539,'Таблиця 1'!$E:$E,"Склад БК",'Таблиця 1'!$L:$L,"Уражено"))</f>
        <v/>
      </c>
      <c r="H539">
        <f>IF($A539="","",COUNTIFS('Таблиця 1'!$B:$B,$A539,'Таблиця 1'!$E:$E,"Склад ВТМ",'Таблиця 1'!$L:$L,"Уражено"))</f>
        <v/>
      </c>
      <c r="I539">
        <f>IF($A539="","",COUNTIFS('Таблиця 1'!$B:$B,$A539,'Таблиця 1'!$E:$E,"ПУ БпЛА",'Таблиця 1'!$L:$L,"Уражено"))</f>
        <v/>
      </c>
      <c r="J539">
        <f>IF($A539="","",COUNTIFS('Таблиця 1'!$B:$B,$A539,'Таблиця 1'!$E:$E,"СП",'Таблиця 1'!$L:$L,"Уражено"))</f>
        <v/>
      </c>
      <c r="K539">
        <f>IF($A539="","",COUNTIFS('Таблиця 1'!$B:$B,$A539,'Таблиця 1'!$E:$E,"КСП роти",'Таблиця 1'!$L:$L,"Уражено"))</f>
        <v/>
      </c>
      <c r="L539">
        <f>IF($A539="","",COUNTIFS('Таблиця 1'!$B:$B,$A539,'Таблиця 1'!$E:$E,"ПУ бат",'Таблиця 1'!$L:$L,"Уражено"))</f>
        <v/>
      </c>
      <c r="M539">
        <f>IF($A539="","",COUNTIFS('Таблиця 1'!$B:$B,$A539,'Таблиця 1'!$E:$E,"ПУ бриг",'Таблиця 1'!$L:$L,"Уражено"))</f>
        <v/>
      </c>
      <c r="N539">
        <f>IF($A539="","",COUNTIFS('Таблиця 1'!$B:$B,$A539,'Таблиця 1'!$E:$E,"ПУ див",'Таблиця 1'!$L:$L,"Уражено"))</f>
        <v/>
      </c>
      <c r="O539">
        <f>IF($A539="","",COUNTIFS('Таблиця 1'!$B:$B,$A539,'Таблиця 1'!$E:$E,"обл. РЕБ",'Таблиця 1'!$L:$L,"Уражено"))</f>
        <v/>
      </c>
      <c r="P539">
        <f>IF($A539="","",COUNTIFS('Таблиця 1'!$B:$B,$A539,'Таблиця 1'!$E:$E,"пос РЕБ",'Таблиця 1'!$L:$L,"Уражено"))</f>
        <v/>
      </c>
      <c r="Q539">
        <f>IF($A539="","",COUNTIFS('Таблиця 1'!$B:$B,$A539,'Таблиця 1'!$E:$E,"група РЕР",'Таблиця 1'!$L:$L,"Уражено"))</f>
        <v/>
      </c>
      <c r="R539">
        <f>IF($A539="","",COUNTIFS('Таблиця 1'!$B:$B,$A539,'Таблиця 1'!$E:$E,"РЛС КББ",'Таблиця 1'!$L:$L,"Уражено"))</f>
        <v/>
      </c>
      <c r="S539">
        <f>IF($A539="","",COUNTIFS('Таблиця 1'!$B:$B,$A539,'Таблиця 1'!$E:$E,"Ретранслятор",'Таблиця 1'!$L:$L,"Уражено"))</f>
        <v/>
      </c>
      <c r="T539">
        <f>IF($A539="","",COUNTIFS('Таблиця 1'!$B:$B,$A539,'Таблиця 1'!$E:$E,"Вз.зв'язку",'Таблиця 1'!$L:$L,"Уражено"))</f>
        <v/>
      </c>
      <c r="U539">
        <f>IF($A539="","",COUNTIFS('Таблиця 1'!$B:$B,$A539,'Таблиця 1'!$E:$E,"ПММ",'Таблиця 1'!$L:$L,"Уражено"))</f>
        <v/>
      </c>
      <c r="V539">
        <f>IF($A539="","",COUNTIFS('Таблиця 1'!$B:$B,$A539,'Таблиця 1'!$E:$E,"ІФС",'Таблиця 1'!$L:$L,"Уражено"))</f>
        <v/>
      </c>
      <c r="W539">
        <f>IF($A539="","",COUNTIFS('Таблиця 1'!$B:$B,$A539,'Таблиця 1'!$E:$E,"Інфраструктура",'Таблиця 1'!$L:$L,"Уражено"))</f>
        <v/>
      </c>
      <c r="X539">
        <f>IF($A539="","",SUMIFS('Таблиця 1'!$K:$K,'Таблиця 1'!$B:$B,$A539))</f>
        <v/>
      </c>
    </row>
    <row r="540">
      <c r="A540" s="81">
        <f>IF(A539="","",IF(A539+1&gt;MAX('Таблиця 1'!$B:$B),"",A539+1))</f>
        <v/>
      </c>
      <c r="B540">
        <f>IF($A540="","",COUNTIFS('Таблиця 1'!$B:$B,$A540,'Таблиця 1'!$E:$E,"ЖС ВЗ",'Таблиця 1'!$L:$L,"Уражено"))</f>
        <v/>
      </c>
      <c r="C540">
        <f>IF($A540="","",COUNTIFS('Таблиця 1'!$B:$B,$A540,'Таблиця 1'!$E:$E,"Арт. Системи",'Таблиця 1'!$L:$L,"Уражено"))</f>
        <v/>
      </c>
      <c r="D540">
        <f>IF($A540="","",COUNTIFS('Таблиця 1'!$B:$B,$A540,'Таблиця 1'!$E:$E,"ОВТ",'Таблиця 1'!$L:$L,"Уражено"))</f>
        <v/>
      </c>
      <c r="E540">
        <f>IF($A540="","",COUNTIFS('Таблиця 1'!$B:$B,$A540,'Таблиця 1'!$E:$E,"ППО",'Таблиця 1'!$L:$L,"Уражено"))</f>
        <v/>
      </c>
      <c r="F540">
        <f>IF($A540="","",COUNTIFS('Таблиця 1'!$B:$B,$A540,'Таблиця 1'!$E:$E,"Рембаза",'Таблиця 1'!$L:$L,"Уражено"))</f>
        <v/>
      </c>
      <c r="G540">
        <f>IF($A540="","",COUNTIFS('Таблиця 1'!$B:$B,$A540,'Таблиця 1'!$E:$E,"Склад БК",'Таблиця 1'!$L:$L,"Уражено"))</f>
        <v/>
      </c>
      <c r="H540">
        <f>IF($A540="","",COUNTIFS('Таблиця 1'!$B:$B,$A540,'Таблиця 1'!$E:$E,"Склад ВТМ",'Таблиця 1'!$L:$L,"Уражено"))</f>
        <v/>
      </c>
      <c r="I540">
        <f>IF($A540="","",COUNTIFS('Таблиця 1'!$B:$B,$A540,'Таблиця 1'!$E:$E,"ПУ БпЛА",'Таблиця 1'!$L:$L,"Уражено"))</f>
        <v/>
      </c>
      <c r="J540">
        <f>IF($A540="","",COUNTIFS('Таблиця 1'!$B:$B,$A540,'Таблиця 1'!$E:$E,"СП",'Таблиця 1'!$L:$L,"Уражено"))</f>
        <v/>
      </c>
      <c r="K540">
        <f>IF($A540="","",COUNTIFS('Таблиця 1'!$B:$B,$A540,'Таблиця 1'!$E:$E,"КСП роти",'Таблиця 1'!$L:$L,"Уражено"))</f>
        <v/>
      </c>
      <c r="L540">
        <f>IF($A540="","",COUNTIFS('Таблиця 1'!$B:$B,$A540,'Таблиця 1'!$E:$E,"ПУ бат",'Таблиця 1'!$L:$L,"Уражено"))</f>
        <v/>
      </c>
      <c r="M540">
        <f>IF($A540="","",COUNTIFS('Таблиця 1'!$B:$B,$A540,'Таблиця 1'!$E:$E,"ПУ бриг",'Таблиця 1'!$L:$L,"Уражено"))</f>
        <v/>
      </c>
      <c r="N540">
        <f>IF($A540="","",COUNTIFS('Таблиця 1'!$B:$B,$A540,'Таблиця 1'!$E:$E,"ПУ див",'Таблиця 1'!$L:$L,"Уражено"))</f>
        <v/>
      </c>
      <c r="O540">
        <f>IF($A540="","",COUNTIFS('Таблиця 1'!$B:$B,$A540,'Таблиця 1'!$E:$E,"обл. РЕБ",'Таблиця 1'!$L:$L,"Уражено"))</f>
        <v/>
      </c>
      <c r="P540">
        <f>IF($A540="","",COUNTIFS('Таблиця 1'!$B:$B,$A540,'Таблиця 1'!$E:$E,"пос РЕБ",'Таблиця 1'!$L:$L,"Уражено"))</f>
        <v/>
      </c>
      <c r="Q540">
        <f>IF($A540="","",COUNTIFS('Таблиця 1'!$B:$B,$A540,'Таблиця 1'!$E:$E,"група РЕР",'Таблиця 1'!$L:$L,"Уражено"))</f>
        <v/>
      </c>
      <c r="R540">
        <f>IF($A540="","",COUNTIFS('Таблиця 1'!$B:$B,$A540,'Таблиця 1'!$E:$E,"РЛС КББ",'Таблиця 1'!$L:$L,"Уражено"))</f>
        <v/>
      </c>
      <c r="S540">
        <f>IF($A540="","",COUNTIFS('Таблиця 1'!$B:$B,$A540,'Таблиця 1'!$E:$E,"Ретранслятор",'Таблиця 1'!$L:$L,"Уражено"))</f>
        <v/>
      </c>
      <c r="T540">
        <f>IF($A540="","",COUNTIFS('Таблиця 1'!$B:$B,$A540,'Таблиця 1'!$E:$E,"Вз.зв'язку",'Таблиця 1'!$L:$L,"Уражено"))</f>
        <v/>
      </c>
      <c r="U540">
        <f>IF($A540="","",COUNTIFS('Таблиця 1'!$B:$B,$A540,'Таблиця 1'!$E:$E,"ПММ",'Таблиця 1'!$L:$L,"Уражено"))</f>
        <v/>
      </c>
      <c r="V540">
        <f>IF($A540="","",COUNTIFS('Таблиця 1'!$B:$B,$A540,'Таблиця 1'!$E:$E,"ІФС",'Таблиця 1'!$L:$L,"Уражено"))</f>
        <v/>
      </c>
      <c r="W540">
        <f>IF($A540="","",COUNTIFS('Таблиця 1'!$B:$B,$A540,'Таблиця 1'!$E:$E,"Інфраструктура",'Таблиця 1'!$L:$L,"Уражено"))</f>
        <v/>
      </c>
      <c r="X540">
        <f>IF($A540="","",SUMIFS('Таблиця 1'!$K:$K,'Таблиця 1'!$B:$B,$A540))</f>
        <v/>
      </c>
    </row>
    <row r="541">
      <c r="A541" s="81">
        <f>IF(A540="","",IF(A540+1&gt;MAX('Таблиця 1'!$B:$B),"",A540+1))</f>
        <v/>
      </c>
      <c r="B541">
        <f>IF($A541="","",COUNTIFS('Таблиця 1'!$B:$B,$A541,'Таблиця 1'!$E:$E,"ЖС ВЗ",'Таблиця 1'!$L:$L,"Уражено"))</f>
        <v/>
      </c>
      <c r="C541">
        <f>IF($A541="","",COUNTIFS('Таблиця 1'!$B:$B,$A541,'Таблиця 1'!$E:$E,"Арт. Системи",'Таблиця 1'!$L:$L,"Уражено"))</f>
        <v/>
      </c>
      <c r="D541">
        <f>IF($A541="","",COUNTIFS('Таблиця 1'!$B:$B,$A541,'Таблиця 1'!$E:$E,"ОВТ",'Таблиця 1'!$L:$L,"Уражено"))</f>
        <v/>
      </c>
      <c r="E541">
        <f>IF($A541="","",COUNTIFS('Таблиця 1'!$B:$B,$A541,'Таблиця 1'!$E:$E,"ППО",'Таблиця 1'!$L:$L,"Уражено"))</f>
        <v/>
      </c>
      <c r="F541">
        <f>IF($A541="","",COUNTIFS('Таблиця 1'!$B:$B,$A541,'Таблиця 1'!$E:$E,"Рембаза",'Таблиця 1'!$L:$L,"Уражено"))</f>
        <v/>
      </c>
      <c r="G541">
        <f>IF($A541="","",COUNTIFS('Таблиця 1'!$B:$B,$A541,'Таблиця 1'!$E:$E,"Склад БК",'Таблиця 1'!$L:$L,"Уражено"))</f>
        <v/>
      </c>
      <c r="H541">
        <f>IF($A541="","",COUNTIFS('Таблиця 1'!$B:$B,$A541,'Таблиця 1'!$E:$E,"Склад ВТМ",'Таблиця 1'!$L:$L,"Уражено"))</f>
        <v/>
      </c>
      <c r="I541">
        <f>IF($A541="","",COUNTIFS('Таблиця 1'!$B:$B,$A541,'Таблиця 1'!$E:$E,"ПУ БпЛА",'Таблиця 1'!$L:$L,"Уражено"))</f>
        <v/>
      </c>
      <c r="J541">
        <f>IF($A541="","",COUNTIFS('Таблиця 1'!$B:$B,$A541,'Таблиця 1'!$E:$E,"СП",'Таблиця 1'!$L:$L,"Уражено"))</f>
        <v/>
      </c>
      <c r="K541">
        <f>IF($A541="","",COUNTIFS('Таблиця 1'!$B:$B,$A541,'Таблиця 1'!$E:$E,"КСП роти",'Таблиця 1'!$L:$L,"Уражено"))</f>
        <v/>
      </c>
      <c r="L541">
        <f>IF($A541="","",COUNTIFS('Таблиця 1'!$B:$B,$A541,'Таблиця 1'!$E:$E,"ПУ бат",'Таблиця 1'!$L:$L,"Уражено"))</f>
        <v/>
      </c>
      <c r="M541">
        <f>IF($A541="","",COUNTIFS('Таблиця 1'!$B:$B,$A541,'Таблиця 1'!$E:$E,"ПУ бриг",'Таблиця 1'!$L:$L,"Уражено"))</f>
        <v/>
      </c>
      <c r="N541">
        <f>IF($A541="","",COUNTIFS('Таблиця 1'!$B:$B,$A541,'Таблиця 1'!$E:$E,"ПУ див",'Таблиця 1'!$L:$L,"Уражено"))</f>
        <v/>
      </c>
      <c r="O541">
        <f>IF($A541="","",COUNTIFS('Таблиця 1'!$B:$B,$A541,'Таблиця 1'!$E:$E,"обл. РЕБ",'Таблиця 1'!$L:$L,"Уражено"))</f>
        <v/>
      </c>
      <c r="P541">
        <f>IF($A541="","",COUNTIFS('Таблиця 1'!$B:$B,$A541,'Таблиця 1'!$E:$E,"пос РЕБ",'Таблиця 1'!$L:$L,"Уражено"))</f>
        <v/>
      </c>
      <c r="Q541">
        <f>IF($A541="","",COUNTIFS('Таблиця 1'!$B:$B,$A541,'Таблиця 1'!$E:$E,"група РЕР",'Таблиця 1'!$L:$L,"Уражено"))</f>
        <v/>
      </c>
      <c r="R541">
        <f>IF($A541="","",COUNTIFS('Таблиця 1'!$B:$B,$A541,'Таблиця 1'!$E:$E,"РЛС КББ",'Таблиця 1'!$L:$L,"Уражено"))</f>
        <v/>
      </c>
      <c r="S541">
        <f>IF($A541="","",COUNTIFS('Таблиця 1'!$B:$B,$A541,'Таблиця 1'!$E:$E,"Ретранслятор",'Таблиця 1'!$L:$L,"Уражено"))</f>
        <v/>
      </c>
      <c r="T541">
        <f>IF($A541="","",COUNTIFS('Таблиця 1'!$B:$B,$A541,'Таблиця 1'!$E:$E,"Вз.зв'язку",'Таблиця 1'!$L:$L,"Уражено"))</f>
        <v/>
      </c>
      <c r="U541">
        <f>IF($A541="","",COUNTIFS('Таблиця 1'!$B:$B,$A541,'Таблиця 1'!$E:$E,"ПММ",'Таблиця 1'!$L:$L,"Уражено"))</f>
        <v/>
      </c>
      <c r="V541">
        <f>IF($A541="","",COUNTIFS('Таблиця 1'!$B:$B,$A541,'Таблиця 1'!$E:$E,"ІФС",'Таблиця 1'!$L:$L,"Уражено"))</f>
        <v/>
      </c>
      <c r="W541">
        <f>IF($A541="","",COUNTIFS('Таблиця 1'!$B:$B,$A541,'Таблиця 1'!$E:$E,"Інфраструктура",'Таблиця 1'!$L:$L,"Уражено"))</f>
        <v/>
      </c>
      <c r="X541">
        <f>IF($A541="","",SUMIFS('Таблиця 1'!$K:$K,'Таблиця 1'!$B:$B,$A541))</f>
        <v/>
      </c>
    </row>
    <row r="542">
      <c r="A542" s="81">
        <f>IF(A541="","",IF(A541+1&gt;MAX('Таблиця 1'!$B:$B),"",A541+1))</f>
        <v/>
      </c>
      <c r="B542">
        <f>IF($A542="","",COUNTIFS('Таблиця 1'!$B:$B,$A542,'Таблиця 1'!$E:$E,"ЖС ВЗ",'Таблиця 1'!$L:$L,"Уражено"))</f>
        <v/>
      </c>
      <c r="C542">
        <f>IF($A542="","",COUNTIFS('Таблиця 1'!$B:$B,$A542,'Таблиця 1'!$E:$E,"Арт. Системи",'Таблиця 1'!$L:$L,"Уражено"))</f>
        <v/>
      </c>
      <c r="D542">
        <f>IF($A542="","",COUNTIFS('Таблиця 1'!$B:$B,$A542,'Таблиця 1'!$E:$E,"ОВТ",'Таблиця 1'!$L:$L,"Уражено"))</f>
        <v/>
      </c>
      <c r="E542">
        <f>IF($A542="","",COUNTIFS('Таблиця 1'!$B:$B,$A542,'Таблиця 1'!$E:$E,"ППО",'Таблиця 1'!$L:$L,"Уражено"))</f>
        <v/>
      </c>
      <c r="F542">
        <f>IF($A542="","",COUNTIFS('Таблиця 1'!$B:$B,$A542,'Таблиця 1'!$E:$E,"Рембаза",'Таблиця 1'!$L:$L,"Уражено"))</f>
        <v/>
      </c>
      <c r="G542">
        <f>IF($A542="","",COUNTIFS('Таблиця 1'!$B:$B,$A542,'Таблиця 1'!$E:$E,"Склад БК",'Таблиця 1'!$L:$L,"Уражено"))</f>
        <v/>
      </c>
      <c r="H542">
        <f>IF($A542="","",COUNTIFS('Таблиця 1'!$B:$B,$A542,'Таблиця 1'!$E:$E,"Склад ВТМ",'Таблиця 1'!$L:$L,"Уражено"))</f>
        <v/>
      </c>
      <c r="I542">
        <f>IF($A542="","",COUNTIFS('Таблиця 1'!$B:$B,$A542,'Таблиця 1'!$E:$E,"ПУ БпЛА",'Таблиця 1'!$L:$L,"Уражено"))</f>
        <v/>
      </c>
      <c r="J542">
        <f>IF($A542="","",COUNTIFS('Таблиця 1'!$B:$B,$A542,'Таблиця 1'!$E:$E,"СП",'Таблиця 1'!$L:$L,"Уражено"))</f>
        <v/>
      </c>
      <c r="K542">
        <f>IF($A542="","",COUNTIFS('Таблиця 1'!$B:$B,$A542,'Таблиця 1'!$E:$E,"КСП роти",'Таблиця 1'!$L:$L,"Уражено"))</f>
        <v/>
      </c>
      <c r="L542">
        <f>IF($A542="","",COUNTIFS('Таблиця 1'!$B:$B,$A542,'Таблиця 1'!$E:$E,"ПУ бат",'Таблиця 1'!$L:$L,"Уражено"))</f>
        <v/>
      </c>
      <c r="M542">
        <f>IF($A542="","",COUNTIFS('Таблиця 1'!$B:$B,$A542,'Таблиця 1'!$E:$E,"ПУ бриг",'Таблиця 1'!$L:$L,"Уражено"))</f>
        <v/>
      </c>
      <c r="N542">
        <f>IF($A542="","",COUNTIFS('Таблиця 1'!$B:$B,$A542,'Таблиця 1'!$E:$E,"ПУ див",'Таблиця 1'!$L:$L,"Уражено"))</f>
        <v/>
      </c>
      <c r="O542">
        <f>IF($A542="","",COUNTIFS('Таблиця 1'!$B:$B,$A542,'Таблиця 1'!$E:$E,"обл. РЕБ",'Таблиця 1'!$L:$L,"Уражено"))</f>
        <v/>
      </c>
      <c r="P542">
        <f>IF($A542="","",COUNTIFS('Таблиця 1'!$B:$B,$A542,'Таблиця 1'!$E:$E,"пос РЕБ",'Таблиця 1'!$L:$L,"Уражено"))</f>
        <v/>
      </c>
      <c r="Q542">
        <f>IF($A542="","",COUNTIFS('Таблиця 1'!$B:$B,$A542,'Таблиця 1'!$E:$E,"група РЕР",'Таблиця 1'!$L:$L,"Уражено"))</f>
        <v/>
      </c>
      <c r="R542">
        <f>IF($A542="","",COUNTIFS('Таблиця 1'!$B:$B,$A542,'Таблиця 1'!$E:$E,"РЛС КББ",'Таблиця 1'!$L:$L,"Уражено"))</f>
        <v/>
      </c>
      <c r="S542">
        <f>IF($A542="","",COUNTIFS('Таблиця 1'!$B:$B,$A542,'Таблиця 1'!$E:$E,"Ретранслятор",'Таблиця 1'!$L:$L,"Уражено"))</f>
        <v/>
      </c>
      <c r="T542">
        <f>IF($A542="","",COUNTIFS('Таблиця 1'!$B:$B,$A542,'Таблиця 1'!$E:$E,"Вз.зв'язку",'Таблиця 1'!$L:$L,"Уражено"))</f>
        <v/>
      </c>
      <c r="U542">
        <f>IF($A542="","",COUNTIFS('Таблиця 1'!$B:$B,$A542,'Таблиця 1'!$E:$E,"ПММ",'Таблиця 1'!$L:$L,"Уражено"))</f>
        <v/>
      </c>
      <c r="V542">
        <f>IF($A542="","",COUNTIFS('Таблиця 1'!$B:$B,$A542,'Таблиця 1'!$E:$E,"ІФС",'Таблиця 1'!$L:$L,"Уражено"))</f>
        <v/>
      </c>
      <c r="W542">
        <f>IF($A542="","",COUNTIFS('Таблиця 1'!$B:$B,$A542,'Таблиця 1'!$E:$E,"Інфраструктура",'Таблиця 1'!$L:$L,"Уражено"))</f>
        <v/>
      </c>
      <c r="X542">
        <f>IF($A542="","",SUMIFS('Таблиця 1'!$K:$K,'Таблиця 1'!$B:$B,$A542))</f>
        <v/>
      </c>
    </row>
    <row r="543">
      <c r="A543" s="81">
        <f>IF(A542="","",IF(A542+1&gt;MAX('Таблиця 1'!$B:$B),"",A542+1))</f>
        <v/>
      </c>
      <c r="B543">
        <f>IF($A543="","",COUNTIFS('Таблиця 1'!$B:$B,$A543,'Таблиця 1'!$E:$E,"ЖС ВЗ",'Таблиця 1'!$L:$L,"Уражено"))</f>
        <v/>
      </c>
      <c r="C543">
        <f>IF($A543="","",COUNTIFS('Таблиця 1'!$B:$B,$A543,'Таблиця 1'!$E:$E,"Арт. Системи",'Таблиця 1'!$L:$L,"Уражено"))</f>
        <v/>
      </c>
      <c r="D543">
        <f>IF($A543="","",COUNTIFS('Таблиця 1'!$B:$B,$A543,'Таблиця 1'!$E:$E,"ОВТ",'Таблиця 1'!$L:$L,"Уражено"))</f>
        <v/>
      </c>
      <c r="E543">
        <f>IF($A543="","",COUNTIFS('Таблиця 1'!$B:$B,$A543,'Таблиця 1'!$E:$E,"ППО",'Таблиця 1'!$L:$L,"Уражено"))</f>
        <v/>
      </c>
      <c r="F543">
        <f>IF($A543="","",COUNTIFS('Таблиця 1'!$B:$B,$A543,'Таблиця 1'!$E:$E,"Рембаза",'Таблиця 1'!$L:$L,"Уражено"))</f>
        <v/>
      </c>
      <c r="G543">
        <f>IF($A543="","",COUNTIFS('Таблиця 1'!$B:$B,$A543,'Таблиця 1'!$E:$E,"Склад БК",'Таблиця 1'!$L:$L,"Уражено"))</f>
        <v/>
      </c>
      <c r="H543">
        <f>IF($A543="","",COUNTIFS('Таблиця 1'!$B:$B,$A543,'Таблиця 1'!$E:$E,"Склад ВТМ",'Таблиця 1'!$L:$L,"Уражено"))</f>
        <v/>
      </c>
      <c r="I543">
        <f>IF($A543="","",COUNTIFS('Таблиця 1'!$B:$B,$A543,'Таблиця 1'!$E:$E,"ПУ БпЛА",'Таблиця 1'!$L:$L,"Уражено"))</f>
        <v/>
      </c>
      <c r="J543">
        <f>IF($A543="","",COUNTIFS('Таблиця 1'!$B:$B,$A543,'Таблиця 1'!$E:$E,"СП",'Таблиця 1'!$L:$L,"Уражено"))</f>
        <v/>
      </c>
      <c r="K543">
        <f>IF($A543="","",COUNTIFS('Таблиця 1'!$B:$B,$A543,'Таблиця 1'!$E:$E,"КСП роти",'Таблиця 1'!$L:$L,"Уражено"))</f>
        <v/>
      </c>
      <c r="L543">
        <f>IF($A543="","",COUNTIFS('Таблиця 1'!$B:$B,$A543,'Таблиця 1'!$E:$E,"ПУ бат",'Таблиця 1'!$L:$L,"Уражено"))</f>
        <v/>
      </c>
      <c r="M543">
        <f>IF($A543="","",COUNTIFS('Таблиця 1'!$B:$B,$A543,'Таблиця 1'!$E:$E,"ПУ бриг",'Таблиця 1'!$L:$L,"Уражено"))</f>
        <v/>
      </c>
      <c r="N543">
        <f>IF($A543="","",COUNTIFS('Таблиця 1'!$B:$B,$A543,'Таблиця 1'!$E:$E,"ПУ див",'Таблиця 1'!$L:$L,"Уражено"))</f>
        <v/>
      </c>
      <c r="O543">
        <f>IF($A543="","",COUNTIFS('Таблиця 1'!$B:$B,$A543,'Таблиця 1'!$E:$E,"обл. РЕБ",'Таблиця 1'!$L:$L,"Уражено"))</f>
        <v/>
      </c>
      <c r="P543">
        <f>IF($A543="","",COUNTIFS('Таблиця 1'!$B:$B,$A543,'Таблиця 1'!$E:$E,"пос РЕБ",'Таблиця 1'!$L:$L,"Уражено"))</f>
        <v/>
      </c>
      <c r="Q543">
        <f>IF($A543="","",COUNTIFS('Таблиця 1'!$B:$B,$A543,'Таблиця 1'!$E:$E,"група РЕР",'Таблиця 1'!$L:$L,"Уражено"))</f>
        <v/>
      </c>
      <c r="R543">
        <f>IF($A543="","",COUNTIFS('Таблиця 1'!$B:$B,$A543,'Таблиця 1'!$E:$E,"РЛС КББ",'Таблиця 1'!$L:$L,"Уражено"))</f>
        <v/>
      </c>
      <c r="S543">
        <f>IF($A543="","",COUNTIFS('Таблиця 1'!$B:$B,$A543,'Таблиця 1'!$E:$E,"Ретранслятор",'Таблиця 1'!$L:$L,"Уражено"))</f>
        <v/>
      </c>
      <c r="T543">
        <f>IF($A543="","",COUNTIFS('Таблиця 1'!$B:$B,$A543,'Таблиця 1'!$E:$E,"Вз.зв'язку",'Таблиця 1'!$L:$L,"Уражено"))</f>
        <v/>
      </c>
      <c r="U543">
        <f>IF($A543="","",COUNTIFS('Таблиця 1'!$B:$B,$A543,'Таблиця 1'!$E:$E,"ПММ",'Таблиця 1'!$L:$L,"Уражено"))</f>
        <v/>
      </c>
      <c r="V543">
        <f>IF($A543="","",COUNTIFS('Таблиця 1'!$B:$B,$A543,'Таблиця 1'!$E:$E,"ІФС",'Таблиця 1'!$L:$L,"Уражено"))</f>
        <v/>
      </c>
      <c r="W543">
        <f>IF($A543="","",COUNTIFS('Таблиця 1'!$B:$B,$A543,'Таблиця 1'!$E:$E,"Інфраструктура",'Таблиця 1'!$L:$L,"Уражено"))</f>
        <v/>
      </c>
      <c r="X543">
        <f>IF($A543="","",SUMIFS('Таблиця 1'!$K:$K,'Таблиця 1'!$B:$B,$A543))</f>
        <v/>
      </c>
    </row>
    <row r="544">
      <c r="A544" s="81">
        <f>IF(A543="","",IF(A543+1&gt;MAX('Таблиця 1'!$B:$B),"",A543+1))</f>
        <v/>
      </c>
      <c r="B544">
        <f>IF($A544="","",COUNTIFS('Таблиця 1'!$B:$B,$A544,'Таблиця 1'!$E:$E,"ЖС ВЗ",'Таблиця 1'!$L:$L,"Уражено"))</f>
        <v/>
      </c>
      <c r="C544">
        <f>IF($A544="","",COUNTIFS('Таблиця 1'!$B:$B,$A544,'Таблиця 1'!$E:$E,"Арт. Системи",'Таблиця 1'!$L:$L,"Уражено"))</f>
        <v/>
      </c>
      <c r="D544">
        <f>IF($A544="","",COUNTIFS('Таблиця 1'!$B:$B,$A544,'Таблиця 1'!$E:$E,"ОВТ",'Таблиця 1'!$L:$L,"Уражено"))</f>
        <v/>
      </c>
      <c r="E544">
        <f>IF($A544="","",COUNTIFS('Таблиця 1'!$B:$B,$A544,'Таблиця 1'!$E:$E,"ППО",'Таблиця 1'!$L:$L,"Уражено"))</f>
        <v/>
      </c>
      <c r="F544">
        <f>IF($A544="","",COUNTIFS('Таблиця 1'!$B:$B,$A544,'Таблиця 1'!$E:$E,"Рембаза",'Таблиця 1'!$L:$L,"Уражено"))</f>
        <v/>
      </c>
      <c r="G544">
        <f>IF($A544="","",COUNTIFS('Таблиця 1'!$B:$B,$A544,'Таблиця 1'!$E:$E,"Склад БК",'Таблиця 1'!$L:$L,"Уражено"))</f>
        <v/>
      </c>
      <c r="H544">
        <f>IF($A544="","",COUNTIFS('Таблиця 1'!$B:$B,$A544,'Таблиця 1'!$E:$E,"Склад ВТМ",'Таблиця 1'!$L:$L,"Уражено"))</f>
        <v/>
      </c>
      <c r="I544">
        <f>IF($A544="","",COUNTIFS('Таблиця 1'!$B:$B,$A544,'Таблиця 1'!$E:$E,"ПУ БпЛА",'Таблиця 1'!$L:$L,"Уражено"))</f>
        <v/>
      </c>
      <c r="J544">
        <f>IF($A544="","",COUNTIFS('Таблиця 1'!$B:$B,$A544,'Таблиця 1'!$E:$E,"СП",'Таблиця 1'!$L:$L,"Уражено"))</f>
        <v/>
      </c>
      <c r="K544">
        <f>IF($A544="","",COUNTIFS('Таблиця 1'!$B:$B,$A544,'Таблиця 1'!$E:$E,"КСП роти",'Таблиця 1'!$L:$L,"Уражено"))</f>
        <v/>
      </c>
      <c r="L544">
        <f>IF($A544="","",COUNTIFS('Таблиця 1'!$B:$B,$A544,'Таблиця 1'!$E:$E,"ПУ бат",'Таблиця 1'!$L:$L,"Уражено"))</f>
        <v/>
      </c>
      <c r="M544">
        <f>IF($A544="","",COUNTIFS('Таблиця 1'!$B:$B,$A544,'Таблиця 1'!$E:$E,"ПУ бриг",'Таблиця 1'!$L:$L,"Уражено"))</f>
        <v/>
      </c>
      <c r="N544">
        <f>IF($A544="","",COUNTIFS('Таблиця 1'!$B:$B,$A544,'Таблиця 1'!$E:$E,"ПУ див",'Таблиця 1'!$L:$L,"Уражено"))</f>
        <v/>
      </c>
      <c r="O544">
        <f>IF($A544="","",COUNTIFS('Таблиця 1'!$B:$B,$A544,'Таблиця 1'!$E:$E,"обл. РЕБ",'Таблиця 1'!$L:$L,"Уражено"))</f>
        <v/>
      </c>
      <c r="P544">
        <f>IF($A544="","",COUNTIFS('Таблиця 1'!$B:$B,$A544,'Таблиця 1'!$E:$E,"пос РЕБ",'Таблиця 1'!$L:$L,"Уражено"))</f>
        <v/>
      </c>
      <c r="Q544">
        <f>IF($A544="","",COUNTIFS('Таблиця 1'!$B:$B,$A544,'Таблиця 1'!$E:$E,"група РЕР",'Таблиця 1'!$L:$L,"Уражено"))</f>
        <v/>
      </c>
      <c r="R544">
        <f>IF($A544="","",COUNTIFS('Таблиця 1'!$B:$B,$A544,'Таблиця 1'!$E:$E,"РЛС КББ",'Таблиця 1'!$L:$L,"Уражено"))</f>
        <v/>
      </c>
      <c r="S544">
        <f>IF($A544="","",COUNTIFS('Таблиця 1'!$B:$B,$A544,'Таблиця 1'!$E:$E,"Ретранслятор",'Таблиця 1'!$L:$L,"Уражено"))</f>
        <v/>
      </c>
      <c r="T544">
        <f>IF($A544="","",COUNTIFS('Таблиця 1'!$B:$B,$A544,'Таблиця 1'!$E:$E,"Вз.зв'язку",'Таблиця 1'!$L:$L,"Уражено"))</f>
        <v/>
      </c>
      <c r="U544">
        <f>IF($A544="","",COUNTIFS('Таблиця 1'!$B:$B,$A544,'Таблиця 1'!$E:$E,"ПММ",'Таблиця 1'!$L:$L,"Уражено"))</f>
        <v/>
      </c>
      <c r="V544">
        <f>IF($A544="","",COUNTIFS('Таблиця 1'!$B:$B,$A544,'Таблиця 1'!$E:$E,"ІФС",'Таблиця 1'!$L:$L,"Уражено"))</f>
        <v/>
      </c>
      <c r="W544">
        <f>IF($A544="","",COUNTIFS('Таблиця 1'!$B:$B,$A544,'Таблиця 1'!$E:$E,"Інфраструктура",'Таблиця 1'!$L:$L,"Уражено"))</f>
        <v/>
      </c>
      <c r="X544">
        <f>IF($A544="","",SUMIFS('Таблиця 1'!$K:$K,'Таблиця 1'!$B:$B,$A544))</f>
        <v/>
      </c>
    </row>
    <row r="545">
      <c r="A545" s="81">
        <f>IF(A544="","",IF(A544+1&gt;MAX('Таблиця 1'!$B:$B),"",A544+1))</f>
        <v/>
      </c>
      <c r="B545">
        <f>IF($A545="","",COUNTIFS('Таблиця 1'!$B:$B,$A545,'Таблиця 1'!$E:$E,"ЖС ВЗ",'Таблиця 1'!$L:$L,"Уражено"))</f>
        <v/>
      </c>
      <c r="C545">
        <f>IF($A545="","",COUNTIFS('Таблиця 1'!$B:$B,$A545,'Таблиця 1'!$E:$E,"Арт. Системи",'Таблиця 1'!$L:$L,"Уражено"))</f>
        <v/>
      </c>
      <c r="D545">
        <f>IF($A545="","",COUNTIFS('Таблиця 1'!$B:$B,$A545,'Таблиця 1'!$E:$E,"ОВТ",'Таблиця 1'!$L:$L,"Уражено"))</f>
        <v/>
      </c>
      <c r="E545">
        <f>IF($A545="","",COUNTIFS('Таблиця 1'!$B:$B,$A545,'Таблиця 1'!$E:$E,"ППО",'Таблиця 1'!$L:$L,"Уражено"))</f>
        <v/>
      </c>
      <c r="F545">
        <f>IF($A545="","",COUNTIFS('Таблиця 1'!$B:$B,$A545,'Таблиця 1'!$E:$E,"Рембаза",'Таблиця 1'!$L:$L,"Уражено"))</f>
        <v/>
      </c>
      <c r="G545">
        <f>IF($A545="","",COUNTIFS('Таблиця 1'!$B:$B,$A545,'Таблиця 1'!$E:$E,"Склад БК",'Таблиця 1'!$L:$L,"Уражено"))</f>
        <v/>
      </c>
      <c r="H545">
        <f>IF($A545="","",COUNTIFS('Таблиця 1'!$B:$B,$A545,'Таблиця 1'!$E:$E,"Склад ВТМ",'Таблиця 1'!$L:$L,"Уражено"))</f>
        <v/>
      </c>
      <c r="I545">
        <f>IF($A545="","",COUNTIFS('Таблиця 1'!$B:$B,$A545,'Таблиця 1'!$E:$E,"ПУ БпЛА",'Таблиця 1'!$L:$L,"Уражено"))</f>
        <v/>
      </c>
      <c r="J545">
        <f>IF($A545="","",COUNTIFS('Таблиця 1'!$B:$B,$A545,'Таблиця 1'!$E:$E,"СП",'Таблиця 1'!$L:$L,"Уражено"))</f>
        <v/>
      </c>
      <c r="K545">
        <f>IF($A545="","",COUNTIFS('Таблиця 1'!$B:$B,$A545,'Таблиця 1'!$E:$E,"КСП роти",'Таблиця 1'!$L:$L,"Уражено"))</f>
        <v/>
      </c>
      <c r="L545">
        <f>IF($A545="","",COUNTIFS('Таблиця 1'!$B:$B,$A545,'Таблиця 1'!$E:$E,"ПУ бат",'Таблиця 1'!$L:$L,"Уражено"))</f>
        <v/>
      </c>
      <c r="M545">
        <f>IF($A545="","",COUNTIFS('Таблиця 1'!$B:$B,$A545,'Таблиця 1'!$E:$E,"ПУ бриг",'Таблиця 1'!$L:$L,"Уражено"))</f>
        <v/>
      </c>
      <c r="N545">
        <f>IF($A545="","",COUNTIFS('Таблиця 1'!$B:$B,$A545,'Таблиця 1'!$E:$E,"ПУ див",'Таблиця 1'!$L:$L,"Уражено"))</f>
        <v/>
      </c>
      <c r="O545">
        <f>IF($A545="","",COUNTIFS('Таблиця 1'!$B:$B,$A545,'Таблиця 1'!$E:$E,"обл. РЕБ",'Таблиця 1'!$L:$L,"Уражено"))</f>
        <v/>
      </c>
      <c r="P545">
        <f>IF($A545="","",COUNTIFS('Таблиця 1'!$B:$B,$A545,'Таблиця 1'!$E:$E,"пос РЕБ",'Таблиця 1'!$L:$L,"Уражено"))</f>
        <v/>
      </c>
      <c r="Q545">
        <f>IF($A545="","",COUNTIFS('Таблиця 1'!$B:$B,$A545,'Таблиця 1'!$E:$E,"група РЕР",'Таблиця 1'!$L:$L,"Уражено"))</f>
        <v/>
      </c>
      <c r="R545">
        <f>IF($A545="","",COUNTIFS('Таблиця 1'!$B:$B,$A545,'Таблиця 1'!$E:$E,"РЛС КББ",'Таблиця 1'!$L:$L,"Уражено"))</f>
        <v/>
      </c>
      <c r="S545">
        <f>IF($A545="","",COUNTIFS('Таблиця 1'!$B:$B,$A545,'Таблиця 1'!$E:$E,"Ретранслятор",'Таблиця 1'!$L:$L,"Уражено"))</f>
        <v/>
      </c>
      <c r="T545">
        <f>IF($A545="","",COUNTIFS('Таблиця 1'!$B:$B,$A545,'Таблиця 1'!$E:$E,"Вз.зв'язку",'Таблиця 1'!$L:$L,"Уражено"))</f>
        <v/>
      </c>
      <c r="U545">
        <f>IF($A545="","",COUNTIFS('Таблиця 1'!$B:$B,$A545,'Таблиця 1'!$E:$E,"ПММ",'Таблиця 1'!$L:$L,"Уражено"))</f>
        <v/>
      </c>
      <c r="V545">
        <f>IF($A545="","",COUNTIFS('Таблиця 1'!$B:$B,$A545,'Таблиця 1'!$E:$E,"ІФС",'Таблиця 1'!$L:$L,"Уражено"))</f>
        <v/>
      </c>
      <c r="W545">
        <f>IF($A545="","",COUNTIFS('Таблиця 1'!$B:$B,$A545,'Таблиця 1'!$E:$E,"Інфраструктура",'Таблиця 1'!$L:$L,"Уражено"))</f>
        <v/>
      </c>
      <c r="X545">
        <f>IF($A545="","",SUMIFS('Таблиця 1'!$K:$K,'Таблиця 1'!$B:$B,$A545))</f>
        <v/>
      </c>
    </row>
    <row r="546">
      <c r="A546" s="81">
        <f>IF(A545="","",IF(A545+1&gt;MAX('Таблиця 1'!$B:$B),"",A545+1))</f>
        <v/>
      </c>
      <c r="B546">
        <f>IF($A546="","",COUNTIFS('Таблиця 1'!$B:$B,$A546,'Таблиця 1'!$E:$E,"ЖС ВЗ",'Таблиця 1'!$L:$L,"Уражено"))</f>
        <v/>
      </c>
      <c r="C546">
        <f>IF($A546="","",COUNTIFS('Таблиця 1'!$B:$B,$A546,'Таблиця 1'!$E:$E,"Арт. Системи",'Таблиця 1'!$L:$L,"Уражено"))</f>
        <v/>
      </c>
      <c r="D546">
        <f>IF($A546="","",COUNTIFS('Таблиця 1'!$B:$B,$A546,'Таблиця 1'!$E:$E,"ОВТ",'Таблиця 1'!$L:$L,"Уражено"))</f>
        <v/>
      </c>
      <c r="E546">
        <f>IF($A546="","",COUNTIFS('Таблиця 1'!$B:$B,$A546,'Таблиця 1'!$E:$E,"ППО",'Таблиця 1'!$L:$L,"Уражено"))</f>
        <v/>
      </c>
      <c r="F546">
        <f>IF($A546="","",COUNTIFS('Таблиця 1'!$B:$B,$A546,'Таблиця 1'!$E:$E,"Рембаза",'Таблиця 1'!$L:$L,"Уражено"))</f>
        <v/>
      </c>
      <c r="G546">
        <f>IF($A546="","",COUNTIFS('Таблиця 1'!$B:$B,$A546,'Таблиця 1'!$E:$E,"Склад БК",'Таблиця 1'!$L:$L,"Уражено"))</f>
        <v/>
      </c>
      <c r="H546">
        <f>IF($A546="","",COUNTIFS('Таблиця 1'!$B:$B,$A546,'Таблиця 1'!$E:$E,"Склад ВТМ",'Таблиця 1'!$L:$L,"Уражено"))</f>
        <v/>
      </c>
      <c r="I546">
        <f>IF($A546="","",COUNTIFS('Таблиця 1'!$B:$B,$A546,'Таблиця 1'!$E:$E,"ПУ БпЛА",'Таблиця 1'!$L:$L,"Уражено"))</f>
        <v/>
      </c>
      <c r="J546">
        <f>IF($A546="","",COUNTIFS('Таблиця 1'!$B:$B,$A546,'Таблиця 1'!$E:$E,"СП",'Таблиця 1'!$L:$L,"Уражено"))</f>
        <v/>
      </c>
      <c r="K546">
        <f>IF($A546="","",COUNTIFS('Таблиця 1'!$B:$B,$A546,'Таблиця 1'!$E:$E,"КСП роти",'Таблиця 1'!$L:$L,"Уражено"))</f>
        <v/>
      </c>
      <c r="L546">
        <f>IF($A546="","",COUNTIFS('Таблиця 1'!$B:$B,$A546,'Таблиця 1'!$E:$E,"ПУ бат",'Таблиця 1'!$L:$L,"Уражено"))</f>
        <v/>
      </c>
      <c r="M546">
        <f>IF($A546="","",COUNTIFS('Таблиця 1'!$B:$B,$A546,'Таблиця 1'!$E:$E,"ПУ бриг",'Таблиця 1'!$L:$L,"Уражено"))</f>
        <v/>
      </c>
      <c r="N546">
        <f>IF($A546="","",COUNTIFS('Таблиця 1'!$B:$B,$A546,'Таблиця 1'!$E:$E,"ПУ див",'Таблиця 1'!$L:$L,"Уражено"))</f>
        <v/>
      </c>
      <c r="O546">
        <f>IF($A546="","",COUNTIFS('Таблиця 1'!$B:$B,$A546,'Таблиця 1'!$E:$E,"обл. РЕБ",'Таблиця 1'!$L:$L,"Уражено"))</f>
        <v/>
      </c>
      <c r="P546">
        <f>IF($A546="","",COUNTIFS('Таблиця 1'!$B:$B,$A546,'Таблиця 1'!$E:$E,"пос РЕБ",'Таблиця 1'!$L:$L,"Уражено"))</f>
        <v/>
      </c>
      <c r="Q546">
        <f>IF($A546="","",COUNTIFS('Таблиця 1'!$B:$B,$A546,'Таблиця 1'!$E:$E,"група РЕР",'Таблиця 1'!$L:$L,"Уражено"))</f>
        <v/>
      </c>
      <c r="R546">
        <f>IF($A546="","",COUNTIFS('Таблиця 1'!$B:$B,$A546,'Таблиця 1'!$E:$E,"РЛС КББ",'Таблиця 1'!$L:$L,"Уражено"))</f>
        <v/>
      </c>
      <c r="S546">
        <f>IF($A546="","",COUNTIFS('Таблиця 1'!$B:$B,$A546,'Таблиця 1'!$E:$E,"Ретранслятор",'Таблиця 1'!$L:$L,"Уражено"))</f>
        <v/>
      </c>
      <c r="T546">
        <f>IF($A546="","",COUNTIFS('Таблиця 1'!$B:$B,$A546,'Таблиця 1'!$E:$E,"Вз.зв'язку",'Таблиця 1'!$L:$L,"Уражено"))</f>
        <v/>
      </c>
      <c r="U546">
        <f>IF($A546="","",COUNTIFS('Таблиця 1'!$B:$B,$A546,'Таблиця 1'!$E:$E,"ПММ",'Таблиця 1'!$L:$L,"Уражено"))</f>
        <v/>
      </c>
      <c r="V546">
        <f>IF($A546="","",COUNTIFS('Таблиця 1'!$B:$B,$A546,'Таблиця 1'!$E:$E,"ІФС",'Таблиця 1'!$L:$L,"Уражено"))</f>
        <v/>
      </c>
      <c r="W546">
        <f>IF($A546="","",COUNTIFS('Таблиця 1'!$B:$B,$A546,'Таблиця 1'!$E:$E,"Інфраструктура",'Таблиця 1'!$L:$L,"Уражено"))</f>
        <v/>
      </c>
      <c r="X546">
        <f>IF($A546="","",SUMIFS('Таблиця 1'!$K:$K,'Таблиця 1'!$B:$B,$A546))</f>
        <v/>
      </c>
    </row>
    <row r="547">
      <c r="A547" s="81">
        <f>IF(A546="","",IF(A546+1&gt;MAX('Таблиця 1'!$B:$B),"",A546+1))</f>
        <v/>
      </c>
      <c r="B547">
        <f>IF($A547="","",COUNTIFS('Таблиця 1'!$B:$B,$A547,'Таблиця 1'!$E:$E,"ЖС ВЗ",'Таблиця 1'!$L:$L,"Уражено"))</f>
        <v/>
      </c>
      <c r="C547">
        <f>IF($A547="","",COUNTIFS('Таблиця 1'!$B:$B,$A547,'Таблиця 1'!$E:$E,"Арт. Системи",'Таблиця 1'!$L:$L,"Уражено"))</f>
        <v/>
      </c>
      <c r="D547">
        <f>IF($A547="","",COUNTIFS('Таблиця 1'!$B:$B,$A547,'Таблиця 1'!$E:$E,"ОВТ",'Таблиця 1'!$L:$L,"Уражено"))</f>
        <v/>
      </c>
      <c r="E547">
        <f>IF($A547="","",COUNTIFS('Таблиця 1'!$B:$B,$A547,'Таблиця 1'!$E:$E,"ППО",'Таблиця 1'!$L:$L,"Уражено"))</f>
        <v/>
      </c>
      <c r="F547">
        <f>IF($A547="","",COUNTIFS('Таблиця 1'!$B:$B,$A547,'Таблиця 1'!$E:$E,"Рембаза",'Таблиця 1'!$L:$L,"Уражено"))</f>
        <v/>
      </c>
      <c r="G547">
        <f>IF($A547="","",COUNTIFS('Таблиця 1'!$B:$B,$A547,'Таблиця 1'!$E:$E,"Склад БК",'Таблиця 1'!$L:$L,"Уражено"))</f>
        <v/>
      </c>
      <c r="H547">
        <f>IF($A547="","",COUNTIFS('Таблиця 1'!$B:$B,$A547,'Таблиця 1'!$E:$E,"Склад ВТМ",'Таблиця 1'!$L:$L,"Уражено"))</f>
        <v/>
      </c>
      <c r="I547">
        <f>IF($A547="","",COUNTIFS('Таблиця 1'!$B:$B,$A547,'Таблиця 1'!$E:$E,"ПУ БпЛА",'Таблиця 1'!$L:$L,"Уражено"))</f>
        <v/>
      </c>
      <c r="J547">
        <f>IF($A547="","",COUNTIFS('Таблиця 1'!$B:$B,$A547,'Таблиця 1'!$E:$E,"СП",'Таблиця 1'!$L:$L,"Уражено"))</f>
        <v/>
      </c>
      <c r="K547">
        <f>IF($A547="","",COUNTIFS('Таблиця 1'!$B:$B,$A547,'Таблиця 1'!$E:$E,"КСП роти",'Таблиця 1'!$L:$L,"Уражено"))</f>
        <v/>
      </c>
      <c r="L547">
        <f>IF($A547="","",COUNTIFS('Таблиця 1'!$B:$B,$A547,'Таблиця 1'!$E:$E,"ПУ бат",'Таблиця 1'!$L:$L,"Уражено"))</f>
        <v/>
      </c>
      <c r="M547">
        <f>IF($A547="","",COUNTIFS('Таблиця 1'!$B:$B,$A547,'Таблиця 1'!$E:$E,"ПУ бриг",'Таблиця 1'!$L:$L,"Уражено"))</f>
        <v/>
      </c>
      <c r="N547">
        <f>IF($A547="","",COUNTIFS('Таблиця 1'!$B:$B,$A547,'Таблиця 1'!$E:$E,"ПУ див",'Таблиця 1'!$L:$L,"Уражено"))</f>
        <v/>
      </c>
      <c r="O547">
        <f>IF($A547="","",COUNTIFS('Таблиця 1'!$B:$B,$A547,'Таблиця 1'!$E:$E,"обл. РЕБ",'Таблиця 1'!$L:$L,"Уражено"))</f>
        <v/>
      </c>
      <c r="P547">
        <f>IF($A547="","",COUNTIFS('Таблиця 1'!$B:$B,$A547,'Таблиця 1'!$E:$E,"пос РЕБ",'Таблиця 1'!$L:$L,"Уражено"))</f>
        <v/>
      </c>
      <c r="Q547">
        <f>IF($A547="","",COUNTIFS('Таблиця 1'!$B:$B,$A547,'Таблиця 1'!$E:$E,"група РЕР",'Таблиця 1'!$L:$L,"Уражено"))</f>
        <v/>
      </c>
      <c r="R547">
        <f>IF($A547="","",COUNTIFS('Таблиця 1'!$B:$B,$A547,'Таблиця 1'!$E:$E,"РЛС КББ",'Таблиця 1'!$L:$L,"Уражено"))</f>
        <v/>
      </c>
      <c r="S547">
        <f>IF($A547="","",COUNTIFS('Таблиця 1'!$B:$B,$A547,'Таблиця 1'!$E:$E,"Ретранслятор",'Таблиця 1'!$L:$L,"Уражено"))</f>
        <v/>
      </c>
      <c r="T547">
        <f>IF($A547="","",COUNTIFS('Таблиця 1'!$B:$B,$A547,'Таблиця 1'!$E:$E,"Вз.зв'язку",'Таблиця 1'!$L:$L,"Уражено"))</f>
        <v/>
      </c>
      <c r="U547">
        <f>IF($A547="","",COUNTIFS('Таблиця 1'!$B:$B,$A547,'Таблиця 1'!$E:$E,"ПММ",'Таблиця 1'!$L:$L,"Уражено"))</f>
        <v/>
      </c>
      <c r="V547">
        <f>IF($A547="","",COUNTIFS('Таблиця 1'!$B:$B,$A547,'Таблиця 1'!$E:$E,"ІФС",'Таблиця 1'!$L:$L,"Уражено"))</f>
        <v/>
      </c>
      <c r="W547">
        <f>IF($A547="","",COUNTIFS('Таблиця 1'!$B:$B,$A547,'Таблиця 1'!$E:$E,"Інфраструктура",'Таблиця 1'!$L:$L,"Уражено"))</f>
        <v/>
      </c>
      <c r="X547">
        <f>IF($A547="","",SUMIFS('Таблиця 1'!$K:$K,'Таблиця 1'!$B:$B,$A547))</f>
        <v/>
      </c>
    </row>
    <row r="548">
      <c r="A548" s="81">
        <f>IF(A547="","",IF(A547+1&gt;MAX('Таблиця 1'!$B:$B),"",A547+1))</f>
        <v/>
      </c>
      <c r="B548">
        <f>IF($A548="","",COUNTIFS('Таблиця 1'!$B:$B,$A548,'Таблиця 1'!$E:$E,"ЖС ВЗ",'Таблиця 1'!$L:$L,"Уражено"))</f>
        <v/>
      </c>
      <c r="C548">
        <f>IF($A548="","",COUNTIFS('Таблиця 1'!$B:$B,$A548,'Таблиця 1'!$E:$E,"Арт. Системи",'Таблиця 1'!$L:$L,"Уражено"))</f>
        <v/>
      </c>
      <c r="D548">
        <f>IF($A548="","",COUNTIFS('Таблиця 1'!$B:$B,$A548,'Таблиця 1'!$E:$E,"ОВТ",'Таблиця 1'!$L:$L,"Уражено"))</f>
        <v/>
      </c>
      <c r="E548">
        <f>IF($A548="","",COUNTIFS('Таблиця 1'!$B:$B,$A548,'Таблиця 1'!$E:$E,"ППО",'Таблиця 1'!$L:$L,"Уражено"))</f>
        <v/>
      </c>
      <c r="F548">
        <f>IF($A548="","",COUNTIFS('Таблиця 1'!$B:$B,$A548,'Таблиця 1'!$E:$E,"Рембаза",'Таблиця 1'!$L:$L,"Уражено"))</f>
        <v/>
      </c>
      <c r="G548">
        <f>IF($A548="","",COUNTIFS('Таблиця 1'!$B:$B,$A548,'Таблиця 1'!$E:$E,"Склад БК",'Таблиця 1'!$L:$L,"Уражено"))</f>
        <v/>
      </c>
      <c r="H548">
        <f>IF($A548="","",COUNTIFS('Таблиця 1'!$B:$B,$A548,'Таблиця 1'!$E:$E,"Склад ВТМ",'Таблиця 1'!$L:$L,"Уражено"))</f>
        <v/>
      </c>
      <c r="I548">
        <f>IF($A548="","",COUNTIFS('Таблиця 1'!$B:$B,$A548,'Таблиця 1'!$E:$E,"ПУ БпЛА",'Таблиця 1'!$L:$L,"Уражено"))</f>
        <v/>
      </c>
      <c r="J548">
        <f>IF($A548="","",COUNTIFS('Таблиця 1'!$B:$B,$A548,'Таблиця 1'!$E:$E,"СП",'Таблиця 1'!$L:$L,"Уражено"))</f>
        <v/>
      </c>
      <c r="K548">
        <f>IF($A548="","",COUNTIFS('Таблиця 1'!$B:$B,$A548,'Таблиця 1'!$E:$E,"КСП роти",'Таблиця 1'!$L:$L,"Уражено"))</f>
        <v/>
      </c>
      <c r="L548">
        <f>IF($A548="","",COUNTIFS('Таблиця 1'!$B:$B,$A548,'Таблиця 1'!$E:$E,"ПУ бат",'Таблиця 1'!$L:$L,"Уражено"))</f>
        <v/>
      </c>
      <c r="M548">
        <f>IF($A548="","",COUNTIFS('Таблиця 1'!$B:$B,$A548,'Таблиця 1'!$E:$E,"ПУ бриг",'Таблиця 1'!$L:$L,"Уражено"))</f>
        <v/>
      </c>
      <c r="N548">
        <f>IF($A548="","",COUNTIFS('Таблиця 1'!$B:$B,$A548,'Таблиця 1'!$E:$E,"ПУ див",'Таблиця 1'!$L:$L,"Уражено"))</f>
        <v/>
      </c>
      <c r="O548">
        <f>IF($A548="","",COUNTIFS('Таблиця 1'!$B:$B,$A548,'Таблиця 1'!$E:$E,"обл. РЕБ",'Таблиця 1'!$L:$L,"Уражено"))</f>
        <v/>
      </c>
      <c r="P548">
        <f>IF($A548="","",COUNTIFS('Таблиця 1'!$B:$B,$A548,'Таблиця 1'!$E:$E,"пос РЕБ",'Таблиця 1'!$L:$L,"Уражено"))</f>
        <v/>
      </c>
      <c r="Q548">
        <f>IF($A548="","",COUNTIFS('Таблиця 1'!$B:$B,$A548,'Таблиця 1'!$E:$E,"група РЕР",'Таблиця 1'!$L:$L,"Уражено"))</f>
        <v/>
      </c>
      <c r="R548">
        <f>IF($A548="","",COUNTIFS('Таблиця 1'!$B:$B,$A548,'Таблиця 1'!$E:$E,"РЛС КББ",'Таблиця 1'!$L:$L,"Уражено"))</f>
        <v/>
      </c>
      <c r="S548">
        <f>IF($A548="","",COUNTIFS('Таблиця 1'!$B:$B,$A548,'Таблиця 1'!$E:$E,"Ретранслятор",'Таблиця 1'!$L:$L,"Уражено"))</f>
        <v/>
      </c>
      <c r="T548">
        <f>IF($A548="","",COUNTIFS('Таблиця 1'!$B:$B,$A548,'Таблиця 1'!$E:$E,"Вз.зв'язку",'Таблиця 1'!$L:$L,"Уражено"))</f>
        <v/>
      </c>
      <c r="U548">
        <f>IF($A548="","",COUNTIFS('Таблиця 1'!$B:$B,$A548,'Таблиця 1'!$E:$E,"ПММ",'Таблиця 1'!$L:$L,"Уражено"))</f>
        <v/>
      </c>
      <c r="V548">
        <f>IF($A548="","",COUNTIFS('Таблиця 1'!$B:$B,$A548,'Таблиця 1'!$E:$E,"ІФС",'Таблиця 1'!$L:$L,"Уражено"))</f>
        <v/>
      </c>
      <c r="W548">
        <f>IF($A548="","",COUNTIFS('Таблиця 1'!$B:$B,$A548,'Таблиця 1'!$E:$E,"Інфраструктура",'Таблиця 1'!$L:$L,"Уражено"))</f>
        <v/>
      </c>
      <c r="X548">
        <f>IF($A548="","",SUMIFS('Таблиця 1'!$K:$K,'Таблиця 1'!$B:$B,$A548))</f>
        <v/>
      </c>
    </row>
    <row r="549">
      <c r="A549" s="81">
        <f>IF(A548="","",IF(A548+1&gt;MAX('Таблиця 1'!$B:$B),"",A548+1))</f>
        <v/>
      </c>
      <c r="B549">
        <f>IF($A549="","",COUNTIFS('Таблиця 1'!$B:$B,$A549,'Таблиця 1'!$E:$E,"ЖС ВЗ",'Таблиця 1'!$L:$L,"Уражено"))</f>
        <v/>
      </c>
      <c r="C549">
        <f>IF($A549="","",COUNTIFS('Таблиця 1'!$B:$B,$A549,'Таблиця 1'!$E:$E,"Арт. Системи",'Таблиця 1'!$L:$L,"Уражено"))</f>
        <v/>
      </c>
      <c r="D549">
        <f>IF($A549="","",COUNTIFS('Таблиця 1'!$B:$B,$A549,'Таблиця 1'!$E:$E,"ОВТ",'Таблиця 1'!$L:$L,"Уражено"))</f>
        <v/>
      </c>
      <c r="E549">
        <f>IF($A549="","",COUNTIFS('Таблиця 1'!$B:$B,$A549,'Таблиця 1'!$E:$E,"ППО",'Таблиця 1'!$L:$L,"Уражено"))</f>
        <v/>
      </c>
      <c r="F549">
        <f>IF($A549="","",COUNTIFS('Таблиця 1'!$B:$B,$A549,'Таблиця 1'!$E:$E,"Рембаза",'Таблиця 1'!$L:$L,"Уражено"))</f>
        <v/>
      </c>
      <c r="G549">
        <f>IF($A549="","",COUNTIFS('Таблиця 1'!$B:$B,$A549,'Таблиця 1'!$E:$E,"Склад БК",'Таблиця 1'!$L:$L,"Уражено"))</f>
        <v/>
      </c>
      <c r="H549">
        <f>IF($A549="","",COUNTIFS('Таблиця 1'!$B:$B,$A549,'Таблиця 1'!$E:$E,"Склад ВТМ",'Таблиця 1'!$L:$L,"Уражено"))</f>
        <v/>
      </c>
      <c r="I549">
        <f>IF($A549="","",COUNTIFS('Таблиця 1'!$B:$B,$A549,'Таблиця 1'!$E:$E,"ПУ БпЛА",'Таблиця 1'!$L:$L,"Уражено"))</f>
        <v/>
      </c>
      <c r="J549">
        <f>IF($A549="","",COUNTIFS('Таблиця 1'!$B:$B,$A549,'Таблиця 1'!$E:$E,"СП",'Таблиця 1'!$L:$L,"Уражено"))</f>
        <v/>
      </c>
      <c r="K549">
        <f>IF($A549="","",COUNTIFS('Таблиця 1'!$B:$B,$A549,'Таблиця 1'!$E:$E,"КСП роти",'Таблиця 1'!$L:$L,"Уражено"))</f>
        <v/>
      </c>
      <c r="L549">
        <f>IF($A549="","",COUNTIFS('Таблиця 1'!$B:$B,$A549,'Таблиця 1'!$E:$E,"ПУ бат",'Таблиця 1'!$L:$L,"Уражено"))</f>
        <v/>
      </c>
      <c r="M549">
        <f>IF($A549="","",COUNTIFS('Таблиця 1'!$B:$B,$A549,'Таблиця 1'!$E:$E,"ПУ бриг",'Таблиця 1'!$L:$L,"Уражено"))</f>
        <v/>
      </c>
      <c r="N549">
        <f>IF($A549="","",COUNTIFS('Таблиця 1'!$B:$B,$A549,'Таблиця 1'!$E:$E,"ПУ див",'Таблиця 1'!$L:$L,"Уражено"))</f>
        <v/>
      </c>
      <c r="O549">
        <f>IF($A549="","",COUNTIFS('Таблиця 1'!$B:$B,$A549,'Таблиця 1'!$E:$E,"обл. РЕБ",'Таблиця 1'!$L:$L,"Уражено"))</f>
        <v/>
      </c>
      <c r="P549">
        <f>IF($A549="","",COUNTIFS('Таблиця 1'!$B:$B,$A549,'Таблиця 1'!$E:$E,"пос РЕБ",'Таблиця 1'!$L:$L,"Уражено"))</f>
        <v/>
      </c>
      <c r="Q549">
        <f>IF($A549="","",COUNTIFS('Таблиця 1'!$B:$B,$A549,'Таблиця 1'!$E:$E,"група РЕР",'Таблиця 1'!$L:$L,"Уражено"))</f>
        <v/>
      </c>
      <c r="R549">
        <f>IF($A549="","",COUNTIFS('Таблиця 1'!$B:$B,$A549,'Таблиця 1'!$E:$E,"РЛС КББ",'Таблиця 1'!$L:$L,"Уражено"))</f>
        <v/>
      </c>
      <c r="S549">
        <f>IF($A549="","",COUNTIFS('Таблиця 1'!$B:$B,$A549,'Таблиця 1'!$E:$E,"Ретранслятор",'Таблиця 1'!$L:$L,"Уражено"))</f>
        <v/>
      </c>
      <c r="T549">
        <f>IF($A549="","",COUNTIFS('Таблиця 1'!$B:$B,$A549,'Таблиця 1'!$E:$E,"Вз.зв'язку",'Таблиця 1'!$L:$L,"Уражено"))</f>
        <v/>
      </c>
      <c r="U549">
        <f>IF($A549="","",COUNTIFS('Таблиця 1'!$B:$B,$A549,'Таблиця 1'!$E:$E,"ПММ",'Таблиця 1'!$L:$L,"Уражено"))</f>
        <v/>
      </c>
      <c r="V549">
        <f>IF($A549="","",COUNTIFS('Таблиця 1'!$B:$B,$A549,'Таблиця 1'!$E:$E,"ІФС",'Таблиця 1'!$L:$L,"Уражено"))</f>
        <v/>
      </c>
      <c r="W549">
        <f>IF($A549="","",COUNTIFS('Таблиця 1'!$B:$B,$A549,'Таблиця 1'!$E:$E,"Інфраструктура",'Таблиця 1'!$L:$L,"Уражено"))</f>
        <v/>
      </c>
      <c r="X549">
        <f>IF($A549="","",SUMIFS('Таблиця 1'!$K:$K,'Таблиця 1'!$B:$B,$A549))</f>
        <v/>
      </c>
    </row>
    <row r="550">
      <c r="A550" s="81">
        <f>IF(A549="","",IF(A549+1&gt;MAX('Таблиця 1'!$B:$B),"",A549+1))</f>
        <v/>
      </c>
      <c r="B550">
        <f>IF($A550="","",COUNTIFS('Таблиця 1'!$B:$B,$A550,'Таблиця 1'!$E:$E,"ЖС ВЗ",'Таблиця 1'!$L:$L,"Уражено"))</f>
        <v/>
      </c>
      <c r="C550">
        <f>IF($A550="","",COUNTIFS('Таблиця 1'!$B:$B,$A550,'Таблиця 1'!$E:$E,"Арт. Системи",'Таблиця 1'!$L:$L,"Уражено"))</f>
        <v/>
      </c>
      <c r="D550">
        <f>IF($A550="","",COUNTIFS('Таблиця 1'!$B:$B,$A550,'Таблиця 1'!$E:$E,"ОВТ",'Таблиця 1'!$L:$L,"Уражено"))</f>
        <v/>
      </c>
      <c r="E550">
        <f>IF($A550="","",COUNTIFS('Таблиця 1'!$B:$B,$A550,'Таблиця 1'!$E:$E,"ППО",'Таблиця 1'!$L:$L,"Уражено"))</f>
        <v/>
      </c>
      <c r="F550">
        <f>IF($A550="","",COUNTIFS('Таблиця 1'!$B:$B,$A550,'Таблиця 1'!$E:$E,"Рембаза",'Таблиця 1'!$L:$L,"Уражено"))</f>
        <v/>
      </c>
      <c r="G550">
        <f>IF($A550="","",COUNTIFS('Таблиця 1'!$B:$B,$A550,'Таблиця 1'!$E:$E,"Склад БК",'Таблиця 1'!$L:$L,"Уражено"))</f>
        <v/>
      </c>
      <c r="H550">
        <f>IF($A550="","",COUNTIFS('Таблиця 1'!$B:$B,$A550,'Таблиця 1'!$E:$E,"Склад ВТМ",'Таблиця 1'!$L:$L,"Уражено"))</f>
        <v/>
      </c>
      <c r="I550">
        <f>IF($A550="","",COUNTIFS('Таблиця 1'!$B:$B,$A550,'Таблиця 1'!$E:$E,"ПУ БпЛА",'Таблиця 1'!$L:$L,"Уражено"))</f>
        <v/>
      </c>
      <c r="J550">
        <f>IF($A550="","",COUNTIFS('Таблиця 1'!$B:$B,$A550,'Таблиця 1'!$E:$E,"СП",'Таблиця 1'!$L:$L,"Уражено"))</f>
        <v/>
      </c>
      <c r="K550">
        <f>IF($A550="","",COUNTIFS('Таблиця 1'!$B:$B,$A550,'Таблиця 1'!$E:$E,"КСП роти",'Таблиця 1'!$L:$L,"Уражено"))</f>
        <v/>
      </c>
      <c r="L550">
        <f>IF($A550="","",COUNTIFS('Таблиця 1'!$B:$B,$A550,'Таблиця 1'!$E:$E,"ПУ бат",'Таблиця 1'!$L:$L,"Уражено"))</f>
        <v/>
      </c>
      <c r="M550">
        <f>IF($A550="","",COUNTIFS('Таблиця 1'!$B:$B,$A550,'Таблиця 1'!$E:$E,"ПУ бриг",'Таблиця 1'!$L:$L,"Уражено"))</f>
        <v/>
      </c>
      <c r="N550">
        <f>IF($A550="","",COUNTIFS('Таблиця 1'!$B:$B,$A550,'Таблиця 1'!$E:$E,"ПУ див",'Таблиця 1'!$L:$L,"Уражено"))</f>
        <v/>
      </c>
      <c r="O550">
        <f>IF($A550="","",COUNTIFS('Таблиця 1'!$B:$B,$A550,'Таблиця 1'!$E:$E,"обл. РЕБ",'Таблиця 1'!$L:$L,"Уражено"))</f>
        <v/>
      </c>
      <c r="P550">
        <f>IF($A550="","",COUNTIFS('Таблиця 1'!$B:$B,$A550,'Таблиця 1'!$E:$E,"пос РЕБ",'Таблиця 1'!$L:$L,"Уражено"))</f>
        <v/>
      </c>
      <c r="Q550">
        <f>IF($A550="","",COUNTIFS('Таблиця 1'!$B:$B,$A550,'Таблиця 1'!$E:$E,"група РЕР",'Таблиця 1'!$L:$L,"Уражено"))</f>
        <v/>
      </c>
      <c r="R550">
        <f>IF($A550="","",COUNTIFS('Таблиця 1'!$B:$B,$A550,'Таблиця 1'!$E:$E,"РЛС КББ",'Таблиця 1'!$L:$L,"Уражено"))</f>
        <v/>
      </c>
      <c r="S550">
        <f>IF($A550="","",COUNTIFS('Таблиця 1'!$B:$B,$A550,'Таблиця 1'!$E:$E,"Ретранслятор",'Таблиця 1'!$L:$L,"Уражено"))</f>
        <v/>
      </c>
      <c r="T550">
        <f>IF($A550="","",COUNTIFS('Таблиця 1'!$B:$B,$A550,'Таблиця 1'!$E:$E,"Вз.зв'язку",'Таблиця 1'!$L:$L,"Уражено"))</f>
        <v/>
      </c>
      <c r="U550">
        <f>IF($A550="","",COUNTIFS('Таблиця 1'!$B:$B,$A550,'Таблиця 1'!$E:$E,"ПММ",'Таблиця 1'!$L:$L,"Уражено"))</f>
        <v/>
      </c>
      <c r="V550">
        <f>IF($A550="","",COUNTIFS('Таблиця 1'!$B:$B,$A550,'Таблиця 1'!$E:$E,"ІФС",'Таблиця 1'!$L:$L,"Уражено"))</f>
        <v/>
      </c>
      <c r="W550">
        <f>IF($A550="","",COUNTIFS('Таблиця 1'!$B:$B,$A550,'Таблиця 1'!$E:$E,"Інфраструктура",'Таблиця 1'!$L:$L,"Уражено"))</f>
        <v/>
      </c>
      <c r="X550">
        <f>IF($A550="","",SUMIFS('Таблиця 1'!$K:$K,'Таблиця 1'!$B:$B,$A550))</f>
        <v/>
      </c>
    </row>
    <row r="551">
      <c r="A551" s="81">
        <f>IF(A550="","",IF(A550+1&gt;MAX('Таблиця 1'!$B:$B),"",A550+1))</f>
        <v/>
      </c>
      <c r="B551">
        <f>IF($A551="","",COUNTIFS('Таблиця 1'!$B:$B,$A551,'Таблиця 1'!$E:$E,"ЖС ВЗ",'Таблиця 1'!$L:$L,"Уражено"))</f>
        <v/>
      </c>
      <c r="C551">
        <f>IF($A551="","",COUNTIFS('Таблиця 1'!$B:$B,$A551,'Таблиця 1'!$E:$E,"Арт. Системи",'Таблиця 1'!$L:$L,"Уражено"))</f>
        <v/>
      </c>
      <c r="D551">
        <f>IF($A551="","",COUNTIFS('Таблиця 1'!$B:$B,$A551,'Таблиця 1'!$E:$E,"ОВТ",'Таблиця 1'!$L:$L,"Уражено"))</f>
        <v/>
      </c>
      <c r="E551">
        <f>IF($A551="","",COUNTIFS('Таблиця 1'!$B:$B,$A551,'Таблиця 1'!$E:$E,"ППО",'Таблиця 1'!$L:$L,"Уражено"))</f>
        <v/>
      </c>
      <c r="F551">
        <f>IF($A551="","",COUNTIFS('Таблиця 1'!$B:$B,$A551,'Таблиця 1'!$E:$E,"Рембаза",'Таблиця 1'!$L:$L,"Уражено"))</f>
        <v/>
      </c>
      <c r="G551">
        <f>IF($A551="","",COUNTIFS('Таблиця 1'!$B:$B,$A551,'Таблиця 1'!$E:$E,"Склад БК",'Таблиця 1'!$L:$L,"Уражено"))</f>
        <v/>
      </c>
      <c r="H551">
        <f>IF($A551="","",COUNTIFS('Таблиця 1'!$B:$B,$A551,'Таблиця 1'!$E:$E,"Склад ВТМ",'Таблиця 1'!$L:$L,"Уражено"))</f>
        <v/>
      </c>
      <c r="I551">
        <f>IF($A551="","",COUNTIFS('Таблиця 1'!$B:$B,$A551,'Таблиця 1'!$E:$E,"ПУ БпЛА",'Таблиця 1'!$L:$L,"Уражено"))</f>
        <v/>
      </c>
      <c r="J551">
        <f>IF($A551="","",COUNTIFS('Таблиця 1'!$B:$B,$A551,'Таблиця 1'!$E:$E,"СП",'Таблиця 1'!$L:$L,"Уражено"))</f>
        <v/>
      </c>
      <c r="K551">
        <f>IF($A551="","",COUNTIFS('Таблиця 1'!$B:$B,$A551,'Таблиця 1'!$E:$E,"КСП роти",'Таблиця 1'!$L:$L,"Уражено"))</f>
        <v/>
      </c>
      <c r="L551">
        <f>IF($A551="","",COUNTIFS('Таблиця 1'!$B:$B,$A551,'Таблиця 1'!$E:$E,"ПУ бат",'Таблиця 1'!$L:$L,"Уражено"))</f>
        <v/>
      </c>
      <c r="M551">
        <f>IF($A551="","",COUNTIFS('Таблиця 1'!$B:$B,$A551,'Таблиця 1'!$E:$E,"ПУ бриг",'Таблиця 1'!$L:$L,"Уражено"))</f>
        <v/>
      </c>
      <c r="N551">
        <f>IF($A551="","",COUNTIFS('Таблиця 1'!$B:$B,$A551,'Таблиця 1'!$E:$E,"ПУ див",'Таблиця 1'!$L:$L,"Уражено"))</f>
        <v/>
      </c>
      <c r="O551">
        <f>IF($A551="","",COUNTIFS('Таблиця 1'!$B:$B,$A551,'Таблиця 1'!$E:$E,"обл. РЕБ",'Таблиця 1'!$L:$L,"Уражено"))</f>
        <v/>
      </c>
      <c r="P551">
        <f>IF($A551="","",COUNTIFS('Таблиця 1'!$B:$B,$A551,'Таблиця 1'!$E:$E,"пос РЕБ",'Таблиця 1'!$L:$L,"Уражено"))</f>
        <v/>
      </c>
      <c r="Q551">
        <f>IF($A551="","",COUNTIFS('Таблиця 1'!$B:$B,$A551,'Таблиця 1'!$E:$E,"група РЕР",'Таблиця 1'!$L:$L,"Уражено"))</f>
        <v/>
      </c>
      <c r="R551">
        <f>IF($A551="","",COUNTIFS('Таблиця 1'!$B:$B,$A551,'Таблиця 1'!$E:$E,"РЛС КББ",'Таблиця 1'!$L:$L,"Уражено"))</f>
        <v/>
      </c>
      <c r="S551">
        <f>IF($A551="","",COUNTIFS('Таблиця 1'!$B:$B,$A551,'Таблиця 1'!$E:$E,"Ретранслятор",'Таблиця 1'!$L:$L,"Уражено"))</f>
        <v/>
      </c>
      <c r="T551">
        <f>IF($A551="","",COUNTIFS('Таблиця 1'!$B:$B,$A551,'Таблиця 1'!$E:$E,"Вз.зв'язку",'Таблиця 1'!$L:$L,"Уражено"))</f>
        <v/>
      </c>
      <c r="U551">
        <f>IF($A551="","",COUNTIFS('Таблиця 1'!$B:$B,$A551,'Таблиця 1'!$E:$E,"ПММ",'Таблиця 1'!$L:$L,"Уражено"))</f>
        <v/>
      </c>
      <c r="V551">
        <f>IF($A551="","",COUNTIFS('Таблиця 1'!$B:$B,$A551,'Таблиця 1'!$E:$E,"ІФС",'Таблиця 1'!$L:$L,"Уражено"))</f>
        <v/>
      </c>
      <c r="W551">
        <f>IF($A551="","",COUNTIFS('Таблиця 1'!$B:$B,$A551,'Таблиця 1'!$E:$E,"Інфраструктура",'Таблиця 1'!$L:$L,"Уражено"))</f>
        <v/>
      </c>
      <c r="X551">
        <f>IF($A551="","",SUMIFS('Таблиця 1'!$K:$K,'Таблиця 1'!$B:$B,$A551))</f>
        <v/>
      </c>
    </row>
    <row r="552">
      <c r="A552" s="81">
        <f>IF(A551="","",IF(A551+1&gt;MAX('Таблиця 1'!$B:$B),"",A551+1))</f>
        <v/>
      </c>
      <c r="B552">
        <f>IF($A552="","",COUNTIFS('Таблиця 1'!$B:$B,$A552,'Таблиця 1'!$E:$E,"ЖС ВЗ",'Таблиця 1'!$L:$L,"Уражено"))</f>
        <v/>
      </c>
      <c r="C552">
        <f>IF($A552="","",COUNTIFS('Таблиця 1'!$B:$B,$A552,'Таблиця 1'!$E:$E,"Арт. Системи",'Таблиця 1'!$L:$L,"Уражено"))</f>
        <v/>
      </c>
      <c r="D552">
        <f>IF($A552="","",COUNTIFS('Таблиця 1'!$B:$B,$A552,'Таблиця 1'!$E:$E,"ОВТ",'Таблиця 1'!$L:$L,"Уражено"))</f>
        <v/>
      </c>
      <c r="E552">
        <f>IF($A552="","",COUNTIFS('Таблиця 1'!$B:$B,$A552,'Таблиця 1'!$E:$E,"ППО",'Таблиця 1'!$L:$L,"Уражено"))</f>
        <v/>
      </c>
      <c r="F552">
        <f>IF($A552="","",COUNTIFS('Таблиця 1'!$B:$B,$A552,'Таблиця 1'!$E:$E,"Рембаза",'Таблиця 1'!$L:$L,"Уражено"))</f>
        <v/>
      </c>
      <c r="G552">
        <f>IF($A552="","",COUNTIFS('Таблиця 1'!$B:$B,$A552,'Таблиця 1'!$E:$E,"Склад БК",'Таблиця 1'!$L:$L,"Уражено"))</f>
        <v/>
      </c>
      <c r="H552">
        <f>IF($A552="","",COUNTIFS('Таблиця 1'!$B:$B,$A552,'Таблиця 1'!$E:$E,"Склад ВТМ",'Таблиця 1'!$L:$L,"Уражено"))</f>
        <v/>
      </c>
      <c r="I552">
        <f>IF($A552="","",COUNTIFS('Таблиця 1'!$B:$B,$A552,'Таблиця 1'!$E:$E,"ПУ БпЛА",'Таблиця 1'!$L:$L,"Уражено"))</f>
        <v/>
      </c>
      <c r="J552">
        <f>IF($A552="","",COUNTIFS('Таблиця 1'!$B:$B,$A552,'Таблиця 1'!$E:$E,"СП",'Таблиця 1'!$L:$L,"Уражено"))</f>
        <v/>
      </c>
      <c r="K552">
        <f>IF($A552="","",COUNTIFS('Таблиця 1'!$B:$B,$A552,'Таблиця 1'!$E:$E,"КСП роти",'Таблиця 1'!$L:$L,"Уражено"))</f>
        <v/>
      </c>
      <c r="L552">
        <f>IF($A552="","",COUNTIFS('Таблиця 1'!$B:$B,$A552,'Таблиця 1'!$E:$E,"ПУ бат",'Таблиця 1'!$L:$L,"Уражено"))</f>
        <v/>
      </c>
      <c r="M552">
        <f>IF($A552="","",COUNTIFS('Таблиця 1'!$B:$B,$A552,'Таблиця 1'!$E:$E,"ПУ бриг",'Таблиця 1'!$L:$L,"Уражено"))</f>
        <v/>
      </c>
      <c r="N552">
        <f>IF($A552="","",COUNTIFS('Таблиця 1'!$B:$B,$A552,'Таблиця 1'!$E:$E,"ПУ див",'Таблиця 1'!$L:$L,"Уражено"))</f>
        <v/>
      </c>
      <c r="O552">
        <f>IF($A552="","",COUNTIFS('Таблиця 1'!$B:$B,$A552,'Таблиця 1'!$E:$E,"обл. РЕБ",'Таблиця 1'!$L:$L,"Уражено"))</f>
        <v/>
      </c>
      <c r="P552">
        <f>IF($A552="","",COUNTIFS('Таблиця 1'!$B:$B,$A552,'Таблиця 1'!$E:$E,"пос РЕБ",'Таблиця 1'!$L:$L,"Уражено"))</f>
        <v/>
      </c>
      <c r="Q552">
        <f>IF($A552="","",COUNTIFS('Таблиця 1'!$B:$B,$A552,'Таблиця 1'!$E:$E,"група РЕР",'Таблиця 1'!$L:$L,"Уражено"))</f>
        <v/>
      </c>
      <c r="R552">
        <f>IF($A552="","",COUNTIFS('Таблиця 1'!$B:$B,$A552,'Таблиця 1'!$E:$E,"РЛС КББ",'Таблиця 1'!$L:$L,"Уражено"))</f>
        <v/>
      </c>
      <c r="S552">
        <f>IF($A552="","",COUNTIFS('Таблиця 1'!$B:$B,$A552,'Таблиця 1'!$E:$E,"Ретранслятор",'Таблиця 1'!$L:$L,"Уражено"))</f>
        <v/>
      </c>
      <c r="T552">
        <f>IF($A552="","",COUNTIFS('Таблиця 1'!$B:$B,$A552,'Таблиця 1'!$E:$E,"Вз.зв'язку",'Таблиця 1'!$L:$L,"Уражено"))</f>
        <v/>
      </c>
      <c r="U552">
        <f>IF($A552="","",COUNTIFS('Таблиця 1'!$B:$B,$A552,'Таблиця 1'!$E:$E,"ПММ",'Таблиця 1'!$L:$L,"Уражено"))</f>
        <v/>
      </c>
      <c r="V552">
        <f>IF($A552="","",COUNTIFS('Таблиця 1'!$B:$B,$A552,'Таблиця 1'!$E:$E,"ІФС",'Таблиця 1'!$L:$L,"Уражено"))</f>
        <v/>
      </c>
      <c r="W552">
        <f>IF($A552="","",COUNTIFS('Таблиця 1'!$B:$B,$A552,'Таблиця 1'!$E:$E,"Інфраструктура",'Таблиця 1'!$L:$L,"Уражено"))</f>
        <v/>
      </c>
      <c r="X552">
        <f>IF($A552="","",SUMIFS('Таблиця 1'!$K:$K,'Таблиця 1'!$B:$B,$A552))</f>
        <v/>
      </c>
    </row>
    <row r="553">
      <c r="A553" s="81">
        <f>IF(A552="","",IF(A552+1&gt;MAX('Таблиця 1'!$B:$B),"",A552+1))</f>
        <v/>
      </c>
      <c r="B553">
        <f>IF($A553="","",COUNTIFS('Таблиця 1'!$B:$B,$A553,'Таблиця 1'!$E:$E,"ЖС ВЗ",'Таблиця 1'!$L:$L,"Уражено"))</f>
        <v/>
      </c>
      <c r="C553">
        <f>IF($A553="","",COUNTIFS('Таблиця 1'!$B:$B,$A553,'Таблиця 1'!$E:$E,"Арт. Системи",'Таблиця 1'!$L:$L,"Уражено"))</f>
        <v/>
      </c>
      <c r="D553">
        <f>IF($A553="","",COUNTIFS('Таблиця 1'!$B:$B,$A553,'Таблиця 1'!$E:$E,"ОВТ",'Таблиця 1'!$L:$L,"Уражено"))</f>
        <v/>
      </c>
      <c r="E553">
        <f>IF($A553="","",COUNTIFS('Таблиця 1'!$B:$B,$A553,'Таблиця 1'!$E:$E,"ППО",'Таблиця 1'!$L:$L,"Уражено"))</f>
        <v/>
      </c>
      <c r="F553">
        <f>IF($A553="","",COUNTIFS('Таблиця 1'!$B:$B,$A553,'Таблиця 1'!$E:$E,"Рембаза",'Таблиця 1'!$L:$L,"Уражено"))</f>
        <v/>
      </c>
      <c r="G553">
        <f>IF($A553="","",COUNTIFS('Таблиця 1'!$B:$B,$A553,'Таблиця 1'!$E:$E,"Склад БК",'Таблиця 1'!$L:$L,"Уражено"))</f>
        <v/>
      </c>
      <c r="H553">
        <f>IF($A553="","",COUNTIFS('Таблиця 1'!$B:$B,$A553,'Таблиця 1'!$E:$E,"Склад ВТМ",'Таблиця 1'!$L:$L,"Уражено"))</f>
        <v/>
      </c>
      <c r="I553">
        <f>IF($A553="","",COUNTIFS('Таблиця 1'!$B:$B,$A553,'Таблиця 1'!$E:$E,"ПУ БпЛА",'Таблиця 1'!$L:$L,"Уражено"))</f>
        <v/>
      </c>
      <c r="J553">
        <f>IF($A553="","",COUNTIFS('Таблиця 1'!$B:$B,$A553,'Таблиця 1'!$E:$E,"СП",'Таблиця 1'!$L:$L,"Уражено"))</f>
        <v/>
      </c>
      <c r="K553">
        <f>IF($A553="","",COUNTIFS('Таблиця 1'!$B:$B,$A553,'Таблиця 1'!$E:$E,"КСП роти",'Таблиця 1'!$L:$L,"Уражено"))</f>
        <v/>
      </c>
      <c r="L553">
        <f>IF($A553="","",COUNTIFS('Таблиця 1'!$B:$B,$A553,'Таблиця 1'!$E:$E,"ПУ бат",'Таблиця 1'!$L:$L,"Уражено"))</f>
        <v/>
      </c>
      <c r="M553">
        <f>IF($A553="","",COUNTIFS('Таблиця 1'!$B:$B,$A553,'Таблиця 1'!$E:$E,"ПУ бриг",'Таблиця 1'!$L:$L,"Уражено"))</f>
        <v/>
      </c>
      <c r="N553">
        <f>IF($A553="","",COUNTIFS('Таблиця 1'!$B:$B,$A553,'Таблиця 1'!$E:$E,"ПУ див",'Таблиця 1'!$L:$L,"Уражено"))</f>
        <v/>
      </c>
      <c r="O553">
        <f>IF($A553="","",COUNTIFS('Таблиця 1'!$B:$B,$A553,'Таблиця 1'!$E:$E,"обл. РЕБ",'Таблиця 1'!$L:$L,"Уражено"))</f>
        <v/>
      </c>
      <c r="P553">
        <f>IF($A553="","",COUNTIFS('Таблиця 1'!$B:$B,$A553,'Таблиця 1'!$E:$E,"пос РЕБ",'Таблиця 1'!$L:$L,"Уражено"))</f>
        <v/>
      </c>
      <c r="Q553">
        <f>IF($A553="","",COUNTIFS('Таблиця 1'!$B:$B,$A553,'Таблиця 1'!$E:$E,"група РЕР",'Таблиця 1'!$L:$L,"Уражено"))</f>
        <v/>
      </c>
      <c r="R553">
        <f>IF($A553="","",COUNTIFS('Таблиця 1'!$B:$B,$A553,'Таблиця 1'!$E:$E,"РЛС КББ",'Таблиця 1'!$L:$L,"Уражено"))</f>
        <v/>
      </c>
      <c r="S553">
        <f>IF($A553="","",COUNTIFS('Таблиця 1'!$B:$B,$A553,'Таблиця 1'!$E:$E,"Ретранслятор",'Таблиця 1'!$L:$L,"Уражено"))</f>
        <v/>
      </c>
      <c r="T553">
        <f>IF($A553="","",COUNTIFS('Таблиця 1'!$B:$B,$A553,'Таблиця 1'!$E:$E,"Вз.зв'язку",'Таблиця 1'!$L:$L,"Уражено"))</f>
        <v/>
      </c>
      <c r="U553">
        <f>IF($A553="","",COUNTIFS('Таблиця 1'!$B:$B,$A553,'Таблиця 1'!$E:$E,"ПММ",'Таблиця 1'!$L:$L,"Уражено"))</f>
        <v/>
      </c>
      <c r="V553">
        <f>IF($A553="","",COUNTIFS('Таблиця 1'!$B:$B,$A553,'Таблиця 1'!$E:$E,"ІФС",'Таблиця 1'!$L:$L,"Уражено"))</f>
        <v/>
      </c>
      <c r="W553">
        <f>IF($A553="","",COUNTIFS('Таблиця 1'!$B:$B,$A553,'Таблиця 1'!$E:$E,"Інфраструктура",'Таблиця 1'!$L:$L,"Уражено"))</f>
        <v/>
      </c>
      <c r="X553">
        <f>IF($A553="","",SUMIFS('Таблиця 1'!$K:$K,'Таблиця 1'!$B:$B,$A553))</f>
        <v/>
      </c>
    </row>
    <row r="554">
      <c r="A554" s="81">
        <f>IF(A553="","",IF(A553+1&gt;MAX('Таблиця 1'!$B:$B),"",A553+1))</f>
        <v/>
      </c>
      <c r="B554">
        <f>IF($A554="","",COUNTIFS('Таблиця 1'!$B:$B,$A554,'Таблиця 1'!$E:$E,"ЖС ВЗ",'Таблиця 1'!$L:$L,"Уражено"))</f>
        <v/>
      </c>
      <c r="C554">
        <f>IF($A554="","",COUNTIFS('Таблиця 1'!$B:$B,$A554,'Таблиця 1'!$E:$E,"Арт. Системи",'Таблиця 1'!$L:$L,"Уражено"))</f>
        <v/>
      </c>
      <c r="D554">
        <f>IF($A554="","",COUNTIFS('Таблиця 1'!$B:$B,$A554,'Таблиця 1'!$E:$E,"ОВТ",'Таблиця 1'!$L:$L,"Уражено"))</f>
        <v/>
      </c>
      <c r="E554">
        <f>IF($A554="","",COUNTIFS('Таблиця 1'!$B:$B,$A554,'Таблиця 1'!$E:$E,"ППО",'Таблиця 1'!$L:$L,"Уражено"))</f>
        <v/>
      </c>
      <c r="F554">
        <f>IF($A554="","",COUNTIFS('Таблиця 1'!$B:$B,$A554,'Таблиця 1'!$E:$E,"Рембаза",'Таблиця 1'!$L:$L,"Уражено"))</f>
        <v/>
      </c>
      <c r="G554">
        <f>IF($A554="","",COUNTIFS('Таблиця 1'!$B:$B,$A554,'Таблиця 1'!$E:$E,"Склад БК",'Таблиця 1'!$L:$L,"Уражено"))</f>
        <v/>
      </c>
      <c r="H554">
        <f>IF($A554="","",COUNTIFS('Таблиця 1'!$B:$B,$A554,'Таблиця 1'!$E:$E,"Склад ВТМ",'Таблиця 1'!$L:$L,"Уражено"))</f>
        <v/>
      </c>
      <c r="I554">
        <f>IF($A554="","",COUNTIFS('Таблиця 1'!$B:$B,$A554,'Таблиця 1'!$E:$E,"ПУ БпЛА",'Таблиця 1'!$L:$L,"Уражено"))</f>
        <v/>
      </c>
      <c r="J554">
        <f>IF($A554="","",COUNTIFS('Таблиця 1'!$B:$B,$A554,'Таблиця 1'!$E:$E,"СП",'Таблиця 1'!$L:$L,"Уражено"))</f>
        <v/>
      </c>
      <c r="K554">
        <f>IF($A554="","",COUNTIFS('Таблиця 1'!$B:$B,$A554,'Таблиця 1'!$E:$E,"КСП роти",'Таблиця 1'!$L:$L,"Уражено"))</f>
        <v/>
      </c>
      <c r="L554">
        <f>IF($A554="","",COUNTIFS('Таблиця 1'!$B:$B,$A554,'Таблиця 1'!$E:$E,"ПУ бат",'Таблиця 1'!$L:$L,"Уражено"))</f>
        <v/>
      </c>
      <c r="M554">
        <f>IF($A554="","",COUNTIFS('Таблиця 1'!$B:$B,$A554,'Таблиця 1'!$E:$E,"ПУ бриг",'Таблиця 1'!$L:$L,"Уражено"))</f>
        <v/>
      </c>
      <c r="N554">
        <f>IF($A554="","",COUNTIFS('Таблиця 1'!$B:$B,$A554,'Таблиця 1'!$E:$E,"ПУ див",'Таблиця 1'!$L:$L,"Уражено"))</f>
        <v/>
      </c>
      <c r="O554">
        <f>IF($A554="","",COUNTIFS('Таблиця 1'!$B:$B,$A554,'Таблиця 1'!$E:$E,"обл. РЕБ",'Таблиця 1'!$L:$L,"Уражено"))</f>
        <v/>
      </c>
      <c r="P554">
        <f>IF($A554="","",COUNTIFS('Таблиця 1'!$B:$B,$A554,'Таблиця 1'!$E:$E,"пос РЕБ",'Таблиця 1'!$L:$L,"Уражено"))</f>
        <v/>
      </c>
      <c r="Q554">
        <f>IF($A554="","",COUNTIFS('Таблиця 1'!$B:$B,$A554,'Таблиця 1'!$E:$E,"група РЕР",'Таблиця 1'!$L:$L,"Уражено"))</f>
        <v/>
      </c>
      <c r="R554">
        <f>IF($A554="","",COUNTIFS('Таблиця 1'!$B:$B,$A554,'Таблиця 1'!$E:$E,"РЛС КББ",'Таблиця 1'!$L:$L,"Уражено"))</f>
        <v/>
      </c>
      <c r="S554">
        <f>IF($A554="","",COUNTIFS('Таблиця 1'!$B:$B,$A554,'Таблиця 1'!$E:$E,"Ретранслятор",'Таблиця 1'!$L:$L,"Уражено"))</f>
        <v/>
      </c>
      <c r="T554">
        <f>IF($A554="","",COUNTIFS('Таблиця 1'!$B:$B,$A554,'Таблиця 1'!$E:$E,"Вз.зв'язку",'Таблиця 1'!$L:$L,"Уражено"))</f>
        <v/>
      </c>
      <c r="U554">
        <f>IF($A554="","",COUNTIFS('Таблиця 1'!$B:$B,$A554,'Таблиця 1'!$E:$E,"ПММ",'Таблиця 1'!$L:$L,"Уражено"))</f>
        <v/>
      </c>
      <c r="V554">
        <f>IF($A554="","",COUNTIFS('Таблиця 1'!$B:$B,$A554,'Таблиця 1'!$E:$E,"ІФС",'Таблиця 1'!$L:$L,"Уражено"))</f>
        <v/>
      </c>
      <c r="W554">
        <f>IF($A554="","",COUNTIFS('Таблиця 1'!$B:$B,$A554,'Таблиця 1'!$E:$E,"Інфраструктура",'Таблиця 1'!$L:$L,"Уражено"))</f>
        <v/>
      </c>
      <c r="X554">
        <f>IF($A554="","",SUMIFS('Таблиця 1'!$K:$K,'Таблиця 1'!$B:$B,$A554))</f>
        <v/>
      </c>
    </row>
    <row r="555">
      <c r="A555" s="81">
        <f>IF(A554="","",IF(A554+1&gt;MAX('Таблиця 1'!$B:$B),"",A554+1))</f>
        <v/>
      </c>
      <c r="B555">
        <f>IF($A555="","",COUNTIFS('Таблиця 1'!$B:$B,$A555,'Таблиця 1'!$E:$E,"ЖС ВЗ",'Таблиця 1'!$L:$L,"Уражено"))</f>
        <v/>
      </c>
      <c r="C555">
        <f>IF($A555="","",COUNTIFS('Таблиця 1'!$B:$B,$A555,'Таблиця 1'!$E:$E,"Арт. Системи",'Таблиця 1'!$L:$L,"Уражено"))</f>
        <v/>
      </c>
      <c r="D555">
        <f>IF($A555="","",COUNTIFS('Таблиця 1'!$B:$B,$A555,'Таблиця 1'!$E:$E,"ОВТ",'Таблиця 1'!$L:$L,"Уражено"))</f>
        <v/>
      </c>
      <c r="E555">
        <f>IF($A555="","",COUNTIFS('Таблиця 1'!$B:$B,$A555,'Таблиця 1'!$E:$E,"ППО",'Таблиця 1'!$L:$L,"Уражено"))</f>
        <v/>
      </c>
      <c r="F555">
        <f>IF($A555="","",COUNTIFS('Таблиця 1'!$B:$B,$A555,'Таблиця 1'!$E:$E,"Рембаза",'Таблиця 1'!$L:$L,"Уражено"))</f>
        <v/>
      </c>
      <c r="G555">
        <f>IF($A555="","",COUNTIFS('Таблиця 1'!$B:$B,$A555,'Таблиця 1'!$E:$E,"Склад БК",'Таблиця 1'!$L:$L,"Уражено"))</f>
        <v/>
      </c>
      <c r="H555">
        <f>IF($A555="","",COUNTIFS('Таблиця 1'!$B:$B,$A555,'Таблиця 1'!$E:$E,"Склад ВТМ",'Таблиця 1'!$L:$L,"Уражено"))</f>
        <v/>
      </c>
      <c r="I555">
        <f>IF($A555="","",COUNTIFS('Таблиця 1'!$B:$B,$A555,'Таблиця 1'!$E:$E,"ПУ БпЛА",'Таблиця 1'!$L:$L,"Уражено"))</f>
        <v/>
      </c>
      <c r="J555">
        <f>IF($A555="","",COUNTIFS('Таблиця 1'!$B:$B,$A555,'Таблиця 1'!$E:$E,"СП",'Таблиця 1'!$L:$L,"Уражено"))</f>
        <v/>
      </c>
      <c r="K555">
        <f>IF($A555="","",COUNTIFS('Таблиця 1'!$B:$B,$A555,'Таблиця 1'!$E:$E,"КСП роти",'Таблиця 1'!$L:$L,"Уражено"))</f>
        <v/>
      </c>
      <c r="L555">
        <f>IF($A555="","",COUNTIFS('Таблиця 1'!$B:$B,$A555,'Таблиця 1'!$E:$E,"ПУ бат",'Таблиця 1'!$L:$L,"Уражено"))</f>
        <v/>
      </c>
      <c r="M555">
        <f>IF($A555="","",COUNTIFS('Таблиця 1'!$B:$B,$A555,'Таблиця 1'!$E:$E,"ПУ бриг",'Таблиця 1'!$L:$L,"Уражено"))</f>
        <v/>
      </c>
      <c r="N555">
        <f>IF($A555="","",COUNTIFS('Таблиця 1'!$B:$B,$A555,'Таблиця 1'!$E:$E,"ПУ див",'Таблиця 1'!$L:$L,"Уражено"))</f>
        <v/>
      </c>
      <c r="O555">
        <f>IF($A555="","",COUNTIFS('Таблиця 1'!$B:$B,$A555,'Таблиця 1'!$E:$E,"обл. РЕБ",'Таблиця 1'!$L:$L,"Уражено"))</f>
        <v/>
      </c>
      <c r="P555">
        <f>IF($A555="","",COUNTIFS('Таблиця 1'!$B:$B,$A555,'Таблиця 1'!$E:$E,"пос РЕБ",'Таблиця 1'!$L:$L,"Уражено"))</f>
        <v/>
      </c>
      <c r="Q555">
        <f>IF($A555="","",COUNTIFS('Таблиця 1'!$B:$B,$A555,'Таблиця 1'!$E:$E,"група РЕР",'Таблиця 1'!$L:$L,"Уражено"))</f>
        <v/>
      </c>
      <c r="R555">
        <f>IF($A555="","",COUNTIFS('Таблиця 1'!$B:$B,$A555,'Таблиця 1'!$E:$E,"РЛС КББ",'Таблиця 1'!$L:$L,"Уражено"))</f>
        <v/>
      </c>
      <c r="S555">
        <f>IF($A555="","",COUNTIFS('Таблиця 1'!$B:$B,$A555,'Таблиця 1'!$E:$E,"Ретранслятор",'Таблиця 1'!$L:$L,"Уражено"))</f>
        <v/>
      </c>
      <c r="T555">
        <f>IF($A555="","",COUNTIFS('Таблиця 1'!$B:$B,$A555,'Таблиця 1'!$E:$E,"Вз.зв'язку",'Таблиця 1'!$L:$L,"Уражено"))</f>
        <v/>
      </c>
      <c r="U555">
        <f>IF($A555="","",COUNTIFS('Таблиця 1'!$B:$B,$A555,'Таблиця 1'!$E:$E,"ПММ",'Таблиця 1'!$L:$L,"Уражено"))</f>
        <v/>
      </c>
      <c r="V555">
        <f>IF($A555="","",COUNTIFS('Таблиця 1'!$B:$B,$A555,'Таблиця 1'!$E:$E,"ІФС",'Таблиця 1'!$L:$L,"Уражено"))</f>
        <v/>
      </c>
      <c r="W555">
        <f>IF($A555="","",COUNTIFS('Таблиця 1'!$B:$B,$A555,'Таблиця 1'!$E:$E,"Інфраструктура",'Таблиця 1'!$L:$L,"Уражено"))</f>
        <v/>
      </c>
      <c r="X555">
        <f>IF($A555="","",SUMIFS('Таблиця 1'!$K:$K,'Таблиця 1'!$B:$B,$A555))</f>
        <v/>
      </c>
    </row>
    <row r="556">
      <c r="A556" s="81">
        <f>IF(A555="","",IF(A555+1&gt;MAX('Таблиця 1'!$B:$B),"",A555+1))</f>
        <v/>
      </c>
      <c r="B556">
        <f>IF($A556="","",COUNTIFS('Таблиця 1'!$B:$B,$A556,'Таблиця 1'!$E:$E,"ЖС ВЗ",'Таблиця 1'!$L:$L,"Уражено"))</f>
        <v/>
      </c>
      <c r="C556">
        <f>IF($A556="","",COUNTIFS('Таблиця 1'!$B:$B,$A556,'Таблиця 1'!$E:$E,"Арт. Системи",'Таблиця 1'!$L:$L,"Уражено"))</f>
        <v/>
      </c>
      <c r="D556">
        <f>IF($A556="","",COUNTIFS('Таблиця 1'!$B:$B,$A556,'Таблиця 1'!$E:$E,"ОВТ",'Таблиця 1'!$L:$L,"Уражено"))</f>
        <v/>
      </c>
      <c r="E556">
        <f>IF($A556="","",COUNTIFS('Таблиця 1'!$B:$B,$A556,'Таблиця 1'!$E:$E,"ППО",'Таблиця 1'!$L:$L,"Уражено"))</f>
        <v/>
      </c>
      <c r="F556">
        <f>IF($A556="","",COUNTIFS('Таблиця 1'!$B:$B,$A556,'Таблиця 1'!$E:$E,"Рембаза",'Таблиця 1'!$L:$L,"Уражено"))</f>
        <v/>
      </c>
      <c r="G556">
        <f>IF($A556="","",COUNTIFS('Таблиця 1'!$B:$B,$A556,'Таблиця 1'!$E:$E,"Склад БК",'Таблиця 1'!$L:$L,"Уражено"))</f>
        <v/>
      </c>
      <c r="H556">
        <f>IF($A556="","",COUNTIFS('Таблиця 1'!$B:$B,$A556,'Таблиця 1'!$E:$E,"Склад ВТМ",'Таблиця 1'!$L:$L,"Уражено"))</f>
        <v/>
      </c>
      <c r="I556">
        <f>IF($A556="","",COUNTIFS('Таблиця 1'!$B:$B,$A556,'Таблиця 1'!$E:$E,"ПУ БпЛА",'Таблиця 1'!$L:$L,"Уражено"))</f>
        <v/>
      </c>
      <c r="J556">
        <f>IF($A556="","",COUNTIFS('Таблиця 1'!$B:$B,$A556,'Таблиця 1'!$E:$E,"СП",'Таблиця 1'!$L:$L,"Уражено"))</f>
        <v/>
      </c>
      <c r="K556">
        <f>IF($A556="","",COUNTIFS('Таблиця 1'!$B:$B,$A556,'Таблиця 1'!$E:$E,"КСП роти",'Таблиця 1'!$L:$L,"Уражено"))</f>
        <v/>
      </c>
      <c r="L556">
        <f>IF($A556="","",COUNTIFS('Таблиця 1'!$B:$B,$A556,'Таблиця 1'!$E:$E,"ПУ бат",'Таблиця 1'!$L:$L,"Уражено"))</f>
        <v/>
      </c>
      <c r="M556">
        <f>IF($A556="","",COUNTIFS('Таблиця 1'!$B:$B,$A556,'Таблиця 1'!$E:$E,"ПУ бриг",'Таблиця 1'!$L:$L,"Уражено"))</f>
        <v/>
      </c>
      <c r="N556">
        <f>IF($A556="","",COUNTIFS('Таблиця 1'!$B:$B,$A556,'Таблиця 1'!$E:$E,"ПУ див",'Таблиця 1'!$L:$L,"Уражено"))</f>
        <v/>
      </c>
      <c r="O556">
        <f>IF($A556="","",COUNTIFS('Таблиця 1'!$B:$B,$A556,'Таблиця 1'!$E:$E,"обл. РЕБ",'Таблиця 1'!$L:$L,"Уражено"))</f>
        <v/>
      </c>
      <c r="P556">
        <f>IF($A556="","",COUNTIFS('Таблиця 1'!$B:$B,$A556,'Таблиця 1'!$E:$E,"пос РЕБ",'Таблиця 1'!$L:$L,"Уражено"))</f>
        <v/>
      </c>
      <c r="Q556">
        <f>IF($A556="","",COUNTIFS('Таблиця 1'!$B:$B,$A556,'Таблиця 1'!$E:$E,"група РЕР",'Таблиця 1'!$L:$L,"Уражено"))</f>
        <v/>
      </c>
      <c r="R556">
        <f>IF($A556="","",COUNTIFS('Таблиця 1'!$B:$B,$A556,'Таблиця 1'!$E:$E,"РЛС КББ",'Таблиця 1'!$L:$L,"Уражено"))</f>
        <v/>
      </c>
      <c r="S556">
        <f>IF($A556="","",COUNTIFS('Таблиця 1'!$B:$B,$A556,'Таблиця 1'!$E:$E,"Ретранслятор",'Таблиця 1'!$L:$L,"Уражено"))</f>
        <v/>
      </c>
      <c r="T556">
        <f>IF($A556="","",COUNTIFS('Таблиця 1'!$B:$B,$A556,'Таблиця 1'!$E:$E,"Вз.зв'язку",'Таблиця 1'!$L:$L,"Уражено"))</f>
        <v/>
      </c>
      <c r="U556">
        <f>IF($A556="","",COUNTIFS('Таблиця 1'!$B:$B,$A556,'Таблиця 1'!$E:$E,"ПММ",'Таблиця 1'!$L:$L,"Уражено"))</f>
        <v/>
      </c>
      <c r="V556">
        <f>IF($A556="","",COUNTIFS('Таблиця 1'!$B:$B,$A556,'Таблиця 1'!$E:$E,"ІФС",'Таблиця 1'!$L:$L,"Уражено"))</f>
        <v/>
      </c>
      <c r="W556">
        <f>IF($A556="","",COUNTIFS('Таблиця 1'!$B:$B,$A556,'Таблиця 1'!$E:$E,"Інфраструктура",'Таблиця 1'!$L:$L,"Уражено"))</f>
        <v/>
      </c>
      <c r="X556">
        <f>IF($A556="","",SUMIFS('Таблиця 1'!$K:$K,'Таблиця 1'!$B:$B,$A556))</f>
        <v/>
      </c>
    </row>
    <row r="557">
      <c r="A557" s="81">
        <f>IF(A556="","",IF(A556+1&gt;MAX('Таблиця 1'!$B:$B),"",A556+1))</f>
        <v/>
      </c>
      <c r="B557">
        <f>IF($A557="","",COUNTIFS('Таблиця 1'!$B:$B,$A557,'Таблиця 1'!$E:$E,"ЖС ВЗ",'Таблиця 1'!$L:$L,"Уражено"))</f>
        <v/>
      </c>
      <c r="C557">
        <f>IF($A557="","",COUNTIFS('Таблиця 1'!$B:$B,$A557,'Таблиця 1'!$E:$E,"Арт. Системи",'Таблиця 1'!$L:$L,"Уражено"))</f>
        <v/>
      </c>
      <c r="D557">
        <f>IF($A557="","",COUNTIFS('Таблиця 1'!$B:$B,$A557,'Таблиця 1'!$E:$E,"ОВТ",'Таблиця 1'!$L:$L,"Уражено"))</f>
        <v/>
      </c>
      <c r="E557">
        <f>IF($A557="","",COUNTIFS('Таблиця 1'!$B:$B,$A557,'Таблиця 1'!$E:$E,"ППО",'Таблиця 1'!$L:$L,"Уражено"))</f>
        <v/>
      </c>
      <c r="F557">
        <f>IF($A557="","",COUNTIFS('Таблиця 1'!$B:$B,$A557,'Таблиця 1'!$E:$E,"Рембаза",'Таблиця 1'!$L:$L,"Уражено"))</f>
        <v/>
      </c>
      <c r="G557">
        <f>IF($A557="","",COUNTIFS('Таблиця 1'!$B:$B,$A557,'Таблиця 1'!$E:$E,"Склад БК",'Таблиця 1'!$L:$L,"Уражено"))</f>
        <v/>
      </c>
      <c r="H557">
        <f>IF($A557="","",COUNTIFS('Таблиця 1'!$B:$B,$A557,'Таблиця 1'!$E:$E,"Склад ВТМ",'Таблиця 1'!$L:$L,"Уражено"))</f>
        <v/>
      </c>
      <c r="I557">
        <f>IF($A557="","",COUNTIFS('Таблиця 1'!$B:$B,$A557,'Таблиця 1'!$E:$E,"ПУ БпЛА",'Таблиця 1'!$L:$L,"Уражено"))</f>
        <v/>
      </c>
      <c r="J557">
        <f>IF($A557="","",COUNTIFS('Таблиця 1'!$B:$B,$A557,'Таблиця 1'!$E:$E,"СП",'Таблиця 1'!$L:$L,"Уражено"))</f>
        <v/>
      </c>
      <c r="K557">
        <f>IF($A557="","",COUNTIFS('Таблиця 1'!$B:$B,$A557,'Таблиця 1'!$E:$E,"КСП роти",'Таблиця 1'!$L:$L,"Уражено"))</f>
        <v/>
      </c>
      <c r="L557">
        <f>IF($A557="","",COUNTIFS('Таблиця 1'!$B:$B,$A557,'Таблиця 1'!$E:$E,"ПУ бат",'Таблиця 1'!$L:$L,"Уражено"))</f>
        <v/>
      </c>
      <c r="M557">
        <f>IF($A557="","",COUNTIFS('Таблиця 1'!$B:$B,$A557,'Таблиця 1'!$E:$E,"ПУ бриг",'Таблиця 1'!$L:$L,"Уражено"))</f>
        <v/>
      </c>
      <c r="N557">
        <f>IF($A557="","",COUNTIFS('Таблиця 1'!$B:$B,$A557,'Таблиця 1'!$E:$E,"ПУ див",'Таблиця 1'!$L:$L,"Уражено"))</f>
        <v/>
      </c>
      <c r="O557">
        <f>IF($A557="","",COUNTIFS('Таблиця 1'!$B:$B,$A557,'Таблиця 1'!$E:$E,"обл. РЕБ",'Таблиця 1'!$L:$L,"Уражено"))</f>
        <v/>
      </c>
      <c r="P557">
        <f>IF($A557="","",COUNTIFS('Таблиця 1'!$B:$B,$A557,'Таблиця 1'!$E:$E,"пос РЕБ",'Таблиця 1'!$L:$L,"Уражено"))</f>
        <v/>
      </c>
      <c r="Q557">
        <f>IF($A557="","",COUNTIFS('Таблиця 1'!$B:$B,$A557,'Таблиця 1'!$E:$E,"група РЕР",'Таблиця 1'!$L:$L,"Уражено"))</f>
        <v/>
      </c>
      <c r="R557">
        <f>IF($A557="","",COUNTIFS('Таблиця 1'!$B:$B,$A557,'Таблиця 1'!$E:$E,"РЛС КББ",'Таблиця 1'!$L:$L,"Уражено"))</f>
        <v/>
      </c>
      <c r="S557">
        <f>IF($A557="","",COUNTIFS('Таблиця 1'!$B:$B,$A557,'Таблиця 1'!$E:$E,"Ретранслятор",'Таблиця 1'!$L:$L,"Уражено"))</f>
        <v/>
      </c>
      <c r="T557">
        <f>IF($A557="","",COUNTIFS('Таблиця 1'!$B:$B,$A557,'Таблиця 1'!$E:$E,"Вз.зв'язку",'Таблиця 1'!$L:$L,"Уражено"))</f>
        <v/>
      </c>
      <c r="U557">
        <f>IF($A557="","",COUNTIFS('Таблиця 1'!$B:$B,$A557,'Таблиця 1'!$E:$E,"ПММ",'Таблиця 1'!$L:$L,"Уражено"))</f>
        <v/>
      </c>
      <c r="V557">
        <f>IF($A557="","",COUNTIFS('Таблиця 1'!$B:$B,$A557,'Таблиця 1'!$E:$E,"ІФС",'Таблиця 1'!$L:$L,"Уражено"))</f>
        <v/>
      </c>
      <c r="W557">
        <f>IF($A557="","",COUNTIFS('Таблиця 1'!$B:$B,$A557,'Таблиця 1'!$E:$E,"Інфраструктура",'Таблиця 1'!$L:$L,"Уражено"))</f>
        <v/>
      </c>
      <c r="X557">
        <f>IF($A557="","",SUMIFS('Таблиця 1'!$K:$K,'Таблиця 1'!$B:$B,$A557))</f>
        <v/>
      </c>
    </row>
    <row r="558">
      <c r="A558" s="81">
        <f>IF(A557="","",IF(A557+1&gt;MAX('Таблиця 1'!$B:$B),"",A557+1))</f>
        <v/>
      </c>
      <c r="B558">
        <f>IF($A558="","",COUNTIFS('Таблиця 1'!$B:$B,$A558,'Таблиця 1'!$E:$E,"ЖС ВЗ",'Таблиця 1'!$L:$L,"Уражено"))</f>
        <v/>
      </c>
      <c r="C558">
        <f>IF($A558="","",COUNTIFS('Таблиця 1'!$B:$B,$A558,'Таблиця 1'!$E:$E,"Арт. Системи",'Таблиця 1'!$L:$L,"Уражено"))</f>
        <v/>
      </c>
      <c r="D558">
        <f>IF($A558="","",COUNTIFS('Таблиця 1'!$B:$B,$A558,'Таблиця 1'!$E:$E,"ОВТ",'Таблиця 1'!$L:$L,"Уражено"))</f>
        <v/>
      </c>
      <c r="E558">
        <f>IF($A558="","",COUNTIFS('Таблиця 1'!$B:$B,$A558,'Таблиця 1'!$E:$E,"ППО",'Таблиця 1'!$L:$L,"Уражено"))</f>
        <v/>
      </c>
      <c r="F558">
        <f>IF($A558="","",COUNTIFS('Таблиця 1'!$B:$B,$A558,'Таблиця 1'!$E:$E,"Рембаза",'Таблиця 1'!$L:$L,"Уражено"))</f>
        <v/>
      </c>
      <c r="G558">
        <f>IF($A558="","",COUNTIFS('Таблиця 1'!$B:$B,$A558,'Таблиця 1'!$E:$E,"Склад БК",'Таблиця 1'!$L:$L,"Уражено"))</f>
        <v/>
      </c>
      <c r="H558">
        <f>IF($A558="","",COUNTIFS('Таблиця 1'!$B:$B,$A558,'Таблиця 1'!$E:$E,"Склад ВТМ",'Таблиця 1'!$L:$L,"Уражено"))</f>
        <v/>
      </c>
      <c r="I558">
        <f>IF($A558="","",COUNTIFS('Таблиця 1'!$B:$B,$A558,'Таблиця 1'!$E:$E,"ПУ БпЛА",'Таблиця 1'!$L:$L,"Уражено"))</f>
        <v/>
      </c>
      <c r="J558">
        <f>IF($A558="","",COUNTIFS('Таблиця 1'!$B:$B,$A558,'Таблиця 1'!$E:$E,"СП",'Таблиця 1'!$L:$L,"Уражено"))</f>
        <v/>
      </c>
      <c r="K558">
        <f>IF($A558="","",COUNTIFS('Таблиця 1'!$B:$B,$A558,'Таблиця 1'!$E:$E,"КСП роти",'Таблиця 1'!$L:$L,"Уражено"))</f>
        <v/>
      </c>
      <c r="L558">
        <f>IF($A558="","",COUNTIFS('Таблиця 1'!$B:$B,$A558,'Таблиця 1'!$E:$E,"ПУ бат",'Таблиця 1'!$L:$L,"Уражено"))</f>
        <v/>
      </c>
      <c r="M558">
        <f>IF($A558="","",COUNTIFS('Таблиця 1'!$B:$B,$A558,'Таблиця 1'!$E:$E,"ПУ бриг",'Таблиця 1'!$L:$L,"Уражено"))</f>
        <v/>
      </c>
      <c r="N558">
        <f>IF($A558="","",COUNTIFS('Таблиця 1'!$B:$B,$A558,'Таблиця 1'!$E:$E,"ПУ див",'Таблиця 1'!$L:$L,"Уражено"))</f>
        <v/>
      </c>
      <c r="O558">
        <f>IF($A558="","",COUNTIFS('Таблиця 1'!$B:$B,$A558,'Таблиця 1'!$E:$E,"обл. РЕБ",'Таблиця 1'!$L:$L,"Уражено"))</f>
        <v/>
      </c>
      <c r="P558">
        <f>IF($A558="","",COUNTIFS('Таблиця 1'!$B:$B,$A558,'Таблиця 1'!$E:$E,"пос РЕБ",'Таблиця 1'!$L:$L,"Уражено"))</f>
        <v/>
      </c>
      <c r="Q558">
        <f>IF($A558="","",COUNTIFS('Таблиця 1'!$B:$B,$A558,'Таблиця 1'!$E:$E,"група РЕР",'Таблиця 1'!$L:$L,"Уражено"))</f>
        <v/>
      </c>
      <c r="R558">
        <f>IF($A558="","",COUNTIFS('Таблиця 1'!$B:$B,$A558,'Таблиця 1'!$E:$E,"РЛС КББ",'Таблиця 1'!$L:$L,"Уражено"))</f>
        <v/>
      </c>
      <c r="S558">
        <f>IF($A558="","",COUNTIFS('Таблиця 1'!$B:$B,$A558,'Таблиця 1'!$E:$E,"Ретранслятор",'Таблиця 1'!$L:$L,"Уражено"))</f>
        <v/>
      </c>
      <c r="T558">
        <f>IF($A558="","",COUNTIFS('Таблиця 1'!$B:$B,$A558,'Таблиця 1'!$E:$E,"Вз.зв'язку",'Таблиця 1'!$L:$L,"Уражено"))</f>
        <v/>
      </c>
      <c r="U558">
        <f>IF($A558="","",COUNTIFS('Таблиця 1'!$B:$B,$A558,'Таблиця 1'!$E:$E,"ПММ",'Таблиця 1'!$L:$L,"Уражено"))</f>
        <v/>
      </c>
      <c r="V558">
        <f>IF($A558="","",COUNTIFS('Таблиця 1'!$B:$B,$A558,'Таблиця 1'!$E:$E,"ІФС",'Таблиця 1'!$L:$L,"Уражено"))</f>
        <v/>
      </c>
      <c r="W558">
        <f>IF($A558="","",COUNTIFS('Таблиця 1'!$B:$B,$A558,'Таблиця 1'!$E:$E,"Інфраструктура",'Таблиця 1'!$L:$L,"Уражено"))</f>
        <v/>
      </c>
      <c r="X558">
        <f>IF($A558="","",SUMIFS('Таблиця 1'!$K:$K,'Таблиця 1'!$B:$B,$A558))</f>
        <v/>
      </c>
    </row>
    <row r="559">
      <c r="A559" s="81">
        <f>IF(A558="","",IF(A558+1&gt;MAX('Таблиця 1'!$B:$B),"",A558+1))</f>
        <v/>
      </c>
      <c r="B559">
        <f>IF($A559="","",COUNTIFS('Таблиця 1'!$B:$B,$A559,'Таблиця 1'!$E:$E,"ЖС ВЗ",'Таблиця 1'!$L:$L,"Уражено"))</f>
        <v/>
      </c>
      <c r="C559">
        <f>IF($A559="","",COUNTIFS('Таблиця 1'!$B:$B,$A559,'Таблиця 1'!$E:$E,"Арт. Системи",'Таблиця 1'!$L:$L,"Уражено"))</f>
        <v/>
      </c>
      <c r="D559">
        <f>IF($A559="","",COUNTIFS('Таблиця 1'!$B:$B,$A559,'Таблиця 1'!$E:$E,"ОВТ",'Таблиця 1'!$L:$L,"Уражено"))</f>
        <v/>
      </c>
      <c r="E559">
        <f>IF($A559="","",COUNTIFS('Таблиця 1'!$B:$B,$A559,'Таблиця 1'!$E:$E,"ППО",'Таблиця 1'!$L:$L,"Уражено"))</f>
        <v/>
      </c>
      <c r="F559">
        <f>IF($A559="","",COUNTIFS('Таблиця 1'!$B:$B,$A559,'Таблиця 1'!$E:$E,"Рембаза",'Таблиця 1'!$L:$L,"Уражено"))</f>
        <v/>
      </c>
      <c r="G559">
        <f>IF($A559="","",COUNTIFS('Таблиця 1'!$B:$B,$A559,'Таблиця 1'!$E:$E,"Склад БК",'Таблиця 1'!$L:$L,"Уражено"))</f>
        <v/>
      </c>
      <c r="H559">
        <f>IF($A559="","",COUNTIFS('Таблиця 1'!$B:$B,$A559,'Таблиця 1'!$E:$E,"Склад ВТМ",'Таблиця 1'!$L:$L,"Уражено"))</f>
        <v/>
      </c>
      <c r="I559">
        <f>IF($A559="","",COUNTIFS('Таблиця 1'!$B:$B,$A559,'Таблиця 1'!$E:$E,"ПУ БпЛА",'Таблиця 1'!$L:$L,"Уражено"))</f>
        <v/>
      </c>
      <c r="J559">
        <f>IF($A559="","",COUNTIFS('Таблиця 1'!$B:$B,$A559,'Таблиця 1'!$E:$E,"СП",'Таблиця 1'!$L:$L,"Уражено"))</f>
        <v/>
      </c>
      <c r="K559">
        <f>IF($A559="","",COUNTIFS('Таблиця 1'!$B:$B,$A559,'Таблиця 1'!$E:$E,"КСП роти",'Таблиця 1'!$L:$L,"Уражено"))</f>
        <v/>
      </c>
      <c r="L559">
        <f>IF($A559="","",COUNTIFS('Таблиця 1'!$B:$B,$A559,'Таблиця 1'!$E:$E,"ПУ бат",'Таблиця 1'!$L:$L,"Уражено"))</f>
        <v/>
      </c>
      <c r="M559">
        <f>IF($A559="","",COUNTIFS('Таблиця 1'!$B:$B,$A559,'Таблиця 1'!$E:$E,"ПУ бриг",'Таблиця 1'!$L:$L,"Уражено"))</f>
        <v/>
      </c>
      <c r="N559">
        <f>IF($A559="","",COUNTIFS('Таблиця 1'!$B:$B,$A559,'Таблиця 1'!$E:$E,"ПУ див",'Таблиця 1'!$L:$L,"Уражено"))</f>
        <v/>
      </c>
      <c r="O559">
        <f>IF($A559="","",COUNTIFS('Таблиця 1'!$B:$B,$A559,'Таблиця 1'!$E:$E,"обл. РЕБ",'Таблиця 1'!$L:$L,"Уражено"))</f>
        <v/>
      </c>
      <c r="P559">
        <f>IF($A559="","",COUNTIFS('Таблиця 1'!$B:$B,$A559,'Таблиця 1'!$E:$E,"пос РЕБ",'Таблиця 1'!$L:$L,"Уражено"))</f>
        <v/>
      </c>
      <c r="Q559">
        <f>IF($A559="","",COUNTIFS('Таблиця 1'!$B:$B,$A559,'Таблиця 1'!$E:$E,"група РЕР",'Таблиця 1'!$L:$L,"Уражено"))</f>
        <v/>
      </c>
      <c r="R559">
        <f>IF($A559="","",COUNTIFS('Таблиця 1'!$B:$B,$A559,'Таблиця 1'!$E:$E,"РЛС КББ",'Таблиця 1'!$L:$L,"Уражено"))</f>
        <v/>
      </c>
      <c r="S559">
        <f>IF($A559="","",COUNTIFS('Таблиця 1'!$B:$B,$A559,'Таблиця 1'!$E:$E,"Ретранслятор",'Таблиця 1'!$L:$L,"Уражено"))</f>
        <v/>
      </c>
      <c r="T559">
        <f>IF($A559="","",COUNTIFS('Таблиця 1'!$B:$B,$A559,'Таблиця 1'!$E:$E,"Вз.зв'язку",'Таблиця 1'!$L:$L,"Уражено"))</f>
        <v/>
      </c>
      <c r="U559">
        <f>IF($A559="","",COUNTIFS('Таблиця 1'!$B:$B,$A559,'Таблиця 1'!$E:$E,"ПММ",'Таблиця 1'!$L:$L,"Уражено"))</f>
        <v/>
      </c>
      <c r="V559">
        <f>IF($A559="","",COUNTIFS('Таблиця 1'!$B:$B,$A559,'Таблиця 1'!$E:$E,"ІФС",'Таблиця 1'!$L:$L,"Уражено"))</f>
        <v/>
      </c>
      <c r="W559">
        <f>IF($A559="","",COUNTIFS('Таблиця 1'!$B:$B,$A559,'Таблиця 1'!$E:$E,"Інфраструктура",'Таблиця 1'!$L:$L,"Уражено"))</f>
        <v/>
      </c>
      <c r="X559">
        <f>IF($A559="","",SUMIFS('Таблиця 1'!$K:$K,'Таблиця 1'!$B:$B,$A559))</f>
        <v/>
      </c>
    </row>
    <row r="560">
      <c r="A560" s="81">
        <f>IF(A559="","",IF(A559+1&gt;MAX('Таблиця 1'!$B:$B),"",A559+1))</f>
        <v/>
      </c>
      <c r="B560">
        <f>IF($A560="","",COUNTIFS('Таблиця 1'!$B:$B,$A560,'Таблиця 1'!$E:$E,"ЖС ВЗ",'Таблиця 1'!$L:$L,"Уражено"))</f>
        <v/>
      </c>
      <c r="C560">
        <f>IF($A560="","",COUNTIFS('Таблиця 1'!$B:$B,$A560,'Таблиця 1'!$E:$E,"Арт. Системи",'Таблиця 1'!$L:$L,"Уражено"))</f>
        <v/>
      </c>
      <c r="D560">
        <f>IF($A560="","",COUNTIFS('Таблиця 1'!$B:$B,$A560,'Таблиця 1'!$E:$E,"ОВТ",'Таблиця 1'!$L:$L,"Уражено"))</f>
        <v/>
      </c>
      <c r="E560">
        <f>IF($A560="","",COUNTIFS('Таблиця 1'!$B:$B,$A560,'Таблиця 1'!$E:$E,"ППО",'Таблиця 1'!$L:$L,"Уражено"))</f>
        <v/>
      </c>
      <c r="F560">
        <f>IF($A560="","",COUNTIFS('Таблиця 1'!$B:$B,$A560,'Таблиця 1'!$E:$E,"Рембаза",'Таблиця 1'!$L:$L,"Уражено"))</f>
        <v/>
      </c>
      <c r="G560">
        <f>IF($A560="","",COUNTIFS('Таблиця 1'!$B:$B,$A560,'Таблиця 1'!$E:$E,"Склад БК",'Таблиця 1'!$L:$L,"Уражено"))</f>
        <v/>
      </c>
      <c r="H560">
        <f>IF($A560="","",COUNTIFS('Таблиця 1'!$B:$B,$A560,'Таблиця 1'!$E:$E,"Склад ВТМ",'Таблиця 1'!$L:$L,"Уражено"))</f>
        <v/>
      </c>
      <c r="I560">
        <f>IF($A560="","",COUNTIFS('Таблиця 1'!$B:$B,$A560,'Таблиця 1'!$E:$E,"ПУ БпЛА",'Таблиця 1'!$L:$L,"Уражено"))</f>
        <v/>
      </c>
      <c r="J560">
        <f>IF($A560="","",COUNTIFS('Таблиця 1'!$B:$B,$A560,'Таблиця 1'!$E:$E,"СП",'Таблиця 1'!$L:$L,"Уражено"))</f>
        <v/>
      </c>
      <c r="K560">
        <f>IF($A560="","",COUNTIFS('Таблиця 1'!$B:$B,$A560,'Таблиця 1'!$E:$E,"КСП роти",'Таблиця 1'!$L:$L,"Уражено"))</f>
        <v/>
      </c>
      <c r="L560">
        <f>IF($A560="","",COUNTIFS('Таблиця 1'!$B:$B,$A560,'Таблиця 1'!$E:$E,"ПУ бат",'Таблиця 1'!$L:$L,"Уражено"))</f>
        <v/>
      </c>
      <c r="M560">
        <f>IF($A560="","",COUNTIFS('Таблиця 1'!$B:$B,$A560,'Таблиця 1'!$E:$E,"ПУ бриг",'Таблиця 1'!$L:$L,"Уражено"))</f>
        <v/>
      </c>
      <c r="N560">
        <f>IF($A560="","",COUNTIFS('Таблиця 1'!$B:$B,$A560,'Таблиця 1'!$E:$E,"ПУ див",'Таблиця 1'!$L:$L,"Уражено"))</f>
        <v/>
      </c>
      <c r="O560">
        <f>IF($A560="","",COUNTIFS('Таблиця 1'!$B:$B,$A560,'Таблиця 1'!$E:$E,"обл. РЕБ",'Таблиця 1'!$L:$L,"Уражено"))</f>
        <v/>
      </c>
      <c r="P560">
        <f>IF($A560="","",COUNTIFS('Таблиця 1'!$B:$B,$A560,'Таблиця 1'!$E:$E,"пос РЕБ",'Таблиця 1'!$L:$L,"Уражено"))</f>
        <v/>
      </c>
      <c r="Q560">
        <f>IF($A560="","",COUNTIFS('Таблиця 1'!$B:$B,$A560,'Таблиця 1'!$E:$E,"група РЕР",'Таблиця 1'!$L:$L,"Уражено"))</f>
        <v/>
      </c>
      <c r="R560">
        <f>IF($A560="","",COUNTIFS('Таблиця 1'!$B:$B,$A560,'Таблиця 1'!$E:$E,"РЛС КББ",'Таблиця 1'!$L:$L,"Уражено"))</f>
        <v/>
      </c>
      <c r="S560">
        <f>IF($A560="","",COUNTIFS('Таблиця 1'!$B:$B,$A560,'Таблиця 1'!$E:$E,"Ретранслятор",'Таблиця 1'!$L:$L,"Уражено"))</f>
        <v/>
      </c>
      <c r="T560">
        <f>IF($A560="","",COUNTIFS('Таблиця 1'!$B:$B,$A560,'Таблиця 1'!$E:$E,"Вз.зв'язку",'Таблиця 1'!$L:$L,"Уражено"))</f>
        <v/>
      </c>
      <c r="U560">
        <f>IF($A560="","",COUNTIFS('Таблиця 1'!$B:$B,$A560,'Таблиця 1'!$E:$E,"ПММ",'Таблиця 1'!$L:$L,"Уражено"))</f>
        <v/>
      </c>
      <c r="V560">
        <f>IF($A560="","",COUNTIFS('Таблиця 1'!$B:$B,$A560,'Таблиця 1'!$E:$E,"ІФС",'Таблиця 1'!$L:$L,"Уражено"))</f>
        <v/>
      </c>
      <c r="W560">
        <f>IF($A560="","",COUNTIFS('Таблиця 1'!$B:$B,$A560,'Таблиця 1'!$E:$E,"Інфраструктура",'Таблиця 1'!$L:$L,"Уражено"))</f>
        <v/>
      </c>
      <c r="X560">
        <f>IF($A560="","",SUMIFS('Таблиця 1'!$K:$K,'Таблиця 1'!$B:$B,$A560))</f>
        <v/>
      </c>
    </row>
    <row r="561">
      <c r="A561" s="81">
        <f>IF(A560="","",IF(A560+1&gt;MAX('Таблиця 1'!$B:$B),"",A560+1))</f>
        <v/>
      </c>
      <c r="B561">
        <f>IF($A561="","",COUNTIFS('Таблиця 1'!$B:$B,$A561,'Таблиця 1'!$E:$E,"ЖС ВЗ",'Таблиця 1'!$L:$L,"Уражено"))</f>
        <v/>
      </c>
      <c r="C561">
        <f>IF($A561="","",COUNTIFS('Таблиця 1'!$B:$B,$A561,'Таблиця 1'!$E:$E,"Арт. Системи",'Таблиця 1'!$L:$L,"Уражено"))</f>
        <v/>
      </c>
      <c r="D561">
        <f>IF($A561="","",COUNTIFS('Таблиця 1'!$B:$B,$A561,'Таблиця 1'!$E:$E,"ОВТ",'Таблиця 1'!$L:$L,"Уражено"))</f>
        <v/>
      </c>
      <c r="E561">
        <f>IF($A561="","",COUNTIFS('Таблиця 1'!$B:$B,$A561,'Таблиця 1'!$E:$E,"ППО",'Таблиця 1'!$L:$L,"Уражено"))</f>
        <v/>
      </c>
      <c r="F561">
        <f>IF($A561="","",COUNTIFS('Таблиця 1'!$B:$B,$A561,'Таблиця 1'!$E:$E,"Рембаза",'Таблиця 1'!$L:$L,"Уражено"))</f>
        <v/>
      </c>
      <c r="G561">
        <f>IF($A561="","",COUNTIFS('Таблиця 1'!$B:$B,$A561,'Таблиця 1'!$E:$E,"Склад БК",'Таблиця 1'!$L:$L,"Уражено"))</f>
        <v/>
      </c>
      <c r="H561">
        <f>IF($A561="","",COUNTIFS('Таблиця 1'!$B:$B,$A561,'Таблиця 1'!$E:$E,"Склад ВТМ",'Таблиця 1'!$L:$L,"Уражено"))</f>
        <v/>
      </c>
      <c r="I561">
        <f>IF($A561="","",COUNTIFS('Таблиця 1'!$B:$B,$A561,'Таблиця 1'!$E:$E,"ПУ БпЛА",'Таблиця 1'!$L:$L,"Уражено"))</f>
        <v/>
      </c>
      <c r="J561">
        <f>IF($A561="","",COUNTIFS('Таблиця 1'!$B:$B,$A561,'Таблиця 1'!$E:$E,"СП",'Таблиця 1'!$L:$L,"Уражено"))</f>
        <v/>
      </c>
      <c r="K561">
        <f>IF($A561="","",COUNTIFS('Таблиця 1'!$B:$B,$A561,'Таблиця 1'!$E:$E,"КСП роти",'Таблиця 1'!$L:$L,"Уражено"))</f>
        <v/>
      </c>
      <c r="L561">
        <f>IF($A561="","",COUNTIFS('Таблиця 1'!$B:$B,$A561,'Таблиця 1'!$E:$E,"ПУ бат",'Таблиця 1'!$L:$L,"Уражено"))</f>
        <v/>
      </c>
      <c r="M561">
        <f>IF($A561="","",COUNTIFS('Таблиця 1'!$B:$B,$A561,'Таблиця 1'!$E:$E,"ПУ бриг",'Таблиця 1'!$L:$L,"Уражено"))</f>
        <v/>
      </c>
      <c r="N561">
        <f>IF($A561="","",COUNTIFS('Таблиця 1'!$B:$B,$A561,'Таблиця 1'!$E:$E,"ПУ див",'Таблиця 1'!$L:$L,"Уражено"))</f>
        <v/>
      </c>
      <c r="O561">
        <f>IF($A561="","",COUNTIFS('Таблиця 1'!$B:$B,$A561,'Таблиця 1'!$E:$E,"обл. РЕБ",'Таблиця 1'!$L:$L,"Уражено"))</f>
        <v/>
      </c>
      <c r="P561">
        <f>IF($A561="","",COUNTIFS('Таблиця 1'!$B:$B,$A561,'Таблиця 1'!$E:$E,"пос РЕБ",'Таблиця 1'!$L:$L,"Уражено"))</f>
        <v/>
      </c>
      <c r="Q561">
        <f>IF($A561="","",COUNTIFS('Таблиця 1'!$B:$B,$A561,'Таблиця 1'!$E:$E,"група РЕР",'Таблиця 1'!$L:$L,"Уражено"))</f>
        <v/>
      </c>
      <c r="R561">
        <f>IF($A561="","",COUNTIFS('Таблиця 1'!$B:$B,$A561,'Таблиця 1'!$E:$E,"РЛС КББ",'Таблиця 1'!$L:$L,"Уражено"))</f>
        <v/>
      </c>
      <c r="S561">
        <f>IF($A561="","",COUNTIFS('Таблиця 1'!$B:$B,$A561,'Таблиця 1'!$E:$E,"Ретранслятор",'Таблиця 1'!$L:$L,"Уражено"))</f>
        <v/>
      </c>
      <c r="T561">
        <f>IF($A561="","",COUNTIFS('Таблиця 1'!$B:$B,$A561,'Таблиця 1'!$E:$E,"Вз.зв'язку",'Таблиця 1'!$L:$L,"Уражено"))</f>
        <v/>
      </c>
      <c r="U561">
        <f>IF($A561="","",COUNTIFS('Таблиця 1'!$B:$B,$A561,'Таблиця 1'!$E:$E,"ПММ",'Таблиця 1'!$L:$L,"Уражено"))</f>
        <v/>
      </c>
      <c r="V561">
        <f>IF($A561="","",COUNTIFS('Таблиця 1'!$B:$B,$A561,'Таблиця 1'!$E:$E,"ІФС",'Таблиця 1'!$L:$L,"Уражено"))</f>
        <v/>
      </c>
      <c r="W561">
        <f>IF($A561="","",COUNTIFS('Таблиця 1'!$B:$B,$A561,'Таблиця 1'!$E:$E,"Інфраструктура",'Таблиця 1'!$L:$L,"Уражено"))</f>
        <v/>
      </c>
      <c r="X561">
        <f>IF($A561="","",SUMIFS('Таблиця 1'!$K:$K,'Таблиця 1'!$B:$B,$A561))</f>
        <v/>
      </c>
    </row>
    <row r="562">
      <c r="A562" s="81">
        <f>IF(A561="","",IF(A561+1&gt;MAX('Таблиця 1'!$B:$B),"",A561+1))</f>
        <v/>
      </c>
      <c r="B562">
        <f>IF($A562="","",COUNTIFS('Таблиця 1'!$B:$B,$A562,'Таблиця 1'!$E:$E,"ЖС ВЗ",'Таблиця 1'!$L:$L,"Уражено"))</f>
        <v/>
      </c>
      <c r="C562">
        <f>IF($A562="","",COUNTIFS('Таблиця 1'!$B:$B,$A562,'Таблиця 1'!$E:$E,"Арт. Системи",'Таблиця 1'!$L:$L,"Уражено"))</f>
        <v/>
      </c>
      <c r="D562">
        <f>IF($A562="","",COUNTIFS('Таблиця 1'!$B:$B,$A562,'Таблиця 1'!$E:$E,"ОВТ",'Таблиця 1'!$L:$L,"Уражено"))</f>
        <v/>
      </c>
      <c r="E562">
        <f>IF($A562="","",COUNTIFS('Таблиця 1'!$B:$B,$A562,'Таблиця 1'!$E:$E,"ППО",'Таблиця 1'!$L:$L,"Уражено"))</f>
        <v/>
      </c>
      <c r="F562">
        <f>IF($A562="","",COUNTIFS('Таблиця 1'!$B:$B,$A562,'Таблиця 1'!$E:$E,"Рембаза",'Таблиця 1'!$L:$L,"Уражено"))</f>
        <v/>
      </c>
      <c r="G562">
        <f>IF($A562="","",COUNTIFS('Таблиця 1'!$B:$B,$A562,'Таблиця 1'!$E:$E,"Склад БК",'Таблиця 1'!$L:$L,"Уражено"))</f>
        <v/>
      </c>
      <c r="H562">
        <f>IF($A562="","",COUNTIFS('Таблиця 1'!$B:$B,$A562,'Таблиця 1'!$E:$E,"Склад ВТМ",'Таблиця 1'!$L:$L,"Уражено"))</f>
        <v/>
      </c>
      <c r="I562">
        <f>IF($A562="","",COUNTIFS('Таблиця 1'!$B:$B,$A562,'Таблиця 1'!$E:$E,"ПУ БпЛА",'Таблиця 1'!$L:$L,"Уражено"))</f>
        <v/>
      </c>
      <c r="J562">
        <f>IF($A562="","",COUNTIFS('Таблиця 1'!$B:$B,$A562,'Таблиця 1'!$E:$E,"СП",'Таблиця 1'!$L:$L,"Уражено"))</f>
        <v/>
      </c>
      <c r="K562">
        <f>IF($A562="","",COUNTIFS('Таблиця 1'!$B:$B,$A562,'Таблиця 1'!$E:$E,"КСП роти",'Таблиця 1'!$L:$L,"Уражено"))</f>
        <v/>
      </c>
      <c r="L562">
        <f>IF($A562="","",COUNTIFS('Таблиця 1'!$B:$B,$A562,'Таблиця 1'!$E:$E,"ПУ бат",'Таблиця 1'!$L:$L,"Уражено"))</f>
        <v/>
      </c>
      <c r="M562">
        <f>IF($A562="","",COUNTIFS('Таблиця 1'!$B:$B,$A562,'Таблиця 1'!$E:$E,"ПУ бриг",'Таблиця 1'!$L:$L,"Уражено"))</f>
        <v/>
      </c>
      <c r="N562">
        <f>IF($A562="","",COUNTIFS('Таблиця 1'!$B:$B,$A562,'Таблиця 1'!$E:$E,"ПУ див",'Таблиця 1'!$L:$L,"Уражено"))</f>
        <v/>
      </c>
      <c r="O562">
        <f>IF($A562="","",COUNTIFS('Таблиця 1'!$B:$B,$A562,'Таблиця 1'!$E:$E,"обл. РЕБ",'Таблиця 1'!$L:$L,"Уражено"))</f>
        <v/>
      </c>
      <c r="P562">
        <f>IF($A562="","",COUNTIFS('Таблиця 1'!$B:$B,$A562,'Таблиця 1'!$E:$E,"пос РЕБ",'Таблиця 1'!$L:$L,"Уражено"))</f>
        <v/>
      </c>
      <c r="Q562">
        <f>IF($A562="","",COUNTIFS('Таблиця 1'!$B:$B,$A562,'Таблиця 1'!$E:$E,"група РЕР",'Таблиця 1'!$L:$L,"Уражено"))</f>
        <v/>
      </c>
      <c r="R562">
        <f>IF($A562="","",COUNTIFS('Таблиця 1'!$B:$B,$A562,'Таблиця 1'!$E:$E,"РЛС КББ",'Таблиця 1'!$L:$L,"Уражено"))</f>
        <v/>
      </c>
      <c r="S562">
        <f>IF($A562="","",COUNTIFS('Таблиця 1'!$B:$B,$A562,'Таблиця 1'!$E:$E,"Ретранслятор",'Таблиця 1'!$L:$L,"Уражено"))</f>
        <v/>
      </c>
      <c r="T562">
        <f>IF($A562="","",COUNTIFS('Таблиця 1'!$B:$B,$A562,'Таблиця 1'!$E:$E,"Вз.зв'язку",'Таблиця 1'!$L:$L,"Уражено"))</f>
        <v/>
      </c>
      <c r="U562">
        <f>IF($A562="","",COUNTIFS('Таблиця 1'!$B:$B,$A562,'Таблиця 1'!$E:$E,"ПММ",'Таблиця 1'!$L:$L,"Уражено"))</f>
        <v/>
      </c>
      <c r="V562">
        <f>IF($A562="","",COUNTIFS('Таблиця 1'!$B:$B,$A562,'Таблиця 1'!$E:$E,"ІФС",'Таблиця 1'!$L:$L,"Уражено"))</f>
        <v/>
      </c>
      <c r="W562">
        <f>IF($A562="","",COUNTIFS('Таблиця 1'!$B:$B,$A562,'Таблиця 1'!$E:$E,"Інфраструктура",'Таблиця 1'!$L:$L,"Уражено"))</f>
        <v/>
      </c>
      <c r="X562">
        <f>IF($A562="","",SUMIFS('Таблиця 1'!$K:$K,'Таблиця 1'!$B:$B,$A562))</f>
        <v/>
      </c>
    </row>
    <row r="563">
      <c r="A563" s="81">
        <f>IF(A562="","",IF(A562+1&gt;MAX('Таблиця 1'!$B:$B),"",A562+1))</f>
        <v/>
      </c>
      <c r="B563">
        <f>IF($A563="","",COUNTIFS('Таблиця 1'!$B:$B,$A563,'Таблиця 1'!$E:$E,"ЖС ВЗ",'Таблиця 1'!$L:$L,"Уражено"))</f>
        <v/>
      </c>
      <c r="C563">
        <f>IF($A563="","",COUNTIFS('Таблиця 1'!$B:$B,$A563,'Таблиця 1'!$E:$E,"Арт. Системи",'Таблиця 1'!$L:$L,"Уражено"))</f>
        <v/>
      </c>
      <c r="D563">
        <f>IF($A563="","",COUNTIFS('Таблиця 1'!$B:$B,$A563,'Таблиця 1'!$E:$E,"ОВТ",'Таблиця 1'!$L:$L,"Уражено"))</f>
        <v/>
      </c>
      <c r="E563">
        <f>IF($A563="","",COUNTIFS('Таблиця 1'!$B:$B,$A563,'Таблиця 1'!$E:$E,"ППО",'Таблиця 1'!$L:$L,"Уражено"))</f>
        <v/>
      </c>
      <c r="F563">
        <f>IF($A563="","",COUNTIFS('Таблиця 1'!$B:$B,$A563,'Таблиця 1'!$E:$E,"Рембаза",'Таблиця 1'!$L:$L,"Уражено"))</f>
        <v/>
      </c>
      <c r="G563">
        <f>IF($A563="","",COUNTIFS('Таблиця 1'!$B:$B,$A563,'Таблиця 1'!$E:$E,"Склад БК",'Таблиця 1'!$L:$L,"Уражено"))</f>
        <v/>
      </c>
      <c r="H563">
        <f>IF($A563="","",COUNTIFS('Таблиця 1'!$B:$B,$A563,'Таблиця 1'!$E:$E,"Склад ВТМ",'Таблиця 1'!$L:$L,"Уражено"))</f>
        <v/>
      </c>
      <c r="I563">
        <f>IF($A563="","",COUNTIFS('Таблиця 1'!$B:$B,$A563,'Таблиця 1'!$E:$E,"ПУ БпЛА",'Таблиця 1'!$L:$L,"Уражено"))</f>
        <v/>
      </c>
      <c r="J563">
        <f>IF($A563="","",COUNTIFS('Таблиця 1'!$B:$B,$A563,'Таблиця 1'!$E:$E,"СП",'Таблиця 1'!$L:$L,"Уражено"))</f>
        <v/>
      </c>
      <c r="K563">
        <f>IF($A563="","",COUNTIFS('Таблиця 1'!$B:$B,$A563,'Таблиця 1'!$E:$E,"КСП роти",'Таблиця 1'!$L:$L,"Уражено"))</f>
        <v/>
      </c>
      <c r="L563">
        <f>IF($A563="","",COUNTIFS('Таблиця 1'!$B:$B,$A563,'Таблиця 1'!$E:$E,"ПУ бат",'Таблиця 1'!$L:$L,"Уражено"))</f>
        <v/>
      </c>
      <c r="M563">
        <f>IF($A563="","",COUNTIFS('Таблиця 1'!$B:$B,$A563,'Таблиця 1'!$E:$E,"ПУ бриг",'Таблиця 1'!$L:$L,"Уражено"))</f>
        <v/>
      </c>
      <c r="N563">
        <f>IF($A563="","",COUNTIFS('Таблиця 1'!$B:$B,$A563,'Таблиця 1'!$E:$E,"ПУ див",'Таблиця 1'!$L:$L,"Уражено"))</f>
        <v/>
      </c>
      <c r="O563">
        <f>IF($A563="","",COUNTIFS('Таблиця 1'!$B:$B,$A563,'Таблиця 1'!$E:$E,"обл. РЕБ",'Таблиця 1'!$L:$L,"Уражено"))</f>
        <v/>
      </c>
      <c r="P563">
        <f>IF($A563="","",COUNTIFS('Таблиця 1'!$B:$B,$A563,'Таблиця 1'!$E:$E,"пос РЕБ",'Таблиця 1'!$L:$L,"Уражено"))</f>
        <v/>
      </c>
      <c r="Q563">
        <f>IF($A563="","",COUNTIFS('Таблиця 1'!$B:$B,$A563,'Таблиця 1'!$E:$E,"група РЕР",'Таблиця 1'!$L:$L,"Уражено"))</f>
        <v/>
      </c>
      <c r="R563">
        <f>IF($A563="","",COUNTIFS('Таблиця 1'!$B:$B,$A563,'Таблиця 1'!$E:$E,"РЛС КББ",'Таблиця 1'!$L:$L,"Уражено"))</f>
        <v/>
      </c>
      <c r="S563">
        <f>IF($A563="","",COUNTIFS('Таблиця 1'!$B:$B,$A563,'Таблиця 1'!$E:$E,"Ретранслятор",'Таблиця 1'!$L:$L,"Уражено"))</f>
        <v/>
      </c>
      <c r="T563">
        <f>IF($A563="","",COUNTIFS('Таблиця 1'!$B:$B,$A563,'Таблиця 1'!$E:$E,"Вз.зв'язку",'Таблиця 1'!$L:$L,"Уражено"))</f>
        <v/>
      </c>
      <c r="U563">
        <f>IF($A563="","",COUNTIFS('Таблиця 1'!$B:$B,$A563,'Таблиця 1'!$E:$E,"ПММ",'Таблиця 1'!$L:$L,"Уражено"))</f>
        <v/>
      </c>
      <c r="V563">
        <f>IF($A563="","",COUNTIFS('Таблиця 1'!$B:$B,$A563,'Таблиця 1'!$E:$E,"ІФС",'Таблиця 1'!$L:$L,"Уражено"))</f>
        <v/>
      </c>
      <c r="W563">
        <f>IF($A563="","",COUNTIFS('Таблиця 1'!$B:$B,$A563,'Таблиця 1'!$E:$E,"Інфраструктура",'Таблиця 1'!$L:$L,"Уражено"))</f>
        <v/>
      </c>
      <c r="X563">
        <f>IF($A563="","",SUMIFS('Таблиця 1'!$K:$K,'Таблиця 1'!$B:$B,$A563))</f>
        <v/>
      </c>
    </row>
    <row r="564">
      <c r="A564" s="81">
        <f>IF(A563="","",IF(A563+1&gt;MAX('Таблиця 1'!$B:$B),"",A563+1))</f>
        <v/>
      </c>
      <c r="B564">
        <f>IF($A564="","",COUNTIFS('Таблиця 1'!$B:$B,$A564,'Таблиця 1'!$E:$E,"ЖС ВЗ",'Таблиця 1'!$L:$L,"Уражено"))</f>
        <v/>
      </c>
      <c r="C564">
        <f>IF($A564="","",COUNTIFS('Таблиця 1'!$B:$B,$A564,'Таблиця 1'!$E:$E,"Арт. Системи",'Таблиця 1'!$L:$L,"Уражено"))</f>
        <v/>
      </c>
      <c r="D564">
        <f>IF($A564="","",COUNTIFS('Таблиця 1'!$B:$B,$A564,'Таблиця 1'!$E:$E,"ОВТ",'Таблиця 1'!$L:$L,"Уражено"))</f>
        <v/>
      </c>
      <c r="E564">
        <f>IF($A564="","",COUNTIFS('Таблиця 1'!$B:$B,$A564,'Таблиця 1'!$E:$E,"ППО",'Таблиця 1'!$L:$L,"Уражено"))</f>
        <v/>
      </c>
      <c r="F564">
        <f>IF($A564="","",COUNTIFS('Таблиця 1'!$B:$B,$A564,'Таблиця 1'!$E:$E,"Рембаза",'Таблиця 1'!$L:$L,"Уражено"))</f>
        <v/>
      </c>
      <c r="G564">
        <f>IF($A564="","",COUNTIFS('Таблиця 1'!$B:$B,$A564,'Таблиця 1'!$E:$E,"Склад БК",'Таблиця 1'!$L:$L,"Уражено"))</f>
        <v/>
      </c>
      <c r="H564">
        <f>IF($A564="","",COUNTIFS('Таблиця 1'!$B:$B,$A564,'Таблиця 1'!$E:$E,"Склад ВТМ",'Таблиця 1'!$L:$L,"Уражено"))</f>
        <v/>
      </c>
      <c r="I564">
        <f>IF($A564="","",COUNTIFS('Таблиця 1'!$B:$B,$A564,'Таблиця 1'!$E:$E,"ПУ БпЛА",'Таблиця 1'!$L:$L,"Уражено"))</f>
        <v/>
      </c>
      <c r="J564">
        <f>IF($A564="","",COUNTIFS('Таблиця 1'!$B:$B,$A564,'Таблиця 1'!$E:$E,"СП",'Таблиця 1'!$L:$L,"Уражено"))</f>
        <v/>
      </c>
      <c r="K564">
        <f>IF($A564="","",COUNTIFS('Таблиця 1'!$B:$B,$A564,'Таблиця 1'!$E:$E,"КСП роти",'Таблиця 1'!$L:$L,"Уражено"))</f>
        <v/>
      </c>
      <c r="L564">
        <f>IF($A564="","",COUNTIFS('Таблиця 1'!$B:$B,$A564,'Таблиця 1'!$E:$E,"ПУ бат",'Таблиця 1'!$L:$L,"Уражено"))</f>
        <v/>
      </c>
      <c r="M564">
        <f>IF($A564="","",COUNTIFS('Таблиця 1'!$B:$B,$A564,'Таблиця 1'!$E:$E,"ПУ бриг",'Таблиця 1'!$L:$L,"Уражено"))</f>
        <v/>
      </c>
      <c r="N564">
        <f>IF($A564="","",COUNTIFS('Таблиця 1'!$B:$B,$A564,'Таблиця 1'!$E:$E,"ПУ див",'Таблиця 1'!$L:$L,"Уражено"))</f>
        <v/>
      </c>
      <c r="O564">
        <f>IF($A564="","",COUNTIFS('Таблиця 1'!$B:$B,$A564,'Таблиця 1'!$E:$E,"обл. РЕБ",'Таблиця 1'!$L:$L,"Уражено"))</f>
        <v/>
      </c>
      <c r="P564">
        <f>IF($A564="","",COUNTIFS('Таблиця 1'!$B:$B,$A564,'Таблиця 1'!$E:$E,"пос РЕБ",'Таблиця 1'!$L:$L,"Уражено"))</f>
        <v/>
      </c>
      <c r="Q564">
        <f>IF($A564="","",COUNTIFS('Таблиця 1'!$B:$B,$A564,'Таблиця 1'!$E:$E,"група РЕР",'Таблиця 1'!$L:$L,"Уражено"))</f>
        <v/>
      </c>
      <c r="R564">
        <f>IF($A564="","",COUNTIFS('Таблиця 1'!$B:$B,$A564,'Таблиця 1'!$E:$E,"РЛС КББ",'Таблиця 1'!$L:$L,"Уражено"))</f>
        <v/>
      </c>
      <c r="S564">
        <f>IF($A564="","",COUNTIFS('Таблиця 1'!$B:$B,$A564,'Таблиця 1'!$E:$E,"Ретранслятор",'Таблиця 1'!$L:$L,"Уражено"))</f>
        <v/>
      </c>
      <c r="T564">
        <f>IF($A564="","",COUNTIFS('Таблиця 1'!$B:$B,$A564,'Таблиця 1'!$E:$E,"Вз.зв'язку",'Таблиця 1'!$L:$L,"Уражено"))</f>
        <v/>
      </c>
      <c r="U564">
        <f>IF($A564="","",COUNTIFS('Таблиця 1'!$B:$B,$A564,'Таблиця 1'!$E:$E,"ПММ",'Таблиця 1'!$L:$L,"Уражено"))</f>
        <v/>
      </c>
      <c r="V564">
        <f>IF($A564="","",COUNTIFS('Таблиця 1'!$B:$B,$A564,'Таблиця 1'!$E:$E,"ІФС",'Таблиця 1'!$L:$L,"Уражено"))</f>
        <v/>
      </c>
      <c r="W564">
        <f>IF($A564="","",COUNTIFS('Таблиця 1'!$B:$B,$A564,'Таблиця 1'!$E:$E,"Інфраструктура",'Таблиця 1'!$L:$L,"Уражено"))</f>
        <v/>
      </c>
      <c r="X564">
        <f>IF($A564="","",SUMIFS('Таблиця 1'!$K:$K,'Таблиця 1'!$B:$B,$A564))</f>
        <v/>
      </c>
    </row>
    <row r="565">
      <c r="A565" s="81">
        <f>IF(A564="","",IF(A564+1&gt;MAX('Таблиця 1'!$B:$B),"",A564+1))</f>
        <v/>
      </c>
      <c r="B565">
        <f>IF($A565="","",COUNTIFS('Таблиця 1'!$B:$B,$A565,'Таблиця 1'!$E:$E,"ЖС ВЗ",'Таблиця 1'!$L:$L,"Уражено"))</f>
        <v/>
      </c>
      <c r="C565">
        <f>IF($A565="","",COUNTIFS('Таблиця 1'!$B:$B,$A565,'Таблиця 1'!$E:$E,"Арт. Системи",'Таблиця 1'!$L:$L,"Уражено"))</f>
        <v/>
      </c>
      <c r="D565">
        <f>IF($A565="","",COUNTIFS('Таблиця 1'!$B:$B,$A565,'Таблиця 1'!$E:$E,"ОВТ",'Таблиця 1'!$L:$L,"Уражено"))</f>
        <v/>
      </c>
      <c r="E565">
        <f>IF($A565="","",COUNTIFS('Таблиця 1'!$B:$B,$A565,'Таблиця 1'!$E:$E,"ППО",'Таблиця 1'!$L:$L,"Уражено"))</f>
        <v/>
      </c>
      <c r="F565">
        <f>IF($A565="","",COUNTIFS('Таблиця 1'!$B:$B,$A565,'Таблиця 1'!$E:$E,"Рембаза",'Таблиця 1'!$L:$L,"Уражено"))</f>
        <v/>
      </c>
      <c r="G565">
        <f>IF($A565="","",COUNTIFS('Таблиця 1'!$B:$B,$A565,'Таблиця 1'!$E:$E,"Склад БК",'Таблиця 1'!$L:$L,"Уражено"))</f>
        <v/>
      </c>
      <c r="H565">
        <f>IF($A565="","",COUNTIFS('Таблиця 1'!$B:$B,$A565,'Таблиця 1'!$E:$E,"Склад ВТМ",'Таблиця 1'!$L:$L,"Уражено"))</f>
        <v/>
      </c>
      <c r="I565">
        <f>IF($A565="","",COUNTIFS('Таблиця 1'!$B:$B,$A565,'Таблиця 1'!$E:$E,"ПУ БпЛА",'Таблиця 1'!$L:$L,"Уражено"))</f>
        <v/>
      </c>
      <c r="J565">
        <f>IF($A565="","",COUNTIFS('Таблиця 1'!$B:$B,$A565,'Таблиця 1'!$E:$E,"СП",'Таблиця 1'!$L:$L,"Уражено"))</f>
        <v/>
      </c>
      <c r="K565">
        <f>IF($A565="","",COUNTIFS('Таблиця 1'!$B:$B,$A565,'Таблиця 1'!$E:$E,"КСП роти",'Таблиця 1'!$L:$L,"Уражено"))</f>
        <v/>
      </c>
      <c r="L565">
        <f>IF($A565="","",COUNTIFS('Таблиця 1'!$B:$B,$A565,'Таблиця 1'!$E:$E,"ПУ бат",'Таблиця 1'!$L:$L,"Уражено"))</f>
        <v/>
      </c>
      <c r="M565">
        <f>IF($A565="","",COUNTIFS('Таблиця 1'!$B:$B,$A565,'Таблиця 1'!$E:$E,"ПУ бриг",'Таблиця 1'!$L:$L,"Уражено"))</f>
        <v/>
      </c>
      <c r="N565">
        <f>IF($A565="","",COUNTIFS('Таблиця 1'!$B:$B,$A565,'Таблиця 1'!$E:$E,"ПУ див",'Таблиця 1'!$L:$L,"Уражено"))</f>
        <v/>
      </c>
      <c r="O565">
        <f>IF($A565="","",COUNTIFS('Таблиця 1'!$B:$B,$A565,'Таблиця 1'!$E:$E,"обл. РЕБ",'Таблиця 1'!$L:$L,"Уражено"))</f>
        <v/>
      </c>
      <c r="P565">
        <f>IF($A565="","",COUNTIFS('Таблиця 1'!$B:$B,$A565,'Таблиця 1'!$E:$E,"пос РЕБ",'Таблиця 1'!$L:$L,"Уражено"))</f>
        <v/>
      </c>
      <c r="Q565">
        <f>IF($A565="","",COUNTIFS('Таблиця 1'!$B:$B,$A565,'Таблиця 1'!$E:$E,"група РЕР",'Таблиця 1'!$L:$L,"Уражено"))</f>
        <v/>
      </c>
      <c r="R565">
        <f>IF($A565="","",COUNTIFS('Таблиця 1'!$B:$B,$A565,'Таблиця 1'!$E:$E,"РЛС КББ",'Таблиця 1'!$L:$L,"Уражено"))</f>
        <v/>
      </c>
      <c r="S565">
        <f>IF($A565="","",COUNTIFS('Таблиця 1'!$B:$B,$A565,'Таблиця 1'!$E:$E,"Ретранслятор",'Таблиця 1'!$L:$L,"Уражено"))</f>
        <v/>
      </c>
      <c r="T565">
        <f>IF($A565="","",COUNTIFS('Таблиця 1'!$B:$B,$A565,'Таблиця 1'!$E:$E,"Вз.зв'язку",'Таблиця 1'!$L:$L,"Уражено"))</f>
        <v/>
      </c>
      <c r="U565">
        <f>IF($A565="","",COUNTIFS('Таблиця 1'!$B:$B,$A565,'Таблиця 1'!$E:$E,"ПММ",'Таблиця 1'!$L:$L,"Уражено"))</f>
        <v/>
      </c>
      <c r="V565">
        <f>IF($A565="","",COUNTIFS('Таблиця 1'!$B:$B,$A565,'Таблиця 1'!$E:$E,"ІФС",'Таблиця 1'!$L:$L,"Уражено"))</f>
        <v/>
      </c>
      <c r="W565">
        <f>IF($A565="","",COUNTIFS('Таблиця 1'!$B:$B,$A565,'Таблиця 1'!$E:$E,"Інфраструктура",'Таблиця 1'!$L:$L,"Уражено"))</f>
        <v/>
      </c>
      <c r="X565">
        <f>IF($A565="","",SUMIFS('Таблиця 1'!$K:$K,'Таблиця 1'!$B:$B,$A565))</f>
        <v/>
      </c>
    </row>
    <row r="566">
      <c r="A566" s="81">
        <f>IF(A565="","",IF(A565+1&gt;MAX('Таблиця 1'!$B:$B),"",A565+1))</f>
        <v/>
      </c>
      <c r="B566">
        <f>IF($A566="","",COUNTIFS('Таблиця 1'!$B:$B,$A566,'Таблиця 1'!$E:$E,"ЖС ВЗ",'Таблиця 1'!$L:$L,"Уражено"))</f>
        <v/>
      </c>
      <c r="C566">
        <f>IF($A566="","",COUNTIFS('Таблиця 1'!$B:$B,$A566,'Таблиця 1'!$E:$E,"Арт. Системи",'Таблиця 1'!$L:$L,"Уражено"))</f>
        <v/>
      </c>
      <c r="D566">
        <f>IF($A566="","",COUNTIFS('Таблиця 1'!$B:$B,$A566,'Таблиця 1'!$E:$E,"ОВТ",'Таблиця 1'!$L:$L,"Уражено"))</f>
        <v/>
      </c>
      <c r="E566">
        <f>IF($A566="","",COUNTIFS('Таблиця 1'!$B:$B,$A566,'Таблиця 1'!$E:$E,"ППО",'Таблиця 1'!$L:$L,"Уражено"))</f>
        <v/>
      </c>
      <c r="F566">
        <f>IF($A566="","",COUNTIFS('Таблиця 1'!$B:$B,$A566,'Таблиця 1'!$E:$E,"Рембаза",'Таблиця 1'!$L:$L,"Уражено"))</f>
        <v/>
      </c>
      <c r="G566">
        <f>IF($A566="","",COUNTIFS('Таблиця 1'!$B:$B,$A566,'Таблиця 1'!$E:$E,"Склад БК",'Таблиця 1'!$L:$L,"Уражено"))</f>
        <v/>
      </c>
      <c r="H566">
        <f>IF($A566="","",COUNTIFS('Таблиця 1'!$B:$B,$A566,'Таблиця 1'!$E:$E,"Склад ВТМ",'Таблиця 1'!$L:$L,"Уражено"))</f>
        <v/>
      </c>
      <c r="I566">
        <f>IF($A566="","",COUNTIFS('Таблиця 1'!$B:$B,$A566,'Таблиця 1'!$E:$E,"ПУ БпЛА",'Таблиця 1'!$L:$L,"Уражено"))</f>
        <v/>
      </c>
      <c r="J566">
        <f>IF($A566="","",COUNTIFS('Таблиця 1'!$B:$B,$A566,'Таблиця 1'!$E:$E,"СП",'Таблиця 1'!$L:$L,"Уражено"))</f>
        <v/>
      </c>
      <c r="K566">
        <f>IF($A566="","",COUNTIFS('Таблиця 1'!$B:$B,$A566,'Таблиця 1'!$E:$E,"КСП роти",'Таблиця 1'!$L:$L,"Уражено"))</f>
        <v/>
      </c>
      <c r="L566">
        <f>IF($A566="","",COUNTIFS('Таблиця 1'!$B:$B,$A566,'Таблиця 1'!$E:$E,"ПУ бат",'Таблиця 1'!$L:$L,"Уражено"))</f>
        <v/>
      </c>
      <c r="M566">
        <f>IF($A566="","",COUNTIFS('Таблиця 1'!$B:$B,$A566,'Таблиця 1'!$E:$E,"ПУ бриг",'Таблиця 1'!$L:$L,"Уражено"))</f>
        <v/>
      </c>
      <c r="N566">
        <f>IF($A566="","",COUNTIFS('Таблиця 1'!$B:$B,$A566,'Таблиця 1'!$E:$E,"ПУ див",'Таблиця 1'!$L:$L,"Уражено"))</f>
        <v/>
      </c>
      <c r="O566">
        <f>IF($A566="","",COUNTIFS('Таблиця 1'!$B:$B,$A566,'Таблиця 1'!$E:$E,"обл. РЕБ",'Таблиця 1'!$L:$L,"Уражено"))</f>
        <v/>
      </c>
      <c r="P566">
        <f>IF($A566="","",COUNTIFS('Таблиця 1'!$B:$B,$A566,'Таблиця 1'!$E:$E,"пос РЕБ",'Таблиця 1'!$L:$L,"Уражено"))</f>
        <v/>
      </c>
      <c r="Q566">
        <f>IF($A566="","",COUNTIFS('Таблиця 1'!$B:$B,$A566,'Таблиця 1'!$E:$E,"група РЕР",'Таблиця 1'!$L:$L,"Уражено"))</f>
        <v/>
      </c>
      <c r="R566">
        <f>IF($A566="","",COUNTIFS('Таблиця 1'!$B:$B,$A566,'Таблиця 1'!$E:$E,"РЛС КББ",'Таблиця 1'!$L:$L,"Уражено"))</f>
        <v/>
      </c>
      <c r="S566">
        <f>IF($A566="","",COUNTIFS('Таблиця 1'!$B:$B,$A566,'Таблиця 1'!$E:$E,"Ретранслятор",'Таблиця 1'!$L:$L,"Уражено"))</f>
        <v/>
      </c>
      <c r="T566">
        <f>IF($A566="","",COUNTIFS('Таблиця 1'!$B:$B,$A566,'Таблиця 1'!$E:$E,"Вз.зв'язку",'Таблиця 1'!$L:$L,"Уражено"))</f>
        <v/>
      </c>
      <c r="U566">
        <f>IF($A566="","",COUNTIFS('Таблиця 1'!$B:$B,$A566,'Таблиця 1'!$E:$E,"ПММ",'Таблиця 1'!$L:$L,"Уражено"))</f>
        <v/>
      </c>
      <c r="V566">
        <f>IF($A566="","",COUNTIFS('Таблиця 1'!$B:$B,$A566,'Таблиця 1'!$E:$E,"ІФС",'Таблиця 1'!$L:$L,"Уражено"))</f>
        <v/>
      </c>
      <c r="W566">
        <f>IF($A566="","",COUNTIFS('Таблиця 1'!$B:$B,$A566,'Таблиця 1'!$E:$E,"Інфраструктура",'Таблиця 1'!$L:$L,"Уражено"))</f>
        <v/>
      </c>
      <c r="X566">
        <f>IF($A566="","",SUMIFS('Таблиця 1'!$K:$K,'Таблиця 1'!$B:$B,$A566))</f>
        <v/>
      </c>
    </row>
    <row r="567">
      <c r="A567" s="81">
        <f>IF(A566="","",IF(A566+1&gt;MAX('Таблиця 1'!$B:$B),"",A566+1))</f>
        <v/>
      </c>
      <c r="B567">
        <f>IF($A567="","",COUNTIFS('Таблиця 1'!$B:$B,$A567,'Таблиця 1'!$E:$E,"ЖС ВЗ",'Таблиця 1'!$L:$L,"Уражено"))</f>
        <v/>
      </c>
      <c r="C567">
        <f>IF($A567="","",COUNTIFS('Таблиця 1'!$B:$B,$A567,'Таблиця 1'!$E:$E,"Арт. Системи",'Таблиця 1'!$L:$L,"Уражено"))</f>
        <v/>
      </c>
      <c r="D567">
        <f>IF($A567="","",COUNTIFS('Таблиця 1'!$B:$B,$A567,'Таблиця 1'!$E:$E,"ОВТ",'Таблиця 1'!$L:$L,"Уражено"))</f>
        <v/>
      </c>
      <c r="E567">
        <f>IF($A567="","",COUNTIFS('Таблиця 1'!$B:$B,$A567,'Таблиця 1'!$E:$E,"ППО",'Таблиця 1'!$L:$L,"Уражено"))</f>
        <v/>
      </c>
      <c r="F567">
        <f>IF($A567="","",COUNTIFS('Таблиця 1'!$B:$B,$A567,'Таблиця 1'!$E:$E,"Рембаза",'Таблиця 1'!$L:$L,"Уражено"))</f>
        <v/>
      </c>
      <c r="G567">
        <f>IF($A567="","",COUNTIFS('Таблиця 1'!$B:$B,$A567,'Таблиця 1'!$E:$E,"Склад БК",'Таблиця 1'!$L:$L,"Уражено"))</f>
        <v/>
      </c>
      <c r="H567">
        <f>IF($A567="","",COUNTIFS('Таблиця 1'!$B:$B,$A567,'Таблиця 1'!$E:$E,"Склад ВТМ",'Таблиця 1'!$L:$L,"Уражено"))</f>
        <v/>
      </c>
      <c r="I567">
        <f>IF($A567="","",COUNTIFS('Таблиця 1'!$B:$B,$A567,'Таблиця 1'!$E:$E,"ПУ БпЛА",'Таблиця 1'!$L:$L,"Уражено"))</f>
        <v/>
      </c>
      <c r="J567">
        <f>IF($A567="","",COUNTIFS('Таблиця 1'!$B:$B,$A567,'Таблиця 1'!$E:$E,"СП",'Таблиця 1'!$L:$L,"Уражено"))</f>
        <v/>
      </c>
      <c r="K567">
        <f>IF($A567="","",COUNTIFS('Таблиця 1'!$B:$B,$A567,'Таблиця 1'!$E:$E,"КСП роти",'Таблиця 1'!$L:$L,"Уражено"))</f>
        <v/>
      </c>
      <c r="L567">
        <f>IF($A567="","",COUNTIFS('Таблиця 1'!$B:$B,$A567,'Таблиця 1'!$E:$E,"ПУ бат",'Таблиця 1'!$L:$L,"Уражено"))</f>
        <v/>
      </c>
      <c r="M567">
        <f>IF($A567="","",COUNTIFS('Таблиця 1'!$B:$B,$A567,'Таблиця 1'!$E:$E,"ПУ бриг",'Таблиця 1'!$L:$L,"Уражено"))</f>
        <v/>
      </c>
      <c r="N567">
        <f>IF($A567="","",COUNTIFS('Таблиця 1'!$B:$B,$A567,'Таблиця 1'!$E:$E,"ПУ див",'Таблиця 1'!$L:$L,"Уражено"))</f>
        <v/>
      </c>
      <c r="O567">
        <f>IF($A567="","",COUNTIFS('Таблиця 1'!$B:$B,$A567,'Таблиця 1'!$E:$E,"обл. РЕБ",'Таблиця 1'!$L:$L,"Уражено"))</f>
        <v/>
      </c>
      <c r="P567">
        <f>IF($A567="","",COUNTIFS('Таблиця 1'!$B:$B,$A567,'Таблиця 1'!$E:$E,"пос РЕБ",'Таблиця 1'!$L:$L,"Уражено"))</f>
        <v/>
      </c>
      <c r="Q567">
        <f>IF($A567="","",COUNTIFS('Таблиця 1'!$B:$B,$A567,'Таблиця 1'!$E:$E,"група РЕР",'Таблиця 1'!$L:$L,"Уражено"))</f>
        <v/>
      </c>
      <c r="R567">
        <f>IF($A567="","",COUNTIFS('Таблиця 1'!$B:$B,$A567,'Таблиця 1'!$E:$E,"РЛС КББ",'Таблиця 1'!$L:$L,"Уражено"))</f>
        <v/>
      </c>
      <c r="S567">
        <f>IF($A567="","",COUNTIFS('Таблиця 1'!$B:$B,$A567,'Таблиця 1'!$E:$E,"Ретранслятор",'Таблиця 1'!$L:$L,"Уражено"))</f>
        <v/>
      </c>
      <c r="T567">
        <f>IF($A567="","",COUNTIFS('Таблиця 1'!$B:$B,$A567,'Таблиця 1'!$E:$E,"Вз.зв'язку",'Таблиця 1'!$L:$L,"Уражено"))</f>
        <v/>
      </c>
      <c r="U567">
        <f>IF($A567="","",COUNTIFS('Таблиця 1'!$B:$B,$A567,'Таблиця 1'!$E:$E,"ПММ",'Таблиця 1'!$L:$L,"Уражено"))</f>
        <v/>
      </c>
      <c r="V567">
        <f>IF($A567="","",COUNTIFS('Таблиця 1'!$B:$B,$A567,'Таблиця 1'!$E:$E,"ІФС",'Таблиця 1'!$L:$L,"Уражено"))</f>
        <v/>
      </c>
      <c r="W567">
        <f>IF($A567="","",COUNTIFS('Таблиця 1'!$B:$B,$A567,'Таблиця 1'!$E:$E,"Інфраструктура",'Таблиця 1'!$L:$L,"Уражено"))</f>
        <v/>
      </c>
      <c r="X567">
        <f>IF($A567="","",SUMIFS('Таблиця 1'!$K:$K,'Таблиця 1'!$B:$B,$A567))</f>
        <v/>
      </c>
    </row>
    <row r="568">
      <c r="A568" s="81">
        <f>IF(A567="","",IF(A567+1&gt;MAX('Таблиця 1'!$B:$B),"",A567+1))</f>
        <v/>
      </c>
      <c r="B568">
        <f>IF($A568="","",COUNTIFS('Таблиця 1'!$B:$B,$A568,'Таблиця 1'!$E:$E,"ЖС ВЗ",'Таблиця 1'!$L:$L,"Уражено"))</f>
        <v/>
      </c>
      <c r="C568">
        <f>IF($A568="","",COUNTIFS('Таблиця 1'!$B:$B,$A568,'Таблиця 1'!$E:$E,"Арт. Системи",'Таблиця 1'!$L:$L,"Уражено"))</f>
        <v/>
      </c>
      <c r="D568">
        <f>IF($A568="","",COUNTIFS('Таблиця 1'!$B:$B,$A568,'Таблиця 1'!$E:$E,"ОВТ",'Таблиця 1'!$L:$L,"Уражено"))</f>
        <v/>
      </c>
      <c r="E568">
        <f>IF($A568="","",COUNTIFS('Таблиця 1'!$B:$B,$A568,'Таблиця 1'!$E:$E,"ППО",'Таблиця 1'!$L:$L,"Уражено"))</f>
        <v/>
      </c>
      <c r="F568">
        <f>IF($A568="","",COUNTIFS('Таблиця 1'!$B:$B,$A568,'Таблиця 1'!$E:$E,"Рембаза",'Таблиця 1'!$L:$L,"Уражено"))</f>
        <v/>
      </c>
      <c r="G568">
        <f>IF($A568="","",COUNTIFS('Таблиця 1'!$B:$B,$A568,'Таблиця 1'!$E:$E,"Склад БК",'Таблиця 1'!$L:$L,"Уражено"))</f>
        <v/>
      </c>
      <c r="H568">
        <f>IF($A568="","",COUNTIFS('Таблиця 1'!$B:$B,$A568,'Таблиця 1'!$E:$E,"Склад ВТМ",'Таблиця 1'!$L:$L,"Уражено"))</f>
        <v/>
      </c>
      <c r="I568">
        <f>IF($A568="","",COUNTIFS('Таблиця 1'!$B:$B,$A568,'Таблиця 1'!$E:$E,"ПУ БпЛА",'Таблиця 1'!$L:$L,"Уражено"))</f>
        <v/>
      </c>
      <c r="J568">
        <f>IF($A568="","",COUNTIFS('Таблиця 1'!$B:$B,$A568,'Таблиця 1'!$E:$E,"СП",'Таблиця 1'!$L:$L,"Уражено"))</f>
        <v/>
      </c>
      <c r="K568">
        <f>IF($A568="","",COUNTIFS('Таблиця 1'!$B:$B,$A568,'Таблиця 1'!$E:$E,"КСП роти",'Таблиця 1'!$L:$L,"Уражено"))</f>
        <v/>
      </c>
      <c r="L568">
        <f>IF($A568="","",COUNTIFS('Таблиця 1'!$B:$B,$A568,'Таблиця 1'!$E:$E,"ПУ бат",'Таблиця 1'!$L:$L,"Уражено"))</f>
        <v/>
      </c>
      <c r="M568">
        <f>IF($A568="","",COUNTIFS('Таблиця 1'!$B:$B,$A568,'Таблиця 1'!$E:$E,"ПУ бриг",'Таблиця 1'!$L:$L,"Уражено"))</f>
        <v/>
      </c>
      <c r="N568">
        <f>IF($A568="","",COUNTIFS('Таблиця 1'!$B:$B,$A568,'Таблиця 1'!$E:$E,"ПУ див",'Таблиця 1'!$L:$L,"Уражено"))</f>
        <v/>
      </c>
      <c r="O568">
        <f>IF($A568="","",COUNTIFS('Таблиця 1'!$B:$B,$A568,'Таблиця 1'!$E:$E,"обл. РЕБ",'Таблиця 1'!$L:$L,"Уражено"))</f>
        <v/>
      </c>
      <c r="P568">
        <f>IF($A568="","",COUNTIFS('Таблиця 1'!$B:$B,$A568,'Таблиця 1'!$E:$E,"пос РЕБ",'Таблиця 1'!$L:$L,"Уражено"))</f>
        <v/>
      </c>
      <c r="Q568">
        <f>IF($A568="","",COUNTIFS('Таблиця 1'!$B:$B,$A568,'Таблиця 1'!$E:$E,"група РЕР",'Таблиця 1'!$L:$L,"Уражено"))</f>
        <v/>
      </c>
      <c r="R568">
        <f>IF($A568="","",COUNTIFS('Таблиця 1'!$B:$B,$A568,'Таблиця 1'!$E:$E,"РЛС КББ",'Таблиця 1'!$L:$L,"Уражено"))</f>
        <v/>
      </c>
      <c r="S568">
        <f>IF($A568="","",COUNTIFS('Таблиця 1'!$B:$B,$A568,'Таблиця 1'!$E:$E,"Ретранслятор",'Таблиця 1'!$L:$L,"Уражено"))</f>
        <v/>
      </c>
      <c r="T568">
        <f>IF($A568="","",COUNTIFS('Таблиця 1'!$B:$B,$A568,'Таблиця 1'!$E:$E,"Вз.зв'язку",'Таблиця 1'!$L:$L,"Уражено"))</f>
        <v/>
      </c>
      <c r="U568">
        <f>IF($A568="","",COUNTIFS('Таблиця 1'!$B:$B,$A568,'Таблиця 1'!$E:$E,"ПММ",'Таблиця 1'!$L:$L,"Уражено"))</f>
        <v/>
      </c>
      <c r="V568">
        <f>IF($A568="","",COUNTIFS('Таблиця 1'!$B:$B,$A568,'Таблиця 1'!$E:$E,"ІФС",'Таблиця 1'!$L:$L,"Уражено"))</f>
        <v/>
      </c>
      <c r="W568">
        <f>IF($A568="","",COUNTIFS('Таблиця 1'!$B:$B,$A568,'Таблиця 1'!$E:$E,"Інфраструктура",'Таблиця 1'!$L:$L,"Уражено"))</f>
        <v/>
      </c>
      <c r="X568">
        <f>IF($A568="","",SUMIFS('Таблиця 1'!$K:$K,'Таблиця 1'!$B:$B,$A568))</f>
        <v/>
      </c>
    </row>
    <row r="569">
      <c r="A569" s="81">
        <f>IF(A568="","",IF(A568+1&gt;MAX('Таблиця 1'!$B:$B),"",A568+1))</f>
        <v/>
      </c>
      <c r="B569">
        <f>IF($A569="","",COUNTIFS('Таблиця 1'!$B:$B,$A569,'Таблиця 1'!$E:$E,"ЖС ВЗ",'Таблиця 1'!$L:$L,"Уражено"))</f>
        <v/>
      </c>
      <c r="C569">
        <f>IF($A569="","",COUNTIFS('Таблиця 1'!$B:$B,$A569,'Таблиця 1'!$E:$E,"Арт. Системи",'Таблиця 1'!$L:$L,"Уражено"))</f>
        <v/>
      </c>
      <c r="D569">
        <f>IF($A569="","",COUNTIFS('Таблиця 1'!$B:$B,$A569,'Таблиця 1'!$E:$E,"ОВТ",'Таблиця 1'!$L:$L,"Уражено"))</f>
        <v/>
      </c>
      <c r="E569">
        <f>IF($A569="","",COUNTIFS('Таблиця 1'!$B:$B,$A569,'Таблиця 1'!$E:$E,"ППО",'Таблиця 1'!$L:$L,"Уражено"))</f>
        <v/>
      </c>
      <c r="F569">
        <f>IF($A569="","",COUNTIFS('Таблиця 1'!$B:$B,$A569,'Таблиця 1'!$E:$E,"Рембаза",'Таблиця 1'!$L:$L,"Уражено"))</f>
        <v/>
      </c>
      <c r="G569">
        <f>IF($A569="","",COUNTIFS('Таблиця 1'!$B:$B,$A569,'Таблиця 1'!$E:$E,"Склад БК",'Таблиця 1'!$L:$L,"Уражено"))</f>
        <v/>
      </c>
      <c r="H569">
        <f>IF($A569="","",COUNTIFS('Таблиця 1'!$B:$B,$A569,'Таблиця 1'!$E:$E,"Склад ВТМ",'Таблиця 1'!$L:$L,"Уражено"))</f>
        <v/>
      </c>
      <c r="I569">
        <f>IF($A569="","",COUNTIFS('Таблиця 1'!$B:$B,$A569,'Таблиця 1'!$E:$E,"ПУ БпЛА",'Таблиця 1'!$L:$L,"Уражено"))</f>
        <v/>
      </c>
      <c r="J569">
        <f>IF($A569="","",COUNTIFS('Таблиця 1'!$B:$B,$A569,'Таблиця 1'!$E:$E,"СП",'Таблиця 1'!$L:$L,"Уражено"))</f>
        <v/>
      </c>
      <c r="K569">
        <f>IF($A569="","",COUNTIFS('Таблиця 1'!$B:$B,$A569,'Таблиця 1'!$E:$E,"КСП роти",'Таблиця 1'!$L:$L,"Уражено"))</f>
        <v/>
      </c>
      <c r="L569">
        <f>IF($A569="","",COUNTIFS('Таблиця 1'!$B:$B,$A569,'Таблиця 1'!$E:$E,"ПУ бат",'Таблиця 1'!$L:$L,"Уражено"))</f>
        <v/>
      </c>
      <c r="M569">
        <f>IF($A569="","",COUNTIFS('Таблиця 1'!$B:$B,$A569,'Таблиця 1'!$E:$E,"ПУ бриг",'Таблиця 1'!$L:$L,"Уражено"))</f>
        <v/>
      </c>
      <c r="N569">
        <f>IF($A569="","",COUNTIFS('Таблиця 1'!$B:$B,$A569,'Таблиця 1'!$E:$E,"ПУ див",'Таблиця 1'!$L:$L,"Уражено"))</f>
        <v/>
      </c>
      <c r="O569">
        <f>IF($A569="","",COUNTIFS('Таблиця 1'!$B:$B,$A569,'Таблиця 1'!$E:$E,"обл. РЕБ",'Таблиця 1'!$L:$L,"Уражено"))</f>
        <v/>
      </c>
      <c r="P569">
        <f>IF($A569="","",COUNTIFS('Таблиця 1'!$B:$B,$A569,'Таблиця 1'!$E:$E,"пос РЕБ",'Таблиця 1'!$L:$L,"Уражено"))</f>
        <v/>
      </c>
      <c r="Q569">
        <f>IF($A569="","",COUNTIFS('Таблиця 1'!$B:$B,$A569,'Таблиця 1'!$E:$E,"група РЕР",'Таблиця 1'!$L:$L,"Уражено"))</f>
        <v/>
      </c>
      <c r="R569">
        <f>IF($A569="","",COUNTIFS('Таблиця 1'!$B:$B,$A569,'Таблиця 1'!$E:$E,"РЛС КББ",'Таблиця 1'!$L:$L,"Уражено"))</f>
        <v/>
      </c>
      <c r="S569">
        <f>IF($A569="","",COUNTIFS('Таблиця 1'!$B:$B,$A569,'Таблиця 1'!$E:$E,"Ретранслятор",'Таблиця 1'!$L:$L,"Уражено"))</f>
        <v/>
      </c>
      <c r="T569">
        <f>IF($A569="","",COUNTIFS('Таблиця 1'!$B:$B,$A569,'Таблиця 1'!$E:$E,"Вз.зв'язку",'Таблиця 1'!$L:$L,"Уражено"))</f>
        <v/>
      </c>
      <c r="U569">
        <f>IF($A569="","",COUNTIFS('Таблиця 1'!$B:$B,$A569,'Таблиця 1'!$E:$E,"ПММ",'Таблиця 1'!$L:$L,"Уражено"))</f>
        <v/>
      </c>
      <c r="V569">
        <f>IF($A569="","",COUNTIFS('Таблиця 1'!$B:$B,$A569,'Таблиця 1'!$E:$E,"ІФС",'Таблиця 1'!$L:$L,"Уражено"))</f>
        <v/>
      </c>
      <c r="W569">
        <f>IF($A569="","",COUNTIFS('Таблиця 1'!$B:$B,$A569,'Таблиця 1'!$E:$E,"Інфраструктура",'Таблиця 1'!$L:$L,"Уражено"))</f>
        <v/>
      </c>
      <c r="X569">
        <f>IF($A569="","",SUMIFS('Таблиця 1'!$K:$K,'Таблиця 1'!$B:$B,$A569))</f>
        <v/>
      </c>
    </row>
    <row r="570">
      <c r="A570" s="81">
        <f>IF(A569="","",IF(A569+1&gt;MAX('Таблиця 1'!$B:$B),"",A569+1))</f>
        <v/>
      </c>
      <c r="B570">
        <f>IF($A570="","",COUNTIFS('Таблиця 1'!$B:$B,$A570,'Таблиця 1'!$E:$E,"ЖС ВЗ",'Таблиця 1'!$L:$L,"Уражено"))</f>
        <v/>
      </c>
      <c r="C570">
        <f>IF($A570="","",COUNTIFS('Таблиця 1'!$B:$B,$A570,'Таблиця 1'!$E:$E,"Арт. Системи",'Таблиця 1'!$L:$L,"Уражено"))</f>
        <v/>
      </c>
      <c r="D570">
        <f>IF($A570="","",COUNTIFS('Таблиця 1'!$B:$B,$A570,'Таблиця 1'!$E:$E,"ОВТ",'Таблиця 1'!$L:$L,"Уражено"))</f>
        <v/>
      </c>
      <c r="E570">
        <f>IF($A570="","",COUNTIFS('Таблиця 1'!$B:$B,$A570,'Таблиця 1'!$E:$E,"ППО",'Таблиця 1'!$L:$L,"Уражено"))</f>
        <v/>
      </c>
      <c r="F570">
        <f>IF($A570="","",COUNTIFS('Таблиця 1'!$B:$B,$A570,'Таблиця 1'!$E:$E,"Рембаза",'Таблиця 1'!$L:$L,"Уражено"))</f>
        <v/>
      </c>
      <c r="G570">
        <f>IF($A570="","",COUNTIFS('Таблиця 1'!$B:$B,$A570,'Таблиця 1'!$E:$E,"Склад БК",'Таблиця 1'!$L:$L,"Уражено"))</f>
        <v/>
      </c>
      <c r="H570">
        <f>IF($A570="","",COUNTIFS('Таблиця 1'!$B:$B,$A570,'Таблиця 1'!$E:$E,"Склад ВТМ",'Таблиця 1'!$L:$L,"Уражено"))</f>
        <v/>
      </c>
      <c r="I570">
        <f>IF($A570="","",COUNTIFS('Таблиця 1'!$B:$B,$A570,'Таблиця 1'!$E:$E,"ПУ БпЛА",'Таблиця 1'!$L:$L,"Уражено"))</f>
        <v/>
      </c>
      <c r="J570">
        <f>IF($A570="","",COUNTIFS('Таблиця 1'!$B:$B,$A570,'Таблиця 1'!$E:$E,"СП",'Таблиця 1'!$L:$L,"Уражено"))</f>
        <v/>
      </c>
      <c r="K570">
        <f>IF($A570="","",COUNTIFS('Таблиця 1'!$B:$B,$A570,'Таблиця 1'!$E:$E,"КСП роти",'Таблиця 1'!$L:$L,"Уражено"))</f>
        <v/>
      </c>
      <c r="L570">
        <f>IF($A570="","",COUNTIFS('Таблиця 1'!$B:$B,$A570,'Таблиця 1'!$E:$E,"ПУ бат",'Таблиця 1'!$L:$L,"Уражено"))</f>
        <v/>
      </c>
      <c r="M570">
        <f>IF($A570="","",COUNTIFS('Таблиця 1'!$B:$B,$A570,'Таблиця 1'!$E:$E,"ПУ бриг",'Таблиця 1'!$L:$L,"Уражено"))</f>
        <v/>
      </c>
      <c r="N570">
        <f>IF($A570="","",COUNTIFS('Таблиця 1'!$B:$B,$A570,'Таблиця 1'!$E:$E,"ПУ див",'Таблиця 1'!$L:$L,"Уражено"))</f>
        <v/>
      </c>
      <c r="O570">
        <f>IF($A570="","",COUNTIFS('Таблиця 1'!$B:$B,$A570,'Таблиця 1'!$E:$E,"обл. РЕБ",'Таблиця 1'!$L:$L,"Уражено"))</f>
        <v/>
      </c>
      <c r="P570">
        <f>IF($A570="","",COUNTIFS('Таблиця 1'!$B:$B,$A570,'Таблиця 1'!$E:$E,"пос РЕБ",'Таблиця 1'!$L:$L,"Уражено"))</f>
        <v/>
      </c>
      <c r="Q570">
        <f>IF($A570="","",COUNTIFS('Таблиця 1'!$B:$B,$A570,'Таблиця 1'!$E:$E,"група РЕР",'Таблиця 1'!$L:$L,"Уражено"))</f>
        <v/>
      </c>
      <c r="R570">
        <f>IF($A570="","",COUNTIFS('Таблиця 1'!$B:$B,$A570,'Таблиця 1'!$E:$E,"РЛС КББ",'Таблиця 1'!$L:$L,"Уражено"))</f>
        <v/>
      </c>
      <c r="S570">
        <f>IF($A570="","",COUNTIFS('Таблиця 1'!$B:$B,$A570,'Таблиця 1'!$E:$E,"Ретранслятор",'Таблиця 1'!$L:$L,"Уражено"))</f>
        <v/>
      </c>
      <c r="T570">
        <f>IF($A570="","",COUNTIFS('Таблиця 1'!$B:$B,$A570,'Таблиця 1'!$E:$E,"Вз.зв'язку",'Таблиця 1'!$L:$L,"Уражено"))</f>
        <v/>
      </c>
      <c r="U570">
        <f>IF($A570="","",COUNTIFS('Таблиця 1'!$B:$B,$A570,'Таблиця 1'!$E:$E,"ПММ",'Таблиця 1'!$L:$L,"Уражено"))</f>
        <v/>
      </c>
      <c r="V570">
        <f>IF($A570="","",COUNTIFS('Таблиця 1'!$B:$B,$A570,'Таблиця 1'!$E:$E,"ІФС",'Таблиця 1'!$L:$L,"Уражено"))</f>
        <v/>
      </c>
      <c r="W570">
        <f>IF($A570="","",COUNTIFS('Таблиця 1'!$B:$B,$A570,'Таблиця 1'!$E:$E,"Інфраструктура",'Таблиця 1'!$L:$L,"Уражено"))</f>
        <v/>
      </c>
      <c r="X570">
        <f>IF($A570="","",SUMIFS('Таблиця 1'!$K:$K,'Таблиця 1'!$B:$B,$A570))</f>
        <v/>
      </c>
    </row>
    <row r="571">
      <c r="A571" s="81">
        <f>IF(A570="","",IF(A570+1&gt;MAX('Таблиця 1'!$B:$B),"",A570+1))</f>
        <v/>
      </c>
      <c r="B571">
        <f>IF($A571="","",COUNTIFS('Таблиця 1'!$B:$B,$A571,'Таблиця 1'!$E:$E,"ЖС ВЗ",'Таблиця 1'!$L:$L,"Уражено"))</f>
        <v/>
      </c>
      <c r="C571">
        <f>IF($A571="","",COUNTIFS('Таблиця 1'!$B:$B,$A571,'Таблиця 1'!$E:$E,"Арт. Системи",'Таблиця 1'!$L:$L,"Уражено"))</f>
        <v/>
      </c>
      <c r="D571">
        <f>IF($A571="","",COUNTIFS('Таблиця 1'!$B:$B,$A571,'Таблиця 1'!$E:$E,"ОВТ",'Таблиця 1'!$L:$L,"Уражено"))</f>
        <v/>
      </c>
      <c r="E571">
        <f>IF($A571="","",COUNTIFS('Таблиця 1'!$B:$B,$A571,'Таблиця 1'!$E:$E,"ППО",'Таблиця 1'!$L:$L,"Уражено"))</f>
        <v/>
      </c>
      <c r="F571">
        <f>IF($A571="","",COUNTIFS('Таблиця 1'!$B:$B,$A571,'Таблиця 1'!$E:$E,"Рембаза",'Таблиця 1'!$L:$L,"Уражено"))</f>
        <v/>
      </c>
      <c r="G571">
        <f>IF($A571="","",COUNTIFS('Таблиця 1'!$B:$B,$A571,'Таблиця 1'!$E:$E,"Склад БК",'Таблиця 1'!$L:$L,"Уражено"))</f>
        <v/>
      </c>
      <c r="H571">
        <f>IF($A571="","",COUNTIFS('Таблиця 1'!$B:$B,$A571,'Таблиця 1'!$E:$E,"Склад ВТМ",'Таблиця 1'!$L:$L,"Уражено"))</f>
        <v/>
      </c>
      <c r="I571">
        <f>IF($A571="","",COUNTIFS('Таблиця 1'!$B:$B,$A571,'Таблиця 1'!$E:$E,"ПУ БпЛА",'Таблиця 1'!$L:$L,"Уражено"))</f>
        <v/>
      </c>
      <c r="J571">
        <f>IF($A571="","",COUNTIFS('Таблиця 1'!$B:$B,$A571,'Таблиця 1'!$E:$E,"СП",'Таблиця 1'!$L:$L,"Уражено"))</f>
        <v/>
      </c>
      <c r="K571">
        <f>IF($A571="","",COUNTIFS('Таблиця 1'!$B:$B,$A571,'Таблиця 1'!$E:$E,"КСП роти",'Таблиця 1'!$L:$L,"Уражено"))</f>
        <v/>
      </c>
      <c r="L571">
        <f>IF($A571="","",COUNTIFS('Таблиця 1'!$B:$B,$A571,'Таблиця 1'!$E:$E,"ПУ бат",'Таблиця 1'!$L:$L,"Уражено"))</f>
        <v/>
      </c>
      <c r="M571">
        <f>IF($A571="","",COUNTIFS('Таблиця 1'!$B:$B,$A571,'Таблиця 1'!$E:$E,"ПУ бриг",'Таблиця 1'!$L:$L,"Уражено"))</f>
        <v/>
      </c>
      <c r="N571">
        <f>IF($A571="","",COUNTIFS('Таблиця 1'!$B:$B,$A571,'Таблиця 1'!$E:$E,"ПУ див",'Таблиця 1'!$L:$L,"Уражено"))</f>
        <v/>
      </c>
      <c r="O571">
        <f>IF($A571="","",COUNTIFS('Таблиця 1'!$B:$B,$A571,'Таблиця 1'!$E:$E,"обл. РЕБ",'Таблиця 1'!$L:$L,"Уражено"))</f>
        <v/>
      </c>
      <c r="P571">
        <f>IF($A571="","",COUNTIFS('Таблиця 1'!$B:$B,$A571,'Таблиця 1'!$E:$E,"пос РЕБ",'Таблиця 1'!$L:$L,"Уражено"))</f>
        <v/>
      </c>
      <c r="Q571">
        <f>IF($A571="","",COUNTIFS('Таблиця 1'!$B:$B,$A571,'Таблиця 1'!$E:$E,"група РЕР",'Таблиця 1'!$L:$L,"Уражено"))</f>
        <v/>
      </c>
      <c r="R571">
        <f>IF($A571="","",COUNTIFS('Таблиця 1'!$B:$B,$A571,'Таблиця 1'!$E:$E,"РЛС КББ",'Таблиця 1'!$L:$L,"Уражено"))</f>
        <v/>
      </c>
      <c r="S571">
        <f>IF($A571="","",COUNTIFS('Таблиця 1'!$B:$B,$A571,'Таблиця 1'!$E:$E,"Ретранслятор",'Таблиця 1'!$L:$L,"Уражено"))</f>
        <v/>
      </c>
      <c r="T571">
        <f>IF($A571="","",COUNTIFS('Таблиця 1'!$B:$B,$A571,'Таблиця 1'!$E:$E,"Вз.зв'язку",'Таблиця 1'!$L:$L,"Уражено"))</f>
        <v/>
      </c>
      <c r="U571">
        <f>IF($A571="","",COUNTIFS('Таблиця 1'!$B:$B,$A571,'Таблиця 1'!$E:$E,"ПММ",'Таблиця 1'!$L:$L,"Уражено"))</f>
        <v/>
      </c>
      <c r="V571">
        <f>IF($A571="","",COUNTIFS('Таблиця 1'!$B:$B,$A571,'Таблиця 1'!$E:$E,"ІФС",'Таблиця 1'!$L:$L,"Уражено"))</f>
        <v/>
      </c>
      <c r="W571">
        <f>IF($A571="","",COUNTIFS('Таблиця 1'!$B:$B,$A571,'Таблиця 1'!$E:$E,"Інфраструктура",'Таблиця 1'!$L:$L,"Уражено"))</f>
        <v/>
      </c>
      <c r="X571">
        <f>IF($A571="","",SUMIFS('Таблиця 1'!$K:$K,'Таблиця 1'!$B:$B,$A571))</f>
        <v/>
      </c>
    </row>
    <row r="572">
      <c r="A572" s="81">
        <f>IF(A571="","",IF(A571+1&gt;MAX('Таблиця 1'!$B:$B),"",A571+1))</f>
        <v/>
      </c>
      <c r="B572">
        <f>IF($A572="","",COUNTIFS('Таблиця 1'!$B:$B,$A572,'Таблиця 1'!$E:$E,"ЖС ВЗ",'Таблиця 1'!$L:$L,"Уражено"))</f>
        <v/>
      </c>
      <c r="C572">
        <f>IF($A572="","",COUNTIFS('Таблиця 1'!$B:$B,$A572,'Таблиця 1'!$E:$E,"Арт. Системи",'Таблиця 1'!$L:$L,"Уражено"))</f>
        <v/>
      </c>
      <c r="D572">
        <f>IF($A572="","",COUNTIFS('Таблиця 1'!$B:$B,$A572,'Таблиця 1'!$E:$E,"ОВТ",'Таблиця 1'!$L:$L,"Уражено"))</f>
        <v/>
      </c>
      <c r="E572">
        <f>IF($A572="","",COUNTIFS('Таблиця 1'!$B:$B,$A572,'Таблиця 1'!$E:$E,"ППО",'Таблиця 1'!$L:$L,"Уражено"))</f>
        <v/>
      </c>
      <c r="F572">
        <f>IF($A572="","",COUNTIFS('Таблиця 1'!$B:$B,$A572,'Таблиця 1'!$E:$E,"Рембаза",'Таблиця 1'!$L:$L,"Уражено"))</f>
        <v/>
      </c>
      <c r="G572">
        <f>IF($A572="","",COUNTIFS('Таблиця 1'!$B:$B,$A572,'Таблиця 1'!$E:$E,"Склад БК",'Таблиця 1'!$L:$L,"Уражено"))</f>
        <v/>
      </c>
      <c r="H572">
        <f>IF($A572="","",COUNTIFS('Таблиця 1'!$B:$B,$A572,'Таблиця 1'!$E:$E,"Склад ВТМ",'Таблиця 1'!$L:$L,"Уражено"))</f>
        <v/>
      </c>
      <c r="I572">
        <f>IF($A572="","",COUNTIFS('Таблиця 1'!$B:$B,$A572,'Таблиця 1'!$E:$E,"ПУ БпЛА",'Таблиця 1'!$L:$L,"Уражено"))</f>
        <v/>
      </c>
      <c r="J572">
        <f>IF($A572="","",COUNTIFS('Таблиця 1'!$B:$B,$A572,'Таблиця 1'!$E:$E,"СП",'Таблиця 1'!$L:$L,"Уражено"))</f>
        <v/>
      </c>
      <c r="K572">
        <f>IF($A572="","",COUNTIFS('Таблиця 1'!$B:$B,$A572,'Таблиця 1'!$E:$E,"КСП роти",'Таблиця 1'!$L:$L,"Уражено"))</f>
        <v/>
      </c>
      <c r="L572">
        <f>IF($A572="","",COUNTIFS('Таблиця 1'!$B:$B,$A572,'Таблиця 1'!$E:$E,"ПУ бат",'Таблиця 1'!$L:$L,"Уражено"))</f>
        <v/>
      </c>
      <c r="M572">
        <f>IF($A572="","",COUNTIFS('Таблиця 1'!$B:$B,$A572,'Таблиця 1'!$E:$E,"ПУ бриг",'Таблиця 1'!$L:$L,"Уражено"))</f>
        <v/>
      </c>
      <c r="N572">
        <f>IF($A572="","",COUNTIFS('Таблиця 1'!$B:$B,$A572,'Таблиця 1'!$E:$E,"ПУ див",'Таблиця 1'!$L:$L,"Уражено"))</f>
        <v/>
      </c>
      <c r="O572">
        <f>IF($A572="","",COUNTIFS('Таблиця 1'!$B:$B,$A572,'Таблиця 1'!$E:$E,"обл. РЕБ",'Таблиця 1'!$L:$L,"Уражено"))</f>
        <v/>
      </c>
      <c r="P572">
        <f>IF($A572="","",COUNTIFS('Таблиця 1'!$B:$B,$A572,'Таблиця 1'!$E:$E,"пос РЕБ",'Таблиця 1'!$L:$L,"Уражено"))</f>
        <v/>
      </c>
      <c r="Q572">
        <f>IF($A572="","",COUNTIFS('Таблиця 1'!$B:$B,$A572,'Таблиця 1'!$E:$E,"група РЕР",'Таблиця 1'!$L:$L,"Уражено"))</f>
        <v/>
      </c>
      <c r="R572">
        <f>IF($A572="","",COUNTIFS('Таблиця 1'!$B:$B,$A572,'Таблиця 1'!$E:$E,"РЛС КББ",'Таблиця 1'!$L:$L,"Уражено"))</f>
        <v/>
      </c>
      <c r="S572">
        <f>IF($A572="","",COUNTIFS('Таблиця 1'!$B:$B,$A572,'Таблиця 1'!$E:$E,"Ретранслятор",'Таблиця 1'!$L:$L,"Уражено"))</f>
        <v/>
      </c>
      <c r="T572">
        <f>IF($A572="","",COUNTIFS('Таблиця 1'!$B:$B,$A572,'Таблиця 1'!$E:$E,"Вз.зв'язку",'Таблиця 1'!$L:$L,"Уражено"))</f>
        <v/>
      </c>
      <c r="U572">
        <f>IF($A572="","",COUNTIFS('Таблиця 1'!$B:$B,$A572,'Таблиця 1'!$E:$E,"ПММ",'Таблиця 1'!$L:$L,"Уражено"))</f>
        <v/>
      </c>
      <c r="V572">
        <f>IF($A572="","",COUNTIFS('Таблиця 1'!$B:$B,$A572,'Таблиця 1'!$E:$E,"ІФС",'Таблиця 1'!$L:$L,"Уражено"))</f>
        <v/>
      </c>
      <c r="W572">
        <f>IF($A572="","",COUNTIFS('Таблиця 1'!$B:$B,$A572,'Таблиця 1'!$E:$E,"Інфраструктура",'Таблиця 1'!$L:$L,"Уражено"))</f>
        <v/>
      </c>
      <c r="X572">
        <f>IF($A572="","",SUMIFS('Таблиця 1'!$K:$K,'Таблиця 1'!$B:$B,$A572))</f>
        <v/>
      </c>
    </row>
    <row r="573">
      <c r="A573" s="81">
        <f>IF(A572="","",IF(A572+1&gt;MAX('Таблиця 1'!$B:$B),"",A572+1))</f>
        <v/>
      </c>
      <c r="B573">
        <f>IF($A573="","",COUNTIFS('Таблиця 1'!$B:$B,$A573,'Таблиця 1'!$E:$E,"ЖС ВЗ",'Таблиця 1'!$L:$L,"Уражено"))</f>
        <v/>
      </c>
      <c r="C573">
        <f>IF($A573="","",COUNTIFS('Таблиця 1'!$B:$B,$A573,'Таблиця 1'!$E:$E,"Арт. Системи",'Таблиця 1'!$L:$L,"Уражено"))</f>
        <v/>
      </c>
      <c r="D573">
        <f>IF($A573="","",COUNTIFS('Таблиця 1'!$B:$B,$A573,'Таблиця 1'!$E:$E,"ОВТ",'Таблиця 1'!$L:$L,"Уражено"))</f>
        <v/>
      </c>
      <c r="E573">
        <f>IF($A573="","",COUNTIFS('Таблиця 1'!$B:$B,$A573,'Таблиця 1'!$E:$E,"ППО",'Таблиця 1'!$L:$L,"Уражено"))</f>
        <v/>
      </c>
      <c r="F573">
        <f>IF($A573="","",COUNTIFS('Таблиця 1'!$B:$B,$A573,'Таблиця 1'!$E:$E,"Рембаза",'Таблиця 1'!$L:$L,"Уражено"))</f>
        <v/>
      </c>
      <c r="G573">
        <f>IF($A573="","",COUNTIFS('Таблиця 1'!$B:$B,$A573,'Таблиця 1'!$E:$E,"Склад БК",'Таблиця 1'!$L:$L,"Уражено"))</f>
        <v/>
      </c>
      <c r="H573">
        <f>IF($A573="","",COUNTIFS('Таблиця 1'!$B:$B,$A573,'Таблиця 1'!$E:$E,"Склад ВТМ",'Таблиця 1'!$L:$L,"Уражено"))</f>
        <v/>
      </c>
      <c r="I573">
        <f>IF($A573="","",COUNTIFS('Таблиця 1'!$B:$B,$A573,'Таблиця 1'!$E:$E,"ПУ БпЛА",'Таблиця 1'!$L:$L,"Уражено"))</f>
        <v/>
      </c>
      <c r="J573">
        <f>IF($A573="","",COUNTIFS('Таблиця 1'!$B:$B,$A573,'Таблиця 1'!$E:$E,"СП",'Таблиця 1'!$L:$L,"Уражено"))</f>
        <v/>
      </c>
      <c r="K573">
        <f>IF($A573="","",COUNTIFS('Таблиця 1'!$B:$B,$A573,'Таблиця 1'!$E:$E,"КСП роти",'Таблиця 1'!$L:$L,"Уражено"))</f>
        <v/>
      </c>
      <c r="L573">
        <f>IF($A573="","",COUNTIFS('Таблиця 1'!$B:$B,$A573,'Таблиця 1'!$E:$E,"ПУ бат",'Таблиця 1'!$L:$L,"Уражено"))</f>
        <v/>
      </c>
      <c r="M573">
        <f>IF($A573="","",COUNTIFS('Таблиця 1'!$B:$B,$A573,'Таблиця 1'!$E:$E,"ПУ бриг",'Таблиця 1'!$L:$L,"Уражено"))</f>
        <v/>
      </c>
      <c r="N573">
        <f>IF($A573="","",COUNTIFS('Таблиця 1'!$B:$B,$A573,'Таблиця 1'!$E:$E,"ПУ див",'Таблиця 1'!$L:$L,"Уражено"))</f>
        <v/>
      </c>
      <c r="O573">
        <f>IF($A573="","",COUNTIFS('Таблиця 1'!$B:$B,$A573,'Таблиця 1'!$E:$E,"обл. РЕБ",'Таблиця 1'!$L:$L,"Уражено"))</f>
        <v/>
      </c>
      <c r="P573">
        <f>IF($A573="","",COUNTIFS('Таблиця 1'!$B:$B,$A573,'Таблиця 1'!$E:$E,"пос РЕБ",'Таблиця 1'!$L:$L,"Уражено"))</f>
        <v/>
      </c>
      <c r="Q573">
        <f>IF($A573="","",COUNTIFS('Таблиця 1'!$B:$B,$A573,'Таблиця 1'!$E:$E,"група РЕР",'Таблиця 1'!$L:$L,"Уражено"))</f>
        <v/>
      </c>
      <c r="R573">
        <f>IF($A573="","",COUNTIFS('Таблиця 1'!$B:$B,$A573,'Таблиця 1'!$E:$E,"РЛС КББ",'Таблиця 1'!$L:$L,"Уражено"))</f>
        <v/>
      </c>
      <c r="S573">
        <f>IF($A573="","",COUNTIFS('Таблиця 1'!$B:$B,$A573,'Таблиця 1'!$E:$E,"Ретранслятор",'Таблиця 1'!$L:$L,"Уражено"))</f>
        <v/>
      </c>
      <c r="T573">
        <f>IF($A573="","",COUNTIFS('Таблиця 1'!$B:$B,$A573,'Таблиця 1'!$E:$E,"Вз.зв'язку",'Таблиця 1'!$L:$L,"Уражено"))</f>
        <v/>
      </c>
      <c r="U573">
        <f>IF($A573="","",COUNTIFS('Таблиця 1'!$B:$B,$A573,'Таблиця 1'!$E:$E,"ПММ",'Таблиця 1'!$L:$L,"Уражено"))</f>
        <v/>
      </c>
      <c r="V573">
        <f>IF($A573="","",COUNTIFS('Таблиця 1'!$B:$B,$A573,'Таблиця 1'!$E:$E,"ІФС",'Таблиця 1'!$L:$L,"Уражено"))</f>
        <v/>
      </c>
      <c r="W573">
        <f>IF($A573="","",COUNTIFS('Таблиця 1'!$B:$B,$A573,'Таблиця 1'!$E:$E,"Інфраструктура",'Таблиця 1'!$L:$L,"Уражено"))</f>
        <v/>
      </c>
      <c r="X573">
        <f>IF($A573="","",SUMIFS('Таблиця 1'!$K:$K,'Таблиця 1'!$B:$B,$A573))</f>
        <v/>
      </c>
    </row>
    <row r="574">
      <c r="A574" s="81">
        <f>IF(A573="","",IF(A573+1&gt;MAX('Таблиця 1'!$B:$B),"",A573+1))</f>
        <v/>
      </c>
      <c r="B574">
        <f>IF($A574="","",COUNTIFS('Таблиця 1'!$B:$B,$A574,'Таблиця 1'!$E:$E,"ЖС ВЗ",'Таблиця 1'!$L:$L,"Уражено"))</f>
        <v/>
      </c>
      <c r="C574">
        <f>IF($A574="","",COUNTIFS('Таблиця 1'!$B:$B,$A574,'Таблиця 1'!$E:$E,"Арт. Системи",'Таблиця 1'!$L:$L,"Уражено"))</f>
        <v/>
      </c>
      <c r="D574">
        <f>IF($A574="","",COUNTIFS('Таблиця 1'!$B:$B,$A574,'Таблиця 1'!$E:$E,"ОВТ",'Таблиця 1'!$L:$L,"Уражено"))</f>
        <v/>
      </c>
      <c r="E574">
        <f>IF($A574="","",COUNTIFS('Таблиця 1'!$B:$B,$A574,'Таблиця 1'!$E:$E,"ППО",'Таблиця 1'!$L:$L,"Уражено"))</f>
        <v/>
      </c>
      <c r="F574">
        <f>IF($A574="","",COUNTIFS('Таблиця 1'!$B:$B,$A574,'Таблиця 1'!$E:$E,"Рембаза",'Таблиця 1'!$L:$L,"Уражено"))</f>
        <v/>
      </c>
      <c r="G574">
        <f>IF($A574="","",COUNTIFS('Таблиця 1'!$B:$B,$A574,'Таблиця 1'!$E:$E,"Склад БК",'Таблиця 1'!$L:$L,"Уражено"))</f>
        <v/>
      </c>
      <c r="H574">
        <f>IF($A574="","",COUNTIFS('Таблиця 1'!$B:$B,$A574,'Таблиця 1'!$E:$E,"Склад ВТМ",'Таблиця 1'!$L:$L,"Уражено"))</f>
        <v/>
      </c>
      <c r="I574">
        <f>IF($A574="","",COUNTIFS('Таблиця 1'!$B:$B,$A574,'Таблиця 1'!$E:$E,"ПУ БпЛА",'Таблиця 1'!$L:$L,"Уражено"))</f>
        <v/>
      </c>
      <c r="J574">
        <f>IF($A574="","",COUNTIFS('Таблиця 1'!$B:$B,$A574,'Таблиця 1'!$E:$E,"СП",'Таблиця 1'!$L:$L,"Уражено"))</f>
        <v/>
      </c>
      <c r="K574">
        <f>IF($A574="","",COUNTIFS('Таблиця 1'!$B:$B,$A574,'Таблиця 1'!$E:$E,"КСП роти",'Таблиця 1'!$L:$L,"Уражено"))</f>
        <v/>
      </c>
      <c r="L574">
        <f>IF($A574="","",COUNTIFS('Таблиця 1'!$B:$B,$A574,'Таблиця 1'!$E:$E,"ПУ бат",'Таблиця 1'!$L:$L,"Уражено"))</f>
        <v/>
      </c>
      <c r="M574">
        <f>IF($A574="","",COUNTIFS('Таблиця 1'!$B:$B,$A574,'Таблиця 1'!$E:$E,"ПУ бриг",'Таблиця 1'!$L:$L,"Уражено"))</f>
        <v/>
      </c>
      <c r="N574">
        <f>IF($A574="","",COUNTIFS('Таблиця 1'!$B:$B,$A574,'Таблиця 1'!$E:$E,"ПУ див",'Таблиця 1'!$L:$L,"Уражено"))</f>
        <v/>
      </c>
      <c r="O574">
        <f>IF($A574="","",COUNTIFS('Таблиця 1'!$B:$B,$A574,'Таблиця 1'!$E:$E,"обл. РЕБ",'Таблиця 1'!$L:$L,"Уражено"))</f>
        <v/>
      </c>
      <c r="P574">
        <f>IF($A574="","",COUNTIFS('Таблиця 1'!$B:$B,$A574,'Таблиця 1'!$E:$E,"пос РЕБ",'Таблиця 1'!$L:$L,"Уражено"))</f>
        <v/>
      </c>
      <c r="Q574">
        <f>IF($A574="","",COUNTIFS('Таблиця 1'!$B:$B,$A574,'Таблиця 1'!$E:$E,"група РЕР",'Таблиця 1'!$L:$L,"Уражено"))</f>
        <v/>
      </c>
      <c r="R574">
        <f>IF($A574="","",COUNTIFS('Таблиця 1'!$B:$B,$A574,'Таблиця 1'!$E:$E,"РЛС КББ",'Таблиця 1'!$L:$L,"Уражено"))</f>
        <v/>
      </c>
      <c r="S574">
        <f>IF($A574="","",COUNTIFS('Таблиця 1'!$B:$B,$A574,'Таблиця 1'!$E:$E,"Ретранслятор",'Таблиця 1'!$L:$L,"Уражено"))</f>
        <v/>
      </c>
      <c r="T574">
        <f>IF($A574="","",COUNTIFS('Таблиця 1'!$B:$B,$A574,'Таблиця 1'!$E:$E,"Вз.зв'язку",'Таблиця 1'!$L:$L,"Уражено"))</f>
        <v/>
      </c>
      <c r="U574">
        <f>IF($A574="","",COUNTIFS('Таблиця 1'!$B:$B,$A574,'Таблиця 1'!$E:$E,"ПММ",'Таблиця 1'!$L:$L,"Уражено"))</f>
        <v/>
      </c>
      <c r="V574">
        <f>IF($A574="","",COUNTIFS('Таблиця 1'!$B:$B,$A574,'Таблиця 1'!$E:$E,"ІФС",'Таблиця 1'!$L:$L,"Уражено"))</f>
        <v/>
      </c>
      <c r="W574">
        <f>IF($A574="","",COUNTIFS('Таблиця 1'!$B:$B,$A574,'Таблиця 1'!$E:$E,"Інфраструктура",'Таблиця 1'!$L:$L,"Уражено"))</f>
        <v/>
      </c>
      <c r="X574">
        <f>IF($A574="","",SUMIFS('Таблиця 1'!$K:$K,'Таблиця 1'!$B:$B,$A574))</f>
        <v/>
      </c>
    </row>
    <row r="575">
      <c r="A575" s="81">
        <f>IF(A574="","",IF(A574+1&gt;MAX('Таблиця 1'!$B:$B),"",A574+1))</f>
        <v/>
      </c>
      <c r="B575">
        <f>IF($A575="","",COUNTIFS('Таблиця 1'!$B:$B,$A575,'Таблиця 1'!$E:$E,"ЖС ВЗ",'Таблиця 1'!$L:$L,"Уражено"))</f>
        <v/>
      </c>
      <c r="C575">
        <f>IF($A575="","",COUNTIFS('Таблиця 1'!$B:$B,$A575,'Таблиця 1'!$E:$E,"Арт. Системи",'Таблиця 1'!$L:$L,"Уражено"))</f>
        <v/>
      </c>
      <c r="D575">
        <f>IF($A575="","",COUNTIFS('Таблиця 1'!$B:$B,$A575,'Таблиця 1'!$E:$E,"ОВТ",'Таблиця 1'!$L:$L,"Уражено"))</f>
        <v/>
      </c>
      <c r="E575">
        <f>IF($A575="","",COUNTIFS('Таблиця 1'!$B:$B,$A575,'Таблиця 1'!$E:$E,"ППО",'Таблиця 1'!$L:$L,"Уражено"))</f>
        <v/>
      </c>
      <c r="F575">
        <f>IF($A575="","",COUNTIFS('Таблиця 1'!$B:$B,$A575,'Таблиця 1'!$E:$E,"Рембаза",'Таблиця 1'!$L:$L,"Уражено"))</f>
        <v/>
      </c>
      <c r="G575">
        <f>IF($A575="","",COUNTIFS('Таблиця 1'!$B:$B,$A575,'Таблиця 1'!$E:$E,"Склад БК",'Таблиця 1'!$L:$L,"Уражено"))</f>
        <v/>
      </c>
      <c r="H575">
        <f>IF($A575="","",COUNTIFS('Таблиця 1'!$B:$B,$A575,'Таблиця 1'!$E:$E,"Склад ВТМ",'Таблиця 1'!$L:$L,"Уражено"))</f>
        <v/>
      </c>
      <c r="I575">
        <f>IF($A575="","",COUNTIFS('Таблиця 1'!$B:$B,$A575,'Таблиця 1'!$E:$E,"ПУ БпЛА",'Таблиця 1'!$L:$L,"Уражено"))</f>
        <v/>
      </c>
      <c r="J575">
        <f>IF($A575="","",COUNTIFS('Таблиця 1'!$B:$B,$A575,'Таблиця 1'!$E:$E,"СП",'Таблиця 1'!$L:$L,"Уражено"))</f>
        <v/>
      </c>
      <c r="K575">
        <f>IF($A575="","",COUNTIFS('Таблиця 1'!$B:$B,$A575,'Таблиця 1'!$E:$E,"КСП роти",'Таблиця 1'!$L:$L,"Уражено"))</f>
        <v/>
      </c>
      <c r="L575">
        <f>IF($A575="","",COUNTIFS('Таблиця 1'!$B:$B,$A575,'Таблиця 1'!$E:$E,"ПУ бат",'Таблиця 1'!$L:$L,"Уражено"))</f>
        <v/>
      </c>
      <c r="M575">
        <f>IF($A575="","",COUNTIFS('Таблиця 1'!$B:$B,$A575,'Таблиця 1'!$E:$E,"ПУ бриг",'Таблиця 1'!$L:$L,"Уражено"))</f>
        <v/>
      </c>
      <c r="N575">
        <f>IF($A575="","",COUNTIFS('Таблиця 1'!$B:$B,$A575,'Таблиця 1'!$E:$E,"ПУ див",'Таблиця 1'!$L:$L,"Уражено"))</f>
        <v/>
      </c>
      <c r="O575">
        <f>IF($A575="","",COUNTIFS('Таблиця 1'!$B:$B,$A575,'Таблиця 1'!$E:$E,"обл. РЕБ",'Таблиця 1'!$L:$L,"Уражено"))</f>
        <v/>
      </c>
      <c r="P575">
        <f>IF($A575="","",COUNTIFS('Таблиця 1'!$B:$B,$A575,'Таблиця 1'!$E:$E,"пос РЕБ",'Таблиця 1'!$L:$L,"Уражено"))</f>
        <v/>
      </c>
      <c r="Q575">
        <f>IF($A575="","",COUNTIFS('Таблиця 1'!$B:$B,$A575,'Таблиця 1'!$E:$E,"група РЕР",'Таблиця 1'!$L:$L,"Уражено"))</f>
        <v/>
      </c>
      <c r="R575">
        <f>IF($A575="","",COUNTIFS('Таблиця 1'!$B:$B,$A575,'Таблиця 1'!$E:$E,"РЛС КББ",'Таблиця 1'!$L:$L,"Уражено"))</f>
        <v/>
      </c>
      <c r="S575">
        <f>IF($A575="","",COUNTIFS('Таблиця 1'!$B:$B,$A575,'Таблиця 1'!$E:$E,"Ретранслятор",'Таблиця 1'!$L:$L,"Уражено"))</f>
        <v/>
      </c>
      <c r="T575">
        <f>IF($A575="","",COUNTIFS('Таблиця 1'!$B:$B,$A575,'Таблиця 1'!$E:$E,"Вз.зв'язку",'Таблиця 1'!$L:$L,"Уражено"))</f>
        <v/>
      </c>
      <c r="U575">
        <f>IF($A575="","",COUNTIFS('Таблиця 1'!$B:$B,$A575,'Таблиця 1'!$E:$E,"ПММ",'Таблиця 1'!$L:$L,"Уражено"))</f>
        <v/>
      </c>
      <c r="V575">
        <f>IF($A575="","",COUNTIFS('Таблиця 1'!$B:$B,$A575,'Таблиця 1'!$E:$E,"ІФС",'Таблиця 1'!$L:$L,"Уражено"))</f>
        <v/>
      </c>
      <c r="W575">
        <f>IF($A575="","",COUNTIFS('Таблиця 1'!$B:$B,$A575,'Таблиця 1'!$E:$E,"Інфраструктура",'Таблиця 1'!$L:$L,"Уражено"))</f>
        <v/>
      </c>
      <c r="X575">
        <f>IF($A575="","",SUMIFS('Таблиця 1'!$K:$K,'Таблиця 1'!$B:$B,$A575))</f>
        <v/>
      </c>
    </row>
    <row r="576">
      <c r="A576" s="81">
        <f>IF(A575="","",IF(A575+1&gt;MAX('Таблиця 1'!$B:$B),"",A575+1))</f>
        <v/>
      </c>
      <c r="B576">
        <f>IF($A576="","",COUNTIFS('Таблиця 1'!$B:$B,$A576,'Таблиця 1'!$E:$E,"ЖС ВЗ",'Таблиця 1'!$L:$L,"Уражено"))</f>
        <v/>
      </c>
      <c r="C576">
        <f>IF($A576="","",COUNTIFS('Таблиця 1'!$B:$B,$A576,'Таблиця 1'!$E:$E,"Арт. Системи",'Таблиця 1'!$L:$L,"Уражено"))</f>
        <v/>
      </c>
      <c r="D576">
        <f>IF($A576="","",COUNTIFS('Таблиця 1'!$B:$B,$A576,'Таблиця 1'!$E:$E,"ОВТ",'Таблиця 1'!$L:$L,"Уражено"))</f>
        <v/>
      </c>
      <c r="E576">
        <f>IF($A576="","",COUNTIFS('Таблиця 1'!$B:$B,$A576,'Таблиця 1'!$E:$E,"ППО",'Таблиця 1'!$L:$L,"Уражено"))</f>
        <v/>
      </c>
      <c r="F576">
        <f>IF($A576="","",COUNTIFS('Таблиця 1'!$B:$B,$A576,'Таблиця 1'!$E:$E,"Рембаза",'Таблиця 1'!$L:$L,"Уражено"))</f>
        <v/>
      </c>
      <c r="G576">
        <f>IF($A576="","",COUNTIFS('Таблиця 1'!$B:$B,$A576,'Таблиця 1'!$E:$E,"Склад БК",'Таблиця 1'!$L:$L,"Уражено"))</f>
        <v/>
      </c>
      <c r="H576">
        <f>IF($A576="","",COUNTIFS('Таблиця 1'!$B:$B,$A576,'Таблиця 1'!$E:$E,"Склад ВТМ",'Таблиця 1'!$L:$L,"Уражено"))</f>
        <v/>
      </c>
      <c r="I576">
        <f>IF($A576="","",COUNTIFS('Таблиця 1'!$B:$B,$A576,'Таблиця 1'!$E:$E,"ПУ БпЛА",'Таблиця 1'!$L:$L,"Уражено"))</f>
        <v/>
      </c>
      <c r="J576">
        <f>IF($A576="","",COUNTIFS('Таблиця 1'!$B:$B,$A576,'Таблиця 1'!$E:$E,"СП",'Таблиця 1'!$L:$L,"Уражено"))</f>
        <v/>
      </c>
      <c r="K576">
        <f>IF($A576="","",COUNTIFS('Таблиця 1'!$B:$B,$A576,'Таблиця 1'!$E:$E,"КСП роти",'Таблиця 1'!$L:$L,"Уражено"))</f>
        <v/>
      </c>
      <c r="L576">
        <f>IF($A576="","",COUNTIFS('Таблиця 1'!$B:$B,$A576,'Таблиця 1'!$E:$E,"ПУ бат",'Таблиця 1'!$L:$L,"Уражено"))</f>
        <v/>
      </c>
      <c r="M576">
        <f>IF($A576="","",COUNTIFS('Таблиця 1'!$B:$B,$A576,'Таблиця 1'!$E:$E,"ПУ бриг",'Таблиця 1'!$L:$L,"Уражено"))</f>
        <v/>
      </c>
      <c r="N576">
        <f>IF($A576="","",COUNTIFS('Таблиця 1'!$B:$B,$A576,'Таблиця 1'!$E:$E,"ПУ див",'Таблиця 1'!$L:$L,"Уражено"))</f>
        <v/>
      </c>
      <c r="O576">
        <f>IF($A576="","",COUNTIFS('Таблиця 1'!$B:$B,$A576,'Таблиця 1'!$E:$E,"обл. РЕБ",'Таблиця 1'!$L:$L,"Уражено"))</f>
        <v/>
      </c>
      <c r="P576">
        <f>IF($A576="","",COUNTIFS('Таблиця 1'!$B:$B,$A576,'Таблиця 1'!$E:$E,"пос РЕБ",'Таблиця 1'!$L:$L,"Уражено"))</f>
        <v/>
      </c>
      <c r="Q576">
        <f>IF($A576="","",COUNTIFS('Таблиця 1'!$B:$B,$A576,'Таблиця 1'!$E:$E,"група РЕР",'Таблиця 1'!$L:$L,"Уражено"))</f>
        <v/>
      </c>
      <c r="R576">
        <f>IF($A576="","",COUNTIFS('Таблиця 1'!$B:$B,$A576,'Таблиця 1'!$E:$E,"РЛС КББ",'Таблиця 1'!$L:$L,"Уражено"))</f>
        <v/>
      </c>
      <c r="S576">
        <f>IF($A576="","",COUNTIFS('Таблиця 1'!$B:$B,$A576,'Таблиця 1'!$E:$E,"Ретранслятор",'Таблиця 1'!$L:$L,"Уражено"))</f>
        <v/>
      </c>
      <c r="T576">
        <f>IF($A576="","",COUNTIFS('Таблиця 1'!$B:$B,$A576,'Таблиця 1'!$E:$E,"Вз.зв'язку",'Таблиця 1'!$L:$L,"Уражено"))</f>
        <v/>
      </c>
      <c r="U576">
        <f>IF($A576="","",COUNTIFS('Таблиця 1'!$B:$B,$A576,'Таблиця 1'!$E:$E,"ПММ",'Таблиця 1'!$L:$L,"Уражено"))</f>
        <v/>
      </c>
      <c r="V576">
        <f>IF($A576="","",COUNTIFS('Таблиця 1'!$B:$B,$A576,'Таблиця 1'!$E:$E,"ІФС",'Таблиця 1'!$L:$L,"Уражено"))</f>
        <v/>
      </c>
      <c r="W576">
        <f>IF($A576="","",COUNTIFS('Таблиця 1'!$B:$B,$A576,'Таблиця 1'!$E:$E,"Інфраструктура",'Таблиця 1'!$L:$L,"Уражено"))</f>
        <v/>
      </c>
      <c r="X576">
        <f>IF($A576="","",SUMIFS('Таблиця 1'!$K:$K,'Таблиця 1'!$B:$B,$A576))</f>
        <v/>
      </c>
    </row>
    <row r="577">
      <c r="A577" s="81">
        <f>IF(A576="","",IF(A576+1&gt;MAX('Таблиця 1'!$B:$B),"",A576+1))</f>
        <v/>
      </c>
      <c r="B577">
        <f>IF($A577="","",COUNTIFS('Таблиця 1'!$B:$B,$A577,'Таблиця 1'!$E:$E,"ЖС ВЗ",'Таблиця 1'!$L:$L,"Уражено"))</f>
        <v/>
      </c>
      <c r="C577">
        <f>IF($A577="","",COUNTIFS('Таблиця 1'!$B:$B,$A577,'Таблиця 1'!$E:$E,"Арт. Системи",'Таблиця 1'!$L:$L,"Уражено"))</f>
        <v/>
      </c>
      <c r="D577">
        <f>IF($A577="","",COUNTIFS('Таблиця 1'!$B:$B,$A577,'Таблиця 1'!$E:$E,"ОВТ",'Таблиця 1'!$L:$L,"Уражено"))</f>
        <v/>
      </c>
      <c r="E577">
        <f>IF($A577="","",COUNTIFS('Таблиця 1'!$B:$B,$A577,'Таблиця 1'!$E:$E,"ППО",'Таблиця 1'!$L:$L,"Уражено"))</f>
        <v/>
      </c>
      <c r="F577">
        <f>IF($A577="","",COUNTIFS('Таблиця 1'!$B:$B,$A577,'Таблиця 1'!$E:$E,"Рембаза",'Таблиця 1'!$L:$L,"Уражено"))</f>
        <v/>
      </c>
      <c r="G577">
        <f>IF($A577="","",COUNTIFS('Таблиця 1'!$B:$B,$A577,'Таблиця 1'!$E:$E,"Склад БК",'Таблиця 1'!$L:$L,"Уражено"))</f>
        <v/>
      </c>
      <c r="H577">
        <f>IF($A577="","",COUNTIFS('Таблиця 1'!$B:$B,$A577,'Таблиця 1'!$E:$E,"Склад ВТМ",'Таблиця 1'!$L:$L,"Уражено"))</f>
        <v/>
      </c>
      <c r="I577">
        <f>IF($A577="","",COUNTIFS('Таблиця 1'!$B:$B,$A577,'Таблиця 1'!$E:$E,"ПУ БпЛА",'Таблиця 1'!$L:$L,"Уражено"))</f>
        <v/>
      </c>
      <c r="J577">
        <f>IF($A577="","",COUNTIFS('Таблиця 1'!$B:$B,$A577,'Таблиця 1'!$E:$E,"СП",'Таблиця 1'!$L:$L,"Уражено"))</f>
        <v/>
      </c>
      <c r="K577">
        <f>IF($A577="","",COUNTIFS('Таблиця 1'!$B:$B,$A577,'Таблиця 1'!$E:$E,"КСП роти",'Таблиця 1'!$L:$L,"Уражено"))</f>
        <v/>
      </c>
      <c r="L577">
        <f>IF($A577="","",COUNTIFS('Таблиця 1'!$B:$B,$A577,'Таблиця 1'!$E:$E,"ПУ бат",'Таблиця 1'!$L:$L,"Уражено"))</f>
        <v/>
      </c>
      <c r="M577">
        <f>IF($A577="","",COUNTIFS('Таблиця 1'!$B:$B,$A577,'Таблиця 1'!$E:$E,"ПУ бриг",'Таблиця 1'!$L:$L,"Уражено"))</f>
        <v/>
      </c>
      <c r="N577">
        <f>IF($A577="","",COUNTIFS('Таблиця 1'!$B:$B,$A577,'Таблиця 1'!$E:$E,"ПУ див",'Таблиця 1'!$L:$L,"Уражено"))</f>
        <v/>
      </c>
      <c r="O577">
        <f>IF($A577="","",COUNTIFS('Таблиця 1'!$B:$B,$A577,'Таблиця 1'!$E:$E,"обл. РЕБ",'Таблиця 1'!$L:$L,"Уражено"))</f>
        <v/>
      </c>
      <c r="P577">
        <f>IF($A577="","",COUNTIFS('Таблиця 1'!$B:$B,$A577,'Таблиця 1'!$E:$E,"пос РЕБ",'Таблиця 1'!$L:$L,"Уражено"))</f>
        <v/>
      </c>
      <c r="Q577">
        <f>IF($A577="","",COUNTIFS('Таблиця 1'!$B:$B,$A577,'Таблиця 1'!$E:$E,"група РЕР",'Таблиця 1'!$L:$L,"Уражено"))</f>
        <v/>
      </c>
      <c r="R577">
        <f>IF($A577="","",COUNTIFS('Таблиця 1'!$B:$B,$A577,'Таблиця 1'!$E:$E,"РЛС КББ",'Таблиця 1'!$L:$L,"Уражено"))</f>
        <v/>
      </c>
      <c r="S577">
        <f>IF($A577="","",COUNTIFS('Таблиця 1'!$B:$B,$A577,'Таблиця 1'!$E:$E,"Ретранслятор",'Таблиця 1'!$L:$L,"Уражено"))</f>
        <v/>
      </c>
      <c r="T577">
        <f>IF($A577="","",COUNTIFS('Таблиця 1'!$B:$B,$A577,'Таблиця 1'!$E:$E,"Вз.зв'язку",'Таблиця 1'!$L:$L,"Уражено"))</f>
        <v/>
      </c>
      <c r="U577">
        <f>IF($A577="","",COUNTIFS('Таблиця 1'!$B:$B,$A577,'Таблиця 1'!$E:$E,"ПММ",'Таблиця 1'!$L:$L,"Уражено"))</f>
        <v/>
      </c>
      <c r="V577">
        <f>IF($A577="","",COUNTIFS('Таблиця 1'!$B:$B,$A577,'Таблиця 1'!$E:$E,"ІФС",'Таблиця 1'!$L:$L,"Уражено"))</f>
        <v/>
      </c>
      <c r="W577">
        <f>IF($A577="","",COUNTIFS('Таблиця 1'!$B:$B,$A577,'Таблиця 1'!$E:$E,"Інфраструктура",'Таблиця 1'!$L:$L,"Уражено"))</f>
        <v/>
      </c>
      <c r="X577">
        <f>IF($A577="","",SUMIFS('Таблиця 1'!$K:$K,'Таблиця 1'!$B:$B,$A577))</f>
        <v/>
      </c>
    </row>
    <row r="578">
      <c r="A578" s="81">
        <f>IF(A577="","",IF(A577+1&gt;MAX('Таблиця 1'!$B:$B),"",A577+1))</f>
        <v/>
      </c>
      <c r="B578">
        <f>IF($A578="","",COUNTIFS('Таблиця 1'!$B:$B,$A578,'Таблиця 1'!$E:$E,"ЖС ВЗ",'Таблиця 1'!$L:$L,"Уражено"))</f>
        <v/>
      </c>
      <c r="C578">
        <f>IF($A578="","",COUNTIFS('Таблиця 1'!$B:$B,$A578,'Таблиця 1'!$E:$E,"Арт. Системи",'Таблиця 1'!$L:$L,"Уражено"))</f>
        <v/>
      </c>
      <c r="D578">
        <f>IF($A578="","",COUNTIFS('Таблиця 1'!$B:$B,$A578,'Таблиця 1'!$E:$E,"ОВТ",'Таблиця 1'!$L:$L,"Уражено"))</f>
        <v/>
      </c>
      <c r="E578">
        <f>IF($A578="","",COUNTIFS('Таблиця 1'!$B:$B,$A578,'Таблиця 1'!$E:$E,"ППО",'Таблиця 1'!$L:$L,"Уражено"))</f>
        <v/>
      </c>
      <c r="F578">
        <f>IF($A578="","",COUNTIFS('Таблиця 1'!$B:$B,$A578,'Таблиця 1'!$E:$E,"Рембаза",'Таблиця 1'!$L:$L,"Уражено"))</f>
        <v/>
      </c>
      <c r="G578">
        <f>IF($A578="","",COUNTIFS('Таблиця 1'!$B:$B,$A578,'Таблиця 1'!$E:$E,"Склад БК",'Таблиця 1'!$L:$L,"Уражено"))</f>
        <v/>
      </c>
      <c r="H578">
        <f>IF($A578="","",COUNTIFS('Таблиця 1'!$B:$B,$A578,'Таблиця 1'!$E:$E,"Склад ВТМ",'Таблиця 1'!$L:$L,"Уражено"))</f>
        <v/>
      </c>
      <c r="I578">
        <f>IF($A578="","",COUNTIFS('Таблиця 1'!$B:$B,$A578,'Таблиця 1'!$E:$E,"ПУ БпЛА",'Таблиця 1'!$L:$L,"Уражено"))</f>
        <v/>
      </c>
      <c r="J578">
        <f>IF($A578="","",COUNTIFS('Таблиця 1'!$B:$B,$A578,'Таблиця 1'!$E:$E,"СП",'Таблиця 1'!$L:$L,"Уражено"))</f>
        <v/>
      </c>
      <c r="K578">
        <f>IF($A578="","",COUNTIFS('Таблиця 1'!$B:$B,$A578,'Таблиця 1'!$E:$E,"КСП роти",'Таблиця 1'!$L:$L,"Уражено"))</f>
        <v/>
      </c>
      <c r="L578">
        <f>IF($A578="","",COUNTIFS('Таблиця 1'!$B:$B,$A578,'Таблиця 1'!$E:$E,"ПУ бат",'Таблиця 1'!$L:$L,"Уражено"))</f>
        <v/>
      </c>
      <c r="M578">
        <f>IF($A578="","",COUNTIFS('Таблиця 1'!$B:$B,$A578,'Таблиця 1'!$E:$E,"ПУ бриг",'Таблиця 1'!$L:$L,"Уражено"))</f>
        <v/>
      </c>
      <c r="N578">
        <f>IF($A578="","",COUNTIFS('Таблиця 1'!$B:$B,$A578,'Таблиця 1'!$E:$E,"ПУ див",'Таблиця 1'!$L:$L,"Уражено"))</f>
        <v/>
      </c>
      <c r="O578">
        <f>IF($A578="","",COUNTIFS('Таблиця 1'!$B:$B,$A578,'Таблиця 1'!$E:$E,"обл. РЕБ",'Таблиця 1'!$L:$L,"Уражено"))</f>
        <v/>
      </c>
      <c r="P578">
        <f>IF($A578="","",COUNTIFS('Таблиця 1'!$B:$B,$A578,'Таблиця 1'!$E:$E,"пос РЕБ",'Таблиця 1'!$L:$L,"Уражено"))</f>
        <v/>
      </c>
      <c r="Q578">
        <f>IF($A578="","",COUNTIFS('Таблиця 1'!$B:$B,$A578,'Таблиця 1'!$E:$E,"група РЕР",'Таблиця 1'!$L:$L,"Уражено"))</f>
        <v/>
      </c>
      <c r="R578">
        <f>IF($A578="","",COUNTIFS('Таблиця 1'!$B:$B,$A578,'Таблиця 1'!$E:$E,"РЛС КББ",'Таблиця 1'!$L:$L,"Уражено"))</f>
        <v/>
      </c>
      <c r="S578">
        <f>IF($A578="","",COUNTIFS('Таблиця 1'!$B:$B,$A578,'Таблиця 1'!$E:$E,"Ретранслятор",'Таблиця 1'!$L:$L,"Уражено"))</f>
        <v/>
      </c>
      <c r="T578">
        <f>IF($A578="","",COUNTIFS('Таблиця 1'!$B:$B,$A578,'Таблиця 1'!$E:$E,"Вз.зв'язку",'Таблиця 1'!$L:$L,"Уражено"))</f>
        <v/>
      </c>
      <c r="U578">
        <f>IF($A578="","",COUNTIFS('Таблиця 1'!$B:$B,$A578,'Таблиця 1'!$E:$E,"ПММ",'Таблиця 1'!$L:$L,"Уражено"))</f>
        <v/>
      </c>
      <c r="V578">
        <f>IF($A578="","",COUNTIFS('Таблиця 1'!$B:$B,$A578,'Таблиця 1'!$E:$E,"ІФС",'Таблиця 1'!$L:$L,"Уражено"))</f>
        <v/>
      </c>
      <c r="W578">
        <f>IF($A578="","",COUNTIFS('Таблиця 1'!$B:$B,$A578,'Таблиця 1'!$E:$E,"Інфраструктура",'Таблиця 1'!$L:$L,"Уражено"))</f>
        <v/>
      </c>
      <c r="X578">
        <f>IF($A578="","",SUMIFS('Таблиця 1'!$K:$K,'Таблиця 1'!$B:$B,$A578))</f>
        <v/>
      </c>
    </row>
    <row r="579">
      <c r="A579" s="81">
        <f>IF(A578="","",IF(A578+1&gt;MAX('Таблиця 1'!$B:$B),"",A578+1))</f>
        <v/>
      </c>
      <c r="B579">
        <f>IF($A579="","",COUNTIFS('Таблиця 1'!$B:$B,$A579,'Таблиця 1'!$E:$E,"ЖС ВЗ",'Таблиця 1'!$L:$L,"Уражено"))</f>
        <v/>
      </c>
      <c r="C579">
        <f>IF($A579="","",COUNTIFS('Таблиця 1'!$B:$B,$A579,'Таблиця 1'!$E:$E,"Арт. Системи",'Таблиця 1'!$L:$L,"Уражено"))</f>
        <v/>
      </c>
      <c r="D579">
        <f>IF($A579="","",COUNTIFS('Таблиця 1'!$B:$B,$A579,'Таблиця 1'!$E:$E,"ОВТ",'Таблиця 1'!$L:$L,"Уражено"))</f>
        <v/>
      </c>
      <c r="E579">
        <f>IF($A579="","",COUNTIFS('Таблиця 1'!$B:$B,$A579,'Таблиця 1'!$E:$E,"ППО",'Таблиця 1'!$L:$L,"Уражено"))</f>
        <v/>
      </c>
      <c r="F579">
        <f>IF($A579="","",COUNTIFS('Таблиця 1'!$B:$B,$A579,'Таблиця 1'!$E:$E,"Рембаза",'Таблиця 1'!$L:$L,"Уражено"))</f>
        <v/>
      </c>
      <c r="G579">
        <f>IF($A579="","",COUNTIFS('Таблиця 1'!$B:$B,$A579,'Таблиця 1'!$E:$E,"Склад БК",'Таблиця 1'!$L:$L,"Уражено"))</f>
        <v/>
      </c>
      <c r="H579">
        <f>IF($A579="","",COUNTIFS('Таблиця 1'!$B:$B,$A579,'Таблиця 1'!$E:$E,"Склад ВТМ",'Таблиця 1'!$L:$L,"Уражено"))</f>
        <v/>
      </c>
      <c r="I579">
        <f>IF($A579="","",COUNTIFS('Таблиця 1'!$B:$B,$A579,'Таблиця 1'!$E:$E,"ПУ БпЛА",'Таблиця 1'!$L:$L,"Уражено"))</f>
        <v/>
      </c>
      <c r="J579">
        <f>IF($A579="","",COUNTIFS('Таблиця 1'!$B:$B,$A579,'Таблиця 1'!$E:$E,"СП",'Таблиця 1'!$L:$L,"Уражено"))</f>
        <v/>
      </c>
      <c r="K579">
        <f>IF($A579="","",COUNTIFS('Таблиця 1'!$B:$B,$A579,'Таблиця 1'!$E:$E,"КСП роти",'Таблиця 1'!$L:$L,"Уражено"))</f>
        <v/>
      </c>
      <c r="L579">
        <f>IF($A579="","",COUNTIFS('Таблиця 1'!$B:$B,$A579,'Таблиця 1'!$E:$E,"ПУ бат",'Таблиця 1'!$L:$L,"Уражено"))</f>
        <v/>
      </c>
      <c r="M579">
        <f>IF($A579="","",COUNTIFS('Таблиця 1'!$B:$B,$A579,'Таблиця 1'!$E:$E,"ПУ бриг",'Таблиця 1'!$L:$L,"Уражено"))</f>
        <v/>
      </c>
      <c r="N579">
        <f>IF($A579="","",COUNTIFS('Таблиця 1'!$B:$B,$A579,'Таблиця 1'!$E:$E,"ПУ див",'Таблиця 1'!$L:$L,"Уражено"))</f>
        <v/>
      </c>
      <c r="O579">
        <f>IF($A579="","",COUNTIFS('Таблиця 1'!$B:$B,$A579,'Таблиця 1'!$E:$E,"обл. РЕБ",'Таблиця 1'!$L:$L,"Уражено"))</f>
        <v/>
      </c>
      <c r="P579">
        <f>IF($A579="","",COUNTIFS('Таблиця 1'!$B:$B,$A579,'Таблиця 1'!$E:$E,"пос РЕБ",'Таблиця 1'!$L:$L,"Уражено"))</f>
        <v/>
      </c>
      <c r="Q579">
        <f>IF($A579="","",COUNTIFS('Таблиця 1'!$B:$B,$A579,'Таблиця 1'!$E:$E,"група РЕР",'Таблиця 1'!$L:$L,"Уражено"))</f>
        <v/>
      </c>
      <c r="R579">
        <f>IF($A579="","",COUNTIFS('Таблиця 1'!$B:$B,$A579,'Таблиця 1'!$E:$E,"РЛС КББ",'Таблиця 1'!$L:$L,"Уражено"))</f>
        <v/>
      </c>
      <c r="S579">
        <f>IF($A579="","",COUNTIFS('Таблиця 1'!$B:$B,$A579,'Таблиця 1'!$E:$E,"Ретранслятор",'Таблиця 1'!$L:$L,"Уражено"))</f>
        <v/>
      </c>
      <c r="T579">
        <f>IF($A579="","",COUNTIFS('Таблиця 1'!$B:$B,$A579,'Таблиця 1'!$E:$E,"Вз.зв'язку",'Таблиця 1'!$L:$L,"Уражено"))</f>
        <v/>
      </c>
      <c r="U579">
        <f>IF($A579="","",COUNTIFS('Таблиця 1'!$B:$B,$A579,'Таблиця 1'!$E:$E,"ПММ",'Таблиця 1'!$L:$L,"Уражено"))</f>
        <v/>
      </c>
      <c r="V579">
        <f>IF($A579="","",COUNTIFS('Таблиця 1'!$B:$B,$A579,'Таблиця 1'!$E:$E,"ІФС",'Таблиця 1'!$L:$L,"Уражено"))</f>
        <v/>
      </c>
      <c r="W579">
        <f>IF($A579="","",COUNTIFS('Таблиця 1'!$B:$B,$A579,'Таблиця 1'!$E:$E,"Інфраструктура",'Таблиця 1'!$L:$L,"Уражено"))</f>
        <v/>
      </c>
      <c r="X579">
        <f>IF($A579="","",SUMIFS('Таблиця 1'!$K:$K,'Таблиця 1'!$B:$B,$A579))</f>
        <v/>
      </c>
    </row>
    <row r="580">
      <c r="A580" s="81">
        <f>IF(A579="","",IF(A579+1&gt;MAX('Таблиця 1'!$B:$B),"",A579+1))</f>
        <v/>
      </c>
      <c r="B580">
        <f>IF($A580="","",COUNTIFS('Таблиця 1'!$B:$B,$A580,'Таблиця 1'!$E:$E,"ЖС ВЗ",'Таблиця 1'!$L:$L,"Уражено"))</f>
        <v/>
      </c>
      <c r="C580">
        <f>IF($A580="","",COUNTIFS('Таблиця 1'!$B:$B,$A580,'Таблиця 1'!$E:$E,"Арт. Системи",'Таблиця 1'!$L:$L,"Уражено"))</f>
        <v/>
      </c>
      <c r="D580">
        <f>IF($A580="","",COUNTIFS('Таблиця 1'!$B:$B,$A580,'Таблиця 1'!$E:$E,"ОВТ",'Таблиця 1'!$L:$L,"Уражено"))</f>
        <v/>
      </c>
      <c r="E580">
        <f>IF($A580="","",COUNTIFS('Таблиця 1'!$B:$B,$A580,'Таблиця 1'!$E:$E,"ППО",'Таблиця 1'!$L:$L,"Уражено"))</f>
        <v/>
      </c>
      <c r="F580">
        <f>IF($A580="","",COUNTIFS('Таблиця 1'!$B:$B,$A580,'Таблиця 1'!$E:$E,"Рембаза",'Таблиця 1'!$L:$L,"Уражено"))</f>
        <v/>
      </c>
      <c r="G580">
        <f>IF($A580="","",COUNTIFS('Таблиця 1'!$B:$B,$A580,'Таблиця 1'!$E:$E,"Склад БК",'Таблиця 1'!$L:$L,"Уражено"))</f>
        <v/>
      </c>
      <c r="H580">
        <f>IF($A580="","",COUNTIFS('Таблиця 1'!$B:$B,$A580,'Таблиця 1'!$E:$E,"Склад ВТМ",'Таблиця 1'!$L:$L,"Уражено"))</f>
        <v/>
      </c>
      <c r="I580">
        <f>IF($A580="","",COUNTIFS('Таблиця 1'!$B:$B,$A580,'Таблиця 1'!$E:$E,"ПУ БпЛА",'Таблиця 1'!$L:$L,"Уражено"))</f>
        <v/>
      </c>
      <c r="J580">
        <f>IF($A580="","",COUNTIFS('Таблиця 1'!$B:$B,$A580,'Таблиця 1'!$E:$E,"СП",'Таблиця 1'!$L:$L,"Уражено"))</f>
        <v/>
      </c>
      <c r="K580">
        <f>IF($A580="","",COUNTIFS('Таблиця 1'!$B:$B,$A580,'Таблиця 1'!$E:$E,"КСП роти",'Таблиця 1'!$L:$L,"Уражено"))</f>
        <v/>
      </c>
      <c r="L580">
        <f>IF($A580="","",COUNTIFS('Таблиця 1'!$B:$B,$A580,'Таблиця 1'!$E:$E,"ПУ бат",'Таблиця 1'!$L:$L,"Уражено"))</f>
        <v/>
      </c>
      <c r="M580">
        <f>IF($A580="","",COUNTIFS('Таблиця 1'!$B:$B,$A580,'Таблиця 1'!$E:$E,"ПУ бриг",'Таблиця 1'!$L:$L,"Уражено"))</f>
        <v/>
      </c>
      <c r="N580">
        <f>IF($A580="","",COUNTIFS('Таблиця 1'!$B:$B,$A580,'Таблиця 1'!$E:$E,"ПУ див",'Таблиця 1'!$L:$L,"Уражено"))</f>
        <v/>
      </c>
      <c r="O580">
        <f>IF($A580="","",COUNTIFS('Таблиця 1'!$B:$B,$A580,'Таблиця 1'!$E:$E,"обл. РЕБ",'Таблиця 1'!$L:$L,"Уражено"))</f>
        <v/>
      </c>
      <c r="P580">
        <f>IF($A580="","",COUNTIFS('Таблиця 1'!$B:$B,$A580,'Таблиця 1'!$E:$E,"пос РЕБ",'Таблиця 1'!$L:$L,"Уражено"))</f>
        <v/>
      </c>
      <c r="Q580">
        <f>IF($A580="","",COUNTIFS('Таблиця 1'!$B:$B,$A580,'Таблиця 1'!$E:$E,"група РЕР",'Таблиця 1'!$L:$L,"Уражено"))</f>
        <v/>
      </c>
      <c r="R580">
        <f>IF($A580="","",COUNTIFS('Таблиця 1'!$B:$B,$A580,'Таблиця 1'!$E:$E,"РЛС КББ",'Таблиця 1'!$L:$L,"Уражено"))</f>
        <v/>
      </c>
      <c r="S580">
        <f>IF($A580="","",COUNTIFS('Таблиця 1'!$B:$B,$A580,'Таблиця 1'!$E:$E,"Ретранслятор",'Таблиця 1'!$L:$L,"Уражено"))</f>
        <v/>
      </c>
      <c r="T580">
        <f>IF($A580="","",COUNTIFS('Таблиця 1'!$B:$B,$A580,'Таблиця 1'!$E:$E,"Вз.зв'язку",'Таблиця 1'!$L:$L,"Уражено"))</f>
        <v/>
      </c>
      <c r="U580">
        <f>IF($A580="","",COUNTIFS('Таблиця 1'!$B:$B,$A580,'Таблиця 1'!$E:$E,"ПММ",'Таблиця 1'!$L:$L,"Уражено"))</f>
        <v/>
      </c>
      <c r="V580">
        <f>IF($A580="","",COUNTIFS('Таблиця 1'!$B:$B,$A580,'Таблиця 1'!$E:$E,"ІФС",'Таблиця 1'!$L:$L,"Уражено"))</f>
        <v/>
      </c>
      <c r="W580">
        <f>IF($A580="","",COUNTIFS('Таблиця 1'!$B:$B,$A580,'Таблиця 1'!$E:$E,"Інфраструктура",'Таблиця 1'!$L:$L,"Уражено"))</f>
        <v/>
      </c>
      <c r="X580">
        <f>IF($A580="","",SUMIFS('Таблиця 1'!$K:$K,'Таблиця 1'!$B:$B,$A580))</f>
        <v/>
      </c>
    </row>
    <row r="581">
      <c r="A581" s="81">
        <f>IF(A580="","",IF(A580+1&gt;MAX('Таблиця 1'!$B:$B),"",A580+1))</f>
        <v/>
      </c>
      <c r="B581">
        <f>IF($A581="","",COUNTIFS('Таблиця 1'!$B:$B,$A581,'Таблиця 1'!$E:$E,"ЖС ВЗ",'Таблиця 1'!$L:$L,"Уражено"))</f>
        <v/>
      </c>
      <c r="C581">
        <f>IF($A581="","",COUNTIFS('Таблиця 1'!$B:$B,$A581,'Таблиця 1'!$E:$E,"Арт. Системи",'Таблиця 1'!$L:$L,"Уражено"))</f>
        <v/>
      </c>
      <c r="D581">
        <f>IF($A581="","",COUNTIFS('Таблиця 1'!$B:$B,$A581,'Таблиця 1'!$E:$E,"ОВТ",'Таблиця 1'!$L:$L,"Уражено"))</f>
        <v/>
      </c>
      <c r="E581">
        <f>IF($A581="","",COUNTIFS('Таблиця 1'!$B:$B,$A581,'Таблиця 1'!$E:$E,"ППО",'Таблиця 1'!$L:$L,"Уражено"))</f>
        <v/>
      </c>
      <c r="F581">
        <f>IF($A581="","",COUNTIFS('Таблиця 1'!$B:$B,$A581,'Таблиця 1'!$E:$E,"Рембаза",'Таблиця 1'!$L:$L,"Уражено"))</f>
        <v/>
      </c>
      <c r="G581">
        <f>IF($A581="","",COUNTIFS('Таблиця 1'!$B:$B,$A581,'Таблиця 1'!$E:$E,"Склад БК",'Таблиця 1'!$L:$L,"Уражено"))</f>
        <v/>
      </c>
      <c r="H581">
        <f>IF($A581="","",COUNTIFS('Таблиця 1'!$B:$B,$A581,'Таблиця 1'!$E:$E,"Склад ВТМ",'Таблиця 1'!$L:$L,"Уражено"))</f>
        <v/>
      </c>
      <c r="I581">
        <f>IF($A581="","",COUNTIFS('Таблиця 1'!$B:$B,$A581,'Таблиця 1'!$E:$E,"ПУ БпЛА",'Таблиця 1'!$L:$L,"Уражено"))</f>
        <v/>
      </c>
      <c r="J581">
        <f>IF($A581="","",COUNTIFS('Таблиця 1'!$B:$B,$A581,'Таблиця 1'!$E:$E,"СП",'Таблиця 1'!$L:$L,"Уражено"))</f>
        <v/>
      </c>
      <c r="K581">
        <f>IF($A581="","",COUNTIFS('Таблиця 1'!$B:$B,$A581,'Таблиця 1'!$E:$E,"КСП роти",'Таблиця 1'!$L:$L,"Уражено"))</f>
        <v/>
      </c>
      <c r="L581">
        <f>IF($A581="","",COUNTIFS('Таблиця 1'!$B:$B,$A581,'Таблиця 1'!$E:$E,"ПУ бат",'Таблиця 1'!$L:$L,"Уражено"))</f>
        <v/>
      </c>
      <c r="M581">
        <f>IF($A581="","",COUNTIFS('Таблиця 1'!$B:$B,$A581,'Таблиця 1'!$E:$E,"ПУ бриг",'Таблиця 1'!$L:$L,"Уражено"))</f>
        <v/>
      </c>
      <c r="N581">
        <f>IF($A581="","",COUNTIFS('Таблиця 1'!$B:$B,$A581,'Таблиця 1'!$E:$E,"ПУ див",'Таблиця 1'!$L:$L,"Уражено"))</f>
        <v/>
      </c>
      <c r="O581">
        <f>IF($A581="","",COUNTIFS('Таблиця 1'!$B:$B,$A581,'Таблиця 1'!$E:$E,"обл. РЕБ",'Таблиця 1'!$L:$L,"Уражено"))</f>
        <v/>
      </c>
      <c r="P581">
        <f>IF($A581="","",COUNTIFS('Таблиця 1'!$B:$B,$A581,'Таблиця 1'!$E:$E,"пос РЕБ",'Таблиця 1'!$L:$L,"Уражено"))</f>
        <v/>
      </c>
      <c r="Q581">
        <f>IF($A581="","",COUNTIFS('Таблиця 1'!$B:$B,$A581,'Таблиця 1'!$E:$E,"група РЕР",'Таблиця 1'!$L:$L,"Уражено"))</f>
        <v/>
      </c>
      <c r="R581">
        <f>IF($A581="","",COUNTIFS('Таблиця 1'!$B:$B,$A581,'Таблиця 1'!$E:$E,"РЛС КББ",'Таблиця 1'!$L:$L,"Уражено"))</f>
        <v/>
      </c>
      <c r="S581">
        <f>IF($A581="","",COUNTIFS('Таблиця 1'!$B:$B,$A581,'Таблиця 1'!$E:$E,"Ретранслятор",'Таблиця 1'!$L:$L,"Уражено"))</f>
        <v/>
      </c>
      <c r="T581">
        <f>IF($A581="","",COUNTIFS('Таблиця 1'!$B:$B,$A581,'Таблиця 1'!$E:$E,"Вз.зв'язку",'Таблиця 1'!$L:$L,"Уражено"))</f>
        <v/>
      </c>
      <c r="U581">
        <f>IF($A581="","",COUNTIFS('Таблиця 1'!$B:$B,$A581,'Таблиця 1'!$E:$E,"ПММ",'Таблиця 1'!$L:$L,"Уражено"))</f>
        <v/>
      </c>
      <c r="V581">
        <f>IF($A581="","",COUNTIFS('Таблиця 1'!$B:$B,$A581,'Таблиця 1'!$E:$E,"ІФС",'Таблиця 1'!$L:$L,"Уражено"))</f>
        <v/>
      </c>
      <c r="W581">
        <f>IF($A581="","",COUNTIFS('Таблиця 1'!$B:$B,$A581,'Таблиця 1'!$E:$E,"Інфраструктура",'Таблиця 1'!$L:$L,"Уражено"))</f>
        <v/>
      </c>
      <c r="X581">
        <f>IF($A581="","",SUMIFS('Таблиця 1'!$K:$K,'Таблиця 1'!$B:$B,$A581))</f>
        <v/>
      </c>
    </row>
    <row r="582">
      <c r="A582" s="81">
        <f>IF(A581="","",IF(A581+1&gt;MAX('Таблиця 1'!$B:$B),"",A581+1))</f>
        <v/>
      </c>
      <c r="B582">
        <f>IF($A582="","",COUNTIFS('Таблиця 1'!$B:$B,$A582,'Таблиця 1'!$E:$E,"ЖС ВЗ",'Таблиця 1'!$L:$L,"Уражено"))</f>
        <v/>
      </c>
      <c r="C582">
        <f>IF($A582="","",COUNTIFS('Таблиця 1'!$B:$B,$A582,'Таблиця 1'!$E:$E,"Арт. Системи",'Таблиця 1'!$L:$L,"Уражено"))</f>
        <v/>
      </c>
      <c r="D582">
        <f>IF($A582="","",COUNTIFS('Таблиця 1'!$B:$B,$A582,'Таблиця 1'!$E:$E,"ОВТ",'Таблиця 1'!$L:$L,"Уражено"))</f>
        <v/>
      </c>
      <c r="E582">
        <f>IF($A582="","",COUNTIFS('Таблиця 1'!$B:$B,$A582,'Таблиця 1'!$E:$E,"ППО",'Таблиця 1'!$L:$L,"Уражено"))</f>
        <v/>
      </c>
      <c r="F582">
        <f>IF($A582="","",COUNTIFS('Таблиця 1'!$B:$B,$A582,'Таблиця 1'!$E:$E,"Рембаза",'Таблиця 1'!$L:$L,"Уражено"))</f>
        <v/>
      </c>
      <c r="G582">
        <f>IF($A582="","",COUNTIFS('Таблиця 1'!$B:$B,$A582,'Таблиця 1'!$E:$E,"Склад БК",'Таблиця 1'!$L:$L,"Уражено"))</f>
        <v/>
      </c>
      <c r="H582">
        <f>IF($A582="","",COUNTIFS('Таблиця 1'!$B:$B,$A582,'Таблиця 1'!$E:$E,"Склад ВТМ",'Таблиця 1'!$L:$L,"Уражено"))</f>
        <v/>
      </c>
      <c r="I582">
        <f>IF($A582="","",COUNTIFS('Таблиця 1'!$B:$B,$A582,'Таблиця 1'!$E:$E,"ПУ БпЛА",'Таблиця 1'!$L:$L,"Уражено"))</f>
        <v/>
      </c>
      <c r="J582">
        <f>IF($A582="","",COUNTIFS('Таблиця 1'!$B:$B,$A582,'Таблиця 1'!$E:$E,"СП",'Таблиця 1'!$L:$L,"Уражено"))</f>
        <v/>
      </c>
      <c r="K582">
        <f>IF($A582="","",COUNTIFS('Таблиця 1'!$B:$B,$A582,'Таблиця 1'!$E:$E,"КСП роти",'Таблиця 1'!$L:$L,"Уражено"))</f>
        <v/>
      </c>
      <c r="L582">
        <f>IF($A582="","",COUNTIFS('Таблиця 1'!$B:$B,$A582,'Таблиця 1'!$E:$E,"ПУ бат",'Таблиця 1'!$L:$L,"Уражено"))</f>
        <v/>
      </c>
      <c r="M582">
        <f>IF($A582="","",COUNTIFS('Таблиця 1'!$B:$B,$A582,'Таблиця 1'!$E:$E,"ПУ бриг",'Таблиця 1'!$L:$L,"Уражено"))</f>
        <v/>
      </c>
      <c r="N582">
        <f>IF($A582="","",COUNTIFS('Таблиця 1'!$B:$B,$A582,'Таблиця 1'!$E:$E,"ПУ див",'Таблиця 1'!$L:$L,"Уражено"))</f>
        <v/>
      </c>
      <c r="O582">
        <f>IF($A582="","",COUNTIFS('Таблиця 1'!$B:$B,$A582,'Таблиця 1'!$E:$E,"обл. РЕБ",'Таблиця 1'!$L:$L,"Уражено"))</f>
        <v/>
      </c>
      <c r="P582">
        <f>IF($A582="","",COUNTIFS('Таблиця 1'!$B:$B,$A582,'Таблиця 1'!$E:$E,"пос РЕБ",'Таблиця 1'!$L:$L,"Уражено"))</f>
        <v/>
      </c>
      <c r="Q582">
        <f>IF($A582="","",COUNTIFS('Таблиця 1'!$B:$B,$A582,'Таблиця 1'!$E:$E,"група РЕР",'Таблиця 1'!$L:$L,"Уражено"))</f>
        <v/>
      </c>
      <c r="R582">
        <f>IF($A582="","",COUNTIFS('Таблиця 1'!$B:$B,$A582,'Таблиця 1'!$E:$E,"РЛС КББ",'Таблиця 1'!$L:$L,"Уражено"))</f>
        <v/>
      </c>
      <c r="S582">
        <f>IF($A582="","",COUNTIFS('Таблиця 1'!$B:$B,$A582,'Таблиця 1'!$E:$E,"Ретранслятор",'Таблиця 1'!$L:$L,"Уражено"))</f>
        <v/>
      </c>
      <c r="T582">
        <f>IF($A582="","",COUNTIFS('Таблиця 1'!$B:$B,$A582,'Таблиця 1'!$E:$E,"Вз.зв'язку",'Таблиця 1'!$L:$L,"Уражено"))</f>
        <v/>
      </c>
      <c r="U582">
        <f>IF($A582="","",COUNTIFS('Таблиця 1'!$B:$B,$A582,'Таблиця 1'!$E:$E,"ПММ",'Таблиця 1'!$L:$L,"Уражено"))</f>
        <v/>
      </c>
      <c r="V582">
        <f>IF($A582="","",COUNTIFS('Таблиця 1'!$B:$B,$A582,'Таблиця 1'!$E:$E,"ІФС",'Таблиця 1'!$L:$L,"Уражено"))</f>
        <v/>
      </c>
      <c r="W582">
        <f>IF($A582="","",COUNTIFS('Таблиця 1'!$B:$B,$A582,'Таблиця 1'!$E:$E,"Інфраструктура",'Таблиця 1'!$L:$L,"Уражено"))</f>
        <v/>
      </c>
      <c r="X582">
        <f>IF($A582="","",SUMIFS('Таблиця 1'!$K:$K,'Таблиця 1'!$B:$B,$A582))</f>
        <v/>
      </c>
    </row>
    <row r="583">
      <c r="A583" s="81">
        <f>IF(A582="","",IF(A582+1&gt;MAX('Таблиця 1'!$B:$B),"",A582+1))</f>
        <v/>
      </c>
      <c r="B583">
        <f>IF($A583="","",COUNTIFS('Таблиця 1'!$B:$B,$A583,'Таблиця 1'!$E:$E,"ЖС ВЗ",'Таблиця 1'!$L:$L,"Уражено"))</f>
        <v/>
      </c>
      <c r="C583">
        <f>IF($A583="","",COUNTIFS('Таблиця 1'!$B:$B,$A583,'Таблиця 1'!$E:$E,"Арт. Системи",'Таблиця 1'!$L:$L,"Уражено"))</f>
        <v/>
      </c>
      <c r="D583">
        <f>IF($A583="","",COUNTIFS('Таблиця 1'!$B:$B,$A583,'Таблиця 1'!$E:$E,"ОВТ",'Таблиця 1'!$L:$L,"Уражено"))</f>
        <v/>
      </c>
      <c r="E583">
        <f>IF($A583="","",COUNTIFS('Таблиця 1'!$B:$B,$A583,'Таблиця 1'!$E:$E,"ППО",'Таблиця 1'!$L:$L,"Уражено"))</f>
        <v/>
      </c>
      <c r="F583">
        <f>IF($A583="","",COUNTIFS('Таблиця 1'!$B:$B,$A583,'Таблиця 1'!$E:$E,"Рембаза",'Таблиця 1'!$L:$L,"Уражено"))</f>
        <v/>
      </c>
      <c r="G583">
        <f>IF($A583="","",COUNTIFS('Таблиця 1'!$B:$B,$A583,'Таблиця 1'!$E:$E,"Склад БК",'Таблиця 1'!$L:$L,"Уражено"))</f>
        <v/>
      </c>
      <c r="H583">
        <f>IF($A583="","",COUNTIFS('Таблиця 1'!$B:$B,$A583,'Таблиця 1'!$E:$E,"Склад ВТМ",'Таблиця 1'!$L:$L,"Уражено"))</f>
        <v/>
      </c>
      <c r="I583">
        <f>IF($A583="","",COUNTIFS('Таблиця 1'!$B:$B,$A583,'Таблиця 1'!$E:$E,"ПУ БпЛА",'Таблиця 1'!$L:$L,"Уражено"))</f>
        <v/>
      </c>
      <c r="J583">
        <f>IF($A583="","",COUNTIFS('Таблиця 1'!$B:$B,$A583,'Таблиця 1'!$E:$E,"СП",'Таблиця 1'!$L:$L,"Уражено"))</f>
        <v/>
      </c>
      <c r="K583">
        <f>IF($A583="","",COUNTIFS('Таблиця 1'!$B:$B,$A583,'Таблиця 1'!$E:$E,"КСП роти",'Таблиця 1'!$L:$L,"Уражено"))</f>
        <v/>
      </c>
      <c r="L583">
        <f>IF($A583="","",COUNTIFS('Таблиця 1'!$B:$B,$A583,'Таблиця 1'!$E:$E,"ПУ бат",'Таблиця 1'!$L:$L,"Уражено"))</f>
        <v/>
      </c>
      <c r="M583">
        <f>IF($A583="","",COUNTIFS('Таблиця 1'!$B:$B,$A583,'Таблиця 1'!$E:$E,"ПУ бриг",'Таблиця 1'!$L:$L,"Уражено"))</f>
        <v/>
      </c>
      <c r="N583">
        <f>IF($A583="","",COUNTIFS('Таблиця 1'!$B:$B,$A583,'Таблиця 1'!$E:$E,"ПУ див",'Таблиця 1'!$L:$L,"Уражено"))</f>
        <v/>
      </c>
      <c r="O583">
        <f>IF($A583="","",COUNTIFS('Таблиця 1'!$B:$B,$A583,'Таблиця 1'!$E:$E,"обл. РЕБ",'Таблиця 1'!$L:$L,"Уражено"))</f>
        <v/>
      </c>
      <c r="P583">
        <f>IF($A583="","",COUNTIFS('Таблиця 1'!$B:$B,$A583,'Таблиця 1'!$E:$E,"пос РЕБ",'Таблиця 1'!$L:$L,"Уражено"))</f>
        <v/>
      </c>
      <c r="Q583">
        <f>IF($A583="","",COUNTIFS('Таблиця 1'!$B:$B,$A583,'Таблиця 1'!$E:$E,"група РЕР",'Таблиця 1'!$L:$L,"Уражено"))</f>
        <v/>
      </c>
      <c r="R583">
        <f>IF($A583="","",COUNTIFS('Таблиця 1'!$B:$B,$A583,'Таблиця 1'!$E:$E,"РЛС КББ",'Таблиця 1'!$L:$L,"Уражено"))</f>
        <v/>
      </c>
      <c r="S583">
        <f>IF($A583="","",COUNTIFS('Таблиця 1'!$B:$B,$A583,'Таблиця 1'!$E:$E,"Ретранслятор",'Таблиця 1'!$L:$L,"Уражено"))</f>
        <v/>
      </c>
      <c r="T583">
        <f>IF($A583="","",COUNTIFS('Таблиця 1'!$B:$B,$A583,'Таблиця 1'!$E:$E,"Вз.зв'язку",'Таблиця 1'!$L:$L,"Уражено"))</f>
        <v/>
      </c>
      <c r="U583">
        <f>IF($A583="","",COUNTIFS('Таблиця 1'!$B:$B,$A583,'Таблиця 1'!$E:$E,"ПММ",'Таблиця 1'!$L:$L,"Уражено"))</f>
        <v/>
      </c>
      <c r="V583">
        <f>IF($A583="","",COUNTIFS('Таблиця 1'!$B:$B,$A583,'Таблиця 1'!$E:$E,"ІФС",'Таблиця 1'!$L:$L,"Уражено"))</f>
        <v/>
      </c>
      <c r="W583">
        <f>IF($A583="","",COUNTIFS('Таблиця 1'!$B:$B,$A583,'Таблиця 1'!$E:$E,"Інфраструктура",'Таблиця 1'!$L:$L,"Уражено"))</f>
        <v/>
      </c>
      <c r="X583">
        <f>IF($A583="","",SUMIFS('Таблиця 1'!$K:$K,'Таблиця 1'!$B:$B,$A583))</f>
        <v/>
      </c>
    </row>
    <row r="584">
      <c r="A584" s="81">
        <f>IF(A583="","",IF(A583+1&gt;MAX('Таблиця 1'!$B:$B),"",A583+1))</f>
        <v/>
      </c>
      <c r="B584">
        <f>IF($A584="","",COUNTIFS('Таблиця 1'!$B:$B,$A584,'Таблиця 1'!$E:$E,"ЖС ВЗ",'Таблиця 1'!$L:$L,"Уражено"))</f>
        <v/>
      </c>
      <c r="C584">
        <f>IF($A584="","",COUNTIFS('Таблиця 1'!$B:$B,$A584,'Таблиця 1'!$E:$E,"Арт. Системи",'Таблиця 1'!$L:$L,"Уражено"))</f>
        <v/>
      </c>
      <c r="D584">
        <f>IF($A584="","",COUNTIFS('Таблиця 1'!$B:$B,$A584,'Таблиця 1'!$E:$E,"ОВТ",'Таблиця 1'!$L:$L,"Уражено"))</f>
        <v/>
      </c>
      <c r="E584">
        <f>IF($A584="","",COUNTIFS('Таблиця 1'!$B:$B,$A584,'Таблиця 1'!$E:$E,"ППО",'Таблиця 1'!$L:$L,"Уражено"))</f>
        <v/>
      </c>
      <c r="F584">
        <f>IF($A584="","",COUNTIFS('Таблиця 1'!$B:$B,$A584,'Таблиця 1'!$E:$E,"Рембаза",'Таблиця 1'!$L:$L,"Уражено"))</f>
        <v/>
      </c>
      <c r="G584">
        <f>IF($A584="","",COUNTIFS('Таблиця 1'!$B:$B,$A584,'Таблиця 1'!$E:$E,"Склад БК",'Таблиця 1'!$L:$L,"Уражено"))</f>
        <v/>
      </c>
      <c r="H584">
        <f>IF($A584="","",COUNTIFS('Таблиця 1'!$B:$B,$A584,'Таблиця 1'!$E:$E,"Склад ВТМ",'Таблиця 1'!$L:$L,"Уражено"))</f>
        <v/>
      </c>
      <c r="I584">
        <f>IF($A584="","",COUNTIFS('Таблиця 1'!$B:$B,$A584,'Таблиця 1'!$E:$E,"ПУ БпЛА",'Таблиця 1'!$L:$L,"Уражено"))</f>
        <v/>
      </c>
      <c r="J584">
        <f>IF($A584="","",COUNTIFS('Таблиця 1'!$B:$B,$A584,'Таблиця 1'!$E:$E,"СП",'Таблиця 1'!$L:$L,"Уражено"))</f>
        <v/>
      </c>
      <c r="K584">
        <f>IF($A584="","",COUNTIFS('Таблиця 1'!$B:$B,$A584,'Таблиця 1'!$E:$E,"КСП роти",'Таблиця 1'!$L:$L,"Уражено"))</f>
        <v/>
      </c>
      <c r="L584">
        <f>IF($A584="","",COUNTIFS('Таблиця 1'!$B:$B,$A584,'Таблиця 1'!$E:$E,"ПУ бат",'Таблиця 1'!$L:$L,"Уражено"))</f>
        <v/>
      </c>
      <c r="M584">
        <f>IF($A584="","",COUNTIFS('Таблиця 1'!$B:$B,$A584,'Таблиця 1'!$E:$E,"ПУ бриг",'Таблиця 1'!$L:$L,"Уражено"))</f>
        <v/>
      </c>
      <c r="N584">
        <f>IF($A584="","",COUNTIFS('Таблиця 1'!$B:$B,$A584,'Таблиця 1'!$E:$E,"ПУ див",'Таблиця 1'!$L:$L,"Уражено"))</f>
        <v/>
      </c>
      <c r="O584">
        <f>IF($A584="","",COUNTIFS('Таблиця 1'!$B:$B,$A584,'Таблиця 1'!$E:$E,"обл. РЕБ",'Таблиця 1'!$L:$L,"Уражено"))</f>
        <v/>
      </c>
      <c r="P584">
        <f>IF($A584="","",COUNTIFS('Таблиця 1'!$B:$B,$A584,'Таблиця 1'!$E:$E,"пос РЕБ",'Таблиця 1'!$L:$L,"Уражено"))</f>
        <v/>
      </c>
      <c r="Q584">
        <f>IF($A584="","",COUNTIFS('Таблиця 1'!$B:$B,$A584,'Таблиця 1'!$E:$E,"група РЕР",'Таблиця 1'!$L:$L,"Уражено"))</f>
        <v/>
      </c>
      <c r="R584">
        <f>IF($A584="","",COUNTIFS('Таблиця 1'!$B:$B,$A584,'Таблиця 1'!$E:$E,"РЛС КББ",'Таблиця 1'!$L:$L,"Уражено"))</f>
        <v/>
      </c>
      <c r="S584">
        <f>IF($A584="","",COUNTIFS('Таблиця 1'!$B:$B,$A584,'Таблиця 1'!$E:$E,"Ретранслятор",'Таблиця 1'!$L:$L,"Уражено"))</f>
        <v/>
      </c>
      <c r="T584">
        <f>IF($A584="","",COUNTIFS('Таблиця 1'!$B:$B,$A584,'Таблиця 1'!$E:$E,"Вз.зв'язку",'Таблиця 1'!$L:$L,"Уражено"))</f>
        <v/>
      </c>
      <c r="U584">
        <f>IF($A584="","",COUNTIFS('Таблиця 1'!$B:$B,$A584,'Таблиця 1'!$E:$E,"ПММ",'Таблиця 1'!$L:$L,"Уражено"))</f>
        <v/>
      </c>
      <c r="V584">
        <f>IF($A584="","",COUNTIFS('Таблиця 1'!$B:$B,$A584,'Таблиця 1'!$E:$E,"ІФС",'Таблиця 1'!$L:$L,"Уражено"))</f>
        <v/>
      </c>
      <c r="W584">
        <f>IF($A584="","",COUNTIFS('Таблиця 1'!$B:$B,$A584,'Таблиця 1'!$E:$E,"Інфраструктура",'Таблиця 1'!$L:$L,"Уражено"))</f>
        <v/>
      </c>
      <c r="X584">
        <f>IF($A584="","",SUMIFS('Таблиця 1'!$K:$K,'Таблиця 1'!$B:$B,$A584))</f>
        <v/>
      </c>
    </row>
    <row r="585">
      <c r="A585" s="81">
        <f>IF(A584="","",IF(A584+1&gt;MAX('Таблиця 1'!$B:$B),"",A584+1))</f>
        <v/>
      </c>
      <c r="B585">
        <f>IF($A585="","",COUNTIFS('Таблиця 1'!$B:$B,$A585,'Таблиця 1'!$E:$E,"ЖС ВЗ",'Таблиця 1'!$L:$L,"Уражено"))</f>
        <v/>
      </c>
      <c r="C585">
        <f>IF($A585="","",COUNTIFS('Таблиця 1'!$B:$B,$A585,'Таблиця 1'!$E:$E,"Арт. Системи",'Таблиця 1'!$L:$L,"Уражено"))</f>
        <v/>
      </c>
      <c r="D585">
        <f>IF($A585="","",COUNTIFS('Таблиця 1'!$B:$B,$A585,'Таблиця 1'!$E:$E,"ОВТ",'Таблиця 1'!$L:$L,"Уражено"))</f>
        <v/>
      </c>
      <c r="E585">
        <f>IF($A585="","",COUNTIFS('Таблиця 1'!$B:$B,$A585,'Таблиця 1'!$E:$E,"ППО",'Таблиця 1'!$L:$L,"Уражено"))</f>
        <v/>
      </c>
      <c r="F585">
        <f>IF($A585="","",COUNTIFS('Таблиця 1'!$B:$B,$A585,'Таблиця 1'!$E:$E,"Рембаза",'Таблиця 1'!$L:$L,"Уражено"))</f>
        <v/>
      </c>
      <c r="G585">
        <f>IF($A585="","",COUNTIFS('Таблиця 1'!$B:$B,$A585,'Таблиця 1'!$E:$E,"Склад БК",'Таблиця 1'!$L:$L,"Уражено"))</f>
        <v/>
      </c>
      <c r="H585">
        <f>IF($A585="","",COUNTIFS('Таблиця 1'!$B:$B,$A585,'Таблиця 1'!$E:$E,"Склад ВТМ",'Таблиця 1'!$L:$L,"Уражено"))</f>
        <v/>
      </c>
      <c r="I585">
        <f>IF($A585="","",COUNTIFS('Таблиця 1'!$B:$B,$A585,'Таблиця 1'!$E:$E,"ПУ БпЛА",'Таблиця 1'!$L:$L,"Уражено"))</f>
        <v/>
      </c>
      <c r="J585">
        <f>IF($A585="","",COUNTIFS('Таблиця 1'!$B:$B,$A585,'Таблиця 1'!$E:$E,"СП",'Таблиця 1'!$L:$L,"Уражено"))</f>
        <v/>
      </c>
      <c r="K585">
        <f>IF($A585="","",COUNTIFS('Таблиця 1'!$B:$B,$A585,'Таблиця 1'!$E:$E,"КСП роти",'Таблиця 1'!$L:$L,"Уражено"))</f>
        <v/>
      </c>
      <c r="L585">
        <f>IF($A585="","",COUNTIFS('Таблиця 1'!$B:$B,$A585,'Таблиця 1'!$E:$E,"ПУ бат",'Таблиця 1'!$L:$L,"Уражено"))</f>
        <v/>
      </c>
      <c r="M585">
        <f>IF($A585="","",COUNTIFS('Таблиця 1'!$B:$B,$A585,'Таблиця 1'!$E:$E,"ПУ бриг",'Таблиця 1'!$L:$L,"Уражено"))</f>
        <v/>
      </c>
      <c r="N585">
        <f>IF($A585="","",COUNTIFS('Таблиця 1'!$B:$B,$A585,'Таблиця 1'!$E:$E,"ПУ див",'Таблиця 1'!$L:$L,"Уражено"))</f>
        <v/>
      </c>
      <c r="O585">
        <f>IF($A585="","",COUNTIFS('Таблиця 1'!$B:$B,$A585,'Таблиця 1'!$E:$E,"обл. РЕБ",'Таблиця 1'!$L:$L,"Уражено"))</f>
        <v/>
      </c>
      <c r="P585">
        <f>IF($A585="","",COUNTIFS('Таблиця 1'!$B:$B,$A585,'Таблиця 1'!$E:$E,"пос РЕБ",'Таблиця 1'!$L:$L,"Уражено"))</f>
        <v/>
      </c>
      <c r="Q585">
        <f>IF($A585="","",COUNTIFS('Таблиця 1'!$B:$B,$A585,'Таблиця 1'!$E:$E,"група РЕР",'Таблиця 1'!$L:$L,"Уражено"))</f>
        <v/>
      </c>
      <c r="R585">
        <f>IF($A585="","",COUNTIFS('Таблиця 1'!$B:$B,$A585,'Таблиця 1'!$E:$E,"РЛС КББ",'Таблиця 1'!$L:$L,"Уражено"))</f>
        <v/>
      </c>
      <c r="S585">
        <f>IF($A585="","",COUNTIFS('Таблиця 1'!$B:$B,$A585,'Таблиця 1'!$E:$E,"Ретранслятор",'Таблиця 1'!$L:$L,"Уражено"))</f>
        <v/>
      </c>
      <c r="T585">
        <f>IF($A585="","",COUNTIFS('Таблиця 1'!$B:$B,$A585,'Таблиця 1'!$E:$E,"Вз.зв'язку",'Таблиця 1'!$L:$L,"Уражено"))</f>
        <v/>
      </c>
      <c r="U585">
        <f>IF($A585="","",COUNTIFS('Таблиця 1'!$B:$B,$A585,'Таблиця 1'!$E:$E,"ПММ",'Таблиця 1'!$L:$L,"Уражено"))</f>
        <v/>
      </c>
      <c r="V585">
        <f>IF($A585="","",COUNTIFS('Таблиця 1'!$B:$B,$A585,'Таблиця 1'!$E:$E,"ІФС",'Таблиця 1'!$L:$L,"Уражено"))</f>
        <v/>
      </c>
      <c r="W585">
        <f>IF($A585="","",COUNTIFS('Таблиця 1'!$B:$B,$A585,'Таблиця 1'!$E:$E,"Інфраструктура",'Таблиця 1'!$L:$L,"Уражено"))</f>
        <v/>
      </c>
      <c r="X585">
        <f>IF($A585="","",SUMIFS('Таблиця 1'!$K:$K,'Таблиця 1'!$B:$B,$A585))</f>
        <v/>
      </c>
    </row>
    <row r="586">
      <c r="A586" s="81">
        <f>IF(A585="","",IF(A585+1&gt;MAX('Таблиця 1'!$B:$B),"",A585+1))</f>
        <v/>
      </c>
      <c r="B586">
        <f>IF($A586="","",COUNTIFS('Таблиця 1'!$B:$B,$A586,'Таблиця 1'!$E:$E,"ЖС ВЗ",'Таблиця 1'!$L:$L,"Уражено"))</f>
        <v/>
      </c>
      <c r="C586">
        <f>IF($A586="","",COUNTIFS('Таблиця 1'!$B:$B,$A586,'Таблиця 1'!$E:$E,"Арт. Системи",'Таблиця 1'!$L:$L,"Уражено"))</f>
        <v/>
      </c>
      <c r="D586">
        <f>IF($A586="","",COUNTIFS('Таблиця 1'!$B:$B,$A586,'Таблиця 1'!$E:$E,"ОВТ",'Таблиця 1'!$L:$L,"Уражено"))</f>
        <v/>
      </c>
      <c r="E586">
        <f>IF($A586="","",COUNTIFS('Таблиця 1'!$B:$B,$A586,'Таблиця 1'!$E:$E,"ППО",'Таблиця 1'!$L:$L,"Уражено"))</f>
        <v/>
      </c>
      <c r="F586">
        <f>IF($A586="","",COUNTIFS('Таблиця 1'!$B:$B,$A586,'Таблиця 1'!$E:$E,"Рембаза",'Таблиця 1'!$L:$L,"Уражено"))</f>
        <v/>
      </c>
      <c r="G586">
        <f>IF($A586="","",COUNTIFS('Таблиця 1'!$B:$B,$A586,'Таблиця 1'!$E:$E,"Склад БК",'Таблиця 1'!$L:$L,"Уражено"))</f>
        <v/>
      </c>
      <c r="H586">
        <f>IF($A586="","",COUNTIFS('Таблиця 1'!$B:$B,$A586,'Таблиця 1'!$E:$E,"Склад ВТМ",'Таблиця 1'!$L:$L,"Уражено"))</f>
        <v/>
      </c>
      <c r="I586">
        <f>IF($A586="","",COUNTIFS('Таблиця 1'!$B:$B,$A586,'Таблиця 1'!$E:$E,"ПУ БпЛА",'Таблиця 1'!$L:$L,"Уражено"))</f>
        <v/>
      </c>
      <c r="J586">
        <f>IF($A586="","",COUNTIFS('Таблиця 1'!$B:$B,$A586,'Таблиця 1'!$E:$E,"СП",'Таблиця 1'!$L:$L,"Уражено"))</f>
        <v/>
      </c>
      <c r="K586">
        <f>IF($A586="","",COUNTIFS('Таблиця 1'!$B:$B,$A586,'Таблиця 1'!$E:$E,"КСП роти",'Таблиця 1'!$L:$L,"Уражено"))</f>
        <v/>
      </c>
      <c r="L586">
        <f>IF($A586="","",COUNTIFS('Таблиця 1'!$B:$B,$A586,'Таблиця 1'!$E:$E,"ПУ бат",'Таблиця 1'!$L:$L,"Уражено"))</f>
        <v/>
      </c>
      <c r="M586">
        <f>IF($A586="","",COUNTIFS('Таблиця 1'!$B:$B,$A586,'Таблиця 1'!$E:$E,"ПУ бриг",'Таблиця 1'!$L:$L,"Уражено"))</f>
        <v/>
      </c>
      <c r="N586">
        <f>IF($A586="","",COUNTIFS('Таблиця 1'!$B:$B,$A586,'Таблиця 1'!$E:$E,"ПУ див",'Таблиця 1'!$L:$L,"Уражено"))</f>
        <v/>
      </c>
      <c r="O586">
        <f>IF($A586="","",COUNTIFS('Таблиця 1'!$B:$B,$A586,'Таблиця 1'!$E:$E,"обл. РЕБ",'Таблиця 1'!$L:$L,"Уражено"))</f>
        <v/>
      </c>
      <c r="P586">
        <f>IF($A586="","",COUNTIFS('Таблиця 1'!$B:$B,$A586,'Таблиця 1'!$E:$E,"пос РЕБ",'Таблиця 1'!$L:$L,"Уражено"))</f>
        <v/>
      </c>
      <c r="Q586">
        <f>IF($A586="","",COUNTIFS('Таблиця 1'!$B:$B,$A586,'Таблиця 1'!$E:$E,"група РЕР",'Таблиця 1'!$L:$L,"Уражено"))</f>
        <v/>
      </c>
      <c r="R586">
        <f>IF($A586="","",COUNTIFS('Таблиця 1'!$B:$B,$A586,'Таблиця 1'!$E:$E,"РЛС КББ",'Таблиця 1'!$L:$L,"Уражено"))</f>
        <v/>
      </c>
      <c r="S586">
        <f>IF($A586="","",COUNTIFS('Таблиця 1'!$B:$B,$A586,'Таблиця 1'!$E:$E,"Ретранслятор",'Таблиця 1'!$L:$L,"Уражено"))</f>
        <v/>
      </c>
      <c r="T586">
        <f>IF($A586="","",COUNTIFS('Таблиця 1'!$B:$B,$A586,'Таблиця 1'!$E:$E,"Вз.зв'язку",'Таблиця 1'!$L:$L,"Уражено"))</f>
        <v/>
      </c>
      <c r="U586">
        <f>IF($A586="","",COUNTIFS('Таблиця 1'!$B:$B,$A586,'Таблиця 1'!$E:$E,"ПММ",'Таблиця 1'!$L:$L,"Уражено"))</f>
        <v/>
      </c>
      <c r="V586">
        <f>IF($A586="","",COUNTIFS('Таблиця 1'!$B:$B,$A586,'Таблиця 1'!$E:$E,"ІФС",'Таблиця 1'!$L:$L,"Уражено"))</f>
        <v/>
      </c>
      <c r="W586">
        <f>IF($A586="","",COUNTIFS('Таблиця 1'!$B:$B,$A586,'Таблиця 1'!$E:$E,"Інфраструктура",'Таблиця 1'!$L:$L,"Уражено"))</f>
        <v/>
      </c>
      <c r="X586">
        <f>IF($A586="","",SUMIFS('Таблиця 1'!$K:$K,'Таблиця 1'!$B:$B,$A586))</f>
        <v/>
      </c>
    </row>
    <row r="587">
      <c r="A587" s="81">
        <f>IF(A586="","",IF(A586+1&gt;MAX('Таблиця 1'!$B:$B),"",A586+1))</f>
        <v/>
      </c>
      <c r="B587">
        <f>IF($A587="","",COUNTIFS('Таблиця 1'!$B:$B,$A587,'Таблиця 1'!$E:$E,"ЖС ВЗ",'Таблиця 1'!$L:$L,"Уражено"))</f>
        <v/>
      </c>
      <c r="C587">
        <f>IF($A587="","",COUNTIFS('Таблиця 1'!$B:$B,$A587,'Таблиця 1'!$E:$E,"Арт. Системи",'Таблиця 1'!$L:$L,"Уражено"))</f>
        <v/>
      </c>
      <c r="D587">
        <f>IF($A587="","",COUNTIFS('Таблиця 1'!$B:$B,$A587,'Таблиця 1'!$E:$E,"ОВТ",'Таблиця 1'!$L:$L,"Уражено"))</f>
        <v/>
      </c>
      <c r="E587">
        <f>IF($A587="","",COUNTIFS('Таблиця 1'!$B:$B,$A587,'Таблиця 1'!$E:$E,"ППО",'Таблиця 1'!$L:$L,"Уражено"))</f>
        <v/>
      </c>
      <c r="F587">
        <f>IF($A587="","",COUNTIFS('Таблиця 1'!$B:$B,$A587,'Таблиця 1'!$E:$E,"Рембаза",'Таблиця 1'!$L:$L,"Уражено"))</f>
        <v/>
      </c>
      <c r="G587">
        <f>IF($A587="","",COUNTIFS('Таблиця 1'!$B:$B,$A587,'Таблиця 1'!$E:$E,"Склад БК",'Таблиця 1'!$L:$L,"Уражено"))</f>
        <v/>
      </c>
      <c r="H587">
        <f>IF($A587="","",COUNTIFS('Таблиця 1'!$B:$B,$A587,'Таблиця 1'!$E:$E,"Склад ВТМ",'Таблиця 1'!$L:$L,"Уражено"))</f>
        <v/>
      </c>
      <c r="I587">
        <f>IF($A587="","",COUNTIFS('Таблиця 1'!$B:$B,$A587,'Таблиця 1'!$E:$E,"ПУ БпЛА",'Таблиця 1'!$L:$L,"Уражено"))</f>
        <v/>
      </c>
      <c r="J587">
        <f>IF($A587="","",COUNTIFS('Таблиця 1'!$B:$B,$A587,'Таблиця 1'!$E:$E,"СП",'Таблиця 1'!$L:$L,"Уражено"))</f>
        <v/>
      </c>
      <c r="K587">
        <f>IF($A587="","",COUNTIFS('Таблиця 1'!$B:$B,$A587,'Таблиця 1'!$E:$E,"КСП роти",'Таблиця 1'!$L:$L,"Уражено"))</f>
        <v/>
      </c>
      <c r="L587">
        <f>IF($A587="","",COUNTIFS('Таблиця 1'!$B:$B,$A587,'Таблиця 1'!$E:$E,"ПУ бат",'Таблиця 1'!$L:$L,"Уражено"))</f>
        <v/>
      </c>
      <c r="M587">
        <f>IF($A587="","",COUNTIFS('Таблиця 1'!$B:$B,$A587,'Таблиця 1'!$E:$E,"ПУ бриг",'Таблиця 1'!$L:$L,"Уражено"))</f>
        <v/>
      </c>
      <c r="N587">
        <f>IF($A587="","",COUNTIFS('Таблиця 1'!$B:$B,$A587,'Таблиця 1'!$E:$E,"ПУ див",'Таблиця 1'!$L:$L,"Уражено"))</f>
        <v/>
      </c>
      <c r="O587">
        <f>IF($A587="","",COUNTIFS('Таблиця 1'!$B:$B,$A587,'Таблиця 1'!$E:$E,"обл. РЕБ",'Таблиця 1'!$L:$L,"Уражено"))</f>
        <v/>
      </c>
      <c r="P587">
        <f>IF($A587="","",COUNTIFS('Таблиця 1'!$B:$B,$A587,'Таблиця 1'!$E:$E,"пос РЕБ",'Таблиця 1'!$L:$L,"Уражено"))</f>
        <v/>
      </c>
      <c r="Q587">
        <f>IF($A587="","",COUNTIFS('Таблиця 1'!$B:$B,$A587,'Таблиця 1'!$E:$E,"група РЕР",'Таблиця 1'!$L:$L,"Уражено"))</f>
        <v/>
      </c>
      <c r="R587">
        <f>IF($A587="","",COUNTIFS('Таблиця 1'!$B:$B,$A587,'Таблиця 1'!$E:$E,"РЛС КББ",'Таблиця 1'!$L:$L,"Уражено"))</f>
        <v/>
      </c>
      <c r="S587">
        <f>IF($A587="","",COUNTIFS('Таблиця 1'!$B:$B,$A587,'Таблиця 1'!$E:$E,"Ретранслятор",'Таблиця 1'!$L:$L,"Уражено"))</f>
        <v/>
      </c>
      <c r="T587">
        <f>IF($A587="","",COUNTIFS('Таблиця 1'!$B:$B,$A587,'Таблиця 1'!$E:$E,"Вз.зв'язку",'Таблиця 1'!$L:$L,"Уражено"))</f>
        <v/>
      </c>
      <c r="U587">
        <f>IF($A587="","",COUNTIFS('Таблиця 1'!$B:$B,$A587,'Таблиця 1'!$E:$E,"ПММ",'Таблиця 1'!$L:$L,"Уражено"))</f>
        <v/>
      </c>
      <c r="V587">
        <f>IF($A587="","",COUNTIFS('Таблиця 1'!$B:$B,$A587,'Таблиця 1'!$E:$E,"ІФС",'Таблиця 1'!$L:$L,"Уражено"))</f>
        <v/>
      </c>
      <c r="W587">
        <f>IF($A587="","",COUNTIFS('Таблиця 1'!$B:$B,$A587,'Таблиця 1'!$E:$E,"Інфраструктура",'Таблиця 1'!$L:$L,"Уражено"))</f>
        <v/>
      </c>
      <c r="X587">
        <f>IF($A587="","",SUMIFS('Таблиця 1'!$K:$K,'Таблиця 1'!$B:$B,$A587))</f>
        <v/>
      </c>
    </row>
    <row r="588">
      <c r="A588" s="81">
        <f>IF(A587="","",IF(A587+1&gt;MAX('Таблиця 1'!$B:$B),"",A587+1))</f>
        <v/>
      </c>
      <c r="B588">
        <f>IF($A588="","",COUNTIFS('Таблиця 1'!$B:$B,$A588,'Таблиця 1'!$E:$E,"ЖС ВЗ",'Таблиця 1'!$L:$L,"Уражено"))</f>
        <v/>
      </c>
      <c r="C588">
        <f>IF($A588="","",COUNTIFS('Таблиця 1'!$B:$B,$A588,'Таблиця 1'!$E:$E,"Арт. Системи",'Таблиця 1'!$L:$L,"Уражено"))</f>
        <v/>
      </c>
      <c r="D588">
        <f>IF($A588="","",COUNTIFS('Таблиця 1'!$B:$B,$A588,'Таблиця 1'!$E:$E,"ОВТ",'Таблиця 1'!$L:$L,"Уражено"))</f>
        <v/>
      </c>
      <c r="E588">
        <f>IF($A588="","",COUNTIFS('Таблиця 1'!$B:$B,$A588,'Таблиця 1'!$E:$E,"ППО",'Таблиця 1'!$L:$L,"Уражено"))</f>
        <v/>
      </c>
      <c r="F588">
        <f>IF($A588="","",COUNTIFS('Таблиця 1'!$B:$B,$A588,'Таблиця 1'!$E:$E,"Рембаза",'Таблиця 1'!$L:$L,"Уражено"))</f>
        <v/>
      </c>
      <c r="G588">
        <f>IF($A588="","",COUNTIFS('Таблиця 1'!$B:$B,$A588,'Таблиця 1'!$E:$E,"Склад БК",'Таблиця 1'!$L:$L,"Уражено"))</f>
        <v/>
      </c>
      <c r="H588">
        <f>IF($A588="","",COUNTIFS('Таблиця 1'!$B:$B,$A588,'Таблиця 1'!$E:$E,"Склад ВТМ",'Таблиця 1'!$L:$L,"Уражено"))</f>
        <v/>
      </c>
      <c r="I588">
        <f>IF($A588="","",COUNTIFS('Таблиця 1'!$B:$B,$A588,'Таблиця 1'!$E:$E,"ПУ БпЛА",'Таблиця 1'!$L:$L,"Уражено"))</f>
        <v/>
      </c>
      <c r="J588">
        <f>IF($A588="","",COUNTIFS('Таблиця 1'!$B:$B,$A588,'Таблиця 1'!$E:$E,"СП",'Таблиця 1'!$L:$L,"Уражено"))</f>
        <v/>
      </c>
      <c r="K588">
        <f>IF($A588="","",COUNTIFS('Таблиця 1'!$B:$B,$A588,'Таблиця 1'!$E:$E,"КСП роти",'Таблиця 1'!$L:$L,"Уражено"))</f>
        <v/>
      </c>
      <c r="L588">
        <f>IF($A588="","",COUNTIFS('Таблиця 1'!$B:$B,$A588,'Таблиця 1'!$E:$E,"ПУ бат",'Таблиця 1'!$L:$L,"Уражено"))</f>
        <v/>
      </c>
      <c r="M588">
        <f>IF($A588="","",COUNTIFS('Таблиця 1'!$B:$B,$A588,'Таблиця 1'!$E:$E,"ПУ бриг",'Таблиця 1'!$L:$L,"Уражено"))</f>
        <v/>
      </c>
      <c r="N588">
        <f>IF($A588="","",COUNTIFS('Таблиця 1'!$B:$B,$A588,'Таблиця 1'!$E:$E,"ПУ див",'Таблиця 1'!$L:$L,"Уражено"))</f>
        <v/>
      </c>
      <c r="O588">
        <f>IF($A588="","",COUNTIFS('Таблиця 1'!$B:$B,$A588,'Таблиця 1'!$E:$E,"обл. РЕБ",'Таблиця 1'!$L:$L,"Уражено"))</f>
        <v/>
      </c>
      <c r="P588">
        <f>IF($A588="","",COUNTIFS('Таблиця 1'!$B:$B,$A588,'Таблиця 1'!$E:$E,"пос РЕБ",'Таблиця 1'!$L:$L,"Уражено"))</f>
        <v/>
      </c>
      <c r="Q588">
        <f>IF($A588="","",COUNTIFS('Таблиця 1'!$B:$B,$A588,'Таблиця 1'!$E:$E,"група РЕР",'Таблиця 1'!$L:$L,"Уражено"))</f>
        <v/>
      </c>
      <c r="R588">
        <f>IF($A588="","",COUNTIFS('Таблиця 1'!$B:$B,$A588,'Таблиця 1'!$E:$E,"РЛС КББ",'Таблиця 1'!$L:$L,"Уражено"))</f>
        <v/>
      </c>
      <c r="S588">
        <f>IF($A588="","",COUNTIFS('Таблиця 1'!$B:$B,$A588,'Таблиця 1'!$E:$E,"Ретранслятор",'Таблиця 1'!$L:$L,"Уражено"))</f>
        <v/>
      </c>
      <c r="T588">
        <f>IF($A588="","",COUNTIFS('Таблиця 1'!$B:$B,$A588,'Таблиця 1'!$E:$E,"Вз.зв'язку",'Таблиця 1'!$L:$L,"Уражено"))</f>
        <v/>
      </c>
      <c r="U588">
        <f>IF($A588="","",COUNTIFS('Таблиця 1'!$B:$B,$A588,'Таблиця 1'!$E:$E,"ПММ",'Таблиця 1'!$L:$L,"Уражено"))</f>
        <v/>
      </c>
      <c r="V588">
        <f>IF($A588="","",COUNTIFS('Таблиця 1'!$B:$B,$A588,'Таблиця 1'!$E:$E,"ІФС",'Таблиця 1'!$L:$L,"Уражено"))</f>
        <v/>
      </c>
      <c r="W588">
        <f>IF($A588="","",COUNTIFS('Таблиця 1'!$B:$B,$A588,'Таблиця 1'!$E:$E,"Інфраструктура",'Таблиця 1'!$L:$L,"Уражено"))</f>
        <v/>
      </c>
      <c r="X588">
        <f>IF($A588="","",SUMIFS('Таблиця 1'!$K:$K,'Таблиця 1'!$B:$B,$A588))</f>
        <v/>
      </c>
    </row>
    <row r="589">
      <c r="A589" s="81">
        <f>IF(A588="","",IF(A588+1&gt;MAX('Таблиця 1'!$B:$B),"",A588+1))</f>
        <v/>
      </c>
      <c r="B589">
        <f>IF($A589="","",COUNTIFS('Таблиця 1'!$B:$B,$A589,'Таблиця 1'!$E:$E,"ЖС ВЗ",'Таблиця 1'!$L:$L,"Уражено"))</f>
        <v/>
      </c>
      <c r="C589">
        <f>IF($A589="","",COUNTIFS('Таблиця 1'!$B:$B,$A589,'Таблиця 1'!$E:$E,"Арт. Системи",'Таблиця 1'!$L:$L,"Уражено"))</f>
        <v/>
      </c>
      <c r="D589">
        <f>IF($A589="","",COUNTIFS('Таблиця 1'!$B:$B,$A589,'Таблиця 1'!$E:$E,"ОВТ",'Таблиця 1'!$L:$L,"Уражено"))</f>
        <v/>
      </c>
      <c r="E589">
        <f>IF($A589="","",COUNTIFS('Таблиця 1'!$B:$B,$A589,'Таблиця 1'!$E:$E,"ППО",'Таблиця 1'!$L:$L,"Уражено"))</f>
        <v/>
      </c>
      <c r="F589">
        <f>IF($A589="","",COUNTIFS('Таблиця 1'!$B:$B,$A589,'Таблиця 1'!$E:$E,"Рембаза",'Таблиця 1'!$L:$L,"Уражено"))</f>
        <v/>
      </c>
      <c r="G589">
        <f>IF($A589="","",COUNTIFS('Таблиця 1'!$B:$B,$A589,'Таблиця 1'!$E:$E,"Склад БК",'Таблиця 1'!$L:$L,"Уражено"))</f>
        <v/>
      </c>
      <c r="H589">
        <f>IF($A589="","",COUNTIFS('Таблиця 1'!$B:$B,$A589,'Таблиця 1'!$E:$E,"Склад ВТМ",'Таблиця 1'!$L:$L,"Уражено"))</f>
        <v/>
      </c>
      <c r="I589">
        <f>IF($A589="","",COUNTIFS('Таблиця 1'!$B:$B,$A589,'Таблиця 1'!$E:$E,"ПУ БпЛА",'Таблиця 1'!$L:$L,"Уражено"))</f>
        <v/>
      </c>
      <c r="J589">
        <f>IF($A589="","",COUNTIFS('Таблиця 1'!$B:$B,$A589,'Таблиця 1'!$E:$E,"СП",'Таблиця 1'!$L:$L,"Уражено"))</f>
        <v/>
      </c>
      <c r="K589">
        <f>IF($A589="","",COUNTIFS('Таблиця 1'!$B:$B,$A589,'Таблиця 1'!$E:$E,"КСП роти",'Таблиця 1'!$L:$L,"Уражено"))</f>
        <v/>
      </c>
      <c r="L589">
        <f>IF($A589="","",COUNTIFS('Таблиця 1'!$B:$B,$A589,'Таблиця 1'!$E:$E,"ПУ бат",'Таблиця 1'!$L:$L,"Уражено"))</f>
        <v/>
      </c>
      <c r="M589">
        <f>IF($A589="","",COUNTIFS('Таблиця 1'!$B:$B,$A589,'Таблиця 1'!$E:$E,"ПУ бриг",'Таблиця 1'!$L:$L,"Уражено"))</f>
        <v/>
      </c>
      <c r="N589">
        <f>IF($A589="","",COUNTIFS('Таблиця 1'!$B:$B,$A589,'Таблиця 1'!$E:$E,"ПУ див",'Таблиця 1'!$L:$L,"Уражено"))</f>
        <v/>
      </c>
      <c r="O589">
        <f>IF($A589="","",COUNTIFS('Таблиця 1'!$B:$B,$A589,'Таблиця 1'!$E:$E,"обл. РЕБ",'Таблиця 1'!$L:$L,"Уражено"))</f>
        <v/>
      </c>
      <c r="P589">
        <f>IF($A589="","",COUNTIFS('Таблиця 1'!$B:$B,$A589,'Таблиця 1'!$E:$E,"пос РЕБ",'Таблиця 1'!$L:$L,"Уражено"))</f>
        <v/>
      </c>
      <c r="Q589">
        <f>IF($A589="","",COUNTIFS('Таблиця 1'!$B:$B,$A589,'Таблиця 1'!$E:$E,"група РЕР",'Таблиця 1'!$L:$L,"Уражено"))</f>
        <v/>
      </c>
      <c r="R589">
        <f>IF($A589="","",COUNTIFS('Таблиця 1'!$B:$B,$A589,'Таблиця 1'!$E:$E,"РЛС КББ",'Таблиця 1'!$L:$L,"Уражено"))</f>
        <v/>
      </c>
      <c r="S589">
        <f>IF($A589="","",COUNTIFS('Таблиця 1'!$B:$B,$A589,'Таблиця 1'!$E:$E,"Ретранслятор",'Таблиця 1'!$L:$L,"Уражено"))</f>
        <v/>
      </c>
      <c r="T589">
        <f>IF($A589="","",COUNTIFS('Таблиця 1'!$B:$B,$A589,'Таблиця 1'!$E:$E,"Вз.зв'язку",'Таблиця 1'!$L:$L,"Уражено"))</f>
        <v/>
      </c>
      <c r="U589">
        <f>IF($A589="","",COUNTIFS('Таблиця 1'!$B:$B,$A589,'Таблиця 1'!$E:$E,"ПММ",'Таблиця 1'!$L:$L,"Уражено"))</f>
        <v/>
      </c>
      <c r="V589">
        <f>IF($A589="","",COUNTIFS('Таблиця 1'!$B:$B,$A589,'Таблиця 1'!$E:$E,"ІФС",'Таблиця 1'!$L:$L,"Уражено"))</f>
        <v/>
      </c>
      <c r="W589">
        <f>IF($A589="","",COUNTIFS('Таблиця 1'!$B:$B,$A589,'Таблиця 1'!$E:$E,"Інфраструктура",'Таблиця 1'!$L:$L,"Уражено"))</f>
        <v/>
      </c>
      <c r="X589">
        <f>IF($A589="","",SUMIFS('Таблиця 1'!$K:$K,'Таблиця 1'!$B:$B,$A589))</f>
        <v/>
      </c>
    </row>
    <row r="590">
      <c r="A590" s="81">
        <f>IF(A589="","",IF(A589+1&gt;MAX('Таблиця 1'!$B:$B),"",A589+1))</f>
        <v/>
      </c>
      <c r="B590">
        <f>IF($A590="","",COUNTIFS('Таблиця 1'!$B:$B,$A590,'Таблиця 1'!$E:$E,"ЖС ВЗ",'Таблиця 1'!$L:$L,"Уражено"))</f>
        <v/>
      </c>
      <c r="C590">
        <f>IF($A590="","",COUNTIFS('Таблиця 1'!$B:$B,$A590,'Таблиця 1'!$E:$E,"Арт. Системи",'Таблиця 1'!$L:$L,"Уражено"))</f>
        <v/>
      </c>
      <c r="D590">
        <f>IF($A590="","",COUNTIFS('Таблиця 1'!$B:$B,$A590,'Таблиця 1'!$E:$E,"ОВТ",'Таблиця 1'!$L:$L,"Уражено"))</f>
        <v/>
      </c>
      <c r="E590">
        <f>IF($A590="","",COUNTIFS('Таблиця 1'!$B:$B,$A590,'Таблиця 1'!$E:$E,"ППО",'Таблиця 1'!$L:$L,"Уражено"))</f>
        <v/>
      </c>
      <c r="F590">
        <f>IF($A590="","",COUNTIFS('Таблиця 1'!$B:$B,$A590,'Таблиця 1'!$E:$E,"Рембаза",'Таблиця 1'!$L:$L,"Уражено"))</f>
        <v/>
      </c>
      <c r="G590">
        <f>IF($A590="","",COUNTIFS('Таблиця 1'!$B:$B,$A590,'Таблиця 1'!$E:$E,"Склад БК",'Таблиця 1'!$L:$L,"Уражено"))</f>
        <v/>
      </c>
      <c r="H590">
        <f>IF($A590="","",COUNTIFS('Таблиця 1'!$B:$B,$A590,'Таблиця 1'!$E:$E,"Склад ВТМ",'Таблиця 1'!$L:$L,"Уражено"))</f>
        <v/>
      </c>
      <c r="I590">
        <f>IF($A590="","",COUNTIFS('Таблиця 1'!$B:$B,$A590,'Таблиця 1'!$E:$E,"ПУ БпЛА",'Таблиця 1'!$L:$L,"Уражено"))</f>
        <v/>
      </c>
      <c r="J590">
        <f>IF($A590="","",COUNTIFS('Таблиця 1'!$B:$B,$A590,'Таблиця 1'!$E:$E,"СП",'Таблиця 1'!$L:$L,"Уражено"))</f>
        <v/>
      </c>
      <c r="K590">
        <f>IF($A590="","",COUNTIFS('Таблиця 1'!$B:$B,$A590,'Таблиця 1'!$E:$E,"КСП роти",'Таблиця 1'!$L:$L,"Уражено"))</f>
        <v/>
      </c>
      <c r="L590">
        <f>IF($A590="","",COUNTIFS('Таблиця 1'!$B:$B,$A590,'Таблиця 1'!$E:$E,"ПУ бат",'Таблиця 1'!$L:$L,"Уражено"))</f>
        <v/>
      </c>
      <c r="M590">
        <f>IF($A590="","",COUNTIFS('Таблиця 1'!$B:$B,$A590,'Таблиця 1'!$E:$E,"ПУ бриг",'Таблиця 1'!$L:$L,"Уражено"))</f>
        <v/>
      </c>
      <c r="N590">
        <f>IF($A590="","",COUNTIFS('Таблиця 1'!$B:$B,$A590,'Таблиця 1'!$E:$E,"ПУ див",'Таблиця 1'!$L:$L,"Уражено"))</f>
        <v/>
      </c>
      <c r="O590">
        <f>IF($A590="","",COUNTIFS('Таблиця 1'!$B:$B,$A590,'Таблиця 1'!$E:$E,"обл. РЕБ",'Таблиця 1'!$L:$L,"Уражено"))</f>
        <v/>
      </c>
      <c r="P590">
        <f>IF($A590="","",COUNTIFS('Таблиця 1'!$B:$B,$A590,'Таблиця 1'!$E:$E,"пос РЕБ",'Таблиця 1'!$L:$L,"Уражено"))</f>
        <v/>
      </c>
      <c r="Q590">
        <f>IF($A590="","",COUNTIFS('Таблиця 1'!$B:$B,$A590,'Таблиця 1'!$E:$E,"група РЕР",'Таблиця 1'!$L:$L,"Уражено"))</f>
        <v/>
      </c>
      <c r="R590">
        <f>IF($A590="","",COUNTIFS('Таблиця 1'!$B:$B,$A590,'Таблиця 1'!$E:$E,"РЛС КББ",'Таблиця 1'!$L:$L,"Уражено"))</f>
        <v/>
      </c>
      <c r="S590">
        <f>IF($A590="","",COUNTIFS('Таблиця 1'!$B:$B,$A590,'Таблиця 1'!$E:$E,"Ретранслятор",'Таблиця 1'!$L:$L,"Уражено"))</f>
        <v/>
      </c>
      <c r="T590">
        <f>IF($A590="","",COUNTIFS('Таблиця 1'!$B:$B,$A590,'Таблиця 1'!$E:$E,"Вз.зв'язку",'Таблиця 1'!$L:$L,"Уражено"))</f>
        <v/>
      </c>
      <c r="U590">
        <f>IF($A590="","",COUNTIFS('Таблиця 1'!$B:$B,$A590,'Таблиця 1'!$E:$E,"ПММ",'Таблиця 1'!$L:$L,"Уражено"))</f>
        <v/>
      </c>
      <c r="V590">
        <f>IF($A590="","",COUNTIFS('Таблиця 1'!$B:$B,$A590,'Таблиця 1'!$E:$E,"ІФС",'Таблиця 1'!$L:$L,"Уражено"))</f>
        <v/>
      </c>
      <c r="W590">
        <f>IF($A590="","",COUNTIFS('Таблиця 1'!$B:$B,$A590,'Таблиця 1'!$E:$E,"Інфраструктура",'Таблиця 1'!$L:$L,"Уражено"))</f>
        <v/>
      </c>
      <c r="X590">
        <f>IF($A590="","",SUMIFS('Таблиця 1'!$K:$K,'Таблиця 1'!$B:$B,$A590))</f>
        <v/>
      </c>
    </row>
    <row r="591">
      <c r="A591" s="81">
        <f>IF(A590="","",IF(A590+1&gt;MAX('Таблиця 1'!$B:$B),"",A590+1))</f>
        <v/>
      </c>
      <c r="B591">
        <f>IF($A591="","",COUNTIFS('Таблиця 1'!$B:$B,$A591,'Таблиця 1'!$E:$E,"ЖС ВЗ",'Таблиця 1'!$L:$L,"Уражено"))</f>
        <v/>
      </c>
      <c r="C591">
        <f>IF($A591="","",COUNTIFS('Таблиця 1'!$B:$B,$A591,'Таблиця 1'!$E:$E,"Арт. Системи",'Таблиця 1'!$L:$L,"Уражено"))</f>
        <v/>
      </c>
      <c r="D591">
        <f>IF($A591="","",COUNTIFS('Таблиця 1'!$B:$B,$A591,'Таблиця 1'!$E:$E,"ОВТ",'Таблиця 1'!$L:$L,"Уражено"))</f>
        <v/>
      </c>
      <c r="E591">
        <f>IF($A591="","",COUNTIFS('Таблиця 1'!$B:$B,$A591,'Таблиця 1'!$E:$E,"ППО",'Таблиця 1'!$L:$L,"Уражено"))</f>
        <v/>
      </c>
      <c r="F591">
        <f>IF($A591="","",COUNTIFS('Таблиця 1'!$B:$B,$A591,'Таблиця 1'!$E:$E,"Рембаза",'Таблиця 1'!$L:$L,"Уражено"))</f>
        <v/>
      </c>
      <c r="G591">
        <f>IF($A591="","",COUNTIFS('Таблиця 1'!$B:$B,$A591,'Таблиця 1'!$E:$E,"Склад БК",'Таблиця 1'!$L:$L,"Уражено"))</f>
        <v/>
      </c>
      <c r="H591">
        <f>IF($A591="","",COUNTIFS('Таблиця 1'!$B:$B,$A591,'Таблиця 1'!$E:$E,"Склад ВТМ",'Таблиця 1'!$L:$L,"Уражено"))</f>
        <v/>
      </c>
      <c r="I591">
        <f>IF($A591="","",COUNTIFS('Таблиця 1'!$B:$B,$A591,'Таблиця 1'!$E:$E,"ПУ БпЛА",'Таблиця 1'!$L:$L,"Уражено"))</f>
        <v/>
      </c>
      <c r="J591">
        <f>IF($A591="","",COUNTIFS('Таблиця 1'!$B:$B,$A591,'Таблиця 1'!$E:$E,"СП",'Таблиця 1'!$L:$L,"Уражено"))</f>
        <v/>
      </c>
      <c r="K591">
        <f>IF($A591="","",COUNTIFS('Таблиця 1'!$B:$B,$A591,'Таблиця 1'!$E:$E,"КСП роти",'Таблиця 1'!$L:$L,"Уражено"))</f>
        <v/>
      </c>
      <c r="L591">
        <f>IF($A591="","",COUNTIFS('Таблиця 1'!$B:$B,$A591,'Таблиця 1'!$E:$E,"ПУ бат",'Таблиця 1'!$L:$L,"Уражено"))</f>
        <v/>
      </c>
      <c r="M591">
        <f>IF($A591="","",COUNTIFS('Таблиця 1'!$B:$B,$A591,'Таблиця 1'!$E:$E,"ПУ бриг",'Таблиця 1'!$L:$L,"Уражено"))</f>
        <v/>
      </c>
      <c r="N591">
        <f>IF($A591="","",COUNTIFS('Таблиця 1'!$B:$B,$A591,'Таблиця 1'!$E:$E,"ПУ див",'Таблиця 1'!$L:$L,"Уражено"))</f>
        <v/>
      </c>
      <c r="O591">
        <f>IF($A591="","",COUNTIFS('Таблиця 1'!$B:$B,$A591,'Таблиця 1'!$E:$E,"обл. РЕБ",'Таблиця 1'!$L:$L,"Уражено"))</f>
        <v/>
      </c>
      <c r="P591">
        <f>IF($A591="","",COUNTIFS('Таблиця 1'!$B:$B,$A591,'Таблиця 1'!$E:$E,"пос РЕБ",'Таблиця 1'!$L:$L,"Уражено"))</f>
        <v/>
      </c>
      <c r="Q591">
        <f>IF($A591="","",COUNTIFS('Таблиця 1'!$B:$B,$A591,'Таблиця 1'!$E:$E,"група РЕР",'Таблиця 1'!$L:$L,"Уражено"))</f>
        <v/>
      </c>
      <c r="R591">
        <f>IF($A591="","",COUNTIFS('Таблиця 1'!$B:$B,$A591,'Таблиця 1'!$E:$E,"РЛС КББ",'Таблиця 1'!$L:$L,"Уражено"))</f>
        <v/>
      </c>
      <c r="S591">
        <f>IF($A591="","",COUNTIFS('Таблиця 1'!$B:$B,$A591,'Таблиця 1'!$E:$E,"Ретранслятор",'Таблиця 1'!$L:$L,"Уражено"))</f>
        <v/>
      </c>
      <c r="T591">
        <f>IF($A591="","",COUNTIFS('Таблиця 1'!$B:$B,$A591,'Таблиця 1'!$E:$E,"Вз.зв'язку",'Таблиця 1'!$L:$L,"Уражено"))</f>
        <v/>
      </c>
      <c r="U591">
        <f>IF($A591="","",COUNTIFS('Таблиця 1'!$B:$B,$A591,'Таблиця 1'!$E:$E,"ПММ",'Таблиця 1'!$L:$L,"Уражено"))</f>
        <v/>
      </c>
      <c r="V591">
        <f>IF($A591="","",COUNTIFS('Таблиця 1'!$B:$B,$A591,'Таблиця 1'!$E:$E,"ІФС",'Таблиця 1'!$L:$L,"Уражено"))</f>
        <v/>
      </c>
      <c r="W591">
        <f>IF($A591="","",COUNTIFS('Таблиця 1'!$B:$B,$A591,'Таблиця 1'!$E:$E,"Інфраструктура",'Таблиця 1'!$L:$L,"Уражено"))</f>
        <v/>
      </c>
      <c r="X591">
        <f>IF($A591="","",SUMIFS('Таблиця 1'!$K:$K,'Таблиця 1'!$B:$B,$A591))</f>
        <v/>
      </c>
    </row>
    <row r="592">
      <c r="A592" s="81">
        <f>IF(A591="","",IF(A591+1&gt;MAX('Таблиця 1'!$B:$B),"",A591+1))</f>
        <v/>
      </c>
      <c r="B592">
        <f>IF($A592="","",COUNTIFS('Таблиця 1'!$B:$B,$A592,'Таблиця 1'!$E:$E,"ЖС ВЗ",'Таблиця 1'!$L:$L,"Уражено"))</f>
        <v/>
      </c>
      <c r="C592">
        <f>IF($A592="","",COUNTIFS('Таблиця 1'!$B:$B,$A592,'Таблиця 1'!$E:$E,"Арт. Системи",'Таблиця 1'!$L:$L,"Уражено"))</f>
        <v/>
      </c>
      <c r="D592">
        <f>IF($A592="","",COUNTIFS('Таблиця 1'!$B:$B,$A592,'Таблиця 1'!$E:$E,"ОВТ",'Таблиця 1'!$L:$L,"Уражено"))</f>
        <v/>
      </c>
      <c r="E592">
        <f>IF($A592="","",COUNTIFS('Таблиця 1'!$B:$B,$A592,'Таблиця 1'!$E:$E,"ППО",'Таблиця 1'!$L:$L,"Уражено"))</f>
        <v/>
      </c>
      <c r="F592">
        <f>IF($A592="","",COUNTIFS('Таблиця 1'!$B:$B,$A592,'Таблиця 1'!$E:$E,"Рембаза",'Таблиця 1'!$L:$L,"Уражено"))</f>
        <v/>
      </c>
      <c r="G592">
        <f>IF($A592="","",COUNTIFS('Таблиця 1'!$B:$B,$A592,'Таблиця 1'!$E:$E,"Склад БК",'Таблиця 1'!$L:$L,"Уражено"))</f>
        <v/>
      </c>
      <c r="H592">
        <f>IF($A592="","",COUNTIFS('Таблиця 1'!$B:$B,$A592,'Таблиця 1'!$E:$E,"Склад ВТМ",'Таблиця 1'!$L:$L,"Уражено"))</f>
        <v/>
      </c>
      <c r="I592">
        <f>IF($A592="","",COUNTIFS('Таблиця 1'!$B:$B,$A592,'Таблиця 1'!$E:$E,"ПУ БпЛА",'Таблиця 1'!$L:$L,"Уражено"))</f>
        <v/>
      </c>
      <c r="J592">
        <f>IF($A592="","",COUNTIFS('Таблиця 1'!$B:$B,$A592,'Таблиця 1'!$E:$E,"СП",'Таблиця 1'!$L:$L,"Уражено"))</f>
        <v/>
      </c>
      <c r="K592">
        <f>IF($A592="","",COUNTIFS('Таблиця 1'!$B:$B,$A592,'Таблиця 1'!$E:$E,"КСП роти",'Таблиця 1'!$L:$L,"Уражено"))</f>
        <v/>
      </c>
      <c r="L592">
        <f>IF($A592="","",COUNTIFS('Таблиця 1'!$B:$B,$A592,'Таблиця 1'!$E:$E,"ПУ бат",'Таблиця 1'!$L:$L,"Уражено"))</f>
        <v/>
      </c>
      <c r="M592">
        <f>IF($A592="","",COUNTIFS('Таблиця 1'!$B:$B,$A592,'Таблиця 1'!$E:$E,"ПУ бриг",'Таблиця 1'!$L:$L,"Уражено"))</f>
        <v/>
      </c>
      <c r="N592">
        <f>IF($A592="","",COUNTIFS('Таблиця 1'!$B:$B,$A592,'Таблиця 1'!$E:$E,"ПУ див",'Таблиця 1'!$L:$L,"Уражено"))</f>
        <v/>
      </c>
      <c r="O592">
        <f>IF($A592="","",COUNTIFS('Таблиця 1'!$B:$B,$A592,'Таблиця 1'!$E:$E,"обл. РЕБ",'Таблиця 1'!$L:$L,"Уражено"))</f>
        <v/>
      </c>
      <c r="P592">
        <f>IF($A592="","",COUNTIFS('Таблиця 1'!$B:$B,$A592,'Таблиця 1'!$E:$E,"пос РЕБ",'Таблиця 1'!$L:$L,"Уражено"))</f>
        <v/>
      </c>
      <c r="Q592">
        <f>IF($A592="","",COUNTIFS('Таблиця 1'!$B:$B,$A592,'Таблиця 1'!$E:$E,"група РЕР",'Таблиця 1'!$L:$L,"Уражено"))</f>
        <v/>
      </c>
      <c r="R592">
        <f>IF($A592="","",COUNTIFS('Таблиця 1'!$B:$B,$A592,'Таблиця 1'!$E:$E,"РЛС КББ",'Таблиця 1'!$L:$L,"Уражено"))</f>
        <v/>
      </c>
      <c r="S592">
        <f>IF($A592="","",COUNTIFS('Таблиця 1'!$B:$B,$A592,'Таблиця 1'!$E:$E,"Ретранслятор",'Таблиця 1'!$L:$L,"Уражено"))</f>
        <v/>
      </c>
      <c r="T592">
        <f>IF($A592="","",COUNTIFS('Таблиця 1'!$B:$B,$A592,'Таблиця 1'!$E:$E,"Вз.зв'язку",'Таблиця 1'!$L:$L,"Уражено"))</f>
        <v/>
      </c>
      <c r="U592">
        <f>IF($A592="","",COUNTIFS('Таблиця 1'!$B:$B,$A592,'Таблиця 1'!$E:$E,"ПММ",'Таблиця 1'!$L:$L,"Уражено"))</f>
        <v/>
      </c>
      <c r="V592">
        <f>IF($A592="","",COUNTIFS('Таблиця 1'!$B:$B,$A592,'Таблиця 1'!$E:$E,"ІФС",'Таблиця 1'!$L:$L,"Уражено"))</f>
        <v/>
      </c>
      <c r="W592">
        <f>IF($A592="","",COUNTIFS('Таблиця 1'!$B:$B,$A592,'Таблиця 1'!$E:$E,"Інфраструктура",'Таблиця 1'!$L:$L,"Уражено"))</f>
        <v/>
      </c>
      <c r="X592">
        <f>IF($A592="","",SUMIFS('Таблиця 1'!$K:$K,'Таблиця 1'!$B:$B,$A592))</f>
        <v/>
      </c>
    </row>
    <row r="593">
      <c r="A593" s="81">
        <f>IF(A592="","",IF(A592+1&gt;MAX('Таблиця 1'!$B:$B),"",A592+1))</f>
        <v/>
      </c>
      <c r="B593">
        <f>IF($A593="","",COUNTIFS('Таблиця 1'!$B:$B,$A593,'Таблиця 1'!$E:$E,"ЖС ВЗ",'Таблиця 1'!$L:$L,"Уражено"))</f>
        <v/>
      </c>
      <c r="C593">
        <f>IF($A593="","",COUNTIFS('Таблиця 1'!$B:$B,$A593,'Таблиця 1'!$E:$E,"Арт. Системи",'Таблиця 1'!$L:$L,"Уражено"))</f>
        <v/>
      </c>
      <c r="D593">
        <f>IF($A593="","",COUNTIFS('Таблиця 1'!$B:$B,$A593,'Таблиця 1'!$E:$E,"ОВТ",'Таблиця 1'!$L:$L,"Уражено"))</f>
        <v/>
      </c>
      <c r="E593">
        <f>IF($A593="","",COUNTIFS('Таблиця 1'!$B:$B,$A593,'Таблиця 1'!$E:$E,"ППО",'Таблиця 1'!$L:$L,"Уражено"))</f>
        <v/>
      </c>
      <c r="F593">
        <f>IF($A593="","",COUNTIFS('Таблиця 1'!$B:$B,$A593,'Таблиця 1'!$E:$E,"Рембаза",'Таблиця 1'!$L:$L,"Уражено"))</f>
        <v/>
      </c>
      <c r="G593">
        <f>IF($A593="","",COUNTIFS('Таблиця 1'!$B:$B,$A593,'Таблиця 1'!$E:$E,"Склад БК",'Таблиця 1'!$L:$L,"Уражено"))</f>
        <v/>
      </c>
      <c r="H593">
        <f>IF($A593="","",COUNTIFS('Таблиця 1'!$B:$B,$A593,'Таблиця 1'!$E:$E,"Склад ВТМ",'Таблиця 1'!$L:$L,"Уражено"))</f>
        <v/>
      </c>
      <c r="I593">
        <f>IF($A593="","",COUNTIFS('Таблиця 1'!$B:$B,$A593,'Таблиця 1'!$E:$E,"ПУ БпЛА",'Таблиця 1'!$L:$L,"Уражено"))</f>
        <v/>
      </c>
      <c r="J593">
        <f>IF($A593="","",COUNTIFS('Таблиця 1'!$B:$B,$A593,'Таблиця 1'!$E:$E,"СП",'Таблиця 1'!$L:$L,"Уражено"))</f>
        <v/>
      </c>
      <c r="K593">
        <f>IF($A593="","",COUNTIFS('Таблиця 1'!$B:$B,$A593,'Таблиця 1'!$E:$E,"КСП роти",'Таблиця 1'!$L:$L,"Уражено"))</f>
        <v/>
      </c>
      <c r="L593">
        <f>IF($A593="","",COUNTIFS('Таблиця 1'!$B:$B,$A593,'Таблиця 1'!$E:$E,"ПУ бат",'Таблиця 1'!$L:$L,"Уражено"))</f>
        <v/>
      </c>
      <c r="M593">
        <f>IF($A593="","",COUNTIFS('Таблиця 1'!$B:$B,$A593,'Таблиця 1'!$E:$E,"ПУ бриг",'Таблиця 1'!$L:$L,"Уражено"))</f>
        <v/>
      </c>
      <c r="N593">
        <f>IF($A593="","",COUNTIFS('Таблиця 1'!$B:$B,$A593,'Таблиця 1'!$E:$E,"ПУ див",'Таблиця 1'!$L:$L,"Уражено"))</f>
        <v/>
      </c>
      <c r="O593">
        <f>IF($A593="","",COUNTIFS('Таблиця 1'!$B:$B,$A593,'Таблиця 1'!$E:$E,"обл. РЕБ",'Таблиця 1'!$L:$L,"Уражено"))</f>
        <v/>
      </c>
      <c r="P593">
        <f>IF($A593="","",COUNTIFS('Таблиця 1'!$B:$B,$A593,'Таблиця 1'!$E:$E,"пос РЕБ",'Таблиця 1'!$L:$L,"Уражено"))</f>
        <v/>
      </c>
      <c r="Q593">
        <f>IF($A593="","",COUNTIFS('Таблиця 1'!$B:$B,$A593,'Таблиця 1'!$E:$E,"група РЕР",'Таблиця 1'!$L:$L,"Уражено"))</f>
        <v/>
      </c>
      <c r="R593">
        <f>IF($A593="","",COUNTIFS('Таблиця 1'!$B:$B,$A593,'Таблиця 1'!$E:$E,"РЛС КББ",'Таблиця 1'!$L:$L,"Уражено"))</f>
        <v/>
      </c>
      <c r="S593">
        <f>IF($A593="","",COUNTIFS('Таблиця 1'!$B:$B,$A593,'Таблиця 1'!$E:$E,"Ретранслятор",'Таблиця 1'!$L:$L,"Уражено"))</f>
        <v/>
      </c>
      <c r="T593">
        <f>IF($A593="","",COUNTIFS('Таблиця 1'!$B:$B,$A593,'Таблиця 1'!$E:$E,"Вз.зв'язку",'Таблиця 1'!$L:$L,"Уражено"))</f>
        <v/>
      </c>
      <c r="U593">
        <f>IF($A593="","",COUNTIFS('Таблиця 1'!$B:$B,$A593,'Таблиця 1'!$E:$E,"ПММ",'Таблиця 1'!$L:$L,"Уражено"))</f>
        <v/>
      </c>
      <c r="V593">
        <f>IF($A593="","",COUNTIFS('Таблиця 1'!$B:$B,$A593,'Таблиця 1'!$E:$E,"ІФС",'Таблиця 1'!$L:$L,"Уражено"))</f>
        <v/>
      </c>
      <c r="W593">
        <f>IF($A593="","",COUNTIFS('Таблиця 1'!$B:$B,$A593,'Таблиця 1'!$E:$E,"Інфраструктура",'Таблиця 1'!$L:$L,"Уражено"))</f>
        <v/>
      </c>
      <c r="X593">
        <f>IF($A593="","",SUMIFS('Таблиця 1'!$K:$K,'Таблиця 1'!$B:$B,$A593))</f>
        <v/>
      </c>
    </row>
    <row r="594">
      <c r="A594" s="81">
        <f>IF(A593="","",IF(A593+1&gt;MAX('Таблиця 1'!$B:$B),"",A593+1))</f>
        <v/>
      </c>
      <c r="B594">
        <f>IF($A594="","",COUNTIFS('Таблиця 1'!$B:$B,$A594,'Таблиця 1'!$E:$E,"ЖС ВЗ",'Таблиця 1'!$L:$L,"Уражено"))</f>
        <v/>
      </c>
      <c r="C594">
        <f>IF($A594="","",COUNTIFS('Таблиця 1'!$B:$B,$A594,'Таблиця 1'!$E:$E,"Арт. Системи",'Таблиця 1'!$L:$L,"Уражено"))</f>
        <v/>
      </c>
      <c r="D594">
        <f>IF($A594="","",COUNTIFS('Таблиця 1'!$B:$B,$A594,'Таблиця 1'!$E:$E,"ОВТ",'Таблиця 1'!$L:$L,"Уражено"))</f>
        <v/>
      </c>
      <c r="E594">
        <f>IF($A594="","",COUNTIFS('Таблиця 1'!$B:$B,$A594,'Таблиця 1'!$E:$E,"ППО",'Таблиця 1'!$L:$L,"Уражено"))</f>
        <v/>
      </c>
      <c r="F594">
        <f>IF($A594="","",COUNTIFS('Таблиця 1'!$B:$B,$A594,'Таблиця 1'!$E:$E,"Рембаза",'Таблиця 1'!$L:$L,"Уражено"))</f>
        <v/>
      </c>
      <c r="G594">
        <f>IF($A594="","",COUNTIFS('Таблиця 1'!$B:$B,$A594,'Таблиця 1'!$E:$E,"Склад БК",'Таблиця 1'!$L:$L,"Уражено"))</f>
        <v/>
      </c>
      <c r="H594">
        <f>IF($A594="","",COUNTIFS('Таблиця 1'!$B:$B,$A594,'Таблиця 1'!$E:$E,"Склад ВТМ",'Таблиця 1'!$L:$L,"Уражено"))</f>
        <v/>
      </c>
      <c r="I594">
        <f>IF($A594="","",COUNTIFS('Таблиця 1'!$B:$B,$A594,'Таблиця 1'!$E:$E,"ПУ БпЛА",'Таблиця 1'!$L:$L,"Уражено"))</f>
        <v/>
      </c>
      <c r="J594">
        <f>IF($A594="","",COUNTIFS('Таблиця 1'!$B:$B,$A594,'Таблиця 1'!$E:$E,"СП",'Таблиця 1'!$L:$L,"Уражено"))</f>
        <v/>
      </c>
      <c r="K594">
        <f>IF($A594="","",COUNTIFS('Таблиця 1'!$B:$B,$A594,'Таблиця 1'!$E:$E,"КСП роти",'Таблиця 1'!$L:$L,"Уражено"))</f>
        <v/>
      </c>
      <c r="L594">
        <f>IF($A594="","",COUNTIFS('Таблиця 1'!$B:$B,$A594,'Таблиця 1'!$E:$E,"ПУ бат",'Таблиця 1'!$L:$L,"Уражено"))</f>
        <v/>
      </c>
      <c r="M594">
        <f>IF($A594="","",COUNTIFS('Таблиця 1'!$B:$B,$A594,'Таблиця 1'!$E:$E,"ПУ бриг",'Таблиця 1'!$L:$L,"Уражено"))</f>
        <v/>
      </c>
      <c r="N594">
        <f>IF($A594="","",COUNTIFS('Таблиця 1'!$B:$B,$A594,'Таблиця 1'!$E:$E,"ПУ див",'Таблиця 1'!$L:$L,"Уражено"))</f>
        <v/>
      </c>
      <c r="O594">
        <f>IF($A594="","",COUNTIFS('Таблиця 1'!$B:$B,$A594,'Таблиця 1'!$E:$E,"обл. РЕБ",'Таблиця 1'!$L:$L,"Уражено"))</f>
        <v/>
      </c>
      <c r="P594">
        <f>IF($A594="","",COUNTIFS('Таблиця 1'!$B:$B,$A594,'Таблиця 1'!$E:$E,"пос РЕБ",'Таблиця 1'!$L:$L,"Уражено"))</f>
        <v/>
      </c>
      <c r="Q594">
        <f>IF($A594="","",COUNTIFS('Таблиця 1'!$B:$B,$A594,'Таблиця 1'!$E:$E,"група РЕР",'Таблиця 1'!$L:$L,"Уражено"))</f>
        <v/>
      </c>
      <c r="R594">
        <f>IF($A594="","",COUNTIFS('Таблиця 1'!$B:$B,$A594,'Таблиця 1'!$E:$E,"РЛС КББ",'Таблиця 1'!$L:$L,"Уражено"))</f>
        <v/>
      </c>
      <c r="S594">
        <f>IF($A594="","",COUNTIFS('Таблиця 1'!$B:$B,$A594,'Таблиця 1'!$E:$E,"Ретранслятор",'Таблиця 1'!$L:$L,"Уражено"))</f>
        <v/>
      </c>
      <c r="T594">
        <f>IF($A594="","",COUNTIFS('Таблиця 1'!$B:$B,$A594,'Таблиця 1'!$E:$E,"Вз.зв'язку",'Таблиця 1'!$L:$L,"Уражено"))</f>
        <v/>
      </c>
      <c r="U594">
        <f>IF($A594="","",COUNTIFS('Таблиця 1'!$B:$B,$A594,'Таблиця 1'!$E:$E,"ПММ",'Таблиця 1'!$L:$L,"Уражено"))</f>
        <v/>
      </c>
      <c r="V594">
        <f>IF($A594="","",COUNTIFS('Таблиця 1'!$B:$B,$A594,'Таблиця 1'!$E:$E,"ІФС",'Таблиця 1'!$L:$L,"Уражено"))</f>
        <v/>
      </c>
      <c r="W594">
        <f>IF($A594="","",COUNTIFS('Таблиця 1'!$B:$B,$A594,'Таблиця 1'!$E:$E,"Інфраструктура",'Таблиця 1'!$L:$L,"Уражено"))</f>
        <v/>
      </c>
      <c r="X594">
        <f>IF($A594="","",SUMIFS('Таблиця 1'!$K:$K,'Таблиця 1'!$B:$B,$A594))</f>
        <v/>
      </c>
    </row>
    <row r="595">
      <c r="A595" s="81">
        <f>IF(A594="","",IF(A594+1&gt;MAX('Таблиця 1'!$B:$B),"",A594+1))</f>
        <v/>
      </c>
      <c r="B595">
        <f>IF($A595="","",COUNTIFS('Таблиця 1'!$B:$B,$A595,'Таблиця 1'!$E:$E,"ЖС ВЗ",'Таблиця 1'!$L:$L,"Уражено"))</f>
        <v/>
      </c>
      <c r="C595">
        <f>IF($A595="","",COUNTIFS('Таблиця 1'!$B:$B,$A595,'Таблиця 1'!$E:$E,"Арт. Системи",'Таблиця 1'!$L:$L,"Уражено"))</f>
        <v/>
      </c>
      <c r="D595">
        <f>IF($A595="","",COUNTIFS('Таблиця 1'!$B:$B,$A595,'Таблиця 1'!$E:$E,"ОВТ",'Таблиця 1'!$L:$L,"Уражено"))</f>
        <v/>
      </c>
      <c r="E595">
        <f>IF($A595="","",COUNTIFS('Таблиця 1'!$B:$B,$A595,'Таблиця 1'!$E:$E,"ППО",'Таблиця 1'!$L:$L,"Уражено"))</f>
        <v/>
      </c>
      <c r="F595">
        <f>IF($A595="","",COUNTIFS('Таблиця 1'!$B:$B,$A595,'Таблиця 1'!$E:$E,"Рембаза",'Таблиця 1'!$L:$L,"Уражено"))</f>
        <v/>
      </c>
      <c r="G595">
        <f>IF($A595="","",COUNTIFS('Таблиця 1'!$B:$B,$A595,'Таблиця 1'!$E:$E,"Склад БК",'Таблиця 1'!$L:$L,"Уражено"))</f>
        <v/>
      </c>
      <c r="H595">
        <f>IF($A595="","",COUNTIFS('Таблиця 1'!$B:$B,$A595,'Таблиця 1'!$E:$E,"Склад ВТМ",'Таблиця 1'!$L:$L,"Уражено"))</f>
        <v/>
      </c>
      <c r="I595">
        <f>IF($A595="","",COUNTIFS('Таблиця 1'!$B:$B,$A595,'Таблиця 1'!$E:$E,"ПУ БпЛА",'Таблиця 1'!$L:$L,"Уражено"))</f>
        <v/>
      </c>
      <c r="J595">
        <f>IF($A595="","",COUNTIFS('Таблиця 1'!$B:$B,$A595,'Таблиця 1'!$E:$E,"СП",'Таблиця 1'!$L:$L,"Уражено"))</f>
        <v/>
      </c>
      <c r="K595">
        <f>IF($A595="","",COUNTIFS('Таблиця 1'!$B:$B,$A595,'Таблиця 1'!$E:$E,"КСП роти",'Таблиця 1'!$L:$L,"Уражено"))</f>
        <v/>
      </c>
      <c r="L595">
        <f>IF($A595="","",COUNTIFS('Таблиця 1'!$B:$B,$A595,'Таблиця 1'!$E:$E,"ПУ бат",'Таблиця 1'!$L:$L,"Уражено"))</f>
        <v/>
      </c>
      <c r="M595">
        <f>IF($A595="","",COUNTIFS('Таблиця 1'!$B:$B,$A595,'Таблиця 1'!$E:$E,"ПУ бриг",'Таблиця 1'!$L:$L,"Уражено"))</f>
        <v/>
      </c>
      <c r="N595">
        <f>IF($A595="","",COUNTIFS('Таблиця 1'!$B:$B,$A595,'Таблиця 1'!$E:$E,"ПУ див",'Таблиця 1'!$L:$L,"Уражено"))</f>
        <v/>
      </c>
      <c r="O595">
        <f>IF($A595="","",COUNTIFS('Таблиця 1'!$B:$B,$A595,'Таблиця 1'!$E:$E,"обл. РЕБ",'Таблиця 1'!$L:$L,"Уражено"))</f>
        <v/>
      </c>
      <c r="P595">
        <f>IF($A595="","",COUNTIFS('Таблиця 1'!$B:$B,$A595,'Таблиця 1'!$E:$E,"пос РЕБ",'Таблиця 1'!$L:$L,"Уражено"))</f>
        <v/>
      </c>
      <c r="Q595">
        <f>IF($A595="","",COUNTIFS('Таблиця 1'!$B:$B,$A595,'Таблиця 1'!$E:$E,"група РЕР",'Таблиця 1'!$L:$L,"Уражено"))</f>
        <v/>
      </c>
      <c r="R595">
        <f>IF($A595="","",COUNTIFS('Таблиця 1'!$B:$B,$A595,'Таблиця 1'!$E:$E,"РЛС КББ",'Таблиця 1'!$L:$L,"Уражено"))</f>
        <v/>
      </c>
      <c r="S595">
        <f>IF($A595="","",COUNTIFS('Таблиця 1'!$B:$B,$A595,'Таблиця 1'!$E:$E,"Ретранслятор",'Таблиця 1'!$L:$L,"Уражено"))</f>
        <v/>
      </c>
      <c r="T595">
        <f>IF($A595="","",COUNTIFS('Таблиця 1'!$B:$B,$A595,'Таблиця 1'!$E:$E,"Вз.зв'язку",'Таблиця 1'!$L:$L,"Уражено"))</f>
        <v/>
      </c>
      <c r="U595">
        <f>IF($A595="","",COUNTIFS('Таблиця 1'!$B:$B,$A595,'Таблиця 1'!$E:$E,"ПММ",'Таблиця 1'!$L:$L,"Уражено"))</f>
        <v/>
      </c>
      <c r="V595">
        <f>IF($A595="","",COUNTIFS('Таблиця 1'!$B:$B,$A595,'Таблиця 1'!$E:$E,"ІФС",'Таблиця 1'!$L:$L,"Уражено"))</f>
        <v/>
      </c>
      <c r="W595">
        <f>IF($A595="","",COUNTIFS('Таблиця 1'!$B:$B,$A595,'Таблиця 1'!$E:$E,"Інфраструктура",'Таблиця 1'!$L:$L,"Уражено"))</f>
        <v/>
      </c>
      <c r="X595">
        <f>IF($A595="","",SUMIFS('Таблиця 1'!$K:$K,'Таблиця 1'!$B:$B,$A595))</f>
        <v/>
      </c>
    </row>
    <row r="596">
      <c r="A596" s="81">
        <f>IF(A595="","",IF(A595+1&gt;MAX('Таблиця 1'!$B:$B),"",A595+1))</f>
        <v/>
      </c>
      <c r="B596">
        <f>IF($A596="","",COUNTIFS('Таблиця 1'!$B:$B,$A596,'Таблиця 1'!$E:$E,"ЖС ВЗ",'Таблиця 1'!$L:$L,"Уражено"))</f>
        <v/>
      </c>
      <c r="C596">
        <f>IF($A596="","",COUNTIFS('Таблиця 1'!$B:$B,$A596,'Таблиця 1'!$E:$E,"Арт. Системи",'Таблиця 1'!$L:$L,"Уражено"))</f>
        <v/>
      </c>
      <c r="D596">
        <f>IF($A596="","",COUNTIFS('Таблиця 1'!$B:$B,$A596,'Таблиця 1'!$E:$E,"ОВТ",'Таблиця 1'!$L:$L,"Уражено"))</f>
        <v/>
      </c>
      <c r="E596">
        <f>IF($A596="","",COUNTIFS('Таблиця 1'!$B:$B,$A596,'Таблиця 1'!$E:$E,"ППО",'Таблиця 1'!$L:$L,"Уражено"))</f>
        <v/>
      </c>
      <c r="F596">
        <f>IF($A596="","",COUNTIFS('Таблиця 1'!$B:$B,$A596,'Таблиця 1'!$E:$E,"Рембаза",'Таблиця 1'!$L:$L,"Уражено"))</f>
        <v/>
      </c>
      <c r="G596">
        <f>IF($A596="","",COUNTIFS('Таблиця 1'!$B:$B,$A596,'Таблиця 1'!$E:$E,"Склад БК",'Таблиця 1'!$L:$L,"Уражено"))</f>
        <v/>
      </c>
      <c r="H596">
        <f>IF($A596="","",COUNTIFS('Таблиця 1'!$B:$B,$A596,'Таблиця 1'!$E:$E,"Склад ВТМ",'Таблиця 1'!$L:$L,"Уражено"))</f>
        <v/>
      </c>
      <c r="I596">
        <f>IF($A596="","",COUNTIFS('Таблиця 1'!$B:$B,$A596,'Таблиця 1'!$E:$E,"ПУ БпЛА",'Таблиця 1'!$L:$L,"Уражено"))</f>
        <v/>
      </c>
      <c r="J596">
        <f>IF($A596="","",COUNTIFS('Таблиця 1'!$B:$B,$A596,'Таблиця 1'!$E:$E,"СП",'Таблиця 1'!$L:$L,"Уражено"))</f>
        <v/>
      </c>
      <c r="K596">
        <f>IF($A596="","",COUNTIFS('Таблиця 1'!$B:$B,$A596,'Таблиця 1'!$E:$E,"КСП роти",'Таблиця 1'!$L:$L,"Уражено"))</f>
        <v/>
      </c>
      <c r="L596">
        <f>IF($A596="","",COUNTIFS('Таблиця 1'!$B:$B,$A596,'Таблиця 1'!$E:$E,"ПУ бат",'Таблиця 1'!$L:$L,"Уражено"))</f>
        <v/>
      </c>
      <c r="M596">
        <f>IF($A596="","",COUNTIFS('Таблиця 1'!$B:$B,$A596,'Таблиця 1'!$E:$E,"ПУ бриг",'Таблиця 1'!$L:$L,"Уражено"))</f>
        <v/>
      </c>
      <c r="N596">
        <f>IF($A596="","",COUNTIFS('Таблиця 1'!$B:$B,$A596,'Таблиця 1'!$E:$E,"ПУ див",'Таблиця 1'!$L:$L,"Уражено"))</f>
        <v/>
      </c>
      <c r="O596">
        <f>IF($A596="","",COUNTIFS('Таблиця 1'!$B:$B,$A596,'Таблиця 1'!$E:$E,"обл. РЕБ",'Таблиця 1'!$L:$L,"Уражено"))</f>
        <v/>
      </c>
      <c r="P596">
        <f>IF($A596="","",COUNTIFS('Таблиця 1'!$B:$B,$A596,'Таблиця 1'!$E:$E,"пос РЕБ",'Таблиця 1'!$L:$L,"Уражено"))</f>
        <v/>
      </c>
      <c r="Q596">
        <f>IF($A596="","",COUNTIFS('Таблиця 1'!$B:$B,$A596,'Таблиця 1'!$E:$E,"група РЕР",'Таблиця 1'!$L:$L,"Уражено"))</f>
        <v/>
      </c>
      <c r="R596">
        <f>IF($A596="","",COUNTIFS('Таблиця 1'!$B:$B,$A596,'Таблиця 1'!$E:$E,"РЛС КББ",'Таблиця 1'!$L:$L,"Уражено"))</f>
        <v/>
      </c>
      <c r="S596">
        <f>IF($A596="","",COUNTIFS('Таблиця 1'!$B:$B,$A596,'Таблиця 1'!$E:$E,"Ретранслятор",'Таблиця 1'!$L:$L,"Уражено"))</f>
        <v/>
      </c>
      <c r="T596">
        <f>IF($A596="","",COUNTIFS('Таблиця 1'!$B:$B,$A596,'Таблиця 1'!$E:$E,"Вз.зв'язку",'Таблиця 1'!$L:$L,"Уражено"))</f>
        <v/>
      </c>
      <c r="U596">
        <f>IF($A596="","",COUNTIFS('Таблиця 1'!$B:$B,$A596,'Таблиця 1'!$E:$E,"ПММ",'Таблиця 1'!$L:$L,"Уражено"))</f>
        <v/>
      </c>
      <c r="V596">
        <f>IF($A596="","",COUNTIFS('Таблиця 1'!$B:$B,$A596,'Таблиця 1'!$E:$E,"ІФС",'Таблиця 1'!$L:$L,"Уражено"))</f>
        <v/>
      </c>
      <c r="W596">
        <f>IF($A596="","",COUNTIFS('Таблиця 1'!$B:$B,$A596,'Таблиця 1'!$E:$E,"Інфраструктура",'Таблиця 1'!$L:$L,"Уражено"))</f>
        <v/>
      </c>
      <c r="X596">
        <f>IF($A596="","",SUMIFS('Таблиця 1'!$K:$K,'Таблиця 1'!$B:$B,$A596))</f>
        <v/>
      </c>
    </row>
    <row r="597">
      <c r="A597" s="81">
        <f>IF(A596="","",IF(A596+1&gt;MAX('Таблиця 1'!$B:$B),"",A596+1))</f>
        <v/>
      </c>
      <c r="B597">
        <f>IF($A597="","",COUNTIFS('Таблиця 1'!$B:$B,$A597,'Таблиця 1'!$E:$E,"ЖС ВЗ",'Таблиця 1'!$L:$L,"Уражено"))</f>
        <v/>
      </c>
      <c r="C597">
        <f>IF($A597="","",COUNTIFS('Таблиця 1'!$B:$B,$A597,'Таблиця 1'!$E:$E,"Арт. Системи",'Таблиця 1'!$L:$L,"Уражено"))</f>
        <v/>
      </c>
      <c r="D597">
        <f>IF($A597="","",COUNTIFS('Таблиця 1'!$B:$B,$A597,'Таблиця 1'!$E:$E,"ОВТ",'Таблиця 1'!$L:$L,"Уражено"))</f>
        <v/>
      </c>
      <c r="E597">
        <f>IF($A597="","",COUNTIFS('Таблиця 1'!$B:$B,$A597,'Таблиця 1'!$E:$E,"ППО",'Таблиця 1'!$L:$L,"Уражено"))</f>
        <v/>
      </c>
      <c r="F597">
        <f>IF($A597="","",COUNTIFS('Таблиця 1'!$B:$B,$A597,'Таблиця 1'!$E:$E,"Рембаза",'Таблиця 1'!$L:$L,"Уражено"))</f>
        <v/>
      </c>
      <c r="G597">
        <f>IF($A597="","",COUNTIFS('Таблиця 1'!$B:$B,$A597,'Таблиця 1'!$E:$E,"Склад БК",'Таблиця 1'!$L:$L,"Уражено"))</f>
        <v/>
      </c>
      <c r="H597">
        <f>IF($A597="","",COUNTIFS('Таблиця 1'!$B:$B,$A597,'Таблиця 1'!$E:$E,"Склад ВТМ",'Таблиця 1'!$L:$L,"Уражено"))</f>
        <v/>
      </c>
      <c r="I597">
        <f>IF($A597="","",COUNTIFS('Таблиця 1'!$B:$B,$A597,'Таблиця 1'!$E:$E,"ПУ БпЛА",'Таблиця 1'!$L:$L,"Уражено"))</f>
        <v/>
      </c>
      <c r="J597">
        <f>IF($A597="","",COUNTIFS('Таблиця 1'!$B:$B,$A597,'Таблиця 1'!$E:$E,"СП",'Таблиця 1'!$L:$L,"Уражено"))</f>
        <v/>
      </c>
      <c r="K597">
        <f>IF($A597="","",COUNTIFS('Таблиця 1'!$B:$B,$A597,'Таблиця 1'!$E:$E,"КСП роти",'Таблиця 1'!$L:$L,"Уражено"))</f>
        <v/>
      </c>
      <c r="L597">
        <f>IF($A597="","",COUNTIFS('Таблиця 1'!$B:$B,$A597,'Таблиця 1'!$E:$E,"ПУ бат",'Таблиця 1'!$L:$L,"Уражено"))</f>
        <v/>
      </c>
      <c r="M597">
        <f>IF($A597="","",COUNTIFS('Таблиця 1'!$B:$B,$A597,'Таблиця 1'!$E:$E,"ПУ бриг",'Таблиця 1'!$L:$L,"Уражено"))</f>
        <v/>
      </c>
      <c r="N597">
        <f>IF($A597="","",COUNTIFS('Таблиця 1'!$B:$B,$A597,'Таблиця 1'!$E:$E,"ПУ див",'Таблиця 1'!$L:$L,"Уражено"))</f>
        <v/>
      </c>
      <c r="O597">
        <f>IF($A597="","",COUNTIFS('Таблиця 1'!$B:$B,$A597,'Таблиця 1'!$E:$E,"обл. РЕБ",'Таблиця 1'!$L:$L,"Уражено"))</f>
        <v/>
      </c>
      <c r="P597">
        <f>IF($A597="","",COUNTIFS('Таблиця 1'!$B:$B,$A597,'Таблиця 1'!$E:$E,"пос РЕБ",'Таблиця 1'!$L:$L,"Уражено"))</f>
        <v/>
      </c>
      <c r="Q597">
        <f>IF($A597="","",COUNTIFS('Таблиця 1'!$B:$B,$A597,'Таблиця 1'!$E:$E,"група РЕР",'Таблиця 1'!$L:$L,"Уражено"))</f>
        <v/>
      </c>
      <c r="R597">
        <f>IF($A597="","",COUNTIFS('Таблиця 1'!$B:$B,$A597,'Таблиця 1'!$E:$E,"РЛС КББ",'Таблиця 1'!$L:$L,"Уражено"))</f>
        <v/>
      </c>
      <c r="S597">
        <f>IF($A597="","",COUNTIFS('Таблиця 1'!$B:$B,$A597,'Таблиця 1'!$E:$E,"Ретранслятор",'Таблиця 1'!$L:$L,"Уражено"))</f>
        <v/>
      </c>
      <c r="T597">
        <f>IF($A597="","",COUNTIFS('Таблиця 1'!$B:$B,$A597,'Таблиця 1'!$E:$E,"Вз.зв'язку",'Таблиця 1'!$L:$L,"Уражено"))</f>
        <v/>
      </c>
      <c r="U597">
        <f>IF($A597="","",COUNTIFS('Таблиця 1'!$B:$B,$A597,'Таблиця 1'!$E:$E,"ПММ",'Таблиця 1'!$L:$L,"Уражено"))</f>
        <v/>
      </c>
      <c r="V597">
        <f>IF($A597="","",COUNTIFS('Таблиця 1'!$B:$B,$A597,'Таблиця 1'!$E:$E,"ІФС",'Таблиця 1'!$L:$L,"Уражено"))</f>
        <v/>
      </c>
      <c r="W597">
        <f>IF($A597="","",COUNTIFS('Таблиця 1'!$B:$B,$A597,'Таблиця 1'!$E:$E,"Інфраструктура",'Таблиця 1'!$L:$L,"Уражено"))</f>
        <v/>
      </c>
      <c r="X597">
        <f>IF($A597="","",SUMIFS('Таблиця 1'!$K:$K,'Таблиця 1'!$B:$B,$A597))</f>
        <v/>
      </c>
    </row>
    <row r="598">
      <c r="A598" s="81">
        <f>IF(A597="","",IF(A597+1&gt;MAX('Таблиця 1'!$B:$B),"",A597+1))</f>
        <v/>
      </c>
      <c r="B598">
        <f>IF($A598="","",COUNTIFS('Таблиця 1'!$B:$B,$A598,'Таблиця 1'!$E:$E,"ЖС ВЗ",'Таблиця 1'!$L:$L,"Уражено"))</f>
        <v/>
      </c>
      <c r="C598">
        <f>IF($A598="","",COUNTIFS('Таблиця 1'!$B:$B,$A598,'Таблиця 1'!$E:$E,"Арт. Системи",'Таблиця 1'!$L:$L,"Уражено"))</f>
        <v/>
      </c>
      <c r="D598">
        <f>IF($A598="","",COUNTIFS('Таблиця 1'!$B:$B,$A598,'Таблиця 1'!$E:$E,"ОВТ",'Таблиця 1'!$L:$L,"Уражено"))</f>
        <v/>
      </c>
      <c r="E598">
        <f>IF($A598="","",COUNTIFS('Таблиця 1'!$B:$B,$A598,'Таблиця 1'!$E:$E,"ППО",'Таблиця 1'!$L:$L,"Уражено"))</f>
        <v/>
      </c>
      <c r="F598">
        <f>IF($A598="","",COUNTIFS('Таблиця 1'!$B:$B,$A598,'Таблиця 1'!$E:$E,"Рембаза",'Таблиця 1'!$L:$L,"Уражено"))</f>
        <v/>
      </c>
      <c r="G598">
        <f>IF($A598="","",COUNTIFS('Таблиця 1'!$B:$B,$A598,'Таблиця 1'!$E:$E,"Склад БК",'Таблиця 1'!$L:$L,"Уражено"))</f>
        <v/>
      </c>
      <c r="H598">
        <f>IF($A598="","",COUNTIFS('Таблиця 1'!$B:$B,$A598,'Таблиця 1'!$E:$E,"Склад ВТМ",'Таблиця 1'!$L:$L,"Уражено"))</f>
        <v/>
      </c>
      <c r="I598">
        <f>IF($A598="","",COUNTIFS('Таблиця 1'!$B:$B,$A598,'Таблиця 1'!$E:$E,"ПУ БпЛА",'Таблиця 1'!$L:$L,"Уражено"))</f>
        <v/>
      </c>
      <c r="J598">
        <f>IF($A598="","",COUNTIFS('Таблиця 1'!$B:$B,$A598,'Таблиця 1'!$E:$E,"СП",'Таблиця 1'!$L:$L,"Уражено"))</f>
        <v/>
      </c>
      <c r="K598">
        <f>IF($A598="","",COUNTIFS('Таблиця 1'!$B:$B,$A598,'Таблиця 1'!$E:$E,"КСП роти",'Таблиця 1'!$L:$L,"Уражено"))</f>
        <v/>
      </c>
      <c r="L598">
        <f>IF($A598="","",COUNTIFS('Таблиця 1'!$B:$B,$A598,'Таблиця 1'!$E:$E,"ПУ бат",'Таблиця 1'!$L:$L,"Уражено"))</f>
        <v/>
      </c>
      <c r="M598">
        <f>IF($A598="","",COUNTIFS('Таблиця 1'!$B:$B,$A598,'Таблиця 1'!$E:$E,"ПУ бриг",'Таблиця 1'!$L:$L,"Уражено"))</f>
        <v/>
      </c>
      <c r="N598">
        <f>IF($A598="","",COUNTIFS('Таблиця 1'!$B:$B,$A598,'Таблиця 1'!$E:$E,"ПУ див",'Таблиця 1'!$L:$L,"Уражено"))</f>
        <v/>
      </c>
      <c r="O598">
        <f>IF($A598="","",COUNTIFS('Таблиця 1'!$B:$B,$A598,'Таблиця 1'!$E:$E,"обл. РЕБ",'Таблиця 1'!$L:$L,"Уражено"))</f>
        <v/>
      </c>
      <c r="P598">
        <f>IF($A598="","",COUNTIFS('Таблиця 1'!$B:$B,$A598,'Таблиця 1'!$E:$E,"пос РЕБ",'Таблиця 1'!$L:$L,"Уражено"))</f>
        <v/>
      </c>
      <c r="Q598">
        <f>IF($A598="","",COUNTIFS('Таблиця 1'!$B:$B,$A598,'Таблиця 1'!$E:$E,"група РЕР",'Таблиця 1'!$L:$L,"Уражено"))</f>
        <v/>
      </c>
      <c r="R598">
        <f>IF($A598="","",COUNTIFS('Таблиця 1'!$B:$B,$A598,'Таблиця 1'!$E:$E,"РЛС КББ",'Таблиця 1'!$L:$L,"Уражено"))</f>
        <v/>
      </c>
      <c r="S598">
        <f>IF($A598="","",COUNTIFS('Таблиця 1'!$B:$B,$A598,'Таблиця 1'!$E:$E,"Ретранслятор",'Таблиця 1'!$L:$L,"Уражено"))</f>
        <v/>
      </c>
      <c r="T598">
        <f>IF($A598="","",COUNTIFS('Таблиця 1'!$B:$B,$A598,'Таблиця 1'!$E:$E,"Вз.зв'язку",'Таблиця 1'!$L:$L,"Уражено"))</f>
        <v/>
      </c>
      <c r="U598">
        <f>IF($A598="","",COUNTIFS('Таблиця 1'!$B:$B,$A598,'Таблиця 1'!$E:$E,"ПММ",'Таблиця 1'!$L:$L,"Уражено"))</f>
        <v/>
      </c>
      <c r="V598">
        <f>IF($A598="","",COUNTIFS('Таблиця 1'!$B:$B,$A598,'Таблиця 1'!$E:$E,"ІФС",'Таблиця 1'!$L:$L,"Уражено"))</f>
        <v/>
      </c>
      <c r="W598">
        <f>IF($A598="","",COUNTIFS('Таблиця 1'!$B:$B,$A598,'Таблиця 1'!$E:$E,"Інфраструктура",'Таблиця 1'!$L:$L,"Уражено"))</f>
        <v/>
      </c>
      <c r="X598">
        <f>IF($A598="","",SUMIFS('Таблиця 1'!$K:$K,'Таблиця 1'!$B:$B,$A598))</f>
        <v/>
      </c>
    </row>
    <row r="599">
      <c r="A599" s="81">
        <f>IF(A598="","",IF(A598+1&gt;MAX('Таблиця 1'!$B:$B),"",A598+1))</f>
        <v/>
      </c>
      <c r="B599">
        <f>IF($A599="","",COUNTIFS('Таблиця 1'!$B:$B,$A599,'Таблиця 1'!$E:$E,"ЖС ВЗ",'Таблиця 1'!$L:$L,"Уражено"))</f>
        <v/>
      </c>
      <c r="C599">
        <f>IF($A599="","",COUNTIFS('Таблиця 1'!$B:$B,$A599,'Таблиця 1'!$E:$E,"Арт. Системи",'Таблиця 1'!$L:$L,"Уражено"))</f>
        <v/>
      </c>
      <c r="D599">
        <f>IF($A599="","",COUNTIFS('Таблиця 1'!$B:$B,$A599,'Таблиця 1'!$E:$E,"ОВТ",'Таблиця 1'!$L:$L,"Уражено"))</f>
        <v/>
      </c>
      <c r="E599">
        <f>IF($A599="","",COUNTIFS('Таблиця 1'!$B:$B,$A599,'Таблиця 1'!$E:$E,"ППО",'Таблиця 1'!$L:$L,"Уражено"))</f>
        <v/>
      </c>
      <c r="F599">
        <f>IF($A599="","",COUNTIFS('Таблиця 1'!$B:$B,$A599,'Таблиця 1'!$E:$E,"Рембаза",'Таблиця 1'!$L:$L,"Уражено"))</f>
        <v/>
      </c>
      <c r="G599">
        <f>IF($A599="","",COUNTIFS('Таблиця 1'!$B:$B,$A599,'Таблиця 1'!$E:$E,"Склад БК",'Таблиця 1'!$L:$L,"Уражено"))</f>
        <v/>
      </c>
      <c r="H599">
        <f>IF($A599="","",COUNTIFS('Таблиця 1'!$B:$B,$A599,'Таблиця 1'!$E:$E,"Склад ВТМ",'Таблиця 1'!$L:$L,"Уражено"))</f>
        <v/>
      </c>
      <c r="I599">
        <f>IF($A599="","",COUNTIFS('Таблиця 1'!$B:$B,$A599,'Таблиця 1'!$E:$E,"ПУ БпЛА",'Таблиця 1'!$L:$L,"Уражено"))</f>
        <v/>
      </c>
      <c r="J599">
        <f>IF($A599="","",COUNTIFS('Таблиця 1'!$B:$B,$A599,'Таблиця 1'!$E:$E,"СП",'Таблиця 1'!$L:$L,"Уражено"))</f>
        <v/>
      </c>
      <c r="K599">
        <f>IF($A599="","",COUNTIFS('Таблиця 1'!$B:$B,$A599,'Таблиця 1'!$E:$E,"КСП роти",'Таблиця 1'!$L:$L,"Уражено"))</f>
        <v/>
      </c>
      <c r="L599">
        <f>IF($A599="","",COUNTIFS('Таблиця 1'!$B:$B,$A599,'Таблиця 1'!$E:$E,"ПУ бат",'Таблиця 1'!$L:$L,"Уражено"))</f>
        <v/>
      </c>
      <c r="M599">
        <f>IF($A599="","",COUNTIFS('Таблиця 1'!$B:$B,$A599,'Таблиця 1'!$E:$E,"ПУ бриг",'Таблиця 1'!$L:$L,"Уражено"))</f>
        <v/>
      </c>
      <c r="N599">
        <f>IF($A599="","",COUNTIFS('Таблиця 1'!$B:$B,$A599,'Таблиця 1'!$E:$E,"ПУ див",'Таблиця 1'!$L:$L,"Уражено"))</f>
        <v/>
      </c>
      <c r="O599">
        <f>IF($A599="","",COUNTIFS('Таблиця 1'!$B:$B,$A599,'Таблиця 1'!$E:$E,"обл. РЕБ",'Таблиця 1'!$L:$L,"Уражено"))</f>
        <v/>
      </c>
      <c r="P599">
        <f>IF($A599="","",COUNTIFS('Таблиця 1'!$B:$B,$A599,'Таблиця 1'!$E:$E,"пос РЕБ",'Таблиця 1'!$L:$L,"Уражено"))</f>
        <v/>
      </c>
      <c r="Q599">
        <f>IF($A599="","",COUNTIFS('Таблиця 1'!$B:$B,$A599,'Таблиця 1'!$E:$E,"група РЕР",'Таблиця 1'!$L:$L,"Уражено"))</f>
        <v/>
      </c>
      <c r="R599">
        <f>IF($A599="","",COUNTIFS('Таблиця 1'!$B:$B,$A599,'Таблиця 1'!$E:$E,"РЛС КББ",'Таблиця 1'!$L:$L,"Уражено"))</f>
        <v/>
      </c>
      <c r="S599">
        <f>IF($A599="","",COUNTIFS('Таблиця 1'!$B:$B,$A599,'Таблиця 1'!$E:$E,"Ретранслятор",'Таблиця 1'!$L:$L,"Уражено"))</f>
        <v/>
      </c>
      <c r="T599">
        <f>IF($A599="","",COUNTIFS('Таблиця 1'!$B:$B,$A599,'Таблиця 1'!$E:$E,"Вз.зв'язку",'Таблиця 1'!$L:$L,"Уражено"))</f>
        <v/>
      </c>
      <c r="U599">
        <f>IF($A599="","",COUNTIFS('Таблиця 1'!$B:$B,$A599,'Таблиця 1'!$E:$E,"ПММ",'Таблиця 1'!$L:$L,"Уражено"))</f>
        <v/>
      </c>
      <c r="V599">
        <f>IF($A599="","",COUNTIFS('Таблиця 1'!$B:$B,$A599,'Таблиця 1'!$E:$E,"ІФС",'Таблиця 1'!$L:$L,"Уражено"))</f>
        <v/>
      </c>
      <c r="W599">
        <f>IF($A599="","",COUNTIFS('Таблиця 1'!$B:$B,$A599,'Таблиця 1'!$E:$E,"Інфраструктура",'Таблиця 1'!$L:$L,"Уражено"))</f>
        <v/>
      </c>
      <c r="X599">
        <f>IF($A599="","",SUMIFS('Таблиця 1'!$K:$K,'Таблиця 1'!$B:$B,$A599))</f>
        <v/>
      </c>
    </row>
    <row r="600">
      <c r="A600" s="81">
        <f>IF(A599="","",IF(A599+1&gt;MAX('Таблиця 1'!$B:$B),"",A599+1))</f>
        <v/>
      </c>
      <c r="B600">
        <f>IF($A600="","",COUNTIFS('Таблиця 1'!$B:$B,$A600,'Таблиця 1'!$E:$E,"ЖС ВЗ",'Таблиця 1'!$L:$L,"Уражено"))</f>
        <v/>
      </c>
      <c r="C600">
        <f>IF($A600="","",COUNTIFS('Таблиця 1'!$B:$B,$A600,'Таблиця 1'!$E:$E,"Арт. Системи",'Таблиця 1'!$L:$L,"Уражено"))</f>
        <v/>
      </c>
      <c r="D600">
        <f>IF($A600="","",COUNTIFS('Таблиця 1'!$B:$B,$A600,'Таблиця 1'!$E:$E,"ОВТ",'Таблиця 1'!$L:$L,"Уражено"))</f>
        <v/>
      </c>
      <c r="E600">
        <f>IF($A600="","",COUNTIFS('Таблиця 1'!$B:$B,$A600,'Таблиця 1'!$E:$E,"ППО",'Таблиця 1'!$L:$L,"Уражено"))</f>
        <v/>
      </c>
      <c r="F600">
        <f>IF($A600="","",COUNTIFS('Таблиця 1'!$B:$B,$A600,'Таблиця 1'!$E:$E,"Рембаза",'Таблиця 1'!$L:$L,"Уражено"))</f>
        <v/>
      </c>
      <c r="G600">
        <f>IF($A600="","",COUNTIFS('Таблиця 1'!$B:$B,$A600,'Таблиця 1'!$E:$E,"Склад БК",'Таблиця 1'!$L:$L,"Уражено"))</f>
        <v/>
      </c>
      <c r="H600">
        <f>IF($A600="","",COUNTIFS('Таблиця 1'!$B:$B,$A600,'Таблиця 1'!$E:$E,"Склад ВТМ",'Таблиця 1'!$L:$L,"Уражено"))</f>
        <v/>
      </c>
      <c r="I600">
        <f>IF($A600="","",COUNTIFS('Таблиця 1'!$B:$B,$A600,'Таблиця 1'!$E:$E,"ПУ БпЛА",'Таблиця 1'!$L:$L,"Уражено"))</f>
        <v/>
      </c>
      <c r="J600">
        <f>IF($A600="","",COUNTIFS('Таблиця 1'!$B:$B,$A600,'Таблиця 1'!$E:$E,"СП",'Таблиця 1'!$L:$L,"Уражено"))</f>
        <v/>
      </c>
      <c r="K600">
        <f>IF($A600="","",COUNTIFS('Таблиця 1'!$B:$B,$A600,'Таблиця 1'!$E:$E,"КСП роти",'Таблиця 1'!$L:$L,"Уражено"))</f>
        <v/>
      </c>
      <c r="L600">
        <f>IF($A600="","",COUNTIFS('Таблиця 1'!$B:$B,$A600,'Таблиця 1'!$E:$E,"ПУ бат",'Таблиця 1'!$L:$L,"Уражено"))</f>
        <v/>
      </c>
      <c r="M600">
        <f>IF($A600="","",COUNTIFS('Таблиця 1'!$B:$B,$A600,'Таблиця 1'!$E:$E,"ПУ бриг",'Таблиця 1'!$L:$L,"Уражено"))</f>
        <v/>
      </c>
      <c r="N600">
        <f>IF($A600="","",COUNTIFS('Таблиця 1'!$B:$B,$A600,'Таблиця 1'!$E:$E,"ПУ див",'Таблиця 1'!$L:$L,"Уражено"))</f>
        <v/>
      </c>
      <c r="O600">
        <f>IF($A600="","",COUNTIFS('Таблиця 1'!$B:$B,$A600,'Таблиця 1'!$E:$E,"обл. РЕБ",'Таблиця 1'!$L:$L,"Уражено"))</f>
        <v/>
      </c>
      <c r="P600">
        <f>IF($A600="","",COUNTIFS('Таблиця 1'!$B:$B,$A600,'Таблиця 1'!$E:$E,"пос РЕБ",'Таблиця 1'!$L:$L,"Уражено"))</f>
        <v/>
      </c>
      <c r="Q600">
        <f>IF($A600="","",COUNTIFS('Таблиця 1'!$B:$B,$A600,'Таблиця 1'!$E:$E,"група РЕР",'Таблиця 1'!$L:$L,"Уражено"))</f>
        <v/>
      </c>
      <c r="R600">
        <f>IF($A600="","",COUNTIFS('Таблиця 1'!$B:$B,$A600,'Таблиця 1'!$E:$E,"РЛС КББ",'Таблиця 1'!$L:$L,"Уражено"))</f>
        <v/>
      </c>
      <c r="S600">
        <f>IF($A600="","",COUNTIFS('Таблиця 1'!$B:$B,$A600,'Таблиця 1'!$E:$E,"Ретранслятор",'Таблиця 1'!$L:$L,"Уражено"))</f>
        <v/>
      </c>
      <c r="T600">
        <f>IF($A600="","",COUNTIFS('Таблиця 1'!$B:$B,$A600,'Таблиця 1'!$E:$E,"Вз.зв'язку",'Таблиця 1'!$L:$L,"Уражено"))</f>
        <v/>
      </c>
      <c r="U600">
        <f>IF($A600="","",COUNTIFS('Таблиця 1'!$B:$B,$A600,'Таблиця 1'!$E:$E,"ПММ",'Таблиця 1'!$L:$L,"Уражено"))</f>
        <v/>
      </c>
      <c r="V600">
        <f>IF($A600="","",COUNTIFS('Таблиця 1'!$B:$B,$A600,'Таблиця 1'!$E:$E,"ІФС",'Таблиця 1'!$L:$L,"Уражено"))</f>
        <v/>
      </c>
      <c r="W600">
        <f>IF($A600="","",COUNTIFS('Таблиця 1'!$B:$B,$A600,'Таблиця 1'!$E:$E,"Інфраструктура",'Таблиця 1'!$L:$L,"Уражено"))</f>
        <v/>
      </c>
      <c r="X600">
        <f>IF($A600="","",SUMIFS('Таблиця 1'!$K:$K,'Таблиця 1'!$B:$B,$A600))</f>
        <v/>
      </c>
    </row>
    <row r="601">
      <c r="A601" s="81">
        <f>IF(A600="","",IF(A600+1&gt;MAX('Таблиця 1'!$B:$B),"",A600+1))</f>
        <v/>
      </c>
      <c r="B601">
        <f>IF($A601="","",COUNTIFS('Таблиця 1'!$B:$B,$A601,'Таблиця 1'!$E:$E,"ЖС ВЗ",'Таблиця 1'!$L:$L,"Уражено"))</f>
        <v/>
      </c>
      <c r="C601">
        <f>IF($A601="","",COUNTIFS('Таблиця 1'!$B:$B,$A601,'Таблиця 1'!$E:$E,"Арт. Системи",'Таблиця 1'!$L:$L,"Уражено"))</f>
        <v/>
      </c>
      <c r="D601">
        <f>IF($A601="","",COUNTIFS('Таблиця 1'!$B:$B,$A601,'Таблиця 1'!$E:$E,"ОВТ",'Таблиця 1'!$L:$L,"Уражено"))</f>
        <v/>
      </c>
      <c r="E601">
        <f>IF($A601="","",COUNTIFS('Таблиця 1'!$B:$B,$A601,'Таблиця 1'!$E:$E,"ППО",'Таблиця 1'!$L:$L,"Уражено"))</f>
        <v/>
      </c>
      <c r="F601">
        <f>IF($A601="","",COUNTIFS('Таблиця 1'!$B:$B,$A601,'Таблиця 1'!$E:$E,"Рембаза",'Таблиця 1'!$L:$L,"Уражено"))</f>
        <v/>
      </c>
      <c r="G601">
        <f>IF($A601="","",COUNTIFS('Таблиця 1'!$B:$B,$A601,'Таблиця 1'!$E:$E,"Склад БК",'Таблиця 1'!$L:$L,"Уражено"))</f>
        <v/>
      </c>
      <c r="H601">
        <f>IF($A601="","",COUNTIFS('Таблиця 1'!$B:$B,$A601,'Таблиця 1'!$E:$E,"Склад ВТМ",'Таблиця 1'!$L:$L,"Уражено"))</f>
        <v/>
      </c>
      <c r="I601">
        <f>IF($A601="","",COUNTIFS('Таблиця 1'!$B:$B,$A601,'Таблиця 1'!$E:$E,"ПУ БпЛА",'Таблиця 1'!$L:$L,"Уражено"))</f>
        <v/>
      </c>
      <c r="J601">
        <f>IF($A601="","",COUNTIFS('Таблиця 1'!$B:$B,$A601,'Таблиця 1'!$E:$E,"СП",'Таблиця 1'!$L:$L,"Уражено"))</f>
        <v/>
      </c>
      <c r="K601">
        <f>IF($A601="","",COUNTIFS('Таблиця 1'!$B:$B,$A601,'Таблиця 1'!$E:$E,"КСП роти",'Таблиця 1'!$L:$L,"Уражено"))</f>
        <v/>
      </c>
      <c r="L601">
        <f>IF($A601="","",COUNTIFS('Таблиця 1'!$B:$B,$A601,'Таблиця 1'!$E:$E,"ПУ бат",'Таблиця 1'!$L:$L,"Уражено"))</f>
        <v/>
      </c>
      <c r="M601">
        <f>IF($A601="","",COUNTIFS('Таблиця 1'!$B:$B,$A601,'Таблиця 1'!$E:$E,"ПУ бриг",'Таблиця 1'!$L:$L,"Уражено"))</f>
        <v/>
      </c>
      <c r="N601">
        <f>IF($A601="","",COUNTIFS('Таблиця 1'!$B:$B,$A601,'Таблиця 1'!$E:$E,"ПУ див",'Таблиця 1'!$L:$L,"Уражено"))</f>
        <v/>
      </c>
      <c r="O601">
        <f>IF($A601="","",COUNTIFS('Таблиця 1'!$B:$B,$A601,'Таблиця 1'!$E:$E,"обл. РЕБ",'Таблиця 1'!$L:$L,"Уражено"))</f>
        <v/>
      </c>
      <c r="P601">
        <f>IF($A601="","",COUNTIFS('Таблиця 1'!$B:$B,$A601,'Таблиця 1'!$E:$E,"пос РЕБ",'Таблиця 1'!$L:$L,"Уражено"))</f>
        <v/>
      </c>
      <c r="Q601">
        <f>IF($A601="","",COUNTIFS('Таблиця 1'!$B:$B,$A601,'Таблиця 1'!$E:$E,"група РЕР",'Таблиця 1'!$L:$L,"Уражено"))</f>
        <v/>
      </c>
      <c r="R601">
        <f>IF($A601="","",COUNTIFS('Таблиця 1'!$B:$B,$A601,'Таблиця 1'!$E:$E,"РЛС КББ",'Таблиця 1'!$L:$L,"Уражено"))</f>
        <v/>
      </c>
      <c r="S601">
        <f>IF($A601="","",COUNTIFS('Таблиця 1'!$B:$B,$A601,'Таблиця 1'!$E:$E,"Ретранслятор",'Таблиця 1'!$L:$L,"Уражено"))</f>
        <v/>
      </c>
      <c r="T601">
        <f>IF($A601="","",COUNTIFS('Таблиця 1'!$B:$B,$A601,'Таблиця 1'!$E:$E,"Вз.зв'язку",'Таблиця 1'!$L:$L,"Уражено"))</f>
        <v/>
      </c>
      <c r="U601">
        <f>IF($A601="","",COUNTIFS('Таблиця 1'!$B:$B,$A601,'Таблиця 1'!$E:$E,"ПММ",'Таблиця 1'!$L:$L,"Уражено"))</f>
        <v/>
      </c>
      <c r="V601">
        <f>IF($A601="","",COUNTIFS('Таблиця 1'!$B:$B,$A601,'Таблиця 1'!$E:$E,"ІФС",'Таблиця 1'!$L:$L,"Уражено"))</f>
        <v/>
      </c>
      <c r="W601">
        <f>IF($A601="","",COUNTIFS('Таблиця 1'!$B:$B,$A601,'Таблиця 1'!$E:$E,"Інфраструктура",'Таблиця 1'!$L:$L,"Уражено"))</f>
        <v/>
      </c>
      <c r="X601">
        <f>IF($A601="","",SUMIFS('Таблиця 1'!$K:$K,'Таблиця 1'!$B:$B,$A601))</f>
        <v/>
      </c>
    </row>
    <row r="602">
      <c r="A602" s="81">
        <f>IF(A601="","",IF(A601+1&gt;MAX('Таблиця 1'!$B:$B),"",A601+1))</f>
        <v/>
      </c>
      <c r="B602">
        <f>IF($A602="","",COUNTIFS('Таблиця 1'!$B:$B,$A602,'Таблиця 1'!$E:$E,"ЖС ВЗ",'Таблиця 1'!$L:$L,"Уражено"))</f>
        <v/>
      </c>
      <c r="C602">
        <f>IF($A602="","",COUNTIFS('Таблиця 1'!$B:$B,$A602,'Таблиця 1'!$E:$E,"Арт. Системи",'Таблиця 1'!$L:$L,"Уражено"))</f>
        <v/>
      </c>
      <c r="D602">
        <f>IF($A602="","",COUNTIFS('Таблиця 1'!$B:$B,$A602,'Таблиця 1'!$E:$E,"ОВТ",'Таблиця 1'!$L:$L,"Уражено"))</f>
        <v/>
      </c>
      <c r="E602">
        <f>IF($A602="","",COUNTIFS('Таблиця 1'!$B:$B,$A602,'Таблиця 1'!$E:$E,"ППО",'Таблиця 1'!$L:$L,"Уражено"))</f>
        <v/>
      </c>
      <c r="F602">
        <f>IF($A602="","",COUNTIFS('Таблиця 1'!$B:$B,$A602,'Таблиця 1'!$E:$E,"Рембаза",'Таблиця 1'!$L:$L,"Уражено"))</f>
        <v/>
      </c>
      <c r="G602">
        <f>IF($A602="","",COUNTIFS('Таблиця 1'!$B:$B,$A602,'Таблиця 1'!$E:$E,"Склад БК",'Таблиця 1'!$L:$L,"Уражено"))</f>
        <v/>
      </c>
      <c r="H602">
        <f>IF($A602="","",COUNTIFS('Таблиця 1'!$B:$B,$A602,'Таблиця 1'!$E:$E,"Склад ВТМ",'Таблиця 1'!$L:$L,"Уражено"))</f>
        <v/>
      </c>
      <c r="I602">
        <f>IF($A602="","",COUNTIFS('Таблиця 1'!$B:$B,$A602,'Таблиця 1'!$E:$E,"ПУ БпЛА",'Таблиця 1'!$L:$L,"Уражено"))</f>
        <v/>
      </c>
      <c r="J602">
        <f>IF($A602="","",COUNTIFS('Таблиця 1'!$B:$B,$A602,'Таблиця 1'!$E:$E,"СП",'Таблиця 1'!$L:$L,"Уражено"))</f>
        <v/>
      </c>
      <c r="K602">
        <f>IF($A602="","",COUNTIFS('Таблиця 1'!$B:$B,$A602,'Таблиця 1'!$E:$E,"КСП роти",'Таблиця 1'!$L:$L,"Уражено"))</f>
        <v/>
      </c>
      <c r="L602">
        <f>IF($A602="","",COUNTIFS('Таблиця 1'!$B:$B,$A602,'Таблиця 1'!$E:$E,"ПУ бат",'Таблиця 1'!$L:$L,"Уражено"))</f>
        <v/>
      </c>
      <c r="M602">
        <f>IF($A602="","",COUNTIFS('Таблиця 1'!$B:$B,$A602,'Таблиця 1'!$E:$E,"ПУ бриг",'Таблиця 1'!$L:$L,"Уражено"))</f>
        <v/>
      </c>
      <c r="N602">
        <f>IF($A602="","",COUNTIFS('Таблиця 1'!$B:$B,$A602,'Таблиця 1'!$E:$E,"ПУ див",'Таблиця 1'!$L:$L,"Уражено"))</f>
        <v/>
      </c>
      <c r="O602">
        <f>IF($A602="","",COUNTIFS('Таблиця 1'!$B:$B,$A602,'Таблиця 1'!$E:$E,"обл. РЕБ",'Таблиця 1'!$L:$L,"Уражено"))</f>
        <v/>
      </c>
      <c r="P602">
        <f>IF($A602="","",COUNTIFS('Таблиця 1'!$B:$B,$A602,'Таблиця 1'!$E:$E,"пос РЕБ",'Таблиця 1'!$L:$L,"Уражено"))</f>
        <v/>
      </c>
      <c r="Q602">
        <f>IF($A602="","",COUNTIFS('Таблиця 1'!$B:$B,$A602,'Таблиця 1'!$E:$E,"група РЕР",'Таблиця 1'!$L:$L,"Уражено"))</f>
        <v/>
      </c>
      <c r="R602">
        <f>IF($A602="","",COUNTIFS('Таблиця 1'!$B:$B,$A602,'Таблиця 1'!$E:$E,"РЛС КББ",'Таблиця 1'!$L:$L,"Уражено"))</f>
        <v/>
      </c>
      <c r="S602">
        <f>IF($A602="","",COUNTIFS('Таблиця 1'!$B:$B,$A602,'Таблиця 1'!$E:$E,"Ретранслятор",'Таблиця 1'!$L:$L,"Уражено"))</f>
        <v/>
      </c>
      <c r="T602">
        <f>IF($A602="","",COUNTIFS('Таблиця 1'!$B:$B,$A602,'Таблиця 1'!$E:$E,"Вз.зв'язку",'Таблиця 1'!$L:$L,"Уражено"))</f>
        <v/>
      </c>
      <c r="U602">
        <f>IF($A602="","",COUNTIFS('Таблиця 1'!$B:$B,$A602,'Таблиця 1'!$E:$E,"ПММ",'Таблиця 1'!$L:$L,"Уражено"))</f>
        <v/>
      </c>
      <c r="V602">
        <f>IF($A602="","",COUNTIFS('Таблиця 1'!$B:$B,$A602,'Таблиця 1'!$E:$E,"ІФС",'Таблиця 1'!$L:$L,"Уражено"))</f>
        <v/>
      </c>
      <c r="W602">
        <f>IF($A602="","",COUNTIFS('Таблиця 1'!$B:$B,$A602,'Таблиця 1'!$E:$E,"Інфраструктура",'Таблиця 1'!$L:$L,"Уражено"))</f>
        <v/>
      </c>
      <c r="X602">
        <f>IF($A602="","",SUMIFS('Таблиця 1'!$K:$K,'Таблиця 1'!$B:$B,$A602))</f>
        <v/>
      </c>
    </row>
    <row r="603">
      <c r="A603" s="81">
        <f>IF(A602="","",IF(A602+1&gt;MAX('Таблиця 1'!$B:$B),"",A602+1))</f>
        <v/>
      </c>
      <c r="B603">
        <f>IF($A603="","",COUNTIFS('Таблиця 1'!$B:$B,$A603,'Таблиця 1'!$E:$E,"ЖС ВЗ",'Таблиця 1'!$L:$L,"Уражено"))</f>
        <v/>
      </c>
      <c r="C603">
        <f>IF($A603="","",COUNTIFS('Таблиця 1'!$B:$B,$A603,'Таблиця 1'!$E:$E,"Арт. Системи",'Таблиця 1'!$L:$L,"Уражено"))</f>
        <v/>
      </c>
      <c r="D603">
        <f>IF($A603="","",COUNTIFS('Таблиця 1'!$B:$B,$A603,'Таблиця 1'!$E:$E,"ОВТ",'Таблиця 1'!$L:$L,"Уражено"))</f>
        <v/>
      </c>
      <c r="E603">
        <f>IF($A603="","",COUNTIFS('Таблиця 1'!$B:$B,$A603,'Таблиця 1'!$E:$E,"ППО",'Таблиця 1'!$L:$L,"Уражено"))</f>
        <v/>
      </c>
      <c r="F603">
        <f>IF($A603="","",COUNTIFS('Таблиця 1'!$B:$B,$A603,'Таблиця 1'!$E:$E,"Рембаза",'Таблиця 1'!$L:$L,"Уражено"))</f>
        <v/>
      </c>
      <c r="G603">
        <f>IF($A603="","",COUNTIFS('Таблиця 1'!$B:$B,$A603,'Таблиця 1'!$E:$E,"Склад БК",'Таблиця 1'!$L:$L,"Уражено"))</f>
        <v/>
      </c>
      <c r="H603">
        <f>IF($A603="","",COUNTIFS('Таблиця 1'!$B:$B,$A603,'Таблиця 1'!$E:$E,"Склад ВТМ",'Таблиця 1'!$L:$L,"Уражено"))</f>
        <v/>
      </c>
      <c r="I603">
        <f>IF($A603="","",COUNTIFS('Таблиця 1'!$B:$B,$A603,'Таблиця 1'!$E:$E,"ПУ БпЛА",'Таблиця 1'!$L:$L,"Уражено"))</f>
        <v/>
      </c>
      <c r="J603">
        <f>IF($A603="","",COUNTIFS('Таблиця 1'!$B:$B,$A603,'Таблиця 1'!$E:$E,"СП",'Таблиця 1'!$L:$L,"Уражено"))</f>
        <v/>
      </c>
      <c r="K603">
        <f>IF($A603="","",COUNTIFS('Таблиця 1'!$B:$B,$A603,'Таблиця 1'!$E:$E,"КСП роти",'Таблиця 1'!$L:$L,"Уражено"))</f>
        <v/>
      </c>
      <c r="L603">
        <f>IF($A603="","",COUNTIFS('Таблиця 1'!$B:$B,$A603,'Таблиця 1'!$E:$E,"ПУ бат",'Таблиця 1'!$L:$L,"Уражено"))</f>
        <v/>
      </c>
      <c r="M603">
        <f>IF($A603="","",COUNTIFS('Таблиця 1'!$B:$B,$A603,'Таблиця 1'!$E:$E,"ПУ бриг",'Таблиця 1'!$L:$L,"Уражено"))</f>
        <v/>
      </c>
      <c r="N603">
        <f>IF($A603="","",COUNTIFS('Таблиця 1'!$B:$B,$A603,'Таблиця 1'!$E:$E,"ПУ див",'Таблиця 1'!$L:$L,"Уражено"))</f>
        <v/>
      </c>
      <c r="O603">
        <f>IF($A603="","",COUNTIFS('Таблиця 1'!$B:$B,$A603,'Таблиця 1'!$E:$E,"обл. РЕБ",'Таблиця 1'!$L:$L,"Уражено"))</f>
        <v/>
      </c>
      <c r="P603">
        <f>IF($A603="","",COUNTIFS('Таблиця 1'!$B:$B,$A603,'Таблиця 1'!$E:$E,"пос РЕБ",'Таблиця 1'!$L:$L,"Уражено"))</f>
        <v/>
      </c>
      <c r="Q603">
        <f>IF($A603="","",COUNTIFS('Таблиця 1'!$B:$B,$A603,'Таблиця 1'!$E:$E,"група РЕР",'Таблиця 1'!$L:$L,"Уражено"))</f>
        <v/>
      </c>
      <c r="R603">
        <f>IF($A603="","",COUNTIFS('Таблиця 1'!$B:$B,$A603,'Таблиця 1'!$E:$E,"РЛС КББ",'Таблиця 1'!$L:$L,"Уражено"))</f>
        <v/>
      </c>
      <c r="S603">
        <f>IF($A603="","",COUNTIFS('Таблиця 1'!$B:$B,$A603,'Таблиця 1'!$E:$E,"Ретранслятор",'Таблиця 1'!$L:$L,"Уражено"))</f>
        <v/>
      </c>
      <c r="T603">
        <f>IF($A603="","",COUNTIFS('Таблиця 1'!$B:$B,$A603,'Таблиця 1'!$E:$E,"Вз.зв'язку",'Таблиця 1'!$L:$L,"Уражено"))</f>
        <v/>
      </c>
      <c r="U603">
        <f>IF($A603="","",COUNTIFS('Таблиця 1'!$B:$B,$A603,'Таблиця 1'!$E:$E,"ПММ",'Таблиця 1'!$L:$L,"Уражено"))</f>
        <v/>
      </c>
      <c r="V603">
        <f>IF($A603="","",COUNTIFS('Таблиця 1'!$B:$B,$A603,'Таблиця 1'!$E:$E,"ІФС",'Таблиця 1'!$L:$L,"Уражено"))</f>
        <v/>
      </c>
      <c r="W603">
        <f>IF($A603="","",COUNTIFS('Таблиця 1'!$B:$B,$A603,'Таблиця 1'!$E:$E,"Інфраструктура",'Таблиця 1'!$L:$L,"Уражено"))</f>
        <v/>
      </c>
      <c r="X603">
        <f>IF($A603="","",SUMIFS('Таблиця 1'!$K:$K,'Таблиця 1'!$B:$B,$A603))</f>
        <v/>
      </c>
    </row>
    <row r="604">
      <c r="A604" s="81">
        <f>IF(A603="","",IF(A603+1&gt;MAX('Таблиця 1'!$B:$B),"",A603+1))</f>
        <v/>
      </c>
      <c r="B604">
        <f>IF($A604="","",COUNTIFS('Таблиця 1'!$B:$B,$A604,'Таблиця 1'!$E:$E,"ЖС ВЗ",'Таблиця 1'!$L:$L,"Уражено"))</f>
        <v/>
      </c>
      <c r="C604">
        <f>IF($A604="","",COUNTIFS('Таблиця 1'!$B:$B,$A604,'Таблиця 1'!$E:$E,"Арт. Системи",'Таблиця 1'!$L:$L,"Уражено"))</f>
        <v/>
      </c>
      <c r="D604">
        <f>IF($A604="","",COUNTIFS('Таблиця 1'!$B:$B,$A604,'Таблиця 1'!$E:$E,"ОВТ",'Таблиця 1'!$L:$L,"Уражено"))</f>
        <v/>
      </c>
      <c r="E604">
        <f>IF($A604="","",COUNTIFS('Таблиця 1'!$B:$B,$A604,'Таблиця 1'!$E:$E,"ППО",'Таблиця 1'!$L:$L,"Уражено"))</f>
        <v/>
      </c>
      <c r="F604">
        <f>IF($A604="","",COUNTIFS('Таблиця 1'!$B:$B,$A604,'Таблиця 1'!$E:$E,"Рембаза",'Таблиця 1'!$L:$L,"Уражено"))</f>
        <v/>
      </c>
      <c r="G604">
        <f>IF($A604="","",COUNTIFS('Таблиця 1'!$B:$B,$A604,'Таблиця 1'!$E:$E,"Склад БК",'Таблиця 1'!$L:$L,"Уражено"))</f>
        <v/>
      </c>
      <c r="H604">
        <f>IF($A604="","",COUNTIFS('Таблиця 1'!$B:$B,$A604,'Таблиця 1'!$E:$E,"Склад ВТМ",'Таблиця 1'!$L:$L,"Уражено"))</f>
        <v/>
      </c>
      <c r="I604">
        <f>IF($A604="","",COUNTIFS('Таблиця 1'!$B:$B,$A604,'Таблиця 1'!$E:$E,"ПУ БпЛА",'Таблиця 1'!$L:$L,"Уражено"))</f>
        <v/>
      </c>
      <c r="J604">
        <f>IF($A604="","",COUNTIFS('Таблиця 1'!$B:$B,$A604,'Таблиця 1'!$E:$E,"СП",'Таблиця 1'!$L:$L,"Уражено"))</f>
        <v/>
      </c>
      <c r="K604">
        <f>IF($A604="","",COUNTIFS('Таблиця 1'!$B:$B,$A604,'Таблиця 1'!$E:$E,"КСП роти",'Таблиця 1'!$L:$L,"Уражено"))</f>
        <v/>
      </c>
      <c r="L604">
        <f>IF($A604="","",COUNTIFS('Таблиця 1'!$B:$B,$A604,'Таблиця 1'!$E:$E,"ПУ бат",'Таблиця 1'!$L:$L,"Уражено"))</f>
        <v/>
      </c>
      <c r="M604">
        <f>IF($A604="","",COUNTIFS('Таблиця 1'!$B:$B,$A604,'Таблиця 1'!$E:$E,"ПУ бриг",'Таблиця 1'!$L:$L,"Уражено"))</f>
        <v/>
      </c>
      <c r="N604">
        <f>IF($A604="","",COUNTIFS('Таблиця 1'!$B:$B,$A604,'Таблиця 1'!$E:$E,"ПУ див",'Таблиця 1'!$L:$L,"Уражено"))</f>
        <v/>
      </c>
      <c r="O604">
        <f>IF($A604="","",COUNTIFS('Таблиця 1'!$B:$B,$A604,'Таблиця 1'!$E:$E,"обл. РЕБ",'Таблиця 1'!$L:$L,"Уражено"))</f>
        <v/>
      </c>
      <c r="P604">
        <f>IF($A604="","",COUNTIFS('Таблиця 1'!$B:$B,$A604,'Таблиця 1'!$E:$E,"пос РЕБ",'Таблиця 1'!$L:$L,"Уражено"))</f>
        <v/>
      </c>
      <c r="Q604">
        <f>IF($A604="","",COUNTIFS('Таблиця 1'!$B:$B,$A604,'Таблиця 1'!$E:$E,"група РЕР",'Таблиця 1'!$L:$L,"Уражено"))</f>
        <v/>
      </c>
      <c r="R604">
        <f>IF($A604="","",COUNTIFS('Таблиця 1'!$B:$B,$A604,'Таблиця 1'!$E:$E,"РЛС КББ",'Таблиця 1'!$L:$L,"Уражено"))</f>
        <v/>
      </c>
      <c r="S604">
        <f>IF($A604="","",COUNTIFS('Таблиця 1'!$B:$B,$A604,'Таблиця 1'!$E:$E,"Ретранслятор",'Таблиця 1'!$L:$L,"Уражено"))</f>
        <v/>
      </c>
      <c r="T604">
        <f>IF($A604="","",COUNTIFS('Таблиця 1'!$B:$B,$A604,'Таблиця 1'!$E:$E,"Вз.зв'язку",'Таблиця 1'!$L:$L,"Уражено"))</f>
        <v/>
      </c>
      <c r="U604">
        <f>IF($A604="","",COUNTIFS('Таблиця 1'!$B:$B,$A604,'Таблиця 1'!$E:$E,"ПММ",'Таблиця 1'!$L:$L,"Уражено"))</f>
        <v/>
      </c>
      <c r="V604">
        <f>IF($A604="","",COUNTIFS('Таблиця 1'!$B:$B,$A604,'Таблиця 1'!$E:$E,"ІФС",'Таблиця 1'!$L:$L,"Уражено"))</f>
        <v/>
      </c>
      <c r="W604">
        <f>IF($A604="","",COUNTIFS('Таблиця 1'!$B:$B,$A604,'Таблиця 1'!$E:$E,"Інфраструктура",'Таблиця 1'!$L:$L,"Уражено"))</f>
        <v/>
      </c>
      <c r="X604">
        <f>IF($A604="","",SUMIFS('Таблиця 1'!$K:$K,'Таблиця 1'!$B:$B,$A604))</f>
        <v/>
      </c>
    </row>
    <row r="605">
      <c r="A605" s="81">
        <f>IF(A604="","",IF(A604+1&gt;MAX('Таблиця 1'!$B:$B),"",A604+1))</f>
        <v/>
      </c>
      <c r="B605">
        <f>IF($A605="","",COUNTIFS('Таблиця 1'!$B:$B,$A605,'Таблиця 1'!$E:$E,"ЖС ВЗ",'Таблиця 1'!$L:$L,"Уражено"))</f>
        <v/>
      </c>
      <c r="C605">
        <f>IF($A605="","",COUNTIFS('Таблиця 1'!$B:$B,$A605,'Таблиця 1'!$E:$E,"Арт. Системи",'Таблиця 1'!$L:$L,"Уражено"))</f>
        <v/>
      </c>
      <c r="D605">
        <f>IF($A605="","",COUNTIFS('Таблиця 1'!$B:$B,$A605,'Таблиця 1'!$E:$E,"ОВТ",'Таблиця 1'!$L:$L,"Уражено"))</f>
        <v/>
      </c>
      <c r="E605">
        <f>IF($A605="","",COUNTIFS('Таблиця 1'!$B:$B,$A605,'Таблиця 1'!$E:$E,"ППО",'Таблиця 1'!$L:$L,"Уражено"))</f>
        <v/>
      </c>
      <c r="F605">
        <f>IF($A605="","",COUNTIFS('Таблиця 1'!$B:$B,$A605,'Таблиця 1'!$E:$E,"Рембаза",'Таблиця 1'!$L:$L,"Уражено"))</f>
        <v/>
      </c>
      <c r="G605">
        <f>IF($A605="","",COUNTIFS('Таблиця 1'!$B:$B,$A605,'Таблиця 1'!$E:$E,"Склад БК",'Таблиця 1'!$L:$L,"Уражено"))</f>
        <v/>
      </c>
      <c r="H605">
        <f>IF($A605="","",COUNTIFS('Таблиця 1'!$B:$B,$A605,'Таблиця 1'!$E:$E,"Склад ВТМ",'Таблиця 1'!$L:$L,"Уражено"))</f>
        <v/>
      </c>
      <c r="I605">
        <f>IF($A605="","",COUNTIFS('Таблиця 1'!$B:$B,$A605,'Таблиця 1'!$E:$E,"ПУ БпЛА",'Таблиця 1'!$L:$L,"Уражено"))</f>
        <v/>
      </c>
      <c r="J605">
        <f>IF($A605="","",COUNTIFS('Таблиця 1'!$B:$B,$A605,'Таблиця 1'!$E:$E,"СП",'Таблиця 1'!$L:$L,"Уражено"))</f>
        <v/>
      </c>
      <c r="K605">
        <f>IF($A605="","",COUNTIFS('Таблиця 1'!$B:$B,$A605,'Таблиця 1'!$E:$E,"КСП роти",'Таблиця 1'!$L:$L,"Уражено"))</f>
        <v/>
      </c>
      <c r="L605">
        <f>IF($A605="","",COUNTIFS('Таблиця 1'!$B:$B,$A605,'Таблиця 1'!$E:$E,"ПУ бат",'Таблиця 1'!$L:$L,"Уражено"))</f>
        <v/>
      </c>
      <c r="M605">
        <f>IF($A605="","",COUNTIFS('Таблиця 1'!$B:$B,$A605,'Таблиця 1'!$E:$E,"ПУ бриг",'Таблиця 1'!$L:$L,"Уражено"))</f>
        <v/>
      </c>
      <c r="N605">
        <f>IF($A605="","",COUNTIFS('Таблиця 1'!$B:$B,$A605,'Таблиця 1'!$E:$E,"ПУ див",'Таблиця 1'!$L:$L,"Уражено"))</f>
        <v/>
      </c>
      <c r="O605">
        <f>IF($A605="","",COUNTIFS('Таблиця 1'!$B:$B,$A605,'Таблиця 1'!$E:$E,"обл. РЕБ",'Таблиця 1'!$L:$L,"Уражено"))</f>
        <v/>
      </c>
      <c r="P605">
        <f>IF($A605="","",COUNTIFS('Таблиця 1'!$B:$B,$A605,'Таблиця 1'!$E:$E,"пос РЕБ",'Таблиця 1'!$L:$L,"Уражено"))</f>
        <v/>
      </c>
      <c r="Q605">
        <f>IF($A605="","",COUNTIFS('Таблиця 1'!$B:$B,$A605,'Таблиця 1'!$E:$E,"група РЕР",'Таблиця 1'!$L:$L,"Уражено"))</f>
        <v/>
      </c>
      <c r="R605">
        <f>IF($A605="","",COUNTIFS('Таблиця 1'!$B:$B,$A605,'Таблиця 1'!$E:$E,"РЛС КББ",'Таблиця 1'!$L:$L,"Уражено"))</f>
        <v/>
      </c>
      <c r="S605">
        <f>IF($A605="","",COUNTIFS('Таблиця 1'!$B:$B,$A605,'Таблиця 1'!$E:$E,"Ретранслятор",'Таблиця 1'!$L:$L,"Уражено"))</f>
        <v/>
      </c>
      <c r="T605">
        <f>IF($A605="","",COUNTIFS('Таблиця 1'!$B:$B,$A605,'Таблиця 1'!$E:$E,"Вз.зв'язку",'Таблиця 1'!$L:$L,"Уражено"))</f>
        <v/>
      </c>
      <c r="U605">
        <f>IF($A605="","",COUNTIFS('Таблиця 1'!$B:$B,$A605,'Таблиця 1'!$E:$E,"ПММ",'Таблиця 1'!$L:$L,"Уражено"))</f>
        <v/>
      </c>
      <c r="V605">
        <f>IF($A605="","",COUNTIFS('Таблиця 1'!$B:$B,$A605,'Таблиця 1'!$E:$E,"ІФС",'Таблиця 1'!$L:$L,"Уражено"))</f>
        <v/>
      </c>
      <c r="W605">
        <f>IF($A605="","",COUNTIFS('Таблиця 1'!$B:$B,$A605,'Таблиця 1'!$E:$E,"Інфраструктура",'Таблиця 1'!$L:$L,"Уражено"))</f>
        <v/>
      </c>
      <c r="X605">
        <f>IF($A605="","",SUMIFS('Таблиця 1'!$K:$K,'Таблиця 1'!$B:$B,$A605))</f>
        <v/>
      </c>
    </row>
    <row r="606">
      <c r="A606" s="81">
        <f>IF(A605="","",IF(A605+1&gt;MAX('Таблиця 1'!$B:$B),"",A605+1))</f>
        <v/>
      </c>
      <c r="B606">
        <f>IF($A606="","",COUNTIFS('Таблиця 1'!$B:$B,$A606,'Таблиця 1'!$E:$E,"ЖС ВЗ",'Таблиця 1'!$L:$L,"Уражено"))</f>
        <v/>
      </c>
      <c r="C606">
        <f>IF($A606="","",COUNTIFS('Таблиця 1'!$B:$B,$A606,'Таблиця 1'!$E:$E,"Арт. Системи",'Таблиця 1'!$L:$L,"Уражено"))</f>
        <v/>
      </c>
      <c r="D606">
        <f>IF($A606="","",COUNTIFS('Таблиця 1'!$B:$B,$A606,'Таблиця 1'!$E:$E,"ОВТ",'Таблиця 1'!$L:$L,"Уражено"))</f>
        <v/>
      </c>
      <c r="E606">
        <f>IF($A606="","",COUNTIFS('Таблиця 1'!$B:$B,$A606,'Таблиця 1'!$E:$E,"ППО",'Таблиця 1'!$L:$L,"Уражено"))</f>
        <v/>
      </c>
      <c r="F606">
        <f>IF($A606="","",COUNTIFS('Таблиця 1'!$B:$B,$A606,'Таблиця 1'!$E:$E,"Рембаза",'Таблиця 1'!$L:$L,"Уражено"))</f>
        <v/>
      </c>
      <c r="G606">
        <f>IF($A606="","",COUNTIFS('Таблиця 1'!$B:$B,$A606,'Таблиця 1'!$E:$E,"Склад БК",'Таблиця 1'!$L:$L,"Уражено"))</f>
        <v/>
      </c>
      <c r="H606">
        <f>IF($A606="","",COUNTIFS('Таблиця 1'!$B:$B,$A606,'Таблиця 1'!$E:$E,"Склад ВТМ",'Таблиця 1'!$L:$L,"Уражено"))</f>
        <v/>
      </c>
      <c r="I606">
        <f>IF($A606="","",COUNTIFS('Таблиця 1'!$B:$B,$A606,'Таблиця 1'!$E:$E,"ПУ БпЛА",'Таблиця 1'!$L:$L,"Уражено"))</f>
        <v/>
      </c>
      <c r="J606">
        <f>IF($A606="","",COUNTIFS('Таблиця 1'!$B:$B,$A606,'Таблиця 1'!$E:$E,"СП",'Таблиця 1'!$L:$L,"Уражено"))</f>
        <v/>
      </c>
      <c r="K606">
        <f>IF($A606="","",COUNTIFS('Таблиця 1'!$B:$B,$A606,'Таблиця 1'!$E:$E,"КСП роти",'Таблиця 1'!$L:$L,"Уражено"))</f>
        <v/>
      </c>
      <c r="L606">
        <f>IF($A606="","",COUNTIFS('Таблиця 1'!$B:$B,$A606,'Таблиця 1'!$E:$E,"ПУ бат",'Таблиця 1'!$L:$L,"Уражено"))</f>
        <v/>
      </c>
      <c r="M606">
        <f>IF($A606="","",COUNTIFS('Таблиця 1'!$B:$B,$A606,'Таблиця 1'!$E:$E,"ПУ бриг",'Таблиця 1'!$L:$L,"Уражено"))</f>
        <v/>
      </c>
      <c r="N606">
        <f>IF($A606="","",COUNTIFS('Таблиця 1'!$B:$B,$A606,'Таблиця 1'!$E:$E,"ПУ див",'Таблиця 1'!$L:$L,"Уражено"))</f>
        <v/>
      </c>
      <c r="O606">
        <f>IF($A606="","",COUNTIFS('Таблиця 1'!$B:$B,$A606,'Таблиця 1'!$E:$E,"обл. РЕБ",'Таблиця 1'!$L:$L,"Уражено"))</f>
        <v/>
      </c>
      <c r="P606">
        <f>IF($A606="","",COUNTIFS('Таблиця 1'!$B:$B,$A606,'Таблиця 1'!$E:$E,"пос РЕБ",'Таблиця 1'!$L:$L,"Уражено"))</f>
        <v/>
      </c>
      <c r="Q606">
        <f>IF($A606="","",COUNTIFS('Таблиця 1'!$B:$B,$A606,'Таблиця 1'!$E:$E,"група РЕР",'Таблиця 1'!$L:$L,"Уражено"))</f>
        <v/>
      </c>
      <c r="R606">
        <f>IF($A606="","",COUNTIFS('Таблиця 1'!$B:$B,$A606,'Таблиця 1'!$E:$E,"РЛС КББ",'Таблиця 1'!$L:$L,"Уражено"))</f>
        <v/>
      </c>
      <c r="S606">
        <f>IF($A606="","",COUNTIFS('Таблиця 1'!$B:$B,$A606,'Таблиця 1'!$E:$E,"Ретранслятор",'Таблиця 1'!$L:$L,"Уражено"))</f>
        <v/>
      </c>
      <c r="T606">
        <f>IF($A606="","",COUNTIFS('Таблиця 1'!$B:$B,$A606,'Таблиця 1'!$E:$E,"Вз.зв'язку",'Таблиця 1'!$L:$L,"Уражено"))</f>
        <v/>
      </c>
      <c r="U606">
        <f>IF($A606="","",COUNTIFS('Таблиця 1'!$B:$B,$A606,'Таблиця 1'!$E:$E,"ПММ",'Таблиця 1'!$L:$L,"Уражено"))</f>
        <v/>
      </c>
      <c r="V606">
        <f>IF($A606="","",COUNTIFS('Таблиця 1'!$B:$B,$A606,'Таблиця 1'!$E:$E,"ІФС",'Таблиця 1'!$L:$L,"Уражено"))</f>
        <v/>
      </c>
      <c r="W606">
        <f>IF($A606="","",COUNTIFS('Таблиця 1'!$B:$B,$A606,'Таблиця 1'!$E:$E,"Інфраструктура",'Таблиця 1'!$L:$L,"Уражено"))</f>
        <v/>
      </c>
      <c r="X606">
        <f>IF($A606="","",SUMIFS('Таблиця 1'!$K:$K,'Таблиця 1'!$B:$B,$A606))</f>
        <v/>
      </c>
    </row>
    <row r="607">
      <c r="A607" s="81">
        <f>IF(A606="","",IF(A606+1&gt;MAX('Таблиця 1'!$B:$B),"",A606+1))</f>
        <v/>
      </c>
      <c r="B607">
        <f>IF($A607="","",COUNTIFS('Таблиця 1'!$B:$B,$A607,'Таблиця 1'!$E:$E,"ЖС ВЗ",'Таблиця 1'!$L:$L,"Уражено"))</f>
        <v/>
      </c>
      <c r="C607">
        <f>IF($A607="","",COUNTIFS('Таблиця 1'!$B:$B,$A607,'Таблиця 1'!$E:$E,"Арт. Системи",'Таблиця 1'!$L:$L,"Уражено"))</f>
        <v/>
      </c>
      <c r="D607">
        <f>IF($A607="","",COUNTIFS('Таблиця 1'!$B:$B,$A607,'Таблиця 1'!$E:$E,"ОВТ",'Таблиця 1'!$L:$L,"Уражено"))</f>
        <v/>
      </c>
      <c r="E607">
        <f>IF($A607="","",COUNTIFS('Таблиця 1'!$B:$B,$A607,'Таблиця 1'!$E:$E,"ППО",'Таблиця 1'!$L:$L,"Уражено"))</f>
        <v/>
      </c>
      <c r="F607">
        <f>IF($A607="","",COUNTIFS('Таблиця 1'!$B:$B,$A607,'Таблиця 1'!$E:$E,"Рембаза",'Таблиця 1'!$L:$L,"Уражено"))</f>
        <v/>
      </c>
      <c r="G607">
        <f>IF($A607="","",COUNTIFS('Таблиця 1'!$B:$B,$A607,'Таблиця 1'!$E:$E,"Склад БК",'Таблиця 1'!$L:$L,"Уражено"))</f>
        <v/>
      </c>
      <c r="H607">
        <f>IF($A607="","",COUNTIFS('Таблиця 1'!$B:$B,$A607,'Таблиця 1'!$E:$E,"Склад ВТМ",'Таблиця 1'!$L:$L,"Уражено"))</f>
        <v/>
      </c>
      <c r="I607">
        <f>IF($A607="","",COUNTIFS('Таблиця 1'!$B:$B,$A607,'Таблиця 1'!$E:$E,"ПУ БпЛА",'Таблиця 1'!$L:$L,"Уражено"))</f>
        <v/>
      </c>
      <c r="J607">
        <f>IF($A607="","",COUNTIFS('Таблиця 1'!$B:$B,$A607,'Таблиця 1'!$E:$E,"СП",'Таблиця 1'!$L:$L,"Уражено"))</f>
        <v/>
      </c>
      <c r="K607">
        <f>IF($A607="","",COUNTIFS('Таблиця 1'!$B:$B,$A607,'Таблиця 1'!$E:$E,"КСП роти",'Таблиця 1'!$L:$L,"Уражено"))</f>
        <v/>
      </c>
      <c r="L607">
        <f>IF($A607="","",COUNTIFS('Таблиця 1'!$B:$B,$A607,'Таблиця 1'!$E:$E,"ПУ бат",'Таблиця 1'!$L:$L,"Уражено"))</f>
        <v/>
      </c>
      <c r="M607">
        <f>IF($A607="","",COUNTIFS('Таблиця 1'!$B:$B,$A607,'Таблиця 1'!$E:$E,"ПУ бриг",'Таблиця 1'!$L:$L,"Уражено"))</f>
        <v/>
      </c>
      <c r="N607">
        <f>IF($A607="","",COUNTIFS('Таблиця 1'!$B:$B,$A607,'Таблиця 1'!$E:$E,"ПУ див",'Таблиця 1'!$L:$L,"Уражено"))</f>
        <v/>
      </c>
      <c r="O607">
        <f>IF($A607="","",COUNTIFS('Таблиця 1'!$B:$B,$A607,'Таблиця 1'!$E:$E,"обл. РЕБ",'Таблиця 1'!$L:$L,"Уражено"))</f>
        <v/>
      </c>
      <c r="P607">
        <f>IF($A607="","",COUNTIFS('Таблиця 1'!$B:$B,$A607,'Таблиця 1'!$E:$E,"пос РЕБ",'Таблиця 1'!$L:$L,"Уражено"))</f>
        <v/>
      </c>
      <c r="Q607">
        <f>IF($A607="","",COUNTIFS('Таблиця 1'!$B:$B,$A607,'Таблиця 1'!$E:$E,"група РЕР",'Таблиця 1'!$L:$L,"Уражено"))</f>
        <v/>
      </c>
      <c r="R607">
        <f>IF($A607="","",COUNTIFS('Таблиця 1'!$B:$B,$A607,'Таблиця 1'!$E:$E,"РЛС КББ",'Таблиця 1'!$L:$L,"Уражено"))</f>
        <v/>
      </c>
      <c r="S607">
        <f>IF($A607="","",COUNTIFS('Таблиця 1'!$B:$B,$A607,'Таблиця 1'!$E:$E,"Ретранслятор",'Таблиця 1'!$L:$L,"Уражено"))</f>
        <v/>
      </c>
      <c r="T607">
        <f>IF($A607="","",COUNTIFS('Таблиця 1'!$B:$B,$A607,'Таблиця 1'!$E:$E,"Вз.зв'язку",'Таблиця 1'!$L:$L,"Уражено"))</f>
        <v/>
      </c>
      <c r="U607">
        <f>IF($A607="","",COUNTIFS('Таблиця 1'!$B:$B,$A607,'Таблиця 1'!$E:$E,"ПММ",'Таблиця 1'!$L:$L,"Уражено"))</f>
        <v/>
      </c>
      <c r="V607">
        <f>IF($A607="","",COUNTIFS('Таблиця 1'!$B:$B,$A607,'Таблиця 1'!$E:$E,"ІФС",'Таблиця 1'!$L:$L,"Уражено"))</f>
        <v/>
      </c>
      <c r="W607">
        <f>IF($A607="","",COUNTIFS('Таблиця 1'!$B:$B,$A607,'Таблиця 1'!$E:$E,"Інфраструктура",'Таблиця 1'!$L:$L,"Уражено"))</f>
        <v/>
      </c>
      <c r="X607">
        <f>IF($A607="","",SUMIFS('Таблиця 1'!$K:$K,'Таблиця 1'!$B:$B,$A607))</f>
        <v/>
      </c>
    </row>
    <row r="608">
      <c r="A608" s="81">
        <f>IF(A607="","",IF(A607+1&gt;MAX('Таблиця 1'!$B:$B),"",A607+1))</f>
        <v/>
      </c>
      <c r="B608">
        <f>IF($A608="","",COUNTIFS('Таблиця 1'!$B:$B,$A608,'Таблиця 1'!$E:$E,"ЖС ВЗ",'Таблиця 1'!$L:$L,"Уражено"))</f>
        <v/>
      </c>
      <c r="C608">
        <f>IF($A608="","",COUNTIFS('Таблиця 1'!$B:$B,$A608,'Таблиця 1'!$E:$E,"Арт. Системи",'Таблиця 1'!$L:$L,"Уражено"))</f>
        <v/>
      </c>
      <c r="D608">
        <f>IF($A608="","",COUNTIFS('Таблиця 1'!$B:$B,$A608,'Таблиця 1'!$E:$E,"ОВТ",'Таблиця 1'!$L:$L,"Уражено"))</f>
        <v/>
      </c>
      <c r="E608">
        <f>IF($A608="","",COUNTIFS('Таблиця 1'!$B:$B,$A608,'Таблиця 1'!$E:$E,"ППО",'Таблиця 1'!$L:$L,"Уражено"))</f>
        <v/>
      </c>
      <c r="F608">
        <f>IF($A608="","",COUNTIFS('Таблиця 1'!$B:$B,$A608,'Таблиця 1'!$E:$E,"Рембаза",'Таблиця 1'!$L:$L,"Уражено"))</f>
        <v/>
      </c>
      <c r="G608">
        <f>IF($A608="","",COUNTIFS('Таблиця 1'!$B:$B,$A608,'Таблиця 1'!$E:$E,"Склад БК",'Таблиця 1'!$L:$L,"Уражено"))</f>
        <v/>
      </c>
      <c r="H608">
        <f>IF($A608="","",COUNTIFS('Таблиця 1'!$B:$B,$A608,'Таблиця 1'!$E:$E,"Склад ВТМ",'Таблиця 1'!$L:$L,"Уражено"))</f>
        <v/>
      </c>
      <c r="I608">
        <f>IF($A608="","",COUNTIFS('Таблиця 1'!$B:$B,$A608,'Таблиця 1'!$E:$E,"ПУ БпЛА",'Таблиця 1'!$L:$L,"Уражено"))</f>
        <v/>
      </c>
      <c r="J608">
        <f>IF($A608="","",COUNTIFS('Таблиця 1'!$B:$B,$A608,'Таблиця 1'!$E:$E,"СП",'Таблиця 1'!$L:$L,"Уражено"))</f>
        <v/>
      </c>
      <c r="K608">
        <f>IF($A608="","",COUNTIFS('Таблиця 1'!$B:$B,$A608,'Таблиця 1'!$E:$E,"КСП роти",'Таблиця 1'!$L:$L,"Уражено"))</f>
        <v/>
      </c>
      <c r="L608">
        <f>IF($A608="","",COUNTIFS('Таблиця 1'!$B:$B,$A608,'Таблиця 1'!$E:$E,"ПУ бат",'Таблиця 1'!$L:$L,"Уражено"))</f>
        <v/>
      </c>
      <c r="M608">
        <f>IF($A608="","",COUNTIFS('Таблиця 1'!$B:$B,$A608,'Таблиця 1'!$E:$E,"ПУ бриг",'Таблиця 1'!$L:$L,"Уражено"))</f>
        <v/>
      </c>
      <c r="N608">
        <f>IF($A608="","",COUNTIFS('Таблиця 1'!$B:$B,$A608,'Таблиця 1'!$E:$E,"ПУ див",'Таблиця 1'!$L:$L,"Уражено"))</f>
        <v/>
      </c>
      <c r="O608">
        <f>IF($A608="","",COUNTIFS('Таблиця 1'!$B:$B,$A608,'Таблиця 1'!$E:$E,"обл. РЕБ",'Таблиця 1'!$L:$L,"Уражено"))</f>
        <v/>
      </c>
      <c r="P608">
        <f>IF($A608="","",COUNTIFS('Таблиця 1'!$B:$B,$A608,'Таблиця 1'!$E:$E,"пос РЕБ",'Таблиця 1'!$L:$L,"Уражено"))</f>
        <v/>
      </c>
      <c r="Q608">
        <f>IF($A608="","",COUNTIFS('Таблиця 1'!$B:$B,$A608,'Таблиця 1'!$E:$E,"група РЕР",'Таблиця 1'!$L:$L,"Уражено"))</f>
        <v/>
      </c>
      <c r="R608">
        <f>IF($A608="","",COUNTIFS('Таблиця 1'!$B:$B,$A608,'Таблиця 1'!$E:$E,"РЛС КББ",'Таблиця 1'!$L:$L,"Уражено"))</f>
        <v/>
      </c>
      <c r="S608">
        <f>IF($A608="","",COUNTIFS('Таблиця 1'!$B:$B,$A608,'Таблиця 1'!$E:$E,"Ретранслятор",'Таблиця 1'!$L:$L,"Уражено"))</f>
        <v/>
      </c>
      <c r="T608">
        <f>IF($A608="","",COUNTIFS('Таблиця 1'!$B:$B,$A608,'Таблиця 1'!$E:$E,"Вз.зв'язку",'Таблиця 1'!$L:$L,"Уражено"))</f>
        <v/>
      </c>
      <c r="U608">
        <f>IF($A608="","",COUNTIFS('Таблиця 1'!$B:$B,$A608,'Таблиця 1'!$E:$E,"ПММ",'Таблиця 1'!$L:$L,"Уражено"))</f>
        <v/>
      </c>
      <c r="V608">
        <f>IF($A608="","",COUNTIFS('Таблиця 1'!$B:$B,$A608,'Таблиця 1'!$E:$E,"ІФС",'Таблиця 1'!$L:$L,"Уражено"))</f>
        <v/>
      </c>
      <c r="W608">
        <f>IF($A608="","",COUNTIFS('Таблиця 1'!$B:$B,$A608,'Таблиця 1'!$E:$E,"Інфраструктура",'Таблиця 1'!$L:$L,"Уражено"))</f>
        <v/>
      </c>
      <c r="X608">
        <f>IF($A608="","",SUMIFS('Таблиця 1'!$K:$K,'Таблиця 1'!$B:$B,$A608))</f>
        <v/>
      </c>
    </row>
    <row r="609">
      <c r="A609" s="81">
        <f>IF(A608="","",IF(A608+1&gt;MAX('Таблиця 1'!$B:$B),"",A608+1))</f>
        <v/>
      </c>
      <c r="B609">
        <f>IF($A609="","",COUNTIFS('Таблиця 1'!$B:$B,$A609,'Таблиця 1'!$E:$E,"ЖС ВЗ",'Таблиця 1'!$L:$L,"Уражено"))</f>
        <v/>
      </c>
      <c r="C609">
        <f>IF($A609="","",COUNTIFS('Таблиця 1'!$B:$B,$A609,'Таблиця 1'!$E:$E,"Арт. Системи",'Таблиця 1'!$L:$L,"Уражено"))</f>
        <v/>
      </c>
      <c r="D609">
        <f>IF($A609="","",COUNTIFS('Таблиця 1'!$B:$B,$A609,'Таблиця 1'!$E:$E,"ОВТ",'Таблиця 1'!$L:$L,"Уражено"))</f>
        <v/>
      </c>
      <c r="E609">
        <f>IF($A609="","",COUNTIFS('Таблиця 1'!$B:$B,$A609,'Таблиця 1'!$E:$E,"ППО",'Таблиця 1'!$L:$L,"Уражено"))</f>
        <v/>
      </c>
      <c r="F609">
        <f>IF($A609="","",COUNTIFS('Таблиця 1'!$B:$B,$A609,'Таблиця 1'!$E:$E,"Рембаза",'Таблиця 1'!$L:$L,"Уражено"))</f>
        <v/>
      </c>
      <c r="G609">
        <f>IF($A609="","",COUNTIFS('Таблиця 1'!$B:$B,$A609,'Таблиця 1'!$E:$E,"Склад БК",'Таблиця 1'!$L:$L,"Уражено"))</f>
        <v/>
      </c>
      <c r="H609">
        <f>IF($A609="","",COUNTIFS('Таблиця 1'!$B:$B,$A609,'Таблиця 1'!$E:$E,"Склад ВТМ",'Таблиця 1'!$L:$L,"Уражено"))</f>
        <v/>
      </c>
      <c r="I609">
        <f>IF($A609="","",COUNTIFS('Таблиця 1'!$B:$B,$A609,'Таблиця 1'!$E:$E,"ПУ БпЛА",'Таблиця 1'!$L:$L,"Уражено"))</f>
        <v/>
      </c>
      <c r="J609">
        <f>IF($A609="","",COUNTIFS('Таблиця 1'!$B:$B,$A609,'Таблиця 1'!$E:$E,"СП",'Таблиця 1'!$L:$L,"Уражено"))</f>
        <v/>
      </c>
      <c r="K609">
        <f>IF($A609="","",COUNTIFS('Таблиця 1'!$B:$B,$A609,'Таблиця 1'!$E:$E,"КСП роти",'Таблиця 1'!$L:$L,"Уражено"))</f>
        <v/>
      </c>
      <c r="L609">
        <f>IF($A609="","",COUNTIFS('Таблиця 1'!$B:$B,$A609,'Таблиця 1'!$E:$E,"ПУ бат",'Таблиця 1'!$L:$L,"Уражено"))</f>
        <v/>
      </c>
      <c r="M609">
        <f>IF($A609="","",COUNTIFS('Таблиця 1'!$B:$B,$A609,'Таблиця 1'!$E:$E,"ПУ бриг",'Таблиця 1'!$L:$L,"Уражено"))</f>
        <v/>
      </c>
      <c r="N609">
        <f>IF($A609="","",COUNTIFS('Таблиця 1'!$B:$B,$A609,'Таблиця 1'!$E:$E,"ПУ див",'Таблиця 1'!$L:$L,"Уражено"))</f>
        <v/>
      </c>
      <c r="O609">
        <f>IF($A609="","",COUNTIFS('Таблиця 1'!$B:$B,$A609,'Таблиця 1'!$E:$E,"обл. РЕБ",'Таблиця 1'!$L:$L,"Уражено"))</f>
        <v/>
      </c>
      <c r="P609">
        <f>IF($A609="","",COUNTIFS('Таблиця 1'!$B:$B,$A609,'Таблиця 1'!$E:$E,"пос РЕБ",'Таблиця 1'!$L:$L,"Уражено"))</f>
        <v/>
      </c>
      <c r="Q609">
        <f>IF($A609="","",COUNTIFS('Таблиця 1'!$B:$B,$A609,'Таблиця 1'!$E:$E,"група РЕР",'Таблиця 1'!$L:$L,"Уражено"))</f>
        <v/>
      </c>
      <c r="R609">
        <f>IF($A609="","",COUNTIFS('Таблиця 1'!$B:$B,$A609,'Таблиця 1'!$E:$E,"РЛС КББ",'Таблиця 1'!$L:$L,"Уражено"))</f>
        <v/>
      </c>
      <c r="S609">
        <f>IF($A609="","",COUNTIFS('Таблиця 1'!$B:$B,$A609,'Таблиця 1'!$E:$E,"Ретранслятор",'Таблиця 1'!$L:$L,"Уражено"))</f>
        <v/>
      </c>
      <c r="T609">
        <f>IF($A609="","",COUNTIFS('Таблиця 1'!$B:$B,$A609,'Таблиця 1'!$E:$E,"Вз.зв'язку",'Таблиця 1'!$L:$L,"Уражено"))</f>
        <v/>
      </c>
      <c r="U609">
        <f>IF($A609="","",COUNTIFS('Таблиця 1'!$B:$B,$A609,'Таблиця 1'!$E:$E,"ПММ",'Таблиця 1'!$L:$L,"Уражено"))</f>
        <v/>
      </c>
      <c r="V609">
        <f>IF($A609="","",COUNTIFS('Таблиця 1'!$B:$B,$A609,'Таблиця 1'!$E:$E,"ІФС",'Таблиця 1'!$L:$L,"Уражено"))</f>
        <v/>
      </c>
      <c r="W609">
        <f>IF($A609="","",COUNTIFS('Таблиця 1'!$B:$B,$A609,'Таблиця 1'!$E:$E,"Інфраструктура",'Таблиця 1'!$L:$L,"Уражено"))</f>
        <v/>
      </c>
      <c r="X609">
        <f>IF($A609="","",SUMIFS('Таблиця 1'!$K:$K,'Таблиця 1'!$B:$B,$A609))</f>
        <v/>
      </c>
    </row>
    <row r="610">
      <c r="A610" s="81">
        <f>IF(A609="","",IF(A609+1&gt;MAX('Таблиця 1'!$B:$B),"",A609+1))</f>
        <v/>
      </c>
      <c r="B610">
        <f>IF($A610="","",COUNTIFS('Таблиця 1'!$B:$B,$A610,'Таблиця 1'!$E:$E,"ЖС ВЗ",'Таблиця 1'!$L:$L,"Уражено"))</f>
        <v/>
      </c>
      <c r="C610">
        <f>IF($A610="","",COUNTIFS('Таблиця 1'!$B:$B,$A610,'Таблиця 1'!$E:$E,"Арт. Системи",'Таблиця 1'!$L:$L,"Уражено"))</f>
        <v/>
      </c>
      <c r="D610">
        <f>IF($A610="","",COUNTIFS('Таблиця 1'!$B:$B,$A610,'Таблиця 1'!$E:$E,"ОВТ",'Таблиця 1'!$L:$L,"Уражено"))</f>
        <v/>
      </c>
      <c r="E610">
        <f>IF($A610="","",COUNTIFS('Таблиця 1'!$B:$B,$A610,'Таблиця 1'!$E:$E,"ППО",'Таблиця 1'!$L:$L,"Уражено"))</f>
        <v/>
      </c>
      <c r="F610">
        <f>IF($A610="","",COUNTIFS('Таблиця 1'!$B:$B,$A610,'Таблиця 1'!$E:$E,"Рембаза",'Таблиця 1'!$L:$L,"Уражено"))</f>
        <v/>
      </c>
      <c r="G610">
        <f>IF($A610="","",COUNTIFS('Таблиця 1'!$B:$B,$A610,'Таблиця 1'!$E:$E,"Склад БК",'Таблиця 1'!$L:$L,"Уражено"))</f>
        <v/>
      </c>
      <c r="H610">
        <f>IF($A610="","",COUNTIFS('Таблиця 1'!$B:$B,$A610,'Таблиця 1'!$E:$E,"Склад ВТМ",'Таблиця 1'!$L:$L,"Уражено"))</f>
        <v/>
      </c>
      <c r="I610">
        <f>IF($A610="","",COUNTIFS('Таблиця 1'!$B:$B,$A610,'Таблиця 1'!$E:$E,"ПУ БпЛА",'Таблиця 1'!$L:$L,"Уражено"))</f>
        <v/>
      </c>
      <c r="J610">
        <f>IF($A610="","",COUNTIFS('Таблиця 1'!$B:$B,$A610,'Таблиця 1'!$E:$E,"СП",'Таблиця 1'!$L:$L,"Уражено"))</f>
        <v/>
      </c>
      <c r="K610">
        <f>IF($A610="","",COUNTIFS('Таблиця 1'!$B:$B,$A610,'Таблиця 1'!$E:$E,"КСП роти",'Таблиця 1'!$L:$L,"Уражено"))</f>
        <v/>
      </c>
      <c r="L610">
        <f>IF($A610="","",COUNTIFS('Таблиця 1'!$B:$B,$A610,'Таблиця 1'!$E:$E,"ПУ бат",'Таблиця 1'!$L:$L,"Уражено"))</f>
        <v/>
      </c>
      <c r="M610">
        <f>IF($A610="","",COUNTIFS('Таблиця 1'!$B:$B,$A610,'Таблиця 1'!$E:$E,"ПУ бриг",'Таблиця 1'!$L:$L,"Уражено"))</f>
        <v/>
      </c>
      <c r="N610">
        <f>IF($A610="","",COUNTIFS('Таблиця 1'!$B:$B,$A610,'Таблиця 1'!$E:$E,"ПУ див",'Таблиця 1'!$L:$L,"Уражено"))</f>
        <v/>
      </c>
      <c r="O610">
        <f>IF($A610="","",COUNTIFS('Таблиця 1'!$B:$B,$A610,'Таблиця 1'!$E:$E,"обл. РЕБ",'Таблиця 1'!$L:$L,"Уражено"))</f>
        <v/>
      </c>
      <c r="P610">
        <f>IF($A610="","",COUNTIFS('Таблиця 1'!$B:$B,$A610,'Таблиця 1'!$E:$E,"пос РЕБ",'Таблиця 1'!$L:$L,"Уражено"))</f>
        <v/>
      </c>
      <c r="Q610">
        <f>IF($A610="","",COUNTIFS('Таблиця 1'!$B:$B,$A610,'Таблиця 1'!$E:$E,"група РЕР",'Таблиця 1'!$L:$L,"Уражено"))</f>
        <v/>
      </c>
      <c r="R610">
        <f>IF($A610="","",COUNTIFS('Таблиця 1'!$B:$B,$A610,'Таблиця 1'!$E:$E,"РЛС КББ",'Таблиця 1'!$L:$L,"Уражено"))</f>
        <v/>
      </c>
      <c r="S610">
        <f>IF($A610="","",COUNTIFS('Таблиця 1'!$B:$B,$A610,'Таблиця 1'!$E:$E,"Ретранслятор",'Таблиця 1'!$L:$L,"Уражено"))</f>
        <v/>
      </c>
      <c r="T610">
        <f>IF($A610="","",COUNTIFS('Таблиця 1'!$B:$B,$A610,'Таблиця 1'!$E:$E,"Вз.зв'язку",'Таблиця 1'!$L:$L,"Уражено"))</f>
        <v/>
      </c>
      <c r="U610">
        <f>IF($A610="","",COUNTIFS('Таблиця 1'!$B:$B,$A610,'Таблиця 1'!$E:$E,"ПММ",'Таблиця 1'!$L:$L,"Уражено"))</f>
        <v/>
      </c>
      <c r="V610">
        <f>IF($A610="","",COUNTIFS('Таблиця 1'!$B:$B,$A610,'Таблиця 1'!$E:$E,"ІФС",'Таблиця 1'!$L:$L,"Уражено"))</f>
        <v/>
      </c>
      <c r="W610">
        <f>IF($A610="","",COUNTIFS('Таблиця 1'!$B:$B,$A610,'Таблиця 1'!$E:$E,"Інфраструктура",'Таблиця 1'!$L:$L,"Уражено"))</f>
        <v/>
      </c>
      <c r="X610">
        <f>IF($A610="","",SUMIFS('Таблиця 1'!$K:$K,'Таблиця 1'!$B:$B,$A610))</f>
        <v/>
      </c>
    </row>
    <row r="611">
      <c r="A611" s="81">
        <f>IF(A610="","",IF(A610+1&gt;MAX('Таблиця 1'!$B:$B),"",A610+1))</f>
        <v/>
      </c>
      <c r="B611">
        <f>IF($A611="","",COUNTIFS('Таблиця 1'!$B:$B,$A611,'Таблиця 1'!$E:$E,"ЖС ВЗ",'Таблиця 1'!$L:$L,"Уражено"))</f>
        <v/>
      </c>
      <c r="C611">
        <f>IF($A611="","",COUNTIFS('Таблиця 1'!$B:$B,$A611,'Таблиця 1'!$E:$E,"Арт. Системи",'Таблиця 1'!$L:$L,"Уражено"))</f>
        <v/>
      </c>
      <c r="D611">
        <f>IF($A611="","",COUNTIFS('Таблиця 1'!$B:$B,$A611,'Таблиця 1'!$E:$E,"ОВТ",'Таблиця 1'!$L:$L,"Уражено"))</f>
        <v/>
      </c>
      <c r="E611">
        <f>IF($A611="","",COUNTIFS('Таблиця 1'!$B:$B,$A611,'Таблиця 1'!$E:$E,"ППО",'Таблиця 1'!$L:$L,"Уражено"))</f>
        <v/>
      </c>
      <c r="F611">
        <f>IF($A611="","",COUNTIFS('Таблиця 1'!$B:$B,$A611,'Таблиця 1'!$E:$E,"Рембаза",'Таблиця 1'!$L:$L,"Уражено"))</f>
        <v/>
      </c>
      <c r="G611">
        <f>IF($A611="","",COUNTIFS('Таблиця 1'!$B:$B,$A611,'Таблиця 1'!$E:$E,"Склад БК",'Таблиця 1'!$L:$L,"Уражено"))</f>
        <v/>
      </c>
      <c r="H611">
        <f>IF($A611="","",COUNTIFS('Таблиця 1'!$B:$B,$A611,'Таблиця 1'!$E:$E,"Склад ВТМ",'Таблиця 1'!$L:$L,"Уражено"))</f>
        <v/>
      </c>
      <c r="I611">
        <f>IF($A611="","",COUNTIFS('Таблиця 1'!$B:$B,$A611,'Таблиця 1'!$E:$E,"ПУ БпЛА",'Таблиця 1'!$L:$L,"Уражено"))</f>
        <v/>
      </c>
      <c r="J611">
        <f>IF($A611="","",COUNTIFS('Таблиця 1'!$B:$B,$A611,'Таблиця 1'!$E:$E,"СП",'Таблиця 1'!$L:$L,"Уражено"))</f>
        <v/>
      </c>
      <c r="K611">
        <f>IF($A611="","",COUNTIFS('Таблиця 1'!$B:$B,$A611,'Таблиця 1'!$E:$E,"КСП роти",'Таблиця 1'!$L:$L,"Уражено"))</f>
        <v/>
      </c>
      <c r="L611">
        <f>IF($A611="","",COUNTIFS('Таблиця 1'!$B:$B,$A611,'Таблиця 1'!$E:$E,"ПУ бат",'Таблиця 1'!$L:$L,"Уражено"))</f>
        <v/>
      </c>
      <c r="M611">
        <f>IF($A611="","",COUNTIFS('Таблиця 1'!$B:$B,$A611,'Таблиця 1'!$E:$E,"ПУ бриг",'Таблиця 1'!$L:$L,"Уражено"))</f>
        <v/>
      </c>
      <c r="N611">
        <f>IF($A611="","",COUNTIFS('Таблиця 1'!$B:$B,$A611,'Таблиця 1'!$E:$E,"ПУ див",'Таблиця 1'!$L:$L,"Уражено"))</f>
        <v/>
      </c>
      <c r="O611">
        <f>IF($A611="","",COUNTIFS('Таблиця 1'!$B:$B,$A611,'Таблиця 1'!$E:$E,"обл. РЕБ",'Таблиця 1'!$L:$L,"Уражено"))</f>
        <v/>
      </c>
      <c r="P611">
        <f>IF($A611="","",COUNTIFS('Таблиця 1'!$B:$B,$A611,'Таблиця 1'!$E:$E,"пос РЕБ",'Таблиця 1'!$L:$L,"Уражено"))</f>
        <v/>
      </c>
      <c r="Q611">
        <f>IF($A611="","",COUNTIFS('Таблиця 1'!$B:$B,$A611,'Таблиця 1'!$E:$E,"група РЕР",'Таблиця 1'!$L:$L,"Уражено"))</f>
        <v/>
      </c>
      <c r="R611">
        <f>IF($A611="","",COUNTIFS('Таблиця 1'!$B:$B,$A611,'Таблиця 1'!$E:$E,"РЛС КББ",'Таблиця 1'!$L:$L,"Уражено"))</f>
        <v/>
      </c>
      <c r="S611">
        <f>IF($A611="","",COUNTIFS('Таблиця 1'!$B:$B,$A611,'Таблиця 1'!$E:$E,"Ретранслятор",'Таблиця 1'!$L:$L,"Уражено"))</f>
        <v/>
      </c>
      <c r="T611">
        <f>IF($A611="","",COUNTIFS('Таблиця 1'!$B:$B,$A611,'Таблиця 1'!$E:$E,"Вз.зв'язку",'Таблиця 1'!$L:$L,"Уражено"))</f>
        <v/>
      </c>
      <c r="U611">
        <f>IF($A611="","",COUNTIFS('Таблиця 1'!$B:$B,$A611,'Таблиця 1'!$E:$E,"ПММ",'Таблиця 1'!$L:$L,"Уражено"))</f>
        <v/>
      </c>
      <c r="V611">
        <f>IF($A611="","",COUNTIFS('Таблиця 1'!$B:$B,$A611,'Таблиця 1'!$E:$E,"ІФС",'Таблиця 1'!$L:$L,"Уражено"))</f>
        <v/>
      </c>
      <c r="W611">
        <f>IF($A611="","",COUNTIFS('Таблиця 1'!$B:$B,$A611,'Таблиця 1'!$E:$E,"Інфраструктура",'Таблиця 1'!$L:$L,"Уражено"))</f>
        <v/>
      </c>
      <c r="X611">
        <f>IF($A611="","",SUMIFS('Таблиця 1'!$K:$K,'Таблиця 1'!$B:$B,$A611))</f>
        <v/>
      </c>
    </row>
    <row r="612">
      <c r="A612" s="81">
        <f>IF(A611="","",IF(A611+1&gt;MAX('Таблиця 1'!$B:$B),"",A611+1))</f>
        <v/>
      </c>
      <c r="B612">
        <f>IF($A612="","",COUNTIFS('Таблиця 1'!$B:$B,$A612,'Таблиця 1'!$E:$E,"ЖС ВЗ",'Таблиця 1'!$L:$L,"Уражено"))</f>
        <v/>
      </c>
      <c r="C612">
        <f>IF($A612="","",COUNTIFS('Таблиця 1'!$B:$B,$A612,'Таблиця 1'!$E:$E,"Арт. Системи",'Таблиця 1'!$L:$L,"Уражено"))</f>
        <v/>
      </c>
      <c r="D612">
        <f>IF($A612="","",COUNTIFS('Таблиця 1'!$B:$B,$A612,'Таблиця 1'!$E:$E,"ОВТ",'Таблиця 1'!$L:$L,"Уражено"))</f>
        <v/>
      </c>
      <c r="E612">
        <f>IF($A612="","",COUNTIFS('Таблиця 1'!$B:$B,$A612,'Таблиця 1'!$E:$E,"ППО",'Таблиця 1'!$L:$L,"Уражено"))</f>
        <v/>
      </c>
      <c r="F612">
        <f>IF($A612="","",COUNTIFS('Таблиця 1'!$B:$B,$A612,'Таблиця 1'!$E:$E,"Рембаза",'Таблиця 1'!$L:$L,"Уражено"))</f>
        <v/>
      </c>
      <c r="G612">
        <f>IF($A612="","",COUNTIFS('Таблиця 1'!$B:$B,$A612,'Таблиця 1'!$E:$E,"Склад БК",'Таблиця 1'!$L:$L,"Уражено"))</f>
        <v/>
      </c>
      <c r="H612">
        <f>IF($A612="","",COUNTIFS('Таблиця 1'!$B:$B,$A612,'Таблиця 1'!$E:$E,"Склад ВТМ",'Таблиця 1'!$L:$L,"Уражено"))</f>
        <v/>
      </c>
      <c r="I612">
        <f>IF($A612="","",COUNTIFS('Таблиця 1'!$B:$B,$A612,'Таблиця 1'!$E:$E,"ПУ БпЛА",'Таблиця 1'!$L:$L,"Уражено"))</f>
        <v/>
      </c>
      <c r="J612">
        <f>IF($A612="","",COUNTIFS('Таблиця 1'!$B:$B,$A612,'Таблиця 1'!$E:$E,"СП",'Таблиця 1'!$L:$L,"Уражено"))</f>
        <v/>
      </c>
      <c r="K612">
        <f>IF($A612="","",COUNTIFS('Таблиця 1'!$B:$B,$A612,'Таблиця 1'!$E:$E,"КСП роти",'Таблиця 1'!$L:$L,"Уражено"))</f>
        <v/>
      </c>
      <c r="L612">
        <f>IF($A612="","",COUNTIFS('Таблиця 1'!$B:$B,$A612,'Таблиця 1'!$E:$E,"ПУ бат",'Таблиця 1'!$L:$L,"Уражено"))</f>
        <v/>
      </c>
      <c r="M612">
        <f>IF($A612="","",COUNTIFS('Таблиця 1'!$B:$B,$A612,'Таблиця 1'!$E:$E,"ПУ бриг",'Таблиця 1'!$L:$L,"Уражено"))</f>
        <v/>
      </c>
      <c r="N612">
        <f>IF($A612="","",COUNTIFS('Таблиця 1'!$B:$B,$A612,'Таблиця 1'!$E:$E,"ПУ див",'Таблиця 1'!$L:$L,"Уражено"))</f>
        <v/>
      </c>
      <c r="O612">
        <f>IF($A612="","",COUNTIFS('Таблиця 1'!$B:$B,$A612,'Таблиця 1'!$E:$E,"обл. РЕБ",'Таблиця 1'!$L:$L,"Уражено"))</f>
        <v/>
      </c>
      <c r="P612">
        <f>IF($A612="","",COUNTIFS('Таблиця 1'!$B:$B,$A612,'Таблиця 1'!$E:$E,"пос РЕБ",'Таблиця 1'!$L:$L,"Уражено"))</f>
        <v/>
      </c>
      <c r="Q612">
        <f>IF($A612="","",COUNTIFS('Таблиця 1'!$B:$B,$A612,'Таблиця 1'!$E:$E,"група РЕР",'Таблиця 1'!$L:$L,"Уражено"))</f>
        <v/>
      </c>
      <c r="R612">
        <f>IF($A612="","",COUNTIFS('Таблиця 1'!$B:$B,$A612,'Таблиця 1'!$E:$E,"РЛС КББ",'Таблиця 1'!$L:$L,"Уражено"))</f>
        <v/>
      </c>
      <c r="S612">
        <f>IF($A612="","",COUNTIFS('Таблиця 1'!$B:$B,$A612,'Таблиця 1'!$E:$E,"Ретранслятор",'Таблиця 1'!$L:$L,"Уражено"))</f>
        <v/>
      </c>
      <c r="T612">
        <f>IF($A612="","",COUNTIFS('Таблиця 1'!$B:$B,$A612,'Таблиця 1'!$E:$E,"Вз.зв'язку",'Таблиця 1'!$L:$L,"Уражено"))</f>
        <v/>
      </c>
      <c r="U612">
        <f>IF($A612="","",COUNTIFS('Таблиця 1'!$B:$B,$A612,'Таблиця 1'!$E:$E,"ПММ",'Таблиця 1'!$L:$L,"Уражено"))</f>
        <v/>
      </c>
      <c r="V612">
        <f>IF($A612="","",COUNTIFS('Таблиця 1'!$B:$B,$A612,'Таблиця 1'!$E:$E,"ІФС",'Таблиця 1'!$L:$L,"Уражено"))</f>
        <v/>
      </c>
      <c r="W612">
        <f>IF($A612="","",COUNTIFS('Таблиця 1'!$B:$B,$A612,'Таблиця 1'!$E:$E,"Інфраструктура",'Таблиця 1'!$L:$L,"Уражено"))</f>
        <v/>
      </c>
      <c r="X612">
        <f>IF($A612="","",SUMIFS('Таблиця 1'!$K:$K,'Таблиця 1'!$B:$B,$A612))</f>
        <v/>
      </c>
    </row>
    <row r="613">
      <c r="A613" s="81">
        <f>IF(A612="","",IF(A612+1&gt;MAX('Таблиця 1'!$B:$B),"",A612+1))</f>
        <v/>
      </c>
      <c r="B613">
        <f>IF($A613="","",COUNTIFS('Таблиця 1'!$B:$B,$A613,'Таблиця 1'!$E:$E,"ЖС ВЗ",'Таблиця 1'!$L:$L,"Уражено"))</f>
        <v/>
      </c>
      <c r="C613">
        <f>IF($A613="","",COUNTIFS('Таблиця 1'!$B:$B,$A613,'Таблиця 1'!$E:$E,"Арт. Системи",'Таблиця 1'!$L:$L,"Уражено"))</f>
        <v/>
      </c>
      <c r="D613">
        <f>IF($A613="","",COUNTIFS('Таблиця 1'!$B:$B,$A613,'Таблиця 1'!$E:$E,"ОВТ",'Таблиця 1'!$L:$L,"Уражено"))</f>
        <v/>
      </c>
      <c r="E613">
        <f>IF($A613="","",COUNTIFS('Таблиця 1'!$B:$B,$A613,'Таблиця 1'!$E:$E,"ППО",'Таблиця 1'!$L:$L,"Уражено"))</f>
        <v/>
      </c>
      <c r="F613">
        <f>IF($A613="","",COUNTIFS('Таблиця 1'!$B:$B,$A613,'Таблиця 1'!$E:$E,"Рембаза",'Таблиця 1'!$L:$L,"Уражено"))</f>
        <v/>
      </c>
      <c r="G613">
        <f>IF($A613="","",COUNTIFS('Таблиця 1'!$B:$B,$A613,'Таблиця 1'!$E:$E,"Склад БК",'Таблиця 1'!$L:$L,"Уражено"))</f>
        <v/>
      </c>
      <c r="H613">
        <f>IF($A613="","",COUNTIFS('Таблиця 1'!$B:$B,$A613,'Таблиця 1'!$E:$E,"Склад ВТМ",'Таблиця 1'!$L:$L,"Уражено"))</f>
        <v/>
      </c>
      <c r="I613">
        <f>IF($A613="","",COUNTIFS('Таблиця 1'!$B:$B,$A613,'Таблиця 1'!$E:$E,"ПУ БпЛА",'Таблиця 1'!$L:$L,"Уражено"))</f>
        <v/>
      </c>
      <c r="J613">
        <f>IF($A613="","",COUNTIFS('Таблиця 1'!$B:$B,$A613,'Таблиця 1'!$E:$E,"СП",'Таблиця 1'!$L:$L,"Уражено"))</f>
        <v/>
      </c>
      <c r="K613">
        <f>IF($A613="","",COUNTIFS('Таблиця 1'!$B:$B,$A613,'Таблиця 1'!$E:$E,"КСП роти",'Таблиця 1'!$L:$L,"Уражено"))</f>
        <v/>
      </c>
      <c r="L613">
        <f>IF($A613="","",COUNTIFS('Таблиця 1'!$B:$B,$A613,'Таблиця 1'!$E:$E,"ПУ бат",'Таблиця 1'!$L:$L,"Уражено"))</f>
        <v/>
      </c>
      <c r="M613">
        <f>IF($A613="","",COUNTIFS('Таблиця 1'!$B:$B,$A613,'Таблиця 1'!$E:$E,"ПУ бриг",'Таблиця 1'!$L:$L,"Уражено"))</f>
        <v/>
      </c>
      <c r="N613">
        <f>IF($A613="","",COUNTIFS('Таблиця 1'!$B:$B,$A613,'Таблиця 1'!$E:$E,"ПУ див",'Таблиця 1'!$L:$L,"Уражено"))</f>
        <v/>
      </c>
      <c r="O613">
        <f>IF($A613="","",COUNTIFS('Таблиця 1'!$B:$B,$A613,'Таблиця 1'!$E:$E,"обл. РЕБ",'Таблиця 1'!$L:$L,"Уражено"))</f>
        <v/>
      </c>
      <c r="P613">
        <f>IF($A613="","",COUNTIFS('Таблиця 1'!$B:$B,$A613,'Таблиця 1'!$E:$E,"пос РЕБ",'Таблиця 1'!$L:$L,"Уражено"))</f>
        <v/>
      </c>
      <c r="Q613">
        <f>IF($A613="","",COUNTIFS('Таблиця 1'!$B:$B,$A613,'Таблиця 1'!$E:$E,"група РЕР",'Таблиця 1'!$L:$L,"Уражено"))</f>
        <v/>
      </c>
      <c r="R613">
        <f>IF($A613="","",COUNTIFS('Таблиця 1'!$B:$B,$A613,'Таблиця 1'!$E:$E,"РЛС КББ",'Таблиця 1'!$L:$L,"Уражено"))</f>
        <v/>
      </c>
      <c r="S613">
        <f>IF($A613="","",COUNTIFS('Таблиця 1'!$B:$B,$A613,'Таблиця 1'!$E:$E,"Ретранслятор",'Таблиця 1'!$L:$L,"Уражено"))</f>
        <v/>
      </c>
      <c r="T613">
        <f>IF($A613="","",COUNTIFS('Таблиця 1'!$B:$B,$A613,'Таблиця 1'!$E:$E,"Вз.зв'язку",'Таблиця 1'!$L:$L,"Уражено"))</f>
        <v/>
      </c>
      <c r="U613">
        <f>IF($A613="","",COUNTIFS('Таблиця 1'!$B:$B,$A613,'Таблиця 1'!$E:$E,"ПММ",'Таблиця 1'!$L:$L,"Уражено"))</f>
        <v/>
      </c>
      <c r="V613">
        <f>IF($A613="","",COUNTIFS('Таблиця 1'!$B:$B,$A613,'Таблиця 1'!$E:$E,"ІФС",'Таблиця 1'!$L:$L,"Уражено"))</f>
        <v/>
      </c>
      <c r="W613">
        <f>IF($A613="","",COUNTIFS('Таблиця 1'!$B:$B,$A613,'Таблиця 1'!$E:$E,"Інфраструктура",'Таблиця 1'!$L:$L,"Уражено"))</f>
        <v/>
      </c>
      <c r="X613">
        <f>IF($A613="","",SUMIFS('Таблиця 1'!$K:$K,'Таблиця 1'!$B:$B,$A613))</f>
        <v/>
      </c>
    </row>
    <row r="614">
      <c r="A614" s="81">
        <f>IF(A613="","",IF(A613+1&gt;MAX('Таблиця 1'!$B:$B),"",A613+1))</f>
        <v/>
      </c>
      <c r="B614">
        <f>IF($A614="","",COUNTIFS('Таблиця 1'!$B:$B,$A614,'Таблиця 1'!$E:$E,"ЖС ВЗ",'Таблиця 1'!$L:$L,"Уражено"))</f>
        <v/>
      </c>
      <c r="C614">
        <f>IF($A614="","",COUNTIFS('Таблиця 1'!$B:$B,$A614,'Таблиця 1'!$E:$E,"Арт. Системи",'Таблиця 1'!$L:$L,"Уражено"))</f>
        <v/>
      </c>
      <c r="D614">
        <f>IF($A614="","",COUNTIFS('Таблиця 1'!$B:$B,$A614,'Таблиця 1'!$E:$E,"ОВТ",'Таблиця 1'!$L:$L,"Уражено"))</f>
        <v/>
      </c>
      <c r="E614">
        <f>IF($A614="","",COUNTIFS('Таблиця 1'!$B:$B,$A614,'Таблиця 1'!$E:$E,"ППО",'Таблиця 1'!$L:$L,"Уражено"))</f>
        <v/>
      </c>
      <c r="F614">
        <f>IF($A614="","",COUNTIFS('Таблиця 1'!$B:$B,$A614,'Таблиця 1'!$E:$E,"Рембаза",'Таблиця 1'!$L:$L,"Уражено"))</f>
        <v/>
      </c>
      <c r="G614">
        <f>IF($A614="","",COUNTIFS('Таблиця 1'!$B:$B,$A614,'Таблиця 1'!$E:$E,"Склад БК",'Таблиця 1'!$L:$L,"Уражено"))</f>
        <v/>
      </c>
      <c r="H614">
        <f>IF($A614="","",COUNTIFS('Таблиця 1'!$B:$B,$A614,'Таблиця 1'!$E:$E,"Склад ВТМ",'Таблиця 1'!$L:$L,"Уражено"))</f>
        <v/>
      </c>
      <c r="I614">
        <f>IF($A614="","",COUNTIFS('Таблиця 1'!$B:$B,$A614,'Таблиця 1'!$E:$E,"ПУ БпЛА",'Таблиця 1'!$L:$L,"Уражено"))</f>
        <v/>
      </c>
      <c r="J614">
        <f>IF($A614="","",COUNTIFS('Таблиця 1'!$B:$B,$A614,'Таблиця 1'!$E:$E,"СП",'Таблиця 1'!$L:$L,"Уражено"))</f>
        <v/>
      </c>
      <c r="K614">
        <f>IF($A614="","",COUNTIFS('Таблиця 1'!$B:$B,$A614,'Таблиця 1'!$E:$E,"КСП роти",'Таблиця 1'!$L:$L,"Уражено"))</f>
        <v/>
      </c>
      <c r="L614">
        <f>IF($A614="","",COUNTIFS('Таблиця 1'!$B:$B,$A614,'Таблиця 1'!$E:$E,"ПУ бат",'Таблиця 1'!$L:$L,"Уражено"))</f>
        <v/>
      </c>
      <c r="M614">
        <f>IF($A614="","",COUNTIFS('Таблиця 1'!$B:$B,$A614,'Таблиця 1'!$E:$E,"ПУ бриг",'Таблиця 1'!$L:$L,"Уражено"))</f>
        <v/>
      </c>
      <c r="N614">
        <f>IF($A614="","",COUNTIFS('Таблиця 1'!$B:$B,$A614,'Таблиця 1'!$E:$E,"ПУ див",'Таблиця 1'!$L:$L,"Уражено"))</f>
        <v/>
      </c>
      <c r="O614">
        <f>IF($A614="","",COUNTIFS('Таблиця 1'!$B:$B,$A614,'Таблиця 1'!$E:$E,"обл. РЕБ",'Таблиця 1'!$L:$L,"Уражено"))</f>
        <v/>
      </c>
      <c r="P614">
        <f>IF($A614="","",COUNTIFS('Таблиця 1'!$B:$B,$A614,'Таблиця 1'!$E:$E,"пос РЕБ",'Таблиця 1'!$L:$L,"Уражено"))</f>
        <v/>
      </c>
      <c r="Q614">
        <f>IF($A614="","",COUNTIFS('Таблиця 1'!$B:$B,$A614,'Таблиця 1'!$E:$E,"група РЕР",'Таблиця 1'!$L:$L,"Уражено"))</f>
        <v/>
      </c>
      <c r="R614">
        <f>IF($A614="","",COUNTIFS('Таблиця 1'!$B:$B,$A614,'Таблиця 1'!$E:$E,"РЛС КББ",'Таблиця 1'!$L:$L,"Уражено"))</f>
        <v/>
      </c>
      <c r="S614">
        <f>IF($A614="","",COUNTIFS('Таблиця 1'!$B:$B,$A614,'Таблиця 1'!$E:$E,"Ретранслятор",'Таблиця 1'!$L:$L,"Уражено"))</f>
        <v/>
      </c>
      <c r="T614">
        <f>IF($A614="","",COUNTIFS('Таблиця 1'!$B:$B,$A614,'Таблиця 1'!$E:$E,"Вз.зв'язку",'Таблиця 1'!$L:$L,"Уражено"))</f>
        <v/>
      </c>
      <c r="U614">
        <f>IF($A614="","",COUNTIFS('Таблиця 1'!$B:$B,$A614,'Таблиця 1'!$E:$E,"ПММ",'Таблиця 1'!$L:$L,"Уражено"))</f>
        <v/>
      </c>
      <c r="V614">
        <f>IF($A614="","",COUNTIFS('Таблиця 1'!$B:$B,$A614,'Таблиця 1'!$E:$E,"ІФС",'Таблиця 1'!$L:$L,"Уражено"))</f>
        <v/>
      </c>
      <c r="W614">
        <f>IF($A614="","",COUNTIFS('Таблиця 1'!$B:$B,$A614,'Таблиця 1'!$E:$E,"Інфраструктура",'Таблиця 1'!$L:$L,"Уражено"))</f>
        <v/>
      </c>
      <c r="X614">
        <f>IF($A614="","",SUMIFS('Таблиця 1'!$K:$K,'Таблиця 1'!$B:$B,$A614))</f>
        <v/>
      </c>
    </row>
    <row r="615">
      <c r="A615" s="81">
        <f>IF(A614="","",IF(A614+1&gt;MAX('Таблиця 1'!$B:$B),"",A614+1))</f>
        <v/>
      </c>
      <c r="B615">
        <f>IF($A615="","",COUNTIFS('Таблиця 1'!$B:$B,$A615,'Таблиця 1'!$E:$E,"ЖС ВЗ",'Таблиця 1'!$L:$L,"Уражено"))</f>
        <v/>
      </c>
      <c r="C615">
        <f>IF($A615="","",COUNTIFS('Таблиця 1'!$B:$B,$A615,'Таблиця 1'!$E:$E,"Арт. Системи",'Таблиця 1'!$L:$L,"Уражено"))</f>
        <v/>
      </c>
      <c r="D615">
        <f>IF($A615="","",COUNTIFS('Таблиця 1'!$B:$B,$A615,'Таблиця 1'!$E:$E,"ОВТ",'Таблиця 1'!$L:$L,"Уражено"))</f>
        <v/>
      </c>
      <c r="E615">
        <f>IF($A615="","",COUNTIFS('Таблиця 1'!$B:$B,$A615,'Таблиця 1'!$E:$E,"ППО",'Таблиця 1'!$L:$L,"Уражено"))</f>
        <v/>
      </c>
      <c r="F615">
        <f>IF($A615="","",COUNTIFS('Таблиця 1'!$B:$B,$A615,'Таблиця 1'!$E:$E,"Рембаза",'Таблиця 1'!$L:$L,"Уражено"))</f>
        <v/>
      </c>
      <c r="G615">
        <f>IF($A615="","",COUNTIFS('Таблиця 1'!$B:$B,$A615,'Таблиця 1'!$E:$E,"Склад БК",'Таблиця 1'!$L:$L,"Уражено"))</f>
        <v/>
      </c>
      <c r="H615">
        <f>IF($A615="","",COUNTIFS('Таблиця 1'!$B:$B,$A615,'Таблиця 1'!$E:$E,"Склад ВТМ",'Таблиця 1'!$L:$L,"Уражено"))</f>
        <v/>
      </c>
      <c r="I615">
        <f>IF($A615="","",COUNTIFS('Таблиця 1'!$B:$B,$A615,'Таблиця 1'!$E:$E,"ПУ БпЛА",'Таблиця 1'!$L:$L,"Уражено"))</f>
        <v/>
      </c>
      <c r="J615">
        <f>IF($A615="","",COUNTIFS('Таблиця 1'!$B:$B,$A615,'Таблиця 1'!$E:$E,"СП",'Таблиця 1'!$L:$L,"Уражено"))</f>
        <v/>
      </c>
      <c r="K615">
        <f>IF($A615="","",COUNTIFS('Таблиця 1'!$B:$B,$A615,'Таблиця 1'!$E:$E,"КСП роти",'Таблиця 1'!$L:$L,"Уражено"))</f>
        <v/>
      </c>
      <c r="L615">
        <f>IF($A615="","",COUNTIFS('Таблиця 1'!$B:$B,$A615,'Таблиця 1'!$E:$E,"ПУ бат",'Таблиця 1'!$L:$L,"Уражено"))</f>
        <v/>
      </c>
      <c r="M615">
        <f>IF($A615="","",COUNTIFS('Таблиця 1'!$B:$B,$A615,'Таблиця 1'!$E:$E,"ПУ бриг",'Таблиця 1'!$L:$L,"Уражено"))</f>
        <v/>
      </c>
      <c r="N615">
        <f>IF($A615="","",COUNTIFS('Таблиця 1'!$B:$B,$A615,'Таблиця 1'!$E:$E,"ПУ див",'Таблиця 1'!$L:$L,"Уражено"))</f>
        <v/>
      </c>
      <c r="O615">
        <f>IF($A615="","",COUNTIFS('Таблиця 1'!$B:$B,$A615,'Таблиця 1'!$E:$E,"обл. РЕБ",'Таблиця 1'!$L:$L,"Уражено"))</f>
        <v/>
      </c>
      <c r="P615">
        <f>IF($A615="","",COUNTIFS('Таблиця 1'!$B:$B,$A615,'Таблиця 1'!$E:$E,"пос РЕБ",'Таблиця 1'!$L:$L,"Уражено"))</f>
        <v/>
      </c>
      <c r="Q615">
        <f>IF($A615="","",COUNTIFS('Таблиця 1'!$B:$B,$A615,'Таблиця 1'!$E:$E,"група РЕР",'Таблиця 1'!$L:$L,"Уражено"))</f>
        <v/>
      </c>
      <c r="R615">
        <f>IF($A615="","",COUNTIFS('Таблиця 1'!$B:$B,$A615,'Таблиця 1'!$E:$E,"РЛС КББ",'Таблиця 1'!$L:$L,"Уражено"))</f>
        <v/>
      </c>
      <c r="S615">
        <f>IF($A615="","",COUNTIFS('Таблиця 1'!$B:$B,$A615,'Таблиця 1'!$E:$E,"Ретранслятор",'Таблиця 1'!$L:$L,"Уражено"))</f>
        <v/>
      </c>
      <c r="T615">
        <f>IF($A615="","",COUNTIFS('Таблиця 1'!$B:$B,$A615,'Таблиця 1'!$E:$E,"Вз.зв'язку",'Таблиця 1'!$L:$L,"Уражено"))</f>
        <v/>
      </c>
      <c r="U615">
        <f>IF($A615="","",COUNTIFS('Таблиця 1'!$B:$B,$A615,'Таблиця 1'!$E:$E,"ПММ",'Таблиця 1'!$L:$L,"Уражено"))</f>
        <v/>
      </c>
      <c r="V615">
        <f>IF($A615="","",COUNTIFS('Таблиця 1'!$B:$B,$A615,'Таблиця 1'!$E:$E,"ІФС",'Таблиця 1'!$L:$L,"Уражено"))</f>
        <v/>
      </c>
      <c r="W615">
        <f>IF($A615="","",COUNTIFS('Таблиця 1'!$B:$B,$A615,'Таблиця 1'!$E:$E,"Інфраструктура",'Таблиця 1'!$L:$L,"Уражено"))</f>
        <v/>
      </c>
      <c r="X615">
        <f>IF($A615="","",SUMIFS('Таблиця 1'!$K:$K,'Таблиця 1'!$B:$B,$A615))</f>
        <v/>
      </c>
    </row>
    <row r="616">
      <c r="A616" s="81">
        <f>IF(A615="","",IF(A615+1&gt;MAX('Таблиця 1'!$B:$B),"",A615+1))</f>
        <v/>
      </c>
      <c r="B616">
        <f>IF($A616="","",COUNTIFS('Таблиця 1'!$B:$B,$A616,'Таблиця 1'!$E:$E,"ЖС ВЗ",'Таблиця 1'!$L:$L,"Уражено"))</f>
        <v/>
      </c>
      <c r="C616">
        <f>IF($A616="","",COUNTIFS('Таблиця 1'!$B:$B,$A616,'Таблиця 1'!$E:$E,"Арт. Системи",'Таблиця 1'!$L:$L,"Уражено"))</f>
        <v/>
      </c>
      <c r="D616">
        <f>IF($A616="","",COUNTIFS('Таблиця 1'!$B:$B,$A616,'Таблиця 1'!$E:$E,"ОВТ",'Таблиця 1'!$L:$L,"Уражено"))</f>
        <v/>
      </c>
      <c r="E616">
        <f>IF($A616="","",COUNTIFS('Таблиця 1'!$B:$B,$A616,'Таблиця 1'!$E:$E,"ППО",'Таблиця 1'!$L:$L,"Уражено"))</f>
        <v/>
      </c>
      <c r="F616">
        <f>IF($A616="","",COUNTIFS('Таблиця 1'!$B:$B,$A616,'Таблиця 1'!$E:$E,"Рембаза",'Таблиця 1'!$L:$L,"Уражено"))</f>
        <v/>
      </c>
      <c r="G616">
        <f>IF($A616="","",COUNTIFS('Таблиця 1'!$B:$B,$A616,'Таблиця 1'!$E:$E,"Склад БК",'Таблиця 1'!$L:$L,"Уражено"))</f>
        <v/>
      </c>
      <c r="H616">
        <f>IF($A616="","",COUNTIFS('Таблиця 1'!$B:$B,$A616,'Таблиця 1'!$E:$E,"Склад ВТМ",'Таблиця 1'!$L:$L,"Уражено"))</f>
        <v/>
      </c>
      <c r="I616">
        <f>IF($A616="","",COUNTIFS('Таблиця 1'!$B:$B,$A616,'Таблиця 1'!$E:$E,"ПУ БпЛА",'Таблиця 1'!$L:$L,"Уражено"))</f>
        <v/>
      </c>
      <c r="J616">
        <f>IF($A616="","",COUNTIFS('Таблиця 1'!$B:$B,$A616,'Таблиця 1'!$E:$E,"СП",'Таблиця 1'!$L:$L,"Уражено"))</f>
        <v/>
      </c>
      <c r="K616">
        <f>IF($A616="","",COUNTIFS('Таблиця 1'!$B:$B,$A616,'Таблиця 1'!$E:$E,"КСП роти",'Таблиця 1'!$L:$L,"Уражено"))</f>
        <v/>
      </c>
      <c r="L616">
        <f>IF($A616="","",COUNTIFS('Таблиця 1'!$B:$B,$A616,'Таблиця 1'!$E:$E,"ПУ бат",'Таблиця 1'!$L:$L,"Уражено"))</f>
        <v/>
      </c>
      <c r="M616">
        <f>IF($A616="","",COUNTIFS('Таблиця 1'!$B:$B,$A616,'Таблиця 1'!$E:$E,"ПУ бриг",'Таблиця 1'!$L:$L,"Уражено"))</f>
        <v/>
      </c>
      <c r="N616">
        <f>IF($A616="","",COUNTIFS('Таблиця 1'!$B:$B,$A616,'Таблиця 1'!$E:$E,"ПУ див",'Таблиця 1'!$L:$L,"Уражено"))</f>
        <v/>
      </c>
      <c r="O616">
        <f>IF($A616="","",COUNTIFS('Таблиця 1'!$B:$B,$A616,'Таблиця 1'!$E:$E,"обл. РЕБ",'Таблиця 1'!$L:$L,"Уражено"))</f>
        <v/>
      </c>
      <c r="P616">
        <f>IF($A616="","",COUNTIFS('Таблиця 1'!$B:$B,$A616,'Таблиця 1'!$E:$E,"пос РЕБ",'Таблиця 1'!$L:$L,"Уражено"))</f>
        <v/>
      </c>
      <c r="Q616">
        <f>IF($A616="","",COUNTIFS('Таблиця 1'!$B:$B,$A616,'Таблиця 1'!$E:$E,"група РЕР",'Таблиця 1'!$L:$L,"Уражено"))</f>
        <v/>
      </c>
      <c r="R616">
        <f>IF($A616="","",COUNTIFS('Таблиця 1'!$B:$B,$A616,'Таблиця 1'!$E:$E,"РЛС КББ",'Таблиця 1'!$L:$L,"Уражено"))</f>
        <v/>
      </c>
      <c r="S616">
        <f>IF($A616="","",COUNTIFS('Таблиця 1'!$B:$B,$A616,'Таблиця 1'!$E:$E,"Ретранслятор",'Таблиця 1'!$L:$L,"Уражено"))</f>
        <v/>
      </c>
      <c r="T616">
        <f>IF($A616="","",COUNTIFS('Таблиця 1'!$B:$B,$A616,'Таблиця 1'!$E:$E,"Вз.зв'язку",'Таблиця 1'!$L:$L,"Уражено"))</f>
        <v/>
      </c>
      <c r="U616">
        <f>IF($A616="","",COUNTIFS('Таблиця 1'!$B:$B,$A616,'Таблиця 1'!$E:$E,"ПММ",'Таблиця 1'!$L:$L,"Уражено"))</f>
        <v/>
      </c>
      <c r="V616">
        <f>IF($A616="","",COUNTIFS('Таблиця 1'!$B:$B,$A616,'Таблиця 1'!$E:$E,"ІФС",'Таблиця 1'!$L:$L,"Уражено"))</f>
        <v/>
      </c>
      <c r="W616">
        <f>IF($A616="","",COUNTIFS('Таблиця 1'!$B:$B,$A616,'Таблиця 1'!$E:$E,"Інфраструктура",'Таблиця 1'!$L:$L,"Уражено"))</f>
        <v/>
      </c>
      <c r="X616">
        <f>IF($A616="","",SUMIFS('Таблиця 1'!$K:$K,'Таблиця 1'!$B:$B,$A616))</f>
        <v/>
      </c>
    </row>
    <row r="617">
      <c r="A617" s="81">
        <f>IF(A616="","",IF(A616+1&gt;MAX('Таблиця 1'!$B:$B),"",A616+1))</f>
        <v/>
      </c>
      <c r="B617">
        <f>IF($A617="","",COUNTIFS('Таблиця 1'!$B:$B,$A617,'Таблиця 1'!$E:$E,"ЖС ВЗ",'Таблиця 1'!$L:$L,"Уражено"))</f>
        <v/>
      </c>
      <c r="C617">
        <f>IF($A617="","",COUNTIFS('Таблиця 1'!$B:$B,$A617,'Таблиця 1'!$E:$E,"Арт. Системи",'Таблиця 1'!$L:$L,"Уражено"))</f>
        <v/>
      </c>
      <c r="D617">
        <f>IF($A617="","",COUNTIFS('Таблиця 1'!$B:$B,$A617,'Таблиця 1'!$E:$E,"ОВТ",'Таблиця 1'!$L:$L,"Уражено"))</f>
        <v/>
      </c>
      <c r="E617">
        <f>IF($A617="","",COUNTIFS('Таблиця 1'!$B:$B,$A617,'Таблиця 1'!$E:$E,"ППО",'Таблиця 1'!$L:$L,"Уражено"))</f>
        <v/>
      </c>
      <c r="F617">
        <f>IF($A617="","",COUNTIFS('Таблиця 1'!$B:$B,$A617,'Таблиця 1'!$E:$E,"Рембаза",'Таблиця 1'!$L:$L,"Уражено"))</f>
        <v/>
      </c>
      <c r="G617">
        <f>IF($A617="","",COUNTIFS('Таблиця 1'!$B:$B,$A617,'Таблиця 1'!$E:$E,"Склад БК",'Таблиця 1'!$L:$L,"Уражено"))</f>
        <v/>
      </c>
      <c r="H617">
        <f>IF($A617="","",COUNTIFS('Таблиця 1'!$B:$B,$A617,'Таблиця 1'!$E:$E,"Склад ВТМ",'Таблиця 1'!$L:$L,"Уражено"))</f>
        <v/>
      </c>
      <c r="I617">
        <f>IF($A617="","",COUNTIFS('Таблиця 1'!$B:$B,$A617,'Таблиця 1'!$E:$E,"ПУ БпЛА",'Таблиця 1'!$L:$L,"Уражено"))</f>
        <v/>
      </c>
      <c r="J617">
        <f>IF($A617="","",COUNTIFS('Таблиця 1'!$B:$B,$A617,'Таблиця 1'!$E:$E,"СП",'Таблиця 1'!$L:$L,"Уражено"))</f>
        <v/>
      </c>
      <c r="K617">
        <f>IF($A617="","",COUNTIFS('Таблиця 1'!$B:$B,$A617,'Таблиця 1'!$E:$E,"КСП роти",'Таблиця 1'!$L:$L,"Уражено"))</f>
        <v/>
      </c>
      <c r="L617">
        <f>IF($A617="","",COUNTIFS('Таблиця 1'!$B:$B,$A617,'Таблиця 1'!$E:$E,"ПУ бат",'Таблиця 1'!$L:$L,"Уражено"))</f>
        <v/>
      </c>
      <c r="M617">
        <f>IF($A617="","",COUNTIFS('Таблиця 1'!$B:$B,$A617,'Таблиця 1'!$E:$E,"ПУ бриг",'Таблиця 1'!$L:$L,"Уражено"))</f>
        <v/>
      </c>
      <c r="N617">
        <f>IF($A617="","",COUNTIFS('Таблиця 1'!$B:$B,$A617,'Таблиця 1'!$E:$E,"ПУ див",'Таблиця 1'!$L:$L,"Уражено"))</f>
        <v/>
      </c>
      <c r="O617">
        <f>IF($A617="","",COUNTIFS('Таблиця 1'!$B:$B,$A617,'Таблиця 1'!$E:$E,"обл. РЕБ",'Таблиця 1'!$L:$L,"Уражено"))</f>
        <v/>
      </c>
      <c r="P617">
        <f>IF($A617="","",COUNTIFS('Таблиця 1'!$B:$B,$A617,'Таблиця 1'!$E:$E,"пос РЕБ",'Таблиця 1'!$L:$L,"Уражено"))</f>
        <v/>
      </c>
      <c r="Q617">
        <f>IF($A617="","",COUNTIFS('Таблиця 1'!$B:$B,$A617,'Таблиця 1'!$E:$E,"група РЕР",'Таблиця 1'!$L:$L,"Уражено"))</f>
        <v/>
      </c>
      <c r="R617">
        <f>IF($A617="","",COUNTIFS('Таблиця 1'!$B:$B,$A617,'Таблиця 1'!$E:$E,"РЛС КББ",'Таблиця 1'!$L:$L,"Уражено"))</f>
        <v/>
      </c>
      <c r="S617">
        <f>IF($A617="","",COUNTIFS('Таблиця 1'!$B:$B,$A617,'Таблиця 1'!$E:$E,"Ретранслятор",'Таблиця 1'!$L:$L,"Уражено"))</f>
        <v/>
      </c>
      <c r="T617">
        <f>IF($A617="","",COUNTIFS('Таблиця 1'!$B:$B,$A617,'Таблиця 1'!$E:$E,"Вз.зв'язку",'Таблиця 1'!$L:$L,"Уражено"))</f>
        <v/>
      </c>
      <c r="U617">
        <f>IF($A617="","",COUNTIFS('Таблиця 1'!$B:$B,$A617,'Таблиця 1'!$E:$E,"ПММ",'Таблиця 1'!$L:$L,"Уражено"))</f>
        <v/>
      </c>
      <c r="V617">
        <f>IF($A617="","",COUNTIFS('Таблиця 1'!$B:$B,$A617,'Таблиця 1'!$E:$E,"ІФС",'Таблиця 1'!$L:$L,"Уражено"))</f>
        <v/>
      </c>
      <c r="W617">
        <f>IF($A617="","",COUNTIFS('Таблиця 1'!$B:$B,$A617,'Таблиця 1'!$E:$E,"Інфраструктура",'Таблиця 1'!$L:$L,"Уражено"))</f>
        <v/>
      </c>
      <c r="X617">
        <f>IF($A617="","",SUMIFS('Таблиця 1'!$K:$K,'Таблиця 1'!$B:$B,$A617))</f>
        <v/>
      </c>
    </row>
    <row r="618">
      <c r="A618" s="81">
        <f>IF(A617="","",IF(A617+1&gt;MAX('Таблиця 1'!$B:$B),"",A617+1))</f>
        <v/>
      </c>
      <c r="B618">
        <f>IF($A618="","",COUNTIFS('Таблиця 1'!$B:$B,$A618,'Таблиця 1'!$E:$E,"ЖС ВЗ",'Таблиця 1'!$L:$L,"Уражено"))</f>
        <v/>
      </c>
      <c r="C618">
        <f>IF($A618="","",COUNTIFS('Таблиця 1'!$B:$B,$A618,'Таблиця 1'!$E:$E,"Арт. Системи",'Таблиця 1'!$L:$L,"Уражено"))</f>
        <v/>
      </c>
      <c r="D618">
        <f>IF($A618="","",COUNTIFS('Таблиця 1'!$B:$B,$A618,'Таблиця 1'!$E:$E,"ОВТ",'Таблиця 1'!$L:$L,"Уражено"))</f>
        <v/>
      </c>
      <c r="E618">
        <f>IF($A618="","",COUNTIFS('Таблиця 1'!$B:$B,$A618,'Таблиця 1'!$E:$E,"ППО",'Таблиця 1'!$L:$L,"Уражено"))</f>
        <v/>
      </c>
      <c r="F618">
        <f>IF($A618="","",COUNTIFS('Таблиця 1'!$B:$B,$A618,'Таблиця 1'!$E:$E,"Рембаза",'Таблиця 1'!$L:$L,"Уражено"))</f>
        <v/>
      </c>
      <c r="G618">
        <f>IF($A618="","",COUNTIFS('Таблиця 1'!$B:$B,$A618,'Таблиця 1'!$E:$E,"Склад БК",'Таблиця 1'!$L:$L,"Уражено"))</f>
        <v/>
      </c>
      <c r="H618">
        <f>IF($A618="","",COUNTIFS('Таблиця 1'!$B:$B,$A618,'Таблиця 1'!$E:$E,"Склад ВТМ",'Таблиця 1'!$L:$L,"Уражено"))</f>
        <v/>
      </c>
      <c r="I618">
        <f>IF($A618="","",COUNTIFS('Таблиця 1'!$B:$B,$A618,'Таблиця 1'!$E:$E,"ПУ БпЛА",'Таблиця 1'!$L:$L,"Уражено"))</f>
        <v/>
      </c>
      <c r="J618">
        <f>IF($A618="","",COUNTIFS('Таблиця 1'!$B:$B,$A618,'Таблиця 1'!$E:$E,"СП",'Таблиця 1'!$L:$L,"Уражено"))</f>
        <v/>
      </c>
      <c r="K618">
        <f>IF($A618="","",COUNTIFS('Таблиця 1'!$B:$B,$A618,'Таблиця 1'!$E:$E,"КСП роти",'Таблиця 1'!$L:$L,"Уражено"))</f>
        <v/>
      </c>
      <c r="L618">
        <f>IF($A618="","",COUNTIFS('Таблиця 1'!$B:$B,$A618,'Таблиця 1'!$E:$E,"ПУ бат",'Таблиця 1'!$L:$L,"Уражено"))</f>
        <v/>
      </c>
      <c r="M618">
        <f>IF($A618="","",COUNTIFS('Таблиця 1'!$B:$B,$A618,'Таблиця 1'!$E:$E,"ПУ бриг",'Таблиця 1'!$L:$L,"Уражено"))</f>
        <v/>
      </c>
      <c r="N618">
        <f>IF($A618="","",COUNTIFS('Таблиця 1'!$B:$B,$A618,'Таблиця 1'!$E:$E,"ПУ див",'Таблиця 1'!$L:$L,"Уражено"))</f>
        <v/>
      </c>
      <c r="O618">
        <f>IF($A618="","",COUNTIFS('Таблиця 1'!$B:$B,$A618,'Таблиця 1'!$E:$E,"обл. РЕБ",'Таблиця 1'!$L:$L,"Уражено"))</f>
        <v/>
      </c>
      <c r="P618">
        <f>IF($A618="","",COUNTIFS('Таблиця 1'!$B:$B,$A618,'Таблиця 1'!$E:$E,"пос РЕБ",'Таблиця 1'!$L:$L,"Уражено"))</f>
        <v/>
      </c>
      <c r="Q618">
        <f>IF($A618="","",COUNTIFS('Таблиця 1'!$B:$B,$A618,'Таблиця 1'!$E:$E,"група РЕР",'Таблиця 1'!$L:$L,"Уражено"))</f>
        <v/>
      </c>
      <c r="R618">
        <f>IF($A618="","",COUNTIFS('Таблиця 1'!$B:$B,$A618,'Таблиця 1'!$E:$E,"РЛС КББ",'Таблиця 1'!$L:$L,"Уражено"))</f>
        <v/>
      </c>
      <c r="S618">
        <f>IF($A618="","",COUNTIFS('Таблиця 1'!$B:$B,$A618,'Таблиця 1'!$E:$E,"Ретранслятор",'Таблиця 1'!$L:$L,"Уражено"))</f>
        <v/>
      </c>
      <c r="T618">
        <f>IF($A618="","",COUNTIFS('Таблиця 1'!$B:$B,$A618,'Таблиця 1'!$E:$E,"Вз.зв'язку",'Таблиця 1'!$L:$L,"Уражено"))</f>
        <v/>
      </c>
      <c r="U618">
        <f>IF($A618="","",COUNTIFS('Таблиця 1'!$B:$B,$A618,'Таблиця 1'!$E:$E,"ПММ",'Таблиця 1'!$L:$L,"Уражено"))</f>
        <v/>
      </c>
      <c r="V618">
        <f>IF($A618="","",COUNTIFS('Таблиця 1'!$B:$B,$A618,'Таблиця 1'!$E:$E,"ІФС",'Таблиця 1'!$L:$L,"Уражено"))</f>
        <v/>
      </c>
      <c r="W618">
        <f>IF($A618="","",COUNTIFS('Таблиця 1'!$B:$B,$A618,'Таблиця 1'!$E:$E,"Інфраструктура",'Таблиця 1'!$L:$L,"Уражено"))</f>
        <v/>
      </c>
      <c r="X618">
        <f>IF($A618="","",SUMIFS('Таблиця 1'!$K:$K,'Таблиця 1'!$B:$B,$A618))</f>
        <v/>
      </c>
    </row>
    <row r="619">
      <c r="A619" s="81">
        <f>IF(A618="","",IF(A618+1&gt;MAX('Таблиця 1'!$B:$B),"",A618+1))</f>
        <v/>
      </c>
      <c r="B619">
        <f>IF($A619="","",COUNTIFS('Таблиця 1'!$B:$B,$A619,'Таблиця 1'!$E:$E,"ЖС ВЗ",'Таблиця 1'!$L:$L,"Уражено"))</f>
        <v/>
      </c>
      <c r="C619">
        <f>IF($A619="","",COUNTIFS('Таблиця 1'!$B:$B,$A619,'Таблиця 1'!$E:$E,"Арт. Системи",'Таблиця 1'!$L:$L,"Уражено"))</f>
        <v/>
      </c>
      <c r="D619">
        <f>IF($A619="","",COUNTIFS('Таблиця 1'!$B:$B,$A619,'Таблиця 1'!$E:$E,"ОВТ",'Таблиця 1'!$L:$L,"Уражено"))</f>
        <v/>
      </c>
      <c r="E619">
        <f>IF($A619="","",COUNTIFS('Таблиця 1'!$B:$B,$A619,'Таблиця 1'!$E:$E,"ППО",'Таблиця 1'!$L:$L,"Уражено"))</f>
        <v/>
      </c>
      <c r="F619">
        <f>IF($A619="","",COUNTIFS('Таблиця 1'!$B:$B,$A619,'Таблиця 1'!$E:$E,"Рембаза",'Таблиця 1'!$L:$L,"Уражено"))</f>
        <v/>
      </c>
      <c r="G619">
        <f>IF($A619="","",COUNTIFS('Таблиця 1'!$B:$B,$A619,'Таблиця 1'!$E:$E,"Склад БК",'Таблиця 1'!$L:$L,"Уражено"))</f>
        <v/>
      </c>
      <c r="H619">
        <f>IF($A619="","",COUNTIFS('Таблиця 1'!$B:$B,$A619,'Таблиця 1'!$E:$E,"Склад ВТМ",'Таблиця 1'!$L:$L,"Уражено"))</f>
        <v/>
      </c>
      <c r="I619">
        <f>IF($A619="","",COUNTIFS('Таблиця 1'!$B:$B,$A619,'Таблиця 1'!$E:$E,"ПУ БпЛА",'Таблиця 1'!$L:$L,"Уражено"))</f>
        <v/>
      </c>
      <c r="J619">
        <f>IF($A619="","",COUNTIFS('Таблиця 1'!$B:$B,$A619,'Таблиця 1'!$E:$E,"СП",'Таблиця 1'!$L:$L,"Уражено"))</f>
        <v/>
      </c>
      <c r="K619">
        <f>IF($A619="","",COUNTIFS('Таблиця 1'!$B:$B,$A619,'Таблиця 1'!$E:$E,"КСП роти",'Таблиця 1'!$L:$L,"Уражено"))</f>
        <v/>
      </c>
      <c r="L619">
        <f>IF($A619="","",COUNTIFS('Таблиця 1'!$B:$B,$A619,'Таблиця 1'!$E:$E,"ПУ бат",'Таблиця 1'!$L:$L,"Уражено"))</f>
        <v/>
      </c>
      <c r="M619">
        <f>IF($A619="","",COUNTIFS('Таблиця 1'!$B:$B,$A619,'Таблиця 1'!$E:$E,"ПУ бриг",'Таблиця 1'!$L:$L,"Уражено"))</f>
        <v/>
      </c>
      <c r="N619">
        <f>IF($A619="","",COUNTIFS('Таблиця 1'!$B:$B,$A619,'Таблиця 1'!$E:$E,"ПУ див",'Таблиця 1'!$L:$L,"Уражено"))</f>
        <v/>
      </c>
      <c r="O619">
        <f>IF($A619="","",COUNTIFS('Таблиця 1'!$B:$B,$A619,'Таблиця 1'!$E:$E,"обл. РЕБ",'Таблиця 1'!$L:$L,"Уражено"))</f>
        <v/>
      </c>
      <c r="P619">
        <f>IF($A619="","",COUNTIFS('Таблиця 1'!$B:$B,$A619,'Таблиця 1'!$E:$E,"пос РЕБ",'Таблиця 1'!$L:$L,"Уражено"))</f>
        <v/>
      </c>
      <c r="Q619">
        <f>IF($A619="","",COUNTIFS('Таблиця 1'!$B:$B,$A619,'Таблиця 1'!$E:$E,"група РЕР",'Таблиця 1'!$L:$L,"Уражено"))</f>
        <v/>
      </c>
      <c r="R619">
        <f>IF($A619="","",COUNTIFS('Таблиця 1'!$B:$B,$A619,'Таблиця 1'!$E:$E,"РЛС КББ",'Таблиця 1'!$L:$L,"Уражено"))</f>
        <v/>
      </c>
      <c r="S619">
        <f>IF($A619="","",COUNTIFS('Таблиця 1'!$B:$B,$A619,'Таблиця 1'!$E:$E,"Ретранслятор",'Таблиця 1'!$L:$L,"Уражено"))</f>
        <v/>
      </c>
      <c r="T619">
        <f>IF($A619="","",COUNTIFS('Таблиця 1'!$B:$B,$A619,'Таблиця 1'!$E:$E,"Вз.зв'язку",'Таблиця 1'!$L:$L,"Уражено"))</f>
        <v/>
      </c>
      <c r="U619">
        <f>IF($A619="","",COUNTIFS('Таблиця 1'!$B:$B,$A619,'Таблиця 1'!$E:$E,"ПММ",'Таблиця 1'!$L:$L,"Уражено"))</f>
        <v/>
      </c>
      <c r="V619">
        <f>IF($A619="","",COUNTIFS('Таблиця 1'!$B:$B,$A619,'Таблиця 1'!$E:$E,"ІФС",'Таблиця 1'!$L:$L,"Уражено"))</f>
        <v/>
      </c>
      <c r="W619">
        <f>IF($A619="","",COUNTIFS('Таблиця 1'!$B:$B,$A619,'Таблиця 1'!$E:$E,"Інфраструктура",'Таблиця 1'!$L:$L,"Уражено"))</f>
        <v/>
      </c>
      <c r="X619">
        <f>IF($A619="","",SUMIFS('Таблиця 1'!$K:$K,'Таблиця 1'!$B:$B,$A619))</f>
        <v/>
      </c>
    </row>
    <row r="620">
      <c r="A620" s="81">
        <f>IF(A619="","",IF(A619+1&gt;MAX('Таблиця 1'!$B:$B),"",A619+1))</f>
        <v/>
      </c>
      <c r="B620">
        <f>IF($A620="","",COUNTIFS('Таблиця 1'!$B:$B,$A620,'Таблиця 1'!$E:$E,"ЖС ВЗ",'Таблиця 1'!$L:$L,"Уражено"))</f>
        <v/>
      </c>
      <c r="C620">
        <f>IF($A620="","",COUNTIFS('Таблиця 1'!$B:$B,$A620,'Таблиця 1'!$E:$E,"Арт. Системи",'Таблиця 1'!$L:$L,"Уражено"))</f>
        <v/>
      </c>
      <c r="D620">
        <f>IF($A620="","",COUNTIFS('Таблиця 1'!$B:$B,$A620,'Таблиця 1'!$E:$E,"ОВТ",'Таблиця 1'!$L:$L,"Уражено"))</f>
        <v/>
      </c>
      <c r="E620">
        <f>IF($A620="","",COUNTIFS('Таблиця 1'!$B:$B,$A620,'Таблиця 1'!$E:$E,"ППО",'Таблиця 1'!$L:$L,"Уражено"))</f>
        <v/>
      </c>
      <c r="F620">
        <f>IF($A620="","",COUNTIFS('Таблиця 1'!$B:$B,$A620,'Таблиця 1'!$E:$E,"Рембаза",'Таблиця 1'!$L:$L,"Уражено"))</f>
        <v/>
      </c>
      <c r="G620">
        <f>IF($A620="","",COUNTIFS('Таблиця 1'!$B:$B,$A620,'Таблиця 1'!$E:$E,"Склад БК",'Таблиця 1'!$L:$L,"Уражено"))</f>
        <v/>
      </c>
      <c r="H620">
        <f>IF($A620="","",COUNTIFS('Таблиця 1'!$B:$B,$A620,'Таблиця 1'!$E:$E,"Склад ВТМ",'Таблиця 1'!$L:$L,"Уражено"))</f>
        <v/>
      </c>
      <c r="I620">
        <f>IF($A620="","",COUNTIFS('Таблиця 1'!$B:$B,$A620,'Таблиця 1'!$E:$E,"ПУ БпЛА",'Таблиця 1'!$L:$L,"Уражено"))</f>
        <v/>
      </c>
      <c r="J620">
        <f>IF($A620="","",COUNTIFS('Таблиця 1'!$B:$B,$A620,'Таблиця 1'!$E:$E,"СП",'Таблиця 1'!$L:$L,"Уражено"))</f>
        <v/>
      </c>
      <c r="K620">
        <f>IF($A620="","",COUNTIFS('Таблиця 1'!$B:$B,$A620,'Таблиця 1'!$E:$E,"КСП роти",'Таблиця 1'!$L:$L,"Уражено"))</f>
        <v/>
      </c>
      <c r="L620">
        <f>IF($A620="","",COUNTIFS('Таблиця 1'!$B:$B,$A620,'Таблиця 1'!$E:$E,"ПУ бат",'Таблиця 1'!$L:$L,"Уражено"))</f>
        <v/>
      </c>
      <c r="M620">
        <f>IF($A620="","",COUNTIFS('Таблиця 1'!$B:$B,$A620,'Таблиця 1'!$E:$E,"ПУ бриг",'Таблиця 1'!$L:$L,"Уражено"))</f>
        <v/>
      </c>
      <c r="N620">
        <f>IF($A620="","",COUNTIFS('Таблиця 1'!$B:$B,$A620,'Таблиця 1'!$E:$E,"ПУ див",'Таблиця 1'!$L:$L,"Уражено"))</f>
        <v/>
      </c>
      <c r="O620">
        <f>IF($A620="","",COUNTIFS('Таблиця 1'!$B:$B,$A620,'Таблиця 1'!$E:$E,"обл. РЕБ",'Таблиця 1'!$L:$L,"Уражено"))</f>
        <v/>
      </c>
      <c r="P620">
        <f>IF($A620="","",COUNTIFS('Таблиця 1'!$B:$B,$A620,'Таблиця 1'!$E:$E,"пос РЕБ",'Таблиця 1'!$L:$L,"Уражено"))</f>
        <v/>
      </c>
      <c r="Q620">
        <f>IF($A620="","",COUNTIFS('Таблиця 1'!$B:$B,$A620,'Таблиця 1'!$E:$E,"група РЕР",'Таблиця 1'!$L:$L,"Уражено"))</f>
        <v/>
      </c>
      <c r="R620">
        <f>IF($A620="","",COUNTIFS('Таблиця 1'!$B:$B,$A620,'Таблиця 1'!$E:$E,"РЛС КББ",'Таблиця 1'!$L:$L,"Уражено"))</f>
        <v/>
      </c>
      <c r="S620">
        <f>IF($A620="","",COUNTIFS('Таблиця 1'!$B:$B,$A620,'Таблиця 1'!$E:$E,"Ретранслятор",'Таблиця 1'!$L:$L,"Уражено"))</f>
        <v/>
      </c>
      <c r="T620">
        <f>IF($A620="","",COUNTIFS('Таблиця 1'!$B:$B,$A620,'Таблиця 1'!$E:$E,"Вз.зв'язку",'Таблиця 1'!$L:$L,"Уражено"))</f>
        <v/>
      </c>
      <c r="U620">
        <f>IF($A620="","",COUNTIFS('Таблиця 1'!$B:$B,$A620,'Таблиця 1'!$E:$E,"ПММ",'Таблиця 1'!$L:$L,"Уражено"))</f>
        <v/>
      </c>
      <c r="V620">
        <f>IF($A620="","",COUNTIFS('Таблиця 1'!$B:$B,$A620,'Таблиця 1'!$E:$E,"ІФС",'Таблиця 1'!$L:$L,"Уражено"))</f>
        <v/>
      </c>
      <c r="W620">
        <f>IF($A620="","",COUNTIFS('Таблиця 1'!$B:$B,$A620,'Таблиця 1'!$E:$E,"Інфраструктура",'Таблиця 1'!$L:$L,"Уражено"))</f>
        <v/>
      </c>
      <c r="X620">
        <f>IF($A620="","",SUMIFS('Таблиця 1'!$K:$K,'Таблиця 1'!$B:$B,$A620))</f>
        <v/>
      </c>
    </row>
    <row r="621">
      <c r="A621" s="81">
        <f>IF(A620="","",IF(A620+1&gt;MAX('Таблиця 1'!$B:$B),"",A620+1))</f>
        <v/>
      </c>
      <c r="B621">
        <f>IF($A621="","",COUNTIFS('Таблиця 1'!$B:$B,$A621,'Таблиця 1'!$E:$E,"ЖС ВЗ",'Таблиця 1'!$L:$L,"Уражено"))</f>
        <v/>
      </c>
      <c r="C621">
        <f>IF($A621="","",COUNTIFS('Таблиця 1'!$B:$B,$A621,'Таблиця 1'!$E:$E,"Арт. Системи",'Таблиця 1'!$L:$L,"Уражено"))</f>
        <v/>
      </c>
      <c r="D621">
        <f>IF($A621="","",COUNTIFS('Таблиця 1'!$B:$B,$A621,'Таблиця 1'!$E:$E,"ОВТ",'Таблиця 1'!$L:$L,"Уражено"))</f>
        <v/>
      </c>
      <c r="E621">
        <f>IF($A621="","",COUNTIFS('Таблиця 1'!$B:$B,$A621,'Таблиця 1'!$E:$E,"ППО",'Таблиця 1'!$L:$L,"Уражено"))</f>
        <v/>
      </c>
      <c r="F621">
        <f>IF($A621="","",COUNTIFS('Таблиця 1'!$B:$B,$A621,'Таблиця 1'!$E:$E,"Рембаза",'Таблиця 1'!$L:$L,"Уражено"))</f>
        <v/>
      </c>
      <c r="G621">
        <f>IF($A621="","",COUNTIFS('Таблиця 1'!$B:$B,$A621,'Таблиця 1'!$E:$E,"Склад БК",'Таблиця 1'!$L:$L,"Уражено"))</f>
        <v/>
      </c>
      <c r="H621">
        <f>IF($A621="","",COUNTIFS('Таблиця 1'!$B:$B,$A621,'Таблиця 1'!$E:$E,"Склад ВТМ",'Таблиця 1'!$L:$L,"Уражено"))</f>
        <v/>
      </c>
      <c r="I621">
        <f>IF($A621="","",COUNTIFS('Таблиця 1'!$B:$B,$A621,'Таблиця 1'!$E:$E,"ПУ БпЛА",'Таблиця 1'!$L:$L,"Уражено"))</f>
        <v/>
      </c>
      <c r="J621">
        <f>IF($A621="","",COUNTIFS('Таблиця 1'!$B:$B,$A621,'Таблиця 1'!$E:$E,"СП",'Таблиця 1'!$L:$L,"Уражено"))</f>
        <v/>
      </c>
      <c r="K621">
        <f>IF($A621="","",COUNTIFS('Таблиця 1'!$B:$B,$A621,'Таблиця 1'!$E:$E,"КСП роти",'Таблиця 1'!$L:$L,"Уражено"))</f>
        <v/>
      </c>
      <c r="L621">
        <f>IF($A621="","",COUNTIFS('Таблиця 1'!$B:$B,$A621,'Таблиця 1'!$E:$E,"ПУ бат",'Таблиця 1'!$L:$L,"Уражено"))</f>
        <v/>
      </c>
      <c r="M621">
        <f>IF($A621="","",COUNTIFS('Таблиця 1'!$B:$B,$A621,'Таблиця 1'!$E:$E,"ПУ бриг",'Таблиця 1'!$L:$L,"Уражено"))</f>
        <v/>
      </c>
      <c r="N621">
        <f>IF($A621="","",COUNTIFS('Таблиця 1'!$B:$B,$A621,'Таблиця 1'!$E:$E,"ПУ див",'Таблиця 1'!$L:$L,"Уражено"))</f>
        <v/>
      </c>
      <c r="O621">
        <f>IF($A621="","",COUNTIFS('Таблиця 1'!$B:$B,$A621,'Таблиця 1'!$E:$E,"обл. РЕБ",'Таблиця 1'!$L:$L,"Уражено"))</f>
        <v/>
      </c>
      <c r="P621">
        <f>IF($A621="","",COUNTIFS('Таблиця 1'!$B:$B,$A621,'Таблиця 1'!$E:$E,"пос РЕБ",'Таблиця 1'!$L:$L,"Уражено"))</f>
        <v/>
      </c>
      <c r="Q621">
        <f>IF($A621="","",COUNTIFS('Таблиця 1'!$B:$B,$A621,'Таблиця 1'!$E:$E,"група РЕР",'Таблиця 1'!$L:$L,"Уражено"))</f>
        <v/>
      </c>
      <c r="R621">
        <f>IF($A621="","",COUNTIFS('Таблиця 1'!$B:$B,$A621,'Таблиця 1'!$E:$E,"РЛС КББ",'Таблиця 1'!$L:$L,"Уражено"))</f>
        <v/>
      </c>
      <c r="S621">
        <f>IF($A621="","",COUNTIFS('Таблиця 1'!$B:$B,$A621,'Таблиця 1'!$E:$E,"Ретранслятор",'Таблиця 1'!$L:$L,"Уражено"))</f>
        <v/>
      </c>
      <c r="T621">
        <f>IF($A621="","",COUNTIFS('Таблиця 1'!$B:$B,$A621,'Таблиця 1'!$E:$E,"Вз.зв'язку",'Таблиця 1'!$L:$L,"Уражено"))</f>
        <v/>
      </c>
      <c r="U621">
        <f>IF($A621="","",COUNTIFS('Таблиця 1'!$B:$B,$A621,'Таблиця 1'!$E:$E,"ПММ",'Таблиця 1'!$L:$L,"Уражено"))</f>
        <v/>
      </c>
      <c r="V621">
        <f>IF($A621="","",COUNTIFS('Таблиця 1'!$B:$B,$A621,'Таблиця 1'!$E:$E,"ІФС",'Таблиця 1'!$L:$L,"Уражено"))</f>
        <v/>
      </c>
      <c r="W621">
        <f>IF($A621="","",COUNTIFS('Таблиця 1'!$B:$B,$A621,'Таблиця 1'!$E:$E,"Інфраструктура",'Таблиця 1'!$L:$L,"Уражено"))</f>
        <v/>
      </c>
      <c r="X621">
        <f>IF($A621="","",SUMIFS('Таблиця 1'!$K:$K,'Таблиця 1'!$B:$B,$A621))</f>
        <v/>
      </c>
    </row>
    <row r="622">
      <c r="A622" s="81">
        <f>IF(A621="","",IF(A621+1&gt;MAX('Таблиця 1'!$B:$B),"",A621+1))</f>
        <v/>
      </c>
      <c r="B622">
        <f>IF($A622="","",COUNTIFS('Таблиця 1'!$B:$B,$A622,'Таблиця 1'!$E:$E,"ЖС ВЗ",'Таблиця 1'!$L:$L,"Уражено"))</f>
        <v/>
      </c>
      <c r="C622">
        <f>IF($A622="","",COUNTIFS('Таблиця 1'!$B:$B,$A622,'Таблиця 1'!$E:$E,"Арт. Системи",'Таблиця 1'!$L:$L,"Уражено"))</f>
        <v/>
      </c>
      <c r="D622">
        <f>IF($A622="","",COUNTIFS('Таблиця 1'!$B:$B,$A622,'Таблиця 1'!$E:$E,"ОВТ",'Таблиця 1'!$L:$L,"Уражено"))</f>
        <v/>
      </c>
      <c r="E622">
        <f>IF($A622="","",COUNTIFS('Таблиця 1'!$B:$B,$A622,'Таблиця 1'!$E:$E,"ППО",'Таблиця 1'!$L:$L,"Уражено"))</f>
        <v/>
      </c>
      <c r="F622">
        <f>IF($A622="","",COUNTIFS('Таблиця 1'!$B:$B,$A622,'Таблиця 1'!$E:$E,"Рембаза",'Таблиця 1'!$L:$L,"Уражено"))</f>
        <v/>
      </c>
      <c r="G622">
        <f>IF($A622="","",COUNTIFS('Таблиця 1'!$B:$B,$A622,'Таблиця 1'!$E:$E,"Склад БК",'Таблиця 1'!$L:$L,"Уражено"))</f>
        <v/>
      </c>
      <c r="H622">
        <f>IF($A622="","",COUNTIFS('Таблиця 1'!$B:$B,$A622,'Таблиця 1'!$E:$E,"Склад ВТМ",'Таблиця 1'!$L:$L,"Уражено"))</f>
        <v/>
      </c>
      <c r="I622">
        <f>IF($A622="","",COUNTIFS('Таблиця 1'!$B:$B,$A622,'Таблиця 1'!$E:$E,"ПУ БпЛА",'Таблиця 1'!$L:$L,"Уражено"))</f>
        <v/>
      </c>
      <c r="J622">
        <f>IF($A622="","",COUNTIFS('Таблиця 1'!$B:$B,$A622,'Таблиця 1'!$E:$E,"СП",'Таблиця 1'!$L:$L,"Уражено"))</f>
        <v/>
      </c>
      <c r="K622">
        <f>IF($A622="","",COUNTIFS('Таблиця 1'!$B:$B,$A622,'Таблиця 1'!$E:$E,"КСП роти",'Таблиця 1'!$L:$L,"Уражено"))</f>
        <v/>
      </c>
      <c r="L622">
        <f>IF($A622="","",COUNTIFS('Таблиця 1'!$B:$B,$A622,'Таблиця 1'!$E:$E,"ПУ бат",'Таблиця 1'!$L:$L,"Уражено"))</f>
        <v/>
      </c>
      <c r="M622">
        <f>IF($A622="","",COUNTIFS('Таблиця 1'!$B:$B,$A622,'Таблиця 1'!$E:$E,"ПУ бриг",'Таблиця 1'!$L:$L,"Уражено"))</f>
        <v/>
      </c>
      <c r="N622">
        <f>IF($A622="","",COUNTIFS('Таблиця 1'!$B:$B,$A622,'Таблиця 1'!$E:$E,"ПУ див",'Таблиця 1'!$L:$L,"Уражено"))</f>
        <v/>
      </c>
      <c r="O622">
        <f>IF($A622="","",COUNTIFS('Таблиця 1'!$B:$B,$A622,'Таблиця 1'!$E:$E,"обл. РЕБ",'Таблиця 1'!$L:$L,"Уражено"))</f>
        <v/>
      </c>
      <c r="P622">
        <f>IF($A622="","",COUNTIFS('Таблиця 1'!$B:$B,$A622,'Таблиця 1'!$E:$E,"пос РЕБ",'Таблиця 1'!$L:$L,"Уражено"))</f>
        <v/>
      </c>
      <c r="Q622">
        <f>IF($A622="","",COUNTIFS('Таблиця 1'!$B:$B,$A622,'Таблиця 1'!$E:$E,"група РЕР",'Таблиця 1'!$L:$L,"Уражено"))</f>
        <v/>
      </c>
      <c r="R622">
        <f>IF($A622="","",COUNTIFS('Таблиця 1'!$B:$B,$A622,'Таблиця 1'!$E:$E,"РЛС КББ",'Таблиця 1'!$L:$L,"Уражено"))</f>
        <v/>
      </c>
      <c r="S622">
        <f>IF($A622="","",COUNTIFS('Таблиця 1'!$B:$B,$A622,'Таблиця 1'!$E:$E,"Ретранслятор",'Таблиця 1'!$L:$L,"Уражено"))</f>
        <v/>
      </c>
      <c r="T622">
        <f>IF($A622="","",COUNTIFS('Таблиця 1'!$B:$B,$A622,'Таблиця 1'!$E:$E,"Вз.зв'язку",'Таблиця 1'!$L:$L,"Уражено"))</f>
        <v/>
      </c>
      <c r="U622">
        <f>IF($A622="","",COUNTIFS('Таблиця 1'!$B:$B,$A622,'Таблиця 1'!$E:$E,"ПММ",'Таблиця 1'!$L:$L,"Уражено"))</f>
        <v/>
      </c>
      <c r="V622">
        <f>IF($A622="","",COUNTIFS('Таблиця 1'!$B:$B,$A622,'Таблиця 1'!$E:$E,"ІФС",'Таблиця 1'!$L:$L,"Уражено"))</f>
        <v/>
      </c>
      <c r="W622">
        <f>IF($A622="","",COUNTIFS('Таблиця 1'!$B:$B,$A622,'Таблиця 1'!$E:$E,"Інфраструктура",'Таблиця 1'!$L:$L,"Уражено"))</f>
        <v/>
      </c>
      <c r="X622">
        <f>IF($A622="","",SUMIFS('Таблиця 1'!$K:$K,'Таблиця 1'!$B:$B,$A622))</f>
        <v/>
      </c>
    </row>
    <row r="623">
      <c r="A623" s="81">
        <f>IF(A622="","",IF(A622+1&gt;MAX('Таблиця 1'!$B:$B),"",A622+1))</f>
        <v/>
      </c>
      <c r="B623">
        <f>IF($A623="","",COUNTIFS('Таблиця 1'!$B:$B,$A623,'Таблиця 1'!$E:$E,"ЖС ВЗ",'Таблиця 1'!$L:$L,"Уражено"))</f>
        <v/>
      </c>
      <c r="C623">
        <f>IF($A623="","",COUNTIFS('Таблиця 1'!$B:$B,$A623,'Таблиця 1'!$E:$E,"Арт. Системи",'Таблиця 1'!$L:$L,"Уражено"))</f>
        <v/>
      </c>
      <c r="D623">
        <f>IF($A623="","",COUNTIFS('Таблиця 1'!$B:$B,$A623,'Таблиця 1'!$E:$E,"ОВТ",'Таблиця 1'!$L:$L,"Уражено"))</f>
        <v/>
      </c>
      <c r="E623">
        <f>IF($A623="","",COUNTIFS('Таблиця 1'!$B:$B,$A623,'Таблиця 1'!$E:$E,"ППО",'Таблиця 1'!$L:$L,"Уражено"))</f>
        <v/>
      </c>
      <c r="F623">
        <f>IF($A623="","",COUNTIFS('Таблиця 1'!$B:$B,$A623,'Таблиця 1'!$E:$E,"Рембаза",'Таблиця 1'!$L:$L,"Уражено"))</f>
        <v/>
      </c>
      <c r="G623">
        <f>IF($A623="","",COUNTIFS('Таблиця 1'!$B:$B,$A623,'Таблиця 1'!$E:$E,"Склад БК",'Таблиця 1'!$L:$L,"Уражено"))</f>
        <v/>
      </c>
      <c r="H623">
        <f>IF($A623="","",COUNTIFS('Таблиця 1'!$B:$B,$A623,'Таблиця 1'!$E:$E,"Склад ВТМ",'Таблиця 1'!$L:$L,"Уражено"))</f>
        <v/>
      </c>
      <c r="I623">
        <f>IF($A623="","",COUNTIFS('Таблиця 1'!$B:$B,$A623,'Таблиця 1'!$E:$E,"ПУ БпЛА",'Таблиця 1'!$L:$L,"Уражено"))</f>
        <v/>
      </c>
      <c r="J623">
        <f>IF($A623="","",COUNTIFS('Таблиця 1'!$B:$B,$A623,'Таблиця 1'!$E:$E,"СП",'Таблиця 1'!$L:$L,"Уражено"))</f>
        <v/>
      </c>
      <c r="K623">
        <f>IF($A623="","",COUNTIFS('Таблиця 1'!$B:$B,$A623,'Таблиця 1'!$E:$E,"КСП роти",'Таблиця 1'!$L:$L,"Уражено"))</f>
        <v/>
      </c>
      <c r="L623">
        <f>IF($A623="","",COUNTIFS('Таблиця 1'!$B:$B,$A623,'Таблиця 1'!$E:$E,"ПУ бат",'Таблиця 1'!$L:$L,"Уражено"))</f>
        <v/>
      </c>
      <c r="M623">
        <f>IF($A623="","",COUNTIFS('Таблиця 1'!$B:$B,$A623,'Таблиця 1'!$E:$E,"ПУ бриг",'Таблиця 1'!$L:$L,"Уражено"))</f>
        <v/>
      </c>
      <c r="N623">
        <f>IF($A623="","",COUNTIFS('Таблиця 1'!$B:$B,$A623,'Таблиця 1'!$E:$E,"ПУ див",'Таблиця 1'!$L:$L,"Уражено"))</f>
        <v/>
      </c>
      <c r="O623">
        <f>IF($A623="","",COUNTIFS('Таблиця 1'!$B:$B,$A623,'Таблиця 1'!$E:$E,"обл. РЕБ",'Таблиця 1'!$L:$L,"Уражено"))</f>
        <v/>
      </c>
      <c r="P623">
        <f>IF($A623="","",COUNTIFS('Таблиця 1'!$B:$B,$A623,'Таблиця 1'!$E:$E,"пос РЕБ",'Таблиця 1'!$L:$L,"Уражено"))</f>
        <v/>
      </c>
      <c r="Q623">
        <f>IF($A623="","",COUNTIFS('Таблиця 1'!$B:$B,$A623,'Таблиця 1'!$E:$E,"група РЕР",'Таблиця 1'!$L:$L,"Уражено"))</f>
        <v/>
      </c>
      <c r="R623">
        <f>IF($A623="","",COUNTIFS('Таблиця 1'!$B:$B,$A623,'Таблиця 1'!$E:$E,"РЛС КББ",'Таблиця 1'!$L:$L,"Уражено"))</f>
        <v/>
      </c>
      <c r="S623">
        <f>IF($A623="","",COUNTIFS('Таблиця 1'!$B:$B,$A623,'Таблиця 1'!$E:$E,"Ретранслятор",'Таблиця 1'!$L:$L,"Уражено"))</f>
        <v/>
      </c>
      <c r="T623">
        <f>IF($A623="","",COUNTIFS('Таблиця 1'!$B:$B,$A623,'Таблиця 1'!$E:$E,"Вз.зв'язку",'Таблиця 1'!$L:$L,"Уражено"))</f>
        <v/>
      </c>
      <c r="U623">
        <f>IF($A623="","",COUNTIFS('Таблиця 1'!$B:$B,$A623,'Таблиця 1'!$E:$E,"ПММ",'Таблиця 1'!$L:$L,"Уражено"))</f>
        <v/>
      </c>
      <c r="V623">
        <f>IF($A623="","",COUNTIFS('Таблиця 1'!$B:$B,$A623,'Таблиця 1'!$E:$E,"ІФС",'Таблиця 1'!$L:$L,"Уражено"))</f>
        <v/>
      </c>
      <c r="W623">
        <f>IF($A623="","",COUNTIFS('Таблиця 1'!$B:$B,$A623,'Таблиця 1'!$E:$E,"Інфраструктура",'Таблиця 1'!$L:$L,"Уражено"))</f>
        <v/>
      </c>
      <c r="X623">
        <f>IF($A623="","",SUMIFS('Таблиця 1'!$K:$K,'Таблиця 1'!$B:$B,$A623))</f>
        <v/>
      </c>
    </row>
    <row r="624">
      <c r="A624" s="81">
        <f>IF(A623="","",IF(A623+1&gt;MAX('Таблиця 1'!$B:$B),"",A623+1))</f>
        <v/>
      </c>
      <c r="B624">
        <f>IF($A624="","",COUNTIFS('Таблиця 1'!$B:$B,$A624,'Таблиця 1'!$E:$E,"ЖС ВЗ",'Таблиця 1'!$L:$L,"Уражено"))</f>
        <v/>
      </c>
      <c r="C624">
        <f>IF($A624="","",COUNTIFS('Таблиця 1'!$B:$B,$A624,'Таблиця 1'!$E:$E,"Арт. Системи",'Таблиця 1'!$L:$L,"Уражено"))</f>
        <v/>
      </c>
      <c r="D624">
        <f>IF($A624="","",COUNTIFS('Таблиця 1'!$B:$B,$A624,'Таблиця 1'!$E:$E,"ОВТ",'Таблиця 1'!$L:$L,"Уражено"))</f>
        <v/>
      </c>
      <c r="E624">
        <f>IF($A624="","",COUNTIFS('Таблиця 1'!$B:$B,$A624,'Таблиця 1'!$E:$E,"ППО",'Таблиця 1'!$L:$L,"Уражено"))</f>
        <v/>
      </c>
      <c r="F624">
        <f>IF($A624="","",COUNTIFS('Таблиця 1'!$B:$B,$A624,'Таблиця 1'!$E:$E,"Рембаза",'Таблиця 1'!$L:$L,"Уражено"))</f>
        <v/>
      </c>
      <c r="G624">
        <f>IF($A624="","",COUNTIFS('Таблиця 1'!$B:$B,$A624,'Таблиця 1'!$E:$E,"Склад БК",'Таблиця 1'!$L:$L,"Уражено"))</f>
        <v/>
      </c>
      <c r="H624">
        <f>IF($A624="","",COUNTIFS('Таблиця 1'!$B:$B,$A624,'Таблиця 1'!$E:$E,"Склад ВТМ",'Таблиця 1'!$L:$L,"Уражено"))</f>
        <v/>
      </c>
      <c r="I624">
        <f>IF($A624="","",COUNTIFS('Таблиця 1'!$B:$B,$A624,'Таблиця 1'!$E:$E,"ПУ БпЛА",'Таблиця 1'!$L:$L,"Уражено"))</f>
        <v/>
      </c>
      <c r="J624">
        <f>IF($A624="","",COUNTIFS('Таблиця 1'!$B:$B,$A624,'Таблиця 1'!$E:$E,"СП",'Таблиця 1'!$L:$L,"Уражено"))</f>
        <v/>
      </c>
      <c r="K624">
        <f>IF($A624="","",COUNTIFS('Таблиця 1'!$B:$B,$A624,'Таблиця 1'!$E:$E,"КСП роти",'Таблиця 1'!$L:$L,"Уражено"))</f>
        <v/>
      </c>
      <c r="L624">
        <f>IF($A624="","",COUNTIFS('Таблиця 1'!$B:$B,$A624,'Таблиця 1'!$E:$E,"ПУ бат",'Таблиця 1'!$L:$L,"Уражено"))</f>
        <v/>
      </c>
      <c r="M624">
        <f>IF($A624="","",COUNTIFS('Таблиця 1'!$B:$B,$A624,'Таблиця 1'!$E:$E,"ПУ бриг",'Таблиця 1'!$L:$L,"Уражено"))</f>
        <v/>
      </c>
      <c r="N624">
        <f>IF($A624="","",COUNTIFS('Таблиця 1'!$B:$B,$A624,'Таблиця 1'!$E:$E,"ПУ див",'Таблиця 1'!$L:$L,"Уражено"))</f>
        <v/>
      </c>
      <c r="O624">
        <f>IF($A624="","",COUNTIFS('Таблиця 1'!$B:$B,$A624,'Таблиця 1'!$E:$E,"обл. РЕБ",'Таблиця 1'!$L:$L,"Уражено"))</f>
        <v/>
      </c>
      <c r="P624">
        <f>IF($A624="","",COUNTIFS('Таблиця 1'!$B:$B,$A624,'Таблиця 1'!$E:$E,"пос РЕБ",'Таблиця 1'!$L:$L,"Уражено"))</f>
        <v/>
      </c>
      <c r="Q624">
        <f>IF($A624="","",COUNTIFS('Таблиця 1'!$B:$B,$A624,'Таблиця 1'!$E:$E,"група РЕР",'Таблиця 1'!$L:$L,"Уражено"))</f>
        <v/>
      </c>
      <c r="R624">
        <f>IF($A624="","",COUNTIFS('Таблиця 1'!$B:$B,$A624,'Таблиця 1'!$E:$E,"РЛС КББ",'Таблиця 1'!$L:$L,"Уражено"))</f>
        <v/>
      </c>
      <c r="S624">
        <f>IF($A624="","",COUNTIFS('Таблиця 1'!$B:$B,$A624,'Таблиця 1'!$E:$E,"Ретранслятор",'Таблиця 1'!$L:$L,"Уражено"))</f>
        <v/>
      </c>
      <c r="T624">
        <f>IF($A624="","",COUNTIFS('Таблиця 1'!$B:$B,$A624,'Таблиця 1'!$E:$E,"Вз.зв'язку",'Таблиця 1'!$L:$L,"Уражено"))</f>
        <v/>
      </c>
      <c r="U624">
        <f>IF($A624="","",COUNTIFS('Таблиця 1'!$B:$B,$A624,'Таблиця 1'!$E:$E,"ПММ",'Таблиця 1'!$L:$L,"Уражено"))</f>
        <v/>
      </c>
      <c r="V624">
        <f>IF($A624="","",COUNTIFS('Таблиця 1'!$B:$B,$A624,'Таблиця 1'!$E:$E,"ІФС",'Таблиця 1'!$L:$L,"Уражено"))</f>
        <v/>
      </c>
      <c r="W624">
        <f>IF($A624="","",COUNTIFS('Таблиця 1'!$B:$B,$A624,'Таблиця 1'!$E:$E,"Інфраструктура",'Таблиця 1'!$L:$L,"Уражено"))</f>
        <v/>
      </c>
      <c r="X624">
        <f>IF($A624="","",SUMIFS('Таблиця 1'!$K:$K,'Таблиця 1'!$B:$B,$A624))</f>
        <v/>
      </c>
    </row>
    <row r="625">
      <c r="A625" s="81">
        <f>IF(A624="","",IF(A624+1&gt;MAX('Таблиця 1'!$B:$B),"",A624+1))</f>
        <v/>
      </c>
      <c r="B625">
        <f>IF($A625="","",COUNTIFS('Таблиця 1'!$B:$B,$A625,'Таблиця 1'!$E:$E,"ЖС ВЗ",'Таблиця 1'!$L:$L,"Уражено"))</f>
        <v/>
      </c>
      <c r="C625">
        <f>IF($A625="","",COUNTIFS('Таблиця 1'!$B:$B,$A625,'Таблиця 1'!$E:$E,"Арт. Системи",'Таблиця 1'!$L:$L,"Уражено"))</f>
        <v/>
      </c>
      <c r="D625">
        <f>IF($A625="","",COUNTIFS('Таблиця 1'!$B:$B,$A625,'Таблиця 1'!$E:$E,"ОВТ",'Таблиця 1'!$L:$L,"Уражено"))</f>
        <v/>
      </c>
      <c r="E625">
        <f>IF($A625="","",COUNTIFS('Таблиця 1'!$B:$B,$A625,'Таблиця 1'!$E:$E,"ППО",'Таблиця 1'!$L:$L,"Уражено"))</f>
        <v/>
      </c>
      <c r="F625">
        <f>IF($A625="","",COUNTIFS('Таблиця 1'!$B:$B,$A625,'Таблиця 1'!$E:$E,"Рембаза",'Таблиця 1'!$L:$L,"Уражено"))</f>
        <v/>
      </c>
      <c r="G625">
        <f>IF($A625="","",COUNTIFS('Таблиця 1'!$B:$B,$A625,'Таблиця 1'!$E:$E,"Склад БК",'Таблиця 1'!$L:$L,"Уражено"))</f>
        <v/>
      </c>
      <c r="H625">
        <f>IF($A625="","",COUNTIFS('Таблиця 1'!$B:$B,$A625,'Таблиця 1'!$E:$E,"Склад ВТМ",'Таблиця 1'!$L:$L,"Уражено"))</f>
        <v/>
      </c>
      <c r="I625">
        <f>IF($A625="","",COUNTIFS('Таблиця 1'!$B:$B,$A625,'Таблиця 1'!$E:$E,"ПУ БпЛА",'Таблиця 1'!$L:$L,"Уражено"))</f>
        <v/>
      </c>
      <c r="J625">
        <f>IF($A625="","",COUNTIFS('Таблиця 1'!$B:$B,$A625,'Таблиця 1'!$E:$E,"СП",'Таблиця 1'!$L:$L,"Уражено"))</f>
        <v/>
      </c>
      <c r="K625">
        <f>IF($A625="","",COUNTIFS('Таблиця 1'!$B:$B,$A625,'Таблиця 1'!$E:$E,"КСП роти",'Таблиця 1'!$L:$L,"Уражено"))</f>
        <v/>
      </c>
      <c r="L625">
        <f>IF($A625="","",COUNTIFS('Таблиця 1'!$B:$B,$A625,'Таблиця 1'!$E:$E,"ПУ бат",'Таблиця 1'!$L:$L,"Уражено"))</f>
        <v/>
      </c>
      <c r="M625">
        <f>IF($A625="","",COUNTIFS('Таблиця 1'!$B:$B,$A625,'Таблиця 1'!$E:$E,"ПУ бриг",'Таблиця 1'!$L:$L,"Уражено"))</f>
        <v/>
      </c>
      <c r="N625">
        <f>IF($A625="","",COUNTIFS('Таблиця 1'!$B:$B,$A625,'Таблиця 1'!$E:$E,"ПУ див",'Таблиця 1'!$L:$L,"Уражено"))</f>
        <v/>
      </c>
      <c r="O625">
        <f>IF($A625="","",COUNTIFS('Таблиця 1'!$B:$B,$A625,'Таблиця 1'!$E:$E,"обл. РЕБ",'Таблиця 1'!$L:$L,"Уражено"))</f>
        <v/>
      </c>
      <c r="P625">
        <f>IF($A625="","",COUNTIFS('Таблиця 1'!$B:$B,$A625,'Таблиця 1'!$E:$E,"пос РЕБ",'Таблиця 1'!$L:$L,"Уражено"))</f>
        <v/>
      </c>
      <c r="Q625">
        <f>IF($A625="","",COUNTIFS('Таблиця 1'!$B:$B,$A625,'Таблиця 1'!$E:$E,"група РЕР",'Таблиця 1'!$L:$L,"Уражено"))</f>
        <v/>
      </c>
      <c r="R625">
        <f>IF($A625="","",COUNTIFS('Таблиця 1'!$B:$B,$A625,'Таблиця 1'!$E:$E,"РЛС КББ",'Таблиця 1'!$L:$L,"Уражено"))</f>
        <v/>
      </c>
      <c r="S625">
        <f>IF($A625="","",COUNTIFS('Таблиця 1'!$B:$B,$A625,'Таблиця 1'!$E:$E,"Ретранслятор",'Таблиця 1'!$L:$L,"Уражено"))</f>
        <v/>
      </c>
      <c r="T625">
        <f>IF($A625="","",COUNTIFS('Таблиця 1'!$B:$B,$A625,'Таблиця 1'!$E:$E,"Вз.зв'язку",'Таблиця 1'!$L:$L,"Уражено"))</f>
        <v/>
      </c>
      <c r="U625">
        <f>IF($A625="","",COUNTIFS('Таблиця 1'!$B:$B,$A625,'Таблиця 1'!$E:$E,"ПММ",'Таблиця 1'!$L:$L,"Уражено"))</f>
        <v/>
      </c>
      <c r="V625">
        <f>IF($A625="","",COUNTIFS('Таблиця 1'!$B:$B,$A625,'Таблиця 1'!$E:$E,"ІФС",'Таблиця 1'!$L:$L,"Уражено"))</f>
        <v/>
      </c>
      <c r="W625">
        <f>IF($A625="","",COUNTIFS('Таблиця 1'!$B:$B,$A625,'Таблиця 1'!$E:$E,"Інфраструктура",'Таблиця 1'!$L:$L,"Уражено"))</f>
        <v/>
      </c>
      <c r="X625">
        <f>IF($A625="","",SUMIFS('Таблиця 1'!$K:$K,'Таблиця 1'!$B:$B,$A625))</f>
        <v/>
      </c>
    </row>
    <row r="626">
      <c r="A626" s="81">
        <f>IF(A625="","",IF(A625+1&gt;MAX('Таблиця 1'!$B:$B),"",A625+1))</f>
        <v/>
      </c>
      <c r="B626">
        <f>IF($A626="","",COUNTIFS('Таблиця 1'!$B:$B,$A626,'Таблиця 1'!$E:$E,"ЖС ВЗ",'Таблиця 1'!$L:$L,"Уражено"))</f>
        <v/>
      </c>
      <c r="C626">
        <f>IF($A626="","",COUNTIFS('Таблиця 1'!$B:$B,$A626,'Таблиця 1'!$E:$E,"Арт. Системи",'Таблиця 1'!$L:$L,"Уражено"))</f>
        <v/>
      </c>
      <c r="D626">
        <f>IF($A626="","",COUNTIFS('Таблиця 1'!$B:$B,$A626,'Таблиця 1'!$E:$E,"ОВТ",'Таблиця 1'!$L:$L,"Уражено"))</f>
        <v/>
      </c>
      <c r="E626">
        <f>IF($A626="","",COUNTIFS('Таблиця 1'!$B:$B,$A626,'Таблиця 1'!$E:$E,"ППО",'Таблиця 1'!$L:$L,"Уражено"))</f>
        <v/>
      </c>
      <c r="F626">
        <f>IF($A626="","",COUNTIFS('Таблиця 1'!$B:$B,$A626,'Таблиця 1'!$E:$E,"Рембаза",'Таблиця 1'!$L:$L,"Уражено"))</f>
        <v/>
      </c>
      <c r="G626">
        <f>IF($A626="","",COUNTIFS('Таблиця 1'!$B:$B,$A626,'Таблиця 1'!$E:$E,"Склад БК",'Таблиця 1'!$L:$L,"Уражено"))</f>
        <v/>
      </c>
      <c r="H626">
        <f>IF($A626="","",COUNTIFS('Таблиця 1'!$B:$B,$A626,'Таблиця 1'!$E:$E,"Склад ВТМ",'Таблиця 1'!$L:$L,"Уражено"))</f>
        <v/>
      </c>
      <c r="I626">
        <f>IF($A626="","",COUNTIFS('Таблиця 1'!$B:$B,$A626,'Таблиця 1'!$E:$E,"ПУ БпЛА",'Таблиця 1'!$L:$L,"Уражено"))</f>
        <v/>
      </c>
      <c r="J626">
        <f>IF($A626="","",COUNTIFS('Таблиця 1'!$B:$B,$A626,'Таблиця 1'!$E:$E,"СП",'Таблиця 1'!$L:$L,"Уражено"))</f>
        <v/>
      </c>
      <c r="K626">
        <f>IF($A626="","",COUNTIFS('Таблиця 1'!$B:$B,$A626,'Таблиця 1'!$E:$E,"КСП роти",'Таблиця 1'!$L:$L,"Уражено"))</f>
        <v/>
      </c>
      <c r="L626">
        <f>IF($A626="","",COUNTIFS('Таблиця 1'!$B:$B,$A626,'Таблиця 1'!$E:$E,"ПУ бат",'Таблиця 1'!$L:$L,"Уражено"))</f>
        <v/>
      </c>
      <c r="M626">
        <f>IF($A626="","",COUNTIFS('Таблиця 1'!$B:$B,$A626,'Таблиця 1'!$E:$E,"ПУ бриг",'Таблиця 1'!$L:$L,"Уражено"))</f>
        <v/>
      </c>
      <c r="N626">
        <f>IF($A626="","",COUNTIFS('Таблиця 1'!$B:$B,$A626,'Таблиця 1'!$E:$E,"ПУ див",'Таблиця 1'!$L:$L,"Уражено"))</f>
        <v/>
      </c>
      <c r="O626">
        <f>IF($A626="","",COUNTIFS('Таблиця 1'!$B:$B,$A626,'Таблиця 1'!$E:$E,"обл. РЕБ",'Таблиця 1'!$L:$L,"Уражено"))</f>
        <v/>
      </c>
      <c r="P626">
        <f>IF($A626="","",COUNTIFS('Таблиця 1'!$B:$B,$A626,'Таблиця 1'!$E:$E,"пос РЕБ",'Таблиця 1'!$L:$L,"Уражено"))</f>
        <v/>
      </c>
      <c r="Q626">
        <f>IF($A626="","",COUNTIFS('Таблиця 1'!$B:$B,$A626,'Таблиця 1'!$E:$E,"група РЕР",'Таблиця 1'!$L:$L,"Уражено"))</f>
        <v/>
      </c>
      <c r="R626">
        <f>IF($A626="","",COUNTIFS('Таблиця 1'!$B:$B,$A626,'Таблиця 1'!$E:$E,"РЛС КББ",'Таблиця 1'!$L:$L,"Уражено"))</f>
        <v/>
      </c>
      <c r="S626">
        <f>IF($A626="","",COUNTIFS('Таблиця 1'!$B:$B,$A626,'Таблиця 1'!$E:$E,"Ретранслятор",'Таблиця 1'!$L:$L,"Уражено"))</f>
        <v/>
      </c>
      <c r="T626">
        <f>IF($A626="","",COUNTIFS('Таблиця 1'!$B:$B,$A626,'Таблиця 1'!$E:$E,"Вз.зв'язку",'Таблиця 1'!$L:$L,"Уражено"))</f>
        <v/>
      </c>
      <c r="U626">
        <f>IF($A626="","",COUNTIFS('Таблиця 1'!$B:$B,$A626,'Таблиця 1'!$E:$E,"ПММ",'Таблиця 1'!$L:$L,"Уражено"))</f>
        <v/>
      </c>
      <c r="V626">
        <f>IF($A626="","",COUNTIFS('Таблиця 1'!$B:$B,$A626,'Таблиця 1'!$E:$E,"ІФС",'Таблиця 1'!$L:$L,"Уражено"))</f>
        <v/>
      </c>
      <c r="W626">
        <f>IF($A626="","",COUNTIFS('Таблиця 1'!$B:$B,$A626,'Таблиця 1'!$E:$E,"Інфраструктура",'Таблиця 1'!$L:$L,"Уражено"))</f>
        <v/>
      </c>
      <c r="X626">
        <f>IF($A626="","",SUMIFS('Таблиця 1'!$K:$K,'Таблиця 1'!$B:$B,$A626))</f>
        <v/>
      </c>
    </row>
    <row r="627">
      <c r="A627" s="81">
        <f>IF(A626="","",IF(A626+1&gt;MAX('Таблиця 1'!$B:$B),"",A626+1))</f>
        <v/>
      </c>
      <c r="B627">
        <f>IF($A627="","",COUNTIFS('Таблиця 1'!$B:$B,$A627,'Таблиця 1'!$E:$E,"ЖС ВЗ",'Таблиця 1'!$L:$L,"Уражено"))</f>
        <v/>
      </c>
      <c r="C627">
        <f>IF($A627="","",COUNTIFS('Таблиця 1'!$B:$B,$A627,'Таблиця 1'!$E:$E,"Арт. Системи",'Таблиця 1'!$L:$L,"Уражено"))</f>
        <v/>
      </c>
      <c r="D627">
        <f>IF($A627="","",COUNTIFS('Таблиця 1'!$B:$B,$A627,'Таблиця 1'!$E:$E,"ОВТ",'Таблиця 1'!$L:$L,"Уражено"))</f>
        <v/>
      </c>
      <c r="E627">
        <f>IF($A627="","",COUNTIFS('Таблиця 1'!$B:$B,$A627,'Таблиця 1'!$E:$E,"ППО",'Таблиця 1'!$L:$L,"Уражено"))</f>
        <v/>
      </c>
      <c r="F627">
        <f>IF($A627="","",COUNTIFS('Таблиця 1'!$B:$B,$A627,'Таблиця 1'!$E:$E,"Рембаза",'Таблиця 1'!$L:$L,"Уражено"))</f>
        <v/>
      </c>
      <c r="G627">
        <f>IF($A627="","",COUNTIFS('Таблиця 1'!$B:$B,$A627,'Таблиця 1'!$E:$E,"Склад БК",'Таблиця 1'!$L:$L,"Уражено"))</f>
        <v/>
      </c>
      <c r="H627">
        <f>IF($A627="","",COUNTIFS('Таблиця 1'!$B:$B,$A627,'Таблиця 1'!$E:$E,"Склад ВТМ",'Таблиця 1'!$L:$L,"Уражено"))</f>
        <v/>
      </c>
      <c r="I627">
        <f>IF($A627="","",COUNTIFS('Таблиця 1'!$B:$B,$A627,'Таблиця 1'!$E:$E,"ПУ БпЛА",'Таблиця 1'!$L:$L,"Уражено"))</f>
        <v/>
      </c>
      <c r="J627">
        <f>IF($A627="","",COUNTIFS('Таблиця 1'!$B:$B,$A627,'Таблиця 1'!$E:$E,"СП",'Таблиця 1'!$L:$L,"Уражено"))</f>
        <v/>
      </c>
      <c r="K627">
        <f>IF($A627="","",COUNTIFS('Таблиця 1'!$B:$B,$A627,'Таблиця 1'!$E:$E,"КСП роти",'Таблиця 1'!$L:$L,"Уражено"))</f>
        <v/>
      </c>
      <c r="L627">
        <f>IF($A627="","",COUNTIFS('Таблиця 1'!$B:$B,$A627,'Таблиця 1'!$E:$E,"ПУ бат",'Таблиця 1'!$L:$L,"Уражено"))</f>
        <v/>
      </c>
      <c r="M627">
        <f>IF($A627="","",COUNTIFS('Таблиця 1'!$B:$B,$A627,'Таблиця 1'!$E:$E,"ПУ бриг",'Таблиця 1'!$L:$L,"Уражено"))</f>
        <v/>
      </c>
      <c r="N627">
        <f>IF($A627="","",COUNTIFS('Таблиця 1'!$B:$B,$A627,'Таблиця 1'!$E:$E,"ПУ див",'Таблиця 1'!$L:$L,"Уражено"))</f>
        <v/>
      </c>
      <c r="O627">
        <f>IF($A627="","",COUNTIFS('Таблиця 1'!$B:$B,$A627,'Таблиця 1'!$E:$E,"обл. РЕБ",'Таблиця 1'!$L:$L,"Уражено"))</f>
        <v/>
      </c>
      <c r="P627">
        <f>IF($A627="","",COUNTIFS('Таблиця 1'!$B:$B,$A627,'Таблиця 1'!$E:$E,"пос РЕБ",'Таблиця 1'!$L:$L,"Уражено"))</f>
        <v/>
      </c>
      <c r="Q627">
        <f>IF($A627="","",COUNTIFS('Таблиця 1'!$B:$B,$A627,'Таблиця 1'!$E:$E,"група РЕР",'Таблиця 1'!$L:$L,"Уражено"))</f>
        <v/>
      </c>
      <c r="R627">
        <f>IF($A627="","",COUNTIFS('Таблиця 1'!$B:$B,$A627,'Таблиця 1'!$E:$E,"РЛС КББ",'Таблиця 1'!$L:$L,"Уражено"))</f>
        <v/>
      </c>
      <c r="S627">
        <f>IF($A627="","",COUNTIFS('Таблиця 1'!$B:$B,$A627,'Таблиця 1'!$E:$E,"Ретранслятор",'Таблиця 1'!$L:$L,"Уражено"))</f>
        <v/>
      </c>
      <c r="T627">
        <f>IF($A627="","",COUNTIFS('Таблиця 1'!$B:$B,$A627,'Таблиця 1'!$E:$E,"Вз.зв'язку",'Таблиця 1'!$L:$L,"Уражено"))</f>
        <v/>
      </c>
      <c r="U627">
        <f>IF($A627="","",COUNTIFS('Таблиця 1'!$B:$B,$A627,'Таблиця 1'!$E:$E,"ПММ",'Таблиця 1'!$L:$L,"Уражено"))</f>
        <v/>
      </c>
      <c r="V627">
        <f>IF($A627="","",COUNTIFS('Таблиця 1'!$B:$B,$A627,'Таблиця 1'!$E:$E,"ІФС",'Таблиця 1'!$L:$L,"Уражено"))</f>
        <v/>
      </c>
      <c r="W627">
        <f>IF($A627="","",COUNTIFS('Таблиця 1'!$B:$B,$A627,'Таблиця 1'!$E:$E,"Інфраструктура",'Таблиця 1'!$L:$L,"Уражено"))</f>
        <v/>
      </c>
      <c r="X627">
        <f>IF($A627="","",SUMIFS('Таблиця 1'!$K:$K,'Таблиця 1'!$B:$B,$A627))</f>
        <v/>
      </c>
    </row>
    <row r="628">
      <c r="A628" s="81">
        <f>IF(A627="","",IF(A627+1&gt;MAX('Таблиця 1'!$B:$B),"",A627+1))</f>
        <v/>
      </c>
      <c r="B628">
        <f>IF($A628="","",COUNTIFS('Таблиця 1'!$B:$B,$A628,'Таблиця 1'!$E:$E,"ЖС ВЗ",'Таблиця 1'!$L:$L,"Уражено"))</f>
        <v/>
      </c>
      <c r="C628">
        <f>IF($A628="","",COUNTIFS('Таблиця 1'!$B:$B,$A628,'Таблиця 1'!$E:$E,"Арт. Системи",'Таблиця 1'!$L:$L,"Уражено"))</f>
        <v/>
      </c>
      <c r="D628">
        <f>IF($A628="","",COUNTIFS('Таблиця 1'!$B:$B,$A628,'Таблиця 1'!$E:$E,"ОВТ",'Таблиця 1'!$L:$L,"Уражено"))</f>
        <v/>
      </c>
      <c r="E628">
        <f>IF($A628="","",COUNTIFS('Таблиця 1'!$B:$B,$A628,'Таблиця 1'!$E:$E,"ППО",'Таблиця 1'!$L:$L,"Уражено"))</f>
        <v/>
      </c>
      <c r="F628">
        <f>IF($A628="","",COUNTIFS('Таблиця 1'!$B:$B,$A628,'Таблиця 1'!$E:$E,"Рембаза",'Таблиця 1'!$L:$L,"Уражено"))</f>
        <v/>
      </c>
      <c r="G628">
        <f>IF($A628="","",COUNTIFS('Таблиця 1'!$B:$B,$A628,'Таблиця 1'!$E:$E,"Склад БК",'Таблиця 1'!$L:$L,"Уражено"))</f>
        <v/>
      </c>
      <c r="H628">
        <f>IF($A628="","",COUNTIFS('Таблиця 1'!$B:$B,$A628,'Таблиця 1'!$E:$E,"Склад ВТМ",'Таблиця 1'!$L:$L,"Уражено"))</f>
        <v/>
      </c>
      <c r="I628">
        <f>IF($A628="","",COUNTIFS('Таблиця 1'!$B:$B,$A628,'Таблиця 1'!$E:$E,"ПУ БпЛА",'Таблиця 1'!$L:$L,"Уражено"))</f>
        <v/>
      </c>
      <c r="J628">
        <f>IF($A628="","",COUNTIFS('Таблиця 1'!$B:$B,$A628,'Таблиця 1'!$E:$E,"СП",'Таблиця 1'!$L:$L,"Уражено"))</f>
        <v/>
      </c>
      <c r="K628">
        <f>IF($A628="","",COUNTIFS('Таблиця 1'!$B:$B,$A628,'Таблиця 1'!$E:$E,"КСП роти",'Таблиця 1'!$L:$L,"Уражено"))</f>
        <v/>
      </c>
      <c r="L628">
        <f>IF($A628="","",COUNTIFS('Таблиця 1'!$B:$B,$A628,'Таблиця 1'!$E:$E,"ПУ бат",'Таблиця 1'!$L:$L,"Уражено"))</f>
        <v/>
      </c>
      <c r="M628">
        <f>IF($A628="","",COUNTIFS('Таблиця 1'!$B:$B,$A628,'Таблиця 1'!$E:$E,"ПУ бриг",'Таблиця 1'!$L:$L,"Уражено"))</f>
        <v/>
      </c>
      <c r="N628">
        <f>IF($A628="","",COUNTIFS('Таблиця 1'!$B:$B,$A628,'Таблиця 1'!$E:$E,"ПУ див",'Таблиця 1'!$L:$L,"Уражено"))</f>
        <v/>
      </c>
      <c r="O628">
        <f>IF($A628="","",COUNTIFS('Таблиця 1'!$B:$B,$A628,'Таблиця 1'!$E:$E,"обл. РЕБ",'Таблиця 1'!$L:$L,"Уражено"))</f>
        <v/>
      </c>
      <c r="P628">
        <f>IF($A628="","",COUNTIFS('Таблиця 1'!$B:$B,$A628,'Таблиця 1'!$E:$E,"пос РЕБ",'Таблиця 1'!$L:$L,"Уражено"))</f>
        <v/>
      </c>
      <c r="Q628">
        <f>IF($A628="","",COUNTIFS('Таблиця 1'!$B:$B,$A628,'Таблиця 1'!$E:$E,"група РЕР",'Таблиця 1'!$L:$L,"Уражено"))</f>
        <v/>
      </c>
      <c r="R628">
        <f>IF($A628="","",COUNTIFS('Таблиця 1'!$B:$B,$A628,'Таблиця 1'!$E:$E,"РЛС КББ",'Таблиця 1'!$L:$L,"Уражено"))</f>
        <v/>
      </c>
      <c r="S628">
        <f>IF($A628="","",COUNTIFS('Таблиця 1'!$B:$B,$A628,'Таблиця 1'!$E:$E,"Ретранслятор",'Таблиця 1'!$L:$L,"Уражено"))</f>
        <v/>
      </c>
      <c r="T628">
        <f>IF($A628="","",COUNTIFS('Таблиця 1'!$B:$B,$A628,'Таблиця 1'!$E:$E,"Вз.зв'язку",'Таблиця 1'!$L:$L,"Уражено"))</f>
        <v/>
      </c>
      <c r="U628">
        <f>IF($A628="","",COUNTIFS('Таблиця 1'!$B:$B,$A628,'Таблиця 1'!$E:$E,"ПММ",'Таблиця 1'!$L:$L,"Уражено"))</f>
        <v/>
      </c>
      <c r="V628">
        <f>IF($A628="","",COUNTIFS('Таблиця 1'!$B:$B,$A628,'Таблиця 1'!$E:$E,"ІФС",'Таблиця 1'!$L:$L,"Уражено"))</f>
        <v/>
      </c>
      <c r="W628">
        <f>IF($A628="","",COUNTIFS('Таблиця 1'!$B:$B,$A628,'Таблиця 1'!$E:$E,"Інфраструктура",'Таблиця 1'!$L:$L,"Уражено"))</f>
        <v/>
      </c>
      <c r="X628">
        <f>IF($A628="","",SUMIFS('Таблиця 1'!$K:$K,'Таблиця 1'!$B:$B,$A628))</f>
        <v/>
      </c>
    </row>
    <row r="629">
      <c r="A629" s="81">
        <f>IF(A628="","",IF(A628+1&gt;MAX('Таблиця 1'!$B:$B),"",A628+1))</f>
        <v/>
      </c>
      <c r="B629">
        <f>IF($A629="","",COUNTIFS('Таблиця 1'!$B:$B,$A629,'Таблиця 1'!$E:$E,"ЖС ВЗ",'Таблиця 1'!$L:$L,"Уражено"))</f>
        <v/>
      </c>
      <c r="C629">
        <f>IF($A629="","",COUNTIFS('Таблиця 1'!$B:$B,$A629,'Таблиця 1'!$E:$E,"Арт. Системи",'Таблиця 1'!$L:$L,"Уражено"))</f>
        <v/>
      </c>
      <c r="D629">
        <f>IF($A629="","",COUNTIFS('Таблиця 1'!$B:$B,$A629,'Таблиця 1'!$E:$E,"ОВТ",'Таблиця 1'!$L:$L,"Уражено"))</f>
        <v/>
      </c>
      <c r="E629">
        <f>IF($A629="","",COUNTIFS('Таблиця 1'!$B:$B,$A629,'Таблиця 1'!$E:$E,"ППО",'Таблиця 1'!$L:$L,"Уражено"))</f>
        <v/>
      </c>
      <c r="F629">
        <f>IF($A629="","",COUNTIFS('Таблиця 1'!$B:$B,$A629,'Таблиця 1'!$E:$E,"Рембаза",'Таблиця 1'!$L:$L,"Уражено"))</f>
        <v/>
      </c>
      <c r="G629">
        <f>IF($A629="","",COUNTIFS('Таблиця 1'!$B:$B,$A629,'Таблиця 1'!$E:$E,"Склад БК",'Таблиця 1'!$L:$L,"Уражено"))</f>
        <v/>
      </c>
      <c r="H629">
        <f>IF($A629="","",COUNTIFS('Таблиця 1'!$B:$B,$A629,'Таблиця 1'!$E:$E,"Склад ВТМ",'Таблиця 1'!$L:$L,"Уражено"))</f>
        <v/>
      </c>
      <c r="I629">
        <f>IF($A629="","",COUNTIFS('Таблиця 1'!$B:$B,$A629,'Таблиця 1'!$E:$E,"ПУ БпЛА",'Таблиця 1'!$L:$L,"Уражено"))</f>
        <v/>
      </c>
      <c r="J629">
        <f>IF($A629="","",COUNTIFS('Таблиця 1'!$B:$B,$A629,'Таблиця 1'!$E:$E,"СП",'Таблиця 1'!$L:$L,"Уражено"))</f>
        <v/>
      </c>
      <c r="K629">
        <f>IF($A629="","",COUNTIFS('Таблиця 1'!$B:$B,$A629,'Таблиця 1'!$E:$E,"КСП роти",'Таблиця 1'!$L:$L,"Уражено"))</f>
        <v/>
      </c>
      <c r="L629">
        <f>IF($A629="","",COUNTIFS('Таблиця 1'!$B:$B,$A629,'Таблиця 1'!$E:$E,"ПУ бат",'Таблиця 1'!$L:$L,"Уражено"))</f>
        <v/>
      </c>
      <c r="M629">
        <f>IF($A629="","",COUNTIFS('Таблиця 1'!$B:$B,$A629,'Таблиця 1'!$E:$E,"ПУ бриг",'Таблиця 1'!$L:$L,"Уражено"))</f>
        <v/>
      </c>
      <c r="N629">
        <f>IF($A629="","",COUNTIFS('Таблиця 1'!$B:$B,$A629,'Таблиця 1'!$E:$E,"ПУ див",'Таблиця 1'!$L:$L,"Уражено"))</f>
        <v/>
      </c>
      <c r="O629">
        <f>IF($A629="","",COUNTIFS('Таблиця 1'!$B:$B,$A629,'Таблиця 1'!$E:$E,"обл. РЕБ",'Таблиця 1'!$L:$L,"Уражено"))</f>
        <v/>
      </c>
      <c r="P629">
        <f>IF($A629="","",COUNTIFS('Таблиця 1'!$B:$B,$A629,'Таблиця 1'!$E:$E,"пос РЕБ",'Таблиця 1'!$L:$L,"Уражено"))</f>
        <v/>
      </c>
      <c r="Q629">
        <f>IF($A629="","",COUNTIFS('Таблиця 1'!$B:$B,$A629,'Таблиця 1'!$E:$E,"група РЕР",'Таблиця 1'!$L:$L,"Уражено"))</f>
        <v/>
      </c>
      <c r="R629">
        <f>IF($A629="","",COUNTIFS('Таблиця 1'!$B:$B,$A629,'Таблиця 1'!$E:$E,"РЛС КББ",'Таблиця 1'!$L:$L,"Уражено"))</f>
        <v/>
      </c>
      <c r="S629">
        <f>IF($A629="","",COUNTIFS('Таблиця 1'!$B:$B,$A629,'Таблиця 1'!$E:$E,"Ретранслятор",'Таблиця 1'!$L:$L,"Уражено"))</f>
        <v/>
      </c>
      <c r="T629">
        <f>IF($A629="","",COUNTIFS('Таблиця 1'!$B:$B,$A629,'Таблиця 1'!$E:$E,"Вз.зв'язку",'Таблиця 1'!$L:$L,"Уражено"))</f>
        <v/>
      </c>
      <c r="U629">
        <f>IF($A629="","",COUNTIFS('Таблиця 1'!$B:$B,$A629,'Таблиця 1'!$E:$E,"ПММ",'Таблиця 1'!$L:$L,"Уражено"))</f>
        <v/>
      </c>
      <c r="V629">
        <f>IF($A629="","",COUNTIFS('Таблиця 1'!$B:$B,$A629,'Таблиця 1'!$E:$E,"ІФС",'Таблиця 1'!$L:$L,"Уражено"))</f>
        <v/>
      </c>
      <c r="W629">
        <f>IF($A629="","",COUNTIFS('Таблиця 1'!$B:$B,$A629,'Таблиця 1'!$E:$E,"Інфраструктура",'Таблиця 1'!$L:$L,"Уражено"))</f>
        <v/>
      </c>
      <c r="X629">
        <f>IF($A629="","",SUMIFS('Таблиця 1'!$K:$K,'Таблиця 1'!$B:$B,$A629))</f>
        <v/>
      </c>
    </row>
    <row r="630">
      <c r="A630" s="81">
        <f>IF(A629="","",IF(A629+1&gt;MAX('Таблиця 1'!$B:$B),"",A629+1))</f>
        <v/>
      </c>
      <c r="B630">
        <f>IF($A630="","",COUNTIFS('Таблиця 1'!$B:$B,$A630,'Таблиця 1'!$E:$E,"ЖС ВЗ",'Таблиця 1'!$L:$L,"Уражено"))</f>
        <v/>
      </c>
      <c r="C630">
        <f>IF($A630="","",COUNTIFS('Таблиця 1'!$B:$B,$A630,'Таблиця 1'!$E:$E,"Арт. Системи",'Таблиця 1'!$L:$L,"Уражено"))</f>
        <v/>
      </c>
      <c r="D630">
        <f>IF($A630="","",COUNTIFS('Таблиця 1'!$B:$B,$A630,'Таблиця 1'!$E:$E,"ОВТ",'Таблиця 1'!$L:$L,"Уражено"))</f>
        <v/>
      </c>
      <c r="E630">
        <f>IF($A630="","",COUNTIFS('Таблиця 1'!$B:$B,$A630,'Таблиця 1'!$E:$E,"ППО",'Таблиця 1'!$L:$L,"Уражено"))</f>
        <v/>
      </c>
      <c r="F630">
        <f>IF($A630="","",COUNTIFS('Таблиця 1'!$B:$B,$A630,'Таблиця 1'!$E:$E,"Рембаза",'Таблиця 1'!$L:$L,"Уражено"))</f>
        <v/>
      </c>
      <c r="G630">
        <f>IF($A630="","",COUNTIFS('Таблиця 1'!$B:$B,$A630,'Таблиця 1'!$E:$E,"Склад БК",'Таблиця 1'!$L:$L,"Уражено"))</f>
        <v/>
      </c>
      <c r="H630">
        <f>IF($A630="","",COUNTIFS('Таблиця 1'!$B:$B,$A630,'Таблиця 1'!$E:$E,"Склад ВТМ",'Таблиця 1'!$L:$L,"Уражено"))</f>
        <v/>
      </c>
      <c r="I630">
        <f>IF($A630="","",COUNTIFS('Таблиця 1'!$B:$B,$A630,'Таблиця 1'!$E:$E,"ПУ БпЛА",'Таблиця 1'!$L:$L,"Уражено"))</f>
        <v/>
      </c>
      <c r="J630">
        <f>IF($A630="","",COUNTIFS('Таблиця 1'!$B:$B,$A630,'Таблиця 1'!$E:$E,"СП",'Таблиця 1'!$L:$L,"Уражено"))</f>
        <v/>
      </c>
      <c r="K630">
        <f>IF($A630="","",COUNTIFS('Таблиця 1'!$B:$B,$A630,'Таблиця 1'!$E:$E,"КСП роти",'Таблиця 1'!$L:$L,"Уражено"))</f>
        <v/>
      </c>
      <c r="L630">
        <f>IF($A630="","",COUNTIFS('Таблиця 1'!$B:$B,$A630,'Таблиця 1'!$E:$E,"ПУ бат",'Таблиця 1'!$L:$L,"Уражено"))</f>
        <v/>
      </c>
      <c r="M630">
        <f>IF($A630="","",COUNTIFS('Таблиця 1'!$B:$B,$A630,'Таблиця 1'!$E:$E,"ПУ бриг",'Таблиця 1'!$L:$L,"Уражено"))</f>
        <v/>
      </c>
      <c r="N630">
        <f>IF($A630="","",COUNTIFS('Таблиця 1'!$B:$B,$A630,'Таблиця 1'!$E:$E,"ПУ див",'Таблиця 1'!$L:$L,"Уражено"))</f>
        <v/>
      </c>
      <c r="O630">
        <f>IF($A630="","",COUNTIFS('Таблиця 1'!$B:$B,$A630,'Таблиця 1'!$E:$E,"обл. РЕБ",'Таблиця 1'!$L:$L,"Уражено"))</f>
        <v/>
      </c>
      <c r="P630">
        <f>IF($A630="","",COUNTIFS('Таблиця 1'!$B:$B,$A630,'Таблиця 1'!$E:$E,"пос РЕБ",'Таблиця 1'!$L:$L,"Уражено"))</f>
        <v/>
      </c>
      <c r="Q630">
        <f>IF($A630="","",COUNTIFS('Таблиця 1'!$B:$B,$A630,'Таблиця 1'!$E:$E,"група РЕР",'Таблиця 1'!$L:$L,"Уражено"))</f>
        <v/>
      </c>
      <c r="R630">
        <f>IF($A630="","",COUNTIFS('Таблиця 1'!$B:$B,$A630,'Таблиця 1'!$E:$E,"РЛС КББ",'Таблиця 1'!$L:$L,"Уражено"))</f>
        <v/>
      </c>
      <c r="S630">
        <f>IF($A630="","",COUNTIFS('Таблиця 1'!$B:$B,$A630,'Таблиця 1'!$E:$E,"Ретранслятор",'Таблиця 1'!$L:$L,"Уражено"))</f>
        <v/>
      </c>
      <c r="T630">
        <f>IF($A630="","",COUNTIFS('Таблиця 1'!$B:$B,$A630,'Таблиця 1'!$E:$E,"Вз.зв'язку",'Таблиця 1'!$L:$L,"Уражено"))</f>
        <v/>
      </c>
      <c r="U630">
        <f>IF($A630="","",COUNTIFS('Таблиця 1'!$B:$B,$A630,'Таблиця 1'!$E:$E,"ПММ",'Таблиця 1'!$L:$L,"Уражено"))</f>
        <v/>
      </c>
      <c r="V630">
        <f>IF($A630="","",COUNTIFS('Таблиця 1'!$B:$B,$A630,'Таблиця 1'!$E:$E,"ІФС",'Таблиця 1'!$L:$L,"Уражено"))</f>
        <v/>
      </c>
      <c r="W630">
        <f>IF($A630="","",COUNTIFS('Таблиця 1'!$B:$B,$A630,'Таблиця 1'!$E:$E,"Інфраструктура",'Таблиця 1'!$L:$L,"Уражено"))</f>
        <v/>
      </c>
      <c r="X630">
        <f>IF($A630="","",SUMIFS('Таблиця 1'!$K:$K,'Таблиця 1'!$B:$B,$A630))</f>
        <v/>
      </c>
    </row>
    <row r="631">
      <c r="A631" s="81">
        <f>IF(A630="","",IF(A630+1&gt;MAX('Таблиця 1'!$B:$B),"",A630+1))</f>
        <v/>
      </c>
      <c r="B631">
        <f>IF($A631="","",COUNTIFS('Таблиця 1'!$B:$B,$A631,'Таблиця 1'!$E:$E,"ЖС ВЗ",'Таблиця 1'!$L:$L,"Уражено"))</f>
        <v/>
      </c>
      <c r="C631">
        <f>IF($A631="","",COUNTIFS('Таблиця 1'!$B:$B,$A631,'Таблиця 1'!$E:$E,"Арт. Системи",'Таблиця 1'!$L:$L,"Уражено"))</f>
        <v/>
      </c>
      <c r="D631">
        <f>IF($A631="","",COUNTIFS('Таблиця 1'!$B:$B,$A631,'Таблиця 1'!$E:$E,"ОВТ",'Таблиця 1'!$L:$L,"Уражено"))</f>
        <v/>
      </c>
      <c r="E631">
        <f>IF($A631="","",COUNTIFS('Таблиця 1'!$B:$B,$A631,'Таблиця 1'!$E:$E,"ППО",'Таблиця 1'!$L:$L,"Уражено"))</f>
        <v/>
      </c>
      <c r="F631">
        <f>IF($A631="","",COUNTIFS('Таблиця 1'!$B:$B,$A631,'Таблиця 1'!$E:$E,"Рембаза",'Таблиця 1'!$L:$L,"Уражено"))</f>
        <v/>
      </c>
      <c r="G631">
        <f>IF($A631="","",COUNTIFS('Таблиця 1'!$B:$B,$A631,'Таблиця 1'!$E:$E,"Склад БК",'Таблиця 1'!$L:$L,"Уражено"))</f>
        <v/>
      </c>
      <c r="H631">
        <f>IF($A631="","",COUNTIFS('Таблиця 1'!$B:$B,$A631,'Таблиця 1'!$E:$E,"Склад ВТМ",'Таблиця 1'!$L:$L,"Уражено"))</f>
        <v/>
      </c>
      <c r="I631">
        <f>IF($A631="","",COUNTIFS('Таблиця 1'!$B:$B,$A631,'Таблиця 1'!$E:$E,"ПУ БпЛА",'Таблиця 1'!$L:$L,"Уражено"))</f>
        <v/>
      </c>
      <c r="J631">
        <f>IF($A631="","",COUNTIFS('Таблиця 1'!$B:$B,$A631,'Таблиця 1'!$E:$E,"СП",'Таблиця 1'!$L:$L,"Уражено"))</f>
        <v/>
      </c>
      <c r="K631">
        <f>IF($A631="","",COUNTIFS('Таблиця 1'!$B:$B,$A631,'Таблиця 1'!$E:$E,"КСП роти",'Таблиця 1'!$L:$L,"Уражено"))</f>
        <v/>
      </c>
      <c r="L631">
        <f>IF($A631="","",COUNTIFS('Таблиця 1'!$B:$B,$A631,'Таблиця 1'!$E:$E,"ПУ бат",'Таблиця 1'!$L:$L,"Уражено"))</f>
        <v/>
      </c>
      <c r="M631">
        <f>IF($A631="","",COUNTIFS('Таблиця 1'!$B:$B,$A631,'Таблиця 1'!$E:$E,"ПУ бриг",'Таблиця 1'!$L:$L,"Уражено"))</f>
        <v/>
      </c>
      <c r="N631">
        <f>IF($A631="","",COUNTIFS('Таблиця 1'!$B:$B,$A631,'Таблиця 1'!$E:$E,"ПУ див",'Таблиця 1'!$L:$L,"Уражено"))</f>
        <v/>
      </c>
      <c r="O631">
        <f>IF($A631="","",COUNTIFS('Таблиця 1'!$B:$B,$A631,'Таблиця 1'!$E:$E,"обл. РЕБ",'Таблиця 1'!$L:$L,"Уражено"))</f>
        <v/>
      </c>
      <c r="P631">
        <f>IF($A631="","",COUNTIFS('Таблиця 1'!$B:$B,$A631,'Таблиця 1'!$E:$E,"пос РЕБ",'Таблиця 1'!$L:$L,"Уражено"))</f>
        <v/>
      </c>
      <c r="Q631">
        <f>IF($A631="","",COUNTIFS('Таблиця 1'!$B:$B,$A631,'Таблиця 1'!$E:$E,"група РЕР",'Таблиця 1'!$L:$L,"Уражено"))</f>
        <v/>
      </c>
      <c r="R631">
        <f>IF($A631="","",COUNTIFS('Таблиця 1'!$B:$B,$A631,'Таблиця 1'!$E:$E,"РЛС КББ",'Таблиця 1'!$L:$L,"Уражено"))</f>
        <v/>
      </c>
      <c r="S631">
        <f>IF($A631="","",COUNTIFS('Таблиця 1'!$B:$B,$A631,'Таблиця 1'!$E:$E,"Ретранслятор",'Таблиця 1'!$L:$L,"Уражено"))</f>
        <v/>
      </c>
      <c r="T631">
        <f>IF($A631="","",COUNTIFS('Таблиця 1'!$B:$B,$A631,'Таблиця 1'!$E:$E,"Вз.зв'язку",'Таблиця 1'!$L:$L,"Уражено"))</f>
        <v/>
      </c>
      <c r="U631">
        <f>IF($A631="","",COUNTIFS('Таблиця 1'!$B:$B,$A631,'Таблиця 1'!$E:$E,"ПММ",'Таблиця 1'!$L:$L,"Уражено"))</f>
        <v/>
      </c>
      <c r="V631">
        <f>IF($A631="","",COUNTIFS('Таблиця 1'!$B:$B,$A631,'Таблиця 1'!$E:$E,"ІФС",'Таблиця 1'!$L:$L,"Уражено"))</f>
        <v/>
      </c>
      <c r="W631">
        <f>IF($A631="","",COUNTIFS('Таблиця 1'!$B:$B,$A631,'Таблиця 1'!$E:$E,"Інфраструктура",'Таблиця 1'!$L:$L,"Уражено"))</f>
        <v/>
      </c>
      <c r="X631">
        <f>IF($A631="","",SUMIFS('Таблиця 1'!$K:$K,'Таблиця 1'!$B:$B,$A631))</f>
        <v/>
      </c>
    </row>
    <row r="632">
      <c r="A632" s="81">
        <f>IF(A631="","",IF(A631+1&gt;MAX('Таблиця 1'!$B:$B),"",A631+1))</f>
        <v/>
      </c>
      <c r="B632">
        <f>IF($A632="","",COUNTIFS('Таблиця 1'!$B:$B,$A632,'Таблиця 1'!$E:$E,"ЖС ВЗ",'Таблиця 1'!$L:$L,"Уражено"))</f>
        <v/>
      </c>
      <c r="C632">
        <f>IF($A632="","",COUNTIFS('Таблиця 1'!$B:$B,$A632,'Таблиця 1'!$E:$E,"Арт. Системи",'Таблиця 1'!$L:$L,"Уражено"))</f>
        <v/>
      </c>
      <c r="D632">
        <f>IF($A632="","",COUNTIFS('Таблиця 1'!$B:$B,$A632,'Таблиця 1'!$E:$E,"ОВТ",'Таблиця 1'!$L:$L,"Уражено"))</f>
        <v/>
      </c>
      <c r="E632">
        <f>IF($A632="","",COUNTIFS('Таблиця 1'!$B:$B,$A632,'Таблиця 1'!$E:$E,"ППО",'Таблиця 1'!$L:$L,"Уражено"))</f>
        <v/>
      </c>
      <c r="F632">
        <f>IF($A632="","",COUNTIFS('Таблиця 1'!$B:$B,$A632,'Таблиця 1'!$E:$E,"Рембаза",'Таблиця 1'!$L:$L,"Уражено"))</f>
        <v/>
      </c>
      <c r="G632">
        <f>IF($A632="","",COUNTIFS('Таблиця 1'!$B:$B,$A632,'Таблиця 1'!$E:$E,"Склад БК",'Таблиця 1'!$L:$L,"Уражено"))</f>
        <v/>
      </c>
      <c r="H632">
        <f>IF($A632="","",COUNTIFS('Таблиця 1'!$B:$B,$A632,'Таблиця 1'!$E:$E,"Склад ВТМ",'Таблиця 1'!$L:$L,"Уражено"))</f>
        <v/>
      </c>
      <c r="I632">
        <f>IF($A632="","",COUNTIFS('Таблиця 1'!$B:$B,$A632,'Таблиця 1'!$E:$E,"ПУ БпЛА",'Таблиця 1'!$L:$L,"Уражено"))</f>
        <v/>
      </c>
      <c r="J632">
        <f>IF($A632="","",COUNTIFS('Таблиця 1'!$B:$B,$A632,'Таблиця 1'!$E:$E,"СП",'Таблиця 1'!$L:$L,"Уражено"))</f>
        <v/>
      </c>
      <c r="K632">
        <f>IF($A632="","",COUNTIFS('Таблиця 1'!$B:$B,$A632,'Таблиця 1'!$E:$E,"КСП роти",'Таблиця 1'!$L:$L,"Уражено"))</f>
        <v/>
      </c>
      <c r="L632">
        <f>IF($A632="","",COUNTIFS('Таблиця 1'!$B:$B,$A632,'Таблиця 1'!$E:$E,"ПУ бат",'Таблиця 1'!$L:$L,"Уражено"))</f>
        <v/>
      </c>
      <c r="M632">
        <f>IF($A632="","",COUNTIFS('Таблиця 1'!$B:$B,$A632,'Таблиця 1'!$E:$E,"ПУ бриг",'Таблиця 1'!$L:$L,"Уражено"))</f>
        <v/>
      </c>
      <c r="N632">
        <f>IF($A632="","",COUNTIFS('Таблиця 1'!$B:$B,$A632,'Таблиця 1'!$E:$E,"ПУ див",'Таблиця 1'!$L:$L,"Уражено"))</f>
        <v/>
      </c>
      <c r="O632">
        <f>IF($A632="","",COUNTIFS('Таблиця 1'!$B:$B,$A632,'Таблиця 1'!$E:$E,"обл. РЕБ",'Таблиця 1'!$L:$L,"Уражено"))</f>
        <v/>
      </c>
      <c r="P632">
        <f>IF($A632="","",COUNTIFS('Таблиця 1'!$B:$B,$A632,'Таблиця 1'!$E:$E,"пос РЕБ",'Таблиця 1'!$L:$L,"Уражено"))</f>
        <v/>
      </c>
      <c r="Q632">
        <f>IF($A632="","",COUNTIFS('Таблиця 1'!$B:$B,$A632,'Таблиця 1'!$E:$E,"група РЕР",'Таблиця 1'!$L:$L,"Уражено"))</f>
        <v/>
      </c>
      <c r="R632">
        <f>IF($A632="","",COUNTIFS('Таблиця 1'!$B:$B,$A632,'Таблиця 1'!$E:$E,"РЛС КББ",'Таблиця 1'!$L:$L,"Уражено"))</f>
        <v/>
      </c>
      <c r="S632">
        <f>IF($A632="","",COUNTIFS('Таблиця 1'!$B:$B,$A632,'Таблиця 1'!$E:$E,"Ретранслятор",'Таблиця 1'!$L:$L,"Уражено"))</f>
        <v/>
      </c>
      <c r="T632">
        <f>IF($A632="","",COUNTIFS('Таблиця 1'!$B:$B,$A632,'Таблиця 1'!$E:$E,"Вз.зв'язку",'Таблиця 1'!$L:$L,"Уражено"))</f>
        <v/>
      </c>
      <c r="U632">
        <f>IF($A632="","",COUNTIFS('Таблиця 1'!$B:$B,$A632,'Таблиця 1'!$E:$E,"ПММ",'Таблиця 1'!$L:$L,"Уражено"))</f>
        <v/>
      </c>
      <c r="V632">
        <f>IF($A632="","",COUNTIFS('Таблиця 1'!$B:$B,$A632,'Таблиця 1'!$E:$E,"ІФС",'Таблиця 1'!$L:$L,"Уражено"))</f>
        <v/>
      </c>
      <c r="W632">
        <f>IF($A632="","",COUNTIFS('Таблиця 1'!$B:$B,$A632,'Таблиця 1'!$E:$E,"Інфраструктура",'Таблиця 1'!$L:$L,"Уражено"))</f>
        <v/>
      </c>
      <c r="X632">
        <f>IF($A632="","",SUMIFS('Таблиця 1'!$K:$K,'Таблиця 1'!$B:$B,$A632))</f>
        <v/>
      </c>
    </row>
    <row r="633">
      <c r="A633" s="81">
        <f>IF(A632="","",IF(A632+1&gt;MAX('Таблиця 1'!$B:$B),"",A632+1))</f>
        <v/>
      </c>
      <c r="B633">
        <f>IF($A633="","",COUNTIFS('Таблиця 1'!$B:$B,$A633,'Таблиця 1'!$E:$E,"ЖС ВЗ",'Таблиця 1'!$L:$L,"Уражено"))</f>
        <v/>
      </c>
      <c r="C633">
        <f>IF($A633="","",COUNTIFS('Таблиця 1'!$B:$B,$A633,'Таблиця 1'!$E:$E,"Арт. Системи",'Таблиця 1'!$L:$L,"Уражено"))</f>
        <v/>
      </c>
      <c r="D633">
        <f>IF($A633="","",COUNTIFS('Таблиця 1'!$B:$B,$A633,'Таблиця 1'!$E:$E,"ОВТ",'Таблиця 1'!$L:$L,"Уражено"))</f>
        <v/>
      </c>
      <c r="E633">
        <f>IF($A633="","",COUNTIFS('Таблиця 1'!$B:$B,$A633,'Таблиця 1'!$E:$E,"ППО",'Таблиця 1'!$L:$L,"Уражено"))</f>
        <v/>
      </c>
      <c r="F633">
        <f>IF($A633="","",COUNTIFS('Таблиця 1'!$B:$B,$A633,'Таблиця 1'!$E:$E,"Рембаза",'Таблиця 1'!$L:$L,"Уражено"))</f>
        <v/>
      </c>
      <c r="G633">
        <f>IF($A633="","",COUNTIFS('Таблиця 1'!$B:$B,$A633,'Таблиця 1'!$E:$E,"Склад БК",'Таблиця 1'!$L:$L,"Уражено"))</f>
        <v/>
      </c>
      <c r="H633">
        <f>IF($A633="","",COUNTIFS('Таблиця 1'!$B:$B,$A633,'Таблиця 1'!$E:$E,"Склад ВТМ",'Таблиця 1'!$L:$L,"Уражено"))</f>
        <v/>
      </c>
      <c r="I633">
        <f>IF($A633="","",COUNTIFS('Таблиця 1'!$B:$B,$A633,'Таблиця 1'!$E:$E,"ПУ БпЛА",'Таблиця 1'!$L:$L,"Уражено"))</f>
        <v/>
      </c>
      <c r="J633">
        <f>IF($A633="","",COUNTIFS('Таблиця 1'!$B:$B,$A633,'Таблиця 1'!$E:$E,"СП",'Таблиця 1'!$L:$L,"Уражено"))</f>
        <v/>
      </c>
      <c r="K633">
        <f>IF($A633="","",COUNTIFS('Таблиця 1'!$B:$B,$A633,'Таблиця 1'!$E:$E,"КСП роти",'Таблиця 1'!$L:$L,"Уражено"))</f>
        <v/>
      </c>
      <c r="L633">
        <f>IF($A633="","",COUNTIFS('Таблиця 1'!$B:$B,$A633,'Таблиця 1'!$E:$E,"ПУ бат",'Таблиця 1'!$L:$L,"Уражено"))</f>
        <v/>
      </c>
      <c r="M633">
        <f>IF($A633="","",COUNTIFS('Таблиця 1'!$B:$B,$A633,'Таблиця 1'!$E:$E,"ПУ бриг",'Таблиця 1'!$L:$L,"Уражено"))</f>
        <v/>
      </c>
      <c r="N633">
        <f>IF($A633="","",COUNTIFS('Таблиця 1'!$B:$B,$A633,'Таблиця 1'!$E:$E,"ПУ див",'Таблиця 1'!$L:$L,"Уражено"))</f>
        <v/>
      </c>
      <c r="O633">
        <f>IF($A633="","",COUNTIFS('Таблиця 1'!$B:$B,$A633,'Таблиця 1'!$E:$E,"обл. РЕБ",'Таблиця 1'!$L:$L,"Уражено"))</f>
        <v/>
      </c>
      <c r="P633">
        <f>IF($A633="","",COUNTIFS('Таблиця 1'!$B:$B,$A633,'Таблиця 1'!$E:$E,"пос РЕБ",'Таблиця 1'!$L:$L,"Уражено"))</f>
        <v/>
      </c>
      <c r="Q633">
        <f>IF($A633="","",COUNTIFS('Таблиця 1'!$B:$B,$A633,'Таблиця 1'!$E:$E,"група РЕР",'Таблиця 1'!$L:$L,"Уражено"))</f>
        <v/>
      </c>
      <c r="R633">
        <f>IF($A633="","",COUNTIFS('Таблиця 1'!$B:$B,$A633,'Таблиця 1'!$E:$E,"РЛС КББ",'Таблиця 1'!$L:$L,"Уражено"))</f>
        <v/>
      </c>
      <c r="S633">
        <f>IF($A633="","",COUNTIFS('Таблиця 1'!$B:$B,$A633,'Таблиця 1'!$E:$E,"Ретранслятор",'Таблиця 1'!$L:$L,"Уражено"))</f>
        <v/>
      </c>
      <c r="T633">
        <f>IF($A633="","",COUNTIFS('Таблиця 1'!$B:$B,$A633,'Таблиця 1'!$E:$E,"Вз.зв'язку",'Таблиця 1'!$L:$L,"Уражено"))</f>
        <v/>
      </c>
      <c r="U633">
        <f>IF($A633="","",COUNTIFS('Таблиця 1'!$B:$B,$A633,'Таблиця 1'!$E:$E,"ПММ",'Таблиця 1'!$L:$L,"Уражено"))</f>
        <v/>
      </c>
      <c r="V633">
        <f>IF($A633="","",COUNTIFS('Таблиця 1'!$B:$B,$A633,'Таблиця 1'!$E:$E,"ІФС",'Таблиця 1'!$L:$L,"Уражено"))</f>
        <v/>
      </c>
      <c r="W633">
        <f>IF($A633="","",COUNTIFS('Таблиця 1'!$B:$B,$A633,'Таблиця 1'!$E:$E,"Інфраструктура",'Таблиця 1'!$L:$L,"Уражено"))</f>
        <v/>
      </c>
      <c r="X633">
        <f>IF($A633="","",SUMIFS('Таблиця 1'!$K:$K,'Таблиця 1'!$B:$B,$A633))</f>
        <v/>
      </c>
    </row>
    <row r="634">
      <c r="A634" s="81">
        <f>IF(A633="","",IF(A633+1&gt;MAX('Таблиця 1'!$B:$B),"",A633+1))</f>
        <v/>
      </c>
      <c r="B634">
        <f>IF($A634="","",COUNTIFS('Таблиця 1'!$B:$B,$A634,'Таблиця 1'!$E:$E,"ЖС ВЗ",'Таблиця 1'!$L:$L,"Уражено"))</f>
        <v/>
      </c>
      <c r="C634">
        <f>IF($A634="","",COUNTIFS('Таблиця 1'!$B:$B,$A634,'Таблиця 1'!$E:$E,"Арт. Системи",'Таблиця 1'!$L:$L,"Уражено"))</f>
        <v/>
      </c>
      <c r="D634">
        <f>IF($A634="","",COUNTIFS('Таблиця 1'!$B:$B,$A634,'Таблиця 1'!$E:$E,"ОВТ",'Таблиця 1'!$L:$L,"Уражено"))</f>
        <v/>
      </c>
      <c r="E634">
        <f>IF($A634="","",COUNTIFS('Таблиця 1'!$B:$B,$A634,'Таблиця 1'!$E:$E,"ППО",'Таблиця 1'!$L:$L,"Уражено"))</f>
        <v/>
      </c>
      <c r="F634">
        <f>IF($A634="","",COUNTIFS('Таблиця 1'!$B:$B,$A634,'Таблиця 1'!$E:$E,"Рембаза",'Таблиця 1'!$L:$L,"Уражено"))</f>
        <v/>
      </c>
      <c r="G634">
        <f>IF($A634="","",COUNTIFS('Таблиця 1'!$B:$B,$A634,'Таблиця 1'!$E:$E,"Склад БК",'Таблиця 1'!$L:$L,"Уражено"))</f>
        <v/>
      </c>
      <c r="H634">
        <f>IF($A634="","",COUNTIFS('Таблиця 1'!$B:$B,$A634,'Таблиця 1'!$E:$E,"Склад ВТМ",'Таблиця 1'!$L:$L,"Уражено"))</f>
        <v/>
      </c>
      <c r="I634">
        <f>IF($A634="","",COUNTIFS('Таблиця 1'!$B:$B,$A634,'Таблиця 1'!$E:$E,"ПУ БпЛА",'Таблиця 1'!$L:$L,"Уражено"))</f>
        <v/>
      </c>
      <c r="J634">
        <f>IF($A634="","",COUNTIFS('Таблиця 1'!$B:$B,$A634,'Таблиця 1'!$E:$E,"СП",'Таблиця 1'!$L:$L,"Уражено"))</f>
        <v/>
      </c>
      <c r="K634">
        <f>IF($A634="","",COUNTIFS('Таблиця 1'!$B:$B,$A634,'Таблиця 1'!$E:$E,"КСП роти",'Таблиця 1'!$L:$L,"Уражено"))</f>
        <v/>
      </c>
      <c r="L634">
        <f>IF($A634="","",COUNTIFS('Таблиця 1'!$B:$B,$A634,'Таблиця 1'!$E:$E,"ПУ бат",'Таблиця 1'!$L:$L,"Уражено"))</f>
        <v/>
      </c>
      <c r="M634">
        <f>IF($A634="","",COUNTIFS('Таблиця 1'!$B:$B,$A634,'Таблиця 1'!$E:$E,"ПУ бриг",'Таблиця 1'!$L:$L,"Уражено"))</f>
        <v/>
      </c>
      <c r="N634">
        <f>IF($A634="","",COUNTIFS('Таблиця 1'!$B:$B,$A634,'Таблиця 1'!$E:$E,"ПУ див",'Таблиця 1'!$L:$L,"Уражено"))</f>
        <v/>
      </c>
      <c r="O634">
        <f>IF($A634="","",COUNTIFS('Таблиця 1'!$B:$B,$A634,'Таблиця 1'!$E:$E,"обл. РЕБ",'Таблиця 1'!$L:$L,"Уражено"))</f>
        <v/>
      </c>
      <c r="P634">
        <f>IF($A634="","",COUNTIFS('Таблиця 1'!$B:$B,$A634,'Таблиця 1'!$E:$E,"пос РЕБ",'Таблиця 1'!$L:$L,"Уражено"))</f>
        <v/>
      </c>
      <c r="Q634">
        <f>IF($A634="","",COUNTIFS('Таблиця 1'!$B:$B,$A634,'Таблиця 1'!$E:$E,"група РЕР",'Таблиця 1'!$L:$L,"Уражено"))</f>
        <v/>
      </c>
      <c r="R634">
        <f>IF($A634="","",COUNTIFS('Таблиця 1'!$B:$B,$A634,'Таблиця 1'!$E:$E,"РЛС КББ",'Таблиця 1'!$L:$L,"Уражено"))</f>
        <v/>
      </c>
      <c r="S634">
        <f>IF($A634="","",COUNTIFS('Таблиця 1'!$B:$B,$A634,'Таблиця 1'!$E:$E,"Ретранслятор",'Таблиця 1'!$L:$L,"Уражено"))</f>
        <v/>
      </c>
      <c r="T634">
        <f>IF($A634="","",COUNTIFS('Таблиця 1'!$B:$B,$A634,'Таблиця 1'!$E:$E,"Вз.зв'язку",'Таблиця 1'!$L:$L,"Уражено"))</f>
        <v/>
      </c>
      <c r="U634">
        <f>IF($A634="","",COUNTIFS('Таблиця 1'!$B:$B,$A634,'Таблиця 1'!$E:$E,"ПММ",'Таблиця 1'!$L:$L,"Уражено"))</f>
        <v/>
      </c>
      <c r="V634">
        <f>IF($A634="","",COUNTIFS('Таблиця 1'!$B:$B,$A634,'Таблиця 1'!$E:$E,"ІФС",'Таблиця 1'!$L:$L,"Уражено"))</f>
        <v/>
      </c>
      <c r="W634">
        <f>IF($A634="","",COUNTIFS('Таблиця 1'!$B:$B,$A634,'Таблиця 1'!$E:$E,"Інфраструктура",'Таблиця 1'!$L:$L,"Уражено"))</f>
        <v/>
      </c>
      <c r="X634">
        <f>IF($A634="","",SUMIFS('Таблиця 1'!$K:$K,'Таблиця 1'!$B:$B,$A634))</f>
        <v/>
      </c>
    </row>
    <row r="635">
      <c r="A635" s="81">
        <f>IF(A634="","",IF(A634+1&gt;MAX('Таблиця 1'!$B:$B),"",A634+1))</f>
        <v/>
      </c>
      <c r="B635">
        <f>IF($A635="","",COUNTIFS('Таблиця 1'!$B:$B,$A635,'Таблиця 1'!$E:$E,"ЖС ВЗ",'Таблиця 1'!$L:$L,"Уражено"))</f>
        <v/>
      </c>
      <c r="C635">
        <f>IF($A635="","",COUNTIFS('Таблиця 1'!$B:$B,$A635,'Таблиця 1'!$E:$E,"Арт. Системи",'Таблиця 1'!$L:$L,"Уражено"))</f>
        <v/>
      </c>
      <c r="D635">
        <f>IF($A635="","",COUNTIFS('Таблиця 1'!$B:$B,$A635,'Таблиця 1'!$E:$E,"ОВТ",'Таблиця 1'!$L:$L,"Уражено"))</f>
        <v/>
      </c>
      <c r="E635">
        <f>IF($A635="","",COUNTIFS('Таблиця 1'!$B:$B,$A635,'Таблиця 1'!$E:$E,"ППО",'Таблиця 1'!$L:$L,"Уражено"))</f>
        <v/>
      </c>
      <c r="F635">
        <f>IF($A635="","",COUNTIFS('Таблиця 1'!$B:$B,$A635,'Таблиця 1'!$E:$E,"Рембаза",'Таблиця 1'!$L:$L,"Уражено"))</f>
        <v/>
      </c>
      <c r="G635">
        <f>IF($A635="","",COUNTIFS('Таблиця 1'!$B:$B,$A635,'Таблиця 1'!$E:$E,"Склад БК",'Таблиця 1'!$L:$L,"Уражено"))</f>
        <v/>
      </c>
      <c r="H635">
        <f>IF($A635="","",COUNTIFS('Таблиця 1'!$B:$B,$A635,'Таблиця 1'!$E:$E,"Склад ВТМ",'Таблиця 1'!$L:$L,"Уражено"))</f>
        <v/>
      </c>
      <c r="I635">
        <f>IF($A635="","",COUNTIFS('Таблиця 1'!$B:$B,$A635,'Таблиця 1'!$E:$E,"ПУ БпЛА",'Таблиця 1'!$L:$L,"Уражено"))</f>
        <v/>
      </c>
      <c r="J635">
        <f>IF($A635="","",COUNTIFS('Таблиця 1'!$B:$B,$A635,'Таблиця 1'!$E:$E,"СП",'Таблиця 1'!$L:$L,"Уражено"))</f>
        <v/>
      </c>
      <c r="K635">
        <f>IF($A635="","",COUNTIFS('Таблиця 1'!$B:$B,$A635,'Таблиця 1'!$E:$E,"КСП роти",'Таблиця 1'!$L:$L,"Уражено"))</f>
        <v/>
      </c>
      <c r="L635">
        <f>IF($A635="","",COUNTIFS('Таблиця 1'!$B:$B,$A635,'Таблиця 1'!$E:$E,"ПУ бат",'Таблиця 1'!$L:$L,"Уражено"))</f>
        <v/>
      </c>
      <c r="M635">
        <f>IF($A635="","",COUNTIFS('Таблиця 1'!$B:$B,$A635,'Таблиця 1'!$E:$E,"ПУ бриг",'Таблиця 1'!$L:$L,"Уражено"))</f>
        <v/>
      </c>
      <c r="N635">
        <f>IF($A635="","",COUNTIFS('Таблиця 1'!$B:$B,$A635,'Таблиця 1'!$E:$E,"ПУ див",'Таблиця 1'!$L:$L,"Уражено"))</f>
        <v/>
      </c>
      <c r="O635">
        <f>IF($A635="","",COUNTIFS('Таблиця 1'!$B:$B,$A635,'Таблиця 1'!$E:$E,"обл. РЕБ",'Таблиця 1'!$L:$L,"Уражено"))</f>
        <v/>
      </c>
      <c r="P635">
        <f>IF($A635="","",COUNTIFS('Таблиця 1'!$B:$B,$A635,'Таблиця 1'!$E:$E,"пос РЕБ",'Таблиця 1'!$L:$L,"Уражено"))</f>
        <v/>
      </c>
      <c r="Q635">
        <f>IF($A635="","",COUNTIFS('Таблиця 1'!$B:$B,$A635,'Таблиця 1'!$E:$E,"група РЕР",'Таблиця 1'!$L:$L,"Уражено"))</f>
        <v/>
      </c>
      <c r="R635">
        <f>IF($A635="","",COUNTIFS('Таблиця 1'!$B:$B,$A635,'Таблиця 1'!$E:$E,"РЛС КББ",'Таблиця 1'!$L:$L,"Уражено"))</f>
        <v/>
      </c>
      <c r="S635">
        <f>IF($A635="","",COUNTIFS('Таблиця 1'!$B:$B,$A635,'Таблиця 1'!$E:$E,"Ретранслятор",'Таблиця 1'!$L:$L,"Уражено"))</f>
        <v/>
      </c>
      <c r="T635">
        <f>IF($A635="","",COUNTIFS('Таблиця 1'!$B:$B,$A635,'Таблиця 1'!$E:$E,"Вз.зв'язку",'Таблиця 1'!$L:$L,"Уражено"))</f>
        <v/>
      </c>
      <c r="U635">
        <f>IF($A635="","",COUNTIFS('Таблиця 1'!$B:$B,$A635,'Таблиця 1'!$E:$E,"ПММ",'Таблиця 1'!$L:$L,"Уражено"))</f>
        <v/>
      </c>
      <c r="V635">
        <f>IF($A635="","",COUNTIFS('Таблиця 1'!$B:$B,$A635,'Таблиця 1'!$E:$E,"ІФС",'Таблиця 1'!$L:$L,"Уражено"))</f>
        <v/>
      </c>
      <c r="W635">
        <f>IF($A635="","",COUNTIFS('Таблиця 1'!$B:$B,$A635,'Таблиця 1'!$E:$E,"Інфраструктура",'Таблиця 1'!$L:$L,"Уражено"))</f>
        <v/>
      </c>
      <c r="X635">
        <f>IF($A635="","",SUMIFS('Таблиця 1'!$K:$K,'Таблиця 1'!$B:$B,$A635))</f>
        <v/>
      </c>
    </row>
    <row r="636">
      <c r="A636" s="81">
        <f>IF(A635="","",IF(A635+1&gt;MAX('Таблиця 1'!$B:$B),"",A635+1))</f>
        <v/>
      </c>
      <c r="B636">
        <f>IF($A636="","",COUNTIFS('Таблиця 1'!$B:$B,$A636,'Таблиця 1'!$E:$E,"ЖС ВЗ",'Таблиця 1'!$L:$L,"Уражено"))</f>
        <v/>
      </c>
      <c r="C636">
        <f>IF($A636="","",COUNTIFS('Таблиця 1'!$B:$B,$A636,'Таблиця 1'!$E:$E,"Арт. Системи",'Таблиця 1'!$L:$L,"Уражено"))</f>
        <v/>
      </c>
      <c r="D636">
        <f>IF($A636="","",COUNTIFS('Таблиця 1'!$B:$B,$A636,'Таблиця 1'!$E:$E,"ОВТ",'Таблиця 1'!$L:$L,"Уражено"))</f>
        <v/>
      </c>
      <c r="E636">
        <f>IF($A636="","",COUNTIFS('Таблиця 1'!$B:$B,$A636,'Таблиця 1'!$E:$E,"ППО",'Таблиця 1'!$L:$L,"Уражено"))</f>
        <v/>
      </c>
      <c r="F636">
        <f>IF($A636="","",COUNTIFS('Таблиця 1'!$B:$B,$A636,'Таблиця 1'!$E:$E,"Рембаза",'Таблиця 1'!$L:$L,"Уражено"))</f>
        <v/>
      </c>
      <c r="G636">
        <f>IF($A636="","",COUNTIFS('Таблиця 1'!$B:$B,$A636,'Таблиця 1'!$E:$E,"Склад БК",'Таблиця 1'!$L:$L,"Уражено"))</f>
        <v/>
      </c>
      <c r="H636">
        <f>IF($A636="","",COUNTIFS('Таблиця 1'!$B:$B,$A636,'Таблиця 1'!$E:$E,"Склад ВТМ",'Таблиця 1'!$L:$L,"Уражено"))</f>
        <v/>
      </c>
      <c r="I636">
        <f>IF($A636="","",COUNTIFS('Таблиця 1'!$B:$B,$A636,'Таблиця 1'!$E:$E,"ПУ БпЛА",'Таблиця 1'!$L:$L,"Уражено"))</f>
        <v/>
      </c>
      <c r="J636">
        <f>IF($A636="","",COUNTIFS('Таблиця 1'!$B:$B,$A636,'Таблиця 1'!$E:$E,"СП",'Таблиця 1'!$L:$L,"Уражено"))</f>
        <v/>
      </c>
      <c r="K636">
        <f>IF($A636="","",COUNTIFS('Таблиця 1'!$B:$B,$A636,'Таблиця 1'!$E:$E,"КСП роти",'Таблиця 1'!$L:$L,"Уражено"))</f>
        <v/>
      </c>
      <c r="L636">
        <f>IF($A636="","",COUNTIFS('Таблиця 1'!$B:$B,$A636,'Таблиця 1'!$E:$E,"ПУ бат",'Таблиця 1'!$L:$L,"Уражено"))</f>
        <v/>
      </c>
      <c r="M636">
        <f>IF($A636="","",COUNTIFS('Таблиця 1'!$B:$B,$A636,'Таблиця 1'!$E:$E,"ПУ бриг",'Таблиця 1'!$L:$L,"Уражено"))</f>
        <v/>
      </c>
      <c r="N636">
        <f>IF($A636="","",COUNTIFS('Таблиця 1'!$B:$B,$A636,'Таблиця 1'!$E:$E,"ПУ див",'Таблиця 1'!$L:$L,"Уражено"))</f>
        <v/>
      </c>
      <c r="O636">
        <f>IF($A636="","",COUNTIFS('Таблиця 1'!$B:$B,$A636,'Таблиця 1'!$E:$E,"обл. РЕБ",'Таблиця 1'!$L:$L,"Уражено"))</f>
        <v/>
      </c>
      <c r="P636">
        <f>IF($A636="","",COUNTIFS('Таблиця 1'!$B:$B,$A636,'Таблиця 1'!$E:$E,"пос РЕБ",'Таблиця 1'!$L:$L,"Уражено"))</f>
        <v/>
      </c>
      <c r="Q636">
        <f>IF($A636="","",COUNTIFS('Таблиця 1'!$B:$B,$A636,'Таблиця 1'!$E:$E,"група РЕР",'Таблиця 1'!$L:$L,"Уражено"))</f>
        <v/>
      </c>
      <c r="R636">
        <f>IF($A636="","",COUNTIFS('Таблиця 1'!$B:$B,$A636,'Таблиця 1'!$E:$E,"РЛС КББ",'Таблиця 1'!$L:$L,"Уражено"))</f>
        <v/>
      </c>
      <c r="S636">
        <f>IF($A636="","",COUNTIFS('Таблиця 1'!$B:$B,$A636,'Таблиця 1'!$E:$E,"Ретранслятор",'Таблиця 1'!$L:$L,"Уражено"))</f>
        <v/>
      </c>
      <c r="T636">
        <f>IF($A636="","",COUNTIFS('Таблиця 1'!$B:$B,$A636,'Таблиця 1'!$E:$E,"Вз.зв'язку",'Таблиця 1'!$L:$L,"Уражено"))</f>
        <v/>
      </c>
      <c r="U636">
        <f>IF($A636="","",COUNTIFS('Таблиця 1'!$B:$B,$A636,'Таблиця 1'!$E:$E,"ПММ",'Таблиця 1'!$L:$L,"Уражено"))</f>
        <v/>
      </c>
      <c r="V636">
        <f>IF($A636="","",COUNTIFS('Таблиця 1'!$B:$B,$A636,'Таблиця 1'!$E:$E,"ІФС",'Таблиця 1'!$L:$L,"Уражено"))</f>
        <v/>
      </c>
      <c r="W636">
        <f>IF($A636="","",COUNTIFS('Таблиця 1'!$B:$B,$A636,'Таблиця 1'!$E:$E,"Інфраструктура",'Таблиця 1'!$L:$L,"Уражено"))</f>
        <v/>
      </c>
      <c r="X636">
        <f>IF($A636="","",SUMIFS('Таблиця 1'!$K:$K,'Таблиця 1'!$B:$B,$A636))</f>
        <v/>
      </c>
    </row>
    <row r="637">
      <c r="A637" s="81">
        <f>IF(A636="","",IF(A636+1&gt;MAX('Таблиця 1'!$B:$B),"",A636+1))</f>
        <v/>
      </c>
      <c r="B637">
        <f>IF($A637="","",COUNTIFS('Таблиця 1'!$B:$B,$A637,'Таблиця 1'!$E:$E,"ЖС ВЗ",'Таблиця 1'!$L:$L,"Уражено"))</f>
        <v/>
      </c>
      <c r="C637">
        <f>IF($A637="","",COUNTIFS('Таблиця 1'!$B:$B,$A637,'Таблиця 1'!$E:$E,"Арт. Системи",'Таблиця 1'!$L:$L,"Уражено"))</f>
        <v/>
      </c>
      <c r="D637">
        <f>IF($A637="","",COUNTIFS('Таблиця 1'!$B:$B,$A637,'Таблиця 1'!$E:$E,"ОВТ",'Таблиця 1'!$L:$L,"Уражено"))</f>
        <v/>
      </c>
      <c r="E637">
        <f>IF($A637="","",COUNTIFS('Таблиця 1'!$B:$B,$A637,'Таблиця 1'!$E:$E,"ППО",'Таблиця 1'!$L:$L,"Уражено"))</f>
        <v/>
      </c>
      <c r="F637">
        <f>IF($A637="","",COUNTIFS('Таблиця 1'!$B:$B,$A637,'Таблиця 1'!$E:$E,"Рембаза",'Таблиця 1'!$L:$L,"Уражено"))</f>
        <v/>
      </c>
      <c r="G637">
        <f>IF($A637="","",COUNTIFS('Таблиця 1'!$B:$B,$A637,'Таблиця 1'!$E:$E,"Склад БК",'Таблиця 1'!$L:$L,"Уражено"))</f>
        <v/>
      </c>
      <c r="H637">
        <f>IF($A637="","",COUNTIFS('Таблиця 1'!$B:$B,$A637,'Таблиця 1'!$E:$E,"Склад ВТМ",'Таблиця 1'!$L:$L,"Уражено"))</f>
        <v/>
      </c>
      <c r="I637">
        <f>IF($A637="","",COUNTIFS('Таблиця 1'!$B:$B,$A637,'Таблиця 1'!$E:$E,"ПУ БпЛА",'Таблиця 1'!$L:$L,"Уражено"))</f>
        <v/>
      </c>
      <c r="J637">
        <f>IF($A637="","",COUNTIFS('Таблиця 1'!$B:$B,$A637,'Таблиця 1'!$E:$E,"СП",'Таблиця 1'!$L:$L,"Уражено"))</f>
        <v/>
      </c>
      <c r="K637">
        <f>IF($A637="","",COUNTIFS('Таблиця 1'!$B:$B,$A637,'Таблиця 1'!$E:$E,"КСП роти",'Таблиця 1'!$L:$L,"Уражено"))</f>
        <v/>
      </c>
      <c r="L637">
        <f>IF($A637="","",COUNTIFS('Таблиця 1'!$B:$B,$A637,'Таблиця 1'!$E:$E,"ПУ бат",'Таблиця 1'!$L:$L,"Уражено"))</f>
        <v/>
      </c>
      <c r="M637">
        <f>IF($A637="","",COUNTIFS('Таблиця 1'!$B:$B,$A637,'Таблиця 1'!$E:$E,"ПУ бриг",'Таблиця 1'!$L:$L,"Уражено"))</f>
        <v/>
      </c>
      <c r="N637">
        <f>IF($A637="","",COUNTIFS('Таблиця 1'!$B:$B,$A637,'Таблиця 1'!$E:$E,"ПУ див",'Таблиця 1'!$L:$L,"Уражено"))</f>
        <v/>
      </c>
      <c r="O637">
        <f>IF($A637="","",COUNTIFS('Таблиця 1'!$B:$B,$A637,'Таблиця 1'!$E:$E,"обл. РЕБ",'Таблиця 1'!$L:$L,"Уражено"))</f>
        <v/>
      </c>
      <c r="P637">
        <f>IF($A637="","",COUNTIFS('Таблиця 1'!$B:$B,$A637,'Таблиця 1'!$E:$E,"пос РЕБ",'Таблиця 1'!$L:$L,"Уражено"))</f>
        <v/>
      </c>
      <c r="Q637">
        <f>IF($A637="","",COUNTIFS('Таблиця 1'!$B:$B,$A637,'Таблиця 1'!$E:$E,"група РЕР",'Таблиця 1'!$L:$L,"Уражено"))</f>
        <v/>
      </c>
      <c r="R637">
        <f>IF($A637="","",COUNTIFS('Таблиця 1'!$B:$B,$A637,'Таблиця 1'!$E:$E,"РЛС КББ",'Таблиця 1'!$L:$L,"Уражено"))</f>
        <v/>
      </c>
      <c r="S637">
        <f>IF($A637="","",COUNTIFS('Таблиця 1'!$B:$B,$A637,'Таблиця 1'!$E:$E,"Ретранслятор",'Таблиця 1'!$L:$L,"Уражено"))</f>
        <v/>
      </c>
      <c r="T637">
        <f>IF($A637="","",COUNTIFS('Таблиця 1'!$B:$B,$A637,'Таблиця 1'!$E:$E,"Вз.зв'язку",'Таблиця 1'!$L:$L,"Уражено"))</f>
        <v/>
      </c>
      <c r="U637">
        <f>IF($A637="","",COUNTIFS('Таблиця 1'!$B:$B,$A637,'Таблиця 1'!$E:$E,"ПММ",'Таблиця 1'!$L:$L,"Уражено"))</f>
        <v/>
      </c>
      <c r="V637">
        <f>IF($A637="","",COUNTIFS('Таблиця 1'!$B:$B,$A637,'Таблиця 1'!$E:$E,"ІФС",'Таблиця 1'!$L:$L,"Уражено"))</f>
        <v/>
      </c>
      <c r="W637">
        <f>IF($A637="","",COUNTIFS('Таблиця 1'!$B:$B,$A637,'Таблиця 1'!$E:$E,"Інфраструктура",'Таблиця 1'!$L:$L,"Уражено"))</f>
        <v/>
      </c>
      <c r="X637">
        <f>IF($A637="","",SUMIFS('Таблиця 1'!$K:$K,'Таблиця 1'!$B:$B,$A637))</f>
        <v/>
      </c>
    </row>
    <row r="638">
      <c r="A638" s="81">
        <f>IF(A637="","",IF(A637+1&gt;MAX('Таблиця 1'!$B:$B),"",A637+1))</f>
        <v/>
      </c>
      <c r="B638">
        <f>IF($A638="","",COUNTIFS('Таблиця 1'!$B:$B,$A638,'Таблиця 1'!$E:$E,"ЖС ВЗ",'Таблиця 1'!$L:$L,"Уражено"))</f>
        <v/>
      </c>
      <c r="C638">
        <f>IF($A638="","",COUNTIFS('Таблиця 1'!$B:$B,$A638,'Таблиця 1'!$E:$E,"Арт. Системи",'Таблиця 1'!$L:$L,"Уражено"))</f>
        <v/>
      </c>
      <c r="D638">
        <f>IF($A638="","",COUNTIFS('Таблиця 1'!$B:$B,$A638,'Таблиця 1'!$E:$E,"ОВТ",'Таблиця 1'!$L:$L,"Уражено"))</f>
        <v/>
      </c>
      <c r="E638">
        <f>IF($A638="","",COUNTIFS('Таблиця 1'!$B:$B,$A638,'Таблиця 1'!$E:$E,"ППО",'Таблиця 1'!$L:$L,"Уражено"))</f>
        <v/>
      </c>
      <c r="F638">
        <f>IF($A638="","",COUNTIFS('Таблиця 1'!$B:$B,$A638,'Таблиця 1'!$E:$E,"Рембаза",'Таблиця 1'!$L:$L,"Уражено"))</f>
        <v/>
      </c>
      <c r="G638">
        <f>IF($A638="","",COUNTIFS('Таблиця 1'!$B:$B,$A638,'Таблиця 1'!$E:$E,"Склад БК",'Таблиця 1'!$L:$L,"Уражено"))</f>
        <v/>
      </c>
      <c r="H638">
        <f>IF($A638="","",COUNTIFS('Таблиця 1'!$B:$B,$A638,'Таблиця 1'!$E:$E,"Склад ВТМ",'Таблиця 1'!$L:$L,"Уражено"))</f>
        <v/>
      </c>
      <c r="I638">
        <f>IF($A638="","",COUNTIFS('Таблиця 1'!$B:$B,$A638,'Таблиця 1'!$E:$E,"ПУ БпЛА",'Таблиця 1'!$L:$L,"Уражено"))</f>
        <v/>
      </c>
      <c r="J638">
        <f>IF($A638="","",COUNTIFS('Таблиця 1'!$B:$B,$A638,'Таблиця 1'!$E:$E,"СП",'Таблиця 1'!$L:$L,"Уражено"))</f>
        <v/>
      </c>
      <c r="K638">
        <f>IF($A638="","",COUNTIFS('Таблиця 1'!$B:$B,$A638,'Таблиця 1'!$E:$E,"КСП роти",'Таблиця 1'!$L:$L,"Уражено"))</f>
        <v/>
      </c>
      <c r="L638">
        <f>IF($A638="","",COUNTIFS('Таблиця 1'!$B:$B,$A638,'Таблиця 1'!$E:$E,"ПУ бат",'Таблиця 1'!$L:$L,"Уражено"))</f>
        <v/>
      </c>
      <c r="M638">
        <f>IF($A638="","",COUNTIFS('Таблиця 1'!$B:$B,$A638,'Таблиця 1'!$E:$E,"ПУ бриг",'Таблиця 1'!$L:$L,"Уражено"))</f>
        <v/>
      </c>
      <c r="N638">
        <f>IF($A638="","",COUNTIFS('Таблиця 1'!$B:$B,$A638,'Таблиця 1'!$E:$E,"ПУ див",'Таблиця 1'!$L:$L,"Уражено"))</f>
        <v/>
      </c>
      <c r="O638">
        <f>IF($A638="","",COUNTIFS('Таблиця 1'!$B:$B,$A638,'Таблиця 1'!$E:$E,"обл. РЕБ",'Таблиця 1'!$L:$L,"Уражено"))</f>
        <v/>
      </c>
      <c r="P638">
        <f>IF($A638="","",COUNTIFS('Таблиця 1'!$B:$B,$A638,'Таблиця 1'!$E:$E,"пос РЕБ",'Таблиця 1'!$L:$L,"Уражено"))</f>
        <v/>
      </c>
      <c r="Q638">
        <f>IF($A638="","",COUNTIFS('Таблиця 1'!$B:$B,$A638,'Таблиця 1'!$E:$E,"група РЕР",'Таблиця 1'!$L:$L,"Уражено"))</f>
        <v/>
      </c>
      <c r="R638">
        <f>IF($A638="","",COUNTIFS('Таблиця 1'!$B:$B,$A638,'Таблиця 1'!$E:$E,"РЛС КББ",'Таблиця 1'!$L:$L,"Уражено"))</f>
        <v/>
      </c>
      <c r="S638">
        <f>IF($A638="","",COUNTIFS('Таблиця 1'!$B:$B,$A638,'Таблиця 1'!$E:$E,"Ретранслятор",'Таблиця 1'!$L:$L,"Уражено"))</f>
        <v/>
      </c>
      <c r="T638">
        <f>IF($A638="","",COUNTIFS('Таблиця 1'!$B:$B,$A638,'Таблиця 1'!$E:$E,"Вз.зв'язку",'Таблиця 1'!$L:$L,"Уражено"))</f>
        <v/>
      </c>
      <c r="U638">
        <f>IF($A638="","",COUNTIFS('Таблиця 1'!$B:$B,$A638,'Таблиця 1'!$E:$E,"ПММ",'Таблиця 1'!$L:$L,"Уражено"))</f>
        <v/>
      </c>
      <c r="V638">
        <f>IF($A638="","",COUNTIFS('Таблиця 1'!$B:$B,$A638,'Таблиця 1'!$E:$E,"ІФС",'Таблиця 1'!$L:$L,"Уражено"))</f>
        <v/>
      </c>
      <c r="W638">
        <f>IF($A638="","",COUNTIFS('Таблиця 1'!$B:$B,$A638,'Таблиця 1'!$E:$E,"Інфраструктура",'Таблиця 1'!$L:$L,"Уражено"))</f>
        <v/>
      </c>
      <c r="X638">
        <f>IF($A638="","",SUMIFS('Таблиця 1'!$K:$K,'Таблиця 1'!$B:$B,$A638))</f>
        <v/>
      </c>
    </row>
    <row r="639">
      <c r="A639" s="81">
        <f>IF(A638="","",IF(A638+1&gt;MAX('Таблиця 1'!$B:$B),"",A638+1))</f>
        <v/>
      </c>
      <c r="B639">
        <f>IF($A639="","",COUNTIFS('Таблиця 1'!$B:$B,$A639,'Таблиця 1'!$E:$E,"ЖС ВЗ",'Таблиця 1'!$L:$L,"Уражено"))</f>
        <v/>
      </c>
      <c r="C639">
        <f>IF($A639="","",COUNTIFS('Таблиця 1'!$B:$B,$A639,'Таблиця 1'!$E:$E,"Арт. Системи",'Таблиця 1'!$L:$L,"Уражено"))</f>
        <v/>
      </c>
      <c r="D639">
        <f>IF($A639="","",COUNTIFS('Таблиця 1'!$B:$B,$A639,'Таблиця 1'!$E:$E,"ОВТ",'Таблиця 1'!$L:$L,"Уражено"))</f>
        <v/>
      </c>
      <c r="E639">
        <f>IF($A639="","",COUNTIFS('Таблиця 1'!$B:$B,$A639,'Таблиця 1'!$E:$E,"ППО",'Таблиця 1'!$L:$L,"Уражено"))</f>
        <v/>
      </c>
      <c r="F639">
        <f>IF($A639="","",COUNTIFS('Таблиця 1'!$B:$B,$A639,'Таблиця 1'!$E:$E,"Рембаза",'Таблиця 1'!$L:$L,"Уражено"))</f>
        <v/>
      </c>
      <c r="G639">
        <f>IF($A639="","",COUNTIFS('Таблиця 1'!$B:$B,$A639,'Таблиця 1'!$E:$E,"Склад БК",'Таблиця 1'!$L:$L,"Уражено"))</f>
        <v/>
      </c>
      <c r="H639">
        <f>IF($A639="","",COUNTIFS('Таблиця 1'!$B:$B,$A639,'Таблиця 1'!$E:$E,"Склад ВТМ",'Таблиця 1'!$L:$L,"Уражено"))</f>
        <v/>
      </c>
      <c r="I639">
        <f>IF($A639="","",COUNTIFS('Таблиця 1'!$B:$B,$A639,'Таблиця 1'!$E:$E,"ПУ БпЛА",'Таблиця 1'!$L:$L,"Уражено"))</f>
        <v/>
      </c>
      <c r="J639">
        <f>IF($A639="","",COUNTIFS('Таблиця 1'!$B:$B,$A639,'Таблиця 1'!$E:$E,"СП",'Таблиця 1'!$L:$L,"Уражено"))</f>
        <v/>
      </c>
      <c r="K639">
        <f>IF($A639="","",COUNTIFS('Таблиця 1'!$B:$B,$A639,'Таблиця 1'!$E:$E,"КСП роти",'Таблиця 1'!$L:$L,"Уражено"))</f>
        <v/>
      </c>
      <c r="L639">
        <f>IF($A639="","",COUNTIFS('Таблиця 1'!$B:$B,$A639,'Таблиця 1'!$E:$E,"ПУ бат",'Таблиця 1'!$L:$L,"Уражено"))</f>
        <v/>
      </c>
      <c r="M639">
        <f>IF($A639="","",COUNTIFS('Таблиця 1'!$B:$B,$A639,'Таблиця 1'!$E:$E,"ПУ бриг",'Таблиця 1'!$L:$L,"Уражено"))</f>
        <v/>
      </c>
      <c r="N639">
        <f>IF($A639="","",COUNTIFS('Таблиця 1'!$B:$B,$A639,'Таблиця 1'!$E:$E,"ПУ див",'Таблиця 1'!$L:$L,"Уражено"))</f>
        <v/>
      </c>
      <c r="O639">
        <f>IF($A639="","",COUNTIFS('Таблиця 1'!$B:$B,$A639,'Таблиця 1'!$E:$E,"обл. РЕБ",'Таблиця 1'!$L:$L,"Уражено"))</f>
        <v/>
      </c>
      <c r="P639">
        <f>IF($A639="","",COUNTIFS('Таблиця 1'!$B:$B,$A639,'Таблиця 1'!$E:$E,"пос РЕБ",'Таблиця 1'!$L:$L,"Уражено"))</f>
        <v/>
      </c>
      <c r="Q639">
        <f>IF($A639="","",COUNTIFS('Таблиця 1'!$B:$B,$A639,'Таблиця 1'!$E:$E,"група РЕР",'Таблиця 1'!$L:$L,"Уражено"))</f>
        <v/>
      </c>
      <c r="R639">
        <f>IF($A639="","",COUNTIFS('Таблиця 1'!$B:$B,$A639,'Таблиця 1'!$E:$E,"РЛС КББ",'Таблиця 1'!$L:$L,"Уражено"))</f>
        <v/>
      </c>
      <c r="S639">
        <f>IF($A639="","",COUNTIFS('Таблиця 1'!$B:$B,$A639,'Таблиця 1'!$E:$E,"Ретранслятор",'Таблиця 1'!$L:$L,"Уражено"))</f>
        <v/>
      </c>
      <c r="T639">
        <f>IF($A639="","",COUNTIFS('Таблиця 1'!$B:$B,$A639,'Таблиця 1'!$E:$E,"Вз.зв'язку",'Таблиця 1'!$L:$L,"Уражено"))</f>
        <v/>
      </c>
      <c r="U639">
        <f>IF($A639="","",COUNTIFS('Таблиця 1'!$B:$B,$A639,'Таблиця 1'!$E:$E,"ПММ",'Таблиця 1'!$L:$L,"Уражено"))</f>
        <v/>
      </c>
      <c r="V639">
        <f>IF($A639="","",COUNTIFS('Таблиця 1'!$B:$B,$A639,'Таблиця 1'!$E:$E,"ІФС",'Таблиця 1'!$L:$L,"Уражено"))</f>
        <v/>
      </c>
      <c r="W639">
        <f>IF($A639="","",COUNTIFS('Таблиця 1'!$B:$B,$A639,'Таблиця 1'!$E:$E,"Інфраструктура",'Таблиця 1'!$L:$L,"Уражено"))</f>
        <v/>
      </c>
      <c r="X639">
        <f>IF($A639="","",SUMIFS('Таблиця 1'!$K:$K,'Таблиця 1'!$B:$B,$A639))</f>
        <v/>
      </c>
    </row>
    <row r="640">
      <c r="A640" s="81">
        <f>IF(A639="","",IF(A639+1&gt;MAX('Таблиця 1'!$B:$B),"",A639+1))</f>
        <v/>
      </c>
      <c r="B640">
        <f>IF($A640="","",COUNTIFS('Таблиця 1'!$B:$B,$A640,'Таблиця 1'!$E:$E,"ЖС ВЗ",'Таблиця 1'!$L:$L,"Уражено"))</f>
        <v/>
      </c>
      <c r="C640">
        <f>IF($A640="","",COUNTIFS('Таблиця 1'!$B:$B,$A640,'Таблиця 1'!$E:$E,"Арт. Системи",'Таблиця 1'!$L:$L,"Уражено"))</f>
        <v/>
      </c>
      <c r="D640">
        <f>IF($A640="","",COUNTIFS('Таблиця 1'!$B:$B,$A640,'Таблиця 1'!$E:$E,"ОВТ",'Таблиця 1'!$L:$L,"Уражено"))</f>
        <v/>
      </c>
      <c r="E640">
        <f>IF($A640="","",COUNTIFS('Таблиця 1'!$B:$B,$A640,'Таблиця 1'!$E:$E,"ППО",'Таблиця 1'!$L:$L,"Уражено"))</f>
        <v/>
      </c>
      <c r="F640">
        <f>IF($A640="","",COUNTIFS('Таблиця 1'!$B:$B,$A640,'Таблиця 1'!$E:$E,"Рембаза",'Таблиця 1'!$L:$L,"Уражено"))</f>
        <v/>
      </c>
      <c r="G640">
        <f>IF($A640="","",COUNTIFS('Таблиця 1'!$B:$B,$A640,'Таблиця 1'!$E:$E,"Склад БК",'Таблиця 1'!$L:$L,"Уражено"))</f>
        <v/>
      </c>
      <c r="H640">
        <f>IF($A640="","",COUNTIFS('Таблиця 1'!$B:$B,$A640,'Таблиця 1'!$E:$E,"Склад ВТМ",'Таблиця 1'!$L:$L,"Уражено"))</f>
        <v/>
      </c>
      <c r="I640">
        <f>IF($A640="","",COUNTIFS('Таблиця 1'!$B:$B,$A640,'Таблиця 1'!$E:$E,"ПУ БпЛА",'Таблиця 1'!$L:$L,"Уражено"))</f>
        <v/>
      </c>
      <c r="J640">
        <f>IF($A640="","",COUNTIFS('Таблиця 1'!$B:$B,$A640,'Таблиця 1'!$E:$E,"СП",'Таблиця 1'!$L:$L,"Уражено"))</f>
        <v/>
      </c>
      <c r="K640">
        <f>IF($A640="","",COUNTIFS('Таблиця 1'!$B:$B,$A640,'Таблиця 1'!$E:$E,"КСП роти",'Таблиця 1'!$L:$L,"Уражено"))</f>
        <v/>
      </c>
      <c r="L640">
        <f>IF($A640="","",COUNTIFS('Таблиця 1'!$B:$B,$A640,'Таблиця 1'!$E:$E,"ПУ бат",'Таблиця 1'!$L:$L,"Уражено"))</f>
        <v/>
      </c>
      <c r="M640">
        <f>IF($A640="","",COUNTIFS('Таблиця 1'!$B:$B,$A640,'Таблиця 1'!$E:$E,"ПУ бриг",'Таблиця 1'!$L:$L,"Уражено"))</f>
        <v/>
      </c>
      <c r="N640">
        <f>IF($A640="","",COUNTIFS('Таблиця 1'!$B:$B,$A640,'Таблиця 1'!$E:$E,"ПУ див",'Таблиця 1'!$L:$L,"Уражено"))</f>
        <v/>
      </c>
      <c r="O640">
        <f>IF($A640="","",COUNTIFS('Таблиця 1'!$B:$B,$A640,'Таблиця 1'!$E:$E,"обл. РЕБ",'Таблиця 1'!$L:$L,"Уражено"))</f>
        <v/>
      </c>
      <c r="P640">
        <f>IF($A640="","",COUNTIFS('Таблиця 1'!$B:$B,$A640,'Таблиця 1'!$E:$E,"пос РЕБ",'Таблиця 1'!$L:$L,"Уражено"))</f>
        <v/>
      </c>
      <c r="Q640">
        <f>IF($A640="","",COUNTIFS('Таблиця 1'!$B:$B,$A640,'Таблиця 1'!$E:$E,"група РЕР",'Таблиця 1'!$L:$L,"Уражено"))</f>
        <v/>
      </c>
      <c r="R640">
        <f>IF($A640="","",COUNTIFS('Таблиця 1'!$B:$B,$A640,'Таблиця 1'!$E:$E,"РЛС КББ",'Таблиця 1'!$L:$L,"Уражено"))</f>
        <v/>
      </c>
      <c r="S640">
        <f>IF($A640="","",COUNTIFS('Таблиця 1'!$B:$B,$A640,'Таблиця 1'!$E:$E,"Ретранслятор",'Таблиця 1'!$L:$L,"Уражено"))</f>
        <v/>
      </c>
      <c r="T640">
        <f>IF($A640="","",COUNTIFS('Таблиця 1'!$B:$B,$A640,'Таблиця 1'!$E:$E,"Вз.зв'язку",'Таблиця 1'!$L:$L,"Уражено"))</f>
        <v/>
      </c>
      <c r="U640">
        <f>IF($A640="","",COUNTIFS('Таблиця 1'!$B:$B,$A640,'Таблиця 1'!$E:$E,"ПММ",'Таблиця 1'!$L:$L,"Уражено"))</f>
        <v/>
      </c>
      <c r="V640">
        <f>IF($A640="","",COUNTIFS('Таблиця 1'!$B:$B,$A640,'Таблиця 1'!$E:$E,"ІФС",'Таблиця 1'!$L:$L,"Уражено"))</f>
        <v/>
      </c>
      <c r="W640">
        <f>IF($A640="","",COUNTIFS('Таблиця 1'!$B:$B,$A640,'Таблиця 1'!$E:$E,"Інфраструктура",'Таблиця 1'!$L:$L,"Уражено"))</f>
        <v/>
      </c>
      <c r="X640">
        <f>IF($A640="","",SUMIFS('Таблиця 1'!$K:$K,'Таблиця 1'!$B:$B,$A640))</f>
        <v/>
      </c>
    </row>
    <row r="641">
      <c r="A641" s="81">
        <f>IF(A640="","",IF(A640+1&gt;MAX('Таблиця 1'!$B:$B),"",A640+1))</f>
        <v/>
      </c>
      <c r="B641">
        <f>IF($A641="","",COUNTIFS('Таблиця 1'!$B:$B,$A641,'Таблиця 1'!$E:$E,"ЖС ВЗ",'Таблиця 1'!$L:$L,"Уражено"))</f>
        <v/>
      </c>
      <c r="C641">
        <f>IF($A641="","",COUNTIFS('Таблиця 1'!$B:$B,$A641,'Таблиця 1'!$E:$E,"Арт. Системи",'Таблиця 1'!$L:$L,"Уражено"))</f>
        <v/>
      </c>
      <c r="D641">
        <f>IF($A641="","",COUNTIFS('Таблиця 1'!$B:$B,$A641,'Таблиця 1'!$E:$E,"ОВТ",'Таблиця 1'!$L:$L,"Уражено"))</f>
        <v/>
      </c>
      <c r="E641">
        <f>IF($A641="","",COUNTIFS('Таблиця 1'!$B:$B,$A641,'Таблиця 1'!$E:$E,"ППО",'Таблиця 1'!$L:$L,"Уражено"))</f>
        <v/>
      </c>
      <c r="F641">
        <f>IF($A641="","",COUNTIFS('Таблиця 1'!$B:$B,$A641,'Таблиця 1'!$E:$E,"Рембаза",'Таблиця 1'!$L:$L,"Уражено"))</f>
        <v/>
      </c>
      <c r="G641">
        <f>IF($A641="","",COUNTIFS('Таблиця 1'!$B:$B,$A641,'Таблиця 1'!$E:$E,"Склад БК",'Таблиця 1'!$L:$L,"Уражено"))</f>
        <v/>
      </c>
      <c r="H641">
        <f>IF($A641="","",COUNTIFS('Таблиця 1'!$B:$B,$A641,'Таблиця 1'!$E:$E,"Склад ВТМ",'Таблиця 1'!$L:$L,"Уражено"))</f>
        <v/>
      </c>
      <c r="I641">
        <f>IF($A641="","",COUNTIFS('Таблиця 1'!$B:$B,$A641,'Таблиця 1'!$E:$E,"ПУ БпЛА",'Таблиця 1'!$L:$L,"Уражено"))</f>
        <v/>
      </c>
      <c r="J641">
        <f>IF($A641="","",COUNTIFS('Таблиця 1'!$B:$B,$A641,'Таблиця 1'!$E:$E,"СП",'Таблиця 1'!$L:$L,"Уражено"))</f>
        <v/>
      </c>
      <c r="K641">
        <f>IF($A641="","",COUNTIFS('Таблиця 1'!$B:$B,$A641,'Таблиця 1'!$E:$E,"КСП роти",'Таблиця 1'!$L:$L,"Уражено"))</f>
        <v/>
      </c>
      <c r="L641">
        <f>IF($A641="","",COUNTIFS('Таблиця 1'!$B:$B,$A641,'Таблиця 1'!$E:$E,"ПУ бат",'Таблиця 1'!$L:$L,"Уражено"))</f>
        <v/>
      </c>
      <c r="M641">
        <f>IF($A641="","",COUNTIFS('Таблиця 1'!$B:$B,$A641,'Таблиця 1'!$E:$E,"ПУ бриг",'Таблиця 1'!$L:$L,"Уражено"))</f>
        <v/>
      </c>
      <c r="N641">
        <f>IF($A641="","",COUNTIFS('Таблиця 1'!$B:$B,$A641,'Таблиця 1'!$E:$E,"ПУ див",'Таблиця 1'!$L:$L,"Уражено"))</f>
        <v/>
      </c>
      <c r="O641">
        <f>IF($A641="","",COUNTIFS('Таблиця 1'!$B:$B,$A641,'Таблиця 1'!$E:$E,"обл. РЕБ",'Таблиця 1'!$L:$L,"Уражено"))</f>
        <v/>
      </c>
      <c r="P641">
        <f>IF($A641="","",COUNTIFS('Таблиця 1'!$B:$B,$A641,'Таблиця 1'!$E:$E,"пос РЕБ",'Таблиця 1'!$L:$L,"Уражено"))</f>
        <v/>
      </c>
      <c r="Q641">
        <f>IF($A641="","",COUNTIFS('Таблиця 1'!$B:$B,$A641,'Таблиця 1'!$E:$E,"група РЕР",'Таблиця 1'!$L:$L,"Уражено"))</f>
        <v/>
      </c>
      <c r="R641">
        <f>IF($A641="","",COUNTIFS('Таблиця 1'!$B:$B,$A641,'Таблиця 1'!$E:$E,"РЛС КББ",'Таблиця 1'!$L:$L,"Уражено"))</f>
        <v/>
      </c>
      <c r="S641">
        <f>IF($A641="","",COUNTIFS('Таблиця 1'!$B:$B,$A641,'Таблиця 1'!$E:$E,"Ретранслятор",'Таблиця 1'!$L:$L,"Уражено"))</f>
        <v/>
      </c>
      <c r="T641">
        <f>IF($A641="","",COUNTIFS('Таблиця 1'!$B:$B,$A641,'Таблиця 1'!$E:$E,"Вз.зв'язку",'Таблиця 1'!$L:$L,"Уражено"))</f>
        <v/>
      </c>
      <c r="U641">
        <f>IF($A641="","",COUNTIFS('Таблиця 1'!$B:$B,$A641,'Таблиця 1'!$E:$E,"ПММ",'Таблиця 1'!$L:$L,"Уражено"))</f>
        <v/>
      </c>
      <c r="V641">
        <f>IF($A641="","",COUNTIFS('Таблиця 1'!$B:$B,$A641,'Таблиця 1'!$E:$E,"ІФС",'Таблиця 1'!$L:$L,"Уражено"))</f>
        <v/>
      </c>
      <c r="W641">
        <f>IF($A641="","",COUNTIFS('Таблиця 1'!$B:$B,$A641,'Таблиця 1'!$E:$E,"Інфраструктура",'Таблиця 1'!$L:$L,"Уражено"))</f>
        <v/>
      </c>
      <c r="X641">
        <f>IF($A641="","",SUMIFS('Таблиця 1'!$K:$K,'Таблиця 1'!$B:$B,$A641))</f>
        <v/>
      </c>
    </row>
    <row r="642">
      <c r="A642" s="81">
        <f>IF(A641="","",IF(A641+1&gt;MAX('Таблиця 1'!$B:$B),"",A641+1))</f>
        <v/>
      </c>
      <c r="B642">
        <f>IF($A642="","",COUNTIFS('Таблиця 1'!$B:$B,$A642,'Таблиця 1'!$E:$E,"ЖС ВЗ",'Таблиця 1'!$L:$L,"Уражено"))</f>
        <v/>
      </c>
      <c r="C642">
        <f>IF($A642="","",COUNTIFS('Таблиця 1'!$B:$B,$A642,'Таблиця 1'!$E:$E,"Арт. Системи",'Таблиця 1'!$L:$L,"Уражено"))</f>
        <v/>
      </c>
      <c r="D642">
        <f>IF($A642="","",COUNTIFS('Таблиця 1'!$B:$B,$A642,'Таблиця 1'!$E:$E,"ОВТ",'Таблиця 1'!$L:$L,"Уражено"))</f>
        <v/>
      </c>
      <c r="E642">
        <f>IF($A642="","",COUNTIFS('Таблиця 1'!$B:$B,$A642,'Таблиця 1'!$E:$E,"ППО",'Таблиця 1'!$L:$L,"Уражено"))</f>
        <v/>
      </c>
      <c r="F642">
        <f>IF($A642="","",COUNTIFS('Таблиця 1'!$B:$B,$A642,'Таблиця 1'!$E:$E,"Рембаза",'Таблиця 1'!$L:$L,"Уражено"))</f>
        <v/>
      </c>
      <c r="G642">
        <f>IF($A642="","",COUNTIFS('Таблиця 1'!$B:$B,$A642,'Таблиця 1'!$E:$E,"Склад БК",'Таблиця 1'!$L:$L,"Уражено"))</f>
        <v/>
      </c>
      <c r="H642">
        <f>IF($A642="","",COUNTIFS('Таблиця 1'!$B:$B,$A642,'Таблиця 1'!$E:$E,"Склад ВТМ",'Таблиця 1'!$L:$L,"Уражено"))</f>
        <v/>
      </c>
      <c r="I642">
        <f>IF($A642="","",COUNTIFS('Таблиця 1'!$B:$B,$A642,'Таблиця 1'!$E:$E,"ПУ БпЛА",'Таблиця 1'!$L:$L,"Уражено"))</f>
        <v/>
      </c>
      <c r="J642">
        <f>IF($A642="","",COUNTIFS('Таблиця 1'!$B:$B,$A642,'Таблиця 1'!$E:$E,"СП",'Таблиця 1'!$L:$L,"Уражено"))</f>
        <v/>
      </c>
      <c r="K642">
        <f>IF($A642="","",COUNTIFS('Таблиця 1'!$B:$B,$A642,'Таблиця 1'!$E:$E,"КСП роти",'Таблиця 1'!$L:$L,"Уражено"))</f>
        <v/>
      </c>
      <c r="L642">
        <f>IF($A642="","",COUNTIFS('Таблиця 1'!$B:$B,$A642,'Таблиця 1'!$E:$E,"ПУ бат",'Таблиця 1'!$L:$L,"Уражено"))</f>
        <v/>
      </c>
      <c r="M642">
        <f>IF($A642="","",COUNTIFS('Таблиця 1'!$B:$B,$A642,'Таблиця 1'!$E:$E,"ПУ бриг",'Таблиця 1'!$L:$L,"Уражено"))</f>
        <v/>
      </c>
      <c r="N642">
        <f>IF($A642="","",COUNTIFS('Таблиця 1'!$B:$B,$A642,'Таблиця 1'!$E:$E,"ПУ див",'Таблиця 1'!$L:$L,"Уражено"))</f>
        <v/>
      </c>
      <c r="O642">
        <f>IF($A642="","",COUNTIFS('Таблиця 1'!$B:$B,$A642,'Таблиця 1'!$E:$E,"обл. РЕБ",'Таблиця 1'!$L:$L,"Уражено"))</f>
        <v/>
      </c>
      <c r="P642">
        <f>IF($A642="","",COUNTIFS('Таблиця 1'!$B:$B,$A642,'Таблиця 1'!$E:$E,"пос РЕБ",'Таблиця 1'!$L:$L,"Уражено"))</f>
        <v/>
      </c>
      <c r="Q642">
        <f>IF($A642="","",COUNTIFS('Таблиця 1'!$B:$B,$A642,'Таблиця 1'!$E:$E,"група РЕР",'Таблиця 1'!$L:$L,"Уражено"))</f>
        <v/>
      </c>
      <c r="R642">
        <f>IF($A642="","",COUNTIFS('Таблиця 1'!$B:$B,$A642,'Таблиця 1'!$E:$E,"РЛС КББ",'Таблиця 1'!$L:$L,"Уражено"))</f>
        <v/>
      </c>
      <c r="S642">
        <f>IF($A642="","",COUNTIFS('Таблиця 1'!$B:$B,$A642,'Таблиця 1'!$E:$E,"Ретранслятор",'Таблиця 1'!$L:$L,"Уражено"))</f>
        <v/>
      </c>
      <c r="T642">
        <f>IF($A642="","",COUNTIFS('Таблиця 1'!$B:$B,$A642,'Таблиця 1'!$E:$E,"Вз.зв'язку",'Таблиця 1'!$L:$L,"Уражено"))</f>
        <v/>
      </c>
      <c r="U642">
        <f>IF($A642="","",COUNTIFS('Таблиця 1'!$B:$B,$A642,'Таблиця 1'!$E:$E,"ПММ",'Таблиця 1'!$L:$L,"Уражено"))</f>
        <v/>
      </c>
      <c r="V642">
        <f>IF($A642="","",COUNTIFS('Таблиця 1'!$B:$B,$A642,'Таблиця 1'!$E:$E,"ІФС",'Таблиця 1'!$L:$L,"Уражено"))</f>
        <v/>
      </c>
      <c r="W642">
        <f>IF($A642="","",COUNTIFS('Таблиця 1'!$B:$B,$A642,'Таблиця 1'!$E:$E,"Інфраструктура",'Таблиця 1'!$L:$L,"Уражено"))</f>
        <v/>
      </c>
      <c r="X642">
        <f>IF($A642="","",SUMIFS('Таблиця 1'!$K:$K,'Таблиця 1'!$B:$B,$A642))</f>
        <v/>
      </c>
    </row>
    <row r="643">
      <c r="A643" s="81">
        <f>IF(A642="","",IF(A642+1&gt;MAX('Таблиця 1'!$B:$B),"",A642+1))</f>
        <v/>
      </c>
      <c r="B643">
        <f>IF($A643="","",COUNTIFS('Таблиця 1'!$B:$B,$A643,'Таблиця 1'!$E:$E,"ЖС ВЗ",'Таблиця 1'!$L:$L,"Уражено"))</f>
        <v/>
      </c>
      <c r="C643">
        <f>IF($A643="","",COUNTIFS('Таблиця 1'!$B:$B,$A643,'Таблиця 1'!$E:$E,"Арт. Системи",'Таблиця 1'!$L:$L,"Уражено"))</f>
        <v/>
      </c>
      <c r="D643">
        <f>IF($A643="","",COUNTIFS('Таблиця 1'!$B:$B,$A643,'Таблиця 1'!$E:$E,"ОВТ",'Таблиця 1'!$L:$L,"Уражено"))</f>
        <v/>
      </c>
      <c r="E643">
        <f>IF($A643="","",COUNTIFS('Таблиця 1'!$B:$B,$A643,'Таблиця 1'!$E:$E,"ППО",'Таблиця 1'!$L:$L,"Уражено"))</f>
        <v/>
      </c>
      <c r="F643">
        <f>IF($A643="","",COUNTIFS('Таблиця 1'!$B:$B,$A643,'Таблиця 1'!$E:$E,"Рембаза",'Таблиця 1'!$L:$L,"Уражено"))</f>
        <v/>
      </c>
      <c r="G643">
        <f>IF($A643="","",COUNTIFS('Таблиця 1'!$B:$B,$A643,'Таблиця 1'!$E:$E,"Склад БК",'Таблиця 1'!$L:$L,"Уражено"))</f>
        <v/>
      </c>
      <c r="H643">
        <f>IF($A643="","",COUNTIFS('Таблиця 1'!$B:$B,$A643,'Таблиця 1'!$E:$E,"Склад ВТМ",'Таблиця 1'!$L:$L,"Уражено"))</f>
        <v/>
      </c>
      <c r="I643">
        <f>IF($A643="","",COUNTIFS('Таблиця 1'!$B:$B,$A643,'Таблиця 1'!$E:$E,"ПУ БпЛА",'Таблиця 1'!$L:$L,"Уражено"))</f>
        <v/>
      </c>
      <c r="J643">
        <f>IF($A643="","",COUNTIFS('Таблиця 1'!$B:$B,$A643,'Таблиця 1'!$E:$E,"СП",'Таблиця 1'!$L:$L,"Уражено"))</f>
        <v/>
      </c>
      <c r="K643">
        <f>IF($A643="","",COUNTIFS('Таблиця 1'!$B:$B,$A643,'Таблиця 1'!$E:$E,"КСП роти",'Таблиця 1'!$L:$L,"Уражено"))</f>
        <v/>
      </c>
      <c r="L643">
        <f>IF($A643="","",COUNTIFS('Таблиця 1'!$B:$B,$A643,'Таблиця 1'!$E:$E,"ПУ бат",'Таблиця 1'!$L:$L,"Уражено"))</f>
        <v/>
      </c>
      <c r="M643">
        <f>IF($A643="","",COUNTIFS('Таблиця 1'!$B:$B,$A643,'Таблиця 1'!$E:$E,"ПУ бриг",'Таблиця 1'!$L:$L,"Уражено"))</f>
        <v/>
      </c>
      <c r="N643">
        <f>IF($A643="","",COUNTIFS('Таблиця 1'!$B:$B,$A643,'Таблиця 1'!$E:$E,"ПУ див",'Таблиця 1'!$L:$L,"Уражено"))</f>
        <v/>
      </c>
      <c r="O643">
        <f>IF($A643="","",COUNTIFS('Таблиця 1'!$B:$B,$A643,'Таблиця 1'!$E:$E,"обл. РЕБ",'Таблиця 1'!$L:$L,"Уражено"))</f>
        <v/>
      </c>
      <c r="P643">
        <f>IF($A643="","",COUNTIFS('Таблиця 1'!$B:$B,$A643,'Таблиця 1'!$E:$E,"пос РЕБ",'Таблиця 1'!$L:$L,"Уражено"))</f>
        <v/>
      </c>
      <c r="Q643">
        <f>IF($A643="","",COUNTIFS('Таблиця 1'!$B:$B,$A643,'Таблиця 1'!$E:$E,"група РЕР",'Таблиця 1'!$L:$L,"Уражено"))</f>
        <v/>
      </c>
      <c r="R643">
        <f>IF($A643="","",COUNTIFS('Таблиця 1'!$B:$B,$A643,'Таблиця 1'!$E:$E,"РЛС КББ",'Таблиця 1'!$L:$L,"Уражено"))</f>
        <v/>
      </c>
      <c r="S643">
        <f>IF($A643="","",COUNTIFS('Таблиця 1'!$B:$B,$A643,'Таблиця 1'!$E:$E,"Ретранслятор",'Таблиця 1'!$L:$L,"Уражено"))</f>
        <v/>
      </c>
      <c r="T643">
        <f>IF($A643="","",COUNTIFS('Таблиця 1'!$B:$B,$A643,'Таблиця 1'!$E:$E,"Вз.зв'язку",'Таблиця 1'!$L:$L,"Уражено"))</f>
        <v/>
      </c>
      <c r="U643">
        <f>IF($A643="","",COUNTIFS('Таблиця 1'!$B:$B,$A643,'Таблиця 1'!$E:$E,"ПММ",'Таблиця 1'!$L:$L,"Уражено"))</f>
        <v/>
      </c>
      <c r="V643">
        <f>IF($A643="","",COUNTIFS('Таблиця 1'!$B:$B,$A643,'Таблиця 1'!$E:$E,"ІФС",'Таблиця 1'!$L:$L,"Уражено"))</f>
        <v/>
      </c>
      <c r="W643">
        <f>IF($A643="","",COUNTIFS('Таблиця 1'!$B:$B,$A643,'Таблиця 1'!$E:$E,"Інфраструктура",'Таблиця 1'!$L:$L,"Уражено"))</f>
        <v/>
      </c>
      <c r="X643">
        <f>IF($A643="","",SUMIFS('Таблиця 1'!$K:$K,'Таблиця 1'!$B:$B,$A643))</f>
        <v/>
      </c>
    </row>
    <row r="644">
      <c r="A644" s="81">
        <f>IF(A643="","",IF(A643+1&gt;MAX('Таблиця 1'!$B:$B),"",A643+1))</f>
        <v/>
      </c>
      <c r="B644">
        <f>IF($A644="","",COUNTIFS('Таблиця 1'!$B:$B,$A644,'Таблиця 1'!$E:$E,"ЖС ВЗ",'Таблиця 1'!$L:$L,"Уражено"))</f>
        <v/>
      </c>
      <c r="C644">
        <f>IF($A644="","",COUNTIFS('Таблиця 1'!$B:$B,$A644,'Таблиця 1'!$E:$E,"Арт. Системи",'Таблиця 1'!$L:$L,"Уражено"))</f>
        <v/>
      </c>
      <c r="D644">
        <f>IF($A644="","",COUNTIFS('Таблиця 1'!$B:$B,$A644,'Таблиця 1'!$E:$E,"ОВТ",'Таблиця 1'!$L:$L,"Уражено"))</f>
        <v/>
      </c>
      <c r="E644">
        <f>IF($A644="","",COUNTIFS('Таблиця 1'!$B:$B,$A644,'Таблиця 1'!$E:$E,"ППО",'Таблиця 1'!$L:$L,"Уражено"))</f>
        <v/>
      </c>
      <c r="F644">
        <f>IF($A644="","",COUNTIFS('Таблиця 1'!$B:$B,$A644,'Таблиця 1'!$E:$E,"Рембаза",'Таблиця 1'!$L:$L,"Уражено"))</f>
        <v/>
      </c>
      <c r="G644">
        <f>IF($A644="","",COUNTIFS('Таблиця 1'!$B:$B,$A644,'Таблиця 1'!$E:$E,"Склад БК",'Таблиця 1'!$L:$L,"Уражено"))</f>
        <v/>
      </c>
      <c r="H644">
        <f>IF($A644="","",COUNTIFS('Таблиця 1'!$B:$B,$A644,'Таблиця 1'!$E:$E,"Склад ВТМ",'Таблиця 1'!$L:$L,"Уражено"))</f>
        <v/>
      </c>
      <c r="I644">
        <f>IF($A644="","",COUNTIFS('Таблиця 1'!$B:$B,$A644,'Таблиця 1'!$E:$E,"ПУ БпЛА",'Таблиця 1'!$L:$L,"Уражено"))</f>
        <v/>
      </c>
      <c r="J644">
        <f>IF($A644="","",COUNTIFS('Таблиця 1'!$B:$B,$A644,'Таблиця 1'!$E:$E,"СП",'Таблиця 1'!$L:$L,"Уражено"))</f>
        <v/>
      </c>
      <c r="K644">
        <f>IF($A644="","",COUNTIFS('Таблиця 1'!$B:$B,$A644,'Таблиця 1'!$E:$E,"КСП роти",'Таблиця 1'!$L:$L,"Уражено"))</f>
        <v/>
      </c>
      <c r="L644">
        <f>IF($A644="","",COUNTIFS('Таблиця 1'!$B:$B,$A644,'Таблиця 1'!$E:$E,"ПУ бат",'Таблиця 1'!$L:$L,"Уражено"))</f>
        <v/>
      </c>
      <c r="M644">
        <f>IF($A644="","",COUNTIFS('Таблиця 1'!$B:$B,$A644,'Таблиця 1'!$E:$E,"ПУ бриг",'Таблиця 1'!$L:$L,"Уражено"))</f>
        <v/>
      </c>
      <c r="N644">
        <f>IF($A644="","",COUNTIFS('Таблиця 1'!$B:$B,$A644,'Таблиця 1'!$E:$E,"ПУ див",'Таблиця 1'!$L:$L,"Уражено"))</f>
        <v/>
      </c>
      <c r="O644">
        <f>IF($A644="","",COUNTIFS('Таблиця 1'!$B:$B,$A644,'Таблиця 1'!$E:$E,"обл. РЕБ",'Таблиця 1'!$L:$L,"Уражено"))</f>
        <v/>
      </c>
      <c r="P644">
        <f>IF($A644="","",COUNTIFS('Таблиця 1'!$B:$B,$A644,'Таблиця 1'!$E:$E,"пос РЕБ",'Таблиця 1'!$L:$L,"Уражено"))</f>
        <v/>
      </c>
      <c r="Q644">
        <f>IF($A644="","",COUNTIFS('Таблиця 1'!$B:$B,$A644,'Таблиця 1'!$E:$E,"група РЕР",'Таблиця 1'!$L:$L,"Уражено"))</f>
        <v/>
      </c>
      <c r="R644">
        <f>IF($A644="","",COUNTIFS('Таблиця 1'!$B:$B,$A644,'Таблиця 1'!$E:$E,"РЛС КББ",'Таблиця 1'!$L:$L,"Уражено"))</f>
        <v/>
      </c>
      <c r="S644">
        <f>IF($A644="","",COUNTIFS('Таблиця 1'!$B:$B,$A644,'Таблиця 1'!$E:$E,"Ретранслятор",'Таблиця 1'!$L:$L,"Уражено"))</f>
        <v/>
      </c>
      <c r="T644">
        <f>IF($A644="","",COUNTIFS('Таблиця 1'!$B:$B,$A644,'Таблиця 1'!$E:$E,"Вз.зв'язку",'Таблиця 1'!$L:$L,"Уражено"))</f>
        <v/>
      </c>
      <c r="U644">
        <f>IF($A644="","",COUNTIFS('Таблиця 1'!$B:$B,$A644,'Таблиця 1'!$E:$E,"ПММ",'Таблиця 1'!$L:$L,"Уражено"))</f>
        <v/>
      </c>
      <c r="V644">
        <f>IF($A644="","",COUNTIFS('Таблиця 1'!$B:$B,$A644,'Таблиця 1'!$E:$E,"ІФС",'Таблиця 1'!$L:$L,"Уражено"))</f>
        <v/>
      </c>
      <c r="W644">
        <f>IF($A644="","",COUNTIFS('Таблиця 1'!$B:$B,$A644,'Таблиця 1'!$E:$E,"Інфраструктура",'Таблиця 1'!$L:$L,"Уражено"))</f>
        <v/>
      </c>
      <c r="X644">
        <f>IF($A644="","",SUMIFS('Таблиця 1'!$K:$K,'Таблиця 1'!$B:$B,$A644))</f>
        <v/>
      </c>
    </row>
    <row r="645">
      <c r="A645" s="81">
        <f>IF(A644="","",IF(A644+1&gt;MAX('Таблиця 1'!$B:$B),"",A644+1))</f>
        <v/>
      </c>
      <c r="B645">
        <f>IF($A645="","",COUNTIFS('Таблиця 1'!$B:$B,$A645,'Таблиця 1'!$E:$E,"ЖС ВЗ",'Таблиця 1'!$L:$L,"Уражено"))</f>
        <v/>
      </c>
      <c r="C645">
        <f>IF($A645="","",COUNTIFS('Таблиця 1'!$B:$B,$A645,'Таблиця 1'!$E:$E,"Арт. Системи",'Таблиця 1'!$L:$L,"Уражено"))</f>
        <v/>
      </c>
      <c r="D645">
        <f>IF($A645="","",COUNTIFS('Таблиця 1'!$B:$B,$A645,'Таблиця 1'!$E:$E,"ОВТ",'Таблиця 1'!$L:$L,"Уражено"))</f>
        <v/>
      </c>
      <c r="E645">
        <f>IF($A645="","",COUNTIFS('Таблиця 1'!$B:$B,$A645,'Таблиця 1'!$E:$E,"ППО",'Таблиця 1'!$L:$L,"Уражено"))</f>
        <v/>
      </c>
      <c r="F645">
        <f>IF($A645="","",COUNTIFS('Таблиця 1'!$B:$B,$A645,'Таблиця 1'!$E:$E,"Рембаза",'Таблиця 1'!$L:$L,"Уражено"))</f>
        <v/>
      </c>
      <c r="G645">
        <f>IF($A645="","",COUNTIFS('Таблиця 1'!$B:$B,$A645,'Таблиця 1'!$E:$E,"Склад БК",'Таблиця 1'!$L:$L,"Уражено"))</f>
        <v/>
      </c>
      <c r="H645">
        <f>IF($A645="","",COUNTIFS('Таблиця 1'!$B:$B,$A645,'Таблиця 1'!$E:$E,"Склад ВТМ",'Таблиця 1'!$L:$L,"Уражено"))</f>
        <v/>
      </c>
      <c r="I645">
        <f>IF($A645="","",COUNTIFS('Таблиця 1'!$B:$B,$A645,'Таблиця 1'!$E:$E,"ПУ БпЛА",'Таблиця 1'!$L:$L,"Уражено"))</f>
        <v/>
      </c>
      <c r="J645">
        <f>IF($A645="","",COUNTIFS('Таблиця 1'!$B:$B,$A645,'Таблиця 1'!$E:$E,"СП",'Таблиця 1'!$L:$L,"Уражено"))</f>
        <v/>
      </c>
      <c r="K645">
        <f>IF($A645="","",COUNTIFS('Таблиця 1'!$B:$B,$A645,'Таблиця 1'!$E:$E,"КСП роти",'Таблиця 1'!$L:$L,"Уражено"))</f>
        <v/>
      </c>
      <c r="L645">
        <f>IF($A645="","",COUNTIFS('Таблиця 1'!$B:$B,$A645,'Таблиця 1'!$E:$E,"ПУ бат",'Таблиця 1'!$L:$L,"Уражено"))</f>
        <v/>
      </c>
      <c r="M645">
        <f>IF($A645="","",COUNTIFS('Таблиця 1'!$B:$B,$A645,'Таблиця 1'!$E:$E,"ПУ бриг",'Таблиця 1'!$L:$L,"Уражено"))</f>
        <v/>
      </c>
      <c r="N645">
        <f>IF($A645="","",COUNTIFS('Таблиця 1'!$B:$B,$A645,'Таблиця 1'!$E:$E,"ПУ див",'Таблиця 1'!$L:$L,"Уражено"))</f>
        <v/>
      </c>
      <c r="O645">
        <f>IF($A645="","",COUNTIFS('Таблиця 1'!$B:$B,$A645,'Таблиця 1'!$E:$E,"обл. РЕБ",'Таблиця 1'!$L:$L,"Уражено"))</f>
        <v/>
      </c>
      <c r="P645">
        <f>IF($A645="","",COUNTIFS('Таблиця 1'!$B:$B,$A645,'Таблиця 1'!$E:$E,"пос РЕБ",'Таблиця 1'!$L:$L,"Уражено"))</f>
        <v/>
      </c>
      <c r="Q645">
        <f>IF($A645="","",COUNTIFS('Таблиця 1'!$B:$B,$A645,'Таблиця 1'!$E:$E,"група РЕР",'Таблиця 1'!$L:$L,"Уражено"))</f>
        <v/>
      </c>
      <c r="R645">
        <f>IF($A645="","",COUNTIFS('Таблиця 1'!$B:$B,$A645,'Таблиця 1'!$E:$E,"РЛС КББ",'Таблиця 1'!$L:$L,"Уражено"))</f>
        <v/>
      </c>
      <c r="S645">
        <f>IF($A645="","",COUNTIFS('Таблиця 1'!$B:$B,$A645,'Таблиця 1'!$E:$E,"Ретранслятор",'Таблиця 1'!$L:$L,"Уражено"))</f>
        <v/>
      </c>
      <c r="T645">
        <f>IF($A645="","",COUNTIFS('Таблиця 1'!$B:$B,$A645,'Таблиця 1'!$E:$E,"Вз.зв'язку",'Таблиця 1'!$L:$L,"Уражено"))</f>
        <v/>
      </c>
      <c r="U645">
        <f>IF($A645="","",COUNTIFS('Таблиця 1'!$B:$B,$A645,'Таблиця 1'!$E:$E,"ПММ",'Таблиця 1'!$L:$L,"Уражено"))</f>
        <v/>
      </c>
      <c r="V645">
        <f>IF($A645="","",COUNTIFS('Таблиця 1'!$B:$B,$A645,'Таблиця 1'!$E:$E,"ІФС",'Таблиця 1'!$L:$L,"Уражено"))</f>
        <v/>
      </c>
      <c r="W645">
        <f>IF($A645="","",COUNTIFS('Таблиця 1'!$B:$B,$A645,'Таблиця 1'!$E:$E,"Інфраструктура",'Таблиця 1'!$L:$L,"Уражено"))</f>
        <v/>
      </c>
      <c r="X645">
        <f>IF($A645="","",SUMIFS('Таблиця 1'!$K:$K,'Таблиця 1'!$B:$B,$A645))</f>
        <v/>
      </c>
    </row>
    <row r="646">
      <c r="A646" s="81">
        <f>IF(A645="","",IF(A645+1&gt;MAX('Таблиця 1'!$B:$B),"",A645+1))</f>
        <v/>
      </c>
      <c r="B646">
        <f>IF($A646="","",COUNTIFS('Таблиця 1'!$B:$B,$A646,'Таблиця 1'!$E:$E,"ЖС ВЗ",'Таблиця 1'!$L:$L,"Уражено"))</f>
        <v/>
      </c>
      <c r="C646">
        <f>IF($A646="","",COUNTIFS('Таблиця 1'!$B:$B,$A646,'Таблиця 1'!$E:$E,"Арт. Системи",'Таблиця 1'!$L:$L,"Уражено"))</f>
        <v/>
      </c>
      <c r="D646">
        <f>IF($A646="","",COUNTIFS('Таблиця 1'!$B:$B,$A646,'Таблиця 1'!$E:$E,"ОВТ",'Таблиця 1'!$L:$L,"Уражено"))</f>
        <v/>
      </c>
      <c r="E646">
        <f>IF($A646="","",COUNTIFS('Таблиця 1'!$B:$B,$A646,'Таблиця 1'!$E:$E,"ППО",'Таблиця 1'!$L:$L,"Уражено"))</f>
        <v/>
      </c>
      <c r="F646">
        <f>IF($A646="","",COUNTIFS('Таблиця 1'!$B:$B,$A646,'Таблиця 1'!$E:$E,"Рембаза",'Таблиця 1'!$L:$L,"Уражено"))</f>
        <v/>
      </c>
      <c r="G646">
        <f>IF($A646="","",COUNTIFS('Таблиця 1'!$B:$B,$A646,'Таблиця 1'!$E:$E,"Склад БК",'Таблиця 1'!$L:$L,"Уражено"))</f>
        <v/>
      </c>
      <c r="H646">
        <f>IF($A646="","",COUNTIFS('Таблиця 1'!$B:$B,$A646,'Таблиця 1'!$E:$E,"Склад ВТМ",'Таблиця 1'!$L:$L,"Уражено"))</f>
        <v/>
      </c>
      <c r="I646">
        <f>IF($A646="","",COUNTIFS('Таблиця 1'!$B:$B,$A646,'Таблиця 1'!$E:$E,"ПУ БпЛА",'Таблиця 1'!$L:$L,"Уражено"))</f>
        <v/>
      </c>
      <c r="J646">
        <f>IF($A646="","",COUNTIFS('Таблиця 1'!$B:$B,$A646,'Таблиця 1'!$E:$E,"СП",'Таблиця 1'!$L:$L,"Уражено"))</f>
        <v/>
      </c>
      <c r="K646">
        <f>IF($A646="","",COUNTIFS('Таблиця 1'!$B:$B,$A646,'Таблиця 1'!$E:$E,"КСП роти",'Таблиця 1'!$L:$L,"Уражено"))</f>
        <v/>
      </c>
      <c r="L646">
        <f>IF($A646="","",COUNTIFS('Таблиця 1'!$B:$B,$A646,'Таблиця 1'!$E:$E,"ПУ бат",'Таблиця 1'!$L:$L,"Уражено"))</f>
        <v/>
      </c>
      <c r="M646">
        <f>IF($A646="","",COUNTIFS('Таблиця 1'!$B:$B,$A646,'Таблиця 1'!$E:$E,"ПУ бриг",'Таблиця 1'!$L:$L,"Уражено"))</f>
        <v/>
      </c>
      <c r="N646">
        <f>IF($A646="","",COUNTIFS('Таблиця 1'!$B:$B,$A646,'Таблиця 1'!$E:$E,"ПУ див",'Таблиця 1'!$L:$L,"Уражено"))</f>
        <v/>
      </c>
      <c r="O646">
        <f>IF($A646="","",COUNTIFS('Таблиця 1'!$B:$B,$A646,'Таблиця 1'!$E:$E,"обл. РЕБ",'Таблиця 1'!$L:$L,"Уражено"))</f>
        <v/>
      </c>
      <c r="P646">
        <f>IF($A646="","",COUNTIFS('Таблиця 1'!$B:$B,$A646,'Таблиця 1'!$E:$E,"пос РЕБ",'Таблиця 1'!$L:$L,"Уражено"))</f>
        <v/>
      </c>
      <c r="Q646">
        <f>IF($A646="","",COUNTIFS('Таблиця 1'!$B:$B,$A646,'Таблиця 1'!$E:$E,"група РЕР",'Таблиця 1'!$L:$L,"Уражено"))</f>
        <v/>
      </c>
      <c r="R646">
        <f>IF($A646="","",COUNTIFS('Таблиця 1'!$B:$B,$A646,'Таблиця 1'!$E:$E,"РЛС КББ",'Таблиця 1'!$L:$L,"Уражено"))</f>
        <v/>
      </c>
      <c r="S646">
        <f>IF($A646="","",COUNTIFS('Таблиця 1'!$B:$B,$A646,'Таблиця 1'!$E:$E,"Ретранслятор",'Таблиця 1'!$L:$L,"Уражено"))</f>
        <v/>
      </c>
      <c r="T646">
        <f>IF($A646="","",COUNTIFS('Таблиця 1'!$B:$B,$A646,'Таблиця 1'!$E:$E,"Вз.зв'язку",'Таблиця 1'!$L:$L,"Уражено"))</f>
        <v/>
      </c>
      <c r="U646">
        <f>IF($A646="","",COUNTIFS('Таблиця 1'!$B:$B,$A646,'Таблиця 1'!$E:$E,"ПММ",'Таблиця 1'!$L:$L,"Уражено"))</f>
        <v/>
      </c>
      <c r="V646">
        <f>IF($A646="","",COUNTIFS('Таблиця 1'!$B:$B,$A646,'Таблиця 1'!$E:$E,"ІФС",'Таблиця 1'!$L:$L,"Уражено"))</f>
        <v/>
      </c>
      <c r="W646">
        <f>IF($A646="","",COUNTIFS('Таблиця 1'!$B:$B,$A646,'Таблиця 1'!$E:$E,"Інфраструктура",'Таблиця 1'!$L:$L,"Уражено"))</f>
        <v/>
      </c>
      <c r="X646">
        <f>IF($A646="","",SUMIFS('Таблиця 1'!$K:$K,'Таблиця 1'!$B:$B,$A646))</f>
        <v/>
      </c>
    </row>
    <row r="647">
      <c r="A647" s="81">
        <f>IF(A646="","",IF(A646+1&gt;MAX('Таблиця 1'!$B:$B),"",A646+1))</f>
        <v/>
      </c>
      <c r="B647">
        <f>IF($A647="","",COUNTIFS('Таблиця 1'!$B:$B,$A647,'Таблиця 1'!$E:$E,"ЖС ВЗ",'Таблиця 1'!$L:$L,"Уражено"))</f>
        <v/>
      </c>
      <c r="C647">
        <f>IF($A647="","",COUNTIFS('Таблиця 1'!$B:$B,$A647,'Таблиця 1'!$E:$E,"Арт. Системи",'Таблиця 1'!$L:$L,"Уражено"))</f>
        <v/>
      </c>
      <c r="D647">
        <f>IF($A647="","",COUNTIFS('Таблиця 1'!$B:$B,$A647,'Таблиця 1'!$E:$E,"ОВТ",'Таблиця 1'!$L:$L,"Уражено"))</f>
        <v/>
      </c>
      <c r="E647">
        <f>IF($A647="","",COUNTIFS('Таблиця 1'!$B:$B,$A647,'Таблиця 1'!$E:$E,"ППО",'Таблиця 1'!$L:$L,"Уражено"))</f>
        <v/>
      </c>
      <c r="F647">
        <f>IF($A647="","",COUNTIFS('Таблиця 1'!$B:$B,$A647,'Таблиця 1'!$E:$E,"Рембаза",'Таблиця 1'!$L:$L,"Уражено"))</f>
        <v/>
      </c>
      <c r="G647">
        <f>IF($A647="","",COUNTIFS('Таблиця 1'!$B:$B,$A647,'Таблиця 1'!$E:$E,"Склад БК",'Таблиця 1'!$L:$L,"Уражено"))</f>
        <v/>
      </c>
      <c r="H647">
        <f>IF($A647="","",COUNTIFS('Таблиця 1'!$B:$B,$A647,'Таблиця 1'!$E:$E,"Склад ВТМ",'Таблиця 1'!$L:$L,"Уражено"))</f>
        <v/>
      </c>
      <c r="I647">
        <f>IF($A647="","",COUNTIFS('Таблиця 1'!$B:$B,$A647,'Таблиця 1'!$E:$E,"ПУ БпЛА",'Таблиця 1'!$L:$L,"Уражено"))</f>
        <v/>
      </c>
      <c r="J647">
        <f>IF($A647="","",COUNTIFS('Таблиця 1'!$B:$B,$A647,'Таблиця 1'!$E:$E,"СП",'Таблиця 1'!$L:$L,"Уражено"))</f>
        <v/>
      </c>
      <c r="K647">
        <f>IF($A647="","",COUNTIFS('Таблиця 1'!$B:$B,$A647,'Таблиця 1'!$E:$E,"КСП роти",'Таблиця 1'!$L:$L,"Уражено"))</f>
        <v/>
      </c>
      <c r="L647">
        <f>IF($A647="","",COUNTIFS('Таблиця 1'!$B:$B,$A647,'Таблиця 1'!$E:$E,"ПУ бат",'Таблиця 1'!$L:$L,"Уражено"))</f>
        <v/>
      </c>
      <c r="M647">
        <f>IF($A647="","",COUNTIFS('Таблиця 1'!$B:$B,$A647,'Таблиця 1'!$E:$E,"ПУ бриг",'Таблиця 1'!$L:$L,"Уражено"))</f>
        <v/>
      </c>
      <c r="N647">
        <f>IF($A647="","",COUNTIFS('Таблиця 1'!$B:$B,$A647,'Таблиця 1'!$E:$E,"ПУ див",'Таблиця 1'!$L:$L,"Уражено"))</f>
        <v/>
      </c>
      <c r="O647">
        <f>IF($A647="","",COUNTIFS('Таблиця 1'!$B:$B,$A647,'Таблиця 1'!$E:$E,"обл. РЕБ",'Таблиця 1'!$L:$L,"Уражено"))</f>
        <v/>
      </c>
      <c r="P647">
        <f>IF($A647="","",COUNTIFS('Таблиця 1'!$B:$B,$A647,'Таблиця 1'!$E:$E,"пос РЕБ",'Таблиця 1'!$L:$L,"Уражено"))</f>
        <v/>
      </c>
      <c r="Q647">
        <f>IF($A647="","",COUNTIFS('Таблиця 1'!$B:$B,$A647,'Таблиця 1'!$E:$E,"група РЕР",'Таблиця 1'!$L:$L,"Уражено"))</f>
        <v/>
      </c>
      <c r="R647">
        <f>IF($A647="","",COUNTIFS('Таблиця 1'!$B:$B,$A647,'Таблиця 1'!$E:$E,"РЛС КББ",'Таблиця 1'!$L:$L,"Уражено"))</f>
        <v/>
      </c>
      <c r="S647">
        <f>IF($A647="","",COUNTIFS('Таблиця 1'!$B:$B,$A647,'Таблиця 1'!$E:$E,"Ретранслятор",'Таблиця 1'!$L:$L,"Уражено"))</f>
        <v/>
      </c>
      <c r="T647">
        <f>IF($A647="","",COUNTIFS('Таблиця 1'!$B:$B,$A647,'Таблиця 1'!$E:$E,"Вз.зв'язку",'Таблиця 1'!$L:$L,"Уражено"))</f>
        <v/>
      </c>
      <c r="U647">
        <f>IF($A647="","",COUNTIFS('Таблиця 1'!$B:$B,$A647,'Таблиця 1'!$E:$E,"ПММ",'Таблиця 1'!$L:$L,"Уражено"))</f>
        <v/>
      </c>
      <c r="V647">
        <f>IF($A647="","",COUNTIFS('Таблиця 1'!$B:$B,$A647,'Таблиця 1'!$E:$E,"ІФС",'Таблиця 1'!$L:$L,"Уражено"))</f>
        <v/>
      </c>
      <c r="W647">
        <f>IF($A647="","",COUNTIFS('Таблиця 1'!$B:$B,$A647,'Таблиця 1'!$E:$E,"Інфраструктура",'Таблиця 1'!$L:$L,"Уражено"))</f>
        <v/>
      </c>
      <c r="X647">
        <f>IF($A647="","",SUMIFS('Таблиця 1'!$K:$K,'Таблиця 1'!$B:$B,$A647))</f>
        <v/>
      </c>
    </row>
    <row r="648">
      <c r="A648" s="81">
        <f>IF(A647="","",IF(A647+1&gt;MAX('Таблиця 1'!$B:$B),"",A647+1))</f>
        <v/>
      </c>
      <c r="B648">
        <f>IF($A648="","",COUNTIFS('Таблиця 1'!$B:$B,$A648,'Таблиця 1'!$E:$E,"ЖС ВЗ",'Таблиця 1'!$L:$L,"Уражено"))</f>
        <v/>
      </c>
      <c r="C648">
        <f>IF($A648="","",COUNTIFS('Таблиця 1'!$B:$B,$A648,'Таблиця 1'!$E:$E,"Арт. Системи",'Таблиця 1'!$L:$L,"Уражено"))</f>
        <v/>
      </c>
      <c r="D648">
        <f>IF($A648="","",COUNTIFS('Таблиця 1'!$B:$B,$A648,'Таблиця 1'!$E:$E,"ОВТ",'Таблиця 1'!$L:$L,"Уражено"))</f>
        <v/>
      </c>
      <c r="E648">
        <f>IF($A648="","",COUNTIFS('Таблиця 1'!$B:$B,$A648,'Таблиця 1'!$E:$E,"ППО",'Таблиця 1'!$L:$L,"Уражено"))</f>
        <v/>
      </c>
      <c r="F648">
        <f>IF($A648="","",COUNTIFS('Таблиця 1'!$B:$B,$A648,'Таблиця 1'!$E:$E,"Рембаза",'Таблиця 1'!$L:$L,"Уражено"))</f>
        <v/>
      </c>
      <c r="G648">
        <f>IF($A648="","",COUNTIFS('Таблиця 1'!$B:$B,$A648,'Таблиця 1'!$E:$E,"Склад БК",'Таблиця 1'!$L:$L,"Уражено"))</f>
        <v/>
      </c>
      <c r="H648">
        <f>IF($A648="","",COUNTIFS('Таблиця 1'!$B:$B,$A648,'Таблиця 1'!$E:$E,"Склад ВТМ",'Таблиця 1'!$L:$L,"Уражено"))</f>
        <v/>
      </c>
      <c r="I648">
        <f>IF($A648="","",COUNTIFS('Таблиця 1'!$B:$B,$A648,'Таблиця 1'!$E:$E,"ПУ БпЛА",'Таблиця 1'!$L:$L,"Уражено"))</f>
        <v/>
      </c>
      <c r="J648">
        <f>IF($A648="","",COUNTIFS('Таблиця 1'!$B:$B,$A648,'Таблиця 1'!$E:$E,"СП",'Таблиця 1'!$L:$L,"Уражено"))</f>
        <v/>
      </c>
      <c r="K648">
        <f>IF($A648="","",COUNTIFS('Таблиця 1'!$B:$B,$A648,'Таблиця 1'!$E:$E,"КСП роти",'Таблиця 1'!$L:$L,"Уражено"))</f>
        <v/>
      </c>
      <c r="L648">
        <f>IF($A648="","",COUNTIFS('Таблиця 1'!$B:$B,$A648,'Таблиця 1'!$E:$E,"ПУ бат",'Таблиця 1'!$L:$L,"Уражено"))</f>
        <v/>
      </c>
      <c r="M648">
        <f>IF($A648="","",COUNTIFS('Таблиця 1'!$B:$B,$A648,'Таблиця 1'!$E:$E,"ПУ бриг",'Таблиця 1'!$L:$L,"Уражено"))</f>
        <v/>
      </c>
      <c r="N648">
        <f>IF($A648="","",COUNTIFS('Таблиця 1'!$B:$B,$A648,'Таблиця 1'!$E:$E,"ПУ див",'Таблиця 1'!$L:$L,"Уражено"))</f>
        <v/>
      </c>
      <c r="O648">
        <f>IF($A648="","",COUNTIFS('Таблиця 1'!$B:$B,$A648,'Таблиця 1'!$E:$E,"обл. РЕБ",'Таблиця 1'!$L:$L,"Уражено"))</f>
        <v/>
      </c>
      <c r="P648">
        <f>IF($A648="","",COUNTIFS('Таблиця 1'!$B:$B,$A648,'Таблиця 1'!$E:$E,"пос РЕБ",'Таблиця 1'!$L:$L,"Уражено"))</f>
        <v/>
      </c>
      <c r="Q648">
        <f>IF($A648="","",COUNTIFS('Таблиця 1'!$B:$B,$A648,'Таблиця 1'!$E:$E,"група РЕР",'Таблиця 1'!$L:$L,"Уражено"))</f>
        <v/>
      </c>
      <c r="R648">
        <f>IF($A648="","",COUNTIFS('Таблиця 1'!$B:$B,$A648,'Таблиця 1'!$E:$E,"РЛС КББ",'Таблиця 1'!$L:$L,"Уражено"))</f>
        <v/>
      </c>
      <c r="S648">
        <f>IF($A648="","",COUNTIFS('Таблиця 1'!$B:$B,$A648,'Таблиця 1'!$E:$E,"Ретранслятор",'Таблиця 1'!$L:$L,"Уражено"))</f>
        <v/>
      </c>
      <c r="T648">
        <f>IF($A648="","",COUNTIFS('Таблиця 1'!$B:$B,$A648,'Таблиця 1'!$E:$E,"Вз.зв'язку",'Таблиця 1'!$L:$L,"Уражено"))</f>
        <v/>
      </c>
      <c r="U648">
        <f>IF($A648="","",COUNTIFS('Таблиця 1'!$B:$B,$A648,'Таблиця 1'!$E:$E,"ПММ",'Таблиця 1'!$L:$L,"Уражено"))</f>
        <v/>
      </c>
      <c r="V648">
        <f>IF($A648="","",COUNTIFS('Таблиця 1'!$B:$B,$A648,'Таблиця 1'!$E:$E,"ІФС",'Таблиця 1'!$L:$L,"Уражено"))</f>
        <v/>
      </c>
      <c r="W648">
        <f>IF($A648="","",COUNTIFS('Таблиця 1'!$B:$B,$A648,'Таблиця 1'!$E:$E,"Інфраструктура",'Таблиця 1'!$L:$L,"Уражено"))</f>
        <v/>
      </c>
      <c r="X648">
        <f>IF($A648="","",SUMIFS('Таблиця 1'!$K:$K,'Таблиця 1'!$B:$B,$A648))</f>
        <v/>
      </c>
    </row>
    <row r="649">
      <c r="A649" s="81">
        <f>IF(A648="","",IF(A648+1&gt;MAX('Таблиця 1'!$B:$B),"",A648+1))</f>
        <v/>
      </c>
      <c r="B649">
        <f>IF($A649="","",COUNTIFS('Таблиця 1'!$B:$B,$A649,'Таблиця 1'!$E:$E,"ЖС ВЗ",'Таблиця 1'!$L:$L,"Уражено"))</f>
        <v/>
      </c>
      <c r="C649">
        <f>IF($A649="","",COUNTIFS('Таблиця 1'!$B:$B,$A649,'Таблиця 1'!$E:$E,"Арт. Системи",'Таблиця 1'!$L:$L,"Уражено"))</f>
        <v/>
      </c>
      <c r="D649">
        <f>IF($A649="","",COUNTIFS('Таблиця 1'!$B:$B,$A649,'Таблиця 1'!$E:$E,"ОВТ",'Таблиця 1'!$L:$L,"Уражено"))</f>
        <v/>
      </c>
      <c r="E649">
        <f>IF($A649="","",COUNTIFS('Таблиця 1'!$B:$B,$A649,'Таблиця 1'!$E:$E,"ППО",'Таблиця 1'!$L:$L,"Уражено"))</f>
        <v/>
      </c>
      <c r="F649">
        <f>IF($A649="","",COUNTIFS('Таблиця 1'!$B:$B,$A649,'Таблиця 1'!$E:$E,"Рембаза",'Таблиця 1'!$L:$L,"Уражено"))</f>
        <v/>
      </c>
      <c r="G649">
        <f>IF($A649="","",COUNTIFS('Таблиця 1'!$B:$B,$A649,'Таблиця 1'!$E:$E,"Склад БК",'Таблиця 1'!$L:$L,"Уражено"))</f>
        <v/>
      </c>
      <c r="H649">
        <f>IF($A649="","",COUNTIFS('Таблиця 1'!$B:$B,$A649,'Таблиця 1'!$E:$E,"Склад ВТМ",'Таблиця 1'!$L:$L,"Уражено"))</f>
        <v/>
      </c>
      <c r="I649">
        <f>IF($A649="","",COUNTIFS('Таблиця 1'!$B:$B,$A649,'Таблиця 1'!$E:$E,"ПУ БпЛА",'Таблиця 1'!$L:$L,"Уражено"))</f>
        <v/>
      </c>
      <c r="J649">
        <f>IF($A649="","",COUNTIFS('Таблиця 1'!$B:$B,$A649,'Таблиця 1'!$E:$E,"СП",'Таблиця 1'!$L:$L,"Уражено"))</f>
        <v/>
      </c>
      <c r="K649">
        <f>IF($A649="","",COUNTIFS('Таблиця 1'!$B:$B,$A649,'Таблиця 1'!$E:$E,"КСП роти",'Таблиця 1'!$L:$L,"Уражено"))</f>
        <v/>
      </c>
      <c r="L649">
        <f>IF($A649="","",COUNTIFS('Таблиця 1'!$B:$B,$A649,'Таблиця 1'!$E:$E,"ПУ бат",'Таблиця 1'!$L:$L,"Уражено"))</f>
        <v/>
      </c>
      <c r="M649">
        <f>IF($A649="","",COUNTIFS('Таблиця 1'!$B:$B,$A649,'Таблиця 1'!$E:$E,"ПУ бриг",'Таблиця 1'!$L:$L,"Уражено"))</f>
        <v/>
      </c>
      <c r="N649">
        <f>IF($A649="","",COUNTIFS('Таблиця 1'!$B:$B,$A649,'Таблиця 1'!$E:$E,"ПУ див",'Таблиця 1'!$L:$L,"Уражено"))</f>
        <v/>
      </c>
      <c r="O649">
        <f>IF($A649="","",COUNTIFS('Таблиця 1'!$B:$B,$A649,'Таблиця 1'!$E:$E,"обл. РЕБ",'Таблиця 1'!$L:$L,"Уражено"))</f>
        <v/>
      </c>
      <c r="P649">
        <f>IF($A649="","",COUNTIFS('Таблиця 1'!$B:$B,$A649,'Таблиця 1'!$E:$E,"пос РЕБ",'Таблиця 1'!$L:$L,"Уражено"))</f>
        <v/>
      </c>
      <c r="Q649">
        <f>IF($A649="","",COUNTIFS('Таблиця 1'!$B:$B,$A649,'Таблиця 1'!$E:$E,"група РЕР",'Таблиця 1'!$L:$L,"Уражено"))</f>
        <v/>
      </c>
      <c r="R649">
        <f>IF($A649="","",COUNTIFS('Таблиця 1'!$B:$B,$A649,'Таблиця 1'!$E:$E,"РЛС КББ",'Таблиця 1'!$L:$L,"Уражено"))</f>
        <v/>
      </c>
      <c r="S649">
        <f>IF($A649="","",COUNTIFS('Таблиця 1'!$B:$B,$A649,'Таблиця 1'!$E:$E,"Ретранслятор",'Таблиця 1'!$L:$L,"Уражено"))</f>
        <v/>
      </c>
      <c r="T649">
        <f>IF($A649="","",COUNTIFS('Таблиця 1'!$B:$B,$A649,'Таблиця 1'!$E:$E,"Вз.зв'язку",'Таблиця 1'!$L:$L,"Уражено"))</f>
        <v/>
      </c>
      <c r="U649">
        <f>IF($A649="","",COUNTIFS('Таблиця 1'!$B:$B,$A649,'Таблиця 1'!$E:$E,"ПММ",'Таблиця 1'!$L:$L,"Уражено"))</f>
        <v/>
      </c>
      <c r="V649">
        <f>IF($A649="","",COUNTIFS('Таблиця 1'!$B:$B,$A649,'Таблиця 1'!$E:$E,"ІФС",'Таблиця 1'!$L:$L,"Уражено"))</f>
        <v/>
      </c>
      <c r="W649">
        <f>IF($A649="","",COUNTIFS('Таблиця 1'!$B:$B,$A649,'Таблиця 1'!$E:$E,"Інфраструктура",'Таблиця 1'!$L:$L,"Уражено"))</f>
        <v/>
      </c>
      <c r="X649">
        <f>IF($A649="","",SUMIFS('Таблиця 1'!$K:$K,'Таблиця 1'!$B:$B,$A649))</f>
        <v/>
      </c>
    </row>
    <row r="650">
      <c r="A650" s="81">
        <f>IF(A649="","",IF(A649+1&gt;MAX('Таблиця 1'!$B:$B),"",A649+1))</f>
        <v/>
      </c>
      <c r="B650">
        <f>IF($A650="","",COUNTIFS('Таблиця 1'!$B:$B,$A650,'Таблиця 1'!$E:$E,"ЖС ВЗ",'Таблиця 1'!$L:$L,"Уражено"))</f>
        <v/>
      </c>
      <c r="C650">
        <f>IF($A650="","",COUNTIFS('Таблиця 1'!$B:$B,$A650,'Таблиця 1'!$E:$E,"Арт. Системи",'Таблиця 1'!$L:$L,"Уражено"))</f>
        <v/>
      </c>
      <c r="D650">
        <f>IF($A650="","",COUNTIFS('Таблиця 1'!$B:$B,$A650,'Таблиця 1'!$E:$E,"ОВТ",'Таблиця 1'!$L:$L,"Уражено"))</f>
        <v/>
      </c>
      <c r="E650">
        <f>IF($A650="","",COUNTIFS('Таблиця 1'!$B:$B,$A650,'Таблиця 1'!$E:$E,"ППО",'Таблиця 1'!$L:$L,"Уражено"))</f>
        <v/>
      </c>
      <c r="F650">
        <f>IF($A650="","",COUNTIFS('Таблиця 1'!$B:$B,$A650,'Таблиця 1'!$E:$E,"Рембаза",'Таблиця 1'!$L:$L,"Уражено"))</f>
        <v/>
      </c>
      <c r="G650">
        <f>IF($A650="","",COUNTIFS('Таблиця 1'!$B:$B,$A650,'Таблиця 1'!$E:$E,"Склад БК",'Таблиця 1'!$L:$L,"Уражено"))</f>
        <v/>
      </c>
      <c r="H650">
        <f>IF($A650="","",COUNTIFS('Таблиця 1'!$B:$B,$A650,'Таблиця 1'!$E:$E,"Склад ВТМ",'Таблиця 1'!$L:$L,"Уражено"))</f>
        <v/>
      </c>
      <c r="I650">
        <f>IF($A650="","",COUNTIFS('Таблиця 1'!$B:$B,$A650,'Таблиця 1'!$E:$E,"ПУ БпЛА",'Таблиця 1'!$L:$L,"Уражено"))</f>
        <v/>
      </c>
      <c r="J650">
        <f>IF($A650="","",COUNTIFS('Таблиця 1'!$B:$B,$A650,'Таблиця 1'!$E:$E,"СП",'Таблиця 1'!$L:$L,"Уражено"))</f>
        <v/>
      </c>
      <c r="K650">
        <f>IF($A650="","",COUNTIFS('Таблиця 1'!$B:$B,$A650,'Таблиця 1'!$E:$E,"КСП роти",'Таблиця 1'!$L:$L,"Уражено"))</f>
        <v/>
      </c>
      <c r="L650">
        <f>IF($A650="","",COUNTIFS('Таблиця 1'!$B:$B,$A650,'Таблиця 1'!$E:$E,"ПУ бат",'Таблиця 1'!$L:$L,"Уражено"))</f>
        <v/>
      </c>
      <c r="M650">
        <f>IF($A650="","",COUNTIFS('Таблиця 1'!$B:$B,$A650,'Таблиця 1'!$E:$E,"ПУ бриг",'Таблиця 1'!$L:$L,"Уражено"))</f>
        <v/>
      </c>
      <c r="N650">
        <f>IF($A650="","",COUNTIFS('Таблиця 1'!$B:$B,$A650,'Таблиця 1'!$E:$E,"ПУ див",'Таблиця 1'!$L:$L,"Уражено"))</f>
        <v/>
      </c>
      <c r="O650">
        <f>IF($A650="","",COUNTIFS('Таблиця 1'!$B:$B,$A650,'Таблиця 1'!$E:$E,"обл. РЕБ",'Таблиця 1'!$L:$L,"Уражено"))</f>
        <v/>
      </c>
      <c r="P650">
        <f>IF($A650="","",COUNTIFS('Таблиця 1'!$B:$B,$A650,'Таблиця 1'!$E:$E,"пос РЕБ",'Таблиця 1'!$L:$L,"Уражено"))</f>
        <v/>
      </c>
      <c r="Q650">
        <f>IF($A650="","",COUNTIFS('Таблиця 1'!$B:$B,$A650,'Таблиця 1'!$E:$E,"група РЕР",'Таблиця 1'!$L:$L,"Уражено"))</f>
        <v/>
      </c>
      <c r="R650">
        <f>IF($A650="","",COUNTIFS('Таблиця 1'!$B:$B,$A650,'Таблиця 1'!$E:$E,"РЛС КББ",'Таблиця 1'!$L:$L,"Уражено"))</f>
        <v/>
      </c>
      <c r="S650">
        <f>IF($A650="","",COUNTIFS('Таблиця 1'!$B:$B,$A650,'Таблиця 1'!$E:$E,"Ретранслятор",'Таблиця 1'!$L:$L,"Уражено"))</f>
        <v/>
      </c>
      <c r="T650">
        <f>IF($A650="","",COUNTIFS('Таблиця 1'!$B:$B,$A650,'Таблиця 1'!$E:$E,"Вз.зв'язку",'Таблиця 1'!$L:$L,"Уражено"))</f>
        <v/>
      </c>
      <c r="U650">
        <f>IF($A650="","",COUNTIFS('Таблиця 1'!$B:$B,$A650,'Таблиця 1'!$E:$E,"ПММ",'Таблиця 1'!$L:$L,"Уражено"))</f>
        <v/>
      </c>
      <c r="V650">
        <f>IF($A650="","",COUNTIFS('Таблиця 1'!$B:$B,$A650,'Таблиця 1'!$E:$E,"ІФС",'Таблиця 1'!$L:$L,"Уражено"))</f>
        <v/>
      </c>
      <c r="W650">
        <f>IF($A650="","",COUNTIFS('Таблиця 1'!$B:$B,$A650,'Таблиця 1'!$E:$E,"Інфраструктура",'Таблиця 1'!$L:$L,"Уражено"))</f>
        <v/>
      </c>
      <c r="X650">
        <f>IF($A650="","",SUMIFS('Таблиця 1'!$K:$K,'Таблиця 1'!$B:$B,$A650))</f>
        <v/>
      </c>
    </row>
    <row r="651">
      <c r="A651" s="81">
        <f>IF(A650="","",IF(A650+1&gt;MAX('Таблиця 1'!$B:$B),"",A650+1))</f>
        <v/>
      </c>
      <c r="B651">
        <f>IF($A651="","",COUNTIFS('Таблиця 1'!$B:$B,$A651,'Таблиця 1'!$E:$E,"ЖС ВЗ",'Таблиця 1'!$L:$L,"Уражено"))</f>
        <v/>
      </c>
      <c r="C651">
        <f>IF($A651="","",COUNTIFS('Таблиця 1'!$B:$B,$A651,'Таблиця 1'!$E:$E,"Арт. Системи",'Таблиця 1'!$L:$L,"Уражено"))</f>
        <v/>
      </c>
      <c r="D651">
        <f>IF($A651="","",COUNTIFS('Таблиця 1'!$B:$B,$A651,'Таблиця 1'!$E:$E,"ОВТ",'Таблиця 1'!$L:$L,"Уражено"))</f>
        <v/>
      </c>
      <c r="E651">
        <f>IF($A651="","",COUNTIFS('Таблиця 1'!$B:$B,$A651,'Таблиця 1'!$E:$E,"ППО",'Таблиця 1'!$L:$L,"Уражено"))</f>
        <v/>
      </c>
      <c r="F651">
        <f>IF($A651="","",COUNTIFS('Таблиця 1'!$B:$B,$A651,'Таблиця 1'!$E:$E,"Рембаза",'Таблиця 1'!$L:$L,"Уражено"))</f>
        <v/>
      </c>
      <c r="G651">
        <f>IF($A651="","",COUNTIFS('Таблиця 1'!$B:$B,$A651,'Таблиця 1'!$E:$E,"Склад БК",'Таблиця 1'!$L:$L,"Уражено"))</f>
        <v/>
      </c>
      <c r="H651">
        <f>IF($A651="","",COUNTIFS('Таблиця 1'!$B:$B,$A651,'Таблиця 1'!$E:$E,"Склад ВТМ",'Таблиця 1'!$L:$L,"Уражено"))</f>
        <v/>
      </c>
      <c r="I651">
        <f>IF($A651="","",COUNTIFS('Таблиця 1'!$B:$B,$A651,'Таблиця 1'!$E:$E,"ПУ БпЛА",'Таблиця 1'!$L:$L,"Уражено"))</f>
        <v/>
      </c>
      <c r="J651">
        <f>IF($A651="","",COUNTIFS('Таблиця 1'!$B:$B,$A651,'Таблиця 1'!$E:$E,"СП",'Таблиця 1'!$L:$L,"Уражено"))</f>
        <v/>
      </c>
      <c r="K651">
        <f>IF($A651="","",COUNTIFS('Таблиця 1'!$B:$B,$A651,'Таблиця 1'!$E:$E,"КСП роти",'Таблиця 1'!$L:$L,"Уражено"))</f>
        <v/>
      </c>
      <c r="L651">
        <f>IF($A651="","",COUNTIFS('Таблиця 1'!$B:$B,$A651,'Таблиця 1'!$E:$E,"ПУ бат",'Таблиця 1'!$L:$L,"Уражено"))</f>
        <v/>
      </c>
      <c r="M651">
        <f>IF($A651="","",COUNTIFS('Таблиця 1'!$B:$B,$A651,'Таблиця 1'!$E:$E,"ПУ бриг",'Таблиця 1'!$L:$L,"Уражено"))</f>
        <v/>
      </c>
      <c r="N651">
        <f>IF($A651="","",COUNTIFS('Таблиця 1'!$B:$B,$A651,'Таблиця 1'!$E:$E,"ПУ див",'Таблиця 1'!$L:$L,"Уражено"))</f>
        <v/>
      </c>
      <c r="O651">
        <f>IF($A651="","",COUNTIFS('Таблиця 1'!$B:$B,$A651,'Таблиця 1'!$E:$E,"обл. РЕБ",'Таблиця 1'!$L:$L,"Уражено"))</f>
        <v/>
      </c>
      <c r="P651">
        <f>IF($A651="","",COUNTIFS('Таблиця 1'!$B:$B,$A651,'Таблиця 1'!$E:$E,"пос РЕБ",'Таблиця 1'!$L:$L,"Уражено"))</f>
        <v/>
      </c>
      <c r="Q651">
        <f>IF($A651="","",COUNTIFS('Таблиця 1'!$B:$B,$A651,'Таблиця 1'!$E:$E,"група РЕР",'Таблиця 1'!$L:$L,"Уражено"))</f>
        <v/>
      </c>
      <c r="R651">
        <f>IF($A651="","",COUNTIFS('Таблиця 1'!$B:$B,$A651,'Таблиця 1'!$E:$E,"РЛС КББ",'Таблиця 1'!$L:$L,"Уражено"))</f>
        <v/>
      </c>
      <c r="S651">
        <f>IF($A651="","",COUNTIFS('Таблиця 1'!$B:$B,$A651,'Таблиця 1'!$E:$E,"Ретранслятор",'Таблиця 1'!$L:$L,"Уражено"))</f>
        <v/>
      </c>
      <c r="T651">
        <f>IF($A651="","",COUNTIFS('Таблиця 1'!$B:$B,$A651,'Таблиця 1'!$E:$E,"Вз.зв'язку",'Таблиця 1'!$L:$L,"Уражено"))</f>
        <v/>
      </c>
      <c r="U651">
        <f>IF($A651="","",COUNTIFS('Таблиця 1'!$B:$B,$A651,'Таблиця 1'!$E:$E,"ПММ",'Таблиця 1'!$L:$L,"Уражено"))</f>
        <v/>
      </c>
      <c r="V651">
        <f>IF($A651="","",COUNTIFS('Таблиця 1'!$B:$B,$A651,'Таблиця 1'!$E:$E,"ІФС",'Таблиця 1'!$L:$L,"Уражено"))</f>
        <v/>
      </c>
      <c r="W651">
        <f>IF($A651="","",COUNTIFS('Таблиця 1'!$B:$B,$A651,'Таблиця 1'!$E:$E,"Інфраструктура",'Таблиця 1'!$L:$L,"Уражено"))</f>
        <v/>
      </c>
      <c r="X651">
        <f>IF($A651="","",SUMIFS('Таблиця 1'!$K:$K,'Таблиця 1'!$B:$B,$A651))</f>
        <v/>
      </c>
    </row>
    <row r="652">
      <c r="A652" s="81">
        <f>IF(A651="","",IF(A651+1&gt;MAX('Таблиця 1'!$B:$B),"",A651+1))</f>
        <v/>
      </c>
      <c r="B652">
        <f>IF($A652="","",COUNTIFS('Таблиця 1'!$B:$B,$A652,'Таблиця 1'!$E:$E,"ЖС ВЗ",'Таблиця 1'!$L:$L,"Уражено"))</f>
        <v/>
      </c>
      <c r="C652">
        <f>IF($A652="","",COUNTIFS('Таблиця 1'!$B:$B,$A652,'Таблиця 1'!$E:$E,"Арт. Системи",'Таблиця 1'!$L:$L,"Уражено"))</f>
        <v/>
      </c>
      <c r="D652">
        <f>IF($A652="","",COUNTIFS('Таблиця 1'!$B:$B,$A652,'Таблиця 1'!$E:$E,"ОВТ",'Таблиця 1'!$L:$L,"Уражено"))</f>
        <v/>
      </c>
      <c r="E652">
        <f>IF($A652="","",COUNTIFS('Таблиця 1'!$B:$B,$A652,'Таблиця 1'!$E:$E,"ППО",'Таблиця 1'!$L:$L,"Уражено"))</f>
        <v/>
      </c>
      <c r="F652">
        <f>IF($A652="","",COUNTIFS('Таблиця 1'!$B:$B,$A652,'Таблиця 1'!$E:$E,"Рембаза",'Таблиця 1'!$L:$L,"Уражено"))</f>
        <v/>
      </c>
      <c r="G652">
        <f>IF($A652="","",COUNTIFS('Таблиця 1'!$B:$B,$A652,'Таблиця 1'!$E:$E,"Склад БК",'Таблиця 1'!$L:$L,"Уражено"))</f>
        <v/>
      </c>
      <c r="H652">
        <f>IF($A652="","",COUNTIFS('Таблиця 1'!$B:$B,$A652,'Таблиця 1'!$E:$E,"Склад ВТМ",'Таблиця 1'!$L:$L,"Уражено"))</f>
        <v/>
      </c>
      <c r="I652">
        <f>IF($A652="","",COUNTIFS('Таблиця 1'!$B:$B,$A652,'Таблиця 1'!$E:$E,"ПУ БпЛА",'Таблиця 1'!$L:$L,"Уражено"))</f>
        <v/>
      </c>
      <c r="J652">
        <f>IF($A652="","",COUNTIFS('Таблиця 1'!$B:$B,$A652,'Таблиця 1'!$E:$E,"СП",'Таблиця 1'!$L:$L,"Уражено"))</f>
        <v/>
      </c>
      <c r="K652">
        <f>IF($A652="","",COUNTIFS('Таблиця 1'!$B:$B,$A652,'Таблиця 1'!$E:$E,"КСП роти",'Таблиця 1'!$L:$L,"Уражено"))</f>
        <v/>
      </c>
      <c r="L652">
        <f>IF($A652="","",COUNTIFS('Таблиця 1'!$B:$B,$A652,'Таблиця 1'!$E:$E,"ПУ бат",'Таблиця 1'!$L:$L,"Уражено"))</f>
        <v/>
      </c>
      <c r="M652">
        <f>IF($A652="","",COUNTIFS('Таблиця 1'!$B:$B,$A652,'Таблиця 1'!$E:$E,"ПУ бриг",'Таблиця 1'!$L:$L,"Уражено"))</f>
        <v/>
      </c>
      <c r="N652">
        <f>IF($A652="","",COUNTIFS('Таблиця 1'!$B:$B,$A652,'Таблиця 1'!$E:$E,"ПУ див",'Таблиця 1'!$L:$L,"Уражено"))</f>
        <v/>
      </c>
      <c r="O652">
        <f>IF($A652="","",COUNTIFS('Таблиця 1'!$B:$B,$A652,'Таблиця 1'!$E:$E,"обл. РЕБ",'Таблиця 1'!$L:$L,"Уражено"))</f>
        <v/>
      </c>
      <c r="P652">
        <f>IF($A652="","",COUNTIFS('Таблиця 1'!$B:$B,$A652,'Таблиця 1'!$E:$E,"пос РЕБ",'Таблиця 1'!$L:$L,"Уражено"))</f>
        <v/>
      </c>
      <c r="Q652">
        <f>IF($A652="","",COUNTIFS('Таблиця 1'!$B:$B,$A652,'Таблиця 1'!$E:$E,"група РЕР",'Таблиця 1'!$L:$L,"Уражено"))</f>
        <v/>
      </c>
      <c r="R652">
        <f>IF($A652="","",COUNTIFS('Таблиця 1'!$B:$B,$A652,'Таблиця 1'!$E:$E,"РЛС КББ",'Таблиця 1'!$L:$L,"Уражено"))</f>
        <v/>
      </c>
      <c r="S652">
        <f>IF($A652="","",COUNTIFS('Таблиця 1'!$B:$B,$A652,'Таблиця 1'!$E:$E,"Ретранслятор",'Таблиця 1'!$L:$L,"Уражено"))</f>
        <v/>
      </c>
      <c r="T652">
        <f>IF($A652="","",COUNTIFS('Таблиця 1'!$B:$B,$A652,'Таблиця 1'!$E:$E,"Вз.зв'язку",'Таблиця 1'!$L:$L,"Уражено"))</f>
        <v/>
      </c>
      <c r="U652">
        <f>IF($A652="","",COUNTIFS('Таблиця 1'!$B:$B,$A652,'Таблиця 1'!$E:$E,"ПММ",'Таблиця 1'!$L:$L,"Уражено"))</f>
        <v/>
      </c>
      <c r="V652">
        <f>IF($A652="","",COUNTIFS('Таблиця 1'!$B:$B,$A652,'Таблиця 1'!$E:$E,"ІФС",'Таблиця 1'!$L:$L,"Уражено"))</f>
        <v/>
      </c>
      <c r="W652">
        <f>IF($A652="","",COUNTIFS('Таблиця 1'!$B:$B,$A652,'Таблиця 1'!$E:$E,"Інфраструктура",'Таблиця 1'!$L:$L,"Уражено"))</f>
        <v/>
      </c>
      <c r="X652">
        <f>IF($A652="","",SUMIFS('Таблиця 1'!$K:$K,'Таблиця 1'!$B:$B,$A652))</f>
        <v/>
      </c>
    </row>
    <row r="653">
      <c r="A653" s="81">
        <f>IF(A652="","",IF(A652+1&gt;MAX('Таблиця 1'!$B:$B),"",A652+1))</f>
        <v/>
      </c>
      <c r="B653">
        <f>IF($A653="","",COUNTIFS('Таблиця 1'!$B:$B,$A653,'Таблиця 1'!$E:$E,"ЖС ВЗ",'Таблиця 1'!$L:$L,"Уражено"))</f>
        <v/>
      </c>
      <c r="C653">
        <f>IF($A653="","",COUNTIFS('Таблиця 1'!$B:$B,$A653,'Таблиця 1'!$E:$E,"Арт. Системи",'Таблиця 1'!$L:$L,"Уражено"))</f>
        <v/>
      </c>
      <c r="D653">
        <f>IF($A653="","",COUNTIFS('Таблиця 1'!$B:$B,$A653,'Таблиця 1'!$E:$E,"ОВТ",'Таблиця 1'!$L:$L,"Уражено"))</f>
        <v/>
      </c>
      <c r="E653">
        <f>IF($A653="","",COUNTIFS('Таблиця 1'!$B:$B,$A653,'Таблиця 1'!$E:$E,"ППО",'Таблиця 1'!$L:$L,"Уражено"))</f>
        <v/>
      </c>
      <c r="F653">
        <f>IF($A653="","",COUNTIFS('Таблиця 1'!$B:$B,$A653,'Таблиця 1'!$E:$E,"Рембаза",'Таблиця 1'!$L:$L,"Уражено"))</f>
        <v/>
      </c>
      <c r="G653">
        <f>IF($A653="","",COUNTIFS('Таблиця 1'!$B:$B,$A653,'Таблиця 1'!$E:$E,"Склад БК",'Таблиця 1'!$L:$L,"Уражено"))</f>
        <v/>
      </c>
      <c r="H653">
        <f>IF($A653="","",COUNTIFS('Таблиця 1'!$B:$B,$A653,'Таблиця 1'!$E:$E,"Склад ВТМ",'Таблиця 1'!$L:$L,"Уражено"))</f>
        <v/>
      </c>
      <c r="I653">
        <f>IF($A653="","",COUNTIFS('Таблиця 1'!$B:$B,$A653,'Таблиця 1'!$E:$E,"ПУ БпЛА",'Таблиця 1'!$L:$L,"Уражено"))</f>
        <v/>
      </c>
      <c r="J653">
        <f>IF($A653="","",COUNTIFS('Таблиця 1'!$B:$B,$A653,'Таблиця 1'!$E:$E,"СП",'Таблиця 1'!$L:$L,"Уражено"))</f>
        <v/>
      </c>
      <c r="K653">
        <f>IF($A653="","",COUNTIFS('Таблиця 1'!$B:$B,$A653,'Таблиця 1'!$E:$E,"КСП роти",'Таблиця 1'!$L:$L,"Уражено"))</f>
        <v/>
      </c>
      <c r="L653">
        <f>IF($A653="","",COUNTIFS('Таблиця 1'!$B:$B,$A653,'Таблиця 1'!$E:$E,"ПУ бат",'Таблиця 1'!$L:$L,"Уражено"))</f>
        <v/>
      </c>
      <c r="M653">
        <f>IF($A653="","",COUNTIFS('Таблиця 1'!$B:$B,$A653,'Таблиця 1'!$E:$E,"ПУ бриг",'Таблиця 1'!$L:$L,"Уражено"))</f>
        <v/>
      </c>
      <c r="N653">
        <f>IF($A653="","",COUNTIFS('Таблиця 1'!$B:$B,$A653,'Таблиця 1'!$E:$E,"ПУ див",'Таблиця 1'!$L:$L,"Уражено"))</f>
        <v/>
      </c>
      <c r="O653">
        <f>IF($A653="","",COUNTIFS('Таблиця 1'!$B:$B,$A653,'Таблиця 1'!$E:$E,"обл. РЕБ",'Таблиця 1'!$L:$L,"Уражено"))</f>
        <v/>
      </c>
      <c r="P653">
        <f>IF($A653="","",COUNTIFS('Таблиця 1'!$B:$B,$A653,'Таблиця 1'!$E:$E,"пос РЕБ",'Таблиця 1'!$L:$L,"Уражено"))</f>
        <v/>
      </c>
      <c r="Q653">
        <f>IF($A653="","",COUNTIFS('Таблиця 1'!$B:$B,$A653,'Таблиця 1'!$E:$E,"група РЕР",'Таблиця 1'!$L:$L,"Уражено"))</f>
        <v/>
      </c>
      <c r="R653">
        <f>IF($A653="","",COUNTIFS('Таблиця 1'!$B:$B,$A653,'Таблиця 1'!$E:$E,"РЛС КББ",'Таблиця 1'!$L:$L,"Уражено"))</f>
        <v/>
      </c>
      <c r="S653">
        <f>IF($A653="","",COUNTIFS('Таблиця 1'!$B:$B,$A653,'Таблиця 1'!$E:$E,"Ретранслятор",'Таблиця 1'!$L:$L,"Уражено"))</f>
        <v/>
      </c>
      <c r="T653">
        <f>IF($A653="","",COUNTIFS('Таблиця 1'!$B:$B,$A653,'Таблиця 1'!$E:$E,"Вз.зв'язку",'Таблиця 1'!$L:$L,"Уражено"))</f>
        <v/>
      </c>
      <c r="U653">
        <f>IF($A653="","",COUNTIFS('Таблиця 1'!$B:$B,$A653,'Таблиця 1'!$E:$E,"ПММ",'Таблиця 1'!$L:$L,"Уражено"))</f>
        <v/>
      </c>
      <c r="V653">
        <f>IF($A653="","",COUNTIFS('Таблиця 1'!$B:$B,$A653,'Таблиця 1'!$E:$E,"ІФС",'Таблиця 1'!$L:$L,"Уражено"))</f>
        <v/>
      </c>
      <c r="W653">
        <f>IF($A653="","",COUNTIFS('Таблиця 1'!$B:$B,$A653,'Таблиця 1'!$E:$E,"Інфраструктура",'Таблиця 1'!$L:$L,"Уражено"))</f>
        <v/>
      </c>
      <c r="X653">
        <f>IF($A653="","",SUMIFS('Таблиця 1'!$K:$K,'Таблиця 1'!$B:$B,$A653))</f>
        <v/>
      </c>
    </row>
    <row r="654">
      <c r="A654" s="81">
        <f>IF(A653="","",IF(A653+1&gt;MAX('Таблиця 1'!$B:$B),"",A653+1))</f>
        <v/>
      </c>
      <c r="B654">
        <f>IF($A654="","",COUNTIFS('Таблиця 1'!$B:$B,$A654,'Таблиця 1'!$E:$E,"ЖС ВЗ",'Таблиця 1'!$L:$L,"Уражено"))</f>
        <v/>
      </c>
      <c r="C654">
        <f>IF($A654="","",COUNTIFS('Таблиця 1'!$B:$B,$A654,'Таблиця 1'!$E:$E,"Арт. Системи",'Таблиця 1'!$L:$L,"Уражено"))</f>
        <v/>
      </c>
      <c r="D654">
        <f>IF($A654="","",COUNTIFS('Таблиця 1'!$B:$B,$A654,'Таблиця 1'!$E:$E,"ОВТ",'Таблиця 1'!$L:$L,"Уражено"))</f>
        <v/>
      </c>
      <c r="E654">
        <f>IF($A654="","",COUNTIFS('Таблиця 1'!$B:$B,$A654,'Таблиця 1'!$E:$E,"ППО",'Таблиця 1'!$L:$L,"Уражено"))</f>
        <v/>
      </c>
      <c r="F654">
        <f>IF($A654="","",COUNTIFS('Таблиця 1'!$B:$B,$A654,'Таблиця 1'!$E:$E,"Рембаза",'Таблиця 1'!$L:$L,"Уражено"))</f>
        <v/>
      </c>
      <c r="G654">
        <f>IF($A654="","",COUNTIFS('Таблиця 1'!$B:$B,$A654,'Таблиця 1'!$E:$E,"Склад БК",'Таблиця 1'!$L:$L,"Уражено"))</f>
        <v/>
      </c>
      <c r="H654">
        <f>IF($A654="","",COUNTIFS('Таблиця 1'!$B:$B,$A654,'Таблиця 1'!$E:$E,"Склад ВТМ",'Таблиця 1'!$L:$L,"Уражено"))</f>
        <v/>
      </c>
      <c r="I654">
        <f>IF($A654="","",COUNTIFS('Таблиця 1'!$B:$B,$A654,'Таблиця 1'!$E:$E,"ПУ БпЛА",'Таблиця 1'!$L:$L,"Уражено"))</f>
        <v/>
      </c>
      <c r="J654">
        <f>IF($A654="","",COUNTIFS('Таблиця 1'!$B:$B,$A654,'Таблиця 1'!$E:$E,"СП",'Таблиця 1'!$L:$L,"Уражено"))</f>
        <v/>
      </c>
      <c r="K654">
        <f>IF($A654="","",COUNTIFS('Таблиця 1'!$B:$B,$A654,'Таблиця 1'!$E:$E,"КСП роти",'Таблиця 1'!$L:$L,"Уражено"))</f>
        <v/>
      </c>
      <c r="L654">
        <f>IF($A654="","",COUNTIFS('Таблиця 1'!$B:$B,$A654,'Таблиця 1'!$E:$E,"ПУ бат",'Таблиця 1'!$L:$L,"Уражено"))</f>
        <v/>
      </c>
      <c r="M654">
        <f>IF($A654="","",COUNTIFS('Таблиця 1'!$B:$B,$A654,'Таблиця 1'!$E:$E,"ПУ бриг",'Таблиця 1'!$L:$L,"Уражено"))</f>
        <v/>
      </c>
      <c r="N654">
        <f>IF($A654="","",COUNTIFS('Таблиця 1'!$B:$B,$A654,'Таблиця 1'!$E:$E,"ПУ див",'Таблиця 1'!$L:$L,"Уражено"))</f>
        <v/>
      </c>
      <c r="O654">
        <f>IF($A654="","",COUNTIFS('Таблиця 1'!$B:$B,$A654,'Таблиця 1'!$E:$E,"обл. РЕБ",'Таблиця 1'!$L:$L,"Уражено"))</f>
        <v/>
      </c>
      <c r="P654">
        <f>IF($A654="","",COUNTIFS('Таблиця 1'!$B:$B,$A654,'Таблиця 1'!$E:$E,"пос РЕБ",'Таблиця 1'!$L:$L,"Уражено"))</f>
        <v/>
      </c>
      <c r="Q654">
        <f>IF($A654="","",COUNTIFS('Таблиця 1'!$B:$B,$A654,'Таблиця 1'!$E:$E,"група РЕР",'Таблиця 1'!$L:$L,"Уражено"))</f>
        <v/>
      </c>
      <c r="R654">
        <f>IF($A654="","",COUNTIFS('Таблиця 1'!$B:$B,$A654,'Таблиця 1'!$E:$E,"РЛС КББ",'Таблиця 1'!$L:$L,"Уражено"))</f>
        <v/>
      </c>
      <c r="S654">
        <f>IF($A654="","",COUNTIFS('Таблиця 1'!$B:$B,$A654,'Таблиця 1'!$E:$E,"Ретранслятор",'Таблиця 1'!$L:$L,"Уражено"))</f>
        <v/>
      </c>
      <c r="T654">
        <f>IF($A654="","",COUNTIFS('Таблиця 1'!$B:$B,$A654,'Таблиця 1'!$E:$E,"Вз.зв'язку",'Таблиця 1'!$L:$L,"Уражено"))</f>
        <v/>
      </c>
      <c r="U654">
        <f>IF($A654="","",COUNTIFS('Таблиця 1'!$B:$B,$A654,'Таблиця 1'!$E:$E,"ПММ",'Таблиця 1'!$L:$L,"Уражено"))</f>
        <v/>
      </c>
      <c r="V654">
        <f>IF($A654="","",COUNTIFS('Таблиця 1'!$B:$B,$A654,'Таблиця 1'!$E:$E,"ІФС",'Таблиця 1'!$L:$L,"Уражено"))</f>
        <v/>
      </c>
      <c r="W654">
        <f>IF($A654="","",COUNTIFS('Таблиця 1'!$B:$B,$A654,'Таблиця 1'!$E:$E,"Інфраструктура",'Таблиця 1'!$L:$L,"Уражено"))</f>
        <v/>
      </c>
      <c r="X654">
        <f>IF($A654="","",SUMIFS('Таблиця 1'!$K:$K,'Таблиця 1'!$B:$B,$A654))</f>
        <v/>
      </c>
    </row>
    <row r="655">
      <c r="A655" s="81">
        <f>IF(A654="","",IF(A654+1&gt;MAX('Таблиця 1'!$B:$B),"",A654+1))</f>
        <v/>
      </c>
      <c r="B655">
        <f>IF($A655="","",COUNTIFS('Таблиця 1'!$B:$B,$A655,'Таблиця 1'!$E:$E,"ЖС ВЗ",'Таблиця 1'!$L:$L,"Уражено"))</f>
        <v/>
      </c>
      <c r="C655">
        <f>IF($A655="","",COUNTIFS('Таблиця 1'!$B:$B,$A655,'Таблиця 1'!$E:$E,"Арт. Системи",'Таблиця 1'!$L:$L,"Уражено"))</f>
        <v/>
      </c>
      <c r="D655">
        <f>IF($A655="","",COUNTIFS('Таблиця 1'!$B:$B,$A655,'Таблиця 1'!$E:$E,"ОВТ",'Таблиця 1'!$L:$L,"Уражено"))</f>
        <v/>
      </c>
      <c r="E655">
        <f>IF($A655="","",COUNTIFS('Таблиця 1'!$B:$B,$A655,'Таблиця 1'!$E:$E,"ППО",'Таблиця 1'!$L:$L,"Уражено"))</f>
        <v/>
      </c>
      <c r="F655">
        <f>IF($A655="","",COUNTIFS('Таблиця 1'!$B:$B,$A655,'Таблиця 1'!$E:$E,"Рембаза",'Таблиця 1'!$L:$L,"Уражено"))</f>
        <v/>
      </c>
      <c r="G655">
        <f>IF($A655="","",COUNTIFS('Таблиця 1'!$B:$B,$A655,'Таблиця 1'!$E:$E,"Склад БК",'Таблиця 1'!$L:$L,"Уражено"))</f>
        <v/>
      </c>
      <c r="H655">
        <f>IF($A655="","",COUNTIFS('Таблиця 1'!$B:$B,$A655,'Таблиця 1'!$E:$E,"Склад ВТМ",'Таблиця 1'!$L:$L,"Уражено"))</f>
        <v/>
      </c>
      <c r="I655">
        <f>IF($A655="","",COUNTIFS('Таблиця 1'!$B:$B,$A655,'Таблиця 1'!$E:$E,"ПУ БпЛА",'Таблиця 1'!$L:$L,"Уражено"))</f>
        <v/>
      </c>
      <c r="J655">
        <f>IF($A655="","",COUNTIFS('Таблиця 1'!$B:$B,$A655,'Таблиця 1'!$E:$E,"СП",'Таблиця 1'!$L:$L,"Уражено"))</f>
        <v/>
      </c>
      <c r="K655">
        <f>IF($A655="","",COUNTIFS('Таблиця 1'!$B:$B,$A655,'Таблиця 1'!$E:$E,"КСП роти",'Таблиця 1'!$L:$L,"Уражено"))</f>
        <v/>
      </c>
      <c r="L655">
        <f>IF($A655="","",COUNTIFS('Таблиця 1'!$B:$B,$A655,'Таблиця 1'!$E:$E,"ПУ бат",'Таблиця 1'!$L:$L,"Уражено"))</f>
        <v/>
      </c>
      <c r="M655">
        <f>IF($A655="","",COUNTIFS('Таблиця 1'!$B:$B,$A655,'Таблиця 1'!$E:$E,"ПУ бриг",'Таблиця 1'!$L:$L,"Уражено"))</f>
        <v/>
      </c>
      <c r="N655">
        <f>IF($A655="","",COUNTIFS('Таблиця 1'!$B:$B,$A655,'Таблиця 1'!$E:$E,"ПУ див",'Таблиця 1'!$L:$L,"Уражено"))</f>
        <v/>
      </c>
      <c r="O655">
        <f>IF($A655="","",COUNTIFS('Таблиця 1'!$B:$B,$A655,'Таблиця 1'!$E:$E,"обл. РЕБ",'Таблиця 1'!$L:$L,"Уражено"))</f>
        <v/>
      </c>
      <c r="P655">
        <f>IF($A655="","",COUNTIFS('Таблиця 1'!$B:$B,$A655,'Таблиця 1'!$E:$E,"пос РЕБ",'Таблиця 1'!$L:$L,"Уражено"))</f>
        <v/>
      </c>
      <c r="Q655">
        <f>IF($A655="","",COUNTIFS('Таблиця 1'!$B:$B,$A655,'Таблиця 1'!$E:$E,"група РЕР",'Таблиця 1'!$L:$L,"Уражено"))</f>
        <v/>
      </c>
      <c r="R655">
        <f>IF($A655="","",COUNTIFS('Таблиця 1'!$B:$B,$A655,'Таблиця 1'!$E:$E,"РЛС КББ",'Таблиця 1'!$L:$L,"Уражено"))</f>
        <v/>
      </c>
      <c r="S655">
        <f>IF($A655="","",COUNTIFS('Таблиця 1'!$B:$B,$A655,'Таблиця 1'!$E:$E,"Ретранслятор",'Таблиця 1'!$L:$L,"Уражено"))</f>
        <v/>
      </c>
      <c r="T655">
        <f>IF($A655="","",COUNTIFS('Таблиця 1'!$B:$B,$A655,'Таблиця 1'!$E:$E,"Вз.зв'язку",'Таблиця 1'!$L:$L,"Уражено"))</f>
        <v/>
      </c>
      <c r="U655">
        <f>IF($A655="","",COUNTIFS('Таблиця 1'!$B:$B,$A655,'Таблиця 1'!$E:$E,"ПММ",'Таблиця 1'!$L:$L,"Уражено"))</f>
        <v/>
      </c>
      <c r="V655">
        <f>IF($A655="","",COUNTIFS('Таблиця 1'!$B:$B,$A655,'Таблиця 1'!$E:$E,"ІФС",'Таблиця 1'!$L:$L,"Уражено"))</f>
        <v/>
      </c>
      <c r="W655">
        <f>IF($A655="","",COUNTIFS('Таблиця 1'!$B:$B,$A655,'Таблиця 1'!$E:$E,"Інфраструктура",'Таблиця 1'!$L:$L,"Уражено"))</f>
        <v/>
      </c>
      <c r="X655">
        <f>IF($A655="","",SUMIFS('Таблиця 1'!$K:$K,'Таблиця 1'!$B:$B,$A655))</f>
        <v/>
      </c>
    </row>
    <row r="656">
      <c r="A656" s="81">
        <f>IF(A655="","",IF(A655+1&gt;MAX('Таблиця 1'!$B:$B),"",A655+1))</f>
        <v/>
      </c>
      <c r="B656">
        <f>IF($A656="","",COUNTIFS('Таблиця 1'!$B:$B,$A656,'Таблиця 1'!$E:$E,"ЖС ВЗ",'Таблиця 1'!$L:$L,"Уражено"))</f>
        <v/>
      </c>
      <c r="C656">
        <f>IF($A656="","",COUNTIFS('Таблиця 1'!$B:$B,$A656,'Таблиця 1'!$E:$E,"Арт. Системи",'Таблиця 1'!$L:$L,"Уражено"))</f>
        <v/>
      </c>
      <c r="D656">
        <f>IF($A656="","",COUNTIFS('Таблиця 1'!$B:$B,$A656,'Таблиця 1'!$E:$E,"ОВТ",'Таблиця 1'!$L:$L,"Уражено"))</f>
        <v/>
      </c>
      <c r="E656">
        <f>IF($A656="","",COUNTIFS('Таблиця 1'!$B:$B,$A656,'Таблиця 1'!$E:$E,"ППО",'Таблиця 1'!$L:$L,"Уражено"))</f>
        <v/>
      </c>
      <c r="F656">
        <f>IF($A656="","",COUNTIFS('Таблиця 1'!$B:$B,$A656,'Таблиця 1'!$E:$E,"Рембаза",'Таблиця 1'!$L:$L,"Уражено"))</f>
        <v/>
      </c>
      <c r="G656">
        <f>IF($A656="","",COUNTIFS('Таблиця 1'!$B:$B,$A656,'Таблиця 1'!$E:$E,"Склад БК",'Таблиця 1'!$L:$L,"Уражено"))</f>
        <v/>
      </c>
      <c r="H656">
        <f>IF($A656="","",COUNTIFS('Таблиця 1'!$B:$B,$A656,'Таблиця 1'!$E:$E,"Склад ВТМ",'Таблиця 1'!$L:$L,"Уражено"))</f>
        <v/>
      </c>
      <c r="I656">
        <f>IF($A656="","",COUNTIFS('Таблиця 1'!$B:$B,$A656,'Таблиця 1'!$E:$E,"ПУ БпЛА",'Таблиця 1'!$L:$L,"Уражено"))</f>
        <v/>
      </c>
      <c r="J656">
        <f>IF($A656="","",COUNTIFS('Таблиця 1'!$B:$B,$A656,'Таблиця 1'!$E:$E,"СП",'Таблиця 1'!$L:$L,"Уражено"))</f>
        <v/>
      </c>
      <c r="K656">
        <f>IF($A656="","",COUNTIFS('Таблиця 1'!$B:$B,$A656,'Таблиця 1'!$E:$E,"КСП роти",'Таблиця 1'!$L:$L,"Уражено"))</f>
        <v/>
      </c>
      <c r="L656">
        <f>IF($A656="","",COUNTIFS('Таблиця 1'!$B:$B,$A656,'Таблиця 1'!$E:$E,"ПУ бат",'Таблиця 1'!$L:$L,"Уражено"))</f>
        <v/>
      </c>
      <c r="M656">
        <f>IF($A656="","",COUNTIFS('Таблиця 1'!$B:$B,$A656,'Таблиця 1'!$E:$E,"ПУ бриг",'Таблиця 1'!$L:$L,"Уражено"))</f>
        <v/>
      </c>
      <c r="N656">
        <f>IF($A656="","",COUNTIFS('Таблиця 1'!$B:$B,$A656,'Таблиця 1'!$E:$E,"ПУ див",'Таблиця 1'!$L:$L,"Уражено"))</f>
        <v/>
      </c>
      <c r="O656">
        <f>IF($A656="","",COUNTIFS('Таблиця 1'!$B:$B,$A656,'Таблиця 1'!$E:$E,"обл. РЕБ",'Таблиця 1'!$L:$L,"Уражено"))</f>
        <v/>
      </c>
      <c r="P656">
        <f>IF($A656="","",COUNTIFS('Таблиця 1'!$B:$B,$A656,'Таблиця 1'!$E:$E,"пос РЕБ",'Таблиця 1'!$L:$L,"Уражено"))</f>
        <v/>
      </c>
      <c r="Q656">
        <f>IF($A656="","",COUNTIFS('Таблиця 1'!$B:$B,$A656,'Таблиця 1'!$E:$E,"група РЕР",'Таблиця 1'!$L:$L,"Уражено"))</f>
        <v/>
      </c>
      <c r="R656">
        <f>IF($A656="","",COUNTIFS('Таблиця 1'!$B:$B,$A656,'Таблиця 1'!$E:$E,"РЛС КББ",'Таблиця 1'!$L:$L,"Уражено"))</f>
        <v/>
      </c>
      <c r="S656">
        <f>IF($A656="","",COUNTIFS('Таблиця 1'!$B:$B,$A656,'Таблиця 1'!$E:$E,"Ретранслятор",'Таблиця 1'!$L:$L,"Уражено"))</f>
        <v/>
      </c>
      <c r="T656">
        <f>IF($A656="","",COUNTIFS('Таблиця 1'!$B:$B,$A656,'Таблиця 1'!$E:$E,"Вз.зв'язку",'Таблиця 1'!$L:$L,"Уражено"))</f>
        <v/>
      </c>
      <c r="U656">
        <f>IF($A656="","",COUNTIFS('Таблиця 1'!$B:$B,$A656,'Таблиця 1'!$E:$E,"ПММ",'Таблиця 1'!$L:$L,"Уражено"))</f>
        <v/>
      </c>
      <c r="V656">
        <f>IF($A656="","",COUNTIFS('Таблиця 1'!$B:$B,$A656,'Таблиця 1'!$E:$E,"ІФС",'Таблиця 1'!$L:$L,"Уражено"))</f>
        <v/>
      </c>
      <c r="W656">
        <f>IF($A656="","",COUNTIFS('Таблиця 1'!$B:$B,$A656,'Таблиця 1'!$E:$E,"Інфраструктура",'Таблиця 1'!$L:$L,"Уражено"))</f>
        <v/>
      </c>
      <c r="X656">
        <f>IF($A656="","",SUMIFS('Таблиця 1'!$K:$K,'Таблиця 1'!$B:$B,$A656))</f>
        <v/>
      </c>
    </row>
    <row r="657">
      <c r="A657" s="81">
        <f>IF(A656="","",IF(A656+1&gt;MAX('Таблиця 1'!$B:$B),"",A656+1))</f>
        <v/>
      </c>
      <c r="B657">
        <f>IF($A657="","",COUNTIFS('Таблиця 1'!$B:$B,$A657,'Таблиця 1'!$E:$E,"ЖС ВЗ",'Таблиця 1'!$L:$L,"Уражено"))</f>
        <v/>
      </c>
      <c r="C657">
        <f>IF($A657="","",COUNTIFS('Таблиця 1'!$B:$B,$A657,'Таблиця 1'!$E:$E,"Арт. Системи",'Таблиця 1'!$L:$L,"Уражено"))</f>
        <v/>
      </c>
      <c r="D657">
        <f>IF($A657="","",COUNTIFS('Таблиця 1'!$B:$B,$A657,'Таблиця 1'!$E:$E,"ОВТ",'Таблиця 1'!$L:$L,"Уражено"))</f>
        <v/>
      </c>
      <c r="E657">
        <f>IF($A657="","",COUNTIFS('Таблиця 1'!$B:$B,$A657,'Таблиця 1'!$E:$E,"ППО",'Таблиця 1'!$L:$L,"Уражено"))</f>
        <v/>
      </c>
      <c r="F657">
        <f>IF($A657="","",COUNTIFS('Таблиця 1'!$B:$B,$A657,'Таблиця 1'!$E:$E,"Рембаза",'Таблиця 1'!$L:$L,"Уражено"))</f>
        <v/>
      </c>
      <c r="G657">
        <f>IF($A657="","",COUNTIFS('Таблиця 1'!$B:$B,$A657,'Таблиця 1'!$E:$E,"Склад БК",'Таблиця 1'!$L:$L,"Уражено"))</f>
        <v/>
      </c>
      <c r="H657">
        <f>IF($A657="","",COUNTIFS('Таблиця 1'!$B:$B,$A657,'Таблиця 1'!$E:$E,"Склад ВТМ",'Таблиця 1'!$L:$L,"Уражено"))</f>
        <v/>
      </c>
      <c r="I657">
        <f>IF($A657="","",COUNTIFS('Таблиця 1'!$B:$B,$A657,'Таблиця 1'!$E:$E,"ПУ БпЛА",'Таблиця 1'!$L:$L,"Уражено"))</f>
        <v/>
      </c>
      <c r="J657">
        <f>IF($A657="","",COUNTIFS('Таблиця 1'!$B:$B,$A657,'Таблиця 1'!$E:$E,"СП",'Таблиця 1'!$L:$L,"Уражено"))</f>
        <v/>
      </c>
      <c r="K657">
        <f>IF($A657="","",COUNTIFS('Таблиця 1'!$B:$B,$A657,'Таблиця 1'!$E:$E,"КСП роти",'Таблиця 1'!$L:$L,"Уражено"))</f>
        <v/>
      </c>
      <c r="L657">
        <f>IF($A657="","",COUNTIFS('Таблиця 1'!$B:$B,$A657,'Таблиця 1'!$E:$E,"ПУ бат",'Таблиця 1'!$L:$L,"Уражено"))</f>
        <v/>
      </c>
      <c r="M657">
        <f>IF($A657="","",COUNTIFS('Таблиця 1'!$B:$B,$A657,'Таблиця 1'!$E:$E,"ПУ бриг",'Таблиця 1'!$L:$L,"Уражено"))</f>
        <v/>
      </c>
      <c r="N657">
        <f>IF($A657="","",COUNTIFS('Таблиця 1'!$B:$B,$A657,'Таблиця 1'!$E:$E,"ПУ див",'Таблиця 1'!$L:$L,"Уражено"))</f>
        <v/>
      </c>
      <c r="O657">
        <f>IF($A657="","",COUNTIFS('Таблиця 1'!$B:$B,$A657,'Таблиця 1'!$E:$E,"обл. РЕБ",'Таблиця 1'!$L:$L,"Уражено"))</f>
        <v/>
      </c>
      <c r="P657">
        <f>IF($A657="","",COUNTIFS('Таблиця 1'!$B:$B,$A657,'Таблиця 1'!$E:$E,"пос РЕБ",'Таблиця 1'!$L:$L,"Уражено"))</f>
        <v/>
      </c>
      <c r="Q657">
        <f>IF($A657="","",COUNTIFS('Таблиця 1'!$B:$B,$A657,'Таблиця 1'!$E:$E,"група РЕР",'Таблиця 1'!$L:$L,"Уражено"))</f>
        <v/>
      </c>
      <c r="R657">
        <f>IF($A657="","",COUNTIFS('Таблиця 1'!$B:$B,$A657,'Таблиця 1'!$E:$E,"РЛС КББ",'Таблиця 1'!$L:$L,"Уражено"))</f>
        <v/>
      </c>
      <c r="S657">
        <f>IF($A657="","",COUNTIFS('Таблиця 1'!$B:$B,$A657,'Таблиця 1'!$E:$E,"Ретранслятор",'Таблиця 1'!$L:$L,"Уражено"))</f>
        <v/>
      </c>
      <c r="T657">
        <f>IF($A657="","",COUNTIFS('Таблиця 1'!$B:$B,$A657,'Таблиця 1'!$E:$E,"Вз.зв'язку",'Таблиця 1'!$L:$L,"Уражено"))</f>
        <v/>
      </c>
      <c r="U657">
        <f>IF($A657="","",COUNTIFS('Таблиця 1'!$B:$B,$A657,'Таблиця 1'!$E:$E,"ПММ",'Таблиця 1'!$L:$L,"Уражено"))</f>
        <v/>
      </c>
      <c r="V657">
        <f>IF($A657="","",COUNTIFS('Таблиця 1'!$B:$B,$A657,'Таблиця 1'!$E:$E,"ІФС",'Таблиця 1'!$L:$L,"Уражено"))</f>
        <v/>
      </c>
      <c r="W657">
        <f>IF($A657="","",COUNTIFS('Таблиця 1'!$B:$B,$A657,'Таблиця 1'!$E:$E,"Інфраструктура",'Таблиця 1'!$L:$L,"Уражено"))</f>
        <v/>
      </c>
      <c r="X657">
        <f>IF($A657="","",SUMIFS('Таблиця 1'!$K:$K,'Таблиця 1'!$B:$B,$A657))</f>
        <v/>
      </c>
    </row>
    <row r="658">
      <c r="A658" s="81">
        <f>IF(A657="","",IF(A657+1&gt;MAX('Таблиця 1'!$B:$B),"",A657+1))</f>
        <v/>
      </c>
      <c r="B658">
        <f>IF($A658="","",COUNTIFS('Таблиця 1'!$B:$B,$A658,'Таблиця 1'!$E:$E,"ЖС ВЗ",'Таблиця 1'!$L:$L,"Уражено"))</f>
        <v/>
      </c>
      <c r="C658">
        <f>IF($A658="","",COUNTIFS('Таблиця 1'!$B:$B,$A658,'Таблиця 1'!$E:$E,"Арт. Системи",'Таблиця 1'!$L:$L,"Уражено"))</f>
        <v/>
      </c>
      <c r="D658">
        <f>IF($A658="","",COUNTIFS('Таблиця 1'!$B:$B,$A658,'Таблиця 1'!$E:$E,"ОВТ",'Таблиця 1'!$L:$L,"Уражено"))</f>
        <v/>
      </c>
      <c r="E658">
        <f>IF($A658="","",COUNTIFS('Таблиця 1'!$B:$B,$A658,'Таблиця 1'!$E:$E,"ППО",'Таблиця 1'!$L:$L,"Уражено"))</f>
        <v/>
      </c>
      <c r="F658">
        <f>IF($A658="","",COUNTIFS('Таблиця 1'!$B:$B,$A658,'Таблиця 1'!$E:$E,"Рембаза",'Таблиця 1'!$L:$L,"Уражено"))</f>
        <v/>
      </c>
      <c r="G658">
        <f>IF($A658="","",COUNTIFS('Таблиця 1'!$B:$B,$A658,'Таблиця 1'!$E:$E,"Склад БК",'Таблиця 1'!$L:$L,"Уражено"))</f>
        <v/>
      </c>
      <c r="H658">
        <f>IF($A658="","",COUNTIFS('Таблиця 1'!$B:$B,$A658,'Таблиця 1'!$E:$E,"Склад ВТМ",'Таблиця 1'!$L:$L,"Уражено"))</f>
        <v/>
      </c>
      <c r="I658">
        <f>IF($A658="","",COUNTIFS('Таблиця 1'!$B:$B,$A658,'Таблиця 1'!$E:$E,"ПУ БпЛА",'Таблиця 1'!$L:$L,"Уражено"))</f>
        <v/>
      </c>
      <c r="J658">
        <f>IF($A658="","",COUNTIFS('Таблиця 1'!$B:$B,$A658,'Таблиця 1'!$E:$E,"СП",'Таблиця 1'!$L:$L,"Уражено"))</f>
        <v/>
      </c>
      <c r="K658">
        <f>IF($A658="","",COUNTIFS('Таблиця 1'!$B:$B,$A658,'Таблиця 1'!$E:$E,"КСП роти",'Таблиця 1'!$L:$L,"Уражено"))</f>
        <v/>
      </c>
      <c r="L658">
        <f>IF($A658="","",COUNTIFS('Таблиця 1'!$B:$B,$A658,'Таблиця 1'!$E:$E,"ПУ бат",'Таблиця 1'!$L:$L,"Уражено"))</f>
        <v/>
      </c>
      <c r="M658">
        <f>IF($A658="","",COUNTIFS('Таблиця 1'!$B:$B,$A658,'Таблиця 1'!$E:$E,"ПУ бриг",'Таблиця 1'!$L:$L,"Уражено"))</f>
        <v/>
      </c>
      <c r="N658">
        <f>IF($A658="","",COUNTIFS('Таблиця 1'!$B:$B,$A658,'Таблиця 1'!$E:$E,"ПУ див",'Таблиця 1'!$L:$L,"Уражено"))</f>
        <v/>
      </c>
      <c r="O658">
        <f>IF($A658="","",COUNTIFS('Таблиця 1'!$B:$B,$A658,'Таблиця 1'!$E:$E,"обл. РЕБ",'Таблиця 1'!$L:$L,"Уражено"))</f>
        <v/>
      </c>
      <c r="P658">
        <f>IF($A658="","",COUNTIFS('Таблиця 1'!$B:$B,$A658,'Таблиця 1'!$E:$E,"пос РЕБ",'Таблиця 1'!$L:$L,"Уражено"))</f>
        <v/>
      </c>
      <c r="Q658">
        <f>IF($A658="","",COUNTIFS('Таблиця 1'!$B:$B,$A658,'Таблиця 1'!$E:$E,"група РЕР",'Таблиця 1'!$L:$L,"Уражено"))</f>
        <v/>
      </c>
      <c r="R658">
        <f>IF($A658="","",COUNTIFS('Таблиця 1'!$B:$B,$A658,'Таблиця 1'!$E:$E,"РЛС КББ",'Таблиця 1'!$L:$L,"Уражено"))</f>
        <v/>
      </c>
      <c r="S658">
        <f>IF($A658="","",COUNTIFS('Таблиця 1'!$B:$B,$A658,'Таблиця 1'!$E:$E,"Ретранслятор",'Таблиця 1'!$L:$L,"Уражено"))</f>
        <v/>
      </c>
      <c r="T658">
        <f>IF($A658="","",COUNTIFS('Таблиця 1'!$B:$B,$A658,'Таблиця 1'!$E:$E,"Вз.зв'язку",'Таблиця 1'!$L:$L,"Уражено"))</f>
        <v/>
      </c>
      <c r="U658">
        <f>IF($A658="","",COUNTIFS('Таблиця 1'!$B:$B,$A658,'Таблиця 1'!$E:$E,"ПММ",'Таблиця 1'!$L:$L,"Уражено"))</f>
        <v/>
      </c>
      <c r="V658">
        <f>IF($A658="","",COUNTIFS('Таблиця 1'!$B:$B,$A658,'Таблиця 1'!$E:$E,"ІФС",'Таблиця 1'!$L:$L,"Уражено"))</f>
        <v/>
      </c>
      <c r="W658">
        <f>IF($A658="","",COUNTIFS('Таблиця 1'!$B:$B,$A658,'Таблиця 1'!$E:$E,"Інфраструктура",'Таблиця 1'!$L:$L,"Уражено"))</f>
        <v/>
      </c>
      <c r="X658">
        <f>IF($A658="","",SUMIFS('Таблиця 1'!$K:$K,'Таблиця 1'!$B:$B,$A658))</f>
        <v/>
      </c>
    </row>
    <row r="659">
      <c r="A659" s="81">
        <f>IF(A658="","",IF(A658+1&gt;MAX('Таблиця 1'!$B:$B),"",A658+1))</f>
        <v/>
      </c>
      <c r="B659">
        <f>IF($A659="","",COUNTIFS('Таблиця 1'!$B:$B,$A659,'Таблиця 1'!$E:$E,"ЖС ВЗ",'Таблиця 1'!$L:$L,"Уражено"))</f>
        <v/>
      </c>
      <c r="C659">
        <f>IF($A659="","",COUNTIFS('Таблиця 1'!$B:$B,$A659,'Таблиця 1'!$E:$E,"Арт. Системи",'Таблиця 1'!$L:$L,"Уражено"))</f>
        <v/>
      </c>
      <c r="D659">
        <f>IF($A659="","",COUNTIFS('Таблиця 1'!$B:$B,$A659,'Таблиця 1'!$E:$E,"ОВТ",'Таблиця 1'!$L:$L,"Уражено"))</f>
        <v/>
      </c>
      <c r="E659">
        <f>IF($A659="","",COUNTIFS('Таблиця 1'!$B:$B,$A659,'Таблиця 1'!$E:$E,"ППО",'Таблиця 1'!$L:$L,"Уражено"))</f>
        <v/>
      </c>
      <c r="F659">
        <f>IF($A659="","",COUNTIFS('Таблиця 1'!$B:$B,$A659,'Таблиця 1'!$E:$E,"Рембаза",'Таблиця 1'!$L:$L,"Уражено"))</f>
        <v/>
      </c>
      <c r="G659">
        <f>IF($A659="","",COUNTIFS('Таблиця 1'!$B:$B,$A659,'Таблиця 1'!$E:$E,"Склад БК",'Таблиця 1'!$L:$L,"Уражено"))</f>
        <v/>
      </c>
      <c r="H659">
        <f>IF($A659="","",COUNTIFS('Таблиця 1'!$B:$B,$A659,'Таблиця 1'!$E:$E,"Склад ВТМ",'Таблиця 1'!$L:$L,"Уражено"))</f>
        <v/>
      </c>
      <c r="I659">
        <f>IF($A659="","",COUNTIFS('Таблиця 1'!$B:$B,$A659,'Таблиця 1'!$E:$E,"ПУ БпЛА",'Таблиця 1'!$L:$L,"Уражено"))</f>
        <v/>
      </c>
      <c r="J659">
        <f>IF($A659="","",COUNTIFS('Таблиця 1'!$B:$B,$A659,'Таблиця 1'!$E:$E,"СП",'Таблиця 1'!$L:$L,"Уражено"))</f>
        <v/>
      </c>
      <c r="K659">
        <f>IF($A659="","",COUNTIFS('Таблиця 1'!$B:$B,$A659,'Таблиця 1'!$E:$E,"КСП роти",'Таблиця 1'!$L:$L,"Уражено"))</f>
        <v/>
      </c>
      <c r="L659">
        <f>IF($A659="","",COUNTIFS('Таблиця 1'!$B:$B,$A659,'Таблиця 1'!$E:$E,"ПУ бат",'Таблиця 1'!$L:$L,"Уражено"))</f>
        <v/>
      </c>
      <c r="M659">
        <f>IF($A659="","",COUNTIFS('Таблиця 1'!$B:$B,$A659,'Таблиця 1'!$E:$E,"ПУ бриг",'Таблиця 1'!$L:$L,"Уражено"))</f>
        <v/>
      </c>
      <c r="N659">
        <f>IF($A659="","",COUNTIFS('Таблиця 1'!$B:$B,$A659,'Таблиця 1'!$E:$E,"ПУ див",'Таблиця 1'!$L:$L,"Уражено"))</f>
        <v/>
      </c>
      <c r="O659">
        <f>IF($A659="","",COUNTIFS('Таблиця 1'!$B:$B,$A659,'Таблиця 1'!$E:$E,"обл. РЕБ",'Таблиця 1'!$L:$L,"Уражено"))</f>
        <v/>
      </c>
      <c r="P659">
        <f>IF($A659="","",COUNTIFS('Таблиця 1'!$B:$B,$A659,'Таблиця 1'!$E:$E,"пос РЕБ",'Таблиця 1'!$L:$L,"Уражено"))</f>
        <v/>
      </c>
      <c r="Q659">
        <f>IF($A659="","",COUNTIFS('Таблиця 1'!$B:$B,$A659,'Таблиця 1'!$E:$E,"група РЕР",'Таблиця 1'!$L:$L,"Уражено"))</f>
        <v/>
      </c>
      <c r="R659">
        <f>IF($A659="","",COUNTIFS('Таблиця 1'!$B:$B,$A659,'Таблиця 1'!$E:$E,"РЛС КББ",'Таблиця 1'!$L:$L,"Уражено"))</f>
        <v/>
      </c>
      <c r="S659">
        <f>IF($A659="","",COUNTIFS('Таблиця 1'!$B:$B,$A659,'Таблиця 1'!$E:$E,"Ретранслятор",'Таблиця 1'!$L:$L,"Уражено"))</f>
        <v/>
      </c>
      <c r="T659">
        <f>IF($A659="","",COUNTIFS('Таблиця 1'!$B:$B,$A659,'Таблиця 1'!$E:$E,"Вз.зв'язку",'Таблиця 1'!$L:$L,"Уражено"))</f>
        <v/>
      </c>
      <c r="U659">
        <f>IF($A659="","",COUNTIFS('Таблиця 1'!$B:$B,$A659,'Таблиця 1'!$E:$E,"ПММ",'Таблиця 1'!$L:$L,"Уражено"))</f>
        <v/>
      </c>
      <c r="V659">
        <f>IF($A659="","",COUNTIFS('Таблиця 1'!$B:$B,$A659,'Таблиця 1'!$E:$E,"ІФС",'Таблиця 1'!$L:$L,"Уражено"))</f>
        <v/>
      </c>
      <c r="W659">
        <f>IF($A659="","",COUNTIFS('Таблиця 1'!$B:$B,$A659,'Таблиця 1'!$E:$E,"Інфраструктура",'Таблиця 1'!$L:$L,"Уражено"))</f>
        <v/>
      </c>
      <c r="X659">
        <f>IF($A659="","",SUMIFS('Таблиця 1'!$K:$K,'Таблиця 1'!$B:$B,$A659))</f>
        <v/>
      </c>
    </row>
    <row r="660">
      <c r="A660" s="81">
        <f>IF(A659="","",IF(A659+1&gt;MAX('Таблиця 1'!$B:$B),"",A659+1))</f>
        <v/>
      </c>
      <c r="B660">
        <f>IF($A660="","",COUNTIFS('Таблиця 1'!$B:$B,$A660,'Таблиця 1'!$E:$E,"ЖС ВЗ",'Таблиця 1'!$L:$L,"Уражено"))</f>
        <v/>
      </c>
      <c r="C660">
        <f>IF($A660="","",COUNTIFS('Таблиця 1'!$B:$B,$A660,'Таблиця 1'!$E:$E,"Арт. Системи",'Таблиця 1'!$L:$L,"Уражено"))</f>
        <v/>
      </c>
      <c r="D660">
        <f>IF($A660="","",COUNTIFS('Таблиця 1'!$B:$B,$A660,'Таблиця 1'!$E:$E,"ОВТ",'Таблиця 1'!$L:$L,"Уражено"))</f>
        <v/>
      </c>
      <c r="E660">
        <f>IF($A660="","",COUNTIFS('Таблиця 1'!$B:$B,$A660,'Таблиця 1'!$E:$E,"ППО",'Таблиця 1'!$L:$L,"Уражено"))</f>
        <v/>
      </c>
      <c r="F660">
        <f>IF($A660="","",COUNTIFS('Таблиця 1'!$B:$B,$A660,'Таблиця 1'!$E:$E,"Рембаза",'Таблиця 1'!$L:$L,"Уражено"))</f>
        <v/>
      </c>
      <c r="G660">
        <f>IF($A660="","",COUNTIFS('Таблиця 1'!$B:$B,$A660,'Таблиця 1'!$E:$E,"Склад БК",'Таблиця 1'!$L:$L,"Уражено"))</f>
        <v/>
      </c>
      <c r="H660">
        <f>IF($A660="","",COUNTIFS('Таблиця 1'!$B:$B,$A660,'Таблиця 1'!$E:$E,"Склад ВТМ",'Таблиця 1'!$L:$L,"Уражено"))</f>
        <v/>
      </c>
      <c r="I660">
        <f>IF($A660="","",COUNTIFS('Таблиця 1'!$B:$B,$A660,'Таблиця 1'!$E:$E,"ПУ БпЛА",'Таблиця 1'!$L:$L,"Уражено"))</f>
        <v/>
      </c>
      <c r="J660">
        <f>IF($A660="","",COUNTIFS('Таблиця 1'!$B:$B,$A660,'Таблиця 1'!$E:$E,"СП",'Таблиця 1'!$L:$L,"Уражено"))</f>
        <v/>
      </c>
      <c r="K660">
        <f>IF($A660="","",COUNTIFS('Таблиця 1'!$B:$B,$A660,'Таблиця 1'!$E:$E,"КСП роти",'Таблиця 1'!$L:$L,"Уражено"))</f>
        <v/>
      </c>
      <c r="L660">
        <f>IF($A660="","",COUNTIFS('Таблиця 1'!$B:$B,$A660,'Таблиця 1'!$E:$E,"ПУ бат",'Таблиця 1'!$L:$L,"Уражено"))</f>
        <v/>
      </c>
      <c r="M660">
        <f>IF($A660="","",COUNTIFS('Таблиця 1'!$B:$B,$A660,'Таблиця 1'!$E:$E,"ПУ бриг",'Таблиця 1'!$L:$L,"Уражено"))</f>
        <v/>
      </c>
      <c r="N660">
        <f>IF($A660="","",COUNTIFS('Таблиця 1'!$B:$B,$A660,'Таблиця 1'!$E:$E,"ПУ див",'Таблиця 1'!$L:$L,"Уражено"))</f>
        <v/>
      </c>
      <c r="O660">
        <f>IF($A660="","",COUNTIFS('Таблиця 1'!$B:$B,$A660,'Таблиця 1'!$E:$E,"обл. РЕБ",'Таблиця 1'!$L:$L,"Уражено"))</f>
        <v/>
      </c>
      <c r="P660">
        <f>IF($A660="","",COUNTIFS('Таблиця 1'!$B:$B,$A660,'Таблиця 1'!$E:$E,"пос РЕБ",'Таблиця 1'!$L:$L,"Уражено"))</f>
        <v/>
      </c>
      <c r="Q660">
        <f>IF($A660="","",COUNTIFS('Таблиця 1'!$B:$B,$A660,'Таблиця 1'!$E:$E,"група РЕР",'Таблиця 1'!$L:$L,"Уражено"))</f>
        <v/>
      </c>
      <c r="R660">
        <f>IF($A660="","",COUNTIFS('Таблиця 1'!$B:$B,$A660,'Таблиця 1'!$E:$E,"РЛС КББ",'Таблиця 1'!$L:$L,"Уражено"))</f>
        <v/>
      </c>
      <c r="S660">
        <f>IF($A660="","",COUNTIFS('Таблиця 1'!$B:$B,$A660,'Таблиця 1'!$E:$E,"Ретранслятор",'Таблиця 1'!$L:$L,"Уражено"))</f>
        <v/>
      </c>
      <c r="T660">
        <f>IF($A660="","",COUNTIFS('Таблиця 1'!$B:$B,$A660,'Таблиця 1'!$E:$E,"Вз.зв'язку",'Таблиця 1'!$L:$L,"Уражено"))</f>
        <v/>
      </c>
      <c r="U660">
        <f>IF($A660="","",COUNTIFS('Таблиця 1'!$B:$B,$A660,'Таблиця 1'!$E:$E,"ПММ",'Таблиця 1'!$L:$L,"Уражено"))</f>
        <v/>
      </c>
      <c r="V660">
        <f>IF($A660="","",COUNTIFS('Таблиця 1'!$B:$B,$A660,'Таблиця 1'!$E:$E,"ІФС",'Таблиця 1'!$L:$L,"Уражено"))</f>
        <v/>
      </c>
      <c r="W660">
        <f>IF($A660="","",COUNTIFS('Таблиця 1'!$B:$B,$A660,'Таблиця 1'!$E:$E,"Інфраструктура",'Таблиця 1'!$L:$L,"Уражено"))</f>
        <v/>
      </c>
      <c r="X660">
        <f>IF($A660="","",SUMIFS('Таблиця 1'!$K:$K,'Таблиця 1'!$B:$B,$A660))</f>
        <v/>
      </c>
    </row>
    <row r="661">
      <c r="A661" s="81">
        <f>IF(A660="","",IF(A660+1&gt;MAX('Таблиця 1'!$B:$B),"",A660+1))</f>
        <v/>
      </c>
      <c r="B661">
        <f>IF($A661="","",COUNTIFS('Таблиця 1'!$B:$B,$A661,'Таблиця 1'!$E:$E,"ЖС ВЗ",'Таблиця 1'!$L:$L,"Уражено"))</f>
        <v/>
      </c>
      <c r="C661">
        <f>IF($A661="","",COUNTIFS('Таблиця 1'!$B:$B,$A661,'Таблиця 1'!$E:$E,"Арт. Системи",'Таблиця 1'!$L:$L,"Уражено"))</f>
        <v/>
      </c>
      <c r="D661">
        <f>IF($A661="","",COUNTIFS('Таблиця 1'!$B:$B,$A661,'Таблиця 1'!$E:$E,"ОВТ",'Таблиця 1'!$L:$L,"Уражено"))</f>
        <v/>
      </c>
      <c r="E661">
        <f>IF($A661="","",COUNTIFS('Таблиця 1'!$B:$B,$A661,'Таблиця 1'!$E:$E,"ППО",'Таблиця 1'!$L:$L,"Уражено"))</f>
        <v/>
      </c>
      <c r="F661">
        <f>IF($A661="","",COUNTIFS('Таблиця 1'!$B:$B,$A661,'Таблиця 1'!$E:$E,"Рембаза",'Таблиця 1'!$L:$L,"Уражено"))</f>
        <v/>
      </c>
      <c r="G661">
        <f>IF($A661="","",COUNTIFS('Таблиця 1'!$B:$B,$A661,'Таблиця 1'!$E:$E,"Склад БК",'Таблиця 1'!$L:$L,"Уражено"))</f>
        <v/>
      </c>
      <c r="H661">
        <f>IF($A661="","",COUNTIFS('Таблиця 1'!$B:$B,$A661,'Таблиця 1'!$E:$E,"Склад ВТМ",'Таблиця 1'!$L:$L,"Уражено"))</f>
        <v/>
      </c>
      <c r="I661">
        <f>IF($A661="","",COUNTIFS('Таблиця 1'!$B:$B,$A661,'Таблиця 1'!$E:$E,"ПУ БпЛА",'Таблиця 1'!$L:$L,"Уражено"))</f>
        <v/>
      </c>
      <c r="J661">
        <f>IF($A661="","",COUNTIFS('Таблиця 1'!$B:$B,$A661,'Таблиця 1'!$E:$E,"СП",'Таблиця 1'!$L:$L,"Уражено"))</f>
        <v/>
      </c>
      <c r="K661">
        <f>IF($A661="","",COUNTIFS('Таблиця 1'!$B:$B,$A661,'Таблиця 1'!$E:$E,"КСП роти",'Таблиця 1'!$L:$L,"Уражено"))</f>
        <v/>
      </c>
      <c r="L661">
        <f>IF($A661="","",COUNTIFS('Таблиця 1'!$B:$B,$A661,'Таблиця 1'!$E:$E,"ПУ бат",'Таблиця 1'!$L:$L,"Уражено"))</f>
        <v/>
      </c>
      <c r="M661">
        <f>IF($A661="","",COUNTIFS('Таблиця 1'!$B:$B,$A661,'Таблиця 1'!$E:$E,"ПУ бриг",'Таблиця 1'!$L:$L,"Уражено"))</f>
        <v/>
      </c>
      <c r="N661">
        <f>IF($A661="","",COUNTIFS('Таблиця 1'!$B:$B,$A661,'Таблиця 1'!$E:$E,"ПУ див",'Таблиця 1'!$L:$L,"Уражено"))</f>
        <v/>
      </c>
      <c r="O661">
        <f>IF($A661="","",COUNTIFS('Таблиця 1'!$B:$B,$A661,'Таблиця 1'!$E:$E,"обл. РЕБ",'Таблиця 1'!$L:$L,"Уражено"))</f>
        <v/>
      </c>
      <c r="P661">
        <f>IF($A661="","",COUNTIFS('Таблиця 1'!$B:$B,$A661,'Таблиця 1'!$E:$E,"пос РЕБ",'Таблиця 1'!$L:$L,"Уражено"))</f>
        <v/>
      </c>
      <c r="Q661">
        <f>IF($A661="","",COUNTIFS('Таблиця 1'!$B:$B,$A661,'Таблиця 1'!$E:$E,"група РЕР",'Таблиця 1'!$L:$L,"Уражено"))</f>
        <v/>
      </c>
      <c r="R661">
        <f>IF($A661="","",COUNTIFS('Таблиця 1'!$B:$B,$A661,'Таблиця 1'!$E:$E,"РЛС КББ",'Таблиця 1'!$L:$L,"Уражено"))</f>
        <v/>
      </c>
      <c r="S661">
        <f>IF($A661="","",COUNTIFS('Таблиця 1'!$B:$B,$A661,'Таблиця 1'!$E:$E,"Ретранслятор",'Таблиця 1'!$L:$L,"Уражено"))</f>
        <v/>
      </c>
      <c r="T661">
        <f>IF($A661="","",COUNTIFS('Таблиця 1'!$B:$B,$A661,'Таблиця 1'!$E:$E,"Вз.зв'язку",'Таблиця 1'!$L:$L,"Уражено"))</f>
        <v/>
      </c>
      <c r="U661">
        <f>IF($A661="","",COUNTIFS('Таблиця 1'!$B:$B,$A661,'Таблиця 1'!$E:$E,"ПММ",'Таблиця 1'!$L:$L,"Уражено"))</f>
        <v/>
      </c>
      <c r="V661">
        <f>IF($A661="","",COUNTIFS('Таблиця 1'!$B:$B,$A661,'Таблиця 1'!$E:$E,"ІФС",'Таблиця 1'!$L:$L,"Уражено"))</f>
        <v/>
      </c>
      <c r="W661">
        <f>IF($A661="","",COUNTIFS('Таблиця 1'!$B:$B,$A661,'Таблиця 1'!$E:$E,"Інфраструктура",'Таблиця 1'!$L:$L,"Уражено"))</f>
        <v/>
      </c>
      <c r="X661">
        <f>IF($A661="","",SUMIFS('Таблиця 1'!$K:$K,'Таблиця 1'!$B:$B,$A661))</f>
        <v/>
      </c>
    </row>
    <row r="662">
      <c r="A662" s="81">
        <f>IF(A661="","",IF(A661+1&gt;MAX('Таблиця 1'!$B:$B),"",A661+1))</f>
        <v/>
      </c>
      <c r="B662">
        <f>IF($A662="","",COUNTIFS('Таблиця 1'!$B:$B,$A662,'Таблиця 1'!$E:$E,"ЖС ВЗ",'Таблиця 1'!$L:$L,"Уражено"))</f>
        <v/>
      </c>
      <c r="C662">
        <f>IF($A662="","",COUNTIFS('Таблиця 1'!$B:$B,$A662,'Таблиця 1'!$E:$E,"Арт. Системи",'Таблиця 1'!$L:$L,"Уражено"))</f>
        <v/>
      </c>
      <c r="D662">
        <f>IF($A662="","",COUNTIFS('Таблиця 1'!$B:$B,$A662,'Таблиця 1'!$E:$E,"ОВТ",'Таблиця 1'!$L:$L,"Уражено"))</f>
        <v/>
      </c>
      <c r="E662">
        <f>IF($A662="","",COUNTIFS('Таблиця 1'!$B:$B,$A662,'Таблиця 1'!$E:$E,"ППО",'Таблиця 1'!$L:$L,"Уражено"))</f>
        <v/>
      </c>
      <c r="F662">
        <f>IF($A662="","",COUNTIFS('Таблиця 1'!$B:$B,$A662,'Таблиця 1'!$E:$E,"Рембаза",'Таблиця 1'!$L:$L,"Уражено"))</f>
        <v/>
      </c>
      <c r="G662">
        <f>IF($A662="","",COUNTIFS('Таблиця 1'!$B:$B,$A662,'Таблиця 1'!$E:$E,"Склад БК",'Таблиця 1'!$L:$L,"Уражено"))</f>
        <v/>
      </c>
      <c r="H662">
        <f>IF($A662="","",COUNTIFS('Таблиця 1'!$B:$B,$A662,'Таблиця 1'!$E:$E,"Склад ВТМ",'Таблиця 1'!$L:$L,"Уражено"))</f>
        <v/>
      </c>
      <c r="I662">
        <f>IF($A662="","",COUNTIFS('Таблиця 1'!$B:$B,$A662,'Таблиця 1'!$E:$E,"ПУ БпЛА",'Таблиця 1'!$L:$L,"Уражено"))</f>
        <v/>
      </c>
      <c r="J662">
        <f>IF($A662="","",COUNTIFS('Таблиця 1'!$B:$B,$A662,'Таблиця 1'!$E:$E,"СП",'Таблиця 1'!$L:$L,"Уражено"))</f>
        <v/>
      </c>
      <c r="K662">
        <f>IF($A662="","",COUNTIFS('Таблиця 1'!$B:$B,$A662,'Таблиця 1'!$E:$E,"КСП роти",'Таблиця 1'!$L:$L,"Уражено"))</f>
        <v/>
      </c>
      <c r="L662">
        <f>IF($A662="","",COUNTIFS('Таблиця 1'!$B:$B,$A662,'Таблиця 1'!$E:$E,"ПУ бат",'Таблиця 1'!$L:$L,"Уражено"))</f>
        <v/>
      </c>
      <c r="M662">
        <f>IF($A662="","",COUNTIFS('Таблиця 1'!$B:$B,$A662,'Таблиця 1'!$E:$E,"ПУ бриг",'Таблиця 1'!$L:$L,"Уражено"))</f>
        <v/>
      </c>
      <c r="N662">
        <f>IF($A662="","",COUNTIFS('Таблиця 1'!$B:$B,$A662,'Таблиця 1'!$E:$E,"ПУ див",'Таблиця 1'!$L:$L,"Уражено"))</f>
        <v/>
      </c>
      <c r="O662">
        <f>IF($A662="","",COUNTIFS('Таблиця 1'!$B:$B,$A662,'Таблиця 1'!$E:$E,"обл. РЕБ",'Таблиця 1'!$L:$L,"Уражено"))</f>
        <v/>
      </c>
      <c r="P662">
        <f>IF($A662="","",COUNTIFS('Таблиця 1'!$B:$B,$A662,'Таблиця 1'!$E:$E,"пос РЕБ",'Таблиця 1'!$L:$L,"Уражено"))</f>
        <v/>
      </c>
      <c r="Q662">
        <f>IF($A662="","",COUNTIFS('Таблиця 1'!$B:$B,$A662,'Таблиця 1'!$E:$E,"група РЕР",'Таблиця 1'!$L:$L,"Уражено"))</f>
        <v/>
      </c>
      <c r="R662">
        <f>IF($A662="","",COUNTIFS('Таблиця 1'!$B:$B,$A662,'Таблиця 1'!$E:$E,"РЛС КББ",'Таблиця 1'!$L:$L,"Уражено"))</f>
        <v/>
      </c>
      <c r="S662">
        <f>IF($A662="","",COUNTIFS('Таблиця 1'!$B:$B,$A662,'Таблиця 1'!$E:$E,"Ретранслятор",'Таблиця 1'!$L:$L,"Уражено"))</f>
        <v/>
      </c>
      <c r="T662">
        <f>IF($A662="","",COUNTIFS('Таблиця 1'!$B:$B,$A662,'Таблиця 1'!$E:$E,"Вз.зв'язку",'Таблиця 1'!$L:$L,"Уражено"))</f>
        <v/>
      </c>
      <c r="U662">
        <f>IF($A662="","",COUNTIFS('Таблиця 1'!$B:$B,$A662,'Таблиця 1'!$E:$E,"ПММ",'Таблиця 1'!$L:$L,"Уражено"))</f>
        <v/>
      </c>
      <c r="V662">
        <f>IF($A662="","",COUNTIFS('Таблиця 1'!$B:$B,$A662,'Таблиця 1'!$E:$E,"ІФС",'Таблиця 1'!$L:$L,"Уражено"))</f>
        <v/>
      </c>
      <c r="W662">
        <f>IF($A662="","",COUNTIFS('Таблиця 1'!$B:$B,$A662,'Таблиця 1'!$E:$E,"Інфраструктура",'Таблиця 1'!$L:$L,"Уражено"))</f>
        <v/>
      </c>
      <c r="X662">
        <f>IF($A662="","",SUMIFS('Таблиця 1'!$K:$K,'Таблиця 1'!$B:$B,$A662))</f>
        <v/>
      </c>
    </row>
    <row r="663">
      <c r="A663" s="81">
        <f>IF(A662="","",IF(A662+1&gt;MAX('Таблиця 1'!$B:$B),"",A662+1))</f>
        <v/>
      </c>
      <c r="B663">
        <f>IF($A663="","",COUNTIFS('Таблиця 1'!$B:$B,$A663,'Таблиця 1'!$E:$E,"ЖС ВЗ",'Таблиця 1'!$L:$L,"Уражено"))</f>
        <v/>
      </c>
      <c r="C663">
        <f>IF($A663="","",COUNTIFS('Таблиця 1'!$B:$B,$A663,'Таблиця 1'!$E:$E,"Арт. Системи",'Таблиця 1'!$L:$L,"Уражено"))</f>
        <v/>
      </c>
      <c r="D663">
        <f>IF($A663="","",COUNTIFS('Таблиця 1'!$B:$B,$A663,'Таблиця 1'!$E:$E,"ОВТ",'Таблиця 1'!$L:$L,"Уражено"))</f>
        <v/>
      </c>
      <c r="E663">
        <f>IF($A663="","",COUNTIFS('Таблиця 1'!$B:$B,$A663,'Таблиця 1'!$E:$E,"ППО",'Таблиця 1'!$L:$L,"Уражено"))</f>
        <v/>
      </c>
      <c r="F663">
        <f>IF($A663="","",COUNTIFS('Таблиця 1'!$B:$B,$A663,'Таблиця 1'!$E:$E,"Рембаза",'Таблиця 1'!$L:$L,"Уражено"))</f>
        <v/>
      </c>
      <c r="G663">
        <f>IF($A663="","",COUNTIFS('Таблиця 1'!$B:$B,$A663,'Таблиця 1'!$E:$E,"Склад БК",'Таблиця 1'!$L:$L,"Уражено"))</f>
        <v/>
      </c>
      <c r="H663">
        <f>IF($A663="","",COUNTIFS('Таблиця 1'!$B:$B,$A663,'Таблиця 1'!$E:$E,"Склад ВТМ",'Таблиця 1'!$L:$L,"Уражено"))</f>
        <v/>
      </c>
      <c r="I663">
        <f>IF($A663="","",COUNTIFS('Таблиця 1'!$B:$B,$A663,'Таблиця 1'!$E:$E,"ПУ БпЛА",'Таблиця 1'!$L:$L,"Уражено"))</f>
        <v/>
      </c>
      <c r="J663">
        <f>IF($A663="","",COUNTIFS('Таблиця 1'!$B:$B,$A663,'Таблиця 1'!$E:$E,"СП",'Таблиця 1'!$L:$L,"Уражено"))</f>
        <v/>
      </c>
      <c r="K663">
        <f>IF($A663="","",COUNTIFS('Таблиця 1'!$B:$B,$A663,'Таблиця 1'!$E:$E,"КСП роти",'Таблиця 1'!$L:$L,"Уражено"))</f>
        <v/>
      </c>
      <c r="L663">
        <f>IF($A663="","",COUNTIFS('Таблиця 1'!$B:$B,$A663,'Таблиця 1'!$E:$E,"ПУ бат",'Таблиця 1'!$L:$L,"Уражено"))</f>
        <v/>
      </c>
      <c r="M663">
        <f>IF($A663="","",COUNTIFS('Таблиця 1'!$B:$B,$A663,'Таблиця 1'!$E:$E,"ПУ бриг",'Таблиця 1'!$L:$L,"Уражено"))</f>
        <v/>
      </c>
      <c r="N663">
        <f>IF($A663="","",COUNTIFS('Таблиця 1'!$B:$B,$A663,'Таблиця 1'!$E:$E,"ПУ див",'Таблиця 1'!$L:$L,"Уражено"))</f>
        <v/>
      </c>
      <c r="O663">
        <f>IF($A663="","",COUNTIFS('Таблиця 1'!$B:$B,$A663,'Таблиця 1'!$E:$E,"обл. РЕБ",'Таблиця 1'!$L:$L,"Уражено"))</f>
        <v/>
      </c>
      <c r="P663">
        <f>IF($A663="","",COUNTIFS('Таблиця 1'!$B:$B,$A663,'Таблиця 1'!$E:$E,"пос РЕБ",'Таблиця 1'!$L:$L,"Уражено"))</f>
        <v/>
      </c>
      <c r="Q663">
        <f>IF($A663="","",COUNTIFS('Таблиця 1'!$B:$B,$A663,'Таблиця 1'!$E:$E,"група РЕР",'Таблиця 1'!$L:$L,"Уражено"))</f>
        <v/>
      </c>
      <c r="R663">
        <f>IF($A663="","",COUNTIFS('Таблиця 1'!$B:$B,$A663,'Таблиця 1'!$E:$E,"РЛС КББ",'Таблиця 1'!$L:$L,"Уражено"))</f>
        <v/>
      </c>
      <c r="S663">
        <f>IF($A663="","",COUNTIFS('Таблиця 1'!$B:$B,$A663,'Таблиця 1'!$E:$E,"Ретранслятор",'Таблиця 1'!$L:$L,"Уражено"))</f>
        <v/>
      </c>
      <c r="T663">
        <f>IF($A663="","",COUNTIFS('Таблиця 1'!$B:$B,$A663,'Таблиця 1'!$E:$E,"Вз.зв'язку",'Таблиця 1'!$L:$L,"Уражено"))</f>
        <v/>
      </c>
      <c r="U663">
        <f>IF($A663="","",COUNTIFS('Таблиця 1'!$B:$B,$A663,'Таблиця 1'!$E:$E,"ПММ",'Таблиця 1'!$L:$L,"Уражено"))</f>
        <v/>
      </c>
      <c r="V663">
        <f>IF($A663="","",COUNTIFS('Таблиця 1'!$B:$B,$A663,'Таблиця 1'!$E:$E,"ІФС",'Таблиця 1'!$L:$L,"Уражено"))</f>
        <v/>
      </c>
      <c r="W663">
        <f>IF($A663="","",COUNTIFS('Таблиця 1'!$B:$B,$A663,'Таблиця 1'!$E:$E,"Інфраструктура",'Таблиця 1'!$L:$L,"Уражено"))</f>
        <v/>
      </c>
      <c r="X663">
        <f>IF($A663="","",SUMIFS('Таблиця 1'!$K:$K,'Таблиця 1'!$B:$B,$A663))</f>
        <v/>
      </c>
    </row>
    <row r="664">
      <c r="A664" s="81">
        <f>IF(A663="","",IF(A663+1&gt;MAX('Таблиця 1'!$B:$B),"",A663+1))</f>
        <v/>
      </c>
      <c r="B664">
        <f>IF($A664="","",COUNTIFS('Таблиця 1'!$B:$B,$A664,'Таблиця 1'!$E:$E,"ЖС ВЗ",'Таблиця 1'!$L:$L,"Уражено"))</f>
        <v/>
      </c>
      <c r="C664">
        <f>IF($A664="","",COUNTIFS('Таблиця 1'!$B:$B,$A664,'Таблиця 1'!$E:$E,"Арт. Системи",'Таблиця 1'!$L:$L,"Уражено"))</f>
        <v/>
      </c>
      <c r="D664">
        <f>IF($A664="","",COUNTIFS('Таблиця 1'!$B:$B,$A664,'Таблиця 1'!$E:$E,"ОВТ",'Таблиця 1'!$L:$L,"Уражено"))</f>
        <v/>
      </c>
      <c r="E664">
        <f>IF($A664="","",COUNTIFS('Таблиця 1'!$B:$B,$A664,'Таблиця 1'!$E:$E,"ППО",'Таблиця 1'!$L:$L,"Уражено"))</f>
        <v/>
      </c>
      <c r="F664">
        <f>IF($A664="","",COUNTIFS('Таблиця 1'!$B:$B,$A664,'Таблиця 1'!$E:$E,"Рембаза",'Таблиця 1'!$L:$L,"Уражено"))</f>
        <v/>
      </c>
      <c r="G664">
        <f>IF($A664="","",COUNTIFS('Таблиця 1'!$B:$B,$A664,'Таблиця 1'!$E:$E,"Склад БК",'Таблиця 1'!$L:$L,"Уражено"))</f>
        <v/>
      </c>
      <c r="H664">
        <f>IF($A664="","",COUNTIFS('Таблиця 1'!$B:$B,$A664,'Таблиця 1'!$E:$E,"Склад ВТМ",'Таблиця 1'!$L:$L,"Уражено"))</f>
        <v/>
      </c>
      <c r="I664">
        <f>IF($A664="","",COUNTIFS('Таблиця 1'!$B:$B,$A664,'Таблиця 1'!$E:$E,"ПУ БпЛА",'Таблиця 1'!$L:$L,"Уражено"))</f>
        <v/>
      </c>
      <c r="J664">
        <f>IF($A664="","",COUNTIFS('Таблиця 1'!$B:$B,$A664,'Таблиця 1'!$E:$E,"СП",'Таблиця 1'!$L:$L,"Уражено"))</f>
        <v/>
      </c>
      <c r="K664">
        <f>IF($A664="","",COUNTIFS('Таблиця 1'!$B:$B,$A664,'Таблиця 1'!$E:$E,"КСП роти",'Таблиця 1'!$L:$L,"Уражено"))</f>
        <v/>
      </c>
      <c r="L664">
        <f>IF($A664="","",COUNTIFS('Таблиця 1'!$B:$B,$A664,'Таблиця 1'!$E:$E,"ПУ бат",'Таблиця 1'!$L:$L,"Уражено"))</f>
        <v/>
      </c>
      <c r="M664">
        <f>IF($A664="","",COUNTIFS('Таблиця 1'!$B:$B,$A664,'Таблиця 1'!$E:$E,"ПУ бриг",'Таблиця 1'!$L:$L,"Уражено"))</f>
        <v/>
      </c>
      <c r="N664">
        <f>IF($A664="","",COUNTIFS('Таблиця 1'!$B:$B,$A664,'Таблиця 1'!$E:$E,"ПУ див",'Таблиця 1'!$L:$L,"Уражено"))</f>
        <v/>
      </c>
      <c r="O664">
        <f>IF($A664="","",COUNTIFS('Таблиця 1'!$B:$B,$A664,'Таблиця 1'!$E:$E,"обл. РЕБ",'Таблиця 1'!$L:$L,"Уражено"))</f>
        <v/>
      </c>
      <c r="P664">
        <f>IF($A664="","",COUNTIFS('Таблиця 1'!$B:$B,$A664,'Таблиця 1'!$E:$E,"пос РЕБ",'Таблиця 1'!$L:$L,"Уражено"))</f>
        <v/>
      </c>
      <c r="Q664">
        <f>IF($A664="","",COUNTIFS('Таблиця 1'!$B:$B,$A664,'Таблиця 1'!$E:$E,"група РЕР",'Таблиця 1'!$L:$L,"Уражено"))</f>
        <v/>
      </c>
      <c r="R664">
        <f>IF($A664="","",COUNTIFS('Таблиця 1'!$B:$B,$A664,'Таблиця 1'!$E:$E,"РЛС КББ",'Таблиця 1'!$L:$L,"Уражено"))</f>
        <v/>
      </c>
      <c r="S664">
        <f>IF($A664="","",COUNTIFS('Таблиця 1'!$B:$B,$A664,'Таблиця 1'!$E:$E,"Ретранслятор",'Таблиця 1'!$L:$L,"Уражено"))</f>
        <v/>
      </c>
      <c r="T664">
        <f>IF($A664="","",COUNTIFS('Таблиця 1'!$B:$B,$A664,'Таблиця 1'!$E:$E,"Вз.зв'язку",'Таблиця 1'!$L:$L,"Уражено"))</f>
        <v/>
      </c>
      <c r="U664">
        <f>IF($A664="","",COUNTIFS('Таблиця 1'!$B:$B,$A664,'Таблиця 1'!$E:$E,"ПММ",'Таблиця 1'!$L:$L,"Уражено"))</f>
        <v/>
      </c>
      <c r="V664">
        <f>IF($A664="","",COUNTIFS('Таблиця 1'!$B:$B,$A664,'Таблиця 1'!$E:$E,"ІФС",'Таблиця 1'!$L:$L,"Уражено"))</f>
        <v/>
      </c>
      <c r="W664">
        <f>IF($A664="","",COUNTIFS('Таблиця 1'!$B:$B,$A664,'Таблиця 1'!$E:$E,"Інфраструктура",'Таблиця 1'!$L:$L,"Уражено"))</f>
        <v/>
      </c>
      <c r="X664">
        <f>IF($A664="","",SUMIFS('Таблиця 1'!$K:$K,'Таблиця 1'!$B:$B,$A664))</f>
        <v/>
      </c>
    </row>
    <row r="665">
      <c r="A665" s="81">
        <f>IF(A664="","",IF(A664+1&gt;MAX('Таблиця 1'!$B:$B),"",A664+1))</f>
        <v/>
      </c>
      <c r="B665">
        <f>IF($A665="","",COUNTIFS('Таблиця 1'!$B:$B,$A665,'Таблиця 1'!$E:$E,"ЖС ВЗ",'Таблиця 1'!$L:$L,"Уражено"))</f>
        <v/>
      </c>
      <c r="C665">
        <f>IF($A665="","",COUNTIFS('Таблиця 1'!$B:$B,$A665,'Таблиця 1'!$E:$E,"Арт. Системи",'Таблиця 1'!$L:$L,"Уражено"))</f>
        <v/>
      </c>
      <c r="D665">
        <f>IF($A665="","",COUNTIFS('Таблиця 1'!$B:$B,$A665,'Таблиця 1'!$E:$E,"ОВТ",'Таблиця 1'!$L:$L,"Уражено"))</f>
        <v/>
      </c>
      <c r="E665">
        <f>IF($A665="","",COUNTIFS('Таблиця 1'!$B:$B,$A665,'Таблиця 1'!$E:$E,"ППО",'Таблиця 1'!$L:$L,"Уражено"))</f>
        <v/>
      </c>
      <c r="F665">
        <f>IF($A665="","",COUNTIFS('Таблиця 1'!$B:$B,$A665,'Таблиця 1'!$E:$E,"Рембаза",'Таблиця 1'!$L:$L,"Уражено"))</f>
        <v/>
      </c>
      <c r="G665">
        <f>IF($A665="","",COUNTIFS('Таблиця 1'!$B:$B,$A665,'Таблиця 1'!$E:$E,"Склад БК",'Таблиця 1'!$L:$L,"Уражено"))</f>
        <v/>
      </c>
      <c r="H665">
        <f>IF($A665="","",COUNTIFS('Таблиця 1'!$B:$B,$A665,'Таблиця 1'!$E:$E,"Склад ВТМ",'Таблиця 1'!$L:$L,"Уражено"))</f>
        <v/>
      </c>
      <c r="I665">
        <f>IF($A665="","",COUNTIFS('Таблиця 1'!$B:$B,$A665,'Таблиця 1'!$E:$E,"ПУ БпЛА",'Таблиця 1'!$L:$L,"Уражено"))</f>
        <v/>
      </c>
      <c r="J665">
        <f>IF($A665="","",COUNTIFS('Таблиця 1'!$B:$B,$A665,'Таблиця 1'!$E:$E,"СП",'Таблиця 1'!$L:$L,"Уражено"))</f>
        <v/>
      </c>
      <c r="K665">
        <f>IF($A665="","",COUNTIFS('Таблиця 1'!$B:$B,$A665,'Таблиця 1'!$E:$E,"КСП роти",'Таблиця 1'!$L:$L,"Уражено"))</f>
        <v/>
      </c>
      <c r="L665">
        <f>IF($A665="","",COUNTIFS('Таблиця 1'!$B:$B,$A665,'Таблиця 1'!$E:$E,"ПУ бат",'Таблиця 1'!$L:$L,"Уражено"))</f>
        <v/>
      </c>
      <c r="M665">
        <f>IF($A665="","",COUNTIFS('Таблиця 1'!$B:$B,$A665,'Таблиця 1'!$E:$E,"ПУ бриг",'Таблиця 1'!$L:$L,"Уражено"))</f>
        <v/>
      </c>
      <c r="N665">
        <f>IF($A665="","",COUNTIFS('Таблиця 1'!$B:$B,$A665,'Таблиця 1'!$E:$E,"ПУ див",'Таблиця 1'!$L:$L,"Уражено"))</f>
        <v/>
      </c>
      <c r="O665">
        <f>IF($A665="","",COUNTIFS('Таблиця 1'!$B:$B,$A665,'Таблиця 1'!$E:$E,"обл. РЕБ",'Таблиця 1'!$L:$L,"Уражено"))</f>
        <v/>
      </c>
      <c r="P665">
        <f>IF($A665="","",COUNTIFS('Таблиця 1'!$B:$B,$A665,'Таблиця 1'!$E:$E,"пос РЕБ",'Таблиця 1'!$L:$L,"Уражено"))</f>
        <v/>
      </c>
      <c r="Q665">
        <f>IF($A665="","",COUNTIFS('Таблиця 1'!$B:$B,$A665,'Таблиця 1'!$E:$E,"група РЕР",'Таблиця 1'!$L:$L,"Уражено"))</f>
        <v/>
      </c>
      <c r="R665">
        <f>IF($A665="","",COUNTIFS('Таблиця 1'!$B:$B,$A665,'Таблиця 1'!$E:$E,"РЛС КББ",'Таблиця 1'!$L:$L,"Уражено"))</f>
        <v/>
      </c>
      <c r="S665">
        <f>IF($A665="","",COUNTIFS('Таблиця 1'!$B:$B,$A665,'Таблиця 1'!$E:$E,"Ретранслятор",'Таблиця 1'!$L:$L,"Уражено"))</f>
        <v/>
      </c>
      <c r="T665">
        <f>IF($A665="","",COUNTIFS('Таблиця 1'!$B:$B,$A665,'Таблиця 1'!$E:$E,"Вз.зв'язку",'Таблиця 1'!$L:$L,"Уражено"))</f>
        <v/>
      </c>
      <c r="U665">
        <f>IF($A665="","",COUNTIFS('Таблиця 1'!$B:$B,$A665,'Таблиця 1'!$E:$E,"ПММ",'Таблиця 1'!$L:$L,"Уражено"))</f>
        <v/>
      </c>
      <c r="V665">
        <f>IF($A665="","",COUNTIFS('Таблиця 1'!$B:$B,$A665,'Таблиця 1'!$E:$E,"ІФС",'Таблиця 1'!$L:$L,"Уражено"))</f>
        <v/>
      </c>
      <c r="W665">
        <f>IF($A665="","",COUNTIFS('Таблиця 1'!$B:$B,$A665,'Таблиця 1'!$E:$E,"Інфраструктура",'Таблиця 1'!$L:$L,"Уражено"))</f>
        <v/>
      </c>
      <c r="X665">
        <f>IF($A665="","",SUMIFS('Таблиця 1'!$K:$K,'Таблиця 1'!$B:$B,$A665))</f>
        <v/>
      </c>
    </row>
    <row r="666">
      <c r="A666" s="81">
        <f>IF(A665="","",IF(A665+1&gt;MAX('Таблиця 1'!$B:$B),"",A665+1))</f>
        <v/>
      </c>
      <c r="B666">
        <f>IF($A666="","",COUNTIFS('Таблиця 1'!$B:$B,$A666,'Таблиця 1'!$E:$E,"ЖС ВЗ",'Таблиця 1'!$L:$L,"Уражено"))</f>
        <v/>
      </c>
      <c r="C666">
        <f>IF($A666="","",COUNTIFS('Таблиця 1'!$B:$B,$A666,'Таблиця 1'!$E:$E,"Арт. Системи",'Таблиця 1'!$L:$L,"Уражено"))</f>
        <v/>
      </c>
      <c r="D666">
        <f>IF($A666="","",COUNTIFS('Таблиця 1'!$B:$B,$A666,'Таблиця 1'!$E:$E,"ОВТ",'Таблиця 1'!$L:$L,"Уражено"))</f>
        <v/>
      </c>
      <c r="E666">
        <f>IF($A666="","",COUNTIFS('Таблиця 1'!$B:$B,$A666,'Таблиця 1'!$E:$E,"ППО",'Таблиця 1'!$L:$L,"Уражено"))</f>
        <v/>
      </c>
      <c r="F666">
        <f>IF($A666="","",COUNTIFS('Таблиця 1'!$B:$B,$A666,'Таблиця 1'!$E:$E,"Рембаза",'Таблиця 1'!$L:$L,"Уражено"))</f>
        <v/>
      </c>
      <c r="G666">
        <f>IF($A666="","",COUNTIFS('Таблиця 1'!$B:$B,$A666,'Таблиця 1'!$E:$E,"Склад БК",'Таблиця 1'!$L:$L,"Уражено"))</f>
        <v/>
      </c>
      <c r="H666">
        <f>IF($A666="","",COUNTIFS('Таблиця 1'!$B:$B,$A666,'Таблиця 1'!$E:$E,"Склад ВТМ",'Таблиця 1'!$L:$L,"Уражено"))</f>
        <v/>
      </c>
      <c r="I666">
        <f>IF($A666="","",COUNTIFS('Таблиця 1'!$B:$B,$A666,'Таблиця 1'!$E:$E,"ПУ БпЛА",'Таблиця 1'!$L:$L,"Уражено"))</f>
        <v/>
      </c>
      <c r="J666">
        <f>IF($A666="","",COUNTIFS('Таблиця 1'!$B:$B,$A666,'Таблиця 1'!$E:$E,"СП",'Таблиця 1'!$L:$L,"Уражено"))</f>
        <v/>
      </c>
      <c r="K666">
        <f>IF($A666="","",COUNTIFS('Таблиця 1'!$B:$B,$A666,'Таблиця 1'!$E:$E,"КСП роти",'Таблиця 1'!$L:$L,"Уражено"))</f>
        <v/>
      </c>
      <c r="L666">
        <f>IF($A666="","",COUNTIFS('Таблиця 1'!$B:$B,$A666,'Таблиця 1'!$E:$E,"ПУ бат",'Таблиця 1'!$L:$L,"Уражено"))</f>
        <v/>
      </c>
      <c r="M666">
        <f>IF($A666="","",COUNTIFS('Таблиця 1'!$B:$B,$A666,'Таблиця 1'!$E:$E,"ПУ бриг",'Таблиця 1'!$L:$L,"Уражено"))</f>
        <v/>
      </c>
      <c r="N666">
        <f>IF($A666="","",COUNTIFS('Таблиця 1'!$B:$B,$A666,'Таблиця 1'!$E:$E,"ПУ див",'Таблиця 1'!$L:$L,"Уражено"))</f>
        <v/>
      </c>
      <c r="O666">
        <f>IF($A666="","",COUNTIFS('Таблиця 1'!$B:$B,$A666,'Таблиця 1'!$E:$E,"обл. РЕБ",'Таблиця 1'!$L:$L,"Уражено"))</f>
        <v/>
      </c>
      <c r="P666">
        <f>IF($A666="","",COUNTIFS('Таблиця 1'!$B:$B,$A666,'Таблиця 1'!$E:$E,"пос РЕБ",'Таблиця 1'!$L:$L,"Уражено"))</f>
        <v/>
      </c>
      <c r="Q666">
        <f>IF($A666="","",COUNTIFS('Таблиця 1'!$B:$B,$A666,'Таблиця 1'!$E:$E,"група РЕР",'Таблиця 1'!$L:$L,"Уражено"))</f>
        <v/>
      </c>
      <c r="R666">
        <f>IF($A666="","",COUNTIFS('Таблиця 1'!$B:$B,$A666,'Таблиця 1'!$E:$E,"РЛС КББ",'Таблиця 1'!$L:$L,"Уражено"))</f>
        <v/>
      </c>
      <c r="S666">
        <f>IF($A666="","",COUNTIFS('Таблиця 1'!$B:$B,$A666,'Таблиця 1'!$E:$E,"Ретранслятор",'Таблиця 1'!$L:$L,"Уражено"))</f>
        <v/>
      </c>
      <c r="T666">
        <f>IF($A666="","",COUNTIFS('Таблиця 1'!$B:$B,$A666,'Таблиця 1'!$E:$E,"Вз.зв'язку",'Таблиця 1'!$L:$L,"Уражено"))</f>
        <v/>
      </c>
      <c r="U666">
        <f>IF($A666="","",COUNTIFS('Таблиця 1'!$B:$B,$A666,'Таблиця 1'!$E:$E,"ПММ",'Таблиця 1'!$L:$L,"Уражено"))</f>
        <v/>
      </c>
      <c r="V666">
        <f>IF($A666="","",COUNTIFS('Таблиця 1'!$B:$B,$A666,'Таблиця 1'!$E:$E,"ІФС",'Таблиця 1'!$L:$L,"Уражено"))</f>
        <v/>
      </c>
      <c r="W666">
        <f>IF($A666="","",COUNTIFS('Таблиця 1'!$B:$B,$A666,'Таблиця 1'!$E:$E,"Інфраструктура",'Таблиця 1'!$L:$L,"Уражено"))</f>
        <v/>
      </c>
      <c r="X666">
        <f>IF($A666="","",SUMIFS('Таблиця 1'!$K:$K,'Таблиця 1'!$B:$B,$A666))</f>
        <v/>
      </c>
    </row>
    <row r="667">
      <c r="A667" s="81">
        <f>IF(A666="","",IF(A666+1&gt;MAX('Таблиця 1'!$B:$B),"",A666+1))</f>
        <v/>
      </c>
      <c r="B667">
        <f>IF($A667="","",COUNTIFS('Таблиця 1'!$B:$B,$A667,'Таблиця 1'!$E:$E,"ЖС ВЗ",'Таблиця 1'!$L:$L,"Уражено"))</f>
        <v/>
      </c>
      <c r="C667">
        <f>IF($A667="","",COUNTIFS('Таблиця 1'!$B:$B,$A667,'Таблиця 1'!$E:$E,"Арт. Системи",'Таблиця 1'!$L:$L,"Уражено"))</f>
        <v/>
      </c>
      <c r="D667">
        <f>IF($A667="","",COUNTIFS('Таблиця 1'!$B:$B,$A667,'Таблиця 1'!$E:$E,"ОВТ",'Таблиця 1'!$L:$L,"Уражено"))</f>
        <v/>
      </c>
      <c r="E667">
        <f>IF($A667="","",COUNTIFS('Таблиця 1'!$B:$B,$A667,'Таблиця 1'!$E:$E,"ППО",'Таблиця 1'!$L:$L,"Уражено"))</f>
        <v/>
      </c>
      <c r="F667">
        <f>IF($A667="","",COUNTIFS('Таблиця 1'!$B:$B,$A667,'Таблиця 1'!$E:$E,"Рембаза",'Таблиця 1'!$L:$L,"Уражено"))</f>
        <v/>
      </c>
      <c r="G667">
        <f>IF($A667="","",COUNTIFS('Таблиця 1'!$B:$B,$A667,'Таблиця 1'!$E:$E,"Склад БК",'Таблиця 1'!$L:$L,"Уражено"))</f>
        <v/>
      </c>
      <c r="H667">
        <f>IF($A667="","",COUNTIFS('Таблиця 1'!$B:$B,$A667,'Таблиця 1'!$E:$E,"Склад ВТМ",'Таблиця 1'!$L:$L,"Уражено"))</f>
        <v/>
      </c>
      <c r="I667">
        <f>IF($A667="","",COUNTIFS('Таблиця 1'!$B:$B,$A667,'Таблиця 1'!$E:$E,"ПУ БпЛА",'Таблиця 1'!$L:$L,"Уражено"))</f>
        <v/>
      </c>
      <c r="J667">
        <f>IF($A667="","",COUNTIFS('Таблиця 1'!$B:$B,$A667,'Таблиця 1'!$E:$E,"СП",'Таблиця 1'!$L:$L,"Уражено"))</f>
        <v/>
      </c>
      <c r="K667">
        <f>IF($A667="","",COUNTIFS('Таблиця 1'!$B:$B,$A667,'Таблиця 1'!$E:$E,"КСП роти",'Таблиця 1'!$L:$L,"Уражено"))</f>
        <v/>
      </c>
      <c r="L667">
        <f>IF($A667="","",COUNTIFS('Таблиця 1'!$B:$B,$A667,'Таблиця 1'!$E:$E,"ПУ бат",'Таблиця 1'!$L:$L,"Уражено"))</f>
        <v/>
      </c>
      <c r="M667">
        <f>IF($A667="","",COUNTIFS('Таблиця 1'!$B:$B,$A667,'Таблиця 1'!$E:$E,"ПУ бриг",'Таблиця 1'!$L:$L,"Уражено"))</f>
        <v/>
      </c>
      <c r="N667">
        <f>IF($A667="","",COUNTIFS('Таблиця 1'!$B:$B,$A667,'Таблиця 1'!$E:$E,"ПУ див",'Таблиця 1'!$L:$L,"Уражено"))</f>
        <v/>
      </c>
      <c r="O667">
        <f>IF($A667="","",COUNTIFS('Таблиця 1'!$B:$B,$A667,'Таблиця 1'!$E:$E,"обл. РЕБ",'Таблиця 1'!$L:$L,"Уражено"))</f>
        <v/>
      </c>
      <c r="P667">
        <f>IF($A667="","",COUNTIFS('Таблиця 1'!$B:$B,$A667,'Таблиця 1'!$E:$E,"пос РЕБ",'Таблиця 1'!$L:$L,"Уражено"))</f>
        <v/>
      </c>
      <c r="Q667">
        <f>IF($A667="","",COUNTIFS('Таблиця 1'!$B:$B,$A667,'Таблиця 1'!$E:$E,"група РЕР",'Таблиця 1'!$L:$L,"Уражено"))</f>
        <v/>
      </c>
      <c r="R667">
        <f>IF($A667="","",COUNTIFS('Таблиця 1'!$B:$B,$A667,'Таблиця 1'!$E:$E,"РЛС КББ",'Таблиця 1'!$L:$L,"Уражено"))</f>
        <v/>
      </c>
      <c r="S667">
        <f>IF($A667="","",COUNTIFS('Таблиця 1'!$B:$B,$A667,'Таблиця 1'!$E:$E,"Ретранслятор",'Таблиця 1'!$L:$L,"Уражено"))</f>
        <v/>
      </c>
      <c r="T667">
        <f>IF($A667="","",COUNTIFS('Таблиця 1'!$B:$B,$A667,'Таблиця 1'!$E:$E,"Вз.зв'язку",'Таблиця 1'!$L:$L,"Уражено"))</f>
        <v/>
      </c>
      <c r="U667">
        <f>IF($A667="","",COUNTIFS('Таблиця 1'!$B:$B,$A667,'Таблиця 1'!$E:$E,"ПММ",'Таблиця 1'!$L:$L,"Уражено"))</f>
        <v/>
      </c>
      <c r="V667">
        <f>IF($A667="","",COUNTIFS('Таблиця 1'!$B:$B,$A667,'Таблиця 1'!$E:$E,"ІФС",'Таблиця 1'!$L:$L,"Уражено"))</f>
        <v/>
      </c>
      <c r="W667">
        <f>IF($A667="","",COUNTIFS('Таблиця 1'!$B:$B,$A667,'Таблиця 1'!$E:$E,"Інфраструктура",'Таблиця 1'!$L:$L,"Уражено"))</f>
        <v/>
      </c>
      <c r="X667">
        <f>IF($A667="","",SUMIFS('Таблиця 1'!$K:$K,'Таблиця 1'!$B:$B,$A667))</f>
        <v/>
      </c>
    </row>
    <row r="668">
      <c r="A668" s="81">
        <f>IF(A667="","",IF(A667+1&gt;MAX('Таблиця 1'!$B:$B),"",A667+1))</f>
        <v/>
      </c>
      <c r="B668">
        <f>IF($A668="","",COUNTIFS('Таблиця 1'!$B:$B,$A668,'Таблиця 1'!$E:$E,"ЖС ВЗ",'Таблиця 1'!$L:$L,"Уражено"))</f>
        <v/>
      </c>
      <c r="C668">
        <f>IF($A668="","",COUNTIFS('Таблиця 1'!$B:$B,$A668,'Таблиця 1'!$E:$E,"Арт. Системи",'Таблиця 1'!$L:$L,"Уражено"))</f>
        <v/>
      </c>
      <c r="D668">
        <f>IF($A668="","",COUNTIFS('Таблиця 1'!$B:$B,$A668,'Таблиця 1'!$E:$E,"ОВТ",'Таблиця 1'!$L:$L,"Уражено"))</f>
        <v/>
      </c>
      <c r="E668">
        <f>IF($A668="","",COUNTIFS('Таблиця 1'!$B:$B,$A668,'Таблиця 1'!$E:$E,"ППО",'Таблиця 1'!$L:$L,"Уражено"))</f>
        <v/>
      </c>
      <c r="F668">
        <f>IF($A668="","",COUNTIFS('Таблиця 1'!$B:$B,$A668,'Таблиця 1'!$E:$E,"Рембаза",'Таблиця 1'!$L:$L,"Уражено"))</f>
        <v/>
      </c>
      <c r="G668">
        <f>IF($A668="","",COUNTIFS('Таблиця 1'!$B:$B,$A668,'Таблиця 1'!$E:$E,"Склад БК",'Таблиця 1'!$L:$L,"Уражено"))</f>
        <v/>
      </c>
      <c r="H668">
        <f>IF($A668="","",COUNTIFS('Таблиця 1'!$B:$B,$A668,'Таблиця 1'!$E:$E,"Склад ВТМ",'Таблиця 1'!$L:$L,"Уражено"))</f>
        <v/>
      </c>
      <c r="I668">
        <f>IF($A668="","",COUNTIFS('Таблиця 1'!$B:$B,$A668,'Таблиця 1'!$E:$E,"ПУ БпЛА",'Таблиця 1'!$L:$L,"Уражено"))</f>
        <v/>
      </c>
      <c r="J668">
        <f>IF($A668="","",COUNTIFS('Таблиця 1'!$B:$B,$A668,'Таблиця 1'!$E:$E,"СП",'Таблиця 1'!$L:$L,"Уражено"))</f>
        <v/>
      </c>
      <c r="K668">
        <f>IF($A668="","",COUNTIFS('Таблиця 1'!$B:$B,$A668,'Таблиця 1'!$E:$E,"КСП роти",'Таблиця 1'!$L:$L,"Уражено"))</f>
        <v/>
      </c>
      <c r="L668">
        <f>IF($A668="","",COUNTIFS('Таблиця 1'!$B:$B,$A668,'Таблиця 1'!$E:$E,"ПУ бат",'Таблиця 1'!$L:$L,"Уражено"))</f>
        <v/>
      </c>
      <c r="M668">
        <f>IF($A668="","",COUNTIFS('Таблиця 1'!$B:$B,$A668,'Таблиця 1'!$E:$E,"ПУ бриг",'Таблиця 1'!$L:$L,"Уражено"))</f>
        <v/>
      </c>
      <c r="N668">
        <f>IF($A668="","",COUNTIFS('Таблиця 1'!$B:$B,$A668,'Таблиця 1'!$E:$E,"ПУ див",'Таблиця 1'!$L:$L,"Уражено"))</f>
        <v/>
      </c>
      <c r="O668">
        <f>IF($A668="","",COUNTIFS('Таблиця 1'!$B:$B,$A668,'Таблиця 1'!$E:$E,"обл. РЕБ",'Таблиця 1'!$L:$L,"Уражено"))</f>
        <v/>
      </c>
      <c r="P668">
        <f>IF($A668="","",COUNTIFS('Таблиця 1'!$B:$B,$A668,'Таблиця 1'!$E:$E,"пос РЕБ",'Таблиця 1'!$L:$L,"Уражено"))</f>
        <v/>
      </c>
      <c r="Q668">
        <f>IF($A668="","",COUNTIFS('Таблиця 1'!$B:$B,$A668,'Таблиця 1'!$E:$E,"група РЕР",'Таблиця 1'!$L:$L,"Уражено"))</f>
        <v/>
      </c>
      <c r="R668">
        <f>IF($A668="","",COUNTIFS('Таблиця 1'!$B:$B,$A668,'Таблиця 1'!$E:$E,"РЛС КББ",'Таблиця 1'!$L:$L,"Уражено"))</f>
        <v/>
      </c>
      <c r="S668">
        <f>IF($A668="","",COUNTIFS('Таблиця 1'!$B:$B,$A668,'Таблиця 1'!$E:$E,"Ретранслятор",'Таблиця 1'!$L:$L,"Уражено"))</f>
        <v/>
      </c>
      <c r="T668">
        <f>IF($A668="","",COUNTIFS('Таблиця 1'!$B:$B,$A668,'Таблиця 1'!$E:$E,"Вз.зв'язку",'Таблиця 1'!$L:$L,"Уражено"))</f>
        <v/>
      </c>
      <c r="U668">
        <f>IF($A668="","",COUNTIFS('Таблиця 1'!$B:$B,$A668,'Таблиця 1'!$E:$E,"ПММ",'Таблиця 1'!$L:$L,"Уражено"))</f>
        <v/>
      </c>
      <c r="V668">
        <f>IF($A668="","",COUNTIFS('Таблиця 1'!$B:$B,$A668,'Таблиця 1'!$E:$E,"ІФС",'Таблиця 1'!$L:$L,"Уражено"))</f>
        <v/>
      </c>
      <c r="W668">
        <f>IF($A668="","",COUNTIFS('Таблиця 1'!$B:$B,$A668,'Таблиця 1'!$E:$E,"Інфраструктура",'Таблиця 1'!$L:$L,"Уражено"))</f>
        <v/>
      </c>
      <c r="X668">
        <f>IF($A668="","",SUMIFS('Таблиця 1'!$K:$K,'Таблиця 1'!$B:$B,$A668))</f>
        <v/>
      </c>
    </row>
    <row r="669">
      <c r="A669" s="81">
        <f>IF(A668="","",IF(A668+1&gt;MAX('Таблиця 1'!$B:$B),"",A668+1))</f>
        <v/>
      </c>
      <c r="B669">
        <f>IF($A669="","",COUNTIFS('Таблиця 1'!$B:$B,$A669,'Таблиця 1'!$E:$E,"ЖС ВЗ",'Таблиця 1'!$L:$L,"Уражено"))</f>
        <v/>
      </c>
      <c r="C669">
        <f>IF($A669="","",COUNTIFS('Таблиця 1'!$B:$B,$A669,'Таблиця 1'!$E:$E,"Арт. Системи",'Таблиця 1'!$L:$L,"Уражено"))</f>
        <v/>
      </c>
      <c r="D669">
        <f>IF($A669="","",COUNTIFS('Таблиця 1'!$B:$B,$A669,'Таблиця 1'!$E:$E,"ОВТ",'Таблиця 1'!$L:$L,"Уражено"))</f>
        <v/>
      </c>
      <c r="E669">
        <f>IF($A669="","",COUNTIFS('Таблиця 1'!$B:$B,$A669,'Таблиця 1'!$E:$E,"ППО",'Таблиця 1'!$L:$L,"Уражено"))</f>
        <v/>
      </c>
      <c r="F669">
        <f>IF($A669="","",COUNTIFS('Таблиця 1'!$B:$B,$A669,'Таблиця 1'!$E:$E,"Рембаза",'Таблиця 1'!$L:$L,"Уражено"))</f>
        <v/>
      </c>
      <c r="G669">
        <f>IF($A669="","",COUNTIFS('Таблиця 1'!$B:$B,$A669,'Таблиця 1'!$E:$E,"Склад БК",'Таблиця 1'!$L:$L,"Уражено"))</f>
        <v/>
      </c>
      <c r="H669">
        <f>IF($A669="","",COUNTIFS('Таблиця 1'!$B:$B,$A669,'Таблиця 1'!$E:$E,"Склад ВТМ",'Таблиця 1'!$L:$L,"Уражено"))</f>
        <v/>
      </c>
      <c r="I669">
        <f>IF($A669="","",COUNTIFS('Таблиця 1'!$B:$B,$A669,'Таблиця 1'!$E:$E,"ПУ БпЛА",'Таблиця 1'!$L:$L,"Уражено"))</f>
        <v/>
      </c>
      <c r="J669">
        <f>IF($A669="","",COUNTIFS('Таблиця 1'!$B:$B,$A669,'Таблиця 1'!$E:$E,"СП",'Таблиця 1'!$L:$L,"Уражено"))</f>
        <v/>
      </c>
      <c r="K669">
        <f>IF($A669="","",COUNTIFS('Таблиця 1'!$B:$B,$A669,'Таблиця 1'!$E:$E,"КСП роти",'Таблиця 1'!$L:$L,"Уражено"))</f>
        <v/>
      </c>
      <c r="L669">
        <f>IF($A669="","",COUNTIFS('Таблиця 1'!$B:$B,$A669,'Таблиця 1'!$E:$E,"ПУ бат",'Таблиця 1'!$L:$L,"Уражено"))</f>
        <v/>
      </c>
      <c r="M669">
        <f>IF($A669="","",COUNTIFS('Таблиця 1'!$B:$B,$A669,'Таблиця 1'!$E:$E,"ПУ бриг",'Таблиця 1'!$L:$L,"Уражено"))</f>
        <v/>
      </c>
      <c r="N669">
        <f>IF($A669="","",COUNTIFS('Таблиця 1'!$B:$B,$A669,'Таблиця 1'!$E:$E,"ПУ див",'Таблиця 1'!$L:$L,"Уражено"))</f>
        <v/>
      </c>
      <c r="O669">
        <f>IF($A669="","",COUNTIFS('Таблиця 1'!$B:$B,$A669,'Таблиця 1'!$E:$E,"обл. РЕБ",'Таблиця 1'!$L:$L,"Уражено"))</f>
        <v/>
      </c>
      <c r="P669">
        <f>IF($A669="","",COUNTIFS('Таблиця 1'!$B:$B,$A669,'Таблиця 1'!$E:$E,"пос РЕБ",'Таблиця 1'!$L:$L,"Уражено"))</f>
        <v/>
      </c>
      <c r="Q669">
        <f>IF($A669="","",COUNTIFS('Таблиця 1'!$B:$B,$A669,'Таблиця 1'!$E:$E,"група РЕР",'Таблиця 1'!$L:$L,"Уражено"))</f>
        <v/>
      </c>
      <c r="R669">
        <f>IF($A669="","",COUNTIFS('Таблиця 1'!$B:$B,$A669,'Таблиця 1'!$E:$E,"РЛС КББ",'Таблиця 1'!$L:$L,"Уражено"))</f>
        <v/>
      </c>
      <c r="S669">
        <f>IF($A669="","",COUNTIFS('Таблиця 1'!$B:$B,$A669,'Таблиця 1'!$E:$E,"Ретранслятор",'Таблиця 1'!$L:$L,"Уражено"))</f>
        <v/>
      </c>
      <c r="T669">
        <f>IF($A669="","",COUNTIFS('Таблиця 1'!$B:$B,$A669,'Таблиця 1'!$E:$E,"Вз.зв'язку",'Таблиця 1'!$L:$L,"Уражено"))</f>
        <v/>
      </c>
      <c r="U669">
        <f>IF($A669="","",COUNTIFS('Таблиця 1'!$B:$B,$A669,'Таблиця 1'!$E:$E,"ПММ",'Таблиця 1'!$L:$L,"Уражено"))</f>
        <v/>
      </c>
      <c r="V669">
        <f>IF($A669="","",COUNTIFS('Таблиця 1'!$B:$B,$A669,'Таблиця 1'!$E:$E,"ІФС",'Таблиця 1'!$L:$L,"Уражено"))</f>
        <v/>
      </c>
      <c r="W669">
        <f>IF($A669="","",COUNTIFS('Таблиця 1'!$B:$B,$A669,'Таблиця 1'!$E:$E,"Інфраструктура",'Таблиця 1'!$L:$L,"Уражено"))</f>
        <v/>
      </c>
      <c r="X669">
        <f>IF($A669="","",SUMIFS('Таблиця 1'!$K:$K,'Таблиця 1'!$B:$B,$A669))</f>
        <v/>
      </c>
    </row>
    <row r="670">
      <c r="A670" s="81">
        <f>IF(A669="","",IF(A669+1&gt;MAX('Таблиця 1'!$B:$B),"",A669+1))</f>
        <v/>
      </c>
      <c r="B670">
        <f>IF($A670="","",COUNTIFS('Таблиця 1'!$B:$B,$A670,'Таблиця 1'!$E:$E,"ЖС ВЗ",'Таблиця 1'!$L:$L,"Уражено"))</f>
        <v/>
      </c>
      <c r="C670">
        <f>IF($A670="","",COUNTIFS('Таблиця 1'!$B:$B,$A670,'Таблиця 1'!$E:$E,"Арт. Системи",'Таблиця 1'!$L:$L,"Уражено"))</f>
        <v/>
      </c>
      <c r="D670">
        <f>IF($A670="","",COUNTIFS('Таблиця 1'!$B:$B,$A670,'Таблиця 1'!$E:$E,"ОВТ",'Таблиця 1'!$L:$L,"Уражено"))</f>
        <v/>
      </c>
      <c r="E670">
        <f>IF($A670="","",COUNTIFS('Таблиця 1'!$B:$B,$A670,'Таблиця 1'!$E:$E,"ППО",'Таблиця 1'!$L:$L,"Уражено"))</f>
        <v/>
      </c>
      <c r="F670">
        <f>IF($A670="","",COUNTIFS('Таблиця 1'!$B:$B,$A670,'Таблиця 1'!$E:$E,"Рембаза",'Таблиця 1'!$L:$L,"Уражено"))</f>
        <v/>
      </c>
      <c r="G670">
        <f>IF($A670="","",COUNTIFS('Таблиця 1'!$B:$B,$A670,'Таблиця 1'!$E:$E,"Склад БК",'Таблиця 1'!$L:$L,"Уражено"))</f>
        <v/>
      </c>
      <c r="H670">
        <f>IF($A670="","",COUNTIFS('Таблиця 1'!$B:$B,$A670,'Таблиця 1'!$E:$E,"Склад ВТМ",'Таблиця 1'!$L:$L,"Уражено"))</f>
        <v/>
      </c>
      <c r="I670">
        <f>IF($A670="","",COUNTIFS('Таблиця 1'!$B:$B,$A670,'Таблиця 1'!$E:$E,"ПУ БпЛА",'Таблиця 1'!$L:$L,"Уражено"))</f>
        <v/>
      </c>
      <c r="J670">
        <f>IF($A670="","",COUNTIFS('Таблиця 1'!$B:$B,$A670,'Таблиця 1'!$E:$E,"СП",'Таблиця 1'!$L:$L,"Уражено"))</f>
        <v/>
      </c>
      <c r="K670">
        <f>IF($A670="","",COUNTIFS('Таблиця 1'!$B:$B,$A670,'Таблиця 1'!$E:$E,"КСП роти",'Таблиця 1'!$L:$L,"Уражено"))</f>
        <v/>
      </c>
      <c r="L670">
        <f>IF($A670="","",COUNTIFS('Таблиця 1'!$B:$B,$A670,'Таблиця 1'!$E:$E,"ПУ бат",'Таблиця 1'!$L:$L,"Уражено"))</f>
        <v/>
      </c>
      <c r="M670">
        <f>IF($A670="","",COUNTIFS('Таблиця 1'!$B:$B,$A670,'Таблиця 1'!$E:$E,"ПУ бриг",'Таблиця 1'!$L:$L,"Уражено"))</f>
        <v/>
      </c>
      <c r="N670">
        <f>IF($A670="","",COUNTIFS('Таблиця 1'!$B:$B,$A670,'Таблиця 1'!$E:$E,"ПУ див",'Таблиця 1'!$L:$L,"Уражено"))</f>
        <v/>
      </c>
      <c r="O670">
        <f>IF($A670="","",COUNTIFS('Таблиця 1'!$B:$B,$A670,'Таблиця 1'!$E:$E,"обл. РЕБ",'Таблиця 1'!$L:$L,"Уражено"))</f>
        <v/>
      </c>
      <c r="P670">
        <f>IF($A670="","",COUNTIFS('Таблиця 1'!$B:$B,$A670,'Таблиця 1'!$E:$E,"пос РЕБ",'Таблиця 1'!$L:$L,"Уражено"))</f>
        <v/>
      </c>
      <c r="Q670">
        <f>IF($A670="","",COUNTIFS('Таблиця 1'!$B:$B,$A670,'Таблиця 1'!$E:$E,"група РЕР",'Таблиця 1'!$L:$L,"Уражено"))</f>
        <v/>
      </c>
      <c r="R670">
        <f>IF($A670="","",COUNTIFS('Таблиця 1'!$B:$B,$A670,'Таблиця 1'!$E:$E,"РЛС КББ",'Таблиця 1'!$L:$L,"Уражено"))</f>
        <v/>
      </c>
      <c r="S670">
        <f>IF($A670="","",COUNTIFS('Таблиця 1'!$B:$B,$A670,'Таблиця 1'!$E:$E,"Ретранслятор",'Таблиця 1'!$L:$L,"Уражено"))</f>
        <v/>
      </c>
      <c r="T670">
        <f>IF($A670="","",COUNTIFS('Таблиця 1'!$B:$B,$A670,'Таблиця 1'!$E:$E,"Вз.зв'язку",'Таблиця 1'!$L:$L,"Уражено"))</f>
        <v/>
      </c>
      <c r="U670">
        <f>IF($A670="","",COUNTIFS('Таблиця 1'!$B:$B,$A670,'Таблиця 1'!$E:$E,"ПММ",'Таблиця 1'!$L:$L,"Уражено"))</f>
        <v/>
      </c>
      <c r="V670">
        <f>IF($A670="","",COUNTIFS('Таблиця 1'!$B:$B,$A670,'Таблиця 1'!$E:$E,"ІФС",'Таблиця 1'!$L:$L,"Уражено"))</f>
        <v/>
      </c>
      <c r="W670">
        <f>IF($A670="","",COUNTIFS('Таблиця 1'!$B:$B,$A670,'Таблиця 1'!$E:$E,"Інфраструктура",'Таблиця 1'!$L:$L,"Уражено"))</f>
        <v/>
      </c>
      <c r="X670">
        <f>IF($A670="","",SUMIFS('Таблиця 1'!$K:$K,'Таблиця 1'!$B:$B,$A670))</f>
        <v/>
      </c>
    </row>
    <row r="671">
      <c r="A671" s="81">
        <f>IF(A670="","",IF(A670+1&gt;MAX('Таблиця 1'!$B:$B),"",A670+1))</f>
        <v/>
      </c>
      <c r="B671">
        <f>IF($A671="","",COUNTIFS('Таблиця 1'!$B:$B,$A671,'Таблиця 1'!$E:$E,"ЖС ВЗ",'Таблиця 1'!$L:$L,"Уражено"))</f>
        <v/>
      </c>
      <c r="C671">
        <f>IF($A671="","",COUNTIFS('Таблиця 1'!$B:$B,$A671,'Таблиця 1'!$E:$E,"Арт. Системи",'Таблиця 1'!$L:$L,"Уражено"))</f>
        <v/>
      </c>
      <c r="D671">
        <f>IF($A671="","",COUNTIFS('Таблиця 1'!$B:$B,$A671,'Таблиця 1'!$E:$E,"ОВТ",'Таблиця 1'!$L:$L,"Уражено"))</f>
        <v/>
      </c>
      <c r="E671">
        <f>IF($A671="","",COUNTIFS('Таблиця 1'!$B:$B,$A671,'Таблиця 1'!$E:$E,"ППО",'Таблиця 1'!$L:$L,"Уражено"))</f>
        <v/>
      </c>
      <c r="F671">
        <f>IF($A671="","",COUNTIFS('Таблиця 1'!$B:$B,$A671,'Таблиця 1'!$E:$E,"Рембаза",'Таблиця 1'!$L:$L,"Уражено"))</f>
        <v/>
      </c>
      <c r="G671">
        <f>IF($A671="","",COUNTIFS('Таблиця 1'!$B:$B,$A671,'Таблиця 1'!$E:$E,"Склад БК",'Таблиця 1'!$L:$L,"Уражено"))</f>
        <v/>
      </c>
      <c r="H671">
        <f>IF($A671="","",COUNTIFS('Таблиця 1'!$B:$B,$A671,'Таблиця 1'!$E:$E,"Склад ВТМ",'Таблиця 1'!$L:$L,"Уражено"))</f>
        <v/>
      </c>
      <c r="I671">
        <f>IF($A671="","",COUNTIFS('Таблиця 1'!$B:$B,$A671,'Таблиця 1'!$E:$E,"ПУ БпЛА",'Таблиця 1'!$L:$L,"Уражено"))</f>
        <v/>
      </c>
      <c r="J671">
        <f>IF($A671="","",COUNTIFS('Таблиця 1'!$B:$B,$A671,'Таблиця 1'!$E:$E,"СП",'Таблиця 1'!$L:$L,"Уражено"))</f>
        <v/>
      </c>
      <c r="K671">
        <f>IF($A671="","",COUNTIFS('Таблиця 1'!$B:$B,$A671,'Таблиця 1'!$E:$E,"КСП роти",'Таблиця 1'!$L:$L,"Уражено"))</f>
        <v/>
      </c>
      <c r="L671">
        <f>IF($A671="","",COUNTIFS('Таблиця 1'!$B:$B,$A671,'Таблиця 1'!$E:$E,"ПУ бат",'Таблиця 1'!$L:$L,"Уражено"))</f>
        <v/>
      </c>
      <c r="M671">
        <f>IF($A671="","",COUNTIFS('Таблиця 1'!$B:$B,$A671,'Таблиця 1'!$E:$E,"ПУ бриг",'Таблиця 1'!$L:$L,"Уражено"))</f>
        <v/>
      </c>
      <c r="N671">
        <f>IF($A671="","",COUNTIFS('Таблиця 1'!$B:$B,$A671,'Таблиця 1'!$E:$E,"ПУ див",'Таблиця 1'!$L:$L,"Уражено"))</f>
        <v/>
      </c>
      <c r="O671">
        <f>IF($A671="","",COUNTIFS('Таблиця 1'!$B:$B,$A671,'Таблиця 1'!$E:$E,"обл. РЕБ",'Таблиця 1'!$L:$L,"Уражено"))</f>
        <v/>
      </c>
      <c r="P671">
        <f>IF($A671="","",COUNTIFS('Таблиця 1'!$B:$B,$A671,'Таблиця 1'!$E:$E,"пос РЕБ",'Таблиця 1'!$L:$L,"Уражено"))</f>
        <v/>
      </c>
      <c r="Q671">
        <f>IF($A671="","",COUNTIFS('Таблиця 1'!$B:$B,$A671,'Таблиця 1'!$E:$E,"група РЕР",'Таблиця 1'!$L:$L,"Уражено"))</f>
        <v/>
      </c>
      <c r="R671">
        <f>IF($A671="","",COUNTIFS('Таблиця 1'!$B:$B,$A671,'Таблиця 1'!$E:$E,"РЛС КББ",'Таблиця 1'!$L:$L,"Уражено"))</f>
        <v/>
      </c>
      <c r="S671">
        <f>IF($A671="","",COUNTIFS('Таблиця 1'!$B:$B,$A671,'Таблиця 1'!$E:$E,"Ретранслятор",'Таблиця 1'!$L:$L,"Уражено"))</f>
        <v/>
      </c>
      <c r="T671">
        <f>IF($A671="","",COUNTIFS('Таблиця 1'!$B:$B,$A671,'Таблиця 1'!$E:$E,"Вз.зв'язку",'Таблиця 1'!$L:$L,"Уражено"))</f>
        <v/>
      </c>
      <c r="U671">
        <f>IF($A671="","",COUNTIFS('Таблиця 1'!$B:$B,$A671,'Таблиця 1'!$E:$E,"ПММ",'Таблиця 1'!$L:$L,"Уражено"))</f>
        <v/>
      </c>
      <c r="V671">
        <f>IF($A671="","",COUNTIFS('Таблиця 1'!$B:$B,$A671,'Таблиця 1'!$E:$E,"ІФС",'Таблиця 1'!$L:$L,"Уражено"))</f>
        <v/>
      </c>
      <c r="W671">
        <f>IF($A671="","",COUNTIFS('Таблиця 1'!$B:$B,$A671,'Таблиця 1'!$E:$E,"Інфраструктура",'Таблиця 1'!$L:$L,"Уражено"))</f>
        <v/>
      </c>
      <c r="X671">
        <f>IF($A671="","",SUMIFS('Таблиця 1'!$K:$K,'Таблиця 1'!$B:$B,$A671))</f>
        <v/>
      </c>
    </row>
    <row r="672">
      <c r="A672" s="81">
        <f>IF(A671="","",IF(A671+1&gt;MAX('Таблиця 1'!$B:$B),"",A671+1))</f>
        <v/>
      </c>
      <c r="B672">
        <f>IF($A672="","",COUNTIFS('Таблиця 1'!$B:$B,$A672,'Таблиця 1'!$E:$E,"ЖС ВЗ",'Таблиця 1'!$L:$L,"Уражено"))</f>
        <v/>
      </c>
      <c r="C672">
        <f>IF($A672="","",COUNTIFS('Таблиця 1'!$B:$B,$A672,'Таблиця 1'!$E:$E,"Арт. Системи",'Таблиця 1'!$L:$L,"Уражено"))</f>
        <v/>
      </c>
      <c r="D672">
        <f>IF($A672="","",COUNTIFS('Таблиця 1'!$B:$B,$A672,'Таблиця 1'!$E:$E,"ОВТ",'Таблиця 1'!$L:$L,"Уражено"))</f>
        <v/>
      </c>
      <c r="E672">
        <f>IF($A672="","",COUNTIFS('Таблиця 1'!$B:$B,$A672,'Таблиця 1'!$E:$E,"ППО",'Таблиця 1'!$L:$L,"Уражено"))</f>
        <v/>
      </c>
      <c r="F672">
        <f>IF($A672="","",COUNTIFS('Таблиця 1'!$B:$B,$A672,'Таблиця 1'!$E:$E,"Рембаза",'Таблиця 1'!$L:$L,"Уражено"))</f>
        <v/>
      </c>
      <c r="G672">
        <f>IF($A672="","",COUNTIFS('Таблиця 1'!$B:$B,$A672,'Таблиця 1'!$E:$E,"Склад БК",'Таблиця 1'!$L:$L,"Уражено"))</f>
        <v/>
      </c>
      <c r="H672">
        <f>IF($A672="","",COUNTIFS('Таблиця 1'!$B:$B,$A672,'Таблиця 1'!$E:$E,"Склад ВТМ",'Таблиця 1'!$L:$L,"Уражено"))</f>
        <v/>
      </c>
      <c r="I672">
        <f>IF($A672="","",COUNTIFS('Таблиця 1'!$B:$B,$A672,'Таблиця 1'!$E:$E,"ПУ БпЛА",'Таблиця 1'!$L:$L,"Уражено"))</f>
        <v/>
      </c>
      <c r="J672">
        <f>IF($A672="","",COUNTIFS('Таблиця 1'!$B:$B,$A672,'Таблиця 1'!$E:$E,"СП",'Таблиця 1'!$L:$L,"Уражено"))</f>
        <v/>
      </c>
      <c r="K672">
        <f>IF($A672="","",COUNTIFS('Таблиця 1'!$B:$B,$A672,'Таблиця 1'!$E:$E,"КСП роти",'Таблиця 1'!$L:$L,"Уражено"))</f>
        <v/>
      </c>
      <c r="L672">
        <f>IF($A672="","",COUNTIFS('Таблиця 1'!$B:$B,$A672,'Таблиця 1'!$E:$E,"ПУ бат",'Таблиця 1'!$L:$L,"Уражено"))</f>
        <v/>
      </c>
      <c r="M672">
        <f>IF($A672="","",COUNTIFS('Таблиця 1'!$B:$B,$A672,'Таблиця 1'!$E:$E,"ПУ бриг",'Таблиця 1'!$L:$L,"Уражено"))</f>
        <v/>
      </c>
      <c r="N672">
        <f>IF($A672="","",COUNTIFS('Таблиця 1'!$B:$B,$A672,'Таблиця 1'!$E:$E,"ПУ див",'Таблиця 1'!$L:$L,"Уражено"))</f>
        <v/>
      </c>
      <c r="O672">
        <f>IF($A672="","",COUNTIFS('Таблиця 1'!$B:$B,$A672,'Таблиця 1'!$E:$E,"обл. РЕБ",'Таблиця 1'!$L:$L,"Уражено"))</f>
        <v/>
      </c>
      <c r="P672">
        <f>IF($A672="","",COUNTIFS('Таблиця 1'!$B:$B,$A672,'Таблиця 1'!$E:$E,"пос РЕБ",'Таблиця 1'!$L:$L,"Уражено"))</f>
        <v/>
      </c>
      <c r="Q672">
        <f>IF($A672="","",COUNTIFS('Таблиця 1'!$B:$B,$A672,'Таблиця 1'!$E:$E,"група РЕР",'Таблиця 1'!$L:$L,"Уражено"))</f>
        <v/>
      </c>
      <c r="R672">
        <f>IF($A672="","",COUNTIFS('Таблиця 1'!$B:$B,$A672,'Таблиця 1'!$E:$E,"РЛС КББ",'Таблиця 1'!$L:$L,"Уражено"))</f>
        <v/>
      </c>
      <c r="S672">
        <f>IF($A672="","",COUNTIFS('Таблиця 1'!$B:$B,$A672,'Таблиця 1'!$E:$E,"Ретранслятор",'Таблиця 1'!$L:$L,"Уражено"))</f>
        <v/>
      </c>
      <c r="T672">
        <f>IF($A672="","",COUNTIFS('Таблиця 1'!$B:$B,$A672,'Таблиця 1'!$E:$E,"Вз.зв'язку",'Таблиця 1'!$L:$L,"Уражено"))</f>
        <v/>
      </c>
      <c r="U672">
        <f>IF($A672="","",COUNTIFS('Таблиця 1'!$B:$B,$A672,'Таблиця 1'!$E:$E,"ПММ",'Таблиця 1'!$L:$L,"Уражено"))</f>
        <v/>
      </c>
      <c r="V672">
        <f>IF($A672="","",COUNTIFS('Таблиця 1'!$B:$B,$A672,'Таблиця 1'!$E:$E,"ІФС",'Таблиця 1'!$L:$L,"Уражено"))</f>
        <v/>
      </c>
      <c r="W672">
        <f>IF($A672="","",COUNTIFS('Таблиця 1'!$B:$B,$A672,'Таблиця 1'!$E:$E,"Інфраструктура",'Таблиця 1'!$L:$L,"Уражено"))</f>
        <v/>
      </c>
      <c r="X672">
        <f>IF($A672="","",SUMIFS('Таблиця 1'!$K:$K,'Таблиця 1'!$B:$B,$A672))</f>
        <v/>
      </c>
    </row>
    <row r="673">
      <c r="A673" s="81">
        <f>IF(A672="","",IF(A672+1&gt;MAX('Таблиця 1'!$B:$B),"",A672+1))</f>
        <v/>
      </c>
      <c r="B673">
        <f>IF($A673="","",COUNTIFS('Таблиця 1'!$B:$B,$A673,'Таблиця 1'!$E:$E,"ЖС ВЗ",'Таблиця 1'!$L:$L,"Уражено"))</f>
        <v/>
      </c>
      <c r="C673">
        <f>IF($A673="","",COUNTIFS('Таблиця 1'!$B:$B,$A673,'Таблиця 1'!$E:$E,"Арт. Системи",'Таблиця 1'!$L:$L,"Уражено"))</f>
        <v/>
      </c>
      <c r="D673">
        <f>IF($A673="","",COUNTIFS('Таблиця 1'!$B:$B,$A673,'Таблиця 1'!$E:$E,"ОВТ",'Таблиця 1'!$L:$L,"Уражено"))</f>
        <v/>
      </c>
      <c r="E673">
        <f>IF($A673="","",COUNTIFS('Таблиця 1'!$B:$B,$A673,'Таблиця 1'!$E:$E,"ППО",'Таблиця 1'!$L:$L,"Уражено"))</f>
        <v/>
      </c>
      <c r="F673">
        <f>IF($A673="","",COUNTIFS('Таблиця 1'!$B:$B,$A673,'Таблиця 1'!$E:$E,"Рембаза",'Таблиця 1'!$L:$L,"Уражено"))</f>
        <v/>
      </c>
      <c r="G673">
        <f>IF($A673="","",COUNTIFS('Таблиця 1'!$B:$B,$A673,'Таблиця 1'!$E:$E,"Склад БК",'Таблиця 1'!$L:$L,"Уражено"))</f>
        <v/>
      </c>
      <c r="H673">
        <f>IF($A673="","",COUNTIFS('Таблиця 1'!$B:$B,$A673,'Таблиця 1'!$E:$E,"Склад ВТМ",'Таблиця 1'!$L:$L,"Уражено"))</f>
        <v/>
      </c>
      <c r="I673">
        <f>IF($A673="","",COUNTIFS('Таблиця 1'!$B:$B,$A673,'Таблиця 1'!$E:$E,"ПУ БпЛА",'Таблиця 1'!$L:$L,"Уражено"))</f>
        <v/>
      </c>
      <c r="J673">
        <f>IF($A673="","",COUNTIFS('Таблиця 1'!$B:$B,$A673,'Таблиця 1'!$E:$E,"СП",'Таблиця 1'!$L:$L,"Уражено"))</f>
        <v/>
      </c>
      <c r="K673">
        <f>IF($A673="","",COUNTIFS('Таблиця 1'!$B:$B,$A673,'Таблиця 1'!$E:$E,"КСП роти",'Таблиця 1'!$L:$L,"Уражено"))</f>
        <v/>
      </c>
      <c r="L673">
        <f>IF($A673="","",COUNTIFS('Таблиця 1'!$B:$B,$A673,'Таблиця 1'!$E:$E,"ПУ бат",'Таблиця 1'!$L:$L,"Уражено"))</f>
        <v/>
      </c>
      <c r="M673">
        <f>IF($A673="","",COUNTIFS('Таблиця 1'!$B:$B,$A673,'Таблиця 1'!$E:$E,"ПУ бриг",'Таблиця 1'!$L:$L,"Уражено"))</f>
        <v/>
      </c>
      <c r="N673">
        <f>IF($A673="","",COUNTIFS('Таблиця 1'!$B:$B,$A673,'Таблиця 1'!$E:$E,"ПУ див",'Таблиця 1'!$L:$L,"Уражено"))</f>
        <v/>
      </c>
      <c r="O673">
        <f>IF($A673="","",COUNTIFS('Таблиця 1'!$B:$B,$A673,'Таблиця 1'!$E:$E,"обл. РЕБ",'Таблиця 1'!$L:$L,"Уражено"))</f>
        <v/>
      </c>
      <c r="P673">
        <f>IF($A673="","",COUNTIFS('Таблиця 1'!$B:$B,$A673,'Таблиця 1'!$E:$E,"пос РЕБ",'Таблиця 1'!$L:$L,"Уражено"))</f>
        <v/>
      </c>
      <c r="Q673">
        <f>IF($A673="","",COUNTIFS('Таблиця 1'!$B:$B,$A673,'Таблиця 1'!$E:$E,"група РЕР",'Таблиця 1'!$L:$L,"Уражено"))</f>
        <v/>
      </c>
      <c r="R673">
        <f>IF($A673="","",COUNTIFS('Таблиця 1'!$B:$B,$A673,'Таблиця 1'!$E:$E,"РЛС КББ",'Таблиця 1'!$L:$L,"Уражено"))</f>
        <v/>
      </c>
      <c r="S673">
        <f>IF($A673="","",COUNTIFS('Таблиця 1'!$B:$B,$A673,'Таблиця 1'!$E:$E,"Ретранслятор",'Таблиця 1'!$L:$L,"Уражено"))</f>
        <v/>
      </c>
      <c r="T673">
        <f>IF($A673="","",COUNTIFS('Таблиця 1'!$B:$B,$A673,'Таблиця 1'!$E:$E,"Вз.зв'язку",'Таблиця 1'!$L:$L,"Уражено"))</f>
        <v/>
      </c>
      <c r="U673">
        <f>IF($A673="","",COUNTIFS('Таблиця 1'!$B:$B,$A673,'Таблиця 1'!$E:$E,"ПММ",'Таблиця 1'!$L:$L,"Уражено"))</f>
        <v/>
      </c>
      <c r="V673">
        <f>IF($A673="","",COUNTIFS('Таблиця 1'!$B:$B,$A673,'Таблиця 1'!$E:$E,"ІФС",'Таблиця 1'!$L:$L,"Уражено"))</f>
        <v/>
      </c>
      <c r="W673">
        <f>IF($A673="","",COUNTIFS('Таблиця 1'!$B:$B,$A673,'Таблиця 1'!$E:$E,"Інфраструктура",'Таблиця 1'!$L:$L,"Уражено"))</f>
        <v/>
      </c>
      <c r="X673">
        <f>IF($A673="","",SUMIFS('Таблиця 1'!$K:$K,'Таблиця 1'!$B:$B,$A673))</f>
        <v/>
      </c>
    </row>
    <row r="674">
      <c r="A674" s="81">
        <f>IF(A673="","",IF(A673+1&gt;MAX('Таблиця 1'!$B:$B),"",A673+1))</f>
        <v/>
      </c>
      <c r="B674">
        <f>IF($A674="","",COUNTIFS('Таблиця 1'!$B:$B,$A674,'Таблиця 1'!$E:$E,"ЖС ВЗ",'Таблиця 1'!$L:$L,"Уражено"))</f>
        <v/>
      </c>
      <c r="C674">
        <f>IF($A674="","",COUNTIFS('Таблиця 1'!$B:$B,$A674,'Таблиця 1'!$E:$E,"Арт. Системи",'Таблиця 1'!$L:$L,"Уражено"))</f>
        <v/>
      </c>
      <c r="D674">
        <f>IF($A674="","",COUNTIFS('Таблиця 1'!$B:$B,$A674,'Таблиця 1'!$E:$E,"ОВТ",'Таблиця 1'!$L:$L,"Уражено"))</f>
        <v/>
      </c>
      <c r="E674">
        <f>IF($A674="","",COUNTIFS('Таблиця 1'!$B:$B,$A674,'Таблиця 1'!$E:$E,"ППО",'Таблиця 1'!$L:$L,"Уражено"))</f>
        <v/>
      </c>
      <c r="F674">
        <f>IF($A674="","",COUNTIFS('Таблиця 1'!$B:$B,$A674,'Таблиця 1'!$E:$E,"Рембаза",'Таблиця 1'!$L:$L,"Уражено"))</f>
        <v/>
      </c>
      <c r="G674">
        <f>IF($A674="","",COUNTIFS('Таблиця 1'!$B:$B,$A674,'Таблиця 1'!$E:$E,"Склад БК",'Таблиця 1'!$L:$L,"Уражено"))</f>
        <v/>
      </c>
      <c r="H674">
        <f>IF($A674="","",COUNTIFS('Таблиця 1'!$B:$B,$A674,'Таблиця 1'!$E:$E,"Склад ВТМ",'Таблиця 1'!$L:$L,"Уражено"))</f>
        <v/>
      </c>
      <c r="I674">
        <f>IF($A674="","",COUNTIFS('Таблиця 1'!$B:$B,$A674,'Таблиця 1'!$E:$E,"ПУ БпЛА",'Таблиця 1'!$L:$L,"Уражено"))</f>
        <v/>
      </c>
      <c r="J674">
        <f>IF($A674="","",COUNTIFS('Таблиця 1'!$B:$B,$A674,'Таблиця 1'!$E:$E,"СП",'Таблиця 1'!$L:$L,"Уражено"))</f>
        <v/>
      </c>
      <c r="K674">
        <f>IF($A674="","",COUNTIFS('Таблиця 1'!$B:$B,$A674,'Таблиця 1'!$E:$E,"КСП роти",'Таблиця 1'!$L:$L,"Уражено"))</f>
        <v/>
      </c>
      <c r="L674">
        <f>IF($A674="","",COUNTIFS('Таблиця 1'!$B:$B,$A674,'Таблиця 1'!$E:$E,"ПУ бат",'Таблиця 1'!$L:$L,"Уражено"))</f>
        <v/>
      </c>
      <c r="M674">
        <f>IF($A674="","",COUNTIFS('Таблиця 1'!$B:$B,$A674,'Таблиця 1'!$E:$E,"ПУ бриг",'Таблиця 1'!$L:$L,"Уражено"))</f>
        <v/>
      </c>
      <c r="N674">
        <f>IF($A674="","",COUNTIFS('Таблиця 1'!$B:$B,$A674,'Таблиця 1'!$E:$E,"ПУ див",'Таблиця 1'!$L:$L,"Уражено"))</f>
        <v/>
      </c>
      <c r="O674">
        <f>IF($A674="","",COUNTIFS('Таблиця 1'!$B:$B,$A674,'Таблиця 1'!$E:$E,"обл. РЕБ",'Таблиця 1'!$L:$L,"Уражено"))</f>
        <v/>
      </c>
      <c r="P674">
        <f>IF($A674="","",COUNTIFS('Таблиця 1'!$B:$B,$A674,'Таблиця 1'!$E:$E,"пос РЕБ",'Таблиця 1'!$L:$L,"Уражено"))</f>
        <v/>
      </c>
      <c r="Q674">
        <f>IF($A674="","",COUNTIFS('Таблиця 1'!$B:$B,$A674,'Таблиця 1'!$E:$E,"група РЕР",'Таблиця 1'!$L:$L,"Уражено"))</f>
        <v/>
      </c>
      <c r="R674">
        <f>IF($A674="","",COUNTIFS('Таблиця 1'!$B:$B,$A674,'Таблиця 1'!$E:$E,"РЛС КББ",'Таблиця 1'!$L:$L,"Уражено"))</f>
        <v/>
      </c>
      <c r="S674">
        <f>IF($A674="","",COUNTIFS('Таблиця 1'!$B:$B,$A674,'Таблиця 1'!$E:$E,"Ретранслятор",'Таблиця 1'!$L:$L,"Уражено"))</f>
        <v/>
      </c>
      <c r="T674">
        <f>IF($A674="","",COUNTIFS('Таблиця 1'!$B:$B,$A674,'Таблиця 1'!$E:$E,"Вз.зв'язку",'Таблиця 1'!$L:$L,"Уражено"))</f>
        <v/>
      </c>
      <c r="U674">
        <f>IF($A674="","",COUNTIFS('Таблиця 1'!$B:$B,$A674,'Таблиця 1'!$E:$E,"ПММ",'Таблиця 1'!$L:$L,"Уражено"))</f>
        <v/>
      </c>
      <c r="V674">
        <f>IF($A674="","",COUNTIFS('Таблиця 1'!$B:$B,$A674,'Таблиця 1'!$E:$E,"ІФС",'Таблиця 1'!$L:$L,"Уражено"))</f>
        <v/>
      </c>
      <c r="W674">
        <f>IF($A674="","",COUNTIFS('Таблиця 1'!$B:$B,$A674,'Таблиця 1'!$E:$E,"Інфраструктура",'Таблиця 1'!$L:$L,"Уражено"))</f>
        <v/>
      </c>
      <c r="X674">
        <f>IF($A674="","",SUMIFS('Таблиця 1'!$K:$K,'Таблиця 1'!$B:$B,$A674))</f>
        <v/>
      </c>
    </row>
    <row r="675">
      <c r="A675" s="81">
        <f>IF(A674="","",IF(A674+1&gt;MAX('Таблиця 1'!$B:$B),"",A674+1))</f>
        <v/>
      </c>
      <c r="B675">
        <f>IF($A675="","",COUNTIFS('Таблиця 1'!$B:$B,$A675,'Таблиця 1'!$E:$E,"ЖС ВЗ",'Таблиця 1'!$L:$L,"Уражено"))</f>
        <v/>
      </c>
      <c r="C675">
        <f>IF($A675="","",COUNTIFS('Таблиця 1'!$B:$B,$A675,'Таблиця 1'!$E:$E,"Арт. Системи",'Таблиця 1'!$L:$L,"Уражено"))</f>
        <v/>
      </c>
      <c r="D675">
        <f>IF($A675="","",COUNTIFS('Таблиця 1'!$B:$B,$A675,'Таблиця 1'!$E:$E,"ОВТ",'Таблиця 1'!$L:$L,"Уражено"))</f>
        <v/>
      </c>
      <c r="E675">
        <f>IF($A675="","",COUNTIFS('Таблиця 1'!$B:$B,$A675,'Таблиця 1'!$E:$E,"ППО",'Таблиця 1'!$L:$L,"Уражено"))</f>
        <v/>
      </c>
      <c r="F675">
        <f>IF($A675="","",COUNTIFS('Таблиця 1'!$B:$B,$A675,'Таблиця 1'!$E:$E,"Рембаза",'Таблиця 1'!$L:$L,"Уражено"))</f>
        <v/>
      </c>
      <c r="G675">
        <f>IF($A675="","",COUNTIFS('Таблиця 1'!$B:$B,$A675,'Таблиця 1'!$E:$E,"Склад БК",'Таблиця 1'!$L:$L,"Уражено"))</f>
        <v/>
      </c>
      <c r="H675">
        <f>IF($A675="","",COUNTIFS('Таблиця 1'!$B:$B,$A675,'Таблиця 1'!$E:$E,"Склад ВТМ",'Таблиця 1'!$L:$L,"Уражено"))</f>
        <v/>
      </c>
      <c r="I675">
        <f>IF($A675="","",COUNTIFS('Таблиця 1'!$B:$B,$A675,'Таблиця 1'!$E:$E,"ПУ БпЛА",'Таблиця 1'!$L:$L,"Уражено"))</f>
        <v/>
      </c>
      <c r="J675">
        <f>IF($A675="","",COUNTIFS('Таблиця 1'!$B:$B,$A675,'Таблиця 1'!$E:$E,"СП",'Таблиця 1'!$L:$L,"Уражено"))</f>
        <v/>
      </c>
      <c r="K675">
        <f>IF($A675="","",COUNTIFS('Таблиця 1'!$B:$B,$A675,'Таблиця 1'!$E:$E,"КСП роти",'Таблиця 1'!$L:$L,"Уражено"))</f>
        <v/>
      </c>
      <c r="L675">
        <f>IF($A675="","",COUNTIFS('Таблиця 1'!$B:$B,$A675,'Таблиця 1'!$E:$E,"ПУ бат",'Таблиця 1'!$L:$L,"Уражено"))</f>
        <v/>
      </c>
      <c r="M675">
        <f>IF($A675="","",COUNTIFS('Таблиця 1'!$B:$B,$A675,'Таблиця 1'!$E:$E,"ПУ бриг",'Таблиця 1'!$L:$L,"Уражено"))</f>
        <v/>
      </c>
      <c r="N675">
        <f>IF($A675="","",COUNTIFS('Таблиця 1'!$B:$B,$A675,'Таблиця 1'!$E:$E,"ПУ див",'Таблиця 1'!$L:$L,"Уражено"))</f>
        <v/>
      </c>
      <c r="O675">
        <f>IF($A675="","",COUNTIFS('Таблиця 1'!$B:$B,$A675,'Таблиця 1'!$E:$E,"обл. РЕБ",'Таблиця 1'!$L:$L,"Уражено"))</f>
        <v/>
      </c>
      <c r="P675">
        <f>IF($A675="","",COUNTIFS('Таблиця 1'!$B:$B,$A675,'Таблиця 1'!$E:$E,"пос РЕБ",'Таблиця 1'!$L:$L,"Уражено"))</f>
        <v/>
      </c>
      <c r="Q675">
        <f>IF($A675="","",COUNTIFS('Таблиця 1'!$B:$B,$A675,'Таблиця 1'!$E:$E,"група РЕР",'Таблиця 1'!$L:$L,"Уражено"))</f>
        <v/>
      </c>
      <c r="R675">
        <f>IF($A675="","",COUNTIFS('Таблиця 1'!$B:$B,$A675,'Таблиця 1'!$E:$E,"РЛС КББ",'Таблиця 1'!$L:$L,"Уражено"))</f>
        <v/>
      </c>
      <c r="S675">
        <f>IF($A675="","",COUNTIFS('Таблиця 1'!$B:$B,$A675,'Таблиця 1'!$E:$E,"Ретранслятор",'Таблиця 1'!$L:$L,"Уражено"))</f>
        <v/>
      </c>
      <c r="T675">
        <f>IF($A675="","",COUNTIFS('Таблиця 1'!$B:$B,$A675,'Таблиця 1'!$E:$E,"Вз.зв'язку",'Таблиця 1'!$L:$L,"Уражено"))</f>
        <v/>
      </c>
      <c r="U675">
        <f>IF($A675="","",COUNTIFS('Таблиця 1'!$B:$B,$A675,'Таблиця 1'!$E:$E,"ПММ",'Таблиця 1'!$L:$L,"Уражено"))</f>
        <v/>
      </c>
      <c r="V675">
        <f>IF($A675="","",COUNTIFS('Таблиця 1'!$B:$B,$A675,'Таблиця 1'!$E:$E,"ІФС",'Таблиця 1'!$L:$L,"Уражено"))</f>
        <v/>
      </c>
      <c r="W675">
        <f>IF($A675="","",COUNTIFS('Таблиця 1'!$B:$B,$A675,'Таблиця 1'!$E:$E,"Інфраструктура",'Таблиця 1'!$L:$L,"Уражено"))</f>
        <v/>
      </c>
      <c r="X675">
        <f>IF($A675="","",SUMIFS('Таблиця 1'!$K:$K,'Таблиця 1'!$B:$B,$A675))</f>
        <v/>
      </c>
    </row>
    <row r="676">
      <c r="A676" s="81">
        <f>IF(A675="","",IF(A675+1&gt;MAX('Таблиця 1'!$B:$B),"",A675+1))</f>
        <v/>
      </c>
      <c r="B676">
        <f>IF($A676="","",COUNTIFS('Таблиця 1'!$B:$B,$A676,'Таблиця 1'!$E:$E,"ЖС ВЗ",'Таблиця 1'!$L:$L,"Уражено"))</f>
        <v/>
      </c>
      <c r="C676">
        <f>IF($A676="","",COUNTIFS('Таблиця 1'!$B:$B,$A676,'Таблиця 1'!$E:$E,"Арт. Системи",'Таблиця 1'!$L:$L,"Уражено"))</f>
        <v/>
      </c>
      <c r="D676">
        <f>IF($A676="","",COUNTIFS('Таблиця 1'!$B:$B,$A676,'Таблиця 1'!$E:$E,"ОВТ",'Таблиця 1'!$L:$L,"Уражено"))</f>
        <v/>
      </c>
      <c r="E676">
        <f>IF($A676="","",COUNTIFS('Таблиця 1'!$B:$B,$A676,'Таблиця 1'!$E:$E,"ППО",'Таблиця 1'!$L:$L,"Уражено"))</f>
        <v/>
      </c>
      <c r="F676">
        <f>IF($A676="","",COUNTIFS('Таблиця 1'!$B:$B,$A676,'Таблиця 1'!$E:$E,"Рембаза",'Таблиця 1'!$L:$L,"Уражено"))</f>
        <v/>
      </c>
      <c r="G676">
        <f>IF($A676="","",COUNTIFS('Таблиця 1'!$B:$B,$A676,'Таблиця 1'!$E:$E,"Склад БК",'Таблиця 1'!$L:$L,"Уражено"))</f>
        <v/>
      </c>
      <c r="H676">
        <f>IF($A676="","",COUNTIFS('Таблиця 1'!$B:$B,$A676,'Таблиця 1'!$E:$E,"Склад ВТМ",'Таблиця 1'!$L:$L,"Уражено"))</f>
        <v/>
      </c>
      <c r="I676">
        <f>IF($A676="","",COUNTIFS('Таблиця 1'!$B:$B,$A676,'Таблиця 1'!$E:$E,"ПУ БпЛА",'Таблиця 1'!$L:$L,"Уражено"))</f>
        <v/>
      </c>
      <c r="J676">
        <f>IF($A676="","",COUNTIFS('Таблиця 1'!$B:$B,$A676,'Таблиця 1'!$E:$E,"СП",'Таблиця 1'!$L:$L,"Уражено"))</f>
        <v/>
      </c>
      <c r="K676">
        <f>IF($A676="","",COUNTIFS('Таблиця 1'!$B:$B,$A676,'Таблиця 1'!$E:$E,"КСП роти",'Таблиця 1'!$L:$L,"Уражено"))</f>
        <v/>
      </c>
      <c r="L676">
        <f>IF($A676="","",COUNTIFS('Таблиця 1'!$B:$B,$A676,'Таблиця 1'!$E:$E,"ПУ бат",'Таблиця 1'!$L:$L,"Уражено"))</f>
        <v/>
      </c>
      <c r="M676">
        <f>IF($A676="","",COUNTIFS('Таблиця 1'!$B:$B,$A676,'Таблиця 1'!$E:$E,"ПУ бриг",'Таблиця 1'!$L:$L,"Уражено"))</f>
        <v/>
      </c>
      <c r="N676">
        <f>IF($A676="","",COUNTIFS('Таблиця 1'!$B:$B,$A676,'Таблиця 1'!$E:$E,"ПУ див",'Таблиця 1'!$L:$L,"Уражено"))</f>
        <v/>
      </c>
      <c r="O676">
        <f>IF($A676="","",COUNTIFS('Таблиця 1'!$B:$B,$A676,'Таблиця 1'!$E:$E,"обл. РЕБ",'Таблиця 1'!$L:$L,"Уражено"))</f>
        <v/>
      </c>
      <c r="P676">
        <f>IF($A676="","",COUNTIFS('Таблиця 1'!$B:$B,$A676,'Таблиця 1'!$E:$E,"пос РЕБ",'Таблиця 1'!$L:$L,"Уражено"))</f>
        <v/>
      </c>
      <c r="Q676">
        <f>IF($A676="","",COUNTIFS('Таблиця 1'!$B:$B,$A676,'Таблиця 1'!$E:$E,"група РЕР",'Таблиця 1'!$L:$L,"Уражено"))</f>
        <v/>
      </c>
      <c r="R676">
        <f>IF($A676="","",COUNTIFS('Таблиця 1'!$B:$B,$A676,'Таблиця 1'!$E:$E,"РЛС КББ",'Таблиця 1'!$L:$L,"Уражено"))</f>
        <v/>
      </c>
      <c r="S676">
        <f>IF($A676="","",COUNTIFS('Таблиця 1'!$B:$B,$A676,'Таблиця 1'!$E:$E,"Ретранслятор",'Таблиця 1'!$L:$L,"Уражено"))</f>
        <v/>
      </c>
      <c r="T676">
        <f>IF($A676="","",COUNTIFS('Таблиця 1'!$B:$B,$A676,'Таблиця 1'!$E:$E,"Вз.зв'язку",'Таблиця 1'!$L:$L,"Уражено"))</f>
        <v/>
      </c>
      <c r="U676">
        <f>IF($A676="","",COUNTIFS('Таблиця 1'!$B:$B,$A676,'Таблиця 1'!$E:$E,"ПММ",'Таблиця 1'!$L:$L,"Уражено"))</f>
        <v/>
      </c>
      <c r="V676">
        <f>IF($A676="","",COUNTIFS('Таблиця 1'!$B:$B,$A676,'Таблиця 1'!$E:$E,"ІФС",'Таблиця 1'!$L:$L,"Уражено"))</f>
        <v/>
      </c>
      <c r="W676">
        <f>IF($A676="","",COUNTIFS('Таблиця 1'!$B:$B,$A676,'Таблиця 1'!$E:$E,"Інфраструктура",'Таблиця 1'!$L:$L,"Уражено"))</f>
        <v/>
      </c>
      <c r="X676">
        <f>IF($A676="","",SUMIFS('Таблиця 1'!$K:$K,'Таблиця 1'!$B:$B,$A676))</f>
        <v/>
      </c>
    </row>
    <row r="677">
      <c r="A677" s="81">
        <f>IF(A676="","",IF(A676+1&gt;MAX('Таблиця 1'!$B:$B),"",A676+1))</f>
        <v/>
      </c>
      <c r="B677">
        <f>IF($A677="","",COUNTIFS('Таблиця 1'!$B:$B,$A677,'Таблиця 1'!$E:$E,"ЖС ВЗ",'Таблиця 1'!$L:$L,"Уражено"))</f>
        <v/>
      </c>
      <c r="C677">
        <f>IF($A677="","",COUNTIFS('Таблиця 1'!$B:$B,$A677,'Таблиця 1'!$E:$E,"Арт. Системи",'Таблиця 1'!$L:$L,"Уражено"))</f>
        <v/>
      </c>
      <c r="D677">
        <f>IF($A677="","",COUNTIFS('Таблиця 1'!$B:$B,$A677,'Таблиця 1'!$E:$E,"ОВТ",'Таблиця 1'!$L:$L,"Уражено"))</f>
        <v/>
      </c>
      <c r="E677">
        <f>IF($A677="","",COUNTIFS('Таблиця 1'!$B:$B,$A677,'Таблиця 1'!$E:$E,"ППО",'Таблиця 1'!$L:$L,"Уражено"))</f>
        <v/>
      </c>
      <c r="F677">
        <f>IF($A677="","",COUNTIFS('Таблиця 1'!$B:$B,$A677,'Таблиця 1'!$E:$E,"Рембаза",'Таблиця 1'!$L:$L,"Уражено"))</f>
        <v/>
      </c>
      <c r="G677">
        <f>IF($A677="","",COUNTIFS('Таблиця 1'!$B:$B,$A677,'Таблиця 1'!$E:$E,"Склад БК",'Таблиця 1'!$L:$L,"Уражено"))</f>
        <v/>
      </c>
      <c r="H677">
        <f>IF($A677="","",COUNTIFS('Таблиця 1'!$B:$B,$A677,'Таблиця 1'!$E:$E,"Склад ВТМ",'Таблиця 1'!$L:$L,"Уражено"))</f>
        <v/>
      </c>
      <c r="I677">
        <f>IF($A677="","",COUNTIFS('Таблиця 1'!$B:$B,$A677,'Таблиця 1'!$E:$E,"ПУ БпЛА",'Таблиця 1'!$L:$L,"Уражено"))</f>
        <v/>
      </c>
      <c r="J677">
        <f>IF($A677="","",COUNTIFS('Таблиця 1'!$B:$B,$A677,'Таблиця 1'!$E:$E,"СП",'Таблиця 1'!$L:$L,"Уражено"))</f>
        <v/>
      </c>
      <c r="K677">
        <f>IF($A677="","",COUNTIFS('Таблиця 1'!$B:$B,$A677,'Таблиця 1'!$E:$E,"КСП роти",'Таблиця 1'!$L:$L,"Уражено"))</f>
        <v/>
      </c>
      <c r="L677">
        <f>IF($A677="","",COUNTIFS('Таблиця 1'!$B:$B,$A677,'Таблиця 1'!$E:$E,"ПУ бат",'Таблиця 1'!$L:$L,"Уражено"))</f>
        <v/>
      </c>
      <c r="M677">
        <f>IF($A677="","",COUNTIFS('Таблиця 1'!$B:$B,$A677,'Таблиця 1'!$E:$E,"ПУ бриг",'Таблиця 1'!$L:$L,"Уражено"))</f>
        <v/>
      </c>
      <c r="N677">
        <f>IF($A677="","",COUNTIFS('Таблиця 1'!$B:$B,$A677,'Таблиця 1'!$E:$E,"ПУ див",'Таблиця 1'!$L:$L,"Уражено"))</f>
        <v/>
      </c>
      <c r="O677">
        <f>IF($A677="","",COUNTIFS('Таблиця 1'!$B:$B,$A677,'Таблиця 1'!$E:$E,"обл. РЕБ",'Таблиця 1'!$L:$L,"Уражено"))</f>
        <v/>
      </c>
      <c r="P677">
        <f>IF($A677="","",COUNTIFS('Таблиця 1'!$B:$B,$A677,'Таблиця 1'!$E:$E,"пос РЕБ",'Таблиця 1'!$L:$L,"Уражено"))</f>
        <v/>
      </c>
      <c r="Q677">
        <f>IF($A677="","",COUNTIFS('Таблиця 1'!$B:$B,$A677,'Таблиця 1'!$E:$E,"група РЕР",'Таблиця 1'!$L:$L,"Уражено"))</f>
        <v/>
      </c>
      <c r="R677">
        <f>IF($A677="","",COUNTIFS('Таблиця 1'!$B:$B,$A677,'Таблиця 1'!$E:$E,"РЛС КББ",'Таблиця 1'!$L:$L,"Уражено"))</f>
        <v/>
      </c>
      <c r="S677">
        <f>IF($A677="","",COUNTIFS('Таблиця 1'!$B:$B,$A677,'Таблиця 1'!$E:$E,"Ретранслятор",'Таблиця 1'!$L:$L,"Уражено"))</f>
        <v/>
      </c>
      <c r="T677">
        <f>IF($A677="","",COUNTIFS('Таблиця 1'!$B:$B,$A677,'Таблиця 1'!$E:$E,"Вз.зв'язку",'Таблиця 1'!$L:$L,"Уражено"))</f>
        <v/>
      </c>
      <c r="U677">
        <f>IF($A677="","",COUNTIFS('Таблиця 1'!$B:$B,$A677,'Таблиця 1'!$E:$E,"ПММ",'Таблиця 1'!$L:$L,"Уражено"))</f>
        <v/>
      </c>
      <c r="V677">
        <f>IF($A677="","",COUNTIFS('Таблиця 1'!$B:$B,$A677,'Таблиця 1'!$E:$E,"ІФС",'Таблиця 1'!$L:$L,"Уражено"))</f>
        <v/>
      </c>
      <c r="W677">
        <f>IF($A677="","",COUNTIFS('Таблиця 1'!$B:$B,$A677,'Таблиця 1'!$E:$E,"Інфраструктура",'Таблиця 1'!$L:$L,"Уражено"))</f>
        <v/>
      </c>
      <c r="X677">
        <f>IF($A677="","",SUMIFS('Таблиця 1'!$K:$K,'Таблиця 1'!$B:$B,$A677))</f>
        <v/>
      </c>
    </row>
    <row r="678">
      <c r="A678" s="81">
        <f>IF(A677="","",IF(A677+1&gt;MAX('Таблиця 1'!$B:$B),"",A677+1))</f>
        <v/>
      </c>
      <c r="B678">
        <f>IF($A678="","",COUNTIFS('Таблиця 1'!$B:$B,$A678,'Таблиця 1'!$E:$E,"ЖС ВЗ",'Таблиця 1'!$L:$L,"Уражено"))</f>
        <v/>
      </c>
      <c r="C678">
        <f>IF($A678="","",COUNTIFS('Таблиця 1'!$B:$B,$A678,'Таблиця 1'!$E:$E,"Арт. Системи",'Таблиця 1'!$L:$L,"Уражено"))</f>
        <v/>
      </c>
      <c r="D678">
        <f>IF($A678="","",COUNTIFS('Таблиця 1'!$B:$B,$A678,'Таблиця 1'!$E:$E,"ОВТ",'Таблиця 1'!$L:$L,"Уражено"))</f>
        <v/>
      </c>
      <c r="E678">
        <f>IF($A678="","",COUNTIFS('Таблиця 1'!$B:$B,$A678,'Таблиця 1'!$E:$E,"ППО",'Таблиця 1'!$L:$L,"Уражено"))</f>
        <v/>
      </c>
      <c r="F678">
        <f>IF($A678="","",COUNTIFS('Таблиця 1'!$B:$B,$A678,'Таблиця 1'!$E:$E,"Рембаза",'Таблиця 1'!$L:$L,"Уражено"))</f>
        <v/>
      </c>
      <c r="G678">
        <f>IF($A678="","",COUNTIFS('Таблиця 1'!$B:$B,$A678,'Таблиця 1'!$E:$E,"Склад БК",'Таблиця 1'!$L:$L,"Уражено"))</f>
        <v/>
      </c>
      <c r="H678">
        <f>IF($A678="","",COUNTIFS('Таблиця 1'!$B:$B,$A678,'Таблиця 1'!$E:$E,"Склад ВТМ",'Таблиця 1'!$L:$L,"Уражено"))</f>
        <v/>
      </c>
      <c r="I678">
        <f>IF($A678="","",COUNTIFS('Таблиця 1'!$B:$B,$A678,'Таблиця 1'!$E:$E,"ПУ БпЛА",'Таблиця 1'!$L:$L,"Уражено"))</f>
        <v/>
      </c>
      <c r="J678">
        <f>IF($A678="","",COUNTIFS('Таблиця 1'!$B:$B,$A678,'Таблиця 1'!$E:$E,"СП",'Таблиця 1'!$L:$L,"Уражено"))</f>
        <v/>
      </c>
      <c r="K678">
        <f>IF($A678="","",COUNTIFS('Таблиця 1'!$B:$B,$A678,'Таблиця 1'!$E:$E,"КСП роти",'Таблиця 1'!$L:$L,"Уражено"))</f>
        <v/>
      </c>
      <c r="L678">
        <f>IF($A678="","",COUNTIFS('Таблиця 1'!$B:$B,$A678,'Таблиця 1'!$E:$E,"ПУ бат",'Таблиця 1'!$L:$L,"Уражено"))</f>
        <v/>
      </c>
      <c r="M678">
        <f>IF($A678="","",COUNTIFS('Таблиця 1'!$B:$B,$A678,'Таблиця 1'!$E:$E,"ПУ бриг",'Таблиця 1'!$L:$L,"Уражено"))</f>
        <v/>
      </c>
      <c r="N678">
        <f>IF($A678="","",COUNTIFS('Таблиця 1'!$B:$B,$A678,'Таблиця 1'!$E:$E,"ПУ див",'Таблиця 1'!$L:$L,"Уражено"))</f>
        <v/>
      </c>
      <c r="O678">
        <f>IF($A678="","",COUNTIFS('Таблиця 1'!$B:$B,$A678,'Таблиця 1'!$E:$E,"обл. РЕБ",'Таблиця 1'!$L:$L,"Уражено"))</f>
        <v/>
      </c>
      <c r="P678">
        <f>IF($A678="","",COUNTIFS('Таблиця 1'!$B:$B,$A678,'Таблиця 1'!$E:$E,"пос РЕБ",'Таблиця 1'!$L:$L,"Уражено"))</f>
        <v/>
      </c>
      <c r="Q678">
        <f>IF($A678="","",COUNTIFS('Таблиця 1'!$B:$B,$A678,'Таблиця 1'!$E:$E,"група РЕР",'Таблиця 1'!$L:$L,"Уражено"))</f>
        <v/>
      </c>
      <c r="R678">
        <f>IF($A678="","",COUNTIFS('Таблиця 1'!$B:$B,$A678,'Таблиця 1'!$E:$E,"РЛС КББ",'Таблиця 1'!$L:$L,"Уражено"))</f>
        <v/>
      </c>
      <c r="S678">
        <f>IF($A678="","",COUNTIFS('Таблиця 1'!$B:$B,$A678,'Таблиця 1'!$E:$E,"Ретранслятор",'Таблиця 1'!$L:$L,"Уражено"))</f>
        <v/>
      </c>
      <c r="T678">
        <f>IF($A678="","",COUNTIFS('Таблиця 1'!$B:$B,$A678,'Таблиця 1'!$E:$E,"Вз.зв'язку",'Таблиця 1'!$L:$L,"Уражено"))</f>
        <v/>
      </c>
      <c r="U678">
        <f>IF($A678="","",COUNTIFS('Таблиця 1'!$B:$B,$A678,'Таблиця 1'!$E:$E,"ПММ",'Таблиця 1'!$L:$L,"Уражено"))</f>
        <v/>
      </c>
      <c r="V678">
        <f>IF($A678="","",COUNTIFS('Таблиця 1'!$B:$B,$A678,'Таблиця 1'!$E:$E,"ІФС",'Таблиця 1'!$L:$L,"Уражено"))</f>
        <v/>
      </c>
      <c r="W678">
        <f>IF($A678="","",COUNTIFS('Таблиця 1'!$B:$B,$A678,'Таблиця 1'!$E:$E,"Інфраструктура",'Таблиця 1'!$L:$L,"Уражено"))</f>
        <v/>
      </c>
      <c r="X678">
        <f>IF($A678="","",SUMIFS('Таблиця 1'!$K:$K,'Таблиця 1'!$B:$B,$A678))</f>
        <v/>
      </c>
    </row>
    <row r="679">
      <c r="A679" s="81">
        <f>IF(A678="","",IF(A678+1&gt;MAX('Таблиця 1'!$B:$B),"",A678+1))</f>
        <v/>
      </c>
      <c r="B679">
        <f>IF($A679="","",COUNTIFS('Таблиця 1'!$B:$B,$A679,'Таблиця 1'!$E:$E,"ЖС ВЗ",'Таблиця 1'!$L:$L,"Уражено"))</f>
        <v/>
      </c>
      <c r="C679">
        <f>IF($A679="","",COUNTIFS('Таблиця 1'!$B:$B,$A679,'Таблиця 1'!$E:$E,"Арт. Системи",'Таблиця 1'!$L:$L,"Уражено"))</f>
        <v/>
      </c>
      <c r="D679">
        <f>IF($A679="","",COUNTIFS('Таблиця 1'!$B:$B,$A679,'Таблиця 1'!$E:$E,"ОВТ",'Таблиця 1'!$L:$L,"Уражено"))</f>
        <v/>
      </c>
      <c r="E679">
        <f>IF($A679="","",COUNTIFS('Таблиця 1'!$B:$B,$A679,'Таблиця 1'!$E:$E,"ППО",'Таблиця 1'!$L:$L,"Уражено"))</f>
        <v/>
      </c>
      <c r="F679">
        <f>IF($A679="","",COUNTIFS('Таблиця 1'!$B:$B,$A679,'Таблиця 1'!$E:$E,"Рембаза",'Таблиця 1'!$L:$L,"Уражено"))</f>
        <v/>
      </c>
      <c r="G679">
        <f>IF($A679="","",COUNTIFS('Таблиця 1'!$B:$B,$A679,'Таблиця 1'!$E:$E,"Склад БК",'Таблиця 1'!$L:$L,"Уражено"))</f>
        <v/>
      </c>
      <c r="H679">
        <f>IF($A679="","",COUNTIFS('Таблиця 1'!$B:$B,$A679,'Таблиця 1'!$E:$E,"Склад ВТМ",'Таблиця 1'!$L:$L,"Уражено"))</f>
        <v/>
      </c>
      <c r="I679">
        <f>IF($A679="","",COUNTIFS('Таблиця 1'!$B:$B,$A679,'Таблиця 1'!$E:$E,"ПУ БпЛА",'Таблиця 1'!$L:$L,"Уражено"))</f>
        <v/>
      </c>
      <c r="J679">
        <f>IF($A679="","",COUNTIFS('Таблиця 1'!$B:$B,$A679,'Таблиця 1'!$E:$E,"СП",'Таблиця 1'!$L:$L,"Уражено"))</f>
        <v/>
      </c>
      <c r="K679">
        <f>IF($A679="","",COUNTIFS('Таблиця 1'!$B:$B,$A679,'Таблиця 1'!$E:$E,"КСП роти",'Таблиця 1'!$L:$L,"Уражено"))</f>
        <v/>
      </c>
      <c r="L679">
        <f>IF($A679="","",COUNTIFS('Таблиця 1'!$B:$B,$A679,'Таблиця 1'!$E:$E,"ПУ бат",'Таблиця 1'!$L:$L,"Уражено"))</f>
        <v/>
      </c>
      <c r="M679">
        <f>IF($A679="","",COUNTIFS('Таблиця 1'!$B:$B,$A679,'Таблиця 1'!$E:$E,"ПУ бриг",'Таблиця 1'!$L:$L,"Уражено"))</f>
        <v/>
      </c>
      <c r="N679">
        <f>IF($A679="","",COUNTIFS('Таблиця 1'!$B:$B,$A679,'Таблиця 1'!$E:$E,"ПУ див",'Таблиця 1'!$L:$L,"Уражено"))</f>
        <v/>
      </c>
      <c r="O679">
        <f>IF($A679="","",COUNTIFS('Таблиця 1'!$B:$B,$A679,'Таблиця 1'!$E:$E,"обл. РЕБ",'Таблиця 1'!$L:$L,"Уражено"))</f>
        <v/>
      </c>
      <c r="P679">
        <f>IF($A679="","",COUNTIFS('Таблиця 1'!$B:$B,$A679,'Таблиця 1'!$E:$E,"пос РЕБ",'Таблиця 1'!$L:$L,"Уражено"))</f>
        <v/>
      </c>
      <c r="Q679">
        <f>IF($A679="","",COUNTIFS('Таблиця 1'!$B:$B,$A679,'Таблиця 1'!$E:$E,"група РЕР",'Таблиця 1'!$L:$L,"Уражено"))</f>
        <v/>
      </c>
      <c r="R679">
        <f>IF($A679="","",COUNTIFS('Таблиця 1'!$B:$B,$A679,'Таблиця 1'!$E:$E,"РЛС КББ",'Таблиця 1'!$L:$L,"Уражено"))</f>
        <v/>
      </c>
      <c r="S679">
        <f>IF($A679="","",COUNTIFS('Таблиця 1'!$B:$B,$A679,'Таблиця 1'!$E:$E,"Ретранслятор",'Таблиця 1'!$L:$L,"Уражено"))</f>
        <v/>
      </c>
      <c r="T679">
        <f>IF($A679="","",COUNTIFS('Таблиця 1'!$B:$B,$A679,'Таблиця 1'!$E:$E,"Вз.зв'язку",'Таблиця 1'!$L:$L,"Уражено"))</f>
        <v/>
      </c>
      <c r="U679">
        <f>IF($A679="","",COUNTIFS('Таблиця 1'!$B:$B,$A679,'Таблиця 1'!$E:$E,"ПММ",'Таблиця 1'!$L:$L,"Уражено"))</f>
        <v/>
      </c>
      <c r="V679">
        <f>IF($A679="","",COUNTIFS('Таблиця 1'!$B:$B,$A679,'Таблиця 1'!$E:$E,"ІФС",'Таблиця 1'!$L:$L,"Уражено"))</f>
        <v/>
      </c>
      <c r="W679">
        <f>IF($A679="","",COUNTIFS('Таблиця 1'!$B:$B,$A679,'Таблиця 1'!$E:$E,"Інфраструктура",'Таблиця 1'!$L:$L,"Уражено"))</f>
        <v/>
      </c>
      <c r="X679">
        <f>IF($A679="","",SUMIFS('Таблиця 1'!$K:$K,'Таблиця 1'!$B:$B,$A679))</f>
        <v/>
      </c>
    </row>
    <row r="680">
      <c r="A680" s="81">
        <f>IF(A679="","",IF(A679+1&gt;MAX('Таблиця 1'!$B:$B),"",A679+1))</f>
        <v/>
      </c>
      <c r="B680">
        <f>IF($A680="","",COUNTIFS('Таблиця 1'!$B:$B,$A680,'Таблиця 1'!$E:$E,"ЖС ВЗ",'Таблиця 1'!$L:$L,"Уражено"))</f>
        <v/>
      </c>
      <c r="C680">
        <f>IF($A680="","",COUNTIFS('Таблиця 1'!$B:$B,$A680,'Таблиця 1'!$E:$E,"Арт. Системи",'Таблиця 1'!$L:$L,"Уражено"))</f>
        <v/>
      </c>
      <c r="D680">
        <f>IF($A680="","",COUNTIFS('Таблиця 1'!$B:$B,$A680,'Таблиця 1'!$E:$E,"ОВТ",'Таблиця 1'!$L:$L,"Уражено"))</f>
        <v/>
      </c>
      <c r="E680">
        <f>IF($A680="","",COUNTIFS('Таблиця 1'!$B:$B,$A680,'Таблиця 1'!$E:$E,"ППО",'Таблиця 1'!$L:$L,"Уражено"))</f>
        <v/>
      </c>
      <c r="F680">
        <f>IF($A680="","",COUNTIFS('Таблиця 1'!$B:$B,$A680,'Таблиця 1'!$E:$E,"Рембаза",'Таблиця 1'!$L:$L,"Уражено"))</f>
        <v/>
      </c>
      <c r="G680">
        <f>IF($A680="","",COUNTIFS('Таблиця 1'!$B:$B,$A680,'Таблиця 1'!$E:$E,"Склад БК",'Таблиця 1'!$L:$L,"Уражено"))</f>
        <v/>
      </c>
      <c r="H680">
        <f>IF($A680="","",COUNTIFS('Таблиця 1'!$B:$B,$A680,'Таблиця 1'!$E:$E,"Склад ВТМ",'Таблиця 1'!$L:$L,"Уражено"))</f>
        <v/>
      </c>
      <c r="I680">
        <f>IF($A680="","",COUNTIFS('Таблиця 1'!$B:$B,$A680,'Таблиця 1'!$E:$E,"ПУ БпЛА",'Таблиця 1'!$L:$L,"Уражено"))</f>
        <v/>
      </c>
      <c r="J680">
        <f>IF($A680="","",COUNTIFS('Таблиця 1'!$B:$B,$A680,'Таблиця 1'!$E:$E,"СП",'Таблиця 1'!$L:$L,"Уражено"))</f>
        <v/>
      </c>
      <c r="K680">
        <f>IF($A680="","",COUNTIFS('Таблиця 1'!$B:$B,$A680,'Таблиця 1'!$E:$E,"КСП роти",'Таблиця 1'!$L:$L,"Уражено"))</f>
        <v/>
      </c>
      <c r="L680">
        <f>IF($A680="","",COUNTIFS('Таблиця 1'!$B:$B,$A680,'Таблиця 1'!$E:$E,"ПУ бат",'Таблиця 1'!$L:$L,"Уражено"))</f>
        <v/>
      </c>
      <c r="M680">
        <f>IF($A680="","",COUNTIFS('Таблиця 1'!$B:$B,$A680,'Таблиця 1'!$E:$E,"ПУ бриг",'Таблиця 1'!$L:$L,"Уражено"))</f>
        <v/>
      </c>
      <c r="N680">
        <f>IF($A680="","",COUNTIFS('Таблиця 1'!$B:$B,$A680,'Таблиця 1'!$E:$E,"ПУ див",'Таблиця 1'!$L:$L,"Уражено"))</f>
        <v/>
      </c>
      <c r="O680">
        <f>IF($A680="","",COUNTIFS('Таблиця 1'!$B:$B,$A680,'Таблиця 1'!$E:$E,"обл. РЕБ",'Таблиця 1'!$L:$L,"Уражено"))</f>
        <v/>
      </c>
      <c r="P680">
        <f>IF($A680="","",COUNTIFS('Таблиця 1'!$B:$B,$A680,'Таблиця 1'!$E:$E,"пос РЕБ",'Таблиця 1'!$L:$L,"Уражено"))</f>
        <v/>
      </c>
      <c r="Q680">
        <f>IF($A680="","",COUNTIFS('Таблиця 1'!$B:$B,$A680,'Таблиця 1'!$E:$E,"група РЕР",'Таблиця 1'!$L:$L,"Уражено"))</f>
        <v/>
      </c>
      <c r="R680">
        <f>IF($A680="","",COUNTIFS('Таблиця 1'!$B:$B,$A680,'Таблиця 1'!$E:$E,"РЛС КББ",'Таблиця 1'!$L:$L,"Уражено"))</f>
        <v/>
      </c>
      <c r="S680">
        <f>IF($A680="","",COUNTIFS('Таблиця 1'!$B:$B,$A680,'Таблиця 1'!$E:$E,"Ретранслятор",'Таблиця 1'!$L:$L,"Уражено"))</f>
        <v/>
      </c>
      <c r="T680">
        <f>IF($A680="","",COUNTIFS('Таблиця 1'!$B:$B,$A680,'Таблиця 1'!$E:$E,"Вз.зв'язку",'Таблиця 1'!$L:$L,"Уражено"))</f>
        <v/>
      </c>
      <c r="U680">
        <f>IF($A680="","",COUNTIFS('Таблиця 1'!$B:$B,$A680,'Таблиця 1'!$E:$E,"ПММ",'Таблиця 1'!$L:$L,"Уражено"))</f>
        <v/>
      </c>
      <c r="V680">
        <f>IF($A680="","",COUNTIFS('Таблиця 1'!$B:$B,$A680,'Таблиця 1'!$E:$E,"ІФС",'Таблиця 1'!$L:$L,"Уражено"))</f>
        <v/>
      </c>
      <c r="W680">
        <f>IF($A680="","",COUNTIFS('Таблиця 1'!$B:$B,$A680,'Таблиця 1'!$E:$E,"Інфраструктура",'Таблиця 1'!$L:$L,"Уражено"))</f>
        <v/>
      </c>
      <c r="X680">
        <f>IF($A680="","",SUMIFS('Таблиця 1'!$K:$K,'Таблиця 1'!$B:$B,$A680))</f>
        <v/>
      </c>
    </row>
    <row r="681">
      <c r="A681" s="81">
        <f>IF(A680="","",IF(A680+1&gt;MAX('Таблиця 1'!$B:$B),"",A680+1))</f>
        <v/>
      </c>
      <c r="B681">
        <f>IF($A681="","",COUNTIFS('Таблиця 1'!$B:$B,$A681,'Таблиця 1'!$E:$E,"ЖС ВЗ",'Таблиця 1'!$L:$L,"Уражено"))</f>
        <v/>
      </c>
      <c r="C681">
        <f>IF($A681="","",COUNTIFS('Таблиця 1'!$B:$B,$A681,'Таблиця 1'!$E:$E,"Арт. Системи",'Таблиця 1'!$L:$L,"Уражено"))</f>
        <v/>
      </c>
      <c r="D681">
        <f>IF($A681="","",COUNTIFS('Таблиця 1'!$B:$B,$A681,'Таблиця 1'!$E:$E,"ОВТ",'Таблиця 1'!$L:$L,"Уражено"))</f>
        <v/>
      </c>
      <c r="E681">
        <f>IF($A681="","",COUNTIFS('Таблиця 1'!$B:$B,$A681,'Таблиця 1'!$E:$E,"ППО",'Таблиця 1'!$L:$L,"Уражено"))</f>
        <v/>
      </c>
      <c r="F681">
        <f>IF($A681="","",COUNTIFS('Таблиця 1'!$B:$B,$A681,'Таблиця 1'!$E:$E,"Рембаза",'Таблиця 1'!$L:$L,"Уражено"))</f>
        <v/>
      </c>
      <c r="G681">
        <f>IF($A681="","",COUNTIFS('Таблиця 1'!$B:$B,$A681,'Таблиця 1'!$E:$E,"Склад БК",'Таблиця 1'!$L:$L,"Уражено"))</f>
        <v/>
      </c>
      <c r="H681">
        <f>IF($A681="","",COUNTIFS('Таблиця 1'!$B:$B,$A681,'Таблиця 1'!$E:$E,"Склад ВТМ",'Таблиця 1'!$L:$L,"Уражено"))</f>
        <v/>
      </c>
      <c r="I681">
        <f>IF($A681="","",COUNTIFS('Таблиця 1'!$B:$B,$A681,'Таблиця 1'!$E:$E,"ПУ БпЛА",'Таблиця 1'!$L:$L,"Уражено"))</f>
        <v/>
      </c>
      <c r="J681">
        <f>IF($A681="","",COUNTIFS('Таблиця 1'!$B:$B,$A681,'Таблиця 1'!$E:$E,"СП",'Таблиця 1'!$L:$L,"Уражено"))</f>
        <v/>
      </c>
      <c r="K681">
        <f>IF($A681="","",COUNTIFS('Таблиця 1'!$B:$B,$A681,'Таблиця 1'!$E:$E,"КСП роти",'Таблиця 1'!$L:$L,"Уражено"))</f>
        <v/>
      </c>
      <c r="L681">
        <f>IF($A681="","",COUNTIFS('Таблиця 1'!$B:$B,$A681,'Таблиця 1'!$E:$E,"ПУ бат",'Таблиця 1'!$L:$L,"Уражено"))</f>
        <v/>
      </c>
      <c r="M681">
        <f>IF($A681="","",COUNTIFS('Таблиця 1'!$B:$B,$A681,'Таблиця 1'!$E:$E,"ПУ бриг",'Таблиця 1'!$L:$L,"Уражено"))</f>
        <v/>
      </c>
      <c r="N681">
        <f>IF($A681="","",COUNTIFS('Таблиця 1'!$B:$B,$A681,'Таблиця 1'!$E:$E,"ПУ див",'Таблиця 1'!$L:$L,"Уражено"))</f>
        <v/>
      </c>
      <c r="O681">
        <f>IF($A681="","",COUNTIFS('Таблиця 1'!$B:$B,$A681,'Таблиця 1'!$E:$E,"обл. РЕБ",'Таблиця 1'!$L:$L,"Уражено"))</f>
        <v/>
      </c>
      <c r="P681">
        <f>IF($A681="","",COUNTIFS('Таблиця 1'!$B:$B,$A681,'Таблиця 1'!$E:$E,"пос РЕБ",'Таблиця 1'!$L:$L,"Уражено"))</f>
        <v/>
      </c>
      <c r="Q681">
        <f>IF($A681="","",COUNTIFS('Таблиця 1'!$B:$B,$A681,'Таблиця 1'!$E:$E,"група РЕР",'Таблиця 1'!$L:$L,"Уражено"))</f>
        <v/>
      </c>
      <c r="R681">
        <f>IF($A681="","",COUNTIFS('Таблиця 1'!$B:$B,$A681,'Таблиця 1'!$E:$E,"РЛС КББ",'Таблиця 1'!$L:$L,"Уражено"))</f>
        <v/>
      </c>
      <c r="S681">
        <f>IF($A681="","",COUNTIFS('Таблиця 1'!$B:$B,$A681,'Таблиця 1'!$E:$E,"Ретранслятор",'Таблиця 1'!$L:$L,"Уражено"))</f>
        <v/>
      </c>
      <c r="T681">
        <f>IF($A681="","",COUNTIFS('Таблиця 1'!$B:$B,$A681,'Таблиця 1'!$E:$E,"Вз.зв'язку",'Таблиця 1'!$L:$L,"Уражено"))</f>
        <v/>
      </c>
      <c r="U681">
        <f>IF($A681="","",COUNTIFS('Таблиця 1'!$B:$B,$A681,'Таблиця 1'!$E:$E,"ПММ",'Таблиця 1'!$L:$L,"Уражено"))</f>
        <v/>
      </c>
      <c r="V681">
        <f>IF($A681="","",COUNTIFS('Таблиця 1'!$B:$B,$A681,'Таблиця 1'!$E:$E,"ІФС",'Таблиця 1'!$L:$L,"Уражено"))</f>
        <v/>
      </c>
      <c r="W681">
        <f>IF($A681="","",COUNTIFS('Таблиця 1'!$B:$B,$A681,'Таблиця 1'!$E:$E,"Інфраструктура",'Таблиця 1'!$L:$L,"Уражено"))</f>
        <v/>
      </c>
      <c r="X681">
        <f>IF($A681="","",SUMIFS('Таблиця 1'!$K:$K,'Таблиця 1'!$B:$B,$A681))</f>
        <v/>
      </c>
    </row>
    <row r="682">
      <c r="A682" s="81">
        <f>IF(A681="","",IF(A681+1&gt;MAX('Таблиця 1'!$B:$B),"",A681+1))</f>
        <v/>
      </c>
      <c r="B682">
        <f>IF($A682="","",COUNTIFS('Таблиця 1'!$B:$B,$A682,'Таблиця 1'!$E:$E,"ЖС ВЗ",'Таблиця 1'!$L:$L,"Уражено"))</f>
        <v/>
      </c>
      <c r="C682">
        <f>IF($A682="","",COUNTIFS('Таблиця 1'!$B:$B,$A682,'Таблиця 1'!$E:$E,"Арт. Системи",'Таблиця 1'!$L:$L,"Уражено"))</f>
        <v/>
      </c>
      <c r="D682">
        <f>IF($A682="","",COUNTIFS('Таблиця 1'!$B:$B,$A682,'Таблиця 1'!$E:$E,"ОВТ",'Таблиця 1'!$L:$L,"Уражено"))</f>
        <v/>
      </c>
      <c r="E682">
        <f>IF($A682="","",COUNTIFS('Таблиця 1'!$B:$B,$A682,'Таблиця 1'!$E:$E,"ППО",'Таблиця 1'!$L:$L,"Уражено"))</f>
        <v/>
      </c>
      <c r="F682">
        <f>IF($A682="","",COUNTIFS('Таблиця 1'!$B:$B,$A682,'Таблиця 1'!$E:$E,"Рембаза",'Таблиця 1'!$L:$L,"Уражено"))</f>
        <v/>
      </c>
      <c r="G682">
        <f>IF($A682="","",COUNTIFS('Таблиця 1'!$B:$B,$A682,'Таблиця 1'!$E:$E,"Склад БК",'Таблиця 1'!$L:$L,"Уражено"))</f>
        <v/>
      </c>
      <c r="H682">
        <f>IF($A682="","",COUNTIFS('Таблиця 1'!$B:$B,$A682,'Таблиця 1'!$E:$E,"Склад ВТМ",'Таблиця 1'!$L:$L,"Уражено"))</f>
        <v/>
      </c>
      <c r="I682">
        <f>IF($A682="","",COUNTIFS('Таблиця 1'!$B:$B,$A682,'Таблиця 1'!$E:$E,"ПУ БпЛА",'Таблиця 1'!$L:$L,"Уражено"))</f>
        <v/>
      </c>
      <c r="J682">
        <f>IF($A682="","",COUNTIFS('Таблиця 1'!$B:$B,$A682,'Таблиця 1'!$E:$E,"СП",'Таблиця 1'!$L:$L,"Уражено"))</f>
        <v/>
      </c>
      <c r="K682">
        <f>IF($A682="","",COUNTIFS('Таблиця 1'!$B:$B,$A682,'Таблиця 1'!$E:$E,"КСП роти",'Таблиця 1'!$L:$L,"Уражено"))</f>
        <v/>
      </c>
      <c r="L682">
        <f>IF($A682="","",COUNTIFS('Таблиця 1'!$B:$B,$A682,'Таблиця 1'!$E:$E,"ПУ бат",'Таблиця 1'!$L:$L,"Уражено"))</f>
        <v/>
      </c>
      <c r="M682">
        <f>IF($A682="","",COUNTIFS('Таблиця 1'!$B:$B,$A682,'Таблиця 1'!$E:$E,"ПУ бриг",'Таблиця 1'!$L:$L,"Уражено"))</f>
        <v/>
      </c>
      <c r="N682">
        <f>IF($A682="","",COUNTIFS('Таблиця 1'!$B:$B,$A682,'Таблиця 1'!$E:$E,"ПУ див",'Таблиця 1'!$L:$L,"Уражено"))</f>
        <v/>
      </c>
      <c r="O682">
        <f>IF($A682="","",COUNTIFS('Таблиця 1'!$B:$B,$A682,'Таблиця 1'!$E:$E,"обл. РЕБ",'Таблиця 1'!$L:$L,"Уражено"))</f>
        <v/>
      </c>
      <c r="P682">
        <f>IF($A682="","",COUNTIFS('Таблиця 1'!$B:$B,$A682,'Таблиця 1'!$E:$E,"пос РЕБ",'Таблиця 1'!$L:$L,"Уражено"))</f>
        <v/>
      </c>
      <c r="Q682">
        <f>IF($A682="","",COUNTIFS('Таблиця 1'!$B:$B,$A682,'Таблиця 1'!$E:$E,"група РЕР",'Таблиця 1'!$L:$L,"Уражено"))</f>
        <v/>
      </c>
      <c r="R682">
        <f>IF($A682="","",COUNTIFS('Таблиця 1'!$B:$B,$A682,'Таблиця 1'!$E:$E,"РЛС КББ",'Таблиця 1'!$L:$L,"Уражено"))</f>
        <v/>
      </c>
      <c r="S682">
        <f>IF($A682="","",COUNTIFS('Таблиця 1'!$B:$B,$A682,'Таблиця 1'!$E:$E,"Ретранслятор",'Таблиця 1'!$L:$L,"Уражено"))</f>
        <v/>
      </c>
      <c r="T682">
        <f>IF($A682="","",COUNTIFS('Таблиця 1'!$B:$B,$A682,'Таблиця 1'!$E:$E,"Вз.зв'язку",'Таблиця 1'!$L:$L,"Уражено"))</f>
        <v/>
      </c>
      <c r="U682">
        <f>IF($A682="","",COUNTIFS('Таблиця 1'!$B:$B,$A682,'Таблиця 1'!$E:$E,"ПММ",'Таблиця 1'!$L:$L,"Уражено"))</f>
        <v/>
      </c>
      <c r="V682">
        <f>IF($A682="","",COUNTIFS('Таблиця 1'!$B:$B,$A682,'Таблиця 1'!$E:$E,"ІФС",'Таблиця 1'!$L:$L,"Уражено"))</f>
        <v/>
      </c>
      <c r="W682">
        <f>IF($A682="","",COUNTIFS('Таблиця 1'!$B:$B,$A682,'Таблиця 1'!$E:$E,"Інфраструктура",'Таблиця 1'!$L:$L,"Уражено"))</f>
        <v/>
      </c>
      <c r="X682">
        <f>IF($A682="","",SUMIFS('Таблиця 1'!$K:$K,'Таблиця 1'!$B:$B,$A682))</f>
        <v/>
      </c>
    </row>
    <row r="683">
      <c r="A683" s="81">
        <f>IF(A682="","",IF(A682+1&gt;MAX('Таблиця 1'!$B:$B),"",A682+1))</f>
        <v/>
      </c>
      <c r="B683">
        <f>IF($A683="","",COUNTIFS('Таблиця 1'!$B:$B,$A683,'Таблиця 1'!$E:$E,"ЖС ВЗ",'Таблиця 1'!$L:$L,"Уражено"))</f>
        <v/>
      </c>
      <c r="C683">
        <f>IF($A683="","",COUNTIFS('Таблиця 1'!$B:$B,$A683,'Таблиця 1'!$E:$E,"Арт. Системи",'Таблиця 1'!$L:$L,"Уражено"))</f>
        <v/>
      </c>
      <c r="D683">
        <f>IF($A683="","",COUNTIFS('Таблиця 1'!$B:$B,$A683,'Таблиця 1'!$E:$E,"ОВТ",'Таблиця 1'!$L:$L,"Уражено"))</f>
        <v/>
      </c>
      <c r="E683">
        <f>IF($A683="","",COUNTIFS('Таблиця 1'!$B:$B,$A683,'Таблиця 1'!$E:$E,"ППО",'Таблиця 1'!$L:$L,"Уражено"))</f>
        <v/>
      </c>
      <c r="F683">
        <f>IF($A683="","",COUNTIFS('Таблиця 1'!$B:$B,$A683,'Таблиця 1'!$E:$E,"Рембаза",'Таблиця 1'!$L:$L,"Уражено"))</f>
        <v/>
      </c>
      <c r="G683">
        <f>IF($A683="","",COUNTIFS('Таблиця 1'!$B:$B,$A683,'Таблиця 1'!$E:$E,"Склад БК",'Таблиця 1'!$L:$L,"Уражено"))</f>
        <v/>
      </c>
      <c r="H683">
        <f>IF($A683="","",COUNTIFS('Таблиця 1'!$B:$B,$A683,'Таблиця 1'!$E:$E,"Склад ВТМ",'Таблиця 1'!$L:$L,"Уражено"))</f>
        <v/>
      </c>
      <c r="I683">
        <f>IF($A683="","",COUNTIFS('Таблиця 1'!$B:$B,$A683,'Таблиця 1'!$E:$E,"ПУ БпЛА",'Таблиця 1'!$L:$L,"Уражено"))</f>
        <v/>
      </c>
      <c r="J683">
        <f>IF($A683="","",COUNTIFS('Таблиця 1'!$B:$B,$A683,'Таблиця 1'!$E:$E,"СП",'Таблиця 1'!$L:$L,"Уражено"))</f>
        <v/>
      </c>
      <c r="K683">
        <f>IF($A683="","",COUNTIFS('Таблиця 1'!$B:$B,$A683,'Таблиця 1'!$E:$E,"КСП роти",'Таблиця 1'!$L:$L,"Уражено"))</f>
        <v/>
      </c>
      <c r="L683">
        <f>IF($A683="","",COUNTIFS('Таблиця 1'!$B:$B,$A683,'Таблиця 1'!$E:$E,"ПУ бат",'Таблиця 1'!$L:$L,"Уражено"))</f>
        <v/>
      </c>
      <c r="M683">
        <f>IF($A683="","",COUNTIFS('Таблиця 1'!$B:$B,$A683,'Таблиця 1'!$E:$E,"ПУ бриг",'Таблиця 1'!$L:$L,"Уражено"))</f>
        <v/>
      </c>
      <c r="N683">
        <f>IF($A683="","",COUNTIFS('Таблиця 1'!$B:$B,$A683,'Таблиця 1'!$E:$E,"ПУ див",'Таблиця 1'!$L:$L,"Уражено"))</f>
        <v/>
      </c>
      <c r="O683">
        <f>IF($A683="","",COUNTIFS('Таблиця 1'!$B:$B,$A683,'Таблиця 1'!$E:$E,"обл. РЕБ",'Таблиця 1'!$L:$L,"Уражено"))</f>
        <v/>
      </c>
      <c r="P683">
        <f>IF($A683="","",COUNTIFS('Таблиця 1'!$B:$B,$A683,'Таблиця 1'!$E:$E,"пос РЕБ",'Таблиця 1'!$L:$L,"Уражено"))</f>
        <v/>
      </c>
      <c r="Q683">
        <f>IF($A683="","",COUNTIFS('Таблиця 1'!$B:$B,$A683,'Таблиця 1'!$E:$E,"група РЕР",'Таблиця 1'!$L:$L,"Уражено"))</f>
        <v/>
      </c>
      <c r="R683">
        <f>IF($A683="","",COUNTIFS('Таблиця 1'!$B:$B,$A683,'Таблиця 1'!$E:$E,"РЛС КББ",'Таблиця 1'!$L:$L,"Уражено"))</f>
        <v/>
      </c>
      <c r="S683">
        <f>IF($A683="","",COUNTIFS('Таблиця 1'!$B:$B,$A683,'Таблиця 1'!$E:$E,"Ретранслятор",'Таблиця 1'!$L:$L,"Уражено"))</f>
        <v/>
      </c>
      <c r="T683">
        <f>IF($A683="","",COUNTIFS('Таблиця 1'!$B:$B,$A683,'Таблиця 1'!$E:$E,"Вз.зв'язку",'Таблиця 1'!$L:$L,"Уражено"))</f>
        <v/>
      </c>
      <c r="U683">
        <f>IF($A683="","",COUNTIFS('Таблиця 1'!$B:$B,$A683,'Таблиця 1'!$E:$E,"ПММ",'Таблиця 1'!$L:$L,"Уражено"))</f>
        <v/>
      </c>
      <c r="V683">
        <f>IF($A683="","",COUNTIFS('Таблиця 1'!$B:$B,$A683,'Таблиця 1'!$E:$E,"ІФС",'Таблиця 1'!$L:$L,"Уражено"))</f>
        <v/>
      </c>
      <c r="W683">
        <f>IF($A683="","",COUNTIFS('Таблиця 1'!$B:$B,$A683,'Таблиця 1'!$E:$E,"Інфраструктура",'Таблиця 1'!$L:$L,"Уражено"))</f>
        <v/>
      </c>
      <c r="X683">
        <f>IF($A683="","",SUMIFS('Таблиця 1'!$K:$K,'Таблиця 1'!$B:$B,$A683))</f>
        <v/>
      </c>
    </row>
    <row r="684">
      <c r="A684" s="81">
        <f>IF(A683="","",IF(A683+1&gt;MAX('Таблиця 1'!$B:$B),"",A683+1))</f>
        <v/>
      </c>
      <c r="B684">
        <f>IF($A684="","",COUNTIFS('Таблиця 1'!$B:$B,$A684,'Таблиця 1'!$E:$E,"ЖС ВЗ",'Таблиця 1'!$L:$L,"Уражено"))</f>
        <v/>
      </c>
      <c r="C684">
        <f>IF($A684="","",COUNTIFS('Таблиця 1'!$B:$B,$A684,'Таблиця 1'!$E:$E,"Арт. Системи",'Таблиця 1'!$L:$L,"Уражено"))</f>
        <v/>
      </c>
      <c r="D684">
        <f>IF($A684="","",COUNTIFS('Таблиця 1'!$B:$B,$A684,'Таблиця 1'!$E:$E,"ОВТ",'Таблиця 1'!$L:$L,"Уражено"))</f>
        <v/>
      </c>
      <c r="E684">
        <f>IF($A684="","",COUNTIFS('Таблиця 1'!$B:$B,$A684,'Таблиця 1'!$E:$E,"ППО",'Таблиця 1'!$L:$L,"Уражено"))</f>
        <v/>
      </c>
      <c r="F684">
        <f>IF($A684="","",COUNTIFS('Таблиця 1'!$B:$B,$A684,'Таблиця 1'!$E:$E,"Рембаза",'Таблиця 1'!$L:$L,"Уражено"))</f>
        <v/>
      </c>
      <c r="G684">
        <f>IF($A684="","",COUNTIFS('Таблиця 1'!$B:$B,$A684,'Таблиця 1'!$E:$E,"Склад БК",'Таблиця 1'!$L:$L,"Уражено"))</f>
        <v/>
      </c>
      <c r="H684">
        <f>IF($A684="","",COUNTIFS('Таблиця 1'!$B:$B,$A684,'Таблиця 1'!$E:$E,"Склад ВТМ",'Таблиця 1'!$L:$L,"Уражено"))</f>
        <v/>
      </c>
      <c r="I684">
        <f>IF($A684="","",COUNTIFS('Таблиця 1'!$B:$B,$A684,'Таблиця 1'!$E:$E,"ПУ БпЛА",'Таблиця 1'!$L:$L,"Уражено"))</f>
        <v/>
      </c>
      <c r="J684">
        <f>IF($A684="","",COUNTIFS('Таблиця 1'!$B:$B,$A684,'Таблиця 1'!$E:$E,"СП",'Таблиця 1'!$L:$L,"Уражено"))</f>
        <v/>
      </c>
      <c r="K684">
        <f>IF($A684="","",COUNTIFS('Таблиця 1'!$B:$B,$A684,'Таблиця 1'!$E:$E,"КСП роти",'Таблиця 1'!$L:$L,"Уражено"))</f>
        <v/>
      </c>
      <c r="L684">
        <f>IF($A684="","",COUNTIFS('Таблиця 1'!$B:$B,$A684,'Таблиця 1'!$E:$E,"ПУ бат",'Таблиця 1'!$L:$L,"Уражено"))</f>
        <v/>
      </c>
      <c r="M684">
        <f>IF($A684="","",COUNTIFS('Таблиця 1'!$B:$B,$A684,'Таблиця 1'!$E:$E,"ПУ бриг",'Таблиця 1'!$L:$L,"Уражено"))</f>
        <v/>
      </c>
      <c r="N684">
        <f>IF($A684="","",COUNTIFS('Таблиця 1'!$B:$B,$A684,'Таблиця 1'!$E:$E,"ПУ див",'Таблиця 1'!$L:$L,"Уражено"))</f>
        <v/>
      </c>
      <c r="O684">
        <f>IF($A684="","",COUNTIFS('Таблиця 1'!$B:$B,$A684,'Таблиця 1'!$E:$E,"обл. РЕБ",'Таблиця 1'!$L:$L,"Уражено"))</f>
        <v/>
      </c>
      <c r="P684">
        <f>IF($A684="","",COUNTIFS('Таблиця 1'!$B:$B,$A684,'Таблиця 1'!$E:$E,"пос РЕБ",'Таблиця 1'!$L:$L,"Уражено"))</f>
        <v/>
      </c>
      <c r="Q684">
        <f>IF($A684="","",COUNTIFS('Таблиця 1'!$B:$B,$A684,'Таблиця 1'!$E:$E,"група РЕР",'Таблиця 1'!$L:$L,"Уражено"))</f>
        <v/>
      </c>
      <c r="R684">
        <f>IF($A684="","",COUNTIFS('Таблиця 1'!$B:$B,$A684,'Таблиця 1'!$E:$E,"РЛС КББ",'Таблиця 1'!$L:$L,"Уражено"))</f>
        <v/>
      </c>
      <c r="S684">
        <f>IF($A684="","",COUNTIFS('Таблиця 1'!$B:$B,$A684,'Таблиця 1'!$E:$E,"Ретранслятор",'Таблиця 1'!$L:$L,"Уражено"))</f>
        <v/>
      </c>
      <c r="T684">
        <f>IF($A684="","",COUNTIFS('Таблиця 1'!$B:$B,$A684,'Таблиця 1'!$E:$E,"Вз.зв'язку",'Таблиця 1'!$L:$L,"Уражено"))</f>
        <v/>
      </c>
      <c r="U684">
        <f>IF($A684="","",COUNTIFS('Таблиця 1'!$B:$B,$A684,'Таблиця 1'!$E:$E,"ПММ",'Таблиця 1'!$L:$L,"Уражено"))</f>
        <v/>
      </c>
      <c r="V684">
        <f>IF($A684="","",COUNTIFS('Таблиця 1'!$B:$B,$A684,'Таблиця 1'!$E:$E,"ІФС",'Таблиця 1'!$L:$L,"Уражено"))</f>
        <v/>
      </c>
      <c r="W684">
        <f>IF($A684="","",COUNTIFS('Таблиця 1'!$B:$B,$A684,'Таблиця 1'!$E:$E,"Інфраструктура",'Таблиця 1'!$L:$L,"Уражено"))</f>
        <v/>
      </c>
      <c r="X684">
        <f>IF($A684="","",SUMIFS('Таблиця 1'!$K:$K,'Таблиця 1'!$B:$B,$A684))</f>
        <v/>
      </c>
    </row>
    <row r="685">
      <c r="A685" s="81">
        <f>IF(A684="","",IF(A684+1&gt;MAX('Таблиця 1'!$B:$B),"",A684+1))</f>
        <v/>
      </c>
      <c r="B685">
        <f>IF($A685="","",COUNTIFS('Таблиця 1'!$B:$B,$A685,'Таблиця 1'!$E:$E,"ЖС ВЗ",'Таблиця 1'!$L:$L,"Уражено"))</f>
        <v/>
      </c>
      <c r="C685">
        <f>IF($A685="","",COUNTIFS('Таблиця 1'!$B:$B,$A685,'Таблиця 1'!$E:$E,"Арт. Системи",'Таблиця 1'!$L:$L,"Уражено"))</f>
        <v/>
      </c>
      <c r="D685">
        <f>IF($A685="","",COUNTIFS('Таблиця 1'!$B:$B,$A685,'Таблиця 1'!$E:$E,"ОВТ",'Таблиця 1'!$L:$L,"Уражено"))</f>
        <v/>
      </c>
      <c r="E685">
        <f>IF($A685="","",COUNTIFS('Таблиця 1'!$B:$B,$A685,'Таблиця 1'!$E:$E,"ППО",'Таблиця 1'!$L:$L,"Уражено"))</f>
        <v/>
      </c>
      <c r="F685">
        <f>IF($A685="","",COUNTIFS('Таблиця 1'!$B:$B,$A685,'Таблиця 1'!$E:$E,"Рембаза",'Таблиця 1'!$L:$L,"Уражено"))</f>
        <v/>
      </c>
      <c r="G685">
        <f>IF($A685="","",COUNTIFS('Таблиця 1'!$B:$B,$A685,'Таблиця 1'!$E:$E,"Склад БК",'Таблиця 1'!$L:$L,"Уражено"))</f>
        <v/>
      </c>
      <c r="H685">
        <f>IF($A685="","",COUNTIFS('Таблиця 1'!$B:$B,$A685,'Таблиця 1'!$E:$E,"Склад ВТМ",'Таблиця 1'!$L:$L,"Уражено"))</f>
        <v/>
      </c>
      <c r="I685">
        <f>IF($A685="","",COUNTIFS('Таблиця 1'!$B:$B,$A685,'Таблиця 1'!$E:$E,"ПУ БпЛА",'Таблиця 1'!$L:$L,"Уражено"))</f>
        <v/>
      </c>
      <c r="J685">
        <f>IF($A685="","",COUNTIFS('Таблиця 1'!$B:$B,$A685,'Таблиця 1'!$E:$E,"СП",'Таблиця 1'!$L:$L,"Уражено"))</f>
        <v/>
      </c>
      <c r="K685">
        <f>IF($A685="","",COUNTIFS('Таблиця 1'!$B:$B,$A685,'Таблиця 1'!$E:$E,"КСП роти",'Таблиця 1'!$L:$L,"Уражено"))</f>
        <v/>
      </c>
      <c r="L685">
        <f>IF($A685="","",COUNTIFS('Таблиця 1'!$B:$B,$A685,'Таблиця 1'!$E:$E,"ПУ бат",'Таблиця 1'!$L:$L,"Уражено"))</f>
        <v/>
      </c>
      <c r="M685">
        <f>IF($A685="","",COUNTIFS('Таблиця 1'!$B:$B,$A685,'Таблиця 1'!$E:$E,"ПУ бриг",'Таблиця 1'!$L:$L,"Уражено"))</f>
        <v/>
      </c>
      <c r="N685">
        <f>IF($A685="","",COUNTIFS('Таблиця 1'!$B:$B,$A685,'Таблиця 1'!$E:$E,"ПУ див",'Таблиця 1'!$L:$L,"Уражено"))</f>
        <v/>
      </c>
      <c r="O685">
        <f>IF($A685="","",COUNTIFS('Таблиця 1'!$B:$B,$A685,'Таблиця 1'!$E:$E,"обл. РЕБ",'Таблиця 1'!$L:$L,"Уражено"))</f>
        <v/>
      </c>
      <c r="P685">
        <f>IF($A685="","",COUNTIFS('Таблиця 1'!$B:$B,$A685,'Таблиця 1'!$E:$E,"пос РЕБ",'Таблиця 1'!$L:$L,"Уражено"))</f>
        <v/>
      </c>
      <c r="Q685">
        <f>IF($A685="","",COUNTIFS('Таблиця 1'!$B:$B,$A685,'Таблиця 1'!$E:$E,"група РЕР",'Таблиця 1'!$L:$L,"Уражено"))</f>
        <v/>
      </c>
      <c r="R685">
        <f>IF($A685="","",COUNTIFS('Таблиця 1'!$B:$B,$A685,'Таблиця 1'!$E:$E,"РЛС КББ",'Таблиця 1'!$L:$L,"Уражено"))</f>
        <v/>
      </c>
      <c r="S685">
        <f>IF($A685="","",COUNTIFS('Таблиця 1'!$B:$B,$A685,'Таблиця 1'!$E:$E,"Ретранслятор",'Таблиця 1'!$L:$L,"Уражено"))</f>
        <v/>
      </c>
      <c r="T685">
        <f>IF($A685="","",COUNTIFS('Таблиця 1'!$B:$B,$A685,'Таблиця 1'!$E:$E,"Вз.зв'язку",'Таблиця 1'!$L:$L,"Уражено"))</f>
        <v/>
      </c>
      <c r="U685">
        <f>IF($A685="","",COUNTIFS('Таблиця 1'!$B:$B,$A685,'Таблиця 1'!$E:$E,"ПММ",'Таблиця 1'!$L:$L,"Уражено"))</f>
        <v/>
      </c>
      <c r="V685">
        <f>IF($A685="","",COUNTIFS('Таблиця 1'!$B:$B,$A685,'Таблиця 1'!$E:$E,"ІФС",'Таблиця 1'!$L:$L,"Уражено"))</f>
        <v/>
      </c>
      <c r="W685">
        <f>IF($A685="","",COUNTIFS('Таблиця 1'!$B:$B,$A685,'Таблиця 1'!$E:$E,"Інфраструктура",'Таблиця 1'!$L:$L,"Уражено"))</f>
        <v/>
      </c>
      <c r="X685">
        <f>IF($A685="","",SUMIFS('Таблиця 1'!$K:$K,'Таблиця 1'!$B:$B,$A685))</f>
        <v/>
      </c>
    </row>
    <row r="686">
      <c r="A686" s="81">
        <f>IF(A685="","",IF(A685+1&gt;MAX('Таблиця 1'!$B:$B),"",A685+1))</f>
        <v/>
      </c>
      <c r="B686">
        <f>IF($A686="","",COUNTIFS('Таблиця 1'!$B:$B,$A686,'Таблиця 1'!$E:$E,"ЖС ВЗ",'Таблиця 1'!$L:$L,"Уражено"))</f>
        <v/>
      </c>
      <c r="C686">
        <f>IF($A686="","",COUNTIFS('Таблиця 1'!$B:$B,$A686,'Таблиця 1'!$E:$E,"Арт. Системи",'Таблиця 1'!$L:$L,"Уражено"))</f>
        <v/>
      </c>
      <c r="D686">
        <f>IF($A686="","",COUNTIFS('Таблиця 1'!$B:$B,$A686,'Таблиця 1'!$E:$E,"ОВТ",'Таблиця 1'!$L:$L,"Уражено"))</f>
        <v/>
      </c>
      <c r="E686">
        <f>IF($A686="","",COUNTIFS('Таблиця 1'!$B:$B,$A686,'Таблиця 1'!$E:$E,"ППО",'Таблиця 1'!$L:$L,"Уражено"))</f>
        <v/>
      </c>
      <c r="F686">
        <f>IF($A686="","",COUNTIFS('Таблиця 1'!$B:$B,$A686,'Таблиця 1'!$E:$E,"Рембаза",'Таблиця 1'!$L:$L,"Уражено"))</f>
        <v/>
      </c>
      <c r="G686">
        <f>IF($A686="","",COUNTIFS('Таблиця 1'!$B:$B,$A686,'Таблиця 1'!$E:$E,"Склад БК",'Таблиця 1'!$L:$L,"Уражено"))</f>
        <v/>
      </c>
      <c r="H686">
        <f>IF($A686="","",COUNTIFS('Таблиця 1'!$B:$B,$A686,'Таблиця 1'!$E:$E,"Склад ВТМ",'Таблиця 1'!$L:$L,"Уражено"))</f>
        <v/>
      </c>
      <c r="I686">
        <f>IF($A686="","",COUNTIFS('Таблиця 1'!$B:$B,$A686,'Таблиця 1'!$E:$E,"ПУ БпЛА",'Таблиця 1'!$L:$L,"Уражено"))</f>
        <v/>
      </c>
      <c r="J686">
        <f>IF($A686="","",COUNTIFS('Таблиця 1'!$B:$B,$A686,'Таблиця 1'!$E:$E,"СП",'Таблиця 1'!$L:$L,"Уражено"))</f>
        <v/>
      </c>
      <c r="K686">
        <f>IF($A686="","",COUNTIFS('Таблиця 1'!$B:$B,$A686,'Таблиця 1'!$E:$E,"КСП роти",'Таблиця 1'!$L:$L,"Уражено"))</f>
        <v/>
      </c>
      <c r="L686">
        <f>IF($A686="","",COUNTIFS('Таблиця 1'!$B:$B,$A686,'Таблиця 1'!$E:$E,"ПУ бат",'Таблиця 1'!$L:$L,"Уражено"))</f>
        <v/>
      </c>
      <c r="M686">
        <f>IF($A686="","",COUNTIFS('Таблиця 1'!$B:$B,$A686,'Таблиця 1'!$E:$E,"ПУ бриг",'Таблиця 1'!$L:$L,"Уражено"))</f>
        <v/>
      </c>
      <c r="N686">
        <f>IF($A686="","",COUNTIFS('Таблиця 1'!$B:$B,$A686,'Таблиця 1'!$E:$E,"ПУ див",'Таблиця 1'!$L:$L,"Уражено"))</f>
        <v/>
      </c>
      <c r="O686">
        <f>IF($A686="","",COUNTIFS('Таблиця 1'!$B:$B,$A686,'Таблиця 1'!$E:$E,"обл. РЕБ",'Таблиця 1'!$L:$L,"Уражено"))</f>
        <v/>
      </c>
      <c r="P686">
        <f>IF($A686="","",COUNTIFS('Таблиця 1'!$B:$B,$A686,'Таблиця 1'!$E:$E,"пос РЕБ",'Таблиця 1'!$L:$L,"Уражено"))</f>
        <v/>
      </c>
      <c r="Q686">
        <f>IF($A686="","",COUNTIFS('Таблиця 1'!$B:$B,$A686,'Таблиця 1'!$E:$E,"група РЕР",'Таблиця 1'!$L:$L,"Уражено"))</f>
        <v/>
      </c>
      <c r="R686">
        <f>IF($A686="","",COUNTIFS('Таблиця 1'!$B:$B,$A686,'Таблиця 1'!$E:$E,"РЛС КББ",'Таблиця 1'!$L:$L,"Уражено"))</f>
        <v/>
      </c>
      <c r="S686">
        <f>IF($A686="","",COUNTIFS('Таблиця 1'!$B:$B,$A686,'Таблиця 1'!$E:$E,"Ретранслятор",'Таблиця 1'!$L:$L,"Уражено"))</f>
        <v/>
      </c>
      <c r="T686">
        <f>IF($A686="","",COUNTIFS('Таблиця 1'!$B:$B,$A686,'Таблиця 1'!$E:$E,"Вз.зв'язку",'Таблиця 1'!$L:$L,"Уражено"))</f>
        <v/>
      </c>
      <c r="U686">
        <f>IF($A686="","",COUNTIFS('Таблиця 1'!$B:$B,$A686,'Таблиця 1'!$E:$E,"ПММ",'Таблиця 1'!$L:$L,"Уражено"))</f>
        <v/>
      </c>
      <c r="V686">
        <f>IF($A686="","",COUNTIFS('Таблиця 1'!$B:$B,$A686,'Таблиця 1'!$E:$E,"ІФС",'Таблиця 1'!$L:$L,"Уражено"))</f>
        <v/>
      </c>
      <c r="W686">
        <f>IF($A686="","",COUNTIFS('Таблиця 1'!$B:$B,$A686,'Таблиця 1'!$E:$E,"Інфраструктура",'Таблиця 1'!$L:$L,"Уражено"))</f>
        <v/>
      </c>
      <c r="X686">
        <f>IF($A686="","",SUMIFS('Таблиця 1'!$K:$K,'Таблиця 1'!$B:$B,$A686))</f>
        <v/>
      </c>
    </row>
    <row r="687">
      <c r="A687" s="81">
        <f>IF(A686="","",IF(A686+1&gt;MAX('Таблиця 1'!$B:$B),"",A686+1))</f>
        <v/>
      </c>
      <c r="B687">
        <f>IF($A687="","",COUNTIFS('Таблиця 1'!$B:$B,$A687,'Таблиця 1'!$E:$E,"ЖС ВЗ",'Таблиця 1'!$L:$L,"Уражено"))</f>
        <v/>
      </c>
      <c r="C687">
        <f>IF($A687="","",COUNTIFS('Таблиця 1'!$B:$B,$A687,'Таблиця 1'!$E:$E,"Арт. Системи",'Таблиця 1'!$L:$L,"Уражено"))</f>
        <v/>
      </c>
      <c r="D687">
        <f>IF($A687="","",COUNTIFS('Таблиця 1'!$B:$B,$A687,'Таблиця 1'!$E:$E,"ОВТ",'Таблиця 1'!$L:$L,"Уражено"))</f>
        <v/>
      </c>
      <c r="E687">
        <f>IF($A687="","",COUNTIFS('Таблиця 1'!$B:$B,$A687,'Таблиця 1'!$E:$E,"ППО",'Таблиця 1'!$L:$L,"Уражено"))</f>
        <v/>
      </c>
      <c r="F687">
        <f>IF($A687="","",COUNTIFS('Таблиця 1'!$B:$B,$A687,'Таблиця 1'!$E:$E,"Рембаза",'Таблиця 1'!$L:$L,"Уражено"))</f>
        <v/>
      </c>
      <c r="G687">
        <f>IF($A687="","",COUNTIFS('Таблиця 1'!$B:$B,$A687,'Таблиця 1'!$E:$E,"Склад БК",'Таблиця 1'!$L:$L,"Уражено"))</f>
        <v/>
      </c>
      <c r="H687">
        <f>IF($A687="","",COUNTIFS('Таблиця 1'!$B:$B,$A687,'Таблиця 1'!$E:$E,"Склад ВТМ",'Таблиця 1'!$L:$L,"Уражено"))</f>
        <v/>
      </c>
      <c r="I687">
        <f>IF($A687="","",COUNTIFS('Таблиця 1'!$B:$B,$A687,'Таблиця 1'!$E:$E,"ПУ БпЛА",'Таблиця 1'!$L:$L,"Уражено"))</f>
        <v/>
      </c>
      <c r="J687">
        <f>IF($A687="","",COUNTIFS('Таблиця 1'!$B:$B,$A687,'Таблиця 1'!$E:$E,"СП",'Таблиця 1'!$L:$L,"Уражено"))</f>
        <v/>
      </c>
      <c r="K687">
        <f>IF($A687="","",COUNTIFS('Таблиця 1'!$B:$B,$A687,'Таблиця 1'!$E:$E,"КСП роти",'Таблиця 1'!$L:$L,"Уражено"))</f>
        <v/>
      </c>
      <c r="L687">
        <f>IF($A687="","",COUNTIFS('Таблиця 1'!$B:$B,$A687,'Таблиця 1'!$E:$E,"ПУ бат",'Таблиця 1'!$L:$L,"Уражено"))</f>
        <v/>
      </c>
      <c r="M687">
        <f>IF($A687="","",COUNTIFS('Таблиця 1'!$B:$B,$A687,'Таблиця 1'!$E:$E,"ПУ бриг",'Таблиця 1'!$L:$L,"Уражено"))</f>
        <v/>
      </c>
      <c r="N687">
        <f>IF($A687="","",COUNTIFS('Таблиця 1'!$B:$B,$A687,'Таблиця 1'!$E:$E,"ПУ див",'Таблиця 1'!$L:$L,"Уражено"))</f>
        <v/>
      </c>
      <c r="O687">
        <f>IF($A687="","",COUNTIFS('Таблиця 1'!$B:$B,$A687,'Таблиця 1'!$E:$E,"обл. РЕБ",'Таблиця 1'!$L:$L,"Уражено"))</f>
        <v/>
      </c>
      <c r="P687">
        <f>IF($A687="","",COUNTIFS('Таблиця 1'!$B:$B,$A687,'Таблиця 1'!$E:$E,"пос РЕБ",'Таблиця 1'!$L:$L,"Уражено"))</f>
        <v/>
      </c>
      <c r="Q687">
        <f>IF($A687="","",COUNTIFS('Таблиця 1'!$B:$B,$A687,'Таблиця 1'!$E:$E,"група РЕР",'Таблиця 1'!$L:$L,"Уражено"))</f>
        <v/>
      </c>
      <c r="R687">
        <f>IF($A687="","",COUNTIFS('Таблиця 1'!$B:$B,$A687,'Таблиця 1'!$E:$E,"РЛС КББ",'Таблиця 1'!$L:$L,"Уражено"))</f>
        <v/>
      </c>
      <c r="S687">
        <f>IF($A687="","",COUNTIFS('Таблиця 1'!$B:$B,$A687,'Таблиця 1'!$E:$E,"Ретранслятор",'Таблиця 1'!$L:$L,"Уражено"))</f>
        <v/>
      </c>
      <c r="T687">
        <f>IF($A687="","",COUNTIFS('Таблиця 1'!$B:$B,$A687,'Таблиця 1'!$E:$E,"Вз.зв'язку",'Таблиця 1'!$L:$L,"Уражено"))</f>
        <v/>
      </c>
      <c r="U687">
        <f>IF($A687="","",COUNTIFS('Таблиця 1'!$B:$B,$A687,'Таблиця 1'!$E:$E,"ПММ",'Таблиця 1'!$L:$L,"Уражено"))</f>
        <v/>
      </c>
      <c r="V687">
        <f>IF($A687="","",COUNTIFS('Таблиця 1'!$B:$B,$A687,'Таблиця 1'!$E:$E,"ІФС",'Таблиця 1'!$L:$L,"Уражено"))</f>
        <v/>
      </c>
      <c r="W687">
        <f>IF($A687="","",COUNTIFS('Таблиця 1'!$B:$B,$A687,'Таблиця 1'!$E:$E,"Інфраструктура",'Таблиця 1'!$L:$L,"Уражено"))</f>
        <v/>
      </c>
      <c r="X687">
        <f>IF($A687="","",SUMIFS('Таблиця 1'!$K:$K,'Таблиця 1'!$B:$B,$A687))</f>
        <v/>
      </c>
    </row>
    <row r="688">
      <c r="A688" s="81">
        <f>IF(A687="","",IF(A687+1&gt;MAX('Таблиця 1'!$B:$B),"",A687+1))</f>
        <v/>
      </c>
      <c r="B688">
        <f>IF($A688="","",COUNTIFS('Таблиця 1'!$B:$B,$A688,'Таблиця 1'!$E:$E,"ЖС ВЗ",'Таблиця 1'!$L:$L,"Уражено"))</f>
        <v/>
      </c>
      <c r="C688">
        <f>IF($A688="","",COUNTIFS('Таблиця 1'!$B:$B,$A688,'Таблиця 1'!$E:$E,"Арт. Системи",'Таблиця 1'!$L:$L,"Уражено"))</f>
        <v/>
      </c>
      <c r="D688">
        <f>IF($A688="","",COUNTIFS('Таблиця 1'!$B:$B,$A688,'Таблиця 1'!$E:$E,"ОВТ",'Таблиця 1'!$L:$L,"Уражено"))</f>
        <v/>
      </c>
      <c r="E688">
        <f>IF($A688="","",COUNTIFS('Таблиця 1'!$B:$B,$A688,'Таблиця 1'!$E:$E,"ППО",'Таблиця 1'!$L:$L,"Уражено"))</f>
        <v/>
      </c>
      <c r="F688">
        <f>IF($A688="","",COUNTIFS('Таблиця 1'!$B:$B,$A688,'Таблиця 1'!$E:$E,"Рембаза",'Таблиця 1'!$L:$L,"Уражено"))</f>
        <v/>
      </c>
      <c r="G688">
        <f>IF($A688="","",COUNTIFS('Таблиця 1'!$B:$B,$A688,'Таблиця 1'!$E:$E,"Склад БК",'Таблиця 1'!$L:$L,"Уражено"))</f>
        <v/>
      </c>
      <c r="H688">
        <f>IF($A688="","",COUNTIFS('Таблиця 1'!$B:$B,$A688,'Таблиця 1'!$E:$E,"Склад ВТМ",'Таблиця 1'!$L:$L,"Уражено"))</f>
        <v/>
      </c>
      <c r="I688">
        <f>IF($A688="","",COUNTIFS('Таблиця 1'!$B:$B,$A688,'Таблиця 1'!$E:$E,"ПУ БпЛА",'Таблиця 1'!$L:$L,"Уражено"))</f>
        <v/>
      </c>
      <c r="J688">
        <f>IF($A688="","",COUNTIFS('Таблиця 1'!$B:$B,$A688,'Таблиця 1'!$E:$E,"СП",'Таблиця 1'!$L:$L,"Уражено"))</f>
        <v/>
      </c>
      <c r="K688">
        <f>IF($A688="","",COUNTIFS('Таблиця 1'!$B:$B,$A688,'Таблиця 1'!$E:$E,"КСП роти",'Таблиця 1'!$L:$L,"Уражено"))</f>
        <v/>
      </c>
      <c r="L688">
        <f>IF($A688="","",COUNTIFS('Таблиця 1'!$B:$B,$A688,'Таблиця 1'!$E:$E,"ПУ бат",'Таблиця 1'!$L:$L,"Уражено"))</f>
        <v/>
      </c>
      <c r="M688">
        <f>IF($A688="","",COUNTIFS('Таблиця 1'!$B:$B,$A688,'Таблиця 1'!$E:$E,"ПУ бриг",'Таблиця 1'!$L:$L,"Уражено"))</f>
        <v/>
      </c>
      <c r="N688">
        <f>IF($A688="","",COUNTIFS('Таблиця 1'!$B:$B,$A688,'Таблиця 1'!$E:$E,"ПУ див",'Таблиця 1'!$L:$L,"Уражено"))</f>
        <v/>
      </c>
      <c r="O688">
        <f>IF($A688="","",COUNTIFS('Таблиця 1'!$B:$B,$A688,'Таблиця 1'!$E:$E,"обл. РЕБ",'Таблиця 1'!$L:$L,"Уражено"))</f>
        <v/>
      </c>
      <c r="P688">
        <f>IF($A688="","",COUNTIFS('Таблиця 1'!$B:$B,$A688,'Таблиця 1'!$E:$E,"пос РЕБ",'Таблиця 1'!$L:$L,"Уражено"))</f>
        <v/>
      </c>
      <c r="Q688">
        <f>IF($A688="","",COUNTIFS('Таблиця 1'!$B:$B,$A688,'Таблиця 1'!$E:$E,"група РЕР",'Таблиця 1'!$L:$L,"Уражено"))</f>
        <v/>
      </c>
      <c r="R688">
        <f>IF($A688="","",COUNTIFS('Таблиця 1'!$B:$B,$A688,'Таблиця 1'!$E:$E,"РЛС КББ",'Таблиця 1'!$L:$L,"Уражено"))</f>
        <v/>
      </c>
      <c r="S688">
        <f>IF($A688="","",COUNTIFS('Таблиця 1'!$B:$B,$A688,'Таблиця 1'!$E:$E,"Ретранслятор",'Таблиця 1'!$L:$L,"Уражено"))</f>
        <v/>
      </c>
      <c r="T688">
        <f>IF($A688="","",COUNTIFS('Таблиця 1'!$B:$B,$A688,'Таблиця 1'!$E:$E,"Вз.зв'язку",'Таблиця 1'!$L:$L,"Уражено"))</f>
        <v/>
      </c>
      <c r="U688">
        <f>IF($A688="","",COUNTIFS('Таблиця 1'!$B:$B,$A688,'Таблиця 1'!$E:$E,"ПММ",'Таблиця 1'!$L:$L,"Уражено"))</f>
        <v/>
      </c>
      <c r="V688">
        <f>IF($A688="","",COUNTIFS('Таблиця 1'!$B:$B,$A688,'Таблиця 1'!$E:$E,"ІФС",'Таблиця 1'!$L:$L,"Уражено"))</f>
        <v/>
      </c>
      <c r="W688">
        <f>IF($A688="","",COUNTIFS('Таблиця 1'!$B:$B,$A688,'Таблиця 1'!$E:$E,"Інфраструктура",'Таблиця 1'!$L:$L,"Уражено"))</f>
        <v/>
      </c>
      <c r="X688">
        <f>IF($A688="","",SUMIFS('Таблиця 1'!$K:$K,'Таблиця 1'!$B:$B,$A688))</f>
        <v/>
      </c>
    </row>
    <row r="689">
      <c r="A689" s="81">
        <f>IF(A688="","",IF(A688+1&gt;MAX('Таблиця 1'!$B:$B),"",A688+1))</f>
        <v/>
      </c>
      <c r="B689">
        <f>IF($A689="","",COUNTIFS('Таблиця 1'!$B:$B,$A689,'Таблиця 1'!$E:$E,"ЖС ВЗ",'Таблиця 1'!$L:$L,"Уражено"))</f>
        <v/>
      </c>
      <c r="C689">
        <f>IF($A689="","",COUNTIFS('Таблиця 1'!$B:$B,$A689,'Таблиця 1'!$E:$E,"Арт. Системи",'Таблиця 1'!$L:$L,"Уражено"))</f>
        <v/>
      </c>
      <c r="D689">
        <f>IF($A689="","",COUNTIFS('Таблиця 1'!$B:$B,$A689,'Таблиця 1'!$E:$E,"ОВТ",'Таблиця 1'!$L:$L,"Уражено"))</f>
        <v/>
      </c>
      <c r="E689">
        <f>IF($A689="","",COUNTIFS('Таблиця 1'!$B:$B,$A689,'Таблиця 1'!$E:$E,"ППО",'Таблиця 1'!$L:$L,"Уражено"))</f>
        <v/>
      </c>
      <c r="F689">
        <f>IF($A689="","",COUNTIFS('Таблиця 1'!$B:$B,$A689,'Таблиця 1'!$E:$E,"Рембаза",'Таблиця 1'!$L:$L,"Уражено"))</f>
        <v/>
      </c>
      <c r="G689">
        <f>IF($A689="","",COUNTIFS('Таблиця 1'!$B:$B,$A689,'Таблиця 1'!$E:$E,"Склад БК",'Таблиця 1'!$L:$L,"Уражено"))</f>
        <v/>
      </c>
      <c r="H689">
        <f>IF($A689="","",COUNTIFS('Таблиця 1'!$B:$B,$A689,'Таблиця 1'!$E:$E,"Склад ВТМ",'Таблиця 1'!$L:$L,"Уражено"))</f>
        <v/>
      </c>
      <c r="I689">
        <f>IF($A689="","",COUNTIFS('Таблиця 1'!$B:$B,$A689,'Таблиця 1'!$E:$E,"ПУ БпЛА",'Таблиця 1'!$L:$L,"Уражено"))</f>
        <v/>
      </c>
      <c r="J689">
        <f>IF($A689="","",COUNTIFS('Таблиця 1'!$B:$B,$A689,'Таблиця 1'!$E:$E,"СП",'Таблиця 1'!$L:$L,"Уражено"))</f>
        <v/>
      </c>
      <c r="K689">
        <f>IF($A689="","",COUNTIFS('Таблиця 1'!$B:$B,$A689,'Таблиця 1'!$E:$E,"КСП роти",'Таблиця 1'!$L:$L,"Уражено"))</f>
        <v/>
      </c>
      <c r="L689">
        <f>IF($A689="","",COUNTIFS('Таблиця 1'!$B:$B,$A689,'Таблиця 1'!$E:$E,"ПУ бат",'Таблиця 1'!$L:$L,"Уражено"))</f>
        <v/>
      </c>
      <c r="M689">
        <f>IF($A689="","",COUNTIFS('Таблиця 1'!$B:$B,$A689,'Таблиця 1'!$E:$E,"ПУ бриг",'Таблиця 1'!$L:$L,"Уражено"))</f>
        <v/>
      </c>
      <c r="N689">
        <f>IF($A689="","",COUNTIFS('Таблиця 1'!$B:$B,$A689,'Таблиця 1'!$E:$E,"ПУ див",'Таблиця 1'!$L:$L,"Уражено"))</f>
        <v/>
      </c>
      <c r="O689">
        <f>IF($A689="","",COUNTIFS('Таблиця 1'!$B:$B,$A689,'Таблиця 1'!$E:$E,"обл. РЕБ",'Таблиця 1'!$L:$L,"Уражено"))</f>
        <v/>
      </c>
      <c r="P689">
        <f>IF($A689="","",COUNTIFS('Таблиця 1'!$B:$B,$A689,'Таблиця 1'!$E:$E,"пос РЕБ",'Таблиця 1'!$L:$L,"Уражено"))</f>
        <v/>
      </c>
      <c r="Q689">
        <f>IF($A689="","",COUNTIFS('Таблиця 1'!$B:$B,$A689,'Таблиця 1'!$E:$E,"група РЕР",'Таблиця 1'!$L:$L,"Уражено"))</f>
        <v/>
      </c>
      <c r="R689">
        <f>IF($A689="","",COUNTIFS('Таблиця 1'!$B:$B,$A689,'Таблиця 1'!$E:$E,"РЛС КББ",'Таблиця 1'!$L:$L,"Уражено"))</f>
        <v/>
      </c>
      <c r="S689">
        <f>IF($A689="","",COUNTIFS('Таблиця 1'!$B:$B,$A689,'Таблиця 1'!$E:$E,"Ретранслятор",'Таблиця 1'!$L:$L,"Уражено"))</f>
        <v/>
      </c>
      <c r="T689">
        <f>IF($A689="","",COUNTIFS('Таблиця 1'!$B:$B,$A689,'Таблиця 1'!$E:$E,"Вз.зв'язку",'Таблиця 1'!$L:$L,"Уражено"))</f>
        <v/>
      </c>
      <c r="U689">
        <f>IF($A689="","",COUNTIFS('Таблиця 1'!$B:$B,$A689,'Таблиця 1'!$E:$E,"ПММ",'Таблиця 1'!$L:$L,"Уражено"))</f>
        <v/>
      </c>
      <c r="V689">
        <f>IF($A689="","",COUNTIFS('Таблиця 1'!$B:$B,$A689,'Таблиця 1'!$E:$E,"ІФС",'Таблиця 1'!$L:$L,"Уражено"))</f>
        <v/>
      </c>
      <c r="W689">
        <f>IF($A689="","",COUNTIFS('Таблиця 1'!$B:$B,$A689,'Таблиця 1'!$E:$E,"Інфраструктура",'Таблиця 1'!$L:$L,"Уражено"))</f>
        <v/>
      </c>
      <c r="X689">
        <f>IF($A689="","",SUMIFS('Таблиця 1'!$K:$K,'Таблиця 1'!$B:$B,$A689))</f>
        <v/>
      </c>
    </row>
    <row r="690">
      <c r="A690" s="81">
        <f>IF(A689="","",IF(A689+1&gt;MAX('Таблиця 1'!$B:$B),"",A689+1))</f>
        <v/>
      </c>
      <c r="B690">
        <f>IF($A690="","",COUNTIFS('Таблиця 1'!$B:$B,$A690,'Таблиця 1'!$E:$E,"ЖС ВЗ",'Таблиця 1'!$L:$L,"Уражено"))</f>
        <v/>
      </c>
      <c r="C690">
        <f>IF($A690="","",COUNTIFS('Таблиця 1'!$B:$B,$A690,'Таблиця 1'!$E:$E,"Арт. Системи",'Таблиця 1'!$L:$L,"Уражено"))</f>
        <v/>
      </c>
      <c r="D690">
        <f>IF($A690="","",COUNTIFS('Таблиця 1'!$B:$B,$A690,'Таблиця 1'!$E:$E,"ОВТ",'Таблиця 1'!$L:$L,"Уражено"))</f>
        <v/>
      </c>
      <c r="E690">
        <f>IF($A690="","",COUNTIFS('Таблиця 1'!$B:$B,$A690,'Таблиця 1'!$E:$E,"ППО",'Таблиця 1'!$L:$L,"Уражено"))</f>
        <v/>
      </c>
      <c r="F690">
        <f>IF($A690="","",COUNTIFS('Таблиця 1'!$B:$B,$A690,'Таблиця 1'!$E:$E,"Рембаза",'Таблиця 1'!$L:$L,"Уражено"))</f>
        <v/>
      </c>
      <c r="G690">
        <f>IF($A690="","",COUNTIFS('Таблиця 1'!$B:$B,$A690,'Таблиця 1'!$E:$E,"Склад БК",'Таблиця 1'!$L:$L,"Уражено"))</f>
        <v/>
      </c>
      <c r="H690">
        <f>IF($A690="","",COUNTIFS('Таблиця 1'!$B:$B,$A690,'Таблиця 1'!$E:$E,"Склад ВТМ",'Таблиця 1'!$L:$L,"Уражено"))</f>
        <v/>
      </c>
      <c r="I690">
        <f>IF($A690="","",COUNTIFS('Таблиця 1'!$B:$B,$A690,'Таблиця 1'!$E:$E,"ПУ БпЛА",'Таблиця 1'!$L:$L,"Уражено"))</f>
        <v/>
      </c>
      <c r="J690">
        <f>IF($A690="","",COUNTIFS('Таблиця 1'!$B:$B,$A690,'Таблиця 1'!$E:$E,"СП",'Таблиця 1'!$L:$L,"Уражено"))</f>
        <v/>
      </c>
      <c r="K690">
        <f>IF($A690="","",COUNTIFS('Таблиця 1'!$B:$B,$A690,'Таблиця 1'!$E:$E,"КСП роти",'Таблиця 1'!$L:$L,"Уражено"))</f>
        <v/>
      </c>
      <c r="L690">
        <f>IF($A690="","",COUNTIFS('Таблиця 1'!$B:$B,$A690,'Таблиця 1'!$E:$E,"ПУ бат",'Таблиця 1'!$L:$L,"Уражено"))</f>
        <v/>
      </c>
      <c r="M690">
        <f>IF($A690="","",COUNTIFS('Таблиця 1'!$B:$B,$A690,'Таблиця 1'!$E:$E,"ПУ бриг",'Таблиця 1'!$L:$L,"Уражено"))</f>
        <v/>
      </c>
      <c r="N690">
        <f>IF($A690="","",COUNTIFS('Таблиця 1'!$B:$B,$A690,'Таблиця 1'!$E:$E,"ПУ див",'Таблиця 1'!$L:$L,"Уражено"))</f>
        <v/>
      </c>
      <c r="O690">
        <f>IF($A690="","",COUNTIFS('Таблиця 1'!$B:$B,$A690,'Таблиця 1'!$E:$E,"обл. РЕБ",'Таблиця 1'!$L:$L,"Уражено"))</f>
        <v/>
      </c>
      <c r="P690">
        <f>IF($A690="","",COUNTIFS('Таблиця 1'!$B:$B,$A690,'Таблиця 1'!$E:$E,"пос РЕБ",'Таблиця 1'!$L:$L,"Уражено"))</f>
        <v/>
      </c>
      <c r="Q690">
        <f>IF($A690="","",COUNTIFS('Таблиця 1'!$B:$B,$A690,'Таблиця 1'!$E:$E,"група РЕР",'Таблиця 1'!$L:$L,"Уражено"))</f>
        <v/>
      </c>
      <c r="R690">
        <f>IF($A690="","",COUNTIFS('Таблиця 1'!$B:$B,$A690,'Таблиця 1'!$E:$E,"РЛС КББ",'Таблиця 1'!$L:$L,"Уражено"))</f>
        <v/>
      </c>
      <c r="S690">
        <f>IF($A690="","",COUNTIFS('Таблиця 1'!$B:$B,$A690,'Таблиця 1'!$E:$E,"Ретранслятор",'Таблиця 1'!$L:$L,"Уражено"))</f>
        <v/>
      </c>
      <c r="T690">
        <f>IF($A690="","",COUNTIFS('Таблиця 1'!$B:$B,$A690,'Таблиця 1'!$E:$E,"Вз.зв'язку",'Таблиця 1'!$L:$L,"Уражено"))</f>
        <v/>
      </c>
      <c r="U690">
        <f>IF($A690="","",COUNTIFS('Таблиця 1'!$B:$B,$A690,'Таблиця 1'!$E:$E,"ПММ",'Таблиця 1'!$L:$L,"Уражено"))</f>
        <v/>
      </c>
      <c r="V690">
        <f>IF($A690="","",COUNTIFS('Таблиця 1'!$B:$B,$A690,'Таблиця 1'!$E:$E,"ІФС",'Таблиця 1'!$L:$L,"Уражено"))</f>
        <v/>
      </c>
      <c r="W690">
        <f>IF($A690="","",COUNTIFS('Таблиця 1'!$B:$B,$A690,'Таблиця 1'!$E:$E,"Інфраструктура",'Таблиця 1'!$L:$L,"Уражено"))</f>
        <v/>
      </c>
      <c r="X690">
        <f>IF($A690="","",SUMIFS('Таблиця 1'!$K:$K,'Таблиця 1'!$B:$B,$A690))</f>
        <v/>
      </c>
    </row>
    <row r="691">
      <c r="A691" s="81">
        <f>IF(A690="","",IF(A690+1&gt;MAX('Таблиця 1'!$B:$B),"",A690+1))</f>
        <v/>
      </c>
      <c r="B691">
        <f>IF($A691="","",COUNTIFS('Таблиця 1'!$B:$B,$A691,'Таблиця 1'!$E:$E,"ЖС ВЗ",'Таблиця 1'!$L:$L,"Уражено"))</f>
        <v/>
      </c>
      <c r="C691">
        <f>IF($A691="","",COUNTIFS('Таблиця 1'!$B:$B,$A691,'Таблиця 1'!$E:$E,"Арт. Системи",'Таблиця 1'!$L:$L,"Уражено"))</f>
        <v/>
      </c>
      <c r="D691">
        <f>IF($A691="","",COUNTIFS('Таблиця 1'!$B:$B,$A691,'Таблиця 1'!$E:$E,"ОВТ",'Таблиця 1'!$L:$L,"Уражено"))</f>
        <v/>
      </c>
      <c r="E691">
        <f>IF($A691="","",COUNTIFS('Таблиця 1'!$B:$B,$A691,'Таблиця 1'!$E:$E,"ППО",'Таблиця 1'!$L:$L,"Уражено"))</f>
        <v/>
      </c>
      <c r="F691">
        <f>IF($A691="","",COUNTIFS('Таблиця 1'!$B:$B,$A691,'Таблиця 1'!$E:$E,"Рембаза",'Таблиця 1'!$L:$L,"Уражено"))</f>
        <v/>
      </c>
      <c r="G691">
        <f>IF($A691="","",COUNTIFS('Таблиця 1'!$B:$B,$A691,'Таблиця 1'!$E:$E,"Склад БК",'Таблиця 1'!$L:$L,"Уражено"))</f>
        <v/>
      </c>
      <c r="H691">
        <f>IF($A691="","",COUNTIFS('Таблиця 1'!$B:$B,$A691,'Таблиця 1'!$E:$E,"Склад ВТМ",'Таблиця 1'!$L:$L,"Уражено"))</f>
        <v/>
      </c>
      <c r="I691">
        <f>IF($A691="","",COUNTIFS('Таблиця 1'!$B:$B,$A691,'Таблиця 1'!$E:$E,"ПУ БпЛА",'Таблиця 1'!$L:$L,"Уражено"))</f>
        <v/>
      </c>
      <c r="J691">
        <f>IF($A691="","",COUNTIFS('Таблиця 1'!$B:$B,$A691,'Таблиця 1'!$E:$E,"СП",'Таблиця 1'!$L:$L,"Уражено"))</f>
        <v/>
      </c>
      <c r="K691">
        <f>IF($A691="","",COUNTIFS('Таблиця 1'!$B:$B,$A691,'Таблиця 1'!$E:$E,"КСП роти",'Таблиця 1'!$L:$L,"Уражено"))</f>
        <v/>
      </c>
      <c r="L691">
        <f>IF($A691="","",COUNTIFS('Таблиця 1'!$B:$B,$A691,'Таблиця 1'!$E:$E,"ПУ бат",'Таблиця 1'!$L:$L,"Уражено"))</f>
        <v/>
      </c>
      <c r="M691">
        <f>IF($A691="","",COUNTIFS('Таблиця 1'!$B:$B,$A691,'Таблиця 1'!$E:$E,"ПУ бриг",'Таблиця 1'!$L:$L,"Уражено"))</f>
        <v/>
      </c>
      <c r="N691">
        <f>IF($A691="","",COUNTIFS('Таблиця 1'!$B:$B,$A691,'Таблиця 1'!$E:$E,"ПУ див",'Таблиця 1'!$L:$L,"Уражено"))</f>
        <v/>
      </c>
      <c r="O691">
        <f>IF($A691="","",COUNTIFS('Таблиця 1'!$B:$B,$A691,'Таблиця 1'!$E:$E,"обл. РЕБ",'Таблиця 1'!$L:$L,"Уражено"))</f>
        <v/>
      </c>
      <c r="P691">
        <f>IF($A691="","",COUNTIFS('Таблиця 1'!$B:$B,$A691,'Таблиця 1'!$E:$E,"пос РЕБ",'Таблиця 1'!$L:$L,"Уражено"))</f>
        <v/>
      </c>
      <c r="Q691">
        <f>IF($A691="","",COUNTIFS('Таблиця 1'!$B:$B,$A691,'Таблиця 1'!$E:$E,"група РЕР",'Таблиця 1'!$L:$L,"Уражено"))</f>
        <v/>
      </c>
      <c r="R691">
        <f>IF($A691="","",COUNTIFS('Таблиця 1'!$B:$B,$A691,'Таблиця 1'!$E:$E,"РЛС КББ",'Таблиця 1'!$L:$L,"Уражено"))</f>
        <v/>
      </c>
      <c r="S691">
        <f>IF($A691="","",COUNTIFS('Таблиця 1'!$B:$B,$A691,'Таблиця 1'!$E:$E,"Ретранслятор",'Таблиця 1'!$L:$L,"Уражено"))</f>
        <v/>
      </c>
      <c r="T691">
        <f>IF($A691="","",COUNTIFS('Таблиця 1'!$B:$B,$A691,'Таблиця 1'!$E:$E,"Вз.зв'язку",'Таблиця 1'!$L:$L,"Уражено"))</f>
        <v/>
      </c>
      <c r="U691">
        <f>IF($A691="","",COUNTIFS('Таблиця 1'!$B:$B,$A691,'Таблиця 1'!$E:$E,"ПММ",'Таблиця 1'!$L:$L,"Уражено"))</f>
        <v/>
      </c>
      <c r="V691">
        <f>IF($A691="","",COUNTIFS('Таблиця 1'!$B:$B,$A691,'Таблиця 1'!$E:$E,"ІФС",'Таблиця 1'!$L:$L,"Уражено"))</f>
        <v/>
      </c>
      <c r="W691">
        <f>IF($A691="","",COUNTIFS('Таблиця 1'!$B:$B,$A691,'Таблиця 1'!$E:$E,"Інфраструктура",'Таблиця 1'!$L:$L,"Уражено"))</f>
        <v/>
      </c>
      <c r="X691">
        <f>IF($A691="","",SUMIFS('Таблиця 1'!$K:$K,'Таблиця 1'!$B:$B,$A691))</f>
        <v/>
      </c>
    </row>
    <row r="692">
      <c r="A692" s="81">
        <f>IF(A691="","",IF(A691+1&gt;MAX('Таблиця 1'!$B:$B),"",A691+1))</f>
        <v/>
      </c>
      <c r="B692">
        <f>IF($A692="","",COUNTIFS('Таблиця 1'!$B:$B,$A692,'Таблиця 1'!$E:$E,"ЖС ВЗ",'Таблиця 1'!$L:$L,"Уражено"))</f>
        <v/>
      </c>
      <c r="C692">
        <f>IF($A692="","",COUNTIFS('Таблиця 1'!$B:$B,$A692,'Таблиця 1'!$E:$E,"Арт. Системи",'Таблиця 1'!$L:$L,"Уражено"))</f>
        <v/>
      </c>
      <c r="D692">
        <f>IF($A692="","",COUNTIFS('Таблиця 1'!$B:$B,$A692,'Таблиця 1'!$E:$E,"ОВТ",'Таблиця 1'!$L:$L,"Уражено"))</f>
        <v/>
      </c>
      <c r="E692">
        <f>IF($A692="","",COUNTIFS('Таблиця 1'!$B:$B,$A692,'Таблиця 1'!$E:$E,"ППО",'Таблиця 1'!$L:$L,"Уражено"))</f>
        <v/>
      </c>
      <c r="F692">
        <f>IF($A692="","",COUNTIFS('Таблиця 1'!$B:$B,$A692,'Таблиця 1'!$E:$E,"Рембаза",'Таблиця 1'!$L:$L,"Уражено"))</f>
        <v/>
      </c>
      <c r="G692">
        <f>IF($A692="","",COUNTIFS('Таблиця 1'!$B:$B,$A692,'Таблиця 1'!$E:$E,"Склад БК",'Таблиця 1'!$L:$L,"Уражено"))</f>
        <v/>
      </c>
      <c r="H692">
        <f>IF($A692="","",COUNTIFS('Таблиця 1'!$B:$B,$A692,'Таблиця 1'!$E:$E,"Склад ВТМ",'Таблиця 1'!$L:$L,"Уражено"))</f>
        <v/>
      </c>
      <c r="I692">
        <f>IF($A692="","",COUNTIFS('Таблиця 1'!$B:$B,$A692,'Таблиця 1'!$E:$E,"ПУ БпЛА",'Таблиця 1'!$L:$L,"Уражено"))</f>
        <v/>
      </c>
      <c r="J692">
        <f>IF($A692="","",COUNTIFS('Таблиця 1'!$B:$B,$A692,'Таблиця 1'!$E:$E,"СП",'Таблиця 1'!$L:$L,"Уражено"))</f>
        <v/>
      </c>
      <c r="K692">
        <f>IF($A692="","",COUNTIFS('Таблиця 1'!$B:$B,$A692,'Таблиця 1'!$E:$E,"КСП роти",'Таблиця 1'!$L:$L,"Уражено"))</f>
        <v/>
      </c>
      <c r="L692">
        <f>IF($A692="","",COUNTIFS('Таблиця 1'!$B:$B,$A692,'Таблиця 1'!$E:$E,"ПУ бат",'Таблиця 1'!$L:$L,"Уражено"))</f>
        <v/>
      </c>
      <c r="M692">
        <f>IF($A692="","",COUNTIFS('Таблиця 1'!$B:$B,$A692,'Таблиця 1'!$E:$E,"ПУ бриг",'Таблиця 1'!$L:$L,"Уражено"))</f>
        <v/>
      </c>
      <c r="N692">
        <f>IF($A692="","",COUNTIFS('Таблиця 1'!$B:$B,$A692,'Таблиця 1'!$E:$E,"ПУ див",'Таблиця 1'!$L:$L,"Уражено"))</f>
        <v/>
      </c>
      <c r="O692">
        <f>IF($A692="","",COUNTIFS('Таблиця 1'!$B:$B,$A692,'Таблиця 1'!$E:$E,"обл. РЕБ",'Таблиця 1'!$L:$L,"Уражено"))</f>
        <v/>
      </c>
      <c r="P692">
        <f>IF($A692="","",COUNTIFS('Таблиця 1'!$B:$B,$A692,'Таблиця 1'!$E:$E,"пос РЕБ",'Таблиця 1'!$L:$L,"Уражено"))</f>
        <v/>
      </c>
      <c r="Q692">
        <f>IF($A692="","",COUNTIFS('Таблиця 1'!$B:$B,$A692,'Таблиця 1'!$E:$E,"група РЕР",'Таблиця 1'!$L:$L,"Уражено"))</f>
        <v/>
      </c>
      <c r="R692">
        <f>IF($A692="","",COUNTIFS('Таблиця 1'!$B:$B,$A692,'Таблиця 1'!$E:$E,"РЛС КББ",'Таблиця 1'!$L:$L,"Уражено"))</f>
        <v/>
      </c>
      <c r="S692">
        <f>IF($A692="","",COUNTIFS('Таблиця 1'!$B:$B,$A692,'Таблиця 1'!$E:$E,"Ретранслятор",'Таблиця 1'!$L:$L,"Уражено"))</f>
        <v/>
      </c>
      <c r="T692">
        <f>IF($A692="","",COUNTIFS('Таблиця 1'!$B:$B,$A692,'Таблиця 1'!$E:$E,"Вз.зв'язку",'Таблиця 1'!$L:$L,"Уражено"))</f>
        <v/>
      </c>
      <c r="U692">
        <f>IF($A692="","",COUNTIFS('Таблиця 1'!$B:$B,$A692,'Таблиця 1'!$E:$E,"ПММ",'Таблиця 1'!$L:$L,"Уражено"))</f>
        <v/>
      </c>
      <c r="V692">
        <f>IF($A692="","",COUNTIFS('Таблиця 1'!$B:$B,$A692,'Таблиця 1'!$E:$E,"ІФС",'Таблиця 1'!$L:$L,"Уражено"))</f>
        <v/>
      </c>
      <c r="W692">
        <f>IF($A692="","",COUNTIFS('Таблиця 1'!$B:$B,$A692,'Таблиця 1'!$E:$E,"Інфраструктура",'Таблиця 1'!$L:$L,"Уражено"))</f>
        <v/>
      </c>
      <c r="X692">
        <f>IF($A692="","",SUMIFS('Таблиця 1'!$K:$K,'Таблиця 1'!$B:$B,$A692))</f>
        <v/>
      </c>
    </row>
    <row r="693">
      <c r="A693" s="81">
        <f>IF(A692="","",IF(A692+1&gt;MAX('Таблиця 1'!$B:$B),"",A692+1))</f>
        <v/>
      </c>
      <c r="B693">
        <f>IF($A693="","",COUNTIFS('Таблиця 1'!$B:$B,$A693,'Таблиця 1'!$E:$E,"ЖС ВЗ",'Таблиця 1'!$L:$L,"Уражено"))</f>
        <v/>
      </c>
      <c r="C693">
        <f>IF($A693="","",COUNTIFS('Таблиця 1'!$B:$B,$A693,'Таблиця 1'!$E:$E,"Арт. Системи",'Таблиця 1'!$L:$L,"Уражено"))</f>
        <v/>
      </c>
      <c r="D693">
        <f>IF($A693="","",COUNTIFS('Таблиця 1'!$B:$B,$A693,'Таблиця 1'!$E:$E,"ОВТ",'Таблиця 1'!$L:$L,"Уражено"))</f>
        <v/>
      </c>
      <c r="E693">
        <f>IF($A693="","",COUNTIFS('Таблиця 1'!$B:$B,$A693,'Таблиця 1'!$E:$E,"ППО",'Таблиця 1'!$L:$L,"Уражено"))</f>
        <v/>
      </c>
      <c r="F693">
        <f>IF($A693="","",COUNTIFS('Таблиця 1'!$B:$B,$A693,'Таблиця 1'!$E:$E,"Рембаза",'Таблиця 1'!$L:$L,"Уражено"))</f>
        <v/>
      </c>
      <c r="G693">
        <f>IF($A693="","",COUNTIFS('Таблиця 1'!$B:$B,$A693,'Таблиця 1'!$E:$E,"Склад БК",'Таблиця 1'!$L:$L,"Уражено"))</f>
        <v/>
      </c>
      <c r="H693">
        <f>IF($A693="","",COUNTIFS('Таблиця 1'!$B:$B,$A693,'Таблиця 1'!$E:$E,"Склад ВТМ",'Таблиця 1'!$L:$L,"Уражено"))</f>
        <v/>
      </c>
      <c r="I693">
        <f>IF($A693="","",COUNTIFS('Таблиця 1'!$B:$B,$A693,'Таблиця 1'!$E:$E,"ПУ БпЛА",'Таблиця 1'!$L:$L,"Уражено"))</f>
        <v/>
      </c>
      <c r="J693">
        <f>IF($A693="","",COUNTIFS('Таблиця 1'!$B:$B,$A693,'Таблиця 1'!$E:$E,"СП",'Таблиця 1'!$L:$L,"Уражено"))</f>
        <v/>
      </c>
      <c r="K693">
        <f>IF($A693="","",COUNTIFS('Таблиця 1'!$B:$B,$A693,'Таблиця 1'!$E:$E,"КСП роти",'Таблиця 1'!$L:$L,"Уражено"))</f>
        <v/>
      </c>
      <c r="L693">
        <f>IF($A693="","",COUNTIFS('Таблиця 1'!$B:$B,$A693,'Таблиця 1'!$E:$E,"ПУ бат",'Таблиця 1'!$L:$L,"Уражено"))</f>
        <v/>
      </c>
      <c r="M693">
        <f>IF($A693="","",COUNTIFS('Таблиця 1'!$B:$B,$A693,'Таблиця 1'!$E:$E,"ПУ бриг",'Таблиця 1'!$L:$L,"Уражено"))</f>
        <v/>
      </c>
      <c r="N693">
        <f>IF($A693="","",COUNTIFS('Таблиця 1'!$B:$B,$A693,'Таблиця 1'!$E:$E,"ПУ див",'Таблиця 1'!$L:$L,"Уражено"))</f>
        <v/>
      </c>
      <c r="O693">
        <f>IF($A693="","",COUNTIFS('Таблиця 1'!$B:$B,$A693,'Таблиця 1'!$E:$E,"обл. РЕБ",'Таблиця 1'!$L:$L,"Уражено"))</f>
        <v/>
      </c>
      <c r="P693">
        <f>IF($A693="","",COUNTIFS('Таблиця 1'!$B:$B,$A693,'Таблиця 1'!$E:$E,"пос РЕБ",'Таблиця 1'!$L:$L,"Уражено"))</f>
        <v/>
      </c>
      <c r="Q693">
        <f>IF($A693="","",COUNTIFS('Таблиця 1'!$B:$B,$A693,'Таблиця 1'!$E:$E,"група РЕР",'Таблиця 1'!$L:$L,"Уражено"))</f>
        <v/>
      </c>
      <c r="R693">
        <f>IF($A693="","",COUNTIFS('Таблиця 1'!$B:$B,$A693,'Таблиця 1'!$E:$E,"РЛС КББ",'Таблиця 1'!$L:$L,"Уражено"))</f>
        <v/>
      </c>
      <c r="S693">
        <f>IF($A693="","",COUNTIFS('Таблиця 1'!$B:$B,$A693,'Таблиця 1'!$E:$E,"Ретранслятор",'Таблиця 1'!$L:$L,"Уражено"))</f>
        <v/>
      </c>
      <c r="T693">
        <f>IF($A693="","",COUNTIFS('Таблиця 1'!$B:$B,$A693,'Таблиця 1'!$E:$E,"Вз.зв'язку",'Таблиця 1'!$L:$L,"Уражено"))</f>
        <v/>
      </c>
      <c r="U693">
        <f>IF($A693="","",COUNTIFS('Таблиця 1'!$B:$B,$A693,'Таблиця 1'!$E:$E,"ПММ",'Таблиця 1'!$L:$L,"Уражено"))</f>
        <v/>
      </c>
      <c r="V693">
        <f>IF($A693="","",COUNTIFS('Таблиця 1'!$B:$B,$A693,'Таблиця 1'!$E:$E,"ІФС",'Таблиця 1'!$L:$L,"Уражено"))</f>
        <v/>
      </c>
      <c r="W693">
        <f>IF($A693="","",COUNTIFS('Таблиця 1'!$B:$B,$A693,'Таблиця 1'!$E:$E,"Інфраструктура",'Таблиця 1'!$L:$L,"Уражено"))</f>
        <v/>
      </c>
      <c r="X693">
        <f>IF($A693="","",SUMIFS('Таблиця 1'!$K:$K,'Таблиця 1'!$B:$B,$A693))</f>
        <v/>
      </c>
    </row>
    <row r="694">
      <c r="A694" s="81">
        <f>IF(A693="","",IF(A693+1&gt;MAX('Таблиця 1'!$B:$B),"",A693+1))</f>
        <v/>
      </c>
      <c r="B694">
        <f>IF($A694="","",COUNTIFS('Таблиця 1'!$B:$B,$A694,'Таблиця 1'!$E:$E,"ЖС ВЗ",'Таблиця 1'!$L:$L,"Уражено"))</f>
        <v/>
      </c>
      <c r="C694">
        <f>IF($A694="","",COUNTIFS('Таблиця 1'!$B:$B,$A694,'Таблиця 1'!$E:$E,"Арт. Системи",'Таблиця 1'!$L:$L,"Уражено"))</f>
        <v/>
      </c>
      <c r="D694">
        <f>IF($A694="","",COUNTIFS('Таблиця 1'!$B:$B,$A694,'Таблиця 1'!$E:$E,"ОВТ",'Таблиця 1'!$L:$L,"Уражено"))</f>
        <v/>
      </c>
      <c r="E694">
        <f>IF($A694="","",COUNTIFS('Таблиця 1'!$B:$B,$A694,'Таблиця 1'!$E:$E,"ППО",'Таблиця 1'!$L:$L,"Уражено"))</f>
        <v/>
      </c>
      <c r="F694">
        <f>IF($A694="","",COUNTIFS('Таблиця 1'!$B:$B,$A694,'Таблиця 1'!$E:$E,"Рембаза",'Таблиця 1'!$L:$L,"Уражено"))</f>
        <v/>
      </c>
      <c r="G694">
        <f>IF($A694="","",COUNTIFS('Таблиця 1'!$B:$B,$A694,'Таблиця 1'!$E:$E,"Склад БК",'Таблиця 1'!$L:$L,"Уражено"))</f>
        <v/>
      </c>
      <c r="H694">
        <f>IF($A694="","",COUNTIFS('Таблиця 1'!$B:$B,$A694,'Таблиця 1'!$E:$E,"Склад ВТМ",'Таблиця 1'!$L:$L,"Уражено"))</f>
        <v/>
      </c>
      <c r="I694">
        <f>IF($A694="","",COUNTIFS('Таблиця 1'!$B:$B,$A694,'Таблиця 1'!$E:$E,"ПУ БпЛА",'Таблиця 1'!$L:$L,"Уражено"))</f>
        <v/>
      </c>
      <c r="J694">
        <f>IF($A694="","",COUNTIFS('Таблиця 1'!$B:$B,$A694,'Таблиця 1'!$E:$E,"СП",'Таблиця 1'!$L:$L,"Уражено"))</f>
        <v/>
      </c>
      <c r="K694">
        <f>IF($A694="","",COUNTIFS('Таблиця 1'!$B:$B,$A694,'Таблиця 1'!$E:$E,"КСП роти",'Таблиця 1'!$L:$L,"Уражено"))</f>
        <v/>
      </c>
      <c r="L694">
        <f>IF($A694="","",COUNTIFS('Таблиця 1'!$B:$B,$A694,'Таблиця 1'!$E:$E,"ПУ бат",'Таблиця 1'!$L:$L,"Уражено"))</f>
        <v/>
      </c>
      <c r="M694">
        <f>IF($A694="","",COUNTIFS('Таблиця 1'!$B:$B,$A694,'Таблиця 1'!$E:$E,"ПУ бриг",'Таблиця 1'!$L:$L,"Уражено"))</f>
        <v/>
      </c>
      <c r="N694">
        <f>IF($A694="","",COUNTIFS('Таблиця 1'!$B:$B,$A694,'Таблиця 1'!$E:$E,"ПУ див",'Таблиця 1'!$L:$L,"Уражено"))</f>
        <v/>
      </c>
      <c r="O694">
        <f>IF($A694="","",COUNTIFS('Таблиця 1'!$B:$B,$A694,'Таблиця 1'!$E:$E,"обл. РЕБ",'Таблиця 1'!$L:$L,"Уражено"))</f>
        <v/>
      </c>
      <c r="P694">
        <f>IF($A694="","",COUNTIFS('Таблиця 1'!$B:$B,$A694,'Таблиця 1'!$E:$E,"пос РЕБ",'Таблиця 1'!$L:$L,"Уражено"))</f>
        <v/>
      </c>
      <c r="Q694">
        <f>IF($A694="","",COUNTIFS('Таблиця 1'!$B:$B,$A694,'Таблиця 1'!$E:$E,"група РЕР",'Таблиця 1'!$L:$L,"Уражено"))</f>
        <v/>
      </c>
      <c r="R694">
        <f>IF($A694="","",COUNTIFS('Таблиця 1'!$B:$B,$A694,'Таблиця 1'!$E:$E,"РЛС КББ",'Таблиця 1'!$L:$L,"Уражено"))</f>
        <v/>
      </c>
      <c r="S694">
        <f>IF($A694="","",COUNTIFS('Таблиця 1'!$B:$B,$A694,'Таблиця 1'!$E:$E,"Ретранслятор",'Таблиця 1'!$L:$L,"Уражено"))</f>
        <v/>
      </c>
      <c r="T694">
        <f>IF($A694="","",COUNTIFS('Таблиця 1'!$B:$B,$A694,'Таблиця 1'!$E:$E,"Вз.зв'язку",'Таблиця 1'!$L:$L,"Уражено"))</f>
        <v/>
      </c>
      <c r="U694">
        <f>IF($A694="","",COUNTIFS('Таблиця 1'!$B:$B,$A694,'Таблиця 1'!$E:$E,"ПММ",'Таблиця 1'!$L:$L,"Уражено"))</f>
        <v/>
      </c>
      <c r="V694">
        <f>IF($A694="","",COUNTIFS('Таблиця 1'!$B:$B,$A694,'Таблиця 1'!$E:$E,"ІФС",'Таблиця 1'!$L:$L,"Уражено"))</f>
        <v/>
      </c>
      <c r="W694">
        <f>IF($A694="","",COUNTIFS('Таблиця 1'!$B:$B,$A694,'Таблиця 1'!$E:$E,"Інфраструктура",'Таблиця 1'!$L:$L,"Уражено"))</f>
        <v/>
      </c>
      <c r="X694">
        <f>IF($A694="","",SUMIFS('Таблиця 1'!$K:$K,'Таблиця 1'!$B:$B,$A694))</f>
        <v/>
      </c>
    </row>
    <row r="695">
      <c r="A695" s="81">
        <f>IF(A694="","",IF(A694+1&gt;MAX('Таблиця 1'!$B:$B),"",A694+1))</f>
        <v/>
      </c>
      <c r="B695">
        <f>IF($A695="","",COUNTIFS('Таблиця 1'!$B:$B,$A695,'Таблиця 1'!$E:$E,"ЖС ВЗ",'Таблиця 1'!$L:$L,"Уражено"))</f>
        <v/>
      </c>
      <c r="C695">
        <f>IF($A695="","",COUNTIFS('Таблиця 1'!$B:$B,$A695,'Таблиця 1'!$E:$E,"Арт. Системи",'Таблиця 1'!$L:$L,"Уражено"))</f>
        <v/>
      </c>
      <c r="D695">
        <f>IF($A695="","",COUNTIFS('Таблиця 1'!$B:$B,$A695,'Таблиця 1'!$E:$E,"ОВТ",'Таблиця 1'!$L:$L,"Уражено"))</f>
        <v/>
      </c>
      <c r="E695">
        <f>IF($A695="","",COUNTIFS('Таблиця 1'!$B:$B,$A695,'Таблиця 1'!$E:$E,"ППО",'Таблиця 1'!$L:$L,"Уражено"))</f>
        <v/>
      </c>
      <c r="F695">
        <f>IF($A695="","",COUNTIFS('Таблиця 1'!$B:$B,$A695,'Таблиця 1'!$E:$E,"Рембаза",'Таблиця 1'!$L:$L,"Уражено"))</f>
        <v/>
      </c>
      <c r="G695">
        <f>IF($A695="","",COUNTIFS('Таблиця 1'!$B:$B,$A695,'Таблиця 1'!$E:$E,"Склад БК",'Таблиця 1'!$L:$L,"Уражено"))</f>
        <v/>
      </c>
      <c r="H695">
        <f>IF($A695="","",COUNTIFS('Таблиця 1'!$B:$B,$A695,'Таблиця 1'!$E:$E,"Склад ВТМ",'Таблиця 1'!$L:$L,"Уражено"))</f>
        <v/>
      </c>
      <c r="I695">
        <f>IF($A695="","",COUNTIFS('Таблиця 1'!$B:$B,$A695,'Таблиця 1'!$E:$E,"ПУ БпЛА",'Таблиця 1'!$L:$L,"Уражено"))</f>
        <v/>
      </c>
      <c r="J695">
        <f>IF($A695="","",COUNTIFS('Таблиця 1'!$B:$B,$A695,'Таблиця 1'!$E:$E,"СП",'Таблиця 1'!$L:$L,"Уражено"))</f>
        <v/>
      </c>
      <c r="K695">
        <f>IF($A695="","",COUNTIFS('Таблиця 1'!$B:$B,$A695,'Таблиця 1'!$E:$E,"КСП роти",'Таблиця 1'!$L:$L,"Уражено"))</f>
        <v/>
      </c>
      <c r="L695">
        <f>IF($A695="","",COUNTIFS('Таблиця 1'!$B:$B,$A695,'Таблиця 1'!$E:$E,"ПУ бат",'Таблиця 1'!$L:$L,"Уражено"))</f>
        <v/>
      </c>
      <c r="M695">
        <f>IF($A695="","",COUNTIFS('Таблиця 1'!$B:$B,$A695,'Таблиця 1'!$E:$E,"ПУ бриг",'Таблиця 1'!$L:$L,"Уражено"))</f>
        <v/>
      </c>
      <c r="N695">
        <f>IF($A695="","",COUNTIFS('Таблиця 1'!$B:$B,$A695,'Таблиця 1'!$E:$E,"ПУ див",'Таблиця 1'!$L:$L,"Уражено"))</f>
        <v/>
      </c>
      <c r="O695">
        <f>IF($A695="","",COUNTIFS('Таблиця 1'!$B:$B,$A695,'Таблиця 1'!$E:$E,"обл. РЕБ",'Таблиця 1'!$L:$L,"Уражено"))</f>
        <v/>
      </c>
      <c r="P695">
        <f>IF($A695="","",COUNTIFS('Таблиця 1'!$B:$B,$A695,'Таблиця 1'!$E:$E,"пос РЕБ",'Таблиця 1'!$L:$L,"Уражено"))</f>
        <v/>
      </c>
      <c r="Q695">
        <f>IF($A695="","",COUNTIFS('Таблиця 1'!$B:$B,$A695,'Таблиця 1'!$E:$E,"група РЕР",'Таблиця 1'!$L:$L,"Уражено"))</f>
        <v/>
      </c>
      <c r="R695">
        <f>IF($A695="","",COUNTIFS('Таблиця 1'!$B:$B,$A695,'Таблиця 1'!$E:$E,"РЛС КББ",'Таблиця 1'!$L:$L,"Уражено"))</f>
        <v/>
      </c>
      <c r="S695">
        <f>IF($A695="","",COUNTIFS('Таблиця 1'!$B:$B,$A695,'Таблиця 1'!$E:$E,"Ретранслятор",'Таблиця 1'!$L:$L,"Уражено"))</f>
        <v/>
      </c>
      <c r="T695">
        <f>IF($A695="","",COUNTIFS('Таблиця 1'!$B:$B,$A695,'Таблиця 1'!$E:$E,"Вз.зв'язку",'Таблиця 1'!$L:$L,"Уражено"))</f>
        <v/>
      </c>
      <c r="U695">
        <f>IF($A695="","",COUNTIFS('Таблиця 1'!$B:$B,$A695,'Таблиця 1'!$E:$E,"ПММ",'Таблиця 1'!$L:$L,"Уражено"))</f>
        <v/>
      </c>
      <c r="V695">
        <f>IF($A695="","",COUNTIFS('Таблиця 1'!$B:$B,$A695,'Таблиця 1'!$E:$E,"ІФС",'Таблиця 1'!$L:$L,"Уражено"))</f>
        <v/>
      </c>
      <c r="W695">
        <f>IF($A695="","",COUNTIFS('Таблиця 1'!$B:$B,$A695,'Таблиця 1'!$E:$E,"Інфраструктура",'Таблиця 1'!$L:$L,"Уражено"))</f>
        <v/>
      </c>
      <c r="X695">
        <f>IF($A695="","",SUMIFS('Таблиця 1'!$K:$K,'Таблиця 1'!$B:$B,$A695))</f>
        <v/>
      </c>
    </row>
    <row r="696">
      <c r="A696" s="81">
        <f>IF(A695="","",IF(A695+1&gt;MAX('Таблиця 1'!$B:$B),"",A695+1))</f>
        <v/>
      </c>
      <c r="B696">
        <f>IF($A696="","",COUNTIFS('Таблиця 1'!$B:$B,$A696,'Таблиця 1'!$E:$E,"ЖС ВЗ",'Таблиця 1'!$L:$L,"Уражено"))</f>
        <v/>
      </c>
      <c r="C696">
        <f>IF($A696="","",COUNTIFS('Таблиця 1'!$B:$B,$A696,'Таблиця 1'!$E:$E,"Арт. Системи",'Таблиця 1'!$L:$L,"Уражено"))</f>
        <v/>
      </c>
      <c r="D696">
        <f>IF($A696="","",COUNTIFS('Таблиця 1'!$B:$B,$A696,'Таблиця 1'!$E:$E,"ОВТ",'Таблиця 1'!$L:$L,"Уражено"))</f>
        <v/>
      </c>
      <c r="E696">
        <f>IF($A696="","",COUNTIFS('Таблиця 1'!$B:$B,$A696,'Таблиця 1'!$E:$E,"ППО",'Таблиця 1'!$L:$L,"Уражено"))</f>
        <v/>
      </c>
      <c r="F696">
        <f>IF($A696="","",COUNTIFS('Таблиця 1'!$B:$B,$A696,'Таблиця 1'!$E:$E,"Рембаза",'Таблиця 1'!$L:$L,"Уражено"))</f>
        <v/>
      </c>
      <c r="G696">
        <f>IF($A696="","",COUNTIFS('Таблиця 1'!$B:$B,$A696,'Таблиця 1'!$E:$E,"Склад БК",'Таблиця 1'!$L:$L,"Уражено"))</f>
        <v/>
      </c>
      <c r="H696">
        <f>IF($A696="","",COUNTIFS('Таблиця 1'!$B:$B,$A696,'Таблиця 1'!$E:$E,"Склад ВТМ",'Таблиця 1'!$L:$L,"Уражено"))</f>
        <v/>
      </c>
      <c r="I696">
        <f>IF($A696="","",COUNTIFS('Таблиця 1'!$B:$B,$A696,'Таблиця 1'!$E:$E,"ПУ БпЛА",'Таблиця 1'!$L:$L,"Уражено"))</f>
        <v/>
      </c>
      <c r="J696">
        <f>IF($A696="","",COUNTIFS('Таблиця 1'!$B:$B,$A696,'Таблиця 1'!$E:$E,"СП",'Таблиця 1'!$L:$L,"Уражено"))</f>
        <v/>
      </c>
      <c r="K696">
        <f>IF($A696="","",COUNTIFS('Таблиця 1'!$B:$B,$A696,'Таблиця 1'!$E:$E,"КСП роти",'Таблиця 1'!$L:$L,"Уражено"))</f>
        <v/>
      </c>
      <c r="L696">
        <f>IF($A696="","",COUNTIFS('Таблиця 1'!$B:$B,$A696,'Таблиця 1'!$E:$E,"ПУ бат",'Таблиця 1'!$L:$L,"Уражено"))</f>
        <v/>
      </c>
      <c r="M696">
        <f>IF($A696="","",COUNTIFS('Таблиця 1'!$B:$B,$A696,'Таблиця 1'!$E:$E,"ПУ бриг",'Таблиця 1'!$L:$L,"Уражено"))</f>
        <v/>
      </c>
      <c r="N696">
        <f>IF($A696="","",COUNTIFS('Таблиця 1'!$B:$B,$A696,'Таблиця 1'!$E:$E,"ПУ див",'Таблиця 1'!$L:$L,"Уражено"))</f>
        <v/>
      </c>
      <c r="O696">
        <f>IF($A696="","",COUNTIFS('Таблиця 1'!$B:$B,$A696,'Таблиця 1'!$E:$E,"обл. РЕБ",'Таблиця 1'!$L:$L,"Уражено"))</f>
        <v/>
      </c>
      <c r="P696">
        <f>IF($A696="","",COUNTIFS('Таблиця 1'!$B:$B,$A696,'Таблиця 1'!$E:$E,"пос РЕБ",'Таблиця 1'!$L:$L,"Уражено"))</f>
        <v/>
      </c>
      <c r="Q696">
        <f>IF($A696="","",COUNTIFS('Таблиця 1'!$B:$B,$A696,'Таблиця 1'!$E:$E,"група РЕР",'Таблиця 1'!$L:$L,"Уражено"))</f>
        <v/>
      </c>
      <c r="R696">
        <f>IF($A696="","",COUNTIFS('Таблиця 1'!$B:$B,$A696,'Таблиця 1'!$E:$E,"РЛС КББ",'Таблиця 1'!$L:$L,"Уражено"))</f>
        <v/>
      </c>
      <c r="S696">
        <f>IF($A696="","",COUNTIFS('Таблиця 1'!$B:$B,$A696,'Таблиця 1'!$E:$E,"Ретранслятор",'Таблиця 1'!$L:$L,"Уражено"))</f>
        <v/>
      </c>
      <c r="T696">
        <f>IF($A696="","",COUNTIFS('Таблиця 1'!$B:$B,$A696,'Таблиця 1'!$E:$E,"Вз.зв'язку",'Таблиця 1'!$L:$L,"Уражено"))</f>
        <v/>
      </c>
      <c r="U696">
        <f>IF($A696="","",COUNTIFS('Таблиця 1'!$B:$B,$A696,'Таблиця 1'!$E:$E,"ПММ",'Таблиця 1'!$L:$L,"Уражено"))</f>
        <v/>
      </c>
      <c r="V696">
        <f>IF($A696="","",COUNTIFS('Таблиця 1'!$B:$B,$A696,'Таблиця 1'!$E:$E,"ІФС",'Таблиця 1'!$L:$L,"Уражено"))</f>
        <v/>
      </c>
      <c r="W696">
        <f>IF($A696="","",COUNTIFS('Таблиця 1'!$B:$B,$A696,'Таблиця 1'!$E:$E,"Інфраструктура",'Таблиця 1'!$L:$L,"Уражено"))</f>
        <v/>
      </c>
      <c r="X696">
        <f>IF($A696="","",SUMIFS('Таблиця 1'!$K:$K,'Таблиця 1'!$B:$B,$A696))</f>
        <v/>
      </c>
    </row>
    <row r="697">
      <c r="A697" s="81">
        <f>IF(A696="","",IF(A696+1&gt;MAX('Таблиця 1'!$B:$B),"",A696+1))</f>
        <v/>
      </c>
      <c r="B697">
        <f>IF($A697="","",COUNTIFS('Таблиця 1'!$B:$B,$A697,'Таблиця 1'!$E:$E,"ЖС ВЗ",'Таблиця 1'!$L:$L,"Уражено"))</f>
        <v/>
      </c>
      <c r="C697">
        <f>IF($A697="","",COUNTIFS('Таблиця 1'!$B:$B,$A697,'Таблиця 1'!$E:$E,"Арт. Системи",'Таблиця 1'!$L:$L,"Уражено"))</f>
        <v/>
      </c>
      <c r="D697">
        <f>IF($A697="","",COUNTIFS('Таблиця 1'!$B:$B,$A697,'Таблиця 1'!$E:$E,"ОВТ",'Таблиця 1'!$L:$L,"Уражено"))</f>
        <v/>
      </c>
      <c r="E697">
        <f>IF($A697="","",COUNTIFS('Таблиця 1'!$B:$B,$A697,'Таблиця 1'!$E:$E,"ППО",'Таблиця 1'!$L:$L,"Уражено"))</f>
        <v/>
      </c>
      <c r="F697">
        <f>IF($A697="","",COUNTIFS('Таблиця 1'!$B:$B,$A697,'Таблиця 1'!$E:$E,"Рембаза",'Таблиця 1'!$L:$L,"Уражено"))</f>
        <v/>
      </c>
      <c r="G697">
        <f>IF($A697="","",COUNTIFS('Таблиця 1'!$B:$B,$A697,'Таблиця 1'!$E:$E,"Склад БК",'Таблиця 1'!$L:$L,"Уражено"))</f>
        <v/>
      </c>
      <c r="H697">
        <f>IF($A697="","",COUNTIFS('Таблиця 1'!$B:$B,$A697,'Таблиця 1'!$E:$E,"Склад ВТМ",'Таблиця 1'!$L:$L,"Уражено"))</f>
        <v/>
      </c>
      <c r="I697">
        <f>IF($A697="","",COUNTIFS('Таблиця 1'!$B:$B,$A697,'Таблиця 1'!$E:$E,"ПУ БпЛА",'Таблиця 1'!$L:$L,"Уражено"))</f>
        <v/>
      </c>
      <c r="J697">
        <f>IF($A697="","",COUNTIFS('Таблиця 1'!$B:$B,$A697,'Таблиця 1'!$E:$E,"СП",'Таблиця 1'!$L:$L,"Уражено"))</f>
        <v/>
      </c>
      <c r="K697">
        <f>IF($A697="","",COUNTIFS('Таблиця 1'!$B:$B,$A697,'Таблиця 1'!$E:$E,"КСП роти",'Таблиця 1'!$L:$L,"Уражено"))</f>
        <v/>
      </c>
      <c r="L697">
        <f>IF($A697="","",COUNTIFS('Таблиця 1'!$B:$B,$A697,'Таблиця 1'!$E:$E,"ПУ бат",'Таблиця 1'!$L:$L,"Уражено"))</f>
        <v/>
      </c>
      <c r="M697">
        <f>IF($A697="","",COUNTIFS('Таблиця 1'!$B:$B,$A697,'Таблиця 1'!$E:$E,"ПУ бриг",'Таблиця 1'!$L:$L,"Уражено"))</f>
        <v/>
      </c>
      <c r="N697">
        <f>IF($A697="","",COUNTIFS('Таблиця 1'!$B:$B,$A697,'Таблиця 1'!$E:$E,"ПУ див",'Таблиця 1'!$L:$L,"Уражено"))</f>
        <v/>
      </c>
      <c r="O697">
        <f>IF($A697="","",COUNTIFS('Таблиця 1'!$B:$B,$A697,'Таблиця 1'!$E:$E,"обл. РЕБ",'Таблиця 1'!$L:$L,"Уражено"))</f>
        <v/>
      </c>
      <c r="P697">
        <f>IF($A697="","",COUNTIFS('Таблиця 1'!$B:$B,$A697,'Таблиця 1'!$E:$E,"пос РЕБ",'Таблиця 1'!$L:$L,"Уражено"))</f>
        <v/>
      </c>
      <c r="Q697">
        <f>IF($A697="","",COUNTIFS('Таблиця 1'!$B:$B,$A697,'Таблиця 1'!$E:$E,"група РЕР",'Таблиця 1'!$L:$L,"Уражено"))</f>
        <v/>
      </c>
      <c r="R697">
        <f>IF($A697="","",COUNTIFS('Таблиця 1'!$B:$B,$A697,'Таблиця 1'!$E:$E,"РЛС КББ",'Таблиця 1'!$L:$L,"Уражено"))</f>
        <v/>
      </c>
      <c r="S697">
        <f>IF($A697="","",COUNTIFS('Таблиця 1'!$B:$B,$A697,'Таблиця 1'!$E:$E,"Ретранслятор",'Таблиця 1'!$L:$L,"Уражено"))</f>
        <v/>
      </c>
      <c r="T697">
        <f>IF($A697="","",COUNTIFS('Таблиця 1'!$B:$B,$A697,'Таблиця 1'!$E:$E,"Вз.зв'язку",'Таблиця 1'!$L:$L,"Уражено"))</f>
        <v/>
      </c>
      <c r="U697">
        <f>IF($A697="","",COUNTIFS('Таблиця 1'!$B:$B,$A697,'Таблиця 1'!$E:$E,"ПММ",'Таблиця 1'!$L:$L,"Уражено"))</f>
        <v/>
      </c>
      <c r="V697">
        <f>IF($A697="","",COUNTIFS('Таблиця 1'!$B:$B,$A697,'Таблиця 1'!$E:$E,"ІФС",'Таблиця 1'!$L:$L,"Уражено"))</f>
        <v/>
      </c>
      <c r="W697">
        <f>IF($A697="","",COUNTIFS('Таблиця 1'!$B:$B,$A697,'Таблиця 1'!$E:$E,"Інфраструктура",'Таблиця 1'!$L:$L,"Уражено"))</f>
        <v/>
      </c>
      <c r="X697">
        <f>IF($A697="","",SUMIFS('Таблиця 1'!$K:$K,'Таблиця 1'!$B:$B,$A697))</f>
        <v/>
      </c>
    </row>
    <row r="698">
      <c r="A698" s="81">
        <f>IF(A697="","",IF(A697+1&gt;MAX('Таблиця 1'!$B:$B),"",A697+1))</f>
        <v/>
      </c>
      <c r="B698">
        <f>IF($A698="","",COUNTIFS('Таблиця 1'!$B:$B,$A698,'Таблиця 1'!$E:$E,"ЖС ВЗ",'Таблиця 1'!$L:$L,"Уражено"))</f>
        <v/>
      </c>
      <c r="C698">
        <f>IF($A698="","",COUNTIFS('Таблиця 1'!$B:$B,$A698,'Таблиця 1'!$E:$E,"Арт. Системи",'Таблиця 1'!$L:$L,"Уражено"))</f>
        <v/>
      </c>
      <c r="D698">
        <f>IF($A698="","",COUNTIFS('Таблиця 1'!$B:$B,$A698,'Таблиця 1'!$E:$E,"ОВТ",'Таблиця 1'!$L:$L,"Уражено"))</f>
        <v/>
      </c>
      <c r="E698">
        <f>IF($A698="","",COUNTIFS('Таблиця 1'!$B:$B,$A698,'Таблиця 1'!$E:$E,"ППО",'Таблиця 1'!$L:$L,"Уражено"))</f>
        <v/>
      </c>
      <c r="F698">
        <f>IF($A698="","",COUNTIFS('Таблиця 1'!$B:$B,$A698,'Таблиця 1'!$E:$E,"Рембаза",'Таблиця 1'!$L:$L,"Уражено"))</f>
        <v/>
      </c>
      <c r="G698">
        <f>IF($A698="","",COUNTIFS('Таблиця 1'!$B:$B,$A698,'Таблиця 1'!$E:$E,"Склад БК",'Таблиця 1'!$L:$L,"Уражено"))</f>
        <v/>
      </c>
      <c r="H698">
        <f>IF($A698="","",COUNTIFS('Таблиця 1'!$B:$B,$A698,'Таблиця 1'!$E:$E,"Склад ВТМ",'Таблиця 1'!$L:$L,"Уражено"))</f>
        <v/>
      </c>
      <c r="I698">
        <f>IF($A698="","",COUNTIFS('Таблиця 1'!$B:$B,$A698,'Таблиця 1'!$E:$E,"ПУ БпЛА",'Таблиця 1'!$L:$L,"Уражено"))</f>
        <v/>
      </c>
      <c r="J698">
        <f>IF($A698="","",COUNTIFS('Таблиця 1'!$B:$B,$A698,'Таблиця 1'!$E:$E,"СП",'Таблиця 1'!$L:$L,"Уражено"))</f>
        <v/>
      </c>
      <c r="K698">
        <f>IF($A698="","",COUNTIFS('Таблиця 1'!$B:$B,$A698,'Таблиця 1'!$E:$E,"КСП роти",'Таблиця 1'!$L:$L,"Уражено"))</f>
        <v/>
      </c>
      <c r="L698">
        <f>IF($A698="","",COUNTIFS('Таблиця 1'!$B:$B,$A698,'Таблиця 1'!$E:$E,"ПУ бат",'Таблиця 1'!$L:$L,"Уражено"))</f>
        <v/>
      </c>
      <c r="M698">
        <f>IF($A698="","",COUNTIFS('Таблиця 1'!$B:$B,$A698,'Таблиця 1'!$E:$E,"ПУ бриг",'Таблиця 1'!$L:$L,"Уражено"))</f>
        <v/>
      </c>
      <c r="N698">
        <f>IF($A698="","",COUNTIFS('Таблиця 1'!$B:$B,$A698,'Таблиця 1'!$E:$E,"ПУ див",'Таблиця 1'!$L:$L,"Уражено"))</f>
        <v/>
      </c>
      <c r="O698">
        <f>IF($A698="","",COUNTIFS('Таблиця 1'!$B:$B,$A698,'Таблиця 1'!$E:$E,"обл. РЕБ",'Таблиця 1'!$L:$L,"Уражено"))</f>
        <v/>
      </c>
      <c r="P698">
        <f>IF($A698="","",COUNTIFS('Таблиця 1'!$B:$B,$A698,'Таблиця 1'!$E:$E,"пос РЕБ",'Таблиця 1'!$L:$L,"Уражено"))</f>
        <v/>
      </c>
      <c r="Q698">
        <f>IF($A698="","",COUNTIFS('Таблиця 1'!$B:$B,$A698,'Таблиця 1'!$E:$E,"група РЕР",'Таблиця 1'!$L:$L,"Уражено"))</f>
        <v/>
      </c>
      <c r="R698">
        <f>IF($A698="","",COUNTIFS('Таблиця 1'!$B:$B,$A698,'Таблиця 1'!$E:$E,"РЛС КББ",'Таблиця 1'!$L:$L,"Уражено"))</f>
        <v/>
      </c>
      <c r="S698">
        <f>IF($A698="","",COUNTIFS('Таблиця 1'!$B:$B,$A698,'Таблиця 1'!$E:$E,"Ретранслятор",'Таблиця 1'!$L:$L,"Уражено"))</f>
        <v/>
      </c>
      <c r="T698">
        <f>IF($A698="","",COUNTIFS('Таблиця 1'!$B:$B,$A698,'Таблиця 1'!$E:$E,"Вз.зв'язку",'Таблиця 1'!$L:$L,"Уражено"))</f>
        <v/>
      </c>
      <c r="U698">
        <f>IF($A698="","",COUNTIFS('Таблиця 1'!$B:$B,$A698,'Таблиця 1'!$E:$E,"ПММ",'Таблиця 1'!$L:$L,"Уражено"))</f>
        <v/>
      </c>
      <c r="V698">
        <f>IF($A698="","",COUNTIFS('Таблиця 1'!$B:$B,$A698,'Таблиця 1'!$E:$E,"ІФС",'Таблиця 1'!$L:$L,"Уражено"))</f>
        <v/>
      </c>
      <c r="W698">
        <f>IF($A698="","",COUNTIFS('Таблиця 1'!$B:$B,$A698,'Таблиця 1'!$E:$E,"Інфраструктура",'Таблиця 1'!$L:$L,"Уражено"))</f>
        <v/>
      </c>
      <c r="X698">
        <f>IF($A698="","",SUMIFS('Таблиця 1'!$K:$K,'Таблиця 1'!$B:$B,$A698))</f>
        <v/>
      </c>
    </row>
    <row r="699">
      <c r="A699" s="81">
        <f>IF(A698="","",IF(A698+1&gt;MAX('Таблиця 1'!$B:$B),"",A698+1))</f>
        <v/>
      </c>
      <c r="B699">
        <f>IF($A699="","",COUNTIFS('Таблиця 1'!$B:$B,$A699,'Таблиця 1'!$E:$E,"ЖС ВЗ",'Таблиця 1'!$L:$L,"Уражено"))</f>
        <v/>
      </c>
      <c r="C699">
        <f>IF($A699="","",COUNTIFS('Таблиця 1'!$B:$B,$A699,'Таблиця 1'!$E:$E,"Арт. Системи",'Таблиця 1'!$L:$L,"Уражено"))</f>
        <v/>
      </c>
      <c r="D699">
        <f>IF($A699="","",COUNTIFS('Таблиця 1'!$B:$B,$A699,'Таблиця 1'!$E:$E,"ОВТ",'Таблиця 1'!$L:$L,"Уражено"))</f>
        <v/>
      </c>
      <c r="E699">
        <f>IF($A699="","",COUNTIFS('Таблиця 1'!$B:$B,$A699,'Таблиця 1'!$E:$E,"ППО",'Таблиця 1'!$L:$L,"Уражено"))</f>
        <v/>
      </c>
      <c r="F699">
        <f>IF($A699="","",COUNTIFS('Таблиця 1'!$B:$B,$A699,'Таблиця 1'!$E:$E,"Рембаза",'Таблиця 1'!$L:$L,"Уражено"))</f>
        <v/>
      </c>
      <c r="G699">
        <f>IF($A699="","",COUNTIFS('Таблиця 1'!$B:$B,$A699,'Таблиця 1'!$E:$E,"Склад БК",'Таблиця 1'!$L:$L,"Уражено"))</f>
        <v/>
      </c>
      <c r="H699">
        <f>IF($A699="","",COUNTIFS('Таблиця 1'!$B:$B,$A699,'Таблиця 1'!$E:$E,"Склад ВТМ",'Таблиця 1'!$L:$L,"Уражено"))</f>
        <v/>
      </c>
      <c r="I699">
        <f>IF($A699="","",COUNTIFS('Таблиця 1'!$B:$B,$A699,'Таблиця 1'!$E:$E,"ПУ БпЛА",'Таблиця 1'!$L:$L,"Уражено"))</f>
        <v/>
      </c>
      <c r="J699">
        <f>IF($A699="","",COUNTIFS('Таблиця 1'!$B:$B,$A699,'Таблиця 1'!$E:$E,"СП",'Таблиця 1'!$L:$L,"Уражено"))</f>
        <v/>
      </c>
      <c r="K699">
        <f>IF($A699="","",COUNTIFS('Таблиця 1'!$B:$B,$A699,'Таблиця 1'!$E:$E,"КСП роти",'Таблиця 1'!$L:$L,"Уражено"))</f>
        <v/>
      </c>
      <c r="L699">
        <f>IF($A699="","",COUNTIFS('Таблиця 1'!$B:$B,$A699,'Таблиця 1'!$E:$E,"ПУ бат",'Таблиця 1'!$L:$L,"Уражено"))</f>
        <v/>
      </c>
      <c r="M699">
        <f>IF($A699="","",COUNTIFS('Таблиця 1'!$B:$B,$A699,'Таблиця 1'!$E:$E,"ПУ бриг",'Таблиця 1'!$L:$L,"Уражено"))</f>
        <v/>
      </c>
      <c r="N699">
        <f>IF($A699="","",COUNTIFS('Таблиця 1'!$B:$B,$A699,'Таблиця 1'!$E:$E,"ПУ див",'Таблиця 1'!$L:$L,"Уражено"))</f>
        <v/>
      </c>
      <c r="O699">
        <f>IF($A699="","",COUNTIFS('Таблиця 1'!$B:$B,$A699,'Таблиця 1'!$E:$E,"обл. РЕБ",'Таблиця 1'!$L:$L,"Уражено"))</f>
        <v/>
      </c>
      <c r="P699">
        <f>IF($A699="","",COUNTIFS('Таблиця 1'!$B:$B,$A699,'Таблиця 1'!$E:$E,"пос РЕБ",'Таблиця 1'!$L:$L,"Уражено"))</f>
        <v/>
      </c>
      <c r="Q699">
        <f>IF($A699="","",COUNTIFS('Таблиця 1'!$B:$B,$A699,'Таблиця 1'!$E:$E,"група РЕР",'Таблиця 1'!$L:$L,"Уражено"))</f>
        <v/>
      </c>
      <c r="R699">
        <f>IF($A699="","",COUNTIFS('Таблиця 1'!$B:$B,$A699,'Таблиця 1'!$E:$E,"РЛС КББ",'Таблиця 1'!$L:$L,"Уражено"))</f>
        <v/>
      </c>
      <c r="S699">
        <f>IF($A699="","",COUNTIFS('Таблиця 1'!$B:$B,$A699,'Таблиця 1'!$E:$E,"Ретранслятор",'Таблиця 1'!$L:$L,"Уражено"))</f>
        <v/>
      </c>
      <c r="T699">
        <f>IF($A699="","",COUNTIFS('Таблиця 1'!$B:$B,$A699,'Таблиця 1'!$E:$E,"Вз.зв'язку",'Таблиця 1'!$L:$L,"Уражено"))</f>
        <v/>
      </c>
      <c r="U699">
        <f>IF($A699="","",COUNTIFS('Таблиця 1'!$B:$B,$A699,'Таблиця 1'!$E:$E,"ПММ",'Таблиця 1'!$L:$L,"Уражено"))</f>
        <v/>
      </c>
      <c r="V699">
        <f>IF($A699="","",COUNTIFS('Таблиця 1'!$B:$B,$A699,'Таблиця 1'!$E:$E,"ІФС",'Таблиця 1'!$L:$L,"Уражено"))</f>
        <v/>
      </c>
      <c r="W699">
        <f>IF($A699="","",COUNTIFS('Таблиця 1'!$B:$B,$A699,'Таблиця 1'!$E:$E,"Інфраструктура",'Таблиця 1'!$L:$L,"Уражено"))</f>
        <v/>
      </c>
      <c r="X699">
        <f>IF($A699="","",SUMIFS('Таблиця 1'!$K:$K,'Таблиця 1'!$B:$B,$A699))</f>
        <v/>
      </c>
    </row>
    <row r="700">
      <c r="A700" s="81">
        <f>IF(A699="","",IF(A699+1&gt;MAX('Таблиця 1'!$B:$B),"",A699+1))</f>
        <v/>
      </c>
      <c r="B700">
        <f>IF($A700="","",COUNTIFS('Таблиця 1'!$B:$B,$A700,'Таблиця 1'!$E:$E,"ЖС ВЗ",'Таблиця 1'!$L:$L,"Уражено"))</f>
        <v/>
      </c>
      <c r="C700">
        <f>IF($A700="","",COUNTIFS('Таблиця 1'!$B:$B,$A700,'Таблиця 1'!$E:$E,"Арт. Системи",'Таблиця 1'!$L:$L,"Уражено"))</f>
        <v/>
      </c>
      <c r="D700">
        <f>IF($A700="","",COUNTIFS('Таблиця 1'!$B:$B,$A700,'Таблиця 1'!$E:$E,"ОВТ",'Таблиця 1'!$L:$L,"Уражено"))</f>
        <v/>
      </c>
      <c r="E700">
        <f>IF($A700="","",COUNTIFS('Таблиця 1'!$B:$B,$A700,'Таблиця 1'!$E:$E,"ППО",'Таблиця 1'!$L:$L,"Уражено"))</f>
        <v/>
      </c>
      <c r="F700">
        <f>IF($A700="","",COUNTIFS('Таблиця 1'!$B:$B,$A700,'Таблиця 1'!$E:$E,"Рембаза",'Таблиця 1'!$L:$L,"Уражено"))</f>
        <v/>
      </c>
      <c r="G700">
        <f>IF($A700="","",COUNTIFS('Таблиця 1'!$B:$B,$A700,'Таблиця 1'!$E:$E,"Склад БК",'Таблиця 1'!$L:$L,"Уражено"))</f>
        <v/>
      </c>
      <c r="H700">
        <f>IF($A700="","",COUNTIFS('Таблиця 1'!$B:$B,$A700,'Таблиця 1'!$E:$E,"Склад ВТМ",'Таблиця 1'!$L:$L,"Уражено"))</f>
        <v/>
      </c>
      <c r="I700">
        <f>IF($A700="","",COUNTIFS('Таблиця 1'!$B:$B,$A700,'Таблиця 1'!$E:$E,"ПУ БпЛА",'Таблиця 1'!$L:$L,"Уражено"))</f>
        <v/>
      </c>
      <c r="J700">
        <f>IF($A700="","",COUNTIFS('Таблиця 1'!$B:$B,$A700,'Таблиця 1'!$E:$E,"СП",'Таблиця 1'!$L:$L,"Уражено"))</f>
        <v/>
      </c>
      <c r="K700">
        <f>IF($A700="","",COUNTIFS('Таблиця 1'!$B:$B,$A700,'Таблиця 1'!$E:$E,"КСП роти",'Таблиця 1'!$L:$L,"Уражено"))</f>
        <v/>
      </c>
      <c r="L700">
        <f>IF($A700="","",COUNTIFS('Таблиця 1'!$B:$B,$A700,'Таблиця 1'!$E:$E,"ПУ бат",'Таблиця 1'!$L:$L,"Уражено"))</f>
        <v/>
      </c>
      <c r="M700">
        <f>IF($A700="","",COUNTIFS('Таблиця 1'!$B:$B,$A700,'Таблиця 1'!$E:$E,"ПУ бриг",'Таблиця 1'!$L:$L,"Уражено"))</f>
        <v/>
      </c>
      <c r="N700">
        <f>IF($A700="","",COUNTIFS('Таблиця 1'!$B:$B,$A700,'Таблиця 1'!$E:$E,"ПУ див",'Таблиця 1'!$L:$L,"Уражено"))</f>
        <v/>
      </c>
      <c r="O700">
        <f>IF($A700="","",COUNTIFS('Таблиця 1'!$B:$B,$A700,'Таблиця 1'!$E:$E,"обл. РЕБ",'Таблиця 1'!$L:$L,"Уражено"))</f>
        <v/>
      </c>
      <c r="P700">
        <f>IF($A700="","",COUNTIFS('Таблиця 1'!$B:$B,$A700,'Таблиця 1'!$E:$E,"пос РЕБ",'Таблиця 1'!$L:$L,"Уражено"))</f>
        <v/>
      </c>
      <c r="Q700">
        <f>IF($A700="","",COUNTIFS('Таблиця 1'!$B:$B,$A700,'Таблиця 1'!$E:$E,"група РЕР",'Таблиця 1'!$L:$L,"Уражено"))</f>
        <v/>
      </c>
      <c r="R700">
        <f>IF($A700="","",COUNTIFS('Таблиця 1'!$B:$B,$A700,'Таблиця 1'!$E:$E,"РЛС КББ",'Таблиця 1'!$L:$L,"Уражено"))</f>
        <v/>
      </c>
      <c r="S700">
        <f>IF($A700="","",COUNTIFS('Таблиця 1'!$B:$B,$A700,'Таблиця 1'!$E:$E,"Ретранслятор",'Таблиця 1'!$L:$L,"Уражено"))</f>
        <v/>
      </c>
      <c r="T700">
        <f>IF($A700="","",COUNTIFS('Таблиця 1'!$B:$B,$A700,'Таблиця 1'!$E:$E,"Вз.зв'язку",'Таблиця 1'!$L:$L,"Уражено"))</f>
        <v/>
      </c>
      <c r="U700">
        <f>IF($A700="","",COUNTIFS('Таблиця 1'!$B:$B,$A700,'Таблиця 1'!$E:$E,"ПММ",'Таблиця 1'!$L:$L,"Уражено"))</f>
        <v/>
      </c>
      <c r="V700">
        <f>IF($A700="","",COUNTIFS('Таблиця 1'!$B:$B,$A700,'Таблиця 1'!$E:$E,"ІФС",'Таблиця 1'!$L:$L,"Уражено"))</f>
        <v/>
      </c>
      <c r="W700">
        <f>IF($A700="","",COUNTIFS('Таблиця 1'!$B:$B,$A700,'Таблиця 1'!$E:$E,"Інфраструктура",'Таблиця 1'!$L:$L,"Уражено"))</f>
        <v/>
      </c>
      <c r="X700">
        <f>IF($A700="","",SUMIFS('Таблиця 1'!$K:$K,'Таблиця 1'!$B:$B,$A700))</f>
        <v/>
      </c>
    </row>
    <row r="701">
      <c r="A701" s="81">
        <f>IF(A700="","",IF(A700+1&gt;MAX('Таблиця 1'!$B:$B),"",A700+1))</f>
        <v/>
      </c>
      <c r="B701">
        <f>IF($A701="","",COUNTIFS('Таблиця 1'!$B:$B,$A701,'Таблиця 1'!$E:$E,"ЖС ВЗ",'Таблиця 1'!$L:$L,"Уражено"))</f>
        <v/>
      </c>
      <c r="C701">
        <f>IF($A701="","",COUNTIFS('Таблиця 1'!$B:$B,$A701,'Таблиця 1'!$E:$E,"Арт. Системи",'Таблиця 1'!$L:$L,"Уражено"))</f>
        <v/>
      </c>
      <c r="D701">
        <f>IF($A701="","",COUNTIFS('Таблиця 1'!$B:$B,$A701,'Таблиця 1'!$E:$E,"ОВТ",'Таблиця 1'!$L:$L,"Уражено"))</f>
        <v/>
      </c>
      <c r="E701">
        <f>IF($A701="","",COUNTIFS('Таблиця 1'!$B:$B,$A701,'Таблиця 1'!$E:$E,"ППО",'Таблиця 1'!$L:$L,"Уражено"))</f>
        <v/>
      </c>
      <c r="F701">
        <f>IF($A701="","",COUNTIFS('Таблиця 1'!$B:$B,$A701,'Таблиця 1'!$E:$E,"Рембаза",'Таблиця 1'!$L:$L,"Уражено"))</f>
        <v/>
      </c>
      <c r="G701">
        <f>IF($A701="","",COUNTIFS('Таблиця 1'!$B:$B,$A701,'Таблиця 1'!$E:$E,"Склад БК",'Таблиця 1'!$L:$L,"Уражено"))</f>
        <v/>
      </c>
      <c r="H701">
        <f>IF($A701="","",COUNTIFS('Таблиця 1'!$B:$B,$A701,'Таблиця 1'!$E:$E,"Склад ВТМ",'Таблиця 1'!$L:$L,"Уражено"))</f>
        <v/>
      </c>
      <c r="I701">
        <f>IF($A701="","",COUNTIFS('Таблиця 1'!$B:$B,$A701,'Таблиця 1'!$E:$E,"ПУ БпЛА",'Таблиця 1'!$L:$L,"Уражено"))</f>
        <v/>
      </c>
      <c r="J701">
        <f>IF($A701="","",COUNTIFS('Таблиця 1'!$B:$B,$A701,'Таблиця 1'!$E:$E,"СП",'Таблиця 1'!$L:$L,"Уражено"))</f>
        <v/>
      </c>
      <c r="K701">
        <f>IF($A701="","",COUNTIFS('Таблиця 1'!$B:$B,$A701,'Таблиця 1'!$E:$E,"КСП роти",'Таблиця 1'!$L:$L,"Уражено"))</f>
        <v/>
      </c>
      <c r="L701">
        <f>IF($A701="","",COUNTIFS('Таблиця 1'!$B:$B,$A701,'Таблиця 1'!$E:$E,"ПУ бат",'Таблиця 1'!$L:$L,"Уражено"))</f>
        <v/>
      </c>
      <c r="M701">
        <f>IF($A701="","",COUNTIFS('Таблиця 1'!$B:$B,$A701,'Таблиця 1'!$E:$E,"ПУ бриг",'Таблиця 1'!$L:$L,"Уражено"))</f>
        <v/>
      </c>
      <c r="N701">
        <f>IF($A701="","",COUNTIFS('Таблиця 1'!$B:$B,$A701,'Таблиця 1'!$E:$E,"ПУ див",'Таблиця 1'!$L:$L,"Уражено"))</f>
        <v/>
      </c>
      <c r="O701">
        <f>IF($A701="","",COUNTIFS('Таблиця 1'!$B:$B,$A701,'Таблиця 1'!$E:$E,"обл. РЕБ",'Таблиця 1'!$L:$L,"Уражено"))</f>
        <v/>
      </c>
      <c r="P701">
        <f>IF($A701="","",COUNTIFS('Таблиця 1'!$B:$B,$A701,'Таблиця 1'!$E:$E,"пос РЕБ",'Таблиця 1'!$L:$L,"Уражено"))</f>
        <v/>
      </c>
      <c r="Q701">
        <f>IF($A701="","",COUNTIFS('Таблиця 1'!$B:$B,$A701,'Таблиця 1'!$E:$E,"група РЕР",'Таблиця 1'!$L:$L,"Уражено"))</f>
        <v/>
      </c>
      <c r="R701">
        <f>IF($A701="","",COUNTIFS('Таблиця 1'!$B:$B,$A701,'Таблиця 1'!$E:$E,"РЛС КББ",'Таблиця 1'!$L:$L,"Уражено"))</f>
        <v/>
      </c>
      <c r="S701">
        <f>IF($A701="","",COUNTIFS('Таблиця 1'!$B:$B,$A701,'Таблиця 1'!$E:$E,"Ретранслятор",'Таблиця 1'!$L:$L,"Уражено"))</f>
        <v/>
      </c>
      <c r="T701">
        <f>IF($A701="","",COUNTIFS('Таблиця 1'!$B:$B,$A701,'Таблиця 1'!$E:$E,"Вз.зв'язку",'Таблиця 1'!$L:$L,"Уражено"))</f>
        <v/>
      </c>
      <c r="U701">
        <f>IF($A701="","",COUNTIFS('Таблиця 1'!$B:$B,$A701,'Таблиця 1'!$E:$E,"ПММ",'Таблиця 1'!$L:$L,"Уражено"))</f>
        <v/>
      </c>
      <c r="V701">
        <f>IF($A701="","",COUNTIFS('Таблиця 1'!$B:$B,$A701,'Таблиця 1'!$E:$E,"ІФС",'Таблиця 1'!$L:$L,"Уражено"))</f>
        <v/>
      </c>
      <c r="W701">
        <f>IF($A701="","",COUNTIFS('Таблиця 1'!$B:$B,$A701,'Таблиця 1'!$E:$E,"Інфраструктура",'Таблиця 1'!$L:$L,"Уражено"))</f>
        <v/>
      </c>
      <c r="X701">
        <f>IF($A701="","",SUMIFS('Таблиця 1'!$K:$K,'Таблиця 1'!$B:$B,$A701))</f>
        <v/>
      </c>
    </row>
    <row r="702">
      <c r="A702" s="81">
        <f>IF(A701="","",IF(A701+1&gt;MAX('Таблиця 1'!$B:$B),"",A701+1))</f>
        <v/>
      </c>
      <c r="B702">
        <f>IF($A702="","",COUNTIFS('Таблиця 1'!$B:$B,$A702,'Таблиця 1'!$E:$E,"ЖС ВЗ",'Таблиця 1'!$L:$L,"Уражено"))</f>
        <v/>
      </c>
      <c r="C702">
        <f>IF($A702="","",COUNTIFS('Таблиця 1'!$B:$B,$A702,'Таблиця 1'!$E:$E,"Арт. Системи",'Таблиця 1'!$L:$L,"Уражено"))</f>
        <v/>
      </c>
      <c r="D702">
        <f>IF($A702="","",COUNTIFS('Таблиця 1'!$B:$B,$A702,'Таблиця 1'!$E:$E,"ОВТ",'Таблиця 1'!$L:$L,"Уражено"))</f>
        <v/>
      </c>
      <c r="E702">
        <f>IF($A702="","",COUNTIFS('Таблиця 1'!$B:$B,$A702,'Таблиця 1'!$E:$E,"ППО",'Таблиця 1'!$L:$L,"Уражено"))</f>
        <v/>
      </c>
      <c r="F702">
        <f>IF($A702="","",COUNTIFS('Таблиця 1'!$B:$B,$A702,'Таблиця 1'!$E:$E,"Рембаза",'Таблиця 1'!$L:$L,"Уражено"))</f>
        <v/>
      </c>
      <c r="G702">
        <f>IF($A702="","",COUNTIFS('Таблиця 1'!$B:$B,$A702,'Таблиця 1'!$E:$E,"Склад БК",'Таблиця 1'!$L:$L,"Уражено"))</f>
        <v/>
      </c>
      <c r="H702">
        <f>IF($A702="","",COUNTIFS('Таблиця 1'!$B:$B,$A702,'Таблиця 1'!$E:$E,"Склад ВТМ",'Таблиця 1'!$L:$L,"Уражено"))</f>
        <v/>
      </c>
      <c r="I702">
        <f>IF($A702="","",COUNTIFS('Таблиця 1'!$B:$B,$A702,'Таблиця 1'!$E:$E,"ПУ БпЛА",'Таблиця 1'!$L:$L,"Уражено"))</f>
        <v/>
      </c>
      <c r="J702">
        <f>IF($A702="","",COUNTIFS('Таблиця 1'!$B:$B,$A702,'Таблиця 1'!$E:$E,"СП",'Таблиця 1'!$L:$L,"Уражено"))</f>
        <v/>
      </c>
      <c r="K702">
        <f>IF($A702="","",COUNTIFS('Таблиця 1'!$B:$B,$A702,'Таблиця 1'!$E:$E,"КСП роти",'Таблиця 1'!$L:$L,"Уражено"))</f>
        <v/>
      </c>
      <c r="L702">
        <f>IF($A702="","",COUNTIFS('Таблиця 1'!$B:$B,$A702,'Таблиця 1'!$E:$E,"ПУ бат",'Таблиця 1'!$L:$L,"Уражено"))</f>
        <v/>
      </c>
      <c r="M702">
        <f>IF($A702="","",COUNTIFS('Таблиця 1'!$B:$B,$A702,'Таблиця 1'!$E:$E,"ПУ бриг",'Таблиця 1'!$L:$L,"Уражено"))</f>
        <v/>
      </c>
      <c r="N702">
        <f>IF($A702="","",COUNTIFS('Таблиця 1'!$B:$B,$A702,'Таблиця 1'!$E:$E,"ПУ див",'Таблиця 1'!$L:$L,"Уражено"))</f>
        <v/>
      </c>
      <c r="O702">
        <f>IF($A702="","",COUNTIFS('Таблиця 1'!$B:$B,$A702,'Таблиця 1'!$E:$E,"обл. РЕБ",'Таблиця 1'!$L:$L,"Уражено"))</f>
        <v/>
      </c>
      <c r="P702">
        <f>IF($A702="","",COUNTIFS('Таблиця 1'!$B:$B,$A702,'Таблиця 1'!$E:$E,"пос РЕБ",'Таблиця 1'!$L:$L,"Уражено"))</f>
        <v/>
      </c>
      <c r="Q702">
        <f>IF($A702="","",COUNTIFS('Таблиця 1'!$B:$B,$A702,'Таблиця 1'!$E:$E,"група РЕР",'Таблиця 1'!$L:$L,"Уражено"))</f>
        <v/>
      </c>
      <c r="R702">
        <f>IF($A702="","",COUNTIFS('Таблиця 1'!$B:$B,$A702,'Таблиця 1'!$E:$E,"РЛС КББ",'Таблиця 1'!$L:$L,"Уражено"))</f>
        <v/>
      </c>
      <c r="S702">
        <f>IF($A702="","",COUNTIFS('Таблиця 1'!$B:$B,$A702,'Таблиця 1'!$E:$E,"Ретранслятор",'Таблиця 1'!$L:$L,"Уражено"))</f>
        <v/>
      </c>
      <c r="T702">
        <f>IF($A702="","",COUNTIFS('Таблиця 1'!$B:$B,$A702,'Таблиця 1'!$E:$E,"Вз.зв'язку",'Таблиця 1'!$L:$L,"Уражено"))</f>
        <v/>
      </c>
      <c r="U702">
        <f>IF($A702="","",COUNTIFS('Таблиця 1'!$B:$B,$A702,'Таблиця 1'!$E:$E,"ПММ",'Таблиця 1'!$L:$L,"Уражено"))</f>
        <v/>
      </c>
      <c r="V702">
        <f>IF($A702="","",COUNTIFS('Таблиця 1'!$B:$B,$A702,'Таблиця 1'!$E:$E,"ІФС",'Таблиця 1'!$L:$L,"Уражено"))</f>
        <v/>
      </c>
      <c r="W702">
        <f>IF($A702="","",COUNTIFS('Таблиця 1'!$B:$B,$A702,'Таблиця 1'!$E:$E,"Інфраструктура",'Таблиця 1'!$L:$L,"Уражено"))</f>
        <v/>
      </c>
      <c r="X702">
        <f>IF($A702="","",SUMIFS('Таблиця 1'!$K:$K,'Таблиця 1'!$B:$B,$A702))</f>
        <v/>
      </c>
    </row>
    <row r="703">
      <c r="A703" s="81">
        <f>IF(A702="","",IF(A702+1&gt;MAX('Таблиця 1'!$B:$B),"",A702+1))</f>
        <v/>
      </c>
      <c r="B703">
        <f>IF($A703="","",COUNTIFS('Таблиця 1'!$B:$B,$A703,'Таблиця 1'!$E:$E,"ЖС ВЗ",'Таблиця 1'!$L:$L,"Уражено"))</f>
        <v/>
      </c>
      <c r="C703">
        <f>IF($A703="","",COUNTIFS('Таблиця 1'!$B:$B,$A703,'Таблиця 1'!$E:$E,"Арт. Системи",'Таблиця 1'!$L:$L,"Уражено"))</f>
        <v/>
      </c>
      <c r="D703">
        <f>IF($A703="","",COUNTIFS('Таблиця 1'!$B:$B,$A703,'Таблиця 1'!$E:$E,"ОВТ",'Таблиця 1'!$L:$L,"Уражено"))</f>
        <v/>
      </c>
      <c r="E703">
        <f>IF($A703="","",COUNTIFS('Таблиця 1'!$B:$B,$A703,'Таблиця 1'!$E:$E,"ППО",'Таблиця 1'!$L:$L,"Уражено"))</f>
        <v/>
      </c>
      <c r="F703">
        <f>IF($A703="","",COUNTIFS('Таблиця 1'!$B:$B,$A703,'Таблиця 1'!$E:$E,"Рембаза",'Таблиця 1'!$L:$L,"Уражено"))</f>
        <v/>
      </c>
      <c r="G703">
        <f>IF($A703="","",COUNTIFS('Таблиця 1'!$B:$B,$A703,'Таблиця 1'!$E:$E,"Склад БК",'Таблиця 1'!$L:$L,"Уражено"))</f>
        <v/>
      </c>
      <c r="H703">
        <f>IF($A703="","",COUNTIFS('Таблиця 1'!$B:$B,$A703,'Таблиця 1'!$E:$E,"Склад ВТМ",'Таблиця 1'!$L:$L,"Уражено"))</f>
        <v/>
      </c>
      <c r="I703">
        <f>IF($A703="","",COUNTIFS('Таблиця 1'!$B:$B,$A703,'Таблиця 1'!$E:$E,"ПУ БпЛА",'Таблиця 1'!$L:$L,"Уражено"))</f>
        <v/>
      </c>
      <c r="J703">
        <f>IF($A703="","",COUNTIFS('Таблиця 1'!$B:$B,$A703,'Таблиця 1'!$E:$E,"СП",'Таблиця 1'!$L:$L,"Уражено"))</f>
        <v/>
      </c>
      <c r="K703">
        <f>IF($A703="","",COUNTIFS('Таблиця 1'!$B:$B,$A703,'Таблиця 1'!$E:$E,"КСП роти",'Таблиця 1'!$L:$L,"Уражено"))</f>
        <v/>
      </c>
      <c r="L703">
        <f>IF($A703="","",COUNTIFS('Таблиця 1'!$B:$B,$A703,'Таблиця 1'!$E:$E,"ПУ бат",'Таблиця 1'!$L:$L,"Уражено"))</f>
        <v/>
      </c>
      <c r="M703">
        <f>IF($A703="","",COUNTIFS('Таблиця 1'!$B:$B,$A703,'Таблиця 1'!$E:$E,"ПУ бриг",'Таблиця 1'!$L:$L,"Уражено"))</f>
        <v/>
      </c>
      <c r="N703">
        <f>IF($A703="","",COUNTIFS('Таблиця 1'!$B:$B,$A703,'Таблиця 1'!$E:$E,"ПУ див",'Таблиця 1'!$L:$L,"Уражено"))</f>
        <v/>
      </c>
      <c r="O703">
        <f>IF($A703="","",COUNTIFS('Таблиця 1'!$B:$B,$A703,'Таблиця 1'!$E:$E,"обл. РЕБ",'Таблиця 1'!$L:$L,"Уражено"))</f>
        <v/>
      </c>
      <c r="P703">
        <f>IF($A703="","",COUNTIFS('Таблиця 1'!$B:$B,$A703,'Таблиця 1'!$E:$E,"пос РЕБ",'Таблиця 1'!$L:$L,"Уражено"))</f>
        <v/>
      </c>
      <c r="Q703">
        <f>IF($A703="","",COUNTIFS('Таблиця 1'!$B:$B,$A703,'Таблиця 1'!$E:$E,"група РЕР",'Таблиця 1'!$L:$L,"Уражено"))</f>
        <v/>
      </c>
      <c r="R703">
        <f>IF($A703="","",COUNTIFS('Таблиця 1'!$B:$B,$A703,'Таблиця 1'!$E:$E,"РЛС КББ",'Таблиця 1'!$L:$L,"Уражено"))</f>
        <v/>
      </c>
      <c r="S703">
        <f>IF($A703="","",COUNTIFS('Таблиця 1'!$B:$B,$A703,'Таблиця 1'!$E:$E,"Ретранслятор",'Таблиця 1'!$L:$L,"Уражено"))</f>
        <v/>
      </c>
      <c r="T703">
        <f>IF($A703="","",COUNTIFS('Таблиця 1'!$B:$B,$A703,'Таблиця 1'!$E:$E,"Вз.зв'язку",'Таблиця 1'!$L:$L,"Уражено"))</f>
        <v/>
      </c>
      <c r="U703">
        <f>IF($A703="","",COUNTIFS('Таблиця 1'!$B:$B,$A703,'Таблиця 1'!$E:$E,"ПММ",'Таблиця 1'!$L:$L,"Уражено"))</f>
        <v/>
      </c>
      <c r="V703">
        <f>IF($A703="","",COUNTIFS('Таблиця 1'!$B:$B,$A703,'Таблиця 1'!$E:$E,"ІФС",'Таблиця 1'!$L:$L,"Уражено"))</f>
        <v/>
      </c>
      <c r="W703">
        <f>IF($A703="","",COUNTIFS('Таблиця 1'!$B:$B,$A703,'Таблиця 1'!$E:$E,"Інфраструктура",'Таблиця 1'!$L:$L,"Уражено"))</f>
        <v/>
      </c>
      <c r="X703">
        <f>IF($A703="","",SUMIFS('Таблиця 1'!$K:$K,'Таблиця 1'!$B:$B,$A703))</f>
        <v/>
      </c>
    </row>
    <row r="704">
      <c r="A704" s="81">
        <f>IF(A703="","",IF(A703+1&gt;MAX('Таблиця 1'!$B:$B),"",A703+1))</f>
        <v/>
      </c>
      <c r="B704">
        <f>IF($A704="","",COUNTIFS('Таблиця 1'!$B:$B,$A704,'Таблиця 1'!$E:$E,"ЖС ВЗ",'Таблиця 1'!$L:$L,"Уражено"))</f>
        <v/>
      </c>
      <c r="C704">
        <f>IF($A704="","",COUNTIFS('Таблиця 1'!$B:$B,$A704,'Таблиця 1'!$E:$E,"Арт. Системи",'Таблиця 1'!$L:$L,"Уражено"))</f>
        <v/>
      </c>
      <c r="D704">
        <f>IF($A704="","",COUNTIFS('Таблиця 1'!$B:$B,$A704,'Таблиця 1'!$E:$E,"ОВТ",'Таблиця 1'!$L:$L,"Уражено"))</f>
        <v/>
      </c>
      <c r="E704">
        <f>IF($A704="","",COUNTIFS('Таблиця 1'!$B:$B,$A704,'Таблиця 1'!$E:$E,"ППО",'Таблиця 1'!$L:$L,"Уражено"))</f>
        <v/>
      </c>
      <c r="F704">
        <f>IF($A704="","",COUNTIFS('Таблиця 1'!$B:$B,$A704,'Таблиця 1'!$E:$E,"Рембаза",'Таблиця 1'!$L:$L,"Уражено"))</f>
        <v/>
      </c>
      <c r="G704">
        <f>IF($A704="","",COUNTIFS('Таблиця 1'!$B:$B,$A704,'Таблиця 1'!$E:$E,"Склад БК",'Таблиця 1'!$L:$L,"Уражено"))</f>
        <v/>
      </c>
      <c r="H704">
        <f>IF($A704="","",COUNTIFS('Таблиця 1'!$B:$B,$A704,'Таблиця 1'!$E:$E,"Склад ВТМ",'Таблиця 1'!$L:$L,"Уражено"))</f>
        <v/>
      </c>
      <c r="I704">
        <f>IF($A704="","",COUNTIFS('Таблиця 1'!$B:$B,$A704,'Таблиця 1'!$E:$E,"ПУ БпЛА",'Таблиця 1'!$L:$L,"Уражено"))</f>
        <v/>
      </c>
      <c r="J704">
        <f>IF($A704="","",COUNTIFS('Таблиця 1'!$B:$B,$A704,'Таблиця 1'!$E:$E,"СП",'Таблиця 1'!$L:$L,"Уражено"))</f>
        <v/>
      </c>
      <c r="K704">
        <f>IF($A704="","",COUNTIFS('Таблиця 1'!$B:$B,$A704,'Таблиця 1'!$E:$E,"КСП роти",'Таблиця 1'!$L:$L,"Уражено"))</f>
        <v/>
      </c>
      <c r="L704">
        <f>IF($A704="","",COUNTIFS('Таблиця 1'!$B:$B,$A704,'Таблиця 1'!$E:$E,"ПУ бат",'Таблиця 1'!$L:$L,"Уражено"))</f>
        <v/>
      </c>
      <c r="M704">
        <f>IF($A704="","",COUNTIFS('Таблиця 1'!$B:$B,$A704,'Таблиця 1'!$E:$E,"ПУ бриг",'Таблиця 1'!$L:$L,"Уражено"))</f>
        <v/>
      </c>
      <c r="N704">
        <f>IF($A704="","",COUNTIFS('Таблиця 1'!$B:$B,$A704,'Таблиця 1'!$E:$E,"ПУ див",'Таблиця 1'!$L:$L,"Уражено"))</f>
        <v/>
      </c>
      <c r="O704">
        <f>IF($A704="","",COUNTIFS('Таблиця 1'!$B:$B,$A704,'Таблиця 1'!$E:$E,"обл. РЕБ",'Таблиця 1'!$L:$L,"Уражено"))</f>
        <v/>
      </c>
      <c r="P704">
        <f>IF($A704="","",COUNTIFS('Таблиця 1'!$B:$B,$A704,'Таблиця 1'!$E:$E,"пос РЕБ",'Таблиця 1'!$L:$L,"Уражено"))</f>
        <v/>
      </c>
      <c r="Q704">
        <f>IF($A704="","",COUNTIFS('Таблиця 1'!$B:$B,$A704,'Таблиця 1'!$E:$E,"група РЕР",'Таблиця 1'!$L:$L,"Уражено"))</f>
        <v/>
      </c>
      <c r="R704">
        <f>IF($A704="","",COUNTIFS('Таблиця 1'!$B:$B,$A704,'Таблиця 1'!$E:$E,"РЛС КББ",'Таблиця 1'!$L:$L,"Уражено"))</f>
        <v/>
      </c>
      <c r="S704">
        <f>IF($A704="","",COUNTIFS('Таблиця 1'!$B:$B,$A704,'Таблиця 1'!$E:$E,"Ретранслятор",'Таблиця 1'!$L:$L,"Уражено"))</f>
        <v/>
      </c>
      <c r="T704">
        <f>IF($A704="","",COUNTIFS('Таблиця 1'!$B:$B,$A704,'Таблиця 1'!$E:$E,"Вз.зв'язку",'Таблиця 1'!$L:$L,"Уражено"))</f>
        <v/>
      </c>
      <c r="U704">
        <f>IF($A704="","",COUNTIFS('Таблиця 1'!$B:$B,$A704,'Таблиця 1'!$E:$E,"ПММ",'Таблиця 1'!$L:$L,"Уражено"))</f>
        <v/>
      </c>
      <c r="V704">
        <f>IF($A704="","",COUNTIFS('Таблиця 1'!$B:$B,$A704,'Таблиця 1'!$E:$E,"ІФС",'Таблиця 1'!$L:$L,"Уражено"))</f>
        <v/>
      </c>
      <c r="W704">
        <f>IF($A704="","",COUNTIFS('Таблиця 1'!$B:$B,$A704,'Таблиця 1'!$E:$E,"Інфраструктура",'Таблиця 1'!$L:$L,"Уражено"))</f>
        <v/>
      </c>
      <c r="X704">
        <f>IF($A704="","",SUMIFS('Таблиця 1'!$K:$K,'Таблиця 1'!$B:$B,$A704))</f>
        <v/>
      </c>
    </row>
    <row r="705">
      <c r="A705" s="81">
        <f>IF(A704="","",IF(A704+1&gt;MAX('Таблиця 1'!$B:$B),"",A704+1))</f>
        <v/>
      </c>
      <c r="B705">
        <f>IF($A705="","",COUNTIFS('Таблиця 1'!$B:$B,$A705,'Таблиця 1'!$E:$E,"ЖС ВЗ",'Таблиця 1'!$L:$L,"Уражено"))</f>
        <v/>
      </c>
      <c r="C705">
        <f>IF($A705="","",COUNTIFS('Таблиця 1'!$B:$B,$A705,'Таблиця 1'!$E:$E,"Арт. Системи",'Таблиця 1'!$L:$L,"Уражено"))</f>
        <v/>
      </c>
      <c r="D705">
        <f>IF($A705="","",COUNTIFS('Таблиця 1'!$B:$B,$A705,'Таблиця 1'!$E:$E,"ОВТ",'Таблиця 1'!$L:$L,"Уражено"))</f>
        <v/>
      </c>
      <c r="E705">
        <f>IF($A705="","",COUNTIFS('Таблиця 1'!$B:$B,$A705,'Таблиця 1'!$E:$E,"ППО",'Таблиця 1'!$L:$L,"Уражено"))</f>
        <v/>
      </c>
      <c r="F705">
        <f>IF($A705="","",COUNTIFS('Таблиця 1'!$B:$B,$A705,'Таблиця 1'!$E:$E,"Рембаза",'Таблиця 1'!$L:$L,"Уражено"))</f>
        <v/>
      </c>
      <c r="G705">
        <f>IF($A705="","",COUNTIFS('Таблиця 1'!$B:$B,$A705,'Таблиця 1'!$E:$E,"Склад БК",'Таблиця 1'!$L:$L,"Уражено"))</f>
        <v/>
      </c>
      <c r="H705">
        <f>IF($A705="","",COUNTIFS('Таблиця 1'!$B:$B,$A705,'Таблиця 1'!$E:$E,"Склад ВТМ",'Таблиця 1'!$L:$L,"Уражено"))</f>
        <v/>
      </c>
      <c r="I705">
        <f>IF($A705="","",COUNTIFS('Таблиця 1'!$B:$B,$A705,'Таблиця 1'!$E:$E,"ПУ БпЛА",'Таблиця 1'!$L:$L,"Уражено"))</f>
        <v/>
      </c>
      <c r="J705">
        <f>IF($A705="","",COUNTIFS('Таблиця 1'!$B:$B,$A705,'Таблиця 1'!$E:$E,"СП",'Таблиця 1'!$L:$L,"Уражено"))</f>
        <v/>
      </c>
      <c r="K705">
        <f>IF($A705="","",COUNTIFS('Таблиця 1'!$B:$B,$A705,'Таблиця 1'!$E:$E,"КСП роти",'Таблиця 1'!$L:$L,"Уражено"))</f>
        <v/>
      </c>
      <c r="L705">
        <f>IF($A705="","",COUNTIFS('Таблиця 1'!$B:$B,$A705,'Таблиця 1'!$E:$E,"ПУ бат",'Таблиця 1'!$L:$L,"Уражено"))</f>
        <v/>
      </c>
      <c r="M705">
        <f>IF($A705="","",COUNTIFS('Таблиця 1'!$B:$B,$A705,'Таблиця 1'!$E:$E,"ПУ бриг",'Таблиця 1'!$L:$L,"Уражено"))</f>
        <v/>
      </c>
      <c r="N705">
        <f>IF($A705="","",COUNTIFS('Таблиця 1'!$B:$B,$A705,'Таблиця 1'!$E:$E,"ПУ див",'Таблиця 1'!$L:$L,"Уражено"))</f>
        <v/>
      </c>
      <c r="O705">
        <f>IF($A705="","",COUNTIFS('Таблиця 1'!$B:$B,$A705,'Таблиця 1'!$E:$E,"обл. РЕБ",'Таблиця 1'!$L:$L,"Уражено"))</f>
        <v/>
      </c>
      <c r="P705">
        <f>IF($A705="","",COUNTIFS('Таблиця 1'!$B:$B,$A705,'Таблиця 1'!$E:$E,"пос РЕБ",'Таблиця 1'!$L:$L,"Уражено"))</f>
        <v/>
      </c>
      <c r="Q705">
        <f>IF($A705="","",COUNTIFS('Таблиця 1'!$B:$B,$A705,'Таблиця 1'!$E:$E,"група РЕР",'Таблиця 1'!$L:$L,"Уражено"))</f>
        <v/>
      </c>
      <c r="R705">
        <f>IF($A705="","",COUNTIFS('Таблиця 1'!$B:$B,$A705,'Таблиця 1'!$E:$E,"РЛС КББ",'Таблиця 1'!$L:$L,"Уражено"))</f>
        <v/>
      </c>
      <c r="S705">
        <f>IF($A705="","",COUNTIFS('Таблиця 1'!$B:$B,$A705,'Таблиця 1'!$E:$E,"Ретранслятор",'Таблиця 1'!$L:$L,"Уражено"))</f>
        <v/>
      </c>
      <c r="T705">
        <f>IF($A705="","",COUNTIFS('Таблиця 1'!$B:$B,$A705,'Таблиця 1'!$E:$E,"Вз.зв'язку",'Таблиця 1'!$L:$L,"Уражено"))</f>
        <v/>
      </c>
      <c r="U705">
        <f>IF($A705="","",COUNTIFS('Таблиця 1'!$B:$B,$A705,'Таблиця 1'!$E:$E,"ПММ",'Таблиця 1'!$L:$L,"Уражено"))</f>
        <v/>
      </c>
      <c r="V705">
        <f>IF($A705="","",COUNTIFS('Таблиця 1'!$B:$B,$A705,'Таблиця 1'!$E:$E,"ІФС",'Таблиця 1'!$L:$L,"Уражено"))</f>
        <v/>
      </c>
      <c r="W705">
        <f>IF($A705="","",COUNTIFS('Таблиця 1'!$B:$B,$A705,'Таблиця 1'!$E:$E,"Інфраструктура",'Таблиця 1'!$L:$L,"Уражено"))</f>
        <v/>
      </c>
      <c r="X705">
        <f>IF($A705="","",SUMIFS('Таблиця 1'!$K:$K,'Таблиця 1'!$B:$B,$A705))</f>
        <v/>
      </c>
    </row>
    <row r="706">
      <c r="A706" s="81">
        <f>IF(A705="","",IF(A705+1&gt;MAX('Таблиця 1'!$B:$B),"",A705+1))</f>
        <v/>
      </c>
      <c r="B706">
        <f>IF($A706="","",COUNTIFS('Таблиця 1'!$B:$B,$A706,'Таблиця 1'!$E:$E,"ЖС ВЗ",'Таблиця 1'!$L:$L,"Уражено"))</f>
        <v/>
      </c>
      <c r="C706">
        <f>IF($A706="","",COUNTIFS('Таблиця 1'!$B:$B,$A706,'Таблиця 1'!$E:$E,"Арт. Системи",'Таблиця 1'!$L:$L,"Уражено"))</f>
        <v/>
      </c>
      <c r="D706">
        <f>IF($A706="","",COUNTIFS('Таблиця 1'!$B:$B,$A706,'Таблиця 1'!$E:$E,"ОВТ",'Таблиця 1'!$L:$L,"Уражено"))</f>
        <v/>
      </c>
      <c r="E706">
        <f>IF($A706="","",COUNTIFS('Таблиця 1'!$B:$B,$A706,'Таблиця 1'!$E:$E,"ППО",'Таблиця 1'!$L:$L,"Уражено"))</f>
        <v/>
      </c>
      <c r="F706">
        <f>IF($A706="","",COUNTIFS('Таблиця 1'!$B:$B,$A706,'Таблиця 1'!$E:$E,"Рембаза",'Таблиця 1'!$L:$L,"Уражено"))</f>
        <v/>
      </c>
      <c r="G706">
        <f>IF($A706="","",COUNTIFS('Таблиця 1'!$B:$B,$A706,'Таблиця 1'!$E:$E,"Склад БК",'Таблиця 1'!$L:$L,"Уражено"))</f>
        <v/>
      </c>
      <c r="H706">
        <f>IF($A706="","",COUNTIFS('Таблиця 1'!$B:$B,$A706,'Таблиця 1'!$E:$E,"Склад ВТМ",'Таблиця 1'!$L:$L,"Уражено"))</f>
        <v/>
      </c>
      <c r="I706">
        <f>IF($A706="","",COUNTIFS('Таблиця 1'!$B:$B,$A706,'Таблиця 1'!$E:$E,"ПУ БпЛА",'Таблиця 1'!$L:$L,"Уражено"))</f>
        <v/>
      </c>
      <c r="J706">
        <f>IF($A706="","",COUNTIFS('Таблиця 1'!$B:$B,$A706,'Таблиця 1'!$E:$E,"СП",'Таблиця 1'!$L:$L,"Уражено"))</f>
        <v/>
      </c>
      <c r="K706">
        <f>IF($A706="","",COUNTIFS('Таблиця 1'!$B:$B,$A706,'Таблиця 1'!$E:$E,"КСП роти",'Таблиця 1'!$L:$L,"Уражено"))</f>
        <v/>
      </c>
      <c r="L706">
        <f>IF($A706="","",COUNTIFS('Таблиця 1'!$B:$B,$A706,'Таблиця 1'!$E:$E,"ПУ бат",'Таблиця 1'!$L:$L,"Уражено"))</f>
        <v/>
      </c>
      <c r="M706">
        <f>IF($A706="","",COUNTIFS('Таблиця 1'!$B:$B,$A706,'Таблиця 1'!$E:$E,"ПУ бриг",'Таблиця 1'!$L:$L,"Уражено"))</f>
        <v/>
      </c>
      <c r="N706">
        <f>IF($A706="","",COUNTIFS('Таблиця 1'!$B:$B,$A706,'Таблиця 1'!$E:$E,"ПУ див",'Таблиця 1'!$L:$L,"Уражено"))</f>
        <v/>
      </c>
      <c r="O706">
        <f>IF($A706="","",COUNTIFS('Таблиця 1'!$B:$B,$A706,'Таблиця 1'!$E:$E,"обл. РЕБ",'Таблиця 1'!$L:$L,"Уражено"))</f>
        <v/>
      </c>
      <c r="P706">
        <f>IF($A706="","",COUNTIFS('Таблиця 1'!$B:$B,$A706,'Таблиця 1'!$E:$E,"пос РЕБ",'Таблиця 1'!$L:$L,"Уражено"))</f>
        <v/>
      </c>
      <c r="Q706">
        <f>IF($A706="","",COUNTIFS('Таблиця 1'!$B:$B,$A706,'Таблиця 1'!$E:$E,"група РЕР",'Таблиця 1'!$L:$L,"Уражено"))</f>
        <v/>
      </c>
      <c r="R706">
        <f>IF($A706="","",COUNTIFS('Таблиця 1'!$B:$B,$A706,'Таблиця 1'!$E:$E,"РЛС КББ",'Таблиця 1'!$L:$L,"Уражено"))</f>
        <v/>
      </c>
      <c r="S706">
        <f>IF($A706="","",COUNTIFS('Таблиця 1'!$B:$B,$A706,'Таблиця 1'!$E:$E,"Ретранслятор",'Таблиця 1'!$L:$L,"Уражено"))</f>
        <v/>
      </c>
      <c r="T706">
        <f>IF($A706="","",COUNTIFS('Таблиця 1'!$B:$B,$A706,'Таблиця 1'!$E:$E,"Вз.зв'язку",'Таблиця 1'!$L:$L,"Уражено"))</f>
        <v/>
      </c>
      <c r="U706">
        <f>IF($A706="","",COUNTIFS('Таблиця 1'!$B:$B,$A706,'Таблиця 1'!$E:$E,"ПММ",'Таблиця 1'!$L:$L,"Уражено"))</f>
        <v/>
      </c>
      <c r="V706">
        <f>IF($A706="","",COUNTIFS('Таблиця 1'!$B:$B,$A706,'Таблиця 1'!$E:$E,"ІФС",'Таблиця 1'!$L:$L,"Уражено"))</f>
        <v/>
      </c>
      <c r="W706">
        <f>IF($A706="","",COUNTIFS('Таблиця 1'!$B:$B,$A706,'Таблиця 1'!$E:$E,"Інфраструктура",'Таблиця 1'!$L:$L,"Уражено"))</f>
        <v/>
      </c>
      <c r="X706">
        <f>IF($A706="","",SUMIFS('Таблиця 1'!$K:$K,'Таблиця 1'!$B:$B,$A706))</f>
        <v/>
      </c>
    </row>
    <row r="707">
      <c r="A707" s="81">
        <f>IF(A706="","",IF(A706+1&gt;MAX('Таблиця 1'!$B:$B),"",A706+1))</f>
        <v/>
      </c>
      <c r="B707">
        <f>IF($A707="","",COUNTIFS('Таблиця 1'!$B:$B,$A707,'Таблиця 1'!$E:$E,"ЖС ВЗ",'Таблиця 1'!$L:$L,"Уражено"))</f>
        <v/>
      </c>
      <c r="C707">
        <f>IF($A707="","",COUNTIFS('Таблиця 1'!$B:$B,$A707,'Таблиця 1'!$E:$E,"Арт. Системи",'Таблиця 1'!$L:$L,"Уражено"))</f>
        <v/>
      </c>
      <c r="D707">
        <f>IF($A707="","",COUNTIFS('Таблиця 1'!$B:$B,$A707,'Таблиця 1'!$E:$E,"ОВТ",'Таблиця 1'!$L:$L,"Уражено"))</f>
        <v/>
      </c>
      <c r="E707">
        <f>IF($A707="","",COUNTIFS('Таблиця 1'!$B:$B,$A707,'Таблиця 1'!$E:$E,"ППО",'Таблиця 1'!$L:$L,"Уражено"))</f>
        <v/>
      </c>
      <c r="F707">
        <f>IF($A707="","",COUNTIFS('Таблиця 1'!$B:$B,$A707,'Таблиця 1'!$E:$E,"Рембаза",'Таблиця 1'!$L:$L,"Уражено"))</f>
        <v/>
      </c>
      <c r="G707">
        <f>IF($A707="","",COUNTIFS('Таблиця 1'!$B:$B,$A707,'Таблиця 1'!$E:$E,"Склад БК",'Таблиця 1'!$L:$L,"Уражено"))</f>
        <v/>
      </c>
      <c r="H707">
        <f>IF($A707="","",COUNTIFS('Таблиця 1'!$B:$B,$A707,'Таблиця 1'!$E:$E,"Склад ВТМ",'Таблиця 1'!$L:$L,"Уражено"))</f>
        <v/>
      </c>
      <c r="I707">
        <f>IF($A707="","",COUNTIFS('Таблиця 1'!$B:$B,$A707,'Таблиця 1'!$E:$E,"ПУ БпЛА",'Таблиця 1'!$L:$L,"Уражено"))</f>
        <v/>
      </c>
      <c r="J707">
        <f>IF($A707="","",COUNTIFS('Таблиця 1'!$B:$B,$A707,'Таблиця 1'!$E:$E,"СП",'Таблиця 1'!$L:$L,"Уражено"))</f>
        <v/>
      </c>
      <c r="K707">
        <f>IF($A707="","",COUNTIFS('Таблиця 1'!$B:$B,$A707,'Таблиця 1'!$E:$E,"КСП роти",'Таблиця 1'!$L:$L,"Уражено"))</f>
        <v/>
      </c>
      <c r="L707">
        <f>IF($A707="","",COUNTIFS('Таблиця 1'!$B:$B,$A707,'Таблиця 1'!$E:$E,"ПУ бат",'Таблиця 1'!$L:$L,"Уражено"))</f>
        <v/>
      </c>
      <c r="M707">
        <f>IF($A707="","",COUNTIFS('Таблиця 1'!$B:$B,$A707,'Таблиця 1'!$E:$E,"ПУ бриг",'Таблиця 1'!$L:$L,"Уражено"))</f>
        <v/>
      </c>
      <c r="N707">
        <f>IF($A707="","",COUNTIFS('Таблиця 1'!$B:$B,$A707,'Таблиця 1'!$E:$E,"ПУ див",'Таблиця 1'!$L:$L,"Уражено"))</f>
        <v/>
      </c>
      <c r="O707">
        <f>IF($A707="","",COUNTIFS('Таблиця 1'!$B:$B,$A707,'Таблиця 1'!$E:$E,"обл. РЕБ",'Таблиця 1'!$L:$L,"Уражено"))</f>
        <v/>
      </c>
      <c r="P707">
        <f>IF($A707="","",COUNTIFS('Таблиця 1'!$B:$B,$A707,'Таблиця 1'!$E:$E,"пос РЕБ",'Таблиця 1'!$L:$L,"Уражено"))</f>
        <v/>
      </c>
      <c r="Q707">
        <f>IF($A707="","",COUNTIFS('Таблиця 1'!$B:$B,$A707,'Таблиця 1'!$E:$E,"група РЕР",'Таблиця 1'!$L:$L,"Уражено"))</f>
        <v/>
      </c>
      <c r="R707">
        <f>IF($A707="","",COUNTIFS('Таблиця 1'!$B:$B,$A707,'Таблиця 1'!$E:$E,"РЛС КББ",'Таблиця 1'!$L:$L,"Уражено"))</f>
        <v/>
      </c>
      <c r="S707">
        <f>IF($A707="","",COUNTIFS('Таблиця 1'!$B:$B,$A707,'Таблиця 1'!$E:$E,"Ретранслятор",'Таблиця 1'!$L:$L,"Уражено"))</f>
        <v/>
      </c>
      <c r="T707">
        <f>IF($A707="","",COUNTIFS('Таблиця 1'!$B:$B,$A707,'Таблиця 1'!$E:$E,"Вз.зв'язку",'Таблиця 1'!$L:$L,"Уражено"))</f>
        <v/>
      </c>
      <c r="U707">
        <f>IF($A707="","",COUNTIFS('Таблиця 1'!$B:$B,$A707,'Таблиця 1'!$E:$E,"ПММ",'Таблиця 1'!$L:$L,"Уражено"))</f>
        <v/>
      </c>
      <c r="V707">
        <f>IF($A707="","",COUNTIFS('Таблиця 1'!$B:$B,$A707,'Таблиця 1'!$E:$E,"ІФС",'Таблиця 1'!$L:$L,"Уражено"))</f>
        <v/>
      </c>
      <c r="W707">
        <f>IF($A707="","",COUNTIFS('Таблиця 1'!$B:$B,$A707,'Таблиця 1'!$E:$E,"Інфраструктура",'Таблиця 1'!$L:$L,"Уражено"))</f>
        <v/>
      </c>
      <c r="X707">
        <f>IF($A707="","",SUMIFS('Таблиця 1'!$K:$K,'Таблиця 1'!$B:$B,$A707))</f>
        <v/>
      </c>
    </row>
    <row r="708">
      <c r="A708" s="81">
        <f>IF(A707="","",IF(A707+1&gt;MAX('Таблиця 1'!$B:$B),"",A707+1))</f>
        <v/>
      </c>
      <c r="B708">
        <f>IF($A708="","",COUNTIFS('Таблиця 1'!$B:$B,$A708,'Таблиця 1'!$E:$E,"ЖС ВЗ",'Таблиця 1'!$L:$L,"Уражено"))</f>
        <v/>
      </c>
      <c r="C708">
        <f>IF($A708="","",COUNTIFS('Таблиця 1'!$B:$B,$A708,'Таблиця 1'!$E:$E,"Арт. Системи",'Таблиця 1'!$L:$L,"Уражено"))</f>
        <v/>
      </c>
      <c r="D708">
        <f>IF($A708="","",COUNTIFS('Таблиця 1'!$B:$B,$A708,'Таблиця 1'!$E:$E,"ОВТ",'Таблиця 1'!$L:$L,"Уражено"))</f>
        <v/>
      </c>
      <c r="E708">
        <f>IF($A708="","",COUNTIFS('Таблиця 1'!$B:$B,$A708,'Таблиця 1'!$E:$E,"ППО",'Таблиця 1'!$L:$L,"Уражено"))</f>
        <v/>
      </c>
      <c r="F708">
        <f>IF($A708="","",COUNTIFS('Таблиця 1'!$B:$B,$A708,'Таблиця 1'!$E:$E,"Рембаза",'Таблиця 1'!$L:$L,"Уражено"))</f>
        <v/>
      </c>
      <c r="G708">
        <f>IF($A708="","",COUNTIFS('Таблиця 1'!$B:$B,$A708,'Таблиця 1'!$E:$E,"Склад БК",'Таблиця 1'!$L:$L,"Уражено"))</f>
        <v/>
      </c>
      <c r="H708">
        <f>IF($A708="","",COUNTIFS('Таблиця 1'!$B:$B,$A708,'Таблиця 1'!$E:$E,"Склад ВТМ",'Таблиця 1'!$L:$L,"Уражено"))</f>
        <v/>
      </c>
      <c r="I708">
        <f>IF($A708="","",COUNTIFS('Таблиця 1'!$B:$B,$A708,'Таблиця 1'!$E:$E,"ПУ БпЛА",'Таблиця 1'!$L:$L,"Уражено"))</f>
        <v/>
      </c>
      <c r="J708">
        <f>IF($A708="","",COUNTIFS('Таблиця 1'!$B:$B,$A708,'Таблиця 1'!$E:$E,"СП",'Таблиця 1'!$L:$L,"Уражено"))</f>
        <v/>
      </c>
      <c r="K708">
        <f>IF($A708="","",COUNTIFS('Таблиця 1'!$B:$B,$A708,'Таблиця 1'!$E:$E,"КСП роти",'Таблиця 1'!$L:$L,"Уражено"))</f>
        <v/>
      </c>
      <c r="L708">
        <f>IF($A708="","",COUNTIFS('Таблиця 1'!$B:$B,$A708,'Таблиця 1'!$E:$E,"ПУ бат",'Таблиця 1'!$L:$L,"Уражено"))</f>
        <v/>
      </c>
      <c r="M708">
        <f>IF($A708="","",COUNTIFS('Таблиця 1'!$B:$B,$A708,'Таблиця 1'!$E:$E,"ПУ бриг",'Таблиця 1'!$L:$L,"Уражено"))</f>
        <v/>
      </c>
      <c r="N708">
        <f>IF($A708="","",COUNTIFS('Таблиця 1'!$B:$B,$A708,'Таблиця 1'!$E:$E,"ПУ див",'Таблиця 1'!$L:$L,"Уражено"))</f>
        <v/>
      </c>
      <c r="O708">
        <f>IF($A708="","",COUNTIFS('Таблиця 1'!$B:$B,$A708,'Таблиця 1'!$E:$E,"обл. РЕБ",'Таблиця 1'!$L:$L,"Уражено"))</f>
        <v/>
      </c>
      <c r="P708">
        <f>IF($A708="","",COUNTIFS('Таблиця 1'!$B:$B,$A708,'Таблиця 1'!$E:$E,"пос РЕБ",'Таблиця 1'!$L:$L,"Уражено"))</f>
        <v/>
      </c>
      <c r="Q708">
        <f>IF($A708="","",COUNTIFS('Таблиця 1'!$B:$B,$A708,'Таблиця 1'!$E:$E,"група РЕР",'Таблиця 1'!$L:$L,"Уражено"))</f>
        <v/>
      </c>
      <c r="R708">
        <f>IF($A708="","",COUNTIFS('Таблиця 1'!$B:$B,$A708,'Таблиця 1'!$E:$E,"РЛС КББ",'Таблиця 1'!$L:$L,"Уражено"))</f>
        <v/>
      </c>
      <c r="S708">
        <f>IF($A708="","",COUNTIFS('Таблиця 1'!$B:$B,$A708,'Таблиця 1'!$E:$E,"Ретранслятор",'Таблиця 1'!$L:$L,"Уражено"))</f>
        <v/>
      </c>
      <c r="T708">
        <f>IF($A708="","",COUNTIFS('Таблиця 1'!$B:$B,$A708,'Таблиця 1'!$E:$E,"Вз.зв'язку",'Таблиця 1'!$L:$L,"Уражено"))</f>
        <v/>
      </c>
      <c r="U708">
        <f>IF($A708="","",COUNTIFS('Таблиця 1'!$B:$B,$A708,'Таблиця 1'!$E:$E,"ПММ",'Таблиця 1'!$L:$L,"Уражено"))</f>
        <v/>
      </c>
      <c r="V708">
        <f>IF($A708="","",COUNTIFS('Таблиця 1'!$B:$B,$A708,'Таблиця 1'!$E:$E,"ІФС",'Таблиця 1'!$L:$L,"Уражено"))</f>
        <v/>
      </c>
      <c r="W708">
        <f>IF($A708="","",COUNTIFS('Таблиця 1'!$B:$B,$A708,'Таблиця 1'!$E:$E,"Інфраструктура",'Таблиця 1'!$L:$L,"Уражено"))</f>
        <v/>
      </c>
      <c r="X708">
        <f>IF($A708="","",SUMIFS('Таблиця 1'!$K:$K,'Таблиця 1'!$B:$B,$A708))</f>
        <v/>
      </c>
    </row>
    <row r="709">
      <c r="A709" s="81">
        <f>IF(A708="","",IF(A708+1&gt;MAX('Таблиця 1'!$B:$B),"",A708+1))</f>
        <v/>
      </c>
      <c r="B709">
        <f>IF($A709="","",COUNTIFS('Таблиця 1'!$B:$B,$A709,'Таблиця 1'!$E:$E,"ЖС ВЗ",'Таблиця 1'!$L:$L,"Уражено"))</f>
        <v/>
      </c>
      <c r="C709">
        <f>IF($A709="","",COUNTIFS('Таблиця 1'!$B:$B,$A709,'Таблиця 1'!$E:$E,"Арт. Системи",'Таблиця 1'!$L:$L,"Уражено"))</f>
        <v/>
      </c>
      <c r="D709">
        <f>IF($A709="","",COUNTIFS('Таблиця 1'!$B:$B,$A709,'Таблиця 1'!$E:$E,"ОВТ",'Таблиця 1'!$L:$L,"Уражено"))</f>
        <v/>
      </c>
      <c r="E709">
        <f>IF($A709="","",COUNTIFS('Таблиця 1'!$B:$B,$A709,'Таблиця 1'!$E:$E,"ППО",'Таблиця 1'!$L:$L,"Уражено"))</f>
        <v/>
      </c>
      <c r="F709">
        <f>IF($A709="","",COUNTIFS('Таблиця 1'!$B:$B,$A709,'Таблиця 1'!$E:$E,"Рембаза",'Таблиця 1'!$L:$L,"Уражено"))</f>
        <v/>
      </c>
      <c r="G709">
        <f>IF($A709="","",COUNTIFS('Таблиця 1'!$B:$B,$A709,'Таблиця 1'!$E:$E,"Склад БК",'Таблиця 1'!$L:$L,"Уражено"))</f>
        <v/>
      </c>
      <c r="H709">
        <f>IF($A709="","",COUNTIFS('Таблиця 1'!$B:$B,$A709,'Таблиця 1'!$E:$E,"Склад ВТМ",'Таблиця 1'!$L:$L,"Уражено"))</f>
        <v/>
      </c>
      <c r="I709">
        <f>IF($A709="","",COUNTIFS('Таблиця 1'!$B:$B,$A709,'Таблиця 1'!$E:$E,"ПУ БпЛА",'Таблиця 1'!$L:$L,"Уражено"))</f>
        <v/>
      </c>
      <c r="J709">
        <f>IF($A709="","",COUNTIFS('Таблиця 1'!$B:$B,$A709,'Таблиця 1'!$E:$E,"СП",'Таблиця 1'!$L:$L,"Уражено"))</f>
        <v/>
      </c>
      <c r="K709">
        <f>IF($A709="","",COUNTIFS('Таблиця 1'!$B:$B,$A709,'Таблиця 1'!$E:$E,"КСП роти",'Таблиця 1'!$L:$L,"Уражено"))</f>
        <v/>
      </c>
      <c r="L709">
        <f>IF($A709="","",COUNTIFS('Таблиця 1'!$B:$B,$A709,'Таблиця 1'!$E:$E,"ПУ бат",'Таблиця 1'!$L:$L,"Уражено"))</f>
        <v/>
      </c>
      <c r="M709">
        <f>IF($A709="","",COUNTIFS('Таблиця 1'!$B:$B,$A709,'Таблиця 1'!$E:$E,"ПУ бриг",'Таблиця 1'!$L:$L,"Уражено"))</f>
        <v/>
      </c>
      <c r="N709">
        <f>IF($A709="","",COUNTIFS('Таблиця 1'!$B:$B,$A709,'Таблиця 1'!$E:$E,"ПУ див",'Таблиця 1'!$L:$L,"Уражено"))</f>
        <v/>
      </c>
      <c r="O709">
        <f>IF($A709="","",COUNTIFS('Таблиця 1'!$B:$B,$A709,'Таблиця 1'!$E:$E,"обл. РЕБ",'Таблиця 1'!$L:$L,"Уражено"))</f>
        <v/>
      </c>
      <c r="P709">
        <f>IF($A709="","",COUNTIFS('Таблиця 1'!$B:$B,$A709,'Таблиця 1'!$E:$E,"пос РЕБ",'Таблиця 1'!$L:$L,"Уражено"))</f>
        <v/>
      </c>
      <c r="Q709">
        <f>IF($A709="","",COUNTIFS('Таблиця 1'!$B:$B,$A709,'Таблиця 1'!$E:$E,"група РЕР",'Таблиця 1'!$L:$L,"Уражено"))</f>
        <v/>
      </c>
      <c r="R709">
        <f>IF($A709="","",COUNTIFS('Таблиця 1'!$B:$B,$A709,'Таблиця 1'!$E:$E,"РЛС КББ",'Таблиця 1'!$L:$L,"Уражено"))</f>
        <v/>
      </c>
      <c r="S709">
        <f>IF($A709="","",COUNTIFS('Таблиця 1'!$B:$B,$A709,'Таблиця 1'!$E:$E,"Ретранслятор",'Таблиця 1'!$L:$L,"Уражено"))</f>
        <v/>
      </c>
      <c r="T709">
        <f>IF($A709="","",COUNTIFS('Таблиця 1'!$B:$B,$A709,'Таблиця 1'!$E:$E,"Вз.зв'язку",'Таблиця 1'!$L:$L,"Уражено"))</f>
        <v/>
      </c>
      <c r="U709">
        <f>IF($A709="","",COUNTIFS('Таблиця 1'!$B:$B,$A709,'Таблиця 1'!$E:$E,"ПММ",'Таблиця 1'!$L:$L,"Уражено"))</f>
        <v/>
      </c>
      <c r="V709">
        <f>IF($A709="","",COUNTIFS('Таблиця 1'!$B:$B,$A709,'Таблиця 1'!$E:$E,"ІФС",'Таблиця 1'!$L:$L,"Уражено"))</f>
        <v/>
      </c>
      <c r="W709">
        <f>IF($A709="","",COUNTIFS('Таблиця 1'!$B:$B,$A709,'Таблиця 1'!$E:$E,"Інфраструктура",'Таблиця 1'!$L:$L,"Уражено"))</f>
        <v/>
      </c>
      <c r="X709">
        <f>IF($A709="","",SUMIFS('Таблиця 1'!$K:$K,'Таблиця 1'!$B:$B,$A709))</f>
        <v/>
      </c>
    </row>
    <row r="710">
      <c r="A710" s="81">
        <f>IF(A709="","",IF(A709+1&gt;MAX('Таблиця 1'!$B:$B),"",A709+1))</f>
        <v/>
      </c>
      <c r="B710">
        <f>IF($A710="","",COUNTIFS('Таблиця 1'!$B:$B,$A710,'Таблиця 1'!$E:$E,"ЖС ВЗ",'Таблиця 1'!$L:$L,"Уражено"))</f>
        <v/>
      </c>
      <c r="C710">
        <f>IF($A710="","",COUNTIFS('Таблиця 1'!$B:$B,$A710,'Таблиця 1'!$E:$E,"Арт. Системи",'Таблиця 1'!$L:$L,"Уражено"))</f>
        <v/>
      </c>
      <c r="D710">
        <f>IF($A710="","",COUNTIFS('Таблиця 1'!$B:$B,$A710,'Таблиця 1'!$E:$E,"ОВТ",'Таблиця 1'!$L:$L,"Уражено"))</f>
        <v/>
      </c>
      <c r="E710">
        <f>IF($A710="","",COUNTIFS('Таблиця 1'!$B:$B,$A710,'Таблиця 1'!$E:$E,"ППО",'Таблиця 1'!$L:$L,"Уражено"))</f>
        <v/>
      </c>
      <c r="F710">
        <f>IF($A710="","",COUNTIFS('Таблиця 1'!$B:$B,$A710,'Таблиця 1'!$E:$E,"Рембаза",'Таблиця 1'!$L:$L,"Уражено"))</f>
        <v/>
      </c>
      <c r="G710">
        <f>IF($A710="","",COUNTIFS('Таблиця 1'!$B:$B,$A710,'Таблиця 1'!$E:$E,"Склад БК",'Таблиця 1'!$L:$L,"Уражено"))</f>
        <v/>
      </c>
      <c r="H710">
        <f>IF($A710="","",COUNTIFS('Таблиця 1'!$B:$B,$A710,'Таблиця 1'!$E:$E,"Склад ВТМ",'Таблиця 1'!$L:$L,"Уражено"))</f>
        <v/>
      </c>
      <c r="I710">
        <f>IF($A710="","",COUNTIFS('Таблиця 1'!$B:$B,$A710,'Таблиця 1'!$E:$E,"ПУ БпЛА",'Таблиця 1'!$L:$L,"Уражено"))</f>
        <v/>
      </c>
      <c r="J710">
        <f>IF($A710="","",COUNTIFS('Таблиця 1'!$B:$B,$A710,'Таблиця 1'!$E:$E,"СП",'Таблиця 1'!$L:$L,"Уражено"))</f>
        <v/>
      </c>
      <c r="K710">
        <f>IF($A710="","",COUNTIFS('Таблиця 1'!$B:$B,$A710,'Таблиця 1'!$E:$E,"КСП роти",'Таблиця 1'!$L:$L,"Уражено"))</f>
        <v/>
      </c>
      <c r="L710">
        <f>IF($A710="","",COUNTIFS('Таблиця 1'!$B:$B,$A710,'Таблиця 1'!$E:$E,"ПУ бат",'Таблиця 1'!$L:$L,"Уражено"))</f>
        <v/>
      </c>
      <c r="M710">
        <f>IF($A710="","",COUNTIFS('Таблиця 1'!$B:$B,$A710,'Таблиця 1'!$E:$E,"ПУ бриг",'Таблиця 1'!$L:$L,"Уражено"))</f>
        <v/>
      </c>
      <c r="N710">
        <f>IF($A710="","",COUNTIFS('Таблиця 1'!$B:$B,$A710,'Таблиця 1'!$E:$E,"ПУ див",'Таблиця 1'!$L:$L,"Уражено"))</f>
        <v/>
      </c>
      <c r="O710">
        <f>IF($A710="","",COUNTIFS('Таблиця 1'!$B:$B,$A710,'Таблиця 1'!$E:$E,"обл. РЕБ",'Таблиця 1'!$L:$L,"Уражено"))</f>
        <v/>
      </c>
      <c r="P710">
        <f>IF($A710="","",COUNTIFS('Таблиця 1'!$B:$B,$A710,'Таблиця 1'!$E:$E,"пос РЕБ",'Таблиця 1'!$L:$L,"Уражено"))</f>
        <v/>
      </c>
      <c r="Q710">
        <f>IF($A710="","",COUNTIFS('Таблиця 1'!$B:$B,$A710,'Таблиця 1'!$E:$E,"група РЕР",'Таблиця 1'!$L:$L,"Уражено"))</f>
        <v/>
      </c>
      <c r="R710">
        <f>IF($A710="","",COUNTIFS('Таблиця 1'!$B:$B,$A710,'Таблиця 1'!$E:$E,"РЛС КББ",'Таблиця 1'!$L:$L,"Уражено"))</f>
        <v/>
      </c>
      <c r="S710">
        <f>IF($A710="","",COUNTIFS('Таблиця 1'!$B:$B,$A710,'Таблиця 1'!$E:$E,"Ретранслятор",'Таблиця 1'!$L:$L,"Уражено"))</f>
        <v/>
      </c>
      <c r="T710">
        <f>IF($A710="","",COUNTIFS('Таблиця 1'!$B:$B,$A710,'Таблиця 1'!$E:$E,"Вз.зв'язку",'Таблиця 1'!$L:$L,"Уражено"))</f>
        <v/>
      </c>
      <c r="U710">
        <f>IF($A710="","",COUNTIFS('Таблиця 1'!$B:$B,$A710,'Таблиця 1'!$E:$E,"ПММ",'Таблиця 1'!$L:$L,"Уражено"))</f>
        <v/>
      </c>
      <c r="V710">
        <f>IF($A710="","",COUNTIFS('Таблиця 1'!$B:$B,$A710,'Таблиця 1'!$E:$E,"ІФС",'Таблиця 1'!$L:$L,"Уражено"))</f>
        <v/>
      </c>
      <c r="W710">
        <f>IF($A710="","",COUNTIFS('Таблиця 1'!$B:$B,$A710,'Таблиця 1'!$E:$E,"Інфраструктура",'Таблиця 1'!$L:$L,"Уражено"))</f>
        <v/>
      </c>
      <c r="X710">
        <f>IF($A710="","",SUMIFS('Таблиця 1'!$K:$K,'Таблиця 1'!$B:$B,$A710))</f>
        <v/>
      </c>
    </row>
    <row r="711">
      <c r="A711" s="81">
        <f>IF(A710="","",IF(A710+1&gt;MAX('Таблиця 1'!$B:$B),"",A710+1))</f>
        <v/>
      </c>
      <c r="B711">
        <f>IF($A711="","",COUNTIFS('Таблиця 1'!$B:$B,$A711,'Таблиця 1'!$E:$E,"ЖС ВЗ",'Таблиця 1'!$L:$L,"Уражено"))</f>
        <v/>
      </c>
      <c r="C711">
        <f>IF($A711="","",COUNTIFS('Таблиця 1'!$B:$B,$A711,'Таблиця 1'!$E:$E,"Арт. Системи",'Таблиця 1'!$L:$L,"Уражено"))</f>
        <v/>
      </c>
      <c r="D711">
        <f>IF($A711="","",COUNTIFS('Таблиця 1'!$B:$B,$A711,'Таблиця 1'!$E:$E,"ОВТ",'Таблиця 1'!$L:$L,"Уражено"))</f>
        <v/>
      </c>
      <c r="E711">
        <f>IF($A711="","",COUNTIFS('Таблиця 1'!$B:$B,$A711,'Таблиця 1'!$E:$E,"ППО",'Таблиця 1'!$L:$L,"Уражено"))</f>
        <v/>
      </c>
      <c r="F711">
        <f>IF($A711="","",COUNTIFS('Таблиця 1'!$B:$B,$A711,'Таблиця 1'!$E:$E,"Рембаза",'Таблиця 1'!$L:$L,"Уражено"))</f>
        <v/>
      </c>
      <c r="G711">
        <f>IF($A711="","",COUNTIFS('Таблиця 1'!$B:$B,$A711,'Таблиця 1'!$E:$E,"Склад БК",'Таблиця 1'!$L:$L,"Уражено"))</f>
        <v/>
      </c>
      <c r="H711">
        <f>IF($A711="","",COUNTIFS('Таблиця 1'!$B:$B,$A711,'Таблиця 1'!$E:$E,"Склад ВТМ",'Таблиця 1'!$L:$L,"Уражено"))</f>
        <v/>
      </c>
      <c r="I711">
        <f>IF($A711="","",COUNTIFS('Таблиця 1'!$B:$B,$A711,'Таблиця 1'!$E:$E,"ПУ БпЛА",'Таблиця 1'!$L:$L,"Уражено"))</f>
        <v/>
      </c>
      <c r="J711">
        <f>IF($A711="","",COUNTIFS('Таблиця 1'!$B:$B,$A711,'Таблиця 1'!$E:$E,"СП",'Таблиця 1'!$L:$L,"Уражено"))</f>
        <v/>
      </c>
      <c r="K711">
        <f>IF($A711="","",COUNTIFS('Таблиця 1'!$B:$B,$A711,'Таблиця 1'!$E:$E,"КСП роти",'Таблиця 1'!$L:$L,"Уражено"))</f>
        <v/>
      </c>
      <c r="L711">
        <f>IF($A711="","",COUNTIFS('Таблиця 1'!$B:$B,$A711,'Таблиця 1'!$E:$E,"ПУ бат",'Таблиця 1'!$L:$L,"Уражено"))</f>
        <v/>
      </c>
      <c r="M711">
        <f>IF($A711="","",COUNTIFS('Таблиця 1'!$B:$B,$A711,'Таблиця 1'!$E:$E,"ПУ бриг",'Таблиця 1'!$L:$L,"Уражено"))</f>
        <v/>
      </c>
      <c r="N711">
        <f>IF($A711="","",COUNTIFS('Таблиця 1'!$B:$B,$A711,'Таблиця 1'!$E:$E,"ПУ див",'Таблиця 1'!$L:$L,"Уражено"))</f>
        <v/>
      </c>
      <c r="O711">
        <f>IF($A711="","",COUNTIFS('Таблиця 1'!$B:$B,$A711,'Таблиця 1'!$E:$E,"обл. РЕБ",'Таблиця 1'!$L:$L,"Уражено"))</f>
        <v/>
      </c>
      <c r="P711">
        <f>IF($A711="","",COUNTIFS('Таблиця 1'!$B:$B,$A711,'Таблиця 1'!$E:$E,"пос РЕБ",'Таблиця 1'!$L:$L,"Уражено"))</f>
        <v/>
      </c>
      <c r="Q711">
        <f>IF($A711="","",COUNTIFS('Таблиця 1'!$B:$B,$A711,'Таблиця 1'!$E:$E,"група РЕР",'Таблиця 1'!$L:$L,"Уражено"))</f>
        <v/>
      </c>
      <c r="R711">
        <f>IF($A711="","",COUNTIFS('Таблиця 1'!$B:$B,$A711,'Таблиця 1'!$E:$E,"РЛС КББ",'Таблиця 1'!$L:$L,"Уражено"))</f>
        <v/>
      </c>
      <c r="S711">
        <f>IF($A711="","",COUNTIFS('Таблиця 1'!$B:$B,$A711,'Таблиця 1'!$E:$E,"Ретранслятор",'Таблиця 1'!$L:$L,"Уражено"))</f>
        <v/>
      </c>
      <c r="T711">
        <f>IF($A711="","",COUNTIFS('Таблиця 1'!$B:$B,$A711,'Таблиця 1'!$E:$E,"Вз.зв'язку",'Таблиця 1'!$L:$L,"Уражено"))</f>
        <v/>
      </c>
      <c r="U711">
        <f>IF($A711="","",COUNTIFS('Таблиця 1'!$B:$B,$A711,'Таблиця 1'!$E:$E,"ПММ",'Таблиця 1'!$L:$L,"Уражено"))</f>
        <v/>
      </c>
      <c r="V711">
        <f>IF($A711="","",COUNTIFS('Таблиця 1'!$B:$B,$A711,'Таблиця 1'!$E:$E,"ІФС",'Таблиця 1'!$L:$L,"Уражено"))</f>
        <v/>
      </c>
      <c r="W711">
        <f>IF($A711="","",COUNTIFS('Таблиця 1'!$B:$B,$A711,'Таблиця 1'!$E:$E,"Інфраструктура",'Таблиця 1'!$L:$L,"Уражено"))</f>
        <v/>
      </c>
      <c r="X711">
        <f>IF($A711="","",SUMIFS('Таблиця 1'!$K:$K,'Таблиця 1'!$B:$B,$A711))</f>
        <v/>
      </c>
    </row>
    <row r="712">
      <c r="A712" s="81">
        <f>IF(A711="","",IF(A711+1&gt;MAX('Таблиця 1'!$B:$B),"",A711+1))</f>
        <v/>
      </c>
      <c r="B712">
        <f>IF($A712="","",COUNTIFS('Таблиця 1'!$B:$B,$A712,'Таблиця 1'!$E:$E,"ЖС ВЗ",'Таблиця 1'!$L:$L,"Уражено"))</f>
        <v/>
      </c>
      <c r="C712">
        <f>IF($A712="","",COUNTIFS('Таблиця 1'!$B:$B,$A712,'Таблиця 1'!$E:$E,"Арт. Системи",'Таблиця 1'!$L:$L,"Уражено"))</f>
        <v/>
      </c>
      <c r="D712">
        <f>IF($A712="","",COUNTIFS('Таблиця 1'!$B:$B,$A712,'Таблиця 1'!$E:$E,"ОВТ",'Таблиця 1'!$L:$L,"Уражено"))</f>
        <v/>
      </c>
      <c r="E712">
        <f>IF($A712="","",COUNTIFS('Таблиця 1'!$B:$B,$A712,'Таблиця 1'!$E:$E,"ППО",'Таблиця 1'!$L:$L,"Уражено"))</f>
        <v/>
      </c>
      <c r="F712">
        <f>IF($A712="","",COUNTIFS('Таблиця 1'!$B:$B,$A712,'Таблиця 1'!$E:$E,"Рембаза",'Таблиця 1'!$L:$L,"Уражено"))</f>
        <v/>
      </c>
      <c r="G712">
        <f>IF($A712="","",COUNTIFS('Таблиця 1'!$B:$B,$A712,'Таблиця 1'!$E:$E,"Склад БК",'Таблиця 1'!$L:$L,"Уражено"))</f>
        <v/>
      </c>
      <c r="H712">
        <f>IF($A712="","",COUNTIFS('Таблиця 1'!$B:$B,$A712,'Таблиця 1'!$E:$E,"Склад ВТМ",'Таблиця 1'!$L:$L,"Уражено"))</f>
        <v/>
      </c>
      <c r="I712">
        <f>IF($A712="","",COUNTIFS('Таблиця 1'!$B:$B,$A712,'Таблиця 1'!$E:$E,"ПУ БпЛА",'Таблиця 1'!$L:$L,"Уражено"))</f>
        <v/>
      </c>
      <c r="J712">
        <f>IF($A712="","",COUNTIFS('Таблиця 1'!$B:$B,$A712,'Таблиця 1'!$E:$E,"СП",'Таблиця 1'!$L:$L,"Уражено"))</f>
        <v/>
      </c>
      <c r="K712">
        <f>IF($A712="","",COUNTIFS('Таблиця 1'!$B:$B,$A712,'Таблиця 1'!$E:$E,"КСП роти",'Таблиця 1'!$L:$L,"Уражено"))</f>
        <v/>
      </c>
      <c r="L712">
        <f>IF($A712="","",COUNTIFS('Таблиця 1'!$B:$B,$A712,'Таблиця 1'!$E:$E,"ПУ бат",'Таблиця 1'!$L:$L,"Уражено"))</f>
        <v/>
      </c>
      <c r="M712">
        <f>IF($A712="","",COUNTIFS('Таблиця 1'!$B:$B,$A712,'Таблиця 1'!$E:$E,"ПУ бриг",'Таблиця 1'!$L:$L,"Уражено"))</f>
        <v/>
      </c>
      <c r="N712">
        <f>IF($A712="","",COUNTIFS('Таблиця 1'!$B:$B,$A712,'Таблиця 1'!$E:$E,"ПУ див",'Таблиця 1'!$L:$L,"Уражено"))</f>
        <v/>
      </c>
      <c r="O712">
        <f>IF($A712="","",COUNTIFS('Таблиця 1'!$B:$B,$A712,'Таблиця 1'!$E:$E,"обл. РЕБ",'Таблиця 1'!$L:$L,"Уражено"))</f>
        <v/>
      </c>
      <c r="P712">
        <f>IF($A712="","",COUNTIFS('Таблиця 1'!$B:$B,$A712,'Таблиця 1'!$E:$E,"пос РЕБ",'Таблиця 1'!$L:$L,"Уражено"))</f>
        <v/>
      </c>
      <c r="Q712">
        <f>IF($A712="","",COUNTIFS('Таблиця 1'!$B:$B,$A712,'Таблиця 1'!$E:$E,"група РЕР",'Таблиця 1'!$L:$L,"Уражено"))</f>
        <v/>
      </c>
      <c r="R712">
        <f>IF($A712="","",COUNTIFS('Таблиця 1'!$B:$B,$A712,'Таблиця 1'!$E:$E,"РЛС КББ",'Таблиця 1'!$L:$L,"Уражено"))</f>
        <v/>
      </c>
      <c r="S712">
        <f>IF($A712="","",COUNTIFS('Таблиця 1'!$B:$B,$A712,'Таблиця 1'!$E:$E,"Ретранслятор",'Таблиця 1'!$L:$L,"Уражено"))</f>
        <v/>
      </c>
      <c r="T712">
        <f>IF($A712="","",COUNTIFS('Таблиця 1'!$B:$B,$A712,'Таблиця 1'!$E:$E,"Вз.зв'язку",'Таблиця 1'!$L:$L,"Уражено"))</f>
        <v/>
      </c>
      <c r="U712">
        <f>IF($A712="","",COUNTIFS('Таблиця 1'!$B:$B,$A712,'Таблиця 1'!$E:$E,"ПММ",'Таблиця 1'!$L:$L,"Уражено"))</f>
        <v/>
      </c>
      <c r="V712">
        <f>IF($A712="","",COUNTIFS('Таблиця 1'!$B:$B,$A712,'Таблиця 1'!$E:$E,"ІФС",'Таблиця 1'!$L:$L,"Уражено"))</f>
        <v/>
      </c>
      <c r="W712">
        <f>IF($A712="","",COUNTIFS('Таблиця 1'!$B:$B,$A712,'Таблиця 1'!$E:$E,"Інфраструктура",'Таблиця 1'!$L:$L,"Уражено"))</f>
        <v/>
      </c>
      <c r="X712">
        <f>IF($A712="","",SUMIFS('Таблиця 1'!$K:$K,'Таблиця 1'!$B:$B,$A712))</f>
        <v/>
      </c>
    </row>
    <row r="713">
      <c r="A713" s="81">
        <f>IF(A712="","",IF(A712+1&gt;MAX('Таблиця 1'!$B:$B),"",A712+1))</f>
        <v/>
      </c>
      <c r="B713">
        <f>IF($A713="","",COUNTIFS('Таблиця 1'!$B:$B,$A713,'Таблиця 1'!$E:$E,"ЖС ВЗ",'Таблиця 1'!$L:$L,"Уражено"))</f>
        <v/>
      </c>
      <c r="C713">
        <f>IF($A713="","",COUNTIFS('Таблиця 1'!$B:$B,$A713,'Таблиця 1'!$E:$E,"Арт. Системи",'Таблиця 1'!$L:$L,"Уражено"))</f>
        <v/>
      </c>
      <c r="D713">
        <f>IF($A713="","",COUNTIFS('Таблиця 1'!$B:$B,$A713,'Таблиця 1'!$E:$E,"ОВТ",'Таблиця 1'!$L:$L,"Уражено"))</f>
        <v/>
      </c>
      <c r="E713">
        <f>IF($A713="","",COUNTIFS('Таблиця 1'!$B:$B,$A713,'Таблиця 1'!$E:$E,"ППО",'Таблиця 1'!$L:$L,"Уражено"))</f>
        <v/>
      </c>
      <c r="F713">
        <f>IF($A713="","",COUNTIFS('Таблиця 1'!$B:$B,$A713,'Таблиця 1'!$E:$E,"Рембаза",'Таблиця 1'!$L:$L,"Уражено"))</f>
        <v/>
      </c>
      <c r="G713">
        <f>IF($A713="","",COUNTIFS('Таблиця 1'!$B:$B,$A713,'Таблиця 1'!$E:$E,"Склад БК",'Таблиця 1'!$L:$L,"Уражено"))</f>
        <v/>
      </c>
      <c r="H713">
        <f>IF($A713="","",COUNTIFS('Таблиця 1'!$B:$B,$A713,'Таблиця 1'!$E:$E,"Склад ВТМ",'Таблиця 1'!$L:$L,"Уражено"))</f>
        <v/>
      </c>
      <c r="I713">
        <f>IF($A713="","",COUNTIFS('Таблиця 1'!$B:$B,$A713,'Таблиця 1'!$E:$E,"ПУ БпЛА",'Таблиця 1'!$L:$L,"Уражено"))</f>
        <v/>
      </c>
      <c r="J713">
        <f>IF($A713="","",COUNTIFS('Таблиця 1'!$B:$B,$A713,'Таблиця 1'!$E:$E,"СП",'Таблиця 1'!$L:$L,"Уражено"))</f>
        <v/>
      </c>
      <c r="K713">
        <f>IF($A713="","",COUNTIFS('Таблиця 1'!$B:$B,$A713,'Таблиця 1'!$E:$E,"КСП роти",'Таблиця 1'!$L:$L,"Уражено"))</f>
        <v/>
      </c>
      <c r="L713">
        <f>IF($A713="","",COUNTIFS('Таблиця 1'!$B:$B,$A713,'Таблиця 1'!$E:$E,"ПУ бат",'Таблиця 1'!$L:$L,"Уражено"))</f>
        <v/>
      </c>
      <c r="M713">
        <f>IF($A713="","",COUNTIFS('Таблиця 1'!$B:$B,$A713,'Таблиця 1'!$E:$E,"ПУ бриг",'Таблиця 1'!$L:$L,"Уражено"))</f>
        <v/>
      </c>
      <c r="N713">
        <f>IF($A713="","",COUNTIFS('Таблиця 1'!$B:$B,$A713,'Таблиця 1'!$E:$E,"ПУ див",'Таблиця 1'!$L:$L,"Уражено"))</f>
        <v/>
      </c>
      <c r="O713">
        <f>IF($A713="","",COUNTIFS('Таблиця 1'!$B:$B,$A713,'Таблиця 1'!$E:$E,"обл. РЕБ",'Таблиця 1'!$L:$L,"Уражено"))</f>
        <v/>
      </c>
      <c r="P713">
        <f>IF($A713="","",COUNTIFS('Таблиця 1'!$B:$B,$A713,'Таблиця 1'!$E:$E,"пос РЕБ",'Таблиця 1'!$L:$L,"Уражено"))</f>
        <v/>
      </c>
      <c r="Q713">
        <f>IF($A713="","",COUNTIFS('Таблиця 1'!$B:$B,$A713,'Таблиця 1'!$E:$E,"група РЕР",'Таблиця 1'!$L:$L,"Уражено"))</f>
        <v/>
      </c>
      <c r="R713">
        <f>IF($A713="","",COUNTIFS('Таблиця 1'!$B:$B,$A713,'Таблиця 1'!$E:$E,"РЛС КББ",'Таблиця 1'!$L:$L,"Уражено"))</f>
        <v/>
      </c>
      <c r="S713">
        <f>IF($A713="","",COUNTIFS('Таблиця 1'!$B:$B,$A713,'Таблиця 1'!$E:$E,"Ретранслятор",'Таблиця 1'!$L:$L,"Уражено"))</f>
        <v/>
      </c>
      <c r="T713">
        <f>IF($A713="","",COUNTIFS('Таблиця 1'!$B:$B,$A713,'Таблиця 1'!$E:$E,"Вз.зв'язку",'Таблиця 1'!$L:$L,"Уражено"))</f>
        <v/>
      </c>
      <c r="U713">
        <f>IF($A713="","",COUNTIFS('Таблиця 1'!$B:$B,$A713,'Таблиця 1'!$E:$E,"ПММ",'Таблиця 1'!$L:$L,"Уражено"))</f>
        <v/>
      </c>
      <c r="V713">
        <f>IF($A713="","",COUNTIFS('Таблиця 1'!$B:$B,$A713,'Таблиця 1'!$E:$E,"ІФС",'Таблиця 1'!$L:$L,"Уражено"))</f>
        <v/>
      </c>
      <c r="W713">
        <f>IF($A713="","",COUNTIFS('Таблиця 1'!$B:$B,$A713,'Таблиця 1'!$E:$E,"Інфраструктура",'Таблиця 1'!$L:$L,"Уражено"))</f>
        <v/>
      </c>
      <c r="X713">
        <f>IF($A713="","",SUMIFS('Таблиця 1'!$K:$K,'Таблиця 1'!$B:$B,$A713))</f>
        <v/>
      </c>
    </row>
    <row r="714">
      <c r="A714" s="81">
        <f>IF(A713="","",IF(A713+1&gt;MAX('Таблиця 1'!$B:$B),"",A713+1))</f>
        <v/>
      </c>
      <c r="B714">
        <f>IF($A714="","",COUNTIFS('Таблиця 1'!$B:$B,$A714,'Таблиця 1'!$E:$E,"ЖС ВЗ",'Таблиця 1'!$L:$L,"Уражено"))</f>
        <v/>
      </c>
      <c r="C714">
        <f>IF($A714="","",COUNTIFS('Таблиця 1'!$B:$B,$A714,'Таблиця 1'!$E:$E,"Арт. Системи",'Таблиця 1'!$L:$L,"Уражено"))</f>
        <v/>
      </c>
      <c r="D714">
        <f>IF($A714="","",COUNTIFS('Таблиця 1'!$B:$B,$A714,'Таблиця 1'!$E:$E,"ОВТ",'Таблиця 1'!$L:$L,"Уражено"))</f>
        <v/>
      </c>
      <c r="E714">
        <f>IF($A714="","",COUNTIFS('Таблиця 1'!$B:$B,$A714,'Таблиця 1'!$E:$E,"ППО",'Таблиця 1'!$L:$L,"Уражено"))</f>
        <v/>
      </c>
      <c r="F714">
        <f>IF($A714="","",COUNTIFS('Таблиця 1'!$B:$B,$A714,'Таблиця 1'!$E:$E,"Рембаза",'Таблиця 1'!$L:$L,"Уражено"))</f>
        <v/>
      </c>
      <c r="G714">
        <f>IF($A714="","",COUNTIFS('Таблиця 1'!$B:$B,$A714,'Таблиця 1'!$E:$E,"Склад БК",'Таблиця 1'!$L:$L,"Уражено"))</f>
        <v/>
      </c>
      <c r="H714">
        <f>IF($A714="","",COUNTIFS('Таблиця 1'!$B:$B,$A714,'Таблиця 1'!$E:$E,"Склад ВТМ",'Таблиця 1'!$L:$L,"Уражено"))</f>
        <v/>
      </c>
      <c r="I714">
        <f>IF($A714="","",COUNTIFS('Таблиця 1'!$B:$B,$A714,'Таблиця 1'!$E:$E,"ПУ БпЛА",'Таблиця 1'!$L:$L,"Уражено"))</f>
        <v/>
      </c>
      <c r="J714">
        <f>IF($A714="","",COUNTIFS('Таблиця 1'!$B:$B,$A714,'Таблиця 1'!$E:$E,"СП",'Таблиця 1'!$L:$L,"Уражено"))</f>
        <v/>
      </c>
      <c r="K714">
        <f>IF($A714="","",COUNTIFS('Таблиця 1'!$B:$B,$A714,'Таблиця 1'!$E:$E,"КСП роти",'Таблиця 1'!$L:$L,"Уражено"))</f>
        <v/>
      </c>
      <c r="L714">
        <f>IF($A714="","",COUNTIFS('Таблиця 1'!$B:$B,$A714,'Таблиця 1'!$E:$E,"ПУ бат",'Таблиця 1'!$L:$L,"Уражено"))</f>
        <v/>
      </c>
      <c r="M714">
        <f>IF($A714="","",COUNTIFS('Таблиця 1'!$B:$B,$A714,'Таблиця 1'!$E:$E,"ПУ бриг",'Таблиця 1'!$L:$L,"Уражено"))</f>
        <v/>
      </c>
      <c r="N714">
        <f>IF($A714="","",COUNTIFS('Таблиця 1'!$B:$B,$A714,'Таблиця 1'!$E:$E,"ПУ див",'Таблиця 1'!$L:$L,"Уражено"))</f>
        <v/>
      </c>
      <c r="O714">
        <f>IF($A714="","",COUNTIFS('Таблиця 1'!$B:$B,$A714,'Таблиця 1'!$E:$E,"обл. РЕБ",'Таблиця 1'!$L:$L,"Уражено"))</f>
        <v/>
      </c>
      <c r="P714">
        <f>IF($A714="","",COUNTIFS('Таблиця 1'!$B:$B,$A714,'Таблиця 1'!$E:$E,"пос РЕБ",'Таблиця 1'!$L:$L,"Уражено"))</f>
        <v/>
      </c>
      <c r="Q714">
        <f>IF($A714="","",COUNTIFS('Таблиця 1'!$B:$B,$A714,'Таблиця 1'!$E:$E,"група РЕР",'Таблиця 1'!$L:$L,"Уражено"))</f>
        <v/>
      </c>
      <c r="R714">
        <f>IF($A714="","",COUNTIFS('Таблиця 1'!$B:$B,$A714,'Таблиця 1'!$E:$E,"РЛС КББ",'Таблиця 1'!$L:$L,"Уражено"))</f>
        <v/>
      </c>
      <c r="S714">
        <f>IF($A714="","",COUNTIFS('Таблиця 1'!$B:$B,$A714,'Таблиця 1'!$E:$E,"Ретранслятор",'Таблиця 1'!$L:$L,"Уражено"))</f>
        <v/>
      </c>
      <c r="T714">
        <f>IF($A714="","",COUNTIFS('Таблиця 1'!$B:$B,$A714,'Таблиця 1'!$E:$E,"Вз.зв'язку",'Таблиця 1'!$L:$L,"Уражено"))</f>
        <v/>
      </c>
      <c r="U714">
        <f>IF($A714="","",COUNTIFS('Таблиця 1'!$B:$B,$A714,'Таблиця 1'!$E:$E,"ПММ",'Таблиця 1'!$L:$L,"Уражено"))</f>
        <v/>
      </c>
      <c r="V714">
        <f>IF($A714="","",COUNTIFS('Таблиця 1'!$B:$B,$A714,'Таблиця 1'!$E:$E,"ІФС",'Таблиця 1'!$L:$L,"Уражено"))</f>
        <v/>
      </c>
      <c r="W714">
        <f>IF($A714="","",COUNTIFS('Таблиця 1'!$B:$B,$A714,'Таблиця 1'!$E:$E,"Інфраструктура",'Таблиця 1'!$L:$L,"Уражено"))</f>
        <v/>
      </c>
      <c r="X714">
        <f>IF($A714="","",SUMIFS('Таблиця 1'!$K:$K,'Таблиця 1'!$B:$B,$A714))</f>
        <v/>
      </c>
    </row>
    <row r="715">
      <c r="A715" s="81">
        <f>IF(A714="","",IF(A714+1&gt;MAX('Таблиця 1'!$B:$B),"",A714+1))</f>
        <v/>
      </c>
      <c r="B715">
        <f>IF($A715="","",COUNTIFS('Таблиця 1'!$B:$B,$A715,'Таблиця 1'!$E:$E,"ЖС ВЗ",'Таблиця 1'!$L:$L,"Уражено"))</f>
        <v/>
      </c>
      <c r="C715">
        <f>IF($A715="","",COUNTIFS('Таблиця 1'!$B:$B,$A715,'Таблиця 1'!$E:$E,"Арт. Системи",'Таблиця 1'!$L:$L,"Уражено"))</f>
        <v/>
      </c>
      <c r="D715">
        <f>IF($A715="","",COUNTIFS('Таблиця 1'!$B:$B,$A715,'Таблиця 1'!$E:$E,"ОВТ",'Таблиця 1'!$L:$L,"Уражено"))</f>
        <v/>
      </c>
      <c r="E715">
        <f>IF($A715="","",COUNTIFS('Таблиця 1'!$B:$B,$A715,'Таблиця 1'!$E:$E,"ППО",'Таблиця 1'!$L:$L,"Уражено"))</f>
        <v/>
      </c>
      <c r="F715">
        <f>IF($A715="","",COUNTIFS('Таблиця 1'!$B:$B,$A715,'Таблиця 1'!$E:$E,"Рембаза",'Таблиця 1'!$L:$L,"Уражено"))</f>
        <v/>
      </c>
      <c r="G715">
        <f>IF($A715="","",COUNTIFS('Таблиця 1'!$B:$B,$A715,'Таблиця 1'!$E:$E,"Склад БК",'Таблиця 1'!$L:$L,"Уражено"))</f>
        <v/>
      </c>
      <c r="H715">
        <f>IF($A715="","",COUNTIFS('Таблиця 1'!$B:$B,$A715,'Таблиця 1'!$E:$E,"Склад ВТМ",'Таблиця 1'!$L:$L,"Уражено"))</f>
        <v/>
      </c>
      <c r="I715">
        <f>IF($A715="","",COUNTIFS('Таблиця 1'!$B:$B,$A715,'Таблиця 1'!$E:$E,"ПУ БпЛА",'Таблиця 1'!$L:$L,"Уражено"))</f>
        <v/>
      </c>
      <c r="J715">
        <f>IF($A715="","",COUNTIFS('Таблиця 1'!$B:$B,$A715,'Таблиця 1'!$E:$E,"СП",'Таблиця 1'!$L:$L,"Уражено"))</f>
        <v/>
      </c>
      <c r="K715">
        <f>IF($A715="","",COUNTIFS('Таблиця 1'!$B:$B,$A715,'Таблиця 1'!$E:$E,"КСП роти",'Таблиця 1'!$L:$L,"Уражено"))</f>
        <v/>
      </c>
      <c r="L715">
        <f>IF($A715="","",COUNTIFS('Таблиця 1'!$B:$B,$A715,'Таблиця 1'!$E:$E,"ПУ бат",'Таблиця 1'!$L:$L,"Уражено"))</f>
        <v/>
      </c>
      <c r="M715">
        <f>IF($A715="","",COUNTIFS('Таблиця 1'!$B:$B,$A715,'Таблиця 1'!$E:$E,"ПУ бриг",'Таблиця 1'!$L:$L,"Уражено"))</f>
        <v/>
      </c>
      <c r="N715">
        <f>IF($A715="","",COUNTIFS('Таблиця 1'!$B:$B,$A715,'Таблиця 1'!$E:$E,"ПУ див",'Таблиця 1'!$L:$L,"Уражено"))</f>
        <v/>
      </c>
      <c r="O715">
        <f>IF($A715="","",COUNTIFS('Таблиця 1'!$B:$B,$A715,'Таблиця 1'!$E:$E,"обл. РЕБ",'Таблиця 1'!$L:$L,"Уражено"))</f>
        <v/>
      </c>
      <c r="P715">
        <f>IF($A715="","",COUNTIFS('Таблиця 1'!$B:$B,$A715,'Таблиця 1'!$E:$E,"пос РЕБ",'Таблиця 1'!$L:$L,"Уражено"))</f>
        <v/>
      </c>
      <c r="Q715">
        <f>IF($A715="","",COUNTIFS('Таблиця 1'!$B:$B,$A715,'Таблиця 1'!$E:$E,"група РЕР",'Таблиця 1'!$L:$L,"Уражено"))</f>
        <v/>
      </c>
      <c r="R715">
        <f>IF($A715="","",COUNTIFS('Таблиця 1'!$B:$B,$A715,'Таблиця 1'!$E:$E,"РЛС КББ",'Таблиця 1'!$L:$L,"Уражено"))</f>
        <v/>
      </c>
      <c r="S715">
        <f>IF($A715="","",COUNTIFS('Таблиця 1'!$B:$B,$A715,'Таблиця 1'!$E:$E,"Ретранслятор",'Таблиця 1'!$L:$L,"Уражено"))</f>
        <v/>
      </c>
      <c r="T715">
        <f>IF($A715="","",COUNTIFS('Таблиця 1'!$B:$B,$A715,'Таблиця 1'!$E:$E,"Вз.зв'язку",'Таблиця 1'!$L:$L,"Уражено"))</f>
        <v/>
      </c>
      <c r="U715">
        <f>IF($A715="","",COUNTIFS('Таблиця 1'!$B:$B,$A715,'Таблиця 1'!$E:$E,"ПММ",'Таблиця 1'!$L:$L,"Уражено"))</f>
        <v/>
      </c>
      <c r="V715">
        <f>IF($A715="","",COUNTIFS('Таблиця 1'!$B:$B,$A715,'Таблиця 1'!$E:$E,"ІФС",'Таблиця 1'!$L:$L,"Уражено"))</f>
        <v/>
      </c>
      <c r="W715">
        <f>IF($A715="","",COUNTIFS('Таблиця 1'!$B:$B,$A715,'Таблиця 1'!$E:$E,"Інфраструктура",'Таблиця 1'!$L:$L,"Уражено"))</f>
        <v/>
      </c>
      <c r="X715">
        <f>IF($A715="","",SUMIFS('Таблиця 1'!$K:$K,'Таблиця 1'!$B:$B,$A715))</f>
        <v/>
      </c>
    </row>
    <row r="716">
      <c r="A716" s="81">
        <f>IF(A715="","",IF(A715+1&gt;MAX('Таблиця 1'!$B:$B),"",A715+1))</f>
        <v/>
      </c>
      <c r="B716">
        <f>IF($A716="","",COUNTIFS('Таблиця 1'!$B:$B,$A716,'Таблиця 1'!$E:$E,"ЖС ВЗ",'Таблиця 1'!$L:$L,"Уражено"))</f>
        <v/>
      </c>
      <c r="C716">
        <f>IF($A716="","",COUNTIFS('Таблиця 1'!$B:$B,$A716,'Таблиця 1'!$E:$E,"Арт. Системи",'Таблиця 1'!$L:$L,"Уражено"))</f>
        <v/>
      </c>
      <c r="D716">
        <f>IF($A716="","",COUNTIFS('Таблиця 1'!$B:$B,$A716,'Таблиця 1'!$E:$E,"ОВТ",'Таблиця 1'!$L:$L,"Уражено"))</f>
        <v/>
      </c>
      <c r="E716">
        <f>IF($A716="","",COUNTIFS('Таблиця 1'!$B:$B,$A716,'Таблиця 1'!$E:$E,"ППО",'Таблиця 1'!$L:$L,"Уражено"))</f>
        <v/>
      </c>
      <c r="F716">
        <f>IF($A716="","",COUNTIFS('Таблиця 1'!$B:$B,$A716,'Таблиця 1'!$E:$E,"Рембаза",'Таблиця 1'!$L:$L,"Уражено"))</f>
        <v/>
      </c>
      <c r="G716">
        <f>IF($A716="","",COUNTIFS('Таблиця 1'!$B:$B,$A716,'Таблиця 1'!$E:$E,"Склад БК",'Таблиця 1'!$L:$L,"Уражено"))</f>
        <v/>
      </c>
      <c r="H716">
        <f>IF($A716="","",COUNTIFS('Таблиця 1'!$B:$B,$A716,'Таблиця 1'!$E:$E,"Склад ВТМ",'Таблиця 1'!$L:$L,"Уражено"))</f>
        <v/>
      </c>
      <c r="I716">
        <f>IF($A716="","",COUNTIFS('Таблиця 1'!$B:$B,$A716,'Таблиця 1'!$E:$E,"ПУ БпЛА",'Таблиця 1'!$L:$L,"Уражено"))</f>
        <v/>
      </c>
      <c r="J716">
        <f>IF($A716="","",COUNTIFS('Таблиця 1'!$B:$B,$A716,'Таблиця 1'!$E:$E,"СП",'Таблиця 1'!$L:$L,"Уражено"))</f>
        <v/>
      </c>
      <c r="K716">
        <f>IF($A716="","",COUNTIFS('Таблиця 1'!$B:$B,$A716,'Таблиця 1'!$E:$E,"КСП роти",'Таблиця 1'!$L:$L,"Уражено"))</f>
        <v/>
      </c>
      <c r="L716">
        <f>IF($A716="","",COUNTIFS('Таблиця 1'!$B:$B,$A716,'Таблиця 1'!$E:$E,"ПУ бат",'Таблиця 1'!$L:$L,"Уражено"))</f>
        <v/>
      </c>
      <c r="M716">
        <f>IF($A716="","",COUNTIFS('Таблиця 1'!$B:$B,$A716,'Таблиця 1'!$E:$E,"ПУ бриг",'Таблиця 1'!$L:$L,"Уражено"))</f>
        <v/>
      </c>
      <c r="N716">
        <f>IF($A716="","",COUNTIFS('Таблиця 1'!$B:$B,$A716,'Таблиця 1'!$E:$E,"ПУ див",'Таблиця 1'!$L:$L,"Уражено"))</f>
        <v/>
      </c>
      <c r="O716">
        <f>IF($A716="","",COUNTIFS('Таблиця 1'!$B:$B,$A716,'Таблиця 1'!$E:$E,"обл. РЕБ",'Таблиця 1'!$L:$L,"Уражено"))</f>
        <v/>
      </c>
      <c r="P716">
        <f>IF($A716="","",COUNTIFS('Таблиця 1'!$B:$B,$A716,'Таблиця 1'!$E:$E,"пос РЕБ",'Таблиця 1'!$L:$L,"Уражено"))</f>
        <v/>
      </c>
      <c r="Q716">
        <f>IF($A716="","",COUNTIFS('Таблиця 1'!$B:$B,$A716,'Таблиця 1'!$E:$E,"група РЕР",'Таблиця 1'!$L:$L,"Уражено"))</f>
        <v/>
      </c>
      <c r="R716">
        <f>IF($A716="","",COUNTIFS('Таблиця 1'!$B:$B,$A716,'Таблиця 1'!$E:$E,"РЛС КББ",'Таблиця 1'!$L:$L,"Уражено"))</f>
        <v/>
      </c>
      <c r="S716">
        <f>IF($A716="","",COUNTIFS('Таблиця 1'!$B:$B,$A716,'Таблиця 1'!$E:$E,"Ретранслятор",'Таблиця 1'!$L:$L,"Уражено"))</f>
        <v/>
      </c>
      <c r="T716">
        <f>IF($A716="","",COUNTIFS('Таблиця 1'!$B:$B,$A716,'Таблиця 1'!$E:$E,"Вз.зв'язку",'Таблиця 1'!$L:$L,"Уражено"))</f>
        <v/>
      </c>
      <c r="U716">
        <f>IF($A716="","",COUNTIFS('Таблиця 1'!$B:$B,$A716,'Таблиця 1'!$E:$E,"ПММ",'Таблиця 1'!$L:$L,"Уражено"))</f>
        <v/>
      </c>
      <c r="V716">
        <f>IF($A716="","",COUNTIFS('Таблиця 1'!$B:$B,$A716,'Таблиця 1'!$E:$E,"ІФС",'Таблиця 1'!$L:$L,"Уражено"))</f>
        <v/>
      </c>
      <c r="W716">
        <f>IF($A716="","",COUNTIFS('Таблиця 1'!$B:$B,$A716,'Таблиця 1'!$E:$E,"Інфраструктура",'Таблиця 1'!$L:$L,"Уражено"))</f>
        <v/>
      </c>
      <c r="X716">
        <f>IF($A716="","",SUMIFS('Таблиця 1'!$K:$K,'Таблиця 1'!$B:$B,$A716))</f>
        <v/>
      </c>
    </row>
    <row r="717">
      <c r="A717" s="81">
        <f>IF(A716="","",IF(A716+1&gt;MAX('Таблиця 1'!$B:$B),"",A716+1))</f>
        <v/>
      </c>
      <c r="B717">
        <f>IF($A717="","",COUNTIFS('Таблиця 1'!$B:$B,$A717,'Таблиця 1'!$E:$E,"ЖС ВЗ",'Таблиця 1'!$L:$L,"Уражено"))</f>
        <v/>
      </c>
      <c r="C717">
        <f>IF($A717="","",COUNTIFS('Таблиця 1'!$B:$B,$A717,'Таблиця 1'!$E:$E,"Арт. Системи",'Таблиця 1'!$L:$L,"Уражено"))</f>
        <v/>
      </c>
      <c r="D717">
        <f>IF($A717="","",COUNTIFS('Таблиця 1'!$B:$B,$A717,'Таблиця 1'!$E:$E,"ОВТ",'Таблиця 1'!$L:$L,"Уражено"))</f>
        <v/>
      </c>
      <c r="E717">
        <f>IF($A717="","",COUNTIFS('Таблиця 1'!$B:$B,$A717,'Таблиця 1'!$E:$E,"ППО",'Таблиця 1'!$L:$L,"Уражено"))</f>
        <v/>
      </c>
      <c r="F717">
        <f>IF($A717="","",COUNTIFS('Таблиця 1'!$B:$B,$A717,'Таблиця 1'!$E:$E,"Рембаза",'Таблиця 1'!$L:$L,"Уражено"))</f>
        <v/>
      </c>
      <c r="G717">
        <f>IF($A717="","",COUNTIFS('Таблиця 1'!$B:$B,$A717,'Таблиця 1'!$E:$E,"Склад БК",'Таблиця 1'!$L:$L,"Уражено"))</f>
        <v/>
      </c>
      <c r="H717">
        <f>IF($A717="","",COUNTIFS('Таблиця 1'!$B:$B,$A717,'Таблиця 1'!$E:$E,"Склад ВТМ",'Таблиця 1'!$L:$L,"Уражено"))</f>
        <v/>
      </c>
      <c r="I717">
        <f>IF($A717="","",COUNTIFS('Таблиця 1'!$B:$B,$A717,'Таблиця 1'!$E:$E,"ПУ БпЛА",'Таблиця 1'!$L:$L,"Уражено"))</f>
        <v/>
      </c>
      <c r="J717">
        <f>IF($A717="","",COUNTIFS('Таблиця 1'!$B:$B,$A717,'Таблиця 1'!$E:$E,"СП",'Таблиця 1'!$L:$L,"Уражено"))</f>
        <v/>
      </c>
      <c r="K717">
        <f>IF($A717="","",COUNTIFS('Таблиця 1'!$B:$B,$A717,'Таблиця 1'!$E:$E,"КСП роти",'Таблиця 1'!$L:$L,"Уражено"))</f>
        <v/>
      </c>
      <c r="L717">
        <f>IF($A717="","",COUNTIFS('Таблиця 1'!$B:$B,$A717,'Таблиця 1'!$E:$E,"ПУ бат",'Таблиця 1'!$L:$L,"Уражено"))</f>
        <v/>
      </c>
      <c r="M717">
        <f>IF($A717="","",COUNTIFS('Таблиця 1'!$B:$B,$A717,'Таблиця 1'!$E:$E,"ПУ бриг",'Таблиця 1'!$L:$L,"Уражено"))</f>
        <v/>
      </c>
      <c r="N717">
        <f>IF($A717="","",COUNTIFS('Таблиця 1'!$B:$B,$A717,'Таблиця 1'!$E:$E,"ПУ див",'Таблиця 1'!$L:$L,"Уражено"))</f>
        <v/>
      </c>
      <c r="O717">
        <f>IF($A717="","",COUNTIFS('Таблиця 1'!$B:$B,$A717,'Таблиця 1'!$E:$E,"обл. РЕБ",'Таблиця 1'!$L:$L,"Уражено"))</f>
        <v/>
      </c>
      <c r="P717">
        <f>IF($A717="","",COUNTIFS('Таблиця 1'!$B:$B,$A717,'Таблиця 1'!$E:$E,"пос РЕБ",'Таблиця 1'!$L:$L,"Уражено"))</f>
        <v/>
      </c>
      <c r="Q717">
        <f>IF($A717="","",COUNTIFS('Таблиця 1'!$B:$B,$A717,'Таблиця 1'!$E:$E,"група РЕР",'Таблиця 1'!$L:$L,"Уражено"))</f>
        <v/>
      </c>
      <c r="R717">
        <f>IF($A717="","",COUNTIFS('Таблиця 1'!$B:$B,$A717,'Таблиця 1'!$E:$E,"РЛС КББ",'Таблиця 1'!$L:$L,"Уражено"))</f>
        <v/>
      </c>
      <c r="S717">
        <f>IF($A717="","",COUNTIFS('Таблиця 1'!$B:$B,$A717,'Таблиця 1'!$E:$E,"Ретранслятор",'Таблиця 1'!$L:$L,"Уражено"))</f>
        <v/>
      </c>
      <c r="T717">
        <f>IF($A717="","",COUNTIFS('Таблиця 1'!$B:$B,$A717,'Таблиця 1'!$E:$E,"Вз.зв'язку",'Таблиця 1'!$L:$L,"Уражено"))</f>
        <v/>
      </c>
      <c r="U717">
        <f>IF($A717="","",COUNTIFS('Таблиця 1'!$B:$B,$A717,'Таблиця 1'!$E:$E,"ПММ",'Таблиця 1'!$L:$L,"Уражено"))</f>
        <v/>
      </c>
      <c r="V717">
        <f>IF($A717="","",COUNTIFS('Таблиця 1'!$B:$B,$A717,'Таблиця 1'!$E:$E,"ІФС",'Таблиця 1'!$L:$L,"Уражено"))</f>
        <v/>
      </c>
      <c r="W717">
        <f>IF($A717="","",COUNTIFS('Таблиця 1'!$B:$B,$A717,'Таблиця 1'!$E:$E,"Інфраструктура",'Таблиця 1'!$L:$L,"Уражено"))</f>
        <v/>
      </c>
      <c r="X717">
        <f>IF($A717="","",SUMIFS('Таблиця 1'!$K:$K,'Таблиця 1'!$B:$B,$A717))</f>
        <v/>
      </c>
    </row>
    <row r="718">
      <c r="A718" s="81">
        <f>IF(A717="","",IF(A717+1&gt;MAX('Таблиця 1'!$B:$B),"",A717+1))</f>
        <v/>
      </c>
      <c r="B718">
        <f>IF($A718="","",COUNTIFS('Таблиця 1'!$B:$B,$A718,'Таблиця 1'!$E:$E,"ЖС ВЗ",'Таблиця 1'!$L:$L,"Уражено"))</f>
        <v/>
      </c>
      <c r="C718">
        <f>IF($A718="","",COUNTIFS('Таблиця 1'!$B:$B,$A718,'Таблиця 1'!$E:$E,"Арт. Системи",'Таблиця 1'!$L:$L,"Уражено"))</f>
        <v/>
      </c>
      <c r="D718">
        <f>IF($A718="","",COUNTIFS('Таблиця 1'!$B:$B,$A718,'Таблиця 1'!$E:$E,"ОВТ",'Таблиця 1'!$L:$L,"Уражено"))</f>
        <v/>
      </c>
      <c r="E718">
        <f>IF($A718="","",COUNTIFS('Таблиця 1'!$B:$B,$A718,'Таблиця 1'!$E:$E,"ППО",'Таблиця 1'!$L:$L,"Уражено"))</f>
        <v/>
      </c>
      <c r="F718">
        <f>IF($A718="","",COUNTIFS('Таблиця 1'!$B:$B,$A718,'Таблиця 1'!$E:$E,"Рембаза",'Таблиця 1'!$L:$L,"Уражено"))</f>
        <v/>
      </c>
      <c r="G718">
        <f>IF($A718="","",COUNTIFS('Таблиця 1'!$B:$B,$A718,'Таблиця 1'!$E:$E,"Склад БК",'Таблиця 1'!$L:$L,"Уражено"))</f>
        <v/>
      </c>
      <c r="H718">
        <f>IF($A718="","",COUNTIFS('Таблиця 1'!$B:$B,$A718,'Таблиця 1'!$E:$E,"Склад ВТМ",'Таблиця 1'!$L:$L,"Уражено"))</f>
        <v/>
      </c>
      <c r="I718">
        <f>IF($A718="","",COUNTIFS('Таблиця 1'!$B:$B,$A718,'Таблиця 1'!$E:$E,"ПУ БпЛА",'Таблиця 1'!$L:$L,"Уражено"))</f>
        <v/>
      </c>
      <c r="J718">
        <f>IF($A718="","",COUNTIFS('Таблиця 1'!$B:$B,$A718,'Таблиця 1'!$E:$E,"СП",'Таблиця 1'!$L:$L,"Уражено"))</f>
        <v/>
      </c>
      <c r="K718">
        <f>IF($A718="","",COUNTIFS('Таблиця 1'!$B:$B,$A718,'Таблиця 1'!$E:$E,"КСП роти",'Таблиця 1'!$L:$L,"Уражено"))</f>
        <v/>
      </c>
      <c r="L718">
        <f>IF($A718="","",COUNTIFS('Таблиця 1'!$B:$B,$A718,'Таблиця 1'!$E:$E,"ПУ бат",'Таблиця 1'!$L:$L,"Уражено"))</f>
        <v/>
      </c>
      <c r="M718">
        <f>IF($A718="","",COUNTIFS('Таблиця 1'!$B:$B,$A718,'Таблиця 1'!$E:$E,"ПУ бриг",'Таблиця 1'!$L:$L,"Уражено"))</f>
        <v/>
      </c>
      <c r="N718">
        <f>IF($A718="","",COUNTIFS('Таблиця 1'!$B:$B,$A718,'Таблиця 1'!$E:$E,"ПУ див",'Таблиця 1'!$L:$L,"Уражено"))</f>
        <v/>
      </c>
      <c r="O718">
        <f>IF($A718="","",COUNTIFS('Таблиця 1'!$B:$B,$A718,'Таблиця 1'!$E:$E,"обл. РЕБ",'Таблиця 1'!$L:$L,"Уражено"))</f>
        <v/>
      </c>
      <c r="P718">
        <f>IF($A718="","",COUNTIFS('Таблиця 1'!$B:$B,$A718,'Таблиця 1'!$E:$E,"пос РЕБ",'Таблиця 1'!$L:$L,"Уражено"))</f>
        <v/>
      </c>
      <c r="Q718">
        <f>IF($A718="","",COUNTIFS('Таблиця 1'!$B:$B,$A718,'Таблиця 1'!$E:$E,"група РЕР",'Таблиця 1'!$L:$L,"Уражено"))</f>
        <v/>
      </c>
      <c r="R718">
        <f>IF($A718="","",COUNTIFS('Таблиця 1'!$B:$B,$A718,'Таблиця 1'!$E:$E,"РЛС КББ",'Таблиця 1'!$L:$L,"Уражено"))</f>
        <v/>
      </c>
      <c r="S718">
        <f>IF($A718="","",COUNTIFS('Таблиця 1'!$B:$B,$A718,'Таблиця 1'!$E:$E,"Ретранслятор",'Таблиця 1'!$L:$L,"Уражено"))</f>
        <v/>
      </c>
      <c r="T718">
        <f>IF($A718="","",COUNTIFS('Таблиця 1'!$B:$B,$A718,'Таблиця 1'!$E:$E,"Вз.зв'язку",'Таблиця 1'!$L:$L,"Уражено"))</f>
        <v/>
      </c>
      <c r="U718">
        <f>IF($A718="","",COUNTIFS('Таблиця 1'!$B:$B,$A718,'Таблиця 1'!$E:$E,"ПММ",'Таблиця 1'!$L:$L,"Уражено"))</f>
        <v/>
      </c>
      <c r="V718">
        <f>IF($A718="","",COUNTIFS('Таблиця 1'!$B:$B,$A718,'Таблиця 1'!$E:$E,"ІФС",'Таблиця 1'!$L:$L,"Уражено"))</f>
        <v/>
      </c>
      <c r="W718">
        <f>IF($A718="","",COUNTIFS('Таблиця 1'!$B:$B,$A718,'Таблиця 1'!$E:$E,"Інфраструктура",'Таблиця 1'!$L:$L,"Уражено"))</f>
        <v/>
      </c>
      <c r="X718">
        <f>IF($A718="","",SUMIFS('Таблиця 1'!$K:$K,'Таблиця 1'!$B:$B,$A718))</f>
        <v/>
      </c>
    </row>
    <row r="719">
      <c r="A719" s="81">
        <f>IF(A718="","",IF(A718+1&gt;MAX('Таблиця 1'!$B:$B),"",A718+1))</f>
        <v/>
      </c>
      <c r="B719">
        <f>IF($A719="","",COUNTIFS('Таблиця 1'!$B:$B,$A719,'Таблиця 1'!$E:$E,"ЖС ВЗ",'Таблиця 1'!$L:$L,"Уражено"))</f>
        <v/>
      </c>
      <c r="C719">
        <f>IF($A719="","",COUNTIFS('Таблиця 1'!$B:$B,$A719,'Таблиця 1'!$E:$E,"Арт. Системи",'Таблиця 1'!$L:$L,"Уражено"))</f>
        <v/>
      </c>
      <c r="D719">
        <f>IF($A719="","",COUNTIFS('Таблиця 1'!$B:$B,$A719,'Таблиця 1'!$E:$E,"ОВТ",'Таблиця 1'!$L:$L,"Уражено"))</f>
        <v/>
      </c>
      <c r="E719">
        <f>IF($A719="","",COUNTIFS('Таблиця 1'!$B:$B,$A719,'Таблиця 1'!$E:$E,"ППО",'Таблиця 1'!$L:$L,"Уражено"))</f>
        <v/>
      </c>
      <c r="F719">
        <f>IF($A719="","",COUNTIFS('Таблиця 1'!$B:$B,$A719,'Таблиця 1'!$E:$E,"Рембаза",'Таблиця 1'!$L:$L,"Уражено"))</f>
        <v/>
      </c>
      <c r="G719">
        <f>IF($A719="","",COUNTIFS('Таблиця 1'!$B:$B,$A719,'Таблиця 1'!$E:$E,"Склад БК",'Таблиця 1'!$L:$L,"Уражено"))</f>
        <v/>
      </c>
      <c r="H719">
        <f>IF($A719="","",COUNTIFS('Таблиця 1'!$B:$B,$A719,'Таблиця 1'!$E:$E,"Склад ВТМ",'Таблиця 1'!$L:$L,"Уражено"))</f>
        <v/>
      </c>
      <c r="I719">
        <f>IF($A719="","",COUNTIFS('Таблиця 1'!$B:$B,$A719,'Таблиця 1'!$E:$E,"ПУ БпЛА",'Таблиця 1'!$L:$L,"Уражено"))</f>
        <v/>
      </c>
      <c r="J719">
        <f>IF($A719="","",COUNTIFS('Таблиця 1'!$B:$B,$A719,'Таблиця 1'!$E:$E,"СП",'Таблиця 1'!$L:$L,"Уражено"))</f>
        <v/>
      </c>
      <c r="K719">
        <f>IF($A719="","",COUNTIFS('Таблиця 1'!$B:$B,$A719,'Таблиця 1'!$E:$E,"КСП роти",'Таблиця 1'!$L:$L,"Уражено"))</f>
        <v/>
      </c>
      <c r="L719">
        <f>IF($A719="","",COUNTIFS('Таблиця 1'!$B:$B,$A719,'Таблиця 1'!$E:$E,"ПУ бат",'Таблиця 1'!$L:$L,"Уражено"))</f>
        <v/>
      </c>
      <c r="M719">
        <f>IF($A719="","",COUNTIFS('Таблиця 1'!$B:$B,$A719,'Таблиця 1'!$E:$E,"ПУ бриг",'Таблиця 1'!$L:$L,"Уражено"))</f>
        <v/>
      </c>
      <c r="N719">
        <f>IF($A719="","",COUNTIFS('Таблиця 1'!$B:$B,$A719,'Таблиця 1'!$E:$E,"ПУ див",'Таблиця 1'!$L:$L,"Уражено"))</f>
        <v/>
      </c>
      <c r="O719">
        <f>IF($A719="","",COUNTIFS('Таблиця 1'!$B:$B,$A719,'Таблиця 1'!$E:$E,"обл. РЕБ",'Таблиця 1'!$L:$L,"Уражено"))</f>
        <v/>
      </c>
      <c r="P719">
        <f>IF($A719="","",COUNTIFS('Таблиця 1'!$B:$B,$A719,'Таблиця 1'!$E:$E,"пос РЕБ",'Таблиця 1'!$L:$L,"Уражено"))</f>
        <v/>
      </c>
      <c r="Q719">
        <f>IF($A719="","",COUNTIFS('Таблиця 1'!$B:$B,$A719,'Таблиця 1'!$E:$E,"група РЕР",'Таблиця 1'!$L:$L,"Уражено"))</f>
        <v/>
      </c>
      <c r="R719">
        <f>IF($A719="","",COUNTIFS('Таблиця 1'!$B:$B,$A719,'Таблиця 1'!$E:$E,"РЛС КББ",'Таблиця 1'!$L:$L,"Уражено"))</f>
        <v/>
      </c>
      <c r="S719">
        <f>IF($A719="","",COUNTIFS('Таблиця 1'!$B:$B,$A719,'Таблиця 1'!$E:$E,"Ретранслятор",'Таблиця 1'!$L:$L,"Уражено"))</f>
        <v/>
      </c>
      <c r="T719">
        <f>IF($A719="","",COUNTIFS('Таблиця 1'!$B:$B,$A719,'Таблиця 1'!$E:$E,"Вз.зв'язку",'Таблиця 1'!$L:$L,"Уражено"))</f>
        <v/>
      </c>
      <c r="U719">
        <f>IF($A719="","",COUNTIFS('Таблиця 1'!$B:$B,$A719,'Таблиця 1'!$E:$E,"ПММ",'Таблиця 1'!$L:$L,"Уражено"))</f>
        <v/>
      </c>
      <c r="V719">
        <f>IF($A719="","",COUNTIFS('Таблиця 1'!$B:$B,$A719,'Таблиця 1'!$E:$E,"ІФС",'Таблиця 1'!$L:$L,"Уражено"))</f>
        <v/>
      </c>
      <c r="W719">
        <f>IF($A719="","",COUNTIFS('Таблиця 1'!$B:$B,$A719,'Таблиця 1'!$E:$E,"Інфраструктура",'Таблиця 1'!$L:$L,"Уражено"))</f>
        <v/>
      </c>
      <c r="X719">
        <f>IF($A719="","",SUMIFS('Таблиця 1'!$K:$K,'Таблиця 1'!$B:$B,$A719))</f>
        <v/>
      </c>
    </row>
    <row r="720">
      <c r="A720" s="81">
        <f>IF(A719="","",IF(A719+1&gt;MAX('Таблиця 1'!$B:$B),"",A719+1))</f>
        <v/>
      </c>
      <c r="B720">
        <f>IF($A720="","",COUNTIFS('Таблиця 1'!$B:$B,$A720,'Таблиця 1'!$E:$E,"ЖС ВЗ",'Таблиця 1'!$L:$L,"Уражено"))</f>
        <v/>
      </c>
      <c r="C720">
        <f>IF($A720="","",COUNTIFS('Таблиця 1'!$B:$B,$A720,'Таблиця 1'!$E:$E,"Арт. Системи",'Таблиця 1'!$L:$L,"Уражено"))</f>
        <v/>
      </c>
      <c r="D720">
        <f>IF($A720="","",COUNTIFS('Таблиця 1'!$B:$B,$A720,'Таблиця 1'!$E:$E,"ОВТ",'Таблиця 1'!$L:$L,"Уражено"))</f>
        <v/>
      </c>
      <c r="E720">
        <f>IF($A720="","",COUNTIFS('Таблиця 1'!$B:$B,$A720,'Таблиця 1'!$E:$E,"ППО",'Таблиця 1'!$L:$L,"Уражено"))</f>
        <v/>
      </c>
      <c r="F720">
        <f>IF($A720="","",COUNTIFS('Таблиця 1'!$B:$B,$A720,'Таблиця 1'!$E:$E,"Рембаза",'Таблиця 1'!$L:$L,"Уражено"))</f>
        <v/>
      </c>
      <c r="G720">
        <f>IF($A720="","",COUNTIFS('Таблиця 1'!$B:$B,$A720,'Таблиця 1'!$E:$E,"Склад БК",'Таблиця 1'!$L:$L,"Уражено"))</f>
        <v/>
      </c>
      <c r="H720">
        <f>IF($A720="","",COUNTIFS('Таблиця 1'!$B:$B,$A720,'Таблиця 1'!$E:$E,"Склад ВТМ",'Таблиця 1'!$L:$L,"Уражено"))</f>
        <v/>
      </c>
      <c r="I720">
        <f>IF($A720="","",COUNTIFS('Таблиця 1'!$B:$B,$A720,'Таблиця 1'!$E:$E,"ПУ БпЛА",'Таблиця 1'!$L:$L,"Уражено"))</f>
        <v/>
      </c>
      <c r="J720">
        <f>IF($A720="","",COUNTIFS('Таблиця 1'!$B:$B,$A720,'Таблиця 1'!$E:$E,"СП",'Таблиця 1'!$L:$L,"Уражено"))</f>
        <v/>
      </c>
      <c r="K720">
        <f>IF($A720="","",COUNTIFS('Таблиця 1'!$B:$B,$A720,'Таблиця 1'!$E:$E,"КСП роти",'Таблиця 1'!$L:$L,"Уражено"))</f>
        <v/>
      </c>
      <c r="L720">
        <f>IF($A720="","",COUNTIFS('Таблиця 1'!$B:$B,$A720,'Таблиця 1'!$E:$E,"ПУ бат",'Таблиця 1'!$L:$L,"Уражено"))</f>
        <v/>
      </c>
      <c r="M720">
        <f>IF($A720="","",COUNTIFS('Таблиця 1'!$B:$B,$A720,'Таблиця 1'!$E:$E,"ПУ бриг",'Таблиця 1'!$L:$L,"Уражено"))</f>
        <v/>
      </c>
      <c r="N720">
        <f>IF($A720="","",COUNTIFS('Таблиця 1'!$B:$B,$A720,'Таблиця 1'!$E:$E,"ПУ див",'Таблиця 1'!$L:$L,"Уражено"))</f>
        <v/>
      </c>
      <c r="O720">
        <f>IF($A720="","",COUNTIFS('Таблиця 1'!$B:$B,$A720,'Таблиця 1'!$E:$E,"обл. РЕБ",'Таблиця 1'!$L:$L,"Уражено"))</f>
        <v/>
      </c>
      <c r="P720">
        <f>IF($A720="","",COUNTIFS('Таблиця 1'!$B:$B,$A720,'Таблиця 1'!$E:$E,"пос РЕБ",'Таблиця 1'!$L:$L,"Уражено"))</f>
        <v/>
      </c>
      <c r="Q720">
        <f>IF($A720="","",COUNTIFS('Таблиця 1'!$B:$B,$A720,'Таблиця 1'!$E:$E,"група РЕР",'Таблиця 1'!$L:$L,"Уражено"))</f>
        <v/>
      </c>
      <c r="R720">
        <f>IF($A720="","",COUNTIFS('Таблиця 1'!$B:$B,$A720,'Таблиця 1'!$E:$E,"РЛС КББ",'Таблиця 1'!$L:$L,"Уражено"))</f>
        <v/>
      </c>
      <c r="S720">
        <f>IF($A720="","",COUNTIFS('Таблиця 1'!$B:$B,$A720,'Таблиця 1'!$E:$E,"Ретранслятор",'Таблиця 1'!$L:$L,"Уражено"))</f>
        <v/>
      </c>
      <c r="T720">
        <f>IF($A720="","",COUNTIFS('Таблиця 1'!$B:$B,$A720,'Таблиця 1'!$E:$E,"Вз.зв'язку",'Таблиця 1'!$L:$L,"Уражено"))</f>
        <v/>
      </c>
      <c r="U720">
        <f>IF($A720="","",COUNTIFS('Таблиця 1'!$B:$B,$A720,'Таблиця 1'!$E:$E,"ПММ",'Таблиця 1'!$L:$L,"Уражено"))</f>
        <v/>
      </c>
      <c r="V720">
        <f>IF($A720="","",COUNTIFS('Таблиця 1'!$B:$B,$A720,'Таблиця 1'!$E:$E,"ІФС",'Таблиця 1'!$L:$L,"Уражено"))</f>
        <v/>
      </c>
      <c r="W720">
        <f>IF($A720="","",COUNTIFS('Таблиця 1'!$B:$B,$A720,'Таблиця 1'!$E:$E,"Інфраструктура",'Таблиця 1'!$L:$L,"Уражено"))</f>
        <v/>
      </c>
      <c r="X720">
        <f>IF($A720="","",SUMIFS('Таблиця 1'!$K:$K,'Таблиця 1'!$B:$B,$A720))</f>
        <v/>
      </c>
    </row>
    <row r="721">
      <c r="A721" s="81">
        <f>IF(A720="","",IF(A720+1&gt;MAX('Таблиця 1'!$B:$B),"",A720+1))</f>
        <v/>
      </c>
      <c r="B721">
        <f>IF($A721="","",COUNTIFS('Таблиця 1'!$B:$B,$A721,'Таблиця 1'!$E:$E,"ЖС ВЗ",'Таблиця 1'!$L:$L,"Уражено"))</f>
        <v/>
      </c>
      <c r="C721">
        <f>IF($A721="","",COUNTIFS('Таблиця 1'!$B:$B,$A721,'Таблиця 1'!$E:$E,"Арт. Системи",'Таблиця 1'!$L:$L,"Уражено"))</f>
        <v/>
      </c>
      <c r="D721">
        <f>IF($A721="","",COUNTIFS('Таблиця 1'!$B:$B,$A721,'Таблиця 1'!$E:$E,"ОВТ",'Таблиця 1'!$L:$L,"Уражено"))</f>
        <v/>
      </c>
      <c r="E721">
        <f>IF($A721="","",COUNTIFS('Таблиця 1'!$B:$B,$A721,'Таблиця 1'!$E:$E,"ППО",'Таблиця 1'!$L:$L,"Уражено"))</f>
        <v/>
      </c>
      <c r="F721">
        <f>IF($A721="","",COUNTIFS('Таблиця 1'!$B:$B,$A721,'Таблиця 1'!$E:$E,"Рембаза",'Таблиця 1'!$L:$L,"Уражено"))</f>
        <v/>
      </c>
      <c r="G721">
        <f>IF($A721="","",COUNTIFS('Таблиця 1'!$B:$B,$A721,'Таблиця 1'!$E:$E,"Склад БК",'Таблиця 1'!$L:$L,"Уражено"))</f>
        <v/>
      </c>
      <c r="H721">
        <f>IF($A721="","",COUNTIFS('Таблиця 1'!$B:$B,$A721,'Таблиця 1'!$E:$E,"Склад ВТМ",'Таблиця 1'!$L:$L,"Уражено"))</f>
        <v/>
      </c>
      <c r="I721">
        <f>IF($A721="","",COUNTIFS('Таблиця 1'!$B:$B,$A721,'Таблиця 1'!$E:$E,"ПУ БпЛА",'Таблиця 1'!$L:$L,"Уражено"))</f>
        <v/>
      </c>
      <c r="J721">
        <f>IF($A721="","",COUNTIFS('Таблиця 1'!$B:$B,$A721,'Таблиця 1'!$E:$E,"СП",'Таблиця 1'!$L:$L,"Уражено"))</f>
        <v/>
      </c>
      <c r="K721">
        <f>IF($A721="","",COUNTIFS('Таблиця 1'!$B:$B,$A721,'Таблиця 1'!$E:$E,"КСП роти",'Таблиця 1'!$L:$L,"Уражено"))</f>
        <v/>
      </c>
      <c r="L721">
        <f>IF($A721="","",COUNTIFS('Таблиця 1'!$B:$B,$A721,'Таблиця 1'!$E:$E,"ПУ бат",'Таблиця 1'!$L:$L,"Уражено"))</f>
        <v/>
      </c>
      <c r="M721">
        <f>IF($A721="","",COUNTIFS('Таблиця 1'!$B:$B,$A721,'Таблиця 1'!$E:$E,"ПУ бриг",'Таблиця 1'!$L:$L,"Уражено"))</f>
        <v/>
      </c>
      <c r="N721">
        <f>IF($A721="","",COUNTIFS('Таблиця 1'!$B:$B,$A721,'Таблиця 1'!$E:$E,"ПУ див",'Таблиця 1'!$L:$L,"Уражено"))</f>
        <v/>
      </c>
      <c r="O721">
        <f>IF($A721="","",COUNTIFS('Таблиця 1'!$B:$B,$A721,'Таблиця 1'!$E:$E,"обл. РЕБ",'Таблиця 1'!$L:$L,"Уражено"))</f>
        <v/>
      </c>
      <c r="P721">
        <f>IF($A721="","",COUNTIFS('Таблиця 1'!$B:$B,$A721,'Таблиця 1'!$E:$E,"пос РЕБ",'Таблиця 1'!$L:$L,"Уражено"))</f>
        <v/>
      </c>
      <c r="Q721">
        <f>IF($A721="","",COUNTIFS('Таблиця 1'!$B:$B,$A721,'Таблиця 1'!$E:$E,"група РЕР",'Таблиця 1'!$L:$L,"Уражено"))</f>
        <v/>
      </c>
      <c r="R721">
        <f>IF($A721="","",COUNTIFS('Таблиця 1'!$B:$B,$A721,'Таблиця 1'!$E:$E,"РЛС КББ",'Таблиця 1'!$L:$L,"Уражено"))</f>
        <v/>
      </c>
      <c r="S721">
        <f>IF($A721="","",COUNTIFS('Таблиця 1'!$B:$B,$A721,'Таблиця 1'!$E:$E,"Ретранслятор",'Таблиця 1'!$L:$L,"Уражено"))</f>
        <v/>
      </c>
      <c r="T721">
        <f>IF($A721="","",COUNTIFS('Таблиця 1'!$B:$B,$A721,'Таблиця 1'!$E:$E,"Вз.зв'язку",'Таблиця 1'!$L:$L,"Уражено"))</f>
        <v/>
      </c>
      <c r="U721">
        <f>IF($A721="","",COUNTIFS('Таблиця 1'!$B:$B,$A721,'Таблиця 1'!$E:$E,"ПММ",'Таблиця 1'!$L:$L,"Уражено"))</f>
        <v/>
      </c>
      <c r="V721">
        <f>IF($A721="","",COUNTIFS('Таблиця 1'!$B:$B,$A721,'Таблиця 1'!$E:$E,"ІФС",'Таблиця 1'!$L:$L,"Уражено"))</f>
        <v/>
      </c>
      <c r="W721">
        <f>IF($A721="","",COUNTIFS('Таблиця 1'!$B:$B,$A721,'Таблиця 1'!$E:$E,"Інфраструктура",'Таблиця 1'!$L:$L,"Уражено"))</f>
        <v/>
      </c>
      <c r="X721">
        <f>IF($A721="","",SUMIFS('Таблиця 1'!$K:$K,'Таблиця 1'!$B:$B,$A721))</f>
        <v/>
      </c>
    </row>
    <row r="722">
      <c r="A722" s="81">
        <f>IF(A721="","",IF(A721+1&gt;MAX('Таблиця 1'!$B:$B),"",A721+1))</f>
        <v/>
      </c>
      <c r="B722">
        <f>IF($A722="","",COUNTIFS('Таблиця 1'!$B:$B,$A722,'Таблиця 1'!$E:$E,"ЖС ВЗ",'Таблиця 1'!$L:$L,"Уражено"))</f>
        <v/>
      </c>
      <c r="C722">
        <f>IF($A722="","",COUNTIFS('Таблиця 1'!$B:$B,$A722,'Таблиця 1'!$E:$E,"Арт. Системи",'Таблиця 1'!$L:$L,"Уражено"))</f>
        <v/>
      </c>
      <c r="D722">
        <f>IF($A722="","",COUNTIFS('Таблиця 1'!$B:$B,$A722,'Таблиця 1'!$E:$E,"ОВТ",'Таблиця 1'!$L:$L,"Уражено"))</f>
        <v/>
      </c>
      <c r="E722">
        <f>IF($A722="","",COUNTIFS('Таблиця 1'!$B:$B,$A722,'Таблиця 1'!$E:$E,"ППО",'Таблиця 1'!$L:$L,"Уражено"))</f>
        <v/>
      </c>
      <c r="F722">
        <f>IF($A722="","",COUNTIFS('Таблиця 1'!$B:$B,$A722,'Таблиця 1'!$E:$E,"Рембаза",'Таблиця 1'!$L:$L,"Уражено"))</f>
        <v/>
      </c>
      <c r="G722">
        <f>IF($A722="","",COUNTIFS('Таблиця 1'!$B:$B,$A722,'Таблиця 1'!$E:$E,"Склад БК",'Таблиця 1'!$L:$L,"Уражено"))</f>
        <v/>
      </c>
      <c r="H722">
        <f>IF($A722="","",COUNTIFS('Таблиця 1'!$B:$B,$A722,'Таблиця 1'!$E:$E,"Склад ВТМ",'Таблиця 1'!$L:$L,"Уражено"))</f>
        <v/>
      </c>
      <c r="I722">
        <f>IF($A722="","",COUNTIFS('Таблиця 1'!$B:$B,$A722,'Таблиця 1'!$E:$E,"ПУ БпЛА",'Таблиця 1'!$L:$L,"Уражено"))</f>
        <v/>
      </c>
      <c r="J722">
        <f>IF($A722="","",COUNTIFS('Таблиця 1'!$B:$B,$A722,'Таблиця 1'!$E:$E,"СП",'Таблиця 1'!$L:$L,"Уражено"))</f>
        <v/>
      </c>
      <c r="K722">
        <f>IF($A722="","",COUNTIFS('Таблиця 1'!$B:$B,$A722,'Таблиця 1'!$E:$E,"КСП роти",'Таблиця 1'!$L:$L,"Уражено"))</f>
        <v/>
      </c>
      <c r="L722">
        <f>IF($A722="","",COUNTIFS('Таблиця 1'!$B:$B,$A722,'Таблиця 1'!$E:$E,"ПУ бат",'Таблиця 1'!$L:$L,"Уражено"))</f>
        <v/>
      </c>
      <c r="M722">
        <f>IF($A722="","",COUNTIFS('Таблиця 1'!$B:$B,$A722,'Таблиця 1'!$E:$E,"ПУ бриг",'Таблиця 1'!$L:$L,"Уражено"))</f>
        <v/>
      </c>
      <c r="N722">
        <f>IF($A722="","",COUNTIFS('Таблиця 1'!$B:$B,$A722,'Таблиця 1'!$E:$E,"ПУ див",'Таблиця 1'!$L:$L,"Уражено"))</f>
        <v/>
      </c>
      <c r="O722">
        <f>IF($A722="","",COUNTIFS('Таблиця 1'!$B:$B,$A722,'Таблиця 1'!$E:$E,"обл. РЕБ",'Таблиця 1'!$L:$L,"Уражено"))</f>
        <v/>
      </c>
      <c r="P722">
        <f>IF($A722="","",COUNTIFS('Таблиця 1'!$B:$B,$A722,'Таблиця 1'!$E:$E,"пос РЕБ",'Таблиця 1'!$L:$L,"Уражено"))</f>
        <v/>
      </c>
      <c r="Q722">
        <f>IF($A722="","",COUNTIFS('Таблиця 1'!$B:$B,$A722,'Таблиця 1'!$E:$E,"група РЕР",'Таблиця 1'!$L:$L,"Уражено"))</f>
        <v/>
      </c>
      <c r="R722">
        <f>IF($A722="","",COUNTIFS('Таблиця 1'!$B:$B,$A722,'Таблиця 1'!$E:$E,"РЛС КББ",'Таблиця 1'!$L:$L,"Уражено"))</f>
        <v/>
      </c>
      <c r="S722">
        <f>IF($A722="","",COUNTIFS('Таблиця 1'!$B:$B,$A722,'Таблиця 1'!$E:$E,"Ретранслятор",'Таблиця 1'!$L:$L,"Уражено"))</f>
        <v/>
      </c>
      <c r="T722">
        <f>IF($A722="","",COUNTIFS('Таблиця 1'!$B:$B,$A722,'Таблиця 1'!$E:$E,"Вз.зв'язку",'Таблиця 1'!$L:$L,"Уражено"))</f>
        <v/>
      </c>
      <c r="U722">
        <f>IF($A722="","",COUNTIFS('Таблиця 1'!$B:$B,$A722,'Таблиця 1'!$E:$E,"ПММ",'Таблиця 1'!$L:$L,"Уражено"))</f>
        <v/>
      </c>
      <c r="V722">
        <f>IF($A722="","",COUNTIFS('Таблиця 1'!$B:$B,$A722,'Таблиця 1'!$E:$E,"ІФС",'Таблиця 1'!$L:$L,"Уражено"))</f>
        <v/>
      </c>
      <c r="W722">
        <f>IF($A722="","",COUNTIFS('Таблиця 1'!$B:$B,$A722,'Таблиця 1'!$E:$E,"Інфраструктура",'Таблиця 1'!$L:$L,"Уражено"))</f>
        <v/>
      </c>
      <c r="X722">
        <f>IF($A722="","",SUMIFS('Таблиця 1'!$K:$K,'Таблиця 1'!$B:$B,$A722))</f>
        <v/>
      </c>
    </row>
    <row r="723">
      <c r="A723" s="81">
        <f>IF(A722="","",IF(A722+1&gt;MAX('Таблиця 1'!$B:$B),"",A722+1))</f>
        <v/>
      </c>
      <c r="B723">
        <f>IF($A723="","",COUNTIFS('Таблиця 1'!$B:$B,$A723,'Таблиця 1'!$E:$E,"ЖС ВЗ",'Таблиця 1'!$L:$L,"Уражено"))</f>
        <v/>
      </c>
      <c r="C723">
        <f>IF($A723="","",COUNTIFS('Таблиця 1'!$B:$B,$A723,'Таблиця 1'!$E:$E,"Арт. Системи",'Таблиця 1'!$L:$L,"Уражено"))</f>
        <v/>
      </c>
      <c r="D723">
        <f>IF($A723="","",COUNTIFS('Таблиця 1'!$B:$B,$A723,'Таблиця 1'!$E:$E,"ОВТ",'Таблиця 1'!$L:$L,"Уражено"))</f>
        <v/>
      </c>
      <c r="E723">
        <f>IF($A723="","",COUNTIFS('Таблиця 1'!$B:$B,$A723,'Таблиця 1'!$E:$E,"ППО",'Таблиця 1'!$L:$L,"Уражено"))</f>
        <v/>
      </c>
      <c r="F723">
        <f>IF($A723="","",COUNTIFS('Таблиця 1'!$B:$B,$A723,'Таблиця 1'!$E:$E,"Рембаза",'Таблиця 1'!$L:$L,"Уражено"))</f>
        <v/>
      </c>
      <c r="G723">
        <f>IF($A723="","",COUNTIFS('Таблиця 1'!$B:$B,$A723,'Таблиця 1'!$E:$E,"Склад БК",'Таблиця 1'!$L:$L,"Уражено"))</f>
        <v/>
      </c>
      <c r="H723">
        <f>IF($A723="","",COUNTIFS('Таблиця 1'!$B:$B,$A723,'Таблиця 1'!$E:$E,"Склад ВТМ",'Таблиця 1'!$L:$L,"Уражено"))</f>
        <v/>
      </c>
      <c r="I723">
        <f>IF($A723="","",COUNTIFS('Таблиця 1'!$B:$B,$A723,'Таблиця 1'!$E:$E,"ПУ БпЛА",'Таблиця 1'!$L:$L,"Уражено"))</f>
        <v/>
      </c>
      <c r="J723">
        <f>IF($A723="","",COUNTIFS('Таблиця 1'!$B:$B,$A723,'Таблиця 1'!$E:$E,"СП",'Таблиця 1'!$L:$L,"Уражено"))</f>
        <v/>
      </c>
      <c r="K723">
        <f>IF($A723="","",COUNTIFS('Таблиця 1'!$B:$B,$A723,'Таблиця 1'!$E:$E,"КСП роти",'Таблиця 1'!$L:$L,"Уражено"))</f>
        <v/>
      </c>
      <c r="L723">
        <f>IF($A723="","",COUNTIFS('Таблиця 1'!$B:$B,$A723,'Таблиця 1'!$E:$E,"ПУ бат",'Таблиця 1'!$L:$L,"Уражено"))</f>
        <v/>
      </c>
      <c r="M723">
        <f>IF($A723="","",COUNTIFS('Таблиця 1'!$B:$B,$A723,'Таблиця 1'!$E:$E,"ПУ бриг",'Таблиця 1'!$L:$L,"Уражено"))</f>
        <v/>
      </c>
      <c r="N723">
        <f>IF($A723="","",COUNTIFS('Таблиця 1'!$B:$B,$A723,'Таблиця 1'!$E:$E,"ПУ див",'Таблиця 1'!$L:$L,"Уражено"))</f>
        <v/>
      </c>
      <c r="O723">
        <f>IF($A723="","",COUNTIFS('Таблиця 1'!$B:$B,$A723,'Таблиця 1'!$E:$E,"обл. РЕБ",'Таблиця 1'!$L:$L,"Уражено"))</f>
        <v/>
      </c>
      <c r="P723">
        <f>IF($A723="","",COUNTIFS('Таблиця 1'!$B:$B,$A723,'Таблиця 1'!$E:$E,"пос РЕБ",'Таблиця 1'!$L:$L,"Уражено"))</f>
        <v/>
      </c>
      <c r="Q723">
        <f>IF($A723="","",COUNTIFS('Таблиця 1'!$B:$B,$A723,'Таблиця 1'!$E:$E,"група РЕР",'Таблиця 1'!$L:$L,"Уражено"))</f>
        <v/>
      </c>
      <c r="R723">
        <f>IF($A723="","",COUNTIFS('Таблиця 1'!$B:$B,$A723,'Таблиця 1'!$E:$E,"РЛС КББ",'Таблиця 1'!$L:$L,"Уражено"))</f>
        <v/>
      </c>
      <c r="S723">
        <f>IF($A723="","",COUNTIFS('Таблиця 1'!$B:$B,$A723,'Таблиця 1'!$E:$E,"Ретранслятор",'Таблиця 1'!$L:$L,"Уражено"))</f>
        <v/>
      </c>
      <c r="T723">
        <f>IF($A723="","",COUNTIFS('Таблиця 1'!$B:$B,$A723,'Таблиця 1'!$E:$E,"Вз.зв'язку",'Таблиця 1'!$L:$L,"Уражено"))</f>
        <v/>
      </c>
      <c r="U723">
        <f>IF($A723="","",COUNTIFS('Таблиця 1'!$B:$B,$A723,'Таблиця 1'!$E:$E,"ПММ",'Таблиця 1'!$L:$L,"Уражено"))</f>
        <v/>
      </c>
      <c r="V723">
        <f>IF($A723="","",COUNTIFS('Таблиця 1'!$B:$B,$A723,'Таблиця 1'!$E:$E,"ІФС",'Таблиця 1'!$L:$L,"Уражено"))</f>
        <v/>
      </c>
      <c r="W723">
        <f>IF($A723="","",COUNTIFS('Таблиця 1'!$B:$B,$A723,'Таблиця 1'!$E:$E,"Інфраструктура",'Таблиця 1'!$L:$L,"Уражено"))</f>
        <v/>
      </c>
      <c r="X723">
        <f>IF($A723="","",SUMIFS('Таблиця 1'!$K:$K,'Таблиця 1'!$B:$B,$A723))</f>
        <v/>
      </c>
    </row>
    <row r="724">
      <c r="A724" s="81">
        <f>IF(A723="","",IF(A723+1&gt;MAX('Таблиця 1'!$B:$B),"",A723+1))</f>
        <v/>
      </c>
      <c r="B724">
        <f>IF($A724="","",COUNTIFS('Таблиця 1'!$B:$B,$A724,'Таблиця 1'!$E:$E,"ЖС ВЗ",'Таблиця 1'!$L:$L,"Уражено"))</f>
        <v/>
      </c>
      <c r="C724">
        <f>IF($A724="","",COUNTIFS('Таблиця 1'!$B:$B,$A724,'Таблиця 1'!$E:$E,"Арт. Системи",'Таблиця 1'!$L:$L,"Уражено"))</f>
        <v/>
      </c>
      <c r="D724">
        <f>IF($A724="","",COUNTIFS('Таблиця 1'!$B:$B,$A724,'Таблиця 1'!$E:$E,"ОВТ",'Таблиця 1'!$L:$L,"Уражено"))</f>
        <v/>
      </c>
      <c r="E724">
        <f>IF($A724="","",COUNTIFS('Таблиця 1'!$B:$B,$A724,'Таблиця 1'!$E:$E,"ППО",'Таблиця 1'!$L:$L,"Уражено"))</f>
        <v/>
      </c>
      <c r="F724">
        <f>IF($A724="","",COUNTIFS('Таблиця 1'!$B:$B,$A724,'Таблиця 1'!$E:$E,"Рембаза",'Таблиця 1'!$L:$L,"Уражено"))</f>
        <v/>
      </c>
      <c r="G724">
        <f>IF($A724="","",COUNTIFS('Таблиця 1'!$B:$B,$A724,'Таблиця 1'!$E:$E,"Склад БК",'Таблиця 1'!$L:$L,"Уражено"))</f>
        <v/>
      </c>
      <c r="H724">
        <f>IF($A724="","",COUNTIFS('Таблиця 1'!$B:$B,$A724,'Таблиця 1'!$E:$E,"Склад ВТМ",'Таблиця 1'!$L:$L,"Уражено"))</f>
        <v/>
      </c>
      <c r="I724">
        <f>IF($A724="","",COUNTIFS('Таблиця 1'!$B:$B,$A724,'Таблиця 1'!$E:$E,"ПУ БпЛА",'Таблиця 1'!$L:$L,"Уражено"))</f>
        <v/>
      </c>
      <c r="J724">
        <f>IF($A724="","",COUNTIFS('Таблиця 1'!$B:$B,$A724,'Таблиця 1'!$E:$E,"СП",'Таблиця 1'!$L:$L,"Уражено"))</f>
        <v/>
      </c>
      <c r="K724">
        <f>IF($A724="","",COUNTIFS('Таблиця 1'!$B:$B,$A724,'Таблиця 1'!$E:$E,"КСП роти",'Таблиця 1'!$L:$L,"Уражено"))</f>
        <v/>
      </c>
      <c r="L724">
        <f>IF($A724="","",COUNTIFS('Таблиця 1'!$B:$B,$A724,'Таблиця 1'!$E:$E,"ПУ бат",'Таблиця 1'!$L:$L,"Уражено"))</f>
        <v/>
      </c>
      <c r="M724">
        <f>IF($A724="","",COUNTIFS('Таблиця 1'!$B:$B,$A724,'Таблиця 1'!$E:$E,"ПУ бриг",'Таблиця 1'!$L:$L,"Уражено"))</f>
        <v/>
      </c>
      <c r="N724">
        <f>IF($A724="","",COUNTIFS('Таблиця 1'!$B:$B,$A724,'Таблиця 1'!$E:$E,"ПУ див",'Таблиця 1'!$L:$L,"Уражено"))</f>
        <v/>
      </c>
      <c r="O724">
        <f>IF($A724="","",COUNTIFS('Таблиця 1'!$B:$B,$A724,'Таблиця 1'!$E:$E,"обл. РЕБ",'Таблиця 1'!$L:$L,"Уражено"))</f>
        <v/>
      </c>
      <c r="P724">
        <f>IF($A724="","",COUNTIFS('Таблиця 1'!$B:$B,$A724,'Таблиця 1'!$E:$E,"пос РЕБ",'Таблиця 1'!$L:$L,"Уражено"))</f>
        <v/>
      </c>
      <c r="Q724">
        <f>IF($A724="","",COUNTIFS('Таблиця 1'!$B:$B,$A724,'Таблиця 1'!$E:$E,"група РЕР",'Таблиця 1'!$L:$L,"Уражено"))</f>
        <v/>
      </c>
      <c r="R724">
        <f>IF($A724="","",COUNTIFS('Таблиця 1'!$B:$B,$A724,'Таблиця 1'!$E:$E,"РЛС КББ",'Таблиця 1'!$L:$L,"Уражено"))</f>
        <v/>
      </c>
      <c r="S724">
        <f>IF($A724="","",COUNTIFS('Таблиця 1'!$B:$B,$A724,'Таблиця 1'!$E:$E,"Ретранслятор",'Таблиця 1'!$L:$L,"Уражено"))</f>
        <v/>
      </c>
      <c r="T724">
        <f>IF($A724="","",COUNTIFS('Таблиця 1'!$B:$B,$A724,'Таблиця 1'!$E:$E,"Вз.зв'язку",'Таблиця 1'!$L:$L,"Уражено"))</f>
        <v/>
      </c>
      <c r="U724">
        <f>IF($A724="","",COUNTIFS('Таблиця 1'!$B:$B,$A724,'Таблиця 1'!$E:$E,"ПММ",'Таблиця 1'!$L:$L,"Уражено"))</f>
        <v/>
      </c>
      <c r="V724">
        <f>IF($A724="","",COUNTIFS('Таблиця 1'!$B:$B,$A724,'Таблиця 1'!$E:$E,"ІФС",'Таблиця 1'!$L:$L,"Уражено"))</f>
        <v/>
      </c>
      <c r="W724">
        <f>IF($A724="","",COUNTIFS('Таблиця 1'!$B:$B,$A724,'Таблиця 1'!$E:$E,"Інфраструктура",'Таблиця 1'!$L:$L,"Уражено"))</f>
        <v/>
      </c>
      <c r="X724">
        <f>IF($A724="","",SUMIFS('Таблиця 1'!$K:$K,'Таблиця 1'!$B:$B,$A724))</f>
        <v/>
      </c>
    </row>
    <row r="725">
      <c r="A725" s="81">
        <f>IF(A724="","",IF(A724+1&gt;MAX('Таблиця 1'!$B:$B),"",A724+1))</f>
        <v/>
      </c>
      <c r="B725">
        <f>IF($A725="","",COUNTIFS('Таблиця 1'!$B:$B,$A725,'Таблиця 1'!$E:$E,"ЖС ВЗ",'Таблиця 1'!$L:$L,"Уражено"))</f>
        <v/>
      </c>
      <c r="C725">
        <f>IF($A725="","",COUNTIFS('Таблиця 1'!$B:$B,$A725,'Таблиця 1'!$E:$E,"Арт. Системи",'Таблиця 1'!$L:$L,"Уражено"))</f>
        <v/>
      </c>
      <c r="D725">
        <f>IF($A725="","",COUNTIFS('Таблиця 1'!$B:$B,$A725,'Таблиця 1'!$E:$E,"ОВТ",'Таблиця 1'!$L:$L,"Уражено"))</f>
        <v/>
      </c>
      <c r="E725">
        <f>IF($A725="","",COUNTIFS('Таблиця 1'!$B:$B,$A725,'Таблиця 1'!$E:$E,"ППО",'Таблиця 1'!$L:$L,"Уражено"))</f>
        <v/>
      </c>
      <c r="F725">
        <f>IF($A725="","",COUNTIFS('Таблиця 1'!$B:$B,$A725,'Таблиця 1'!$E:$E,"Рембаза",'Таблиця 1'!$L:$L,"Уражено"))</f>
        <v/>
      </c>
      <c r="G725">
        <f>IF($A725="","",COUNTIFS('Таблиця 1'!$B:$B,$A725,'Таблиця 1'!$E:$E,"Склад БК",'Таблиця 1'!$L:$L,"Уражено"))</f>
        <v/>
      </c>
      <c r="H725">
        <f>IF($A725="","",COUNTIFS('Таблиця 1'!$B:$B,$A725,'Таблиця 1'!$E:$E,"Склад ВТМ",'Таблиця 1'!$L:$L,"Уражено"))</f>
        <v/>
      </c>
      <c r="I725">
        <f>IF($A725="","",COUNTIFS('Таблиця 1'!$B:$B,$A725,'Таблиця 1'!$E:$E,"ПУ БпЛА",'Таблиця 1'!$L:$L,"Уражено"))</f>
        <v/>
      </c>
      <c r="J725">
        <f>IF($A725="","",COUNTIFS('Таблиця 1'!$B:$B,$A725,'Таблиця 1'!$E:$E,"СП",'Таблиця 1'!$L:$L,"Уражено"))</f>
        <v/>
      </c>
      <c r="K725">
        <f>IF($A725="","",COUNTIFS('Таблиця 1'!$B:$B,$A725,'Таблиця 1'!$E:$E,"КСП роти",'Таблиця 1'!$L:$L,"Уражено"))</f>
        <v/>
      </c>
      <c r="L725">
        <f>IF($A725="","",COUNTIFS('Таблиця 1'!$B:$B,$A725,'Таблиця 1'!$E:$E,"ПУ бат",'Таблиця 1'!$L:$L,"Уражено"))</f>
        <v/>
      </c>
      <c r="M725">
        <f>IF($A725="","",COUNTIFS('Таблиця 1'!$B:$B,$A725,'Таблиця 1'!$E:$E,"ПУ бриг",'Таблиця 1'!$L:$L,"Уражено"))</f>
        <v/>
      </c>
      <c r="N725">
        <f>IF($A725="","",COUNTIFS('Таблиця 1'!$B:$B,$A725,'Таблиця 1'!$E:$E,"ПУ див",'Таблиця 1'!$L:$L,"Уражено"))</f>
        <v/>
      </c>
      <c r="O725">
        <f>IF($A725="","",COUNTIFS('Таблиця 1'!$B:$B,$A725,'Таблиця 1'!$E:$E,"обл. РЕБ",'Таблиця 1'!$L:$L,"Уражено"))</f>
        <v/>
      </c>
      <c r="P725">
        <f>IF($A725="","",COUNTIFS('Таблиця 1'!$B:$B,$A725,'Таблиця 1'!$E:$E,"пос РЕБ",'Таблиця 1'!$L:$L,"Уражено"))</f>
        <v/>
      </c>
      <c r="Q725">
        <f>IF($A725="","",COUNTIFS('Таблиця 1'!$B:$B,$A725,'Таблиця 1'!$E:$E,"група РЕР",'Таблиця 1'!$L:$L,"Уражено"))</f>
        <v/>
      </c>
      <c r="R725">
        <f>IF($A725="","",COUNTIFS('Таблиця 1'!$B:$B,$A725,'Таблиця 1'!$E:$E,"РЛС КББ",'Таблиця 1'!$L:$L,"Уражено"))</f>
        <v/>
      </c>
      <c r="S725">
        <f>IF($A725="","",COUNTIFS('Таблиця 1'!$B:$B,$A725,'Таблиця 1'!$E:$E,"Ретранслятор",'Таблиця 1'!$L:$L,"Уражено"))</f>
        <v/>
      </c>
      <c r="T725">
        <f>IF($A725="","",COUNTIFS('Таблиця 1'!$B:$B,$A725,'Таблиця 1'!$E:$E,"Вз.зв'язку",'Таблиця 1'!$L:$L,"Уражено"))</f>
        <v/>
      </c>
      <c r="U725">
        <f>IF($A725="","",COUNTIFS('Таблиця 1'!$B:$B,$A725,'Таблиця 1'!$E:$E,"ПММ",'Таблиця 1'!$L:$L,"Уражено"))</f>
        <v/>
      </c>
      <c r="V725">
        <f>IF($A725="","",COUNTIFS('Таблиця 1'!$B:$B,$A725,'Таблиця 1'!$E:$E,"ІФС",'Таблиця 1'!$L:$L,"Уражено"))</f>
        <v/>
      </c>
      <c r="W725">
        <f>IF($A725="","",COUNTIFS('Таблиця 1'!$B:$B,$A725,'Таблиця 1'!$E:$E,"Інфраструктура",'Таблиця 1'!$L:$L,"Уражено"))</f>
        <v/>
      </c>
      <c r="X725">
        <f>IF($A725="","",SUMIFS('Таблиця 1'!$K:$K,'Таблиця 1'!$B:$B,$A725))</f>
        <v/>
      </c>
    </row>
    <row r="726">
      <c r="A726" s="81">
        <f>IF(A725="","",IF(A725+1&gt;MAX('Таблиця 1'!$B:$B),"",A725+1))</f>
        <v/>
      </c>
      <c r="B726">
        <f>IF($A726="","",COUNTIFS('Таблиця 1'!$B:$B,$A726,'Таблиця 1'!$E:$E,"ЖС ВЗ",'Таблиця 1'!$L:$L,"Уражено"))</f>
        <v/>
      </c>
      <c r="C726">
        <f>IF($A726="","",COUNTIFS('Таблиця 1'!$B:$B,$A726,'Таблиця 1'!$E:$E,"Арт. Системи",'Таблиця 1'!$L:$L,"Уражено"))</f>
        <v/>
      </c>
      <c r="D726">
        <f>IF($A726="","",COUNTIFS('Таблиця 1'!$B:$B,$A726,'Таблиця 1'!$E:$E,"ОВТ",'Таблиця 1'!$L:$L,"Уражено"))</f>
        <v/>
      </c>
      <c r="E726">
        <f>IF($A726="","",COUNTIFS('Таблиця 1'!$B:$B,$A726,'Таблиця 1'!$E:$E,"ППО",'Таблиця 1'!$L:$L,"Уражено"))</f>
        <v/>
      </c>
      <c r="F726">
        <f>IF($A726="","",COUNTIFS('Таблиця 1'!$B:$B,$A726,'Таблиця 1'!$E:$E,"Рембаза",'Таблиця 1'!$L:$L,"Уражено"))</f>
        <v/>
      </c>
      <c r="G726">
        <f>IF($A726="","",COUNTIFS('Таблиця 1'!$B:$B,$A726,'Таблиця 1'!$E:$E,"Склад БК",'Таблиця 1'!$L:$L,"Уражено"))</f>
        <v/>
      </c>
      <c r="H726">
        <f>IF($A726="","",COUNTIFS('Таблиця 1'!$B:$B,$A726,'Таблиця 1'!$E:$E,"Склад ВТМ",'Таблиця 1'!$L:$L,"Уражено"))</f>
        <v/>
      </c>
      <c r="I726">
        <f>IF($A726="","",COUNTIFS('Таблиця 1'!$B:$B,$A726,'Таблиця 1'!$E:$E,"ПУ БпЛА",'Таблиця 1'!$L:$L,"Уражено"))</f>
        <v/>
      </c>
      <c r="J726">
        <f>IF($A726="","",COUNTIFS('Таблиця 1'!$B:$B,$A726,'Таблиця 1'!$E:$E,"СП",'Таблиця 1'!$L:$L,"Уражено"))</f>
        <v/>
      </c>
      <c r="K726">
        <f>IF($A726="","",COUNTIFS('Таблиця 1'!$B:$B,$A726,'Таблиця 1'!$E:$E,"КСП роти",'Таблиця 1'!$L:$L,"Уражено"))</f>
        <v/>
      </c>
      <c r="L726">
        <f>IF($A726="","",COUNTIFS('Таблиця 1'!$B:$B,$A726,'Таблиця 1'!$E:$E,"ПУ бат",'Таблиця 1'!$L:$L,"Уражено"))</f>
        <v/>
      </c>
      <c r="M726">
        <f>IF($A726="","",COUNTIFS('Таблиця 1'!$B:$B,$A726,'Таблиця 1'!$E:$E,"ПУ бриг",'Таблиця 1'!$L:$L,"Уражено"))</f>
        <v/>
      </c>
      <c r="N726">
        <f>IF($A726="","",COUNTIFS('Таблиця 1'!$B:$B,$A726,'Таблиця 1'!$E:$E,"ПУ див",'Таблиця 1'!$L:$L,"Уражено"))</f>
        <v/>
      </c>
      <c r="O726">
        <f>IF($A726="","",COUNTIFS('Таблиця 1'!$B:$B,$A726,'Таблиця 1'!$E:$E,"обл. РЕБ",'Таблиця 1'!$L:$L,"Уражено"))</f>
        <v/>
      </c>
      <c r="P726">
        <f>IF($A726="","",COUNTIFS('Таблиця 1'!$B:$B,$A726,'Таблиця 1'!$E:$E,"пос РЕБ",'Таблиця 1'!$L:$L,"Уражено"))</f>
        <v/>
      </c>
      <c r="Q726">
        <f>IF($A726="","",COUNTIFS('Таблиця 1'!$B:$B,$A726,'Таблиця 1'!$E:$E,"група РЕР",'Таблиця 1'!$L:$L,"Уражено"))</f>
        <v/>
      </c>
      <c r="R726">
        <f>IF($A726="","",COUNTIFS('Таблиця 1'!$B:$B,$A726,'Таблиця 1'!$E:$E,"РЛС КББ",'Таблиця 1'!$L:$L,"Уражено"))</f>
        <v/>
      </c>
      <c r="S726">
        <f>IF($A726="","",COUNTIFS('Таблиця 1'!$B:$B,$A726,'Таблиця 1'!$E:$E,"Ретранслятор",'Таблиця 1'!$L:$L,"Уражено"))</f>
        <v/>
      </c>
      <c r="T726">
        <f>IF($A726="","",COUNTIFS('Таблиця 1'!$B:$B,$A726,'Таблиця 1'!$E:$E,"Вз.зв'язку",'Таблиця 1'!$L:$L,"Уражено"))</f>
        <v/>
      </c>
      <c r="U726">
        <f>IF($A726="","",COUNTIFS('Таблиця 1'!$B:$B,$A726,'Таблиця 1'!$E:$E,"ПММ",'Таблиця 1'!$L:$L,"Уражено"))</f>
        <v/>
      </c>
      <c r="V726">
        <f>IF($A726="","",COUNTIFS('Таблиця 1'!$B:$B,$A726,'Таблиця 1'!$E:$E,"ІФС",'Таблиця 1'!$L:$L,"Уражено"))</f>
        <v/>
      </c>
      <c r="W726">
        <f>IF($A726="","",COUNTIFS('Таблиця 1'!$B:$B,$A726,'Таблиця 1'!$E:$E,"Інфраструктура",'Таблиця 1'!$L:$L,"Уражено"))</f>
        <v/>
      </c>
      <c r="X726">
        <f>IF($A726="","",SUMIFS('Таблиця 1'!$K:$K,'Таблиця 1'!$B:$B,$A726))</f>
        <v/>
      </c>
    </row>
    <row r="727">
      <c r="A727" s="81">
        <f>IF(A726="","",IF(A726+1&gt;MAX('Таблиця 1'!$B:$B),"",A726+1))</f>
        <v/>
      </c>
      <c r="B727">
        <f>IF($A727="","",COUNTIFS('Таблиця 1'!$B:$B,$A727,'Таблиця 1'!$E:$E,"ЖС ВЗ",'Таблиця 1'!$L:$L,"Уражено"))</f>
        <v/>
      </c>
      <c r="C727">
        <f>IF($A727="","",COUNTIFS('Таблиця 1'!$B:$B,$A727,'Таблиця 1'!$E:$E,"Арт. Системи",'Таблиця 1'!$L:$L,"Уражено"))</f>
        <v/>
      </c>
      <c r="D727">
        <f>IF($A727="","",COUNTIFS('Таблиця 1'!$B:$B,$A727,'Таблиця 1'!$E:$E,"ОВТ",'Таблиця 1'!$L:$L,"Уражено"))</f>
        <v/>
      </c>
      <c r="E727">
        <f>IF($A727="","",COUNTIFS('Таблиця 1'!$B:$B,$A727,'Таблиця 1'!$E:$E,"ППО",'Таблиця 1'!$L:$L,"Уражено"))</f>
        <v/>
      </c>
      <c r="F727">
        <f>IF($A727="","",COUNTIFS('Таблиця 1'!$B:$B,$A727,'Таблиця 1'!$E:$E,"Рембаза",'Таблиця 1'!$L:$L,"Уражено"))</f>
        <v/>
      </c>
      <c r="G727">
        <f>IF($A727="","",COUNTIFS('Таблиця 1'!$B:$B,$A727,'Таблиця 1'!$E:$E,"Склад БК",'Таблиця 1'!$L:$L,"Уражено"))</f>
        <v/>
      </c>
      <c r="H727">
        <f>IF($A727="","",COUNTIFS('Таблиця 1'!$B:$B,$A727,'Таблиця 1'!$E:$E,"Склад ВТМ",'Таблиця 1'!$L:$L,"Уражено"))</f>
        <v/>
      </c>
      <c r="I727">
        <f>IF($A727="","",COUNTIFS('Таблиця 1'!$B:$B,$A727,'Таблиця 1'!$E:$E,"ПУ БпЛА",'Таблиця 1'!$L:$L,"Уражено"))</f>
        <v/>
      </c>
      <c r="J727">
        <f>IF($A727="","",COUNTIFS('Таблиця 1'!$B:$B,$A727,'Таблиця 1'!$E:$E,"СП",'Таблиця 1'!$L:$L,"Уражено"))</f>
        <v/>
      </c>
      <c r="K727">
        <f>IF($A727="","",COUNTIFS('Таблиця 1'!$B:$B,$A727,'Таблиця 1'!$E:$E,"КСП роти",'Таблиця 1'!$L:$L,"Уражено"))</f>
        <v/>
      </c>
      <c r="L727">
        <f>IF($A727="","",COUNTIFS('Таблиця 1'!$B:$B,$A727,'Таблиця 1'!$E:$E,"ПУ бат",'Таблиця 1'!$L:$L,"Уражено"))</f>
        <v/>
      </c>
      <c r="M727">
        <f>IF($A727="","",COUNTIFS('Таблиця 1'!$B:$B,$A727,'Таблиця 1'!$E:$E,"ПУ бриг",'Таблиця 1'!$L:$L,"Уражено"))</f>
        <v/>
      </c>
      <c r="N727">
        <f>IF($A727="","",COUNTIFS('Таблиця 1'!$B:$B,$A727,'Таблиця 1'!$E:$E,"ПУ див",'Таблиця 1'!$L:$L,"Уражено"))</f>
        <v/>
      </c>
      <c r="O727">
        <f>IF($A727="","",COUNTIFS('Таблиця 1'!$B:$B,$A727,'Таблиця 1'!$E:$E,"обл. РЕБ",'Таблиця 1'!$L:$L,"Уражено"))</f>
        <v/>
      </c>
      <c r="P727">
        <f>IF($A727="","",COUNTIFS('Таблиця 1'!$B:$B,$A727,'Таблиця 1'!$E:$E,"пос РЕБ",'Таблиця 1'!$L:$L,"Уражено"))</f>
        <v/>
      </c>
      <c r="Q727">
        <f>IF($A727="","",COUNTIFS('Таблиця 1'!$B:$B,$A727,'Таблиця 1'!$E:$E,"група РЕР",'Таблиця 1'!$L:$L,"Уражено"))</f>
        <v/>
      </c>
      <c r="R727">
        <f>IF($A727="","",COUNTIFS('Таблиця 1'!$B:$B,$A727,'Таблиця 1'!$E:$E,"РЛС КББ",'Таблиця 1'!$L:$L,"Уражено"))</f>
        <v/>
      </c>
      <c r="S727">
        <f>IF($A727="","",COUNTIFS('Таблиця 1'!$B:$B,$A727,'Таблиця 1'!$E:$E,"Ретранслятор",'Таблиця 1'!$L:$L,"Уражено"))</f>
        <v/>
      </c>
      <c r="T727">
        <f>IF($A727="","",COUNTIFS('Таблиця 1'!$B:$B,$A727,'Таблиця 1'!$E:$E,"Вз.зв'язку",'Таблиця 1'!$L:$L,"Уражено"))</f>
        <v/>
      </c>
      <c r="U727">
        <f>IF($A727="","",COUNTIFS('Таблиця 1'!$B:$B,$A727,'Таблиця 1'!$E:$E,"ПММ",'Таблиця 1'!$L:$L,"Уражено"))</f>
        <v/>
      </c>
      <c r="V727">
        <f>IF($A727="","",COUNTIFS('Таблиця 1'!$B:$B,$A727,'Таблиця 1'!$E:$E,"ІФС",'Таблиця 1'!$L:$L,"Уражено"))</f>
        <v/>
      </c>
      <c r="W727">
        <f>IF($A727="","",COUNTIFS('Таблиця 1'!$B:$B,$A727,'Таблиця 1'!$E:$E,"Інфраструктура",'Таблиця 1'!$L:$L,"Уражено"))</f>
        <v/>
      </c>
      <c r="X727">
        <f>IF($A727="","",SUMIFS('Таблиця 1'!$K:$K,'Таблиця 1'!$B:$B,$A727))</f>
        <v/>
      </c>
    </row>
    <row r="728">
      <c r="A728" s="81">
        <f>IF(A727="","",IF(A727+1&gt;MAX('Таблиця 1'!$B:$B),"",A727+1))</f>
        <v/>
      </c>
      <c r="B728">
        <f>IF($A728="","",COUNTIFS('Таблиця 1'!$B:$B,$A728,'Таблиця 1'!$E:$E,"ЖС ВЗ",'Таблиця 1'!$L:$L,"Уражено"))</f>
        <v/>
      </c>
      <c r="C728">
        <f>IF($A728="","",COUNTIFS('Таблиця 1'!$B:$B,$A728,'Таблиця 1'!$E:$E,"Арт. Системи",'Таблиця 1'!$L:$L,"Уражено"))</f>
        <v/>
      </c>
      <c r="D728">
        <f>IF($A728="","",COUNTIFS('Таблиця 1'!$B:$B,$A728,'Таблиця 1'!$E:$E,"ОВТ",'Таблиця 1'!$L:$L,"Уражено"))</f>
        <v/>
      </c>
      <c r="E728">
        <f>IF($A728="","",COUNTIFS('Таблиця 1'!$B:$B,$A728,'Таблиця 1'!$E:$E,"ППО",'Таблиця 1'!$L:$L,"Уражено"))</f>
        <v/>
      </c>
      <c r="F728">
        <f>IF($A728="","",COUNTIFS('Таблиця 1'!$B:$B,$A728,'Таблиця 1'!$E:$E,"Рембаза",'Таблиця 1'!$L:$L,"Уражено"))</f>
        <v/>
      </c>
      <c r="G728">
        <f>IF($A728="","",COUNTIFS('Таблиця 1'!$B:$B,$A728,'Таблиця 1'!$E:$E,"Склад БК",'Таблиця 1'!$L:$L,"Уражено"))</f>
        <v/>
      </c>
      <c r="H728">
        <f>IF($A728="","",COUNTIFS('Таблиця 1'!$B:$B,$A728,'Таблиця 1'!$E:$E,"Склад ВТМ",'Таблиця 1'!$L:$L,"Уражено"))</f>
        <v/>
      </c>
      <c r="I728">
        <f>IF($A728="","",COUNTIFS('Таблиця 1'!$B:$B,$A728,'Таблиця 1'!$E:$E,"ПУ БпЛА",'Таблиця 1'!$L:$L,"Уражено"))</f>
        <v/>
      </c>
      <c r="J728">
        <f>IF($A728="","",COUNTIFS('Таблиця 1'!$B:$B,$A728,'Таблиця 1'!$E:$E,"СП",'Таблиця 1'!$L:$L,"Уражено"))</f>
        <v/>
      </c>
      <c r="K728">
        <f>IF($A728="","",COUNTIFS('Таблиця 1'!$B:$B,$A728,'Таблиця 1'!$E:$E,"КСП роти",'Таблиця 1'!$L:$L,"Уражено"))</f>
        <v/>
      </c>
      <c r="L728">
        <f>IF($A728="","",COUNTIFS('Таблиця 1'!$B:$B,$A728,'Таблиця 1'!$E:$E,"ПУ бат",'Таблиця 1'!$L:$L,"Уражено"))</f>
        <v/>
      </c>
      <c r="M728">
        <f>IF($A728="","",COUNTIFS('Таблиця 1'!$B:$B,$A728,'Таблиця 1'!$E:$E,"ПУ бриг",'Таблиця 1'!$L:$L,"Уражено"))</f>
        <v/>
      </c>
      <c r="N728">
        <f>IF($A728="","",COUNTIFS('Таблиця 1'!$B:$B,$A728,'Таблиця 1'!$E:$E,"ПУ див",'Таблиця 1'!$L:$L,"Уражено"))</f>
        <v/>
      </c>
      <c r="O728">
        <f>IF($A728="","",COUNTIFS('Таблиця 1'!$B:$B,$A728,'Таблиця 1'!$E:$E,"обл. РЕБ",'Таблиця 1'!$L:$L,"Уражено"))</f>
        <v/>
      </c>
      <c r="P728">
        <f>IF($A728="","",COUNTIFS('Таблиця 1'!$B:$B,$A728,'Таблиця 1'!$E:$E,"пос РЕБ",'Таблиця 1'!$L:$L,"Уражено"))</f>
        <v/>
      </c>
      <c r="Q728">
        <f>IF($A728="","",COUNTIFS('Таблиця 1'!$B:$B,$A728,'Таблиця 1'!$E:$E,"група РЕР",'Таблиця 1'!$L:$L,"Уражено"))</f>
        <v/>
      </c>
      <c r="R728">
        <f>IF($A728="","",COUNTIFS('Таблиця 1'!$B:$B,$A728,'Таблиця 1'!$E:$E,"РЛС КББ",'Таблиця 1'!$L:$L,"Уражено"))</f>
        <v/>
      </c>
      <c r="S728">
        <f>IF($A728="","",COUNTIFS('Таблиця 1'!$B:$B,$A728,'Таблиця 1'!$E:$E,"Ретранслятор",'Таблиця 1'!$L:$L,"Уражено"))</f>
        <v/>
      </c>
      <c r="T728">
        <f>IF($A728="","",COUNTIFS('Таблиця 1'!$B:$B,$A728,'Таблиця 1'!$E:$E,"Вз.зв'язку",'Таблиця 1'!$L:$L,"Уражено"))</f>
        <v/>
      </c>
      <c r="U728">
        <f>IF($A728="","",COUNTIFS('Таблиця 1'!$B:$B,$A728,'Таблиця 1'!$E:$E,"ПММ",'Таблиця 1'!$L:$L,"Уражено"))</f>
        <v/>
      </c>
      <c r="V728">
        <f>IF($A728="","",COUNTIFS('Таблиця 1'!$B:$B,$A728,'Таблиця 1'!$E:$E,"ІФС",'Таблиця 1'!$L:$L,"Уражено"))</f>
        <v/>
      </c>
      <c r="W728">
        <f>IF($A728="","",COUNTIFS('Таблиця 1'!$B:$B,$A728,'Таблиця 1'!$E:$E,"Інфраструктура",'Таблиця 1'!$L:$L,"Уражено"))</f>
        <v/>
      </c>
      <c r="X728">
        <f>IF($A728="","",SUMIFS('Таблиця 1'!$K:$K,'Таблиця 1'!$B:$B,$A728))</f>
        <v/>
      </c>
    </row>
    <row r="729">
      <c r="A729" s="81">
        <f>IF(A728="","",IF(A728+1&gt;MAX('Таблиця 1'!$B:$B),"",A728+1))</f>
        <v/>
      </c>
      <c r="B729">
        <f>IF($A729="","",COUNTIFS('Таблиця 1'!$B:$B,$A729,'Таблиця 1'!$E:$E,"ЖС ВЗ",'Таблиця 1'!$L:$L,"Уражено"))</f>
        <v/>
      </c>
      <c r="C729">
        <f>IF($A729="","",COUNTIFS('Таблиця 1'!$B:$B,$A729,'Таблиця 1'!$E:$E,"Арт. Системи",'Таблиця 1'!$L:$L,"Уражено"))</f>
        <v/>
      </c>
      <c r="D729">
        <f>IF($A729="","",COUNTIFS('Таблиця 1'!$B:$B,$A729,'Таблиця 1'!$E:$E,"ОВТ",'Таблиця 1'!$L:$L,"Уражено"))</f>
        <v/>
      </c>
      <c r="E729">
        <f>IF($A729="","",COUNTIFS('Таблиця 1'!$B:$B,$A729,'Таблиця 1'!$E:$E,"ППО",'Таблиця 1'!$L:$L,"Уражено"))</f>
        <v/>
      </c>
      <c r="F729">
        <f>IF($A729="","",COUNTIFS('Таблиця 1'!$B:$B,$A729,'Таблиця 1'!$E:$E,"Рембаза",'Таблиця 1'!$L:$L,"Уражено"))</f>
        <v/>
      </c>
      <c r="G729">
        <f>IF($A729="","",COUNTIFS('Таблиця 1'!$B:$B,$A729,'Таблиця 1'!$E:$E,"Склад БК",'Таблиця 1'!$L:$L,"Уражено"))</f>
        <v/>
      </c>
      <c r="H729">
        <f>IF($A729="","",COUNTIFS('Таблиця 1'!$B:$B,$A729,'Таблиця 1'!$E:$E,"Склад ВТМ",'Таблиця 1'!$L:$L,"Уражено"))</f>
        <v/>
      </c>
      <c r="I729">
        <f>IF($A729="","",COUNTIFS('Таблиця 1'!$B:$B,$A729,'Таблиця 1'!$E:$E,"ПУ БпЛА",'Таблиця 1'!$L:$L,"Уражено"))</f>
        <v/>
      </c>
      <c r="J729">
        <f>IF($A729="","",COUNTIFS('Таблиця 1'!$B:$B,$A729,'Таблиця 1'!$E:$E,"СП",'Таблиця 1'!$L:$L,"Уражено"))</f>
        <v/>
      </c>
      <c r="K729">
        <f>IF($A729="","",COUNTIFS('Таблиця 1'!$B:$B,$A729,'Таблиця 1'!$E:$E,"КСП роти",'Таблиця 1'!$L:$L,"Уражено"))</f>
        <v/>
      </c>
      <c r="L729">
        <f>IF($A729="","",COUNTIFS('Таблиця 1'!$B:$B,$A729,'Таблиця 1'!$E:$E,"ПУ бат",'Таблиця 1'!$L:$L,"Уражено"))</f>
        <v/>
      </c>
      <c r="M729">
        <f>IF($A729="","",COUNTIFS('Таблиця 1'!$B:$B,$A729,'Таблиця 1'!$E:$E,"ПУ бриг",'Таблиця 1'!$L:$L,"Уражено"))</f>
        <v/>
      </c>
      <c r="N729">
        <f>IF($A729="","",COUNTIFS('Таблиця 1'!$B:$B,$A729,'Таблиця 1'!$E:$E,"ПУ див",'Таблиця 1'!$L:$L,"Уражено"))</f>
        <v/>
      </c>
      <c r="O729">
        <f>IF($A729="","",COUNTIFS('Таблиця 1'!$B:$B,$A729,'Таблиця 1'!$E:$E,"обл. РЕБ",'Таблиця 1'!$L:$L,"Уражено"))</f>
        <v/>
      </c>
      <c r="P729">
        <f>IF($A729="","",COUNTIFS('Таблиця 1'!$B:$B,$A729,'Таблиця 1'!$E:$E,"пос РЕБ",'Таблиця 1'!$L:$L,"Уражено"))</f>
        <v/>
      </c>
      <c r="Q729">
        <f>IF($A729="","",COUNTIFS('Таблиця 1'!$B:$B,$A729,'Таблиця 1'!$E:$E,"група РЕР",'Таблиця 1'!$L:$L,"Уражено"))</f>
        <v/>
      </c>
      <c r="R729">
        <f>IF($A729="","",COUNTIFS('Таблиця 1'!$B:$B,$A729,'Таблиця 1'!$E:$E,"РЛС КББ",'Таблиця 1'!$L:$L,"Уражено"))</f>
        <v/>
      </c>
      <c r="S729">
        <f>IF($A729="","",COUNTIFS('Таблиця 1'!$B:$B,$A729,'Таблиця 1'!$E:$E,"Ретранслятор",'Таблиця 1'!$L:$L,"Уражено"))</f>
        <v/>
      </c>
      <c r="T729">
        <f>IF($A729="","",COUNTIFS('Таблиця 1'!$B:$B,$A729,'Таблиця 1'!$E:$E,"Вз.зв'язку",'Таблиця 1'!$L:$L,"Уражено"))</f>
        <v/>
      </c>
      <c r="U729">
        <f>IF($A729="","",COUNTIFS('Таблиця 1'!$B:$B,$A729,'Таблиця 1'!$E:$E,"ПММ",'Таблиця 1'!$L:$L,"Уражено"))</f>
        <v/>
      </c>
      <c r="V729">
        <f>IF($A729="","",COUNTIFS('Таблиця 1'!$B:$B,$A729,'Таблиця 1'!$E:$E,"ІФС",'Таблиця 1'!$L:$L,"Уражено"))</f>
        <v/>
      </c>
      <c r="W729">
        <f>IF($A729="","",COUNTIFS('Таблиця 1'!$B:$B,$A729,'Таблиця 1'!$E:$E,"Інфраструктура",'Таблиця 1'!$L:$L,"Уражено"))</f>
        <v/>
      </c>
      <c r="X729">
        <f>IF($A729="","",SUMIFS('Таблиця 1'!$K:$K,'Таблиця 1'!$B:$B,$A729))</f>
        <v/>
      </c>
    </row>
    <row r="730">
      <c r="A730" s="81">
        <f>IF(A729="","",IF(A729+1&gt;MAX('Таблиця 1'!$B:$B),"",A729+1))</f>
        <v/>
      </c>
      <c r="B730">
        <f>IF($A730="","",COUNTIFS('Таблиця 1'!$B:$B,$A730,'Таблиця 1'!$E:$E,"ЖС ВЗ",'Таблиця 1'!$L:$L,"Уражено"))</f>
        <v/>
      </c>
      <c r="C730">
        <f>IF($A730="","",COUNTIFS('Таблиця 1'!$B:$B,$A730,'Таблиця 1'!$E:$E,"Арт. Системи",'Таблиця 1'!$L:$L,"Уражено"))</f>
        <v/>
      </c>
      <c r="D730">
        <f>IF($A730="","",COUNTIFS('Таблиця 1'!$B:$B,$A730,'Таблиця 1'!$E:$E,"ОВТ",'Таблиця 1'!$L:$L,"Уражено"))</f>
        <v/>
      </c>
      <c r="E730">
        <f>IF($A730="","",COUNTIFS('Таблиця 1'!$B:$B,$A730,'Таблиця 1'!$E:$E,"ППО",'Таблиця 1'!$L:$L,"Уражено"))</f>
        <v/>
      </c>
      <c r="F730">
        <f>IF($A730="","",COUNTIFS('Таблиця 1'!$B:$B,$A730,'Таблиця 1'!$E:$E,"Рембаза",'Таблиця 1'!$L:$L,"Уражено"))</f>
        <v/>
      </c>
      <c r="G730">
        <f>IF($A730="","",COUNTIFS('Таблиця 1'!$B:$B,$A730,'Таблиця 1'!$E:$E,"Склад БК",'Таблиця 1'!$L:$L,"Уражено"))</f>
        <v/>
      </c>
      <c r="H730">
        <f>IF($A730="","",COUNTIFS('Таблиця 1'!$B:$B,$A730,'Таблиця 1'!$E:$E,"Склад ВТМ",'Таблиця 1'!$L:$L,"Уражено"))</f>
        <v/>
      </c>
      <c r="I730">
        <f>IF($A730="","",COUNTIFS('Таблиця 1'!$B:$B,$A730,'Таблиця 1'!$E:$E,"ПУ БпЛА",'Таблиця 1'!$L:$L,"Уражено"))</f>
        <v/>
      </c>
      <c r="J730">
        <f>IF($A730="","",COUNTIFS('Таблиця 1'!$B:$B,$A730,'Таблиця 1'!$E:$E,"СП",'Таблиця 1'!$L:$L,"Уражено"))</f>
        <v/>
      </c>
      <c r="K730">
        <f>IF($A730="","",COUNTIFS('Таблиця 1'!$B:$B,$A730,'Таблиця 1'!$E:$E,"КСП роти",'Таблиця 1'!$L:$L,"Уражено"))</f>
        <v/>
      </c>
      <c r="L730">
        <f>IF($A730="","",COUNTIFS('Таблиця 1'!$B:$B,$A730,'Таблиця 1'!$E:$E,"ПУ бат",'Таблиця 1'!$L:$L,"Уражено"))</f>
        <v/>
      </c>
      <c r="M730">
        <f>IF($A730="","",COUNTIFS('Таблиця 1'!$B:$B,$A730,'Таблиця 1'!$E:$E,"ПУ бриг",'Таблиця 1'!$L:$L,"Уражено"))</f>
        <v/>
      </c>
      <c r="N730">
        <f>IF($A730="","",COUNTIFS('Таблиця 1'!$B:$B,$A730,'Таблиця 1'!$E:$E,"ПУ див",'Таблиця 1'!$L:$L,"Уражено"))</f>
        <v/>
      </c>
      <c r="O730">
        <f>IF($A730="","",COUNTIFS('Таблиця 1'!$B:$B,$A730,'Таблиця 1'!$E:$E,"обл. РЕБ",'Таблиця 1'!$L:$L,"Уражено"))</f>
        <v/>
      </c>
      <c r="P730">
        <f>IF($A730="","",COUNTIFS('Таблиця 1'!$B:$B,$A730,'Таблиця 1'!$E:$E,"пос РЕБ",'Таблиця 1'!$L:$L,"Уражено"))</f>
        <v/>
      </c>
      <c r="Q730">
        <f>IF($A730="","",COUNTIFS('Таблиця 1'!$B:$B,$A730,'Таблиця 1'!$E:$E,"група РЕР",'Таблиця 1'!$L:$L,"Уражено"))</f>
        <v/>
      </c>
      <c r="R730">
        <f>IF($A730="","",COUNTIFS('Таблиця 1'!$B:$B,$A730,'Таблиця 1'!$E:$E,"РЛС КББ",'Таблиця 1'!$L:$L,"Уражено"))</f>
        <v/>
      </c>
      <c r="S730">
        <f>IF($A730="","",COUNTIFS('Таблиця 1'!$B:$B,$A730,'Таблиця 1'!$E:$E,"Ретранслятор",'Таблиця 1'!$L:$L,"Уражено"))</f>
        <v/>
      </c>
      <c r="T730">
        <f>IF($A730="","",COUNTIFS('Таблиця 1'!$B:$B,$A730,'Таблиця 1'!$E:$E,"Вз.зв'язку",'Таблиця 1'!$L:$L,"Уражено"))</f>
        <v/>
      </c>
      <c r="U730">
        <f>IF($A730="","",COUNTIFS('Таблиця 1'!$B:$B,$A730,'Таблиця 1'!$E:$E,"ПММ",'Таблиця 1'!$L:$L,"Уражено"))</f>
        <v/>
      </c>
      <c r="V730">
        <f>IF($A730="","",COUNTIFS('Таблиця 1'!$B:$B,$A730,'Таблиця 1'!$E:$E,"ІФС",'Таблиця 1'!$L:$L,"Уражено"))</f>
        <v/>
      </c>
      <c r="W730">
        <f>IF($A730="","",COUNTIFS('Таблиця 1'!$B:$B,$A730,'Таблиця 1'!$E:$E,"Інфраструктура",'Таблиця 1'!$L:$L,"Уражено"))</f>
        <v/>
      </c>
      <c r="X730">
        <f>IF($A730="","",SUMIFS('Таблиця 1'!$K:$K,'Таблиця 1'!$B:$B,$A730))</f>
        <v/>
      </c>
    </row>
    <row r="731">
      <c r="A731" s="81">
        <f>IF(A730="","",IF(A730+1&gt;MAX('Таблиця 1'!$B:$B),"",A730+1))</f>
        <v/>
      </c>
      <c r="B731">
        <f>IF($A731="","",COUNTIFS('Таблиця 1'!$B:$B,$A731,'Таблиця 1'!$E:$E,"ЖС ВЗ",'Таблиця 1'!$L:$L,"Уражено"))</f>
        <v/>
      </c>
      <c r="C731">
        <f>IF($A731="","",COUNTIFS('Таблиця 1'!$B:$B,$A731,'Таблиця 1'!$E:$E,"Арт. Системи",'Таблиця 1'!$L:$L,"Уражено"))</f>
        <v/>
      </c>
      <c r="D731">
        <f>IF($A731="","",COUNTIFS('Таблиця 1'!$B:$B,$A731,'Таблиця 1'!$E:$E,"ОВТ",'Таблиця 1'!$L:$L,"Уражено"))</f>
        <v/>
      </c>
      <c r="E731">
        <f>IF($A731="","",COUNTIFS('Таблиця 1'!$B:$B,$A731,'Таблиця 1'!$E:$E,"ППО",'Таблиця 1'!$L:$L,"Уражено"))</f>
        <v/>
      </c>
      <c r="F731">
        <f>IF($A731="","",COUNTIFS('Таблиця 1'!$B:$B,$A731,'Таблиця 1'!$E:$E,"Рембаза",'Таблиця 1'!$L:$L,"Уражено"))</f>
        <v/>
      </c>
      <c r="G731">
        <f>IF($A731="","",COUNTIFS('Таблиця 1'!$B:$B,$A731,'Таблиця 1'!$E:$E,"Склад БК",'Таблиця 1'!$L:$L,"Уражено"))</f>
        <v/>
      </c>
      <c r="H731">
        <f>IF($A731="","",COUNTIFS('Таблиця 1'!$B:$B,$A731,'Таблиця 1'!$E:$E,"Склад ВТМ",'Таблиця 1'!$L:$L,"Уражено"))</f>
        <v/>
      </c>
      <c r="I731">
        <f>IF($A731="","",COUNTIFS('Таблиця 1'!$B:$B,$A731,'Таблиця 1'!$E:$E,"ПУ БпЛА",'Таблиця 1'!$L:$L,"Уражено"))</f>
        <v/>
      </c>
      <c r="J731">
        <f>IF($A731="","",COUNTIFS('Таблиця 1'!$B:$B,$A731,'Таблиця 1'!$E:$E,"СП",'Таблиця 1'!$L:$L,"Уражено"))</f>
        <v/>
      </c>
      <c r="K731">
        <f>IF($A731="","",COUNTIFS('Таблиця 1'!$B:$B,$A731,'Таблиця 1'!$E:$E,"КСП роти",'Таблиця 1'!$L:$L,"Уражено"))</f>
        <v/>
      </c>
      <c r="L731">
        <f>IF($A731="","",COUNTIFS('Таблиця 1'!$B:$B,$A731,'Таблиця 1'!$E:$E,"ПУ бат",'Таблиця 1'!$L:$L,"Уражено"))</f>
        <v/>
      </c>
      <c r="M731">
        <f>IF($A731="","",COUNTIFS('Таблиця 1'!$B:$B,$A731,'Таблиця 1'!$E:$E,"ПУ бриг",'Таблиця 1'!$L:$L,"Уражено"))</f>
        <v/>
      </c>
      <c r="N731">
        <f>IF($A731="","",COUNTIFS('Таблиця 1'!$B:$B,$A731,'Таблиця 1'!$E:$E,"ПУ див",'Таблиця 1'!$L:$L,"Уражено"))</f>
        <v/>
      </c>
      <c r="O731">
        <f>IF($A731="","",COUNTIFS('Таблиця 1'!$B:$B,$A731,'Таблиця 1'!$E:$E,"обл. РЕБ",'Таблиця 1'!$L:$L,"Уражено"))</f>
        <v/>
      </c>
      <c r="P731">
        <f>IF($A731="","",COUNTIFS('Таблиця 1'!$B:$B,$A731,'Таблиця 1'!$E:$E,"пос РЕБ",'Таблиця 1'!$L:$L,"Уражено"))</f>
        <v/>
      </c>
      <c r="Q731">
        <f>IF($A731="","",COUNTIFS('Таблиця 1'!$B:$B,$A731,'Таблиця 1'!$E:$E,"група РЕР",'Таблиця 1'!$L:$L,"Уражено"))</f>
        <v/>
      </c>
      <c r="R731">
        <f>IF($A731="","",COUNTIFS('Таблиця 1'!$B:$B,$A731,'Таблиця 1'!$E:$E,"РЛС КББ",'Таблиця 1'!$L:$L,"Уражено"))</f>
        <v/>
      </c>
      <c r="S731">
        <f>IF($A731="","",COUNTIFS('Таблиця 1'!$B:$B,$A731,'Таблиця 1'!$E:$E,"Ретранслятор",'Таблиця 1'!$L:$L,"Уражено"))</f>
        <v/>
      </c>
      <c r="T731">
        <f>IF($A731="","",COUNTIFS('Таблиця 1'!$B:$B,$A731,'Таблиця 1'!$E:$E,"Вз.зв'язку",'Таблиця 1'!$L:$L,"Уражено"))</f>
        <v/>
      </c>
      <c r="U731">
        <f>IF($A731="","",COUNTIFS('Таблиця 1'!$B:$B,$A731,'Таблиця 1'!$E:$E,"ПММ",'Таблиця 1'!$L:$L,"Уражено"))</f>
        <v/>
      </c>
      <c r="V731">
        <f>IF($A731="","",COUNTIFS('Таблиця 1'!$B:$B,$A731,'Таблиця 1'!$E:$E,"ІФС",'Таблиця 1'!$L:$L,"Уражено"))</f>
        <v/>
      </c>
      <c r="W731">
        <f>IF($A731="","",COUNTIFS('Таблиця 1'!$B:$B,$A731,'Таблиця 1'!$E:$E,"Інфраструктура",'Таблиця 1'!$L:$L,"Уражено"))</f>
        <v/>
      </c>
      <c r="X731">
        <f>IF($A731="","",SUMIFS('Таблиця 1'!$K:$K,'Таблиця 1'!$B:$B,$A731))</f>
        <v/>
      </c>
    </row>
    <row r="732">
      <c r="A732" s="81">
        <f>IF(A731="","",IF(A731+1&gt;MAX('Таблиця 1'!$B:$B),"",A731+1))</f>
        <v/>
      </c>
      <c r="B732">
        <f>IF($A732="","",COUNTIFS('Таблиця 1'!$B:$B,$A732,'Таблиця 1'!$E:$E,"ЖС ВЗ",'Таблиця 1'!$L:$L,"Уражено"))</f>
        <v/>
      </c>
      <c r="C732">
        <f>IF($A732="","",COUNTIFS('Таблиця 1'!$B:$B,$A732,'Таблиця 1'!$E:$E,"Арт. Системи",'Таблиця 1'!$L:$L,"Уражено"))</f>
        <v/>
      </c>
      <c r="D732">
        <f>IF($A732="","",COUNTIFS('Таблиця 1'!$B:$B,$A732,'Таблиця 1'!$E:$E,"ОВТ",'Таблиця 1'!$L:$L,"Уражено"))</f>
        <v/>
      </c>
      <c r="E732">
        <f>IF($A732="","",COUNTIFS('Таблиця 1'!$B:$B,$A732,'Таблиця 1'!$E:$E,"ППО",'Таблиця 1'!$L:$L,"Уражено"))</f>
        <v/>
      </c>
      <c r="F732">
        <f>IF($A732="","",COUNTIFS('Таблиця 1'!$B:$B,$A732,'Таблиця 1'!$E:$E,"Рембаза",'Таблиця 1'!$L:$L,"Уражено"))</f>
        <v/>
      </c>
      <c r="G732">
        <f>IF($A732="","",COUNTIFS('Таблиця 1'!$B:$B,$A732,'Таблиця 1'!$E:$E,"Склад БК",'Таблиця 1'!$L:$L,"Уражено"))</f>
        <v/>
      </c>
      <c r="H732">
        <f>IF($A732="","",COUNTIFS('Таблиця 1'!$B:$B,$A732,'Таблиця 1'!$E:$E,"Склад ВТМ",'Таблиця 1'!$L:$L,"Уражено"))</f>
        <v/>
      </c>
      <c r="I732">
        <f>IF($A732="","",COUNTIFS('Таблиця 1'!$B:$B,$A732,'Таблиця 1'!$E:$E,"ПУ БпЛА",'Таблиця 1'!$L:$L,"Уражено"))</f>
        <v/>
      </c>
      <c r="J732">
        <f>IF($A732="","",COUNTIFS('Таблиця 1'!$B:$B,$A732,'Таблиця 1'!$E:$E,"СП",'Таблиця 1'!$L:$L,"Уражено"))</f>
        <v/>
      </c>
      <c r="K732">
        <f>IF($A732="","",COUNTIFS('Таблиця 1'!$B:$B,$A732,'Таблиця 1'!$E:$E,"КСП роти",'Таблиця 1'!$L:$L,"Уражено"))</f>
        <v/>
      </c>
      <c r="L732">
        <f>IF($A732="","",COUNTIFS('Таблиця 1'!$B:$B,$A732,'Таблиця 1'!$E:$E,"ПУ бат",'Таблиця 1'!$L:$L,"Уражено"))</f>
        <v/>
      </c>
      <c r="M732">
        <f>IF($A732="","",COUNTIFS('Таблиця 1'!$B:$B,$A732,'Таблиця 1'!$E:$E,"ПУ бриг",'Таблиця 1'!$L:$L,"Уражено"))</f>
        <v/>
      </c>
      <c r="N732">
        <f>IF($A732="","",COUNTIFS('Таблиця 1'!$B:$B,$A732,'Таблиця 1'!$E:$E,"ПУ див",'Таблиця 1'!$L:$L,"Уражено"))</f>
        <v/>
      </c>
      <c r="O732">
        <f>IF($A732="","",COUNTIFS('Таблиця 1'!$B:$B,$A732,'Таблиця 1'!$E:$E,"обл. РЕБ",'Таблиця 1'!$L:$L,"Уражено"))</f>
        <v/>
      </c>
      <c r="P732">
        <f>IF($A732="","",COUNTIFS('Таблиця 1'!$B:$B,$A732,'Таблиця 1'!$E:$E,"пос РЕБ",'Таблиця 1'!$L:$L,"Уражено"))</f>
        <v/>
      </c>
      <c r="Q732">
        <f>IF($A732="","",COUNTIFS('Таблиця 1'!$B:$B,$A732,'Таблиця 1'!$E:$E,"група РЕР",'Таблиця 1'!$L:$L,"Уражено"))</f>
        <v/>
      </c>
      <c r="R732">
        <f>IF($A732="","",COUNTIFS('Таблиця 1'!$B:$B,$A732,'Таблиця 1'!$E:$E,"РЛС КББ",'Таблиця 1'!$L:$L,"Уражено"))</f>
        <v/>
      </c>
      <c r="S732">
        <f>IF($A732="","",COUNTIFS('Таблиця 1'!$B:$B,$A732,'Таблиця 1'!$E:$E,"Ретранслятор",'Таблиця 1'!$L:$L,"Уражено"))</f>
        <v/>
      </c>
      <c r="T732">
        <f>IF($A732="","",COUNTIFS('Таблиця 1'!$B:$B,$A732,'Таблиця 1'!$E:$E,"Вз.зв'язку",'Таблиця 1'!$L:$L,"Уражено"))</f>
        <v/>
      </c>
      <c r="U732">
        <f>IF($A732="","",COUNTIFS('Таблиця 1'!$B:$B,$A732,'Таблиця 1'!$E:$E,"ПММ",'Таблиця 1'!$L:$L,"Уражено"))</f>
        <v/>
      </c>
      <c r="V732">
        <f>IF($A732="","",COUNTIFS('Таблиця 1'!$B:$B,$A732,'Таблиця 1'!$E:$E,"ІФС",'Таблиця 1'!$L:$L,"Уражено"))</f>
        <v/>
      </c>
      <c r="W732">
        <f>IF($A732="","",COUNTIFS('Таблиця 1'!$B:$B,$A732,'Таблиця 1'!$E:$E,"Інфраструктура",'Таблиця 1'!$L:$L,"Уражено"))</f>
        <v/>
      </c>
      <c r="X732">
        <f>IF($A732="","",SUMIFS('Таблиця 1'!$K:$K,'Таблиця 1'!$B:$B,$A732))</f>
        <v/>
      </c>
    </row>
    <row r="733">
      <c r="A733" s="83" t="inlineStr">
        <is>
          <t>Підсумок</t>
        </is>
      </c>
      <c r="B733" s="87">
        <f>SUBTOTAL(109,Таблиця2[ЖС ВЗ])</f>
        <v/>
      </c>
      <c r="C733" s="87">
        <f>SUBTOTAL(109,Таблиця2[Арт. Системи])</f>
        <v/>
      </c>
      <c r="D733" s="87">
        <f>SUBTOTAL(109,Таблиця2[ОВТ])</f>
        <v/>
      </c>
      <c r="E733" s="87">
        <f>SUBTOTAL(109,Таблиця2[ППО])</f>
        <v/>
      </c>
      <c r="F733" s="87">
        <f>SUBTOTAL(109,Таблиця2[Рембаза])</f>
        <v/>
      </c>
      <c r="G733" s="87">
        <f>SUBTOTAL(109,Таблиця2[Склад БК])</f>
        <v/>
      </c>
      <c r="H733" s="87">
        <f>SUBTOTAL(109,Таблиця2[Склад ВТМ])</f>
        <v/>
      </c>
      <c r="I733" s="87">
        <f>SUBTOTAL(109,Таблиця2[ПУ БпЛА])</f>
        <v/>
      </c>
      <c r="J733" s="87">
        <f>SUBTOTAL(109,Таблиця2[СП])</f>
        <v/>
      </c>
      <c r="K733" s="87">
        <f>SUBTOTAL(109,Таблиця2[КСП роти])</f>
        <v/>
      </c>
      <c r="L733" s="87">
        <f>SUBTOTAL(109,Таблиця2[ПУ бат])</f>
        <v/>
      </c>
      <c r="M733" s="87">
        <f>SUBTOTAL(109,Таблиця2[ПУ бриг])</f>
        <v/>
      </c>
      <c r="N733" s="87">
        <f>SUBTOTAL(109,Таблиця2[ПУ див])</f>
        <v/>
      </c>
      <c r="O733" s="87">
        <f>SUBTOTAL(109,Таблиця2[обл. РЕБ])</f>
        <v/>
      </c>
      <c r="P733" s="87">
        <f>SUBTOTAL(109,Таблиця2[пос РЕБ])</f>
        <v/>
      </c>
      <c r="Q733" s="87">
        <f>SUBTOTAL(109,Таблиця2[група РЕР])</f>
        <v/>
      </c>
      <c r="R733" s="87">
        <f>SUBTOTAL(109,Таблиця2[РЛС КББ])</f>
        <v/>
      </c>
      <c r="S733" s="87">
        <f>SUBTOTAL(109,Таблиця2[Ретранслятор])</f>
        <v/>
      </c>
      <c r="T733" s="87">
        <f>SUBTOTAL(109,Таблиця2[Вз.зв''язку])</f>
        <v/>
      </c>
      <c r="U733" s="87">
        <f>SUBTOTAL(109,Таблиця2[ПММ])</f>
        <v/>
      </c>
      <c r="V733" s="87">
        <f>SUBTOTAL(109,Таблиця2[ІФС])</f>
        <v/>
      </c>
      <c r="W733" s="87">
        <f>SUBTOTAL(109,Таблиця2[Інфраструктура])</f>
        <v/>
      </c>
      <c r="X733" s="87">
        <f>SUBTOTAL(109,Таблиця2[Витрата])</f>
        <v/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EasyWAR</dc:creator>
  <dc:title>EasyWAR — базова таблиця ПС рівня ПВК</dc:title>
  <dcterms:created xsi:type="dcterms:W3CDTF">2026-09-28T00:00:00Z</dcterms:created>
  <dcterms:modified xsi:type="dcterms:W3CDTF">2026-09-28T00:00:00Z</dcterms:modified>
  <cp:lastModifiedBy>EasyWAR</cp:lastModifiedBy>
</cp:coreProperties>
</file>